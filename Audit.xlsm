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AuditRepo\Audit\"/>
    </mc:Choice>
  </mc:AlternateContent>
  <xr:revisionPtr revIDLastSave="0" documentId="13_ncr:1_{B26D9445-66C0-4164-BDB2-73E3E4FFD294}" xr6:coauthVersionLast="47" xr6:coauthVersionMax="47" xr10:uidLastSave="{00000000-0000-0000-0000-000000000000}"/>
  <bookViews>
    <workbookView xWindow="-120" yWindow="-120" windowWidth="38640" windowHeight="21240" xr2:uid="{E0E293F9-D794-491A-92CF-8D3933F9CC7D}"/>
  </bookViews>
  <sheets>
    <sheet name="Audit Report" sheetId="1" r:id="rId1"/>
    <sheet name="SIMS Audit Report" sheetId="14" r:id="rId2"/>
    <sheet name="Locked and Faulty" sheetId="13" r:id="rId3"/>
    <sheet name="My_Audit" sheetId="5" r:id="rId4"/>
    <sheet name="Input" sheetId="2" r:id="rId5"/>
    <sheet name="Disk_Pivot" sheetId="12" r:id="rId6"/>
    <sheet name="Disk_Pivot_Data" sheetId="10" r:id="rId7"/>
    <sheet name="MacReports" sheetId="3" r:id="rId8"/>
    <sheet name="CSV" sheetId="4" r:id="rId9"/>
    <sheet name="CPU_Formula" sheetId="8" r:id="rId10"/>
    <sheet name="Output_Mac" sheetId="6" r:id="rId11"/>
    <sheet name="Models" sheetId="7" r:id="rId12"/>
  </sheets>
  <definedNames>
    <definedName name="_xlpm.chars" hidden="1" xlm="1">#NAME?</definedName>
    <definedName name="_xlpm.CSVVal" hidden="1" xlm="1">#NAME?</definedName>
    <definedName name="_xlpm.MacVal" hidden="1" xlm="1">#NAME?</definedName>
    <definedName name="_xlpm.MyAuditVal" hidden="1" xlm="1">#NAME?</definedName>
    <definedName name="_xlpm.Result" hidden="1" xlm="1">#NAME?</definedName>
    <definedName name="_xlpm.txt" hidden="1" xlm="1">#NAME?</definedName>
  </definedNames>
  <calcPr calcId="191029"/>
  <pivotCaches>
    <pivotCache cacheId="30" r:id="rId13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5" i="8" l="1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7" i="8"/>
  <c r="G588" i="8"/>
  <c r="G589" i="8"/>
  <c r="G590" i="8"/>
  <c r="G591" i="8"/>
  <c r="G592" i="8"/>
  <c r="G593" i="8"/>
  <c r="G594" i="8"/>
  <c r="G595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09" i="8"/>
  <c r="G610" i="8"/>
  <c r="G611" i="8"/>
  <c r="G612" i="8"/>
  <c r="G613" i="8"/>
  <c r="G614" i="8"/>
  <c r="G615" i="8"/>
  <c r="G616" i="8"/>
  <c r="G617" i="8"/>
  <c r="G618" i="8"/>
  <c r="G619" i="8"/>
  <c r="G620" i="8"/>
  <c r="G621" i="8"/>
  <c r="G622" i="8"/>
  <c r="G623" i="8"/>
  <c r="G624" i="8"/>
  <c r="G625" i="8"/>
  <c r="G626" i="8"/>
  <c r="G627" i="8"/>
  <c r="G628" i="8"/>
  <c r="G629" i="8"/>
  <c r="G630" i="8"/>
  <c r="G631" i="8"/>
  <c r="G632" i="8"/>
  <c r="G633" i="8"/>
  <c r="G634" i="8"/>
  <c r="G635" i="8"/>
  <c r="G636" i="8"/>
  <c r="G637" i="8"/>
  <c r="G638" i="8"/>
  <c r="G639" i="8"/>
  <c r="G640" i="8"/>
  <c r="G641" i="8"/>
  <c r="G642" i="8"/>
  <c r="G643" i="8"/>
  <c r="G644" i="8"/>
  <c r="G645" i="8"/>
  <c r="G646" i="8"/>
  <c r="G647" i="8"/>
  <c r="G648" i="8"/>
  <c r="G649" i="8"/>
  <c r="G650" i="8"/>
  <c r="G651" i="8"/>
  <c r="G652" i="8"/>
  <c r="G653" i="8"/>
  <c r="G654" i="8"/>
  <c r="G655" i="8"/>
  <c r="G656" i="8"/>
  <c r="G657" i="8"/>
  <c r="G658" i="8"/>
  <c r="G659" i="8"/>
  <c r="G660" i="8"/>
  <c r="G661" i="8"/>
  <c r="G662" i="8"/>
  <c r="G663" i="8"/>
  <c r="G664" i="8"/>
  <c r="G665" i="8"/>
  <c r="G666" i="8"/>
  <c r="G667" i="8"/>
  <c r="G668" i="8"/>
  <c r="G669" i="8"/>
  <c r="G670" i="8"/>
  <c r="G671" i="8"/>
  <c r="G672" i="8"/>
  <c r="G673" i="8"/>
  <c r="G674" i="8"/>
  <c r="G675" i="8"/>
  <c r="G676" i="8"/>
  <c r="G677" i="8"/>
  <c r="G678" i="8"/>
  <c r="G679" i="8"/>
  <c r="G680" i="8"/>
  <c r="G681" i="8"/>
  <c r="G682" i="8"/>
  <c r="G683" i="8"/>
  <c r="G684" i="8"/>
  <c r="G685" i="8"/>
  <c r="G686" i="8"/>
  <c r="G687" i="8"/>
  <c r="G688" i="8"/>
  <c r="G689" i="8"/>
  <c r="G690" i="8"/>
  <c r="G691" i="8"/>
  <c r="G692" i="8"/>
  <c r="G693" i="8"/>
  <c r="G694" i="8"/>
  <c r="G695" i="8"/>
  <c r="G696" i="8"/>
  <c r="G697" i="8"/>
  <c r="G698" i="8"/>
  <c r="G699" i="8"/>
  <c r="G700" i="8"/>
  <c r="G701" i="8"/>
  <c r="G702" i="8"/>
  <c r="G703" i="8"/>
  <c r="G704" i="8"/>
  <c r="G705" i="8"/>
  <c r="G706" i="8"/>
  <c r="G707" i="8"/>
  <c r="G708" i="8"/>
  <c r="G709" i="8"/>
  <c r="G710" i="8"/>
  <c r="G711" i="8"/>
  <c r="G712" i="8"/>
  <c r="G713" i="8"/>
  <c r="G714" i="8"/>
  <c r="G715" i="8"/>
  <c r="G716" i="8"/>
  <c r="G717" i="8"/>
  <c r="G718" i="8"/>
  <c r="G719" i="8"/>
  <c r="G720" i="8"/>
  <c r="G721" i="8"/>
  <c r="G722" i="8"/>
  <c r="G723" i="8"/>
  <c r="G724" i="8"/>
  <c r="G725" i="8"/>
  <c r="G726" i="8"/>
  <c r="G727" i="8"/>
  <c r="G728" i="8"/>
  <c r="G729" i="8"/>
  <c r="G730" i="8"/>
  <c r="G731" i="8"/>
  <c r="G732" i="8"/>
  <c r="G733" i="8"/>
  <c r="G734" i="8"/>
  <c r="G735" i="8"/>
  <c r="G736" i="8"/>
  <c r="G737" i="8"/>
  <c r="G738" i="8"/>
  <c r="G739" i="8"/>
  <c r="G740" i="8"/>
  <c r="G741" i="8"/>
  <c r="G742" i="8"/>
  <c r="G743" i="8"/>
  <c r="G744" i="8"/>
  <c r="G745" i="8"/>
  <c r="G746" i="8"/>
  <c r="G747" i="8"/>
  <c r="G748" i="8"/>
  <c r="G749" i="8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B170" i="1"/>
  <c r="D170" i="14" s="1"/>
  <c r="I170" i="1"/>
  <c r="B171" i="1"/>
  <c r="D171" i="14" s="1"/>
  <c r="I171" i="1"/>
  <c r="B172" i="1"/>
  <c r="D172" i="14" s="1"/>
  <c r="I172" i="1"/>
  <c r="B173" i="1"/>
  <c r="D173" i="14" s="1"/>
  <c r="I173" i="1"/>
  <c r="B174" i="1"/>
  <c r="D174" i="14" s="1"/>
  <c r="I174" i="1"/>
  <c r="B175" i="1"/>
  <c r="D175" i="14" s="1"/>
  <c r="I175" i="1"/>
  <c r="B176" i="1"/>
  <c r="D176" i="14" s="1"/>
  <c r="I176" i="1"/>
  <c r="B177" i="1"/>
  <c r="D177" i="14" s="1"/>
  <c r="I177" i="1"/>
  <c r="B178" i="1"/>
  <c r="D178" i="14" s="1"/>
  <c r="I178" i="1"/>
  <c r="B179" i="1"/>
  <c r="D179" i="14" s="1"/>
  <c r="I179" i="1"/>
  <c r="B180" i="1"/>
  <c r="D180" i="14" s="1"/>
  <c r="I180" i="1"/>
  <c r="B181" i="1"/>
  <c r="D181" i="14" s="1"/>
  <c r="I181" i="1"/>
  <c r="B182" i="1"/>
  <c r="D182" i="14" s="1"/>
  <c r="I182" i="1"/>
  <c r="B183" i="1"/>
  <c r="D183" i="14" s="1"/>
  <c r="I183" i="1"/>
  <c r="B184" i="1"/>
  <c r="D184" i="14" s="1"/>
  <c r="I184" i="1"/>
  <c r="B185" i="1"/>
  <c r="D185" i="14" s="1"/>
  <c r="I185" i="1"/>
  <c r="B186" i="1"/>
  <c r="D186" i="14" s="1"/>
  <c r="I186" i="1"/>
  <c r="B187" i="1"/>
  <c r="D187" i="14" s="1"/>
  <c r="I187" i="1"/>
  <c r="B188" i="1"/>
  <c r="D188" i="14" s="1"/>
  <c r="I188" i="1"/>
  <c r="B189" i="1"/>
  <c r="D189" i="14" s="1"/>
  <c r="I189" i="1"/>
  <c r="B190" i="1"/>
  <c r="D190" i="14" s="1"/>
  <c r="I190" i="1"/>
  <c r="B191" i="1"/>
  <c r="D191" i="14" s="1"/>
  <c r="I191" i="1"/>
  <c r="B192" i="1"/>
  <c r="D192" i="14" s="1"/>
  <c r="I192" i="1"/>
  <c r="B193" i="1"/>
  <c r="D193" i="14" s="1"/>
  <c r="I193" i="1"/>
  <c r="B194" i="1"/>
  <c r="D194" i="14" s="1"/>
  <c r="I194" i="1"/>
  <c r="B195" i="1"/>
  <c r="D195" i="14" s="1"/>
  <c r="I195" i="1"/>
  <c r="B196" i="1"/>
  <c r="D196" i="14" s="1"/>
  <c r="I196" i="1"/>
  <c r="B197" i="1"/>
  <c r="D197" i="14" s="1"/>
  <c r="I197" i="1"/>
  <c r="B198" i="1"/>
  <c r="D198" i="14" s="1"/>
  <c r="I198" i="1"/>
  <c r="B199" i="1"/>
  <c r="D199" i="14" s="1"/>
  <c r="I199" i="1"/>
  <c r="B200" i="1"/>
  <c r="D200" i="14" s="1"/>
  <c r="I200" i="1"/>
  <c r="B201" i="1"/>
  <c r="D201" i="14" s="1"/>
  <c r="I201" i="1"/>
  <c r="B202" i="1"/>
  <c r="D202" i="14" s="1"/>
  <c r="I202" i="1"/>
  <c r="B203" i="1"/>
  <c r="D203" i="14" s="1"/>
  <c r="I203" i="1"/>
  <c r="B204" i="1"/>
  <c r="D204" i="14" s="1"/>
  <c r="I204" i="1"/>
  <c r="B205" i="1"/>
  <c r="D205" i="14" s="1"/>
  <c r="I205" i="1"/>
  <c r="B206" i="1"/>
  <c r="D206" i="14" s="1"/>
  <c r="I206" i="1"/>
  <c r="B207" i="1"/>
  <c r="D207" i="14" s="1"/>
  <c r="I207" i="1"/>
  <c r="B208" i="1"/>
  <c r="D208" i="14" s="1"/>
  <c r="I208" i="1"/>
  <c r="B209" i="1"/>
  <c r="D209" i="14" s="1"/>
  <c r="I209" i="1"/>
  <c r="B210" i="1"/>
  <c r="D210" i="14" s="1"/>
  <c r="I210" i="1"/>
  <c r="B211" i="1"/>
  <c r="D211" i="14" s="1"/>
  <c r="I211" i="1"/>
  <c r="B212" i="1"/>
  <c r="D212" i="14" s="1"/>
  <c r="I212" i="1"/>
  <c r="B213" i="1"/>
  <c r="D213" i="14" s="1"/>
  <c r="I213" i="1"/>
  <c r="B214" i="1"/>
  <c r="D214" i="14" s="1"/>
  <c r="I214" i="1"/>
  <c r="B215" i="1"/>
  <c r="D215" i="14" s="1"/>
  <c r="I215" i="1"/>
  <c r="B216" i="1"/>
  <c r="D216" i="14" s="1"/>
  <c r="I216" i="1"/>
  <c r="B217" i="1"/>
  <c r="D217" i="14" s="1"/>
  <c r="I217" i="1"/>
  <c r="B218" i="1"/>
  <c r="D218" i="14" s="1"/>
  <c r="I218" i="1"/>
  <c r="B219" i="1"/>
  <c r="D219" i="14" s="1"/>
  <c r="I219" i="1"/>
  <c r="B220" i="1"/>
  <c r="D220" i="14" s="1"/>
  <c r="I220" i="1"/>
  <c r="B221" i="1"/>
  <c r="D221" i="14" s="1"/>
  <c r="I221" i="1"/>
  <c r="B222" i="1"/>
  <c r="D222" i="14" s="1"/>
  <c r="I222" i="1"/>
  <c r="B223" i="1"/>
  <c r="D223" i="14" s="1"/>
  <c r="I223" i="1"/>
  <c r="B224" i="1"/>
  <c r="D224" i="14" s="1"/>
  <c r="I224" i="1"/>
  <c r="B225" i="1"/>
  <c r="D225" i="14" s="1"/>
  <c r="I225" i="1"/>
  <c r="B226" i="1"/>
  <c r="D226" i="14" s="1"/>
  <c r="I226" i="1"/>
  <c r="B227" i="1"/>
  <c r="D227" i="14" s="1"/>
  <c r="I227" i="1"/>
  <c r="B228" i="1"/>
  <c r="D228" i="14" s="1"/>
  <c r="I228" i="1"/>
  <c r="B229" i="1"/>
  <c r="D229" i="14" s="1"/>
  <c r="I229" i="1"/>
  <c r="B230" i="1"/>
  <c r="D230" i="14" s="1"/>
  <c r="I230" i="1"/>
  <c r="B231" i="1"/>
  <c r="D231" i="14" s="1"/>
  <c r="I231" i="1"/>
  <c r="B232" i="1"/>
  <c r="D232" i="14" s="1"/>
  <c r="I232" i="1"/>
  <c r="B233" i="1"/>
  <c r="D233" i="14" s="1"/>
  <c r="I233" i="1"/>
  <c r="B234" i="1"/>
  <c r="D234" i="14" s="1"/>
  <c r="I234" i="1"/>
  <c r="B235" i="1"/>
  <c r="D235" i="14" s="1"/>
  <c r="I235" i="1"/>
  <c r="B236" i="1"/>
  <c r="D236" i="14" s="1"/>
  <c r="I236" i="1"/>
  <c r="B237" i="1"/>
  <c r="D237" i="14" s="1"/>
  <c r="I237" i="1"/>
  <c r="B238" i="1"/>
  <c r="D238" i="14" s="1"/>
  <c r="I238" i="1"/>
  <c r="B239" i="1"/>
  <c r="D239" i="14" s="1"/>
  <c r="I239" i="1"/>
  <c r="B240" i="1"/>
  <c r="D240" i="14" s="1"/>
  <c r="I240" i="1"/>
  <c r="B241" i="1"/>
  <c r="D241" i="14" s="1"/>
  <c r="I241" i="1"/>
  <c r="B242" i="1"/>
  <c r="D242" i="14" s="1"/>
  <c r="I242" i="1"/>
  <c r="B243" i="1"/>
  <c r="D243" i="14" s="1"/>
  <c r="I243" i="1"/>
  <c r="B244" i="1"/>
  <c r="D244" i="14" s="1"/>
  <c r="I244" i="1"/>
  <c r="B245" i="1"/>
  <c r="D245" i="14" s="1"/>
  <c r="I245" i="1"/>
  <c r="B246" i="1"/>
  <c r="D246" i="14" s="1"/>
  <c r="I246" i="1"/>
  <c r="B247" i="1"/>
  <c r="D247" i="14" s="1"/>
  <c r="I247" i="1"/>
  <c r="B248" i="1"/>
  <c r="D248" i="14" s="1"/>
  <c r="I248" i="1"/>
  <c r="B249" i="1"/>
  <c r="D249" i="14" s="1"/>
  <c r="I249" i="1"/>
  <c r="B250" i="1"/>
  <c r="D250" i="14" s="1"/>
  <c r="I250" i="1"/>
  <c r="B251" i="1"/>
  <c r="D251" i="14" s="1"/>
  <c r="I251" i="1"/>
  <c r="B252" i="1"/>
  <c r="D252" i="14" s="1"/>
  <c r="I252" i="1"/>
  <c r="B253" i="1"/>
  <c r="D253" i="14" s="1"/>
  <c r="I253" i="1"/>
  <c r="B254" i="1"/>
  <c r="D254" i="14" s="1"/>
  <c r="I254" i="1"/>
  <c r="B255" i="1"/>
  <c r="D255" i="14" s="1"/>
  <c r="I255" i="1"/>
  <c r="B256" i="1"/>
  <c r="D256" i="14" s="1"/>
  <c r="I256" i="1"/>
  <c r="B257" i="1"/>
  <c r="D257" i="14" s="1"/>
  <c r="I257" i="1"/>
  <c r="B258" i="1"/>
  <c r="D258" i="14" s="1"/>
  <c r="I258" i="1"/>
  <c r="B259" i="1"/>
  <c r="D259" i="14" s="1"/>
  <c r="I259" i="1"/>
  <c r="B260" i="1"/>
  <c r="D260" i="14" s="1"/>
  <c r="I260" i="1"/>
  <c r="B261" i="1"/>
  <c r="D261" i="14" s="1"/>
  <c r="I261" i="1"/>
  <c r="B262" i="1"/>
  <c r="D262" i="14" s="1"/>
  <c r="I262" i="1"/>
  <c r="B263" i="1"/>
  <c r="D263" i="14" s="1"/>
  <c r="I263" i="1"/>
  <c r="B264" i="1"/>
  <c r="D264" i="14" s="1"/>
  <c r="I264" i="1"/>
  <c r="B265" i="1"/>
  <c r="D265" i="14" s="1"/>
  <c r="I265" i="1"/>
  <c r="B266" i="1"/>
  <c r="D266" i="14" s="1"/>
  <c r="I266" i="1"/>
  <c r="B267" i="1"/>
  <c r="D267" i="14" s="1"/>
  <c r="I267" i="1"/>
  <c r="B268" i="1"/>
  <c r="D268" i="14" s="1"/>
  <c r="I268" i="1"/>
  <c r="B269" i="1"/>
  <c r="D269" i="14" s="1"/>
  <c r="I269" i="1"/>
  <c r="B270" i="1"/>
  <c r="D270" i="14" s="1"/>
  <c r="I270" i="1"/>
  <c r="B271" i="1"/>
  <c r="D271" i="14" s="1"/>
  <c r="I271" i="1"/>
  <c r="B272" i="1"/>
  <c r="D272" i="14" s="1"/>
  <c r="I272" i="1"/>
  <c r="B273" i="1"/>
  <c r="D273" i="14" s="1"/>
  <c r="I273" i="1"/>
  <c r="B274" i="1"/>
  <c r="D274" i="14" s="1"/>
  <c r="I274" i="1"/>
  <c r="B275" i="1"/>
  <c r="D275" i="14" s="1"/>
  <c r="I275" i="1"/>
  <c r="B276" i="1"/>
  <c r="D276" i="14" s="1"/>
  <c r="I276" i="1"/>
  <c r="B277" i="1"/>
  <c r="D277" i="14" s="1"/>
  <c r="I277" i="1"/>
  <c r="B278" i="1"/>
  <c r="D278" i="14" s="1"/>
  <c r="I278" i="1"/>
  <c r="B279" i="1"/>
  <c r="D279" i="14" s="1"/>
  <c r="I279" i="1"/>
  <c r="B280" i="1"/>
  <c r="D280" i="14" s="1"/>
  <c r="I280" i="1"/>
  <c r="B281" i="1"/>
  <c r="D281" i="14" s="1"/>
  <c r="I281" i="1"/>
  <c r="B282" i="1"/>
  <c r="D282" i="14" s="1"/>
  <c r="I282" i="1"/>
  <c r="B283" i="1"/>
  <c r="D283" i="14" s="1"/>
  <c r="I283" i="1"/>
  <c r="B284" i="1"/>
  <c r="D284" i="14" s="1"/>
  <c r="I284" i="1"/>
  <c r="B285" i="1"/>
  <c r="D285" i="14" s="1"/>
  <c r="I285" i="1"/>
  <c r="B286" i="1"/>
  <c r="D286" i="14" s="1"/>
  <c r="I286" i="1"/>
  <c r="B287" i="1"/>
  <c r="D287" i="14" s="1"/>
  <c r="I287" i="1"/>
  <c r="B288" i="1"/>
  <c r="D288" i="14" s="1"/>
  <c r="I288" i="1"/>
  <c r="B289" i="1"/>
  <c r="D289" i="14" s="1"/>
  <c r="I289" i="1"/>
  <c r="B290" i="1"/>
  <c r="D290" i="14" s="1"/>
  <c r="I290" i="1"/>
  <c r="B291" i="1"/>
  <c r="D291" i="14" s="1"/>
  <c r="I291" i="1"/>
  <c r="B292" i="1"/>
  <c r="D292" i="14" s="1"/>
  <c r="I292" i="1"/>
  <c r="B293" i="1"/>
  <c r="D293" i="14" s="1"/>
  <c r="I293" i="1"/>
  <c r="B294" i="1"/>
  <c r="D294" i="14" s="1"/>
  <c r="I294" i="1"/>
  <c r="B295" i="1"/>
  <c r="D295" i="14" s="1"/>
  <c r="I295" i="1"/>
  <c r="B296" i="1"/>
  <c r="D296" i="14" s="1"/>
  <c r="I296" i="1"/>
  <c r="B297" i="1"/>
  <c r="D297" i="14" s="1"/>
  <c r="I297" i="1"/>
  <c r="B298" i="1"/>
  <c r="D298" i="14" s="1"/>
  <c r="I298" i="1"/>
  <c r="B299" i="1"/>
  <c r="D299" i="14" s="1"/>
  <c r="I299" i="1"/>
  <c r="B300" i="1"/>
  <c r="D300" i="14" s="1"/>
  <c r="I300" i="1"/>
  <c r="B301" i="1"/>
  <c r="D301" i="14" s="1"/>
  <c r="I301" i="1"/>
  <c r="B302" i="1"/>
  <c r="D302" i="14" s="1"/>
  <c r="I302" i="1"/>
  <c r="B303" i="1"/>
  <c r="D303" i="14" s="1"/>
  <c r="I303" i="1"/>
  <c r="B304" i="1"/>
  <c r="D304" i="14" s="1"/>
  <c r="I304" i="1"/>
  <c r="B305" i="1"/>
  <c r="D305" i="14" s="1"/>
  <c r="I305" i="1"/>
  <c r="B306" i="1"/>
  <c r="D306" i="14" s="1"/>
  <c r="I306" i="1"/>
  <c r="B307" i="1"/>
  <c r="D307" i="14" s="1"/>
  <c r="I307" i="1"/>
  <c r="B308" i="1"/>
  <c r="D308" i="14" s="1"/>
  <c r="I308" i="1"/>
  <c r="B309" i="1"/>
  <c r="D309" i="14" s="1"/>
  <c r="I309" i="1"/>
  <c r="B310" i="1"/>
  <c r="D310" i="14" s="1"/>
  <c r="I310" i="1"/>
  <c r="B311" i="1"/>
  <c r="D311" i="14" s="1"/>
  <c r="I311" i="1"/>
  <c r="B312" i="1"/>
  <c r="D312" i="14" s="1"/>
  <c r="I312" i="1"/>
  <c r="B313" i="1"/>
  <c r="D313" i="14" s="1"/>
  <c r="I313" i="1"/>
  <c r="B314" i="1"/>
  <c r="D314" i="14" s="1"/>
  <c r="I314" i="1"/>
  <c r="B315" i="1"/>
  <c r="D315" i="14" s="1"/>
  <c r="I315" i="1"/>
  <c r="B316" i="1"/>
  <c r="D316" i="14" s="1"/>
  <c r="I316" i="1"/>
  <c r="B317" i="1"/>
  <c r="D317" i="14" s="1"/>
  <c r="I317" i="1"/>
  <c r="B318" i="1"/>
  <c r="D318" i="14" s="1"/>
  <c r="I318" i="1"/>
  <c r="B319" i="1"/>
  <c r="D319" i="14" s="1"/>
  <c r="I319" i="1"/>
  <c r="B320" i="1"/>
  <c r="D320" i="14" s="1"/>
  <c r="I320" i="1"/>
  <c r="B321" i="1"/>
  <c r="D321" i="14" s="1"/>
  <c r="I321" i="1"/>
  <c r="B322" i="1"/>
  <c r="D322" i="14" s="1"/>
  <c r="I322" i="1"/>
  <c r="B323" i="1"/>
  <c r="D323" i="14" s="1"/>
  <c r="I323" i="1"/>
  <c r="B324" i="1"/>
  <c r="D324" i="14" s="1"/>
  <c r="I324" i="1"/>
  <c r="B325" i="1"/>
  <c r="D325" i="14" s="1"/>
  <c r="I325" i="1"/>
  <c r="B326" i="1"/>
  <c r="D326" i="14" s="1"/>
  <c r="I326" i="1"/>
  <c r="B327" i="1"/>
  <c r="D327" i="14" s="1"/>
  <c r="I327" i="1"/>
  <c r="B328" i="1"/>
  <c r="D328" i="14" s="1"/>
  <c r="I328" i="1"/>
  <c r="B329" i="1"/>
  <c r="D329" i="14" s="1"/>
  <c r="I329" i="1"/>
  <c r="B330" i="1"/>
  <c r="D330" i="14" s="1"/>
  <c r="I330" i="1"/>
  <c r="B331" i="1"/>
  <c r="D331" i="14" s="1"/>
  <c r="I331" i="1"/>
  <c r="B332" i="1"/>
  <c r="D332" i="14" s="1"/>
  <c r="I332" i="1"/>
  <c r="B333" i="1"/>
  <c r="D333" i="14" s="1"/>
  <c r="I333" i="1"/>
  <c r="B334" i="1"/>
  <c r="D334" i="14" s="1"/>
  <c r="I334" i="1"/>
  <c r="B335" i="1"/>
  <c r="D335" i="14" s="1"/>
  <c r="I335" i="1"/>
  <c r="B336" i="1"/>
  <c r="D336" i="14" s="1"/>
  <c r="I336" i="1"/>
  <c r="B337" i="1"/>
  <c r="D337" i="14" s="1"/>
  <c r="I337" i="1"/>
  <c r="B338" i="1"/>
  <c r="D338" i="14" s="1"/>
  <c r="I338" i="1"/>
  <c r="B339" i="1"/>
  <c r="D339" i="14" s="1"/>
  <c r="I339" i="1"/>
  <c r="B340" i="1"/>
  <c r="D340" i="14" s="1"/>
  <c r="I340" i="1"/>
  <c r="B341" i="1"/>
  <c r="D341" i="14" s="1"/>
  <c r="I341" i="1"/>
  <c r="B342" i="1"/>
  <c r="D342" i="14" s="1"/>
  <c r="I342" i="1"/>
  <c r="B343" i="1"/>
  <c r="D343" i="14" s="1"/>
  <c r="I343" i="1"/>
  <c r="B344" i="1"/>
  <c r="D344" i="14" s="1"/>
  <c r="I344" i="1"/>
  <c r="B345" i="1"/>
  <c r="D345" i="14" s="1"/>
  <c r="I345" i="1"/>
  <c r="B346" i="1"/>
  <c r="D346" i="14" s="1"/>
  <c r="I346" i="1"/>
  <c r="B347" i="1"/>
  <c r="D347" i="14" s="1"/>
  <c r="I347" i="1"/>
  <c r="B348" i="1"/>
  <c r="D348" i="14" s="1"/>
  <c r="I348" i="1"/>
  <c r="B349" i="1"/>
  <c r="D349" i="14" s="1"/>
  <c r="I349" i="1"/>
  <c r="B350" i="1"/>
  <c r="D350" i="14" s="1"/>
  <c r="I350" i="1"/>
  <c r="B351" i="1"/>
  <c r="D351" i="14" s="1"/>
  <c r="I351" i="1"/>
  <c r="B352" i="1"/>
  <c r="D352" i="14" s="1"/>
  <c r="I352" i="1"/>
  <c r="B353" i="1"/>
  <c r="D353" i="14" s="1"/>
  <c r="I353" i="1"/>
  <c r="B354" i="1"/>
  <c r="D354" i="14" s="1"/>
  <c r="I354" i="1"/>
  <c r="B355" i="1"/>
  <c r="D355" i="14" s="1"/>
  <c r="I355" i="1"/>
  <c r="B356" i="1"/>
  <c r="D356" i="14" s="1"/>
  <c r="I356" i="1"/>
  <c r="B357" i="1"/>
  <c r="D357" i="14" s="1"/>
  <c r="I357" i="1"/>
  <c r="B358" i="1"/>
  <c r="D358" i="14" s="1"/>
  <c r="I358" i="1"/>
  <c r="B359" i="1"/>
  <c r="D359" i="14" s="1"/>
  <c r="I359" i="1"/>
  <c r="B360" i="1"/>
  <c r="D360" i="14" s="1"/>
  <c r="I360" i="1"/>
  <c r="B361" i="1"/>
  <c r="D361" i="14" s="1"/>
  <c r="I361" i="1"/>
  <c r="B362" i="1"/>
  <c r="D362" i="14" s="1"/>
  <c r="I362" i="1"/>
  <c r="B363" i="1"/>
  <c r="D363" i="14" s="1"/>
  <c r="I363" i="1"/>
  <c r="B364" i="1"/>
  <c r="D364" i="14" s="1"/>
  <c r="I364" i="1"/>
  <c r="B365" i="1"/>
  <c r="D365" i="14" s="1"/>
  <c r="I365" i="1"/>
  <c r="B366" i="1"/>
  <c r="D366" i="14" s="1"/>
  <c r="I366" i="1"/>
  <c r="B367" i="1"/>
  <c r="D367" i="14" s="1"/>
  <c r="I367" i="1"/>
  <c r="B368" i="1"/>
  <c r="D368" i="14" s="1"/>
  <c r="I368" i="1"/>
  <c r="B369" i="1"/>
  <c r="D369" i="14" s="1"/>
  <c r="I369" i="1"/>
  <c r="B370" i="1"/>
  <c r="D370" i="14" s="1"/>
  <c r="I370" i="1"/>
  <c r="B371" i="1"/>
  <c r="D371" i="14" s="1"/>
  <c r="I371" i="1"/>
  <c r="B372" i="1"/>
  <c r="D372" i="14" s="1"/>
  <c r="I372" i="1"/>
  <c r="B373" i="1"/>
  <c r="D373" i="14" s="1"/>
  <c r="I373" i="1"/>
  <c r="B374" i="1"/>
  <c r="D374" i="14" s="1"/>
  <c r="I374" i="1"/>
  <c r="B375" i="1"/>
  <c r="D375" i="14" s="1"/>
  <c r="I375" i="1"/>
  <c r="B376" i="1"/>
  <c r="D376" i="14" s="1"/>
  <c r="I376" i="1"/>
  <c r="B377" i="1"/>
  <c r="D377" i="14" s="1"/>
  <c r="I377" i="1"/>
  <c r="B378" i="1"/>
  <c r="D378" i="14" s="1"/>
  <c r="I378" i="1"/>
  <c r="B379" i="1"/>
  <c r="D379" i="14" s="1"/>
  <c r="I379" i="1"/>
  <c r="B380" i="1"/>
  <c r="D380" i="14" s="1"/>
  <c r="I380" i="1"/>
  <c r="B381" i="1"/>
  <c r="D381" i="14" s="1"/>
  <c r="I381" i="1"/>
  <c r="B382" i="1"/>
  <c r="D382" i="14" s="1"/>
  <c r="I382" i="1"/>
  <c r="B383" i="1"/>
  <c r="D383" i="14" s="1"/>
  <c r="I383" i="1"/>
  <c r="B384" i="1"/>
  <c r="D384" i="14" s="1"/>
  <c r="I384" i="1"/>
  <c r="B385" i="1"/>
  <c r="D385" i="14" s="1"/>
  <c r="I385" i="1"/>
  <c r="B386" i="1"/>
  <c r="D386" i="14" s="1"/>
  <c r="I386" i="1"/>
  <c r="B387" i="1"/>
  <c r="D387" i="14" s="1"/>
  <c r="I387" i="1"/>
  <c r="B388" i="1"/>
  <c r="D388" i="14" s="1"/>
  <c r="I388" i="1"/>
  <c r="B389" i="1"/>
  <c r="D389" i="14" s="1"/>
  <c r="I389" i="1"/>
  <c r="B390" i="1"/>
  <c r="D390" i="14" s="1"/>
  <c r="I390" i="1"/>
  <c r="B391" i="1"/>
  <c r="D391" i="14" s="1"/>
  <c r="I391" i="1"/>
  <c r="B392" i="1"/>
  <c r="D392" i="14" s="1"/>
  <c r="I392" i="1"/>
  <c r="B393" i="1"/>
  <c r="D393" i="14" s="1"/>
  <c r="I393" i="1"/>
  <c r="B394" i="1"/>
  <c r="D394" i="14" s="1"/>
  <c r="I394" i="1"/>
  <c r="B395" i="1"/>
  <c r="D395" i="14" s="1"/>
  <c r="I395" i="1"/>
  <c r="B396" i="1"/>
  <c r="D396" i="14" s="1"/>
  <c r="I396" i="1"/>
  <c r="B397" i="1"/>
  <c r="D397" i="14" s="1"/>
  <c r="I397" i="1"/>
  <c r="B398" i="1"/>
  <c r="D398" i="14" s="1"/>
  <c r="I398" i="1"/>
  <c r="B399" i="1"/>
  <c r="D399" i="14" s="1"/>
  <c r="I399" i="1"/>
  <c r="B400" i="1"/>
  <c r="D400" i="14" s="1"/>
  <c r="I400" i="1"/>
  <c r="B401" i="1"/>
  <c r="D401" i="14" s="1"/>
  <c r="I401" i="1"/>
  <c r="B402" i="1"/>
  <c r="D402" i="14" s="1"/>
  <c r="I402" i="1"/>
  <c r="B403" i="1"/>
  <c r="D403" i="14" s="1"/>
  <c r="I403" i="1"/>
  <c r="B404" i="1"/>
  <c r="D404" i="14" s="1"/>
  <c r="I404" i="1"/>
  <c r="B405" i="1"/>
  <c r="D405" i="14" s="1"/>
  <c r="I405" i="1"/>
  <c r="B406" i="1"/>
  <c r="D406" i="14" s="1"/>
  <c r="I406" i="1"/>
  <c r="B407" i="1"/>
  <c r="D407" i="14" s="1"/>
  <c r="I407" i="1"/>
  <c r="B408" i="1"/>
  <c r="D408" i="14" s="1"/>
  <c r="I408" i="1"/>
  <c r="B409" i="1"/>
  <c r="D409" i="14" s="1"/>
  <c r="I409" i="1"/>
  <c r="B410" i="1"/>
  <c r="D410" i="14" s="1"/>
  <c r="I410" i="1"/>
  <c r="B411" i="1"/>
  <c r="D411" i="14" s="1"/>
  <c r="I411" i="1"/>
  <c r="B412" i="1"/>
  <c r="D412" i="14" s="1"/>
  <c r="I412" i="1"/>
  <c r="B413" i="1"/>
  <c r="D413" i="14" s="1"/>
  <c r="I413" i="1"/>
  <c r="B414" i="1"/>
  <c r="D414" i="14" s="1"/>
  <c r="I414" i="1"/>
  <c r="B415" i="1"/>
  <c r="D415" i="14" s="1"/>
  <c r="I415" i="1"/>
  <c r="B416" i="1"/>
  <c r="D416" i="14" s="1"/>
  <c r="I416" i="1"/>
  <c r="B417" i="1"/>
  <c r="D417" i="14" s="1"/>
  <c r="I417" i="1"/>
  <c r="B418" i="1"/>
  <c r="D418" i="14" s="1"/>
  <c r="I418" i="1"/>
  <c r="B419" i="1"/>
  <c r="D419" i="14" s="1"/>
  <c r="I419" i="1"/>
  <c r="B420" i="1"/>
  <c r="D420" i="14" s="1"/>
  <c r="I420" i="1"/>
  <c r="B421" i="1"/>
  <c r="D421" i="14" s="1"/>
  <c r="I421" i="1"/>
  <c r="B422" i="1"/>
  <c r="D422" i="14" s="1"/>
  <c r="I422" i="1"/>
  <c r="B423" i="1"/>
  <c r="D423" i="14" s="1"/>
  <c r="I423" i="1"/>
  <c r="B424" i="1"/>
  <c r="D424" i="14" s="1"/>
  <c r="I424" i="1"/>
  <c r="B425" i="1"/>
  <c r="D425" i="14" s="1"/>
  <c r="I425" i="1"/>
  <c r="B426" i="1"/>
  <c r="D426" i="14" s="1"/>
  <c r="I426" i="1"/>
  <c r="B427" i="1"/>
  <c r="D427" i="14" s="1"/>
  <c r="I427" i="1"/>
  <c r="B428" i="1"/>
  <c r="D428" i="14" s="1"/>
  <c r="I428" i="1"/>
  <c r="B429" i="1"/>
  <c r="D429" i="14" s="1"/>
  <c r="I429" i="1"/>
  <c r="B430" i="1"/>
  <c r="D430" i="14" s="1"/>
  <c r="I430" i="1"/>
  <c r="B431" i="1"/>
  <c r="D431" i="14" s="1"/>
  <c r="I431" i="1"/>
  <c r="B432" i="1"/>
  <c r="D432" i="14" s="1"/>
  <c r="I432" i="1"/>
  <c r="B433" i="1"/>
  <c r="D433" i="14" s="1"/>
  <c r="I433" i="1"/>
  <c r="B434" i="1"/>
  <c r="D434" i="14" s="1"/>
  <c r="I434" i="1"/>
  <c r="B435" i="1"/>
  <c r="D435" i="14" s="1"/>
  <c r="I435" i="1"/>
  <c r="B436" i="1"/>
  <c r="D436" i="14" s="1"/>
  <c r="I436" i="1"/>
  <c r="B437" i="1"/>
  <c r="D437" i="14" s="1"/>
  <c r="I437" i="1"/>
  <c r="B438" i="1"/>
  <c r="D438" i="14" s="1"/>
  <c r="I438" i="1"/>
  <c r="B439" i="1"/>
  <c r="D439" i="14" s="1"/>
  <c r="I439" i="1"/>
  <c r="B440" i="1"/>
  <c r="D440" i="14" s="1"/>
  <c r="I440" i="1"/>
  <c r="B441" i="1"/>
  <c r="D441" i="14" s="1"/>
  <c r="I441" i="1"/>
  <c r="B442" i="1"/>
  <c r="D442" i="14" s="1"/>
  <c r="I442" i="1"/>
  <c r="B443" i="1"/>
  <c r="D443" i="14" s="1"/>
  <c r="I443" i="1"/>
  <c r="B444" i="1"/>
  <c r="D444" i="14" s="1"/>
  <c r="I444" i="1"/>
  <c r="B445" i="1"/>
  <c r="D445" i="14" s="1"/>
  <c r="I445" i="1"/>
  <c r="B446" i="1"/>
  <c r="D446" i="14" s="1"/>
  <c r="I446" i="1"/>
  <c r="B447" i="1"/>
  <c r="D447" i="14" s="1"/>
  <c r="I447" i="1"/>
  <c r="B448" i="1"/>
  <c r="D448" i="14" s="1"/>
  <c r="I448" i="1"/>
  <c r="B449" i="1"/>
  <c r="D449" i="14" s="1"/>
  <c r="I449" i="1"/>
  <c r="B450" i="1"/>
  <c r="D450" i="14" s="1"/>
  <c r="I450" i="1"/>
  <c r="B451" i="1"/>
  <c r="D451" i="14" s="1"/>
  <c r="I451" i="1"/>
  <c r="B452" i="1"/>
  <c r="D452" i="14" s="1"/>
  <c r="I452" i="1"/>
  <c r="B453" i="1"/>
  <c r="D453" i="14" s="1"/>
  <c r="I453" i="1"/>
  <c r="B454" i="1"/>
  <c r="D454" i="14" s="1"/>
  <c r="I454" i="1"/>
  <c r="B455" i="1"/>
  <c r="D455" i="14" s="1"/>
  <c r="I455" i="1"/>
  <c r="B456" i="1"/>
  <c r="D456" i="14" s="1"/>
  <c r="I456" i="1"/>
  <c r="B457" i="1"/>
  <c r="D457" i="14" s="1"/>
  <c r="I457" i="1"/>
  <c r="B458" i="1"/>
  <c r="D458" i="14" s="1"/>
  <c r="I458" i="1"/>
  <c r="B459" i="1"/>
  <c r="D459" i="14" s="1"/>
  <c r="I459" i="1"/>
  <c r="B460" i="1"/>
  <c r="D460" i="14" s="1"/>
  <c r="I460" i="1"/>
  <c r="B461" i="1"/>
  <c r="D461" i="14" s="1"/>
  <c r="I461" i="1"/>
  <c r="B462" i="1"/>
  <c r="D462" i="14" s="1"/>
  <c r="I462" i="1"/>
  <c r="B463" i="1"/>
  <c r="D463" i="14" s="1"/>
  <c r="I463" i="1"/>
  <c r="B464" i="1"/>
  <c r="D464" i="14" s="1"/>
  <c r="I464" i="1"/>
  <c r="B465" i="1"/>
  <c r="D465" i="14" s="1"/>
  <c r="I465" i="1"/>
  <c r="B466" i="1"/>
  <c r="D466" i="14" s="1"/>
  <c r="I466" i="1"/>
  <c r="B467" i="1"/>
  <c r="D467" i="14" s="1"/>
  <c r="I467" i="1"/>
  <c r="B468" i="1"/>
  <c r="D468" i="14" s="1"/>
  <c r="I468" i="1"/>
  <c r="B469" i="1"/>
  <c r="D469" i="14" s="1"/>
  <c r="I469" i="1"/>
  <c r="B470" i="1"/>
  <c r="D470" i="14" s="1"/>
  <c r="I470" i="1"/>
  <c r="B471" i="1"/>
  <c r="D471" i="14" s="1"/>
  <c r="I471" i="1"/>
  <c r="B472" i="1"/>
  <c r="D472" i="14" s="1"/>
  <c r="I472" i="1"/>
  <c r="B473" i="1"/>
  <c r="D473" i="14" s="1"/>
  <c r="I473" i="1"/>
  <c r="B474" i="1"/>
  <c r="D474" i="14" s="1"/>
  <c r="I474" i="1"/>
  <c r="B475" i="1"/>
  <c r="D475" i="14" s="1"/>
  <c r="I475" i="1"/>
  <c r="B476" i="1"/>
  <c r="D476" i="14" s="1"/>
  <c r="I476" i="1"/>
  <c r="B477" i="1"/>
  <c r="D477" i="14" s="1"/>
  <c r="I477" i="1"/>
  <c r="B478" i="1"/>
  <c r="D478" i="14" s="1"/>
  <c r="I478" i="1"/>
  <c r="B479" i="1"/>
  <c r="D479" i="14" s="1"/>
  <c r="I479" i="1"/>
  <c r="B480" i="1"/>
  <c r="D480" i="14" s="1"/>
  <c r="I480" i="1"/>
  <c r="B481" i="1"/>
  <c r="D481" i="14" s="1"/>
  <c r="I481" i="1"/>
  <c r="B482" i="1"/>
  <c r="D482" i="14" s="1"/>
  <c r="I482" i="1"/>
  <c r="B483" i="1"/>
  <c r="D483" i="14" s="1"/>
  <c r="I483" i="1"/>
  <c r="B484" i="1"/>
  <c r="D484" i="14" s="1"/>
  <c r="I484" i="1"/>
  <c r="B485" i="1"/>
  <c r="D485" i="14" s="1"/>
  <c r="I485" i="1"/>
  <c r="B486" i="1"/>
  <c r="D486" i="14" s="1"/>
  <c r="I486" i="1"/>
  <c r="B487" i="1"/>
  <c r="D487" i="14" s="1"/>
  <c r="I487" i="1"/>
  <c r="B488" i="1"/>
  <c r="D488" i="14" s="1"/>
  <c r="I488" i="1"/>
  <c r="B489" i="1"/>
  <c r="D489" i="14" s="1"/>
  <c r="I489" i="1"/>
  <c r="B490" i="1"/>
  <c r="D490" i="14" s="1"/>
  <c r="I490" i="1"/>
  <c r="B491" i="1"/>
  <c r="D491" i="14" s="1"/>
  <c r="I491" i="1"/>
  <c r="B492" i="1"/>
  <c r="D492" i="14" s="1"/>
  <c r="I492" i="1"/>
  <c r="B493" i="1"/>
  <c r="D493" i="14" s="1"/>
  <c r="I493" i="1"/>
  <c r="B494" i="1"/>
  <c r="D494" i="14" s="1"/>
  <c r="I494" i="1"/>
  <c r="B495" i="1"/>
  <c r="D495" i="14" s="1"/>
  <c r="I495" i="1"/>
  <c r="B496" i="1"/>
  <c r="D496" i="14" s="1"/>
  <c r="I496" i="1"/>
  <c r="B497" i="1"/>
  <c r="D497" i="14" s="1"/>
  <c r="I497" i="1"/>
  <c r="B498" i="1"/>
  <c r="D498" i="14" s="1"/>
  <c r="I498" i="1"/>
  <c r="B499" i="1"/>
  <c r="D499" i="14" s="1"/>
  <c r="I499" i="1"/>
  <c r="B500" i="1"/>
  <c r="D500" i="14" s="1"/>
  <c r="I500" i="1"/>
  <c r="B501" i="1"/>
  <c r="D501" i="14" s="1"/>
  <c r="I501" i="1"/>
  <c r="B502" i="1"/>
  <c r="D502" i="14" s="1"/>
  <c r="I502" i="1"/>
  <c r="B503" i="1"/>
  <c r="D503" i="14" s="1"/>
  <c r="I503" i="1"/>
  <c r="B504" i="1"/>
  <c r="D504" i="14" s="1"/>
  <c r="I504" i="1"/>
  <c r="B505" i="1"/>
  <c r="D505" i="14" s="1"/>
  <c r="I505" i="1"/>
  <c r="B506" i="1"/>
  <c r="D506" i="14" s="1"/>
  <c r="I506" i="1"/>
  <c r="B507" i="1"/>
  <c r="D507" i="14" s="1"/>
  <c r="I507" i="1"/>
  <c r="B508" i="1"/>
  <c r="D508" i="14" s="1"/>
  <c r="I508" i="1"/>
  <c r="B509" i="1"/>
  <c r="D509" i="14" s="1"/>
  <c r="I509" i="1"/>
  <c r="B510" i="1"/>
  <c r="D510" i="14" s="1"/>
  <c r="I510" i="1"/>
  <c r="B511" i="1"/>
  <c r="D511" i="14" s="1"/>
  <c r="I511" i="1"/>
  <c r="B512" i="1"/>
  <c r="D512" i="14" s="1"/>
  <c r="I512" i="1"/>
  <c r="B513" i="1"/>
  <c r="D513" i="14" s="1"/>
  <c r="I513" i="1"/>
  <c r="B514" i="1"/>
  <c r="D514" i="14" s="1"/>
  <c r="I514" i="1"/>
  <c r="B515" i="1"/>
  <c r="D515" i="14" s="1"/>
  <c r="I515" i="1"/>
  <c r="B516" i="1"/>
  <c r="D516" i="14" s="1"/>
  <c r="I516" i="1"/>
  <c r="B517" i="1"/>
  <c r="D517" i="14" s="1"/>
  <c r="I517" i="1"/>
  <c r="B518" i="1"/>
  <c r="D518" i="14" s="1"/>
  <c r="I518" i="1"/>
  <c r="B519" i="1"/>
  <c r="D519" i="14" s="1"/>
  <c r="I519" i="1"/>
  <c r="B520" i="1"/>
  <c r="D520" i="14" s="1"/>
  <c r="I520" i="1"/>
  <c r="B521" i="1"/>
  <c r="D521" i="14" s="1"/>
  <c r="I521" i="1"/>
  <c r="B522" i="1"/>
  <c r="D522" i="14" s="1"/>
  <c r="I522" i="1"/>
  <c r="B523" i="1"/>
  <c r="D523" i="14" s="1"/>
  <c r="I523" i="1"/>
  <c r="B524" i="1"/>
  <c r="D524" i="14" s="1"/>
  <c r="I524" i="1"/>
  <c r="B525" i="1"/>
  <c r="D525" i="14" s="1"/>
  <c r="I525" i="1"/>
  <c r="B526" i="1"/>
  <c r="D526" i="14" s="1"/>
  <c r="I526" i="1"/>
  <c r="B527" i="1"/>
  <c r="D527" i="14" s="1"/>
  <c r="I527" i="1"/>
  <c r="B528" i="1"/>
  <c r="D528" i="14" s="1"/>
  <c r="I528" i="1"/>
  <c r="B529" i="1"/>
  <c r="D529" i="14" s="1"/>
  <c r="I529" i="1"/>
  <c r="B530" i="1"/>
  <c r="D530" i="14" s="1"/>
  <c r="I530" i="1"/>
  <c r="B531" i="1"/>
  <c r="D531" i="14" s="1"/>
  <c r="I531" i="1"/>
  <c r="B532" i="1"/>
  <c r="D532" i="14" s="1"/>
  <c r="I532" i="1"/>
  <c r="B533" i="1"/>
  <c r="D533" i="14" s="1"/>
  <c r="I533" i="1"/>
  <c r="B534" i="1"/>
  <c r="D534" i="14" s="1"/>
  <c r="I534" i="1"/>
  <c r="B535" i="1"/>
  <c r="D535" i="14" s="1"/>
  <c r="I535" i="1"/>
  <c r="B536" i="1"/>
  <c r="D536" i="14" s="1"/>
  <c r="I536" i="1"/>
  <c r="B537" i="1"/>
  <c r="D537" i="14" s="1"/>
  <c r="I537" i="1"/>
  <c r="B538" i="1"/>
  <c r="D538" i="14" s="1"/>
  <c r="I538" i="1"/>
  <c r="B539" i="1"/>
  <c r="D539" i="14" s="1"/>
  <c r="I539" i="1"/>
  <c r="B540" i="1"/>
  <c r="D540" i="14" s="1"/>
  <c r="I540" i="1"/>
  <c r="B541" i="1"/>
  <c r="D541" i="14" s="1"/>
  <c r="I541" i="1"/>
  <c r="B542" i="1"/>
  <c r="D542" i="14" s="1"/>
  <c r="I542" i="1"/>
  <c r="B543" i="1"/>
  <c r="D543" i="14" s="1"/>
  <c r="I543" i="1"/>
  <c r="B544" i="1"/>
  <c r="D544" i="14" s="1"/>
  <c r="I544" i="1"/>
  <c r="B545" i="1"/>
  <c r="D545" i="14" s="1"/>
  <c r="I545" i="1"/>
  <c r="B546" i="1"/>
  <c r="D546" i="14" s="1"/>
  <c r="I546" i="1"/>
  <c r="B547" i="1"/>
  <c r="D547" i="14" s="1"/>
  <c r="I547" i="1"/>
  <c r="B548" i="1"/>
  <c r="D548" i="14" s="1"/>
  <c r="I548" i="1"/>
  <c r="B549" i="1"/>
  <c r="D549" i="14" s="1"/>
  <c r="I549" i="1"/>
  <c r="B550" i="1"/>
  <c r="D550" i="14" s="1"/>
  <c r="I550" i="1"/>
  <c r="B551" i="1"/>
  <c r="D551" i="14" s="1"/>
  <c r="I551" i="1"/>
  <c r="B552" i="1"/>
  <c r="D552" i="14" s="1"/>
  <c r="I552" i="1"/>
  <c r="B553" i="1"/>
  <c r="D553" i="14" s="1"/>
  <c r="I553" i="1"/>
  <c r="B554" i="1"/>
  <c r="D554" i="14" s="1"/>
  <c r="I554" i="1"/>
  <c r="B555" i="1"/>
  <c r="D555" i="14" s="1"/>
  <c r="I555" i="1"/>
  <c r="B556" i="1"/>
  <c r="D556" i="14" s="1"/>
  <c r="I556" i="1"/>
  <c r="B557" i="1"/>
  <c r="D557" i="14" s="1"/>
  <c r="I557" i="1"/>
  <c r="B558" i="1"/>
  <c r="D558" i="14" s="1"/>
  <c r="I558" i="1"/>
  <c r="B559" i="1"/>
  <c r="D559" i="14" s="1"/>
  <c r="I559" i="1"/>
  <c r="B560" i="1"/>
  <c r="D560" i="14" s="1"/>
  <c r="I560" i="1"/>
  <c r="B561" i="1"/>
  <c r="D561" i="14" s="1"/>
  <c r="I561" i="1"/>
  <c r="B562" i="1"/>
  <c r="D562" i="14" s="1"/>
  <c r="I562" i="1"/>
  <c r="B563" i="1"/>
  <c r="D563" i="14" s="1"/>
  <c r="I563" i="1"/>
  <c r="B564" i="1"/>
  <c r="D564" i="14" s="1"/>
  <c r="I564" i="1"/>
  <c r="B565" i="1"/>
  <c r="D565" i="14" s="1"/>
  <c r="I565" i="1"/>
  <c r="B566" i="1"/>
  <c r="D566" i="14" s="1"/>
  <c r="I566" i="1"/>
  <c r="B567" i="1"/>
  <c r="D567" i="14" s="1"/>
  <c r="I567" i="1"/>
  <c r="B568" i="1"/>
  <c r="D568" i="14" s="1"/>
  <c r="I568" i="1"/>
  <c r="B569" i="1"/>
  <c r="D569" i="14" s="1"/>
  <c r="I569" i="1"/>
  <c r="B570" i="1"/>
  <c r="D570" i="14" s="1"/>
  <c r="I570" i="1"/>
  <c r="B571" i="1"/>
  <c r="D571" i="14" s="1"/>
  <c r="I571" i="1"/>
  <c r="B572" i="1"/>
  <c r="D572" i="14" s="1"/>
  <c r="I572" i="1"/>
  <c r="B573" i="1"/>
  <c r="D573" i="14" s="1"/>
  <c r="I573" i="1"/>
  <c r="B574" i="1"/>
  <c r="D574" i="14" s="1"/>
  <c r="I574" i="1"/>
  <c r="B575" i="1"/>
  <c r="D575" i="14" s="1"/>
  <c r="I575" i="1"/>
  <c r="B576" i="1"/>
  <c r="D576" i="14" s="1"/>
  <c r="I576" i="1"/>
  <c r="B577" i="1"/>
  <c r="D577" i="14" s="1"/>
  <c r="I577" i="1"/>
  <c r="B578" i="1"/>
  <c r="D578" i="14" s="1"/>
  <c r="I578" i="1"/>
  <c r="B579" i="1"/>
  <c r="D579" i="14" s="1"/>
  <c r="I579" i="1"/>
  <c r="B580" i="1"/>
  <c r="D580" i="14" s="1"/>
  <c r="I580" i="1"/>
  <c r="B581" i="1"/>
  <c r="D581" i="14" s="1"/>
  <c r="I581" i="1"/>
  <c r="B582" i="1"/>
  <c r="D582" i="14" s="1"/>
  <c r="I582" i="1"/>
  <c r="B583" i="1"/>
  <c r="D583" i="14" s="1"/>
  <c r="I583" i="1"/>
  <c r="B584" i="1"/>
  <c r="D584" i="14" s="1"/>
  <c r="I584" i="1"/>
  <c r="B585" i="1"/>
  <c r="D585" i="14" s="1"/>
  <c r="I585" i="1"/>
  <c r="B586" i="1"/>
  <c r="D586" i="14" s="1"/>
  <c r="I586" i="1"/>
  <c r="B587" i="1"/>
  <c r="D587" i="14" s="1"/>
  <c r="I587" i="1"/>
  <c r="B588" i="1"/>
  <c r="D588" i="14" s="1"/>
  <c r="I588" i="1"/>
  <c r="B589" i="1"/>
  <c r="D589" i="14" s="1"/>
  <c r="I589" i="1"/>
  <c r="B590" i="1"/>
  <c r="D590" i="14" s="1"/>
  <c r="I590" i="1"/>
  <c r="B591" i="1"/>
  <c r="D591" i="14" s="1"/>
  <c r="I591" i="1"/>
  <c r="B592" i="1"/>
  <c r="D592" i="14" s="1"/>
  <c r="I592" i="1"/>
  <c r="B593" i="1"/>
  <c r="D593" i="14" s="1"/>
  <c r="I593" i="1"/>
  <c r="B594" i="1"/>
  <c r="D594" i="14" s="1"/>
  <c r="I594" i="1"/>
  <c r="B595" i="1"/>
  <c r="D595" i="14" s="1"/>
  <c r="I595" i="1"/>
  <c r="B596" i="1"/>
  <c r="D596" i="14" s="1"/>
  <c r="I596" i="1"/>
  <c r="B597" i="1"/>
  <c r="D597" i="14" s="1"/>
  <c r="I597" i="1"/>
  <c r="B598" i="1"/>
  <c r="D598" i="14" s="1"/>
  <c r="I598" i="1"/>
  <c r="B599" i="1"/>
  <c r="D599" i="14" s="1"/>
  <c r="I599" i="1"/>
  <c r="B600" i="1"/>
  <c r="D600" i="14" s="1"/>
  <c r="I600" i="1"/>
  <c r="B601" i="1"/>
  <c r="D601" i="14" s="1"/>
  <c r="I601" i="1"/>
  <c r="B602" i="1"/>
  <c r="D602" i="14" s="1"/>
  <c r="I602" i="1"/>
  <c r="B603" i="1"/>
  <c r="D603" i="14" s="1"/>
  <c r="I603" i="1"/>
  <c r="B604" i="1"/>
  <c r="D604" i="14" s="1"/>
  <c r="I604" i="1"/>
  <c r="B605" i="1"/>
  <c r="D605" i="14" s="1"/>
  <c r="I605" i="1"/>
  <c r="B606" i="1"/>
  <c r="D606" i="14" s="1"/>
  <c r="I606" i="1"/>
  <c r="B607" i="1"/>
  <c r="D607" i="14" s="1"/>
  <c r="I607" i="1"/>
  <c r="B608" i="1"/>
  <c r="D608" i="14" s="1"/>
  <c r="I608" i="1"/>
  <c r="B609" i="1"/>
  <c r="D609" i="14" s="1"/>
  <c r="I609" i="1"/>
  <c r="B610" i="1"/>
  <c r="D610" i="14" s="1"/>
  <c r="I610" i="1"/>
  <c r="B611" i="1"/>
  <c r="D611" i="14" s="1"/>
  <c r="I611" i="1"/>
  <c r="B612" i="1"/>
  <c r="D612" i="14" s="1"/>
  <c r="I612" i="1"/>
  <c r="B613" i="1"/>
  <c r="D613" i="14" s="1"/>
  <c r="I613" i="1"/>
  <c r="B614" i="1"/>
  <c r="D614" i="14" s="1"/>
  <c r="I614" i="1"/>
  <c r="B615" i="1"/>
  <c r="D615" i="14" s="1"/>
  <c r="I615" i="1"/>
  <c r="B616" i="1"/>
  <c r="D616" i="14" s="1"/>
  <c r="I616" i="1"/>
  <c r="B617" i="1"/>
  <c r="D617" i="14" s="1"/>
  <c r="I617" i="1"/>
  <c r="B618" i="1"/>
  <c r="D618" i="14" s="1"/>
  <c r="I618" i="1"/>
  <c r="B619" i="1"/>
  <c r="D619" i="14" s="1"/>
  <c r="I619" i="1"/>
  <c r="B620" i="1"/>
  <c r="D620" i="14" s="1"/>
  <c r="I620" i="1"/>
  <c r="B621" i="1"/>
  <c r="D621" i="14" s="1"/>
  <c r="I621" i="1"/>
  <c r="B622" i="1"/>
  <c r="D622" i="14" s="1"/>
  <c r="I622" i="1"/>
  <c r="B623" i="1"/>
  <c r="D623" i="14" s="1"/>
  <c r="I623" i="1"/>
  <c r="B624" i="1"/>
  <c r="D624" i="14" s="1"/>
  <c r="I624" i="1"/>
  <c r="B625" i="1"/>
  <c r="D625" i="14" s="1"/>
  <c r="I625" i="1"/>
  <c r="B626" i="1"/>
  <c r="D626" i="14" s="1"/>
  <c r="I626" i="1"/>
  <c r="B627" i="1"/>
  <c r="D627" i="14" s="1"/>
  <c r="I627" i="1"/>
  <c r="B628" i="1"/>
  <c r="D628" i="14" s="1"/>
  <c r="I628" i="1"/>
  <c r="B629" i="1"/>
  <c r="D629" i="14" s="1"/>
  <c r="I629" i="1"/>
  <c r="B630" i="1"/>
  <c r="D630" i="14" s="1"/>
  <c r="I630" i="1"/>
  <c r="B631" i="1"/>
  <c r="D631" i="14" s="1"/>
  <c r="I631" i="1"/>
  <c r="B632" i="1"/>
  <c r="D632" i="14" s="1"/>
  <c r="I632" i="1"/>
  <c r="B633" i="1"/>
  <c r="D633" i="14" s="1"/>
  <c r="I633" i="1"/>
  <c r="B634" i="1"/>
  <c r="D634" i="14" s="1"/>
  <c r="I634" i="1"/>
  <c r="B635" i="1"/>
  <c r="D635" i="14" s="1"/>
  <c r="I635" i="1"/>
  <c r="B636" i="1"/>
  <c r="D636" i="14" s="1"/>
  <c r="I636" i="1"/>
  <c r="B637" i="1"/>
  <c r="D637" i="14" s="1"/>
  <c r="I637" i="1"/>
  <c r="B638" i="1"/>
  <c r="D638" i="14" s="1"/>
  <c r="I638" i="1"/>
  <c r="B639" i="1"/>
  <c r="D639" i="14" s="1"/>
  <c r="I639" i="1"/>
  <c r="B640" i="1"/>
  <c r="D640" i="14" s="1"/>
  <c r="I640" i="1"/>
  <c r="B641" i="1"/>
  <c r="D641" i="14" s="1"/>
  <c r="I641" i="1"/>
  <c r="B642" i="1"/>
  <c r="D642" i="14" s="1"/>
  <c r="I642" i="1"/>
  <c r="B643" i="1"/>
  <c r="D643" i="14" s="1"/>
  <c r="I643" i="1"/>
  <c r="B644" i="1"/>
  <c r="D644" i="14" s="1"/>
  <c r="I644" i="1"/>
  <c r="B645" i="1"/>
  <c r="D645" i="14" s="1"/>
  <c r="I645" i="1"/>
  <c r="B646" i="1"/>
  <c r="D646" i="14" s="1"/>
  <c r="I646" i="1"/>
  <c r="B647" i="1"/>
  <c r="D647" i="14" s="1"/>
  <c r="I647" i="1"/>
  <c r="B648" i="1"/>
  <c r="D648" i="14" s="1"/>
  <c r="I648" i="1"/>
  <c r="B649" i="1"/>
  <c r="D649" i="14" s="1"/>
  <c r="I649" i="1"/>
  <c r="B650" i="1"/>
  <c r="D650" i="14" s="1"/>
  <c r="I650" i="1"/>
  <c r="B651" i="1"/>
  <c r="D651" i="14" s="1"/>
  <c r="I651" i="1"/>
  <c r="B652" i="1"/>
  <c r="D652" i="14" s="1"/>
  <c r="I652" i="1"/>
  <c r="B653" i="1"/>
  <c r="D653" i="14" s="1"/>
  <c r="I653" i="1"/>
  <c r="B654" i="1"/>
  <c r="D654" i="14" s="1"/>
  <c r="I654" i="1"/>
  <c r="B655" i="1"/>
  <c r="D655" i="14" s="1"/>
  <c r="I655" i="1"/>
  <c r="B656" i="1"/>
  <c r="D656" i="14" s="1"/>
  <c r="I656" i="1"/>
  <c r="B657" i="1"/>
  <c r="D657" i="14" s="1"/>
  <c r="I657" i="1"/>
  <c r="B658" i="1"/>
  <c r="D658" i="14" s="1"/>
  <c r="I658" i="1"/>
  <c r="B659" i="1"/>
  <c r="D659" i="14" s="1"/>
  <c r="I659" i="1"/>
  <c r="B660" i="1"/>
  <c r="D660" i="14" s="1"/>
  <c r="I660" i="1"/>
  <c r="B661" i="1"/>
  <c r="D661" i="14" s="1"/>
  <c r="I661" i="1"/>
  <c r="B662" i="1"/>
  <c r="D662" i="14" s="1"/>
  <c r="I662" i="1"/>
  <c r="B663" i="1"/>
  <c r="D663" i="14" s="1"/>
  <c r="I663" i="1"/>
  <c r="B664" i="1"/>
  <c r="D664" i="14" s="1"/>
  <c r="I664" i="1"/>
  <c r="B665" i="1"/>
  <c r="D665" i="14" s="1"/>
  <c r="I665" i="1"/>
  <c r="B666" i="1"/>
  <c r="D666" i="14" s="1"/>
  <c r="I666" i="1"/>
  <c r="B667" i="1"/>
  <c r="D667" i="14" s="1"/>
  <c r="I667" i="1"/>
  <c r="B668" i="1"/>
  <c r="D668" i="14" s="1"/>
  <c r="I668" i="1"/>
  <c r="B669" i="1"/>
  <c r="D669" i="14" s="1"/>
  <c r="I669" i="1"/>
  <c r="B670" i="1"/>
  <c r="D670" i="14" s="1"/>
  <c r="I670" i="1"/>
  <c r="B671" i="1"/>
  <c r="D671" i="14" s="1"/>
  <c r="I671" i="1"/>
  <c r="B672" i="1"/>
  <c r="D672" i="14" s="1"/>
  <c r="I672" i="1"/>
  <c r="B673" i="1"/>
  <c r="D673" i="14" s="1"/>
  <c r="I673" i="1"/>
  <c r="B674" i="1"/>
  <c r="D674" i="14" s="1"/>
  <c r="I674" i="1"/>
  <c r="B675" i="1"/>
  <c r="D675" i="14" s="1"/>
  <c r="I675" i="1"/>
  <c r="B676" i="1"/>
  <c r="D676" i="14" s="1"/>
  <c r="I676" i="1"/>
  <c r="B677" i="1"/>
  <c r="D677" i="14" s="1"/>
  <c r="I677" i="1"/>
  <c r="B678" i="1"/>
  <c r="D678" i="14" s="1"/>
  <c r="I678" i="1"/>
  <c r="B679" i="1"/>
  <c r="D679" i="14" s="1"/>
  <c r="I679" i="1"/>
  <c r="B680" i="1"/>
  <c r="D680" i="14" s="1"/>
  <c r="I680" i="1"/>
  <c r="B681" i="1"/>
  <c r="D681" i="14" s="1"/>
  <c r="I681" i="1"/>
  <c r="B682" i="1"/>
  <c r="D682" i="14" s="1"/>
  <c r="I682" i="1"/>
  <c r="B683" i="1"/>
  <c r="D683" i="14" s="1"/>
  <c r="I683" i="1"/>
  <c r="B684" i="1"/>
  <c r="D684" i="14" s="1"/>
  <c r="I684" i="1"/>
  <c r="B685" i="1"/>
  <c r="D685" i="14" s="1"/>
  <c r="I685" i="1"/>
  <c r="B686" i="1"/>
  <c r="D686" i="14" s="1"/>
  <c r="I686" i="1"/>
  <c r="B687" i="1"/>
  <c r="D687" i="14" s="1"/>
  <c r="I687" i="1"/>
  <c r="B688" i="1"/>
  <c r="D688" i="14" s="1"/>
  <c r="I688" i="1"/>
  <c r="B689" i="1"/>
  <c r="D689" i="14" s="1"/>
  <c r="I689" i="1"/>
  <c r="B690" i="1"/>
  <c r="D690" i="14" s="1"/>
  <c r="I690" i="1"/>
  <c r="B691" i="1"/>
  <c r="D691" i="14" s="1"/>
  <c r="I691" i="1"/>
  <c r="B692" i="1"/>
  <c r="D692" i="14" s="1"/>
  <c r="I692" i="1"/>
  <c r="B693" i="1"/>
  <c r="D693" i="14" s="1"/>
  <c r="I693" i="1"/>
  <c r="B694" i="1"/>
  <c r="D694" i="14" s="1"/>
  <c r="I694" i="1"/>
  <c r="B695" i="1"/>
  <c r="D695" i="14" s="1"/>
  <c r="I695" i="1"/>
  <c r="B696" i="1"/>
  <c r="D696" i="14" s="1"/>
  <c r="I696" i="1"/>
  <c r="B697" i="1"/>
  <c r="D697" i="14" s="1"/>
  <c r="I697" i="1"/>
  <c r="B698" i="1"/>
  <c r="D698" i="14" s="1"/>
  <c r="I698" i="1"/>
  <c r="B699" i="1"/>
  <c r="D699" i="14" s="1"/>
  <c r="I699" i="1"/>
  <c r="B700" i="1"/>
  <c r="D700" i="14" s="1"/>
  <c r="I700" i="1"/>
  <c r="B701" i="1"/>
  <c r="D701" i="14" s="1"/>
  <c r="I701" i="1"/>
  <c r="B702" i="1"/>
  <c r="D702" i="14" s="1"/>
  <c r="I702" i="1"/>
  <c r="B703" i="1"/>
  <c r="D703" i="14" s="1"/>
  <c r="I703" i="1"/>
  <c r="B704" i="1"/>
  <c r="D704" i="14" s="1"/>
  <c r="I704" i="1"/>
  <c r="B705" i="1"/>
  <c r="D705" i="14" s="1"/>
  <c r="I705" i="1"/>
  <c r="B706" i="1"/>
  <c r="D706" i="14" s="1"/>
  <c r="I706" i="1"/>
  <c r="B707" i="1"/>
  <c r="D707" i="14" s="1"/>
  <c r="I707" i="1"/>
  <c r="B708" i="1"/>
  <c r="D708" i="14" s="1"/>
  <c r="I708" i="1"/>
  <c r="B709" i="1"/>
  <c r="D709" i="14" s="1"/>
  <c r="I709" i="1"/>
  <c r="B710" i="1"/>
  <c r="D710" i="14" s="1"/>
  <c r="I710" i="1"/>
  <c r="B711" i="1"/>
  <c r="D711" i="14" s="1"/>
  <c r="I711" i="1"/>
  <c r="B712" i="1"/>
  <c r="D712" i="14" s="1"/>
  <c r="I712" i="1"/>
  <c r="B713" i="1"/>
  <c r="D713" i="14" s="1"/>
  <c r="I713" i="1"/>
  <c r="B714" i="1"/>
  <c r="D714" i="14" s="1"/>
  <c r="I714" i="1"/>
  <c r="B715" i="1"/>
  <c r="D715" i="14" s="1"/>
  <c r="I715" i="1"/>
  <c r="B716" i="1"/>
  <c r="D716" i="14" s="1"/>
  <c r="I716" i="1"/>
  <c r="B717" i="1"/>
  <c r="D717" i="14" s="1"/>
  <c r="I717" i="1"/>
  <c r="B718" i="1"/>
  <c r="D718" i="14" s="1"/>
  <c r="I718" i="1"/>
  <c r="B719" i="1"/>
  <c r="D719" i="14" s="1"/>
  <c r="I719" i="1"/>
  <c r="B720" i="1"/>
  <c r="D720" i="14" s="1"/>
  <c r="I720" i="1"/>
  <c r="B721" i="1"/>
  <c r="D721" i="14" s="1"/>
  <c r="I721" i="1"/>
  <c r="B722" i="1"/>
  <c r="D722" i="14" s="1"/>
  <c r="I722" i="1"/>
  <c r="B723" i="1"/>
  <c r="D723" i="14" s="1"/>
  <c r="I723" i="1"/>
  <c r="B724" i="1"/>
  <c r="D724" i="14" s="1"/>
  <c r="I724" i="1"/>
  <c r="B725" i="1"/>
  <c r="D725" i="14" s="1"/>
  <c r="I725" i="1"/>
  <c r="B726" i="1"/>
  <c r="D726" i="14" s="1"/>
  <c r="I726" i="1"/>
  <c r="B727" i="1"/>
  <c r="D727" i="14" s="1"/>
  <c r="I727" i="1"/>
  <c r="B728" i="1"/>
  <c r="D728" i="14" s="1"/>
  <c r="I728" i="1"/>
  <c r="B729" i="1"/>
  <c r="D729" i="14" s="1"/>
  <c r="I729" i="1"/>
  <c r="B730" i="1"/>
  <c r="D730" i="14" s="1"/>
  <c r="I730" i="1"/>
  <c r="B731" i="1"/>
  <c r="D731" i="14" s="1"/>
  <c r="I731" i="1"/>
  <c r="B732" i="1"/>
  <c r="D732" i="14" s="1"/>
  <c r="I732" i="1"/>
  <c r="B733" i="1"/>
  <c r="D733" i="14" s="1"/>
  <c r="I733" i="1"/>
  <c r="B734" i="1"/>
  <c r="D734" i="14" s="1"/>
  <c r="I734" i="1"/>
  <c r="B735" i="1"/>
  <c r="D735" i="14" s="1"/>
  <c r="I735" i="1"/>
  <c r="B736" i="1"/>
  <c r="D736" i="14" s="1"/>
  <c r="I736" i="1"/>
  <c r="B737" i="1"/>
  <c r="D737" i="14" s="1"/>
  <c r="I737" i="1"/>
  <c r="B738" i="1"/>
  <c r="D738" i="14" s="1"/>
  <c r="I738" i="1"/>
  <c r="B739" i="1"/>
  <c r="D739" i="14" s="1"/>
  <c r="I739" i="1"/>
  <c r="B740" i="1"/>
  <c r="D740" i="14" s="1"/>
  <c r="I740" i="1"/>
  <c r="B741" i="1"/>
  <c r="D741" i="14" s="1"/>
  <c r="I741" i="1"/>
  <c r="B742" i="1"/>
  <c r="D742" i="14" s="1"/>
  <c r="I742" i="1"/>
  <c r="B743" i="1"/>
  <c r="D743" i="14" s="1"/>
  <c r="I743" i="1"/>
  <c r="B744" i="1"/>
  <c r="D744" i="14" s="1"/>
  <c r="I744" i="1"/>
  <c r="B745" i="1"/>
  <c r="D745" i="14" s="1"/>
  <c r="I745" i="1"/>
  <c r="B746" i="1"/>
  <c r="D746" i="14" s="1"/>
  <c r="I746" i="1"/>
  <c r="B747" i="1"/>
  <c r="D747" i="14" s="1"/>
  <c r="I747" i="1"/>
  <c r="B748" i="1"/>
  <c r="D748" i="14" s="1"/>
  <c r="I748" i="1"/>
  <c r="B749" i="1"/>
  <c r="D749" i="14" s="1"/>
  <c r="I749" i="1"/>
  <c r="B750" i="1"/>
  <c r="D750" i="14" s="1"/>
  <c r="I750" i="1"/>
  <c r="B751" i="1"/>
  <c r="D751" i="14" s="1"/>
  <c r="I751" i="1"/>
  <c r="B752" i="1"/>
  <c r="D752" i="14" s="1"/>
  <c r="I752" i="1"/>
  <c r="B753" i="1"/>
  <c r="D753" i="14" s="1"/>
  <c r="I753" i="1"/>
  <c r="B754" i="1"/>
  <c r="D754" i="14" s="1"/>
  <c r="I754" i="1"/>
  <c r="B755" i="1"/>
  <c r="D755" i="14" s="1"/>
  <c r="I755" i="1"/>
  <c r="B756" i="1"/>
  <c r="D756" i="14" s="1"/>
  <c r="I756" i="1"/>
  <c r="B757" i="1"/>
  <c r="D757" i="14" s="1"/>
  <c r="I757" i="1"/>
  <c r="B758" i="1"/>
  <c r="D758" i="14" s="1"/>
  <c r="I758" i="1"/>
  <c r="B759" i="1"/>
  <c r="D759" i="14" s="1"/>
  <c r="I759" i="1"/>
  <c r="B760" i="1"/>
  <c r="D760" i="14" s="1"/>
  <c r="I760" i="1"/>
  <c r="B761" i="1"/>
  <c r="D761" i="14" s="1"/>
  <c r="I761" i="1"/>
  <c r="B762" i="1"/>
  <c r="D762" i="14" s="1"/>
  <c r="I762" i="1"/>
  <c r="B763" i="1"/>
  <c r="D763" i="14" s="1"/>
  <c r="I763" i="1"/>
  <c r="B764" i="1"/>
  <c r="D764" i="14" s="1"/>
  <c r="I764" i="1"/>
  <c r="B765" i="1"/>
  <c r="D765" i="14" s="1"/>
  <c r="I765" i="1"/>
  <c r="B766" i="1"/>
  <c r="D766" i="14" s="1"/>
  <c r="I766" i="1"/>
  <c r="B767" i="1"/>
  <c r="D767" i="14" s="1"/>
  <c r="I767" i="1"/>
  <c r="B768" i="1"/>
  <c r="D768" i="14" s="1"/>
  <c r="I768" i="1"/>
  <c r="B769" i="1"/>
  <c r="D769" i="14" s="1"/>
  <c r="I769" i="1"/>
  <c r="B770" i="1"/>
  <c r="D770" i="14" s="1"/>
  <c r="I770" i="1"/>
  <c r="B771" i="1"/>
  <c r="D771" i="14" s="1"/>
  <c r="I771" i="1"/>
  <c r="B772" i="1"/>
  <c r="D772" i="14" s="1"/>
  <c r="I772" i="1"/>
  <c r="B773" i="1"/>
  <c r="D773" i="14" s="1"/>
  <c r="I773" i="1"/>
  <c r="B774" i="1"/>
  <c r="D774" i="14" s="1"/>
  <c r="I774" i="1"/>
  <c r="B775" i="1"/>
  <c r="D775" i="14" s="1"/>
  <c r="I775" i="1"/>
  <c r="B776" i="1"/>
  <c r="D776" i="14" s="1"/>
  <c r="I776" i="1"/>
  <c r="B777" i="1"/>
  <c r="D777" i="14" s="1"/>
  <c r="I777" i="1"/>
  <c r="B778" i="1"/>
  <c r="D778" i="14" s="1"/>
  <c r="I778" i="1"/>
  <c r="B779" i="1"/>
  <c r="D779" i="14" s="1"/>
  <c r="I779" i="1"/>
  <c r="B780" i="1"/>
  <c r="D780" i="14" s="1"/>
  <c r="I780" i="1"/>
  <c r="B781" i="1"/>
  <c r="D781" i="14" s="1"/>
  <c r="I781" i="1"/>
  <c r="B782" i="1"/>
  <c r="D782" i="14" s="1"/>
  <c r="I782" i="1"/>
  <c r="B783" i="1"/>
  <c r="D783" i="14" s="1"/>
  <c r="I783" i="1"/>
  <c r="B784" i="1"/>
  <c r="D784" i="14" s="1"/>
  <c r="I784" i="1"/>
  <c r="B785" i="1"/>
  <c r="D785" i="14" s="1"/>
  <c r="I785" i="1"/>
  <c r="B786" i="1"/>
  <c r="D786" i="14" s="1"/>
  <c r="I786" i="1"/>
  <c r="B787" i="1"/>
  <c r="D787" i="14" s="1"/>
  <c r="I787" i="1"/>
  <c r="B788" i="1"/>
  <c r="D788" i="14" s="1"/>
  <c r="I788" i="1"/>
  <c r="B789" i="1"/>
  <c r="D789" i="14" s="1"/>
  <c r="I789" i="1"/>
  <c r="B790" i="1"/>
  <c r="D790" i="14" s="1"/>
  <c r="I790" i="1"/>
  <c r="B791" i="1"/>
  <c r="D791" i="14" s="1"/>
  <c r="I791" i="1"/>
  <c r="B792" i="1"/>
  <c r="D792" i="14" s="1"/>
  <c r="I792" i="1"/>
  <c r="B793" i="1"/>
  <c r="D793" i="14" s="1"/>
  <c r="I793" i="1"/>
  <c r="B794" i="1"/>
  <c r="D794" i="14" s="1"/>
  <c r="I794" i="1"/>
  <c r="B795" i="1"/>
  <c r="D795" i="14" s="1"/>
  <c r="I795" i="1"/>
  <c r="B796" i="1"/>
  <c r="D796" i="14" s="1"/>
  <c r="I796" i="1"/>
  <c r="B797" i="1"/>
  <c r="D797" i="14" s="1"/>
  <c r="I797" i="1"/>
  <c r="B798" i="1"/>
  <c r="D798" i="14" s="1"/>
  <c r="I798" i="1"/>
  <c r="B799" i="1"/>
  <c r="D799" i="14" s="1"/>
  <c r="I799" i="1"/>
  <c r="B800" i="1"/>
  <c r="D800" i="14" s="1"/>
  <c r="I800" i="1"/>
  <c r="B801" i="1"/>
  <c r="D801" i="14" s="1"/>
  <c r="I801" i="1"/>
  <c r="B802" i="1"/>
  <c r="D802" i="14" s="1"/>
  <c r="I802" i="1"/>
  <c r="B803" i="1"/>
  <c r="D803" i="14" s="1"/>
  <c r="I803" i="1"/>
  <c r="B804" i="1"/>
  <c r="D804" i="14" s="1"/>
  <c r="I804" i="1"/>
  <c r="B805" i="1"/>
  <c r="D805" i="14" s="1"/>
  <c r="I805" i="1"/>
  <c r="B806" i="1"/>
  <c r="D806" i="14" s="1"/>
  <c r="I806" i="1"/>
  <c r="B807" i="1"/>
  <c r="D807" i="14" s="1"/>
  <c r="I807" i="1"/>
  <c r="B808" i="1"/>
  <c r="D808" i="14" s="1"/>
  <c r="I808" i="1"/>
  <c r="B809" i="1"/>
  <c r="D809" i="14" s="1"/>
  <c r="I809" i="1"/>
  <c r="B810" i="1"/>
  <c r="D810" i="14" s="1"/>
  <c r="I810" i="1"/>
  <c r="B811" i="1"/>
  <c r="D811" i="14" s="1"/>
  <c r="I811" i="1"/>
  <c r="B812" i="1"/>
  <c r="D812" i="14" s="1"/>
  <c r="I812" i="1"/>
  <c r="B813" i="1"/>
  <c r="D813" i="14" s="1"/>
  <c r="I813" i="1"/>
  <c r="B814" i="1"/>
  <c r="D814" i="14" s="1"/>
  <c r="I814" i="1"/>
  <c r="B815" i="1"/>
  <c r="D815" i="14" s="1"/>
  <c r="I815" i="1"/>
  <c r="B816" i="1"/>
  <c r="D816" i="14" s="1"/>
  <c r="I816" i="1"/>
  <c r="B817" i="1"/>
  <c r="D817" i="14" s="1"/>
  <c r="I817" i="1"/>
  <c r="B818" i="1"/>
  <c r="D818" i="14" s="1"/>
  <c r="I818" i="1"/>
  <c r="B819" i="1"/>
  <c r="D819" i="14" s="1"/>
  <c r="I819" i="1"/>
  <c r="B820" i="1"/>
  <c r="D820" i="14" s="1"/>
  <c r="I820" i="1"/>
  <c r="B821" i="1"/>
  <c r="D821" i="14" s="1"/>
  <c r="I821" i="1"/>
  <c r="B822" i="1"/>
  <c r="D822" i="14" s="1"/>
  <c r="I822" i="1"/>
  <c r="B823" i="1"/>
  <c r="D823" i="14" s="1"/>
  <c r="I823" i="1"/>
  <c r="B824" i="1"/>
  <c r="D824" i="14" s="1"/>
  <c r="I824" i="1"/>
  <c r="B825" i="1"/>
  <c r="D825" i="14" s="1"/>
  <c r="I825" i="1"/>
  <c r="B826" i="1"/>
  <c r="D826" i="14" s="1"/>
  <c r="I826" i="1"/>
  <c r="B827" i="1"/>
  <c r="D827" i="14" s="1"/>
  <c r="I827" i="1"/>
  <c r="B828" i="1"/>
  <c r="D828" i="14" s="1"/>
  <c r="I828" i="1"/>
  <c r="B829" i="1"/>
  <c r="D829" i="14" s="1"/>
  <c r="I829" i="1"/>
  <c r="B830" i="1"/>
  <c r="D830" i="14" s="1"/>
  <c r="I830" i="1"/>
  <c r="B831" i="1"/>
  <c r="D831" i="14" s="1"/>
  <c r="I831" i="1"/>
  <c r="B832" i="1"/>
  <c r="D832" i="14" s="1"/>
  <c r="I832" i="1"/>
  <c r="B833" i="1"/>
  <c r="D833" i="14" s="1"/>
  <c r="I833" i="1"/>
  <c r="B834" i="1"/>
  <c r="D834" i="14" s="1"/>
  <c r="I834" i="1"/>
  <c r="B835" i="1"/>
  <c r="D835" i="14" s="1"/>
  <c r="I835" i="1"/>
  <c r="B836" i="1"/>
  <c r="D836" i="14" s="1"/>
  <c r="I836" i="1"/>
  <c r="B837" i="1"/>
  <c r="D837" i="14" s="1"/>
  <c r="I837" i="1"/>
  <c r="B838" i="1"/>
  <c r="D838" i="14" s="1"/>
  <c r="I838" i="1"/>
  <c r="B839" i="1"/>
  <c r="D839" i="14" s="1"/>
  <c r="I839" i="1"/>
  <c r="B840" i="1"/>
  <c r="D840" i="14" s="1"/>
  <c r="I840" i="1"/>
  <c r="B841" i="1"/>
  <c r="D841" i="14" s="1"/>
  <c r="I841" i="1"/>
  <c r="B842" i="1"/>
  <c r="D842" i="14" s="1"/>
  <c r="I842" i="1"/>
  <c r="B843" i="1"/>
  <c r="D843" i="14" s="1"/>
  <c r="I843" i="1"/>
  <c r="B844" i="1"/>
  <c r="D844" i="14" s="1"/>
  <c r="I844" i="1"/>
  <c r="B845" i="1"/>
  <c r="D845" i="14" s="1"/>
  <c r="I845" i="1"/>
  <c r="B846" i="1"/>
  <c r="D846" i="14" s="1"/>
  <c r="I846" i="1"/>
  <c r="B847" i="1"/>
  <c r="D847" i="14" s="1"/>
  <c r="I847" i="1"/>
  <c r="B848" i="1"/>
  <c r="D848" i="14" s="1"/>
  <c r="I848" i="1"/>
  <c r="B849" i="1"/>
  <c r="D849" i="14" s="1"/>
  <c r="I849" i="1"/>
  <c r="B850" i="1"/>
  <c r="D850" i="14" s="1"/>
  <c r="I850" i="1"/>
  <c r="B851" i="1"/>
  <c r="D851" i="14" s="1"/>
  <c r="I851" i="1"/>
  <c r="B852" i="1"/>
  <c r="D852" i="14" s="1"/>
  <c r="I852" i="1"/>
  <c r="B853" i="1"/>
  <c r="D853" i="14" s="1"/>
  <c r="I853" i="1"/>
  <c r="B854" i="1"/>
  <c r="D854" i="14" s="1"/>
  <c r="I854" i="1"/>
  <c r="B855" i="1"/>
  <c r="D855" i="14" s="1"/>
  <c r="I855" i="1"/>
  <c r="B856" i="1"/>
  <c r="D856" i="14" s="1"/>
  <c r="I856" i="1"/>
  <c r="B857" i="1"/>
  <c r="D857" i="14" s="1"/>
  <c r="I857" i="1"/>
  <c r="B858" i="1"/>
  <c r="D858" i="14" s="1"/>
  <c r="I858" i="1"/>
  <c r="B859" i="1"/>
  <c r="D859" i="14" s="1"/>
  <c r="I859" i="1"/>
  <c r="B860" i="1"/>
  <c r="D860" i="14" s="1"/>
  <c r="I860" i="1"/>
  <c r="B861" i="1"/>
  <c r="D861" i="14" s="1"/>
  <c r="I861" i="1"/>
  <c r="B862" i="1"/>
  <c r="D862" i="14" s="1"/>
  <c r="I862" i="1"/>
  <c r="B863" i="1"/>
  <c r="D863" i="14" s="1"/>
  <c r="I863" i="1"/>
  <c r="B864" i="1"/>
  <c r="D864" i="14" s="1"/>
  <c r="I864" i="1"/>
  <c r="B865" i="1"/>
  <c r="D865" i="14" s="1"/>
  <c r="I865" i="1"/>
  <c r="B866" i="1"/>
  <c r="D866" i="14" s="1"/>
  <c r="I866" i="1"/>
  <c r="B867" i="1"/>
  <c r="D867" i="14" s="1"/>
  <c r="I867" i="1"/>
  <c r="B868" i="1"/>
  <c r="D868" i="14" s="1"/>
  <c r="I868" i="1"/>
  <c r="B869" i="1"/>
  <c r="D869" i="14" s="1"/>
  <c r="I869" i="1"/>
  <c r="B870" i="1"/>
  <c r="D870" i="14" s="1"/>
  <c r="I870" i="1"/>
  <c r="B871" i="1"/>
  <c r="D871" i="14" s="1"/>
  <c r="I871" i="1"/>
  <c r="B872" i="1"/>
  <c r="D872" i="14" s="1"/>
  <c r="I872" i="1"/>
  <c r="B873" i="1"/>
  <c r="D873" i="14" s="1"/>
  <c r="I873" i="1"/>
  <c r="B874" i="1"/>
  <c r="D874" i="14" s="1"/>
  <c r="I874" i="1"/>
  <c r="B875" i="1"/>
  <c r="D875" i="14" s="1"/>
  <c r="I875" i="1"/>
  <c r="B876" i="1"/>
  <c r="D876" i="14" s="1"/>
  <c r="I876" i="1"/>
  <c r="B877" i="1"/>
  <c r="D877" i="14" s="1"/>
  <c r="I877" i="1"/>
  <c r="B878" i="1"/>
  <c r="D878" i="14" s="1"/>
  <c r="I878" i="1"/>
  <c r="B879" i="1"/>
  <c r="D879" i="14" s="1"/>
  <c r="I879" i="1"/>
  <c r="B880" i="1"/>
  <c r="D880" i="14" s="1"/>
  <c r="I880" i="1"/>
  <c r="B881" i="1"/>
  <c r="D881" i="14" s="1"/>
  <c r="I881" i="1"/>
  <c r="B882" i="1"/>
  <c r="D882" i="14" s="1"/>
  <c r="I882" i="1"/>
  <c r="B883" i="1"/>
  <c r="D883" i="14" s="1"/>
  <c r="I883" i="1"/>
  <c r="B884" i="1"/>
  <c r="D884" i="14" s="1"/>
  <c r="I884" i="1"/>
  <c r="B885" i="1"/>
  <c r="D885" i="14" s="1"/>
  <c r="I885" i="1"/>
  <c r="B886" i="1"/>
  <c r="D886" i="14" s="1"/>
  <c r="I886" i="1"/>
  <c r="B887" i="1"/>
  <c r="D887" i="14" s="1"/>
  <c r="I887" i="1"/>
  <c r="B888" i="1"/>
  <c r="D888" i="14" s="1"/>
  <c r="I888" i="1"/>
  <c r="B889" i="1"/>
  <c r="D889" i="14" s="1"/>
  <c r="I889" i="1"/>
  <c r="B890" i="1"/>
  <c r="D890" i="14" s="1"/>
  <c r="I890" i="1"/>
  <c r="B891" i="1"/>
  <c r="D891" i="14" s="1"/>
  <c r="I891" i="1"/>
  <c r="B892" i="1"/>
  <c r="D892" i="14" s="1"/>
  <c r="I892" i="1"/>
  <c r="B893" i="1"/>
  <c r="D893" i="14" s="1"/>
  <c r="I893" i="1"/>
  <c r="B894" i="1"/>
  <c r="D894" i="14" s="1"/>
  <c r="I894" i="1"/>
  <c r="B895" i="1"/>
  <c r="D895" i="14" s="1"/>
  <c r="I895" i="1"/>
  <c r="B896" i="1"/>
  <c r="D896" i="14" s="1"/>
  <c r="I896" i="1"/>
  <c r="B897" i="1"/>
  <c r="D897" i="14" s="1"/>
  <c r="I897" i="1"/>
  <c r="B898" i="1"/>
  <c r="D898" i="14" s="1"/>
  <c r="I898" i="1"/>
  <c r="B899" i="1"/>
  <c r="D899" i="14" s="1"/>
  <c r="I899" i="1"/>
  <c r="B900" i="1"/>
  <c r="D900" i="14" s="1"/>
  <c r="I900" i="1"/>
  <c r="B901" i="1"/>
  <c r="D901" i="14" s="1"/>
  <c r="I901" i="1"/>
  <c r="B902" i="1"/>
  <c r="D902" i="14" s="1"/>
  <c r="I902" i="1"/>
  <c r="B903" i="1"/>
  <c r="D903" i="14" s="1"/>
  <c r="I903" i="1"/>
  <c r="B904" i="1"/>
  <c r="D904" i="14" s="1"/>
  <c r="I904" i="1"/>
  <c r="B905" i="1"/>
  <c r="D905" i="14" s="1"/>
  <c r="I905" i="1"/>
  <c r="B906" i="1"/>
  <c r="D906" i="14" s="1"/>
  <c r="I906" i="1"/>
  <c r="B907" i="1"/>
  <c r="D907" i="14" s="1"/>
  <c r="I907" i="1"/>
  <c r="B908" i="1"/>
  <c r="D908" i="14" s="1"/>
  <c r="I908" i="1"/>
  <c r="B909" i="1"/>
  <c r="D909" i="14" s="1"/>
  <c r="I909" i="1"/>
  <c r="B910" i="1"/>
  <c r="D910" i="14" s="1"/>
  <c r="I910" i="1"/>
  <c r="B911" i="1"/>
  <c r="D911" i="14" s="1"/>
  <c r="I911" i="1"/>
  <c r="B912" i="1"/>
  <c r="D912" i="14" s="1"/>
  <c r="I912" i="1"/>
  <c r="B913" i="1"/>
  <c r="D913" i="14" s="1"/>
  <c r="I913" i="1"/>
  <c r="B914" i="1"/>
  <c r="D914" i="14" s="1"/>
  <c r="I914" i="1"/>
  <c r="B915" i="1"/>
  <c r="D915" i="14" s="1"/>
  <c r="I915" i="1"/>
  <c r="B916" i="1"/>
  <c r="D916" i="14" s="1"/>
  <c r="I916" i="1"/>
  <c r="B917" i="1"/>
  <c r="D917" i="14" s="1"/>
  <c r="I917" i="1"/>
  <c r="B918" i="1"/>
  <c r="D918" i="14" s="1"/>
  <c r="I918" i="1"/>
  <c r="B919" i="1"/>
  <c r="D919" i="14" s="1"/>
  <c r="I919" i="1"/>
  <c r="B920" i="1"/>
  <c r="D920" i="14" s="1"/>
  <c r="I920" i="1"/>
  <c r="B921" i="1"/>
  <c r="D921" i="14" s="1"/>
  <c r="I921" i="1"/>
  <c r="B922" i="1"/>
  <c r="D922" i="14" s="1"/>
  <c r="I922" i="1"/>
  <c r="B923" i="1"/>
  <c r="D923" i="14" s="1"/>
  <c r="I923" i="1"/>
  <c r="B924" i="1"/>
  <c r="D924" i="14" s="1"/>
  <c r="I924" i="1"/>
  <c r="B925" i="1"/>
  <c r="D925" i="14" s="1"/>
  <c r="I925" i="1"/>
  <c r="B926" i="1"/>
  <c r="D926" i="14" s="1"/>
  <c r="I926" i="1"/>
  <c r="B927" i="1"/>
  <c r="D927" i="14" s="1"/>
  <c r="I927" i="1"/>
  <c r="B928" i="1"/>
  <c r="D928" i="14" s="1"/>
  <c r="I928" i="1"/>
  <c r="B929" i="1"/>
  <c r="D929" i="14" s="1"/>
  <c r="I929" i="1"/>
  <c r="B930" i="1"/>
  <c r="D930" i="14" s="1"/>
  <c r="I930" i="1"/>
  <c r="B931" i="1"/>
  <c r="D931" i="14" s="1"/>
  <c r="I931" i="1"/>
  <c r="B932" i="1"/>
  <c r="D932" i="14" s="1"/>
  <c r="I932" i="1"/>
  <c r="B933" i="1"/>
  <c r="D933" i="14" s="1"/>
  <c r="I933" i="1"/>
  <c r="B934" i="1"/>
  <c r="D934" i="14" s="1"/>
  <c r="I934" i="1"/>
  <c r="B935" i="1"/>
  <c r="D935" i="14" s="1"/>
  <c r="I935" i="1"/>
  <c r="B936" i="1"/>
  <c r="D936" i="14" s="1"/>
  <c r="I936" i="1"/>
  <c r="B937" i="1"/>
  <c r="D937" i="14" s="1"/>
  <c r="I937" i="1"/>
  <c r="B938" i="1"/>
  <c r="D938" i="14" s="1"/>
  <c r="I938" i="1"/>
  <c r="B939" i="1"/>
  <c r="D939" i="14" s="1"/>
  <c r="I939" i="1"/>
  <c r="B940" i="1"/>
  <c r="D940" i="14" s="1"/>
  <c r="I940" i="1"/>
  <c r="B941" i="1"/>
  <c r="D941" i="14" s="1"/>
  <c r="I941" i="1"/>
  <c r="B942" i="1"/>
  <c r="D942" i="14" s="1"/>
  <c r="I942" i="1"/>
  <c r="B943" i="1"/>
  <c r="D943" i="14" s="1"/>
  <c r="I943" i="1"/>
  <c r="B944" i="1"/>
  <c r="D944" i="14" s="1"/>
  <c r="I944" i="1"/>
  <c r="B945" i="1"/>
  <c r="D945" i="14" s="1"/>
  <c r="I945" i="1"/>
  <c r="B946" i="1"/>
  <c r="D946" i="14" s="1"/>
  <c r="I946" i="1"/>
  <c r="B947" i="1"/>
  <c r="D947" i="14" s="1"/>
  <c r="I947" i="1"/>
  <c r="B948" i="1"/>
  <c r="D948" i="14" s="1"/>
  <c r="I948" i="1"/>
  <c r="B949" i="1"/>
  <c r="D949" i="14" s="1"/>
  <c r="I949" i="1"/>
  <c r="B950" i="1"/>
  <c r="D950" i="14" s="1"/>
  <c r="I950" i="1"/>
  <c r="B951" i="1"/>
  <c r="D951" i="14" s="1"/>
  <c r="I951" i="1"/>
  <c r="B952" i="1"/>
  <c r="D952" i="14" s="1"/>
  <c r="I952" i="1"/>
  <c r="B953" i="1"/>
  <c r="D953" i="14" s="1"/>
  <c r="I953" i="1"/>
  <c r="B954" i="1"/>
  <c r="D954" i="14" s="1"/>
  <c r="I954" i="1"/>
  <c r="B955" i="1"/>
  <c r="D955" i="14" s="1"/>
  <c r="I955" i="1"/>
  <c r="B956" i="1"/>
  <c r="D956" i="14" s="1"/>
  <c r="I956" i="1"/>
  <c r="B957" i="1"/>
  <c r="D957" i="14" s="1"/>
  <c r="I957" i="1"/>
  <c r="B958" i="1"/>
  <c r="D958" i="14" s="1"/>
  <c r="I958" i="1"/>
  <c r="B959" i="1"/>
  <c r="D959" i="14" s="1"/>
  <c r="I959" i="1"/>
  <c r="B960" i="1"/>
  <c r="D960" i="14" s="1"/>
  <c r="I960" i="1"/>
  <c r="B961" i="1"/>
  <c r="D961" i="14" s="1"/>
  <c r="I961" i="1"/>
  <c r="B962" i="1"/>
  <c r="D962" i="14" s="1"/>
  <c r="I962" i="1"/>
  <c r="B963" i="1"/>
  <c r="D963" i="14" s="1"/>
  <c r="I963" i="1"/>
  <c r="B964" i="1"/>
  <c r="D964" i="14" s="1"/>
  <c r="I964" i="1"/>
  <c r="B965" i="1"/>
  <c r="D965" i="14" s="1"/>
  <c r="I965" i="1"/>
  <c r="B966" i="1"/>
  <c r="D966" i="14" s="1"/>
  <c r="I966" i="1"/>
  <c r="B967" i="1"/>
  <c r="D967" i="14" s="1"/>
  <c r="I967" i="1"/>
  <c r="B968" i="1"/>
  <c r="D968" i="14" s="1"/>
  <c r="I968" i="1"/>
  <c r="B969" i="1"/>
  <c r="D969" i="14" s="1"/>
  <c r="I969" i="1"/>
  <c r="B970" i="1"/>
  <c r="D970" i="14" s="1"/>
  <c r="I970" i="1"/>
  <c r="B971" i="1"/>
  <c r="D971" i="14" s="1"/>
  <c r="I971" i="1"/>
  <c r="B972" i="1"/>
  <c r="D972" i="14" s="1"/>
  <c r="I972" i="1"/>
  <c r="B973" i="1"/>
  <c r="D973" i="14" s="1"/>
  <c r="I973" i="1"/>
  <c r="B974" i="1"/>
  <c r="D974" i="14" s="1"/>
  <c r="I974" i="1"/>
  <c r="B975" i="1"/>
  <c r="D975" i="14" s="1"/>
  <c r="I975" i="1"/>
  <c r="B976" i="1"/>
  <c r="D976" i="14" s="1"/>
  <c r="I976" i="1"/>
  <c r="B977" i="1"/>
  <c r="D977" i="14" s="1"/>
  <c r="I977" i="1"/>
  <c r="B978" i="1"/>
  <c r="D978" i="14" s="1"/>
  <c r="I978" i="1"/>
  <c r="B979" i="1"/>
  <c r="D979" i="14" s="1"/>
  <c r="I979" i="1"/>
  <c r="B980" i="1"/>
  <c r="D980" i="14" s="1"/>
  <c r="I980" i="1"/>
  <c r="B981" i="1"/>
  <c r="D981" i="14" s="1"/>
  <c r="I981" i="1"/>
  <c r="B982" i="1"/>
  <c r="D982" i="14" s="1"/>
  <c r="I982" i="1"/>
  <c r="B983" i="1"/>
  <c r="D983" i="14" s="1"/>
  <c r="I983" i="1"/>
  <c r="B984" i="1"/>
  <c r="D984" i="14" s="1"/>
  <c r="I984" i="1"/>
  <c r="B985" i="1"/>
  <c r="D985" i="14" s="1"/>
  <c r="I985" i="1"/>
  <c r="B986" i="1"/>
  <c r="D986" i="14" s="1"/>
  <c r="I986" i="1"/>
  <c r="B987" i="1"/>
  <c r="D987" i="14" s="1"/>
  <c r="I987" i="1"/>
  <c r="B988" i="1"/>
  <c r="D988" i="14" s="1"/>
  <c r="I988" i="1"/>
  <c r="B989" i="1"/>
  <c r="D989" i="14" s="1"/>
  <c r="I989" i="1"/>
  <c r="B990" i="1"/>
  <c r="D990" i="14" s="1"/>
  <c r="I990" i="1"/>
  <c r="B991" i="1"/>
  <c r="D991" i="14" s="1"/>
  <c r="I991" i="1"/>
  <c r="B992" i="1"/>
  <c r="D992" i="14" s="1"/>
  <c r="I992" i="1"/>
  <c r="B993" i="1"/>
  <c r="D993" i="14" s="1"/>
  <c r="I993" i="1"/>
  <c r="B994" i="1"/>
  <c r="D994" i="14" s="1"/>
  <c r="I994" i="1"/>
  <c r="B995" i="1"/>
  <c r="D995" i="14" s="1"/>
  <c r="I995" i="1"/>
  <c r="B996" i="1"/>
  <c r="D996" i="14" s="1"/>
  <c r="I996" i="1"/>
  <c r="B997" i="1"/>
  <c r="D997" i="14" s="1"/>
  <c r="I997" i="1"/>
  <c r="B998" i="1"/>
  <c r="D998" i="14" s="1"/>
  <c r="I998" i="1"/>
  <c r="B999" i="1"/>
  <c r="D999" i="14" s="1"/>
  <c r="I999" i="1"/>
  <c r="B1000" i="1"/>
  <c r="D1000" i="14" s="1"/>
  <c r="I1000" i="1"/>
  <c r="B1001" i="1"/>
  <c r="D1001" i="14" s="1"/>
  <c r="I1001" i="1"/>
  <c r="B1002" i="1"/>
  <c r="D1002" i="14" s="1"/>
  <c r="I1002" i="1"/>
  <c r="B1003" i="1"/>
  <c r="D1003" i="14" s="1"/>
  <c r="I1003" i="1"/>
  <c r="B1004" i="1"/>
  <c r="D1004" i="14" s="1"/>
  <c r="I1004" i="1"/>
  <c r="B1005" i="1"/>
  <c r="D1005" i="14" s="1"/>
  <c r="I1005" i="1"/>
  <c r="B1006" i="1"/>
  <c r="D1006" i="14" s="1"/>
  <c r="I1006" i="1"/>
  <c r="B1007" i="1"/>
  <c r="D1007" i="14" s="1"/>
  <c r="I1007" i="1"/>
  <c r="B1008" i="1"/>
  <c r="D1008" i="14" s="1"/>
  <c r="I1008" i="1"/>
  <c r="B1009" i="1"/>
  <c r="D1009" i="14" s="1"/>
  <c r="I1009" i="1"/>
  <c r="B1010" i="1"/>
  <c r="D1010" i="14" s="1"/>
  <c r="I1010" i="1"/>
  <c r="B1011" i="1"/>
  <c r="D1011" i="14" s="1"/>
  <c r="I1011" i="1"/>
  <c r="B1012" i="1"/>
  <c r="D1012" i="14" s="1"/>
  <c r="I1012" i="1"/>
  <c r="B1013" i="1"/>
  <c r="D1013" i="14" s="1"/>
  <c r="I1013" i="1"/>
  <c r="B1014" i="1"/>
  <c r="D1014" i="14" s="1"/>
  <c r="I1014" i="1"/>
  <c r="B1015" i="1"/>
  <c r="D1015" i="14" s="1"/>
  <c r="I1015" i="1"/>
  <c r="B1016" i="1"/>
  <c r="D1016" i="14" s="1"/>
  <c r="I1016" i="1"/>
  <c r="B1017" i="1"/>
  <c r="D1017" i="14" s="1"/>
  <c r="I1017" i="1"/>
  <c r="B1018" i="1"/>
  <c r="D1018" i="14" s="1"/>
  <c r="I1018" i="1"/>
  <c r="B1019" i="1"/>
  <c r="D1019" i="14" s="1"/>
  <c r="I1019" i="1"/>
  <c r="B1020" i="1"/>
  <c r="D1020" i="14" s="1"/>
  <c r="I1020" i="1"/>
  <c r="B1021" i="1"/>
  <c r="D1021" i="14" s="1"/>
  <c r="I1021" i="1"/>
  <c r="B1022" i="1"/>
  <c r="D1022" i="14" s="1"/>
  <c r="I1022" i="1"/>
  <c r="B1023" i="1"/>
  <c r="D1023" i="14" s="1"/>
  <c r="I1023" i="1"/>
  <c r="B1024" i="1"/>
  <c r="D1024" i="14" s="1"/>
  <c r="I1024" i="1"/>
  <c r="B1025" i="1"/>
  <c r="D1025" i="14" s="1"/>
  <c r="I1025" i="1"/>
  <c r="B1026" i="1"/>
  <c r="D1026" i="14" s="1"/>
  <c r="I1026" i="1"/>
  <c r="B1027" i="1"/>
  <c r="D1027" i="14" s="1"/>
  <c r="I1027" i="1"/>
  <c r="B1028" i="1"/>
  <c r="D1028" i="14" s="1"/>
  <c r="I1028" i="1"/>
  <c r="B1029" i="1"/>
  <c r="D1029" i="14" s="1"/>
  <c r="I1029" i="1"/>
  <c r="B1030" i="1"/>
  <c r="D1030" i="14" s="1"/>
  <c r="I1030" i="1"/>
  <c r="B1031" i="1"/>
  <c r="D1031" i="14" s="1"/>
  <c r="I1031" i="1"/>
  <c r="B1032" i="1"/>
  <c r="D1032" i="14" s="1"/>
  <c r="I1032" i="1"/>
  <c r="B1033" i="1"/>
  <c r="D1033" i="14" s="1"/>
  <c r="I1033" i="1"/>
  <c r="B1034" i="1"/>
  <c r="D1034" i="14" s="1"/>
  <c r="I1034" i="1"/>
  <c r="B1035" i="1"/>
  <c r="D1035" i="14" s="1"/>
  <c r="I1035" i="1"/>
  <c r="B1036" i="1"/>
  <c r="D1036" i="14" s="1"/>
  <c r="I1036" i="1"/>
  <c r="B1037" i="1"/>
  <c r="D1037" i="14" s="1"/>
  <c r="I1037" i="1"/>
  <c r="B1038" i="1"/>
  <c r="D1038" i="14" s="1"/>
  <c r="I1038" i="1"/>
  <c r="B1039" i="1"/>
  <c r="D1039" i="14" s="1"/>
  <c r="I1039" i="1"/>
  <c r="B1040" i="1"/>
  <c r="D1040" i="14" s="1"/>
  <c r="I1040" i="1"/>
  <c r="B1041" i="1"/>
  <c r="D1041" i="14" s="1"/>
  <c r="I1041" i="1"/>
  <c r="B1042" i="1"/>
  <c r="D1042" i="14" s="1"/>
  <c r="I1042" i="1"/>
  <c r="B1043" i="1"/>
  <c r="D1043" i="14" s="1"/>
  <c r="I1043" i="1"/>
  <c r="B1044" i="1"/>
  <c r="D1044" i="14" s="1"/>
  <c r="I1044" i="1"/>
  <c r="B1045" i="1"/>
  <c r="D1045" i="14" s="1"/>
  <c r="I1045" i="1"/>
  <c r="B1046" i="1"/>
  <c r="D1046" i="14" s="1"/>
  <c r="I1046" i="1"/>
  <c r="B1047" i="1"/>
  <c r="D1047" i="14" s="1"/>
  <c r="I1047" i="1"/>
  <c r="B1048" i="1"/>
  <c r="D1048" i="14" s="1"/>
  <c r="I1048" i="1"/>
  <c r="B1049" i="1"/>
  <c r="D1049" i="14" s="1"/>
  <c r="I1049" i="1"/>
  <c r="B1050" i="1"/>
  <c r="D1050" i="14" s="1"/>
  <c r="I1050" i="1"/>
  <c r="B1051" i="1"/>
  <c r="D1051" i="14" s="1"/>
  <c r="I1051" i="1"/>
  <c r="B1052" i="1"/>
  <c r="D1052" i="14" s="1"/>
  <c r="I1052" i="1"/>
  <c r="B1053" i="1"/>
  <c r="D1053" i="14" s="1"/>
  <c r="I1053" i="1"/>
  <c r="B1054" i="1"/>
  <c r="D1054" i="14" s="1"/>
  <c r="I1054" i="1"/>
  <c r="B1055" i="1"/>
  <c r="D1055" i="14" s="1"/>
  <c r="I1055" i="1"/>
  <c r="B1056" i="1"/>
  <c r="D1056" i="14" s="1"/>
  <c r="I1056" i="1"/>
  <c r="B1057" i="1"/>
  <c r="D1057" i="14" s="1"/>
  <c r="I1057" i="1"/>
  <c r="B1058" i="1"/>
  <c r="D1058" i="14" s="1"/>
  <c r="I1058" i="1"/>
  <c r="B1059" i="1"/>
  <c r="D1059" i="14" s="1"/>
  <c r="I1059" i="1"/>
  <c r="B1060" i="1"/>
  <c r="D1060" i="14" s="1"/>
  <c r="I1060" i="1"/>
  <c r="B1061" i="1"/>
  <c r="D1061" i="14" s="1"/>
  <c r="I1061" i="1"/>
  <c r="B1062" i="1"/>
  <c r="D1062" i="14" s="1"/>
  <c r="I1062" i="1"/>
  <c r="B1063" i="1"/>
  <c r="D1063" i="14" s="1"/>
  <c r="I1063" i="1"/>
  <c r="B1064" i="1"/>
  <c r="D1064" i="14" s="1"/>
  <c r="I1064" i="1"/>
  <c r="B1065" i="1"/>
  <c r="D1065" i="14" s="1"/>
  <c r="I1065" i="1"/>
  <c r="B1066" i="1"/>
  <c r="D1066" i="14" s="1"/>
  <c r="I1066" i="1"/>
  <c r="B1067" i="1"/>
  <c r="D1067" i="14" s="1"/>
  <c r="I1067" i="1"/>
  <c r="B1068" i="1"/>
  <c r="D1068" i="14" s="1"/>
  <c r="I1068" i="1"/>
  <c r="B1069" i="1"/>
  <c r="D1069" i="14" s="1"/>
  <c r="I1069" i="1"/>
  <c r="B1070" i="1"/>
  <c r="D1070" i="14" s="1"/>
  <c r="I1070" i="1"/>
  <c r="B1071" i="1"/>
  <c r="D1071" i="14" s="1"/>
  <c r="I1071" i="1"/>
  <c r="B1072" i="1"/>
  <c r="D1072" i="14" s="1"/>
  <c r="I1072" i="1"/>
  <c r="B1073" i="1"/>
  <c r="D1073" i="14" s="1"/>
  <c r="I1073" i="1"/>
  <c r="B1074" i="1"/>
  <c r="D1074" i="14" s="1"/>
  <c r="I1074" i="1"/>
  <c r="B1075" i="1"/>
  <c r="D1075" i="14" s="1"/>
  <c r="I1075" i="1"/>
  <c r="B1076" i="1"/>
  <c r="D1076" i="14" s="1"/>
  <c r="I1076" i="1"/>
  <c r="B1077" i="1"/>
  <c r="D1077" i="14" s="1"/>
  <c r="I1077" i="1"/>
  <c r="B1078" i="1"/>
  <c r="D1078" i="14" s="1"/>
  <c r="I1078" i="1"/>
  <c r="B1079" i="1"/>
  <c r="D1079" i="14" s="1"/>
  <c r="I1079" i="1"/>
  <c r="B1080" i="1"/>
  <c r="D1080" i="14" s="1"/>
  <c r="I1080" i="1"/>
  <c r="B1081" i="1"/>
  <c r="D1081" i="14" s="1"/>
  <c r="I1081" i="1"/>
  <c r="B1082" i="1"/>
  <c r="D1082" i="14" s="1"/>
  <c r="I1082" i="1"/>
  <c r="B1083" i="1"/>
  <c r="D1083" i="14" s="1"/>
  <c r="I1083" i="1"/>
  <c r="B1084" i="1"/>
  <c r="D1084" i="14" s="1"/>
  <c r="I1084" i="1"/>
  <c r="B1085" i="1"/>
  <c r="D1085" i="14" s="1"/>
  <c r="I1085" i="1"/>
  <c r="B1086" i="1"/>
  <c r="D1086" i="14" s="1"/>
  <c r="I1086" i="1"/>
  <c r="B1087" i="1"/>
  <c r="D1087" i="14" s="1"/>
  <c r="I1087" i="1"/>
  <c r="B1088" i="1"/>
  <c r="D1088" i="14" s="1"/>
  <c r="I1088" i="1"/>
  <c r="B1089" i="1"/>
  <c r="D1089" i="14" s="1"/>
  <c r="I1089" i="1"/>
  <c r="B1090" i="1"/>
  <c r="D1090" i="14" s="1"/>
  <c r="I1090" i="1"/>
  <c r="B1091" i="1"/>
  <c r="D1091" i="14" s="1"/>
  <c r="I1091" i="1"/>
  <c r="B1092" i="1"/>
  <c r="D1092" i="14" s="1"/>
  <c r="I1092" i="1"/>
  <c r="B1093" i="1"/>
  <c r="D1093" i="14" s="1"/>
  <c r="I1093" i="1"/>
  <c r="B1094" i="1"/>
  <c r="D1094" i="14" s="1"/>
  <c r="I1094" i="1"/>
  <c r="B1095" i="1"/>
  <c r="D1095" i="14" s="1"/>
  <c r="I1095" i="1"/>
  <c r="B1096" i="1"/>
  <c r="D1096" i="14" s="1"/>
  <c r="I1096" i="1"/>
  <c r="B1097" i="1"/>
  <c r="D1097" i="14" s="1"/>
  <c r="I1097" i="1"/>
  <c r="B1098" i="1"/>
  <c r="D1098" i="14" s="1"/>
  <c r="I1098" i="1"/>
  <c r="B1099" i="1"/>
  <c r="D1099" i="14" s="1"/>
  <c r="I1099" i="1"/>
  <c r="B1100" i="1"/>
  <c r="D1100" i="14" s="1"/>
  <c r="I1100" i="1"/>
  <c r="B1101" i="1"/>
  <c r="D1101" i="14" s="1"/>
  <c r="I1101" i="1"/>
  <c r="B1102" i="1"/>
  <c r="D1102" i="14" s="1"/>
  <c r="I1102" i="1"/>
  <c r="B1103" i="1"/>
  <c r="D1103" i="14" s="1"/>
  <c r="I1103" i="1"/>
  <c r="B1104" i="1"/>
  <c r="D1104" i="14" s="1"/>
  <c r="I1104" i="1"/>
  <c r="B1105" i="1"/>
  <c r="D1105" i="14" s="1"/>
  <c r="I1105" i="1"/>
  <c r="B1106" i="1"/>
  <c r="D1106" i="14" s="1"/>
  <c r="I1106" i="1"/>
  <c r="B1107" i="1"/>
  <c r="D1107" i="14" s="1"/>
  <c r="I1107" i="1"/>
  <c r="B1108" i="1"/>
  <c r="D1108" i="14" s="1"/>
  <c r="I1108" i="1"/>
  <c r="B1109" i="1"/>
  <c r="D1109" i="14" s="1"/>
  <c r="I1109" i="1"/>
  <c r="B1110" i="1"/>
  <c r="D1110" i="14" s="1"/>
  <c r="I1110" i="1"/>
  <c r="B1111" i="1"/>
  <c r="D1111" i="14" s="1"/>
  <c r="I1111" i="1"/>
  <c r="B1112" i="1"/>
  <c r="D1112" i="14" s="1"/>
  <c r="I1112" i="1"/>
  <c r="B1113" i="1"/>
  <c r="D1113" i="14" s="1"/>
  <c r="I1113" i="1"/>
  <c r="B1114" i="1"/>
  <c r="D1114" i="14" s="1"/>
  <c r="I1114" i="1"/>
  <c r="B1115" i="1"/>
  <c r="D1115" i="14" s="1"/>
  <c r="I1115" i="1"/>
  <c r="B1116" i="1"/>
  <c r="D1116" i="14" s="1"/>
  <c r="I1116" i="1"/>
  <c r="B1117" i="1"/>
  <c r="D1117" i="14" s="1"/>
  <c r="I1117" i="1"/>
  <c r="B1118" i="1"/>
  <c r="D1118" i="14" s="1"/>
  <c r="I1118" i="1"/>
  <c r="B1119" i="1"/>
  <c r="D1119" i="14" s="1"/>
  <c r="I1119" i="1"/>
  <c r="B1120" i="1"/>
  <c r="D1120" i="14" s="1"/>
  <c r="I1120" i="1"/>
  <c r="B1121" i="1"/>
  <c r="D1121" i="14" s="1"/>
  <c r="I1121" i="1"/>
  <c r="B1122" i="1"/>
  <c r="D1122" i="14" s="1"/>
  <c r="I1122" i="1"/>
  <c r="B1123" i="1"/>
  <c r="D1123" i="14" s="1"/>
  <c r="I1123" i="1"/>
  <c r="B1124" i="1"/>
  <c r="D1124" i="14" s="1"/>
  <c r="I1124" i="1"/>
  <c r="B1125" i="1"/>
  <c r="D1125" i="14" s="1"/>
  <c r="I1125" i="1"/>
  <c r="B1126" i="1"/>
  <c r="D1126" i="14" s="1"/>
  <c r="I1126" i="1"/>
  <c r="B1127" i="1"/>
  <c r="D1127" i="14" s="1"/>
  <c r="I1127" i="1"/>
  <c r="B1128" i="1"/>
  <c r="D1128" i="14" s="1"/>
  <c r="I1128" i="1"/>
  <c r="B1129" i="1"/>
  <c r="D1129" i="14" s="1"/>
  <c r="I1129" i="1"/>
  <c r="B1130" i="1"/>
  <c r="D1130" i="14" s="1"/>
  <c r="I1130" i="1"/>
  <c r="B1131" i="1"/>
  <c r="D1131" i="14" s="1"/>
  <c r="I1131" i="1"/>
  <c r="B1132" i="1"/>
  <c r="D1132" i="14" s="1"/>
  <c r="I1132" i="1"/>
  <c r="B1133" i="1"/>
  <c r="D1133" i="14" s="1"/>
  <c r="I1133" i="1"/>
  <c r="B1134" i="1"/>
  <c r="D1134" i="14" s="1"/>
  <c r="I1134" i="1"/>
  <c r="B1135" i="1"/>
  <c r="D1135" i="14" s="1"/>
  <c r="I1135" i="1"/>
  <c r="B1136" i="1"/>
  <c r="D1136" i="14" s="1"/>
  <c r="I1136" i="1"/>
  <c r="B1137" i="1"/>
  <c r="D1137" i="14" s="1"/>
  <c r="I1137" i="1"/>
  <c r="B1138" i="1"/>
  <c r="D1138" i="14" s="1"/>
  <c r="I1138" i="1"/>
  <c r="B1139" i="1"/>
  <c r="D1139" i="14" s="1"/>
  <c r="I1139" i="1"/>
  <c r="B1140" i="1"/>
  <c r="D1140" i="14" s="1"/>
  <c r="I1140" i="1"/>
  <c r="B1141" i="1"/>
  <c r="D1141" i="14" s="1"/>
  <c r="I1141" i="1"/>
  <c r="B1142" i="1"/>
  <c r="D1142" i="14" s="1"/>
  <c r="I1142" i="1"/>
  <c r="B1143" i="1"/>
  <c r="D1143" i="14" s="1"/>
  <c r="I1143" i="1"/>
  <c r="B1144" i="1"/>
  <c r="D1144" i="14" s="1"/>
  <c r="I1144" i="1"/>
  <c r="B1145" i="1"/>
  <c r="D1145" i="14" s="1"/>
  <c r="I1145" i="1"/>
  <c r="B1146" i="1"/>
  <c r="D1146" i="14" s="1"/>
  <c r="I1146" i="1"/>
  <c r="B1147" i="1"/>
  <c r="D1147" i="14" s="1"/>
  <c r="I1147" i="1"/>
  <c r="B1148" i="1"/>
  <c r="D1148" i="14" s="1"/>
  <c r="I1148" i="1"/>
  <c r="B1149" i="1"/>
  <c r="D1149" i="14" s="1"/>
  <c r="I1149" i="1"/>
  <c r="B1150" i="1"/>
  <c r="D1150" i="14" s="1"/>
  <c r="I1150" i="1"/>
  <c r="B1151" i="1"/>
  <c r="D1151" i="14" s="1"/>
  <c r="I1151" i="1"/>
  <c r="B1152" i="1"/>
  <c r="D1152" i="14" s="1"/>
  <c r="I1152" i="1"/>
  <c r="B1153" i="1"/>
  <c r="D1153" i="14" s="1"/>
  <c r="I1153" i="1"/>
  <c r="B1154" i="1"/>
  <c r="D1154" i="14" s="1"/>
  <c r="I1154" i="1"/>
  <c r="B1155" i="1"/>
  <c r="D1155" i="14" s="1"/>
  <c r="I1155" i="1"/>
  <c r="B1156" i="1"/>
  <c r="D1156" i="14" s="1"/>
  <c r="I1156" i="1"/>
  <c r="B1157" i="1"/>
  <c r="D1157" i="14" s="1"/>
  <c r="I1157" i="1"/>
  <c r="B1158" i="1"/>
  <c r="D1158" i="14" s="1"/>
  <c r="I1158" i="1"/>
  <c r="B1159" i="1"/>
  <c r="D1159" i="14" s="1"/>
  <c r="I1159" i="1"/>
  <c r="B1160" i="1"/>
  <c r="D1160" i="14" s="1"/>
  <c r="I1160" i="1"/>
  <c r="B1161" i="1"/>
  <c r="I1161" i="1"/>
  <c r="B1162" i="1"/>
  <c r="I1162" i="1"/>
  <c r="B1163" i="1"/>
  <c r="I1163" i="1"/>
  <c r="B1164" i="1"/>
  <c r="I1164" i="1"/>
  <c r="B1165" i="1"/>
  <c r="I1165" i="1"/>
  <c r="B1166" i="1"/>
  <c r="I1166" i="1"/>
  <c r="B1167" i="1"/>
  <c r="I1167" i="1"/>
  <c r="B1168" i="1"/>
  <c r="I1168" i="1"/>
  <c r="B1169" i="1"/>
  <c r="I1169" i="1"/>
  <c r="B1170" i="1"/>
  <c r="I1170" i="1"/>
  <c r="B1171" i="1"/>
  <c r="I1171" i="1"/>
  <c r="B1172" i="1"/>
  <c r="I1172" i="1"/>
  <c r="B1173" i="1"/>
  <c r="I1173" i="1"/>
  <c r="B1174" i="1"/>
  <c r="I1174" i="1"/>
  <c r="B1175" i="1"/>
  <c r="I1175" i="1"/>
  <c r="B1176" i="1"/>
  <c r="I1176" i="1"/>
  <c r="B1177" i="1"/>
  <c r="I1177" i="1"/>
  <c r="B1178" i="1"/>
  <c r="I1178" i="1"/>
  <c r="B1179" i="1"/>
  <c r="I1179" i="1"/>
  <c r="B1180" i="1"/>
  <c r="I1180" i="1"/>
  <c r="B1181" i="1"/>
  <c r="I1181" i="1"/>
  <c r="B1182" i="1"/>
  <c r="I1182" i="1"/>
  <c r="B1183" i="1"/>
  <c r="I1183" i="1"/>
  <c r="B1184" i="1"/>
  <c r="I1184" i="1"/>
  <c r="B1185" i="1"/>
  <c r="I1185" i="1"/>
  <c r="B1186" i="1"/>
  <c r="I1186" i="1"/>
  <c r="B1187" i="1"/>
  <c r="I1187" i="1"/>
  <c r="B1188" i="1"/>
  <c r="I1188" i="1"/>
  <c r="B1189" i="1"/>
  <c r="I1189" i="1"/>
  <c r="B1190" i="1"/>
  <c r="I1190" i="1"/>
  <c r="B1191" i="1"/>
  <c r="I1191" i="1"/>
  <c r="B1192" i="1"/>
  <c r="I1192" i="1"/>
  <c r="B1193" i="1"/>
  <c r="I1193" i="1"/>
  <c r="B1194" i="1"/>
  <c r="I1194" i="1"/>
  <c r="B1195" i="1"/>
  <c r="I1195" i="1"/>
  <c r="B1196" i="1"/>
  <c r="I1196" i="1"/>
  <c r="B1197" i="1"/>
  <c r="I1197" i="1"/>
  <c r="B1198" i="1"/>
  <c r="I1198" i="1"/>
  <c r="B1199" i="1"/>
  <c r="I1199" i="1"/>
  <c r="B1200" i="1"/>
  <c r="I1200" i="1"/>
  <c r="B1201" i="1"/>
  <c r="I1201" i="1"/>
  <c r="B1202" i="1"/>
  <c r="I1202" i="1"/>
  <c r="B1203" i="1"/>
  <c r="I1203" i="1"/>
  <c r="B1204" i="1"/>
  <c r="I1204" i="1"/>
  <c r="B1205" i="1"/>
  <c r="I1205" i="1"/>
  <c r="B1206" i="1"/>
  <c r="I1206" i="1"/>
  <c r="B1207" i="1"/>
  <c r="I1207" i="1"/>
  <c r="B1208" i="1"/>
  <c r="I1208" i="1"/>
  <c r="B1209" i="1"/>
  <c r="I1209" i="1"/>
  <c r="B1210" i="1"/>
  <c r="I1210" i="1"/>
  <c r="B1211" i="1"/>
  <c r="I1211" i="1"/>
  <c r="B1212" i="1"/>
  <c r="I1212" i="1"/>
  <c r="B1213" i="1"/>
  <c r="I1213" i="1"/>
  <c r="B1214" i="1"/>
  <c r="I1214" i="1"/>
  <c r="B1215" i="1"/>
  <c r="I1215" i="1"/>
  <c r="B1216" i="1"/>
  <c r="I1216" i="1"/>
  <c r="B1217" i="1"/>
  <c r="I1217" i="1"/>
  <c r="B1218" i="1"/>
  <c r="I1218" i="1"/>
  <c r="B1219" i="1"/>
  <c r="I1219" i="1"/>
  <c r="B1220" i="1"/>
  <c r="I1220" i="1"/>
  <c r="B1221" i="1"/>
  <c r="I1221" i="1"/>
  <c r="B1222" i="1"/>
  <c r="I1222" i="1"/>
  <c r="B1223" i="1"/>
  <c r="I1223" i="1"/>
  <c r="B1224" i="1"/>
  <c r="I1224" i="1"/>
  <c r="B1225" i="1"/>
  <c r="I1225" i="1"/>
  <c r="B1226" i="1"/>
  <c r="I1226" i="1"/>
  <c r="B1227" i="1"/>
  <c r="I1227" i="1"/>
  <c r="B1228" i="1"/>
  <c r="I1228" i="1"/>
  <c r="B1229" i="1"/>
  <c r="I1229" i="1"/>
  <c r="B1230" i="1"/>
  <c r="I1230" i="1"/>
  <c r="B1231" i="1"/>
  <c r="I1231" i="1"/>
  <c r="B1232" i="1"/>
  <c r="I1232" i="1"/>
  <c r="B1233" i="1"/>
  <c r="I1233" i="1"/>
  <c r="B1234" i="1"/>
  <c r="I1234" i="1"/>
  <c r="B1235" i="1"/>
  <c r="I1235" i="1"/>
  <c r="B1236" i="1"/>
  <c r="I1236" i="1"/>
  <c r="B1237" i="1"/>
  <c r="I1237" i="1"/>
  <c r="B1238" i="1"/>
  <c r="I1238" i="1"/>
  <c r="B1239" i="1"/>
  <c r="I1239" i="1"/>
  <c r="B1240" i="1"/>
  <c r="I1240" i="1"/>
  <c r="B1241" i="1"/>
  <c r="I1241" i="1"/>
  <c r="B1242" i="1"/>
  <c r="I1242" i="1"/>
  <c r="B1243" i="1"/>
  <c r="I1243" i="1"/>
  <c r="B1244" i="1"/>
  <c r="I1244" i="1"/>
  <c r="B1245" i="1"/>
  <c r="I1245" i="1"/>
  <c r="B1246" i="1"/>
  <c r="I1246" i="1"/>
  <c r="B1247" i="1"/>
  <c r="I1247" i="1"/>
  <c r="B1248" i="1"/>
  <c r="I1248" i="1"/>
  <c r="B1249" i="1"/>
  <c r="I1249" i="1"/>
  <c r="B1250" i="1"/>
  <c r="I1250" i="1"/>
  <c r="B1251" i="1"/>
  <c r="I1251" i="1"/>
  <c r="B1252" i="1"/>
  <c r="I1252" i="1"/>
  <c r="B1253" i="1"/>
  <c r="I1253" i="1"/>
  <c r="B1254" i="1"/>
  <c r="I1254" i="1"/>
  <c r="B1255" i="1"/>
  <c r="I1255" i="1"/>
  <c r="B1256" i="1"/>
  <c r="I1256" i="1"/>
  <c r="B1257" i="1"/>
  <c r="I1257" i="1"/>
  <c r="B1258" i="1"/>
  <c r="I1258" i="1"/>
  <c r="B1259" i="1"/>
  <c r="I1259" i="1"/>
  <c r="B1260" i="1"/>
  <c r="I1260" i="1"/>
  <c r="B1261" i="1"/>
  <c r="I1261" i="1"/>
  <c r="B1262" i="1"/>
  <c r="I1262" i="1"/>
  <c r="B1263" i="1"/>
  <c r="I1263" i="1"/>
  <c r="B1264" i="1"/>
  <c r="I1264" i="1"/>
  <c r="B1265" i="1"/>
  <c r="I1265" i="1"/>
  <c r="B1266" i="1"/>
  <c r="I1266" i="1"/>
  <c r="B1267" i="1"/>
  <c r="I1267" i="1"/>
  <c r="B1268" i="1"/>
  <c r="I1268" i="1"/>
  <c r="B1269" i="1"/>
  <c r="I1269" i="1"/>
  <c r="B1270" i="1"/>
  <c r="I1270" i="1"/>
  <c r="B1271" i="1"/>
  <c r="I1271" i="1"/>
  <c r="B1272" i="1"/>
  <c r="I1272" i="1"/>
  <c r="B1273" i="1"/>
  <c r="I1273" i="1"/>
  <c r="B1274" i="1"/>
  <c r="I1274" i="1"/>
  <c r="B1275" i="1"/>
  <c r="I1275" i="1"/>
  <c r="B1276" i="1"/>
  <c r="I1276" i="1"/>
  <c r="B1277" i="1"/>
  <c r="I1277" i="1"/>
  <c r="B1278" i="1"/>
  <c r="I1278" i="1"/>
  <c r="B1279" i="1"/>
  <c r="I1279" i="1"/>
  <c r="B1280" i="1"/>
  <c r="I1280" i="1"/>
  <c r="B1281" i="1"/>
  <c r="I1281" i="1"/>
  <c r="B1282" i="1"/>
  <c r="I1282" i="1"/>
  <c r="B1283" i="1"/>
  <c r="I1283" i="1"/>
  <c r="B1284" i="1"/>
  <c r="I1284" i="1"/>
  <c r="B1285" i="1"/>
  <c r="I1285" i="1"/>
  <c r="B1286" i="1"/>
  <c r="I1286" i="1"/>
  <c r="B1287" i="1"/>
  <c r="I1287" i="1"/>
  <c r="B1288" i="1"/>
  <c r="I1288" i="1"/>
  <c r="B1289" i="1"/>
  <c r="I1289" i="1"/>
  <c r="B1290" i="1"/>
  <c r="I1290" i="1"/>
  <c r="B1291" i="1"/>
  <c r="I1291" i="1"/>
  <c r="B1292" i="1"/>
  <c r="I1292" i="1"/>
  <c r="B1293" i="1"/>
  <c r="I1293" i="1"/>
  <c r="B1294" i="1"/>
  <c r="I1294" i="1"/>
  <c r="B1295" i="1"/>
  <c r="I1295" i="1"/>
  <c r="B1296" i="1"/>
  <c r="I1296" i="1"/>
  <c r="B1297" i="1"/>
  <c r="I1297" i="1"/>
  <c r="B1298" i="1"/>
  <c r="I1298" i="1"/>
  <c r="B1299" i="1"/>
  <c r="I1299" i="1"/>
  <c r="B1300" i="1"/>
  <c r="I1300" i="1"/>
  <c r="B1301" i="1"/>
  <c r="I1301" i="1"/>
  <c r="B1302" i="1"/>
  <c r="I1302" i="1"/>
  <c r="B1303" i="1"/>
  <c r="I1303" i="1"/>
  <c r="B1304" i="1"/>
  <c r="I1304" i="1"/>
  <c r="B1305" i="1"/>
  <c r="I1305" i="1"/>
  <c r="B1306" i="1"/>
  <c r="I1306" i="1"/>
  <c r="B1307" i="1"/>
  <c r="I1307" i="1"/>
  <c r="B1308" i="1"/>
  <c r="I1308" i="1"/>
  <c r="B1309" i="1"/>
  <c r="I1309" i="1"/>
  <c r="B1310" i="1"/>
  <c r="I1310" i="1"/>
  <c r="B1311" i="1"/>
  <c r="I1311" i="1"/>
  <c r="B1312" i="1"/>
  <c r="I1312" i="1"/>
  <c r="B1313" i="1"/>
  <c r="I1313" i="1"/>
  <c r="B1314" i="1"/>
  <c r="I1314" i="1"/>
  <c r="B1315" i="1"/>
  <c r="I1315" i="1"/>
  <c r="B1316" i="1"/>
  <c r="I1316" i="1"/>
  <c r="B1317" i="1"/>
  <c r="I1317" i="1"/>
  <c r="B1318" i="1"/>
  <c r="I1318" i="1"/>
  <c r="B1319" i="1"/>
  <c r="I1319" i="1"/>
  <c r="B1320" i="1"/>
  <c r="I1320" i="1"/>
  <c r="B1321" i="1"/>
  <c r="I1321" i="1"/>
  <c r="B1322" i="1"/>
  <c r="I1322" i="1"/>
  <c r="B1323" i="1"/>
  <c r="I1323" i="1"/>
  <c r="B1324" i="1"/>
  <c r="I1324" i="1"/>
  <c r="B1325" i="1"/>
  <c r="I1325" i="1"/>
  <c r="B1326" i="1"/>
  <c r="I1326" i="1"/>
  <c r="B1327" i="1"/>
  <c r="I1327" i="1"/>
  <c r="B1328" i="1"/>
  <c r="I1328" i="1"/>
  <c r="B1329" i="1"/>
  <c r="I1329" i="1"/>
  <c r="B1330" i="1"/>
  <c r="I1330" i="1"/>
  <c r="B1331" i="1"/>
  <c r="I1331" i="1"/>
  <c r="B1332" i="1"/>
  <c r="I1332" i="1"/>
  <c r="B1333" i="1"/>
  <c r="I1333" i="1"/>
  <c r="B1334" i="1"/>
  <c r="I1334" i="1"/>
  <c r="B1335" i="1"/>
  <c r="I1335" i="1"/>
  <c r="B1336" i="1"/>
  <c r="I1336" i="1"/>
  <c r="B1337" i="1"/>
  <c r="I1337" i="1"/>
  <c r="B1338" i="1"/>
  <c r="I1338" i="1"/>
  <c r="B1339" i="1"/>
  <c r="I1339" i="1"/>
  <c r="B1340" i="1"/>
  <c r="I1340" i="1"/>
  <c r="B1341" i="1"/>
  <c r="I1341" i="1"/>
  <c r="B1342" i="1"/>
  <c r="I1342" i="1"/>
  <c r="B1343" i="1"/>
  <c r="I1343" i="1"/>
  <c r="B1344" i="1"/>
  <c r="I1344" i="1"/>
  <c r="B1345" i="1"/>
  <c r="I1345" i="1"/>
  <c r="B1346" i="1"/>
  <c r="I1346" i="1"/>
  <c r="B1347" i="1"/>
  <c r="I1347" i="1"/>
  <c r="B1348" i="1"/>
  <c r="I1348" i="1"/>
  <c r="B1349" i="1"/>
  <c r="I1349" i="1"/>
  <c r="B1350" i="1"/>
  <c r="I1350" i="1"/>
  <c r="B1351" i="1"/>
  <c r="I1351" i="1"/>
  <c r="B1352" i="1"/>
  <c r="I1352" i="1"/>
  <c r="B1353" i="1"/>
  <c r="I1353" i="1"/>
  <c r="B1354" i="1"/>
  <c r="I1354" i="1"/>
  <c r="B1355" i="1"/>
  <c r="I1355" i="1"/>
  <c r="B1356" i="1"/>
  <c r="I1356" i="1"/>
  <c r="B1357" i="1"/>
  <c r="I1357" i="1"/>
  <c r="B1358" i="1"/>
  <c r="I1358" i="1"/>
  <c r="B1359" i="1"/>
  <c r="I1359" i="1"/>
  <c r="B1360" i="1"/>
  <c r="I1360" i="1"/>
  <c r="B1361" i="1"/>
  <c r="I1361" i="1"/>
  <c r="B1362" i="1"/>
  <c r="I1362" i="1"/>
  <c r="B1363" i="1"/>
  <c r="I1363" i="1"/>
  <c r="B1364" i="1"/>
  <c r="I1364" i="1"/>
  <c r="B1365" i="1"/>
  <c r="I1365" i="1"/>
  <c r="B1366" i="1"/>
  <c r="I1366" i="1"/>
  <c r="B1367" i="1"/>
  <c r="I1367" i="1"/>
  <c r="B1368" i="1"/>
  <c r="I1368" i="1"/>
  <c r="B1369" i="1"/>
  <c r="I1369" i="1"/>
  <c r="B1370" i="1"/>
  <c r="I1370" i="1"/>
  <c r="B1371" i="1"/>
  <c r="I1371" i="1"/>
  <c r="B1372" i="1"/>
  <c r="I1372" i="1"/>
  <c r="B1373" i="1"/>
  <c r="I1373" i="1"/>
  <c r="B1374" i="1"/>
  <c r="I1374" i="1"/>
  <c r="B1375" i="1"/>
  <c r="I1375" i="1"/>
  <c r="B1376" i="1"/>
  <c r="I1376" i="1"/>
  <c r="B1377" i="1"/>
  <c r="I1377" i="1"/>
  <c r="B1378" i="1"/>
  <c r="I1378" i="1"/>
  <c r="B1379" i="1"/>
  <c r="I1379" i="1"/>
  <c r="B1380" i="1"/>
  <c r="I1380" i="1"/>
  <c r="B1381" i="1"/>
  <c r="I1381" i="1"/>
  <c r="B1382" i="1"/>
  <c r="I1382" i="1"/>
  <c r="B1383" i="1"/>
  <c r="I1383" i="1"/>
  <c r="B1384" i="1"/>
  <c r="I1384" i="1"/>
  <c r="B1385" i="1"/>
  <c r="I1385" i="1"/>
  <c r="B1386" i="1"/>
  <c r="I1386" i="1"/>
  <c r="B1387" i="1"/>
  <c r="I1387" i="1"/>
  <c r="B1388" i="1"/>
  <c r="I1388" i="1"/>
  <c r="B1389" i="1"/>
  <c r="I1389" i="1"/>
  <c r="B1390" i="1"/>
  <c r="I1390" i="1"/>
  <c r="B1391" i="1"/>
  <c r="I1391" i="1"/>
  <c r="B1392" i="1"/>
  <c r="I1392" i="1"/>
  <c r="B1393" i="1"/>
  <c r="I1393" i="1"/>
  <c r="B1394" i="1"/>
  <c r="I1394" i="1"/>
  <c r="B1395" i="1"/>
  <c r="I1395" i="1"/>
  <c r="B1396" i="1"/>
  <c r="I1396" i="1"/>
  <c r="B1397" i="1"/>
  <c r="I1397" i="1"/>
  <c r="B1398" i="1"/>
  <c r="I1398" i="1"/>
  <c r="B1399" i="1"/>
  <c r="I1399" i="1"/>
  <c r="B1400" i="1"/>
  <c r="I1400" i="1"/>
  <c r="B1401" i="1"/>
  <c r="I1401" i="1"/>
  <c r="B1402" i="1"/>
  <c r="I1402" i="1"/>
  <c r="B1403" i="1"/>
  <c r="I1403" i="1"/>
  <c r="B1404" i="1"/>
  <c r="I1404" i="1"/>
  <c r="B1405" i="1"/>
  <c r="I1405" i="1"/>
  <c r="B1406" i="1"/>
  <c r="I1406" i="1"/>
  <c r="B1407" i="1"/>
  <c r="I1407" i="1"/>
  <c r="B1408" i="1"/>
  <c r="I1408" i="1"/>
  <c r="B1409" i="1"/>
  <c r="I1409" i="1"/>
  <c r="B1410" i="1"/>
  <c r="I1410" i="1"/>
  <c r="B1411" i="1"/>
  <c r="I1411" i="1"/>
  <c r="B1412" i="1"/>
  <c r="I1412" i="1"/>
  <c r="B1413" i="1"/>
  <c r="I1413" i="1"/>
  <c r="B1414" i="1"/>
  <c r="I1414" i="1"/>
  <c r="B1415" i="1"/>
  <c r="I1415" i="1"/>
  <c r="B1416" i="1"/>
  <c r="I1416" i="1"/>
  <c r="B1417" i="1"/>
  <c r="I1417" i="1"/>
  <c r="B1418" i="1"/>
  <c r="I1418" i="1"/>
  <c r="B1419" i="1"/>
  <c r="I1419" i="1"/>
  <c r="B1420" i="1"/>
  <c r="I1420" i="1"/>
  <c r="B1421" i="1"/>
  <c r="I1421" i="1"/>
  <c r="B1422" i="1"/>
  <c r="I1422" i="1"/>
  <c r="B1423" i="1"/>
  <c r="I1423" i="1"/>
  <c r="B1424" i="1"/>
  <c r="I1424" i="1"/>
  <c r="B1425" i="1"/>
  <c r="I1425" i="1"/>
  <c r="B1426" i="1"/>
  <c r="I1426" i="1"/>
  <c r="B1427" i="1"/>
  <c r="I1427" i="1"/>
  <c r="B1428" i="1"/>
  <c r="I1428" i="1"/>
  <c r="B1429" i="1"/>
  <c r="I1429" i="1"/>
  <c r="B1430" i="1"/>
  <c r="I1430" i="1"/>
  <c r="B1431" i="1"/>
  <c r="I1431" i="1"/>
  <c r="B1432" i="1"/>
  <c r="I1432" i="1"/>
  <c r="B1433" i="1"/>
  <c r="I1433" i="1"/>
  <c r="B1434" i="1"/>
  <c r="I1434" i="1"/>
  <c r="B1435" i="1"/>
  <c r="I1435" i="1"/>
  <c r="B1436" i="1"/>
  <c r="I1436" i="1"/>
  <c r="B1437" i="1"/>
  <c r="I1437" i="1"/>
  <c r="B1438" i="1"/>
  <c r="I1438" i="1"/>
  <c r="B1439" i="1"/>
  <c r="I1439" i="1"/>
  <c r="B1440" i="1"/>
  <c r="I1440" i="1"/>
  <c r="B1441" i="1"/>
  <c r="I1441" i="1"/>
  <c r="B1442" i="1"/>
  <c r="I1442" i="1"/>
  <c r="B1443" i="1"/>
  <c r="I1443" i="1"/>
  <c r="B1444" i="1"/>
  <c r="I1444" i="1"/>
  <c r="B1445" i="1"/>
  <c r="I1445" i="1"/>
  <c r="B1446" i="1"/>
  <c r="I1446" i="1"/>
  <c r="B1447" i="1"/>
  <c r="I1447" i="1"/>
  <c r="B1448" i="1"/>
  <c r="I1448" i="1"/>
  <c r="B1449" i="1"/>
  <c r="I1449" i="1"/>
  <c r="B1450" i="1"/>
  <c r="I1450" i="1"/>
  <c r="B1451" i="1"/>
  <c r="I1451" i="1"/>
  <c r="B1452" i="1"/>
  <c r="I1452" i="1"/>
  <c r="B1453" i="1"/>
  <c r="I1453" i="1"/>
  <c r="B1454" i="1"/>
  <c r="I1454" i="1"/>
  <c r="B1455" i="1"/>
  <c r="I1455" i="1"/>
  <c r="B1456" i="1"/>
  <c r="I1456" i="1"/>
  <c r="B1457" i="1"/>
  <c r="I1457" i="1"/>
  <c r="B1458" i="1"/>
  <c r="I1458" i="1"/>
  <c r="B1459" i="1"/>
  <c r="I1459" i="1"/>
  <c r="B1460" i="1"/>
  <c r="I1460" i="1"/>
  <c r="B1461" i="1"/>
  <c r="I1461" i="1"/>
  <c r="B1462" i="1"/>
  <c r="I1462" i="1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0" i="6"/>
  <c r="AB131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58" i="6"/>
  <c r="AB259" i="6"/>
  <c r="AB260" i="6"/>
  <c r="AB261" i="6"/>
  <c r="AB262" i="6"/>
  <c r="AB263" i="6"/>
  <c r="AB264" i="6"/>
  <c r="AB265" i="6"/>
  <c r="AB266" i="6"/>
  <c r="AB267" i="6"/>
  <c r="AB268" i="6"/>
  <c r="AB269" i="6"/>
  <c r="AB270" i="6"/>
  <c r="AB271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G26" i="6"/>
  <c r="H26" i="6" s="1"/>
  <c r="I26" i="6"/>
  <c r="J26" i="6"/>
  <c r="K26" i="6"/>
  <c r="L26" i="6"/>
  <c r="M26" i="6" a="1"/>
  <c r="M26" i="6" s="1"/>
  <c r="N26" i="6" a="1"/>
  <c r="N26" i="6"/>
  <c r="O26" i="6"/>
  <c r="P26" i="6"/>
  <c r="Q26" i="6"/>
  <c r="R26" i="6"/>
  <c r="S26" i="6"/>
  <c r="G27" i="6"/>
  <c r="H27" i="6" s="1"/>
  <c r="I27" i="6"/>
  <c r="J27" i="6"/>
  <c r="K27" i="6"/>
  <c r="L27" i="6"/>
  <c r="M27" i="6" a="1"/>
  <c r="M27" i="6" s="1"/>
  <c r="N27" i="6" a="1"/>
  <c r="N27" i="6"/>
  <c r="O27" i="6"/>
  <c r="P27" i="6"/>
  <c r="Q27" i="6"/>
  <c r="R27" i="6"/>
  <c r="S27" i="6"/>
  <c r="G28" i="6"/>
  <c r="H28" i="6" s="1"/>
  <c r="I28" i="6"/>
  <c r="J28" i="6"/>
  <c r="K28" i="6"/>
  <c r="L28" i="6"/>
  <c r="M28" i="6" a="1"/>
  <c r="M28" i="6" s="1"/>
  <c r="N28" i="6" a="1"/>
  <c r="N28" i="6"/>
  <c r="O28" i="6"/>
  <c r="P28" i="6"/>
  <c r="Q28" i="6"/>
  <c r="R28" i="6"/>
  <c r="S28" i="6"/>
  <c r="G29" i="6"/>
  <c r="H29" i="6" s="1"/>
  <c r="I29" i="6"/>
  <c r="J29" i="6"/>
  <c r="K29" i="6"/>
  <c r="L29" i="6"/>
  <c r="M29" i="6" a="1"/>
  <c r="M29" i="6" s="1"/>
  <c r="N29" i="6" a="1"/>
  <c r="N29" i="6"/>
  <c r="O29" i="6"/>
  <c r="P29" i="6"/>
  <c r="Q29" i="6"/>
  <c r="R29" i="6"/>
  <c r="S29" i="6"/>
  <c r="G30" i="6"/>
  <c r="H30" i="6" s="1"/>
  <c r="I30" i="6"/>
  <c r="J30" i="6"/>
  <c r="K30" i="6"/>
  <c r="L30" i="6"/>
  <c r="M30" i="6" a="1"/>
  <c r="M30" i="6" s="1"/>
  <c r="N30" i="6" a="1"/>
  <c r="N30" i="6"/>
  <c r="O30" i="6"/>
  <c r="P30" i="6"/>
  <c r="Q30" i="6"/>
  <c r="R30" i="6"/>
  <c r="S30" i="6"/>
  <c r="G31" i="6"/>
  <c r="H31" i="6" s="1"/>
  <c r="I31" i="6"/>
  <c r="J31" i="6"/>
  <c r="K31" i="6"/>
  <c r="L31" i="6"/>
  <c r="M31" i="6" a="1"/>
  <c r="M31" i="6" s="1"/>
  <c r="N31" i="6" a="1"/>
  <c r="N31" i="6"/>
  <c r="O31" i="6"/>
  <c r="P31" i="6"/>
  <c r="Q31" i="6"/>
  <c r="R31" i="6"/>
  <c r="S31" i="6"/>
  <c r="G32" i="6"/>
  <c r="H32" i="6" s="1"/>
  <c r="I32" i="6"/>
  <c r="J32" i="6"/>
  <c r="K32" i="6"/>
  <c r="L32" i="6"/>
  <c r="M32" i="6" a="1"/>
  <c r="M32" i="6" s="1"/>
  <c r="N32" i="6" a="1"/>
  <c r="N32" i="6"/>
  <c r="O32" i="6"/>
  <c r="P32" i="6"/>
  <c r="Q32" i="6"/>
  <c r="R32" i="6"/>
  <c r="S32" i="6"/>
  <c r="G33" i="6"/>
  <c r="H33" i="6" s="1"/>
  <c r="I33" i="6"/>
  <c r="J33" i="6"/>
  <c r="K33" i="6"/>
  <c r="L33" i="6"/>
  <c r="M33" i="6" a="1"/>
  <c r="M33" i="6" s="1"/>
  <c r="N33" i="6" a="1"/>
  <c r="N33" i="6"/>
  <c r="O33" i="6"/>
  <c r="P33" i="6"/>
  <c r="Q33" i="6"/>
  <c r="R33" i="6"/>
  <c r="S33" i="6"/>
  <c r="G34" i="6"/>
  <c r="H34" i="6" s="1"/>
  <c r="I34" i="6"/>
  <c r="J34" i="6"/>
  <c r="K34" i="6"/>
  <c r="L34" i="6"/>
  <c r="M34" i="6" a="1"/>
  <c r="M34" i="6" s="1"/>
  <c r="N34" i="6" a="1"/>
  <c r="N34" i="6"/>
  <c r="O34" i="6"/>
  <c r="P34" i="6"/>
  <c r="Q34" i="6"/>
  <c r="R34" i="6"/>
  <c r="S34" i="6"/>
  <c r="G35" i="6"/>
  <c r="H35" i="6" s="1"/>
  <c r="I35" i="6"/>
  <c r="J35" i="6"/>
  <c r="K35" i="6"/>
  <c r="L35" i="6"/>
  <c r="M35" i="6" a="1"/>
  <c r="M35" i="6" s="1"/>
  <c r="N35" i="6" a="1"/>
  <c r="N35" i="6"/>
  <c r="O35" i="6"/>
  <c r="P35" i="6"/>
  <c r="Q35" i="6"/>
  <c r="R35" i="6"/>
  <c r="S35" i="6"/>
  <c r="G36" i="6"/>
  <c r="H36" i="6" s="1"/>
  <c r="I36" i="6"/>
  <c r="J36" i="6"/>
  <c r="K36" i="6"/>
  <c r="L36" i="6"/>
  <c r="M36" i="6" a="1"/>
  <c r="M36" i="6" s="1"/>
  <c r="N36" i="6" a="1"/>
  <c r="N36" i="6"/>
  <c r="O36" i="6"/>
  <c r="P36" i="6"/>
  <c r="Q36" i="6"/>
  <c r="R36" i="6"/>
  <c r="S36" i="6"/>
  <c r="G37" i="6"/>
  <c r="H37" i="6" s="1"/>
  <c r="I37" i="6"/>
  <c r="J37" i="6"/>
  <c r="K37" i="6"/>
  <c r="L37" i="6"/>
  <c r="M37" i="6" a="1"/>
  <c r="M37" i="6" s="1"/>
  <c r="N37" i="6" a="1"/>
  <c r="N37" i="6"/>
  <c r="O37" i="6"/>
  <c r="P37" i="6"/>
  <c r="Q37" i="6"/>
  <c r="R37" i="6"/>
  <c r="S37" i="6"/>
  <c r="G38" i="6"/>
  <c r="H38" i="6" s="1"/>
  <c r="I38" i="6"/>
  <c r="J38" i="6"/>
  <c r="K38" i="6"/>
  <c r="L38" i="6"/>
  <c r="M38" i="6" a="1"/>
  <c r="M38" i="6" s="1"/>
  <c r="N38" i="6" a="1"/>
  <c r="N38" i="6"/>
  <c r="O38" i="6"/>
  <c r="P38" i="6"/>
  <c r="Q38" i="6"/>
  <c r="R38" i="6"/>
  <c r="S38" i="6"/>
  <c r="G39" i="6"/>
  <c r="H39" i="6" s="1"/>
  <c r="I39" i="6"/>
  <c r="J39" i="6"/>
  <c r="K39" i="6"/>
  <c r="L39" i="6"/>
  <c r="M39" i="6" a="1"/>
  <c r="M39" i="6" s="1"/>
  <c r="N39" i="6" a="1"/>
  <c r="N39" i="6"/>
  <c r="O39" i="6"/>
  <c r="P39" i="6"/>
  <c r="Q39" i="6"/>
  <c r="R39" i="6"/>
  <c r="S39" i="6"/>
  <c r="G40" i="6"/>
  <c r="H40" i="6" s="1"/>
  <c r="I40" i="6"/>
  <c r="J40" i="6"/>
  <c r="K40" i="6"/>
  <c r="L40" i="6"/>
  <c r="M40" i="6" a="1"/>
  <c r="M40" i="6" s="1"/>
  <c r="N40" i="6" a="1"/>
  <c r="N40" i="6"/>
  <c r="O40" i="6"/>
  <c r="P40" i="6"/>
  <c r="Q40" i="6"/>
  <c r="R40" i="6"/>
  <c r="S40" i="6"/>
  <c r="G41" i="6"/>
  <c r="H41" i="6" s="1"/>
  <c r="I41" i="6"/>
  <c r="J41" i="6"/>
  <c r="K41" i="6"/>
  <c r="L41" i="6"/>
  <c r="M41" i="6" a="1"/>
  <c r="M41" i="6" s="1"/>
  <c r="N41" i="6" a="1"/>
  <c r="N41" i="6"/>
  <c r="O41" i="6"/>
  <c r="P41" i="6"/>
  <c r="Q41" i="6"/>
  <c r="R41" i="6"/>
  <c r="S41" i="6"/>
  <c r="G42" i="6"/>
  <c r="H42" i="6" s="1"/>
  <c r="I42" i="6"/>
  <c r="J42" i="6"/>
  <c r="K42" i="6"/>
  <c r="L42" i="6"/>
  <c r="M42" i="6" a="1"/>
  <c r="M42" i="6" s="1"/>
  <c r="N42" i="6" a="1"/>
  <c r="N42" i="6"/>
  <c r="O42" i="6"/>
  <c r="P42" i="6"/>
  <c r="Q42" i="6"/>
  <c r="R42" i="6"/>
  <c r="S42" i="6"/>
  <c r="G43" i="6"/>
  <c r="H43" i="6" s="1"/>
  <c r="I43" i="6"/>
  <c r="J43" i="6"/>
  <c r="K43" i="6"/>
  <c r="L43" i="6"/>
  <c r="M43" i="6" a="1"/>
  <c r="M43" i="6" s="1"/>
  <c r="N43" i="6" a="1"/>
  <c r="N43" i="6"/>
  <c r="O43" i="6"/>
  <c r="P43" i="6"/>
  <c r="Q43" i="6"/>
  <c r="R43" i="6"/>
  <c r="S43" i="6"/>
  <c r="G44" i="6"/>
  <c r="H44" i="6" s="1"/>
  <c r="I44" i="6"/>
  <c r="J44" i="6"/>
  <c r="K44" i="6"/>
  <c r="L44" i="6"/>
  <c r="M44" i="6" a="1"/>
  <c r="M44" i="6" s="1"/>
  <c r="N44" i="6" a="1"/>
  <c r="N44" i="6"/>
  <c r="O44" i="6"/>
  <c r="P44" i="6"/>
  <c r="Q44" i="6"/>
  <c r="R44" i="6"/>
  <c r="S44" i="6"/>
  <c r="G45" i="6"/>
  <c r="H45" i="6" s="1"/>
  <c r="I45" i="6"/>
  <c r="J45" i="6"/>
  <c r="K45" i="6"/>
  <c r="L45" i="6"/>
  <c r="M45" i="6" a="1"/>
  <c r="M45" i="6" s="1"/>
  <c r="N45" i="6" a="1"/>
  <c r="N45" i="6"/>
  <c r="O45" i="6"/>
  <c r="P45" i="6"/>
  <c r="Q45" i="6"/>
  <c r="R45" i="6"/>
  <c r="S45" i="6"/>
  <c r="G46" i="6"/>
  <c r="H46" i="6" s="1"/>
  <c r="I46" i="6"/>
  <c r="J46" i="6"/>
  <c r="K46" i="6"/>
  <c r="L46" i="6"/>
  <c r="M46" i="6" a="1"/>
  <c r="M46" i="6" s="1"/>
  <c r="N46" i="6" a="1"/>
  <c r="N46" i="6"/>
  <c r="O46" i="6"/>
  <c r="P46" i="6"/>
  <c r="Q46" i="6"/>
  <c r="R46" i="6"/>
  <c r="S46" i="6"/>
  <c r="G47" i="6"/>
  <c r="H47" i="6" s="1"/>
  <c r="I47" i="6"/>
  <c r="J47" i="6"/>
  <c r="K47" i="6"/>
  <c r="L47" i="6"/>
  <c r="M47" i="6" a="1"/>
  <c r="M47" i="6" s="1"/>
  <c r="N47" i="6" a="1"/>
  <c r="N47" i="6"/>
  <c r="O47" i="6"/>
  <c r="P47" i="6"/>
  <c r="Q47" i="6"/>
  <c r="R47" i="6"/>
  <c r="S47" i="6"/>
  <c r="G48" i="6"/>
  <c r="H48" i="6" s="1"/>
  <c r="I48" i="6"/>
  <c r="J48" i="6"/>
  <c r="K48" i="6"/>
  <c r="L48" i="6"/>
  <c r="M48" i="6" a="1"/>
  <c r="M48" i="6" s="1"/>
  <c r="N48" i="6" a="1"/>
  <c r="N48" i="6"/>
  <c r="O48" i="6"/>
  <c r="P48" i="6"/>
  <c r="Q48" i="6"/>
  <c r="R48" i="6"/>
  <c r="S48" i="6"/>
  <c r="G49" i="6"/>
  <c r="H49" i="6" s="1"/>
  <c r="I49" i="6"/>
  <c r="J49" i="6"/>
  <c r="K49" i="6"/>
  <c r="L49" i="6"/>
  <c r="M49" i="6" a="1"/>
  <c r="M49" i="6" s="1"/>
  <c r="N49" i="6" a="1"/>
  <c r="N49" i="6"/>
  <c r="O49" i="6"/>
  <c r="P49" i="6"/>
  <c r="Q49" i="6"/>
  <c r="R49" i="6"/>
  <c r="S49" i="6"/>
  <c r="G50" i="6"/>
  <c r="H50" i="6" s="1"/>
  <c r="I50" i="6"/>
  <c r="J50" i="6"/>
  <c r="K50" i="6"/>
  <c r="L50" i="6"/>
  <c r="M50" i="6" a="1"/>
  <c r="M50" i="6" s="1"/>
  <c r="N50" i="6" a="1"/>
  <c r="N50" i="6"/>
  <c r="O50" i="6"/>
  <c r="P50" i="6"/>
  <c r="Q50" i="6"/>
  <c r="R50" i="6"/>
  <c r="S50" i="6"/>
  <c r="G51" i="6"/>
  <c r="H51" i="6" s="1"/>
  <c r="I51" i="6"/>
  <c r="J51" i="6"/>
  <c r="K51" i="6"/>
  <c r="L51" i="6"/>
  <c r="M51" i="6" a="1"/>
  <c r="M51" i="6" s="1"/>
  <c r="N51" i="6" a="1"/>
  <c r="N51" i="6"/>
  <c r="O51" i="6"/>
  <c r="P51" i="6"/>
  <c r="Q51" i="6"/>
  <c r="R51" i="6"/>
  <c r="S51" i="6"/>
  <c r="G52" i="6"/>
  <c r="H52" i="6" s="1"/>
  <c r="I52" i="6"/>
  <c r="J52" i="6"/>
  <c r="K52" i="6"/>
  <c r="L52" i="6"/>
  <c r="M52" i="6" a="1"/>
  <c r="M52" i="6" s="1"/>
  <c r="N52" i="6" a="1"/>
  <c r="N52" i="6"/>
  <c r="O52" i="6"/>
  <c r="P52" i="6"/>
  <c r="Q52" i="6"/>
  <c r="R52" i="6"/>
  <c r="S52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U77" i="4" a="1"/>
  <c r="U77" i="4" s="1"/>
  <c r="U78" i="4" a="1"/>
  <c r="U78" i="4" s="1"/>
  <c r="U79" i="4" a="1"/>
  <c r="U79" i="4" s="1"/>
  <c r="U80" i="4" a="1"/>
  <c r="U80" i="4" s="1"/>
  <c r="U81" i="4" a="1"/>
  <c r="U81" i="4" s="1"/>
  <c r="U82" i="4" a="1"/>
  <c r="U82" i="4" s="1"/>
  <c r="U83" i="4" a="1"/>
  <c r="U83" i="4" s="1"/>
  <c r="U84" i="4" a="1"/>
  <c r="U84" i="4" s="1"/>
  <c r="U85" i="4" a="1"/>
  <c r="U85" i="4" s="1"/>
  <c r="U86" i="4" a="1"/>
  <c r="U86" i="4" s="1"/>
  <c r="U87" i="4" a="1"/>
  <c r="U87" i="4" s="1"/>
  <c r="U88" i="4" a="1"/>
  <c r="U88" i="4" s="1"/>
  <c r="U89" i="4" a="1"/>
  <c r="U89" i="4" s="1"/>
  <c r="U90" i="4" a="1"/>
  <c r="U90" i="4" s="1"/>
  <c r="U91" i="4" a="1"/>
  <c r="U91" i="4" s="1"/>
  <c r="U92" i="4" a="1"/>
  <c r="U92" i="4" s="1"/>
  <c r="U93" i="4" a="1"/>
  <c r="U93" i="4" s="1"/>
  <c r="U94" i="4" a="1"/>
  <c r="U94" i="4" s="1"/>
  <c r="U95" i="4" a="1"/>
  <c r="U95" i="4" s="1"/>
  <c r="U96" i="4" a="1"/>
  <c r="U96" i="4" s="1"/>
  <c r="U97" i="4" a="1"/>
  <c r="U97" i="4" s="1"/>
  <c r="U98" i="4" a="1"/>
  <c r="U98" i="4" s="1"/>
  <c r="U99" i="4" a="1"/>
  <c r="U99" i="4" s="1"/>
  <c r="U100" i="4" a="1"/>
  <c r="U100" i="4" s="1"/>
  <c r="U101" i="4" a="1"/>
  <c r="U101" i="4" s="1"/>
  <c r="U102" i="4" a="1"/>
  <c r="U102" i="4" s="1"/>
  <c r="U103" i="4" a="1"/>
  <c r="U103" i="4" s="1"/>
  <c r="U104" i="4" a="1"/>
  <c r="U104" i="4" s="1"/>
  <c r="U105" i="4" a="1"/>
  <c r="U105" i="4" s="1"/>
  <c r="U106" i="4" a="1"/>
  <c r="U106" i="4" s="1"/>
  <c r="U107" i="4" a="1"/>
  <c r="U107" i="4" s="1"/>
  <c r="U108" i="4" a="1"/>
  <c r="U108" i="4" s="1"/>
  <c r="U109" i="4" a="1"/>
  <c r="U109" i="4" s="1"/>
  <c r="U110" i="4" a="1"/>
  <c r="U110" i="4" s="1"/>
  <c r="U111" i="4" a="1"/>
  <c r="U111" i="4" s="1"/>
  <c r="U112" i="4" a="1"/>
  <c r="U112" i="4" s="1"/>
  <c r="U113" i="4" a="1"/>
  <c r="U113" i="4" s="1"/>
  <c r="U114" i="4" a="1"/>
  <c r="U114" i="4" s="1"/>
  <c r="U115" i="4" a="1"/>
  <c r="U115" i="4" s="1"/>
  <c r="U116" i="4" a="1"/>
  <c r="U116" i="4" s="1"/>
  <c r="U117" i="4" a="1"/>
  <c r="U117" i="4" s="1"/>
  <c r="U118" i="4" a="1"/>
  <c r="U118" i="4" s="1"/>
  <c r="U119" i="4" a="1"/>
  <c r="U119" i="4" s="1"/>
  <c r="U120" i="4" a="1"/>
  <c r="U120" i="4" s="1"/>
  <c r="U121" i="4" a="1"/>
  <c r="U121" i="4" s="1"/>
  <c r="U122" i="4" a="1"/>
  <c r="U122" i="4" s="1"/>
  <c r="U123" i="4" a="1"/>
  <c r="U123" i="4" s="1"/>
  <c r="U124" i="4" a="1"/>
  <c r="U124" i="4" s="1"/>
  <c r="U125" i="4" a="1"/>
  <c r="U125" i="4" s="1"/>
  <c r="U126" i="4" a="1"/>
  <c r="U126" i="4" s="1"/>
  <c r="U127" i="4" a="1"/>
  <c r="U127" i="4" s="1"/>
  <c r="U128" i="4" a="1"/>
  <c r="U128" i="4" s="1"/>
  <c r="U129" i="4" a="1"/>
  <c r="U129" i="4" s="1"/>
  <c r="U130" i="4" a="1"/>
  <c r="U130" i="4" s="1"/>
  <c r="U131" i="4" a="1"/>
  <c r="U131" i="4" s="1"/>
  <c r="U132" i="4" a="1"/>
  <c r="U132" i="4" s="1"/>
  <c r="U133" i="4" a="1"/>
  <c r="U133" i="4" s="1"/>
  <c r="U134" i="4" a="1"/>
  <c r="U134" i="4" s="1"/>
  <c r="U135" i="4" a="1"/>
  <c r="U135" i="4" s="1"/>
  <c r="U136" i="4" a="1"/>
  <c r="U136" i="4" s="1"/>
  <c r="U137" i="4" a="1"/>
  <c r="U137" i="4" s="1"/>
  <c r="U138" i="4" a="1"/>
  <c r="U138" i="4" s="1"/>
  <c r="U139" i="4" a="1"/>
  <c r="U139" i="4" s="1"/>
  <c r="U140" i="4" a="1"/>
  <c r="U140" i="4" s="1"/>
  <c r="U141" i="4" a="1"/>
  <c r="U141" i="4" s="1"/>
  <c r="U142" i="4" a="1"/>
  <c r="U142" i="4" s="1"/>
  <c r="U143" i="4" a="1"/>
  <c r="U143" i="4" s="1"/>
  <c r="U144" i="4" a="1"/>
  <c r="U144" i="4" s="1"/>
  <c r="U145" i="4" a="1"/>
  <c r="U145" i="4" s="1"/>
  <c r="U146" i="4" a="1"/>
  <c r="U146" i="4" s="1"/>
  <c r="U147" i="4" a="1"/>
  <c r="U147" i="4" s="1"/>
  <c r="U148" i="4" a="1"/>
  <c r="U148" i="4" s="1"/>
  <c r="U149" i="4" a="1"/>
  <c r="U149" i="4" s="1"/>
  <c r="U150" i="4" a="1"/>
  <c r="U150" i="4" s="1"/>
  <c r="U151" i="4" a="1"/>
  <c r="U151" i="4" s="1"/>
  <c r="U152" i="4" a="1"/>
  <c r="U152" i="4" s="1"/>
  <c r="U153" i="4" a="1"/>
  <c r="U153" i="4" s="1"/>
  <c r="U154" i="4" a="1"/>
  <c r="U154" i="4" s="1"/>
  <c r="U155" i="4" a="1"/>
  <c r="U155" i="4" s="1"/>
  <c r="U156" i="4" a="1"/>
  <c r="U156" i="4" s="1"/>
  <c r="U157" i="4" a="1"/>
  <c r="U157" i="4" s="1"/>
  <c r="U158" i="4" a="1"/>
  <c r="U158" i="4" s="1"/>
  <c r="U159" i="4" a="1"/>
  <c r="U159" i="4" s="1"/>
  <c r="U160" i="4" a="1"/>
  <c r="U160" i="4" s="1"/>
  <c r="U161" i="4" a="1"/>
  <c r="U161" i="4" s="1"/>
  <c r="U162" i="4" a="1"/>
  <c r="U162" i="4" s="1"/>
  <c r="U163" i="4" a="1"/>
  <c r="U163" i="4" s="1"/>
  <c r="U164" i="4" a="1"/>
  <c r="U164" i="4" s="1"/>
  <c r="U165" i="4" a="1"/>
  <c r="U165" i="4" s="1"/>
  <c r="U166" i="4" a="1"/>
  <c r="U166" i="4" s="1"/>
  <c r="U167" i="4" a="1"/>
  <c r="U167" i="4" s="1"/>
  <c r="U168" i="4" a="1"/>
  <c r="U168" i="4" s="1"/>
  <c r="U169" i="4" a="1"/>
  <c r="U169" i="4" s="1"/>
  <c r="U170" i="4" a="1"/>
  <c r="U170" i="4" s="1"/>
  <c r="U171" i="4" a="1"/>
  <c r="U171" i="4" s="1"/>
  <c r="U172" i="4" a="1"/>
  <c r="U172" i="4" s="1"/>
  <c r="U173" i="4" a="1"/>
  <c r="U173" i="4" s="1"/>
  <c r="U174" i="4" a="1"/>
  <c r="U174" i="4" s="1"/>
  <c r="U175" i="4" a="1"/>
  <c r="U175" i="4" s="1"/>
  <c r="U176" i="4" a="1"/>
  <c r="U176" i="4" s="1"/>
  <c r="U177" i="4" a="1"/>
  <c r="U177" i="4" s="1"/>
  <c r="U178" i="4" a="1"/>
  <c r="U178" i="4" s="1"/>
  <c r="U179" i="4" a="1"/>
  <c r="U179" i="4" s="1"/>
  <c r="U180" i="4" a="1"/>
  <c r="U180" i="4" s="1"/>
  <c r="U181" i="4" a="1"/>
  <c r="U181" i="4" s="1"/>
  <c r="U182" i="4" a="1"/>
  <c r="U182" i="4" s="1"/>
  <c r="U183" i="4" a="1"/>
  <c r="U183" i="4" s="1"/>
  <c r="U184" i="4" a="1"/>
  <c r="U184" i="4" s="1"/>
  <c r="U185" i="4" a="1"/>
  <c r="U185" i="4" s="1"/>
  <c r="U186" i="4" a="1"/>
  <c r="U186" i="4" s="1"/>
  <c r="U187" i="4" a="1"/>
  <c r="U187" i="4" s="1"/>
  <c r="U188" i="4" a="1"/>
  <c r="U188" i="4" s="1"/>
  <c r="U189" i="4" a="1"/>
  <c r="U189" i="4" s="1"/>
  <c r="U190" i="4" a="1"/>
  <c r="U190" i="4" s="1"/>
  <c r="U191" i="4" a="1"/>
  <c r="U191" i="4" s="1"/>
  <c r="U192" i="4" a="1"/>
  <c r="U192" i="4" s="1"/>
  <c r="U193" i="4" a="1"/>
  <c r="U193" i="4" s="1"/>
  <c r="U194" i="4" a="1"/>
  <c r="U194" i="4" s="1"/>
  <c r="U195" i="4" a="1"/>
  <c r="U195" i="4" s="1"/>
  <c r="U196" i="4" a="1"/>
  <c r="U196" i="4" s="1"/>
  <c r="U197" i="4" a="1"/>
  <c r="U197" i="4" s="1"/>
  <c r="U198" i="4" a="1"/>
  <c r="U198" i="4" s="1"/>
  <c r="U199" i="4" a="1"/>
  <c r="U199" i="4" s="1"/>
  <c r="U200" i="4" a="1"/>
  <c r="U200" i="4" s="1"/>
  <c r="U201" i="4" a="1"/>
  <c r="U201" i="4" s="1"/>
  <c r="U202" i="4" a="1"/>
  <c r="U202" i="4" s="1"/>
  <c r="U203" i="4" a="1"/>
  <c r="U203" i="4" s="1"/>
  <c r="U204" i="4" a="1"/>
  <c r="U204" i="4" s="1"/>
  <c r="U205" i="4" a="1"/>
  <c r="U205" i="4" s="1"/>
  <c r="U206" i="4" a="1"/>
  <c r="U206" i="4" s="1"/>
  <c r="U207" i="4" a="1"/>
  <c r="U207" i="4" s="1"/>
  <c r="U208" i="4" a="1"/>
  <c r="U208" i="4" s="1"/>
  <c r="U209" i="4" a="1"/>
  <c r="U209" i="4" s="1"/>
  <c r="U210" i="4" a="1"/>
  <c r="U210" i="4" s="1"/>
  <c r="U211" i="4" a="1"/>
  <c r="U211" i="4" s="1"/>
  <c r="U212" i="4" a="1"/>
  <c r="U212" i="4" s="1"/>
  <c r="U213" i="4" a="1"/>
  <c r="U213" i="4" s="1"/>
  <c r="U214" i="4" a="1"/>
  <c r="U214" i="4" s="1"/>
  <c r="U215" i="4" a="1"/>
  <c r="U215" i="4" s="1"/>
  <c r="U216" i="4" a="1"/>
  <c r="U216" i="4" s="1"/>
  <c r="U217" i="4" a="1"/>
  <c r="U217" i="4" s="1"/>
  <c r="U218" i="4" a="1"/>
  <c r="U218" i="4" s="1"/>
  <c r="U219" i="4" a="1"/>
  <c r="U219" i="4" s="1"/>
  <c r="U220" i="4" a="1"/>
  <c r="U220" i="4" s="1"/>
  <c r="U221" i="4" a="1"/>
  <c r="U221" i="4" s="1"/>
  <c r="U222" i="4" a="1"/>
  <c r="U222" i="4" s="1"/>
  <c r="U223" i="4" a="1"/>
  <c r="U223" i="4" s="1"/>
  <c r="U224" i="4" a="1"/>
  <c r="U224" i="4" s="1"/>
  <c r="U225" i="4" a="1"/>
  <c r="U225" i="4" s="1"/>
  <c r="U226" i="4" a="1"/>
  <c r="U226" i="4" s="1"/>
  <c r="U227" i="4" a="1"/>
  <c r="U227" i="4" s="1"/>
  <c r="U228" i="4" a="1"/>
  <c r="U228" i="4" s="1"/>
  <c r="U229" i="4" a="1"/>
  <c r="U229" i="4" s="1"/>
  <c r="U230" i="4" a="1"/>
  <c r="U230" i="4" s="1"/>
  <c r="U231" i="4" a="1"/>
  <c r="U231" i="4" s="1"/>
  <c r="U232" i="4" a="1"/>
  <c r="U232" i="4" s="1"/>
  <c r="U233" i="4" a="1"/>
  <c r="U233" i="4" s="1"/>
  <c r="U234" i="4" a="1"/>
  <c r="U234" i="4" s="1"/>
  <c r="U235" i="4" a="1"/>
  <c r="U235" i="4" s="1"/>
  <c r="U236" i="4" a="1"/>
  <c r="U236" i="4" s="1"/>
  <c r="U237" i="4" a="1"/>
  <c r="U237" i="4" s="1"/>
  <c r="U238" i="4" a="1"/>
  <c r="U238" i="4" s="1"/>
  <c r="U239" i="4" a="1"/>
  <c r="U239" i="4" s="1"/>
  <c r="U240" i="4" a="1"/>
  <c r="U240" i="4" s="1"/>
  <c r="U241" i="4" a="1"/>
  <c r="U241" i="4" s="1"/>
  <c r="U242" i="4" a="1"/>
  <c r="U242" i="4" s="1"/>
  <c r="U243" i="4" a="1"/>
  <c r="U243" i="4" s="1"/>
  <c r="U244" i="4" a="1"/>
  <c r="U244" i="4" s="1"/>
  <c r="U245" i="4" a="1"/>
  <c r="U245" i="4" s="1"/>
  <c r="U246" i="4" a="1"/>
  <c r="U246" i="4" s="1"/>
  <c r="U247" i="4" a="1"/>
  <c r="U247" i="4" s="1"/>
  <c r="U248" i="4" a="1"/>
  <c r="U248" i="4" s="1"/>
  <c r="U249" i="4" a="1"/>
  <c r="U249" i="4" s="1"/>
  <c r="U250" i="4" a="1"/>
  <c r="U250" i="4" s="1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11" i="5"/>
  <c r="A3" i="5"/>
  <c r="A4" i="5"/>
  <c r="E1431" i="1" s="1"/>
  <c r="A5" i="5"/>
  <c r="A6" i="5"/>
  <c r="X1446" i="1" s="1"/>
  <c r="A7" i="5"/>
  <c r="A8" i="5"/>
  <c r="A9" i="5"/>
  <c r="A10" i="5"/>
  <c r="A2" i="5"/>
  <c r="X1240" i="1" s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2" i="1"/>
  <c r="E2" i="1" s="1"/>
  <c r="A77" i="4"/>
  <c r="C77" i="4"/>
  <c r="D77" i="4" s="1"/>
  <c r="G77" i="4"/>
  <c r="H77" i="4" s="1"/>
  <c r="F77" i="4" s="1"/>
  <c r="L77" i="4"/>
  <c r="N77" i="4" s="1"/>
  <c r="P77" i="4" s="1"/>
  <c r="M77" i="4"/>
  <c r="O77" i="4" s="1" a="1"/>
  <c r="O77" i="4" s="1"/>
  <c r="Q77" i="4" a="1"/>
  <c r="Q77" i="4" s="1"/>
  <c r="S77" i="4"/>
  <c r="T77" i="4" s="1" a="1"/>
  <c r="T77" i="4" s="1"/>
  <c r="AA77" i="4" s="1"/>
  <c r="A78" i="4"/>
  <c r="C78" i="4"/>
  <c r="D78" i="4" s="1"/>
  <c r="G78" i="4"/>
  <c r="H78" i="4" s="1"/>
  <c r="F78" i="4" s="1"/>
  <c r="L78" i="4"/>
  <c r="N78" i="4" s="1"/>
  <c r="P78" i="4" s="1"/>
  <c r="M78" i="4"/>
  <c r="O78" i="4" s="1" a="1"/>
  <c r="O78" i="4" s="1"/>
  <c r="Q78" i="4" a="1"/>
  <c r="Q78" i="4" s="1"/>
  <c r="S78" i="4"/>
  <c r="T78" i="4" s="1" a="1"/>
  <c r="T78" i="4" s="1"/>
  <c r="AA78" i="4" s="1"/>
  <c r="A79" i="4"/>
  <c r="C79" i="4"/>
  <c r="D79" i="4" s="1"/>
  <c r="G79" i="4"/>
  <c r="H79" i="4" s="1"/>
  <c r="F79" i="4" s="1"/>
  <c r="L79" i="4"/>
  <c r="N79" i="4" s="1"/>
  <c r="P79" i="4" s="1"/>
  <c r="M79" i="4"/>
  <c r="O79" i="4" s="1" a="1"/>
  <c r="O79" i="4" s="1"/>
  <c r="Q79" i="4" a="1"/>
  <c r="Q79" i="4" s="1"/>
  <c r="S79" i="4"/>
  <c r="T79" i="4" s="1" a="1"/>
  <c r="T79" i="4" s="1"/>
  <c r="AA79" i="4" s="1"/>
  <c r="A80" i="4"/>
  <c r="C80" i="4"/>
  <c r="D80" i="4" s="1"/>
  <c r="G80" i="4"/>
  <c r="H80" i="4" s="1"/>
  <c r="F80" i="4" s="1"/>
  <c r="L80" i="4"/>
  <c r="N80" i="4" s="1"/>
  <c r="P80" i="4" s="1"/>
  <c r="M80" i="4"/>
  <c r="O80" i="4" s="1" a="1"/>
  <c r="O80" i="4" s="1"/>
  <c r="Q80" i="4" a="1"/>
  <c r="Q80" i="4" s="1"/>
  <c r="S80" i="4"/>
  <c r="T80" i="4" s="1" a="1"/>
  <c r="T80" i="4" s="1"/>
  <c r="AA80" i="4" s="1"/>
  <c r="A81" i="4"/>
  <c r="C81" i="4"/>
  <c r="D81" i="4" s="1"/>
  <c r="G81" i="4"/>
  <c r="H81" i="4" s="1"/>
  <c r="F81" i="4" s="1"/>
  <c r="L81" i="4"/>
  <c r="N81" i="4" s="1"/>
  <c r="P81" i="4" s="1"/>
  <c r="M81" i="4"/>
  <c r="O81" i="4" s="1" a="1"/>
  <c r="O81" i="4" s="1"/>
  <c r="Q81" i="4" a="1"/>
  <c r="Q81" i="4" s="1"/>
  <c r="S81" i="4"/>
  <c r="T81" i="4" s="1" a="1"/>
  <c r="T81" i="4" s="1"/>
  <c r="AA81" i="4" s="1"/>
  <c r="A82" i="4"/>
  <c r="C82" i="4"/>
  <c r="D82" i="4" s="1"/>
  <c r="G82" i="4"/>
  <c r="H82" i="4" s="1"/>
  <c r="F82" i="4" s="1"/>
  <c r="L82" i="4"/>
  <c r="N82" i="4" s="1"/>
  <c r="P82" i="4" s="1"/>
  <c r="M82" i="4"/>
  <c r="O82" i="4" s="1" a="1"/>
  <c r="O82" i="4" s="1"/>
  <c r="Q82" i="4" a="1"/>
  <c r="Q82" i="4" s="1"/>
  <c r="S82" i="4"/>
  <c r="T82" i="4" s="1" a="1"/>
  <c r="T82" i="4" s="1"/>
  <c r="AA82" i="4" s="1"/>
  <c r="A83" i="4"/>
  <c r="C83" i="4"/>
  <c r="D83" i="4" s="1"/>
  <c r="G83" i="4"/>
  <c r="H83" i="4" s="1"/>
  <c r="F83" i="4" s="1"/>
  <c r="L83" i="4"/>
  <c r="N83" i="4" s="1"/>
  <c r="P83" i="4" s="1"/>
  <c r="M83" i="4"/>
  <c r="O83" i="4" s="1" a="1"/>
  <c r="O83" i="4" s="1"/>
  <c r="Q83" i="4" a="1"/>
  <c r="Q83" i="4" s="1"/>
  <c r="S83" i="4"/>
  <c r="T83" i="4" s="1" a="1"/>
  <c r="T83" i="4" s="1"/>
  <c r="AA83" i="4" s="1"/>
  <c r="A84" i="4"/>
  <c r="C84" i="4"/>
  <c r="D84" i="4" s="1"/>
  <c r="G84" i="4"/>
  <c r="H84" i="4" s="1"/>
  <c r="F84" i="4" s="1"/>
  <c r="L84" i="4"/>
  <c r="N84" i="4" s="1"/>
  <c r="P84" i="4" s="1"/>
  <c r="M84" i="4"/>
  <c r="O84" i="4" s="1" a="1"/>
  <c r="O84" i="4" s="1"/>
  <c r="Q84" i="4" a="1"/>
  <c r="Q84" i="4" s="1"/>
  <c r="S84" i="4"/>
  <c r="T84" i="4" s="1" a="1"/>
  <c r="T84" i="4" s="1"/>
  <c r="AA84" i="4" s="1"/>
  <c r="A85" i="4"/>
  <c r="C85" i="4"/>
  <c r="D85" i="4" s="1"/>
  <c r="G85" i="4"/>
  <c r="H85" i="4" s="1"/>
  <c r="F85" i="4" s="1"/>
  <c r="L85" i="4"/>
  <c r="N85" i="4" s="1"/>
  <c r="P85" i="4" s="1"/>
  <c r="M85" i="4"/>
  <c r="O85" i="4" s="1" a="1"/>
  <c r="O85" i="4" s="1"/>
  <c r="Q85" i="4" a="1"/>
  <c r="Q85" i="4" s="1"/>
  <c r="S85" i="4"/>
  <c r="T85" i="4" s="1" a="1"/>
  <c r="T85" i="4" s="1"/>
  <c r="AA85" i="4" s="1"/>
  <c r="A86" i="4"/>
  <c r="C86" i="4"/>
  <c r="D86" i="4" s="1"/>
  <c r="G86" i="4"/>
  <c r="H86" i="4" s="1"/>
  <c r="F86" i="4" s="1"/>
  <c r="L86" i="4"/>
  <c r="N86" i="4" s="1"/>
  <c r="P86" i="4" s="1"/>
  <c r="M86" i="4"/>
  <c r="O86" i="4" s="1" a="1"/>
  <c r="O86" i="4" s="1"/>
  <c r="Q86" i="4" a="1"/>
  <c r="Q86" i="4" s="1"/>
  <c r="S86" i="4"/>
  <c r="T86" i="4" s="1" a="1"/>
  <c r="T86" i="4" s="1"/>
  <c r="AA86" i="4" s="1"/>
  <c r="A87" i="4"/>
  <c r="C87" i="4"/>
  <c r="D87" i="4" s="1"/>
  <c r="G87" i="4"/>
  <c r="H87" i="4" s="1"/>
  <c r="F87" i="4" s="1"/>
  <c r="L87" i="4"/>
  <c r="N87" i="4" s="1"/>
  <c r="P87" i="4" s="1"/>
  <c r="M87" i="4"/>
  <c r="O87" i="4" s="1" a="1"/>
  <c r="O87" i="4" s="1"/>
  <c r="Q87" i="4" a="1"/>
  <c r="Q87" i="4" s="1"/>
  <c r="S87" i="4"/>
  <c r="T87" i="4" s="1" a="1"/>
  <c r="T87" i="4" s="1"/>
  <c r="AA87" i="4" s="1"/>
  <c r="A88" i="4"/>
  <c r="C88" i="4"/>
  <c r="D88" i="4" s="1"/>
  <c r="G88" i="4"/>
  <c r="H88" i="4" s="1"/>
  <c r="F88" i="4" s="1"/>
  <c r="L88" i="4"/>
  <c r="N88" i="4" s="1"/>
  <c r="P88" i="4" s="1"/>
  <c r="M88" i="4"/>
  <c r="O88" i="4" s="1" a="1"/>
  <c r="O88" i="4" s="1"/>
  <c r="Q88" i="4" a="1"/>
  <c r="Q88" i="4" s="1"/>
  <c r="S88" i="4"/>
  <c r="T88" i="4" s="1" a="1"/>
  <c r="T88" i="4" s="1"/>
  <c r="AA88" i="4" s="1"/>
  <c r="A89" i="4"/>
  <c r="F89" i="4"/>
  <c r="L89" i="4"/>
  <c r="N89" i="4" s="1"/>
  <c r="M89" i="4"/>
  <c r="S89" i="4"/>
  <c r="T89" i="4" s="1" a="1"/>
  <c r="T89" i="4" s="1"/>
  <c r="AA89" i="4" s="1"/>
  <c r="F90" i="4"/>
  <c r="L90" i="4"/>
  <c r="N90" i="4" s="1"/>
  <c r="M90" i="4"/>
  <c r="S90" i="4"/>
  <c r="T90" i="4" s="1" a="1"/>
  <c r="T90" i="4" s="1"/>
  <c r="AA90" i="4" s="1"/>
  <c r="F91" i="4"/>
  <c r="L91" i="4"/>
  <c r="N91" i="4" s="1"/>
  <c r="M91" i="4"/>
  <c r="S91" i="4"/>
  <c r="T91" i="4" s="1" a="1"/>
  <c r="T91" i="4" s="1"/>
  <c r="AA91" i="4" s="1"/>
  <c r="F92" i="4"/>
  <c r="L92" i="4"/>
  <c r="N92" i="4" s="1"/>
  <c r="M92" i="4"/>
  <c r="S92" i="4"/>
  <c r="T92" i="4" s="1" a="1"/>
  <c r="T92" i="4" s="1"/>
  <c r="AA92" i="4" s="1"/>
  <c r="F93" i="4"/>
  <c r="L93" i="4"/>
  <c r="N93" i="4" s="1"/>
  <c r="M93" i="4"/>
  <c r="S93" i="4"/>
  <c r="T93" i="4" s="1" a="1"/>
  <c r="T93" i="4" s="1"/>
  <c r="AA93" i="4" s="1"/>
  <c r="F94" i="4"/>
  <c r="L94" i="4"/>
  <c r="N94" i="4" s="1"/>
  <c r="M94" i="4"/>
  <c r="S94" i="4"/>
  <c r="T94" i="4" s="1" a="1"/>
  <c r="T94" i="4" s="1"/>
  <c r="AA94" i="4" s="1"/>
  <c r="F95" i="4"/>
  <c r="L95" i="4"/>
  <c r="N95" i="4" s="1"/>
  <c r="M95" i="4"/>
  <c r="S95" i="4"/>
  <c r="T95" i="4" s="1" a="1"/>
  <c r="T95" i="4" s="1"/>
  <c r="AA95" i="4" s="1"/>
  <c r="F96" i="4"/>
  <c r="L96" i="4"/>
  <c r="N96" i="4" s="1"/>
  <c r="M96" i="4"/>
  <c r="S96" i="4"/>
  <c r="T96" i="4" s="1" a="1"/>
  <c r="T96" i="4" s="1"/>
  <c r="AA96" i="4" s="1"/>
  <c r="F97" i="4"/>
  <c r="L97" i="4"/>
  <c r="N97" i="4" s="1"/>
  <c r="M97" i="4"/>
  <c r="S97" i="4"/>
  <c r="T97" i="4" s="1" a="1"/>
  <c r="T97" i="4" s="1"/>
  <c r="AA97" i="4" s="1"/>
  <c r="F98" i="4"/>
  <c r="L98" i="4"/>
  <c r="N98" i="4" s="1"/>
  <c r="M98" i="4"/>
  <c r="S98" i="4"/>
  <c r="T98" i="4" s="1" a="1"/>
  <c r="T98" i="4" s="1"/>
  <c r="AA98" i="4" s="1"/>
  <c r="F99" i="4"/>
  <c r="L99" i="4"/>
  <c r="N99" i="4" s="1"/>
  <c r="M99" i="4"/>
  <c r="S99" i="4"/>
  <c r="T99" i="4" s="1" a="1"/>
  <c r="T99" i="4" s="1"/>
  <c r="AA99" i="4" s="1"/>
  <c r="F100" i="4"/>
  <c r="L100" i="4"/>
  <c r="N100" i="4" s="1"/>
  <c r="M100" i="4"/>
  <c r="S100" i="4"/>
  <c r="T100" i="4" s="1" a="1"/>
  <c r="T100" i="4" s="1"/>
  <c r="AA100" i="4" s="1"/>
  <c r="F101" i="4"/>
  <c r="L101" i="4"/>
  <c r="N101" i="4" s="1"/>
  <c r="M101" i="4"/>
  <c r="S101" i="4"/>
  <c r="T101" i="4" s="1" a="1"/>
  <c r="T101" i="4" s="1"/>
  <c r="AA101" i="4" s="1"/>
  <c r="F102" i="4"/>
  <c r="L102" i="4"/>
  <c r="N102" i="4" s="1"/>
  <c r="M102" i="4"/>
  <c r="S102" i="4"/>
  <c r="T102" i="4" s="1" a="1"/>
  <c r="T102" i="4" s="1"/>
  <c r="AA102" i="4" s="1"/>
  <c r="F103" i="4"/>
  <c r="L103" i="4"/>
  <c r="N103" i="4" s="1"/>
  <c r="M103" i="4"/>
  <c r="S103" i="4"/>
  <c r="T103" i="4" s="1" a="1"/>
  <c r="T103" i="4" s="1"/>
  <c r="AA103" i="4" s="1"/>
  <c r="F104" i="4"/>
  <c r="L104" i="4"/>
  <c r="N104" i="4" s="1"/>
  <c r="M104" i="4"/>
  <c r="S104" i="4"/>
  <c r="T104" i="4" s="1" a="1"/>
  <c r="T104" i="4" s="1"/>
  <c r="AA104" i="4" s="1"/>
  <c r="F105" i="4"/>
  <c r="L105" i="4"/>
  <c r="N105" i="4" s="1"/>
  <c r="M105" i="4"/>
  <c r="S105" i="4"/>
  <c r="T105" i="4" s="1" a="1"/>
  <c r="T105" i="4" s="1"/>
  <c r="AA105" i="4" s="1"/>
  <c r="F106" i="4"/>
  <c r="L106" i="4"/>
  <c r="N106" i="4" s="1"/>
  <c r="M106" i="4"/>
  <c r="S106" i="4"/>
  <c r="T106" i="4" s="1" a="1"/>
  <c r="T106" i="4" s="1"/>
  <c r="AA106" i="4" s="1"/>
  <c r="F107" i="4"/>
  <c r="L107" i="4"/>
  <c r="N107" i="4" s="1"/>
  <c r="M107" i="4"/>
  <c r="S107" i="4"/>
  <c r="T107" i="4" s="1" a="1"/>
  <c r="T107" i="4" s="1"/>
  <c r="AA107" i="4" s="1"/>
  <c r="F108" i="4"/>
  <c r="L108" i="4"/>
  <c r="N108" i="4" s="1"/>
  <c r="M108" i="4"/>
  <c r="S108" i="4"/>
  <c r="T108" i="4" s="1" a="1"/>
  <c r="T108" i="4" s="1"/>
  <c r="AA108" i="4" s="1"/>
  <c r="F109" i="4"/>
  <c r="L109" i="4"/>
  <c r="N109" i="4" s="1"/>
  <c r="M109" i="4"/>
  <c r="S109" i="4"/>
  <c r="T109" i="4" s="1" a="1"/>
  <c r="T109" i="4" s="1"/>
  <c r="AA109" i="4" s="1"/>
  <c r="F110" i="4"/>
  <c r="L110" i="4"/>
  <c r="N110" i="4" s="1"/>
  <c r="M110" i="4"/>
  <c r="S110" i="4"/>
  <c r="T110" i="4" s="1" a="1"/>
  <c r="T110" i="4" s="1"/>
  <c r="AA110" i="4" s="1"/>
  <c r="F111" i="4"/>
  <c r="L111" i="4"/>
  <c r="N111" i="4" s="1"/>
  <c r="M111" i="4"/>
  <c r="S111" i="4"/>
  <c r="T111" i="4" s="1" a="1"/>
  <c r="T111" i="4" s="1"/>
  <c r="AA111" i="4" s="1"/>
  <c r="F112" i="4"/>
  <c r="L112" i="4"/>
  <c r="N112" i="4" s="1"/>
  <c r="M112" i="4"/>
  <c r="S112" i="4"/>
  <c r="T112" i="4" s="1" a="1"/>
  <c r="T112" i="4" s="1"/>
  <c r="AA112" i="4" s="1"/>
  <c r="F113" i="4"/>
  <c r="L113" i="4"/>
  <c r="N113" i="4" s="1"/>
  <c r="M113" i="4"/>
  <c r="S113" i="4"/>
  <c r="T113" i="4" s="1" a="1"/>
  <c r="T113" i="4" s="1"/>
  <c r="AA113" i="4" s="1"/>
  <c r="F114" i="4"/>
  <c r="L114" i="4"/>
  <c r="N114" i="4" s="1"/>
  <c r="M114" i="4"/>
  <c r="S114" i="4"/>
  <c r="T114" i="4" s="1" a="1"/>
  <c r="T114" i="4" s="1"/>
  <c r="AA114" i="4" s="1"/>
  <c r="F115" i="4"/>
  <c r="L115" i="4"/>
  <c r="N115" i="4" s="1"/>
  <c r="M115" i="4"/>
  <c r="S115" i="4"/>
  <c r="T115" i="4" s="1" a="1"/>
  <c r="T115" i="4" s="1"/>
  <c r="AA115" i="4" s="1"/>
  <c r="F116" i="4"/>
  <c r="L116" i="4"/>
  <c r="N116" i="4" s="1"/>
  <c r="M116" i="4"/>
  <c r="S116" i="4"/>
  <c r="T116" i="4" s="1" a="1"/>
  <c r="T116" i="4" s="1"/>
  <c r="AA116" i="4" s="1"/>
  <c r="F117" i="4"/>
  <c r="L117" i="4"/>
  <c r="N117" i="4" s="1"/>
  <c r="M117" i="4"/>
  <c r="S117" i="4"/>
  <c r="T117" i="4" s="1" a="1"/>
  <c r="T117" i="4" s="1"/>
  <c r="AA117" i="4" s="1"/>
  <c r="F118" i="4"/>
  <c r="L118" i="4"/>
  <c r="N118" i="4" s="1"/>
  <c r="M118" i="4"/>
  <c r="S118" i="4"/>
  <c r="T118" i="4" s="1" a="1"/>
  <c r="T118" i="4" s="1"/>
  <c r="AA118" i="4" s="1"/>
  <c r="F119" i="4"/>
  <c r="L119" i="4"/>
  <c r="N119" i="4" s="1"/>
  <c r="M119" i="4"/>
  <c r="S119" i="4"/>
  <c r="T119" i="4" s="1" a="1"/>
  <c r="T119" i="4" s="1"/>
  <c r="AA119" i="4" s="1"/>
  <c r="F120" i="4"/>
  <c r="L120" i="4"/>
  <c r="N120" i="4" s="1"/>
  <c r="M120" i="4"/>
  <c r="S120" i="4"/>
  <c r="T120" i="4" s="1" a="1"/>
  <c r="T120" i="4" s="1"/>
  <c r="AA120" i="4" s="1"/>
  <c r="F121" i="4"/>
  <c r="L121" i="4"/>
  <c r="N121" i="4" s="1"/>
  <c r="M121" i="4"/>
  <c r="S121" i="4"/>
  <c r="T121" i="4" s="1" a="1"/>
  <c r="T121" i="4" s="1"/>
  <c r="AA121" i="4" s="1"/>
  <c r="F122" i="4"/>
  <c r="L122" i="4"/>
  <c r="N122" i="4" s="1"/>
  <c r="M122" i="4"/>
  <c r="S122" i="4"/>
  <c r="T122" i="4" s="1" a="1"/>
  <c r="T122" i="4" s="1"/>
  <c r="AA122" i="4" s="1"/>
  <c r="F123" i="4"/>
  <c r="L123" i="4"/>
  <c r="N123" i="4" s="1"/>
  <c r="M123" i="4"/>
  <c r="S123" i="4"/>
  <c r="T123" i="4" s="1" a="1"/>
  <c r="T123" i="4" s="1"/>
  <c r="AA123" i="4" s="1"/>
  <c r="F124" i="4"/>
  <c r="L124" i="4"/>
  <c r="N124" i="4" s="1"/>
  <c r="M124" i="4"/>
  <c r="S124" i="4"/>
  <c r="T124" i="4" s="1" a="1"/>
  <c r="T124" i="4" s="1"/>
  <c r="AA124" i="4" s="1"/>
  <c r="F125" i="4"/>
  <c r="L125" i="4"/>
  <c r="N125" i="4" s="1"/>
  <c r="M125" i="4"/>
  <c r="S125" i="4"/>
  <c r="T125" i="4" s="1" a="1"/>
  <c r="T125" i="4" s="1"/>
  <c r="AA125" i="4" s="1"/>
  <c r="F126" i="4"/>
  <c r="L126" i="4"/>
  <c r="N126" i="4" s="1"/>
  <c r="M126" i="4"/>
  <c r="S126" i="4"/>
  <c r="T126" i="4" s="1" a="1"/>
  <c r="T126" i="4" s="1"/>
  <c r="AA126" i="4" s="1"/>
  <c r="F127" i="4"/>
  <c r="L127" i="4"/>
  <c r="N127" i="4" s="1"/>
  <c r="M127" i="4"/>
  <c r="S127" i="4"/>
  <c r="T127" i="4" s="1" a="1"/>
  <c r="T127" i="4" s="1"/>
  <c r="AA127" i="4" s="1"/>
  <c r="F128" i="4"/>
  <c r="L128" i="4"/>
  <c r="N128" i="4" s="1"/>
  <c r="M128" i="4"/>
  <c r="S128" i="4"/>
  <c r="T128" i="4" s="1" a="1"/>
  <c r="T128" i="4" s="1"/>
  <c r="AA128" i="4" s="1"/>
  <c r="F129" i="4"/>
  <c r="L129" i="4"/>
  <c r="N129" i="4" s="1"/>
  <c r="M129" i="4"/>
  <c r="S129" i="4"/>
  <c r="T129" i="4" s="1" a="1"/>
  <c r="T129" i="4" s="1"/>
  <c r="AA129" i="4" s="1"/>
  <c r="F130" i="4"/>
  <c r="L130" i="4"/>
  <c r="N130" i="4" s="1"/>
  <c r="M130" i="4"/>
  <c r="S130" i="4"/>
  <c r="T130" i="4" s="1" a="1"/>
  <c r="T130" i="4" s="1"/>
  <c r="AA130" i="4" s="1"/>
  <c r="F131" i="4"/>
  <c r="L131" i="4"/>
  <c r="N131" i="4" s="1"/>
  <c r="M131" i="4"/>
  <c r="S131" i="4"/>
  <c r="T131" i="4" s="1" a="1"/>
  <c r="T131" i="4" s="1"/>
  <c r="AA131" i="4" s="1"/>
  <c r="F132" i="4"/>
  <c r="L132" i="4"/>
  <c r="N132" i="4" s="1"/>
  <c r="M132" i="4"/>
  <c r="S132" i="4"/>
  <c r="T132" i="4" s="1" a="1"/>
  <c r="T132" i="4" s="1"/>
  <c r="AA132" i="4" s="1"/>
  <c r="F133" i="4"/>
  <c r="L133" i="4"/>
  <c r="N133" i="4" s="1"/>
  <c r="M133" i="4"/>
  <c r="S133" i="4"/>
  <c r="T133" i="4" s="1" a="1"/>
  <c r="T133" i="4" s="1"/>
  <c r="AA133" i="4" s="1"/>
  <c r="F134" i="4"/>
  <c r="L134" i="4"/>
  <c r="N134" i="4" s="1"/>
  <c r="M134" i="4"/>
  <c r="S134" i="4"/>
  <c r="T134" i="4" s="1" a="1"/>
  <c r="T134" i="4" s="1"/>
  <c r="AA134" i="4" s="1"/>
  <c r="F135" i="4"/>
  <c r="L135" i="4"/>
  <c r="N135" i="4" s="1"/>
  <c r="M135" i="4"/>
  <c r="S135" i="4"/>
  <c r="T135" i="4" s="1" a="1"/>
  <c r="T135" i="4" s="1"/>
  <c r="AA135" i="4" s="1"/>
  <c r="F136" i="4"/>
  <c r="L136" i="4"/>
  <c r="N136" i="4" s="1"/>
  <c r="M136" i="4"/>
  <c r="S136" i="4"/>
  <c r="T136" i="4" s="1" a="1"/>
  <c r="T136" i="4" s="1"/>
  <c r="AA136" i="4" s="1"/>
  <c r="F137" i="4"/>
  <c r="L137" i="4"/>
  <c r="N137" i="4" s="1"/>
  <c r="M137" i="4"/>
  <c r="S137" i="4"/>
  <c r="T137" i="4" s="1" a="1"/>
  <c r="T137" i="4" s="1"/>
  <c r="AA137" i="4" s="1"/>
  <c r="F138" i="4"/>
  <c r="L138" i="4"/>
  <c r="N138" i="4" s="1"/>
  <c r="M138" i="4"/>
  <c r="S138" i="4"/>
  <c r="T138" i="4" s="1" a="1"/>
  <c r="T138" i="4" s="1"/>
  <c r="AA138" i="4" s="1"/>
  <c r="F139" i="4"/>
  <c r="L139" i="4"/>
  <c r="N139" i="4" s="1"/>
  <c r="M139" i="4"/>
  <c r="S139" i="4"/>
  <c r="T139" i="4" s="1" a="1"/>
  <c r="T139" i="4" s="1"/>
  <c r="AA139" i="4" s="1"/>
  <c r="F140" i="4"/>
  <c r="L140" i="4"/>
  <c r="N140" i="4" s="1"/>
  <c r="M140" i="4"/>
  <c r="S140" i="4"/>
  <c r="T140" i="4" s="1" a="1"/>
  <c r="T140" i="4" s="1"/>
  <c r="AA140" i="4" s="1"/>
  <c r="F141" i="4"/>
  <c r="L141" i="4"/>
  <c r="N141" i="4" s="1"/>
  <c r="M141" i="4"/>
  <c r="S141" i="4"/>
  <c r="T141" i="4" s="1" a="1"/>
  <c r="T141" i="4" s="1"/>
  <c r="AA141" i="4" s="1"/>
  <c r="F142" i="4"/>
  <c r="L142" i="4"/>
  <c r="N142" i="4" s="1"/>
  <c r="M142" i="4"/>
  <c r="S142" i="4"/>
  <c r="T142" i="4" s="1" a="1"/>
  <c r="T142" i="4" s="1"/>
  <c r="AA142" i="4" s="1"/>
  <c r="F143" i="4"/>
  <c r="L143" i="4"/>
  <c r="N143" i="4" s="1"/>
  <c r="M143" i="4"/>
  <c r="S143" i="4"/>
  <c r="T143" i="4" s="1" a="1"/>
  <c r="T143" i="4" s="1"/>
  <c r="AA143" i="4" s="1"/>
  <c r="F144" i="4"/>
  <c r="L144" i="4"/>
  <c r="N144" i="4" s="1"/>
  <c r="M144" i="4"/>
  <c r="S144" i="4"/>
  <c r="T144" i="4" s="1" a="1"/>
  <c r="T144" i="4" s="1"/>
  <c r="AA144" i="4" s="1"/>
  <c r="F145" i="4"/>
  <c r="L145" i="4"/>
  <c r="N145" i="4" s="1"/>
  <c r="M145" i="4"/>
  <c r="S145" i="4"/>
  <c r="T145" i="4" s="1" a="1"/>
  <c r="T145" i="4" s="1"/>
  <c r="AA145" i="4" s="1"/>
  <c r="F146" i="4"/>
  <c r="L146" i="4"/>
  <c r="N146" i="4" s="1"/>
  <c r="M146" i="4"/>
  <c r="S146" i="4"/>
  <c r="T146" i="4" s="1" a="1"/>
  <c r="T146" i="4" s="1"/>
  <c r="AA146" i="4" s="1"/>
  <c r="F147" i="4"/>
  <c r="L147" i="4"/>
  <c r="N147" i="4" s="1"/>
  <c r="M147" i="4"/>
  <c r="S147" i="4"/>
  <c r="T147" i="4" s="1" a="1"/>
  <c r="T147" i="4" s="1"/>
  <c r="AA147" i="4" s="1"/>
  <c r="F148" i="4"/>
  <c r="L148" i="4"/>
  <c r="N148" i="4" s="1"/>
  <c r="M148" i="4"/>
  <c r="S148" i="4"/>
  <c r="T148" i="4" s="1" a="1"/>
  <c r="T148" i="4" s="1"/>
  <c r="AA148" i="4" s="1"/>
  <c r="F149" i="4"/>
  <c r="L149" i="4"/>
  <c r="N149" i="4" s="1"/>
  <c r="M149" i="4"/>
  <c r="S149" i="4"/>
  <c r="T149" i="4" s="1" a="1"/>
  <c r="T149" i="4" s="1"/>
  <c r="AA149" i="4" s="1"/>
  <c r="F150" i="4"/>
  <c r="L150" i="4"/>
  <c r="N150" i="4" s="1"/>
  <c r="M150" i="4"/>
  <c r="S150" i="4"/>
  <c r="T150" i="4" s="1" a="1"/>
  <c r="T150" i="4" s="1"/>
  <c r="AA150" i="4" s="1"/>
  <c r="F151" i="4"/>
  <c r="L151" i="4"/>
  <c r="N151" i="4" s="1"/>
  <c r="M151" i="4"/>
  <c r="S151" i="4"/>
  <c r="T151" i="4" s="1" a="1"/>
  <c r="T151" i="4" s="1"/>
  <c r="AA151" i="4" s="1"/>
  <c r="F152" i="4"/>
  <c r="L152" i="4"/>
  <c r="N152" i="4" s="1"/>
  <c r="M152" i="4"/>
  <c r="S152" i="4"/>
  <c r="T152" i="4" s="1" a="1"/>
  <c r="T152" i="4" s="1"/>
  <c r="AA152" i="4" s="1"/>
  <c r="F153" i="4"/>
  <c r="L153" i="4"/>
  <c r="N153" i="4" s="1"/>
  <c r="M153" i="4"/>
  <c r="S153" i="4"/>
  <c r="T153" i="4" s="1" a="1"/>
  <c r="T153" i="4" s="1"/>
  <c r="AA153" i="4" s="1"/>
  <c r="F154" i="4"/>
  <c r="L154" i="4"/>
  <c r="N154" i="4" s="1"/>
  <c r="M154" i="4"/>
  <c r="S154" i="4"/>
  <c r="T154" i="4" s="1" a="1"/>
  <c r="T154" i="4" s="1"/>
  <c r="AA154" i="4" s="1"/>
  <c r="F155" i="4"/>
  <c r="L155" i="4"/>
  <c r="N155" i="4" s="1"/>
  <c r="M155" i="4"/>
  <c r="S155" i="4"/>
  <c r="T155" i="4" s="1" a="1"/>
  <c r="T155" i="4" s="1"/>
  <c r="AA155" i="4" s="1"/>
  <c r="F156" i="4"/>
  <c r="L156" i="4"/>
  <c r="N156" i="4" s="1"/>
  <c r="M156" i="4"/>
  <c r="S156" i="4"/>
  <c r="T156" i="4" s="1" a="1"/>
  <c r="T156" i="4" s="1"/>
  <c r="AA156" i="4" s="1"/>
  <c r="F157" i="4"/>
  <c r="L157" i="4"/>
  <c r="N157" i="4" s="1"/>
  <c r="M157" i="4"/>
  <c r="S157" i="4"/>
  <c r="T157" i="4" s="1" a="1"/>
  <c r="T157" i="4" s="1"/>
  <c r="AA157" i="4" s="1"/>
  <c r="F158" i="4"/>
  <c r="L158" i="4"/>
  <c r="N158" i="4" s="1"/>
  <c r="M158" i="4"/>
  <c r="S158" i="4"/>
  <c r="T158" i="4" s="1" a="1"/>
  <c r="T158" i="4" s="1"/>
  <c r="AA158" i="4" s="1"/>
  <c r="F159" i="4"/>
  <c r="L159" i="4"/>
  <c r="N159" i="4" s="1"/>
  <c r="M159" i="4"/>
  <c r="S159" i="4"/>
  <c r="T159" i="4" s="1" a="1"/>
  <c r="T159" i="4" s="1"/>
  <c r="AA159" i="4" s="1"/>
  <c r="F160" i="4"/>
  <c r="L160" i="4"/>
  <c r="N160" i="4" s="1"/>
  <c r="M160" i="4"/>
  <c r="S160" i="4"/>
  <c r="T160" i="4" s="1" a="1"/>
  <c r="T160" i="4" s="1"/>
  <c r="AA160" i="4" s="1"/>
  <c r="F161" i="4"/>
  <c r="L161" i="4"/>
  <c r="N161" i="4" s="1"/>
  <c r="M161" i="4"/>
  <c r="S161" i="4"/>
  <c r="T161" i="4" s="1" a="1"/>
  <c r="T161" i="4" s="1"/>
  <c r="AA161" i="4" s="1"/>
  <c r="F162" i="4"/>
  <c r="L162" i="4"/>
  <c r="N162" i="4" s="1"/>
  <c r="M162" i="4"/>
  <c r="S162" i="4"/>
  <c r="T162" i="4" s="1" a="1"/>
  <c r="T162" i="4" s="1"/>
  <c r="AA162" i="4" s="1"/>
  <c r="F163" i="4"/>
  <c r="L163" i="4"/>
  <c r="N163" i="4" s="1"/>
  <c r="M163" i="4"/>
  <c r="S163" i="4"/>
  <c r="T163" i="4" s="1" a="1"/>
  <c r="T163" i="4" s="1"/>
  <c r="AA163" i="4" s="1"/>
  <c r="F164" i="4"/>
  <c r="L164" i="4"/>
  <c r="N164" i="4" s="1"/>
  <c r="M164" i="4"/>
  <c r="S164" i="4"/>
  <c r="T164" i="4" s="1" a="1"/>
  <c r="T164" i="4" s="1"/>
  <c r="AA164" i="4" s="1"/>
  <c r="F165" i="4"/>
  <c r="L165" i="4"/>
  <c r="N165" i="4" s="1"/>
  <c r="M165" i="4"/>
  <c r="S165" i="4"/>
  <c r="T165" i="4" s="1" a="1"/>
  <c r="T165" i="4" s="1"/>
  <c r="AA165" i="4" s="1"/>
  <c r="F166" i="4"/>
  <c r="L166" i="4"/>
  <c r="N166" i="4" s="1"/>
  <c r="M166" i="4"/>
  <c r="S166" i="4"/>
  <c r="T166" i="4" s="1" a="1"/>
  <c r="T166" i="4" s="1"/>
  <c r="AA166" i="4" s="1"/>
  <c r="F167" i="4"/>
  <c r="L167" i="4"/>
  <c r="N167" i="4" s="1"/>
  <c r="M167" i="4"/>
  <c r="S167" i="4"/>
  <c r="T167" i="4" s="1" a="1"/>
  <c r="T167" i="4" s="1"/>
  <c r="AA167" i="4" s="1"/>
  <c r="F168" i="4"/>
  <c r="L168" i="4"/>
  <c r="N168" i="4" s="1"/>
  <c r="M168" i="4"/>
  <c r="S168" i="4"/>
  <c r="T168" i="4" s="1" a="1"/>
  <c r="T168" i="4" s="1"/>
  <c r="AA168" i="4" s="1"/>
  <c r="F169" i="4"/>
  <c r="L169" i="4"/>
  <c r="N169" i="4" s="1"/>
  <c r="M169" i="4"/>
  <c r="S169" i="4"/>
  <c r="T169" i="4" s="1" a="1"/>
  <c r="T169" i="4" s="1"/>
  <c r="AA169" i="4" s="1"/>
  <c r="F170" i="4"/>
  <c r="L170" i="4"/>
  <c r="N170" i="4" s="1"/>
  <c r="M170" i="4"/>
  <c r="S170" i="4"/>
  <c r="T170" i="4" s="1" a="1"/>
  <c r="T170" i="4" s="1"/>
  <c r="AA170" i="4" s="1"/>
  <c r="F171" i="4"/>
  <c r="L171" i="4"/>
  <c r="N171" i="4" s="1"/>
  <c r="M171" i="4"/>
  <c r="S171" i="4"/>
  <c r="T171" i="4" s="1" a="1"/>
  <c r="T171" i="4" s="1"/>
  <c r="AA171" i="4" s="1"/>
  <c r="F172" i="4"/>
  <c r="L172" i="4"/>
  <c r="N172" i="4" s="1"/>
  <c r="M172" i="4"/>
  <c r="S172" i="4"/>
  <c r="T172" i="4" s="1" a="1"/>
  <c r="T172" i="4" s="1"/>
  <c r="AA172" i="4" s="1"/>
  <c r="F173" i="4"/>
  <c r="L173" i="4"/>
  <c r="N173" i="4" s="1"/>
  <c r="M173" i="4"/>
  <c r="S173" i="4"/>
  <c r="T173" i="4" s="1" a="1"/>
  <c r="T173" i="4" s="1"/>
  <c r="AA173" i="4" s="1"/>
  <c r="F174" i="4"/>
  <c r="L174" i="4"/>
  <c r="N174" i="4" s="1"/>
  <c r="M174" i="4"/>
  <c r="S174" i="4"/>
  <c r="T174" i="4" s="1" a="1"/>
  <c r="T174" i="4" s="1"/>
  <c r="AA174" i="4" s="1"/>
  <c r="F175" i="4"/>
  <c r="L175" i="4"/>
  <c r="N175" i="4" s="1"/>
  <c r="M175" i="4"/>
  <c r="S175" i="4"/>
  <c r="T175" i="4" s="1" a="1"/>
  <c r="T175" i="4" s="1"/>
  <c r="AA175" i="4" s="1"/>
  <c r="F176" i="4"/>
  <c r="L176" i="4"/>
  <c r="N176" i="4" s="1"/>
  <c r="M176" i="4"/>
  <c r="S176" i="4"/>
  <c r="T176" i="4" s="1" a="1"/>
  <c r="T176" i="4" s="1"/>
  <c r="AA176" i="4" s="1"/>
  <c r="F177" i="4"/>
  <c r="L177" i="4"/>
  <c r="N177" i="4" s="1"/>
  <c r="M177" i="4"/>
  <c r="S177" i="4"/>
  <c r="T177" i="4" s="1" a="1"/>
  <c r="T177" i="4" s="1"/>
  <c r="AA177" i="4" s="1"/>
  <c r="F178" i="4"/>
  <c r="L178" i="4"/>
  <c r="N178" i="4" s="1"/>
  <c r="M178" i="4"/>
  <c r="S178" i="4"/>
  <c r="T178" i="4" s="1" a="1"/>
  <c r="T178" i="4" s="1"/>
  <c r="AA178" i="4" s="1"/>
  <c r="F179" i="4"/>
  <c r="L179" i="4"/>
  <c r="N179" i="4" s="1"/>
  <c r="M179" i="4"/>
  <c r="S179" i="4"/>
  <c r="T179" i="4" s="1" a="1"/>
  <c r="T179" i="4" s="1"/>
  <c r="AA179" i="4" s="1"/>
  <c r="F180" i="4"/>
  <c r="L180" i="4"/>
  <c r="N180" i="4" s="1"/>
  <c r="M180" i="4"/>
  <c r="S180" i="4"/>
  <c r="T180" i="4" s="1" a="1"/>
  <c r="T180" i="4" s="1"/>
  <c r="AA180" i="4" s="1"/>
  <c r="F181" i="4"/>
  <c r="L181" i="4"/>
  <c r="N181" i="4" s="1"/>
  <c r="M181" i="4"/>
  <c r="S181" i="4"/>
  <c r="T181" i="4" s="1" a="1"/>
  <c r="T181" i="4" s="1"/>
  <c r="AA181" i="4" s="1"/>
  <c r="F182" i="4"/>
  <c r="L182" i="4"/>
  <c r="N182" i="4" s="1"/>
  <c r="M182" i="4"/>
  <c r="S182" i="4"/>
  <c r="T182" i="4" s="1" a="1"/>
  <c r="T182" i="4" s="1"/>
  <c r="AA182" i="4" s="1"/>
  <c r="F183" i="4"/>
  <c r="L183" i="4"/>
  <c r="N183" i="4" s="1"/>
  <c r="M183" i="4"/>
  <c r="S183" i="4"/>
  <c r="T183" i="4" s="1" a="1"/>
  <c r="T183" i="4" s="1"/>
  <c r="AA183" i="4" s="1"/>
  <c r="F184" i="4"/>
  <c r="L184" i="4"/>
  <c r="N184" i="4" s="1"/>
  <c r="M184" i="4"/>
  <c r="S184" i="4"/>
  <c r="T184" i="4" s="1" a="1"/>
  <c r="T184" i="4" s="1"/>
  <c r="AA184" i="4" s="1"/>
  <c r="F185" i="4"/>
  <c r="L185" i="4"/>
  <c r="N185" i="4" s="1"/>
  <c r="M185" i="4"/>
  <c r="S185" i="4"/>
  <c r="T185" i="4" s="1" a="1"/>
  <c r="T185" i="4" s="1"/>
  <c r="AA185" i="4" s="1"/>
  <c r="F186" i="4"/>
  <c r="L186" i="4"/>
  <c r="N186" i="4" s="1"/>
  <c r="M186" i="4"/>
  <c r="S186" i="4"/>
  <c r="T186" i="4" s="1" a="1"/>
  <c r="T186" i="4" s="1"/>
  <c r="AA186" i="4" s="1"/>
  <c r="F187" i="4"/>
  <c r="L187" i="4"/>
  <c r="N187" i="4" s="1"/>
  <c r="M187" i="4"/>
  <c r="S187" i="4"/>
  <c r="T187" i="4" s="1" a="1"/>
  <c r="T187" i="4" s="1"/>
  <c r="AA187" i="4" s="1"/>
  <c r="F188" i="4"/>
  <c r="L188" i="4"/>
  <c r="N188" i="4" s="1"/>
  <c r="M188" i="4"/>
  <c r="S188" i="4"/>
  <c r="T188" i="4" s="1" a="1"/>
  <c r="T188" i="4" s="1"/>
  <c r="AA188" i="4" s="1"/>
  <c r="F189" i="4"/>
  <c r="L189" i="4"/>
  <c r="N189" i="4" s="1"/>
  <c r="M189" i="4"/>
  <c r="S189" i="4"/>
  <c r="T189" i="4" s="1" a="1"/>
  <c r="T189" i="4" s="1"/>
  <c r="AA189" i="4" s="1"/>
  <c r="F190" i="4"/>
  <c r="L190" i="4"/>
  <c r="N190" i="4" s="1"/>
  <c r="M190" i="4"/>
  <c r="S190" i="4"/>
  <c r="T190" i="4" s="1" a="1"/>
  <c r="T190" i="4" s="1"/>
  <c r="AA190" i="4" s="1"/>
  <c r="F191" i="4"/>
  <c r="L191" i="4"/>
  <c r="N191" i="4" s="1"/>
  <c r="M191" i="4"/>
  <c r="S191" i="4"/>
  <c r="T191" i="4" s="1" a="1"/>
  <c r="T191" i="4" s="1"/>
  <c r="AA191" i="4" s="1"/>
  <c r="F192" i="4"/>
  <c r="L192" i="4"/>
  <c r="N192" i="4" s="1"/>
  <c r="M192" i="4"/>
  <c r="S192" i="4"/>
  <c r="T192" i="4" s="1" a="1"/>
  <c r="T192" i="4" s="1"/>
  <c r="AA192" i="4" s="1"/>
  <c r="F193" i="4"/>
  <c r="L193" i="4"/>
  <c r="N193" i="4" s="1"/>
  <c r="M193" i="4"/>
  <c r="S193" i="4"/>
  <c r="T193" i="4" s="1" a="1"/>
  <c r="T193" i="4" s="1"/>
  <c r="AA193" i="4" s="1"/>
  <c r="F194" i="4"/>
  <c r="L194" i="4"/>
  <c r="N194" i="4" s="1"/>
  <c r="M194" i="4"/>
  <c r="S194" i="4"/>
  <c r="T194" i="4" s="1" a="1"/>
  <c r="T194" i="4" s="1"/>
  <c r="AA194" i="4" s="1"/>
  <c r="F195" i="4"/>
  <c r="L195" i="4"/>
  <c r="N195" i="4" s="1"/>
  <c r="M195" i="4"/>
  <c r="S195" i="4"/>
  <c r="T195" i="4" s="1" a="1"/>
  <c r="T195" i="4" s="1"/>
  <c r="AA195" i="4" s="1"/>
  <c r="F196" i="4"/>
  <c r="L196" i="4"/>
  <c r="N196" i="4" s="1"/>
  <c r="M196" i="4"/>
  <c r="S196" i="4"/>
  <c r="T196" i="4" s="1" a="1"/>
  <c r="T196" i="4" s="1"/>
  <c r="AA196" i="4" s="1"/>
  <c r="F197" i="4"/>
  <c r="L197" i="4"/>
  <c r="N197" i="4" s="1"/>
  <c r="M197" i="4"/>
  <c r="S197" i="4"/>
  <c r="T197" i="4" s="1" a="1"/>
  <c r="T197" i="4" s="1"/>
  <c r="AA197" i="4" s="1"/>
  <c r="F198" i="4"/>
  <c r="L198" i="4"/>
  <c r="N198" i="4" s="1"/>
  <c r="M198" i="4"/>
  <c r="S198" i="4"/>
  <c r="T198" i="4" s="1" a="1"/>
  <c r="T198" i="4" s="1"/>
  <c r="AA198" i="4" s="1"/>
  <c r="F199" i="4"/>
  <c r="L199" i="4"/>
  <c r="N199" i="4" s="1"/>
  <c r="M199" i="4"/>
  <c r="S199" i="4"/>
  <c r="T199" i="4" s="1" a="1"/>
  <c r="T199" i="4" s="1"/>
  <c r="AA199" i="4" s="1"/>
  <c r="F200" i="4"/>
  <c r="L200" i="4"/>
  <c r="N200" i="4" s="1"/>
  <c r="M200" i="4"/>
  <c r="S200" i="4"/>
  <c r="T200" i="4" s="1" a="1"/>
  <c r="T200" i="4" s="1"/>
  <c r="AA200" i="4" s="1"/>
  <c r="F201" i="4"/>
  <c r="L201" i="4"/>
  <c r="N201" i="4" s="1"/>
  <c r="M201" i="4"/>
  <c r="S201" i="4"/>
  <c r="T201" i="4" s="1" a="1"/>
  <c r="T201" i="4" s="1"/>
  <c r="AA201" i="4" s="1"/>
  <c r="F202" i="4"/>
  <c r="L202" i="4"/>
  <c r="N202" i="4" s="1"/>
  <c r="M202" i="4"/>
  <c r="S202" i="4"/>
  <c r="T202" i="4" s="1" a="1"/>
  <c r="T202" i="4" s="1"/>
  <c r="AA202" i="4" s="1"/>
  <c r="F203" i="4"/>
  <c r="L203" i="4"/>
  <c r="N203" i="4" s="1"/>
  <c r="M203" i="4"/>
  <c r="S203" i="4"/>
  <c r="T203" i="4" s="1" a="1"/>
  <c r="T203" i="4" s="1"/>
  <c r="AA203" i="4" s="1"/>
  <c r="F204" i="4"/>
  <c r="L204" i="4"/>
  <c r="N204" i="4" s="1"/>
  <c r="M204" i="4"/>
  <c r="S204" i="4"/>
  <c r="T204" i="4" s="1" a="1"/>
  <c r="T204" i="4" s="1"/>
  <c r="AA204" i="4" s="1"/>
  <c r="F205" i="4"/>
  <c r="L205" i="4"/>
  <c r="N205" i="4" s="1"/>
  <c r="M205" i="4"/>
  <c r="S205" i="4"/>
  <c r="T205" i="4" s="1" a="1"/>
  <c r="T205" i="4" s="1"/>
  <c r="AA205" i="4" s="1"/>
  <c r="F206" i="4"/>
  <c r="L206" i="4"/>
  <c r="N206" i="4" s="1"/>
  <c r="M206" i="4"/>
  <c r="S206" i="4"/>
  <c r="T206" i="4" s="1" a="1"/>
  <c r="T206" i="4" s="1"/>
  <c r="AA206" i="4" s="1"/>
  <c r="F207" i="4"/>
  <c r="L207" i="4"/>
  <c r="N207" i="4" s="1"/>
  <c r="M207" i="4"/>
  <c r="S207" i="4"/>
  <c r="T207" i="4" s="1" a="1"/>
  <c r="T207" i="4" s="1"/>
  <c r="AA207" i="4" s="1"/>
  <c r="F208" i="4"/>
  <c r="L208" i="4"/>
  <c r="N208" i="4" s="1"/>
  <c r="M208" i="4"/>
  <c r="S208" i="4"/>
  <c r="T208" i="4" s="1" a="1"/>
  <c r="T208" i="4" s="1"/>
  <c r="AA208" i="4" s="1"/>
  <c r="F209" i="4"/>
  <c r="L209" i="4"/>
  <c r="N209" i="4" s="1"/>
  <c r="M209" i="4"/>
  <c r="S209" i="4"/>
  <c r="T209" i="4" s="1" a="1"/>
  <c r="T209" i="4" s="1"/>
  <c r="AA209" i="4" s="1"/>
  <c r="F210" i="4"/>
  <c r="L210" i="4"/>
  <c r="N210" i="4" s="1"/>
  <c r="M210" i="4"/>
  <c r="S210" i="4"/>
  <c r="T210" i="4" s="1" a="1"/>
  <c r="T210" i="4" s="1"/>
  <c r="AA210" i="4" s="1"/>
  <c r="F211" i="4"/>
  <c r="L211" i="4"/>
  <c r="N211" i="4" s="1"/>
  <c r="M211" i="4"/>
  <c r="S211" i="4"/>
  <c r="T211" i="4" s="1" a="1"/>
  <c r="T211" i="4" s="1"/>
  <c r="AA211" i="4" s="1"/>
  <c r="F212" i="4"/>
  <c r="L212" i="4"/>
  <c r="N212" i="4" s="1"/>
  <c r="M212" i="4"/>
  <c r="S212" i="4"/>
  <c r="T212" i="4" s="1" a="1"/>
  <c r="T212" i="4" s="1"/>
  <c r="AA212" i="4" s="1"/>
  <c r="F213" i="4"/>
  <c r="L213" i="4"/>
  <c r="N213" i="4" s="1"/>
  <c r="M213" i="4"/>
  <c r="S213" i="4"/>
  <c r="T213" i="4" s="1" a="1"/>
  <c r="T213" i="4" s="1"/>
  <c r="AA213" i="4" s="1"/>
  <c r="F214" i="4"/>
  <c r="L214" i="4"/>
  <c r="N214" i="4" s="1"/>
  <c r="M214" i="4"/>
  <c r="S214" i="4"/>
  <c r="T214" i="4" s="1" a="1"/>
  <c r="T214" i="4" s="1"/>
  <c r="AA214" i="4" s="1"/>
  <c r="F215" i="4"/>
  <c r="L215" i="4"/>
  <c r="N215" i="4" s="1"/>
  <c r="M215" i="4"/>
  <c r="S215" i="4"/>
  <c r="T215" i="4" s="1" a="1"/>
  <c r="T215" i="4" s="1"/>
  <c r="AA215" i="4" s="1"/>
  <c r="F216" i="4"/>
  <c r="L216" i="4"/>
  <c r="N216" i="4" s="1"/>
  <c r="M216" i="4"/>
  <c r="S216" i="4"/>
  <c r="T216" i="4" s="1" a="1"/>
  <c r="T216" i="4" s="1"/>
  <c r="AA216" i="4" s="1"/>
  <c r="F217" i="4"/>
  <c r="L217" i="4"/>
  <c r="N217" i="4" s="1"/>
  <c r="M217" i="4"/>
  <c r="S217" i="4"/>
  <c r="T217" i="4" s="1" a="1"/>
  <c r="T217" i="4" s="1"/>
  <c r="AA217" i="4" s="1"/>
  <c r="F218" i="4"/>
  <c r="L218" i="4"/>
  <c r="N218" i="4" s="1"/>
  <c r="M218" i="4"/>
  <c r="S218" i="4"/>
  <c r="T218" i="4" s="1" a="1"/>
  <c r="T218" i="4" s="1"/>
  <c r="AA218" i="4" s="1"/>
  <c r="F219" i="4"/>
  <c r="L219" i="4"/>
  <c r="N219" i="4" s="1"/>
  <c r="M219" i="4"/>
  <c r="S219" i="4"/>
  <c r="T219" i="4" s="1" a="1"/>
  <c r="T219" i="4" s="1"/>
  <c r="AA219" i="4" s="1"/>
  <c r="F220" i="4"/>
  <c r="L220" i="4"/>
  <c r="N220" i="4" s="1"/>
  <c r="M220" i="4"/>
  <c r="S220" i="4"/>
  <c r="T220" i="4" s="1" a="1"/>
  <c r="T220" i="4" s="1"/>
  <c r="AA220" i="4" s="1"/>
  <c r="F221" i="4"/>
  <c r="L221" i="4"/>
  <c r="N221" i="4" s="1"/>
  <c r="M221" i="4"/>
  <c r="S221" i="4"/>
  <c r="T221" i="4" s="1" a="1"/>
  <c r="T221" i="4" s="1"/>
  <c r="AA221" i="4" s="1"/>
  <c r="F222" i="4"/>
  <c r="L222" i="4"/>
  <c r="N222" i="4" s="1"/>
  <c r="M222" i="4"/>
  <c r="S222" i="4"/>
  <c r="T222" i="4" s="1" a="1"/>
  <c r="T222" i="4" s="1"/>
  <c r="AA222" i="4" s="1"/>
  <c r="F223" i="4"/>
  <c r="L223" i="4"/>
  <c r="N223" i="4" s="1"/>
  <c r="M223" i="4"/>
  <c r="S223" i="4"/>
  <c r="T223" i="4" s="1" a="1"/>
  <c r="T223" i="4" s="1"/>
  <c r="AA223" i="4" s="1"/>
  <c r="F224" i="4"/>
  <c r="L224" i="4"/>
  <c r="N224" i="4" s="1"/>
  <c r="M224" i="4"/>
  <c r="S224" i="4"/>
  <c r="T224" i="4" s="1" a="1"/>
  <c r="T224" i="4" s="1"/>
  <c r="AA224" i="4" s="1"/>
  <c r="F225" i="4"/>
  <c r="L225" i="4"/>
  <c r="N225" i="4" s="1"/>
  <c r="M225" i="4"/>
  <c r="S225" i="4"/>
  <c r="T225" i="4" s="1" a="1"/>
  <c r="T225" i="4" s="1"/>
  <c r="AA225" i="4" s="1"/>
  <c r="F226" i="4"/>
  <c r="L226" i="4"/>
  <c r="N226" i="4" s="1"/>
  <c r="M226" i="4"/>
  <c r="S226" i="4"/>
  <c r="T226" i="4" s="1" a="1"/>
  <c r="T226" i="4" s="1"/>
  <c r="AA226" i="4" s="1"/>
  <c r="F227" i="4"/>
  <c r="L227" i="4"/>
  <c r="N227" i="4" s="1"/>
  <c r="M227" i="4"/>
  <c r="S227" i="4"/>
  <c r="T227" i="4" s="1" a="1"/>
  <c r="T227" i="4" s="1"/>
  <c r="AA227" i="4" s="1"/>
  <c r="F228" i="4"/>
  <c r="L228" i="4"/>
  <c r="N228" i="4" s="1"/>
  <c r="M228" i="4"/>
  <c r="S228" i="4"/>
  <c r="T228" i="4" s="1" a="1"/>
  <c r="T228" i="4" s="1"/>
  <c r="AA228" i="4" s="1"/>
  <c r="F229" i="4"/>
  <c r="L229" i="4"/>
  <c r="N229" i="4" s="1"/>
  <c r="M229" i="4"/>
  <c r="S229" i="4"/>
  <c r="T229" i="4" s="1" a="1"/>
  <c r="T229" i="4" s="1"/>
  <c r="AA229" i="4" s="1"/>
  <c r="F230" i="4"/>
  <c r="L230" i="4"/>
  <c r="N230" i="4" s="1"/>
  <c r="M230" i="4"/>
  <c r="S230" i="4"/>
  <c r="T230" i="4" s="1" a="1"/>
  <c r="T230" i="4" s="1"/>
  <c r="AA230" i="4" s="1"/>
  <c r="F231" i="4"/>
  <c r="L231" i="4"/>
  <c r="N231" i="4" s="1"/>
  <c r="M231" i="4"/>
  <c r="S231" i="4"/>
  <c r="T231" i="4" s="1" a="1"/>
  <c r="T231" i="4" s="1"/>
  <c r="AA231" i="4" s="1"/>
  <c r="F232" i="4"/>
  <c r="L232" i="4"/>
  <c r="N232" i="4" s="1"/>
  <c r="M232" i="4"/>
  <c r="S232" i="4"/>
  <c r="T232" i="4" s="1" a="1"/>
  <c r="T232" i="4" s="1"/>
  <c r="AA232" i="4" s="1"/>
  <c r="F233" i="4"/>
  <c r="L233" i="4"/>
  <c r="N233" i="4" s="1"/>
  <c r="M233" i="4"/>
  <c r="S233" i="4"/>
  <c r="T233" i="4" s="1" a="1"/>
  <c r="T233" i="4" s="1"/>
  <c r="AA233" i="4" s="1"/>
  <c r="F234" i="4"/>
  <c r="L234" i="4"/>
  <c r="N234" i="4" s="1"/>
  <c r="M234" i="4"/>
  <c r="S234" i="4"/>
  <c r="T234" i="4" s="1" a="1"/>
  <c r="T234" i="4" s="1"/>
  <c r="AA234" i="4" s="1"/>
  <c r="F235" i="4"/>
  <c r="L235" i="4"/>
  <c r="N235" i="4" s="1"/>
  <c r="M235" i="4"/>
  <c r="S235" i="4"/>
  <c r="T235" i="4" s="1" a="1"/>
  <c r="T235" i="4" s="1"/>
  <c r="AA235" i="4" s="1"/>
  <c r="F236" i="4"/>
  <c r="L236" i="4"/>
  <c r="N236" i="4" s="1"/>
  <c r="M236" i="4"/>
  <c r="S236" i="4"/>
  <c r="T236" i="4" s="1" a="1"/>
  <c r="T236" i="4" s="1"/>
  <c r="AA236" i="4" s="1"/>
  <c r="F237" i="4"/>
  <c r="L237" i="4"/>
  <c r="N237" i="4" s="1"/>
  <c r="M237" i="4"/>
  <c r="S237" i="4"/>
  <c r="T237" i="4" s="1" a="1"/>
  <c r="T237" i="4" s="1"/>
  <c r="AA237" i="4" s="1"/>
  <c r="F238" i="4"/>
  <c r="L238" i="4"/>
  <c r="N238" i="4" s="1"/>
  <c r="M238" i="4"/>
  <c r="S238" i="4"/>
  <c r="T238" i="4" s="1" a="1"/>
  <c r="T238" i="4" s="1"/>
  <c r="AA238" i="4" s="1"/>
  <c r="F239" i="4"/>
  <c r="L239" i="4"/>
  <c r="N239" i="4" s="1"/>
  <c r="M239" i="4"/>
  <c r="S239" i="4"/>
  <c r="T239" i="4" s="1" a="1"/>
  <c r="T239" i="4" s="1"/>
  <c r="AA239" i="4" s="1"/>
  <c r="F240" i="4"/>
  <c r="L240" i="4"/>
  <c r="N240" i="4" s="1"/>
  <c r="M240" i="4"/>
  <c r="S240" i="4"/>
  <c r="T240" i="4" s="1" a="1"/>
  <c r="T240" i="4" s="1"/>
  <c r="AA240" i="4" s="1"/>
  <c r="F241" i="4"/>
  <c r="L241" i="4"/>
  <c r="N241" i="4" s="1"/>
  <c r="M241" i="4"/>
  <c r="S241" i="4"/>
  <c r="T241" i="4" s="1" a="1"/>
  <c r="T241" i="4" s="1"/>
  <c r="AA241" i="4" s="1"/>
  <c r="F242" i="4"/>
  <c r="L242" i="4"/>
  <c r="N242" i="4" s="1"/>
  <c r="M242" i="4"/>
  <c r="S242" i="4"/>
  <c r="T242" i="4" s="1" a="1"/>
  <c r="T242" i="4" s="1"/>
  <c r="AA242" i="4" s="1"/>
  <c r="F243" i="4"/>
  <c r="L243" i="4"/>
  <c r="N243" i="4" s="1"/>
  <c r="M243" i="4"/>
  <c r="S243" i="4"/>
  <c r="T243" i="4" s="1" a="1"/>
  <c r="T243" i="4" s="1"/>
  <c r="AA243" i="4" s="1"/>
  <c r="F244" i="4"/>
  <c r="L244" i="4"/>
  <c r="N244" i="4" s="1"/>
  <c r="M244" i="4"/>
  <c r="S244" i="4"/>
  <c r="T244" i="4" s="1" a="1"/>
  <c r="T244" i="4" s="1"/>
  <c r="AA244" i="4" s="1"/>
  <c r="F245" i="4"/>
  <c r="L245" i="4"/>
  <c r="N245" i="4" s="1"/>
  <c r="M245" i="4"/>
  <c r="S245" i="4"/>
  <c r="T245" i="4" s="1" a="1"/>
  <c r="T245" i="4" s="1"/>
  <c r="AA245" i="4" s="1"/>
  <c r="F246" i="4"/>
  <c r="L246" i="4"/>
  <c r="N246" i="4" s="1"/>
  <c r="M246" i="4"/>
  <c r="S246" i="4"/>
  <c r="T246" i="4" s="1" a="1"/>
  <c r="T246" i="4" s="1"/>
  <c r="AA246" i="4" s="1"/>
  <c r="F247" i="4"/>
  <c r="L247" i="4"/>
  <c r="N247" i="4" s="1"/>
  <c r="M247" i="4"/>
  <c r="S247" i="4"/>
  <c r="T247" i="4" s="1" a="1"/>
  <c r="T247" i="4" s="1"/>
  <c r="AA247" i="4" s="1"/>
  <c r="F248" i="4"/>
  <c r="L248" i="4"/>
  <c r="N248" i="4" s="1"/>
  <c r="M248" i="4"/>
  <c r="S248" i="4"/>
  <c r="T248" i="4" s="1" a="1"/>
  <c r="T248" i="4" s="1"/>
  <c r="AA248" i="4" s="1"/>
  <c r="F249" i="4"/>
  <c r="L249" i="4"/>
  <c r="N249" i="4" s="1"/>
  <c r="M249" i="4"/>
  <c r="S249" i="4"/>
  <c r="T249" i="4" s="1" a="1"/>
  <c r="T249" i="4" s="1"/>
  <c r="AA249" i="4" s="1"/>
  <c r="F250" i="4"/>
  <c r="L250" i="4"/>
  <c r="N250" i="4" s="1"/>
  <c r="M250" i="4"/>
  <c r="S250" i="4"/>
  <c r="T250" i="4" s="1" a="1"/>
  <c r="T250" i="4" s="1"/>
  <c r="AA250" i="4" s="1"/>
  <c r="F251" i="4"/>
  <c r="L251" i="4"/>
  <c r="N251" i="4" s="1"/>
  <c r="M251" i="4"/>
  <c r="S251" i="4"/>
  <c r="T251" i="4" s="1" a="1"/>
  <c r="T251" i="4" s="1"/>
  <c r="U251" i="4" a="1"/>
  <c r="U251" i="4" s="1"/>
  <c r="F252" i="4"/>
  <c r="L252" i="4"/>
  <c r="N252" i="4" s="1"/>
  <c r="M252" i="4"/>
  <c r="S252" i="4"/>
  <c r="T252" i="4" s="1" a="1"/>
  <c r="T252" i="4" s="1"/>
  <c r="AA252" i="4" s="1"/>
  <c r="U252" i="4" a="1"/>
  <c r="U252" i="4" s="1"/>
  <c r="L253" i="4"/>
  <c r="N253" i="4" s="1"/>
  <c r="M253" i="4"/>
  <c r="L254" i="4"/>
  <c r="N254" i="4" s="1"/>
  <c r="M254" i="4"/>
  <c r="A1" i="10" a="1"/>
  <c r="A1" i="10" s="1"/>
  <c r="F253" i="4"/>
  <c r="F254" i="4"/>
  <c r="S253" i="4"/>
  <c r="T253" i="4" s="1" a="1"/>
  <c r="T253" i="4" s="1"/>
  <c r="S254" i="4"/>
  <c r="T254" i="4" s="1" a="1"/>
  <c r="T254" i="4" s="1"/>
  <c r="S255" i="4"/>
  <c r="T255" i="4" s="1" a="1"/>
  <c r="T255" i="4" s="1"/>
  <c r="S256" i="4"/>
  <c r="T256" i="4" s="1" a="1"/>
  <c r="T256" i="4" s="1"/>
  <c r="S257" i="4"/>
  <c r="T257" i="4" s="1" a="1"/>
  <c r="T257" i="4" s="1"/>
  <c r="S258" i="4"/>
  <c r="T258" i="4" s="1" a="1"/>
  <c r="T258" i="4" s="1"/>
  <c r="S259" i="4"/>
  <c r="T259" i="4" s="1" a="1"/>
  <c r="T259" i="4" s="1"/>
  <c r="S260" i="4"/>
  <c r="T260" i="4" s="1" a="1"/>
  <c r="T260" i="4" s="1"/>
  <c r="U253" i="4" a="1"/>
  <c r="U253" i="4" s="1"/>
  <c r="U254" i="4" a="1"/>
  <c r="U254" i="4" s="1"/>
  <c r="U255" i="4" a="1"/>
  <c r="U255" i="4" s="1"/>
  <c r="U256" i="4" a="1"/>
  <c r="U256" i="4" s="1"/>
  <c r="U257" i="4" a="1"/>
  <c r="U257" i="4" s="1"/>
  <c r="U258" i="4" a="1"/>
  <c r="U258" i="4" s="1"/>
  <c r="U259" i="4" a="1"/>
  <c r="U259" i="4" s="1"/>
  <c r="G2" i="12" a="1"/>
  <c r="G2" i="12" s="1"/>
  <c r="A3" i="3" a="1"/>
  <c r="C3" i="6" s="1"/>
  <c r="A4" i="3" a="1"/>
  <c r="A4" i="3" s="1"/>
  <c r="A4" i="6" s="1"/>
  <c r="A5" i="3" a="1"/>
  <c r="C5" i="6" s="1"/>
  <c r="A6" i="3" a="1"/>
  <c r="C6" i="6" s="1"/>
  <c r="A7" i="3" a="1"/>
  <c r="C7" i="6" s="1"/>
  <c r="A8" i="3" a="1"/>
  <c r="C8" i="6" s="1"/>
  <c r="A9" i="3" a="1"/>
  <c r="C9" i="6" s="1"/>
  <c r="A10" i="3" a="1"/>
  <c r="A11" i="3" a="1"/>
  <c r="A12" i="3" a="1"/>
  <c r="A13" i="3" a="1"/>
  <c r="A13" i="3" s="1"/>
  <c r="A13" i="6" s="1"/>
  <c r="A14" i="3" a="1"/>
  <c r="A14" i="3" s="1"/>
  <c r="A14" i="6" s="1"/>
  <c r="A15" i="3" a="1"/>
  <c r="A15" i="3" s="1"/>
  <c r="A15" i="6" s="1"/>
  <c r="A16" i="3" a="1"/>
  <c r="A16" i="3" s="1"/>
  <c r="A16" i="6" s="1"/>
  <c r="A17" i="3" a="1"/>
  <c r="A18" i="3" a="1"/>
  <c r="A19" i="3" a="1"/>
  <c r="A19" i="3" s="1"/>
  <c r="A19" i="6" s="1"/>
  <c r="A20" i="3" a="1"/>
  <c r="A20" i="3" s="1"/>
  <c r="A20" i="6" s="1"/>
  <c r="A21" i="3" a="1"/>
  <c r="A21" i="3" s="1"/>
  <c r="A21" i="6" s="1"/>
  <c r="A22" i="3" a="1"/>
  <c r="A23" i="3" a="1"/>
  <c r="A24" i="3" a="1"/>
  <c r="A24" i="3" s="1"/>
  <c r="A24" i="6" s="1"/>
  <c r="A25" i="3" a="1"/>
  <c r="A25" i="3" s="1"/>
  <c r="A25" i="6" s="1"/>
  <c r="A26" i="3" a="1"/>
  <c r="A26" i="3" s="1"/>
  <c r="A26" i="6" s="1"/>
  <c r="A27" i="3" a="1"/>
  <c r="A27" i="3" s="1"/>
  <c r="A27" i="6" s="1"/>
  <c r="A28" i="3" a="1"/>
  <c r="A28" i="3" s="1"/>
  <c r="A28" i="6" s="1"/>
  <c r="A29" i="3" a="1"/>
  <c r="A29" i="3" s="1"/>
  <c r="A29" i="6" s="1"/>
  <c r="A30" i="3" a="1"/>
  <c r="A30" i="3" s="1"/>
  <c r="A30" i="6" s="1"/>
  <c r="A31" i="3" a="1"/>
  <c r="A31" i="3" s="1"/>
  <c r="A31" i="6" s="1"/>
  <c r="A32" i="3" a="1"/>
  <c r="A32" i="3" s="1"/>
  <c r="A32" i="6" s="1"/>
  <c r="A33" i="3" a="1"/>
  <c r="A33" i="3" s="1"/>
  <c r="A33" i="6" s="1"/>
  <c r="A34" i="3" a="1"/>
  <c r="A34" i="3" s="1"/>
  <c r="A34" i="6" s="1"/>
  <c r="A2" i="3" a="1"/>
  <c r="C2" i="6" s="1"/>
  <c r="Q26" i="3"/>
  <c r="Q27" i="3"/>
  <c r="Q28" i="3"/>
  <c r="Q29" i="3"/>
  <c r="Q30" i="3"/>
  <c r="Q31" i="3"/>
  <c r="Q32" i="3"/>
  <c r="Q33" i="3"/>
  <c r="Q34" i="3"/>
  <c r="E53" i="1" l="1"/>
  <c r="I53" i="1"/>
  <c r="X53" i="1"/>
  <c r="B53" i="1"/>
  <c r="D53" i="14" s="1"/>
  <c r="E37" i="1"/>
  <c r="I37" i="1"/>
  <c r="X37" i="1"/>
  <c r="B37" i="1"/>
  <c r="D37" i="14" s="1"/>
  <c r="E21" i="1"/>
  <c r="I21" i="1"/>
  <c r="X21" i="1"/>
  <c r="B21" i="1"/>
  <c r="D21" i="14" s="1"/>
  <c r="E5" i="1"/>
  <c r="I5" i="1"/>
  <c r="X5" i="1"/>
  <c r="B5" i="1"/>
  <c r="D5" i="14" s="1"/>
  <c r="X1461" i="1"/>
  <c r="X1459" i="1"/>
  <c r="X1457" i="1"/>
  <c r="X1455" i="1"/>
  <c r="X1453" i="1"/>
  <c r="X1451" i="1"/>
  <c r="X1449" i="1"/>
  <c r="X1447" i="1"/>
  <c r="X1445" i="1"/>
  <c r="X1443" i="1"/>
  <c r="X1441" i="1"/>
  <c r="X1439" i="1"/>
  <c r="X1437" i="1"/>
  <c r="X1435" i="1"/>
  <c r="X1433" i="1"/>
  <c r="X1431" i="1"/>
  <c r="X1429" i="1"/>
  <c r="X1427" i="1"/>
  <c r="X1425" i="1"/>
  <c r="X1423" i="1"/>
  <c r="X1421" i="1"/>
  <c r="X1419" i="1"/>
  <c r="X1417" i="1"/>
  <c r="X1415" i="1"/>
  <c r="X1413" i="1"/>
  <c r="X1411" i="1"/>
  <c r="X1409" i="1"/>
  <c r="X1407" i="1"/>
  <c r="X1405" i="1"/>
  <c r="X1403" i="1"/>
  <c r="X1401" i="1"/>
  <c r="X1399" i="1"/>
  <c r="X1397" i="1"/>
  <c r="X1396" i="1"/>
  <c r="X1394" i="1"/>
  <c r="X1392" i="1"/>
  <c r="X1390" i="1"/>
  <c r="X1388" i="1"/>
  <c r="X1386" i="1"/>
  <c r="X1384" i="1"/>
  <c r="X1382" i="1"/>
  <c r="X1379" i="1"/>
  <c r="X1377" i="1"/>
  <c r="X1376" i="1"/>
  <c r="X1374" i="1"/>
  <c r="X1372" i="1"/>
  <c r="X1370" i="1"/>
  <c r="X1368" i="1"/>
  <c r="X1366" i="1"/>
  <c r="X1365" i="1"/>
  <c r="X1363" i="1"/>
  <c r="X1361" i="1"/>
  <c r="X1358" i="1"/>
  <c r="X1356" i="1"/>
  <c r="X1354" i="1"/>
  <c r="X1352" i="1"/>
  <c r="X1350" i="1"/>
  <c r="X1348" i="1"/>
  <c r="X1346" i="1"/>
  <c r="X1345" i="1"/>
  <c r="X1344" i="1"/>
  <c r="X1343" i="1"/>
  <c r="X1342" i="1"/>
  <c r="X1341" i="1"/>
  <c r="X1340" i="1"/>
  <c r="X1339" i="1"/>
  <c r="X1337" i="1"/>
  <c r="X1336" i="1"/>
  <c r="X1335" i="1"/>
  <c r="X1334" i="1"/>
  <c r="X1333" i="1"/>
  <c r="X1332" i="1"/>
  <c r="X1331" i="1"/>
  <c r="X1330" i="1"/>
  <c r="X1326" i="1"/>
  <c r="X1322" i="1"/>
  <c r="X1318" i="1"/>
  <c r="X1314" i="1"/>
  <c r="X1310" i="1"/>
  <c r="X1306" i="1"/>
  <c r="X1302" i="1"/>
  <c r="X1298" i="1"/>
  <c r="X1294" i="1"/>
  <c r="X1290" i="1"/>
  <c r="X1286" i="1"/>
  <c r="X1282" i="1"/>
  <c r="X1278" i="1"/>
  <c r="X1274" i="1"/>
  <c r="X1270" i="1"/>
  <c r="X1266" i="1"/>
  <c r="X1262" i="1"/>
  <c r="X1258" i="1"/>
  <c r="X1254" i="1"/>
  <c r="X1250" i="1"/>
  <c r="X1246" i="1"/>
  <c r="X1242" i="1"/>
  <c r="E57" i="1"/>
  <c r="I57" i="1"/>
  <c r="X57" i="1"/>
  <c r="B57" i="1"/>
  <c r="D57" i="14" s="1"/>
  <c r="E33" i="1"/>
  <c r="I33" i="1"/>
  <c r="X33" i="1"/>
  <c r="B33" i="1"/>
  <c r="D33" i="14" s="1"/>
  <c r="E17" i="1"/>
  <c r="I17" i="1"/>
  <c r="X17" i="1"/>
  <c r="B17" i="1"/>
  <c r="D17" i="14" s="1"/>
  <c r="X1462" i="1"/>
  <c r="X1460" i="1"/>
  <c r="X1458" i="1"/>
  <c r="X1456" i="1"/>
  <c r="X1454" i="1"/>
  <c r="X1452" i="1"/>
  <c r="X1450" i="1"/>
  <c r="X1448" i="1"/>
  <c r="X1444" i="1"/>
  <c r="X1442" i="1"/>
  <c r="X1440" i="1"/>
  <c r="X1438" i="1"/>
  <c r="X1436" i="1"/>
  <c r="X1434" i="1"/>
  <c r="X1432" i="1"/>
  <c r="X1430" i="1"/>
  <c r="X1428" i="1"/>
  <c r="X1426" i="1"/>
  <c r="X1424" i="1"/>
  <c r="X1422" i="1"/>
  <c r="X1420" i="1"/>
  <c r="X1418" i="1"/>
  <c r="X1416" i="1"/>
  <c r="X1414" i="1"/>
  <c r="X1412" i="1"/>
  <c r="X1410" i="1"/>
  <c r="X1408" i="1"/>
  <c r="X1406" i="1"/>
  <c r="X1404" i="1"/>
  <c r="X1402" i="1"/>
  <c r="X1400" i="1"/>
  <c r="X1398" i="1"/>
  <c r="X1395" i="1"/>
  <c r="X1393" i="1"/>
  <c r="X1391" i="1"/>
  <c r="X1389" i="1"/>
  <c r="X1387" i="1"/>
  <c r="X1385" i="1"/>
  <c r="X1383" i="1"/>
  <c r="X1381" i="1"/>
  <c r="X1380" i="1"/>
  <c r="X1378" i="1"/>
  <c r="X1375" i="1"/>
  <c r="X1373" i="1"/>
  <c r="X1371" i="1"/>
  <c r="X1369" i="1"/>
  <c r="X1367" i="1"/>
  <c r="X1364" i="1"/>
  <c r="X1362" i="1"/>
  <c r="X1360" i="1"/>
  <c r="X1359" i="1"/>
  <c r="X1357" i="1"/>
  <c r="X1355" i="1"/>
  <c r="X1353" i="1"/>
  <c r="X1351" i="1"/>
  <c r="X1349" i="1"/>
  <c r="X1347" i="1"/>
  <c r="X1338" i="1"/>
  <c r="X1327" i="1"/>
  <c r="X1323" i="1"/>
  <c r="X1319" i="1"/>
  <c r="X1315" i="1"/>
  <c r="X1311" i="1"/>
  <c r="X1307" i="1"/>
  <c r="X1303" i="1"/>
  <c r="X1299" i="1"/>
  <c r="X1295" i="1"/>
  <c r="X1291" i="1"/>
  <c r="X1287" i="1"/>
  <c r="X1283" i="1"/>
  <c r="X1279" i="1"/>
  <c r="X1275" i="1"/>
  <c r="X1271" i="1"/>
  <c r="X1267" i="1"/>
  <c r="X1263" i="1"/>
  <c r="X1259" i="1"/>
  <c r="X1255" i="1"/>
  <c r="X1251" i="1"/>
  <c r="X1247" i="1"/>
  <c r="X1243" i="1"/>
  <c r="E65" i="1"/>
  <c r="I65" i="1"/>
  <c r="X65" i="1"/>
  <c r="B65" i="1"/>
  <c r="D65" i="14" s="1"/>
  <c r="E49" i="1"/>
  <c r="I49" i="1"/>
  <c r="X49" i="1"/>
  <c r="B49" i="1"/>
  <c r="D49" i="14" s="1"/>
  <c r="E41" i="1"/>
  <c r="I41" i="1"/>
  <c r="X41" i="1"/>
  <c r="B41" i="1"/>
  <c r="D41" i="14" s="1"/>
  <c r="E25" i="1"/>
  <c r="I25" i="1"/>
  <c r="X25" i="1"/>
  <c r="B25" i="1"/>
  <c r="D25" i="14" s="1"/>
  <c r="E9" i="1"/>
  <c r="I9" i="1"/>
  <c r="X9" i="1"/>
  <c r="B9" i="1"/>
  <c r="D9" i="14" s="1"/>
  <c r="E67" i="1"/>
  <c r="I67" i="1"/>
  <c r="X67" i="1"/>
  <c r="B67" i="1"/>
  <c r="D67" i="14" s="1"/>
  <c r="E59" i="1"/>
  <c r="I59" i="1"/>
  <c r="X59" i="1"/>
  <c r="B59" i="1"/>
  <c r="D59" i="14" s="1"/>
  <c r="E51" i="1"/>
  <c r="I51" i="1"/>
  <c r="X51" i="1"/>
  <c r="B51" i="1"/>
  <c r="D51" i="14" s="1"/>
  <c r="E43" i="1"/>
  <c r="I43" i="1"/>
  <c r="X43" i="1"/>
  <c r="B43" i="1"/>
  <c r="D43" i="14" s="1"/>
  <c r="E35" i="1"/>
  <c r="I35" i="1"/>
  <c r="X35" i="1"/>
  <c r="B35" i="1"/>
  <c r="D35" i="14" s="1"/>
  <c r="E27" i="1"/>
  <c r="I27" i="1"/>
  <c r="X27" i="1"/>
  <c r="B27" i="1"/>
  <c r="D27" i="14" s="1"/>
  <c r="E19" i="1"/>
  <c r="I19" i="1"/>
  <c r="X19" i="1"/>
  <c r="B19" i="1"/>
  <c r="D19" i="14" s="1"/>
  <c r="E7" i="1"/>
  <c r="I7" i="1"/>
  <c r="X7" i="1"/>
  <c r="B7" i="1"/>
  <c r="D7" i="14" s="1"/>
  <c r="E1462" i="1"/>
  <c r="E1461" i="1"/>
  <c r="E1460" i="1"/>
  <c r="E1459" i="1"/>
  <c r="E1458" i="1"/>
  <c r="E1457" i="1"/>
  <c r="E1456" i="1"/>
  <c r="E1455" i="1"/>
  <c r="E1454" i="1"/>
  <c r="E1453" i="1"/>
  <c r="E1452" i="1"/>
  <c r="E1451" i="1"/>
  <c r="E1450" i="1"/>
  <c r="E1449" i="1"/>
  <c r="E1448" i="1"/>
  <c r="E1447" i="1"/>
  <c r="E1446" i="1"/>
  <c r="E1445" i="1"/>
  <c r="E1444" i="1"/>
  <c r="E1443" i="1"/>
  <c r="E1442" i="1"/>
  <c r="E1441" i="1"/>
  <c r="E1440" i="1"/>
  <c r="E1439" i="1"/>
  <c r="E1438" i="1"/>
  <c r="E1437" i="1"/>
  <c r="E1436" i="1"/>
  <c r="E1435" i="1"/>
  <c r="E1434" i="1"/>
  <c r="E1433" i="1"/>
  <c r="E1432" i="1"/>
  <c r="E1430" i="1"/>
  <c r="E1429" i="1"/>
  <c r="E1428" i="1"/>
  <c r="E1427" i="1"/>
  <c r="E1426" i="1"/>
  <c r="E1425" i="1"/>
  <c r="E1424" i="1"/>
  <c r="E1423" i="1"/>
  <c r="E1422" i="1"/>
  <c r="E1421" i="1"/>
  <c r="E1420" i="1"/>
  <c r="E1419" i="1"/>
  <c r="E1418" i="1"/>
  <c r="E1417" i="1"/>
  <c r="E1416" i="1"/>
  <c r="E1415" i="1"/>
  <c r="E1414" i="1"/>
  <c r="E1413" i="1"/>
  <c r="E1412" i="1"/>
  <c r="E1411" i="1"/>
  <c r="E1410" i="1"/>
  <c r="E1409" i="1"/>
  <c r="E1408" i="1"/>
  <c r="E1407" i="1"/>
  <c r="E1406" i="1"/>
  <c r="E1405" i="1"/>
  <c r="E1404" i="1"/>
  <c r="E1403" i="1"/>
  <c r="E1402" i="1"/>
  <c r="E1401" i="1"/>
  <c r="E1400" i="1"/>
  <c r="E1399" i="1"/>
  <c r="E1398" i="1"/>
  <c r="E1397" i="1"/>
  <c r="E1396" i="1"/>
  <c r="E1395" i="1"/>
  <c r="E1394" i="1"/>
  <c r="E1393" i="1"/>
  <c r="E1392" i="1"/>
  <c r="E1391" i="1"/>
  <c r="E1390" i="1"/>
  <c r="E1389" i="1"/>
  <c r="E1388" i="1"/>
  <c r="E1387" i="1"/>
  <c r="E1386" i="1"/>
  <c r="E1385" i="1"/>
  <c r="E1384" i="1"/>
  <c r="E1383" i="1"/>
  <c r="E1382" i="1"/>
  <c r="E1381" i="1"/>
  <c r="E1380" i="1"/>
  <c r="E1379" i="1"/>
  <c r="E1378" i="1"/>
  <c r="E1377" i="1"/>
  <c r="E1376" i="1"/>
  <c r="E1375" i="1"/>
  <c r="E1374" i="1"/>
  <c r="E1373" i="1"/>
  <c r="E1372" i="1"/>
  <c r="E1371" i="1"/>
  <c r="E1370" i="1"/>
  <c r="E1369" i="1"/>
  <c r="E1368" i="1"/>
  <c r="E1367" i="1"/>
  <c r="E1366" i="1"/>
  <c r="E1365" i="1"/>
  <c r="E1364" i="1"/>
  <c r="E1363" i="1"/>
  <c r="E1362" i="1"/>
  <c r="E1361" i="1"/>
  <c r="E1360" i="1"/>
  <c r="E1359" i="1"/>
  <c r="E1358" i="1"/>
  <c r="E1357" i="1"/>
  <c r="E1356" i="1"/>
  <c r="E1355" i="1"/>
  <c r="E1354" i="1"/>
  <c r="E1353" i="1"/>
  <c r="E1352" i="1"/>
  <c r="E1351" i="1"/>
  <c r="E1350" i="1"/>
  <c r="E1349" i="1"/>
  <c r="E1348" i="1"/>
  <c r="E1347" i="1"/>
  <c r="E1346" i="1"/>
  <c r="E1345" i="1"/>
  <c r="E1344" i="1"/>
  <c r="E1343" i="1"/>
  <c r="E1342" i="1"/>
  <c r="E1341" i="1"/>
  <c r="E1340" i="1"/>
  <c r="E1339" i="1"/>
  <c r="E1338" i="1"/>
  <c r="E1337" i="1"/>
  <c r="E1336" i="1"/>
  <c r="E1335" i="1"/>
  <c r="E1334" i="1"/>
  <c r="E1333" i="1"/>
  <c r="E1332" i="1"/>
  <c r="E1331" i="1"/>
  <c r="X1328" i="1"/>
  <c r="X1324" i="1"/>
  <c r="X1320" i="1"/>
  <c r="X1316" i="1"/>
  <c r="X1312" i="1"/>
  <c r="X1308" i="1"/>
  <c r="X1304" i="1"/>
  <c r="X1300" i="1"/>
  <c r="X1296" i="1"/>
  <c r="X1292" i="1"/>
  <c r="X1288" i="1"/>
  <c r="X1284" i="1"/>
  <c r="X1280" i="1"/>
  <c r="X1276" i="1"/>
  <c r="X1272" i="1"/>
  <c r="X1268" i="1"/>
  <c r="X1264" i="1"/>
  <c r="X1260" i="1"/>
  <c r="X1256" i="1"/>
  <c r="X1252" i="1"/>
  <c r="X1248" i="1"/>
  <c r="X1244" i="1"/>
  <c r="E61" i="1"/>
  <c r="I61" i="1"/>
  <c r="X61" i="1"/>
  <c r="B61" i="1"/>
  <c r="D61" i="14" s="1"/>
  <c r="E45" i="1"/>
  <c r="I45" i="1"/>
  <c r="X45" i="1"/>
  <c r="B45" i="1"/>
  <c r="D45" i="14" s="1"/>
  <c r="E29" i="1"/>
  <c r="I29" i="1"/>
  <c r="X29" i="1"/>
  <c r="B29" i="1"/>
  <c r="D29" i="14" s="1"/>
  <c r="E13" i="1"/>
  <c r="I13" i="1"/>
  <c r="X13" i="1"/>
  <c r="B13" i="1"/>
  <c r="D13" i="14" s="1"/>
  <c r="E63" i="1"/>
  <c r="I63" i="1"/>
  <c r="X63" i="1"/>
  <c r="B63" i="1"/>
  <c r="D63" i="14" s="1"/>
  <c r="E55" i="1"/>
  <c r="I55" i="1"/>
  <c r="X55" i="1"/>
  <c r="B55" i="1"/>
  <c r="D55" i="14" s="1"/>
  <c r="E47" i="1"/>
  <c r="I47" i="1"/>
  <c r="X47" i="1"/>
  <c r="B47" i="1"/>
  <c r="D47" i="14" s="1"/>
  <c r="E39" i="1"/>
  <c r="I39" i="1"/>
  <c r="X39" i="1"/>
  <c r="B39" i="1"/>
  <c r="D39" i="14" s="1"/>
  <c r="E31" i="1"/>
  <c r="I31" i="1"/>
  <c r="X31" i="1"/>
  <c r="B31" i="1"/>
  <c r="D31" i="14" s="1"/>
  <c r="E23" i="1"/>
  <c r="I23" i="1"/>
  <c r="X23" i="1"/>
  <c r="B23" i="1"/>
  <c r="D23" i="14" s="1"/>
  <c r="E15" i="1"/>
  <c r="I15" i="1"/>
  <c r="X15" i="1"/>
  <c r="B15" i="1"/>
  <c r="D15" i="14" s="1"/>
  <c r="E11" i="1"/>
  <c r="I11" i="1"/>
  <c r="X11" i="1"/>
  <c r="B11" i="1"/>
  <c r="D11" i="14" s="1"/>
  <c r="E3" i="1"/>
  <c r="I3" i="1"/>
  <c r="X3" i="1"/>
  <c r="B3" i="1"/>
  <c r="D3" i="14" s="1"/>
  <c r="E66" i="1"/>
  <c r="I66" i="1"/>
  <c r="X66" i="1"/>
  <c r="B66" i="1"/>
  <c r="D66" i="14" s="1"/>
  <c r="E62" i="1"/>
  <c r="I62" i="1"/>
  <c r="X62" i="1"/>
  <c r="B62" i="1"/>
  <c r="D62" i="14" s="1"/>
  <c r="E58" i="1"/>
  <c r="I58" i="1"/>
  <c r="X58" i="1"/>
  <c r="B58" i="1"/>
  <c r="D58" i="14" s="1"/>
  <c r="E54" i="1"/>
  <c r="I54" i="1"/>
  <c r="X54" i="1"/>
  <c r="B54" i="1"/>
  <c r="D54" i="14" s="1"/>
  <c r="E50" i="1"/>
  <c r="I50" i="1"/>
  <c r="X50" i="1"/>
  <c r="B50" i="1"/>
  <c r="D50" i="14" s="1"/>
  <c r="E46" i="1"/>
  <c r="I46" i="1"/>
  <c r="X46" i="1"/>
  <c r="B46" i="1"/>
  <c r="D46" i="14" s="1"/>
  <c r="E42" i="1"/>
  <c r="I42" i="1"/>
  <c r="X42" i="1"/>
  <c r="B42" i="1"/>
  <c r="D42" i="14" s="1"/>
  <c r="E38" i="1"/>
  <c r="I38" i="1"/>
  <c r="X38" i="1"/>
  <c r="B38" i="1"/>
  <c r="D38" i="14" s="1"/>
  <c r="E34" i="1"/>
  <c r="I34" i="1"/>
  <c r="X34" i="1"/>
  <c r="B34" i="1"/>
  <c r="D34" i="14" s="1"/>
  <c r="E30" i="1"/>
  <c r="I30" i="1"/>
  <c r="X30" i="1"/>
  <c r="B30" i="1"/>
  <c r="D30" i="14" s="1"/>
  <c r="E26" i="1"/>
  <c r="I26" i="1"/>
  <c r="X26" i="1"/>
  <c r="B26" i="1"/>
  <c r="D26" i="14" s="1"/>
  <c r="E22" i="1"/>
  <c r="I22" i="1"/>
  <c r="X22" i="1"/>
  <c r="B22" i="1"/>
  <c r="D22" i="14" s="1"/>
  <c r="E18" i="1"/>
  <c r="I18" i="1"/>
  <c r="X18" i="1"/>
  <c r="B18" i="1"/>
  <c r="D18" i="14" s="1"/>
  <c r="E14" i="1"/>
  <c r="I14" i="1"/>
  <c r="X14" i="1"/>
  <c r="B14" i="1"/>
  <c r="D14" i="14" s="1"/>
  <c r="E10" i="1"/>
  <c r="I10" i="1"/>
  <c r="X10" i="1"/>
  <c r="B10" i="1"/>
  <c r="D10" i="14" s="1"/>
  <c r="E6" i="1"/>
  <c r="I6" i="1"/>
  <c r="X6" i="1"/>
  <c r="B6" i="1"/>
  <c r="D6" i="14" s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X170" i="1"/>
  <c r="X171" i="1"/>
  <c r="X175" i="1"/>
  <c r="X179" i="1"/>
  <c r="X183" i="1"/>
  <c r="X187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X174" i="1"/>
  <c r="X178" i="1"/>
  <c r="X182" i="1"/>
  <c r="X186" i="1"/>
  <c r="X173" i="1"/>
  <c r="X177" i="1"/>
  <c r="X181" i="1"/>
  <c r="X185" i="1"/>
  <c r="X172" i="1"/>
  <c r="X176" i="1"/>
  <c r="X180" i="1"/>
  <c r="X184" i="1"/>
  <c r="X189" i="1"/>
  <c r="X193" i="1"/>
  <c r="X197" i="1"/>
  <c r="X201" i="1"/>
  <c r="X188" i="1"/>
  <c r="X192" i="1"/>
  <c r="X196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39" i="1"/>
  <c r="X340" i="1"/>
  <c r="X341" i="1"/>
  <c r="X342" i="1"/>
  <c r="X343" i="1"/>
  <c r="X344" i="1"/>
  <c r="X345" i="1"/>
  <c r="X346" i="1"/>
  <c r="X347" i="1"/>
  <c r="X190" i="1"/>
  <c r="X194" i="1"/>
  <c r="X198" i="1"/>
  <c r="X202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8" i="1"/>
  <c r="X336" i="1"/>
  <c r="E342" i="1"/>
  <c r="E346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2" i="1"/>
  <c r="X394" i="1"/>
  <c r="X395" i="1"/>
  <c r="X396" i="1"/>
  <c r="X398" i="1"/>
  <c r="X400" i="1"/>
  <c r="X402" i="1"/>
  <c r="X404" i="1"/>
  <c r="X406" i="1"/>
  <c r="X407" i="1"/>
  <c r="X409" i="1"/>
  <c r="X411" i="1"/>
  <c r="X412" i="1"/>
  <c r="X414" i="1"/>
  <c r="X416" i="1"/>
  <c r="X418" i="1"/>
  <c r="X422" i="1"/>
  <c r="X423" i="1"/>
  <c r="X426" i="1"/>
  <c r="X429" i="1"/>
  <c r="X430" i="1"/>
  <c r="X431" i="1"/>
  <c r="X433" i="1"/>
  <c r="X434" i="1"/>
  <c r="X436" i="1"/>
  <c r="X439" i="1"/>
  <c r="X441" i="1"/>
  <c r="X444" i="1"/>
  <c r="X446" i="1"/>
  <c r="X448" i="1"/>
  <c r="X449" i="1"/>
  <c r="X451" i="1"/>
  <c r="X453" i="1"/>
  <c r="X455" i="1"/>
  <c r="X457" i="1"/>
  <c r="X459" i="1"/>
  <c r="X466" i="1"/>
  <c r="X200" i="1"/>
  <c r="X205" i="1"/>
  <c r="X213" i="1"/>
  <c r="X221" i="1"/>
  <c r="X229" i="1"/>
  <c r="X237" i="1"/>
  <c r="X245" i="1"/>
  <c r="X253" i="1"/>
  <c r="X261" i="1"/>
  <c r="X269" i="1"/>
  <c r="X277" i="1"/>
  <c r="X285" i="1"/>
  <c r="X293" i="1"/>
  <c r="X301" i="1"/>
  <c r="X309" i="1"/>
  <c r="X317" i="1"/>
  <c r="X325" i="1"/>
  <c r="X333" i="1"/>
  <c r="E341" i="1"/>
  <c r="E345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E340" i="1"/>
  <c r="E344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X209" i="1"/>
  <c r="X217" i="1"/>
  <c r="X225" i="1"/>
  <c r="X233" i="1"/>
  <c r="X241" i="1"/>
  <c r="X249" i="1"/>
  <c r="X257" i="1"/>
  <c r="X265" i="1"/>
  <c r="X273" i="1"/>
  <c r="X281" i="1"/>
  <c r="X289" i="1"/>
  <c r="X297" i="1"/>
  <c r="X305" i="1"/>
  <c r="X313" i="1"/>
  <c r="X321" i="1"/>
  <c r="X329" i="1"/>
  <c r="X337" i="1"/>
  <c r="E339" i="1"/>
  <c r="E343" i="1"/>
  <c r="E347" i="1"/>
  <c r="X364" i="1"/>
  <c r="X391" i="1"/>
  <c r="X393" i="1"/>
  <c r="X397" i="1"/>
  <c r="X399" i="1"/>
  <c r="X401" i="1"/>
  <c r="X403" i="1"/>
  <c r="X405" i="1"/>
  <c r="X408" i="1"/>
  <c r="X410" i="1"/>
  <c r="X413" i="1"/>
  <c r="X415" i="1"/>
  <c r="X417" i="1"/>
  <c r="X419" i="1"/>
  <c r="X420" i="1"/>
  <c r="X421" i="1"/>
  <c r="X424" i="1"/>
  <c r="X425" i="1"/>
  <c r="X427" i="1"/>
  <c r="X428" i="1"/>
  <c r="X432" i="1"/>
  <c r="X435" i="1"/>
  <c r="X437" i="1"/>
  <c r="X438" i="1"/>
  <c r="X440" i="1"/>
  <c r="X442" i="1"/>
  <c r="X443" i="1"/>
  <c r="X445" i="1"/>
  <c r="X447" i="1"/>
  <c r="X450" i="1"/>
  <c r="X452" i="1"/>
  <c r="X454" i="1"/>
  <c r="X456" i="1"/>
  <c r="X458" i="1"/>
  <c r="X460" i="1"/>
  <c r="X461" i="1"/>
  <c r="X462" i="1"/>
  <c r="X463" i="1"/>
  <c r="X464" i="1"/>
  <c r="X465" i="1"/>
  <c r="X470" i="1"/>
  <c r="X474" i="1"/>
  <c r="X478" i="1"/>
  <c r="X482" i="1"/>
  <c r="X486" i="1"/>
  <c r="X490" i="1"/>
  <c r="X494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4" i="1"/>
  <c r="X536" i="1"/>
  <c r="X539" i="1"/>
  <c r="X541" i="1"/>
  <c r="X547" i="1"/>
  <c r="X549" i="1"/>
  <c r="X550" i="1"/>
  <c r="X552" i="1"/>
  <c r="X553" i="1"/>
  <c r="X554" i="1"/>
  <c r="X555" i="1"/>
  <c r="X556" i="1"/>
  <c r="X558" i="1"/>
  <c r="X560" i="1"/>
  <c r="X562" i="1"/>
  <c r="X563" i="1"/>
  <c r="X565" i="1"/>
  <c r="X570" i="1"/>
  <c r="X571" i="1"/>
  <c r="X572" i="1"/>
  <c r="X574" i="1"/>
  <c r="X576" i="1"/>
  <c r="X579" i="1"/>
  <c r="X582" i="1"/>
  <c r="X584" i="1"/>
  <c r="X586" i="1"/>
  <c r="X588" i="1"/>
  <c r="X590" i="1"/>
  <c r="X591" i="1"/>
  <c r="X593" i="1"/>
  <c r="X595" i="1"/>
  <c r="X598" i="1"/>
  <c r="X600" i="1"/>
  <c r="X603" i="1"/>
  <c r="X605" i="1"/>
  <c r="X606" i="1"/>
  <c r="X608" i="1"/>
  <c r="X609" i="1"/>
  <c r="X612" i="1"/>
  <c r="X614" i="1"/>
  <c r="X616" i="1"/>
  <c r="X617" i="1"/>
  <c r="X619" i="1"/>
  <c r="X621" i="1"/>
  <c r="X623" i="1"/>
  <c r="X625" i="1"/>
  <c r="X627" i="1"/>
  <c r="X629" i="1"/>
  <c r="X631" i="1"/>
  <c r="X633" i="1"/>
  <c r="X635" i="1"/>
  <c r="X636" i="1"/>
  <c r="X638" i="1"/>
  <c r="X640" i="1"/>
  <c r="X642" i="1"/>
  <c r="X643" i="1"/>
  <c r="X645" i="1"/>
  <c r="X646" i="1"/>
  <c r="X647" i="1"/>
  <c r="X649" i="1"/>
  <c r="X651" i="1"/>
  <c r="X653" i="1"/>
  <c r="X655" i="1"/>
  <c r="X657" i="1"/>
  <c r="X659" i="1"/>
  <c r="X661" i="1"/>
  <c r="X663" i="1"/>
  <c r="X664" i="1"/>
  <c r="X666" i="1"/>
  <c r="X668" i="1"/>
  <c r="X670" i="1"/>
  <c r="X672" i="1"/>
  <c r="X675" i="1"/>
  <c r="X677" i="1"/>
  <c r="X679" i="1"/>
  <c r="X681" i="1"/>
  <c r="X682" i="1"/>
  <c r="X469" i="1"/>
  <c r="X473" i="1"/>
  <c r="X477" i="1"/>
  <c r="X481" i="1"/>
  <c r="X485" i="1"/>
  <c r="X489" i="1"/>
  <c r="X493" i="1"/>
  <c r="X497" i="1"/>
  <c r="X468" i="1"/>
  <c r="X472" i="1"/>
  <c r="X476" i="1"/>
  <c r="X480" i="1"/>
  <c r="X484" i="1"/>
  <c r="X488" i="1"/>
  <c r="X492" i="1"/>
  <c r="X496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X467" i="1"/>
  <c r="X471" i="1"/>
  <c r="X475" i="1"/>
  <c r="X479" i="1"/>
  <c r="X483" i="1"/>
  <c r="X487" i="1"/>
  <c r="X491" i="1"/>
  <c r="X495" i="1"/>
  <c r="X514" i="1"/>
  <c r="X531" i="1"/>
  <c r="X532" i="1"/>
  <c r="X533" i="1"/>
  <c r="X535" i="1"/>
  <c r="X537" i="1"/>
  <c r="X538" i="1"/>
  <c r="X540" i="1"/>
  <c r="X542" i="1"/>
  <c r="X543" i="1"/>
  <c r="X544" i="1"/>
  <c r="X545" i="1"/>
  <c r="X546" i="1"/>
  <c r="X548" i="1"/>
  <c r="X551" i="1"/>
  <c r="X557" i="1"/>
  <c r="X559" i="1"/>
  <c r="X561" i="1"/>
  <c r="X564" i="1"/>
  <c r="X566" i="1"/>
  <c r="X567" i="1"/>
  <c r="X568" i="1"/>
  <c r="X569" i="1"/>
  <c r="X573" i="1"/>
  <c r="X575" i="1"/>
  <c r="X577" i="1"/>
  <c r="X578" i="1"/>
  <c r="X580" i="1"/>
  <c r="X581" i="1"/>
  <c r="X583" i="1"/>
  <c r="X585" i="1"/>
  <c r="X587" i="1"/>
  <c r="X589" i="1"/>
  <c r="X592" i="1"/>
  <c r="X594" i="1"/>
  <c r="X596" i="1"/>
  <c r="X597" i="1"/>
  <c r="X599" i="1"/>
  <c r="X601" i="1"/>
  <c r="X602" i="1"/>
  <c r="X604" i="1"/>
  <c r="X607" i="1"/>
  <c r="X610" i="1"/>
  <c r="X611" i="1"/>
  <c r="X613" i="1"/>
  <c r="X615" i="1"/>
  <c r="X618" i="1"/>
  <c r="X620" i="1"/>
  <c r="X622" i="1"/>
  <c r="X624" i="1"/>
  <c r="X626" i="1"/>
  <c r="X628" i="1"/>
  <c r="X630" i="1"/>
  <c r="X632" i="1"/>
  <c r="X634" i="1"/>
  <c r="X637" i="1"/>
  <c r="X639" i="1"/>
  <c r="X641" i="1"/>
  <c r="X644" i="1"/>
  <c r="X648" i="1"/>
  <c r="X650" i="1"/>
  <c r="X652" i="1"/>
  <c r="X654" i="1"/>
  <c r="X656" i="1"/>
  <c r="X658" i="1"/>
  <c r="X660" i="1"/>
  <c r="X662" i="1"/>
  <c r="X665" i="1"/>
  <c r="X667" i="1"/>
  <c r="X669" i="1"/>
  <c r="X671" i="1"/>
  <c r="X673" i="1"/>
  <c r="X674" i="1"/>
  <c r="X676" i="1"/>
  <c r="X678" i="1"/>
  <c r="X680" i="1"/>
  <c r="X683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4" i="1"/>
  <c r="X778" i="1"/>
  <c r="X781" i="1"/>
  <c r="X784" i="1"/>
  <c r="X786" i="1"/>
  <c r="X788" i="1"/>
  <c r="X792" i="1"/>
  <c r="X793" i="1"/>
  <c r="X796" i="1"/>
  <c r="X798" i="1"/>
  <c r="X800" i="1"/>
  <c r="X801" i="1"/>
  <c r="X803" i="1"/>
  <c r="X805" i="1"/>
  <c r="X806" i="1"/>
  <c r="X808" i="1"/>
  <c r="X810" i="1"/>
  <c r="X812" i="1"/>
  <c r="X814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3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9" i="1"/>
  <c r="X780" i="1"/>
  <c r="X782" i="1"/>
  <c r="X783" i="1"/>
  <c r="X785" i="1"/>
  <c r="X787" i="1"/>
  <c r="X789" i="1"/>
  <c r="X790" i="1"/>
  <c r="X791" i="1"/>
  <c r="X794" i="1"/>
  <c r="X795" i="1"/>
  <c r="X797" i="1"/>
  <c r="X799" i="1"/>
  <c r="X802" i="1"/>
  <c r="X804" i="1"/>
  <c r="X807" i="1"/>
  <c r="X809" i="1"/>
  <c r="X811" i="1"/>
  <c r="X813" i="1"/>
  <c r="X818" i="1"/>
  <c r="X822" i="1"/>
  <c r="X826" i="1"/>
  <c r="X817" i="1"/>
  <c r="X821" i="1"/>
  <c r="X825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X816" i="1"/>
  <c r="X820" i="1"/>
  <c r="X824" i="1"/>
  <c r="X836" i="1"/>
  <c r="X848" i="1"/>
  <c r="X852" i="1"/>
  <c r="X854" i="1"/>
  <c r="X856" i="1"/>
  <c r="X858" i="1"/>
  <c r="X860" i="1"/>
  <c r="X861" i="1"/>
  <c r="X863" i="1"/>
  <c r="X871" i="1"/>
  <c r="X873" i="1"/>
  <c r="X875" i="1"/>
  <c r="X877" i="1"/>
  <c r="X879" i="1"/>
  <c r="X881" i="1"/>
  <c r="X883" i="1"/>
  <c r="X885" i="1"/>
  <c r="X887" i="1"/>
  <c r="X889" i="1"/>
  <c r="X891" i="1"/>
  <c r="X893" i="1"/>
  <c r="X895" i="1"/>
  <c r="X897" i="1"/>
  <c r="X899" i="1"/>
  <c r="X901" i="1"/>
  <c r="X903" i="1"/>
  <c r="X904" i="1"/>
  <c r="X906" i="1"/>
  <c r="X908" i="1"/>
  <c r="X910" i="1"/>
  <c r="X912" i="1"/>
  <c r="X915" i="1"/>
  <c r="X917" i="1"/>
  <c r="X919" i="1"/>
  <c r="X921" i="1"/>
  <c r="X926" i="1"/>
  <c r="X929" i="1"/>
  <c r="X931" i="1"/>
  <c r="X932" i="1"/>
  <c r="X934" i="1"/>
  <c r="X936" i="1"/>
  <c r="X938" i="1"/>
  <c r="X940" i="1"/>
  <c r="X941" i="1"/>
  <c r="X943" i="1"/>
  <c r="X945" i="1"/>
  <c r="X946" i="1"/>
  <c r="X947" i="1"/>
  <c r="X950" i="1"/>
  <c r="X951" i="1"/>
  <c r="X961" i="1"/>
  <c r="X963" i="1"/>
  <c r="X964" i="1"/>
  <c r="X966" i="1"/>
  <c r="X968" i="1"/>
  <c r="X969" i="1"/>
  <c r="X971" i="1"/>
  <c r="X815" i="1"/>
  <c r="X819" i="1"/>
  <c r="X823" i="1"/>
  <c r="X827" i="1"/>
  <c r="X828" i="1"/>
  <c r="X829" i="1"/>
  <c r="X830" i="1"/>
  <c r="X831" i="1"/>
  <c r="X832" i="1"/>
  <c r="X833" i="1"/>
  <c r="X834" i="1"/>
  <c r="X835" i="1"/>
  <c r="X837" i="1"/>
  <c r="X838" i="1"/>
  <c r="X839" i="1"/>
  <c r="X840" i="1"/>
  <c r="X841" i="1"/>
  <c r="X842" i="1"/>
  <c r="X843" i="1"/>
  <c r="X844" i="1"/>
  <c r="X845" i="1"/>
  <c r="X846" i="1"/>
  <c r="X847" i="1"/>
  <c r="X849" i="1"/>
  <c r="X850" i="1"/>
  <c r="X851" i="1"/>
  <c r="X853" i="1"/>
  <c r="X855" i="1"/>
  <c r="X857" i="1"/>
  <c r="X859" i="1"/>
  <c r="X862" i="1"/>
  <c r="X864" i="1"/>
  <c r="X865" i="1"/>
  <c r="X866" i="1"/>
  <c r="X867" i="1"/>
  <c r="X868" i="1"/>
  <c r="X869" i="1"/>
  <c r="X870" i="1"/>
  <c r="X872" i="1"/>
  <c r="X874" i="1"/>
  <c r="X876" i="1"/>
  <c r="X878" i="1"/>
  <c r="X880" i="1"/>
  <c r="X882" i="1"/>
  <c r="X884" i="1"/>
  <c r="X886" i="1"/>
  <c r="X888" i="1"/>
  <c r="X890" i="1"/>
  <c r="X892" i="1"/>
  <c r="X894" i="1"/>
  <c r="X896" i="1"/>
  <c r="X898" i="1"/>
  <c r="X900" i="1"/>
  <c r="X902" i="1"/>
  <c r="X905" i="1"/>
  <c r="X907" i="1"/>
  <c r="X909" i="1"/>
  <c r="X911" i="1"/>
  <c r="X913" i="1"/>
  <c r="X914" i="1"/>
  <c r="X916" i="1"/>
  <c r="X918" i="1"/>
  <c r="X920" i="1"/>
  <c r="X922" i="1"/>
  <c r="X923" i="1"/>
  <c r="X924" i="1"/>
  <c r="X925" i="1"/>
  <c r="X927" i="1"/>
  <c r="X928" i="1"/>
  <c r="X930" i="1"/>
  <c r="X933" i="1"/>
  <c r="X935" i="1"/>
  <c r="X937" i="1"/>
  <c r="X939" i="1"/>
  <c r="X942" i="1"/>
  <c r="X944" i="1"/>
  <c r="X948" i="1"/>
  <c r="X949" i="1"/>
  <c r="X952" i="1"/>
  <c r="X953" i="1"/>
  <c r="X954" i="1"/>
  <c r="X955" i="1"/>
  <c r="X956" i="1"/>
  <c r="X957" i="1"/>
  <c r="X958" i="1"/>
  <c r="X959" i="1"/>
  <c r="X960" i="1"/>
  <c r="X962" i="1"/>
  <c r="X965" i="1"/>
  <c r="X967" i="1"/>
  <c r="X970" i="1"/>
  <c r="X972" i="1"/>
  <c r="X976" i="1"/>
  <c r="X980" i="1"/>
  <c r="X984" i="1"/>
  <c r="X988" i="1"/>
  <c r="X992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X975" i="1"/>
  <c r="X979" i="1"/>
  <c r="X983" i="1"/>
  <c r="X987" i="1"/>
  <c r="X991" i="1"/>
  <c r="X1003" i="1"/>
  <c r="X1013" i="1"/>
  <c r="X1015" i="1"/>
  <c r="X1017" i="1"/>
  <c r="X1018" i="1"/>
  <c r="X1020" i="1"/>
  <c r="X1022" i="1"/>
  <c r="X1023" i="1"/>
  <c r="X1025" i="1"/>
  <c r="X1026" i="1"/>
  <c r="X1027" i="1"/>
  <c r="X1028" i="1"/>
  <c r="X1030" i="1"/>
  <c r="X1032" i="1"/>
  <c r="X1033" i="1"/>
  <c r="X1035" i="1"/>
  <c r="X1037" i="1"/>
  <c r="X1040" i="1"/>
  <c r="X1042" i="1"/>
  <c r="X1044" i="1"/>
  <c r="X1045" i="1"/>
  <c r="X1048" i="1"/>
  <c r="X1050" i="1"/>
  <c r="X1052" i="1"/>
  <c r="X1054" i="1"/>
  <c r="X1056" i="1"/>
  <c r="X1058" i="1"/>
  <c r="X1060" i="1"/>
  <c r="X1062" i="1"/>
  <c r="X1064" i="1"/>
  <c r="X1066" i="1"/>
  <c r="X1068" i="1"/>
  <c r="X1070" i="1"/>
  <c r="X1072" i="1"/>
  <c r="X1074" i="1"/>
  <c r="X1076" i="1"/>
  <c r="X1078" i="1"/>
  <c r="X1079" i="1"/>
  <c r="X1080" i="1"/>
  <c r="X1081" i="1"/>
  <c r="X1083" i="1"/>
  <c r="X1084" i="1"/>
  <c r="X1085" i="1"/>
  <c r="X1088" i="1"/>
  <c r="X1091" i="1"/>
  <c r="X1093" i="1"/>
  <c r="X1095" i="1"/>
  <c r="X1097" i="1"/>
  <c r="X1102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7" i="1"/>
  <c r="X1138" i="1"/>
  <c r="X1140" i="1"/>
  <c r="X1142" i="1"/>
  <c r="X1143" i="1"/>
  <c r="X1145" i="1"/>
  <c r="X1147" i="1"/>
  <c r="X1148" i="1"/>
  <c r="X1151" i="1"/>
  <c r="X1153" i="1"/>
  <c r="X1155" i="1"/>
  <c r="X1160" i="1"/>
  <c r="X1174" i="1"/>
  <c r="X1176" i="1"/>
  <c r="X1178" i="1"/>
  <c r="X1180" i="1"/>
  <c r="X1182" i="1"/>
  <c r="X1184" i="1"/>
  <c r="X1188" i="1"/>
  <c r="X1189" i="1"/>
  <c r="X1193" i="1"/>
  <c r="X1195" i="1"/>
  <c r="X1197" i="1"/>
  <c r="X1199" i="1"/>
  <c r="X1201" i="1"/>
  <c r="X1203" i="1"/>
  <c r="X1205" i="1"/>
  <c r="X1207" i="1"/>
  <c r="X1209" i="1"/>
  <c r="X1211" i="1"/>
  <c r="X1213" i="1"/>
  <c r="X1215" i="1"/>
  <c r="X1217" i="1"/>
  <c r="X1219" i="1"/>
  <c r="X1221" i="1"/>
  <c r="X1223" i="1"/>
  <c r="X1225" i="1"/>
  <c r="X1227" i="1"/>
  <c r="X1229" i="1"/>
  <c r="X1230" i="1"/>
  <c r="X1232" i="1"/>
  <c r="X1234" i="1"/>
  <c r="X1236" i="1"/>
  <c r="X1238" i="1"/>
  <c r="X974" i="1"/>
  <c r="X978" i="1"/>
  <c r="X982" i="1"/>
  <c r="X986" i="1"/>
  <c r="X990" i="1"/>
  <c r="X994" i="1"/>
  <c r="X995" i="1"/>
  <c r="X996" i="1"/>
  <c r="X997" i="1"/>
  <c r="X998" i="1"/>
  <c r="X999" i="1"/>
  <c r="X1000" i="1"/>
  <c r="X1001" i="1"/>
  <c r="X1002" i="1"/>
  <c r="X1004" i="1"/>
  <c r="X1005" i="1"/>
  <c r="X1006" i="1"/>
  <c r="X1007" i="1"/>
  <c r="X1008" i="1"/>
  <c r="X1009" i="1"/>
  <c r="X1010" i="1"/>
  <c r="X1011" i="1"/>
  <c r="X1012" i="1"/>
  <c r="X1014" i="1"/>
  <c r="X1016" i="1"/>
  <c r="X1019" i="1"/>
  <c r="X1021" i="1"/>
  <c r="X1024" i="1"/>
  <c r="X1029" i="1"/>
  <c r="X1031" i="1"/>
  <c r="X1034" i="1"/>
  <c r="X1036" i="1"/>
  <c r="X1038" i="1"/>
  <c r="X1039" i="1"/>
  <c r="X1041" i="1"/>
  <c r="X1043" i="1"/>
  <c r="X1046" i="1"/>
  <c r="X1047" i="1"/>
  <c r="X1049" i="1"/>
  <c r="X1051" i="1"/>
  <c r="X1053" i="1"/>
  <c r="X1055" i="1"/>
  <c r="X1057" i="1"/>
  <c r="X1059" i="1"/>
  <c r="X1061" i="1"/>
  <c r="X1063" i="1"/>
  <c r="X1065" i="1"/>
  <c r="X1067" i="1"/>
  <c r="X1069" i="1"/>
  <c r="X1071" i="1"/>
  <c r="X1073" i="1"/>
  <c r="X1075" i="1"/>
  <c r="X1077" i="1"/>
  <c r="X1082" i="1"/>
  <c r="X1086" i="1"/>
  <c r="X1087" i="1"/>
  <c r="X1089" i="1"/>
  <c r="X1090" i="1"/>
  <c r="X1092" i="1"/>
  <c r="X1094" i="1"/>
  <c r="X1096" i="1"/>
  <c r="X1098" i="1"/>
  <c r="X1099" i="1"/>
  <c r="X1100" i="1"/>
  <c r="X1101" i="1"/>
  <c r="X1103" i="1"/>
  <c r="X1136" i="1"/>
  <c r="X1139" i="1"/>
  <c r="X1141" i="1"/>
  <c r="X1144" i="1"/>
  <c r="X1146" i="1"/>
  <c r="X1149" i="1"/>
  <c r="X1150" i="1"/>
  <c r="X1152" i="1"/>
  <c r="X1154" i="1"/>
  <c r="X1156" i="1"/>
  <c r="X1157" i="1"/>
  <c r="X1158" i="1"/>
  <c r="X1159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5" i="1"/>
  <c r="X1177" i="1"/>
  <c r="X1179" i="1"/>
  <c r="X1181" i="1"/>
  <c r="X1183" i="1"/>
  <c r="X1185" i="1"/>
  <c r="X1186" i="1"/>
  <c r="X1187" i="1"/>
  <c r="X1190" i="1"/>
  <c r="X1191" i="1"/>
  <c r="X1192" i="1"/>
  <c r="X1194" i="1"/>
  <c r="X1196" i="1"/>
  <c r="X1198" i="1"/>
  <c r="X1200" i="1"/>
  <c r="X1202" i="1"/>
  <c r="X1204" i="1"/>
  <c r="X1206" i="1"/>
  <c r="X1208" i="1"/>
  <c r="X1210" i="1"/>
  <c r="X1212" i="1"/>
  <c r="X1214" i="1"/>
  <c r="X1216" i="1"/>
  <c r="X1218" i="1"/>
  <c r="X1220" i="1"/>
  <c r="X1222" i="1"/>
  <c r="X1224" i="1"/>
  <c r="X1226" i="1"/>
  <c r="X1228" i="1"/>
  <c r="X1231" i="1"/>
  <c r="X1233" i="1"/>
  <c r="X1235" i="1"/>
  <c r="X1237" i="1"/>
  <c r="X1239" i="1"/>
  <c r="X973" i="1"/>
  <c r="X977" i="1"/>
  <c r="X981" i="1"/>
  <c r="X985" i="1"/>
  <c r="X989" i="1"/>
  <c r="X993" i="1"/>
  <c r="X1329" i="1"/>
  <c r="X1325" i="1"/>
  <c r="X1321" i="1"/>
  <c r="X1317" i="1"/>
  <c r="X1313" i="1"/>
  <c r="X1309" i="1"/>
  <c r="X1305" i="1"/>
  <c r="X1301" i="1"/>
  <c r="X1297" i="1"/>
  <c r="X1293" i="1"/>
  <c r="X1289" i="1"/>
  <c r="X1285" i="1"/>
  <c r="X1281" i="1"/>
  <c r="X1277" i="1"/>
  <c r="X1273" i="1"/>
  <c r="X1269" i="1"/>
  <c r="X1265" i="1"/>
  <c r="X1261" i="1"/>
  <c r="X1257" i="1"/>
  <c r="X1253" i="1"/>
  <c r="X1249" i="1"/>
  <c r="X1245" i="1"/>
  <c r="X1241" i="1"/>
  <c r="E64" i="1"/>
  <c r="I64" i="1"/>
  <c r="X64" i="1"/>
  <c r="B64" i="1"/>
  <c r="D64" i="14" s="1"/>
  <c r="E60" i="1"/>
  <c r="I60" i="1"/>
  <c r="X60" i="1"/>
  <c r="B60" i="1"/>
  <c r="D60" i="14" s="1"/>
  <c r="E56" i="1"/>
  <c r="I56" i="1"/>
  <c r="X56" i="1"/>
  <c r="B56" i="1"/>
  <c r="D56" i="14" s="1"/>
  <c r="E52" i="1"/>
  <c r="I52" i="1"/>
  <c r="X52" i="1"/>
  <c r="B52" i="1"/>
  <c r="D52" i="14" s="1"/>
  <c r="E48" i="1"/>
  <c r="I48" i="1"/>
  <c r="X48" i="1"/>
  <c r="B48" i="1"/>
  <c r="D48" i="14" s="1"/>
  <c r="E44" i="1"/>
  <c r="I44" i="1"/>
  <c r="X44" i="1"/>
  <c r="B44" i="1"/>
  <c r="D44" i="14" s="1"/>
  <c r="E40" i="1"/>
  <c r="I40" i="1"/>
  <c r="X40" i="1"/>
  <c r="B40" i="1"/>
  <c r="D40" i="14" s="1"/>
  <c r="E36" i="1"/>
  <c r="I36" i="1"/>
  <c r="X36" i="1"/>
  <c r="B36" i="1"/>
  <c r="D36" i="14" s="1"/>
  <c r="E32" i="1"/>
  <c r="I32" i="1"/>
  <c r="X32" i="1"/>
  <c r="B32" i="1"/>
  <c r="D32" i="14" s="1"/>
  <c r="E28" i="1"/>
  <c r="I28" i="1"/>
  <c r="X28" i="1"/>
  <c r="B28" i="1"/>
  <c r="D28" i="14" s="1"/>
  <c r="E24" i="1"/>
  <c r="I24" i="1"/>
  <c r="X24" i="1"/>
  <c r="B24" i="1"/>
  <c r="D24" i="14" s="1"/>
  <c r="E20" i="1"/>
  <c r="I20" i="1"/>
  <c r="X20" i="1"/>
  <c r="B20" i="1"/>
  <c r="D20" i="14" s="1"/>
  <c r="E16" i="1"/>
  <c r="I16" i="1"/>
  <c r="X16" i="1"/>
  <c r="B16" i="1"/>
  <c r="D16" i="14" s="1"/>
  <c r="E12" i="1"/>
  <c r="I12" i="1"/>
  <c r="X12" i="1"/>
  <c r="B12" i="1"/>
  <c r="D12" i="14" s="1"/>
  <c r="E8" i="1"/>
  <c r="I8" i="1"/>
  <c r="X8" i="1"/>
  <c r="B8" i="1"/>
  <c r="D8" i="14" s="1"/>
  <c r="E4" i="1"/>
  <c r="I4" i="1"/>
  <c r="X4" i="1"/>
  <c r="B4" i="1"/>
  <c r="D4" i="14" s="1"/>
  <c r="AA255" i="4"/>
  <c r="AA251" i="4"/>
  <c r="AA254" i="4"/>
  <c r="AA253" i="4"/>
  <c r="AA256" i="4"/>
  <c r="E157" i="1"/>
  <c r="B157" i="1"/>
  <c r="D157" i="14" s="1"/>
  <c r="I157" i="1"/>
  <c r="X157" i="1"/>
  <c r="B141" i="1"/>
  <c r="D141" i="14" s="1"/>
  <c r="I141" i="1"/>
  <c r="E141" i="1"/>
  <c r="X141" i="1"/>
  <c r="I129" i="1"/>
  <c r="B129" i="1"/>
  <c r="D129" i="14" s="1"/>
  <c r="E129" i="1"/>
  <c r="X129" i="1"/>
  <c r="E109" i="1"/>
  <c r="B109" i="1"/>
  <c r="D109" i="14" s="1"/>
  <c r="I109" i="1"/>
  <c r="X109" i="1"/>
  <c r="I81" i="1"/>
  <c r="X81" i="1"/>
  <c r="E81" i="1"/>
  <c r="B81" i="1"/>
  <c r="D81" i="14" s="1"/>
  <c r="B168" i="1"/>
  <c r="D168" i="14" s="1"/>
  <c r="E168" i="1"/>
  <c r="I168" i="1"/>
  <c r="X168" i="1"/>
  <c r="E156" i="1"/>
  <c r="I156" i="1"/>
  <c r="X156" i="1"/>
  <c r="B156" i="1"/>
  <c r="D156" i="14" s="1"/>
  <c r="B140" i="1"/>
  <c r="D140" i="14" s="1"/>
  <c r="E140" i="1"/>
  <c r="I140" i="1"/>
  <c r="X140" i="1"/>
  <c r="B124" i="1"/>
  <c r="D124" i="14" s="1"/>
  <c r="E124" i="1"/>
  <c r="I124" i="1"/>
  <c r="X124" i="1"/>
  <c r="B104" i="1"/>
  <c r="D104" i="14" s="1"/>
  <c r="I104" i="1"/>
  <c r="E104" i="1"/>
  <c r="X104" i="1"/>
  <c r="I76" i="1"/>
  <c r="B76" i="1"/>
  <c r="D76" i="14" s="1"/>
  <c r="E76" i="1"/>
  <c r="X76" i="1"/>
  <c r="B161" i="1"/>
  <c r="D161" i="14" s="1"/>
  <c r="X161" i="1"/>
  <c r="I161" i="1"/>
  <c r="E161" i="1"/>
  <c r="E149" i="1"/>
  <c r="B149" i="1"/>
  <c r="D149" i="14" s="1"/>
  <c r="X149" i="1"/>
  <c r="I149" i="1"/>
  <c r="I133" i="1"/>
  <c r="B133" i="1"/>
  <c r="D133" i="14" s="1"/>
  <c r="E133" i="1"/>
  <c r="X133" i="1"/>
  <c r="E117" i="1"/>
  <c r="B117" i="1"/>
  <c r="D117" i="14" s="1"/>
  <c r="I117" i="1"/>
  <c r="X117" i="1"/>
  <c r="B105" i="1"/>
  <c r="D105" i="14" s="1"/>
  <c r="E105" i="1"/>
  <c r="I105" i="1"/>
  <c r="X105" i="1"/>
  <c r="E97" i="1"/>
  <c r="X97" i="1"/>
  <c r="I97" i="1"/>
  <c r="B97" i="1"/>
  <c r="D97" i="14" s="1"/>
  <c r="I89" i="1"/>
  <c r="X89" i="1"/>
  <c r="B89" i="1"/>
  <c r="D89" i="14" s="1"/>
  <c r="E89" i="1"/>
  <c r="B73" i="1"/>
  <c r="D73" i="14" s="1"/>
  <c r="E73" i="1"/>
  <c r="I73" i="1"/>
  <c r="X73" i="1"/>
  <c r="B164" i="1"/>
  <c r="D164" i="14" s="1"/>
  <c r="E164" i="1"/>
  <c r="I164" i="1"/>
  <c r="X164" i="1"/>
  <c r="B152" i="1"/>
  <c r="D152" i="14" s="1"/>
  <c r="I152" i="1"/>
  <c r="E152" i="1"/>
  <c r="X152" i="1"/>
  <c r="E144" i="1"/>
  <c r="X144" i="1"/>
  <c r="B144" i="1"/>
  <c r="D144" i="14" s="1"/>
  <c r="I144" i="1"/>
  <c r="B132" i="1"/>
  <c r="D132" i="14" s="1"/>
  <c r="E132" i="1"/>
  <c r="X132" i="1"/>
  <c r="I132" i="1"/>
  <c r="B120" i="1"/>
  <c r="D120" i="14" s="1"/>
  <c r="E120" i="1"/>
  <c r="I120" i="1"/>
  <c r="X120" i="1"/>
  <c r="X112" i="1"/>
  <c r="B112" i="1"/>
  <c r="D112" i="14" s="1"/>
  <c r="E112" i="1"/>
  <c r="I112" i="1"/>
  <c r="X100" i="1"/>
  <c r="I100" i="1"/>
  <c r="E100" i="1"/>
  <c r="B100" i="1"/>
  <c r="D100" i="14" s="1"/>
  <c r="I96" i="1"/>
  <c r="X96" i="1"/>
  <c r="B96" i="1"/>
  <c r="D96" i="14" s="1"/>
  <c r="E96" i="1"/>
  <c r="B88" i="1"/>
  <c r="D88" i="14" s="1"/>
  <c r="X88" i="1"/>
  <c r="I88" i="1"/>
  <c r="E88" i="1"/>
  <c r="B80" i="1"/>
  <c r="D80" i="14" s="1"/>
  <c r="X80" i="1"/>
  <c r="E80" i="1"/>
  <c r="I80" i="1"/>
  <c r="I68" i="1"/>
  <c r="X68" i="1"/>
  <c r="E68" i="1"/>
  <c r="B68" i="1"/>
  <c r="D68" i="14" s="1"/>
  <c r="I163" i="1"/>
  <c r="E163" i="1"/>
  <c r="B163" i="1"/>
  <c r="D163" i="14" s="1"/>
  <c r="X163" i="1"/>
  <c r="I155" i="1"/>
  <c r="E155" i="1"/>
  <c r="B155" i="1"/>
  <c r="D155" i="14" s="1"/>
  <c r="X155" i="1"/>
  <c r="I147" i="1"/>
  <c r="E147" i="1"/>
  <c r="X147" i="1"/>
  <c r="B147" i="1"/>
  <c r="D147" i="14" s="1"/>
  <c r="E139" i="1"/>
  <c r="I139" i="1"/>
  <c r="B139" i="1"/>
  <c r="D139" i="14" s="1"/>
  <c r="X139" i="1"/>
  <c r="B131" i="1"/>
  <c r="D131" i="14" s="1"/>
  <c r="E131" i="1"/>
  <c r="I131" i="1"/>
  <c r="X131" i="1"/>
  <c r="E119" i="1"/>
  <c r="B119" i="1"/>
  <c r="D119" i="14" s="1"/>
  <c r="I119" i="1"/>
  <c r="X119" i="1"/>
  <c r="I111" i="1"/>
  <c r="X111" i="1"/>
  <c r="E111" i="1"/>
  <c r="B111" i="1"/>
  <c r="D111" i="14" s="1"/>
  <c r="I103" i="1"/>
  <c r="E103" i="1"/>
  <c r="X103" i="1"/>
  <c r="B103" i="1"/>
  <c r="D103" i="14" s="1"/>
  <c r="I91" i="1"/>
  <c r="E91" i="1"/>
  <c r="B91" i="1"/>
  <c r="D91" i="14" s="1"/>
  <c r="X91" i="1"/>
  <c r="X75" i="1"/>
  <c r="I75" i="1"/>
  <c r="E75" i="1"/>
  <c r="B75" i="1"/>
  <c r="D75" i="14" s="1"/>
  <c r="B169" i="1"/>
  <c r="D169" i="14" s="1"/>
  <c r="X169" i="1"/>
  <c r="I169" i="1"/>
  <c r="E169" i="1"/>
  <c r="I153" i="1"/>
  <c r="E153" i="1"/>
  <c r="X153" i="1"/>
  <c r="B153" i="1"/>
  <c r="D153" i="14" s="1"/>
  <c r="E137" i="1"/>
  <c r="X137" i="1"/>
  <c r="I137" i="1"/>
  <c r="B137" i="1"/>
  <c r="D137" i="14" s="1"/>
  <c r="B125" i="1"/>
  <c r="D125" i="14" s="1"/>
  <c r="E125" i="1"/>
  <c r="X125" i="1"/>
  <c r="I125" i="1"/>
  <c r="E113" i="1"/>
  <c r="B113" i="1"/>
  <c r="D113" i="14" s="1"/>
  <c r="I113" i="1"/>
  <c r="X113" i="1"/>
  <c r="E101" i="1"/>
  <c r="B101" i="1"/>
  <c r="D101" i="14" s="1"/>
  <c r="I101" i="1"/>
  <c r="X101" i="1"/>
  <c r="I93" i="1"/>
  <c r="B93" i="1"/>
  <c r="D93" i="14" s="1"/>
  <c r="E93" i="1"/>
  <c r="X93" i="1"/>
  <c r="B77" i="1"/>
  <c r="D77" i="14" s="1"/>
  <c r="E77" i="1"/>
  <c r="X77" i="1"/>
  <c r="I77" i="1"/>
  <c r="X69" i="1"/>
  <c r="B69" i="1"/>
  <c r="D69" i="14" s="1"/>
  <c r="E69" i="1"/>
  <c r="I69" i="1"/>
  <c r="B160" i="1"/>
  <c r="D160" i="14" s="1"/>
  <c r="E160" i="1"/>
  <c r="I160" i="1"/>
  <c r="X160" i="1"/>
  <c r="E148" i="1"/>
  <c r="I148" i="1"/>
  <c r="X148" i="1"/>
  <c r="B148" i="1"/>
  <c r="D148" i="14" s="1"/>
  <c r="X136" i="1"/>
  <c r="I136" i="1"/>
  <c r="B136" i="1"/>
  <c r="D136" i="14" s="1"/>
  <c r="E136" i="1"/>
  <c r="E128" i="1"/>
  <c r="X128" i="1"/>
  <c r="B128" i="1"/>
  <c r="D128" i="14" s="1"/>
  <c r="I128" i="1"/>
  <c r="X116" i="1"/>
  <c r="B116" i="1"/>
  <c r="D116" i="14" s="1"/>
  <c r="E116" i="1"/>
  <c r="I116" i="1"/>
  <c r="X108" i="1"/>
  <c r="B108" i="1"/>
  <c r="D108" i="14" s="1"/>
  <c r="E108" i="1"/>
  <c r="I108" i="1"/>
  <c r="B92" i="1"/>
  <c r="D92" i="14" s="1"/>
  <c r="E92" i="1"/>
  <c r="I92" i="1"/>
  <c r="X92" i="1"/>
  <c r="I84" i="1"/>
  <c r="E84" i="1"/>
  <c r="B84" i="1"/>
  <c r="D84" i="14" s="1"/>
  <c r="X84" i="1"/>
  <c r="X72" i="1"/>
  <c r="B72" i="1"/>
  <c r="D72" i="14" s="1"/>
  <c r="E72" i="1"/>
  <c r="I72" i="1"/>
  <c r="E167" i="1"/>
  <c r="B167" i="1"/>
  <c r="D167" i="14" s="1"/>
  <c r="X167" i="1"/>
  <c r="I167" i="1"/>
  <c r="E159" i="1"/>
  <c r="B159" i="1"/>
  <c r="D159" i="14" s="1"/>
  <c r="X159" i="1"/>
  <c r="I159" i="1"/>
  <c r="B151" i="1"/>
  <c r="D151" i="14" s="1"/>
  <c r="X151" i="1"/>
  <c r="I151" i="1"/>
  <c r="E151" i="1"/>
  <c r="E143" i="1"/>
  <c r="B143" i="1"/>
  <c r="D143" i="14" s="1"/>
  <c r="X143" i="1"/>
  <c r="I143" i="1"/>
  <c r="X135" i="1"/>
  <c r="B135" i="1"/>
  <c r="D135" i="14" s="1"/>
  <c r="I135" i="1"/>
  <c r="E135" i="1"/>
  <c r="E127" i="1"/>
  <c r="X127" i="1"/>
  <c r="B127" i="1"/>
  <c r="D127" i="14" s="1"/>
  <c r="I127" i="1"/>
  <c r="B123" i="1"/>
  <c r="D123" i="14" s="1"/>
  <c r="I123" i="1"/>
  <c r="E123" i="1"/>
  <c r="X123" i="1"/>
  <c r="I115" i="1"/>
  <c r="X115" i="1"/>
  <c r="E115" i="1"/>
  <c r="B115" i="1"/>
  <c r="D115" i="14" s="1"/>
  <c r="X107" i="1"/>
  <c r="E107" i="1"/>
  <c r="B107" i="1"/>
  <c r="D107" i="14" s="1"/>
  <c r="I107" i="1"/>
  <c r="E99" i="1"/>
  <c r="X99" i="1"/>
  <c r="I99" i="1"/>
  <c r="B99" i="1"/>
  <c r="D99" i="14" s="1"/>
  <c r="B95" i="1"/>
  <c r="D95" i="14" s="1"/>
  <c r="X95" i="1"/>
  <c r="I95" i="1"/>
  <c r="E95" i="1"/>
  <c r="B87" i="1"/>
  <c r="D87" i="14" s="1"/>
  <c r="X87" i="1"/>
  <c r="I87" i="1"/>
  <c r="E87" i="1"/>
  <c r="B83" i="1"/>
  <c r="D83" i="14" s="1"/>
  <c r="E83" i="1"/>
  <c r="X83" i="1"/>
  <c r="I83" i="1"/>
  <c r="B79" i="1"/>
  <c r="D79" i="14" s="1"/>
  <c r="X79" i="1"/>
  <c r="I79" i="1"/>
  <c r="E79" i="1"/>
  <c r="B71" i="1"/>
  <c r="D71" i="14" s="1"/>
  <c r="E71" i="1"/>
  <c r="X71" i="1"/>
  <c r="I71" i="1"/>
  <c r="E166" i="1"/>
  <c r="I166" i="1"/>
  <c r="X166" i="1"/>
  <c r="B166" i="1"/>
  <c r="D166" i="14" s="1"/>
  <c r="B162" i="1"/>
  <c r="D162" i="14" s="1"/>
  <c r="E162" i="1"/>
  <c r="I162" i="1"/>
  <c r="X162" i="1"/>
  <c r="E158" i="1"/>
  <c r="I158" i="1"/>
  <c r="X158" i="1"/>
  <c r="B158" i="1"/>
  <c r="D158" i="14" s="1"/>
  <c r="B154" i="1"/>
  <c r="D154" i="14" s="1"/>
  <c r="E154" i="1"/>
  <c r="I154" i="1"/>
  <c r="X154" i="1"/>
  <c r="E150" i="1"/>
  <c r="X150" i="1"/>
  <c r="B150" i="1"/>
  <c r="D150" i="14" s="1"/>
  <c r="I150" i="1"/>
  <c r="B146" i="1"/>
  <c r="D146" i="14" s="1"/>
  <c r="X146" i="1"/>
  <c r="I146" i="1"/>
  <c r="E146" i="1"/>
  <c r="E142" i="1"/>
  <c r="I142" i="1"/>
  <c r="X142" i="1"/>
  <c r="B142" i="1"/>
  <c r="D142" i="14" s="1"/>
  <c r="I138" i="1"/>
  <c r="X138" i="1"/>
  <c r="B138" i="1"/>
  <c r="D138" i="14" s="1"/>
  <c r="E138" i="1"/>
  <c r="B134" i="1"/>
  <c r="D134" i="14" s="1"/>
  <c r="E134" i="1"/>
  <c r="I134" i="1"/>
  <c r="X134" i="1"/>
  <c r="B130" i="1"/>
  <c r="D130" i="14" s="1"/>
  <c r="X130" i="1"/>
  <c r="E130" i="1"/>
  <c r="I130" i="1"/>
  <c r="B126" i="1"/>
  <c r="D126" i="14" s="1"/>
  <c r="E126" i="1"/>
  <c r="X126" i="1"/>
  <c r="I126" i="1"/>
  <c r="B122" i="1"/>
  <c r="D122" i="14" s="1"/>
  <c r="I122" i="1"/>
  <c r="E122" i="1"/>
  <c r="X122" i="1"/>
  <c r="X118" i="1"/>
  <c r="B118" i="1"/>
  <c r="D118" i="14" s="1"/>
  <c r="E118" i="1"/>
  <c r="I118" i="1"/>
  <c r="B114" i="1"/>
  <c r="D114" i="14" s="1"/>
  <c r="E114" i="1"/>
  <c r="I114" i="1"/>
  <c r="X114" i="1"/>
  <c r="X110" i="1"/>
  <c r="B110" i="1"/>
  <c r="D110" i="14" s="1"/>
  <c r="E110" i="1"/>
  <c r="I110" i="1"/>
  <c r="X106" i="1"/>
  <c r="B106" i="1"/>
  <c r="D106" i="14" s="1"/>
  <c r="E106" i="1"/>
  <c r="I106" i="1"/>
  <c r="B102" i="1"/>
  <c r="D102" i="14" s="1"/>
  <c r="E102" i="1"/>
  <c r="I102" i="1"/>
  <c r="X102" i="1"/>
  <c r="X98" i="1"/>
  <c r="E98" i="1"/>
  <c r="B98" i="1"/>
  <c r="D98" i="14" s="1"/>
  <c r="I98" i="1"/>
  <c r="I94" i="1"/>
  <c r="E94" i="1"/>
  <c r="X94" i="1"/>
  <c r="B94" i="1"/>
  <c r="D94" i="14" s="1"/>
  <c r="X90" i="1"/>
  <c r="B90" i="1"/>
  <c r="D90" i="14" s="1"/>
  <c r="I90" i="1"/>
  <c r="E90" i="1"/>
  <c r="B86" i="1"/>
  <c r="D86" i="14" s="1"/>
  <c r="E86" i="1"/>
  <c r="X86" i="1"/>
  <c r="I86" i="1"/>
  <c r="E82" i="1"/>
  <c r="I82" i="1"/>
  <c r="B82" i="1"/>
  <c r="D82" i="14" s="1"/>
  <c r="X82" i="1"/>
  <c r="B78" i="1"/>
  <c r="D78" i="14" s="1"/>
  <c r="E78" i="1"/>
  <c r="X78" i="1"/>
  <c r="I78" i="1"/>
  <c r="B74" i="1"/>
  <c r="D74" i="14" s="1"/>
  <c r="I74" i="1"/>
  <c r="X74" i="1"/>
  <c r="E74" i="1"/>
  <c r="E70" i="1"/>
  <c r="I70" i="1"/>
  <c r="X70" i="1"/>
  <c r="B70" i="1"/>
  <c r="D70" i="14" s="1"/>
  <c r="I165" i="1"/>
  <c r="E165" i="1"/>
  <c r="B165" i="1"/>
  <c r="D165" i="14" s="1"/>
  <c r="X165" i="1"/>
  <c r="B145" i="1"/>
  <c r="D145" i="14" s="1"/>
  <c r="X145" i="1"/>
  <c r="I145" i="1"/>
  <c r="E145" i="1"/>
  <c r="B121" i="1"/>
  <c r="D121" i="14" s="1"/>
  <c r="I121" i="1"/>
  <c r="E121" i="1"/>
  <c r="X121" i="1"/>
  <c r="B85" i="1"/>
  <c r="D85" i="14" s="1"/>
  <c r="E85" i="1"/>
  <c r="I85" i="1"/>
  <c r="X85" i="1"/>
  <c r="B2" i="1"/>
  <c r="D2" i="14" s="1"/>
  <c r="A22" i="3"/>
  <c r="A22" i="6" s="1"/>
  <c r="Q22" i="3"/>
  <c r="A10" i="3"/>
  <c r="A10" i="6" s="1"/>
  <c r="Q10" i="3"/>
  <c r="A18" i="3"/>
  <c r="A18" i="6" s="1"/>
  <c r="Q18" i="3"/>
  <c r="A12" i="3"/>
  <c r="A12" i="6" s="1"/>
  <c r="Q12" i="3"/>
  <c r="A23" i="3"/>
  <c r="A23" i="6" s="1"/>
  <c r="Q23" i="3"/>
  <c r="A17" i="3"/>
  <c r="A17" i="6" s="1"/>
  <c r="Q17" i="3"/>
  <c r="A11" i="3"/>
  <c r="A11" i="6" s="1"/>
  <c r="Q11" i="3"/>
  <c r="R16" i="6"/>
  <c r="Q16" i="3"/>
  <c r="Q13" i="3"/>
  <c r="Q20" i="3"/>
  <c r="Q25" i="3"/>
  <c r="Q24" i="3"/>
  <c r="B21" i="6"/>
  <c r="B14" i="6"/>
  <c r="C22" i="6"/>
  <c r="C15" i="6"/>
  <c r="Q25" i="6"/>
  <c r="L25" i="6"/>
  <c r="P24" i="6"/>
  <c r="K24" i="6"/>
  <c r="O23" i="6"/>
  <c r="G22" i="6"/>
  <c r="N21" i="6" a="1"/>
  <c r="N21" i="6" s="1"/>
  <c r="R20" i="6"/>
  <c r="M20" i="6" a="1"/>
  <c r="M20" i="6" s="1"/>
  <c r="Q19" i="6"/>
  <c r="L19" i="6"/>
  <c r="P18" i="6"/>
  <c r="K18" i="6"/>
  <c r="O17" i="6"/>
  <c r="G16" i="6"/>
  <c r="N15" i="6" a="1"/>
  <c r="N15" i="6" s="1"/>
  <c r="R14" i="6"/>
  <c r="M14" i="6" a="1"/>
  <c r="M14" i="6" s="1"/>
  <c r="Q13" i="6"/>
  <c r="L13" i="6"/>
  <c r="P12" i="6"/>
  <c r="K12" i="6"/>
  <c r="O11" i="6"/>
  <c r="N10" i="6" a="1"/>
  <c r="N10" i="6" s="1"/>
  <c r="B20" i="6"/>
  <c r="B13" i="6"/>
  <c r="C21" i="6"/>
  <c r="C14" i="6"/>
  <c r="P25" i="6"/>
  <c r="K25" i="6"/>
  <c r="O24" i="6"/>
  <c r="G23" i="6"/>
  <c r="N22" i="6" a="1"/>
  <c r="N22" i="6" s="1"/>
  <c r="R21" i="6"/>
  <c r="M21" i="6" a="1"/>
  <c r="M21" i="6" s="1"/>
  <c r="Q20" i="6"/>
  <c r="L20" i="6"/>
  <c r="P19" i="6"/>
  <c r="K19" i="6"/>
  <c r="O18" i="6"/>
  <c r="G17" i="6"/>
  <c r="N16" i="6" a="1"/>
  <c r="N16" i="6" s="1"/>
  <c r="R15" i="6"/>
  <c r="M15" i="6" a="1"/>
  <c r="M15" i="6" s="1"/>
  <c r="Q14" i="6"/>
  <c r="AB14" i="6" s="1"/>
  <c r="L14" i="6"/>
  <c r="P13" i="6"/>
  <c r="K13" i="6"/>
  <c r="O12" i="6"/>
  <c r="G11" i="6"/>
  <c r="M10" i="6" a="1"/>
  <c r="M10" i="6" s="1"/>
  <c r="B25" i="6"/>
  <c r="B18" i="6"/>
  <c r="B12" i="6"/>
  <c r="C20" i="6"/>
  <c r="C13" i="6"/>
  <c r="O25" i="6"/>
  <c r="G24" i="6"/>
  <c r="N23" i="6" a="1"/>
  <c r="N23" i="6" s="1"/>
  <c r="R22" i="6"/>
  <c r="M22" i="6" a="1"/>
  <c r="M22" i="6" s="1"/>
  <c r="Q21" i="6"/>
  <c r="AB21" i="6" s="1"/>
  <c r="L21" i="6"/>
  <c r="P20" i="6"/>
  <c r="K20" i="6"/>
  <c r="O19" i="6"/>
  <c r="G18" i="6"/>
  <c r="H18" i="6" s="1"/>
  <c r="N17" i="6" a="1"/>
  <c r="N17" i="6" s="1"/>
  <c r="M16" i="6" a="1"/>
  <c r="M16" i="6" s="1"/>
  <c r="Q15" i="6"/>
  <c r="L15" i="6"/>
  <c r="P14" i="6"/>
  <c r="K14" i="6"/>
  <c r="O13" i="6"/>
  <c r="G12" i="6"/>
  <c r="N11" i="6" a="1"/>
  <c r="N11" i="6" s="1"/>
  <c r="R10" i="6"/>
  <c r="L10" i="6"/>
  <c r="B24" i="6"/>
  <c r="B17" i="6"/>
  <c r="B11" i="6"/>
  <c r="C25" i="6"/>
  <c r="C18" i="6"/>
  <c r="C12" i="6"/>
  <c r="G25" i="6"/>
  <c r="H25" i="6" s="1"/>
  <c r="N24" i="6" a="1"/>
  <c r="N24" i="6" s="1"/>
  <c r="R23" i="6"/>
  <c r="M23" i="6" a="1"/>
  <c r="M23" i="6" s="1"/>
  <c r="Q22" i="6"/>
  <c r="AB22" i="6" s="1"/>
  <c r="L22" i="6"/>
  <c r="P21" i="6"/>
  <c r="K21" i="6"/>
  <c r="O20" i="6"/>
  <c r="G19" i="6"/>
  <c r="N18" i="6" a="1"/>
  <c r="N18" i="6" s="1"/>
  <c r="R17" i="6"/>
  <c r="M17" i="6" a="1"/>
  <c r="M17" i="6" s="1"/>
  <c r="Q16" i="6"/>
  <c r="AB16" i="6" s="1"/>
  <c r="L16" i="6"/>
  <c r="P15" i="6"/>
  <c r="K15" i="6"/>
  <c r="O14" i="6"/>
  <c r="G13" i="6"/>
  <c r="N12" i="6" a="1"/>
  <c r="N12" i="6" s="1"/>
  <c r="R11" i="6"/>
  <c r="M11" i="6" a="1"/>
  <c r="M11" i="6" s="1"/>
  <c r="Q10" i="6"/>
  <c r="AB10" i="6" s="1"/>
  <c r="K10" i="6"/>
  <c r="B23" i="6"/>
  <c r="B16" i="6"/>
  <c r="B10" i="6"/>
  <c r="C24" i="6"/>
  <c r="C17" i="6"/>
  <c r="C11" i="6"/>
  <c r="N25" i="6" a="1"/>
  <c r="N25" i="6" s="1"/>
  <c r="R24" i="6"/>
  <c r="M24" i="6" a="1"/>
  <c r="M24" i="6" s="1"/>
  <c r="Q23" i="6"/>
  <c r="L23" i="6"/>
  <c r="P22" i="6"/>
  <c r="K22" i="6"/>
  <c r="O21" i="6"/>
  <c r="G20" i="6"/>
  <c r="N19" i="6" a="1"/>
  <c r="N19" i="6" s="1"/>
  <c r="R18" i="6"/>
  <c r="M18" i="6" a="1"/>
  <c r="M18" i="6" s="1"/>
  <c r="Q17" i="6"/>
  <c r="AB17" i="6" s="1"/>
  <c r="L17" i="6"/>
  <c r="P16" i="6"/>
  <c r="K16" i="6"/>
  <c r="O15" i="6"/>
  <c r="G14" i="6"/>
  <c r="N13" i="6" a="1"/>
  <c r="N13" i="6" s="1"/>
  <c r="R12" i="6"/>
  <c r="M12" i="6" a="1"/>
  <c r="M12" i="6" s="1"/>
  <c r="Q11" i="6"/>
  <c r="AB11" i="6" s="1"/>
  <c r="L11" i="6"/>
  <c r="P10" i="6"/>
  <c r="Q15" i="3"/>
  <c r="Q21" i="3"/>
  <c r="Q14" i="3"/>
  <c r="B22" i="6"/>
  <c r="B15" i="6"/>
  <c r="C23" i="6"/>
  <c r="C16" i="6"/>
  <c r="C10" i="6"/>
  <c r="C4" i="6"/>
  <c r="R25" i="6"/>
  <c r="M25" i="6" a="1"/>
  <c r="M25" i="6" s="1"/>
  <c r="Q24" i="6"/>
  <c r="L24" i="6"/>
  <c r="P23" i="6"/>
  <c r="K23" i="6"/>
  <c r="O22" i="6"/>
  <c r="G21" i="6"/>
  <c r="I21" i="6" s="1"/>
  <c r="N20" i="6" a="1"/>
  <c r="N20" i="6" s="1"/>
  <c r="R19" i="6"/>
  <c r="M19" i="6" a="1"/>
  <c r="M19" i="6" s="1"/>
  <c r="Q18" i="6"/>
  <c r="L18" i="6"/>
  <c r="P17" i="6"/>
  <c r="K17" i="6"/>
  <c r="O16" i="6"/>
  <c r="G15" i="6"/>
  <c r="N14" i="6" a="1"/>
  <c r="N14" i="6" s="1"/>
  <c r="R13" i="6"/>
  <c r="M13" i="6" a="1"/>
  <c r="M13" i="6" s="1"/>
  <c r="Q12" i="6"/>
  <c r="L12" i="6"/>
  <c r="P11" i="6"/>
  <c r="K11" i="6"/>
  <c r="O10" i="6"/>
  <c r="G10" i="6"/>
  <c r="H24" i="6"/>
  <c r="I24" i="6"/>
  <c r="H23" i="6"/>
  <c r="I23" i="6"/>
  <c r="H22" i="6"/>
  <c r="I22" i="6"/>
  <c r="H21" i="6"/>
  <c r="H20" i="6"/>
  <c r="I20" i="6"/>
  <c r="H19" i="6"/>
  <c r="I19" i="6"/>
  <c r="I18" i="6"/>
  <c r="H17" i="6"/>
  <c r="I17" i="6"/>
  <c r="H16" i="6"/>
  <c r="I16" i="6"/>
  <c r="H15" i="6"/>
  <c r="I15" i="6"/>
  <c r="H14" i="6"/>
  <c r="I14" i="6"/>
  <c r="J10" i="6"/>
  <c r="I13" i="6"/>
  <c r="I12" i="6"/>
  <c r="I11" i="6"/>
  <c r="C19" i="6"/>
  <c r="B19" i="6"/>
  <c r="F19" i="6" s="1"/>
  <c r="Q19" i="3"/>
  <c r="F32" i="6"/>
  <c r="F811" i="6"/>
  <c r="F793" i="6"/>
  <c r="F739" i="6"/>
  <c r="F775" i="6"/>
  <c r="F757" i="6"/>
  <c r="F703" i="6"/>
  <c r="F631" i="6"/>
  <c r="F577" i="6"/>
  <c r="F326" i="6"/>
  <c r="F806" i="6"/>
  <c r="F788" i="6"/>
  <c r="F770" i="6"/>
  <c r="F752" i="6"/>
  <c r="F734" i="6"/>
  <c r="F716" i="6"/>
  <c r="F698" i="6"/>
  <c r="F680" i="6"/>
  <c r="F662" i="6"/>
  <c r="F644" i="6"/>
  <c r="F626" i="6"/>
  <c r="F608" i="6"/>
  <c r="F590" i="6"/>
  <c r="F572" i="6"/>
  <c r="F554" i="6"/>
  <c r="F536" i="6"/>
  <c r="F518" i="6"/>
  <c r="F497" i="6"/>
  <c r="F471" i="6"/>
  <c r="F398" i="6"/>
  <c r="F308" i="6"/>
  <c r="F147" i="6"/>
  <c r="F685" i="6"/>
  <c r="F559" i="6"/>
  <c r="F541" i="6"/>
  <c r="F416" i="6"/>
  <c r="F805" i="6"/>
  <c r="F787" i="6"/>
  <c r="F769" i="6"/>
  <c r="F751" i="6"/>
  <c r="F733" i="6"/>
  <c r="F715" i="6"/>
  <c r="F697" i="6"/>
  <c r="F679" i="6"/>
  <c r="F661" i="6"/>
  <c r="F643" i="6"/>
  <c r="F625" i="6"/>
  <c r="F607" i="6"/>
  <c r="F589" i="6"/>
  <c r="F571" i="6"/>
  <c r="F553" i="6"/>
  <c r="F535" i="6"/>
  <c r="F517" i="6"/>
  <c r="F496" i="6"/>
  <c r="F470" i="6"/>
  <c r="F380" i="6"/>
  <c r="F290" i="6"/>
  <c r="F111" i="6"/>
  <c r="F800" i="6"/>
  <c r="F782" i="6"/>
  <c r="F764" i="6"/>
  <c r="F746" i="6"/>
  <c r="F728" i="6"/>
  <c r="F710" i="6"/>
  <c r="F692" i="6"/>
  <c r="F674" i="6"/>
  <c r="F656" i="6"/>
  <c r="F638" i="6"/>
  <c r="F620" i="6"/>
  <c r="F602" i="6"/>
  <c r="F584" i="6"/>
  <c r="F566" i="6"/>
  <c r="F548" i="6"/>
  <c r="F530" i="6"/>
  <c r="F512" i="6"/>
  <c r="F489" i="6"/>
  <c r="F460" i="6"/>
  <c r="F375" i="6"/>
  <c r="F272" i="6"/>
  <c r="F80" i="6"/>
  <c r="F721" i="6"/>
  <c r="F649" i="6"/>
  <c r="F595" i="6"/>
  <c r="F503" i="6"/>
  <c r="F183" i="6"/>
  <c r="F799" i="6"/>
  <c r="F781" i="6"/>
  <c r="F763" i="6"/>
  <c r="F745" i="6"/>
  <c r="F727" i="6"/>
  <c r="F709" i="6"/>
  <c r="F691" i="6"/>
  <c r="F673" i="6"/>
  <c r="F655" i="6"/>
  <c r="F637" i="6"/>
  <c r="F619" i="6"/>
  <c r="F601" i="6"/>
  <c r="F583" i="6"/>
  <c r="F565" i="6"/>
  <c r="F547" i="6"/>
  <c r="F529" i="6"/>
  <c r="F510" i="6"/>
  <c r="F488" i="6"/>
  <c r="F448" i="6"/>
  <c r="F362" i="6"/>
  <c r="F254" i="6"/>
  <c r="F44" i="6"/>
  <c r="F667" i="6"/>
  <c r="F613" i="6"/>
  <c r="F523" i="6"/>
  <c r="F478" i="6"/>
  <c r="F812" i="6"/>
  <c r="F794" i="6"/>
  <c r="F776" i="6"/>
  <c r="F758" i="6"/>
  <c r="F740" i="6"/>
  <c r="F722" i="6"/>
  <c r="F704" i="6"/>
  <c r="F686" i="6"/>
  <c r="F668" i="6"/>
  <c r="F650" i="6"/>
  <c r="F632" i="6"/>
  <c r="F614" i="6"/>
  <c r="F596" i="6"/>
  <c r="F578" i="6"/>
  <c r="F560" i="6"/>
  <c r="F542" i="6"/>
  <c r="F524" i="6"/>
  <c r="F504" i="6"/>
  <c r="F479" i="6"/>
  <c r="F434" i="6"/>
  <c r="F344" i="6"/>
  <c r="F219" i="6"/>
  <c r="F8" i="6"/>
  <c r="F321" i="6"/>
  <c r="F267" i="6"/>
  <c r="F177" i="6"/>
  <c r="F38" i="6"/>
  <c r="F810" i="6"/>
  <c r="F804" i="6"/>
  <c r="F798" i="6"/>
  <c r="F792" i="6"/>
  <c r="F786" i="6"/>
  <c r="F780" i="6"/>
  <c r="F774" i="6"/>
  <c r="F768" i="6"/>
  <c r="F762" i="6"/>
  <c r="F756" i="6"/>
  <c r="F750" i="6"/>
  <c r="F744" i="6"/>
  <c r="F738" i="6"/>
  <c r="F732" i="6"/>
  <c r="F726" i="6"/>
  <c r="F720" i="6"/>
  <c r="F714" i="6"/>
  <c r="F708" i="6"/>
  <c r="F702" i="6"/>
  <c r="F696" i="6"/>
  <c r="F690" i="6"/>
  <c r="F684" i="6"/>
  <c r="F678" i="6"/>
  <c r="F672" i="6"/>
  <c r="F666" i="6"/>
  <c r="F660" i="6"/>
  <c r="F654" i="6"/>
  <c r="F648" i="6"/>
  <c r="F642" i="6"/>
  <c r="F636" i="6"/>
  <c r="F630" i="6"/>
  <c r="F624" i="6"/>
  <c r="F618" i="6"/>
  <c r="F612" i="6"/>
  <c r="F606" i="6"/>
  <c r="F600" i="6"/>
  <c r="F594" i="6"/>
  <c r="F588" i="6"/>
  <c r="F582" i="6"/>
  <c r="F576" i="6"/>
  <c r="F570" i="6"/>
  <c r="F564" i="6"/>
  <c r="F558" i="6"/>
  <c r="F552" i="6"/>
  <c r="F546" i="6"/>
  <c r="F540" i="6"/>
  <c r="F534" i="6"/>
  <c r="F528" i="6"/>
  <c r="F522" i="6"/>
  <c r="F516" i="6"/>
  <c r="F509" i="6"/>
  <c r="F502" i="6"/>
  <c r="F495" i="6"/>
  <c r="F485" i="6"/>
  <c r="F477" i="6"/>
  <c r="F467" i="6"/>
  <c r="F458" i="6"/>
  <c r="F446" i="6"/>
  <c r="F428" i="6"/>
  <c r="F410" i="6"/>
  <c r="F392" i="6"/>
  <c r="F374" i="6"/>
  <c r="F356" i="6"/>
  <c r="F338" i="6"/>
  <c r="F320" i="6"/>
  <c r="F302" i="6"/>
  <c r="F284" i="6"/>
  <c r="F266" i="6"/>
  <c r="F243" i="6"/>
  <c r="F207" i="6"/>
  <c r="F171" i="6"/>
  <c r="F135" i="6"/>
  <c r="F99" i="6"/>
  <c r="F68" i="6"/>
  <c r="F15" i="6"/>
  <c r="F21" i="6"/>
  <c r="F27" i="6"/>
  <c r="F33" i="6"/>
  <c r="F39" i="6"/>
  <c r="F45" i="6"/>
  <c r="F51" i="6"/>
  <c r="F57" i="6"/>
  <c r="F63" i="6"/>
  <c r="F69" i="6"/>
  <c r="F75" i="6"/>
  <c r="F81" i="6"/>
  <c r="F87" i="6"/>
  <c r="F93" i="6"/>
  <c r="F100" i="6"/>
  <c r="F106" i="6"/>
  <c r="F112" i="6"/>
  <c r="F118" i="6"/>
  <c r="F124" i="6"/>
  <c r="F130" i="6"/>
  <c r="F136" i="6"/>
  <c r="F142" i="6"/>
  <c r="F148" i="6"/>
  <c r="F154" i="6"/>
  <c r="F160" i="6"/>
  <c r="F166" i="6"/>
  <c r="F172" i="6"/>
  <c r="F178" i="6"/>
  <c r="F184" i="6"/>
  <c r="F190" i="6"/>
  <c r="F196" i="6"/>
  <c r="F202" i="6"/>
  <c r="F208" i="6"/>
  <c r="F214" i="6"/>
  <c r="F220" i="6"/>
  <c r="F226" i="6"/>
  <c r="F232" i="6"/>
  <c r="F238" i="6"/>
  <c r="F244" i="6"/>
  <c r="F250" i="6"/>
  <c r="F256" i="6"/>
  <c r="F262" i="6"/>
  <c r="F268" i="6"/>
  <c r="F274" i="6"/>
  <c r="F280" i="6"/>
  <c r="F286" i="6"/>
  <c r="F292" i="6"/>
  <c r="F298" i="6"/>
  <c r="F304" i="6"/>
  <c r="F310" i="6"/>
  <c r="F316" i="6"/>
  <c r="F322" i="6"/>
  <c r="F328" i="6"/>
  <c r="F334" i="6"/>
  <c r="F340" i="6"/>
  <c r="F346" i="6"/>
  <c r="F352" i="6"/>
  <c r="F358" i="6"/>
  <c r="F364" i="6"/>
  <c r="F370" i="6"/>
  <c r="F376" i="6"/>
  <c r="F382" i="6"/>
  <c r="F388" i="6"/>
  <c r="F394" i="6"/>
  <c r="F400" i="6"/>
  <c r="F406" i="6"/>
  <c r="F412" i="6"/>
  <c r="F418" i="6"/>
  <c r="F424" i="6"/>
  <c r="F430" i="6"/>
  <c r="F436" i="6"/>
  <c r="F442" i="6"/>
  <c r="F10" i="6"/>
  <c r="F16" i="6"/>
  <c r="F22" i="6"/>
  <c r="F28" i="6"/>
  <c r="F34" i="6"/>
  <c r="F40" i="6"/>
  <c r="F46" i="6"/>
  <c r="F52" i="6"/>
  <c r="F58" i="6"/>
  <c r="F64" i="6"/>
  <c r="F70" i="6"/>
  <c r="F76" i="6"/>
  <c r="F82" i="6"/>
  <c r="F88" i="6"/>
  <c r="F94" i="6"/>
  <c r="F101" i="6"/>
  <c r="F107" i="6"/>
  <c r="F113" i="6"/>
  <c r="F119" i="6"/>
  <c r="F125" i="6"/>
  <c r="F131" i="6"/>
  <c r="F137" i="6"/>
  <c r="F143" i="6"/>
  <c r="F149" i="6"/>
  <c r="F155" i="6"/>
  <c r="F161" i="6"/>
  <c r="F167" i="6"/>
  <c r="F173" i="6"/>
  <c r="F179" i="6"/>
  <c r="F185" i="6"/>
  <c r="F191" i="6"/>
  <c r="F197" i="6"/>
  <c r="F203" i="6"/>
  <c r="F209" i="6"/>
  <c r="F215" i="6"/>
  <c r="F221" i="6"/>
  <c r="F227" i="6"/>
  <c r="F233" i="6"/>
  <c r="F239" i="6"/>
  <c r="F245" i="6"/>
  <c r="F251" i="6"/>
  <c r="F257" i="6"/>
  <c r="F263" i="6"/>
  <c r="F269" i="6"/>
  <c r="F275" i="6"/>
  <c r="F281" i="6"/>
  <c r="F287" i="6"/>
  <c r="F293" i="6"/>
  <c r="F299" i="6"/>
  <c r="F305" i="6"/>
  <c r="F311" i="6"/>
  <c r="F317" i="6"/>
  <c r="F323" i="6"/>
  <c r="F329" i="6"/>
  <c r="F335" i="6"/>
  <c r="F341" i="6"/>
  <c r="F347" i="6"/>
  <c r="F353" i="6"/>
  <c r="F359" i="6"/>
  <c r="F365" i="6"/>
  <c r="F371" i="6"/>
  <c r="F377" i="6"/>
  <c r="F383" i="6"/>
  <c r="F389" i="6"/>
  <c r="F395" i="6"/>
  <c r="F401" i="6"/>
  <c r="F407" i="6"/>
  <c r="F413" i="6"/>
  <c r="F419" i="6"/>
  <c r="F425" i="6"/>
  <c r="F431" i="6"/>
  <c r="F437" i="6"/>
  <c r="F443" i="6"/>
  <c r="F449" i="6"/>
  <c r="F455" i="6"/>
  <c r="F461" i="6"/>
  <c r="F11" i="6"/>
  <c r="F17" i="6"/>
  <c r="F23" i="6"/>
  <c r="F29" i="6"/>
  <c r="F35" i="6"/>
  <c r="F41" i="6"/>
  <c r="F47" i="6"/>
  <c r="F53" i="6"/>
  <c r="F59" i="6"/>
  <c r="F65" i="6"/>
  <c r="F71" i="6"/>
  <c r="F77" i="6"/>
  <c r="F83" i="6"/>
  <c r="F89" i="6"/>
  <c r="F95" i="6"/>
  <c r="F102" i="6"/>
  <c r="F108" i="6"/>
  <c r="F114" i="6"/>
  <c r="F120" i="6"/>
  <c r="F126" i="6"/>
  <c r="F132" i="6"/>
  <c r="F138" i="6"/>
  <c r="F144" i="6"/>
  <c r="F150" i="6"/>
  <c r="F156" i="6"/>
  <c r="F162" i="6"/>
  <c r="F168" i="6"/>
  <c r="F174" i="6"/>
  <c r="F180" i="6"/>
  <c r="F186" i="6"/>
  <c r="F192" i="6"/>
  <c r="F198" i="6"/>
  <c r="F204" i="6"/>
  <c r="F210" i="6"/>
  <c r="F216" i="6"/>
  <c r="F222" i="6"/>
  <c r="F228" i="6"/>
  <c r="F234" i="6"/>
  <c r="F240" i="6"/>
  <c r="F246" i="6"/>
  <c r="F252" i="6"/>
  <c r="F258" i="6"/>
  <c r="F264" i="6"/>
  <c r="F270" i="6"/>
  <c r="F276" i="6"/>
  <c r="F282" i="6"/>
  <c r="F288" i="6"/>
  <c r="F294" i="6"/>
  <c r="F300" i="6"/>
  <c r="F306" i="6"/>
  <c r="F312" i="6"/>
  <c r="F318" i="6"/>
  <c r="F324" i="6"/>
  <c r="F330" i="6"/>
  <c r="F336" i="6"/>
  <c r="F342" i="6"/>
  <c r="F348" i="6"/>
  <c r="F354" i="6"/>
  <c r="F360" i="6"/>
  <c r="F366" i="6"/>
  <c r="F372" i="6"/>
  <c r="F378" i="6"/>
  <c r="F384" i="6"/>
  <c r="F390" i="6"/>
  <c r="F396" i="6"/>
  <c r="F402" i="6"/>
  <c r="F408" i="6"/>
  <c r="F414" i="6"/>
  <c r="F420" i="6"/>
  <c r="F426" i="6"/>
  <c r="F432" i="6"/>
  <c r="F438" i="6"/>
  <c r="F444" i="6"/>
  <c r="F450" i="6"/>
  <c r="F456" i="6"/>
  <c r="F462" i="6"/>
  <c r="F468" i="6"/>
  <c r="F474" i="6"/>
  <c r="F480" i="6"/>
  <c r="F486" i="6"/>
  <c r="F492" i="6"/>
  <c r="F12" i="6"/>
  <c r="F18" i="6"/>
  <c r="F24" i="6"/>
  <c r="F30" i="6"/>
  <c r="F36" i="6"/>
  <c r="F42" i="6"/>
  <c r="F48" i="6"/>
  <c r="F54" i="6"/>
  <c r="F60" i="6"/>
  <c r="F66" i="6"/>
  <c r="F72" i="6"/>
  <c r="F78" i="6"/>
  <c r="F84" i="6"/>
  <c r="F90" i="6"/>
  <c r="F96" i="6"/>
  <c r="F103" i="6"/>
  <c r="F109" i="6"/>
  <c r="F115" i="6"/>
  <c r="F121" i="6"/>
  <c r="F127" i="6"/>
  <c r="F133" i="6"/>
  <c r="F139" i="6"/>
  <c r="F145" i="6"/>
  <c r="F151" i="6"/>
  <c r="F157" i="6"/>
  <c r="F163" i="6"/>
  <c r="F169" i="6"/>
  <c r="F175" i="6"/>
  <c r="F181" i="6"/>
  <c r="F187" i="6"/>
  <c r="F193" i="6"/>
  <c r="F199" i="6"/>
  <c r="F205" i="6"/>
  <c r="F211" i="6"/>
  <c r="F217" i="6"/>
  <c r="F223" i="6"/>
  <c r="F229" i="6"/>
  <c r="F235" i="6"/>
  <c r="F241" i="6"/>
  <c r="F247" i="6"/>
  <c r="F253" i="6"/>
  <c r="F259" i="6"/>
  <c r="F265" i="6"/>
  <c r="F271" i="6"/>
  <c r="F277" i="6"/>
  <c r="F283" i="6"/>
  <c r="F289" i="6"/>
  <c r="F295" i="6"/>
  <c r="F301" i="6"/>
  <c r="F307" i="6"/>
  <c r="F313" i="6"/>
  <c r="F319" i="6"/>
  <c r="F325" i="6"/>
  <c r="F331" i="6"/>
  <c r="F337" i="6"/>
  <c r="F343" i="6"/>
  <c r="F349" i="6"/>
  <c r="F355" i="6"/>
  <c r="F361" i="6"/>
  <c r="F367" i="6"/>
  <c r="F373" i="6"/>
  <c r="F379" i="6"/>
  <c r="F385" i="6"/>
  <c r="F391" i="6"/>
  <c r="F397" i="6"/>
  <c r="F403" i="6"/>
  <c r="F409" i="6"/>
  <c r="F415" i="6"/>
  <c r="F421" i="6"/>
  <c r="F427" i="6"/>
  <c r="F433" i="6"/>
  <c r="F439" i="6"/>
  <c r="F445" i="6"/>
  <c r="F451" i="6"/>
  <c r="F457" i="6"/>
  <c r="F463" i="6"/>
  <c r="F469" i="6"/>
  <c r="F475" i="6"/>
  <c r="F481" i="6"/>
  <c r="F487" i="6"/>
  <c r="F493" i="6"/>
  <c r="F499" i="6"/>
  <c r="F505" i="6"/>
  <c r="F511" i="6"/>
  <c r="F13" i="6"/>
  <c r="F25" i="6"/>
  <c r="F31" i="6"/>
  <c r="F37" i="6"/>
  <c r="F43" i="6"/>
  <c r="F49" i="6"/>
  <c r="F55" i="6"/>
  <c r="F61" i="6"/>
  <c r="F67" i="6"/>
  <c r="F73" i="6"/>
  <c r="F79" i="6"/>
  <c r="F85" i="6"/>
  <c r="F91" i="6"/>
  <c r="F97" i="6"/>
  <c r="F98" i="6"/>
  <c r="F104" i="6"/>
  <c r="F110" i="6"/>
  <c r="F116" i="6"/>
  <c r="F122" i="6"/>
  <c r="F128" i="6"/>
  <c r="F134" i="6"/>
  <c r="F140" i="6"/>
  <c r="F146" i="6"/>
  <c r="F152" i="6"/>
  <c r="F158" i="6"/>
  <c r="F164" i="6"/>
  <c r="F170" i="6"/>
  <c r="F176" i="6"/>
  <c r="F182" i="6"/>
  <c r="F188" i="6"/>
  <c r="F194" i="6"/>
  <c r="F200" i="6"/>
  <c r="F206" i="6"/>
  <c r="F212" i="6"/>
  <c r="F218" i="6"/>
  <c r="F224" i="6"/>
  <c r="F230" i="6"/>
  <c r="F236" i="6"/>
  <c r="F242" i="6"/>
  <c r="F248" i="6"/>
  <c r="F809" i="6"/>
  <c r="F803" i="6"/>
  <c r="F797" i="6"/>
  <c r="F791" i="6"/>
  <c r="F785" i="6"/>
  <c r="F779" i="6"/>
  <c r="F773" i="6"/>
  <c r="F767" i="6"/>
  <c r="F761" i="6"/>
  <c r="F755" i="6"/>
  <c r="F749" i="6"/>
  <c r="F743" i="6"/>
  <c r="F737" i="6"/>
  <c r="F731" i="6"/>
  <c r="F725" i="6"/>
  <c r="F719" i="6"/>
  <c r="F713" i="6"/>
  <c r="F707" i="6"/>
  <c r="F701" i="6"/>
  <c r="F695" i="6"/>
  <c r="F689" i="6"/>
  <c r="F683" i="6"/>
  <c r="F677" i="6"/>
  <c r="F671" i="6"/>
  <c r="F665" i="6"/>
  <c r="F659" i="6"/>
  <c r="F653" i="6"/>
  <c r="F647" i="6"/>
  <c r="F641" i="6"/>
  <c r="F635" i="6"/>
  <c r="F629" i="6"/>
  <c r="F623" i="6"/>
  <c r="F617" i="6"/>
  <c r="F611" i="6"/>
  <c r="F605" i="6"/>
  <c r="F599" i="6"/>
  <c r="F593" i="6"/>
  <c r="F587" i="6"/>
  <c r="F581" i="6"/>
  <c r="F575" i="6"/>
  <c r="F569" i="6"/>
  <c r="F563" i="6"/>
  <c r="F557" i="6"/>
  <c r="F551" i="6"/>
  <c r="F545" i="6"/>
  <c r="F539" i="6"/>
  <c r="F533" i="6"/>
  <c r="F527" i="6"/>
  <c r="F521" i="6"/>
  <c r="F515" i="6"/>
  <c r="F508" i="6"/>
  <c r="F501" i="6"/>
  <c r="F494" i="6"/>
  <c r="F484" i="6"/>
  <c r="F476" i="6"/>
  <c r="F466" i="6"/>
  <c r="F454" i="6"/>
  <c r="F441" i="6"/>
  <c r="F423" i="6"/>
  <c r="F405" i="6"/>
  <c r="F387" i="6"/>
  <c r="F369" i="6"/>
  <c r="F351" i="6"/>
  <c r="F333" i="6"/>
  <c r="F315" i="6"/>
  <c r="F297" i="6"/>
  <c r="F279" i="6"/>
  <c r="F261" i="6"/>
  <c r="F237" i="6"/>
  <c r="F201" i="6"/>
  <c r="F165" i="6"/>
  <c r="F129" i="6"/>
  <c r="F62" i="6"/>
  <c r="F26" i="6"/>
  <c r="F459" i="6"/>
  <c r="F429" i="6"/>
  <c r="F393" i="6"/>
  <c r="F339" i="6"/>
  <c r="F303" i="6"/>
  <c r="F213" i="6"/>
  <c r="F105" i="6"/>
  <c r="F808" i="6"/>
  <c r="F802" i="6"/>
  <c r="F796" i="6"/>
  <c r="F790" i="6"/>
  <c r="F784" i="6"/>
  <c r="F778" i="6"/>
  <c r="F772" i="6"/>
  <c r="F766" i="6"/>
  <c r="F760" i="6"/>
  <c r="F754" i="6"/>
  <c r="F748" i="6"/>
  <c r="F742" i="6"/>
  <c r="F736" i="6"/>
  <c r="F730" i="6"/>
  <c r="F724" i="6"/>
  <c r="F718" i="6"/>
  <c r="F712" i="6"/>
  <c r="F706" i="6"/>
  <c r="F700" i="6"/>
  <c r="F694" i="6"/>
  <c r="F688" i="6"/>
  <c r="F682" i="6"/>
  <c r="F676" i="6"/>
  <c r="F670" i="6"/>
  <c r="F664" i="6"/>
  <c r="F658" i="6"/>
  <c r="F652" i="6"/>
  <c r="F646" i="6"/>
  <c r="F640" i="6"/>
  <c r="F634" i="6"/>
  <c r="F628" i="6"/>
  <c r="F622" i="6"/>
  <c r="F616" i="6"/>
  <c r="F610" i="6"/>
  <c r="F604" i="6"/>
  <c r="F598" i="6"/>
  <c r="F592" i="6"/>
  <c r="F586" i="6"/>
  <c r="F580" i="6"/>
  <c r="F574" i="6"/>
  <c r="F568" i="6"/>
  <c r="F562" i="6"/>
  <c r="F556" i="6"/>
  <c r="F550" i="6"/>
  <c r="F544" i="6"/>
  <c r="F538" i="6"/>
  <c r="F532" i="6"/>
  <c r="F526" i="6"/>
  <c r="F520" i="6"/>
  <c r="F514" i="6"/>
  <c r="F507" i="6"/>
  <c r="F500" i="6"/>
  <c r="F491" i="6"/>
  <c r="F483" i="6"/>
  <c r="F473" i="6"/>
  <c r="F465" i="6"/>
  <c r="F453" i="6"/>
  <c r="F440" i="6"/>
  <c r="F422" i="6"/>
  <c r="F404" i="6"/>
  <c r="F386" i="6"/>
  <c r="F368" i="6"/>
  <c r="F350" i="6"/>
  <c r="F332" i="6"/>
  <c r="F314" i="6"/>
  <c r="F296" i="6"/>
  <c r="F278" i="6"/>
  <c r="F260" i="6"/>
  <c r="F231" i="6"/>
  <c r="F195" i="6"/>
  <c r="F159" i="6"/>
  <c r="F123" i="6"/>
  <c r="F92" i="6"/>
  <c r="F56" i="6"/>
  <c r="F20" i="6"/>
  <c r="F447" i="6"/>
  <c r="F411" i="6"/>
  <c r="F357" i="6"/>
  <c r="F285" i="6"/>
  <c r="F249" i="6"/>
  <c r="F141" i="6"/>
  <c r="F74" i="6"/>
  <c r="F807" i="6"/>
  <c r="F801" i="6"/>
  <c r="F795" i="6"/>
  <c r="F789" i="6"/>
  <c r="F783" i="6"/>
  <c r="F777" i="6"/>
  <c r="F771" i="6"/>
  <c r="F765" i="6"/>
  <c r="F759" i="6"/>
  <c r="F753" i="6"/>
  <c r="F747" i="6"/>
  <c r="F741" i="6"/>
  <c r="F735" i="6"/>
  <c r="F729" i="6"/>
  <c r="F723" i="6"/>
  <c r="F717" i="6"/>
  <c r="F711" i="6"/>
  <c r="F705" i="6"/>
  <c r="F699" i="6"/>
  <c r="F693" i="6"/>
  <c r="F687" i="6"/>
  <c r="F681" i="6"/>
  <c r="F675" i="6"/>
  <c r="F669" i="6"/>
  <c r="F663" i="6"/>
  <c r="F657" i="6"/>
  <c r="F651" i="6"/>
  <c r="F645" i="6"/>
  <c r="F639" i="6"/>
  <c r="F633" i="6"/>
  <c r="F627" i="6"/>
  <c r="F621" i="6"/>
  <c r="F615" i="6"/>
  <c r="F609" i="6"/>
  <c r="F603" i="6"/>
  <c r="F597" i="6"/>
  <c r="F591" i="6"/>
  <c r="F585" i="6"/>
  <c r="F579" i="6"/>
  <c r="F573" i="6"/>
  <c r="F567" i="6"/>
  <c r="F561" i="6"/>
  <c r="F555" i="6"/>
  <c r="F549" i="6"/>
  <c r="F543" i="6"/>
  <c r="F537" i="6"/>
  <c r="F531" i="6"/>
  <c r="F525" i="6"/>
  <c r="F519" i="6"/>
  <c r="F513" i="6"/>
  <c r="F506" i="6"/>
  <c r="F498" i="6"/>
  <c r="F490" i="6"/>
  <c r="F482" i="6"/>
  <c r="F472" i="6"/>
  <c r="F464" i="6"/>
  <c r="F452" i="6"/>
  <c r="F435" i="6"/>
  <c r="F417" i="6"/>
  <c r="F399" i="6"/>
  <c r="F381" i="6"/>
  <c r="F363" i="6"/>
  <c r="F345" i="6"/>
  <c r="F327" i="6"/>
  <c r="F309" i="6"/>
  <c r="F291" i="6"/>
  <c r="F273" i="6"/>
  <c r="F255" i="6"/>
  <c r="F225" i="6"/>
  <c r="F189" i="6"/>
  <c r="F153" i="6"/>
  <c r="F117" i="6"/>
  <c r="F86" i="6"/>
  <c r="F50" i="6"/>
  <c r="F14" i="6"/>
  <c r="A3" i="3"/>
  <c r="A3" i="6" s="1"/>
  <c r="R3" i="6"/>
  <c r="N3" i="6" a="1"/>
  <c r="N3" i="6" s="1"/>
  <c r="K3" i="6"/>
  <c r="Q3" i="6"/>
  <c r="P3" i="6"/>
  <c r="A7" i="3"/>
  <c r="A7" i="6" s="1"/>
  <c r="Q7" i="6"/>
  <c r="AB7" i="6" s="1"/>
  <c r="P7" i="6"/>
  <c r="L7" i="6"/>
  <c r="Q7" i="3"/>
  <c r="R7" i="6"/>
  <c r="G7" i="6"/>
  <c r="J7" i="6" s="1"/>
  <c r="K7" i="6"/>
  <c r="B7" i="6"/>
  <c r="F7" i="6" s="1"/>
  <c r="N7" i="6" a="1"/>
  <c r="N7" i="6" s="1"/>
  <c r="O7" i="6"/>
  <c r="M7" i="6" a="1"/>
  <c r="M7" i="6" s="1"/>
  <c r="A6" i="3"/>
  <c r="A6" i="6" s="1"/>
  <c r="Q6" i="3"/>
  <c r="R6" i="6"/>
  <c r="A5" i="3"/>
  <c r="A5" i="6" s="1"/>
  <c r="G5" i="6"/>
  <c r="H5" i="6" s="1"/>
  <c r="N5" i="6" a="1"/>
  <c r="N5" i="6" s="1"/>
  <c r="Q5" i="6"/>
  <c r="AB5" i="6" s="1"/>
  <c r="Q5" i="3"/>
  <c r="R5" i="6"/>
  <c r="P5" i="6"/>
  <c r="L5" i="6"/>
  <c r="A9" i="3"/>
  <c r="A9" i="6" s="1"/>
  <c r="R9" i="6"/>
  <c r="A2" i="3"/>
  <c r="A2" i="6" s="1"/>
  <c r="N2" i="6" a="1"/>
  <c r="N2" i="6" s="1"/>
  <c r="Q2" i="3"/>
  <c r="R2" i="6"/>
  <c r="A8" i="3"/>
  <c r="A8" i="6" s="1"/>
  <c r="N8" i="6" a="1"/>
  <c r="N8" i="6" s="1"/>
  <c r="G8" i="6"/>
  <c r="H8" i="6" s="1"/>
  <c r="M8" i="6" a="1"/>
  <c r="M8" i="6" s="1"/>
  <c r="K8" i="6"/>
  <c r="B8" i="6"/>
  <c r="Q8" i="6"/>
  <c r="AB8" i="6" s="1"/>
  <c r="P8" i="6"/>
  <c r="L8" i="6"/>
  <c r="O8" i="6"/>
  <c r="B2" i="4" a="1"/>
  <c r="Q6" i="6"/>
  <c r="AB6" i="6" s="1"/>
  <c r="N6" i="6" a="1"/>
  <c r="N6" i="6" s="1"/>
  <c r="M5" i="6" a="1"/>
  <c r="M5" i="6" s="1"/>
  <c r="Q9" i="6"/>
  <c r="AB9" i="6" s="1"/>
  <c r="R8" i="6"/>
  <c r="Q8" i="3"/>
  <c r="N4" i="6" a="1"/>
  <c r="N4" i="6" s="1"/>
  <c r="B5" i="6"/>
  <c r="F5" i="6" s="1"/>
  <c r="K5" i="6"/>
  <c r="O5" i="6"/>
  <c r="AC99" i="10"/>
  <c r="AC93" i="10"/>
  <c r="AC51" i="10"/>
  <c r="AC98" i="10"/>
  <c r="AC92" i="10"/>
  <c r="AC86" i="10"/>
  <c r="AC80" i="10"/>
  <c r="AC74" i="10"/>
  <c r="AC68" i="10"/>
  <c r="AC62" i="10"/>
  <c r="AC56" i="10"/>
  <c r="AC50" i="10"/>
  <c r="AC44" i="10"/>
  <c r="AC38" i="10"/>
  <c r="AC32" i="10"/>
  <c r="AC26" i="10"/>
  <c r="AC20" i="10"/>
  <c r="AC14" i="10"/>
  <c r="AC8" i="10"/>
  <c r="AC97" i="10"/>
  <c r="AC91" i="10"/>
  <c r="AC85" i="10"/>
  <c r="AC79" i="10"/>
  <c r="AC73" i="10"/>
  <c r="AC67" i="10"/>
  <c r="AC61" i="10"/>
  <c r="AC55" i="10"/>
  <c r="AC49" i="10"/>
  <c r="AC43" i="10"/>
  <c r="AC37" i="10"/>
  <c r="AC31" i="10"/>
  <c r="AC25" i="10"/>
  <c r="AC19" i="10"/>
  <c r="AC13" i="10"/>
  <c r="AC7" i="10"/>
  <c r="AC2" i="10"/>
  <c r="AC81" i="10"/>
  <c r="AC69" i="10"/>
  <c r="AC63" i="10"/>
  <c r="AC57" i="10"/>
  <c r="AC45" i="10"/>
  <c r="AC39" i="10"/>
  <c r="AC27" i="10"/>
  <c r="AC21" i="10"/>
  <c r="AC15" i="10"/>
  <c r="AC9" i="10"/>
  <c r="AC3" i="10"/>
  <c r="AC96" i="10"/>
  <c r="AC90" i="10"/>
  <c r="AC84" i="10"/>
  <c r="AC78" i="10"/>
  <c r="AC72" i="10"/>
  <c r="AC66" i="10"/>
  <c r="AC60" i="10"/>
  <c r="AC54" i="10"/>
  <c r="AC48" i="10"/>
  <c r="AC42" i="10"/>
  <c r="AC36" i="10"/>
  <c r="AC30" i="10"/>
  <c r="AC24" i="10"/>
  <c r="AC18" i="10"/>
  <c r="AC12" i="10"/>
  <c r="AC6" i="10"/>
  <c r="AC87" i="10"/>
  <c r="AC75" i="10"/>
  <c r="AC33" i="10"/>
  <c r="AC95" i="10"/>
  <c r="AC89" i="10"/>
  <c r="AC83" i="10"/>
  <c r="AC77" i="10"/>
  <c r="AC71" i="10"/>
  <c r="AC65" i="10"/>
  <c r="AC59" i="10"/>
  <c r="AC53" i="10"/>
  <c r="AC47" i="10"/>
  <c r="AC41" i="10"/>
  <c r="AC35" i="10"/>
  <c r="AC29" i="10"/>
  <c r="AC23" i="10"/>
  <c r="AC17" i="10"/>
  <c r="AC11" i="10"/>
  <c r="AC5" i="10"/>
  <c r="AC94" i="10"/>
  <c r="AC88" i="10"/>
  <c r="AC82" i="10"/>
  <c r="AC76" i="10"/>
  <c r="AC70" i="10"/>
  <c r="AC64" i="10"/>
  <c r="AC58" i="10"/>
  <c r="AC52" i="10"/>
  <c r="AC46" i="10"/>
  <c r="AC40" i="10"/>
  <c r="AC34" i="10"/>
  <c r="AC28" i="10"/>
  <c r="AC22" i="10"/>
  <c r="AC16" i="10"/>
  <c r="AC10" i="10"/>
  <c r="AC4" i="10"/>
  <c r="Q9" i="3"/>
  <c r="Q3" i="3"/>
  <c r="G4" i="6"/>
  <c r="I4" i="6" s="1"/>
  <c r="M3" i="6" a="1"/>
  <c r="M3" i="6" s="1"/>
  <c r="Q4" i="3"/>
  <c r="G3" i="6"/>
  <c r="B3" i="6"/>
  <c r="F3" i="6" s="1"/>
  <c r="L3" i="6"/>
  <c r="O3" i="6"/>
  <c r="Q4" i="6"/>
  <c r="R4" i="6"/>
  <c r="M2" i="6" a="1"/>
  <c r="M2" i="6" s="1"/>
  <c r="L2" i="6"/>
  <c r="G2" i="6"/>
  <c r="H2" i="6" s="1"/>
  <c r="K2" i="6"/>
  <c r="B2" i="6"/>
  <c r="F2" i="6" s="1"/>
  <c r="O2" i="6"/>
  <c r="Q2" i="6"/>
  <c r="AB2" i="6" s="1"/>
  <c r="P2" i="6"/>
  <c r="O9" i="6"/>
  <c r="L9" i="6"/>
  <c r="N9" i="6" a="1"/>
  <c r="N9" i="6" s="1"/>
  <c r="P9" i="6"/>
  <c r="M9" i="6" a="1"/>
  <c r="M9" i="6" s="1"/>
  <c r="K9" i="6"/>
  <c r="B9" i="6"/>
  <c r="F9" i="6" s="1"/>
  <c r="G9" i="6"/>
  <c r="O4" i="6"/>
  <c r="K4" i="6"/>
  <c r="B4" i="6"/>
  <c r="F4" i="6" s="1"/>
  <c r="L4" i="6"/>
  <c r="M4" i="6" a="1"/>
  <c r="M4" i="6" s="1"/>
  <c r="P4" i="6"/>
  <c r="P6" i="6"/>
  <c r="L6" i="6"/>
  <c r="O6" i="6"/>
  <c r="K6" i="6"/>
  <c r="B6" i="6"/>
  <c r="F6" i="6" s="1"/>
  <c r="G6" i="6"/>
  <c r="M6" i="6" a="1"/>
  <c r="M6" i="6" s="1"/>
  <c r="U54" i="4" l="1" a="1"/>
  <c r="U54" i="4" s="1"/>
  <c r="U70" i="4" a="1"/>
  <c r="U70" i="4" s="1"/>
  <c r="L44" i="4"/>
  <c r="N44" i="4" s="1"/>
  <c r="P44" i="4" s="1"/>
  <c r="L45" i="4"/>
  <c r="N45" i="4" s="1"/>
  <c r="P45" i="4" s="1"/>
  <c r="C46" i="4"/>
  <c r="D46" i="4" s="1"/>
  <c r="Q46" i="4" a="1"/>
  <c r="Q46" i="4" s="1"/>
  <c r="G47" i="4"/>
  <c r="H47" i="4" s="1"/>
  <c r="F47" i="4" s="1"/>
  <c r="S47" i="4"/>
  <c r="T47" i="4" s="1" a="1"/>
  <c r="T47" i="4" s="1"/>
  <c r="AA47" i="4" s="1"/>
  <c r="L48" i="4"/>
  <c r="N48" i="4" s="1"/>
  <c r="P48" i="4" s="1"/>
  <c r="A49" i="4"/>
  <c r="M49" i="4"/>
  <c r="O49" i="4" s="1" a="1"/>
  <c r="O49" i="4" s="1"/>
  <c r="C50" i="4"/>
  <c r="D50" i="4" s="1"/>
  <c r="Q50" i="4" a="1"/>
  <c r="Q50" i="4" s="1"/>
  <c r="G51" i="4"/>
  <c r="H51" i="4" s="1"/>
  <c r="F51" i="4" s="1"/>
  <c r="S51" i="4"/>
  <c r="T51" i="4" s="1" a="1"/>
  <c r="T51" i="4" s="1"/>
  <c r="AA51" i="4" s="1"/>
  <c r="L52" i="4"/>
  <c r="N52" i="4" s="1"/>
  <c r="P52" i="4" s="1"/>
  <c r="A53" i="4"/>
  <c r="M53" i="4"/>
  <c r="O53" i="4" s="1" a="1"/>
  <c r="O53" i="4" s="1"/>
  <c r="C54" i="4"/>
  <c r="D54" i="4" s="1"/>
  <c r="Q54" i="4" a="1"/>
  <c r="Q54" i="4" s="1"/>
  <c r="G55" i="4"/>
  <c r="H55" i="4" s="1"/>
  <c r="F55" i="4" s="1"/>
  <c r="S55" i="4"/>
  <c r="T55" i="4" s="1" a="1"/>
  <c r="T55" i="4" s="1"/>
  <c r="AA55" i="4" s="1"/>
  <c r="L56" i="4"/>
  <c r="N56" i="4" s="1"/>
  <c r="P56" i="4" s="1"/>
  <c r="A57" i="4"/>
  <c r="M57" i="4"/>
  <c r="O57" i="4" s="1" a="1"/>
  <c r="O57" i="4" s="1"/>
  <c r="C58" i="4"/>
  <c r="D58" i="4" s="1"/>
  <c r="Q58" i="4" a="1"/>
  <c r="Q58" i="4" s="1"/>
  <c r="U58" i="4" a="1"/>
  <c r="U58" i="4" s="1"/>
  <c r="U74" i="4" a="1"/>
  <c r="U74" i="4" s="1"/>
  <c r="G43" i="4"/>
  <c r="H43" i="4" s="1"/>
  <c r="F43" i="4" s="1"/>
  <c r="S44" i="4"/>
  <c r="T44" i="4" s="1" a="1"/>
  <c r="T44" i="4" s="1"/>
  <c r="AA44" i="4" s="1"/>
  <c r="M45" i="4"/>
  <c r="O45" i="4" s="1" a="1"/>
  <c r="O45" i="4" s="1"/>
  <c r="G46" i="4"/>
  <c r="H46" i="4" s="1"/>
  <c r="F46" i="4" s="1"/>
  <c r="S46" i="4"/>
  <c r="T46" i="4" s="1" a="1"/>
  <c r="T46" i="4" s="1"/>
  <c r="AA46" i="4" s="1"/>
  <c r="L47" i="4"/>
  <c r="N47" i="4" s="1"/>
  <c r="P47" i="4" s="1"/>
  <c r="A48" i="4"/>
  <c r="M48" i="4"/>
  <c r="O48" i="4" s="1" a="1"/>
  <c r="O48" i="4" s="1"/>
  <c r="C49" i="4"/>
  <c r="D49" i="4" s="1"/>
  <c r="Q49" i="4" a="1"/>
  <c r="Q49" i="4" s="1"/>
  <c r="G50" i="4"/>
  <c r="H50" i="4" s="1"/>
  <c r="F50" i="4" s="1"/>
  <c r="S50" i="4"/>
  <c r="T50" i="4" s="1" a="1"/>
  <c r="T50" i="4" s="1"/>
  <c r="AA50" i="4" s="1"/>
  <c r="L51" i="4"/>
  <c r="N51" i="4" s="1"/>
  <c r="P51" i="4" s="1"/>
  <c r="A52" i="4"/>
  <c r="M52" i="4"/>
  <c r="O52" i="4" s="1" a="1"/>
  <c r="O52" i="4" s="1"/>
  <c r="C53" i="4"/>
  <c r="D53" i="4" s="1"/>
  <c r="Q53" i="4" a="1"/>
  <c r="Q53" i="4" s="1"/>
  <c r="G54" i="4"/>
  <c r="H54" i="4" s="1"/>
  <c r="F54" i="4" s="1"/>
  <c r="S54" i="4"/>
  <c r="T54" i="4" s="1" a="1"/>
  <c r="T54" i="4" s="1"/>
  <c r="AA54" i="4" s="1"/>
  <c r="L55" i="4"/>
  <c r="N55" i="4" s="1"/>
  <c r="P55" i="4" s="1"/>
  <c r="A56" i="4"/>
  <c r="M56" i="4"/>
  <c r="O56" i="4" s="1" a="1"/>
  <c r="O56" i="4" s="1"/>
  <c r="C57" i="4"/>
  <c r="D57" i="4" s="1"/>
  <c r="Q57" i="4" a="1"/>
  <c r="Q57" i="4" s="1"/>
  <c r="G58" i="4"/>
  <c r="H58" i="4" s="1"/>
  <c r="F58" i="4" s="1"/>
  <c r="S58" i="4"/>
  <c r="T58" i="4" s="1" a="1"/>
  <c r="T58" i="4" s="1"/>
  <c r="AA58" i="4" s="1"/>
  <c r="L59" i="4"/>
  <c r="N59" i="4" s="1"/>
  <c r="P59" i="4" s="1"/>
  <c r="A60" i="4"/>
  <c r="M60" i="4"/>
  <c r="O60" i="4" s="1" a="1"/>
  <c r="O60" i="4" s="1"/>
  <c r="U46" i="4" a="1"/>
  <c r="U46" i="4" s="1"/>
  <c r="U62" i="4" a="1"/>
  <c r="U62" i="4" s="1"/>
  <c r="S43" i="4"/>
  <c r="T43" i="4" s="1" a="1"/>
  <c r="T43" i="4" s="1"/>
  <c r="AA43" i="4" s="1"/>
  <c r="A45" i="4"/>
  <c r="S45" i="4"/>
  <c r="T45" i="4" s="1" a="1"/>
  <c r="T45" i="4" s="1"/>
  <c r="AA45" i="4" s="1"/>
  <c r="L46" i="4"/>
  <c r="N46" i="4" s="1"/>
  <c r="P46" i="4" s="1"/>
  <c r="A47" i="4"/>
  <c r="M47" i="4"/>
  <c r="O47" i="4" s="1" a="1"/>
  <c r="O47" i="4" s="1"/>
  <c r="C48" i="4"/>
  <c r="D48" i="4" s="1"/>
  <c r="Q48" i="4" a="1"/>
  <c r="Q48" i="4" s="1"/>
  <c r="G49" i="4"/>
  <c r="H49" i="4" s="1"/>
  <c r="F49" i="4" s="1"/>
  <c r="S49" i="4"/>
  <c r="T49" i="4" s="1" a="1"/>
  <c r="T49" i="4" s="1"/>
  <c r="AA49" i="4" s="1"/>
  <c r="L50" i="4"/>
  <c r="N50" i="4" s="1"/>
  <c r="P50" i="4" s="1"/>
  <c r="A51" i="4"/>
  <c r="M51" i="4"/>
  <c r="O51" i="4" s="1" a="1"/>
  <c r="O51" i="4" s="1"/>
  <c r="C52" i="4"/>
  <c r="D52" i="4" s="1"/>
  <c r="Q52" i="4" a="1"/>
  <c r="Q52" i="4" s="1"/>
  <c r="G53" i="4"/>
  <c r="H53" i="4" s="1"/>
  <c r="F53" i="4" s="1"/>
  <c r="S53" i="4"/>
  <c r="T53" i="4" s="1" a="1"/>
  <c r="T53" i="4" s="1"/>
  <c r="AA53" i="4" s="1"/>
  <c r="L54" i="4"/>
  <c r="N54" i="4" s="1"/>
  <c r="P54" i="4" s="1"/>
  <c r="A55" i="4"/>
  <c r="M55" i="4"/>
  <c r="O55" i="4" s="1" a="1"/>
  <c r="O55" i="4" s="1"/>
  <c r="C56" i="4"/>
  <c r="D56" i="4" s="1"/>
  <c r="Q56" i="4" a="1"/>
  <c r="Q56" i="4" s="1"/>
  <c r="G57" i="4"/>
  <c r="H57" i="4" s="1"/>
  <c r="F57" i="4" s="1"/>
  <c r="S57" i="4"/>
  <c r="T57" i="4" s="1" a="1"/>
  <c r="T57" i="4" s="1"/>
  <c r="AA57" i="4" s="1"/>
  <c r="L58" i="4"/>
  <c r="N58" i="4" s="1"/>
  <c r="P58" i="4" s="1"/>
  <c r="A59" i="4"/>
  <c r="M59" i="4"/>
  <c r="O59" i="4" s="1" a="1"/>
  <c r="O59" i="4" s="1"/>
  <c r="C60" i="4"/>
  <c r="D60" i="4" s="1"/>
  <c r="Q60" i="4" a="1"/>
  <c r="Q60" i="4" s="1"/>
  <c r="U50" i="4" a="1"/>
  <c r="U50" i="4" s="1"/>
  <c r="U66" i="4" a="1"/>
  <c r="U66" i="4" s="1"/>
  <c r="G44" i="4"/>
  <c r="H44" i="4" s="1"/>
  <c r="F44" i="4" s="1"/>
  <c r="G45" i="4"/>
  <c r="H45" i="4" s="1"/>
  <c r="F45" i="4" s="1"/>
  <c r="A46" i="4"/>
  <c r="M46" i="4"/>
  <c r="O46" i="4" s="1" a="1"/>
  <c r="O46" i="4" s="1"/>
  <c r="C47" i="4"/>
  <c r="D47" i="4" s="1"/>
  <c r="Q47" i="4" a="1"/>
  <c r="Q47" i="4" s="1"/>
  <c r="G48" i="4"/>
  <c r="H48" i="4" s="1"/>
  <c r="F48" i="4" s="1"/>
  <c r="S48" i="4"/>
  <c r="T48" i="4" s="1" a="1"/>
  <c r="T48" i="4" s="1"/>
  <c r="AA48" i="4" s="1"/>
  <c r="L49" i="4"/>
  <c r="N49" i="4" s="1"/>
  <c r="P49" i="4" s="1"/>
  <c r="A50" i="4"/>
  <c r="M50" i="4"/>
  <c r="O50" i="4" s="1" a="1"/>
  <c r="O50" i="4" s="1"/>
  <c r="C51" i="4"/>
  <c r="D51" i="4" s="1"/>
  <c r="Q51" i="4" a="1"/>
  <c r="Q51" i="4" s="1"/>
  <c r="G52" i="4"/>
  <c r="H52" i="4" s="1"/>
  <c r="F52" i="4" s="1"/>
  <c r="S52" i="4"/>
  <c r="T52" i="4" s="1" a="1"/>
  <c r="T52" i="4" s="1"/>
  <c r="AA52" i="4" s="1"/>
  <c r="L53" i="4"/>
  <c r="N53" i="4" s="1"/>
  <c r="P53" i="4" s="1"/>
  <c r="A54" i="4"/>
  <c r="M54" i="4"/>
  <c r="O54" i="4" s="1" a="1"/>
  <c r="O54" i="4" s="1"/>
  <c r="C55" i="4"/>
  <c r="D55" i="4" s="1"/>
  <c r="Q55" i="4" a="1"/>
  <c r="Q55" i="4" s="1"/>
  <c r="G56" i="4"/>
  <c r="H56" i="4" s="1"/>
  <c r="F56" i="4" s="1"/>
  <c r="S56" i="4"/>
  <c r="T56" i="4" s="1" a="1"/>
  <c r="T56" i="4" s="1"/>
  <c r="AA56" i="4" s="1"/>
  <c r="L57" i="4"/>
  <c r="N57" i="4" s="1"/>
  <c r="P57" i="4" s="1"/>
  <c r="A58" i="4"/>
  <c r="M58" i="4"/>
  <c r="O58" i="4" s="1" a="1"/>
  <c r="O58" i="4" s="1"/>
  <c r="C59" i="4"/>
  <c r="D59" i="4" s="1"/>
  <c r="Q59" i="4" a="1"/>
  <c r="Q59" i="4" s="1"/>
  <c r="S59" i="4"/>
  <c r="T59" i="4" s="1" a="1"/>
  <c r="T59" i="4" s="1"/>
  <c r="AA59" i="4" s="1"/>
  <c r="A61" i="4"/>
  <c r="M61" i="4"/>
  <c r="O61" i="4" s="1" a="1"/>
  <c r="O61" i="4" s="1"/>
  <c r="C62" i="4"/>
  <c r="D62" i="4" s="1"/>
  <c r="Q62" i="4" a="1"/>
  <c r="Q62" i="4" s="1"/>
  <c r="G63" i="4"/>
  <c r="H63" i="4" s="1"/>
  <c r="F63" i="4" s="1"/>
  <c r="S63" i="4"/>
  <c r="T63" i="4" s="1" a="1"/>
  <c r="T63" i="4" s="1"/>
  <c r="AA63" i="4" s="1"/>
  <c r="L64" i="4"/>
  <c r="N64" i="4" s="1"/>
  <c r="P64" i="4" s="1"/>
  <c r="A65" i="4"/>
  <c r="M65" i="4"/>
  <c r="O65" i="4" s="1" a="1"/>
  <c r="O65" i="4" s="1"/>
  <c r="C66" i="4"/>
  <c r="D66" i="4" s="1"/>
  <c r="Q66" i="4" a="1"/>
  <c r="Q66" i="4" s="1"/>
  <c r="G67" i="4"/>
  <c r="H67" i="4" s="1"/>
  <c r="F67" i="4" s="1"/>
  <c r="S67" i="4"/>
  <c r="T67" i="4" s="1" a="1"/>
  <c r="T67" i="4" s="1"/>
  <c r="AA67" i="4" s="1"/>
  <c r="L68" i="4"/>
  <c r="N68" i="4" s="1"/>
  <c r="P68" i="4" s="1"/>
  <c r="A69" i="4"/>
  <c r="M69" i="4"/>
  <c r="O69" i="4" s="1" a="1"/>
  <c r="O69" i="4" s="1"/>
  <c r="C70" i="4"/>
  <c r="D70" i="4" s="1"/>
  <c r="Q70" i="4" a="1"/>
  <c r="Q70" i="4" s="1"/>
  <c r="G71" i="4"/>
  <c r="H71" i="4" s="1"/>
  <c r="F71" i="4" s="1"/>
  <c r="S71" i="4"/>
  <c r="T71" i="4" s="1" a="1"/>
  <c r="T71" i="4" s="1"/>
  <c r="AA71" i="4" s="1"/>
  <c r="L72" i="4"/>
  <c r="N72" i="4" s="1"/>
  <c r="P72" i="4" s="1"/>
  <c r="A73" i="4"/>
  <c r="M73" i="4"/>
  <c r="O73" i="4" s="1" a="1"/>
  <c r="O73" i="4" s="1"/>
  <c r="C74" i="4"/>
  <c r="D74" i="4" s="1"/>
  <c r="Q74" i="4" a="1"/>
  <c r="Q74" i="4" s="1"/>
  <c r="G60" i="4"/>
  <c r="H60" i="4" s="1"/>
  <c r="F60" i="4" s="1"/>
  <c r="C61" i="4"/>
  <c r="D61" i="4" s="1"/>
  <c r="Q61" i="4" a="1"/>
  <c r="Q61" i="4" s="1"/>
  <c r="G62" i="4"/>
  <c r="H62" i="4" s="1"/>
  <c r="F62" i="4" s="1"/>
  <c r="S62" i="4"/>
  <c r="T62" i="4" s="1" a="1"/>
  <c r="T62" i="4" s="1"/>
  <c r="AA62" i="4" s="1"/>
  <c r="L63" i="4"/>
  <c r="N63" i="4" s="1"/>
  <c r="P63" i="4" s="1"/>
  <c r="A64" i="4"/>
  <c r="M64" i="4"/>
  <c r="O64" i="4" s="1" a="1"/>
  <c r="O64" i="4" s="1"/>
  <c r="C65" i="4"/>
  <c r="D65" i="4" s="1"/>
  <c r="Q65" i="4" a="1"/>
  <c r="Q65" i="4" s="1"/>
  <c r="G66" i="4"/>
  <c r="H66" i="4" s="1"/>
  <c r="F66" i="4" s="1"/>
  <c r="S66" i="4"/>
  <c r="T66" i="4" s="1" a="1"/>
  <c r="T66" i="4" s="1"/>
  <c r="AA66" i="4" s="1"/>
  <c r="L67" i="4"/>
  <c r="N67" i="4" s="1"/>
  <c r="P67" i="4" s="1"/>
  <c r="A68" i="4"/>
  <c r="M68" i="4"/>
  <c r="O68" i="4" s="1" a="1"/>
  <c r="O68" i="4" s="1"/>
  <c r="C69" i="4"/>
  <c r="D69" i="4" s="1"/>
  <c r="Q69" i="4" a="1"/>
  <c r="Q69" i="4" s="1"/>
  <c r="G70" i="4"/>
  <c r="H70" i="4" s="1"/>
  <c r="F70" i="4" s="1"/>
  <c r="S70" i="4"/>
  <c r="T70" i="4" s="1" a="1"/>
  <c r="T70" i="4" s="1"/>
  <c r="AA70" i="4" s="1"/>
  <c r="L71" i="4"/>
  <c r="N71" i="4" s="1"/>
  <c r="P71" i="4" s="1"/>
  <c r="A72" i="4"/>
  <c r="M72" i="4"/>
  <c r="O72" i="4" s="1" a="1"/>
  <c r="O72" i="4" s="1"/>
  <c r="C73" i="4"/>
  <c r="D73" i="4" s="1"/>
  <c r="Q73" i="4" a="1"/>
  <c r="Q73" i="4" s="1"/>
  <c r="L60" i="4"/>
  <c r="N60" i="4" s="1"/>
  <c r="P60" i="4" s="1"/>
  <c r="G61" i="4"/>
  <c r="H61" i="4" s="1"/>
  <c r="F61" i="4" s="1"/>
  <c r="S61" i="4"/>
  <c r="T61" i="4" s="1" a="1"/>
  <c r="T61" i="4" s="1"/>
  <c r="AA61" i="4" s="1"/>
  <c r="L62" i="4"/>
  <c r="N62" i="4" s="1"/>
  <c r="P62" i="4" s="1"/>
  <c r="A63" i="4"/>
  <c r="M63" i="4"/>
  <c r="O63" i="4" s="1" a="1"/>
  <c r="O63" i="4" s="1"/>
  <c r="C64" i="4"/>
  <c r="D64" i="4" s="1"/>
  <c r="Q64" i="4" a="1"/>
  <c r="Q64" i="4" s="1"/>
  <c r="G65" i="4"/>
  <c r="H65" i="4" s="1"/>
  <c r="F65" i="4" s="1"/>
  <c r="S65" i="4"/>
  <c r="T65" i="4" s="1" a="1"/>
  <c r="T65" i="4" s="1"/>
  <c r="AA65" i="4" s="1"/>
  <c r="L66" i="4"/>
  <c r="N66" i="4" s="1"/>
  <c r="P66" i="4" s="1"/>
  <c r="A67" i="4"/>
  <c r="M67" i="4"/>
  <c r="O67" i="4" s="1" a="1"/>
  <c r="O67" i="4" s="1"/>
  <c r="C68" i="4"/>
  <c r="D68" i="4" s="1"/>
  <c r="Q68" i="4" a="1"/>
  <c r="Q68" i="4" s="1"/>
  <c r="G69" i="4"/>
  <c r="H69" i="4" s="1"/>
  <c r="F69" i="4" s="1"/>
  <c r="S69" i="4"/>
  <c r="T69" i="4" s="1" a="1"/>
  <c r="T69" i="4" s="1"/>
  <c r="AA69" i="4" s="1"/>
  <c r="L70" i="4"/>
  <c r="N70" i="4" s="1"/>
  <c r="P70" i="4" s="1"/>
  <c r="A71" i="4"/>
  <c r="M71" i="4"/>
  <c r="O71" i="4" s="1" a="1"/>
  <c r="O71" i="4" s="1"/>
  <c r="C72" i="4"/>
  <c r="D72" i="4" s="1"/>
  <c r="Q72" i="4" a="1"/>
  <c r="Q72" i="4" s="1"/>
  <c r="G73" i="4"/>
  <c r="H73" i="4" s="1"/>
  <c r="F73" i="4" s="1"/>
  <c r="S73" i="4"/>
  <c r="T73" i="4" s="1" a="1"/>
  <c r="T73" i="4" s="1"/>
  <c r="AA73" i="4" s="1"/>
  <c r="L74" i="4"/>
  <c r="N74" i="4" s="1"/>
  <c r="P74" i="4" s="1"/>
  <c r="A75" i="4"/>
  <c r="M75" i="4"/>
  <c r="O75" i="4" s="1" a="1"/>
  <c r="O75" i="4" s="1"/>
  <c r="C76" i="4"/>
  <c r="D76" i="4" s="1"/>
  <c r="Q76" i="4" a="1"/>
  <c r="Q76" i="4" s="1"/>
  <c r="G76" i="4"/>
  <c r="H76" i="4" s="1"/>
  <c r="F76" i="4" s="1"/>
  <c r="S76" i="4"/>
  <c r="T76" i="4" s="1" a="1"/>
  <c r="T76" i="4" s="1"/>
  <c r="G75" i="4"/>
  <c r="H75" i="4" s="1"/>
  <c r="F75" i="4" s="1"/>
  <c r="S75" i="4"/>
  <c r="T75" i="4" s="1" a="1"/>
  <c r="T75" i="4" s="1"/>
  <c r="AA75" i="4" s="1"/>
  <c r="L76" i="4"/>
  <c r="N76" i="4" s="1"/>
  <c r="P76" i="4" s="1"/>
  <c r="G74" i="4"/>
  <c r="H74" i="4" s="1"/>
  <c r="F74" i="4" s="1"/>
  <c r="S74" i="4"/>
  <c r="T74" i="4" s="1" a="1"/>
  <c r="T74" i="4" s="1"/>
  <c r="AA74" i="4" s="1"/>
  <c r="L75" i="4"/>
  <c r="N75" i="4" s="1"/>
  <c r="P75" i="4" s="1"/>
  <c r="A76" i="4"/>
  <c r="M76" i="4"/>
  <c r="O76" i="4" s="1" a="1"/>
  <c r="O76" i="4" s="1"/>
  <c r="G59" i="4"/>
  <c r="H59" i="4" s="1"/>
  <c r="F59" i="4" s="1"/>
  <c r="S60" i="4"/>
  <c r="T60" i="4" s="1" a="1"/>
  <c r="T60" i="4" s="1"/>
  <c r="AA60" i="4" s="1"/>
  <c r="L61" i="4"/>
  <c r="N61" i="4" s="1"/>
  <c r="P61" i="4" s="1"/>
  <c r="A62" i="4"/>
  <c r="M62" i="4"/>
  <c r="O62" i="4" s="1" a="1"/>
  <c r="O62" i="4" s="1"/>
  <c r="C63" i="4"/>
  <c r="D63" i="4" s="1"/>
  <c r="Q63" i="4" a="1"/>
  <c r="Q63" i="4" s="1"/>
  <c r="G64" i="4"/>
  <c r="H64" i="4" s="1"/>
  <c r="F64" i="4" s="1"/>
  <c r="S64" i="4"/>
  <c r="T64" i="4" s="1" a="1"/>
  <c r="T64" i="4" s="1"/>
  <c r="AA64" i="4" s="1"/>
  <c r="L65" i="4"/>
  <c r="N65" i="4" s="1"/>
  <c r="P65" i="4" s="1"/>
  <c r="A66" i="4"/>
  <c r="M66" i="4"/>
  <c r="O66" i="4" s="1" a="1"/>
  <c r="O66" i="4" s="1"/>
  <c r="C67" i="4"/>
  <c r="D67" i="4" s="1"/>
  <c r="Q67" i="4" a="1"/>
  <c r="Q67" i="4" s="1"/>
  <c r="G68" i="4"/>
  <c r="H68" i="4" s="1"/>
  <c r="F68" i="4" s="1"/>
  <c r="S68" i="4"/>
  <c r="T68" i="4" s="1" a="1"/>
  <c r="T68" i="4" s="1"/>
  <c r="AA68" i="4" s="1"/>
  <c r="L69" i="4"/>
  <c r="N69" i="4" s="1"/>
  <c r="P69" i="4" s="1"/>
  <c r="A70" i="4"/>
  <c r="M70" i="4"/>
  <c r="O70" i="4" s="1" a="1"/>
  <c r="O70" i="4" s="1"/>
  <c r="C71" i="4"/>
  <c r="D71" i="4" s="1"/>
  <c r="Q71" i="4" a="1"/>
  <c r="Q71" i="4" s="1"/>
  <c r="G72" i="4"/>
  <c r="H72" i="4" s="1"/>
  <c r="F72" i="4" s="1"/>
  <c r="S72" i="4"/>
  <c r="T72" i="4" s="1" a="1"/>
  <c r="T72" i="4" s="1"/>
  <c r="AA72" i="4" s="1"/>
  <c r="L73" i="4"/>
  <c r="N73" i="4" s="1"/>
  <c r="P73" i="4" s="1"/>
  <c r="A74" i="4"/>
  <c r="M74" i="4"/>
  <c r="O74" i="4" s="1" a="1"/>
  <c r="O74" i="4" s="1"/>
  <c r="C75" i="4"/>
  <c r="D75" i="4" s="1"/>
  <c r="Q75" i="4" a="1"/>
  <c r="Q75" i="4" s="1"/>
  <c r="U43" i="4" a="1"/>
  <c r="U43" i="4" s="1"/>
  <c r="U47" i="4" a="1"/>
  <c r="U47" i="4" s="1"/>
  <c r="U51" i="4" a="1"/>
  <c r="U51" i="4" s="1"/>
  <c r="U55" i="4" a="1"/>
  <c r="U55" i="4" s="1"/>
  <c r="U59" i="4" a="1"/>
  <c r="U59" i="4" s="1"/>
  <c r="U63" i="4" a="1"/>
  <c r="U63" i="4" s="1"/>
  <c r="U67" i="4" a="1"/>
  <c r="U67" i="4" s="1"/>
  <c r="U71" i="4" a="1"/>
  <c r="U71" i="4" s="1"/>
  <c r="U75" i="4" a="1"/>
  <c r="U75" i="4" s="1"/>
  <c r="L43" i="4"/>
  <c r="N43" i="4" s="1"/>
  <c r="P43" i="4" s="1"/>
  <c r="A44" i="4"/>
  <c r="M44" i="4"/>
  <c r="O44" i="4" s="1" a="1"/>
  <c r="O44" i="4" s="1"/>
  <c r="C45" i="4"/>
  <c r="D45" i="4" s="1"/>
  <c r="Q45" i="4" a="1"/>
  <c r="Q45" i="4" s="1"/>
  <c r="U44" i="4" a="1"/>
  <c r="U44" i="4" s="1"/>
  <c r="U48" i="4" a="1"/>
  <c r="U48" i="4" s="1"/>
  <c r="U52" i="4" a="1"/>
  <c r="U52" i="4" s="1"/>
  <c r="U56" i="4" a="1"/>
  <c r="U56" i="4" s="1"/>
  <c r="U60" i="4" a="1"/>
  <c r="U60" i="4" s="1"/>
  <c r="U64" i="4" a="1"/>
  <c r="U64" i="4" s="1"/>
  <c r="U68" i="4" a="1"/>
  <c r="U68" i="4" s="1"/>
  <c r="U72" i="4" a="1"/>
  <c r="U72" i="4" s="1"/>
  <c r="U76" i="4" a="1"/>
  <c r="U76" i="4" s="1"/>
  <c r="A43" i="4"/>
  <c r="M43" i="4"/>
  <c r="O43" i="4" s="1" a="1"/>
  <c r="O43" i="4" s="1"/>
  <c r="C44" i="4"/>
  <c r="D44" i="4" s="1"/>
  <c r="Q44" i="4" a="1"/>
  <c r="Q44" i="4" s="1"/>
  <c r="U45" i="4" a="1"/>
  <c r="U45" i="4" s="1"/>
  <c r="U49" i="4" a="1"/>
  <c r="U49" i="4" s="1"/>
  <c r="U53" i="4" a="1"/>
  <c r="U53" i="4" s="1"/>
  <c r="U57" i="4" a="1"/>
  <c r="U57" i="4" s="1"/>
  <c r="U61" i="4" a="1"/>
  <c r="U61" i="4" s="1"/>
  <c r="U65" i="4" a="1"/>
  <c r="U65" i="4" s="1"/>
  <c r="U69" i="4" a="1"/>
  <c r="U69" i="4" s="1"/>
  <c r="U73" i="4" a="1"/>
  <c r="U73" i="4" s="1"/>
  <c r="C43" i="4"/>
  <c r="D43" i="4" s="1"/>
  <c r="Q43" i="4" a="1"/>
  <c r="Q43" i="4" s="1"/>
  <c r="S23" i="6"/>
  <c r="AB23" i="6"/>
  <c r="AB18" i="6"/>
  <c r="AB20" i="6"/>
  <c r="AB13" i="6"/>
  <c r="AB25" i="6"/>
  <c r="AB3" i="6"/>
  <c r="AB4" i="6"/>
  <c r="I25" i="6"/>
  <c r="AB15" i="6"/>
  <c r="AB12" i="6"/>
  <c r="AB24" i="6"/>
  <c r="AB19" i="6"/>
  <c r="X2" i="1"/>
  <c r="S12" i="6"/>
  <c r="S17" i="6"/>
  <c r="J8" i="6"/>
  <c r="E7" i="6"/>
  <c r="E8" i="6"/>
  <c r="H7" i="6"/>
  <c r="S7" i="6"/>
  <c r="S11" i="6"/>
  <c r="S18" i="6"/>
  <c r="J20" i="6"/>
  <c r="E20" i="6"/>
  <c r="E18" i="6"/>
  <c r="J18" i="6"/>
  <c r="J15" i="6"/>
  <c r="E15" i="6"/>
  <c r="S10" i="6"/>
  <c r="S22" i="6"/>
  <c r="S20" i="6"/>
  <c r="S13" i="6"/>
  <c r="S25" i="6"/>
  <c r="I5" i="6"/>
  <c r="E5" i="6"/>
  <c r="J5" i="6"/>
  <c r="E19" i="6"/>
  <c r="J19" i="6"/>
  <c r="S15" i="6"/>
  <c r="E17" i="6"/>
  <c r="J17" i="6"/>
  <c r="E22" i="6"/>
  <c r="J22" i="6"/>
  <c r="S24" i="6"/>
  <c r="J14" i="6"/>
  <c r="E14" i="6"/>
  <c r="H12" i="6"/>
  <c r="E12" i="6"/>
  <c r="J12" i="6"/>
  <c r="E24" i="6"/>
  <c r="J24" i="6"/>
  <c r="I10" i="6"/>
  <c r="E10" i="6"/>
  <c r="H10" i="6"/>
  <c r="J21" i="6"/>
  <c r="E21" i="6"/>
  <c r="S16" i="6"/>
  <c r="S14" i="6"/>
  <c r="S19" i="6"/>
  <c r="H13" i="6"/>
  <c r="E13" i="6"/>
  <c r="J13" i="6"/>
  <c r="E25" i="6"/>
  <c r="J25" i="6"/>
  <c r="S21" i="6"/>
  <c r="H11" i="6"/>
  <c r="E11" i="6"/>
  <c r="J11" i="6"/>
  <c r="E23" i="6"/>
  <c r="J23" i="6"/>
  <c r="E16" i="6"/>
  <c r="J16" i="6"/>
  <c r="U7" i="4" a="1"/>
  <c r="U7" i="4" s="1"/>
  <c r="U17" i="4" a="1"/>
  <c r="U17" i="4" s="1"/>
  <c r="U23" i="4" a="1"/>
  <c r="U23" i="4" s="1"/>
  <c r="U29" i="4" a="1"/>
  <c r="U29" i="4" s="1"/>
  <c r="U35" i="4" a="1"/>
  <c r="U35" i="4" s="1"/>
  <c r="U41" i="4" a="1"/>
  <c r="U41" i="4" s="1"/>
  <c r="U3" i="4" a="1"/>
  <c r="U3" i="4" s="1"/>
  <c r="U8" i="4" a="1"/>
  <c r="U8" i="4" s="1"/>
  <c r="U12" i="4" a="1"/>
  <c r="U12" i="4" s="1"/>
  <c r="U18" i="4" a="1"/>
  <c r="U18" i="4" s="1"/>
  <c r="U24" i="4" a="1"/>
  <c r="U24" i="4" s="1"/>
  <c r="U30" i="4" a="1"/>
  <c r="U30" i="4" s="1"/>
  <c r="U36" i="4" a="1"/>
  <c r="U36" i="4" s="1"/>
  <c r="U42" i="4" a="1"/>
  <c r="U42" i="4" s="1"/>
  <c r="U4" i="4" a="1"/>
  <c r="U4" i="4" s="1"/>
  <c r="U13" i="4" a="1"/>
  <c r="U13" i="4" s="1"/>
  <c r="U19" i="4" a="1"/>
  <c r="U19" i="4" s="1"/>
  <c r="U25" i="4" a="1"/>
  <c r="U25" i="4" s="1"/>
  <c r="U31" i="4" a="1"/>
  <c r="U31" i="4" s="1"/>
  <c r="U37" i="4" a="1"/>
  <c r="U37" i="4" s="1"/>
  <c r="U5" i="4" a="1"/>
  <c r="U5" i="4" s="1"/>
  <c r="U9" i="4" a="1"/>
  <c r="U9" i="4" s="1"/>
  <c r="U14" i="4" a="1"/>
  <c r="U14" i="4" s="1"/>
  <c r="U20" i="4" a="1"/>
  <c r="U20" i="4" s="1"/>
  <c r="U26" i="4" a="1"/>
  <c r="U26" i="4" s="1"/>
  <c r="U32" i="4" a="1"/>
  <c r="U32" i="4" s="1"/>
  <c r="U38" i="4" a="1"/>
  <c r="U38" i="4" s="1"/>
  <c r="U10" i="4" a="1"/>
  <c r="U10" i="4" s="1"/>
  <c r="U15" i="4" a="1"/>
  <c r="U15" i="4" s="1"/>
  <c r="U21" i="4" a="1"/>
  <c r="U21" i="4" s="1"/>
  <c r="U27" i="4" a="1"/>
  <c r="U27" i="4" s="1"/>
  <c r="U33" i="4" a="1"/>
  <c r="U33" i="4" s="1"/>
  <c r="U39" i="4" a="1"/>
  <c r="U39" i="4" s="1"/>
  <c r="L10" i="4"/>
  <c r="N10" i="4" s="1"/>
  <c r="U6" i="4" a="1"/>
  <c r="U6" i="4" s="1"/>
  <c r="U11" i="4" a="1"/>
  <c r="U11" i="4" s="1"/>
  <c r="U16" i="4" a="1"/>
  <c r="U16" i="4" s="1"/>
  <c r="U22" i="4" a="1"/>
  <c r="U22" i="4" s="1"/>
  <c r="U28" i="4" a="1"/>
  <c r="U28" i="4" s="1"/>
  <c r="U34" i="4" a="1"/>
  <c r="U34" i="4" s="1"/>
  <c r="U40" i="4" a="1"/>
  <c r="U40" i="4" s="1"/>
  <c r="L6" i="4"/>
  <c r="I8" i="6"/>
  <c r="I7" i="6"/>
  <c r="H4" i="6"/>
  <c r="S3" i="6"/>
  <c r="S8" i="6"/>
  <c r="S5" i="6"/>
  <c r="Q8" i="4" a="1"/>
  <c r="Q8" i="4" s="1"/>
  <c r="L3" i="4"/>
  <c r="N3" i="4" s="1"/>
  <c r="A4" i="4"/>
  <c r="L5" i="4"/>
  <c r="N5" i="4" s="1"/>
  <c r="M6" i="4"/>
  <c r="O6" i="4" s="1" a="1"/>
  <c r="O6" i="4" s="1"/>
  <c r="A7" i="4"/>
  <c r="S7" i="4"/>
  <c r="T7" i="4" s="1" a="1"/>
  <c r="T7" i="4" s="1"/>
  <c r="AA7" i="4" s="1"/>
  <c r="M9" i="4"/>
  <c r="O9" i="4" s="1" a="1"/>
  <c r="O9" i="4" s="1"/>
  <c r="A10" i="4"/>
  <c r="G11" i="4"/>
  <c r="H11" i="4" s="1"/>
  <c r="F11" i="4" s="1"/>
  <c r="L12" i="4"/>
  <c r="N12" i="4" s="1"/>
  <c r="Q13" i="4" a="1"/>
  <c r="Q13" i="4" s="1"/>
  <c r="Q3" i="4" a="1"/>
  <c r="Q3" i="4" s="1"/>
  <c r="Q9" i="4" a="1"/>
  <c r="Q9" i="4" s="1"/>
  <c r="M3" i="4"/>
  <c r="O3" i="4" s="1" a="1"/>
  <c r="O3" i="4" s="1"/>
  <c r="C4" i="4"/>
  <c r="D4" i="4" s="1"/>
  <c r="M5" i="4"/>
  <c r="O5" i="4" s="1" a="1"/>
  <c r="O5" i="4" s="1"/>
  <c r="A6" i="4"/>
  <c r="C7" i="4"/>
  <c r="D7" i="4" s="1"/>
  <c r="G8" i="4"/>
  <c r="H8" i="4" s="1"/>
  <c r="F8" i="4" s="1"/>
  <c r="C10" i="4"/>
  <c r="D10" i="4" s="1"/>
  <c r="L11" i="4"/>
  <c r="N11" i="4" s="1"/>
  <c r="M12" i="4"/>
  <c r="O12" i="4" s="1" a="1"/>
  <c r="O12" i="4" s="1"/>
  <c r="G13" i="4"/>
  <c r="H13" i="4" s="1"/>
  <c r="F13" i="4" s="1"/>
  <c r="S13" i="4"/>
  <c r="T13" i="4" s="1" a="1"/>
  <c r="T13" i="4" s="1"/>
  <c r="AA13" i="4" s="1"/>
  <c r="A15" i="4"/>
  <c r="S15" i="4"/>
  <c r="T15" i="4" s="1" a="1"/>
  <c r="T15" i="4" s="1"/>
  <c r="AA15" i="4" s="1"/>
  <c r="C16" i="4"/>
  <c r="D16" i="4" s="1"/>
  <c r="Q16" i="4" a="1"/>
  <c r="Q16" i="4" s="1"/>
  <c r="L17" i="4"/>
  <c r="N17" i="4" s="1"/>
  <c r="L18" i="4"/>
  <c r="N18" i="4" s="1"/>
  <c r="M19" i="4"/>
  <c r="O19" i="4" s="1" a="1"/>
  <c r="O19" i="4" s="1"/>
  <c r="L20" i="4"/>
  <c r="N20" i="4" s="1"/>
  <c r="L21" i="4"/>
  <c r="N21" i="4" s="1"/>
  <c r="M22" i="4"/>
  <c r="O22" i="4" s="1" a="1"/>
  <c r="O22" i="4" s="1"/>
  <c r="A23" i="4"/>
  <c r="A24" i="4"/>
  <c r="M25" i="4"/>
  <c r="O25" i="4" s="1" a="1"/>
  <c r="O25" i="4" s="1"/>
  <c r="A26" i="4"/>
  <c r="M26" i="4"/>
  <c r="O26" i="4" s="1" a="1"/>
  <c r="O26" i="4" s="1"/>
  <c r="A27" i="4"/>
  <c r="S27" i="4"/>
  <c r="T27" i="4" s="1" a="1"/>
  <c r="T27" i="4" s="1"/>
  <c r="AA27" i="4" s="1"/>
  <c r="C28" i="4"/>
  <c r="D28" i="4" s="1"/>
  <c r="Q28" i="4" a="1"/>
  <c r="Q28" i="4" s="1"/>
  <c r="Q4" i="4" a="1"/>
  <c r="Q4" i="4" s="1"/>
  <c r="Q10" i="4" a="1"/>
  <c r="Q10" i="4" s="1"/>
  <c r="S3" i="4"/>
  <c r="T3" i="4" s="1" a="1"/>
  <c r="T3" i="4" s="1"/>
  <c r="G4" i="4"/>
  <c r="H4" i="4" s="1"/>
  <c r="F4" i="4" s="1"/>
  <c r="C6" i="4"/>
  <c r="D6" i="4" s="1"/>
  <c r="S6" i="4"/>
  <c r="T6" i="4" s="1" a="1"/>
  <c r="T6" i="4" s="1"/>
  <c r="G7" i="4"/>
  <c r="H7" i="4" s="1"/>
  <c r="F7" i="4" s="1"/>
  <c r="L8" i="4"/>
  <c r="N8" i="4" s="1"/>
  <c r="A9" i="4"/>
  <c r="S9" i="4"/>
  <c r="T9" i="4" s="1" a="1"/>
  <c r="T9" i="4" s="1"/>
  <c r="AA9" i="4" s="1"/>
  <c r="G10" i="4"/>
  <c r="H10" i="4" s="1"/>
  <c r="F10" i="4" s="1"/>
  <c r="M11" i="4"/>
  <c r="O11" i="4" s="1" a="1"/>
  <c r="O11" i="4" s="1"/>
  <c r="L13" i="4"/>
  <c r="N13" i="4" s="1"/>
  <c r="G14" i="4"/>
  <c r="H14" i="4" s="1"/>
  <c r="F14" i="4" s="1"/>
  <c r="Q14" i="4" a="1"/>
  <c r="Q14" i="4" s="1"/>
  <c r="Q5" i="4" a="1"/>
  <c r="Q5" i="4" s="1"/>
  <c r="A3" i="4"/>
  <c r="L4" i="4"/>
  <c r="N4" i="4" s="1"/>
  <c r="A5" i="4"/>
  <c r="S5" i="4"/>
  <c r="T5" i="4" s="1" a="1"/>
  <c r="T5" i="4" s="1"/>
  <c r="AA5" i="4" s="1"/>
  <c r="L7" i="4"/>
  <c r="N7" i="4" s="1"/>
  <c r="M8" i="4"/>
  <c r="O8" i="4" s="1" a="1"/>
  <c r="O8" i="4" s="1"/>
  <c r="C9" i="4"/>
  <c r="D9" i="4" s="1"/>
  <c r="A11" i="4"/>
  <c r="A12" i="4"/>
  <c r="M13" i="4"/>
  <c r="O13" i="4" s="1" a="1"/>
  <c r="O13" i="4" s="1"/>
  <c r="S14" i="4"/>
  <c r="T14" i="4" s="1" a="1"/>
  <c r="T14" i="4" s="1"/>
  <c r="AA14" i="4" s="1"/>
  <c r="G15" i="4"/>
  <c r="H15" i="4" s="1"/>
  <c r="F15" i="4" s="1"/>
  <c r="G16" i="4"/>
  <c r="H16" i="4" s="1"/>
  <c r="F16" i="4" s="1"/>
  <c r="S16" i="4"/>
  <c r="T16" i="4" s="1" a="1"/>
  <c r="T16" i="4" s="1"/>
  <c r="AA16" i="4" s="1"/>
  <c r="C17" i="4"/>
  <c r="D17" i="4" s="1"/>
  <c r="A18" i="4"/>
  <c r="Q18" i="4" a="1"/>
  <c r="Q18" i="4" s="1"/>
  <c r="A19" i="4"/>
  <c r="Q19" i="4" a="1"/>
  <c r="Q19" i="4" s="1"/>
  <c r="A22" i="4"/>
  <c r="S22" i="4"/>
  <c r="T22" i="4" s="1" a="1"/>
  <c r="T22" i="4" s="1"/>
  <c r="AA22" i="4" s="1"/>
  <c r="S23" i="4"/>
  <c r="T23" i="4" s="1" a="1"/>
  <c r="T23" i="4" s="1"/>
  <c r="AA23" i="4" s="1"/>
  <c r="G24" i="4"/>
  <c r="H24" i="4" s="1"/>
  <c r="F24" i="4" s="1"/>
  <c r="S24" i="4"/>
  <c r="T24" i="4" s="1" a="1"/>
  <c r="T24" i="4" s="1"/>
  <c r="AA24" i="4" s="1"/>
  <c r="C25" i="4"/>
  <c r="D25" i="4" s="1"/>
  <c r="S25" i="4"/>
  <c r="T25" i="4" s="1" a="1"/>
  <c r="T25" i="4" s="1"/>
  <c r="AA25" i="4" s="1"/>
  <c r="S26" i="4"/>
  <c r="T26" i="4" s="1" a="1"/>
  <c r="T26" i="4" s="1"/>
  <c r="AA26" i="4" s="1"/>
  <c r="G27" i="4"/>
  <c r="H27" i="4" s="1"/>
  <c r="F27" i="4" s="1"/>
  <c r="G28" i="4"/>
  <c r="H28" i="4" s="1"/>
  <c r="F28" i="4" s="1"/>
  <c r="S28" i="4"/>
  <c r="T28" i="4" s="1" a="1"/>
  <c r="T28" i="4" s="1"/>
  <c r="C29" i="4"/>
  <c r="D29" i="4" s="1"/>
  <c r="A30" i="4"/>
  <c r="Q30" i="4" a="1"/>
  <c r="Q30" i="4" s="1"/>
  <c r="A31" i="4"/>
  <c r="Q31" i="4" a="1"/>
  <c r="Q31" i="4" s="1"/>
  <c r="Q6" i="4" a="1"/>
  <c r="Q6" i="4" s="1"/>
  <c r="C3" i="4"/>
  <c r="D3" i="4" s="1"/>
  <c r="M4" i="4"/>
  <c r="O4" i="4" s="1" a="1"/>
  <c r="O4" i="4" s="1"/>
  <c r="C5" i="4"/>
  <c r="D5" i="4" s="1"/>
  <c r="G6" i="4"/>
  <c r="H6" i="4" s="1"/>
  <c r="F6" i="4" s="1"/>
  <c r="M7" i="4"/>
  <c r="O7" i="4" s="1" a="1"/>
  <c r="O7" i="4" s="1"/>
  <c r="A8" i="4"/>
  <c r="S8" i="4"/>
  <c r="T8" i="4" s="1" a="1"/>
  <c r="T8" i="4" s="1"/>
  <c r="AA8" i="4" s="1"/>
  <c r="G9" i="4"/>
  <c r="H9" i="4" s="1"/>
  <c r="F9" i="4" s="1"/>
  <c r="M10" i="4"/>
  <c r="O10" i="4" s="1" a="1"/>
  <c r="O10" i="4" s="1"/>
  <c r="C11" i="4"/>
  <c r="D11" i="4" s="1"/>
  <c r="Q11" i="4" a="1"/>
  <c r="Q11" i="4" s="1"/>
  <c r="C12" i="4"/>
  <c r="D12" i="4" s="1"/>
  <c r="Q12" i="4" a="1"/>
  <c r="Q12" i="4" s="1"/>
  <c r="A13" i="4"/>
  <c r="L14" i="4"/>
  <c r="N14" i="4" s="1"/>
  <c r="L15" i="4"/>
  <c r="N15" i="4" s="1"/>
  <c r="Q17" i="4" a="1"/>
  <c r="Q17" i="4" s="1"/>
  <c r="C18" i="4"/>
  <c r="D18" i="4" s="1"/>
  <c r="C19" i="4"/>
  <c r="D19" i="4" s="1"/>
  <c r="A20" i="4"/>
  <c r="Q20" i="4" a="1"/>
  <c r="Q20" i="4" s="1"/>
  <c r="Q7" i="4" a="1"/>
  <c r="Q7" i="4" s="1"/>
  <c r="G3" i="4"/>
  <c r="H3" i="4" s="1"/>
  <c r="F3" i="4" s="1"/>
  <c r="S4" i="4"/>
  <c r="T4" i="4" s="1" a="1"/>
  <c r="T4" i="4" s="1"/>
  <c r="AA4" i="4" s="1"/>
  <c r="G5" i="4"/>
  <c r="H5" i="4" s="1"/>
  <c r="F5" i="4" s="1"/>
  <c r="N6" i="4"/>
  <c r="C8" i="4"/>
  <c r="D8" i="4" s="1"/>
  <c r="L9" i="4"/>
  <c r="N9" i="4" s="1"/>
  <c r="S10" i="4"/>
  <c r="T10" i="4" s="1" a="1"/>
  <c r="T10" i="4" s="1"/>
  <c r="S11" i="4"/>
  <c r="T11" i="4" s="1" a="1"/>
  <c r="T11" i="4" s="1"/>
  <c r="AA11" i="4" s="1"/>
  <c r="G12" i="4"/>
  <c r="H12" i="4" s="1"/>
  <c r="F12" i="4" s="1"/>
  <c r="S12" i="4"/>
  <c r="T12" i="4" s="1" a="1"/>
  <c r="T12" i="4" s="1"/>
  <c r="AA12" i="4" s="1"/>
  <c r="C13" i="4"/>
  <c r="D13" i="4" s="1"/>
  <c r="A14" i="4"/>
  <c r="M14" i="4"/>
  <c r="O14" i="4" s="1" a="1"/>
  <c r="O14" i="4" s="1"/>
  <c r="M15" i="4"/>
  <c r="O15" i="4" s="1" a="1"/>
  <c r="O15" i="4" s="1"/>
  <c r="L16" i="4"/>
  <c r="N16" i="4" s="1"/>
  <c r="G17" i="4"/>
  <c r="H17" i="4" s="1"/>
  <c r="F17" i="4" s="1"/>
  <c r="S17" i="4"/>
  <c r="T17" i="4" s="1" a="1"/>
  <c r="T17" i="4" s="1"/>
  <c r="AA17" i="4" s="1"/>
  <c r="S18" i="4"/>
  <c r="T18" i="4" s="1" a="1"/>
  <c r="T18" i="4" s="1"/>
  <c r="AA18" i="4" s="1"/>
  <c r="G19" i="4"/>
  <c r="H19" i="4" s="1"/>
  <c r="F19" i="4" s="1"/>
  <c r="S19" i="4"/>
  <c r="T19" i="4" s="1" a="1"/>
  <c r="T19" i="4" s="1"/>
  <c r="AA19" i="4" s="1"/>
  <c r="C20" i="4"/>
  <c r="D20" i="4" s="1"/>
  <c r="C21" i="4"/>
  <c r="D21" i="4" s="1"/>
  <c r="S21" i="4"/>
  <c r="T21" i="4" s="1" a="1"/>
  <c r="T21" i="4" s="1"/>
  <c r="AA21" i="4" s="1"/>
  <c r="G22" i="4"/>
  <c r="H22" i="4" s="1"/>
  <c r="F22" i="4" s="1"/>
  <c r="L23" i="4"/>
  <c r="N23" i="4" s="1"/>
  <c r="M24" i="4"/>
  <c r="O24" i="4" s="1" a="1"/>
  <c r="O24" i="4" s="1"/>
  <c r="G25" i="4"/>
  <c r="H25" i="4" s="1"/>
  <c r="F25" i="4" s="1"/>
  <c r="M27" i="4"/>
  <c r="O27" i="4" s="1" a="1"/>
  <c r="O27" i="4" s="1"/>
  <c r="L28" i="4"/>
  <c r="N28" i="4" s="1"/>
  <c r="G29" i="4"/>
  <c r="H29" i="4" s="1"/>
  <c r="F29" i="4" s="1"/>
  <c r="S29" i="4"/>
  <c r="T29" i="4" s="1" a="1"/>
  <c r="T29" i="4" s="1"/>
  <c r="AA29" i="4" s="1"/>
  <c r="S30" i="4"/>
  <c r="T30" i="4" s="1" a="1"/>
  <c r="T30" i="4" s="1"/>
  <c r="AA30" i="4" s="1"/>
  <c r="G31" i="4"/>
  <c r="H31" i="4" s="1"/>
  <c r="F31" i="4" s="1"/>
  <c r="S31" i="4"/>
  <c r="T31" i="4" s="1" a="1"/>
  <c r="T31" i="4" s="1"/>
  <c r="AA31" i="4" s="1"/>
  <c r="C32" i="4"/>
  <c r="D32" i="4" s="1"/>
  <c r="C33" i="4"/>
  <c r="D33" i="4" s="1"/>
  <c r="S33" i="4"/>
  <c r="T33" i="4" s="1" a="1"/>
  <c r="T33" i="4" s="1"/>
  <c r="AA33" i="4" s="1"/>
  <c r="G34" i="4"/>
  <c r="H34" i="4" s="1"/>
  <c r="F34" i="4" s="1"/>
  <c r="L35" i="4"/>
  <c r="N35" i="4" s="1"/>
  <c r="M39" i="4"/>
  <c r="O39" i="4" s="1" a="1"/>
  <c r="O39" i="4" s="1"/>
  <c r="Q41" i="4" a="1"/>
  <c r="Q41" i="4" s="1"/>
  <c r="C42" i="4"/>
  <c r="D42" i="4" s="1"/>
  <c r="Q42" i="4" a="1"/>
  <c r="Q42" i="4" s="1"/>
  <c r="C14" i="4"/>
  <c r="D14" i="4" s="1"/>
  <c r="A16" i="4"/>
  <c r="G20" i="4"/>
  <c r="H20" i="4" s="1"/>
  <c r="F20" i="4" s="1"/>
  <c r="M21" i="4"/>
  <c r="O21" i="4" s="1" a="1"/>
  <c r="O21" i="4" s="1"/>
  <c r="Q22" i="4" a="1"/>
  <c r="Q22" i="4" s="1"/>
  <c r="Q23" i="4" a="1"/>
  <c r="Q23" i="4" s="1"/>
  <c r="Q24" i="4" a="1"/>
  <c r="Q24" i="4" s="1"/>
  <c r="Q25" i="4" a="1"/>
  <c r="Q25" i="4" s="1"/>
  <c r="Q26" i="4" a="1"/>
  <c r="Q26" i="4" s="1"/>
  <c r="A32" i="4"/>
  <c r="S32" i="4"/>
  <c r="T32" i="4" s="1" a="1"/>
  <c r="T32" i="4" s="1"/>
  <c r="AA32" i="4" s="1"/>
  <c r="L33" i="4"/>
  <c r="N33" i="4" s="1"/>
  <c r="S34" i="4"/>
  <c r="T34" i="4" s="1" a="1"/>
  <c r="T34" i="4" s="1"/>
  <c r="G35" i="4"/>
  <c r="H35" i="4" s="1"/>
  <c r="F35" i="4" s="1"/>
  <c r="A36" i="4"/>
  <c r="Q36" i="4" a="1"/>
  <c r="Q36" i="4" s="1"/>
  <c r="C37" i="4"/>
  <c r="D37" i="4" s="1"/>
  <c r="S37" i="4"/>
  <c r="T37" i="4" s="1" a="1"/>
  <c r="T37" i="4" s="1"/>
  <c r="AA37" i="4" s="1"/>
  <c r="G38" i="4"/>
  <c r="H38" i="4" s="1"/>
  <c r="F38" i="4" s="1"/>
  <c r="Q39" i="4" a="1"/>
  <c r="Q39" i="4" s="1"/>
  <c r="C40" i="4"/>
  <c r="D40" i="4" s="1"/>
  <c r="C41" i="4"/>
  <c r="D41" i="4" s="1"/>
  <c r="S41" i="4"/>
  <c r="T41" i="4" s="1" a="1"/>
  <c r="T41" i="4" s="1"/>
  <c r="AA41" i="4" s="1"/>
  <c r="G42" i="4"/>
  <c r="H42" i="4" s="1"/>
  <c r="F42" i="4" s="1"/>
  <c r="M17" i="4"/>
  <c r="O17" i="4" s="1" a="1"/>
  <c r="O17" i="4" s="1"/>
  <c r="M20" i="4"/>
  <c r="O20" i="4" s="1" a="1"/>
  <c r="O20" i="4" s="1"/>
  <c r="Q21" i="4" a="1"/>
  <c r="Q21" i="4" s="1"/>
  <c r="L29" i="4"/>
  <c r="N29" i="4" s="1"/>
  <c r="C30" i="4"/>
  <c r="D30" i="4" s="1"/>
  <c r="G32" i="4"/>
  <c r="H32" i="4" s="1"/>
  <c r="F32" i="4" s="1"/>
  <c r="M33" i="4"/>
  <c r="O33" i="4" s="1" a="1"/>
  <c r="O33" i="4" s="1"/>
  <c r="A34" i="4"/>
  <c r="M35" i="4"/>
  <c r="O35" i="4" s="1" a="1"/>
  <c r="O35" i="4" s="1"/>
  <c r="C36" i="4"/>
  <c r="D36" i="4" s="1"/>
  <c r="S36" i="4"/>
  <c r="T36" i="4" s="1" a="1"/>
  <c r="T36" i="4" s="1"/>
  <c r="AA36" i="4" s="1"/>
  <c r="L38" i="4"/>
  <c r="N38" i="4" s="1"/>
  <c r="A39" i="4"/>
  <c r="S39" i="4"/>
  <c r="T39" i="4" s="1" a="1"/>
  <c r="T39" i="4" s="1"/>
  <c r="AA39" i="4" s="1"/>
  <c r="S40" i="4"/>
  <c r="T40" i="4" s="1" a="1"/>
  <c r="T40" i="4" s="1"/>
  <c r="AA40" i="4" s="1"/>
  <c r="G41" i="4"/>
  <c r="H41" i="4" s="1"/>
  <c r="F41" i="4" s="1"/>
  <c r="L42" i="4"/>
  <c r="N42" i="4" s="1"/>
  <c r="M16" i="4"/>
  <c r="O16" i="4" s="1" a="1"/>
  <c r="O16" i="4" s="1"/>
  <c r="L19" i="4"/>
  <c r="N19" i="4" s="1"/>
  <c r="S20" i="4"/>
  <c r="T20" i="4" s="1" a="1"/>
  <c r="T20" i="4" s="1"/>
  <c r="AA20" i="4" s="1"/>
  <c r="A28" i="4"/>
  <c r="M29" i="4"/>
  <c r="O29" i="4" s="1" a="1"/>
  <c r="O29" i="4" s="1"/>
  <c r="G30" i="4"/>
  <c r="H30" i="4" s="1"/>
  <c r="F30" i="4" s="1"/>
  <c r="L32" i="4"/>
  <c r="N32" i="4" s="1"/>
  <c r="C34" i="4"/>
  <c r="D34" i="4" s="1"/>
  <c r="Q35" i="4" a="1"/>
  <c r="Q35" i="4" s="1"/>
  <c r="G36" i="4"/>
  <c r="H36" i="4" s="1"/>
  <c r="F36" i="4" s="1"/>
  <c r="G37" i="4"/>
  <c r="H37" i="4" s="1"/>
  <c r="F37" i="4" s="1"/>
  <c r="M38" i="4"/>
  <c r="O38" i="4" s="1" a="1"/>
  <c r="O38" i="4" s="1"/>
  <c r="C39" i="4"/>
  <c r="D39" i="4" s="1"/>
  <c r="G40" i="4"/>
  <c r="H40" i="4" s="1"/>
  <c r="F40" i="4" s="1"/>
  <c r="M42" i="4"/>
  <c r="O42" i="4" s="1" a="1"/>
  <c r="O42" i="4" s="1"/>
  <c r="C15" i="4"/>
  <c r="D15" i="4" s="1"/>
  <c r="C23" i="4"/>
  <c r="D23" i="4" s="1"/>
  <c r="C24" i="4"/>
  <c r="D24" i="4" s="1"/>
  <c r="A25" i="4"/>
  <c r="C26" i="4"/>
  <c r="D26" i="4" s="1"/>
  <c r="C27" i="4"/>
  <c r="D27" i="4" s="1"/>
  <c r="Q29" i="4" a="1"/>
  <c r="Q29" i="4" s="1"/>
  <c r="L30" i="4"/>
  <c r="N30" i="4" s="1"/>
  <c r="C31" i="4"/>
  <c r="D31" i="4" s="1"/>
  <c r="M32" i="4"/>
  <c r="O32" i="4" s="1" a="1"/>
  <c r="O32" i="4" s="1"/>
  <c r="Q33" i="4" a="1"/>
  <c r="Q33" i="4" s="1"/>
  <c r="L34" i="4"/>
  <c r="N34" i="4" s="1"/>
  <c r="A35" i="4"/>
  <c r="S35" i="4"/>
  <c r="T35" i="4" s="1" a="1"/>
  <c r="T35" i="4" s="1"/>
  <c r="AA35" i="4" s="1"/>
  <c r="L36" i="4"/>
  <c r="N36" i="4" s="1"/>
  <c r="L37" i="4"/>
  <c r="N37" i="4" s="1"/>
  <c r="A38" i="4"/>
  <c r="Q38" i="4" a="1"/>
  <c r="Q38" i="4" s="1"/>
  <c r="G39" i="4"/>
  <c r="H39" i="4" s="1"/>
  <c r="F39" i="4" s="1"/>
  <c r="L40" i="4"/>
  <c r="N40" i="4" s="1"/>
  <c r="L41" i="4"/>
  <c r="N41" i="4" s="1"/>
  <c r="Q15" i="4" a="1"/>
  <c r="Q15" i="4" s="1"/>
  <c r="G18" i="4"/>
  <c r="H18" i="4" s="1"/>
  <c r="F18" i="4" s="1"/>
  <c r="A21" i="4"/>
  <c r="C22" i="4"/>
  <c r="D22" i="4" s="1"/>
  <c r="G23" i="4"/>
  <c r="H23" i="4" s="1"/>
  <c r="F23" i="4" s="1"/>
  <c r="L24" i="4"/>
  <c r="N24" i="4" s="1"/>
  <c r="G26" i="4"/>
  <c r="H26" i="4" s="1"/>
  <c r="F26" i="4" s="1"/>
  <c r="L27" i="4"/>
  <c r="N27" i="4" s="1"/>
  <c r="P27" i="4" s="1"/>
  <c r="A29" i="4"/>
  <c r="M30" i="4"/>
  <c r="O30" i="4" s="1" a="1"/>
  <c r="O30" i="4" s="1"/>
  <c r="L31" i="4"/>
  <c r="N31" i="4" s="1"/>
  <c r="A33" i="4"/>
  <c r="M34" i="4"/>
  <c r="O34" i="4" s="1" a="1"/>
  <c r="O34" i="4" s="1"/>
  <c r="C35" i="4"/>
  <c r="D35" i="4" s="1"/>
  <c r="M36" i="4"/>
  <c r="O36" i="4" s="1" a="1"/>
  <c r="O36" i="4" s="1"/>
  <c r="M37" i="4"/>
  <c r="O37" i="4" s="1" a="1"/>
  <c r="O37" i="4" s="1"/>
  <c r="C38" i="4"/>
  <c r="D38" i="4" s="1"/>
  <c r="S38" i="4"/>
  <c r="T38" i="4" s="1" a="1"/>
  <c r="T38" i="4" s="1"/>
  <c r="AA38" i="4" s="1"/>
  <c r="L39" i="4"/>
  <c r="N39" i="4" s="1"/>
  <c r="M40" i="4"/>
  <c r="O40" i="4" s="1" a="1"/>
  <c r="O40" i="4" s="1"/>
  <c r="M41" i="4"/>
  <c r="O41" i="4" s="1" a="1"/>
  <c r="O41" i="4" s="1"/>
  <c r="A42" i="4"/>
  <c r="S42" i="4"/>
  <c r="T42" i="4" s="1" a="1"/>
  <c r="T42" i="4" s="1"/>
  <c r="AA42" i="4" s="1"/>
  <c r="A17" i="4"/>
  <c r="M18" i="4"/>
  <c r="O18" i="4" s="1" a="1"/>
  <c r="O18" i="4" s="1"/>
  <c r="G21" i="4"/>
  <c r="H21" i="4" s="1"/>
  <c r="F21" i="4" s="1"/>
  <c r="L22" i="4"/>
  <c r="N22" i="4" s="1"/>
  <c r="P22" i="4" s="1"/>
  <c r="M23" i="4"/>
  <c r="O23" i="4" s="1" a="1"/>
  <c r="O23" i="4" s="1"/>
  <c r="L25" i="4"/>
  <c r="N25" i="4" s="1"/>
  <c r="P25" i="4" s="1"/>
  <c r="L26" i="4"/>
  <c r="N26" i="4" s="1"/>
  <c r="Q27" i="4" a="1"/>
  <c r="Q27" i="4" s="1"/>
  <c r="M28" i="4"/>
  <c r="O28" i="4" s="1" a="1"/>
  <c r="O28" i="4" s="1"/>
  <c r="M31" i="4"/>
  <c r="O31" i="4" s="1" a="1"/>
  <c r="O31" i="4" s="1"/>
  <c r="Q32" i="4" a="1"/>
  <c r="Q32" i="4" s="1"/>
  <c r="G33" i="4"/>
  <c r="H33" i="4" s="1"/>
  <c r="F33" i="4" s="1"/>
  <c r="Q34" i="4" a="1"/>
  <c r="Q34" i="4" s="1"/>
  <c r="A37" i="4"/>
  <c r="Q37" i="4" a="1"/>
  <c r="Q37" i="4" s="1"/>
  <c r="A40" i="4"/>
  <c r="Q40" i="4" a="1"/>
  <c r="Q40" i="4" s="1"/>
  <c r="A41" i="4"/>
  <c r="B2" i="4"/>
  <c r="S4" i="6"/>
  <c r="S9" i="6"/>
  <c r="A49" i="8"/>
  <c r="B49" i="8" s="1"/>
  <c r="A53" i="8"/>
  <c r="B53" i="8" s="1"/>
  <c r="A57" i="8"/>
  <c r="B57" i="8" s="1"/>
  <c r="A61" i="8"/>
  <c r="B61" i="8" s="1"/>
  <c r="A65" i="8"/>
  <c r="B65" i="8" s="1"/>
  <c r="A69" i="8"/>
  <c r="B69" i="8" s="1"/>
  <c r="A73" i="8"/>
  <c r="B73" i="8" s="1"/>
  <c r="A77" i="8"/>
  <c r="B77" i="8" s="1"/>
  <c r="A81" i="8"/>
  <c r="B81" i="8" s="1"/>
  <c r="A85" i="8"/>
  <c r="B85" i="8" s="1"/>
  <c r="A89" i="8"/>
  <c r="B89" i="8" s="1"/>
  <c r="A102" i="8"/>
  <c r="B102" i="8" s="1"/>
  <c r="A4" i="8"/>
  <c r="B4" i="8" s="1"/>
  <c r="A7" i="8"/>
  <c r="B7" i="8" s="1"/>
  <c r="A10" i="8"/>
  <c r="B10" i="8" s="1"/>
  <c r="A13" i="8"/>
  <c r="B13" i="8" s="1"/>
  <c r="A96" i="8"/>
  <c r="B96" i="8" s="1"/>
  <c r="A99" i="8"/>
  <c r="B99" i="8" s="1"/>
  <c r="A103" i="8"/>
  <c r="B103" i="8" s="1"/>
  <c r="A51" i="8"/>
  <c r="B51" i="8" s="1"/>
  <c r="A55" i="8"/>
  <c r="B55" i="8" s="1"/>
  <c r="A59" i="8"/>
  <c r="B59" i="8" s="1"/>
  <c r="A63" i="8"/>
  <c r="B63" i="8" s="1"/>
  <c r="A67" i="8"/>
  <c r="B67" i="8" s="1"/>
  <c r="A71" i="8"/>
  <c r="B71" i="8" s="1"/>
  <c r="A75" i="8"/>
  <c r="B75" i="8" s="1"/>
  <c r="A79" i="8"/>
  <c r="B79" i="8" s="1"/>
  <c r="A83" i="8"/>
  <c r="B83" i="8" s="1"/>
  <c r="A87" i="8"/>
  <c r="B87" i="8" s="1"/>
  <c r="A91" i="8"/>
  <c r="B91" i="8" s="1"/>
  <c r="A100" i="8"/>
  <c r="B100" i="8" s="1"/>
  <c r="A104" i="8"/>
  <c r="B104" i="8" s="1"/>
  <c r="A50" i="8"/>
  <c r="B50" i="8" s="1"/>
  <c r="A58" i="8"/>
  <c r="B58" i="8" s="1"/>
  <c r="A66" i="8"/>
  <c r="B66" i="8" s="1"/>
  <c r="A74" i="8"/>
  <c r="B74" i="8" s="1"/>
  <c r="A82" i="8"/>
  <c r="B82" i="8" s="1"/>
  <c r="A90" i="8"/>
  <c r="B90" i="8" s="1"/>
  <c r="A97" i="8"/>
  <c r="B97" i="8" s="1"/>
  <c r="A8" i="8"/>
  <c r="B8" i="8" s="1"/>
  <c r="A14" i="8"/>
  <c r="B14" i="8" s="1"/>
  <c r="A70" i="8"/>
  <c r="B70" i="8" s="1"/>
  <c r="A21" i="8"/>
  <c r="B21" i="8" s="1"/>
  <c r="A27" i="8"/>
  <c r="B27" i="8" s="1"/>
  <c r="A36" i="8"/>
  <c r="B36" i="8" s="1"/>
  <c r="A42" i="8"/>
  <c r="B42" i="8" s="1"/>
  <c r="A98" i="8"/>
  <c r="B98" i="8" s="1"/>
  <c r="A3" i="8"/>
  <c r="B3" i="8" s="1"/>
  <c r="A9" i="8"/>
  <c r="B9" i="8" s="1"/>
  <c r="A15" i="8"/>
  <c r="B15" i="8" s="1"/>
  <c r="A19" i="8"/>
  <c r="B19" i="8" s="1"/>
  <c r="A23" i="8"/>
  <c r="B23" i="8" s="1"/>
  <c r="A26" i="8"/>
  <c r="B26" i="8" s="1"/>
  <c r="A29" i="8"/>
  <c r="B29" i="8" s="1"/>
  <c r="A32" i="8"/>
  <c r="B32" i="8" s="1"/>
  <c r="A35" i="8"/>
  <c r="B35" i="8" s="1"/>
  <c r="A38" i="8"/>
  <c r="B38" i="8" s="1"/>
  <c r="A41" i="8"/>
  <c r="B41" i="8" s="1"/>
  <c r="A44" i="8"/>
  <c r="B44" i="8" s="1"/>
  <c r="A47" i="8"/>
  <c r="B47" i="8" s="1"/>
  <c r="A54" i="8"/>
  <c r="B54" i="8" s="1"/>
  <c r="A78" i="8"/>
  <c r="B78" i="8" s="1"/>
  <c r="A93" i="8"/>
  <c r="B93" i="8" s="1"/>
  <c r="A16" i="8"/>
  <c r="B16" i="8" s="1"/>
  <c r="A30" i="8"/>
  <c r="B30" i="8" s="1"/>
  <c r="A45" i="8"/>
  <c r="B45" i="8" s="1"/>
  <c r="A52" i="8"/>
  <c r="B52" i="8" s="1"/>
  <c r="A60" i="8"/>
  <c r="B60" i="8" s="1"/>
  <c r="A68" i="8"/>
  <c r="B68" i="8" s="1"/>
  <c r="A76" i="8"/>
  <c r="B76" i="8" s="1"/>
  <c r="A84" i="8"/>
  <c r="B84" i="8" s="1"/>
  <c r="A92" i="8"/>
  <c r="B92" i="8" s="1"/>
  <c r="A20" i="8"/>
  <c r="B20" i="8" s="1"/>
  <c r="A62" i="8"/>
  <c r="B62" i="8" s="1"/>
  <c r="A86" i="8"/>
  <c r="B86" i="8" s="1"/>
  <c r="A11" i="8"/>
  <c r="B11" i="8" s="1"/>
  <c r="A24" i="8"/>
  <c r="B24" i="8" s="1"/>
  <c r="A33" i="8"/>
  <c r="B33" i="8" s="1"/>
  <c r="A39" i="8"/>
  <c r="B39" i="8" s="1"/>
  <c r="A5" i="8"/>
  <c r="B5" i="8" s="1"/>
  <c r="A6" i="8"/>
  <c r="B6" i="8" s="1"/>
  <c r="A48" i="8"/>
  <c r="B48" i="8" s="1"/>
  <c r="A64" i="8"/>
  <c r="B64" i="8" s="1"/>
  <c r="A22" i="8"/>
  <c r="B22" i="8" s="1"/>
  <c r="A40" i="8"/>
  <c r="B40" i="8" s="1"/>
  <c r="A94" i="8"/>
  <c r="B94" i="8" s="1"/>
  <c r="A12" i="8"/>
  <c r="B12" i="8" s="1"/>
  <c r="A72" i="8"/>
  <c r="B72" i="8" s="1"/>
  <c r="A95" i="8"/>
  <c r="B95" i="8" s="1"/>
  <c r="A25" i="8"/>
  <c r="B25" i="8" s="1"/>
  <c r="A34" i="8"/>
  <c r="B34" i="8" s="1"/>
  <c r="A43" i="8"/>
  <c r="B43" i="8" s="1"/>
  <c r="A101" i="8"/>
  <c r="B101" i="8" s="1"/>
  <c r="A17" i="8"/>
  <c r="B17" i="8" s="1"/>
  <c r="A56" i="8"/>
  <c r="B56" i="8" s="1"/>
  <c r="A80" i="8"/>
  <c r="B80" i="8" s="1"/>
  <c r="A18" i="8"/>
  <c r="B18" i="8" s="1"/>
  <c r="A28" i="8"/>
  <c r="B28" i="8" s="1"/>
  <c r="A37" i="8"/>
  <c r="B37" i="8" s="1"/>
  <c r="A46" i="8"/>
  <c r="B46" i="8" s="1"/>
  <c r="A88" i="8"/>
  <c r="B88" i="8" s="1"/>
  <c r="A31" i="8"/>
  <c r="B31" i="8" s="1"/>
  <c r="I3" i="6"/>
  <c r="E3" i="6"/>
  <c r="H3" i="6"/>
  <c r="J3" i="6"/>
  <c r="E2" i="6"/>
  <c r="S6" i="6"/>
  <c r="I6" i="6"/>
  <c r="E6" i="6"/>
  <c r="I9" i="6"/>
  <c r="E9" i="6"/>
  <c r="J4" i="6"/>
  <c r="E4" i="6"/>
  <c r="I2" i="6"/>
  <c r="I2" i="1" s="1"/>
  <c r="S2" i="6"/>
  <c r="J2" i="6"/>
  <c r="J9" i="6"/>
  <c r="H9" i="6"/>
  <c r="H6" i="6"/>
  <c r="J6" i="6"/>
  <c r="AA76" i="4" l="1"/>
  <c r="P42" i="4"/>
  <c r="AA28" i="4"/>
  <c r="AA6" i="4"/>
  <c r="AA34" i="4"/>
  <c r="AA10" i="4"/>
  <c r="AA3" i="4"/>
  <c r="S2" i="4"/>
  <c r="T2" i="4" s="1" a="1"/>
  <c r="T2" i="4" s="1"/>
  <c r="U2" i="4" a="1"/>
  <c r="U2" i="4" s="1"/>
  <c r="P26" i="4"/>
  <c r="P24" i="4"/>
  <c r="P6" i="4"/>
  <c r="P28" i="4"/>
  <c r="P9" i="4"/>
  <c r="P19" i="4"/>
  <c r="P11" i="4"/>
  <c r="P15" i="4"/>
  <c r="P39" i="4"/>
  <c r="P36" i="4"/>
  <c r="P37" i="4"/>
  <c r="P32" i="4"/>
  <c r="P38" i="4"/>
  <c r="P29" i="4"/>
  <c r="P10" i="4"/>
  <c r="P8" i="4"/>
  <c r="P20" i="4"/>
  <c r="P17" i="4"/>
  <c r="P40" i="4"/>
  <c r="P33" i="4"/>
  <c r="P35" i="4"/>
  <c r="P5" i="4"/>
  <c r="P12" i="4"/>
  <c r="P31" i="4"/>
  <c r="P4" i="4"/>
  <c r="P23" i="4"/>
  <c r="P16" i="4"/>
  <c r="P13" i="4"/>
  <c r="P21" i="4"/>
  <c r="P18" i="4"/>
  <c r="P3" i="4"/>
  <c r="P41" i="4"/>
  <c r="P34" i="4"/>
  <c r="P30" i="4"/>
  <c r="P14" i="4"/>
  <c r="P7" i="4"/>
  <c r="Q2" i="4" a="1"/>
  <c r="Q2" i="4" s="1"/>
  <c r="L2" i="4"/>
  <c r="M2" i="4"/>
  <c r="O2" i="4" s="1" a="1"/>
  <c r="O2" i="4" s="1"/>
  <c r="C5" i="8"/>
  <c r="F5" i="8" s="1"/>
  <c r="D5" i="8"/>
  <c r="G5" i="8" s="1"/>
  <c r="E5" i="8"/>
  <c r="H5" i="8" s="1"/>
  <c r="C99" i="8"/>
  <c r="F99" i="8" s="1"/>
  <c r="D99" i="8"/>
  <c r="G99" i="8" s="1"/>
  <c r="E99" i="8"/>
  <c r="H99" i="8" s="1"/>
  <c r="D102" i="8"/>
  <c r="G102" i="8" s="1"/>
  <c r="C102" i="8"/>
  <c r="F102" i="8" s="1"/>
  <c r="E102" i="8"/>
  <c r="H102" i="8" s="1"/>
  <c r="C69" i="8"/>
  <c r="F69" i="8" s="1"/>
  <c r="E69" i="8"/>
  <c r="H69" i="8" s="1"/>
  <c r="D69" i="8"/>
  <c r="G69" i="8" s="1"/>
  <c r="C62" i="8"/>
  <c r="F62" i="8" s="1"/>
  <c r="D62" i="8"/>
  <c r="G62" i="8" s="1"/>
  <c r="E62" i="8"/>
  <c r="H62" i="8" s="1"/>
  <c r="D98" i="8"/>
  <c r="G98" i="8" s="1"/>
  <c r="E98" i="8"/>
  <c r="H98" i="8" s="1"/>
  <c r="C98" i="8"/>
  <c r="F98" i="8" s="1"/>
  <c r="C14" i="8"/>
  <c r="F14" i="8" s="1"/>
  <c r="D14" i="8"/>
  <c r="G14" i="8" s="1"/>
  <c r="E14" i="8"/>
  <c r="H14" i="8" s="1"/>
  <c r="D66" i="8"/>
  <c r="G66" i="8" s="1"/>
  <c r="C66" i="8"/>
  <c r="F66" i="8" s="1"/>
  <c r="E66" i="8"/>
  <c r="H66" i="8" s="1"/>
  <c r="E87" i="8"/>
  <c r="H87" i="8" s="1"/>
  <c r="C87" i="8"/>
  <c r="F87" i="8" s="1"/>
  <c r="D87" i="8"/>
  <c r="G87" i="8" s="1"/>
  <c r="E63" i="8"/>
  <c r="H63" i="8" s="1"/>
  <c r="C63" i="8"/>
  <c r="F63" i="8" s="1"/>
  <c r="D63" i="8"/>
  <c r="G63" i="8" s="1"/>
  <c r="D89" i="8"/>
  <c r="G89" i="8" s="1"/>
  <c r="E89" i="8"/>
  <c r="H89" i="8" s="1"/>
  <c r="C89" i="8"/>
  <c r="F89" i="8" s="1"/>
  <c r="C65" i="8"/>
  <c r="F65" i="8" s="1"/>
  <c r="D65" i="8"/>
  <c r="G65" i="8" s="1"/>
  <c r="E65" i="8"/>
  <c r="H65" i="8" s="1"/>
  <c r="A2" i="8"/>
  <c r="C37" i="8"/>
  <c r="F37" i="8" s="1"/>
  <c r="D37" i="8"/>
  <c r="G37" i="8" s="1"/>
  <c r="E37" i="8"/>
  <c r="H37" i="8" s="1"/>
  <c r="C28" i="8"/>
  <c r="F28" i="8" s="1"/>
  <c r="D28" i="8"/>
  <c r="G28" i="8" s="1"/>
  <c r="E28" i="8"/>
  <c r="H28" i="8" s="1"/>
  <c r="D60" i="8"/>
  <c r="G60" i="8" s="1"/>
  <c r="E60" i="8"/>
  <c r="H60" i="8" s="1"/>
  <c r="C60" i="8"/>
  <c r="F60" i="8" s="1"/>
  <c r="G2" i="4"/>
  <c r="H2" i="4" s="1"/>
  <c r="F2" i="4" s="1"/>
  <c r="D18" i="8"/>
  <c r="G18" i="8" s="1"/>
  <c r="C18" i="8"/>
  <c r="F18" i="8" s="1"/>
  <c r="E18" i="8"/>
  <c r="H18" i="8" s="1"/>
  <c r="C34" i="8"/>
  <c r="F34" i="8" s="1"/>
  <c r="D34" i="8"/>
  <c r="G34" i="8" s="1"/>
  <c r="E34" i="8"/>
  <c r="H34" i="8" s="1"/>
  <c r="C40" i="8"/>
  <c r="F40" i="8" s="1"/>
  <c r="D40" i="8"/>
  <c r="G40" i="8" s="1"/>
  <c r="E40" i="8"/>
  <c r="H40" i="8" s="1"/>
  <c r="E39" i="8"/>
  <c r="H39" i="8" s="1"/>
  <c r="C39" i="8"/>
  <c r="F39" i="8" s="1"/>
  <c r="D39" i="8"/>
  <c r="G39" i="8" s="1"/>
  <c r="C20" i="8"/>
  <c r="F20" i="8" s="1"/>
  <c r="D20" i="8"/>
  <c r="G20" i="8" s="1"/>
  <c r="E20" i="8"/>
  <c r="H20" i="8" s="1"/>
  <c r="C52" i="8"/>
  <c r="F52" i="8" s="1"/>
  <c r="D52" i="8"/>
  <c r="G52" i="8" s="1"/>
  <c r="E52" i="8"/>
  <c r="H52" i="8" s="1"/>
  <c r="D54" i="8"/>
  <c r="G54" i="8" s="1"/>
  <c r="C54" i="8"/>
  <c r="F54" i="8" s="1"/>
  <c r="E54" i="8"/>
  <c r="H54" i="8" s="1"/>
  <c r="C32" i="8"/>
  <c r="F32" i="8" s="1"/>
  <c r="D32" i="8"/>
  <c r="G32" i="8" s="1"/>
  <c r="E32" i="8"/>
  <c r="H32" i="8" s="1"/>
  <c r="C9" i="8"/>
  <c r="F9" i="8" s="1"/>
  <c r="E9" i="8"/>
  <c r="H9" i="8" s="1"/>
  <c r="D9" i="8"/>
  <c r="G9" i="8" s="1"/>
  <c r="C21" i="8"/>
  <c r="F21" i="8" s="1"/>
  <c r="E21" i="8"/>
  <c r="H21" i="8" s="1"/>
  <c r="D21" i="8"/>
  <c r="G21" i="8" s="1"/>
  <c r="D82" i="8"/>
  <c r="G82" i="8" s="1"/>
  <c r="E82" i="8"/>
  <c r="H82" i="8" s="1"/>
  <c r="C82" i="8"/>
  <c r="F82" i="8" s="1"/>
  <c r="C31" i="8"/>
  <c r="F31" i="8" s="1"/>
  <c r="D31" i="8"/>
  <c r="G31" i="8" s="1"/>
  <c r="E31" i="8"/>
  <c r="H31" i="8" s="1"/>
  <c r="C80" i="8"/>
  <c r="F80" i="8" s="1"/>
  <c r="D80" i="8"/>
  <c r="G80" i="8" s="1"/>
  <c r="E80" i="8"/>
  <c r="H80" i="8" s="1"/>
  <c r="C25" i="8"/>
  <c r="F25" i="8" s="1"/>
  <c r="D25" i="8"/>
  <c r="G25" i="8" s="1"/>
  <c r="E25" i="8"/>
  <c r="H25" i="8" s="1"/>
  <c r="C22" i="8"/>
  <c r="F22" i="8" s="1"/>
  <c r="D22" i="8"/>
  <c r="G22" i="8" s="1"/>
  <c r="E22" i="8"/>
  <c r="H22" i="8" s="1"/>
  <c r="C33" i="8"/>
  <c r="F33" i="8" s="1"/>
  <c r="E33" i="8"/>
  <c r="H33" i="8" s="1"/>
  <c r="D33" i="8"/>
  <c r="G33" i="8" s="1"/>
  <c r="D92" i="8"/>
  <c r="G92" i="8" s="1"/>
  <c r="C92" i="8"/>
  <c r="F92" i="8" s="1"/>
  <c r="E92" i="8"/>
  <c r="H92" i="8" s="1"/>
  <c r="C45" i="8"/>
  <c r="F45" i="8" s="1"/>
  <c r="E45" i="8"/>
  <c r="H45" i="8" s="1"/>
  <c r="D45" i="8"/>
  <c r="G45" i="8" s="1"/>
  <c r="C47" i="8"/>
  <c r="F47" i="8" s="1"/>
  <c r="D47" i="8"/>
  <c r="G47" i="8" s="1"/>
  <c r="E47" i="8"/>
  <c r="H47" i="8" s="1"/>
  <c r="C29" i="8"/>
  <c r="F29" i="8" s="1"/>
  <c r="D29" i="8"/>
  <c r="G29" i="8" s="1"/>
  <c r="E29" i="8"/>
  <c r="H29" i="8" s="1"/>
  <c r="E3" i="8"/>
  <c r="H3" i="8" s="1"/>
  <c r="C3" i="8"/>
  <c r="F3" i="8" s="1"/>
  <c r="D3" i="8"/>
  <c r="G3" i="8" s="1"/>
  <c r="C70" i="8"/>
  <c r="F70" i="8" s="1"/>
  <c r="D70" i="8"/>
  <c r="G70" i="8" s="1"/>
  <c r="E70" i="8"/>
  <c r="H70" i="8" s="1"/>
  <c r="E74" i="8"/>
  <c r="H74" i="8" s="1"/>
  <c r="D74" i="8"/>
  <c r="G74" i="8" s="1"/>
  <c r="C74" i="8"/>
  <c r="F74" i="8" s="1"/>
  <c r="C91" i="8"/>
  <c r="F91" i="8" s="1"/>
  <c r="D91" i="8"/>
  <c r="G91" i="8" s="1"/>
  <c r="E91" i="8"/>
  <c r="H91" i="8" s="1"/>
  <c r="C67" i="8"/>
  <c r="F67" i="8" s="1"/>
  <c r="D67" i="8"/>
  <c r="G67" i="8" s="1"/>
  <c r="E67" i="8"/>
  <c r="H67" i="8" s="1"/>
  <c r="D88" i="8"/>
  <c r="G88" i="8" s="1"/>
  <c r="C88" i="8"/>
  <c r="F88" i="8" s="1"/>
  <c r="E88" i="8"/>
  <c r="H88" i="8" s="1"/>
  <c r="C56" i="8"/>
  <c r="F56" i="8" s="1"/>
  <c r="D56" i="8"/>
  <c r="G56" i="8" s="1"/>
  <c r="E56" i="8"/>
  <c r="H56" i="8" s="1"/>
  <c r="C95" i="8"/>
  <c r="F95" i="8" s="1"/>
  <c r="D95" i="8"/>
  <c r="G95" i="8" s="1"/>
  <c r="E95" i="8"/>
  <c r="H95" i="8" s="1"/>
  <c r="C64" i="8"/>
  <c r="F64" i="8" s="1"/>
  <c r="D64" i="8"/>
  <c r="G64" i="8" s="1"/>
  <c r="E64" i="8"/>
  <c r="H64" i="8" s="1"/>
  <c r="D24" i="8"/>
  <c r="G24" i="8" s="1"/>
  <c r="E24" i="8"/>
  <c r="H24" i="8" s="1"/>
  <c r="C24" i="8"/>
  <c r="F24" i="8" s="1"/>
  <c r="C84" i="8"/>
  <c r="F84" i="8" s="1"/>
  <c r="D84" i="8"/>
  <c r="G84" i="8" s="1"/>
  <c r="E84" i="8"/>
  <c r="H84" i="8" s="1"/>
  <c r="D30" i="8"/>
  <c r="G30" i="8" s="1"/>
  <c r="C30" i="8"/>
  <c r="F30" i="8" s="1"/>
  <c r="E30" i="8"/>
  <c r="H30" i="8" s="1"/>
  <c r="C44" i="8"/>
  <c r="F44" i="8" s="1"/>
  <c r="D44" i="8"/>
  <c r="G44" i="8" s="1"/>
  <c r="E44" i="8"/>
  <c r="H44" i="8" s="1"/>
  <c r="C26" i="8"/>
  <c r="F26" i="8" s="1"/>
  <c r="D26" i="8"/>
  <c r="G26" i="8" s="1"/>
  <c r="E26" i="8"/>
  <c r="H26" i="8" s="1"/>
  <c r="D96" i="8"/>
  <c r="G96" i="8" s="1"/>
  <c r="E96" i="8"/>
  <c r="H96" i="8" s="1"/>
  <c r="C96" i="8"/>
  <c r="F96" i="8" s="1"/>
  <c r="C46" i="8"/>
  <c r="F46" i="8" s="1"/>
  <c r="D46" i="8"/>
  <c r="G46" i="8" s="1"/>
  <c r="E46" i="8"/>
  <c r="H46" i="8" s="1"/>
  <c r="C17" i="8"/>
  <c r="F17" i="8" s="1"/>
  <c r="D17" i="8"/>
  <c r="G17" i="8" s="1"/>
  <c r="E17" i="8"/>
  <c r="H17" i="8" s="1"/>
  <c r="D72" i="8"/>
  <c r="G72" i="8" s="1"/>
  <c r="E72" i="8"/>
  <c r="H72" i="8" s="1"/>
  <c r="C72" i="8"/>
  <c r="F72" i="8" s="1"/>
  <c r="D48" i="8"/>
  <c r="G48" i="8" s="1"/>
  <c r="E48" i="8"/>
  <c r="H48" i="8" s="1"/>
  <c r="C48" i="8"/>
  <c r="F48" i="8" s="1"/>
  <c r="C11" i="8"/>
  <c r="F11" i="8" s="1"/>
  <c r="D11" i="8"/>
  <c r="G11" i="8" s="1"/>
  <c r="E11" i="8"/>
  <c r="H11" i="8" s="1"/>
  <c r="C76" i="8"/>
  <c r="F76" i="8" s="1"/>
  <c r="D76" i="8"/>
  <c r="G76" i="8" s="1"/>
  <c r="E76" i="8"/>
  <c r="H76" i="8" s="1"/>
  <c r="C16" i="8"/>
  <c r="F16" i="8" s="1"/>
  <c r="D16" i="8"/>
  <c r="G16" i="8" s="1"/>
  <c r="E16" i="8"/>
  <c r="H16" i="8" s="1"/>
  <c r="C41" i="8"/>
  <c r="F41" i="8" s="1"/>
  <c r="D41" i="8"/>
  <c r="G41" i="8" s="1"/>
  <c r="E41" i="8"/>
  <c r="H41" i="8" s="1"/>
  <c r="C23" i="8"/>
  <c r="F23" i="8" s="1"/>
  <c r="D23" i="8"/>
  <c r="G23" i="8" s="1"/>
  <c r="E23" i="8"/>
  <c r="H23" i="8" s="1"/>
  <c r="D42" i="8"/>
  <c r="G42" i="8" s="1"/>
  <c r="C42" i="8"/>
  <c r="F42" i="8" s="1"/>
  <c r="E42" i="8"/>
  <c r="H42" i="8" s="1"/>
  <c r="C8" i="8"/>
  <c r="F8" i="8" s="1"/>
  <c r="D8" i="8"/>
  <c r="G8" i="8" s="1"/>
  <c r="E8" i="8"/>
  <c r="H8" i="8" s="1"/>
  <c r="C58" i="8"/>
  <c r="F58" i="8" s="1"/>
  <c r="D58" i="8"/>
  <c r="G58" i="8" s="1"/>
  <c r="E58" i="8"/>
  <c r="H58" i="8" s="1"/>
  <c r="D83" i="8"/>
  <c r="G83" i="8" s="1"/>
  <c r="C83" i="8"/>
  <c r="F83" i="8" s="1"/>
  <c r="E83" i="8"/>
  <c r="H83" i="8" s="1"/>
  <c r="C59" i="8"/>
  <c r="F59" i="8" s="1"/>
  <c r="D59" i="8"/>
  <c r="G59" i="8" s="1"/>
  <c r="E59" i="8"/>
  <c r="H59" i="8" s="1"/>
  <c r="C13" i="8"/>
  <c r="F13" i="8" s="1"/>
  <c r="D13" i="8"/>
  <c r="G13" i="8" s="1"/>
  <c r="E13" i="8"/>
  <c r="H13" i="8" s="1"/>
  <c r="D85" i="8"/>
  <c r="G85" i="8" s="1"/>
  <c r="E85" i="8"/>
  <c r="H85" i="8" s="1"/>
  <c r="C85" i="8"/>
  <c r="F85" i="8" s="1"/>
  <c r="C61" i="8"/>
  <c r="F61" i="8" s="1"/>
  <c r="D61" i="8"/>
  <c r="G61" i="8" s="1"/>
  <c r="E61" i="8"/>
  <c r="H61" i="8" s="1"/>
  <c r="C101" i="8"/>
  <c r="F101" i="8" s="1"/>
  <c r="D101" i="8"/>
  <c r="G101" i="8" s="1"/>
  <c r="E101" i="8"/>
  <c r="H101" i="8" s="1"/>
  <c r="D12" i="8"/>
  <c r="G12" i="8" s="1"/>
  <c r="E12" i="8"/>
  <c r="H12" i="8" s="1"/>
  <c r="C12" i="8"/>
  <c r="F12" i="8" s="1"/>
  <c r="D6" i="8"/>
  <c r="G6" i="8" s="1"/>
  <c r="C6" i="8"/>
  <c r="F6" i="8" s="1"/>
  <c r="E6" i="8"/>
  <c r="H6" i="8" s="1"/>
  <c r="D86" i="8"/>
  <c r="G86" i="8" s="1"/>
  <c r="E86" i="8"/>
  <c r="H86" i="8" s="1"/>
  <c r="C86" i="8"/>
  <c r="F86" i="8" s="1"/>
  <c r="C68" i="8"/>
  <c r="F68" i="8" s="1"/>
  <c r="D68" i="8"/>
  <c r="G68" i="8" s="1"/>
  <c r="E68" i="8"/>
  <c r="H68" i="8" s="1"/>
  <c r="C93" i="8"/>
  <c r="F93" i="8" s="1"/>
  <c r="D93" i="8"/>
  <c r="G93" i="8" s="1"/>
  <c r="E93" i="8"/>
  <c r="H93" i="8" s="1"/>
  <c r="C38" i="8"/>
  <c r="F38" i="8" s="1"/>
  <c r="D38" i="8"/>
  <c r="G38" i="8" s="1"/>
  <c r="E38" i="8"/>
  <c r="H38" i="8" s="1"/>
  <c r="C19" i="8"/>
  <c r="F19" i="8" s="1"/>
  <c r="D19" i="8"/>
  <c r="G19" i="8" s="1"/>
  <c r="E19" i="8"/>
  <c r="H19" i="8" s="1"/>
  <c r="D36" i="8"/>
  <c r="G36" i="8" s="1"/>
  <c r="E36" i="8"/>
  <c r="H36" i="8" s="1"/>
  <c r="C36" i="8"/>
  <c r="F36" i="8" s="1"/>
  <c r="D97" i="8"/>
  <c r="G97" i="8" s="1"/>
  <c r="E97" i="8"/>
  <c r="H97" i="8" s="1"/>
  <c r="C97" i="8"/>
  <c r="F97" i="8" s="1"/>
  <c r="C50" i="8"/>
  <c r="F50" i="8" s="1"/>
  <c r="D50" i="8"/>
  <c r="G50" i="8" s="1"/>
  <c r="E50" i="8"/>
  <c r="H50" i="8" s="1"/>
  <c r="C79" i="8"/>
  <c r="F79" i="8" s="1"/>
  <c r="D79" i="8"/>
  <c r="G79" i="8" s="1"/>
  <c r="E79" i="8"/>
  <c r="H79" i="8" s="1"/>
  <c r="C55" i="8"/>
  <c r="F55" i="8" s="1"/>
  <c r="D55" i="8"/>
  <c r="G55" i="8" s="1"/>
  <c r="E55" i="8"/>
  <c r="H55" i="8" s="1"/>
  <c r="C10" i="8"/>
  <c r="F10" i="8" s="1"/>
  <c r="D10" i="8"/>
  <c r="G10" i="8" s="1"/>
  <c r="E10" i="8"/>
  <c r="H10" i="8" s="1"/>
  <c r="D81" i="8"/>
  <c r="G81" i="8" s="1"/>
  <c r="C81" i="8"/>
  <c r="F81" i="8" s="1"/>
  <c r="E81" i="8"/>
  <c r="H81" i="8" s="1"/>
  <c r="C57" i="8"/>
  <c r="F57" i="8" s="1"/>
  <c r="E57" i="8"/>
  <c r="H57" i="8" s="1"/>
  <c r="D57" i="8"/>
  <c r="G57" i="8" s="1"/>
  <c r="D94" i="8"/>
  <c r="G94" i="8" s="1"/>
  <c r="E94" i="8"/>
  <c r="H94" i="8" s="1"/>
  <c r="C94" i="8"/>
  <c r="F94" i="8" s="1"/>
  <c r="E78" i="8"/>
  <c r="H78" i="8" s="1"/>
  <c r="C78" i="8"/>
  <c r="F78" i="8" s="1"/>
  <c r="D78" i="8"/>
  <c r="G78" i="8" s="1"/>
  <c r="C35" i="8"/>
  <c r="F35" i="8" s="1"/>
  <c r="D35" i="8"/>
  <c r="G35" i="8" s="1"/>
  <c r="E35" i="8"/>
  <c r="H35" i="8" s="1"/>
  <c r="E15" i="8"/>
  <c r="H15" i="8" s="1"/>
  <c r="C15" i="8"/>
  <c r="F15" i="8" s="1"/>
  <c r="D15" i="8"/>
  <c r="G15" i="8" s="1"/>
  <c r="E27" i="8"/>
  <c r="H27" i="8" s="1"/>
  <c r="C27" i="8"/>
  <c r="F27" i="8" s="1"/>
  <c r="D27" i="8"/>
  <c r="G27" i="8" s="1"/>
  <c r="D90" i="8"/>
  <c r="G90" i="8" s="1"/>
  <c r="E90" i="8"/>
  <c r="H90" i="8" s="1"/>
  <c r="C90" i="8"/>
  <c r="F90" i="8" s="1"/>
  <c r="D104" i="8"/>
  <c r="G104" i="8" s="1"/>
  <c r="E104" i="8"/>
  <c r="H104" i="8" s="1"/>
  <c r="C104" i="8"/>
  <c r="F104" i="8" s="1"/>
  <c r="C75" i="8"/>
  <c r="F75" i="8" s="1"/>
  <c r="D75" i="8"/>
  <c r="G75" i="8" s="1"/>
  <c r="E75" i="8"/>
  <c r="H75" i="8" s="1"/>
  <c r="E51" i="8"/>
  <c r="H51" i="8" s="1"/>
  <c r="C51" i="8"/>
  <c r="F51" i="8" s="1"/>
  <c r="D51" i="8"/>
  <c r="G51" i="8" s="1"/>
  <c r="C7" i="8"/>
  <c r="F7" i="8" s="1"/>
  <c r="D7" i="8"/>
  <c r="G7" i="8" s="1"/>
  <c r="E7" i="8"/>
  <c r="H7" i="8" s="1"/>
  <c r="C77" i="8"/>
  <c r="F77" i="8" s="1"/>
  <c r="D77" i="8"/>
  <c r="G77" i="8" s="1"/>
  <c r="E77" i="8"/>
  <c r="H77" i="8" s="1"/>
  <c r="C53" i="8"/>
  <c r="F53" i="8" s="1"/>
  <c r="D53" i="8"/>
  <c r="G53" i="8" s="1"/>
  <c r="E53" i="8"/>
  <c r="H53" i="8" s="1"/>
  <c r="C43" i="8"/>
  <c r="F43" i="8" s="1"/>
  <c r="D43" i="8"/>
  <c r="G43" i="8" s="1"/>
  <c r="E43" i="8"/>
  <c r="H43" i="8" s="1"/>
  <c r="D100" i="8"/>
  <c r="G100" i="8" s="1"/>
  <c r="C100" i="8"/>
  <c r="F100" i="8" s="1"/>
  <c r="E100" i="8"/>
  <c r="H100" i="8" s="1"/>
  <c r="C71" i="8"/>
  <c r="F71" i="8" s="1"/>
  <c r="D71" i="8"/>
  <c r="G71" i="8" s="1"/>
  <c r="E71" i="8"/>
  <c r="H71" i="8" s="1"/>
  <c r="D103" i="8"/>
  <c r="G103" i="8" s="1"/>
  <c r="C103" i="8"/>
  <c r="F103" i="8" s="1"/>
  <c r="E103" i="8"/>
  <c r="H103" i="8" s="1"/>
  <c r="C4" i="8"/>
  <c r="F4" i="8" s="1"/>
  <c r="D4" i="8"/>
  <c r="G4" i="8" s="1"/>
  <c r="E4" i="8"/>
  <c r="H4" i="8" s="1"/>
  <c r="C73" i="8"/>
  <c r="F73" i="8" s="1"/>
  <c r="D73" i="8"/>
  <c r="G73" i="8" s="1"/>
  <c r="E73" i="8"/>
  <c r="H73" i="8" s="1"/>
  <c r="C49" i="8"/>
  <c r="F49" i="8" s="1"/>
  <c r="D49" i="8"/>
  <c r="G49" i="8" s="1"/>
  <c r="E49" i="8"/>
  <c r="H49" i="8" s="1"/>
  <c r="C2" i="4"/>
  <c r="D2" i="4" s="1"/>
  <c r="A2" i="4"/>
  <c r="N2" i="4"/>
  <c r="D3" i="1" l="1" a="1"/>
  <c r="D3" i="1" s="1"/>
  <c r="I3" i="14" s="1"/>
  <c r="O3" i="1"/>
  <c r="M3" i="14" s="1"/>
  <c r="G4" i="1" a="1"/>
  <c r="G4" i="1" s="1"/>
  <c r="M4" i="1" a="1"/>
  <c r="M4" i="1" s="1"/>
  <c r="D5" i="1" a="1"/>
  <c r="D5" i="1" s="1"/>
  <c r="I5" i="14" s="1"/>
  <c r="G5" i="1" a="1"/>
  <c r="G5" i="1" s="1"/>
  <c r="J5" i="1" a="1"/>
  <c r="J5" i="1" s="1"/>
  <c r="M5" i="1" a="1"/>
  <c r="M5" i="1" s="1"/>
  <c r="Q5" i="1" a="1"/>
  <c r="Q5" i="1" s="1"/>
  <c r="S5" i="14" s="1"/>
  <c r="C6" i="1" a="1"/>
  <c r="C6" i="1" s="1"/>
  <c r="E6" i="14" s="1"/>
  <c r="J6" i="1" a="1"/>
  <c r="J6" i="1" s="1"/>
  <c r="L6" i="1" a="1"/>
  <c r="L6" i="1" s="1"/>
  <c r="F7" i="1" a="1"/>
  <c r="F7" i="1" s="1"/>
  <c r="R7" i="14" s="1"/>
  <c r="H7" i="1" a="1"/>
  <c r="H7" i="1" s="1"/>
  <c r="J7" i="14" s="1"/>
  <c r="K7" i="1" a="1"/>
  <c r="K7" i="1" s="1"/>
  <c r="P7" i="1" a="1"/>
  <c r="P7" i="1" s="1"/>
  <c r="D8" i="1" a="1"/>
  <c r="D8" i="1" s="1"/>
  <c r="I8" i="14" s="1"/>
  <c r="H8" i="1" a="1"/>
  <c r="H8" i="1" s="1"/>
  <c r="J8" i="14" s="1"/>
  <c r="M8" i="1" a="1"/>
  <c r="M8" i="1" s="1"/>
  <c r="Q8" i="1" a="1"/>
  <c r="Q8" i="1" s="1"/>
  <c r="S8" i="14" s="1"/>
  <c r="D9" i="1" a="1"/>
  <c r="D9" i="1" s="1"/>
  <c r="I9" i="14" s="1"/>
  <c r="G9" i="1" a="1"/>
  <c r="G9" i="1" s="1"/>
  <c r="J9" i="1" a="1"/>
  <c r="J9" i="1" s="1"/>
  <c r="Q9" i="1" a="1"/>
  <c r="Q9" i="1" s="1"/>
  <c r="S9" i="14" s="1"/>
  <c r="D10" i="1" a="1"/>
  <c r="D10" i="1" s="1"/>
  <c r="I10" i="14" s="1"/>
  <c r="G10" i="1" a="1"/>
  <c r="G10" i="1" s="1"/>
  <c r="K10" i="1" a="1"/>
  <c r="K10" i="1" s="1"/>
  <c r="H11" i="1" a="1"/>
  <c r="H11" i="1" s="1"/>
  <c r="J11" i="14" s="1"/>
  <c r="K11" i="1" a="1"/>
  <c r="K11" i="1" s="1"/>
  <c r="P11" i="1" a="1"/>
  <c r="P11" i="1" s="1"/>
  <c r="H12" i="1" a="1"/>
  <c r="H12" i="1" s="1"/>
  <c r="J12" i="14" s="1"/>
  <c r="K12" i="1" a="1"/>
  <c r="K12" i="1" s="1"/>
  <c r="O12" i="1"/>
  <c r="M12" i="14" s="1"/>
  <c r="F13" i="1" a="1"/>
  <c r="F13" i="1" s="1"/>
  <c r="R13" i="14" s="1"/>
  <c r="J13" i="1" a="1"/>
  <c r="J13" i="1" s="1"/>
  <c r="O13" i="1"/>
  <c r="M13" i="14" s="1"/>
  <c r="F14" i="1" a="1"/>
  <c r="F14" i="1" s="1"/>
  <c r="R14" i="14" s="1"/>
  <c r="D15" i="1" a="1"/>
  <c r="D15" i="1" s="1"/>
  <c r="I15" i="14" s="1"/>
  <c r="K15" i="1" a="1"/>
  <c r="K15" i="1" s="1"/>
  <c r="P15" i="1" a="1"/>
  <c r="P15" i="1" s="1"/>
  <c r="C16" i="1" a="1"/>
  <c r="C16" i="1" s="1"/>
  <c r="E16" i="14" s="1"/>
  <c r="G16" i="1" a="1"/>
  <c r="G16" i="1" s="1"/>
  <c r="J16" i="1" a="1"/>
  <c r="J16" i="1" s="1"/>
  <c r="M16" i="1" a="1"/>
  <c r="M16" i="1" s="1"/>
  <c r="Q16" i="1" a="1"/>
  <c r="Q16" i="1" s="1"/>
  <c r="S16" i="14" s="1"/>
  <c r="D17" i="1" a="1"/>
  <c r="D17" i="1" s="1"/>
  <c r="I17" i="14" s="1"/>
  <c r="G17" i="1" a="1"/>
  <c r="G17" i="1" s="1"/>
  <c r="J17" i="1" a="1"/>
  <c r="J17" i="1" s="1"/>
  <c r="M18" i="1" a="1"/>
  <c r="M18" i="1" s="1"/>
  <c r="Q18" i="1" a="1"/>
  <c r="Q18" i="1" s="1"/>
  <c r="S18" i="14" s="1"/>
  <c r="D19" i="1" a="1"/>
  <c r="D19" i="1" s="1"/>
  <c r="I19" i="14" s="1"/>
  <c r="O19" i="1"/>
  <c r="M19" i="14" s="1"/>
  <c r="F20" i="1" a="1"/>
  <c r="F20" i="1" s="1"/>
  <c r="R20" i="14" s="1"/>
  <c r="J20" i="1" a="1"/>
  <c r="J20" i="1" s="1"/>
  <c r="Q20" i="1" a="1"/>
  <c r="Q20" i="1" s="1"/>
  <c r="S20" i="14" s="1"/>
  <c r="D21" i="1" a="1"/>
  <c r="D21" i="1" s="1"/>
  <c r="I21" i="14" s="1"/>
  <c r="G21" i="1" a="1"/>
  <c r="G21" i="1" s="1"/>
  <c r="J21" i="1" a="1"/>
  <c r="J21" i="1" s="1"/>
  <c r="M21" i="1" a="1"/>
  <c r="M21" i="1" s="1"/>
  <c r="M22" i="1" a="1"/>
  <c r="M22" i="1" s="1"/>
  <c r="H23" i="1" a="1"/>
  <c r="H23" i="1" s="1"/>
  <c r="J23" i="14" s="1"/>
  <c r="H3" i="1" a="1"/>
  <c r="H3" i="1" s="1"/>
  <c r="J3" i="14" s="1"/>
  <c r="K3" i="1" a="1"/>
  <c r="K3" i="1" s="1"/>
  <c r="P3" i="1" a="1"/>
  <c r="P3" i="1" s="1"/>
  <c r="D4" i="1" a="1"/>
  <c r="D4" i="1" s="1"/>
  <c r="I4" i="14" s="1"/>
  <c r="H4" i="1" a="1"/>
  <c r="H4" i="1" s="1"/>
  <c r="J4" i="14" s="1"/>
  <c r="K4" i="1" a="1"/>
  <c r="K4" i="1" s="1"/>
  <c r="O4" i="1"/>
  <c r="M4" i="14" s="1"/>
  <c r="F3" i="1" a="1"/>
  <c r="F3" i="1" s="1"/>
  <c r="R3" i="14" s="1"/>
  <c r="L3" i="1" a="1"/>
  <c r="L3" i="1" s="1"/>
  <c r="L4" i="1" a="1"/>
  <c r="L4" i="1" s="1"/>
  <c r="P4" i="1" a="1"/>
  <c r="P4" i="1" s="1"/>
  <c r="F5" i="1" a="1"/>
  <c r="F5" i="1" s="1"/>
  <c r="R5" i="14" s="1"/>
  <c r="K5" i="1" a="1"/>
  <c r="K5" i="1" s="1"/>
  <c r="P5" i="1" a="1"/>
  <c r="P5" i="1" s="1"/>
  <c r="H6" i="1" a="1"/>
  <c r="H6" i="1" s="1"/>
  <c r="J6" i="14" s="1"/>
  <c r="K6" i="1" a="1"/>
  <c r="K6" i="1" s="1"/>
  <c r="O6" i="1"/>
  <c r="M6" i="14" s="1"/>
  <c r="D7" i="1" a="1"/>
  <c r="D7" i="1" s="1"/>
  <c r="I7" i="14" s="1"/>
  <c r="G7" i="1" a="1"/>
  <c r="G7" i="1" s="1"/>
  <c r="J7" i="1" a="1"/>
  <c r="J7" i="1" s="1"/>
  <c r="M7" i="1" a="1"/>
  <c r="M7" i="1" s="1"/>
  <c r="Q7" i="1" a="1"/>
  <c r="Q7" i="1" s="1"/>
  <c r="S7" i="14" s="1"/>
  <c r="C8" i="1" a="1"/>
  <c r="C8" i="1" s="1"/>
  <c r="E8" i="14" s="1"/>
  <c r="F8" i="1" a="1"/>
  <c r="F8" i="1" s="1"/>
  <c r="R8" i="14" s="1"/>
  <c r="L8" i="1" a="1"/>
  <c r="L8" i="1" s="1"/>
  <c r="P8" i="1" a="1"/>
  <c r="P8" i="1" s="1"/>
  <c r="F9" i="1" a="1"/>
  <c r="F9" i="1" s="1"/>
  <c r="R9" i="14" s="1"/>
  <c r="L9" i="1" a="1"/>
  <c r="L9" i="1" s="1"/>
  <c r="P9" i="1" a="1"/>
  <c r="P9" i="1" s="1"/>
  <c r="L10" i="1" a="1"/>
  <c r="L10" i="1" s="1"/>
  <c r="P10" i="1" a="1"/>
  <c r="P10" i="1" s="1"/>
  <c r="C11" i="1" a="1"/>
  <c r="C11" i="1" s="1"/>
  <c r="E11" i="14" s="1"/>
  <c r="G11" i="1" a="1"/>
  <c r="G11" i="1" s="1"/>
  <c r="J11" i="1" a="1"/>
  <c r="J11" i="1" s="1"/>
  <c r="M11" i="1" a="1"/>
  <c r="M11" i="1" s="1"/>
  <c r="J12" i="1" a="1"/>
  <c r="J12" i="1" s="1"/>
  <c r="Q12" i="1" a="1"/>
  <c r="Q12" i="1" s="1"/>
  <c r="S12" i="14" s="1"/>
  <c r="D13" i="1" a="1"/>
  <c r="D13" i="1" s="1"/>
  <c r="I13" i="14" s="1"/>
  <c r="H13" i="1" a="1"/>
  <c r="H13" i="1" s="1"/>
  <c r="J13" i="14" s="1"/>
  <c r="L13" i="1" a="1"/>
  <c r="L13" i="1" s="1"/>
  <c r="P14" i="1" a="1"/>
  <c r="P14" i="1" s="1"/>
  <c r="F15" i="1" a="1"/>
  <c r="F15" i="1" s="1"/>
  <c r="R15" i="14" s="1"/>
  <c r="M15" i="1" a="1"/>
  <c r="M15" i="1" s="1"/>
  <c r="L16" i="1" a="1"/>
  <c r="L16" i="1" s="1"/>
  <c r="P16" i="1" a="1"/>
  <c r="P16" i="1" s="1"/>
  <c r="L17" i="1" a="1"/>
  <c r="L17" i="1" s="1"/>
  <c r="P17" i="1" a="1"/>
  <c r="P17" i="1" s="1"/>
  <c r="C18" i="1" a="1"/>
  <c r="C18" i="1" s="1"/>
  <c r="E18" i="14" s="1"/>
  <c r="G18" i="1" a="1"/>
  <c r="G18" i="1" s="1"/>
  <c r="K18" i="1" a="1"/>
  <c r="K18" i="1" s="1"/>
  <c r="O18" i="1"/>
  <c r="M18" i="14" s="1"/>
  <c r="F19" i="1" a="1"/>
  <c r="F19" i="1" s="1"/>
  <c r="R19" i="14" s="1"/>
  <c r="L19" i="1" a="1"/>
  <c r="L19" i="1" s="1"/>
  <c r="Q19" i="1" a="1"/>
  <c r="Q19" i="1" s="1"/>
  <c r="S19" i="14" s="1"/>
  <c r="D20" i="1" a="1"/>
  <c r="D20" i="1" s="1"/>
  <c r="I20" i="14" s="1"/>
  <c r="H20" i="1" a="1"/>
  <c r="H20" i="1" s="1"/>
  <c r="J20" i="14" s="1"/>
  <c r="K20" i="1" a="1"/>
  <c r="K20" i="1" s="1"/>
  <c r="O20" i="1"/>
  <c r="M20" i="14" s="1"/>
  <c r="F21" i="1" a="1"/>
  <c r="F21" i="1" s="1"/>
  <c r="R21" i="14" s="1"/>
  <c r="P21" i="1" a="1"/>
  <c r="P21" i="1" s="1"/>
  <c r="C22" i="1" a="1"/>
  <c r="C22" i="1" s="1"/>
  <c r="E22" i="14" s="1"/>
  <c r="F22" i="1" a="1"/>
  <c r="F22" i="1" s="1"/>
  <c r="R22" i="14" s="1"/>
  <c r="L22" i="1" a="1"/>
  <c r="L22" i="1" s="1"/>
  <c r="P22" i="1" a="1"/>
  <c r="P22" i="1" s="1"/>
  <c r="C23" i="1" a="1"/>
  <c r="C23" i="1" s="1"/>
  <c r="E23" i="14" s="1"/>
  <c r="G23" i="1" a="1"/>
  <c r="G23" i="1" s="1"/>
  <c r="J23" i="1" a="1"/>
  <c r="J23" i="1" s="1"/>
  <c r="M23" i="1" a="1"/>
  <c r="M23" i="1" s="1"/>
  <c r="Q23" i="1" a="1"/>
  <c r="Q23" i="1" s="1"/>
  <c r="S23" i="14" s="1"/>
  <c r="D24" i="1" a="1"/>
  <c r="D24" i="1" s="1"/>
  <c r="I24" i="14" s="1"/>
  <c r="H24" i="1" a="1"/>
  <c r="H24" i="1" s="1"/>
  <c r="J24" i="14" s="1"/>
  <c r="K24" i="1" a="1"/>
  <c r="K24" i="1" s="1"/>
  <c r="P24" i="1" a="1"/>
  <c r="P24" i="1" s="1"/>
  <c r="C25" i="1" a="1"/>
  <c r="C25" i="1" s="1"/>
  <c r="E25" i="14" s="1"/>
  <c r="G25" i="1" a="1"/>
  <c r="G25" i="1" s="1"/>
  <c r="C3" i="1" a="1"/>
  <c r="C3" i="1" s="1"/>
  <c r="E3" i="14" s="1"/>
  <c r="G3" i="1" a="1"/>
  <c r="G3" i="1" s="1"/>
  <c r="J3" i="1" a="1"/>
  <c r="J3" i="1" s="1"/>
  <c r="M3" i="1" a="1"/>
  <c r="M3" i="1" s="1"/>
  <c r="Q3" i="1" a="1"/>
  <c r="Q3" i="1" s="1"/>
  <c r="S3" i="14" s="1"/>
  <c r="C4" i="1" a="1"/>
  <c r="C4" i="1" s="1"/>
  <c r="E4" i="14" s="1"/>
  <c r="F4" i="1" a="1"/>
  <c r="F4" i="1" s="1"/>
  <c r="R4" i="14" s="1"/>
  <c r="J4" i="1" a="1"/>
  <c r="J4" i="1" s="1"/>
  <c r="Q4" i="1" a="1"/>
  <c r="Q4" i="1" s="1"/>
  <c r="S4" i="14" s="1"/>
  <c r="C5" i="1" a="1"/>
  <c r="C5" i="1" s="1"/>
  <c r="E5" i="14" s="1"/>
  <c r="L5" i="1" a="1"/>
  <c r="L5" i="1" s="1"/>
  <c r="F6" i="1" a="1"/>
  <c r="F6" i="1" s="1"/>
  <c r="R6" i="14" s="1"/>
  <c r="P6" i="1" a="1"/>
  <c r="P6" i="1" s="1"/>
  <c r="O7" i="1"/>
  <c r="M7" i="14" s="1"/>
  <c r="G8" i="1" a="1"/>
  <c r="G8" i="1" s="1"/>
  <c r="J8" i="1" a="1"/>
  <c r="J8" i="1" s="1"/>
  <c r="C9" i="1" a="1"/>
  <c r="C9" i="1" s="1"/>
  <c r="E9" i="14" s="1"/>
  <c r="M9" i="1" a="1"/>
  <c r="M9" i="1" s="1"/>
  <c r="C10" i="1" a="1"/>
  <c r="C10" i="1" s="1"/>
  <c r="E10" i="14" s="1"/>
  <c r="F10" i="1" a="1"/>
  <c r="F10" i="1" s="1"/>
  <c r="R10" i="14" s="1"/>
  <c r="J10" i="1" a="1"/>
  <c r="J10" i="1" s="1"/>
  <c r="M10" i="1" a="1"/>
  <c r="M10" i="1" s="1"/>
  <c r="Q10" i="1" a="1"/>
  <c r="Q10" i="1" s="1"/>
  <c r="S10" i="14" s="1"/>
  <c r="D11" i="1" a="1"/>
  <c r="D11" i="1" s="1"/>
  <c r="I11" i="14" s="1"/>
  <c r="O11" i="1"/>
  <c r="M11" i="14" s="1"/>
  <c r="D12" i="1" a="1"/>
  <c r="D12" i="1" s="1"/>
  <c r="I12" i="14" s="1"/>
  <c r="G12" i="1" a="1"/>
  <c r="G12" i="1" s="1"/>
  <c r="M12" i="1" a="1"/>
  <c r="M12" i="1" s="1"/>
  <c r="M13" i="1" a="1"/>
  <c r="M13" i="1" s="1"/>
  <c r="Q13" i="1" a="1"/>
  <c r="Q13" i="1" s="1"/>
  <c r="S13" i="14" s="1"/>
  <c r="C14" i="1" a="1"/>
  <c r="C14" i="1" s="1"/>
  <c r="E14" i="14" s="1"/>
  <c r="H14" i="1" a="1"/>
  <c r="H14" i="1" s="1"/>
  <c r="J14" i="14" s="1"/>
  <c r="K14" i="1" a="1"/>
  <c r="K14" i="1" s="1"/>
  <c r="M14" i="1" a="1"/>
  <c r="M14" i="1" s="1"/>
  <c r="Q14" i="1" a="1"/>
  <c r="Q14" i="1" s="1"/>
  <c r="S14" i="14" s="1"/>
  <c r="C15" i="1" a="1"/>
  <c r="C15" i="1" s="1"/>
  <c r="E15" i="14" s="1"/>
  <c r="G15" i="1" a="1"/>
  <c r="G15" i="1" s="1"/>
  <c r="J15" i="1" a="1"/>
  <c r="J15" i="1" s="1"/>
  <c r="O15" i="1"/>
  <c r="M15" i="14" s="1"/>
  <c r="F16" i="1" a="1"/>
  <c r="F16" i="1" s="1"/>
  <c r="R16" i="14" s="1"/>
  <c r="C17" i="1" a="1"/>
  <c r="C17" i="1" s="1"/>
  <c r="E17" i="14" s="1"/>
  <c r="F17" i="1" a="1"/>
  <c r="F17" i="1" s="1"/>
  <c r="R17" i="14" s="1"/>
  <c r="M17" i="1" a="1"/>
  <c r="M17" i="1" s="1"/>
  <c r="Q17" i="1" a="1"/>
  <c r="Q17" i="1" s="1"/>
  <c r="S17" i="14" s="1"/>
  <c r="D18" i="1" a="1"/>
  <c r="D18" i="1" s="1"/>
  <c r="I18" i="14" s="1"/>
  <c r="H18" i="1" a="1"/>
  <c r="H18" i="1" s="1"/>
  <c r="J18" i="14" s="1"/>
  <c r="L18" i="1" a="1"/>
  <c r="L18" i="1" s="1"/>
  <c r="P18" i="1" a="1"/>
  <c r="P18" i="1" s="1"/>
  <c r="H5" i="1" a="1"/>
  <c r="H5" i="1" s="1"/>
  <c r="J5" i="14" s="1"/>
  <c r="M6" i="1" a="1"/>
  <c r="M6" i="1" s="1"/>
  <c r="C7" i="1" a="1"/>
  <c r="C7" i="1" s="1"/>
  <c r="E7" i="14" s="1"/>
  <c r="L7" i="1" a="1"/>
  <c r="L7" i="1" s="1"/>
  <c r="O8" i="1"/>
  <c r="M8" i="14" s="1"/>
  <c r="H9" i="1" a="1"/>
  <c r="H9" i="1" s="1"/>
  <c r="J9" i="14" s="1"/>
  <c r="H10" i="1" a="1"/>
  <c r="H10" i="1" s="1"/>
  <c r="J10" i="14" s="1"/>
  <c r="J18" i="1" a="1"/>
  <c r="J18" i="1" s="1"/>
  <c r="C19" i="1" a="1"/>
  <c r="C19" i="1" s="1"/>
  <c r="E19" i="14" s="1"/>
  <c r="P19" i="1" a="1"/>
  <c r="P19" i="1" s="1"/>
  <c r="L20" i="1" a="1"/>
  <c r="L20" i="1" s="1"/>
  <c r="H21" i="1" a="1"/>
  <c r="H21" i="1" s="1"/>
  <c r="J21" i="14" s="1"/>
  <c r="O21" i="1"/>
  <c r="M21" i="14" s="1"/>
  <c r="D22" i="1" a="1"/>
  <c r="D22" i="1" s="1"/>
  <c r="I22" i="14" s="1"/>
  <c r="O22" i="1"/>
  <c r="M22" i="14" s="1"/>
  <c r="D23" i="1" a="1"/>
  <c r="D23" i="1" s="1"/>
  <c r="I23" i="14" s="1"/>
  <c r="O23" i="1"/>
  <c r="M23" i="14" s="1"/>
  <c r="G24" i="1" a="1"/>
  <c r="G24" i="1" s="1"/>
  <c r="L24" i="1" a="1"/>
  <c r="L24" i="1" s="1"/>
  <c r="F25" i="1" a="1"/>
  <c r="F25" i="1" s="1"/>
  <c r="R25" i="14" s="1"/>
  <c r="K25" i="1" a="1"/>
  <c r="K25" i="1" s="1"/>
  <c r="O25" i="1"/>
  <c r="M25" i="14" s="1"/>
  <c r="M26" i="1" a="1"/>
  <c r="M26" i="1" s="1"/>
  <c r="Q26" i="1" a="1"/>
  <c r="Q26" i="1" s="1"/>
  <c r="S26" i="14" s="1"/>
  <c r="D27" i="1" a="1"/>
  <c r="D27" i="1" s="1"/>
  <c r="I27" i="14" s="1"/>
  <c r="H27" i="1" a="1"/>
  <c r="H27" i="1" s="1"/>
  <c r="J27" i="14" s="1"/>
  <c r="L27" i="1" a="1"/>
  <c r="L27" i="1" s="1"/>
  <c r="Q27" i="1" a="1"/>
  <c r="Q27" i="1" s="1"/>
  <c r="S27" i="14" s="1"/>
  <c r="D28" i="1" a="1"/>
  <c r="D28" i="1" s="1"/>
  <c r="I28" i="14" s="1"/>
  <c r="H28" i="1" a="1"/>
  <c r="H28" i="1" s="1"/>
  <c r="J28" i="14" s="1"/>
  <c r="P28" i="1" a="1"/>
  <c r="P28" i="1" s="1"/>
  <c r="C29" i="1" a="1"/>
  <c r="C29" i="1" s="1"/>
  <c r="E29" i="14" s="1"/>
  <c r="G29" i="1" a="1"/>
  <c r="G29" i="1" s="1"/>
  <c r="J29" i="1" a="1"/>
  <c r="J29" i="1" s="1"/>
  <c r="O29" i="1"/>
  <c r="M29" i="14" s="1"/>
  <c r="M30" i="1" a="1"/>
  <c r="M30" i="1" s="1"/>
  <c r="H31" i="1" a="1"/>
  <c r="H31" i="1" s="1"/>
  <c r="J31" i="14" s="1"/>
  <c r="L31" i="1" a="1"/>
  <c r="L31" i="1" s="1"/>
  <c r="Q31" i="1" a="1"/>
  <c r="Q31" i="1" s="1"/>
  <c r="S31" i="14" s="1"/>
  <c r="C32" i="1" a="1"/>
  <c r="C32" i="1" s="1"/>
  <c r="E32" i="14" s="1"/>
  <c r="F32" i="1" a="1"/>
  <c r="F32" i="1" s="1"/>
  <c r="R32" i="14" s="1"/>
  <c r="J32" i="1" a="1"/>
  <c r="J32" i="1" s="1"/>
  <c r="O32" i="1"/>
  <c r="M32" i="14" s="1"/>
  <c r="F33" i="1" a="1"/>
  <c r="F33" i="1" s="1"/>
  <c r="R33" i="14" s="1"/>
  <c r="M33" i="1" a="1"/>
  <c r="M33" i="1" s="1"/>
  <c r="Q33" i="1" a="1"/>
  <c r="Q33" i="1" s="1"/>
  <c r="S33" i="14" s="1"/>
  <c r="D34" i="1" a="1"/>
  <c r="D34" i="1" s="1"/>
  <c r="I34" i="14" s="1"/>
  <c r="H34" i="1" a="1"/>
  <c r="H34" i="1" s="1"/>
  <c r="J34" i="14" s="1"/>
  <c r="L34" i="1" a="1"/>
  <c r="L34" i="1" s="1"/>
  <c r="P34" i="1" a="1"/>
  <c r="P34" i="1" s="1"/>
  <c r="C35" i="1" a="1"/>
  <c r="C35" i="1" s="1"/>
  <c r="E35" i="14" s="1"/>
  <c r="G35" i="1" a="1"/>
  <c r="G35" i="1" s="1"/>
  <c r="K35" i="1" a="1"/>
  <c r="K35" i="1" s="1"/>
  <c r="O35" i="1"/>
  <c r="M35" i="14" s="1"/>
  <c r="F36" i="1" a="1"/>
  <c r="F36" i="1" s="1"/>
  <c r="R36" i="14" s="1"/>
  <c r="J36" i="1" a="1"/>
  <c r="J36" i="1" s="1"/>
  <c r="O36" i="1"/>
  <c r="M36" i="14" s="1"/>
  <c r="D37" i="1" a="1"/>
  <c r="D37" i="1" s="1"/>
  <c r="I37" i="14" s="1"/>
  <c r="H37" i="1" a="1"/>
  <c r="H37" i="1" s="1"/>
  <c r="J37" i="14" s="1"/>
  <c r="O37" i="1"/>
  <c r="M37" i="14" s="1"/>
  <c r="F38" i="1" a="1"/>
  <c r="F38" i="1" s="1"/>
  <c r="R38" i="14" s="1"/>
  <c r="M38" i="1" a="1"/>
  <c r="M38" i="1" s="1"/>
  <c r="G39" i="1" a="1"/>
  <c r="G39" i="1" s="1"/>
  <c r="O39" i="1"/>
  <c r="M39" i="14" s="1"/>
  <c r="F40" i="1" a="1"/>
  <c r="F40" i="1" s="1"/>
  <c r="R40" i="14" s="1"/>
  <c r="M40" i="1" a="1"/>
  <c r="M40" i="1" s="1"/>
  <c r="J42" i="1" a="1"/>
  <c r="J42" i="1" s="1"/>
  <c r="O42" i="1"/>
  <c r="M42" i="14" s="1"/>
  <c r="H43" i="1" a="1"/>
  <c r="H43" i="1" s="1"/>
  <c r="J43" i="14" s="1"/>
  <c r="G6" i="1" a="1"/>
  <c r="G6" i="1" s="1"/>
  <c r="Q6" i="1" a="1"/>
  <c r="Q6" i="1" s="1"/>
  <c r="S6" i="14" s="1"/>
  <c r="L11" i="1" a="1"/>
  <c r="L11" i="1" s="1"/>
  <c r="C12" i="1" a="1"/>
  <c r="C12" i="1" s="1"/>
  <c r="E12" i="14" s="1"/>
  <c r="L12" i="1" a="1"/>
  <c r="L12" i="1" s="1"/>
  <c r="C13" i="1" a="1"/>
  <c r="C13" i="1" s="1"/>
  <c r="E13" i="14" s="1"/>
  <c r="K13" i="1" a="1"/>
  <c r="K13" i="1" s="1"/>
  <c r="L13" i="14" s="1"/>
  <c r="D14" i="1" a="1"/>
  <c r="D14" i="1" s="1"/>
  <c r="I14" i="14" s="1"/>
  <c r="J14" i="1" a="1"/>
  <c r="J14" i="1" s="1"/>
  <c r="L15" i="1" a="1"/>
  <c r="L15" i="1" s="1"/>
  <c r="D16" i="1" a="1"/>
  <c r="D16" i="1" s="1"/>
  <c r="I16" i="14" s="1"/>
  <c r="K16" i="1" a="1"/>
  <c r="K16" i="1" s="1"/>
  <c r="L16" i="14" s="1"/>
  <c r="K17" i="1" a="1"/>
  <c r="K17" i="1" s="1"/>
  <c r="J19" i="1" a="1"/>
  <c r="J19" i="1" s="1"/>
  <c r="G20" i="1" a="1"/>
  <c r="G20" i="1" s="1"/>
  <c r="M20" i="1" a="1"/>
  <c r="M20" i="1" s="1"/>
  <c r="C21" i="1" a="1"/>
  <c r="C21" i="1" s="1"/>
  <c r="E21" i="14" s="1"/>
  <c r="Q21" i="1" a="1"/>
  <c r="Q21" i="1" s="1"/>
  <c r="S21" i="14" s="1"/>
  <c r="J22" i="1" a="1"/>
  <c r="J22" i="1" s="1"/>
  <c r="Q22" i="1" a="1"/>
  <c r="Q22" i="1" s="1"/>
  <c r="S22" i="14" s="1"/>
  <c r="K23" i="1" a="1"/>
  <c r="K23" i="1" s="1"/>
  <c r="P23" i="1" a="1"/>
  <c r="P23" i="1" s="1"/>
  <c r="C24" i="1" a="1"/>
  <c r="C24" i="1" s="1"/>
  <c r="E24" i="14" s="1"/>
  <c r="M24" i="1" a="1"/>
  <c r="M24" i="1" s="1"/>
  <c r="H25" i="1" a="1"/>
  <c r="H25" i="1" s="1"/>
  <c r="J25" i="14" s="1"/>
  <c r="L25" i="1" a="1"/>
  <c r="L25" i="1" s="1"/>
  <c r="P25" i="1" a="1"/>
  <c r="P25" i="1" s="1"/>
  <c r="C26" i="1" a="1"/>
  <c r="C26" i="1" s="1"/>
  <c r="E26" i="14" s="1"/>
  <c r="F26" i="1" a="1"/>
  <c r="F26" i="1" s="1"/>
  <c r="R26" i="14" s="1"/>
  <c r="J26" i="1" a="1"/>
  <c r="J26" i="1" s="1"/>
  <c r="M27" i="1" a="1"/>
  <c r="M27" i="1" s="1"/>
  <c r="L28" i="1" a="1"/>
  <c r="L28" i="1" s="1"/>
  <c r="Q28" i="1" a="1"/>
  <c r="Q28" i="1" s="1"/>
  <c r="S28" i="14" s="1"/>
  <c r="D29" i="1" a="1"/>
  <c r="D29" i="1" s="1"/>
  <c r="I29" i="14" s="1"/>
  <c r="K29" i="1" a="1"/>
  <c r="K29" i="1" s="1"/>
  <c r="P29" i="1" a="1"/>
  <c r="P29" i="1" s="1"/>
  <c r="H30" i="1" a="1"/>
  <c r="H30" i="1" s="1"/>
  <c r="J30" i="14" s="1"/>
  <c r="K30" i="1" a="1"/>
  <c r="K30" i="1" s="1"/>
  <c r="O30" i="1"/>
  <c r="M30" i="14" s="1"/>
  <c r="F31" i="1" a="1"/>
  <c r="F31" i="1" s="1"/>
  <c r="R31" i="14" s="1"/>
  <c r="M31" i="1" a="1"/>
  <c r="M31" i="1" s="1"/>
  <c r="G32" i="1" a="1"/>
  <c r="G32" i="1" s="1"/>
  <c r="K32" i="1" a="1"/>
  <c r="K32" i="1" s="1"/>
  <c r="P32" i="1" a="1"/>
  <c r="P32" i="1" s="1"/>
  <c r="C33" i="1" a="1"/>
  <c r="C33" i="1" s="1"/>
  <c r="E33" i="14" s="1"/>
  <c r="G33" i="1" a="1"/>
  <c r="G33" i="1" s="1"/>
  <c r="J33" i="1" a="1"/>
  <c r="J33" i="1" s="1"/>
  <c r="M34" i="1" a="1"/>
  <c r="M34" i="1" s="1"/>
  <c r="Q34" i="1" a="1"/>
  <c r="Q34" i="1" s="1"/>
  <c r="S34" i="14" s="1"/>
  <c r="D35" i="1" a="1"/>
  <c r="D35" i="1" s="1"/>
  <c r="I35" i="14" s="1"/>
  <c r="H35" i="1" a="1"/>
  <c r="H35" i="1" s="1"/>
  <c r="J35" i="14" s="1"/>
  <c r="P35" i="1" a="1"/>
  <c r="P35" i="1" s="1"/>
  <c r="C36" i="1" a="1"/>
  <c r="C36" i="1" s="1"/>
  <c r="E36" i="14" s="1"/>
  <c r="G36" i="1" a="1"/>
  <c r="G36" i="1" s="1"/>
  <c r="K36" i="1" a="1"/>
  <c r="K36" i="1" s="1"/>
  <c r="P36" i="1" a="1"/>
  <c r="P36" i="1" s="1"/>
  <c r="L37" i="1" a="1"/>
  <c r="L37" i="1" s="1"/>
  <c r="P37" i="1" a="1"/>
  <c r="P37" i="1" s="1"/>
  <c r="C38" i="1" a="1"/>
  <c r="C38" i="1" s="1"/>
  <c r="E38" i="14" s="1"/>
  <c r="G38" i="1" a="1"/>
  <c r="G38" i="1" s="1"/>
  <c r="J38" i="1" a="1"/>
  <c r="J38" i="1" s="1"/>
  <c r="O38" i="1"/>
  <c r="M38" i="14" s="1"/>
  <c r="D39" i="1" a="1"/>
  <c r="D39" i="1" s="1"/>
  <c r="I39" i="14" s="1"/>
  <c r="H39" i="1" a="1"/>
  <c r="H39" i="1" s="1"/>
  <c r="J39" i="14" s="1"/>
  <c r="K39" i="1" a="1"/>
  <c r="K39" i="1" s="1"/>
  <c r="P39" i="1" a="1"/>
  <c r="P39" i="1" s="1"/>
  <c r="C40" i="1" a="1"/>
  <c r="C40" i="1" s="1"/>
  <c r="E40" i="14" s="1"/>
  <c r="J40" i="1" a="1"/>
  <c r="J40" i="1" s="1"/>
  <c r="K9" i="1" a="1"/>
  <c r="K9" i="1" s="1"/>
  <c r="Q11" i="1" a="1"/>
  <c r="Q11" i="1" s="1"/>
  <c r="S11" i="14" s="1"/>
  <c r="P12" i="1" a="1"/>
  <c r="P12" i="1" s="1"/>
  <c r="P13" i="1" a="1"/>
  <c r="P13" i="1" s="1"/>
  <c r="L14" i="1" a="1"/>
  <c r="L14" i="1" s="1"/>
  <c r="Q15" i="1" a="1"/>
  <c r="Q15" i="1" s="1"/>
  <c r="S15" i="14" s="1"/>
  <c r="O16" i="1"/>
  <c r="M16" i="14" s="1"/>
  <c r="O17" i="1"/>
  <c r="M17" i="14" s="1"/>
  <c r="F18" i="1" a="1"/>
  <c r="F18" i="1" s="1"/>
  <c r="R18" i="14" s="1"/>
  <c r="G19" i="1" a="1"/>
  <c r="G19" i="1" s="1"/>
  <c r="K19" i="1" a="1"/>
  <c r="K19" i="1" s="1"/>
  <c r="P20" i="1" a="1"/>
  <c r="P20" i="1" s="1"/>
  <c r="K21" i="1" a="1"/>
  <c r="K21" i="1" s="1"/>
  <c r="G22" i="1" a="1"/>
  <c r="G22" i="1" s="1"/>
  <c r="K22" i="1" a="1"/>
  <c r="K22" i="1" s="1"/>
  <c r="L22" i="14" s="1"/>
  <c r="F23" i="1" a="1"/>
  <c r="F23" i="1" s="1"/>
  <c r="R23" i="14" s="1"/>
  <c r="L23" i="1" a="1"/>
  <c r="L23" i="1" s="1"/>
  <c r="J24" i="1" a="1"/>
  <c r="J24" i="1" s="1"/>
  <c r="O24" i="1"/>
  <c r="M24" i="14" s="1"/>
  <c r="D25" i="1" a="1"/>
  <c r="D25" i="1" s="1"/>
  <c r="I25" i="14" s="1"/>
  <c r="M25" i="1" a="1"/>
  <c r="M25" i="1" s="1"/>
  <c r="Q25" i="1" a="1"/>
  <c r="Q25" i="1" s="1"/>
  <c r="S25" i="14" s="1"/>
  <c r="D26" i="1" a="1"/>
  <c r="D26" i="1" s="1"/>
  <c r="I26" i="14" s="1"/>
  <c r="G26" i="1" a="1"/>
  <c r="G26" i="1" s="1"/>
  <c r="K26" i="1" a="1"/>
  <c r="K26" i="1" s="1"/>
  <c r="O26" i="1"/>
  <c r="M26" i="14" s="1"/>
  <c r="F27" i="1" a="1"/>
  <c r="F27" i="1" s="1"/>
  <c r="R27" i="14" s="1"/>
  <c r="J27" i="1" a="1"/>
  <c r="J27" i="1" s="1"/>
  <c r="O27" i="1"/>
  <c r="M27" i="14" s="1"/>
  <c r="F28" i="1" a="1"/>
  <c r="F28" i="1" s="1"/>
  <c r="R28" i="14" s="1"/>
  <c r="J28" i="1" a="1"/>
  <c r="J28" i="1" s="1"/>
  <c r="M28" i="1" a="1"/>
  <c r="M28" i="1" s="1"/>
  <c r="H29" i="1" a="1"/>
  <c r="H29" i="1" s="1"/>
  <c r="J29" i="14" s="1"/>
  <c r="L29" i="1" a="1"/>
  <c r="L29" i="1" s="1"/>
  <c r="C30" i="1" a="1"/>
  <c r="C30" i="1" s="1"/>
  <c r="E30" i="14" s="1"/>
  <c r="F30" i="1" a="1"/>
  <c r="F30" i="1" s="1"/>
  <c r="R30" i="14" s="1"/>
  <c r="L30" i="1" a="1"/>
  <c r="L30" i="1" s="1"/>
  <c r="P30" i="1" a="1"/>
  <c r="P30" i="1" s="1"/>
  <c r="C31" i="1" a="1"/>
  <c r="C31" i="1" s="1"/>
  <c r="E31" i="14" s="1"/>
  <c r="G31" i="1" a="1"/>
  <c r="G31" i="1" s="1"/>
  <c r="J31" i="1" a="1"/>
  <c r="J31" i="1" s="1"/>
  <c r="O31" i="1"/>
  <c r="M31" i="14" s="1"/>
  <c r="D32" i="1" a="1"/>
  <c r="D32" i="1" s="1"/>
  <c r="I32" i="14" s="1"/>
  <c r="H32" i="1" a="1"/>
  <c r="H32" i="1" s="1"/>
  <c r="J32" i="14" s="1"/>
  <c r="L32" i="1" a="1"/>
  <c r="L32" i="1" s="1"/>
  <c r="Q32" i="1" a="1"/>
  <c r="Q32" i="1" s="1"/>
  <c r="S32" i="14" s="1"/>
  <c r="D33" i="1" a="1"/>
  <c r="D33" i="1" s="1"/>
  <c r="I33" i="14" s="1"/>
  <c r="K33" i="1" a="1"/>
  <c r="K33" i="1" s="1"/>
  <c r="O33" i="1"/>
  <c r="M33" i="14" s="1"/>
  <c r="F34" i="1" a="1"/>
  <c r="F34" i="1" s="1"/>
  <c r="R34" i="14" s="1"/>
  <c r="J34" i="1" a="1"/>
  <c r="J34" i="1" s="1"/>
  <c r="L35" i="1" a="1"/>
  <c r="L35" i="1" s="1"/>
  <c r="Q35" i="1" a="1"/>
  <c r="Q35" i="1" s="1"/>
  <c r="S35" i="14" s="1"/>
  <c r="D36" i="1" a="1"/>
  <c r="D36" i="1" s="1"/>
  <c r="I36" i="14" s="1"/>
  <c r="H36" i="1" a="1"/>
  <c r="H36" i="1" s="1"/>
  <c r="J36" i="14" s="1"/>
  <c r="L36" i="1" a="1"/>
  <c r="L36" i="1" s="1"/>
  <c r="Q36" i="1" a="1"/>
  <c r="Q36" i="1" s="1"/>
  <c r="S36" i="14" s="1"/>
  <c r="C37" i="1" a="1"/>
  <c r="C37" i="1" s="1"/>
  <c r="E37" i="14" s="1"/>
  <c r="F37" i="1" a="1"/>
  <c r="F37" i="1" s="1"/>
  <c r="R37" i="14" s="1"/>
  <c r="J37" i="1" a="1"/>
  <c r="J37" i="1" s="1"/>
  <c r="M37" i="1" a="1"/>
  <c r="M37" i="1" s="1"/>
  <c r="Q37" i="1" a="1"/>
  <c r="Q37" i="1" s="1"/>
  <c r="S37" i="14" s="1"/>
  <c r="D38" i="1" a="1"/>
  <c r="D38" i="1" s="1"/>
  <c r="I38" i="14" s="1"/>
  <c r="K38" i="1" a="1"/>
  <c r="K38" i="1" s="1"/>
  <c r="P38" i="1" a="1"/>
  <c r="P38" i="1" s="1"/>
  <c r="L39" i="1" a="1"/>
  <c r="L39" i="1" s="1"/>
  <c r="Q39" i="1" a="1"/>
  <c r="Q39" i="1" s="1"/>
  <c r="S39" i="14" s="1"/>
  <c r="D40" i="1" a="1"/>
  <c r="D40" i="1" s="1"/>
  <c r="I40" i="14" s="1"/>
  <c r="G40" i="1" a="1"/>
  <c r="G40" i="1" s="1"/>
  <c r="K40" i="1" a="1"/>
  <c r="K40" i="1" s="1"/>
  <c r="P40" i="1" a="1"/>
  <c r="P40" i="1" s="1"/>
  <c r="O5" i="1"/>
  <c r="M5" i="14" s="1"/>
  <c r="D6" i="1" a="1"/>
  <c r="D6" i="1" s="1"/>
  <c r="I6" i="14" s="1"/>
  <c r="K8" i="1" a="1"/>
  <c r="K8" i="1" s="1"/>
  <c r="O9" i="1"/>
  <c r="M9" i="14" s="1"/>
  <c r="O10" i="1"/>
  <c r="M10" i="14" s="1"/>
  <c r="F11" i="1" a="1"/>
  <c r="F11" i="1" s="1"/>
  <c r="R11" i="14" s="1"/>
  <c r="F12" i="1" a="1"/>
  <c r="F12" i="1" s="1"/>
  <c r="R12" i="14" s="1"/>
  <c r="G13" i="1" a="1"/>
  <c r="G13" i="1" s="1"/>
  <c r="G14" i="1" a="1"/>
  <c r="G14" i="1" s="1"/>
  <c r="O14" i="1"/>
  <c r="M14" i="14" s="1"/>
  <c r="H15" i="1" a="1"/>
  <c r="H15" i="1" s="1"/>
  <c r="J15" i="14" s="1"/>
  <c r="H16" i="1" a="1"/>
  <c r="H16" i="1" s="1"/>
  <c r="J16" i="14" s="1"/>
  <c r="H17" i="1" a="1"/>
  <c r="H17" i="1" s="1"/>
  <c r="J17" i="14" s="1"/>
  <c r="H19" i="1" a="1"/>
  <c r="H19" i="1" s="1"/>
  <c r="J19" i="14" s="1"/>
  <c r="M19" i="1" a="1"/>
  <c r="M19" i="1" s="1"/>
  <c r="C20" i="1" a="1"/>
  <c r="C20" i="1" s="1"/>
  <c r="E20" i="14" s="1"/>
  <c r="L21" i="1" a="1"/>
  <c r="L21" i="1" s="1"/>
  <c r="H22" i="1" a="1"/>
  <c r="H22" i="1" s="1"/>
  <c r="J22" i="14" s="1"/>
  <c r="F24" i="1" a="1"/>
  <c r="F24" i="1" s="1"/>
  <c r="R24" i="14" s="1"/>
  <c r="Q24" i="1" a="1"/>
  <c r="Q24" i="1" s="1"/>
  <c r="S24" i="14" s="1"/>
  <c r="J25" i="1" a="1"/>
  <c r="J25" i="1" s="1"/>
  <c r="H26" i="1" a="1"/>
  <c r="H26" i="1" s="1"/>
  <c r="J26" i="14" s="1"/>
  <c r="L26" i="1" a="1"/>
  <c r="L26" i="1" s="1"/>
  <c r="P26" i="1" a="1"/>
  <c r="P26" i="1" s="1"/>
  <c r="C27" i="1" a="1"/>
  <c r="C27" i="1" s="1"/>
  <c r="E27" i="14" s="1"/>
  <c r="G27" i="1" a="1"/>
  <c r="G27" i="1" s="1"/>
  <c r="K27" i="1" a="1"/>
  <c r="K27" i="1" s="1"/>
  <c r="P27" i="1" a="1"/>
  <c r="P27" i="1" s="1"/>
  <c r="C28" i="1" a="1"/>
  <c r="C28" i="1" s="1"/>
  <c r="E28" i="14" s="1"/>
  <c r="G28" i="1" a="1"/>
  <c r="G28" i="1" s="1"/>
  <c r="K28" i="1" a="1"/>
  <c r="K28" i="1" s="1"/>
  <c r="O28" i="1"/>
  <c r="M28" i="14" s="1"/>
  <c r="F29" i="1" a="1"/>
  <c r="F29" i="1" s="1"/>
  <c r="R29" i="14" s="1"/>
  <c r="M29" i="1" a="1"/>
  <c r="M29" i="1" s="1"/>
  <c r="Q29" i="1" a="1"/>
  <c r="Q29" i="1" s="1"/>
  <c r="S29" i="14" s="1"/>
  <c r="D30" i="1" a="1"/>
  <c r="D30" i="1" s="1"/>
  <c r="I30" i="14" s="1"/>
  <c r="G30" i="1" a="1"/>
  <c r="G30" i="1" s="1"/>
  <c r="J30" i="1" a="1"/>
  <c r="J30" i="1" s="1"/>
  <c r="Q30" i="1" a="1"/>
  <c r="Q30" i="1" s="1"/>
  <c r="S30" i="14" s="1"/>
  <c r="D31" i="1" a="1"/>
  <c r="D31" i="1" s="1"/>
  <c r="I31" i="14" s="1"/>
  <c r="K31" i="1" a="1"/>
  <c r="K31" i="1" s="1"/>
  <c r="P31" i="1" a="1"/>
  <c r="P31" i="1" s="1"/>
  <c r="M32" i="1" a="1"/>
  <c r="M32" i="1" s="1"/>
  <c r="H33" i="1" a="1"/>
  <c r="H33" i="1" s="1"/>
  <c r="J33" i="14" s="1"/>
  <c r="L33" i="1" a="1"/>
  <c r="L33" i="1" s="1"/>
  <c r="P33" i="1" a="1"/>
  <c r="P33" i="1" s="1"/>
  <c r="C34" i="1" a="1"/>
  <c r="C34" i="1" s="1"/>
  <c r="E34" i="14" s="1"/>
  <c r="G34" i="1" a="1"/>
  <c r="G34" i="1" s="1"/>
  <c r="K34" i="1" a="1"/>
  <c r="K34" i="1" s="1"/>
  <c r="L34" i="14" s="1"/>
  <c r="O34" i="1"/>
  <c r="M34" i="14" s="1"/>
  <c r="F35" i="1" a="1"/>
  <c r="F35" i="1" s="1"/>
  <c r="R35" i="14" s="1"/>
  <c r="J35" i="1" a="1"/>
  <c r="J35" i="1" s="1"/>
  <c r="M35" i="1" a="1"/>
  <c r="M35" i="1" s="1"/>
  <c r="M36" i="1" a="1"/>
  <c r="M36" i="1" s="1"/>
  <c r="G37" i="1" a="1"/>
  <c r="G37" i="1" s="1"/>
  <c r="K37" i="1" a="1"/>
  <c r="K37" i="1" s="1"/>
  <c r="H38" i="1" a="1"/>
  <c r="H38" i="1" s="1"/>
  <c r="J38" i="14" s="1"/>
  <c r="L38" i="1" a="1"/>
  <c r="L38" i="1" s="1"/>
  <c r="Q38" i="1" a="1"/>
  <c r="Q38" i="1" s="1"/>
  <c r="S38" i="14" s="1"/>
  <c r="C39" i="1" a="1"/>
  <c r="C39" i="1" s="1"/>
  <c r="E39" i="14" s="1"/>
  <c r="F39" i="1" a="1"/>
  <c r="F39" i="1" s="1"/>
  <c r="R39" i="14" s="1"/>
  <c r="J39" i="1" a="1"/>
  <c r="J39" i="1" s="1"/>
  <c r="M39" i="1" a="1"/>
  <c r="M39" i="1" s="1"/>
  <c r="H40" i="1" a="1"/>
  <c r="H40" i="1" s="1"/>
  <c r="J40" i="14" s="1"/>
  <c r="L40" i="1" a="1"/>
  <c r="L40" i="1" s="1"/>
  <c r="Q40" i="1" a="1"/>
  <c r="Q40" i="1" s="1"/>
  <c r="S40" i="14" s="1"/>
  <c r="D41" i="1" a="1"/>
  <c r="D41" i="1" s="1"/>
  <c r="I41" i="14" s="1"/>
  <c r="H41" i="1" a="1"/>
  <c r="H41" i="1" s="1"/>
  <c r="J41" i="14" s="1"/>
  <c r="K41" i="1" a="1"/>
  <c r="K41" i="1" s="1"/>
  <c r="M41" i="1" a="1"/>
  <c r="M41" i="1" s="1"/>
  <c r="Q41" i="1" a="1"/>
  <c r="Q41" i="1" s="1"/>
  <c r="S41" i="14" s="1"/>
  <c r="C41" i="1" a="1"/>
  <c r="C41" i="1" s="1"/>
  <c r="E41" i="14" s="1"/>
  <c r="F42" i="1" a="1"/>
  <c r="F42" i="1" s="1"/>
  <c r="R42" i="14" s="1"/>
  <c r="M42" i="1" a="1"/>
  <c r="M42" i="1" s="1"/>
  <c r="J43" i="1" a="1"/>
  <c r="J43" i="1" s="1"/>
  <c r="M43" i="1" a="1"/>
  <c r="M43" i="1" s="1"/>
  <c r="H44" i="1" a="1"/>
  <c r="H44" i="1" s="1"/>
  <c r="J44" i="14" s="1"/>
  <c r="L44" i="1" a="1"/>
  <c r="L44" i="1" s="1"/>
  <c r="Q44" i="1" a="1"/>
  <c r="Q44" i="1" s="1"/>
  <c r="S44" i="14" s="1"/>
  <c r="C45" i="1" a="1"/>
  <c r="C45" i="1" s="1"/>
  <c r="E45" i="14" s="1"/>
  <c r="F45" i="1" a="1"/>
  <c r="F45" i="1" s="1"/>
  <c r="R45" i="14" s="1"/>
  <c r="J45" i="1" a="1"/>
  <c r="J45" i="1" s="1"/>
  <c r="L45" i="1" a="1"/>
  <c r="L45" i="1" s="1"/>
  <c r="O45" i="1"/>
  <c r="M45" i="14" s="1"/>
  <c r="F46" i="1" a="1"/>
  <c r="F46" i="1" s="1"/>
  <c r="R46" i="14" s="1"/>
  <c r="H46" i="1" a="1"/>
  <c r="H46" i="1" s="1"/>
  <c r="J46" i="14" s="1"/>
  <c r="K46" i="1" a="1"/>
  <c r="K46" i="1" s="1"/>
  <c r="P46" i="1" a="1"/>
  <c r="P46" i="1" s="1"/>
  <c r="D47" i="1" a="1"/>
  <c r="D47" i="1" s="1"/>
  <c r="I47" i="14" s="1"/>
  <c r="H47" i="1" a="1"/>
  <c r="H47" i="1" s="1"/>
  <c r="J47" i="14" s="1"/>
  <c r="L47" i="1" a="1"/>
  <c r="L47" i="1" s="1"/>
  <c r="P47" i="1" a="1"/>
  <c r="P47" i="1" s="1"/>
  <c r="C48" i="1" a="1"/>
  <c r="C48" i="1" s="1"/>
  <c r="E48" i="14" s="1"/>
  <c r="G48" i="1" a="1"/>
  <c r="G48" i="1" s="1"/>
  <c r="J48" i="1" a="1"/>
  <c r="J48" i="1" s="1"/>
  <c r="O48" i="1"/>
  <c r="M48" i="14" s="1"/>
  <c r="L49" i="1" a="1"/>
  <c r="L49" i="1" s="1"/>
  <c r="P49" i="1" a="1"/>
  <c r="P49" i="1" s="1"/>
  <c r="C50" i="1" a="1"/>
  <c r="C50" i="1" s="1"/>
  <c r="E50" i="14" s="1"/>
  <c r="M50" i="1" a="1"/>
  <c r="M50" i="1" s="1"/>
  <c r="Q50" i="1" a="1"/>
  <c r="Q50" i="1" s="1"/>
  <c r="S50" i="14" s="1"/>
  <c r="D51" i="1" a="1"/>
  <c r="D51" i="1" s="1"/>
  <c r="I51" i="14" s="1"/>
  <c r="G51" i="1" a="1"/>
  <c r="G51" i="1" s="1"/>
  <c r="K51" i="1" a="1"/>
  <c r="K51" i="1" s="1"/>
  <c r="L51" i="14" s="1"/>
  <c r="O51" i="1"/>
  <c r="M51" i="14" s="1"/>
  <c r="F52" i="1" a="1"/>
  <c r="F52" i="1" s="1"/>
  <c r="R52" i="14" s="1"/>
  <c r="M52" i="1" a="1"/>
  <c r="M52" i="1" s="1"/>
  <c r="Q52" i="1" a="1"/>
  <c r="Q52" i="1" s="1"/>
  <c r="S52" i="14" s="1"/>
  <c r="D53" i="1" a="1"/>
  <c r="D53" i="1" s="1"/>
  <c r="I53" i="14" s="1"/>
  <c r="G53" i="1" a="1"/>
  <c r="G53" i="1" s="1"/>
  <c r="Q53" i="1" a="1"/>
  <c r="Q53" i="1" s="1"/>
  <c r="S53" i="14" s="1"/>
  <c r="D54" i="1" a="1"/>
  <c r="D54" i="1" s="1"/>
  <c r="I54" i="14" s="1"/>
  <c r="G54" i="1" a="1"/>
  <c r="G54" i="1" s="1"/>
  <c r="K54" i="1" a="1"/>
  <c r="K54" i="1" s="1"/>
  <c r="P54" i="1" a="1"/>
  <c r="P54" i="1" s="1"/>
  <c r="L55" i="1" a="1"/>
  <c r="L55" i="1" s="1"/>
  <c r="P55" i="1" a="1"/>
  <c r="P55" i="1" s="1"/>
  <c r="H56" i="1" a="1"/>
  <c r="H56" i="1" s="1"/>
  <c r="J56" i="14" s="1"/>
  <c r="K56" i="1" a="1"/>
  <c r="K56" i="1" s="1"/>
  <c r="O56" i="1"/>
  <c r="M56" i="14" s="1"/>
  <c r="G57" i="1" a="1"/>
  <c r="G57" i="1" s="1"/>
  <c r="K57" i="1" a="1"/>
  <c r="K57" i="1" s="1"/>
  <c r="O57" i="1"/>
  <c r="M57" i="14" s="1"/>
  <c r="F58" i="1" a="1"/>
  <c r="F58" i="1" s="1"/>
  <c r="R58" i="14" s="1"/>
  <c r="M58" i="1" a="1"/>
  <c r="M58" i="1" s="1"/>
  <c r="H59" i="1" a="1"/>
  <c r="H59" i="1" s="1"/>
  <c r="J59" i="14" s="1"/>
  <c r="K59" i="1" a="1"/>
  <c r="K59" i="1" s="1"/>
  <c r="P59" i="1" a="1"/>
  <c r="P59" i="1" s="1"/>
  <c r="H60" i="1" a="1"/>
  <c r="H60" i="1" s="1"/>
  <c r="J60" i="14" s="1"/>
  <c r="L60" i="1" a="1"/>
  <c r="L60" i="1" s="1"/>
  <c r="Q60" i="1" a="1"/>
  <c r="Q60" i="1" s="1"/>
  <c r="S60" i="14" s="1"/>
  <c r="D61" i="1" a="1"/>
  <c r="D61" i="1" s="1"/>
  <c r="I61" i="14" s="1"/>
  <c r="G61" i="1" a="1"/>
  <c r="G61" i="1" s="1"/>
  <c r="K61" i="1" a="1"/>
  <c r="K61" i="1" s="1"/>
  <c r="O61" i="1"/>
  <c r="M61" i="14" s="1"/>
  <c r="F62" i="1" a="1"/>
  <c r="F62" i="1" s="1"/>
  <c r="R62" i="14" s="1"/>
  <c r="M62" i="1" a="1"/>
  <c r="M62" i="1" s="1"/>
  <c r="G63" i="1" a="1"/>
  <c r="G63" i="1" s="1"/>
  <c r="O63" i="1"/>
  <c r="M63" i="14" s="1"/>
  <c r="F64" i="1" a="1"/>
  <c r="F64" i="1" s="1"/>
  <c r="R64" i="14" s="1"/>
  <c r="M64" i="1" a="1"/>
  <c r="M64" i="1" s="1"/>
  <c r="O40" i="1"/>
  <c r="M40" i="14" s="1"/>
  <c r="J41" i="1" a="1"/>
  <c r="J41" i="1" s="1"/>
  <c r="O41" i="1"/>
  <c r="M41" i="14" s="1"/>
  <c r="C42" i="1" a="1"/>
  <c r="C42" i="1" s="1"/>
  <c r="E42" i="14" s="1"/>
  <c r="P42" i="1" a="1"/>
  <c r="P42" i="1" s="1"/>
  <c r="F43" i="1" a="1"/>
  <c r="F43" i="1" s="1"/>
  <c r="R43" i="14" s="1"/>
  <c r="K43" i="1" a="1"/>
  <c r="K43" i="1" s="1"/>
  <c r="L43" i="14" s="1"/>
  <c r="O43" i="1"/>
  <c r="M43" i="14" s="1"/>
  <c r="F44" i="1" a="1"/>
  <c r="F44" i="1" s="1"/>
  <c r="R44" i="14" s="1"/>
  <c r="M44" i="1" a="1"/>
  <c r="M44" i="1" s="1"/>
  <c r="G45" i="1" a="1"/>
  <c r="G45" i="1" s="1"/>
  <c r="P45" i="1" a="1"/>
  <c r="P45" i="1" s="1"/>
  <c r="C46" i="1" a="1"/>
  <c r="C46" i="1" s="1"/>
  <c r="E46" i="14" s="1"/>
  <c r="L46" i="1" a="1"/>
  <c r="L46" i="1" s="1"/>
  <c r="Q47" i="1" a="1"/>
  <c r="Q47" i="1" s="1"/>
  <c r="S47" i="14" s="1"/>
  <c r="D48" i="1" a="1"/>
  <c r="D48" i="1" s="1"/>
  <c r="I48" i="14" s="1"/>
  <c r="H48" i="1" a="1"/>
  <c r="H48" i="1" s="1"/>
  <c r="J48" i="14" s="1"/>
  <c r="K48" i="1" a="1"/>
  <c r="K48" i="1" s="1"/>
  <c r="P48" i="1" a="1"/>
  <c r="P48" i="1" s="1"/>
  <c r="C49" i="1" a="1"/>
  <c r="C49" i="1" s="1"/>
  <c r="E49" i="14" s="1"/>
  <c r="F49" i="1" a="1"/>
  <c r="F49" i="1" s="1"/>
  <c r="R49" i="14" s="1"/>
  <c r="J49" i="1" a="1"/>
  <c r="J49" i="1" s="1"/>
  <c r="Q49" i="1" a="1"/>
  <c r="Q49" i="1" s="1"/>
  <c r="S49" i="14" s="1"/>
  <c r="D50" i="1" a="1"/>
  <c r="D50" i="1" s="1"/>
  <c r="I50" i="14" s="1"/>
  <c r="G50" i="1" a="1"/>
  <c r="G50" i="1" s="1"/>
  <c r="J50" i="1" a="1"/>
  <c r="J50" i="1" s="1"/>
  <c r="O50" i="1"/>
  <c r="M50" i="14" s="1"/>
  <c r="H51" i="1" a="1"/>
  <c r="H51" i="1" s="1"/>
  <c r="J51" i="14" s="1"/>
  <c r="P51" i="1" a="1"/>
  <c r="P51" i="1" s="1"/>
  <c r="C52" i="1" a="1"/>
  <c r="C52" i="1" s="1"/>
  <c r="E52" i="14" s="1"/>
  <c r="J52" i="1" a="1"/>
  <c r="J52" i="1" s="1"/>
  <c r="O52" i="1"/>
  <c r="M52" i="14" s="1"/>
  <c r="H53" i="1" a="1"/>
  <c r="H53" i="1" s="1"/>
  <c r="J53" i="14" s="1"/>
  <c r="K53" i="1" a="1"/>
  <c r="K53" i="1" s="1"/>
  <c r="O53" i="1"/>
  <c r="M53" i="14" s="1"/>
  <c r="H54" i="1" a="1"/>
  <c r="H54" i="1" s="1"/>
  <c r="J54" i="14" s="1"/>
  <c r="L54" i="1" a="1"/>
  <c r="L54" i="1" s="1"/>
  <c r="Q54" i="1" a="1"/>
  <c r="Q54" i="1" s="1"/>
  <c r="S54" i="14" s="1"/>
  <c r="C55" i="1" a="1"/>
  <c r="C55" i="1" s="1"/>
  <c r="E55" i="14" s="1"/>
  <c r="F55" i="1" a="1"/>
  <c r="F55" i="1" s="1"/>
  <c r="R55" i="14" s="1"/>
  <c r="J55" i="1" a="1"/>
  <c r="J55" i="1" s="1"/>
  <c r="Q55" i="1" a="1"/>
  <c r="Q55" i="1" s="1"/>
  <c r="S55" i="14" s="1"/>
  <c r="C56" i="1" a="1"/>
  <c r="C56" i="1" s="1"/>
  <c r="E56" i="14" s="1"/>
  <c r="F56" i="1" a="1"/>
  <c r="F56" i="1" s="1"/>
  <c r="R56" i="14" s="1"/>
  <c r="L56" i="1" a="1"/>
  <c r="L56" i="1" s="1"/>
  <c r="P56" i="1" a="1"/>
  <c r="P56" i="1" s="1"/>
  <c r="D57" i="1" a="1"/>
  <c r="D57" i="1" s="1"/>
  <c r="I57" i="14" s="1"/>
  <c r="H57" i="1" a="1"/>
  <c r="H57" i="1" s="1"/>
  <c r="J57" i="14" s="1"/>
  <c r="P57" i="1" a="1"/>
  <c r="P57" i="1" s="1"/>
  <c r="C58" i="1" a="1"/>
  <c r="C58" i="1" s="1"/>
  <c r="E58" i="14" s="1"/>
  <c r="G58" i="1" a="1"/>
  <c r="G58" i="1" s="1"/>
  <c r="J58" i="1" a="1"/>
  <c r="J58" i="1" s="1"/>
  <c r="O58" i="1"/>
  <c r="M58" i="14" s="1"/>
  <c r="F59" i="1" a="1"/>
  <c r="F59" i="1" s="1"/>
  <c r="R59" i="14" s="1"/>
  <c r="L59" i="1" a="1"/>
  <c r="L59" i="1" s="1"/>
  <c r="Q59" i="1" a="1"/>
  <c r="Q59" i="1" s="1"/>
  <c r="S59" i="14" s="1"/>
  <c r="C60" i="1" a="1"/>
  <c r="C60" i="1" s="1"/>
  <c r="E60" i="14" s="1"/>
  <c r="F60" i="1" a="1"/>
  <c r="F60" i="1" s="1"/>
  <c r="R60" i="14" s="1"/>
  <c r="M60" i="1" a="1"/>
  <c r="M60" i="1" s="1"/>
  <c r="H61" i="1" a="1"/>
  <c r="H61" i="1" s="1"/>
  <c r="J61" i="14" s="1"/>
  <c r="P61" i="1" a="1"/>
  <c r="P61" i="1" s="1"/>
  <c r="C62" i="1" a="1"/>
  <c r="C62" i="1" s="1"/>
  <c r="E62" i="14" s="1"/>
  <c r="G62" i="1" a="1"/>
  <c r="G62" i="1" s="1"/>
  <c r="J62" i="1" a="1"/>
  <c r="J62" i="1" s="1"/>
  <c r="O62" i="1"/>
  <c r="M62" i="14" s="1"/>
  <c r="D63" i="1" a="1"/>
  <c r="D63" i="1" s="1"/>
  <c r="I63" i="14" s="1"/>
  <c r="F41" i="1" a="1"/>
  <c r="F41" i="1" s="1"/>
  <c r="R41" i="14" s="1"/>
  <c r="P41" i="1" a="1"/>
  <c r="P41" i="1" s="1"/>
  <c r="D42" i="1" a="1"/>
  <c r="D42" i="1" s="1"/>
  <c r="I42" i="14" s="1"/>
  <c r="G42" i="1" a="1"/>
  <c r="G42" i="1" s="1"/>
  <c r="K42" i="1" a="1"/>
  <c r="K42" i="1" s="1"/>
  <c r="C43" i="1" a="1"/>
  <c r="C43" i="1" s="1"/>
  <c r="E43" i="14" s="1"/>
  <c r="G43" i="1" a="1"/>
  <c r="G43" i="1" s="1"/>
  <c r="P43" i="1" a="1"/>
  <c r="P43" i="1" s="1"/>
  <c r="C44" i="1" a="1"/>
  <c r="C44" i="1" s="1"/>
  <c r="E44" i="14" s="1"/>
  <c r="G44" i="1" a="1"/>
  <c r="G44" i="1" s="1"/>
  <c r="J44" i="1" a="1"/>
  <c r="J44" i="1" s="1"/>
  <c r="O44" i="1"/>
  <c r="M44" i="14" s="1"/>
  <c r="D45" i="1" a="1"/>
  <c r="D45" i="1" s="1"/>
  <c r="I45" i="14" s="1"/>
  <c r="H45" i="1" a="1"/>
  <c r="H45" i="1" s="1"/>
  <c r="J45" i="14" s="1"/>
  <c r="K45" i="1" a="1"/>
  <c r="K45" i="1" s="1"/>
  <c r="M45" i="1" a="1"/>
  <c r="M45" i="1" s="1"/>
  <c r="Q45" i="1" a="1"/>
  <c r="Q45" i="1" s="1"/>
  <c r="S45" i="14" s="1"/>
  <c r="D46" i="1" a="1"/>
  <c r="D46" i="1" s="1"/>
  <c r="I46" i="14" s="1"/>
  <c r="G46" i="1" a="1"/>
  <c r="G46" i="1" s="1"/>
  <c r="M46" i="1" a="1"/>
  <c r="M46" i="1" s="1"/>
  <c r="Q46" i="1" a="1"/>
  <c r="Q46" i="1" s="1"/>
  <c r="S46" i="14" s="1"/>
  <c r="C47" i="1" a="1"/>
  <c r="C47" i="1" s="1"/>
  <c r="E47" i="14" s="1"/>
  <c r="F47" i="1" a="1"/>
  <c r="F47" i="1" s="1"/>
  <c r="R47" i="14" s="1"/>
  <c r="J47" i="1" a="1"/>
  <c r="J47" i="1" s="1"/>
  <c r="M47" i="1" a="1"/>
  <c r="M47" i="1" s="1"/>
  <c r="L48" i="1" a="1"/>
  <c r="L48" i="1" s="1"/>
  <c r="Q48" i="1" a="1"/>
  <c r="Q48" i="1" s="1"/>
  <c r="S48" i="14" s="1"/>
  <c r="D49" i="1" a="1"/>
  <c r="D49" i="1" s="1"/>
  <c r="I49" i="14" s="1"/>
  <c r="G49" i="1" a="1"/>
  <c r="G49" i="1" s="1"/>
  <c r="M49" i="1" a="1"/>
  <c r="M49" i="1" s="1"/>
  <c r="H50" i="1" a="1"/>
  <c r="H50" i="1" s="1"/>
  <c r="J50" i="14" s="1"/>
  <c r="K50" i="1" a="1"/>
  <c r="K50" i="1" s="1"/>
  <c r="P50" i="1" a="1"/>
  <c r="P50" i="1" s="1"/>
  <c r="L51" i="1" a="1"/>
  <c r="L51" i="1" s="1"/>
  <c r="Q51" i="1" a="1"/>
  <c r="Q51" i="1" s="1"/>
  <c r="S51" i="14" s="1"/>
  <c r="D52" i="1" a="1"/>
  <c r="D52" i="1" s="1"/>
  <c r="I52" i="14" s="1"/>
  <c r="G52" i="1" a="1"/>
  <c r="G52" i="1" s="1"/>
  <c r="K52" i="1" a="1"/>
  <c r="K52" i="1" s="1"/>
  <c r="P52" i="1" a="1"/>
  <c r="P52" i="1" s="1"/>
  <c r="L53" i="1" a="1"/>
  <c r="L53" i="1" s="1"/>
  <c r="P53" i="1" a="1"/>
  <c r="P53" i="1" s="1"/>
  <c r="F54" i="1" a="1"/>
  <c r="F54" i="1" s="1"/>
  <c r="R54" i="14" s="1"/>
  <c r="M54" i="1" a="1"/>
  <c r="M54" i="1" s="1"/>
  <c r="G55" i="1" a="1"/>
  <c r="G55" i="1" s="1"/>
  <c r="M55" i="1" a="1"/>
  <c r="M55" i="1" s="1"/>
  <c r="L57" i="1" a="1"/>
  <c r="L57" i="1" s="1"/>
  <c r="Q57" i="1" a="1"/>
  <c r="Q57" i="1" s="1"/>
  <c r="S57" i="14" s="1"/>
  <c r="D58" i="1" a="1"/>
  <c r="D58" i="1" s="1"/>
  <c r="I58" i="14" s="1"/>
  <c r="K58" i="1" a="1"/>
  <c r="K58" i="1" s="1"/>
  <c r="L58" i="14" s="1"/>
  <c r="P58" i="1" a="1"/>
  <c r="P58" i="1" s="1"/>
  <c r="C59" i="1" a="1"/>
  <c r="C59" i="1" s="1"/>
  <c r="E59" i="14" s="1"/>
  <c r="G59" i="1" a="1"/>
  <c r="G59" i="1" s="1"/>
  <c r="J59" i="1" a="1"/>
  <c r="J59" i="1" s="1"/>
  <c r="M59" i="1" a="1"/>
  <c r="M59" i="1" s="1"/>
  <c r="J60" i="1" a="1"/>
  <c r="J60" i="1" s="1"/>
  <c r="O60" i="1"/>
  <c r="M60" i="14" s="1"/>
  <c r="L61" i="1" a="1"/>
  <c r="L61" i="1" s="1"/>
  <c r="Q61" i="1" a="1"/>
  <c r="Q61" i="1" s="1"/>
  <c r="S61" i="14" s="1"/>
  <c r="D62" i="1" a="1"/>
  <c r="D62" i="1" s="1"/>
  <c r="I62" i="14" s="1"/>
  <c r="K62" i="1" a="1"/>
  <c r="K62" i="1" s="1"/>
  <c r="P62" i="1" a="1"/>
  <c r="P62" i="1" s="1"/>
  <c r="L63" i="1" a="1"/>
  <c r="L63" i="1" s="1"/>
  <c r="Q63" i="1" a="1"/>
  <c r="Q63" i="1" s="1"/>
  <c r="S63" i="14" s="1"/>
  <c r="G41" i="1" a="1"/>
  <c r="G41" i="1" s="1"/>
  <c r="L41" i="1" a="1"/>
  <c r="L41" i="1" s="1"/>
  <c r="H42" i="1" a="1"/>
  <c r="H42" i="1" s="1"/>
  <c r="J42" i="14" s="1"/>
  <c r="L42" i="1" a="1"/>
  <c r="L42" i="1" s="1"/>
  <c r="Q42" i="1" a="1"/>
  <c r="Q42" i="1" s="1"/>
  <c r="S42" i="14" s="1"/>
  <c r="D43" i="1" a="1"/>
  <c r="D43" i="1" s="1"/>
  <c r="I43" i="14" s="1"/>
  <c r="L43" i="1" a="1"/>
  <c r="L43" i="1" s="1"/>
  <c r="Q43" i="1" a="1"/>
  <c r="Q43" i="1" s="1"/>
  <c r="S43" i="14" s="1"/>
  <c r="D44" i="1" a="1"/>
  <c r="D44" i="1" s="1"/>
  <c r="I44" i="14" s="1"/>
  <c r="K44" i="1" a="1"/>
  <c r="K44" i="1" s="1"/>
  <c r="P44" i="1" a="1"/>
  <c r="P44" i="1" s="1"/>
  <c r="J46" i="1" a="1"/>
  <c r="J46" i="1" s="1"/>
  <c r="O46" i="1"/>
  <c r="M46" i="14" s="1"/>
  <c r="G47" i="1" a="1"/>
  <c r="G47" i="1" s="1"/>
  <c r="K47" i="1" a="1"/>
  <c r="K47" i="1" s="1"/>
  <c r="O47" i="1"/>
  <c r="M47" i="14" s="1"/>
  <c r="F48" i="1" a="1"/>
  <c r="F48" i="1" s="1"/>
  <c r="R48" i="14" s="1"/>
  <c r="M48" i="1" a="1"/>
  <c r="M48" i="1" s="1"/>
  <c r="H49" i="1" a="1"/>
  <c r="H49" i="1" s="1"/>
  <c r="J49" i="14" s="1"/>
  <c r="K49" i="1" a="1"/>
  <c r="K49" i="1" s="1"/>
  <c r="O49" i="1"/>
  <c r="M49" i="14" s="1"/>
  <c r="F50" i="1" a="1"/>
  <c r="F50" i="1" s="1"/>
  <c r="R50" i="14" s="1"/>
  <c r="L50" i="1" a="1"/>
  <c r="L50" i="1" s="1"/>
  <c r="C51" i="1" a="1"/>
  <c r="C51" i="1" s="1"/>
  <c r="E51" i="14" s="1"/>
  <c r="F51" i="1" a="1"/>
  <c r="F51" i="1" s="1"/>
  <c r="R51" i="14" s="1"/>
  <c r="J51" i="1" a="1"/>
  <c r="J51" i="1" s="1"/>
  <c r="M51" i="1" a="1"/>
  <c r="M51" i="1" s="1"/>
  <c r="H52" i="1" a="1"/>
  <c r="H52" i="1" s="1"/>
  <c r="J52" i="14" s="1"/>
  <c r="L52" i="1" a="1"/>
  <c r="L52" i="1" s="1"/>
  <c r="C53" i="1" a="1"/>
  <c r="C53" i="1" s="1"/>
  <c r="E53" i="14" s="1"/>
  <c r="F53" i="1" a="1"/>
  <c r="F53" i="1" s="1"/>
  <c r="R53" i="14" s="1"/>
  <c r="J53" i="1" a="1"/>
  <c r="J53" i="1" s="1"/>
  <c r="M53" i="1" a="1"/>
  <c r="M53" i="1" s="1"/>
  <c r="C54" i="1" a="1"/>
  <c r="C54" i="1" s="1"/>
  <c r="E54" i="14" s="1"/>
  <c r="J54" i="1" a="1"/>
  <c r="J54" i="1" s="1"/>
  <c r="O54" i="1"/>
  <c r="M54" i="14" s="1"/>
  <c r="D55" i="1" a="1"/>
  <c r="D55" i="1" s="1"/>
  <c r="I55" i="14" s="1"/>
  <c r="H55" i="1" a="1"/>
  <c r="H55" i="1" s="1"/>
  <c r="J55" i="14" s="1"/>
  <c r="K55" i="1" a="1"/>
  <c r="K55" i="1" s="1"/>
  <c r="O55" i="1"/>
  <c r="M55" i="14" s="1"/>
  <c r="D56" i="1" a="1"/>
  <c r="D56" i="1" s="1"/>
  <c r="I56" i="14" s="1"/>
  <c r="G56" i="1" a="1"/>
  <c r="G56" i="1" s="1"/>
  <c r="J56" i="1" a="1"/>
  <c r="J56" i="1" s="1"/>
  <c r="M56" i="1" a="1"/>
  <c r="M56" i="1" s="1"/>
  <c r="Q56" i="1" a="1"/>
  <c r="Q56" i="1" s="1"/>
  <c r="S56" i="14" s="1"/>
  <c r="C57" i="1" a="1"/>
  <c r="C57" i="1" s="1"/>
  <c r="E57" i="14" s="1"/>
  <c r="F57" i="1" a="1"/>
  <c r="F57" i="1" s="1"/>
  <c r="R57" i="14" s="1"/>
  <c r="J57" i="1" a="1"/>
  <c r="J57" i="1" s="1"/>
  <c r="M57" i="1" a="1"/>
  <c r="M57" i="1" s="1"/>
  <c r="H58" i="1" a="1"/>
  <c r="H58" i="1" s="1"/>
  <c r="J58" i="14" s="1"/>
  <c r="L58" i="1" a="1"/>
  <c r="L58" i="1" s="1"/>
  <c r="Q58" i="1" a="1"/>
  <c r="Q58" i="1" s="1"/>
  <c r="S58" i="14" s="1"/>
  <c r="D59" i="1" a="1"/>
  <c r="D59" i="1" s="1"/>
  <c r="I59" i="14" s="1"/>
  <c r="O59" i="1"/>
  <c r="M59" i="14" s="1"/>
  <c r="D60" i="1" a="1"/>
  <c r="D60" i="1" s="1"/>
  <c r="I60" i="14" s="1"/>
  <c r="G60" i="1" a="1"/>
  <c r="G60" i="1" s="1"/>
  <c r="K60" i="1" a="1"/>
  <c r="K60" i="1" s="1"/>
  <c r="P60" i="1" a="1"/>
  <c r="P60" i="1" s="1"/>
  <c r="C61" i="1" a="1"/>
  <c r="C61" i="1" s="1"/>
  <c r="E61" i="14" s="1"/>
  <c r="F61" i="1" a="1"/>
  <c r="F61" i="1" s="1"/>
  <c r="R61" i="14" s="1"/>
  <c r="J61" i="1" a="1"/>
  <c r="J61" i="1" s="1"/>
  <c r="M61" i="1" a="1"/>
  <c r="M61" i="1" s="1"/>
  <c r="H62" i="1" a="1"/>
  <c r="H62" i="1" s="1"/>
  <c r="J62" i="14" s="1"/>
  <c r="L62" i="1" a="1"/>
  <c r="L62" i="1" s="1"/>
  <c r="Q62" i="1" a="1"/>
  <c r="Q62" i="1" s="1"/>
  <c r="S62" i="14" s="1"/>
  <c r="C63" i="1" a="1"/>
  <c r="C63" i="1" s="1"/>
  <c r="E63" i="14" s="1"/>
  <c r="F63" i="1" a="1"/>
  <c r="F63" i="1" s="1"/>
  <c r="R63" i="14" s="1"/>
  <c r="J63" i="1" a="1"/>
  <c r="J63" i="1" s="1"/>
  <c r="M63" i="1" a="1"/>
  <c r="M63" i="1" s="1"/>
  <c r="H64" i="1" a="1"/>
  <c r="H64" i="1" s="1"/>
  <c r="J64" i="14" s="1"/>
  <c r="L64" i="1" a="1"/>
  <c r="L64" i="1" s="1"/>
  <c r="Q64" i="1" a="1"/>
  <c r="Q64" i="1" s="1"/>
  <c r="S64" i="14" s="1"/>
  <c r="D65" i="1" a="1"/>
  <c r="D65" i="1" s="1"/>
  <c r="I65" i="14" s="1"/>
  <c r="H65" i="1" a="1"/>
  <c r="H65" i="1" s="1"/>
  <c r="J65" i="14" s="1"/>
  <c r="L65" i="1" a="1"/>
  <c r="L65" i="1" s="1"/>
  <c r="Q65" i="1" a="1"/>
  <c r="Q65" i="1" s="1"/>
  <c r="S65" i="14" s="1"/>
  <c r="D66" i="1" a="1"/>
  <c r="D66" i="1" s="1"/>
  <c r="I66" i="14" s="1"/>
  <c r="K66" i="1" a="1"/>
  <c r="K66" i="1" s="1"/>
  <c r="L66" i="14" s="1"/>
  <c r="P66" i="1" a="1"/>
  <c r="P66" i="1" s="1"/>
  <c r="C67" i="1" a="1"/>
  <c r="C67" i="1" s="1"/>
  <c r="E67" i="14" s="1"/>
  <c r="G67" i="1" a="1"/>
  <c r="G67" i="1" s="1"/>
  <c r="M67" i="1" a="1"/>
  <c r="M67" i="1" s="1"/>
  <c r="Q67" i="1" a="1"/>
  <c r="Q67" i="1" s="1"/>
  <c r="S67" i="14" s="1"/>
  <c r="D170" i="1" a="1"/>
  <c r="D170" i="1" s="1"/>
  <c r="I170" i="14" s="1"/>
  <c r="H63" i="1" a="1"/>
  <c r="H63" i="1" s="1"/>
  <c r="J63" i="14" s="1"/>
  <c r="J64" i="1" a="1"/>
  <c r="J64" i="1" s="1"/>
  <c r="F65" i="1" a="1"/>
  <c r="F65" i="1" s="1"/>
  <c r="R65" i="14" s="1"/>
  <c r="K65" i="1" a="1"/>
  <c r="K65" i="1" s="1"/>
  <c r="F66" i="1" a="1"/>
  <c r="F66" i="1" s="1"/>
  <c r="R66" i="14" s="1"/>
  <c r="J66" i="1" a="1"/>
  <c r="J66" i="1" s="1"/>
  <c r="Q66" i="1" a="1"/>
  <c r="Q66" i="1" s="1"/>
  <c r="S66" i="14" s="1"/>
  <c r="J67" i="1" a="1"/>
  <c r="J67" i="1" s="1"/>
  <c r="G170" i="1" a="1"/>
  <c r="G170" i="1" s="1"/>
  <c r="D171" i="1" a="1"/>
  <c r="D171" i="1" s="1"/>
  <c r="I171" i="14" s="1"/>
  <c r="H171" i="1" a="1"/>
  <c r="H171" i="1" s="1"/>
  <c r="J171" i="14" s="1"/>
  <c r="L171" i="1" a="1"/>
  <c r="L171" i="1" s="1"/>
  <c r="Q171" i="1" a="1"/>
  <c r="Q171" i="1" s="1"/>
  <c r="S171" i="14" s="1"/>
  <c r="D172" i="1" a="1"/>
  <c r="D172" i="1" s="1"/>
  <c r="I172" i="14" s="1"/>
  <c r="H172" i="1" a="1"/>
  <c r="H172" i="1" s="1"/>
  <c r="J172" i="14" s="1"/>
  <c r="O172" i="1"/>
  <c r="M172" i="14" s="1"/>
  <c r="F173" i="1" a="1"/>
  <c r="F173" i="1" s="1"/>
  <c r="R173" i="14" s="1"/>
  <c r="L173" i="1" a="1"/>
  <c r="L173" i="1" s="1"/>
  <c r="D174" i="1" a="1"/>
  <c r="D174" i="1" s="1"/>
  <c r="I174" i="14" s="1"/>
  <c r="H174" i="1" a="1"/>
  <c r="H174" i="1" s="1"/>
  <c r="J174" i="14" s="1"/>
  <c r="L174" i="1" a="1"/>
  <c r="L174" i="1" s="1"/>
  <c r="D175" i="1" a="1"/>
  <c r="D175" i="1" s="1"/>
  <c r="I175" i="14" s="1"/>
  <c r="H175" i="1" a="1"/>
  <c r="H175" i="1" s="1"/>
  <c r="J175" i="14" s="1"/>
  <c r="L175" i="1" a="1"/>
  <c r="L175" i="1" s="1"/>
  <c r="D176" i="1" a="1"/>
  <c r="D176" i="1" s="1"/>
  <c r="I176" i="14" s="1"/>
  <c r="H176" i="1" a="1"/>
  <c r="H176" i="1" s="1"/>
  <c r="J176" i="14" s="1"/>
  <c r="L176" i="1" a="1"/>
  <c r="L176" i="1" s="1"/>
  <c r="M177" i="1" a="1"/>
  <c r="M177" i="1" s="1"/>
  <c r="L178" i="1" a="1"/>
  <c r="L178" i="1" s="1"/>
  <c r="D179" i="1" a="1"/>
  <c r="D179" i="1" s="1"/>
  <c r="I179" i="14" s="1"/>
  <c r="G179" i="1" a="1"/>
  <c r="G179" i="1" s="1"/>
  <c r="J179" i="1" a="1"/>
  <c r="J179" i="1" s="1"/>
  <c r="O179" i="1"/>
  <c r="M179" i="14" s="1"/>
  <c r="M180" i="1" a="1"/>
  <c r="M180" i="1" s="1"/>
  <c r="H181" i="1" a="1"/>
  <c r="H181" i="1" s="1"/>
  <c r="J181" i="14" s="1"/>
  <c r="L181" i="1" a="1"/>
  <c r="L181" i="1" s="1"/>
  <c r="Q181" i="1" a="1"/>
  <c r="Q181" i="1" s="1"/>
  <c r="S181" i="14" s="1"/>
  <c r="D182" i="1" a="1"/>
  <c r="D182" i="1" s="1"/>
  <c r="I182" i="14" s="1"/>
  <c r="H182" i="1" a="1"/>
  <c r="H182" i="1" s="1"/>
  <c r="J182" i="14" s="1"/>
  <c r="C183" i="1" a="1"/>
  <c r="C183" i="1" s="1"/>
  <c r="E183" i="14" s="1"/>
  <c r="J183" i="1" a="1"/>
  <c r="J183" i="1" s="1"/>
  <c r="O183" i="1"/>
  <c r="M183" i="14" s="1"/>
  <c r="D184" i="1" a="1"/>
  <c r="D184" i="1" s="1"/>
  <c r="I184" i="14" s="1"/>
  <c r="H184" i="1" a="1"/>
  <c r="H184" i="1" s="1"/>
  <c r="J184" i="14" s="1"/>
  <c r="L184" i="1" a="1"/>
  <c r="L184" i="1" s="1"/>
  <c r="D185" i="1" a="1"/>
  <c r="D185" i="1" s="1"/>
  <c r="I185" i="14" s="1"/>
  <c r="G185" i="1" a="1"/>
  <c r="G185" i="1" s="1"/>
  <c r="K185" i="1" a="1"/>
  <c r="K185" i="1" s="1"/>
  <c r="P185" i="1" a="1"/>
  <c r="P185" i="1" s="1"/>
  <c r="C186" i="1" a="1"/>
  <c r="C186" i="1" s="1"/>
  <c r="E186" i="14" s="1"/>
  <c r="G186" i="1" a="1"/>
  <c r="G186" i="1" s="1"/>
  <c r="O186" i="1"/>
  <c r="M186" i="14" s="1"/>
  <c r="F187" i="1" a="1"/>
  <c r="F187" i="1" s="1"/>
  <c r="R187" i="14" s="1"/>
  <c r="M187" i="1" a="1"/>
  <c r="M187" i="1" s="1"/>
  <c r="M188" i="1" a="1"/>
  <c r="M188" i="1" s="1"/>
  <c r="M189" i="1" a="1"/>
  <c r="M189" i="1" s="1"/>
  <c r="M190" i="1" a="1"/>
  <c r="M190" i="1" s="1"/>
  <c r="M191" i="1" a="1"/>
  <c r="M191" i="1" s="1"/>
  <c r="M192" i="1" a="1"/>
  <c r="M192" i="1" s="1"/>
  <c r="H193" i="1" a="1"/>
  <c r="H193" i="1" s="1"/>
  <c r="J193" i="14" s="1"/>
  <c r="L193" i="1" a="1"/>
  <c r="L193" i="1" s="1"/>
  <c r="D194" i="1" a="1"/>
  <c r="D194" i="1" s="1"/>
  <c r="I194" i="14" s="1"/>
  <c r="H194" i="1" a="1"/>
  <c r="H194" i="1" s="1"/>
  <c r="J194" i="14" s="1"/>
  <c r="K194" i="1" a="1"/>
  <c r="K194" i="1" s="1"/>
  <c r="K64" i="1" a="1"/>
  <c r="K64" i="1" s="1"/>
  <c r="G65" i="1" a="1"/>
  <c r="G65" i="1" s="1"/>
  <c r="M65" i="1" a="1"/>
  <c r="M65" i="1" s="1"/>
  <c r="G66" i="1" a="1"/>
  <c r="G66" i="1" s="1"/>
  <c r="L66" i="1" a="1"/>
  <c r="L66" i="1" s="1"/>
  <c r="F67" i="1" a="1"/>
  <c r="F67" i="1" s="1"/>
  <c r="R67" i="14" s="1"/>
  <c r="K67" i="1" a="1"/>
  <c r="K67" i="1" s="1"/>
  <c r="O67" i="1"/>
  <c r="M67" i="14" s="1"/>
  <c r="C170" i="1" a="1"/>
  <c r="C170" i="1" s="1"/>
  <c r="E170" i="14" s="1"/>
  <c r="H170" i="1" a="1"/>
  <c r="H170" i="1" s="1"/>
  <c r="J170" i="14" s="1"/>
  <c r="L170" i="1" a="1"/>
  <c r="L170" i="1" s="1"/>
  <c r="M171" i="1" a="1"/>
  <c r="M171" i="1" s="1"/>
  <c r="L172" i="1" a="1"/>
  <c r="L172" i="1" s="1"/>
  <c r="C173" i="1" a="1"/>
  <c r="C173" i="1" s="1"/>
  <c r="E173" i="14" s="1"/>
  <c r="M173" i="1" a="1"/>
  <c r="M173" i="1" s="1"/>
  <c r="M174" i="1" a="1"/>
  <c r="M174" i="1" s="1"/>
  <c r="M175" i="1" a="1"/>
  <c r="M175" i="1" s="1"/>
  <c r="M176" i="1" a="1"/>
  <c r="M176" i="1" s="1"/>
  <c r="F177" i="1" a="1"/>
  <c r="F177" i="1" s="1"/>
  <c r="R177" i="14" s="1"/>
  <c r="J177" i="1" a="1"/>
  <c r="J177" i="1" s="1"/>
  <c r="O177" i="1"/>
  <c r="M177" i="14" s="1"/>
  <c r="F178" i="1" a="1"/>
  <c r="F178" i="1" s="1"/>
  <c r="R178" i="14" s="1"/>
  <c r="J178" i="1" a="1"/>
  <c r="J178" i="1" s="1"/>
  <c r="H179" i="1" a="1"/>
  <c r="H179" i="1" s="1"/>
  <c r="J179" i="14" s="1"/>
  <c r="F180" i="1" a="1"/>
  <c r="F180" i="1" s="1"/>
  <c r="R180" i="14" s="1"/>
  <c r="J180" i="1" a="1"/>
  <c r="J180" i="1" s="1"/>
  <c r="O180" i="1"/>
  <c r="M180" i="14" s="1"/>
  <c r="F181" i="1" a="1"/>
  <c r="F181" i="1" s="1"/>
  <c r="R181" i="14" s="1"/>
  <c r="M181" i="1" a="1"/>
  <c r="M181" i="1" s="1"/>
  <c r="L182" i="1" a="1"/>
  <c r="L182" i="1" s="1"/>
  <c r="D183" i="1" a="1"/>
  <c r="D183" i="1" s="1"/>
  <c r="I183" i="14" s="1"/>
  <c r="G183" i="1" a="1"/>
  <c r="G183" i="1" s="1"/>
  <c r="K183" i="1" a="1"/>
  <c r="K183" i="1" s="1"/>
  <c r="P183" i="1" a="1"/>
  <c r="P183" i="1" s="1"/>
  <c r="M184" i="1" a="1"/>
  <c r="M184" i="1" s="1"/>
  <c r="H185" i="1" a="1"/>
  <c r="H185" i="1" s="1"/>
  <c r="J185" i="14" s="1"/>
  <c r="L185" i="1" a="1"/>
  <c r="L185" i="1" s="1"/>
  <c r="Q185" i="1" a="1"/>
  <c r="Q185" i="1" s="1"/>
  <c r="S185" i="14" s="1"/>
  <c r="D186" i="1" a="1"/>
  <c r="D186" i="1" s="1"/>
  <c r="I186" i="14" s="1"/>
  <c r="H186" i="1" a="1"/>
  <c r="H186" i="1" s="1"/>
  <c r="J186" i="14" s="1"/>
  <c r="K186" i="1" a="1"/>
  <c r="K186" i="1" s="1"/>
  <c r="P186" i="1" a="1"/>
  <c r="P186" i="1" s="1"/>
  <c r="C187" i="1" a="1"/>
  <c r="C187" i="1" s="1"/>
  <c r="E187" i="14" s="1"/>
  <c r="J187" i="1" a="1"/>
  <c r="J187" i="1" s="1"/>
  <c r="O187" i="1"/>
  <c r="M187" i="14" s="1"/>
  <c r="F188" i="1" a="1"/>
  <c r="F188" i="1" s="1"/>
  <c r="R188" i="14" s="1"/>
  <c r="J188" i="1" a="1"/>
  <c r="J188" i="1" s="1"/>
  <c r="O188" i="1"/>
  <c r="M188" i="14" s="1"/>
  <c r="F189" i="1" a="1"/>
  <c r="F189" i="1" s="1"/>
  <c r="R189" i="14" s="1"/>
  <c r="J189" i="1" a="1"/>
  <c r="J189" i="1" s="1"/>
  <c r="O189" i="1"/>
  <c r="M189" i="14" s="1"/>
  <c r="F190" i="1" a="1"/>
  <c r="F190" i="1" s="1"/>
  <c r="R190" i="14" s="1"/>
  <c r="J190" i="1" a="1"/>
  <c r="J190" i="1" s="1"/>
  <c r="O190" i="1"/>
  <c r="M190" i="14" s="1"/>
  <c r="F191" i="1" a="1"/>
  <c r="F191" i="1" s="1"/>
  <c r="R191" i="14" s="1"/>
  <c r="J191" i="1" a="1"/>
  <c r="J191" i="1" s="1"/>
  <c r="O191" i="1"/>
  <c r="M191" i="14" s="1"/>
  <c r="F192" i="1" a="1"/>
  <c r="F192" i="1" s="1"/>
  <c r="R192" i="14" s="1"/>
  <c r="J192" i="1" a="1"/>
  <c r="J192" i="1" s="1"/>
  <c r="O192" i="1"/>
  <c r="M192" i="14" s="1"/>
  <c r="F193" i="1" a="1"/>
  <c r="F193" i="1" s="1"/>
  <c r="R193" i="14" s="1"/>
  <c r="M193" i="1" a="1"/>
  <c r="M193" i="1" s="1"/>
  <c r="K63" i="1" a="1"/>
  <c r="K63" i="1" s="1"/>
  <c r="C64" i="1" a="1"/>
  <c r="C64" i="1" s="1"/>
  <c r="E64" i="14" s="1"/>
  <c r="G64" i="1" a="1"/>
  <c r="G64" i="1" s="1"/>
  <c r="O64" i="1"/>
  <c r="M64" i="14" s="1"/>
  <c r="C65" i="1" a="1"/>
  <c r="C65" i="1" s="1"/>
  <c r="E65" i="14" s="1"/>
  <c r="O65" i="1"/>
  <c r="M65" i="14" s="1"/>
  <c r="C66" i="1" a="1"/>
  <c r="C66" i="1" s="1"/>
  <c r="E66" i="14" s="1"/>
  <c r="H66" i="1" a="1"/>
  <c r="H66" i="1" s="1"/>
  <c r="J66" i="14" s="1"/>
  <c r="M66" i="1" a="1"/>
  <c r="M66" i="1" s="1"/>
  <c r="H67" i="1" a="1"/>
  <c r="H67" i="1" s="1"/>
  <c r="J67" i="14" s="1"/>
  <c r="P67" i="1" a="1"/>
  <c r="P67" i="1" s="1"/>
  <c r="M170" i="1" a="1"/>
  <c r="M170" i="1" s="1"/>
  <c r="F171" i="1" a="1"/>
  <c r="F171" i="1" s="1"/>
  <c r="R171" i="14" s="1"/>
  <c r="J171" i="1" a="1"/>
  <c r="J171" i="1" s="1"/>
  <c r="O171" i="1"/>
  <c r="M171" i="14" s="1"/>
  <c r="F172" i="1" a="1"/>
  <c r="F172" i="1" s="1"/>
  <c r="R172" i="14" s="1"/>
  <c r="J172" i="1" a="1"/>
  <c r="J172" i="1" s="1"/>
  <c r="D173" i="1" a="1"/>
  <c r="D173" i="1" s="1"/>
  <c r="I173" i="14" s="1"/>
  <c r="G173" i="1" a="1"/>
  <c r="G173" i="1" s="1"/>
  <c r="J173" i="1" a="1"/>
  <c r="J173" i="1" s="1"/>
  <c r="O173" i="1"/>
  <c r="M173" i="14" s="1"/>
  <c r="F174" i="1" a="1"/>
  <c r="F174" i="1" s="1"/>
  <c r="R174" i="14" s="1"/>
  <c r="J174" i="1" a="1"/>
  <c r="J174" i="1" s="1"/>
  <c r="O174" i="1"/>
  <c r="M174" i="14" s="1"/>
  <c r="F175" i="1" a="1"/>
  <c r="F175" i="1" s="1"/>
  <c r="R175" i="14" s="1"/>
  <c r="J175" i="1" a="1"/>
  <c r="J175" i="1" s="1"/>
  <c r="O175" i="1"/>
  <c r="M175" i="14" s="1"/>
  <c r="F176" i="1" a="1"/>
  <c r="F176" i="1" s="1"/>
  <c r="R176" i="14" s="1"/>
  <c r="J176" i="1" a="1"/>
  <c r="J176" i="1" s="1"/>
  <c r="C177" i="1" a="1"/>
  <c r="C177" i="1" s="1"/>
  <c r="E177" i="14" s="1"/>
  <c r="G177" i="1" a="1"/>
  <c r="G177" i="1" s="1"/>
  <c r="K177" i="1" a="1"/>
  <c r="K177" i="1" s="1"/>
  <c r="P177" i="1" a="1"/>
  <c r="P177" i="1" s="1"/>
  <c r="C178" i="1" a="1"/>
  <c r="C178" i="1" s="1"/>
  <c r="E178" i="14" s="1"/>
  <c r="G178" i="1" a="1"/>
  <c r="G178" i="1" s="1"/>
  <c r="M178" i="1" a="1"/>
  <c r="M178" i="1" s="1"/>
  <c r="F179" i="1" a="1"/>
  <c r="F179" i="1" s="1"/>
  <c r="R179" i="14" s="1"/>
  <c r="L179" i="1" a="1"/>
  <c r="L179" i="1" s="1"/>
  <c r="C180" i="1" a="1"/>
  <c r="C180" i="1" s="1"/>
  <c r="E180" i="14" s="1"/>
  <c r="G180" i="1" a="1"/>
  <c r="G180" i="1" s="1"/>
  <c r="K180" i="1" a="1"/>
  <c r="K180" i="1" s="1"/>
  <c r="P180" i="1" a="1"/>
  <c r="P180" i="1" s="1"/>
  <c r="C181" i="1" a="1"/>
  <c r="C181" i="1" s="1"/>
  <c r="E181" i="14" s="1"/>
  <c r="G181" i="1" a="1"/>
  <c r="G181" i="1" s="1"/>
  <c r="J181" i="1" a="1"/>
  <c r="J181" i="1" s="1"/>
  <c r="O181" i="1"/>
  <c r="M181" i="14" s="1"/>
  <c r="F182" i="1" a="1"/>
  <c r="F182" i="1" s="1"/>
  <c r="R182" i="14" s="1"/>
  <c r="J182" i="1" a="1"/>
  <c r="J182" i="1" s="1"/>
  <c r="M182" i="1" a="1"/>
  <c r="M182" i="1" s="1"/>
  <c r="H183" i="1" a="1"/>
  <c r="H183" i="1" s="1"/>
  <c r="J183" i="14" s="1"/>
  <c r="L183" i="1" a="1"/>
  <c r="L183" i="1" s="1"/>
  <c r="Q183" i="1" a="1"/>
  <c r="Q183" i="1" s="1"/>
  <c r="S183" i="14" s="1"/>
  <c r="C184" i="1" a="1"/>
  <c r="C184" i="1" s="1"/>
  <c r="E184" i="14" s="1"/>
  <c r="F184" i="1" a="1"/>
  <c r="F184" i="1" s="1"/>
  <c r="R184" i="14" s="1"/>
  <c r="J184" i="1" a="1"/>
  <c r="J184" i="1" s="1"/>
  <c r="O184" i="1"/>
  <c r="M184" i="14" s="1"/>
  <c r="F185" i="1" a="1"/>
  <c r="F185" i="1" s="1"/>
  <c r="R185" i="14" s="1"/>
  <c r="M185" i="1" a="1"/>
  <c r="M185" i="1" s="1"/>
  <c r="L186" i="1" a="1"/>
  <c r="L186" i="1" s="1"/>
  <c r="Q186" i="1" a="1"/>
  <c r="Q186" i="1" s="1"/>
  <c r="S186" i="14" s="1"/>
  <c r="D187" i="1" a="1"/>
  <c r="D187" i="1" s="1"/>
  <c r="I187" i="14" s="1"/>
  <c r="G187" i="1" a="1"/>
  <c r="G187" i="1" s="1"/>
  <c r="K187" i="1" a="1"/>
  <c r="K187" i="1" s="1"/>
  <c r="P187" i="1" a="1"/>
  <c r="P187" i="1" s="1"/>
  <c r="C188" i="1" a="1"/>
  <c r="C188" i="1" s="1"/>
  <c r="E188" i="14" s="1"/>
  <c r="G188" i="1" a="1"/>
  <c r="G188" i="1" s="1"/>
  <c r="K188" i="1" a="1"/>
  <c r="K188" i="1" s="1"/>
  <c r="P188" i="1" a="1"/>
  <c r="P188" i="1" s="1"/>
  <c r="C189" i="1" a="1"/>
  <c r="C189" i="1" s="1"/>
  <c r="E189" i="14" s="1"/>
  <c r="G189" i="1" a="1"/>
  <c r="G189" i="1" s="1"/>
  <c r="K189" i="1" a="1"/>
  <c r="K189" i="1" s="1"/>
  <c r="P189" i="1" a="1"/>
  <c r="P189" i="1" s="1"/>
  <c r="C190" i="1" a="1"/>
  <c r="C190" i="1" s="1"/>
  <c r="E190" i="14" s="1"/>
  <c r="G190" i="1" a="1"/>
  <c r="G190" i="1" s="1"/>
  <c r="K190" i="1" a="1"/>
  <c r="K190" i="1" s="1"/>
  <c r="P190" i="1" a="1"/>
  <c r="P190" i="1" s="1"/>
  <c r="C191" i="1" a="1"/>
  <c r="C191" i="1" s="1"/>
  <c r="E191" i="14" s="1"/>
  <c r="G191" i="1" a="1"/>
  <c r="G191" i="1" s="1"/>
  <c r="P63" i="1" a="1"/>
  <c r="P63" i="1" s="1"/>
  <c r="D64" i="1" a="1"/>
  <c r="D64" i="1" s="1"/>
  <c r="I64" i="14" s="1"/>
  <c r="P64" i="1" a="1"/>
  <c r="P64" i="1" s="1"/>
  <c r="J65" i="1" a="1"/>
  <c r="J65" i="1" s="1"/>
  <c r="P65" i="1" a="1"/>
  <c r="P65" i="1" s="1"/>
  <c r="O66" i="1"/>
  <c r="M66" i="14" s="1"/>
  <c r="D67" i="1" a="1"/>
  <c r="D67" i="1" s="1"/>
  <c r="I67" i="14" s="1"/>
  <c r="L67" i="1" a="1"/>
  <c r="L67" i="1" s="1"/>
  <c r="F170" i="1" a="1"/>
  <c r="F170" i="1" s="1"/>
  <c r="R170" i="14" s="1"/>
  <c r="J170" i="1" a="1"/>
  <c r="J170" i="1" s="1"/>
  <c r="C171" i="1" a="1"/>
  <c r="C171" i="1" s="1"/>
  <c r="E171" i="14" s="1"/>
  <c r="G171" i="1" a="1"/>
  <c r="G171" i="1" s="1"/>
  <c r="K171" i="1" a="1"/>
  <c r="K171" i="1" s="1"/>
  <c r="P171" i="1" a="1"/>
  <c r="P171" i="1" s="1"/>
  <c r="C172" i="1" a="1"/>
  <c r="C172" i="1" s="1"/>
  <c r="E172" i="14" s="1"/>
  <c r="G172" i="1" a="1"/>
  <c r="G172" i="1" s="1"/>
  <c r="M172" i="1" a="1"/>
  <c r="M172" i="1" s="1"/>
  <c r="H173" i="1" a="1"/>
  <c r="H173" i="1" s="1"/>
  <c r="J173" i="14" s="1"/>
  <c r="C174" i="1" a="1"/>
  <c r="C174" i="1" s="1"/>
  <c r="E174" i="14" s="1"/>
  <c r="G174" i="1" a="1"/>
  <c r="G174" i="1" s="1"/>
  <c r="C175" i="1" a="1"/>
  <c r="C175" i="1" s="1"/>
  <c r="E175" i="14" s="1"/>
  <c r="G175" i="1" a="1"/>
  <c r="G175" i="1" s="1"/>
  <c r="C176" i="1" a="1"/>
  <c r="C176" i="1" s="1"/>
  <c r="E176" i="14" s="1"/>
  <c r="G176" i="1" a="1"/>
  <c r="G176" i="1" s="1"/>
  <c r="D177" i="1" a="1"/>
  <c r="D177" i="1" s="1"/>
  <c r="I177" i="14" s="1"/>
  <c r="H177" i="1" a="1"/>
  <c r="H177" i="1" s="1"/>
  <c r="J177" i="14" s="1"/>
  <c r="L177" i="1" a="1"/>
  <c r="L177" i="1" s="1"/>
  <c r="Q177" i="1" a="1"/>
  <c r="Q177" i="1" s="1"/>
  <c r="S177" i="14" s="1"/>
  <c r="D178" i="1" a="1"/>
  <c r="D178" i="1" s="1"/>
  <c r="I178" i="14" s="1"/>
  <c r="H178" i="1" a="1"/>
  <c r="H178" i="1" s="1"/>
  <c r="J178" i="14" s="1"/>
  <c r="C179" i="1" a="1"/>
  <c r="C179" i="1" s="1"/>
  <c r="E179" i="14" s="1"/>
  <c r="M179" i="1" a="1"/>
  <c r="M179" i="1" s="1"/>
  <c r="D180" i="1" a="1"/>
  <c r="D180" i="1" s="1"/>
  <c r="I180" i="14" s="1"/>
  <c r="H180" i="1" a="1"/>
  <c r="H180" i="1" s="1"/>
  <c r="J180" i="14" s="1"/>
  <c r="L180" i="1" a="1"/>
  <c r="L180" i="1" s="1"/>
  <c r="Q180" i="1" a="1"/>
  <c r="Q180" i="1" s="1"/>
  <c r="S180" i="14" s="1"/>
  <c r="D181" i="1" a="1"/>
  <c r="D181" i="1" s="1"/>
  <c r="I181" i="14" s="1"/>
  <c r="K181" i="1" a="1"/>
  <c r="K181" i="1" s="1"/>
  <c r="P181" i="1" a="1"/>
  <c r="P181" i="1" s="1"/>
  <c r="C182" i="1" a="1"/>
  <c r="C182" i="1" s="1"/>
  <c r="E182" i="14" s="1"/>
  <c r="G182" i="1" a="1"/>
  <c r="G182" i="1" s="1"/>
  <c r="O182" i="1"/>
  <c r="M182" i="14" s="1"/>
  <c r="F183" i="1" a="1"/>
  <c r="F183" i="1" s="1"/>
  <c r="R183" i="14" s="1"/>
  <c r="M183" i="1" a="1"/>
  <c r="M183" i="1" s="1"/>
  <c r="G184" i="1" a="1"/>
  <c r="G184" i="1" s="1"/>
  <c r="C185" i="1" a="1"/>
  <c r="C185" i="1" s="1"/>
  <c r="E185" i="14" s="1"/>
  <c r="J185" i="1" a="1"/>
  <c r="J185" i="1" s="1"/>
  <c r="O185" i="1"/>
  <c r="M185" i="14" s="1"/>
  <c r="F186" i="1" a="1"/>
  <c r="F186" i="1" s="1"/>
  <c r="R186" i="14" s="1"/>
  <c r="J186" i="1" a="1"/>
  <c r="J186" i="1" s="1"/>
  <c r="M186" i="1" a="1"/>
  <c r="M186" i="1" s="1"/>
  <c r="H187" i="1" a="1"/>
  <c r="H187" i="1" s="1"/>
  <c r="J187" i="14" s="1"/>
  <c r="L187" i="1" a="1"/>
  <c r="L187" i="1" s="1"/>
  <c r="Q187" i="1" a="1"/>
  <c r="Q187" i="1" s="1"/>
  <c r="S187" i="14" s="1"/>
  <c r="D188" i="1" a="1"/>
  <c r="D188" i="1" s="1"/>
  <c r="I188" i="14" s="1"/>
  <c r="H188" i="1" a="1"/>
  <c r="H188" i="1" s="1"/>
  <c r="J188" i="14" s="1"/>
  <c r="L188" i="1" a="1"/>
  <c r="L188" i="1" s="1"/>
  <c r="Q188" i="1" a="1"/>
  <c r="Q188" i="1" s="1"/>
  <c r="S188" i="14" s="1"/>
  <c r="D189" i="1" a="1"/>
  <c r="D189" i="1" s="1"/>
  <c r="I189" i="14" s="1"/>
  <c r="H189" i="1" a="1"/>
  <c r="H189" i="1" s="1"/>
  <c r="J189" i="14" s="1"/>
  <c r="L189" i="1" a="1"/>
  <c r="L189" i="1" s="1"/>
  <c r="Q189" i="1" a="1"/>
  <c r="Q189" i="1" s="1"/>
  <c r="S189" i="14" s="1"/>
  <c r="D190" i="1" a="1"/>
  <c r="D190" i="1" s="1"/>
  <c r="I190" i="14" s="1"/>
  <c r="H190" i="1" a="1"/>
  <c r="H190" i="1" s="1"/>
  <c r="J190" i="14" s="1"/>
  <c r="L190" i="1" a="1"/>
  <c r="L190" i="1" s="1"/>
  <c r="Q190" i="1" a="1"/>
  <c r="Q190" i="1" s="1"/>
  <c r="S190" i="14" s="1"/>
  <c r="D191" i="1" a="1"/>
  <c r="D191" i="1" s="1"/>
  <c r="I191" i="14" s="1"/>
  <c r="H191" i="1" a="1"/>
  <c r="H191" i="1" s="1"/>
  <c r="J191" i="14" s="1"/>
  <c r="L191" i="1" a="1"/>
  <c r="L191" i="1" s="1"/>
  <c r="Q191" i="1" a="1"/>
  <c r="Q191" i="1" s="1"/>
  <c r="S191" i="14" s="1"/>
  <c r="D192" i="1" a="1"/>
  <c r="D192" i="1" s="1"/>
  <c r="I192" i="14" s="1"/>
  <c r="H192" i="1" a="1"/>
  <c r="H192" i="1" s="1"/>
  <c r="J192" i="14" s="1"/>
  <c r="L192" i="1" a="1"/>
  <c r="L192" i="1" s="1"/>
  <c r="Q192" i="1" a="1"/>
  <c r="Q192" i="1" s="1"/>
  <c r="S192" i="14" s="1"/>
  <c r="D193" i="1" a="1"/>
  <c r="D193" i="1" s="1"/>
  <c r="I193" i="14" s="1"/>
  <c r="G193" i="1" a="1"/>
  <c r="G193" i="1" s="1"/>
  <c r="C194" i="1" a="1"/>
  <c r="C194" i="1" s="1"/>
  <c r="E194" i="14" s="1"/>
  <c r="G194" i="1" a="1"/>
  <c r="G194" i="1" s="1"/>
  <c r="O194" i="1"/>
  <c r="M194" i="14" s="1"/>
  <c r="F195" i="1" a="1"/>
  <c r="F195" i="1" s="1"/>
  <c r="R195" i="14" s="1"/>
  <c r="M195" i="1" a="1"/>
  <c r="M195" i="1" s="1"/>
  <c r="M196" i="1" a="1"/>
  <c r="M196" i="1" s="1"/>
  <c r="F197" i="1" a="1"/>
  <c r="F197" i="1" s="1"/>
  <c r="R197" i="14" s="1"/>
  <c r="J197" i="1" a="1"/>
  <c r="J197" i="1" s="1"/>
  <c r="O197" i="1"/>
  <c r="M197" i="14" s="1"/>
  <c r="F198" i="1" a="1"/>
  <c r="F198" i="1" s="1"/>
  <c r="R198" i="14" s="1"/>
  <c r="J198" i="1" a="1"/>
  <c r="J198" i="1" s="1"/>
  <c r="O198" i="1"/>
  <c r="M198" i="14" s="1"/>
  <c r="F199" i="1" a="1"/>
  <c r="F199" i="1" s="1"/>
  <c r="R199" i="14" s="1"/>
  <c r="J199" i="1" a="1"/>
  <c r="J199" i="1" s="1"/>
  <c r="C200" i="1" a="1"/>
  <c r="C200" i="1" s="1"/>
  <c r="E200" i="14" s="1"/>
  <c r="G200" i="1" a="1"/>
  <c r="G200" i="1" s="1"/>
  <c r="K200" i="1" a="1"/>
  <c r="K200" i="1" s="1"/>
  <c r="P200" i="1" a="1"/>
  <c r="P200" i="1" s="1"/>
  <c r="J194" i="1" a="1"/>
  <c r="J194" i="1" s="1"/>
  <c r="Q194" i="1" a="1"/>
  <c r="Q194" i="1" s="1"/>
  <c r="S194" i="14" s="1"/>
  <c r="D195" i="1" a="1"/>
  <c r="D195" i="1" s="1"/>
  <c r="I195" i="14" s="1"/>
  <c r="H195" i="1" a="1"/>
  <c r="H195" i="1" s="1"/>
  <c r="J195" i="14" s="1"/>
  <c r="L195" i="1" a="1"/>
  <c r="L195" i="1" s="1"/>
  <c r="C197" i="1" a="1"/>
  <c r="C197" i="1" s="1"/>
  <c r="E197" i="14" s="1"/>
  <c r="H197" i="1" a="1"/>
  <c r="H197" i="1" s="1"/>
  <c r="J197" i="14" s="1"/>
  <c r="M197" i="1" a="1"/>
  <c r="M197" i="1" s="1"/>
  <c r="G198" i="1" a="1"/>
  <c r="G198" i="1" s="1"/>
  <c r="L198" i="1" a="1"/>
  <c r="L198" i="1" s="1"/>
  <c r="F200" i="1" a="1"/>
  <c r="F200" i="1" s="1"/>
  <c r="R200" i="14" s="1"/>
  <c r="L200" i="1" a="1"/>
  <c r="L200" i="1" s="1"/>
  <c r="M201" i="1" a="1"/>
  <c r="M201" i="1" s="1"/>
  <c r="D202" i="1" a="1"/>
  <c r="D202" i="1" s="1"/>
  <c r="I202" i="14" s="1"/>
  <c r="H202" i="1" a="1"/>
  <c r="H202" i="1" s="1"/>
  <c r="J202" i="14" s="1"/>
  <c r="P202" i="1" a="1"/>
  <c r="P202" i="1" s="1"/>
  <c r="C203" i="1" a="1"/>
  <c r="C203" i="1" s="1"/>
  <c r="E203" i="14" s="1"/>
  <c r="G203" i="1" a="1"/>
  <c r="G203" i="1" s="1"/>
  <c r="J203" i="1" a="1"/>
  <c r="J203" i="1" s="1"/>
  <c r="O203" i="1"/>
  <c r="M203" i="14" s="1"/>
  <c r="D204" i="1" a="1"/>
  <c r="D204" i="1" s="1"/>
  <c r="I204" i="14" s="1"/>
  <c r="H204" i="1" a="1"/>
  <c r="H204" i="1" s="1"/>
  <c r="J204" i="14" s="1"/>
  <c r="L204" i="1" a="1"/>
  <c r="L204" i="1" s="1"/>
  <c r="C205" i="1" a="1"/>
  <c r="C205" i="1" s="1"/>
  <c r="E205" i="14" s="1"/>
  <c r="G205" i="1" a="1"/>
  <c r="G205" i="1" s="1"/>
  <c r="J207" i="1" a="1"/>
  <c r="J207" i="1" s="1"/>
  <c r="O207" i="1"/>
  <c r="M207" i="14" s="1"/>
  <c r="F208" i="1" a="1"/>
  <c r="F208" i="1" s="1"/>
  <c r="R208" i="14" s="1"/>
  <c r="J208" i="1" a="1"/>
  <c r="J208" i="1" s="1"/>
  <c r="O208" i="1"/>
  <c r="M208" i="14" s="1"/>
  <c r="F209" i="1" a="1"/>
  <c r="F209" i="1" s="1"/>
  <c r="R209" i="14" s="1"/>
  <c r="J209" i="1" a="1"/>
  <c r="J209" i="1" s="1"/>
  <c r="O209" i="1"/>
  <c r="M209" i="14" s="1"/>
  <c r="F210" i="1" a="1"/>
  <c r="F210" i="1" s="1"/>
  <c r="R210" i="14" s="1"/>
  <c r="J210" i="1" a="1"/>
  <c r="J210" i="1" s="1"/>
  <c r="L210" i="1" a="1"/>
  <c r="L210" i="1" s="1"/>
  <c r="O210" i="1"/>
  <c r="M210" i="14" s="1"/>
  <c r="F211" i="1" a="1"/>
  <c r="F211" i="1" s="1"/>
  <c r="R211" i="14" s="1"/>
  <c r="H211" i="1" a="1"/>
  <c r="H211" i="1" s="1"/>
  <c r="J211" i="14" s="1"/>
  <c r="K211" i="1" a="1"/>
  <c r="K211" i="1" s="1"/>
  <c r="P211" i="1" a="1"/>
  <c r="P211" i="1" s="1"/>
  <c r="D212" i="1" a="1"/>
  <c r="D212" i="1" s="1"/>
  <c r="I212" i="14" s="1"/>
  <c r="G212" i="1" a="1"/>
  <c r="G212" i="1" s="1"/>
  <c r="K212" i="1" a="1"/>
  <c r="K212" i="1" s="1"/>
  <c r="P212" i="1" a="1"/>
  <c r="P212" i="1" s="1"/>
  <c r="C213" i="1" a="1"/>
  <c r="C213" i="1" s="1"/>
  <c r="E213" i="14" s="1"/>
  <c r="G213" i="1" a="1"/>
  <c r="G213" i="1" s="1"/>
  <c r="J213" i="1" a="1"/>
  <c r="J213" i="1" s="1"/>
  <c r="O213" i="1"/>
  <c r="M213" i="14" s="1"/>
  <c r="F214" i="1" a="1"/>
  <c r="F214" i="1" s="1"/>
  <c r="R214" i="14" s="1"/>
  <c r="J214" i="1" a="1"/>
  <c r="J214" i="1" s="1"/>
  <c r="M215" i="1" a="1"/>
  <c r="M215" i="1" s="1"/>
  <c r="M216" i="1" a="1"/>
  <c r="M216" i="1" s="1"/>
  <c r="H217" i="1" a="1"/>
  <c r="H217" i="1" s="1"/>
  <c r="J217" i="14" s="1"/>
  <c r="L217" i="1" a="1"/>
  <c r="L217" i="1" s="1"/>
  <c r="Q217" i="1" a="1"/>
  <c r="Q217" i="1" s="1"/>
  <c r="S217" i="14" s="1"/>
  <c r="D218" i="1" a="1"/>
  <c r="D218" i="1" s="1"/>
  <c r="I218" i="14" s="1"/>
  <c r="H218" i="1" a="1"/>
  <c r="H218" i="1" s="1"/>
  <c r="J218" i="14" s="1"/>
  <c r="K218" i="1" a="1"/>
  <c r="K218" i="1" s="1"/>
  <c r="P218" i="1" a="1"/>
  <c r="P218" i="1" s="1"/>
  <c r="C219" i="1" a="1"/>
  <c r="C219" i="1" s="1"/>
  <c r="E219" i="14" s="1"/>
  <c r="J219" i="1" a="1"/>
  <c r="J219" i="1" s="1"/>
  <c r="O219" i="1"/>
  <c r="M219" i="14" s="1"/>
  <c r="F220" i="1" a="1"/>
  <c r="F220" i="1" s="1"/>
  <c r="R220" i="14" s="1"/>
  <c r="J220" i="1" a="1"/>
  <c r="J220" i="1" s="1"/>
  <c r="O220" i="1"/>
  <c r="M220" i="14" s="1"/>
  <c r="F221" i="1" a="1"/>
  <c r="F221" i="1" s="1"/>
  <c r="R221" i="14" s="1"/>
  <c r="J221" i="1" a="1"/>
  <c r="J221" i="1" s="1"/>
  <c r="O221" i="1"/>
  <c r="M221" i="14" s="1"/>
  <c r="F222" i="1" a="1"/>
  <c r="F222" i="1" s="1"/>
  <c r="R222" i="14" s="1"/>
  <c r="J222" i="1" a="1"/>
  <c r="J222" i="1" s="1"/>
  <c r="O222" i="1"/>
  <c r="M222" i="14" s="1"/>
  <c r="F223" i="1" a="1"/>
  <c r="F223" i="1" s="1"/>
  <c r="R223" i="14" s="1"/>
  <c r="J223" i="1" a="1"/>
  <c r="J223" i="1" s="1"/>
  <c r="O223" i="1"/>
  <c r="M223" i="14" s="1"/>
  <c r="F224" i="1" a="1"/>
  <c r="F224" i="1" s="1"/>
  <c r="R224" i="14" s="1"/>
  <c r="J224" i="1" a="1"/>
  <c r="J224" i="1" s="1"/>
  <c r="O224" i="1"/>
  <c r="M224" i="14" s="1"/>
  <c r="F225" i="1" a="1"/>
  <c r="F225" i="1" s="1"/>
  <c r="R225" i="14" s="1"/>
  <c r="M225" i="1" a="1"/>
  <c r="M225" i="1" s="1"/>
  <c r="Q226" i="1" a="1"/>
  <c r="Q226" i="1" s="1"/>
  <c r="S226" i="14" s="1"/>
  <c r="D227" i="1" a="1"/>
  <c r="D227" i="1" s="1"/>
  <c r="I227" i="14" s="1"/>
  <c r="H227" i="1" a="1"/>
  <c r="H227" i="1" s="1"/>
  <c r="J227" i="14" s="1"/>
  <c r="K227" i="1" a="1"/>
  <c r="K227" i="1" s="1"/>
  <c r="P227" i="1" a="1"/>
  <c r="P227" i="1" s="1"/>
  <c r="L228" i="1" a="1"/>
  <c r="L228" i="1" s="1"/>
  <c r="Q228" i="1" a="1"/>
  <c r="Q228" i="1" s="1"/>
  <c r="S228" i="14" s="1"/>
  <c r="D229" i="1" a="1"/>
  <c r="D229" i="1" s="1"/>
  <c r="I229" i="14" s="1"/>
  <c r="H229" i="1" a="1"/>
  <c r="H229" i="1" s="1"/>
  <c r="J229" i="14" s="1"/>
  <c r="L229" i="1" a="1"/>
  <c r="L229" i="1" s="1"/>
  <c r="Q229" i="1" a="1"/>
  <c r="Q229" i="1" s="1"/>
  <c r="S229" i="14" s="1"/>
  <c r="C230" i="1" a="1"/>
  <c r="C230" i="1" s="1"/>
  <c r="E230" i="14" s="1"/>
  <c r="F230" i="1" a="1"/>
  <c r="F230" i="1" s="1"/>
  <c r="R230" i="14" s="1"/>
  <c r="J230" i="1" a="1"/>
  <c r="J230" i="1" s="1"/>
  <c r="L230" i="1" a="1"/>
  <c r="L230" i="1" s="1"/>
  <c r="O230" i="1"/>
  <c r="M230" i="14" s="1"/>
  <c r="F231" i="1" a="1"/>
  <c r="F231" i="1" s="1"/>
  <c r="R231" i="14" s="1"/>
  <c r="H231" i="1" a="1"/>
  <c r="H231" i="1" s="1"/>
  <c r="J231" i="14" s="1"/>
  <c r="K231" i="1" a="1"/>
  <c r="K231" i="1" s="1"/>
  <c r="P231" i="1" a="1"/>
  <c r="P231" i="1" s="1"/>
  <c r="D232" i="1" a="1"/>
  <c r="D232" i="1" s="1"/>
  <c r="I232" i="14" s="1"/>
  <c r="G232" i="1" a="1"/>
  <c r="G232" i="1" s="1"/>
  <c r="K232" i="1" a="1"/>
  <c r="K232" i="1" s="1"/>
  <c r="P232" i="1" a="1"/>
  <c r="P232" i="1" s="1"/>
  <c r="C233" i="1" a="1"/>
  <c r="C233" i="1" s="1"/>
  <c r="E233" i="14" s="1"/>
  <c r="G233" i="1" a="1"/>
  <c r="G233" i="1" s="1"/>
  <c r="J233" i="1" a="1"/>
  <c r="J233" i="1" s="1"/>
  <c r="O233" i="1"/>
  <c r="M233" i="14" s="1"/>
  <c r="F234" i="1" a="1"/>
  <c r="F234" i="1" s="1"/>
  <c r="R234" i="14" s="1"/>
  <c r="J234" i="1" a="1"/>
  <c r="J234" i="1" s="1"/>
  <c r="M234" i="1" a="1"/>
  <c r="M234" i="1" s="1"/>
  <c r="L235" i="1" a="1"/>
  <c r="L235" i="1" s="1"/>
  <c r="C236" i="1" a="1"/>
  <c r="C236" i="1" s="1"/>
  <c r="E236" i="14" s="1"/>
  <c r="F236" i="1" a="1"/>
  <c r="F236" i="1" s="1"/>
  <c r="R236" i="14" s="1"/>
  <c r="J236" i="1" a="1"/>
  <c r="J236" i="1" s="1"/>
  <c r="O236" i="1"/>
  <c r="M236" i="14" s="1"/>
  <c r="F237" i="1" a="1"/>
  <c r="F237" i="1" s="1"/>
  <c r="R237" i="14" s="1"/>
  <c r="K191" i="1" a="1"/>
  <c r="K191" i="1" s="1"/>
  <c r="C192" i="1" a="1"/>
  <c r="C192" i="1" s="1"/>
  <c r="E192" i="14" s="1"/>
  <c r="K192" i="1" a="1"/>
  <c r="K192" i="1" s="1"/>
  <c r="L192" i="14" s="1"/>
  <c r="C193" i="1" a="1"/>
  <c r="C193" i="1" s="1"/>
  <c r="E193" i="14" s="1"/>
  <c r="J193" i="1" a="1"/>
  <c r="J193" i="1" s="1"/>
  <c r="L194" i="1" a="1"/>
  <c r="L194" i="1" s="1"/>
  <c r="O195" i="1"/>
  <c r="M195" i="14" s="1"/>
  <c r="F196" i="1" a="1"/>
  <c r="F196" i="1" s="1"/>
  <c r="R196" i="14" s="1"/>
  <c r="J196" i="1" a="1"/>
  <c r="J196" i="1" s="1"/>
  <c r="D197" i="1" a="1"/>
  <c r="D197" i="1" s="1"/>
  <c r="I197" i="14" s="1"/>
  <c r="P197" i="1" a="1"/>
  <c r="P197" i="1" s="1"/>
  <c r="C198" i="1" a="1"/>
  <c r="C198" i="1" s="1"/>
  <c r="E198" i="14" s="1"/>
  <c r="H198" i="1" a="1"/>
  <c r="H198" i="1" s="1"/>
  <c r="J198" i="14" s="1"/>
  <c r="M198" i="1" a="1"/>
  <c r="M198" i="1" s="1"/>
  <c r="G199" i="1" a="1"/>
  <c r="G199" i="1" s="1"/>
  <c r="L199" i="1" a="1"/>
  <c r="L199" i="1" s="1"/>
  <c r="H200" i="1" a="1"/>
  <c r="H200" i="1" s="1"/>
  <c r="J200" i="14" s="1"/>
  <c r="M200" i="1" a="1"/>
  <c r="M200" i="1" s="1"/>
  <c r="F201" i="1" a="1"/>
  <c r="F201" i="1" s="1"/>
  <c r="R201" i="14" s="1"/>
  <c r="J201" i="1" a="1"/>
  <c r="J201" i="1" s="1"/>
  <c r="O201" i="1"/>
  <c r="M201" i="14" s="1"/>
  <c r="L202" i="1" a="1"/>
  <c r="L202" i="1" s="1"/>
  <c r="Q202" i="1" a="1"/>
  <c r="Q202" i="1" s="1"/>
  <c r="S202" i="14" s="1"/>
  <c r="D203" i="1" a="1"/>
  <c r="D203" i="1" s="1"/>
  <c r="I203" i="14" s="1"/>
  <c r="K203" i="1" a="1"/>
  <c r="K203" i="1" s="1"/>
  <c r="P203" i="1" a="1"/>
  <c r="P203" i="1" s="1"/>
  <c r="M204" i="1" a="1"/>
  <c r="M204" i="1" s="1"/>
  <c r="D205" i="1" a="1"/>
  <c r="D205" i="1" s="1"/>
  <c r="I205" i="14" s="1"/>
  <c r="H205" i="1" a="1"/>
  <c r="H205" i="1" s="1"/>
  <c r="J205" i="14" s="1"/>
  <c r="L205" i="1" a="1"/>
  <c r="L205" i="1" s="1"/>
  <c r="C206" i="1" a="1"/>
  <c r="C206" i="1" s="1"/>
  <c r="E206" i="14" s="1"/>
  <c r="F206" i="1" a="1"/>
  <c r="F206" i="1" s="1"/>
  <c r="R206" i="14" s="1"/>
  <c r="J206" i="1" a="1"/>
  <c r="J206" i="1" s="1"/>
  <c r="L206" i="1" a="1"/>
  <c r="L206" i="1" s="1"/>
  <c r="O206" i="1"/>
  <c r="M206" i="14" s="1"/>
  <c r="F207" i="1" a="1"/>
  <c r="F207" i="1" s="1"/>
  <c r="R207" i="14" s="1"/>
  <c r="H207" i="1" a="1"/>
  <c r="H207" i="1" s="1"/>
  <c r="J207" i="14" s="1"/>
  <c r="K207" i="1" a="1"/>
  <c r="K207" i="1" s="1"/>
  <c r="P207" i="1" a="1"/>
  <c r="P207" i="1" s="1"/>
  <c r="C208" i="1" a="1"/>
  <c r="C208" i="1" s="1"/>
  <c r="E208" i="14" s="1"/>
  <c r="G208" i="1" a="1"/>
  <c r="G208" i="1" s="1"/>
  <c r="K208" i="1" a="1"/>
  <c r="K208" i="1" s="1"/>
  <c r="P208" i="1" a="1"/>
  <c r="P208" i="1" s="1"/>
  <c r="C209" i="1" a="1"/>
  <c r="C209" i="1" s="1"/>
  <c r="E209" i="14" s="1"/>
  <c r="G209" i="1" a="1"/>
  <c r="G209" i="1" s="1"/>
  <c r="K209" i="1" a="1"/>
  <c r="K209" i="1" s="1"/>
  <c r="P209" i="1" a="1"/>
  <c r="P209" i="1" s="1"/>
  <c r="C210" i="1" a="1"/>
  <c r="C210" i="1" s="1"/>
  <c r="E210" i="14" s="1"/>
  <c r="G210" i="1" a="1"/>
  <c r="G210" i="1" s="1"/>
  <c r="P210" i="1" a="1"/>
  <c r="P210" i="1" s="1"/>
  <c r="C211" i="1" a="1"/>
  <c r="C211" i="1" s="1"/>
  <c r="E211" i="14" s="1"/>
  <c r="L211" i="1" a="1"/>
  <c r="L211" i="1" s="1"/>
  <c r="H212" i="1" a="1"/>
  <c r="H212" i="1" s="1"/>
  <c r="J212" i="14" s="1"/>
  <c r="L212" i="1" a="1"/>
  <c r="L212" i="1" s="1"/>
  <c r="Q212" i="1" a="1"/>
  <c r="Q212" i="1" s="1"/>
  <c r="S212" i="14" s="1"/>
  <c r="D213" i="1" a="1"/>
  <c r="D213" i="1" s="1"/>
  <c r="I213" i="14" s="1"/>
  <c r="K213" i="1" a="1"/>
  <c r="K213" i="1" s="1"/>
  <c r="P213" i="1" a="1"/>
  <c r="P213" i="1" s="1"/>
  <c r="C214" i="1" a="1"/>
  <c r="C214" i="1" s="1"/>
  <c r="E214" i="14" s="1"/>
  <c r="G214" i="1" a="1"/>
  <c r="G214" i="1" s="1"/>
  <c r="K214" i="1" a="1"/>
  <c r="K214" i="1" s="1"/>
  <c r="O214" i="1"/>
  <c r="M214" i="14" s="1"/>
  <c r="F215" i="1" a="1"/>
  <c r="F215" i="1" s="1"/>
  <c r="R215" i="14" s="1"/>
  <c r="J215" i="1" a="1"/>
  <c r="J215" i="1" s="1"/>
  <c r="O215" i="1"/>
  <c r="M215" i="14" s="1"/>
  <c r="F216" i="1" a="1"/>
  <c r="F216" i="1" s="1"/>
  <c r="R216" i="14" s="1"/>
  <c r="J216" i="1" a="1"/>
  <c r="J216" i="1" s="1"/>
  <c r="O216" i="1"/>
  <c r="M216" i="14" s="1"/>
  <c r="F217" i="1" a="1"/>
  <c r="F217" i="1" s="1"/>
  <c r="R217" i="14" s="1"/>
  <c r="M217" i="1" a="1"/>
  <c r="M217" i="1" s="1"/>
  <c r="L218" i="1" a="1"/>
  <c r="L218" i="1" s="1"/>
  <c r="Q218" i="1" a="1"/>
  <c r="Q218" i="1" s="1"/>
  <c r="S218" i="14" s="1"/>
  <c r="D219" i="1" a="1"/>
  <c r="D219" i="1" s="1"/>
  <c r="I219" i="14" s="1"/>
  <c r="G219" i="1" a="1"/>
  <c r="G219" i="1" s="1"/>
  <c r="K219" i="1" a="1"/>
  <c r="K219" i="1" s="1"/>
  <c r="P219" i="1" a="1"/>
  <c r="P219" i="1" s="1"/>
  <c r="C220" i="1" a="1"/>
  <c r="C220" i="1" s="1"/>
  <c r="E220" i="14" s="1"/>
  <c r="G220" i="1" a="1"/>
  <c r="G220" i="1" s="1"/>
  <c r="K220" i="1" a="1"/>
  <c r="K220" i="1" s="1"/>
  <c r="P220" i="1" a="1"/>
  <c r="P220" i="1" s="1"/>
  <c r="C221" i="1" a="1"/>
  <c r="C221" i="1" s="1"/>
  <c r="E221" i="14" s="1"/>
  <c r="G221" i="1" a="1"/>
  <c r="G221" i="1" s="1"/>
  <c r="K221" i="1" a="1"/>
  <c r="K221" i="1" s="1"/>
  <c r="P221" i="1" a="1"/>
  <c r="P221" i="1" s="1"/>
  <c r="C222" i="1" a="1"/>
  <c r="C222" i="1" s="1"/>
  <c r="E222" i="14" s="1"/>
  <c r="G222" i="1" a="1"/>
  <c r="G222" i="1" s="1"/>
  <c r="K222" i="1" a="1"/>
  <c r="K222" i="1" s="1"/>
  <c r="L222" i="14" s="1"/>
  <c r="P222" i="1" a="1"/>
  <c r="P222" i="1" s="1"/>
  <c r="C223" i="1" a="1"/>
  <c r="C223" i="1" s="1"/>
  <c r="E223" i="14" s="1"/>
  <c r="G223" i="1" a="1"/>
  <c r="G223" i="1" s="1"/>
  <c r="K223" i="1" a="1"/>
  <c r="K223" i="1" s="1"/>
  <c r="P223" i="1" a="1"/>
  <c r="P223" i="1" s="1"/>
  <c r="C224" i="1" a="1"/>
  <c r="C224" i="1" s="1"/>
  <c r="E224" i="14" s="1"/>
  <c r="G224" i="1" a="1"/>
  <c r="G224" i="1" s="1"/>
  <c r="K224" i="1" a="1"/>
  <c r="K224" i="1" s="1"/>
  <c r="P224" i="1" a="1"/>
  <c r="P224" i="1" s="1"/>
  <c r="C225" i="1" a="1"/>
  <c r="C225" i="1" s="1"/>
  <c r="E225" i="14" s="1"/>
  <c r="J225" i="1" a="1"/>
  <c r="J225" i="1" s="1"/>
  <c r="O225" i="1"/>
  <c r="M225" i="14" s="1"/>
  <c r="F226" i="1" a="1"/>
  <c r="F226" i="1" s="1"/>
  <c r="R226" i="14" s="1"/>
  <c r="J226" i="1" a="1"/>
  <c r="J226" i="1" s="1"/>
  <c r="M226" i="1" a="1"/>
  <c r="M226" i="1" s="1"/>
  <c r="L227" i="1" a="1"/>
  <c r="L227" i="1" s="1"/>
  <c r="C228" i="1" a="1"/>
  <c r="C228" i="1" s="1"/>
  <c r="E228" i="14" s="1"/>
  <c r="F228" i="1" a="1"/>
  <c r="F228" i="1" s="1"/>
  <c r="R228" i="14" s="1"/>
  <c r="J228" i="1" a="1"/>
  <c r="J228" i="1" s="1"/>
  <c r="M228" i="1" a="1"/>
  <c r="M228" i="1" s="1"/>
  <c r="M229" i="1" a="1"/>
  <c r="M229" i="1" s="1"/>
  <c r="G230" i="1" a="1"/>
  <c r="G230" i="1" s="1"/>
  <c r="P230" i="1" a="1"/>
  <c r="P230" i="1" s="1"/>
  <c r="C231" i="1" a="1"/>
  <c r="C231" i="1" s="1"/>
  <c r="E231" i="14" s="1"/>
  <c r="L231" i="1" a="1"/>
  <c r="L231" i="1" s="1"/>
  <c r="H232" i="1" a="1"/>
  <c r="H232" i="1" s="1"/>
  <c r="J232" i="14" s="1"/>
  <c r="L232" i="1" a="1"/>
  <c r="L232" i="1" s="1"/>
  <c r="Q232" i="1" a="1"/>
  <c r="Q232" i="1" s="1"/>
  <c r="S232" i="14" s="1"/>
  <c r="D233" i="1" a="1"/>
  <c r="D233" i="1" s="1"/>
  <c r="I233" i="14" s="1"/>
  <c r="H233" i="1" a="1"/>
  <c r="H233" i="1" s="1"/>
  <c r="J233" i="14" s="1"/>
  <c r="K233" i="1" a="1"/>
  <c r="K233" i="1" s="1"/>
  <c r="P233" i="1" a="1"/>
  <c r="P233" i="1" s="1"/>
  <c r="C234" i="1" a="1"/>
  <c r="C234" i="1" s="1"/>
  <c r="E234" i="14" s="1"/>
  <c r="G234" i="1" a="1"/>
  <c r="G234" i="1" s="1"/>
  <c r="O234" i="1"/>
  <c r="M234" i="14" s="1"/>
  <c r="P191" i="1" a="1"/>
  <c r="P191" i="1" s="1"/>
  <c r="P192" i="1" a="1"/>
  <c r="P192" i="1" s="1"/>
  <c r="O193" i="1"/>
  <c r="M193" i="14" s="1"/>
  <c r="F194" i="1" a="1"/>
  <c r="F194" i="1" s="1"/>
  <c r="R194" i="14" s="1"/>
  <c r="M194" i="1" a="1"/>
  <c r="M194" i="1" s="1"/>
  <c r="J195" i="1" a="1"/>
  <c r="J195" i="1" s="1"/>
  <c r="C196" i="1" a="1"/>
  <c r="C196" i="1" s="1"/>
  <c r="E196" i="14" s="1"/>
  <c r="G196" i="1" a="1"/>
  <c r="G196" i="1" s="1"/>
  <c r="K197" i="1" a="1"/>
  <c r="K197" i="1" s="1"/>
  <c r="L197" i="14" s="1"/>
  <c r="Q197" i="1" a="1"/>
  <c r="Q197" i="1" s="1"/>
  <c r="S197" i="14" s="1"/>
  <c r="D198" i="1" a="1"/>
  <c r="D198" i="1" s="1"/>
  <c r="I198" i="14" s="1"/>
  <c r="P198" i="1" a="1"/>
  <c r="P198" i="1" s="1"/>
  <c r="C199" i="1" a="1"/>
  <c r="C199" i="1" s="1"/>
  <c r="E199" i="14" s="1"/>
  <c r="H199" i="1" a="1"/>
  <c r="H199" i="1" s="1"/>
  <c r="J199" i="14" s="1"/>
  <c r="M199" i="1" a="1"/>
  <c r="M199" i="1" s="1"/>
  <c r="D200" i="1" a="1"/>
  <c r="D200" i="1" s="1"/>
  <c r="I200" i="14" s="1"/>
  <c r="O200" i="1"/>
  <c r="M200" i="14" s="1"/>
  <c r="C201" i="1" a="1"/>
  <c r="C201" i="1" s="1"/>
  <c r="E201" i="14" s="1"/>
  <c r="G201" i="1" a="1"/>
  <c r="G201" i="1" s="1"/>
  <c r="F202" i="1" a="1"/>
  <c r="F202" i="1" s="1"/>
  <c r="R202" i="14" s="1"/>
  <c r="J202" i="1" a="1"/>
  <c r="J202" i="1" s="1"/>
  <c r="M202" i="1" a="1"/>
  <c r="M202" i="1" s="1"/>
  <c r="H203" i="1" a="1"/>
  <c r="H203" i="1" s="1"/>
  <c r="J203" i="14" s="1"/>
  <c r="L203" i="1" a="1"/>
  <c r="L203" i="1" s="1"/>
  <c r="Q203" i="1" a="1"/>
  <c r="Q203" i="1" s="1"/>
  <c r="S203" i="14" s="1"/>
  <c r="C204" i="1" a="1"/>
  <c r="C204" i="1" s="1"/>
  <c r="E204" i="14" s="1"/>
  <c r="F204" i="1" a="1"/>
  <c r="F204" i="1" s="1"/>
  <c r="R204" i="14" s="1"/>
  <c r="J204" i="1" a="1"/>
  <c r="J204" i="1" s="1"/>
  <c r="M205" i="1" a="1"/>
  <c r="M205" i="1" s="1"/>
  <c r="G206" i="1" a="1"/>
  <c r="G206" i="1" s="1"/>
  <c r="P206" i="1" a="1"/>
  <c r="P206" i="1" s="1"/>
  <c r="C207" i="1" a="1"/>
  <c r="C207" i="1" s="1"/>
  <c r="E207" i="14" s="1"/>
  <c r="L207" i="1" a="1"/>
  <c r="L207" i="1" s="1"/>
  <c r="Q207" i="1" a="1"/>
  <c r="Q207" i="1" s="1"/>
  <c r="S207" i="14" s="1"/>
  <c r="D208" i="1" a="1"/>
  <c r="D208" i="1" s="1"/>
  <c r="I208" i="14" s="1"/>
  <c r="H208" i="1" a="1"/>
  <c r="H208" i="1" s="1"/>
  <c r="J208" i="14" s="1"/>
  <c r="L208" i="1" a="1"/>
  <c r="L208" i="1" s="1"/>
  <c r="Q208" i="1" a="1"/>
  <c r="Q208" i="1" s="1"/>
  <c r="S208" i="14" s="1"/>
  <c r="D209" i="1" a="1"/>
  <c r="D209" i="1" s="1"/>
  <c r="I209" i="14" s="1"/>
  <c r="H209" i="1" a="1"/>
  <c r="H209" i="1" s="1"/>
  <c r="J209" i="14" s="1"/>
  <c r="L209" i="1" a="1"/>
  <c r="L209" i="1" s="1"/>
  <c r="Q209" i="1" a="1"/>
  <c r="Q209" i="1" s="1"/>
  <c r="S209" i="14" s="1"/>
  <c r="D210" i="1" a="1"/>
  <c r="D210" i="1" s="1"/>
  <c r="I210" i="14" s="1"/>
  <c r="H210" i="1" a="1"/>
  <c r="H210" i="1" s="1"/>
  <c r="J210" i="14" s="1"/>
  <c r="K210" i="1" a="1"/>
  <c r="K210" i="1" s="1"/>
  <c r="L210" i="14" s="1"/>
  <c r="M210" i="1" a="1"/>
  <c r="M210" i="1" s="1"/>
  <c r="Q210" i="1" a="1"/>
  <c r="Q210" i="1" s="1"/>
  <c r="S210" i="14" s="1"/>
  <c r="D211" i="1" a="1"/>
  <c r="D211" i="1" s="1"/>
  <c r="I211" i="14" s="1"/>
  <c r="G211" i="1" a="1"/>
  <c r="G211" i="1" s="1"/>
  <c r="M211" i="1" a="1"/>
  <c r="M211" i="1" s="1"/>
  <c r="Q211" i="1" a="1"/>
  <c r="Q211" i="1" s="1"/>
  <c r="S211" i="14" s="1"/>
  <c r="C212" i="1" a="1"/>
  <c r="C212" i="1" s="1"/>
  <c r="E212" i="14" s="1"/>
  <c r="M212" i="1" a="1"/>
  <c r="M212" i="1" s="1"/>
  <c r="H213" i="1" a="1"/>
  <c r="H213" i="1" s="1"/>
  <c r="J213" i="14" s="1"/>
  <c r="L213" i="1" a="1"/>
  <c r="L213" i="1" s="1"/>
  <c r="Q213" i="1" a="1"/>
  <c r="Q213" i="1" s="1"/>
  <c r="S213" i="14" s="1"/>
  <c r="D214" i="1" a="1"/>
  <c r="D214" i="1" s="1"/>
  <c r="I214" i="14" s="1"/>
  <c r="H214" i="1" a="1"/>
  <c r="H214" i="1" s="1"/>
  <c r="J214" i="14" s="1"/>
  <c r="L214" i="1" a="1"/>
  <c r="L214" i="1" s="1"/>
  <c r="P214" i="1" a="1"/>
  <c r="P214" i="1" s="1"/>
  <c r="C215" i="1" a="1"/>
  <c r="C215" i="1" s="1"/>
  <c r="E215" i="14" s="1"/>
  <c r="G215" i="1" a="1"/>
  <c r="G215" i="1" s="1"/>
  <c r="K215" i="1" a="1"/>
  <c r="K215" i="1" s="1"/>
  <c r="P215" i="1" a="1"/>
  <c r="P215" i="1" s="1"/>
  <c r="C216" i="1" a="1"/>
  <c r="C216" i="1" s="1"/>
  <c r="E216" i="14" s="1"/>
  <c r="G216" i="1" a="1"/>
  <c r="G216" i="1" s="1"/>
  <c r="K216" i="1" a="1"/>
  <c r="K216" i="1" s="1"/>
  <c r="P216" i="1" a="1"/>
  <c r="P216" i="1" s="1"/>
  <c r="C217" i="1" a="1"/>
  <c r="C217" i="1" s="1"/>
  <c r="E217" i="14" s="1"/>
  <c r="J217" i="1" a="1"/>
  <c r="J217" i="1" s="1"/>
  <c r="O217" i="1"/>
  <c r="M217" i="14" s="1"/>
  <c r="F218" i="1" a="1"/>
  <c r="F218" i="1" s="1"/>
  <c r="R218" i="14" s="1"/>
  <c r="J218" i="1" a="1"/>
  <c r="J218" i="1" s="1"/>
  <c r="M218" i="1" a="1"/>
  <c r="M218" i="1" s="1"/>
  <c r="H219" i="1" a="1"/>
  <c r="H219" i="1" s="1"/>
  <c r="J219" i="14" s="1"/>
  <c r="L219" i="1" a="1"/>
  <c r="L219" i="1" s="1"/>
  <c r="Q219" i="1" a="1"/>
  <c r="Q219" i="1" s="1"/>
  <c r="S219" i="14" s="1"/>
  <c r="D220" i="1" a="1"/>
  <c r="D220" i="1" s="1"/>
  <c r="I220" i="14" s="1"/>
  <c r="H220" i="1" a="1"/>
  <c r="H220" i="1" s="1"/>
  <c r="J220" i="14" s="1"/>
  <c r="L220" i="1" a="1"/>
  <c r="L220" i="1" s="1"/>
  <c r="Q220" i="1" a="1"/>
  <c r="Q220" i="1" s="1"/>
  <c r="S220" i="14" s="1"/>
  <c r="D221" i="1" a="1"/>
  <c r="D221" i="1" s="1"/>
  <c r="I221" i="14" s="1"/>
  <c r="H221" i="1" a="1"/>
  <c r="H221" i="1" s="1"/>
  <c r="J221" i="14" s="1"/>
  <c r="L221" i="1" a="1"/>
  <c r="L221" i="1" s="1"/>
  <c r="Q221" i="1" a="1"/>
  <c r="Q221" i="1" s="1"/>
  <c r="S221" i="14" s="1"/>
  <c r="D222" i="1" a="1"/>
  <c r="D222" i="1" s="1"/>
  <c r="I222" i="14" s="1"/>
  <c r="H222" i="1" a="1"/>
  <c r="H222" i="1" s="1"/>
  <c r="J222" i="14" s="1"/>
  <c r="L222" i="1" a="1"/>
  <c r="L222" i="1" s="1"/>
  <c r="Q222" i="1" a="1"/>
  <c r="Q222" i="1" s="1"/>
  <c r="S222" i="14" s="1"/>
  <c r="D223" i="1" a="1"/>
  <c r="D223" i="1" s="1"/>
  <c r="I223" i="14" s="1"/>
  <c r="H223" i="1" a="1"/>
  <c r="H223" i="1" s="1"/>
  <c r="J223" i="14" s="1"/>
  <c r="L223" i="1" a="1"/>
  <c r="L223" i="1" s="1"/>
  <c r="Q223" i="1" a="1"/>
  <c r="Q223" i="1" s="1"/>
  <c r="S223" i="14" s="1"/>
  <c r="D224" i="1" a="1"/>
  <c r="D224" i="1" s="1"/>
  <c r="I224" i="14" s="1"/>
  <c r="H224" i="1" a="1"/>
  <c r="H224" i="1" s="1"/>
  <c r="J224" i="14" s="1"/>
  <c r="L224" i="1" a="1"/>
  <c r="L224" i="1" s="1"/>
  <c r="Q224" i="1" a="1"/>
  <c r="Q224" i="1" s="1"/>
  <c r="S224" i="14" s="1"/>
  <c r="D225" i="1" a="1"/>
  <c r="D225" i="1" s="1"/>
  <c r="I225" i="14" s="1"/>
  <c r="G225" i="1" a="1"/>
  <c r="G225" i="1" s="1"/>
  <c r="K225" i="1" a="1"/>
  <c r="K225" i="1" s="1"/>
  <c r="P225" i="1" a="1"/>
  <c r="P225" i="1" s="1"/>
  <c r="C226" i="1" a="1"/>
  <c r="C226" i="1" s="1"/>
  <c r="E226" i="14" s="1"/>
  <c r="G226" i="1" a="1"/>
  <c r="G226" i="1" s="1"/>
  <c r="K226" i="1" a="1"/>
  <c r="K226" i="1" s="1"/>
  <c r="O226" i="1"/>
  <c r="M226" i="14" s="1"/>
  <c r="F227" i="1" a="1"/>
  <c r="F227" i="1" s="1"/>
  <c r="R227" i="14" s="1"/>
  <c r="M227" i="1" a="1"/>
  <c r="M227" i="1" s="1"/>
  <c r="Q227" i="1" a="1"/>
  <c r="Q227" i="1" s="1"/>
  <c r="S227" i="14" s="1"/>
  <c r="D228" i="1" a="1"/>
  <c r="D228" i="1" s="1"/>
  <c r="I228" i="14" s="1"/>
  <c r="G228" i="1" a="1"/>
  <c r="G228" i="1" s="1"/>
  <c r="K228" i="1" a="1"/>
  <c r="K228" i="1" s="1"/>
  <c r="O228" i="1"/>
  <c r="M228" i="14" s="1"/>
  <c r="F229" i="1" a="1"/>
  <c r="F229" i="1" s="1"/>
  <c r="R229" i="14" s="1"/>
  <c r="J229" i="1" a="1"/>
  <c r="J229" i="1" s="1"/>
  <c r="O229" i="1"/>
  <c r="M229" i="14" s="1"/>
  <c r="D230" i="1" a="1"/>
  <c r="D230" i="1" s="1"/>
  <c r="I230" i="14" s="1"/>
  <c r="H230" i="1" a="1"/>
  <c r="H230" i="1" s="1"/>
  <c r="J230" i="14" s="1"/>
  <c r="K230" i="1" a="1"/>
  <c r="K230" i="1" s="1"/>
  <c r="M230" i="1" a="1"/>
  <c r="M230" i="1" s="1"/>
  <c r="Q230" i="1" a="1"/>
  <c r="Q230" i="1" s="1"/>
  <c r="S230" i="14" s="1"/>
  <c r="D231" i="1" a="1"/>
  <c r="D231" i="1" s="1"/>
  <c r="I231" i="14" s="1"/>
  <c r="G192" i="1" a="1"/>
  <c r="G192" i="1" s="1"/>
  <c r="P194" i="1" a="1"/>
  <c r="P194" i="1" s="1"/>
  <c r="C195" i="1" a="1"/>
  <c r="C195" i="1" s="1"/>
  <c r="E195" i="14" s="1"/>
  <c r="G195" i="1" a="1"/>
  <c r="G195" i="1" s="1"/>
  <c r="D196" i="1" a="1"/>
  <c r="D196" i="1" s="1"/>
  <c r="I196" i="14" s="1"/>
  <c r="H196" i="1" a="1"/>
  <c r="H196" i="1" s="1"/>
  <c r="J196" i="14" s="1"/>
  <c r="L196" i="1" a="1"/>
  <c r="L196" i="1" s="1"/>
  <c r="G197" i="1" a="1"/>
  <c r="G197" i="1" s="1"/>
  <c r="L197" i="1" a="1"/>
  <c r="L197" i="1" s="1"/>
  <c r="K198" i="1" a="1"/>
  <c r="K198" i="1" s="1"/>
  <c r="Q198" i="1" a="1"/>
  <c r="Q198" i="1" s="1"/>
  <c r="S198" i="14" s="1"/>
  <c r="D199" i="1" a="1"/>
  <c r="D199" i="1" s="1"/>
  <c r="I199" i="14" s="1"/>
  <c r="J200" i="1" a="1"/>
  <c r="J200" i="1" s="1"/>
  <c r="Q200" i="1" a="1"/>
  <c r="Q200" i="1" s="1"/>
  <c r="S200" i="14" s="1"/>
  <c r="D201" i="1" a="1"/>
  <c r="D201" i="1" s="1"/>
  <c r="I201" i="14" s="1"/>
  <c r="H201" i="1" a="1"/>
  <c r="H201" i="1" s="1"/>
  <c r="J201" i="14" s="1"/>
  <c r="L201" i="1" a="1"/>
  <c r="L201" i="1" s="1"/>
  <c r="C202" i="1" a="1"/>
  <c r="C202" i="1" s="1"/>
  <c r="E202" i="14" s="1"/>
  <c r="G202" i="1" a="1"/>
  <c r="G202" i="1" s="1"/>
  <c r="K202" i="1" a="1"/>
  <c r="K202" i="1" s="1"/>
  <c r="L202" i="14" s="1"/>
  <c r="O202" i="1"/>
  <c r="M202" i="14" s="1"/>
  <c r="F203" i="1" a="1"/>
  <c r="F203" i="1" s="1"/>
  <c r="R203" i="14" s="1"/>
  <c r="M203" i="1" a="1"/>
  <c r="M203" i="1" s="1"/>
  <c r="G204" i="1" a="1"/>
  <c r="G204" i="1" s="1"/>
  <c r="O204" i="1"/>
  <c r="M204" i="14" s="1"/>
  <c r="F205" i="1" a="1"/>
  <c r="F205" i="1" s="1"/>
  <c r="R205" i="14" s="1"/>
  <c r="J205" i="1" a="1"/>
  <c r="J205" i="1" s="1"/>
  <c r="O205" i="1"/>
  <c r="M205" i="14" s="1"/>
  <c r="D206" i="1" a="1"/>
  <c r="D206" i="1" s="1"/>
  <c r="I206" i="14" s="1"/>
  <c r="H206" i="1" a="1"/>
  <c r="H206" i="1" s="1"/>
  <c r="J206" i="14" s="1"/>
  <c r="K206" i="1" a="1"/>
  <c r="K206" i="1" s="1"/>
  <c r="M206" i="1" a="1"/>
  <c r="M206" i="1" s="1"/>
  <c r="Q206" i="1" a="1"/>
  <c r="Q206" i="1" s="1"/>
  <c r="S206" i="14" s="1"/>
  <c r="D207" i="1" a="1"/>
  <c r="D207" i="1" s="1"/>
  <c r="I207" i="14" s="1"/>
  <c r="G207" i="1" a="1"/>
  <c r="G207" i="1" s="1"/>
  <c r="M207" i="1" a="1"/>
  <c r="M207" i="1" s="1"/>
  <c r="M208" i="1" a="1"/>
  <c r="M208" i="1" s="1"/>
  <c r="M209" i="1" a="1"/>
  <c r="M209" i="1" s="1"/>
  <c r="J211" i="1" a="1"/>
  <c r="J211" i="1" s="1"/>
  <c r="O211" i="1"/>
  <c r="M211" i="14" s="1"/>
  <c r="F212" i="1" a="1"/>
  <c r="F212" i="1" s="1"/>
  <c r="R212" i="14" s="1"/>
  <c r="J212" i="1" a="1"/>
  <c r="J212" i="1" s="1"/>
  <c r="O212" i="1"/>
  <c r="M212" i="14" s="1"/>
  <c r="F213" i="1" a="1"/>
  <c r="F213" i="1" s="1"/>
  <c r="R213" i="14" s="1"/>
  <c r="M213" i="1" a="1"/>
  <c r="M213" i="1" s="1"/>
  <c r="M214" i="1" a="1"/>
  <c r="M214" i="1" s="1"/>
  <c r="Q214" i="1" a="1"/>
  <c r="Q214" i="1" s="1"/>
  <c r="S214" i="14" s="1"/>
  <c r="D215" i="1" a="1"/>
  <c r="D215" i="1" s="1"/>
  <c r="I215" i="14" s="1"/>
  <c r="H215" i="1" a="1"/>
  <c r="H215" i="1" s="1"/>
  <c r="J215" i="14" s="1"/>
  <c r="L215" i="1" a="1"/>
  <c r="L215" i="1" s="1"/>
  <c r="Q215" i="1" a="1"/>
  <c r="Q215" i="1" s="1"/>
  <c r="S215" i="14" s="1"/>
  <c r="D216" i="1" a="1"/>
  <c r="D216" i="1" s="1"/>
  <c r="I216" i="14" s="1"/>
  <c r="H216" i="1" a="1"/>
  <c r="H216" i="1" s="1"/>
  <c r="J216" i="14" s="1"/>
  <c r="L216" i="1" a="1"/>
  <c r="L216" i="1" s="1"/>
  <c r="Q216" i="1" a="1"/>
  <c r="Q216" i="1" s="1"/>
  <c r="S216" i="14" s="1"/>
  <c r="D217" i="1" a="1"/>
  <c r="D217" i="1" s="1"/>
  <c r="I217" i="14" s="1"/>
  <c r="G217" i="1" a="1"/>
  <c r="G217" i="1" s="1"/>
  <c r="K217" i="1" a="1"/>
  <c r="K217" i="1" s="1"/>
  <c r="P217" i="1" a="1"/>
  <c r="P217" i="1" s="1"/>
  <c r="C218" i="1" a="1"/>
  <c r="C218" i="1" s="1"/>
  <c r="E218" i="14" s="1"/>
  <c r="G218" i="1" a="1"/>
  <c r="G218" i="1" s="1"/>
  <c r="O218" i="1"/>
  <c r="M218" i="14" s="1"/>
  <c r="F219" i="1" a="1"/>
  <c r="F219" i="1" s="1"/>
  <c r="R219" i="14" s="1"/>
  <c r="M219" i="1" a="1"/>
  <c r="M219" i="1" s="1"/>
  <c r="M220" i="1" a="1"/>
  <c r="M220" i="1" s="1"/>
  <c r="M221" i="1" a="1"/>
  <c r="M221" i="1" s="1"/>
  <c r="M222" i="1" a="1"/>
  <c r="M222" i="1" s="1"/>
  <c r="M223" i="1" a="1"/>
  <c r="M223" i="1" s="1"/>
  <c r="M224" i="1" a="1"/>
  <c r="M224" i="1" s="1"/>
  <c r="H225" i="1" a="1"/>
  <c r="H225" i="1" s="1"/>
  <c r="J225" i="14" s="1"/>
  <c r="L225" i="1" a="1"/>
  <c r="L225" i="1" s="1"/>
  <c r="Q225" i="1" a="1"/>
  <c r="Q225" i="1" s="1"/>
  <c r="S225" i="14" s="1"/>
  <c r="D226" i="1" a="1"/>
  <c r="D226" i="1" s="1"/>
  <c r="I226" i="14" s="1"/>
  <c r="H226" i="1" a="1"/>
  <c r="H226" i="1" s="1"/>
  <c r="J226" i="14" s="1"/>
  <c r="L226" i="1" a="1"/>
  <c r="L226" i="1" s="1"/>
  <c r="P226" i="1" a="1"/>
  <c r="P226" i="1" s="1"/>
  <c r="C227" i="1" a="1"/>
  <c r="C227" i="1" s="1"/>
  <c r="E227" i="14" s="1"/>
  <c r="G227" i="1" a="1"/>
  <c r="G227" i="1" s="1"/>
  <c r="J227" i="1" a="1"/>
  <c r="J227" i="1" s="1"/>
  <c r="O227" i="1"/>
  <c r="M227" i="14" s="1"/>
  <c r="H228" i="1" a="1"/>
  <c r="H228" i="1" s="1"/>
  <c r="J228" i="14" s="1"/>
  <c r="P228" i="1" a="1"/>
  <c r="P228" i="1" s="1"/>
  <c r="C229" i="1" a="1"/>
  <c r="C229" i="1" s="1"/>
  <c r="E229" i="14" s="1"/>
  <c r="G229" i="1" a="1"/>
  <c r="G229" i="1" s="1"/>
  <c r="K229" i="1" a="1"/>
  <c r="K229" i="1" s="1"/>
  <c r="P229" i="1" a="1"/>
  <c r="P229" i="1" s="1"/>
  <c r="J231" i="1" a="1"/>
  <c r="J231" i="1" s="1"/>
  <c r="O231" i="1"/>
  <c r="M231" i="14" s="1"/>
  <c r="F232" i="1" a="1"/>
  <c r="F232" i="1" s="1"/>
  <c r="R232" i="14" s="1"/>
  <c r="J232" i="1" a="1"/>
  <c r="J232" i="1" s="1"/>
  <c r="O232" i="1"/>
  <c r="M232" i="14" s="1"/>
  <c r="F233" i="1" a="1"/>
  <c r="F233" i="1" s="1"/>
  <c r="R233" i="14" s="1"/>
  <c r="M233" i="1" a="1"/>
  <c r="M233" i="1" s="1"/>
  <c r="L234" i="1" a="1"/>
  <c r="L234" i="1" s="1"/>
  <c r="D235" i="1" a="1"/>
  <c r="D235" i="1" s="1"/>
  <c r="I235" i="14" s="1"/>
  <c r="H235" i="1" a="1"/>
  <c r="H235" i="1" s="1"/>
  <c r="J235" i="14" s="1"/>
  <c r="K235" i="1" a="1"/>
  <c r="K235" i="1" s="1"/>
  <c r="P235" i="1" a="1"/>
  <c r="P235" i="1" s="1"/>
  <c r="M236" i="1" a="1"/>
  <c r="M236" i="1" s="1"/>
  <c r="M237" i="1" a="1"/>
  <c r="M237" i="1" s="1"/>
  <c r="M238" i="1" a="1"/>
  <c r="M238" i="1" s="1"/>
  <c r="L239" i="1" a="1"/>
  <c r="L239" i="1" s="1"/>
  <c r="Q239" i="1" a="1"/>
  <c r="Q239" i="1" s="1"/>
  <c r="S239" i="14" s="1"/>
  <c r="D240" i="1" a="1"/>
  <c r="D240" i="1" s="1"/>
  <c r="I240" i="14" s="1"/>
  <c r="G240" i="1" a="1"/>
  <c r="G240" i="1" s="1"/>
  <c r="K240" i="1" a="1"/>
  <c r="K240" i="1" s="1"/>
  <c r="O240" i="1"/>
  <c r="M240" i="14" s="1"/>
  <c r="M241" i="1" a="1"/>
  <c r="M241" i="1" s="1"/>
  <c r="M242" i="1" a="1"/>
  <c r="M242" i="1" s="1"/>
  <c r="C244" i="1" a="1"/>
  <c r="C244" i="1" s="1"/>
  <c r="E244" i="14" s="1"/>
  <c r="J244" i="1" a="1"/>
  <c r="J244" i="1" s="1"/>
  <c r="O244" i="1"/>
  <c r="M244" i="14" s="1"/>
  <c r="F245" i="1" a="1"/>
  <c r="F245" i="1" s="1"/>
  <c r="R245" i="14" s="1"/>
  <c r="J245" i="1" a="1"/>
  <c r="J245" i="1" s="1"/>
  <c r="M245" i="1" a="1"/>
  <c r="M245" i="1" s="1"/>
  <c r="H246" i="1" a="1"/>
  <c r="H246" i="1" s="1"/>
  <c r="J246" i="14" s="1"/>
  <c r="C247" i="1" a="1"/>
  <c r="C247" i="1" s="1"/>
  <c r="E247" i="14" s="1"/>
  <c r="G247" i="1" a="1"/>
  <c r="G247" i="1" s="1"/>
  <c r="C248" i="1" a="1"/>
  <c r="C248" i="1" s="1"/>
  <c r="E248" i="14" s="1"/>
  <c r="G248" i="1" a="1"/>
  <c r="G248" i="1" s="1"/>
  <c r="C249" i="1" a="1"/>
  <c r="C249" i="1" s="1"/>
  <c r="E249" i="14" s="1"/>
  <c r="G249" i="1" a="1"/>
  <c r="G249" i="1" s="1"/>
  <c r="C250" i="1" a="1"/>
  <c r="C250" i="1" s="1"/>
  <c r="E250" i="14" s="1"/>
  <c r="G250" i="1" a="1"/>
  <c r="G250" i="1" s="1"/>
  <c r="C251" i="1" a="1"/>
  <c r="C251" i="1" s="1"/>
  <c r="E251" i="14" s="1"/>
  <c r="G251" i="1" a="1"/>
  <c r="G251" i="1" s="1"/>
  <c r="K251" i="1" a="1"/>
  <c r="K251" i="1" s="1"/>
  <c r="O251" i="1"/>
  <c r="M251" i="14" s="1"/>
  <c r="H252" i="1" a="1"/>
  <c r="H252" i="1" s="1"/>
  <c r="J252" i="14" s="1"/>
  <c r="L252" i="1" a="1"/>
  <c r="L252" i="1" s="1"/>
  <c r="D253" i="1" a="1"/>
  <c r="D253" i="1" s="1"/>
  <c r="I253" i="14" s="1"/>
  <c r="K253" i="1" a="1"/>
  <c r="K253" i="1" s="1"/>
  <c r="G231" i="1" a="1"/>
  <c r="G231" i="1" s="1"/>
  <c r="Q233" i="1" a="1"/>
  <c r="Q233" i="1" s="1"/>
  <c r="S233" i="14" s="1"/>
  <c r="J235" i="1" a="1"/>
  <c r="J235" i="1" s="1"/>
  <c r="K236" i="1" a="1"/>
  <c r="K236" i="1" s="1"/>
  <c r="L236" i="14" s="1"/>
  <c r="J237" i="1" a="1"/>
  <c r="J237" i="1" s="1"/>
  <c r="P237" i="1" a="1"/>
  <c r="P237" i="1" s="1"/>
  <c r="C238" i="1" a="1"/>
  <c r="C238" i="1" s="1"/>
  <c r="E238" i="14" s="1"/>
  <c r="G238" i="1" a="1"/>
  <c r="G238" i="1" s="1"/>
  <c r="K238" i="1" a="1"/>
  <c r="K238" i="1" s="1"/>
  <c r="Q238" i="1" a="1"/>
  <c r="Q238" i="1" s="1"/>
  <c r="S238" i="14" s="1"/>
  <c r="D239" i="1" a="1"/>
  <c r="D239" i="1" s="1"/>
  <c r="I239" i="14" s="1"/>
  <c r="H239" i="1" a="1"/>
  <c r="H239" i="1" s="1"/>
  <c r="J239" i="14" s="1"/>
  <c r="M239" i="1" a="1"/>
  <c r="M239" i="1" s="1"/>
  <c r="L240" i="1" a="1"/>
  <c r="L240" i="1" s="1"/>
  <c r="Q240" i="1" a="1"/>
  <c r="Q240" i="1" s="1"/>
  <c r="S240" i="14" s="1"/>
  <c r="D241" i="1" a="1"/>
  <c r="D241" i="1" s="1"/>
  <c r="I241" i="14" s="1"/>
  <c r="G241" i="1" a="1"/>
  <c r="G241" i="1" s="1"/>
  <c r="D242" i="1" a="1"/>
  <c r="D242" i="1" s="1"/>
  <c r="I242" i="14" s="1"/>
  <c r="H242" i="1" a="1"/>
  <c r="H242" i="1" s="1"/>
  <c r="J242" i="14" s="1"/>
  <c r="L242" i="1" a="1"/>
  <c r="L242" i="1" s="1"/>
  <c r="M243" i="1" a="1"/>
  <c r="M243" i="1" s="1"/>
  <c r="F244" i="1" a="1"/>
  <c r="F244" i="1" s="1"/>
  <c r="R244" i="14" s="1"/>
  <c r="K244" i="1" a="1"/>
  <c r="K244" i="1" s="1"/>
  <c r="Q244" i="1" a="1"/>
  <c r="Q244" i="1" s="1"/>
  <c r="S244" i="14" s="1"/>
  <c r="D245" i="1" a="1"/>
  <c r="D245" i="1" s="1"/>
  <c r="I245" i="14" s="1"/>
  <c r="O245" i="1"/>
  <c r="M245" i="14" s="1"/>
  <c r="F246" i="1" a="1"/>
  <c r="F246" i="1" s="1"/>
  <c r="R246" i="14" s="1"/>
  <c r="J246" i="1" a="1"/>
  <c r="J246" i="1" s="1"/>
  <c r="O246" i="1"/>
  <c r="M246" i="14" s="1"/>
  <c r="D247" i="1" a="1"/>
  <c r="D247" i="1" s="1"/>
  <c r="I247" i="14" s="1"/>
  <c r="O247" i="1"/>
  <c r="M247" i="14" s="1"/>
  <c r="D248" i="1" a="1"/>
  <c r="D248" i="1" s="1"/>
  <c r="I248" i="14" s="1"/>
  <c r="O248" i="1"/>
  <c r="M248" i="14" s="1"/>
  <c r="D249" i="1" a="1"/>
  <c r="D249" i="1" s="1"/>
  <c r="I249" i="14" s="1"/>
  <c r="O249" i="1"/>
  <c r="M249" i="14" s="1"/>
  <c r="D250" i="1" a="1"/>
  <c r="D250" i="1" s="1"/>
  <c r="I250" i="14" s="1"/>
  <c r="O250" i="1"/>
  <c r="M250" i="14" s="1"/>
  <c r="D251" i="1" a="1"/>
  <c r="D251" i="1" s="1"/>
  <c r="I251" i="14" s="1"/>
  <c r="M251" i="1" a="1"/>
  <c r="M251" i="1" s="1"/>
  <c r="O252" i="1"/>
  <c r="M252" i="14" s="1"/>
  <c r="C253" i="1" a="1"/>
  <c r="C253" i="1" s="1"/>
  <c r="E253" i="14" s="1"/>
  <c r="H253" i="1" a="1"/>
  <c r="H253" i="1" s="1"/>
  <c r="J253" i="14" s="1"/>
  <c r="L253" i="1" a="1"/>
  <c r="L253" i="1" s="1"/>
  <c r="P253" i="1" a="1"/>
  <c r="P253" i="1" s="1"/>
  <c r="F254" i="1" a="1"/>
  <c r="F254" i="1" s="1"/>
  <c r="R254" i="14" s="1"/>
  <c r="L254" i="1" a="1"/>
  <c r="L254" i="1" s="1"/>
  <c r="Q254" i="1" a="1"/>
  <c r="Q254" i="1" s="1"/>
  <c r="S254" i="14" s="1"/>
  <c r="C255" i="1" a="1"/>
  <c r="C255" i="1" s="1"/>
  <c r="E255" i="14" s="1"/>
  <c r="F255" i="1" a="1"/>
  <c r="F255" i="1" s="1"/>
  <c r="R255" i="14" s="1"/>
  <c r="M255" i="1" a="1"/>
  <c r="M255" i="1" s="1"/>
  <c r="M256" i="1" a="1"/>
  <c r="M256" i="1" s="1"/>
  <c r="Q256" i="1" a="1"/>
  <c r="Q256" i="1" s="1"/>
  <c r="S256" i="14" s="1"/>
  <c r="D257" i="1" a="1"/>
  <c r="D257" i="1" s="1"/>
  <c r="I257" i="14" s="1"/>
  <c r="H257" i="1" a="1"/>
  <c r="H257" i="1" s="1"/>
  <c r="J257" i="14" s="1"/>
  <c r="L257" i="1" a="1"/>
  <c r="L257" i="1" s="1"/>
  <c r="Q257" i="1" a="1"/>
  <c r="Q257" i="1" s="1"/>
  <c r="S257" i="14" s="1"/>
  <c r="D258" i="1" a="1"/>
  <c r="D258" i="1" s="1"/>
  <c r="I258" i="14" s="1"/>
  <c r="H258" i="1" a="1"/>
  <c r="H258" i="1" s="1"/>
  <c r="J258" i="14" s="1"/>
  <c r="L258" i="1" a="1"/>
  <c r="L258" i="1" s="1"/>
  <c r="Q258" i="1" a="1"/>
  <c r="Q258" i="1" s="1"/>
  <c r="S258" i="14" s="1"/>
  <c r="D259" i="1" a="1"/>
  <c r="D259" i="1" s="1"/>
  <c r="I259" i="14" s="1"/>
  <c r="H259" i="1" a="1"/>
  <c r="H259" i="1" s="1"/>
  <c r="J259" i="14" s="1"/>
  <c r="K259" i="1" a="1"/>
  <c r="K259" i="1" s="1"/>
  <c r="O259" i="1"/>
  <c r="M259" i="14" s="1"/>
  <c r="H260" i="1" a="1"/>
  <c r="H260" i="1" s="1"/>
  <c r="J260" i="14" s="1"/>
  <c r="K260" i="1" a="1"/>
  <c r="K260" i="1" s="1"/>
  <c r="P260" i="1" a="1"/>
  <c r="P260" i="1" s="1"/>
  <c r="C261" i="1" a="1"/>
  <c r="C261" i="1" s="1"/>
  <c r="E261" i="14" s="1"/>
  <c r="G261" i="1" a="1"/>
  <c r="G261" i="1" s="1"/>
  <c r="K261" i="1" a="1"/>
  <c r="K261" i="1" s="1"/>
  <c r="O261" i="1"/>
  <c r="M261" i="14" s="1"/>
  <c r="F262" i="1" a="1"/>
  <c r="F262" i="1" s="1"/>
  <c r="R262" i="14" s="1"/>
  <c r="L262" i="1" a="1"/>
  <c r="L262" i="1" s="1"/>
  <c r="Q262" i="1" a="1"/>
  <c r="Q262" i="1" s="1"/>
  <c r="S262" i="14" s="1"/>
  <c r="C263" i="1" a="1"/>
  <c r="C263" i="1" s="1"/>
  <c r="E263" i="14" s="1"/>
  <c r="F263" i="1" a="1"/>
  <c r="F263" i="1" s="1"/>
  <c r="R263" i="14" s="1"/>
  <c r="M263" i="1" a="1"/>
  <c r="M263" i="1" s="1"/>
  <c r="M264" i="1" a="1"/>
  <c r="M264" i="1" s="1"/>
  <c r="M265" i="1" a="1"/>
  <c r="M265" i="1" s="1"/>
  <c r="M266" i="1" a="1"/>
  <c r="M266" i="1" s="1"/>
  <c r="M267" i="1" a="1"/>
  <c r="M267" i="1" s="1"/>
  <c r="P268" i="1" a="1"/>
  <c r="P268" i="1" s="1"/>
  <c r="C269" i="1" a="1"/>
  <c r="C269" i="1" s="1"/>
  <c r="E269" i="14" s="1"/>
  <c r="G269" i="1" a="1"/>
  <c r="G269" i="1" s="1"/>
  <c r="K269" i="1" a="1"/>
  <c r="K269" i="1" s="1"/>
  <c r="P269" i="1" a="1"/>
  <c r="P269" i="1" s="1"/>
  <c r="C270" i="1" a="1"/>
  <c r="C270" i="1" s="1"/>
  <c r="E270" i="14" s="1"/>
  <c r="G270" i="1" a="1"/>
  <c r="G270" i="1" s="1"/>
  <c r="K270" i="1" a="1"/>
  <c r="K270" i="1" s="1"/>
  <c r="P270" i="1" a="1"/>
  <c r="P270" i="1" s="1"/>
  <c r="D271" i="1" a="1"/>
  <c r="D271" i="1" s="1"/>
  <c r="I271" i="14" s="1"/>
  <c r="G271" i="1" a="1"/>
  <c r="G271" i="1" s="1"/>
  <c r="K271" i="1" a="1"/>
  <c r="K271" i="1" s="1"/>
  <c r="O271" i="1"/>
  <c r="M271" i="14" s="1"/>
  <c r="H272" i="1" a="1"/>
  <c r="H272" i="1" s="1"/>
  <c r="J272" i="14" s="1"/>
  <c r="L272" i="1" a="1"/>
  <c r="L272" i="1" s="1"/>
  <c r="P272" i="1" a="1"/>
  <c r="P272" i="1" s="1"/>
  <c r="F273" i="1" a="1"/>
  <c r="F273" i="1" s="1"/>
  <c r="R273" i="14" s="1"/>
  <c r="L273" i="1" a="1"/>
  <c r="L273" i="1" s="1"/>
  <c r="Q273" i="1" a="1"/>
  <c r="Q273" i="1" s="1"/>
  <c r="S273" i="14" s="1"/>
  <c r="C274" i="1" a="1"/>
  <c r="C274" i="1" s="1"/>
  <c r="E274" i="14" s="1"/>
  <c r="F274" i="1" a="1"/>
  <c r="F274" i="1" s="1"/>
  <c r="R274" i="14" s="1"/>
  <c r="J274" i="1" a="1"/>
  <c r="J274" i="1" s="1"/>
  <c r="O274" i="1"/>
  <c r="M274" i="14" s="1"/>
  <c r="F275" i="1" a="1"/>
  <c r="F275" i="1" s="1"/>
  <c r="R275" i="14" s="1"/>
  <c r="M275" i="1" a="1"/>
  <c r="M275" i="1" s="1"/>
  <c r="Q275" i="1" a="1"/>
  <c r="Q275" i="1" s="1"/>
  <c r="S275" i="14" s="1"/>
  <c r="D276" i="1" a="1"/>
  <c r="D276" i="1" s="1"/>
  <c r="I276" i="14" s="1"/>
  <c r="G276" i="1" a="1"/>
  <c r="G276" i="1" s="1"/>
  <c r="K276" i="1" a="1"/>
  <c r="K276" i="1" s="1"/>
  <c r="P276" i="1" a="1"/>
  <c r="P276" i="1" s="1"/>
  <c r="F277" i="1" a="1"/>
  <c r="F277" i="1" s="1"/>
  <c r="R277" i="14" s="1"/>
  <c r="J277" i="1" a="1"/>
  <c r="J277" i="1" s="1"/>
  <c r="O277" i="1"/>
  <c r="M277" i="14" s="1"/>
  <c r="D278" i="1" a="1"/>
  <c r="D278" i="1" s="1"/>
  <c r="I278" i="14" s="1"/>
  <c r="G278" i="1" a="1"/>
  <c r="G278" i="1" s="1"/>
  <c r="K278" i="1" a="1"/>
  <c r="K278" i="1" s="1"/>
  <c r="O278" i="1"/>
  <c r="M278" i="14" s="1"/>
  <c r="L279" i="1" a="1"/>
  <c r="L279" i="1" s="1"/>
  <c r="Q279" i="1" a="1"/>
  <c r="Q279" i="1" s="1"/>
  <c r="S279" i="14" s="1"/>
  <c r="D280" i="1" a="1"/>
  <c r="D280" i="1" s="1"/>
  <c r="I280" i="14" s="1"/>
  <c r="K280" i="1" a="1"/>
  <c r="K280" i="1" s="1"/>
  <c r="G281" i="1" a="1"/>
  <c r="G281" i="1" s="1"/>
  <c r="K281" i="1" a="1"/>
  <c r="K281" i="1" s="1"/>
  <c r="P281" i="1" a="1"/>
  <c r="P281" i="1" s="1"/>
  <c r="M232" i="1" a="1"/>
  <c r="M232" i="1" s="1"/>
  <c r="H234" i="1" a="1"/>
  <c r="H234" i="1" s="1"/>
  <c r="J234" i="14" s="1"/>
  <c r="F235" i="1" a="1"/>
  <c r="F235" i="1" s="1"/>
  <c r="R235" i="14" s="1"/>
  <c r="M235" i="1" a="1"/>
  <c r="M235" i="1" s="1"/>
  <c r="G236" i="1" a="1"/>
  <c r="G236" i="1" s="1"/>
  <c r="L236" i="1" a="1"/>
  <c r="L236" i="1" s="1"/>
  <c r="G237" i="1" a="1"/>
  <c r="G237" i="1" s="1"/>
  <c r="K237" i="1" a="1"/>
  <c r="K237" i="1" s="1"/>
  <c r="Q237" i="1" a="1"/>
  <c r="Q237" i="1" s="1"/>
  <c r="S237" i="14" s="1"/>
  <c r="D238" i="1" a="1"/>
  <c r="D238" i="1" s="1"/>
  <c r="I238" i="14" s="1"/>
  <c r="H238" i="1" a="1"/>
  <c r="H238" i="1" s="1"/>
  <c r="J238" i="14" s="1"/>
  <c r="L238" i="1" a="1"/>
  <c r="L238" i="1" s="1"/>
  <c r="O239" i="1"/>
  <c r="M239" i="14" s="1"/>
  <c r="C240" i="1" a="1"/>
  <c r="C240" i="1" s="1"/>
  <c r="E240" i="14" s="1"/>
  <c r="H240" i="1" a="1"/>
  <c r="H240" i="1" s="1"/>
  <c r="J240" i="14" s="1"/>
  <c r="M240" i="1" a="1"/>
  <c r="M240" i="1" s="1"/>
  <c r="H241" i="1" a="1"/>
  <c r="H241" i="1" s="1"/>
  <c r="J241" i="14" s="1"/>
  <c r="L241" i="1" a="1"/>
  <c r="L241" i="1" s="1"/>
  <c r="O242" i="1"/>
  <c r="M242" i="14" s="1"/>
  <c r="F243" i="1" a="1"/>
  <c r="F243" i="1" s="1"/>
  <c r="R243" i="14" s="1"/>
  <c r="J243" i="1" a="1"/>
  <c r="J243" i="1" s="1"/>
  <c r="O243" i="1"/>
  <c r="M243" i="14" s="1"/>
  <c r="G244" i="1" a="1"/>
  <c r="G244" i="1" s="1"/>
  <c r="L244" i="1" a="1"/>
  <c r="L244" i="1" s="1"/>
  <c r="C246" i="1" a="1"/>
  <c r="C246" i="1" s="1"/>
  <c r="E246" i="14" s="1"/>
  <c r="G246" i="1" a="1"/>
  <c r="G246" i="1" s="1"/>
  <c r="J247" i="1" a="1"/>
  <c r="J247" i="1" s="1"/>
  <c r="J248" i="1" a="1"/>
  <c r="J248" i="1" s="1"/>
  <c r="J249" i="1" a="1"/>
  <c r="J249" i="1" s="1"/>
  <c r="J250" i="1" a="1"/>
  <c r="J250" i="1" s="1"/>
  <c r="J251" i="1" a="1"/>
  <c r="J251" i="1" s="1"/>
  <c r="P251" i="1" a="1"/>
  <c r="P251" i="1" s="1"/>
  <c r="F252" i="1" a="1"/>
  <c r="F252" i="1" s="1"/>
  <c r="R252" i="14" s="1"/>
  <c r="J252" i="1" a="1"/>
  <c r="J252" i="1" s="1"/>
  <c r="M231" i="1" a="1"/>
  <c r="M231" i="1" s="1"/>
  <c r="C232" i="1" a="1"/>
  <c r="C232" i="1" s="1"/>
  <c r="E232" i="14" s="1"/>
  <c r="G235" i="1" a="1"/>
  <c r="G235" i="1" s="1"/>
  <c r="O235" i="1"/>
  <c r="M235" i="14" s="1"/>
  <c r="D236" i="1" a="1"/>
  <c r="D236" i="1" s="1"/>
  <c r="I236" i="14" s="1"/>
  <c r="H236" i="1" a="1"/>
  <c r="H236" i="1" s="1"/>
  <c r="J236" i="14" s="1"/>
  <c r="P236" i="1" a="1"/>
  <c r="P236" i="1" s="1"/>
  <c r="C237" i="1" a="1"/>
  <c r="C237" i="1" s="1"/>
  <c r="E237" i="14" s="1"/>
  <c r="H237" i="1" a="1"/>
  <c r="H237" i="1" s="1"/>
  <c r="J237" i="14" s="1"/>
  <c r="L237" i="1" a="1"/>
  <c r="L237" i="1" s="1"/>
  <c r="O238" i="1"/>
  <c r="M238" i="14" s="1"/>
  <c r="F239" i="1" a="1"/>
  <c r="F239" i="1" s="1"/>
  <c r="R239" i="14" s="1"/>
  <c r="J239" i="1" a="1"/>
  <c r="J239" i="1" s="1"/>
  <c r="P239" i="1" a="1"/>
  <c r="P239" i="1" s="1"/>
  <c r="O241" i="1"/>
  <c r="M241" i="14" s="1"/>
  <c r="F242" i="1" a="1"/>
  <c r="F242" i="1" s="1"/>
  <c r="R242" i="14" s="1"/>
  <c r="J242" i="1" a="1"/>
  <c r="J242" i="1" s="1"/>
  <c r="P242" i="1" a="1"/>
  <c r="P242" i="1" s="1"/>
  <c r="C243" i="1" a="1"/>
  <c r="C243" i="1" s="1"/>
  <c r="E243" i="14" s="1"/>
  <c r="G243" i="1" a="1"/>
  <c r="G243" i="1" s="1"/>
  <c r="D244" i="1" a="1"/>
  <c r="D244" i="1" s="1"/>
  <c r="I244" i="14" s="1"/>
  <c r="H244" i="1" a="1"/>
  <c r="H244" i="1" s="1"/>
  <c r="J244" i="14" s="1"/>
  <c r="M244" i="1" a="1"/>
  <c r="M244" i="1" s="1"/>
  <c r="G245" i="1" a="1"/>
  <c r="G245" i="1" s="1"/>
  <c r="D246" i="1" a="1"/>
  <c r="D246" i="1" s="1"/>
  <c r="I246" i="14" s="1"/>
  <c r="L246" i="1" a="1"/>
  <c r="L246" i="1" s="1"/>
  <c r="F247" i="1" a="1"/>
  <c r="F247" i="1" s="1"/>
  <c r="R247" i="14" s="1"/>
  <c r="L247" i="1" a="1"/>
  <c r="L247" i="1" s="1"/>
  <c r="F248" i="1" a="1"/>
  <c r="F248" i="1" s="1"/>
  <c r="R248" i="14" s="1"/>
  <c r="L248" i="1" a="1"/>
  <c r="L248" i="1" s="1"/>
  <c r="F249" i="1" a="1"/>
  <c r="F249" i="1" s="1"/>
  <c r="R249" i="14" s="1"/>
  <c r="L249" i="1" a="1"/>
  <c r="L249" i="1" s="1"/>
  <c r="F250" i="1" a="1"/>
  <c r="F250" i="1" s="1"/>
  <c r="R250" i="14" s="1"/>
  <c r="L250" i="1" a="1"/>
  <c r="L250" i="1" s="1"/>
  <c r="F251" i="1" a="1"/>
  <c r="F251" i="1" s="1"/>
  <c r="R251" i="14" s="1"/>
  <c r="L251" i="1" a="1"/>
  <c r="L251" i="1" s="1"/>
  <c r="C252" i="1" a="1"/>
  <c r="C252" i="1" s="1"/>
  <c r="E252" i="14" s="1"/>
  <c r="F253" i="1" a="1"/>
  <c r="F253" i="1" s="1"/>
  <c r="R253" i="14" s="1"/>
  <c r="J253" i="1" a="1"/>
  <c r="J253" i="1" s="1"/>
  <c r="D254" i="1" a="1"/>
  <c r="D254" i="1" s="1"/>
  <c r="I254" i="14" s="1"/>
  <c r="O254" i="1"/>
  <c r="M254" i="14" s="1"/>
  <c r="D255" i="1" a="1"/>
  <c r="D255" i="1" s="1"/>
  <c r="I255" i="14" s="1"/>
  <c r="G255" i="1" a="1"/>
  <c r="G255" i="1" s="1"/>
  <c r="K255" i="1" a="1"/>
  <c r="K255" i="1" s="1"/>
  <c r="P255" i="1" a="1"/>
  <c r="P255" i="1" s="1"/>
  <c r="C256" i="1" a="1"/>
  <c r="C256" i="1" s="1"/>
  <c r="E256" i="14" s="1"/>
  <c r="G256" i="1" a="1"/>
  <c r="G256" i="1" s="1"/>
  <c r="K256" i="1" a="1"/>
  <c r="K256" i="1" s="1"/>
  <c r="O256" i="1"/>
  <c r="M256" i="14" s="1"/>
  <c r="F257" i="1" a="1"/>
  <c r="F257" i="1" s="1"/>
  <c r="R257" i="14" s="1"/>
  <c r="J257" i="1" a="1"/>
  <c r="J257" i="1" s="1"/>
  <c r="O257" i="1"/>
  <c r="M257" i="14" s="1"/>
  <c r="F258" i="1" a="1"/>
  <c r="F258" i="1" s="1"/>
  <c r="R258" i="14" s="1"/>
  <c r="J258" i="1" a="1"/>
  <c r="J258" i="1" s="1"/>
  <c r="O258" i="1"/>
  <c r="M258" i="14" s="1"/>
  <c r="F259" i="1" a="1"/>
  <c r="F259" i="1" s="1"/>
  <c r="R259" i="14" s="1"/>
  <c r="J259" i="1" a="1"/>
  <c r="J259" i="1" s="1"/>
  <c r="C260" i="1" a="1"/>
  <c r="C260" i="1" s="1"/>
  <c r="E260" i="14" s="1"/>
  <c r="M260" i="1" a="1"/>
  <c r="M260" i="1" s="1"/>
  <c r="L261" i="1" a="1"/>
  <c r="L261" i="1" s="1"/>
  <c r="Q261" i="1" a="1"/>
  <c r="Q261" i="1" s="1"/>
  <c r="S261" i="14" s="1"/>
  <c r="D262" i="1" a="1"/>
  <c r="D262" i="1" s="1"/>
  <c r="I262" i="14" s="1"/>
  <c r="O262" i="1"/>
  <c r="M262" i="14" s="1"/>
  <c r="D263" i="1" a="1"/>
  <c r="D263" i="1" s="1"/>
  <c r="I263" i="14" s="1"/>
  <c r="G263" i="1" a="1"/>
  <c r="G263" i="1" s="1"/>
  <c r="K263" i="1" a="1"/>
  <c r="K263" i="1" s="1"/>
  <c r="P263" i="1" a="1"/>
  <c r="P263" i="1" s="1"/>
  <c r="C264" i="1" a="1"/>
  <c r="C264" i="1" s="1"/>
  <c r="E264" i="14" s="1"/>
  <c r="G264" i="1" a="1"/>
  <c r="G264" i="1" s="1"/>
  <c r="K264" i="1" a="1"/>
  <c r="K264" i="1" s="1"/>
  <c r="P264" i="1" a="1"/>
  <c r="P264" i="1" s="1"/>
  <c r="C265" i="1" a="1"/>
  <c r="C265" i="1" s="1"/>
  <c r="E265" i="14" s="1"/>
  <c r="G265" i="1" a="1"/>
  <c r="G265" i="1" s="1"/>
  <c r="K265" i="1" a="1"/>
  <c r="K265" i="1" s="1"/>
  <c r="P265" i="1" a="1"/>
  <c r="P265" i="1" s="1"/>
  <c r="C266" i="1" a="1"/>
  <c r="C266" i="1" s="1"/>
  <c r="E266" i="14" s="1"/>
  <c r="G266" i="1" a="1"/>
  <c r="G266" i="1" s="1"/>
  <c r="K266" i="1" a="1"/>
  <c r="K266" i="1" s="1"/>
  <c r="P266" i="1" a="1"/>
  <c r="P266" i="1" s="1"/>
  <c r="C267" i="1" a="1"/>
  <c r="C267" i="1" s="1"/>
  <c r="E267" i="14" s="1"/>
  <c r="G267" i="1" a="1"/>
  <c r="G267" i="1" s="1"/>
  <c r="K267" i="1" a="1"/>
  <c r="K267" i="1" s="1"/>
  <c r="P267" i="1" a="1"/>
  <c r="P267" i="1" s="1"/>
  <c r="C268" i="1" a="1"/>
  <c r="C268" i="1" s="1"/>
  <c r="E268" i="14" s="1"/>
  <c r="G268" i="1" a="1"/>
  <c r="G268" i="1" s="1"/>
  <c r="J268" i="1" a="1"/>
  <c r="J268" i="1" s="1"/>
  <c r="M268" i="1" a="1"/>
  <c r="M268" i="1" s="1"/>
  <c r="M269" i="1" a="1"/>
  <c r="M269" i="1" s="1"/>
  <c r="M270" i="1" a="1"/>
  <c r="M270" i="1" s="1"/>
  <c r="Q270" i="1" a="1"/>
  <c r="Q270" i="1" s="1"/>
  <c r="S270" i="14" s="1"/>
  <c r="C271" i="1" a="1"/>
  <c r="C271" i="1" s="1"/>
  <c r="E271" i="14" s="1"/>
  <c r="F271" i="1" a="1"/>
  <c r="F271" i="1" s="1"/>
  <c r="R271" i="14" s="1"/>
  <c r="C272" i="1" a="1"/>
  <c r="C272" i="1" s="1"/>
  <c r="E272" i="14" s="1"/>
  <c r="J272" i="1" a="1"/>
  <c r="J272" i="1" s="1"/>
  <c r="Q272" i="1" a="1"/>
  <c r="Q272" i="1" s="1"/>
  <c r="S272" i="14" s="1"/>
  <c r="D273" i="1" a="1"/>
  <c r="D273" i="1" s="1"/>
  <c r="I273" i="14" s="1"/>
  <c r="O273" i="1"/>
  <c r="M273" i="14" s="1"/>
  <c r="D274" i="1" a="1"/>
  <c r="D274" i="1" s="1"/>
  <c r="I274" i="14" s="1"/>
  <c r="H274" i="1" a="1"/>
  <c r="H274" i="1" s="1"/>
  <c r="J274" i="14" s="1"/>
  <c r="L274" i="1" a="1"/>
  <c r="L274" i="1" s="1"/>
  <c r="Q274" i="1" a="1"/>
  <c r="Q274" i="1" s="1"/>
  <c r="S274" i="14" s="1"/>
  <c r="D275" i="1" a="1"/>
  <c r="D275" i="1" s="1"/>
  <c r="I275" i="14" s="1"/>
  <c r="G275" i="1" a="1"/>
  <c r="G275" i="1" s="1"/>
  <c r="K275" i="1" a="1"/>
  <c r="K275" i="1" s="1"/>
  <c r="O275" i="1"/>
  <c r="M275" i="14" s="1"/>
  <c r="F276" i="1" a="1"/>
  <c r="F276" i="1" s="1"/>
  <c r="R276" i="14" s="1"/>
  <c r="M276" i="1" a="1"/>
  <c r="M276" i="1" s="1"/>
  <c r="Q276" i="1" a="1"/>
  <c r="Q276" i="1" s="1"/>
  <c r="S276" i="14" s="1"/>
  <c r="D277" i="1" a="1"/>
  <c r="D277" i="1" s="1"/>
  <c r="I277" i="14" s="1"/>
  <c r="H277" i="1" a="1"/>
  <c r="H277" i="1" s="1"/>
  <c r="J277" i="14" s="1"/>
  <c r="L277" i="1" a="1"/>
  <c r="L277" i="1" s="1"/>
  <c r="Q277" i="1" a="1"/>
  <c r="Q277" i="1" s="1"/>
  <c r="S277" i="14" s="1"/>
  <c r="C278" i="1" a="1"/>
  <c r="C278" i="1" s="1"/>
  <c r="E278" i="14" s="1"/>
  <c r="F278" i="1" a="1"/>
  <c r="F278" i="1" s="1"/>
  <c r="R278" i="14" s="1"/>
  <c r="C279" i="1" a="1"/>
  <c r="C279" i="1" s="1"/>
  <c r="E279" i="14" s="1"/>
  <c r="G279" i="1" a="1"/>
  <c r="G279" i="1" s="1"/>
  <c r="O279" i="1"/>
  <c r="M279" i="14" s="1"/>
  <c r="F280" i="1" a="1"/>
  <c r="F280" i="1" s="1"/>
  <c r="R280" i="14" s="1"/>
  <c r="L280" i="1" a="1"/>
  <c r="L280" i="1" s="1"/>
  <c r="P280" i="1" a="1"/>
  <c r="P280" i="1" s="1"/>
  <c r="M281" i="1" a="1"/>
  <c r="M281" i="1" s="1"/>
  <c r="L282" i="1" a="1"/>
  <c r="L282" i="1" s="1"/>
  <c r="Q282" i="1" a="1"/>
  <c r="Q282" i="1" s="1"/>
  <c r="S282" i="14" s="1"/>
  <c r="D283" i="1" a="1"/>
  <c r="D283" i="1" s="1"/>
  <c r="I283" i="14" s="1"/>
  <c r="H283" i="1" a="1"/>
  <c r="H283" i="1" s="1"/>
  <c r="J283" i="14" s="1"/>
  <c r="L283" i="1" a="1"/>
  <c r="L283" i="1" s="1"/>
  <c r="C284" i="1" a="1"/>
  <c r="C284" i="1" s="1"/>
  <c r="E284" i="14" s="1"/>
  <c r="G284" i="1" a="1"/>
  <c r="G284" i="1" s="1"/>
  <c r="J284" i="1" a="1"/>
  <c r="J284" i="1" s="1"/>
  <c r="O284" i="1"/>
  <c r="M284" i="14" s="1"/>
  <c r="D285" i="1" a="1"/>
  <c r="D285" i="1" s="1"/>
  <c r="I285" i="14" s="1"/>
  <c r="H285" i="1" a="1"/>
  <c r="H285" i="1" s="1"/>
  <c r="J285" i="14" s="1"/>
  <c r="L285" i="1" a="1"/>
  <c r="L285" i="1" s="1"/>
  <c r="Q285" i="1" a="1"/>
  <c r="Q285" i="1" s="1"/>
  <c r="S285" i="14" s="1"/>
  <c r="D286" i="1" a="1"/>
  <c r="D286" i="1" s="1"/>
  <c r="I286" i="14" s="1"/>
  <c r="H286" i="1" a="1"/>
  <c r="H286" i="1" s="1"/>
  <c r="J286" i="14" s="1"/>
  <c r="K286" i="1" a="1"/>
  <c r="K286" i="1" s="1"/>
  <c r="P286" i="1" a="1"/>
  <c r="P286" i="1" s="1"/>
  <c r="F287" i="1" a="1"/>
  <c r="F287" i="1" s="1"/>
  <c r="R287" i="14" s="1"/>
  <c r="M287" i="1" a="1"/>
  <c r="M287" i="1" s="1"/>
  <c r="Q287" i="1" a="1"/>
  <c r="Q287" i="1" s="1"/>
  <c r="S287" i="14" s="1"/>
  <c r="D288" i="1" a="1"/>
  <c r="D288" i="1" s="1"/>
  <c r="I288" i="14" s="1"/>
  <c r="Q231" i="1" a="1"/>
  <c r="Q231" i="1" s="1"/>
  <c r="S231" i="14" s="1"/>
  <c r="L233" i="1" a="1"/>
  <c r="L233" i="1" s="1"/>
  <c r="D234" i="1" a="1"/>
  <c r="D234" i="1" s="1"/>
  <c r="I234" i="14" s="1"/>
  <c r="C235" i="1" a="1"/>
  <c r="C235" i="1" s="1"/>
  <c r="E235" i="14" s="1"/>
  <c r="Q235" i="1" a="1"/>
  <c r="Q235" i="1" s="1"/>
  <c r="S235" i="14" s="1"/>
  <c r="Q236" i="1" a="1"/>
  <c r="Q236" i="1" s="1"/>
  <c r="S236" i="14" s="1"/>
  <c r="D237" i="1" a="1"/>
  <c r="D237" i="1" s="1"/>
  <c r="I237" i="14" s="1"/>
  <c r="O237" i="1"/>
  <c r="M237" i="14" s="1"/>
  <c r="F238" i="1" a="1"/>
  <c r="F238" i="1" s="1"/>
  <c r="R238" i="14" s="1"/>
  <c r="J238" i="1" a="1"/>
  <c r="J238" i="1" s="1"/>
  <c r="P238" i="1" a="1"/>
  <c r="P238" i="1" s="1"/>
  <c r="C239" i="1" a="1"/>
  <c r="C239" i="1" s="1"/>
  <c r="E239" i="14" s="1"/>
  <c r="G239" i="1" a="1"/>
  <c r="G239" i="1" s="1"/>
  <c r="K239" i="1" a="1"/>
  <c r="K239" i="1" s="1"/>
  <c r="F240" i="1" a="1"/>
  <c r="F240" i="1" s="1"/>
  <c r="R240" i="14" s="1"/>
  <c r="J240" i="1" a="1"/>
  <c r="J240" i="1" s="1"/>
  <c r="P240" i="1" a="1"/>
  <c r="P240" i="1" s="1"/>
  <c r="C241" i="1" a="1"/>
  <c r="C241" i="1" s="1"/>
  <c r="E241" i="14" s="1"/>
  <c r="F241" i="1" a="1"/>
  <c r="F241" i="1" s="1"/>
  <c r="R241" i="14" s="1"/>
  <c r="J241" i="1" a="1"/>
  <c r="J241" i="1" s="1"/>
  <c r="C242" i="1" a="1"/>
  <c r="C242" i="1" s="1"/>
  <c r="E242" i="14" s="1"/>
  <c r="G242" i="1" a="1"/>
  <c r="G242" i="1" s="1"/>
  <c r="K242" i="1" a="1"/>
  <c r="K242" i="1" s="1"/>
  <c r="L242" i="14" s="1"/>
  <c r="Q242" i="1" a="1"/>
  <c r="Q242" i="1" s="1"/>
  <c r="S242" i="14" s="1"/>
  <c r="D243" i="1" a="1"/>
  <c r="D243" i="1" s="1"/>
  <c r="I243" i="14" s="1"/>
  <c r="H243" i="1" a="1"/>
  <c r="H243" i="1" s="1"/>
  <c r="J243" i="14" s="1"/>
  <c r="L243" i="1" a="1"/>
  <c r="L243" i="1" s="1"/>
  <c r="P244" i="1" a="1"/>
  <c r="P244" i="1" s="1"/>
  <c r="C245" i="1" a="1"/>
  <c r="C245" i="1" s="1"/>
  <c r="E245" i="14" s="1"/>
  <c r="H245" i="1" a="1"/>
  <c r="H245" i="1" s="1"/>
  <c r="J245" i="14" s="1"/>
  <c r="L245" i="1" a="1"/>
  <c r="L245" i="1" s="1"/>
  <c r="M246" i="1" a="1"/>
  <c r="M246" i="1" s="1"/>
  <c r="H247" i="1" a="1"/>
  <c r="H247" i="1" s="1"/>
  <c r="J247" i="14" s="1"/>
  <c r="M247" i="1" a="1"/>
  <c r="M247" i="1" s="1"/>
  <c r="H248" i="1" a="1"/>
  <c r="H248" i="1" s="1"/>
  <c r="J248" i="14" s="1"/>
  <c r="M248" i="1" a="1"/>
  <c r="M248" i="1" s="1"/>
  <c r="H249" i="1" a="1"/>
  <c r="H249" i="1" s="1"/>
  <c r="J249" i="14" s="1"/>
  <c r="M249" i="1" a="1"/>
  <c r="M249" i="1" s="1"/>
  <c r="H250" i="1" a="1"/>
  <c r="H250" i="1" s="1"/>
  <c r="J250" i="14" s="1"/>
  <c r="M250" i="1" a="1"/>
  <c r="M250" i="1" s="1"/>
  <c r="H251" i="1" a="1"/>
  <c r="H251" i="1" s="1"/>
  <c r="J251" i="14" s="1"/>
  <c r="Q251" i="1" a="1"/>
  <c r="Q251" i="1" s="1"/>
  <c r="S251" i="14" s="1"/>
  <c r="D252" i="1" a="1"/>
  <c r="D252" i="1" s="1"/>
  <c r="I252" i="14" s="1"/>
  <c r="G252" i="1" a="1"/>
  <c r="G252" i="1" s="1"/>
  <c r="M252" i="1" a="1"/>
  <c r="M252" i="1" s="1"/>
  <c r="G253" i="1" a="1"/>
  <c r="G253" i="1" s="1"/>
  <c r="O253" i="1"/>
  <c r="M253" i="14" s="1"/>
  <c r="H254" i="1" a="1"/>
  <c r="H254" i="1" s="1"/>
  <c r="J254" i="14" s="1"/>
  <c r="K254" i="1" a="1"/>
  <c r="K254" i="1" s="1"/>
  <c r="P254" i="1" a="1"/>
  <c r="P254" i="1" s="1"/>
  <c r="H255" i="1" a="1"/>
  <c r="H255" i="1" s="1"/>
  <c r="J255" i="14" s="1"/>
  <c r="L255" i="1" a="1"/>
  <c r="L255" i="1" s="1"/>
  <c r="Q255" i="1" a="1"/>
  <c r="Q255" i="1" s="1"/>
  <c r="S255" i="14" s="1"/>
  <c r="D256" i="1" a="1"/>
  <c r="D256" i="1" s="1"/>
  <c r="I256" i="14" s="1"/>
  <c r="H256" i="1" a="1"/>
  <c r="H256" i="1" s="1"/>
  <c r="J256" i="14" s="1"/>
  <c r="L256" i="1" a="1"/>
  <c r="L256" i="1" s="1"/>
  <c r="P256" i="1" a="1"/>
  <c r="P256" i="1" s="1"/>
  <c r="C257" i="1" a="1"/>
  <c r="C257" i="1" s="1"/>
  <c r="E257" i="14" s="1"/>
  <c r="G257" i="1" a="1"/>
  <c r="G257" i="1" s="1"/>
  <c r="K257" i="1" a="1"/>
  <c r="K257" i="1" s="1"/>
  <c r="P257" i="1" a="1"/>
  <c r="P257" i="1" s="1"/>
  <c r="C258" i="1" a="1"/>
  <c r="C258" i="1" s="1"/>
  <c r="E258" i="14" s="1"/>
  <c r="G258" i="1" a="1"/>
  <c r="G258" i="1" s="1"/>
  <c r="K258" i="1" a="1"/>
  <c r="K258" i="1" s="1"/>
  <c r="P258" i="1" a="1"/>
  <c r="P258" i="1" s="1"/>
  <c r="C259" i="1" a="1"/>
  <c r="C259" i="1" s="1"/>
  <c r="E259" i="14" s="1"/>
  <c r="G259" i="1" a="1"/>
  <c r="G259" i="1" s="1"/>
  <c r="M259" i="1" a="1"/>
  <c r="M259" i="1" s="1"/>
  <c r="Q259" i="1" a="1"/>
  <c r="Q259" i="1" s="1"/>
  <c r="S259" i="14" s="1"/>
  <c r="D260" i="1" a="1"/>
  <c r="D260" i="1" s="1"/>
  <c r="I260" i="14" s="1"/>
  <c r="G260" i="1" a="1"/>
  <c r="G260" i="1" s="1"/>
  <c r="J260" i="1" a="1"/>
  <c r="J260" i="1" s="1"/>
  <c r="O260" i="1"/>
  <c r="M260" i="14" s="1"/>
  <c r="F261" i="1" a="1"/>
  <c r="F261" i="1" s="1"/>
  <c r="R261" i="14" s="1"/>
  <c r="J261" i="1" a="1"/>
  <c r="J261" i="1" s="1"/>
  <c r="M261" i="1" a="1"/>
  <c r="M261" i="1" s="1"/>
  <c r="H262" i="1" a="1"/>
  <c r="H262" i="1" s="1"/>
  <c r="J262" i="14" s="1"/>
  <c r="K262" i="1" a="1"/>
  <c r="K262" i="1" s="1"/>
  <c r="P262" i="1" a="1"/>
  <c r="P262" i="1" s="1"/>
  <c r="H263" i="1" a="1"/>
  <c r="H263" i="1" s="1"/>
  <c r="J263" i="14" s="1"/>
  <c r="L263" i="1" a="1"/>
  <c r="L263" i="1" s="1"/>
  <c r="Q263" i="1" a="1"/>
  <c r="Q263" i="1" s="1"/>
  <c r="S263" i="14" s="1"/>
  <c r="D264" i="1" a="1"/>
  <c r="D264" i="1" s="1"/>
  <c r="I264" i="14" s="1"/>
  <c r="H264" i="1" a="1"/>
  <c r="H264" i="1" s="1"/>
  <c r="J264" i="14" s="1"/>
  <c r="L264" i="1" a="1"/>
  <c r="L264" i="1" s="1"/>
  <c r="Q264" i="1" a="1"/>
  <c r="Q264" i="1" s="1"/>
  <c r="S264" i="14" s="1"/>
  <c r="D265" i="1" a="1"/>
  <c r="D265" i="1" s="1"/>
  <c r="I265" i="14" s="1"/>
  <c r="H265" i="1" a="1"/>
  <c r="H265" i="1" s="1"/>
  <c r="J265" i="14" s="1"/>
  <c r="L265" i="1" a="1"/>
  <c r="L265" i="1" s="1"/>
  <c r="Q265" i="1" a="1"/>
  <c r="Q265" i="1" s="1"/>
  <c r="S265" i="14" s="1"/>
  <c r="D266" i="1" a="1"/>
  <c r="D266" i="1" s="1"/>
  <c r="I266" i="14" s="1"/>
  <c r="H266" i="1" a="1"/>
  <c r="H266" i="1" s="1"/>
  <c r="J266" i="14" s="1"/>
  <c r="L266" i="1" a="1"/>
  <c r="L266" i="1" s="1"/>
  <c r="Q266" i="1" a="1"/>
  <c r="Q266" i="1" s="1"/>
  <c r="S266" i="14" s="1"/>
  <c r="D267" i="1" a="1"/>
  <c r="D267" i="1" s="1"/>
  <c r="I267" i="14" s="1"/>
  <c r="H267" i="1" a="1"/>
  <c r="H267" i="1" s="1"/>
  <c r="J267" i="14" s="1"/>
  <c r="L267" i="1" a="1"/>
  <c r="L267" i="1" s="1"/>
  <c r="Q267" i="1" a="1"/>
  <c r="Q267" i="1" s="1"/>
  <c r="S267" i="14" s="1"/>
  <c r="D268" i="1" a="1"/>
  <c r="D268" i="1" s="1"/>
  <c r="I268" i="14" s="1"/>
  <c r="H268" i="1" a="1"/>
  <c r="H268" i="1" s="1"/>
  <c r="J268" i="14" s="1"/>
  <c r="K268" i="1" a="1"/>
  <c r="K268" i="1" s="1"/>
  <c r="O268" i="1"/>
  <c r="M268" i="14" s="1"/>
  <c r="F269" i="1" a="1"/>
  <c r="F269" i="1" s="1"/>
  <c r="R269" i="14" s="1"/>
  <c r="J269" i="1" a="1"/>
  <c r="J269" i="1" s="1"/>
  <c r="O269" i="1"/>
  <c r="M269" i="14" s="1"/>
  <c r="F270" i="1" a="1"/>
  <c r="F270" i="1" s="1"/>
  <c r="R270" i="14" s="1"/>
  <c r="J270" i="1" a="1"/>
  <c r="J270" i="1" s="1"/>
  <c r="O270" i="1"/>
  <c r="M270" i="14" s="1"/>
  <c r="J271" i="1" a="1"/>
  <c r="J271" i="1" s="1"/>
  <c r="M271" i="1" a="1"/>
  <c r="M271" i="1" s="1"/>
  <c r="Q271" i="1" a="1"/>
  <c r="Q271" i="1" s="1"/>
  <c r="S271" i="14" s="1"/>
  <c r="D272" i="1" a="1"/>
  <c r="D272" i="1" s="1"/>
  <c r="I272" i="14" s="1"/>
  <c r="G272" i="1" a="1"/>
  <c r="G272" i="1" s="1"/>
  <c r="K272" i="1" a="1"/>
  <c r="K272" i="1" s="1"/>
  <c r="O272" i="1"/>
  <c r="M272" i="14" s="1"/>
  <c r="H273" i="1" a="1"/>
  <c r="H273" i="1" s="1"/>
  <c r="J273" i="14" s="1"/>
  <c r="K273" i="1" a="1"/>
  <c r="K273" i="1" s="1"/>
  <c r="P273" i="1" a="1"/>
  <c r="P273" i="1" s="1"/>
  <c r="M274" i="1" a="1"/>
  <c r="M274" i="1" s="1"/>
  <c r="H275" i="1" a="1"/>
  <c r="H275" i="1" s="1"/>
  <c r="J275" i="14" s="1"/>
  <c r="L275" i="1" a="1"/>
  <c r="L275" i="1" s="1"/>
  <c r="P275" i="1" a="1"/>
  <c r="P275" i="1" s="1"/>
  <c r="C276" i="1" a="1"/>
  <c r="C276" i="1" s="1"/>
  <c r="E276" i="14" s="1"/>
  <c r="J276" i="1" a="1"/>
  <c r="J276" i="1" s="1"/>
  <c r="O276" i="1"/>
  <c r="M276" i="14" s="1"/>
  <c r="M277" i="1" a="1"/>
  <c r="M277" i="1" s="1"/>
  <c r="J278" i="1" a="1"/>
  <c r="J278" i="1" s="1"/>
  <c r="M278" i="1" a="1"/>
  <c r="M278" i="1" s="1"/>
  <c r="Q278" i="1" a="1"/>
  <c r="Q278" i="1" s="1"/>
  <c r="S278" i="14" s="1"/>
  <c r="D279" i="1" a="1"/>
  <c r="D279" i="1" s="1"/>
  <c r="I279" i="14" s="1"/>
  <c r="H279" i="1" a="1"/>
  <c r="H279" i="1" s="1"/>
  <c r="J279" i="14" s="1"/>
  <c r="K279" i="1" a="1"/>
  <c r="K279" i="1" s="1"/>
  <c r="P279" i="1" a="1"/>
  <c r="P279" i="1" s="1"/>
  <c r="C280" i="1" a="1"/>
  <c r="C280" i="1" s="1"/>
  <c r="E280" i="14" s="1"/>
  <c r="G280" i="1" a="1"/>
  <c r="G280" i="1" s="1"/>
  <c r="J280" i="1" a="1"/>
  <c r="J280" i="1" s="1"/>
  <c r="M280" i="1" a="1"/>
  <c r="M280" i="1" s="1"/>
  <c r="Q280" i="1" a="1"/>
  <c r="Q280" i="1" s="1"/>
  <c r="S280" i="14" s="1"/>
  <c r="C281" i="1" a="1"/>
  <c r="C281" i="1" s="1"/>
  <c r="E281" i="14" s="1"/>
  <c r="F281" i="1" a="1"/>
  <c r="F281" i="1" s="1"/>
  <c r="R281" i="14" s="1"/>
  <c r="J281" i="1" a="1"/>
  <c r="J281" i="1" s="1"/>
  <c r="O281" i="1"/>
  <c r="M281" i="14" s="1"/>
  <c r="F282" i="1" a="1"/>
  <c r="F282" i="1" s="1"/>
  <c r="R282" i="14" s="1"/>
  <c r="J282" i="1" a="1"/>
  <c r="J282" i="1" s="1"/>
  <c r="M282" i="1" a="1"/>
  <c r="M282" i="1" s="1"/>
  <c r="M283" i="1" a="1"/>
  <c r="M283" i="1" s="1"/>
  <c r="Q283" i="1" a="1"/>
  <c r="Q283" i="1" s="1"/>
  <c r="S283" i="14" s="1"/>
  <c r="D284" i="1" a="1"/>
  <c r="D284" i="1" s="1"/>
  <c r="I284" i="14" s="1"/>
  <c r="K284" i="1" a="1"/>
  <c r="K284" i="1" s="1"/>
  <c r="P284" i="1" a="1"/>
  <c r="P284" i="1" s="1"/>
  <c r="M285" i="1" a="1"/>
  <c r="M285" i="1" s="1"/>
  <c r="L286" i="1" a="1"/>
  <c r="L286" i="1" s="1"/>
  <c r="Q286" i="1" a="1"/>
  <c r="Q286" i="1" s="1"/>
  <c r="S286" i="14" s="1"/>
  <c r="C287" i="1" a="1"/>
  <c r="C287" i="1" s="1"/>
  <c r="E287" i="14" s="1"/>
  <c r="J287" i="1" a="1"/>
  <c r="J287" i="1" s="1"/>
  <c r="G288" i="1" a="1"/>
  <c r="G288" i="1" s="1"/>
  <c r="K288" i="1" a="1"/>
  <c r="K288" i="1" s="1"/>
  <c r="P288" i="1" a="1"/>
  <c r="P288" i="1" s="1"/>
  <c r="C289" i="1" a="1"/>
  <c r="C289" i="1" s="1"/>
  <c r="E289" i="14" s="1"/>
  <c r="G289" i="1" a="1"/>
  <c r="G289" i="1" s="1"/>
  <c r="J289" i="1" a="1"/>
  <c r="J289" i="1" s="1"/>
  <c r="M289" i="1" a="1"/>
  <c r="M289" i="1" s="1"/>
  <c r="C291" i="1" a="1"/>
  <c r="C291" i="1" s="1"/>
  <c r="E291" i="14" s="1"/>
  <c r="F291" i="1" a="1"/>
  <c r="F291" i="1" s="1"/>
  <c r="R291" i="14" s="1"/>
  <c r="M258" i="1" a="1"/>
  <c r="M258" i="1" s="1"/>
  <c r="J265" i="1" a="1"/>
  <c r="J265" i="1" s="1"/>
  <c r="O266" i="1"/>
  <c r="M266" i="14" s="1"/>
  <c r="F267" i="1" a="1"/>
  <c r="F267" i="1" s="1"/>
  <c r="R267" i="14" s="1"/>
  <c r="L271" i="1" a="1"/>
  <c r="L271" i="1" s="1"/>
  <c r="M273" i="1" a="1"/>
  <c r="M273" i="1" s="1"/>
  <c r="K274" i="1" a="1"/>
  <c r="K274" i="1" s="1"/>
  <c r="L274" i="14" s="1"/>
  <c r="C275" i="1" a="1"/>
  <c r="C275" i="1" s="1"/>
  <c r="E275" i="14" s="1"/>
  <c r="J275" i="1" a="1"/>
  <c r="J275" i="1" s="1"/>
  <c r="P277" i="1" a="1"/>
  <c r="P277" i="1" s="1"/>
  <c r="H278" i="1" a="1"/>
  <c r="H278" i="1" s="1"/>
  <c r="J278" i="14" s="1"/>
  <c r="D281" i="1" a="1"/>
  <c r="D281" i="1" s="1"/>
  <c r="I281" i="14" s="1"/>
  <c r="L281" i="1" a="1"/>
  <c r="L281" i="1" s="1"/>
  <c r="C282" i="1" a="1"/>
  <c r="C282" i="1" s="1"/>
  <c r="E282" i="14" s="1"/>
  <c r="H282" i="1" a="1"/>
  <c r="H282" i="1" s="1"/>
  <c r="J282" i="14" s="1"/>
  <c r="O282" i="1"/>
  <c r="M282" i="14" s="1"/>
  <c r="C283" i="1" a="1"/>
  <c r="C283" i="1" s="1"/>
  <c r="E283" i="14" s="1"/>
  <c r="P283" i="1" a="1"/>
  <c r="P283" i="1" s="1"/>
  <c r="F284" i="1" a="1"/>
  <c r="F284" i="1" s="1"/>
  <c r="R284" i="14" s="1"/>
  <c r="M284" i="1" a="1"/>
  <c r="M284" i="1" s="1"/>
  <c r="F285" i="1" a="1"/>
  <c r="F285" i="1" s="1"/>
  <c r="R285" i="14" s="1"/>
  <c r="K285" i="1" a="1"/>
  <c r="K285" i="1" s="1"/>
  <c r="G286" i="1" a="1"/>
  <c r="G286" i="1" s="1"/>
  <c r="O286" i="1"/>
  <c r="M286" i="14" s="1"/>
  <c r="D287" i="1" a="1"/>
  <c r="D287" i="1" s="1"/>
  <c r="I287" i="14" s="1"/>
  <c r="P287" i="1" a="1"/>
  <c r="P287" i="1" s="1"/>
  <c r="O288" i="1"/>
  <c r="M288" i="14" s="1"/>
  <c r="D289" i="1" a="1"/>
  <c r="D289" i="1" s="1"/>
  <c r="I289" i="14" s="1"/>
  <c r="H289" i="1" a="1"/>
  <c r="H289" i="1" s="1"/>
  <c r="J289" i="14" s="1"/>
  <c r="L289" i="1" a="1"/>
  <c r="L289" i="1" s="1"/>
  <c r="M290" i="1" a="1"/>
  <c r="M290" i="1" s="1"/>
  <c r="J291" i="1" a="1"/>
  <c r="J291" i="1" s="1"/>
  <c r="M291" i="1" a="1"/>
  <c r="M291" i="1" s="1"/>
  <c r="M292" i="1" a="1"/>
  <c r="M292" i="1" s="1"/>
  <c r="M293" i="1" a="1"/>
  <c r="M293" i="1" s="1"/>
  <c r="M294" i="1" a="1"/>
  <c r="M294" i="1" s="1"/>
  <c r="L295" i="1" a="1"/>
  <c r="L295" i="1" s="1"/>
  <c r="Q295" i="1" a="1"/>
  <c r="Q295" i="1" s="1"/>
  <c r="S295" i="14" s="1"/>
  <c r="D296" i="1" a="1"/>
  <c r="D296" i="1" s="1"/>
  <c r="I296" i="14" s="1"/>
  <c r="G296" i="1" a="1"/>
  <c r="G296" i="1" s="1"/>
  <c r="K296" i="1" a="1"/>
  <c r="K296" i="1" s="1"/>
  <c r="P296" i="1" a="1"/>
  <c r="P296" i="1" s="1"/>
  <c r="C297" i="1" a="1"/>
  <c r="C297" i="1" s="1"/>
  <c r="E297" i="14" s="1"/>
  <c r="G297" i="1" a="1"/>
  <c r="G297" i="1" s="1"/>
  <c r="K297" i="1" a="1"/>
  <c r="K297" i="1" s="1"/>
  <c r="P297" i="1" a="1"/>
  <c r="P297" i="1" s="1"/>
  <c r="H298" i="1" a="1"/>
  <c r="H298" i="1" s="1"/>
  <c r="J298" i="14" s="1"/>
  <c r="L298" i="1" a="1"/>
  <c r="L298" i="1" s="1"/>
  <c r="P298" i="1" a="1"/>
  <c r="P298" i="1" s="1"/>
  <c r="F299" i="1" a="1"/>
  <c r="F299" i="1" s="1"/>
  <c r="R299" i="14" s="1"/>
  <c r="M299" i="1" a="1"/>
  <c r="M299" i="1" s="1"/>
  <c r="Q299" i="1" a="1"/>
  <c r="Q299" i="1" s="1"/>
  <c r="S299" i="14" s="1"/>
  <c r="D300" i="1" a="1"/>
  <c r="D300" i="1" s="1"/>
  <c r="I300" i="14" s="1"/>
  <c r="K300" i="1" a="1"/>
  <c r="K300" i="1" s="1"/>
  <c r="P300" i="1" a="1"/>
  <c r="P300" i="1" s="1"/>
  <c r="C301" i="1" a="1"/>
  <c r="C301" i="1" s="1"/>
  <c r="E301" i="14" s="1"/>
  <c r="G301" i="1" a="1"/>
  <c r="G301" i="1" s="1"/>
  <c r="K301" i="1" a="1"/>
  <c r="K301" i="1" s="1"/>
  <c r="P301" i="1" a="1"/>
  <c r="P301" i="1" s="1"/>
  <c r="F302" i="1" a="1"/>
  <c r="F302" i="1" s="1"/>
  <c r="R302" i="14" s="1"/>
  <c r="J302" i="1" a="1"/>
  <c r="J302" i="1" s="1"/>
  <c r="O302" i="1"/>
  <c r="M302" i="14" s="1"/>
  <c r="F303" i="1" a="1"/>
  <c r="F303" i="1" s="1"/>
  <c r="R303" i="14" s="1"/>
  <c r="J303" i="1" a="1"/>
  <c r="J303" i="1" s="1"/>
  <c r="O303" i="1"/>
  <c r="M303" i="14" s="1"/>
  <c r="F304" i="1" a="1"/>
  <c r="F304" i="1" s="1"/>
  <c r="R304" i="14" s="1"/>
  <c r="J304" i="1" a="1"/>
  <c r="J304" i="1" s="1"/>
  <c r="O304" i="1"/>
  <c r="M304" i="14" s="1"/>
  <c r="F305" i="1" a="1"/>
  <c r="F305" i="1" s="1"/>
  <c r="R305" i="14" s="1"/>
  <c r="J305" i="1" a="1"/>
  <c r="J305" i="1" s="1"/>
  <c r="O305" i="1"/>
  <c r="M305" i="14" s="1"/>
  <c r="F306" i="1" a="1"/>
  <c r="F306" i="1" s="1"/>
  <c r="R306" i="14" s="1"/>
  <c r="J306" i="1" a="1"/>
  <c r="J306" i="1" s="1"/>
  <c r="M306" i="1" a="1"/>
  <c r="M306" i="1" s="1"/>
  <c r="L307" i="1" a="1"/>
  <c r="L307" i="1" s="1"/>
  <c r="Q307" i="1" a="1"/>
  <c r="Q307" i="1" s="1"/>
  <c r="S307" i="14" s="1"/>
  <c r="D308" i="1" a="1"/>
  <c r="D308" i="1" s="1"/>
  <c r="I308" i="14" s="1"/>
  <c r="H308" i="1" a="1"/>
  <c r="H308" i="1" s="1"/>
  <c r="J308" i="14" s="1"/>
  <c r="P308" i="1" a="1"/>
  <c r="P308" i="1" s="1"/>
  <c r="C309" i="1" a="1"/>
  <c r="C309" i="1" s="1"/>
  <c r="E309" i="14" s="1"/>
  <c r="G309" i="1" a="1"/>
  <c r="G309" i="1" s="1"/>
  <c r="K309" i="1" a="1"/>
  <c r="K309" i="1" s="1"/>
  <c r="P309" i="1" a="1"/>
  <c r="P309" i="1" s="1"/>
  <c r="C310" i="1" a="1"/>
  <c r="C310" i="1" s="1"/>
  <c r="E310" i="14" s="1"/>
  <c r="G310" i="1" a="1"/>
  <c r="G310" i="1" s="1"/>
  <c r="J310" i="1" a="1"/>
  <c r="J310" i="1" s="1"/>
  <c r="M310" i="1" a="1"/>
  <c r="M310" i="1" s="1"/>
  <c r="M311" i="1" a="1"/>
  <c r="M311" i="1" s="1"/>
  <c r="L312" i="1" a="1"/>
  <c r="L312" i="1" s="1"/>
  <c r="Q312" i="1" a="1"/>
  <c r="Q312" i="1" s="1"/>
  <c r="S312" i="14" s="1"/>
  <c r="D313" i="1" a="1"/>
  <c r="D313" i="1" s="1"/>
  <c r="I313" i="14" s="1"/>
  <c r="H313" i="1" a="1"/>
  <c r="H313" i="1" s="1"/>
  <c r="J313" i="14" s="1"/>
  <c r="L313" i="1" a="1"/>
  <c r="L313" i="1" s="1"/>
  <c r="Q313" i="1" a="1"/>
  <c r="Q313" i="1" s="1"/>
  <c r="S313" i="14" s="1"/>
  <c r="D314" i="1" a="1"/>
  <c r="D314" i="1" s="1"/>
  <c r="I314" i="14" s="1"/>
  <c r="H314" i="1" a="1"/>
  <c r="H314" i="1" s="1"/>
  <c r="J314" i="14" s="1"/>
  <c r="L314" i="1" a="1"/>
  <c r="L314" i="1" s="1"/>
  <c r="P314" i="1" a="1"/>
  <c r="P314" i="1" s="1"/>
  <c r="C315" i="1" a="1"/>
  <c r="C315" i="1" s="1"/>
  <c r="E315" i="14" s="1"/>
  <c r="G315" i="1" a="1"/>
  <c r="G315" i="1" s="1"/>
  <c r="J315" i="1" a="1"/>
  <c r="J315" i="1" s="1"/>
  <c r="O315" i="1"/>
  <c r="M315" i="14" s="1"/>
  <c r="M316" i="1" a="1"/>
  <c r="M316" i="1" s="1"/>
  <c r="Q316" i="1" a="1"/>
  <c r="Q316" i="1" s="1"/>
  <c r="S316" i="14" s="1"/>
  <c r="D317" i="1" a="1"/>
  <c r="D317" i="1" s="1"/>
  <c r="I317" i="14" s="1"/>
  <c r="K317" i="1" a="1"/>
  <c r="K317" i="1" s="1"/>
  <c r="P317" i="1" a="1"/>
  <c r="P317" i="1" s="1"/>
  <c r="C318" i="1" a="1"/>
  <c r="C318" i="1" s="1"/>
  <c r="E318" i="14" s="1"/>
  <c r="G318" i="1" a="1"/>
  <c r="G318" i="1" s="1"/>
  <c r="K318" i="1" a="1"/>
  <c r="K318" i="1" s="1"/>
  <c r="P318" i="1" a="1"/>
  <c r="P318" i="1" s="1"/>
  <c r="C319" i="1" a="1"/>
  <c r="C319" i="1" s="1"/>
  <c r="E319" i="14" s="1"/>
  <c r="G319" i="1" a="1"/>
  <c r="G319" i="1" s="1"/>
  <c r="K319" i="1" a="1"/>
  <c r="K319" i="1" s="1"/>
  <c r="P319" i="1" a="1"/>
  <c r="P319" i="1" s="1"/>
  <c r="C320" i="1" a="1"/>
  <c r="C320" i="1" s="1"/>
  <c r="E320" i="14" s="1"/>
  <c r="G320" i="1" a="1"/>
  <c r="G320" i="1" s="1"/>
  <c r="M320" i="1" a="1"/>
  <c r="M320" i="1" s="1"/>
  <c r="Q320" i="1" a="1"/>
  <c r="Q320" i="1" s="1"/>
  <c r="S320" i="14" s="1"/>
  <c r="D321" i="1" a="1"/>
  <c r="D321" i="1" s="1"/>
  <c r="I321" i="14" s="1"/>
  <c r="H321" i="1" a="1"/>
  <c r="H321" i="1" s="1"/>
  <c r="J321" i="14" s="1"/>
  <c r="L321" i="1" a="1"/>
  <c r="L321" i="1" s="1"/>
  <c r="C322" i="1" a="1"/>
  <c r="C322" i="1" s="1"/>
  <c r="E322" i="14" s="1"/>
  <c r="G322" i="1" a="1"/>
  <c r="G322" i="1" s="1"/>
  <c r="K322" i="1" a="1"/>
  <c r="K322" i="1" s="1"/>
  <c r="O322" i="1"/>
  <c r="M322" i="14" s="1"/>
  <c r="F323" i="1" a="1"/>
  <c r="F323" i="1" s="1"/>
  <c r="R323" i="14" s="1"/>
  <c r="J323" i="1" a="1"/>
  <c r="J323" i="1" s="1"/>
  <c r="O323" i="1"/>
  <c r="M323" i="14" s="1"/>
  <c r="D324" i="1" a="1"/>
  <c r="D324" i="1" s="1"/>
  <c r="I324" i="14" s="1"/>
  <c r="G324" i="1" a="1"/>
  <c r="G324" i="1" s="1"/>
  <c r="J324" i="1" a="1"/>
  <c r="J324" i="1" s="1"/>
  <c r="O324" i="1"/>
  <c r="M324" i="14" s="1"/>
  <c r="F325" i="1" a="1"/>
  <c r="F325" i="1" s="1"/>
  <c r="R325" i="14" s="1"/>
  <c r="M325" i="1" a="1"/>
  <c r="M325" i="1" s="1"/>
  <c r="C326" i="1" a="1"/>
  <c r="C326" i="1" s="1"/>
  <c r="E326" i="14" s="1"/>
  <c r="G326" i="1" a="1"/>
  <c r="G326" i="1" s="1"/>
  <c r="K326" i="1" a="1"/>
  <c r="K326" i="1" s="1"/>
  <c r="P326" i="1" a="1"/>
  <c r="P326" i="1" s="1"/>
  <c r="C327" i="1" a="1"/>
  <c r="C327" i="1" s="1"/>
  <c r="E327" i="14" s="1"/>
  <c r="G327" i="1" a="1"/>
  <c r="G327" i="1" s="1"/>
  <c r="O327" i="1"/>
  <c r="M327" i="14" s="1"/>
  <c r="M253" i="1" a="1"/>
  <c r="M253" i="1" s="1"/>
  <c r="C254" i="1" a="1"/>
  <c r="C254" i="1" s="1"/>
  <c r="E254" i="14" s="1"/>
  <c r="J254" i="1" a="1"/>
  <c r="J254" i="1" s="1"/>
  <c r="J256" i="1" a="1"/>
  <c r="J256" i="1" s="1"/>
  <c r="L259" i="1" a="1"/>
  <c r="L259" i="1" s="1"/>
  <c r="L260" i="1" a="1"/>
  <c r="L260" i="1" s="1"/>
  <c r="D261" i="1" a="1"/>
  <c r="D261" i="1" s="1"/>
  <c r="I261" i="14" s="1"/>
  <c r="C262" i="1" a="1"/>
  <c r="C262" i="1" s="1"/>
  <c r="E262" i="14" s="1"/>
  <c r="J262" i="1" a="1"/>
  <c r="J262" i="1" s="1"/>
  <c r="J264" i="1" a="1"/>
  <c r="J264" i="1" s="1"/>
  <c r="O265" i="1"/>
  <c r="M265" i="14" s="1"/>
  <c r="F266" i="1" a="1"/>
  <c r="F266" i="1" s="1"/>
  <c r="R266" i="14" s="1"/>
  <c r="L268" i="1" a="1"/>
  <c r="L268" i="1" s="1"/>
  <c r="D269" i="1" a="1"/>
  <c r="D269" i="1" s="1"/>
  <c r="I269" i="14" s="1"/>
  <c r="L269" i="1" a="1"/>
  <c r="L269" i="1" s="1"/>
  <c r="D270" i="1" a="1"/>
  <c r="D270" i="1" s="1"/>
  <c r="I270" i="14" s="1"/>
  <c r="L270" i="1" a="1"/>
  <c r="L270" i="1" s="1"/>
  <c r="P271" i="1" a="1"/>
  <c r="P271" i="1" s="1"/>
  <c r="F272" i="1" a="1"/>
  <c r="F272" i="1" s="1"/>
  <c r="R272" i="14" s="1"/>
  <c r="G273" i="1" a="1"/>
  <c r="G273" i="1" s="1"/>
  <c r="P274" i="1" a="1"/>
  <c r="P274" i="1" s="1"/>
  <c r="H276" i="1" a="1"/>
  <c r="H276" i="1" s="1"/>
  <c r="J276" i="14" s="1"/>
  <c r="G277" i="1" a="1"/>
  <c r="G277" i="1" s="1"/>
  <c r="J279" i="1" a="1"/>
  <c r="J279" i="1" s="1"/>
  <c r="O280" i="1"/>
  <c r="M280" i="14" s="1"/>
  <c r="Q281" i="1" a="1"/>
  <c r="Q281" i="1" s="1"/>
  <c r="S281" i="14" s="1"/>
  <c r="D282" i="1" a="1"/>
  <c r="D282" i="1" s="1"/>
  <c r="I282" i="14" s="1"/>
  <c r="P282" i="1" a="1"/>
  <c r="P282" i="1" s="1"/>
  <c r="J283" i="1" a="1"/>
  <c r="J283" i="1" s="1"/>
  <c r="H284" i="1" a="1"/>
  <c r="H284" i="1" s="1"/>
  <c r="J284" i="14" s="1"/>
  <c r="Q284" i="1" a="1"/>
  <c r="Q284" i="1" s="1"/>
  <c r="S284" i="14" s="1"/>
  <c r="C285" i="1" a="1"/>
  <c r="C285" i="1" s="1"/>
  <c r="E285" i="14" s="1"/>
  <c r="G285" i="1" a="1"/>
  <c r="G285" i="1" s="1"/>
  <c r="O285" i="1"/>
  <c r="M285" i="14" s="1"/>
  <c r="C286" i="1" a="1"/>
  <c r="C286" i="1" s="1"/>
  <c r="E286" i="14" s="1"/>
  <c r="K287" i="1" a="1"/>
  <c r="K287" i="1" s="1"/>
  <c r="F288" i="1" a="1"/>
  <c r="F288" i="1" s="1"/>
  <c r="R288" i="14" s="1"/>
  <c r="J288" i="1" a="1"/>
  <c r="J288" i="1" s="1"/>
  <c r="Q288" i="1" a="1"/>
  <c r="Q288" i="1" s="1"/>
  <c r="S288" i="14" s="1"/>
  <c r="O289" i="1"/>
  <c r="M289" i="14" s="1"/>
  <c r="F290" i="1" a="1"/>
  <c r="F290" i="1" s="1"/>
  <c r="R290" i="14" s="1"/>
  <c r="J290" i="1" a="1"/>
  <c r="J290" i="1" s="1"/>
  <c r="O290" i="1"/>
  <c r="M290" i="14" s="1"/>
  <c r="G291" i="1" a="1"/>
  <c r="G291" i="1" s="1"/>
  <c r="K291" i="1" a="1"/>
  <c r="K291" i="1" s="1"/>
  <c r="O291" i="1"/>
  <c r="M291" i="14" s="1"/>
  <c r="F292" i="1" a="1"/>
  <c r="F292" i="1" s="1"/>
  <c r="R292" i="14" s="1"/>
  <c r="J292" i="1" a="1"/>
  <c r="J292" i="1" s="1"/>
  <c r="O292" i="1"/>
  <c r="M292" i="14" s="1"/>
  <c r="F293" i="1" a="1"/>
  <c r="F293" i="1" s="1"/>
  <c r="R293" i="14" s="1"/>
  <c r="J293" i="1" a="1"/>
  <c r="J293" i="1" s="1"/>
  <c r="O293" i="1"/>
  <c r="M293" i="14" s="1"/>
  <c r="D294" i="1" a="1"/>
  <c r="D294" i="1" s="1"/>
  <c r="I294" i="14" s="1"/>
  <c r="G294" i="1" a="1"/>
  <c r="G294" i="1" s="1"/>
  <c r="J294" i="1" a="1"/>
  <c r="J294" i="1" s="1"/>
  <c r="O294" i="1"/>
  <c r="M294" i="14" s="1"/>
  <c r="F295" i="1" a="1"/>
  <c r="F295" i="1" s="1"/>
  <c r="R295" i="14" s="1"/>
  <c r="M295" i="1" a="1"/>
  <c r="M295" i="1" s="1"/>
  <c r="H296" i="1" a="1"/>
  <c r="H296" i="1" s="1"/>
  <c r="J296" i="14" s="1"/>
  <c r="L296" i="1" a="1"/>
  <c r="L296" i="1" s="1"/>
  <c r="Q296" i="1" a="1"/>
  <c r="Q296" i="1" s="1"/>
  <c r="S296" i="14" s="1"/>
  <c r="D297" i="1" a="1"/>
  <c r="D297" i="1" s="1"/>
  <c r="I297" i="14" s="1"/>
  <c r="H297" i="1" a="1"/>
  <c r="H297" i="1" s="1"/>
  <c r="J297" i="14" s="1"/>
  <c r="L297" i="1" a="1"/>
  <c r="L297" i="1" s="1"/>
  <c r="Q297" i="1" a="1"/>
  <c r="Q297" i="1" s="1"/>
  <c r="S297" i="14" s="1"/>
  <c r="C298" i="1" a="1"/>
  <c r="C298" i="1" s="1"/>
  <c r="E298" i="14" s="1"/>
  <c r="F298" i="1" a="1"/>
  <c r="F298" i="1" s="1"/>
  <c r="R298" i="14" s="1"/>
  <c r="C299" i="1" a="1"/>
  <c r="C299" i="1" s="1"/>
  <c r="E299" i="14" s="1"/>
  <c r="J299" i="1" a="1"/>
  <c r="J299" i="1" s="1"/>
  <c r="O299" i="1"/>
  <c r="M299" i="14" s="1"/>
  <c r="H300" i="1" a="1"/>
  <c r="H300" i="1" s="1"/>
  <c r="J300" i="14" s="1"/>
  <c r="L300" i="1" a="1"/>
  <c r="L300" i="1" s="1"/>
  <c r="Q300" i="1" a="1"/>
  <c r="Q300" i="1" s="1"/>
  <c r="S300" i="14" s="1"/>
  <c r="D301" i="1" a="1"/>
  <c r="D301" i="1" s="1"/>
  <c r="I301" i="14" s="1"/>
  <c r="H301" i="1" a="1"/>
  <c r="H301" i="1" s="1"/>
  <c r="J301" i="14" s="1"/>
  <c r="L301" i="1" a="1"/>
  <c r="L301" i="1" s="1"/>
  <c r="C302" i="1" a="1"/>
  <c r="C302" i="1" s="1"/>
  <c r="E302" i="14" s="1"/>
  <c r="G302" i="1" a="1"/>
  <c r="G302" i="1" s="1"/>
  <c r="K302" i="1" a="1"/>
  <c r="K302" i="1" s="1"/>
  <c r="P302" i="1" a="1"/>
  <c r="P302" i="1" s="1"/>
  <c r="C303" i="1" a="1"/>
  <c r="C303" i="1" s="1"/>
  <c r="E303" i="14" s="1"/>
  <c r="G303" i="1" a="1"/>
  <c r="G303" i="1" s="1"/>
  <c r="K303" i="1" a="1"/>
  <c r="K303" i="1" s="1"/>
  <c r="P303" i="1" a="1"/>
  <c r="P303" i="1" s="1"/>
  <c r="C304" i="1" a="1"/>
  <c r="C304" i="1" s="1"/>
  <c r="E304" i="14" s="1"/>
  <c r="G304" i="1" a="1"/>
  <c r="G304" i="1" s="1"/>
  <c r="K304" i="1" a="1"/>
  <c r="K304" i="1" s="1"/>
  <c r="P304" i="1" a="1"/>
  <c r="P304" i="1" s="1"/>
  <c r="C305" i="1" a="1"/>
  <c r="C305" i="1" s="1"/>
  <c r="E305" i="14" s="1"/>
  <c r="G305" i="1" a="1"/>
  <c r="G305" i="1" s="1"/>
  <c r="K305" i="1" a="1"/>
  <c r="K305" i="1" s="1"/>
  <c r="P305" i="1" a="1"/>
  <c r="P305" i="1" s="1"/>
  <c r="C306" i="1" a="1"/>
  <c r="C306" i="1" s="1"/>
  <c r="E306" i="14" s="1"/>
  <c r="G306" i="1" a="1"/>
  <c r="G306" i="1" s="1"/>
  <c r="K306" i="1" a="1"/>
  <c r="K306" i="1" s="1"/>
  <c r="O306" i="1"/>
  <c r="M306" i="14" s="1"/>
  <c r="F307" i="1" a="1"/>
  <c r="F307" i="1" s="1"/>
  <c r="R307" i="14" s="1"/>
  <c r="M307" i="1" a="1"/>
  <c r="M307" i="1" s="1"/>
  <c r="L308" i="1" a="1"/>
  <c r="L308" i="1" s="1"/>
  <c r="Q308" i="1" a="1"/>
  <c r="Q308" i="1" s="1"/>
  <c r="S308" i="14" s="1"/>
  <c r="D309" i="1" a="1"/>
  <c r="D309" i="1" s="1"/>
  <c r="I309" i="14" s="1"/>
  <c r="H309" i="1" a="1"/>
  <c r="H309" i="1" s="1"/>
  <c r="J309" i="14" s="1"/>
  <c r="L309" i="1" a="1"/>
  <c r="L309" i="1" s="1"/>
  <c r="Q309" i="1" a="1"/>
  <c r="Q309" i="1" s="1"/>
  <c r="S309" i="14" s="1"/>
  <c r="D310" i="1" a="1"/>
  <c r="D310" i="1" s="1"/>
  <c r="I310" i="14" s="1"/>
  <c r="O310" i="1"/>
  <c r="M310" i="14" s="1"/>
  <c r="F311" i="1" a="1"/>
  <c r="F311" i="1" s="1"/>
  <c r="R311" i="14" s="1"/>
  <c r="J311" i="1" a="1"/>
  <c r="J311" i="1" s="1"/>
  <c r="O311" i="1"/>
  <c r="M311" i="14" s="1"/>
  <c r="F312" i="1" a="1"/>
  <c r="F312" i="1" s="1"/>
  <c r="R312" i="14" s="1"/>
  <c r="M312" i="1" a="1"/>
  <c r="M312" i="1" s="1"/>
  <c r="M313" i="1" a="1"/>
  <c r="M313" i="1" s="1"/>
  <c r="Q314" i="1" a="1"/>
  <c r="Q314" i="1" s="1"/>
  <c r="S314" i="14" s="1"/>
  <c r="D315" i="1" a="1"/>
  <c r="D315" i="1" s="1"/>
  <c r="I315" i="14" s="1"/>
  <c r="H315" i="1" a="1"/>
  <c r="H315" i="1" s="1"/>
  <c r="J315" i="14" s="1"/>
  <c r="K315" i="1" a="1"/>
  <c r="K315" i="1" s="1"/>
  <c r="P315" i="1" a="1"/>
  <c r="P315" i="1" s="1"/>
  <c r="F316" i="1" a="1"/>
  <c r="F316" i="1" s="1"/>
  <c r="R316" i="14" s="1"/>
  <c r="J316" i="1" a="1"/>
  <c r="J316" i="1" s="1"/>
  <c r="H317" i="1" a="1"/>
  <c r="H317" i="1" s="1"/>
  <c r="J317" i="14" s="1"/>
  <c r="L317" i="1" a="1"/>
  <c r="L317" i="1" s="1"/>
  <c r="Q317" i="1" a="1"/>
  <c r="Q317" i="1" s="1"/>
  <c r="S317" i="14" s="1"/>
  <c r="D318" i="1" a="1"/>
  <c r="D318" i="1" s="1"/>
  <c r="I318" i="14" s="1"/>
  <c r="H318" i="1" a="1"/>
  <c r="H318" i="1" s="1"/>
  <c r="J318" i="14" s="1"/>
  <c r="L318" i="1" a="1"/>
  <c r="L318" i="1" s="1"/>
  <c r="Q318" i="1" a="1"/>
  <c r="Q318" i="1" s="1"/>
  <c r="S318" i="14" s="1"/>
  <c r="D319" i="1" a="1"/>
  <c r="D319" i="1" s="1"/>
  <c r="I319" i="14" s="1"/>
  <c r="H319" i="1" a="1"/>
  <c r="H319" i="1" s="1"/>
  <c r="J319" i="14" s="1"/>
  <c r="L319" i="1" a="1"/>
  <c r="L319" i="1" s="1"/>
  <c r="Q319" i="1" a="1"/>
  <c r="Q319" i="1" s="1"/>
  <c r="S319" i="14" s="1"/>
  <c r="D320" i="1" a="1"/>
  <c r="D320" i="1" s="1"/>
  <c r="I320" i="14" s="1"/>
  <c r="H320" i="1" a="1"/>
  <c r="H320" i="1" s="1"/>
  <c r="J320" i="14" s="1"/>
  <c r="K320" i="1" a="1"/>
  <c r="K320" i="1" s="1"/>
  <c r="O320" i="1"/>
  <c r="M320" i="14" s="1"/>
  <c r="M321" i="1" a="1"/>
  <c r="M321" i="1" s="1"/>
  <c r="Q321" i="1" a="1"/>
  <c r="Q321" i="1" s="1"/>
  <c r="S321" i="14" s="1"/>
  <c r="D322" i="1" a="1"/>
  <c r="D322" i="1" s="1"/>
  <c r="I322" i="14" s="1"/>
  <c r="H322" i="1" a="1"/>
  <c r="H322" i="1" s="1"/>
  <c r="J322" i="14" s="1"/>
  <c r="L322" i="1" a="1"/>
  <c r="L322" i="1" s="1"/>
  <c r="P322" i="1" a="1"/>
  <c r="P322" i="1" s="1"/>
  <c r="C323" i="1" a="1"/>
  <c r="C323" i="1" s="1"/>
  <c r="E323" i="14" s="1"/>
  <c r="G323" i="1" a="1"/>
  <c r="G323" i="1" s="1"/>
  <c r="K323" i="1" a="1"/>
  <c r="K323" i="1" s="1"/>
  <c r="P323" i="1" a="1"/>
  <c r="P323" i="1" s="1"/>
  <c r="H324" i="1" a="1"/>
  <c r="H324" i="1" s="1"/>
  <c r="J324" i="14" s="1"/>
  <c r="K324" i="1" a="1"/>
  <c r="K324" i="1" s="1"/>
  <c r="P324" i="1" a="1"/>
  <c r="P324" i="1" s="1"/>
  <c r="C325" i="1" a="1"/>
  <c r="C325" i="1" s="1"/>
  <c r="E325" i="14" s="1"/>
  <c r="J325" i="1" a="1"/>
  <c r="J325" i="1" s="1"/>
  <c r="Q325" i="1" a="1"/>
  <c r="Q325" i="1" s="1"/>
  <c r="S325" i="14" s="1"/>
  <c r="D326" i="1" a="1"/>
  <c r="D326" i="1" s="1"/>
  <c r="I326" i="14" s="1"/>
  <c r="H326" i="1" a="1"/>
  <c r="H326" i="1" s="1"/>
  <c r="J326" i="14" s="1"/>
  <c r="L326" i="1" a="1"/>
  <c r="L326" i="1" s="1"/>
  <c r="Q326" i="1" a="1"/>
  <c r="Q326" i="1" s="1"/>
  <c r="S326" i="14" s="1"/>
  <c r="D327" i="1" a="1"/>
  <c r="D327" i="1" s="1"/>
  <c r="I327" i="14" s="1"/>
  <c r="H327" i="1" a="1"/>
  <c r="H327" i="1" s="1"/>
  <c r="J327" i="14" s="1"/>
  <c r="Q253" i="1" a="1"/>
  <c r="Q253" i="1" s="1"/>
  <c r="S253" i="14" s="1"/>
  <c r="M254" i="1" a="1"/>
  <c r="M254" i="1" s="1"/>
  <c r="J255" i="1" a="1"/>
  <c r="J255" i="1" s="1"/>
  <c r="P259" i="1" a="1"/>
  <c r="P259" i="1" s="1"/>
  <c r="F260" i="1" a="1"/>
  <c r="F260" i="1" s="1"/>
  <c r="R260" i="14" s="1"/>
  <c r="Q260" i="1" a="1"/>
  <c r="Q260" i="1" s="1"/>
  <c r="S260" i="14" s="1"/>
  <c r="P261" i="1" a="1"/>
  <c r="P261" i="1" s="1"/>
  <c r="M262" i="1" a="1"/>
  <c r="M262" i="1" s="1"/>
  <c r="J263" i="1" a="1"/>
  <c r="J263" i="1" s="1"/>
  <c r="O264" i="1"/>
  <c r="M264" i="14" s="1"/>
  <c r="F265" i="1" a="1"/>
  <c r="F265" i="1" s="1"/>
  <c r="R265" i="14" s="1"/>
  <c r="J267" i="1" a="1"/>
  <c r="J267" i="1" s="1"/>
  <c r="Q268" i="1" a="1"/>
  <c r="Q268" i="1" s="1"/>
  <c r="S268" i="14" s="1"/>
  <c r="Q269" i="1" a="1"/>
  <c r="Q269" i="1" s="1"/>
  <c r="S269" i="14" s="1"/>
  <c r="H271" i="1" a="1"/>
  <c r="H271" i="1" s="1"/>
  <c r="J271" i="14" s="1"/>
  <c r="G274" i="1" a="1"/>
  <c r="G274" i="1" s="1"/>
  <c r="L278" i="1" a="1"/>
  <c r="L278" i="1" s="1"/>
  <c r="M279" i="1" a="1"/>
  <c r="M279" i="1" s="1"/>
  <c r="H280" i="1" a="1"/>
  <c r="H280" i="1" s="1"/>
  <c r="J280" i="14" s="1"/>
  <c r="H281" i="1" a="1"/>
  <c r="H281" i="1" s="1"/>
  <c r="J281" i="14" s="1"/>
  <c r="F283" i="1" a="1"/>
  <c r="F283" i="1" s="1"/>
  <c r="R283" i="14" s="1"/>
  <c r="K283" i="1" a="1"/>
  <c r="K283" i="1" s="1"/>
  <c r="L283" i="14" s="1"/>
  <c r="P285" i="1" a="1"/>
  <c r="P285" i="1" s="1"/>
  <c r="J286" i="1" a="1"/>
  <c r="J286" i="1" s="1"/>
  <c r="G287" i="1" a="1"/>
  <c r="G287" i="1" s="1"/>
  <c r="L287" i="1" a="1"/>
  <c r="L287" i="1" s="1"/>
  <c r="L288" i="1" a="1"/>
  <c r="L288" i="1" s="1"/>
  <c r="F289" i="1" a="1"/>
  <c r="F289" i="1" s="1"/>
  <c r="R289" i="14" s="1"/>
  <c r="P289" i="1" a="1"/>
  <c r="P289" i="1" s="1"/>
  <c r="C290" i="1" a="1"/>
  <c r="C290" i="1" s="1"/>
  <c r="E290" i="14" s="1"/>
  <c r="G290" i="1" a="1"/>
  <c r="G290" i="1" s="1"/>
  <c r="K290" i="1" a="1"/>
  <c r="K290" i="1" s="1"/>
  <c r="P290" i="1" a="1"/>
  <c r="P290" i="1" s="1"/>
  <c r="D291" i="1" a="1"/>
  <c r="D291" i="1" s="1"/>
  <c r="I291" i="14" s="1"/>
  <c r="H291" i="1" a="1"/>
  <c r="H291" i="1" s="1"/>
  <c r="J291" i="14" s="1"/>
  <c r="P291" i="1" a="1"/>
  <c r="P291" i="1" s="1"/>
  <c r="C292" i="1" a="1"/>
  <c r="C292" i="1" s="1"/>
  <c r="E292" i="14" s="1"/>
  <c r="G292" i="1" a="1"/>
  <c r="G292" i="1" s="1"/>
  <c r="K292" i="1" a="1"/>
  <c r="K292" i="1" s="1"/>
  <c r="P292" i="1" a="1"/>
  <c r="P292" i="1" s="1"/>
  <c r="C293" i="1" a="1"/>
  <c r="C293" i="1" s="1"/>
  <c r="E293" i="14" s="1"/>
  <c r="G293" i="1" a="1"/>
  <c r="G293" i="1" s="1"/>
  <c r="K293" i="1" a="1"/>
  <c r="K293" i="1" s="1"/>
  <c r="P293" i="1" a="1"/>
  <c r="P293" i="1" s="1"/>
  <c r="H294" i="1" a="1"/>
  <c r="H294" i="1" s="1"/>
  <c r="J294" i="14" s="1"/>
  <c r="K294" i="1" a="1"/>
  <c r="K294" i="1" s="1"/>
  <c r="P294" i="1" a="1"/>
  <c r="P294" i="1" s="1"/>
  <c r="C295" i="1" a="1"/>
  <c r="C295" i="1" s="1"/>
  <c r="E295" i="14" s="1"/>
  <c r="G295" i="1" a="1"/>
  <c r="G295" i="1" s="1"/>
  <c r="J295" i="1" a="1"/>
  <c r="J295" i="1" s="1"/>
  <c r="O295" i="1"/>
  <c r="M295" i="14" s="1"/>
  <c r="F296" i="1" a="1"/>
  <c r="F296" i="1" s="1"/>
  <c r="R296" i="14" s="1"/>
  <c r="M296" i="1" a="1"/>
  <c r="M296" i="1" s="1"/>
  <c r="M297" i="1" a="1"/>
  <c r="M297" i="1" s="1"/>
  <c r="J298" i="1" a="1"/>
  <c r="J298" i="1" s="1"/>
  <c r="M298" i="1" a="1"/>
  <c r="M298" i="1" s="1"/>
  <c r="Q298" i="1" a="1"/>
  <c r="Q298" i="1" s="1"/>
  <c r="S298" i="14" s="1"/>
  <c r="D299" i="1" a="1"/>
  <c r="D299" i="1" s="1"/>
  <c r="I299" i="14" s="1"/>
  <c r="G299" i="1" a="1"/>
  <c r="G299" i="1" s="1"/>
  <c r="K299" i="1" a="1"/>
  <c r="K299" i="1" s="1"/>
  <c r="P299" i="1" a="1"/>
  <c r="P299" i="1" s="1"/>
  <c r="F300" i="1" a="1"/>
  <c r="F300" i="1" s="1"/>
  <c r="R300" i="14" s="1"/>
  <c r="M300" i="1" a="1"/>
  <c r="M300" i="1" s="1"/>
  <c r="M301" i="1" a="1"/>
  <c r="M301" i="1" s="1"/>
  <c r="Q301" i="1" a="1"/>
  <c r="Q301" i="1" s="1"/>
  <c r="S301" i="14" s="1"/>
  <c r="D302" i="1" a="1"/>
  <c r="D302" i="1" s="1"/>
  <c r="I302" i="14" s="1"/>
  <c r="H302" i="1" a="1"/>
  <c r="H302" i="1" s="1"/>
  <c r="J302" i="14" s="1"/>
  <c r="L302" i="1" a="1"/>
  <c r="L302" i="1" s="1"/>
  <c r="Q302" i="1" a="1"/>
  <c r="Q302" i="1" s="1"/>
  <c r="S302" i="14" s="1"/>
  <c r="D303" i="1" a="1"/>
  <c r="D303" i="1" s="1"/>
  <c r="I303" i="14" s="1"/>
  <c r="H303" i="1" a="1"/>
  <c r="H303" i="1" s="1"/>
  <c r="J303" i="14" s="1"/>
  <c r="L303" i="1" a="1"/>
  <c r="L303" i="1" s="1"/>
  <c r="Q303" i="1" a="1"/>
  <c r="Q303" i="1" s="1"/>
  <c r="S303" i="14" s="1"/>
  <c r="D304" i="1" a="1"/>
  <c r="D304" i="1" s="1"/>
  <c r="I304" i="14" s="1"/>
  <c r="H304" i="1" a="1"/>
  <c r="H304" i="1" s="1"/>
  <c r="J304" i="14" s="1"/>
  <c r="L304" i="1" a="1"/>
  <c r="L304" i="1" s="1"/>
  <c r="Q304" i="1" a="1"/>
  <c r="Q304" i="1" s="1"/>
  <c r="S304" i="14" s="1"/>
  <c r="D305" i="1" a="1"/>
  <c r="D305" i="1" s="1"/>
  <c r="I305" i="14" s="1"/>
  <c r="H305" i="1" a="1"/>
  <c r="H305" i="1" s="1"/>
  <c r="J305" i="14" s="1"/>
  <c r="L305" i="1" a="1"/>
  <c r="L305" i="1" s="1"/>
  <c r="Q305" i="1" a="1"/>
  <c r="Q305" i="1" s="1"/>
  <c r="S305" i="14" s="1"/>
  <c r="D306" i="1" a="1"/>
  <c r="D306" i="1" s="1"/>
  <c r="I306" i="14" s="1"/>
  <c r="H306" i="1" a="1"/>
  <c r="H306" i="1" s="1"/>
  <c r="J306" i="14" s="1"/>
  <c r="L306" i="1" a="1"/>
  <c r="L306" i="1" s="1"/>
  <c r="P306" i="1" a="1"/>
  <c r="P306" i="1" s="1"/>
  <c r="C307" i="1" a="1"/>
  <c r="C307" i="1" s="1"/>
  <c r="E307" i="14" s="1"/>
  <c r="G307" i="1" a="1"/>
  <c r="G307" i="1" s="1"/>
  <c r="J307" i="1" a="1"/>
  <c r="J307" i="1" s="1"/>
  <c r="O307" i="1"/>
  <c r="M307" i="14" s="1"/>
  <c r="F308" i="1" a="1"/>
  <c r="F308" i="1" s="1"/>
  <c r="R308" i="14" s="1"/>
  <c r="J308" i="1" a="1"/>
  <c r="J308" i="1" s="1"/>
  <c r="M308" i="1" a="1"/>
  <c r="M308" i="1" s="1"/>
  <c r="M309" i="1" a="1"/>
  <c r="M309" i="1" s="1"/>
  <c r="H310" i="1" a="1"/>
  <c r="H310" i="1" s="1"/>
  <c r="J310" i="14" s="1"/>
  <c r="K310" i="1" a="1"/>
  <c r="K310" i="1" s="1"/>
  <c r="P310" i="1" a="1"/>
  <c r="P310" i="1" s="1"/>
  <c r="C311" i="1" a="1"/>
  <c r="C311" i="1" s="1"/>
  <c r="E311" i="14" s="1"/>
  <c r="G311" i="1" a="1"/>
  <c r="G311" i="1" s="1"/>
  <c r="K311" i="1" a="1"/>
  <c r="K311" i="1" s="1"/>
  <c r="P311" i="1" a="1"/>
  <c r="P311" i="1" s="1"/>
  <c r="C312" i="1" a="1"/>
  <c r="C312" i="1" s="1"/>
  <c r="E312" i="14" s="1"/>
  <c r="G312" i="1" a="1"/>
  <c r="G312" i="1" s="1"/>
  <c r="J312" i="1" a="1"/>
  <c r="J312" i="1" s="1"/>
  <c r="O312" i="1"/>
  <c r="M312" i="14" s="1"/>
  <c r="F313" i="1" a="1"/>
  <c r="F313" i="1" s="1"/>
  <c r="R313" i="14" s="1"/>
  <c r="J313" i="1" a="1"/>
  <c r="J313" i="1" s="1"/>
  <c r="O313" i="1"/>
  <c r="M313" i="14" s="1"/>
  <c r="F314" i="1" a="1"/>
  <c r="F314" i="1" s="1"/>
  <c r="R314" i="14" s="1"/>
  <c r="J314" i="1" a="1"/>
  <c r="J314" i="1" s="1"/>
  <c r="M314" i="1" a="1"/>
  <c r="M314" i="1" s="1"/>
  <c r="L315" i="1" a="1"/>
  <c r="L315" i="1" s="1"/>
  <c r="Q315" i="1" a="1"/>
  <c r="Q315" i="1" s="1"/>
  <c r="S315" i="14" s="1"/>
  <c r="C316" i="1" a="1"/>
  <c r="C316" i="1" s="1"/>
  <c r="E316" i="14" s="1"/>
  <c r="G316" i="1" a="1"/>
  <c r="G316" i="1" s="1"/>
  <c r="K316" i="1" a="1"/>
  <c r="K316" i="1" s="1"/>
  <c r="O316" i="1"/>
  <c r="M316" i="14" s="1"/>
  <c r="F317" i="1" a="1"/>
  <c r="F317" i="1" s="1"/>
  <c r="R317" i="14" s="1"/>
  <c r="M317" i="1" a="1"/>
  <c r="M317" i="1" s="1"/>
  <c r="M318" i="1" a="1"/>
  <c r="M318" i="1" s="1"/>
  <c r="M319" i="1" a="1"/>
  <c r="M319" i="1" s="1"/>
  <c r="L320" i="1" a="1"/>
  <c r="L320" i="1" s="1"/>
  <c r="P320" i="1" a="1"/>
  <c r="P320" i="1" s="1"/>
  <c r="F321" i="1" a="1"/>
  <c r="F321" i="1" s="1"/>
  <c r="R321" i="14" s="1"/>
  <c r="J321" i="1" a="1"/>
  <c r="J321" i="1" s="1"/>
  <c r="O321" i="1"/>
  <c r="M321" i="14" s="1"/>
  <c r="Q322" i="1" a="1"/>
  <c r="Q322" i="1" s="1"/>
  <c r="S322" i="14" s="1"/>
  <c r="D323" i="1" a="1"/>
  <c r="D323" i="1" s="1"/>
  <c r="I323" i="14" s="1"/>
  <c r="H323" i="1" a="1"/>
  <c r="H323" i="1" s="1"/>
  <c r="J323" i="14" s="1"/>
  <c r="L323" i="1" a="1"/>
  <c r="L323" i="1" s="1"/>
  <c r="Q323" i="1" a="1"/>
  <c r="Q323" i="1" s="1"/>
  <c r="S323" i="14" s="1"/>
  <c r="C324" i="1" a="1"/>
  <c r="C324" i="1" s="1"/>
  <c r="E324" i="14" s="1"/>
  <c r="F324" i="1" a="1"/>
  <c r="F324" i="1" s="1"/>
  <c r="R324" i="14" s="1"/>
  <c r="L324" i="1" a="1"/>
  <c r="L324" i="1" s="1"/>
  <c r="Q324" i="1" a="1"/>
  <c r="Q324" i="1" s="1"/>
  <c r="S324" i="14" s="1"/>
  <c r="D325" i="1" a="1"/>
  <c r="D325" i="1" s="1"/>
  <c r="I325" i="14" s="1"/>
  <c r="G325" i="1" a="1"/>
  <c r="G325" i="1" s="1"/>
  <c r="K325" i="1" a="1"/>
  <c r="K325" i="1" s="1"/>
  <c r="O325" i="1"/>
  <c r="M325" i="14" s="1"/>
  <c r="M326" i="1" a="1"/>
  <c r="M326" i="1" s="1"/>
  <c r="L327" i="1" a="1"/>
  <c r="L327" i="1" s="1"/>
  <c r="Q327" i="1" a="1"/>
  <c r="Q327" i="1" s="1"/>
  <c r="S327" i="14" s="1"/>
  <c r="D328" i="1" a="1"/>
  <c r="D328" i="1" s="1"/>
  <c r="I328" i="14" s="1"/>
  <c r="H328" i="1" a="1"/>
  <c r="H328" i="1" s="1"/>
  <c r="J328" i="14" s="1"/>
  <c r="L328" i="1" a="1"/>
  <c r="L328" i="1" s="1"/>
  <c r="C329" i="1" a="1"/>
  <c r="C329" i="1" s="1"/>
  <c r="E329" i="14" s="1"/>
  <c r="G329" i="1" a="1"/>
  <c r="G329" i="1" s="1"/>
  <c r="K329" i="1" a="1"/>
  <c r="K329" i="1" s="1"/>
  <c r="P329" i="1" a="1"/>
  <c r="P329" i="1" s="1"/>
  <c r="G254" i="1" a="1"/>
  <c r="G254" i="1" s="1"/>
  <c r="O255" i="1"/>
  <c r="M255" i="14" s="1"/>
  <c r="F256" i="1" a="1"/>
  <c r="F256" i="1" s="1"/>
  <c r="R256" i="14" s="1"/>
  <c r="M257" i="1" a="1"/>
  <c r="M257" i="1" s="1"/>
  <c r="H261" i="1" a="1"/>
  <c r="H261" i="1" s="1"/>
  <c r="J261" i="14" s="1"/>
  <c r="G262" i="1" a="1"/>
  <c r="G262" i="1" s="1"/>
  <c r="O263" i="1"/>
  <c r="M263" i="14" s="1"/>
  <c r="F264" i="1" a="1"/>
  <c r="F264" i="1" s="1"/>
  <c r="R264" i="14" s="1"/>
  <c r="J266" i="1" a="1"/>
  <c r="J266" i="1" s="1"/>
  <c r="O267" i="1"/>
  <c r="M267" i="14" s="1"/>
  <c r="F268" i="1" a="1"/>
  <c r="F268" i="1" s="1"/>
  <c r="R268" i="14" s="1"/>
  <c r="H269" i="1" a="1"/>
  <c r="H269" i="1" s="1"/>
  <c r="J269" i="14" s="1"/>
  <c r="H270" i="1" a="1"/>
  <c r="H270" i="1" s="1"/>
  <c r="J270" i="14" s="1"/>
  <c r="M272" i="1" a="1"/>
  <c r="M272" i="1" s="1"/>
  <c r="C273" i="1" a="1"/>
  <c r="C273" i="1" s="1"/>
  <c r="E273" i="14" s="1"/>
  <c r="J273" i="1" a="1"/>
  <c r="J273" i="1" s="1"/>
  <c r="L276" i="1" a="1"/>
  <c r="L276" i="1" s="1"/>
  <c r="C277" i="1" a="1"/>
  <c r="C277" i="1" s="1"/>
  <c r="E277" i="14" s="1"/>
  <c r="K277" i="1" a="1"/>
  <c r="K277" i="1" s="1"/>
  <c r="L277" i="14" s="1"/>
  <c r="P278" i="1" a="1"/>
  <c r="P278" i="1" s="1"/>
  <c r="F279" i="1" a="1"/>
  <c r="F279" i="1" s="1"/>
  <c r="R279" i="14" s="1"/>
  <c r="G282" i="1" a="1"/>
  <c r="G282" i="1" s="1"/>
  <c r="K282" i="1" a="1"/>
  <c r="K282" i="1" s="1"/>
  <c r="L282" i="14" s="1"/>
  <c r="G283" i="1" a="1"/>
  <c r="G283" i="1" s="1"/>
  <c r="O283" i="1"/>
  <c r="M283" i="14" s="1"/>
  <c r="L284" i="1" a="1"/>
  <c r="L284" i="1" s="1"/>
  <c r="J285" i="1" a="1"/>
  <c r="J285" i="1" s="1"/>
  <c r="F286" i="1" a="1"/>
  <c r="F286" i="1" s="1"/>
  <c r="R286" i="14" s="1"/>
  <c r="M286" i="1" a="1"/>
  <c r="M286" i="1" s="1"/>
  <c r="H287" i="1" a="1"/>
  <c r="H287" i="1" s="1"/>
  <c r="J287" i="14" s="1"/>
  <c r="O287" i="1"/>
  <c r="M287" i="14" s="1"/>
  <c r="C288" i="1" a="1"/>
  <c r="C288" i="1" s="1"/>
  <c r="E288" i="14" s="1"/>
  <c r="H288" i="1" a="1"/>
  <c r="H288" i="1" s="1"/>
  <c r="J288" i="14" s="1"/>
  <c r="M288" i="1" a="1"/>
  <c r="M288" i="1" s="1"/>
  <c r="K289" i="1" a="1"/>
  <c r="K289" i="1" s="1"/>
  <c r="L289" i="14" s="1"/>
  <c r="Q289" i="1" a="1"/>
  <c r="Q289" i="1" s="1"/>
  <c r="S289" i="14" s="1"/>
  <c r="D290" i="1" a="1"/>
  <c r="D290" i="1" s="1"/>
  <c r="I290" i="14" s="1"/>
  <c r="H290" i="1" a="1"/>
  <c r="H290" i="1" s="1"/>
  <c r="J290" i="14" s="1"/>
  <c r="L290" i="1" a="1"/>
  <c r="L290" i="1" s="1"/>
  <c r="Q290" i="1" a="1"/>
  <c r="Q290" i="1" s="1"/>
  <c r="S290" i="14" s="1"/>
  <c r="L291" i="1" a="1"/>
  <c r="L291" i="1" s="1"/>
  <c r="Q291" i="1" a="1"/>
  <c r="Q291" i="1" s="1"/>
  <c r="S291" i="14" s="1"/>
  <c r="D292" i="1" a="1"/>
  <c r="D292" i="1" s="1"/>
  <c r="I292" i="14" s="1"/>
  <c r="H292" i="1" a="1"/>
  <c r="H292" i="1" s="1"/>
  <c r="J292" i="14" s="1"/>
  <c r="L292" i="1" a="1"/>
  <c r="L292" i="1" s="1"/>
  <c r="Q292" i="1" a="1"/>
  <c r="Q292" i="1" s="1"/>
  <c r="S292" i="14" s="1"/>
  <c r="D293" i="1" a="1"/>
  <c r="D293" i="1" s="1"/>
  <c r="I293" i="14" s="1"/>
  <c r="H293" i="1" a="1"/>
  <c r="H293" i="1" s="1"/>
  <c r="J293" i="14" s="1"/>
  <c r="L293" i="1" a="1"/>
  <c r="L293" i="1" s="1"/>
  <c r="Q293" i="1" a="1"/>
  <c r="Q293" i="1" s="1"/>
  <c r="S293" i="14" s="1"/>
  <c r="C294" i="1" a="1"/>
  <c r="C294" i="1" s="1"/>
  <c r="E294" i="14" s="1"/>
  <c r="F294" i="1" a="1"/>
  <c r="F294" i="1" s="1"/>
  <c r="R294" i="14" s="1"/>
  <c r="L294" i="1" a="1"/>
  <c r="L294" i="1" s="1"/>
  <c r="Q294" i="1" a="1"/>
  <c r="Q294" i="1" s="1"/>
  <c r="S294" i="14" s="1"/>
  <c r="D295" i="1" a="1"/>
  <c r="D295" i="1" s="1"/>
  <c r="I295" i="14" s="1"/>
  <c r="H295" i="1" a="1"/>
  <c r="H295" i="1" s="1"/>
  <c r="J295" i="14" s="1"/>
  <c r="K295" i="1" a="1"/>
  <c r="K295" i="1" s="1"/>
  <c r="P295" i="1" a="1"/>
  <c r="P295" i="1" s="1"/>
  <c r="C296" i="1" a="1"/>
  <c r="C296" i="1" s="1"/>
  <c r="E296" i="14" s="1"/>
  <c r="J296" i="1" a="1"/>
  <c r="J296" i="1" s="1"/>
  <c r="O296" i="1"/>
  <c r="M296" i="14" s="1"/>
  <c r="F297" i="1" a="1"/>
  <c r="F297" i="1" s="1"/>
  <c r="R297" i="14" s="1"/>
  <c r="J297" i="1" a="1"/>
  <c r="J297" i="1" s="1"/>
  <c r="O297" i="1"/>
  <c r="M297" i="14" s="1"/>
  <c r="D298" i="1" a="1"/>
  <c r="D298" i="1" s="1"/>
  <c r="I298" i="14" s="1"/>
  <c r="G298" i="1" a="1"/>
  <c r="G298" i="1" s="1"/>
  <c r="K298" i="1" a="1"/>
  <c r="K298" i="1" s="1"/>
  <c r="O298" i="1"/>
  <c r="M298" i="14" s="1"/>
  <c r="H299" i="1" a="1"/>
  <c r="H299" i="1" s="1"/>
  <c r="J299" i="14" s="1"/>
  <c r="L299" i="1" a="1"/>
  <c r="L299" i="1" s="1"/>
  <c r="C300" i="1" a="1"/>
  <c r="C300" i="1" s="1"/>
  <c r="E300" i="14" s="1"/>
  <c r="G300" i="1" a="1"/>
  <c r="G300" i="1" s="1"/>
  <c r="J300" i="1" a="1"/>
  <c r="J300" i="1" s="1"/>
  <c r="O300" i="1"/>
  <c r="M300" i="14" s="1"/>
  <c r="F301" i="1" a="1"/>
  <c r="F301" i="1" s="1"/>
  <c r="R301" i="14" s="1"/>
  <c r="J301" i="1" a="1"/>
  <c r="J301" i="1" s="1"/>
  <c r="O301" i="1"/>
  <c r="M301" i="14" s="1"/>
  <c r="M302" i="1" a="1"/>
  <c r="M302" i="1" s="1"/>
  <c r="M303" i="1" a="1"/>
  <c r="M303" i="1" s="1"/>
  <c r="M304" i="1" a="1"/>
  <c r="M304" i="1" s="1"/>
  <c r="M305" i="1" a="1"/>
  <c r="M305" i="1" s="1"/>
  <c r="Q306" i="1" a="1"/>
  <c r="Q306" i="1" s="1"/>
  <c r="S306" i="14" s="1"/>
  <c r="D307" i="1" a="1"/>
  <c r="D307" i="1" s="1"/>
  <c r="I307" i="14" s="1"/>
  <c r="H307" i="1" a="1"/>
  <c r="H307" i="1" s="1"/>
  <c r="J307" i="14" s="1"/>
  <c r="K307" i="1" a="1"/>
  <c r="K307" i="1" s="1"/>
  <c r="L307" i="14" s="1"/>
  <c r="P307" i="1" a="1"/>
  <c r="P307" i="1" s="1"/>
  <c r="C308" i="1" a="1"/>
  <c r="C308" i="1" s="1"/>
  <c r="E308" i="14" s="1"/>
  <c r="G308" i="1" a="1"/>
  <c r="G308" i="1" s="1"/>
  <c r="K308" i="1" a="1"/>
  <c r="K308" i="1" s="1"/>
  <c r="O308" i="1"/>
  <c r="M308" i="14" s="1"/>
  <c r="F309" i="1" a="1"/>
  <c r="F309" i="1" s="1"/>
  <c r="R309" i="14" s="1"/>
  <c r="J309" i="1" a="1"/>
  <c r="J309" i="1" s="1"/>
  <c r="O309" i="1"/>
  <c r="M309" i="14" s="1"/>
  <c r="F310" i="1" a="1"/>
  <c r="F310" i="1" s="1"/>
  <c r="R310" i="14" s="1"/>
  <c r="L310" i="1" a="1"/>
  <c r="L310" i="1" s="1"/>
  <c r="Q310" i="1" a="1"/>
  <c r="Q310" i="1" s="1"/>
  <c r="S310" i="14" s="1"/>
  <c r="D311" i="1" a="1"/>
  <c r="D311" i="1" s="1"/>
  <c r="I311" i="14" s="1"/>
  <c r="H311" i="1" a="1"/>
  <c r="H311" i="1" s="1"/>
  <c r="J311" i="14" s="1"/>
  <c r="L311" i="1" a="1"/>
  <c r="L311" i="1" s="1"/>
  <c r="Q311" i="1" a="1"/>
  <c r="Q311" i="1" s="1"/>
  <c r="S311" i="14" s="1"/>
  <c r="D312" i="1" a="1"/>
  <c r="D312" i="1" s="1"/>
  <c r="I312" i="14" s="1"/>
  <c r="H312" i="1" a="1"/>
  <c r="H312" i="1" s="1"/>
  <c r="J312" i="14" s="1"/>
  <c r="K312" i="1" a="1"/>
  <c r="K312" i="1" s="1"/>
  <c r="L312" i="14" s="1"/>
  <c r="P312" i="1" a="1"/>
  <c r="P312" i="1" s="1"/>
  <c r="C313" i="1" a="1"/>
  <c r="C313" i="1" s="1"/>
  <c r="E313" i="14" s="1"/>
  <c r="G313" i="1" a="1"/>
  <c r="G313" i="1" s="1"/>
  <c r="K313" i="1" a="1"/>
  <c r="K313" i="1" s="1"/>
  <c r="L313" i="14" s="1"/>
  <c r="P313" i="1" a="1"/>
  <c r="P313" i="1" s="1"/>
  <c r="C314" i="1" a="1"/>
  <c r="C314" i="1" s="1"/>
  <c r="E314" i="14" s="1"/>
  <c r="G314" i="1" a="1"/>
  <c r="G314" i="1" s="1"/>
  <c r="K314" i="1" a="1"/>
  <c r="K314" i="1" s="1"/>
  <c r="O314" i="1"/>
  <c r="M314" i="14" s="1"/>
  <c r="F315" i="1" a="1"/>
  <c r="F315" i="1" s="1"/>
  <c r="R315" i="14" s="1"/>
  <c r="M315" i="1" a="1"/>
  <c r="M315" i="1" s="1"/>
  <c r="D316" i="1" a="1"/>
  <c r="D316" i="1" s="1"/>
  <c r="I316" i="14" s="1"/>
  <c r="H316" i="1" a="1"/>
  <c r="H316" i="1" s="1"/>
  <c r="J316" i="14" s="1"/>
  <c r="L316" i="1" a="1"/>
  <c r="L316" i="1" s="1"/>
  <c r="P316" i="1" a="1"/>
  <c r="P316" i="1" s="1"/>
  <c r="C317" i="1" a="1"/>
  <c r="C317" i="1" s="1"/>
  <c r="E317" i="14" s="1"/>
  <c r="G317" i="1" a="1"/>
  <c r="G317" i="1" s="1"/>
  <c r="J317" i="1" a="1"/>
  <c r="J317" i="1" s="1"/>
  <c r="O317" i="1"/>
  <c r="M317" i="14" s="1"/>
  <c r="F318" i="1" a="1"/>
  <c r="F318" i="1" s="1"/>
  <c r="R318" i="14" s="1"/>
  <c r="J318" i="1" a="1"/>
  <c r="J318" i="1" s="1"/>
  <c r="O318" i="1"/>
  <c r="M318" i="14" s="1"/>
  <c r="F319" i="1" a="1"/>
  <c r="F319" i="1" s="1"/>
  <c r="R319" i="14" s="1"/>
  <c r="J319" i="1" a="1"/>
  <c r="J319" i="1" s="1"/>
  <c r="O319" i="1"/>
  <c r="M319" i="14" s="1"/>
  <c r="F320" i="1" a="1"/>
  <c r="F320" i="1" s="1"/>
  <c r="R320" i="14" s="1"/>
  <c r="J320" i="1" a="1"/>
  <c r="J320" i="1" s="1"/>
  <c r="C321" i="1" a="1"/>
  <c r="C321" i="1" s="1"/>
  <c r="E321" i="14" s="1"/>
  <c r="G321" i="1" a="1"/>
  <c r="G321" i="1" s="1"/>
  <c r="K321" i="1" a="1"/>
  <c r="K321" i="1" s="1"/>
  <c r="P321" i="1" a="1"/>
  <c r="P321" i="1" s="1"/>
  <c r="F322" i="1" a="1"/>
  <c r="F322" i="1" s="1"/>
  <c r="R322" i="14" s="1"/>
  <c r="J322" i="1" a="1"/>
  <c r="J322" i="1" s="1"/>
  <c r="M322" i="1" a="1"/>
  <c r="M322" i="1" s="1"/>
  <c r="M323" i="1" a="1"/>
  <c r="M323" i="1" s="1"/>
  <c r="M324" i="1" a="1"/>
  <c r="M324" i="1" s="1"/>
  <c r="H325" i="1" a="1"/>
  <c r="H325" i="1" s="1"/>
  <c r="J325" i="14" s="1"/>
  <c r="L325" i="1" a="1"/>
  <c r="L325" i="1" s="1"/>
  <c r="P325" i="1" a="1"/>
  <c r="P325" i="1" s="1"/>
  <c r="F326" i="1" a="1"/>
  <c r="F326" i="1" s="1"/>
  <c r="R326" i="14" s="1"/>
  <c r="J326" i="1" a="1"/>
  <c r="J326" i="1" s="1"/>
  <c r="O326" i="1"/>
  <c r="M326" i="14" s="1"/>
  <c r="F327" i="1" a="1"/>
  <c r="F327" i="1" s="1"/>
  <c r="R327" i="14" s="1"/>
  <c r="J327" i="1" a="1"/>
  <c r="J327" i="1" s="1"/>
  <c r="M327" i="1" a="1"/>
  <c r="M327" i="1" s="1"/>
  <c r="M328" i="1" a="1"/>
  <c r="M328" i="1" s="1"/>
  <c r="Q328" i="1" a="1"/>
  <c r="Q328" i="1" s="1"/>
  <c r="S328" i="14" s="1"/>
  <c r="D329" i="1" a="1"/>
  <c r="D329" i="1" s="1"/>
  <c r="I329" i="14" s="1"/>
  <c r="H329" i="1" a="1"/>
  <c r="H329" i="1" s="1"/>
  <c r="J329" i="14" s="1"/>
  <c r="L329" i="1" a="1"/>
  <c r="L329" i="1" s="1"/>
  <c r="Q329" i="1" a="1"/>
  <c r="Q329" i="1" s="1"/>
  <c r="S329" i="14" s="1"/>
  <c r="D330" i="1" a="1"/>
  <c r="D330" i="1" s="1"/>
  <c r="I330" i="14" s="1"/>
  <c r="H330" i="1" a="1"/>
  <c r="H330" i="1" s="1"/>
  <c r="J330" i="14" s="1"/>
  <c r="L330" i="1" a="1"/>
  <c r="L330" i="1" s="1"/>
  <c r="Q330" i="1" a="1"/>
  <c r="Q330" i="1" s="1"/>
  <c r="S330" i="14" s="1"/>
  <c r="G328" i="1" a="1"/>
  <c r="G328" i="1" s="1"/>
  <c r="O328" i="1"/>
  <c r="M328" i="14" s="1"/>
  <c r="M329" i="1" a="1"/>
  <c r="M329" i="1" s="1"/>
  <c r="C330" i="1" a="1"/>
  <c r="C330" i="1" s="1"/>
  <c r="E330" i="14" s="1"/>
  <c r="O330" i="1"/>
  <c r="M330" i="14" s="1"/>
  <c r="F331" i="1" a="1"/>
  <c r="F331" i="1" s="1"/>
  <c r="R331" i="14" s="1"/>
  <c r="J331" i="1" a="1"/>
  <c r="J331" i="1" s="1"/>
  <c r="O331" i="1"/>
  <c r="M331" i="14" s="1"/>
  <c r="F332" i="1" a="1"/>
  <c r="F332" i="1" s="1"/>
  <c r="R332" i="14" s="1"/>
  <c r="J332" i="1" a="1"/>
  <c r="J332" i="1" s="1"/>
  <c r="O332" i="1"/>
  <c r="M332" i="14" s="1"/>
  <c r="L333" i="1" a="1"/>
  <c r="L333" i="1" s="1"/>
  <c r="Q333" i="1" a="1"/>
  <c r="Q333" i="1" s="1"/>
  <c r="S333" i="14" s="1"/>
  <c r="D334" i="1" a="1"/>
  <c r="D334" i="1" s="1"/>
  <c r="I334" i="14" s="1"/>
  <c r="O334" i="1"/>
  <c r="M334" i="14" s="1"/>
  <c r="F335" i="1" a="1"/>
  <c r="F335" i="1" s="1"/>
  <c r="R335" i="14" s="1"/>
  <c r="J335" i="1" a="1"/>
  <c r="J335" i="1" s="1"/>
  <c r="O335" i="1"/>
  <c r="M335" i="14" s="1"/>
  <c r="F336" i="1" a="1"/>
  <c r="F336" i="1" s="1"/>
  <c r="R336" i="14" s="1"/>
  <c r="J336" i="1" a="1"/>
  <c r="J336" i="1" s="1"/>
  <c r="O336" i="1"/>
  <c r="M336" i="14" s="1"/>
  <c r="F337" i="1" a="1"/>
  <c r="F337" i="1" s="1"/>
  <c r="R337" i="14" s="1"/>
  <c r="J337" i="1" a="1"/>
  <c r="J337" i="1" s="1"/>
  <c r="O337" i="1"/>
  <c r="M337" i="14" s="1"/>
  <c r="F338" i="1" a="1"/>
  <c r="F338" i="1" s="1"/>
  <c r="R338" i="14" s="1"/>
  <c r="J338" i="1" a="1"/>
  <c r="J338" i="1" s="1"/>
  <c r="O338" i="1"/>
  <c r="M338" i="14" s="1"/>
  <c r="F339" i="1" a="1"/>
  <c r="F339" i="1" s="1"/>
  <c r="R339" i="14" s="1"/>
  <c r="J339" i="1" a="1"/>
  <c r="J339" i="1" s="1"/>
  <c r="M339" i="1" a="1"/>
  <c r="M339" i="1" s="1"/>
  <c r="H340" i="1" a="1"/>
  <c r="H340" i="1" s="1"/>
  <c r="J340" i="14" s="1"/>
  <c r="L340" i="1" a="1"/>
  <c r="L340" i="1" s="1"/>
  <c r="C341" i="1" a="1"/>
  <c r="C341" i="1" s="1"/>
  <c r="E341" i="14" s="1"/>
  <c r="G341" i="1" a="1"/>
  <c r="G341" i="1" s="1"/>
  <c r="K341" i="1" a="1"/>
  <c r="K341" i="1" s="1"/>
  <c r="P341" i="1" a="1"/>
  <c r="P341" i="1" s="1"/>
  <c r="C342" i="1" a="1"/>
  <c r="C342" i="1" s="1"/>
  <c r="E342" i="14" s="1"/>
  <c r="G342" i="1" a="1"/>
  <c r="G342" i="1" s="1"/>
  <c r="K342" i="1" a="1"/>
  <c r="K342" i="1" s="1"/>
  <c r="P342" i="1" a="1"/>
  <c r="P342" i="1" s="1"/>
  <c r="H343" i="1" a="1"/>
  <c r="H343" i="1" s="1"/>
  <c r="J343" i="14" s="1"/>
  <c r="L343" i="1" a="1"/>
  <c r="L343" i="1" s="1"/>
  <c r="Q343" i="1" a="1"/>
  <c r="Q343" i="1" s="1"/>
  <c r="S343" i="14" s="1"/>
  <c r="C344" i="1" a="1"/>
  <c r="C344" i="1" s="1"/>
  <c r="E344" i="14" s="1"/>
  <c r="G344" i="1" a="1"/>
  <c r="G344" i="1" s="1"/>
  <c r="K344" i="1" a="1"/>
  <c r="K344" i="1" s="1"/>
  <c r="P344" i="1" a="1"/>
  <c r="P344" i="1" s="1"/>
  <c r="C345" i="1" a="1"/>
  <c r="C345" i="1" s="1"/>
  <c r="E345" i="14" s="1"/>
  <c r="G345" i="1" a="1"/>
  <c r="G345" i="1" s="1"/>
  <c r="K345" i="1" a="1"/>
  <c r="K345" i="1" s="1"/>
  <c r="O345" i="1"/>
  <c r="M345" i="14" s="1"/>
  <c r="H346" i="1" a="1"/>
  <c r="H346" i="1" s="1"/>
  <c r="J346" i="14" s="1"/>
  <c r="K346" i="1" a="1"/>
  <c r="K346" i="1" s="1"/>
  <c r="P346" i="1" a="1"/>
  <c r="P346" i="1" s="1"/>
  <c r="C347" i="1" a="1"/>
  <c r="C347" i="1" s="1"/>
  <c r="E347" i="14" s="1"/>
  <c r="G347" i="1" a="1"/>
  <c r="G347" i="1" s="1"/>
  <c r="K347" i="1" a="1"/>
  <c r="K347" i="1" s="1"/>
  <c r="P347" i="1" a="1"/>
  <c r="P347" i="1" s="1"/>
  <c r="C348" i="1" a="1"/>
  <c r="C348" i="1" s="1"/>
  <c r="E348" i="14" s="1"/>
  <c r="G348" i="1" a="1"/>
  <c r="G348" i="1" s="1"/>
  <c r="J348" i="1" a="1"/>
  <c r="J348" i="1" s="1"/>
  <c r="O348" i="1"/>
  <c r="M348" i="14" s="1"/>
  <c r="L349" i="1" a="1"/>
  <c r="L349" i="1" s="1"/>
  <c r="Q349" i="1" a="1"/>
  <c r="Q349" i="1" s="1"/>
  <c r="S349" i="14" s="1"/>
  <c r="D350" i="1" a="1"/>
  <c r="D350" i="1" s="1"/>
  <c r="I350" i="14" s="1"/>
  <c r="H350" i="1" a="1"/>
  <c r="H350" i="1" s="1"/>
  <c r="J350" i="14" s="1"/>
  <c r="L350" i="1" a="1"/>
  <c r="L350" i="1" s="1"/>
  <c r="Q350" i="1" a="1"/>
  <c r="Q350" i="1" s="1"/>
  <c r="S350" i="14" s="1"/>
  <c r="D351" i="1" a="1"/>
  <c r="D351" i="1" s="1"/>
  <c r="I351" i="14" s="1"/>
  <c r="H351" i="1" a="1"/>
  <c r="H351" i="1" s="1"/>
  <c r="J351" i="14" s="1"/>
  <c r="L351" i="1" a="1"/>
  <c r="L351" i="1" s="1"/>
  <c r="P351" i="1" a="1"/>
  <c r="P351" i="1" s="1"/>
  <c r="C352" i="1" a="1"/>
  <c r="C352" i="1" s="1"/>
  <c r="E352" i="14" s="1"/>
  <c r="J352" i="1" a="1"/>
  <c r="J352" i="1" s="1"/>
  <c r="O352" i="1"/>
  <c r="M352" i="14" s="1"/>
  <c r="F353" i="1" a="1"/>
  <c r="F353" i="1" s="1"/>
  <c r="R353" i="14" s="1"/>
  <c r="J353" i="1" a="1"/>
  <c r="J353" i="1" s="1"/>
  <c r="O353" i="1"/>
  <c r="M353" i="14" s="1"/>
  <c r="F354" i="1" a="1"/>
  <c r="F354" i="1" s="1"/>
  <c r="R354" i="14" s="1"/>
  <c r="J354" i="1" a="1"/>
  <c r="J354" i="1" s="1"/>
  <c r="O354" i="1"/>
  <c r="M354" i="14" s="1"/>
  <c r="F355" i="1" a="1"/>
  <c r="F355" i="1" s="1"/>
  <c r="R355" i="14" s="1"/>
  <c r="J355" i="1" a="1"/>
  <c r="J355" i="1" s="1"/>
  <c r="M355" i="1" a="1"/>
  <c r="M355" i="1" s="1"/>
  <c r="M356" i="1" a="1"/>
  <c r="M356" i="1" s="1"/>
  <c r="Q356" i="1" a="1"/>
  <c r="Q356" i="1" s="1"/>
  <c r="S356" i="14" s="1"/>
  <c r="D357" i="1" a="1"/>
  <c r="D357" i="1" s="1"/>
  <c r="I357" i="14" s="1"/>
  <c r="H357" i="1" a="1"/>
  <c r="H357" i="1" s="1"/>
  <c r="J357" i="14" s="1"/>
  <c r="L357" i="1" a="1"/>
  <c r="L357" i="1" s="1"/>
  <c r="Q357" i="1" a="1"/>
  <c r="Q357" i="1" s="1"/>
  <c r="S357" i="14" s="1"/>
  <c r="D358" i="1" a="1"/>
  <c r="D358" i="1" s="1"/>
  <c r="I358" i="14" s="1"/>
  <c r="H358" i="1" a="1"/>
  <c r="H358" i="1" s="1"/>
  <c r="J358" i="14" s="1"/>
  <c r="L358" i="1" a="1"/>
  <c r="L358" i="1" s="1"/>
  <c r="Q358" i="1" a="1"/>
  <c r="Q358" i="1" s="1"/>
  <c r="S358" i="14" s="1"/>
  <c r="D359" i="1" a="1"/>
  <c r="D359" i="1" s="1"/>
  <c r="I359" i="14" s="1"/>
  <c r="H359" i="1" a="1"/>
  <c r="H359" i="1" s="1"/>
  <c r="J359" i="14" s="1"/>
  <c r="L359" i="1" a="1"/>
  <c r="L359" i="1" s="1"/>
  <c r="Q359" i="1" a="1"/>
  <c r="Q359" i="1" s="1"/>
  <c r="S359" i="14" s="1"/>
  <c r="D360" i="1" a="1"/>
  <c r="D360" i="1" s="1"/>
  <c r="I360" i="14" s="1"/>
  <c r="H360" i="1" a="1"/>
  <c r="H360" i="1" s="1"/>
  <c r="J360" i="14" s="1"/>
  <c r="K360" i="1" a="1"/>
  <c r="K360" i="1" s="1"/>
  <c r="P360" i="1" a="1"/>
  <c r="P360" i="1" s="1"/>
  <c r="C361" i="1" a="1"/>
  <c r="C361" i="1" s="1"/>
  <c r="E361" i="14" s="1"/>
  <c r="F361" i="1" a="1"/>
  <c r="F361" i="1" s="1"/>
  <c r="R361" i="14" s="1"/>
  <c r="J361" i="1" a="1"/>
  <c r="J361" i="1" s="1"/>
  <c r="O361" i="1"/>
  <c r="M361" i="14" s="1"/>
  <c r="F362" i="1" a="1"/>
  <c r="F362" i="1" s="1"/>
  <c r="R362" i="14" s="1"/>
  <c r="J362" i="1" a="1"/>
  <c r="J362" i="1" s="1"/>
  <c r="O362" i="1"/>
  <c r="M362" i="14" s="1"/>
  <c r="F363" i="1" a="1"/>
  <c r="F363" i="1" s="1"/>
  <c r="R363" i="14" s="1"/>
  <c r="J363" i="1" a="1"/>
  <c r="J363" i="1" s="1"/>
  <c r="O363" i="1"/>
  <c r="M363" i="14" s="1"/>
  <c r="F364" i="1" a="1"/>
  <c r="F364" i="1" s="1"/>
  <c r="R364" i="14" s="1"/>
  <c r="M364" i="1" a="1"/>
  <c r="M364" i="1" s="1"/>
  <c r="Q364" i="1" a="1"/>
  <c r="Q364" i="1" s="1"/>
  <c r="S364" i="14" s="1"/>
  <c r="D365" i="1" a="1"/>
  <c r="D365" i="1" s="1"/>
  <c r="I365" i="14" s="1"/>
  <c r="H365" i="1" a="1"/>
  <c r="H365" i="1" s="1"/>
  <c r="J365" i="14" s="1"/>
  <c r="L365" i="1" a="1"/>
  <c r="L365" i="1" s="1"/>
  <c r="Q365" i="1" a="1"/>
  <c r="Q365" i="1" s="1"/>
  <c r="S365" i="14" s="1"/>
  <c r="D366" i="1" a="1"/>
  <c r="D366" i="1" s="1"/>
  <c r="I366" i="14" s="1"/>
  <c r="K366" i="1" a="1"/>
  <c r="K366" i="1" s="1"/>
  <c r="P366" i="1" a="1"/>
  <c r="P366" i="1" s="1"/>
  <c r="C367" i="1" a="1"/>
  <c r="C367" i="1" s="1"/>
  <c r="E367" i="14" s="1"/>
  <c r="G367" i="1" a="1"/>
  <c r="G367" i="1" s="1"/>
  <c r="K367" i="1" a="1"/>
  <c r="K367" i="1" s="1"/>
  <c r="P367" i="1" a="1"/>
  <c r="P367" i="1" s="1"/>
  <c r="C368" i="1" a="1"/>
  <c r="C368" i="1" s="1"/>
  <c r="E368" i="14" s="1"/>
  <c r="G368" i="1" a="1"/>
  <c r="G368" i="1" s="1"/>
  <c r="K368" i="1" a="1"/>
  <c r="K368" i="1" s="1"/>
  <c r="P368" i="1" a="1"/>
  <c r="P368" i="1" s="1"/>
  <c r="C369" i="1" a="1"/>
  <c r="C369" i="1" s="1"/>
  <c r="E369" i="14" s="1"/>
  <c r="F369" i="1" a="1"/>
  <c r="F369" i="1" s="1"/>
  <c r="R369" i="14" s="1"/>
  <c r="J369" i="1" a="1"/>
  <c r="J369" i="1" s="1"/>
  <c r="M369" i="1" a="1"/>
  <c r="M369" i="1" s="1"/>
  <c r="Q369" i="1" a="1"/>
  <c r="Q369" i="1" s="1"/>
  <c r="S369" i="14" s="1"/>
  <c r="D370" i="1" a="1"/>
  <c r="D370" i="1" s="1"/>
  <c r="I370" i="14" s="1"/>
  <c r="H370" i="1" a="1"/>
  <c r="H370" i="1" s="1"/>
  <c r="J370" i="14" s="1"/>
  <c r="L370" i="1" a="1"/>
  <c r="L370" i="1" s="1"/>
  <c r="Q370" i="1" a="1"/>
  <c r="Q370" i="1" s="1"/>
  <c r="S370" i="14" s="1"/>
  <c r="D371" i="1" a="1"/>
  <c r="D371" i="1" s="1"/>
  <c r="I371" i="14" s="1"/>
  <c r="H371" i="1" a="1"/>
  <c r="H371" i="1" s="1"/>
  <c r="J371" i="14" s="1"/>
  <c r="L371" i="1" a="1"/>
  <c r="L371" i="1" s="1"/>
  <c r="Q371" i="1" a="1"/>
  <c r="Q371" i="1" s="1"/>
  <c r="S371" i="14" s="1"/>
  <c r="D372" i="1" a="1"/>
  <c r="D372" i="1" s="1"/>
  <c r="I372" i="14" s="1"/>
  <c r="H372" i="1" a="1"/>
  <c r="H372" i="1" s="1"/>
  <c r="J372" i="14" s="1"/>
  <c r="L372" i="1" a="1"/>
  <c r="L372" i="1" s="1"/>
  <c r="Q372" i="1" a="1"/>
  <c r="Q372" i="1" s="1"/>
  <c r="S372" i="14" s="1"/>
  <c r="D373" i="1" a="1"/>
  <c r="D373" i="1" s="1"/>
  <c r="I373" i="14" s="1"/>
  <c r="H373" i="1" a="1"/>
  <c r="H373" i="1" s="1"/>
  <c r="J373" i="14" s="1"/>
  <c r="L373" i="1" a="1"/>
  <c r="L373" i="1" s="1"/>
  <c r="P373" i="1" a="1"/>
  <c r="P373" i="1" s="1"/>
  <c r="C374" i="1" a="1"/>
  <c r="C374" i="1" s="1"/>
  <c r="E374" i="14" s="1"/>
  <c r="G374" i="1" a="1"/>
  <c r="G374" i="1" s="1"/>
  <c r="K374" i="1" a="1"/>
  <c r="K374" i="1" s="1"/>
  <c r="P374" i="1" a="1"/>
  <c r="P374" i="1" s="1"/>
  <c r="C375" i="1" a="1"/>
  <c r="C375" i="1" s="1"/>
  <c r="E375" i="14" s="1"/>
  <c r="G375" i="1" a="1"/>
  <c r="G375" i="1" s="1"/>
  <c r="K375" i="1" a="1"/>
  <c r="K375" i="1" s="1"/>
  <c r="O375" i="1"/>
  <c r="M375" i="14" s="1"/>
  <c r="F376" i="1" a="1"/>
  <c r="F376" i="1" s="1"/>
  <c r="R376" i="14" s="1"/>
  <c r="J376" i="1" a="1"/>
  <c r="J376" i="1" s="1"/>
  <c r="O376" i="1"/>
  <c r="M376" i="14" s="1"/>
  <c r="F377" i="1" a="1"/>
  <c r="F377" i="1" s="1"/>
  <c r="R377" i="14" s="1"/>
  <c r="J377" i="1" a="1"/>
  <c r="J377" i="1" s="1"/>
  <c r="O377" i="1"/>
  <c r="M377" i="14" s="1"/>
  <c r="K327" i="1" a="1"/>
  <c r="K327" i="1" s="1"/>
  <c r="L327" i="14" s="1"/>
  <c r="C328" i="1" a="1"/>
  <c r="C328" i="1" s="1"/>
  <c r="E328" i="14" s="1"/>
  <c r="P328" i="1" a="1"/>
  <c r="P328" i="1" s="1"/>
  <c r="F329" i="1" a="1"/>
  <c r="F329" i="1" s="1"/>
  <c r="R329" i="14" s="1"/>
  <c r="O329" i="1"/>
  <c r="M329" i="14" s="1"/>
  <c r="J330" i="1" a="1"/>
  <c r="J330" i="1" s="1"/>
  <c r="P330" i="1" a="1"/>
  <c r="P330" i="1" s="1"/>
  <c r="C331" i="1" a="1"/>
  <c r="C331" i="1" s="1"/>
  <c r="E331" i="14" s="1"/>
  <c r="G331" i="1" a="1"/>
  <c r="G331" i="1" s="1"/>
  <c r="K331" i="1" a="1"/>
  <c r="K331" i="1" s="1"/>
  <c r="P331" i="1" a="1"/>
  <c r="P331" i="1" s="1"/>
  <c r="C332" i="1" a="1"/>
  <c r="C332" i="1" s="1"/>
  <c r="E332" i="14" s="1"/>
  <c r="G332" i="1" a="1"/>
  <c r="G332" i="1" s="1"/>
  <c r="K332" i="1" a="1"/>
  <c r="K332" i="1" s="1"/>
  <c r="P332" i="1" a="1"/>
  <c r="P332" i="1" s="1"/>
  <c r="C333" i="1" a="1"/>
  <c r="C333" i="1" s="1"/>
  <c r="E333" i="14" s="1"/>
  <c r="F333" i="1" a="1"/>
  <c r="F333" i="1" s="1"/>
  <c r="R333" i="14" s="1"/>
  <c r="J333" i="1" a="1"/>
  <c r="J333" i="1" s="1"/>
  <c r="M333" i="1" a="1"/>
  <c r="M333" i="1" s="1"/>
  <c r="H334" i="1" a="1"/>
  <c r="H334" i="1" s="1"/>
  <c r="J334" i="14" s="1"/>
  <c r="K334" i="1" a="1"/>
  <c r="K334" i="1" s="1"/>
  <c r="P334" i="1" a="1"/>
  <c r="P334" i="1" s="1"/>
  <c r="C335" i="1" a="1"/>
  <c r="C335" i="1" s="1"/>
  <c r="E335" i="14" s="1"/>
  <c r="G335" i="1" a="1"/>
  <c r="G335" i="1" s="1"/>
  <c r="K335" i="1" a="1"/>
  <c r="K335" i="1" s="1"/>
  <c r="P335" i="1" a="1"/>
  <c r="P335" i="1" s="1"/>
  <c r="C336" i="1" a="1"/>
  <c r="C336" i="1" s="1"/>
  <c r="E336" i="14" s="1"/>
  <c r="G336" i="1" a="1"/>
  <c r="G336" i="1" s="1"/>
  <c r="K336" i="1" a="1"/>
  <c r="K336" i="1" s="1"/>
  <c r="P336" i="1" a="1"/>
  <c r="P336" i="1" s="1"/>
  <c r="C337" i="1" a="1"/>
  <c r="C337" i="1" s="1"/>
  <c r="E337" i="14" s="1"/>
  <c r="G337" i="1" a="1"/>
  <c r="G337" i="1" s="1"/>
  <c r="K337" i="1" a="1"/>
  <c r="K337" i="1" s="1"/>
  <c r="P337" i="1" a="1"/>
  <c r="P337" i="1" s="1"/>
  <c r="C338" i="1" a="1"/>
  <c r="C338" i="1" s="1"/>
  <c r="E338" i="14" s="1"/>
  <c r="G338" i="1" a="1"/>
  <c r="G338" i="1" s="1"/>
  <c r="K338" i="1" a="1"/>
  <c r="K338" i="1" s="1"/>
  <c r="P338" i="1" a="1"/>
  <c r="P338" i="1" s="1"/>
  <c r="C339" i="1" a="1"/>
  <c r="C339" i="1" s="1"/>
  <c r="E339" i="14" s="1"/>
  <c r="G339" i="1" a="1"/>
  <c r="G339" i="1" s="1"/>
  <c r="O339" i="1"/>
  <c r="M339" i="14" s="1"/>
  <c r="F340" i="1" a="1"/>
  <c r="F340" i="1" s="1"/>
  <c r="R340" i="14" s="1"/>
  <c r="M340" i="1" a="1"/>
  <c r="M340" i="1" s="1"/>
  <c r="Q340" i="1" a="1"/>
  <c r="Q340" i="1" s="1"/>
  <c r="S340" i="14" s="1"/>
  <c r="D341" i="1" a="1"/>
  <c r="D341" i="1" s="1"/>
  <c r="I341" i="14" s="1"/>
  <c r="H341" i="1" a="1"/>
  <c r="H341" i="1" s="1"/>
  <c r="J341" i="14" s="1"/>
  <c r="L341" i="1" a="1"/>
  <c r="L341" i="1" s="1"/>
  <c r="Q341" i="1" a="1"/>
  <c r="Q341" i="1" s="1"/>
  <c r="S341" i="14" s="1"/>
  <c r="D342" i="1" a="1"/>
  <c r="D342" i="1" s="1"/>
  <c r="I342" i="14" s="1"/>
  <c r="H342" i="1" a="1"/>
  <c r="H342" i="1" s="1"/>
  <c r="J342" i="14" s="1"/>
  <c r="L342" i="1" a="1"/>
  <c r="L342" i="1" s="1"/>
  <c r="Q342" i="1" a="1"/>
  <c r="Q342" i="1" s="1"/>
  <c r="S342" i="14" s="1"/>
  <c r="C343" i="1" a="1"/>
  <c r="C343" i="1" s="1"/>
  <c r="E343" i="14" s="1"/>
  <c r="F343" i="1" a="1"/>
  <c r="F343" i="1" s="1"/>
  <c r="R343" i="14" s="1"/>
  <c r="M343" i="1" a="1"/>
  <c r="M343" i="1" s="1"/>
  <c r="D344" i="1" a="1"/>
  <c r="D344" i="1" s="1"/>
  <c r="I344" i="14" s="1"/>
  <c r="H344" i="1" a="1"/>
  <c r="H344" i="1" s="1"/>
  <c r="J344" i="14" s="1"/>
  <c r="L344" i="1" a="1"/>
  <c r="L344" i="1" s="1"/>
  <c r="Q344" i="1" a="1"/>
  <c r="Q344" i="1" s="1"/>
  <c r="S344" i="14" s="1"/>
  <c r="D345" i="1" a="1"/>
  <c r="D345" i="1" s="1"/>
  <c r="I345" i="14" s="1"/>
  <c r="H345" i="1" a="1"/>
  <c r="H345" i="1" s="1"/>
  <c r="J345" i="14" s="1"/>
  <c r="L345" i="1" a="1"/>
  <c r="L345" i="1" s="1"/>
  <c r="P345" i="1" a="1"/>
  <c r="P345" i="1" s="1"/>
  <c r="F346" i="1" a="1"/>
  <c r="F346" i="1" s="1"/>
  <c r="R346" i="14" s="1"/>
  <c r="L346" i="1" a="1"/>
  <c r="L346" i="1" s="1"/>
  <c r="Q346" i="1" a="1"/>
  <c r="Q346" i="1" s="1"/>
  <c r="S346" i="14" s="1"/>
  <c r="D347" i="1" a="1"/>
  <c r="D347" i="1" s="1"/>
  <c r="I347" i="14" s="1"/>
  <c r="H347" i="1" a="1"/>
  <c r="H347" i="1" s="1"/>
  <c r="J347" i="14" s="1"/>
  <c r="L347" i="1" a="1"/>
  <c r="L347" i="1" s="1"/>
  <c r="Q347" i="1" a="1"/>
  <c r="Q347" i="1" s="1"/>
  <c r="S347" i="14" s="1"/>
  <c r="D348" i="1" a="1"/>
  <c r="D348" i="1" s="1"/>
  <c r="I348" i="14" s="1"/>
  <c r="H348" i="1" a="1"/>
  <c r="H348" i="1" s="1"/>
  <c r="J348" i="14" s="1"/>
  <c r="K348" i="1" a="1"/>
  <c r="K348" i="1" s="1"/>
  <c r="P348" i="1" a="1"/>
  <c r="P348" i="1" s="1"/>
  <c r="C349" i="1" a="1"/>
  <c r="C349" i="1" s="1"/>
  <c r="E349" i="14" s="1"/>
  <c r="F349" i="1" a="1"/>
  <c r="F349" i="1" s="1"/>
  <c r="R349" i="14" s="1"/>
  <c r="J349" i="1" a="1"/>
  <c r="J349" i="1" s="1"/>
  <c r="M349" i="1" a="1"/>
  <c r="M349" i="1" s="1"/>
  <c r="M350" i="1" a="1"/>
  <c r="M350" i="1" s="1"/>
  <c r="Q351" i="1" a="1"/>
  <c r="Q351" i="1" s="1"/>
  <c r="S351" i="14" s="1"/>
  <c r="D352" i="1" a="1"/>
  <c r="D352" i="1" s="1"/>
  <c r="I352" i="14" s="1"/>
  <c r="G352" i="1" a="1"/>
  <c r="G352" i="1" s="1"/>
  <c r="K352" i="1" a="1"/>
  <c r="K352" i="1" s="1"/>
  <c r="P352" i="1" a="1"/>
  <c r="P352" i="1" s="1"/>
  <c r="C353" i="1" a="1"/>
  <c r="C353" i="1" s="1"/>
  <c r="E353" i="14" s="1"/>
  <c r="G353" i="1" a="1"/>
  <c r="G353" i="1" s="1"/>
  <c r="K353" i="1" a="1"/>
  <c r="K353" i="1" s="1"/>
  <c r="P353" i="1" a="1"/>
  <c r="P353" i="1" s="1"/>
  <c r="C354" i="1" a="1"/>
  <c r="C354" i="1" s="1"/>
  <c r="E354" i="14" s="1"/>
  <c r="G354" i="1" a="1"/>
  <c r="G354" i="1" s="1"/>
  <c r="K354" i="1" a="1"/>
  <c r="K354" i="1" s="1"/>
  <c r="P354" i="1" a="1"/>
  <c r="P354" i="1" s="1"/>
  <c r="C355" i="1" a="1"/>
  <c r="C355" i="1" s="1"/>
  <c r="E355" i="14" s="1"/>
  <c r="G355" i="1" a="1"/>
  <c r="G355" i="1" s="1"/>
  <c r="K355" i="1" a="1"/>
  <c r="K355" i="1" s="1"/>
  <c r="O355" i="1"/>
  <c r="M355" i="14" s="1"/>
  <c r="F356" i="1" a="1"/>
  <c r="F356" i="1" s="1"/>
  <c r="R356" i="14" s="1"/>
  <c r="J356" i="1" a="1"/>
  <c r="J356" i="1" s="1"/>
  <c r="O356" i="1"/>
  <c r="M356" i="14" s="1"/>
  <c r="M357" i="1" a="1"/>
  <c r="M357" i="1" s="1"/>
  <c r="M358" i="1" a="1"/>
  <c r="M358" i="1" s="1"/>
  <c r="M359" i="1" a="1"/>
  <c r="M359" i="1" s="1"/>
  <c r="L360" i="1" a="1"/>
  <c r="L360" i="1" s="1"/>
  <c r="Q360" i="1" a="1"/>
  <c r="Q360" i="1" s="1"/>
  <c r="S360" i="14" s="1"/>
  <c r="D361" i="1" a="1"/>
  <c r="D361" i="1" s="1"/>
  <c r="I361" i="14" s="1"/>
  <c r="G361" i="1" a="1"/>
  <c r="G361" i="1" s="1"/>
  <c r="K361" i="1" a="1"/>
  <c r="K361" i="1" s="1"/>
  <c r="P361" i="1" a="1"/>
  <c r="P361" i="1" s="1"/>
  <c r="C362" i="1" a="1"/>
  <c r="C362" i="1" s="1"/>
  <c r="E362" i="14" s="1"/>
  <c r="G362" i="1" a="1"/>
  <c r="G362" i="1" s="1"/>
  <c r="K362" i="1" a="1"/>
  <c r="K362" i="1" s="1"/>
  <c r="P362" i="1" a="1"/>
  <c r="P362" i="1" s="1"/>
  <c r="C363" i="1" a="1"/>
  <c r="C363" i="1" s="1"/>
  <c r="E363" i="14" s="1"/>
  <c r="G363" i="1" a="1"/>
  <c r="G363" i="1" s="1"/>
  <c r="K363" i="1" a="1"/>
  <c r="K363" i="1" s="1"/>
  <c r="P363" i="1" a="1"/>
  <c r="P363" i="1" s="1"/>
  <c r="C364" i="1" a="1"/>
  <c r="C364" i="1" s="1"/>
  <c r="E364" i="14" s="1"/>
  <c r="G364" i="1" a="1"/>
  <c r="G364" i="1" s="1"/>
  <c r="J364" i="1" a="1"/>
  <c r="J364" i="1" s="1"/>
  <c r="O364" i="1"/>
  <c r="M364" i="14" s="1"/>
  <c r="M365" i="1" a="1"/>
  <c r="M365" i="1" s="1"/>
  <c r="H366" i="1" a="1"/>
  <c r="H366" i="1" s="1"/>
  <c r="J366" i="14" s="1"/>
  <c r="L366" i="1" a="1"/>
  <c r="L366" i="1" s="1"/>
  <c r="Q366" i="1" a="1"/>
  <c r="Q366" i="1" s="1"/>
  <c r="S366" i="14" s="1"/>
  <c r="D367" i="1" a="1"/>
  <c r="D367" i="1" s="1"/>
  <c r="I367" i="14" s="1"/>
  <c r="H367" i="1" a="1"/>
  <c r="H367" i="1" s="1"/>
  <c r="J367" i="14" s="1"/>
  <c r="L367" i="1" a="1"/>
  <c r="L367" i="1" s="1"/>
  <c r="Q367" i="1" a="1"/>
  <c r="Q367" i="1" s="1"/>
  <c r="S367" i="14" s="1"/>
  <c r="D368" i="1" a="1"/>
  <c r="D368" i="1" s="1"/>
  <c r="I368" i="14" s="1"/>
  <c r="H368" i="1" a="1"/>
  <c r="H368" i="1" s="1"/>
  <c r="J368" i="14" s="1"/>
  <c r="L368" i="1" a="1"/>
  <c r="L368" i="1" s="1"/>
  <c r="Q368" i="1" a="1"/>
  <c r="Q368" i="1" s="1"/>
  <c r="S368" i="14" s="1"/>
  <c r="D369" i="1" a="1"/>
  <c r="D369" i="1" s="1"/>
  <c r="I369" i="14" s="1"/>
  <c r="G369" i="1" a="1"/>
  <c r="G369" i="1" s="1"/>
  <c r="K369" i="1" a="1"/>
  <c r="K369" i="1" s="1"/>
  <c r="M370" i="1" a="1"/>
  <c r="M370" i="1" s="1"/>
  <c r="M371" i="1" a="1"/>
  <c r="M371" i="1" s="1"/>
  <c r="M372" i="1" a="1"/>
  <c r="M372" i="1" s="1"/>
  <c r="M373" i="1" a="1"/>
  <c r="M373" i="1" s="1"/>
  <c r="Q373" i="1" a="1"/>
  <c r="Q373" i="1" s="1"/>
  <c r="S373" i="14" s="1"/>
  <c r="D374" i="1" a="1"/>
  <c r="D374" i="1" s="1"/>
  <c r="I374" i="14" s="1"/>
  <c r="H374" i="1" a="1"/>
  <c r="H374" i="1" s="1"/>
  <c r="J374" i="14" s="1"/>
  <c r="L374" i="1" a="1"/>
  <c r="L374" i="1" s="1"/>
  <c r="Q374" i="1" a="1"/>
  <c r="Q374" i="1" s="1"/>
  <c r="S374" i="14" s="1"/>
  <c r="D375" i="1" a="1"/>
  <c r="D375" i="1" s="1"/>
  <c r="I375" i="14" s="1"/>
  <c r="H375" i="1" a="1"/>
  <c r="H375" i="1" s="1"/>
  <c r="J375" i="14" s="1"/>
  <c r="L375" i="1" a="1"/>
  <c r="L375" i="1" s="1"/>
  <c r="P375" i="1" a="1"/>
  <c r="P375" i="1" s="1"/>
  <c r="C376" i="1" a="1"/>
  <c r="C376" i="1" s="1"/>
  <c r="E376" i="14" s="1"/>
  <c r="G376" i="1" a="1"/>
  <c r="G376" i="1" s="1"/>
  <c r="K376" i="1" a="1"/>
  <c r="K376" i="1" s="1"/>
  <c r="P376" i="1" a="1"/>
  <c r="P376" i="1" s="1"/>
  <c r="C377" i="1" a="1"/>
  <c r="C377" i="1" s="1"/>
  <c r="E377" i="14" s="1"/>
  <c r="G377" i="1" a="1"/>
  <c r="G377" i="1" s="1"/>
  <c r="K377" i="1" a="1"/>
  <c r="K377" i="1" s="1"/>
  <c r="P377" i="1" a="1"/>
  <c r="P377" i="1" s="1"/>
  <c r="C378" i="1" a="1"/>
  <c r="C378" i="1" s="1"/>
  <c r="E378" i="14" s="1"/>
  <c r="G378" i="1" a="1"/>
  <c r="G378" i="1" s="1"/>
  <c r="K378" i="1" a="1"/>
  <c r="K378" i="1" s="1"/>
  <c r="P378" i="1" a="1"/>
  <c r="P378" i="1" s="1"/>
  <c r="C379" i="1" a="1"/>
  <c r="C379" i="1" s="1"/>
  <c r="E379" i="14" s="1"/>
  <c r="G379" i="1" a="1"/>
  <c r="G379" i="1" s="1"/>
  <c r="K379" i="1" a="1"/>
  <c r="K379" i="1" s="1"/>
  <c r="P379" i="1" a="1"/>
  <c r="P379" i="1" s="1"/>
  <c r="C380" i="1" a="1"/>
  <c r="C380" i="1" s="1"/>
  <c r="E380" i="14" s="1"/>
  <c r="G380" i="1" a="1"/>
  <c r="G380" i="1" s="1"/>
  <c r="K380" i="1" a="1"/>
  <c r="K380" i="1" s="1"/>
  <c r="P380" i="1" a="1"/>
  <c r="P380" i="1" s="1"/>
  <c r="C381" i="1" a="1"/>
  <c r="C381" i="1" s="1"/>
  <c r="E381" i="14" s="1"/>
  <c r="G381" i="1" a="1"/>
  <c r="G381" i="1" s="1"/>
  <c r="K381" i="1" a="1"/>
  <c r="K381" i="1" s="1"/>
  <c r="P381" i="1" a="1"/>
  <c r="P381" i="1" s="1"/>
  <c r="C382" i="1" a="1"/>
  <c r="C382" i="1" s="1"/>
  <c r="E382" i="14" s="1"/>
  <c r="G382" i="1" a="1"/>
  <c r="G382" i="1" s="1"/>
  <c r="K382" i="1" a="1"/>
  <c r="K382" i="1" s="1"/>
  <c r="P382" i="1" a="1"/>
  <c r="P382" i="1" s="1"/>
  <c r="C383" i="1" a="1"/>
  <c r="C383" i="1" s="1"/>
  <c r="E383" i="14" s="1"/>
  <c r="G383" i="1" a="1"/>
  <c r="G383" i="1" s="1"/>
  <c r="K383" i="1" a="1"/>
  <c r="K383" i="1" s="1"/>
  <c r="P383" i="1" a="1"/>
  <c r="P383" i="1" s="1"/>
  <c r="C384" i="1" a="1"/>
  <c r="C384" i="1" s="1"/>
  <c r="E384" i="14" s="1"/>
  <c r="J384" i="1" a="1"/>
  <c r="J384" i="1" s="1"/>
  <c r="O384" i="1"/>
  <c r="M384" i="14" s="1"/>
  <c r="P327" i="1" a="1"/>
  <c r="P327" i="1" s="1"/>
  <c r="J328" i="1" a="1"/>
  <c r="J328" i="1" s="1"/>
  <c r="F330" i="1" a="1"/>
  <c r="F330" i="1" s="1"/>
  <c r="R330" i="14" s="1"/>
  <c r="K330" i="1" a="1"/>
  <c r="K330" i="1" s="1"/>
  <c r="D331" i="1" a="1"/>
  <c r="D331" i="1" s="1"/>
  <c r="I331" i="14" s="1"/>
  <c r="H331" i="1" a="1"/>
  <c r="H331" i="1" s="1"/>
  <c r="J331" i="14" s="1"/>
  <c r="L331" i="1" a="1"/>
  <c r="L331" i="1" s="1"/>
  <c r="Q331" i="1" a="1"/>
  <c r="Q331" i="1" s="1"/>
  <c r="S331" i="14" s="1"/>
  <c r="D332" i="1" a="1"/>
  <c r="D332" i="1" s="1"/>
  <c r="I332" i="14" s="1"/>
  <c r="H332" i="1" a="1"/>
  <c r="H332" i="1" s="1"/>
  <c r="J332" i="14" s="1"/>
  <c r="L332" i="1" a="1"/>
  <c r="L332" i="1" s="1"/>
  <c r="Q332" i="1" a="1"/>
  <c r="Q332" i="1" s="1"/>
  <c r="S332" i="14" s="1"/>
  <c r="D333" i="1" a="1"/>
  <c r="D333" i="1" s="1"/>
  <c r="I333" i="14" s="1"/>
  <c r="G333" i="1" a="1"/>
  <c r="G333" i="1" s="1"/>
  <c r="K333" i="1" a="1"/>
  <c r="K333" i="1" s="1"/>
  <c r="L333" i="14" s="1"/>
  <c r="O333" i="1"/>
  <c r="M333" i="14" s="1"/>
  <c r="F334" i="1" a="1"/>
  <c r="F334" i="1" s="1"/>
  <c r="R334" i="14" s="1"/>
  <c r="L334" i="1" a="1"/>
  <c r="L334" i="1" s="1"/>
  <c r="Q334" i="1" a="1"/>
  <c r="Q334" i="1" s="1"/>
  <c r="S334" i="14" s="1"/>
  <c r="D335" i="1" a="1"/>
  <c r="D335" i="1" s="1"/>
  <c r="I335" i="14" s="1"/>
  <c r="H335" i="1" a="1"/>
  <c r="H335" i="1" s="1"/>
  <c r="J335" i="14" s="1"/>
  <c r="L335" i="1" a="1"/>
  <c r="L335" i="1" s="1"/>
  <c r="Q335" i="1" a="1"/>
  <c r="Q335" i="1" s="1"/>
  <c r="S335" i="14" s="1"/>
  <c r="D336" i="1" a="1"/>
  <c r="D336" i="1" s="1"/>
  <c r="I336" i="14" s="1"/>
  <c r="H336" i="1" a="1"/>
  <c r="H336" i="1" s="1"/>
  <c r="J336" i="14" s="1"/>
  <c r="L336" i="1" a="1"/>
  <c r="L336" i="1" s="1"/>
  <c r="Q336" i="1" a="1"/>
  <c r="Q336" i="1" s="1"/>
  <c r="S336" i="14" s="1"/>
  <c r="D337" i="1" a="1"/>
  <c r="D337" i="1" s="1"/>
  <c r="I337" i="14" s="1"/>
  <c r="H337" i="1" a="1"/>
  <c r="H337" i="1" s="1"/>
  <c r="J337" i="14" s="1"/>
  <c r="L337" i="1" a="1"/>
  <c r="L337" i="1" s="1"/>
  <c r="Q337" i="1" a="1"/>
  <c r="Q337" i="1" s="1"/>
  <c r="S337" i="14" s="1"/>
  <c r="D338" i="1" a="1"/>
  <c r="D338" i="1" s="1"/>
  <c r="I338" i="14" s="1"/>
  <c r="H338" i="1" a="1"/>
  <c r="H338" i="1" s="1"/>
  <c r="J338" i="14" s="1"/>
  <c r="L338" i="1" a="1"/>
  <c r="L338" i="1" s="1"/>
  <c r="Q338" i="1" a="1"/>
  <c r="Q338" i="1" s="1"/>
  <c r="S338" i="14" s="1"/>
  <c r="D339" i="1" a="1"/>
  <c r="D339" i="1" s="1"/>
  <c r="I339" i="14" s="1"/>
  <c r="H339" i="1" a="1"/>
  <c r="H339" i="1" s="1"/>
  <c r="J339" i="14" s="1"/>
  <c r="K339" i="1" a="1"/>
  <c r="K339" i="1" s="1"/>
  <c r="P339" i="1" a="1"/>
  <c r="P339" i="1" s="1"/>
  <c r="C340" i="1" a="1"/>
  <c r="C340" i="1" s="1"/>
  <c r="E340" i="14" s="1"/>
  <c r="J340" i="1" a="1"/>
  <c r="J340" i="1" s="1"/>
  <c r="O340" i="1"/>
  <c r="M340" i="14" s="1"/>
  <c r="M341" i="1" a="1"/>
  <c r="M341" i="1" s="1"/>
  <c r="M342" i="1" a="1"/>
  <c r="M342" i="1" s="1"/>
  <c r="J343" i="1" a="1"/>
  <c r="J343" i="1" s="1"/>
  <c r="O343" i="1"/>
  <c r="M343" i="14" s="1"/>
  <c r="M344" i="1" a="1"/>
  <c r="M344" i="1" s="1"/>
  <c r="M345" i="1" a="1"/>
  <c r="M345" i="1" s="1"/>
  <c r="Q345" i="1" a="1"/>
  <c r="Q345" i="1" s="1"/>
  <c r="S345" i="14" s="1"/>
  <c r="C346" i="1" a="1"/>
  <c r="C346" i="1" s="1"/>
  <c r="E346" i="14" s="1"/>
  <c r="G346" i="1" a="1"/>
  <c r="G346" i="1" s="1"/>
  <c r="J346" i="1" a="1"/>
  <c r="J346" i="1" s="1"/>
  <c r="M346" i="1" a="1"/>
  <c r="M346" i="1" s="1"/>
  <c r="M347" i="1" a="1"/>
  <c r="M347" i="1" s="1"/>
  <c r="L348" i="1" a="1"/>
  <c r="L348" i="1" s="1"/>
  <c r="Q348" i="1" a="1"/>
  <c r="Q348" i="1" s="1"/>
  <c r="S348" i="14" s="1"/>
  <c r="D349" i="1" a="1"/>
  <c r="D349" i="1" s="1"/>
  <c r="I349" i="14" s="1"/>
  <c r="G349" i="1" a="1"/>
  <c r="G349" i="1" s="1"/>
  <c r="K349" i="1" a="1"/>
  <c r="K349" i="1" s="1"/>
  <c r="L349" i="14" s="1"/>
  <c r="O349" i="1"/>
  <c r="M349" i="14" s="1"/>
  <c r="F350" i="1" a="1"/>
  <c r="F350" i="1" s="1"/>
  <c r="R350" i="14" s="1"/>
  <c r="J350" i="1" a="1"/>
  <c r="J350" i="1" s="1"/>
  <c r="O350" i="1"/>
  <c r="M350" i="14" s="1"/>
  <c r="F351" i="1" a="1"/>
  <c r="F351" i="1" s="1"/>
  <c r="R351" i="14" s="1"/>
  <c r="J351" i="1" a="1"/>
  <c r="J351" i="1" s="1"/>
  <c r="M351" i="1" a="1"/>
  <c r="M351" i="1" s="1"/>
  <c r="H352" i="1" a="1"/>
  <c r="H352" i="1" s="1"/>
  <c r="J352" i="14" s="1"/>
  <c r="L352" i="1" a="1"/>
  <c r="L352" i="1" s="1"/>
  <c r="Q352" i="1" a="1"/>
  <c r="Q352" i="1" s="1"/>
  <c r="S352" i="14" s="1"/>
  <c r="D353" i="1" a="1"/>
  <c r="D353" i="1" s="1"/>
  <c r="I353" i="14" s="1"/>
  <c r="H353" i="1" a="1"/>
  <c r="H353" i="1" s="1"/>
  <c r="J353" i="14" s="1"/>
  <c r="L353" i="1" a="1"/>
  <c r="L353" i="1" s="1"/>
  <c r="Q353" i="1" a="1"/>
  <c r="Q353" i="1" s="1"/>
  <c r="S353" i="14" s="1"/>
  <c r="D354" i="1" a="1"/>
  <c r="D354" i="1" s="1"/>
  <c r="I354" i="14" s="1"/>
  <c r="H354" i="1" a="1"/>
  <c r="H354" i="1" s="1"/>
  <c r="J354" i="14" s="1"/>
  <c r="L354" i="1" a="1"/>
  <c r="L354" i="1" s="1"/>
  <c r="Q354" i="1" a="1"/>
  <c r="Q354" i="1" s="1"/>
  <c r="S354" i="14" s="1"/>
  <c r="D355" i="1" a="1"/>
  <c r="D355" i="1" s="1"/>
  <c r="I355" i="14" s="1"/>
  <c r="H355" i="1" a="1"/>
  <c r="H355" i="1" s="1"/>
  <c r="J355" i="14" s="1"/>
  <c r="L355" i="1" a="1"/>
  <c r="L355" i="1" s="1"/>
  <c r="P355" i="1" a="1"/>
  <c r="P355" i="1" s="1"/>
  <c r="C356" i="1" a="1"/>
  <c r="C356" i="1" s="1"/>
  <c r="E356" i="14" s="1"/>
  <c r="G356" i="1" a="1"/>
  <c r="G356" i="1" s="1"/>
  <c r="K356" i="1" a="1"/>
  <c r="K356" i="1" s="1"/>
  <c r="P356" i="1" a="1"/>
  <c r="P356" i="1" s="1"/>
  <c r="F357" i="1" a="1"/>
  <c r="F357" i="1" s="1"/>
  <c r="R357" i="14" s="1"/>
  <c r="J357" i="1" a="1"/>
  <c r="J357" i="1" s="1"/>
  <c r="O357" i="1"/>
  <c r="M357" i="14" s="1"/>
  <c r="F358" i="1" a="1"/>
  <c r="F358" i="1" s="1"/>
  <c r="R358" i="14" s="1"/>
  <c r="J358" i="1" a="1"/>
  <c r="J358" i="1" s="1"/>
  <c r="O358" i="1"/>
  <c r="M358" i="14" s="1"/>
  <c r="F359" i="1" a="1"/>
  <c r="F359" i="1" s="1"/>
  <c r="R359" i="14" s="1"/>
  <c r="J359" i="1" a="1"/>
  <c r="J359" i="1" s="1"/>
  <c r="O359" i="1"/>
  <c r="M359" i="14" s="1"/>
  <c r="F360" i="1" a="1"/>
  <c r="F360" i="1" s="1"/>
  <c r="R360" i="14" s="1"/>
  <c r="J360" i="1" a="1"/>
  <c r="J360" i="1" s="1"/>
  <c r="M360" i="1" a="1"/>
  <c r="M360" i="1" s="1"/>
  <c r="H361" i="1" a="1"/>
  <c r="H361" i="1" s="1"/>
  <c r="J361" i="14" s="1"/>
  <c r="L361" i="1" a="1"/>
  <c r="L361" i="1" s="1"/>
  <c r="Q361" i="1" a="1"/>
  <c r="Q361" i="1" s="1"/>
  <c r="S361" i="14" s="1"/>
  <c r="D362" i="1" a="1"/>
  <c r="D362" i="1" s="1"/>
  <c r="I362" i="14" s="1"/>
  <c r="H362" i="1" a="1"/>
  <c r="H362" i="1" s="1"/>
  <c r="J362" i="14" s="1"/>
  <c r="L362" i="1" a="1"/>
  <c r="L362" i="1" s="1"/>
  <c r="Q362" i="1" a="1"/>
  <c r="Q362" i="1" s="1"/>
  <c r="S362" i="14" s="1"/>
  <c r="D363" i="1" a="1"/>
  <c r="D363" i="1" s="1"/>
  <c r="I363" i="14" s="1"/>
  <c r="H363" i="1" a="1"/>
  <c r="H363" i="1" s="1"/>
  <c r="J363" i="14" s="1"/>
  <c r="L363" i="1" a="1"/>
  <c r="L363" i="1" s="1"/>
  <c r="Q363" i="1" a="1"/>
  <c r="Q363" i="1" s="1"/>
  <c r="S363" i="14" s="1"/>
  <c r="D364" i="1" a="1"/>
  <c r="D364" i="1" s="1"/>
  <c r="I364" i="14" s="1"/>
  <c r="H364" i="1" a="1"/>
  <c r="H364" i="1" s="1"/>
  <c r="J364" i="14" s="1"/>
  <c r="K364" i="1" a="1"/>
  <c r="K364" i="1" s="1"/>
  <c r="P364" i="1" a="1"/>
  <c r="P364" i="1" s="1"/>
  <c r="F365" i="1" a="1"/>
  <c r="F365" i="1" s="1"/>
  <c r="R365" i="14" s="1"/>
  <c r="J365" i="1" a="1"/>
  <c r="J365" i="1" s="1"/>
  <c r="O365" i="1"/>
  <c r="M365" i="14" s="1"/>
  <c r="F366" i="1" a="1"/>
  <c r="F366" i="1" s="1"/>
  <c r="R366" i="14" s="1"/>
  <c r="M366" i="1" a="1"/>
  <c r="M366" i="1" s="1"/>
  <c r="M367" i="1" a="1"/>
  <c r="M367" i="1" s="1"/>
  <c r="M368" i="1" a="1"/>
  <c r="M368" i="1" s="1"/>
  <c r="H369" i="1" a="1"/>
  <c r="H369" i="1" s="1"/>
  <c r="J369" i="14" s="1"/>
  <c r="O369" i="1"/>
  <c r="M369" i="14" s="1"/>
  <c r="F370" i="1" a="1"/>
  <c r="F370" i="1" s="1"/>
  <c r="R370" i="14" s="1"/>
  <c r="J370" i="1" a="1"/>
  <c r="J370" i="1" s="1"/>
  <c r="O370" i="1"/>
  <c r="M370" i="14" s="1"/>
  <c r="F371" i="1" a="1"/>
  <c r="F371" i="1" s="1"/>
  <c r="R371" i="14" s="1"/>
  <c r="J371" i="1" a="1"/>
  <c r="J371" i="1" s="1"/>
  <c r="O371" i="1"/>
  <c r="M371" i="14" s="1"/>
  <c r="F372" i="1" a="1"/>
  <c r="F372" i="1" s="1"/>
  <c r="R372" i="14" s="1"/>
  <c r="J372" i="1" a="1"/>
  <c r="J372" i="1" s="1"/>
  <c r="O372" i="1"/>
  <c r="M372" i="14" s="1"/>
  <c r="F373" i="1" a="1"/>
  <c r="F373" i="1" s="1"/>
  <c r="R373" i="14" s="1"/>
  <c r="J373" i="1" a="1"/>
  <c r="J373" i="1" s="1"/>
  <c r="M374" i="1" a="1"/>
  <c r="M374" i="1" s="1"/>
  <c r="Q375" i="1" a="1"/>
  <c r="Q375" i="1" s="1"/>
  <c r="S375" i="14" s="1"/>
  <c r="D376" i="1" a="1"/>
  <c r="D376" i="1" s="1"/>
  <c r="I376" i="14" s="1"/>
  <c r="H376" i="1" a="1"/>
  <c r="H376" i="1" s="1"/>
  <c r="J376" i="14" s="1"/>
  <c r="L376" i="1" a="1"/>
  <c r="L376" i="1" s="1"/>
  <c r="Q376" i="1" a="1"/>
  <c r="Q376" i="1" s="1"/>
  <c r="S376" i="14" s="1"/>
  <c r="D377" i="1" a="1"/>
  <c r="D377" i="1" s="1"/>
  <c r="I377" i="14" s="1"/>
  <c r="H377" i="1" a="1"/>
  <c r="H377" i="1" s="1"/>
  <c r="J377" i="14" s="1"/>
  <c r="L377" i="1" a="1"/>
  <c r="L377" i="1" s="1"/>
  <c r="Q377" i="1" a="1"/>
  <c r="Q377" i="1" s="1"/>
  <c r="S377" i="14" s="1"/>
  <c r="D378" i="1" a="1"/>
  <c r="D378" i="1" s="1"/>
  <c r="I378" i="14" s="1"/>
  <c r="H378" i="1" a="1"/>
  <c r="H378" i="1" s="1"/>
  <c r="J378" i="14" s="1"/>
  <c r="L378" i="1" a="1"/>
  <c r="L378" i="1" s="1"/>
  <c r="Q378" i="1" a="1"/>
  <c r="Q378" i="1" s="1"/>
  <c r="S378" i="14" s="1"/>
  <c r="D379" i="1" a="1"/>
  <c r="D379" i="1" s="1"/>
  <c r="I379" i="14" s="1"/>
  <c r="H379" i="1" a="1"/>
  <c r="H379" i="1" s="1"/>
  <c r="J379" i="14" s="1"/>
  <c r="L379" i="1" a="1"/>
  <c r="L379" i="1" s="1"/>
  <c r="Q379" i="1" a="1"/>
  <c r="Q379" i="1" s="1"/>
  <c r="S379" i="14" s="1"/>
  <c r="D380" i="1" a="1"/>
  <c r="D380" i="1" s="1"/>
  <c r="I380" i="14" s="1"/>
  <c r="H380" i="1" a="1"/>
  <c r="H380" i="1" s="1"/>
  <c r="J380" i="14" s="1"/>
  <c r="L380" i="1" a="1"/>
  <c r="L380" i="1" s="1"/>
  <c r="Q380" i="1" a="1"/>
  <c r="Q380" i="1" s="1"/>
  <c r="S380" i="14" s="1"/>
  <c r="D381" i="1" a="1"/>
  <c r="D381" i="1" s="1"/>
  <c r="I381" i="14" s="1"/>
  <c r="H381" i="1" a="1"/>
  <c r="H381" i="1" s="1"/>
  <c r="J381" i="14" s="1"/>
  <c r="L381" i="1" a="1"/>
  <c r="L381" i="1" s="1"/>
  <c r="Q381" i="1" a="1"/>
  <c r="Q381" i="1" s="1"/>
  <c r="S381" i="14" s="1"/>
  <c r="D382" i="1" a="1"/>
  <c r="D382" i="1" s="1"/>
  <c r="I382" i="14" s="1"/>
  <c r="H382" i="1" a="1"/>
  <c r="H382" i="1" s="1"/>
  <c r="J382" i="14" s="1"/>
  <c r="L382" i="1" a="1"/>
  <c r="L382" i="1" s="1"/>
  <c r="Q382" i="1" a="1"/>
  <c r="Q382" i="1" s="1"/>
  <c r="S382" i="14" s="1"/>
  <c r="D383" i="1" a="1"/>
  <c r="D383" i="1" s="1"/>
  <c r="I383" i="14" s="1"/>
  <c r="H383" i="1" a="1"/>
  <c r="H383" i="1" s="1"/>
  <c r="J383" i="14" s="1"/>
  <c r="L383" i="1" a="1"/>
  <c r="L383" i="1" s="1"/>
  <c r="Q383" i="1" a="1"/>
  <c r="Q383" i="1" s="1"/>
  <c r="S383" i="14" s="1"/>
  <c r="D384" i="1" a="1"/>
  <c r="D384" i="1" s="1"/>
  <c r="I384" i="14" s="1"/>
  <c r="G384" i="1" a="1"/>
  <c r="G384" i="1" s="1"/>
  <c r="K384" i="1" a="1"/>
  <c r="K384" i="1" s="1"/>
  <c r="P384" i="1" a="1"/>
  <c r="P384" i="1" s="1"/>
  <c r="F385" i="1" a="1"/>
  <c r="F385" i="1" s="1"/>
  <c r="R385" i="14" s="1"/>
  <c r="J385" i="1" a="1"/>
  <c r="J385" i="1" s="1"/>
  <c r="M386" i="1" a="1"/>
  <c r="M386" i="1" s="1"/>
  <c r="G387" i="1" a="1"/>
  <c r="G387" i="1" s="1"/>
  <c r="O387" i="1"/>
  <c r="M387" i="14" s="1"/>
  <c r="L388" i="1" a="1"/>
  <c r="L388" i="1" s="1"/>
  <c r="Q388" i="1" a="1"/>
  <c r="Q388" i="1" s="1"/>
  <c r="S388" i="14" s="1"/>
  <c r="D389" i="1" a="1"/>
  <c r="D389" i="1" s="1"/>
  <c r="I389" i="14" s="1"/>
  <c r="G389" i="1" a="1"/>
  <c r="G389" i="1" s="1"/>
  <c r="K389" i="1" a="1"/>
  <c r="K389" i="1" s="1"/>
  <c r="P389" i="1" a="1"/>
  <c r="P389" i="1" s="1"/>
  <c r="F328" i="1" a="1"/>
  <c r="F328" i="1" s="1"/>
  <c r="R328" i="14" s="1"/>
  <c r="K328" i="1" a="1"/>
  <c r="K328" i="1" s="1"/>
  <c r="L328" i="14" s="1"/>
  <c r="J329" i="1" a="1"/>
  <c r="J329" i="1" s="1"/>
  <c r="G330" i="1" a="1"/>
  <c r="G330" i="1" s="1"/>
  <c r="M330" i="1" a="1"/>
  <c r="M330" i="1" s="1"/>
  <c r="M331" i="1" a="1"/>
  <c r="M331" i="1" s="1"/>
  <c r="M332" i="1" a="1"/>
  <c r="M332" i="1" s="1"/>
  <c r="H333" i="1" a="1"/>
  <c r="H333" i="1" s="1"/>
  <c r="J333" i="14" s="1"/>
  <c r="P333" i="1" a="1"/>
  <c r="P333" i="1" s="1"/>
  <c r="C334" i="1" a="1"/>
  <c r="C334" i="1" s="1"/>
  <c r="E334" i="14" s="1"/>
  <c r="G334" i="1" a="1"/>
  <c r="G334" i="1" s="1"/>
  <c r="J334" i="1" a="1"/>
  <c r="J334" i="1" s="1"/>
  <c r="M334" i="1" a="1"/>
  <c r="M334" i="1" s="1"/>
  <c r="M335" i="1" a="1"/>
  <c r="M335" i="1" s="1"/>
  <c r="M336" i="1" a="1"/>
  <c r="M336" i="1" s="1"/>
  <c r="M337" i="1" a="1"/>
  <c r="M337" i="1" s="1"/>
  <c r="M338" i="1" a="1"/>
  <c r="M338" i="1" s="1"/>
  <c r="L339" i="1" a="1"/>
  <c r="L339" i="1" s="1"/>
  <c r="Q339" i="1" a="1"/>
  <c r="Q339" i="1" s="1"/>
  <c r="S339" i="14" s="1"/>
  <c r="D340" i="1" a="1"/>
  <c r="D340" i="1" s="1"/>
  <c r="I340" i="14" s="1"/>
  <c r="G340" i="1" a="1"/>
  <c r="G340" i="1" s="1"/>
  <c r="K340" i="1" a="1"/>
  <c r="K340" i="1" s="1"/>
  <c r="L340" i="14" s="1"/>
  <c r="P340" i="1" a="1"/>
  <c r="P340" i="1" s="1"/>
  <c r="F341" i="1" a="1"/>
  <c r="F341" i="1" s="1"/>
  <c r="R341" i="14" s="1"/>
  <c r="J341" i="1" a="1"/>
  <c r="J341" i="1" s="1"/>
  <c r="O341" i="1"/>
  <c r="M341" i="14" s="1"/>
  <c r="F342" i="1" a="1"/>
  <c r="F342" i="1" s="1"/>
  <c r="R342" i="14" s="1"/>
  <c r="J342" i="1" a="1"/>
  <c r="J342" i="1" s="1"/>
  <c r="O342" i="1"/>
  <c r="M342" i="14" s="1"/>
  <c r="D343" i="1" a="1"/>
  <c r="D343" i="1" s="1"/>
  <c r="I343" i="14" s="1"/>
  <c r="G343" i="1" a="1"/>
  <c r="G343" i="1" s="1"/>
  <c r="K343" i="1" a="1"/>
  <c r="K343" i="1" s="1"/>
  <c r="L343" i="14" s="1"/>
  <c r="P343" i="1" a="1"/>
  <c r="P343" i="1" s="1"/>
  <c r="F344" i="1" a="1"/>
  <c r="F344" i="1" s="1"/>
  <c r="R344" i="14" s="1"/>
  <c r="J344" i="1" a="1"/>
  <c r="J344" i="1" s="1"/>
  <c r="O344" i="1"/>
  <c r="M344" i="14" s="1"/>
  <c r="F345" i="1" a="1"/>
  <c r="F345" i="1" s="1"/>
  <c r="R345" i="14" s="1"/>
  <c r="J345" i="1" a="1"/>
  <c r="J345" i="1" s="1"/>
  <c r="D346" i="1" a="1"/>
  <c r="D346" i="1" s="1"/>
  <c r="I346" i="14" s="1"/>
  <c r="O346" i="1"/>
  <c r="M346" i="14" s="1"/>
  <c r="F347" i="1" a="1"/>
  <c r="F347" i="1" s="1"/>
  <c r="R347" i="14" s="1"/>
  <c r="J347" i="1" a="1"/>
  <c r="J347" i="1" s="1"/>
  <c r="O347" i="1"/>
  <c r="M347" i="14" s="1"/>
  <c r="F348" i="1" a="1"/>
  <c r="F348" i="1" s="1"/>
  <c r="R348" i="14" s="1"/>
  <c r="M348" i="1" a="1"/>
  <c r="M348" i="1" s="1"/>
  <c r="H349" i="1" a="1"/>
  <c r="H349" i="1" s="1"/>
  <c r="J349" i="14" s="1"/>
  <c r="P349" i="1" a="1"/>
  <c r="P349" i="1" s="1"/>
  <c r="C350" i="1" a="1"/>
  <c r="C350" i="1" s="1"/>
  <c r="E350" i="14" s="1"/>
  <c r="G350" i="1" a="1"/>
  <c r="G350" i="1" s="1"/>
  <c r="K350" i="1" a="1"/>
  <c r="K350" i="1" s="1"/>
  <c r="L350" i="14" s="1"/>
  <c r="P350" i="1" a="1"/>
  <c r="P350" i="1" s="1"/>
  <c r="C351" i="1" a="1"/>
  <c r="C351" i="1" s="1"/>
  <c r="E351" i="14" s="1"/>
  <c r="G351" i="1" a="1"/>
  <c r="G351" i="1" s="1"/>
  <c r="K351" i="1" a="1"/>
  <c r="K351" i="1" s="1"/>
  <c r="L351" i="14" s="1"/>
  <c r="O351" i="1"/>
  <c r="M351" i="14" s="1"/>
  <c r="F352" i="1" a="1"/>
  <c r="F352" i="1" s="1"/>
  <c r="R352" i="14" s="1"/>
  <c r="M352" i="1" a="1"/>
  <c r="M352" i="1" s="1"/>
  <c r="M353" i="1" a="1"/>
  <c r="M353" i="1" s="1"/>
  <c r="M354" i="1" a="1"/>
  <c r="M354" i="1" s="1"/>
  <c r="Q355" i="1" a="1"/>
  <c r="Q355" i="1" s="1"/>
  <c r="S355" i="14" s="1"/>
  <c r="D356" i="1" a="1"/>
  <c r="D356" i="1" s="1"/>
  <c r="I356" i="14" s="1"/>
  <c r="H356" i="1" a="1"/>
  <c r="H356" i="1" s="1"/>
  <c r="J356" i="14" s="1"/>
  <c r="L356" i="1" a="1"/>
  <c r="L356" i="1" s="1"/>
  <c r="C357" i="1" a="1"/>
  <c r="C357" i="1" s="1"/>
  <c r="E357" i="14" s="1"/>
  <c r="G357" i="1" a="1"/>
  <c r="G357" i="1" s="1"/>
  <c r="K357" i="1" a="1"/>
  <c r="K357" i="1" s="1"/>
  <c r="P357" i="1" a="1"/>
  <c r="P357" i="1" s="1"/>
  <c r="C358" i="1" a="1"/>
  <c r="C358" i="1" s="1"/>
  <c r="E358" i="14" s="1"/>
  <c r="G358" i="1" a="1"/>
  <c r="G358" i="1" s="1"/>
  <c r="K358" i="1" a="1"/>
  <c r="K358" i="1" s="1"/>
  <c r="P358" i="1" a="1"/>
  <c r="P358" i="1" s="1"/>
  <c r="C359" i="1" a="1"/>
  <c r="C359" i="1" s="1"/>
  <c r="E359" i="14" s="1"/>
  <c r="G359" i="1" a="1"/>
  <c r="G359" i="1" s="1"/>
  <c r="K359" i="1" a="1"/>
  <c r="K359" i="1" s="1"/>
  <c r="P359" i="1" a="1"/>
  <c r="P359" i="1" s="1"/>
  <c r="C360" i="1" a="1"/>
  <c r="C360" i="1" s="1"/>
  <c r="E360" i="14" s="1"/>
  <c r="G360" i="1" a="1"/>
  <c r="G360" i="1" s="1"/>
  <c r="O360" i="1"/>
  <c r="M360" i="14" s="1"/>
  <c r="M361" i="1" a="1"/>
  <c r="M361" i="1" s="1"/>
  <c r="M362" i="1" a="1"/>
  <c r="M362" i="1" s="1"/>
  <c r="M363" i="1" a="1"/>
  <c r="M363" i="1" s="1"/>
  <c r="L364" i="1" a="1"/>
  <c r="L364" i="1" s="1"/>
  <c r="C365" i="1" a="1"/>
  <c r="C365" i="1" s="1"/>
  <c r="E365" i="14" s="1"/>
  <c r="G365" i="1" a="1"/>
  <c r="G365" i="1" s="1"/>
  <c r="K365" i="1" a="1"/>
  <c r="K365" i="1" s="1"/>
  <c r="L365" i="14" s="1"/>
  <c r="P365" i="1" a="1"/>
  <c r="P365" i="1" s="1"/>
  <c r="C366" i="1" a="1"/>
  <c r="C366" i="1" s="1"/>
  <c r="E366" i="14" s="1"/>
  <c r="G366" i="1" a="1"/>
  <c r="G366" i="1" s="1"/>
  <c r="J366" i="1" a="1"/>
  <c r="J366" i="1" s="1"/>
  <c r="O366" i="1"/>
  <c r="M366" i="14" s="1"/>
  <c r="F367" i="1" a="1"/>
  <c r="F367" i="1" s="1"/>
  <c r="R367" i="14" s="1"/>
  <c r="J367" i="1" a="1"/>
  <c r="J367" i="1" s="1"/>
  <c r="O367" i="1"/>
  <c r="M367" i="14" s="1"/>
  <c r="F368" i="1" a="1"/>
  <c r="F368" i="1" s="1"/>
  <c r="R368" i="14" s="1"/>
  <c r="J368" i="1" a="1"/>
  <c r="J368" i="1" s="1"/>
  <c r="O368" i="1"/>
  <c r="M368" i="14" s="1"/>
  <c r="L369" i="1" a="1"/>
  <c r="L369" i="1" s="1"/>
  <c r="P369" i="1" a="1"/>
  <c r="P369" i="1" s="1"/>
  <c r="C370" i="1" a="1"/>
  <c r="C370" i="1" s="1"/>
  <c r="E370" i="14" s="1"/>
  <c r="G370" i="1" a="1"/>
  <c r="G370" i="1" s="1"/>
  <c r="K370" i="1" a="1"/>
  <c r="K370" i="1" s="1"/>
  <c r="P370" i="1" a="1"/>
  <c r="P370" i="1" s="1"/>
  <c r="C371" i="1" a="1"/>
  <c r="C371" i="1" s="1"/>
  <c r="E371" i="14" s="1"/>
  <c r="G371" i="1" a="1"/>
  <c r="G371" i="1" s="1"/>
  <c r="K371" i="1" a="1"/>
  <c r="K371" i="1" s="1"/>
  <c r="L371" i="14" s="1"/>
  <c r="P371" i="1" a="1"/>
  <c r="P371" i="1" s="1"/>
  <c r="C372" i="1" a="1"/>
  <c r="C372" i="1" s="1"/>
  <c r="E372" i="14" s="1"/>
  <c r="G372" i="1" a="1"/>
  <c r="G372" i="1" s="1"/>
  <c r="K372" i="1" a="1"/>
  <c r="K372" i="1" s="1"/>
  <c r="P372" i="1" a="1"/>
  <c r="P372" i="1" s="1"/>
  <c r="C373" i="1" a="1"/>
  <c r="C373" i="1" s="1"/>
  <c r="E373" i="14" s="1"/>
  <c r="G373" i="1" a="1"/>
  <c r="G373" i="1" s="1"/>
  <c r="K373" i="1" a="1"/>
  <c r="K373" i="1" s="1"/>
  <c r="L373" i="14" s="1"/>
  <c r="O373" i="1"/>
  <c r="M373" i="14" s="1"/>
  <c r="F374" i="1" a="1"/>
  <c r="F374" i="1" s="1"/>
  <c r="R374" i="14" s="1"/>
  <c r="J374" i="1" a="1"/>
  <c r="J374" i="1" s="1"/>
  <c r="O374" i="1"/>
  <c r="M374" i="14" s="1"/>
  <c r="F375" i="1" a="1"/>
  <c r="F375" i="1" s="1"/>
  <c r="R375" i="14" s="1"/>
  <c r="J375" i="1" a="1"/>
  <c r="J375" i="1" s="1"/>
  <c r="M375" i="1" a="1"/>
  <c r="M375" i="1" s="1"/>
  <c r="M376" i="1" a="1"/>
  <c r="M376" i="1" s="1"/>
  <c r="M377" i="1" a="1"/>
  <c r="M377" i="1" s="1"/>
  <c r="M378" i="1" a="1"/>
  <c r="M378" i="1" s="1"/>
  <c r="M379" i="1" a="1"/>
  <c r="M379" i="1" s="1"/>
  <c r="M380" i="1" a="1"/>
  <c r="M380" i="1" s="1"/>
  <c r="M381" i="1" a="1"/>
  <c r="M381" i="1" s="1"/>
  <c r="M382" i="1" a="1"/>
  <c r="M382" i="1" s="1"/>
  <c r="M383" i="1" a="1"/>
  <c r="M383" i="1" s="1"/>
  <c r="H384" i="1" a="1"/>
  <c r="H384" i="1" s="1"/>
  <c r="J384" i="14" s="1"/>
  <c r="L384" i="1" a="1"/>
  <c r="L384" i="1" s="1"/>
  <c r="C385" i="1" a="1"/>
  <c r="C385" i="1" s="1"/>
  <c r="E385" i="14" s="1"/>
  <c r="G385" i="1" a="1"/>
  <c r="G385" i="1" s="1"/>
  <c r="K385" i="1" a="1"/>
  <c r="K385" i="1" s="1"/>
  <c r="O385" i="1"/>
  <c r="M385" i="14" s="1"/>
  <c r="F386" i="1" a="1"/>
  <c r="F386" i="1" s="1"/>
  <c r="R386" i="14" s="1"/>
  <c r="J386" i="1" a="1"/>
  <c r="J386" i="1" s="1"/>
  <c r="O386" i="1"/>
  <c r="M386" i="14" s="1"/>
  <c r="D387" i="1" a="1"/>
  <c r="D387" i="1" s="1"/>
  <c r="I387" i="14" s="1"/>
  <c r="H387" i="1" a="1"/>
  <c r="H387" i="1" s="1"/>
  <c r="J387" i="14" s="1"/>
  <c r="K387" i="1" a="1"/>
  <c r="K387" i="1" s="1"/>
  <c r="P387" i="1" a="1"/>
  <c r="P387" i="1" s="1"/>
  <c r="F388" i="1" a="1"/>
  <c r="F388" i="1" s="1"/>
  <c r="R388" i="14" s="1"/>
  <c r="M388" i="1" a="1"/>
  <c r="M388" i="1" s="1"/>
  <c r="H389" i="1" a="1"/>
  <c r="H389" i="1" s="1"/>
  <c r="J389" i="14" s="1"/>
  <c r="L389" i="1" a="1"/>
  <c r="L389" i="1" s="1"/>
  <c r="Q389" i="1" a="1"/>
  <c r="Q389" i="1" s="1"/>
  <c r="S389" i="14" s="1"/>
  <c r="D390" i="1" a="1"/>
  <c r="D390" i="1" s="1"/>
  <c r="I390" i="14" s="1"/>
  <c r="H390" i="1" a="1"/>
  <c r="H390" i="1" s="1"/>
  <c r="J390" i="14" s="1"/>
  <c r="L390" i="1" a="1"/>
  <c r="L390" i="1" s="1"/>
  <c r="Q390" i="1" a="1"/>
  <c r="Q390" i="1" s="1"/>
  <c r="S390" i="14" s="1"/>
  <c r="C391" i="1" a="1"/>
  <c r="C391" i="1" s="1"/>
  <c r="E391" i="14" s="1"/>
  <c r="F391" i="1" a="1"/>
  <c r="F391" i="1" s="1"/>
  <c r="R391" i="14" s="1"/>
  <c r="J391" i="1" a="1"/>
  <c r="J391" i="1" s="1"/>
  <c r="M391" i="1" a="1"/>
  <c r="M391" i="1" s="1"/>
  <c r="D392" i="1" a="1"/>
  <c r="D392" i="1" s="1"/>
  <c r="I392" i="14" s="1"/>
  <c r="H392" i="1" a="1"/>
  <c r="H392" i="1" s="1"/>
  <c r="J392" i="14" s="1"/>
  <c r="K392" i="1" a="1"/>
  <c r="K392" i="1" s="1"/>
  <c r="P392" i="1" a="1"/>
  <c r="P392" i="1" s="1"/>
  <c r="F393" i="1" a="1"/>
  <c r="F393" i="1" s="1"/>
  <c r="R393" i="14" s="1"/>
  <c r="J393" i="1" a="1"/>
  <c r="J393" i="1" s="1"/>
  <c r="O393" i="1"/>
  <c r="M393" i="14" s="1"/>
  <c r="F394" i="1" a="1"/>
  <c r="F394" i="1" s="1"/>
  <c r="R394" i="14" s="1"/>
  <c r="M394" i="1" a="1"/>
  <c r="M394" i="1" s="1"/>
  <c r="M395" i="1" a="1"/>
  <c r="M395" i="1" s="1"/>
  <c r="M396" i="1" a="1"/>
  <c r="M396" i="1" s="1"/>
  <c r="H397" i="1" a="1"/>
  <c r="H397" i="1" s="1"/>
  <c r="J397" i="14" s="1"/>
  <c r="P397" i="1" a="1"/>
  <c r="P397" i="1" s="1"/>
  <c r="C398" i="1" a="1"/>
  <c r="C398" i="1" s="1"/>
  <c r="E398" i="14" s="1"/>
  <c r="G398" i="1" a="1"/>
  <c r="G398" i="1" s="1"/>
  <c r="K398" i="1" a="1"/>
  <c r="K398" i="1" s="1"/>
  <c r="P398" i="1" a="1"/>
  <c r="P398" i="1" s="1"/>
  <c r="C399" i="1" a="1"/>
  <c r="C399" i="1" s="1"/>
  <c r="E399" i="14" s="1"/>
  <c r="G399" i="1" a="1"/>
  <c r="G399" i="1" s="1"/>
  <c r="K399" i="1" a="1"/>
  <c r="K399" i="1" s="1"/>
  <c r="P399" i="1" a="1"/>
  <c r="P399" i="1" s="1"/>
  <c r="C400" i="1" a="1"/>
  <c r="C400" i="1" s="1"/>
  <c r="E400" i="14" s="1"/>
  <c r="M400" i="1" a="1"/>
  <c r="M400" i="1" s="1"/>
  <c r="Q400" i="1" a="1"/>
  <c r="Q400" i="1" s="1"/>
  <c r="S400" i="14" s="1"/>
  <c r="D401" i="1" a="1"/>
  <c r="D401" i="1" s="1"/>
  <c r="I401" i="14" s="1"/>
  <c r="G401" i="1" a="1"/>
  <c r="G401" i="1" s="1"/>
  <c r="K401" i="1" a="1"/>
  <c r="K401" i="1" s="1"/>
  <c r="P401" i="1" a="1"/>
  <c r="P401" i="1" s="1"/>
  <c r="C402" i="1" a="1"/>
  <c r="C402" i="1" s="1"/>
  <c r="E402" i="14" s="1"/>
  <c r="G402" i="1" a="1"/>
  <c r="G402" i="1" s="1"/>
  <c r="K402" i="1" a="1"/>
  <c r="K402" i="1" s="1"/>
  <c r="P402" i="1" a="1"/>
  <c r="P402" i="1" s="1"/>
  <c r="F403" i="1" a="1"/>
  <c r="F403" i="1" s="1"/>
  <c r="R403" i="14" s="1"/>
  <c r="J403" i="1" a="1"/>
  <c r="J403" i="1" s="1"/>
  <c r="O403" i="1"/>
  <c r="M403" i="14" s="1"/>
  <c r="F404" i="1" a="1"/>
  <c r="F404" i="1" s="1"/>
  <c r="R404" i="14" s="1"/>
  <c r="J404" i="1" a="1"/>
  <c r="J404" i="1" s="1"/>
  <c r="O404" i="1"/>
  <c r="M404" i="14" s="1"/>
  <c r="L405" i="1" a="1"/>
  <c r="L405" i="1" s="1"/>
  <c r="Q405" i="1" a="1"/>
  <c r="Q405" i="1" s="1"/>
  <c r="S405" i="14" s="1"/>
  <c r="D406" i="1" a="1"/>
  <c r="D406" i="1" s="1"/>
  <c r="I406" i="14" s="1"/>
  <c r="H406" i="1" a="1"/>
  <c r="H406" i="1" s="1"/>
  <c r="J406" i="14" s="1"/>
  <c r="L406" i="1" a="1"/>
  <c r="L406" i="1" s="1"/>
  <c r="Q406" i="1" a="1"/>
  <c r="Q406" i="1" s="1"/>
  <c r="S406" i="14" s="1"/>
  <c r="C407" i="1" a="1"/>
  <c r="C407" i="1" s="1"/>
  <c r="E407" i="14" s="1"/>
  <c r="F407" i="1" a="1"/>
  <c r="F407" i="1" s="1"/>
  <c r="R407" i="14" s="1"/>
  <c r="J407" i="1" a="1"/>
  <c r="J407" i="1" s="1"/>
  <c r="M407" i="1" a="1"/>
  <c r="M407" i="1" s="1"/>
  <c r="M408" i="1" a="1"/>
  <c r="M408" i="1" s="1"/>
  <c r="G409" i="1" a="1"/>
  <c r="G409" i="1" s="1"/>
  <c r="O409" i="1"/>
  <c r="M409" i="14" s="1"/>
  <c r="F410" i="1" a="1"/>
  <c r="F410" i="1" s="1"/>
  <c r="R410" i="14" s="1"/>
  <c r="J410" i="1" a="1"/>
  <c r="J410" i="1" s="1"/>
  <c r="F378" i="1" a="1"/>
  <c r="F378" i="1" s="1"/>
  <c r="R378" i="14" s="1"/>
  <c r="J380" i="1" a="1"/>
  <c r="J380" i="1" s="1"/>
  <c r="O381" i="1"/>
  <c r="M381" i="14" s="1"/>
  <c r="F382" i="1" a="1"/>
  <c r="F382" i="1" s="1"/>
  <c r="R382" i="14" s="1"/>
  <c r="M384" i="1" a="1"/>
  <c r="M384" i="1" s="1"/>
  <c r="D385" i="1" a="1"/>
  <c r="D385" i="1" s="1"/>
  <c r="I385" i="14" s="1"/>
  <c r="L385" i="1" a="1"/>
  <c r="L385" i="1" s="1"/>
  <c r="K386" i="1" a="1"/>
  <c r="K386" i="1" s="1"/>
  <c r="F387" i="1" a="1"/>
  <c r="F387" i="1" s="1"/>
  <c r="R387" i="14" s="1"/>
  <c r="M387" i="1" a="1"/>
  <c r="M387" i="1" s="1"/>
  <c r="G388" i="1" a="1"/>
  <c r="G388" i="1" s="1"/>
  <c r="K388" i="1" a="1"/>
  <c r="K388" i="1" s="1"/>
  <c r="L388" i="14" s="1"/>
  <c r="O389" i="1"/>
  <c r="M389" i="14" s="1"/>
  <c r="J390" i="1" a="1"/>
  <c r="J390" i="1" s="1"/>
  <c r="P390" i="1" a="1"/>
  <c r="P390" i="1" s="1"/>
  <c r="H391" i="1" a="1"/>
  <c r="H391" i="1" s="1"/>
  <c r="J391" i="14" s="1"/>
  <c r="L391" i="1" a="1"/>
  <c r="L391" i="1" s="1"/>
  <c r="F392" i="1" a="1"/>
  <c r="F392" i="1" s="1"/>
  <c r="R392" i="14" s="1"/>
  <c r="J392" i="1" a="1"/>
  <c r="J392" i="1" s="1"/>
  <c r="C393" i="1" a="1"/>
  <c r="C393" i="1" s="1"/>
  <c r="E393" i="14" s="1"/>
  <c r="H393" i="1" a="1"/>
  <c r="H393" i="1" s="1"/>
  <c r="J393" i="14" s="1"/>
  <c r="M393" i="1" a="1"/>
  <c r="M393" i="1" s="1"/>
  <c r="G394" i="1" a="1"/>
  <c r="G394" i="1" s="1"/>
  <c r="J394" i="1" a="1"/>
  <c r="J394" i="1" s="1"/>
  <c r="P394" i="1" a="1"/>
  <c r="P394" i="1" s="1"/>
  <c r="C395" i="1" a="1"/>
  <c r="C395" i="1" s="1"/>
  <c r="E395" i="14" s="1"/>
  <c r="G395" i="1" a="1"/>
  <c r="G395" i="1" s="1"/>
  <c r="K395" i="1" a="1"/>
  <c r="K395" i="1" s="1"/>
  <c r="Q395" i="1" a="1"/>
  <c r="Q395" i="1" s="1"/>
  <c r="S395" i="14" s="1"/>
  <c r="D396" i="1" a="1"/>
  <c r="D396" i="1" s="1"/>
  <c r="I396" i="14" s="1"/>
  <c r="H396" i="1" a="1"/>
  <c r="H396" i="1" s="1"/>
  <c r="J396" i="14" s="1"/>
  <c r="L396" i="1" a="1"/>
  <c r="L396" i="1" s="1"/>
  <c r="J397" i="1" a="1"/>
  <c r="J397" i="1" s="1"/>
  <c r="O397" i="1"/>
  <c r="M397" i="14" s="1"/>
  <c r="D398" i="1" a="1"/>
  <c r="D398" i="1" s="1"/>
  <c r="I398" i="14" s="1"/>
  <c r="O398" i="1"/>
  <c r="M398" i="14" s="1"/>
  <c r="D399" i="1" a="1"/>
  <c r="D399" i="1" s="1"/>
  <c r="I399" i="14" s="1"/>
  <c r="O399" i="1"/>
  <c r="M399" i="14" s="1"/>
  <c r="D400" i="1" a="1"/>
  <c r="D400" i="1" s="1"/>
  <c r="I400" i="14" s="1"/>
  <c r="H400" i="1" a="1"/>
  <c r="H400" i="1" s="1"/>
  <c r="J400" i="14" s="1"/>
  <c r="K400" i="1" a="1"/>
  <c r="K400" i="1" s="1"/>
  <c r="O401" i="1"/>
  <c r="M401" i="14" s="1"/>
  <c r="D402" i="1" a="1"/>
  <c r="D402" i="1" s="1"/>
  <c r="I402" i="14" s="1"/>
  <c r="O402" i="1"/>
  <c r="M402" i="14" s="1"/>
  <c r="G403" i="1" a="1"/>
  <c r="G403" i="1" s="1"/>
  <c r="L403" i="1" a="1"/>
  <c r="L403" i="1" s="1"/>
  <c r="K404" i="1" a="1"/>
  <c r="K404" i="1" s="1"/>
  <c r="Q404" i="1" a="1"/>
  <c r="Q404" i="1" s="1"/>
  <c r="S404" i="14" s="1"/>
  <c r="C405" i="1" a="1"/>
  <c r="C405" i="1" s="1"/>
  <c r="E405" i="14" s="1"/>
  <c r="G405" i="1" a="1"/>
  <c r="G405" i="1" s="1"/>
  <c r="P405" i="1" a="1"/>
  <c r="P405" i="1" s="1"/>
  <c r="J406" i="1" a="1"/>
  <c r="J406" i="1" s="1"/>
  <c r="P406" i="1" a="1"/>
  <c r="P406" i="1" s="1"/>
  <c r="H407" i="1" a="1"/>
  <c r="H407" i="1" s="1"/>
  <c r="J407" i="14" s="1"/>
  <c r="L407" i="1" a="1"/>
  <c r="L407" i="1" s="1"/>
  <c r="O408" i="1"/>
  <c r="M408" i="14" s="1"/>
  <c r="F409" i="1" a="1"/>
  <c r="F409" i="1" s="1"/>
  <c r="R409" i="14" s="1"/>
  <c r="K409" i="1" a="1"/>
  <c r="K409" i="1" s="1"/>
  <c r="Q409" i="1" a="1"/>
  <c r="Q409" i="1" s="1"/>
  <c r="S409" i="14" s="1"/>
  <c r="D410" i="1" a="1"/>
  <c r="D410" i="1" s="1"/>
  <c r="I410" i="14" s="1"/>
  <c r="O410" i="1"/>
  <c r="M410" i="14" s="1"/>
  <c r="F411" i="1" a="1"/>
  <c r="F411" i="1" s="1"/>
  <c r="R411" i="14" s="1"/>
  <c r="J411" i="1" a="1"/>
  <c r="J411" i="1" s="1"/>
  <c r="M411" i="1" a="1"/>
  <c r="M411" i="1" s="1"/>
  <c r="M412" i="1" a="1"/>
  <c r="M412" i="1" s="1"/>
  <c r="Q413" i="1" a="1"/>
  <c r="Q413" i="1" s="1"/>
  <c r="S413" i="14" s="1"/>
  <c r="D414" i="1" a="1"/>
  <c r="D414" i="1" s="1"/>
  <c r="I414" i="14" s="1"/>
  <c r="G414" i="1" a="1"/>
  <c r="G414" i="1" s="1"/>
  <c r="K414" i="1" a="1"/>
  <c r="K414" i="1" s="1"/>
  <c r="P414" i="1" a="1"/>
  <c r="P414" i="1" s="1"/>
  <c r="C415" i="1" a="1"/>
  <c r="C415" i="1" s="1"/>
  <c r="E415" i="14" s="1"/>
  <c r="F415" i="1" a="1"/>
  <c r="F415" i="1" s="1"/>
  <c r="R415" i="14" s="1"/>
  <c r="J415" i="1" a="1"/>
  <c r="J415" i="1" s="1"/>
  <c r="M415" i="1" a="1"/>
  <c r="M415" i="1" s="1"/>
  <c r="M416" i="1" a="1"/>
  <c r="M416" i="1" s="1"/>
  <c r="M417" i="1" a="1"/>
  <c r="M417" i="1" s="1"/>
  <c r="M418" i="1" a="1"/>
  <c r="M418" i="1" s="1"/>
  <c r="H419" i="1" a="1"/>
  <c r="H419" i="1" s="1"/>
  <c r="J419" i="14" s="1"/>
  <c r="L419" i="1" a="1"/>
  <c r="L419" i="1" s="1"/>
  <c r="Q419" i="1" a="1"/>
  <c r="Q419" i="1" s="1"/>
  <c r="S419" i="14" s="1"/>
  <c r="C420" i="1" a="1"/>
  <c r="C420" i="1" s="1"/>
  <c r="E420" i="14" s="1"/>
  <c r="G420" i="1" a="1"/>
  <c r="G420" i="1" s="1"/>
  <c r="K420" i="1" a="1"/>
  <c r="K420" i="1" s="1"/>
  <c r="P420" i="1" a="1"/>
  <c r="P420" i="1" s="1"/>
  <c r="C421" i="1" a="1"/>
  <c r="C421" i="1" s="1"/>
  <c r="E421" i="14" s="1"/>
  <c r="G421" i="1" a="1"/>
  <c r="G421" i="1" s="1"/>
  <c r="H422" i="1" a="1"/>
  <c r="H422" i="1" s="1"/>
  <c r="J422" i="14" s="1"/>
  <c r="L422" i="1" a="1"/>
  <c r="L422" i="1" s="1"/>
  <c r="Q422" i="1" a="1"/>
  <c r="Q422" i="1" s="1"/>
  <c r="S422" i="14" s="1"/>
  <c r="D423" i="1" a="1"/>
  <c r="D423" i="1" s="1"/>
  <c r="I423" i="14" s="1"/>
  <c r="H423" i="1" a="1"/>
  <c r="H423" i="1" s="1"/>
  <c r="J423" i="14" s="1"/>
  <c r="L423" i="1" a="1"/>
  <c r="L423" i="1" s="1"/>
  <c r="Q423" i="1" a="1"/>
  <c r="Q423" i="1" s="1"/>
  <c r="S423" i="14" s="1"/>
  <c r="D424" i="1" a="1"/>
  <c r="D424" i="1" s="1"/>
  <c r="I424" i="14" s="1"/>
  <c r="H424" i="1" a="1"/>
  <c r="H424" i="1" s="1"/>
  <c r="J424" i="14" s="1"/>
  <c r="L424" i="1" a="1"/>
  <c r="L424" i="1" s="1"/>
  <c r="Q424" i="1" a="1"/>
  <c r="Q424" i="1" s="1"/>
  <c r="S424" i="14" s="1"/>
  <c r="D425" i="1" a="1"/>
  <c r="D425" i="1" s="1"/>
  <c r="I425" i="14" s="1"/>
  <c r="H425" i="1" a="1"/>
  <c r="H425" i="1" s="1"/>
  <c r="J425" i="14" s="1"/>
  <c r="L425" i="1" a="1"/>
  <c r="L425" i="1" s="1"/>
  <c r="C426" i="1" a="1"/>
  <c r="C426" i="1" s="1"/>
  <c r="E426" i="14" s="1"/>
  <c r="J426" i="1" a="1"/>
  <c r="J426" i="1" s="1"/>
  <c r="O426" i="1"/>
  <c r="M426" i="14" s="1"/>
  <c r="F427" i="1" a="1"/>
  <c r="F427" i="1" s="1"/>
  <c r="R427" i="14" s="1"/>
  <c r="J427" i="1" a="1"/>
  <c r="J427" i="1" s="1"/>
  <c r="M427" i="1" a="1"/>
  <c r="M427" i="1" s="1"/>
  <c r="H428" i="1" a="1"/>
  <c r="H428" i="1" s="1"/>
  <c r="J428" i="14" s="1"/>
  <c r="K428" i="1" a="1"/>
  <c r="K428" i="1" s="1"/>
  <c r="P428" i="1" a="1"/>
  <c r="P428" i="1" s="1"/>
  <c r="M429" i="1" a="1"/>
  <c r="M429" i="1" s="1"/>
  <c r="M430" i="1" a="1"/>
  <c r="M430" i="1" s="1"/>
  <c r="G431" i="1" a="1"/>
  <c r="G431" i="1" s="1"/>
  <c r="O431" i="1"/>
  <c r="M431" i="14" s="1"/>
  <c r="L432" i="1" a="1"/>
  <c r="L432" i="1" s="1"/>
  <c r="Q432" i="1" a="1"/>
  <c r="Q432" i="1" s="1"/>
  <c r="S432" i="14" s="1"/>
  <c r="D433" i="1" a="1"/>
  <c r="D433" i="1" s="1"/>
  <c r="I433" i="14" s="1"/>
  <c r="H433" i="1" a="1"/>
  <c r="H433" i="1" s="1"/>
  <c r="J433" i="14" s="1"/>
  <c r="K433" i="1" a="1"/>
  <c r="K433" i="1" s="1"/>
  <c r="P433" i="1" a="1"/>
  <c r="P433" i="1" s="1"/>
  <c r="F434" i="1" a="1"/>
  <c r="F434" i="1" s="1"/>
  <c r="R434" i="14" s="1"/>
  <c r="M434" i="1" a="1"/>
  <c r="M434" i="1" s="1"/>
  <c r="Q435" i="1" a="1"/>
  <c r="Q435" i="1" s="1"/>
  <c r="S435" i="14" s="1"/>
  <c r="D436" i="1" a="1"/>
  <c r="D436" i="1" s="1"/>
  <c r="I436" i="14" s="1"/>
  <c r="K436" i="1" a="1"/>
  <c r="K436" i="1" s="1"/>
  <c r="P436" i="1" a="1"/>
  <c r="P436" i="1" s="1"/>
  <c r="C437" i="1" a="1"/>
  <c r="C437" i="1" s="1"/>
  <c r="E437" i="14" s="1"/>
  <c r="G437" i="1" a="1"/>
  <c r="G437" i="1" s="1"/>
  <c r="K437" i="1" a="1"/>
  <c r="K437" i="1" s="1"/>
  <c r="H438" i="1" a="1"/>
  <c r="H438" i="1" s="1"/>
  <c r="J438" i="14" s="1"/>
  <c r="L438" i="1" a="1"/>
  <c r="L438" i="1" s="1"/>
  <c r="Q438" i="1" a="1"/>
  <c r="Q438" i="1" s="1"/>
  <c r="S438" i="14" s="1"/>
  <c r="D439" i="1" a="1"/>
  <c r="D439" i="1" s="1"/>
  <c r="I439" i="14" s="1"/>
  <c r="H439" i="1" a="1"/>
  <c r="H439" i="1" s="1"/>
  <c r="J439" i="14" s="1"/>
  <c r="L439" i="1" a="1"/>
  <c r="L439" i="1" s="1"/>
  <c r="Q439" i="1" a="1"/>
  <c r="Q439" i="1" s="1"/>
  <c r="S439" i="14" s="1"/>
  <c r="D440" i="1" a="1"/>
  <c r="D440" i="1" s="1"/>
  <c r="I440" i="14" s="1"/>
  <c r="G440" i="1" a="1"/>
  <c r="G440" i="1" s="1"/>
  <c r="K440" i="1" a="1"/>
  <c r="K440" i="1" s="1"/>
  <c r="P440" i="1" a="1"/>
  <c r="P440" i="1" s="1"/>
  <c r="H441" i="1" a="1"/>
  <c r="H441" i="1" s="1"/>
  <c r="J441" i="14" s="1"/>
  <c r="K441" i="1" a="1"/>
  <c r="K441" i="1" s="1"/>
  <c r="P441" i="1" a="1"/>
  <c r="P441" i="1" s="1"/>
  <c r="C442" i="1" a="1"/>
  <c r="C442" i="1" s="1"/>
  <c r="E442" i="14" s="1"/>
  <c r="G442" i="1" a="1"/>
  <c r="G442" i="1" s="1"/>
  <c r="K442" i="1" a="1"/>
  <c r="K442" i="1" s="1"/>
  <c r="P442" i="1" a="1"/>
  <c r="P442" i="1" s="1"/>
  <c r="C443" i="1" a="1"/>
  <c r="C443" i="1" s="1"/>
  <c r="E443" i="14" s="1"/>
  <c r="G443" i="1" a="1"/>
  <c r="G443" i="1" s="1"/>
  <c r="J443" i="1" a="1"/>
  <c r="J443" i="1" s="1"/>
  <c r="O443" i="1"/>
  <c r="M443" i="14" s="1"/>
  <c r="F444" i="1" a="1"/>
  <c r="F444" i="1" s="1"/>
  <c r="R444" i="14" s="1"/>
  <c r="J444" i="1" a="1"/>
  <c r="J444" i="1" s="1"/>
  <c r="O444" i="1"/>
  <c r="M444" i="14" s="1"/>
  <c r="D445" i="1" a="1"/>
  <c r="D445" i="1" s="1"/>
  <c r="I445" i="14" s="1"/>
  <c r="G445" i="1" a="1"/>
  <c r="G445" i="1" s="1"/>
  <c r="K445" i="1" a="1"/>
  <c r="K445" i="1" s="1"/>
  <c r="P445" i="1" a="1"/>
  <c r="P445" i="1" s="1"/>
  <c r="C446" i="1" a="1"/>
  <c r="C446" i="1" s="1"/>
  <c r="E446" i="14" s="1"/>
  <c r="G446" i="1" a="1"/>
  <c r="G446" i="1" s="1"/>
  <c r="K446" i="1" a="1"/>
  <c r="K446" i="1" s="1"/>
  <c r="P446" i="1" a="1"/>
  <c r="P446" i="1" s="1"/>
  <c r="C447" i="1" a="1"/>
  <c r="C447" i="1" s="1"/>
  <c r="E447" i="14" s="1"/>
  <c r="G447" i="1" a="1"/>
  <c r="G447" i="1" s="1"/>
  <c r="K447" i="1" a="1"/>
  <c r="K447" i="1" s="1"/>
  <c r="P447" i="1" a="1"/>
  <c r="P447" i="1" s="1"/>
  <c r="C448" i="1" a="1"/>
  <c r="C448" i="1" s="1"/>
  <c r="E448" i="14" s="1"/>
  <c r="G448" i="1" a="1"/>
  <c r="G448" i="1" s="1"/>
  <c r="K448" i="1" a="1"/>
  <c r="K448" i="1" s="1"/>
  <c r="P448" i="1" a="1"/>
  <c r="P448" i="1" s="1"/>
  <c r="C449" i="1" a="1"/>
  <c r="C449" i="1" s="1"/>
  <c r="E449" i="14" s="1"/>
  <c r="G449" i="1" a="1"/>
  <c r="G449" i="1" s="1"/>
  <c r="K449" i="1" a="1"/>
  <c r="K449" i="1" s="1"/>
  <c r="P449" i="1" a="1"/>
  <c r="P449" i="1" s="1"/>
  <c r="C450" i="1" a="1"/>
  <c r="C450" i="1" s="1"/>
  <c r="E450" i="14" s="1"/>
  <c r="J450" i="1" a="1"/>
  <c r="J450" i="1" s="1"/>
  <c r="M451" i="1" a="1"/>
  <c r="M451" i="1" s="1"/>
  <c r="H452" i="1" a="1"/>
  <c r="H452" i="1" s="1"/>
  <c r="J452" i="14" s="1"/>
  <c r="K452" i="1" a="1"/>
  <c r="K452" i="1" s="1"/>
  <c r="P452" i="1" a="1"/>
  <c r="P452" i="1" s="1"/>
  <c r="C453" i="1" a="1"/>
  <c r="C453" i="1" s="1"/>
  <c r="E453" i="14" s="1"/>
  <c r="G453" i="1" a="1"/>
  <c r="G453" i="1" s="1"/>
  <c r="K453" i="1" a="1"/>
  <c r="K453" i="1" s="1"/>
  <c r="P453" i="1" a="1"/>
  <c r="P453" i="1" s="1"/>
  <c r="C454" i="1" a="1"/>
  <c r="C454" i="1" s="1"/>
  <c r="E454" i="14" s="1"/>
  <c r="G454" i="1" a="1"/>
  <c r="G454" i="1" s="1"/>
  <c r="K454" i="1" a="1"/>
  <c r="K454" i="1" s="1"/>
  <c r="P454" i="1" a="1"/>
  <c r="P454" i="1" s="1"/>
  <c r="C455" i="1" a="1"/>
  <c r="C455" i="1" s="1"/>
  <c r="E455" i="14" s="1"/>
  <c r="F455" i="1" a="1"/>
  <c r="F455" i="1" s="1"/>
  <c r="R455" i="14" s="1"/>
  <c r="J455" i="1" a="1"/>
  <c r="J455" i="1" s="1"/>
  <c r="M455" i="1" a="1"/>
  <c r="M455" i="1" s="1"/>
  <c r="M456" i="1" a="1"/>
  <c r="M456" i="1" s="1"/>
  <c r="M457" i="1" a="1"/>
  <c r="M457" i="1" s="1"/>
  <c r="Q457" i="1" a="1"/>
  <c r="Q457" i="1" s="1"/>
  <c r="S457" i="14" s="1"/>
  <c r="D458" i="1" a="1"/>
  <c r="D458" i="1" s="1"/>
  <c r="I458" i="14" s="1"/>
  <c r="H458" i="1" a="1"/>
  <c r="H458" i="1" s="1"/>
  <c r="J458" i="14" s="1"/>
  <c r="L458" i="1" a="1"/>
  <c r="L458" i="1" s="1"/>
  <c r="Q458" i="1" a="1"/>
  <c r="Q458" i="1" s="1"/>
  <c r="S458" i="14" s="1"/>
  <c r="D459" i="1" a="1"/>
  <c r="D459" i="1" s="1"/>
  <c r="I459" i="14" s="1"/>
  <c r="H459" i="1" a="1"/>
  <c r="H459" i="1" s="1"/>
  <c r="J459" i="14" s="1"/>
  <c r="L459" i="1" a="1"/>
  <c r="L459" i="1" s="1"/>
  <c r="Q459" i="1" a="1"/>
  <c r="Q459" i="1" s="1"/>
  <c r="S459" i="14" s="1"/>
  <c r="D460" i="1" a="1"/>
  <c r="D460" i="1" s="1"/>
  <c r="I460" i="14" s="1"/>
  <c r="H460" i="1" a="1"/>
  <c r="H460" i="1" s="1"/>
  <c r="J460" i="14" s="1"/>
  <c r="L460" i="1" a="1"/>
  <c r="L460" i="1" s="1"/>
  <c r="Q460" i="1" a="1"/>
  <c r="Q460" i="1" s="1"/>
  <c r="S460" i="14" s="1"/>
  <c r="D461" i="1" a="1"/>
  <c r="D461" i="1" s="1"/>
  <c r="I461" i="14" s="1"/>
  <c r="H461" i="1" a="1"/>
  <c r="H461" i="1" s="1"/>
  <c r="J461" i="14" s="1"/>
  <c r="L461" i="1" a="1"/>
  <c r="L461" i="1" s="1"/>
  <c r="Q461" i="1" a="1"/>
  <c r="Q461" i="1" s="1"/>
  <c r="S461" i="14" s="1"/>
  <c r="C462" i="1" a="1"/>
  <c r="C462" i="1" s="1"/>
  <c r="E462" i="14" s="1"/>
  <c r="G462" i="1" a="1"/>
  <c r="G462" i="1" s="1"/>
  <c r="K462" i="1" a="1"/>
  <c r="K462" i="1" s="1"/>
  <c r="P462" i="1" a="1"/>
  <c r="P462" i="1" s="1"/>
  <c r="C463" i="1" a="1"/>
  <c r="C463" i="1" s="1"/>
  <c r="E463" i="14" s="1"/>
  <c r="J463" i="1" a="1"/>
  <c r="J463" i="1" s="1"/>
  <c r="O463" i="1"/>
  <c r="M463" i="14" s="1"/>
  <c r="F464" i="1" a="1"/>
  <c r="F464" i="1" s="1"/>
  <c r="R464" i="14" s="1"/>
  <c r="J464" i="1" a="1"/>
  <c r="J464" i="1" s="1"/>
  <c r="O464" i="1"/>
  <c r="M464" i="14" s="1"/>
  <c r="F465" i="1" a="1"/>
  <c r="F465" i="1" s="1"/>
  <c r="R465" i="14" s="1"/>
  <c r="J465" i="1" a="1"/>
  <c r="J465" i="1" s="1"/>
  <c r="O465" i="1"/>
  <c r="M465" i="14" s="1"/>
  <c r="F466" i="1" a="1"/>
  <c r="F466" i="1" s="1"/>
  <c r="R466" i="14" s="1"/>
  <c r="J466" i="1" a="1"/>
  <c r="J466" i="1" s="1"/>
  <c r="O466" i="1"/>
  <c r="M466" i="14" s="1"/>
  <c r="F467" i="1" a="1"/>
  <c r="F467" i="1" s="1"/>
  <c r="R467" i="14" s="1"/>
  <c r="J467" i="1" a="1"/>
  <c r="J467" i="1" s="1"/>
  <c r="O467" i="1"/>
  <c r="M467" i="14" s="1"/>
  <c r="F468" i="1" a="1"/>
  <c r="F468" i="1" s="1"/>
  <c r="R468" i="14" s="1"/>
  <c r="J468" i="1" a="1"/>
  <c r="J468" i="1" s="1"/>
  <c r="H469" i="1" a="1"/>
  <c r="H469" i="1" s="1"/>
  <c r="J469" i="14" s="1"/>
  <c r="L469" i="1" a="1"/>
  <c r="L469" i="1" s="1"/>
  <c r="Q469" i="1" a="1"/>
  <c r="Q469" i="1" s="1"/>
  <c r="S469" i="14" s="1"/>
  <c r="D470" i="1" a="1"/>
  <c r="D470" i="1" s="1"/>
  <c r="I470" i="14" s="1"/>
  <c r="H470" i="1" a="1"/>
  <c r="H470" i="1" s="1"/>
  <c r="J470" i="14" s="1"/>
  <c r="L470" i="1" a="1"/>
  <c r="L470" i="1" s="1"/>
  <c r="Q470" i="1" a="1"/>
  <c r="Q470" i="1" s="1"/>
  <c r="S470" i="14" s="1"/>
  <c r="D471" i="1" a="1"/>
  <c r="D471" i="1" s="1"/>
  <c r="I471" i="14" s="1"/>
  <c r="H471" i="1" a="1"/>
  <c r="H471" i="1" s="1"/>
  <c r="J471" i="14" s="1"/>
  <c r="L471" i="1" a="1"/>
  <c r="L471" i="1" s="1"/>
  <c r="Q471" i="1" a="1"/>
  <c r="Q471" i="1" s="1"/>
  <c r="S471" i="14" s="1"/>
  <c r="D472" i="1" a="1"/>
  <c r="D472" i="1" s="1"/>
  <c r="I472" i="14" s="1"/>
  <c r="H472" i="1" a="1"/>
  <c r="H472" i="1" s="1"/>
  <c r="J472" i="14" s="1"/>
  <c r="L472" i="1" a="1"/>
  <c r="L472" i="1" s="1"/>
  <c r="Q472" i="1" a="1"/>
  <c r="Q472" i="1" s="1"/>
  <c r="S472" i="14" s="1"/>
  <c r="D473" i="1" a="1"/>
  <c r="D473" i="1" s="1"/>
  <c r="I473" i="14" s="1"/>
  <c r="H473" i="1" a="1"/>
  <c r="H473" i="1" s="1"/>
  <c r="J473" i="14" s="1"/>
  <c r="L473" i="1" a="1"/>
  <c r="L473" i="1" s="1"/>
  <c r="Q473" i="1" a="1"/>
  <c r="Q473" i="1" s="1"/>
  <c r="S473" i="14" s="1"/>
  <c r="D474" i="1" a="1"/>
  <c r="D474" i="1" s="1"/>
  <c r="I474" i="14" s="1"/>
  <c r="H474" i="1" a="1"/>
  <c r="H474" i="1" s="1"/>
  <c r="J474" i="14" s="1"/>
  <c r="L474" i="1" a="1"/>
  <c r="L474" i="1" s="1"/>
  <c r="Q474" i="1" a="1"/>
  <c r="Q474" i="1" s="1"/>
  <c r="S474" i="14" s="1"/>
  <c r="D475" i="1" a="1"/>
  <c r="D475" i="1" s="1"/>
  <c r="I475" i="14" s="1"/>
  <c r="H475" i="1" a="1"/>
  <c r="H475" i="1" s="1"/>
  <c r="J475" i="14" s="1"/>
  <c r="L475" i="1" a="1"/>
  <c r="L475" i="1" s="1"/>
  <c r="Q475" i="1" a="1"/>
  <c r="Q475" i="1" s="1"/>
  <c r="S475" i="14" s="1"/>
  <c r="D476" i="1" a="1"/>
  <c r="D476" i="1" s="1"/>
  <c r="I476" i="14" s="1"/>
  <c r="H476" i="1" a="1"/>
  <c r="H476" i="1" s="1"/>
  <c r="J476" i="14" s="1"/>
  <c r="L476" i="1" a="1"/>
  <c r="L476" i="1" s="1"/>
  <c r="Q476" i="1" a="1"/>
  <c r="Q476" i="1" s="1"/>
  <c r="S476" i="14" s="1"/>
  <c r="D477" i="1" a="1"/>
  <c r="D477" i="1" s="1"/>
  <c r="I477" i="14" s="1"/>
  <c r="O477" i="1"/>
  <c r="M477" i="14" s="1"/>
  <c r="F478" i="1" a="1"/>
  <c r="F478" i="1" s="1"/>
  <c r="R478" i="14" s="1"/>
  <c r="J478" i="1" a="1"/>
  <c r="J478" i="1" s="1"/>
  <c r="M478" i="1" a="1"/>
  <c r="M478" i="1" s="1"/>
  <c r="M479" i="1" a="1"/>
  <c r="M479" i="1" s="1"/>
  <c r="H480" i="1" a="1"/>
  <c r="H480" i="1" s="1"/>
  <c r="J480" i="14" s="1"/>
  <c r="P480" i="1" a="1"/>
  <c r="P480" i="1" s="1"/>
  <c r="C481" i="1" a="1"/>
  <c r="C481" i="1" s="1"/>
  <c r="E481" i="14" s="1"/>
  <c r="G481" i="1" a="1"/>
  <c r="G481" i="1" s="1"/>
  <c r="J481" i="1" a="1"/>
  <c r="J481" i="1" s="1"/>
  <c r="M481" i="1" a="1"/>
  <c r="M481" i="1" s="1"/>
  <c r="J482" i="1" a="1"/>
  <c r="J482" i="1" s="1"/>
  <c r="O482" i="1"/>
  <c r="M482" i="14" s="1"/>
  <c r="F483" i="1" a="1"/>
  <c r="F483" i="1" s="1"/>
  <c r="R483" i="14" s="1"/>
  <c r="L483" i="1" a="1"/>
  <c r="L483" i="1" s="1"/>
  <c r="Q483" i="1" a="1"/>
  <c r="Q483" i="1" s="1"/>
  <c r="S483" i="14" s="1"/>
  <c r="D484" i="1" a="1"/>
  <c r="D484" i="1" s="1"/>
  <c r="I484" i="14" s="1"/>
  <c r="H484" i="1" a="1"/>
  <c r="H484" i="1" s="1"/>
  <c r="J484" i="14" s="1"/>
  <c r="P484" i="1" a="1"/>
  <c r="P484" i="1" s="1"/>
  <c r="C485" i="1" a="1"/>
  <c r="C485" i="1" s="1"/>
  <c r="E485" i="14" s="1"/>
  <c r="G485" i="1" a="1"/>
  <c r="G485" i="1" s="1"/>
  <c r="J485" i="1" a="1"/>
  <c r="J485" i="1" s="1"/>
  <c r="M485" i="1" a="1"/>
  <c r="M485" i="1" s="1"/>
  <c r="M486" i="1" a="1"/>
  <c r="M486" i="1" s="1"/>
  <c r="J379" i="1" a="1"/>
  <c r="J379" i="1" s="1"/>
  <c r="O380" i="1"/>
  <c r="M380" i="14" s="1"/>
  <c r="F381" i="1" a="1"/>
  <c r="F381" i="1" s="1"/>
  <c r="R381" i="14" s="1"/>
  <c r="J383" i="1" a="1"/>
  <c r="J383" i="1" s="1"/>
  <c r="Q384" i="1" a="1"/>
  <c r="Q384" i="1" s="1"/>
  <c r="S384" i="14" s="1"/>
  <c r="M385" i="1" a="1"/>
  <c r="M385" i="1" s="1"/>
  <c r="G386" i="1" a="1"/>
  <c r="G386" i="1" s="1"/>
  <c r="L386" i="1" a="1"/>
  <c r="L386" i="1" s="1"/>
  <c r="Q387" i="1" a="1"/>
  <c r="Q387" i="1" s="1"/>
  <c r="S387" i="14" s="1"/>
  <c r="C388" i="1" a="1"/>
  <c r="C388" i="1" s="1"/>
  <c r="E388" i="14" s="1"/>
  <c r="H388" i="1" a="1"/>
  <c r="H388" i="1" s="1"/>
  <c r="J388" i="14" s="1"/>
  <c r="O388" i="1"/>
  <c r="M388" i="14" s="1"/>
  <c r="C389" i="1" a="1"/>
  <c r="C389" i="1" s="1"/>
  <c r="E389" i="14" s="1"/>
  <c r="F390" i="1" a="1"/>
  <c r="F390" i="1" s="1"/>
  <c r="R390" i="14" s="1"/>
  <c r="K390" i="1" a="1"/>
  <c r="K390" i="1" s="1"/>
  <c r="D391" i="1" a="1"/>
  <c r="D391" i="1" s="1"/>
  <c r="I391" i="14" s="1"/>
  <c r="O391" i="1"/>
  <c r="M391" i="14" s="1"/>
  <c r="G392" i="1" a="1"/>
  <c r="G392" i="1" s="1"/>
  <c r="L392" i="1" a="1"/>
  <c r="L392" i="1" s="1"/>
  <c r="Q392" i="1" a="1"/>
  <c r="Q392" i="1" s="1"/>
  <c r="S392" i="14" s="1"/>
  <c r="D393" i="1" a="1"/>
  <c r="D393" i="1" s="1"/>
  <c r="I393" i="14" s="1"/>
  <c r="P393" i="1" a="1"/>
  <c r="P393" i="1" s="1"/>
  <c r="C394" i="1" a="1"/>
  <c r="C394" i="1" s="1"/>
  <c r="E394" i="14" s="1"/>
  <c r="K394" i="1" a="1"/>
  <c r="K394" i="1" s="1"/>
  <c r="Q394" i="1" a="1"/>
  <c r="Q394" i="1" s="1"/>
  <c r="S394" i="14" s="1"/>
  <c r="D395" i="1" a="1"/>
  <c r="D395" i="1" s="1"/>
  <c r="I395" i="14" s="1"/>
  <c r="H395" i="1" a="1"/>
  <c r="H395" i="1" s="1"/>
  <c r="J395" i="14" s="1"/>
  <c r="L395" i="1" a="1"/>
  <c r="L395" i="1" s="1"/>
  <c r="O396" i="1"/>
  <c r="M396" i="14" s="1"/>
  <c r="F397" i="1" a="1"/>
  <c r="F397" i="1" s="1"/>
  <c r="R397" i="14" s="1"/>
  <c r="K397" i="1" a="1"/>
  <c r="K397" i="1" s="1"/>
  <c r="Q397" i="1" a="1"/>
  <c r="Q397" i="1" s="1"/>
  <c r="S397" i="14" s="1"/>
  <c r="J398" i="1" a="1"/>
  <c r="J398" i="1" s="1"/>
  <c r="Q398" i="1" a="1"/>
  <c r="Q398" i="1" s="1"/>
  <c r="S398" i="14" s="1"/>
  <c r="J399" i="1" a="1"/>
  <c r="J399" i="1" s="1"/>
  <c r="Q399" i="1" a="1"/>
  <c r="Q399" i="1" s="1"/>
  <c r="S399" i="14" s="1"/>
  <c r="L400" i="1" a="1"/>
  <c r="L400" i="1" s="1"/>
  <c r="J401" i="1" a="1"/>
  <c r="J401" i="1" s="1"/>
  <c r="Q401" i="1" a="1"/>
  <c r="Q401" i="1" s="1"/>
  <c r="S401" i="14" s="1"/>
  <c r="J402" i="1" a="1"/>
  <c r="J402" i="1" s="1"/>
  <c r="C403" i="1" a="1"/>
  <c r="C403" i="1" s="1"/>
  <c r="E403" i="14" s="1"/>
  <c r="H403" i="1" a="1"/>
  <c r="H403" i="1" s="1"/>
  <c r="J403" i="14" s="1"/>
  <c r="M403" i="1" a="1"/>
  <c r="M403" i="1" s="1"/>
  <c r="G404" i="1" a="1"/>
  <c r="G404" i="1" s="1"/>
  <c r="L404" i="1" a="1"/>
  <c r="L404" i="1" s="1"/>
  <c r="D405" i="1" a="1"/>
  <c r="D405" i="1" s="1"/>
  <c r="I405" i="14" s="1"/>
  <c r="H405" i="1" a="1"/>
  <c r="H405" i="1" s="1"/>
  <c r="J405" i="14" s="1"/>
  <c r="K405" i="1" a="1"/>
  <c r="K405" i="1" s="1"/>
  <c r="F406" i="1" a="1"/>
  <c r="F406" i="1" s="1"/>
  <c r="R406" i="14" s="1"/>
  <c r="K406" i="1" a="1"/>
  <c r="K406" i="1" s="1"/>
  <c r="D407" i="1" a="1"/>
  <c r="D407" i="1" s="1"/>
  <c r="I407" i="14" s="1"/>
  <c r="O407" i="1"/>
  <c r="M407" i="14" s="1"/>
  <c r="F408" i="1" a="1"/>
  <c r="F408" i="1" s="1"/>
  <c r="R408" i="14" s="1"/>
  <c r="J408" i="1" a="1"/>
  <c r="J408" i="1" s="1"/>
  <c r="P408" i="1" a="1"/>
  <c r="P408" i="1" s="1"/>
  <c r="C409" i="1" a="1"/>
  <c r="C409" i="1" s="1"/>
  <c r="E409" i="14" s="1"/>
  <c r="H409" i="1" a="1"/>
  <c r="H409" i="1" s="1"/>
  <c r="J409" i="14" s="1"/>
  <c r="L409" i="1" a="1"/>
  <c r="L409" i="1" s="1"/>
  <c r="K410" i="1" a="1"/>
  <c r="K410" i="1" s="1"/>
  <c r="P410" i="1" a="1"/>
  <c r="P410" i="1" s="1"/>
  <c r="C411" i="1" a="1"/>
  <c r="C411" i="1" s="1"/>
  <c r="E411" i="14" s="1"/>
  <c r="G411" i="1" a="1"/>
  <c r="G411" i="1" s="1"/>
  <c r="O411" i="1"/>
  <c r="M411" i="14" s="1"/>
  <c r="F412" i="1" a="1"/>
  <c r="F412" i="1" s="1"/>
  <c r="R412" i="14" s="1"/>
  <c r="J412" i="1" a="1"/>
  <c r="J412" i="1" s="1"/>
  <c r="O412" i="1"/>
  <c r="M412" i="14" s="1"/>
  <c r="F413" i="1" a="1"/>
  <c r="F413" i="1" s="1"/>
  <c r="R413" i="14" s="1"/>
  <c r="J413" i="1" a="1"/>
  <c r="J413" i="1" s="1"/>
  <c r="M413" i="1" a="1"/>
  <c r="M413" i="1" s="1"/>
  <c r="H414" i="1" a="1"/>
  <c r="H414" i="1" s="1"/>
  <c r="J414" i="14" s="1"/>
  <c r="L414" i="1" a="1"/>
  <c r="L414" i="1" s="1"/>
  <c r="Q414" i="1" a="1"/>
  <c r="Q414" i="1" s="1"/>
  <c r="S414" i="14" s="1"/>
  <c r="D415" i="1" a="1"/>
  <c r="D415" i="1" s="1"/>
  <c r="I415" i="14" s="1"/>
  <c r="G415" i="1" a="1"/>
  <c r="G415" i="1" s="1"/>
  <c r="O415" i="1"/>
  <c r="M415" i="14" s="1"/>
  <c r="F416" i="1" a="1"/>
  <c r="F416" i="1" s="1"/>
  <c r="R416" i="14" s="1"/>
  <c r="J416" i="1" a="1"/>
  <c r="J416" i="1" s="1"/>
  <c r="O416" i="1"/>
  <c r="M416" i="14" s="1"/>
  <c r="F417" i="1" a="1"/>
  <c r="F417" i="1" s="1"/>
  <c r="R417" i="14" s="1"/>
  <c r="J417" i="1" a="1"/>
  <c r="J417" i="1" s="1"/>
  <c r="O417" i="1"/>
  <c r="M417" i="14" s="1"/>
  <c r="F418" i="1" a="1"/>
  <c r="F418" i="1" s="1"/>
  <c r="R418" i="14" s="1"/>
  <c r="J418" i="1" a="1"/>
  <c r="J418" i="1" s="1"/>
  <c r="O418" i="1"/>
  <c r="M418" i="14" s="1"/>
  <c r="M419" i="1" a="1"/>
  <c r="M419" i="1" s="1"/>
  <c r="D420" i="1" a="1"/>
  <c r="D420" i="1" s="1"/>
  <c r="I420" i="14" s="1"/>
  <c r="H420" i="1" a="1"/>
  <c r="H420" i="1" s="1"/>
  <c r="J420" i="14" s="1"/>
  <c r="L420" i="1" a="1"/>
  <c r="L420" i="1" s="1"/>
  <c r="Q420" i="1" a="1"/>
  <c r="Q420" i="1" s="1"/>
  <c r="S420" i="14" s="1"/>
  <c r="D421" i="1" a="1"/>
  <c r="D421" i="1" s="1"/>
  <c r="I421" i="14" s="1"/>
  <c r="H421" i="1" a="1"/>
  <c r="H421" i="1" s="1"/>
  <c r="J421" i="14" s="1"/>
  <c r="K421" i="1" a="1"/>
  <c r="K421" i="1" s="1"/>
  <c r="O421" i="1"/>
  <c r="M421" i="14" s="1"/>
  <c r="F422" i="1" a="1"/>
  <c r="F422" i="1" s="1"/>
  <c r="R422" i="14" s="1"/>
  <c r="M422" i="1" a="1"/>
  <c r="M422" i="1" s="1"/>
  <c r="M423" i="1" a="1"/>
  <c r="M423" i="1" s="1"/>
  <c r="M424" i="1" a="1"/>
  <c r="M424" i="1" s="1"/>
  <c r="M425" i="1" a="1"/>
  <c r="M425" i="1" s="1"/>
  <c r="Q425" i="1" a="1"/>
  <c r="Q425" i="1" s="1"/>
  <c r="S425" i="14" s="1"/>
  <c r="D426" i="1" a="1"/>
  <c r="D426" i="1" s="1"/>
  <c r="I426" i="14" s="1"/>
  <c r="G426" i="1" a="1"/>
  <c r="G426" i="1" s="1"/>
  <c r="K426" i="1" a="1"/>
  <c r="K426" i="1" s="1"/>
  <c r="P426" i="1" a="1"/>
  <c r="P426" i="1" s="1"/>
  <c r="C427" i="1" a="1"/>
  <c r="C427" i="1" s="1"/>
  <c r="E427" i="14" s="1"/>
  <c r="G427" i="1" a="1"/>
  <c r="G427" i="1" s="1"/>
  <c r="K427" i="1" a="1"/>
  <c r="K427" i="1" s="1"/>
  <c r="O427" i="1"/>
  <c r="M427" i="14" s="1"/>
  <c r="F428" i="1" a="1"/>
  <c r="F428" i="1" s="1"/>
  <c r="R428" i="14" s="1"/>
  <c r="L428" i="1" a="1"/>
  <c r="L428" i="1" s="1"/>
  <c r="Q428" i="1" a="1"/>
  <c r="Q428" i="1" s="1"/>
  <c r="S428" i="14" s="1"/>
  <c r="C429" i="1" a="1"/>
  <c r="C429" i="1" s="1"/>
  <c r="E429" i="14" s="1"/>
  <c r="F429" i="1" a="1"/>
  <c r="F429" i="1" s="1"/>
  <c r="R429" i="14" s="1"/>
  <c r="J429" i="1" a="1"/>
  <c r="J429" i="1" s="1"/>
  <c r="O429" i="1"/>
  <c r="M429" i="14" s="1"/>
  <c r="F430" i="1" a="1"/>
  <c r="F430" i="1" s="1"/>
  <c r="R430" i="14" s="1"/>
  <c r="J430" i="1" a="1"/>
  <c r="J430" i="1" s="1"/>
  <c r="O430" i="1"/>
  <c r="M430" i="14" s="1"/>
  <c r="D431" i="1" a="1"/>
  <c r="D431" i="1" s="1"/>
  <c r="I431" i="14" s="1"/>
  <c r="H431" i="1" a="1"/>
  <c r="H431" i="1" s="1"/>
  <c r="J431" i="14" s="1"/>
  <c r="K431" i="1" a="1"/>
  <c r="K431" i="1" s="1"/>
  <c r="P431" i="1" a="1"/>
  <c r="P431" i="1" s="1"/>
  <c r="F432" i="1" a="1"/>
  <c r="F432" i="1" s="1"/>
  <c r="R432" i="14" s="1"/>
  <c r="M432" i="1" a="1"/>
  <c r="M432" i="1" s="1"/>
  <c r="L433" i="1" a="1"/>
  <c r="L433" i="1" s="1"/>
  <c r="C434" i="1" a="1"/>
  <c r="C434" i="1" s="1"/>
  <c r="E434" i="14" s="1"/>
  <c r="J434" i="1" a="1"/>
  <c r="J434" i="1" s="1"/>
  <c r="O434" i="1"/>
  <c r="M434" i="14" s="1"/>
  <c r="F435" i="1" a="1"/>
  <c r="F435" i="1" s="1"/>
  <c r="R435" i="14" s="1"/>
  <c r="J435" i="1" a="1"/>
  <c r="J435" i="1" s="1"/>
  <c r="M435" i="1" a="1"/>
  <c r="M435" i="1" s="1"/>
  <c r="H436" i="1" a="1"/>
  <c r="H436" i="1" s="1"/>
  <c r="J436" i="14" s="1"/>
  <c r="L436" i="1" a="1"/>
  <c r="L436" i="1" s="1"/>
  <c r="Q436" i="1" a="1"/>
  <c r="Q436" i="1" s="1"/>
  <c r="S436" i="14" s="1"/>
  <c r="D437" i="1" a="1"/>
  <c r="D437" i="1" s="1"/>
  <c r="I437" i="14" s="1"/>
  <c r="H437" i="1" a="1"/>
  <c r="H437" i="1" s="1"/>
  <c r="J437" i="14" s="1"/>
  <c r="O437" i="1"/>
  <c r="M437" i="14" s="1"/>
  <c r="F438" i="1" a="1"/>
  <c r="F438" i="1" s="1"/>
  <c r="R438" i="14" s="1"/>
  <c r="M438" i="1" a="1"/>
  <c r="M438" i="1" s="1"/>
  <c r="M439" i="1" a="1"/>
  <c r="M439" i="1" s="1"/>
  <c r="H440" i="1" a="1"/>
  <c r="H440" i="1" s="1"/>
  <c r="J440" i="14" s="1"/>
  <c r="L440" i="1" a="1"/>
  <c r="L440" i="1" s="1"/>
  <c r="Q440" i="1" a="1"/>
  <c r="Q440" i="1" s="1"/>
  <c r="S440" i="14" s="1"/>
  <c r="C441" i="1" a="1"/>
  <c r="C441" i="1" s="1"/>
  <c r="E441" i="14" s="1"/>
  <c r="F441" i="1" a="1"/>
  <c r="F441" i="1" s="1"/>
  <c r="R441" i="14" s="1"/>
  <c r="L441" i="1" a="1"/>
  <c r="L441" i="1" s="1"/>
  <c r="Q441" i="1" a="1"/>
  <c r="Q441" i="1" s="1"/>
  <c r="S441" i="14" s="1"/>
  <c r="D442" i="1" a="1"/>
  <c r="D442" i="1" s="1"/>
  <c r="I442" i="14" s="1"/>
  <c r="H442" i="1" a="1"/>
  <c r="H442" i="1" s="1"/>
  <c r="J442" i="14" s="1"/>
  <c r="L442" i="1" a="1"/>
  <c r="L442" i="1" s="1"/>
  <c r="Q442" i="1" a="1"/>
  <c r="Q442" i="1" s="1"/>
  <c r="S442" i="14" s="1"/>
  <c r="D443" i="1" a="1"/>
  <c r="D443" i="1" s="1"/>
  <c r="I443" i="14" s="1"/>
  <c r="K443" i="1" a="1"/>
  <c r="K443" i="1" s="1"/>
  <c r="P443" i="1" a="1"/>
  <c r="P443" i="1" s="1"/>
  <c r="C444" i="1" a="1"/>
  <c r="C444" i="1" s="1"/>
  <c r="E444" i="14" s="1"/>
  <c r="G444" i="1" a="1"/>
  <c r="G444" i="1" s="1"/>
  <c r="K444" i="1" a="1"/>
  <c r="K444" i="1" s="1"/>
  <c r="P444" i="1" a="1"/>
  <c r="P444" i="1" s="1"/>
  <c r="H445" i="1" a="1"/>
  <c r="H445" i="1" s="1"/>
  <c r="J445" i="14" s="1"/>
  <c r="L445" i="1" a="1"/>
  <c r="L445" i="1" s="1"/>
  <c r="Q445" i="1" a="1"/>
  <c r="Q445" i="1" s="1"/>
  <c r="S445" i="14" s="1"/>
  <c r="D446" i="1" a="1"/>
  <c r="D446" i="1" s="1"/>
  <c r="I446" i="14" s="1"/>
  <c r="H446" i="1" a="1"/>
  <c r="H446" i="1" s="1"/>
  <c r="J446" i="14" s="1"/>
  <c r="L446" i="1" a="1"/>
  <c r="L446" i="1" s="1"/>
  <c r="Q446" i="1" a="1"/>
  <c r="Q446" i="1" s="1"/>
  <c r="S446" i="14" s="1"/>
  <c r="D447" i="1" a="1"/>
  <c r="D447" i="1" s="1"/>
  <c r="I447" i="14" s="1"/>
  <c r="H447" i="1" a="1"/>
  <c r="H447" i="1" s="1"/>
  <c r="J447" i="14" s="1"/>
  <c r="L447" i="1" a="1"/>
  <c r="L447" i="1" s="1"/>
  <c r="Q447" i="1" a="1"/>
  <c r="Q447" i="1" s="1"/>
  <c r="S447" i="14" s="1"/>
  <c r="D448" i="1" a="1"/>
  <c r="D448" i="1" s="1"/>
  <c r="I448" i="14" s="1"/>
  <c r="H448" i="1" a="1"/>
  <c r="H448" i="1" s="1"/>
  <c r="J448" i="14" s="1"/>
  <c r="L448" i="1" a="1"/>
  <c r="L448" i="1" s="1"/>
  <c r="Q448" i="1" a="1"/>
  <c r="Q448" i="1" s="1"/>
  <c r="S448" i="14" s="1"/>
  <c r="D449" i="1" a="1"/>
  <c r="D449" i="1" s="1"/>
  <c r="I449" i="14" s="1"/>
  <c r="H449" i="1" a="1"/>
  <c r="H449" i="1" s="1"/>
  <c r="J449" i="14" s="1"/>
  <c r="L449" i="1" a="1"/>
  <c r="L449" i="1" s="1"/>
  <c r="Q449" i="1" a="1"/>
  <c r="Q449" i="1" s="1"/>
  <c r="S449" i="14" s="1"/>
  <c r="D450" i="1" a="1"/>
  <c r="D450" i="1" s="1"/>
  <c r="I450" i="14" s="1"/>
  <c r="G450" i="1" a="1"/>
  <c r="G450" i="1" s="1"/>
  <c r="K450" i="1" a="1"/>
  <c r="K450" i="1" s="1"/>
  <c r="O450" i="1"/>
  <c r="M450" i="14" s="1"/>
  <c r="F451" i="1" a="1"/>
  <c r="F451" i="1" s="1"/>
  <c r="R451" i="14" s="1"/>
  <c r="J451" i="1" a="1"/>
  <c r="J451" i="1" s="1"/>
  <c r="O451" i="1"/>
  <c r="M451" i="14" s="1"/>
  <c r="F452" i="1" a="1"/>
  <c r="F452" i="1" s="1"/>
  <c r="R452" i="14" s="1"/>
  <c r="L452" i="1" a="1"/>
  <c r="L452" i="1" s="1"/>
  <c r="Q452" i="1" a="1"/>
  <c r="Q452" i="1" s="1"/>
  <c r="S452" i="14" s="1"/>
  <c r="D453" i="1" a="1"/>
  <c r="D453" i="1" s="1"/>
  <c r="I453" i="14" s="1"/>
  <c r="H453" i="1" a="1"/>
  <c r="H453" i="1" s="1"/>
  <c r="J453" i="14" s="1"/>
  <c r="L453" i="1" a="1"/>
  <c r="L453" i="1" s="1"/>
  <c r="Q453" i="1" a="1"/>
  <c r="Q453" i="1" s="1"/>
  <c r="S453" i="14" s="1"/>
  <c r="D454" i="1" a="1"/>
  <c r="D454" i="1" s="1"/>
  <c r="I454" i="14" s="1"/>
  <c r="H454" i="1" a="1"/>
  <c r="H454" i="1" s="1"/>
  <c r="J454" i="14" s="1"/>
  <c r="L454" i="1" a="1"/>
  <c r="L454" i="1" s="1"/>
  <c r="Q454" i="1" a="1"/>
  <c r="Q454" i="1" s="1"/>
  <c r="S454" i="14" s="1"/>
  <c r="D455" i="1" a="1"/>
  <c r="D455" i="1" s="1"/>
  <c r="I455" i="14" s="1"/>
  <c r="G455" i="1" a="1"/>
  <c r="G455" i="1" s="1"/>
  <c r="K455" i="1" a="1"/>
  <c r="K455" i="1" s="1"/>
  <c r="O455" i="1"/>
  <c r="M455" i="14" s="1"/>
  <c r="F456" i="1" a="1"/>
  <c r="F456" i="1" s="1"/>
  <c r="R456" i="14" s="1"/>
  <c r="J456" i="1" a="1"/>
  <c r="J456" i="1" s="1"/>
  <c r="O456" i="1"/>
  <c r="M456" i="14" s="1"/>
  <c r="F457" i="1" a="1"/>
  <c r="F457" i="1" s="1"/>
  <c r="R457" i="14" s="1"/>
  <c r="J457" i="1" a="1"/>
  <c r="J457" i="1" s="1"/>
  <c r="O457" i="1"/>
  <c r="M457" i="14" s="1"/>
  <c r="M458" i="1" a="1"/>
  <c r="M458" i="1" s="1"/>
  <c r="M459" i="1" a="1"/>
  <c r="M459" i="1" s="1"/>
  <c r="M460" i="1" a="1"/>
  <c r="M460" i="1" s="1"/>
  <c r="M461" i="1" a="1"/>
  <c r="M461" i="1" s="1"/>
  <c r="D462" i="1" a="1"/>
  <c r="D462" i="1" s="1"/>
  <c r="I462" i="14" s="1"/>
  <c r="H462" i="1" a="1"/>
  <c r="H462" i="1" s="1"/>
  <c r="J462" i="14" s="1"/>
  <c r="L462" i="1" a="1"/>
  <c r="L462" i="1" s="1"/>
  <c r="Q462" i="1" a="1"/>
  <c r="Q462" i="1" s="1"/>
  <c r="S462" i="14" s="1"/>
  <c r="D463" i="1" a="1"/>
  <c r="D463" i="1" s="1"/>
  <c r="I463" i="14" s="1"/>
  <c r="G463" i="1" a="1"/>
  <c r="G463" i="1" s="1"/>
  <c r="K463" i="1" a="1"/>
  <c r="K463" i="1" s="1"/>
  <c r="P463" i="1" a="1"/>
  <c r="P463" i="1" s="1"/>
  <c r="C464" i="1" a="1"/>
  <c r="C464" i="1" s="1"/>
  <c r="E464" i="14" s="1"/>
  <c r="G464" i="1" a="1"/>
  <c r="G464" i="1" s="1"/>
  <c r="K464" i="1" a="1"/>
  <c r="K464" i="1" s="1"/>
  <c r="P464" i="1" a="1"/>
  <c r="P464" i="1" s="1"/>
  <c r="C465" i="1" a="1"/>
  <c r="C465" i="1" s="1"/>
  <c r="E465" i="14" s="1"/>
  <c r="G465" i="1" a="1"/>
  <c r="G465" i="1" s="1"/>
  <c r="K465" i="1" a="1"/>
  <c r="K465" i="1" s="1"/>
  <c r="P465" i="1" a="1"/>
  <c r="P465" i="1" s="1"/>
  <c r="C466" i="1" a="1"/>
  <c r="C466" i="1" s="1"/>
  <c r="E466" i="14" s="1"/>
  <c r="G466" i="1" a="1"/>
  <c r="G466" i="1" s="1"/>
  <c r="K466" i="1" a="1"/>
  <c r="K466" i="1" s="1"/>
  <c r="P466" i="1" a="1"/>
  <c r="P466" i="1" s="1"/>
  <c r="C467" i="1" a="1"/>
  <c r="C467" i="1" s="1"/>
  <c r="E467" i="14" s="1"/>
  <c r="G467" i="1" a="1"/>
  <c r="G467" i="1" s="1"/>
  <c r="K467" i="1" a="1"/>
  <c r="K467" i="1" s="1"/>
  <c r="P467" i="1" a="1"/>
  <c r="P467" i="1" s="1"/>
  <c r="C468" i="1" a="1"/>
  <c r="C468" i="1" s="1"/>
  <c r="E468" i="14" s="1"/>
  <c r="G468" i="1" a="1"/>
  <c r="G468" i="1" s="1"/>
  <c r="K468" i="1" a="1"/>
  <c r="K468" i="1" s="1"/>
  <c r="O468" i="1"/>
  <c r="M468" i="14" s="1"/>
  <c r="F469" i="1" a="1"/>
  <c r="F469" i="1" s="1"/>
  <c r="R469" i="14" s="1"/>
  <c r="M469" i="1" a="1"/>
  <c r="M469" i="1" s="1"/>
  <c r="M470" i="1" a="1"/>
  <c r="M470" i="1" s="1"/>
  <c r="M471" i="1" a="1"/>
  <c r="M471" i="1" s="1"/>
  <c r="M472" i="1" a="1"/>
  <c r="M472" i="1" s="1"/>
  <c r="M473" i="1" a="1"/>
  <c r="M473" i="1" s="1"/>
  <c r="M474" i="1" a="1"/>
  <c r="M474" i="1" s="1"/>
  <c r="M475" i="1" a="1"/>
  <c r="M475" i="1" s="1"/>
  <c r="M476" i="1" a="1"/>
  <c r="M476" i="1" s="1"/>
  <c r="H477" i="1" a="1"/>
  <c r="H477" i="1" s="1"/>
  <c r="J477" i="14" s="1"/>
  <c r="K477" i="1" a="1"/>
  <c r="K477" i="1" s="1"/>
  <c r="P477" i="1" a="1"/>
  <c r="P477" i="1" s="1"/>
  <c r="C478" i="1" a="1"/>
  <c r="C478" i="1" s="1"/>
  <c r="E478" i="14" s="1"/>
  <c r="G478" i="1" a="1"/>
  <c r="G478" i="1" s="1"/>
  <c r="O478" i="1"/>
  <c r="M478" i="14" s="1"/>
  <c r="F479" i="1" a="1"/>
  <c r="F479" i="1" s="1"/>
  <c r="R479" i="14" s="1"/>
  <c r="J479" i="1" a="1"/>
  <c r="J479" i="1" s="1"/>
  <c r="O479" i="1"/>
  <c r="M479" i="14" s="1"/>
  <c r="L480" i="1" a="1"/>
  <c r="L480" i="1" s="1"/>
  <c r="Q480" i="1" a="1"/>
  <c r="Q480" i="1" s="1"/>
  <c r="S480" i="14" s="1"/>
  <c r="D481" i="1" a="1"/>
  <c r="D481" i="1" s="1"/>
  <c r="I481" i="14" s="1"/>
  <c r="O481" i="1"/>
  <c r="M481" i="14" s="1"/>
  <c r="D482" i="1" a="1"/>
  <c r="D482" i="1" s="1"/>
  <c r="I482" i="14" s="1"/>
  <c r="G482" i="1" a="1"/>
  <c r="G482" i="1" s="1"/>
  <c r="K482" i="1" a="1"/>
  <c r="K482" i="1" s="1"/>
  <c r="P482" i="1" a="1"/>
  <c r="P482" i="1" s="1"/>
  <c r="C483" i="1" a="1"/>
  <c r="C483" i="1" s="1"/>
  <c r="E483" i="14" s="1"/>
  <c r="J378" i="1" a="1"/>
  <c r="J378" i="1" s="1"/>
  <c r="O379" i="1"/>
  <c r="M379" i="14" s="1"/>
  <c r="F380" i="1" a="1"/>
  <c r="F380" i="1" s="1"/>
  <c r="R380" i="14" s="1"/>
  <c r="J382" i="1" a="1"/>
  <c r="J382" i="1" s="1"/>
  <c r="O383" i="1"/>
  <c r="M383" i="14" s="1"/>
  <c r="F384" i="1" a="1"/>
  <c r="F384" i="1" s="1"/>
  <c r="R384" i="14" s="1"/>
  <c r="H385" i="1" a="1"/>
  <c r="H385" i="1" s="1"/>
  <c r="J385" i="14" s="1"/>
  <c r="P385" i="1" a="1"/>
  <c r="P385" i="1" s="1"/>
  <c r="C386" i="1" a="1"/>
  <c r="C386" i="1" s="1"/>
  <c r="E386" i="14" s="1"/>
  <c r="H386" i="1" a="1"/>
  <c r="H386" i="1" s="1"/>
  <c r="J386" i="14" s="1"/>
  <c r="P386" i="1" a="1"/>
  <c r="P386" i="1" s="1"/>
  <c r="C387" i="1" a="1"/>
  <c r="C387" i="1" s="1"/>
  <c r="E387" i="14" s="1"/>
  <c r="J387" i="1" a="1"/>
  <c r="J387" i="1" s="1"/>
  <c r="D388" i="1" a="1"/>
  <c r="D388" i="1" s="1"/>
  <c r="I388" i="14" s="1"/>
  <c r="P388" i="1" a="1"/>
  <c r="P388" i="1" s="1"/>
  <c r="J389" i="1" a="1"/>
  <c r="J389" i="1" s="1"/>
  <c r="G390" i="1" a="1"/>
  <c r="G390" i="1" s="1"/>
  <c r="M390" i="1" a="1"/>
  <c r="M390" i="1" s="1"/>
  <c r="P391" i="1" a="1"/>
  <c r="P391" i="1" s="1"/>
  <c r="C392" i="1" a="1"/>
  <c r="C392" i="1" s="1"/>
  <c r="E392" i="14" s="1"/>
  <c r="M392" i="1" a="1"/>
  <c r="M392" i="1" s="1"/>
  <c r="K393" i="1" a="1"/>
  <c r="K393" i="1" s="1"/>
  <c r="Q393" i="1" a="1"/>
  <c r="Q393" i="1" s="1"/>
  <c r="S393" i="14" s="1"/>
  <c r="D394" i="1" a="1"/>
  <c r="D394" i="1" s="1"/>
  <c r="I394" i="14" s="1"/>
  <c r="H394" i="1" a="1"/>
  <c r="H394" i="1" s="1"/>
  <c r="J394" i="14" s="1"/>
  <c r="L394" i="1" a="1"/>
  <c r="L394" i="1" s="1"/>
  <c r="O395" i="1"/>
  <c r="M395" i="14" s="1"/>
  <c r="F396" i="1" a="1"/>
  <c r="F396" i="1" s="1"/>
  <c r="R396" i="14" s="1"/>
  <c r="J396" i="1" a="1"/>
  <c r="J396" i="1" s="1"/>
  <c r="P396" i="1" a="1"/>
  <c r="P396" i="1" s="1"/>
  <c r="C397" i="1" a="1"/>
  <c r="C397" i="1" s="1"/>
  <c r="E397" i="14" s="1"/>
  <c r="G397" i="1" a="1"/>
  <c r="G397" i="1" s="1"/>
  <c r="L397" i="1" a="1"/>
  <c r="L397" i="1" s="1"/>
  <c r="F398" i="1" a="1"/>
  <c r="F398" i="1" s="1"/>
  <c r="R398" i="14" s="1"/>
  <c r="L398" i="1" a="1"/>
  <c r="L398" i="1" s="1"/>
  <c r="F399" i="1" a="1"/>
  <c r="F399" i="1" s="1"/>
  <c r="R399" i="14" s="1"/>
  <c r="L399" i="1" a="1"/>
  <c r="L399" i="1" s="1"/>
  <c r="F400" i="1" a="1"/>
  <c r="F400" i="1" s="1"/>
  <c r="R400" i="14" s="1"/>
  <c r="O400" i="1"/>
  <c r="M400" i="14" s="1"/>
  <c r="F401" i="1" a="1"/>
  <c r="F401" i="1" s="1"/>
  <c r="R401" i="14" s="1"/>
  <c r="L401" i="1" a="1"/>
  <c r="L401" i="1" s="1"/>
  <c r="F402" i="1" a="1"/>
  <c r="F402" i="1" s="1"/>
  <c r="R402" i="14" s="1"/>
  <c r="L402" i="1" a="1"/>
  <c r="L402" i="1" s="1"/>
  <c r="Q402" i="1" a="1"/>
  <c r="Q402" i="1" s="1"/>
  <c r="S402" i="14" s="1"/>
  <c r="D403" i="1" a="1"/>
  <c r="D403" i="1" s="1"/>
  <c r="I403" i="14" s="1"/>
  <c r="P403" i="1" a="1"/>
  <c r="P403" i="1" s="1"/>
  <c r="C404" i="1" a="1"/>
  <c r="C404" i="1" s="1"/>
  <c r="E404" i="14" s="1"/>
  <c r="H404" i="1" a="1"/>
  <c r="H404" i="1" s="1"/>
  <c r="J404" i="14" s="1"/>
  <c r="M404" i="1" a="1"/>
  <c r="M404" i="1" s="1"/>
  <c r="M405" i="1" a="1"/>
  <c r="M405" i="1" s="1"/>
  <c r="G406" i="1" a="1"/>
  <c r="G406" i="1" s="1"/>
  <c r="M406" i="1" a="1"/>
  <c r="M406" i="1" s="1"/>
  <c r="P407" i="1" a="1"/>
  <c r="P407" i="1" s="1"/>
  <c r="C408" i="1" a="1"/>
  <c r="C408" i="1" s="1"/>
  <c r="E408" i="14" s="1"/>
  <c r="G408" i="1" a="1"/>
  <c r="G408" i="1" s="1"/>
  <c r="K408" i="1" a="1"/>
  <c r="K408" i="1" s="1"/>
  <c r="Q408" i="1" a="1"/>
  <c r="Q408" i="1" s="1"/>
  <c r="S408" i="14" s="1"/>
  <c r="D409" i="1" a="1"/>
  <c r="D409" i="1" s="1"/>
  <c r="I409" i="14" s="1"/>
  <c r="M409" i="1" a="1"/>
  <c r="M409" i="1" s="1"/>
  <c r="G410" i="1" a="1"/>
  <c r="G410" i="1" s="1"/>
  <c r="L410" i="1" a="1"/>
  <c r="L410" i="1" s="1"/>
  <c r="Q410" i="1" a="1"/>
  <c r="Q410" i="1" s="1"/>
  <c r="S410" i="14" s="1"/>
  <c r="D411" i="1" a="1"/>
  <c r="D411" i="1" s="1"/>
  <c r="I411" i="14" s="1"/>
  <c r="H411" i="1" a="1"/>
  <c r="H411" i="1" s="1"/>
  <c r="J411" i="14" s="1"/>
  <c r="K411" i="1" a="1"/>
  <c r="K411" i="1" s="1"/>
  <c r="P411" i="1" a="1"/>
  <c r="P411" i="1" s="1"/>
  <c r="C412" i="1" a="1"/>
  <c r="C412" i="1" s="1"/>
  <c r="E412" i="14" s="1"/>
  <c r="G412" i="1" a="1"/>
  <c r="G412" i="1" s="1"/>
  <c r="K412" i="1" a="1"/>
  <c r="K412" i="1" s="1"/>
  <c r="P412" i="1" a="1"/>
  <c r="P412" i="1" s="1"/>
  <c r="C413" i="1" a="1"/>
  <c r="C413" i="1" s="1"/>
  <c r="E413" i="14" s="1"/>
  <c r="G413" i="1" a="1"/>
  <c r="G413" i="1" s="1"/>
  <c r="K413" i="1" a="1"/>
  <c r="K413" i="1" s="1"/>
  <c r="O413" i="1"/>
  <c r="M413" i="14" s="1"/>
  <c r="F414" i="1" a="1"/>
  <c r="F414" i="1" s="1"/>
  <c r="R414" i="14" s="1"/>
  <c r="M414" i="1" a="1"/>
  <c r="M414" i="1" s="1"/>
  <c r="H415" i="1" a="1"/>
  <c r="H415" i="1" s="1"/>
  <c r="J415" i="14" s="1"/>
  <c r="K415" i="1" a="1"/>
  <c r="K415" i="1" s="1"/>
  <c r="P415" i="1" a="1"/>
  <c r="P415" i="1" s="1"/>
  <c r="C416" i="1" a="1"/>
  <c r="C416" i="1" s="1"/>
  <c r="E416" i="14" s="1"/>
  <c r="G416" i="1" a="1"/>
  <c r="G416" i="1" s="1"/>
  <c r="K416" i="1" a="1"/>
  <c r="K416" i="1" s="1"/>
  <c r="P416" i="1" a="1"/>
  <c r="P416" i="1" s="1"/>
  <c r="C417" i="1" a="1"/>
  <c r="C417" i="1" s="1"/>
  <c r="E417" i="14" s="1"/>
  <c r="G417" i="1" a="1"/>
  <c r="G417" i="1" s="1"/>
  <c r="K417" i="1" a="1"/>
  <c r="K417" i="1" s="1"/>
  <c r="P417" i="1" a="1"/>
  <c r="P417" i="1" s="1"/>
  <c r="C418" i="1" a="1"/>
  <c r="C418" i="1" s="1"/>
  <c r="E418" i="14" s="1"/>
  <c r="G418" i="1" a="1"/>
  <c r="G418" i="1" s="1"/>
  <c r="K418" i="1" a="1"/>
  <c r="K418" i="1" s="1"/>
  <c r="P418" i="1" a="1"/>
  <c r="P418" i="1" s="1"/>
  <c r="C419" i="1" a="1"/>
  <c r="C419" i="1" s="1"/>
  <c r="E419" i="14" s="1"/>
  <c r="F419" i="1" a="1"/>
  <c r="F419" i="1" s="1"/>
  <c r="R419" i="14" s="1"/>
  <c r="J419" i="1" a="1"/>
  <c r="J419" i="1" s="1"/>
  <c r="O419" i="1"/>
  <c r="M419" i="14" s="1"/>
  <c r="M420" i="1" a="1"/>
  <c r="M420" i="1" s="1"/>
  <c r="L421" i="1" a="1"/>
  <c r="L421" i="1" s="1"/>
  <c r="P421" i="1" a="1"/>
  <c r="P421" i="1" s="1"/>
  <c r="C422" i="1" a="1"/>
  <c r="C422" i="1" s="1"/>
  <c r="E422" i="14" s="1"/>
  <c r="G422" i="1" a="1"/>
  <c r="G422" i="1" s="1"/>
  <c r="J422" i="1" a="1"/>
  <c r="J422" i="1" s="1"/>
  <c r="O422" i="1"/>
  <c r="M422" i="14" s="1"/>
  <c r="F423" i="1" a="1"/>
  <c r="F423" i="1" s="1"/>
  <c r="R423" i="14" s="1"/>
  <c r="J423" i="1" a="1"/>
  <c r="J423" i="1" s="1"/>
  <c r="O423" i="1"/>
  <c r="M423" i="14" s="1"/>
  <c r="F424" i="1" a="1"/>
  <c r="F424" i="1" s="1"/>
  <c r="R424" i="14" s="1"/>
  <c r="J424" i="1" a="1"/>
  <c r="J424" i="1" s="1"/>
  <c r="O424" i="1"/>
  <c r="M424" i="14" s="1"/>
  <c r="F425" i="1" a="1"/>
  <c r="F425" i="1" s="1"/>
  <c r="R425" i="14" s="1"/>
  <c r="J425" i="1" a="1"/>
  <c r="J425" i="1" s="1"/>
  <c r="O425" i="1"/>
  <c r="M425" i="14" s="1"/>
  <c r="H426" i="1" a="1"/>
  <c r="H426" i="1" s="1"/>
  <c r="J426" i="14" s="1"/>
  <c r="L426" i="1" a="1"/>
  <c r="L426" i="1" s="1"/>
  <c r="Q426" i="1" a="1"/>
  <c r="Q426" i="1" s="1"/>
  <c r="S426" i="14" s="1"/>
  <c r="D427" i="1" a="1"/>
  <c r="D427" i="1" s="1"/>
  <c r="I427" i="14" s="1"/>
  <c r="H427" i="1" a="1"/>
  <c r="H427" i="1" s="1"/>
  <c r="J427" i="14" s="1"/>
  <c r="L427" i="1" a="1"/>
  <c r="L427" i="1" s="1"/>
  <c r="P427" i="1" a="1"/>
  <c r="P427" i="1" s="1"/>
  <c r="C428" i="1" a="1"/>
  <c r="C428" i="1" s="1"/>
  <c r="E428" i="14" s="1"/>
  <c r="J428" i="1" a="1"/>
  <c r="J428" i="1" s="1"/>
  <c r="M428" i="1" a="1"/>
  <c r="M428" i="1" s="1"/>
  <c r="G429" i="1" a="1"/>
  <c r="G429" i="1" s="1"/>
  <c r="K429" i="1" a="1"/>
  <c r="K429" i="1" s="1"/>
  <c r="P429" i="1" a="1"/>
  <c r="P429" i="1" s="1"/>
  <c r="C430" i="1" a="1"/>
  <c r="C430" i="1" s="1"/>
  <c r="E430" i="14" s="1"/>
  <c r="G430" i="1" a="1"/>
  <c r="G430" i="1" s="1"/>
  <c r="K430" i="1" a="1"/>
  <c r="K430" i="1" s="1"/>
  <c r="P430" i="1" a="1"/>
  <c r="P430" i="1" s="1"/>
  <c r="L431" i="1" a="1"/>
  <c r="L431" i="1" s="1"/>
  <c r="Q431" i="1" a="1"/>
  <c r="Q431" i="1" s="1"/>
  <c r="S431" i="14" s="1"/>
  <c r="C432" i="1" a="1"/>
  <c r="C432" i="1" s="1"/>
  <c r="E432" i="14" s="1"/>
  <c r="G432" i="1" a="1"/>
  <c r="G432" i="1" s="1"/>
  <c r="J432" i="1" a="1"/>
  <c r="J432" i="1" s="1"/>
  <c r="O432" i="1"/>
  <c r="M432" i="14" s="1"/>
  <c r="F433" i="1" a="1"/>
  <c r="F433" i="1" s="1"/>
  <c r="R433" i="14" s="1"/>
  <c r="J433" i="1" a="1"/>
  <c r="J433" i="1" s="1"/>
  <c r="M433" i="1" a="1"/>
  <c r="M433" i="1" s="1"/>
  <c r="Q433" i="1" a="1"/>
  <c r="Q433" i="1" s="1"/>
  <c r="S433" i="14" s="1"/>
  <c r="D434" i="1" a="1"/>
  <c r="D434" i="1" s="1"/>
  <c r="I434" i="14" s="1"/>
  <c r="G434" i="1" a="1"/>
  <c r="G434" i="1" s="1"/>
  <c r="K434" i="1" a="1"/>
  <c r="K434" i="1" s="1"/>
  <c r="P434" i="1" a="1"/>
  <c r="P434" i="1" s="1"/>
  <c r="C435" i="1" a="1"/>
  <c r="C435" i="1" s="1"/>
  <c r="E435" i="14" s="1"/>
  <c r="G435" i="1" a="1"/>
  <c r="G435" i="1" s="1"/>
  <c r="K435" i="1" a="1"/>
  <c r="K435" i="1" s="1"/>
  <c r="O435" i="1"/>
  <c r="M435" i="14" s="1"/>
  <c r="F436" i="1" a="1"/>
  <c r="F436" i="1" s="1"/>
  <c r="R436" i="14" s="1"/>
  <c r="M436" i="1" a="1"/>
  <c r="M436" i="1" s="1"/>
  <c r="L437" i="1" a="1"/>
  <c r="L437" i="1" s="1"/>
  <c r="P437" i="1" a="1"/>
  <c r="P437" i="1" s="1"/>
  <c r="C438" i="1" a="1"/>
  <c r="C438" i="1" s="1"/>
  <c r="E438" i="14" s="1"/>
  <c r="G438" i="1" a="1"/>
  <c r="G438" i="1" s="1"/>
  <c r="J438" i="1" a="1"/>
  <c r="J438" i="1" s="1"/>
  <c r="O438" i="1"/>
  <c r="M438" i="14" s="1"/>
  <c r="F439" i="1" a="1"/>
  <c r="F439" i="1" s="1"/>
  <c r="R439" i="14" s="1"/>
  <c r="J439" i="1" a="1"/>
  <c r="J439" i="1" s="1"/>
  <c r="O439" i="1"/>
  <c r="M439" i="14" s="1"/>
  <c r="F440" i="1" a="1"/>
  <c r="F440" i="1" s="1"/>
  <c r="R440" i="14" s="1"/>
  <c r="M440" i="1" a="1"/>
  <c r="M440" i="1" s="1"/>
  <c r="J441" i="1" a="1"/>
  <c r="J441" i="1" s="1"/>
  <c r="M441" i="1" a="1"/>
  <c r="M441" i="1" s="1"/>
  <c r="M442" i="1" a="1"/>
  <c r="M442" i="1" s="1"/>
  <c r="H443" i="1" a="1"/>
  <c r="H443" i="1" s="1"/>
  <c r="J443" i="14" s="1"/>
  <c r="L443" i="1" a="1"/>
  <c r="L443" i="1" s="1"/>
  <c r="Q443" i="1" a="1"/>
  <c r="Q443" i="1" s="1"/>
  <c r="S443" i="14" s="1"/>
  <c r="D444" i="1" a="1"/>
  <c r="D444" i="1" s="1"/>
  <c r="I444" i="14" s="1"/>
  <c r="H444" i="1" a="1"/>
  <c r="H444" i="1" s="1"/>
  <c r="J444" i="14" s="1"/>
  <c r="L444" i="1" a="1"/>
  <c r="L444" i="1" s="1"/>
  <c r="Q444" i="1" a="1"/>
  <c r="Q444" i="1" s="1"/>
  <c r="S444" i="14" s="1"/>
  <c r="C445" i="1" a="1"/>
  <c r="C445" i="1" s="1"/>
  <c r="E445" i="14" s="1"/>
  <c r="F445" i="1" a="1"/>
  <c r="F445" i="1" s="1"/>
  <c r="R445" i="14" s="1"/>
  <c r="M445" i="1" a="1"/>
  <c r="M445" i="1" s="1"/>
  <c r="M446" i="1" a="1"/>
  <c r="M446" i="1" s="1"/>
  <c r="M447" i="1" a="1"/>
  <c r="M447" i="1" s="1"/>
  <c r="M448" i="1" a="1"/>
  <c r="M448" i="1" s="1"/>
  <c r="M449" i="1" a="1"/>
  <c r="M449" i="1" s="1"/>
  <c r="H450" i="1" a="1"/>
  <c r="H450" i="1" s="1"/>
  <c r="J450" i="14" s="1"/>
  <c r="L450" i="1" a="1"/>
  <c r="L450" i="1" s="1"/>
  <c r="P450" i="1" a="1"/>
  <c r="P450" i="1" s="1"/>
  <c r="C451" i="1" a="1"/>
  <c r="C451" i="1" s="1"/>
  <c r="E451" i="14" s="1"/>
  <c r="G451" i="1" a="1"/>
  <c r="G451" i="1" s="1"/>
  <c r="K451" i="1" a="1"/>
  <c r="K451" i="1" s="1"/>
  <c r="P451" i="1" a="1"/>
  <c r="P451" i="1" s="1"/>
  <c r="C452" i="1" a="1"/>
  <c r="C452" i="1" s="1"/>
  <c r="E452" i="14" s="1"/>
  <c r="G452" i="1" a="1"/>
  <c r="G452" i="1" s="1"/>
  <c r="J452" i="1" a="1"/>
  <c r="J452" i="1" s="1"/>
  <c r="M452" i="1" a="1"/>
  <c r="M452" i="1" s="1"/>
  <c r="M453" i="1" a="1"/>
  <c r="M453" i="1" s="1"/>
  <c r="M454" i="1" a="1"/>
  <c r="M454" i="1" s="1"/>
  <c r="H455" i="1" a="1"/>
  <c r="H455" i="1" s="1"/>
  <c r="J455" i="14" s="1"/>
  <c r="P455" i="1" a="1"/>
  <c r="P455" i="1" s="1"/>
  <c r="C456" i="1" a="1"/>
  <c r="C456" i="1" s="1"/>
  <c r="E456" i="14" s="1"/>
  <c r="G456" i="1" a="1"/>
  <c r="G456" i="1" s="1"/>
  <c r="K456" i="1" a="1"/>
  <c r="K456" i="1" s="1"/>
  <c r="P456" i="1" a="1"/>
  <c r="P456" i="1" s="1"/>
  <c r="C457" i="1" a="1"/>
  <c r="C457" i="1" s="1"/>
  <c r="E457" i="14" s="1"/>
  <c r="G457" i="1" a="1"/>
  <c r="G457" i="1" s="1"/>
  <c r="K457" i="1" a="1"/>
  <c r="K457" i="1" s="1"/>
  <c r="P457" i="1" a="1"/>
  <c r="P457" i="1" s="1"/>
  <c r="F458" i="1" a="1"/>
  <c r="F458" i="1" s="1"/>
  <c r="R458" i="14" s="1"/>
  <c r="J458" i="1" a="1"/>
  <c r="J458" i="1" s="1"/>
  <c r="O458" i="1"/>
  <c r="M458" i="14" s="1"/>
  <c r="F459" i="1" a="1"/>
  <c r="F459" i="1" s="1"/>
  <c r="R459" i="14" s="1"/>
  <c r="J459" i="1" a="1"/>
  <c r="J459" i="1" s="1"/>
  <c r="O459" i="1"/>
  <c r="M459" i="14" s="1"/>
  <c r="F460" i="1" a="1"/>
  <c r="F460" i="1" s="1"/>
  <c r="R460" i="14" s="1"/>
  <c r="J460" i="1" a="1"/>
  <c r="J460" i="1" s="1"/>
  <c r="O460" i="1"/>
  <c r="M460" i="14" s="1"/>
  <c r="F461" i="1" a="1"/>
  <c r="F461" i="1" s="1"/>
  <c r="R461" i="14" s="1"/>
  <c r="J461" i="1" a="1"/>
  <c r="J461" i="1" s="1"/>
  <c r="O461" i="1"/>
  <c r="M461" i="14" s="1"/>
  <c r="M462" i="1" a="1"/>
  <c r="M462" i="1" s="1"/>
  <c r="H463" i="1" a="1"/>
  <c r="H463" i="1" s="1"/>
  <c r="J463" i="14" s="1"/>
  <c r="L463" i="1" a="1"/>
  <c r="L463" i="1" s="1"/>
  <c r="Q463" i="1" a="1"/>
  <c r="Q463" i="1" s="1"/>
  <c r="S463" i="14" s="1"/>
  <c r="D464" i="1" a="1"/>
  <c r="D464" i="1" s="1"/>
  <c r="I464" i="14" s="1"/>
  <c r="H464" i="1" a="1"/>
  <c r="H464" i="1" s="1"/>
  <c r="J464" i="14" s="1"/>
  <c r="L464" i="1" a="1"/>
  <c r="L464" i="1" s="1"/>
  <c r="Q464" i="1" a="1"/>
  <c r="Q464" i="1" s="1"/>
  <c r="S464" i="14" s="1"/>
  <c r="D465" i="1" a="1"/>
  <c r="D465" i="1" s="1"/>
  <c r="I465" i="14" s="1"/>
  <c r="H465" i="1" a="1"/>
  <c r="H465" i="1" s="1"/>
  <c r="J465" i="14" s="1"/>
  <c r="L465" i="1" a="1"/>
  <c r="L465" i="1" s="1"/>
  <c r="Q465" i="1" a="1"/>
  <c r="Q465" i="1" s="1"/>
  <c r="S465" i="14" s="1"/>
  <c r="D466" i="1" a="1"/>
  <c r="D466" i="1" s="1"/>
  <c r="I466" i="14" s="1"/>
  <c r="H466" i="1" a="1"/>
  <c r="H466" i="1" s="1"/>
  <c r="J466" i="14" s="1"/>
  <c r="L466" i="1" a="1"/>
  <c r="L466" i="1" s="1"/>
  <c r="Q466" i="1" a="1"/>
  <c r="Q466" i="1" s="1"/>
  <c r="S466" i="14" s="1"/>
  <c r="D467" i="1" a="1"/>
  <c r="D467" i="1" s="1"/>
  <c r="I467" i="14" s="1"/>
  <c r="H467" i="1" a="1"/>
  <c r="H467" i="1" s="1"/>
  <c r="J467" i="14" s="1"/>
  <c r="L467" i="1" a="1"/>
  <c r="L467" i="1" s="1"/>
  <c r="Q467" i="1" a="1"/>
  <c r="Q467" i="1" s="1"/>
  <c r="S467" i="14" s="1"/>
  <c r="D468" i="1" a="1"/>
  <c r="D468" i="1" s="1"/>
  <c r="I468" i="14" s="1"/>
  <c r="H468" i="1" a="1"/>
  <c r="H468" i="1" s="1"/>
  <c r="J468" i="14" s="1"/>
  <c r="L468" i="1" a="1"/>
  <c r="L468" i="1" s="1"/>
  <c r="P468" i="1" a="1"/>
  <c r="P468" i="1" s="1"/>
  <c r="C469" i="1" a="1"/>
  <c r="C469" i="1" s="1"/>
  <c r="E469" i="14" s="1"/>
  <c r="G469" i="1" a="1"/>
  <c r="G469" i="1" s="1"/>
  <c r="J469" i="1" a="1"/>
  <c r="J469" i="1" s="1"/>
  <c r="O469" i="1"/>
  <c r="M469" i="14" s="1"/>
  <c r="F470" i="1" a="1"/>
  <c r="F470" i="1" s="1"/>
  <c r="R470" i="14" s="1"/>
  <c r="J470" i="1" a="1"/>
  <c r="J470" i="1" s="1"/>
  <c r="O470" i="1"/>
  <c r="M470" i="14" s="1"/>
  <c r="F471" i="1" a="1"/>
  <c r="F471" i="1" s="1"/>
  <c r="R471" i="14" s="1"/>
  <c r="J471" i="1" a="1"/>
  <c r="J471" i="1" s="1"/>
  <c r="O471" i="1"/>
  <c r="M471" i="14" s="1"/>
  <c r="F472" i="1" a="1"/>
  <c r="F472" i="1" s="1"/>
  <c r="R472" i="14" s="1"/>
  <c r="J472" i="1" a="1"/>
  <c r="J472" i="1" s="1"/>
  <c r="O472" i="1"/>
  <c r="M472" i="14" s="1"/>
  <c r="F473" i="1" a="1"/>
  <c r="F473" i="1" s="1"/>
  <c r="R473" i="14" s="1"/>
  <c r="J473" i="1" a="1"/>
  <c r="J473" i="1" s="1"/>
  <c r="O473" i="1"/>
  <c r="M473" i="14" s="1"/>
  <c r="F474" i="1" a="1"/>
  <c r="F474" i="1" s="1"/>
  <c r="R474" i="14" s="1"/>
  <c r="J474" i="1" a="1"/>
  <c r="J474" i="1" s="1"/>
  <c r="O474" i="1"/>
  <c r="M474" i="14" s="1"/>
  <c r="F475" i="1" a="1"/>
  <c r="F475" i="1" s="1"/>
  <c r="R475" i="14" s="1"/>
  <c r="J475" i="1" a="1"/>
  <c r="J475" i="1" s="1"/>
  <c r="O475" i="1"/>
  <c r="M475" i="14" s="1"/>
  <c r="F476" i="1" a="1"/>
  <c r="F476" i="1" s="1"/>
  <c r="R476" i="14" s="1"/>
  <c r="J476" i="1" a="1"/>
  <c r="J476" i="1" s="1"/>
  <c r="O476" i="1"/>
  <c r="M476" i="14" s="1"/>
  <c r="F477" i="1" a="1"/>
  <c r="F477" i="1" s="1"/>
  <c r="R477" i="14" s="1"/>
  <c r="L477" i="1" a="1"/>
  <c r="L477" i="1" s="1"/>
  <c r="Q477" i="1" a="1"/>
  <c r="Q477" i="1" s="1"/>
  <c r="S477" i="14" s="1"/>
  <c r="D478" i="1" a="1"/>
  <c r="D478" i="1" s="1"/>
  <c r="I478" i="14" s="1"/>
  <c r="H478" i="1" a="1"/>
  <c r="H478" i="1" s="1"/>
  <c r="J478" i="14" s="1"/>
  <c r="K478" i="1" a="1"/>
  <c r="K478" i="1" s="1"/>
  <c r="P478" i="1" a="1"/>
  <c r="P478" i="1" s="1"/>
  <c r="C479" i="1" a="1"/>
  <c r="C479" i="1" s="1"/>
  <c r="E479" i="14" s="1"/>
  <c r="G479" i="1" a="1"/>
  <c r="G479" i="1" s="1"/>
  <c r="K479" i="1" a="1"/>
  <c r="K479" i="1" s="1"/>
  <c r="P479" i="1" a="1"/>
  <c r="P479" i="1" s="1"/>
  <c r="C480" i="1" a="1"/>
  <c r="C480" i="1" s="1"/>
  <c r="E480" i="14" s="1"/>
  <c r="F480" i="1" a="1"/>
  <c r="F480" i="1" s="1"/>
  <c r="R480" i="14" s="1"/>
  <c r="J480" i="1" a="1"/>
  <c r="J480" i="1" s="1"/>
  <c r="M480" i="1" a="1"/>
  <c r="M480" i="1" s="1"/>
  <c r="H481" i="1" a="1"/>
  <c r="H481" i="1" s="1"/>
  <c r="J481" i="14" s="1"/>
  <c r="K481" i="1" a="1"/>
  <c r="K481" i="1" s="1"/>
  <c r="P481" i="1" a="1"/>
  <c r="P481" i="1" s="1"/>
  <c r="H482" i="1" a="1"/>
  <c r="H482" i="1" s="1"/>
  <c r="J482" i="14" s="1"/>
  <c r="L482" i="1" a="1"/>
  <c r="L482" i="1" s="1"/>
  <c r="Q482" i="1" a="1"/>
  <c r="Q482" i="1" s="1"/>
  <c r="S482" i="14" s="1"/>
  <c r="D483" i="1" a="1"/>
  <c r="D483" i="1" s="1"/>
  <c r="I483" i="14" s="1"/>
  <c r="H483" i="1" a="1"/>
  <c r="H483" i="1" s="1"/>
  <c r="J483" i="14" s="1"/>
  <c r="K483" i="1" a="1"/>
  <c r="K483" i="1" s="1"/>
  <c r="O483" i="1"/>
  <c r="M483" i="14" s="1"/>
  <c r="F484" i="1" a="1"/>
  <c r="F484" i="1" s="1"/>
  <c r="R484" i="14" s="1"/>
  <c r="J484" i="1" a="1"/>
  <c r="J484" i="1" s="1"/>
  <c r="M484" i="1" a="1"/>
  <c r="M484" i="1" s="1"/>
  <c r="H485" i="1" a="1"/>
  <c r="H485" i="1" s="1"/>
  <c r="J485" i="14" s="1"/>
  <c r="K485" i="1" a="1"/>
  <c r="K485" i="1" s="1"/>
  <c r="P485" i="1" a="1"/>
  <c r="P485" i="1" s="1"/>
  <c r="C486" i="1" a="1"/>
  <c r="C486" i="1" s="1"/>
  <c r="E486" i="14" s="1"/>
  <c r="G486" i="1" a="1"/>
  <c r="G486" i="1" s="1"/>
  <c r="K486" i="1" a="1"/>
  <c r="K486" i="1" s="1"/>
  <c r="P486" i="1" a="1"/>
  <c r="P486" i="1" s="1"/>
  <c r="C487" i="1" a="1"/>
  <c r="C487" i="1" s="1"/>
  <c r="E487" i="14" s="1"/>
  <c r="G487" i="1" a="1"/>
  <c r="G487" i="1" s="1"/>
  <c r="J487" i="1" a="1"/>
  <c r="J487" i="1" s="1"/>
  <c r="O487" i="1"/>
  <c r="M487" i="14" s="1"/>
  <c r="O378" i="1"/>
  <c r="M378" i="14" s="1"/>
  <c r="F379" i="1" a="1"/>
  <c r="F379" i="1" s="1"/>
  <c r="R379" i="14" s="1"/>
  <c r="J381" i="1" a="1"/>
  <c r="J381" i="1" s="1"/>
  <c r="O382" i="1"/>
  <c r="M382" i="14" s="1"/>
  <c r="F383" i="1" a="1"/>
  <c r="F383" i="1" s="1"/>
  <c r="R383" i="14" s="1"/>
  <c r="Q385" i="1" a="1"/>
  <c r="Q385" i="1" s="1"/>
  <c r="S385" i="14" s="1"/>
  <c r="D386" i="1" a="1"/>
  <c r="D386" i="1" s="1"/>
  <c r="I386" i="14" s="1"/>
  <c r="Q386" i="1" a="1"/>
  <c r="Q386" i="1" s="1"/>
  <c r="S386" i="14" s="1"/>
  <c r="L387" i="1" a="1"/>
  <c r="L387" i="1" s="1"/>
  <c r="J388" i="1" a="1"/>
  <c r="J388" i="1" s="1"/>
  <c r="F389" i="1" a="1"/>
  <c r="F389" i="1" s="1"/>
  <c r="R389" i="14" s="1"/>
  <c r="M389" i="1" a="1"/>
  <c r="M389" i="1" s="1"/>
  <c r="C390" i="1" a="1"/>
  <c r="C390" i="1" s="1"/>
  <c r="E390" i="14" s="1"/>
  <c r="O390" i="1"/>
  <c r="M390" i="14" s="1"/>
  <c r="G391" i="1" a="1"/>
  <c r="G391" i="1" s="1"/>
  <c r="K391" i="1" a="1"/>
  <c r="K391" i="1" s="1"/>
  <c r="L391" i="14" s="1"/>
  <c r="Q391" i="1" a="1"/>
  <c r="Q391" i="1" s="1"/>
  <c r="S391" i="14" s="1"/>
  <c r="O392" i="1"/>
  <c r="M392" i="14" s="1"/>
  <c r="G393" i="1" a="1"/>
  <c r="G393" i="1" s="1"/>
  <c r="L393" i="1" a="1"/>
  <c r="L393" i="1" s="1"/>
  <c r="O394" i="1"/>
  <c r="M394" i="14" s="1"/>
  <c r="F395" i="1" a="1"/>
  <c r="F395" i="1" s="1"/>
  <c r="R395" i="14" s="1"/>
  <c r="J395" i="1" a="1"/>
  <c r="J395" i="1" s="1"/>
  <c r="P395" i="1" a="1"/>
  <c r="P395" i="1" s="1"/>
  <c r="C396" i="1" a="1"/>
  <c r="C396" i="1" s="1"/>
  <c r="E396" i="14" s="1"/>
  <c r="G396" i="1" a="1"/>
  <c r="G396" i="1" s="1"/>
  <c r="K396" i="1" a="1"/>
  <c r="K396" i="1" s="1"/>
  <c r="L396" i="14" s="1"/>
  <c r="Q396" i="1" a="1"/>
  <c r="Q396" i="1" s="1"/>
  <c r="S396" i="14" s="1"/>
  <c r="D397" i="1" a="1"/>
  <c r="D397" i="1" s="1"/>
  <c r="I397" i="14" s="1"/>
  <c r="M397" i="1" a="1"/>
  <c r="M397" i="1" s="1"/>
  <c r="H398" i="1" a="1"/>
  <c r="H398" i="1" s="1"/>
  <c r="J398" i="14" s="1"/>
  <c r="M398" i="1" a="1"/>
  <c r="M398" i="1" s="1"/>
  <c r="H399" i="1" a="1"/>
  <c r="H399" i="1" s="1"/>
  <c r="J399" i="14" s="1"/>
  <c r="M399" i="1" a="1"/>
  <c r="M399" i="1" s="1"/>
  <c r="G400" i="1" a="1"/>
  <c r="G400" i="1" s="1"/>
  <c r="J400" i="1" a="1"/>
  <c r="J400" i="1" s="1"/>
  <c r="P400" i="1" a="1"/>
  <c r="P400" i="1" s="1"/>
  <c r="C401" i="1" a="1"/>
  <c r="C401" i="1" s="1"/>
  <c r="E401" i="14" s="1"/>
  <c r="H401" i="1" a="1"/>
  <c r="H401" i="1" s="1"/>
  <c r="J401" i="14" s="1"/>
  <c r="M401" i="1" a="1"/>
  <c r="M401" i="1" s="1"/>
  <c r="H402" i="1" a="1"/>
  <c r="H402" i="1" s="1"/>
  <c r="J402" i="14" s="1"/>
  <c r="M402" i="1" a="1"/>
  <c r="M402" i="1" s="1"/>
  <c r="K403" i="1" a="1"/>
  <c r="K403" i="1" s="1"/>
  <c r="L403" i="14" s="1"/>
  <c r="Q403" i="1" a="1"/>
  <c r="Q403" i="1" s="1"/>
  <c r="S403" i="14" s="1"/>
  <c r="D404" i="1" a="1"/>
  <c r="D404" i="1" s="1"/>
  <c r="I404" i="14" s="1"/>
  <c r="P404" i="1" a="1"/>
  <c r="P404" i="1" s="1"/>
  <c r="F405" i="1" a="1"/>
  <c r="F405" i="1" s="1"/>
  <c r="R405" i="14" s="1"/>
  <c r="J405" i="1" a="1"/>
  <c r="J405" i="1" s="1"/>
  <c r="O405" i="1"/>
  <c r="M405" i="14" s="1"/>
  <c r="C406" i="1" a="1"/>
  <c r="C406" i="1" s="1"/>
  <c r="E406" i="14" s="1"/>
  <c r="O406" i="1"/>
  <c r="M406" i="14" s="1"/>
  <c r="G407" i="1" a="1"/>
  <c r="G407" i="1" s="1"/>
  <c r="K407" i="1" a="1"/>
  <c r="K407" i="1" s="1"/>
  <c r="Q407" i="1" a="1"/>
  <c r="Q407" i="1" s="1"/>
  <c r="S407" i="14" s="1"/>
  <c r="D408" i="1" a="1"/>
  <c r="D408" i="1" s="1"/>
  <c r="I408" i="14" s="1"/>
  <c r="H408" i="1" a="1"/>
  <c r="H408" i="1" s="1"/>
  <c r="J408" i="14" s="1"/>
  <c r="L408" i="1" a="1"/>
  <c r="L408" i="1" s="1"/>
  <c r="J409" i="1" a="1"/>
  <c r="J409" i="1" s="1"/>
  <c r="P409" i="1" a="1"/>
  <c r="P409" i="1" s="1"/>
  <c r="C410" i="1" a="1"/>
  <c r="C410" i="1" s="1"/>
  <c r="E410" i="14" s="1"/>
  <c r="H410" i="1" a="1"/>
  <c r="H410" i="1" s="1"/>
  <c r="J410" i="14" s="1"/>
  <c r="M410" i="1" a="1"/>
  <c r="M410" i="1" s="1"/>
  <c r="L411" i="1" a="1"/>
  <c r="L411" i="1" s="1"/>
  <c r="Q411" i="1" a="1"/>
  <c r="Q411" i="1" s="1"/>
  <c r="S411" i="14" s="1"/>
  <c r="D412" i="1" a="1"/>
  <c r="D412" i="1" s="1"/>
  <c r="I412" i="14" s="1"/>
  <c r="H412" i="1" a="1"/>
  <c r="H412" i="1" s="1"/>
  <c r="J412" i="14" s="1"/>
  <c r="L412" i="1" a="1"/>
  <c r="L412" i="1" s="1"/>
  <c r="Q412" i="1" a="1"/>
  <c r="Q412" i="1" s="1"/>
  <c r="S412" i="14" s="1"/>
  <c r="D413" i="1" a="1"/>
  <c r="D413" i="1" s="1"/>
  <c r="I413" i="14" s="1"/>
  <c r="H413" i="1" a="1"/>
  <c r="H413" i="1" s="1"/>
  <c r="J413" i="14" s="1"/>
  <c r="L413" i="1" a="1"/>
  <c r="L413" i="1" s="1"/>
  <c r="P413" i="1" a="1"/>
  <c r="P413" i="1" s="1"/>
  <c r="C414" i="1" a="1"/>
  <c r="C414" i="1" s="1"/>
  <c r="E414" i="14" s="1"/>
  <c r="J414" i="1" a="1"/>
  <c r="J414" i="1" s="1"/>
  <c r="O414" i="1"/>
  <c r="M414" i="14" s="1"/>
  <c r="L415" i="1" a="1"/>
  <c r="L415" i="1" s="1"/>
  <c r="Q415" i="1" a="1"/>
  <c r="Q415" i="1" s="1"/>
  <c r="S415" i="14" s="1"/>
  <c r="D416" i="1" a="1"/>
  <c r="D416" i="1" s="1"/>
  <c r="I416" i="14" s="1"/>
  <c r="H416" i="1" a="1"/>
  <c r="H416" i="1" s="1"/>
  <c r="J416" i="14" s="1"/>
  <c r="L416" i="1" a="1"/>
  <c r="L416" i="1" s="1"/>
  <c r="Q416" i="1" a="1"/>
  <c r="Q416" i="1" s="1"/>
  <c r="S416" i="14" s="1"/>
  <c r="D417" i="1" a="1"/>
  <c r="D417" i="1" s="1"/>
  <c r="I417" i="14" s="1"/>
  <c r="H417" i="1" a="1"/>
  <c r="H417" i="1" s="1"/>
  <c r="J417" i="14" s="1"/>
  <c r="L417" i="1" a="1"/>
  <c r="L417" i="1" s="1"/>
  <c r="Q417" i="1" a="1"/>
  <c r="Q417" i="1" s="1"/>
  <c r="S417" i="14" s="1"/>
  <c r="D418" i="1" a="1"/>
  <c r="D418" i="1" s="1"/>
  <c r="I418" i="14" s="1"/>
  <c r="H418" i="1" a="1"/>
  <c r="H418" i="1" s="1"/>
  <c r="J418" i="14" s="1"/>
  <c r="L418" i="1" a="1"/>
  <c r="L418" i="1" s="1"/>
  <c r="Q418" i="1" a="1"/>
  <c r="Q418" i="1" s="1"/>
  <c r="S418" i="14" s="1"/>
  <c r="D419" i="1" a="1"/>
  <c r="D419" i="1" s="1"/>
  <c r="I419" i="14" s="1"/>
  <c r="G419" i="1" a="1"/>
  <c r="G419" i="1" s="1"/>
  <c r="K419" i="1" a="1"/>
  <c r="K419" i="1" s="1"/>
  <c r="P419" i="1" a="1"/>
  <c r="P419" i="1" s="1"/>
  <c r="F420" i="1" a="1"/>
  <c r="F420" i="1" s="1"/>
  <c r="R420" i="14" s="1"/>
  <c r="J420" i="1" a="1"/>
  <c r="J420" i="1" s="1"/>
  <c r="O420" i="1"/>
  <c r="M420" i="14" s="1"/>
  <c r="F421" i="1" a="1"/>
  <c r="F421" i="1" s="1"/>
  <c r="R421" i="14" s="1"/>
  <c r="J421" i="1" a="1"/>
  <c r="J421" i="1" s="1"/>
  <c r="M421" i="1" a="1"/>
  <c r="M421" i="1" s="1"/>
  <c r="Q421" i="1" a="1"/>
  <c r="Q421" i="1" s="1"/>
  <c r="S421" i="14" s="1"/>
  <c r="D422" i="1" a="1"/>
  <c r="D422" i="1" s="1"/>
  <c r="I422" i="14" s="1"/>
  <c r="K422" i="1" a="1"/>
  <c r="K422" i="1" s="1"/>
  <c r="L422" i="14" s="1"/>
  <c r="P422" i="1" a="1"/>
  <c r="P422" i="1" s="1"/>
  <c r="C423" i="1" a="1"/>
  <c r="C423" i="1" s="1"/>
  <c r="E423" i="14" s="1"/>
  <c r="G423" i="1" a="1"/>
  <c r="G423" i="1" s="1"/>
  <c r="K423" i="1" a="1"/>
  <c r="K423" i="1" s="1"/>
  <c r="L423" i="14" s="1"/>
  <c r="P423" i="1" a="1"/>
  <c r="P423" i="1" s="1"/>
  <c r="C424" i="1" a="1"/>
  <c r="C424" i="1" s="1"/>
  <c r="E424" i="14" s="1"/>
  <c r="G424" i="1" a="1"/>
  <c r="G424" i="1" s="1"/>
  <c r="K424" i="1" a="1"/>
  <c r="K424" i="1" s="1"/>
  <c r="L424" i="14" s="1"/>
  <c r="P424" i="1" a="1"/>
  <c r="P424" i="1" s="1"/>
  <c r="C425" i="1" a="1"/>
  <c r="C425" i="1" s="1"/>
  <c r="E425" i="14" s="1"/>
  <c r="G425" i="1" a="1"/>
  <c r="G425" i="1" s="1"/>
  <c r="K425" i="1" a="1"/>
  <c r="K425" i="1" s="1"/>
  <c r="P425" i="1" a="1"/>
  <c r="P425" i="1" s="1"/>
  <c r="F426" i="1" a="1"/>
  <c r="F426" i="1" s="1"/>
  <c r="R426" i="14" s="1"/>
  <c r="M426" i="1" a="1"/>
  <c r="M426" i="1" s="1"/>
  <c r="Q427" i="1" a="1"/>
  <c r="Q427" i="1" s="1"/>
  <c r="S427" i="14" s="1"/>
  <c r="D428" i="1" a="1"/>
  <c r="D428" i="1" s="1"/>
  <c r="I428" i="14" s="1"/>
  <c r="G428" i="1" a="1"/>
  <c r="G428" i="1" s="1"/>
  <c r="O428" i="1"/>
  <c r="M428" i="14" s="1"/>
  <c r="D429" i="1" a="1"/>
  <c r="D429" i="1" s="1"/>
  <c r="I429" i="14" s="1"/>
  <c r="H429" i="1" a="1"/>
  <c r="H429" i="1" s="1"/>
  <c r="J429" i="14" s="1"/>
  <c r="L429" i="1" a="1"/>
  <c r="L429" i="1" s="1"/>
  <c r="Q429" i="1" a="1"/>
  <c r="Q429" i="1" s="1"/>
  <c r="S429" i="14" s="1"/>
  <c r="D430" i="1" a="1"/>
  <c r="D430" i="1" s="1"/>
  <c r="I430" i="14" s="1"/>
  <c r="H430" i="1" a="1"/>
  <c r="H430" i="1" s="1"/>
  <c r="J430" i="14" s="1"/>
  <c r="L430" i="1" a="1"/>
  <c r="L430" i="1" s="1"/>
  <c r="Q430" i="1" a="1"/>
  <c r="Q430" i="1" s="1"/>
  <c r="S430" i="14" s="1"/>
  <c r="C431" i="1" a="1"/>
  <c r="C431" i="1" s="1"/>
  <c r="E431" i="14" s="1"/>
  <c r="F431" i="1" a="1"/>
  <c r="F431" i="1" s="1"/>
  <c r="R431" i="14" s="1"/>
  <c r="J431" i="1" a="1"/>
  <c r="J431" i="1" s="1"/>
  <c r="M431" i="1" a="1"/>
  <c r="M431" i="1" s="1"/>
  <c r="D432" i="1" a="1"/>
  <c r="D432" i="1" s="1"/>
  <c r="I432" i="14" s="1"/>
  <c r="H432" i="1" a="1"/>
  <c r="H432" i="1" s="1"/>
  <c r="J432" i="14" s="1"/>
  <c r="K432" i="1" a="1"/>
  <c r="K432" i="1" s="1"/>
  <c r="P432" i="1" a="1"/>
  <c r="P432" i="1" s="1"/>
  <c r="C433" i="1" a="1"/>
  <c r="C433" i="1" s="1"/>
  <c r="E433" i="14" s="1"/>
  <c r="G433" i="1" a="1"/>
  <c r="G433" i="1" s="1"/>
  <c r="O433" i="1"/>
  <c r="M433" i="14" s="1"/>
  <c r="H434" i="1" a="1"/>
  <c r="H434" i="1" s="1"/>
  <c r="J434" i="14" s="1"/>
  <c r="L434" i="1" a="1"/>
  <c r="L434" i="1" s="1"/>
  <c r="Q434" i="1" a="1"/>
  <c r="Q434" i="1" s="1"/>
  <c r="S434" i="14" s="1"/>
  <c r="D435" i="1" a="1"/>
  <c r="D435" i="1" s="1"/>
  <c r="I435" i="14" s="1"/>
  <c r="H435" i="1" a="1"/>
  <c r="H435" i="1" s="1"/>
  <c r="J435" i="14" s="1"/>
  <c r="L435" i="1" a="1"/>
  <c r="L435" i="1" s="1"/>
  <c r="P435" i="1" a="1"/>
  <c r="P435" i="1" s="1"/>
  <c r="C436" i="1" a="1"/>
  <c r="C436" i="1" s="1"/>
  <c r="E436" i="14" s="1"/>
  <c r="G436" i="1" a="1"/>
  <c r="G436" i="1" s="1"/>
  <c r="J436" i="1" a="1"/>
  <c r="J436" i="1" s="1"/>
  <c r="O436" i="1"/>
  <c r="M436" i="14" s="1"/>
  <c r="F437" i="1" a="1"/>
  <c r="F437" i="1" s="1"/>
  <c r="R437" i="14" s="1"/>
  <c r="J437" i="1" a="1"/>
  <c r="J437" i="1" s="1"/>
  <c r="M437" i="1" a="1"/>
  <c r="M437" i="1" s="1"/>
  <c r="Q437" i="1" a="1"/>
  <c r="Q437" i="1" s="1"/>
  <c r="S437" i="14" s="1"/>
  <c r="D438" i="1" a="1"/>
  <c r="D438" i="1" s="1"/>
  <c r="I438" i="14" s="1"/>
  <c r="K438" i="1" a="1"/>
  <c r="K438" i="1" s="1"/>
  <c r="P438" i="1" a="1"/>
  <c r="P438" i="1" s="1"/>
  <c r="C439" i="1" a="1"/>
  <c r="C439" i="1" s="1"/>
  <c r="E439" i="14" s="1"/>
  <c r="G439" i="1" a="1"/>
  <c r="G439" i="1" s="1"/>
  <c r="K439" i="1" a="1"/>
  <c r="K439" i="1" s="1"/>
  <c r="L439" i="14" s="1"/>
  <c r="P439" i="1" a="1"/>
  <c r="P439" i="1" s="1"/>
  <c r="C440" i="1" a="1"/>
  <c r="C440" i="1" s="1"/>
  <c r="E440" i="14" s="1"/>
  <c r="J440" i="1" a="1"/>
  <c r="J440" i="1" s="1"/>
  <c r="O440" i="1"/>
  <c r="M440" i="14" s="1"/>
  <c r="D441" i="1" a="1"/>
  <c r="D441" i="1" s="1"/>
  <c r="I441" i="14" s="1"/>
  <c r="G441" i="1" a="1"/>
  <c r="G441" i="1" s="1"/>
  <c r="O441" i="1"/>
  <c r="M441" i="14" s="1"/>
  <c r="F442" i="1" a="1"/>
  <c r="F442" i="1" s="1"/>
  <c r="R442" i="14" s="1"/>
  <c r="J442" i="1" a="1"/>
  <c r="J442" i="1" s="1"/>
  <c r="O442" i="1"/>
  <c r="M442" i="14" s="1"/>
  <c r="F443" i="1" a="1"/>
  <c r="F443" i="1" s="1"/>
  <c r="R443" i="14" s="1"/>
  <c r="M443" i="1" a="1"/>
  <c r="M443" i="1" s="1"/>
  <c r="M444" i="1" a="1"/>
  <c r="M444" i="1" s="1"/>
  <c r="J445" i="1" a="1"/>
  <c r="J445" i="1" s="1"/>
  <c r="O445" i="1"/>
  <c r="M445" i="14" s="1"/>
  <c r="F446" i="1" a="1"/>
  <c r="F446" i="1" s="1"/>
  <c r="R446" i="14" s="1"/>
  <c r="J446" i="1" a="1"/>
  <c r="J446" i="1" s="1"/>
  <c r="O446" i="1"/>
  <c r="M446" i="14" s="1"/>
  <c r="F447" i="1" a="1"/>
  <c r="F447" i="1" s="1"/>
  <c r="R447" i="14" s="1"/>
  <c r="J447" i="1" a="1"/>
  <c r="J447" i="1" s="1"/>
  <c r="O447" i="1"/>
  <c r="M447" i="14" s="1"/>
  <c r="F448" i="1" a="1"/>
  <c r="F448" i="1" s="1"/>
  <c r="R448" i="14" s="1"/>
  <c r="J448" i="1" a="1"/>
  <c r="J448" i="1" s="1"/>
  <c r="O448" i="1"/>
  <c r="M448" i="14" s="1"/>
  <c r="F449" i="1" a="1"/>
  <c r="F449" i="1" s="1"/>
  <c r="R449" i="14" s="1"/>
  <c r="J449" i="1" a="1"/>
  <c r="J449" i="1" s="1"/>
  <c r="O449" i="1"/>
  <c r="M449" i="14" s="1"/>
  <c r="F450" i="1" a="1"/>
  <c r="F450" i="1" s="1"/>
  <c r="R450" i="14" s="1"/>
  <c r="M450" i="1" a="1"/>
  <c r="M450" i="1" s="1"/>
  <c r="Q450" i="1" a="1"/>
  <c r="Q450" i="1" s="1"/>
  <c r="S450" i="14" s="1"/>
  <c r="D451" i="1" a="1"/>
  <c r="D451" i="1" s="1"/>
  <c r="I451" i="14" s="1"/>
  <c r="H451" i="1" a="1"/>
  <c r="H451" i="1" s="1"/>
  <c r="J451" i="14" s="1"/>
  <c r="L451" i="1" a="1"/>
  <c r="L451" i="1" s="1"/>
  <c r="Q451" i="1" a="1"/>
  <c r="Q451" i="1" s="1"/>
  <c r="S451" i="14" s="1"/>
  <c r="D452" i="1" a="1"/>
  <c r="D452" i="1" s="1"/>
  <c r="I452" i="14" s="1"/>
  <c r="O452" i="1"/>
  <c r="M452" i="14" s="1"/>
  <c r="F453" i="1" a="1"/>
  <c r="F453" i="1" s="1"/>
  <c r="R453" i="14" s="1"/>
  <c r="J453" i="1" a="1"/>
  <c r="J453" i="1" s="1"/>
  <c r="O453" i="1"/>
  <c r="M453" i="14" s="1"/>
  <c r="F454" i="1" a="1"/>
  <c r="F454" i="1" s="1"/>
  <c r="R454" i="14" s="1"/>
  <c r="J454" i="1" a="1"/>
  <c r="J454" i="1" s="1"/>
  <c r="O454" i="1"/>
  <c r="M454" i="14" s="1"/>
  <c r="L455" i="1" a="1"/>
  <c r="L455" i="1" s="1"/>
  <c r="Q455" i="1" a="1"/>
  <c r="Q455" i="1" s="1"/>
  <c r="S455" i="14" s="1"/>
  <c r="D456" i="1" a="1"/>
  <c r="D456" i="1" s="1"/>
  <c r="I456" i="14" s="1"/>
  <c r="H456" i="1" a="1"/>
  <c r="H456" i="1" s="1"/>
  <c r="J456" i="14" s="1"/>
  <c r="L456" i="1" a="1"/>
  <c r="L456" i="1" s="1"/>
  <c r="Q456" i="1" a="1"/>
  <c r="Q456" i="1" s="1"/>
  <c r="S456" i="14" s="1"/>
  <c r="D457" i="1" a="1"/>
  <c r="D457" i="1" s="1"/>
  <c r="I457" i="14" s="1"/>
  <c r="H457" i="1" a="1"/>
  <c r="H457" i="1" s="1"/>
  <c r="J457" i="14" s="1"/>
  <c r="L457" i="1" a="1"/>
  <c r="L457" i="1" s="1"/>
  <c r="C458" i="1" a="1"/>
  <c r="C458" i="1" s="1"/>
  <c r="E458" i="14" s="1"/>
  <c r="G458" i="1" a="1"/>
  <c r="G458" i="1" s="1"/>
  <c r="K458" i="1" a="1"/>
  <c r="K458" i="1" s="1"/>
  <c r="P458" i="1" a="1"/>
  <c r="P458" i="1" s="1"/>
  <c r="C459" i="1" a="1"/>
  <c r="C459" i="1" s="1"/>
  <c r="E459" i="14" s="1"/>
  <c r="G459" i="1" a="1"/>
  <c r="G459" i="1" s="1"/>
  <c r="K459" i="1" a="1"/>
  <c r="K459" i="1" s="1"/>
  <c r="P459" i="1" a="1"/>
  <c r="P459" i="1" s="1"/>
  <c r="C460" i="1" a="1"/>
  <c r="C460" i="1" s="1"/>
  <c r="E460" i="14" s="1"/>
  <c r="G460" i="1" a="1"/>
  <c r="G460" i="1" s="1"/>
  <c r="K460" i="1" a="1"/>
  <c r="K460" i="1" s="1"/>
  <c r="P460" i="1" a="1"/>
  <c r="P460" i="1" s="1"/>
  <c r="C461" i="1" a="1"/>
  <c r="C461" i="1" s="1"/>
  <c r="E461" i="14" s="1"/>
  <c r="G461" i="1" a="1"/>
  <c r="G461" i="1" s="1"/>
  <c r="K461" i="1" a="1"/>
  <c r="K461" i="1" s="1"/>
  <c r="P461" i="1" a="1"/>
  <c r="P461" i="1" s="1"/>
  <c r="F462" i="1" a="1"/>
  <c r="F462" i="1" s="1"/>
  <c r="R462" i="14" s="1"/>
  <c r="J462" i="1" a="1"/>
  <c r="J462" i="1" s="1"/>
  <c r="O462" i="1"/>
  <c r="M462" i="14" s="1"/>
  <c r="F463" i="1" a="1"/>
  <c r="F463" i="1" s="1"/>
  <c r="R463" i="14" s="1"/>
  <c r="M463" i="1" a="1"/>
  <c r="M463" i="1" s="1"/>
  <c r="M464" i="1" a="1"/>
  <c r="M464" i="1" s="1"/>
  <c r="M465" i="1" a="1"/>
  <c r="M465" i="1" s="1"/>
  <c r="M466" i="1" a="1"/>
  <c r="M466" i="1" s="1"/>
  <c r="M467" i="1" a="1"/>
  <c r="M467" i="1" s="1"/>
  <c r="M468" i="1" a="1"/>
  <c r="M468" i="1" s="1"/>
  <c r="Q468" i="1" a="1"/>
  <c r="Q468" i="1" s="1"/>
  <c r="S468" i="14" s="1"/>
  <c r="D469" i="1" a="1"/>
  <c r="D469" i="1" s="1"/>
  <c r="I469" i="14" s="1"/>
  <c r="K469" i="1" a="1"/>
  <c r="K469" i="1" s="1"/>
  <c r="P469" i="1" a="1"/>
  <c r="P469" i="1" s="1"/>
  <c r="C470" i="1" a="1"/>
  <c r="C470" i="1" s="1"/>
  <c r="E470" i="14" s="1"/>
  <c r="G470" i="1" a="1"/>
  <c r="G470" i="1" s="1"/>
  <c r="K470" i="1" a="1"/>
  <c r="K470" i="1" s="1"/>
  <c r="P470" i="1" a="1"/>
  <c r="P470" i="1" s="1"/>
  <c r="C471" i="1" a="1"/>
  <c r="C471" i="1" s="1"/>
  <c r="E471" i="14" s="1"/>
  <c r="G471" i="1" a="1"/>
  <c r="G471" i="1" s="1"/>
  <c r="K471" i="1" a="1"/>
  <c r="K471" i="1" s="1"/>
  <c r="P471" i="1" a="1"/>
  <c r="P471" i="1" s="1"/>
  <c r="C472" i="1" a="1"/>
  <c r="C472" i="1" s="1"/>
  <c r="E472" i="14" s="1"/>
  <c r="G472" i="1" a="1"/>
  <c r="G472" i="1" s="1"/>
  <c r="K472" i="1" a="1"/>
  <c r="K472" i="1" s="1"/>
  <c r="P472" i="1" a="1"/>
  <c r="P472" i="1" s="1"/>
  <c r="C473" i="1" a="1"/>
  <c r="C473" i="1" s="1"/>
  <c r="E473" i="14" s="1"/>
  <c r="G473" i="1" a="1"/>
  <c r="G473" i="1" s="1"/>
  <c r="K473" i="1" a="1"/>
  <c r="K473" i="1" s="1"/>
  <c r="P473" i="1" a="1"/>
  <c r="P473" i="1" s="1"/>
  <c r="C474" i="1" a="1"/>
  <c r="C474" i="1" s="1"/>
  <c r="E474" i="14" s="1"/>
  <c r="G474" i="1" a="1"/>
  <c r="G474" i="1" s="1"/>
  <c r="K474" i="1" a="1"/>
  <c r="K474" i="1" s="1"/>
  <c r="P474" i="1" a="1"/>
  <c r="P474" i="1" s="1"/>
  <c r="C475" i="1" a="1"/>
  <c r="C475" i="1" s="1"/>
  <c r="E475" i="14" s="1"/>
  <c r="G475" i="1" a="1"/>
  <c r="G475" i="1" s="1"/>
  <c r="K475" i="1" a="1"/>
  <c r="K475" i="1" s="1"/>
  <c r="P475" i="1" a="1"/>
  <c r="P475" i="1" s="1"/>
  <c r="C476" i="1" a="1"/>
  <c r="C476" i="1" s="1"/>
  <c r="E476" i="14" s="1"/>
  <c r="G476" i="1" a="1"/>
  <c r="G476" i="1" s="1"/>
  <c r="K476" i="1" a="1"/>
  <c r="K476" i="1" s="1"/>
  <c r="P476" i="1" a="1"/>
  <c r="P476" i="1" s="1"/>
  <c r="C477" i="1" a="1"/>
  <c r="C477" i="1" s="1"/>
  <c r="E477" i="14" s="1"/>
  <c r="G477" i="1" a="1"/>
  <c r="G477" i="1" s="1"/>
  <c r="J477" i="1" a="1"/>
  <c r="J477" i="1" s="1"/>
  <c r="M477" i="1" a="1"/>
  <c r="M477" i="1" s="1"/>
  <c r="L478" i="1" a="1"/>
  <c r="L478" i="1" s="1"/>
  <c r="Q478" i="1" a="1"/>
  <c r="Q478" i="1" s="1"/>
  <c r="S478" i="14" s="1"/>
  <c r="D479" i="1" a="1"/>
  <c r="D479" i="1" s="1"/>
  <c r="I479" i="14" s="1"/>
  <c r="H479" i="1" a="1"/>
  <c r="H479" i="1" s="1"/>
  <c r="J479" i="14" s="1"/>
  <c r="L479" i="1" a="1"/>
  <c r="L479" i="1" s="1"/>
  <c r="Q479" i="1" a="1"/>
  <c r="Q479" i="1" s="1"/>
  <c r="S479" i="14" s="1"/>
  <c r="D480" i="1" a="1"/>
  <c r="D480" i="1" s="1"/>
  <c r="I480" i="14" s="1"/>
  <c r="G480" i="1" a="1"/>
  <c r="G480" i="1" s="1"/>
  <c r="K480" i="1" a="1"/>
  <c r="K480" i="1" s="1"/>
  <c r="O480" i="1"/>
  <c r="M480" i="14" s="1"/>
  <c r="F481" i="1" a="1"/>
  <c r="F481" i="1" s="1"/>
  <c r="R481" i="14" s="1"/>
  <c r="L481" i="1" a="1"/>
  <c r="L481" i="1" s="1"/>
  <c r="Q481" i="1" a="1"/>
  <c r="Q481" i="1" s="1"/>
  <c r="S481" i="14" s="1"/>
  <c r="C482" i="1" a="1"/>
  <c r="C482" i="1" s="1"/>
  <c r="E482" i="14" s="1"/>
  <c r="F482" i="1" a="1"/>
  <c r="F482" i="1" s="1"/>
  <c r="R482" i="14" s="1"/>
  <c r="M482" i="1" a="1"/>
  <c r="M482" i="1" s="1"/>
  <c r="P483" i="1" a="1"/>
  <c r="P483" i="1" s="1"/>
  <c r="C484" i="1" a="1"/>
  <c r="C484" i="1" s="1"/>
  <c r="E484" i="14" s="1"/>
  <c r="G484" i="1" a="1"/>
  <c r="G484" i="1" s="1"/>
  <c r="K484" i="1" a="1"/>
  <c r="K484" i="1" s="1"/>
  <c r="O484" i="1"/>
  <c r="M484" i="14" s="1"/>
  <c r="F485" i="1" a="1"/>
  <c r="F485" i="1" s="1"/>
  <c r="R485" i="14" s="1"/>
  <c r="L485" i="1" a="1"/>
  <c r="L485" i="1" s="1"/>
  <c r="Q485" i="1" a="1"/>
  <c r="Q485" i="1" s="1"/>
  <c r="S485" i="14" s="1"/>
  <c r="D486" i="1" a="1"/>
  <c r="D486" i="1" s="1"/>
  <c r="I486" i="14" s="1"/>
  <c r="H486" i="1" a="1"/>
  <c r="H486" i="1" s="1"/>
  <c r="J486" i="14" s="1"/>
  <c r="L486" i="1" a="1"/>
  <c r="L486" i="1" s="1"/>
  <c r="Q486" i="1" a="1"/>
  <c r="Q486" i="1" s="1"/>
  <c r="S486" i="14" s="1"/>
  <c r="D487" i="1" a="1"/>
  <c r="D487" i="1" s="1"/>
  <c r="I487" i="14" s="1"/>
  <c r="H487" i="1" a="1"/>
  <c r="H487" i="1" s="1"/>
  <c r="J487" i="14" s="1"/>
  <c r="K487" i="1" a="1"/>
  <c r="K487" i="1" s="1"/>
  <c r="P487" i="1" a="1"/>
  <c r="P487" i="1" s="1"/>
  <c r="F488" i="1" a="1"/>
  <c r="F488" i="1" s="1"/>
  <c r="R488" i="14" s="1"/>
  <c r="J488" i="1" a="1"/>
  <c r="J488" i="1" s="1"/>
  <c r="O488" i="1"/>
  <c r="M488" i="14" s="1"/>
  <c r="F489" i="1" a="1"/>
  <c r="F489" i="1" s="1"/>
  <c r="R489" i="14" s="1"/>
  <c r="M489" i="1" a="1"/>
  <c r="M489" i="1" s="1"/>
  <c r="M490" i="1" a="1"/>
  <c r="M490" i="1" s="1"/>
  <c r="M491" i="1" a="1"/>
  <c r="M491" i="1" s="1"/>
  <c r="M492" i="1" a="1"/>
  <c r="M492" i="1" s="1"/>
  <c r="M493" i="1" a="1"/>
  <c r="M493" i="1" s="1"/>
  <c r="M494" i="1" a="1"/>
  <c r="M494" i="1" s="1"/>
  <c r="M495" i="1" a="1"/>
  <c r="M495" i="1" s="1"/>
  <c r="M496" i="1" a="1"/>
  <c r="M496" i="1" s="1"/>
  <c r="Q497" i="1" a="1"/>
  <c r="Q497" i="1" s="1"/>
  <c r="S497" i="14" s="1"/>
  <c r="D498" i="1" a="1"/>
  <c r="D498" i="1" s="1"/>
  <c r="I498" i="14" s="1"/>
  <c r="H498" i="1" a="1"/>
  <c r="H498" i="1" s="1"/>
  <c r="J498" i="14" s="1"/>
  <c r="L498" i="1" a="1"/>
  <c r="L498" i="1" s="1"/>
  <c r="G483" i="1" a="1"/>
  <c r="G483" i="1" s="1"/>
  <c r="L484" i="1" a="1"/>
  <c r="L484" i="1" s="1"/>
  <c r="D485" i="1" a="1"/>
  <c r="D485" i="1" s="1"/>
  <c r="I485" i="14" s="1"/>
  <c r="O486" i="1"/>
  <c r="M486" i="14" s="1"/>
  <c r="F487" i="1" a="1"/>
  <c r="F487" i="1" s="1"/>
  <c r="R487" i="14" s="1"/>
  <c r="M487" i="1" a="1"/>
  <c r="M487" i="1" s="1"/>
  <c r="G488" i="1" a="1"/>
  <c r="G488" i="1" s="1"/>
  <c r="L488" i="1" a="1"/>
  <c r="L488" i="1" s="1"/>
  <c r="O489" i="1"/>
  <c r="M489" i="14" s="1"/>
  <c r="F490" i="1" a="1"/>
  <c r="F490" i="1" s="1"/>
  <c r="R490" i="14" s="1"/>
  <c r="J490" i="1" a="1"/>
  <c r="J490" i="1" s="1"/>
  <c r="P490" i="1" a="1"/>
  <c r="P490" i="1" s="1"/>
  <c r="C491" i="1" a="1"/>
  <c r="C491" i="1" s="1"/>
  <c r="E491" i="14" s="1"/>
  <c r="G491" i="1" a="1"/>
  <c r="G491" i="1" s="1"/>
  <c r="K491" i="1" a="1"/>
  <c r="K491" i="1" s="1"/>
  <c r="Q491" i="1" a="1"/>
  <c r="Q491" i="1" s="1"/>
  <c r="S491" i="14" s="1"/>
  <c r="D492" i="1" a="1"/>
  <c r="D492" i="1" s="1"/>
  <c r="I492" i="14" s="1"/>
  <c r="H492" i="1" a="1"/>
  <c r="H492" i="1" s="1"/>
  <c r="J492" i="14" s="1"/>
  <c r="L492" i="1" a="1"/>
  <c r="L492" i="1" s="1"/>
  <c r="O493" i="1"/>
  <c r="M493" i="14" s="1"/>
  <c r="F494" i="1" a="1"/>
  <c r="F494" i="1" s="1"/>
  <c r="R494" i="14" s="1"/>
  <c r="J494" i="1" a="1"/>
  <c r="J494" i="1" s="1"/>
  <c r="P494" i="1" a="1"/>
  <c r="P494" i="1" s="1"/>
  <c r="C495" i="1" a="1"/>
  <c r="C495" i="1" s="1"/>
  <c r="E495" i="14" s="1"/>
  <c r="G495" i="1" a="1"/>
  <c r="G495" i="1" s="1"/>
  <c r="K495" i="1" a="1"/>
  <c r="K495" i="1" s="1"/>
  <c r="Q495" i="1" a="1"/>
  <c r="Q495" i="1" s="1"/>
  <c r="S495" i="14" s="1"/>
  <c r="D496" i="1" a="1"/>
  <c r="D496" i="1" s="1"/>
  <c r="I496" i="14" s="1"/>
  <c r="H496" i="1" a="1"/>
  <c r="H496" i="1" s="1"/>
  <c r="J496" i="14" s="1"/>
  <c r="L496" i="1" a="1"/>
  <c r="L496" i="1" s="1"/>
  <c r="M497" i="1" a="1"/>
  <c r="M497" i="1" s="1"/>
  <c r="G498" i="1" a="1"/>
  <c r="G498" i="1" s="1"/>
  <c r="M498" i="1" a="1"/>
  <c r="M498" i="1" s="1"/>
  <c r="L499" i="1" a="1"/>
  <c r="L499" i="1" s="1"/>
  <c r="C500" i="1" a="1"/>
  <c r="C500" i="1" s="1"/>
  <c r="E500" i="14" s="1"/>
  <c r="G500" i="1" a="1"/>
  <c r="G500" i="1" s="1"/>
  <c r="K500" i="1" a="1"/>
  <c r="K500" i="1" s="1"/>
  <c r="P500" i="1" a="1"/>
  <c r="P500" i="1" s="1"/>
  <c r="C501" i="1" a="1"/>
  <c r="C501" i="1" s="1"/>
  <c r="E501" i="14" s="1"/>
  <c r="G501" i="1" a="1"/>
  <c r="G501" i="1" s="1"/>
  <c r="K501" i="1" a="1"/>
  <c r="K501" i="1" s="1"/>
  <c r="P501" i="1" a="1"/>
  <c r="P501" i="1" s="1"/>
  <c r="C502" i="1" a="1"/>
  <c r="C502" i="1" s="1"/>
  <c r="E502" i="14" s="1"/>
  <c r="G502" i="1" a="1"/>
  <c r="G502" i="1" s="1"/>
  <c r="K502" i="1" a="1"/>
  <c r="K502" i="1" s="1"/>
  <c r="P502" i="1" a="1"/>
  <c r="P502" i="1" s="1"/>
  <c r="C503" i="1" a="1"/>
  <c r="C503" i="1" s="1"/>
  <c r="E503" i="14" s="1"/>
  <c r="G503" i="1" a="1"/>
  <c r="G503" i="1" s="1"/>
  <c r="J503" i="1" a="1"/>
  <c r="J503" i="1" s="1"/>
  <c r="O503" i="1"/>
  <c r="M503" i="14" s="1"/>
  <c r="M504" i="1" a="1"/>
  <c r="M504" i="1" s="1"/>
  <c r="M505" i="1" a="1"/>
  <c r="M505" i="1" s="1"/>
  <c r="C507" i="1" a="1"/>
  <c r="C507" i="1" s="1"/>
  <c r="E507" i="14" s="1"/>
  <c r="M507" i="1" a="1"/>
  <c r="M507" i="1" s="1"/>
  <c r="Q507" i="1" a="1"/>
  <c r="Q507" i="1" s="1"/>
  <c r="S507" i="14" s="1"/>
  <c r="D508" i="1" a="1"/>
  <c r="D508" i="1" s="1"/>
  <c r="I508" i="14" s="1"/>
  <c r="H508" i="1" a="1"/>
  <c r="H508" i="1" s="1"/>
  <c r="J508" i="14" s="1"/>
  <c r="L508" i="1" a="1"/>
  <c r="L508" i="1" s="1"/>
  <c r="Q508" i="1" a="1"/>
  <c r="Q508" i="1" s="1"/>
  <c r="S508" i="14" s="1"/>
  <c r="D509" i="1" a="1"/>
  <c r="D509" i="1" s="1"/>
  <c r="I509" i="14" s="1"/>
  <c r="H509" i="1" a="1"/>
  <c r="H509" i="1" s="1"/>
  <c r="J509" i="14" s="1"/>
  <c r="L509" i="1" a="1"/>
  <c r="L509" i="1" s="1"/>
  <c r="Q509" i="1" a="1"/>
  <c r="Q509" i="1" s="1"/>
  <c r="S509" i="14" s="1"/>
  <c r="D510" i="1" a="1"/>
  <c r="D510" i="1" s="1"/>
  <c r="I510" i="14" s="1"/>
  <c r="H510" i="1" a="1"/>
  <c r="H510" i="1" s="1"/>
  <c r="J510" i="14" s="1"/>
  <c r="K510" i="1" a="1"/>
  <c r="K510" i="1" s="1"/>
  <c r="P510" i="1" a="1"/>
  <c r="P510" i="1" s="1"/>
  <c r="C511" i="1" a="1"/>
  <c r="C511" i="1" s="1"/>
  <c r="E511" i="14" s="1"/>
  <c r="G511" i="1" a="1"/>
  <c r="G511" i="1" s="1"/>
  <c r="K511" i="1" a="1"/>
  <c r="K511" i="1" s="1"/>
  <c r="P511" i="1" a="1"/>
  <c r="P511" i="1" s="1"/>
  <c r="C512" i="1" a="1"/>
  <c r="C512" i="1" s="1"/>
  <c r="E512" i="14" s="1"/>
  <c r="G512" i="1" a="1"/>
  <c r="G512" i="1" s="1"/>
  <c r="K512" i="1" a="1"/>
  <c r="K512" i="1" s="1"/>
  <c r="P512" i="1" a="1"/>
  <c r="P512" i="1" s="1"/>
  <c r="C513" i="1" a="1"/>
  <c r="C513" i="1" s="1"/>
  <c r="E513" i="14" s="1"/>
  <c r="G513" i="1" a="1"/>
  <c r="G513" i="1" s="1"/>
  <c r="K513" i="1" a="1"/>
  <c r="K513" i="1" s="1"/>
  <c r="P513" i="1" a="1"/>
  <c r="P513" i="1" s="1"/>
  <c r="F514" i="1" a="1"/>
  <c r="F514" i="1" s="1"/>
  <c r="R514" i="14" s="1"/>
  <c r="J514" i="1" a="1"/>
  <c r="J514" i="1" s="1"/>
  <c r="O514" i="1"/>
  <c r="M514" i="14" s="1"/>
  <c r="F515" i="1" a="1"/>
  <c r="F515" i="1" s="1"/>
  <c r="R515" i="14" s="1"/>
  <c r="M515" i="1" a="1"/>
  <c r="M515" i="1" s="1"/>
  <c r="Q515" i="1" a="1"/>
  <c r="Q515" i="1" s="1"/>
  <c r="S515" i="14" s="1"/>
  <c r="D516" i="1" a="1"/>
  <c r="D516" i="1" s="1"/>
  <c r="I516" i="14" s="1"/>
  <c r="H516" i="1" a="1"/>
  <c r="H516" i="1" s="1"/>
  <c r="J516" i="14" s="1"/>
  <c r="L516" i="1" a="1"/>
  <c r="L516" i="1" s="1"/>
  <c r="Q516" i="1" a="1"/>
  <c r="Q516" i="1" s="1"/>
  <c r="S516" i="14" s="1"/>
  <c r="D517" i="1" a="1"/>
  <c r="D517" i="1" s="1"/>
  <c r="I517" i="14" s="1"/>
  <c r="H517" i="1" a="1"/>
  <c r="H517" i="1" s="1"/>
  <c r="J517" i="14" s="1"/>
  <c r="L517" i="1" a="1"/>
  <c r="L517" i="1" s="1"/>
  <c r="Q517" i="1" a="1"/>
  <c r="Q517" i="1" s="1"/>
  <c r="S517" i="14" s="1"/>
  <c r="D518" i="1" a="1"/>
  <c r="D518" i="1" s="1"/>
  <c r="I518" i="14" s="1"/>
  <c r="H518" i="1" a="1"/>
  <c r="H518" i="1" s="1"/>
  <c r="J518" i="14" s="1"/>
  <c r="K518" i="1" a="1"/>
  <c r="K518" i="1" s="1"/>
  <c r="P518" i="1" a="1"/>
  <c r="P518" i="1" s="1"/>
  <c r="C519" i="1" a="1"/>
  <c r="C519" i="1" s="1"/>
  <c r="E519" i="14" s="1"/>
  <c r="G519" i="1" a="1"/>
  <c r="G519" i="1" s="1"/>
  <c r="J519" i="1" a="1"/>
  <c r="J519" i="1" s="1"/>
  <c r="O519" i="1"/>
  <c r="M519" i="14" s="1"/>
  <c r="H520" i="1" a="1"/>
  <c r="H520" i="1" s="1"/>
  <c r="J520" i="14" s="1"/>
  <c r="L520" i="1" a="1"/>
  <c r="L520" i="1" s="1"/>
  <c r="P520" i="1" a="1"/>
  <c r="P520" i="1" s="1"/>
  <c r="C521" i="1" a="1"/>
  <c r="C521" i="1" s="1"/>
  <c r="E521" i="14" s="1"/>
  <c r="G521" i="1" a="1"/>
  <c r="G521" i="1" s="1"/>
  <c r="K521" i="1" a="1"/>
  <c r="K521" i="1" s="1"/>
  <c r="P521" i="1" a="1"/>
  <c r="P521" i="1" s="1"/>
  <c r="C522" i="1" a="1"/>
  <c r="C522" i="1" s="1"/>
  <c r="E522" i="14" s="1"/>
  <c r="G522" i="1" a="1"/>
  <c r="G522" i="1" s="1"/>
  <c r="K522" i="1" a="1"/>
  <c r="K522" i="1" s="1"/>
  <c r="P522" i="1" a="1"/>
  <c r="P522" i="1" s="1"/>
  <c r="C523" i="1" a="1"/>
  <c r="C523" i="1" s="1"/>
  <c r="E523" i="14" s="1"/>
  <c r="G523" i="1" a="1"/>
  <c r="G523" i="1" s="1"/>
  <c r="K523" i="1" a="1"/>
  <c r="K523" i="1" s="1"/>
  <c r="P523" i="1" a="1"/>
  <c r="P523" i="1" s="1"/>
  <c r="C524" i="1" a="1"/>
  <c r="C524" i="1" s="1"/>
  <c r="E524" i="14" s="1"/>
  <c r="G524" i="1" a="1"/>
  <c r="G524" i="1" s="1"/>
  <c r="K524" i="1" a="1"/>
  <c r="K524" i="1" s="1"/>
  <c r="P524" i="1" a="1"/>
  <c r="P524" i="1" s="1"/>
  <c r="C525" i="1" a="1"/>
  <c r="C525" i="1" s="1"/>
  <c r="E525" i="14" s="1"/>
  <c r="G525" i="1" a="1"/>
  <c r="G525" i="1" s="1"/>
  <c r="K525" i="1" a="1"/>
  <c r="K525" i="1" s="1"/>
  <c r="P525" i="1" a="1"/>
  <c r="P525" i="1" s="1"/>
  <c r="C526" i="1" a="1"/>
  <c r="C526" i="1" s="1"/>
  <c r="E526" i="14" s="1"/>
  <c r="G526" i="1" a="1"/>
  <c r="G526" i="1" s="1"/>
  <c r="K526" i="1" a="1"/>
  <c r="K526" i="1" s="1"/>
  <c r="P526" i="1" a="1"/>
  <c r="P526" i="1" s="1"/>
  <c r="C527" i="1" a="1"/>
  <c r="C527" i="1" s="1"/>
  <c r="E527" i="14" s="1"/>
  <c r="G527" i="1" a="1"/>
  <c r="G527" i="1" s="1"/>
  <c r="K527" i="1" a="1"/>
  <c r="K527" i="1" s="1"/>
  <c r="P527" i="1" a="1"/>
  <c r="P527" i="1" s="1"/>
  <c r="C528" i="1" a="1"/>
  <c r="C528" i="1" s="1"/>
  <c r="E528" i="14" s="1"/>
  <c r="G528" i="1" a="1"/>
  <c r="G528" i="1" s="1"/>
  <c r="K528" i="1" a="1"/>
  <c r="K528" i="1" s="1"/>
  <c r="P528" i="1" a="1"/>
  <c r="P528" i="1" s="1"/>
  <c r="C529" i="1" a="1"/>
  <c r="C529" i="1" s="1"/>
  <c r="E529" i="14" s="1"/>
  <c r="G529" i="1" a="1"/>
  <c r="G529" i="1" s="1"/>
  <c r="J529" i="1" a="1"/>
  <c r="J529" i="1" s="1"/>
  <c r="O529" i="1"/>
  <c r="M529" i="14" s="1"/>
  <c r="F530" i="1" a="1"/>
  <c r="F530" i="1" s="1"/>
  <c r="R530" i="14" s="1"/>
  <c r="J530" i="1" a="1"/>
  <c r="J530" i="1" s="1"/>
  <c r="O530" i="1"/>
  <c r="M530" i="14" s="1"/>
  <c r="F531" i="1" a="1"/>
  <c r="F531" i="1" s="1"/>
  <c r="R531" i="14" s="1"/>
  <c r="M531" i="1" a="1"/>
  <c r="M531" i="1" s="1"/>
  <c r="M532" i="1" a="1"/>
  <c r="M532" i="1" s="1"/>
  <c r="Q532" i="1" a="1"/>
  <c r="Q532" i="1" s="1"/>
  <c r="S532" i="14" s="1"/>
  <c r="C533" i="1" a="1"/>
  <c r="C533" i="1" s="1"/>
  <c r="E533" i="14" s="1"/>
  <c r="G533" i="1" a="1"/>
  <c r="G533" i="1" s="1"/>
  <c r="J533" i="1" a="1"/>
  <c r="J533" i="1" s="1"/>
  <c r="M533" i="1" a="1"/>
  <c r="M533" i="1" s="1"/>
  <c r="M534" i="1" a="1"/>
  <c r="M534" i="1" s="1"/>
  <c r="M535" i="1" a="1"/>
  <c r="M535" i="1" s="1"/>
  <c r="M536" i="1" a="1"/>
  <c r="M536" i="1" s="1"/>
  <c r="H537" i="1" a="1"/>
  <c r="H537" i="1" s="1"/>
  <c r="J537" i="14" s="1"/>
  <c r="L537" i="1" a="1"/>
  <c r="L537" i="1" s="1"/>
  <c r="Q537" i="1" a="1"/>
  <c r="Q537" i="1" s="1"/>
  <c r="S537" i="14" s="1"/>
  <c r="D538" i="1" a="1"/>
  <c r="D538" i="1" s="1"/>
  <c r="I538" i="14" s="1"/>
  <c r="H538" i="1" a="1"/>
  <c r="H538" i="1" s="1"/>
  <c r="J538" i="14" s="1"/>
  <c r="L538" i="1" a="1"/>
  <c r="L538" i="1" s="1"/>
  <c r="Q538" i="1" a="1"/>
  <c r="Q538" i="1" s="1"/>
  <c r="S538" i="14" s="1"/>
  <c r="D539" i="1" a="1"/>
  <c r="D539" i="1" s="1"/>
  <c r="I539" i="14" s="1"/>
  <c r="G539" i="1" a="1"/>
  <c r="G539" i="1" s="1"/>
  <c r="K539" i="1" a="1"/>
  <c r="K539" i="1" s="1"/>
  <c r="P539" i="1" a="1"/>
  <c r="P539" i="1" s="1"/>
  <c r="C540" i="1" a="1"/>
  <c r="C540" i="1" s="1"/>
  <c r="E540" i="14" s="1"/>
  <c r="F540" i="1" a="1"/>
  <c r="F540" i="1" s="1"/>
  <c r="R540" i="14" s="1"/>
  <c r="J540" i="1" a="1"/>
  <c r="J540" i="1" s="1"/>
  <c r="O540" i="1"/>
  <c r="M540" i="14" s="1"/>
  <c r="F541" i="1" a="1"/>
  <c r="F541" i="1" s="1"/>
  <c r="R541" i="14" s="1"/>
  <c r="J541" i="1" a="1"/>
  <c r="J541" i="1" s="1"/>
  <c r="O541" i="1"/>
  <c r="M541" i="14" s="1"/>
  <c r="F542" i="1" a="1"/>
  <c r="F542" i="1" s="1"/>
  <c r="R542" i="14" s="1"/>
  <c r="M542" i="1" a="1"/>
  <c r="M542" i="1" s="1"/>
  <c r="H543" i="1" a="1"/>
  <c r="H543" i="1" s="1"/>
  <c r="J543" i="14" s="1"/>
  <c r="L543" i="1" a="1"/>
  <c r="L543" i="1" s="1"/>
  <c r="Q543" i="1" a="1"/>
  <c r="Q543" i="1" s="1"/>
  <c r="S543" i="14" s="1"/>
  <c r="D544" i="1" a="1"/>
  <c r="D544" i="1" s="1"/>
  <c r="I544" i="14" s="1"/>
  <c r="H544" i="1" a="1"/>
  <c r="H544" i="1" s="1"/>
  <c r="J544" i="14" s="1"/>
  <c r="L544" i="1" a="1"/>
  <c r="L544" i="1" s="1"/>
  <c r="Q544" i="1" a="1"/>
  <c r="Q544" i="1" s="1"/>
  <c r="S544" i="14" s="1"/>
  <c r="D545" i="1" a="1"/>
  <c r="D545" i="1" s="1"/>
  <c r="I545" i="14" s="1"/>
  <c r="H545" i="1" a="1"/>
  <c r="H545" i="1" s="1"/>
  <c r="J545" i="14" s="1"/>
  <c r="L545" i="1" a="1"/>
  <c r="L545" i="1" s="1"/>
  <c r="Q545" i="1" a="1"/>
  <c r="Q545" i="1" s="1"/>
  <c r="S545" i="14" s="1"/>
  <c r="D546" i="1" a="1"/>
  <c r="D546" i="1" s="1"/>
  <c r="I546" i="14" s="1"/>
  <c r="H546" i="1" a="1"/>
  <c r="H546" i="1" s="1"/>
  <c r="J546" i="14" s="1"/>
  <c r="K546" i="1" a="1"/>
  <c r="K546" i="1" s="1"/>
  <c r="P546" i="1" a="1"/>
  <c r="P546" i="1" s="1"/>
  <c r="C547" i="1" a="1"/>
  <c r="C547" i="1" s="1"/>
  <c r="E547" i="14" s="1"/>
  <c r="G547" i="1" a="1"/>
  <c r="G547" i="1" s="1"/>
  <c r="K547" i="1" a="1"/>
  <c r="K547" i="1" s="1"/>
  <c r="P547" i="1" a="1"/>
  <c r="P547" i="1" s="1"/>
  <c r="C548" i="1" a="1"/>
  <c r="C548" i="1" s="1"/>
  <c r="E548" i="14" s="1"/>
  <c r="F548" i="1" a="1"/>
  <c r="F548" i="1" s="1"/>
  <c r="R548" i="14" s="1"/>
  <c r="J548" i="1" a="1"/>
  <c r="J548" i="1" s="1"/>
  <c r="M548" i="1" a="1"/>
  <c r="M548" i="1" s="1"/>
  <c r="H549" i="1" a="1"/>
  <c r="H549" i="1" s="1"/>
  <c r="J549" i="14" s="1"/>
  <c r="K549" i="1" a="1"/>
  <c r="K549" i="1" s="1"/>
  <c r="P549" i="1" a="1"/>
  <c r="P549" i="1" s="1"/>
  <c r="H550" i="1" a="1"/>
  <c r="H550" i="1" s="1"/>
  <c r="J550" i="14" s="1"/>
  <c r="L550" i="1" a="1"/>
  <c r="L550" i="1" s="1"/>
  <c r="Q550" i="1" a="1"/>
  <c r="Q550" i="1" s="1"/>
  <c r="S550" i="14" s="1"/>
  <c r="D551" i="1" a="1"/>
  <c r="D551" i="1" s="1"/>
  <c r="I551" i="14" s="1"/>
  <c r="H551" i="1" a="1"/>
  <c r="H551" i="1" s="1"/>
  <c r="J551" i="14" s="1"/>
  <c r="L551" i="1" a="1"/>
  <c r="L551" i="1" s="1"/>
  <c r="P551" i="1" a="1"/>
  <c r="P551" i="1" s="1"/>
  <c r="C552" i="1" a="1"/>
  <c r="C552" i="1" s="1"/>
  <c r="E552" i="14" s="1"/>
  <c r="G552" i="1" a="1"/>
  <c r="G552" i="1" s="1"/>
  <c r="K552" i="1" a="1"/>
  <c r="K552" i="1" s="1"/>
  <c r="P552" i="1" a="1"/>
  <c r="P552" i="1" s="1"/>
  <c r="C553" i="1" a="1"/>
  <c r="C553" i="1" s="1"/>
  <c r="E553" i="14" s="1"/>
  <c r="G553" i="1" a="1"/>
  <c r="G553" i="1" s="1"/>
  <c r="K553" i="1" a="1"/>
  <c r="K553" i="1" s="1"/>
  <c r="P553" i="1" a="1"/>
  <c r="P553" i="1" s="1"/>
  <c r="C554" i="1" a="1"/>
  <c r="C554" i="1" s="1"/>
  <c r="E554" i="14" s="1"/>
  <c r="G554" i="1" a="1"/>
  <c r="G554" i="1" s="1"/>
  <c r="K554" i="1" a="1"/>
  <c r="K554" i="1" s="1"/>
  <c r="P554" i="1" a="1"/>
  <c r="P554" i="1" s="1"/>
  <c r="C555" i="1" a="1"/>
  <c r="C555" i="1" s="1"/>
  <c r="E555" i="14" s="1"/>
  <c r="G555" i="1" a="1"/>
  <c r="G555" i="1" s="1"/>
  <c r="J555" i="1" a="1"/>
  <c r="J555" i="1" s="1"/>
  <c r="M555" i="1" a="1"/>
  <c r="M555" i="1" s="1"/>
  <c r="M556" i="1" a="1"/>
  <c r="M556" i="1" s="1"/>
  <c r="H557" i="1" a="1"/>
  <c r="H557" i="1" s="1"/>
  <c r="J557" i="14" s="1"/>
  <c r="K557" i="1" a="1"/>
  <c r="K557" i="1" s="1"/>
  <c r="P557" i="1" a="1"/>
  <c r="P557" i="1" s="1"/>
  <c r="C558" i="1" a="1"/>
  <c r="C558" i="1" s="1"/>
  <c r="E558" i="14" s="1"/>
  <c r="G558" i="1" a="1"/>
  <c r="G558" i="1" s="1"/>
  <c r="K558" i="1" a="1"/>
  <c r="K558" i="1" s="1"/>
  <c r="P558" i="1" a="1"/>
  <c r="P558" i="1" s="1"/>
  <c r="C559" i="1" a="1"/>
  <c r="C559" i="1" s="1"/>
  <c r="E559" i="14" s="1"/>
  <c r="G559" i="1" a="1"/>
  <c r="G559" i="1" s="1"/>
  <c r="K559" i="1" a="1"/>
  <c r="K559" i="1" s="1"/>
  <c r="P559" i="1" a="1"/>
  <c r="P559" i="1" s="1"/>
  <c r="C560" i="1" a="1"/>
  <c r="C560" i="1" s="1"/>
  <c r="E560" i="14" s="1"/>
  <c r="G560" i="1" a="1"/>
  <c r="G560" i="1" s="1"/>
  <c r="K560" i="1" a="1"/>
  <c r="K560" i="1" s="1"/>
  <c r="P560" i="1" a="1"/>
  <c r="P560" i="1" s="1"/>
  <c r="C561" i="1" a="1"/>
  <c r="C561" i="1" s="1"/>
  <c r="E561" i="14" s="1"/>
  <c r="G561" i="1" a="1"/>
  <c r="G561" i="1" s="1"/>
  <c r="K561" i="1" a="1"/>
  <c r="K561" i="1" s="1"/>
  <c r="P561" i="1" a="1"/>
  <c r="P561" i="1" s="1"/>
  <c r="C562" i="1" a="1"/>
  <c r="C562" i="1" s="1"/>
  <c r="E562" i="14" s="1"/>
  <c r="G562" i="1" a="1"/>
  <c r="G562" i="1" s="1"/>
  <c r="M562" i="1" a="1"/>
  <c r="M562" i="1" s="1"/>
  <c r="Q562" i="1" a="1"/>
  <c r="Q562" i="1" s="1"/>
  <c r="S562" i="14" s="1"/>
  <c r="D563" i="1" a="1"/>
  <c r="D563" i="1" s="1"/>
  <c r="I563" i="14" s="1"/>
  <c r="G563" i="1" a="1"/>
  <c r="G563" i="1" s="1"/>
  <c r="K563" i="1" a="1"/>
  <c r="K563" i="1" s="1"/>
  <c r="P563" i="1" a="1"/>
  <c r="P563" i="1" s="1"/>
  <c r="C564" i="1" a="1"/>
  <c r="C564" i="1" s="1"/>
  <c r="E564" i="14" s="1"/>
  <c r="G564" i="1" a="1"/>
  <c r="G564" i="1" s="1"/>
  <c r="K564" i="1" a="1"/>
  <c r="K564" i="1" s="1"/>
  <c r="P564" i="1" a="1"/>
  <c r="P564" i="1" s="1"/>
  <c r="C565" i="1" a="1"/>
  <c r="C565" i="1" s="1"/>
  <c r="E565" i="14" s="1"/>
  <c r="G565" i="1" a="1"/>
  <c r="G565" i="1" s="1"/>
  <c r="K565" i="1" a="1"/>
  <c r="K565" i="1" s="1"/>
  <c r="O565" i="1"/>
  <c r="M565" i="14" s="1"/>
  <c r="F566" i="1" a="1"/>
  <c r="F566" i="1" s="1"/>
  <c r="R566" i="14" s="1"/>
  <c r="M566" i="1" a="1"/>
  <c r="M566" i="1" s="1"/>
  <c r="Q566" i="1" a="1"/>
  <c r="Q566" i="1" s="1"/>
  <c r="S566" i="14" s="1"/>
  <c r="D567" i="1" a="1"/>
  <c r="D567" i="1" s="1"/>
  <c r="I567" i="14" s="1"/>
  <c r="H567" i="1" a="1"/>
  <c r="H567" i="1" s="1"/>
  <c r="J567" i="14" s="1"/>
  <c r="L567" i="1" a="1"/>
  <c r="L567" i="1" s="1"/>
  <c r="P567" i="1" a="1"/>
  <c r="P567" i="1" s="1"/>
  <c r="C568" i="1" a="1"/>
  <c r="C568" i="1" s="1"/>
  <c r="E568" i="14" s="1"/>
  <c r="J568" i="1" a="1"/>
  <c r="J568" i="1" s="1"/>
  <c r="O568" i="1"/>
  <c r="M568" i="14" s="1"/>
  <c r="L569" i="1" a="1"/>
  <c r="L569" i="1" s="1"/>
  <c r="P569" i="1" a="1"/>
  <c r="P569" i="1" s="1"/>
  <c r="C570" i="1" a="1"/>
  <c r="C570" i="1" s="1"/>
  <c r="E570" i="14" s="1"/>
  <c r="M570" i="1" a="1"/>
  <c r="M570" i="1" s="1"/>
  <c r="Q570" i="1" a="1"/>
  <c r="Q570" i="1" s="1"/>
  <c r="S570" i="14" s="1"/>
  <c r="D571" i="1" a="1"/>
  <c r="D571" i="1" s="1"/>
  <c r="I571" i="14" s="1"/>
  <c r="H571" i="1" a="1"/>
  <c r="H571" i="1" s="1"/>
  <c r="J571" i="14" s="1"/>
  <c r="L571" i="1" a="1"/>
  <c r="L571" i="1" s="1"/>
  <c r="Q571" i="1" a="1"/>
  <c r="Q571" i="1" s="1"/>
  <c r="S571" i="14" s="1"/>
  <c r="D572" i="1" a="1"/>
  <c r="D572" i="1" s="1"/>
  <c r="I572" i="14" s="1"/>
  <c r="K572" i="1" a="1"/>
  <c r="K572" i="1" s="1"/>
  <c r="P572" i="1" a="1"/>
  <c r="P572" i="1" s="1"/>
  <c r="C573" i="1" a="1"/>
  <c r="C573" i="1" s="1"/>
  <c r="E573" i="14" s="1"/>
  <c r="G573" i="1" a="1"/>
  <c r="G573" i="1" s="1"/>
  <c r="M573" i="1" a="1"/>
  <c r="M573" i="1" s="1"/>
  <c r="H574" i="1" a="1"/>
  <c r="H574" i="1" s="1"/>
  <c r="J574" i="14" s="1"/>
  <c r="K574" i="1" a="1"/>
  <c r="K574" i="1" s="1"/>
  <c r="P574" i="1" a="1"/>
  <c r="P574" i="1" s="1"/>
  <c r="F575" i="1" a="1"/>
  <c r="F575" i="1" s="1"/>
  <c r="R575" i="14" s="1"/>
  <c r="J575" i="1" a="1"/>
  <c r="J575" i="1" s="1"/>
  <c r="Q575" i="1" a="1"/>
  <c r="Q575" i="1" s="1"/>
  <c r="S575" i="14" s="1"/>
  <c r="D576" i="1" a="1"/>
  <c r="D576" i="1" s="1"/>
  <c r="I576" i="14" s="1"/>
  <c r="H576" i="1" a="1"/>
  <c r="H576" i="1" s="1"/>
  <c r="J576" i="14" s="1"/>
  <c r="L576" i="1" a="1"/>
  <c r="L576" i="1" s="1"/>
  <c r="Q576" i="1" a="1"/>
  <c r="Q576" i="1" s="1"/>
  <c r="S576" i="14" s="1"/>
  <c r="D577" i="1" a="1"/>
  <c r="D577" i="1" s="1"/>
  <c r="I577" i="14" s="1"/>
  <c r="H577" i="1" a="1"/>
  <c r="H577" i="1" s="1"/>
  <c r="J577" i="14" s="1"/>
  <c r="L577" i="1" a="1"/>
  <c r="L577" i="1" s="1"/>
  <c r="P577" i="1" a="1"/>
  <c r="P577" i="1" s="1"/>
  <c r="C578" i="1" a="1"/>
  <c r="C578" i="1" s="1"/>
  <c r="E578" i="14" s="1"/>
  <c r="G578" i="1" a="1"/>
  <c r="G578" i="1" s="1"/>
  <c r="J578" i="1" a="1"/>
  <c r="J578" i="1" s="1"/>
  <c r="M578" i="1" a="1"/>
  <c r="M578" i="1" s="1"/>
  <c r="M579" i="1" a="1"/>
  <c r="M579" i="1" s="1"/>
  <c r="H580" i="1" a="1"/>
  <c r="H580" i="1" s="1"/>
  <c r="J580" i="14" s="1"/>
  <c r="K580" i="1" a="1"/>
  <c r="K580" i="1" s="1"/>
  <c r="O580" i="1"/>
  <c r="M580" i="14" s="1"/>
  <c r="M581" i="1" a="1"/>
  <c r="M581" i="1" s="1"/>
  <c r="L582" i="1" a="1"/>
  <c r="L582" i="1" s="1"/>
  <c r="Q582" i="1" a="1"/>
  <c r="Q582" i="1" s="1"/>
  <c r="S582" i="14" s="1"/>
  <c r="D583" i="1" a="1"/>
  <c r="D583" i="1" s="1"/>
  <c r="I583" i="14" s="1"/>
  <c r="H583" i="1" a="1"/>
  <c r="H583" i="1" s="1"/>
  <c r="J583" i="14" s="1"/>
  <c r="L583" i="1" a="1"/>
  <c r="L583" i="1" s="1"/>
  <c r="Q583" i="1" a="1"/>
  <c r="Q583" i="1" s="1"/>
  <c r="S583" i="14" s="1"/>
  <c r="C584" i="1" a="1"/>
  <c r="C584" i="1" s="1"/>
  <c r="E584" i="14" s="1"/>
  <c r="F584" i="1" a="1"/>
  <c r="F584" i="1" s="1"/>
  <c r="R584" i="14" s="1"/>
  <c r="J584" i="1" a="1"/>
  <c r="J584" i="1" s="1"/>
  <c r="M584" i="1" a="1"/>
  <c r="M584" i="1" s="1"/>
  <c r="L585" i="1" a="1"/>
  <c r="L585" i="1" s="1"/>
  <c r="Q484" i="1" a="1"/>
  <c r="Q484" i="1" s="1"/>
  <c r="S484" i="14" s="1"/>
  <c r="O485" i="1"/>
  <c r="M485" i="14" s="1"/>
  <c r="F486" i="1" a="1"/>
  <c r="F486" i="1" s="1"/>
  <c r="R486" i="14" s="1"/>
  <c r="C488" i="1" a="1"/>
  <c r="C488" i="1" s="1"/>
  <c r="E488" i="14" s="1"/>
  <c r="H488" i="1" a="1"/>
  <c r="H488" i="1" s="1"/>
  <c r="J488" i="14" s="1"/>
  <c r="M488" i="1" a="1"/>
  <c r="M488" i="1" s="1"/>
  <c r="G489" i="1" a="1"/>
  <c r="G489" i="1" s="1"/>
  <c r="J489" i="1" a="1"/>
  <c r="J489" i="1" s="1"/>
  <c r="P489" i="1" a="1"/>
  <c r="P489" i="1" s="1"/>
  <c r="C490" i="1" a="1"/>
  <c r="C490" i="1" s="1"/>
  <c r="E490" i="14" s="1"/>
  <c r="G490" i="1" a="1"/>
  <c r="G490" i="1" s="1"/>
  <c r="K490" i="1" a="1"/>
  <c r="K490" i="1" s="1"/>
  <c r="Q490" i="1" a="1"/>
  <c r="Q490" i="1" s="1"/>
  <c r="S490" i="14" s="1"/>
  <c r="D491" i="1" a="1"/>
  <c r="D491" i="1" s="1"/>
  <c r="I491" i="14" s="1"/>
  <c r="H491" i="1" a="1"/>
  <c r="H491" i="1" s="1"/>
  <c r="J491" i="14" s="1"/>
  <c r="L491" i="1" a="1"/>
  <c r="L491" i="1" s="1"/>
  <c r="O492" i="1"/>
  <c r="M492" i="14" s="1"/>
  <c r="F493" i="1" a="1"/>
  <c r="F493" i="1" s="1"/>
  <c r="R493" i="14" s="1"/>
  <c r="J493" i="1" a="1"/>
  <c r="J493" i="1" s="1"/>
  <c r="P493" i="1" a="1"/>
  <c r="P493" i="1" s="1"/>
  <c r="C494" i="1" a="1"/>
  <c r="C494" i="1" s="1"/>
  <c r="E494" i="14" s="1"/>
  <c r="G494" i="1" a="1"/>
  <c r="G494" i="1" s="1"/>
  <c r="K494" i="1" a="1"/>
  <c r="K494" i="1" s="1"/>
  <c r="Q494" i="1" a="1"/>
  <c r="Q494" i="1" s="1"/>
  <c r="S494" i="14" s="1"/>
  <c r="D495" i="1" a="1"/>
  <c r="D495" i="1" s="1"/>
  <c r="I495" i="14" s="1"/>
  <c r="H495" i="1" a="1"/>
  <c r="H495" i="1" s="1"/>
  <c r="J495" i="14" s="1"/>
  <c r="L495" i="1" a="1"/>
  <c r="L495" i="1" s="1"/>
  <c r="O496" i="1"/>
  <c r="M496" i="14" s="1"/>
  <c r="F497" i="1" a="1"/>
  <c r="F497" i="1" s="1"/>
  <c r="R497" i="14" s="1"/>
  <c r="J497" i="1" a="1"/>
  <c r="J497" i="1" s="1"/>
  <c r="O497" i="1"/>
  <c r="M497" i="14" s="1"/>
  <c r="C498" i="1" a="1"/>
  <c r="C498" i="1" s="1"/>
  <c r="E498" i="14" s="1"/>
  <c r="O498" i="1"/>
  <c r="M498" i="14" s="1"/>
  <c r="F499" i="1" a="1"/>
  <c r="F499" i="1" s="1"/>
  <c r="R499" i="14" s="1"/>
  <c r="M499" i="1" a="1"/>
  <c r="M499" i="1" s="1"/>
  <c r="Q499" i="1" a="1"/>
  <c r="Q499" i="1" s="1"/>
  <c r="S499" i="14" s="1"/>
  <c r="D500" i="1" a="1"/>
  <c r="D500" i="1" s="1"/>
  <c r="I500" i="14" s="1"/>
  <c r="H500" i="1" a="1"/>
  <c r="H500" i="1" s="1"/>
  <c r="J500" i="14" s="1"/>
  <c r="L500" i="1" a="1"/>
  <c r="L500" i="1" s="1"/>
  <c r="Q500" i="1" a="1"/>
  <c r="Q500" i="1" s="1"/>
  <c r="S500" i="14" s="1"/>
  <c r="D501" i="1" a="1"/>
  <c r="D501" i="1" s="1"/>
  <c r="I501" i="14" s="1"/>
  <c r="H501" i="1" a="1"/>
  <c r="H501" i="1" s="1"/>
  <c r="J501" i="14" s="1"/>
  <c r="L501" i="1" a="1"/>
  <c r="L501" i="1" s="1"/>
  <c r="Q501" i="1" a="1"/>
  <c r="Q501" i="1" s="1"/>
  <c r="S501" i="14" s="1"/>
  <c r="D502" i="1" a="1"/>
  <c r="D502" i="1" s="1"/>
  <c r="I502" i="14" s="1"/>
  <c r="H502" i="1" a="1"/>
  <c r="H502" i="1" s="1"/>
  <c r="J502" i="14" s="1"/>
  <c r="L502" i="1" a="1"/>
  <c r="L502" i="1" s="1"/>
  <c r="Q502" i="1" a="1"/>
  <c r="Q502" i="1" s="1"/>
  <c r="S502" i="14" s="1"/>
  <c r="D503" i="1" a="1"/>
  <c r="D503" i="1" s="1"/>
  <c r="I503" i="14" s="1"/>
  <c r="H503" i="1" a="1"/>
  <c r="H503" i="1" s="1"/>
  <c r="J503" i="14" s="1"/>
  <c r="K503" i="1" a="1"/>
  <c r="K503" i="1" s="1"/>
  <c r="P503" i="1" a="1"/>
  <c r="P503" i="1" s="1"/>
  <c r="F504" i="1" a="1"/>
  <c r="F504" i="1" s="1"/>
  <c r="R504" i="14" s="1"/>
  <c r="J504" i="1" a="1"/>
  <c r="J504" i="1" s="1"/>
  <c r="O504" i="1"/>
  <c r="M504" i="14" s="1"/>
  <c r="F505" i="1" a="1"/>
  <c r="F505" i="1" s="1"/>
  <c r="R505" i="14" s="1"/>
  <c r="J505" i="1" a="1"/>
  <c r="J505" i="1" s="1"/>
  <c r="O505" i="1"/>
  <c r="M505" i="14" s="1"/>
  <c r="F506" i="1" a="1"/>
  <c r="F506" i="1" s="1"/>
  <c r="R506" i="14" s="1"/>
  <c r="J506" i="1" a="1"/>
  <c r="J506" i="1" s="1"/>
  <c r="M506" i="1" a="1"/>
  <c r="M506" i="1" s="1"/>
  <c r="Q506" i="1" a="1"/>
  <c r="Q506" i="1" s="1"/>
  <c r="S506" i="14" s="1"/>
  <c r="D507" i="1" a="1"/>
  <c r="D507" i="1" s="1"/>
  <c r="I507" i="14" s="1"/>
  <c r="G507" i="1" a="1"/>
  <c r="G507" i="1" s="1"/>
  <c r="J507" i="1" a="1"/>
  <c r="J507" i="1" s="1"/>
  <c r="O507" i="1"/>
  <c r="M507" i="14" s="1"/>
  <c r="M508" i="1" a="1"/>
  <c r="M508" i="1" s="1"/>
  <c r="M509" i="1" a="1"/>
  <c r="M509" i="1" s="1"/>
  <c r="L510" i="1" a="1"/>
  <c r="L510" i="1" s="1"/>
  <c r="Q510" i="1" a="1"/>
  <c r="Q510" i="1" s="1"/>
  <c r="S510" i="14" s="1"/>
  <c r="D511" i="1" a="1"/>
  <c r="D511" i="1" s="1"/>
  <c r="I511" i="14" s="1"/>
  <c r="H511" i="1" a="1"/>
  <c r="H511" i="1" s="1"/>
  <c r="J511" i="14" s="1"/>
  <c r="L511" i="1" a="1"/>
  <c r="L511" i="1" s="1"/>
  <c r="Q511" i="1" a="1"/>
  <c r="Q511" i="1" s="1"/>
  <c r="S511" i="14" s="1"/>
  <c r="D512" i="1" a="1"/>
  <c r="D512" i="1" s="1"/>
  <c r="I512" i="14" s="1"/>
  <c r="H512" i="1" a="1"/>
  <c r="H512" i="1" s="1"/>
  <c r="J512" i="14" s="1"/>
  <c r="L512" i="1" a="1"/>
  <c r="L512" i="1" s="1"/>
  <c r="Q512" i="1" a="1"/>
  <c r="Q512" i="1" s="1"/>
  <c r="S512" i="14" s="1"/>
  <c r="D513" i="1" a="1"/>
  <c r="D513" i="1" s="1"/>
  <c r="I513" i="14" s="1"/>
  <c r="H513" i="1" a="1"/>
  <c r="H513" i="1" s="1"/>
  <c r="J513" i="14" s="1"/>
  <c r="L513" i="1" a="1"/>
  <c r="L513" i="1" s="1"/>
  <c r="Q513" i="1" a="1"/>
  <c r="Q513" i="1" s="1"/>
  <c r="S513" i="14" s="1"/>
  <c r="C514" i="1" a="1"/>
  <c r="C514" i="1" s="1"/>
  <c r="E514" i="14" s="1"/>
  <c r="G514" i="1" a="1"/>
  <c r="G514" i="1" s="1"/>
  <c r="K514" i="1" a="1"/>
  <c r="K514" i="1" s="1"/>
  <c r="P514" i="1" a="1"/>
  <c r="P514" i="1" s="1"/>
  <c r="C515" i="1" a="1"/>
  <c r="C515" i="1" s="1"/>
  <c r="E515" i="14" s="1"/>
  <c r="G515" i="1" a="1"/>
  <c r="G515" i="1" s="1"/>
  <c r="J515" i="1" a="1"/>
  <c r="J515" i="1" s="1"/>
  <c r="O515" i="1"/>
  <c r="M515" i="14" s="1"/>
  <c r="M516" i="1" a="1"/>
  <c r="M516" i="1" s="1"/>
  <c r="M517" i="1" a="1"/>
  <c r="M517" i="1" s="1"/>
  <c r="L518" i="1" a="1"/>
  <c r="L518" i="1" s="1"/>
  <c r="Q518" i="1" a="1"/>
  <c r="Q518" i="1" s="1"/>
  <c r="S518" i="14" s="1"/>
  <c r="D519" i="1" a="1"/>
  <c r="D519" i="1" s="1"/>
  <c r="I519" i="14" s="1"/>
  <c r="H519" i="1" a="1"/>
  <c r="H519" i="1" s="1"/>
  <c r="J519" i="14" s="1"/>
  <c r="K519" i="1" a="1"/>
  <c r="K519" i="1" s="1"/>
  <c r="P519" i="1" a="1"/>
  <c r="P519" i="1" s="1"/>
  <c r="C520" i="1" a="1"/>
  <c r="C520" i="1" s="1"/>
  <c r="E520" i="14" s="1"/>
  <c r="F520" i="1" a="1"/>
  <c r="F520" i="1" s="1"/>
  <c r="R520" i="14" s="1"/>
  <c r="M520" i="1" a="1"/>
  <c r="M520" i="1" s="1"/>
  <c r="Q520" i="1" a="1"/>
  <c r="Q520" i="1" s="1"/>
  <c r="S520" i="14" s="1"/>
  <c r="D521" i="1" a="1"/>
  <c r="D521" i="1" s="1"/>
  <c r="I521" i="14" s="1"/>
  <c r="H521" i="1" a="1"/>
  <c r="H521" i="1" s="1"/>
  <c r="J521" i="14" s="1"/>
  <c r="L521" i="1" a="1"/>
  <c r="L521" i="1" s="1"/>
  <c r="Q521" i="1" a="1"/>
  <c r="Q521" i="1" s="1"/>
  <c r="S521" i="14" s="1"/>
  <c r="D522" i="1" a="1"/>
  <c r="D522" i="1" s="1"/>
  <c r="I522" i="14" s="1"/>
  <c r="H522" i="1" a="1"/>
  <c r="H522" i="1" s="1"/>
  <c r="J522" i="14" s="1"/>
  <c r="L522" i="1" a="1"/>
  <c r="L522" i="1" s="1"/>
  <c r="Q522" i="1" a="1"/>
  <c r="Q522" i="1" s="1"/>
  <c r="S522" i="14" s="1"/>
  <c r="D523" i="1" a="1"/>
  <c r="D523" i="1" s="1"/>
  <c r="I523" i="14" s="1"/>
  <c r="H523" i="1" a="1"/>
  <c r="H523" i="1" s="1"/>
  <c r="J523" i="14" s="1"/>
  <c r="L523" i="1" a="1"/>
  <c r="L523" i="1" s="1"/>
  <c r="Q523" i="1" a="1"/>
  <c r="Q523" i="1" s="1"/>
  <c r="S523" i="14" s="1"/>
  <c r="D524" i="1" a="1"/>
  <c r="D524" i="1" s="1"/>
  <c r="I524" i="14" s="1"/>
  <c r="H524" i="1" a="1"/>
  <c r="H524" i="1" s="1"/>
  <c r="J524" i="14" s="1"/>
  <c r="L524" i="1" a="1"/>
  <c r="L524" i="1" s="1"/>
  <c r="Q524" i="1" a="1"/>
  <c r="Q524" i="1" s="1"/>
  <c r="S524" i="14" s="1"/>
  <c r="D525" i="1" a="1"/>
  <c r="D525" i="1" s="1"/>
  <c r="I525" i="14" s="1"/>
  <c r="H525" i="1" a="1"/>
  <c r="H525" i="1" s="1"/>
  <c r="J525" i="14" s="1"/>
  <c r="L525" i="1" a="1"/>
  <c r="L525" i="1" s="1"/>
  <c r="Q525" i="1" a="1"/>
  <c r="Q525" i="1" s="1"/>
  <c r="S525" i="14" s="1"/>
  <c r="D526" i="1" a="1"/>
  <c r="D526" i="1" s="1"/>
  <c r="I526" i="14" s="1"/>
  <c r="H526" i="1" a="1"/>
  <c r="H526" i="1" s="1"/>
  <c r="J526" i="14" s="1"/>
  <c r="L526" i="1" a="1"/>
  <c r="L526" i="1" s="1"/>
  <c r="Q526" i="1" a="1"/>
  <c r="Q526" i="1" s="1"/>
  <c r="S526" i="14" s="1"/>
  <c r="D527" i="1" a="1"/>
  <c r="D527" i="1" s="1"/>
  <c r="I527" i="14" s="1"/>
  <c r="H527" i="1" a="1"/>
  <c r="H527" i="1" s="1"/>
  <c r="J527" i="14" s="1"/>
  <c r="L527" i="1" a="1"/>
  <c r="L527" i="1" s="1"/>
  <c r="Q527" i="1" a="1"/>
  <c r="Q527" i="1" s="1"/>
  <c r="S527" i="14" s="1"/>
  <c r="D528" i="1" a="1"/>
  <c r="D528" i="1" s="1"/>
  <c r="I528" i="14" s="1"/>
  <c r="H528" i="1" a="1"/>
  <c r="H528" i="1" s="1"/>
  <c r="J528" i="14" s="1"/>
  <c r="L528" i="1" a="1"/>
  <c r="L528" i="1" s="1"/>
  <c r="Q528" i="1" a="1"/>
  <c r="Q528" i="1" s="1"/>
  <c r="S528" i="14" s="1"/>
  <c r="D529" i="1" a="1"/>
  <c r="D529" i="1" s="1"/>
  <c r="I529" i="14" s="1"/>
  <c r="K529" i="1" a="1"/>
  <c r="K529" i="1" s="1"/>
  <c r="P529" i="1" a="1"/>
  <c r="P529" i="1" s="1"/>
  <c r="C530" i="1" a="1"/>
  <c r="C530" i="1" s="1"/>
  <c r="E530" i="14" s="1"/>
  <c r="G530" i="1" a="1"/>
  <c r="G530" i="1" s="1"/>
  <c r="K530" i="1" a="1"/>
  <c r="K530" i="1" s="1"/>
  <c r="P530" i="1" a="1"/>
  <c r="P530" i="1" s="1"/>
  <c r="C531" i="1" a="1"/>
  <c r="C531" i="1" s="1"/>
  <c r="E531" i="14" s="1"/>
  <c r="J531" i="1" a="1"/>
  <c r="J531" i="1" s="1"/>
  <c r="O531" i="1"/>
  <c r="M531" i="14" s="1"/>
  <c r="F532" i="1" a="1"/>
  <c r="F532" i="1" s="1"/>
  <c r="R532" i="14" s="1"/>
  <c r="J532" i="1" a="1"/>
  <c r="J532" i="1" s="1"/>
  <c r="D533" i="1" a="1"/>
  <c r="D533" i="1" s="1"/>
  <c r="I533" i="14" s="1"/>
  <c r="O533" i="1"/>
  <c r="M533" i="14" s="1"/>
  <c r="F534" i="1" a="1"/>
  <c r="F534" i="1" s="1"/>
  <c r="R534" i="14" s="1"/>
  <c r="J534" i="1" a="1"/>
  <c r="J534" i="1" s="1"/>
  <c r="O534" i="1"/>
  <c r="M534" i="14" s="1"/>
  <c r="F535" i="1" a="1"/>
  <c r="F535" i="1" s="1"/>
  <c r="R535" i="14" s="1"/>
  <c r="J535" i="1" a="1"/>
  <c r="J535" i="1" s="1"/>
  <c r="O535" i="1"/>
  <c r="M535" i="14" s="1"/>
  <c r="F536" i="1" a="1"/>
  <c r="F536" i="1" s="1"/>
  <c r="R536" i="14" s="1"/>
  <c r="J536" i="1" a="1"/>
  <c r="J536" i="1" s="1"/>
  <c r="O536" i="1"/>
  <c r="M536" i="14" s="1"/>
  <c r="F537" i="1" a="1"/>
  <c r="F537" i="1" s="1"/>
  <c r="R537" i="14" s="1"/>
  <c r="M537" i="1" a="1"/>
  <c r="M537" i="1" s="1"/>
  <c r="M538" i="1" a="1"/>
  <c r="M538" i="1" s="1"/>
  <c r="H539" i="1" a="1"/>
  <c r="H539" i="1" s="1"/>
  <c r="J539" i="14" s="1"/>
  <c r="L539" i="1" a="1"/>
  <c r="L539" i="1" s="1"/>
  <c r="Q539" i="1" a="1"/>
  <c r="Q539" i="1" s="1"/>
  <c r="S539" i="14" s="1"/>
  <c r="D540" i="1" a="1"/>
  <c r="D540" i="1" s="1"/>
  <c r="I540" i="14" s="1"/>
  <c r="G540" i="1" a="1"/>
  <c r="G540" i="1" s="1"/>
  <c r="K540" i="1" a="1"/>
  <c r="K540" i="1" s="1"/>
  <c r="P540" i="1" a="1"/>
  <c r="P540" i="1" s="1"/>
  <c r="C541" i="1" a="1"/>
  <c r="C541" i="1" s="1"/>
  <c r="E541" i="14" s="1"/>
  <c r="G541" i="1" a="1"/>
  <c r="G541" i="1" s="1"/>
  <c r="K541" i="1" a="1"/>
  <c r="K541" i="1" s="1"/>
  <c r="P541" i="1" a="1"/>
  <c r="P541" i="1" s="1"/>
  <c r="C542" i="1" a="1"/>
  <c r="C542" i="1" s="1"/>
  <c r="E542" i="14" s="1"/>
  <c r="G542" i="1" a="1"/>
  <c r="G542" i="1" s="1"/>
  <c r="J542" i="1" a="1"/>
  <c r="J542" i="1" s="1"/>
  <c r="O542" i="1"/>
  <c r="M542" i="14" s="1"/>
  <c r="M543" i="1" a="1"/>
  <c r="M543" i="1" s="1"/>
  <c r="M544" i="1" a="1"/>
  <c r="M544" i="1" s="1"/>
  <c r="M545" i="1" a="1"/>
  <c r="M545" i="1" s="1"/>
  <c r="L546" i="1" a="1"/>
  <c r="L546" i="1" s="1"/>
  <c r="Q546" i="1" a="1"/>
  <c r="Q546" i="1" s="1"/>
  <c r="S546" i="14" s="1"/>
  <c r="D547" i="1" a="1"/>
  <c r="D547" i="1" s="1"/>
  <c r="I547" i="14" s="1"/>
  <c r="H547" i="1" a="1"/>
  <c r="H547" i="1" s="1"/>
  <c r="J547" i="14" s="1"/>
  <c r="L547" i="1" a="1"/>
  <c r="L547" i="1" s="1"/>
  <c r="Q547" i="1" a="1"/>
  <c r="Q547" i="1" s="1"/>
  <c r="S547" i="14" s="1"/>
  <c r="D548" i="1" a="1"/>
  <c r="D548" i="1" s="1"/>
  <c r="I548" i="14" s="1"/>
  <c r="G548" i="1" a="1"/>
  <c r="G548" i="1" s="1"/>
  <c r="K548" i="1" a="1"/>
  <c r="K548" i="1" s="1"/>
  <c r="O548" i="1"/>
  <c r="M548" i="14" s="1"/>
  <c r="F549" i="1" a="1"/>
  <c r="F549" i="1" s="1"/>
  <c r="R549" i="14" s="1"/>
  <c r="L549" i="1" a="1"/>
  <c r="L549" i="1" s="1"/>
  <c r="Q549" i="1" a="1"/>
  <c r="Q549" i="1" s="1"/>
  <c r="S549" i="14" s="1"/>
  <c r="C550" i="1" a="1"/>
  <c r="C550" i="1" s="1"/>
  <c r="E550" i="14" s="1"/>
  <c r="F550" i="1" a="1"/>
  <c r="F550" i="1" s="1"/>
  <c r="R550" i="14" s="1"/>
  <c r="M550" i="1" a="1"/>
  <c r="M550" i="1" s="1"/>
  <c r="M551" i="1" a="1"/>
  <c r="M551" i="1" s="1"/>
  <c r="Q551" i="1" a="1"/>
  <c r="Q551" i="1" s="1"/>
  <c r="S551" i="14" s="1"/>
  <c r="D552" i="1" a="1"/>
  <c r="D552" i="1" s="1"/>
  <c r="I552" i="14" s="1"/>
  <c r="H552" i="1" a="1"/>
  <c r="H552" i="1" s="1"/>
  <c r="J552" i="14" s="1"/>
  <c r="L552" i="1" a="1"/>
  <c r="L552" i="1" s="1"/>
  <c r="Q552" i="1" a="1"/>
  <c r="Q552" i="1" s="1"/>
  <c r="S552" i="14" s="1"/>
  <c r="D553" i="1" a="1"/>
  <c r="D553" i="1" s="1"/>
  <c r="I553" i="14" s="1"/>
  <c r="H553" i="1" a="1"/>
  <c r="H553" i="1" s="1"/>
  <c r="J553" i="14" s="1"/>
  <c r="L553" i="1" a="1"/>
  <c r="L553" i="1" s="1"/>
  <c r="Q553" i="1" a="1"/>
  <c r="Q553" i="1" s="1"/>
  <c r="S553" i="14" s="1"/>
  <c r="D554" i="1" a="1"/>
  <c r="D554" i="1" s="1"/>
  <c r="I554" i="14" s="1"/>
  <c r="H554" i="1" a="1"/>
  <c r="H554" i="1" s="1"/>
  <c r="J554" i="14" s="1"/>
  <c r="L554" i="1" a="1"/>
  <c r="L554" i="1" s="1"/>
  <c r="Q554" i="1" a="1"/>
  <c r="Q554" i="1" s="1"/>
  <c r="S554" i="14" s="1"/>
  <c r="D555" i="1" a="1"/>
  <c r="D555" i="1" s="1"/>
  <c r="I555" i="14" s="1"/>
  <c r="H555" i="1" a="1"/>
  <c r="H555" i="1" s="1"/>
  <c r="J555" i="14" s="1"/>
  <c r="K555" i="1" a="1"/>
  <c r="K555" i="1" s="1"/>
  <c r="O555" i="1"/>
  <c r="M555" i="14" s="1"/>
  <c r="F556" i="1" a="1"/>
  <c r="F556" i="1" s="1"/>
  <c r="R556" i="14" s="1"/>
  <c r="J556" i="1" a="1"/>
  <c r="J556" i="1" s="1"/>
  <c r="O556" i="1"/>
  <c r="M556" i="14" s="1"/>
  <c r="F557" i="1" a="1"/>
  <c r="F557" i="1" s="1"/>
  <c r="R557" i="14" s="1"/>
  <c r="L557" i="1" a="1"/>
  <c r="L557" i="1" s="1"/>
  <c r="Q557" i="1" a="1"/>
  <c r="Q557" i="1" s="1"/>
  <c r="S557" i="14" s="1"/>
  <c r="D558" i="1" a="1"/>
  <c r="D558" i="1" s="1"/>
  <c r="I558" i="14" s="1"/>
  <c r="H558" i="1" a="1"/>
  <c r="H558" i="1" s="1"/>
  <c r="J558" i="14" s="1"/>
  <c r="L558" i="1" a="1"/>
  <c r="L558" i="1" s="1"/>
  <c r="Q558" i="1" a="1"/>
  <c r="Q558" i="1" s="1"/>
  <c r="S558" i="14" s="1"/>
  <c r="D559" i="1" a="1"/>
  <c r="D559" i="1" s="1"/>
  <c r="I559" i="14" s="1"/>
  <c r="H559" i="1" a="1"/>
  <c r="H559" i="1" s="1"/>
  <c r="J559" i="14" s="1"/>
  <c r="L559" i="1" a="1"/>
  <c r="L559" i="1" s="1"/>
  <c r="Q559" i="1" a="1"/>
  <c r="Q559" i="1" s="1"/>
  <c r="S559" i="14" s="1"/>
  <c r="D560" i="1" a="1"/>
  <c r="D560" i="1" s="1"/>
  <c r="I560" i="14" s="1"/>
  <c r="H560" i="1" a="1"/>
  <c r="H560" i="1" s="1"/>
  <c r="J560" i="14" s="1"/>
  <c r="L560" i="1" a="1"/>
  <c r="L560" i="1" s="1"/>
  <c r="Q560" i="1" a="1"/>
  <c r="Q560" i="1" s="1"/>
  <c r="S560" i="14" s="1"/>
  <c r="D561" i="1" a="1"/>
  <c r="D561" i="1" s="1"/>
  <c r="I561" i="14" s="1"/>
  <c r="H561" i="1" a="1"/>
  <c r="H561" i="1" s="1"/>
  <c r="J561" i="14" s="1"/>
  <c r="L561" i="1" a="1"/>
  <c r="L561" i="1" s="1"/>
  <c r="Q561" i="1" a="1"/>
  <c r="Q561" i="1" s="1"/>
  <c r="S561" i="14" s="1"/>
  <c r="D562" i="1" a="1"/>
  <c r="D562" i="1" s="1"/>
  <c r="I562" i="14" s="1"/>
  <c r="H562" i="1" a="1"/>
  <c r="H562" i="1" s="1"/>
  <c r="J562" i="14" s="1"/>
  <c r="K562" i="1" a="1"/>
  <c r="K562" i="1" s="1"/>
  <c r="O562" i="1"/>
  <c r="M562" i="14" s="1"/>
  <c r="H563" i="1" a="1"/>
  <c r="H563" i="1" s="1"/>
  <c r="J563" i="14" s="1"/>
  <c r="L563" i="1" a="1"/>
  <c r="L563" i="1" s="1"/>
  <c r="Q563" i="1" a="1"/>
  <c r="Q563" i="1" s="1"/>
  <c r="S563" i="14" s="1"/>
  <c r="D564" i="1" a="1"/>
  <c r="D564" i="1" s="1"/>
  <c r="I564" i="14" s="1"/>
  <c r="H564" i="1" a="1"/>
  <c r="H564" i="1" s="1"/>
  <c r="J564" i="14" s="1"/>
  <c r="L564" i="1" a="1"/>
  <c r="L564" i="1" s="1"/>
  <c r="Q564" i="1" a="1"/>
  <c r="Q564" i="1" s="1"/>
  <c r="S564" i="14" s="1"/>
  <c r="D565" i="1" a="1"/>
  <c r="D565" i="1" s="1"/>
  <c r="I565" i="14" s="1"/>
  <c r="H565" i="1" a="1"/>
  <c r="H565" i="1" s="1"/>
  <c r="J565" i="14" s="1"/>
  <c r="P565" i="1" a="1"/>
  <c r="P565" i="1" s="1"/>
  <c r="C566" i="1" a="1"/>
  <c r="C566" i="1" s="1"/>
  <c r="E566" i="14" s="1"/>
  <c r="G566" i="1" a="1"/>
  <c r="G566" i="1" s="1"/>
  <c r="J566" i="1" a="1"/>
  <c r="J566" i="1" s="1"/>
  <c r="O566" i="1"/>
  <c r="M566" i="14" s="1"/>
  <c r="Q567" i="1" a="1"/>
  <c r="Q567" i="1" s="1"/>
  <c r="S567" i="14" s="1"/>
  <c r="D568" i="1" a="1"/>
  <c r="D568" i="1" s="1"/>
  <c r="I568" i="14" s="1"/>
  <c r="G568" i="1" a="1"/>
  <c r="G568" i="1" s="1"/>
  <c r="K568" i="1" a="1"/>
  <c r="K568" i="1" s="1"/>
  <c r="P568" i="1" a="1"/>
  <c r="P568" i="1" s="1"/>
  <c r="C569" i="1" a="1"/>
  <c r="C569" i="1" s="1"/>
  <c r="E569" i="14" s="1"/>
  <c r="F569" i="1" a="1"/>
  <c r="F569" i="1" s="1"/>
  <c r="R569" i="14" s="1"/>
  <c r="J569" i="1" a="1"/>
  <c r="J569" i="1" s="1"/>
  <c r="Q569" i="1" a="1"/>
  <c r="Q569" i="1" s="1"/>
  <c r="S569" i="14" s="1"/>
  <c r="D570" i="1" a="1"/>
  <c r="D570" i="1" s="1"/>
  <c r="I570" i="14" s="1"/>
  <c r="G570" i="1" a="1"/>
  <c r="G570" i="1" s="1"/>
  <c r="J570" i="1" a="1"/>
  <c r="J570" i="1" s="1"/>
  <c r="O570" i="1"/>
  <c r="M570" i="14" s="1"/>
  <c r="M571" i="1" a="1"/>
  <c r="M571" i="1" s="1"/>
  <c r="H572" i="1" a="1"/>
  <c r="H572" i="1" s="1"/>
  <c r="J572" i="14" s="1"/>
  <c r="L572" i="1" a="1"/>
  <c r="L572" i="1" s="1"/>
  <c r="Q572" i="1" a="1"/>
  <c r="Q572" i="1" s="1"/>
  <c r="S572" i="14" s="1"/>
  <c r="D573" i="1" a="1"/>
  <c r="D573" i="1" s="1"/>
  <c r="I573" i="14" s="1"/>
  <c r="H573" i="1" a="1"/>
  <c r="H573" i="1" s="1"/>
  <c r="J573" i="14" s="1"/>
  <c r="K573" i="1" a="1"/>
  <c r="K573" i="1" s="1"/>
  <c r="O573" i="1"/>
  <c r="M573" i="14" s="1"/>
  <c r="F574" i="1" a="1"/>
  <c r="F574" i="1" s="1"/>
  <c r="R574" i="14" s="1"/>
  <c r="L574" i="1" a="1"/>
  <c r="L574" i="1" s="1"/>
  <c r="C575" i="1" a="1"/>
  <c r="C575" i="1" s="1"/>
  <c r="E575" i="14" s="1"/>
  <c r="G575" i="1" a="1"/>
  <c r="G575" i="1" s="1"/>
  <c r="M575" i="1" a="1"/>
  <c r="M575" i="1" s="1"/>
  <c r="M576" i="1" a="1"/>
  <c r="M576" i="1" s="1"/>
  <c r="M577" i="1" a="1"/>
  <c r="M577" i="1" s="1"/>
  <c r="Q577" i="1" a="1"/>
  <c r="Q577" i="1" s="1"/>
  <c r="S577" i="14" s="1"/>
  <c r="D578" i="1" a="1"/>
  <c r="D578" i="1" s="1"/>
  <c r="I578" i="14" s="1"/>
  <c r="O578" i="1"/>
  <c r="M578" i="14" s="1"/>
  <c r="F579" i="1" a="1"/>
  <c r="F579" i="1" s="1"/>
  <c r="R579" i="14" s="1"/>
  <c r="J579" i="1" a="1"/>
  <c r="J579" i="1" s="1"/>
  <c r="O579" i="1"/>
  <c r="M579" i="14" s="1"/>
  <c r="F580" i="1" a="1"/>
  <c r="F580" i="1" s="1"/>
  <c r="R580" i="14" s="1"/>
  <c r="P580" i="1" a="1"/>
  <c r="P580" i="1" s="1"/>
  <c r="H581" i="1" a="1"/>
  <c r="H581" i="1" s="1"/>
  <c r="J581" i="14" s="1"/>
  <c r="K581" i="1" a="1"/>
  <c r="K581" i="1" s="1"/>
  <c r="O581" i="1"/>
  <c r="M581" i="14" s="1"/>
  <c r="F582" i="1" a="1"/>
  <c r="F582" i="1" s="1"/>
  <c r="R582" i="14" s="1"/>
  <c r="J582" i="1" a="1"/>
  <c r="J582" i="1" s="1"/>
  <c r="M582" i="1" a="1"/>
  <c r="M582" i="1" s="1"/>
  <c r="M583" i="1" a="1"/>
  <c r="M583" i="1" s="1"/>
  <c r="G584" i="1" a="1"/>
  <c r="G584" i="1" s="1"/>
  <c r="O584" i="1"/>
  <c r="M584" i="14" s="1"/>
  <c r="F585" i="1" a="1"/>
  <c r="F585" i="1" s="1"/>
  <c r="R585" i="14" s="1"/>
  <c r="M585" i="1" a="1"/>
  <c r="M585" i="1" s="1"/>
  <c r="Q585" i="1" a="1"/>
  <c r="Q585" i="1" s="1"/>
  <c r="S585" i="14" s="1"/>
  <c r="D586" i="1" a="1"/>
  <c r="D586" i="1" s="1"/>
  <c r="I586" i="14" s="1"/>
  <c r="H586" i="1" a="1"/>
  <c r="H586" i="1" s="1"/>
  <c r="J586" i="14" s="1"/>
  <c r="K586" i="1" a="1"/>
  <c r="K586" i="1" s="1"/>
  <c r="O586" i="1"/>
  <c r="M586" i="14" s="1"/>
  <c r="F587" i="1" a="1"/>
  <c r="F587" i="1" s="1"/>
  <c r="R587" i="14" s="1"/>
  <c r="J587" i="1" a="1"/>
  <c r="J587" i="1" s="1"/>
  <c r="O587" i="1"/>
  <c r="M587" i="14" s="1"/>
  <c r="L588" i="1" a="1"/>
  <c r="L588" i="1" s="1"/>
  <c r="Q588" i="1" a="1"/>
  <c r="Q588" i="1" s="1"/>
  <c r="S588" i="14" s="1"/>
  <c r="D589" i="1" a="1"/>
  <c r="D589" i="1" s="1"/>
  <c r="I589" i="14" s="1"/>
  <c r="K589" i="1" a="1"/>
  <c r="K589" i="1" s="1"/>
  <c r="P589" i="1" a="1"/>
  <c r="P589" i="1" s="1"/>
  <c r="C590" i="1" a="1"/>
  <c r="C590" i="1" s="1"/>
  <c r="E590" i="14" s="1"/>
  <c r="G590" i="1" a="1"/>
  <c r="G590" i="1" s="1"/>
  <c r="K590" i="1" a="1"/>
  <c r="K590" i="1" s="1"/>
  <c r="P590" i="1" a="1"/>
  <c r="P590" i="1" s="1"/>
  <c r="C591" i="1" a="1"/>
  <c r="C591" i="1" s="1"/>
  <c r="E591" i="14" s="1"/>
  <c r="M591" i="1" a="1"/>
  <c r="M591" i="1" s="1"/>
  <c r="J483" i="1" a="1"/>
  <c r="J483" i="1" s="1"/>
  <c r="Q487" i="1" a="1"/>
  <c r="Q487" i="1" s="1"/>
  <c r="S487" i="14" s="1"/>
  <c r="D488" i="1" a="1"/>
  <c r="D488" i="1" s="1"/>
  <c r="I488" i="14" s="1"/>
  <c r="P488" i="1" a="1"/>
  <c r="P488" i="1" s="1"/>
  <c r="C489" i="1" a="1"/>
  <c r="C489" i="1" s="1"/>
  <c r="E489" i="14" s="1"/>
  <c r="K489" i="1" a="1"/>
  <c r="K489" i="1" s="1"/>
  <c r="Q489" i="1" a="1"/>
  <c r="Q489" i="1" s="1"/>
  <c r="S489" i="14" s="1"/>
  <c r="D490" i="1" a="1"/>
  <c r="D490" i="1" s="1"/>
  <c r="I490" i="14" s="1"/>
  <c r="H490" i="1" a="1"/>
  <c r="H490" i="1" s="1"/>
  <c r="J490" i="14" s="1"/>
  <c r="L490" i="1" a="1"/>
  <c r="L490" i="1" s="1"/>
  <c r="O491" i="1"/>
  <c r="M491" i="14" s="1"/>
  <c r="F492" i="1" a="1"/>
  <c r="F492" i="1" s="1"/>
  <c r="R492" i="14" s="1"/>
  <c r="J492" i="1" a="1"/>
  <c r="J492" i="1" s="1"/>
  <c r="P492" i="1" a="1"/>
  <c r="P492" i="1" s="1"/>
  <c r="C493" i="1" a="1"/>
  <c r="C493" i="1" s="1"/>
  <c r="E493" i="14" s="1"/>
  <c r="G493" i="1" a="1"/>
  <c r="G493" i="1" s="1"/>
  <c r="K493" i="1" a="1"/>
  <c r="K493" i="1" s="1"/>
  <c r="Q493" i="1" a="1"/>
  <c r="Q493" i="1" s="1"/>
  <c r="S493" i="14" s="1"/>
  <c r="D494" i="1" a="1"/>
  <c r="D494" i="1" s="1"/>
  <c r="I494" i="14" s="1"/>
  <c r="H494" i="1" a="1"/>
  <c r="H494" i="1" s="1"/>
  <c r="J494" i="14" s="1"/>
  <c r="L494" i="1" a="1"/>
  <c r="L494" i="1" s="1"/>
  <c r="O495" i="1"/>
  <c r="M495" i="14" s="1"/>
  <c r="F496" i="1" a="1"/>
  <c r="F496" i="1" s="1"/>
  <c r="R496" i="14" s="1"/>
  <c r="J496" i="1" a="1"/>
  <c r="J496" i="1" s="1"/>
  <c r="P496" i="1" a="1"/>
  <c r="P496" i="1" s="1"/>
  <c r="C497" i="1" a="1"/>
  <c r="C497" i="1" s="1"/>
  <c r="E497" i="14" s="1"/>
  <c r="G497" i="1" a="1"/>
  <c r="G497" i="1" s="1"/>
  <c r="K497" i="1" a="1"/>
  <c r="K497" i="1" s="1"/>
  <c r="P497" i="1" a="1"/>
  <c r="P497" i="1" s="1"/>
  <c r="J498" i="1" a="1"/>
  <c r="J498" i="1" s="1"/>
  <c r="P498" i="1" a="1"/>
  <c r="P498" i="1" s="1"/>
  <c r="C499" i="1" a="1"/>
  <c r="C499" i="1" s="1"/>
  <c r="E499" i="14" s="1"/>
  <c r="G499" i="1" a="1"/>
  <c r="G499" i="1" s="1"/>
  <c r="J499" i="1" a="1"/>
  <c r="J499" i="1" s="1"/>
  <c r="O499" i="1"/>
  <c r="M499" i="14" s="1"/>
  <c r="M500" i="1" a="1"/>
  <c r="M500" i="1" s="1"/>
  <c r="M501" i="1" a="1"/>
  <c r="M501" i="1" s="1"/>
  <c r="M502" i="1" a="1"/>
  <c r="M502" i="1" s="1"/>
  <c r="L503" i="1" a="1"/>
  <c r="L503" i="1" s="1"/>
  <c r="C504" i="1" a="1"/>
  <c r="C504" i="1" s="1"/>
  <c r="E504" i="14" s="1"/>
  <c r="G504" i="1" a="1"/>
  <c r="G504" i="1" s="1"/>
  <c r="K504" i="1" a="1"/>
  <c r="K504" i="1" s="1"/>
  <c r="P504" i="1" a="1"/>
  <c r="P504" i="1" s="1"/>
  <c r="C505" i="1" a="1"/>
  <c r="C505" i="1" s="1"/>
  <c r="E505" i="14" s="1"/>
  <c r="G505" i="1" a="1"/>
  <c r="G505" i="1" s="1"/>
  <c r="K505" i="1" a="1"/>
  <c r="K505" i="1" s="1"/>
  <c r="P505" i="1" a="1"/>
  <c r="P505" i="1" s="1"/>
  <c r="C506" i="1" a="1"/>
  <c r="C506" i="1" s="1"/>
  <c r="E506" i="14" s="1"/>
  <c r="G506" i="1" a="1"/>
  <c r="G506" i="1" s="1"/>
  <c r="K506" i="1" a="1"/>
  <c r="K506" i="1" s="1"/>
  <c r="O506" i="1"/>
  <c r="M506" i="14" s="1"/>
  <c r="H507" i="1" a="1"/>
  <c r="H507" i="1" s="1"/>
  <c r="J507" i="14" s="1"/>
  <c r="K507" i="1" a="1"/>
  <c r="K507" i="1" s="1"/>
  <c r="P507" i="1" a="1"/>
  <c r="P507" i="1" s="1"/>
  <c r="F508" i="1" a="1"/>
  <c r="F508" i="1" s="1"/>
  <c r="R508" i="14" s="1"/>
  <c r="J508" i="1" a="1"/>
  <c r="J508" i="1" s="1"/>
  <c r="O508" i="1"/>
  <c r="M508" i="14" s="1"/>
  <c r="F509" i="1" a="1"/>
  <c r="F509" i="1" s="1"/>
  <c r="R509" i="14" s="1"/>
  <c r="J509" i="1" a="1"/>
  <c r="J509" i="1" s="1"/>
  <c r="O509" i="1"/>
  <c r="M509" i="14" s="1"/>
  <c r="F510" i="1" a="1"/>
  <c r="F510" i="1" s="1"/>
  <c r="R510" i="14" s="1"/>
  <c r="J510" i="1" a="1"/>
  <c r="J510" i="1" s="1"/>
  <c r="M510" i="1" a="1"/>
  <c r="M510" i="1" s="1"/>
  <c r="M511" i="1" a="1"/>
  <c r="M511" i="1" s="1"/>
  <c r="M512" i="1" a="1"/>
  <c r="M512" i="1" s="1"/>
  <c r="M513" i="1" a="1"/>
  <c r="M513" i="1" s="1"/>
  <c r="D514" i="1" a="1"/>
  <c r="D514" i="1" s="1"/>
  <c r="I514" i="14" s="1"/>
  <c r="H514" i="1" a="1"/>
  <c r="H514" i="1" s="1"/>
  <c r="J514" i="14" s="1"/>
  <c r="L514" i="1" a="1"/>
  <c r="L514" i="1" s="1"/>
  <c r="Q514" i="1" a="1"/>
  <c r="Q514" i="1" s="1"/>
  <c r="S514" i="14" s="1"/>
  <c r="D515" i="1" a="1"/>
  <c r="D515" i="1" s="1"/>
  <c r="I515" i="14" s="1"/>
  <c r="H515" i="1" a="1"/>
  <c r="H515" i="1" s="1"/>
  <c r="J515" i="14" s="1"/>
  <c r="K515" i="1" a="1"/>
  <c r="K515" i="1" s="1"/>
  <c r="P515" i="1" a="1"/>
  <c r="P515" i="1" s="1"/>
  <c r="F516" i="1" a="1"/>
  <c r="F516" i="1" s="1"/>
  <c r="R516" i="14" s="1"/>
  <c r="J516" i="1" a="1"/>
  <c r="J516" i="1" s="1"/>
  <c r="O516" i="1"/>
  <c r="M516" i="14" s="1"/>
  <c r="F517" i="1" a="1"/>
  <c r="F517" i="1" s="1"/>
  <c r="R517" i="14" s="1"/>
  <c r="J517" i="1" a="1"/>
  <c r="J517" i="1" s="1"/>
  <c r="O517" i="1"/>
  <c r="M517" i="14" s="1"/>
  <c r="F518" i="1" a="1"/>
  <c r="F518" i="1" s="1"/>
  <c r="R518" i="14" s="1"/>
  <c r="J518" i="1" a="1"/>
  <c r="J518" i="1" s="1"/>
  <c r="M518" i="1" a="1"/>
  <c r="M518" i="1" s="1"/>
  <c r="L519" i="1" a="1"/>
  <c r="L519" i="1" s="1"/>
  <c r="Q519" i="1" a="1"/>
  <c r="Q519" i="1" s="1"/>
  <c r="S519" i="14" s="1"/>
  <c r="D520" i="1" a="1"/>
  <c r="D520" i="1" s="1"/>
  <c r="I520" i="14" s="1"/>
  <c r="G520" i="1" a="1"/>
  <c r="G520" i="1" s="1"/>
  <c r="J520" i="1" a="1"/>
  <c r="J520" i="1" s="1"/>
  <c r="M521" i="1" a="1"/>
  <c r="M521" i="1" s="1"/>
  <c r="M522" i="1" a="1"/>
  <c r="M522" i="1" s="1"/>
  <c r="M523" i="1" a="1"/>
  <c r="M523" i="1" s="1"/>
  <c r="M524" i="1" a="1"/>
  <c r="M524" i="1" s="1"/>
  <c r="M525" i="1" a="1"/>
  <c r="M525" i="1" s="1"/>
  <c r="M526" i="1" a="1"/>
  <c r="M526" i="1" s="1"/>
  <c r="M527" i="1" a="1"/>
  <c r="M527" i="1" s="1"/>
  <c r="M528" i="1" a="1"/>
  <c r="M528" i="1" s="1"/>
  <c r="H529" i="1" a="1"/>
  <c r="H529" i="1" s="1"/>
  <c r="J529" i="14" s="1"/>
  <c r="L529" i="1" a="1"/>
  <c r="L529" i="1" s="1"/>
  <c r="Q529" i="1" a="1"/>
  <c r="Q529" i="1" s="1"/>
  <c r="S529" i="14" s="1"/>
  <c r="D530" i="1" a="1"/>
  <c r="D530" i="1" s="1"/>
  <c r="I530" i="14" s="1"/>
  <c r="H530" i="1" a="1"/>
  <c r="H530" i="1" s="1"/>
  <c r="J530" i="14" s="1"/>
  <c r="L530" i="1" a="1"/>
  <c r="L530" i="1" s="1"/>
  <c r="Q530" i="1" a="1"/>
  <c r="Q530" i="1" s="1"/>
  <c r="S530" i="14" s="1"/>
  <c r="D531" i="1" a="1"/>
  <c r="D531" i="1" s="1"/>
  <c r="I531" i="14" s="1"/>
  <c r="G531" i="1" a="1"/>
  <c r="G531" i="1" s="1"/>
  <c r="K531" i="1" a="1"/>
  <c r="K531" i="1" s="1"/>
  <c r="P531" i="1" a="1"/>
  <c r="P531" i="1" s="1"/>
  <c r="C532" i="1" a="1"/>
  <c r="C532" i="1" s="1"/>
  <c r="E532" i="14" s="1"/>
  <c r="G532" i="1" a="1"/>
  <c r="G532" i="1" s="1"/>
  <c r="K532" i="1" a="1"/>
  <c r="K532" i="1" s="1"/>
  <c r="O532" i="1"/>
  <c r="M532" i="14" s="1"/>
  <c r="H533" i="1" a="1"/>
  <c r="H533" i="1" s="1"/>
  <c r="J533" i="14" s="1"/>
  <c r="K533" i="1" a="1"/>
  <c r="K533" i="1" s="1"/>
  <c r="P533" i="1" a="1"/>
  <c r="P533" i="1" s="1"/>
  <c r="C534" i="1" a="1"/>
  <c r="C534" i="1" s="1"/>
  <c r="E534" i="14" s="1"/>
  <c r="G534" i="1" a="1"/>
  <c r="G534" i="1" s="1"/>
  <c r="K534" i="1" a="1"/>
  <c r="K534" i="1" s="1"/>
  <c r="P534" i="1" a="1"/>
  <c r="P534" i="1" s="1"/>
  <c r="C535" i="1" a="1"/>
  <c r="C535" i="1" s="1"/>
  <c r="E535" i="14" s="1"/>
  <c r="G535" i="1" a="1"/>
  <c r="G535" i="1" s="1"/>
  <c r="K535" i="1" a="1"/>
  <c r="K535" i="1" s="1"/>
  <c r="P535" i="1" a="1"/>
  <c r="P535" i="1" s="1"/>
  <c r="C536" i="1" a="1"/>
  <c r="C536" i="1" s="1"/>
  <c r="E536" i="14" s="1"/>
  <c r="G536" i="1" a="1"/>
  <c r="G536" i="1" s="1"/>
  <c r="K536" i="1" a="1"/>
  <c r="K536" i="1" s="1"/>
  <c r="P536" i="1" a="1"/>
  <c r="P536" i="1" s="1"/>
  <c r="C537" i="1" a="1"/>
  <c r="C537" i="1" s="1"/>
  <c r="E537" i="14" s="1"/>
  <c r="G537" i="1" a="1"/>
  <c r="G537" i="1" s="1"/>
  <c r="J537" i="1" a="1"/>
  <c r="J537" i="1" s="1"/>
  <c r="O537" i="1"/>
  <c r="M537" i="14" s="1"/>
  <c r="F538" i="1" a="1"/>
  <c r="F538" i="1" s="1"/>
  <c r="R538" i="14" s="1"/>
  <c r="J538" i="1" a="1"/>
  <c r="J538" i="1" s="1"/>
  <c r="O538" i="1"/>
  <c r="M538" i="14" s="1"/>
  <c r="F539" i="1" a="1"/>
  <c r="F539" i="1" s="1"/>
  <c r="R539" i="14" s="1"/>
  <c r="M539" i="1" a="1"/>
  <c r="M539" i="1" s="1"/>
  <c r="H540" i="1" a="1"/>
  <c r="H540" i="1" s="1"/>
  <c r="J540" i="14" s="1"/>
  <c r="L540" i="1" a="1"/>
  <c r="L540" i="1" s="1"/>
  <c r="Q540" i="1" a="1"/>
  <c r="Q540" i="1" s="1"/>
  <c r="S540" i="14" s="1"/>
  <c r="D541" i="1" a="1"/>
  <c r="D541" i="1" s="1"/>
  <c r="I541" i="14" s="1"/>
  <c r="H541" i="1" a="1"/>
  <c r="H541" i="1" s="1"/>
  <c r="J541" i="14" s="1"/>
  <c r="L541" i="1" a="1"/>
  <c r="L541" i="1" s="1"/>
  <c r="Q541" i="1" a="1"/>
  <c r="Q541" i="1" s="1"/>
  <c r="S541" i="14" s="1"/>
  <c r="D542" i="1" a="1"/>
  <c r="D542" i="1" s="1"/>
  <c r="I542" i="14" s="1"/>
  <c r="H542" i="1" a="1"/>
  <c r="H542" i="1" s="1"/>
  <c r="J542" i="14" s="1"/>
  <c r="K542" i="1" a="1"/>
  <c r="K542" i="1" s="1"/>
  <c r="P542" i="1" a="1"/>
  <c r="P542" i="1" s="1"/>
  <c r="C543" i="1" a="1"/>
  <c r="C543" i="1" s="1"/>
  <c r="E543" i="14" s="1"/>
  <c r="F543" i="1" a="1"/>
  <c r="F543" i="1" s="1"/>
  <c r="R543" i="14" s="1"/>
  <c r="J543" i="1" a="1"/>
  <c r="J543" i="1" s="1"/>
  <c r="O543" i="1"/>
  <c r="M543" i="14" s="1"/>
  <c r="F544" i="1" a="1"/>
  <c r="F544" i="1" s="1"/>
  <c r="R544" i="14" s="1"/>
  <c r="J544" i="1" a="1"/>
  <c r="J544" i="1" s="1"/>
  <c r="O544" i="1"/>
  <c r="M544" i="14" s="1"/>
  <c r="F545" i="1" a="1"/>
  <c r="F545" i="1" s="1"/>
  <c r="R545" i="14" s="1"/>
  <c r="J545" i="1" a="1"/>
  <c r="J545" i="1" s="1"/>
  <c r="O545" i="1"/>
  <c r="M545" i="14" s="1"/>
  <c r="F546" i="1" a="1"/>
  <c r="F546" i="1" s="1"/>
  <c r="R546" i="14" s="1"/>
  <c r="J546" i="1" a="1"/>
  <c r="J546" i="1" s="1"/>
  <c r="M546" i="1" a="1"/>
  <c r="M546" i="1" s="1"/>
  <c r="M547" i="1" a="1"/>
  <c r="M547" i="1" s="1"/>
  <c r="H548" i="1" a="1"/>
  <c r="H548" i="1" s="1"/>
  <c r="J548" i="14" s="1"/>
  <c r="P548" i="1" a="1"/>
  <c r="P548" i="1" s="1"/>
  <c r="C549" i="1" a="1"/>
  <c r="C549" i="1" s="1"/>
  <c r="E549" i="14" s="1"/>
  <c r="G549" i="1" a="1"/>
  <c r="G549" i="1" s="1"/>
  <c r="J549" i="1" a="1"/>
  <c r="J549" i="1" s="1"/>
  <c r="M549" i="1" a="1"/>
  <c r="M549" i="1" s="1"/>
  <c r="J550" i="1" a="1"/>
  <c r="J550" i="1" s="1"/>
  <c r="O550" i="1"/>
  <c r="M550" i="14" s="1"/>
  <c r="F551" i="1" a="1"/>
  <c r="F551" i="1" s="1"/>
  <c r="R551" i="14" s="1"/>
  <c r="J551" i="1" a="1"/>
  <c r="J551" i="1" s="1"/>
  <c r="M552" i="1" a="1"/>
  <c r="M552" i="1" s="1"/>
  <c r="M553" i="1" a="1"/>
  <c r="M553" i="1" s="1"/>
  <c r="M554" i="1" a="1"/>
  <c r="M554" i="1" s="1"/>
  <c r="P555" i="1" a="1"/>
  <c r="P555" i="1" s="1"/>
  <c r="C556" i="1" a="1"/>
  <c r="C556" i="1" s="1"/>
  <c r="E556" i="14" s="1"/>
  <c r="G556" i="1" a="1"/>
  <c r="G556" i="1" s="1"/>
  <c r="K556" i="1" a="1"/>
  <c r="K556" i="1" s="1"/>
  <c r="P556" i="1" a="1"/>
  <c r="P556" i="1" s="1"/>
  <c r="C557" i="1" a="1"/>
  <c r="C557" i="1" s="1"/>
  <c r="E557" i="14" s="1"/>
  <c r="G557" i="1" a="1"/>
  <c r="G557" i="1" s="1"/>
  <c r="J557" i="1" a="1"/>
  <c r="J557" i="1" s="1"/>
  <c r="M557" i="1" a="1"/>
  <c r="M557" i="1" s="1"/>
  <c r="M558" i="1" a="1"/>
  <c r="M558" i="1" s="1"/>
  <c r="M559" i="1" a="1"/>
  <c r="M559" i="1" s="1"/>
  <c r="M560" i="1" a="1"/>
  <c r="M560" i="1" s="1"/>
  <c r="M561" i="1" a="1"/>
  <c r="M561" i="1" s="1"/>
  <c r="L562" i="1" a="1"/>
  <c r="L562" i="1" s="1"/>
  <c r="P562" i="1" a="1"/>
  <c r="P562" i="1" s="1"/>
  <c r="F563" i="1" a="1"/>
  <c r="F563" i="1" s="1"/>
  <c r="R563" i="14" s="1"/>
  <c r="M563" i="1" a="1"/>
  <c r="M563" i="1" s="1"/>
  <c r="M564" i="1" a="1"/>
  <c r="M564" i="1" s="1"/>
  <c r="L565" i="1" a="1"/>
  <c r="L565" i="1" s="1"/>
  <c r="Q565" i="1" a="1"/>
  <c r="Q565" i="1" s="1"/>
  <c r="S565" i="14" s="1"/>
  <c r="D566" i="1" a="1"/>
  <c r="D566" i="1" s="1"/>
  <c r="I566" i="14" s="1"/>
  <c r="H566" i="1" a="1"/>
  <c r="H566" i="1" s="1"/>
  <c r="J566" i="14" s="1"/>
  <c r="K566" i="1" a="1"/>
  <c r="K566" i="1" s="1"/>
  <c r="P566" i="1" a="1"/>
  <c r="P566" i="1" s="1"/>
  <c r="F567" i="1" a="1"/>
  <c r="F567" i="1" s="1"/>
  <c r="R567" i="14" s="1"/>
  <c r="J567" i="1" a="1"/>
  <c r="J567" i="1" s="1"/>
  <c r="M567" i="1" a="1"/>
  <c r="M567" i="1" s="1"/>
  <c r="H568" i="1" a="1"/>
  <c r="H568" i="1" s="1"/>
  <c r="J568" i="14" s="1"/>
  <c r="L568" i="1" a="1"/>
  <c r="L568" i="1" s="1"/>
  <c r="Q568" i="1" a="1"/>
  <c r="Q568" i="1" s="1"/>
  <c r="S568" i="14" s="1"/>
  <c r="D569" i="1" a="1"/>
  <c r="D569" i="1" s="1"/>
  <c r="I569" i="14" s="1"/>
  <c r="G569" i="1" a="1"/>
  <c r="G569" i="1" s="1"/>
  <c r="M569" i="1" a="1"/>
  <c r="M569" i="1" s="1"/>
  <c r="H570" i="1" a="1"/>
  <c r="H570" i="1" s="1"/>
  <c r="J570" i="14" s="1"/>
  <c r="K570" i="1" a="1"/>
  <c r="K570" i="1" s="1"/>
  <c r="P570" i="1" a="1"/>
  <c r="P570" i="1" s="1"/>
  <c r="F571" i="1" a="1"/>
  <c r="F571" i="1" s="1"/>
  <c r="R571" i="14" s="1"/>
  <c r="J571" i="1" a="1"/>
  <c r="J571" i="1" s="1"/>
  <c r="O571" i="1"/>
  <c r="M571" i="14" s="1"/>
  <c r="F572" i="1" a="1"/>
  <c r="F572" i="1" s="1"/>
  <c r="R572" i="14" s="1"/>
  <c r="M572" i="1" a="1"/>
  <c r="M572" i="1" s="1"/>
  <c r="L573" i="1" a="1"/>
  <c r="L573" i="1" s="1"/>
  <c r="P573" i="1" a="1"/>
  <c r="P573" i="1" s="1"/>
  <c r="C574" i="1" a="1"/>
  <c r="C574" i="1" s="1"/>
  <c r="E574" i="14" s="1"/>
  <c r="M574" i="1" a="1"/>
  <c r="M574" i="1" s="1"/>
  <c r="Q574" i="1" a="1"/>
  <c r="Q574" i="1" s="1"/>
  <c r="S574" i="14" s="1"/>
  <c r="D575" i="1" a="1"/>
  <c r="D575" i="1" s="1"/>
  <c r="I575" i="14" s="1"/>
  <c r="H575" i="1" a="1"/>
  <c r="H575" i="1" s="1"/>
  <c r="J575" i="14" s="1"/>
  <c r="K575" i="1" a="1"/>
  <c r="K575" i="1" s="1"/>
  <c r="O575" i="1"/>
  <c r="M575" i="14" s="1"/>
  <c r="F576" i="1" a="1"/>
  <c r="F576" i="1" s="1"/>
  <c r="R576" i="14" s="1"/>
  <c r="J576" i="1" a="1"/>
  <c r="J576" i="1" s="1"/>
  <c r="O576" i="1"/>
  <c r="M576" i="14" s="1"/>
  <c r="F577" i="1" a="1"/>
  <c r="F577" i="1" s="1"/>
  <c r="R577" i="14" s="1"/>
  <c r="J577" i="1" a="1"/>
  <c r="J577" i="1" s="1"/>
  <c r="H578" i="1" a="1"/>
  <c r="H578" i="1" s="1"/>
  <c r="J578" i="14" s="1"/>
  <c r="K578" i="1" a="1"/>
  <c r="K578" i="1" s="1"/>
  <c r="P578" i="1" a="1"/>
  <c r="P578" i="1" s="1"/>
  <c r="C579" i="1" a="1"/>
  <c r="C579" i="1" s="1"/>
  <c r="E579" i="14" s="1"/>
  <c r="G579" i="1" a="1"/>
  <c r="G579" i="1" s="1"/>
  <c r="K579" i="1" a="1"/>
  <c r="K579" i="1" s="1"/>
  <c r="P579" i="1" a="1"/>
  <c r="P579" i="1" s="1"/>
  <c r="C580" i="1" a="1"/>
  <c r="C580" i="1" s="1"/>
  <c r="E580" i="14" s="1"/>
  <c r="L580" i="1" a="1"/>
  <c r="L580" i="1" s="1"/>
  <c r="C581" i="1" a="1"/>
  <c r="C581" i="1" s="1"/>
  <c r="E581" i="14" s="1"/>
  <c r="F581" i="1" a="1"/>
  <c r="F581" i="1" s="1"/>
  <c r="R581" i="14" s="1"/>
  <c r="L581" i="1" a="1"/>
  <c r="L581" i="1" s="1"/>
  <c r="P581" i="1" a="1"/>
  <c r="P581" i="1" s="1"/>
  <c r="C582" i="1" a="1"/>
  <c r="C582" i="1" s="1"/>
  <c r="E582" i="14" s="1"/>
  <c r="G582" i="1" a="1"/>
  <c r="G582" i="1" s="1"/>
  <c r="K582" i="1" a="1"/>
  <c r="K582" i="1" s="1"/>
  <c r="L582" i="14" s="1"/>
  <c r="O582" i="1"/>
  <c r="M582" i="14" s="1"/>
  <c r="F583" i="1" a="1"/>
  <c r="F583" i="1" s="1"/>
  <c r="R583" i="14" s="1"/>
  <c r="J583" i="1" a="1"/>
  <c r="J583" i="1" s="1"/>
  <c r="O583" i="1"/>
  <c r="M583" i="14" s="1"/>
  <c r="D584" i="1" a="1"/>
  <c r="D584" i="1" s="1"/>
  <c r="I584" i="14" s="1"/>
  <c r="H584" i="1" a="1"/>
  <c r="H584" i="1" s="1"/>
  <c r="J584" i="14" s="1"/>
  <c r="K584" i="1" a="1"/>
  <c r="K584" i="1" s="1"/>
  <c r="P584" i="1" a="1"/>
  <c r="P584" i="1" s="1"/>
  <c r="C585" i="1" a="1"/>
  <c r="C585" i="1" s="1"/>
  <c r="E585" i="14" s="1"/>
  <c r="G585" i="1" a="1"/>
  <c r="G585" i="1" s="1"/>
  <c r="J585" i="1" a="1"/>
  <c r="J585" i="1" s="1"/>
  <c r="O585" i="1"/>
  <c r="M585" i="14" s="1"/>
  <c r="L586" i="1" a="1"/>
  <c r="L586" i="1" s="1"/>
  <c r="P586" i="1" a="1"/>
  <c r="P586" i="1" s="1"/>
  <c r="C587" i="1" a="1"/>
  <c r="C587" i="1" s="1"/>
  <c r="E587" i="14" s="1"/>
  <c r="G587" i="1" a="1"/>
  <c r="G587" i="1" s="1"/>
  <c r="K587" i="1" a="1"/>
  <c r="K587" i="1" s="1"/>
  <c r="P587" i="1" a="1"/>
  <c r="P587" i="1" s="1"/>
  <c r="C588" i="1" a="1"/>
  <c r="C588" i="1" s="1"/>
  <c r="E588" i="14" s="1"/>
  <c r="F588" i="1" a="1"/>
  <c r="F588" i="1" s="1"/>
  <c r="R588" i="14" s="1"/>
  <c r="J588" i="1" a="1"/>
  <c r="J588" i="1" s="1"/>
  <c r="M588" i="1" a="1"/>
  <c r="M588" i="1" s="1"/>
  <c r="H589" i="1" a="1"/>
  <c r="H589" i="1" s="1"/>
  <c r="J589" i="14" s="1"/>
  <c r="L589" i="1" a="1"/>
  <c r="L589" i="1" s="1"/>
  <c r="Q589" i="1" a="1"/>
  <c r="Q589" i="1" s="1"/>
  <c r="S589" i="14" s="1"/>
  <c r="D590" i="1" a="1"/>
  <c r="D590" i="1" s="1"/>
  <c r="I590" i="14" s="1"/>
  <c r="H590" i="1" a="1"/>
  <c r="H590" i="1" s="1"/>
  <c r="J590" i="14" s="1"/>
  <c r="L590" i="1" a="1"/>
  <c r="L590" i="1" s="1"/>
  <c r="Q590" i="1" a="1"/>
  <c r="Q590" i="1" s="1"/>
  <c r="S590" i="14" s="1"/>
  <c r="D591" i="1" a="1"/>
  <c r="D591" i="1" s="1"/>
  <c r="I591" i="14" s="1"/>
  <c r="G591" i="1" a="1"/>
  <c r="G591" i="1" s="1"/>
  <c r="J591" i="1" a="1"/>
  <c r="J591" i="1" s="1"/>
  <c r="O591" i="1"/>
  <c r="M591" i="14" s="1"/>
  <c r="L592" i="1" a="1"/>
  <c r="L592" i="1" s="1"/>
  <c r="Q592" i="1" a="1"/>
  <c r="Q592" i="1" s="1"/>
  <c r="S592" i="14" s="1"/>
  <c r="D593" i="1" a="1"/>
  <c r="D593" i="1" s="1"/>
  <c r="I593" i="14" s="1"/>
  <c r="H593" i="1" a="1"/>
  <c r="H593" i="1" s="1"/>
  <c r="J593" i="14" s="1"/>
  <c r="K593" i="1" a="1"/>
  <c r="K593" i="1" s="1"/>
  <c r="P593" i="1" a="1"/>
  <c r="P593" i="1" s="1"/>
  <c r="F594" i="1" a="1"/>
  <c r="F594" i="1" s="1"/>
  <c r="R594" i="14" s="1"/>
  <c r="J594" i="1" a="1"/>
  <c r="J594" i="1" s="1"/>
  <c r="M594" i="1" a="1"/>
  <c r="M594" i="1" s="1"/>
  <c r="M595" i="1" a="1"/>
  <c r="M595" i="1" s="1"/>
  <c r="M596" i="1" a="1"/>
  <c r="M596" i="1" s="1"/>
  <c r="Q596" i="1" a="1"/>
  <c r="Q596" i="1" s="1"/>
  <c r="S596" i="14" s="1"/>
  <c r="D597" i="1" a="1"/>
  <c r="D597" i="1" s="1"/>
  <c r="I597" i="14" s="1"/>
  <c r="M483" i="1" a="1"/>
  <c r="M483" i="1" s="1"/>
  <c r="J486" i="1" a="1"/>
  <c r="J486" i="1" s="1"/>
  <c r="L487" i="1" a="1"/>
  <c r="L487" i="1" s="1"/>
  <c r="K488" i="1" a="1"/>
  <c r="K488" i="1" s="1"/>
  <c r="Q488" i="1" a="1"/>
  <c r="Q488" i="1" s="1"/>
  <c r="S488" i="14" s="1"/>
  <c r="D489" i="1" a="1"/>
  <c r="D489" i="1" s="1"/>
  <c r="I489" i="14" s="1"/>
  <c r="H489" i="1" a="1"/>
  <c r="H489" i="1" s="1"/>
  <c r="J489" i="14" s="1"/>
  <c r="L489" i="1" a="1"/>
  <c r="L489" i="1" s="1"/>
  <c r="O490" i="1"/>
  <c r="M490" i="14" s="1"/>
  <c r="F491" i="1" a="1"/>
  <c r="F491" i="1" s="1"/>
  <c r="R491" i="14" s="1"/>
  <c r="J491" i="1" a="1"/>
  <c r="J491" i="1" s="1"/>
  <c r="P491" i="1" a="1"/>
  <c r="P491" i="1" s="1"/>
  <c r="C492" i="1" a="1"/>
  <c r="C492" i="1" s="1"/>
  <c r="E492" i="14" s="1"/>
  <c r="G492" i="1" a="1"/>
  <c r="G492" i="1" s="1"/>
  <c r="K492" i="1" a="1"/>
  <c r="K492" i="1" s="1"/>
  <c r="Q492" i="1" a="1"/>
  <c r="Q492" i="1" s="1"/>
  <c r="S492" i="14" s="1"/>
  <c r="D493" i="1" a="1"/>
  <c r="D493" i="1" s="1"/>
  <c r="I493" i="14" s="1"/>
  <c r="H493" i="1" a="1"/>
  <c r="H493" i="1" s="1"/>
  <c r="J493" i="14" s="1"/>
  <c r="L493" i="1" a="1"/>
  <c r="L493" i="1" s="1"/>
  <c r="O494" i="1"/>
  <c r="M494" i="14" s="1"/>
  <c r="F495" i="1" a="1"/>
  <c r="F495" i="1" s="1"/>
  <c r="R495" i="14" s="1"/>
  <c r="J495" i="1" a="1"/>
  <c r="J495" i="1" s="1"/>
  <c r="P495" i="1" a="1"/>
  <c r="P495" i="1" s="1"/>
  <c r="C496" i="1" a="1"/>
  <c r="C496" i="1" s="1"/>
  <c r="E496" i="14" s="1"/>
  <c r="G496" i="1" a="1"/>
  <c r="G496" i="1" s="1"/>
  <c r="K496" i="1" a="1"/>
  <c r="K496" i="1" s="1"/>
  <c r="Q496" i="1" a="1"/>
  <c r="Q496" i="1" s="1"/>
  <c r="S496" i="14" s="1"/>
  <c r="D497" i="1" a="1"/>
  <c r="D497" i="1" s="1"/>
  <c r="I497" i="14" s="1"/>
  <c r="H497" i="1" a="1"/>
  <c r="H497" i="1" s="1"/>
  <c r="J497" i="14" s="1"/>
  <c r="L497" i="1" a="1"/>
  <c r="L497" i="1" s="1"/>
  <c r="F498" i="1" a="1"/>
  <c r="F498" i="1" s="1"/>
  <c r="R498" i="14" s="1"/>
  <c r="K498" i="1" a="1"/>
  <c r="K498" i="1" s="1"/>
  <c r="Q498" i="1" a="1"/>
  <c r="Q498" i="1" s="1"/>
  <c r="S498" i="14" s="1"/>
  <c r="D499" i="1" a="1"/>
  <c r="D499" i="1" s="1"/>
  <c r="I499" i="14" s="1"/>
  <c r="H499" i="1" a="1"/>
  <c r="H499" i="1" s="1"/>
  <c r="J499" i="14" s="1"/>
  <c r="K499" i="1" a="1"/>
  <c r="K499" i="1" s="1"/>
  <c r="P499" i="1" a="1"/>
  <c r="P499" i="1" s="1"/>
  <c r="F500" i="1" a="1"/>
  <c r="F500" i="1" s="1"/>
  <c r="R500" i="14" s="1"/>
  <c r="J500" i="1" a="1"/>
  <c r="J500" i="1" s="1"/>
  <c r="O500" i="1"/>
  <c r="M500" i="14" s="1"/>
  <c r="F501" i="1" a="1"/>
  <c r="F501" i="1" s="1"/>
  <c r="R501" i="14" s="1"/>
  <c r="J501" i="1" a="1"/>
  <c r="J501" i="1" s="1"/>
  <c r="O501" i="1"/>
  <c r="M501" i="14" s="1"/>
  <c r="F502" i="1" a="1"/>
  <c r="F502" i="1" s="1"/>
  <c r="R502" i="14" s="1"/>
  <c r="J502" i="1" a="1"/>
  <c r="J502" i="1" s="1"/>
  <c r="O502" i="1"/>
  <c r="M502" i="14" s="1"/>
  <c r="F503" i="1" a="1"/>
  <c r="F503" i="1" s="1"/>
  <c r="R503" i="14" s="1"/>
  <c r="M503" i="1" a="1"/>
  <c r="M503" i="1" s="1"/>
  <c r="Q503" i="1" a="1"/>
  <c r="Q503" i="1" s="1"/>
  <c r="S503" i="14" s="1"/>
  <c r="D504" i="1" a="1"/>
  <c r="D504" i="1" s="1"/>
  <c r="I504" i="14" s="1"/>
  <c r="H504" i="1" a="1"/>
  <c r="H504" i="1" s="1"/>
  <c r="J504" i="14" s="1"/>
  <c r="L504" i="1" a="1"/>
  <c r="L504" i="1" s="1"/>
  <c r="Q504" i="1" a="1"/>
  <c r="Q504" i="1" s="1"/>
  <c r="S504" i="14" s="1"/>
  <c r="D505" i="1" a="1"/>
  <c r="D505" i="1" s="1"/>
  <c r="I505" i="14" s="1"/>
  <c r="H505" i="1" a="1"/>
  <c r="H505" i="1" s="1"/>
  <c r="J505" i="14" s="1"/>
  <c r="L505" i="1" a="1"/>
  <c r="L505" i="1" s="1"/>
  <c r="Q505" i="1" a="1"/>
  <c r="Q505" i="1" s="1"/>
  <c r="S505" i="14" s="1"/>
  <c r="D506" i="1" a="1"/>
  <c r="D506" i="1" s="1"/>
  <c r="I506" i="14" s="1"/>
  <c r="H506" i="1" a="1"/>
  <c r="H506" i="1" s="1"/>
  <c r="J506" i="14" s="1"/>
  <c r="L506" i="1" a="1"/>
  <c r="L506" i="1" s="1"/>
  <c r="P506" i="1" a="1"/>
  <c r="P506" i="1" s="1"/>
  <c r="F507" i="1" a="1"/>
  <c r="F507" i="1" s="1"/>
  <c r="R507" i="14" s="1"/>
  <c r="L507" i="1" a="1"/>
  <c r="L507" i="1" s="1"/>
  <c r="C508" i="1" a="1"/>
  <c r="C508" i="1" s="1"/>
  <c r="E508" i="14" s="1"/>
  <c r="G508" i="1" a="1"/>
  <c r="G508" i="1" s="1"/>
  <c r="K508" i="1" a="1"/>
  <c r="K508" i="1" s="1"/>
  <c r="P508" i="1" a="1"/>
  <c r="P508" i="1" s="1"/>
  <c r="C509" i="1" a="1"/>
  <c r="C509" i="1" s="1"/>
  <c r="E509" i="14" s="1"/>
  <c r="G509" i="1" a="1"/>
  <c r="G509" i="1" s="1"/>
  <c r="K509" i="1" a="1"/>
  <c r="K509" i="1" s="1"/>
  <c r="P509" i="1" a="1"/>
  <c r="P509" i="1" s="1"/>
  <c r="C510" i="1" a="1"/>
  <c r="C510" i="1" s="1"/>
  <c r="E510" i="14" s="1"/>
  <c r="G510" i="1" a="1"/>
  <c r="G510" i="1" s="1"/>
  <c r="O510" i="1"/>
  <c r="M510" i="14" s="1"/>
  <c r="F511" i="1" a="1"/>
  <c r="F511" i="1" s="1"/>
  <c r="R511" i="14" s="1"/>
  <c r="J511" i="1" a="1"/>
  <c r="J511" i="1" s="1"/>
  <c r="O511" i="1"/>
  <c r="M511" i="14" s="1"/>
  <c r="F512" i="1" a="1"/>
  <c r="F512" i="1" s="1"/>
  <c r="R512" i="14" s="1"/>
  <c r="J512" i="1" a="1"/>
  <c r="J512" i="1" s="1"/>
  <c r="O512" i="1"/>
  <c r="M512" i="14" s="1"/>
  <c r="F513" i="1" a="1"/>
  <c r="F513" i="1" s="1"/>
  <c r="R513" i="14" s="1"/>
  <c r="J513" i="1" a="1"/>
  <c r="J513" i="1" s="1"/>
  <c r="O513" i="1"/>
  <c r="M513" i="14" s="1"/>
  <c r="M514" i="1" a="1"/>
  <c r="M514" i="1" s="1"/>
  <c r="L515" i="1" a="1"/>
  <c r="L515" i="1" s="1"/>
  <c r="C516" i="1" a="1"/>
  <c r="C516" i="1" s="1"/>
  <c r="E516" i="14" s="1"/>
  <c r="G516" i="1" a="1"/>
  <c r="G516" i="1" s="1"/>
  <c r="K516" i="1" a="1"/>
  <c r="K516" i="1" s="1"/>
  <c r="P516" i="1" a="1"/>
  <c r="P516" i="1" s="1"/>
  <c r="C517" i="1" a="1"/>
  <c r="C517" i="1" s="1"/>
  <c r="E517" i="14" s="1"/>
  <c r="G517" i="1" a="1"/>
  <c r="G517" i="1" s="1"/>
  <c r="K517" i="1" a="1"/>
  <c r="K517" i="1" s="1"/>
  <c r="P517" i="1" a="1"/>
  <c r="P517" i="1" s="1"/>
  <c r="C518" i="1" a="1"/>
  <c r="C518" i="1" s="1"/>
  <c r="E518" i="14" s="1"/>
  <c r="G518" i="1" a="1"/>
  <c r="G518" i="1" s="1"/>
  <c r="O518" i="1"/>
  <c r="M518" i="14" s="1"/>
  <c r="F519" i="1" a="1"/>
  <c r="F519" i="1" s="1"/>
  <c r="R519" i="14" s="1"/>
  <c r="M519" i="1" a="1"/>
  <c r="M519" i="1" s="1"/>
  <c r="K520" i="1" a="1"/>
  <c r="K520" i="1" s="1"/>
  <c r="L520" i="14" s="1"/>
  <c r="O520" i="1"/>
  <c r="M520" i="14" s="1"/>
  <c r="F521" i="1" a="1"/>
  <c r="F521" i="1" s="1"/>
  <c r="R521" i="14" s="1"/>
  <c r="J521" i="1" a="1"/>
  <c r="J521" i="1" s="1"/>
  <c r="O521" i="1"/>
  <c r="M521" i="14" s="1"/>
  <c r="F522" i="1" a="1"/>
  <c r="F522" i="1" s="1"/>
  <c r="R522" i="14" s="1"/>
  <c r="J522" i="1" a="1"/>
  <c r="J522" i="1" s="1"/>
  <c r="O522" i="1"/>
  <c r="M522" i="14" s="1"/>
  <c r="F523" i="1" a="1"/>
  <c r="F523" i="1" s="1"/>
  <c r="R523" i="14" s="1"/>
  <c r="J523" i="1" a="1"/>
  <c r="J523" i="1" s="1"/>
  <c r="O523" i="1"/>
  <c r="M523" i="14" s="1"/>
  <c r="F524" i="1" a="1"/>
  <c r="F524" i="1" s="1"/>
  <c r="R524" i="14" s="1"/>
  <c r="J524" i="1" a="1"/>
  <c r="J524" i="1" s="1"/>
  <c r="O524" i="1"/>
  <c r="M524" i="14" s="1"/>
  <c r="F525" i="1" a="1"/>
  <c r="F525" i="1" s="1"/>
  <c r="R525" i="14" s="1"/>
  <c r="J525" i="1" a="1"/>
  <c r="J525" i="1" s="1"/>
  <c r="O525" i="1"/>
  <c r="M525" i="14" s="1"/>
  <c r="F526" i="1" a="1"/>
  <c r="F526" i="1" s="1"/>
  <c r="R526" i="14" s="1"/>
  <c r="J526" i="1" a="1"/>
  <c r="J526" i="1" s="1"/>
  <c r="O526" i="1"/>
  <c r="M526" i="14" s="1"/>
  <c r="F527" i="1" a="1"/>
  <c r="F527" i="1" s="1"/>
  <c r="R527" i="14" s="1"/>
  <c r="J527" i="1" a="1"/>
  <c r="J527" i="1" s="1"/>
  <c r="O527" i="1"/>
  <c r="M527" i="14" s="1"/>
  <c r="F528" i="1" a="1"/>
  <c r="F528" i="1" s="1"/>
  <c r="R528" i="14" s="1"/>
  <c r="J528" i="1" a="1"/>
  <c r="J528" i="1" s="1"/>
  <c r="O528" i="1"/>
  <c r="M528" i="14" s="1"/>
  <c r="F529" i="1" a="1"/>
  <c r="F529" i="1" s="1"/>
  <c r="R529" i="14" s="1"/>
  <c r="M529" i="1" a="1"/>
  <c r="M529" i="1" s="1"/>
  <c r="M530" i="1" a="1"/>
  <c r="M530" i="1" s="1"/>
  <c r="H531" i="1" a="1"/>
  <c r="H531" i="1" s="1"/>
  <c r="J531" i="14" s="1"/>
  <c r="L531" i="1" a="1"/>
  <c r="L531" i="1" s="1"/>
  <c r="Q531" i="1" a="1"/>
  <c r="Q531" i="1" s="1"/>
  <c r="S531" i="14" s="1"/>
  <c r="D532" i="1" a="1"/>
  <c r="D532" i="1" s="1"/>
  <c r="I532" i="14" s="1"/>
  <c r="H532" i="1" a="1"/>
  <c r="H532" i="1" s="1"/>
  <c r="J532" i="14" s="1"/>
  <c r="L532" i="1" a="1"/>
  <c r="L532" i="1" s="1"/>
  <c r="P532" i="1" a="1"/>
  <c r="P532" i="1" s="1"/>
  <c r="F533" i="1" a="1"/>
  <c r="F533" i="1" s="1"/>
  <c r="R533" i="14" s="1"/>
  <c r="L533" i="1" a="1"/>
  <c r="L533" i="1" s="1"/>
  <c r="Q533" i="1" a="1"/>
  <c r="Q533" i="1" s="1"/>
  <c r="S533" i="14" s="1"/>
  <c r="D534" i="1" a="1"/>
  <c r="D534" i="1" s="1"/>
  <c r="I534" i="14" s="1"/>
  <c r="H534" i="1" a="1"/>
  <c r="H534" i="1" s="1"/>
  <c r="J534" i="14" s="1"/>
  <c r="L534" i="1" a="1"/>
  <c r="L534" i="1" s="1"/>
  <c r="Q534" i="1" a="1"/>
  <c r="Q534" i="1" s="1"/>
  <c r="S534" i="14" s="1"/>
  <c r="D535" i="1" a="1"/>
  <c r="D535" i="1" s="1"/>
  <c r="I535" i="14" s="1"/>
  <c r="H535" i="1" a="1"/>
  <c r="H535" i="1" s="1"/>
  <c r="J535" i="14" s="1"/>
  <c r="L535" i="1" a="1"/>
  <c r="L535" i="1" s="1"/>
  <c r="Q535" i="1" a="1"/>
  <c r="Q535" i="1" s="1"/>
  <c r="S535" i="14" s="1"/>
  <c r="D536" i="1" a="1"/>
  <c r="D536" i="1" s="1"/>
  <c r="I536" i="14" s="1"/>
  <c r="H536" i="1" a="1"/>
  <c r="H536" i="1" s="1"/>
  <c r="J536" i="14" s="1"/>
  <c r="L536" i="1" a="1"/>
  <c r="L536" i="1" s="1"/>
  <c r="Q536" i="1" a="1"/>
  <c r="Q536" i="1" s="1"/>
  <c r="S536" i="14" s="1"/>
  <c r="D537" i="1" a="1"/>
  <c r="D537" i="1" s="1"/>
  <c r="I537" i="14" s="1"/>
  <c r="K537" i="1" a="1"/>
  <c r="K537" i="1" s="1"/>
  <c r="P537" i="1" a="1"/>
  <c r="P537" i="1" s="1"/>
  <c r="C538" i="1" a="1"/>
  <c r="C538" i="1" s="1"/>
  <c r="E538" i="14" s="1"/>
  <c r="G538" i="1" a="1"/>
  <c r="G538" i="1" s="1"/>
  <c r="K538" i="1" a="1"/>
  <c r="K538" i="1" s="1"/>
  <c r="P538" i="1" a="1"/>
  <c r="P538" i="1" s="1"/>
  <c r="C539" i="1" a="1"/>
  <c r="C539" i="1" s="1"/>
  <c r="E539" i="14" s="1"/>
  <c r="J539" i="1" a="1"/>
  <c r="J539" i="1" s="1"/>
  <c r="O539" i="1"/>
  <c r="M539" i="14" s="1"/>
  <c r="M540" i="1" a="1"/>
  <c r="M540" i="1" s="1"/>
  <c r="M541" i="1" a="1"/>
  <c r="M541" i="1" s="1"/>
  <c r="L542" i="1" a="1"/>
  <c r="L542" i="1" s="1"/>
  <c r="Q542" i="1" a="1"/>
  <c r="Q542" i="1" s="1"/>
  <c r="S542" i="14" s="1"/>
  <c r="D543" i="1" a="1"/>
  <c r="D543" i="1" s="1"/>
  <c r="I543" i="14" s="1"/>
  <c r="G543" i="1" a="1"/>
  <c r="G543" i="1" s="1"/>
  <c r="K543" i="1" a="1"/>
  <c r="K543" i="1" s="1"/>
  <c r="P543" i="1" a="1"/>
  <c r="P543" i="1" s="1"/>
  <c r="C544" i="1" a="1"/>
  <c r="C544" i="1" s="1"/>
  <c r="E544" i="14" s="1"/>
  <c r="G544" i="1" a="1"/>
  <c r="G544" i="1" s="1"/>
  <c r="K544" i="1" a="1"/>
  <c r="K544" i="1" s="1"/>
  <c r="L544" i="14" s="1"/>
  <c r="P544" i="1" a="1"/>
  <c r="P544" i="1" s="1"/>
  <c r="C545" i="1" a="1"/>
  <c r="C545" i="1" s="1"/>
  <c r="E545" i="14" s="1"/>
  <c r="G545" i="1" a="1"/>
  <c r="G545" i="1" s="1"/>
  <c r="K545" i="1" a="1"/>
  <c r="K545" i="1" s="1"/>
  <c r="L545" i="14" s="1"/>
  <c r="P545" i="1" a="1"/>
  <c r="P545" i="1" s="1"/>
  <c r="C546" i="1" a="1"/>
  <c r="C546" i="1" s="1"/>
  <c r="E546" i="14" s="1"/>
  <c r="G546" i="1" a="1"/>
  <c r="G546" i="1" s="1"/>
  <c r="O546" i="1"/>
  <c r="M546" i="14" s="1"/>
  <c r="F547" i="1" a="1"/>
  <c r="F547" i="1" s="1"/>
  <c r="R547" i="14" s="1"/>
  <c r="J547" i="1" a="1"/>
  <c r="J547" i="1" s="1"/>
  <c r="O547" i="1"/>
  <c r="M547" i="14" s="1"/>
  <c r="L548" i="1" a="1"/>
  <c r="L548" i="1" s="1"/>
  <c r="Q548" i="1" a="1"/>
  <c r="Q548" i="1" s="1"/>
  <c r="S548" i="14" s="1"/>
  <c r="D549" i="1" a="1"/>
  <c r="D549" i="1" s="1"/>
  <c r="I549" i="14" s="1"/>
  <c r="O549" i="1"/>
  <c r="M549" i="14" s="1"/>
  <c r="D550" i="1" a="1"/>
  <c r="D550" i="1" s="1"/>
  <c r="I550" i="14" s="1"/>
  <c r="G550" i="1" a="1"/>
  <c r="G550" i="1" s="1"/>
  <c r="K550" i="1" a="1"/>
  <c r="K550" i="1" s="1"/>
  <c r="P550" i="1" a="1"/>
  <c r="P550" i="1" s="1"/>
  <c r="C551" i="1" a="1"/>
  <c r="C551" i="1" s="1"/>
  <c r="E551" i="14" s="1"/>
  <c r="G551" i="1" a="1"/>
  <c r="G551" i="1" s="1"/>
  <c r="K551" i="1" a="1"/>
  <c r="K551" i="1" s="1"/>
  <c r="O551" i="1"/>
  <c r="M551" i="14" s="1"/>
  <c r="F552" i="1" a="1"/>
  <c r="F552" i="1" s="1"/>
  <c r="R552" i="14" s="1"/>
  <c r="J552" i="1" a="1"/>
  <c r="J552" i="1" s="1"/>
  <c r="O552" i="1"/>
  <c r="M552" i="14" s="1"/>
  <c r="F553" i="1" a="1"/>
  <c r="F553" i="1" s="1"/>
  <c r="R553" i="14" s="1"/>
  <c r="J553" i="1" a="1"/>
  <c r="J553" i="1" s="1"/>
  <c r="O553" i="1"/>
  <c r="M553" i="14" s="1"/>
  <c r="F554" i="1" a="1"/>
  <c r="F554" i="1" s="1"/>
  <c r="R554" i="14" s="1"/>
  <c r="J554" i="1" a="1"/>
  <c r="J554" i="1" s="1"/>
  <c r="O554" i="1"/>
  <c r="M554" i="14" s="1"/>
  <c r="F555" i="1" a="1"/>
  <c r="F555" i="1" s="1"/>
  <c r="R555" i="14" s="1"/>
  <c r="L555" i="1" a="1"/>
  <c r="L555" i="1" s="1"/>
  <c r="Q555" i="1" a="1"/>
  <c r="Q555" i="1" s="1"/>
  <c r="S555" i="14" s="1"/>
  <c r="D556" i="1" a="1"/>
  <c r="D556" i="1" s="1"/>
  <c r="I556" i="14" s="1"/>
  <c r="H556" i="1" a="1"/>
  <c r="H556" i="1" s="1"/>
  <c r="J556" i="14" s="1"/>
  <c r="L556" i="1" a="1"/>
  <c r="L556" i="1" s="1"/>
  <c r="Q556" i="1" a="1"/>
  <c r="Q556" i="1" s="1"/>
  <c r="S556" i="14" s="1"/>
  <c r="D557" i="1" a="1"/>
  <c r="D557" i="1" s="1"/>
  <c r="I557" i="14" s="1"/>
  <c r="O557" i="1"/>
  <c r="M557" i="14" s="1"/>
  <c r="F558" i="1" a="1"/>
  <c r="F558" i="1" s="1"/>
  <c r="R558" i="14" s="1"/>
  <c r="J558" i="1" a="1"/>
  <c r="J558" i="1" s="1"/>
  <c r="O558" i="1"/>
  <c r="M558" i="14" s="1"/>
  <c r="F559" i="1" a="1"/>
  <c r="F559" i="1" s="1"/>
  <c r="R559" i="14" s="1"/>
  <c r="J559" i="1" a="1"/>
  <c r="J559" i="1" s="1"/>
  <c r="O559" i="1"/>
  <c r="M559" i="14" s="1"/>
  <c r="F560" i="1" a="1"/>
  <c r="F560" i="1" s="1"/>
  <c r="R560" i="14" s="1"/>
  <c r="J560" i="1" a="1"/>
  <c r="J560" i="1" s="1"/>
  <c r="O560" i="1"/>
  <c r="M560" i="14" s="1"/>
  <c r="F561" i="1" a="1"/>
  <c r="F561" i="1" s="1"/>
  <c r="R561" i="14" s="1"/>
  <c r="J561" i="1" a="1"/>
  <c r="J561" i="1" s="1"/>
  <c r="O561" i="1"/>
  <c r="M561" i="14" s="1"/>
  <c r="F562" i="1" a="1"/>
  <c r="F562" i="1" s="1"/>
  <c r="R562" i="14" s="1"/>
  <c r="J562" i="1" a="1"/>
  <c r="J562" i="1" s="1"/>
  <c r="C563" i="1" a="1"/>
  <c r="C563" i="1" s="1"/>
  <c r="E563" i="14" s="1"/>
  <c r="J563" i="1" a="1"/>
  <c r="J563" i="1" s="1"/>
  <c r="O563" i="1"/>
  <c r="M563" i="14" s="1"/>
  <c r="F564" i="1" a="1"/>
  <c r="F564" i="1" s="1"/>
  <c r="R564" i="14" s="1"/>
  <c r="J564" i="1" a="1"/>
  <c r="J564" i="1" s="1"/>
  <c r="O564" i="1"/>
  <c r="M564" i="14" s="1"/>
  <c r="F565" i="1" a="1"/>
  <c r="F565" i="1" s="1"/>
  <c r="R565" i="14" s="1"/>
  <c r="J565" i="1" a="1"/>
  <c r="J565" i="1" s="1"/>
  <c r="M565" i="1" a="1"/>
  <c r="M565" i="1" s="1"/>
  <c r="L566" i="1" a="1"/>
  <c r="L566" i="1" s="1"/>
  <c r="C567" i="1" a="1"/>
  <c r="C567" i="1" s="1"/>
  <c r="E567" i="14" s="1"/>
  <c r="G567" i="1" a="1"/>
  <c r="G567" i="1" s="1"/>
  <c r="K567" i="1" a="1"/>
  <c r="K567" i="1" s="1"/>
  <c r="L567" i="14" s="1"/>
  <c r="O567" i="1"/>
  <c r="M567" i="14" s="1"/>
  <c r="F568" i="1" a="1"/>
  <c r="F568" i="1" s="1"/>
  <c r="R568" i="14" s="1"/>
  <c r="M568" i="1" a="1"/>
  <c r="M568" i="1" s="1"/>
  <c r="H569" i="1" a="1"/>
  <c r="H569" i="1" s="1"/>
  <c r="J569" i="14" s="1"/>
  <c r="K569" i="1" a="1"/>
  <c r="K569" i="1" s="1"/>
  <c r="O569" i="1"/>
  <c r="M569" i="14" s="1"/>
  <c r="F570" i="1" a="1"/>
  <c r="F570" i="1" s="1"/>
  <c r="R570" i="14" s="1"/>
  <c r="L570" i="1" a="1"/>
  <c r="L570" i="1" s="1"/>
  <c r="C571" i="1" a="1"/>
  <c r="C571" i="1" s="1"/>
  <c r="E571" i="14" s="1"/>
  <c r="G571" i="1" a="1"/>
  <c r="G571" i="1" s="1"/>
  <c r="K571" i="1" a="1"/>
  <c r="K571" i="1" s="1"/>
  <c r="P571" i="1" a="1"/>
  <c r="P571" i="1" s="1"/>
  <c r="C572" i="1" a="1"/>
  <c r="C572" i="1" s="1"/>
  <c r="E572" i="14" s="1"/>
  <c r="G572" i="1" a="1"/>
  <c r="G572" i="1" s="1"/>
  <c r="J572" i="1" a="1"/>
  <c r="J572" i="1" s="1"/>
  <c r="O572" i="1"/>
  <c r="M572" i="14" s="1"/>
  <c r="F573" i="1" a="1"/>
  <c r="F573" i="1" s="1"/>
  <c r="R573" i="14" s="1"/>
  <c r="J573" i="1" a="1"/>
  <c r="J573" i="1" s="1"/>
  <c r="Q573" i="1" a="1"/>
  <c r="Q573" i="1" s="1"/>
  <c r="S573" i="14" s="1"/>
  <c r="D574" i="1" a="1"/>
  <c r="D574" i="1" s="1"/>
  <c r="I574" i="14" s="1"/>
  <c r="G574" i="1" a="1"/>
  <c r="G574" i="1" s="1"/>
  <c r="J574" i="1" a="1"/>
  <c r="J574" i="1" s="1"/>
  <c r="O574" i="1"/>
  <c r="M574" i="14" s="1"/>
  <c r="L575" i="1" a="1"/>
  <c r="L575" i="1" s="1"/>
  <c r="P575" i="1" a="1"/>
  <c r="P575" i="1" s="1"/>
  <c r="C576" i="1" a="1"/>
  <c r="C576" i="1" s="1"/>
  <c r="E576" i="14" s="1"/>
  <c r="G576" i="1" a="1"/>
  <c r="G576" i="1" s="1"/>
  <c r="K576" i="1" a="1"/>
  <c r="K576" i="1" s="1"/>
  <c r="L576" i="14" s="1"/>
  <c r="P576" i="1" a="1"/>
  <c r="P576" i="1" s="1"/>
  <c r="C577" i="1" a="1"/>
  <c r="C577" i="1" s="1"/>
  <c r="E577" i="14" s="1"/>
  <c r="G577" i="1" a="1"/>
  <c r="G577" i="1" s="1"/>
  <c r="K577" i="1" a="1"/>
  <c r="K577" i="1" s="1"/>
  <c r="O577" i="1"/>
  <c r="M577" i="14" s="1"/>
  <c r="F578" i="1" a="1"/>
  <c r="F578" i="1" s="1"/>
  <c r="R578" i="14" s="1"/>
  <c r="L578" i="1" a="1"/>
  <c r="L578" i="1" s="1"/>
  <c r="Q578" i="1" a="1"/>
  <c r="Q578" i="1" s="1"/>
  <c r="S578" i="14" s="1"/>
  <c r="D579" i="1" a="1"/>
  <c r="D579" i="1" s="1"/>
  <c r="I579" i="14" s="1"/>
  <c r="H579" i="1" a="1"/>
  <c r="H579" i="1" s="1"/>
  <c r="J579" i="14" s="1"/>
  <c r="L579" i="1" a="1"/>
  <c r="L579" i="1" s="1"/>
  <c r="Q579" i="1" a="1"/>
  <c r="Q579" i="1" s="1"/>
  <c r="S579" i="14" s="1"/>
  <c r="D580" i="1" a="1"/>
  <c r="D580" i="1" s="1"/>
  <c r="I580" i="14" s="1"/>
  <c r="G580" i="1" a="1"/>
  <c r="G580" i="1" s="1"/>
  <c r="J580" i="1" a="1"/>
  <c r="J580" i="1" s="1"/>
  <c r="M580" i="1" a="1"/>
  <c r="M580" i="1" s="1"/>
  <c r="Q580" i="1" a="1"/>
  <c r="Q580" i="1" s="1"/>
  <c r="S580" i="14" s="1"/>
  <c r="D581" i="1" a="1"/>
  <c r="D581" i="1" s="1"/>
  <c r="I581" i="14" s="1"/>
  <c r="G581" i="1" a="1"/>
  <c r="G581" i="1" s="1"/>
  <c r="J581" i="1" a="1"/>
  <c r="J581" i="1" s="1"/>
  <c r="Q581" i="1" a="1"/>
  <c r="Q581" i="1" s="1"/>
  <c r="S581" i="14" s="1"/>
  <c r="D582" i="1" a="1"/>
  <c r="D582" i="1" s="1"/>
  <c r="I582" i="14" s="1"/>
  <c r="H582" i="1" a="1"/>
  <c r="H582" i="1" s="1"/>
  <c r="J582" i="14" s="1"/>
  <c r="P582" i="1" a="1"/>
  <c r="P582" i="1" s="1"/>
  <c r="C583" i="1" a="1"/>
  <c r="C583" i="1" s="1"/>
  <c r="E583" i="14" s="1"/>
  <c r="G583" i="1" a="1"/>
  <c r="G583" i="1" s="1"/>
  <c r="K583" i="1" a="1"/>
  <c r="K583" i="1" s="1"/>
  <c r="P583" i="1" a="1"/>
  <c r="P583" i="1" s="1"/>
  <c r="L584" i="1" a="1"/>
  <c r="L584" i="1" s="1"/>
  <c r="Q584" i="1" a="1"/>
  <c r="Q584" i="1" s="1"/>
  <c r="S584" i="14" s="1"/>
  <c r="D585" i="1" a="1"/>
  <c r="D585" i="1" s="1"/>
  <c r="I585" i="14" s="1"/>
  <c r="H585" i="1" a="1"/>
  <c r="H585" i="1" s="1"/>
  <c r="J585" i="14" s="1"/>
  <c r="K585" i="1" a="1"/>
  <c r="K585" i="1" s="1"/>
  <c r="P585" i="1" a="1"/>
  <c r="P585" i="1" s="1"/>
  <c r="F586" i="1" a="1"/>
  <c r="F586" i="1" s="1"/>
  <c r="R586" i="14" s="1"/>
  <c r="J586" i="1" a="1"/>
  <c r="J586" i="1" s="1"/>
  <c r="Q586" i="1" a="1"/>
  <c r="Q586" i="1" s="1"/>
  <c r="S586" i="14" s="1"/>
  <c r="D587" i="1" a="1"/>
  <c r="D587" i="1" s="1"/>
  <c r="I587" i="14" s="1"/>
  <c r="H587" i="1" a="1"/>
  <c r="H587" i="1" s="1"/>
  <c r="J587" i="14" s="1"/>
  <c r="L587" i="1" a="1"/>
  <c r="L587" i="1" s="1"/>
  <c r="Q587" i="1" a="1"/>
  <c r="Q587" i="1" s="1"/>
  <c r="S587" i="14" s="1"/>
  <c r="D588" i="1" a="1"/>
  <c r="D588" i="1" s="1"/>
  <c r="I588" i="14" s="1"/>
  <c r="G588" i="1" a="1"/>
  <c r="G588" i="1" s="1"/>
  <c r="K588" i="1" a="1"/>
  <c r="K588" i="1" s="1"/>
  <c r="O588" i="1"/>
  <c r="M588" i="14" s="1"/>
  <c r="F589" i="1" a="1"/>
  <c r="F589" i="1" s="1"/>
  <c r="R589" i="14" s="1"/>
  <c r="M589" i="1" a="1"/>
  <c r="M589" i="1" s="1"/>
  <c r="M590" i="1" a="1"/>
  <c r="M590" i="1" s="1"/>
  <c r="H591" i="1" a="1"/>
  <c r="H591" i="1" s="1"/>
  <c r="J591" i="14" s="1"/>
  <c r="K591" i="1" a="1"/>
  <c r="K591" i="1" s="1"/>
  <c r="P591" i="1" a="1"/>
  <c r="P591" i="1" s="1"/>
  <c r="F592" i="1" a="1"/>
  <c r="F592" i="1" s="1"/>
  <c r="R592" i="14" s="1"/>
  <c r="J592" i="1" a="1"/>
  <c r="J592" i="1" s="1"/>
  <c r="C586" i="1" a="1"/>
  <c r="C586" i="1" s="1"/>
  <c r="E586" i="14" s="1"/>
  <c r="J590" i="1" a="1"/>
  <c r="J590" i="1" s="1"/>
  <c r="L591" i="1" a="1"/>
  <c r="L591" i="1" s="1"/>
  <c r="G592" i="1" a="1"/>
  <c r="G592" i="1" s="1"/>
  <c r="K592" i="1" a="1"/>
  <c r="K592" i="1" s="1"/>
  <c r="F593" i="1" a="1"/>
  <c r="F593" i="1" s="1"/>
  <c r="R593" i="14" s="1"/>
  <c r="J593" i="1" a="1"/>
  <c r="J593" i="1" s="1"/>
  <c r="C594" i="1" a="1"/>
  <c r="C594" i="1" s="1"/>
  <c r="E594" i="14" s="1"/>
  <c r="H594" i="1" a="1"/>
  <c r="H594" i="1" s="1"/>
  <c r="J594" i="14" s="1"/>
  <c r="L594" i="1" a="1"/>
  <c r="L594" i="1" s="1"/>
  <c r="O595" i="1"/>
  <c r="M595" i="14" s="1"/>
  <c r="F596" i="1" a="1"/>
  <c r="F596" i="1" s="1"/>
  <c r="R596" i="14" s="1"/>
  <c r="J596" i="1" a="1"/>
  <c r="J596" i="1" s="1"/>
  <c r="O596" i="1"/>
  <c r="M596" i="14" s="1"/>
  <c r="C597" i="1" a="1"/>
  <c r="C597" i="1" s="1"/>
  <c r="E597" i="14" s="1"/>
  <c r="K597" i="1" a="1"/>
  <c r="K597" i="1" s="1"/>
  <c r="P597" i="1" a="1"/>
  <c r="P597" i="1" s="1"/>
  <c r="C598" i="1" a="1"/>
  <c r="C598" i="1" s="1"/>
  <c r="E598" i="14" s="1"/>
  <c r="G598" i="1" a="1"/>
  <c r="G598" i="1" s="1"/>
  <c r="K598" i="1" a="1"/>
  <c r="K598" i="1" s="1"/>
  <c r="O598" i="1"/>
  <c r="M598" i="14" s="1"/>
  <c r="F599" i="1" a="1"/>
  <c r="F599" i="1" s="1"/>
  <c r="R599" i="14" s="1"/>
  <c r="M599" i="1" a="1"/>
  <c r="M599" i="1" s="1"/>
  <c r="Q600" i="1" a="1"/>
  <c r="Q600" i="1" s="1"/>
  <c r="S600" i="14" s="1"/>
  <c r="D601" i="1" a="1"/>
  <c r="D601" i="1" s="1"/>
  <c r="I601" i="14" s="1"/>
  <c r="H601" i="1" a="1"/>
  <c r="H601" i="1" s="1"/>
  <c r="J601" i="14" s="1"/>
  <c r="L601" i="1" a="1"/>
  <c r="L601" i="1" s="1"/>
  <c r="Q601" i="1" a="1"/>
  <c r="Q601" i="1" s="1"/>
  <c r="S601" i="14" s="1"/>
  <c r="D602" i="1" a="1"/>
  <c r="D602" i="1" s="1"/>
  <c r="I602" i="14" s="1"/>
  <c r="H602" i="1" a="1"/>
  <c r="H602" i="1" s="1"/>
  <c r="J602" i="14" s="1"/>
  <c r="O602" i="1"/>
  <c r="M602" i="14" s="1"/>
  <c r="F603" i="1" a="1"/>
  <c r="F603" i="1" s="1"/>
  <c r="R603" i="14" s="1"/>
  <c r="J603" i="1" a="1"/>
  <c r="J603" i="1" s="1"/>
  <c r="O603" i="1"/>
  <c r="M603" i="14" s="1"/>
  <c r="D604" i="1" a="1"/>
  <c r="D604" i="1" s="1"/>
  <c r="I604" i="14" s="1"/>
  <c r="H604" i="1" a="1"/>
  <c r="H604" i="1" s="1"/>
  <c r="J604" i="14" s="1"/>
  <c r="K604" i="1" a="1"/>
  <c r="K604" i="1" s="1"/>
  <c r="O604" i="1"/>
  <c r="M604" i="14" s="1"/>
  <c r="F605" i="1" a="1"/>
  <c r="F605" i="1" s="1"/>
  <c r="R605" i="14" s="1"/>
  <c r="M605" i="1" a="1"/>
  <c r="M605" i="1" s="1"/>
  <c r="G606" i="1" a="1"/>
  <c r="G606" i="1" s="1"/>
  <c r="K606" i="1" a="1"/>
  <c r="K606" i="1" s="1"/>
  <c r="O606" i="1"/>
  <c r="M606" i="14" s="1"/>
  <c r="H607" i="1" a="1"/>
  <c r="H607" i="1" s="1"/>
  <c r="J607" i="14" s="1"/>
  <c r="L607" i="1" a="1"/>
  <c r="L607" i="1" s="1"/>
  <c r="Q607" i="1" a="1"/>
  <c r="Q607" i="1" s="1"/>
  <c r="S607" i="14" s="1"/>
  <c r="D608" i="1" a="1"/>
  <c r="D608" i="1" s="1"/>
  <c r="I608" i="14" s="1"/>
  <c r="H608" i="1" a="1"/>
  <c r="H608" i="1" s="1"/>
  <c r="J608" i="14" s="1"/>
  <c r="L608" i="1" a="1"/>
  <c r="L608" i="1" s="1"/>
  <c r="Q608" i="1" a="1"/>
  <c r="Q608" i="1" s="1"/>
  <c r="S608" i="14" s="1"/>
  <c r="D609" i="1" a="1"/>
  <c r="D609" i="1" s="1"/>
  <c r="I609" i="14" s="1"/>
  <c r="H609" i="1" a="1"/>
  <c r="H609" i="1" s="1"/>
  <c r="J609" i="14" s="1"/>
  <c r="L609" i="1" a="1"/>
  <c r="L609" i="1" s="1"/>
  <c r="Q609" i="1" a="1"/>
  <c r="Q609" i="1" s="1"/>
  <c r="S609" i="14" s="1"/>
  <c r="D610" i="1" a="1"/>
  <c r="D610" i="1" s="1"/>
  <c r="I610" i="14" s="1"/>
  <c r="H610" i="1" a="1"/>
  <c r="H610" i="1" s="1"/>
  <c r="J610" i="14" s="1"/>
  <c r="O610" i="1"/>
  <c r="M610" i="14" s="1"/>
  <c r="F611" i="1" a="1"/>
  <c r="F611" i="1" s="1"/>
  <c r="R611" i="14" s="1"/>
  <c r="M611" i="1" a="1"/>
  <c r="M611" i="1" s="1"/>
  <c r="M612" i="1" a="1"/>
  <c r="M612" i="1" s="1"/>
  <c r="M613" i="1" a="1"/>
  <c r="M613" i="1" s="1"/>
  <c r="Q613" i="1" a="1"/>
  <c r="Q613" i="1" s="1"/>
  <c r="S613" i="14" s="1"/>
  <c r="D614" i="1" a="1"/>
  <c r="D614" i="1" s="1"/>
  <c r="I614" i="14" s="1"/>
  <c r="H614" i="1" a="1"/>
  <c r="H614" i="1" s="1"/>
  <c r="J614" i="14" s="1"/>
  <c r="L614" i="1" a="1"/>
  <c r="L614" i="1" s="1"/>
  <c r="Q614" i="1" a="1"/>
  <c r="Q614" i="1" s="1"/>
  <c r="S614" i="14" s="1"/>
  <c r="D615" i="1" a="1"/>
  <c r="D615" i="1" s="1"/>
  <c r="I615" i="14" s="1"/>
  <c r="H615" i="1" a="1"/>
  <c r="H615" i="1" s="1"/>
  <c r="J615" i="14" s="1"/>
  <c r="L615" i="1" a="1"/>
  <c r="L615" i="1" s="1"/>
  <c r="P615" i="1" a="1"/>
  <c r="P615" i="1" s="1"/>
  <c r="F616" i="1" a="1"/>
  <c r="F616" i="1" s="1"/>
  <c r="R616" i="14" s="1"/>
  <c r="J616" i="1" a="1"/>
  <c r="J616" i="1" s="1"/>
  <c r="C617" i="1" a="1"/>
  <c r="C617" i="1" s="1"/>
  <c r="E617" i="14" s="1"/>
  <c r="J617" i="1" a="1"/>
  <c r="J617" i="1" s="1"/>
  <c r="O617" i="1"/>
  <c r="M617" i="14" s="1"/>
  <c r="F618" i="1" a="1"/>
  <c r="F618" i="1" s="1"/>
  <c r="R618" i="14" s="1"/>
  <c r="J618" i="1" a="1"/>
  <c r="J618" i="1" s="1"/>
  <c r="J619" i="1" a="1"/>
  <c r="J619" i="1" s="1"/>
  <c r="O619" i="1"/>
  <c r="M619" i="14" s="1"/>
  <c r="F620" i="1" a="1"/>
  <c r="F620" i="1" s="1"/>
  <c r="R620" i="14" s="1"/>
  <c r="M620" i="1" a="1"/>
  <c r="M620" i="1" s="1"/>
  <c r="H621" i="1" a="1"/>
  <c r="H621" i="1" s="1"/>
  <c r="J621" i="14" s="1"/>
  <c r="L621" i="1" a="1"/>
  <c r="L621" i="1" s="1"/>
  <c r="Q621" i="1" a="1"/>
  <c r="Q621" i="1" s="1"/>
  <c r="S621" i="14" s="1"/>
  <c r="C622" i="1" a="1"/>
  <c r="C622" i="1" s="1"/>
  <c r="E622" i="14" s="1"/>
  <c r="G622" i="1" a="1"/>
  <c r="G622" i="1" s="1"/>
  <c r="K622" i="1" a="1"/>
  <c r="K622" i="1" s="1"/>
  <c r="P622" i="1" a="1"/>
  <c r="P622" i="1" s="1"/>
  <c r="C623" i="1" a="1"/>
  <c r="C623" i="1" s="1"/>
  <c r="E623" i="14" s="1"/>
  <c r="G623" i="1" a="1"/>
  <c r="G623" i="1" s="1"/>
  <c r="K623" i="1" a="1"/>
  <c r="K623" i="1" s="1"/>
  <c r="O623" i="1"/>
  <c r="M623" i="14" s="1"/>
  <c r="F624" i="1" a="1"/>
  <c r="F624" i="1" s="1"/>
  <c r="R624" i="14" s="1"/>
  <c r="M624" i="1" a="1"/>
  <c r="M624" i="1" s="1"/>
  <c r="H625" i="1" a="1"/>
  <c r="H625" i="1" s="1"/>
  <c r="J625" i="14" s="1"/>
  <c r="K625" i="1" a="1"/>
  <c r="K625" i="1" s="1"/>
  <c r="O625" i="1"/>
  <c r="M625" i="14" s="1"/>
  <c r="H626" i="1" a="1"/>
  <c r="H626" i="1" s="1"/>
  <c r="J626" i="14" s="1"/>
  <c r="K626" i="1" a="1"/>
  <c r="K626" i="1" s="1"/>
  <c r="P626" i="1" a="1"/>
  <c r="P626" i="1" s="1"/>
  <c r="H627" i="1" a="1"/>
  <c r="H627" i="1" s="1"/>
  <c r="J627" i="14" s="1"/>
  <c r="L627" i="1" a="1"/>
  <c r="L627" i="1" s="1"/>
  <c r="Q627" i="1" a="1"/>
  <c r="Q627" i="1" s="1"/>
  <c r="S627" i="14" s="1"/>
  <c r="D628" i="1" a="1"/>
  <c r="D628" i="1" s="1"/>
  <c r="I628" i="14" s="1"/>
  <c r="H628" i="1" a="1"/>
  <c r="H628" i="1" s="1"/>
  <c r="J628" i="14" s="1"/>
  <c r="K628" i="1" a="1"/>
  <c r="K628" i="1" s="1"/>
  <c r="P628" i="1" a="1"/>
  <c r="P628" i="1" s="1"/>
  <c r="C629" i="1" a="1"/>
  <c r="C629" i="1" s="1"/>
  <c r="E629" i="14" s="1"/>
  <c r="J629" i="1" a="1"/>
  <c r="J629" i="1" s="1"/>
  <c r="O629" i="1"/>
  <c r="M629" i="14" s="1"/>
  <c r="H630" i="1" a="1"/>
  <c r="H630" i="1" s="1"/>
  <c r="J630" i="14" s="1"/>
  <c r="K630" i="1" a="1"/>
  <c r="K630" i="1" s="1"/>
  <c r="P630" i="1" a="1"/>
  <c r="P630" i="1" s="1"/>
  <c r="C631" i="1" a="1"/>
  <c r="C631" i="1" s="1"/>
  <c r="E631" i="14" s="1"/>
  <c r="G631" i="1" a="1"/>
  <c r="G631" i="1" s="1"/>
  <c r="K631" i="1" a="1"/>
  <c r="K631" i="1" s="1"/>
  <c r="O631" i="1"/>
  <c r="M631" i="14" s="1"/>
  <c r="F632" i="1" a="1"/>
  <c r="F632" i="1" s="1"/>
  <c r="R632" i="14" s="1"/>
  <c r="J632" i="1" a="1"/>
  <c r="J632" i="1" s="1"/>
  <c r="O632" i="1"/>
  <c r="M632" i="14" s="1"/>
  <c r="F633" i="1" a="1"/>
  <c r="F633" i="1" s="1"/>
  <c r="R633" i="14" s="1"/>
  <c r="J633" i="1" a="1"/>
  <c r="J633" i="1" s="1"/>
  <c r="O633" i="1"/>
  <c r="M633" i="14" s="1"/>
  <c r="F634" i="1" a="1"/>
  <c r="F634" i="1" s="1"/>
  <c r="R634" i="14" s="1"/>
  <c r="J634" i="1" a="1"/>
  <c r="J634" i="1" s="1"/>
  <c r="O634" i="1"/>
  <c r="M634" i="14" s="1"/>
  <c r="F635" i="1" a="1"/>
  <c r="F635" i="1" s="1"/>
  <c r="R635" i="14" s="1"/>
  <c r="J635" i="1" a="1"/>
  <c r="J635" i="1" s="1"/>
  <c r="O635" i="1"/>
  <c r="M635" i="14" s="1"/>
  <c r="F636" i="1" a="1"/>
  <c r="F636" i="1" s="1"/>
  <c r="R636" i="14" s="1"/>
  <c r="M636" i="1" a="1"/>
  <c r="M636" i="1" s="1"/>
  <c r="Q636" i="1" a="1"/>
  <c r="Q636" i="1" s="1"/>
  <c r="S636" i="14" s="1"/>
  <c r="D637" i="1" a="1"/>
  <c r="D637" i="1" s="1"/>
  <c r="I637" i="14" s="1"/>
  <c r="H637" i="1" a="1"/>
  <c r="H637" i="1" s="1"/>
  <c r="J637" i="14" s="1"/>
  <c r="L637" i="1" a="1"/>
  <c r="L637" i="1" s="1"/>
  <c r="P637" i="1" a="1"/>
  <c r="P637" i="1" s="1"/>
  <c r="C638" i="1" a="1"/>
  <c r="C638" i="1" s="1"/>
  <c r="E638" i="14" s="1"/>
  <c r="G638" i="1" a="1"/>
  <c r="G638" i="1" s="1"/>
  <c r="K638" i="1" a="1"/>
  <c r="K638" i="1" s="1"/>
  <c r="P638" i="1" a="1"/>
  <c r="P638" i="1" s="1"/>
  <c r="L639" i="1" a="1"/>
  <c r="L639" i="1" s="1"/>
  <c r="Q639" i="1" a="1"/>
  <c r="Q639" i="1" s="1"/>
  <c r="S639" i="14" s="1"/>
  <c r="C640" i="1" a="1"/>
  <c r="C640" i="1" s="1"/>
  <c r="E640" i="14" s="1"/>
  <c r="G640" i="1" a="1"/>
  <c r="G640" i="1" s="1"/>
  <c r="J640" i="1" a="1"/>
  <c r="J640" i="1" s="1"/>
  <c r="O640" i="1"/>
  <c r="M640" i="14" s="1"/>
  <c r="F641" i="1" a="1"/>
  <c r="F641" i="1" s="1"/>
  <c r="R641" i="14" s="1"/>
  <c r="M641" i="1" a="1"/>
  <c r="M641" i="1" s="1"/>
  <c r="M642" i="1" a="1"/>
  <c r="M642" i="1" s="1"/>
  <c r="Q643" i="1" a="1"/>
  <c r="Q643" i="1" s="1"/>
  <c r="S643" i="14" s="1"/>
  <c r="D644" i="1" a="1"/>
  <c r="D644" i="1" s="1"/>
  <c r="I644" i="14" s="1"/>
  <c r="G644" i="1" a="1"/>
  <c r="G644" i="1" s="1"/>
  <c r="O644" i="1"/>
  <c r="M644" i="14" s="1"/>
  <c r="M645" i="1" a="1"/>
  <c r="M645" i="1" s="1"/>
  <c r="M646" i="1" a="1"/>
  <c r="M646" i="1" s="1"/>
  <c r="G647" i="1" a="1"/>
  <c r="G647" i="1" s="1"/>
  <c r="O647" i="1"/>
  <c r="M647" i="14" s="1"/>
  <c r="F648" i="1" a="1"/>
  <c r="F648" i="1" s="1"/>
  <c r="R648" i="14" s="1"/>
  <c r="J648" i="1" a="1"/>
  <c r="J648" i="1" s="1"/>
  <c r="M648" i="1" a="1"/>
  <c r="M648" i="1" s="1"/>
  <c r="H649" i="1" a="1"/>
  <c r="H649" i="1" s="1"/>
  <c r="J649" i="14" s="1"/>
  <c r="L649" i="1" a="1"/>
  <c r="L649" i="1" s="1"/>
  <c r="P649" i="1" a="1"/>
  <c r="P649" i="1" s="1"/>
  <c r="C650" i="1" a="1"/>
  <c r="C650" i="1" s="1"/>
  <c r="E650" i="14" s="1"/>
  <c r="G650" i="1" a="1"/>
  <c r="G650" i="1" s="1"/>
  <c r="J650" i="1" a="1"/>
  <c r="J650" i="1" s="1"/>
  <c r="O650" i="1"/>
  <c r="M650" i="14" s="1"/>
  <c r="F651" i="1" a="1"/>
  <c r="F651" i="1" s="1"/>
  <c r="R651" i="14" s="1"/>
  <c r="J651" i="1" a="1"/>
  <c r="J651" i="1" s="1"/>
  <c r="O651" i="1"/>
  <c r="M651" i="14" s="1"/>
  <c r="D652" i="1" a="1"/>
  <c r="D652" i="1" s="1"/>
  <c r="I652" i="14" s="1"/>
  <c r="G652" i="1" a="1"/>
  <c r="G652" i="1" s="1"/>
  <c r="K652" i="1" a="1"/>
  <c r="K652" i="1" s="1"/>
  <c r="P652" i="1" a="1"/>
  <c r="P652" i="1" s="1"/>
  <c r="C653" i="1" a="1"/>
  <c r="C653" i="1" s="1"/>
  <c r="E653" i="14" s="1"/>
  <c r="G653" i="1" a="1"/>
  <c r="G653" i="1" s="1"/>
  <c r="K653" i="1" a="1"/>
  <c r="K653" i="1" s="1"/>
  <c r="O653" i="1"/>
  <c r="M653" i="14" s="1"/>
  <c r="F654" i="1" a="1"/>
  <c r="F654" i="1" s="1"/>
  <c r="R654" i="14" s="1"/>
  <c r="J654" i="1" a="1"/>
  <c r="J654" i="1" s="1"/>
  <c r="O654" i="1"/>
  <c r="M654" i="14" s="1"/>
  <c r="F655" i="1" a="1"/>
  <c r="F655" i="1" s="1"/>
  <c r="R655" i="14" s="1"/>
  <c r="J655" i="1" a="1"/>
  <c r="J655" i="1" s="1"/>
  <c r="M655" i="1" a="1"/>
  <c r="M655" i="1" s="1"/>
  <c r="L656" i="1" a="1"/>
  <c r="L656" i="1" s="1"/>
  <c r="Q656" i="1" a="1"/>
  <c r="Q656" i="1" s="1"/>
  <c r="S656" i="14" s="1"/>
  <c r="D657" i="1" a="1"/>
  <c r="D657" i="1" s="1"/>
  <c r="I657" i="14" s="1"/>
  <c r="H657" i="1" a="1"/>
  <c r="H657" i="1" s="1"/>
  <c r="J657" i="14" s="1"/>
  <c r="L657" i="1" a="1"/>
  <c r="L657" i="1" s="1"/>
  <c r="Q657" i="1" a="1"/>
  <c r="Q657" i="1" s="1"/>
  <c r="S657" i="14" s="1"/>
  <c r="D658" i="1" a="1"/>
  <c r="D658" i="1" s="1"/>
  <c r="I658" i="14" s="1"/>
  <c r="H658" i="1" a="1"/>
  <c r="H658" i="1" s="1"/>
  <c r="J658" i="14" s="1"/>
  <c r="L658" i="1" a="1"/>
  <c r="L658" i="1" s="1"/>
  <c r="Q658" i="1" a="1"/>
  <c r="Q658" i="1" s="1"/>
  <c r="S658" i="14" s="1"/>
  <c r="D659" i="1" a="1"/>
  <c r="D659" i="1" s="1"/>
  <c r="I659" i="14" s="1"/>
  <c r="O659" i="1"/>
  <c r="M659" i="14" s="1"/>
  <c r="F660" i="1" a="1"/>
  <c r="F660" i="1" s="1"/>
  <c r="R660" i="14" s="1"/>
  <c r="J660" i="1" a="1"/>
  <c r="J660" i="1" s="1"/>
  <c r="O660" i="1"/>
  <c r="M660" i="14" s="1"/>
  <c r="F661" i="1" a="1"/>
  <c r="F661" i="1" s="1"/>
  <c r="R661" i="14" s="1"/>
  <c r="M661" i="1" a="1"/>
  <c r="M661" i="1" s="1"/>
  <c r="H662" i="1" a="1"/>
  <c r="H662" i="1" s="1"/>
  <c r="J662" i="14" s="1"/>
  <c r="L662" i="1" a="1"/>
  <c r="L662" i="1" s="1"/>
  <c r="Q662" i="1" a="1"/>
  <c r="Q662" i="1" s="1"/>
  <c r="S662" i="14" s="1"/>
  <c r="D663" i="1" a="1"/>
  <c r="D663" i="1" s="1"/>
  <c r="I663" i="14" s="1"/>
  <c r="H663" i="1" a="1"/>
  <c r="H663" i="1" s="1"/>
  <c r="J663" i="14" s="1"/>
  <c r="L663" i="1" a="1"/>
  <c r="L663" i="1" s="1"/>
  <c r="Q663" i="1" a="1"/>
  <c r="Q663" i="1" s="1"/>
  <c r="S663" i="14" s="1"/>
  <c r="D664" i="1" a="1"/>
  <c r="D664" i="1" s="1"/>
  <c r="I664" i="14" s="1"/>
  <c r="H664" i="1" a="1"/>
  <c r="H664" i="1" s="1"/>
  <c r="J664" i="14" s="1"/>
  <c r="K664" i="1" a="1"/>
  <c r="K664" i="1" s="1"/>
  <c r="P664" i="1" a="1"/>
  <c r="P664" i="1" s="1"/>
  <c r="C665" i="1" a="1"/>
  <c r="C665" i="1" s="1"/>
  <c r="E665" i="14" s="1"/>
  <c r="F665" i="1" a="1"/>
  <c r="F665" i="1" s="1"/>
  <c r="R665" i="14" s="1"/>
  <c r="J665" i="1" a="1"/>
  <c r="J665" i="1" s="1"/>
  <c r="O665" i="1"/>
  <c r="M665" i="14" s="1"/>
  <c r="F666" i="1" a="1"/>
  <c r="F666" i="1" s="1"/>
  <c r="R666" i="14" s="1"/>
  <c r="J666" i="1" a="1"/>
  <c r="J666" i="1" s="1"/>
  <c r="O666" i="1"/>
  <c r="M666" i="14" s="1"/>
  <c r="D667" i="1" a="1"/>
  <c r="D667" i="1" s="1"/>
  <c r="I667" i="14" s="1"/>
  <c r="H667" i="1" a="1"/>
  <c r="H667" i="1" s="1"/>
  <c r="J667" i="14" s="1"/>
  <c r="K667" i="1" a="1"/>
  <c r="K667" i="1" s="1"/>
  <c r="O667" i="1"/>
  <c r="M667" i="14" s="1"/>
  <c r="H668" i="1" a="1"/>
  <c r="H668" i="1" s="1"/>
  <c r="J668" i="14" s="1"/>
  <c r="L668" i="1" a="1"/>
  <c r="L668" i="1" s="1"/>
  <c r="Q668" i="1" a="1"/>
  <c r="Q668" i="1" s="1"/>
  <c r="S668" i="14" s="1"/>
  <c r="D669" i="1" a="1"/>
  <c r="D669" i="1" s="1"/>
  <c r="I669" i="14" s="1"/>
  <c r="H669" i="1" a="1"/>
  <c r="H669" i="1" s="1"/>
  <c r="J669" i="14" s="1"/>
  <c r="L669" i="1" a="1"/>
  <c r="L669" i="1" s="1"/>
  <c r="Q669" i="1" a="1"/>
  <c r="Q669" i="1" s="1"/>
  <c r="S669" i="14" s="1"/>
  <c r="D670" i="1" a="1"/>
  <c r="D670" i="1" s="1"/>
  <c r="I670" i="14" s="1"/>
  <c r="H670" i="1" a="1"/>
  <c r="H670" i="1" s="1"/>
  <c r="J670" i="14" s="1"/>
  <c r="L670" i="1" a="1"/>
  <c r="L670" i="1" s="1"/>
  <c r="Q670" i="1" a="1"/>
  <c r="Q670" i="1" s="1"/>
  <c r="S670" i="14" s="1"/>
  <c r="D671" i="1" a="1"/>
  <c r="D671" i="1" s="1"/>
  <c r="I671" i="14" s="1"/>
  <c r="H671" i="1" a="1"/>
  <c r="H671" i="1" s="1"/>
  <c r="J671" i="14" s="1"/>
  <c r="L671" i="1" a="1"/>
  <c r="L671" i="1" s="1"/>
  <c r="Q671" i="1" a="1"/>
  <c r="Q671" i="1" s="1"/>
  <c r="S671" i="14" s="1"/>
  <c r="D672" i="1" a="1"/>
  <c r="D672" i="1" s="1"/>
  <c r="I672" i="14" s="1"/>
  <c r="H672" i="1" a="1"/>
  <c r="H672" i="1" s="1"/>
  <c r="J672" i="14" s="1"/>
  <c r="L672" i="1" a="1"/>
  <c r="L672" i="1" s="1"/>
  <c r="Q672" i="1" a="1"/>
  <c r="Q672" i="1" s="1"/>
  <c r="S672" i="14" s="1"/>
  <c r="D673" i="1" a="1"/>
  <c r="D673" i="1" s="1"/>
  <c r="I673" i="14" s="1"/>
  <c r="G673" i="1" a="1"/>
  <c r="G673" i="1" s="1"/>
  <c r="K673" i="1" a="1"/>
  <c r="K673" i="1" s="1"/>
  <c r="O673" i="1"/>
  <c r="M673" i="14" s="1"/>
  <c r="F674" i="1" a="1"/>
  <c r="F674" i="1" s="1"/>
  <c r="R674" i="14" s="1"/>
  <c r="J674" i="1" a="1"/>
  <c r="J674" i="1" s="1"/>
  <c r="O674" i="1"/>
  <c r="M674" i="14" s="1"/>
  <c r="D675" i="1" a="1"/>
  <c r="D675" i="1" s="1"/>
  <c r="I675" i="14" s="1"/>
  <c r="H675" i="1" a="1"/>
  <c r="H675" i="1" s="1"/>
  <c r="J675" i="14" s="1"/>
  <c r="K675" i="1" a="1"/>
  <c r="K675" i="1" s="1"/>
  <c r="P675" i="1" a="1"/>
  <c r="P675" i="1" s="1"/>
  <c r="C676" i="1" a="1"/>
  <c r="C676" i="1" s="1"/>
  <c r="E676" i="14" s="1"/>
  <c r="J676" i="1" a="1"/>
  <c r="J676" i="1" s="1"/>
  <c r="O676" i="1"/>
  <c r="M676" i="14" s="1"/>
  <c r="F677" i="1" a="1"/>
  <c r="F677" i="1" s="1"/>
  <c r="R677" i="14" s="1"/>
  <c r="J677" i="1" a="1"/>
  <c r="J677" i="1" s="1"/>
  <c r="M678" i="1" a="1"/>
  <c r="M678" i="1" s="1"/>
  <c r="Q679" i="1" a="1"/>
  <c r="Q679" i="1" s="1"/>
  <c r="S679" i="14" s="1"/>
  <c r="D680" i="1" a="1"/>
  <c r="D680" i="1" s="1"/>
  <c r="I680" i="14" s="1"/>
  <c r="H680" i="1" a="1"/>
  <c r="H680" i="1" s="1"/>
  <c r="J680" i="14" s="1"/>
  <c r="L680" i="1" a="1"/>
  <c r="L680" i="1" s="1"/>
  <c r="Q680" i="1" a="1"/>
  <c r="Q680" i="1" s="1"/>
  <c r="S680" i="14" s="1"/>
  <c r="D681" i="1" a="1"/>
  <c r="D681" i="1" s="1"/>
  <c r="I681" i="14" s="1"/>
  <c r="G681" i="1" a="1"/>
  <c r="G681" i="1" s="1"/>
  <c r="K681" i="1" a="1"/>
  <c r="K681" i="1" s="1"/>
  <c r="O681" i="1"/>
  <c r="M681" i="14" s="1"/>
  <c r="F682" i="1" a="1"/>
  <c r="F682" i="1" s="1"/>
  <c r="R682" i="14" s="1"/>
  <c r="M682" i="1" a="1"/>
  <c r="M682" i="1" s="1"/>
  <c r="M683" i="1" a="1"/>
  <c r="M683" i="1" s="1"/>
  <c r="H684" i="1" a="1"/>
  <c r="H684" i="1" s="1"/>
  <c r="J684" i="14" s="1"/>
  <c r="L684" i="1" a="1"/>
  <c r="L684" i="1" s="1"/>
  <c r="Q684" i="1" a="1"/>
  <c r="Q684" i="1" s="1"/>
  <c r="S684" i="14" s="1"/>
  <c r="D685" i="1" a="1"/>
  <c r="D685" i="1" s="1"/>
  <c r="I685" i="14" s="1"/>
  <c r="H685" i="1" a="1"/>
  <c r="H685" i="1" s="1"/>
  <c r="J685" i="14" s="1"/>
  <c r="L685" i="1" a="1"/>
  <c r="L685" i="1" s="1"/>
  <c r="P685" i="1" a="1"/>
  <c r="P685" i="1" s="1"/>
  <c r="C686" i="1" a="1"/>
  <c r="C686" i="1" s="1"/>
  <c r="E686" i="14" s="1"/>
  <c r="G686" i="1" a="1"/>
  <c r="G686" i="1" s="1"/>
  <c r="K686" i="1" a="1"/>
  <c r="K686" i="1" s="1"/>
  <c r="P686" i="1" a="1"/>
  <c r="P686" i="1" s="1"/>
  <c r="C687" i="1" a="1"/>
  <c r="C687" i="1" s="1"/>
  <c r="E687" i="14" s="1"/>
  <c r="G687" i="1" a="1"/>
  <c r="G687" i="1" s="1"/>
  <c r="K687" i="1" a="1"/>
  <c r="K687" i="1" s="1"/>
  <c r="O687" i="1"/>
  <c r="M687" i="14" s="1"/>
  <c r="M586" i="1" a="1"/>
  <c r="M586" i="1" s="1"/>
  <c r="C589" i="1" a="1"/>
  <c r="C589" i="1" s="1"/>
  <c r="E589" i="14" s="1"/>
  <c r="J589" i="1" a="1"/>
  <c r="J589" i="1" s="1"/>
  <c r="O590" i="1"/>
  <c r="M590" i="14" s="1"/>
  <c r="F591" i="1" a="1"/>
  <c r="F591" i="1" s="1"/>
  <c r="R591" i="14" s="1"/>
  <c r="C592" i="1" a="1"/>
  <c r="C592" i="1" s="1"/>
  <c r="E592" i="14" s="1"/>
  <c r="H592" i="1" a="1"/>
  <c r="H592" i="1" s="1"/>
  <c r="J592" i="14" s="1"/>
  <c r="M592" i="1" a="1"/>
  <c r="M592" i="1" s="1"/>
  <c r="G593" i="1" a="1"/>
  <c r="G593" i="1" s="1"/>
  <c r="L593" i="1" a="1"/>
  <c r="L593" i="1" s="1"/>
  <c r="Q593" i="1" a="1"/>
  <c r="Q593" i="1" s="1"/>
  <c r="S593" i="14" s="1"/>
  <c r="D594" i="1" a="1"/>
  <c r="D594" i="1" s="1"/>
  <c r="I594" i="14" s="1"/>
  <c r="O594" i="1"/>
  <c r="M594" i="14" s="1"/>
  <c r="F595" i="1" a="1"/>
  <c r="F595" i="1" s="1"/>
  <c r="R595" i="14" s="1"/>
  <c r="J595" i="1" a="1"/>
  <c r="J595" i="1" s="1"/>
  <c r="P595" i="1" a="1"/>
  <c r="P595" i="1" s="1"/>
  <c r="C596" i="1" a="1"/>
  <c r="C596" i="1" s="1"/>
  <c r="E596" i="14" s="1"/>
  <c r="G596" i="1" a="1"/>
  <c r="G596" i="1" s="1"/>
  <c r="K596" i="1" a="1"/>
  <c r="K596" i="1" s="1"/>
  <c r="P596" i="1" a="1"/>
  <c r="P596" i="1" s="1"/>
  <c r="H597" i="1" a="1"/>
  <c r="H597" i="1" s="1"/>
  <c r="J597" i="14" s="1"/>
  <c r="L597" i="1" a="1"/>
  <c r="L597" i="1" s="1"/>
  <c r="Q597" i="1" a="1"/>
  <c r="Q597" i="1" s="1"/>
  <c r="S597" i="14" s="1"/>
  <c r="D598" i="1" a="1"/>
  <c r="D598" i="1" s="1"/>
  <c r="I598" i="14" s="1"/>
  <c r="H598" i="1" a="1"/>
  <c r="H598" i="1" s="1"/>
  <c r="J598" i="14" s="1"/>
  <c r="L598" i="1" a="1"/>
  <c r="L598" i="1" s="1"/>
  <c r="P598" i="1" a="1"/>
  <c r="P598" i="1" s="1"/>
  <c r="C599" i="1" a="1"/>
  <c r="C599" i="1" s="1"/>
  <c r="E599" i="14" s="1"/>
  <c r="J599" i="1" a="1"/>
  <c r="J599" i="1" s="1"/>
  <c r="O599" i="1"/>
  <c r="M599" i="14" s="1"/>
  <c r="F600" i="1" a="1"/>
  <c r="F600" i="1" s="1"/>
  <c r="R600" i="14" s="1"/>
  <c r="J600" i="1" a="1"/>
  <c r="J600" i="1" s="1"/>
  <c r="M600" i="1" a="1"/>
  <c r="M600" i="1" s="1"/>
  <c r="M601" i="1" a="1"/>
  <c r="M601" i="1" s="1"/>
  <c r="L602" i="1" a="1"/>
  <c r="L602" i="1" s="1"/>
  <c r="P602" i="1" a="1"/>
  <c r="P602" i="1" s="1"/>
  <c r="C603" i="1" a="1"/>
  <c r="C603" i="1" s="1"/>
  <c r="E603" i="14" s="1"/>
  <c r="G603" i="1" a="1"/>
  <c r="G603" i="1" s="1"/>
  <c r="K603" i="1" a="1"/>
  <c r="K603" i="1" s="1"/>
  <c r="P603" i="1" a="1"/>
  <c r="P603" i="1" s="1"/>
  <c r="L604" i="1" a="1"/>
  <c r="L604" i="1" s="1"/>
  <c r="P604" i="1" a="1"/>
  <c r="P604" i="1" s="1"/>
  <c r="C605" i="1" a="1"/>
  <c r="C605" i="1" s="1"/>
  <c r="E605" i="14" s="1"/>
  <c r="G605" i="1" a="1"/>
  <c r="G605" i="1" s="1"/>
  <c r="J605" i="1" a="1"/>
  <c r="J605" i="1" s="1"/>
  <c r="O605" i="1"/>
  <c r="M605" i="14" s="1"/>
  <c r="D606" i="1" a="1"/>
  <c r="D606" i="1" s="1"/>
  <c r="I606" i="14" s="1"/>
  <c r="H606" i="1" a="1"/>
  <c r="H606" i="1" s="1"/>
  <c r="J606" i="14" s="1"/>
  <c r="L606" i="1" a="1"/>
  <c r="L606" i="1" s="1"/>
  <c r="P606" i="1" a="1"/>
  <c r="P606" i="1" s="1"/>
  <c r="F607" i="1" a="1"/>
  <c r="F607" i="1" s="1"/>
  <c r="R607" i="14" s="1"/>
  <c r="M607" i="1" a="1"/>
  <c r="M607" i="1" s="1"/>
  <c r="M608" i="1" a="1"/>
  <c r="M608" i="1" s="1"/>
  <c r="M609" i="1" a="1"/>
  <c r="M609" i="1" s="1"/>
  <c r="L610" i="1" a="1"/>
  <c r="L610" i="1" s="1"/>
  <c r="P610" i="1" a="1"/>
  <c r="P610" i="1" s="1"/>
  <c r="C611" i="1" a="1"/>
  <c r="C611" i="1" s="1"/>
  <c r="E611" i="14" s="1"/>
  <c r="G611" i="1" a="1"/>
  <c r="G611" i="1" s="1"/>
  <c r="J611" i="1" a="1"/>
  <c r="J611" i="1" s="1"/>
  <c r="O611" i="1"/>
  <c r="M611" i="14" s="1"/>
  <c r="F612" i="1" a="1"/>
  <c r="F612" i="1" s="1"/>
  <c r="R612" i="14" s="1"/>
  <c r="J612" i="1" a="1"/>
  <c r="J612" i="1" s="1"/>
  <c r="O612" i="1"/>
  <c r="M612" i="14" s="1"/>
  <c r="F613" i="1" a="1"/>
  <c r="F613" i="1" s="1"/>
  <c r="R613" i="14" s="1"/>
  <c r="J613" i="1" a="1"/>
  <c r="J613" i="1" s="1"/>
  <c r="O613" i="1"/>
  <c r="M613" i="14" s="1"/>
  <c r="M614" i="1" a="1"/>
  <c r="M614" i="1" s="1"/>
  <c r="C616" i="1" a="1"/>
  <c r="C616" i="1" s="1"/>
  <c r="E616" i="14" s="1"/>
  <c r="G616" i="1" a="1"/>
  <c r="G616" i="1" s="1"/>
  <c r="M616" i="1" a="1"/>
  <c r="M616" i="1" s="1"/>
  <c r="Q616" i="1" a="1"/>
  <c r="Q616" i="1" s="1"/>
  <c r="S616" i="14" s="1"/>
  <c r="D617" i="1" a="1"/>
  <c r="D617" i="1" s="1"/>
  <c r="I617" i="14" s="1"/>
  <c r="G617" i="1" a="1"/>
  <c r="G617" i="1" s="1"/>
  <c r="K617" i="1" a="1"/>
  <c r="K617" i="1" s="1"/>
  <c r="P617" i="1" a="1"/>
  <c r="P617" i="1" s="1"/>
  <c r="C618" i="1" a="1"/>
  <c r="C618" i="1" s="1"/>
  <c r="E618" i="14" s="1"/>
  <c r="G618" i="1" a="1"/>
  <c r="G618" i="1" s="1"/>
  <c r="K618" i="1" a="1"/>
  <c r="K618" i="1" s="1"/>
  <c r="O618" i="1"/>
  <c r="M618" i="14" s="1"/>
  <c r="D619" i="1" a="1"/>
  <c r="D619" i="1" s="1"/>
  <c r="I619" i="14" s="1"/>
  <c r="G619" i="1" a="1"/>
  <c r="G619" i="1" s="1"/>
  <c r="K619" i="1" a="1"/>
  <c r="K619" i="1" s="1"/>
  <c r="P619" i="1" a="1"/>
  <c r="P619" i="1" s="1"/>
  <c r="C620" i="1" a="1"/>
  <c r="C620" i="1" s="1"/>
  <c r="E620" i="14" s="1"/>
  <c r="G620" i="1" a="1"/>
  <c r="G620" i="1" s="1"/>
  <c r="J620" i="1" a="1"/>
  <c r="J620" i="1" s="1"/>
  <c r="O620" i="1"/>
  <c r="M620" i="14" s="1"/>
  <c r="M621" i="1" a="1"/>
  <c r="M621" i="1" s="1"/>
  <c r="D622" i="1" a="1"/>
  <c r="D622" i="1" s="1"/>
  <c r="I622" i="14" s="1"/>
  <c r="H622" i="1" a="1"/>
  <c r="H622" i="1" s="1"/>
  <c r="J622" i="14" s="1"/>
  <c r="L622" i="1" a="1"/>
  <c r="L622" i="1" s="1"/>
  <c r="Q622" i="1" a="1"/>
  <c r="Q622" i="1" s="1"/>
  <c r="S622" i="14" s="1"/>
  <c r="D623" i="1" a="1"/>
  <c r="D623" i="1" s="1"/>
  <c r="I623" i="14" s="1"/>
  <c r="H623" i="1" a="1"/>
  <c r="H623" i="1" s="1"/>
  <c r="J623" i="14" s="1"/>
  <c r="L623" i="1" a="1"/>
  <c r="L623" i="1" s="1"/>
  <c r="P623" i="1" a="1"/>
  <c r="P623" i="1" s="1"/>
  <c r="C624" i="1" a="1"/>
  <c r="C624" i="1" s="1"/>
  <c r="E624" i="14" s="1"/>
  <c r="G624" i="1" a="1"/>
  <c r="G624" i="1" s="1"/>
  <c r="J624" i="1" a="1"/>
  <c r="J624" i="1" s="1"/>
  <c r="O624" i="1"/>
  <c r="M624" i="14" s="1"/>
  <c r="P625" i="1" a="1"/>
  <c r="P625" i="1" s="1"/>
  <c r="F626" i="1" a="1"/>
  <c r="F626" i="1" s="1"/>
  <c r="R626" i="14" s="1"/>
  <c r="L626" i="1" a="1"/>
  <c r="L626" i="1" s="1"/>
  <c r="Q626" i="1" a="1"/>
  <c r="Q626" i="1" s="1"/>
  <c r="S626" i="14" s="1"/>
  <c r="C627" i="1" a="1"/>
  <c r="C627" i="1" s="1"/>
  <c r="E627" i="14" s="1"/>
  <c r="F627" i="1" a="1"/>
  <c r="F627" i="1" s="1"/>
  <c r="R627" i="14" s="1"/>
  <c r="M627" i="1" a="1"/>
  <c r="M627" i="1" s="1"/>
  <c r="L628" i="1" a="1"/>
  <c r="L628" i="1" s="1"/>
  <c r="Q628" i="1" a="1"/>
  <c r="Q628" i="1" s="1"/>
  <c r="S628" i="14" s="1"/>
  <c r="D629" i="1" a="1"/>
  <c r="D629" i="1" s="1"/>
  <c r="I629" i="14" s="1"/>
  <c r="G629" i="1" a="1"/>
  <c r="G629" i="1" s="1"/>
  <c r="K629" i="1" a="1"/>
  <c r="K629" i="1" s="1"/>
  <c r="P629" i="1" a="1"/>
  <c r="P629" i="1" s="1"/>
  <c r="F630" i="1" a="1"/>
  <c r="F630" i="1" s="1"/>
  <c r="R630" i="14" s="1"/>
  <c r="L630" i="1" a="1"/>
  <c r="L630" i="1" s="1"/>
  <c r="Q630" i="1" a="1"/>
  <c r="Q630" i="1" s="1"/>
  <c r="S630" i="14" s="1"/>
  <c r="D631" i="1" a="1"/>
  <c r="D631" i="1" s="1"/>
  <c r="I631" i="14" s="1"/>
  <c r="H631" i="1" a="1"/>
  <c r="H631" i="1" s="1"/>
  <c r="J631" i="14" s="1"/>
  <c r="L631" i="1" a="1"/>
  <c r="L631" i="1" s="1"/>
  <c r="P631" i="1" a="1"/>
  <c r="P631" i="1" s="1"/>
  <c r="C632" i="1" a="1"/>
  <c r="C632" i="1" s="1"/>
  <c r="E632" i="14" s="1"/>
  <c r="G632" i="1" a="1"/>
  <c r="G632" i="1" s="1"/>
  <c r="K632" i="1" a="1"/>
  <c r="K632" i="1" s="1"/>
  <c r="P632" i="1" a="1"/>
  <c r="P632" i="1" s="1"/>
  <c r="C633" i="1" a="1"/>
  <c r="C633" i="1" s="1"/>
  <c r="E633" i="14" s="1"/>
  <c r="G633" i="1" a="1"/>
  <c r="G633" i="1" s="1"/>
  <c r="K633" i="1" a="1"/>
  <c r="K633" i="1" s="1"/>
  <c r="P633" i="1" a="1"/>
  <c r="P633" i="1" s="1"/>
  <c r="C634" i="1" a="1"/>
  <c r="C634" i="1" s="1"/>
  <c r="E634" i="14" s="1"/>
  <c r="G634" i="1" a="1"/>
  <c r="G634" i="1" s="1"/>
  <c r="K634" i="1" a="1"/>
  <c r="K634" i="1" s="1"/>
  <c r="P634" i="1" a="1"/>
  <c r="P634" i="1" s="1"/>
  <c r="C635" i="1" a="1"/>
  <c r="C635" i="1" s="1"/>
  <c r="E635" i="14" s="1"/>
  <c r="G635" i="1" a="1"/>
  <c r="G635" i="1" s="1"/>
  <c r="K635" i="1" a="1"/>
  <c r="K635" i="1" s="1"/>
  <c r="P635" i="1" a="1"/>
  <c r="P635" i="1" s="1"/>
  <c r="C636" i="1" a="1"/>
  <c r="C636" i="1" s="1"/>
  <c r="E636" i="14" s="1"/>
  <c r="G636" i="1" a="1"/>
  <c r="G636" i="1" s="1"/>
  <c r="J636" i="1" a="1"/>
  <c r="J636" i="1" s="1"/>
  <c r="O636" i="1"/>
  <c r="M636" i="14" s="1"/>
  <c r="M637" i="1" a="1"/>
  <c r="M637" i="1" s="1"/>
  <c r="Q637" i="1" a="1"/>
  <c r="Q637" i="1" s="1"/>
  <c r="S637" i="14" s="1"/>
  <c r="D638" i="1" a="1"/>
  <c r="D638" i="1" s="1"/>
  <c r="I638" i="14" s="1"/>
  <c r="H638" i="1" a="1"/>
  <c r="H638" i="1" s="1"/>
  <c r="J638" i="14" s="1"/>
  <c r="L638" i="1" a="1"/>
  <c r="L638" i="1" s="1"/>
  <c r="Q638" i="1" a="1"/>
  <c r="Q638" i="1" s="1"/>
  <c r="S638" i="14" s="1"/>
  <c r="C639" i="1" a="1"/>
  <c r="C639" i="1" s="1"/>
  <c r="E639" i="14" s="1"/>
  <c r="F639" i="1" a="1"/>
  <c r="F639" i="1" s="1"/>
  <c r="R639" i="14" s="1"/>
  <c r="J639" i="1" a="1"/>
  <c r="J639" i="1" s="1"/>
  <c r="M639" i="1" a="1"/>
  <c r="M639" i="1" s="1"/>
  <c r="D640" i="1" a="1"/>
  <c r="D640" i="1" s="1"/>
  <c r="I640" i="14" s="1"/>
  <c r="H640" i="1" a="1"/>
  <c r="H640" i="1" s="1"/>
  <c r="J640" i="14" s="1"/>
  <c r="K640" i="1" a="1"/>
  <c r="K640" i="1" s="1"/>
  <c r="P640" i="1" a="1"/>
  <c r="P640" i="1" s="1"/>
  <c r="C641" i="1" a="1"/>
  <c r="C641" i="1" s="1"/>
  <c r="E641" i="14" s="1"/>
  <c r="J641" i="1" a="1"/>
  <c r="J641" i="1" s="1"/>
  <c r="O641" i="1"/>
  <c r="M641" i="14" s="1"/>
  <c r="F642" i="1" a="1"/>
  <c r="F642" i="1" s="1"/>
  <c r="R642" i="14" s="1"/>
  <c r="J642" i="1" a="1"/>
  <c r="J642" i="1" s="1"/>
  <c r="O642" i="1"/>
  <c r="M642" i="14" s="1"/>
  <c r="F643" i="1" a="1"/>
  <c r="F643" i="1" s="1"/>
  <c r="R643" i="14" s="1"/>
  <c r="J643" i="1" a="1"/>
  <c r="J643" i="1" s="1"/>
  <c r="M643" i="1" a="1"/>
  <c r="M643" i="1" s="1"/>
  <c r="H644" i="1" a="1"/>
  <c r="H644" i="1" s="1"/>
  <c r="J644" i="14" s="1"/>
  <c r="K644" i="1" a="1"/>
  <c r="K644" i="1" s="1"/>
  <c r="P644" i="1" a="1"/>
  <c r="P644" i="1" s="1"/>
  <c r="C645" i="1" a="1"/>
  <c r="C645" i="1" s="1"/>
  <c r="E645" i="14" s="1"/>
  <c r="F645" i="1" a="1"/>
  <c r="F645" i="1" s="1"/>
  <c r="R645" i="14" s="1"/>
  <c r="J645" i="1" a="1"/>
  <c r="J645" i="1" s="1"/>
  <c r="O645" i="1"/>
  <c r="M645" i="14" s="1"/>
  <c r="F646" i="1" a="1"/>
  <c r="F646" i="1" s="1"/>
  <c r="R646" i="14" s="1"/>
  <c r="J646" i="1" a="1"/>
  <c r="J646" i="1" s="1"/>
  <c r="O646" i="1"/>
  <c r="M646" i="14" s="1"/>
  <c r="D647" i="1" a="1"/>
  <c r="D647" i="1" s="1"/>
  <c r="I647" i="14" s="1"/>
  <c r="H647" i="1" a="1"/>
  <c r="H647" i="1" s="1"/>
  <c r="J647" i="14" s="1"/>
  <c r="K647" i="1" a="1"/>
  <c r="K647" i="1" s="1"/>
  <c r="P647" i="1" a="1"/>
  <c r="P647" i="1" s="1"/>
  <c r="C648" i="1" a="1"/>
  <c r="C648" i="1" s="1"/>
  <c r="E648" i="14" s="1"/>
  <c r="G648" i="1" a="1"/>
  <c r="G648" i="1" s="1"/>
  <c r="O648" i="1"/>
  <c r="M648" i="14" s="1"/>
  <c r="F649" i="1" a="1"/>
  <c r="F649" i="1" s="1"/>
  <c r="R649" i="14" s="1"/>
  <c r="M649" i="1" a="1"/>
  <c r="M649" i="1" s="1"/>
  <c r="Q649" i="1" a="1"/>
  <c r="Q649" i="1" s="1"/>
  <c r="S649" i="14" s="1"/>
  <c r="D650" i="1" a="1"/>
  <c r="D650" i="1" s="1"/>
  <c r="I650" i="14" s="1"/>
  <c r="K650" i="1" a="1"/>
  <c r="K650" i="1" s="1"/>
  <c r="P650" i="1" a="1"/>
  <c r="P650" i="1" s="1"/>
  <c r="C651" i="1" a="1"/>
  <c r="C651" i="1" s="1"/>
  <c r="E651" i="14" s="1"/>
  <c r="G651" i="1" a="1"/>
  <c r="G651" i="1" s="1"/>
  <c r="K651" i="1" a="1"/>
  <c r="K651" i="1" s="1"/>
  <c r="P651" i="1" a="1"/>
  <c r="P651" i="1" s="1"/>
  <c r="H652" i="1" a="1"/>
  <c r="H652" i="1" s="1"/>
  <c r="J652" i="14" s="1"/>
  <c r="L652" i="1" a="1"/>
  <c r="L652" i="1" s="1"/>
  <c r="Q652" i="1" a="1"/>
  <c r="Q652" i="1" s="1"/>
  <c r="S652" i="14" s="1"/>
  <c r="D653" i="1" a="1"/>
  <c r="D653" i="1" s="1"/>
  <c r="I653" i="14" s="1"/>
  <c r="H653" i="1" a="1"/>
  <c r="H653" i="1" s="1"/>
  <c r="J653" i="14" s="1"/>
  <c r="P653" i="1" a="1"/>
  <c r="P653" i="1" s="1"/>
  <c r="C654" i="1" a="1"/>
  <c r="C654" i="1" s="1"/>
  <c r="E654" i="14" s="1"/>
  <c r="G654" i="1" a="1"/>
  <c r="G654" i="1" s="1"/>
  <c r="K654" i="1" a="1"/>
  <c r="K654" i="1" s="1"/>
  <c r="P654" i="1" a="1"/>
  <c r="P654" i="1" s="1"/>
  <c r="C655" i="1" a="1"/>
  <c r="C655" i="1" s="1"/>
  <c r="E655" i="14" s="1"/>
  <c r="G655" i="1" a="1"/>
  <c r="G655" i="1" s="1"/>
  <c r="K655" i="1" a="1"/>
  <c r="K655" i="1" s="1"/>
  <c r="O655" i="1"/>
  <c r="M655" i="14" s="1"/>
  <c r="F656" i="1" a="1"/>
  <c r="F656" i="1" s="1"/>
  <c r="R656" i="14" s="1"/>
  <c r="M656" i="1" a="1"/>
  <c r="M656" i="1" s="1"/>
  <c r="M657" i="1" a="1"/>
  <c r="M657" i="1" s="1"/>
  <c r="M658" i="1" a="1"/>
  <c r="M658" i="1" s="1"/>
  <c r="H659" i="1" a="1"/>
  <c r="H659" i="1" s="1"/>
  <c r="J659" i="14" s="1"/>
  <c r="K659" i="1" a="1"/>
  <c r="K659" i="1" s="1"/>
  <c r="P659" i="1" a="1"/>
  <c r="P659" i="1" s="1"/>
  <c r="C660" i="1" a="1"/>
  <c r="C660" i="1" s="1"/>
  <c r="E660" i="14" s="1"/>
  <c r="G660" i="1" a="1"/>
  <c r="G660" i="1" s="1"/>
  <c r="K660" i="1" a="1"/>
  <c r="K660" i="1" s="1"/>
  <c r="P660" i="1" a="1"/>
  <c r="P660" i="1" s="1"/>
  <c r="C661" i="1" a="1"/>
  <c r="C661" i="1" s="1"/>
  <c r="E661" i="14" s="1"/>
  <c r="G661" i="1" a="1"/>
  <c r="G661" i="1" s="1"/>
  <c r="J661" i="1" a="1"/>
  <c r="J661" i="1" s="1"/>
  <c r="O661" i="1"/>
  <c r="M661" i="14" s="1"/>
  <c r="F662" i="1" a="1"/>
  <c r="F662" i="1" s="1"/>
  <c r="R662" i="14" s="1"/>
  <c r="M662" i="1" a="1"/>
  <c r="M662" i="1" s="1"/>
  <c r="M663" i="1" a="1"/>
  <c r="M663" i="1" s="1"/>
  <c r="L664" i="1" a="1"/>
  <c r="L664" i="1" s="1"/>
  <c r="Q664" i="1" a="1"/>
  <c r="Q664" i="1" s="1"/>
  <c r="S664" i="14" s="1"/>
  <c r="D665" i="1" a="1"/>
  <c r="D665" i="1" s="1"/>
  <c r="I665" i="14" s="1"/>
  <c r="G665" i="1" a="1"/>
  <c r="G665" i="1" s="1"/>
  <c r="K665" i="1" a="1"/>
  <c r="K665" i="1" s="1"/>
  <c r="P665" i="1" a="1"/>
  <c r="P665" i="1" s="1"/>
  <c r="C666" i="1" a="1"/>
  <c r="C666" i="1" s="1"/>
  <c r="E666" i="14" s="1"/>
  <c r="G666" i="1" a="1"/>
  <c r="G666" i="1" s="1"/>
  <c r="K666" i="1" a="1"/>
  <c r="K666" i="1" s="1"/>
  <c r="P666" i="1" a="1"/>
  <c r="P666" i="1" s="1"/>
  <c r="L667" i="1" a="1"/>
  <c r="L667" i="1" s="1"/>
  <c r="P667" i="1" a="1"/>
  <c r="P667" i="1" s="1"/>
  <c r="F668" i="1" a="1"/>
  <c r="F668" i="1" s="1"/>
  <c r="R668" i="14" s="1"/>
  <c r="M668" i="1" a="1"/>
  <c r="M668" i="1" s="1"/>
  <c r="M669" i="1" a="1"/>
  <c r="M669" i="1" s="1"/>
  <c r="M670" i="1" a="1"/>
  <c r="M670" i="1" s="1"/>
  <c r="M671" i="1" a="1"/>
  <c r="M671" i="1" s="1"/>
  <c r="M672" i="1" a="1"/>
  <c r="M672" i="1" s="1"/>
  <c r="H673" i="1" a="1"/>
  <c r="H673" i="1" s="1"/>
  <c r="J673" i="14" s="1"/>
  <c r="P673" i="1" a="1"/>
  <c r="P673" i="1" s="1"/>
  <c r="C674" i="1" a="1"/>
  <c r="C674" i="1" s="1"/>
  <c r="E674" i="14" s="1"/>
  <c r="G674" i="1" a="1"/>
  <c r="G674" i="1" s="1"/>
  <c r="K674" i="1" a="1"/>
  <c r="K674" i="1" s="1"/>
  <c r="P674" i="1" a="1"/>
  <c r="P674" i="1" s="1"/>
  <c r="L675" i="1" a="1"/>
  <c r="L675" i="1" s="1"/>
  <c r="Q675" i="1" a="1"/>
  <c r="Q675" i="1" s="1"/>
  <c r="S675" i="14" s="1"/>
  <c r="D676" i="1" a="1"/>
  <c r="D676" i="1" s="1"/>
  <c r="I676" i="14" s="1"/>
  <c r="G676" i="1" a="1"/>
  <c r="G676" i="1" s="1"/>
  <c r="K676" i="1" a="1"/>
  <c r="K676" i="1" s="1"/>
  <c r="P676" i="1" a="1"/>
  <c r="P676" i="1" s="1"/>
  <c r="C677" i="1" a="1"/>
  <c r="C677" i="1" s="1"/>
  <c r="E677" i="14" s="1"/>
  <c r="G677" i="1" a="1"/>
  <c r="G677" i="1" s="1"/>
  <c r="K677" i="1" a="1"/>
  <c r="K677" i="1" s="1"/>
  <c r="O677" i="1"/>
  <c r="M677" i="14" s="1"/>
  <c r="F678" i="1" a="1"/>
  <c r="F678" i="1" s="1"/>
  <c r="R678" i="14" s="1"/>
  <c r="J678" i="1" a="1"/>
  <c r="J678" i="1" s="1"/>
  <c r="O678" i="1"/>
  <c r="M678" i="14" s="1"/>
  <c r="F679" i="1" a="1"/>
  <c r="F679" i="1" s="1"/>
  <c r="R679" i="14" s="1"/>
  <c r="J679" i="1" a="1"/>
  <c r="J679" i="1" s="1"/>
  <c r="M679" i="1" a="1"/>
  <c r="M679" i="1" s="1"/>
  <c r="M680" i="1" a="1"/>
  <c r="M680" i="1" s="1"/>
  <c r="H681" i="1" a="1"/>
  <c r="H681" i="1" s="1"/>
  <c r="J681" i="14" s="1"/>
  <c r="P681" i="1" a="1"/>
  <c r="P681" i="1" s="1"/>
  <c r="C682" i="1" a="1"/>
  <c r="C682" i="1" s="1"/>
  <c r="E682" i="14" s="1"/>
  <c r="G682" i="1" a="1"/>
  <c r="G682" i="1" s="1"/>
  <c r="J682" i="1" a="1"/>
  <c r="J682" i="1" s="1"/>
  <c r="O682" i="1"/>
  <c r="M682" i="14" s="1"/>
  <c r="F683" i="1" a="1"/>
  <c r="F683" i="1" s="1"/>
  <c r="R683" i="14" s="1"/>
  <c r="J683" i="1" a="1"/>
  <c r="J683" i="1" s="1"/>
  <c r="O683" i="1"/>
  <c r="M683" i="14" s="1"/>
  <c r="F684" i="1" a="1"/>
  <c r="F684" i="1" s="1"/>
  <c r="R684" i="14" s="1"/>
  <c r="M684" i="1" a="1"/>
  <c r="M684" i="1" s="1"/>
  <c r="M685" i="1" a="1"/>
  <c r="M685" i="1" s="1"/>
  <c r="Q685" i="1" a="1"/>
  <c r="Q685" i="1" s="1"/>
  <c r="S685" i="14" s="1"/>
  <c r="D686" i="1" a="1"/>
  <c r="D686" i="1" s="1"/>
  <c r="I686" i="14" s="1"/>
  <c r="H686" i="1" a="1"/>
  <c r="H686" i="1" s="1"/>
  <c r="J686" i="14" s="1"/>
  <c r="L686" i="1" a="1"/>
  <c r="L686" i="1" s="1"/>
  <c r="Q686" i="1" a="1"/>
  <c r="Q686" i="1" s="1"/>
  <c r="S686" i="14" s="1"/>
  <c r="D687" i="1" a="1"/>
  <c r="D687" i="1" s="1"/>
  <c r="I687" i="14" s="1"/>
  <c r="H687" i="1" a="1"/>
  <c r="H687" i="1" s="1"/>
  <c r="J687" i="14" s="1"/>
  <c r="L687" i="1" a="1"/>
  <c r="L687" i="1" s="1"/>
  <c r="P687" i="1" a="1"/>
  <c r="P687" i="1" s="1"/>
  <c r="C688" i="1" a="1"/>
  <c r="C688" i="1" s="1"/>
  <c r="E688" i="14" s="1"/>
  <c r="G688" i="1" a="1"/>
  <c r="G688" i="1" s="1"/>
  <c r="J688" i="1" a="1"/>
  <c r="J688" i="1" s="1"/>
  <c r="O688" i="1"/>
  <c r="M688" i="14" s="1"/>
  <c r="M689" i="1" a="1"/>
  <c r="M689" i="1" s="1"/>
  <c r="H690" i="1" a="1"/>
  <c r="H690" i="1" s="1"/>
  <c r="J690" i="14" s="1"/>
  <c r="L690" i="1" a="1"/>
  <c r="L690" i="1" s="1"/>
  <c r="Q690" i="1" a="1"/>
  <c r="Q690" i="1" s="1"/>
  <c r="S690" i="14" s="1"/>
  <c r="D691" i="1" a="1"/>
  <c r="D691" i="1" s="1"/>
  <c r="I691" i="14" s="1"/>
  <c r="H691" i="1" a="1"/>
  <c r="H691" i="1" s="1"/>
  <c r="J691" i="14" s="1"/>
  <c r="L691" i="1" a="1"/>
  <c r="L691" i="1" s="1"/>
  <c r="Q691" i="1" a="1"/>
  <c r="Q691" i="1" s="1"/>
  <c r="S691" i="14" s="1"/>
  <c r="D692" i="1" a="1"/>
  <c r="D692" i="1" s="1"/>
  <c r="I692" i="14" s="1"/>
  <c r="H692" i="1" a="1"/>
  <c r="H692" i="1" s="1"/>
  <c r="J692" i="14" s="1"/>
  <c r="L692" i="1" a="1"/>
  <c r="L692" i="1" s="1"/>
  <c r="Q692" i="1" a="1"/>
  <c r="Q692" i="1" s="1"/>
  <c r="S692" i="14" s="1"/>
  <c r="D693" i="1" a="1"/>
  <c r="D693" i="1" s="1"/>
  <c r="I693" i="14" s="1"/>
  <c r="H693" i="1" a="1"/>
  <c r="H693" i="1" s="1"/>
  <c r="J693" i="14" s="1"/>
  <c r="L693" i="1" a="1"/>
  <c r="L693" i="1" s="1"/>
  <c r="Q693" i="1" a="1"/>
  <c r="Q693" i="1" s="1"/>
  <c r="S693" i="14" s="1"/>
  <c r="D694" i="1" a="1"/>
  <c r="D694" i="1" s="1"/>
  <c r="I694" i="14" s="1"/>
  <c r="H694" i="1" a="1"/>
  <c r="H694" i="1" s="1"/>
  <c r="J694" i="14" s="1"/>
  <c r="L694" i="1" a="1"/>
  <c r="L694" i="1" s="1"/>
  <c r="Q694" i="1" a="1"/>
  <c r="Q694" i="1" s="1"/>
  <c r="S694" i="14" s="1"/>
  <c r="D695" i="1" a="1"/>
  <c r="D695" i="1" s="1"/>
  <c r="I695" i="14" s="1"/>
  <c r="H695" i="1" a="1"/>
  <c r="H695" i="1" s="1"/>
  <c r="J695" i="14" s="1"/>
  <c r="L695" i="1" a="1"/>
  <c r="L695" i="1" s="1"/>
  <c r="Q695" i="1" a="1"/>
  <c r="Q695" i="1" s="1"/>
  <c r="S695" i="14" s="1"/>
  <c r="D696" i="1" a="1"/>
  <c r="D696" i="1" s="1"/>
  <c r="I696" i="14" s="1"/>
  <c r="H696" i="1" a="1"/>
  <c r="H696" i="1" s="1"/>
  <c r="J696" i="14" s="1"/>
  <c r="K696" i="1" a="1"/>
  <c r="K696" i="1" s="1"/>
  <c r="P696" i="1" a="1"/>
  <c r="P696" i="1" s="1"/>
  <c r="G586" i="1" a="1"/>
  <c r="G586" i="1" s="1"/>
  <c r="M587" i="1" a="1"/>
  <c r="M587" i="1" s="1"/>
  <c r="P588" i="1" a="1"/>
  <c r="P588" i="1" s="1"/>
  <c r="O589" i="1"/>
  <c r="M589" i="14" s="1"/>
  <c r="F590" i="1" a="1"/>
  <c r="F590" i="1" s="1"/>
  <c r="R590" i="14" s="1"/>
  <c r="Q591" i="1" a="1"/>
  <c r="Q591" i="1" s="1"/>
  <c r="S591" i="14" s="1"/>
  <c r="D592" i="1" a="1"/>
  <c r="D592" i="1" s="1"/>
  <c r="I592" i="14" s="1"/>
  <c r="O592" i="1"/>
  <c r="M592" i="14" s="1"/>
  <c r="C593" i="1" a="1"/>
  <c r="C593" i="1" s="1"/>
  <c r="E593" i="14" s="1"/>
  <c r="M593" i="1" a="1"/>
  <c r="M593" i="1" s="1"/>
  <c r="K594" i="1" a="1"/>
  <c r="K594" i="1" s="1"/>
  <c r="P594" i="1" a="1"/>
  <c r="P594" i="1" s="1"/>
  <c r="C595" i="1" a="1"/>
  <c r="C595" i="1" s="1"/>
  <c r="E595" i="14" s="1"/>
  <c r="G595" i="1" a="1"/>
  <c r="G595" i="1" s="1"/>
  <c r="K595" i="1" a="1"/>
  <c r="K595" i="1" s="1"/>
  <c r="Q595" i="1" a="1"/>
  <c r="Q595" i="1" s="1"/>
  <c r="S595" i="14" s="1"/>
  <c r="D596" i="1" a="1"/>
  <c r="D596" i="1" s="1"/>
  <c r="I596" i="14" s="1"/>
  <c r="H596" i="1" a="1"/>
  <c r="H596" i="1" s="1"/>
  <c r="J596" i="14" s="1"/>
  <c r="L596" i="1" a="1"/>
  <c r="L596" i="1" s="1"/>
  <c r="F597" i="1" a="1"/>
  <c r="F597" i="1" s="1"/>
  <c r="R597" i="14" s="1"/>
  <c r="M597" i="1" a="1"/>
  <c r="M597" i="1" s="1"/>
  <c r="Q598" i="1" a="1"/>
  <c r="Q598" i="1" s="1"/>
  <c r="S598" i="14" s="1"/>
  <c r="D599" i="1" a="1"/>
  <c r="D599" i="1" s="1"/>
  <c r="I599" i="14" s="1"/>
  <c r="G599" i="1" a="1"/>
  <c r="G599" i="1" s="1"/>
  <c r="K599" i="1" a="1"/>
  <c r="K599" i="1" s="1"/>
  <c r="L599" i="14" s="1"/>
  <c r="P599" i="1" a="1"/>
  <c r="P599" i="1" s="1"/>
  <c r="C600" i="1" a="1"/>
  <c r="C600" i="1" s="1"/>
  <c r="E600" i="14" s="1"/>
  <c r="G600" i="1" a="1"/>
  <c r="G600" i="1" s="1"/>
  <c r="K600" i="1" a="1"/>
  <c r="K600" i="1" s="1"/>
  <c r="L600" i="14" s="1"/>
  <c r="O600" i="1"/>
  <c r="M600" i="14" s="1"/>
  <c r="F601" i="1" a="1"/>
  <c r="F601" i="1" s="1"/>
  <c r="R601" i="14" s="1"/>
  <c r="J601" i="1" a="1"/>
  <c r="J601" i="1" s="1"/>
  <c r="O601" i="1"/>
  <c r="M601" i="14" s="1"/>
  <c r="F602" i="1" a="1"/>
  <c r="F602" i="1" s="1"/>
  <c r="R602" i="14" s="1"/>
  <c r="J602" i="1" a="1"/>
  <c r="J602" i="1" s="1"/>
  <c r="M602" i="1" a="1"/>
  <c r="M602" i="1" s="1"/>
  <c r="Q602" i="1" a="1"/>
  <c r="Q602" i="1" s="1"/>
  <c r="S602" i="14" s="1"/>
  <c r="D603" i="1" a="1"/>
  <c r="D603" i="1" s="1"/>
  <c r="I603" i="14" s="1"/>
  <c r="H603" i="1" a="1"/>
  <c r="H603" i="1" s="1"/>
  <c r="J603" i="14" s="1"/>
  <c r="L603" i="1" a="1"/>
  <c r="L603" i="1" s="1"/>
  <c r="Q603" i="1" a="1"/>
  <c r="Q603" i="1" s="1"/>
  <c r="S603" i="14" s="1"/>
  <c r="C604" i="1" a="1"/>
  <c r="C604" i="1" s="1"/>
  <c r="E604" i="14" s="1"/>
  <c r="F604" i="1" a="1"/>
  <c r="F604" i="1" s="1"/>
  <c r="R604" i="14" s="1"/>
  <c r="J604" i="1" a="1"/>
  <c r="J604" i="1" s="1"/>
  <c r="Q604" i="1" a="1"/>
  <c r="Q604" i="1" s="1"/>
  <c r="S604" i="14" s="1"/>
  <c r="D605" i="1" a="1"/>
  <c r="D605" i="1" s="1"/>
  <c r="I605" i="14" s="1"/>
  <c r="K605" i="1" a="1"/>
  <c r="K605" i="1" s="1"/>
  <c r="P605" i="1" a="1"/>
  <c r="P605" i="1" s="1"/>
  <c r="M606" i="1" a="1"/>
  <c r="M606" i="1" s="1"/>
  <c r="Q606" i="1" a="1"/>
  <c r="Q606" i="1" s="1"/>
  <c r="S606" i="14" s="1"/>
  <c r="C607" i="1" a="1"/>
  <c r="C607" i="1" s="1"/>
  <c r="E607" i="14" s="1"/>
  <c r="J607" i="1" a="1"/>
  <c r="J607" i="1" s="1"/>
  <c r="O607" i="1"/>
  <c r="M607" i="14" s="1"/>
  <c r="F608" i="1" a="1"/>
  <c r="F608" i="1" s="1"/>
  <c r="R608" i="14" s="1"/>
  <c r="J608" i="1" a="1"/>
  <c r="J608" i="1" s="1"/>
  <c r="O608" i="1"/>
  <c r="M608" i="14" s="1"/>
  <c r="F609" i="1" a="1"/>
  <c r="F609" i="1" s="1"/>
  <c r="R609" i="14" s="1"/>
  <c r="J609" i="1" a="1"/>
  <c r="J609" i="1" s="1"/>
  <c r="O609" i="1"/>
  <c r="M609" i="14" s="1"/>
  <c r="F610" i="1" a="1"/>
  <c r="F610" i="1" s="1"/>
  <c r="R610" i="14" s="1"/>
  <c r="J610" i="1" a="1"/>
  <c r="J610" i="1" s="1"/>
  <c r="M610" i="1" a="1"/>
  <c r="M610" i="1" s="1"/>
  <c r="Q610" i="1" a="1"/>
  <c r="Q610" i="1" s="1"/>
  <c r="S610" i="14" s="1"/>
  <c r="D611" i="1" a="1"/>
  <c r="D611" i="1" s="1"/>
  <c r="I611" i="14" s="1"/>
  <c r="K611" i="1" a="1"/>
  <c r="K611" i="1" s="1"/>
  <c r="P611" i="1" a="1"/>
  <c r="P611" i="1" s="1"/>
  <c r="C612" i="1" a="1"/>
  <c r="C612" i="1" s="1"/>
  <c r="E612" i="14" s="1"/>
  <c r="G612" i="1" a="1"/>
  <c r="G612" i="1" s="1"/>
  <c r="K612" i="1" a="1"/>
  <c r="K612" i="1" s="1"/>
  <c r="P612" i="1" a="1"/>
  <c r="P612" i="1" s="1"/>
  <c r="C613" i="1" a="1"/>
  <c r="C613" i="1" s="1"/>
  <c r="E613" i="14" s="1"/>
  <c r="G613" i="1" a="1"/>
  <c r="G613" i="1" s="1"/>
  <c r="K613" i="1" a="1"/>
  <c r="K613" i="1" s="1"/>
  <c r="P613" i="1" a="1"/>
  <c r="P613" i="1" s="1"/>
  <c r="F614" i="1" a="1"/>
  <c r="F614" i="1" s="1"/>
  <c r="R614" i="14" s="1"/>
  <c r="J614" i="1" a="1"/>
  <c r="J614" i="1" s="1"/>
  <c r="O614" i="1"/>
  <c r="M614" i="14" s="1"/>
  <c r="F615" i="1" a="1"/>
  <c r="F615" i="1" s="1"/>
  <c r="R615" i="14" s="1"/>
  <c r="J615" i="1" a="1"/>
  <c r="J615" i="1" s="1"/>
  <c r="M615" i="1" a="1"/>
  <c r="M615" i="1" s="1"/>
  <c r="Q615" i="1" a="1"/>
  <c r="Q615" i="1" s="1"/>
  <c r="S615" i="14" s="1"/>
  <c r="D616" i="1" a="1"/>
  <c r="D616" i="1" s="1"/>
  <c r="I616" i="14" s="1"/>
  <c r="H616" i="1" a="1"/>
  <c r="H616" i="1" s="1"/>
  <c r="J616" i="14" s="1"/>
  <c r="K616" i="1" a="1"/>
  <c r="K616" i="1" s="1"/>
  <c r="O616" i="1"/>
  <c r="M616" i="14" s="1"/>
  <c r="H617" i="1" a="1"/>
  <c r="H617" i="1" s="1"/>
  <c r="J617" i="14" s="1"/>
  <c r="L617" i="1" a="1"/>
  <c r="L617" i="1" s="1"/>
  <c r="Q617" i="1" a="1"/>
  <c r="Q617" i="1" s="1"/>
  <c r="S617" i="14" s="1"/>
  <c r="D618" i="1" a="1"/>
  <c r="D618" i="1" s="1"/>
  <c r="I618" i="14" s="1"/>
  <c r="H618" i="1" a="1"/>
  <c r="H618" i="1" s="1"/>
  <c r="J618" i="14" s="1"/>
  <c r="L618" i="1" a="1"/>
  <c r="L618" i="1" s="1"/>
  <c r="P618" i="1" a="1"/>
  <c r="P618" i="1" s="1"/>
  <c r="H619" i="1" a="1"/>
  <c r="H619" i="1" s="1"/>
  <c r="J619" i="14" s="1"/>
  <c r="L619" i="1" a="1"/>
  <c r="L619" i="1" s="1"/>
  <c r="Q619" i="1" a="1"/>
  <c r="Q619" i="1" s="1"/>
  <c r="S619" i="14" s="1"/>
  <c r="D620" i="1" a="1"/>
  <c r="D620" i="1" s="1"/>
  <c r="I620" i="14" s="1"/>
  <c r="H620" i="1" a="1"/>
  <c r="H620" i="1" s="1"/>
  <c r="J620" i="14" s="1"/>
  <c r="K620" i="1" a="1"/>
  <c r="K620" i="1" s="1"/>
  <c r="P620" i="1" a="1"/>
  <c r="P620" i="1" s="1"/>
  <c r="C621" i="1" a="1"/>
  <c r="C621" i="1" s="1"/>
  <c r="E621" i="14" s="1"/>
  <c r="F621" i="1" a="1"/>
  <c r="F621" i="1" s="1"/>
  <c r="R621" i="14" s="1"/>
  <c r="J621" i="1" a="1"/>
  <c r="J621" i="1" s="1"/>
  <c r="O621" i="1"/>
  <c r="M621" i="14" s="1"/>
  <c r="M622" i="1" a="1"/>
  <c r="M622" i="1" s="1"/>
  <c r="Q623" i="1" a="1"/>
  <c r="Q623" i="1" s="1"/>
  <c r="S623" i="14" s="1"/>
  <c r="D624" i="1" a="1"/>
  <c r="D624" i="1" s="1"/>
  <c r="I624" i="14" s="1"/>
  <c r="H624" i="1" a="1"/>
  <c r="H624" i="1" s="1"/>
  <c r="J624" i="14" s="1"/>
  <c r="K624" i="1" a="1"/>
  <c r="K624" i="1" s="1"/>
  <c r="P624" i="1" a="1"/>
  <c r="P624" i="1" s="1"/>
  <c r="C625" i="1" a="1"/>
  <c r="C625" i="1" s="1"/>
  <c r="E625" i="14" s="1"/>
  <c r="F625" i="1" a="1"/>
  <c r="F625" i="1" s="1"/>
  <c r="R625" i="14" s="1"/>
  <c r="L625" i="1" a="1"/>
  <c r="L625" i="1" s="1"/>
  <c r="Q625" i="1" a="1"/>
  <c r="Q625" i="1" s="1"/>
  <c r="S625" i="14" s="1"/>
  <c r="C626" i="1" a="1"/>
  <c r="C626" i="1" s="1"/>
  <c r="E626" i="14" s="1"/>
  <c r="G626" i="1" a="1"/>
  <c r="G626" i="1" s="1"/>
  <c r="J626" i="1" a="1"/>
  <c r="J626" i="1" s="1"/>
  <c r="M626" i="1" a="1"/>
  <c r="M626" i="1" s="1"/>
  <c r="J627" i="1" a="1"/>
  <c r="J627" i="1" s="1"/>
  <c r="O627" i="1"/>
  <c r="M627" i="14" s="1"/>
  <c r="F628" i="1" a="1"/>
  <c r="F628" i="1" s="1"/>
  <c r="R628" i="14" s="1"/>
  <c r="M628" i="1" a="1"/>
  <c r="M628" i="1" s="1"/>
  <c r="H629" i="1" a="1"/>
  <c r="H629" i="1" s="1"/>
  <c r="J629" i="14" s="1"/>
  <c r="L629" i="1" a="1"/>
  <c r="L629" i="1" s="1"/>
  <c r="Q629" i="1" a="1"/>
  <c r="Q629" i="1" s="1"/>
  <c r="S629" i="14" s="1"/>
  <c r="C630" i="1" a="1"/>
  <c r="C630" i="1" s="1"/>
  <c r="E630" i="14" s="1"/>
  <c r="G630" i="1" a="1"/>
  <c r="G630" i="1" s="1"/>
  <c r="J630" i="1" a="1"/>
  <c r="J630" i="1" s="1"/>
  <c r="M630" i="1" a="1"/>
  <c r="M630" i="1" s="1"/>
  <c r="Q631" i="1" a="1"/>
  <c r="Q631" i="1" s="1"/>
  <c r="S631" i="14" s="1"/>
  <c r="D632" i="1" a="1"/>
  <c r="D632" i="1" s="1"/>
  <c r="I632" i="14" s="1"/>
  <c r="H632" i="1" a="1"/>
  <c r="H632" i="1" s="1"/>
  <c r="J632" i="14" s="1"/>
  <c r="L632" i="1" a="1"/>
  <c r="L632" i="1" s="1"/>
  <c r="Q632" i="1" a="1"/>
  <c r="Q632" i="1" s="1"/>
  <c r="S632" i="14" s="1"/>
  <c r="D633" i="1" a="1"/>
  <c r="D633" i="1" s="1"/>
  <c r="I633" i="14" s="1"/>
  <c r="H633" i="1" a="1"/>
  <c r="H633" i="1" s="1"/>
  <c r="J633" i="14" s="1"/>
  <c r="L633" i="1" a="1"/>
  <c r="L633" i="1" s="1"/>
  <c r="Q633" i="1" a="1"/>
  <c r="Q633" i="1" s="1"/>
  <c r="S633" i="14" s="1"/>
  <c r="D634" i="1" a="1"/>
  <c r="D634" i="1" s="1"/>
  <c r="I634" i="14" s="1"/>
  <c r="H634" i="1" a="1"/>
  <c r="H634" i="1" s="1"/>
  <c r="J634" i="14" s="1"/>
  <c r="L634" i="1" a="1"/>
  <c r="L634" i="1" s="1"/>
  <c r="Q634" i="1" a="1"/>
  <c r="Q634" i="1" s="1"/>
  <c r="S634" i="14" s="1"/>
  <c r="D635" i="1" a="1"/>
  <c r="D635" i="1" s="1"/>
  <c r="I635" i="14" s="1"/>
  <c r="H635" i="1" a="1"/>
  <c r="H635" i="1" s="1"/>
  <c r="J635" i="14" s="1"/>
  <c r="L635" i="1" a="1"/>
  <c r="L635" i="1" s="1"/>
  <c r="Q635" i="1" a="1"/>
  <c r="Q635" i="1" s="1"/>
  <c r="S635" i="14" s="1"/>
  <c r="D636" i="1" a="1"/>
  <c r="D636" i="1" s="1"/>
  <c r="I636" i="14" s="1"/>
  <c r="H636" i="1" a="1"/>
  <c r="H636" i="1" s="1"/>
  <c r="J636" i="14" s="1"/>
  <c r="K636" i="1" a="1"/>
  <c r="K636" i="1" s="1"/>
  <c r="P636" i="1" a="1"/>
  <c r="P636" i="1" s="1"/>
  <c r="F637" i="1" a="1"/>
  <c r="F637" i="1" s="1"/>
  <c r="R637" i="14" s="1"/>
  <c r="J637" i="1" a="1"/>
  <c r="J637" i="1" s="1"/>
  <c r="M638" i="1" a="1"/>
  <c r="M638" i="1" s="1"/>
  <c r="G639" i="1" a="1"/>
  <c r="G639" i="1" s="1"/>
  <c r="O639" i="1"/>
  <c r="M639" i="14" s="1"/>
  <c r="L640" i="1" a="1"/>
  <c r="L640" i="1" s="1"/>
  <c r="Q640" i="1" a="1"/>
  <c r="Q640" i="1" s="1"/>
  <c r="S640" i="14" s="1"/>
  <c r="D641" i="1" a="1"/>
  <c r="D641" i="1" s="1"/>
  <c r="I641" i="14" s="1"/>
  <c r="G641" i="1" a="1"/>
  <c r="G641" i="1" s="1"/>
  <c r="K641" i="1" a="1"/>
  <c r="K641" i="1" s="1"/>
  <c r="P641" i="1" a="1"/>
  <c r="P641" i="1" s="1"/>
  <c r="C642" i="1" a="1"/>
  <c r="C642" i="1" s="1"/>
  <c r="E642" i="14" s="1"/>
  <c r="G642" i="1" a="1"/>
  <c r="G642" i="1" s="1"/>
  <c r="K642" i="1" a="1"/>
  <c r="K642" i="1" s="1"/>
  <c r="P642" i="1" a="1"/>
  <c r="P642" i="1" s="1"/>
  <c r="C643" i="1" a="1"/>
  <c r="C643" i="1" s="1"/>
  <c r="E643" i="14" s="1"/>
  <c r="G643" i="1" a="1"/>
  <c r="G643" i="1" s="1"/>
  <c r="K643" i="1" a="1"/>
  <c r="K643" i="1" s="1"/>
  <c r="O643" i="1"/>
  <c r="M643" i="14" s="1"/>
  <c r="F644" i="1" a="1"/>
  <c r="F644" i="1" s="1"/>
  <c r="R644" i="14" s="1"/>
  <c r="L644" i="1" a="1"/>
  <c r="L644" i="1" s="1"/>
  <c r="Q644" i="1" a="1"/>
  <c r="Q644" i="1" s="1"/>
  <c r="S644" i="14" s="1"/>
  <c r="D645" i="1" a="1"/>
  <c r="D645" i="1" s="1"/>
  <c r="I645" i="14" s="1"/>
  <c r="G645" i="1" a="1"/>
  <c r="G645" i="1" s="1"/>
  <c r="K645" i="1" a="1"/>
  <c r="K645" i="1" s="1"/>
  <c r="P645" i="1" a="1"/>
  <c r="P645" i="1" s="1"/>
  <c r="C646" i="1" a="1"/>
  <c r="C646" i="1" s="1"/>
  <c r="E646" i="14" s="1"/>
  <c r="G646" i="1" a="1"/>
  <c r="G646" i="1" s="1"/>
  <c r="K646" i="1" a="1"/>
  <c r="K646" i="1" s="1"/>
  <c r="P646" i="1" a="1"/>
  <c r="P646" i="1" s="1"/>
  <c r="L647" i="1" a="1"/>
  <c r="L647" i="1" s="1"/>
  <c r="Q647" i="1" a="1"/>
  <c r="Q647" i="1" s="1"/>
  <c r="S647" i="14" s="1"/>
  <c r="D648" i="1" a="1"/>
  <c r="D648" i="1" s="1"/>
  <c r="I648" i="14" s="1"/>
  <c r="H648" i="1" a="1"/>
  <c r="H648" i="1" s="1"/>
  <c r="J648" i="14" s="1"/>
  <c r="K648" i="1" a="1"/>
  <c r="K648" i="1" s="1"/>
  <c r="P648" i="1" a="1"/>
  <c r="P648" i="1" s="1"/>
  <c r="C649" i="1" a="1"/>
  <c r="C649" i="1" s="1"/>
  <c r="E649" i="14" s="1"/>
  <c r="J649" i="1" a="1"/>
  <c r="J649" i="1" s="1"/>
  <c r="H650" i="1" a="1"/>
  <c r="H650" i="1" s="1"/>
  <c r="J650" i="14" s="1"/>
  <c r="L650" i="1" a="1"/>
  <c r="L650" i="1" s="1"/>
  <c r="Q650" i="1" a="1"/>
  <c r="Q650" i="1" s="1"/>
  <c r="S650" i="14" s="1"/>
  <c r="D651" i="1" a="1"/>
  <c r="D651" i="1" s="1"/>
  <c r="I651" i="14" s="1"/>
  <c r="H651" i="1" a="1"/>
  <c r="H651" i="1" s="1"/>
  <c r="J651" i="14" s="1"/>
  <c r="L651" i="1" a="1"/>
  <c r="L651" i="1" s="1"/>
  <c r="Q651" i="1" a="1"/>
  <c r="Q651" i="1" s="1"/>
  <c r="S651" i="14" s="1"/>
  <c r="C652" i="1" a="1"/>
  <c r="C652" i="1" s="1"/>
  <c r="E652" i="14" s="1"/>
  <c r="F652" i="1" a="1"/>
  <c r="F652" i="1" s="1"/>
  <c r="R652" i="14" s="1"/>
  <c r="M652" i="1" a="1"/>
  <c r="M652" i="1" s="1"/>
  <c r="L653" i="1" a="1"/>
  <c r="L653" i="1" s="1"/>
  <c r="Q653" i="1" a="1"/>
  <c r="Q653" i="1" s="1"/>
  <c r="S653" i="14" s="1"/>
  <c r="D654" i="1" a="1"/>
  <c r="D654" i="1" s="1"/>
  <c r="I654" i="14" s="1"/>
  <c r="H654" i="1" a="1"/>
  <c r="H654" i="1" s="1"/>
  <c r="J654" i="14" s="1"/>
  <c r="L654" i="1" a="1"/>
  <c r="L654" i="1" s="1"/>
  <c r="Q654" i="1" a="1"/>
  <c r="Q654" i="1" s="1"/>
  <c r="S654" i="14" s="1"/>
  <c r="D655" i="1" a="1"/>
  <c r="D655" i="1" s="1"/>
  <c r="I655" i="14" s="1"/>
  <c r="H655" i="1" a="1"/>
  <c r="H655" i="1" s="1"/>
  <c r="J655" i="14" s="1"/>
  <c r="L655" i="1" a="1"/>
  <c r="L655" i="1" s="1"/>
  <c r="P655" i="1" a="1"/>
  <c r="P655" i="1" s="1"/>
  <c r="C656" i="1" a="1"/>
  <c r="C656" i="1" s="1"/>
  <c r="E656" i="14" s="1"/>
  <c r="G656" i="1" a="1"/>
  <c r="G656" i="1" s="1"/>
  <c r="J656" i="1" a="1"/>
  <c r="J656" i="1" s="1"/>
  <c r="O656" i="1"/>
  <c r="M656" i="14" s="1"/>
  <c r="F657" i="1" a="1"/>
  <c r="F657" i="1" s="1"/>
  <c r="R657" i="14" s="1"/>
  <c r="J657" i="1" a="1"/>
  <c r="J657" i="1" s="1"/>
  <c r="O657" i="1"/>
  <c r="M657" i="14" s="1"/>
  <c r="F658" i="1" a="1"/>
  <c r="F658" i="1" s="1"/>
  <c r="R658" i="14" s="1"/>
  <c r="J658" i="1" a="1"/>
  <c r="J658" i="1" s="1"/>
  <c r="O658" i="1"/>
  <c r="M658" i="14" s="1"/>
  <c r="F659" i="1" a="1"/>
  <c r="F659" i="1" s="1"/>
  <c r="R659" i="14" s="1"/>
  <c r="L659" i="1" a="1"/>
  <c r="L659" i="1" s="1"/>
  <c r="Q659" i="1" a="1"/>
  <c r="Q659" i="1" s="1"/>
  <c r="S659" i="14" s="1"/>
  <c r="D660" i="1" a="1"/>
  <c r="D660" i="1" s="1"/>
  <c r="I660" i="14" s="1"/>
  <c r="H660" i="1" a="1"/>
  <c r="H660" i="1" s="1"/>
  <c r="J660" i="14" s="1"/>
  <c r="L660" i="1" a="1"/>
  <c r="L660" i="1" s="1"/>
  <c r="Q660" i="1" a="1"/>
  <c r="Q660" i="1" s="1"/>
  <c r="S660" i="14" s="1"/>
  <c r="D661" i="1" a="1"/>
  <c r="D661" i="1" s="1"/>
  <c r="I661" i="14" s="1"/>
  <c r="H661" i="1" a="1"/>
  <c r="H661" i="1" s="1"/>
  <c r="J661" i="14" s="1"/>
  <c r="K661" i="1" a="1"/>
  <c r="K661" i="1" s="1"/>
  <c r="P661" i="1" a="1"/>
  <c r="P661" i="1" s="1"/>
  <c r="C662" i="1" a="1"/>
  <c r="C662" i="1" s="1"/>
  <c r="E662" i="14" s="1"/>
  <c r="G662" i="1" a="1"/>
  <c r="G662" i="1" s="1"/>
  <c r="J662" i="1" a="1"/>
  <c r="J662" i="1" s="1"/>
  <c r="O662" i="1"/>
  <c r="M662" i="14" s="1"/>
  <c r="F663" i="1" a="1"/>
  <c r="F663" i="1" s="1"/>
  <c r="R663" i="14" s="1"/>
  <c r="J663" i="1" a="1"/>
  <c r="J663" i="1" s="1"/>
  <c r="O663" i="1"/>
  <c r="M663" i="14" s="1"/>
  <c r="F664" i="1" a="1"/>
  <c r="F664" i="1" s="1"/>
  <c r="R664" i="14" s="1"/>
  <c r="M664" i="1" a="1"/>
  <c r="M664" i="1" s="1"/>
  <c r="H665" i="1" a="1"/>
  <c r="H665" i="1" s="1"/>
  <c r="J665" i="14" s="1"/>
  <c r="L665" i="1" a="1"/>
  <c r="L665" i="1" s="1"/>
  <c r="Q665" i="1" a="1"/>
  <c r="Q665" i="1" s="1"/>
  <c r="S665" i="14" s="1"/>
  <c r="D666" i="1" a="1"/>
  <c r="D666" i="1" s="1"/>
  <c r="I666" i="14" s="1"/>
  <c r="H666" i="1" a="1"/>
  <c r="H666" i="1" s="1"/>
  <c r="J666" i="14" s="1"/>
  <c r="L666" i="1" a="1"/>
  <c r="L666" i="1" s="1"/>
  <c r="Q666" i="1" a="1"/>
  <c r="Q666" i="1" s="1"/>
  <c r="S666" i="14" s="1"/>
  <c r="C667" i="1" a="1"/>
  <c r="C667" i="1" s="1"/>
  <c r="E667" i="14" s="1"/>
  <c r="F667" i="1" a="1"/>
  <c r="F667" i="1" s="1"/>
  <c r="R667" i="14" s="1"/>
  <c r="J667" i="1" a="1"/>
  <c r="J667" i="1" s="1"/>
  <c r="Q667" i="1" a="1"/>
  <c r="Q667" i="1" s="1"/>
  <c r="S667" i="14" s="1"/>
  <c r="C668" i="1" a="1"/>
  <c r="C668" i="1" s="1"/>
  <c r="E668" i="14" s="1"/>
  <c r="J668" i="1" a="1"/>
  <c r="J668" i="1" s="1"/>
  <c r="O668" i="1"/>
  <c r="M668" i="14" s="1"/>
  <c r="F669" i="1" a="1"/>
  <c r="F669" i="1" s="1"/>
  <c r="R669" i="14" s="1"/>
  <c r="J669" i="1" a="1"/>
  <c r="J669" i="1" s="1"/>
  <c r="O669" i="1"/>
  <c r="M669" i="14" s="1"/>
  <c r="F670" i="1" a="1"/>
  <c r="F670" i="1" s="1"/>
  <c r="R670" i="14" s="1"/>
  <c r="J670" i="1" a="1"/>
  <c r="J670" i="1" s="1"/>
  <c r="O670" i="1"/>
  <c r="M670" i="14" s="1"/>
  <c r="F671" i="1" a="1"/>
  <c r="F671" i="1" s="1"/>
  <c r="R671" i="14" s="1"/>
  <c r="J671" i="1" a="1"/>
  <c r="J671" i="1" s="1"/>
  <c r="O671" i="1"/>
  <c r="M671" i="14" s="1"/>
  <c r="F672" i="1" a="1"/>
  <c r="F672" i="1" s="1"/>
  <c r="R672" i="14" s="1"/>
  <c r="J672" i="1" a="1"/>
  <c r="J672" i="1" s="1"/>
  <c r="O672" i="1"/>
  <c r="M672" i="14" s="1"/>
  <c r="L673" i="1" a="1"/>
  <c r="L673" i="1" s="1"/>
  <c r="Q673" i="1" a="1"/>
  <c r="Q673" i="1" s="1"/>
  <c r="S673" i="14" s="1"/>
  <c r="D674" i="1" a="1"/>
  <c r="D674" i="1" s="1"/>
  <c r="I674" i="14" s="1"/>
  <c r="H674" i="1" a="1"/>
  <c r="H674" i="1" s="1"/>
  <c r="J674" i="14" s="1"/>
  <c r="L674" i="1" a="1"/>
  <c r="L674" i="1" s="1"/>
  <c r="Q674" i="1" a="1"/>
  <c r="Q674" i="1" s="1"/>
  <c r="S674" i="14" s="1"/>
  <c r="C675" i="1" a="1"/>
  <c r="C675" i="1" s="1"/>
  <c r="E675" i="14" s="1"/>
  <c r="F675" i="1" a="1"/>
  <c r="F675" i="1" s="1"/>
  <c r="R675" i="14" s="1"/>
  <c r="J675" i="1" a="1"/>
  <c r="J675" i="1" s="1"/>
  <c r="M675" i="1" a="1"/>
  <c r="M675" i="1" s="1"/>
  <c r="H676" i="1" a="1"/>
  <c r="H676" i="1" s="1"/>
  <c r="J676" i="14" s="1"/>
  <c r="L676" i="1" a="1"/>
  <c r="L676" i="1" s="1"/>
  <c r="Q676" i="1" a="1"/>
  <c r="Q676" i="1" s="1"/>
  <c r="S676" i="14" s="1"/>
  <c r="D677" i="1" a="1"/>
  <c r="D677" i="1" s="1"/>
  <c r="I677" i="14" s="1"/>
  <c r="H677" i="1" a="1"/>
  <c r="H677" i="1" s="1"/>
  <c r="J677" i="14" s="1"/>
  <c r="L677" i="1" a="1"/>
  <c r="L677" i="1" s="1"/>
  <c r="P677" i="1" a="1"/>
  <c r="P677" i="1" s="1"/>
  <c r="C678" i="1" a="1"/>
  <c r="C678" i="1" s="1"/>
  <c r="E678" i="14" s="1"/>
  <c r="G678" i="1" a="1"/>
  <c r="G678" i="1" s="1"/>
  <c r="K678" i="1" a="1"/>
  <c r="K678" i="1" s="1"/>
  <c r="P678" i="1" a="1"/>
  <c r="P678" i="1" s="1"/>
  <c r="C679" i="1" a="1"/>
  <c r="C679" i="1" s="1"/>
  <c r="E679" i="14" s="1"/>
  <c r="G679" i="1" a="1"/>
  <c r="G679" i="1" s="1"/>
  <c r="K679" i="1" a="1"/>
  <c r="K679" i="1" s="1"/>
  <c r="O679" i="1"/>
  <c r="M679" i="14" s="1"/>
  <c r="F680" i="1" a="1"/>
  <c r="F680" i="1" s="1"/>
  <c r="R680" i="14" s="1"/>
  <c r="J680" i="1" a="1"/>
  <c r="J680" i="1" s="1"/>
  <c r="O680" i="1"/>
  <c r="M680" i="14" s="1"/>
  <c r="L681" i="1" a="1"/>
  <c r="L681" i="1" s="1"/>
  <c r="Q681" i="1" a="1"/>
  <c r="Q681" i="1" s="1"/>
  <c r="S681" i="14" s="1"/>
  <c r="D682" i="1" a="1"/>
  <c r="D682" i="1" s="1"/>
  <c r="I682" i="14" s="1"/>
  <c r="K682" i="1" a="1"/>
  <c r="K682" i="1" s="1"/>
  <c r="P682" i="1" a="1"/>
  <c r="P682" i="1" s="1"/>
  <c r="C683" i="1" a="1"/>
  <c r="C683" i="1" s="1"/>
  <c r="E683" i="14" s="1"/>
  <c r="G683" i="1" a="1"/>
  <c r="G683" i="1" s="1"/>
  <c r="K683" i="1" a="1"/>
  <c r="K683" i="1" s="1"/>
  <c r="P683" i="1" a="1"/>
  <c r="P683" i="1" s="1"/>
  <c r="C684" i="1" a="1"/>
  <c r="C684" i="1" s="1"/>
  <c r="E684" i="14" s="1"/>
  <c r="J684" i="1" a="1"/>
  <c r="J684" i="1" s="1"/>
  <c r="O684" i="1"/>
  <c r="M684" i="14" s="1"/>
  <c r="F685" i="1" a="1"/>
  <c r="F685" i="1" s="1"/>
  <c r="R685" i="14" s="1"/>
  <c r="J685" i="1" a="1"/>
  <c r="J685" i="1" s="1"/>
  <c r="M686" i="1" a="1"/>
  <c r="M686" i="1" s="1"/>
  <c r="Q687" i="1" a="1"/>
  <c r="Q687" i="1" s="1"/>
  <c r="S687" i="14" s="1"/>
  <c r="D688" i="1" a="1"/>
  <c r="D688" i="1" s="1"/>
  <c r="I688" i="14" s="1"/>
  <c r="H688" i="1" a="1"/>
  <c r="H688" i="1" s="1"/>
  <c r="J688" i="14" s="1"/>
  <c r="K688" i="1" a="1"/>
  <c r="K688" i="1" s="1"/>
  <c r="P688" i="1" a="1"/>
  <c r="P688" i="1" s="1"/>
  <c r="F689" i="1" a="1"/>
  <c r="F689" i="1" s="1"/>
  <c r="R689" i="14" s="1"/>
  <c r="J689" i="1" a="1"/>
  <c r="J689" i="1" s="1"/>
  <c r="O689" i="1"/>
  <c r="M689" i="14" s="1"/>
  <c r="F690" i="1" a="1"/>
  <c r="F690" i="1" s="1"/>
  <c r="R690" i="14" s="1"/>
  <c r="H588" i="1" a="1"/>
  <c r="H588" i="1" s="1"/>
  <c r="J588" i="14" s="1"/>
  <c r="G589" i="1" a="1"/>
  <c r="G589" i="1" s="1"/>
  <c r="P592" i="1" a="1"/>
  <c r="P592" i="1" s="1"/>
  <c r="O593" i="1"/>
  <c r="M593" i="14" s="1"/>
  <c r="G594" i="1" a="1"/>
  <c r="G594" i="1" s="1"/>
  <c r="Q594" i="1" a="1"/>
  <c r="Q594" i="1" s="1"/>
  <c r="S594" i="14" s="1"/>
  <c r="D595" i="1" a="1"/>
  <c r="D595" i="1" s="1"/>
  <c r="I595" i="14" s="1"/>
  <c r="H595" i="1" a="1"/>
  <c r="H595" i="1" s="1"/>
  <c r="J595" i="14" s="1"/>
  <c r="L595" i="1" a="1"/>
  <c r="L595" i="1" s="1"/>
  <c r="G597" i="1" a="1"/>
  <c r="G597" i="1" s="1"/>
  <c r="J597" i="1" a="1"/>
  <c r="J597" i="1" s="1"/>
  <c r="O597" i="1"/>
  <c r="M597" i="14" s="1"/>
  <c r="F598" i="1" a="1"/>
  <c r="F598" i="1" s="1"/>
  <c r="R598" i="14" s="1"/>
  <c r="J598" i="1" a="1"/>
  <c r="J598" i="1" s="1"/>
  <c r="M598" i="1" a="1"/>
  <c r="M598" i="1" s="1"/>
  <c r="H599" i="1" a="1"/>
  <c r="H599" i="1" s="1"/>
  <c r="J599" i="14" s="1"/>
  <c r="L599" i="1" a="1"/>
  <c r="L599" i="1" s="1"/>
  <c r="Q599" i="1" a="1"/>
  <c r="Q599" i="1" s="1"/>
  <c r="S599" i="14" s="1"/>
  <c r="D600" i="1" a="1"/>
  <c r="D600" i="1" s="1"/>
  <c r="I600" i="14" s="1"/>
  <c r="H600" i="1" a="1"/>
  <c r="H600" i="1" s="1"/>
  <c r="J600" i="14" s="1"/>
  <c r="L600" i="1" a="1"/>
  <c r="L600" i="1" s="1"/>
  <c r="P600" i="1" a="1"/>
  <c r="P600" i="1" s="1"/>
  <c r="C601" i="1" a="1"/>
  <c r="C601" i="1" s="1"/>
  <c r="E601" i="14" s="1"/>
  <c r="G601" i="1" a="1"/>
  <c r="G601" i="1" s="1"/>
  <c r="K601" i="1" a="1"/>
  <c r="K601" i="1" s="1"/>
  <c r="P601" i="1" a="1"/>
  <c r="P601" i="1" s="1"/>
  <c r="C602" i="1" a="1"/>
  <c r="C602" i="1" s="1"/>
  <c r="E602" i="14" s="1"/>
  <c r="G602" i="1" a="1"/>
  <c r="G602" i="1" s="1"/>
  <c r="K602" i="1" a="1"/>
  <c r="K602" i="1" s="1"/>
  <c r="M603" i="1" a="1"/>
  <c r="M603" i="1" s="1"/>
  <c r="G604" i="1" a="1"/>
  <c r="G604" i="1" s="1"/>
  <c r="M604" i="1" a="1"/>
  <c r="M604" i="1" s="1"/>
  <c r="H605" i="1" a="1"/>
  <c r="H605" i="1" s="1"/>
  <c r="J605" i="14" s="1"/>
  <c r="L605" i="1" a="1"/>
  <c r="L605" i="1" s="1"/>
  <c r="Q605" i="1" a="1"/>
  <c r="Q605" i="1" s="1"/>
  <c r="S605" i="14" s="1"/>
  <c r="C606" i="1" a="1"/>
  <c r="C606" i="1" s="1"/>
  <c r="E606" i="14" s="1"/>
  <c r="F606" i="1" a="1"/>
  <c r="F606" i="1" s="1"/>
  <c r="R606" i="14" s="1"/>
  <c r="J606" i="1" a="1"/>
  <c r="J606" i="1" s="1"/>
  <c r="D607" i="1" a="1"/>
  <c r="D607" i="1" s="1"/>
  <c r="I607" i="14" s="1"/>
  <c r="G607" i="1" a="1"/>
  <c r="G607" i="1" s="1"/>
  <c r="K607" i="1" a="1"/>
  <c r="K607" i="1" s="1"/>
  <c r="P607" i="1" a="1"/>
  <c r="P607" i="1" s="1"/>
  <c r="C608" i="1" a="1"/>
  <c r="C608" i="1" s="1"/>
  <c r="E608" i="14" s="1"/>
  <c r="G608" i="1" a="1"/>
  <c r="G608" i="1" s="1"/>
  <c r="K608" i="1" a="1"/>
  <c r="K608" i="1" s="1"/>
  <c r="P608" i="1" a="1"/>
  <c r="P608" i="1" s="1"/>
  <c r="C609" i="1" a="1"/>
  <c r="C609" i="1" s="1"/>
  <c r="E609" i="14" s="1"/>
  <c r="G609" i="1" a="1"/>
  <c r="G609" i="1" s="1"/>
  <c r="K609" i="1" a="1"/>
  <c r="K609" i="1" s="1"/>
  <c r="P609" i="1" a="1"/>
  <c r="P609" i="1" s="1"/>
  <c r="C610" i="1" a="1"/>
  <c r="C610" i="1" s="1"/>
  <c r="E610" i="14" s="1"/>
  <c r="G610" i="1" a="1"/>
  <c r="G610" i="1" s="1"/>
  <c r="K610" i="1" a="1"/>
  <c r="K610" i="1" s="1"/>
  <c r="H611" i="1" a="1"/>
  <c r="H611" i="1" s="1"/>
  <c r="J611" i="14" s="1"/>
  <c r="L611" i="1" a="1"/>
  <c r="L611" i="1" s="1"/>
  <c r="Q611" i="1" a="1"/>
  <c r="Q611" i="1" s="1"/>
  <c r="S611" i="14" s="1"/>
  <c r="D612" i="1" a="1"/>
  <c r="D612" i="1" s="1"/>
  <c r="I612" i="14" s="1"/>
  <c r="H612" i="1" a="1"/>
  <c r="H612" i="1" s="1"/>
  <c r="J612" i="14" s="1"/>
  <c r="L612" i="1" a="1"/>
  <c r="L612" i="1" s="1"/>
  <c r="Q612" i="1" a="1"/>
  <c r="Q612" i="1" s="1"/>
  <c r="S612" i="14" s="1"/>
  <c r="D613" i="1" a="1"/>
  <c r="D613" i="1" s="1"/>
  <c r="I613" i="14" s="1"/>
  <c r="H613" i="1" a="1"/>
  <c r="H613" i="1" s="1"/>
  <c r="J613" i="14" s="1"/>
  <c r="L613" i="1" a="1"/>
  <c r="L613" i="1" s="1"/>
  <c r="C614" i="1" a="1"/>
  <c r="C614" i="1" s="1"/>
  <c r="E614" i="14" s="1"/>
  <c r="G614" i="1" a="1"/>
  <c r="G614" i="1" s="1"/>
  <c r="K614" i="1" a="1"/>
  <c r="K614" i="1" s="1"/>
  <c r="P614" i="1" a="1"/>
  <c r="P614" i="1" s="1"/>
  <c r="C615" i="1" a="1"/>
  <c r="C615" i="1" s="1"/>
  <c r="E615" i="14" s="1"/>
  <c r="G615" i="1" a="1"/>
  <c r="G615" i="1" s="1"/>
  <c r="K615" i="1" a="1"/>
  <c r="K615" i="1" s="1"/>
  <c r="O615" i="1"/>
  <c r="M615" i="14" s="1"/>
  <c r="L616" i="1" a="1"/>
  <c r="L616" i="1" s="1"/>
  <c r="P616" i="1" a="1"/>
  <c r="P616" i="1" s="1"/>
  <c r="F617" i="1" a="1"/>
  <c r="F617" i="1" s="1"/>
  <c r="R617" i="14" s="1"/>
  <c r="M617" i="1" a="1"/>
  <c r="M617" i="1" s="1"/>
  <c r="M618" i="1" a="1"/>
  <c r="M618" i="1" s="1"/>
  <c r="Q618" i="1" a="1"/>
  <c r="Q618" i="1" s="1"/>
  <c r="S618" i="14" s="1"/>
  <c r="C619" i="1" a="1"/>
  <c r="C619" i="1" s="1"/>
  <c r="E619" i="14" s="1"/>
  <c r="F619" i="1" a="1"/>
  <c r="F619" i="1" s="1"/>
  <c r="R619" i="14" s="1"/>
  <c r="M619" i="1" a="1"/>
  <c r="M619" i="1" s="1"/>
  <c r="L620" i="1" a="1"/>
  <c r="L620" i="1" s="1"/>
  <c r="Q620" i="1" a="1"/>
  <c r="Q620" i="1" s="1"/>
  <c r="S620" i="14" s="1"/>
  <c r="D621" i="1" a="1"/>
  <c r="D621" i="1" s="1"/>
  <c r="I621" i="14" s="1"/>
  <c r="G621" i="1" a="1"/>
  <c r="G621" i="1" s="1"/>
  <c r="K621" i="1" a="1"/>
  <c r="K621" i="1" s="1"/>
  <c r="P621" i="1" a="1"/>
  <c r="P621" i="1" s="1"/>
  <c r="F622" i="1" a="1"/>
  <c r="F622" i="1" s="1"/>
  <c r="R622" i="14" s="1"/>
  <c r="J622" i="1" a="1"/>
  <c r="J622" i="1" s="1"/>
  <c r="O622" i="1"/>
  <c r="M622" i="14" s="1"/>
  <c r="F623" i="1" a="1"/>
  <c r="F623" i="1" s="1"/>
  <c r="R623" i="14" s="1"/>
  <c r="J623" i="1" a="1"/>
  <c r="J623" i="1" s="1"/>
  <c r="M623" i="1" a="1"/>
  <c r="M623" i="1" s="1"/>
  <c r="L624" i="1" a="1"/>
  <c r="L624" i="1" s="1"/>
  <c r="Q624" i="1" a="1"/>
  <c r="Q624" i="1" s="1"/>
  <c r="S624" i="14" s="1"/>
  <c r="D625" i="1" a="1"/>
  <c r="D625" i="1" s="1"/>
  <c r="I625" i="14" s="1"/>
  <c r="G625" i="1" a="1"/>
  <c r="G625" i="1" s="1"/>
  <c r="J625" i="1" a="1"/>
  <c r="J625" i="1" s="1"/>
  <c r="M625" i="1" a="1"/>
  <c r="M625" i="1" s="1"/>
  <c r="D626" i="1" a="1"/>
  <c r="D626" i="1" s="1"/>
  <c r="I626" i="14" s="1"/>
  <c r="O626" i="1"/>
  <c r="M626" i="14" s="1"/>
  <c r="D627" i="1" a="1"/>
  <c r="D627" i="1" s="1"/>
  <c r="I627" i="14" s="1"/>
  <c r="G627" i="1" a="1"/>
  <c r="G627" i="1" s="1"/>
  <c r="K627" i="1" a="1"/>
  <c r="K627" i="1" s="1"/>
  <c r="P627" i="1" a="1"/>
  <c r="P627" i="1" s="1"/>
  <c r="C628" i="1" a="1"/>
  <c r="C628" i="1" s="1"/>
  <c r="E628" i="14" s="1"/>
  <c r="G628" i="1" a="1"/>
  <c r="G628" i="1" s="1"/>
  <c r="J628" i="1" a="1"/>
  <c r="J628" i="1" s="1"/>
  <c r="O628" i="1"/>
  <c r="M628" i="14" s="1"/>
  <c r="F629" i="1" a="1"/>
  <c r="F629" i="1" s="1"/>
  <c r="R629" i="14" s="1"/>
  <c r="M629" i="1" a="1"/>
  <c r="M629" i="1" s="1"/>
  <c r="D630" i="1" a="1"/>
  <c r="D630" i="1" s="1"/>
  <c r="I630" i="14" s="1"/>
  <c r="O630" i="1"/>
  <c r="M630" i="14" s="1"/>
  <c r="F631" i="1" a="1"/>
  <c r="F631" i="1" s="1"/>
  <c r="R631" i="14" s="1"/>
  <c r="J631" i="1" a="1"/>
  <c r="J631" i="1" s="1"/>
  <c r="M631" i="1" a="1"/>
  <c r="M631" i="1" s="1"/>
  <c r="M632" i="1" a="1"/>
  <c r="M632" i="1" s="1"/>
  <c r="M633" i="1" a="1"/>
  <c r="M633" i="1" s="1"/>
  <c r="M634" i="1" a="1"/>
  <c r="M634" i="1" s="1"/>
  <c r="M635" i="1" a="1"/>
  <c r="M635" i="1" s="1"/>
  <c r="L636" i="1" a="1"/>
  <c r="L636" i="1" s="1"/>
  <c r="C637" i="1" a="1"/>
  <c r="C637" i="1" s="1"/>
  <c r="E637" i="14" s="1"/>
  <c r="G637" i="1" a="1"/>
  <c r="G637" i="1" s="1"/>
  <c r="K637" i="1" a="1"/>
  <c r="K637" i="1" s="1"/>
  <c r="O637" i="1"/>
  <c r="M637" i="14" s="1"/>
  <c r="F638" i="1" a="1"/>
  <c r="F638" i="1" s="1"/>
  <c r="R638" i="14" s="1"/>
  <c r="J638" i="1" a="1"/>
  <c r="J638" i="1" s="1"/>
  <c r="O638" i="1"/>
  <c r="M638" i="14" s="1"/>
  <c r="D639" i="1" a="1"/>
  <c r="D639" i="1" s="1"/>
  <c r="I639" i="14" s="1"/>
  <c r="H639" i="1" a="1"/>
  <c r="H639" i="1" s="1"/>
  <c r="J639" i="14" s="1"/>
  <c r="K639" i="1" a="1"/>
  <c r="K639" i="1" s="1"/>
  <c r="P639" i="1" a="1"/>
  <c r="P639" i="1" s="1"/>
  <c r="F640" i="1" a="1"/>
  <c r="F640" i="1" s="1"/>
  <c r="R640" i="14" s="1"/>
  <c r="M640" i="1" a="1"/>
  <c r="M640" i="1" s="1"/>
  <c r="H641" i="1" a="1"/>
  <c r="H641" i="1" s="1"/>
  <c r="J641" i="14" s="1"/>
  <c r="L641" i="1" a="1"/>
  <c r="L641" i="1" s="1"/>
  <c r="Q641" i="1" a="1"/>
  <c r="Q641" i="1" s="1"/>
  <c r="S641" i="14" s="1"/>
  <c r="D642" i="1" a="1"/>
  <c r="D642" i="1" s="1"/>
  <c r="I642" i="14" s="1"/>
  <c r="H642" i="1" a="1"/>
  <c r="H642" i="1" s="1"/>
  <c r="J642" i="14" s="1"/>
  <c r="L642" i="1" a="1"/>
  <c r="L642" i="1" s="1"/>
  <c r="Q642" i="1" a="1"/>
  <c r="Q642" i="1" s="1"/>
  <c r="S642" i="14" s="1"/>
  <c r="D643" i="1" a="1"/>
  <c r="D643" i="1" s="1"/>
  <c r="I643" i="14" s="1"/>
  <c r="H643" i="1" a="1"/>
  <c r="H643" i="1" s="1"/>
  <c r="J643" i="14" s="1"/>
  <c r="L643" i="1" a="1"/>
  <c r="L643" i="1" s="1"/>
  <c r="P643" i="1" a="1"/>
  <c r="P643" i="1" s="1"/>
  <c r="C644" i="1" a="1"/>
  <c r="C644" i="1" s="1"/>
  <c r="E644" i="14" s="1"/>
  <c r="J644" i="1" a="1"/>
  <c r="J644" i="1" s="1"/>
  <c r="M644" i="1" a="1"/>
  <c r="M644" i="1" s="1"/>
  <c r="H645" i="1" a="1"/>
  <c r="H645" i="1" s="1"/>
  <c r="J645" i="14" s="1"/>
  <c r="L645" i="1" a="1"/>
  <c r="L645" i="1" s="1"/>
  <c r="Q645" i="1" a="1"/>
  <c r="Q645" i="1" s="1"/>
  <c r="S645" i="14" s="1"/>
  <c r="D646" i="1" a="1"/>
  <c r="D646" i="1" s="1"/>
  <c r="I646" i="14" s="1"/>
  <c r="H646" i="1" a="1"/>
  <c r="H646" i="1" s="1"/>
  <c r="J646" i="14" s="1"/>
  <c r="L646" i="1" a="1"/>
  <c r="L646" i="1" s="1"/>
  <c r="Q646" i="1" a="1"/>
  <c r="Q646" i="1" s="1"/>
  <c r="S646" i="14" s="1"/>
  <c r="C647" i="1" a="1"/>
  <c r="C647" i="1" s="1"/>
  <c r="E647" i="14" s="1"/>
  <c r="F647" i="1" a="1"/>
  <c r="F647" i="1" s="1"/>
  <c r="R647" i="14" s="1"/>
  <c r="J647" i="1" a="1"/>
  <c r="J647" i="1" s="1"/>
  <c r="M647" i="1" a="1"/>
  <c r="M647" i="1" s="1"/>
  <c r="L648" i="1" a="1"/>
  <c r="L648" i="1" s="1"/>
  <c r="Q648" i="1" a="1"/>
  <c r="Q648" i="1" s="1"/>
  <c r="S648" i="14" s="1"/>
  <c r="D649" i="1" a="1"/>
  <c r="D649" i="1" s="1"/>
  <c r="I649" i="14" s="1"/>
  <c r="G649" i="1" a="1"/>
  <c r="G649" i="1" s="1"/>
  <c r="K649" i="1" a="1"/>
  <c r="K649" i="1" s="1"/>
  <c r="L649" i="14" s="1"/>
  <c r="O649" i="1"/>
  <c r="M649" i="14" s="1"/>
  <c r="F650" i="1" a="1"/>
  <c r="F650" i="1" s="1"/>
  <c r="R650" i="14" s="1"/>
  <c r="M650" i="1" a="1"/>
  <c r="M650" i="1" s="1"/>
  <c r="M651" i="1" a="1"/>
  <c r="M651" i="1" s="1"/>
  <c r="J652" i="1" a="1"/>
  <c r="J652" i="1" s="1"/>
  <c r="O652" i="1"/>
  <c r="M652" i="14" s="1"/>
  <c r="F653" i="1" a="1"/>
  <c r="F653" i="1" s="1"/>
  <c r="R653" i="14" s="1"/>
  <c r="J653" i="1" a="1"/>
  <c r="J653" i="1" s="1"/>
  <c r="M653" i="1" a="1"/>
  <c r="M653" i="1" s="1"/>
  <c r="M654" i="1" a="1"/>
  <c r="M654" i="1" s="1"/>
  <c r="Q655" i="1" a="1"/>
  <c r="Q655" i="1" s="1"/>
  <c r="S655" i="14" s="1"/>
  <c r="D656" i="1" a="1"/>
  <c r="D656" i="1" s="1"/>
  <c r="I656" i="14" s="1"/>
  <c r="H656" i="1" a="1"/>
  <c r="H656" i="1" s="1"/>
  <c r="J656" i="14" s="1"/>
  <c r="K656" i="1" a="1"/>
  <c r="K656" i="1" s="1"/>
  <c r="P656" i="1" a="1"/>
  <c r="P656" i="1" s="1"/>
  <c r="C657" i="1" a="1"/>
  <c r="C657" i="1" s="1"/>
  <c r="E657" i="14" s="1"/>
  <c r="G657" i="1" a="1"/>
  <c r="G657" i="1" s="1"/>
  <c r="K657" i="1" a="1"/>
  <c r="K657" i="1" s="1"/>
  <c r="P657" i="1" a="1"/>
  <c r="P657" i="1" s="1"/>
  <c r="C658" i="1" a="1"/>
  <c r="C658" i="1" s="1"/>
  <c r="E658" i="14" s="1"/>
  <c r="G658" i="1" a="1"/>
  <c r="G658" i="1" s="1"/>
  <c r="K658" i="1" a="1"/>
  <c r="K658" i="1" s="1"/>
  <c r="P658" i="1" a="1"/>
  <c r="P658" i="1" s="1"/>
  <c r="C659" i="1" a="1"/>
  <c r="C659" i="1" s="1"/>
  <c r="E659" i="14" s="1"/>
  <c r="G659" i="1" a="1"/>
  <c r="G659" i="1" s="1"/>
  <c r="J659" i="1" a="1"/>
  <c r="J659" i="1" s="1"/>
  <c r="M659" i="1" a="1"/>
  <c r="M659" i="1" s="1"/>
  <c r="M660" i="1" a="1"/>
  <c r="M660" i="1" s="1"/>
  <c r="L661" i="1" a="1"/>
  <c r="L661" i="1" s="1"/>
  <c r="Q661" i="1" a="1"/>
  <c r="Q661" i="1" s="1"/>
  <c r="S661" i="14" s="1"/>
  <c r="D662" i="1" a="1"/>
  <c r="D662" i="1" s="1"/>
  <c r="I662" i="14" s="1"/>
  <c r="K662" i="1" a="1"/>
  <c r="K662" i="1" s="1"/>
  <c r="P662" i="1" a="1"/>
  <c r="P662" i="1" s="1"/>
  <c r="C663" i="1" a="1"/>
  <c r="C663" i="1" s="1"/>
  <c r="E663" i="14" s="1"/>
  <c r="G663" i="1" a="1"/>
  <c r="G663" i="1" s="1"/>
  <c r="K663" i="1" a="1"/>
  <c r="K663" i="1" s="1"/>
  <c r="P663" i="1" a="1"/>
  <c r="P663" i="1" s="1"/>
  <c r="C664" i="1" a="1"/>
  <c r="C664" i="1" s="1"/>
  <c r="E664" i="14" s="1"/>
  <c r="G664" i="1" a="1"/>
  <c r="G664" i="1" s="1"/>
  <c r="J664" i="1" a="1"/>
  <c r="J664" i="1" s="1"/>
  <c r="O664" i="1"/>
  <c r="M664" i="14" s="1"/>
  <c r="M665" i="1" a="1"/>
  <c r="M665" i="1" s="1"/>
  <c r="M666" i="1" a="1"/>
  <c r="M666" i="1" s="1"/>
  <c r="G667" i="1" a="1"/>
  <c r="G667" i="1" s="1"/>
  <c r="M667" i="1" a="1"/>
  <c r="M667" i="1" s="1"/>
  <c r="D668" i="1" a="1"/>
  <c r="D668" i="1" s="1"/>
  <c r="I668" i="14" s="1"/>
  <c r="G668" i="1" a="1"/>
  <c r="G668" i="1" s="1"/>
  <c r="K668" i="1" a="1"/>
  <c r="K668" i="1" s="1"/>
  <c r="P668" i="1" a="1"/>
  <c r="P668" i="1" s="1"/>
  <c r="C669" i="1" a="1"/>
  <c r="C669" i="1" s="1"/>
  <c r="E669" i="14" s="1"/>
  <c r="G669" i="1" a="1"/>
  <c r="G669" i="1" s="1"/>
  <c r="K669" i="1" a="1"/>
  <c r="K669" i="1" s="1"/>
  <c r="P669" i="1" a="1"/>
  <c r="P669" i="1" s="1"/>
  <c r="C670" i="1" a="1"/>
  <c r="C670" i="1" s="1"/>
  <c r="E670" i="14" s="1"/>
  <c r="G670" i="1" a="1"/>
  <c r="G670" i="1" s="1"/>
  <c r="K670" i="1" a="1"/>
  <c r="K670" i="1" s="1"/>
  <c r="P670" i="1" a="1"/>
  <c r="P670" i="1" s="1"/>
  <c r="C671" i="1" a="1"/>
  <c r="C671" i="1" s="1"/>
  <c r="E671" i="14" s="1"/>
  <c r="G671" i="1" a="1"/>
  <c r="G671" i="1" s="1"/>
  <c r="K671" i="1" a="1"/>
  <c r="K671" i="1" s="1"/>
  <c r="P671" i="1" a="1"/>
  <c r="P671" i="1" s="1"/>
  <c r="C672" i="1" a="1"/>
  <c r="C672" i="1" s="1"/>
  <c r="E672" i="14" s="1"/>
  <c r="G672" i="1" a="1"/>
  <c r="G672" i="1" s="1"/>
  <c r="K672" i="1" a="1"/>
  <c r="K672" i="1" s="1"/>
  <c r="P672" i="1" a="1"/>
  <c r="P672" i="1" s="1"/>
  <c r="C673" i="1" a="1"/>
  <c r="C673" i="1" s="1"/>
  <c r="E673" i="14" s="1"/>
  <c r="F673" i="1" a="1"/>
  <c r="F673" i="1" s="1"/>
  <c r="R673" i="14" s="1"/>
  <c r="J673" i="1" a="1"/>
  <c r="J673" i="1" s="1"/>
  <c r="M673" i="1" a="1"/>
  <c r="M673" i="1" s="1"/>
  <c r="M674" i="1" a="1"/>
  <c r="M674" i="1" s="1"/>
  <c r="G675" i="1" a="1"/>
  <c r="G675" i="1" s="1"/>
  <c r="O675" i="1"/>
  <c r="M675" i="14" s="1"/>
  <c r="F676" i="1" a="1"/>
  <c r="F676" i="1" s="1"/>
  <c r="R676" i="14" s="1"/>
  <c r="M676" i="1" a="1"/>
  <c r="M676" i="1" s="1"/>
  <c r="M677" i="1" a="1"/>
  <c r="M677" i="1" s="1"/>
  <c r="Q677" i="1" a="1"/>
  <c r="Q677" i="1" s="1"/>
  <c r="S677" i="14" s="1"/>
  <c r="D678" i="1" a="1"/>
  <c r="D678" i="1" s="1"/>
  <c r="I678" i="14" s="1"/>
  <c r="H678" i="1" a="1"/>
  <c r="H678" i="1" s="1"/>
  <c r="J678" i="14" s="1"/>
  <c r="L678" i="1" a="1"/>
  <c r="L678" i="1" s="1"/>
  <c r="Q678" i="1" a="1"/>
  <c r="Q678" i="1" s="1"/>
  <c r="S678" i="14" s="1"/>
  <c r="D679" i="1" a="1"/>
  <c r="D679" i="1" s="1"/>
  <c r="I679" i="14" s="1"/>
  <c r="H679" i="1" a="1"/>
  <c r="H679" i="1" s="1"/>
  <c r="J679" i="14" s="1"/>
  <c r="L679" i="1" a="1"/>
  <c r="L679" i="1" s="1"/>
  <c r="P679" i="1" a="1"/>
  <c r="P679" i="1" s="1"/>
  <c r="C680" i="1" a="1"/>
  <c r="C680" i="1" s="1"/>
  <c r="E680" i="14" s="1"/>
  <c r="G680" i="1" a="1"/>
  <c r="G680" i="1" s="1"/>
  <c r="K680" i="1" a="1"/>
  <c r="K680" i="1" s="1"/>
  <c r="P680" i="1" a="1"/>
  <c r="P680" i="1" s="1"/>
  <c r="C681" i="1" a="1"/>
  <c r="C681" i="1" s="1"/>
  <c r="E681" i="14" s="1"/>
  <c r="F681" i="1" a="1"/>
  <c r="F681" i="1" s="1"/>
  <c r="R681" i="14" s="1"/>
  <c r="J681" i="1" a="1"/>
  <c r="J681" i="1" s="1"/>
  <c r="M681" i="1" a="1"/>
  <c r="M681" i="1" s="1"/>
  <c r="H682" i="1" a="1"/>
  <c r="H682" i="1" s="1"/>
  <c r="J682" i="14" s="1"/>
  <c r="L682" i="1" a="1"/>
  <c r="L682" i="1" s="1"/>
  <c r="Q682" i="1" a="1"/>
  <c r="Q682" i="1" s="1"/>
  <c r="S682" i="14" s="1"/>
  <c r="D683" i="1" a="1"/>
  <c r="D683" i="1" s="1"/>
  <c r="I683" i="14" s="1"/>
  <c r="H683" i="1" a="1"/>
  <c r="H683" i="1" s="1"/>
  <c r="J683" i="14" s="1"/>
  <c r="L683" i="1" a="1"/>
  <c r="L683" i="1" s="1"/>
  <c r="Q683" i="1" a="1"/>
  <c r="Q683" i="1" s="1"/>
  <c r="S683" i="14" s="1"/>
  <c r="D684" i="1" a="1"/>
  <c r="D684" i="1" s="1"/>
  <c r="I684" i="14" s="1"/>
  <c r="G684" i="1" a="1"/>
  <c r="G684" i="1" s="1"/>
  <c r="K684" i="1" a="1"/>
  <c r="K684" i="1" s="1"/>
  <c r="P684" i="1" a="1"/>
  <c r="P684" i="1" s="1"/>
  <c r="C685" i="1" a="1"/>
  <c r="C685" i="1" s="1"/>
  <c r="E685" i="14" s="1"/>
  <c r="G685" i="1" a="1"/>
  <c r="G685" i="1" s="1"/>
  <c r="K685" i="1" a="1"/>
  <c r="K685" i="1" s="1"/>
  <c r="O685" i="1"/>
  <c r="M685" i="14" s="1"/>
  <c r="F686" i="1" a="1"/>
  <c r="F686" i="1" s="1"/>
  <c r="R686" i="14" s="1"/>
  <c r="J686" i="1" a="1"/>
  <c r="J686" i="1" s="1"/>
  <c r="O686" i="1"/>
  <c r="M686" i="14" s="1"/>
  <c r="F687" i="1" a="1"/>
  <c r="F687" i="1" s="1"/>
  <c r="R687" i="14" s="1"/>
  <c r="J687" i="1" a="1"/>
  <c r="J687" i="1" s="1"/>
  <c r="M687" i="1" a="1"/>
  <c r="M687" i="1" s="1"/>
  <c r="L688" i="1" a="1"/>
  <c r="L688" i="1" s="1"/>
  <c r="C689" i="1" a="1"/>
  <c r="C689" i="1" s="1"/>
  <c r="E689" i="14" s="1"/>
  <c r="G689" i="1" a="1"/>
  <c r="G689" i="1" s="1"/>
  <c r="K689" i="1" a="1"/>
  <c r="K689" i="1" s="1"/>
  <c r="P689" i="1" a="1"/>
  <c r="P689" i="1" s="1"/>
  <c r="C690" i="1" a="1"/>
  <c r="C690" i="1" s="1"/>
  <c r="E690" i="14" s="1"/>
  <c r="G690" i="1" a="1"/>
  <c r="G690" i="1" s="1"/>
  <c r="J690" i="1" a="1"/>
  <c r="J690" i="1" s="1"/>
  <c r="O690" i="1"/>
  <c r="M690" i="14" s="1"/>
  <c r="F691" i="1" a="1"/>
  <c r="F691" i="1" s="1"/>
  <c r="R691" i="14" s="1"/>
  <c r="J691" i="1" a="1"/>
  <c r="J691" i="1" s="1"/>
  <c r="O691" i="1"/>
  <c r="M691" i="14" s="1"/>
  <c r="F692" i="1" a="1"/>
  <c r="F692" i="1" s="1"/>
  <c r="R692" i="14" s="1"/>
  <c r="J692" i="1" a="1"/>
  <c r="J692" i="1" s="1"/>
  <c r="O692" i="1"/>
  <c r="M692" i="14" s="1"/>
  <c r="F693" i="1" a="1"/>
  <c r="F693" i="1" s="1"/>
  <c r="R693" i="14" s="1"/>
  <c r="J693" i="1" a="1"/>
  <c r="J693" i="1" s="1"/>
  <c r="O693" i="1"/>
  <c r="M693" i="14" s="1"/>
  <c r="F694" i="1" a="1"/>
  <c r="F694" i="1" s="1"/>
  <c r="R694" i="14" s="1"/>
  <c r="J694" i="1" a="1"/>
  <c r="J694" i="1" s="1"/>
  <c r="O694" i="1"/>
  <c r="M694" i="14" s="1"/>
  <c r="F695" i="1" a="1"/>
  <c r="F695" i="1" s="1"/>
  <c r="R695" i="14" s="1"/>
  <c r="J695" i="1" a="1"/>
  <c r="J695" i="1" s="1"/>
  <c r="O695" i="1"/>
  <c r="M695" i="14" s="1"/>
  <c r="F696" i="1" a="1"/>
  <c r="F696" i="1" s="1"/>
  <c r="R696" i="14" s="1"/>
  <c r="M696" i="1" a="1"/>
  <c r="M696" i="1" s="1"/>
  <c r="Q696" i="1" a="1"/>
  <c r="Q696" i="1" s="1"/>
  <c r="S696" i="14" s="1"/>
  <c r="D697" i="1" a="1"/>
  <c r="D697" i="1" s="1"/>
  <c r="I697" i="14" s="1"/>
  <c r="H697" i="1" a="1"/>
  <c r="H697" i="1" s="1"/>
  <c r="J697" i="14" s="1"/>
  <c r="L697" i="1" a="1"/>
  <c r="L697" i="1" s="1"/>
  <c r="Q697" i="1" a="1"/>
  <c r="Q697" i="1" s="1"/>
  <c r="S697" i="14" s="1"/>
  <c r="D698" i="1" a="1"/>
  <c r="D698" i="1" s="1"/>
  <c r="I698" i="14" s="1"/>
  <c r="H698" i="1" a="1"/>
  <c r="H698" i="1" s="1"/>
  <c r="J698" i="14" s="1"/>
  <c r="L698" i="1" a="1"/>
  <c r="L698" i="1" s="1"/>
  <c r="Q698" i="1" a="1"/>
  <c r="Q698" i="1" s="1"/>
  <c r="S698" i="14" s="1"/>
  <c r="C699" i="1" a="1"/>
  <c r="C699" i="1" s="1"/>
  <c r="E699" i="14" s="1"/>
  <c r="F699" i="1" a="1"/>
  <c r="F699" i="1" s="1"/>
  <c r="R699" i="14" s="1"/>
  <c r="J699" i="1" a="1"/>
  <c r="J699" i="1" s="1"/>
  <c r="M699" i="1" a="1"/>
  <c r="M699" i="1" s="1"/>
  <c r="D700" i="1" a="1"/>
  <c r="D700" i="1" s="1"/>
  <c r="I700" i="14" s="1"/>
  <c r="H700" i="1" a="1"/>
  <c r="H700" i="1" s="1"/>
  <c r="J700" i="14" s="1"/>
  <c r="K700" i="1" a="1"/>
  <c r="K700" i="1" s="1"/>
  <c r="P700" i="1" a="1"/>
  <c r="P700" i="1" s="1"/>
  <c r="F701" i="1" a="1"/>
  <c r="F701" i="1" s="1"/>
  <c r="R701" i="14" s="1"/>
  <c r="J701" i="1" a="1"/>
  <c r="J701" i="1" s="1"/>
  <c r="O701" i="1"/>
  <c r="M701" i="14" s="1"/>
  <c r="F702" i="1" a="1"/>
  <c r="F702" i="1" s="1"/>
  <c r="R702" i="14" s="1"/>
  <c r="M702" i="1" a="1"/>
  <c r="M702" i="1" s="1"/>
  <c r="M703" i="1" a="1"/>
  <c r="M703" i="1" s="1"/>
  <c r="Q703" i="1" a="1"/>
  <c r="Q703" i="1" s="1"/>
  <c r="S703" i="14" s="1"/>
  <c r="C704" i="1" a="1"/>
  <c r="C704" i="1" s="1"/>
  <c r="E704" i="14" s="1"/>
  <c r="G704" i="1" a="1"/>
  <c r="G704" i="1" s="1"/>
  <c r="J704" i="1" a="1"/>
  <c r="J704" i="1" s="1"/>
  <c r="O704" i="1"/>
  <c r="M704" i="14" s="1"/>
  <c r="F705" i="1" a="1"/>
  <c r="F705" i="1" s="1"/>
  <c r="R705" i="14" s="1"/>
  <c r="J705" i="1" a="1"/>
  <c r="J705" i="1" s="1"/>
  <c r="F688" i="1" a="1"/>
  <c r="F688" i="1" s="1"/>
  <c r="R688" i="14" s="1"/>
  <c r="H689" i="1" a="1"/>
  <c r="H689" i="1" s="1"/>
  <c r="J689" i="14" s="1"/>
  <c r="P690" i="1" a="1"/>
  <c r="P690" i="1" s="1"/>
  <c r="M691" i="1" a="1"/>
  <c r="M691" i="1" s="1"/>
  <c r="C692" i="1" a="1"/>
  <c r="C692" i="1" s="1"/>
  <c r="E692" i="14" s="1"/>
  <c r="K692" i="1" a="1"/>
  <c r="K692" i="1" s="1"/>
  <c r="G694" i="1" a="1"/>
  <c r="G694" i="1" s="1"/>
  <c r="P694" i="1" a="1"/>
  <c r="P694" i="1" s="1"/>
  <c r="M695" i="1" a="1"/>
  <c r="M695" i="1" s="1"/>
  <c r="C696" i="1" a="1"/>
  <c r="C696" i="1" s="1"/>
  <c r="E696" i="14" s="1"/>
  <c r="J697" i="1" a="1"/>
  <c r="J697" i="1" s="1"/>
  <c r="P697" i="1" a="1"/>
  <c r="P697" i="1" s="1"/>
  <c r="J698" i="1" a="1"/>
  <c r="J698" i="1" s="1"/>
  <c r="P698" i="1" a="1"/>
  <c r="P698" i="1" s="1"/>
  <c r="H699" i="1" a="1"/>
  <c r="H699" i="1" s="1"/>
  <c r="J699" i="14" s="1"/>
  <c r="L699" i="1" a="1"/>
  <c r="L699" i="1" s="1"/>
  <c r="F700" i="1" a="1"/>
  <c r="F700" i="1" s="1"/>
  <c r="R700" i="14" s="1"/>
  <c r="J700" i="1" a="1"/>
  <c r="J700" i="1" s="1"/>
  <c r="C701" i="1" a="1"/>
  <c r="C701" i="1" s="1"/>
  <c r="E701" i="14" s="1"/>
  <c r="H701" i="1" a="1"/>
  <c r="H701" i="1" s="1"/>
  <c r="J701" i="14" s="1"/>
  <c r="M701" i="1" a="1"/>
  <c r="M701" i="1" s="1"/>
  <c r="G702" i="1" a="1"/>
  <c r="G702" i="1" s="1"/>
  <c r="J702" i="1" a="1"/>
  <c r="J702" i="1" s="1"/>
  <c r="P702" i="1" a="1"/>
  <c r="P702" i="1" s="1"/>
  <c r="C703" i="1" a="1"/>
  <c r="C703" i="1" s="1"/>
  <c r="E703" i="14" s="1"/>
  <c r="G703" i="1" a="1"/>
  <c r="G703" i="1" s="1"/>
  <c r="K703" i="1" a="1"/>
  <c r="K703" i="1" s="1"/>
  <c r="P703" i="1" a="1"/>
  <c r="P703" i="1" s="1"/>
  <c r="D704" i="1" a="1"/>
  <c r="D704" i="1" s="1"/>
  <c r="I704" i="14" s="1"/>
  <c r="H704" i="1" a="1"/>
  <c r="H704" i="1" s="1"/>
  <c r="J704" i="14" s="1"/>
  <c r="M704" i="1" a="1"/>
  <c r="M704" i="1" s="1"/>
  <c r="G705" i="1" a="1"/>
  <c r="G705" i="1" s="1"/>
  <c r="L705" i="1" a="1"/>
  <c r="L705" i="1" s="1"/>
  <c r="Q705" i="1" a="1"/>
  <c r="Q705" i="1" s="1"/>
  <c r="S705" i="14" s="1"/>
  <c r="D706" i="1" a="1"/>
  <c r="D706" i="1" s="1"/>
  <c r="I706" i="14" s="1"/>
  <c r="H706" i="1" a="1"/>
  <c r="H706" i="1" s="1"/>
  <c r="J706" i="14" s="1"/>
  <c r="L706" i="1" a="1"/>
  <c r="L706" i="1" s="1"/>
  <c r="Q706" i="1" a="1"/>
  <c r="Q706" i="1" s="1"/>
  <c r="S706" i="14" s="1"/>
  <c r="D707" i="1" a="1"/>
  <c r="D707" i="1" s="1"/>
  <c r="I707" i="14" s="1"/>
  <c r="G707" i="1" a="1"/>
  <c r="G707" i="1" s="1"/>
  <c r="K707" i="1" a="1"/>
  <c r="K707" i="1" s="1"/>
  <c r="P707" i="1" a="1"/>
  <c r="P707" i="1" s="1"/>
  <c r="C708" i="1" a="1"/>
  <c r="C708" i="1" s="1"/>
  <c r="E708" i="14" s="1"/>
  <c r="G708" i="1" a="1"/>
  <c r="G708" i="1" s="1"/>
  <c r="K708" i="1" a="1"/>
  <c r="K708" i="1" s="1"/>
  <c r="P708" i="1" a="1"/>
  <c r="P708" i="1" s="1"/>
  <c r="C709" i="1" a="1"/>
  <c r="C709" i="1" s="1"/>
  <c r="E709" i="14" s="1"/>
  <c r="G709" i="1" a="1"/>
  <c r="G709" i="1" s="1"/>
  <c r="K709" i="1" a="1"/>
  <c r="K709" i="1" s="1"/>
  <c r="P709" i="1" a="1"/>
  <c r="P709" i="1" s="1"/>
  <c r="C710" i="1" a="1"/>
  <c r="C710" i="1" s="1"/>
  <c r="E710" i="14" s="1"/>
  <c r="G710" i="1" a="1"/>
  <c r="G710" i="1" s="1"/>
  <c r="K710" i="1" a="1"/>
  <c r="K710" i="1" s="1"/>
  <c r="P710" i="1" a="1"/>
  <c r="P710" i="1" s="1"/>
  <c r="C711" i="1" a="1"/>
  <c r="C711" i="1" s="1"/>
  <c r="E711" i="14" s="1"/>
  <c r="G711" i="1" a="1"/>
  <c r="G711" i="1" s="1"/>
  <c r="K711" i="1" a="1"/>
  <c r="K711" i="1" s="1"/>
  <c r="P711" i="1" a="1"/>
  <c r="P711" i="1" s="1"/>
  <c r="F712" i="1" a="1"/>
  <c r="F712" i="1" s="1"/>
  <c r="R712" i="14" s="1"/>
  <c r="J712" i="1" a="1"/>
  <c r="J712" i="1" s="1"/>
  <c r="M712" i="1" a="1"/>
  <c r="M712" i="1" s="1"/>
  <c r="Q712" i="1" a="1"/>
  <c r="Q712" i="1" s="1"/>
  <c r="S712" i="14" s="1"/>
  <c r="C713" i="1" a="1"/>
  <c r="C713" i="1" s="1"/>
  <c r="E713" i="14" s="1"/>
  <c r="G713" i="1" a="1"/>
  <c r="G713" i="1" s="1"/>
  <c r="J713" i="1" a="1"/>
  <c r="J713" i="1" s="1"/>
  <c r="M713" i="1" a="1"/>
  <c r="M713" i="1" s="1"/>
  <c r="J714" i="1" a="1"/>
  <c r="J714" i="1" s="1"/>
  <c r="M714" i="1" a="1"/>
  <c r="M714" i="1" s="1"/>
  <c r="Q714" i="1" a="1"/>
  <c r="Q714" i="1" s="1"/>
  <c r="S714" i="14" s="1"/>
  <c r="D715" i="1" a="1"/>
  <c r="D715" i="1" s="1"/>
  <c r="I715" i="14" s="1"/>
  <c r="H715" i="1" a="1"/>
  <c r="H715" i="1" s="1"/>
  <c r="J715" i="14" s="1"/>
  <c r="L715" i="1" a="1"/>
  <c r="L715" i="1" s="1"/>
  <c r="P715" i="1" a="1"/>
  <c r="P715" i="1" s="1"/>
  <c r="F716" i="1" a="1"/>
  <c r="F716" i="1" s="1"/>
  <c r="R716" i="14" s="1"/>
  <c r="J716" i="1" a="1"/>
  <c r="J716" i="1" s="1"/>
  <c r="O716" i="1"/>
  <c r="M716" i="14" s="1"/>
  <c r="F717" i="1" a="1"/>
  <c r="F717" i="1" s="1"/>
  <c r="R717" i="14" s="1"/>
  <c r="J717" i="1" a="1"/>
  <c r="J717" i="1" s="1"/>
  <c r="O717" i="1"/>
  <c r="M717" i="14" s="1"/>
  <c r="F718" i="1" a="1"/>
  <c r="F718" i="1" s="1"/>
  <c r="R718" i="14" s="1"/>
  <c r="J718" i="1" a="1"/>
  <c r="J718" i="1" s="1"/>
  <c r="M718" i="1" a="1"/>
  <c r="M718" i="1" s="1"/>
  <c r="M719" i="1" a="1"/>
  <c r="M719" i="1" s="1"/>
  <c r="K720" i="1" a="1"/>
  <c r="K720" i="1" s="1"/>
  <c r="G721" i="1" a="1"/>
  <c r="G721" i="1" s="1"/>
  <c r="J721" i="1" a="1"/>
  <c r="J721" i="1" s="1"/>
  <c r="Q721" i="1" a="1"/>
  <c r="Q721" i="1" s="1"/>
  <c r="S721" i="14" s="1"/>
  <c r="C722" i="1" a="1"/>
  <c r="C722" i="1" s="1"/>
  <c r="E722" i="14" s="1"/>
  <c r="F722" i="1" a="1"/>
  <c r="F722" i="1" s="1"/>
  <c r="R722" i="14" s="1"/>
  <c r="L722" i="1" a="1"/>
  <c r="L722" i="1" s="1"/>
  <c r="P722" i="1" a="1"/>
  <c r="P722" i="1" s="1"/>
  <c r="C723" i="1" a="1"/>
  <c r="C723" i="1" s="1"/>
  <c r="E723" i="14" s="1"/>
  <c r="G723" i="1" a="1"/>
  <c r="G723" i="1" s="1"/>
  <c r="K723" i="1" a="1"/>
  <c r="K723" i="1" s="1"/>
  <c r="O723" i="1"/>
  <c r="M723" i="14" s="1"/>
  <c r="F724" i="1" a="1"/>
  <c r="F724" i="1" s="1"/>
  <c r="R724" i="14" s="1"/>
  <c r="J724" i="1" a="1"/>
  <c r="J724" i="1" s="1"/>
  <c r="O724" i="1"/>
  <c r="M724" i="14" s="1"/>
  <c r="F725" i="1" a="1"/>
  <c r="F725" i="1" s="1"/>
  <c r="R725" i="14" s="1"/>
  <c r="J725" i="1" a="1"/>
  <c r="J725" i="1" s="1"/>
  <c r="O725" i="1"/>
  <c r="M725" i="14" s="1"/>
  <c r="F726" i="1" a="1"/>
  <c r="F726" i="1" s="1"/>
  <c r="R726" i="14" s="1"/>
  <c r="J726" i="1" a="1"/>
  <c r="J726" i="1" s="1"/>
  <c r="O726" i="1"/>
  <c r="M726" i="14" s="1"/>
  <c r="F727" i="1" a="1"/>
  <c r="F727" i="1" s="1"/>
  <c r="R727" i="14" s="1"/>
  <c r="L727" i="1" a="1"/>
  <c r="L727" i="1" s="1"/>
  <c r="Q727" i="1" a="1"/>
  <c r="Q727" i="1" s="1"/>
  <c r="S727" i="14" s="1"/>
  <c r="D728" i="1" a="1"/>
  <c r="D728" i="1" s="1"/>
  <c r="I728" i="14" s="1"/>
  <c r="H728" i="1" a="1"/>
  <c r="H728" i="1" s="1"/>
  <c r="J728" i="14" s="1"/>
  <c r="L728" i="1" a="1"/>
  <c r="L728" i="1" s="1"/>
  <c r="Q728" i="1" a="1"/>
  <c r="Q728" i="1" s="1"/>
  <c r="S728" i="14" s="1"/>
  <c r="D729" i="1" a="1"/>
  <c r="D729" i="1" s="1"/>
  <c r="I729" i="14" s="1"/>
  <c r="H729" i="1" a="1"/>
  <c r="H729" i="1" s="1"/>
  <c r="J729" i="14" s="1"/>
  <c r="L729" i="1" a="1"/>
  <c r="L729" i="1" s="1"/>
  <c r="P729" i="1" a="1"/>
  <c r="P729" i="1" s="1"/>
  <c r="C730" i="1" a="1"/>
  <c r="C730" i="1" s="1"/>
  <c r="E730" i="14" s="1"/>
  <c r="G730" i="1" a="1"/>
  <c r="G730" i="1" s="1"/>
  <c r="O730" i="1"/>
  <c r="M730" i="14" s="1"/>
  <c r="L731" i="1" a="1"/>
  <c r="L731" i="1" s="1"/>
  <c r="Q731" i="1" a="1"/>
  <c r="Q731" i="1" s="1"/>
  <c r="S731" i="14" s="1"/>
  <c r="D732" i="1" a="1"/>
  <c r="D732" i="1" s="1"/>
  <c r="I732" i="14" s="1"/>
  <c r="H732" i="1" a="1"/>
  <c r="H732" i="1" s="1"/>
  <c r="J732" i="14" s="1"/>
  <c r="L732" i="1" a="1"/>
  <c r="L732" i="1" s="1"/>
  <c r="Q732" i="1" a="1"/>
  <c r="Q732" i="1" s="1"/>
  <c r="S732" i="14" s="1"/>
  <c r="D733" i="1" a="1"/>
  <c r="D733" i="1" s="1"/>
  <c r="I733" i="14" s="1"/>
  <c r="H733" i="1" a="1"/>
  <c r="H733" i="1" s="1"/>
  <c r="J733" i="14" s="1"/>
  <c r="L733" i="1" a="1"/>
  <c r="L733" i="1" s="1"/>
  <c r="P733" i="1" a="1"/>
  <c r="P733" i="1" s="1"/>
  <c r="C734" i="1" a="1"/>
  <c r="C734" i="1" s="1"/>
  <c r="E734" i="14" s="1"/>
  <c r="G734" i="1" a="1"/>
  <c r="G734" i="1" s="1"/>
  <c r="K734" i="1" a="1"/>
  <c r="K734" i="1" s="1"/>
  <c r="P734" i="1" a="1"/>
  <c r="P734" i="1" s="1"/>
  <c r="C735" i="1" a="1"/>
  <c r="C735" i="1" s="1"/>
  <c r="E735" i="14" s="1"/>
  <c r="G735" i="1" a="1"/>
  <c r="G735" i="1" s="1"/>
  <c r="K735" i="1" a="1"/>
  <c r="K735" i="1" s="1"/>
  <c r="P735" i="1" a="1"/>
  <c r="P735" i="1" s="1"/>
  <c r="C736" i="1" a="1"/>
  <c r="C736" i="1" s="1"/>
  <c r="E736" i="14" s="1"/>
  <c r="G736" i="1" a="1"/>
  <c r="G736" i="1" s="1"/>
  <c r="K736" i="1" a="1"/>
  <c r="K736" i="1" s="1"/>
  <c r="P736" i="1" a="1"/>
  <c r="P736" i="1" s="1"/>
  <c r="L737" i="1" a="1"/>
  <c r="L737" i="1" s="1"/>
  <c r="Q737" i="1" a="1"/>
  <c r="Q737" i="1" s="1"/>
  <c r="S737" i="14" s="1"/>
  <c r="D738" i="1" a="1"/>
  <c r="D738" i="1" s="1"/>
  <c r="I738" i="14" s="1"/>
  <c r="H738" i="1" a="1"/>
  <c r="H738" i="1" s="1"/>
  <c r="J738" i="14" s="1"/>
  <c r="L738" i="1" a="1"/>
  <c r="L738" i="1" s="1"/>
  <c r="Q738" i="1" a="1"/>
  <c r="Q738" i="1" s="1"/>
  <c r="S738" i="14" s="1"/>
  <c r="D739" i="1" a="1"/>
  <c r="D739" i="1" s="1"/>
  <c r="I739" i="14" s="1"/>
  <c r="H739" i="1" a="1"/>
  <c r="H739" i="1" s="1"/>
  <c r="J739" i="14" s="1"/>
  <c r="L739" i="1" a="1"/>
  <c r="L739" i="1" s="1"/>
  <c r="Q739" i="1" a="1"/>
  <c r="Q739" i="1" s="1"/>
  <c r="S739" i="14" s="1"/>
  <c r="D740" i="1" a="1"/>
  <c r="D740" i="1" s="1"/>
  <c r="I740" i="14" s="1"/>
  <c r="K740" i="1" a="1"/>
  <c r="K740" i="1" s="1"/>
  <c r="P740" i="1" a="1"/>
  <c r="P740" i="1" s="1"/>
  <c r="C741" i="1" a="1"/>
  <c r="C741" i="1" s="1"/>
  <c r="E741" i="14" s="1"/>
  <c r="G741" i="1" a="1"/>
  <c r="G741" i="1" s="1"/>
  <c r="K741" i="1" a="1"/>
  <c r="K741" i="1" s="1"/>
  <c r="P741" i="1" a="1"/>
  <c r="P741" i="1" s="1"/>
  <c r="C742" i="1" a="1"/>
  <c r="C742" i="1" s="1"/>
  <c r="E742" i="14" s="1"/>
  <c r="G742" i="1" a="1"/>
  <c r="G742" i="1" s="1"/>
  <c r="K742" i="1" a="1"/>
  <c r="K742" i="1" s="1"/>
  <c r="P742" i="1" a="1"/>
  <c r="P742" i="1" s="1"/>
  <c r="C743" i="1" a="1"/>
  <c r="C743" i="1" s="1"/>
  <c r="E743" i="14" s="1"/>
  <c r="F743" i="1" a="1"/>
  <c r="F743" i="1" s="1"/>
  <c r="R743" i="14" s="1"/>
  <c r="J743" i="1" a="1"/>
  <c r="J743" i="1" s="1"/>
  <c r="O743" i="1"/>
  <c r="M743" i="14" s="1"/>
  <c r="F744" i="1" a="1"/>
  <c r="F744" i="1" s="1"/>
  <c r="R744" i="14" s="1"/>
  <c r="J744" i="1" a="1"/>
  <c r="J744" i="1" s="1"/>
  <c r="O744" i="1"/>
  <c r="M744" i="14" s="1"/>
  <c r="F745" i="1" a="1"/>
  <c r="F745" i="1" s="1"/>
  <c r="R745" i="14" s="1"/>
  <c r="J745" i="1" a="1"/>
  <c r="J745" i="1" s="1"/>
  <c r="O745" i="1"/>
  <c r="M745" i="14" s="1"/>
  <c r="F746" i="1" a="1"/>
  <c r="F746" i="1" s="1"/>
  <c r="R746" i="14" s="1"/>
  <c r="J746" i="1" a="1"/>
  <c r="J746" i="1" s="1"/>
  <c r="O746" i="1"/>
  <c r="M746" i="14" s="1"/>
  <c r="L747" i="1" a="1"/>
  <c r="L747" i="1" s="1"/>
  <c r="Q747" i="1" a="1"/>
  <c r="Q747" i="1" s="1"/>
  <c r="S747" i="14" s="1"/>
  <c r="D748" i="1" a="1"/>
  <c r="D748" i="1" s="1"/>
  <c r="I748" i="14" s="1"/>
  <c r="H748" i="1" a="1"/>
  <c r="H748" i="1" s="1"/>
  <c r="J748" i="14" s="1"/>
  <c r="L748" i="1" a="1"/>
  <c r="L748" i="1" s="1"/>
  <c r="Q748" i="1" a="1"/>
  <c r="Q748" i="1" s="1"/>
  <c r="S748" i="14" s="1"/>
  <c r="C749" i="1" a="1"/>
  <c r="C749" i="1" s="1"/>
  <c r="E749" i="14" s="1"/>
  <c r="F749" i="1" a="1"/>
  <c r="F749" i="1" s="1"/>
  <c r="R749" i="14" s="1"/>
  <c r="J749" i="1" a="1"/>
  <c r="J749" i="1" s="1"/>
  <c r="M749" i="1" a="1"/>
  <c r="M749" i="1" s="1"/>
  <c r="H750" i="1" a="1"/>
  <c r="H750" i="1" s="1"/>
  <c r="J750" i="14" s="1"/>
  <c r="L750" i="1" a="1"/>
  <c r="L750" i="1" s="1"/>
  <c r="Q750" i="1" a="1"/>
  <c r="Q750" i="1" s="1"/>
  <c r="S750" i="14" s="1"/>
  <c r="D751" i="1" a="1"/>
  <c r="D751" i="1" s="1"/>
  <c r="I751" i="14" s="1"/>
  <c r="H751" i="1" a="1"/>
  <c r="H751" i="1" s="1"/>
  <c r="J751" i="14" s="1"/>
  <c r="L751" i="1" a="1"/>
  <c r="L751" i="1" s="1"/>
  <c r="P751" i="1" a="1"/>
  <c r="P751" i="1" s="1"/>
  <c r="C752" i="1" a="1"/>
  <c r="C752" i="1" s="1"/>
  <c r="E752" i="14" s="1"/>
  <c r="G752" i="1" a="1"/>
  <c r="G752" i="1" s="1"/>
  <c r="J752" i="1" a="1"/>
  <c r="J752" i="1" s="1"/>
  <c r="O752" i="1"/>
  <c r="M752" i="14" s="1"/>
  <c r="F753" i="1" a="1"/>
  <c r="F753" i="1" s="1"/>
  <c r="R753" i="14" s="1"/>
  <c r="J753" i="1" a="1"/>
  <c r="J753" i="1" s="1"/>
  <c r="O753" i="1"/>
  <c r="M753" i="14" s="1"/>
  <c r="F754" i="1" a="1"/>
  <c r="F754" i="1" s="1"/>
  <c r="R754" i="14" s="1"/>
  <c r="J754" i="1" a="1"/>
  <c r="J754" i="1" s="1"/>
  <c r="O754" i="1"/>
  <c r="M754" i="14" s="1"/>
  <c r="L755" i="1" a="1"/>
  <c r="L755" i="1" s="1"/>
  <c r="Q755" i="1" a="1"/>
  <c r="Q755" i="1" s="1"/>
  <c r="S755" i="14" s="1"/>
  <c r="D756" i="1" a="1"/>
  <c r="D756" i="1" s="1"/>
  <c r="I756" i="14" s="1"/>
  <c r="H756" i="1" a="1"/>
  <c r="H756" i="1" s="1"/>
  <c r="J756" i="14" s="1"/>
  <c r="L756" i="1" a="1"/>
  <c r="L756" i="1" s="1"/>
  <c r="Q756" i="1" a="1"/>
  <c r="Q756" i="1" s="1"/>
  <c r="S756" i="14" s="1"/>
  <c r="C757" i="1" a="1"/>
  <c r="C757" i="1" s="1"/>
  <c r="E757" i="14" s="1"/>
  <c r="F757" i="1" a="1"/>
  <c r="F757" i="1" s="1"/>
  <c r="R757" i="14" s="1"/>
  <c r="J757" i="1" a="1"/>
  <c r="J757" i="1" s="1"/>
  <c r="M757" i="1" a="1"/>
  <c r="M757" i="1" s="1"/>
  <c r="H758" i="1" a="1"/>
  <c r="H758" i="1" s="1"/>
  <c r="J758" i="14" s="1"/>
  <c r="L758" i="1" a="1"/>
  <c r="L758" i="1" s="1"/>
  <c r="Q758" i="1" a="1"/>
  <c r="Q758" i="1" s="1"/>
  <c r="S758" i="14" s="1"/>
  <c r="D759" i="1" a="1"/>
  <c r="D759" i="1" s="1"/>
  <c r="I759" i="14" s="1"/>
  <c r="H759" i="1" a="1"/>
  <c r="H759" i="1" s="1"/>
  <c r="J759" i="14" s="1"/>
  <c r="L759" i="1" a="1"/>
  <c r="L759" i="1" s="1"/>
  <c r="P759" i="1" a="1"/>
  <c r="P759" i="1" s="1"/>
  <c r="C760" i="1" a="1"/>
  <c r="C760" i="1" s="1"/>
  <c r="E760" i="14" s="1"/>
  <c r="G760" i="1" a="1"/>
  <c r="G760" i="1" s="1"/>
  <c r="K760" i="1" a="1"/>
  <c r="K760" i="1" s="1"/>
  <c r="P760" i="1" a="1"/>
  <c r="P760" i="1" s="1"/>
  <c r="C761" i="1" a="1"/>
  <c r="C761" i="1" s="1"/>
  <c r="E761" i="14" s="1"/>
  <c r="G761" i="1" a="1"/>
  <c r="G761" i="1" s="1"/>
  <c r="K761" i="1" a="1"/>
  <c r="K761" i="1" s="1"/>
  <c r="O761" i="1"/>
  <c r="M761" i="14" s="1"/>
  <c r="F762" i="1" a="1"/>
  <c r="F762" i="1" s="1"/>
  <c r="R762" i="14" s="1"/>
  <c r="J762" i="1" a="1"/>
  <c r="J762" i="1" s="1"/>
  <c r="O762" i="1"/>
  <c r="M762" i="14" s="1"/>
  <c r="L763" i="1" a="1"/>
  <c r="L763" i="1" s="1"/>
  <c r="Q763" i="1" a="1"/>
  <c r="Q763" i="1" s="1"/>
  <c r="S763" i="14" s="1"/>
  <c r="D764" i="1" a="1"/>
  <c r="D764" i="1" s="1"/>
  <c r="I764" i="14" s="1"/>
  <c r="K764" i="1" a="1"/>
  <c r="K764" i="1" s="1"/>
  <c r="P764" i="1" a="1"/>
  <c r="P764" i="1" s="1"/>
  <c r="C765" i="1" a="1"/>
  <c r="C765" i="1" s="1"/>
  <c r="E765" i="14" s="1"/>
  <c r="G765" i="1" a="1"/>
  <c r="G765" i="1" s="1"/>
  <c r="K765" i="1" a="1"/>
  <c r="K765" i="1" s="1"/>
  <c r="P765" i="1" a="1"/>
  <c r="P765" i="1" s="1"/>
  <c r="C766" i="1" a="1"/>
  <c r="C766" i="1" s="1"/>
  <c r="E766" i="14" s="1"/>
  <c r="J766" i="1" a="1"/>
  <c r="J766" i="1" s="1"/>
  <c r="O766" i="1"/>
  <c r="M766" i="14" s="1"/>
  <c r="F767" i="1" a="1"/>
  <c r="F767" i="1" s="1"/>
  <c r="R767" i="14" s="1"/>
  <c r="J767" i="1" a="1"/>
  <c r="J767" i="1" s="1"/>
  <c r="M768" i="1" a="1"/>
  <c r="M768" i="1" s="1"/>
  <c r="Q769" i="1" a="1"/>
  <c r="Q769" i="1" s="1"/>
  <c r="S769" i="14" s="1"/>
  <c r="D770" i="1" a="1"/>
  <c r="D770" i="1" s="1"/>
  <c r="I770" i="14" s="1"/>
  <c r="H770" i="1" a="1"/>
  <c r="H770" i="1" s="1"/>
  <c r="J770" i="14" s="1"/>
  <c r="K770" i="1" a="1"/>
  <c r="K770" i="1" s="1"/>
  <c r="P770" i="1" a="1"/>
  <c r="P770" i="1" s="1"/>
  <c r="F771" i="1" a="1"/>
  <c r="F771" i="1" s="1"/>
  <c r="R771" i="14" s="1"/>
  <c r="J771" i="1" a="1"/>
  <c r="J771" i="1" s="1"/>
  <c r="O771" i="1"/>
  <c r="M771" i="14" s="1"/>
  <c r="F772" i="1" a="1"/>
  <c r="F772" i="1" s="1"/>
  <c r="R772" i="14" s="1"/>
  <c r="M772" i="1" a="1"/>
  <c r="M772" i="1" s="1"/>
  <c r="M773" i="1" a="1"/>
  <c r="M773" i="1" s="1"/>
  <c r="M774" i="1" a="1"/>
  <c r="M774" i="1" s="1"/>
  <c r="M775" i="1" a="1"/>
  <c r="M775" i="1" s="1"/>
  <c r="M776" i="1" a="1"/>
  <c r="M776" i="1" s="1"/>
  <c r="M777" i="1" a="1"/>
  <c r="M777" i="1" s="1"/>
  <c r="L778" i="1" a="1"/>
  <c r="L778" i="1" s="1"/>
  <c r="C779" i="1" a="1"/>
  <c r="C779" i="1" s="1"/>
  <c r="E779" i="14" s="1"/>
  <c r="G779" i="1" a="1"/>
  <c r="G779" i="1" s="1"/>
  <c r="K779" i="1" a="1"/>
  <c r="K779" i="1" s="1"/>
  <c r="P779" i="1" a="1"/>
  <c r="P779" i="1" s="1"/>
  <c r="C780" i="1" a="1"/>
  <c r="C780" i="1" s="1"/>
  <c r="E780" i="14" s="1"/>
  <c r="G780" i="1" a="1"/>
  <c r="G780" i="1" s="1"/>
  <c r="K780" i="1" a="1"/>
  <c r="K780" i="1" s="1"/>
  <c r="P780" i="1" a="1"/>
  <c r="P780" i="1" s="1"/>
  <c r="L781" i="1" a="1"/>
  <c r="L781" i="1" s="1"/>
  <c r="Q781" i="1" a="1"/>
  <c r="Q781" i="1" s="1"/>
  <c r="S781" i="14" s="1"/>
  <c r="D782" i="1" a="1"/>
  <c r="D782" i="1" s="1"/>
  <c r="I782" i="14" s="1"/>
  <c r="H782" i="1" a="1"/>
  <c r="H782" i="1" s="1"/>
  <c r="J782" i="14" s="1"/>
  <c r="L782" i="1" a="1"/>
  <c r="L782" i="1" s="1"/>
  <c r="Q782" i="1" a="1"/>
  <c r="Q782" i="1" s="1"/>
  <c r="S782" i="14" s="1"/>
  <c r="D783" i="1" a="1"/>
  <c r="D783" i="1" s="1"/>
  <c r="I783" i="14" s="1"/>
  <c r="H783" i="1" a="1"/>
  <c r="H783" i="1" s="1"/>
  <c r="J783" i="14" s="1"/>
  <c r="L783" i="1" a="1"/>
  <c r="L783" i="1" s="1"/>
  <c r="Q783" i="1" a="1"/>
  <c r="Q783" i="1" s="1"/>
  <c r="S783" i="14" s="1"/>
  <c r="D784" i="1" a="1"/>
  <c r="D784" i="1" s="1"/>
  <c r="I784" i="14" s="1"/>
  <c r="H784" i="1" a="1"/>
  <c r="H784" i="1" s="1"/>
  <c r="J784" i="14" s="1"/>
  <c r="L784" i="1" a="1"/>
  <c r="L784" i="1" s="1"/>
  <c r="Q784" i="1" a="1"/>
  <c r="Q784" i="1" s="1"/>
  <c r="S784" i="14" s="1"/>
  <c r="D785" i="1" a="1"/>
  <c r="D785" i="1" s="1"/>
  <c r="I785" i="14" s="1"/>
  <c r="H785" i="1" a="1"/>
  <c r="H785" i="1" s="1"/>
  <c r="J785" i="14" s="1"/>
  <c r="L785" i="1" a="1"/>
  <c r="L785" i="1" s="1"/>
  <c r="Q785" i="1" a="1"/>
  <c r="Q785" i="1" s="1"/>
  <c r="S785" i="14" s="1"/>
  <c r="D786" i="1" a="1"/>
  <c r="D786" i="1" s="1"/>
  <c r="I786" i="14" s="1"/>
  <c r="H786" i="1" a="1"/>
  <c r="H786" i="1" s="1"/>
  <c r="J786" i="14" s="1"/>
  <c r="L786" i="1" a="1"/>
  <c r="L786" i="1" s="1"/>
  <c r="Q786" i="1" a="1"/>
  <c r="Q786" i="1" s="1"/>
  <c r="S786" i="14" s="1"/>
  <c r="D787" i="1" a="1"/>
  <c r="D787" i="1" s="1"/>
  <c r="I787" i="14" s="1"/>
  <c r="G787" i="1" a="1"/>
  <c r="G787" i="1" s="1"/>
  <c r="K787" i="1" a="1"/>
  <c r="K787" i="1" s="1"/>
  <c r="O787" i="1"/>
  <c r="M787" i="14" s="1"/>
  <c r="F788" i="1" a="1"/>
  <c r="F788" i="1" s="1"/>
  <c r="R788" i="14" s="1"/>
  <c r="J788" i="1" a="1"/>
  <c r="J788" i="1" s="1"/>
  <c r="O788" i="1"/>
  <c r="M788" i="14" s="1"/>
  <c r="D789" i="1" a="1"/>
  <c r="D789" i="1" s="1"/>
  <c r="I789" i="14" s="1"/>
  <c r="H789" i="1" a="1"/>
  <c r="H789" i="1" s="1"/>
  <c r="J789" i="14" s="1"/>
  <c r="K789" i="1" a="1"/>
  <c r="K789" i="1" s="1"/>
  <c r="P789" i="1" a="1"/>
  <c r="P789" i="1" s="1"/>
  <c r="C790" i="1" a="1"/>
  <c r="C790" i="1" s="1"/>
  <c r="E790" i="14" s="1"/>
  <c r="J790" i="1" a="1"/>
  <c r="J790" i="1" s="1"/>
  <c r="O790" i="1"/>
  <c r="M790" i="14" s="1"/>
  <c r="F791" i="1" a="1"/>
  <c r="F791" i="1" s="1"/>
  <c r="R791" i="14" s="1"/>
  <c r="J791" i="1" a="1"/>
  <c r="J791" i="1" s="1"/>
  <c r="M792" i="1" a="1"/>
  <c r="M792" i="1" s="1"/>
  <c r="Q793" i="1" a="1"/>
  <c r="Q793" i="1" s="1"/>
  <c r="S793" i="14" s="1"/>
  <c r="D794" i="1" a="1"/>
  <c r="D794" i="1" s="1"/>
  <c r="I794" i="14" s="1"/>
  <c r="H794" i="1" a="1"/>
  <c r="H794" i="1" s="1"/>
  <c r="J794" i="14" s="1"/>
  <c r="L794" i="1" a="1"/>
  <c r="L794" i="1" s="1"/>
  <c r="Q794" i="1" a="1"/>
  <c r="Q794" i="1" s="1"/>
  <c r="S794" i="14" s="1"/>
  <c r="D795" i="1" a="1"/>
  <c r="D795" i="1" s="1"/>
  <c r="I795" i="14" s="1"/>
  <c r="G795" i="1" a="1"/>
  <c r="G795" i="1" s="1"/>
  <c r="K795" i="1" a="1"/>
  <c r="K795" i="1" s="1"/>
  <c r="O795" i="1"/>
  <c r="M795" i="14" s="1"/>
  <c r="G691" i="1" a="1"/>
  <c r="G691" i="1" s="1"/>
  <c r="P691" i="1" a="1"/>
  <c r="P691" i="1" s="1"/>
  <c r="M692" i="1" a="1"/>
  <c r="M692" i="1" s="1"/>
  <c r="C693" i="1" a="1"/>
  <c r="C693" i="1" s="1"/>
  <c r="E693" i="14" s="1"/>
  <c r="K693" i="1" a="1"/>
  <c r="K693" i="1" s="1"/>
  <c r="G695" i="1" a="1"/>
  <c r="G695" i="1" s="1"/>
  <c r="P695" i="1" a="1"/>
  <c r="P695" i="1" s="1"/>
  <c r="J696" i="1" a="1"/>
  <c r="J696" i="1" s="1"/>
  <c r="F697" i="1" a="1"/>
  <c r="F697" i="1" s="1"/>
  <c r="R697" i="14" s="1"/>
  <c r="K697" i="1" a="1"/>
  <c r="K697" i="1" s="1"/>
  <c r="F698" i="1" a="1"/>
  <c r="F698" i="1" s="1"/>
  <c r="R698" i="14" s="1"/>
  <c r="K698" i="1" a="1"/>
  <c r="K698" i="1" s="1"/>
  <c r="D699" i="1" a="1"/>
  <c r="D699" i="1" s="1"/>
  <c r="I699" i="14" s="1"/>
  <c r="O699" i="1"/>
  <c r="M699" i="14" s="1"/>
  <c r="G700" i="1" a="1"/>
  <c r="G700" i="1" s="1"/>
  <c r="L700" i="1" a="1"/>
  <c r="L700" i="1" s="1"/>
  <c r="Q700" i="1" a="1"/>
  <c r="Q700" i="1" s="1"/>
  <c r="S700" i="14" s="1"/>
  <c r="D701" i="1" a="1"/>
  <c r="D701" i="1" s="1"/>
  <c r="I701" i="14" s="1"/>
  <c r="P701" i="1" a="1"/>
  <c r="P701" i="1" s="1"/>
  <c r="C702" i="1" a="1"/>
  <c r="C702" i="1" s="1"/>
  <c r="E702" i="14" s="1"/>
  <c r="K702" i="1" a="1"/>
  <c r="K702" i="1" s="1"/>
  <c r="Q702" i="1" a="1"/>
  <c r="Q702" i="1" s="1"/>
  <c r="S702" i="14" s="1"/>
  <c r="D703" i="1" a="1"/>
  <c r="D703" i="1" s="1"/>
  <c r="I703" i="14" s="1"/>
  <c r="H703" i="1" a="1"/>
  <c r="H703" i="1" s="1"/>
  <c r="J703" i="14" s="1"/>
  <c r="L703" i="1" a="1"/>
  <c r="L703" i="1" s="1"/>
  <c r="P704" i="1" a="1"/>
  <c r="P704" i="1" s="1"/>
  <c r="C705" i="1" a="1"/>
  <c r="C705" i="1" s="1"/>
  <c r="E705" i="14" s="1"/>
  <c r="H705" i="1" a="1"/>
  <c r="H705" i="1" s="1"/>
  <c r="J705" i="14" s="1"/>
  <c r="M705" i="1" a="1"/>
  <c r="M705" i="1" s="1"/>
  <c r="M706" i="1" a="1"/>
  <c r="M706" i="1" s="1"/>
  <c r="H707" i="1" a="1"/>
  <c r="H707" i="1" s="1"/>
  <c r="J707" i="14" s="1"/>
  <c r="L707" i="1" a="1"/>
  <c r="L707" i="1" s="1"/>
  <c r="Q707" i="1" a="1"/>
  <c r="Q707" i="1" s="1"/>
  <c r="S707" i="14" s="1"/>
  <c r="D708" i="1" a="1"/>
  <c r="D708" i="1" s="1"/>
  <c r="I708" i="14" s="1"/>
  <c r="H708" i="1" a="1"/>
  <c r="H708" i="1" s="1"/>
  <c r="J708" i="14" s="1"/>
  <c r="L708" i="1" a="1"/>
  <c r="L708" i="1" s="1"/>
  <c r="Q708" i="1" a="1"/>
  <c r="Q708" i="1" s="1"/>
  <c r="S708" i="14" s="1"/>
  <c r="D709" i="1" a="1"/>
  <c r="D709" i="1" s="1"/>
  <c r="I709" i="14" s="1"/>
  <c r="H709" i="1" a="1"/>
  <c r="H709" i="1" s="1"/>
  <c r="J709" i="14" s="1"/>
  <c r="L709" i="1" a="1"/>
  <c r="L709" i="1" s="1"/>
  <c r="Q709" i="1" a="1"/>
  <c r="Q709" i="1" s="1"/>
  <c r="S709" i="14" s="1"/>
  <c r="D710" i="1" a="1"/>
  <c r="D710" i="1" s="1"/>
  <c r="I710" i="14" s="1"/>
  <c r="H710" i="1" a="1"/>
  <c r="H710" i="1" s="1"/>
  <c r="J710" i="14" s="1"/>
  <c r="L710" i="1" a="1"/>
  <c r="L710" i="1" s="1"/>
  <c r="Q710" i="1" a="1"/>
  <c r="Q710" i="1" s="1"/>
  <c r="S710" i="14" s="1"/>
  <c r="D711" i="1" a="1"/>
  <c r="D711" i="1" s="1"/>
  <c r="I711" i="14" s="1"/>
  <c r="H711" i="1" a="1"/>
  <c r="H711" i="1" s="1"/>
  <c r="J711" i="14" s="1"/>
  <c r="L711" i="1" a="1"/>
  <c r="L711" i="1" s="1"/>
  <c r="Q711" i="1" a="1"/>
  <c r="Q711" i="1" s="1"/>
  <c r="S711" i="14" s="1"/>
  <c r="C712" i="1" a="1"/>
  <c r="C712" i="1" s="1"/>
  <c r="E712" i="14" s="1"/>
  <c r="G712" i="1" a="1"/>
  <c r="G712" i="1" s="1"/>
  <c r="D713" i="1" a="1"/>
  <c r="D713" i="1" s="1"/>
  <c r="I713" i="14" s="1"/>
  <c r="O713" i="1"/>
  <c r="M713" i="14" s="1"/>
  <c r="D714" i="1" a="1"/>
  <c r="D714" i="1" s="1"/>
  <c r="I714" i="14" s="1"/>
  <c r="G714" i="1" a="1"/>
  <c r="G714" i="1" s="1"/>
  <c r="K714" i="1" a="1"/>
  <c r="K714" i="1" s="1"/>
  <c r="O714" i="1"/>
  <c r="M714" i="14" s="1"/>
  <c r="M715" i="1" a="1"/>
  <c r="M715" i="1" s="1"/>
  <c r="C716" i="1" a="1"/>
  <c r="C716" i="1" s="1"/>
  <c r="E716" i="14" s="1"/>
  <c r="G716" i="1" a="1"/>
  <c r="G716" i="1" s="1"/>
  <c r="K716" i="1" a="1"/>
  <c r="K716" i="1" s="1"/>
  <c r="P716" i="1" a="1"/>
  <c r="P716" i="1" s="1"/>
  <c r="C717" i="1" a="1"/>
  <c r="C717" i="1" s="1"/>
  <c r="E717" i="14" s="1"/>
  <c r="G717" i="1" a="1"/>
  <c r="G717" i="1" s="1"/>
  <c r="K717" i="1" a="1"/>
  <c r="K717" i="1" s="1"/>
  <c r="P717" i="1" a="1"/>
  <c r="P717" i="1" s="1"/>
  <c r="C718" i="1" a="1"/>
  <c r="C718" i="1" s="1"/>
  <c r="E718" i="14" s="1"/>
  <c r="G718" i="1" a="1"/>
  <c r="G718" i="1" s="1"/>
  <c r="O718" i="1"/>
  <c r="M718" i="14" s="1"/>
  <c r="F719" i="1" a="1"/>
  <c r="F719" i="1" s="1"/>
  <c r="R719" i="14" s="1"/>
  <c r="J719" i="1" a="1"/>
  <c r="J719" i="1" s="1"/>
  <c r="O719" i="1"/>
  <c r="M719" i="14" s="1"/>
  <c r="H720" i="1" a="1"/>
  <c r="H720" i="1" s="1"/>
  <c r="J720" i="14" s="1"/>
  <c r="O720" i="1"/>
  <c r="M720" i="14" s="1"/>
  <c r="D721" i="1" a="1"/>
  <c r="D721" i="1" s="1"/>
  <c r="I721" i="14" s="1"/>
  <c r="M721" i="1" a="1"/>
  <c r="M721" i="1" s="1"/>
  <c r="Q722" i="1" a="1"/>
  <c r="Q722" i="1" s="1"/>
  <c r="S722" i="14" s="1"/>
  <c r="D723" i="1" a="1"/>
  <c r="D723" i="1" s="1"/>
  <c r="I723" i="14" s="1"/>
  <c r="H723" i="1" a="1"/>
  <c r="H723" i="1" s="1"/>
  <c r="J723" i="14" s="1"/>
  <c r="L723" i="1" a="1"/>
  <c r="L723" i="1" s="1"/>
  <c r="P723" i="1" a="1"/>
  <c r="P723" i="1" s="1"/>
  <c r="C724" i="1" a="1"/>
  <c r="C724" i="1" s="1"/>
  <c r="E724" i="14" s="1"/>
  <c r="G724" i="1" a="1"/>
  <c r="G724" i="1" s="1"/>
  <c r="K724" i="1" a="1"/>
  <c r="K724" i="1" s="1"/>
  <c r="P724" i="1" a="1"/>
  <c r="P724" i="1" s="1"/>
  <c r="C725" i="1" a="1"/>
  <c r="C725" i="1" s="1"/>
  <c r="E725" i="14" s="1"/>
  <c r="G725" i="1" a="1"/>
  <c r="G725" i="1" s="1"/>
  <c r="K725" i="1" a="1"/>
  <c r="K725" i="1" s="1"/>
  <c r="P725" i="1" a="1"/>
  <c r="P725" i="1" s="1"/>
  <c r="C726" i="1" a="1"/>
  <c r="C726" i="1" s="1"/>
  <c r="E726" i="14" s="1"/>
  <c r="G726" i="1" a="1"/>
  <c r="G726" i="1" s="1"/>
  <c r="K726" i="1" a="1"/>
  <c r="K726" i="1" s="1"/>
  <c r="P726" i="1" a="1"/>
  <c r="P726" i="1" s="1"/>
  <c r="C727" i="1" a="1"/>
  <c r="C727" i="1" s="1"/>
  <c r="E727" i="14" s="1"/>
  <c r="G727" i="1" a="1"/>
  <c r="G727" i="1" s="1"/>
  <c r="J727" i="1" a="1"/>
  <c r="J727" i="1" s="1"/>
  <c r="M727" i="1" a="1"/>
  <c r="M727" i="1" s="1"/>
  <c r="M728" i="1" a="1"/>
  <c r="M728" i="1" s="1"/>
  <c r="Q729" i="1" a="1"/>
  <c r="Q729" i="1" s="1"/>
  <c r="S729" i="14" s="1"/>
  <c r="D730" i="1" a="1"/>
  <c r="D730" i="1" s="1"/>
  <c r="I730" i="14" s="1"/>
  <c r="H730" i="1" a="1"/>
  <c r="H730" i="1" s="1"/>
  <c r="J730" i="14" s="1"/>
  <c r="K730" i="1" a="1"/>
  <c r="K730" i="1" s="1"/>
  <c r="P730" i="1" a="1"/>
  <c r="P730" i="1" s="1"/>
  <c r="C731" i="1" a="1"/>
  <c r="C731" i="1" s="1"/>
  <c r="E731" i="14" s="1"/>
  <c r="F731" i="1" a="1"/>
  <c r="F731" i="1" s="1"/>
  <c r="R731" i="14" s="1"/>
  <c r="J731" i="1" a="1"/>
  <c r="J731" i="1" s="1"/>
  <c r="M731" i="1" a="1"/>
  <c r="M731" i="1" s="1"/>
  <c r="M732" i="1" a="1"/>
  <c r="M732" i="1" s="1"/>
  <c r="Q733" i="1" a="1"/>
  <c r="Q733" i="1" s="1"/>
  <c r="S733" i="14" s="1"/>
  <c r="D734" i="1" a="1"/>
  <c r="D734" i="1" s="1"/>
  <c r="I734" i="14" s="1"/>
  <c r="H734" i="1" a="1"/>
  <c r="H734" i="1" s="1"/>
  <c r="J734" i="14" s="1"/>
  <c r="L734" i="1" a="1"/>
  <c r="L734" i="1" s="1"/>
  <c r="Q734" i="1" a="1"/>
  <c r="Q734" i="1" s="1"/>
  <c r="S734" i="14" s="1"/>
  <c r="D735" i="1" a="1"/>
  <c r="D735" i="1" s="1"/>
  <c r="I735" i="14" s="1"/>
  <c r="H735" i="1" a="1"/>
  <c r="H735" i="1" s="1"/>
  <c r="J735" i="14" s="1"/>
  <c r="L735" i="1" a="1"/>
  <c r="L735" i="1" s="1"/>
  <c r="Q735" i="1" a="1"/>
  <c r="Q735" i="1" s="1"/>
  <c r="S735" i="14" s="1"/>
  <c r="D736" i="1" a="1"/>
  <c r="D736" i="1" s="1"/>
  <c r="I736" i="14" s="1"/>
  <c r="H736" i="1" a="1"/>
  <c r="H736" i="1" s="1"/>
  <c r="J736" i="14" s="1"/>
  <c r="L736" i="1" a="1"/>
  <c r="L736" i="1" s="1"/>
  <c r="Q736" i="1" a="1"/>
  <c r="Q736" i="1" s="1"/>
  <c r="S736" i="14" s="1"/>
  <c r="C737" i="1" a="1"/>
  <c r="C737" i="1" s="1"/>
  <c r="E737" i="14" s="1"/>
  <c r="F737" i="1" a="1"/>
  <c r="F737" i="1" s="1"/>
  <c r="R737" i="14" s="1"/>
  <c r="J737" i="1" a="1"/>
  <c r="J737" i="1" s="1"/>
  <c r="M737" i="1" a="1"/>
  <c r="M737" i="1" s="1"/>
  <c r="M738" i="1" a="1"/>
  <c r="M738" i="1" s="1"/>
  <c r="M739" i="1" a="1"/>
  <c r="M739" i="1" s="1"/>
  <c r="H740" i="1" a="1"/>
  <c r="H740" i="1" s="1"/>
  <c r="J740" i="14" s="1"/>
  <c r="L740" i="1" a="1"/>
  <c r="L740" i="1" s="1"/>
  <c r="Q740" i="1" a="1"/>
  <c r="Q740" i="1" s="1"/>
  <c r="S740" i="14" s="1"/>
  <c r="D741" i="1" a="1"/>
  <c r="D741" i="1" s="1"/>
  <c r="I741" i="14" s="1"/>
  <c r="H741" i="1" a="1"/>
  <c r="H741" i="1" s="1"/>
  <c r="J741" i="14" s="1"/>
  <c r="L741" i="1" a="1"/>
  <c r="L741" i="1" s="1"/>
  <c r="Q741" i="1" a="1"/>
  <c r="Q741" i="1" s="1"/>
  <c r="S741" i="14" s="1"/>
  <c r="D742" i="1" a="1"/>
  <c r="D742" i="1" s="1"/>
  <c r="I742" i="14" s="1"/>
  <c r="H742" i="1" a="1"/>
  <c r="H742" i="1" s="1"/>
  <c r="J742" i="14" s="1"/>
  <c r="L742" i="1" a="1"/>
  <c r="L742" i="1" s="1"/>
  <c r="Q742" i="1" a="1"/>
  <c r="Q742" i="1" s="1"/>
  <c r="S742" i="14" s="1"/>
  <c r="D743" i="1" a="1"/>
  <c r="D743" i="1" s="1"/>
  <c r="I743" i="14" s="1"/>
  <c r="G743" i="1" a="1"/>
  <c r="G743" i="1" s="1"/>
  <c r="K743" i="1" a="1"/>
  <c r="K743" i="1" s="1"/>
  <c r="P743" i="1" a="1"/>
  <c r="P743" i="1" s="1"/>
  <c r="C744" i="1" a="1"/>
  <c r="C744" i="1" s="1"/>
  <c r="E744" i="14" s="1"/>
  <c r="G744" i="1" a="1"/>
  <c r="G744" i="1" s="1"/>
  <c r="K744" i="1" a="1"/>
  <c r="K744" i="1" s="1"/>
  <c r="P744" i="1" a="1"/>
  <c r="P744" i="1" s="1"/>
  <c r="C745" i="1" a="1"/>
  <c r="C745" i="1" s="1"/>
  <c r="E745" i="14" s="1"/>
  <c r="G745" i="1" a="1"/>
  <c r="G745" i="1" s="1"/>
  <c r="K745" i="1" a="1"/>
  <c r="K745" i="1" s="1"/>
  <c r="P745" i="1" a="1"/>
  <c r="P745" i="1" s="1"/>
  <c r="C746" i="1" a="1"/>
  <c r="C746" i="1" s="1"/>
  <c r="E746" i="14" s="1"/>
  <c r="G746" i="1" a="1"/>
  <c r="G746" i="1" s="1"/>
  <c r="K746" i="1" a="1"/>
  <c r="K746" i="1" s="1"/>
  <c r="P746" i="1" a="1"/>
  <c r="P746" i="1" s="1"/>
  <c r="C747" i="1" a="1"/>
  <c r="C747" i="1" s="1"/>
  <c r="E747" i="14" s="1"/>
  <c r="F747" i="1" a="1"/>
  <c r="F747" i="1" s="1"/>
  <c r="R747" i="14" s="1"/>
  <c r="J747" i="1" a="1"/>
  <c r="J747" i="1" s="1"/>
  <c r="M747" i="1" a="1"/>
  <c r="M747" i="1" s="1"/>
  <c r="M748" i="1" a="1"/>
  <c r="M748" i="1" s="1"/>
  <c r="G749" i="1" a="1"/>
  <c r="G749" i="1" s="1"/>
  <c r="O749" i="1"/>
  <c r="M749" i="14" s="1"/>
  <c r="F750" i="1" a="1"/>
  <c r="F750" i="1" s="1"/>
  <c r="R750" i="14" s="1"/>
  <c r="M750" i="1" a="1"/>
  <c r="M750" i="1" s="1"/>
  <c r="M751" i="1" a="1"/>
  <c r="M751" i="1" s="1"/>
  <c r="Q751" i="1" a="1"/>
  <c r="Q751" i="1" s="1"/>
  <c r="S751" i="14" s="1"/>
  <c r="D752" i="1" a="1"/>
  <c r="D752" i="1" s="1"/>
  <c r="I752" i="14" s="1"/>
  <c r="K752" i="1" a="1"/>
  <c r="K752" i="1" s="1"/>
  <c r="P752" i="1" a="1"/>
  <c r="P752" i="1" s="1"/>
  <c r="C753" i="1" a="1"/>
  <c r="C753" i="1" s="1"/>
  <c r="E753" i="14" s="1"/>
  <c r="G753" i="1" a="1"/>
  <c r="G753" i="1" s="1"/>
  <c r="K753" i="1" a="1"/>
  <c r="K753" i="1" s="1"/>
  <c r="P753" i="1" a="1"/>
  <c r="P753" i="1" s="1"/>
  <c r="C754" i="1" a="1"/>
  <c r="C754" i="1" s="1"/>
  <c r="E754" i="14" s="1"/>
  <c r="G754" i="1" a="1"/>
  <c r="G754" i="1" s="1"/>
  <c r="K754" i="1" a="1"/>
  <c r="K754" i="1" s="1"/>
  <c r="P754" i="1" a="1"/>
  <c r="P754" i="1" s="1"/>
  <c r="C755" i="1" a="1"/>
  <c r="C755" i="1" s="1"/>
  <c r="E755" i="14" s="1"/>
  <c r="F755" i="1" a="1"/>
  <c r="F755" i="1" s="1"/>
  <c r="R755" i="14" s="1"/>
  <c r="J755" i="1" a="1"/>
  <c r="J755" i="1" s="1"/>
  <c r="M755" i="1" a="1"/>
  <c r="M755" i="1" s="1"/>
  <c r="M756" i="1" a="1"/>
  <c r="M756" i="1" s="1"/>
  <c r="G757" i="1" a="1"/>
  <c r="G757" i="1" s="1"/>
  <c r="O757" i="1"/>
  <c r="M757" i="14" s="1"/>
  <c r="F758" i="1" a="1"/>
  <c r="F758" i="1" s="1"/>
  <c r="R758" i="14" s="1"/>
  <c r="M758" i="1" a="1"/>
  <c r="M758" i="1" s="1"/>
  <c r="M759" i="1" a="1"/>
  <c r="M759" i="1" s="1"/>
  <c r="Q759" i="1" a="1"/>
  <c r="Q759" i="1" s="1"/>
  <c r="S759" i="14" s="1"/>
  <c r="D760" i="1" a="1"/>
  <c r="D760" i="1" s="1"/>
  <c r="I760" i="14" s="1"/>
  <c r="H760" i="1" a="1"/>
  <c r="H760" i="1" s="1"/>
  <c r="J760" i="14" s="1"/>
  <c r="L760" i="1" a="1"/>
  <c r="L760" i="1" s="1"/>
  <c r="Q760" i="1" a="1"/>
  <c r="Q760" i="1" s="1"/>
  <c r="S760" i="14" s="1"/>
  <c r="D761" i="1" a="1"/>
  <c r="D761" i="1" s="1"/>
  <c r="I761" i="14" s="1"/>
  <c r="H761" i="1" a="1"/>
  <c r="H761" i="1" s="1"/>
  <c r="J761" i="14" s="1"/>
  <c r="L761" i="1" a="1"/>
  <c r="L761" i="1" s="1"/>
  <c r="P761" i="1" a="1"/>
  <c r="P761" i="1" s="1"/>
  <c r="C762" i="1" a="1"/>
  <c r="C762" i="1" s="1"/>
  <c r="E762" i="14" s="1"/>
  <c r="G762" i="1" a="1"/>
  <c r="G762" i="1" s="1"/>
  <c r="K762" i="1" a="1"/>
  <c r="K762" i="1" s="1"/>
  <c r="P762" i="1" a="1"/>
  <c r="P762" i="1" s="1"/>
  <c r="C763" i="1" a="1"/>
  <c r="C763" i="1" s="1"/>
  <c r="E763" i="14" s="1"/>
  <c r="F763" i="1" a="1"/>
  <c r="F763" i="1" s="1"/>
  <c r="R763" i="14" s="1"/>
  <c r="J763" i="1" a="1"/>
  <c r="J763" i="1" s="1"/>
  <c r="M763" i="1" a="1"/>
  <c r="M763" i="1" s="1"/>
  <c r="H764" i="1" a="1"/>
  <c r="H764" i="1" s="1"/>
  <c r="J764" i="14" s="1"/>
  <c r="L764" i="1" a="1"/>
  <c r="L764" i="1" s="1"/>
  <c r="Q764" i="1" a="1"/>
  <c r="Q764" i="1" s="1"/>
  <c r="S764" i="14" s="1"/>
  <c r="D765" i="1" a="1"/>
  <c r="D765" i="1" s="1"/>
  <c r="I765" i="14" s="1"/>
  <c r="H765" i="1" a="1"/>
  <c r="H765" i="1" s="1"/>
  <c r="J765" i="14" s="1"/>
  <c r="L765" i="1" a="1"/>
  <c r="L765" i="1" s="1"/>
  <c r="Q765" i="1" a="1"/>
  <c r="Q765" i="1" s="1"/>
  <c r="S765" i="14" s="1"/>
  <c r="D766" i="1" a="1"/>
  <c r="D766" i="1" s="1"/>
  <c r="I766" i="14" s="1"/>
  <c r="G766" i="1" a="1"/>
  <c r="G766" i="1" s="1"/>
  <c r="K766" i="1" a="1"/>
  <c r="K766" i="1" s="1"/>
  <c r="P766" i="1" a="1"/>
  <c r="P766" i="1" s="1"/>
  <c r="C767" i="1" a="1"/>
  <c r="C767" i="1" s="1"/>
  <c r="E767" i="14" s="1"/>
  <c r="G767" i="1" a="1"/>
  <c r="G767" i="1" s="1"/>
  <c r="K767" i="1" a="1"/>
  <c r="K767" i="1" s="1"/>
  <c r="O767" i="1"/>
  <c r="M767" i="14" s="1"/>
  <c r="F768" i="1" a="1"/>
  <c r="F768" i="1" s="1"/>
  <c r="R768" i="14" s="1"/>
  <c r="J768" i="1" a="1"/>
  <c r="J768" i="1" s="1"/>
  <c r="O768" i="1"/>
  <c r="M768" i="14" s="1"/>
  <c r="F769" i="1" a="1"/>
  <c r="F769" i="1" s="1"/>
  <c r="R769" i="14" s="1"/>
  <c r="J769" i="1" a="1"/>
  <c r="J769" i="1" s="1"/>
  <c r="M769" i="1" a="1"/>
  <c r="M769" i="1" s="1"/>
  <c r="L770" i="1" a="1"/>
  <c r="L770" i="1" s="1"/>
  <c r="C771" i="1" a="1"/>
  <c r="C771" i="1" s="1"/>
  <c r="E771" i="14" s="1"/>
  <c r="G771" i="1" a="1"/>
  <c r="G771" i="1" s="1"/>
  <c r="K771" i="1" a="1"/>
  <c r="K771" i="1" s="1"/>
  <c r="P771" i="1" a="1"/>
  <c r="P771" i="1" s="1"/>
  <c r="C772" i="1" a="1"/>
  <c r="C772" i="1" s="1"/>
  <c r="E772" i="14" s="1"/>
  <c r="G772" i="1" a="1"/>
  <c r="G772" i="1" s="1"/>
  <c r="J772" i="1" a="1"/>
  <c r="J772" i="1" s="1"/>
  <c r="O772" i="1"/>
  <c r="M772" i="14" s="1"/>
  <c r="F773" i="1" a="1"/>
  <c r="F773" i="1" s="1"/>
  <c r="R773" i="14" s="1"/>
  <c r="J773" i="1" a="1"/>
  <c r="J773" i="1" s="1"/>
  <c r="O773" i="1"/>
  <c r="M773" i="14" s="1"/>
  <c r="F774" i="1" a="1"/>
  <c r="F774" i="1" s="1"/>
  <c r="R774" i="14" s="1"/>
  <c r="J774" i="1" a="1"/>
  <c r="J774" i="1" s="1"/>
  <c r="O774" i="1"/>
  <c r="M774" i="14" s="1"/>
  <c r="F775" i="1" a="1"/>
  <c r="F775" i="1" s="1"/>
  <c r="R775" i="14" s="1"/>
  <c r="J775" i="1" a="1"/>
  <c r="J775" i="1" s="1"/>
  <c r="O775" i="1"/>
  <c r="M775" i="14" s="1"/>
  <c r="F776" i="1" a="1"/>
  <c r="F776" i="1" s="1"/>
  <c r="R776" i="14" s="1"/>
  <c r="J776" i="1" a="1"/>
  <c r="J776" i="1" s="1"/>
  <c r="O776" i="1"/>
  <c r="M776" i="14" s="1"/>
  <c r="F777" i="1" a="1"/>
  <c r="F777" i="1" s="1"/>
  <c r="R777" i="14" s="1"/>
  <c r="J777" i="1" a="1"/>
  <c r="J777" i="1" s="1"/>
  <c r="O777" i="1"/>
  <c r="M777" i="14" s="1"/>
  <c r="F778" i="1" a="1"/>
  <c r="F778" i="1" s="1"/>
  <c r="R778" i="14" s="1"/>
  <c r="M778" i="1" a="1"/>
  <c r="M778" i="1" s="1"/>
  <c r="Q778" i="1" a="1"/>
  <c r="Q778" i="1" s="1"/>
  <c r="S778" i="14" s="1"/>
  <c r="D779" i="1" a="1"/>
  <c r="D779" i="1" s="1"/>
  <c r="I779" i="14" s="1"/>
  <c r="H779" i="1" a="1"/>
  <c r="H779" i="1" s="1"/>
  <c r="J779" i="14" s="1"/>
  <c r="L779" i="1" a="1"/>
  <c r="L779" i="1" s="1"/>
  <c r="Q779" i="1" a="1"/>
  <c r="Q779" i="1" s="1"/>
  <c r="S779" i="14" s="1"/>
  <c r="D780" i="1" a="1"/>
  <c r="D780" i="1" s="1"/>
  <c r="I780" i="14" s="1"/>
  <c r="H780" i="1" a="1"/>
  <c r="H780" i="1" s="1"/>
  <c r="J780" i="14" s="1"/>
  <c r="L780" i="1" a="1"/>
  <c r="L780" i="1" s="1"/>
  <c r="Q780" i="1" a="1"/>
  <c r="Q780" i="1" s="1"/>
  <c r="S780" i="14" s="1"/>
  <c r="C781" i="1" a="1"/>
  <c r="C781" i="1" s="1"/>
  <c r="E781" i="14" s="1"/>
  <c r="F781" i="1" a="1"/>
  <c r="F781" i="1" s="1"/>
  <c r="R781" i="14" s="1"/>
  <c r="J781" i="1" a="1"/>
  <c r="J781" i="1" s="1"/>
  <c r="M781" i="1" a="1"/>
  <c r="M781" i="1" s="1"/>
  <c r="M782" i="1" a="1"/>
  <c r="M782" i="1" s="1"/>
  <c r="M783" i="1" a="1"/>
  <c r="M783" i="1" s="1"/>
  <c r="M784" i="1" a="1"/>
  <c r="M784" i="1" s="1"/>
  <c r="M785" i="1" a="1"/>
  <c r="M785" i="1" s="1"/>
  <c r="M786" i="1" a="1"/>
  <c r="M786" i="1" s="1"/>
  <c r="H787" i="1" a="1"/>
  <c r="H787" i="1" s="1"/>
  <c r="J787" i="14" s="1"/>
  <c r="P787" i="1" a="1"/>
  <c r="P787" i="1" s="1"/>
  <c r="C788" i="1" a="1"/>
  <c r="C788" i="1" s="1"/>
  <c r="E788" i="14" s="1"/>
  <c r="G788" i="1" a="1"/>
  <c r="G788" i="1" s="1"/>
  <c r="K788" i="1" a="1"/>
  <c r="K788" i="1" s="1"/>
  <c r="P788" i="1" a="1"/>
  <c r="P788" i="1" s="1"/>
  <c r="L789" i="1" a="1"/>
  <c r="L789" i="1" s="1"/>
  <c r="Q789" i="1" a="1"/>
  <c r="Q789" i="1" s="1"/>
  <c r="S789" i="14" s="1"/>
  <c r="D790" i="1" a="1"/>
  <c r="D790" i="1" s="1"/>
  <c r="I790" i="14" s="1"/>
  <c r="G790" i="1" a="1"/>
  <c r="G790" i="1" s="1"/>
  <c r="K790" i="1" a="1"/>
  <c r="K790" i="1" s="1"/>
  <c r="P790" i="1" a="1"/>
  <c r="P790" i="1" s="1"/>
  <c r="C791" i="1" a="1"/>
  <c r="C791" i="1" s="1"/>
  <c r="E791" i="14" s="1"/>
  <c r="G791" i="1" a="1"/>
  <c r="G791" i="1" s="1"/>
  <c r="K791" i="1" a="1"/>
  <c r="K791" i="1" s="1"/>
  <c r="O791" i="1"/>
  <c r="M791" i="14" s="1"/>
  <c r="F792" i="1" a="1"/>
  <c r="F792" i="1" s="1"/>
  <c r="R792" i="14" s="1"/>
  <c r="J792" i="1" a="1"/>
  <c r="J792" i="1" s="1"/>
  <c r="O792" i="1"/>
  <c r="M792" i="14" s="1"/>
  <c r="F793" i="1" a="1"/>
  <c r="F793" i="1" s="1"/>
  <c r="R793" i="14" s="1"/>
  <c r="J793" i="1" a="1"/>
  <c r="J793" i="1" s="1"/>
  <c r="M793" i="1" a="1"/>
  <c r="M793" i="1" s="1"/>
  <c r="M794" i="1" a="1"/>
  <c r="M794" i="1" s="1"/>
  <c r="H795" i="1" a="1"/>
  <c r="H795" i="1" s="1"/>
  <c r="J795" i="14" s="1"/>
  <c r="P795" i="1" a="1"/>
  <c r="P795" i="1" s="1"/>
  <c r="C796" i="1" a="1"/>
  <c r="C796" i="1" s="1"/>
  <c r="E796" i="14" s="1"/>
  <c r="G796" i="1" a="1"/>
  <c r="G796" i="1" s="1"/>
  <c r="J796" i="1" a="1"/>
  <c r="J796" i="1" s="1"/>
  <c r="O796" i="1"/>
  <c r="M796" i="14" s="1"/>
  <c r="F797" i="1" a="1"/>
  <c r="F797" i="1" s="1"/>
  <c r="R797" i="14" s="1"/>
  <c r="J797" i="1" a="1"/>
  <c r="J797" i="1" s="1"/>
  <c r="O797" i="1"/>
  <c r="M797" i="14" s="1"/>
  <c r="F798" i="1" a="1"/>
  <c r="F798" i="1" s="1"/>
  <c r="R798" i="14" s="1"/>
  <c r="M798" i="1" a="1"/>
  <c r="M798" i="1" s="1"/>
  <c r="M799" i="1" a="1"/>
  <c r="M799" i="1" s="1"/>
  <c r="Q799" i="1" a="1"/>
  <c r="Q799" i="1" s="1"/>
  <c r="S799" i="14" s="1"/>
  <c r="D800" i="1" a="1"/>
  <c r="D800" i="1" s="1"/>
  <c r="I800" i="14" s="1"/>
  <c r="H800" i="1" a="1"/>
  <c r="H800" i="1" s="1"/>
  <c r="J800" i="14" s="1"/>
  <c r="L800" i="1" a="1"/>
  <c r="L800" i="1" s="1"/>
  <c r="Q800" i="1" a="1"/>
  <c r="Q800" i="1" s="1"/>
  <c r="S800" i="14" s="1"/>
  <c r="D801" i="1" a="1"/>
  <c r="D801" i="1" s="1"/>
  <c r="I801" i="14" s="1"/>
  <c r="H801" i="1" a="1"/>
  <c r="H801" i="1" s="1"/>
  <c r="J801" i="14" s="1"/>
  <c r="L801" i="1" a="1"/>
  <c r="L801" i="1" s="1"/>
  <c r="P801" i="1" a="1"/>
  <c r="P801" i="1" s="1"/>
  <c r="C802" i="1" a="1"/>
  <c r="C802" i="1" s="1"/>
  <c r="E802" i="14" s="1"/>
  <c r="G802" i="1" a="1"/>
  <c r="G802" i="1" s="1"/>
  <c r="J802" i="1" a="1"/>
  <c r="J802" i="1" s="1"/>
  <c r="O802" i="1"/>
  <c r="M802" i="14" s="1"/>
  <c r="M803" i="1" a="1"/>
  <c r="M803" i="1" s="1"/>
  <c r="H804" i="1" a="1"/>
  <c r="H804" i="1" s="1"/>
  <c r="J804" i="14" s="1"/>
  <c r="L804" i="1" a="1"/>
  <c r="L804" i="1" s="1"/>
  <c r="Q804" i="1" a="1"/>
  <c r="Q804" i="1" s="1"/>
  <c r="S804" i="14" s="1"/>
  <c r="D805" i="1" a="1"/>
  <c r="D805" i="1" s="1"/>
  <c r="I805" i="14" s="1"/>
  <c r="H805" i="1" a="1"/>
  <c r="H805" i="1" s="1"/>
  <c r="J805" i="14" s="1"/>
  <c r="L805" i="1" a="1"/>
  <c r="L805" i="1" s="1"/>
  <c r="Q805" i="1" a="1"/>
  <c r="Q805" i="1" s="1"/>
  <c r="S805" i="14" s="1"/>
  <c r="C806" i="1" a="1"/>
  <c r="C806" i="1" s="1"/>
  <c r="E806" i="14" s="1"/>
  <c r="G806" i="1" a="1"/>
  <c r="G806" i="1" s="1"/>
  <c r="K806" i="1" a="1"/>
  <c r="K806" i="1" s="1"/>
  <c r="P806" i="1" a="1"/>
  <c r="P806" i="1" s="1"/>
  <c r="C807" i="1" a="1"/>
  <c r="C807" i="1" s="1"/>
  <c r="E807" i="14" s="1"/>
  <c r="F807" i="1" a="1"/>
  <c r="F807" i="1" s="1"/>
  <c r="R807" i="14" s="1"/>
  <c r="J807" i="1" a="1"/>
  <c r="J807" i="1" s="1"/>
  <c r="M807" i="1" a="1"/>
  <c r="M807" i="1" s="1"/>
  <c r="H808" i="1" a="1"/>
  <c r="H808" i="1" s="1"/>
  <c r="J808" i="14" s="1"/>
  <c r="L808" i="1" a="1"/>
  <c r="L808" i="1" s="1"/>
  <c r="Q808" i="1" a="1"/>
  <c r="Q808" i="1" s="1"/>
  <c r="S808" i="14" s="1"/>
  <c r="D809" i="1" a="1"/>
  <c r="D809" i="1" s="1"/>
  <c r="I809" i="14" s="1"/>
  <c r="H809" i="1" a="1"/>
  <c r="H809" i="1" s="1"/>
  <c r="J809" i="14" s="1"/>
  <c r="L809" i="1" a="1"/>
  <c r="L809" i="1" s="1"/>
  <c r="Q809" i="1" a="1"/>
  <c r="Q809" i="1" s="1"/>
  <c r="S809" i="14" s="1"/>
  <c r="D810" i="1" a="1"/>
  <c r="D810" i="1" s="1"/>
  <c r="I810" i="14" s="1"/>
  <c r="H810" i="1" a="1"/>
  <c r="H810" i="1" s="1"/>
  <c r="J810" i="14" s="1"/>
  <c r="L810" i="1" a="1"/>
  <c r="L810" i="1" s="1"/>
  <c r="Q810" i="1" a="1"/>
  <c r="Q810" i="1" s="1"/>
  <c r="S810" i="14" s="1"/>
  <c r="D811" i="1" a="1"/>
  <c r="D811" i="1" s="1"/>
  <c r="I811" i="14" s="1"/>
  <c r="H811" i="1" a="1"/>
  <c r="H811" i="1" s="1"/>
  <c r="J811" i="14" s="1"/>
  <c r="L811" i="1" a="1"/>
  <c r="L811" i="1" s="1"/>
  <c r="Q811" i="1" a="1"/>
  <c r="Q811" i="1" s="1"/>
  <c r="S811" i="14" s="1"/>
  <c r="D812" i="1" a="1"/>
  <c r="D812" i="1" s="1"/>
  <c r="I812" i="14" s="1"/>
  <c r="H812" i="1" a="1"/>
  <c r="H812" i="1" s="1"/>
  <c r="J812" i="14" s="1"/>
  <c r="L812" i="1" a="1"/>
  <c r="L812" i="1" s="1"/>
  <c r="Q812" i="1" a="1"/>
  <c r="Q812" i="1" s="1"/>
  <c r="S812" i="14" s="1"/>
  <c r="D813" i="1" a="1"/>
  <c r="D813" i="1" s="1"/>
  <c r="I813" i="14" s="1"/>
  <c r="H813" i="1" a="1"/>
  <c r="H813" i="1" s="1"/>
  <c r="J813" i="14" s="1"/>
  <c r="L813" i="1" a="1"/>
  <c r="L813" i="1" s="1"/>
  <c r="Q813" i="1" a="1"/>
  <c r="Q813" i="1" s="1"/>
  <c r="S813" i="14" s="1"/>
  <c r="D814" i="1" a="1"/>
  <c r="D814" i="1" s="1"/>
  <c r="I814" i="14" s="1"/>
  <c r="H814" i="1" a="1"/>
  <c r="H814" i="1" s="1"/>
  <c r="J814" i="14" s="1"/>
  <c r="K814" i="1" a="1"/>
  <c r="K814" i="1" s="1"/>
  <c r="P814" i="1" a="1"/>
  <c r="P814" i="1" s="1"/>
  <c r="F815" i="1" a="1"/>
  <c r="F815" i="1" s="1"/>
  <c r="R815" i="14" s="1"/>
  <c r="J815" i="1" a="1"/>
  <c r="J815" i="1" s="1"/>
  <c r="O815" i="1"/>
  <c r="M815" i="14" s="1"/>
  <c r="F816" i="1" a="1"/>
  <c r="F816" i="1" s="1"/>
  <c r="R816" i="14" s="1"/>
  <c r="J816" i="1" a="1"/>
  <c r="J816" i="1" s="1"/>
  <c r="O816" i="1"/>
  <c r="M816" i="14" s="1"/>
  <c r="D817" i="1" a="1"/>
  <c r="D817" i="1" s="1"/>
  <c r="I817" i="14" s="1"/>
  <c r="H817" i="1" a="1"/>
  <c r="H817" i="1" s="1"/>
  <c r="J817" i="14" s="1"/>
  <c r="K817" i="1" a="1"/>
  <c r="K817" i="1" s="1"/>
  <c r="P817" i="1" a="1"/>
  <c r="P817" i="1" s="1"/>
  <c r="C818" i="1" a="1"/>
  <c r="C818" i="1" s="1"/>
  <c r="E818" i="14" s="1"/>
  <c r="G818" i="1" a="1"/>
  <c r="G818" i="1" s="1"/>
  <c r="K818" i="1" a="1"/>
  <c r="K818" i="1" s="1"/>
  <c r="P818" i="1" a="1"/>
  <c r="P818" i="1" s="1"/>
  <c r="C819" i="1" a="1"/>
  <c r="C819" i="1" s="1"/>
  <c r="E819" i="14" s="1"/>
  <c r="G819" i="1" a="1"/>
  <c r="G819" i="1" s="1"/>
  <c r="K819" i="1" a="1"/>
  <c r="K819" i="1" s="1"/>
  <c r="P819" i="1" a="1"/>
  <c r="P819" i="1" s="1"/>
  <c r="C820" i="1" a="1"/>
  <c r="C820" i="1" s="1"/>
  <c r="E820" i="14" s="1"/>
  <c r="G820" i="1" a="1"/>
  <c r="G820" i="1" s="1"/>
  <c r="K820" i="1" a="1"/>
  <c r="K820" i="1" s="1"/>
  <c r="P820" i="1" a="1"/>
  <c r="P820" i="1" s="1"/>
  <c r="C821" i="1" a="1"/>
  <c r="C821" i="1" s="1"/>
  <c r="E821" i="14" s="1"/>
  <c r="G821" i="1" a="1"/>
  <c r="G821" i="1" s="1"/>
  <c r="K821" i="1" a="1"/>
  <c r="K821" i="1" s="1"/>
  <c r="P821" i="1" a="1"/>
  <c r="P821" i="1" s="1"/>
  <c r="C822" i="1" a="1"/>
  <c r="C822" i="1" s="1"/>
  <c r="E822" i="14" s="1"/>
  <c r="G822" i="1" a="1"/>
  <c r="G822" i="1" s="1"/>
  <c r="K822" i="1" a="1"/>
  <c r="K822" i="1" s="1"/>
  <c r="P822" i="1" a="1"/>
  <c r="P822" i="1" s="1"/>
  <c r="C823" i="1" a="1"/>
  <c r="C823" i="1" s="1"/>
  <c r="E823" i="14" s="1"/>
  <c r="F823" i="1" a="1"/>
  <c r="F823" i="1" s="1"/>
  <c r="R823" i="14" s="1"/>
  <c r="J823" i="1" a="1"/>
  <c r="J823" i="1" s="1"/>
  <c r="M823" i="1" a="1"/>
  <c r="M823" i="1" s="1"/>
  <c r="M824" i="1" a="1"/>
  <c r="M824" i="1" s="1"/>
  <c r="G825" i="1" a="1"/>
  <c r="G825" i="1" s="1"/>
  <c r="O825" i="1"/>
  <c r="M825" i="14" s="1"/>
  <c r="F826" i="1" a="1"/>
  <c r="F826" i="1" s="1"/>
  <c r="R826" i="14" s="1"/>
  <c r="M826" i="1" a="1"/>
  <c r="M826" i="1" s="1"/>
  <c r="M827" i="1" a="1"/>
  <c r="M827" i="1" s="1"/>
  <c r="Q827" i="1" a="1"/>
  <c r="Q827" i="1" s="1"/>
  <c r="S827" i="14" s="1"/>
  <c r="D828" i="1" a="1"/>
  <c r="D828" i="1" s="1"/>
  <c r="I828" i="14" s="1"/>
  <c r="H828" i="1" a="1"/>
  <c r="H828" i="1" s="1"/>
  <c r="J828" i="14" s="1"/>
  <c r="L828" i="1" a="1"/>
  <c r="L828" i="1" s="1"/>
  <c r="Q828" i="1" a="1"/>
  <c r="Q828" i="1" s="1"/>
  <c r="S828" i="14" s="1"/>
  <c r="D829" i="1" a="1"/>
  <c r="D829" i="1" s="1"/>
  <c r="I829" i="14" s="1"/>
  <c r="H829" i="1" a="1"/>
  <c r="H829" i="1" s="1"/>
  <c r="J829" i="14" s="1"/>
  <c r="L829" i="1" a="1"/>
  <c r="L829" i="1" s="1"/>
  <c r="P829" i="1" a="1"/>
  <c r="P829" i="1" s="1"/>
  <c r="C830" i="1" a="1"/>
  <c r="C830" i="1" s="1"/>
  <c r="E830" i="14" s="1"/>
  <c r="G830" i="1" a="1"/>
  <c r="G830" i="1" s="1"/>
  <c r="K830" i="1" a="1"/>
  <c r="K830" i="1" s="1"/>
  <c r="P830" i="1" a="1"/>
  <c r="P830" i="1" s="1"/>
  <c r="C831" i="1" a="1"/>
  <c r="C831" i="1" s="1"/>
  <c r="E831" i="14" s="1"/>
  <c r="F831" i="1" a="1"/>
  <c r="F831" i="1" s="1"/>
  <c r="R831" i="14" s="1"/>
  <c r="J831" i="1" a="1"/>
  <c r="J831" i="1" s="1"/>
  <c r="M831" i="1" a="1"/>
  <c r="M831" i="1" s="1"/>
  <c r="H832" i="1" a="1"/>
  <c r="H832" i="1" s="1"/>
  <c r="J832" i="14" s="1"/>
  <c r="L832" i="1" a="1"/>
  <c r="L832" i="1" s="1"/>
  <c r="Q832" i="1" a="1"/>
  <c r="Q832" i="1" s="1"/>
  <c r="S832" i="14" s="1"/>
  <c r="D833" i="1" a="1"/>
  <c r="D833" i="1" s="1"/>
  <c r="I833" i="14" s="1"/>
  <c r="H833" i="1" a="1"/>
  <c r="H833" i="1" s="1"/>
  <c r="J833" i="14" s="1"/>
  <c r="L833" i="1" a="1"/>
  <c r="L833" i="1" s="1"/>
  <c r="Q833" i="1" a="1"/>
  <c r="Q833" i="1" s="1"/>
  <c r="S833" i="14" s="1"/>
  <c r="D834" i="1" a="1"/>
  <c r="D834" i="1" s="1"/>
  <c r="I834" i="14" s="1"/>
  <c r="G834" i="1" a="1"/>
  <c r="G834" i="1" s="1"/>
  <c r="K834" i="1" a="1"/>
  <c r="K834" i="1" s="1"/>
  <c r="P834" i="1" a="1"/>
  <c r="P834" i="1" s="1"/>
  <c r="C835" i="1" a="1"/>
  <c r="C835" i="1" s="1"/>
  <c r="E835" i="14" s="1"/>
  <c r="G835" i="1" a="1"/>
  <c r="G835" i="1" s="1"/>
  <c r="K835" i="1" a="1"/>
  <c r="K835" i="1" s="1"/>
  <c r="O835" i="1"/>
  <c r="M835" i="14" s="1"/>
  <c r="F836" i="1" a="1"/>
  <c r="F836" i="1" s="1"/>
  <c r="R836" i="14" s="1"/>
  <c r="J836" i="1" a="1"/>
  <c r="J836" i="1" s="1"/>
  <c r="O836" i="1"/>
  <c r="M836" i="14" s="1"/>
  <c r="F837" i="1" a="1"/>
  <c r="F837" i="1" s="1"/>
  <c r="R837" i="14" s="1"/>
  <c r="J837" i="1" a="1"/>
  <c r="J837" i="1" s="1"/>
  <c r="M837" i="1" a="1"/>
  <c r="M837" i="1" s="1"/>
  <c r="L838" i="1" a="1"/>
  <c r="L838" i="1" s="1"/>
  <c r="C839" i="1" a="1"/>
  <c r="C839" i="1" s="1"/>
  <c r="E839" i="14" s="1"/>
  <c r="G839" i="1" a="1"/>
  <c r="G839" i="1" s="1"/>
  <c r="K839" i="1" a="1"/>
  <c r="K839" i="1" s="1"/>
  <c r="P839" i="1" a="1"/>
  <c r="P839" i="1" s="1"/>
  <c r="C840" i="1" a="1"/>
  <c r="C840" i="1" s="1"/>
  <c r="E840" i="14" s="1"/>
  <c r="G840" i="1" a="1"/>
  <c r="G840" i="1" s="1"/>
  <c r="J840" i="1" a="1"/>
  <c r="J840" i="1" s="1"/>
  <c r="O840" i="1"/>
  <c r="M840" i="14" s="1"/>
  <c r="F841" i="1" a="1"/>
  <c r="F841" i="1" s="1"/>
  <c r="R841" i="14" s="1"/>
  <c r="J841" i="1" a="1"/>
  <c r="J841" i="1" s="1"/>
  <c r="O841" i="1"/>
  <c r="M841" i="14" s="1"/>
  <c r="F842" i="1" a="1"/>
  <c r="F842" i="1" s="1"/>
  <c r="R842" i="14" s="1"/>
  <c r="J842" i="1" a="1"/>
  <c r="J842" i="1" s="1"/>
  <c r="O842" i="1"/>
  <c r="M842" i="14" s="1"/>
  <c r="F843" i="1" a="1"/>
  <c r="F843" i="1" s="1"/>
  <c r="R843" i="14" s="1"/>
  <c r="J843" i="1" a="1"/>
  <c r="J843" i="1" s="1"/>
  <c r="O843" i="1"/>
  <c r="M843" i="14" s="1"/>
  <c r="F844" i="1" a="1"/>
  <c r="F844" i="1" s="1"/>
  <c r="R844" i="14" s="1"/>
  <c r="J844" i="1" a="1"/>
  <c r="J844" i="1" s="1"/>
  <c r="O844" i="1"/>
  <c r="M844" i="14" s="1"/>
  <c r="F845" i="1" a="1"/>
  <c r="F845" i="1" s="1"/>
  <c r="R845" i="14" s="1"/>
  <c r="J845" i="1" a="1"/>
  <c r="J845" i="1" s="1"/>
  <c r="O845" i="1"/>
  <c r="M845" i="14" s="1"/>
  <c r="F846" i="1" a="1"/>
  <c r="F846" i="1" s="1"/>
  <c r="R846" i="14" s="1"/>
  <c r="M846" i="1" a="1"/>
  <c r="M846" i="1" s="1"/>
  <c r="Q846" i="1" a="1"/>
  <c r="Q846" i="1" s="1"/>
  <c r="S846" i="14" s="1"/>
  <c r="D847" i="1" a="1"/>
  <c r="D847" i="1" s="1"/>
  <c r="I847" i="14" s="1"/>
  <c r="H847" i="1" a="1"/>
  <c r="H847" i="1" s="1"/>
  <c r="J847" i="14" s="1"/>
  <c r="M688" i="1" a="1"/>
  <c r="M688" i="1" s="1"/>
  <c r="D689" i="1" a="1"/>
  <c r="D689" i="1" s="1"/>
  <c r="I689" i="14" s="1"/>
  <c r="L689" i="1" a="1"/>
  <c r="L689" i="1" s="1"/>
  <c r="D690" i="1" a="1"/>
  <c r="D690" i="1" s="1"/>
  <c r="I690" i="14" s="1"/>
  <c r="K690" i="1" a="1"/>
  <c r="K690" i="1" s="1"/>
  <c r="G692" i="1" a="1"/>
  <c r="G692" i="1" s="1"/>
  <c r="P692" i="1" a="1"/>
  <c r="P692" i="1" s="1"/>
  <c r="M693" i="1" a="1"/>
  <c r="M693" i="1" s="1"/>
  <c r="C694" i="1" a="1"/>
  <c r="C694" i="1" s="1"/>
  <c r="E694" i="14" s="1"/>
  <c r="K694" i="1" a="1"/>
  <c r="K694" i="1" s="1"/>
  <c r="G696" i="1" a="1"/>
  <c r="G696" i="1" s="1"/>
  <c r="L696" i="1" a="1"/>
  <c r="L696" i="1" s="1"/>
  <c r="G697" i="1" a="1"/>
  <c r="G697" i="1" s="1"/>
  <c r="M697" i="1" a="1"/>
  <c r="M697" i="1" s="1"/>
  <c r="G698" i="1" a="1"/>
  <c r="G698" i="1" s="1"/>
  <c r="M698" i="1" a="1"/>
  <c r="M698" i="1" s="1"/>
  <c r="P699" i="1" a="1"/>
  <c r="P699" i="1" s="1"/>
  <c r="C700" i="1" a="1"/>
  <c r="C700" i="1" s="1"/>
  <c r="E700" i="14" s="1"/>
  <c r="M700" i="1" a="1"/>
  <c r="M700" i="1" s="1"/>
  <c r="K701" i="1" a="1"/>
  <c r="K701" i="1" s="1"/>
  <c r="Q701" i="1" a="1"/>
  <c r="Q701" i="1" s="1"/>
  <c r="S701" i="14" s="1"/>
  <c r="D702" i="1" a="1"/>
  <c r="D702" i="1" s="1"/>
  <c r="I702" i="14" s="1"/>
  <c r="H702" i="1" a="1"/>
  <c r="H702" i="1" s="1"/>
  <c r="J702" i="14" s="1"/>
  <c r="L702" i="1" a="1"/>
  <c r="L702" i="1" s="1"/>
  <c r="F704" i="1" a="1"/>
  <c r="F704" i="1" s="1"/>
  <c r="R704" i="14" s="1"/>
  <c r="K704" i="1" a="1"/>
  <c r="K704" i="1" s="1"/>
  <c r="Q704" i="1" a="1"/>
  <c r="Q704" i="1" s="1"/>
  <c r="S704" i="14" s="1"/>
  <c r="D705" i="1" a="1"/>
  <c r="D705" i="1" s="1"/>
  <c r="I705" i="14" s="1"/>
  <c r="O705" i="1"/>
  <c r="M705" i="14" s="1"/>
  <c r="F706" i="1" a="1"/>
  <c r="F706" i="1" s="1"/>
  <c r="R706" i="14" s="1"/>
  <c r="J706" i="1" a="1"/>
  <c r="J706" i="1" s="1"/>
  <c r="O706" i="1"/>
  <c r="M706" i="14" s="1"/>
  <c r="M707" i="1" a="1"/>
  <c r="M707" i="1" s="1"/>
  <c r="M708" i="1" a="1"/>
  <c r="M708" i="1" s="1"/>
  <c r="M709" i="1" a="1"/>
  <c r="M709" i="1" s="1"/>
  <c r="M710" i="1" a="1"/>
  <c r="M710" i="1" s="1"/>
  <c r="M711" i="1" a="1"/>
  <c r="M711" i="1" s="1"/>
  <c r="D712" i="1" a="1"/>
  <c r="D712" i="1" s="1"/>
  <c r="I712" i="14" s="1"/>
  <c r="H712" i="1" a="1"/>
  <c r="H712" i="1" s="1"/>
  <c r="J712" i="14" s="1"/>
  <c r="K712" i="1" a="1"/>
  <c r="K712" i="1" s="1"/>
  <c r="O712" i="1"/>
  <c r="M712" i="14" s="1"/>
  <c r="H713" i="1" a="1"/>
  <c r="H713" i="1" s="1"/>
  <c r="J713" i="14" s="1"/>
  <c r="K713" i="1" a="1"/>
  <c r="K713" i="1" s="1"/>
  <c r="P713" i="1" a="1"/>
  <c r="P713" i="1" s="1"/>
  <c r="H714" i="1" a="1"/>
  <c r="H714" i="1" s="1"/>
  <c r="J714" i="14" s="1"/>
  <c r="L714" i="1" a="1"/>
  <c r="L714" i="1" s="1"/>
  <c r="P714" i="1" a="1"/>
  <c r="P714" i="1" s="1"/>
  <c r="F715" i="1" a="1"/>
  <c r="F715" i="1" s="1"/>
  <c r="R715" i="14" s="1"/>
  <c r="J715" i="1" a="1"/>
  <c r="J715" i="1" s="1"/>
  <c r="Q715" i="1" a="1"/>
  <c r="Q715" i="1" s="1"/>
  <c r="S715" i="14" s="1"/>
  <c r="D716" i="1" a="1"/>
  <c r="D716" i="1" s="1"/>
  <c r="I716" i="14" s="1"/>
  <c r="H716" i="1" a="1"/>
  <c r="H716" i="1" s="1"/>
  <c r="J716" i="14" s="1"/>
  <c r="L716" i="1" a="1"/>
  <c r="L716" i="1" s="1"/>
  <c r="Q716" i="1" a="1"/>
  <c r="Q716" i="1" s="1"/>
  <c r="S716" i="14" s="1"/>
  <c r="D717" i="1" a="1"/>
  <c r="D717" i="1" s="1"/>
  <c r="I717" i="14" s="1"/>
  <c r="H717" i="1" a="1"/>
  <c r="H717" i="1" s="1"/>
  <c r="J717" i="14" s="1"/>
  <c r="L717" i="1" a="1"/>
  <c r="L717" i="1" s="1"/>
  <c r="Q717" i="1" a="1"/>
  <c r="Q717" i="1" s="1"/>
  <c r="S717" i="14" s="1"/>
  <c r="D718" i="1" a="1"/>
  <c r="D718" i="1" s="1"/>
  <c r="I718" i="14" s="1"/>
  <c r="H718" i="1" a="1"/>
  <c r="H718" i="1" s="1"/>
  <c r="J718" i="14" s="1"/>
  <c r="K718" i="1" a="1"/>
  <c r="K718" i="1" s="1"/>
  <c r="P718" i="1" a="1"/>
  <c r="P718" i="1" s="1"/>
  <c r="C719" i="1" a="1"/>
  <c r="C719" i="1" s="1"/>
  <c r="E719" i="14" s="1"/>
  <c r="G719" i="1" a="1"/>
  <c r="G719" i="1" s="1"/>
  <c r="K719" i="1" a="1"/>
  <c r="K719" i="1" s="1"/>
  <c r="P719" i="1" a="1"/>
  <c r="P719" i="1" s="1"/>
  <c r="C720" i="1" a="1"/>
  <c r="C720" i="1" s="1"/>
  <c r="E720" i="14" s="1"/>
  <c r="F720" i="1" a="1"/>
  <c r="F720" i="1" s="1"/>
  <c r="R720" i="14" s="1"/>
  <c r="L720" i="1" a="1"/>
  <c r="L720" i="1" s="1"/>
  <c r="P720" i="1" a="1"/>
  <c r="P720" i="1" s="1"/>
  <c r="H721" i="1" a="1"/>
  <c r="H721" i="1" s="1"/>
  <c r="J721" i="14" s="1"/>
  <c r="K721" i="1" a="1"/>
  <c r="K721" i="1" s="1"/>
  <c r="O721" i="1"/>
  <c r="M721" i="14" s="1"/>
  <c r="D722" i="1" a="1"/>
  <c r="D722" i="1" s="1"/>
  <c r="I722" i="14" s="1"/>
  <c r="G722" i="1" a="1"/>
  <c r="G722" i="1" s="1"/>
  <c r="J722" i="1" a="1"/>
  <c r="J722" i="1" s="1"/>
  <c r="M722" i="1" a="1"/>
  <c r="M722" i="1" s="1"/>
  <c r="M723" i="1" a="1"/>
  <c r="M723" i="1" s="1"/>
  <c r="Q723" i="1" a="1"/>
  <c r="Q723" i="1" s="1"/>
  <c r="S723" i="14" s="1"/>
  <c r="D724" i="1" a="1"/>
  <c r="D724" i="1" s="1"/>
  <c r="I724" i="14" s="1"/>
  <c r="H724" i="1" a="1"/>
  <c r="H724" i="1" s="1"/>
  <c r="J724" i="14" s="1"/>
  <c r="L724" i="1" a="1"/>
  <c r="L724" i="1" s="1"/>
  <c r="Q724" i="1" a="1"/>
  <c r="Q724" i="1" s="1"/>
  <c r="S724" i="14" s="1"/>
  <c r="D725" i="1" a="1"/>
  <c r="D725" i="1" s="1"/>
  <c r="I725" i="14" s="1"/>
  <c r="H725" i="1" a="1"/>
  <c r="H725" i="1" s="1"/>
  <c r="J725" i="14" s="1"/>
  <c r="L725" i="1" a="1"/>
  <c r="L725" i="1" s="1"/>
  <c r="Q725" i="1" a="1"/>
  <c r="Q725" i="1" s="1"/>
  <c r="S725" i="14" s="1"/>
  <c r="D726" i="1" a="1"/>
  <c r="D726" i="1" s="1"/>
  <c r="I726" i="14" s="1"/>
  <c r="H726" i="1" a="1"/>
  <c r="H726" i="1" s="1"/>
  <c r="J726" i="14" s="1"/>
  <c r="L726" i="1" a="1"/>
  <c r="L726" i="1" s="1"/>
  <c r="Q726" i="1" a="1"/>
  <c r="Q726" i="1" s="1"/>
  <c r="S726" i="14" s="1"/>
  <c r="D727" i="1" a="1"/>
  <c r="D727" i="1" s="1"/>
  <c r="I727" i="14" s="1"/>
  <c r="H727" i="1" a="1"/>
  <c r="H727" i="1" s="1"/>
  <c r="J727" i="14" s="1"/>
  <c r="K727" i="1" a="1"/>
  <c r="K727" i="1" s="1"/>
  <c r="O727" i="1"/>
  <c r="M727" i="14" s="1"/>
  <c r="F728" i="1" a="1"/>
  <c r="F728" i="1" s="1"/>
  <c r="R728" i="14" s="1"/>
  <c r="J728" i="1" a="1"/>
  <c r="J728" i="1" s="1"/>
  <c r="O728" i="1"/>
  <c r="M728" i="14" s="1"/>
  <c r="F729" i="1" a="1"/>
  <c r="F729" i="1" s="1"/>
  <c r="R729" i="14" s="1"/>
  <c r="J729" i="1" a="1"/>
  <c r="J729" i="1" s="1"/>
  <c r="M729" i="1" a="1"/>
  <c r="M729" i="1" s="1"/>
  <c r="L730" i="1" a="1"/>
  <c r="L730" i="1" s="1"/>
  <c r="Q730" i="1" a="1"/>
  <c r="Q730" i="1" s="1"/>
  <c r="S730" i="14" s="1"/>
  <c r="D731" i="1" a="1"/>
  <c r="D731" i="1" s="1"/>
  <c r="I731" i="14" s="1"/>
  <c r="G731" i="1" a="1"/>
  <c r="G731" i="1" s="1"/>
  <c r="K731" i="1" a="1"/>
  <c r="K731" i="1" s="1"/>
  <c r="O731" i="1"/>
  <c r="M731" i="14" s="1"/>
  <c r="F732" i="1" a="1"/>
  <c r="F732" i="1" s="1"/>
  <c r="R732" i="14" s="1"/>
  <c r="J732" i="1" a="1"/>
  <c r="J732" i="1" s="1"/>
  <c r="O732" i="1"/>
  <c r="M732" i="14" s="1"/>
  <c r="F733" i="1" a="1"/>
  <c r="F733" i="1" s="1"/>
  <c r="R733" i="14" s="1"/>
  <c r="J733" i="1" a="1"/>
  <c r="J733" i="1" s="1"/>
  <c r="M733" i="1" a="1"/>
  <c r="M733" i="1" s="1"/>
  <c r="M734" i="1" a="1"/>
  <c r="M734" i="1" s="1"/>
  <c r="M735" i="1" a="1"/>
  <c r="M735" i="1" s="1"/>
  <c r="M736" i="1" a="1"/>
  <c r="M736" i="1" s="1"/>
  <c r="G737" i="1" a="1"/>
  <c r="G737" i="1" s="1"/>
  <c r="O737" i="1"/>
  <c r="M737" i="14" s="1"/>
  <c r="F738" i="1" a="1"/>
  <c r="F738" i="1" s="1"/>
  <c r="R738" i="14" s="1"/>
  <c r="J738" i="1" a="1"/>
  <c r="J738" i="1" s="1"/>
  <c r="O738" i="1"/>
  <c r="M738" i="14" s="1"/>
  <c r="F739" i="1" a="1"/>
  <c r="F739" i="1" s="1"/>
  <c r="R739" i="14" s="1"/>
  <c r="J739" i="1" a="1"/>
  <c r="J739" i="1" s="1"/>
  <c r="O739" i="1"/>
  <c r="M739" i="14" s="1"/>
  <c r="F740" i="1" a="1"/>
  <c r="F740" i="1" s="1"/>
  <c r="R740" i="14" s="1"/>
  <c r="M740" i="1" a="1"/>
  <c r="M740" i="1" s="1"/>
  <c r="M741" i="1" a="1"/>
  <c r="M741" i="1" s="1"/>
  <c r="M742" i="1" a="1"/>
  <c r="M742" i="1" s="1"/>
  <c r="H743" i="1" a="1"/>
  <c r="H743" i="1" s="1"/>
  <c r="J743" i="14" s="1"/>
  <c r="L743" i="1" a="1"/>
  <c r="L743" i="1" s="1"/>
  <c r="Q743" i="1" a="1"/>
  <c r="Q743" i="1" s="1"/>
  <c r="S743" i="14" s="1"/>
  <c r="D744" i="1" a="1"/>
  <c r="D744" i="1" s="1"/>
  <c r="I744" i="14" s="1"/>
  <c r="H744" i="1" a="1"/>
  <c r="H744" i="1" s="1"/>
  <c r="J744" i="14" s="1"/>
  <c r="L744" i="1" a="1"/>
  <c r="L744" i="1" s="1"/>
  <c r="Q744" i="1" a="1"/>
  <c r="Q744" i="1" s="1"/>
  <c r="S744" i="14" s="1"/>
  <c r="D745" i="1" a="1"/>
  <c r="D745" i="1" s="1"/>
  <c r="I745" i="14" s="1"/>
  <c r="H745" i="1" a="1"/>
  <c r="H745" i="1" s="1"/>
  <c r="J745" i="14" s="1"/>
  <c r="L745" i="1" a="1"/>
  <c r="L745" i="1" s="1"/>
  <c r="Q745" i="1" a="1"/>
  <c r="Q745" i="1" s="1"/>
  <c r="S745" i="14" s="1"/>
  <c r="D746" i="1" a="1"/>
  <c r="D746" i="1" s="1"/>
  <c r="I746" i="14" s="1"/>
  <c r="H746" i="1" a="1"/>
  <c r="H746" i="1" s="1"/>
  <c r="J746" i="14" s="1"/>
  <c r="L746" i="1" a="1"/>
  <c r="L746" i="1" s="1"/>
  <c r="Q746" i="1" a="1"/>
  <c r="Q746" i="1" s="1"/>
  <c r="S746" i="14" s="1"/>
  <c r="D747" i="1" a="1"/>
  <c r="D747" i="1" s="1"/>
  <c r="I747" i="14" s="1"/>
  <c r="G747" i="1" a="1"/>
  <c r="G747" i="1" s="1"/>
  <c r="K747" i="1" a="1"/>
  <c r="K747" i="1" s="1"/>
  <c r="O747" i="1"/>
  <c r="M747" i="14" s="1"/>
  <c r="F748" i="1" a="1"/>
  <c r="F748" i="1" s="1"/>
  <c r="R748" i="14" s="1"/>
  <c r="J748" i="1" a="1"/>
  <c r="J748" i="1" s="1"/>
  <c r="O748" i="1"/>
  <c r="M748" i="14" s="1"/>
  <c r="D749" i="1" a="1"/>
  <c r="D749" i="1" s="1"/>
  <c r="I749" i="14" s="1"/>
  <c r="H749" i="1" a="1"/>
  <c r="H749" i="1" s="1"/>
  <c r="J749" i="14" s="1"/>
  <c r="K749" i="1" a="1"/>
  <c r="K749" i="1" s="1"/>
  <c r="P749" i="1" a="1"/>
  <c r="P749" i="1" s="1"/>
  <c r="C750" i="1" a="1"/>
  <c r="C750" i="1" s="1"/>
  <c r="E750" i="14" s="1"/>
  <c r="J750" i="1" a="1"/>
  <c r="J750" i="1" s="1"/>
  <c r="O750" i="1"/>
  <c r="M750" i="14" s="1"/>
  <c r="F751" i="1" a="1"/>
  <c r="F751" i="1" s="1"/>
  <c r="R751" i="14" s="1"/>
  <c r="J751" i="1" a="1"/>
  <c r="J751" i="1" s="1"/>
  <c r="H752" i="1" a="1"/>
  <c r="H752" i="1" s="1"/>
  <c r="J752" i="14" s="1"/>
  <c r="L752" i="1" a="1"/>
  <c r="L752" i="1" s="1"/>
  <c r="Q752" i="1" a="1"/>
  <c r="Q752" i="1" s="1"/>
  <c r="S752" i="14" s="1"/>
  <c r="D753" i="1" a="1"/>
  <c r="D753" i="1" s="1"/>
  <c r="I753" i="14" s="1"/>
  <c r="H753" i="1" a="1"/>
  <c r="H753" i="1" s="1"/>
  <c r="J753" i="14" s="1"/>
  <c r="L753" i="1" a="1"/>
  <c r="L753" i="1" s="1"/>
  <c r="Q753" i="1" a="1"/>
  <c r="Q753" i="1" s="1"/>
  <c r="S753" i="14" s="1"/>
  <c r="D754" i="1" a="1"/>
  <c r="D754" i="1" s="1"/>
  <c r="I754" i="14" s="1"/>
  <c r="H754" i="1" a="1"/>
  <c r="H754" i="1" s="1"/>
  <c r="J754" i="14" s="1"/>
  <c r="L754" i="1" a="1"/>
  <c r="L754" i="1" s="1"/>
  <c r="Q754" i="1" a="1"/>
  <c r="Q754" i="1" s="1"/>
  <c r="S754" i="14" s="1"/>
  <c r="D755" i="1" a="1"/>
  <c r="D755" i="1" s="1"/>
  <c r="I755" i="14" s="1"/>
  <c r="G755" i="1" a="1"/>
  <c r="G755" i="1" s="1"/>
  <c r="K755" i="1" a="1"/>
  <c r="K755" i="1" s="1"/>
  <c r="O755" i="1"/>
  <c r="M755" i="14" s="1"/>
  <c r="F756" i="1" a="1"/>
  <c r="F756" i="1" s="1"/>
  <c r="R756" i="14" s="1"/>
  <c r="J756" i="1" a="1"/>
  <c r="J756" i="1" s="1"/>
  <c r="O756" i="1"/>
  <c r="M756" i="14" s="1"/>
  <c r="D757" i="1" a="1"/>
  <c r="D757" i="1" s="1"/>
  <c r="I757" i="14" s="1"/>
  <c r="H757" i="1" a="1"/>
  <c r="H757" i="1" s="1"/>
  <c r="J757" i="14" s="1"/>
  <c r="K757" i="1" a="1"/>
  <c r="K757" i="1" s="1"/>
  <c r="P757" i="1" a="1"/>
  <c r="P757" i="1" s="1"/>
  <c r="C758" i="1" a="1"/>
  <c r="C758" i="1" s="1"/>
  <c r="E758" i="14" s="1"/>
  <c r="J758" i="1" a="1"/>
  <c r="J758" i="1" s="1"/>
  <c r="O758" i="1"/>
  <c r="M758" i="14" s="1"/>
  <c r="F759" i="1" a="1"/>
  <c r="F759" i="1" s="1"/>
  <c r="R759" i="14" s="1"/>
  <c r="J759" i="1" a="1"/>
  <c r="J759" i="1" s="1"/>
  <c r="M760" i="1" a="1"/>
  <c r="M760" i="1" s="1"/>
  <c r="Q761" i="1" a="1"/>
  <c r="Q761" i="1" s="1"/>
  <c r="S761" i="14" s="1"/>
  <c r="D762" i="1" a="1"/>
  <c r="D762" i="1" s="1"/>
  <c r="I762" i="14" s="1"/>
  <c r="H762" i="1" a="1"/>
  <c r="H762" i="1" s="1"/>
  <c r="J762" i="14" s="1"/>
  <c r="L762" i="1" a="1"/>
  <c r="L762" i="1" s="1"/>
  <c r="Q762" i="1" a="1"/>
  <c r="Q762" i="1" s="1"/>
  <c r="S762" i="14" s="1"/>
  <c r="D763" i="1" a="1"/>
  <c r="D763" i="1" s="1"/>
  <c r="I763" i="14" s="1"/>
  <c r="G763" i="1" a="1"/>
  <c r="G763" i="1" s="1"/>
  <c r="K763" i="1" a="1"/>
  <c r="K763" i="1" s="1"/>
  <c r="O763" i="1"/>
  <c r="M763" i="14" s="1"/>
  <c r="F764" i="1" a="1"/>
  <c r="F764" i="1" s="1"/>
  <c r="R764" i="14" s="1"/>
  <c r="M764" i="1" a="1"/>
  <c r="M764" i="1" s="1"/>
  <c r="M765" i="1" a="1"/>
  <c r="M765" i="1" s="1"/>
  <c r="H766" i="1" a="1"/>
  <c r="H766" i="1" s="1"/>
  <c r="J766" i="14" s="1"/>
  <c r="L766" i="1" a="1"/>
  <c r="L766" i="1" s="1"/>
  <c r="Q766" i="1" a="1"/>
  <c r="Q766" i="1" s="1"/>
  <c r="S766" i="14" s="1"/>
  <c r="D767" i="1" a="1"/>
  <c r="D767" i="1" s="1"/>
  <c r="I767" i="14" s="1"/>
  <c r="H767" i="1" a="1"/>
  <c r="H767" i="1" s="1"/>
  <c r="J767" i="14" s="1"/>
  <c r="L767" i="1" a="1"/>
  <c r="L767" i="1" s="1"/>
  <c r="P767" i="1" a="1"/>
  <c r="P767" i="1" s="1"/>
  <c r="C768" i="1" a="1"/>
  <c r="C768" i="1" s="1"/>
  <c r="E768" i="14" s="1"/>
  <c r="G768" i="1" a="1"/>
  <c r="G768" i="1" s="1"/>
  <c r="K768" i="1" a="1"/>
  <c r="K768" i="1" s="1"/>
  <c r="P768" i="1" a="1"/>
  <c r="P768" i="1" s="1"/>
  <c r="C769" i="1" a="1"/>
  <c r="C769" i="1" s="1"/>
  <c r="E769" i="14" s="1"/>
  <c r="G769" i="1" a="1"/>
  <c r="G769" i="1" s="1"/>
  <c r="K769" i="1" a="1"/>
  <c r="K769" i="1" s="1"/>
  <c r="O769" i="1"/>
  <c r="M769" i="14" s="1"/>
  <c r="F770" i="1" a="1"/>
  <c r="F770" i="1" s="1"/>
  <c r="R770" i="14" s="1"/>
  <c r="M770" i="1" a="1"/>
  <c r="M770" i="1" s="1"/>
  <c r="Q770" i="1" a="1"/>
  <c r="Q770" i="1" s="1"/>
  <c r="S770" i="14" s="1"/>
  <c r="D771" i="1" a="1"/>
  <c r="D771" i="1" s="1"/>
  <c r="I771" i="14" s="1"/>
  <c r="H771" i="1" a="1"/>
  <c r="H771" i="1" s="1"/>
  <c r="J771" i="14" s="1"/>
  <c r="L771" i="1" a="1"/>
  <c r="L771" i="1" s="1"/>
  <c r="Q771" i="1" a="1"/>
  <c r="Q771" i="1" s="1"/>
  <c r="S771" i="14" s="1"/>
  <c r="D772" i="1" a="1"/>
  <c r="D772" i="1" s="1"/>
  <c r="I772" i="14" s="1"/>
  <c r="K772" i="1" a="1"/>
  <c r="K772" i="1" s="1"/>
  <c r="P772" i="1" a="1"/>
  <c r="P772" i="1" s="1"/>
  <c r="C773" i="1" a="1"/>
  <c r="C773" i="1" s="1"/>
  <c r="E773" i="14" s="1"/>
  <c r="G773" i="1" a="1"/>
  <c r="G773" i="1" s="1"/>
  <c r="K773" i="1" a="1"/>
  <c r="K773" i="1" s="1"/>
  <c r="P773" i="1" a="1"/>
  <c r="P773" i="1" s="1"/>
  <c r="C774" i="1" a="1"/>
  <c r="C774" i="1" s="1"/>
  <c r="E774" i="14" s="1"/>
  <c r="G774" i="1" a="1"/>
  <c r="G774" i="1" s="1"/>
  <c r="K774" i="1" a="1"/>
  <c r="K774" i="1" s="1"/>
  <c r="P774" i="1" a="1"/>
  <c r="P774" i="1" s="1"/>
  <c r="C775" i="1" a="1"/>
  <c r="C775" i="1" s="1"/>
  <c r="E775" i="14" s="1"/>
  <c r="G775" i="1" a="1"/>
  <c r="G775" i="1" s="1"/>
  <c r="K775" i="1" a="1"/>
  <c r="K775" i="1" s="1"/>
  <c r="P775" i="1" a="1"/>
  <c r="P775" i="1" s="1"/>
  <c r="C776" i="1" a="1"/>
  <c r="C776" i="1" s="1"/>
  <c r="E776" i="14" s="1"/>
  <c r="G776" i="1" a="1"/>
  <c r="G776" i="1" s="1"/>
  <c r="K776" i="1" a="1"/>
  <c r="K776" i="1" s="1"/>
  <c r="P776" i="1" a="1"/>
  <c r="P776" i="1" s="1"/>
  <c r="C777" i="1" a="1"/>
  <c r="C777" i="1" s="1"/>
  <c r="E777" i="14" s="1"/>
  <c r="G777" i="1" a="1"/>
  <c r="G777" i="1" s="1"/>
  <c r="K777" i="1" a="1"/>
  <c r="K777" i="1" s="1"/>
  <c r="P777" i="1" a="1"/>
  <c r="P777" i="1" s="1"/>
  <c r="C778" i="1" a="1"/>
  <c r="C778" i="1" s="1"/>
  <c r="E778" i="14" s="1"/>
  <c r="G778" i="1" a="1"/>
  <c r="G778" i="1" s="1"/>
  <c r="J778" i="1" a="1"/>
  <c r="J778" i="1" s="1"/>
  <c r="O778" i="1"/>
  <c r="M778" i="14" s="1"/>
  <c r="M779" i="1" a="1"/>
  <c r="M779" i="1" s="1"/>
  <c r="M780" i="1" a="1"/>
  <c r="M780" i="1" s="1"/>
  <c r="G781" i="1" a="1"/>
  <c r="G781" i="1" s="1"/>
  <c r="O781" i="1"/>
  <c r="M781" i="14" s="1"/>
  <c r="F782" i="1" a="1"/>
  <c r="F782" i="1" s="1"/>
  <c r="R782" i="14" s="1"/>
  <c r="J782" i="1" a="1"/>
  <c r="J782" i="1" s="1"/>
  <c r="O782" i="1"/>
  <c r="M782" i="14" s="1"/>
  <c r="F783" i="1" a="1"/>
  <c r="F783" i="1" s="1"/>
  <c r="R783" i="14" s="1"/>
  <c r="J783" i="1" a="1"/>
  <c r="J783" i="1" s="1"/>
  <c r="O783" i="1"/>
  <c r="M783" i="14" s="1"/>
  <c r="F784" i="1" a="1"/>
  <c r="F784" i="1" s="1"/>
  <c r="R784" i="14" s="1"/>
  <c r="J784" i="1" a="1"/>
  <c r="J784" i="1" s="1"/>
  <c r="O784" i="1"/>
  <c r="M784" i="14" s="1"/>
  <c r="F785" i="1" a="1"/>
  <c r="F785" i="1" s="1"/>
  <c r="R785" i="14" s="1"/>
  <c r="J785" i="1" a="1"/>
  <c r="J785" i="1" s="1"/>
  <c r="O785" i="1"/>
  <c r="M785" i="14" s="1"/>
  <c r="F786" i="1" a="1"/>
  <c r="F786" i="1" s="1"/>
  <c r="R786" i="14" s="1"/>
  <c r="J786" i="1" a="1"/>
  <c r="J786" i="1" s="1"/>
  <c r="O786" i="1"/>
  <c r="M786" i="14" s="1"/>
  <c r="L787" i="1" a="1"/>
  <c r="L787" i="1" s="1"/>
  <c r="Q787" i="1" a="1"/>
  <c r="Q787" i="1" s="1"/>
  <c r="S787" i="14" s="1"/>
  <c r="D788" i="1" a="1"/>
  <c r="D788" i="1" s="1"/>
  <c r="I788" i="14" s="1"/>
  <c r="H788" i="1" a="1"/>
  <c r="H788" i="1" s="1"/>
  <c r="J788" i="14" s="1"/>
  <c r="L788" i="1" a="1"/>
  <c r="L788" i="1" s="1"/>
  <c r="Q788" i="1" a="1"/>
  <c r="Q788" i="1" s="1"/>
  <c r="S788" i="14" s="1"/>
  <c r="C789" i="1" a="1"/>
  <c r="C789" i="1" s="1"/>
  <c r="E789" i="14" s="1"/>
  <c r="F789" i="1" a="1"/>
  <c r="F789" i="1" s="1"/>
  <c r="R789" i="14" s="1"/>
  <c r="J789" i="1" a="1"/>
  <c r="J789" i="1" s="1"/>
  <c r="M789" i="1" a="1"/>
  <c r="M789" i="1" s="1"/>
  <c r="H790" i="1" a="1"/>
  <c r="H790" i="1" s="1"/>
  <c r="J790" i="14" s="1"/>
  <c r="L790" i="1" a="1"/>
  <c r="L790" i="1" s="1"/>
  <c r="Q790" i="1" a="1"/>
  <c r="Q790" i="1" s="1"/>
  <c r="S790" i="14" s="1"/>
  <c r="D791" i="1" a="1"/>
  <c r="D791" i="1" s="1"/>
  <c r="I791" i="14" s="1"/>
  <c r="H791" i="1" a="1"/>
  <c r="H791" i="1" s="1"/>
  <c r="J791" i="14" s="1"/>
  <c r="L791" i="1" a="1"/>
  <c r="L791" i="1" s="1"/>
  <c r="P791" i="1" a="1"/>
  <c r="P791" i="1" s="1"/>
  <c r="C792" i="1" a="1"/>
  <c r="C792" i="1" s="1"/>
  <c r="E792" i="14" s="1"/>
  <c r="G792" i="1" a="1"/>
  <c r="G792" i="1" s="1"/>
  <c r="K792" i="1" a="1"/>
  <c r="K792" i="1" s="1"/>
  <c r="P792" i="1" a="1"/>
  <c r="P792" i="1" s="1"/>
  <c r="C793" i="1" a="1"/>
  <c r="C793" i="1" s="1"/>
  <c r="E793" i="14" s="1"/>
  <c r="G793" i="1" a="1"/>
  <c r="G793" i="1" s="1"/>
  <c r="K793" i="1" a="1"/>
  <c r="K793" i="1" s="1"/>
  <c r="O793" i="1"/>
  <c r="M793" i="14" s="1"/>
  <c r="F794" i="1" a="1"/>
  <c r="F794" i="1" s="1"/>
  <c r="R794" i="14" s="1"/>
  <c r="J794" i="1" a="1"/>
  <c r="J794" i="1" s="1"/>
  <c r="O794" i="1"/>
  <c r="M794" i="14" s="1"/>
  <c r="L795" i="1" a="1"/>
  <c r="L795" i="1" s="1"/>
  <c r="Q795" i="1" a="1"/>
  <c r="Q795" i="1" s="1"/>
  <c r="S795" i="14" s="1"/>
  <c r="D796" i="1" a="1"/>
  <c r="D796" i="1" s="1"/>
  <c r="I796" i="14" s="1"/>
  <c r="K796" i="1" a="1"/>
  <c r="K796" i="1" s="1"/>
  <c r="P796" i="1" a="1"/>
  <c r="P796" i="1" s="1"/>
  <c r="C797" i="1" a="1"/>
  <c r="C797" i="1" s="1"/>
  <c r="E797" i="14" s="1"/>
  <c r="G797" i="1" a="1"/>
  <c r="G797" i="1" s="1"/>
  <c r="K797" i="1" a="1"/>
  <c r="K797" i="1" s="1"/>
  <c r="P797" i="1" a="1"/>
  <c r="P797" i="1" s="1"/>
  <c r="C798" i="1" a="1"/>
  <c r="C798" i="1" s="1"/>
  <c r="E798" i="14" s="1"/>
  <c r="J798" i="1" a="1"/>
  <c r="J798" i="1" s="1"/>
  <c r="O798" i="1"/>
  <c r="M798" i="14" s="1"/>
  <c r="F799" i="1" a="1"/>
  <c r="F799" i="1" s="1"/>
  <c r="R799" i="14" s="1"/>
  <c r="J799" i="1" a="1"/>
  <c r="J799" i="1" s="1"/>
  <c r="M800" i="1" a="1"/>
  <c r="M800" i="1" s="1"/>
  <c r="Q801" i="1" a="1"/>
  <c r="Q801" i="1" s="1"/>
  <c r="S801" i="14" s="1"/>
  <c r="D802" i="1" a="1"/>
  <c r="D802" i="1" s="1"/>
  <c r="I802" i="14" s="1"/>
  <c r="H802" i="1" a="1"/>
  <c r="H802" i="1" s="1"/>
  <c r="J802" i="14" s="1"/>
  <c r="K802" i="1" a="1"/>
  <c r="K802" i="1" s="1"/>
  <c r="P802" i="1" a="1"/>
  <c r="P802" i="1" s="1"/>
  <c r="F803" i="1" a="1"/>
  <c r="F803" i="1" s="1"/>
  <c r="R803" i="14" s="1"/>
  <c r="J803" i="1" a="1"/>
  <c r="J803" i="1" s="1"/>
  <c r="O803" i="1"/>
  <c r="M803" i="14" s="1"/>
  <c r="F804" i="1" a="1"/>
  <c r="F804" i="1" s="1"/>
  <c r="R804" i="14" s="1"/>
  <c r="M804" i="1" a="1"/>
  <c r="M804" i="1" s="1"/>
  <c r="M805" i="1" a="1"/>
  <c r="M805" i="1" s="1"/>
  <c r="D806" i="1" a="1"/>
  <c r="D806" i="1" s="1"/>
  <c r="I806" i="14" s="1"/>
  <c r="H806" i="1" a="1"/>
  <c r="H806" i="1" s="1"/>
  <c r="J806" i="14" s="1"/>
  <c r="L806" i="1" a="1"/>
  <c r="L806" i="1" s="1"/>
  <c r="Q806" i="1" a="1"/>
  <c r="Q806" i="1" s="1"/>
  <c r="S806" i="14" s="1"/>
  <c r="D807" i="1" a="1"/>
  <c r="D807" i="1" s="1"/>
  <c r="I807" i="14" s="1"/>
  <c r="G807" i="1" a="1"/>
  <c r="G807" i="1" s="1"/>
  <c r="K807" i="1" a="1"/>
  <c r="K807" i="1" s="1"/>
  <c r="O807" i="1"/>
  <c r="M807" i="14" s="1"/>
  <c r="F808" i="1" a="1"/>
  <c r="F808" i="1" s="1"/>
  <c r="R808" i="14" s="1"/>
  <c r="M808" i="1" a="1"/>
  <c r="M808" i="1" s="1"/>
  <c r="M809" i="1" a="1"/>
  <c r="M809" i="1" s="1"/>
  <c r="M810" i="1" a="1"/>
  <c r="M810" i="1" s="1"/>
  <c r="M811" i="1" a="1"/>
  <c r="M811" i="1" s="1"/>
  <c r="M812" i="1" a="1"/>
  <c r="M812" i="1" s="1"/>
  <c r="M813" i="1" a="1"/>
  <c r="M813" i="1" s="1"/>
  <c r="L814" i="1" a="1"/>
  <c r="L814" i="1" s="1"/>
  <c r="C815" i="1" a="1"/>
  <c r="C815" i="1" s="1"/>
  <c r="E815" i="14" s="1"/>
  <c r="G815" i="1" a="1"/>
  <c r="G815" i="1" s="1"/>
  <c r="K815" i="1" a="1"/>
  <c r="K815" i="1" s="1"/>
  <c r="P815" i="1" a="1"/>
  <c r="P815" i="1" s="1"/>
  <c r="C816" i="1" a="1"/>
  <c r="C816" i="1" s="1"/>
  <c r="E816" i="14" s="1"/>
  <c r="G816" i="1" a="1"/>
  <c r="G816" i="1" s="1"/>
  <c r="K816" i="1" a="1"/>
  <c r="K816" i="1" s="1"/>
  <c r="P816" i="1" a="1"/>
  <c r="P816" i="1" s="1"/>
  <c r="L817" i="1" a="1"/>
  <c r="L817" i="1" s="1"/>
  <c r="Q817" i="1" a="1"/>
  <c r="Q817" i="1" s="1"/>
  <c r="S817" i="14" s="1"/>
  <c r="D818" i="1" a="1"/>
  <c r="D818" i="1" s="1"/>
  <c r="I818" i="14" s="1"/>
  <c r="H818" i="1" a="1"/>
  <c r="H818" i="1" s="1"/>
  <c r="J818" i="14" s="1"/>
  <c r="L818" i="1" a="1"/>
  <c r="L818" i="1" s="1"/>
  <c r="Q818" i="1" a="1"/>
  <c r="Q818" i="1" s="1"/>
  <c r="S818" i="14" s="1"/>
  <c r="D819" i="1" a="1"/>
  <c r="D819" i="1" s="1"/>
  <c r="I819" i="14" s="1"/>
  <c r="H819" i="1" a="1"/>
  <c r="H819" i="1" s="1"/>
  <c r="J819" i="14" s="1"/>
  <c r="L819" i="1" a="1"/>
  <c r="L819" i="1" s="1"/>
  <c r="Q819" i="1" a="1"/>
  <c r="Q819" i="1" s="1"/>
  <c r="S819" i="14" s="1"/>
  <c r="D820" i="1" a="1"/>
  <c r="D820" i="1" s="1"/>
  <c r="I820" i="14" s="1"/>
  <c r="H820" i="1" a="1"/>
  <c r="H820" i="1" s="1"/>
  <c r="J820" i="14" s="1"/>
  <c r="L820" i="1" a="1"/>
  <c r="L820" i="1" s="1"/>
  <c r="Q820" i="1" a="1"/>
  <c r="Q820" i="1" s="1"/>
  <c r="S820" i="14" s="1"/>
  <c r="D821" i="1" a="1"/>
  <c r="D821" i="1" s="1"/>
  <c r="I821" i="14" s="1"/>
  <c r="H821" i="1" a="1"/>
  <c r="H821" i="1" s="1"/>
  <c r="J821" i="14" s="1"/>
  <c r="L821" i="1" a="1"/>
  <c r="L821" i="1" s="1"/>
  <c r="Q821" i="1" a="1"/>
  <c r="Q821" i="1" s="1"/>
  <c r="S821" i="14" s="1"/>
  <c r="D822" i="1" a="1"/>
  <c r="D822" i="1" s="1"/>
  <c r="I822" i="14" s="1"/>
  <c r="H822" i="1" a="1"/>
  <c r="H822" i="1" s="1"/>
  <c r="J822" i="14" s="1"/>
  <c r="L822" i="1" a="1"/>
  <c r="L822" i="1" s="1"/>
  <c r="Q822" i="1" a="1"/>
  <c r="Q822" i="1" s="1"/>
  <c r="S822" i="14" s="1"/>
  <c r="D823" i="1" a="1"/>
  <c r="D823" i="1" s="1"/>
  <c r="I823" i="14" s="1"/>
  <c r="G823" i="1" a="1"/>
  <c r="G823" i="1" s="1"/>
  <c r="K823" i="1" a="1"/>
  <c r="K823" i="1" s="1"/>
  <c r="O823" i="1"/>
  <c r="M823" i="14" s="1"/>
  <c r="F824" i="1" a="1"/>
  <c r="F824" i="1" s="1"/>
  <c r="R824" i="14" s="1"/>
  <c r="J824" i="1" a="1"/>
  <c r="J824" i="1" s="1"/>
  <c r="O824" i="1"/>
  <c r="M824" i="14" s="1"/>
  <c r="D825" i="1" a="1"/>
  <c r="D825" i="1" s="1"/>
  <c r="I825" i="14" s="1"/>
  <c r="H825" i="1" a="1"/>
  <c r="H825" i="1" s="1"/>
  <c r="J825" i="14" s="1"/>
  <c r="K825" i="1" a="1"/>
  <c r="K825" i="1" s="1"/>
  <c r="P825" i="1" a="1"/>
  <c r="P825" i="1" s="1"/>
  <c r="C826" i="1" a="1"/>
  <c r="C826" i="1" s="1"/>
  <c r="E826" i="14" s="1"/>
  <c r="J826" i="1" a="1"/>
  <c r="J826" i="1" s="1"/>
  <c r="O826" i="1"/>
  <c r="M826" i="14" s="1"/>
  <c r="F827" i="1" a="1"/>
  <c r="F827" i="1" s="1"/>
  <c r="R827" i="14" s="1"/>
  <c r="J827" i="1" a="1"/>
  <c r="J827" i="1" s="1"/>
  <c r="M828" i="1" a="1"/>
  <c r="M828" i="1" s="1"/>
  <c r="Q829" i="1" a="1"/>
  <c r="Q829" i="1" s="1"/>
  <c r="S829" i="14" s="1"/>
  <c r="D830" i="1" a="1"/>
  <c r="D830" i="1" s="1"/>
  <c r="I830" i="14" s="1"/>
  <c r="H830" i="1" a="1"/>
  <c r="H830" i="1" s="1"/>
  <c r="J830" i="14" s="1"/>
  <c r="L830" i="1" a="1"/>
  <c r="L830" i="1" s="1"/>
  <c r="Q830" i="1" a="1"/>
  <c r="Q830" i="1" s="1"/>
  <c r="S830" i="14" s="1"/>
  <c r="D831" i="1" a="1"/>
  <c r="D831" i="1" s="1"/>
  <c r="I831" i="14" s="1"/>
  <c r="G831" i="1" a="1"/>
  <c r="G831" i="1" s="1"/>
  <c r="K831" i="1" a="1"/>
  <c r="K831" i="1" s="1"/>
  <c r="O831" i="1"/>
  <c r="M831" i="14" s="1"/>
  <c r="F832" i="1" a="1"/>
  <c r="F832" i="1" s="1"/>
  <c r="R832" i="14" s="1"/>
  <c r="M832" i="1" a="1"/>
  <c r="M832" i="1" s="1"/>
  <c r="M833" i="1" a="1"/>
  <c r="M833" i="1" s="1"/>
  <c r="H834" i="1" a="1"/>
  <c r="H834" i="1" s="1"/>
  <c r="J834" i="14" s="1"/>
  <c r="L834" i="1" a="1"/>
  <c r="L834" i="1" s="1"/>
  <c r="Q834" i="1" a="1"/>
  <c r="Q834" i="1" s="1"/>
  <c r="S834" i="14" s="1"/>
  <c r="D835" i="1" a="1"/>
  <c r="D835" i="1" s="1"/>
  <c r="I835" i="14" s="1"/>
  <c r="H835" i="1" a="1"/>
  <c r="H835" i="1" s="1"/>
  <c r="J835" i="14" s="1"/>
  <c r="L835" i="1" a="1"/>
  <c r="L835" i="1" s="1"/>
  <c r="P835" i="1" a="1"/>
  <c r="P835" i="1" s="1"/>
  <c r="C836" i="1" a="1"/>
  <c r="C836" i="1" s="1"/>
  <c r="E836" i="14" s="1"/>
  <c r="G836" i="1" a="1"/>
  <c r="G836" i="1" s="1"/>
  <c r="K836" i="1" a="1"/>
  <c r="K836" i="1" s="1"/>
  <c r="P836" i="1" a="1"/>
  <c r="P836" i="1" s="1"/>
  <c r="C837" i="1" a="1"/>
  <c r="C837" i="1" s="1"/>
  <c r="E837" i="14" s="1"/>
  <c r="G837" i="1" a="1"/>
  <c r="G837" i="1" s="1"/>
  <c r="K837" i="1" a="1"/>
  <c r="K837" i="1" s="1"/>
  <c r="O837" i="1"/>
  <c r="M837" i="14" s="1"/>
  <c r="F838" i="1" a="1"/>
  <c r="F838" i="1" s="1"/>
  <c r="R838" i="14" s="1"/>
  <c r="M838" i="1" a="1"/>
  <c r="M838" i="1" s="1"/>
  <c r="Q838" i="1" a="1"/>
  <c r="Q838" i="1" s="1"/>
  <c r="S838" i="14" s="1"/>
  <c r="D839" i="1" a="1"/>
  <c r="D839" i="1" s="1"/>
  <c r="I839" i="14" s="1"/>
  <c r="H839" i="1" a="1"/>
  <c r="H839" i="1" s="1"/>
  <c r="J839" i="14" s="1"/>
  <c r="L839" i="1" a="1"/>
  <c r="L839" i="1" s="1"/>
  <c r="Q839" i="1" a="1"/>
  <c r="Q839" i="1" s="1"/>
  <c r="S839" i="14" s="1"/>
  <c r="D840" i="1" a="1"/>
  <c r="D840" i="1" s="1"/>
  <c r="I840" i="14" s="1"/>
  <c r="K840" i="1" a="1"/>
  <c r="K840" i="1" s="1"/>
  <c r="P840" i="1" a="1"/>
  <c r="P840" i="1" s="1"/>
  <c r="C841" i="1" a="1"/>
  <c r="C841" i="1" s="1"/>
  <c r="E841" i="14" s="1"/>
  <c r="G841" i="1" a="1"/>
  <c r="G841" i="1" s="1"/>
  <c r="K841" i="1" a="1"/>
  <c r="K841" i="1" s="1"/>
  <c r="P841" i="1" a="1"/>
  <c r="P841" i="1" s="1"/>
  <c r="C842" i="1" a="1"/>
  <c r="C842" i="1" s="1"/>
  <c r="E842" i="14" s="1"/>
  <c r="G842" i="1" a="1"/>
  <c r="G842" i="1" s="1"/>
  <c r="K842" i="1" a="1"/>
  <c r="K842" i="1" s="1"/>
  <c r="P842" i="1" a="1"/>
  <c r="P842" i="1" s="1"/>
  <c r="C843" i="1" a="1"/>
  <c r="C843" i="1" s="1"/>
  <c r="E843" i="14" s="1"/>
  <c r="G843" i="1" a="1"/>
  <c r="G843" i="1" s="1"/>
  <c r="K843" i="1" a="1"/>
  <c r="K843" i="1" s="1"/>
  <c r="P843" i="1" a="1"/>
  <c r="P843" i="1" s="1"/>
  <c r="C844" i="1" a="1"/>
  <c r="C844" i="1" s="1"/>
  <c r="E844" i="14" s="1"/>
  <c r="G844" i="1" a="1"/>
  <c r="G844" i="1" s="1"/>
  <c r="K844" i="1" a="1"/>
  <c r="K844" i="1" s="1"/>
  <c r="P844" i="1" a="1"/>
  <c r="P844" i="1" s="1"/>
  <c r="C845" i="1" a="1"/>
  <c r="C845" i="1" s="1"/>
  <c r="E845" i="14" s="1"/>
  <c r="G845" i="1" a="1"/>
  <c r="G845" i="1" s="1"/>
  <c r="K845" i="1" a="1"/>
  <c r="K845" i="1" s="1"/>
  <c r="P845" i="1" a="1"/>
  <c r="P845" i="1" s="1"/>
  <c r="C846" i="1" a="1"/>
  <c r="C846" i="1" s="1"/>
  <c r="E846" i="14" s="1"/>
  <c r="G846" i="1" a="1"/>
  <c r="G846" i="1" s="1"/>
  <c r="J846" i="1" a="1"/>
  <c r="J846" i="1" s="1"/>
  <c r="O846" i="1"/>
  <c r="M846" i="14" s="1"/>
  <c r="M847" i="1" a="1"/>
  <c r="M847" i="1" s="1"/>
  <c r="M848" i="1" a="1"/>
  <c r="M848" i="1" s="1"/>
  <c r="G849" i="1" a="1"/>
  <c r="G849" i="1" s="1"/>
  <c r="O849" i="1"/>
  <c r="M849" i="14" s="1"/>
  <c r="F850" i="1" a="1"/>
  <c r="F850" i="1" s="1"/>
  <c r="R850" i="14" s="1"/>
  <c r="J850" i="1" a="1"/>
  <c r="J850" i="1" s="1"/>
  <c r="O850" i="1"/>
  <c r="M850" i="14" s="1"/>
  <c r="F851" i="1" a="1"/>
  <c r="F851" i="1" s="1"/>
  <c r="R851" i="14" s="1"/>
  <c r="J851" i="1" a="1"/>
  <c r="J851" i="1" s="1"/>
  <c r="O851" i="1"/>
  <c r="M851" i="14" s="1"/>
  <c r="F852" i="1" a="1"/>
  <c r="F852" i="1" s="1"/>
  <c r="R852" i="14" s="1"/>
  <c r="J852" i="1" a="1"/>
  <c r="J852" i="1" s="1"/>
  <c r="O852" i="1"/>
  <c r="M852" i="14" s="1"/>
  <c r="F853" i="1" a="1"/>
  <c r="F853" i="1" s="1"/>
  <c r="R853" i="14" s="1"/>
  <c r="J853" i="1" a="1"/>
  <c r="J853" i="1" s="1"/>
  <c r="O853" i="1"/>
  <c r="M853" i="14" s="1"/>
  <c r="F854" i="1" a="1"/>
  <c r="F854" i="1" s="1"/>
  <c r="R854" i="14" s="1"/>
  <c r="J854" i="1" a="1"/>
  <c r="J854" i="1" s="1"/>
  <c r="O854" i="1"/>
  <c r="M854" i="14" s="1"/>
  <c r="L855" i="1" a="1"/>
  <c r="L855" i="1" s="1"/>
  <c r="Q855" i="1" a="1"/>
  <c r="Q855" i="1" s="1"/>
  <c r="S855" i="14" s="1"/>
  <c r="D856" i="1" a="1"/>
  <c r="D856" i="1" s="1"/>
  <c r="I856" i="14" s="1"/>
  <c r="H856" i="1" a="1"/>
  <c r="H856" i="1" s="1"/>
  <c r="J856" i="14" s="1"/>
  <c r="L856" i="1" a="1"/>
  <c r="L856" i="1" s="1"/>
  <c r="Q856" i="1" a="1"/>
  <c r="Q856" i="1" s="1"/>
  <c r="S856" i="14" s="1"/>
  <c r="C857" i="1" a="1"/>
  <c r="C857" i="1" s="1"/>
  <c r="E857" i="14" s="1"/>
  <c r="G857" i="1" a="1"/>
  <c r="G857" i="1" s="1"/>
  <c r="K857" i="1" a="1"/>
  <c r="K857" i="1" s="1"/>
  <c r="P857" i="1" a="1"/>
  <c r="P857" i="1" s="1"/>
  <c r="C858" i="1" a="1"/>
  <c r="C858" i="1" s="1"/>
  <c r="E858" i="14" s="1"/>
  <c r="G858" i="1" a="1"/>
  <c r="G858" i="1" s="1"/>
  <c r="K858" i="1" a="1"/>
  <c r="K858" i="1" s="1"/>
  <c r="P858" i="1" a="1"/>
  <c r="P858" i="1" s="1"/>
  <c r="C859" i="1" a="1"/>
  <c r="C859" i="1" s="1"/>
  <c r="E859" i="14" s="1"/>
  <c r="G859" i="1" a="1"/>
  <c r="G859" i="1" s="1"/>
  <c r="K859" i="1" a="1"/>
  <c r="K859" i="1" s="1"/>
  <c r="O859" i="1"/>
  <c r="M859" i="14" s="1"/>
  <c r="F860" i="1" a="1"/>
  <c r="F860" i="1" s="1"/>
  <c r="R860" i="14" s="1"/>
  <c r="J860" i="1" a="1"/>
  <c r="J860" i="1" s="1"/>
  <c r="O860" i="1"/>
  <c r="M860" i="14" s="1"/>
  <c r="F861" i="1" a="1"/>
  <c r="F861" i="1" s="1"/>
  <c r="R861" i="14" s="1"/>
  <c r="Q688" i="1" a="1"/>
  <c r="Q688" i="1" s="1"/>
  <c r="S688" i="14" s="1"/>
  <c r="Q689" i="1" a="1"/>
  <c r="Q689" i="1" s="1"/>
  <c r="S689" i="14" s="1"/>
  <c r="M690" i="1" a="1"/>
  <c r="M690" i="1" s="1"/>
  <c r="C691" i="1" a="1"/>
  <c r="C691" i="1" s="1"/>
  <c r="E691" i="14" s="1"/>
  <c r="K691" i="1" a="1"/>
  <c r="K691" i="1" s="1"/>
  <c r="G693" i="1" a="1"/>
  <c r="G693" i="1" s="1"/>
  <c r="P693" i="1" a="1"/>
  <c r="P693" i="1" s="1"/>
  <c r="M694" i="1" a="1"/>
  <c r="M694" i="1" s="1"/>
  <c r="C695" i="1" a="1"/>
  <c r="C695" i="1" s="1"/>
  <c r="E695" i="14" s="1"/>
  <c r="K695" i="1" a="1"/>
  <c r="K695" i="1" s="1"/>
  <c r="O696" i="1"/>
  <c r="M696" i="14" s="1"/>
  <c r="C697" i="1" a="1"/>
  <c r="C697" i="1" s="1"/>
  <c r="E697" i="14" s="1"/>
  <c r="O697" i="1"/>
  <c r="M697" i="14" s="1"/>
  <c r="C698" i="1" a="1"/>
  <c r="C698" i="1" s="1"/>
  <c r="E698" i="14" s="1"/>
  <c r="O698" i="1"/>
  <c r="M698" i="14" s="1"/>
  <c r="G699" i="1" a="1"/>
  <c r="G699" i="1" s="1"/>
  <c r="K699" i="1" a="1"/>
  <c r="K699" i="1" s="1"/>
  <c r="Q699" i="1" a="1"/>
  <c r="Q699" i="1" s="1"/>
  <c r="S699" i="14" s="1"/>
  <c r="O700" i="1"/>
  <c r="M700" i="14" s="1"/>
  <c r="G701" i="1" a="1"/>
  <c r="G701" i="1" s="1"/>
  <c r="L701" i="1" a="1"/>
  <c r="L701" i="1" s="1"/>
  <c r="O702" i="1"/>
  <c r="M702" i="14" s="1"/>
  <c r="F703" i="1" a="1"/>
  <c r="F703" i="1" s="1"/>
  <c r="R703" i="14" s="1"/>
  <c r="J703" i="1" a="1"/>
  <c r="J703" i="1" s="1"/>
  <c r="O703" i="1"/>
  <c r="M703" i="14" s="1"/>
  <c r="L704" i="1" a="1"/>
  <c r="L704" i="1" s="1"/>
  <c r="K705" i="1" a="1"/>
  <c r="K705" i="1" s="1"/>
  <c r="L705" i="14" s="1"/>
  <c r="P705" i="1" a="1"/>
  <c r="P705" i="1" s="1"/>
  <c r="C706" i="1" a="1"/>
  <c r="C706" i="1" s="1"/>
  <c r="E706" i="14" s="1"/>
  <c r="G706" i="1" a="1"/>
  <c r="G706" i="1" s="1"/>
  <c r="K706" i="1" a="1"/>
  <c r="K706" i="1" s="1"/>
  <c r="P706" i="1" a="1"/>
  <c r="P706" i="1" s="1"/>
  <c r="C707" i="1" a="1"/>
  <c r="C707" i="1" s="1"/>
  <c r="E707" i="14" s="1"/>
  <c r="F707" i="1" a="1"/>
  <c r="F707" i="1" s="1"/>
  <c r="R707" i="14" s="1"/>
  <c r="J707" i="1" a="1"/>
  <c r="J707" i="1" s="1"/>
  <c r="O707" i="1"/>
  <c r="M707" i="14" s="1"/>
  <c r="F708" i="1" a="1"/>
  <c r="F708" i="1" s="1"/>
  <c r="R708" i="14" s="1"/>
  <c r="J708" i="1" a="1"/>
  <c r="J708" i="1" s="1"/>
  <c r="O708" i="1"/>
  <c r="M708" i="14" s="1"/>
  <c r="F709" i="1" a="1"/>
  <c r="F709" i="1" s="1"/>
  <c r="R709" i="14" s="1"/>
  <c r="J709" i="1" a="1"/>
  <c r="J709" i="1" s="1"/>
  <c r="O709" i="1"/>
  <c r="M709" i="14" s="1"/>
  <c r="F710" i="1" a="1"/>
  <c r="F710" i="1" s="1"/>
  <c r="R710" i="14" s="1"/>
  <c r="J710" i="1" a="1"/>
  <c r="J710" i="1" s="1"/>
  <c r="O710" i="1"/>
  <c r="M710" i="14" s="1"/>
  <c r="F711" i="1" a="1"/>
  <c r="F711" i="1" s="1"/>
  <c r="R711" i="14" s="1"/>
  <c r="J711" i="1" a="1"/>
  <c r="J711" i="1" s="1"/>
  <c r="O711" i="1"/>
  <c r="M711" i="14" s="1"/>
  <c r="L712" i="1" a="1"/>
  <c r="L712" i="1" s="1"/>
  <c r="P712" i="1" a="1"/>
  <c r="P712" i="1" s="1"/>
  <c r="F713" i="1" a="1"/>
  <c r="F713" i="1" s="1"/>
  <c r="R713" i="14" s="1"/>
  <c r="L713" i="1" a="1"/>
  <c r="L713" i="1" s="1"/>
  <c r="Q713" i="1" a="1"/>
  <c r="Q713" i="1" s="1"/>
  <c r="S713" i="14" s="1"/>
  <c r="C714" i="1" a="1"/>
  <c r="C714" i="1" s="1"/>
  <c r="E714" i="14" s="1"/>
  <c r="F714" i="1" a="1"/>
  <c r="F714" i="1" s="1"/>
  <c r="R714" i="14" s="1"/>
  <c r="C715" i="1" a="1"/>
  <c r="C715" i="1" s="1"/>
  <c r="E715" i="14" s="1"/>
  <c r="G715" i="1" a="1"/>
  <c r="G715" i="1" s="1"/>
  <c r="K715" i="1" a="1"/>
  <c r="K715" i="1" s="1"/>
  <c r="O715" i="1"/>
  <c r="M715" i="14" s="1"/>
  <c r="M716" i="1" a="1"/>
  <c r="M716" i="1" s="1"/>
  <c r="M717" i="1" a="1"/>
  <c r="M717" i="1" s="1"/>
  <c r="L718" i="1" a="1"/>
  <c r="L718" i="1" s="1"/>
  <c r="Q718" i="1" a="1"/>
  <c r="Q718" i="1" s="1"/>
  <c r="S718" i="14" s="1"/>
  <c r="D719" i="1" a="1"/>
  <c r="D719" i="1" s="1"/>
  <c r="I719" i="14" s="1"/>
  <c r="H719" i="1" a="1"/>
  <c r="H719" i="1" s="1"/>
  <c r="J719" i="14" s="1"/>
  <c r="L719" i="1" a="1"/>
  <c r="L719" i="1" s="1"/>
  <c r="Q719" i="1" a="1"/>
  <c r="Q719" i="1" s="1"/>
  <c r="S719" i="14" s="1"/>
  <c r="D720" i="1" a="1"/>
  <c r="D720" i="1" s="1"/>
  <c r="I720" i="14" s="1"/>
  <c r="G720" i="1" a="1"/>
  <c r="G720" i="1" s="1"/>
  <c r="J720" i="1" a="1"/>
  <c r="J720" i="1" s="1"/>
  <c r="M720" i="1" a="1"/>
  <c r="M720" i="1" s="1"/>
  <c r="Q720" i="1" a="1"/>
  <c r="Q720" i="1" s="1"/>
  <c r="S720" i="14" s="1"/>
  <c r="C721" i="1" a="1"/>
  <c r="C721" i="1" s="1"/>
  <c r="E721" i="14" s="1"/>
  <c r="F721" i="1" a="1"/>
  <c r="F721" i="1" s="1"/>
  <c r="R721" i="14" s="1"/>
  <c r="L721" i="1" a="1"/>
  <c r="L721" i="1" s="1"/>
  <c r="P721" i="1" a="1"/>
  <c r="P721" i="1" s="1"/>
  <c r="H722" i="1" a="1"/>
  <c r="H722" i="1" s="1"/>
  <c r="J722" i="14" s="1"/>
  <c r="K722" i="1" a="1"/>
  <c r="K722" i="1" s="1"/>
  <c r="L722" i="14" s="1"/>
  <c r="O722" i="1"/>
  <c r="M722" i="14" s="1"/>
  <c r="F723" i="1" a="1"/>
  <c r="F723" i="1" s="1"/>
  <c r="R723" i="14" s="1"/>
  <c r="J723" i="1" a="1"/>
  <c r="J723" i="1" s="1"/>
  <c r="M724" i="1" a="1"/>
  <c r="M724" i="1" s="1"/>
  <c r="M725" i="1" a="1"/>
  <c r="M725" i="1" s="1"/>
  <c r="M726" i="1" a="1"/>
  <c r="M726" i="1" s="1"/>
  <c r="P727" i="1" a="1"/>
  <c r="P727" i="1" s="1"/>
  <c r="C728" i="1" a="1"/>
  <c r="C728" i="1" s="1"/>
  <c r="E728" i="14" s="1"/>
  <c r="G728" i="1" a="1"/>
  <c r="G728" i="1" s="1"/>
  <c r="K728" i="1" a="1"/>
  <c r="K728" i="1" s="1"/>
  <c r="P728" i="1" a="1"/>
  <c r="P728" i="1" s="1"/>
  <c r="C729" i="1" a="1"/>
  <c r="C729" i="1" s="1"/>
  <c r="E729" i="14" s="1"/>
  <c r="G729" i="1" a="1"/>
  <c r="G729" i="1" s="1"/>
  <c r="K729" i="1" a="1"/>
  <c r="K729" i="1" s="1"/>
  <c r="O729" i="1"/>
  <c r="M729" i="14" s="1"/>
  <c r="F730" i="1" a="1"/>
  <c r="F730" i="1" s="1"/>
  <c r="R730" i="14" s="1"/>
  <c r="J730" i="1" a="1"/>
  <c r="J730" i="1" s="1"/>
  <c r="M730" i="1" a="1"/>
  <c r="M730" i="1" s="1"/>
  <c r="H731" i="1" a="1"/>
  <c r="H731" i="1" s="1"/>
  <c r="J731" i="14" s="1"/>
  <c r="P731" i="1" a="1"/>
  <c r="P731" i="1" s="1"/>
  <c r="C732" i="1" a="1"/>
  <c r="C732" i="1" s="1"/>
  <c r="E732" i="14" s="1"/>
  <c r="G732" i="1" a="1"/>
  <c r="G732" i="1" s="1"/>
  <c r="K732" i="1" a="1"/>
  <c r="K732" i="1" s="1"/>
  <c r="P732" i="1" a="1"/>
  <c r="P732" i="1" s="1"/>
  <c r="C733" i="1" a="1"/>
  <c r="C733" i="1" s="1"/>
  <c r="E733" i="14" s="1"/>
  <c r="G733" i="1" a="1"/>
  <c r="G733" i="1" s="1"/>
  <c r="K733" i="1" a="1"/>
  <c r="K733" i="1" s="1"/>
  <c r="L733" i="14" s="1"/>
  <c r="O733" i="1"/>
  <c r="M733" i="14" s="1"/>
  <c r="F734" i="1" a="1"/>
  <c r="F734" i="1" s="1"/>
  <c r="R734" i="14" s="1"/>
  <c r="J734" i="1" a="1"/>
  <c r="J734" i="1" s="1"/>
  <c r="O734" i="1"/>
  <c r="M734" i="14" s="1"/>
  <c r="F735" i="1" a="1"/>
  <c r="F735" i="1" s="1"/>
  <c r="R735" i="14" s="1"/>
  <c r="J735" i="1" a="1"/>
  <c r="J735" i="1" s="1"/>
  <c r="O735" i="1"/>
  <c r="M735" i="14" s="1"/>
  <c r="F736" i="1" a="1"/>
  <c r="F736" i="1" s="1"/>
  <c r="R736" i="14" s="1"/>
  <c r="J736" i="1" a="1"/>
  <c r="J736" i="1" s="1"/>
  <c r="O736" i="1"/>
  <c r="M736" i="14" s="1"/>
  <c r="D737" i="1" a="1"/>
  <c r="D737" i="1" s="1"/>
  <c r="I737" i="14" s="1"/>
  <c r="H737" i="1" a="1"/>
  <c r="H737" i="1" s="1"/>
  <c r="J737" i="14" s="1"/>
  <c r="K737" i="1" a="1"/>
  <c r="K737" i="1" s="1"/>
  <c r="L737" i="14" s="1"/>
  <c r="P737" i="1" a="1"/>
  <c r="P737" i="1" s="1"/>
  <c r="C738" i="1" a="1"/>
  <c r="C738" i="1" s="1"/>
  <c r="E738" i="14" s="1"/>
  <c r="G738" i="1" a="1"/>
  <c r="G738" i="1" s="1"/>
  <c r="K738" i="1" a="1"/>
  <c r="K738" i="1" s="1"/>
  <c r="L738" i="14" s="1"/>
  <c r="P738" i="1" a="1"/>
  <c r="P738" i="1" s="1"/>
  <c r="C739" i="1" a="1"/>
  <c r="C739" i="1" s="1"/>
  <c r="E739" i="14" s="1"/>
  <c r="G739" i="1" a="1"/>
  <c r="G739" i="1" s="1"/>
  <c r="K739" i="1" a="1"/>
  <c r="K739" i="1" s="1"/>
  <c r="L739" i="14" s="1"/>
  <c r="P739" i="1" a="1"/>
  <c r="P739" i="1" s="1"/>
  <c r="C740" i="1" a="1"/>
  <c r="C740" i="1" s="1"/>
  <c r="E740" i="14" s="1"/>
  <c r="G740" i="1" a="1"/>
  <c r="G740" i="1" s="1"/>
  <c r="J740" i="1" a="1"/>
  <c r="J740" i="1" s="1"/>
  <c r="O740" i="1"/>
  <c r="M740" i="14" s="1"/>
  <c r="F741" i="1" a="1"/>
  <c r="F741" i="1" s="1"/>
  <c r="R741" i="14" s="1"/>
  <c r="J741" i="1" a="1"/>
  <c r="J741" i="1" s="1"/>
  <c r="O741" i="1"/>
  <c r="M741" i="14" s="1"/>
  <c r="F742" i="1" a="1"/>
  <c r="F742" i="1" s="1"/>
  <c r="R742" i="14" s="1"/>
  <c r="J742" i="1" a="1"/>
  <c r="J742" i="1" s="1"/>
  <c r="O742" i="1"/>
  <c r="M742" i="14" s="1"/>
  <c r="M743" i="1" a="1"/>
  <c r="M743" i="1" s="1"/>
  <c r="M744" i="1" a="1"/>
  <c r="M744" i="1" s="1"/>
  <c r="M745" i="1" a="1"/>
  <c r="M745" i="1" s="1"/>
  <c r="M746" i="1" a="1"/>
  <c r="M746" i="1" s="1"/>
  <c r="H747" i="1" a="1"/>
  <c r="H747" i="1" s="1"/>
  <c r="J747" i="14" s="1"/>
  <c r="P747" i="1" a="1"/>
  <c r="P747" i="1" s="1"/>
  <c r="C748" i="1" a="1"/>
  <c r="C748" i="1" s="1"/>
  <c r="E748" i="14" s="1"/>
  <c r="G748" i="1" a="1"/>
  <c r="G748" i="1" s="1"/>
  <c r="K748" i="1" a="1"/>
  <c r="K748" i="1" s="1"/>
  <c r="L748" i="14" s="1"/>
  <c r="P748" i="1" a="1"/>
  <c r="P748" i="1" s="1"/>
  <c r="L749" i="1" a="1"/>
  <c r="L749" i="1" s="1"/>
  <c r="Q749" i="1" a="1"/>
  <c r="Q749" i="1" s="1"/>
  <c r="S749" i="14" s="1"/>
  <c r="D750" i="1" a="1"/>
  <c r="D750" i="1" s="1"/>
  <c r="I750" i="14" s="1"/>
  <c r="G750" i="1" a="1"/>
  <c r="G750" i="1" s="1"/>
  <c r="K750" i="1" a="1"/>
  <c r="K750" i="1" s="1"/>
  <c r="P750" i="1" a="1"/>
  <c r="P750" i="1" s="1"/>
  <c r="C751" i="1" a="1"/>
  <c r="C751" i="1" s="1"/>
  <c r="E751" i="14" s="1"/>
  <c r="G751" i="1" a="1"/>
  <c r="G751" i="1" s="1"/>
  <c r="K751" i="1" a="1"/>
  <c r="K751" i="1" s="1"/>
  <c r="O751" i="1"/>
  <c r="M751" i="14" s="1"/>
  <c r="F752" i="1" a="1"/>
  <c r="F752" i="1" s="1"/>
  <c r="R752" i="14" s="1"/>
  <c r="M752" i="1" a="1"/>
  <c r="M752" i="1" s="1"/>
  <c r="M753" i="1" a="1"/>
  <c r="M753" i="1" s="1"/>
  <c r="M754" i="1" a="1"/>
  <c r="M754" i="1" s="1"/>
  <c r="H755" i="1" a="1"/>
  <c r="H755" i="1" s="1"/>
  <c r="J755" i="14" s="1"/>
  <c r="P755" i="1" a="1"/>
  <c r="P755" i="1" s="1"/>
  <c r="C756" i="1" a="1"/>
  <c r="C756" i="1" s="1"/>
  <c r="E756" i="14" s="1"/>
  <c r="G756" i="1" a="1"/>
  <c r="G756" i="1" s="1"/>
  <c r="K756" i="1" a="1"/>
  <c r="K756" i="1" s="1"/>
  <c r="L756" i="14" s="1"/>
  <c r="P756" i="1" a="1"/>
  <c r="P756" i="1" s="1"/>
  <c r="L757" i="1" a="1"/>
  <c r="L757" i="1" s="1"/>
  <c r="Q757" i="1" a="1"/>
  <c r="Q757" i="1" s="1"/>
  <c r="S757" i="14" s="1"/>
  <c r="D758" i="1" a="1"/>
  <c r="D758" i="1" s="1"/>
  <c r="I758" i="14" s="1"/>
  <c r="G758" i="1" a="1"/>
  <c r="G758" i="1" s="1"/>
  <c r="K758" i="1" a="1"/>
  <c r="K758" i="1" s="1"/>
  <c r="P758" i="1" a="1"/>
  <c r="P758" i="1" s="1"/>
  <c r="C759" i="1" a="1"/>
  <c r="C759" i="1" s="1"/>
  <c r="E759" i="14" s="1"/>
  <c r="G759" i="1" a="1"/>
  <c r="G759" i="1" s="1"/>
  <c r="K759" i="1" a="1"/>
  <c r="K759" i="1" s="1"/>
  <c r="O759" i="1"/>
  <c r="M759" i="14" s="1"/>
  <c r="F760" i="1" a="1"/>
  <c r="F760" i="1" s="1"/>
  <c r="R760" i="14" s="1"/>
  <c r="J760" i="1" a="1"/>
  <c r="J760" i="1" s="1"/>
  <c r="O760" i="1"/>
  <c r="M760" i="14" s="1"/>
  <c r="F761" i="1" a="1"/>
  <c r="F761" i="1" s="1"/>
  <c r="R761" i="14" s="1"/>
  <c r="J761" i="1" a="1"/>
  <c r="J761" i="1" s="1"/>
  <c r="M761" i="1" a="1"/>
  <c r="M761" i="1" s="1"/>
  <c r="M762" i="1" a="1"/>
  <c r="M762" i="1" s="1"/>
  <c r="H763" i="1" a="1"/>
  <c r="H763" i="1" s="1"/>
  <c r="J763" i="14" s="1"/>
  <c r="P763" i="1" a="1"/>
  <c r="P763" i="1" s="1"/>
  <c r="C764" i="1" a="1"/>
  <c r="C764" i="1" s="1"/>
  <c r="E764" i="14" s="1"/>
  <c r="G764" i="1" a="1"/>
  <c r="G764" i="1" s="1"/>
  <c r="J764" i="1" a="1"/>
  <c r="J764" i="1" s="1"/>
  <c r="O764" i="1"/>
  <c r="M764" i="14" s="1"/>
  <c r="F765" i="1" a="1"/>
  <c r="F765" i="1" s="1"/>
  <c r="R765" i="14" s="1"/>
  <c r="J765" i="1" a="1"/>
  <c r="J765" i="1" s="1"/>
  <c r="O765" i="1"/>
  <c r="M765" i="14" s="1"/>
  <c r="F766" i="1" a="1"/>
  <c r="F766" i="1" s="1"/>
  <c r="R766" i="14" s="1"/>
  <c r="M766" i="1" a="1"/>
  <c r="M766" i="1" s="1"/>
  <c r="M767" i="1" a="1"/>
  <c r="M767" i="1" s="1"/>
  <c r="Q767" i="1" a="1"/>
  <c r="Q767" i="1" s="1"/>
  <c r="S767" i="14" s="1"/>
  <c r="D768" i="1" a="1"/>
  <c r="D768" i="1" s="1"/>
  <c r="I768" i="14" s="1"/>
  <c r="H768" i="1" a="1"/>
  <c r="H768" i="1" s="1"/>
  <c r="J768" i="14" s="1"/>
  <c r="L768" i="1" a="1"/>
  <c r="L768" i="1" s="1"/>
  <c r="Q768" i="1" a="1"/>
  <c r="Q768" i="1" s="1"/>
  <c r="S768" i="14" s="1"/>
  <c r="D769" i="1" a="1"/>
  <c r="D769" i="1" s="1"/>
  <c r="I769" i="14" s="1"/>
  <c r="H769" i="1" a="1"/>
  <c r="H769" i="1" s="1"/>
  <c r="J769" i="14" s="1"/>
  <c r="L769" i="1" a="1"/>
  <c r="L769" i="1" s="1"/>
  <c r="P769" i="1" a="1"/>
  <c r="P769" i="1" s="1"/>
  <c r="C770" i="1" a="1"/>
  <c r="C770" i="1" s="1"/>
  <c r="E770" i="14" s="1"/>
  <c r="G770" i="1" a="1"/>
  <c r="G770" i="1" s="1"/>
  <c r="J770" i="1" a="1"/>
  <c r="J770" i="1" s="1"/>
  <c r="O770" i="1"/>
  <c r="M770" i="14" s="1"/>
  <c r="M771" i="1" a="1"/>
  <c r="M771" i="1" s="1"/>
  <c r="H772" i="1" a="1"/>
  <c r="H772" i="1" s="1"/>
  <c r="J772" i="14" s="1"/>
  <c r="L772" i="1" a="1"/>
  <c r="L772" i="1" s="1"/>
  <c r="Q772" i="1" a="1"/>
  <c r="Q772" i="1" s="1"/>
  <c r="S772" i="14" s="1"/>
  <c r="D773" i="1" a="1"/>
  <c r="D773" i="1" s="1"/>
  <c r="I773" i="14" s="1"/>
  <c r="H773" i="1" a="1"/>
  <c r="H773" i="1" s="1"/>
  <c r="J773" i="14" s="1"/>
  <c r="L773" i="1" a="1"/>
  <c r="L773" i="1" s="1"/>
  <c r="Q773" i="1" a="1"/>
  <c r="Q773" i="1" s="1"/>
  <c r="S773" i="14" s="1"/>
  <c r="D774" i="1" a="1"/>
  <c r="D774" i="1" s="1"/>
  <c r="I774" i="14" s="1"/>
  <c r="H774" i="1" a="1"/>
  <c r="H774" i="1" s="1"/>
  <c r="J774" i="14" s="1"/>
  <c r="L774" i="1" a="1"/>
  <c r="L774" i="1" s="1"/>
  <c r="Q774" i="1" a="1"/>
  <c r="Q774" i="1" s="1"/>
  <c r="S774" i="14" s="1"/>
  <c r="D775" i="1" a="1"/>
  <c r="D775" i="1" s="1"/>
  <c r="I775" i="14" s="1"/>
  <c r="H775" i="1" a="1"/>
  <c r="H775" i="1" s="1"/>
  <c r="J775" i="14" s="1"/>
  <c r="L775" i="1" a="1"/>
  <c r="L775" i="1" s="1"/>
  <c r="Q775" i="1" a="1"/>
  <c r="Q775" i="1" s="1"/>
  <c r="S775" i="14" s="1"/>
  <c r="D776" i="1" a="1"/>
  <c r="D776" i="1" s="1"/>
  <c r="I776" i="14" s="1"/>
  <c r="H776" i="1" a="1"/>
  <c r="H776" i="1" s="1"/>
  <c r="J776" i="14" s="1"/>
  <c r="L776" i="1" a="1"/>
  <c r="L776" i="1" s="1"/>
  <c r="Q776" i="1" a="1"/>
  <c r="Q776" i="1" s="1"/>
  <c r="S776" i="14" s="1"/>
  <c r="D777" i="1" a="1"/>
  <c r="D777" i="1" s="1"/>
  <c r="I777" i="14" s="1"/>
  <c r="H777" i="1" a="1"/>
  <c r="H777" i="1" s="1"/>
  <c r="J777" i="14" s="1"/>
  <c r="L777" i="1" a="1"/>
  <c r="L777" i="1" s="1"/>
  <c r="Q777" i="1" a="1"/>
  <c r="Q777" i="1" s="1"/>
  <c r="S777" i="14" s="1"/>
  <c r="D778" i="1" a="1"/>
  <c r="D778" i="1" s="1"/>
  <c r="I778" i="14" s="1"/>
  <c r="H778" i="1" a="1"/>
  <c r="H778" i="1" s="1"/>
  <c r="J778" i="14" s="1"/>
  <c r="K778" i="1" a="1"/>
  <c r="K778" i="1" s="1"/>
  <c r="P778" i="1" a="1"/>
  <c r="P778" i="1" s="1"/>
  <c r="F779" i="1" a="1"/>
  <c r="F779" i="1" s="1"/>
  <c r="R779" i="14" s="1"/>
  <c r="J779" i="1" a="1"/>
  <c r="J779" i="1" s="1"/>
  <c r="O779" i="1"/>
  <c r="M779" i="14" s="1"/>
  <c r="F780" i="1" a="1"/>
  <c r="F780" i="1" s="1"/>
  <c r="R780" i="14" s="1"/>
  <c r="J780" i="1" a="1"/>
  <c r="J780" i="1" s="1"/>
  <c r="O780" i="1"/>
  <c r="M780" i="14" s="1"/>
  <c r="D781" i="1" a="1"/>
  <c r="D781" i="1" s="1"/>
  <c r="I781" i="14" s="1"/>
  <c r="H781" i="1" a="1"/>
  <c r="H781" i="1" s="1"/>
  <c r="J781" i="14" s="1"/>
  <c r="K781" i="1" a="1"/>
  <c r="K781" i="1" s="1"/>
  <c r="L781" i="14" s="1"/>
  <c r="P781" i="1" a="1"/>
  <c r="P781" i="1" s="1"/>
  <c r="C782" i="1" a="1"/>
  <c r="C782" i="1" s="1"/>
  <c r="E782" i="14" s="1"/>
  <c r="G782" i="1" a="1"/>
  <c r="G782" i="1" s="1"/>
  <c r="K782" i="1" a="1"/>
  <c r="K782" i="1" s="1"/>
  <c r="P782" i="1" a="1"/>
  <c r="P782" i="1" s="1"/>
  <c r="C783" i="1" a="1"/>
  <c r="C783" i="1" s="1"/>
  <c r="E783" i="14" s="1"/>
  <c r="G783" i="1" a="1"/>
  <c r="G783" i="1" s="1"/>
  <c r="K783" i="1" a="1"/>
  <c r="K783" i="1" s="1"/>
  <c r="L783" i="14" s="1"/>
  <c r="P783" i="1" a="1"/>
  <c r="P783" i="1" s="1"/>
  <c r="C784" i="1" a="1"/>
  <c r="C784" i="1" s="1"/>
  <c r="E784" i="14" s="1"/>
  <c r="G784" i="1" a="1"/>
  <c r="G784" i="1" s="1"/>
  <c r="K784" i="1" a="1"/>
  <c r="K784" i="1" s="1"/>
  <c r="L784" i="14" s="1"/>
  <c r="P784" i="1" a="1"/>
  <c r="P784" i="1" s="1"/>
  <c r="C785" i="1" a="1"/>
  <c r="C785" i="1" s="1"/>
  <c r="E785" i="14" s="1"/>
  <c r="G785" i="1" a="1"/>
  <c r="G785" i="1" s="1"/>
  <c r="K785" i="1" a="1"/>
  <c r="K785" i="1" s="1"/>
  <c r="L785" i="14" s="1"/>
  <c r="P785" i="1" a="1"/>
  <c r="P785" i="1" s="1"/>
  <c r="C786" i="1" a="1"/>
  <c r="C786" i="1" s="1"/>
  <c r="E786" i="14" s="1"/>
  <c r="G786" i="1" a="1"/>
  <c r="G786" i="1" s="1"/>
  <c r="K786" i="1" a="1"/>
  <c r="K786" i="1" s="1"/>
  <c r="P786" i="1" a="1"/>
  <c r="P786" i="1" s="1"/>
  <c r="C787" i="1" a="1"/>
  <c r="C787" i="1" s="1"/>
  <c r="E787" i="14" s="1"/>
  <c r="F787" i="1" a="1"/>
  <c r="F787" i="1" s="1"/>
  <c r="R787" i="14" s="1"/>
  <c r="J787" i="1" a="1"/>
  <c r="J787" i="1" s="1"/>
  <c r="M787" i="1" a="1"/>
  <c r="M787" i="1" s="1"/>
  <c r="M788" i="1" a="1"/>
  <c r="M788" i="1" s="1"/>
  <c r="G789" i="1" a="1"/>
  <c r="G789" i="1" s="1"/>
  <c r="O789" i="1"/>
  <c r="M789" i="14" s="1"/>
  <c r="F790" i="1" a="1"/>
  <c r="F790" i="1" s="1"/>
  <c r="R790" i="14" s="1"/>
  <c r="M790" i="1" a="1"/>
  <c r="M790" i="1" s="1"/>
  <c r="M791" i="1" a="1"/>
  <c r="M791" i="1" s="1"/>
  <c r="Q791" i="1" a="1"/>
  <c r="Q791" i="1" s="1"/>
  <c r="S791" i="14" s="1"/>
  <c r="D792" i="1" a="1"/>
  <c r="D792" i="1" s="1"/>
  <c r="I792" i="14" s="1"/>
  <c r="H792" i="1" a="1"/>
  <c r="H792" i="1" s="1"/>
  <c r="J792" i="14" s="1"/>
  <c r="L792" i="1" a="1"/>
  <c r="L792" i="1" s="1"/>
  <c r="Q792" i="1" a="1"/>
  <c r="Q792" i="1" s="1"/>
  <c r="S792" i="14" s="1"/>
  <c r="D793" i="1" a="1"/>
  <c r="D793" i="1" s="1"/>
  <c r="I793" i="14" s="1"/>
  <c r="H793" i="1" a="1"/>
  <c r="H793" i="1" s="1"/>
  <c r="J793" i="14" s="1"/>
  <c r="L793" i="1" a="1"/>
  <c r="L793" i="1" s="1"/>
  <c r="P793" i="1" a="1"/>
  <c r="P793" i="1" s="1"/>
  <c r="C794" i="1" a="1"/>
  <c r="C794" i="1" s="1"/>
  <c r="E794" i="14" s="1"/>
  <c r="G794" i="1" a="1"/>
  <c r="G794" i="1" s="1"/>
  <c r="K794" i="1" a="1"/>
  <c r="K794" i="1" s="1"/>
  <c r="L794" i="14" s="1"/>
  <c r="P794" i="1" a="1"/>
  <c r="P794" i="1" s="1"/>
  <c r="C795" i="1" a="1"/>
  <c r="C795" i="1" s="1"/>
  <c r="E795" i="14" s="1"/>
  <c r="F795" i="1" a="1"/>
  <c r="F795" i="1" s="1"/>
  <c r="R795" i="14" s="1"/>
  <c r="J795" i="1" a="1"/>
  <c r="J795" i="1" s="1"/>
  <c r="M795" i="1" a="1"/>
  <c r="M795" i="1" s="1"/>
  <c r="H796" i="1" a="1"/>
  <c r="H796" i="1" s="1"/>
  <c r="J796" i="14" s="1"/>
  <c r="L796" i="1" a="1"/>
  <c r="L796" i="1" s="1"/>
  <c r="Q796" i="1" a="1"/>
  <c r="Q796" i="1" s="1"/>
  <c r="S796" i="14" s="1"/>
  <c r="D797" i="1" a="1"/>
  <c r="D797" i="1" s="1"/>
  <c r="I797" i="14" s="1"/>
  <c r="H797" i="1" a="1"/>
  <c r="H797" i="1" s="1"/>
  <c r="J797" i="14" s="1"/>
  <c r="L797" i="1" a="1"/>
  <c r="L797" i="1" s="1"/>
  <c r="Q797" i="1" a="1"/>
  <c r="Q797" i="1" s="1"/>
  <c r="S797" i="14" s="1"/>
  <c r="D798" i="1" a="1"/>
  <c r="D798" i="1" s="1"/>
  <c r="I798" i="14" s="1"/>
  <c r="G798" i="1" a="1"/>
  <c r="G798" i="1" s="1"/>
  <c r="K798" i="1" a="1"/>
  <c r="K798" i="1" s="1"/>
  <c r="P798" i="1" a="1"/>
  <c r="P798" i="1" s="1"/>
  <c r="C799" i="1" a="1"/>
  <c r="C799" i="1" s="1"/>
  <c r="E799" i="14" s="1"/>
  <c r="G799" i="1" a="1"/>
  <c r="G799" i="1" s="1"/>
  <c r="K799" i="1" a="1"/>
  <c r="K799" i="1" s="1"/>
  <c r="O799" i="1"/>
  <c r="M799" i="14" s="1"/>
  <c r="F800" i="1" a="1"/>
  <c r="F800" i="1" s="1"/>
  <c r="R800" i="14" s="1"/>
  <c r="J800" i="1" a="1"/>
  <c r="J800" i="1" s="1"/>
  <c r="O800" i="1"/>
  <c r="M800" i="14" s="1"/>
  <c r="F801" i="1" a="1"/>
  <c r="F801" i="1" s="1"/>
  <c r="R801" i="14" s="1"/>
  <c r="J801" i="1" a="1"/>
  <c r="J801" i="1" s="1"/>
  <c r="M801" i="1" a="1"/>
  <c r="M801" i="1" s="1"/>
  <c r="L802" i="1" a="1"/>
  <c r="L802" i="1" s="1"/>
  <c r="C803" i="1" a="1"/>
  <c r="C803" i="1" s="1"/>
  <c r="E803" i="14" s="1"/>
  <c r="G803" i="1" a="1"/>
  <c r="G803" i="1" s="1"/>
  <c r="K803" i="1" a="1"/>
  <c r="K803" i="1" s="1"/>
  <c r="P803" i="1" a="1"/>
  <c r="P803" i="1" s="1"/>
  <c r="C804" i="1" a="1"/>
  <c r="C804" i="1" s="1"/>
  <c r="E804" i="14" s="1"/>
  <c r="G804" i="1" a="1"/>
  <c r="G804" i="1" s="1"/>
  <c r="J804" i="1" a="1"/>
  <c r="J804" i="1" s="1"/>
  <c r="O804" i="1"/>
  <c r="M804" i="14" s="1"/>
  <c r="F805" i="1" a="1"/>
  <c r="F805" i="1" s="1"/>
  <c r="R805" i="14" s="1"/>
  <c r="J805" i="1" a="1"/>
  <c r="J805" i="1" s="1"/>
  <c r="O805" i="1"/>
  <c r="M805" i="14" s="1"/>
  <c r="M806" i="1" a="1"/>
  <c r="M806" i="1" s="1"/>
  <c r="H807" i="1" a="1"/>
  <c r="H807" i="1" s="1"/>
  <c r="J807" i="14" s="1"/>
  <c r="P807" i="1" a="1"/>
  <c r="P807" i="1" s="1"/>
  <c r="C808" i="1" a="1"/>
  <c r="C808" i="1" s="1"/>
  <c r="E808" i="14" s="1"/>
  <c r="G808" i="1" a="1"/>
  <c r="G808" i="1" s="1"/>
  <c r="J808" i="1" a="1"/>
  <c r="J808" i="1" s="1"/>
  <c r="O808" i="1"/>
  <c r="M808" i="14" s="1"/>
  <c r="F809" i="1" a="1"/>
  <c r="F809" i="1" s="1"/>
  <c r="R809" i="14" s="1"/>
  <c r="J809" i="1" a="1"/>
  <c r="J809" i="1" s="1"/>
  <c r="O809" i="1"/>
  <c r="M809" i="14" s="1"/>
  <c r="F810" i="1" a="1"/>
  <c r="F810" i="1" s="1"/>
  <c r="R810" i="14" s="1"/>
  <c r="J810" i="1" a="1"/>
  <c r="J810" i="1" s="1"/>
  <c r="O810" i="1"/>
  <c r="M810" i="14" s="1"/>
  <c r="F811" i="1" a="1"/>
  <c r="F811" i="1" s="1"/>
  <c r="R811" i="14" s="1"/>
  <c r="J811" i="1" a="1"/>
  <c r="J811" i="1" s="1"/>
  <c r="O811" i="1"/>
  <c r="M811" i="14" s="1"/>
  <c r="F812" i="1" a="1"/>
  <c r="F812" i="1" s="1"/>
  <c r="R812" i="14" s="1"/>
  <c r="J812" i="1" a="1"/>
  <c r="J812" i="1" s="1"/>
  <c r="O812" i="1"/>
  <c r="M812" i="14" s="1"/>
  <c r="F813" i="1" a="1"/>
  <c r="F813" i="1" s="1"/>
  <c r="R813" i="14" s="1"/>
  <c r="J813" i="1" a="1"/>
  <c r="J813" i="1" s="1"/>
  <c r="O813" i="1"/>
  <c r="M813" i="14" s="1"/>
  <c r="F814" i="1" a="1"/>
  <c r="F814" i="1" s="1"/>
  <c r="R814" i="14" s="1"/>
  <c r="M814" i="1" a="1"/>
  <c r="M814" i="1" s="1"/>
  <c r="Q814" i="1" a="1"/>
  <c r="Q814" i="1" s="1"/>
  <c r="S814" i="14" s="1"/>
  <c r="D815" i="1" a="1"/>
  <c r="D815" i="1" s="1"/>
  <c r="I815" i="14" s="1"/>
  <c r="H815" i="1" a="1"/>
  <c r="H815" i="1" s="1"/>
  <c r="J815" i="14" s="1"/>
  <c r="L815" i="1" a="1"/>
  <c r="L815" i="1" s="1"/>
  <c r="Q815" i="1" a="1"/>
  <c r="Q815" i="1" s="1"/>
  <c r="S815" i="14" s="1"/>
  <c r="D816" i="1" a="1"/>
  <c r="D816" i="1" s="1"/>
  <c r="I816" i="14" s="1"/>
  <c r="H816" i="1" a="1"/>
  <c r="H816" i="1" s="1"/>
  <c r="J816" i="14" s="1"/>
  <c r="L816" i="1" a="1"/>
  <c r="L816" i="1" s="1"/>
  <c r="Q816" i="1" a="1"/>
  <c r="Q816" i="1" s="1"/>
  <c r="S816" i="14" s="1"/>
  <c r="C817" i="1" a="1"/>
  <c r="C817" i="1" s="1"/>
  <c r="E817" i="14" s="1"/>
  <c r="F817" i="1" a="1"/>
  <c r="F817" i="1" s="1"/>
  <c r="R817" i="14" s="1"/>
  <c r="J817" i="1" a="1"/>
  <c r="J817" i="1" s="1"/>
  <c r="M817" i="1" a="1"/>
  <c r="M817" i="1" s="1"/>
  <c r="M818" i="1" a="1"/>
  <c r="M818" i="1" s="1"/>
  <c r="M819" i="1" a="1"/>
  <c r="M819" i="1" s="1"/>
  <c r="M820" i="1" a="1"/>
  <c r="M820" i="1" s="1"/>
  <c r="M821" i="1" a="1"/>
  <c r="M821" i="1" s="1"/>
  <c r="M822" i="1" a="1"/>
  <c r="M822" i="1" s="1"/>
  <c r="H823" i="1" a="1"/>
  <c r="H823" i="1" s="1"/>
  <c r="J823" i="14" s="1"/>
  <c r="P823" i="1" a="1"/>
  <c r="P823" i="1" s="1"/>
  <c r="C824" i="1" a="1"/>
  <c r="C824" i="1" s="1"/>
  <c r="E824" i="14" s="1"/>
  <c r="G824" i="1" a="1"/>
  <c r="G824" i="1" s="1"/>
  <c r="K824" i="1" a="1"/>
  <c r="K824" i="1" s="1"/>
  <c r="P824" i="1" a="1"/>
  <c r="P824" i="1" s="1"/>
  <c r="L825" i="1" a="1"/>
  <c r="L825" i="1" s="1"/>
  <c r="Q825" i="1" a="1"/>
  <c r="Q825" i="1" s="1"/>
  <c r="S825" i="14" s="1"/>
  <c r="D826" i="1" a="1"/>
  <c r="D826" i="1" s="1"/>
  <c r="I826" i="14" s="1"/>
  <c r="G826" i="1" a="1"/>
  <c r="G826" i="1" s="1"/>
  <c r="K826" i="1" a="1"/>
  <c r="K826" i="1" s="1"/>
  <c r="P826" i="1" a="1"/>
  <c r="P826" i="1" s="1"/>
  <c r="C827" i="1" a="1"/>
  <c r="C827" i="1" s="1"/>
  <c r="E827" i="14" s="1"/>
  <c r="G827" i="1" a="1"/>
  <c r="G827" i="1" s="1"/>
  <c r="K827" i="1" a="1"/>
  <c r="K827" i="1" s="1"/>
  <c r="O827" i="1"/>
  <c r="M827" i="14" s="1"/>
  <c r="F828" i="1" a="1"/>
  <c r="F828" i="1" s="1"/>
  <c r="R828" i="14" s="1"/>
  <c r="J828" i="1" a="1"/>
  <c r="J828" i="1" s="1"/>
  <c r="O828" i="1"/>
  <c r="M828" i="14" s="1"/>
  <c r="F829" i="1" a="1"/>
  <c r="F829" i="1" s="1"/>
  <c r="R829" i="14" s="1"/>
  <c r="J829" i="1" a="1"/>
  <c r="J829" i="1" s="1"/>
  <c r="M829" i="1" a="1"/>
  <c r="M829" i="1" s="1"/>
  <c r="M830" i="1" a="1"/>
  <c r="M830" i="1" s="1"/>
  <c r="H831" i="1" a="1"/>
  <c r="H831" i="1" s="1"/>
  <c r="J831" i="14" s="1"/>
  <c r="P831" i="1" a="1"/>
  <c r="P831" i="1" s="1"/>
  <c r="C832" i="1" a="1"/>
  <c r="C832" i="1" s="1"/>
  <c r="E832" i="14" s="1"/>
  <c r="G832" i="1" a="1"/>
  <c r="G832" i="1" s="1"/>
  <c r="J832" i="1" a="1"/>
  <c r="J832" i="1" s="1"/>
  <c r="O832" i="1"/>
  <c r="M832" i="14" s="1"/>
  <c r="F833" i="1" a="1"/>
  <c r="F833" i="1" s="1"/>
  <c r="R833" i="14" s="1"/>
  <c r="J833" i="1" a="1"/>
  <c r="J833" i="1" s="1"/>
  <c r="O833" i="1"/>
  <c r="M833" i="14" s="1"/>
  <c r="F834" i="1" a="1"/>
  <c r="F834" i="1" s="1"/>
  <c r="R834" i="14" s="1"/>
  <c r="M834" i="1" a="1"/>
  <c r="M834" i="1" s="1"/>
  <c r="M835" i="1" a="1"/>
  <c r="M835" i="1" s="1"/>
  <c r="Q835" i="1" a="1"/>
  <c r="Q835" i="1" s="1"/>
  <c r="S835" i="14" s="1"/>
  <c r="D836" i="1" a="1"/>
  <c r="D836" i="1" s="1"/>
  <c r="I836" i="14" s="1"/>
  <c r="H836" i="1" a="1"/>
  <c r="H836" i="1" s="1"/>
  <c r="J836" i="14" s="1"/>
  <c r="L836" i="1" a="1"/>
  <c r="L836" i="1" s="1"/>
  <c r="Q836" i="1" a="1"/>
  <c r="Q836" i="1" s="1"/>
  <c r="S836" i="14" s="1"/>
  <c r="D837" i="1" a="1"/>
  <c r="D837" i="1" s="1"/>
  <c r="I837" i="14" s="1"/>
  <c r="H837" i="1" a="1"/>
  <c r="H837" i="1" s="1"/>
  <c r="J837" i="14" s="1"/>
  <c r="L837" i="1" a="1"/>
  <c r="L837" i="1" s="1"/>
  <c r="P837" i="1" a="1"/>
  <c r="P837" i="1" s="1"/>
  <c r="C838" i="1" a="1"/>
  <c r="C838" i="1" s="1"/>
  <c r="E838" i="14" s="1"/>
  <c r="G838" i="1" a="1"/>
  <c r="G838" i="1" s="1"/>
  <c r="J838" i="1" a="1"/>
  <c r="J838" i="1" s="1"/>
  <c r="O838" i="1"/>
  <c r="M838" i="14" s="1"/>
  <c r="M839" i="1" a="1"/>
  <c r="M839" i="1" s="1"/>
  <c r="H840" i="1" a="1"/>
  <c r="H840" i="1" s="1"/>
  <c r="J840" i="14" s="1"/>
  <c r="L840" i="1" a="1"/>
  <c r="L840" i="1" s="1"/>
  <c r="Q840" i="1" a="1"/>
  <c r="Q840" i="1" s="1"/>
  <c r="S840" i="14" s="1"/>
  <c r="D841" i="1" a="1"/>
  <c r="D841" i="1" s="1"/>
  <c r="I841" i="14" s="1"/>
  <c r="H841" i="1" a="1"/>
  <c r="H841" i="1" s="1"/>
  <c r="J841" i="14" s="1"/>
  <c r="L841" i="1" a="1"/>
  <c r="L841" i="1" s="1"/>
  <c r="Q841" i="1" a="1"/>
  <c r="Q841" i="1" s="1"/>
  <c r="S841" i="14" s="1"/>
  <c r="D842" i="1" a="1"/>
  <c r="D842" i="1" s="1"/>
  <c r="I842" i="14" s="1"/>
  <c r="H842" i="1" a="1"/>
  <c r="H842" i="1" s="1"/>
  <c r="J842" i="14" s="1"/>
  <c r="L842" i="1" a="1"/>
  <c r="L842" i="1" s="1"/>
  <c r="Q842" i="1" a="1"/>
  <c r="Q842" i="1" s="1"/>
  <c r="S842" i="14" s="1"/>
  <c r="D843" i="1" a="1"/>
  <c r="D843" i="1" s="1"/>
  <c r="I843" i="14" s="1"/>
  <c r="F796" i="1" a="1"/>
  <c r="F796" i="1" s="1"/>
  <c r="R796" i="14" s="1"/>
  <c r="M802" i="1" a="1"/>
  <c r="M802" i="1" s="1"/>
  <c r="D803" i="1" a="1"/>
  <c r="D803" i="1" s="1"/>
  <c r="I803" i="14" s="1"/>
  <c r="L803" i="1" a="1"/>
  <c r="L803" i="1" s="1"/>
  <c r="D804" i="1" a="1"/>
  <c r="D804" i="1" s="1"/>
  <c r="I804" i="14" s="1"/>
  <c r="K804" i="1" a="1"/>
  <c r="K804" i="1" s="1"/>
  <c r="C805" i="1" a="1"/>
  <c r="C805" i="1" s="1"/>
  <c r="E805" i="14" s="1"/>
  <c r="K805" i="1" a="1"/>
  <c r="K805" i="1" s="1"/>
  <c r="L805" i="14" s="1"/>
  <c r="O806" i="1"/>
  <c r="M806" i="14" s="1"/>
  <c r="M816" i="1" a="1"/>
  <c r="M816" i="1" s="1"/>
  <c r="O818" i="1"/>
  <c r="M818" i="14" s="1"/>
  <c r="F819" i="1" a="1"/>
  <c r="F819" i="1" s="1"/>
  <c r="R819" i="14" s="1"/>
  <c r="J821" i="1" a="1"/>
  <c r="J821" i="1" s="1"/>
  <c r="O822" i="1"/>
  <c r="M822" i="14" s="1"/>
  <c r="L826" i="1" a="1"/>
  <c r="L826" i="1" s="1"/>
  <c r="D827" i="1" a="1"/>
  <c r="D827" i="1" s="1"/>
  <c r="I827" i="14" s="1"/>
  <c r="L827" i="1" a="1"/>
  <c r="L827" i="1" s="1"/>
  <c r="C828" i="1" a="1"/>
  <c r="C828" i="1" s="1"/>
  <c r="E828" i="14" s="1"/>
  <c r="K828" i="1" a="1"/>
  <c r="K828" i="1" s="1"/>
  <c r="C829" i="1" a="1"/>
  <c r="C829" i="1" s="1"/>
  <c r="E829" i="14" s="1"/>
  <c r="K829" i="1" a="1"/>
  <c r="K829" i="1" s="1"/>
  <c r="L829" i="14" s="1"/>
  <c r="O830" i="1"/>
  <c r="M830" i="14" s="1"/>
  <c r="J835" i="1" a="1"/>
  <c r="J835" i="1" s="1"/>
  <c r="Q837" i="1" a="1"/>
  <c r="Q837" i="1" s="1"/>
  <c r="S837" i="14" s="1"/>
  <c r="P838" i="1" a="1"/>
  <c r="P838" i="1" s="1"/>
  <c r="F839" i="1" a="1"/>
  <c r="F839" i="1" s="1"/>
  <c r="R839" i="14" s="1"/>
  <c r="H844" i="1" a="1"/>
  <c r="H844" i="1" s="1"/>
  <c r="J844" i="14" s="1"/>
  <c r="Q844" i="1" a="1"/>
  <c r="Q844" i="1" s="1"/>
  <c r="S844" i="14" s="1"/>
  <c r="M845" i="1" a="1"/>
  <c r="M845" i="1" s="1"/>
  <c r="D846" i="1" a="1"/>
  <c r="D846" i="1" s="1"/>
  <c r="I846" i="14" s="1"/>
  <c r="J847" i="1" a="1"/>
  <c r="J847" i="1" s="1"/>
  <c r="P847" i="1" a="1"/>
  <c r="P847" i="1" s="1"/>
  <c r="C848" i="1" a="1"/>
  <c r="C848" i="1" s="1"/>
  <c r="E848" i="14" s="1"/>
  <c r="G848" i="1" a="1"/>
  <c r="G848" i="1" s="1"/>
  <c r="K848" i="1" a="1"/>
  <c r="K848" i="1" s="1"/>
  <c r="Q848" i="1" a="1"/>
  <c r="Q848" i="1" s="1"/>
  <c r="S848" i="14" s="1"/>
  <c r="D849" i="1" a="1"/>
  <c r="D849" i="1" s="1"/>
  <c r="I849" i="14" s="1"/>
  <c r="M849" i="1" a="1"/>
  <c r="M849" i="1" s="1"/>
  <c r="G850" i="1" a="1"/>
  <c r="G850" i="1" s="1"/>
  <c r="L850" i="1" a="1"/>
  <c r="L850" i="1" s="1"/>
  <c r="K851" i="1" a="1"/>
  <c r="K851" i="1" s="1"/>
  <c r="Q851" i="1" a="1"/>
  <c r="Q851" i="1" s="1"/>
  <c r="S851" i="14" s="1"/>
  <c r="D852" i="1" a="1"/>
  <c r="D852" i="1" s="1"/>
  <c r="I852" i="14" s="1"/>
  <c r="P852" i="1" a="1"/>
  <c r="P852" i="1" s="1"/>
  <c r="C853" i="1" a="1"/>
  <c r="C853" i="1" s="1"/>
  <c r="E853" i="14" s="1"/>
  <c r="H853" i="1" a="1"/>
  <c r="H853" i="1" s="1"/>
  <c r="J853" i="14" s="1"/>
  <c r="M853" i="1" a="1"/>
  <c r="M853" i="1" s="1"/>
  <c r="G854" i="1" a="1"/>
  <c r="G854" i="1" s="1"/>
  <c r="L854" i="1" a="1"/>
  <c r="L854" i="1" s="1"/>
  <c r="H855" i="1" a="1"/>
  <c r="H855" i="1" s="1"/>
  <c r="J855" i="14" s="1"/>
  <c r="F856" i="1" a="1"/>
  <c r="F856" i="1" s="1"/>
  <c r="R856" i="14" s="1"/>
  <c r="K856" i="1" a="1"/>
  <c r="K856" i="1" s="1"/>
  <c r="J857" i="1" a="1"/>
  <c r="J857" i="1" s="1"/>
  <c r="Q857" i="1" a="1"/>
  <c r="Q857" i="1" s="1"/>
  <c r="S857" i="14" s="1"/>
  <c r="J858" i="1" a="1"/>
  <c r="J858" i="1" s="1"/>
  <c r="Q858" i="1" a="1"/>
  <c r="Q858" i="1" s="1"/>
  <c r="S858" i="14" s="1"/>
  <c r="J859" i="1" a="1"/>
  <c r="J859" i="1" s="1"/>
  <c r="P859" i="1" a="1"/>
  <c r="P859" i="1" s="1"/>
  <c r="C860" i="1" a="1"/>
  <c r="C860" i="1" s="1"/>
  <c r="E860" i="14" s="1"/>
  <c r="H860" i="1" a="1"/>
  <c r="H860" i="1" s="1"/>
  <c r="J860" i="14" s="1"/>
  <c r="M860" i="1" a="1"/>
  <c r="M860" i="1" s="1"/>
  <c r="G861" i="1" a="1"/>
  <c r="G861" i="1" s="1"/>
  <c r="K861" i="1" a="1"/>
  <c r="K861" i="1" s="1"/>
  <c r="O861" i="1"/>
  <c r="M861" i="14" s="1"/>
  <c r="F862" i="1" a="1"/>
  <c r="F862" i="1" s="1"/>
  <c r="R862" i="14" s="1"/>
  <c r="J862" i="1" a="1"/>
  <c r="J862" i="1" s="1"/>
  <c r="O862" i="1"/>
  <c r="M862" i="14" s="1"/>
  <c r="L863" i="1" a="1"/>
  <c r="L863" i="1" s="1"/>
  <c r="Q863" i="1" a="1"/>
  <c r="Q863" i="1" s="1"/>
  <c r="S863" i="14" s="1"/>
  <c r="D864" i="1" a="1"/>
  <c r="D864" i="1" s="1"/>
  <c r="I864" i="14" s="1"/>
  <c r="K864" i="1" a="1"/>
  <c r="K864" i="1" s="1"/>
  <c r="P864" i="1" a="1"/>
  <c r="P864" i="1" s="1"/>
  <c r="C865" i="1" a="1"/>
  <c r="C865" i="1" s="1"/>
  <c r="E865" i="14" s="1"/>
  <c r="G865" i="1" a="1"/>
  <c r="G865" i="1" s="1"/>
  <c r="K865" i="1" a="1"/>
  <c r="K865" i="1" s="1"/>
  <c r="P865" i="1" a="1"/>
  <c r="P865" i="1" s="1"/>
  <c r="C866" i="1" a="1"/>
  <c r="C866" i="1" s="1"/>
  <c r="E866" i="14" s="1"/>
  <c r="G866" i="1" a="1"/>
  <c r="G866" i="1" s="1"/>
  <c r="K866" i="1" a="1"/>
  <c r="K866" i="1" s="1"/>
  <c r="P866" i="1" a="1"/>
  <c r="P866" i="1" s="1"/>
  <c r="C867" i="1" a="1"/>
  <c r="C867" i="1" s="1"/>
  <c r="E867" i="14" s="1"/>
  <c r="G867" i="1" a="1"/>
  <c r="G867" i="1" s="1"/>
  <c r="K867" i="1" a="1"/>
  <c r="K867" i="1" s="1"/>
  <c r="P867" i="1" a="1"/>
  <c r="P867" i="1" s="1"/>
  <c r="C868" i="1" a="1"/>
  <c r="C868" i="1" s="1"/>
  <c r="E868" i="14" s="1"/>
  <c r="G868" i="1" a="1"/>
  <c r="G868" i="1" s="1"/>
  <c r="K868" i="1" a="1"/>
  <c r="K868" i="1" s="1"/>
  <c r="P868" i="1" a="1"/>
  <c r="P868" i="1" s="1"/>
  <c r="C869" i="1" a="1"/>
  <c r="C869" i="1" s="1"/>
  <c r="E869" i="14" s="1"/>
  <c r="G869" i="1" a="1"/>
  <c r="G869" i="1" s="1"/>
  <c r="K869" i="1" a="1"/>
  <c r="K869" i="1" s="1"/>
  <c r="O869" i="1"/>
  <c r="M869" i="14" s="1"/>
  <c r="F870" i="1" a="1"/>
  <c r="F870" i="1" s="1"/>
  <c r="R870" i="14" s="1"/>
  <c r="M870" i="1" a="1"/>
  <c r="M870" i="1" s="1"/>
  <c r="Q870" i="1" a="1"/>
  <c r="Q870" i="1" s="1"/>
  <c r="S870" i="14" s="1"/>
  <c r="D871" i="1" a="1"/>
  <c r="D871" i="1" s="1"/>
  <c r="I871" i="14" s="1"/>
  <c r="H871" i="1" a="1"/>
  <c r="H871" i="1" s="1"/>
  <c r="J871" i="14" s="1"/>
  <c r="L871" i="1" a="1"/>
  <c r="L871" i="1" s="1"/>
  <c r="Q871" i="1" a="1"/>
  <c r="Q871" i="1" s="1"/>
  <c r="S871" i="14" s="1"/>
  <c r="D872" i="1" a="1"/>
  <c r="D872" i="1" s="1"/>
  <c r="I872" i="14" s="1"/>
  <c r="K872" i="1" a="1"/>
  <c r="K872" i="1" s="1"/>
  <c r="P872" i="1" a="1"/>
  <c r="P872" i="1" s="1"/>
  <c r="C873" i="1" a="1"/>
  <c r="C873" i="1" s="1"/>
  <c r="E873" i="14" s="1"/>
  <c r="G873" i="1" a="1"/>
  <c r="G873" i="1" s="1"/>
  <c r="K873" i="1" a="1"/>
  <c r="K873" i="1" s="1"/>
  <c r="P873" i="1" a="1"/>
  <c r="P873" i="1" s="1"/>
  <c r="C874" i="1" a="1"/>
  <c r="C874" i="1" s="1"/>
  <c r="E874" i="14" s="1"/>
  <c r="G874" i="1" a="1"/>
  <c r="G874" i="1" s="1"/>
  <c r="K874" i="1" a="1"/>
  <c r="K874" i="1" s="1"/>
  <c r="P874" i="1" a="1"/>
  <c r="P874" i="1" s="1"/>
  <c r="C875" i="1" a="1"/>
  <c r="C875" i="1" s="1"/>
  <c r="E875" i="14" s="1"/>
  <c r="G875" i="1" a="1"/>
  <c r="G875" i="1" s="1"/>
  <c r="K875" i="1" a="1"/>
  <c r="K875" i="1" s="1"/>
  <c r="P875" i="1" a="1"/>
  <c r="P875" i="1" s="1"/>
  <c r="C876" i="1" a="1"/>
  <c r="C876" i="1" s="1"/>
  <c r="E876" i="14" s="1"/>
  <c r="G876" i="1" a="1"/>
  <c r="G876" i="1" s="1"/>
  <c r="K876" i="1" a="1"/>
  <c r="K876" i="1" s="1"/>
  <c r="P876" i="1" a="1"/>
  <c r="P876" i="1" s="1"/>
  <c r="C877" i="1" a="1"/>
  <c r="C877" i="1" s="1"/>
  <c r="E877" i="14" s="1"/>
  <c r="G877" i="1" a="1"/>
  <c r="G877" i="1" s="1"/>
  <c r="K877" i="1" a="1"/>
  <c r="K877" i="1" s="1"/>
  <c r="P877" i="1" a="1"/>
  <c r="P877" i="1" s="1"/>
  <c r="C878" i="1" a="1"/>
  <c r="C878" i="1" s="1"/>
  <c r="E878" i="14" s="1"/>
  <c r="G878" i="1" a="1"/>
  <c r="G878" i="1" s="1"/>
  <c r="K878" i="1" a="1"/>
  <c r="K878" i="1" s="1"/>
  <c r="P878" i="1" a="1"/>
  <c r="P878" i="1" s="1"/>
  <c r="C879" i="1" a="1"/>
  <c r="C879" i="1" s="1"/>
  <c r="E879" i="14" s="1"/>
  <c r="F879" i="1" a="1"/>
  <c r="F879" i="1" s="1"/>
  <c r="R879" i="14" s="1"/>
  <c r="J879" i="1" a="1"/>
  <c r="J879" i="1" s="1"/>
  <c r="M879" i="1" a="1"/>
  <c r="M879" i="1" s="1"/>
  <c r="M880" i="1" a="1"/>
  <c r="M880" i="1" s="1"/>
  <c r="G881" i="1" a="1"/>
  <c r="G881" i="1" s="1"/>
  <c r="K881" i="1" a="1"/>
  <c r="K881" i="1" s="1"/>
  <c r="P881" i="1" a="1"/>
  <c r="P881" i="1" s="1"/>
  <c r="C882" i="1" a="1"/>
  <c r="C882" i="1" s="1"/>
  <c r="E882" i="14" s="1"/>
  <c r="J882" i="1" a="1"/>
  <c r="J882" i="1" s="1"/>
  <c r="O882" i="1"/>
  <c r="M882" i="14" s="1"/>
  <c r="F883" i="1" a="1"/>
  <c r="F883" i="1" s="1"/>
  <c r="R883" i="14" s="1"/>
  <c r="J883" i="1" a="1"/>
  <c r="J883" i="1" s="1"/>
  <c r="M884" i="1" a="1"/>
  <c r="M884" i="1" s="1"/>
  <c r="G885" i="1" a="1"/>
  <c r="G885" i="1" s="1"/>
  <c r="O885" i="1"/>
  <c r="M885" i="14" s="1"/>
  <c r="F886" i="1" a="1"/>
  <c r="F886" i="1" s="1"/>
  <c r="R886" i="14" s="1"/>
  <c r="M886" i="1" a="1"/>
  <c r="M886" i="1" s="1"/>
  <c r="Q886" i="1" a="1"/>
  <c r="Q886" i="1" s="1"/>
  <c r="S886" i="14" s="1"/>
  <c r="D887" i="1" a="1"/>
  <c r="D887" i="1" s="1"/>
  <c r="I887" i="14" s="1"/>
  <c r="H887" i="1" a="1"/>
  <c r="H887" i="1" s="1"/>
  <c r="J887" i="14" s="1"/>
  <c r="L887" i="1" a="1"/>
  <c r="L887" i="1" s="1"/>
  <c r="Q887" i="1" a="1"/>
  <c r="Q887" i="1" s="1"/>
  <c r="S887" i="14" s="1"/>
  <c r="D888" i="1" a="1"/>
  <c r="D888" i="1" s="1"/>
  <c r="I888" i="14" s="1"/>
  <c r="K888" i="1" a="1"/>
  <c r="K888" i="1" s="1"/>
  <c r="P888" i="1" a="1"/>
  <c r="P888" i="1" s="1"/>
  <c r="C889" i="1" a="1"/>
  <c r="C889" i="1" s="1"/>
  <c r="E889" i="14" s="1"/>
  <c r="G889" i="1" a="1"/>
  <c r="G889" i="1" s="1"/>
  <c r="K889" i="1" a="1"/>
  <c r="K889" i="1" s="1"/>
  <c r="P889" i="1" a="1"/>
  <c r="P889" i="1" s="1"/>
  <c r="C890" i="1" a="1"/>
  <c r="C890" i="1" s="1"/>
  <c r="E890" i="14" s="1"/>
  <c r="M890" i="1" a="1"/>
  <c r="M890" i="1" s="1"/>
  <c r="Q890" i="1" a="1"/>
  <c r="Q890" i="1" s="1"/>
  <c r="S890" i="14" s="1"/>
  <c r="D891" i="1" a="1"/>
  <c r="D891" i="1" s="1"/>
  <c r="I891" i="14" s="1"/>
  <c r="H891" i="1" a="1"/>
  <c r="H891" i="1" s="1"/>
  <c r="J891" i="14" s="1"/>
  <c r="L891" i="1" a="1"/>
  <c r="L891" i="1" s="1"/>
  <c r="Q891" i="1" a="1"/>
  <c r="Q891" i="1" s="1"/>
  <c r="S891" i="14" s="1"/>
  <c r="D892" i="1" a="1"/>
  <c r="D892" i="1" s="1"/>
  <c r="I892" i="14" s="1"/>
  <c r="K892" i="1" a="1"/>
  <c r="K892" i="1" s="1"/>
  <c r="P892" i="1" a="1"/>
  <c r="P892" i="1" s="1"/>
  <c r="C893" i="1" a="1"/>
  <c r="C893" i="1" s="1"/>
  <c r="E893" i="14" s="1"/>
  <c r="G893" i="1" a="1"/>
  <c r="G893" i="1" s="1"/>
  <c r="K893" i="1" a="1"/>
  <c r="K893" i="1" s="1"/>
  <c r="O893" i="1"/>
  <c r="M893" i="14" s="1"/>
  <c r="F894" i="1" a="1"/>
  <c r="F894" i="1" s="1"/>
  <c r="R894" i="14" s="1"/>
  <c r="J894" i="1" a="1"/>
  <c r="J894" i="1" s="1"/>
  <c r="O894" i="1"/>
  <c r="M894" i="14" s="1"/>
  <c r="L895" i="1" a="1"/>
  <c r="L895" i="1" s="1"/>
  <c r="P895" i="1" a="1"/>
  <c r="P895" i="1" s="1"/>
  <c r="C896" i="1" a="1"/>
  <c r="C896" i="1" s="1"/>
  <c r="E896" i="14" s="1"/>
  <c r="G896" i="1" a="1"/>
  <c r="G896" i="1" s="1"/>
  <c r="J896" i="1" a="1"/>
  <c r="J896" i="1" s="1"/>
  <c r="O896" i="1"/>
  <c r="M896" i="14" s="1"/>
  <c r="F897" i="1" a="1"/>
  <c r="F897" i="1" s="1"/>
  <c r="R897" i="14" s="1"/>
  <c r="J897" i="1" a="1"/>
  <c r="J897" i="1" s="1"/>
  <c r="M897" i="1" a="1"/>
  <c r="M897" i="1" s="1"/>
  <c r="M898" i="1" a="1"/>
  <c r="M898" i="1" s="1"/>
  <c r="M899" i="1" a="1"/>
  <c r="M899" i="1" s="1"/>
  <c r="M900" i="1" a="1"/>
  <c r="M900" i="1" s="1"/>
  <c r="G901" i="1" a="1"/>
  <c r="G901" i="1" s="1"/>
  <c r="K901" i="1" a="1"/>
  <c r="K901" i="1" s="1"/>
  <c r="P901" i="1" a="1"/>
  <c r="P901" i="1" s="1"/>
  <c r="C902" i="1" a="1"/>
  <c r="C902" i="1" s="1"/>
  <c r="E902" i="14" s="1"/>
  <c r="G902" i="1" a="1"/>
  <c r="G902" i="1" s="1"/>
  <c r="J902" i="1" a="1"/>
  <c r="J902" i="1" s="1"/>
  <c r="O902" i="1"/>
  <c r="M902" i="14" s="1"/>
  <c r="H903" i="1" a="1"/>
  <c r="H903" i="1" s="1"/>
  <c r="J903" i="14" s="1"/>
  <c r="P903" i="1" a="1"/>
  <c r="P903" i="1" s="1"/>
  <c r="C904" i="1" a="1"/>
  <c r="C904" i="1" s="1"/>
  <c r="E904" i="14" s="1"/>
  <c r="G904" i="1" a="1"/>
  <c r="G904" i="1" s="1"/>
  <c r="K904" i="1" a="1"/>
  <c r="K904" i="1" s="1"/>
  <c r="P904" i="1" a="1"/>
  <c r="P904" i="1" s="1"/>
  <c r="C905" i="1" a="1"/>
  <c r="C905" i="1" s="1"/>
  <c r="E905" i="14" s="1"/>
  <c r="G905" i="1" a="1"/>
  <c r="G905" i="1" s="1"/>
  <c r="K905" i="1" a="1"/>
  <c r="K905" i="1" s="1"/>
  <c r="P905" i="1" a="1"/>
  <c r="P905" i="1" s="1"/>
  <c r="C906" i="1" a="1"/>
  <c r="C906" i="1" s="1"/>
  <c r="E906" i="14" s="1"/>
  <c r="G906" i="1" a="1"/>
  <c r="G906" i="1" s="1"/>
  <c r="J906" i="1" a="1"/>
  <c r="J906" i="1" s="1"/>
  <c r="O906" i="1"/>
  <c r="M906" i="14" s="1"/>
  <c r="M907" i="1" a="1"/>
  <c r="M907" i="1" s="1"/>
  <c r="Q907" i="1" a="1"/>
  <c r="Q907" i="1" s="1"/>
  <c r="S907" i="14" s="1"/>
  <c r="D908" i="1" a="1"/>
  <c r="D908" i="1" s="1"/>
  <c r="I908" i="14" s="1"/>
  <c r="K908" i="1" a="1"/>
  <c r="K908" i="1" s="1"/>
  <c r="P908" i="1" a="1"/>
  <c r="P908" i="1" s="1"/>
  <c r="C909" i="1" a="1"/>
  <c r="C909" i="1" s="1"/>
  <c r="E909" i="14" s="1"/>
  <c r="G909" i="1" a="1"/>
  <c r="G909" i="1" s="1"/>
  <c r="K909" i="1" a="1"/>
  <c r="K909" i="1" s="1"/>
  <c r="P909" i="1" a="1"/>
  <c r="P909" i="1" s="1"/>
  <c r="C910" i="1" a="1"/>
  <c r="C910" i="1" s="1"/>
  <c r="E910" i="14" s="1"/>
  <c r="G910" i="1" a="1"/>
  <c r="G910" i="1" s="1"/>
  <c r="K910" i="1" a="1"/>
  <c r="K910" i="1" s="1"/>
  <c r="P910" i="1" a="1"/>
  <c r="P910" i="1" s="1"/>
  <c r="C911" i="1" a="1"/>
  <c r="C911" i="1" s="1"/>
  <c r="E911" i="14" s="1"/>
  <c r="G911" i="1" a="1"/>
  <c r="G911" i="1" s="1"/>
  <c r="K911" i="1" a="1"/>
  <c r="K911" i="1" s="1"/>
  <c r="P911" i="1" a="1"/>
  <c r="P911" i="1" s="1"/>
  <c r="C912" i="1" a="1"/>
  <c r="C912" i="1" s="1"/>
  <c r="E912" i="14" s="1"/>
  <c r="G912" i="1" a="1"/>
  <c r="G912" i="1" s="1"/>
  <c r="J912" i="1" a="1"/>
  <c r="J912" i="1" s="1"/>
  <c r="O912" i="1"/>
  <c r="M912" i="14" s="1"/>
  <c r="D913" i="1" a="1"/>
  <c r="D913" i="1" s="1"/>
  <c r="I913" i="14" s="1"/>
  <c r="H913" i="1" a="1"/>
  <c r="H913" i="1" s="1"/>
  <c r="J913" i="14" s="1"/>
  <c r="L913" i="1" a="1"/>
  <c r="L913" i="1" s="1"/>
  <c r="P913" i="1" a="1"/>
  <c r="P913" i="1" s="1"/>
  <c r="C914" i="1" a="1"/>
  <c r="C914" i="1" s="1"/>
  <c r="E914" i="14" s="1"/>
  <c r="G914" i="1" a="1"/>
  <c r="G914" i="1" s="1"/>
  <c r="K914" i="1" a="1"/>
  <c r="K914" i="1" s="1"/>
  <c r="P914" i="1" a="1"/>
  <c r="P914" i="1" s="1"/>
  <c r="C915" i="1" a="1"/>
  <c r="C915" i="1" s="1"/>
  <c r="E915" i="14" s="1"/>
  <c r="F915" i="1" a="1"/>
  <c r="F915" i="1" s="1"/>
  <c r="R915" i="14" s="1"/>
  <c r="J915" i="1" a="1"/>
  <c r="J915" i="1" s="1"/>
  <c r="M915" i="1" a="1"/>
  <c r="M915" i="1" s="1"/>
  <c r="M916" i="1" a="1"/>
  <c r="M916" i="1" s="1"/>
  <c r="M917" i="1" a="1"/>
  <c r="M917" i="1" s="1"/>
  <c r="L918" i="1" a="1"/>
  <c r="L918" i="1" s="1"/>
  <c r="C919" i="1" a="1"/>
  <c r="C919" i="1" s="1"/>
  <c r="E919" i="14" s="1"/>
  <c r="F919" i="1" a="1"/>
  <c r="F919" i="1" s="1"/>
  <c r="R919" i="14" s="1"/>
  <c r="J919" i="1" a="1"/>
  <c r="J919" i="1" s="1"/>
  <c r="M919" i="1" a="1"/>
  <c r="M919" i="1" s="1"/>
  <c r="M920" i="1" a="1"/>
  <c r="M920" i="1" s="1"/>
  <c r="D921" i="1" a="1"/>
  <c r="D921" i="1" s="1"/>
  <c r="I921" i="14" s="1"/>
  <c r="H921" i="1" a="1"/>
  <c r="H921" i="1" s="1"/>
  <c r="J921" i="14" s="1"/>
  <c r="L921" i="1" a="1"/>
  <c r="L921" i="1" s="1"/>
  <c r="Q921" i="1" a="1"/>
  <c r="Q921" i="1" s="1"/>
  <c r="S921" i="14" s="1"/>
  <c r="D922" i="1" a="1"/>
  <c r="D922" i="1" s="1"/>
  <c r="I922" i="14" s="1"/>
  <c r="G922" i="1" a="1"/>
  <c r="G922" i="1" s="1"/>
  <c r="K922" i="1" a="1"/>
  <c r="K922" i="1" s="1"/>
  <c r="P922" i="1" a="1"/>
  <c r="P922" i="1" s="1"/>
  <c r="C923" i="1" a="1"/>
  <c r="C923" i="1" s="1"/>
  <c r="E923" i="14" s="1"/>
  <c r="G923" i="1" a="1"/>
  <c r="G923" i="1" s="1"/>
  <c r="K923" i="1" a="1"/>
  <c r="K923" i="1" s="1"/>
  <c r="P923" i="1" a="1"/>
  <c r="P923" i="1" s="1"/>
  <c r="C924" i="1" a="1"/>
  <c r="C924" i="1" s="1"/>
  <c r="E924" i="14" s="1"/>
  <c r="G924" i="1" a="1"/>
  <c r="G924" i="1" s="1"/>
  <c r="J924" i="1" a="1"/>
  <c r="J924" i="1" s="1"/>
  <c r="O924" i="1"/>
  <c r="M924" i="14" s="1"/>
  <c r="F925" i="1" a="1"/>
  <c r="F925" i="1" s="1"/>
  <c r="R925" i="14" s="1"/>
  <c r="J925" i="1" a="1"/>
  <c r="J925" i="1" s="1"/>
  <c r="O925" i="1"/>
  <c r="M925" i="14" s="1"/>
  <c r="F926" i="1" a="1"/>
  <c r="F926" i="1" s="1"/>
  <c r="R926" i="14" s="1"/>
  <c r="M926" i="1" a="1"/>
  <c r="M926" i="1" s="1"/>
  <c r="Q926" i="1" a="1"/>
  <c r="Q926" i="1" s="1"/>
  <c r="S926" i="14" s="1"/>
  <c r="D927" i="1" a="1"/>
  <c r="D927" i="1" s="1"/>
  <c r="I927" i="14" s="1"/>
  <c r="G927" i="1" a="1"/>
  <c r="G927" i="1" s="1"/>
  <c r="K927" i="1" a="1"/>
  <c r="K927" i="1" s="1"/>
  <c r="O927" i="1"/>
  <c r="M927" i="14" s="1"/>
  <c r="F928" i="1" a="1"/>
  <c r="F928" i="1" s="1"/>
  <c r="R928" i="14" s="1"/>
  <c r="J928" i="1" a="1"/>
  <c r="J928" i="1" s="1"/>
  <c r="O928" i="1"/>
  <c r="M928" i="14" s="1"/>
  <c r="D929" i="1" a="1"/>
  <c r="D929" i="1" s="1"/>
  <c r="I929" i="14" s="1"/>
  <c r="H929" i="1" a="1"/>
  <c r="H929" i="1" s="1"/>
  <c r="J929" i="14" s="1"/>
  <c r="L929" i="1" a="1"/>
  <c r="L929" i="1" s="1"/>
  <c r="P929" i="1" a="1"/>
  <c r="P929" i="1" s="1"/>
  <c r="C930" i="1" a="1"/>
  <c r="C930" i="1" s="1"/>
  <c r="E930" i="14" s="1"/>
  <c r="G930" i="1" a="1"/>
  <c r="G930" i="1" s="1"/>
  <c r="K930" i="1" a="1"/>
  <c r="K930" i="1" s="1"/>
  <c r="P930" i="1" a="1"/>
  <c r="P930" i="1" s="1"/>
  <c r="C931" i="1" a="1"/>
  <c r="C931" i="1" s="1"/>
  <c r="E931" i="14" s="1"/>
  <c r="G931" i="1" a="1"/>
  <c r="G931" i="1" s="1"/>
  <c r="K931" i="1" a="1"/>
  <c r="K931" i="1" s="1"/>
  <c r="P931" i="1" a="1"/>
  <c r="P931" i="1" s="1"/>
  <c r="C932" i="1" a="1"/>
  <c r="C932" i="1" s="1"/>
  <c r="E932" i="14" s="1"/>
  <c r="G932" i="1" a="1"/>
  <c r="G932" i="1" s="1"/>
  <c r="K932" i="1" a="1"/>
  <c r="K932" i="1" s="1"/>
  <c r="P932" i="1" a="1"/>
  <c r="P932" i="1" s="1"/>
  <c r="C933" i="1" a="1"/>
  <c r="C933" i="1" s="1"/>
  <c r="E933" i="14" s="1"/>
  <c r="G933" i="1" a="1"/>
  <c r="G933" i="1" s="1"/>
  <c r="K933" i="1" a="1"/>
  <c r="K933" i="1" s="1"/>
  <c r="P933" i="1" a="1"/>
  <c r="P933" i="1" s="1"/>
  <c r="C934" i="1" a="1"/>
  <c r="C934" i="1" s="1"/>
  <c r="E934" i="14" s="1"/>
  <c r="G934" i="1" a="1"/>
  <c r="G934" i="1" s="1"/>
  <c r="J934" i="1" a="1"/>
  <c r="J934" i="1" s="1"/>
  <c r="O934" i="1"/>
  <c r="M934" i="14" s="1"/>
  <c r="H935" i="1" a="1"/>
  <c r="H935" i="1" s="1"/>
  <c r="J935" i="14" s="1"/>
  <c r="P935" i="1" a="1"/>
  <c r="P935" i="1" s="1"/>
  <c r="C936" i="1" a="1"/>
  <c r="C936" i="1" s="1"/>
  <c r="E936" i="14" s="1"/>
  <c r="G936" i="1" a="1"/>
  <c r="G936" i="1" s="1"/>
  <c r="K936" i="1" a="1"/>
  <c r="K936" i="1" s="1"/>
  <c r="P936" i="1" a="1"/>
  <c r="P936" i="1" s="1"/>
  <c r="C937" i="1" a="1"/>
  <c r="C937" i="1" s="1"/>
  <c r="E937" i="14" s="1"/>
  <c r="G937" i="1" a="1"/>
  <c r="G937" i="1" s="1"/>
  <c r="K937" i="1" a="1"/>
  <c r="K937" i="1" s="1"/>
  <c r="P937" i="1" a="1"/>
  <c r="P937" i="1" s="1"/>
  <c r="C938" i="1" a="1"/>
  <c r="C938" i="1" s="1"/>
  <c r="E938" i="14" s="1"/>
  <c r="G938" i="1" a="1"/>
  <c r="G938" i="1" s="1"/>
  <c r="K938" i="1" a="1"/>
  <c r="K938" i="1" s="1"/>
  <c r="P938" i="1" a="1"/>
  <c r="P938" i="1" s="1"/>
  <c r="C939" i="1" a="1"/>
  <c r="C939" i="1" s="1"/>
  <c r="E939" i="14" s="1"/>
  <c r="G939" i="1" a="1"/>
  <c r="G939" i="1" s="1"/>
  <c r="K939" i="1" a="1"/>
  <c r="K939" i="1" s="1"/>
  <c r="P939" i="1" a="1"/>
  <c r="P939" i="1" s="1"/>
  <c r="C940" i="1" a="1"/>
  <c r="C940" i="1" s="1"/>
  <c r="E940" i="14" s="1"/>
  <c r="G940" i="1" a="1"/>
  <c r="G940" i="1" s="1"/>
  <c r="J940" i="1" a="1"/>
  <c r="J940" i="1" s="1"/>
  <c r="O940" i="1"/>
  <c r="M940" i="14" s="1"/>
  <c r="F941" i="1" a="1"/>
  <c r="F941" i="1" s="1"/>
  <c r="R941" i="14" s="1"/>
  <c r="J941" i="1" a="1"/>
  <c r="J941" i="1" s="1"/>
  <c r="O941" i="1"/>
  <c r="M941" i="14" s="1"/>
  <c r="F942" i="1" a="1"/>
  <c r="F942" i="1" s="1"/>
  <c r="R942" i="14" s="1"/>
  <c r="M942" i="1" a="1"/>
  <c r="M942" i="1" s="1"/>
  <c r="H943" i="1" a="1"/>
  <c r="H943" i="1" s="1"/>
  <c r="J943" i="14" s="1"/>
  <c r="P943" i="1" a="1"/>
  <c r="P943" i="1" s="1"/>
  <c r="C944" i="1" a="1"/>
  <c r="C944" i="1" s="1"/>
  <c r="E944" i="14" s="1"/>
  <c r="G944" i="1" a="1"/>
  <c r="G944" i="1" s="1"/>
  <c r="K944" i="1" a="1"/>
  <c r="K944" i="1" s="1"/>
  <c r="P944" i="1" a="1"/>
  <c r="P944" i="1" s="1"/>
  <c r="C945" i="1" a="1"/>
  <c r="C945" i="1" s="1"/>
  <c r="E945" i="14" s="1"/>
  <c r="G945" i="1" a="1"/>
  <c r="G945" i="1" s="1"/>
  <c r="K945" i="1" a="1"/>
  <c r="K945" i="1" s="1"/>
  <c r="O945" i="1"/>
  <c r="M945" i="14" s="1"/>
  <c r="F946" i="1" a="1"/>
  <c r="F946" i="1" s="1"/>
  <c r="R946" i="14" s="1"/>
  <c r="J946" i="1" a="1"/>
  <c r="J946" i="1" s="1"/>
  <c r="O946" i="1"/>
  <c r="M946" i="14" s="1"/>
  <c r="F947" i="1" a="1"/>
  <c r="F947" i="1" s="1"/>
  <c r="R947" i="14" s="1"/>
  <c r="J947" i="1" a="1"/>
  <c r="J947" i="1" s="1"/>
  <c r="O947" i="1"/>
  <c r="M947" i="14" s="1"/>
  <c r="F948" i="1" a="1"/>
  <c r="F948" i="1" s="1"/>
  <c r="R948" i="14" s="1"/>
  <c r="J948" i="1" a="1"/>
  <c r="J948" i="1" s="1"/>
  <c r="O948" i="1"/>
  <c r="M948" i="14" s="1"/>
  <c r="F949" i="1" a="1"/>
  <c r="F949" i="1" s="1"/>
  <c r="R949" i="14" s="1"/>
  <c r="J949" i="1" a="1"/>
  <c r="J949" i="1" s="1"/>
  <c r="O949" i="1"/>
  <c r="M949" i="14" s="1"/>
  <c r="F950" i="1" a="1"/>
  <c r="F950" i="1" s="1"/>
  <c r="R950" i="14" s="1"/>
  <c r="L950" i="1" a="1"/>
  <c r="L950" i="1" s="1"/>
  <c r="Q950" i="1" a="1"/>
  <c r="Q950" i="1" s="1"/>
  <c r="S950" i="14" s="1"/>
  <c r="D951" i="1" a="1"/>
  <c r="D951" i="1" s="1"/>
  <c r="I951" i="14" s="1"/>
  <c r="H951" i="1" a="1"/>
  <c r="H951" i="1" s="1"/>
  <c r="J951" i="14" s="1"/>
  <c r="P951" i="1" a="1"/>
  <c r="P951" i="1" s="1"/>
  <c r="C952" i="1" a="1"/>
  <c r="C952" i="1" s="1"/>
  <c r="E952" i="14" s="1"/>
  <c r="G952" i="1" a="1"/>
  <c r="G952" i="1" s="1"/>
  <c r="K952" i="1" a="1"/>
  <c r="K952" i="1" s="1"/>
  <c r="P952" i="1" a="1"/>
  <c r="P952" i="1" s="1"/>
  <c r="C953" i="1" a="1"/>
  <c r="C953" i="1" s="1"/>
  <c r="E953" i="14" s="1"/>
  <c r="G953" i="1" a="1"/>
  <c r="G953" i="1" s="1"/>
  <c r="K953" i="1" a="1"/>
  <c r="K953" i="1" s="1"/>
  <c r="P953" i="1" a="1"/>
  <c r="P953" i="1" s="1"/>
  <c r="C954" i="1" a="1"/>
  <c r="C954" i="1" s="1"/>
  <c r="E954" i="14" s="1"/>
  <c r="G954" i="1" a="1"/>
  <c r="G954" i="1" s="1"/>
  <c r="K954" i="1" a="1"/>
  <c r="K954" i="1" s="1"/>
  <c r="O954" i="1"/>
  <c r="M954" i="14" s="1"/>
  <c r="F955" i="1" a="1"/>
  <c r="F955" i="1" s="1"/>
  <c r="R955" i="14" s="1"/>
  <c r="J955" i="1" a="1"/>
  <c r="J955" i="1" s="1"/>
  <c r="O955" i="1"/>
  <c r="M955" i="14" s="1"/>
  <c r="F956" i="1" a="1"/>
  <c r="F956" i="1" s="1"/>
  <c r="R956" i="14" s="1"/>
  <c r="J956" i="1" a="1"/>
  <c r="J956" i="1" s="1"/>
  <c r="O956" i="1"/>
  <c r="M956" i="14" s="1"/>
  <c r="F957" i="1" a="1"/>
  <c r="F957" i="1" s="1"/>
  <c r="R957" i="14" s="1"/>
  <c r="M957" i="1" a="1"/>
  <c r="M957" i="1" s="1"/>
  <c r="D958" i="1" a="1"/>
  <c r="D958" i="1" s="1"/>
  <c r="I958" i="14" s="1"/>
  <c r="H958" i="1" a="1"/>
  <c r="H958" i="1" s="1"/>
  <c r="J958" i="14" s="1"/>
  <c r="P958" i="1" a="1"/>
  <c r="P958" i="1" s="1"/>
  <c r="C959" i="1" a="1"/>
  <c r="C959" i="1" s="1"/>
  <c r="E959" i="14" s="1"/>
  <c r="G959" i="1" a="1"/>
  <c r="G959" i="1" s="1"/>
  <c r="O959" i="1"/>
  <c r="M959" i="14" s="1"/>
  <c r="F960" i="1" a="1"/>
  <c r="F960" i="1" s="1"/>
  <c r="R960" i="14" s="1"/>
  <c r="C961" i="1" a="1"/>
  <c r="C961" i="1" s="1"/>
  <c r="E961" i="14" s="1"/>
  <c r="G961" i="1" a="1"/>
  <c r="G961" i="1" s="1"/>
  <c r="J961" i="1" a="1"/>
  <c r="J961" i="1" s="1"/>
  <c r="M961" i="1" a="1"/>
  <c r="M961" i="1" s="1"/>
  <c r="M962" i="1" a="1"/>
  <c r="M962" i="1" s="1"/>
  <c r="M963" i="1" a="1"/>
  <c r="M963" i="1" s="1"/>
  <c r="L964" i="1" a="1"/>
  <c r="L964" i="1" s="1"/>
  <c r="P964" i="1" a="1"/>
  <c r="P964" i="1" s="1"/>
  <c r="F965" i="1" a="1"/>
  <c r="F965" i="1" s="1"/>
  <c r="R965" i="14" s="1"/>
  <c r="L965" i="1" a="1"/>
  <c r="L965" i="1" s="1"/>
  <c r="Q965" i="1" a="1"/>
  <c r="Q965" i="1" s="1"/>
  <c r="S965" i="14" s="1"/>
  <c r="D966" i="1" a="1"/>
  <c r="D966" i="1" s="1"/>
  <c r="I966" i="14" s="1"/>
  <c r="H966" i="1" a="1"/>
  <c r="H966" i="1" s="1"/>
  <c r="J966" i="14" s="1"/>
  <c r="L966" i="1" a="1"/>
  <c r="L966" i="1" s="1"/>
  <c r="P966" i="1" a="1"/>
  <c r="P966" i="1" s="1"/>
  <c r="Q967" i="1" a="1"/>
  <c r="Q967" i="1" s="1"/>
  <c r="S967" i="14" s="1"/>
  <c r="D968" i="1" a="1"/>
  <c r="D968" i="1" s="1"/>
  <c r="I968" i="14" s="1"/>
  <c r="H968" i="1" a="1"/>
  <c r="H968" i="1" s="1"/>
  <c r="J968" i="14" s="1"/>
  <c r="L968" i="1" a="1"/>
  <c r="L968" i="1" s="1"/>
  <c r="P968" i="1" a="1"/>
  <c r="P968" i="1" s="1"/>
  <c r="M969" i="1" a="1"/>
  <c r="M969" i="1" s="1"/>
  <c r="Q969" i="1" a="1"/>
  <c r="Q969" i="1" s="1"/>
  <c r="S969" i="14" s="1"/>
  <c r="D970" i="1" a="1"/>
  <c r="D970" i="1" s="1"/>
  <c r="I970" i="14" s="1"/>
  <c r="G970" i="1" a="1"/>
  <c r="G970" i="1" s="1"/>
  <c r="J970" i="1" a="1"/>
  <c r="J970" i="1" s="1"/>
  <c r="O970" i="1"/>
  <c r="M970" i="14" s="1"/>
  <c r="F971" i="1" a="1"/>
  <c r="F971" i="1" s="1"/>
  <c r="R971" i="14" s="1"/>
  <c r="J971" i="1" a="1"/>
  <c r="J971" i="1" s="1"/>
  <c r="M971" i="1" a="1"/>
  <c r="M971" i="1" s="1"/>
  <c r="C973" i="1" a="1"/>
  <c r="C973" i="1" s="1"/>
  <c r="E973" i="14" s="1"/>
  <c r="F973" i="1" a="1"/>
  <c r="F973" i="1" s="1"/>
  <c r="R973" i="14" s="1"/>
  <c r="J973" i="1" a="1"/>
  <c r="J973" i="1" s="1"/>
  <c r="O973" i="1"/>
  <c r="M973" i="14" s="1"/>
  <c r="K974" i="1" a="1"/>
  <c r="K974" i="1" s="1"/>
  <c r="P974" i="1" a="1"/>
  <c r="P974" i="1" s="1"/>
  <c r="C975" i="1" a="1"/>
  <c r="C975" i="1" s="1"/>
  <c r="E975" i="14" s="1"/>
  <c r="G975" i="1" a="1"/>
  <c r="G975" i="1" s="1"/>
  <c r="K975" i="1" a="1"/>
  <c r="K975" i="1" s="1"/>
  <c r="P975" i="1" a="1"/>
  <c r="P975" i="1" s="1"/>
  <c r="C976" i="1" a="1"/>
  <c r="C976" i="1" s="1"/>
  <c r="E976" i="14" s="1"/>
  <c r="G976" i="1" a="1"/>
  <c r="G976" i="1" s="1"/>
  <c r="J976" i="1" a="1"/>
  <c r="J976" i="1" s="1"/>
  <c r="O976" i="1"/>
  <c r="M976" i="14" s="1"/>
  <c r="F977" i="1" a="1"/>
  <c r="F977" i="1" s="1"/>
  <c r="R977" i="14" s="1"/>
  <c r="L977" i="1" a="1"/>
  <c r="L977" i="1" s="1"/>
  <c r="Q977" i="1" a="1"/>
  <c r="Q977" i="1" s="1"/>
  <c r="S977" i="14" s="1"/>
  <c r="D978" i="1" a="1"/>
  <c r="D978" i="1" s="1"/>
  <c r="I978" i="14" s="1"/>
  <c r="H978" i="1" a="1"/>
  <c r="H978" i="1" s="1"/>
  <c r="J978" i="14" s="1"/>
  <c r="L978" i="1" a="1"/>
  <c r="L978" i="1" s="1"/>
  <c r="P978" i="1" a="1"/>
  <c r="P978" i="1" s="1"/>
  <c r="Q979" i="1" a="1"/>
  <c r="Q979" i="1" s="1"/>
  <c r="S979" i="14" s="1"/>
  <c r="D980" i="1" a="1"/>
  <c r="D980" i="1" s="1"/>
  <c r="I980" i="14" s="1"/>
  <c r="H980" i="1" a="1"/>
  <c r="H980" i="1" s="1"/>
  <c r="J980" i="14" s="1"/>
  <c r="L980" i="1" a="1"/>
  <c r="L980" i="1" s="1"/>
  <c r="P980" i="1" a="1"/>
  <c r="P980" i="1" s="1"/>
  <c r="M981" i="1" a="1"/>
  <c r="M981" i="1" s="1"/>
  <c r="Q981" i="1" a="1"/>
  <c r="Q981" i="1" s="1"/>
  <c r="S981" i="14" s="1"/>
  <c r="C982" i="1" a="1"/>
  <c r="C982" i="1" s="1"/>
  <c r="E982" i="14" s="1"/>
  <c r="G982" i="1" a="1"/>
  <c r="G982" i="1" s="1"/>
  <c r="K982" i="1" a="1"/>
  <c r="K982" i="1" s="1"/>
  <c r="O982" i="1"/>
  <c r="M982" i="14" s="1"/>
  <c r="D983" i="1" a="1"/>
  <c r="D983" i="1" s="1"/>
  <c r="I983" i="14" s="1"/>
  <c r="G983" i="1" a="1"/>
  <c r="G983" i="1" s="1"/>
  <c r="M983" i="1" a="1"/>
  <c r="M983" i="1" s="1"/>
  <c r="L984" i="1" a="1"/>
  <c r="L984" i="1" s="1"/>
  <c r="Q984" i="1" a="1"/>
  <c r="Q984" i="1" s="1"/>
  <c r="S984" i="14" s="1"/>
  <c r="D985" i="1" a="1"/>
  <c r="D985" i="1" s="1"/>
  <c r="I985" i="14" s="1"/>
  <c r="H985" i="1" a="1"/>
  <c r="H985" i="1" s="1"/>
  <c r="J985" i="14" s="1"/>
  <c r="L985" i="1" a="1"/>
  <c r="L985" i="1" s="1"/>
  <c r="Q985" i="1" a="1"/>
  <c r="Q985" i="1" s="1"/>
  <c r="S985" i="14" s="1"/>
  <c r="D986" i="1" a="1"/>
  <c r="D986" i="1" s="1"/>
  <c r="I986" i="14" s="1"/>
  <c r="H986" i="1" a="1"/>
  <c r="H986" i="1" s="1"/>
  <c r="J986" i="14" s="1"/>
  <c r="L986" i="1" a="1"/>
  <c r="L986" i="1" s="1"/>
  <c r="P986" i="1" a="1"/>
  <c r="P986" i="1" s="1"/>
  <c r="M987" i="1" a="1"/>
  <c r="M987" i="1" s="1"/>
  <c r="C989" i="1" a="1"/>
  <c r="C989" i="1" s="1"/>
  <c r="E989" i="14" s="1"/>
  <c r="G989" i="1" a="1"/>
  <c r="G989" i="1" s="1"/>
  <c r="K989" i="1" a="1"/>
  <c r="K989" i="1" s="1"/>
  <c r="P989" i="1" a="1"/>
  <c r="P989" i="1" s="1"/>
  <c r="F990" i="1" a="1"/>
  <c r="F990" i="1" s="1"/>
  <c r="R990" i="14" s="1"/>
  <c r="J990" i="1" a="1"/>
  <c r="J990" i="1" s="1"/>
  <c r="M991" i="1" a="1"/>
  <c r="M991" i="1" s="1"/>
  <c r="L992" i="1" a="1"/>
  <c r="L992" i="1" s="1"/>
  <c r="Q992" i="1" a="1"/>
  <c r="Q992" i="1" s="1"/>
  <c r="S992" i="14" s="1"/>
  <c r="D993" i="1" a="1"/>
  <c r="D993" i="1" s="1"/>
  <c r="I993" i="14" s="1"/>
  <c r="H993" i="1" a="1"/>
  <c r="H993" i="1" s="1"/>
  <c r="J993" i="14" s="1"/>
  <c r="K993" i="1" a="1"/>
  <c r="K993" i="1" s="1"/>
  <c r="O993" i="1"/>
  <c r="M993" i="14" s="1"/>
  <c r="F994" i="1" a="1"/>
  <c r="F994" i="1" s="1"/>
  <c r="R994" i="14" s="1"/>
  <c r="J994" i="1" a="1"/>
  <c r="J994" i="1" s="1"/>
  <c r="G995" i="1" a="1"/>
  <c r="G995" i="1" s="1"/>
  <c r="K995" i="1" a="1"/>
  <c r="K995" i="1" s="1"/>
  <c r="O995" i="1"/>
  <c r="M995" i="14" s="1"/>
  <c r="F996" i="1" a="1"/>
  <c r="F996" i="1" s="1"/>
  <c r="R996" i="14" s="1"/>
  <c r="J996" i="1" a="1"/>
  <c r="J996" i="1" s="1"/>
  <c r="M996" i="1" a="1"/>
  <c r="M996" i="1" s="1"/>
  <c r="Q996" i="1" a="1"/>
  <c r="Q996" i="1" s="1"/>
  <c r="S996" i="14" s="1"/>
  <c r="D997" i="1" a="1"/>
  <c r="D997" i="1" s="1"/>
  <c r="I997" i="14" s="1"/>
  <c r="H997" i="1" a="1"/>
  <c r="H997" i="1" s="1"/>
  <c r="J997" i="14" s="1"/>
  <c r="K997" i="1" a="1"/>
  <c r="K997" i="1" s="1"/>
  <c r="O997" i="1"/>
  <c r="M997" i="14" s="1"/>
  <c r="F998" i="1" a="1"/>
  <c r="F998" i="1" s="1"/>
  <c r="R998" i="14" s="1"/>
  <c r="J998" i="1" a="1"/>
  <c r="J998" i="1" s="1"/>
  <c r="G999" i="1" a="1"/>
  <c r="G999" i="1" s="1"/>
  <c r="K999" i="1" a="1"/>
  <c r="K999" i="1" s="1"/>
  <c r="O999" i="1"/>
  <c r="M999" i="14" s="1"/>
  <c r="F1000" i="1" a="1"/>
  <c r="F1000" i="1" s="1"/>
  <c r="R1000" i="14" s="1"/>
  <c r="Q1000" i="1" a="1"/>
  <c r="Q1000" i="1" s="1"/>
  <c r="S1000" i="14" s="1"/>
  <c r="D1001" i="1" a="1"/>
  <c r="D1001" i="1" s="1"/>
  <c r="I1001" i="14" s="1"/>
  <c r="G1001" i="1" a="1"/>
  <c r="G1001" i="1" s="1"/>
  <c r="J1001" i="1" a="1"/>
  <c r="J1001" i="1" s="1"/>
  <c r="O1001" i="1"/>
  <c r="M1001" i="14" s="1"/>
  <c r="K1002" i="1" a="1"/>
  <c r="K1002" i="1" s="1"/>
  <c r="P1002" i="1" a="1"/>
  <c r="P1002" i="1" s="1"/>
  <c r="C1003" i="1" a="1"/>
  <c r="C1003" i="1" s="1"/>
  <c r="E1003" i="14" s="1"/>
  <c r="G1003" i="1" a="1"/>
  <c r="G1003" i="1" s="1"/>
  <c r="K1003" i="1" a="1"/>
  <c r="K1003" i="1" s="1"/>
  <c r="P1003" i="1" a="1"/>
  <c r="P1003" i="1" s="1"/>
  <c r="C1004" i="1" a="1"/>
  <c r="C1004" i="1" s="1"/>
  <c r="E1004" i="14" s="1"/>
  <c r="G1004" i="1" a="1"/>
  <c r="G1004" i="1" s="1"/>
  <c r="K1004" i="1" a="1"/>
  <c r="K1004" i="1" s="1"/>
  <c r="P1004" i="1" a="1"/>
  <c r="P1004" i="1" s="1"/>
  <c r="C1005" i="1" a="1"/>
  <c r="C1005" i="1" s="1"/>
  <c r="E1005" i="14" s="1"/>
  <c r="G1005" i="1" a="1"/>
  <c r="G1005" i="1" s="1"/>
  <c r="J1005" i="1" a="1"/>
  <c r="J1005" i="1" s="1"/>
  <c r="M1005" i="1" a="1"/>
  <c r="M1005" i="1" s="1"/>
  <c r="M1006" i="1" a="1"/>
  <c r="M1006" i="1" s="1"/>
  <c r="Q1007" i="1" a="1"/>
  <c r="Q1007" i="1" s="1"/>
  <c r="S1007" i="14" s="1"/>
  <c r="D1008" i="1" a="1"/>
  <c r="D1008" i="1" s="1"/>
  <c r="I1008" i="14" s="1"/>
  <c r="H1008" i="1" a="1"/>
  <c r="H1008" i="1" s="1"/>
  <c r="J1008" i="14" s="1"/>
  <c r="K1008" i="1" a="1"/>
  <c r="K1008" i="1" s="1"/>
  <c r="P1008" i="1" a="1"/>
  <c r="P1008" i="1" s="1"/>
  <c r="C1009" i="1" a="1"/>
  <c r="C1009" i="1" s="1"/>
  <c r="E1009" i="14" s="1"/>
  <c r="F1009" i="1" a="1"/>
  <c r="F1009" i="1" s="1"/>
  <c r="R1009" i="14" s="1"/>
  <c r="L1009" i="1" a="1"/>
  <c r="L1009" i="1" s="1"/>
  <c r="Q1009" i="1" a="1"/>
  <c r="Q1009" i="1" s="1"/>
  <c r="S1009" i="14" s="1"/>
  <c r="D1010" i="1" a="1"/>
  <c r="D1010" i="1" s="1"/>
  <c r="I1010" i="14" s="1"/>
  <c r="G1010" i="1" a="1"/>
  <c r="G1010" i="1" s="1"/>
  <c r="J1010" i="1" a="1"/>
  <c r="J1010" i="1" s="1"/>
  <c r="O1010" i="1"/>
  <c r="M1010" i="14" s="1"/>
  <c r="F1011" i="1" a="1"/>
  <c r="F1011" i="1" s="1"/>
  <c r="R1011" i="14" s="1"/>
  <c r="J1011" i="1" a="1"/>
  <c r="J1011" i="1" s="1"/>
  <c r="O1011" i="1"/>
  <c r="M1011" i="14" s="1"/>
  <c r="F1012" i="1" a="1"/>
  <c r="F1012" i="1" s="1"/>
  <c r="R1012" i="14" s="1"/>
  <c r="J1012" i="1" a="1"/>
  <c r="J1012" i="1" s="1"/>
  <c r="O1012" i="1"/>
  <c r="M1012" i="14" s="1"/>
  <c r="F1013" i="1" a="1"/>
  <c r="F1013" i="1" s="1"/>
  <c r="R1013" i="14" s="1"/>
  <c r="L1013" i="1" a="1"/>
  <c r="L1013" i="1" s="1"/>
  <c r="Q1013" i="1" a="1"/>
  <c r="Q1013" i="1" s="1"/>
  <c r="S1013" i="14" s="1"/>
  <c r="D1014" i="1" a="1"/>
  <c r="D1014" i="1" s="1"/>
  <c r="I1014" i="14" s="1"/>
  <c r="H1014" i="1" a="1"/>
  <c r="H1014" i="1" s="1"/>
  <c r="J1014" i="14" s="1"/>
  <c r="L1014" i="1" a="1"/>
  <c r="L1014" i="1" s="1"/>
  <c r="P1014" i="1" a="1"/>
  <c r="P1014" i="1" s="1"/>
  <c r="M1015" i="1" a="1"/>
  <c r="M1015" i="1" s="1"/>
  <c r="L1016" i="1" a="1"/>
  <c r="L1016" i="1" s="1"/>
  <c r="P1016" i="1" a="1"/>
  <c r="P1016" i="1" s="1"/>
  <c r="F1017" i="1" a="1"/>
  <c r="F1017" i="1" s="1"/>
  <c r="R1017" i="14" s="1"/>
  <c r="L1017" i="1" a="1"/>
  <c r="L1017" i="1" s="1"/>
  <c r="C1018" i="1" a="1"/>
  <c r="C1018" i="1" s="1"/>
  <c r="E1018" i="14" s="1"/>
  <c r="G1018" i="1" a="1"/>
  <c r="G1018" i="1" s="1"/>
  <c r="K1018" i="1" a="1"/>
  <c r="K1018" i="1" s="1"/>
  <c r="P1018" i="1" a="1"/>
  <c r="P1018" i="1" s="1"/>
  <c r="C1019" i="1" a="1"/>
  <c r="C1019" i="1" s="1"/>
  <c r="E1019" i="14" s="1"/>
  <c r="G1019" i="1" a="1"/>
  <c r="G1019" i="1" s="1"/>
  <c r="K1019" i="1" a="1"/>
  <c r="K1019" i="1" s="1"/>
  <c r="P1019" i="1" a="1"/>
  <c r="P1019" i="1" s="1"/>
  <c r="C1020" i="1" a="1"/>
  <c r="C1020" i="1" s="1"/>
  <c r="E1020" i="14" s="1"/>
  <c r="G1020" i="1" a="1"/>
  <c r="G1020" i="1" s="1"/>
  <c r="K1020" i="1" a="1"/>
  <c r="K1020" i="1" s="1"/>
  <c r="O1020" i="1"/>
  <c r="M1020" i="14" s="1"/>
  <c r="M1021" i="1" a="1"/>
  <c r="M1021" i="1" s="1"/>
  <c r="K1022" i="1" a="1"/>
  <c r="K1022" i="1" s="1"/>
  <c r="P1022" i="1" a="1"/>
  <c r="P1022" i="1" s="1"/>
  <c r="C1023" i="1" a="1"/>
  <c r="C1023" i="1" s="1"/>
  <c r="E1023" i="14" s="1"/>
  <c r="G1023" i="1" a="1"/>
  <c r="G1023" i="1" s="1"/>
  <c r="K1023" i="1" a="1"/>
  <c r="K1023" i="1" s="1"/>
  <c r="P1023" i="1" a="1"/>
  <c r="P1023" i="1" s="1"/>
  <c r="H1024" i="1" a="1"/>
  <c r="H1024" i="1" s="1"/>
  <c r="J1024" i="14" s="1"/>
  <c r="L1024" i="1" a="1"/>
  <c r="L1024" i="1" s="1"/>
  <c r="P1024" i="1" a="1"/>
  <c r="P1024" i="1" s="1"/>
  <c r="C1025" i="1" a="1"/>
  <c r="C1025" i="1" s="1"/>
  <c r="E1025" i="14" s="1"/>
  <c r="G1025" i="1" a="1"/>
  <c r="G1025" i="1" s="1"/>
  <c r="K1025" i="1" a="1"/>
  <c r="K1025" i="1" s="1"/>
  <c r="P1025" i="1" a="1"/>
  <c r="P1025" i="1" s="1"/>
  <c r="C1026" i="1" a="1"/>
  <c r="C1026" i="1" s="1"/>
  <c r="E1026" i="14" s="1"/>
  <c r="G1026" i="1" a="1"/>
  <c r="G1026" i="1" s="1"/>
  <c r="K1026" i="1" a="1"/>
  <c r="K1026" i="1" s="1"/>
  <c r="P1026" i="1" a="1"/>
  <c r="P1026" i="1" s="1"/>
  <c r="C1027" i="1" a="1"/>
  <c r="C1027" i="1" s="1"/>
  <c r="E1027" i="14" s="1"/>
  <c r="G1027" i="1" a="1"/>
  <c r="G1027" i="1" s="1"/>
  <c r="K1027" i="1" a="1"/>
  <c r="K1027" i="1" s="1"/>
  <c r="O1027" i="1"/>
  <c r="M1027" i="14" s="1"/>
  <c r="H1028" i="1" a="1"/>
  <c r="H1028" i="1" s="1"/>
  <c r="J1028" i="14" s="1"/>
  <c r="L1028" i="1" a="1"/>
  <c r="L1028" i="1" s="1"/>
  <c r="Q1028" i="1" a="1"/>
  <c r="Q1028" i="1" s="1"/>
  <c r="S1028" i="14" s="1"/>
  <c r="D1029" i="1" a="1"/>
  <c r="D1029" i="1" s="1"/>
  <c r="I1029" i="14" s="1"/>
  <c r="K1029" i="1" a="1"/>
  <c r="K1029" i="1" s="1"/>
  <c r="P1029" i="1" a="1"/>
  <c r="P1029" i="1" s="1"/>
  <c r="C1030" i="1" a="1"/>
  <c r="C1030" i="1" s="1"/>
  <c r="E1030" i="14" s="1"/>
  <c r="G1030" i="1" a="1"/>
  <c r="G1030" i="1" s="1"/>
  <c r="K1030" i="1" a="1"/>
  <c r="K1030" i="1" s="1"/>
  <c r="O1030" i="1"/>
  <c r="M1030" i="14" s="1"/>
  <c r="F1031" i="1" a="1"/>
  <c r="F1031" i="1" s="1"/>
  <c r="R1031" i="14" s="1"/>
  <c r="J1031" i="1" a="1"/>
  <c r="J1031" i="1" s="1"/>
  <c r="O1031" i="1"/>
  <c r="M1031" i="14" s="1"/>
  <c r="F1032" i="1" a="1"/>
  <c r="F1032" i="1" s="1"/>
  <c r="R1032" i="14" s="1"/>
  <c r="J1032" i="1" a="1"/>
  <c r="J1032" i="1" s="1"/>
  <c r="O1032" i="1"/>
  <c r="M1032" i="14" s="1"/>
  <c r="M1033" i="1" a="1"/>
  <c r="M1033" i="1" s="1"/>
  <c r="L798" i="1" a="1"/>
  <c r="L798" i="1" s="1"/>
  <c r="D799" i="1" a="1"/>
  <c r="D799" i="1" s="1"/>
  <c r="I799" i="14" s="1"/>
  <c r="L799" i="1" a="1"/>
  <c r="L799" i="1" s="1"/>
  <c r="C800" i="1" a="1"/>
  <c r="C800" i="1" s="1"/>
  <c r="E800" i="14" s="1"/>
  <c r="K800" i="1" a="1"/>
  <c r="K800" i="1" s="1"/>
  <c r="C801" i="1" a="1"/>
  <c r="C801" i="1" s="1"/>
  <c r="E801" i="14" s="1"/>
  <c r="K801" i="1" a="1"/>
  <c r="K801" i="1" s="1"/>
  <c r="Q802" i="1" a="1"/>
  <c r="Q802" i="1" s="1"/>
  <c r="S802" i="14" s="1"/>
  <c r="Q803" i="1" a="1"/>
  <c r="Q803" i="1" s="1"/>
  <c r="S803" i="14" s="1"/>
  <c r="P804" i="1" a="1"/>
  <c r="P804" i="1" s="1"/>
  <c r="P805" i="1" a="1"/>
  <c r="P805" i="1" s="1"/>
  <c r="F806" i="1" a="1"/>
  <c r="F806" i="1" s="1"/>
  <c r="R806" i="14" s="1"/>
  <c r="L807" i="1" a="1"/>
  <c r="L807" i="1" s="1"/>
  <c r="D808" i="1" a="1"/>
  <c r="D808" i="1" s="1"/>
  <c r="I808" i="14" s="1"/>
  <c r="K808" i="1" a="1"/>
  <c r="K808" i="1" s="1"/>
  <c r="L808" i="14" s="1"/>
  <c r="C809" i="1" a="1"/>
  <c r="C809" i="1" s="1"/>
  <c r="E809" i="14" s="1"/>
  <c r="K809" i="1" a="1"/>
  <c r="K809" i="1" s="1"/>
  <c r="L809" i="14" s="1"/>
  <c r="C810" i="1" a="1"/>
  <c r="C810" i="1" s="1"/>
  <c r="E810" i="14" s="1"/>
  <c r="K810" i="1" a="1"/>
  <c r="K810" i="1" s="1"/>
  <c r="C811" i="1" a="1"/>
  <c r="C811" i="1" s="1"/>
  <c r="E811" i="14" s="1"/>
  <c r="K811" i="1" a="1"/>
  <c r="K811" i="1" s="1"/>
  <c r="C812" i="1" a="1"/>
  <c r="C812" i="1" s="1"/>
  <c r="E812" i="14" s="1"/>
  <c r="K812" i="1" a="1"/>
  <c r="K812" i="1" s="1"/>
  <c r="L812" i="14" s="1"/>
  <c r="C813" i="1" a="1"/>
  <c r="C813" i="1" s="1"/>
  <c r="E813" i="14" s="1"/>
  <c r="K813" i="1" a="1"/>
  <c r="K813" i="1" s="1"/>
  <c r="L813" i="14" s="1"/>
  <c r="C814" i="1" a="1"/>
  <c r="C814" i="1" s="1"/>
  <c r="E814" i="14" s="1"/>
  <c r="J814" i="1" a="1"/>
  <c r="J814" i="1" s="1"/>
  <c r="O817" i="1"/>
  <c r="M817" i="14" s="1"/>
  <c r="F818" i="1" a="1"/>
  <c r="F818" i="1" s="1"/>
  <c r="R818" i="14" s="1"/>
  <c r="J820" i="1" a="1"/>
  <c r="J820" i="1" s="1"/>
  <c r="O821" i="1"/>
  <c r="M821" i="14" s="1"/>
  <c r="F822" i="1" a="1"/>
  <c r="F822" i="1" s="1"/>
  <c r="R822" i="14" s="1"/>
  <c r="L823" i="1" a="1"/>
  <c r="L823" i="1" s="1"/>
  <c r="D824" i="1" a="1"/>
  <c r="D824" i="1" s="1"/>
  <c r="I824" i="14" s="1"/>
  <c r="L824" i="1" a="1"/>
  <c r="L824" i="1" s="1"/>
  <c r="C825" i="1" a="1"/>
  <c r="C825" i="1" s="1"/>
  <c r="E825" i="14" s="1"/>
  <c r="J825" i="1" a="1"/>
  <c r="J825" i="1" s="1"/>
  <c r="Q826" i="1" a="1"/>
  <c r="Q826" i="1" s="1"/>
  <c r="S826" i="14" s="1"/>
  <c r="P827" i="1" a="1"/>
  <c r="P827" i="1" s="1"/>
  <c r="P828" i="1" a="1"/>
  <c r="P828" i="1" s="1"/>
  <c r="O829" i="1"/>
  <c r="M829" i="14" s="1"/>
  <c r="F830" i="1" a="1"/>
  <c r="F830" i="1" s="1"/>
  <c r="R830" i="14" s="1"/>
  <c r="L831" i="1" a="1"/>
  <c r="L831" i="1" s="1"/>
  <c r="D832" i="1" a="1"/>
  <c r="D832" i="1" s="1"/>
  <c r="I832" i="14" s="1"/>
  <c r="K832" i="1" a="1"/>
  <c r="K832" i="1" s="1"/>
  <c r="L832" i="14" s="1"/>
  <c r="C833" i="1" a="1"/>
  <c r="C833" i="1" s="1"/>
  <c r="E833" i="14" s="1"/>
  <c r="K833" i="1" a="1"/>
  <c r="K833" i="1" s="1"/>
  <c r="C834" i="1" a="1"/>
  <c r="C834" i="1" s="1"/>
  <c r="E834" i="14" s="1"/>
  <c r="J834" i="1" a="1"/>
  <c r="J834" i="1" s="1"/>
  <c r="H838" i="1" a="1"/>
  <c r="H838" i="1" s="1"/>
  <c r="J838" i="14" s="1"/>
  <c r="M840" i="1" a="1"/>
  <c r="M840" i="1" s="1"/>
  <c r="L843" i="1" a="1"/>
  <c r="L843" i="1" s="1"/>
  <c r="H845" i="1" a="1"/>
  <c r="H845" i="1" s="1"/>
  <c r="J845" i="14" s="1"/>
  <c r="Q845" i="1" a="1"/>
  <c r="Q845" i="1" s="1"/>
  <c r="S845" i="14" s="1"/>
  <c r="K846" i="1" a="1"/>
  <c r="K846" i="1" s="1"/>
  <c r="F847" i="1" a="1"/>
  <c r="F847" i="1" s="1"/>
  <c r="R847" i="14" s="1"/>
  <c r="K847" i="1" a="1"/>
  <c r="K847" i="1" s="1"/>
  <c r="Q847" i="1" a="1"/>
  <c r="Q847" i="1" s="1"/>
  <c r="S847" i="14" s="1"/>
  <c r="D848" i="1" a="1"/>
  <c r="D848" i="1" s="1"/>
  <c r="I848" i="14" s="1"/>
  <c r="H848" i="1" a="1"/>
  <c r="H848" i="1" s="1"/>
  <c r="J848" i="14" s="1"/>
  <c r="L848" i="1" a="1"/>
  <c r="L848" i="1" s="1"/>
  <c r="J849" i="1" a="1"/>
  <c r="J849" i="1" s="1"/>
  <c r="P849" i="1" a="1"/>
  <c r="P849" i="1" s="1"/>
  <c r="C850" i="1" a="1"/>
  <c r="C850" i="1" s="1"/>
  <c r="E850" i="14" s="1"/>
  <c r="H850" i="1" a="1"/>
  <c r="H850" i="1" s="1"/>
  <c r="J850" i="14" s="1"/>
  <c r="M850" i="1" a="1"/>
  <c r="M850" i="1" s="1"/>
  <c r="G851" i="1" a="1"/>
  <c r="G851" i="1" s="1"/>
  <c r="L851" i="1" a="1"/>
  <c r="L851" i="1" s="1"/>
  <c r="K852" i="1" a="1"/>
  <c r="K852" i="1" s="1"/>
  <c r="Q852" i="1" a="1"/>
  <c r="Q852" i="1" s="1"/>
  <c r="S852" i="14" s="1"/>
  <c r="D853" i="1" a="1"/>
  <c r="D853" i="1" s="1"/>
  <c r="I853" i="14" s="1"/>
  <c r="P853" i="1" a="1"/>
  <c r="P853" i="1" s="1"/>
  <c r="C854" i="1" a="1"/>
  <c r="C854" i="1" s="1"/>
  <c r="E854" i="14" s="1"/>
  <c r="H854" i="1" a="1"/>
  <c r="H854" i="1" s="1"/>
  <c r="J854" i="14" s="1"/>
  <c r="M854" i="1" a="1"/>
  <c r="M854" i="1" s="1"/>
  <c r="M855" i="1" a="1"/>
  <c r="M855" i="1" s="1"/>
  <c r="G856" i="1" a="1"/>
  <c r="G856" i="1" s="1"/>
  <c r="M856" i="1" a="1"/>
  <c r="M856" i="1" s="1"/>
  <c r="F857" i="1" a="1"/>
  <c r="F857" i="1" s="1"/>
  <c r="R857" i="14" s="1"/>
  <c r="L857" i="1" a="1"/>
  <c r="L857" i="1" s="1"/>
  <c r="F858" i="1" a="1"/>
  <c r="F858" i="1" s="1"/>
  <c r="R858" i="14" s="1"/>
  <c r="L858" i="1" a="1"/>
  <c r="L858" i="1" s="1"/>
  <c r="F859" i="1" a="1"/>
  <c r="F859" i="1" s="1"/>
  <c r="R859" i="14" s="1"/>
  <c r="L859" i="1" a="1"/>
  <c r="L859" i="1" s="1"/>
  <c r="Q859" i="1" a="1"/>
  <c r="Q859" i="1" s="1"/>
  <c r="S859" i="14" s="1"/>
  <c r="D860" i="1" a="1"/>
  <c r="D860" i="1" s="1"/>
  <c r="I860" i="14" s="1"/>
  <c r="P860" i="1" a="1"/>
  <c r="P860" i="1" s="1"/>
  <c r="C861" i="1" a="1"/>
  <c r="C861" i="1" s="1"/>
  <c r="E861" i="14" s="1"/>
  <c r="H861" i="1" a="1"/>
  <c r="H861" i="1" s="1"/>
  <c r="J861" i="14" s="1"/>
  <c r="L861" i="1" a="1"/>
  <c r="L861" i="1" s="1"/>
  <c r="P861" i="1" a="1"/>
  <c r="P861" i="1" s="1"/>
  <c r="C862" i="1" a="1"/>
  <c r="C862" i="1" s="1"/>
  <c r="E862" i="14" s="1"/>
  <c r="G862" i="1" a="1"/>
  <c r="G862" i="1" s="1"/>
  <c r="K862" i="1" a="1"/>
  <c r="K862" i="1" s="1"/>
  <c r="P862" i="1" a="1"/>
  <c r="P862" i="1" s="1"/>
  <c r="C863" i="1" a="1"/>
  <c r="C863" i="1" s="1"/>
  <c r="E863" i="14" s="1"/>
  <c r="F863" i="1" a="1"/>
  <c r="F863" i="1" s="1"/>
  <c r="R863" i="14" s="1"/>
  <c r="J863" i="1" a="1"/>
  <c r="J863" i="1" s="1"/>
  <c r="M863" i="1" a="1"/>
  <c r="M863" i="1" s="1"/>
  <c r="H864" i="1" a="1"/>
  <c r="H864" i="1" s="1"/>
  <c r="J864" i="14" s="1"/>
  <c r="L864" i="1" a="1"/>
  <c r="L864" i="1" s="1"/>
  <c r="Q864" i="1" a="1"/>
  <c r="Q864" i="1" s="1"/>
  <c r="S864" i="14" s="1"/>
  <c r="D865" i="1" a="1"/>
  <c r="D865" i="1" s="1"/>
  <c r="I865" i="14" s="1"/>
  <c r="H865" i="1" a="1"/>
  <c r="H865" i="1" s="1"/>
  <c r="J865" i="14" s="1"/>
  <c r="L865" i="1" a="1"/>
  <c r="L865" i="1" s="1"/>
  <c r="Q865" i="1" a="1"/>
  <c r="Q865" i="1" s="1"/>
  <c r="S865" i="14" s="1"/>
  <c r="D866" i="1" a="1"/>
  <c r="D866" i="1" s="1"/>
  <c r="I866" i="14" s="1"/>
  <c r="H866" i="1" a="1"/>
  <c r="H866" i="1" s="1"/>
  <c r="J866" i="14" s="1"/>
  <c r="L866" i="1" a="1"/>
  <c r="L866" i="1" s="1"/>
  <c r="Q866" i="1" a="1"/>
  <c r="Q866" i="1" s="1"/>
  <c r="S866" i="14" s="1"/>
  <c r="D867" i="1" a="1"/>
  <c r="D867" i="1" s="1"/>
  <c r="I867" i="14" s="1"/>
  <c r="H867" i="1" a="1"/>
  <c r="H867" i="1" s="1"/>
  <c r="J867" i="14" s="1"/>
  <c r="L867" i="1" a="1"/>
  <c r="L867" i="1" s="1"/>
  <c r="Q867" i="1" a="1"/>
  <c r="Q867" i="1" s="1"/>
  <c r="S867" i="14" s="1"/>
  <c r="D868" i="1" a="1"/>
  <c r="D868" i="1" s="1"/>
  <c r="I868" i="14" s="1"/>
  <c r="H868" i="1" a="1"/>
  <c r="H868" i="1" s="1"/>
  <c r="J868" i="14" s="1"/>
  <c r="L868" i="1" a="1"/>
  <c r="L868" i="1" s="1"/>
  <c r="Q868" i="1" a="1"/>
  <c r="Q868" i="1" s="1"/>
  <c r="S868" i="14" s="1"/>
  <c r="D869" i="1" a="1"/>
  <c r="D869" i="1" s="1"/>
  <c r="I869" i="14" s="1"/>
  <c r="H869" i="1" a="1"/>
  <c r="H869" i="1" s="1"/>
  <c r="J869" i="14" s="1"/>
  <c r="L869" i="1" a="1"/>
  <c r="L869" i="1" s="1"/>
  <c r="P869" i="1" a="1"/>
  <c r="P869" i="1" s="1"/>
  <c r="C870" i="1" a="1"/>
  <c r="C870" i="1" s="1"/>
  <c r="E870" i="14" s="1"/>
  <c r="G870" i="1" a="1"/>
  <c r="G870" i="1" s="1"/>
  <c r="J870" i="1" a="1"/>
  <c r="J870" i="1" s="1"/>
  <c r="O870" i="1"/>
  <c r="M870" i="14" s="1"/>
  <c r="M871" i="1" a="1"/>
  <c r="M871" i="1" s="1"/>
  <c r="H872" i="1" a="1"/>
  <c r="H872" i="1" s="1"/>
  <c r="J872" i="14" s="1"/>
  <c r="L872" i="1" a="1"/>
  <c r="L872" i="1" s="1"/>
  <c r="Q872" i="1" a="1"/>
  <c r="Q872" i="1" s="1"/>
  <c r="S872" i="14" s="1"/>
  <c r="D873" i="1" a="1"/>
  <c r="D873" i="1" s="1"/>
  <c r="I873" i="14" s="1"/>
  <c r="H873" i="1" a="1"/>
  <c r="H873" i="1" s="1"/>
  <c r="J873" i="14" s="1"/>
  <c r="L873" i="1" a="1"/>
  <c r="L873" i="1" s="1"/>
  <c r="Q873" i="1" a="1"/>
  <c r="Q873" i="1" s="1"/>
  <c r="S873" i="14" s="1"/>
  <c r="D874" i="1" a="1"/>
  <c r="D874" i="1" s="1"/>
  <c r="I874" i="14" s="1"/>
  <c r="H874" i="1" a="1"/>
  <c r="H874" i="1" s="1"/>
  <c r="J874" i="14" s="1"/>
  <c r="L874" i="1" a="1"/>
  <c r="L874" i="1" s="1"/>
  <c r="Q874" i="1" a="1"/>
  <c r="Q874" i="1" s="1"/>
  <c r="S874" i="14" s="1"/>
  <c r="D875" i="1" a="1"/>
  <c r="D875" i="1" s="1"/>
  <c r="I875" i="14" s="1"/>
  <c r="H875" i="1" a="1"/>
  <c r="H875" i="1" s="1"/>
  <c r="J875" i="14" s="1"/>
  <c r="L875" i="1" a="1"/>
  <c r="L875" i="1" s="1"/>
  <c r="Q875" i="1" a="1"/>
  <c r="Q875" i="1" s="1"/>
  <c r="S875" i="14" s="1"/>
  <c r="D876" i="1" a="1"/>
  <c r="D876" i="1" s="1"/>
  <c r="I876" i="14" s="1"/>
  <c r="H876" i="1" a="1"/>
  <c r="H876" i="1" s="1"/>
  <c r="J876" i="14" s="1"/>
  <c r="L876" i="1" a="1"/>
  <c r="L876" i="1" s="1"/>
  <c r="Q876" i="1" a="1"/>
  <c r="Q876" i="1" s="1"/>
  <c r="S876" i="14" s="1"/>
  <c r="D877" i="1" a="1"/>
  <c r="D877" i="1" s="1"/>
  <c r="I877" i="14" s="1"/>
  <c r="H877" i="1" a="1"/>
  <c r="H877" i="1" s="1"/>
  <c r="J877" i="14" s="1"/>
  <c r="L877" i="1" a="1"/>
  <c r="L877" i="1" s="1"/>
  <c r="Q877" i="1" a="1"/>
  <c r="Q877" i="1" s="1"/>
  <c r="S877" i="14" s="1"/>
  <c r="D878" i="1" a="1"/>
  <c r="D878" i="1" s="1"/>
  <c r="I878" i="14" s="1"/>
  <c r="H878" i="1" a="1"/>
  <c r="H878" i="1" s="1"/>
  <c r="J878" i="14" s="1"/>
  <c r="L878" i="1" a="1"/>
  <c r="L878" i="1" s="1"/>
  <c r="Q878" i="1" a="1"/>
  <c r="Q878" i="1" s="1"/>
  <c r="S878" i="14" s="1"/>
  <c r="D879" i="1" a="1"/>
  <c r="D879" i="1" s="1"/>
  <c r="I879" i="14" s="1"/>
  <c r="G879" i="1" a="1"/>
  <c r="G879" i="1" s="1"/>
  <c r="K879" i="1" a="1"/>
  <c r="K879" i="1" s="1"/>
  <c r="O879" i="1"/>
  <c r="M879" i="14" s="1"/>
  <c r="F880" i="1" a="1"/>
  <c r="F880" i="1" s="1"/>
  <c r="R880" i="14" s="1"/>
  <c r="J880" i="1" a="1"/>
  <c r="J880" i="1" s="1"/>
  <c r="O880" i="1"/>
  <c r="M880" i="14" s="1"/>
  <c r="D881" i="1" a="1"/>
  <c r="D881" i="1" s="1"/>
  <c r="I881" i="14" s="1"/>
  <c r="H881" i="1" a="1"/>
  <c r="H881" i="1" s="1"/>
  <c r="J881" i="14" s="1"/>
  <c r="L881" i="1" a="1"/>
  <c r="L881" i="1" s="1"/>
  <c r="Q881" i="1" a="1"/>
  <c r="Q881" i="1" s="1"/>
  <c r="S881" i="14" s="1"/>
  <c r="D882" i="1" a="1"/>
  <c r="D882" i="1" s="1"/>
  <c r="I882" i="14" s="1"/>
  <c r="G882" i="1" a="1"/>
  <c r="G882" i="1" s="1"/>
  <c r="K882" i="1" a="1"/>
  <c r="K882" i="1" s="1"/>
  <c r="P882" i="1" a="1"/>
  <c r="P882" i="1" s="1"/>
  <c r="C883" i="1" a="1"/>
  <c r="C883" i="1" s="1"/>
  <c r="E883" i="14" s="1"/>
  <c r="G883" i="1" a="1"/>
  <c r="G883" i="1" s="1"/>
  <c r="K883" i="1" a="1"/>
  <c r="K883" i="1" s="1"/>
  <c r="O883" i="1"/>
  <c r="M883" i="14" s="1"/>
  <c r="F884" i="1" a="1"/>
  <c r="F884" i="1" s="1"/>
  <c r="R884" i="14" s="1"/>
  <c r="J884" i="1" a="1"/>
  <c r="J884" i="1" s="1"/>
  <c r="O884" i="1"/>
  <c r="M884" i="14" s="1"/>
  <c r="D885" i="1" a="1"/>
  <c r="D885" i="1" s="1"/>
  <c r="I885" i="14" s="1"/>
  <c r="H885" i="1" a="1"/>
  <c r="H885" i="1" s="1"/>
  <c r="J885" i="14" s="1"/>
  <c r="K885" i="1" a="1"/>
  <c r="K885" i="1" s="1"/>
  <c r="P885" i="1" a="1"/>
  <c r="P885" i="1" s="1"/>
  <c r="C886" i="1" a="1"/>
  <c r="C886" i="1" s="1"/>
  <c r="E886" i="14" s="1"/>
  <c r="G886" i="1" a="1"/>
  <c r="G886" i="1" s="1"/>
  <c r="J886" i="1" a="1"/>
  <c r="J886" i="1" s="1"/>
  <c r="O886" i="1"/>
  <c r="M886" i="14" s="1"/>
  <c r="M887" i="1" a="1"/>
  <c r="M887" i="1" s="1"/>
  <c r="H888" i="1" a="1"/>
  <c r="H888" i="1" s="1"/>
  <c r="J888" i="14" s="1"/>
  <c r="L888" i="1" a="1"/>
  <c r="L888" i="1" s="1"/>
  <c r="Q888" i="1" a="1"/>
  <c r="Q888" i="1" s="1"/>
  <c r="S888" i="14" s="1"/>
  <c r="D889" i="1" a="1"/>
  <c r="D889" i="1" s="1"/>
  <c r="I889" i="14" s="1"/>
  <c r="H889" i="1" a="1"/>
  <c r="H889" i="1" s="1"/>
  <c r="J889" i="14" s="1"/>
  <c r="L889" i="1" a="1"/>
  <c r="L889" i="1" s="1"/>
  <c r="Q889" i="1" a="1"/>
  <c r="Q889" i="1" s="1"/>
  <c r="S889" i="14" s="1"/>
  <c r="D890" i="1" a="1"/>
  <c r="D890" i="1" s="1"/>
  <c r="I890" i="14" s="1"/>
  <c r="G890" i="1" a="1"/>
  <c r="G890" i="1" s="1"/>
  <c r="J890" i="1" a="1"/>
  <c r="J890" i="1" s="1"/>
  <c r="O890" i="1"/>
  <c r="M890" i="14" s="1"/>
  <c r="M891" i="1" a="1"/>
  <c r="M891" i="1" s="1"/>
  <c r="H892" i="1" a="1"/>
  <c r="H892" i="1" s="1"/>
  <c r="J892" i="14" s="1"/>
  <c r="L892" i="1" a="1"/>
  <c r="L892" i="1" s="1"/>
  <c r="Q892" i="1" a="1"/>
  <c r="Q892" i="1" s="1"/>
  <c r="S892" i="14" s="1"/>
  <c r="D893" i="1" a="1"/>
  <c r="D893" i="1" s="1"/>
  <c r="I893" i="14" s="1"/>
  <c r="H893" i="1" a="1"/>
  <c r="H893" i="1" s="1"/>
  <c r="J893" i="14" s="1"/>
  <c r="L893" i="1" a="1"/>
  <c r="L893" i="1" s="1"/>
  <c r="P893" i="1" a="1"/>
  <c r="P893" i="1" s="1"/>
  <c r="C894" i="1" a="1"/>
  <c r="C894" i="1" s="1"/>
  <c r="E894" i="14" s="1"/>
  <c r="G894" i="1" a="1"/>
  <c r="G894" i="1" s="1"/>
  <c r="K894" i="1" a="1"/>
  <c r="K894" i="1" s="1"/>
  <c r="P894" i="1" a="1"/>
  <c r="P894" i="1" s="1"/>
  <c r="C895" i="1" a="1"/>
  <c r="C895" i="1" s="1"/>
  <c r="E895" i="14" s="1"/>
  <c r="F895" i="1" a="1"/>
  <c r="F895" i="1" s="1"/>
  <c r="R895" i="14" s="1"/>
  <c r="J895" i="1" a="1"/>
  <c r="J895" i="1" s="1"/>
  <c r="M895" i="1" a="1"/>
  <c r="M895" i="1" s="1"/>
  <c r="Q895" i="1" a="1"/>
  <c r="Q895" i="1" s="1"/>
  <c r="S895" i="14" s="1"/>
  <c r="D896" i="1" a="1"/>
  <c r="D896" i="1" s="1"/>
  <c r="I896" i="14" s="1"/>
  <c r="K896" i="1" a="1"/>
  <c r="K896" i="1" s="1"/>
  <c r="P896" i="1" a="1"/>
  <c r="P896" i="1" s="1"/>
  <c r="C897" i="1" a="1"/>
  <c r="C897" i="1" s="1"/>
  <c r="E897" i="14" s="1"/>
  <c r="G897" i="1" a="1"/>
  <c r="G897" i="1" s="1"/>
  <c r="K897" i="1" a="1"/>
  <c r="K897" i="1" s="1"/>
  <c r="O897" i="1"/>
  <c r="M897" i="14" s="1"/>
  <c r="F898" i="1" a="1"/>
  <c r="F898" i="1" s="1"/>
  <c r="R898" i="14" s="1"/>
  <c r="J898" i="1" a="1"/>
  <c r="J898" i="1" s="1"/>
  <c r="O898" i="1"/>
  <c r="M898" i="14" s="1"/>
  <c r="F899" i="1" a="1"/>
  <c r="F899" i="1" s="1"/>
  <c r="R899" i="14" s="1"/>
  <c r="J899" i="1" a="1"/>
  <c r="J899" i="1" s="1"/>
  <c r="O899" i="1"/>
  <c r="M899" i="14" s="1"/>
  <c r="F900" i="1" a="1"/>
  <c r="F900" i="1" s="1"/>
  <c r="R900" i="14" s="1"/>
  <c r="J900" i="1" a="1"/>
  <c r="J900" i="1" s="1"/>
  <c r="O900" i="1"/>
  <c r="M900" i="14" s="1"/>
  <c r="D901" i="1" a="1"/>
  <c r="D901" i="1" s="1"/>
  <c r="I901" i="14" s="1"/>
  <c r="H901" i="1" a="1"/>
  <c r="H901" i="1" s="1"/>
  <c r="J901" i="14" s="1"/>
  <c r="L901" i="1" a="1"/>
  <c r="L901" i="1" s="1"/>
  <c r="Q901" i="1" a="1"/>
  <c r="Q901" i="1" s="1"/>
  <c r="S901" i="14" s="1"/>
  <c r="D902" i="1" a="1"/>
  <c r="D902" i="1" s="1"/>
  <c r="I902" i="14" s="1"/>
  <c r="H902" i="1" a="1"/>
  <c r="H902" i="1" s="1"/>
  <c r="J902" i="14" s="1"/>
  <c r="K902" i="1" a="1"/>
  <c r="K902" i="1" s="1"/>
  <c r="P902" i="1" a="1"/>
  <c r="P902" i="1" s="1"/>
  <c r="L903" i="1" a="1"/>
  <c r="L903" i="1" s="1"/>
  <c r="Q903" i="1" a="1"/>
  <c r="Q903" i="1" s="1"/>
  <c r="S903" i="14" s="1"/>
  <c r="D904" i="1" a="1"/>
  <c r="D904" i="1" s="1"/>
  <c r="I904" i="14" s="1"/>
  <c r="H904" i="1" a="1"/>
  <c r="H904" i="1" s="1"/>
  <c r="J904" i="14" s="1"/>
  <c r="L904" i="1" a="1"/>
  <c r="L904" i="1" s="1"/>
  <c r="Q904" i="1" a="1"/>
  <c r="Q904" i="1" s="1"/>
  <c r="S904" i="14" s="1"/>
  <c r="D905" i="1" a="1"/>
  <c r="D905" i="1" s="1"/>
  <c r="I905" i="14" s="1"/>
  <c r="H905" i="1" a="1"/>
  <c r="H905" i="1" s="1"/>
  <c r="J905" i="14" s="1"/>
  <c r="L905" i="1" a="1"/>
  <c r="L905" i="1" s="1"/>
  <c r="Q905" i="1" a="1"/>
  <c r="Q905" i="1" s="1"/>
  <c r="S905" i="14" s="1"/>
  <c r="D906" i="1" a="1"/>
  <c r="D906" i="1" s="1"/>
  <c r="I906" i="14" s="1"/>
  <c r="H906" i="1" a="1"/>
  <c r="H906" i="1" s="1"/>
  <c r="J906" i="14" s="1"/>
  <c r="K906" i="1" a="1"/>
  <c r="K906" i="1" s="1"/>
  <c r="P906" i="1" a="1"/>
  <c r="P906" i="1" s="1"/>
  <c r="F907" i="1" a="1"/>
  <c r="F907" i="1" s="1"/>
  <c r="R907" i="14" s="1"/>
  <c r="J907" i="1" a="1"/>
  <c r="J907" i="1" s="1"/>
  <c r="H908" i="1" a="1"/>
  <c r="H908" i="1" s="1"/>
  <c r="J908" i="14" s="1"/>
  <c r="L908" i="1" a="1"/>
  <c r="L908" i="1" s="1"/>
  <c r="Q908" i="1" a="1"/>
  <c r="Q908" i="1" s="1"/>
  <c r="S908" i="14" s="1"/>
  <c r="D909" i="1" a="1"/>
  <c r="D909" i="1" s="1"/>
  <c r="I909" i="14" s="1"/>
  <c r="H909" i="1" a="1"/>
  <c r="H909" i="1" s="1"/>
  <c r="J909" i="14" s="1"/>
  <c r="L909" i="1" a="1"/>
  <c r="L909" i="1" s="1"/>
  <c r="Q909" i="1" a="1"/>
  <c r="Q909" i="1" s="1"/>
  <c r="S909" i="14" s="1"/>
  <c r="D910" i="1" a="1"/>
  <c r="D910" i="1" s="1"/>
  <c r="I910" i="14" s="1"/>
  <c r="H910" i="1" a="1"/>
  <c r="H910" i="1" s="1"/>
  <c r="J910" i="14" s="1"/>
  <c r="L910" i="1" a="1"/>
  <c r="L910" i="1" s="1"/>
  <c r="Q910" i="1" a="1"/>
  <c r="Q910" i="1" s="1"/>
  <c r="S910" i="14" s="1"/>
  <c r="D911" i="1" a="1"/>
  <c r="D911" i="1" s="1"/>
  <c r="I911" i="14" s="1"/>
  <c r="H911" i="1" a="1"/>
  <c r="H911" i="1" s="1"/>
  <c r="J911" i="14" s="1"/>
  <c r="L911" i="1" a="1"/>
  <c r="L911" i="1" s="1"/>
  <c r="Q911" i="1" a="1"/>
  <c r="Q911" i="1" s="1"/>
  <c r="S911" i="14" s="1"/>
  <c r="D912" i="1" a="1"/>
  <c r="D912" i="1" s="1"/>
  <c r="I912" i="14" s="1"/>
  <c r="K912" i="1" a="1"/>
  <c r="K912" i="1" s="1"/>
  <c r="P912" i="1" a="1"/>
  <c r="P912" i="1" s="1"/>
  <c r="Q913" i="1" a="1"/>
  <c r="Q913" i="1" s="1"/>
  <c r="S913" i="14" s="1"/>
  <c r="D914" i="1" a="1"/>
  <c r="D914" i="1" s="1"/>
  <c r="I914" i="14" s="1"/>
  <c r="H914" i="1" a="1"/>
  <c r="H914" i="1" s="1"/>
  <c r="J914" i="14" s="1"/>
  <c r="L914" i="1" a="1"/>
  <c r="L914" i="1" s="1"/>
  <c r="Q914" i="1" a="1"/>
  <c r="Q914" i="1" s="1"/>
  <c r="S914" i="14" s="1"/>
  <c r="D915" i="1" a="1"/>
  <c r="D915" i="1" s="1"/>
  <c r="I915" i="14" s="1"/>
  <c r="G915" i="1" a="1"/>
  <c r="G915" i="1" s="1"/>
  <c r="K915" i="1" a="1"/>
  <c r="K915" i="1" s="1"/>
  <c r="O915" i="1"/>
  <c r="M915" i="14" s="1"/>
  <c r="F916" i="1" a="1"/>
  <c r="F916" i="1" s="1"/>
  <c r="R916" i="14" s="1"/>
  <c r="J916" i="1" a="1"/>
  <c r="J916" i="1" s="1"/>
  <c r="O916" i="1"/>
  <c r="M916" i="14" s="1"/>
  <c r="F917" i="1" a="1"/>
  <c r="F917" i="1" s="1"/>
  <c r="R917" i="14" s="1"/>
  <c r="J917" i="1" a="1"/>
  <c r="J917" i="1" s="1"/>
  <c r="O917" i="1"/>
  <c r="M917" i="14" s="1"/>
  <c r="F918" i="1" a="1"/>
  <c r="F918" i="1" s="1"/>
  <c r="R918" i="14" s="1"/>
  <c r="M918" i="1" a="1"/>
  <c r="M918" i="1" s="1"/>
  <c r="Q918" i="1" a="1"/>
  <c r="Q918" i="1" s="1"/>
  <c r="S918" i="14" s="1"/>
  <c r="D919" i="1" a="1"/>
  <c r="D919" i="1" s="1"/>
  <c r="I919" i="14" s="1"/>
  <c r="G919" i="1" a="1"/>
  <c r="G919" i="1" s="1"/>
  <c r="K919" i="1" a="1"/>
  <c r="K919" i="1" s="1"/>
  <c r="O919" i="1"/>
  <c r="M919" i="14" s="1"/>
  <c r="F920" i="1" a="1"/>
  <c r="F920" i="1" s="1"/>
  <c r="R920" i="14" s="1"/>
  <c r="J920" i="1" a="1"/>
  <c r="J920" i="1" s="1"/>
  <c r="O920" i="1"/>
  <c r="M920" i="14" s="1"/>
  <c r="M921" i="1" a="1"/>
  <c r="M921" i="1" s="1"/>
  <c r="H922" i="1" a="1"/>
  <c r="H922" i="1" s="1"/>
  <c r="J922" i="14" s="1"/>
  <c r="L922" i="1" a="1"/>
  <c r="L922" i="1" s="1"/>
  <c r="Q922" i="1" a="1"/>
  <c r="Q922" i="1" s="1"/>
  <c r="S922" i="14" s="1"/>
  <c r="D923" i="1" a="1"/>
  <c r="D923" i="1" s="1"/>
  <c r="I923" i="14" s="1"/>
  <c r="H923" i="1" a="1"/>
  <c r="H923" i="1" s="1"/>
  <c r="J923" i="14" s="1"/>
  <c r="L923" i="1" a="1"/>
  <c r="L923" i="1" s="1"/>
  <c r="Q923" i="1" a="1"/>
  <c r="Q923" i="1" s="1"/>
  <c r="S923" i="14" s="1"/>
  <c r="D924" i="1" a="1"/>
  <c r="D924" i="1" s="1"/>
  <c r="I924" i="14" s="1"/>
  <c r="K924" i="1" a="1"/>
  <c r="K924" i="1" s="1"/>
  <c r="P924" i="1" a="1"/>
  <c r="P924" i="1" s="1"/>
  <c r="C925" i="1" a="1"/>
  <c r="C925" i="1" s="1"/>
  <c r="E925" i="14" s="1"/>
  <c r="G925" i="1" a="1"/>
  <c r="G925" i="1" s="1"/>
  <c r="K925" i="1" a="1"/>
  <c r="K925" i="1" s="1"/>
  <c r="P925" i="1" a="1"/>
  <c r="P925" i="1" s="1"/>
  <c r="C926" i="1" a="1"/>
  <c r="C926" i="1" s="1"/>
  <c r="E926" i="14" s="1"/>
  <c r="G926" i="1" a="1"/>
  <c r="G926" i="1" s="1"/>
  <c r="J926" i="1" a="1"/>
  <c r="J926" i="1" s="1"/>
  <c r="O926" i="1"/>
  <c r="M926" i="14" s="1"/>
  <c r="H927" i="1" a="1"/>
  <c r="H927" i="1" s="1"/>
  <c r="J927" i="14" s="1"/>
  <c r="P927" i="1" a="1"/>
  <c r="P927" i="1" s="1"/>
  <c r="C928" i="1" a="1"/>
  <c r="C928" i="1" s="1"/>
  <c r="E928" i="14" s="1"/>
  <c r="G928" i="1" a="1"/>
  <c r="G928" i="1" s="1"/>
  <c r="K928" i="1" a="1"/>
  <c r="K928" i="1" s="1"/>
  <c r="P928" i="1" a="1"/>
  <c r="P928" i="1" s="1"/>
  <c r="Q929" i="1" a="1"/>
  <c r="Q929" i="1" s="1"/>
  <c r="S929" i="14" s="1"/>
  <c r="D930" i="1" a="1"/>
  <c r="D930" i="1" s="1"/>
  <c r="I930" i="14" s="1"/>
  <c r="H930" i="1" a="1"/>
  <c r="H930" i="1" s="1"/>
  <c r="J930" i="14" s="1"/>
  <c r="L930" i="1" a="1"/>
  <c r="L930" i="1" s="1"/>
  <c r="Q930" i="1" a="1"/>
  <c r="Q930" i="1" s="1"/>
  <c r="S930" i="14" s="1"/>
  <c r="D931" i="1" a="1"/>
  <c r="D931" i="1" s="1"/>
  <c r="I931" i="14" s="1"/>
  <c r="H931" i="1" a="1"/>
  <c r="H931" i="1" s="1"/>
  <c r="J931" i="14" s="1"/>
  <c r="L931" i="1" a="1"/>
  <c r="L931" i="1" s="1"/>
  <c r="Q931" i="1" a="1"/>
  <c r="Q931" i="1" s="1"/>
  <c r="S931" i="14" s="1"/>
  <c r="D932" i="1" a="1"/>
  <c r="D932" i="1" s="1"/>
  <c r="I932" i="14" s="1"/>
  <c r="H932" i="1" a="1"/>
  <c r="H932" i="1" s="1"/>
  <c r="J932" i="14" s="1"/>
  <c r="L932" i="1" a="1"/>
  <c r="L932" i="1" s="1"/>
  <c r="Q932" i="1" a="1"/>
  <c r="Q932" i="1" s="1"/>
  <c r="S932" i="14" s="1"/>
  <c r="D933" i="1" a="1"/>
  <c r="D933" i="1" s="1"/>
  <c r="I933" i="14" s="1"/>
  <c r="H933" i="1" a="1"/>
  <c r="H933" i="1" s="1"/>
  <c r="J933" i="14" s="1"/>
  <c r="L933" i="1" a="1"/>
  <c r="L933" i="1" s="1"/>
  <c r="Q933" i="1" a="1"/>
  <c r="Q933" i="1" s="1"/>
  <c r="S933" i="14" s="1"/>
  <c r="D934" i="1" a="1"/>
  <c r="D934" i="1" s="1"/>
  <c r="I934" i="14" s="1"/>
  <c r="H934" i="1" a="1"/>
  <c r="H934" i="1" s="1"/>
  <c r="J934" i="14" s="1"/>
  <c r="K934" i="1" a="1"/>
  <c r="K934" i="1" s="1"/>
  <c r="P934" i="1" a="1"/>
  <c r="P934" i="1" s="1"/>
  <c r="L935" i="1" a="1"/>
  <c r="L935" i="1" s="1"/>
  <c r="Q935" i="1" a="1"/>
  <c r="Q935" i="1" s="1"/>
  <c r="S935" i="14" s="1"/>
  <c r="D936" i="1" a="1"/>
  <c r="D936" i="1" s="1"/>
  <c r="I936" i="14" s="1"/>
  <c r="H936" i="1" a="1"/>
  <c r="H936" i="1" s="1"/>
  <c r="J936" i="14" s="1"/>
  <c r="L936" i="1" a="1"/>
  <c r="L936" i="1" s="1"/>
  <c r="Q936" i="1" a="1"/>
  <c r="Q936" i="1" s="1"/>
  <c r="S936" i="14" s="1"/>
  <c r="D937" i="1" a="1"/>
  <c r="D937" i="1" s="1"/>
  <c r="I937" i="14" s="1"/>
  <c r="H937" i="1" a="1"/>
  <c r="H937" i="1" s="1"/>
  <c r="J937" i="14" s="1"/>
  <c r="L937" i="1" a="1"/>
  <c r="L937" i="1" s="1"/>
  <c r="Q937" i="1" a="1"/>
  <c r="Q937" i="1" s="1"/>
  <c r="S937" i="14" s="1"/>
  <c r="D938" i="1" a="1"/>
  <c r="D938" i="1" s="1"/>
  <c r="I938" i="14" s="1"/>
  <c r="H938" i="1" a="1"/>
  <c r="H938" i="1" s="1"/>
  <c r="J938" i="14" s="1"/>
  <c r="L938" i="1" a="1"/>
  <c r="L938" i="1" s="1"/>
  <c r="Q938" i="1" a="1"/>
  <c r="Q938" i="1" s="1"/>
  <c r="S938" i="14" s="1"/>
  <c r="D939" i="1" a="1"/>
  <c r="D939" i="1" s="1"/>
  <c r="I939" i="14" s="1"/>
  <c r="H939" i="1" a="1"/>
  <c r="H939" i="1" s="1"/>
  <c r="J939" i="14" s="1"/>
  <c r="L939" i="1" a="1"/>
  <c r="L939" i="1" s="1"/>
  <c r="Q939" i="1" a="1"/>
  <c r="Q939" i="1" s="1"/>
  <c r="S939" i="14" s="1"/>
  <c r="D940" i="1" a="1"/>
  <c r="D940" i="1" s="1"/>
  <c r="I940" i="14" s="1"/>
  <c r="K940" i="1" a="1"/>
  <c r="K940" i="1" s="1"/>
  <c r="P940" i="1" a="1"/>
  <c r="P940" i="1" s="1"/>
  <c r="C941" i="1" a="1"/>
  <c r="C941" i="1" s="1"/>
  <c r="E941" i="14" s="1"/>
  <c r="G941" i="1" a="1"/>
  <c r="G941" i="1" s="1"/>
  <c r="K941" i="1" a="1"/>
  <c r="K941" i="1" s="1"/>
  <c r="P941" i="1" a="1"/>
  <c r="P941" i="1" s="1"/>
  <c r="C942" i="1" a="1"/>
  <c r="C942" i="1" s="1"/>
  <c r="E942" i="14" s="1"/>
  <c r="J942" i="1" a="1"/>
  <c r="J942" i="1" s="1"/>
  <c r="O942" i="1"/>
  <c r="M942" i="14" s="1"/>
  <c r="L943" i="1" a="1"/>
  <c r="L943" i="1" s="1"/>
  <c r="Q943" i="1" a="1"/>
  <c r="Q943" i="1" s="1"/>
  <c r="S943" i="14" s="1"/>
  <c r="D944" i="1" a="1"/>
  <c r="D944" i="1" s="1"/>
  <c r="I944" i="14" s="1"/>
  <c r="H944" i="1" a="1"/>
  <c r="H944" i="1" s="1"/>
  <c r="J944" i="14" s="1"/>
  <c r="L944" i="1" a="1"/>
  <c r="L944" i="1" s="1"/>
  <c r="Q944" i="1" a="1"/>
  <c r="Q944" i="1" s="1"/>
  <c r="S944" i="14" s="1"/>
  <c r="D945" i="1" a="1"/>
  <c r="D945" i="1" s="1"/>
  <c r="I945" i="14" s="1"/>
  <c r="H945" i="1" a="1"/>
  <c r="H945" i="1" s="1"/>
  <c r="J945" i="14" s="1"/>
  <c r="L945" i="1" a="1"/>
  <c r="L945" i="1" s="1"/>
  <c r="P945" i="1" a="1"/>
  <c r="P945" i="1" s="1"/>
  <c r="C946" i="1" a="1"/>
  <c r="C946" i="1" s="1"/>
  <c r="E946" i="14" s="1"/>
  <c r="G946" i="1" a="1"/>
  <c r="G946" i="1" s="1"/>
  <c r="K946" i="1" a="1"/>
  <c r="K946" i="1" s="1"/>
  <c r="P946" i="1" a="1"/>
  <c r="P946" i="1" s="1"/>
  <c r="C947" i="1" a="1"/>
  <c r="C947" i="1" s="1"/>
  <c r="E947" i="14" s="1"/>
  <c r="G947" i="1" a="1"/>
  <c r="G947" i="1" s="1"/>
  <c r="K947" i="1" a="1"/>
  <c r="K947" i="1" s="1"/>
  <c r="P947" i="1" a="1"/>
  <c r="P947" i="1" s="1"/>
  <c r="C948" i="1" a="1"/>
  <c r="C948" i="1" s="1"/>
  <c r="E948" i="14" s="1"/>
  <c r="G948" i="1" a="1"/>
  <c r="G948" i="1" s="1"/>
  <c r="K948" i="1" a="1"/>
  <c r="K948" i="1" s="1"/>
  <c r="P948" i="1" a="1"/>
  <c r="P948" i="1" s="1"/>
  <c r="C949" i="1" a="1"/>
  <c r="C949" i="1" s="1"/>
  <c r="E949" i="14" s="1"/>
  <c r="G949" i="1" a="1"/>
  <c r="G949" i="1" s="1"/>
  <c r="K949" i="1" a="1"/>
  <c r="K949" i="1" s="1"/>
  <c r="P949" i="1" a="1"/>
  <c r="P949" i="1" s="1"/>
  <c r="C950" i="1" a="1"/>
  <c r="C950" i="1" s="1"/>
  <c r="E950" i="14" s="1"/>
  <c r="G950" i="1" a="1"/>
  <c r="G950" i="1" s="1"/>
  <c r="J950" i="1" a="1"/>
  <c r="J950" i="1" s="1"/>
  <c r="M950" i="1" a="1"/>
  <c r="M950" i="1" s="1"/>
  <c r="L951" i="1" a="1"/>
  <c r="L951" i="1" s="1"/>
  <c r="Q951" i="1" a="1"/>
  <c r="Q951" i="1" s="1"/>
  <c r="S951" i="14" s="1"/>
  <c r="D952" i="1" a="1"/>
  <c r="D952" i="1" s="1"/>
  <c r="I952" i="14" s="1"/>
  <c r="H952" i="1" a="1"/>
  <c r="H952" i="1" s="1"/>
  <c r="J952" i="14" s="1"/>
  <c r="L952" i="1" a="1"/>
  <c r="L952" i="1" s="1"/>
  <c r="Q952" i="1" a="1"/>
  <c r="Q952" i="1" s="1"/>
  <c r="S952" i="14" s="1"/>
  <c r="D953" i="1" a="1"/>
  <c r="D953" i="1" s="1"/>
  <c r="I953" i="14" s="1"/>
  <c r="H953" i="1" a="1"/>
  <c r="H953" i="1" s="1"/>
  <c r="J953" i="14" s="1"/>
  <c r="L953" i="1" a="1"/>
  <c r="L953" i="1" s="1"/>
  <c r="Q953" i="1" a="1"/>
  <c r="Q953" i="1" s="1"/>
  <c r="S953" i="14" s="1"/>
  <c r="D954" i="1" a="1"/>
  <c r="D954" i="1" s="1"/>
  <c r="I954" i="14" s="1"/>
  <c r="H954" i="1" a="1"/>
  <c r="H954" i="1" s="1"/>
  <c r="J954" i="14" s="1"/>
  <c r="P954" i="1" a="1"/>
  <c r="P954" i="1" s="1"/>
  <c r="C955" i="1" a="1"/>
  <c r="C955" i="1" s="1"/>
  <c r="E955" i="14" s="1"/>
  <c r="G955" i="1" a="1"/>
  <c r="G955" i="1" s="1"/>
  <c r="K955" i="1" a="1"/>
  <c r="K955" i="1" s="1"/>
  <c r="P955" i="1" a="1"/>
  <c r="P955" i="1" s="1"/>
  <c r="C956" i="1" a="1"/>
  <c r="C956" i="1" s="1"/>
  <c r="E956" i="14" s="1"/>
  <c r="G956" i="1" a="1"/>
  <c r="G956" i="1" s="1"/>
  <c r="K956" i="1" a="1"/>
  <c r="K956" i="1" s="1"/>
  <c r="P956" i="1" a="1"/>
  <c r="P956" i="1" s="1"/>
  <c r="C957" i="1" a="1"/>
  <c r="C957" i="1" s="1"/>
  <c r="E957" i="14" s="1"/>
  <c r="G957" i="1" a="1"/>
  <c r="G957" i="1" s="1"/>
  <c r="J957" i="1" a="1"/>
  <c r="J957" i="1" s="1"/>
  <c r="O957" i="1"/>
  <c r="M957" i="14" s="1"/>
  <c r="L958" i="1" a="1"/>
  <c r="L958" i="1" s="1"/>
  <c r="Q958" i="1" a="1"/>
  <c r="Q958" i="1" s="1"/>
  <c r="S958" i="14" s="1"/>
  <c r="D959" i="1" a="1"/>
  <c r="D959" i="1" s="1"/>
  <c r="I959" i="14" s="1"/>
  <c r="H959" i="1" a="1"/>
  <c r="H959" i="1" s="1"/>
  <c r="J959" i="14" s="1"/>
  <c r="K959" i="1" a="1"/>
  <c r="K959" i="1" s="1"/>
  <c r="P959" i="1" a="1"/>
  <c r="P959" i="1" s="1"/>
  <c r="C960" i="1" a="1"/>
  <c r="C960" i="1" s="1"/>
  <c r="E960" i="14" s="1"/>
  <c r="G960" i="1" a="1"/>
  <c r="G960" i="1" s="1"/>
  <c r="J960" i="1" a="1"/>
  <c r="J960" i="1" s="1"/>
  <c r="M960" i="1" a="1"/>
  <c r="M960" i="1" s="1"/>
  <c r="Q960" i="1" a="1"/>
  <c r="Q960" i="1" s="1"/>
  <c r="S960" i="14" s="1"/>
  <c r="D961" i="1" a="1"/>
  <c r="D961" i="1" s="1"/>
  <c r="I961" i="14" s="1"/>
  <c r="H961" i="1" a="1"/>
  <c r="H961" i="1" s="1"/>
  <c r="J961" i="14" s="1"/>
  <c r="K961" i="1" a="1"/>
  <c r="K961" i="1" s="1"/>
  <c r="O961" i="1"/>
  <c r="M961" i="14" s="1"/>
  <c r="F962" i="1" a="1"/>
  <c r="F962" i="1" s="1"/>
  <c r="R962" i="14" s="1"/>
  <c r="J962" i="1" a="1"/>
  <c r="J962" i="1" s="1"/>
  <c r="O962" i="1"/>
  <c r="M962" i="14" s="1"/>
  <c r="F963" i="1" a="1"/>
  <c r="F963" i="1" s="1"/>
  <c r="R963" i="14" s="1"/>
  <c r="J963" i="1" a="1"/>
  <c r="J963" i="1" s="1"/>
  <c r="O963" i="1"/>
  <c r="M963" i="14" s="1"/>
  <c r="F964" i="1" a="1"/>
  <c r="F964" i="1" s="1"/>
  <c r="R964" i="14" s="1"/>
  <c r="C965" i="1" a="1"/>
  <c r="C965" i="1" s="1"/>
  <c r="E965" i="14" s="1"/>
  <c r="G965" i="1" a="1"/>
  <c r="G965" i="1" s="1"/>
  <c r="J965" i="1" a="1"/>
  <c r="J965" i="1" s="1"/>
  <c r="M965" i="1" a="1"/>
  <c r="M965" i="1" s="1"/>
  <c r="M966" i="1" a="1"/>
  <c r="M966" i="1" s="1"/>
  <c r="Q966" i="1" a="1"/>
  <c r="Q966" i="1" s="1"/>
  <c r="S966" i="14" s="1"/>
  <c r="C967" i="1" a="1"/>
  <c r="C967" i="1" s="1"/>
  <c r="E967" i="14" s="1"/>
  <c r="F967" i="1" a="1"/>
  <c r="F967" i="1" s="1"/>
  <c r="R967" i="14" s="1"/>
  <c r="J967" i="1" a="1"/>
  <c r="J967" i="1" s="1"/>
  <c r="M967" i="1" a="1"/>
  <c r="M967" i="1" s="1"/>
  <c r="C969" i="1" a="1"/>
  <c r="C969" i="1" s="1"/>
  <c r="E969" i="14" s="1"/>
  <c r="F969" i="1" a="1"/>
  <c r="F969" i="1" s="1"/>
  <c r="R969" i="14" s="1"/>
  <c r="J969" i="1" a="1"/>
  <c r="J969" i="1" s="1"/>
  <c r="O969" i="1"/>
  <c r="M969" i="14" s="1"/>
  <c r="K970" i="1" a="1"/>
  <c r="K970" i="1" s="1"/>
  <c r="P970" i="1" a="1"/>
  <c r="P970" i="1" s="1"/>
  <c r="C971" i="1" a="1"/>
  <c r="C971" i="1" s="1"/>
  <c r="E971" i="14" s="1"/>
  <c r="G971" i="1" a="1"/>
  <c r="G971" i="1" s="1"/>
  <c r="K971" i="1" a="1"/>
  <c r="K971" i="1" s="1"/>
  <c r="O971" i="1"/>
  <c r="M971" i="14" s="1"/>
  <c r="F972" i="1" a="1"/>
  <c r="F972" i="1" s="1"/>
  <c r="R972" i="14" s="1"/>
  <c r="J972" i="1" a="1"/>
  <c r="J972" i="1" s="1"/>
  <c r="M972" i="1" a="1"/>
  <c r="M972" i="1" s="1"/>
  <c r="Q972" i="1" a="1"/>
  <c r="Q972" i="1" s="1"/>
  <c r="S972" i="14" s="1"/>
  <c r="D973" i="1" a="1"/>
  <c r="D973" i="1" s="1"/>
  <c r="I973" i="14" s="1"/>
  <c r="G973" i="1" a="1"/>
  <c r="G973" i="1" s="1"/>
  <c r="K973" i="1" a="1"/>
  <c r="K973" i="1" s="1"/>
  <c r="P973" i="1" a="1"/>
  <c r="P973" i="1" s="1"/>
  <c r="H974" i="1" a="1"/>
  <c r="H974" i="1" s="1"/>
  <c r="J974" i="14" s="1"/>
  <c r="L974" i="1" a="1"/>
  <c r="L974" i="1" s="1"/>
  <c r="Q974" i="1" a="1"/>
  <c r="Q974" i="1" s="1"/>
  <c r="S974" i="14" s="1"/>
  <c r="D975" i="1" a="1"/>
  <c r="D975" i="1" s="1"/>
  <c r="I975" i="14" s="1"/>
  <c r="H975" i="1" a="1"/>
  <c r="H975" i="1" s="1"/>
  <c r="J975" i="14" s="1"/>
  <c r="L975" i="1" a="1"/>
  <c r="L975" i="1" s="1"/>
  <c r="Q975" i="1" a="1"/>
  <c r="Q975" i="1" s="1"/>
  <c r="S975" i="14" s="1"/>
  <c r="D976" i="1" a="1"/>
  <c r="D976" i="1" s="1"/>
  <c r="I976" i="14" s="1"/>
  <c r="H976" i="1" a="1"/>
  <c r="H976" i="1" s="1"/>
  <c r="J976" i="14" s="1"/>
  <c r="K976" i="1" a="1"/>
  <c r="K976" i="1" s="1"/>
  <c r="P976" i="1" a="1"/>
  <c r="P976" i="1" s="1"/>
  <c r="C977" i="1" a="1"/>
  <c r="C977" i="1" s="1"/>
  <c r="E977" i="14" s="1"/>
  <c r="G977" i="1" a="1"/>
  <c r="G977" i="1" s="1"/>
  <c r="J977" i="1" a="1"/>
  <c r="J977" i="1" s="1"/>
  <c r="M977" i="1" a="1"/>
  <c r="M977" i="1" s="1"/>
  <c r="M978" i="1" a="1"/>
  <c r="M978" i="1" s="1"/>
  <c r="Q978" i="1" a="1"/>
  <c r="Q978" i="1" s="1"/>
  <c r="S978" i="14" s="1"/>
  <c r="C979" i="1" a="1"/>
  <c r="C979" i="1" s="1"/>
  <c r="E979" i="14" s="1"/>
  <c r="F979" i="1" a="1"/>
  <c r="F979" i="1" s="1"/>
  <c r="R979" i="14" s="1"/>
  <c r="J979" i="1" a="1"/>
  <c r="J979" i="1" s="1"/>
  <c r="M979" i="1" a="1"/>
  <c r="M979" i="1" s="1"/>
  <c r="C981" i="1" a="1"/>
  <c r="C981" i="1" s="1"/>
  <c r="E981" i="14" s="1"/>
  <c r="F981" i="1" a="1"/>
  <c r="F981" i="1" s="1"/>
  <c r="R981" i="14" s="1"/>
  <c r="J981" i="1" a="1"/>
  <c r="J981" i="1" s="1"/>
  <c r="O981" i="1"/>
  <c r="M981" i="14" s="1"/>
  <c r="D982" i="1" a="1"/>
  <c r="D982" i="1" s="1"/>
  <c r="I982" i="14" s="1"/>
  <c r="H982" i="1" a="1"/>
  <c r="H982" i="1" s="1"/>
  <c r="J982" i="14" s="1"/>
  <c r="L982" i="1" a="1"/>
  <c r="L982" i="1" s="1"/>
  <c r="P982" i="1" a="1"/>
  <c r="P982" i="1" s="1"/>
  <c r="J983" i="1" a="1"/>
  <c r="J983" i="1" s="1"/>
  <c r="O983" i="1"/>
  <c r="M983" i="14" s="1"/>
  <c r="F984" i="1" a="1"/>
  <c r="F984" i="1" s="1"/>
  <c r="R984" i="14" s="1"/>
  <c r="J984" i="1" a="1"/>
  <c r="J984" i="1" s="1"/>
  <c r="M984" i="1" a="1"/>
  <c r="M984" i="1" s="1"/>
  <c r="M985" i="1" a="1"/>
  <c r="M985" i="1" s="1"/>
  <c r="M986" i="1" a="1"/>
  <c r="M986" i="1" s="1"/>
  <c r="Q986" i="1" a="1"/>
  <c r="Q986" i="1" s="1"/>
  <c r="S986" i="14" s="1"/>
  <c r="C987" i="1" a="1"/>
  <c r="C987" i="1" s="1"/>
  <c r="E987" i="14" s="1"/>
  <c r="F987" i="1" a="1"/>
  <c r="F987" i="1" s="1"/>
  <c r="R987" i="14" s="1"/>
  <c r="J987" i="1" a="1"/>
  <c r="J987" i="1" s="1"/>
  <c r="O987" i="1"/>
  <c r="M987" i="14" s="1"/>
  <c r="F988" i="1" a="1"/>
  <c r="F988" i="1" s="1"/>
  <c r="R988" i="14" s="1"/>
  <c r="J988" i="1" a="1"/>
  <c r="J988" i="1" s="1"/>
  <c r="M988" i="1" a="1"/>
  <c r="M988" i="1" s="1"/>
  <c r="Q988" i="1" a="1"/>
  <c r="Q988" i="1" s="1"/>
  <c r="S988" i="14" s="1"/>
  <c r="D989" i="1" a="1"/>
  <c r="D989" i="1" s="1"/>
  <c r="I989" i="14" s="1"/>
  <c r="H989" i="1" a="1"/>
  <c r="H989" i="1" s="1"/>
  <c r="J989" i="14" s="1"/>
  <c r="L989" i="1" a="1"/>
  <c r="L989" i="1" s="1"/>
  <c r="C990" i="1" a="1"/>
  <c r="C990" i="1" s="1"/>
  <c r="E990" i="14" s="1"/>
  <c r="G990" i="1" a="1"/>
  <c r="G990" i="1" s="1"/>
  <c r="K990" i="1" a="1"/>
  <c r="K990" i="1" s="1"/>
  <c r="O990" i="1"/>
  <c r="M990" i="14" s="1"/>
  <c r="F991" i="1" a="1"/>
  <c r="F991" i="1" s="1"/>
  <c r="R991" i="14" s="1"/>
  <c r="J991" i="1" a="1"/>
  <c r="J991" i="1" s="1"/>
  <c r="O991" i="1"/>
  <c r="M991" i="14" s="1"/>
  <c r="F992" i="1" a="1"/>
  <c r="F992" i="1" s="1"/>
  <c r="R992" i="14" s="1"/>
  <c r="M992" i="1" a="1"/>
  <c r="M992" i="1" s="1"/>
  <c r="P993" i="1" a="1"/>
  <c r="P993" i="1" s="1"/>
  <c r="C994" i="1" a="1"/>
  <c r="C994" i="1" s="1"/>
  <c r="E994" i="14" s="1"/>
  <c r="G994" i="1" a="1"/>
  <c r="G994" i="1" s="1"/>
  <c r="K994" i="1" a="1"/>
  <c r="K994" i="1" s="1"/>
  <c r="O994" i="1"/>
  <c r="M994" i="14" s="1"/>
  <c r="D995" i="1" a="1"/>
  <c r="D995" i="1" s="1"/>
  <c r="I995" i="14" s="1"/>
  <c r="H995" i="1" a="1"/>
  <c r="H995" i="1" s="1"/>
  <c r="J995" i="14" s="1"/>
  <c r="L995" i="1" a="1"/>
  <c r="L995" i="1" s="1"/>
  <c r="P995" i="1" a="1"/>
  <c r="P995" i="1" s="1"/>
  <c r="C996" i="1" a="1"/>
  <c r="C996" i="1" s="1"/>
  <c r="E996" i="14" s="1"/>
  <c r="G996" i="1" a="1"/>
  <c r="G996" i="1" s="1"/>
  <c r="K996" i="1" a="1"/>
  <c r="K996" i="1" s="1"/>
  <c r="O996" i="1"/>
  <c r="M996" i="14" s="1"/>
  <c r="P997" i="1" a="1"/>
  <c r="P997" i="1" s="1"/>
  <c r="C998" i="1" a="1"/>
  <c r="C998" i="1" s="1"/>
  <c r="E998" i="14" s="1"/>
  <c r="G998" i="1" a="1"/>
  <c r="G998" i="1" s="1"/>
  <c r="K998" i="1" a="1"/>
  <c r="K998" i="1" s="1"/>
  <c r="O998" i="1"/>
  <c r="M998" i="14" s="1"/>
  <c r="D999" i="1" a="1"/>
  <c r="D999" i="1" s="1"/>
  <c r="I999" i="14" s="1"/>
  <c r="H999" i="1" a="1"/>
  <c r="H999" i="1" s="1"/>
  <c r="J999" i="14" s="1"/>
  <c r="L999" i="1" a="1"/>
  <c r="L999" i="1" s="1"/>
  <c r="P999" i="1" a="1"/>
  <c r="P999" i="1" s="1"/>
  <c r="C1000" i="1" a="1"/>
  <c r="C1000" i="1" s="1"/>
  <c r="E1000" i="14" s="1"/>
  <c r="G1000" i="1" a="1"/>
  <c r="G1000" i="1" s="1"/>
  <c r="J1000" i="1" a="1"/>
  <c r="J1000" i="1" s="1"/>
  <c r="M1000" i="1" a="1"/>
  <c r="M1000" i="1" s="1"/>
  <c r="H1001" i="1" a="1"/>
  <c r="H1001" i="1" s="1"/>
  <c r="J1001" i="14" s="1"/>
  <c r="K1001" i="1" a="1"/>
  <c r="K1001" i="1" s="1"/>
  <c r="P1001" i="1" a="1"/>
  <c r="P1001" i="1" s="1"/>
  <c r="H1002" i="1" a="1"/>
  <c r="H1002" i="1" s="1"/>
  <c r="J1002" i="14" s="1"/>
  <c r="L1002" i="1" a="1"/>
  <c r="L1002" i="1" s="1"/>
  <c r="Q1002" i="1" a="1"/>
  <c r="Q1002" i="1" s="1"/>
  <c r="S1002" i="14" s="1"/>
  <c r="D1003" i="1" a="1"/>
  <c r="D1003" i="1" s="1"/>
  <c r="I1003" i="14" s="1"/>
  <c r="H1003" i="1" a="1"/>
  <c r="H1003" i="1" s="1"/>
  <c r="J1003" i="14" s="1"/>
  <c r="L1003" i="1" a="1"/>
  <c r="L1003" i="1" s="1"/>
  <c r="Q1003" i="1" a="1"/>
  <c r="Q1003" i="1" s="1"/>
  <c r="S1003" i="14" s="1"/>
  <c r="D1004" i="1" a="1"/>
  <c r="D1004" i="1" s="1"/>
  <c r="I1004" i="14" s="1"/>
  <c r="H1004" i="1" a="1"/>
  <c r="H1004" i="1" s="1"/>
  <c r="J1004" i="14" s="1"/>
  <c r="L1004" i="1" a="1"/>
  <c r="L1004" i="1" s="1"/>
  <c r="Q1004" i="1" a="1"/>
  <c r="Q1004" i="1" s="1"/>
  <c r="S1004" i="14" s="1"/>
  <c r="D1005" i="1" a="1"/>
  <c r="D1005" i="1" s="1"/>
  <c r="I1005" i="14" s="1"/>
  <c r="H1005" i="1" a="1"/>
  <c r="H1005" i="1" s="1"/>
  <c r="J1005" i="14" s="1"/>
  <c r="K1005" i="1" a="1"/>
  <c r="K1005" i="1" s="1"/>
  <c r="O1005" i="1"/>
  <c r="M1005" i="14" s="1"/>
  <c r="F1006" i="1" a="1"/>
  <c r="F1006" i="1" s="1"/>
  <c r="R1006" i="14" s="1"/>
  <c r="J1006" i="1" a="1"/>
  <c r="J1006" i="1" s="1"/>
  <c r="O1006" i="1"/>
  <c r="M1006" i="14" s="1"/>
  <c r="F1007" i="1" a="1"/>
  <c r="F1007" i="1" s="1"/>
  <c r="R1007" i="14" s="1"/>
  <c r="J1007" i="1" a="1"/>
  <c r="J1007" i="1" s="1"/>
  <c r="M1007" i="1" a="1"/>
  <c r="M1007" i="1" s="1"/>
  <c r="L1008" i="1" a="1"/>
  <c r="L1008" i="1" s="1"/>
  <c r="Q1008" i="1" a="1"/>
  <c r="Q1008" i="1" s="1"/>
  <c r="S1008" i="14" s="1"/>
  <c r="D1009" i="1" a="1"/>
  <c r="D1009" i="1" s="1"/>
  <c r="I1009" i="14" s="1"/>
  <c r="G1009" i="1" a="1"/>
  <c r="G1009" i="1" s="1"/>
  <c r="J1009" i="1" a="1"/>
  <c r="J1009" i="1" s="1"/>
  <c r="M1009" i="1" a="1"/>
  <c r="M1009" i="1" s="1"/>
  <c r="K1010" i="1" a="1"/>
  <c r="K1010" i="1" s="1"/>
  <c r="P1010" i="1" a="1"/>
  <c r="P1010" i="1" s="1"/>
  <c r="C1011" i="1" a="1"/>
  <c r="C1011" i="1" s="1"/>
  <c r="E1011" i="14" s="1"/>
  <c r="G1011" i="1" a="1"/>
  <c r="G1011" i="1" s="1"/>
  <c r="K1011" i="1" a="1"/>
  <c r="K1011" i="1" s="1"/>
  <c r="P1011" i="1" a="1"/>
  <c r="P1011" i="1" s="1"/>
  <c r="C1012" i="1" a="1"/>
  <c r="C1012" i="1" s="1"/>
  <c r="E1012" i="14" s="1"/>
  <c r="G1012" i="1" a="1"/>
  <c r="G1012" i="1" s="1"/>
  <c r="K1012" i="1" a="1"/>
  <c r="K1012" i="1" s="1"/>
  <c r="P1012" i="1" a="1"/>
  <c r="P1012" i="1" s="1"/>
  <c r="C1013" i="1" a="1"/>
  <c r="C1013" i="1" s="1"/>
  <c r="E1013" i="14" s="1"/>
  <c r="G1013" i="1" a="1"/>
  <c r="G1013" i="1" s="1"/>
  <c r="J1013" i="1" a="1"/>
  <c r="J1013" i="1" s="1"/>
  <c r="M1013" i="1" a="1"/>
  <c r="M1013" i="1" s="1"/>
  <c r="M1014" i="1" a="1"/>
  <c r="M1014" i="1" s="1"/>
  <c r="Q1014" i="1" a="1"/>
  <c r="Q1014" i="1" s="1"/>
  <c r="S1014" i="14" s="1"/>
  <c r="C1015" i="1" a="1"/>
  <c r="C1015" i="1" s="1"/>
  <c r="E1015" i="14" s="1"/>
  <c r="F1015" i="1" a="1"/>
  <c r="F1015" i="1" s="1"/>
  <c r="R1015" i="14" s="1"/>
  <c r="J1015" i="1" a="1"/>
  <c r="J1015" i="1" s="1"/>
  <c r="O1015" i="1"/>
  <c r="M1015" i="14" s="1"/>
  <c r="F1016" i="1" a="1"/>
  <c r="F1016" i="1" s="1"/>
  <c r="R1016" i="14" s="1"/>
  <c r="C1017" i="1" a="1"/>
  <c r="C1017" i="1" s="1"/>
  <c r="E1017" i="14" s="1"/>
  <c r="G1017" i="1" a="1"/>
  <c r="G1017" i="1" s="1"/>
  <c r="J1017" i="1" a="1"/>
  <c r="J1017" i="1" s="1"/>
  <c r="M1017" i="1" a="1"/>
  <c r="M1017" i="1" s="1"/>
  <c r="Q1017" i="1" a="1"/>
  <c r="Q1017" i="1" s="1"/>
  <c r="S1017" i="14" s="1"/>
  <c r="D1018" i="1" a="1"/>
  <c r="D1018" i="1" s="1"/>
  <c r="I1018" i="14" s="1"/>
  <c r="H1018" i="1" a="1"/>
  <c r="H1018" i="1" s="1"/>
  <c r="J1018" i="14" s="1"/>
  <c r="L1018" i="1" a="1"/>
  <c r="L1018" i="1" s="1"/>
  <c r="Q1018" i="1" a="1"/>
  <c r="Q1018" i="1" s="1"/>
  <c r="S1018" i="14" s="1"/>
  <c r="D1019" i="1" a="1"/>
  <c r="D1019" i="1" s="1"/>
  <c r="I1019" i="14" s="1"/>
  <c r="H1019" i="1" a="1"/>
  <c r="H1019" i="1" s="1"/>
  <c r="J1019" i="14" s="1"/>
  <c r="L1019" i="1" a="1"/>
  <c r="L1019" i="1" s="1"/>
  <c r="Q1019" i="1" a="1"/>
  <c r="Q1019" i="1" s="1"/>
  <c r="S1019" i="14" s="1"/>
  <c r="D1020" i="1" a="1"/>
  <c r="D1020" i="1" s="1"/>
  <c r="I1020" i="14" s="1"/>
  <c r="H1020" i="1" a="1"/>
  <c r="H1020" i="1" s="1"/>
  <c r="J1020" i="14" s="1"/>
  <c r="L1020" i="1" a="1"/>
  <c r="L1020" i="1" s="1"/>
  <c r="P1020" i="1" a="1"/>
  <c r="P1020" i="1" s="1"/>
  <c r="F1021" i="1" a="1"/>
  <c r="F1021" i="1" s="1"/>
  <c r="R1021" i="14" s="1"/>
  <c r="J1021" i="1" a="1"/>
  <c r="J1021" i="1" s="1"/>
  <c r="O1021" i="1"/>
  <c r="M1021" i="14" s="1"/>
  <c r="H1022" i="1" a="1"/>
  <c r="H1022" i="1" s="1"/>
  <c r="J1022" i="14" s="1"/>
  <c r="L1022" i="1" a="1"/>
  <c r="L1022" i="1" s="1"/>
  <c r="Q1022" i="1" a="1"/>
  <c r="Q1022" i="1" s="1"/>
  <c r="S1022" i="14" s="1"/>
  <c r="D1023" i="1" a="1"/>
  <c r="D1023" i="1" s="1"/>
  <c r="I1023" i="14" s="1"/>
  <c r="H1023" i="1" a="1"/>
  <c r="H1023" i="1" s="1"/>
  <c r="J1023" i="14" s="1"/>
  <c r="L1023" i="1" a="1"/>
  <c r="L1023" i="1" s="1"/>
  <c r="Q1023" i="1" a="1"/>
  <c r="Q1023" i="1" s="1"/>
  <c r="S1023" i="14" s="1"/>
  <c r="C1024" i="1" a="1"/>
  <c r="C1024" i="1" s="1"/>
  <c r="E1024" i="14" s="1"/>
  <c r="F1024" i="1" a="1"/>
  <c r="F1024" i="1" s="1"/>
  <c r="R1024" i="14" s="1"/>
  <c r="M1024" i="1" a="1"/>
  <c r="M1024" i="1" s="1"/>
  <c r="Q1024" i="1" a="1"/>
  <c r="Q1024" i="1" s="1"/>
  <c r="S1024" i="14" s="1"/>
  <c r="D1025" i="1" a="1"/>
  <c r="D1025" i="1" s="1"/>
  <c r="I1025" i="14" s="1"/>
  <c r="H1025" i="1" a="1"/>
  <c r="H1025" i="1" s="1"/>
  <c r="J1025" i="14" s="1"/>
  <c r="L1025" i="1" a="1"/>
  <c r="L1025" i="1" s="1"/>
  <c r="Q1025" i="1" a="1"/>
  <c r="Q1025" i="1" s="1"/>
  <c r="S1025" i="14" s="1"/>
  <c r="D1026" i="1" a="1"/>
  <c r="D1026" i="1" s="1"/>
  <c r="I1026" i="14" s="1"/>
  <c r="H1026" i="1" a="1"/>
  <c r="H1026" i="1" s="1"/>
  <c r="J1026" i="14" s="1"/>
  <c r="L1026" i="1" a="1"/>
  <c r="L1026" i="1" s="1"/>
  <c r="Q1026" i="1" a="1"/>
  <c r="Q1026" i="1" s="1"/>
  <c r="S1026" i="14" s="1"/>
  <c r="M796" i="1" a="1"/>
  <c r="M796" i="1" s="1"/>
  <c r="Q798" i="1" a="1"/>
  <c r="Q798" i="1" s="1"/>
  <c r="S798" i="14" s="1"/>
  <c r="P799" i="1" a="1"/>
  <c r="P799" i="1" s="1"/>
  <c r="P800" i="1" a="1"/>
  <c r="P800" i="1" s="1"/>
  <c r="O801" i="1"/>
  <c r="M801" i="14" s="1"/>
  <c r="F802" i="1" a="1"/>
  <c r="F802" i="1" s="1"/>
  <c r="R802" i="14" s="1"/>
  <c r="H803" i="1" a="1"/>
  <c r="H803" i="1" s="1"/>
  <c r="J803" i="14" s="1"/>
  <c r="G805" i="1" a="1"/>
  <c r="G805" i="1" s="1"/>
  <c r="Q807" i="1" a="1"/>
  <c r="Q807" i="1" s="1"/>
  <c r="S807" i="14" s="1"/>
  <c r="P808" i="1" a="1"/>
  <c r="P808" i="1" s="1"/>
  <c r="P809" i="1" a="1"/>
  <c r="P809" i="1" s="1"/>
  <c r="P810" i="1" a="1"/>
  <c r="P810" i="1" s="1"/>
  <c r="P811" i="1" a="1"/>
  <c r="P811" i="1" s="1"/>
  <c r="P812" i="1" a="1"/>
  <c r="P812" i="1" s="1"/>
  <c r="P813" i="1" a="1"/>
  <c r="P813" i="1" s="1"/>
  <c r="O814" i="1"/>
  <c r="M814" i="14" s="1"/>
  <c r="G817" i="1" a="1"/>
  <c r="G817" i="1" s="1"/>
  <c r="J819" i="1" a="1"/>
  <c r="J819" i="1" s="1"/>
  <c r="O820" i="1"/>
  <c r="M820" i="14" s="1"/>
  <c r="F821" i="1" a="1"/>
  <c r="F821" i="1" s="1"/>
  <c r="R821" i="14" s="1"/>
  <c r="Q823" i="1" a="1"/>
  <c r="Q823" i="1" s="1"/>
  <c r="S823" i="14" s="1"/>
  <c r="Q824" i="1" a="1"/>
  <c r="Q824" i="1" s="1"/>
  <c r="S824" i="14" s="1"/>
  <c r="M825" i="1" a="1"/>
  <c r="M825" i="1" s="1"/>
  <c r="H826" i="1" a="1"/>
  <c r="H826" i="1" s="1"/>
  <c r="J826" i="14" s="1"/>
  <c r="H827" i="1" a="1"/>
  <c r="H827" i="1" s="1"/>
  <c r="J827" i="14" s="1"/>
  <c r="G828" i="1" a="1"/>
  <c r="G828" i="1" s="1"/>
  <c r="G829" i="1" a="1"/>
  <c r="G829" i="1" s="1"/>
  <c r="Q831" i="1" a="1"/>
  <c r="Q831" i="1" s="1"/>
  <c r="S831" i="14" s="1"/>
  <c r="P832" i="1" a="1"/>
  <c r="P832" i="1" s="1"/>
  <c r="P833" i="1" a="1"/>
  <c r="P833" i="1" s="1"/>
  <c r="O834" i="1"/>
  <c r="M834" i="14" s="1"/>
  <c r="F835" i="1" a="1"/>
  <c r="F835" i="1" s="1"/>
  <c r="R835" i="14" s="1"/>
  <c r="M836" i="1" a="1"/>
  <c r="M836" i="1" s="1"/>
  <c r="J839" i="1" a="1"/>
  <c r="J839" i="1" s="1"/>
  <c r="M841" i="1" a="1"/>
  <c r="M841" i="1" s="1"/>
  <c r="M843" i="1" a="1"/>
  <c r="M843" i="1" s="1"/>
  <c r="D844" i="1" a="1"/>
  <c r="D844" i="1" s="1"/>
  <c r="I844" i="14" s="1"/>
  <c r="L844" i="1" a="1"/>
  <c r="L844" i="1" s="1"/>
  <c r="H846" i="1" a="1"/>
  <c r="H846" i="1" s="1"/>
  <c r="J846" i="14" s="1"/>
  <c r="L846" i="1" a="1"/>
  <c r="L846" i="1" s="1"/>
  <c r="G847" i="1" a="1"/>
  <c r="G847" i="1" s="1"/>
  <c r="L847" i="1" a="1"/>
  <c r="L847" i="1" s="1"/>
  <c r="O848" i="1"/>
  <c r="M848" i="14" s="1"/>
  <c r="F849" i="1" a="1"/>
  <c r="F849" i="1" s="1"/>
  <c r="R849" i="14" s="1"/>
  <c r="K849" i="1" a="1"/>
  <c r="K849" i="1" s="1"/>
  <c r="Q849" i="1" a="1"/>
  <c r="Q849" i="1" s="1"/>
  <c r="S849" i="14" s="1"/>
  <c r="D850" i="1" a="1"/>
  <c r="D850" i="1" s="1"/>
  <c r="I850" i="14" s="1"/>
  <c r="P850" i="1" a="1"/>
  <c r="P850" i="1" s="1"/>
  <c r="C851" i="1" a="1"/>
  <c r="C851" i="1" s="1"/>
  <c r="E851" i="14" s="1"/>
  <c r="H851" i="1" a="1"/>
  <c r="H851" i="1" s="1"/>
  <c r="J851" i="14" s="1"/>
  <c r="M851" i="1" a="1"/>
  <c r="M851" i="1" s="1"/>
  <c r="G852" i="1" a="1"/>
  <c r="G852" i="1" s="1"/>
  <c r="L852" i="1" a="1"/>
  <c r="L852" i="1" s="1"/>
  <c r="K853" i="1" a="1"/>
  <c r="K853" i="1" s="1"/>
  <c r="Q853" i="1" a="1"/>
  <c r="Q853" i="1" s="1"/>
  <c r="S853" i="14" s="1"/>
  <c r="D854" i="1" a="1"/>
  <c r="D854" i="1" s="1"/>
  <c r="I854" i="14" s="1"/>
  <c r="P854" i="1" a="1"/>
  <c r="P854" i="1" s="1"/>
  <c r="C855" i="1" a="1"/>
  <c r="C855" i="1" s="1"/>
  <c r="E855" i="14" s="1"/>
  <c r="F855" i="1" a="1"/>
  <c r="F855" i="1" s="1"/>
  <c r="R855" i="14" s="1"/>
  <c r="J855" i="1" a="1"/>
  <c r="J855" i="1" s="1"/>
  <c r="O855" i="1"/>
  <c r="M855" i="14" s="1"/>
  <c r="C856" i="1" a="1"/>
  <c r="C856" i="1" s="1"/>
  <c r="E856" i="14" s="1"/>
  <c r="O856" i="1"/>
  <c r="M856" i="14" s="1"/>
  <c r="H857" i="1" a="1"/>
  <c r="H857" i="1" s="1"/>
  <c r="J857" i="14" s="1"/>
  <c r="M857" i="1" a="1"/>
  <c r="M857" i="1" s="1"/>
  <c r="H858" i="1" a="1"/>
  <c r="H858" i="1" s="1"/>
  <c r="J858" i="14" s="1"/>
  <c r="M858" i="1" a="1"/>
  <c r="M858" i="1" s="1"/>
  <c r="H859" i="1" a="1"/>
  <c r="H859" i="1" s="1"/>
  <c r="J859" i="14" s="1"/>
  <c r="M859" i="1" a="1"/>
  <c r="M859" i="1" s="1"/>
  <c r="K860" i="1" a="1"/>
  <c r="K860" i="1" s="1"/>
  <c r="Q860" i="1" a="1"/>
  <c r="Q860" i="1" s="1"/>
  <c r="S860" i="14" s="1"/>
  <c r="D861" i="1" a="1"/>
  <c r="D861" i="1" s="1"/>
  <c r="I861" i="14" s="1"/>
  <c r="Q861" i="1" a="1"/>
  <c r="Q861" i="1" s="1"/>
  <c r="S861" i="14" s="1"/>
  <c r="D862" i="1" a="1"/>
  <c r="D862" i="1" s="1"/>
  <c r="I862" i="14" s="1"/>
  <c r="H862" i="1" a="1"/>
  <c r="H862" i="1" s="1"/>
  <c r="J862" i="14" s="1"/>
  <c r="L862" i="1" a="1"/>
  <c r="L862" i="1" s="1"/>
  <c r="Q862" i="1" a="1"/>
  <c r="Q862" i="1" s="1"/>
  <c r="S862" i="14" s="1"/>
  <c r="D863" i="1" a="1"/>
  <c r="D863" i="1" s="1"/>
  <c r="I863" i="14" s="1"/>
  <c r="G863" i="1" a="1"/>
  <c r="G863" i="1" s="1"/>
  <c r="K863" i="1" a="1"/>
  <c r="K863" i="1" s="1"/>
  <c r="O863" i="1"/>
  <c r="M863" i="14" s="1"/>
  <c r="F864" i="1" a="1"/>
  <c r="F864" i="1" s="1"/>
  <c r="R864" i="14" s="1"/>
  <c r="M864" i="1" a="1"/>
  <c r="M864" i="1" s="1"/>
  <c r="M865" i="1" a="1"/>
  <c r="M865" i="1" s="1"/>
  <c r="M866" i="1" a="1"/>
  <c r="M866" i="1" s="1"/>
  <c r="M867" i="1" a="1"/>
  <c r="M867" i="1" s="1"/>
  <c r="M868" i="1" a="1"/>
  <c r="M868" i="1" s="1"/>
  <c r="Q869" i="1" a="1"/>
  <c r="Q869" i="1" s="1"/>
  <c r="S869" i="14" s="1"/>
  <c r="D870" i="1" a="1"/>
  <c r="D870" i="1" s="1"/>
  <c r="I870" i="14" s="1"/>
  <c r="H870" i="1" a="1"/>
  <c r="H870" i="1" s="1"/>
  <c r="J870" i="14" s="1"/>
  <c r="K870" i="1" a="1"/>
  <c r="K870" i="1" s="1"/>
  <c r="P870" i="1" a="1"/>
  <c r="P870" i="1" s="1"/>
  <c r="F871" i="1" a="1"/>
  <c r="F871" i="1" s="1"/>
  <c r="R871" i="14" s="1"/>
  <c r="J871" i="1" a="1"/>
  <c r="J871" i="1" s="1"/>
  <c r="O871" i="1"/>
  <c r="M871" i="14" s="1"/>
  <c r="F872" i="1" a="1"/>
  <c r="F872" i="1" s="1"/>
  <c r="R872" i="14" s="1"/>
  <c r="M872" i="1" a="1"/>
  <c r="M872" i="1" s="1"/>
  <c r="M873" i="1" a="1"/>
  <c r="M873" i="1" s="1"/>
  <c r="M874" i="1" a="1"/>
  <c r="M874" i="1" s="1"/>
  <c r="M875" i="1" a="1"/>
  <c r="M875" i="1" s="1"/>
  <c r="M876" i="1" a="1"/>
  <c r="M876" i="1" s="1"/>
  <c r="M877" i="1" a="1"/>
  <c r="M877" i="1" s="1"/>
  <c r="M878" i="1" a="1"/>
  <c r="M878" i="1" s="1"/>
  <c r="H879" i="1" a="1"/>
  <c r="H879" i="1" s="1"/>
  <c r="J879" i="14" s="1"/>
  <c r="P879" i="1" a="1"/>
  <c r="P879" i="1" s="1"/>
  <c r="C880" i="1" a="1"/>
  <c r="C880" i="1" s="1"/>
  <c r="E880" i="14" s="1"/>
  <c r="G880" i="1" a="1"/>
  <c r="G880" i="1" s="1"/>
  <c r="K880" i="1" a="1"/>
  <c r="K880" i="1" s="1"/>
  <c r="P880" i="1" a="1"/>
  <c r="P880" i="1" s="1"/>
  <c r="M881" i="1" a="1"/>
  <c r="M881" i="1" s="1"/>
  <c r="H882" i="1" a="1"/>
  <c r="H882" i="1" s="1"/>
  <c r="J882" i="14" s="1"/>
  <c r="L882" i="1" a="1"/>
  <c r="L882" i="1" s="1"/>
  <c r="Q882" i="1" a="1"/>
  <c r="Q882" i="1" s="1"/>
  <c r="S882" i="14" s="1"/>
  <c r="D883" i="1" a="1"/>
  <c r="D883" i="1" s="1"/>
  <c r="I883" i="14" s="1"/>
  <c r="H883" i="1" a="1"/>
  <c r="H883" i="1" s="1"/>
  <c r="J883" i="14" s="1"/>
  <c r="L883" i="1" a="1"/>
  <c r="L883" i="1" s="1"/>
  <c r="P883" i="1" a="1"/>
  <c r="P883" i="1" s="1"/>
  <c r="C884" i="1" a="1"/>
  <c r="C884" i="1" s="1"/>
  <c r="E884" i="14" s="1"/>
  <c r="G884" i="1" a="1"/>
  <c r="G884" i="1" s="1"/>
  <c r="K884" i="1" a="1"/>
  <c r="K884" i="1" s="1"/>
  <c r="P884" i="1" a="1"/>
  <c r="P884" i="1" s="1"/>
  <c r="L885" i="1" a="1"/>
  <c r="L885" i="1" s="1"/>
  <c r="Q885" i="1" a="1"/>
  <c r="Q885" i="1" s="1"/>
  <c r="S885" i="14" s="1"/>
  <c r="D886" i="1" a="1"/>
  <c r="D886" i="1" s="1"/>
  <c r="I886" i="14" s="1"/>
  <c r="H886" i="1" a="1"/>
  <c r="H886" i="1" s="1"/>
  <c r="J886" i="14" s="1"/>
  <c r="K886" i="1" a="1"/>
  <c r="K886" i="1" s="1"/>
  <c r="P886" i="1" a="1"/>
  <c r="P886" i="1" s="1"/>
  <c r="F887" i="1" a="1"/>
  <c r="F887" i="1" s="1"/>
  <c r="R887" i="14" s="1"/>
  <c r="J887" i="1" a="1"/>
  <c r="J887" i="1" s="1"/>
  <c r="O887" i="1"/>
  <c r="M887" i="14" s="1"/>
  <c r="F888" i="1" a="1"/>
  <c r="F888" i="1" s="1"/>
  <c r="R888" i="14" s="1"/>
  <c r="M888" i="1" a="1"/>
  <c r="M888" i="1" s="1"/>
  <c r="M889" i="1" a="1"/>
  <c r="M889" i="1" s="1"/>
  <c r="H890" i="1" a="1"/>
  <c r="H890" i="1" s="1"/>
  <c r="J890" i="14" s="1"/>
  <c r="K890" i="1" a="1"/>
  <c r="K890" i="1" s="1"/>
  <c r="P890" i="1" a="1"/>
  <c r="P890" i="1" s="1"/>
  <c r="F891" i="1" a="1"/>
  <c r="F891" i="1" s="1"/>
  <c r="R891" i="14" s="1"/>
  <c r="J891" i="1" a="1"/>
  <c r="J891" i="1" s="1"/>
  <c r="O891" i="1"/>
  <c r="M891" i="14" s="1"/>
  <c r="F892" i="1" a="1"/>
  <c r="F892" i="1" s="1"/>
  <c r="R892" i="14" s="1"/>
  <c r="M892" i="1" a="1"/>
  <c r="M892" i="1" s="1"/>
  <c r="Q893" i="1" a="1"/>
  <c r="Q893" i="1" s="1"/>
  <c r="S893" i="14" s="1"/>
  <c r="D894" i="1" a="1"/>
  <c r="D894" i="1" s="1"/>
  <c r="I894" i="14" s="1"/>
  <c r="H894" i="1" a="1"/>
  <c r="H894" i="1" s="1"/>
  <c r="J894" i="14" s="1"/>
  <c r="L894" i="1" a="1"/>
  <c r="L894" i="1" s="1"/>
  <c r="Q894" i="1" a="1"/>
  <c r="Q894" i="1" s="1"/>
  <c r="S894" i="14" s="1"/>
  <c r="D895" i="1" a="1"/>
  <c r="D895" i="1" s="1"/>
  <c r="I895" i="14" s="1"/>
  <c r="G895" i="1" a="1"/>
  <c r="G895" i="1" s="1"/>
  <c r="K895" i="1" a="1"/>
  <c r="K895" i="1" s="1"/>
  <c r="H896" i="1" a="1"/>
  <c r="H896" i="1" s="1"/>
  <c r="J896" i="14" s="1"/>
  <c r="L896" i="1" a="1"/>
  <c r="L896" i="1" s="1"/>
  <c r="Q896" i="1" a="1"/>
  <c r="Q896" i="1" s="1"/>
  <c r="S896" i="14" s="1"/>
  <c r="D897" i="1" a="1"/>
  <c r="D897" i="1" s="1"/>
  <c r="I897" i="14" s="1"/>
  <c r="H897" i="1" a="1"/>
  <c r="H897" i="1" s="1"/>
  <c r="J897" i="14" s="1"/>
  <c r="L897" i="1" a="1"/>
  <c r="L897" i="1" s="1"/>
  <c r="P897" i="1" a="1"/>
  <c r="P897" i="1" s="1"/>
  <c r="C898" i="1" a="1"/>
  <c r="C898" i="1" s="1"/>
  <c r="E898" i="14" s="1"/>
  <c r="G898" i="1" a="1"/>
  <c r="G898" i="1" s="1"/>
  <c r="K898" i="1" a="1"/>
  <c r="K898" i="1" s="1"/>
  <c r="P898" i="1" a="1"/>
  <c r="P898" i="1" s="1"/>
  <c r="C899" i="1" a="1"/>
  <c r="C899" i="1" s="1"/>
  <c r="E899" i="14" s="1"/>
  <c r="G899" i="1" a="1"/>
  <c r="G899" i="1" s="1"/>
  <c r="K899" i="1" a="1"/>
  <c r="K899" i="1" s="1"/>
  <c r="P899" i="1" a="1"/>
  <c r="P899" i="1" s="1"/>
  <c r="C900" i="1" a="1"/>
  <c r="C900" i="1" s="1"/>
  <c r="E900" i="14" s="1"/>
  <c r="G900" i="1" a="1"/>
  <c r="G900" i="1" s="1"/>
  <c r="K900" i="1" a="1"/>
  <c r="K900" i="1" s="1"/>
  <c r="P900" i="1" a="1"/>
  <c r="P900" i="1" s="1"/>
  <c r="M901" i="1" a="1"/>
  <c r="M901" i="1" s="1"/>
  <c r="L902" i="1" a="1"/>
  <c r="L902" i="1" s="1"/>
  <c r="C903" i="1" a="1"/>
  <c r="C903" i="1" s="1"/>
  <c r="E903" i="14" s="1"/>
  <c r="F903" i="1" a="1"/>
  <c r="F903" i="1" s="1"/>
  <c r="R903" i="14" s="1"/>
  <c r="J903" i="1" a="1"/>
  <c r="J903" i="1" s="1"/>
  <c r="M903" i="1" a="1"/>
  <c r="M903" i="1" s="1"/>
  <c r="M904" i="1" a="1"/>
  <c r="M904" i="1" s="1"/>
  <c r="M905" i="1" a="1"/>
  <c r="M905" i="1" s="1"/>
  <c r="L906" i="1" a="1"/>
  <c r="L906" i="1" s="1"/>
  <c r="C907" i="1" a="1"/>
  <c r="C907" i="1" s="1"/>
  <c r="E907" i="14" s="1"/>
  <c r="G907" i="1" a="1"/>
  <c r="G907" i="1" s="1"/>
  <c r="K907" i="1" a="1"/>
  <c r="K907" i="1" s="1"/>
  <c r="O907" i="1"/>
  <c r="M907" i="14" s="1"/>
  <c r="F908" i="1" a="1"/>
  <c r="F908" i="1" s="1"/>
  <c r="R908" i="14" s="1"/>
  <c r="M908" i="1" a="1"/>
  <c r="M908" i="1" s="1"/>
  <c r="M909" i="1" a="1"/>
  <c r="M909" i="1" s="1"/>
  <c r="M910" i="1" a="1"/>
  <c r="M910" i="1" s="1"/>
  <c r="M911" i="1" a="1"/>
  <c r="M911" i="1" s="1"/>
  <c r="H912" i="1" a="1"/>
  <c r="H912" i="1" s="1"/>
  <c r="J912" i="14" s="1"/>
  <c r="L912" i="1" a="1"/>
  <c r="L912" i="1" s="1"/>
  <c r="Q912" i="1" a="1"/>
  <c r="Q912" i="1" s="1"/>
  <c r="S912" i="14" s="1"/>
  <c r="C913" i="1" a="1"/>
  <c r="C913" i="1" s="1"/>
  <c r="E913" i="14" s="1"/>
  <c r="F913" i="1" a="1"/>
  <c r="F913" i="1" s="1"/>
  <c r="R913" i="14" s="1"/>
  <c r="J913" i="1" a="1"/>
  <c r="J913" i="1" s="1"/>
  <c r="M913" i="1" a="1"/>
  <c r="M913" i="1" s="1"/>
  <c r="M914" i="1" a="1"/>
  <c r="M914" i="1" s="1"/>
  <c r="H915" i="1" a="1"/>
  <c r="H915" i="1" s="1"/>
  <c r="J915" i="14" s="1"/>
  <c r="P915" i="1" a="1"/>
  <c r="P915" i="1" s="1"/>
  <c r="C916" i="1" a="1"/>
  <c r="C916" i="1" s="1"/>
  <c r="E916" i="14" s="1"/>
  <c r="G916" i="1" a="1"/>
  <c r="G916" i="1" s="1"/>
  <c r="K916" i="1" a="1"/>
  <c r="K916" i="1" s="1"/>
  <c r="P916" i="1" a="1"/>
  <c r="P916" i="1" s="1"/>
  <c r="C917" i="1" a="1"/>
  <c r="C917" i="1" s="1"/>
  <c r="E917" i="14" s="1"/>
  <c r="G917" i="1" a="1"/>
  <c r="G917" i="1" s="1"/>
  <c r="K917" i="1" a="1"/>
  <c r="K917" i="1" s="1"/>
  <c r="P917" i="1" a="1"/>
  <c r="P917" i="1" s="1"/>
  <c r="C918" i="1" a="1"/>
  <c r="C918" i="1" s="1"/>
  <c r="E918" i="14" s="1"/>
  <c r="G918" i="1" a="1"/>
  <c r="G918" i="1" s="1"/>
  <c r="J918" i="1" a="1"/>
  <c r="J918" i="1" s="1"/>
  <c r="O918" i="1"/>
  <c r="M918" i="14" s="1"/>
  <c r="H919" i="1" a="1"/>
  <c r="H919" i="1" s="1"/>
  <c r="J919" i="14" s="1"/>
  <c r="P919" i="1" a="1"/>
  <c r="P919" i="1" s="1"/>
  <c r="C920" i="1" a="1"/>
  <c r="C920" i="1" s="1"/>
  <c r="E920" i="14" s="1"/>
  <c r="G920" i="1" a="1"/>
  <c r="G920" i="1" s="1"/>
  <c r="K920" i="1" a="1"/>
  <c r="K920" i="1" s="1"/>
  <c r="P920" i="1" a="1"/>
  <c r="P920" i="1" s="1"/>
  <c r="F921" i="1" a="1"/>
  <c r="F921" i="1" s="1"/>
  <c r="R921" i="14" s="1"/>
  <c r="J921" i="1" a="1"/>
  <c r="J921" i="1" s="1"/>
  <c r="O921" i="1"/>
  <c r="M921" i="14" s="1"/>
  <c r="F922" i="1" a="1"/>
  <c r="F922" i="1" s="1"/>
  <c r="R922" i="14" s="1"/>
  <c r="M922" i="1" a="1"/>
  <c r="M922" i="1" s="1"/>
  <c r="M923" i="1" a="1"/>
  <c r="M923" i="1" s="1"/>
  <c r="H924" i="1" a="1"/>
  <c r="H924" i="1" s="1"/>
  <c r="J924" i="14" s="1"/>
  <c r="L924" i="1" a="1"/>
  <c r="L924" i="1" s="1"/>
  <c r="Q924" i="1" a="1"/>
  <c r="Q924" i="1" s="1"/>
  <c r="S924" i="14" s="1"/>
  <c r="D925" i="1" a="1"/>
  <c r="D925" i="1" s="1"/>
  <c r="I925" i="14" s="1"/>
  <c r="H925" i="1" a="1"/>
  <c r="H925" i="1" s="1"/>
  <c r="J925" i="14" s="1"/>
  <c r="L925" i="1" a="1"/>
  <c r="L925" i="1" s="1"/>
  <c r="Q925" i="1" a="1"/>
  <c r="Q925" i="1" s="1"/>
  <c r="S925" i="14" s="1"/>
  <c r="D926" i="1" a="1"/>
  <c r="D926" i="1" s="1"/>
  <c r="I926" i="14" s="1"/>
  <c r="H926" i="1" a="1"/>
  <c r="H926" i="1" s="1"/>
  <c r="J926" i="14" s="1"/>
  <c r="K926" i="1" a="1"/>
  <c r="K926" i="1" s="1"/>
  <c r="P926" i="1" a="1"/>
  <c r="P926" i="1" s="1"/>
  <c r="L927" i="1" a="1"/>
  <c r="L927" i="1" s="1"/>
  <c r="Q927" i="1" a="1"/>
  <c r="Q927" i="1" s="1"/>
  <c r="S927" i="14" s="1"/>
  <c r="D928" i="1" a="1"/>
  <c r="D928" i="1" s="1"/>
  <c r="I928" i="14" s="1"/>
  <c r="H928" i="1" a="1"/>
  <c r="H928" i="1" s="1"/>
  <c r="J928" i="14" s="1"/>
  <c r="L928" i="1" a="1"/>
  <c r="L928" i="1" s="1"/>
  <c r="Q928" i="1" a="1"/>
  <c r="Q928" i="1" s="1"/>
  <c r="S928" i="14" s="1"/>
  <c r="C929" i="1" a="1"/>
  <c r="C929" i="1" s="1"/>
  <c r="E929" i="14" s="1"/>
  <c r="F929" i="1" a="1"/>
  <c r="F929" i="1" s="1"/>
  <c r="R929" i="14" s="1"/>
  <c r="J929" i="1" a="1"/>
  <c r="J929" i="1" s="1"/>
  <c r="M929" i="1" a="1"/>
  <c r="M929" i="1" s="1"/>
  <c r="M930" i="1" a="1"/>
  <c r="M930" i="1" s="1"/>
  <c r="M931" i="1" a="1"/>
  <c r="M931" i="1" s="1"/>
  <c r="M932" i="1" a="1"/>
  <c r="M932" i="1" s="1"/>
  <c r="M933" i="1" a="1"/>
  <c r="M933" i="1" s="1"/>
  <c r="L934" i="1" a="1"/>
  <c r="L934" i="1" s="1"/>
  <c r="C935" i="1" a="1"/>
  <c r="C935" i="1" s="1"/>
  <c r="E935" i="14" s="1"/>
  <c r="F935" i="1" a="1"/>
  <c r="F935" i="1" s="1"/>
  <c r="R935" i="14" s="1"/>
  <c r="J935" i="1" a="1"/>
  <c r="J935" i="1" s="1"/>
  <c r="M935" i="1" a="1"/>
  <c r="M935" i="1" s="1"/>
  <c r="M936" i="1" a="1"/>
  <c r="M936" i="1" s="1"/>
  <c r="M937" i="1" a="1"/>
  <c r="M937" i="1" s="1"/>
  <c r="M938" i="1" a="1"/>
  <c r="M938" i="1" s="1"/>
  <c r="M939" i="1" a="1"/>
  <c r="M939" i="1" s="1"/>
  <c r="H940" i="1" a="1"/>
  <c r="H940" i="1" s="1"/>
  <c r="J940" i="14" s="1"/>
  <c r="L940" i="1" a="1"/>
  <c r="L940" i="1" s="1"/>
  <c r="Q940" i="1" a="1"/>
  <c r="Q940" i="1" s="1"/>
  <c r="S940" i="14" s="1"/>
  <c r="D941" i="1" a="1"/>
  <c r="D941" i="1" s="1"/>
  <c r="I941" i="14" s="1"/>
  <c r="H941" i="1" a="1"/>
  <c r="H941" i="1" s="1"/>
  <c r="J941" i="14" s="1"/>
  <c r="L941" i="1" a="1"/>
  <c r="L941" i="1" s="1"/>
  <c r="Q941" i="1" a="1"/>
  <c r="Q941" i="1" s="1"/>
  <c r="S941" i="14" s="1"/>
  <c r="D942" i="1" a="1"/>
  <c r="D942" i="1" s="1"/>
  <c r="I942" i="14" s="1"/>
  <c r="G942" i="1" a="1"/>
  <c r="G942" i="1" s="1"/>
  <c r="K942" i="1" a="1"/>
  <c r="K942" i="1" s="1"/>
  <c r="P942" i="1" a="1"/>
  <c r="P942" i="1" s="1"/>
  <c r="C943" i="1" a="1"/>
  <c r="C943" i="1" s="1"/>
  <c r="E943" i="14" s="1"/>
  <c r="F943" i="1" a="1"/>
  <c r="F943" i="1" s="1"/>
  <c r="R943" i="14" s="1"/>
  <c r="J943" i="1" a="1"/>
  <c r="J943" i="1" s="1"/>
  <c r="M943" i="1" a="1"/>
  <c r="M943" i="1" s="1"/>
  <c r="M944" i="1" a="1"/>
  <c r="M944" i="1" s="1"/>
  <c r="Q945" i="1" a="1"/>
  <c r="Q945" i="1" s="1"/>
  <c r="S945" i="14" s="1"/>
  <c r="D946" i="1" a="1"/>
  <c r="D946" i="1" s="1"/>
  <c r="I946" i="14" s="1"/>
  <c r="H946" i="1" a="1"/>
  <c r="H946" i="1" s="1"/>
  <c r="J946" i="14" s="1"/>
  <c r="L946" i="1" a="1"/>
  <c r="L946" i="1" s="1"/>
  <c r="Q946" i="1" a="1"/>
  <c r="Q946" i="1" s="1"/>
  <c r="S946" i="14" s="1"/>
  <c r="D947" i="1" a="1"/>
  <c r="D947" i="1" s="1"/>
  <c r="I947" i="14" s="1"/>
  <c r="H947" i="1" a="1"/>
  <c r="H947" i="1" s="1"/>
  <c r="J947" i="14" s="1"/>
  <c r="L947" i="1" a="1"/>
  <c r="L947" i="1" s="1"/>
  <c r="Q947" i="1" a="1"/>
  <c r="Q947" i="1" s="1"/>
  <c r="S947" i="14" s="1"/>
  <c r="D948" i="1" a="1"/>
  <c r="D948" i="1" s="1"/>
  <c r="I948" i="14" s="1"/>
  <c r="H948" i="1" a="1"/>
  <c r="H948" i="1" s="1"/>
  <c r="J948" i="14" s="1"/>
  <c r="L948" i="1" a="1"/>
  <c r="L948" i="1" s="1"/>
  <c r="Q948" i="1" a="1"/>
  <c r="Q948" i="1" s="1"/>
  <c r="S948" i="14" s="1"/>
  <c r="D949" i="1" a="1"/>
  <c r="D949" i="1" s="1"/>
  <c r="I949" i="14" s="1"/>
  <c r="H949" i="1" a="1"/>
  <c r="H949" i="1" s="1"/>
  <c r="J949" i="14" s="1"/>
  <c r="L949" i="1" a="1"/>
  <c r="L949" i="1" s="1"/>
  <c r="Q949" i="1" a="1"/>
  <c r="Q949" i="1" s="1"/>
  <c r="S949" i="14" s="1"/>
  <c r="D950" i="1" a="1"/>
  <c r="D950" i="1" s="1"/>
  <c r="I950" i="14" s="1"/>
  <c r="H950" i="1" a="1"/>
  <c r="H950" i="1" s="1"/>
  <c r="J950" i="14" s="1"/>
  <c r="K950" i="1" a="1"/>
  <c r="K950" i="1" s="1"/>
  <c r="L950" i="14" s="1"/>
  <c r="O950" i="1"/>
  <c r="M950" i="14" s="1"/>
  <c r="F951" i="1" a="1"/>
  <c r="F951" i="1" s="1"/>
  <c r="R951" i="14" s="1"/>
  <c r="J951" i="1" a="1"/>
  <c r="J951" i="1" s="1"/>
  <c r="M951" i="1" a="1"/>
  <c r="M951" i="1" s="1"/>
  <c r="M952" i="1" a="1"/>
  <c r="M952" i="1" s="1"/>
  <c r="M953" i="1" a="1"/>
  <c r="M953" i="1" s="1"/>
  <c r="L954" i="1" a="1"/>
  <c r="L954" i="1" s="1"/>
  <c r="Q954" i="1" a="1"/>
  <c r="Q954" i="1" s="1"/>
  <c r="S954" i="14" s="1"/>
  <c r="D955" i="1" a="1"/>
  <c r="D955" i="1" s="1"/>
  <c r="I955" i="14" s="1"/>
  <c r="H955" i="1" a="1"/>
  <c r="H955" i="1" s="1"/>
  <c r="J955" i="14" s="1"/>
  <c r="L955" i="1" a="1"/>
  <c r="L955" i="1" s="1"/>
  <c r="Q955" i="1" a="1"/>
  <c r="Q955" i="1" s="1"/>
  <c r="S955" i="14" s="1"/>
  <c r="D956" i="1" a="1"/>
  <c r="D956" i="1" s="1"/>
  <c r="I956" i="14" s="1"/>
  <c r="H956" i="1" a="1"/>
  <c r="H956" i="1" s="1"/>
  <c r="J956" i="14" s="1"/>
  <c r="L956" i="1" a="1"/>
  <c r="L956" i="1" s="1"/>
  <c r="Q956" i="1" a="1"/>
  <c r="Q956" i="1" s="1"/>
  <c r="S956" i="14" s="1"/>
  <c r="D957" i="1" a="1"/>
  <c r="D957" i="1" s="1"/>
  <c r="I957" i="14" s="1"/>
  <c r="K957" i="1" a="1"/>
  <c r="K957" i="1" s="1"/>
  <c r="P957" i="1" a="1"/>
  <c r="P957" i="1" s="1"/>
  <c r="F958" i="1" a="1"/>
  <c r="F958" i="1" s="1"/>
  <c r="R958" i="14" s="1"/>
  <c r="J958" i="1" a="1"/>
  <c r="J958" i="1" s="1"/>
  <c r="M958" i="1" a="1"/>
  <c r="M958" i="1" s="1"/>
  <c r="L959" i="1" a="1"/>
  <c r="L959" i="1" s="1"/>
  <c r="Q959" i="1" a="1"/>
  <c r="Q959" i="1" s="1"/>
  <c r="S959" i="14" s="1"/>
  <c r="D960" i="1" a="1"/>
  <c r="D960" i="1" s="1"/>
  <c r="I960" i="14" s="1"/>
  <c r="H960" i="1" a="1"/>
  <c r="H960" i="1" s="1"/>
  <c r="J960" i="14" s="1"/>
  <c r="K960" i="1" a="1"/>
  <c r="K960" i="1" s="1"/>
  <c r="O960" i="1"/>
  <c r="M960" i="14" s="1"/>
  <c r="P961" i="1" a="1"/>
  <c r="P961" i="1" s="1"/>
  <c r="C962" i="1" a="1"/>
  <c r="C962" i="1" s="1"/>
  <c r="E962" i="14" s="1"/>
  <c r="G962" i="1" a="1"/>
  <c r="G962" i="1" s="1"/>
  <c r="K962" i="1" a="1"/>
  <c r="K962" i="1" s="1"/>
  <c r="P962" i="1" a="1"/>
  <c r="P962" i="1" s="1"/>
  <c r="C963" i="1" a="1"/>
  <c r="C963" i="1" s="1"/>
  <c r="E963" i="14" s="1"/>
  <c r="G963" i="1" a="1"/>
  <c r="G963" i="1" s="1"/>
  <c r="K963" i="1" a="1"/>
  <c r="K963" i="1" s="1"/>
  <c r="P963" i="1" a="1"/>
  <c r="P963" i="1" s="1"/>
  <c r="C964" i="1" a="1"/>
  <c r="C964" i="1" s="1"/>
  <c r="E964" i="14" s="1"/>
  <c r="G964" i="1" a="1"/>
  <c r="G964" i="1" s="1"/>
  <c r="J964" i="1" a="1"/>
  <c r="J964" i="1" s="1"/>
  <c r="M964" i="1" a="1"/>
  <c r="M964" i="1" s="1"/>
  <c r="Q964" i="1" a="1"/>
  <c r="Q964" i="1" s="1"/>
  <c r="S964" i="14" s="1"/>
  <c r="D965" i="1" a="1"/>
  <c r="D965" i="1" s="1"/>
  <c r="I965" i="14" s="1"/>
  <c r="H965" i="1" a="1"/>
  <c r="H965" i="1" s="1"/>
  <c r="J965" i="14" s="1"/>
  <c r="K965" i="1" a="1"/>
  <c r="K965" i="1" s="1"/>
  <c r="O965" i="1"/>
  <c r="M965" i="14" s="1"/>
  <c r="F966" i="1" a="1"/>
  <c r="F966" i="1" s="1"/>
  <c r="R966" i="14" s="1"/>
  <c r="J966" i="1" a="1"/>
  <c r="J966" i="1" s="1"/>
  <c r="G967" i="1" a="1"/>
  <c r="G967" i="1" s="1"/>
  <c r="K967" i="1" a="1"/>
  <c r="K967" i="1" s="1"/>
  <c r="O967" i="1"/>
  <c r="M967" i="14" s="1"/>
  <c r="F968" i="1" a="1"/>
  <c r="F968" i="1" s="1"/>
  <c r="R968" i="14" s="1"/>
  <c r="J968" i="1" a="1"/>
  <c r="J968" i="1" s="1"/>
  <c r="M968" i="1" a="1"/>
  <c r="M968" i="1" s="1"/>
  <c r="Q968" i="1" a="1"/>
  <c r="Q968" i="1" s="1"/>
  <c r="S968" i="14" s="1"/>
  <c r="D969" i="1" a="1"/>
  <c r="D969" i="1" s="1"/>
  <c r="I969" i="14" s="1"/>
  <c r="G969" i="1" a="1"/>
  <c r="G969" i="1" s="1"/>
  <c r="K969" i="1" a="1"/>
  <c r="K969" i="1" s="1"/>
  <c r="P969" i="1" a="1"/>
  <c r="P969" i="1" s="1"/>
  <c r="H970" i="1" a="1"/>
  <c r="H970" i="1" s="1"/>
  <c r="J970" i="14" s="1"/>
  <c r="L970" i="1" a="1"/>
  <c r="L970" i="1" s="1"/>
  <c r="Q970" i="1" a="1"/>
  <c r="Q970" i="1" s="1"/>
  <c r="S970" i="14" s="1"/>
  <c r="D971" i="1" a="1"/>
  <c r="D971" i="1" s="1"/>
  <c r="I971" i="14" s="1"/>
  <c r="H971" i="1" a="1"/>
  <c r="H971" i="1" s="1"/>
  <c r="J971" i="14" s="1"/>
  <c r="L971" i="1" a="1"/>
  <c r="L971" i="1" s="1"/>
  <c r="P971" i="1" a="1"/>
  <c r="P971" i="1" s="1"/>
  <c r="C972" i="1" a="1"/>
  <c r="C972" i="1" s="1"/>
  <c r="E972" i="14" s="1"/>
  <c r="G972" i="1" a="1"/>
  <c r="G972" i="1" s="1"/>
  <c r="K972" i="1" a="1"/>
  <c r="K972" i="1" s="1"/>
  <c r="O972" i="1"/>
  <c r="M972" i="14" s="1"/>
  <c r="H973" i="1" a="1"/>
  <c r="H973" i="1" s="1"/>
  <c r="J973" i="14" s="1"/>
  <c r="L973" i="1" a="1"/>
  <c r="L973" i="1" s="1"/>
  <c r="C974" i="1" a="1"/>
  <c r="C974" i="1" s="1"/>
  <c r="E974" i="14" s="1"/>
  <c r="F974" i="1" a="1"/>
  <c r="F974" i="1" s="1"/>
  <c r="R974" i="14" s="1"/>
  <c r="M974" i="1" a="1"/>
  <c r="M974" i="1" s="1"/>
  <c r="M975" i="1" a="1"/>
  <c r="M975" i="1" s="1"/>
  <c r="L976" i="1" a="1"/>
  <c r="L976" i="1" s="1"/>
  <c r="Q976" i="1" a="1"/>
  <c r="Q976" i="1" s="1"/>
  <c r="S976" i="14" s="1"/>
  <c r="D977" i="1" a="1"/>
  <c r="D977" i="1" s="1"/>
  <c r="I977" i="14" s="1"/>
  <c r="H977" i="1" a="1"/>
  <c r="H977" i="1" s="1"/>
  <c r="J977" i="14" s="1"/>
  <c r="K977" i="1" a="1"/>
  <c r="K977" i="1" s="1"/>
  <c r="O977" i="1"/>
  <c r="M977" i="14" s="1"/>
  <c r="F978" i="1" a="1"/>
  <c r="F978" i="1" s="1"/>
  <c r="R978" i="14" s="1"/>
  <c r="J978" i="1" a="1"/>
  <c r="J978" i="1" s="1"/>
  <c r="G979" i="1" a="1"/>
  <c r="G979" i="1" s="1"/>
  <c r="K979" i="1" a="1"/>
  <c r="K979" i="1" s="1"/>
  <c r="O979" i="1"/>
  <c r="M979" i="14" s="1"/>
  <c r="F980" i="1" a="1"/>
  <c r="F980" i="1" s="1"/>
  <c r="R980" i="14" s="1"/>
  <c r="J980" i="1" a="1"/>
  <c r="J980" i="1" s="1"/>
  <c r="M980" i="1" a="1"/>
  <c r="M980" i="1" s="1"/>
  <c r="Q980" i="1" a="1"/>
  <c r="Q980" i="1" s="1"/>
  <c r="S980" i="14" s="1"/>
  <c r="D981" i="1" a="1"/>
  <c r="D981" i="1" s="1"/>
  <c r="I981" i="14" s="1"/>
  <c r="G981" i="1" a="1"/>
  <c r="G981" i="1" s="1"/>
  <c r="K981" i="1" a="1"/>
  <c r="K981" i="1" s="1"/>
  <c r="P981" i="1" a="1"/>
  <c r="P981" i="1" s="1"/>
  <c r="M982" i="1" a="1"/>
  <c r="M982" i="1" s="1"/>
  <c r="Q982" i="1" a="1"/>
  <c r="Q982" i="1" s="1"/>
  <c r="S982" i="14" s="1"/>
  <c r="C983" i="1" a="1"/>
  <c r="C983" i="1" s="1"/>
  <c r="E983" i="14" s="1"/>
  <c r="F983" i="1" a="1"/>
  <c r="F983" i="1" s="1"/>
  <c r="R983" i="14" s="1"/>
  <c r="H983" i="1" a="1"/>
  <c r="H983" i="1" s="1"/>
  <c r="J983" i="14" s="1"/>
  <c r="K983" i="1" a="1"/>
  <c r="K983" i="1" s="1"/>
  <c r="P983" i="1" a="1"/>
  <c r="P983" i="1" s="1"/>
  <c r="C984" i="1" a="1"/>
  <c r="C984" i="1" s="1"/>
  <c r="E984" i="14" s="1"/>
  <c r="G984" i="1" a="1"/>
  <c r="G984" i="1" s="1"/>
  <c r="O984" i="1"/>
  <c r="M984" i="14" s="1"/>
  <c r="F985" i="1" a="1"/>
  <c r="F985" i="1" s="1"/>
  <c r="R985" i="14" s="1"/>
  <c r="J985" i="1" a="1"/>
  <c r="J985" i="1" s="1"/>
  <c r="O985" i="1"/>
  <c r="M985" i="14" s="1"/>
  <c r="F986" i="1" a="1"/>
  <c r="F986" i="1" s="1"/>
  <c r="R986" i="14" s="1"/>
  <c r="J986" i="1" a="1"/>
  <c r="J986" i="1" s="1"/>
  <c r="G987" i="1" a="1"/>
  <c r="G987" i="1" s="1"/>
  <c r="K987" i="1" a="1"/>
  <c r="K987" i="1" s="1"/>
  <c r="P987" i="1" a="1"/>
  <c r="P987" i="1" s="1"/>
  <c r="C988" i="1" a="1"/>
  <c r="C988" i="1" s="1"/>
  <c r="E988" i="14" s="1"/>
  <c r="G988" i="1" a="1"/>
  <c r="G988" i="1" s="1"/>
  <c r="K988" i="1" a="1"/>
  <c r="K988" i="1" s="1"/>
  <c r="O988" i="1"/>
  <c r="M988" i="14" s="1"/>
  <c r="M989" i="1" a="1"/>
  <c r="M989" i="1" s="1"/>
  <c r="Q989" i="1" a="1"/>
  <c r="Q989" i="1" s="1"/>
  <c r="S989" i="14" s="1"/>
  <c r="D990" i="1" a="1"/>
  <c r="D990" i="1" s="1"/>
  <c r="I990" i="14" s="1"/>
  <c r="H990" i="1" a="1"/>
  <c r="H990" i="1" s="1"/>
  <c r="J990" i="14" s="1"/>
  <c r="L990" i="1" a="1"/>
  <c r="L990" i="1" s="1"/>
  <c r="P990" i="1" a="1"/>
  <c r="P990" i="1" s="1"/>
  <c r="C991" i="1" a="1"/>
  <c r="C991" i="1" s="1"/>
  <c r="E991" i="14" s="1"/>
  <c r="G991" i="1" a="1"/>
  <c r="G991" i="1" s="1"/>
  <c r="K991" i="1" a="1"/>
  <c r="K991" i="1" s="1"/>
  <c r="P991" i="1" a="1"/>
  <c r="P991" i="1" s="1"/>
  <c r="C992" i="1" a="1"/>
  <c r="C992" i="1" s="1"/>
  <c r="E992" i="14" s="1"/>
  <c r="G992" i="1" a="1"/>
  <c r="G992" i="1" s="1"/>
  <c r="J992" i="1" a="1"/>
  <c r="J992" i="1" s="1"/>
  <c r="O992" i="1"/>
  <c r="M992" i="14" s="1"/>
  <c r="F993" i="1" a="1"/>
  <c r="F993" i="1" s="1"/>
  <c r="R993" i="14" s="1"/>
  <c r="L993" i="1" a="1"/>
  <c r="L993" i="1" s="1"/>
  <c r="Q993" i="1" a="1"/>
  <c r="Q993" i="1" s="1"/>
  <c r="S993" i="14" s="1"/>
  <c r="D994" i="1" a="1"/>
  <c r="D994" i="1" s="1"/>
  <c r="I994" i="14" s="1"/>
  <c r="H994" i="1" a="1"/>
  <c r="H994" i="1" s="1"/>
  <c r="J994" i="14" s="1"/>
  <c r="L994" i="1" a="1"/>
  <c r="L994" i="1" s="1"/>
  <c r="P994" i="1" a="1"/>
  <c r="P994" i="1" s="1"/>
  <c r="Q995" i="1" a="1"/>
  <c r="Q995" i="1" s="1"/>
  <c r="S995" i="14" s="1"/>
  <c r="D996" i="1" a="1"/>
  <c r="D996" i="1" s="1"/>
  <c r="I996" i="14" s="1"/>
  <c r="H996" i="1" a="1"/>
  <c r="H996" i="1" s="1"/>
  <c r="J996" i="14" s="1"/>
  <c r="L996" i="1" a="1"/>
  <c r="L996" i="1" s="1"/>
  <c r="P996" i="1" a="1"/>
  <c r="P996" i="1" s="1"/>
  <c r="F997" i="1" a="1"/>
  <c r="F997" i="1" s="1"/>
  <c r="R997" i="14" s="1"/>
  <c r="L997" i="1" a="1"/>
  <c r="L997" i="1" s="1"/>
  <c r="Q997" i="1" a="1"/>
  <c r="Q997" i="1" s="1"/>
  <c r="S997" i="14" s="1"/>
  <c r="D998" i="1" a="1"/>
  <c r="D998" i="1" s="1"/>
  <c r="I998" i="14" s="1"/>
  <c r="H998" i="1" a="1"/>
  <c r="H998" i="1" s="1"/>
  <c r="J998" i="14" s="1"/>
  <c r="L998" i="1" a="1"/>
  <c r="L998" i="1" s="1"/>
  <c r="P998" i="1" a="1"/>
  <c r="P998" i="1" s="1"/>
  <c r="Q999" i="1" a="1"/>
  <c r="Q999" i="1" s="1"/>
  <c r="S999" i="14" s="1"/>
  <c r="D1000" i="1" a="1"/>
  <c r="D1000" i="1" s="1"/>
  <c r="I1000" i="14" s="1"/>
  <c r="H1000" i="1" a="1"/>
  <c r="H1000" i="1" s="1"/>
  <c r="J1000" i="14" s="1"/>
  <c r="K1000" i="1" a="1"/>
  <c r="K1000" i="1" s="1"/>
  <c r="O1000" i="1"/>
  <c r="M1000" i="14" s="1"/>
  <c r="L1001" i="1" a="1"/>
  <c r="L1001" i="1" s="1"/>
  <c r="C1002" i="1" a="1"/>
  <c r="C1002" i="1" s="1"/>
  <c r="E1002" i="14" s="1"/>
  <c r="F1002" i="1" a="1"/>
  <c r="F1002" i="1" s="1"/>
  <c r="R1002" i="14" s="1"/>
  <c r="M1002" i="1" a="1"/>
  <c r="M1002" i="1" s="1"/>
  <c r="M1003" i="1" a="1"/>
  <c r="M1003" i="1" s="1"/>
  <c r="M1004" i="1" a="1"/>
  <c r="M1004" i="1" s="1"/>
  <c r="P1005" i="1" a="1"/>
  <c r="P1005" i="1" s="1"/>
  <c r="C1006" i="1" a="1"/>
  <c r="C1006" i="1" s="1"/>
  <c r="E1006" i="14" s="1"/>
  <c r="G1006" i="1" a="1"/>
  <c r="G1006" i="1" s="1"/>
  <c r="K1006" i="1" a="1"/>
  <c r="K1006" i="1" s="1"/>
  <c r="P1006" i="1" a="1"/>
  <c r="P1006" i="1" s="1"/>
  <c r="C1007" i="1" a="1"/>
  <c r="C1007" i="1" s="1"/>
  <c r="E1007" i="14" s="1"/>
  <c r="G1007" i="1" a="1"/>
  <c r="G1007" i="1" s="1"/>
  <c r="K1007" i="1" a="1"/>
  <c r="K1007" i="1" s="1"/>
  <c r="O1007" i="1"/>
  <c r="M1007" i="14" s="1"/>
  <c r="F1008" i="1" a="1"/>
  <c r="F1008" i="1" s="1"/>
  <c r="R1008" i="14" s="1"/>
  <c r="M1008" i="1" a="1"/>
  <c r="M1008" i="1" s="1"/>
  <c r="H1009" i="1" a="1"/>
  <c r="H1009" i="1" s="1"/>
  <c r="J1009" i="14" s="1"/>
  <c r="K1009" i="1" a="1"/>
  <c r="K1009" i="1" s="1"/>
  <c r="L1009" i="14" s="1"/>
  <c r="O1009" i="1"/>
  <c r="M1009" i="14" s="1"/>
  <c r="H1010" i="1" a="1"/>
  <c r="H1010" i="1" s="1"/>
  <c r="J1010" i="14" s="1"/>
  <c r="L1010" i="1" a="1"/>
  <c r="L1010" i="1" s="1"/>
  <c r="Q1010" i="1" a="1"/>
  <c r="Q1010" i="1" s="1"/>
  <c r="S1010" i="14" s="1"/>
  <c r="D1011" i="1" a="1"/>
  <c r="D1011" i="1" s="1"/>
  <c r="I1011" i="14" s="1"/>
  <c r="H1011" i="1" a="1"/>
  <c r="H1011" i="1" s="1"/>
  <c r="J1011" i="14" s="1"/>
  <c r="L1011" i="1" a="1"/>
  <c r="L1011" i="1" s="1"/>
  <c r="Q1011" i="1" a="1"/>
  <c r="Q1011" i="1" s="1"/>
  <c r="S1011" i="14" s="1"/>
  <c r="D1012" i="1" a="1"/>
  <c r="D1012" i="1" s="1"/>
  <c r="I1012" i="14" s="1"/>
  <c r="H1012" i="1" a="1"/>
  <c r="H1012" i="1" s="1"/>
  <c r="J1012" i="14" s="1"/>
  <c r="L1012" i="1" a="1"/>
  <c r="L1012" i="1" s="1"/>
  <c r="Q1012" i="1" a="1"/>
  <c r="Q1012" i="1" s="1"/>
  <c r="S1012" i="14" s="1"/>
  <c r="D1013" i="1" a="1"/>
  <c r="D1013" i="1" s="1"/>
  <c r="I1013" i="14" s="1"/>
  <c r="H1013" i="1" a="1"/>
  <c r="H1013" i="1" s="1"/>
  <c r="J1013" i="14" s="1"/>
  <c r="K1013" i="1" a="1"/>
  <c r="K1013" i="1" s="1"/>
  <c r="O1013" i="1"/>
  <c r="M1013" i="14" s="1"/>
  <c r="F1014" i="1" a="1"/>
  <c r="F1014" i="1" s="1"/>
  <c r="R1014" i="14" s="1"/>
  <c r="J1014" i="1" a="1"/>
  <c r="J1014" i="1" s="1"/>
  <c r="G1015" i="1" a="1"/>
  <c r="G1015" i="1" s="1"/>
  <c r="K1015" i="1" a="1"/>
  <c r="K1015" i="1" s="1"/>
  <c r="P1015" i="1" a="1"/>
  <c r="P1015" i="1" s="1"/>
  <c r="C1016" i="1" a="1"/>
  <c r="C1016" i="1" s="1"/>
  <c r="E1016" i="14" s="1"/>
  <c r="G1016" i="1" a="1"/>
  <c r="G1016" i="1" s="1"/>
  <c r="J1016" i="1" a="1"/>
  <c r="J1016" i="1" s="1"/>
  <c r="M1016" i="1" a="1"/>
  <c r="M1016" i="1" s="1"/>
  <c r="Q1016" i="1" a="1"/>
  <c r="Q1016" i="1" s="1"/>
  <c r="S1016" i="14" s="1"/>
  <c r="D1017" i="1" a="1"/>
  <c r="D1017" i="1" s="1"/>
  <c r="I1017" i="14" s="1"/>
  <c r="H1017" i="1" a="1"/>
  <c r="H1017" i="1" s="1"/>
  <c r="J1017" i="14" s="1"/>
  <c r="K1017" i="1" a="1"/>
  <c r="K1017" i="1" s="1"/>
  <c r="L1017" i="14" s="1"/>
  <c r="O1017" i="1"/>
  <c r="M1017" i="14" s="1"/>
  <c r="M1018" i="1" a="1"/>
  <c r="M1018" i="1" s="1"/>
  <c r="M1019" i="1" a="1"/>
  <c r="M1019" i="1" s="1"/>
  <c r="C1021" i="1" a="1"/>
  <c r="C1021" i="1" s="1"/>
  <c r="E1021" i="14" s="1"/>
  <c r="G1021" i="1" a="1"/>
  <c r="G1021" i="1" s="1"/>
  <c r="K1021" i="1" a="1"/>
  <c r="K1021" i="1" s="1"/>
  <c r="P1021" i="1" a="1"/>
  <c r="P1021" i="1" s="1"/>
  <c r="C1022" i="1" a="1"/>
  <c r="C1022" i="1" s="1"/>
  <c r="E1022" i="14" s="1"/>
  <c r="F1022" i="1" a="1"/>
  <c r="F1022" i="1" s="1"/>
  <c r="R1022" i="14" s="1"/>
  <c r="M1022" i="1" a="1"/>
  <c r="M1022" i="1" s="1"/>
  <c r="M1023" i="1" a="1"/>
  <c r="M1023" i="1" s="1"/>
  <c r="J1024" i="1" a="1"/>
  <c r="J1024" i="1" s="1"/>
  <c r="M1025" i="1" a="1"/>
  <c r="M1025" i="1" s="1"/>
  <c r="M1026" i="1" a="1"/>
  <c r="M1026" i="1" s="1"/>
  <c r="C1028" i="1" a="1"/>
  <c r="C1028" i="1" s="1"/>
  <c r="E1028" i="14" s="1"/>
  <c r="J1028" i="1" a="1"/>
  <c r="J1028" i="1" s="1"/>
  <c r="O1028" i="1"/>
  <c r="M1028" i="14" s="1"/>
  <c r="F1029" i="1" a="1"/>
  <c r="F1029" i="1" s="1"/>
  <c r="R1029" i="14" s="1"/>
  <c r="M1029" i="1" a="1"/>
  <c r="M1029" i="1" s="1"/>
  <c r="Q1030" i="1" a="1"/>
  <c r="Q1030" i="1" s="1"/>
  <c r="S1030" i="14" s="1"/>
  <c r="D1031" i="1" a="1"/>
  <c r="D1031" i="1" s="1"/>
  <c r="I1031" i="14" s="1"/>
  <c r="H1031" i="1" a="1"/>
  <c r="H1031" i="1" s="1"/>
  <c r="J1031" i="14" s="1"/>
  <c r="L1031" i="1" a="1"/>
  <c r="L1031" i="1" s="1"/>
  <c r="Q1031" i="1" a="1"/>
  <c r="Q1031" i="1" s="1"/>
  <c r="S1031" i="14" s="1"/>
  <c r="D1032" i="1" a="1"/>
  <c r="D1032" i="1" s="1"/>
  <c r="I1032" i="14" s="1"/>
  <c r="H1032" i="1" a="1"/>
  <c r="H1032" i="1" s="1"/>
  <c r="J1032" i="14" s="1"/>
  <c r="L1032" i="1" a="1"/>
  <c r="L1032" i="1" s="1"/>
  <c r="C1033" i="1" a="1"/>
  <c r="C1033" i="1" s="1"/>
  <c r="E1033" i="14" s="1"/>
  <c r="G1033" i="1" a="1"/>
  <c r="G1033" i="1" s="1"/>
  <c r="K1033" i="1" a="1"/>
  <c r="K1033" i="1" s="1"/>
  <c r="P1033" i="1" a="1"/>
  <c r="P1033" i="1" s="1"/>
  <c r="C1034" i="1" a="1"/>
  <c r="C1034" i="1" s="1"/>
  <c r="E1034" i="14" s="1"/>
  <c r="G1034" i="1" a="1"/>
  <c r="G1034" i="1" s="1"/>
  <c r="K1034" i="1" a="1"/>
  <c r="K1034" i="1" s="1"/>
  <c r="P1034" i="1" a="1"/>
  <c r="P1034" i="1" s="1"/>
  <c r="C1035" i="1" a="1"/>
  <c r="C1035" i="1" s="1"/>
  <c r="E1035" i="14" s="1"/>
  <c r="G1035" i="1" a="1"/>
  <c r="G1035" i="1" s="1"/>
  <c r="K1035" i="1" a="1"/>
  <c r="K1035" i="1" s="1"/>
  <c r="O1035" i="1"/>
  <c r="M1035" i="14" s="1"/>
  <c r="M1036" i="1" a="1"/>
  <c r="M1036" i="1" s="1"/>
  <c r="Q1036" i="1" a="1"/>
  <c r="Q1036" i="1" s="1"/>
  <c r="S1036" i="14" s="1"/>
  <c r="D1037" i="1" a="1"/>
  <c r="D1037" i="1" s="1"/>
  <c r="I1037" i="14" s="1"/>
  <c r="H1037" i="1" a="1"/>
  <c r="H1037" i="1" s="1"/>
  <c r="J1037" i="14" s="1"/>
  <c r="L1037" i="1" a="1"/>
  <c r="L1037" i="1" s="1"/>
  <c r="Q1037" i="1" a="1"/>
  <c r="Q1037" i="1" s="1"/>
  <c r="S1037" i="14" s="1"/>
  <c r="D1038" i="1" a="1"/>
  <c r="D1038" i="1" s="1"/>
  <c r="I1038" i="14" s="1"/>
  <c r="K1038" i="1" a="1"/>
  <c r="K1038" i="1" s="1"/>
  <c r="P1038" i="1" a="1"/>
  <c r="P1038" i="1" s="1"/>
  <c r="C1039" i="1" a="1"/>
  <c r="C1039" i="1" s="1"/>
  <c r="E1039" i="14" s="1"/>
  <c r="G1039" i="1" a="1"/>
  <c r="G1039" i="1" s="1"/>
  <c r="O1039" i="1"/>
  <c r="M1039" i="14" s="1"/>
  <c r="F1040" i="1" a="1"/>
  <c r="F1040" i="1" s="1"/>
  <c r="R1040" i="14" s="1"/>
  <c r="M1040" i="1" a="1"/>
  <c r="M1040" i="1" s="1"/>
  <c r="Q1040" i="1" a="1"/>
  <c r="Q1040" i="1" s="1"/>
  <c r="S1040" i="14" s="1"/>
  <c r="D1041" i="1" a="1"/>
  <c r="D1041" i="1" s="1"/>
  <c r="I1041" i="14" s="1"/>
  <c r="H1041" i="1" a="1"/>
  <c r="H1041" i="1" s="1"/>
  <c r="J1041" i="14" s="1"/>
  <c r="L1041" i="1" a="1"/>
  <c r="L1041" i="1" s="1"/>
  <c r="Q1041" i="1" a="1"/>
  <c r="Q1041" i="1" s="1"/>
  <c r="S1041" i="14" s="1"/>
  <c r="D1042" i="1" a="1"/>
  <c r="D1042" i="1" s="1"/>
  <c r="I1042" i="14" s="1"/>
  <c r="O1042" i="1"/>
  <c r="M1042" i="14" s="1"/>
  <c r="F1043" i="1" a="1"/>
  <c r="F1043" i="1" s="1"/>
  <c r="R1043" i="14" s="1"/>
  <c r="J1043" i="1" a="1"/>
  <c r="J1043" i="1" s="1"/>
  <c r="M1043" i="1" a="1"/>
  <c r="M1043" i="1" s="1"/>
  <c r="M1044" i="1" a="1"/>
  <c r="M1044" i="1" s="1"/>
  <c r="H1045" i="1" a="1"/>
  <c r="H1045" i="1" s="1"/>
  <c r="J1045" i="14" s="1"/>
  <c r="L1045" i="1" a="1"/>
  <c r="L1045" i="1" s="1"/>
  <c r="Q1045" i="1" a="1"/>
  <c r="Q1045" i="1" s="1"/>
  <c r="S1045" i="14" s="1"/>
  <c r="D1046" i="1" a="1"/>
  <c r="D1046" i="1" s="1"/>
  <c r="I1046" i="14" s="1"/>
  <c r="H1046" i="1" a="1"/>
  <c r="H1046" i="1" s="1"/>
  <c r="J1046" i="14" s="1"/>
  <c r="L1046" i="1" a="1"/>
  <c r="L1046" i="1" s="1"/>
  <c r="Q1046" i="1" a="1"/>
  <c r="Q1046" i="1" s="1"/>
  <c r="S1046" i="14" s="1"/>
  <c r="D1047" i="1" a="1"/>
  <c r="D1047" i="1" s="1"/>
  <c r="I1047" i="14" s="1"/>
  <c r="H1047" i="1" a="1"/>
  <c r="H1047" i="1" s="1"/>
  <c r="J1047" i="14" s="1"/>
  <c r="L1047" i="1" a="1"/>
  <c r="L1047" i="1" s="1"/>
  <c r="Q1047" i="1" a="1"/>
  <c r="Q1047" i="1" s="1"/>
  <c r="S1047" i="14" s="1"/>
  <c r="D1048" i="1" a="1"/>
  <c r="D1048" i="1" s="1"/>
  <c r="I1048" i="14" s="1"/>
  <c r="H1048" i="1" a="1"/>
  <c r="H1048" i="1" s="1"/>
  <c r="J1048" i="14" s="1"/>
  <c r="L1048" i="1" a="1"/>
  <c r="L1048" i="1" s="1"/>
  <c r="Q1048" i="1" a="1"/>
  <c r="Q1048" i="1" s="1"/>
  <c r="S1048" i="14" s="1"/>
  <c r="C1049" i="1" a="1"/>
  <c r="C1049" i="1" s="1"/>
  <c r="E1049" i="14" s="1"/>
  <c r="G1049" i="1" a="1"/>
  <c r="G1049" i="1" s="1"/>
  <c r="J1049" i="1" a="1"/>
  <c r="J1049" i="1" s="1"/>
  <c r="O1049" i="1"/>
  <c r="M1049" i="14" s="1"/>
  <c r="F1050" i="1" a="1"/>
  <c r="F1050" i="1" s="1"/>
  <c r="R1050" i="14" s="1"/>
  <c r="J1050" i="1" a="1"/>
  <c r="J1050" i="1" s="1"/>
  <c r="M1050" i="1" a="1"/>
  <c r="M1050" i="1" s="1"/>
  <c r="M1051" i="1" a="1"/>
  <c r="M1051" i="1" s="1"/>
  <c r="H1052" i="1" a="1"/>
  <c r="H1052" i="1" s="1"/>
  <c r="J1052" i="14" s="1"/>
  <c r="L1052" i="1" a="1"/>
  <c r="L1052" i="1" s="1"/>
  <c r="C1053" i="1" a="1"/>
  <c r="C1053" i="1" s="1"/>
  <c r="E1053" i="14" s="1"/>
  <c r="G1053" i="1" a="1"/>
  <c r="G1053" i="1" s="1"/>
  <c r="K1053" i="1" a="1"/>
  <c r="K1053" i="1" s="1"/>
  <c r="P1053" i="1" a="1"/>
  <c r="P1053" i="1" s="1"/>
  <c r="C1054" i="1" a="1"/>
  <c r="C1054" i="1" s="1"/>
  <c r="E1054" i="14" s="1"/>
  <c r="G1054" i="1" a="1"/>
  <c r="G1054" i="1" s="1"/>
  <c r="K1054" i="1" a="1"/>
  <c r="K1054" i="1" s="1"/>
  <c r="P1054" i="1" a="1"/>
  <c r="P1054" i="1" s="1"/>
  <c r="C1055" i="1" a="1"/>
  <c r="C1055" i="1" s="1"/>
  <c r="E1055" i="14" s="1"/>
  <c r="J1055" i="1" a="1"/>
  <c r="J1055" i="1" s="1"/>
  <c r="O1055" i="1"/>
  <c r="M1055" i="14" s="1"/>
  <c r="F1056" i="1" a="1"/>
  <c r="F1056" i="1" s="1"/>
  <c r="R1056" i="14" s="1"/>
  <c r="J1056" i="1" a="1"/>
  <c r="J1056" i="1" s="1"/>
  <c r="H1057" i="1" a="1"/>
  <c r="H1057" i="1" s="1"/>
  <c r="J1057" i="14" s="1"/>
  <c r="L1057" i="1" a="1"/>
  <c r="L1057" i="1" s="1"/>
  <c r="M797" i="1" a="1"/>
  <c r="M797" i="1" s="1"/>
  <c r="H798" i="1" a="1"/>
  <c r="H798" i="1" s="1"/>
  <c r="J798" i="14" s="1"/>
  <c r="H799" i="1" a="1"/>
  <c r="H799" i="1" s="1"/>
  <c r="J799" i="14" s="1"/>
  <c r="G800" i="1" a="1"/>
  <c r="G800" i="1" s="1"/>
  <c r="G801" i="1" a="1"/>
  <c r="G801" i="1" s="1"/>
  <c r="J806" i="1" a="1"/>
  <c r="J806" i="1" s="1"/>
  <c r="G809" i="1" a="1"/>
  <c r="G809" i="1" s="1"/>
  <c r="G810" i="1" a="1"/>
  <c r="G810" i="1" s="1"/>
  <c r="G811" i="1" a="1"/>
  <c r="G811" i="1" s="1"/>
  <c r="G812" i="1" a="1"/>
  <c r="G812" i="1" s="1"/>
  <c r="G813" i="1" a="1"/>
  <c r="G813" i="1" s="1"/>
  <c r="G814" i="1" a="1"/>
  <c r="G814" i="1" s="1"/>
  <c r="M815" i="1" a="1"/>
  <c r="M815" i="1" s="1"/>
  <c r="J818" i="1" a="1"/>
  <c r="J818" i="1" s="1"/>
  <c r="O819" i="1"/>
  <c r="M819" i="14" s="1"/>
  <c r="F820" i="1" a="1"/>
  <c r="F820" i="1" s="1"/>
  <c r="R820" i="14" s="1"/>
  <c r="J822" i="1" a="1"/>
  <c r="J822" i="1" s="1"/>
  <c r="H824" i="1" a="1"/>
  <c r="H824" i="1" s="1"/>
  <c r="J824" i="14" s="1"/>
  <c r="F825" i="1" a="1"/>
  <c r="F825" i="1" s="1"/>
  <c r="R825" i="14" s="1"/>
  <c r="J830" i="1" a="1"/>
  <c r="J830" i="1" s="1"/>
  <c r="G833" i="1" a="1"/>
  <c r="G833" i="1" s="1"/>
  <c r="D838" i="1" a="1"/>
  <c r="D838" i="1" s="1"/>
  <c r="I838" i="14" s="1"/>
  <c r="K838" i="1" a="1"/>
  <c r="K838" i="1" s="1"/>
  <c r="O839" i="1"/>
  <c r="M839" i="14" s="1"/>
  <c r="F840" i="1" a="1"/>
  <c r="F840" i="1" s="1"/>
  <c r="R840" i="14" s="1"/>
  <c r="M842" i="1" a="1"/>
  <c r="M842" i="1" s="1"/>
  <c r="H843" i="1" a="1"/>
  <c r="H843" i="1" s="1"/>
  <c r="J843" i="14" s="1"/>
  <c r="Q843" i="1" a="1"/>
  <c r="Q843" i="1" s="1"/>
  <c r="S843" i="14" s="1"/>
  <c r="M844" i="1" a="1"/>
  <c r="M844" i="1" s="1"/>
  <c r="D845" i="1" a="1"/>
  <c r="D845" i="1" s="1"/>
  <c r="I845" i="14" s="1"/>
  <c r="L845" i="1" a="1"/>
  <c r="L845" i="1" s="1"/>
  <c r="P846" i="1" a="1"/>
  <c r="P846" i="1" s="1"/>
  <c r="C847" i="1" a="1"/>
  <c r="C847" i="1" s="1"/>
  <c r="E847" i="14" s="1"/>
  <c r="O847" i="1"/>
  <c r="M847" i="14" s="1"/>
  <c r="F848" i="1" a="1"/>
  <c r="F848" i="1" s="1"/>
  <c r="R848" i="14" s="1"/>
  <c r="J848" i="1" a="1"/>
  <c r="J848" i="1" s="1"/>
  <c r="P848" i="1" a="1"/>
  <c r="P848" i="1" s="1"/>
  <c r="C849" i="1" a="1"/>
  <c r="C849" i="1" s="1"/>
  <c r="E849" i="14" s="1"/>
  <c r="H849" i="1" a="1"/>
  <c r="H849" i="1" s="1"/>
  <c r="J849" i="14" s="1"/>
  <c r="L849" i="1" a="1"/>
  <c r="L849" i="1" s="1"/>
  <c r="K850" i="1" a="1"/>
  <c r="K850" i="1" s="1"/>
  <c r="Q850" i="1" a="1"/>
  <c r="Q850" i="1" s="1"/>
  <c r="S850" i="14" s="1"/>
  <c r="D851" i="1" a="1"/>
  <c r="D851" i="1" s="1"/>
  <c r="I851" i="14" s="1"/>
  <c r="P851" i="1" a="1"/>
  <c r="P851" i="1" s="1"/>
  <c r="C852" i="1" a="1"/>
  <c r="C852" i="1" s="1"/>
  <c r="E852" i="14" s="1"/>
  <c r="H852" i="1" a="1"/>
  <c r="H852" i="1" s="1"/>
  <c r="J852" i="14" s="1"/>
  <c r="M852" i="1" a="1"/>
  <c r="M852" i="1" s="1"/>
  <c r="G853" i="1" a="1"/>
  <c r="G853" i="1" s="1"/>
  <c r="L853" i="1" a="1"/>
  <c r="L853" i="1" s="1"/>
  <c r="K854" i="1" a="1"/>
  <c r="K854" i="1" s="1"/>
  <c r="L854" i="14" s="1"/>
  <c r="Q854" i="1" a="1"/>
  <c r="Q854" i="1" s="1"/>
  <c r="S854" i="14" s="1"/>
  <c r="D855" i="1" a="1"/>
  <c r="D855" i="1" s="1"/>
  <c r="I855" i="14" s="1"/>
  <c r="G855" i="1" a="1"/>
  <c r="G855" i="1" s="1"/>
  <c r="K855" i="1" a="1"/>
  <c r="K855" i="1" s="1"/>
  <c r="L855" i="14" s="1"/>
  <c r="P855" i="1" a="1"/>
  <c r="P855" i="1" s="1"/>
  <c r="J856" i="1" a="1"/>
  <c r="J856" i="1" s="1"/>
  <c r="P856" i="1" a="1"/>
  <c r="P856" i="1" s="1"/>
  <c r="D857" i="1" a="1"/>
  <c r="D857" i="1" s="1"/>
  <c r="I857" i="14" s="1"/>
  <c r="O857" i="1"/>
  <c r="M857" i="14" s="1"/>
  <c r="D858" i="1" a="1"/>
  <c r="D858" i="1" s="1"/>
  <c r="I858" i="14" s="1"/>
  <c r="O858" i="1"/>
  <c r="M858" i="14" s="1"/>
  <c r="D859" i="1" a="1"/>
  <c r="D859" i="1" s="1"/>
  <c r="I859" i="14" s="1"/>
  <c r="G860" i="1" a="1"/>
  <c r="G860" i="1" s="1"/>
  <c r="L860" i="1" a="1"/>
  <c r="L860" i="1" s="1"/>
  <c r="J861" i="1" a="1"/>
  <c r="J861" i="1" s="1"/>
  <c r="M861" i="1" a="1"/>
  <c r="M861" i="1" s="1"/>
  <c r="M862" i="1" a="1"/>
  <c r="M862" i="1" s="1"/>
  <c r="H863" i="1" a="1"/>
  <c r="H863" i="1" s="1"/>
  <c r="J863" i="14" s="1"/>
  <c r="P863" i="1" a="1"/>
  <c r="P863" i="1" s="1"/>
  <c r="C864" i="1" a="1"/>
  <c r="C864" i="1" s="1"/>
  <c r="E864" i="14" s="1"/>
  <c r="G864" i="1" a="1"/>
  <c r="G864" i="1" s="1"/>
  <c r="J864" i="1" a="1"/>
  <c r="J864" i="1" s="1"/>
  <c r="O864" i="1"/>
  <c r="M864" i="14" s="1"/>
  <c r="F865" i="1" a="1"/>
  <c r="F865" i="1" s="1"/>
  <c r="R865" i="14" s="1"/>
  <c r="J865" i="1" a="1"/>
  <c r="J865" i="1" s="1"/>
  <c r="O865" i="1"/>
  <c r="M865" i="14" s="1"/>
  <c r="F866" i="1" a="1"/>
  <c r="F866" i="1" s="1"/>
  <c r="R866" i="14" s="1"/>
  <c r="J866" i="1" a="1"/>
  <c r="J866" i="1" s="1"/>
  <c r="O866" i="1"/>
  <c r="M866" i="14" s="1"/>
  <c r="F867" i="1" a="1"/>
  <c r="F867" i="1" s="1"/>
  <c r="R867" i="14" s="1"/>
  <c r="J867" i="1" a="1"/>
  <c r="J867" i="1" s="1"/>
  <c r="O867" i="1"/>
  <c r="M867" i="14" s="1"/>
  <c r="F868" i="1" a="1"/>
  <c r="F868" i="1" s="1"/>
  <c r="R868" i="14" s="1"/>
  <c r="J868" i="1" a="1"/>
  <c r="J868" i="1" s="1"/>
  <c r="O868" i="1"/>
  <c r="M868" i="14" s="1"/>
  <c r="F869" i="1" a="1"/>
  <c r="F869" i="1" s="1"/>
  <c r="R869" i="14" s="1"/>
  <c r="J869" i="1" a="1"/>
  <c r="J869" i="1" s="1"/>
  <c r="M869" i="1" a="1"/>
  <c r="M869" i="1" s="1"/>
  <c r="L870" i="1" a="1"/>
  <c r="L870" i="1" s="1"/>
  <c r="C871" i="1" a="1"/>
  <c r="C871" i="1" s="1"/>
  <c r="E871" i="14" s="1"/>
  <c r="G871" i="1" a="1"/>
  <c r="G871" i="1" s="1"/>
  <c r="K871" i="1" a="1"/>
  <c r="K871" i="1" s="1"/>
  <c r="P871" i="1" a="1"/>
  <c r="P871" i="1" s="1"/>
  <c r="C872" i="1" a="1"/>
  <c r="C872" i="1" s="1"/>
  <c r="E872" i="14" s="1"/>
  <c r="G872" i="1" a="1"/>
  <c r="G872" i="1" s="1"/>
  <c r="J872" i="1" a="1"/>
  <c r="J872" i="1" s="1"/>
  <c r="O872" i="1"/>
  <c r="M872" i="14" s="1"/>
  <c r="F873" i="1" a="1"/>
  <c r="F873" i="1" s="1"/>
  <c r="R873" i="14" s="1"/>
  <c r="J873" i="1" a="1"/>
  <c r="J873" i="1" s="1"/>
  <c r="O873" i="1"/>
  <c r="M873" i="14" s="1"/>
  <c r="F874" i="1" a="1"/>
  <c r="F874" i="1" s="1"/>
  <c r="R874" i="14" s="1"/>
  <c r="J874" i="1" a="1"/>
  <c r="J874" i="1" s="1"/>
  <c r="O874" i="1"/>
  <c r="M874" i="14" s="1"/>
  <c r="F875" i="1" a="1"/>
  <c r="F875" i="1" s="1"/>
  <c r="R875" i="14" s="1"/>
  <c r="J875" i="1" a="1"/>
  <c r="J875" i="1" s="1"/>
  <c r="O875" i="1"/>
  <c r="M875" i="14" s="1"/>
  <c r="F876" i="1" a="1"/>
  <c r="F876" i="1" s="1"/>
  <c r="R876" i="14" s="1"/>
  <c r="J876" i="1" a="1"/>
  <c r="J876" i="1" s="1"/>
  <c r="O876" i="1"/>
  <c r="M876" i="14" s="1"/>
  <c r="F877" i="1" a="1"/>
  <c r="F877" i="1" s="1"/>
  <c r="R877" i="14" s="1"/>
  <c r="J877" i="1" a="1"/>
  <c r="J877" i="1" s="1"/>
  <c r="O877" i="1"/>
  <c r="M877" i="14" s="1"/>
  <c r="F878" i="1" a="1"/>
  <c r="F878" i="1" s="1"/>
  <c r="R878" i="14" s="1"/>
  <c r="J878" i="1" a="1"/>
  <c r="J878" i="1" s="1"/>
  <c r="O878" i="1"/>
  <c r="M878" i="14" s="1"/>
  <c r="L879" i="1" a="1"/>
  <c r="L879" i="1" s="1"/>
  <c r="Q879" i="1" a="1"/>
  <c r="Q879" i="1" s="1"/>
  <c r="S879" i="14" s="1"/>
  <c r="D880" i="1" a="1"/>
  <c r="D880" i="1" s="1"/>
  <c r="I880" i="14" s="1"/>
  <c r="H880" i="1" a="1"/>
  <c r="H880" i="1" s="1"/>
  <c r="J880" i="14" s="1"/>
  <c r="L880" i="1" a="1"/>
  <c r="L880" i="1" s="1"/>
  <c r="Q880" i="1" a="1"/>
  <c r="Q880" i="1" s="1"/>
  <c r="S880" i="14" s="1"/>
  <c r="C881" i="1" a="1"/>
  <c r="C881" i="1" s="1"/>
  <c r="E881" i="14" s="1"/>
  <c r="F881" i="1" a="1"/>
  <c r="F881" i="1" s="1"/>
  <c r="R881" i="14" s="1"/>
  <c r="J881" i="1" a="1"/>
  <c r="J881" i="1" s="1"/>
  <c r="O881" i="1"/>
  <c r="M881" i="14" s="1"/>
  <c r="F882" i="1" a="1"/>
  <c r="F882" i="1" s="1"/>
  <c r="R882" i="14" s="1"/>
  <c r="M882" i="1" a="1"/>
  <c r="M882" i="1" s="1"/>
  <c r="M883" i="1" a="1"/>
  <c r="M883" i="1" s="1"/>
  <c r="Q883" i="1" a="1"/>
  <c r="Q883" i="1" s="1"/>
  <c r="S883" i="14" s="1"/>
  <c r="D884" i="1" a="1"/>
  <c r="D884" i="1" s="1"/>
  <c r="I884" i="14" s="1"/>
  <c r="H884" i="1" a="1"/>
  <c r="H884" i="1" s="1"/>
  <c r="J884" i="14" s="1"/>
  <c r="L884" i="1" a="1"/>
  <c r="L884" i="1" s="1"/>
  <c r="Q884" i="1" a="1"/>
  <c r="Q884" i="1" s="1"/>
  <c r="S884" i="14" s="1"/>
  <c r="C885" i="1" a="1"/>
  <c r="C885" i="1" s="1"/>
  <c r="E885" i="14" s="1"/>
  <c r="F885" i="1" a="1"/>
  <c r="F885" i="1" s="1"/>
  <c r="R885" i="14" s="1"/>
  <c r="J885" i="1" a="1"/>
  <c r="J885" i="1" s="1"/>
  <c r="M885" i="1" a="1"/>
  <c r="M885" i="1" s="1"/>
  <c r="L886" i="1" a="1"/>
  <c r="L886" i="1" s="1"/>
  <c r="C887" i="1" a="1"/>
  <c r="C887" i="1" s="1"/>
  <c r="E887" i="14" s="1"/>
  <c r="G887" i="1" a="1"/>
  <c r="G887" i="1" s="1"/>
  <c r="K887" i="1" a="1"/>
  <c r="K887" i="1" s="1"/>
  <c r="P887" i="1" a="1"/>
  <c r="P887" i="1" s="1"/>
  <c r="C888" i="1" a="1"/>
  <c r="C888" i="1" s="1"/>
  <c r="E888" i="14" s="1"/>
  <c r="G888" i="1" a="1"/>
  <c r="G888" i="1" s="1"/>
  <c r="J888" i="1" a="1"/>
  <c r="J888" i="1" s="1"/>
  <c r="O888" i="1"/>
  <c r="M888" i="14" s="1"/>
  <c r="F889" i="1" a="1"/>
  <c r="F889" i="1" s="1"/>
  <c r="R889" i="14" s="1"/>
  <c r="J889" i="1" a="1"/>
  <c r="J889" i="1" s="1"/>
  <c r="O889" i="1"/>
  <c r="M889" i="14" s="1"/>
  <c r="F890" i="1" a="1"/>
  <c r="F890" i="1" s="1"/>
  <c r="R890" i="14" s="1"/>
  <c r="L890" i="1" a="1"/>
  <c r="L890" i="1" s="1"/>
  <c r="C891" i="1" a="1"/>
  <c r="C891" i="1" s="1"/>
  <c r="E891" i="14" s="1"/>
  <c r="G891" i="1" a="1"/>
  <c r="G891" i="1" s="1"/>
  <c r="K891" i="1" a="1"/>
  <c r="K891" i="1" s="1"/>
  <c r="P891" i="1" a="1"/>
  <c r="P891" i="1" s="1"/>
  <c r="C892" i="1" a="1"/>
  <c r="C892" i="1" s="1"/>
  <c r="E892" i="14" s="1"/>
  <c r="G892" i="1" a="1"/>
  <c r="G892" i="1" s="1"/>
  <c r="J892" i="1" a="1"/>
  <c r="J892" i="1" s="1"/>
  <c r="O892" i="1"/>
  <c r="M892" i="14" s="1"/>
  <c r="F893" i="1" a="1"/>
  <c r="F893" i="1" s="1"/>
  <c r="R893" i="14" s="1"/>
  <c r="J893" i="1" a="1"/>
  <c r="J893" i="1" s="1"/>
  <c r="M893" i="1" a="1"/>
  <c r="M893" i="1" s="1"/>
  <c r="M894" i="1" a="1"/>
  <c r="M894" i="1" s="1"/>
  <c r="H895" i="1" a="1"/>
  <c r="H895" i="1" s="1"/>
  <c r="J895" i="14" s="1"/>
  <c r="O895" i="1"/>
  <c r="M895" i="14" s="1"/>
  <c r="F896" i="1" a="1"/>
  <c r="F896" i="1" s="1"/>
  <c r="R896" i="14" s="1"/>
  <c r="M896" i="1" a="1"/>
  <c r="M896" i="1" s="1"/>
  <c r="Q897" i="1" a="1"/>
  <c r="Q897" i="1" s="1"/>
  <c r="S897" i="14" s="1"/>
  <c r="D898" i="1" a="1"/>
  <c r="D898" i="1" s="1"/>
  <c r="I898" i="14" s="1"/>
  <c r="H898" i="1" a="1"/>
  <c r="H898" i="1" s="1"/>
  <c r="J898" i="14" s="1"/>
  <c r="L898" i="1" a="1"/>
  <c r="L898" i="1" s="1"/>
  <c r="Q898" i="1" a="1"/>
  <c r="Q898" i="1" s="1"/>
  <c r="S898" i="14" s="1"/>
  <c r="D899" i="1" a="1"/>
  <c r="D899" i="1" s="1"/>
  <c r="I899" i="14" s="1"/>
  <c r="H899" i="1" a="1"/>
  <c r="H899" i="1" s="1"/>
  <c r="J899" i="14" s="1"/>
  <c r="L899" i="1" a="1"/>
  <c r="L899" i="1" s="1"/>
  <c r="Q899" i="1" a="1"/>
  <c r="Q899" i="1" s="1"/>
  <c r="S899" i="14" s="1"/>
  <c r="D900" i="1" a="1"/>
  <c r="D900" i="1" s="1"/>
  <c r="I900" i="14" s="1"/>
  <c r="H900" i="1" a="1"/>
  <c r="H900" i="1" s="1"/>
  <c r="J900" i="14" s="1"/>
  <c r="L900" i="1" a="1"/>
  <c r="L900" i="1" s="1"/>
  <c r="Q900" i="1" a="1"/>
  <c r="Q900" i="1" s="1"/>
  <c r="S900" i="14" s="1"/>
  <c r="C901" i="1" a="1"/>
  <c r="C901" i="1" s="1"/>
  <c r="E901" i="14" s="1"/>
  <c r="F901" i="1" a="1"/>
  <c r="F901" i="1" s="1"/>
  <c r="R901" i="14" s="1"/>
  <c r="J901" i="1" a="1"/>
  <c r="J901" i="1" s="1"/>
  <c r="O901" i="1"/>
  <c r="M901" i="14" s="1"/>
  <c r="F902" i="1" a="1"/>
  <c r="F902" i="1" s="1"/>
  <c r="R902" i="14" s="1"/>
  <c r="M902" i="1" a="1"/>
  <c r="M902" i="1" s="1"/>
  <c r="Q902" i="1" a="1"/>
  <c r="Q902" i="1" s="1"/>
  <c r="S902" i="14" s="1"/>
  <c r="D903" i="1" a="1"/>
  <c r="D903" i="1" s="1"/>
  <c r="I903" i="14" s="1"/>
  <c r="G903" i="1" a="1"/>
  <c r="G903" i="1" s="1"/>
  <c r="K903" i="1" a="1"/>
  <c r="K903" i="1" s="1"/>
  <c r="O903" i="1"/>
  <c r="M903" i="14" s="1"/>
  <c r="F904" i="1" a="1"/>
  <c r="F904" i="1" s="1"/>
  <c r="R904" i="14" s="1"/>
  <c r="J904" i="1" a="1"/>
  <c r="J904" i="1" s="1"/>
  <c r="O904" i="1"/>
  <c r="M904" i="14" s="1"/>
  <c r="F905" i="1" a="1"/>
  <c r="F905" i="1" s="1"/>
  <c r="R905" i="14" s="1"/>
  <c r="J905" i="1" a="1"/>
  <c r="J905" i="1" s="1"/>
  <c r="O905" i="1"/>
  <c r="M905" i="14" s="1"/>
  <c r="F906" i="1" a="1"/>
  <c r="F906" i="1" s="1"/>
  <c r="R906" i="14" s="1"/>
  <c r="M906" i="1" a="1"/>
  <c r="M906" i="1" s="1"/>
  <c r="Q906" i="1" a="1"/>
  <c r="Q906" i="1" s="1"/>
  <c r="S906" i="14" s="1"/>
  <c r="D907" i="1" a="1"/>
  <c r="D907" i="1" s="1"/>
  <c r="I907" i="14" s="1"/>
  <c r="H907" i="1" a="1"/>
  <c r="H907" i="1" s="1"/>
  <c r="J907" i="14" s="1"/>
  <c r="L907" i="1" a="1"/>
  <c r="L907" i="1" s="1"/>
  <c r="P907" i="1" a="1"/>
  <c r="P907" i="1" s="1"/>
  <c r="C908" i="1" a="1"/>
  <c r="C908" i="1" s="1"/>
  <c r="E908" i="14" s="1"/>
  <c r="G908" i="1" a="1"/>
  <c r="G908" i="1" s="1"/>
  <c r="J908" i="1" a="1"/>
  <c r="J908" i="1" s="1"/>
  <c r="O908" i="1"/>
  <c r="M908" i="14" s="1"/>
  <c r="F909" i="1" a="1"/>
  <c r="F909" i="1" s="1"/>
  <c r="R909" i="14" s="1"/>
  <c r="J909" i="1" a="1"/>
  <c r="J909" i="1" s="1"/>
  <c r="O909" i="1"/>
  <c r="M909" i="14" s="1"/>
  <c r="F910" i="1" a="1"/>
  <c r="F910" i="1" s="1"/>
  <c r="R910" i="14" s="1"/>
  <c r="J910" i="1" a="1"/>
  <c r="J910" i="1" s="1"/>
  <c r="O910" i="1"/>
  <c r="M910" i="14" s="1"/>
  <c r="F911" i="1" a="1"/>
  <c r="F911" i="1" s="1"/>
  <c r="R911" i="14" s="1"/>
  <c r="J911" i="1" a="1"/>
  <c r="J911" i="1" s="1"/>
  <c r="O911" i="1"/>
  <c r="M911" i="14" s="1"/>
  <c r="F912" i="1" a="1"/>
  <c r="F912" i="1" s="1"/>
  <c r="R912" i="14" s="1"/>
  <c r="M912" i="1" a="1"/>
  <c r="M912" i="1" s="1"/>
  <c r="G913" i="1" a="1"/>
  <c r="G913" i="1" s="1"/>
  <c r="K913" i="1" a="1"/>
  <c r="K913" i="1" s="1"/>
  <c r="O913" i="1"/>
  <c r="M913" i="14" s="1"/>
  <c r="F914" i="1" a="1"/>
  <c r="F914" i="1" s="1"/>
  <c r="R914" i="14" s="1"/>
  <c r="J914" i="1" a="1"/>
  <c r="J914" i="1" s="1"/>
  <c r="O914" i="1"/>
  <c r="M914" i="14" s="1"/>
  <c r="L915" i="1" a="1"/>
  <c r="L915" i="1" s="1"/>
  <c r="Q915" i="1" a="1"/>
  <c r="Q915" i="1" s="1"/>
  <c r="S915" i="14" s="1"/>
  <c r="D916" i="1" a="1"/>
  <c r="D916" i="1" s="1"/>
  <c r="I916" i="14" s="1"/>
  <c r="H916" i="1" a="1"/>
  <c r="H916" i="1" s="1"/>
  <c r="J916" i="14" s="1"/>
  <c r="L916" i="1" a="1"/>
  <c r="L916" i="1" s="1"/>
  <c r="Q916" i="1" a="1"/>
  <c r="Q916" i="1" s="1"/>
  <c r="S916" i="14" s="1"/>
  <c r="D917" i="1" a="1"/>
  <c r="D917" i="1" s="1"/>
  <c r="I917" i="14" s="1"/>
  <c r="H917" i="1" a="1"/>
  <c r="H917" i="1" s="1"/>
  <c r="J917" i="14" s="1"/>
  <c r="L917" i="1" a="1"/>
  <c r="L917" i="1" s="1"/>
  <c r="Q917" i="1" a="1"/>
  <c r="Q917" i="1" s="1"/>
  <c r="S917" i="14" s="1"/>
  <c r="D918" i="1" a="1"/>
  <c r="D918" i="1" s="1"/>
  <c r="I918" i="14" s="1"/>
  <c r="H918" i="1" a="1"/>
  <c r="H918" i="1" s="1"/>
  <c r="J918" i="14" s="1"/>
  <c r="K918" i="1" a="1"/>
  <c r="K918" i="1" s="1"/>
  <c r="L918" i="14" s="1"/>
  <c r="P918" i="1" a="1"/>
  <c r="P918" i="1" s="1"/>
  <c r="L919" i="1" a="1"/>
  <c r="L919" i="1" s="1"/>
  <c r="Q919" i="1" a="1"/>
  <c r="Q919" i="1" s="1"/>
  <c r="S919" i="14" s="1"/>
  <c r="D920" i="1" a="1"/>
  <c r="D920" i="1" s="1"/>
  <c r="I920" i="14" s="1"/>
  <c r="H920" i="1" a="1"/>
  <c r="H920" i="1" s="1"/>
  <c r="J920" i="14" s="1"/>
  <c r="L920" i="1" a="1"/>
  <c r="L920" i="1" s="1"/>
  <c r="Q920" i="1" a="1"/>
  <c r="Q920" i="1" s="1"/>
  <c r="S920" i="14" s="1"/>
  <c r="C921" i="1" a="1"/>
  <c r="C921" i="1" s="1"/>
  <c r="E921" i="14" s="1"/>
  <c r="G921" i="1" a="1"/>
  <c r="G921" i="1" s="1"/>
  <c r="K921" i="1" a="1"/>
  <c r="K921" i="1" s="1"/>
  <c r="P921" i="1" a="1"/>
  <c r="P921" i="1" s="1"/>
  <c r="C922" i="1" a="1"/>
  <c r="C922" i="1" s="1"/>
  <c r="E922" i="14" s="1"/>
  <c r="J922" i="1" a="1"/>
  <c r="J922" i="1" s="1"/>
  <c r="O922" i="1"/>
  <c r="M922" i="14" s="1"/>
  <c r="F923" i="1" a="1"/>
  <c r="F923" i="1" s="1"/>
  <c r="R923" i="14" s="1"/>
  <c r="J923" i="1" a="1"/>
  <c r="J923" i="1" s="1"/>
  <c r="O923" i="1"/>
  <c r="M923" i="14" s="1"/>
  <c r="F924" i="1" a="1"/>
  <c r="F924" i="1" s="1"/>
  <c r="R924" i="14" s="1"/>
  <c r="M924" i="1" a="1"/>
  <c r="M924" i="1" s="1"/>
  <c r="M925" i="1" a="1"/>
  <c r="M925" i="1" s="1"/>
  <c r="L926" i="1" a="1"/>
  <c r="L926" i="1" s="1"/>
  <c r="C927" i="1" a="1"/>
  <c r="C927" i="1" s="1"/>
  <c r="E927" i="14" s="1"/>
  <c r="F927" i="1" a="1"/>
  <c r="F927" i="1" s="1"/>
  <c r="R927" i="14" s="1"/>
  <c r="J927" i="1" a="1"/>
  <c r="J927" i="1" s="1"/>
  <c r="M927" i="1" a="1"/>
  <c r="M927" i="1" s="1"/>
  <c r="M928" i="1" a="1"/>
  <c r="M928" i="1" s="1"/>
  <c r="G929" i="1" a="1"/>
  <c r="G929" i="1" s="1"/>
  <c r="K929" i="1" a="1"/>
  <c r="K929" i="1" s="1"/>
  <c r="O929" i="1"/>
  <c r="M929" i="14" s="1"/>
  <c r="F930" i="1" a="1"/>
  <c r="F930" i="1" s="1"/>
  <c r="R930" i="14" s="1"/>
  <c r="J930" i="1" a="1"/>
  <c r="J930" i="1" s="1"/>
  <c r="O930" i="1"/>
  <c r="M930" i="14" s="1"/>
  <c r="F931" i="1" a="1"/>
  <c r="F931" i="1" s="1"/>
  <c r="R931" i="14" s="1"/>
  <c r="J931" i="1" a="1"/>
  <c r="J931" i="1" s="1"/>
  <c r="O931" i="1"/>
  <c r="M931" i="14" s="1"/>
  <c r="F932" i="1" a="1"/>
  <c r="F932" i="1" s="1"/>
  <c r="R932" i="14" s="1"/>
  <c r="J932" i="1" a="1"/>
  <c r="J932" i="1" s="1"/>
  <c r="O932" i="1"/>
  <c r="M932" i="14" s="1"/>
  <c r="F933" i="1" a="1"/>
  <c r="F933" i="1" s="1"/>
  <c r="R933" i="14" s="1"/>
  <c r="J933" i="1" a="1"/>
  <c r="J933" i="1" s="1"/>
  <c r="O933" i="1"/>
  <c r="M933" i="14" s="1"/>
  <c r="F934" i="1" a="1"/>
  <c r="F934" i="1" s="1"/>
  <c r="R934" i="14" s="1"/>
  <c r="M934" i="1" a="1"/>
  <c r="M934" i="1" s="1"/>
  <c r="Q934" i="1" a="1"/>
  <c r="Q934" i="1" s="1"/>
  <c r="S934" i="14" s="1"/>
  <c r="D935" i="1" a="1"/>
  <c r="D935" i="1" s="1"/>
  <c r="I935" i="14" s="1"/>
  <c r="G935" i="1" a="1"/>
  <c r="G935" i="1" s="1"/>
  <c r="K935" i="1" a="1"/>
  <c r="K935" i="1" s="1"/>
  <c r="O935" i="1"/>
  <c r="M935" i="14" s="1"/>
  <c r="F936" i="1" a="1"/>
  <c r="F936" i="1" s="1"/>
  <c r="R936" i="14" s="1"/>
  <c r="J936" i="1" a="1"/>
  <c r="J936" i="1" s="1"/>
  <c r="O936" i="1"/>
  <c r="M936" i="14" s="1"/>
  <c r="F937" i="1" a="1"/>
  <c r="F937" i="1" s="1"/>
  <c r="R937" i="14" s="1"/>
  <c r="J937" i="1" a="1"/>
  <c r="J937" i="1" s="1"/>
  <c r="O937" i="1"/>
  <c r="M937" i="14" s="1"/>
  <c r="F938" i="1" a="1"/>
  <c r="F938" i="1" s="1"/>
  <c r="R938" i="14" s="1"/>
  <c r="J938" i="1" a="1"/>
  <c r="J938" i="1" s="1"/>
  <c r="O938" i="1"/>
  <c r="M938" i="14" s="1"/>
  <c r="F939" i="1" a="1"/>
  <c r="F939" i="1" s="1"/>
  <c r="R939" i="14" s="1"/>
  <c r="J939" i="1" a="1"/>
  <c r="J939" i="1" s="1"/>
  <c r="O939" i="1"/>
  <c r="M939" i="14" s="1"/>
  <c r="F940" i="1" a="1"/>
  <c r="F940" i="1" s="1"/>
  <c r="R940" i="14" s="1"/>
  <c r="M940" i="1" a="1"/>
  <c r="M940" i="1" s="1"/>
  <c r="M941" i="1" a="1"/>
  <c r="M941" i="1" s="1"/>
  <c r="H942" i="1" a="1"/>
  <c r="H942" i="1" s="1"/>
  <c r="J942" i="14" s="1"/>
  <c r="L942" i="1" a="1"/>
  <c r="L942" i="1" s="1"/>
  <c r="Q942" i="1" a="1"/>
  <c r="Q942" i="1" s="1"/>
  <c r="S942" i="14" s="1"/>
  <c r="D943" i="1" a="1"/>
  <c r="D943" i="1" s="1"/>
  <c r="I943" i="14" s="1"/>
  <c r="G943" i="1" a="1"/>
  <c r="G943" i="1" s="1"/>
  <c r="K943" i="1" a="1"/>
  <c r="K943" i="1" s="1"/>
  <c r="O943" i="1"/>
  <c r="M943" i="14" s="1"/>
  <c r="F944" i="1" a="1"/>
  <c r="F944" i="1" s="1"/>
  <c r="R944" i="14" s="1"/>
  <c r="J944" i="1" a="1"/>
  <c r="J944" i="1" s="1"/>
  <c r="O944" i="1"/>
  <c r="M944" i="14" s="1"/>
  <c r="F945" i="1" a="1"/>
  <c r="F945" i="1" s="1"/>
  <c r="R945" i="14" s="1"/>
  <c r="J945" i="1" a="1"/>
  <c r="J945" i="1" s="1"/>
  <c r="M945" i="1" a="1"/>
  <c r="M945" i="1" s="1"/>
  <c r="M946" i="1" a="1"/>
  <c r="M946" i="1" s="1"/>
  <c r="M947" i="1" a="1"/>
  <c r="M947" i="1" s="1"/>
  <c r="M948" i="1" a="1"/>
  <c r="M948" i="1" s="1"/>
  <c r="M949" i="1" a="1"/>
  <c r="M949" i="1" s="1"/>
  <c r="P950" i="1" a="1"/>
  <c r="P950" i="1" s="1"/>
  <c r="C951" i="1" a="1"/>
  <c r="C951" i="1" s="1"/>
  <c r="E951" i="14" s="1"/>
  <c r="G951" i="1" a="1"/>
  <c r="G951" i="1" s="1"/>
  <c r="K951" i="1" a="1"/>
  <c r="K951" i="1" s="1"/>
  <c r="O951" i="1"/>
  <c r="M951" i="14" s="1"/>
  <c r="F952" i="1" a="1"/>
  <c r="F952" i="1" s="1"/>
  <c r="R952" i="14" s="1"/>
  <c r="J952" i="1" a="1"/>
  <c r="J952" i="1" s="1"/>
  <c r="O952" i="1"/>
  <c r="M952" i="14" s="1"/>
  <c r="F953" i="1" a="1"/>
  <c r="F953" i="1" s="1"/>
  <c r="R953" i="14" s="1"/>
  <c r="J953" i="1" a="1"/>
  <c r="J953" i="1" s="1"/>
  <c r="O953" i="1"/>
  <c r="M953" i="14" s="1"/>
  <c r="F954" i="1" a="1"/>
  <c r="F954" i="1" s="1"/>
  <c r="R954" i="14" s="1"/>
  <c r="J954" i="1" a="1"/>
  <c r="J954" i="1" s="1"/>
  <c r="M954" i="1" a="1"/>
  <c r="M954" i="1" s="1"/>
  <c r="M955" i="1" a="1"/>
  <c r="M955" i="1" s="1"/>
  <c r="M956" i="1" a="1"/>
  <c r="M956" i="1" s="1"/>
  <c r="H957" i="1" a="1"/>
  <c r="H957" i="1" s="1"/>
  <c r="J957" i="14" s="1"/>
  <c r="L957" i="1" a="1"/>
  <c r="L957" i="1" s="1"/>
  <c r="Q957" i="1" a="1"/>
  <c r="Q957" i="1" s="1"/>
  <c r="S957" i="14" s="1"/>
  <c r="C958" i="1" a="1"/>
  <c r="C958" i="1" s="1"/>
  <c r="E958" i="14" s="1"/>
  <c r="G958" i="1" a="1"/>
  <c r="G958" i="1" s="1"/>
  <c r="K958" i="1" a="1"/>
  <c r="K958" i="1" s="1"/>
  <c r="L958" i="14" s="1"/>
  <c r="O958" i="1"/>
  <c r="M958" i="14" s="1"/>
  <c r="F959" i="1" a="1"/>
  <c r="F959" i="1" s="1"/>
  <c r="R959" i="14" s="1"/>
  <c r="J959" i="1" a="1"/>
  <c r="J959" i="1" s="1"/>
  <c r="M959" i="1" a="1"/>
  <c r="M959" i="1" s="1"/>
  <c r="L960" i="1" a="1"/>
  <c r="L960" i="1" s="1"/>
  <c r="P960" i="1" a="1"/>
  <c r="P960" i="1" s="1"/>
  <c r="F961" i="1" a="1"/>
  <c r="F961" i="1" s="1"/>
  <c r="R961" i="14" s="1"/>
  <c r="L961" i="1" a="1"/>
  <c r="L961" i="1" s="1"/>
  <c r="Q961" i="1" a="1"/>
  <c r="Q961" i="1" s="1"/>
  <c r="S961" i="14" s="1"/>
  <c r="D962" i="1" a="1"/>
  <c r="D962" i="1" s="1"/>
  <c r="I962" i="14" s="1"/>
  <c r="H962" i="1" a="1"/>
  <c r="H962" i="1" s="1"/>
  <c r="J962" i="14" s="1"/>
  <c r="L962" i="1" a="1"/>
  <c r="L962" i="1" s="1"/>
  <c r="Q962" i="1" a="1"/>
  <c r="Q962" i="1" s="1"/>
  <c r="S962" i="14" s="1"/>
  <c r="D963" i="1" a="1"/>
  <c r="D963" i="1" s="1"/>
  <c r="I963" i="14" s="1"/>
  <c r="H963" i="1" a="1"/>
  <c r="H963" i="1" s="1"/>
  <c r="J963" i="14" s="1"/>
  <c r="L963" i="1" a="1"/>
  <c r="L963" i="1" s="1"/>
  <c r="Q963" i="1" a="1"/>
  <c r="Q963" i="1" s="1"/>
  <c r="S963" i="14" s="1"/>
  <c r="D964" i="1" a="1"/>
  <c r="D964" i="1" s="1"/>
  <c r="I964" i="14" s="1"/>
  <c r="H964" i="1" a="1"/>
  <c r="H964" i="1" s="1"/>
  <c r="J964" i="14" s="1"/>
  <c r="K964" i="1" a="1"/>
  <c r="K964" i="1" s="1"/>
  <c r="O964" i="1"/>
  <c r="M964" i="14" s="1"/>
  <c r="P965" i="1" a="1"/>
  <c r="P965" i="1" s="1"/>
  <c r="C966" i="1" a="1"/>
  <c r="C966" i="1" s="1"/>
  <c r="E966" i="14" s="1"/>
  <c r="G966" i="1" a="1"/>
  <c r="G966" i="1" s="1"/>
  <c r="K966" i="1" a="1"/>
  <c r="K966" i="1" s="1"/>
  <c r="O966" i="1"/>
  <c r="M966" i="14" s="1"/>
  <c r="D967" i="1" a="1"/>
  <c r="D967" i="1" s="1"/>
  <c r="I967" i="14" s="1"/>
  <c r="H967" i="1" a="1"/>
  <c r="H967" i="1" s="1"/>
  <c r="J967" i="14" s="1"/>
  <c r="L967" i="1" a="1"/>
  <c r="L967" i="1" s="1"/>
  <c r="P967" i="1" a="1"/>
  <c r="P967" i="1" s="1"/>
  <c r="C968" i="1" a="1"/>
  <c r="C968" i="1" s="1"/>
  <c r="E968" i="14" s="1"/>
  <c r="G968" i="1" a="1"/>
  <c r="G968" i="1" s="1"/>
  <c r="K968" i="1" a="1"/>
  <c r="K968" i="1" s="1"/>
  <c r="L968" i="14" s="1"/>
  <c r="O968" i="1"/>
  <c r="M968" i="14" s="1"/>
  <c r="H969" i="1" a="1"/>
  <c r="H969" i="1" s="1"/>
  <c r="J969" i="14" s="1"/>
  <c r="L969" i="1" a="1"/>
  <c r="L969" i="1" s="1"/>
  <c r="C970" i="1" a="1"/>
  <c r="C970" i="1" s="1"/>
  <c r="E970" i="14" s="1"/>
  <c r="F970" i="1" a="1"/>
  <c r="F970" i="1" s="1"/>
  <c r="R970" i="14" s="1"/>
  <c r="M970" i="1" a="1"/>
  <c r="M970" i="1" s="1"/>
  <c r="Q971" i="1" a="1"/>
  <c r="Q971" i="1" s="1"/>
  <c r="S971" i="14" s="1"/>
  <c r="D972" i="1" a="1"/>
  <c r="D972" i="1" s="1"/>
  <c r="I972" i="14" s="1"/>
  <c r="H972" i="1" a="1"/>
  <c r="H972" i="1" s="1"/>
  <c r="J972" i="14" s="1"/>
  <c r="L972" i="1" a="1"/>
  <c r="L972" i="1" s="1"/>
  <c r="P972" i="1" a="1"/>
  <c r="P972" i="1" s="1"/>
  <c r="M973" i="1" a="1"/>
  <c r="M973" i="1" s="1"/>
  <c r="Q973" i="1" a="1"/>
  <c r="Q973" i="1" s="1"/>
  <c r="S973" i="14" s="1"/>
  <c r="D974" i="1" a="1"/>
  <c r="D974" i="1" s="1"/>
  <c r="I974" i="14" s="1"/>
  <c r="G974" i="1" a="1"/>
  <c r="G974" i="1" s="1"/>
  <c r="J974" i="1" a="1"/>
  <c r="J974" i="1" s="1"/>
  <c r="O974" i="1"/>
  <c r="M974" i="14" s="1"/>
  <c r="F975" i="1" a="1"/>
  <c r="F975" i="1" s="1"/>
  <c r="R975" i="14" s="1"/>
  <c r="J975" i="1" a="1"/>
  <c r="J975" i="1" s="1"/>
  <c r="O975" i="1"/>
  <c r="M975" i="14" s="1"/>
  <c r="F976" i="1" a="1"/>
  <c r="F976" i="1" s="1"/>
  <c r="R976" i="14" s="1"/>
  <c r="M976" i="1" a="1"/>
  <c r="M976" i="1" s="1"/>
  <c r="P977" i="1" a="1"/>
  <c r="P977" i="1" s="1"/>
  <c r="C978" i="1" a="1"/>
  <c r="C978" i="1" s="1"/>
  <c r="E978" i="14" s="1"/>
  <c r="G978" i="1" a="1"/>
  <c r="G978" i="1" s="1"/>
  <c r="K978" i="1" a="1"/>
  <c r="K978" i="1" s="1"/>
  <c r="O978" i="1"/>
  <c r="M978" i="14" s="1"/>
  <c r="D979" i="1" a="1"/>
  <c r="D979" i="1" s="1"/>
  <c r="I979" i="14" s="1"/>
  <c r="H979" i="1" a="1"/>
  <c r="H979" i="1" s="1"/>
  <c r="J979" i="14" s="1"/>
  <c r="L979" i="1" a="1"/>
  <c r="L979" i="1" s="1"/>
  <c r="P979" i="1" a="1"/>
  <c r="P979" i="1" s="1"/>
  <c r="C980" i="1" a="1"/>
  <c r="C980" i="1" s="1"/>
  <c r="E980" i="14" s="1"/>
  <c r="G980" i="1" a="1"/>
  <c r="G980" i="1" s="1"/>
  <c r="K980" i="1" a="1"/>
  <c r="K980" i="1" s="1"/>
  <c r="O980" i="1"/>
  <c r="M980" i="14" s="1"/>
  <c r="H981" i="1" a="1"/>
  <c r="H981" i="1" s="1"/>
  <c r="J981" i="14" s="1"/>
  <c r="L981" i="1" a="1"/>
  <c r="L981" i="1" s="1"/>
  <c r="F982" i="1" a="1"/>
  <c r="F982" i="1" s="1"/>
  <c r="R982" i="14" s="1"/>
  <c r="J982" i="1" a="1"/>
  <c r="J982" i="1" s="1"/>
  <c r="L983" i="1" a="1"/>
  <c r="L983" i="1" s="1"/>
  <c r="Q983" i="1" a="1"/>
  <c r="Q983" i="1" s="1"/>
  <c r="S983" i="14" s="1"/>
  <c r="D984" i="1" a="1"/>
  <c r="D984" i="1" s="1"/>
  <c r="I984" i="14" s="1"/>
  <c r="H984" i="1" a="1"/>
  <c r="H984" i="1" s="1"/>
  <c r="J984" i="14" s="1"/>
  <c r="K984" i="1" a="1"/>
  <c r="K984" i="1" s="1"/>
  <c r="P984" i="1" a="1"/>
  <c r="P984" i="1" s="1"/>
  <c r="C985" i="1" a="1"/>
  <c r="C985" i="1" s="1"/>
  <c r="E985" i="14" s="1"/>
  <c r="G985" i="1" a="1"/>
  <c r="G985" i="1" s="1"/>
  <c r="K985" i="1" a="1"/>
  <c r="K985" i="1" s="1"/>
  <c r="L985" i="14" s="1"/>
  <c r="P985" i="1" a="1"/>
  <c r="P985" i="1" s="1"/>
  <c r="C986" i="1" a="1"/>
  <c r="C986" i="1" s="1"/>
  <c r="E986" i="14" s="1"/>
  <c r="G986" i="1" a="1"/>
  <c r="G986" i="1" s="1"/>
  <c r="K986" i="1" a="1"/>
  <c r="K986" i="1" s="1"/>
  <c r="O986" i="1"/>
  <c r="M986" i="14" s="1"/>
  <c r="D987" i="1" a="1"/>
  <c r="D987" i="1" s="1"/>
  <c r="I987" i="14" s="1"/>
  <c r="H987" i="1" a="1"/>
  <c r="H987" i="1" s="1"/>
  <c r="J987" i="14" s="1"/>
  <c r="L987" i="1" a="1"/>
  <c r="L987" i="1" s="1"/>
  <c r="Q987" i="1" a="1"/>
  <c r="Q987" i="1" s="1"/>
  <c r="S987" i="14" s="1"/>
  <c r="D988" i="1" a="1"/>
  <c r="D988" i="1" s="1"/>
  <c r="I988" i="14" s="1"/>
  <c r="H988" i="1" a="1"/>
  <c r="H988" i="1" s="1"/>
  <c r="J988" i="14" s="1"/>
  <c r="L988" i="1" a="1"/>
  <c r="L988" i="1" s="1"/>
  <c r="P988" i="1" a="1"/>
  <c r="P988" i="1" s="1"/>
  <c r="F989" i="1" a="1"/>
  <c r="F989" i="1" s="1"/>
  <c r="R989" i="14" s="1"/>
  <c r="J989" i="1" a="1"/>
  <c r="J989" i="1" s="1"/>
  <c r="O989" i="1"/>
  <c r="M989" i="14" s="1"/>
  <c r="M990" i="1" a="1"/>
  <c r="M990" i="1" s="1"/>
  <c r="Q990" i="1" a="1"/>
  <c r="Q990" i="1" s="1"/>
  <c r="S990" i="14" s="1"/>
  <c r="D991" i="1" a="1"/>
  <c r="D991" i="1" s="1"/>
  <c r="I991" i="14" s="1"/>
  <c r="H991" i="1" a="1"/>
  <c r="H991" i="1" s="1"/>
  <c r="J991" i="14" s="1"/>
  <c r="L991" i="1" a="1"/>
  <c r="L991" i="1" s="1"/>
  <c r="Q991" i="1" a="1"/>
  <c r="Q991" i="1" s="1"/>
  <c r="S991" i="14" s="1"/>
  <c r="D992" i="1" a="1"/>
  <c r="D992" i="1" s="1"/>
  <c r="I992" i="14" s="1"/>
  <c r="H992" i="1" a="1"/>
  <c r="H992" i="1" s="1"/>
  <c r="J992" i="14" s="1"/>
  <c r="K992" i="1" a="1"/>
  <c r="K992" i="1" s="1"/>
  <c r="L992" i="14" s="1"/>
  <c r="P992" i="1" a="1"/>
  <c r="P992" i="1" s="1"/>
  <c r="C993" i="1" a="1"/>
  <c r="C993" i="1" s="1"/>
  <c r="E993" i="14" s="1"/>
  <c r="G993" i="1" a="1"/>
  <c r="G993" i="1" s="1"/>
  <c r="J993" i="1" a="1"/>
  <c r="J993" i="1" s="1"/>
  <c r="M993" i="1" a="1"/>
  <c r="M993" i="1" s="1"/>
  <c r="M994" i="1" a="1"/>
  <c r="M994" i="1" s="1"/>
  <c r="Q994" i="1" a="1"/>
  <c r="Q994" i="1" s="1"/>
  <c r="S994" i="14" s="1"/>
  <c r="C995" i="1" a="1"/>
  <c r="C995" i="1" s="1"/>
  <c r="E995" i="14" s="1"/>
  <c r="F995" i="1" a="1"/>
  <c r="F995" i="1" s="1"/>
  <c r="R995" i="14" s="1"/>
  <c r="J995" i="1" a="1"/>
  <c r="J995" i="1" s="1"/>
  <c r="M995" i="1" a="1"/>
  <c r="M995" i="1" s="1"/>
  <c r="C997" i="1" a="1"/>
  <c r="C997" i="1" s="1"/>
  <c r="E997" i="14" s="1"/>
  <c r="G997" i="1" a="1"/>
  <c r="G997" i="1" s="1"/>
  <c r="J997" i="1" a="1"/>
  <c r="J997" i="1" s="1"/>
  <c r="M997" i="1" a="1"/>
  <c r="M997" i="1" s="1"/>
  <c r="M998" i="1" a="1"/>
  <c r="M998" i="1" s="1"/>
  <c r="Q998" i="1" a="1"/>
  <c r="Q998" i="1" s="1"/>
  <c r="S998" i="14" s="1"/>
  <c r="C999" i="1" a="1"/>
  <c r="C999" i="1" s="1"/>
  <c r="E999" i="14" s="1"/>
  <c r="F999" i="1" a="1"/>
  <c r="F999" i="1" s="1"/>
  <c r="R999" i="14" s="1"/>
  <c r="J999" i="1" a="1"/>
  <c r="J999" i="1" s="1"/>
  <c r="M999" i="1" a="1"/>
  <c r="M999" i="1" s="1"/>
  <c r="L1000" i="1" a="1"/>
  <c r="L1000" i="1" s="1"/>
  <c r="P1000" i="1" a="1"/>
  <c r="P1000" i="1" s="1"/>
  <c r="C1001" i="1" a="1"/>
  <c r="C1001" i="1" s="1"/>
  <c r="E1001" i="14" s="1"/>
  <c r="F1001" i="1" a="1"/>
  <c r="F1001" i="1" s="1"/>
  <c r="R1001" i="14" s="1"/>
  <c r="M1001" i="1" a="1"/>
  <c r="M1001" i="1" s="1"/>
  <c r="Q1001" i="1" a="1"/>
  <c r="Q1001" i="1" s="1"/>
  <c r="S1001" i="14" s="1"/>
  <c r="D1002" i="1" a="1"/>
  <c r="D1002" i="1" s="1"/>
  <c r="I1002" i="14" s="1"/>
  <c r="G1002" i="1" a="1"/>
  <c r="G1002" i="1" s="1"/>
  <c r="J1002" i="1" a="1"/>
  <c r="J1002" i="1" s="1"/>
  <c r="O1002" i="1"/>
  <c r="M1002" i="14" s="1"/>
  <c r="F1003" i="1" a="1"/>
  <c r="F1003" i="1" s="1"/>
  <c r="R1003" i="14" s="1"/>
  <c r="J1003" i="1" a="1"/>
  <c r="J1003" i="1" s="1"/>
  <c r="O1003" i="1"/>
  <c r="M1003" i="14" s="1"/>
  <c r="F1004" i="1" a="1"/>
  <c r="F1004" i="1" s="1"/>
  <c r="R1004" i="14" s="1"/>
  <c r="J1004" i="1" a="1"/>
  <c r="J1004" i="1" s="1"/>
  <c r="O1004" i="1"/>
  <c r="M1004" i="14" s="1"/>
  <c r="F1005" i="1" a="1"/>
  <c r="F1005" i="1" s="1"/>
  <c r="R1005" i="14" s="1"/>
  <c r="L1005" i="1" a="1"/>
  <c r="L1005" i="1" s="1"/>
  <c r="Q1005" i="1" a="1"/>
  <c r="Q1005" i="1" s="1"/>
  <c r="S1005" i="14" s="1"/>
  <c r="D1006" i="1" a="1"/>
  <c r="D1006" i="1" s="1"/>
  <c r="I1006" i="14" s="1"/>
  <c r="H1006" i="1" a="1"/>
  <c r="H1006" i="1" s="1"/>
  <c r="J1006" i="14" s="1"/>
  <c r="L1006" i="1" a="1"/>
  <c r="L1006" i="1" s="1"/>
  <c r="Q1006" i="1" a="1"/>
  <c r="Q1006" i="1" s="1"/>
  <c r="S1006" i="14" s="1"/>
  <c r="D1007" i="1" a="1"/>
  <c r="D1007" i="1" s="1"/>
  <c r="I1007" i="14" s="1"/>
  <c r="H1007" i="1" a="1"/>
  <c r="H1007" i="1" s="1"/>
  <c r="J1007" i="14" s="1"/>
  <c r="L1007" i="1" a="1"/>
  <c r="L1007" i="1" s="1"/>
  <c r="P1007" i="1" a="1"/>
  <c r="P1007" i="1" s="1"/>
  <c r="C1008" i="1" a="1"/>
  <c r="C1008" i="1" s="1"/>
  <c r="E1008" i="14" s="1"/>
  <c r="G1008" i="1" a="1"/>
  <c r="G1008" i="1" s="1"/>
  <c r="J1008" i="1" a="1"/>
  <c r="J1008" i="1" s="1"/>
  <c r="O1008" i="1"/>
  <c r="M1008" i="14" s="1"/>
  <c r="P1009" i="1" a="1"/>
  <c r="P1009" i="1" s="1"/>
  <c r="C1010" i="1" a="1"/>
  <c r="C1010" i="1" s="1"/>
  <c r="E1010" i="14" s="1"/>
  <c r="F1010" i="1" a="1"/>
  <c r="F1010" i="1" s="1"/>
  <c r="R1010" i="14" s="1"/>
  <c r="M1010" i="1" a="1"/>
  <c r="M1010" i="1" s="1"/>
  <c r="M1011" i="1" a="1"/>
  <c r="M1011" i="1" s="1"/>
  <c r="M1012" i="1" a="1"/>
  <c r="M1012" i="1" s="1"/>
  <c r="P1013" i="1" a="1"/>
  <c r="P1013" i="1" s="1"/>
  <c r="C1014" i="1" a="1"/>
  <c r="C1014" i="1" s="1"/>
  <c r="E1014" i="14" s="1"/>
  <c r="G1014" i="1" a="1"/>
  <c r="G1014" i="1" s="1"/>
  <c r="K1014" i="1" a="1"/>
  <c r="K1014" i="1" s="1"/>
  <c r="O1014" i="1"/>
  <c r="M1014" i="14" s="1"/>
  <c r="D1015" i="1" a="1"/>
  <c r="D1015" i="1" s="1"/>
  <c r="I1015" i="14" s="1"/>
  <c r="H1015" i="1" a="1"/>
  <c r="H1015" i="1" s="1"/>
  <c r="J1015" i="14" s="1"/>
  <c r="L1015" i="1" a="1"/>
  <c r="L1015" i="1" s="1"/>
  <c r="Q1015" i="1" a="1"/>
  <c r="Q1015" i="1" s="1"/>
  <c r="S1015" i="14" s="1"/>
  <c r="D1016" i="1" a="1"/>
  <c r="D1016" i="1" s="1"/>
  <c r="I1016" i="14" s="1"/>
  <c r="H1016" i="1" a="1"/>
  <c r="H1016" i="1" s="1"/>
  <c r="J1016" i="14" s="1"/>
  <c r="K1016" i="1" a="1"/>
  <c r="K1016" i="1" s="1"/>
  <c r="L1016" i="14" s="1"/>
  <c r="O1016" i="1"/>
  <c r="M1016" i="14" s="1"/>
  <c r="P1017" i="1" a="1"/>
  <c r="P1017" i="1" s="1"/>
  <c r="F1018" i="1" a="1"/>
  <c r="F1018" i="1" s="1"/>
  <c r="R1018" i="14" s="1"/>
  <c r="J1018" i="1" a="1"/>
  <c r="J1018" i="1" s="1"/>
  <c r="O1018" i="1"/>
  <c r="M1018" i="14" s="1"/>
  <c r="F1019" i="1" a="1"/>
  <c r="F1019" i="1" s="1"/>
  <c r="R1019" i="14" s="1"/>
  <c r="J1019" i="1" a="1"/>
  <c r="J1019" i="1" s="1"/>
  <c r="O1019" i="1"/>
  <c r="M1019" i="14" s="1"/>
  <c r="F1020" i="1" a="1"/>
  <c r="F1020" i="1" s="1"/>
  <c r="R1020" i="14" s="1"/>
  <c r="J1020" i="1" a="1"/>
  <c r="J1020" i="1" s="1"/>
  <c r="M1020" i="1" a="1"/>
  <c r="M1020" i="1" s="1"/>
  <c r="Q1020" i="1" a="1"/>
  <c r="Q1020" i="1" s="1"/>
  <c r="S1020" i="14" s="1"/>
  <c r="D1021" i="1" a="1"/>
  <c r="D1021" i="1" s="1"/>
  <c r="I1021" i="14" s="1"/>
  <c r="H1021" i="1" a="1"/>
  <c r="H1021" i="1" s="1"/>
  <c r="J1021" i="14" s="1"/>
  <c r="L1021" i="1" a="1"/>
  <c r="L1021" i="1" s="1"/>
  <c r="Q1021" i="1" a="1"/>
  <c r="Q1021" i="1" s="1"/>
  <c r="S1021" i="14" s="1"/>
  <c r="D1022" i="1" a="1"/>
  <c r="D1022" i="1" s="1"/>
  <c r="I1022" i="14" s="1"/>
  <c r="G1022" i="1" a="1"/>
  <c r="G1022" i="1" s="1"/>
  <c r="J1022" i="1" a="1"/>
  <c r="J1022" i="1" s="1"/>
  <c r="O1022" i="1"/>
  <c r="M1022" i="14" s="1"/>
  <c r="F1023" i="1" a="1"/>
  <c r="F1023" i="1" s="1"/>
  <c r="R1023" i="14" s="1"/>
  <c r="J1023" i="1" a="1"/>
  <c r="J1023" i="1" s="1"/>
  <c r="O1023" i="1"/>
  <c r="M1023" i="14" s="1"/>
  <c r="D1024" i="1" a="1"/>
  <c r="D1024" i="1" s="1"/>
  <c r="I1024" i="14" s="1"/>
  <c r="G1024" i="1" a="1"/>
  <c r="G1024" i="1" s="1"/>
  <c r="K1024" i="1" a="1"/>
  <c r="K1024" i="1" s="1"/>
  <c r="L1024" i="14" s="1"/>
  <c r="O1024" i="1"/>
  <c r="M1024" i="14" s="1"/>
  <c r="F1025" i="1" a="1"/>
  <c r="F1025" i="1" s="1"/>
  <c r="R1025" i="14" s="1"/>
  <c r="J1025" i="1" a="1"/>
  <c r="J1025" i="1" s="1"/>
  <c r="O1025" i="1"/>
  <c r="M1025" i="14" s="1"/>
  <c r="F1026" i="1" a="1"/>
  <c r="F1026" i="1" s="1"/>
  <c r="R1026" i="14" s="1"/>
  <c r="J1026" i="1" a="1"/>
  <c r="J1026" i="1" s="1"/>
  <c r="O1026" i="1"/>
  <c r="M1026" i="14" s="1"/>
  <c r="F1027" i="1" a="1"/>
  <c r="F1027" i="1" s="1"/>
  <c r="R1027" i="14" s="1"/>
  <c r="J1027" i="1" a="1"/>
  <c r="J1027" i="1" s="1"/>
  <c r="M1027" i="1" a="1"/>
  <c r="M1027" i="1" s="1"/>
  <c r="Q1027" i="1" a="1"/>
  <c r="Q1027" i="1" s="1"/>
  <c r="S1027" i="14" s="1"/>
  <c r="D1028" i="1" a="1"/>
  <c r="D1028" i="1" s="1"/>
  <c r="I1028" i="14" s="1"/>
  <c r="G1028" i="1" a="1"/>
  <c r="G1028" i="1" s="1"/>
  <c r="K1028" i="1" a="1"/>
  <c r="K1028" i="1" s="1"/>
  <c r="P1028" i="1" a="1"/>
  <c r="P1028" i="1" s="1"/>
  <c r="C1029" i="1" a="1"/>
  <c r="C1029" i="1" s="1"/>
  <c r="E1029" i="14" s="1"/>
  <c r="G1029" i="1" a="1"/>
  <c r="G1029" i="1" s="1"/>
  <c r="J1029" i="1" a="1"/>
  <c r="J1029" i="1" s="1"/>
  <c r="O1029" i="1"/>
  <c r="M1029" i="14" s="1"/>
  <c r="F1030" i="1" a="1"/>
  <c r="F1030" i="1" s="1"/>
  <c r="R1030" i="14" s="1"/>
  <c r="J1030" i="1" a="1"/>
  <c r="J1030" i="1" s="1"/>
  <c r="M1030" i="1" a="1"/>
  <c r="M1030" i="1" s="1"/>
  <c r="M1031" i="1" a="1"/>
  <c r="M1031" i="1" s="1"/>
  <c r="M1032" i="1" a="1"/>
  <c r="M1032" i="1" s="1"/>
  <c r="Q1032" i="1" a="1"/>
  <c r="Q1032" i="1" s="1"/>
  <c r="S1032" i="14" s="1"/>
  <c r="D1033" i="1" a="1"/>
  <c r="D1033" i="1" s="1"/>
  <c r="I1033" i="14" s="1"/>
  <c r="H1033" i="1" a="1"/>
  <c r="H1033" i="1" s="1"/>
  <c r="J1033" i="14" s="1"/>
  <c r="L1033" i="1" a="1"/>
  <c r="L1033" i="1" s="1"/>
  <c r="Q1033" i="1" a="1"/>
  <c r="Q1033" i="1" s="1"/>
  <c r="S1033" i="14" s="1"/>
  <c r="D1034" i="1" a="1"/>
  <c r="D1034" i="1" s="1"/>
  <c r="I1034" i="14" s="1"/>
  <c r="H1034" i="1" a="1"/>
  <c r="H1034" i="1" s="1"/>
  <c r="J1034" i="14" s="1"/>
  <c r="L1034" i="1" a="1"/>
  <c r="L1034" i="1" s="1"/>
  <c r="Q1034" i="1" a="1"/>
  <c r="Q1034" i="1" s="1"/>
  <c r="S1034" i="14" s="1"/>
  <c r="D1035" i="1" a="1"/>
  <c r="D1035" i="1" s="1"/>
  <c r="I1035" i="14" s="1"/>
  <c r="H1035" i="1" a="1"/>
  <c r="H1035" i="1" s="1"/>
  <c r="J1035" i="14" s="1"/>
  <c r="L1035" i="1" a="1"/>
  <c r="L1035" i="1" s="1"/>
  <c r="P1035" i="1" a="1"/>
  <c r="P1035" i="1" s="1"/>
  <c r="F1036" i="1" a="1"/>
  <c r="F1036" i="1" s="1"/>
  <c r="R1036" i="14" s="1"/>
  <c r="P1027" i="1" a="1"/>
  <c r="P1027" i="1" s="1"/>
  <c r="F1028" i="1" a="1"/>
  <c r="F1028" i="1" s="1"/>
  <c r="R1028" i="14" s="1"/>
  <c r="L1029" i="1" a="1"/>
  <c r="L1029" i="1" s="1"/>
  <c r="D1030" i="1" a="1"/>
  <c r="D1030" i="1" s="1"/>
  <c r="I1030" i="14" s="1"/>
  <c r="L1030" i="1" a="1"/>
  <c r="L1030" i="1" s="1"/>
  <c r="C1031" i="1" a="1"/>
  <c r="C1031" i="1" s="1"/>
  <c r="E1031" i="14" s="1"/>
  <c r="K1031" i="1" a="1"/>
  <c r="K1031" i="1" s="1"/>
  <c r="C1032" i="1" a="1"/>
  <c r="C1032" i="1" s="1"/>
  <c r="E1032" i="14" s="1"/>
  <c r="K1032" i="1" a="1"/>
  <c r="K1032" i="1" s="1"/>
  <c r="O1033" i="1"/>
  <c r="M1033" i="14" s="1"/>
  <c r="F1034" i="1" a="1"/>
  <c r="F1034" i="1" s="1"/>
  <c r="R1034" i="14" s="1"/>
  <c r="O1034" i="1"/>
  <c r="M1034" i="14" s="1"/>
  <c r="F1035" i="1" a="1"/>
  <c r="F1035" i="1" s="1"/>
  <c r="R1035" i="14" s="1"/>
  <c r="M1035" i="1" a="1"/>
  <c r="M1035" i="1" s="1"/>
  <c r="G1036" i="1" a="1"/>
  <c r="G1036" i="1" s="1"/>
  <c r="K1036" i="1" a="1"/>
  <c r="K1036" i="1" s="1"/>
  <c r="P1036" i="1" a="1"/>
  <c r="P1036" i="1" s="1"/>
  <c r="J1037" i="1" a="1"/>
  <c r="J1037" i="1" s="1"/>
  <c r="P1037" i="1" a="1"/>
  <c r="P1037" i="1" s="1"/>
  <c r="O1038" i="1"/>
  <c r="M1038" i="14" s="1"/>
  <c r="D1039" i="1" a="1"/>
  <c r="D1039" i="1" s="1"/>
  <c r="I1039" i="14" s="1"/>
  <c r="M1039" i="1" a="1"/>
  <c r="M1039" i="1" s="1"/>
  <c r="J1040" i="1" a="1"/>
  <c r="J1040" i="1" s="1"/>
  <c r="O1040" i="1"/>
  <c r="M1040" i="14" s="1"/>
  <c r="C1041" i="1" a="1"/>
  <c r="C1041" i="1" s="1"/>
  <c r="E1041" i="14" s="1"/>
  <c r="O1041" i="1"/>
  <c r="M1041" i="14" s="1"/>
  <c r="C1042" i="1" a="1"/>
  <c r="C1042" i="1" s="1"/>
  <c r="E1042" i="14" s="1"/>
  <c r="H1042" i="1" a="1"/>
  <c r="H1042" i="1" s="1"/>
  <c r="J1042" i="14" s="1"/>
  <c r="L1042" i="1" a="1"/>
  <c r="L1042" i="1" s="1"/>
  <c r="P1043" i="1" a="1"/>
  <c r="P1043" i="1" s="1"/>
  <c r="C1044" i="1" a="1"/>
  <c r="C1044" i="1" s="1"/>
  <c r="E1044" i="14" s="1"/>
  <c r="G1044" i="1" a="1"/>
  <c r="G1044" i="1" s="1"/>
  <c r="K1044" i="1" a="1"/>
  <c r="K1044" i="1" s="1"/>
  <c r="Q1044" i="1" a="1"/>
  <c r="Q1044" i="1" s="1"/>
  <c r="S1044" i="14" s="1"/>
  <c r="D1045" i="1" a="1"/>
  <c r="D1045" i="1" s="1"/>
  <c r="I1045" i="14" s="1"/>
  <c r="M1045" i="1" a="1"/>
  <c r="M1045" i="1" s="1"/>
  <c r="G1046" i="1" a="1"/>
  <c r="G1046" i="1" s="1"/>
  <c r="M1046" i="1" a="1"/>
  <c r="M1046" i="1" s="1"/>
  <c r="G1047" i="1" a="1"/>
  <c r="G1047" i="1" s="1"/>
  <c r="M1047" i="1" a="1"/>
  <c r="M1047" i="1" s="1"/>
  <c r="G1048" i="1" a="1"/>
  <c r="G1048" i="1" s="1"/>
  <c r="M1048" i="1" a="1"/>
  <c r="M1048" i="1" s="1"/>
  <c r="F1049" i="1" a="1"/>
  <c r="F1049" i="1" s="1"/>
  <c r="R1049" i="14" s="1"/>
  <c r="K1049" i="1" a="1"/>
  <c r="K1049" i="1" s="1"/>
  <c r="Q1049" i="1" a="1"/>
  <c r="Q1049" i="1" s="1"/>
  <c r="S1049" i="14" s="1"/>
  <c r="D1050" i="1" a="1"/>
  <c r="D1050" i="1" s="1"/>
  <c r="I1050" i="14" s="1"/>
  <c r="O1050" i="1"/>
  <c r="M1050" i="14" s="1"/>
  <c r="F1051" i="1" a="1"/>
  <c r="F1051" i="1" s="1"/>
  <c r="R1051" i="14" s="1"/>
  <c r="J1051" i="1" a="1"/>
  <c r="J1051" i="1" s="1"/>
  <c r="P1051" i="1" a="1"/>
  <c r="P1051" i="1" s="1"/>
  <c r="C1052" i="1" a="1"/>
  <c r="C1052" i="1" s="1"/>
  <c r="E1052" i="14" s="1"/>
  <c r="K1052" i="1" a="1"/>
  <c r="K1052" i="1" s="1"/>
  <c r="Q1052" i="1" a="1"/>
  <c r="Q1052" i="1" s="1"/>
  <c r="S1052" i="14" s="1"/>
  <c r="J1053" i="1" a="1"/>
  <c r="J1053" i="1" s="1"/>
  <c r="Q1053" i="1" a="1"/>
  <c r="Q1053" i="1" s="1"/>
  <c r="S1053" i="14" s="1"/>
  <c r="J1054" i="1" a="1"/>
  <c r="J1054" i="1" s="1"/>
  <c r="Q1054" i="1" a="1"/>
  <c r="Q1054" i="1" s="1"/>
  <c r="S1054" i="14" s="1"/>
  <c r="P1055" i="1" a="1"/>
  <c r="P1055" i="1" s="1"/>
  <c r="C1056" i="1" a="1"/>
  <c r="C1056" i="1" s="1"/>
  <c r="E1056" i="14" s="1"/>
  <c r="H1056" i="1" a="1"/>
  <c r="H1056" i="1" s="1"/>
  <c r="J1056" i="14" s="1"/>
  <c r="M1056" i="1" a="1"/>
  <c r="M1056" i="1" s="1"/>
  <c r="O1057" i="1"/>
  <c r="M1057" i="14" s="1"/>
  <c r="F1058" i="1" a="1"/>
  <c r="F1058" i="1" s="1"/>
  <c r="R1058" i="14" s="1"/>
  <c r="J1058" i="1" a="1"/>
  <c r="J1058" i="1" s="1"/>
  <c r="O1058" i="1"/>
  <c r="M1058" i="14" s="1"/>
  <c r="F1059" i="1" a="1"/>
  <c r="F1059" i="1" s="1"/>
  <c r="R1059" i="14" s="1"/>
  <c r="J1059" i="1" a="1"/>
  <c r="J1059" i="1" s="1"/>
  <c r="O1059" i="1"/>
  <c r="M1059" i="14" s="1"/>
  <c r="F1060" i="1" a="1"/>
  <c r="F1060" i="1" s="1"/>
  <c r="R1060" i="14" s="1"/>
  <c r="J1060" i="1" a="1"/>
  <c r="J1060" i="1" s="1"/>
  <c r="O1060" i="1"/>
  <c r="M1060" i="14" s="1"/>
  <c r="F1061" i="1" a="1"/>
  <c r="F1061" i="1" s="1"/>
  <c r="R1061" i="14" s="1"/>
  <c r="J1061" i="1" a="1"/>
  <c r="J1061" i="1" s="1"/>
  <c r="O1061" i="1"/>
  <c r="M1061" i="14" s="1"/>
  <c r="F1062" i="1" a="1"/>
  <c r="F1062" i="1" s="1"/>
  <c r="R1062" i="14" s="1"/>
  <c r="J1062" i="1" a="1"/>
  <c r="J1062" i="1" s="1"/>
  <c r="M1062" i="1" a="1"/>
  <c r="M1062" i="1" s="1"/>
  <c r="H1063" i="1" a="1"/>
  <c r="H1063" i="1" s="1"/>
  <c r="J1063" i="14" s="1"/>
  <c r="L1063" i="1" a="1"/>
  <c r="L1063" i="1" s="1"/>
  <c r="Q1063" i="1" a="1"/>
  <c r="Q1063" i="1" s="1"/>
  <c r="S1063" i="14" s="1"/>
  <c r="D1064" i="1" a="1"/>
  <c r="D1064" i="1" s="1"/>
  <c r="I1064" i="14" s="1"/>
  <c r="H1064" i="1" a="1"/>
  <c r="H1064" i="1" s="1"/>
  <c r="J1064" i="14" s="1"/>
  <c r="L1064" i="1" a="1"/>
  <c r="L1064" i="1" s="1"/>
  <c r="P1064" i="1" a="1"/>
  <c r="P1064" i="1" s="1"/>
  <c r="F1065" i="1" a="1"/>
  <c r="F1065" i="1" s="1"/>
  <c r="R1065" i="14" s="1"/>
  <c r="M1065" i="1" a="1"/>
  <c r="M1065" i="1" s="1"/>
  <c r="M1066" i="1" a="1"/>
  <c r="M1066" i="1" s="1"/>
  <c r="H1067" i="1" a="1"/>
  <c r="H1067" i="1" s="1"/>
  <c r="J1067" i="14" s="1"/>
  <c r="L1067" i="1" a="1"/>
  <c r="L1067" i="1" s="1"/>
  <c r="Q1067" i="1" a="1"/>
  <c r="Q1067" i="1" s="1"/>
  <c r="S1067" i="14" s="1"/>
  <c r="D1068" i="1" a="1"/>
  <c r="D1068" i="1" s="1"/>
  <c r="I1068" i="14" s="1"/>
  <c r="H1068" i="1" a="1"/>
  <c r="H1068" i="1" s="1"/>
  <c r="J1068" i="14" s="1"/>
  <c r="L1068" i="1" a="1"/>
  <c r="L1068" i="1" s="1"/>
  <c r="P1068" i="1" a="1"/>
  <c r="P1068" i="1" s="1"/>
  <c r="C1069" i="1" a="1"/>
  <c r="C1069" i="1" s="1"/>
  <c r="E1069" i="14" s="1"/>
  <c r="G1069" i="1" a="1"/>
  <c r="G1069" i="1" s="1"/>
  <c r="K1069" i="1" a="1"/>
  <c r="K1069" i="1" s="1"/>
  <c r="P1069" i="1" a="1"/>
  <c r="P1069" i="1" s="1"/>
  <c r="C1070" i="1" a="1"/>
  <c r="C1070" i="1" s="1"/>
  <c r="E1070" i="14" s="1"/>
  <c r="G1070" i="1" a="1"/>
  <c r="G1070" i="1" s="1"/>
  <c r="K1070" i="1" a="1"/>
  <c r="K1070" i="1" s="1"/>
  <c r="P1070" i="1" a="1"/>
  <c r="P1070" i="1" s="1"/>
  <c r="C1071" i="1" a="1"/>
  <c r="C1071" i="1" s="1"/>
  <c r="E1071" i="14" s="1"/>
  <c r="G1071" i="1" a="1"/>
  <c r="G1071" i="1" s="1"/>
  <c r="J1071" i="1" a="1"/>
  <c r="J1071" i="1" s="1"/>
  <c r="O1071" i="1"/>
  <c r="M1071" i="14" s="1"/>
  <c r="M1072" i="1" a="1"/>
  <c r="M1072" i="1" s="1"/>
  <c r="M1073" i="1" a="1"/>
  <c r="M1073" i="1" s="1"/>
  <c r="M1074" i="1" a="1"/>
  <c r="M1074" i="1" s="1"/>
  <c r="M1075" i="1" a="1"/>
  <c r="M1075" i="1" s="1"/>
  <c r="M1076" i="1" a="1"/>
  <c r="M1076" i="1" s="1"/>
  <c r="M1077" i="1" a="1"/>
  <c r="M1077" i="1" s="1"/>
  <c r="M1078" i="1" a="1"/>
  <c r="M1078" i="1" s="1"/>
  <c r="M1079" i="1" a="1"/>
  <c r="M1079" i="1" s="1"/>
  <c r="M1080" i="1" a="1"/>
  <c r="M1080" i="1" s="1"/>
  <c r="M1081" i="1" a="1"/>
  <c r="M1081" i="1" s="1"/>
  <c r="G1082" i="1" a="1"/>
  <c r="G1082" i="1" s="1"/>
  <c r="O1082" i="1"/>
  <c r="M1082" i="14" s="1"/>
  <c r="F1083" i="1" a="1"/>
  <c r="F1083" i="1" s="1"/>
  <c r="R1083" i="14" s="1"/>
  <c r="J1083" i="1" a="1"/>
  <c r="J1083" i="1" s="1"/>
  <c r="O1083" i="1"/>
  <c r="M1083" i="14" s="1"/>
  <c r="F1084" i="1" a="1"/>
  <c r="F1084" i="1" s="1"/>
  <c r="R1084" i="14" s="1"/>
  <c r="J1084" i="1" a="1"/>
  <c r="J1084" i="1" s="1"/>
  <c r="O1084" i="1"/>
  <c r="M1084" i="14" s="1"/>
  <c r="F1085" i="1" a="1"/>
  <c r="F1085" i="1" s="1"/>
  <c r="R1085" i="14" s="1"/>
  <c r="J1085" i="1" a="1"/>
  <c r="J1085" i="1" s="1"/>
  <c r="O1085" i="1"/>
  <c r="M1085" i="14" s="1"/>
  <c r="F1086" i="1" a="1"/>
  <c r="F1086" i="1" s="1"/>
  <c r="R1086" i="14" s="1"/>
  <c r="J1086" i="1" a="1"/>
  <c r="J1086" i="1" s="1"/>
  <c r="O1086" i="1"/>
  <c r="M1086" i="14" s="1"/>
  <c r="F1087" i="1" a="1"/>
  <c r="F1087" i="1" s="1"/>
  <c r="R1087" i="14" s="1"/>
  <c r="J1087" i="1" a="1"/>
  <c r="J1087" i="1" s="1"/>
  <c r="O1087" i="1"/>
  <c r="M1087" i="14" s="1"/>
  <c r="L1088" i="1" a="1"/>
  <c r="L1088" i="1" s="1"/>
  <c r="Q1088" i="1" a="1"/>
  <c r="Q1088" i="1" s="1"/>
  <c r="S1088" i="14" s="1"/>
  <c r="D1089" i="1" a="1"/>
  <c r="D1089" i="1" s="1"/>
  <c r="I1089" i="14" s="1"/>
  <c r="H1089" i="1" a="1"/>
  <c r="H1089" i="1" s="1"/>
  <c r="J1089" i="14" s="1"/>
  <c r="L1089" i="1" a="1"/>
  <c r="L1089" i="1" s="1"/>
  <c r="Q1089" i="1" a="1"/>
  <c r="Q1089" i="1" s="1"/>
  <c r="S1089" i="14" s="1"/>
  <c r="D1090" i="1" a="1"/>
  <c r="D1090" i="1" s="1"/>
  <c r="I1090" i="14" s="1"/>
  <c r="H1090" i="1" a="1"/>
  <c r="H1090" i="1" s="1"/>
  <c r="J1090" i="14" s="1"/>
  <c r="L1090" i="1" a="1"/>
  <c r="L1090" i="1" s="1"/>
  <c r="Q1090" i="1" a="1"/>
  <c r="Q1090" i="1" s="1"/>
  <c r="S1090" i="14" s="1"/>
  <c r="D1091" i="1" a="1"/>
  <c r="D1091" i="1" s="1"/>
  <c r="I1091" i="14" s="1"/>
  <c r="G1091" i="1" a="1"/>
  <c r="G1091" i="1" s="1"/>
  <c r="K1091" i="1" a="1"/>
  <c r="K1091" i="1" s="1"/>
  <c r="P1091" i="1" a="1"/>
  <c r="P1091" i="1" s="1"/>
  <c r="C1092" i="1" a="1"/>
  <c r="C1092" i="1" s="1"/>
  <c r="E1092" i="14" s="1"/>
  <c r="G1092" i="1" a="1"/>
  <c r="G1092" i="1" s="1"/>
  <c r="K1092" i="1" a="1"/>
  <c r="K1092" i="1" s="1"/>
  <c r="O1092" i="1"/>
  <c r="M1092" i="14" s="1"/>
  <c r="F1093" i="1" a="1"/>
  <c r="F1093" i="1" s="1"/>
  <c r="R1093" i="14" s="1"/>
  <c r="J1093" i="1" a="1"/>
  <c r="J1093" i="1" s="1"/>
  <c r="O1093" i="1"/>
  <c r="M1093" i="14" s="1"/>
  <c r="F1094" i="1" a="1"/>
  <c r="F1094" i="1" s="1"/>
  <c r="R1094" i="14" s="1"/>
  <c r="J1094" i="1" a="1"/>
  <c r="J1094" i="1" s="1"/>
  <c r="M1094" i="1" a="1"/>
  <c r="M1094" i="1" s="1"/>
  <c r="M1095" i="1" a="1"/>
  <c r="M1095" i="1" s="1"/>
  <c r="M1096" i="1" a="1"/>
  <c r="M1096" i="1" s="1"/>
  <c r="H1097" i="1" a="1"/>
  <c r="H1097" i="1" s="1"/>
  <c r="J1097" i="14" s="1"/>
  <c r="L1097" i="1" a="1"/>
  <c r="L1097" i="1" s="1"/>
  <c r="Q1097" i="1" a="1"/>
  <c r="Q1097" i="1" s="1"/>
  <c r="S1097" i="14" s="1"/>
  <c r="D1098" i="1" a="1"/>
  <c r="D1098" i="1" s="1"/>
  <c r="I1098" i="14" s="1"/>
  <c r="H1098" i="1" a="1"/>
  <c r="H1098" i="1" s="1"/>
  <c r="J1098" i="14" s="1"/>
  <c r="L1098" i="1" a="1"/>
  <c r="L1098" i="1" s="1"/>
  <c r="Q1098" i="1" a="1"/>
  <c r="Q1098" i="1" s="1"/>
  <c r="S1098" i="14" s="1"/>
  <c r="D1099" i="1" a="1"/>
  <c r="D1099" i="1" s="1"/>
  <c r="I1099" i="14" s="1"/>
  <c r="G1099" i="1" a="1"/>
  <c r="G1099" i="1" s="1"/>
  <c r="K1099" i="1" a="1"/>
  <c r="K1099" i="1" s="1"/>
  <c r="P1099" i="1" a="1"/>
  <c r="P1099" i="1" s="1"/>
  <c r="C1100" i="1" a="1"/>
  <c r="C1100" i="1" s="1"/>
  <c r="E1100" i="14" s="1"/>
  <c r="G1100" i="1" a="1"/>
  <c r="G1100" i="1" s="1"/>
  <c r="K1100" i="1" a="1"/>
  <c r="K1100" i="1" s="1"/>
  <c r="O1100" i="1"/>
  <c r="M1100" i="14" s="1"/>
  <c r="F1101" i="1" a="1"/>
  <c r="F1101" i="1" s="1"/>
  <c r="R1101" i="14" s="1"/>
  <c r="J1101" i="1" a="1"/>
  <c r="J1101" i="1" s="1"/>
  <c r="O1101" i="1"/>
  <c r="M1101" i="14" s="1"/>
  <c r="F1102" i="1" a="1"/>
  <c r="F1102" i="1" s="1"/>
  <c r="R1102" i="14" s="1"/>
  <c r="J1102" i="1" a="1"/>
  <c r="J1102" i="1" s="1"/>
  <c r="M1102" i="1" a="1"/>
  <c r="M1102" i="1" s="1"/>
  <c r="M1103" i="1" a="1"/>
  <c r="M1103" i="1" s="1"/>
  <c r="M1104" i="1" a="1"/>
  <c r="M1104" i="1" s="1"/>
  <c r="M1105" i="1" a="1"/>
  <c r="M1105" i="1" s="1"/>
  <c r="M1106" i="1" a="1"/>
  <c r="M1106" i="1" s="1"/>
  <c r="L1107" i="1" a="1"/>
  <c r="L1107" i="1" s="1"/>
  <c r="Q1107" i="1" a="1"/>
  <c r="Q1107" i="1" s="1"/>
  <c r="S1107" i="14" s="1"/>
  <c r="D1108" i="1" a="1"/>
  <c r="D1108" i="1" s="1"/>
  <c r="I1108" i="14" s="1"/>
  <c r="H1108" i="1" a="1"/>
  <c r="H1108" i="1" s="1"/>
  <c r="J1108" i="14" s="1"/>
  <c r="L1108" i="1" a="1"/>
  <c r="L1108" i="1" s="1"/>
  <c r="Q1108" i="1" a="1"/>
  <c r="Q1108" i="1" s="1"/>
  <c r="S1108" i="14" s="1"/>
  <c r="D1109" i="1" a="1"/>
  <c r="D1109" i="1" s="1"/>
  <c r="I1109" i="14" s="1"/>
  <c r="K1109" i="1" a="1"/>
  <c r="K1109" i="1" s="1"/>
  <c r="P1109" i="1" a="1"/>
  <c r="P1109" i="1" s="1"/>
  <c r="C1110" i="1" a="1"/>
  <c r="C1110" i="1" s="1"/>
  <c r="E1110" i="14" s="1"/>
  <c r="G1110" i="1" a="1"/>
  <c r="G1110" i="1" s="1"/>
  <c r="K1110" i="1" a="1"/>
  <c r="K1110" i="1" s="1"/>
  <c r="O1110" i="1"/>
  <c r="M1110" i="14" s="1"/>
  <c r="F1111" i="1" a="1"/>
  <c r="F1111" i="1" s="1"/>
  <c r="R1111" i="14" s="1"/>
  <c r="J1111" i="1" a="1"/>
  <c r="J1111" i="1" s="1"/>
  <c r="O1111" i="1"/>
  <c r="M1111" i="14" s="1"/>
  <c r="F1112" i="1" a="1"/>
  <c r="F1112" i="1" s="1"/>
  <c r="R1112" i="14" s="1"/>
  <c r="J1112" i="1" a="1"/>
  <c r="J1112" i="1" s="1"/>
  <c r="O1112" i="1"/>
  <c r="M1112" i="14" s="1"/>
  <c r="F1113" i="1" a="1"/>
  <c r="F1113" i="1" s="1"/>
  <c r="R1113" i="14" s="1"/>
  <c r="J1113" i="1" a="1"/>
  <c r="J1113" i="1" s="1"/>
  <c r="O1113" i="1"/>
  <c r="M1113" i="14" s="1"/>
  <c r="F1114" i="1" a="1"/>
  <c r="F1114" i="1" s="1"/>
  <c r="R1114" i="14" s="1"/>
  <c r="J1114" i="1" a="1"/>
  <c r="J1114" i="1" s="1"/>
  <c r="O1114" i="1"/>
  <c r="M1114" i="14" s="1"/>
  <c r="F1115" i="1" a="1"/>
  <c r="F1115" i="1" s="1"/>
  <c r="R1115" i="14" s="1"/>
  <c r="J1115" i="1" a="1"/>
  <c r="J1115" i="1" s="1"/>
  <c r="O1115" i="1"/>
  <c r="M1115" i="14" s="1"/>
  <c r="M1116" i="1" a="1"/>
  <c r="M1116" i="1" s="1"/>
  <c r="Q1116" i="1" a="1"/>
  <c r="Q1116" i="1" s="1"/>
  <c r="S1116" i="14" s="1"/>
  <c r="D1117" i="1" a="1"/>
  <c r="D1117" i="1" s="1"/>
  <c r="I1117" i="14" s="1"/>
  <c r="H1117" i="1" a="1"/>
  <c r="H1117" i="1" s="1"/>
  <c r="J1117" i="14" s="1"/>
  <c r="L1117" i="1" a="1"/>
  <c r="L1117" i="1" s="1"/>
  <c r="Q1117" i="1" a="1"/>
  <c r="Q1117" i="1" s="1"/>
  <c r="S1117" i="14" s="1"/>
  <c r="D1118" i="1" a="1"/>
  <c r="D1118" i="1" s="1"/>
  <c r="I1118" i="14" s="1"/>
  <c r="H1118" i="1" a="1"/>
  <c r="H1118" i="1" s="1"/>
  <c r="J1118" i="14" s="1"/>
  <c r="L1118" i="1" a="1"/>
  <c r="L1118" i="1" s="1"/>
  <c r="Q1118" i="1" a="1"/>
  <c r="Q1118" i="1" s="1"/>
  <c r="S1118" i="14" s="1"/>
  <c r="D1119" i="1" a="1"/>
  <c r="D1119" i="1" s="1"/>
  <c r="I1119" i="14" s="1"/>
  <c r="H1119" i="1" a="1"/>
  <c r="H1119" i="1" s="1"/>
  <c r="J1119" i="14" s="1"/>
  <c r="L1119" i="1" a="1"/>
  <c r="L1119" i="1" s="1"/>
  <c r="Q1119" i="1" a="1"/>
  <c r="Q1119" i="1" s="1"/>
  <c r="S1119" i="14" s="1"/>
  <c r="D1120" i="1" a="1"/>
  <c r="D1120" i="1" s="1"/>
  <c r="I1120" i="14" s="1"/>
  <c r="G1120" i="1" a="1"/>
  <c r="G1120" i="1" s="1"/>
  <c r="K1120" i="1" a="1"/>
  <c r="K1120" i="1" s="1"/>
  <c r="O1120" i="1"/>
  <c r="M1120" i="14" s="1"/>
  <c r="F1121" i="1" a="1"/>
  <c r="F1121" i="1" s="1"/>
  <c r="R1121" i="14" s="1"/>
  <c r="J1121" i="1" a="1"/>
  <c r="J1121" i="1" s="1"/>
  <c r="O1121" i="1"/>
  <c r="M1121" i="14" s="1"/>
  <c r="F1122" i="1" a="1"/>
  <c r="F1122" i="1" s="1"/>
  <c r="R1122" i="14" s="1"/>
  <c r="J1122" i="1" a="1"/>
  <c r="J1122" i="1" s="1"/>
  <c r="O1122" i="1"/>
  <c r="M1122" i="14" s="1"/>
  <c r="F1123" i="1" a="1"/>
  <c r="F1123" i="1" s="1"/>
  <c r="R1123" i="14" s="1"/>
  <c r="M1123" i="1" a="1"/>
  <c r="M1123" i="1" s="1"/>
  <c r="Q1123" i="1" a="1"/>
  <c r="Q1123" i="1" s="1"/>
  <c r="S1123" i="14" s="1"/>
  <c r="D1124" i="1" a="1"/>
  <c r="D1124" i="1" s="1"/>
  <c r="I1124" i="14" s="1"/>
  <c r="H1124" i="1" a="1"/>
  <c r="H1124" i="1" s="1"/>
  <c r="J1124" i="14" s="1"/>
  <c r="L1124" i="1" a="1"/>
  <c r="L1124" i="1" s="1"/>
  <c r="Q1124" i="1" a="1"/>
  <c r="Q1124" i="1" s="1"/>
  <c r="S1124" i="14" s="1"/>
  <c r="D1125" i="1" a="1"/>
  <c r="D1125" i="1" s="1"/>
  <c r="I1125" i="14" s="1"/>
  <c r="H1125" i="1" a="1"/>
  <c r="H1125" i="1" s="1"/>
  <c r="J1125" i="14" s="1"/>
  <c r="L1125" i="1" a="1"/>
  <c r="L1125" i="1" s="1"/>
  <c r="Q1125" i="1" a="1"/>
  <c r="Q1125" i="1" s="1"/>
  <c r="S1125" i="14" s="1"/>
  <c r="C1126" i="1" a="1"/>
  <c r="C1126" i="1" s="1"/>
  <c r="E1126" i="14" s="1"/>
  <c r="F1126" i="1" a="1"/>
  <c r="F1126" i="1" s="1"/>
  <c r="R1126" i="14" s="1"/>
  <c r="C1127" i="1" a="1"/>
  <c r="C1127" i="1" s="1"/>
  <c r="E1127" i="14" s="1"/>
  <c r="J1127" i="1" a="1"/>
  <c r="J1127" i="1" s="1"/>
  <c r="O1127" i="1"/>
  <c r="M1127" i="14" s="1"/>
  <c r="F1128" i="1" a="1"/>
  <c r="F1128" i="1" s="1"/>
  <c r="R1128" i="14" s="1"/>
  <c r="J1128" i="1" a="1"/>
  <c r="J1128" i="1" s="1"/>
  <c r="G1129" i="1" a="1"/>
  <c r="G1129" i="1" s="1"/>
  <c r="K1129" i="1" a="1"/>
  <c r="K1129" i="1" s="1"/>
  <c r="O1129" i="1"/>
  <c r="M1129" i="14" s="1"/>
  <c r="F1130" i="1" a="1"/>
  <c r="F1130" i="1" s="1"/>
  <c r="R1130" i="14" s="1"/>
  <c r="M1130" i="1" a="1"/>
  <c r="M1130" i="1" s="1"/>
  <c r="M1131" i="1" a="1"/>
  <c r="M1131" i="1" s="1"/>
  <c r="M1132" i="1" a="1"/>
  <c r="M1132" i="1" s="1"/>
  <c r="H1133" i="1" a="1"/>
  <c r="H1133" i="1" s="1"/>
  <c r="J1133" i="14" s="1"/>
  <c r="K1133" i="1" a="1"/>
  <c r="K1133" i="1" s="1"/>
  <c r="P1133" i="1" a="1"/>
  <c r="P1133" i="1" s="1"/>
  <c r="C1134" i="1" a="1"/>
  <c r="C1134" i="1" s="1"/>
  <c r="E1134" i="14" s="1"/>
  <c r="G1134" i="1" a="1"/>
  <c r="G1134" i="1" s="1"/>
  <c r="O1134" i="1"/>
  <c r="M1134" i="14" s="1"/>
  <c r="F1135" i="1" a="1"/>
  <c r="F1135" i="1" s="1"/>
  <c r="R1135" i="14" s="1"/>
  <c r="L1135" i="1" a="1"/>
  <c r="L1135" i="1" s="1"/>
  <c r="Q1135" i="1" a="1"/>
  <c r="Q1135" i="1" s="1"/>
  <c r="S1135" i="14" s="1"/>
  <c r="D1136" i="1" a="1"/>
  <c r="D1136" i="1" s="1"/>
  <c r="I1136" i="14" s="1"/>
  <c r="H1136" i="1" a="1"/>
  <c r="H1136" i="1" s="1"/>
  <c r="J1136" i="14" s="1"/>
  <c r="L1136" i="1" a="1"/>
  <c r="L1136" i="1" s="1"/>
  <c r="Q1136" i="1" a="1"/>
  <c r="Q1136" i="1" s="1"/>
  <c r="S1136" i="14" s="1"/>
  <c r="D1137" i="1" a="1"/>
  <c r="D1137" i="1" s="1"/>
  <c r="I1137" i="14" s="1"/>
  <c r="O1137" i="1"/>
  <c r="M1137" i="14" s="1"/>
  <c r="F1138" i="1" a="1"/>
  <c r="F1138" i="1" s="1"/>
  <c r="R1138" i="14" s="1"/>
  <c r="J1138" i="1" a="1"/>
  <c r="J1138" i="1" s="1"/>
  <c r="M1138" i="1" a="1"/>
  <c r="M1138" i="1" s="1"/>
  <c r="M1139" i="1" a="1"/>
  <c r="M1139" i="1" s="1"/>
  <c r="M1140" i="1" a="1"/>
  <c r="M1140" i="1" s="1"/>
  <c r="H1141" i="1" a="1"/>
  <c r="H1141" i="1" s="1"/>
  <c r="J1141" i="14" s="1"/>
  <c r="K1141" i="1" a="1"/>
  <c r="K1141" i="1" s="1"/>
  <c r="P1141" i="1" a="1"/>
  <c r="P1141" i="1" s="1"/>
  <c r="C1142" i="1" a="1"/>
  <c r="C1142" i="1" s="1"/>
  <c r="E1142" i="14" s="1"/>
  <c r="G1142" i="1" a="1"/>
  <c r="G1142" i="1" s="1"/>
  <c r="O1142" i="1"/>
  <c r="M1142" i="14" s="1"/>
  <c r="F1143" i="1" a="1"/>
  <c r="F1143" i="1" s="1"/>
  <c r="R1143" i="14" s="1"/>
  <c r="L1143" i="1" a="1"/>
  <c r="L1143" i="1" s="1"/>
  <c r="Q1143" i="1" a="1"/>
  <c r="Q1143" i="1" s="1"/>
  <c r="S1143" i="14" s="1"/>
  <c r="D1144" i="1" a="1"/>
  <c r="D1144" i="1" s="1"/>
  <c r="I1144" i="14" s="1"/>
  <c r="G1144" i="1" a="1"/>
  <c r="G1144" i="1" s="1"/>
  <c r="K1144" i="1" a="1"/>
  <c r="K1144" i="1" s="1"/>
  <c r="O1144" i="1"/>
  <c r="M1144" i="14" s="1"/>
  <c r="F1145" i="1" a="1"/>
  <c r="F1145" i="1" s="1"/>
  <c r="R1145" i="14" s="1"/>
  <c r="J1145" i="1" a="1"/>
  <c r="J1145" i="1" s="1"/>
  <c r="O1145" i="1"/>
  <c r="M1145" i="14" s="1"/>
  <c r="D1146" i="1" a="1"/>
  <c r="D1146" i="1" s="1"/>
  <c r="I1146" i="14" s="1"/>
  <c r="G1146" i="1" a="1"/>
  <c r="G1146" i="1" s="1"/>
  <c r="K1146" i="1" a="1"/>
  <c r="K1146" i="1" s="1"/>
  <c r="P1146" i="1" a="1"/>
  <c r="P1146" i="1" s="1"/>
  <c r="C1147" i="1" a="1"/>
  <c r="C1147" i="1" s="1"/>
  <c r="E1147" i="14" s="1"/>
  <c r="G1147" i="1" a="1"/>
  <c r="G1147" i="1" s="1"/>
  <c r="K1147" i="1" a="1"/>
  <c r="K1147" i="1" s="1"/>
  <c r="O1147" i="1"/>
  <c r="M1147" i="14" s="1"/>
  <c r="F1148" i="1" a="1"/>
  <c r="F1148" i="1" s="1"/>
  <c r="R1148" i="14" s="1"/>
  <c r="J1148" i="1" a="1"/>
  <c r="J1148" i="1" s="1"/>
  <c r="O1148" i="1"/>
  <c r="M1148" i="14" s="1"/>
  <c r="F1149" i="1" a="1"/>
  <c r="F1149" i="1" s="1"/>
  <c r="R1149" i="14" s="1"/>
  <c r="J1149" i="1" a="1"/>
  <c r="J1149" i="1" s="1"/>
  <c r="O1149" i="1"/>
  <c r="M1149" i="14" s="1"/>
  <c r="F1150" i="1" a="1"/>
  <c r="F1150" i="1" s="1"/>
  <c r="R1150" i="14" s="1"/>
  <c r="J1150" i="1" a="1"/>
  <c r="J1150" i="1" s="1"/>
  <c r="M1150" i="1" a="1"/>
  <c r="M1150" i="1" s="1"/>
  <c r="L1151" i="1" a="1"/>
  <c r="L1151" i="1" s="1"/>
  <c r="Q1151" i="1" a="1"/>
  <c r="Q1151" i="1" s="1"/>
  <c r="S1151" i="14" s="1"/>
  <c r="D1152" i="1" a="1"/>
  <c r="D1152" i="1" s="1"/>
  <c r="I1152" i="14" s="1"/>
  <c r="H1152" i="1" a="1"/>
  <c r="H1152" i="1" s="1"/>
  <c r="J1152" i="14" s="1"/>
  <c r="P1152" i="1" a="1"/>
  <c r="P1152" i="1" s="1"/>
  <c r="C1153" i="1" a="1"/>
  <c r="C1153" i="1" s="1"/>
  <c r="E1153" i="14" s="1"/>
  <c r="G1153" i="1" a="1"/>
  <c r="G1153" i="1" s="1"/>
  <c r="K1153" i="1" a="1"/>
  <c r="K1153" i="1" s="1"/>
  <c r="P1153" i="1" a="1"/>
  <c r="P1153" i="1" s="1"/>
  <c r="H1154" i="1" a="1"/>
  <c r="H1154" i="1" s="1"/>
  <c r="J1154" i="14" s="1"/>
  <c r="L1154" i="1" a="1"/>
  <c r="L1154" i="1" s="1"/>
  <c r="Q1154" i="1" a="1"/>
  <c r="Q1154" i="1" s="1"/>
  <c r="S1154" i="14" s="1"/>
  <c r="D1155" i="1" a="1"/>
  <c r="D1155" i="1" s="1"/>
  <c r="I1155" i="14" s="1"/>
  <c r="H1155" i="1" a="1"/>
  <c r="H1155" i="1" s="1"/>
  <c r="J1155" i="14" s="1"/>
  <c r="L1155" i="1" a="1"/>
  <c r="L1155" i="1" s="1"/>
  <c r="P1155" i="1" a="1"/>
  <c r="P1155" i="1" s="1"/>
  <c r="C1156" i="1" a="1"/>
  <c r="C1156" i="1" s="1"/>
  <c r="E1156" i="14" s="1"/>
  <c r="F1156" i="1" a="1"/>
  <c r="F1156" i="1" s="1"/>
  <c r="R1156" i="14" s="1"/>
  <c r="J1156" i="1" a="1"/>
  <c r="J1156" i="1" s="1"/>
  <c r="O1156" i="1"/>
  <c r="M1156" i="14" s="1"/>
  <c r="F1157" i="1" a="1"/>
  <c r="F1157" i="1" s="1"/>
  <c r="R1157" i="14" s="1"/>
  <c r="J1157" i="1" a="1"/>
  <c r="J1157" i="1" s="1"/>
  <c r="O1157" i="1"/>
  <c r="M1157" i="14" s="1"/>
  <c r="F1158" i="1" a="1"/>
  <c r="F1158" i="1" s="1"/>
  <c r="R1158" i="14" s="1"/>
  <c r="J1158" i="1" a="1"/>
  <c r="J1158" i="1" s="1"/>
  <c r="M1158" i="1" a="1"/>
  <c r="M1158" i="1" s="1"/>
  <c r="M1159" i="1" a="1"/>
  <c r="M1159" i="1" s="1"/>
  <c r="M1160" i="1" a="1"/>
  <c r="M1160" i="1" s="1"/>
  <c r="H1161" i="1" a="1"/>
  <c r="H1161" i="1" s="1"/>
  <c r="J1161" i="14" s="1"/>
  <c r="K1161" i="1" a="1"/>
  <c r="K1161" i="1" s="1"/>
  <c r="P1161" i="1" a="1"/>
  <c r="P1161" i="1" s="1"/>
  <c r="C1162" i="1" a="1"/>
  <c r="C1162" i="1" s="1"/>
  <c r="G1162" i="1" a="1"/>
  <c r="G1162" i="1" s="1"/>
  <c r="K1162" i="1" a="1"/>
  <c r="K1162" i="1" s="1"/>
  <c r="O1162" i="1"/>
  <c r="M1162" i="14" s="1"/>
  <c r="P1163" i="1" a="1"/>
  <c r="P1163" i="1" s="1"/>
  <c r="C1164" i="1" a="1"/>
  <c r="C1164" i="1" s="1"/>
  <c r="G1164" i="1" a="1"/>
  <c r="G1164" i="1" s="1"/>
  <c r="K1164" i="1" a="1"/>
  <c r="K1164" i="1" s="1"/>
  <c r="P1164" i="1" a="1"/>
  <c r="P1164" i="1" s="1"/>
  <c r="C1165" i="1" a="1"/>
  <c r="C1165" i="1" s="1"/>
  <c r="G1165" i="1" a="1"/>
  <c r="G1165" i="1" s="1"/>
  <c r="J1165" i="1" a="1"/>
  <c r="J1165" i="1" s="1"/>
  <c r="O1165" i="1"/>
  <c r="M1165" i="14" s="1"/>
  <c r="F1166" i="1" a="1"/>
  <c r="F1166" i="1" s="1"/>
  <c r="R1166" i="14" s="1"/>
  <c r="J1166" i="1" a="1"/>
  <c r="J1166" i="1" s="1"/>
  <c r="M1166" i="1" a="1"/>
  <c r="M1166" i="1" s="1"/>
  <c r="H1167" i="1" a="1"/>
  <c r="H1167" i="1" s="1"/>
  <c r="J1167" i="14" s="1"/>
  <c r="L1167" i="1" a="1"/>
  <c r="L1167" i="1" s="1"/>
  <c r="Q1167" i="1" a="1"/>
  <c r="Q1167" i="1" s="1"/>
  <c r="S1167" i="14" s="1"/>
  <c r="D1168" i="1" a="1"/>
  <c r="D1168" i="1" s="1"/>
  <c r="I1168" i="14" s="1"/>
  <c r="H1168" i="1" a="1"/>
  <c r="H1168" i="1" s="1"/>
  <c r="J1168" i="14" s="1"/>
  <c r="P1168" i="1" a="1"/>
  <c r="P1168" i="1" s="1"/>
  <c r="C1169" i="1" a="1"/>
  <c r="C1169" i="1" s="1"/>
  <c r="G1169" i="1" a="1"/>
  <c r="G1169" i="1" s="1"/>
  <c r="K1169" i="1" a="1"/>
  <c r="K1169" i="1" s="1"/>
  <c r="P1169" i="1" a="1"/>
  <c r="P1169" i="1" s="1"/>
  <c r="H1170" i="1" a="1"/>
  <c r="H1170" i="1" s="1"/>
  <c r="J1170" i="14" s="1"/>
  <c r="L1170" i="1" a="1"/>
  <c r="L1170" i="1" s="1"/>
  <c r="Q1170" i="1" a="1"/>
  <c r="Q1170" i="1" s="1"/>
  <c r="S1170" i="14" s="1"/>
  <c r="D1171" i="1" a="1"/>
  <c r="D1171" i="1" s="1"/>
  <c r="I1171" i="14" s="1"/>
  <c r="H1171" i="1" a="1"/>
  <c r="H1171" i="1" s="1"/>
  <c r="J1171" i="14" s="1"/>
  <c r="L1171" i="1" a="1"/>
  <c r="L1171" i="1" s="1"/>
  <c r="P1171" i="1" a="1"/>
  <c r="P1171" i="1" s="1"/>
  <c r="C1172" i="1" a="1"/>
  <c r="C1172" i="1" s="1"/>
  <c r="F1172" i="1" a="1"/>
  <c r="F1172" i="1" s="1"/>
  <c r="R1172" i="14" s="1"/>
  <c r="J1172" i="1" a="1"/>
  <c r="J1172" i="1" s="1"/>
  <c r="O1172" i="1"/>
  <c r="M1172" i="14" s="1"/>
  <c r="F1173" i="1" a="1"/>
  <c r="F1173" i="1" s="1"/>
  <c r="R1173" i="14" s="1"/>
  <c r="M1173" i="1" a="1"/>
  <c r="M1173" i="1" s="1"/>
  <c r="L1174" i="1" a="1"/>
  <c r="L1174" i="1" s="1"/>
  <c r="Q1174" i="1" a="1"/>
  <c r="Q1174" i="1" s="1"/>
  <c r="S1174" i="14" s="1"/>
  <c r="D1175" i="1" a="1"/>
  <c r="D1175" i="1" s="1"/>
  <c r="I1175" i="14" s="1"/>
  <c r="H1175" i="1" a="1"/>
  <c r="H1175" i="1" s="1"/>
  <c r="J1175" i="14" s="1"/>
  <c r="L1175" i="1" a="1"/>
  <c r="L1175" i="1" s="1"/>
  <c r="Q1175" i="1" a="1"/>
  <c r="Q1175" i="1" s="1"/>
  <c r="S1175" i="14" s="1"/>
  <c r="D1176" i="1" a="1"/>
  <c r="D1176" i="1" s="1"/>
  <c r="I1176" i="14" s="1"/>
  <c r="H1176" i="1" a="1"/>
  <c r="H1176" i="1" s="1"/>
  <c r="J1176" i="14" s="1"/>
  <c r="L1176" i="1" a="1"/>
  <c r="L1176" i="1" s="1"/>
  <c r="Q1176" i="1" a="1"/>
  <c r="Q1176" i="1" s="1"/>
  <c r="S1176" i="14" s="1"/>
  <c r="D1177" i="1" a="1"/>
  <c r="D1177" i="1" s="1"/>
  <c r="I1177" i="14" s="1"/>
  <c r="O1177" i="1"/>
  <c r="M1177" i="14" s="1"/>
  <c r="F1178" i="1" a="1"/>
  <c r="F1178" i="1" s="1"/>
  <c r="R1178" i="14" s="1"/>
  <c r="J1178" i="1" a="1"/>
  <c r="J1178" i="1" s="1"/>
  <c r="M1178" i="1" a="1"/>
  <c r="M1178" i="1" s="1"/>
  <c r="Q1178" i="1" a="1"/>
  <c r="Q1178" i="1" s="1"/>
  <c r="S1178" i="14" s="1"/>
  <c r="D1179" i="1" a="1"/>
  <c r="D1179" i="1" s="1"/>
  <c r="I1179" i="14" s="1"/>
  <c r="H1179" i="1" a="1"/>
  <c r="H1179" i="1" s="1"/>
  <c r="J1179" i="14" s="1"/>
  <c r="K1179" i="1" a="1"/>
  <c r="K1179" i="1" s="1"/>
  <c r="O1179" i="1"/>
  <c r="M1179" i="14" s="1"/>
  <c r="F1180" i="1" a="1"/>
  <c r="F1180" i="1" s="1"/>
  <c r="R1180" i="14" s="1"/>
  <c r="J1180" i="1" a="1"/>
  <c r="J1180" i="1" s="1"/>
  <c r="O1180" i="1"/>
  <c r="M1180" i="14" s="1"/>
  <c r="F1181" i="1" a="1"/>
  <c r="F1181" i="1" s="1"/>
  <c r="R1181" i="14" s="1"/>
  <c r="J1181" i="1" a="1"/>
  <c r="J1181" i="1" s="1"/>
  <c r="O1181" i="1"/>
  <c r="M1181" i="14" s="1"/>
  <c r="F1182" i="1" a="1"/>
  <c r="F1182" i="1" s="1"/>
  <c r="R1182" i="14" s="1"/>
  <c r="J1182" i="1" a="1"/>
  <c r="J1182" i="1" s="1"/>
  <c r="O1182" i="1"/>
  <c r="M1182" i="14" s="1"/>
  <c r="F1183" i="1" a="1"/>
  <c r="F1183" i="1" s="1"/>
  <c r="R1183" i="14" s="1"/>
  <c r="M1183" i="1" a="1"/>
  <c r="M1183" i="1" s="1"/>
  <c r="L1184" i="1" a="1"/>
  <c r="L1184" i="1" s="1"/>
  <c r="Q1184" i="1" a="1"/>
  <c r="Q1184" i="1" s="1"/>
  <c r="S1184" i="14" s="1"/>
  <c r="D1185" i="1" a="1"/>
  <c r="D1185" i="1" s="1"/>
  <c r="I1185" i="14" s="1"/>
  <c r="H1185" i="1" a="1"/>
  <c r="H1185" i="1" s="1"/>
  <c r="J1185" i="14" s="1"/>
  <c r="L1185" i="1" a="1"/>
  <c r="L1185" i="1" s="1"/>
  <c r="Q1185" i="1" a="1"/>
  <c r="Q1185" i="1" s="1"/>
  <c r="S1185" i="14" s="1"/>
  <c r="C1186" i="1" a="1"/>
  <c r="C1186" i="1" s="1"/>
  <c r="F1186" i="1" a="1"/>
  <c r="F1186" i="1" s="1"/>
  <c r="R1186" i="14" s="1"/>
  <c r="M1186" i="1" a="1"/>
  <c r="M1186" i="1" s="1"/>
  <c r="M1187" i="1" a="1"/>
  <c r="M1187" i="1" s="1"/>
  <c r="Q1187" i="1" a="1"/>
  <c r="Q1187" i="1" s="1"/>
  <c r="S1187" i="14" s="1"/>
  <c r="D1188" i="1" a="1"/>
  <c r="D1188" i="1" s="1"/>
  <c r="I1188" i="14" s="1"/>
  <c r="G1188" i="1" a="1"/>
  <c r="G1188" i="1" s="1"/>
  <c r="J1188" i="1" a="1"/>
  <c r="J1188" i="1" s="1"/>
  <c r="O1188" i="1"/>
  <c r="M1188" i="14" s="1"/>
  <c r="F1189" i="1" a="1"/>
  <c r="F1189" i="1" s="1"/>
  <c r="R1189" i="14" s="1"/>
  <c r="J1189" i="1" a="1"/>
  <c r="J1189" i="1" s="1"/>
  <c r="O1189" i="1"/>
  <c r="M1189" i="14" s="1"/>
  <c r="F1190" i="1" a="1"/>
  <c r="F1190" i="1" s="1"/>
  <c r="R1190" i="14" s="1"/>
  <c r="J1190" i="1" a="1"/>
  <c r="J1190" i="1" s="1"/>
  <c r="M1190" i="1" a="1"/>
  <c r="M1190" i="1" s="1"/>
  <c r="M1191" i="1" a="1"/>
  <c r="M1191" i="1" s="1"/>
  <c r="M1192" i="1" a="1"/>
  <c r="M1192" i="1" s="1"/>
  <c r="H1193" i="1" a="1"/>
  <c r="H1193" i="1" s="1"/>
  <c r="J1193" i="14" s="1"/>
  <c r="K1193" i="1" a="1"/>
  <c r="K1193" i="1" s="1"/>
  <c r="P1193" i="1" a="1"/>
  <c r="P1193" i="1" s="1"/>
  <c r="C1194" i="1" a="1"/>
  <c r="C1194" i="1" s="1"/>
  <c r="G1194" i="1" a="1"/>
  <c r="G1194" i="1" s="1"/>
  <c r="K1194" i="1" a="1"/>
  <c r="K1194" i="1" s="1"/>
  <c r="O1194" i="1"/>
  <c r="M1194" i="14" s="1"/>
  <c r="P1195" i="1" a="1"/>
  <c r="P1195" i="1" s="1"/>
  <c r="C1196" i="1" a="1"/>
  <c r="C1196" i="1" s="1"/>
  <c r="G1196" i="1" a="1"/>
  <c r="G1196" i="1" s="1"/>
  <c r="K1196" i="1" a="1"/>
  <c r="K1196" i="1" s="1"/>
  <c r="P1196" i="1" a="1"/>
  <c r="P1196" i="1" s="1"/>
  <c r="C1197" i="1" a="1"/>
  <c r="C1197" i="1" s="1"/>
  <c r="G1197" i="1" a="1"/>
  <c r="G1197" i="1" s="1"/>
  <c r="K1197" i="1" a="1"/>
  <c r="K1197" i="1" s="1"/>
  <c r="P1197" i="1" a="1"/>
  <c r="P1197" i="1" s="1"/>
  <c r="C1198" i="1" a="1"/>
  <c r="C1198" i="1" s="1"/>
  <c r="G1198" i="1" a="1"/>
  <c r="G1198" i="1" s="1"/>
  <c r="K1198" i="1" a="1"/>
  <c r="K1198" i="1" s="1"/>
  <c r="P1198" i="1" a="1"/>
  <c r="P1198" i="1" s="1"/>
  <c r="C1199" i="1" a="1"/>
  <c r="C1199" i="1" s="1"/>
  <c r="J1199" i="1" a="1"/>
  <c r="J1199" i="1" s="1"/>
  <c r="O1199" i="1"/>
  <c r="M1199" i="14" s="1"/>
  <c r="F1200" i="1" a="1"/>
  <c r="F1200" i="1" s="1"/>
  <c r="R1200" i="14" s="1"/>
  <c r="J1200" i="1" a="1"/>
  <c r="J1200" i="1" s="1"/>
  <c r="M1200" i="1" a="1"/>
  <c r="M1200" i="1" s="1"/>
  <c r="M1201" i="1" a="1"/>
  <c r="M1201" i="1" s="1"/>
  <c r="J1202" i="1" a="1"/>
  <c r="J1202" i="1" s="1"/>
  <c r="O1202" i="1"/>
  <c r="M1202" i="14" s="1"/>
  <c r="F1203" i="1" a="1"/>
  <c r="F1203" i="1" s="1"/>
  <c r="R1203" i="14" s="1"/>
  <c r="J1203" i="1" a="1"/>
  <c r="J1203" i="1" s="1"/>
  <c r="M1204" i="1" a="1"/>
  <c r="M1204" i="1" s="1"/>
  <c r="M1205" i="1" a="1"/>
  <c r="M1205" i="1" s="1"/>
  <c r="D1206" i="1" a="1"/>
  <c r="D1206" i="1" s="1"/>
  <c r="I1206" i="14" s="1"/>
  <c r="H1206" i="1" a="1"/>
  <c r="H1206" i="1" s="1"/>
  <c r="J1206" i="14" s="1"/>
  <c r="L1206" i="1" a="1"/>
  <c r="L1206" i="1" s="1"/>
  <c r="Q1206" i="1" a="1"/>
  <c r="Q1206" i="1" s="1"/>
  <c r="S1206" i="14" s="1"/>
  <c r="D1207" i="1" a="1"/>
  <c r="D1207" i="1" s="1"/>
  <c r="I1207" i="14" s="1"/>
  <c r="G1207" i="1" a="1"/>
  <c r="G1207" i="1" s="1"/>
  <c r="K1207" i="1" a="1"/>
  <c r="K1207" i="1" s="1"/>
  <c r="P1207" i="1" a="1"/>
  <c r="P1207" i="1" s="1"/>
  <c r="C1208" i="1" a="1"/>
  <c r="C1208" i="1" s="1"/>
  <c r="G1208" i="1" a="1"/>
  <c r="G1208" i="1" s="1"/>
  <c r="K1208" i="1" a="1"/>
  <c r="K1208" i="1" s="1"/>
  <c r="O1208" i="1"/>
  <c r="M1208" i="14" s="1"/>
  <c r="F1209" i="1" a="1"/>
  <c r="F1209" i="1" s="1"/>
  <c r="R1209" i="14" s="1"/>
  <c r="J1209" i="1" a="1"/>
  <c r="J1209" i="1" s="1"/>
  <c r="O1209" i="1"/>
  <c r="M1209" i="14" s="1"/>
  <c r="D1210" i="1" a="1"/>
  <c r="D1210" i="1" s="1"/>
  <c r="I1210" i="14" s="1"/>
  <c r="G1210" i="1" a="1"/>
  <c r="G1210" i="1" s="1"/>
  <c r="K1210" i="1" a="1"/>
  <c r="K1210" i="1" s="1"/>
  <c r="P1210" i="1" a="1"/>
  <c r="P1210" i="1" s="1"/>
  <c r="C1211" i="1" a="1"/>
  <c r="C1211" i="1" s="1"/>
  <c r="G1211" i="1" a="1"/>
  <c r="G1211" i="1" s="1"/>
  <c r="K1211" i="1" a="1"/>
  <c r="K1211" i="1" s="1"/>
  <c r="P1211" i="1" a="1"/>
  <c r="P1211" i="1" s="1"/>
  <c r="C1212" i="1" a="1"/>
  <c r="C1212" i="1" s="1"/>
  <c r="G1212" i="1" a="1"/>
  <c r="G1212" i="1" s="1"/>
  <c r="K1212" i="1" a="1"/>
  <c r="K1212" i="1" s="1"/>
  <c r="O1212" i="1"/>
  <c r="M1212" i="14" s="1"/>
  <c r="F1213" i="1" a="1"/>
  <c r="F1213" i="1" s="1"/>
  <c r="R1213" i="14" s="1"/>
  <c r="J1213" i="1" a="1"/>
  <c r="J1213" i="1" s="1"/>
  <c r="O1213" i="1"/>
  <c r="M1213" i="14" s="1"/>
  <c r="D1214" i="1" a="1"/>
  <c r="D1214" i="1" s="1"/>
  <c r="I1214" i="14" s="1"/>
  <c r="G1214" i="1" a="1"/>
  <c r="G1214" i="1" s="1"/>
  <c r="K1214" i="1" a="1"/>
  <c r="K1214" i="1" s="1"/>
  <c r="P1214" i="1" a="1"/>
  <c r="P1214" i="1" s="1"/>
  <c r="C1215" i="1" a="1"/>
  <c r="C1215" i="1" s="1"/>
  <c r="J1215" i="1" a="1"/>
  <c r="J1215" i="1" s="1"/>
  <c r="O1215" i="1"/>
  <c r="M1215" i="14" s="1"/>
  <c r="F1216" i="1" a="1"/>
  <c r="F1216" i="1" s="1"/>
  <c r="R1216" i="14" s="1"/>
  <c r="J1216" i="1" a="1"/>
  <c r="J1216" i="1" s="1"/>
  <c r="M1216" i="1" a="1"/>
  <c r="M1216" i="1" s="1"/>
  <c r="M1217" i="1" a="1"/>
  <c r="M1217" i="1" s="1"/>
  <c r="J1218" i="1" a="1"/>
  <c r="J1218" i="1" s="1"/>
  <c r="O1218" i="1"/>
  <c r="M1218" i="14" s="1"/>
  <c r="F1219" i="1" a="1"/>
  <c r="F1219" i="1" s="1"/>
  <c r="R1219" i="14" s="1"/>
  <c r="M1219" i="1" a="1"/>
  <c r="M1219" i="1" s="1"/>
  <c r="Q1219" i="1" a="1"/>
  <c r="Q1219" i="1" s="1"/>
  <c r="S1219" i="14" s="1"/>
  <c r="D1220" i="1" a="1"/>
  <c r="D1220" i="1" s="1"/>
  <c r="I1220" i="14" s="1"/>
  <c r="H1220" i="1" a="1"/>
  <c r="H1220" i="1" s="1"/>
  <c r="J1220" i="14" s="1"/>
  <c r="L1220" i="1" a="1"/>
  <c r="L1220" i="1" s="1"/>
  <c r="Q1220" i="1" a="1"/>
  <c r="Q1220" i="1" s="1"/>
  <c r="S1220" i="14" s="1"/>
  <c r="D1221" i="1" a="1"/>
  <c r="D1221" i="1" s="1"/>
  <c r="I1221" i="14" s="1"/>
  <c r="O1221" i="1"/>
  <c r="M1221" i="14" s="1"/>
  <c r="F1222" i="1" a="1"/>
  <c r="F1222" i="1" s="1"/>
  <c r="R1222" i="14" s="1"/>
  <c r="J1222" i="1" a="1"/>
  <c r="J1222" i="1" s="1"/>
  <c r="M1222" i="1" a="1"/>
  <c r="M1222" i="1" s="1"/>
  <c r="M1223" i="1" a="1"/>
  <c r="M1223" i="1" s="1"/>
  <c r="M1224" i="1" a="1"/>
  <c r="M1224" i="1" s="1"/>
  <c r="H1225" i="1" a="1"/>
  <c r="H1225" i="1" s="1"/>
  <c r="J1225" i="14" s="1"/>
  <c r="K1225" i="1" a="1"/>
  <c r="K1225" i="1" s="1"/>
  <c r="P1225" i="1" a="1"/>
  <c r="P1225" i="1" s="1"/>
  <c r="C1226" i="1" a="1"/>
  <c r="C1226" i="1" s="1"/>
  <c r="G1226" i="1" a="1"/>
  <c r="G1226" i="1" s="1"/>
  <c r="O1226" i="1"/>
  <c r="M1226" i="14" s="1"/>
  <c r="F1227" i="1" a="1"/>
  <c r="F1227" i="1" s="1"/>
  <c r="R1227" i="14" s="1"/>
  <c r="J1227" i="1" a="1"/>
  <c r="J1227" i="1" s="1"/>
  <c r="O1227" i="1"/>
  <c r="M1227" i="14" s="1"/>
  <c r="F1228" i="1" a="1"/>
  <c r="F1228" i="1" s="1"/>
  <c r="R1228" i="14" s="1"/>
  <c r="J1228" i="1" a="1"/>
  <c r="J1228" i="1" s="1"/>
  <c r="M1228" i="1" a="1"/>
  <c r="M1228" i="1" s="1"/>
  <c r="M1229" i="1" a="1"/>
  <c r="M1229" i="1" s="1"/>
  <c r="J1230" i="1" a="1"/>
  <c r="J1230" i="1" s="1"/>
  <c r="O1230" i="1"/>
  <c r="M1230" i="14" s="1"/>
  <c r="F1231" i="1" a="1"/>
  <c r="F1231" i="1" s="1"/>
  <c r="R1231" i="14" s="1"/>
  <c r="M1231" i="1" a="1"/>
  <c r="M1231" i="1" s="1"/>
  <c r="L1232" i="1" a="1"/>
  <c r="L1232" i="1" s="1"/>
  <c r="Q1232" i="1" a="1"/>
  <c r="Q1232" i="1" s="1"/>
  <c r="S1232" i="14" s="1"/>
  <c r="D1233" i="1" a="1"/>
  <c r="D1233" i="1" s="1"/>
  <c r="I1233" i="14" s="1"/>
  <c r="O1233" i="1"/>
  <c r="M1233" i="14" s="1"/>
  <c r="Q1234" i="1" a="1"/>
  <c r="Q1234" i="1" s="1"/>
  <c r="S1234" i="14" s="1"/>
  <c r="D1235" i="1" a="1"/>
  <c r="D1235" i="1" s="1"/>
  <c r="I1235" i="14" s="1"/>
  <c r="H1235" i="1" a="1"/>
  <c r="H1235" i="1" s="1"/>
  <c r="J1235" i="14" s="1"/>
  <c r="L1235" i="1" a="1"/>
  <c r="L1235" i="1" s="1"/>
  <c r="Q1235" i="1" a="1"/>
  <c r="Q1235" i="1" s="1"/>
  <c r="S1235" i="14" s="1"/>
  <c r="D1236" i="1" a="1"/>
  <c r="D1236" i="1" s="1"/>
  <c r="I1236" i="14" s="1"/>
  <c r="H1236" i="1" a="1"/>
  <c r="H1236" i="1" s="1"/>
  <c r="J1236" i="14" s="1"/>
  <c r="P1236" i="1" a="1"/>
  <c r="P1236" i="1" s="1"/>
  <c r="C1237" i="1" a="1"/>
  <c r="C1237" i="1" s="1"/>
  <c r="G1237" i="1" a="1"/>
  <c r="G1237" i="1" s="1"/>
  <c r="K1237" i="1" a="1"/>
  <c r="K1237" i="1" s="1"/>
  <c r="P1237" i="1" a="1"/>
  <c r="P1237" i="1" s="1"/>
  <c r="C1239" i="1" a="1"/>
  <c r="C1239" i="1" s="1"/>
  <c r="G1239" i="1" a="1"/>
  <c r="G1239" i="1" s="1"/>
  <c r="J1239" i="1" a="1"/>
  <c r="J1239" i="1" s="1"/>
  <c r="M1239" i="1" a="1"/>
  <c r="M1239" i="1" s="1"/>
  <c r="K1240" i="1" a="1"/>
  <c r="K1240" i="1" s="1"/>
  <c r="P1240" i="1" a="1"/>
  <c r="P1240" i="1" s="1"/>
  <c r="C1241" i="1" a="1"/>
  <c r="C1241" i="1" s="1"/>
  <c r="G1241" i="1" a="1"/>
  <c r="G1241" i="1" s="1"/>
  <c r="J1241" i="1" a="1"/>
  <c r="J1241" i="1" s="1"/>
  <c r="M1241" i="1" a="1"/>
  <c r="M1241" i="1" s="1"/>
  <c r="M1242" i="1" a="1"/>
  <c r="M1242" i="1" s="1"/>
  <c r="H1243" i="1" a="1"/>
  <c r="H1243" i="1" s="1"/>
  <c r="J1243" i="14" s="1"/>
  <c r="L1243" i="1" a="1"/>
  <c r="L1243" i="1" s="1"/>
  <c r="C1244" i="1" a="1"/>
  <c r="C1244" i="1" s="1"/>
  <c r="G1244" i="1" a="1"/>
  <c r="G1244" i="1" s="1"/>
  <c r="K1244" i="1" a="1"/>
  <c r="K1244" i="1" s="1"/>
  <c r="P1244" i="1" a="1"/>
  <c r="P1244" i="1" s="1"/>
  <c r="C1245" i="1" a="1"/>
  <c r="C1245" i="1" s="1"/>
  <c r="G1245" i="1" a="1"/>
  <c r="G1245" i="1" s="1"/>
  <c r="J1245" i="1" a="1"/>
  <c r="J1245" i="1" s="1"/>
  <c r="M1245" i="1" a="1"/>
  <c r="M1245" i="1" s="1"/>
  <c r="M1246" i="1" a="1"/>
  <c r="M1246" i="1" s="1"/>
  <c r="M1247" i="1" a="1"/>
  <c r="M1247" i="1" s="1"/>
  <c r="L1248" i="1" a="1"/>
  <c r="L1248" i="1" s="1"/>
  <c r="Q1248" i="1" a="1"/>
  <c r="Q1248" i="1" s="1"/>
  <c r="S1248" i="14" s="1"/>
  <c r="D1249" i="1" a="1"/>
  <c r="D1249" i="1" s="1"/>
  <c r="I1249" i="14" s="1"/>
  <c r="O1249" i="1"/>
  <c r="M1249" i="14" s="1"/>
  <c r="M1250" i="1" a="1"/>
  <c r="M1250" i="1" s="1"/>
  <c r="H1027" i="1" a="1"/>
  <c r="H1027" i="1" s="1"/>
  <c r="J1027" i="14" s="1"/>
  <c r="Q1029" i="1" a="1"/>
  <c r="Q1029" i="1" s="1"/>
  <c r="S1029" i="14" s="1"/>
  <c r="P1030" i="1" a="1"/>
  <c r="P1030" i="1" s="1"/>
  <c r="P1031" i="1" a="1"/>
  <c r="P1031" i="1" s="1"/>
  <c r="P1032" i="1" a="1"/>
  <c r="P1032" i="1" s="1"/>
  <c r="F1033" i="1" a="1"/>
  <c r="F1033" i="1" s="1"/>
  <c r="R1033" i="14" s="1"/>
  <c r="C1036" i="1" a="1"/>
  <c r="C1036" i="1" s="1"/>
  <c r="E1036" i="14" s="1"/>
  <c r="H1036" i="1" a="1"/>
  <c r="H1036" i="1" s="1"/>
  <c r="J1036" i="14" s="1"/>
  <c r="L1036" i="1" a="1"/>
  <c r="L1036" i="1" s="1"/>
  <c r="F1037" i="1" a="1"/>
  <c r="F1037" i="1" s="1"/>
  <c r="R1037" i="14" s="1"/>
  <c r="K1037" i="1" a="1"/>
  <c r="K1037" i="1" s="1"/>
  <c r="F1038" i="1" a="1"/>
  <c r="F1038" i="1" s="1"/>
  <c r="R1038" i="14" s="1"/>
  <c r="J1038" i="1" a="1"/>
  <c r="J1038" i="1" s="1"/>
  <c r="Q1038" i="1" a="1"/>
  <c r="Q1038" i="1" s="1"/>
  <c r="S1038" i="14" s="1"/>
  <c r="J1039" i="1" a="1"/>
  <c r="J1039" i="1" s="1"/>
  <c r="P1039" i="1" a="1"/>
  <c r="P1039" i="1" s="1"/>
  <c r="C1040" i="1" a="1"/>
  <c r="C1040" i="1" s="1"/>
  <c r="E1040" i="14" s="1"/>
  <c r="G1040" i="1" a="1"/>
  <c r="G1040" i="1" s="1"/>
  <c r="K1040" i="1" a="1"/>
  <c r="K1040" i="1" s="1"/>
  <c r="P1040" i="1" a="1"/>
  <c r="P1040" i="1" s="1"/>
  <c r="J1041" i="1" a="1"/>
  <c r="J1041" i="1" s="1"/>
  <c r="P1041" i="1" a="1"/>
  <c r="P1041" i="1" s="1"/>
  <c r="M1042" i="1" a="1"/>
  <c r="M1042" i="1" s="1"/>
  <c r="G1043" i="1" a="1"/>
  <c r="G1043" i="1" s="1"/>
  <c r="K1043" i="1" a="1"/>
  <c r="K1043" i="1" s="1"/>
  <c r="Q1043" i="1" a="1"/>
  <c r="Q1043" i="1" s="1"/>
  <c r="S1043" i="14" s="1"/>
  <c r="D1044" i="1" a="1"/>
  <c r="D1044" i="1" s="1"/>
  <c r="I1044" i="14" s="1"/>
  <c r="H1044" i="1" a="1"/>
  <c r="H1044" i="1" s="1"/>
  <c r="J1044" i="14" s="1"/>
  <c r="L1044" i="1" a="1"/>
  <c r="L1044" i="1" s="1"/>
  <c r="O1045" i="1"/>
  <c r="M1045" i="14" s="1"/>
  <c r="C1046" i="1" a="1"/>
  <c r="C1046" i="1" s="1"/>
  <c r="E1046" i="14" s="1"/>
  <c r="O1046" i="1"/>
  <c r="M1046" i="14" s="1"/>
  <c r="C1047" i="1" a="1"/>
  <c r="C1047" i="1" s="1"/>
  <c r="E1047" i="14" s="1"/>
  <c r="O1047" i="1"/>
  <c r="M1047" i="14" s="1"/>
  <c r="C1048" i="1" a="1"/>
  <c r="C1048" i="1" s="1"/>
  <c r="E1048" i="14" s="1"/>
  <c r="O1048" i="1"/>
  <c r="M1048" i="14" s="1"/>
  <c r="L1049" i="1" a="1"/>
  <c r="L1049" i="1" s="1"/>
  <c r="K1050" i="1" a="1"/>
  <c r="K1050" i="1" s="1"/>
  <c r="P1050" i="1" a="1"/>
  <c r="P1050" i="1" s="1"/>
  <c r="C1051" i="1" a="1"/>
  <c r="C1051" i="1" s="1"/>
  <c r="E1051" i="14" s="1"/>
  <c r="G1051" i="1" a="1"/>
  <c r="G1051" i="1" s="1"/>
  <c r="K1051" i="1" a="1"/>
  <c r="K1051" i="1" s="1"/>
  <c r="Q1051" i="1" a="1"/>
  <c r="Q1051" i="1" s="1"/>
  <c r="S1051" i="14" s="1"/>
  <c r="D1052" i="1" a="1"/>
  <c r="D1052" i="1" s="1"/>
  <c r="I1052" i="14" s="1"/>
  <c r="G1052" i="1" a="1"/>
  <c r="G1052" i="1" s="1"/>
  <c r="M1052" i="1" a="1"/>
  <c r="M1052" i="1" s="1"/>
  <c r="F1053" i="1" a="1"/>
  <c r="F1053" i="1" s="1"/>
  <c r="R1053" i="14" s="1"/>
  <c r="L1053" i="1" a="1"/>
  <c r="L1053" i="1" s="1"/>
  <c r="F1054" i="1" a="1"/>
  <c r="F1054" i="1" s="1"/>
  <c r="R1054" i="14" s="1"/>
  <c r="L1054" i="1" a="1"/>
  <c r="L1054" i="1" s="1"/>
  <c r="F1055" i="1" a="1"/>
  <c r="F1055" i="1" s="1"/>
  <c r="R1055" i="14" s="1"/>
  <c r="K1055" i="1" a="1"/>
  <c r="K1055" i="1" s="1"/>
  <c r="Q1055" i="1" a="1"/>
  <c r="Q1055" i="1" s="1"/>
  <c r="S1055" i="14" s="1"/>
  <c r="D1056" i="1" a="1"/>
  <c r="D1056" i="1" s="1"/>
  <c r="I1056" i="14" s="1"/>
  <c r="O1056" i="1"/>
  <c r="M1056" i="14" s="1"/>
  <c r="F1057" i="1" a="1"/>
  <c r="F1057" i="1" s="1"/>
  <c r="R1057" i="14" s="1"/>
  <c r="J1057" i="1" a="1"/>
  <c r="J1057" i="1" s="1"/>
  <c r="P1057" i="1" a="1"/>
  <c r="P1057" i="1" s="1"/>
  <c r="C1058" i="1" a="1"/>
  <c r="C1058" i="1" s="1"/>
  <c r="E1058" i="14" s="1"/>
  <c r="G1058" i="1" a="1"/>
  <c r="G1058" i="1" s="1"/>
  <c r="K1058" i="1" a="1"/>
  <c r="K1058" i="1" s="1"/>
  <c r="P1058" i="1" a="1"/>
  <c r="P1058" i="1" s="1"/>
  <c r="C1059" i="1" a="1"/>
  <c r="C1059" i="1" s="1"/>
  <c r="E1059" i="14" s="1"/>
  <c r="G1059" i="1" a="1"/>
  <c r="G1059" i="1" s="1"/>
  <c r="K1059" i="1" a="1"/>
  <c r="K1059" i="1" s="1"/>
  <c r="P1059" i="1" a="1"/>
  <c r="P1059" i="1" s="1"/>
  <c r="C1060" i="1" a="1"/>
  <c r="C1060" i="1" s="1"/>
  <c r="E1060" i="14" s="1"/>
  <c r="G1060" i="1" a="1"/>
  <c r="G1060" i="1" s="1"/>
  <c r="K1060" i="1" a="1"/>
  <c r="K1060" i="1" s="1"/>
  <c r="P1060" i="1" a="1"/>
  <c r="P1060" i="1" s="1"/>
  <c r="C1061" i="1" a="1"/>
  <c r="C1061" i="1" s="1"/>
  <c r="E1061" i="14" s="1"/>
  <c r="G1061" i="1" a="1"/>
  <c r="G1061" i="1" s="1"/>
  <c r="K1061" i="1" a="1"/>
  <c r="K1061" i="1" s="1"/>
  <c r="P1061" i="1" a="1"/>
  <c r="P1061" i="1" s="1"/>
  <c r="C1062" i="1" a="1"/>
  <c r="C1062" i="1" s="1"/>
  <c r="E1062" i="14" s="1"/>
  <c r="G1062" i="1" a="1"/>
  <c r="G1062" i="1" s="1"/>
  <c r="O1062" i="1"/>
  <c r="M1062" i="14" s="1"/>
  <c r="F1063" i="1" a="1"/>
  <c r="F1063" i="1" s="1"/>
  <c r="R1063" i="14" s="1"/>
  <c r="M1063" i="1" a="1"/>
  <c r="M1063" i="1" s="1"/>
  <c r="M1064" i="1" a="1"/>
  <c r="M1064" i="1" s="1"/>
  <c r="Q1064" i="1" a="1"/>
  <c r="Q1064" i="1" s="1"/>
  <c r="S1064" i="14" s="1"/>
  <c r="C1065" i="1" a="1"/>
  <c r="C1065" i="1" s="1"/>
  <c r="E1065" i="14" s="1"/>
  <c r="G1065" i="1" a="1"/>
  <c r="G1065" i="1" s="1"/>
  <c r="J1065" i="1" a="1"/>
  <c r="J1065" i="1" s="1"/>
  <c r="O1065" i="1"/>
  <c r="M1065" i="14" s="1"/>
  <c r="F1066" i="1" a="1"/>
  <c r="F1066" i="1" s="1"/>
  <c r="R1066" i="14" s="1"/>
  <c r="J1066" i="1" a="1"/>
  <c r="J1066" i="1" s="1"/>
  <c r="O1066" i="1"/>
  <c r="M1066" i="14" s="1"/>
  <c r="F1067" i="1" a="1"/>
  <c r="F1067" i="1" s="1"/>
  <c r="R1067" i="14" s="1"/>
  <c r="M1067" i="1" a="1"/>
  <c r="M1067" i="1" s="1"/>
  <c r="M1068" i="1" a="1"/>
  <c r="M1068" i="1" s="1"/>
  <c r="Q1068" i="1" a="1"/>
  <c r="Q1068" i="1" s="1"/>
  <c r="S1068" i="14" s="1"/>
  <c r="D1069" i="1" a="1"/>
  <c r="D1069" i="1" s="1"/>
  <c r="I1069" i="14" s="1"/>
  <c r="H1069" i="1" a="1"/>
  <c r="H1069" i="1" s="1"/>
  <c r="J1069" i="14" s="1"/>
  <c r="L1069" i="1" a="1"/>
  <c r="L1069" i="1" s="1"/>
  <c r="Q1069" i="1" a="1"/>
  <c r="Q1069" i="1" s="1"/>
  <c r="S1069" i="14" s="1"/>
  <c r="D1070" i="1" a="1"/>
  <c r="D1070" i="1" s="1"/>
  <c r="I1070" i="14" s="1"/>
  <c r="H1070" i="1" a="1"/>
  <c r="H1070" i="1" s="1"/>
  <c r="J1070" i="14" s="1"/>
  <c r="L1070" i="1" a="1"/>
  <c r="L1070" i="1" s="1"/>
  <c r="Q1070" i="1" a="1"/>
  <c r="Q1070" i="1" s="1"/>
  <c r="S1070" i="14" s="1"/>
  <c r="D1071" i="1" a="1"/>
  <c r="D1071" i="1" s="1"/>
  <c r="I1071" i="14" s="1"/>
  <c r="H1071" i="1" a="1"/>
  <c r="H1071" i="1" s="1"/>
  <c r="J1071" i="14" s="1"/>
  <c r="K1071" i="1" a="1"/>
  <c r="K1071" i="1" s="1"/>
  <c r="P1071" i="1" a="1"/>
  <c r="P1071" i="1" s="1"/>
  <c r="F1072" i="1" a="1"/>
  <c r="F1072" i="1" s="1"/>
  <c r="R1072" i="14" s="1"/>
  <c r="J1072" i="1" a="1"/>
  <c r="J1072" i="1" s="1"/>
  <c r="O1072" i="1"/>
  <c r="M1072" i="14" s="1"/>
  <c r="F1073" i="1" a="1"/>
  <c r="F1073" i="1" s="1"/>
  <c r="R1073" i="14" s="1"/>
  <c r="J1073" i="1" a="1"/>
  <c r="J1073" i="1" s="1"/>
  <c r="O1073" i="1"/>
  <c r="M1073" i="14" s="1"/>
  <c r="F1074" i="1" a="1"/>
  <c r="F1074" i="1" s="1"/>
  <c r="R1074" i="14" s="1"/>
  <c r="J1074" i="1" a="1"/>
  <c r="J1074" i="1" s="1"/>
  <c r="O1074" i="1"/>
  <c r="M1074" i="14" s="1"/>
  <c r="F1075" i="1" a="1"/>
  <c r="F1075" i="1" s="1"/>
  <c r="R1075" i="14" s="1"/>
  <c r="J1075" i="1" a="1"/>
  <c r="J1075" i="1" s="1"/>
  <c r="O1075" i="1"/>
  <c r="M1075" i="14" s="1"/>
  <c r="F1076" i="1" a="1"/>
  <c r="F1076" i="1" s="1"/>
  <c r="R1076" i="14" s="1"/>
  <c r="J1076" i="1" a="1"/>
  <c r="J1076" i="1" s="1"/>
  <c r="O1076" i="1"/>
  <c r="M1076" i="14" s="1"/>
  <c r="F1077" i="1" a="1"/>
  <c r="F1077" i="1" s="1"/>
  <c r="R1077" i="14" s="1"/>
  <c r="J1077" i="1" a="1"/>
  <c r="J1077" i="1" s="1"/>
  <c r="O1077" i="1"/>
  <c r="M1077" i="14" s="1"/>
  <c r="F1078" i="1" a="1"/>
  <c r="F1078" i="1" s="1"/>
  <c r="R1078" i="14" s="1"/>
  <c r="J1078" i="1" a="1"/>
  <c r="J1078" i="1" s="1"/>
  <c r="O1078" i="1"/>
  <c r="M1078" i="14" s="1"/>
  <c r="F1079" i="1" a="1"/>
  <c r="F1079" i="1" s="1"/>
  <c r="R1079" i="14" s="1"/>
  <c r="J1079" i="1" a="1"/>
  <c r="J1079" i="1" s="1"/>
  <c r="O1079" i="1"/>
  <c r="M1079" i="14" s="1"/>
  <c r="F1080" i="1" a="1"/>
  <c r="F1080" i="1" s="1"/>
  <c r="R1080" i="14" s="1"/>
  <c r="J1080" i="1" a="1"/>
  <c r="J1080" i="1" s="1"/>
  <c r="O1080" i="1"/>
  <c r="M1080" i="14" s="1"/>
  <c r="F1081" i="1" a="1"/>
  <c r="F1081" i="1" s="1"/>
  <c r="R1081" i="14" s="1"/>
  <c r="J1081" i="1" a="1"/>
  <c r="J1081" i="1" s="1"/>
  <c r="O1081" i="1"/>
  <c r="M1081" i="14" s="1"/>
  <c r="D1082" i="1" a="1"/>
  <c r="D1082" i="1" s="1"/>
  <c r="I1082" i="14" s="1"/>
  <c r="H1082" i="1" a="1"/>
  <c r="H1082" i="1" s="1"/>
  <c r="J1082" i="14" s="1"/>
  <c r="K1082" i="1" a="1"/>
  <c r="K1082" i="1" s="1"/>
  <c r="P1082" i="1" a="1"/>
  <c r="P1082" i="1" s="1"/>
  <c r="C1083" i="1" a="1"/>
  <c r="C1083" i="1" s="1"/>
  <c r="E1083" i="14" s="1"/>
  <c r="G1083" i="1" a="1"/>
  <c r="G1083" i="1" s="1"/>
  <c r="K1083" i="1" a="1"/>
  <c r="K1083" i="1" s="1"/>
  <c r="P1083" i="1" a="1"/>
  <c r="P1083" i="1" s="1"/>
  <c r="C1084" i="1" a="1"/>
  <c r="C1084" i="1" s="1"/>
  <c r="E1084" i="14" s="1"/>
  <c r="G1084" i="1" a="1"/>
  <c r="G1084" i="1" s="1"/>
  <c r="K1084" i="1" a="1"/>
  <c r="K1084" i="1" s="1"/>
  <c r="P1084" i="1" a="1"/>
  <c r="P1084" i="1" s="1"/>
  <c r="C1085" i="1" a="1"/>
  <c r="C1085" i="1" s="1"/>
  <c r="E1085" i="14" s="1"/>
  <c r="G1085" i="1" a="1"/>
  <c r="G1085" i="1" s="1"/>
  <c r="K1085" i="1" a="1"/>
  <c r="K1085" i="1" s="1"/>
  <c r="P1085" i="1" a="1"/>
  <c r="P1085" i="1" s="1"/>
  <c r="C1086" i="1" a="1"/>
  <c r="C1086" i="1" s="1"/>
  <c r="E1086" i="14" s="1"/>
  <c r="G1086" i="1" a="1"/>
  <c r="G1086" i="1" s="1"/>
  <c r="K1086" i="1" a="1"/>
  <c r="K1086" i="1" s="1"/>
  <c r="P1086" i="1" a="1"/>
  <c r="P1086" i="1" s="1"/>
  <c r="C1087" i="1" a="1"/>
  <c r="C1087" i="1" s="1"/>
  <c r="E1087" i="14" s="1"/>
  <c r="G1087" i="1" a="1"/>
  <c r="G1087" i="1" s="1"/>
  <c r="K1087" i="1" a="1"/>
  <c r="K1087" i="1" s="1"/>
  <c r="P1087" i="1" a="1"/>
  <c r="P1087" i="1" s="1"/>
  <c r="C1088" i="1" a="1"/>
  <c r="C1088" i="1" s="1"/>
  <c r="E1088" i="14" s="1"/>
  <c r="F1088" i="1" a="1"/>
  <c r="F1088" i="1" s="1"/>
  <c r="R1088" i="14" s="1"/>
  <c r="J1088" i="1" a="1"/>
  <c r="J1088" i="1" s="1"/>
  <c r="M1088" i="1" a="1"/>
  <c r="M1088" i="1" s="1"/>
  <c r="M1089" i="1" a="1"/>
  <c r="M1089" i="1" s="1"/>
  <c r="M1090" i="1" a="1"/>
  <c r="M1090" i="1" s="1"/>
  <c r="H1091" i="1" a="1"/>
  <c r="H1091" i="1" s="1"/>
  <c r="J1091" i="14" s="1"/>
  <c r="L1091" i="1" a="1"/>
  <c r="L1091" i="1" s="1"/>
  <c r="Q1091" i="1" a="1"/>
  <c r="Q1091" i="1" s="1"/>
  <c r="S1091" i="14" s="1"/>
  <c r="D1092" i="1" a="1"/>
  <c r="D1092" i="1" s="1"/>
  <c r="I1092" i="14" s="1"/>
  <c r="H1092" i="1" a="1"/>
  <c r="H1092" i="1" s="1"/>
  <c r="J1092" i="14" s="1"/>
  <c r="L1092" i="1" a="1"/>
  <c r="L1092" i="1" s="1"/>
  <c r="P1092" i="1" a="1"/>
  <c r="P1092" i="1" s="1"/>
  <c r="C1093" i="1" a="1"/>
  <c r="C1093" i="1" s="1"/>
  <c r="E1093" i="14" s="1"/>
  <c r="G1093" i="1" a="1"/>
  <c r="G1093" i="1" s="1"/>
  <c r="K1093" i="1" a="1"/>
  <c r="K1093" i="1" s="1"/>
  <c r="P1093" i="1" a="1"/>
  <c r="P1093" i="1" s="1"/>
  <c r="C1094" i="1" a="1"/>
  <c r="C1094" i="1" s="1"/>
  <c r="E1094" i="14" s="1"/>
  <c r="G1094" i="1" a="1"/>
  <c r="G1094" i="1" s="1"/>
  <c r="K1094" i="1" a="1"/>
  <c r="K1094" i="1" s="1"/>
  <c r="O1094" i="1"/>
  <c r="M1094" i="14" s="1"/>
  <c r="F1095" i="1" a="1"/>
  <c r="F1095" i="1" s="1"/>
  <c r="R1095" i="14" s="1"/>
  <c r="J1095" i="1" a="1"/>
  <c r="J1095" i="1" s="1"/>
  <c r="O1095" i="1"/>
  <c r="M1095" i="14" s="1"/>
  <c r="F1096" i="1" a="1"/>
  <c r="F1096" i="1" s="1"/>
  <c r="R1096" i="14" s="1"/>
  <c r="J1096" i="1" a="1"/>
  <c r="J1096" i="1" s="1"/>
  <c r="O1096" i="1"/>
  <c r="M1096" i="14" s="1"/>
  <c r="F1097" i="1" a="1"/>
  <c r="F1097" i="1" s="1"/>
  <c r="R1097" i="14" s="1"/>
  <c r="M1097" i="1" a="1"/>
  <c r="M1097" i="1" s="1"/>
  <c r="M1098" i="1" a="1"/>
  <c r="M1098" i="1" s="1"/>
  <c r="H1099" i="1" a="1"/>
  <c r="H1099" i="1" s="1"/>
  <c r="J1099" i="14" s="1"/>
  <c r="L1099" i="1" a="1"/>
  <c r="L1099" i="1" s="1"/>
  <c r="Q1099" i="1" a="1"/>
  <c r="Q1099" i="1" s="1"/>
  <c r="S1099" i="14" s="1"/>
  <c r="D1100" i="1" a="1"/>
  <c r="D1100" i="1" s="1"/>
  <c r="I1100" i="14" s="1"/>
  <c r="H1100" i="1" a="1"/>
  <c r="H1100" i="1" s="1"/>
  <c r="J1100" i="14" s="1"/>
  <c r="L1100" i="1" a="1"/>
  <c r="L1100" i="1" s="1"/>
  <c r="P1100" i="1" a="1"/>
  <c r="P1100" i="1" s="1"/>
  <c r="C1101" i="1" a="1"/>
  <c r="C1101" i="1" s="1"/>
  <c r="E1101" i="14" s="1"/>
  <c r="G1101" i="1" a="1"/>
  <c r="G1101" i="1" s="1"/>
  <c r="K1101" i="1" a="1"/>
  <c r="K1101" i="1" s="1"/>
  <c r="P1101" i="1" a="1"/>
  <c r="P1101" i="1" s="1"/>
  <c r="C1102" i="1" a="1"/>
  <c r="C1102" i="1" s="1"/>
  <c r="E1102" i="14" s="1"/>
  <c r="G1102" i="1" a="1"/>
  <c r="G1102" i="1" s="1"/>
  <c r="K1102" i="1" a="1"/>
  <c r="K1102" i="1" s="1"/>
  <c r="O1102" i="1"/>
  <c r="M1102" i="14" s="1"/>
  <c r="F1103" i="1" a="1"/>
  <c r="F1103" i="1" s="1"/>
  <c r="R1103" i="14" s="1"/>
  <c r="J1103" i="1" a="1"/>
  <c r="J1103" i="1" s="1"/>
  <c r="O1103" i="1"/>
  <c r="M1103" i="14" s="1"/>
  <c r="F1104" i="1" a="1"/>
  <c r="F1104" i="1" s="1"/>
  <c r="R1104" i="14" s="1"/>
  <c r="J1104" i="1" a="1"/>
  <c r="J1104" i="1" s="1"/>
  <c r="O1104" i="1"/>
  <c r="M1104" i="14" s="1"/>
  <c r="F1105" i="1" a="1"/>
  <c r="F1105" i="1" s="1"/>
  <c r="R1105" i="14" s="1"/>
  <c r="J1105" i="1" a="1"/>
  <c r="J1105" i="1" s="1"/>
  <c r="O1105" i="1"/>
  <c r="M1105" i="14" s="1"/>
  <c r="F1106" i="1" a="1"/>
  <c r="F1106" i="1" s="1"/>
  <c r="R1106" i="14" s="1"/>
  <c r="J1106" i="1" a="1"/>
  <c r="J1106" i="1" s="1"/>
  <c r="O1106" i="1"/>
  <c r="M1106" i="14" s="1"/>
  <c r="F1107" i="1" a="1"/>
  <c r="F1107" i="1" s="1"/>
  <c r="R1107" i="14" s="1"/>
  <c r="M1107" i="1" a="1"/>
  <c r="M1107" i="1" s="1"/>
  <c r="M1108" i="1" a="1"/>
  <c r="M1108" i="1" s="1"/>
  <c r="H1109" i="1" a="1"/>
  <c r="H1109" i="1" s="1"/>
  <c r="J1109" i="14" s="1"/>
  <c r="L1109" i="1" a="1"/>
  <c r="L1109" i="1" s="1"/>
  <c r="Q1109" i="1" a="1"/>
  <c r="Q1109" i="1" s="1"/>
  <c r="S1109" i="14" s="1"/>
  <c r="D1110" i="1" a="1"/>
  <c r="D1110" i="1" s="1"/>
  <c r="I1110" i="14" s="1"/>
  <c r="H1110" i="1" a="1"/>
  <c r="H1110" i="1" s="1"/>
  <c r="J1110" i="14" s="1"/>
  <c r="L1110" i="1" a="1"/>
  <c r="L1110" i="1" s="1"/>
  <c r="P1110" i="1" a="1"/>
  <c r="P1110" i="1" s="1"/>
  <c r="C1111" i="1" a="1"/>
  <c r="C1111" i="1" s="1"/>
  <c r="E1111" i="14" s="1"/>
  <c r="G1111" i="1" a="1"/>
  <c r="G1111" i="1" s="1"/>
  <c r="K1111" i="1" a="1"/>
  <c r="K1111" i="1" s="1"/>
  <c r="P1111" i="1" a="1"/>
  <c r="P1111" i="1" s="1"/>
  <c r="C1112" i="1" a="1"/>
  <c r="C1112" i="1" s="1"/>
  <c r="E1112" i="14" s="1"/>
  <c r="G1112" i="1" a="1"/>
  <c r="G1112" i="1" s="1"/>
  <c r="K1112" i="1" a="1"/>
  <c r="K1112" i="1" s="1"/>
  <c r="P1112" i="1" a="1"/>
  <c r="P1112" i="1" s="1"/>
  <c r="C1113" i="1" a="1"/>
  <c r="C1113" i="1" s="1"/>
  <c r="E1113" i="14" s="1"/>
  <c r="G1113" i="1" a="1"/>
  <c r="G1113" i="1" s="1"/>
  <c r="K1113" i="1" a="1"/>
  <c r="K1113" i="1" s="1"/>
  <c r="P1113" i="1" a="1"/>
  <c r="P1113" i="1" s="1"/>
  <c r="C1114" i="1" a="1"/>
  <c r="C1114" i="1" s="1"/>
  <c r="E1114" i="14" s="1"/>
  <c r="G1114" i="1" a="1"/>
  <c r="G1114" i="1" s="1"/>
  <c r="K1114" i="1" a="1"/>
  <c r="K1114" i="1" s="1"/>
  <c r="P1114" i="1" a="1"/>
  <c r="P1114" i="1" s="1"/>
  <c r="C1115" i="1" a="1"/>
  <c r="C1115" i="1" s="1"/>
  <c r="E1115" i="14" s="1"/>
  <c r="G1115" i="1" a="1"/>
  <c r="G1115" i="1" s="1"/>
  <c r="K1115" i="1" a="1"/>
  <c r="K1115" i="1" s="1"/>
  <c r="P1115" i="1" a="1"/>
  <c r="P1115" i="1" s="1"/>
  <c r="C1116" i="1" a="1"/>
  <c r="C1116" i="1" s="1"/>
  <c r="E1116" i="14" s="1"/>
  <c r="F1116" i="1" a="1"/>
  <c r="F1116" i="1" s="1"/>
  <c r="R1116" i="14" s="1"/>
  <c r="J1116" i="1" a="1"/>
  <c r="J1116" i="1" s="1"/>
  <c r="M1117" i="1" a="1"/>
  <c r="M1117" i="1" s="1"/>
  <c r="M1118" i="1" a="1"/>
  <c r="M1118" i="1" s="1"/>
  <c r="M1119" i="1" a="1"/>
  <c r="M1119" i="1" s="1"/>
  <c r="H1120" i="1" a="1"/>
  <c r="H1120" i="1" s="1"/>
  <c r="J1120" i="14" s="1"/>
  <c r="P1120" i="1" a="1"/>
  <c r="P1120" i="1" s="1"/>
  <c r="C1121" i="1" a="1"/>
  <c r="C1121" i="1" s="1"/>
  <c r="E1121" i="14" s="1"/>
  <c r="G1121" i="1" a="1"/>
  <c r="G1121" i="1" s="1"/>
  <c r="K1121" i="1" a="1"/>
  <c r="K1121" i="1" s="1"/>
  <c r="P1121" i="1" a="1"/>
  <c r="P1121" i="1" s="1"/>
  <c r="C1122" i="1" a="1"/>
  <c r="C1122" i="1" s="1"/>
  <c r="E1122" i="14" s="1"/>
  <c r="G1122" i="1" a="1"/>
  <c r="G1122" i="1" s="1"/>
  <c r="K1122" i="1" a="1"/>
  <c r="K1122" i="1" s="1"/>
  <c r="P1122" i="1" a="1"/>
  <c r="P1122" i="1" s="1"/>
  <c r="C1123" i="1" a="1"/>
  <c r="C1123" i="1" s="1"/>
  <c r="E1123" i="14" s="1"/>
  <c r="G1123" i="1" a="1"/>
  <c r="G1123" i="1" s="1"/>
  <c r="J1123" i="1" a="1"/>
  <c r="J1123" i="1" s="1"/>
  <c r="O1123" i="1"/>
  <c r="M1123" i="14" s="1"/>
  <c r="M1124" i="1" a="1"/>
  <c r="M1124" i="1" s="1"/>
  <c r="M1125" i="1" a="1"/>
  <c r="M1125" i="1" s="1"/>
  <c r="J1126" i="1" a="1"/>
  <c r="J1126" i="1" s="1"/>
  <c r="M1126" i="1" a="1"/>
  <c r="M1126" i="1" s="1"/>
  <c r="Q1126" i="1" a="1"/>
  <c r="Q1126" i="1" s="1"/>
  <c r="S1126" i="14" s="1"/>
  <c r="D1127" i="1" a="1"/>
  <c r="D1127" i="1" s="1"/>
  <c r="I1127" i="14" s="1"/>
  <c r="G1127" i="1" a="1"/>
  <c r="G1127" i="1" s="1"/>
  <c r="K1127" i="1" a="1"/>
  <c r="K1127" i="1" s="1"/>
  <c r="P1127" i="1" a="1"/>
  <c r="P1127" i="1" s="1"/>
  <c r="C1128" i="1" a="1"/>
  <c r="C1128" i="1" s="1"/>
  <c r="E1128" i="14" s="1"/>
  <c r="G1128" i="1" a="1"/>
  <c r="G1128" i="1" s="1"/>
  <c r="K1128" i="1" a="1"/>
  <c r="K1128" i="1" s="1"/>
  <c r="O1128" i="1"/>
  <c r="M1128" i="14" s="1"/>
  <c r="D1129" i="1" a="1"/>
  <c r="D1129" i="1" s="1"/>
  <c r="I1129" i="14" s="1"/>
  <c r="H1129" i="1" a="1"/>
  <c r="H1129" i="1" s="1"/>
  <c r="J1129" i="14" s="1"/>
  <c r="L1129" i="1" a="1"/>
  <c r="L1129" i="1" s="1"/>
  <c r="P1129" i="1" a="1"/>
  <c r="P1129" i="1" s="1"/>
  <c r="C1130" i="1" a="1"/>
  <c r="C1130" i="1" s="1"/>
  <c r="E1130" i="14" s="1"/>
  <c r="G1130" i="1" a="1"/>
  <c r="G1130" i="1" s="1"/>
  <c r="J1130" i="1" a="1"/>
  <c r="J1130" i="1" s="1"/>
  <c r="O1130" i="1"/>
  <c r="M1130" i="14" s="1"/>
  <c r="F1131" i="1" a="1"/>
  <c r="F1131" i="1" s="1"/>
  <c r="R1131" i="14" s="1"/>
  <c r="J1131" i="1" a="1"/>
  <c r="J1131" i="1" s="1"/>
  <c r="O1131" i="1"/>
  <c r="M1131" i="14" s="1"/>
  <c r="F1132" i="1" a="1"/>
  <c r="F1132" i="1" s="1"/>
  <c r="R1132" i="14" s="1"/>
  <c r="J1132" i="1" a="1"/>
  <c r="J1132" i="1" s="1"/>
  <c r="O1132" i="1"/>
  <c r="M1132" i="14" s="1"/>
  <c r="F1133" i="1" a="1"/>
  <c r="F1133" i="1" s="1"/>
  <c r="R1133" i="14" s="1"/>
  <c r="L1133" i="1" a="1"/>
  <c r="L1133" i="1" s="1"/>
  <c r="Q1133" i="1" a="1"/>
  <c r="Q1133" i="1" s="1"/>
  <c r="S1133" i="14" s="1"/>
  <c r="D1134" i="1" a="1"/>
  <c r="D1134" i="1" s="1"/>
  <c r="I1134" i="14" s="1"/>
  <c r="H1134" i="1" a="1"/>
  <c r="H1134" i="1" s="1"/>
  <c r="J1134" i="14" s="1"/>
  <c r="K1134" i="1" a="1"/>
  <c r="K1134" i="1" s="1"/>
  <c r="P1134" i="1" a="1"/>
  <c r="P1134" i="1" s="1"/>
  <c r="C1135" i="1" a="1"/>
  <c r="C1135" i="1" s="1"/>
  <c r="E1135" i="14" s="1"/>
  <c r="G1135" i="1" a="1"/>
  <c r="G1135" i="1" s="1"/>
  <c r="J1135" i="1" a="1"/>
  <c r="J1135" i="1" s="1"/>
  <c r="M1135" i="1" a="1"/>
  <c r="M1135" i="1" s="1"/>
  <c r="M1136" i="1" a="1"/>
  <c r="M1136" i="1" s="1"/>
  <c r="H1137" i="1" a="1"/>
  <c r="H1137" i="1" s="1"/>
  <c r="J1137" i="14" s="1"/>
  <c r="K1137" i="1" a="1"/>
  <c r="K1137" i="1" s="1"/>
  <c r="P1137" i="1" a="1"/>
  <c r="P1137" i="1" s="1"/>
  <c r="C1138" i="1" a="1"/>
  <c r="C1138" i="1" s="1"/>
  <c r="E1138" i="14" s="1"/>
  <c r="G1138" i="1" a="1"/>
  <c r="G1138" i="1" s="1"/>
  <c r="K1138" i="1" a="1"/>
  <c r="K1138" i="1" s="1"/>
  <c r="O1138" i="1"/>
  <c r="M1138" i="14" s="1"/>
  <c r="F1139" i="1" a="1"/>
  <c r="F1139" i="1" s="1"/>
  <c r="R1139" i="14" s="1"/>
  <c r="J1139" i="1" a="1"/>
  <c r="J1139" i="1" s="1"/>
  <c r="O1139" i="1"/>
  <c r="M1139" i="14" s="1"/>
  <c r="F1140" i="1" a="1"/>
  <c r="F1140" i="1" s="1"/>
  <c r="R1140" i="14" s="1"/>
  <c r="J1140" i="1" a="1"/>
  <c r="J1140" i="1" s="1"/>
  <c r="O1140" i="1"/>
  <c r="M1140" i="14" s="1"/>
  <c r="F1141" i="1" a="1"/>
  <c r="F1141" i="1" s="1"/>
  <c r="R1141" i="14" s="1"/>
  <c r="L1141" i="1" a="1"/>
  <c r="L1141" i="1" s="1"/>
  <c r="Q1141" i="1" a="1"/>
  <c r="Q1141" i="1" s="1"/>
  <c r="S1141" i="14" s="1"/>
  <c r="D1142" i="1" a="1"/>
  <c r="D1142" i="1" s="1"/>
  <c r="I1142" i="14" s="1"/>
  <c r="H1142" i="1" a="1"/>
  <c r="H1142" i="1" s="1"/>
  <c r="J1142" i="14" s="1"/>
  <c r="K1142" i="1" a="1"/>
  <c r="K1142" i="1" s="1"/>
  <c r="P1142" i="1" a="1"/>
  <c r="P1142" i="1" s="1"/>
  <c r="C1143" i="1" a="1"/>
  <c r="C1143" i="1" s="1"/>
  <c r="E1143" i="14" s="1"/>
  <c r="G1143" i="1" a="1"/>
  <c r="G1143" i="1" s="1"/>
  <c r="J1143" i="1" a="1"/>
  <c r="J1143" i="1" s="1"/>
  <c r="M1143" i="1" a="1"/>
  <c r="M1143" i="1" s="1"/>
  <c r="H1144" i="1" a="1"/>
  <c r="H1144" i="1" s="1"/>
  <c r="J1144" i="14" s="1"/>
  <c r="P1144" i="1" a="1"/>
  <c r="P1144" i="1" s="1"/>
  <c r="C1145" i="1" a="1"/>
  <c r="C1145" i="1" s="1"/>
  <c r="E1145" i="14" s="1"/>
  <c r="G1145" i="1" a="1"/>
  <c r="G1145" i="1" s="1"/>
  <c r="K1145" i="1" a="1"/>
  <c r="K1145" i="1" s="1"/>
  <c r="P1145" i="1" a="1"/>
  <c r="P1145" i="1" s="1"/>
  <c r="H1146" i="1" a="1"/>
  <c r="H1146" i="1" s="1"/>
  <c r="J1146" i="14" s="1"/>
  <c r="L1146" i="1" a="1"/>
  <c r="L1146" i="1" s="1"/>
  <c r="Q1146" i="1" a="1"/>
  <c r="Q1146" i="1" s="1"/>
  <c r="S1146" i="14" s="1"/>
  <c r="D1147" i="1" a="1"/>
  <c r="D1147" i="1" s="1"/>
  <c r="I1147" i="14" s="1"/>
  <c r="H1147" i="1" a="1"/>
  <c r="H1147" i="1" s="1"/>
  <c r="J1147" i="14" s="1"/>
  <c r="L1147" i="1" a="1"/>
  <c r="L1147" i="1" s="1"/>
  <c r="P1147" i="1" a="1"/>
  <c r="P1147" i="1" s="1"/>
  <c r="C1148" i="1" a="1"/>
  <c r="C1148" i="1" s="1"/>
  <c r="E1148" i="14" s="1"/>
  <c r="G1148" i="1" a="1"/>
  <c r="G1148" i="1" s="1"/>
  <c r="K1148" i="1" a="1"/>
  <c r="K1148" i="1" s="1"/>
  <c r="P1148" i="1" a="1"/>
  <c r="P1148" i="1" s="1"/>
  <c r="C1149" i="1" a="1"/>
  <c r="C1149" i="1" s="1"/>
  <c r="E1149" i="14" s="1"/>
  <c r="G1149" i="1" a="1"/>
  <c r="G1149" i="1" s="1"/>
  <c r="K1149" i="1" a="1"/>
  <c r="K1149" i="1" s="1"/>
  <c r="P1149" i="1" a="1"/>
  <c r="P1149" i="1" s="1"/>
  <c r="C1150" i="1" a="1"/>
  <c r="C1150" i="1" s="1"/>
  <c r="E1150" i="14" s="1"/>
  <c r="G1150" i="1" a="1"/>
  <c r="G1150" i="1" s="1"/>
  <c r="K1150" i="1" a="1"/>
  <c r="K1150" i="1" s="1"/>
  <c r="O1150" i="1"/>
  <c r="M1150" i="14" s="1"/>
  <c r="F1151" i="1" a="1"/>
  <c r="F1151" i="1" s="1"/>
  <c r="R1151" i="14" s="1"/>
  <c r="M1151" i="1" a="1"/>
  <c r="M1151" i="1" s="1"/>
  <c r="L1152" i="1" a="1"/>
  <c r="L1152" i="1" s="1"/>
  <c r="Q1152" i="1" a="1"/>
  <c r="Q1152" i="1" s="1"/>
  <c r="S1152" i="14" s="1"/>
  <c r="D1153" i="1" a="1"/>
  <c r="D1153" i="1" s="1"/>
  <c r="I1153" i="14" s="1"/>
  <c r="H1153" i="1" a="1"/>
  <c r="H1153" i="1" s="1"/>
  <c r="J1153" i="14" s="1"/>
  <c r="L1153" i="1" a="1"/>
  <c r="L1153" i="1" s="1"/>
  <c r="Q1153" i="1" a="1"/>
  <c r="Q1153" i="1" s="1"/>
  <c r="S1153" i="14" s="1"/>
  <c r="C1154" i="1" a="1"/>
  <c r="C1154" i="1" s="1"/>
  <c r="E1154" i="14" s="1"/>
  <c r="F1154" i="1" a="1"/>
  <c r="F1154" i="1" s="1"/>
  <c r="R1154" i="14" s="1"/>
  <c r="M1154" i="1" a="1"/>
  <c r="M1154" i="1" s="1"/>
  <c r="M1155" i="1" a="1"/>
  <c r="M1155" i="1" s="1"/>
  <c r="Q1155" i="1" a="1"/>
  <c r="Q1155" i="1" s="1"/>
  <c r="S1155" i="14" s="1"/>
  <c r="D1156" i="1" a="1"/>
  <c r="D1156" i="1" s="1"/>
  <c r="I1156" i="14" s="1"/>
  <c r="G1156" i="1" a="1"/>
  <c r="G1156" i="1" s="1"/>
  <c r="K1156" i="1" a="1"/>
  <c r="K1156" i="1" s="1"/>
  <c r="P1156" i="1" a="1"/>
  <c r="P1156" i="1" s="1"/>
  <c r="C1157" i="1" a="1"/>
  <c r="C1157" i="1" s="1"/>
  <c r="E1157" i="14" s="1"/>
  <c r="G1157" i="1" a="1"/>
  <c r="G1157" i="1" s="1"/>
  <c r="K1157" i="1" a="1"/>
  <c r="K1157" i="1" s="1"/>
  <c r="P1157" i="1" a="1"/>
  <c r="P1157" i="1" s="1"/>
  <c r="C1158" i="1" a="1"/>
  <c r="C1158" i="1" s="1"/>
  <c r="E1158" i="14" s="1"/>
  <c r="G1158" i="1" a="1"/>
  <c r="G1158" i="1" s="1"/>
  <c r="K1158" i="1" a="1"/>
  <c r="K1158" i="1" s="1"/>
  <c r="O1158" i="1"/>
  <c r="M1158" i="14" s="1"/>
  <c r="F1159" i="1" a="1"/>
  <c r="F1159" i="1" s="1"/>
  <c r="R1159" i="14" s="1"/>
  <c r="J1159" i="1" a="1"/>
  <c r="J1159" i="1" s="1"/>
  <c r="O1159" i="1"/>
  <c r="M1159" i="14" s="1"/>
  <c r="F1160" i="1" a="1"/>
  <c r="F1160" i="1" s="1"/>
  <c r="R1160" i="14" s="1"/>
  <c r="J1160" i="1" a="1"/>
  <c r="J1160" i="1" s="1"/>
  <c r="O1160" i="1"/>
  <c r="M1160" i="14" s="1"/>
  <c r="F1161" i="1" a="1"/>
  <c r="F1161" i="1" s="1"/>
  <c r="R1161" i="14" s="1"/>
  <c r="L1161" i="1" a="1"/>
  <c r="L1161" i="1" s="1"/>
  <c r="Q1161" i="1" a="1"/>
  <c r="Q1161" i="1" s="1"/>
  <c r="S1161" i="14" s="1"/>
  <c r="D1162" i="1" a="1"/>
  <c r="D1162" i="1" s="1"/>
  <c r="I1162" i="14" s="1"/>
  <c r="H1162" i="1" a="1"/>
  <c r="H1162" i="1" s="1"/>
  <c r="J1162" i="14" s="1"/>
  <c r="L1162" i="1" a="1"/>
  <c r="L1162" i="1" s="1"/>
  <c r="P1162" i="1" a="1"/>
  <c r="P1162" i="1" s="1"/>
  <c r="F1163" i="1" a="1"/>
  <c r="F1163" i="1" s="1"/>
  <c r="R1163" i="14" s="1"/>
  <c r="L1163" i="1" a="1"/>
  <c r="L1163" i="1" s="1"/>
  <c r="Q1163" i="1" a="1"/>
  <c r="Q1163" i="1" s="1"/>
  <c r="S1163" i="14" s="1"/>
  <c r="D1164" i="1" a="1"/>
  <c r="D1164" i="1" s="1"/>
  <c r="I1164" i="14" s="1"/>
  <c r="H1164" i="1" a="1"/>
  <c r="H1164" i="1" s="1"/>
  <c r="J1164" i="14" s="1"/>
  <c r="L1164" i="1" a="1"/>
  <c r="L1164" i="1" s="1"/>
  <c r="Q1164" i="1" a="1"/>
  <c r="Q1164" i="1" s="1"/>
  <c r="S1164" i="14" s="1"/>
  <c r="D1165" i="1" a="1"/>
  <c r="D1165" i="1" s="1"/>
  <c r="I1165" i="14" s="1"/>
  <c r="K1165" i="1" a="1"/>
  <c r="K1165" i="1" s="1"/>
  <c r="P1165" i="1" a="1"/>
  <c r="P1165" i="1" s="1"/>
  <c r="C1166" i="1" a="1"/>
  <c r="C1166" i="1" s="1"/>
  <c r="G1166" i="1" a="1"/>
  <c r="G1166" i="1" s="1"/>
  <c r="O1166" i="1"/>
  <c r="M1166" i="14" s="1"/>
  <c r="F1167" i="1" a="1"/>
  <c r="F1167" i="1" s="1"/>
  <c r="R1167" i="14" s="1"/>
  <c r="M1167" i="1" a="1"/>
  <c r="M1167" i="1" s="1"/>
  <c r="L1168" i="1" a="1"/>
  <c r="L1168" i="1" s="1"/>
  <c r="Q1168" i="1" a="1"/>
  <c r="Q1168" i="1" s="1"/>
  <c r="S1168" i="14" s="1"/>
  <c r="D1169" i="1" a="1"/>
  <c r="D1169" i="1" s="1"/>
  <c r="I1169" i="14" s="1"/>
  <c r="H1169" i="1" a="1"/>
  <c r="H1169" i="1" s="1"/>
  <c r="J1169" i="14" s="1"/>
  <c r="L1169" i="1" a="1"/>
  <c r="L1169" i="1" s="1"/>
  <c r="Q1169" i="1" a="1"/>
  <c r="Q1169" i="1" s="1"/>
  <c r="S1169" i="14" s="1"/>
  <c r="C1170" i="1" a="1"/>
  <c r="C1170" i="1" s="1"/>
  <c r="F1170" i="1" a="1"/>
  <c r="F1170" i="1" s="1"/>
  <c r="R1170" i="14" s="1"/>
  <c r="M1170" i="1" a="1"/>
  <c r="M1170" i="1" s="1"/>
  <c r="M1171" i="1" a="1"/>
  <c r="M1171" i="1" s="1"/>
  <c r="Q1171" i="1" a="1"/>
  <c r="Q1171" i="1" s="1"/>
  <c r="S1171" i="14" s="1"/>
  <c r="D1172" i="1" a="1"/>
  <c r="D1172" i="1" s="1"/>
  <c r="I1172" i="14" s="1"/>
  <c r="G1172" i="1" a="1"/>
  <c r="G1172" i="1" s="1"/>
  <c r="K1172" i="1" a="1"/>
  <c r="K1172" i="1" s="1"/>
  <c r="P1172" i="1" a="1"/>
  <c r="P1172" i="1" s="1"/>
  <c r="C1173" i="1" a="1"/>
  <c r="C1173" i="1" s="1"/>
  <c r="G1173" i="1" a="1"/>
  <c r="G1173" i="1" s="1"/>
  <c r="J1173" i="1" a="1"/>
  <c r="J1173" i="1" s="1"/>
  <c r="O1173" i="1"/>
  <c r="M1173" i="14" s="1"/>
  <c r="F1174" i="1" a="1"/>
  <c r="F1174" i="1" s="1"/>
  <c r="R1174" i="14" s="1"/>
  <c r="J1174" i="1" a="1"/>
  <c r="J1174" i="1" s="1"/>
  <c r="M1174" i="1" a="1"/>
  <c r="M1174" i="1" s="1"/>
  <c r="M1175" i="1" a="1"/>
  <c r="M1175" i="1" s="1"/>
  <c r="M1176" i="1" a="1"/>
  <c r="M1176" i="1" s="1"/>
  <c r="H1177" i="1" a="1"/>
  <c r="H1177" i="1" s="1"/>
  <c r="J1177" i="14" s="1"/>
  <c r="K1177" i="1" a="1"/>
  <c r="K1177" i="1" s="1"/>
  <c r="P1177" i="1" a="1"/>
  <c r="P1177" i="1" s="1"/>
  <c r="C1178" i="1" a="1"/>
  <c r="C1178" i="1" s="1"/>
  <c r="G1178" i="1" a="1"/>
  <c r="G1178" i="1" s="1"/>
  <c r="K1178" i="1" a="1"/>
  <c r="K1178" i="1" s="1"/>
  <c r="O1178" i="1"/>
  <c r="M1178" i="14" s="1"/>
  <c r="P1179" i="1" a="1"/>
  <c r="P1179" i="1" s="1"/>
  <c r="C1180" i="1" a="1"/>
  <c r="C1180" i="1" s="1"/>
  <c r="G1180" i="1" a="1"/>
  <c r="G1180" i="1" s="1"/>
  <c r="K1180" i="1" a="1"/>
  <c r="K1180" i="1" s="1"/>
  <c r="P1180" i="1" a="1"/>
  <c r="P1180" i="1" s="1"/>
  <c r="C1181" i="1" a="1"/>
  <c r="C1181" i="1" s="1"/>
  <c r="G1181" i="1" a="1"/>
  <c r="G1181" i="1" s="1"/>
  <c r="K1181" i="1" a="1"/>
  <c r="K1181" i="1" s="1"/>
  <c r="P1181" i="1" a="1"/>
  <c r="P1181" i="1" s="1"/>
  <c r="C1182" i="1" a="1"/>
  <c r="C1182" i="1" s="1"/>
  <c r="G1182" i="1" a="1"/>
  <c r="G1182" i="1" s="1"/>
  <c r="K1182" i="1" a="1"/>
  <c r="K1182" i="1" s="1"/>
  <c r="P1182" i="1" a="1"/>
  <c r="P1182" i="1" s="1"/>
  <c r="C1183" i="1" a="1"/>
  <c r="C1183" i="1" s="1"/>
  <c r="J1183" i="1" a="1"/>
  <c r="J1183" i="1" s="1"/>
  <c r="O1183" i="1"/>
  <c r="M1183" i="14" s="1"/>
  <c r="F1184" i="1" a="1"/>
  <c r="F1184" i="1" s="1"/>
  <c r="R1184" i="14" s="1"/>
  <c r="J1184" i="1" a="1"/>
  <c r="J1184" i="1" s="1"/>
  <c r="M1184" i="1" a="1"/>
  <c r="M1184" i="1" s="1"/>
  <c r="M1185" i="1" a="1"/>
  <c r="M1185" i="1" s="1"/>
  <c r="J1186" i="1" a="1"/>
  <c r="J1186" i="1" s="1"/>
  <c r="O1186" i="1"/>
  <c r="M1186" i="14" s="1"/>
  <c r="F1187" i="1" a="1"/>
  <c r="F1187" i="1" s="1"/>
  <c r="R1187" i="14" s="1"/>
  <c r="J1187" i="1" a="1"/>
  <c r="J1187" i="1" s="1"/>
  <c r="K1188" i="1" a="1"/>
  <c r="K1188" i="1" s="1"/>
  <c r="P1188" i="1" a="1"/>
  <c r="P1188" i="1" s="1"/>
  <c r="C1189" i="1" a="1"/>
  <c r="C1189" i="1" s="1"/>
  <c r="G1189" i="1" a="1"/>
  <c r="G1189" i="1" s="1"/>
  <c r="K1189" i="1" a="1"/>
  <c r="K1189" i="1" s="1"/>
  <c r="P1189" i="1" a="1"/>
  <c r="P1189" i="1" s="1"/>
  <c r="C1190" i="1" a="1"/>
  <c r="C1190" i="1" s="1"/>
  <c r="G1190" i="1" a="1"/>
  <c r="G1190" i="1" s="1"/>
  <c r="O1190" i="1"/>
  <c r="M1190" i="14" s="1"/>
  <c r="F1191" i="1" a="1"/>
  <c r="F1191" i="1" s="1"/>
  <c r="R1191" i="14" s="1"/>
  <c r="J1191" i="1" a="1"/>
  <c r="J1191" i="1" s="1"/>
  <c r="O1191" i="1"/>
  <c r="M1191" i="14" s="1"/>
  <c r="F1192" i="1" a="1"/>
  <c r="F1192" i="1" s="1"/>
  <c r="R1192" i="14" s="1"/>
  <c r="J1192" i="1" a="1"/>
  <c r="J1192" i="1" s="1"/>
  <c r="O1192" i="1"/>
  <c r="M1192" i="14" s="1"/>
  <c r="F1193" i="1" a="1"/>
  <c r="F1193" i="1" s="1"/>
  <c r="R1193" i="14" s="1"/>
  <c r="L1193" i="1" a="1"/>
  <c r="L1193" i="1" s="1"/>
  <c r="Q1193" i="1" a="1"/>
  <c r="Q1193" i="1" s="1"/>
  <c r="S1193" i="14" s="1"/>
  <c r="D1194" i="1" a="1"/>
  <c r="D1194" i="1" s="1"/>
  <c r="I1194" i="14" s="1"/>
  <c r="H1194" i="1" a="1"/>
  <c r="H1194" i="1" s="1"/>
  <c r="J1194" i="14" s="1"/>
  <c r="L1194" i="1" a="1"/>
  <c r="L1194" i="1" s="1"/>
  <c r="P1194" i="1" a="1"/>
  <c r="P1194" i="1" s="1"/>
  <c r="F1195" i="1" a="1"/>
  <c r="F1195" i="1" s="1"/>
  <c r="R1195" i="14" s="1"/>
  <c r="L1195" i="1" a="1"/>
  <c r="L1195" i="1" s="1"/>
  <c r="Q1195" i="1" a="1"/>
  <c r="Q1195" i="1" s="1"/>
  <c r="S1195" i="14" s="1"/>
  <c r="D1196" i="1" a="1"/>
  <c r="D1196" i="1" s="1"/>
  <c r="I1196" i="14" s="1"/>
  <c r="H1196" i="1" a="1"/>
  <c r="H1196" i="1" s="1"/>
  <c r="J1196" i="14" s="1"/>
  <c r="L1196" i="1" a="1"/>
  <c r="L1196" i="1" s="1"/>
  <c r="Q1196" i="1" a="1"/>
  <c r="Q1196" i="1" s="1"/>
  <c r="S1196" i="14" s="1"/>
  <c r="D1197" i="1" a="1"/>
  <c r="D1197" i="1" s="1"/>
  <c r="I1197" i="14" s="1"/>
  <c r="H1197" i="1" a="1"/>
  <c r="H1197" i="1" s="1"/>
  <c r="J1197" i="14" s="1"/>
  <c r="L1197" i="1" a="1"/>
  <c r="L1197" i="1" s="1"/>
  <c r="Q1197" i="1" a="1"/>
  <c r="Q1197" i="1" s="1"/>
  <c r="S1197" i="14" s="1"/>
  <c r="D1198" i="1" a="1"/>
  <c r="D1198" i="1" s="1"/>
  <c r="I1198" i="14" s="1"/>
  <c r="H1198" i="1" a="1"/>
  <c r="H1198" i="1" s="1"/>
  <c r="J1198" i="14" s="1"/>
  <c r="L1198" i="1" a="1"/>
  <c r="L1198" i="1" s="1"/>
  <c r="Q1198" i="1" a="1"/>
  <c r="Q1198" i="1" s="1"/>
  <c r="S1198" i="14" s="1"/>
  <c r="D1199" i="1" a="1"/>
  <c r="D1199" i="1" s="1"/>
  <c r="I1199" i="14" s="1"/>
  <c r="G1199" i="1" a="1"/>
  <c r="G1199" i="1" s="1"/>
  <c r="K1199" i="1" a="1"/>
  <c r="K1199" i="1" s="1"/>
  <c r="P1199" i="1" a="1"/>
  <c r="P1199" i="1" s="1"/>
  <c r="C1200" i="1" a="1"/>
  <c r="C1200" i="1" s="1"/>
  <c r="G1200" i="1" a="1"/>
  <c r="G1200" i="1" s="1"/>
  <c r="K1200" i="1" a="1"/>
  <c r="K1200" i="1" s="1"/>
  <c r="O1200" i="1"/>
  <c r="M1200" i="14" s="1"/>
  <c r="F1201" i="1" a="1"/>
  <c r="F1201" i="1" s="1"/>
  <c r="R1201" i="14" s="1"/>
  <c r="J1201" i="1" a="1"/>
  <c r="J1201" i="1" s="1"/>
  <c r="O1201" i="1"/>
  <c r="M1201" i="14" s="1"/>
  <c r="D1202" i="1" a="1"/>
  <c r="D1202" i="1" s="1"/>
  <c r="I1202" i="14" s="1"/>
  <c r="G1202" i="1" a="1"/>
  <c r="G1202" i="1" s="1"/>
  <c r="K1202" i="1" a="1"/>
  <c r="K1202" i="1" s="1"/>
  <c r="P1202" i="1" a="1"/>
  <c r="P1202" i="1" s="1"/>
  <c r="C1203" i="1" a="1"/>
  <c r="C1203" i="1" s="1"/>
  <c r="G1203" i="1" a="1"/>
  <c r="G1203" i="1" s="1"/>
  <c r="K1203" i="1" a="1"/>
  <c r="K1203" i="1" s="1"/>
  <c r="O1203" i="1"/>
  <c r="M1203" i="14" s="1"/>
  <c r="F1204" i="1" a="1"/>
  <c r="F1204" i="1" s="1"/>
  <c r="R1204" i="14" s="1"/>
  <c r="J1204" i="1" a="1"/>
  <c r="J1204" i="1" s="1"/>
  <c r="O1204" i="1"/>
  <c r="M1204" i="14" s="1"/>
  <c r="F1205" i="1" a="1"/>
  <c r="F1205" i="1" s="1"/>
  <c r="R1205" i="14" s="1"/>
  <c r="J1205" i="1" a="1"/>
  <c r="J1205" i="1" s="1"/>
  <c r="O1205" i="1"/>
  <c r="M1205" i="14" s="1"/>
  <c r="M1206" i="1" a="1"/>
  <c r="M1206" i="1" s="1"/>
  <c r="H1207" i="1" a="1"/>
  <c r="H1207" i="1" s="1"/>
  <c r="J1207" i="14" s="1"/>
  <c r="L1207" i="1" a="1"/>
  <c r="L1207" i="1" s="1"/>
  <c r="Q1207" i="1" a="1"/>
  <c r="Q1207" i="1" s="1"/>
  <c r="S1207" i="14" s="1"/>
  <c r="D1208" i="1" a="1"/>
  <c r="D1208" i="1" s="1"/>
  <c r="I1208" i="14" s="1"/>
  <c r="H1208" i="1" a="1"/>
  <c r="H1208" i="1" s="1"/>
  <c r="J1208" i="14" s="1"/>
  <c r="P1208" i="1" a="1"/>
  <c r="P1208" i="1" s="1"/>
  <c r="C1209" i="1" a="1"/>
  <c r="C1209" i="1" s="1"/>
  <c r="G1209" i="1" a="1"/>
  <c r="G1209" i="1" s="1"/>
  <c r="K1209" i="1" a="1"/>
  <c r="K1209" i="1" s="1"/>
  <c r="P1209" i="1" a="1"/>
  <c r="P1209" i="1" s="1"/>
  <c r="H1210" i="1" a="1"/>
  <c r="H1210" i="1" s="1"/>
  <c r="J1210" i="14" s="1"/>
  <c r="L1210" i="1" a="1"/>
  <c r="L1210" i="1" s="1"/>
  <c r="Q1210" i="1" a="1"/>
  <c r="Q1210" i="1" s="1"/>
  <c r="S1210" i="14" s="1"/>
  <c r="D1211" i="1" a="1"/>
  <c r="D1211" i="1" s="1"/>
  <c r="I1211" i="14" s="1"/>
  <c r="H1211" i="1" a="1"/>
  <c r="H1211" i="1" s="1"/>
  <c r="J1211" i="14" s="1"/>
  <c r="L1211" i="1" a="1"/>
  <c r="L1211" i="1" s="1"/>
  <c r="Q1211" i="1" a="1"/>
  <c r="Q1211" i="1" s="1"/>
  <c r="S1211" i="14" s="1"/>
  <c r="D1212" i="1" a="1"/>
  <c r="D1212" i="1" s="1"/>
  <c r="I1212" i="14" s="1"/>
  <c r="H1212" i="1" a="1"/>
  <c r="H1212" i="1" s="1"/>
  <c r="J1212" i="14" s="1"/>
  <c r="P1212" i="1" a="1"/>
  <c r="P1212" i="1" s="1"/>
  <c r="C1213" i="1" a="1"/>
  <c r="C1213" i="1" s="1"/>
  <c r="G1213" i="1" a="1"/>
  <c r="G1213" i="1" s="1"/>
  <c r="K1213" i="1" a="1"/>
  <c r="K1213" i="1" s="1"/>
  <c r="P1213" i="1" a="1"/>
  <c r="P1213" i="1" s="1"/>
  <c r="H1214" i="1" a="1"/>
  <c r="H1214" i="1" s="1"/>
  <c r="J1214" i="14" s="1"/>
  <c r="L1214" i="1" a="1"/>
  <c r="L1214" i="1" s="1"/>
  <c r="Q1214" i="1" a="1"/>
  <c r="Q1214" i="1" s="1"/>
  <c r="S1214" i="14" s="1"/>
  <c r="D1215" i="1" a="1"/>
  <c r="D1215" i="1" s="1"/>
  <c r="I1215" i="14" s="1"/>
  <c r="G1215" i="1" a="1"/>
  <c r="G1215" i="1" s="1"/>
  <c r="K1215" i="1" a="1"/>
  <c r="K1215" i="1" s="1"/>
  <c r="P1215" i="1" a="1"/>
  <c r="P1215" i="1" s="1"/>
  <c r="C1216" i="1" a="1"/>
  <c r="C1216" i="1" s="1"/>
  <c r="G1216" i="1" a="1"/>
  <c r="G1216" i="1" s="1"/>
  <c r="K1216" i="1" a="1"/>
  <c r="K1216" i="1" s="1"/>
  <c r="O1216" i="1"/>
  <c r="M1216" i="14" s="1"/>
  <c r="F1217" i="1" a="1"/>
  <c r="F1217" i="1" s="1"/>
  <c r="R1217" i="14" s="1"/>
  <c r="J1217" i="1" a="1"/>
  <c r="J1217" i="1" s="1"/>
  <c r="O1217" i="1"/>
  <c r="M1217" i="14" s="1"/>
  <c r="D1218" i="1" a="1"/>
  <c r="D1218" i="1" s="1"/>
  <c r="I1218" i="14" s="1"/>
  <c r="G1218" i="1" a="1"/>
  <c r="G1218" i="1" s="1"/>
  <c r="K1218" i="1" a="1"/>
  <c r="K1218" i="1" s="1"/>
  <c r="P1218" i="1" a="1"/>
  <c r="P1218" i="1" s="1"/>
  <c r="C1219" i="1" a="1"/>
  <c r="C1219" i="1" s="1"/>
  <c r="J1219" i="1" a="1"/>
  <c r="J1219" i="1" s="1"/>
  <c r="M1220" i="1" a="1"/>
  <c r="M1220" i="1" s="1"/>
  <c r="H1221" i="1" a="1"/>
  <c r="H1221" i="1" s="1"/>
  <c r="J1221" i="14" s="1"/>
  <c r="K1221" i="1" a="1"/>
  <c r="K1221" i="1" s="1"/>
  <c r="P1221" i="1" a="1"/>
  <c r="P1221" i="1" s="1"/>
  <c r="C1222" i="1" a="1"/>
  <c r="C1222" i="1" s="1"/>
  <c r="G1222" i="1" a="1"/>
  <c r="G1222" i="1" s="1"/>
  <c r="O1222" i="1"/>
  <c r="M1222" i="14" s="1"/>
  <c r="F1223" i="1" a="1"/>
  <c r="F1223" i="1" s="1"/>
  <c r="R1223" i="14" s="1"/>
  <c r="J1223" i="1" a="1"/>
  <c r="J1223" i="1" s="1"/>
  <c r="O1223" i="1"/>
  <c r="M1223" i="14" s="1"/>
  <c r="F1224" i="1" a="1"/>
  <c r="F1224" i="1" s="1"/>
  <c r="R1224" i="14" s="1"/>
  <c r="J1224" i="1" a="1"/>
  <c r="J1224" i="1" s="1"/>
  <c r="O1224" i="1"/>
  <c r="M1224" i="14" s="1"/>
  <c r="F1225" i="1" a="1"/>
  <c r="F1225" i="1" s="1"/>
  <c r="R1225" i="14" s="1"/>
  <c r="L1225" i="1" a="1"/>
  <c r="L1225" i="1" s="1"/>
  <c r="Q1225" i="1" a="1"/>
  <c r="Q1225" i="1" s="1"/>
  <c r="S1225" i="14" s="1"/>
  <c r="D1226" i="1" a="1"/>
  <c r="D1226" i="1" s="1"/>
  <c r="I1226" i="14" s="1"/>
  <c r="H1226" i="1" a="1"/>
  <c r="H1226" i="1" s="1"/>
  <c r="J1226" i="14" s="1"/>
  <c r="K1226" i="1" a="1"/>
  <c r="K1226" i="1" s="1"/>
  <c r="P1226" i="1" a="1"/>
  <c r="P1226" i="1" s="1"/>
  <c r="C1227" i="1" a="1"/>
  <c r="C1227" i="1" s="1"/>
  <c r="G1227" i="1" a="1"/>
  <c r="G1227" i="1" s="1"/>
  <c r="K1227" i="1" a="1"/>
  <c r="K1227" i="1" s="1"/>
  <c r="P1227" i="1" a="1"/>
  <c r="P1227" i="1" s="1"/>
  <c r="C1228" i="1" a="1"/>
  <c r="C1228" i="1" s="1"/>
  <c r="G1228" i="1" a="1"/>
  <c r="G1228" i="1" s="1"/>
  <c r="K1228" i="1" a="1"/>
  <c r="K1228" i="1" s="1"/>
  <c r="O1228" i="1"/>
  <c r="M1228" i="14" s="1"/>
  <c r="F1229" i="1" a="1"/>
  <c r="F1229" i="1" s="1"/>
  <c r="R1229" i="14" s="1"/>
  <c r="J1229" i="1" a="1"/>
  <c r="J1229" i="1" s="1"/>
  <c r="O1229" i="1"/>
  <c r="M1229" i="14" s="1"/>
  <c r="D1230" i="1" a="1"/>
  <c r="D1230" i="1" s="1"/>
  <c r="I1230" i="14" s="1"/>
  <c r="G1230" i="1" a="1"/>
  <c r="G1230" i="1" s="1"/>
  <c r="K1230" i="1" a="1"/>
  <c r="K1230" i="1" s="1"/>
  <c r="P1230" i="1" a="1"/>
  <c r="P1230" i="1" s="1"/>
  <c r="M1028" i="1" a="1"/>
  <c r="M1028" i="1" s="1"/>
  <c r="H1029" i="1" a="1"/>
  <c r="H1029" i="1" s="1"/>
  <c r="J1029" i="14" s="1"/>
  <c r="H1030" i="1" a="1"/>
  <c r="H1030" i="1" s="1"/>
  <c r="J1030" i="14" s="1"/>
  <c r="G1031" i="1" a="1"/>
  <c r="G1031" i="1" s="1"/>
  <c r="G1032" i="1" a="1"/>
  <c r="G1032" i="1" s="1"/>
  <c r="J1034" i="1" a="1"/>
  <c r="J1034" i="1" s="1"/>
  <c r="J1035" i="1" a="1"/>
  <c r="J1035" i="1" s="1"/>
  <c r="Q1035" i="1" a="1"/>
  <c r="Q1035" i="1" s="1"/>
  <c r="S1035" i="14" s="1"/>
  <c r="D1036" i="1" a="1"/>
  <c r="D1036" i="1" s="1"/>
  <c r="I1036" i="14" s="1"/>
  <c r="G1037" i="1" a="1"/>
  <c r="G1037" i="1" s="1"/>
  <c r="M1037" i="1" a="1"/>
  <c r="M1037" i="1" s="1"/>
  <c r="G1038" i="1" a="1"/>
  <c r="G1038" i="1" s="1"/>
  <c r="L1038" i="1" a="1"/>
  <c r="L1038" i="1" s="1"/>
  <c r="F1039" i="1" a="1"/>
  <c r="F1039" i="1" s="1"/>
  <c r="R1039" i="14" s="1"/>
  <c r="K1039" i="1" a="1"/>
  <c r="K1039" i="1" s="1"/>
  <c r="Q1039" i="1" a="1"/>
  <c r="Q1039" i="1" s="1"/>
  <c r="S1039" i="14" s="1"/>
  <c r="D1040" i="1" a="1"/>
  <c r="D1040" i="1" s="1"/>
  <c r="I1040" i="14" s="1"/>
  <c r="H1040" i="1" a="1"/>
  <c r="H1040" i="1" s="1"/>
  <c r="J1040" i="14" s="1"/>
  <c r="L1040" i="1" a="1"/>
  <c r="L1040" i="1" s="1"/>
  <c r="F1041" i="1" a="1"/>
  <c r="F1041" i="1" s="1"/>
  <c r="R1041" i="14" s="1"/>
  <c r="K1041" i="1" a="1"/>
  <c r="K1041" i="1" s="1"/>
  <c r="F1042" i="1" a="1"/>
  <c r="F1042" i="1" s="1"/>
  <c r="R1042" i="14" s="1"/>
  <c r="J1042" i="1" a="1"/>
  <c r="J1042" i="1" s="1"/>
  <c r="P1042" i="1" a="1"/>
  <c r="P1042" i="1" s="1"/>
  <c r="C1043" i="1" a="1"/>
  <c r="C1043" i="1" s="1"/>
  <c r="E1043" i="14" s="1"/>
  <c r="H1043" i="1" a="1"/>
  <c r="H1043" i="1" s="1"/>
  <c r="J1043" i="14" s="1"/>
  <c r="L1043" i="1" a="1"/>
  <c r="L1043" i="1" s="1"/>
  <c r="O1044" i="1"/>
  <c r="M1044" i="14" s="1"/>
  <c r="F1045" i="1" a="1"/>
  <c r="F1045" i="1" s="1"/>
  <c r="R1045" i="14" s="1"/>
  <c r="J1045" i="1" a="1"/>
  <c r="J1045" i="1" s="1"/>
  <c r="P1045" i="1" a="1"/>
  <c r="P1045" i="1" s="1"/>
  <c r="J1046" i="1" a="1"/>
  <c r="J1046" i="1" s="1"/>
  <c r="P1046" i="1" a="1"/>
  <c r="P1046" i="1" s="1"/>
  <c r="J1047" i="1" a="1"/>
  <c r="J1047" i="1" s="1"/>
  <c r="P1047" i="1" a="1"/>
  <c r="P1047" i="1" s="1"/>
  <c r="J1048" i="1" a="1"/>
  <c r="J1048" i="1" s="1"/>
  <c r="P1048" i="1" a="1"/>
  <c r="P1048" i="1" s="1"/>
  <c r="D1049" i="1" a="1"/>
  <c r="D1049" i="1" s="1"/>
  <c r="I1049" i="14" s="1"/>
  <c r="H1049" i="1" a="1"/>
  <c r="H1049" i="1" s="1"/>
  <c r="J1049" i="14" s="1"/>
  <c r="M1049" i="1" a="1"/>
  <c r="M1049" i="1" s="1"/>
  <c r="G1050" i="1" a="1"/>
  <c r="G1050" i="1" s="1"/>
  <c r="L1050" i="1" a="1"/>
  <c r="L1050" i="1" s="1"/>
  <c r="Q1050" i="1" a="1"/>
  <c r="Q1050" i="1" s="1"/>
  <c r="S1050" i="14" s="1"/>
  <c r="D1051" i="1" a="1"/>
  <c r="D1051" i="1" s="1"/>
  <c r="I1051" i="14" s="1"/>
  <c r="H1051" i="1" a="1"/>
  <c r="H1051" i="1" s="1"/>
  <c r="J1051" i="14" s="1"/>
  <c r="L1051" i="1" a="1"/>
  <c r="L1051" i="1" s="1"/>
  <c r="O1052" i="1"/>
  <c r="M1052" i="14" s="1"/>
  <c r="H1053" i="1" a="1"/>
  <c r="H1053" i="1" s="1"/>
  <c r="J1053" i="14" s="1"/>
  <c r="M1053" i="1" a="1"/>
  <c r="M1053" i="1" s="1"/>
  <c r="H1054" i="1" a="1"/>
  <c r="H1054" i="1" s="1"/>
  <c r="J1054" i="14" s="1"/>
  <c r="M1054" i="1" a="1"/>
  <c r="M1054" i="1" s="1"/>
  <c r="G1055" i="1" a="1"/>
  <c r="G1055" i="1" s="1"/>
  <c r="L1055" i="1" a="1"/>
  <c r="L1055" i="1" s="1"/>
  <c r="K1056" i="1" a="1"/>
  <c r="K1056" i="1" s="1"/>
  <c r="P1056" i="1" a="1"/>
  <c r="P1056" i="1" s="1"/>
  <c r="C1057" i="1" a="1"/>
  <c r="C1057" i="1" s="1"/>
  <c r="E1057" i="14" s="1"/>
  <c r="G1057" i="1" a="1"/>
  <c r="G1057" i="1" s="1"/>
  <c r="K1057" i="1" a="1"/>
  <c r="K1057" i="1" s="1"/>
  <c r="Q1057" i="1" a="1"/>
  <c r="Q1057" i="1" s="1"/>
  <c r="S1057" i="14" s="1"/>
  <c r="D1058" i="1" a="1"/>
  <c r="D1058" i="1" s="1"/>
  <c r="I1058" i="14" s="1"/>
  <c r="H1058" i="1" a="1"/>
  <c r="H1058" i="1" s="1"/>
  <c r="J1058" i="14" s="1"/>
  <c r="L1058" i="1" a="1"/>
  <c r="L1058" i="1" s="1"/>
  <c r="Q1058" i="1" a="1"/>
  <c r="Q1058" i="1" s="1"/>
  <c r="S1058" i="14" s="1"/>
  <c r="D1059" i="1" a="1"/>
  <c r="D1059" i="1" s="1"/>
  <c r="I1059" i="14" s="1"/>
  <c r="H1059" i="1" a="1"/>
  <c r="H1059" i="1" s="1"/>
  <c r="J1059" i="14" s="1"/>
  <c r="L1059" i="1" a="1"/>
  <c r="L1059" i="1" s="1"/>
  <c r="Q1059" i="1" a="1"/>
  <c r="Q1059" i="1" s="1"/>
  <c r="S1059" i="14" s="1"/>
  <c r="D1060" i="1" a="1"/>
  <c r="D1060" i="1" s="1"/>
  <c r="I1060" i="14" s="1"/>
  <c r="H1060" i="1" a="1"/>
  <c r="H1060" i="1" s="1"/>
  <c r="J1060" i="14" s="1"/>
  <c r="L1060" i="1" a="1"/>
  <c r="L1060" i="1" s="1"/>
  <c r="Q1060" i="1" a="1"/>
  <c r="Q1060" i="1" s="1"/>
  <c r="S1060" i="14" s="1"/>
  <c r="D1061" i="1" a="1"/>
  <c r="D1061" i="1" s="1"/>
  <c r="I1061" i="14" s="1"/>
  <c r="H1061" i="1" a="1"/>
  <c r="H1061" i="1" s="1"/>
  <c r="J1061" i="14" s="1"/>
  <c r="L1061" i="1" a="1"/>
  <c r="L1061" i="1" s="1"/>
  <c r="Q1061" i="1" a="1"/>
  <c r="Q1061" i="1" s="1"/>
  <c r="S1061" i="14" s="1"/>
  <c r="D1062" i="1" a="1"/>
  <c r="D1062" i="1" s="1"/>
  <c r="I1062" i="14" s="1"/>
  <c r="H1062" i="1" a="1"/>
  <c r="H1062" i="1" s="1"/>
  <c r="J1062" i="14" s="1"/>
  <c r="K1062" i="1" a="1"/>
  <c r="K1062" i="1" s="1"/>
  <c r="P1062" i="1" a="1"/>
  <c r="P1062" i="1" s="1"/>
  <c r="C1063" i="1" a="1"/>
  <c r="C1063" i="1" s="1"/>
  <c r="E1063" i="14" s="1"/>
  <c r="J1063" i="1" a="1"/>
  <c r="J1063" i="1" s="1"/>
  <c r="O1063" i="1"/>
  <c r="M1063" i="14" s="1"/>
  <c r="F1064" i="1" a="1"/>
  <c r="F1064" i="1" s="1"/>
  <c r="R1064" i="14" s="1"/>
  <c r="J1064" i="1" a="1"/>
  <c r="J1064" i="1" s="1"/>
  <c r="D1065" i="1" a="1"/>
  <c r="D1065" i="1" s="1"/>
  <c r="I1065" i="14" s="1"/>
  <c r="K1065" i="1" a="1"/>
  <c r="K1065" i="1" s="1"/>
  <c r="P1065" i="1" a="1"/>
  <c r="P1065" i="1" s="1"/>
  <c r="C1066" i="1" a="1"/>
  <c r="C1066" i="1" s="1"/>
  <c r="E1066" i="14" s="1"/>
  <c r="G1066" i="1" a="1"/>
  <c r="G1066" i="1" s="1"/>
  <c r="K1066" i="1" a="1"/>
  <c r="K1066" i="1" s="1"/>
  <c r="P1066" i="1" a="1"/>
  <c r="P1066" i="1" s="1"/>
  <c r="C1067" i="1" a="1"/>
  <c r="C1067" i="1" s="1"/>
  <c r="E1067" i="14" s="1"/>
  <c r="J1067" i="1" a="1"/>
  <c r="J1067" i="1" s="1"/>
  <c r="O1067" i="1"/>
  <c r="M1067" i="14" s="1"/>
  <c r="F1068" i="1" a="1"/>
  <c r="F1068" i="1" s="1"/>
  <c r="R1068" i="14" s="1"/>
  <c r="J1068" i="1" a="1"/>
  <c r="J1068" i="1" s="1"/>
  <c r="M1069" i="1" a="1"/>
  <c r="M1069" i="1" s="1"/>
  <c r="M1070" i="1" a="1"/>
  <c r="M1070" i="1" s="1"/>
  <c r="L1071" i="1" a="1"/>
  <c r="L1071" i="1" s="1"/>
  <c r="C1072" i="1" a="1"/>
  <c r="C1072" i="1" s="1"/>
  <c r="E1072" i="14" s="1"/>
  <c r="G1072" i="1" a="1"/>
  <c r="G1072" i="1" s="1"/>
  <c r="K1072" i="1" a="1"/>
  <c r="K1072" i="1" s="1"/>
  <c r="P1072" i="1" a="1"/>
  <c r="P1072" i="1" s="1"/>
  <c r="C1073" i="1" a="1"/>
  <c r="C1073" i="1" s="1"/>
  <c r="E1073" i="14" s="1"/>
  <c r="G1073" i="1" a="1"/>
  <c r="G1073" i="1" s="1"/>
  <c r="K1073" i="1" a="1"/>
  <c r="K1073" i="1" s="1"/>
  <c r="P1073" i="1" a="1"/>
  <c r="P1073" i="1" s="1"/>
  <c r="C1074" i="1" a="1"/>
  <c r="C1074" i="1" s="1"/>
  <c r="E1074" i="14" s="1"/>
  <c r="G1074" i="1" a="1"/>
  <c r="G1074" i="1" s="1"/>
  <c r="K1074" i="1" a="1"/>
  <c r="K1074" i="1" s="1"/>
  <c r="P1074" i="1" a="1"/>
  <c r="P1074" i="1" s="1"/>
  <c r="C1075" i="1" a="1"/>
  <c r="C1075" i="1" s="1"/>
  <c r="E1075" i="14" s="1"/>
  <c r="G1075" i="1" a="1"/>
  <c r="G1075" i="1" s="1"/>
  <c r="K1075" i="1" a="1"/>
  <c r="K1075" i="1" s="1"/>
  <c r="P1075" i="1" a="1"/>
  <c r="P1075" i="1" s="1"/>
  <c r="C1076" i="1" a="1"/>
  <c r="C1076" i="1" s="1"/>
  <c r="E1076" i="14" s="1"/>
  <c r="G1076" i="1" a="1"/>
  <c r="G1076" i="1" s="1"/>
  <c r="K1076" i="1" a="1"/>
  <c r="K1076" i="1" s="1"/>
  <c r="P1076" i="1" a="1"/>
  <c r="P1076" i="1" s="1"/>
  <c r="C1077" i="1" a="1"/>
  <c r="C1077" i="1" s="1"/>
  <c r="E1077" i="14" s="1"/>
  <c r="G1077" i="1" a="1"/>
  <c r="G1077" i="1" s="1"/>
  <c r="K1077" i="1" a="1"/>
  <c r="K1077" i="1" s="1"/>
  <c r="P1077" i="1" a="1"/>
  <c r="P1077" i="1" s="1"/>
  <c r="C1078" i="1" a="1"/>
  <c r="C1078" i="1" s="1"/>
  <c r="E1078" i="14" s="1"/>
  <c r="G1078" i="1" a="1"/>
  <c r="G1078" i="1" s="1"/>
  <c r="K1078" i="1" a="1"/>
  <c r="K1078" i="1" s="1"/>
  <c r="P1078" i="1" a="1"/>
  <c r="P1078" i="1" s="1"/>
  <c r="C1079" i="1" a="1"/>
  <c r="C1079" i="1" s="1"/>
  <c r="E1079" i="14" s="1"/>
  <c r="G1079" i="1" a="1"/>
  <c r="G1079" i="1" s="1"/>
  <c r="K1079" i="1" a="1"/>
  <c r="K1079" i="1" s="1"/>
  <c r="P1079" i="1" a="1"/>
  <c r="P1079" i="1" s="1"/>
  <c r="C1080" i="1" a="1"/>
  <c r="C1080" i="1" s="1"/>
  <c r="E1080" i="14" s="1"/>
  <c r="G1080" i="1" a="1"/>
  <c r="G1080" i="1" s="1"/>
  <c r="K1080" i="1" a="1"/>
  <c r="K1080" i="1" s="1"/>
  <c r="P1080" i="1" a="1"/>
  <c r="P1080" i="1" s="1"/>
  <c r="C1081" i="1" a="1"/>
  <c r="C1081" i="1" s="1"/>
  <c r="E1081" i="14" s="1"/>
  <c r="G1081" i="1" a="1"/>
  <c r="G1081" i="1" s="1"/>
  <c r="K1081" i="1" a="1"/>
  <c r="K1081" i="1" s="1"/>
  <c r="P1081" i="1" a="1"/>
  <c r="P1081" i="1" s="1"/>
  <c r="L1082" i="1" a="1"/>
  <c r="L1082" i="1" s="1"/>
  <c r="Q1082" i="1" a="1"/>
  <c r="Q1082" i="1" s="1"/>
  <c r="S1082" i="14" s="1"/>
  <c r="D1083" i="1" a="1"/>
  <c r="D1083" i="1" s="1"/>
  <c r="I1083" i="14" s="1"/>
  <c r="H1083" i="1" a="1"/>
  <c r="H1083" i="1" s="1"/>
  <c r="J1083" i="14" s="1"/>
  <c r="L1083" i="1" a="1"/>
  <c r="L1083" i="1" s="1"/>
  <c r="Q1083" i="1" a="1"/>
  <c r="Q1083" i="1" s="1"/>
  <c r="S1083" i="14" s="1"/>
  <c r="D1084" i="1" a="1"/>
  <c r="D1084" i="1" s="1"/>
  <c r="I1084" i="14" s="1"/>
  <c r="H1084" i="1" a="1"/>
  <c r="H1084" i="1" s="1"/>
  <c r="J1084" i="14" s="1"/>
  <c r="L1084" i="1" a="1"/>
  <c r="L1084" i="1" s="1"/>
  <c r="Q1084" i="1" a="1"/>
  <c r="Q1084" i="1" s="1"/>
  <c r="S1084" i="14" s="1"/>
  <c r="D1085" i="1" a="1"/>
  <c r="D1085" i="1" s="1"/>
  <c r="I1085" i="14" s="1"/>
  <c r="H1085" i="1" a="1"/>
  <c r="H1085" i="1" s="1"/>
  <c r="J1085" i="14" s="1"/>
  <c r="L1085" i="1" a="1"/>
  <c r="L1085" i="1" s="1"/>
  <c r="Q1085" i="1" a="1"/>
  <c r="Q1085" i="1" s="1"/>
  <c r="S1085" i="14" s="1"/>
  <c r="D1086" i="1" a="1"/>
  <c r="D1086" i="1" s="1"/>
  <c r="I1086" i="14" s="1"/>
  <c r="H1086" i="1" a="1"/>
  <c r="H1086" i="1" s="1"/>
  <c r="J1086" i="14" s="1"/>
  <c r="L1086" i="1" a="1"/>
  <c r="L1086" i="1" s="1"/>
  <c r="Q1086" i="1" a="1"/>
  <c r="Q1086" i="1" s="1"/>
  <c r="S1086" i="14" s="1"/>
  <c r="D1087" i="1" a="1"/>
  <c r="D1087" i="1" s="1"/>
  <c r="I1087" i="14" s="1"/>
  <c r="H1087" i="1" a="1"/>
  <c r="H1087" i="1" s="1"/>
  <c r="J1087" i="14" s="1"/>
  <c r="L1087" i="1" a="1"/>
  <c r="L1087" i="1" s="1"/>
  <c r="Q1087" i="1" a="1"/>
  <c r="Q1087" i="1" s="1"/>
  <c r="S1087" i="14" s="1"/>
  <c r="D1088" i="1" a="1"/>
  <c r="D1088" i="1" s="1"/>
  <c r="I1088" i="14" s="1"/>
  <c r="G1088" i="1" a="1"/>
  <c r="G1088" i="1" s="1"/>
  <c r="K1088" i="1" a="1"/>
  <c r="K1088" i="1" s="1"/>
  <c r="O1088" i="1"/>
  <c r="M1088" i="14" s="1"/>
  <c r="F1089" i="1" a="1"/>
  <c r="F1089" i="1" s="1"/>
  <c r="R1089" i="14" s="1"/>
  <c r="J1089" i="1" a="1"/>
  <c r="J1089" i="1" s="1"/>
  <c r="O1089" i="1"/>
  <c r="M1089" i="14" s="1"/>
  <c r="F1090" i="1" a="1"/>
  <c r="F1090" i="1" s="1"/>
  <c r="R1090" i="14" s="1"/>
  <c r="J1090" i="1" a="1"/>
  <c r="J1090" i="1" s="1"/>
  <c r="O1090" i="1"/>
  <c r="M1090" i="14" s="1"/>
  <c r="F1091" i="1" a="1"/>
  <c r="F1091" i="1" s="1"/>
  <c r="R1091" i="14" s="1"/>
  <c r="M1091" i="1" a="1"/>
  <c r="M1091" i="1" s="1"/>
  <c r="M1092" i="1" a="1"/>
  <c r="M1092" i="1" s="1"/>
  <c r="Q1092" i="1" a="1"/>
  <c r="Q1092" i="1" s="1"/>
  <c r="S1092" i="14" s="1"/>
  <c r="D1093" i="1" a="1"/>
  <c r="D1093" i="1" s="1"/>
  <c r="I1093" i="14" s="1"/>
  <c r="H1093" i="1" a="1"/>
  <c r="H1093" i="1" s="1"/>
  <c r="J1093" i="14" s="1"/>
  <c r="L1093" i="1" a="1"/>
  <c r="L1093" i="1" s="1"/>
  <c r="Q1093" i="1" a="1"/>
  <c r="Q1093" i="1" s="1"/>
  <c r="S1093" i="14" s="1"/>
  <c r="D1094" i="1" a="1"/>
  <c r="D1094" i="1" s="1"/>
  <c r="I1094" i="14" s="1"/>
  <c r="H1094" i="1" a="1"/>
  <c r="H1094" i="1" s="1"/>
  <c r="J1094" i="14" s="1"/>
  <c r="L1094" i="1" a="1"/>
  <c r="L1094" i="1" s="1"/>
  <c r="P1094" i="1" a="1"/>
  <c r="P1094" i="1" s="1"/>
  <c r="C1095" i="1" a="1"/>
  <c r="C1095" i="1" s="1"/>
  <c r="E1095" i="14" s="1"/>
  <c r="G1095" i="1" a="1"/>
  <c r="G1095" i="1" s="1"/>
  <c r="K1095" i="1" a="1"/>
  <c r="K1095" i="1" s="1"/>
  <c r="P1095" i="1" a="1"/>
  <c r="P1095" i="1" s="1"/>
  <c r="C1096" i="1" a="1"/>
  <c r="C1096" i="1" s="1"/>
  <c r="E1096" i="14" s="1"/>
  <c r="G1096" i="1" a="1"/>
  <c r="G1096" i="1" s="1"/>
  <c r="K1096" i="1" a="1"/>
  <c r="K1096" i="1" s="1"/>
  <c r="P1096" i="1" a="1"/>
  <c r="P1096" i="1" s="1"/>
  <c r="C1097" i="1" a="1"/>
  <c r="C1097" i="1" s="1"/>
  <c r="E1097" i="14" s="1"/>
  <c r="G1097" i="1" a="1"/>
  <c r="G1097" i="1" s="1"/>
  <c r="J1097" i="1" a="1"/>
  <c r="J1097" i="1" s="1"/>
  <c r="O1097" i="1"/>
  <c r="M1097" i="14" s="1"/>
  <c r="F1098" i="1" a="1"/>
  <c r="F1098" i="1" s="1"/>
  <c r="R1098" i="14" s="1"/>
  <c r="J1098" i="1" a="1"/>
  <c r="J1098" i="1" s="1"/>
  <c r="O1098" i="1"/>
  <c r="M1098" i="14" s="1"/>
  <c r="F1099" i="1" a="1"/>
  <c r="F1099" i="1" s="1"/>
  <c r="R1099" i="14" s="1"/>
  <c r="M1099" i="1" a="1"/>
  <c r="M1099" i="1" s="1"/>
  <c r="M1100" i="1" a="1"/>
  <c r="M1100" i="1" s="1"/>
  <c r="Q1100" i="1" a="1"/>
  <c r="Q1100" i="1" s="1"/>
  <c r="S1100" i="14" s="1"/>
  <c r="D1101" i="1" a="1"/>
  <c r="D1101" i="1" s="1"/>
  <c r="I1101" i="14" s="1"/>
  <c r="H1101" i="1" a="1"/>
  <c r="H1101" i="1" s="1"/>
  <c r="J1101" i="14" s="1"/>
  <c r="L1101" i="1" a="1"/>
  <c r="L1101" i="1" s="1"/>
  <c r="Q1101" i="1" a="1"/>
  <c r="Q1101" i="1" s="1"/>
  <c r="S1101" i="14" s="1"/>
  <c r="D1102" i="1" a="1"/>
  <c r="D1102" i="1" s="1"/>
  <c r="I1102" i="14" s="1"/>
  <c r="H1102" i="1" a="1"/>
  <c r="H1102" i="1" s="1"/>
  <c r="J1102" i="14" s="1"/>
  <c r="L1102" i="1" a="1"/>
  <c r="L1102" i="1" s="1"/>
  <c r="P1102" i="1" a="1"/>
  <c r="P1102" i="1" s="1"/>
  <c r="C1103" i="1" a="1"/>
  <c r="C1103" i="1" s="1"/>
  <c r="E1103" i="14" s="1"/>
  <c r="G1103" i="1" a="1"/>
  <c r="G1103" i="1" s="1"/>
  <c r="K1103" i="1" a="1"/>
  <c r="K1103" i="1" s="1"/>
  <c r="P1103" i="1" a="1"/>
  <c r="P1103" i="1" s="1"/>
  <c r="C1104" i="1" a="1"/>
  <c r="C1104" i="1" s="1"/>
  <c r="E1104" i="14" s="1"/>
  <c r="G1104" i="1" a="1"/>
  <c r="G1104" i="1" s="1"/>
  <c r="K1104" i="1" a="1"/>
  <c r="K1104" i="1" s="1"/>
  <c r="P1104" i="1" a="1"/>
  <c r="P1104" i="1" s="1"/>
  <c r="C1105" i="1" a="1"/>
  <c r="C1105" i="1" s="1"/>
  <c r="E1105" i="14" s="1"/>
  <c r="G1105" i="1" a="1"/>
  <c r="G1105" i="1" s="1"/>
  <c r="K1105" i="1" a="1"/>
  <c r="K1105" i="1" s="1"/>
  <c r="P1105" i="1" a="1"/>
  <c r="P1105" i="1" s="1"/>
  <c r="C1106" i="1" a="1"/>
  <c r="C1106" i="1" s="1"/>
  <c r="E1106" i="14" s="1"/>
  <c r="G1106" i="1" a="1"/>
  <c r="G1106" i="1" s="1"/>
  <c r="K1106" i="1" a="1"/>
  <c r="K1106" i="1" s="1"/>
  <c r="P1106" i="1" a="1"/>
  <c r="P1106" i="1" s="1"/>
  <c r="C1107" i="1" a="1"/>
  <c r="C1107" i="1" s="1"/>
  <c r="E1107" i="14" s="1"/>
  <c r="G1107" i="1" a="1"/>
  <c r="G1107" i="1" s="1"/>
  <c r="J1107" i="1" a="1"/>
  <c r="J1107" i="1" s="1"/>
  <c r="O1107" i="1"/>
  <c r="M1107" i="14" s="1"/>
  <c r="F1108" i="1" a="1"/>
  <c r="F1108" i="1" s="1"/>
  <c r="R1108" i="14" s="1"/>
  <c r="J1108" i="1" a="1"/>
  <c r="J1108" i="1" s="1"/>
  <c r="O1108" i="1"/>
  <c r="M1108" i="14" s="1"/>
  <c r="F1109" i="1" a="1"/>
  <c r="F1109" i="1" s="1"/>
  <c r="R1109" i="14" s="1"/>
  <c r="M1109" i="1" a="1"/>
  <c r="M1109" i="1" s="1"/>
  <c r="Q1110" i="1" a="1"/>
  <c r="Q1110" i="1" s="1"/>
  <c r="S1110" i="14" s="1"/>
  <c r="D1111" i="1" a="1"/>
  <c r="D1111" i="1" s="1"/>
  <c r="I1111" i="14" s="1"/>
  <c r="H1111" i="1" a="1"/>
  <c r="H1111" i="1" s="1"/>
  <c r="J1111" i="14" s="1"/>
  <c r="L1111" i="1" a="1"/>
  <c r="L1111" i="1" s="1"/>
  <c r="Q1111" i="1" a="1"/>
  <c r="Q1111" i="1" s="1"/>
  <c r="S1111" i="14" s="1"/>
  <c r="D1112" i="1" a="1"/>
  <c r="D1112" i="1" s="1"/>
  <c r="I1112" i="14" s="1"/>
  <c r="H1112" i="1" a="1"/>
  <c r="H1112" i="1" s="1"/>
  <c r="J1112" i="14" s="1"/>
  <c r="L1112" i="1" a="1"/>
  <c r="L1112" i="1" s="1"/>
  <c r="Q1112" i="1" a="1"/>
  <c r="Q1112" i="1" s="1"/>
  <c r="S1112" i="14" s="1"/>
  <c r="D1113" i="1" a="1"/>
  <c r="D1113" i="1" s="1"/>
  <c r="I1113" i="14" s="1"/>
  <c r="H1113" i="1" a="1"/>
  <c r="H1113" i="1" s="1"/>
  <c r="J1113" i="14" s="1"/>
  <c r="L1113" i="1" a="1"/>
  <c r="L1113" i="1" s="1"/>
  <c r="Q1113" i="1" a="1"/>
  <c r="Q1113" i="1" s="1"/>
  <c r="S1113" i="14" s="1"/>
  <c r="D1114" i="1" a="1"/>
  <c r="D1114" i="1" s="1"/>
  <c r="I1114" i="14" s="1"/>
  <c r="H1114" i="1" a="1"/>
  <c r="H1114" i="1" s="1"/>
  <c r="J1114" i="14" s="1"/>
  <c r="L1114" i="1" a="1"/>
  <c r="L1114" i="1" s="1"/>
  <c r="Q1114" i="1" a="1"/>
  <c r="Q1114" i="1" s="1"/>
  <c r="S1114" i="14" s="1"/>
  <c r="D1115" i="1" a="1"/>
  <c r="D1115" i="1" s="1"/>
  <c r="I1115" i="14" s="1"/>
  <c r="H1115" i="1" a="1"/>
  <c r="H1115" i="1" s="1"/>
  <c r="J1115" i="14" s="1"/>
  <c r="L1115" i="1" a="1"/>
  <c r="L1115" i="1" s="1"/>
  <c r="Q1115" i="1" a="1"/>
  <c r="Q1115" i="1" s="1"/>
  <c r="S1115" i="14" s="1"/>
  <c r="D1116" i="1" a="1"/>
  <c r="D1116" i="1" s="1"/>
  <c r="I1116" i="14" s="1"/>
  <c r="G1116" i="1" a="1"/>
  <c r="G1116" i="1" s="1"/>
  <c r="K1116" i="1" a="1"/>
  <c r="K1116" i="1" s="1"/>
  <c r="O1116" i="1"/>
  <c r="M1116" i="14" s="1"/>
  <c r="F1117" i="1" a="1"/>
  <c r="F1117" i="1" s="1"/>
  <c r="R1117" i="14" s="1"/>
  <c r="J1117" i="1" a="1"/>
  <c r="J1117" i="1" s="1"/>
  <c r="O1117" i="1"/>
  <c r="M1117" i="14" s="1"/>
  <c r="F1118" i="1" a="1"/>
  <c r="F1118" i="1" s="1"/>
  <c r="R1118" i="14" s="1"/>
  <c r="J1118" i="1" a="1"/>
  <c r="J1118" i="1" s="1"/>
  <c r="O1118" i="1"/>
  <c r="M1118" i="14" s="1"/>
  <c r="F1119" i="1" a="1"/>
  <c r="F1119" i="1" s="1"/>
  <c r="R1119" i="14" s="1"/>
  <c r="J1119" i="1" a="1"/>
  <c r="J1119" i="1" s="1"/>
  <c r="O1119" i="1"/>
  <c r="M1119" i="14" s="1"/>
  <c r="L1120" i="1" a="1"/>
  <c r="L1120" i="1" s="1"/>
  <c r="Q1120" i="1" a="1"/>
  <c r="Q1120" i="1" s="1"/>
  <c r="S1120" i="14" s="1"/>
  <c r="D1121" i="1" a="1"/>
  <c r="D1121" i="1" s="1"/>
  <c r="I1121" i="14" s="1"/>
  <c r="H1121" i="1" a="1"/>
  <c r="H1121" i="1" s="1"/>
  <c r="J1121" i="14" s="1"/>
  <c r="L1121" i="1" a="1"/>
  <c r="L1121" i="1" s="1"/>
  <c r="Q1121" i="1" a="1"/>
  <c r="Q1121" i="1" s="1"/>
  <c r="S1121" i="14" s="1"/>
  <c r="D1122" i="1" a="1"/>
  <c r="D1122" i="1" s="1"/>
  <c r="I1122" i="14" s="1"/>
  <c r="H1122" i="1" a="1"/>
  <c r="H1122" i="1" s="1"/>
  <c r="J1122" i="14" s="1"/>
  <c r="L1122" i="1" a="1"/>
  <c r="L1122" i="1" s="1"/>
  <c r="Q1122" i="1" a="1"/>
  <c r="Q1122" i="1" s="1"/>
  <c r="S1122" i="14" s="1"/>
  <c r="D1123" i="1" a="1"/>
  <c r="D1123" i="1" s="1"/>
  <c r="I1123" i="14" s="1"/>
  <c r="H1123" i="1" a="1"/>
  <c r="H1123" i="1" s="1"/>
  <c r="J1123" i="14" s="1"/>
  <c r="K1123" i="1" a="1"/>
  <c r="K1123" i="1" s="1"/>
  <c r="P1123" i="1" a="1"/>
  <c r="P1123" i="1" s="1"/>
  <c r="F1124" i="1" a="1"/>
  <c r="F1124" i="1" s="1"/>
  <c r="R1124" i="14" s="1"/>
  <c r="J1124" i="1" a="1"/>
  <c r="J1124" i="1" s="1"/>
  <c r="O1124" i="1"/>
  <c r="M1124" i="14" s="1"/>
  <c r="F1125" i="1" a="1"/>
  <c r="F1125" i="1" s="1"/>
  <c r="R1125" i="14" s="1"/>
  <c r="J1125" i="1" a="1"/>
  <c r="J1125" i="1" s="1"/>
  <c r="O1125" i="1"/>
  <c r="M1125" i="14" s="1"/>
  <c r="D1126" i="1" a="1"/>
  <c r="D1126" i="1" s="1"/>
  <c r="I1126" i="14" s="1"/>
  <c r="G1126" i="1" a="1"/>
  <c r="G1126" i="1" s="1"/>
  <c r="K1126" i="1" a="1"/>
  <c r="K1126" i="1" s="1"/>
  <c r="O1126" i="1"/>
  <c r="M1126" i="14" s="1"/>
  <c r="H1127" i="1" a="1"/>
  <c r="H1127" i="1" s="1"/>
  <c r="J1127" i="14" s="1"/>
  <c r="L1127" i="1" a="1"/>
  <c r="L1127" i="1" s="1"/>
  <c r="Q1127" i="1" a="1"/>
  <c r="Q1127" i="1" s="1"/>
  <c r="S1127" i="14" s="1"/>
  <c r="D1128" i="1" a="1"/>
  <c r="D1128" i="1" s="1"/>
  <c r="I1128" i="14" s="1"/>
  <c r="H1128" i="1" a="1"/>
  <c r="H1128" i="1" s="1"/>
  <c r="J1128" i="14" s="1"/>
  <c r="L1128" i="1" a="1"/>
  <c r="L1128" i="1" s="1"/>
  <c r="P1128" i="1" a="1"/>
  <c r="P1128" i="1" s="1"/>
  <c r="Q1129" i="1" a="1"/>
  <c r="Q1129" i="1" s="1"/>
  <c r="S1129" i="14" s="1"/>
  <c r="D1130" i="1" a="1"/>
  <c r="D1130" i="1" s="1"/>
  <c r="I1130" i="14" s="1"/>
  <c r="H1130" i="1" a="1"/>
  <c r="H1130" i="1" s="1"/>
  <c r="J1130" i="14" s="1"/>
  <c r="K1130" i="1" a="1"/>
  <c r="K1130" i="1" s="1"/>
  <c r="P1130" i="1" a="1"/>
  <c r="P1130" i="1" s="1"/>
  <c r="C1131" i="1" a="1"/>
  <c r="C1131" i="1" s="1"/>
  <c r="E1131" i="14" s="1"/>
  <c r="G1131" i="1" a="1"/>
  <c r="G1131" i="1" s="1"/>
  <c r="K1131" i="1" a="1"/>
  <c r="K1131" i="1" s="1"/>
  <c r="P1131" i="1" a="1"/>
  <c r="P1131" i="1" s="1"/>
  <c r="C1132" i="1" a="1"/>
  <c r="C1132" i="1" s="1"/>
  <c r="E1132" i="14" s="1"/>
  <c r="G1132" i="1" a="1"/>
  <c r="G1132" i="1" s="1"/>
  <c r="K1132" i="1" a="1"/>
  <c r="K1132" i="1" s="1"/>
  <c r="P1132" i="1" a="1"/>
  <c r="P1132" i="1" s="1"/>
  <c r="C1133" i="1" a="1"/>
  <c r="C1133" i="1" s="1"/>
  <c r="E1133" i="14" s="1"/>
  <c r="G1133" i="1" a="1"/>
  <c r="G1133" i="1" s="1"/>
  <c r="J1133" i="1" a="1"/>
  <c r="J1133" i="1" s="1"/>
  <c r="M1133" i="1" a="1"/>
  <c r="M1133" i="1" s="1"/>
  <c r="L1134" i="1" a="1"/>
  <c r="L1134" i="1" s="1"/>
  <c r="Q1134" i="1" a="1"/>
  <c r="Q1134" i="1" s="1"/>
  <c r="S1134" i="14" s="1"/>
  <c r="D1135" i="1" a="1"/>
  <c r="D1135" i="1" s="1"/>
  <c r="I1135" i="14" s="1"/>
  <c r="H1135" i="1" a="1"/>
  <c r="H1135" i="1" s="1"/>
  <c r="J1135" i="14" s="1"/>
  <c r="K1135" i="1" a="1"/>
  <c r="K1135" i="1" s="1"/>
  <c r="O1135" i="1"/>
  <c r="M1135" i="14" s="1"/>
  <c r="F1136" i="1" a="1"/>
  <c r="F1136" i="1" s="1"/>
  <c r="R1136" i="14" s="1"/>
  <c r="J1136" i="1" a="1"/>
  <c r="J1136" i="1" s="1"/>
  <c r="O1136" i="1"/>
  <c r="M1136" i="14" s="1"/>
  <c r="F1137" i="1" a="1"/>
  <c r="F1137" i="1" s="1"/>
  <c r="R1137" i="14" s="1"/>
  <c r="L1137" i="1" a="1"/>
  <c r="L1137" i="1" s="1"/>
  <c r="Q1137" i="1" a="1"/>
  <c r="Q1137" i="1" s="1"/>
  <c r="S1137" i="14" s="1"/>
  <c r="D1138" i="1" a="1"/>
  <c r="D1138" i="1" s="1"/>
  <c r="I1138" i="14" s="1"/>
  <c r="H1138" i="1" a="1"/>
  <c r="H1138" i="1" s="1"/>
  <c r="J1138" i="14" s="1"/>
  <c r="L1138" i="1" a="1"/>
  <c r="L1138" i="1" s="1"/>
  <c r="P1138" i="1" a="1"/>
  <c r="P1138" i="1" s="1"/>
  <c r="C1139" i="1" a="1"/>
  <c r="C1139" i="1" s="1"/>
  <c r="E1139" i="14" s="1"/>
  <c r="G1139" i="1" a="1"/>
  <c r="G1139" i="1" s="1"/>
  <c r="K1139" i="1" a="1"/>
  <c r="K1139" i="1" s="1"/>
  <c r="P1139" i="1" a="1"/>
  <c r="P1139" i="1" s="1"/>
  <c r="C1140" i="1" a="1"/>
  <c r="C1140" i="1" s="1"/>
  <c r="E1140" i="14" s="1"/>
  <c r="G1140" i="1" a="1"/>
  <c r="G1140" i="1" s="1"/>
  <c r="K1140" i="1" a="1"/>
  <c r="K1140" i="1" s="1"/>
  <c r="P1140" i="1" a="1"/>
  <c r="P1140" i="1" s="1"/>
  <c r="C1141" i="1" a="1"/>
  <c r="C1141" i="1" s="1"/>
  <c r="E1141" i="14" s="1"/>
  <c r="G1141" i="1" a="1"/>
  <c r="G1141" i="1" s="1"/>
  <c r="J1141" i="1" a="1"/>
  <c r="J1141" i="1" s="1"/>
  <c r="M1141" i="1" a="1"/>
  <c r="M1141" i="1" s="1"/>
  <c r="L1142" i="1" a="1"/>
  <c r="L1142" i="1" s="1"/>
  <c r="Q1142" i="1" a="1"/>
  <c r="Q1142" i="1" s="1"/>
  <c r="S1142" i="14" s="1"/>
  <c r="D1143" i="1" a="1"/>
  <c r="D1143" i="1" s="1"/>
  <c r="I1143" i="14" s="1"/>
  <c r="H1143" i="1" a="1"/>
  <c r="H1143" i="1" s="1"/>
  <c r="J1143" i="14" s="1"/>
  <c r="K1143" i="1" a="1"/>
  <c r="K1143" i="1" s="1"/>
  <c r="O1143" i="1"/>
  <c r="M1143" i="14" s="1"/>
  <c r="L1144" i="1" a="1"/>
  <c r="L1144" i="1" s="1"/>
  <c r="Q1144" i="1" a="1"/>
  <c r="Q1144" i="1" s="1"/>
  <c r="S1144" i="14" s="1"/>
  <c r="D1145" i="1" a="1"/>
  <c r="D1145" i="1" s="1"/>
  <c r="I1145" i="14" s="1"/>
  <c r="H1145" i="1" a="1"/>
  <c r="H1145" i="1" s="1"/>
  <c r="J1145" i="14" s="1"/>
  <c r="L1145" i="1" a="1"/>
  <c r="L1145" i="1" s="1"/>
  <c r="Q1145" i="1" a="1"/>
  <c r="Q1145" i="1" s="1"/>
  <c r="S1145" i="14" s="1"/>
  <c r="C1146" i="1" a="1"/>
  <c r="C1146" i="1" s="1"/>
  <c r="E1146" i="14" s="1"/>
  <c r="F1146" i="1" a="1"/>
  <c r="F1146" i="1" s="1"/>
  <c r="R1146" i="14" s="1"/>
  <c r="M1146" i="1" a="1"/>
  <c r="M1146" i="1" s="1"/>
  <c r="M1147" i="1" a="1"/>
  <c r="M1147" i="1" s="1"/>
  <c r="Q1147" i="1" a="1"/>
  <c r="Q1147" i="1" s="1"/>
  <c r="S1147" i="14" s="1"/>
  <c r="D1148" i="1" a="1"/>
  <c r="D1148" i="1" s="1"/>
  <c r="I1148" i="14" s="1"/>
  <c r="H1148" i="1" a="1"/>
  <c r="H1148" i="1" s="1"/>
  <c r="J1148" i="14" s="1"/>
  <c r="L1148" i="1" a="1"/>
  <c r="L1148" i="1" s="1"/>
  <c r="Q1148" i="1" a="1"/>
  <c r="Q1148" i="1" s="1"/>
  <c r="S1148" i="14" s="1"/>
  <c r="D1149" i="1" a="1"/>
  <c r="D1149" i="1" s="1"/>
  <c r="I1149" i="14" s="1"/>
  <c r="H1149" i="1" a="1"/>
  <c r="H1149" i="1" s="1"/>
  <c r="J1149" i="14" s="1"/>
  <c r="L1149" i="1" a="1"/>
  <c r="L1149" i="1" s="1"/>
  <c r="Q1149" i="1" a="1"/>
  <c r="Q1149" i="1" s="1"/>
  <c r="S1149" i="14" s="1"/>
  <c r="D1150" i="1" a="1"/>
  <c r="D1150" i="1" s="1"/>
  <c r="I1150" i="14" s="1"/>
  <c r="H1150" i="1" a="1"/>
  <c r="H1150" i="1" s="1"/>
  <c r="J1150" i="14" s="1"/>
  <c r="L1150" i="1" a="1"/>
  <c r="L1150" i="1" s="1"/>
  <c r="P1150" i="1" a="1"/>
  <c r="P1150" i="1" s="1"/>
  <c r="C1151" i="1" a="1"/>
  <c r="C1151" i="1" s="1"/>
  <c r="E1151" i="14" s="1"/>
  <c r="G1151" i="1" a="1"/>
  <c r="G1151" i="1" s="1"/>
  <c r="J1151" i="1" a="1"/>
  <c r="J1151" i="1" s="1"/>
  <c r="O1151" i="1"/>
  <c r="M1151" i="14" s="1"/>
  <c r="F1152" i="1" a="1"/>
  <c r="F1152" i="1" s="1"/>
  <c r="R1152" i="14" s="1"/>
  <c r="J1152" i="1" a="1"/>
  <c r="J1152" i="1" s="1"/>
  <c r="M1152" i="1" a="1"/>
  <c r="M1152" i="1" s="1"/>
  <c r="M1153" i="1" a="1"/>
  <c r="M1153" i="1" s="1"/>
  <c r="J1154" i="1" a="1"/>
  <c r="J1154" i="1" s="1"/>
  <c r="O1154" i="1"/>
  <c r="M1154" i="14" s="1"/>
  <c r="F1155" i="1" a="1"/>
  <c r="F1155" i="1" s="1"/>
  <c r="R1155" i="14" s="1"/>
  <c r="J1155" i="1" a="1"/>
  <c r="J1155" i="1" s="1"/>
  <c r="H1156" i="1" a="1"/>
  <c r="H1156" i="1" s="1"/>
  <c r="J1156" i="14" s="1"/>
  <c r="L1156" i="1" a="1"/>
  <c r="L1156" i="1" s="1"/>
  <c r="Q1156" i="1" a="1"/>
  <c r="Q1156" i="1" s="1"/>
  <c r="S1156" i="14" s="1"/>
  <c r="D1157" i="1" a="1"/>
  <c r="D1157" i="1" s="1"/>
  <c r="I1157" i="14" s="1"/>
  <c r="H1157" i="1" a="1"/>
  <c r="H1157" i="1" s="1"/>
  <c r="J1157" i="14" s="1"/>
  <c r="L1157" i="1" a="1"/>
  <c r="L1157" i="1" s="1"/>
  <c r="Q1157" i="1" a="1"/>
  <c r="Q1157" i="1" s="1"/>
  <c r="S1157" i="14" s="1"/>
  <c r="D1158" i="1" a="1"/>
  <c r="D1158" i="1" s="1"/>
  <c r="I1158" i="14" s="1"/>
  <c r="H1158" i="1" a="1"/>
  <c r="H1158" i="1" s="1"/>
  <c r="J1158" i="14" s="1"/>
  <c r="L1158" i="1" a="1"/>
  <c r="L1158" i="1" s="1"/>
  <c r="P1158" i="1" a="1"/>
  <c r="P1158" i="1" s="1"/>
  <c r="C1159" i="1" a="1"/>
  <c r="C1159" i="1" s="1"/>
  <c r="E1159" i="14" s="1"/>
  <c r="G1159" i="1" a="1"/>
  <c r="G1159" i="1" s="1"/>
  <c r="K1159" i="1" a="1"/>
  <c r="K1159" i="1" s="1"/>
  <c r="P1159" i="1" a="1"/>
  <c r="P1159" i="1" s="1"/>
  <c r="C1160" i="1" a="1"/>
  <c r="C1160" i="1" s="1"/>
  <c r="E1160" i="14" s="1"/>
  <c r="G1160" i="1" a="1"/>
  <c r="G1160" i="1" s="1"/>
  <c r="K1160" i="1" a="1"/>
  <c r="K1160" i="1" s="1"/>
  <c r="P1160" i="1" a="1"/>
  <c r="P1160" i="1" s="1"/>
  <c r="C1161" i="1" a="1"/>
  <c r="C1161" i="1" s="1"/>
  <c r="G1161" i="1" a="1"/>
  <c r="G1161" i="1" s="1"/>
  <c r="J1161" i="1" a="1"/>
  <c r="J1161" i="1" s="1"/>
  <c r="M1161" i="1" a="1"/>
  <c r="M1161" i="1" s="1"/>
  <c r="C1163" i="1" a="1"/>
  <c r="C1163" i="1" s="1"/>
  <c r="G1163" i="1" a="1"/>
  <c r="G1163" i="1" s="1"/>
  <c r="J1163" i="1" a="1"/>
  <c r="J1163" i="1" s="1"/>
  <c r="M1163" i="1" a="1"/>
  <c r="M1163" i="1" s="1"/>
  <c r="M1164" i="1" a="1"/>
  <c r="M1164" i="1" s="1"/>
  <c r="H1165" i="1" a="1"/>
  <c r="H1165" i="1" s="1"/>
  <c r="J1165" i="14" s="1"/>
  <c r="L1165" i="1" a="1"/>
  <c r="L1165" i="1" s="1"/>
  <c r="Q1165" i="1" a="1"/>
  <c r="Q1165" i="1" s="1"/>
  <c r="S1165" i="14" s="1"/>
  <c r="D1166" i="1" a="1"/>
  <c r="D1166" i="1" s="1"/>
  <c r="I1166" i="14" s="1"/>
  <c r="H1166" i="1" a="1"/>
  <c r="H1166" i="1" s="1"/>
  <c r="J1166" i="14" s="1"/>
  <c r="K1166" i="1" a="1"/>
  <c r="K1166" i="1" s="1"/>
  <c r="P1166" i="1" a="1"/>
  <c r="P1166" i="1" s="1"/>
  <c r="C1167" i="1" a="1"/>
  <c r="C1167" i="1" s="1"/>
  <c r="J1167" i="1" a="1"/>
  <c r="J1167" i="1" s="1"/>
  <c r="O1167" i="1"/>
  <c r="M1167" i="14" s="1"/>
  <c r="F1168" i="1" a="1"/>
  <c r="F1168" i="1" s="1"/>
  <c r="R1168" i="14" s="1"/>
  <c r="J1168" i="1" a="1"/>
  <c r="J1168" i="1" s="1"/>
  <c r="M1168" i="1" a="1"/>
  <c r="M1168" i="1" s="1"/>
  <c r="M1169" i="1" a="1"/>
  <c r="M1169" i="1" s="1"/>
  <c r="J1170" i="1" a="1"/>
  <c r="J1170" i="1" s="1"/>
  <c r="O1170" i="1"/>
  <c r="M1170" i="14" s="1"/>
  <c r="F1171" i="1" a="1"/>
  <c r="F1171" i="1" s="1"/>
  <c r="R1171" i="14" s="1"/>
  <c r="J1171" i="1" a="1"/>
  <c r="J1171" i="1" s="1"/>
  <c r="H1172" i="1" a="1"/>
  <c r="H1172" i="1" s="1"/>
  <c r="J1172" i="14" s="1"/>
  <c r="L1172" i="1" a="1"/>
  <c r="L1172" i="1" s="1"/>
  <c r="Q1172" i="1" a="1"/>
  <c r="Q1172" i="1" s="1"/>
  <c r="S1172" i="14" s="1"/>
  <c r="D1173" i="1" a="1"/>
  <c r="D1173" i="1" s="1"/>
  <c r="I1173" i="14" s="1"/>
  <c r="K1173" i="1" a="1"/>
  <c r="K1173" i="1" s="1"/>
  <c r="P1173" i="1" a="1"/>
  <c r="P1173" i="1" s="1"/>
  <c r="C1174" i="1" a="1"/>
  <c r="C1174" i="1" s="1"/>
  <c r="G1174" i="1" a="1"/>
  <c r="G1174" i="1" s="1"/>
  <c r="O1174" i="1"/>
  <c r="M1174" i="14" s="1"/>
  <c r="F1175" i="1" a="1"/>
  <c r="F1175" i="1" s="1"/>
  <c r="R1175" i="14" s="1"/>
  <c r="J1175" i="1" a="1"/>
  <c r="J1175" i="1" s="1"/>
  <c r="O1175" i="1"/>
  <c r="M1175" i="14" s="1"/>
  <c r="F1176" i="1" a="1"/>
  <c r="F1176" i="1" s="1"/>
  <c r="R1176" i="14" s="1"/>
  <c r="J1176" i="1" a="1"/>
  <c r="J1176" i="1" s="1"/>
  <c r="O1176" i="1"/>
  <c r="M1176" i="14" s="1"/>
  <c r="F1177" i="1" a="1"/>
  <c r="F1177" i="1" s="1"/>
  <c r="R1177" i="14" s="1"/>
  <c r="L1177" i="1" a="1"/>
  <c r="L1177" i="1" s="1"/>
  <c r="Q1177" i="1" a="1"/>
  <c r="Q1177" i="1" s="1"/>
  <c r="S1177" i="14" s="1"/>
  <c r="D1178" i="1" a="1"/>
  <c r="D1178" i="1" s="1"/>
  <c r="I1178" i="14" s="1"/>
  <c r="H1178" i="1" a="1"/>
  <c r="H1178" i="1" s="1"/>
  <c r="J1178" i="14" s="1"/>
  <c r="L1178" i="1" a="1"/>
  <c r="L1178" i="1" s="1"/>
  <c r="P1178" i="1" a="1"/>
  <c r="P1178" i="1" s="1"/>
  <c r="F1179" i="1" a="1"/>
  <c r="F1179" i="1" s="1"/>
  <c r="R1179" i="14" s="1"/>
  <c r="L1179" i="1" a="1"/>
  <c r="L1179" i="1" s="1"/>
  <c r="Q1179" i="1" a="1"/>
  <c r="Q1179" i="1" s="1"/>
  <c r="S1179" i="14" s="1"/>
  <c r="D1180" i="1" a="1"/>
  <c r="D1180" i="1" s="1"/>
  <c r="I1180" i="14" s="1"/>
  <c r="H1180" i="1" a="1"/>
  <c r="H1180" i="1" s="1"/>
  <c r="J1180" i="14" s="1"/>
  <c r="L1180" i="1" a="1"/>
  <c r="L1180" i="1" s="1"/>
  <c r="Q1180" i="1" a="1"/>
  <c r="Q1180" i="1" s="1"/>
  <c r="S1180" i="14" s="1"/>
  <c r="D1181" i="1" a="1"/>
  <c r="D1181" i="1" s="1"/>
  <c r="I1181" i="14" s="1"/>
  <c r="H1181" i="1" a="1"/>
  <c r="H1181" i="1" s="1"/>
  <c r="J1181" i="14" s="1"/>
  <c r="L1181" i="1" a="1"/>
  <c r="L1181" i="1" s="1"/>
  <c r="Q1181" i="1" a="1"/>
  <c r="Q1181" i="1" s="1"/>
  <c r="S1181" i="14" s="1"/>
  <c r="D1182" i="1" a="1"/>
  <c r="D1182" i="1" s="1"/>
  <c r="I1182" i="14" s="1"/>
  <c r="H1182" i="1" a="1"/>
  <c r="H1182" i="1" s="1"/>
  <c r="J1182" i="14" s="1"/>
  <c r="L1182" i="1" a="1"/>
  <c r="L1182" i="1" s="1"/>
  <c r="Q1182" i="1" a="1"/>
  <c r="Q1182" i="1" s="1"/>
  <c r="S1182" i="14" s="1"/>
  <c r="D1183" i="1" a="1"/>
  <c r="D1183" i="1" s="1"/>
  <c r="I1183" i="14" s="1"/>
  <c r="G1183" i="1" a="1"/>
  <c r="G1183" i="1" s="1"/>
  <c r="K1183" i="1" a="1"/>
  <c r="K1183" i="1" s="1"/>
  <c r="P1183" i="1" a="1"/>
  <c r="P1183" i="1" s="1"/>
  <c r="C1184" i="1" a="1"/>
  <c r="C1184" i="1" s="1"/>
  <c r="G1184" i="1" a="1"/>
  <c r="G1184" i="1" s="1"/>
  <c r="K1184" i="1" a="1"/>
  <c r="K1184" i="1" s="1"/>
  <c r="L1184" i="14" s="1"/>
  <c r="O1184" i="1"/>
  <c r="M1184" i="14" s="1"/>
  <c r="F1185" i="1" a="1"/>
  <c r="F1185" i="1" s="1"/>
  <c r="R1185" i="14" s="1"/>
  <c r="J1185" i="1" a="1"/>
  <c r="J1185" i="1" s="1"/>
  <c r="O1185" i="1"/>
  <c r="M1185" i="14" s="1"/>
  <c r="D1186" i="1" a="1"/>
  <c r="D1186" i="1" s="1"/>
  <c r="I1186" i="14" s="1"/>
  <c r="G1186" i="1" a="1"/>
  <c r="G1186" i="1" s="1"/>
  <c r="K1186" i="1" a="1"/>
  <c r="K1186" i="1" s="1"/>
  <c r="P1186" i="1" a="1"/>
  <c r="P1186" i="1" s="1"/>
  <c r="C1187" i="1" a="1"/>
  <c r="C1187" i="1" s="1"/>
  <c r="G1187" i="1" a="1"/>
  <c r="G1187" i="1" s="1"/>
  <c r="K1187" i="1" a="1"/>
  <c r="K1187" i="1" s="1"/>
  <c r="O1187" i="1"/>
  <c r="M1187" i="14" s="1"/>
  <c r="H1188" i="1" a="1"/>
  <c r="H1188" i="1" s="1"/>
  <c r="J1188" i="14" s="1"/>
  <c r="L1188" i="1" a="1"/>
  <c r="L1188" i="1" s="1"/>
  <c r="Q1188" i="1" a="1"/>
  <c r="Q1188" i="1" s="1"/>
  <c r="S1188" i="14" s="1"/>
  <c r="D1189" i="1" a="1"/>
  <c r="D1189" i="1" s="1"/>
  <c r="I1189" i="14" s="1"/>
  <c r="H1189" i="1" a="1"/>
  <c r="H1189" i="1" s="1"/>
  <c r="J1189" i="14" s="1"/>
  <c r="L1189" i="1" a="1"/>
  <c r="L1189" i="1" s="1"/>
  <c r="Q1189" i="1" a="1"/>
  <c r="Q1189" i="1" s="1"/>
  <c r="S1189" i="14" s="1"/>
  <c r="D1190" i="1" a="1"/>
  <c r="D1190" i="1" s="1"/>
  <c r="I1190" i="14" s="1"/>
  <c r="H1190" i="1" a="1"/>
  <c r="H1190" i="1" s="1"/>
  <c r="J1190" i="14" s="1"/>
  <c r="K1190" i="1" a="1"/>
  <c r="K1190" i="1" s="1"/>
  <c r="P1190" i="1" a="1"/>
  <c r="P1190" i="1" s="1"/>
  <c r="C1191" i="1" a="1"/>
  <c r="C1191" i="1" s="1"/>
  <c r="G1191" i="1" a="1"/>
  <c r="G1191" i="1" s="1"/>
  <c r="K1191" i="1" a="1"/>
  <c r="K1191" i="1" s="1"/>
  <c r="P1191" i="1" a="1"/>
  <c r="P1191" i="1" s="1"/>
  <c r="C1192" i="1" a="1"/>
  <c r="C1192" i="1" s="1"/>
  <c r="G1192" i="1" a="1"/>
  <c r="G1192" i="1" s="1"/>
  <c r="K1192" i="1" a="1"/>
  <c r="K1192" i="1" s="1"/>
  <c r="P1192" i="1" a="1"/>
  <c r="P1192" i="1" s="1"/>
  <c r="C1193" i="1" a="1"/>
  <c r="C1193" i="1" s="1"/>
  <c r="G1193" i="1" a="1"/>
  <c r="G1193" i="1" s="1"/>
  <c r="J1193" i="1" a="1"/>
  <c r="J1193" i="1" s="1"/>
  <c r="M1193" i="1" a="1"/>
  <c r="M1193" i="1" s="1"/>
  <c r="C1195" i="1" a="1"/>
  <c r="C1195" i="1" s="1"/>
  <c r="G1195" i="1" a="1"/>
  <c r="G1195" i="1" s="1"/>
  <c r="J1195" i="1" a="1"/>
  <c r="J1195" i="1" s="1"/>
  <c r="M1195" i="1" a="1"/>
  <c r="M1195" i="1" s="1"/>
  <c r="M1196" i="1" a="1"/>
  <c r="M1196" i="1" s="1"/>
  <c r="M1197" i="1" a="1"/>
  <c r="M1197" i="1" s="1"/>
  <c r="M1198" i="1" a="1"/>
  <c r="M1198" i="1" s="1"/>
  <c r="H1199" i="1" a="1"/>
  <c r="H1199" i="1" s="1"/>
  <c r="J1199" i="14" s="1"/>
  <c r="L1199" i="1" a="1"/>
  <c r="L1199" i="1" s="1"/>
  <c r="Q1199" i="1" a="1"/>
  <c r="Q1199" i="1" s="1"/>
  <c r="S1199" i="14" s="1"/>
  <c r="D1200" i="1" a="1"/>
  <c r="D1200" i="1" s="1"/>
  <c r="I1200" i="14" s="1"/>
  <c r="H1200" i="1" a="1"/>
  <c r="H1200" i="1" s="1"/>
  <c r="J1200" i="14" s="1"/>
  <c r="P1200" i="1" a="1"/>
  <c r="P1200" i="1" s="1"/>
  <c r="C1201" i="1" a="1"/>
  <c r="C1201" i="1" s="1"/>
  <c r="G1201" i="1" a="1"/>
  <c r="G1201" i="1" s="1"/>
  <c r="K1201" i="1" a="1"/>
  <c r="K1201" i="1" s="1"/>
  <c r="P1201" i="1" a="1"/>
  <c r="P1201" i="1" s="1"/>
  <c r="H1202" i="1" a="1"/>
  <c r="H1202" i="1" s="1"/>
  <c r="J1202" i="14" s="1"/>
  <c r="L1202" i="1" a="1"/>
  <c r="L1202" i="1" s="1"/>
  <c r="Q1202" i="1" a="1"/>
  <c r="Q1202" i="1" s="1"/>
  <c r="S1202" i="14" s="1"/>
  <c r="D1203" i="1" a="1"/>
  <c r="D1203" i="1" s="1"/>
  <c r="I1203" i="14" s="1"/>
  <c r="H1203" i="1" a="1"/>
  <c r="H1203" i="1" s="1"/>
  <c r="J1203" i="14" s="1"/>
  <c r="L1203" i="1" a="1"/>
  <c r="L1203" i="1" s="1"/>
  <c r="P1203" i="1" a="1"/>
  <c r="P1203" i="1" s="1"/>
  <c r="C1204" i="1" a="1"/>
  <c r="C1204" i="1" s="1"/>
  <c r="G1204" i="1" a="1"/>
  <c r="G1204" i="1" s="1"/>
  <c r="K1204" i="1" a="1"/>
  <c r="K1204" i="1" s="1"/>
  <c r="P1204" i="1" a="1"/>
  <c r="P1204" i="1" s="1"/>
  <c r="C1205" i="1" a="1"/>
  <c r="C1205" i="1" s="1"/>
  <c r="G1205" i="1" a="1"/>
  <c r="G1205" i="1" s="1"/>
  <c r="K1205" i="1" a="1"/>
  <c r="K1205" i="1" s="1"/>
  <c r="P1205" i="1" a="1"/>
  <c r="P1205" i="1" s="1"/>
  <c r="F1206" i="1" a="1"/>
  <c r="F1206" i="1" s="1"/>
  <c r="R1206" i="14" s="1"/>
  <c r="J1206" i="1" a="1"/>
  <c r="J1206" i="1" s="1"/>
  <c r="O1206" i="1"/>
  <c r="M1206" i="14" s="1"/>
  <c r="F1207" i="1" a="1"/>
  <c r="F1207" i="1" s="1"/>
  <c r="R1207" i="14" s="1"/>
  <c r="M1207" i="1" a="1"/>
  <c r="M1207" i="1" s="1"/>
  <c r="L1208" i="1" a="1"/>
  <c r="L1208" i="1" s="1"/>
  <c r="Q1208" i="1" a="1"/>
  <c r="Q1208" i="1" s="1"/>
  <c r="S1208" i="14" s="1"/>
  <c r="D1209" i="1" a="1"/>
  <c r="D1209" i="1" s="1"/>
  <c r="I1209" i="14" s="1"/>
  <c r="H1209" i="1" a="1"/>
  <c r="H1209" i="1" s="1"/>
  <c r="J1209" i="14" s="1"/>
  <c r="L1209" i="1" a="1"/>
  <c r="L1209" i="1" s="1"/>
  <c r="Q1209" i="1" a="1"/>
  <c r="Q1209" i="1" s="1"/>
  <c r="S1209" i="14" s="1"/>
  <c r="C1210" i="1" a="1"/>
  <c r="C1210" i="1" s="1"/>
  <c r="F1210" i="1" a="1"/>
  <c r="F1210" i="1" s="1"/>
  <c r="R1210" i="14" s="1"/>
  <c r="M1210" i="1" a="1"/>
  <c r="M1210" i="1" s="1"/>
  <c r="M1211" i="1" a="1"/>
  <c r="M1211" i="1" s="1"/>
  <c r="L1212" i="1" a="1"/>
  <c r="L1212" i="1" s="1"/>
  <c r="Q1212" i="1" a="1"/>
  <c r="Q1212" i="1" s="1"/>
  <c r="S1212" i="14" s="1"/>
  <c r="D1213" i="1" a="1"/>
  <c r="D1213" i="1" s="1"/>
  <c r="I1213" i="14" s="1"/>
  <c r="H1213" i="1" a="1"/>
  <c r="H1213" i="1" s="1"/>
  <c r="J1213" i="14" s="1"/>
  <c r="L1213" i="1" a="1"/>
  <c r="L1213" i="1" s="1"/>
  <c r="Q1213" i="1" a="1"/>
  <c r="Q1213" i="1" s="1"/>
  <c r="S1213" i="14" s="1"/>
  <c r="C1214" i="1" a="1"/>
  <c r="C1214" i="1" s="1"/>
  <c r="F1214" i="1" a="1"/>
  <c r="F1214" i="1" s="1"/>
  <c r="R1214" i="14" s="1"/>
  <c r="M1214" i="1" a="1"/>
  <c r="M1214" i="1" s="1"/>
  <c r="H1215" i="1" a="1"/>
  <c r="H1215" i="1" s="1"/>
  <c r="J1215" i="14" s="1"/>
  <c r="L1215" i="1" a="1"/>
  <c r="L1215" i="1" s="1"/>
  <c r="Q1215" i="1" a="1"/>
  <c r="Q1215" i="1" s="1"/>
  <c r="S1215" i="14" s="1"/>
  <c r="D1216" i="1" a="1"/>
  <c r="D1216" i="1" s="1"/>
  <c r="I1216" i="14" s="1"/>
  <c r="H1216" i="1" a="1"/>
  <c r="H1216" i="1" s="1"/>
  <c r="J1216" i="14" s="1"/>
  <c r="P1216" i="1" a="1"/>
  <c r="P1216" i="1" s="1"/>
  <c r="C1217" i="1" a="1"/>
  <c r="C1217" i="1" s="1"/>
  <c r="G1217" i="1" a="1"/>
  <c r="G1217" i="1" s="1"/>
  <c r="K1217" i="1" a="1"/>
  <c r="K1217" i="1" s="1"/>
  <c r="P1217" i="1" a="1"/>
  <c r="P1217" i="1" s="1"/>
  <c r="H1218" i="1" a="1"/>
  <c r="H1218" i="1" s="1"/>
  <c r="J1218" i="14" s="1"/>
  <c r="L1218" i="1" a="1"/>
  <c r="L1218" i="1" s="1"/>
  <c r="Q1218" i="1" a="1"/>
  <c r="Q1218" i="1" s="1"/>
  <c r="S1218" i="14" s="1"/>
  <c r="D1219" i="1" a="1"/>
  <c r="D1219" i="1" s="1"/>
  <c r="I1219" i="14" s="1"/>
  <c r="G1219" i="1" a="1"/>
  <c r="G1219" i="1" s="1"/>
  <c r="K1219" i="1" a="1"/>
  <c r="K1219" i="1" s="1"/>
  <c r="O1219" i="1"/>
  <c r="M1219" i="14" s="1"/>
  <c r="F1220" i="1" a="1"/>
  <c r="F1220" i="1" s="1"/>
  <c r="R1220" i="14" s="1"/>
  <c r="J1220" i="1" a="1"/>
  <c r="J1220" i="1" s="1"/>
  <c r="O1220" i="1"/>
  <c r="M1220" i="14" s="1"/>
  <c r="F1221" i="1" a="1"/>
  <c r="F1221" i="1" s="1"/>
  <c r="R1221" i="14" s="1"/>
  <c r="L1221" i="1" a="1"/>
  <c r="L1221" i="1" s="1"/>
  <c r="Q1221" i="1" a="1"/>
  <c r="Q1221" i="1" s="1"/>
  <c r="S1221" i="14" s="1"/>
  <c r="D1222" i="1" a="1"/>
  <c r="D1222" i="1" s="1"/>
  <c r="I1222" i="14" s="1"/>
  <c r="H1222" i="1" a="1"/>
  <c r="H1222" i="1" s="1"/>
  <c r="J1222" i="14" s="1"/>
  <c r="K1222" i="1" a="1"/>
  <c r="K1222" i="1" s="1"/>
  <c r="P1222" i="1" a="1"/>
  <c r="P1222" i="1" s="1"/>
  <c r="C1223" i="1" a="1"/>
  <c r="C1223" i="1" s="1"/>
  <c r="G1223" i="1" a="1"/>
  <c r="G1223" i="1" s="1"/>
  <c r="K1223" i="1" a="1"/>
  <c r="K1223" i="1" s="1"/>
  <c r="P1223" i="1" a="1"/>
  <c r="P1223" i="1" s="1"/>
  <c r="C1224" i="1" a="1"/>
  <c r="C1224" i="1" s="1"/>
  <c r="G1224" i="1" a="1"/>
  <c r="G1224" i="1" s="1"/>
  <c r="K1224" i="1" a="1"/>
  <c r="K1224" i="1" s="1"/>
  <c r="P1224" i="1" a="1"/>
  <c r="P1224" i="1" s="1"/>
  <c r="C1225" i="1" a="1"/>
  <c r="C1225" i="1" s="1"/>
  <c r="G1225" i="1" a="1"/>
  <c r="G1225" i="1" s="1"/>
  <c r="J1225" i="1" a="1"/>
  <c r="J1225" i="1" s="1"/>
  <c r="M1225" i="1" a="1"/>
  <c r="M1225" i="1" s="1"/>
  <c r="L1226" i="1" a="1"/>
  <c r="L1226" i="1" s="1"/>
  <c r="Q1226" i="1" a="1"/>
  <c r="Q1226" i="1" s="1"/>
  <c r="S1226" i="14" s="1"/>
  <c r="D1227" i="1" a="1"/>
  <c r="D1227" i="1" s="1"/>
  <c r="I1227" i="14" s="1"/>
  <c r="H1227" i="1" a="1"/>
  <c r="H1227" i="1" s="1"/>
  <c r="J1227" i="14" s="1"/>
  <c r="L1227" i="1" a="1"/>
  <c r="L1227" i="1" s="1"/>
  <c r="Q1227" i="1" a="1"/>
  <c r="Q1227" i="1" s="1"/>
  <c r="S1227" i="14" s="1"/>
  <c r="D1228" i="1" a="1"/>
  <c r="D1228" i="1" s="1"/>
  <c r="I1228" i="14" s="1"/>
  <c r="H1228" i="1" a="1"/>
  <c r="H1228" i="1" s="1"/>
  <c r="J1228" i="14" s="1"/>
  <c r="P1228" i="1" a="1"/>
  <c r="P1228" i="1" s="1"/>
  <c r="C1229" i="1" a="1"/>
  <c r="C1229" i="1" s="1"/>
  <c r="G1229" i="1" a="1"/>
  <c r="G1229" i="1" s="1"/>
  <c r="K1229" i="1" a="1"/>
  <c r="K1229" i="1" s="1"/>
  <c r="P1229" i="1" a="1"/>
  <c r="P1229" i="1" s="1"/>
  <c r="H1230" i="1" a="1"/>
  <c r="H1230" i="1" s="1"/>
  <c r="J1230" i="14" s="1"/>
  <c r="L1230" i="1" a="1"/>
  <c r="L1230" i="1" s="1"/>
  <c r="Q1230" i="1" a="1"/>
  <c r="Q1230" i="1" s="1"/>
  <c r="S1230" i="14" s="1"/>
  <c r="D1231" i="1" a="1"/>
  <c r="D1231" i="1" s="1"/>
  <c r="I1231" i="14" s="1"/>
  <c r="G1231" i="1" a="1"/>
  <c r="G1231" i="1" s="1"/>
  <c r="K1231" i="1" a="1"/>
  <c r="K1231" i="1" s="1"/>
  <c r="P1231" i="1" a="1"/>
  <c r="P1231" i="1" s="1"/>
  <c r="C1232" i="1" a="1"/>
  <c r="C1232" i="1" s="1"/>
  <c r="G1232" i="1" a="1"/>
  <c r="G1232" i="1" s="1"/>
  <c r="K1232" i="1" a="1"/>
  <c r="K1232" i="1" s="1"/>
  <c r="O1232" i="1"/>
  <c r="M1232" i="14" s="1"/>
  <c r="F1233" i="1" a="1"/>
  <c r="F1233" i="1" s="1"/>
  <c r="R1233" i="14" s="1"/>
  <c r="L1233" i="1" a="1"/>
  <c r="L1233" i="1" s="1"/>
  <c r="Q1233" i="1" a="1"/>
  <c r="Q1233" i="1" s="1"/>
  <c r="S1233" i="14" s="1"/>
  <c r="C1234" i="1" a="1"/>
  <c r="C1234" i="1" s="1"/>
  <c r="G1234" i="1" a="1"/>
  <c r="G1234" i="1" s="1"/>
  <c r="K1234" i="1" a="1"/>
  <c r="K1234" i="1" s="1"/>
  <c r="O1234" i="1"/>
  <c r="M1234" i="14" s="1"/>
  <c r="F1235" i="1" a="1"/>
  <c r="F1235" i="1" s="1"/>
  <c r="R1235" i="14" s="1"/>
  <c r="J1235" i="1" a="1"/>
  <c r="J1235" i="1" s="1"/>
  <c r="O1235" i="1"/>
  <c r="M1235" i="14" s="1"/>
  <c r="F1236" i="1" a="1"/>
  <c r="F1236" i="1" s="1"/>
  <c r="R1236" i="14" s="1"/>
  <c r="J1236" i="1" a="1"/>
  <c r="J1236" i="1" s="1"/>
  <c r="M1236" i="1" a="1"/>
  <c r="M1236" i="1" s="1"/>
  <c r="M1237" i="1" a="1"/>
  <c r="M1237" i="1" s="1"/>
  <c r="G1238" i="1" a="1"/>
  <c r="G1238" i="1" s="1"/>
  <c r="K1238" i="1" a="1"/>
  <c r="K1238" i="1" s="1"/>
  <c r="O1238" i="1"/>
  <c r="M1238" i="14" s="1"/>
  <c r="D1027" i="1" a="1"/>
  <c r="D1027" i="1" s="1"/>
  <c r="I1027" i="14" s="1"/>
  <c r="L1027" i="1" a="1"/>
  <c r="L1027" i="1" s="1"/>
  <c r="J1033" i="1" a="1"/>
  <c r="J1033" i="1" s="1"/>
  <c r="M1034" i="1" a="1"/>
  <c r="M1034" i="1" s="1"/>
  <c r="J1036" i="1" a="1"/>
  <c r="J1036" i="1" s="1"/>
  <c r="O1036" i="1"/>
  <c r="M1036" i="14" s="1"/>
  <c r="C1037" i="1" a="1"/>
  <c r="C1037" i="1" s="1"/>
  <c r="E1037" i="14" s="1"/>
  <c r="O1037" i="1"/>
  <c r="M1037" i="14" s="1"/>
  <c r="C1038" i="1" a="1"/>
  <c r="C1038" i="1" s="1"/>
  <c r="E1038" i="14" s="1"/>
  <c r="H1038" i="1" a="1"/>
  <c r="H1038" i="1" s="1"/>
  <c r="J1038" i="14" s="1"/>
  <c r="M1038" i="1" a="1"/>
  <c r="M1038" i="1" s="1"/>
  <c r="H1039" i="1" a="1"/>
  <c r="H1039" i="1" s="1"/>
  <c r="J1039" i="14" s="1"/>
  <c r="L1039" i="1" a="1"/>
  <c r="L1039" i="1" s="1"/>
  <c r="G1041" i="1" a="1"/>
  <c r="G1041" i="1" s="1"/>
  <c r="M1041" i="1" a="1"/>
  <c r="M1041" i="1" s="1"/>
  <c r="G1042" i="1" a="1"/>
  <c r="G1042" i="1" s="1"/>
  <c r="K1042" i="1" a="1"/>
  <c r="K1042" i="1" s="1"/>
  <c r="L1042" i="14" s="1"/>
  <c r="Q1042" i="1" a="1"/>
  <c r="Q1042" i="1" s="1"/>
  <c r="S1042" i="14" s="1"/>
  <c r="D1043" i="1" a="1"/>
  <c r="D1043" i="1" s="1"/>
  <c r="I1043" i="14" s="1"/>
  <c r="O1043" i="1"/>
  <c r="M1043" i="14" s="1"/>
  <c r="F1044" i="1" a="1"/>
  <c r="F1044" i="1" s="1"/>
  <c r="R1044" i="14" s="1"/>
  <c r="J1044" i="1" a="1"/>
  <c r="J1044" i="1" s="1"/>
  <c r="P1044" i="1" a="1"/>
  <c r="P1044" i="1" s="1"/>
  <c r="C1045" i="1" a="1"/>
  <c r="C1045" i="1" s="1"/>
  <c r="E1045" i="14" s="1"/>
  <c r="G1045" i="1" a="1"/>
  <c r="G1045" i="1" s="1"/>
  <c r="K1045" i="1" a="1"/>
  <c r="K1045" i="1" s="1"/>
  <c r="F1046" i="1" a="1"/>
  <c r="F1046" i="1" s="1"/>
  <c r="R1046" i="14" s="1"/>
  <c r="K1046" i="1" a="1"/>
  <c r="K1046" i="1" s="1"/>
  <c r="F1047" i="1" a="1"/>
  <c r="F1047" i="1" s="1"/>
  <c r="R1047" i="14" s="1"/>
  <c r="K1047" i="1" a="1"/>
  <c r="K1047" i="1" s="1"/>
  <c r="F1048" i="1" a="1"/>
  <c r="F1048" i="1" s="1"/>
  <c r="R1048" i="14" s="1"/>
  <c r="K1048" i="1" a="1"/>
  <c r="K1048" i="1" s="1"/>
  <c r="P1049" i="1" a="1"/>
  <c r="P1049" i="1" s="1"/>
  <c r="C1050" i="1" a="1"/>
  <c r="C1050" i="1" s="1"/>
  <c r="E1050" i="14" s="1"/>
  <c r="H1050" i="1" a="1"/>
  <c r="H1050" i="1" s="1"/>
  <c r="J1050" i="14" s="1"/>
  <c r="O1051" i="1"/>
  <c r="M1051" i="14" s="1"/>
  <c r="F1052" i="1" a="1"/>
  <c r="F1052" i="1" s="1"/>
  <c r="R1052" i="14" s="1"/>
  <c r="J1052" i="1" a="1"/>
  <c r="J1052" i="1" s="1"/>
  <c r="P1052" i="1" a="1"/>
  <c r="P1052" i="1" s="1"/>
  <c r="D1053" i="1" a="1"/>
  <c r="D1053" i="1" s="1"/>
  <c r="I1053" i="14" s="1"/>
  <c r="O1053" i="1"/>
  <c r="M1053" i="14" s="1"/>
  <c r="D1054" i="1" a="1"/>
  <c r="D1054" i="1" s="1"/>
  <c r="I1054" i="14" s="1"/>
  <c r="O1054" i="1"/>
  <c r="M1054" i="14" s="1"/>
  <c r="D1055" i="1" a="1"/>
  <c r="D1055" i="1" s="1"/>
  <c r="I1055" i="14" s="1"/>
  <c r="H1055" i="1" a="1"/>
  <c r="H1055" i="1" s="1"/>
  <c r="J1055" i="14" s="1"/>
  <c r="M1055" i="1" a="1"/>
  <c r="M1055" i="1" s="1"/>
  <c r="G1056" i="1" a="1"/>
  <c r="G1056" i="1" s="1"/>
  <c r="L1056" i="1" a="1"/>
  <c r="L1056" i="1" s="1"/>
  <c r="Q1056" i="1" a="1"/>
  <c r="Q1056" i="1" s="1"/>
  <c r="S1056" i="14" s="1"/>
  <c r="D1057" i="1" a="1"/>
  <c r="D1057" i="1" s="1"/>
  <c r="I1057" i="14" s="1"/>
  <c r="M1057" i="1" a="1"/>
  <c r="M1057" i="1" s="1"/>
  <c r="M1058" i="1" a="1"/>
  <c r="M1058" i="1" s="1"/>
  <c r="M1059" i="1" a="1"/>
  <c r="M1059" i="1" s="1"/>
  <c r="M1060" i="1" a="1"/>
  <c r="M1060" i="1" s="1"/>
  <c r="M1061" i="1" a="1"/>
  <c r="M1061" i="1" s="1"/>
  <c r="L1062" i="1" a="1"/>
  <c r="L1062" i="1" s="1"/>
  <c r="Q1062" i="1" a="1"/>
  <c r="Q1062" i="1" s="1"/>
  <c r="S1062" i="14" s="1"/>
  <c r="D1063" i="1" a="1"/>
  <c r="D1063" i="1" s="1"/>
  <c r="I1063" i="14" s="1"/>
  <c r="G1063" i="1" a="1"/>
  <c r="G1063" i="1" s="1"/>
  <c r="K1063" i="1" a="1"/>
  <c r="K1063" i="1" s="1"/>
  <c r="P1063" i="1" a="1"/>
  <c r="P1063" i="1" s="1"/>
  <c r="C1064" i="1" a="1"/>
  <c r="C1064" i="1" s="1"/>
  <c r="E1064" i="14" s="1"/>
  <c r="G1064" i="1" a="1"/>
  <c r="G1064" i="1" s="1"/>
  <c r="K1064" i="1" a="1"/>
  <c r="K1064" i="1" s="1"/>
  <c r="L1064" i="14" s="1"/>
  <c r="O1064" i="1"/>
  <c r="M1064" i="14" s="1"/>
  <c r="H1065" i="1" a="1"/>
  <c r="H1065" i="1" s="1"/>
  <c r="J1065" i="14" s="1"/>
  <c r="L1065" i="1" a="1"/>
  <c r="L1065" i="1" s="1"/>
  <c r="Q1065" i="1" a="1"/>
  <c r="Q1065" i="1" s="1"/>
  <c r="S1065" i="14" s="1"/>
  <c r="D1066" i="1" a="1"/>
  <c r="D1066" i="1" s="1"/>
  <c r="I1066" i="14" s="1"/>
  <c r="H1066" i="1" a="1"/>
  <c r="H1066" i="1" s="1"/>
  <c r="J1066" i="14" s="1"/>
  <c r="L1066" i="1" a="1"/>
  <c r="L1066" i="1" s="1"/>
  <c r="Q1066" i="1" a="1"/>
  <c r="Q1066" i="1" s="1"/>
  <c r="S1066" i="14" s="1"/>
  <c r="D1067" i="1" a="1"/>
  <c r="D1067" i="1" s="1"/>
  <c r="I1067" i="14" s="1"/>
  <c r="G1067" i="1" a="1"/>
  <c r="G1067" i="1" s="1"/>
  <c r="K1067" i="1" a="1"/>
  <c r="K1067" i="1" s="1"/>
  <c r="L1067" i="14" s="1"/>
  <c r="P1067" i="1" a="1"/>
  <c r="P1067" i="1" s="1"/>
  <c r="C1068" i="1" a="1"/>
  <c r="C1068" i="1" s="1"/>
  <c r="E1068" i="14" s="1"/>
  <c r="G1068" i="1" a="1"/>
  <c r="G1068" i="1" s="1"/>
  <c r="K1068" i="1" a="1"/>
  <c r="K1068" i="1" s="1"/>
  <c r="O1068" i="1"/>
  <c r="M1068" i="14" s="1"/>
  <c r="F1069" i="1" a="1"/>
  <c r="F1069" i="1" s="1"/>
  <c r="R1069" i="14" s="1"/>
  <c r="J1069" i="1" a="1"/>
  <c r="J1069" i="1" s="1"/>
  <c r="O1069" i="1"/>
  <c r="M1069" i="14" s="1"/>
  <c r="F1070" i="1" a="1"/>
  <c r="F1070" i="1" s="1"/>
  <c r="R1070" i="14" s="1"/>
  <c r="J1070" i="1" a="1"/>
  <c r="J1070" i="1" s="1"/>
  <c r="O1070" i="1"/>
  <c r="M1070" i="14" s="1"/>
  <c r="F1071" i="1" a="1"/>
  <c r="F1071" i="1" s="1"/>
  <c r="R1071" i="14" s="1"/>
  <c r="M1071" i="1" a="1"/>
  <c r="M1071" i="1" s="1"/>
  <c r="Q1071" i="1" a="1"/>
  <c r="Q1071" i="1" s="1"/>
  <c r="S1071" i="14" s="1"/>
  <c r="D1072" i="1" a="1"/>
  <c r="D1072" i="1" s="1"/>
  <c r="I1072" i="14" s="1"/>
  <c r="H1072" i="1" a="1"/>
  <c r="H1072" i="1" s="1"/>
  <c r="J1072" i="14" s="1"/>
  <c r="L1072" i="1" a="1"/>
  <c r="L1072" i="1" s="1"/>
  <c r="Q1072" i="1" a="1"/>
  <c r="Q1072" i="1" s="1"/>
  <c r="S1072" i="14" s="1"/>
  <c r="D1073" i="1" a="1"/>
  <c r="D1073" i="1" s="1"/>
  <c r="I1073" i="14" s="1"/>
  <c r="H1073" i="1" a="1"/>
  <c r="H1073" i="1" s="1"/>
  <c r="J1073" i="14" s="1"/>
  <c r="L1073" i="1" a="1"/>
  <c r="L1073" i="1" s="1"/>
  <c r="Q1073" i="1" a="1"/>
  <c r="Q1073" i="1" s="1"/>
  <c r="S1073" i="14" s="1"/>
  <c r="D1074" i="1" a="1"/>
  <c r="D1074" i="1" s="1"/>
  <c r="I1074" i="14" s="1"/>
  <c r="H1074" i="1" a="1"/>
  <c r="H1074" i="1" s="1"/>
  <c r="J1074" i="14" s="1"/>
  <c r="L1074" i="1" a="1"/>
  <c r="L1074" i="1" s="1"/>
  <c r="Q1074" i="1" a="1"/>
  <c r="Q1074" i="1" s="1"/>
  <c r="S1074" i="14" s="1"/>
  <c r="D1075" i="1" a="1"/>
  <c r="D1075" i="1" s="1"/>
  <c r="I1075" i="14" s="1"/>
  <c r="H1075" i="1" a="1"/>
  <c r="H1075" i="1" s="1"/>
  <c r="J1075" i="14" s="1"/>
  <c r="L1075" i="1" a="1"/>
  <c r="L1075" i="1" s="1"/>
  <c r="Q1075" i="1" a="1"/>
  <c r="Q1075" i="1" s="1"/>
  <c r="S1075" i="14" s="1"/>
  <c r="D1076" i="1" a="1"/>
  <c r="D1076" i="1" s="1"/>
  <c r="I1076" i="14" s="1"/>
  <c r="H1076" i="1" a="1"/>
  <c r="H1076" i="1" s="1"/>
  <c r="J1076" i="14" s="1"/>
  <c r="L1076" i="1" a="1"/>
  <c r="L1076" i="1" s="1"/>
  <c r="Q1076" i="1" a="1"/>
  <c r="Q1076" i="1" s="1"/>
  <c r="S1076" i="14" s="1"/>
  <c r="D1077" i="1" a="1"/>
  <c r="D1077" i="1" s="1"/>
  <c r="I1077" i="14" s="1"/>
  <c r="H1077" i="1" a="1"/>
  <c r="H1077" i="1" s="1"/>
  <c r="J1077" i="14" s="1"/>
  <c r="L1077" i="1" a="1"/>
  <c r="L1077" i="1" s="1"/>
  <c r="Q1077" i="1" a="1"/>
  <c r="Q1077" i="1" s="1"/>
  <c r="S1077" i="14" s="1"/>
  <c r="D1078" i="1" a="1"/>
  <c r="D1078" i="1" s="1"/>
  <c r="I1078" i="14" s="1"/>
  <c r="H1078" i="1" a="1"/>
  <c r="H1078" i="1" s="1"/>
  <c r="J1078" i="14" s="1"/>
  <c r="L1078" i="1" a="1"/>
  <c r="L1078" i="1" s="1"/>
  <c r="Q1078" i="1" a="1"/>
  <c r="Q1078" i="1" s="1"/>
  <c r="S1078" i="14" s="1"/>
  <c r="D1079" i="1" a="1"/>
  <c r="D1079" i="1" s="1"/>
  <c r="I1079" i="14" s="1"/>
  <c r="H1079" i="1" a="1"/>
  <c r="H1079" i="1" s="1"/>
  <c r="J1079" i="14" s="1"/>
  <c r="L1079" i="1" a="1"/>
  <c r="L1079" i="1" s="1"/>
  <c r="Q1079" i="1" a="1"/>
  <c r="Q1079" i="1" s="1"/>
  <c r="S1079" i="14" s="1"/>
  <c r="D1080" i="1" a="1"/>
  <c r="D1080" i="1" s="1"/>
  <c r="I1080" i="14" s="1"/>
  <c r="H1080" i="1" a="1"/>
  <c r="H1080" i="1" s="1"/>
  <c r="J1080" i="14" s="1"/>
  <c r="L1080" i="1" a="1"/>
  <c r="L1080" i="1" s="1"/>
  <c r="Q1080" i="1" a="1"/>
  <c r="Q1080" i="1" s="1"/>
  <c r="S1080" i="14" s="1"/>
  <c r="D1081" i="1" a="1"/>
  <c r="D1081" i="1" s="1"/>
  <c r="I1081" i="14" s="1"/>
  <c r="H1081" i="1" a="1"/>
  <c r="H1081" i="1" s="1"/>
  <c r="J1081" i="14" s="1"/>
  <c r="L1081" i="1" a="1"/>
  <c r="L1081" i="1" s="1"/>
  <c r="Q1081" i="1" a="1"/>
  <c r="Q1081" i="1" s="1"/>
  <c r="S1081" i="14" s="1"/>
  <c r="C1082" i="1" a="1"/>
  <c r="C1082" i="1" s="1"/>
  <c r="E1082" i="14" s="1"/>
  <c r="F1082" i="1" a="1"/>
  <c r="F1082" i="1" s="1"/>
  <c r="R1082" i="14" s="1"/>
  <c r="J1082" i="1" a="1"/>
  <c r="J1082" i="1" s="1"/>
  <c r="M1082" i="1" a="1"/>
  <c r="M1082" i="1" s="1"/>
  <c r="M1083" i="1" a="1"/>
  <c r="M1083" i="1" s="1"/>
  <c r="M1084" i="1" a="1"/>
  <c r="M1084" i="1" s="1"/>
  <c r="M1085" i="1" a="1"/>
  <c r="M1085" i="1" s="1"/>
  <c r="M1086" i="1" a="1"/>
  <c r="M1086" i="1" s="1"/>
  <c r="M1087" i="1" a="1"/>
  <c r="M1087" i="1" s="1"/>
  <c r="H1088" i="1" a="1"/>
  <c r="H1088" i="1" s="1"/>
  <c r="J1088" i="14" s="1"/>
  <c r="P1088" i="1" a="1"/>
  <c r="P1088" i="1" s="1"/>
  <c r="C1089" i="1" a="1"/>
  <c r="C1089" i="1" s="1"/>
  <c r="E1089" i="14" s="1"/>
  <c r="G1089" i="1" a="1"/>
  <c r="G1089" i="1" s="1"/>
  <c r="K1089" i="1" a="1"/>
  <c r="K1089" i="1" s="1"/>
  <c r="P1089" i="1" a="1"/>
  <c r="P1089" i="1" s="1"/>
  <c r="C1090" i="1" a="1"/>
  <c r="C1090" i="1" s="1"/>
  <c r="E1090" i="14" s="1"/>
  <c r="G1090" i="1" a="1"/>
  <c r="G1090" i="1" s="1"/>
  <c r="K1090" i="1" a="1"/>
  <c r="K1090" i="1" s="1"/>
  <c r="P1090" i="1" a="1"/>
  <c r="P1090" i="1" s="1"/>
  <c r="C1091" i="1" a="1"/>
  <c r="C1091" i="1" s="1"/>
  <c r="E1091" i="14" s="1"/>
  <c r="J1091" i="1" a="1"/>
  <c r="J1091" i="1" s="1"/>
  <c r="O1091" i="1"/>
  <c r="M1091" i="14" s="1"/>
  <c r="F1092" i="1" a="1"/>
  <c r="F1092" i="1" s="1"/>
  <c r="R1092" i="14" s="1"/>
  <c r="J1092" i="1" a="1"/>
  <c r="J1092" i="1" s="1"/>
  <c r="M1093" i="1" a="1"/>
  <c r="M1093" i="1" s="1"/>
  <c r="Q1094" i="1" a="1"/>
  <c r="Q1094" i="1" s="1"/>
  <c r="S1094" i="14" s="1"/>
  <c r="D1095" i="1" a="1"/>
  <c r="D1095" i="1" s="1"/>
  <c r="I1095" i="14" s="1"/>
  <c r="H1095" i="1" a="1"/>
  <c r="H1095" i="1" s="1"/>
  <c r="J1095" i="14" s="1"/>
  <c r="L1095" i="1" a="1"/>
  <c r="L1095" i="1" s="1"/>
  <c r="Q1095" i="1" a="1"/>
  <c r="Q1095" i="1" s="1"/>
  <c r="S1095" i="14" s="1"/>
  <c r="D1096" i="1" a="1"/>
  <c r="D1096" i="1" s="1"/>
  <c r="I1096" i="14" s="1"/>
  <c r="H1096" i="1" a="1"/>
  <c r="H1096" i="1" s="1"/>
  <c r="J1096" i="14" s="1"/>
  <c r="L1096" i="1" a="1"/>
  <c r="L1096" i="1" s="1"/>
  <c r="Q1096" i="1" a="1"/>
  <c r="Q1096" i="1" s="1"/>
  <c r="S1096" i="14" s="1"/>
  <c r="D1097" i="1" a="1"/>
  <c r="D1097" i="1" s="1"/>
  <c r="I1097" i="14" s="1"/>
  <c r="K1097" i="1" a="1"/>
  <c r="K1097" i="1" s="1"/>
  <c r="L1097" i="14" s="1"/>
  <c r="P1097" i="1" a="1"/>
  <c r="P1097" i="1" s="1"/>
  <c r="C1098" i="1" a="1"/>
  <c r="C1098" i="1" s="1"/>
  <c r="E1098" i="14" s="1"/>
  <c r="G1098" i="1" a="1"/>
  <c r="G1098" i="1" s="1"/>
  <c r="K1098" i="1" a="1"/>
  <c r="K1098" i="1" s="1"/>
  <c r="L1098" i="14" s="1"/>
  <c r="P1098" i="1" a="1"/>
  <c r="P1098" i="1" s="1"/>
  <c r="C1099" i="1" a="1"/>
  <c r="C1099" i="1" s="1"/>
  <c r="E1099" i="14" s="1"/>
  <c r="J1099" i="1" a="1"/>
  <c r="J1099" i="1" s="1"/>
  <c r="O1099" i="1"/>
  <c r="M1099" i="14" s="1"/>
  <c r="F1100" i="1" a="1"/>
  <c r="F1100" i="1" s="1"/>
  <c r="R1100" i="14" s="1"/>
  <c r="J1100" i="1" a="1"/>
  <c r="J1100" i="1" s="1"/>
  <c r="M1101" i="1" a="1"/>
  <c r="M1101" i="1" s="1"/>
  <c r="Q1102" i="1" a="1"/>
  <c r="Q1102" i="1" s="1"/>
  <c r="S1102" i="14" s="1"/>
  <c r="D1103" i="1" a="1"/>
  <c r="D1103" i="1" s="1"/>
  <c r="I1103" i="14" s="1"/>
  <c r="H1103" i="1" a="1"/>
  <c r="H1103" i="1" s="1"/>
  <c r="J1103" i="14" s="1"/>
  <c r="L1103" i="1" a="1"/>
  <c r="L1103" i="1" s="1"/>
  <c r="Q1103" i="1" a="1"/>
  <c r="Q1103" i="1" s="1"/>
  <c r="S1103" i="14" s="1"/>
  <c r="D1104" i="1" a="1"/>
  <c r="D1104" i="1" s="1"/>
  <c r="I1104" i="14" s="1"/>
  <c r="H1104" i="1" a="1"/>
  <c r="H1104" i="1" s="1"/>
  <c r="J1104" i="14" s="1"/>
  <c r="L1104" i="1" a="1"/>
  <c r="L1104" i="1" s="1"/>
  <c r="Q1104" i="1" a="1"/>
  <c r="Q1104" i="1" s="1"/>
  <c r="S1104" i="14" s="1"/>
  <c r="D1105" i="1" a="1"/>
  <c r="D1105" i="1" s="1"/>
  <c r="I1105" i="14" s="1"/>
  <c r="H1105" i="1" a="1"/>
  <c r="H1105" i="1" s="1"/>
  <c r="J1105" i="14" s="1"/>
  <c r="L1105" i="1" a="1"/>
  <c r="L1105" i="1" s="1"/>
  <c r="Q1105" i="1" a="1"/>
  <c r="Q1105" i="1" s="1"/>
  <c r="S1105" i="14" s="1"/>
  <c r="D1106" i="1" a="1"/>
  <c r="D1106" i="1" s="1"/>
  <c r="I1106" i="14" s="1"/>
  <c r="H1106" i="1" a="1"/>
  <c r="H1106" i="1" s="1"/>
  <c r="J1106" i="14" s="1"/>
  <c r="L1106" i="1" a="1"/>
  <c r="L1106" i="1" s="1"/>
  <c r="Q1106" i="1" a="1"/>
  <c r="Q1106" i="1" s="1"/>
  <c r="S1106" i="14" s="1"/>
  <c r="D1107" i="1" a="1"/>
  <c r="D1107" i="1" s="1"/>
  <c r="I1107" i="14" s="1"/>
  <c r="H1107" i="1" a="1"/>
  <c r="H1107" i="1" s="1"/>
  <c r="J1107" i="14" s="1"/>
  <c r="K1107" i="1" a="1"/>
  <c r="K1107" i="1" s="1"/>
  <c r="P1107" i="1" a="1"/>
  <c r="P1107" i="1" s="1"/>
  <c r="C1108" i="1" a="1"/>
  <c r="C1108" i="1" s="1"/>
  <c r="E1108" i="14" s="1"/>
  <c r="G1108" i="1" a="1"/>
  <c r="G1108" i="1" s="1"/>
  <c r="K1108" i="1" a="1"/>
  <c r="K1108" i="1" s="1"/>
  <c r="L1108" i="14" s="1"/>
  <c r="P1108" i="1" a="1"/>
  <c r="P1108" i="1" s="1"/>
  <c r="C1109" i="1" a="1"/>
  <c r="C1109" i="1" s="1"/>
  <c r="E1109" i="14" s="1"/>
  <c r="G1109" i="1" a="1"/>
  <c r="G1109" i="1" s="1"/>
  <c r="J1109" i="1" a="1"/>
  <c r="J1109" i="1" s="1"/>
  <c r="O1109" i="1"/>
  <c r="M1109" i="14" s="1"/>
  <c r="F1110" i="1" a="1"/>
  <c r="F1110" i="1" s="1"/>
  <c r="R1110" i="14" s="1"/>
  <c r="J1110" i="1" a="1"/>
  <c r="J1110" i="1" s="1"/>
  <c r="M1110" i="1" a="1"/>
  <c r="M1110" i="1" s="1"/>
  <c r="M1111" i="1" a="1"/>
  <c r="M1111" i="1" s="1"/>
  <c r="M1112" i="1" a="1"/>
  <c r="M1112" i="1" s="1"/>
  <c r="M1113" i="1" a="1"/>
  <c r="M1113" i="1" s="1"/>
  <c r="M1114" i="1" a="1"/>
  <c r="M1114" i="1" s="1"/>
  <c r="M1115" i="1" a="1"/>
  <c r="M1115" i="1" s="1"/>
  <c r="H1116" i="1" a="1"/>
  <c r="H1116" i="1" s="1"/>
  <c r="J1116" i="14" s="1"/>
  <c r="L1116" i="1" a="1"/>
  <c r="L1116" i="1" s="1"/>
  <c r="P1116" i="1" a="1"/>
  <c r="P1116" i="1" s="1"/>
  <c r="C1117" i="1" a="1"/>
  <c r="C1117" i="1" s="1"/>
  <c r="E1117" i="14" s="1"/>
  <c r="G1117" i="1" a="1"/>
  <c r="G1117" i="1" s="1"/>
  <c r="K1117" i="1" a="1"/>
  <c r="K1117" i="1" s="1"/>
  <c r="L1117" i="14" s="1"/>
  <c r="P1117" i="1" a="1"/>
  <c r="P1117" i="1" s="1"/>
  <c r="C1118" i="1" a="1"/>
  <c r="C1118" i="1" s="1"/>
  <c r="E1118" i="14" s="1"/>
  <c r="G1118" i="1" a="1"/>
  <c r="G1118" i="1" s="1"/>
  <c r="K1118" i="1" a="1"/>
  <c r="K1118" i="1" s="1"/>
  <c r="L1118" i="14" s="1"/>
  <c r="P1118" i="1" a="1"/>
  <c r="P1118" i="1" s="1"/>
  <c r="C1119" i="1" a="1"/>
  <c r="C1119" i="1" s="1"/>
  <c r="E1119" i="14" s="1"/>
  <c r="G1119" i="1" a="1"/>
  <c r="G1119" i="1" s="1"/>
  <c r="K1119" i="1" a="1"/>
  <c r="K1119" i="1" s="1"/>
  <c r="P1119" i="1" a="1"/>
  <c r="P1119" i="1" s="1"/>
  <c r="C1120" i="1" a="1"/>
  <c r="C1120" i="1" s="1"/>
  <c r="E1120" i="14" s="1"/>
  <c r="F1120" i="1" a="1"/>
  <c r="F1120" i="1" s="1"/>
  <c r="R1120" i="14" s="1"/>
  <c r="J1120" i="1" a="1"/>
  <c r="J1120" i="1" s="1"/>
  <c r="M1120" i="1" a="1"/>
  <c r="M1120" i="1" s="1"/>
  <c r="M1121" i="1" a="1"/>
  <c r="M1121" i="1" s="1"/>
  <c r="M1122" i="1" a="1"/>
  <c r="M1122" i="1" s="1"/>
  <c r="L1123" i="1" a="1"/>
  <c r="L1123" i="1" s="1"/>
  <c r="C1124" i="1" a="1"/>
  <c r="C1124" i="1" s="1"/>
  <c r="E1124" i="14" s="1"/>
  <c r="G1124" i="1" a="1"/>
  <c r="G1124" i="1" s="1"/>
  <c r="K1124" i="1" a="1"/>
  <c r="K1124" i="1" s="1"/>
  <c r="P1124" i="1" a="1"/>
  <c r="P1124" i="1" s="1"/>
  <c r="C1125" i="1" a="1"/>
  <c r="C1125" i="1" s="1"/>
  <c r="E1125" i="14" s="1"/>
  <c r="G1125" i="1" a="1"/>
  <c r="G1125" i="1" s="1"/>
  <c r="K1125" i="1" a="1"/>
  <c r="K1125" i="1" s="1"/>
  <c r="P1125" i="1" a="1"/>
  <c r="P1125" i="1" s="1"/>
  <c r="H1126" i="1" a="1"/>
  <c r="H1126" i="1" s="1"/>
  <c r="J1126" i="14" s="1"/>
  <c r="L1126" i="1" a="1"/>
  <c r="L1126" i="1" s="1"/>
  <c r="P1126" i="1" a="1"/>
  <c r="P1126" i="1" s="1"/>
  <c r="F1127" i="1" a="1"/>
  <c r="F1127" i="1" s="1"/>
  <c r="R1127" i="14" s="1"/>
  <c r="M1127" i="1" a="1"/>
  <c r="M1127" i="1" s="1"/>
  <c r="M1128" i="1" a="1"/>
  <c r="M1128" i="1" s="1"/>
  <c r="Q1128" i="1" a="1"/>
  <c r="Q1128" i="1" s="1"/>
  <c r="S1128" i="14" s="1"/>
  <c r="C1129" i="1" a="1"/>
  <c r="C1129" i="1" s="1"/>
  <c r="E1129" i="14" s="1"/>
  <c r="F1129" i="1" a="1"/>
  <c r="F1129" i="1" s="1"/>
  <c r="R1129" i="14" s="1"/>
  <c r="J1129" i="1" a="1"/>
  <c r="J1129" i="1" s="1"/>
  <c r="M1129" i="1" a="1"/>
  <c r="M1129" i="1" s="1"/>
  <c r="L1130" i="1" a="1"/>
  <c r="L1130" i="1" s="1"/>
  <c r="Q1130" i="1" a="1"/>
  <c r="Q1130" i="1" s="1"/>
  <c r="S1130" i="14" s="1"/>
  <c r="D1131" i="1" a="1"/>
  <c r="D1131" i="1" s="1"/>
  <c r="I1131" i="14" s="1"/>
  <c r="H1131" i="1" a="1"/>
  <c r="H1131" i="1" s="1"/>
  <c r="J1131" i="14" s="1"/>
  <c r="L1131" i="1" a="1"/>
  <c r="L1131" i="1" s="1"/>
  <c r="Q1131" i="1" a="1"/>
  <c r="Q1131" i="1" s="1"/>
  <c r="S1131" i="14" s="1"/>
  <c r="D1132" i="1" a="1"/>
  <c r="D1132" i="1" s="1"/>
  <c r="I1132" i="14" s="1"/>
  <c r="H1132" i="1" a="1"/>
  <c r="H1132" i="1" s="1"/>
  <c r="J1132" i="14" s="1"/>
  <c r="L1132" i="1" a="1"/>
  <c r="L1132" i="1" s="1"/>
  <c r="Q1132" i="1" a="1"/>
  <c r="Q1132" i="1" s="1"/>
  <c r="S1132" i="14" s="1"/>
  <c r="D1133" i="1" a="1"/>
  <c r="D1133" i="1" s="1"/>
  <c r="I1133" i="14" s="1"/>
  <c r="O1133" i="1"/>
  <c r="M1133" i="14" s="1"/>
  <c r="F1134" i="1" a="1"/>
  <c r="F1134" i="1" s="1"/>
  <c r="R1134" i="14" s="1"/>
  <c r="J1134" i="1" a="1"/>
  <c r="J1134" i="1" s="1"/>
  <c r="M1134" i="1" a="1"/>
  <c r="M1134" i="1" s="1"/>
  <c r="P1135" i="1" a="1"/>
  <c r="P1135" i="1" s="1"/>
  <c r="C1136" i="1" a="1"/>
  <c r="C1136" i="1" s="1"/>
  <c r="E1136" i="14" s="1"/>
  <c r="G1136" i="1" a="1"/>
  <c r="G1136" i="1" s="1"/>
  <c r="K1136" i="1" a="1"/>
  <c r="K1136" i="1" s="1"/>
  <c r="L1136" i="14" s="1"/>
  <c r="P1136" i="1" a="1"/>
  <c r="P1136" i="1" s="1"/>
  <c r="C1137" i="1" a="1"/>
  <c r="C1137" i="1" s="1"/>
  <c r="E1137" i="14" s="1"/>
  <c r="G1137" i="1" a="1"/>
  <c r="G1137" i="1" s="1"/>
  <c r="J1137" i="1" a="1"/>
  <c r="J1137" i="1" s="1"/>
  <c r="M1137" i="1" a="1"/>
  <c r="M1137" i="1" s="1"/>
  <c r="Q1138" i="1" a="1"/>
  <c r="Q1138" i="1" s="1"/>
  <c r="S1138" i="14" s="1"/>
  <c r="D1139" i="1" a="1"/>
  <c r="D1139" i="1" s="1"/>
  <c r="I1139" i="14" s="1"/>
  <c r="H1139" i="1" a="1"/>
  <c r="H1139" i="1" s="1"/>
  <c r="J1139" i="14" s="1"/>
  <c r="L1139" i="1" a="1"/>
  <c r="L1139" i="1" s="1"/>
  <c r="Q1139" i="1" a="1"/>
  <c r="Q1139" i="1" s="1"/>
  <c r="S1139" i="14" s="1"/>
  <c r="D1140" i="1" a="1"/>
  <c r="D1140" i="1" s="1"/>
  <c r="I1140" i="14" s="1"/>
  <c r="H1140" i="1" a="1"/>
  <c r="H1140" i="1" s="1"/>
  <c r="J1140" i="14" s="1"/>
  <c r="L1140" i="1" a="1"/>
  <c r="L1140" i="1" s="1"/>
  <c r="Q1140" i="1" a="1"/>
  <c r="Q1140" i="1" s="1"/>
  <c r="S1140" i="14" s="1"/>
  <c r="D1141" i="1" a="1"/>
  <c r="D1141" i="1" s="1"/>
  <c r="I1141" i="14" s="1"/>
  <c r="O1141" i="1"/>
  <c r="M1141" i="14" s="1"/>
  <c r="F1142" i="1" a="1"/>
  <c r="F1142" i="1" s="1"/>
  <c r="R1142" i="14" s="1"/>
  <c r="J1142" i="1" a="1"/>
  <c r="J1142" i="1" s="1"/>
  <c r="M1142" i="1" a="1"/>
  <c r="M1142" i="1" s="1"/>
  <c r="P1143" i="1" a="1"/>
  <c r="P1143" i="1" s="1"/>
  <c r="C1144" i="1" a="1"/>
  <c r="C1144" i="1" s="1"/>
  <c r="E1144" i="14" s="1"/>
  <c r="F1144" i="1" a="1"/>
  <c r="F1144" i="1" s="1"/>
  <c r="R1144" i="14" s="1"/>
  <c r="J1144" i="1" a="1"/>
  <c r="J1144" i="1" s="1"/>
  <c r="M1144" i="1" a="1"/>
  <c r="M1144" i="1" s="1"/>
  <c r="M1145" i="1" a="1"/>
  <c r="M1145" i="1" s="1"/>
  <c r="J1146" i="1" a="1"/>
  <c r="J1146" i="1" s="1"/>
  <c r="O1146" i="1"/>
  <c r="M1146" i="14" s="1"/>
  <c r="F1147" i="1" a="1"/>
  <c r="F1147" i="1" s="1"/>
  <c r="R1147" i="14" s="1"/>
  <c r="J1147" i="1" a="1"/>
  <c r="J1147" i="1" s="1"/>
  <c r="M1148" i="1" a="1"/>
  <c r="M1148" i="1" s="1"/>
  <c r="M1149" i="1" a="1"/>
  <c r="M1149" i="1" s="1"/>
  <c r="Q1150" i="1" a="1"/>
  <c r="Q1150" i="1" s="1"/>
  <c r="S1150" i="14" s="1"/>
  <c r="D1151" i="1" a="1"/>
  <c r="D1151" i="1" s="1"/>
  <c r="I1151" i="14" s="1"/>
  <c r="H1151" i="1" a="1"/>
  <c r="H1151" i="1" s="1"/>
  <c r="J1151" i="14" s="1"/>
  <c r="K1151" i="1" a="1"/>
  <c r="K1151" i="1" s="1"/>
  <c r="P1151" i="1" a="1"/>
  <c r="P1151" i="1" s="1"/>
  <c r="C1152" i="1" a="1"/>
  <c r="C1152" i="1" s="1"/>
  <c r="E1152" i="14" s="1"/>
  <c r="G1152" i="1" a="1"/>
  <c r="G1152" i="1" s="1"/>
  <c r="K1152" i="1" a="1"/>
  <c r="K1152" i="1" s="1"/>
  <c r="L1152" i="14" s="1"/>
  <c r="O1152" i="1"/>
  <c r="M1152" i="14" s="1"/>
  <c r="F1153" i="1" a="1"/>
  <c r="F1153" i="1" s="1"/>
  <c r="R1153" i="14" s="1"/>
  <c r="J1153" i="1" a="1"/>
  <c r="J1153" i="1" s="1"/>
  <c r="O1153" i="1"/>
  <c r="M1153" i="14" s="1"/>
  <c r="D1154" i="1" a="1"/>
  <c r="D1154" i="1" s="1"/>
  <c r="I1154" i="14" s="1"/>
  <c r="G1154" i="1" a="1"/>
  <c r="G1154" i="1" s="1"/>
  <c r="K1154" i="1" a="1"/>
  <c r="K1154" i="1" s="1"/>
  <c r="P1154" i="1" a="1"/>
  <c r="P1154" i="1" s="1"/>
  <c r="C1155" i="1" a="1"/>
  <c r="C1155" i="1" s="1"/>
  <c r="E1155" i="14" s="1"/>
  <c r="G1155" i="1" a="1"/>
  <c r="G1155" i="1" s="1"/>
  <c r="K1155" i="1" a="1"/>
  <c r="K1155" i="1" s="1"/>
  <c r="L1155" i="14" s="1"/>
  <c r="O1155" i="1"/>
  <c r="M1155" i="14" s="1"/>
  <c r="M1156" i="1" a="1"/>
  <c r="M1156" i="1" s="1"/>
  <c r="M1157" i="1" a="1"/>
  <c r="M1157" i="1" s="1"/>
  <c r="Q1158" i="1" a="1"/>
  <c r="Q1158" i="1" s="1"/>
  <c r="S1158" i="14" s="1"/>
  <c r="D1159" i="1" a="1"/>
  <c r="D1159" i="1" s="1"/>
  <c r="I1159" i="14" s="1"/>
  <c r="H1159" i="1" a="1"/>
  <c r="H1159" i="1" s="1"/>
  <c r="J1159" i="14" s="1"/>
  <c r="L1159" i="1" a="1"/>
  <c r="L1159" i="1" s="1"/>
  <c r="Q1159" i="1" a="1"/>
  <c r="Q1159" i="1" s="1"/>
  <c r="S1159" i="14" s="1"/>
  <c r="D1160" i="1" a="1"/>
  <c r="D1160" i="1" s="1"/>
  <c r="I1160" i="14" s="1"/>
  <c r="H1160" i="1" a="1"/>
  <c r="H1160" i="1" s="1"/>
  <c r="J1160" i="14" s="1"/>
  <c r="L1160" i="1" a="1"/>
  <c r="L1160" i="1" s="1"/>
  <c r="Q1160" i="1" a="1"/>
  <c r="Q1160" i="1" s="1"/>
  <c r="S1160" i="14" s="1"/>
  <c r="D1161" i="1" a="1"/>
  <c r="D1161" i="1" s="1"/>
  <c r="I1161" i="14" s="1"/>
  <c r="O1161" i="1"/>
  <c r="M1161" i="14" s="1"/>
  <c r="F1162" i="1" a="1"/>
  <c r="F1162" i="1" s="1"/>
  <c r="R1162" i="14" s="1"/>
  <c r="J1162" i="1" a="1"/>
  <c r="J1162" i="1" s="1"/>
  <c r="M1162" i="1" a="1"/>
  <c r="M1162" i="1" s="1"/>
  <c r="Q1162" i="1" a="1"/>
  <c r="Q1162" i="1" s="1"/>
  <c r="S1162" i="14" s="1"/>
  <c r="D1163" i="1" a="1"/>
  <c r="D1163" i="1" s="1"/>
  <c r="I1163" i="14" s="1"/>
  <c r="H1163" i="1" a="1"/>
  <c r="H1163" i="1" s="1"/>
  <c r="J1163" i="14" s="1"/>
  <c r="K1163" i="1" a="1"/>
  <c r="K1163" i="1" s="1"/>
  <c r="O1163" i="1"/>
  <c r="M1163" i="14" s="1"/>
  <c r="F1164" i="1" a="1"/>
  <c r="F1164" i="1" s="1"/>
  <c r="R1164" i="14" s="1"/>
  <c r="J1164" i="1" a="1"/>
  <c r="J1164" i="1" s="1"/>
  <c r="O1164" i="1"/>
  <c r="M1164" i="14" s="1"/>
  <c r="F1165" i="1" a="1"/>
  <c r="F1165" i="1" s="1"/>
  <c r="R1165" i="14" s="1"/>
  <c r="M1165" i="1" a="1"/>
  <c r="M1165" i="1" s="1"/>
  <c r="L1166" i="1" a="1"/>
  <c r="L1166" i="1" s="1"/>
  <c r="Q1166" i="1" a="1"/>
  <c r="Q1166" i="1" s="1"/>
  <c r="S1166" i="14" s="1"/>
  <c r="D1167" i="1" a="1"/>
  <c r="D1167" i="1" s="1"/>
  <c r="I1167" i="14" s="1"/>
  <c r="G1167" i="1" a="1"/>
  <c r="G1167" i="1" s="1"/>
  <c r="K1167" i="1" a="1"/>
  <c r="K1167" i="1" s="1"/>
  <c r="L1167" i="14" s="1"/>
  <c r="P1167" i="1" a="1"/>
  <c r="P1167" i="1" s="1"/>
  <c r="C1168" i="1" a="1"/>
  <c r="C1168" i="1" s="1"/>
  <c r="G1168" i="1" a="1"/>
  <c r="G1168" i="1" s="1"/>
  <c r="K1168" i="1" a="1"/>
  <c r="K1168" i="1" s="1"/>
  <c r="O1168" i="1"/>
  <c r="M1168" i="14" s="1"/>
  <c r="F1169" i="1" a="1"/>
  <c r="F1169" i="1" s="1"/>
  <c r="R1169" i="14" s="1"/>
  <c r="J1169" i="1" a="1"/>
  <c r="J1169" i="1" s="1"/>
  <c r="O1169" i="1"/>
  <c r="M1169" i="14" s="1"/>
  <c r="D1170" i="1" a="1"/>
  <c r="D1170" i="1" s="1"/>
  <c r="I1170" i="14" s="1"/>
  <c r="G1170" i="1" a="1"/>
  <c r="G1170" i="1" s="1"/>
  <c r="K1170" i="1" a="1"/>
  <c r="K1170" i="1" s="1"/>
  <c r="P1170" i="1" a="1"/>
  <c r="P1170" i="1" s="1"/>
  <c r="C1171" i="1" a="1"/>
  <c r="C1171" i="1" s="1"/>
  <c r="G1171" i="1" a="1"/>
  <c r="G1171" i="1" s="1"/>
  <c r="K1171" i="1" a="1"/>
  <c r="K1171" i="1" s="1"/>
  <c r="L1171" i="14" s="1"/>
  <c r="O1171" i="1"/>
  <c r="M1171" i="14" s="1"/>
  <c r="M1172" i="1" a="1"/>
  <c r="M1172" i="1" s="1"/>
  <c r="H1173" i="1" a="1"/>
  <c r="H1173" i="1" s="1"/>
  <c r="J1173" i="14" s="1"/>
  <c r="L1173" i="1" a="1"/>
  <c r="L1173" i="1" s="1"/>
  <c r="Q1173" i="1" a="1"/>
  <c r="Q1173" i="1" s="1"/>
  <c r="S1173" i="14" s="1"/>
  <c r="D1174" i="1" a="1"/>
  <c r="D1174" i="1" s="1"/>
  <c r="I1174" i="14" s="1"/>
  <c r="H1174" i="1" a="1"/>
  <c r="H1174" i="1" s="1"/>
  <c r="J1174" i="14" s="1"/>
  <c r="K1174" i="1" a="1"/>
  <c r="K1174" i="1" s="1"/>
  <c r="L1174" i="14" s="1"/>
  <c r="P1174" i="1" a="1"/>
  <c r="P1174" i="1" s="1"/>
  <c r="C1175" i="1" a="1"/>
  <c r="C1175" i="1" s="1"/>
  <c r="G1175" i="1" a="1"/>
  <c r="G1175" i="1" s="1"/>
  <c r="K1175" i="1" a="1"/>
  <c r="K1175" i="1" s="1"/>
  <c r="P1175" i="1" a="1"/>
  <c r="P1175" i="1" s="1"/>
  <c r="C1176" i="1" a="1"/>
  <c r="C1176" i="1" s="1"/>
  <c r="G1176" i="1" a="1"/>
  <c r="G1176" i="1" s="1"/>
  <c r="K1176" i="1" a="1"/>
  <c r="K1176" i="1" s="1"/>
  <c r="L1176" i="14" s="1"/>
  <c r="P1176" i="1" a="1"/>
  <c r="P1176" i="1" s="1"/>
  <c r="C1177" i="1" a="1"/>
  <c r="C1177" i="1" s="1"/>
  <c r="G1177" i="1" a="1"/>
  <c r="G1177" i="1" s="1"/>
  <c r="J1177" i="1" a="1"/>
  <c r="J1177" i="1" s="1"/>
  <c r="M1177" i="1" a="1"/>
  <c r="M1177" i="1" s="1"/>
  <c r="C1179" i="1" a="1"/>
  <c r="C1179" i="1" s="1"/>
  <c r="G1179" i="1" a="1"/>
  <c r="G1179" i="1" s="1"/>
  <c r="J1179" i="1" a="1"/>
  <c r="J1179" i="1" s="1"/>
  <c r="M1179" i="1" a="1"/>
  <c r="M1179" i="1" s="1"/>
  <c r="M1180" i="1" a="1"/>
  <c r="M1180" i="1" s="1"/>
  <c r="M1181" i="1" a="1"/>
  <c r="M1181" i="1" s="1"/>
  <c r="M1182" i="1" a="1"/>
  <c r="M1182" i="1" s="1"/>
  <c r="H1183" i="1" a="1"/>
  <c r="H1183" i="1" s="1"/>
  <c r="J1183" i="14" s="1"/>
  <c r="L1183" i="1" a="1"/>
  <c r="L1183" i="1" s="1"/>
  <c r="Q1183" i="1" a="1"/>
  <c r="Q1183" i="1" s="1"/>
  <c r="S1183" i="14" s="1"/>
  <c r="D1184" i="1" a="1"/>
  <c r="D1184" i="1" s="1"/>
  <c r="I1184" i="14" s="1"/>
  <c r="H1184" i="1" a="1"/>
  <c r="H1184" i="1" s="1"/>
  <c r="J1184" i="14" s="1"/>
  <c r="P1184" i="1" a="1"/>
  <c r="P1184" i="1" s="1"/>
  <c r="C1185" i="1" a="1"/>
  <c r="C1185" i="1" s="1"/>
  <c r="G1185" i="1" a="1"/>
  <c r="G1185" i="1" s="1"/>
  <c r="K1185" i="1" a="1"/>
  <c r="K1185" i="1" s="1"/>
  <c r="L1185" i="14" s="1"/>
  <c r="P1185" i="1" a="1"/>
  <c r="P1185" i="1" s="1"/>
  <c r="H1186" i="1" a="1"/>
  <c r="H1186" i="1" s="1"/>
  <c r="J1186" i="14" s="1"/>
  <c r="L1186" i="1" a="1"/>
  <c r="L1186" i="1" s="1"/>
  <c r="Q1186" i="1" a="1"/>
  <c r="Q1186" i="1" s="1"/>
  <c r="S1186" i="14" s="1"/>
  <c r="D1187" i="1" a="1"/>
  <c r="D1187" i="1" s="1"/>
  <c r="I1187" i="14" s="1"/>
  <c r="H1187" i="1" a="1"/>
  <c r="H1187" i="1" s="1"/>
  <c r="J1187" i="14" s="1"/>
  <c r="L1187" i="1" a="1"/>
  <c r="L1187" i="1" s="1"/>
  <c r="P1187" i="1" a="1"/>
  <c r="P1187" i="1" s="1"/>
  <c r="C1188" i="1" a="1"/>
  <c r="C1188" i="1" s="1"/>
  <c r="F1188" i="1" a="1"/>
  <c r="F1188" i="1" s="1"/>
  <c r="R1188" i="14" s="1"/>
  <c r="M1188" i="1" a="1"/>
  <c r="M1188" i="1" s="1"/>
  <c r="M1189" i="1" a="1"/>
  <c r="M1189" i="1" s="1"/>
  <c r="L1190" i="1" a="1"/>
  <c r="L1190" i="1" s="1"/>
  <c r="Q1190" i="1" a="1"/>
  <c r="Q1190" i="1" s="1"/>
  <c r="S1190" i="14" s="1"/>
  <c r="D1191" i="1" a="1"/>
  <c r="D1191" i="1" s="1"/>
  <c r="I1191" i="14" s="1"/>
  <c r="H1191" i="1" a="1"/>
  <c r="H1191" i="1" s="1"/>
  <c r="J1191" i="14" s="1"/>
  <c r="L1191" i="1" a="1"/>
  <c r="L1191" i="1" s="1"/>
  <c r="Q1191" i="1" a="1"/>
  <c r="Q1191" i="1" s="1"/>
  <c r="S1191" i="14" s="1"/>
  <c r="D1192" i="1" a="1"/>
  <c r="D1192" i="1" s="1"/>
  <c r="I1192" i="14" s="1"/>
  <c r="H1192" i="1" a="1"/>
  <c r="H1192" i="1" s="1"/>
  <c r="J1192" i="14" s="1"/>
  <c r="L1192" i="1" a="1"/>
  <c r="L1192" i="1" s="1"/>
  <c r="Q1192" i="1" a="1"/>
  <c r="Q1192" i="1" s="1"/>
  <c r="S1192" i="14" s="1"/>
  <c r="D1193" i="1" a="1"/>
  <c r="D1193" i="1" s="1"/>
  <c r="I1193" i="14" s="1"/>
  <c r="O1193" i="1"/>
  <c r="M1193" i="14" s="1"/>
  <c r="F1194" i="1" a="1"/>
  <c r="F1194" i="1" s="1"/>
  <c r="R1194" i="14" s="1"/>
  <c r="J1194" i="1" a="1"/>
  <c r="J1194" i="1" s="1"/>
  <c r="M1194" i="1" a="1"/>
  <c r="M1194" i="1" s="1"/>
  <c r="Q1194" i="1" a="1"/>
  <c r="Q1194" i="1" s="1"/>
  <c r="S1194" i="14" s="1"/>
  <c r="D1195" i="1" a="1"/>
  <c r="D1195" i="1" s="1"/>
  <c r="I1195" i="14" s="1"/>
  <c r="H1195" i="1" a="1"/>
  <c r="H1195" i="1" s="1"/>
  <c r="J1195" i="14" s="1"/>
  <c r="K1195" i="1" a="1"/>
  <c r="K1195" i="1" s="1"/>
  <c r="O1195" i="1"/>
  <c r="M1195" i="14" s="1"/>
  <c r="F1196" i="1" a="1"/>
  <c r="F1196" i="1" s="1"/>
  <c r="R1196" i="14" s="1"/>
  <c r="J1196" i="1" a="1"/>
  <c r="J1196" i="1" s="1"/>
  <c r="O1196" i="1"/>
  <c r="M1196" i="14" s="1"/>
  <c r="F1197" i="1" a="1"/>
  <c r="F1197" i="1" s="1"/>
  <c r="R1197" i="14" s="1"/>
  <c r="J1197" i="1" a="1"/>
  <c r="J1197" i="1" s="1"/>
  <c r="O1197" i="1"/>
  <c r="M1197" i="14" s="1"/>
  <c r="F1198" i="1" a="1"/>
  <c r="F1198" i="1" s="1"/>
  <c r="R1198" i="14" s="1"/>
  <c r="J1198" i="1" a="1"/>
  <c r="J1198" i="1" s="1"/>
  <c r="O1198" i="1"/>
  <c r="M1198" i="14" s="1"/>
  <c r="F1199" i="1" a="1"/>
  <c r="F1199" i="1" s="1"/>
  <c r="R1199" i="14" s="1"/>
  <c r="M1199" i="1" a="1"/>
  <c r="M1199" i="1" s="1"/>
  <c r="L1200" i="1" a="1"/>
  <c r="L1200" i="1" s="1"/>
  <c r="Q1200" i="1" a="1"/>
  <c r="Q1200" i="1" s="1"/>
  <c r="S1200" i="14" s="1"/>
  <c r="D1201" i="1" a="1"/>
  <c r="D1201" i="1" s="1"/>
  <c r="I1201" i="14" s="1"/>
  <c r="H1201" i="1" a="1"/>
  <c r="H1201" i="1" s="1"/>
  <c r="J1201" i="14" s="1"/>
  <c r="L1201" i="1" a="1"/>
  <c r="L1201" i="1" s="1"/>
  <c r="Q1201" i="1" a="1"/>
  <c r="Q1201" i="1" s="1"/>
  <c r="S1201" i="14" s="1"/>
  <c r="C1202" i="1" a="1"/>
  <c r="C1202" i="1" s="1"/>
  <c r="F1202" i="1" a="1"/>
  <c r="F1202" i="1" s="1"/>
  <c r="R1202" i="14" s="1"/>
  <c r="M1202" i="1" a="1"/>
  <c r="M1202" i="1" s="1"/>
  <c r="M1203" i="1" a="1"/>
  <c r="M1203" i="1" s="1"/>
  <c r="Q1203" i="1" a="1"/>
  <c r="Q1203" i="1" s="1"/>
  <c r="S1203" i="14" s="1"/>
  <c r="D1204" i="1" a="1"/>
  <c r="D1204" i="1" s="1"/>
  <c r="I1204" i="14" s="1"/>
  <c r="H1204" i="1" a="1"/>
  <c r="H1204" i="1" s="1"/>
  <c r="J1204" i="14" s="1"/>
  <c r="L1204" i="1" a="1"/>
  <c r="L1204" i="1" s="1"/>
  <c r="Q1204" i="1" a="1"/>
  <c r="Q1204" i="1" s="1"/>
  <c r="S1204" i="14" s="1"/>
  <c r="D1205" i="1" a="1"/>
  <c r="D1205" i="1" s="1"/>
  <c r="I1205" i="14" s="1"/>
  <c r="H1205" i="1" a="1"/>
  <c r="H1205" i="1" s="1"/>
  <c r="J1205" i="14" s="1"/>
  <c r="L1205" i="1" a="1"/>
  <c r="L1205" i="1" s="1"/>
  <c r="Q1205" i="1" a="1"/>
  <c r="Q1205" i="1" s="1"/>
  <c r="S1205" i="14" s="1"/>
  <c r="C1206" i="1" a="1"/>
  <c r="C1206" i="1" s="1"/>
  <c r="G1206" i="1" a="1"/>
  <c r="G1206" i="1" s="1"/>
  <c r="K1206" i="1" a="1"/>
  <c r="K1206" i="1" s="1"/>
  <c r="P1206" i="1" a="1"/>
  <c r="P1206" i="1" s="1"/>
  <c r="C1207" i="1" a="1"/>
  <c r="C1207" i="1" s="1"/>
  <c r="J1207" i="1" a="1"/>
  <c r="J1207" i="1" s="1"/>
  <c r="O1207" i="1"/>
  <c r="M1207" i="14" s="1"/>
  <c r="F1208" i="1" a="1"/>
  <c r="F1208" i="1" s="1"/>
  <c r="R1208" i="14" s="1"/>
  <c r="J1208" i="1" a="1"/>
  <c r="J1208" i="1" s="1"/>
  <c r="M1208" i="1" a="1"/>
  <c r="M1208" i="1" s="1"/>
  <c r="M1209" i="1" a="1"/>
  <c r="M1209" i="1" s="1"/>
  <c r="J1210" i="1" a="1"/>
  <c r="J1210" i="1" s="1"/>
  <c r="O1210" i="1"/>
  <c r="M1210" i="14" s="1"/>
  <c r="F1211" i="1" a="1"/>
  <c r="F1211" i="1" s="1"/>
  <c r="R1211" i="14" s="1"/>
  <c r="J1211" i="1" a="1"/>
  <c r="J1211" i="1" s="1"/>
  <c r="O1211" i="1"/>
  <c r="M1211" i="14" s="1"/>
  <c r="F1212" i="1" a="1"/>
  <c r="F1212" i="1" s="1"/>
  <c r="R1212" i="14" s="1"/>
  <c r="J1212" i="1" a="1"/>
  <c r="J1212" i="1" s="1"/>
  <c r="M1212" i="1" a="1"/>
  <c r="M1212" i="1" s="1"/>
  <c r="M1213" i="1" a="1"/>
  <c r="M1213" i="1" s="1"/>
  <c r="J1214" i="1" a="1"/>
  <c r="J1214" i="1" s="1"/>
  <c r="O1214" i="1"/>
  <c r="M1214" i="14" s="1"/>
  <c r="F1215" i="1" a="1"/>
  <c r="F1215" i="1" s="1"/>
  <c r="R1215" i="14" s="1"/>
  <c r="M1215" i="1" a="1"/>
  <c r="M1215" i="1" s="1"/>
  <c r="L1216" i="1" a="1"/>
  <c r="L1216" i="1" s="1"/>
  <c r="Q1216" i="1" a="1"/>
  <c r="Q1216" i="1" s="1"/>
  <c r="S1216" i="14" s="1"/>
  <c r="D1217" i="1" a="1"/>
  <c r="D1217" i="1" s="1"/>
  <c r="I1217" i="14" s="1"/>
  <c r="H1217" i="1" a="1"/>
  <c r="H1217" i="1" s="1"/>
  <c r="J1217" i="14" s="1"/>
  <c r="L1217" i="1" a="1"/>
  <c r="L1217" i="1" s="1"/>
  <c r="Q1217" i="1" a="1"/>
  <c r="Q1217" i="1" s="1"/>
  <c r="S1217" i="14" s="1"/>
  <c r="C1218" i="1" a="1"/>
  <c r="C1218" i="1" s="1"/>
  <c r="F1218" i="1" a="1"/>
  <c r="F1218" i="1" s="1"/>
  <c r="R1218" i="14" s="1"/>
  <c r="M1218" i="1" a="1"/>
  <c r="M1218" i="1" s="1"/>
  <c r="H1219" i="1" a="1"/>
  <c r="H1219" i="1" s="1"/>
  <c r="J1219" i="14" s="1"/>
  <c r="L1219" i="1" a="1"/>
  <c r="L1219" i="1" s="1"/>
  <c r="P1219" i="1" a="1"/>
  <c r="P1219" i="1" s="1"/>
  <c r="C1220" i="1" a="1"/>
  <c r="C1220" i="1" s="1"/>
  <c r="G1220" i="1" a="1"/>
  <c r="G1220" i="1" s="1"/>
  <c r="K1220" i="1" a="1"/>
  <c r="K1220" i="1" s="1"/>
  <c r="P1220" i="1" a="1"/>
  <c r="P1220" i="1" s="1"/>
  <c r="C1221" i="1" a="1"/>
  <c r="C1221" i="1" s="1"/>
  <c r="G1221" i="1" a="1"/>
  <c r="G1221" i="1" s="1"/>
  <c r="J1221" i="1" a="1"/>
  <c r="J1221" i="1" s="1"/>
  <c r="M1221" i="1" a="1"/>
  <c r="M1221" i="1" s="1"/>
  <c r="L1222" i="1" a="1"/>
  <c r="L1222" i="1" s="1"/>
  <c r="Q1222" i="1" a="1"/>
  <c r="Q1222" i="1" s="1"/>
  <c r="S1222" i="14" s="1"/>
  <c r="D1223" i="1" a="1"/>
  <c r="D1223" i="1" s="1"/>
  <c r="I1223" i="14" s="1"/>
  <c r="H1223" i="1" a="1"/>
  <c r="H1223" i="1" s="1"/>
  <c r="J1223" i="14" s="1"/>
  <c r="L1223" i="1" a="1"/>
  <c r="L1223" i="1" s="1"/>
  <c r="Q1223" i="1" a="1"/>
  <c r="Q1223" i="1" s="1"/>
  <c r="S1223" i="14" s="1"/>
  <c r="D1224" i="1" a="1"/>
  <c r="D1224" i="1" s="1"/>
  <c r="I1224" i="14" s="1"/>
  <c r="H1224" i="1" a="1"/>
  <c r="H1224" i="1" s="1"/>
  <c r="J1224" i="14" s="1"/>
  <c r="L1224" i="1" a="1"/>
  <c r="L1224" i="1" s="1"/>
  <c r="Q1224" i="1" a="1"/>
  <c r="Q1224" i="1" s="1"/>
  <c r="S1224" i="14" s="1"/>
  <c r="D1225" i="1" a="1"/>
  <c r="D1225" i="1" s="1"/>
  <c r="I1225" i="14" s="1"/>
  <c r="O1225" i="1"/>
  <c r="M1225" i="14" s="1"/>
  <c r="F1226" i="1" a="1"/>
  <c r="F1226" i="1" s="1"/>
  <c r="R1226" i="14" s="1"/>
  <c r="J1226" i="1" a="1"/>
  <c r="J1226" i="1" s="1"/>
  <c r="M1226" i="1" a="1"/>
  <c r="M1226" i="1" s="1"/>
  <c r="M1227" i="1" a="1"/>
  <c r="M1227" i="1" s="1"/>
  <c r="L1228" i="1" a="1"/>
  <c r="L1228" i="1" s="1"/>
  <c r="Q1228" i="1" a="1"/>
  <c r="Q1228" i="1" s="1"/>
  <c r="S1228" i="14" s="1"/>
  <c r="D1229" i="1" a="1"/>
  <c r="D1229" i="1" s="1"/>
  <c r="I1229" i="14" s="1"/>
  <c r="H1229" i="1" a="1"/>
  <c r="H1229" i="1" s="1"/>
  <c r="J1229" i="14" s="1"/>
  <c r="L1229" i="1" a="1"/>
  <c r="L1229" i="1" s="1"/>
  <c r="Q1229" i="1" a="1"/>
  <c r="Q1229" i="1" s="1"/>
  <c r="S1229" i="14" s="1"/>
  <c r="C1230" i="1" a="1"/>
  <c r="C1230" i="1" s="1"/>
  <c r="F1230" i="1" a="1"/>
  <c r="F1230" i="1" s="1"/>
  <c r="R1230" i="14" s="1"/>
  <c r="M1230" i="1" a="1"/>
  <c r="M1230" i="1" s="1"/>
  <c r="H1231" i="1" a="1"/>
  <c r="H1231" i="1" s="1"/>
  <c r="J1231" i="14" s="1"/>
  <c r="L1231" i="1" a="1"/>
  <c r="L1231" i="1" s="1"/>
  <c r="Q1231" i="1" a="1"/>
  <c r="Q1231" i="1" s="1"/>
  <c r="S1231" i="14" s="1"/>
  <c r="D1232" i="1" a="1"/>
  <c r="D1232" i="1" s="1"/>
  <c r="I1232" i="14" s="1"/>
  <c r="H1232" i="1" a="1"/>
  <c r="H1232" i="1" s="1"/>
  <c r="J1232" i="14" s="1"/>
  <c r="P1232" i="1" a="1"/>
  <c r="P1232" i="1" s="1"/>
  <c r="C1233" i="1" a="1"/>
  <c r="C1233" i="1" s="1"/>
  <c r="G1233" i="1" a="1"/>
  <c r="G1233" i="1" s="1"/>
  <c r="J1233" i="1" a="1"/>
  <c r="J1233" i="1" s="1"/>
  <c r="M1233" i="1" a="1"/>
  <c r="M1233" i="1" s="1"/>
  <c r="D1234" i="1" a="1"/>
  <c r="D1234" i="1" s="1"/>
  <c r="I1234" i="14" s="1"/>
  <c r="H1234" i="1" a="1"/>
  <c r="H1234" i="1" s="1"/>
  <c r="J1234" i="14" s="1"/>
  <c r="L1234" i="1" a="1"/>
  <c r="L1234" i="1" s="1"/>
  <c r="P1234" i="1" a="1"/>
  <c r="P1234" i="1" s="1"/>
  <c r="C1235" i="1" a="1"/>
  <c r="C1235" i="1" s="1"/>
  <c r="G1235" i="1" a="1"/>
  <c r="G1235" i="1" s="1"/>
  <c r="K1235" i="1" a="1"/>
  <c r="K1235" i="1" s="1"/>
  <c r="P1235" i="1" a="1"/>
  <c r="P1235" i="1" s="1"/>
  <c r="C1236" i="1" a="1"/>
  <c r="C1236" i="1" s="1"/>
  <c r="G1236" i="1" a="1"/>
  <c r="G1236" i="1" s="1"/>
  <c r="K1236" i="1" a="1"/>
  <c r="K1236" i="1" s="1"/>
  <c r="O1236" i="1"/>
  <c r="M1236" i="14" s="1"/>
  <c r="F1237" i="1" a="1"/>
  <c r="F1237" i="1" s="1"/>
  <c r="R1237" i="14" s="1"/>
  <c r="J1237" i="1" a="1"/>
  <c r="J1237" i="1" s="1"/>
  <c r="O1237" i="1"/>
  <c r="M1237" i="14" s="1"/>
  <c r="D1238" i="1" a="1"/>
  <c r="D1238" i="1" s="1"/>
  <c r="I1238" i="14" s="1"/>
  <c r="H1238" i="1" a="1"/>
  <c r="H1238" i="1" s="1"/>
  <c r="J1238" i="14" s="1"/>
  <c r="L1238" i="1" a="1"/>
  <c r="L1238" i="1" s="1"/>
  <c r="P1238" i="1" a="1"/>
  <c r="P1238" i="1" s="1"/>
  <c r="F1239" i="1" a="1"/>
  <c r="F1239" i="1" s="1"/>
  <c r="R1239" i="14" s="1"/>
  <c r="L1239" i="1" a="1"/>
  <c r="L1239" i="1" s="1"/>
  <c r="Q1239" i="1" a="1"/>
  <c r="Q1239" i="1" s="1"/>
  <c r="S1239" i="14" s="1"/>
  <c r="D1240" i="1" a="1"/>
  <c r="D1240" i="1" s="1"/>
  <c r="I1240" i="14" s="1"/>
  <c r="G1240" i="1" a="1"/>
  <c r="G1240" i="1" s="1"/>
  <c r="J1240" i="1" a="1"/>
  <c r="J1240" i="1" s="1"/>
  <c r="O1240" i="1"/>
  <c r="M1240" i="14" s="1"/>
  <c r="F1241" i="1" a="1"/>
  <c r="F1241" i="1" s="1"/>
  <c r="R1241" i="14" s="1"/>
  <c r="Q1241" i="1" a="1"/>
  <c r="Q1241" i="1" s="1"/>
  <c r="S1241" i="14" s="1"/>
  <c r="D1242" i="1" a="1"/>
  <c r="D1242" i="1" s="1"/>
  <c r="I1242" i="14" s="1"/>
  <c r="H1242" i="1" a="1"/>
  <c r="H1242" i="1" s="1"/>
  <c r="J1242" i="14" s="1"/>
  <c r="L1242" i="1" a="1"/>
  <c r="L1242" i="1" s="1"/>
  <c r="Q1242" i="1" a="1"/>
  <c r="Q1242" i="1" s="1"/>
  <c r="S1242" i="14" s="1"/>
  <c r="D1243" i="1" a="1"/>
  <c r="D1243" i="1" s="1"/>
  <c r="I1243" i="14" s="1"/>
  <c r="G1243" i="1" a="1"/>
  <c r="G1243" i="1" s="1"/>
  <c r="K1243" i="1" a="1"/>
  <c r="K1243" i="1" s="1"/>
  <c r="P1243" i="1" a="1"/>
  <c r="P1243" i="1" s="1"/>
  <c r="F1244" i="1" a="1"/>
  <c r="F1244" i="1" s="1"/>
  <c r="R1244" i="14" s="1"/>
  <c r="J1244" i="1" a="1"/>
  <c r="J1244" i="1" s="1"/>
  <c r="O1244" i="1"/>
  <c r="M1244" i="14" s="1"/>
  <c r="F1245" i="1" a="1"/>
  <c r="F1245" i="1" s="1"/>
  <c r="R1245" i="14" s="1"/>
  <c r="L1245" i="1" a="1"/>
  <c r="L1245" i="1" s="1"/>
  <c r="Q1245" i="1" a="1"/>
  <c r="Q1245" i="1" s="1"/>
  <c r="S1245" i="14" s="1"/>
  <c r="D1246" i="1" a="1"/>
  <c r="D1246" i="1" s="1"/>
  <c r="I1246" i="14" s="1"/>
  <c r="H1246" i="1" a="1"/>
  <c r="H1246" i="1" s="1"/>
  <c r="J1246" i="14" s="1"/>
  <c r="L1246" i="1" a="1"/>
  <c r="L1246" i="1" s="1"/>
  <c r="Q1246" i="1" a="1"/>
  <c r="Q1246" i="1" s="1"/>
  <c r="S1246" i="14" s="1"/>
  <c r="D1247" i="1" a="1"/>
  <c r="D1247" i="1" s="1"/>
  <c r="I1247" i="14" s="1"/>
  <c r="H1247" i="1" a="1"/>
  <c r="H1247" i="1" s="1"/>
  <c r="J1247" i="14" s="1"/>
  <c r="L1247" i="1" a="1"/>
  <c r="L1247" i="1" s="1"/>
  <c r="Q1247" i="1" a="1"/>
  <c r="Q1247" i="1" s="1"/>
  <c r="S1247" i="14" s="1"/>
  <c r="D1248" i="1" a="1"/>
  <c r="D1248" i="1" s="1"/>
  <c r="I1248" i="14" s="1"/>
  <c r="H1248" i="1" a="1"/>
  <c r="H1248" i="1" s="1"/>
  <c r="J1248" i="14" s="1"/>
  <c r="P1248" i="1" a="1"/>
  <c r="P1248" i="1" s="1"/>
  <c r="C1249" i="1" a="1"/>
  <c r="C1249" i="1" s="1"/>
  <c r="G1249" i="1" a="1"/>
  <c r="G1249" i="1" s="1"/>
  <c r="J1249" i="1" a="1"/>
  <c r="J1249" i="1" s="1"/>
  <c r="M1249" i="1" a="1"/>
  <c r="M1249" i="1" s="1"/>
  <c r="D1250" i="1" a="1"/>
  <c r="D1250" i="1" s="1"/>
  <c r="I1250" i="14" s="1"/>
  <c r="H1250" i="1" a="1"/>
  <c r="H1250" i="1" s="1"/>
  <c r="J1250" i="14" s="1"/>
  <c r="L1250" i="1" a="1"/>
  <c r="L1250" i="1" s="1"/>
  <c r="Q1250" i="1" a="1"/>
  <c r="Q1250" i="1" s="1"/>
  <c r="S1250" i="14" s="1"/>
  <c r="D1251" i="1" a="1"/>
  <c r="D1251" i="1" s="1"/>
  <c r="I1251" i="14" s="1"/>
  <c r="G1251" i="1" a="1"/>
  <c r="G1251" i="1" s="1"/>
  <c r="K1251" i="1" a="1"/>
  <c r="K1251" i="1" s="1"/>
  <c r="P1251" i="1" a="1"/>
  <c r="P1251" i="1" s="1"/>
  <c r="F1252" i="1" a="1"/>
  <c r="F1252" i="1" s="1"/>
  <c r="R1252" i="14" s="1"/>
  <c r="J1252" i="1" a="1"/>
  <c r="J1252" i="1" s="1"/>
  <c r="O1252" i="1"/>
  <c r="M1252" i="14" s="1"/>
  <c r="F1253" i="1" a="1"/>
  <c r="F1253" i="1" s="1"/>
  <c r="R1253" i="14" s="1"/>
  <c r="L1253" i="1" a="1"/>
  <c r="L1253" i="1" s="1"/>
  <c r="Q1253" i="1" a="1"/>
  <c r="Q1253" i="1" s="1"/>
  <c r="S1253" i="14" s="1"/>
  <c r="D1254" i="1" a="1"/>
  <c r="D1254" i="1" s="1"/>
  <c r="I1254" i="14" s="1"/>
  <c r="G1254" i="1" a="1"/>
  <c r="G1254" i="1" s="1"/>
  <c r="K1254" i="1" a="1"/>
  <c r="K1254" i="1" s="1"/>
  <c r="O1254" i="1"/>
  <c r="M1254" i="14" s="1"/>
  <c r="O1231" i="1"/>
  <c r="M1231" i="14" s="1"/>
  <c r="F1232" i="1" a="1"/>
  <c r="F1232" i="1" s="1"/>
  <c r="R1232" i="14" s="1"/>
  <c r="J1234" i="1" a="1"/>
  <c r="J1234" i="1" s="1"/>
  <c r="Q1236" i="1" a="1"/>
  <c r="Q1236" i="1" s="1"/>
  <c r="S1236" i="14" s="1"/>
  <c r="Q1237" i="1" a="1"/>
  <c r="Q1237" i="1" s="1"/>
  <c r="S1237" i="14" s="1"/>
  <c r="M1238" i="1" a="1"/>
  <c r="M1238" i="1" s="1"/>
  <c r="D1239" i="1" a="1"/>
  <c r="D1239" i="1" s="1"/>
  <c r="I1239" i="14" s="1"/>
  <c r="K1239" i="1" a="1"/>
  <c r="K1239" i="1" s="1"/>
  <c r="H1240" i="1" a="1"/>
  <c r="H1240" i="1" s="1"/>
  <c r="J1240" i="14" s="1"/>
  <c r="Q1240" i="1" a="1"/>
  <c r="Q1240" i="1" s="1"/>
  <c r="S1240" i="14" s="1"/>
  <c r="K1241" i="1" a="1"/>
  <c r="K1241" i="1" s="1"/>
  <c r="F1242" i="1" a="1"/>
  <c r="F1242" i="1" s="1"/>
  <c r="R1242" i="14" s="1"/>
  <c r="K1242" i="1" a="1"/>
  <c r="K1242" i="1" s="1"/>
  <c r="Q1243" i="1" a="1"/>
  <c r="Q1243" i="1" s="1"/>
  <c r="S1243" i="14" s="1"/>
  <c r="M1244" i="1" a="1"/>
  <c r="M1244" i="1" s="1"/>
  <c r="D1245" i="1" a="1"/>
  <c r="D1245" i="1" s="1"/>
  <c r="I1245" i="14" s="1"/>
  <c r="P1245" i="1" a="1"/>
  <c r="P1245" i="1" s="1"/>
  <c r="J1246" i="1" a="1"/>
  <c r="J1246" i="1" s="1"/>
  <c r="F1247" i="1" a="1"/>
  <c r="F1247" i="1" s="1"/>
  <c r="R1247" i="14" s="1"/>
  <c r="K1247" i="1" a="1"/>
  <c r="K1247" i="1" s="1"/>
  <c r="G1248" i="1" a="1"/>
  <c r="G1248" i="1" s="1"/>
  <c r="M1248" i="1" a="1"/>
  <c r="M1248" i="1" s="1"/>
  <c r="K1249" i="1" a="1"/>
  <c r="K1249" i="1" s="1"/>
  <c r="F1250" i="1" a="1"/>
  <c r="F1250" i="1" s="1"/>
  <c r="R1250" i="14" s="1"/>
  <c r="K1250" i="1" a="1"/>
  <c r="K1250" i="1" s="1"/>
  <c r="L1250" i="14" s="1"/>
  <c r="F1251" i="1" a="1"/>
  <c r="F1251" i="1" s="1"/>
  <c r="R1251" i="14" s="1"/>
  <c r="L1251" i="1" a="1"/>
  <c r="L1251" i="1" s="1"/>
  <c r="Q1251" i="1" a="1"/>
  <c r="Q1251" i="1" s="1"/>
  <c r="S1251" i="14" s="1"/>
  <c r="D1252" i="1" a="1"/>
  <c r="D1252" i="1" s="1"/>
  <c r="I1252" i="14" s="1"/>
  <c r="P1252" i="1" a="1"/>
  <c r="P1252" i="1" s="1"/>
  <c r="C1253" i="1" a="1"/>
  <c r="C1253" i="1" s="1"/>
  <c r="P1253" i="1" a="1"/>
  <c r="P1253" i="1" s="1"/>
  <c r="M1254" i="1" a="1"/>
  <c r="M1254" i="1" s="1"/>
  <c r="H1255" i="1" a="1"/>
  <c r="H1255" i="1" s="1"/>
  <c r="J1255" i="14" s="1"/>
  <c r="K1255" i="1" a="1"/>
  <c r="K1255" i="1" s="1"/>
  <c r="O1255" i="1"/>
  <c r="M1255" i="14" s="1"/>
  <c r="F1256" i="1" a="1"/>
  <c r="F1256" i="1" s="1"/>
  <c r="R1256" i="14" s="1"/>
  <c r="J1256" i="1" a="1"/>
  <c r="J1256" i="1" s="1"/>
  <c r="O1256" i="1"/>
  <c r="M1256" i="14" s="1"/>
  <c r="F1257" i="1" a="1"/>
  <c r="F1257" i="1" s="1"/>
  <c r="R1257" i="14" s="1"/>
  <c r="J1257" i="1" a="1"/>
  <c r="J1257" i="1" s="1"/>
  <c r="O1257" i="1"/>
  <c r="M1257" i="14" s="1"/>
  <c r="F1258" i="1" a="1"/>
  <c r="F1258" i="1" s="1"/>
  <c r="R1258" i="14" s="1"/>
  <c r="M1258" i="1" a="1"/>
  <c r="M1258" i="1" s="1"/>
  <c r="M1259" i="1" a="1"/>
  <c r="M1259" i="1" s="1"/>
  <c r="L1260" i="1" a="1"/>
  <c r="L1260" i="1" s="1"/>
  <c r="Q1260" i="1" a="1"/>
  <c r="Q1260" i="1" s="1"/>
  <c r="S1260" i="14" s="1"/>
  <c r="D1261" i="1" a="1"/>
  <c r="D1261" i="1" s="1"/>
  <c r="I1261" i="14" s="1"/>
  <c r="H1261" i="1" a="1"/>
  <c r="H1261" i="1" s="1"/>
  <c r="J1261" i="14" s="1"/>
  <c r="L1261" i="1" a="1"/>
  <c r="L1261" i="1" s="1"/>
  <c r="Q1261" i="1" a="1"/>
  <c r="Q1261" i="1" s="1"/>
  <c r="S1261" i="14" s="1"/>
  <c r="C1262" i="1" a="1"/>
  <c r="C1262" i="1" s="1"/>
  <c r="F1262" i="1" a="1"/>
  <c r="F1262" i="1" s="1"/>
  <c r="R1262" i="14" s="1"/>
  <c r="M1262" i="1" a="1"/>
  <c r="M1262" i="1" s="1"/>
  <c r="M1263" i="1" a="1"/>
  <c r="M1263" i="1" s="1"/>
  <c r="Q1263" i="1" a="1"/>
  <c r="Q1263" i="1" s="1"/>
  <c r="S1263" i="14" s="1"/>
  <c r="C1264" i="1" a="1"/>
  <c r="C1264" i="1" s="1"/>
  <c r="H1264" i="1" a="1"/>
  <c r="H1264" i="1" s="1"/>
  <c r="J1264" i="14" s="1"/>
  <c r="K1264" i="1" a="1"/>
  <c r="K1264" i="1" s="1"/>
  <c r="M1264" i="1" a="1"/>
  <c r="M1264" i="1" s="1"/>
  <c r="Q1264" i="1" a="1"/>
  <c r="Q1264" i="1" s="1"/>
  <c r="S1264" i="14" s="1"/>
  <c r="C1265" i="1" a="1"/>
  <c r="C1265" i="1" s="1"/>
  <c r="F1265" i="1" a="1"/>
  <c r="F1265" i="1" s="1"/>
  <c r="R1265" i="14" s="1"/>
  <c r="J1265" i="1" a="1"/>
  <c r="J1265" i="1" s="1"/>
  <c r="M1265" i="1" a="1"/>
  <c r="M1265" i="1" s="1"/>
  <c r="Q1265" i="1" a="1"/>
  <c r="Q1265" i="1" s="1"/>
  <c r="S1265" i="14" s="1"/>
  <c r="C1266" i="1" a="1"/>
  <c r="C1266" i="1" s="1"/>
  <c r="F1266" i="1" a="1"/>
  <c r="F1266" i="1" s="1"/>
  <c r="R1266" i="14" s="1"/>
  <c r="M1266" i="1" a="1"/>
  <c r="M1266" i="1" s="1"/>
  <c r="K1267" i="1" a="1"/>
  <c r="K1267" i="1" s="1"/>
  <c r="P1267" i="1" a="1"/>
  <c r="P1267" i="1" s="1"/>
  <c r="C1268" i="1" a="1"/>
  <c r="C1268" i="1" s="1"/>
  <c r="G1268" i="1" a="1"/>
  <c r="G1268" i="1" s="1"/>
  <c r="K1268" i="1" a="1"/>
  <c r="K1268" i="1" s="1"/>
  <c r="O1268" i="1"/>
  <c r="M1268" i="14" s="1"/>
  <c r="F1269" i="1" a="1"/>
  <c r="F1269" i="1" s="1"/>
  <c r="R1269" i="14" s="1"/>
  <c r="J1269" i="1" a="1"/>
  <c r="J1269" i="1" s="1"/>
  <c r="O1269" i="1"/>
  <c r="M1269" i="14" s="1"/>
  <c r="F1270" i="1" a="1"/>
  <c r="F1270" i="1" s="1"/>
  <c r="R1270" i="14" s="1"/>
  <c r="C1271" i="1" a="1"/>
  <c r="C1271" i="1" s="1"/>
  <c r="G1271" i="1" a="1"/>
  <c r="G1271" i="1" s="1"/>
  <c r="K1271" i="1" a="1"/>
  <c r="K1271" i="1" s="1"/>
  <c r="O1271" i="1"/>
  <c r="M1271" i="14" s="1"/>
  <c r="F1272" i="1" a="1"/>
  <c r="F1272" i="1" s="1"/>
  <c r="R1272" i="14" s="1"/>
  <c r="J1272" i="1" a="1"/>
  <c r="J1272" i="1" s="1"/>
  <c r="O1272" i="1"/>
  <c r="M1272" i="14" s="1"/>
  <c r="F1273" i="1" a="1"/>
  <c r="F1273" i="1" s="1"/>
  <c r="R1273" i="14" s="1"/>
  <c r="J1273" i="1" a="1"/>
  <c r="J1273" i="1" s="1"/>
  <c r="O1273" i="1"/>
  <c r="M1273" i="14" s="1"/>
  <c r="F1274" i="1" a="1"/>
  <c r="F1274" i="1" s="1"/>
  <c r="R1274" i="14" s="1"/>
  <c r="J1274" i="1" a="1"/>
  <c r="J1274" i="1" s="1"/>
  <c r="L1274" i="1" a="1"/>
  <c r="L1274" i="1" s="1"/>
  <c r="O1274" i="1"/>
  <c r="M1274" i="14" s="1"/>
  <c r="F1275" i="1" a="1"/>
  <c r="F1275" i="1" s="1"/>
  <c r="R1275" i="14" s="1"/>
  <c r="H1275" i="1" a="1"/>
  <c r="H1275" i="1" s="1"/>
  <c r="J1275" i="14" s="1"/>
  <c r="K1275" i="1" a="1"/>
  <c r="K1275" i="1" s="1"/>
  <c r="O1275" i="1"/>
  <c r="M1275" i="14" s="1"/>
  <c r="F1276" i="1" a="1"/>
  <c r="F1276" i="1" s="1"/>
  <c r="R1276" i="14" s="1"/>
  <c r="J1276" i="1" a="1"/>
  <c r="J1276" i="1" s="1"/>
  <c r="O1276" i="1"/>
  <c r="M1276" i="14" s="1"/>
  <c r="F1277" i="1" a="1"/>
  <c r="F1277" i="1" s="1"/>
  <c r="R1277" i="14" s="1"/>
  <c r="J1277" i="1" a="1"/>
  <c r="J1277" i="1" s="1"/>
  <c r="O1277" i="1"/>
  <c r="M1277" i="14" s="1"/>
  <c r="F1278" i="1" a="1"/>
  <c r="F1278" i="1" s="1"/>
  <c r="R1278" i="14" s="1"/>
  <c r="J1278" i="1" a="1"/>
  <c r="J1278" i="1" s="1"/>
  <c r="O1278" i="1"/>
  <c r="M1278" i="14" s="1"/>
  <c r="F1279" i="1" a="1"/>
  <c r="F1279" i="1" s="1"/>
  <c r="R1279" i="14" s="1"/>
  <c r="M1279" i="1" a="1"/>
  <c r="M1279" i="1" s="1"/>
  <c r="Q1279" i="1" a="1"/>
  <c r="Q1279" i="1" s="1"/>
  <c r="S1279" i="14" s="1"/>
  <c r="D1280" i="1" a="1"/>
  <c r="D1280" i="1" s="1"/>
  <c r="I1280" i="14" s="1"/>
  <c r="G1280" i="1" a="1"/>
  <c r="G1280" i="1" s="1"/>
  <c r="J1280" i="1" a="1"/>
  <c r="J1280" i="1" s="1"/>
  <c r="L1280" i="1" a="1"/>
  <c r="L1280" i="1" s="1"/>
  <c r="O1280" i="1"/>
  <c r="M1280" i="14" s="1"/>
  <c r="F1281" i="1" a="1"/>
  <c r="F1281" i="1" s="1"/>
  <c r="R1281" i="14" s="1"/>
  <c r="J1281" i="1" a="1"/>
  <c r="J1281" i="1" s="1"/>
  <c r="M1281" i="1" a="1"/>
  <c r="M1281" i="1" s="1"/>
  <c r="O1282" i="1"/>
  <c r="M1282" i="14" s="1"/>
  <c r="F1283" i="1" a="1"/>
  <c r="F1283" i="1" s="1"/>
  <c r="R1283" i="14" s="1"/>
  <c r="M1283" i="1" a="1"/>
  <c r="M1283" i="1" s="1"/>
  <c r="Q1283" i="1" a="1"/>
  <c r="Q1283" i="1" s="1"/>
  <c r="S1283" i="14" s="1"/>
  <c r="D1284" i="1" a="1"/>
  <c r="D1284" i="1" s="1"/>
  <c r="I1284" i="14" s="1"/>
  <c r="H1284" i="1" a="1"/>
  <c r="H1284" i="1" s="1"/>
  <c r="J1284" i="14" s="1"/>
  <c r="L1284" i="1" a="1"/>
  <c r="L1284" i="1" s="1"/>
  <c r="P1284" i="1" a="1"/>
  <c r="P1284" i="1" s="1"/>
  <c r="C1285" i="1" a="1"/>
  <c r="C1285" i="1" s="1"/>
  <c r="G1285" i="1" a="1"/>
  <c r="G1285" i="1" s="1"/>
  <c r="K1285" i="1" a="1"/>
  <c r="K1285" i="1" s="1"/>
  <c r="P1285" i="1" a="1"/>
  <c r="P1285" i="1" s="1"/>
  <c r="C1286" i="1" a="1"/>
  <c r="C1286" i="1" s="1"/>
  <c r="J1286" i="1" a="1"/>
  <c r="J1286" i="1" s="1"/>
  <c r="M1286" i="1" a="1"/>
  <c r="M1286" i="1" s="1"/>
  <c r="M1287" i="1" a="1"/>
  <c r="M1287" i="1" s="1"/>
  <c r="M1288" i="1" a="1"/>
  <c r="M1288" i="1" s="1"/>
  <c r="Q1288" i="1" a="1"/>
  <c r="Q1288" i="1" s="1"/>
  <c r="S1288" i="14" s="1"/>
  <c r="C1289" i="1" a="1"/>
  <c r="C1289" i="1" s="1"/>
  <c r="G1289" i="1" a="1"/>
  <c r="G1289" i="1" s="1"/>
  <c r="J1289" i="1" a="1"/>
  <c r="J1289" i="1" s="1"/>
  <c r="M1289" i="1" a="1"/>
  <c r="M1289" i="1" s="1"/>
  <c r="M1290" i="1" a="1"/>
  <c r="M1290" i="1" s="1"/>
  <c r="M1291" i="1" a="1"/>
  <c r="M1291" i="1" s="1"/>
  <c r="Q1292" i="1" a="1"/>
  <c r="Q1292" i="1" s="1"/>
  <c r="S1292" i="14" s="1"/>
  <c r="D1293" i="1" a="1"/>
  <c r="D1293" i="1" s="1"/>
  <c r="I1293" i="14" s="1"/>
  <c r="G1293" i="1" a="1"/>
  <c r="G1293" i="1" s="1"/>
  <c r="K1293" i="1" a="1"/>
  <c r="K1293" i="1" s="1"/>
  <c r="P1293" i="1" a="1"/>
  <c r="P1293" i="1" s="1"/>
  <c r="C1294" i="1" a="1"/>
  <c r="C1294" i="1" s="1"/>
  <c r="J1294" i="1" a="1"/>
  <c r="J1294" i="1" s="1"/>
  <c r="M1294" i="1" a="1"/>
  <c r="M1294" i="1" s="1"/>
  <c r="M1295" i="1" a="1"/>
  <c r="M1295" i="1" s="1"/>
  <c r="Q1296" i="1" a="1"/>
  <c r="Q1296" i="1" s="1"/>
  <c r="S1296" i="14" s="1"/>
  <c r="D1297" i="1" a="1"/>
  <c r="D1297" i="1" s="1"/>
  <c r="I1297" i="14" s="1"/>
  <c r="H1297" i="1" a="1"/>
  <c r="H1297" i="1" s="1"/>
  <c r="J1297" i="14" s="1"/>
  <c r="K1297" i="1" a="1"/>
  <c r="K1297" i="1" s="1"/>
  <c r="P1297" i="1" a="1"/>
  <c r="P1297" i="1" s="1"/>
  <c r="C1298" i="1" a="1"/>
  <c r="C1298" i="1" s="1"/>
  <c r="G1298" i="1" a="1"/>
  <c r="G1298" i="1" s="1"/>
  <c r="K1298" i="1" a="1"/>
  <c r="K1298" i="1" s="1"/>
  <c r="O1298" i="1"/>
  <c r="M1298" i="14" s="1"/>
  <c r="F1299" i="1" a="1"/>
  <c r="F1299" i="1" s="1"/>
  <c r="R1299" i="14" s="1"/>
  <c r="J1299" i="1" a="1"/>
  <c r="J1299" i="1" s="1"/>
  <c r="O1299" i="1"/>
  <c r="M1299" i="14" s="1"/>
  <c r="F1300" i="1" a="1"/>
  <c r="F1300" i="1" s="1"/>
  <c r="R1300" i="14" s="1"/>
  <c r="J1300" i="1" a="1"/>
  <c r="J1300" i="1" s="1"/>
  <c r="O1300" i="1"/>
  <c r="M1300" i="14" s="1"/>
  <c r="F1301" i="1" a="1"/>
  <c r="F1301" i="1" s="1"/>
  <c r="R1301" i="14" s="1"/>
  <c r="M1301" i="1" a="1"/>
  <c r="M1301" i="1" s="1"/>
  <c r="M1302" i="1" a="1"/>
  <c r="M1302" i="1" s="1"/>
  <c r="Q1302" i="1" a="1"/>
  <c r="Q1302" i="1" s="1"/>
  <c r="S1302" i="14" s="1"/>
  <c r="D1303" i="1" a="1"/>
  <c r="D1303" i="1" s="1"/>
  <c r="I1303" i="14" s="1"/>
  <c r="H1303" i="1" a="1"/>
  <c r="H1303" i="1" s="1"/>
  <c r="J1303" i="14" s="1"/>
  <c r="L1303" i="1" a="1"/>
  <c r="L1303" i="1" s="1"/>
  <c r="Q1303" i="1" a="1"/>
  <c r="Q1303" i="1" s="1"/>
  <c r="S1303" i="14" s="1"/>
  <c r="D1304" i="1" a="1"/>
  <c r="D1304" i="1" s="1"/>
  <c r="I1304" i="14" s="1"/>
  <c r="H1304" i="1" a="1"/>
  <c r="H1304" i="1" s="1"/>
  <c r="J1304" i="14" s="1"/>
  <c r="L1304" i="1" a="1"/>
  <c r="L1304" i="1" s="1"/>
  <c r="P1304" i="1" a="1"/>
  <c r="P1304" i="1" s="1"/>
  <c r="C1305" i="1" a="1"/>
  <c r="C1305" i="1" s="1"/>
  <c r="G1305" i="1" a="1"/>
  <c r="G1305" i="1" s="1"/>
  <c r="K1305" i="1" a="1"/>
  <c r="K1305" i="1" s="1"/>
  <c r="P1305" i="1" a="1"/>
  <c r="P1305" i="1" s="1"/>
  <c r="C1306" i="1" a="1"/>
  <c r="C1306" i="1" s="1"/>
  <c r="G1306" i="1" a="1"/>
  <c r="G1306" i="1" s="1"/>
  <c r="K1306" i="1" a="1"/>
  <c r="K1306" i="1" s="1"/>
  <c r="P1306" i="1" a="1"/>
  <c r="P1306" i="1" s="1"/>
  <c r="C1307" i="1" a="1"/>
  <c r="C1307" i="1" s="1"/>
  <c r="G1307" i="1" a="1"/>
  <c r="G1307" i="1" s="1"/>
  <c r="J1307" i="1" a="1"/>
  <c r="J1307" i="1" s="1"/>
  <c r="O1307" i="1"/>
  <c r="M1307" i="14" s="1"/>
  <c r="D1308" i="1" a="1"/>
  <c r="D1308" i="1" s="1"/>
  <c r="I1308" i="14" s="1"/>
  <c r="H1308" i="1" a="1"/>
  <c r="H1308" i="1" s="1"/>
  <c r="J1308" i="14" s="1"/>
  <c r="K1308" i="1" a="1"/>
  <c r="K1308" i="1" s="1"/>
  <c r="P1308" i="1" a="1"/>
  <c r="P1308" i="1" s="1"/>
  <c r="C1309" i="1" a="1"/>
  <c r="C1309" i="1" s="1"/>
  <c r="G1309" i="1" a="1"/>
  <c r="G1309" i="1" s="1"/>
  <c r="K1309" i="1" a="1"/>
  <c r="K1309" i="1" s="1"/>
  <c r="P1309" i="1" a="1"/>
  <c r="P1309" i="1" s="1"/>
  <c r="C1310" i="1" a="1"/>
  <c r="C1310" i="1" s="1"/>
  <c r="G1310" i="1" a="1"/>
  <c r="G1310" i="1" s="1"/>
  <c r="K1310" i="1" a="1"/>
  <c r="K1310" i="1" s="1"/>
  <c r="P1310" i="1" a="1"/>
  <c r="P1310" i="1" s="1"/>
  <c r="C1311" i="1" a="1"/>
  <c r="C1311" i="1" s="1"/>
  <c r="G1311" i="1" a="1"/>
  <c r="G1311" i="1" s="1"/>
  <c r="K1311" i="1" a="1"/>
  <c r="K1311" i="1" s="1"/>
  <c r="P1311" i="1" a="1"/>
  <c r="P1311" i="1" s="1"/>
  <c r="C1312" i="1" a="1"/>
  <c r="C1312" i="1" s="1"/>
  <c r="G1312" i="1" a="1"/>
  <c r="G1312" i="1" s="1"/>
  <c r="K1312" i="1" a="1"/>
  <c r="K1312" i="1" s="1"/>
  <c r="P1312" i="1" a="1"/>
  <c r="P1312" i="1" s="1"/>
  <c r="C1313" i="1" a="1"/>
  <c r="C1313" i="1" s="1"/>
  <c r="G1313" i="1" a="1"/>
  <c r="G1313" i="1" s="1"/>
  <c r="J1313" i="1" a="1"/>
  <c r="J1313" i="1" s="1"/>
  <c r="O1313" i="1"/>
  <c r="M1313" i="14" s="1"/>
  <c r="H1314" i="1" a="1"/>
  <c r="H1314" i="1" s="1"/>
  <c r="J1314" i="14" s="1"/>
  <c r="P1314" i="1" a="1"/>
  <c r="P1314" i="1" s="1"/>
  <c r="C1315" i="1" a="1"/>
  <c r="C1315" i="1" s="1"/>
  <c r="G1315" i="1" a="1"/>
  <c r="G1315" i="1" s="1"/>
  <c r="K1315" i="1" a="1"/>
  <c r="K1315" i="1" s="1"/>
  <c r="P1315" i="1" a="1"/>
  <c r="P1315" i="1" s="1"/>
  <c r="C1316" i="1" a="1"/>
  <c r="C1316" i="1" s="1"/>
  <c r="G1316" i="1" a="1"/>
  <c r="G1316" i="1" s="1"/>
  <c r="K1316" i="1" a="1"/>
  <c r="K1316" i="1" s="1"/>
  <c r="P1316" i="1" a="1"/>
  <c r="P1316" i="1" s="1"/>
  <c r="C1317" i="1" a="1"/>
  <c r="C1317" i="1" s="1"/>
  <c r="J1317" i="1" a="1"/>
  <c r="J1317" i="1" s="1"/>
  <c r="O1317" i="1"/>
  <c r="M1317" i="14" s="1"/>
  <c r="F1318" i="1" a="1"/>
  <c r="F1318" i="1" s="1"/>
  <c r="R1318" i="14" s="1"/>
  <c r="J1318" i="1" a="1"/>
  <c r="J1318" i="1" s="1"/>
  <c r="M1319" i="1" a="1"/>
  <c r="M1319" i="1" s="1"/>
  <c r="Q1320" i="1" a="1"/>
  <c r="Q1320" i="1" s="1"/>
  <c r="S1320" i="14" s="1"/>
  <c r="D1321" i="1" a="1"/>
  <c r="D1321" i="1" s="1"/>
  <c r="I1321" i="14" s="1"/>
  <c r="H1321" i="1" a="1"/>
  <c r="H1321" i="1" s="1"/>
  <c r="J1321" i="14" s="1"/>
  <c r="L1321" i="1" a="1"/>
  <c r="L1321" i="1" s="1"/>
  <c r="Q1321" i="1" a="1"/>
  <c r="Q1321" i="1" s="1"/>
  <c r="S1321" i="14" s="1"/>
  <c r="D1322" i="1" a="1"/>
  <c r="D1322" i="1" s="1"/>
  <c r="I1322" i="14" s="1"/>
  <c r="H1322" i="1" a="1"/>
  <c r="H1322" i="1" s="1"/>
  <c r="J1322" i="14" s="1"/>
  <c r="L1322" i="1" a="1"/>
  <c r="L1322" i="1" s="1"/>
  <c r="Q1322" i="1" a="1"/>
  <c r="Q1322" i="1" s="1"/>
  <c r="S1322" i="14" s="1"/>
  <c r="D1323" i="1" a="1"/>
  <c r="D1323" i="1" s="1"/>
  <c r="K1323" i="1" a="1"/>
  <c r="K1323" i="1" s="1"/>
  <c r="P1323" i="1" a="1"/>
  <c r="P1323" i="1" s="1"/>
  <c r="L1324" i="1" a="1"/>
  <c r="L1324" i="1" s="1"/>
  <c r="Q1324" i="1" a="1"/>
  <c r="Q1324" i="1" s="1"/>
  <c r="D1325" i="1" a="1"/>
  <c r="D1325" i="1" s="1"/>
  <c r="H1325" i="1" a="1"/>
  <c r="H1325" i="1" s="1"/>
  <c r="K1325" i="1" a="1"/>
  <c r="K1325" i="1" s="1"/>
  <c r="P1325" i="1" a="1"/>
  <c r="P1325" i="1" s="1"/>
  <c r="C1326" i="1" a="1"/>
  <c r="C1326" i="1" s="1"/>
  <c r="G1326" i="1" a="1"/>
  <c r="G1326" i="1" s="1"/>
  <c r="K1326" i="1" a="1"/>
  <c r="K1326" i="1" s="1"/>
  <c r="P1326" i="1" a="1"/>
  <c r="P1326" i="1" s="1"/>
  <c r="F1327" i="1" a="1"/>
  <c r="F1327" i="1" s="1"/>
  <c r="J1327" i="1" a="1"/>
  <c r="J1327" i="1" s="1"/>
  <c r="O1327" i="1"/>
  <c r="F1328" i="1" a="1"/>
  <c r="F1328" i="1" s="1"/>
  <c r="J1328" i="1" a="1"/>
  <c r="J1328" i="1" s="1"/>
  <c r="O1328" i="1"/>
  <c r="F1329" i="1" a="1"/>
  <c r="F1329" i="1" s="1"/>
  <c r="M1329" i="1" a="1"/>
  <c r="M1329" i="1" s="1"/>
  <c r="M1330" i="1" a="1"/>
  <c r="M1330" i="1" s="1"/>
  <c r="H1331" i="1" a="1"/>
  <c r="H1331" i="1" s="1"/>
  <c r="L1331" i="1" a="1"/>
  <c r="L1331" i="1" s="1"/>
  <c r="Q1331" i="1" a="1"/>
  <c r="Q1331" i="1" s="1"/>
  <c r="C1332" i="1" a="1"/>
  <c r="C1332" i="1" s="1"/>
  <c r="F1332" i="1" a="1"/>
  <c r="F1332" i="1" s="1"/>
  <c r="J1332" i="1" a="1"/>
  <c r="J1332" i="1" s="1"/>
  <c r="M1332" i="1" a="1"/>
  <c r="M1332" i="1" s="1"/>
  <c r="C1334" i="1" a="1"/>
  <c r="C1334" i="1" s="1"/>
  <c r="F1334" i="1" a="1"/>
  <c r="F1334" i="1" s="1"/>
  <c r="J1334" i="1" a="1"/>
  <c r="J1334" i="1" s="1"/>
  <c r="O1334" i="1"/>
  <c r="M1335" i="1" a="1"/>
  <c r="M1335" i="1" s="1"/>
  <c r="M1336" i="1" a="1"/>
  <c r="M1336" i="1" s="1"/>
  <c r="J1337" i="1" a="1"/>
  <c r="J1337" i="1" s="1"/>
  <c r="O1337" i="1"/>
  <c r="F1338" i="1" a="1"/>
  <c r="F1338" i="1" s="1"/>
  <c r="M1338" i="1" a="1"/>
  <c r="M1338" i="1" s="1"/>
  <c r="Q1338" i="1" a="1"/>
  <c r="Q1338" i="1" s="1"/>
  <c r="D1339" i="1" a="1"/>
  <c r="D1339" i="1" s="1"/>
  <c r="H1339" i="1" a="1"/>
  <c r="H1339" i="1" s="1"/>
  <c r="L1339" i="1" a="1"/>
  <c r="L1339" i="1" s="1"/>
  <c r="Q1339" i="1" a="1"/>
  <c r="Q1339" i="1" s="1"/>
  <c r="D1340" i="1" a="1"/>
  <c r="D1340" i="1" s="1"/>
  <c r="H1340" i="1" a="1"/>
  <c r="H1340" i="1" s="1"/>
  <c r="L1340" i="1" a="1"/>
  <c r="L1340" i="1" s="1"/>
  <c r="Q1340" i="1" a="1"/>
  <c r="Q1340" i="1" s="1"/>
  <c r="D1341" i="1" a="1"/>
  <c r="D1341" i="1" s="1"/>
  <c r="H1341" i="1" a="1"/>
  <c r="H1341" i="1" s="1"/>
  <c r="K1341" i="1" a="1"/>
  <c r="K1341" i="1" s="1"/>
  <c r="P1341" i="1" a="1"/>
  <c r="P1341" i="1" s="1"/>
  <c r="C1342" i="1" a="1"/>
  <c r="C1342" i="1" s="1"/>
  <c r="G1342" i="1" a="1"/>
  <c r="G1342" i="1" s="1"/>
  <c r="K1342" i="1" a="1"/>
  <c r="K1342" i="1" s="1"/>
  <c r="P1342" i="1" a="1"/>
  <c r="P1342" i="1" s="1"/>
  <c r="C1343" i="1" a="1"/>
  <c r="C1343" i="1" s="1"/>
  <c r="G1343" i="1" a="1"/>
  <c r="G1343" i="1" s="1"/>
  <c r="J1343" i="1" a="1"/>
  <c r="J1343" i="1" s="1"/>
  <c r="O1343" i="1"/>
  <c r="D1344" i="1" a="1"/>
  <c r="D1344" i="1" s="1"/>
  <c r="H1344" i="1" a="1"/>
  <c r="H1344" i="1" s="1"/>
  <c r="K1344" i="1" a="1"/>
  <c r="K1344" i="1" s="1"/>
  <c r="P1344" i="1" a="1"/>
  <c r="P1344" i="1" s="1"/>
  <c r="C1345" i="1" a="1"/>
  <c r="C1345" i="1" s="1"/>
  <c r="G1345" i="1" a="1"/>
  <c r="G1345" i="1" s="1"/>
  <c r="O1345" i="1"/>
  <c r="F1346" i="1" a="1"/>
  <c r="F1346" i="1" s="1"/>
  <c r="J1346" i="1" a="1"/>
  <c r="J1346" i="1" s="1"/>
  <c r="O1346" i="1"/>
  <c r="F1347" i="1" a="1"/>
  <c r="F1347" i="1" s="1"/>
  <c r="M1347" i="1" a="1"/>
  <c r="M1347" i="1" s="1"/>
  <c r="G1348" i="1" a="1"/>
  <c r="G1348" i="1" s="1"/>
  <c r="O1348" i="1"/>
  <c r="F1349" i="1" a="1"/>
  <c r="F1349" i="1" s="1"/>
  <c r="J1349" i="1" a="1"/>
  <c r="J1349" i="1" s="1"/>
  <c r="O1349" i="1"/>
  <c r="M1350" i="1" a="1"/>
  <c r="M1350" i="1" s="1"/>
  <c r="Q1350" i="1" a="1"/>
  <c r="Q1350" i="1" s="1"/>
  <c r="D1351" i="1" a="1"/>
  <c r="D1351" i="1" s="1"/>
  <c r="H1351" i="1" a="1"/>
  <c r="H1351" i="1" s="1"/>
  <c r="L1351" i="1" a="1"/>
  <c r="L1351" i="1" s="1"/>
  <c r="Q1351" i="1" a="1"/>
  <c r="Q1351" i="1" s="1"/>
  <c r="D1352" i="1" a="1"/>
  <c r="D1352" i="1" s="1"/>
  <c r="O1352" i="1"/>
  <c r="F1353" i="1" a="1"/>
  <c r="F1353" i="1" s="1"/>
  <c r="J1353" i="1" a="1"/>
  <c r="J1353" i="1" s="1"/>
  <c r="M1353" i="1" a="1"/>
  <c r="M1353" i="1" s="1"/>
  <c r="H1354" i="1" a="1"/>
  <c r="H1354" i="1" s="1"/>
  <c r="L1354" i="1" a="1"/>
  <c r="L1354" i="1" s="1"/>
  <c r="P1354" i="1" a="1"/>
  <c r="P1354" i="1" s="1"/>
  <c r="C1355" i="1" a="1"/>
  <c r="C1355" i="1" s="1"/>
  <c r="G1355" i="1" a="1"/>
  <c r="G1355" i="1" s="1"/>
  <c r="J1355" i="1" a="1"/>
  <c r="J1355" i="1" s="1"/>
  <c r="O1355" i="1"/>
  <c r="F1356" i="1" a="1"/>
  <c r="F1356" i="1" s="1"/>
  <c r="J1356" i="1" a="1"/>
  <c r="J1356" i="1" s="1"/>
  <c r="O1356" i="1"/>
  <c r="F1357" i="1" a="1"/>
  <c r="F1357" i="1" s="1"/>
  <c r="J1357" i="1" a="1"/>
  <c r="J1357" i="1" s="1"/>
  <c r="M1357" i="1" a="1"/>
  <c r="M1357" i="1" s="1"/>
  <c r="Q1357" i="1" a="1"/>
  <c r="Q1357" i="1" s="1"/>
  <c r="D1358" i="1" a="1"/>
  <c r="D1358" i="1" s="1"/>
  <c r="H1358" i="1" a="1"/>
  <c r="H1358" i="1" s="1"/>
  <c r="K1358" i="1" a="1"/>
  <c r="K1358" i="1" s="1"/>
  <c r="O1358" i="1"/>
  <c r="F1359" i="1" a="1"/>
  <c r="F1359" i="1" s="1"/>
  <c r="J1359" i="1" a="1"/>
  <c r="J1359" i="1" s="1"/>
  <c r="O1359" i="1"/>
  <c r="F1360" i="1" a="1"/>
  <c r="F1360" i="1" s="1"/>
  <c r="J1360" i="1" a="1"/>
  <c r="J1360" i="1" s="1"/>
  <c r="M1360" i="1" a="1"/>
  <c r="M1360" i="1" s="1"/>
  <c r="C1362" i="1" a="1"/>
  <c r="C1362" i="1" s="1"/>
  <c r="F1362" i="1" a="1"/>
  <c r="F1362" i="1" s="1"/>
  <c r="J1362" i="1" a="1"/>
  <c r="J1362" i="1" s="1"/>
  <c r="M1362" i="1" a="1"/>
  <c r="M1362" i="1" s="1"/>
  <c r="M1363" i="1" a="1"/>
  <c r="M1363" i="1" s="1"/>
  <c r="H1364" i="1" a="1"/>
  <c r="H1364" i="1" s="1"/>
  <c r="K1364" i="1" a="1"/>
  <c r="K1364" i="1" s="1"/>
  <c r="P1364" i="1" a="1"/>
  <c r="P1364" i="1" s="1"/>
  <c r="C1365" i="1" a="1"/>
  <c r="C1365" i="1" s="1"/>
  <c r="G1365" i="1" a="1"/>
  <c r="G1365" i="1" s="1"/>
  <c r="O1365" i="1"/>
  <c r="F1366" i="1" a="1"/>
  <c r="F1366" i="1" s="1"/>
  <c r="J1366" i="1" a="1"/>
  <c r="J1366" i="1" s="1"/>
  <c r="O1366" i="1"/>
  <c r="F1367" i="1" a="1"/>
  <c r="F1367" i="1" s="1"/>
  <c r="M1367" i="1" a="1"/>
  <c r="M1367" i="1" s="1"/>
  <c r="G1368" i="1" a="1"/>
  <c r="G1368" i="1" s="1"/>
  <c r="O1368" i="1"/>
  <c r="F1369" i="1" a="1"/>
  <c r="F1369" i="1" s="1"/>
  <c r="J1369" i="1" a="1"/>
  <c r="J1369" i="1" s="1"/>
  <c r="O1369" i="1"/>
  <c r="F1370" i="1" a="1"/>
  <c r="F1370" i="1" s="1"/>
  <c r="J1370" i="1" a="1"/>
  <c r="J1370" i="1" s="1"/>
  <c r="O1370" i="1"/>
  <c r="F1371" i="1" a="1"/>
  <c r="F1371" i="1" s="1"/>
  <c r="J1371" i="1" a="1"/>
  <c r="J1371" i="1" s="1"/>
  <c r="O1371" i="1"/>
  <c r="F1372" i="1" a="1"/>
  <c r="F1372" i="1" s="1"/>
  <c r="J1372" i="1" a="1"/>
  <c r="J1372" i="1" s="1"/>
  <c r="O1372" i="1"/>
  <c r="F1373" i="1" a="1"/>
  <c r="F1373" i="1" s="1"/>
  <c r="M1373" i="1" a="1"/>
  <c r="M1373" i="1" s="1"/>
  <c r="M1374" i="1" a="1"/>
  <c r="M1374" i="1" s="1"/>
  <c r="Q1374" i="1" a="1"/>
  <c r="Q1374" i="1" s="1"/>
  <c r="D1375" i="1" a="1"/>
  <c r="D1375" i="1" s="1"/>
  <c r="H1375" i="1" a="1"/>
  <c r="H1375" i="1" s="1"/>
  <c r="L1375" i="1" a="1"/>
  <c r="L1375" i="1" s="1"/>
  <c r="Q1375" i="1" a="1"/>
  <c r="Q1375" i="1" s="1"/>
  <c r="D1376" i="1" a="1"/>
  <c r="D1376" i="1" s="1"/>
  <c r="H1376" i="1" a="1"/>
  <c r="H1376" i="1" s="1"/>
  <c r="L1376" i="1" a="1"/>
  <c r="L1376" i="1" s="1"/>
  <c r="P1376" i="1" a="1"/>
  <c r="P1376" i="1" s="1"/>
  <c r="C1377" i="1" a="1"/>
  <c r="C1377" i="1" s="1"/>
  <c r="G1377" i="1" a="1"/>
  <c r="G1377" i="1" s="1"/>
  <c r="O1377" i="1"/>
  <c r="H1378" i="1" a="1"/>
  <c r="H1378" i="1" s="1"/>
  <c r="L1378" i="1" a="1"/>
  <c r="L1378" i="1" s="1"/>
  <c r="P1378" i="1" a="1"/>
  <c r="P1378" i="1" s="1"/>
  <c r="C1379" i="1" a="1"/>
  <c r="C1379" i="1" s="1"/>
  <c r="G1379" i="1" a="1"/>
  <c r="G1379" i="1" s="1"/>
  <c r="K1379" i="1" a="1"/>
  <c r="K1379" i="1" s="1"/>
  <c r="P1379" i="1" a="1"/>
  <c r="P1379" i="1" s="1"/>
  <c r="C1380" i="1" a="1"/>
  <c r="C1380" i="1" s="1"/>
  <c r="G1380" i="1" a="1"/>
  <c r="G1380" i="1" s="1"/>
  <c r="K1380" i="1" a="1"/>
  <c r="K1380" i="1" s="1"/>
  <c r="P1380" i="1" a="1"/>
  <c r="P1380" i="1" s="1"/>
  <c r="F1381" i="1" a="1"/>
  <c r="F1381" i="1" s="1"/>
  <c r="J1381" i="1" a="1"/>
  <c r="J1381" i="1" s="1"/>
  <c r="O1381" i="1"/>
  <c r="F1382" i="1" a="1"/>
  <c r="F1382" i="1" s="1"/>
  <c r="L1382" i="1" a="1"/>
  <c r="L1382" i="1" s="1"/>
  <c r="Q1382" i="1" a="1"/>
  <c r="Q1382" i="1" s="1"/>
  <c r="D1383" i="1" a="1"/>
  <c r="D1383" i="1" s="1"/>
  <c r="H1383" i="1" a="1"/>
  <c r="H1383" i="1" s="1"/>
  <c r="L1383" i="1" a="1"/>
  <c r="L1383" i="1" s="1"/>
  <c r="Q1383" i="1" a="1"/>
  <c r="Q1383" i="1" s="1"/>
  <c r="D1384" i="1" a="1"/>
  <c r="D1384" i="1" s="1"/>
  <c r="H1384" i="1" a="1"/>
  <c r="H1384" i="1" s="1"/>
  <c r="L1384" i="1" a="1"/>
  <c r="L1384" i="1" s="1"/>
  <c r="Q1384" i="1" a="1"/>
  <c r="Q1384" i="1" s="1"/>
  <c r="D1385" i="1" a="1"/>
  <c r="D1385" i="1" s="1"/>
  <c r="H1385" i="1" a="1"/>
  <c r="H1385" i="1" s="1"/>
  <c r="K1385" i="1" a="1"/>
  <c r="K1385" i="1" s="1"/>
  <c r="P1385" i="1" a="1"/>
  <c r="P1385" i="1" s="1"/>
  <c r="C1386" i="1" a="1"/>
  <c r="C1386" i="1" s="1"/>
  <c r="G1386" i="1" a="1"/>
  <c r="G1386" i="1" s="1"/>
  <c r="K1386" i="1" a="1"/>
  <c r="K1386" i="1" s="1"/>
  <c r="O1386" i="1"/>
  <c r="F1387" i="1" a="1"/>
  <c r="F1387" i="1" s="1"/>
  <c r="J1387" i="1" a="1"/>
  <c r="J1387" i="1" s="1"/>
  <c r="O1387" i="1"/>
  <c r="F1388" i="1" a="1"/>
  <c r="F1388" i="1" s="1"/>
  <c r="J1388" i="1" a="1"/>
  <c r="J1388" i="1" s="1"/>
  <c r="M1388" i="1" a="1"/>
  <c r="M1388" i="1" s="1"/>
  <c r="M1389" i="1" a="1"/>
  <c r="M1389" i="1" s="1"/>
  <c r="M1390" i="1" a="1"/>
  <c r="M1390" i="1" s="1"/>
  <c r="H1391" i="1" a="1"/>
  <c r="H1391" i="1" s="1"/>
  <c r="L1391" i="1" a="1"/>
  <c r="L1391" i="1" s="1"/>
  <c r="Q1391" i="1" a="1"/>
  <c r="Q1391" i="1" s="1"/>
  <c r="C1392" i="1" a="1"/>
  <c r="C1392" i="1" s="1"/>
  <c r="G1392" i="1" a="1"/>
  <c r="G1392" i="1" s="1"/>
  <c r="K1392" i="1" a="1"/>
  <c r="K1392" i="1" s="1"/>
  <c r="P1392" i="1" a="1"/>
  <c r="P1392" i="1" s="1"/>
  <c r="C1393" i="1" a="1"/>
  <c r="C1393" i="1" s="1"/>
  <c r="G1393" i="1" a="1"/>
  <c r="G1393" i="1" s="1"/>
  <c r="K1393" i="1" a="1"/>
  <c r="K1393" i="1" s="1"/>
  <c r="P1393" i="1" a="1"/>
  <c r="P1393" i="1" s="1"/>
  <c r="C1394" i="1" a="1"/>
  <c r="C1394" i="1" s="1"/>
  <c r="G1394" i="1" a="1"/>
  <c r="G1394" i="1" s="1"/>
  <c r="K1394" i="1" a="1"/>
  <c r="K1394" i="1" s="1"/>
  <c r="P1394" i="1" a="1"/>
  <c r="P1394" i="1" s="1"/>
  <c r="C1395" i="1" a="1"/>
  <c r="C1395" i="1" s="1"/>
  <c r="G1395" i="1" a="1"/>
  <c r="G1395" i="1" s="1"/>
  <c r="K1395" i="1" a="1"/>
  <c r="K1395" i="1" s="1"/>
  <c r="P1395" i="1" a="1"/>
  <c r="P1395" i="1" s="1"/>
  <c r="C1396" i="1" a="1"/>
  <c r="C1396" i="1" s="1"/>
  <c r="G1396" i="1" a="1"/>
  <c r="G1396" i="1" s="1"/>
  <c r="K1396" i="1" a="1"/>
  <c r="K1396" i="1" s="1"/>
  <c r="P1396" i="1" a="1"/>
  <c r="P1396" i="1" s="1"/>
  <c r="C1397" i="1" a="1"/>
  <c r="C1397" i="1" s="1"/>
  <c r="G1397" i="1" a="1"/>
  <c r="G1397" i="1" s="1"/>
  <c r="J1397" i="1" a="1"/>
  <c r="J1397" i="1" s="1"/>
  <c r="O1397" i="1"/>
  <c r="H1398" i="1" a="1"/>
  <c r="H1398" i="1" s="1"/>
  <c r="P1398" i="1" a="1"/>
  <c r="P1398" i="1" s="1"/>
  <c r="C1399" i="1" a="1"/>
  <c r="C1399" i="1" s="1"/>
  <c r="G1399" i="1" a="1"/>
  <c r="G1399" i="1" s="1"/>
  <c r="K1399" i="1" a="1"/>
  <c r="K1399" i="1" s="1"/>
  <c r="P1399" i="1" a="1"/>
  <c r="P1399" i="1" s="1"/>
  <c r="C1400" i="1" a="1"/>
  <c r="C1400" i="1" s="1"/>
  <c r="G1400" i="1" a="1"/>
  <c r="G1400" i="1" s="1"/>
  <c r="P1400" i="1" a="1"/>
  <c r="P1400" i="1" s="1"/>
  <c r="C1401" i="1" a="1"/>
  <c r="C1401" i="1" s="1"/>
  <c r="L1401" i="1" a="1"/>
  <c r="L1401" i="1" s="1"/>
  <c r="H1402" i="1" a="1"/>
  <c r="H1402" i="1" s="1"/>
  <c r="L1402" i="1" a="1"/>
  <c r="L1402" i="1" s="1"/>
  <c r="Q1402" i="1" a="1"/>
  <c r="Q1402" i="1" s="1"/>
  <c r="D1403" i="1" a="1"/>
  <c r="D1403" i="1" s="1"/>
  <c r="H1403" i="1" a="1"/>
  <c r="H1403" i="1" s="1"/>
  <c r="L1403" i="1" a="1"/>
  <c r="L1403" i="1" s="1"/>
  <c r="Q1403" i="1" a="1"/>
  <c r="Q1403" i="1" s="1"/>
  <c r="D1404" i="1" a="1"/>
  <c r="D1404" i="1" s="1"/>
  <c r="H1404" i="1" a="1"/>
  <c r="H1404" i="1" s="1"/>
  <c r="L1404" i="1" a="1"/>
  <c r="L1404" i="1" s="1"/>
  <c r="Q1404" i="1" a="1"/>
  <c r="Q1404" i="1" s="1"/>
  <c r="D1405" i="1" a="1"/>
  <c r="D1405" i="1" s="1"/>
  <c r="H1405" i="1" a="1"/>
  <c r="H1405" i="1" s="1"/>
  <c r="L1405" i="1" a="1"/>
  <c r="L1405" i="1" s="1"/>
  <c r="Q1405" i="1" a="1"/>
  <c r="Q1405" i="1" s="1"/>
  <c r="D1406" i="1" a="1"/>
  <c r="D1406" i="1" s="1"/>
  <c r="H1406" i="1" a="1"/>
  <c r="H1406" i="1" s="1"/>
  <c r="L1406" i="1" a="1"/>
  <c r="L1406" i="1" s="1"/>
  <c r="Q1406" i="1" a="1"/>
  <c r="Q1406" i="1" s="1"/>
  <c r="D1407" i="1" a="1"/>
  <c r="D1407" i="1" s="1"/>
  <c r="H1407" i="1" a="1"/>
  <c r="H1407" i="1" s="1"/>
  <c r="L1407" i="1" a="1"/>
  <c r="L1407" i="1" s="1"/>
  <c r="Q1407" i="1" a="1"/>
  <c r="Q1407" i="1" s="1"/>
  <c r="D1408" i="1" a="1"/>
  <c r="D1408" i="1" s="1"/>
  <c r="H1408" i="1" a="1"/>
  <c r="H1408" i="1" s="1"/>
  <c r="K1408" i="1" a="1"/>
  <c r="K1408" i="1" s="1"/>
  <c r="M1408" i="1" a="1"/>
  <c r="M1408" i="1" s="1"/>
  <c r="Q1408" i="1" a="1"/>
  <c r="Q1408" i="1" s="1"/>
  <c r="D1409" i="1" a="1"/>
  <c r="D1409" i="1" s="1"/>
  <c r="G1409" i="1" a="1"/>
  <c r="G1409" i="1" s="1"/>
  <c r="M1409" i="1" a="1"/>
  <c r="M1409" i="1" s="1"/>
  <c r="Q1409" i="1" a="1"/>
  <c r="Q1409" i="1" s="1"/>
  <c r="C1410" i="1" a="1"/>
  <c r="C1410" i="1" s="1"/>
  <c r="M1410" i="1" a="1"/>
  <c r="M1410" i="1" s="1"/>
  <c r="M1411" i="1" a="1"/>
  <c r="M1411" i="1" s="1"/>
  <c r="M1412" i="1" a="1"/>
  <c r="M1412" i="1" s="1"/>
  <c r="M1413" i="1" a="1"/>
  <c r="M1413" i="1" s="1"/>
  <c r="M1414" i="1" a="1"/>
  <c r="M1414" i="1" s="1"/>
  <c r="M1415" i="1" a="1"/>
  <c r="M1415" i="1" s="1"/>
  <c r="J1417" i="1" a="1"/>
  <c r="J1417" i="1" s="1"/>
  <c r="O1417" i="1"/>
  <c r="F1418" i="1" a="1"/>
  <c r="F1418" i="1" s="1"/>
  <c r="J1418" i="1" a="1"/>
  <c r="J1418" i="1" s="1"/>
  <c r="O1418" i="1"/>
  <c r="F1419" i="1" a="1"/>
  <c r="F1419" i="1" s="1"/>
  <c r="J1419" i="1" a="1"/>
  <c r="J1419" i="1" s="1"/>
  <c r="O1419" i="1"/>
  <c r="F1420" i="1" a="1"/>
  <c r="F1420" i="1" s="1"/>
  <c r="J1420" i="1" a="1"/>
  <c r="J1420" i="1" s="1"/>
  <c r="O1420" i="1"/>
  <c r="F1421" i="1" a="1"/>
  <c r="F1421" i="1" s="1"/>
  <c r="J1421" i="1" a="1"/>
  <c r="J1421" i="1" s="1"/>
  <c r="O1421" i="1"/>
  <c r="F1422" i="1" a="1"/>
  <c r="F1422" i="1" s="1"/>
  <c r="J1422" i="1" a="1"/>
  <c r="J1422" i="1" s="1"/>
  <c r="O1422" i="1"/>
  <c r="F1423" i="1" a="1"/>
  <c r="F1423" i="1" s="1"/>
  <c r="J1423" i="1" a="1"/>
  <c r="J1423" i="1" s="1"/>
  <c r="O1423" i="1"/>
  <c r="F1424" i="1" a="1"/>
  <c r="F1424" i="1" s="1"/>
  <c r="J1424" i="1" a="1"/>
  <c r="J1424" i="1" s="1"/>
  <c r="L1424" i="1" a="1"/>
  <c r="L1424" i="1" s="1"/>
  <c r="P1424" i="1" a="1"/>
  <c r="P1424" i="1" s="1"/>
  <c r="C1425" i="1" a="1"/>
  <c r="C1425" i="1" s="1"/>
  <c r="G1425" i="1" a="1"/>
  <c r="G1425" i="1" s="1"/>
  <c r="K1425" i="1" a="1"/>
  <c r="K1425" i="1" s="1"/>
  <c r="P1425" i="1" a="1"/>
  <c r="P1425" i="1" s="1"/>
  <c r="C1426" i="1" a="1"/>
  <c r="C1426" i="1" s="1"/>
  <c r="G1426" i="1" a="1"/>
  <c r="G1426" i="1" s="1"/>
  <c r="K1426" i="1" a="1"/>
  <c r="K1426" i="1" s="1"/>
  <c r="P1426" i="1" a="1"/>
  <c r="P1426" i="1" s="1"/>
  <c r="C1427" i="1" a="1"/>
  <c r="C1427" i="1" s="1"/>
  <c r="G1427" i="1" a="1"/>
  <c r="G1427" i="1" s="1"/>
  <c r="K1427" i="1" a="1"/>
  <c r="K1427" i="1" s="1"/>
  <c r="P1427" i="1" a="1"/>
  <c r="P1427" i="1" s="1"/>
  <c r="D1428" i="1" a="1"/>
  <c r="D1428" i="1" s="1"/>
  <c r="H1428" i="1" a="1"/>
  <c r="H1428" i="1" s="1"/>
  <c r="K1428" i="1" a="1"/>
  <c r="K1428" i="1" s="1"/>
  <c r="P1428" i="1" a="1"/>
  <c r="P1428" i="1" s="1"/>
  <c r="C1429" i="1" a="1"/>
  <c r="C1429" i="1" s="1"/>
  <c r="G1429" i="1" a="1"/>
  <c r="G1429" i="1" s="1"/>
  <c r="K1429" i="1" a="1"/>
  <c r="K1429" i="1" s="1"/>
  <c r="P1429" i="1" a="1"/>
  <c r="P1429" i="1" s="1"/>
  <c r="C1430" i="1" a="1"/>
  <c r="C1430" i="1" s="1"/>
  <c r="F1430" i="1" a="1"/>
  <c r="F1430" i="1" s="1"/>
  <c r="J1430" i="1" a="1"/>
  <c r="J1430" i="1" s="1"/>
  <c r="O1430" i="1"/>
  <c r="F1431" i="1" a="1"/>
  <c r="F1431" i="1" s="1"/>
  <c r="J1431" i="1" a="1"/>
  <c r="J1431" i="1" s="1"/>
  <c r="O1431" i="1"/>
  <c r="F1432" i="1" a="1"/>
  <c r="F1432" i="1" s="1"/>
  <c r="J1432" i="1" a="1"/>
  <c r="J1432" i="1" s="1"/>
  <c r="O1432" i="1"/>
  <c r="F1433" i="1" a="1"/>
  <c r="F1433" i="1" s="1"/>
  <c r="J1433" i="1" a="1"/>
  <c r="J1433" i="1" s="1"/>
  <c r="O1433" i="1"/>
  <c r="F1434" i="1" a="1"/>
  <c r="F1434" i="1" s="1"/>
  <c r="J1434" i="1" a="1"/>
  <c r="J1434" i="1" s="1"/>
  <c r="O1434" i="1"/>
  <c r="F1435" i="1" a="1"/>
  <c r="F1435" i="1" s="1"/>
  <c r="J1435" i="1" a="1"/>
  <c r="J1435" i="1" s="1"/>
  <c r="O1435" i="1"/>
  <c r="F1436" i="1" a="1"/>
  <c r="F1436" i="1" s="1"/>
  <c r="J1436" i="1" a="1"/>
  <c r="J1436" i="1" s="1"/>
  <c r="L1436" i="1" a="1"/>
  <c r="L1436" i="1" s="1"/>
  <c r="O1436" i="1"/>
  <c r="F1437" i="1" a="1"/>
  <c r="F1437" i="1" s="1"/>
  <c r="H1437" i="1" a="1"/>
  <c r="H1437" i="1" s="1"/>
  <c r="K1437" i="1" a="1"/>
  <c r="K1437" i="1" s="1"/>
  <c r="P1437" i="1" a="1"/>
  <c r="P1437" i="1" s="1"/>
  <c r="D1438" i="1" a="1"/>
  <c r="D1438" i="1" s="1"/>
  <c r="G1438" i="1" a="1"/>
  <c r="G1438" i="1" s="1"/>
  <c r="K1438" i="1" a="1"/>
  <c r="K1438" i="1" s="1"/>
  <c r="P1438" i="1" a="1"/>
  <c r="P1438" i="1" s="1"/>
  <c r="C1439" i="1" a="1"/>
  <c r="C1439" i="1" s="1"/>
  <c r="G1439" i="1" a="1"/>
  <c r="G1439" i="1" s="1"/>
  <c r="K1439" i="1" a="1"/>
  <c r="K1439" i="1" s="1"/>
  <c r="P1439" i="1" a="1"/>
  <c r="P1439" i="1" s="1"/>
  <c r="C1440" i="1" a="1"/>
  <c r="C1440" i="1" s="1"/>
  <c r="G1440" i="1" a="1"/>
  <c r="G1440" i="1" s="1"/>
  <c r="M1440" i="1" a="1"/>
  <c r="M1440" i="1" s="1"/>
  <c r="H1441" i="1" a="1"/>
  <c r="H1441" i="1" s="1"/>
  <c r="K1441" i="1" a="1"/>
  <c r="K1441" i="1" s="1"/>
  <c r="P1441" i="1" a="1"/>
  <c r="P1441" i="1" s="1"/>
  <c r="M1442" i="1" a="1"/>
  <c r="M1442" i="1" s="1"/>
  <c r="M1443" i="1" a="1"/>
  <c r="M1443" i="1" s="1"/>
  <c r="J1445" i="1" a="1"/>
  <c r="J1445" i="1" s="1"/>
  <c r="O1445" i="1"/>
  <c r="F1446" i="1" a="1"/>
  <c r="F1446" i="1" s="1"/>
  <c r="J1446" i="1" a="1"/>
  <c r="J1446" i="1" s="1"/>
  <c r="O1446" i="1"/>
  <c r="F1447" i="1" a="1"/>
  <c r="F1447" i="1" s="1"/>
  <c r="J1447" i="1" a="1"/>
  <c r="J1447" i="1" s="1"/>
  <c r="O1447" i="1"/>
  <c r="F1448" i="1" a="1"/>
  <c r="F1448" i="1" s="1"/>
  <c r="J1448" i="1" a="1"/>
  <c r="J1448" i="1" s="1"/>
  <c r="M1448" i="1" a="1"/>
  <c r="M1448" i="1" s="1"/>
  <c r="Q1448" i="1" a="1"/>
  <c r="Q1448" i="1" s="1"/>
  <c r="D1449" i="1" a="1"/>
  <c r="D1449" i="1" s="1"/>
  <c r="K1449" i="1" a="1"/>
  <c r="K1449" i="1" s="1"/>
  <c r="P1449" i="1" a="1"/>
  <c r="P1449" i="1" s="1"/>
  <c r="M1450" i="1" a="1"/>
  <c r="M1450" i="1" s="1"/>
  <c r="M1451" i="1" a="1"/>
  <c r="M1451" i="1" s="1"/>
  <c r="J1453" i="1" a="1"/>
  <c r="J1453" i="1" s="1"/>
  <c r="O1453" i="1"/>
  <c r="F1454" i="1" a="1"/>
  <c r="F1454" i="1" s="1"/>
  <c r="K1233" i="1" a="1"/>
  <c r="K1233" i="1" s="1"/>
  <c r="M1234" i="1" a="1"/>
  <c r="M1234" i="1" s="1"/>
  <c r="H1237" i="1" a="1"/>
  <c r="H1237" i="1" s="1"/>
  <c r="J1237" i="14" s="1"/>
  <c r="F1238" i="1" a="1"/>
  <c r="F1238" i="1" s="1"/>
  <c r="R1238" i="14" s="1"/>
  <c r="Q1238" i="1" a="1"/>
  <c r="Q1238" i="1" s="1"/>
  <c r="S1238" i="14" s="1"/>
  <c r="O1239" i="1"/>
  <c r="M1239" i="14" s="1"/>
  <c r="C1240" i="1" a="1"/>
  <c r="C1240" i="1" s="1"/>
  <c r="L1241" i="1" a="1"/>
  <c r="L1241" i="1" s="1"/>
  <c r="G1242" i="1" a="1"/>
  <c r="G1242" i="1" s="1"/>
  <c r="O1242" i="1"/>
  <c r="M1242" i="14" s="1"/>
  <c r="C1243" i="1" a="1"/>
  <c r="C1243" i="1" s="1"/>
  <c r="J1243" i="1" a="1"/>
  <c r="J1243" i="1" s="1"/>
  <c r="H1244" i="1" a="1"/>
  <c r="H1244" i="1" s="1"/>
  <c r="J1244" i="14" s="1"/>
  <c r="Q1244" i="1" a="1"/>
  <c r="Q1244" i="1" s="1"/>
  <c r="S1244" i="14" s="1"/>
  <c r="F1246" i="1" a="1"/>
  <c r="F1246" i="1" s="1"/>
  <c r="R1246" i="14" s="1"/>
  <c r="K1246" i="1" a="1"/>
  <c r="K1246" i="1" s="1"/>
  <c r="G1247" i="1" a="1"/>
  <c r="G1247" i="1" s="1"/>
  <c r="O1247" i="1"/>
  <c r="M1247" i="14" s="1"/>
  <c r="C1248" i="1" a="1"/>
  <c r="C1248" i="1" s="1"/>
  <c r="O1248" i="1"/>
  <c r="M1248" i="14" s="1"/>
  <c r="F1249" i="1" a="1"/>
  <c r="F1249" i="1" s="1"/>
  <c r="R1249" i="14" s="1"/>
  <c r="L1249" i="1" a="1"/>
  <c r="L1249" i="1" s="1"/>
  <c r="G1250" i="1" a="1"/>
  <c r="G1250" i="1" s="1"/>
  <c r="O1250" i="1"/>
  <c r="M1250" i="14" s="1"/>
  <c r="C1251" i="1" a="1"/>
  <c r="C1251" i="1" s="1"/>
  <c r="H1251" i="1" a="1"/>
  <c r="H1251" i="1" s="1"/>
  <c r="J1251" i="14" s="1"/>
  <c r="M1251" i="1" a="1"/>
  <c r="M1251" i="1" s="1"/>
  <c r="K1252" i="1" a="1"/>
  <c r="K1252" i="1" s="1"/>
  <c r="Q1252" i="1" a="1"/>
  <c r="Q1252" i="1" s="1"/>
  <c r="S1252" i="14" s="1"/>
  <c r="D1253" i="1" a="1"/>
  <c r="D1253" i="1" s="1"/>
  <c r="I1253" i="14" s="1"/>
  <c r="H1253" i="1" a="1"/>
  <c r="H1253" i="1" s="1"/>
  <c r="J1253" i="14" s="1"/>
  <c r="K1253" i="1" a="1"/>
  <c r="K1253" i="1" s="1"/>
  <c r="F1254" i="1" a="1"/>
  <c r="F1254" i="1" s="1"/>
  <c r="R1254" i="14" s="1"/>
  <c r="J1254" i="1" a="1"/>
  <c r="J1254" i="1" s="1"/>
  <c r="P1254" i="1" a="1"/>
  <c r="P1254" i="1" s="1"/>
  <c r="P1255" i="1" a="1"/>
  <c r="P1255" i="1" s="1"/>
  <c r="C1256" i="1" a="1"/>
  <c r="C1256" i="1" s="1"/>
  <c r="G1256" i="1" a="1"/>
  <c r="G1256" i="1" s="1"/>
  <c r="K1256" i="1" a="1"/>
  <c r="K1256" i="1" s="1"/>
  <c r="P1256" i="1" a="1"/>
  <c r="P1256" i="1" s="1"/>
  <c r="C1257" i="1" a="1"/>
  <c r="C1257" i="1" s="1"/>
  <c r="G1257" i="1" a="1"/>
  <c r="G1257" i="1" s="1"/>
  <c r="K1257" i="1" a="1"/>
  <c r="K1257" i="1" s="1"/>
  <c r="P1257" i="1" a="1"/>
  <c r="P1257" i="1" s="1"/>
  <c r="C1258" i="1" a="1"/>
  <c r="C1258" i="1" s="1"/>
  <c r="G1258" i="1" a="1"/>
  <c r="G1258" i="1" s="1"/>
  <c r="J1258" i="1" a="1"/>
  <c r="J1258" i="1" s="1"/>
  <c r="O1258" i="1"/>
  <c r="M1258" i="14" s="1"/>
  <c r="F1259" i="1" a="1"/>
  <c r="F1259" i="1" s="1"/>
  <c r="R1259" i="14" s="1"/>
  <c r="J1259" i="1" a="1"/>
  <c r="J1259" i="1" s="1"/>
  <c r="O1259" i="1"/>
  <c r="M1259" i="14" s="1"/>
  <c r="F1260" i="1" a="1"/>
  <c r="F1260" i="1" s="1"/>
  <c r="R1260" i="14" s="1"/>
  <c r="J1260" i="1" a="1"/>
  <c r="J1260" i="1" s="1"/>
  <c r="M1260" i="1" a="1"/>
  <c r="M1260" i="1" s="1"/>
  <c r="M1261" i="1" a="1"/>
  <c r="M1261" i="1" s="1"/>
  <c r="J1262" i="1" a="1"/>
  <c r="J1262" i="1" s="1"/>
  <c r="O1262" i="1"/>
  <c r="M1262" i="14" s="1"/>
  <c r="F1263" i="1" a="1"/>
  <c r="F1263" i="1" s="1"/>
  <c r="R1263" i="14" s="1"/>
  <c r="J1263" i="1" a="1"/>
  <c r="J1263" i="1" s="1"/>
  <c r="O1263" i="1"/>
  <c r="M1263" i="14" s="1"/>
  <c r="F1264" i="1" a="1"/>
  <c r="F1264" i="1" s="1"/>
  <c r="R1264" i="14" s="1"/>
  <c r="G1265" i="1" a="1"/>
  <c r="G1265" i="1" s="1"/>
  <c r="K1265" i="1" a="1"/>
  <c r="K1265" i="1" s="1"/>
  <c r="O1265" i="1"/>
  <c r="M1265" i="14" s="1"/>
  <c r="J1266" i="1" a="1"/>
  <c r="J1266" i="1" s="1"/>
  <c r="O1266" i="1"/>
  <c r="M1266" i="14" s="1"/>
  <c r="H1267" i="1" a="1"/>
  <c r="H1267" i="1" s="1"/>
  <c r="J1267" i="14" s="1"/>
  <c r="L1267" i="1" a="1"/>
  <c r="L1267" i="1" s="1"/>
  <c r="Q1267" i="1" a="1"/>
  <c r="Q1267" i="1" s="1"/>
  <c r="S1267" i="14" s="1"/>
  <c r="D1268" i="1" a="1"/>
  <c r="D1268" i="1" s="1"/>
  <c r="I1268" i="14" s="1"/>
  <c r="H1268" i="1" a="1"/>
  <c r="H1268" i="1" s="1"/>
  <c r="J1268" i="14" s="1"/>
  <c r="P1268" i="1" a="1"/>
  <c r="P1268" i="1" s="1"/>
  <c r="C1269" i="1" a="1"/>
  <c r="C1269" i="1" s="1"/>
  <c r="G1269" i="1" a="1"/>
  <c r="G1269" i="1" s="1"/>
  <c r="K1269" i="1" a="1"/>
  <c r="K1269" i="1" s="1"/>
  <c r="P1269" i="1" a="1"/>
  <c r="P1269" i="1" s="1"/>
  <c r="C1270" i="1" a="1"/>
  <c r="C1270" i="1" s="1"/>
  <c r="G1270" i="1" a="1"/>
  <c r="G1270" i="1" s="1"/>
  <c r="J1270" i="1" a="1"/>
  <c r="J1270" i="1" s="1"/>
  <c r="M1270" i="1" a="1"/>
  <c r="M1270" i="1" s="1"/>
  <c r="Q1270" i="1" a="1"/>
  <c r="Q1270" i="1" s="1"/>
  <c r="S1270" i="14" s="1"/>
  <c r="D1271" i="1" a="1"/>
  <c r="D1271" i="1" s="1"/>
  <c r="I1271" i="14" s="1"/>
  <c r="H1271" i="1" a="1"/>
  <c r="H1271" i="1" s="1"/>
  <c r="J1271" i="14" s="1"/>
  <c r="L1271" i="1" a="1"/>
  <c r="L1271" i="1" s="1"/>
  <c r="P1271" i="1" a="1"/>
  <c r="P1271" i="1" s="1"/>
  <c r="C1272" i="1" a="1"/>
  <c r="C1272" i="1" s="1"/>
  <c r="G1272" i="1" a="1"/>
  <c r="G1272" i="1" s="1"/>
  <c r="K1272" i="1" a="1"/>
  <c r="K1272" i="1" s="1"/>
  <c r="P1272" i="1" a="1"/>
  <c r="P1272" i="1" s="1"/>
  <c r="C1273" i="1" a="1"/>
  <c r="C1273" i="1" s="1"/>
  <c r="G1273" i="1" a="1"/>
  <c r="G1273" i="1" s="1"/>
  <c r="K1273" i="1" a="1"/>
  <c r="K1273" i="1" s="1"/>
  <c r="P1273" i="1" a="1"/>
  <c r="P1273" i="1" s="1"/>
  <c r="C1274" i="1" a="1"/>
  <c r="C1274" i="1" s="1"/>
  <c r="G1274" i="1" a="1"/>
  <c r="G1274" i="1" s="1"/>
  <c r="P1274" i="1" a="1"/>
  <c r="P1274" i="1" s="1"/>
  <c r="C1275" i="1" a="1"/>
  <c r="C1275" i="1" s="1"/>
  <c r="P1275" i="1" a="1"/>
  <c r="P1275" i="1" s="1"/>
  <c r="C1276" i="1" a="1"/>
  <c r="C1276" i="1" s="1"/>
  <c r="G1276" i="1" a="1"/>
  <c r="G1276" i="1" s="1"/>
  <c r="K1276" i="1" a="1"/>
  <c r="K1276" i="1" s="1"/>
  <c r="P1276" i="1" a="1"/>
  <c r="P1276" i="1" s="1"/>
  <c r="C1277" i="1" a="1"/>
  <c r="C1277" i="1" s="1"/>
  <c r="G1277" i="1" a="1"/>
  <c r="G1277" i="1" s="1"/>
  <c r="K1277" i="1" a="1"/>
  <c r="K1277" i="1" s="1"/>
  <c r="P1277" i="1" a="1"/>
  <c r="P1277" i="1" s="1"/>
  <c r="C1278" i="1" a="1"/>
  <c r="C1278" i="1" s="1"/>
  <c r="G1278" i="1" a="1"/>
  <c r="G1278" i="1" s="1"/>
  <c r="K1278" i="1" a="1"/>
  <c r="K1278" i="1" s="1"/>
  <c r="P1278" i="1" a="1"/>
  <c r="P1278" i="1" s="1"/>
  <c r="C1279" i="1" a="1"/>
  <c r="C1279" i="1" s="1"/>
  <c r="G1279" i="1" a="1"/>
  <c r="G1279" i="1" s="1"/>
  <c r="J1279" i="1" a="1"/>
  <c r="J1279" i="1" s="1"/>
  <c r="O1279" i="1"/>
  <c r="M1279" i="14" s="1"/>
  <c r="P1280" i="1" a="1"/>
  <c r="P1280" i="1" s="1"/>
  <c r="C1281" i="1" a="1"/>
  <c r="C1281" i="1" s="1"/>
  <c r="G1281" i="1" a="1"/>
  <c r="G1281" i="1" s="1"/>
  <c r="K1281" i="1" a="1"/>
  <c r="K1281" i="1" s="1"/>
  <c r="O1281" i="1"/>
  <c r="M1281" i="14" s="1"/>
  <c r="F1282" i="1" a="1"/>
  <c r="F1282" i="1" s="1"/>
  <c r="R1282" i="14" s="1"/>
  <c r="J1282" i="1" a="1"/>
  <c r="J1282" i="1" s="1"/>
  <c r="L1282" i="1" a="1"/>
  <c r="L1282" i="1" s="1"/>
  <c r="P1282" i="1" a="1"/>
  <c r="P1282" i="1" s="1"/>
  <c r="C1283" i="1" a="1"/>
  <c r="C1283" i="1" s="1"/>
  <c r="G1283" i="1" a="1"/>
  <c r="G1283" i="1" s="1"/>
  <c r="J1283" i="1" a="1"/>
  <c r="J1283" i="1" s="1"/>
  <c r="O1283" i="1"/>
  <c r="M1283" i="14" s="1"/>
  <c r="M1284" i="1" a="1"/>
  <c r="M1284" i="1" s="1"/>
  <c r="Q1284" i="1" a="1"/>
  <c r="Q1284" i="1" s="1"/>
  <c r="S1284" i="14" s="1"/>
  <c r="D1285" i="1" a="1"/>
  <c r="D1285" i="1" s="1"/>
  <c r="I1285" i="14" s="1"/>
  <c r="H1285" i="1" a="1"/>
  <c r="H1285" i="1" s="1"/>
  <c r="J1285" i="14" s="1"/>
  <c r="L1285" i="1" a="1"/>
  <c r="L1285" i="1" s="1"/>
  <c r="Q1285" i="1" a="1"/>
  <c r="Q1285" i="1" s="1"/>
  <c r="S1285" i="14" s="1"/>
  <c r="D1286" i="1" a="1"/>
  <c r="D1286" i="1" s="1"/>
  <c r="I1286" i="14" s="1"/>
  <c r="G1286" i="1" a="1"/>
  <c r="G1286" i="1" s="1"/>
  <c r="K1286" i="1" a="1"/>
  <c r="K1286" i="1" s="1"/>
  <c r="O1286" i="1"/>
  <c r="M1286" i="14" s="1"/>
  <c r="F1287" i="1" a="1"/>
  <c r="F1287" i="1" s="1"/>
  <c r="R1287" i="14" s="1"/>
  <c r="J1287" i="1" a="1"/>
  <c r="J1287" i="1" s="1"/>
  <c r="O1287" i="1"/>
  <c r="M1287" i="14" s="1"/>
  <c r="F1288" i="1" a="1"/>
  <c r="F1288" i="1" s="1"/>
  <c r="R1288" i="14" s="1"/>
  <c r="J1288" i="1" a="1"/>
  <c r="J1288" i="1" s="1"/>
  <c r="D1289" i="1" a="1"/>
  <c r="D1289" i="1" s="1"/>
  <c r="I1289" i="14" s="1"/>
  <c r="O1289" i="1"/>
  <c r="M1289" i="14" s="1"/>
  <c r="F1290" i="1" a="1"/>
  <c r="F1290" i="1" s="1"/>
  <c r="R1290" i="14" s="1"/>
  <c r="J1290" i="1" a="1"/>
  <c r="J1290" i="1" s="1"/>
  <c r="O1290" i="1"/>
  <c r="M1290" i="14" s="1"/>
  <c r="F1291" i="1" a="1"/>
  <c r="F1291" i="1" s="1"/>
  <c r="R1291" i="14" s="1"/>
  <c r="J1291" i="1" a="1"/>
  <c r="J1291" i="1" s="1"/>
  <c r="O1291" i="1"/>
  <c r="M1291" i="14" s="1"/>
  <c r="F1292" i="1" a="1"/>
  <c r="F1292" i="1" s="1"/>
  <c r="R1292" i="14" s="1"/>
  <c r="J1292" i="1" a="1"/>
  <c r="J1292" i="1" s="1"/>
  <c r="M1292" i="1" a="1"/>
  <c r="M1292" i="1" s="1"/>
  <c r="H1293" i="1" a="1"/>
  <c r="H1293" i="1" s="1"/>
  <c r="J1293" i="14" s="1"/>
  <c r="L1293" i="1" a="1"/>
  <c r="L1293" i="1" s="1"/>
  <c r="Q1293" i="1" a="1"/>
  <c r="Q1293" i="1" s="1"/>
  <c r="S1293" i="14" s="1"/>
  <c r="D1294" i="1" a="1"/>
  <c r="D1294" i="1" s="1"/>
  <c r="I1294" i="14" s="1"/>
  <c r="G1294" i="1" a="1"/>
  <c r="G1294" i="1" s="1"/>
  <c r="K1294" i="1" a="1"/>
  <c r="K1294" i="1" s="1"/>
  <c r="O1294" i="1"/>
  <c r="M1294" i="14" s="1"/>
  <c r="F1295" i="1" a="1"/>
  <c r="F1295" i="1" s="1"/>
  <c r="R1295" i="14" s="1"/>
  <c r="J1295" i="1" a="1"/>
  <c r="J1295" i="1" s="1"/>
  <c r="O1295" i="1"/>
  <c r="M1295" i="14" s="1"/>
  <c r="F1296" i="1" a="1"/>
  <c r="F1296" i="1" s="1"/>
  <c r="R1296" i="14" s="1"/>
  <c r="J1296" i="1" a="1"/>
  <c r="J1296" i="1" s="1"/>
  <c r="M1296" i="1" a="1"/>
  <c r="M1296" i="1" s="1"/>
  <c r="L1297" i="1" a="1"/>
  <c r="L1297" i="1" s="1"/>
  <c r="Q1297" i="1" a="1"/>
  <c r="Q1297" i="1" s="1"/>
  <c r="S1297" i="14" s="1"/>
  <c r="D1298" i="1" a="1"/>
  <c r="D1298" i="1" s="1"/>
  <c r="I1298" i="14" s="1"/>
  <c r="H1298" i="1" a="1"/>
  <c r="H1298" i="1" s="1"/>
  <c r="J1298" i="14" s="1"/>
  <c r="L1298" i="1" a="1"/>
  <c r="L1298" i="1" s="1"/>
  <c r="P1298" i="1" a="1"/>
  <c r="P1298" i="1" s="1"/>
  <c r="C1299" i="1" a="1"/>
  <c r="C1299" i="1" s="1"/>
  <c r="G1299" i="1" a="1"/>
  <c r="G1299" i="1" s="1"/>
  <c r="K1299" i="1" a="1"/>
  <c r="K1299" i="1" s="1"/>
  <c r="P1299" i="1" a="1"/>
  <c r="P1299" i="1" s="1"/>
  <c r="C1300" i="1" a="1"/>
  <c r="C1300" i="1" s="1"/>
  <c r="G1300" i="1" a="1"/>
  <c r="G1300" i="1" s="1"/>
  <c r="K1300" i="1" a="1"/>
  <c r="K1300" i="1" s="1"/>
  <c r="P1300" i="1" a="1"/>
  <c r="P1300" i="1" s="1"/>
  <c r="C1301" i="1" a="1"/>
  <c r="C1301" i="1" s="1"/>
  <c r="J1301" i="1" a="1"/>
  <c r="J1301" i="1" s="1"/>
  <c r="O1301" i="1"/>
  <c r="M1301" i="14" s="1"/>
  <c r="F1302" i="1" a="1"/>
  <c r="F1302" i="1" s="1"/>
  <c r="R1302" i="14" s="1"/>
  <c r="J1302" i="1" a="1"/>
  <c r="J1302" i="1" s="1"/>
  <c r="M1303" i="1" a="1"/>
  <c r="M1303" i="1" s="1"/>
  <c r="Q1304" i="1" a="1"/>
  <c r="Q1304" i="1" s="1"/>
  <c r="S1304" i="14" s="1"/>
  <c r="D1305" i="1" a="1"/>
  <c r="D1305" i="1" s="1"/>
  <c r="I1305" i="14" s="1"/>
  <c r="H1305" i="1" a="1"/>
  <c r="H1305" i="1" s="1"/>
  <c r="J1305" i="14" s="1"/>
  <c r="L1305" i="1" a="1"/>
  <c r="L1305" i="1" s="1"/>
  <c r="Q1305" i="1" a="1"/>
  <c r="Q1305" i="1" s="1"/>
  <c r="S1305" i="14" s="1"/>
  <c r="D1306" i="1" a="1"/>
  <c r="D1306" i="1" s="1"/>
  <c r="I1306" i="14" s="1"/>
  <c r="H1306" i="1" a="1"/>
  <c r="H1306" i="1" s="1"/>
  <c r="J1306" i="14" s="1"/>
  <c r="L1306" i="1" a="1"/>
  <c r="L1306" i="1" s="1"/>
  <c r="Q1306" i="1" a="1"/>
  <c r="Q1306" i="1" s="1"/>
  <c r="S1306" i="14" s="1"/>
  <c r="D1307" i="1" a="1"/>
  <c r="D1307" i="1" s="1"/>
  <c r="I1307" i="14" s="1"/>
  <c r="K1307" i="1" a="1"/>
  <c r="K1307" i="1" s="1"/>
  <c r="P1307" i="1" a="1"/>
  <c r="P1307" i="1" s="1"/>
  <c r="L1308" i="1" a="1"/>
  <c r="L1308" i="1" s="1"/>
  <c r="Q1308" i="1" a="1"/>
  <c r="Q1308" i="1" s="1"/>
  <c r="S1308" i="14" s="1"/>
  <c r="D1309" i="1" a="1"/>
  <c r="D1309" i="1" s="1"/>
  <c r="I1309" i="14" s="1"/>
  <c r="H1309" i="1" a="1"/>
  <c r="H1309" i="1" s="1"/>
  <c r="J1309" i="14" s="1"/>
  <c r="L1309" i="1" a="1"/>
  <c r="L1309" i="1" s="1"/>
  <c r="Q1309" i="1" a="1"/>
  <c r="Q1309" i="1" s="1"/>
  <c r="S1309" i="14" s="1"/>
  <c r="D1310" i="1" a="1"/>
  <c r="D1310" i="1" s="1"/>
  <c r="I1310" i="14" s="1"/>
  <c r="H1310" i="1" a="1"/>
  <c r="H1310" i="1" s="1"/>
  <c r="J1310" i="14" s="1"/>
  <c r="L1310" i="1" a="1"/>
  <c r="L1310" i="1" s="1"/>
  <c r="Q1310" i="1" a="1"/>
  <c r="Q1310" i="1" s="1"/>
  <c r="S1310" i="14" s="1"/>
  <c r="D1311" i="1" a="1"/>
  <c r="D1311" i="1" s="1"/>
  <c r="I1311" i="14" s="1"/>
  <c r="H1311" i="1" a="1"/>
  <c r="H1311" i="1" s="1"/>
  <c r="J1311" i="14" s="1"/>
  <c r="L1311" i="1" a="1"/>
  <c r="L1311" i="1" s="1"/>
  <c r="Q1311" i="1" a="1"/>
  <c r="Q1311" i="1" s="1"/>
  <c r="S1311" i="14" s="1"/>
  <c r="D1312" i="1" a="1"/>
  <c r="D1312" i="1" s="1"/>
  <c r="I1312" i="14" s="1"/>
  <c r="H1312" i="1" a="1"/>
  <c r="H1312" i="1" s="1"/>
  <c r="J1312" i="14" s="1"/>
  <c r="L1312" i="1" a="1"/>
  <c r="L1312" i="1" s="1"/>
  <c r="Q1312" i="1" a="1"/>
  <c r="Q1312" i="1" s="1"/>
  <c r="S1312" i="14" s="1"/>
  <c r="D1313" i="1" a="1"/>
  <c r="D1313" i="1" s="1"/>
  <c r="I1313" i="14" s="1"/>
  <c r="H1313" i="1" a="1"/>
  <c r="H1313" i="1" s="1"/>
  <c r="J1313" i="14" s="1"/>
  <c r="K1313" i="1" a="1"/>
  <c r="K1313" i="1" s="1"/>
  <c r="P1313" i="1" a="1"/>
  <c r="P1313" i="1" s="1"/>
  <c r="L1314" i="1" a="1"/>
  <c r="L1314" i="1" s="1"/>
  <c r="Q1314" i="1" a="1"/>
  <c r="Q1314" i="1" s="1"/>
  <c r="S1314" i="14" s="1"/>
  <c r="D1315" i="1" a="1"/>
  <c r="D1315" i="1" s="1"/>
  <c r="I1315" i="14" s="1"/>
  <c r="H1315" i="1" a="1"/>
  <c r="H1315" i="1" s="1"/>
  <c r="J1315" i="14" s="1"/>
  <c r="L1315" i="1" a="1"/>
  <c r="L1315" i="1" s="1"/>
  <c r="Q1315" i="1" a="1"/>
  <c r="Q1315" i="1" s="1"/>
  <c r="S1315" i="14" s="1"/>
  <c r="D1316" i="1" a="1"/>
  <c r="D1316" i="1" s="1"/>
  <c r="I1316" i="14" s="1"/>
  <c r="H1316" i="1" a="1"/>
  <c r="H1316" i="1" s="1"/>
  <c r="J1316" i="14" s="1"/>
  <c r="L1316" i="1" a="1"/>
  <c r="L1316" i="1" s="1"/>
  <c r="Q1316" i="1" a="1"/>
  <c r="Q1316" i="1" s="1"/>
  <c r="S1316" i="14" s="1"/>
  <c r="D1317" i="1" a="1"/>
  <c r="D1317" i="1" s="1"/>
  <c r="I1317" i="14" s="1"/>
  <c r="G1317" i="1" a="1"/>
  <c r="G1317" i="1" s="1"/>
  <c r="K1317" i="1" a="1"/>
  <c r="K1317" i="1" s="1"/>
  <c r="P1317" i="1" a="1"/>
  <c r="P1317" i="1" s="1"/>
  <c r="C1318" i="1" a="1"/>
  <c r="C1318" i="1" s="1"/>
  <c r="G1318" i="1" a="1"/>
  <c r="G1318" i="1" s="1"/>
  <c r="K1318" i="1" a="1"/>
  <c r="K1318" i="1" s="1"/>
  <c r="O1318" i="1"/>
  <c r="M1318" i="14" s="1"/>
  <c r="F1319" i="1" a="1"/>
  <c r="F1319" i="1" s="1"/>
  <c r="R1319" i="14" s="1"/>
  <c r="J1319" i="1" a="1"/>
  <c r="J1319" i="1" s="1"/>
  <c r="O1319" i="1"/>
  <c r="M1319" i="14" s="1"/>
  <c r="F1320" i="1" a="1"/>
  <c r="F1320" i="1" s="1"/>
  <c r="R1320" i="14" s="1"/>
  <c r="J1320" i="1" a="1"/>
  <c r="J1320" i="1" s="1"/>
  <c r="M1320" i="1" a="1"/>
  <c r="M1320" i="1" s="1"/>
  <c r="M1321" i="1" a="1"/>
  <c r="M1321" i="1" s="1"/>
  <c r="M1322" i="1" a="1"/>
  <c r="M1322" i="1" s="1"/>
  <c r="H1323" i="1" a="1"/>
  <c r="H1323" i="1" s="1"/>
  <c r="L1323" i="1" a="1"/>
  <c r="L1323" i="1" s="1"/>
  <c r="Q1323" i="1" a="1"/>
  <c r="Q1323" i="1" s="1"/>
  <c r="C1324" i="1" a="1"/>
  <c r="C1324" i="1" s="1"/>
  <c r="F1324" i="1" a="1"/>
  <c r="F1324" i="1" s="1"/>
  <c r="J1324" i="1" a="1"/>
  <c r="J1324" i="1" s="1"/>
  <c r="M1324" i="1" a="1"/>
  <c r="M1324" i="1" s="1"/>
  <c r="L1325" i="1" a="1"/>
  <c r="L1325" i="1" s="1"/>
  <c r="Q1325" i="1" a="1"/>
  <c r="Q1325" i="1" s="1"/>
  <c r="D1326" i="1" a="1"/>
  <c r="D1326" i="1" s="1"/>
  <c r="H1326" i="1" a="1"/>
  <c r="H1326" i="1" s="1"/>
  <c r="L1326" i="1" a="1"/>
  <c r="L1326" i="1" s="1"/>
  <c r="C1327" i="1" a="1"/>
  <c r="C1327" i="1" s="1"/>
  <c r="G1327" i="1" a="1"/>
  <c r="G1327" i="1" s="1"/>
  <c r="K1327" i="1" a="1"/>
  <c r="K1327" i="1" s="1"/>
  <c r="P1327" i="1" a="1"/>
  <c r="P1327" i="1" s="1"/>
  <c r="C1328" i="1" a="1"/>
  <c r="C1328" i="1" s="1"/>
  <c r="G1328" i="1" a="1"/>
  <c r="G1328" i="1" s="1"/>
  <c r="K1328" i="1" a="1"/>
  <c r="K1328" i="1" s="1"/>
  <c r="P1328" i="1" a="1"/>
  <c r="P1328" i="1" s="1"/>
  <c r="C1329" i="1" a="1"/>
  <c r="C1329" i="1" s="1"/>
  <c r="G1329" i="1" a="1"/>
  <c r="G1329" i="1" s="1"/>
  <c r="J1329" i="1" a="1"/>
  <c r="J1329" i="1" s="1"/>
  <c r="O1329" i="1"/>
  <c r="F1330" i="1" a="1"/>
  <c r="F1330" i="1" s="1"/>
  <c r="J1330" i="1" a="1"/>
  <c r="J1330" i="1" s="1"/>
  <c r="O1330" i="1"/>
  <c r="F1331" i="1" a="1"/>
  <c r="F1331" i="1" s="1"/>
  <c r="M1331" i="1" a="1"/>
  <c r="M1331" i="1" s="1"/>
  <c r="G1332" i="1" a="1"/>
  <c r="G1332" i="1" s="1"/>
  <c r="K1332" i="1" a="1"/>
  <c r="K1332" i="1" s="1"/>
  <c r="O1332" i="1"/>
  <c r="F1333" i="1" a="1"/>
  <c r="F1333" i="1" s="1"/>
  <c r="J1333" i="1" a="1"/>
  <c r="J1333" i="1" s="1"/>
  <c r="M1333" i="1" a="1"/>
  <c r="M1333" i="1" s="1"/>
  <c r="Q1333" i="1" a="1"/>
  <c r="Q1333" i="1" s="1"/>
  <c r="D1334" i="1" a="1"/>
  <c r="D1334" i="1" s="1"/>
  <c r="G1334" i="1" a="1"/>
  <c r="G1334" i="1" s="1"/>
  <c r="K1334" i="1" a="1"/>
  <c r="K1334" i="1" s="1"/>
  <c r="P1334" i="1" a="1"/>
  <c r="P1334" i="1" s="1"/>
  <c r="F1335" i="1" a="1"/>
  <c r="F1335" i="1" s="1"/>
  <c r="J1335" i="1" a="1"/>
  <c r="J1335" i="1" s="1"/>
  <c r="O1335" i="1"/>
  <c r="F1336" i="1" a="1"/>
  <c r="F1336" i="1" s="1"/>
  <c r="J1336" i="1" a="1"/>
  <c r="J1336" i="1" s="1"/>
  <c r="O1336" i="1"/>
  <c r="D1337" i="1" a="1"/>
  <c r="D1337" i="1" s="1"/>
  <c r="G1337" i="1" a="1"/>
  <c r="G1337" i="1" s="1"/>
  <c r="K1337" i="1" a="1"/>
  <c r="K1337" i="1" s="1"/>
  <c r="P1337" i="1" a="1"/>
  <c r="P1337" i="1" s="1"/>
  <c r="C1338" i="1" a="1"/>
  <c r="C1338" i="1" s="1"/>
  <c r="J1338" i="1" a="1"/>
  <c r="J1338" i="1" s="1"/>
  <c r="M1339" i="1" a="1"/>
  <c r="M1339" i="1" s="1"/>
  <c r="M1340" i="1" a="1"/>
  <c r="M1340" i="1" s="1"/>
  <c r="L1341" i="1" a="1"/>
  <c r="L1341" i="1" s="1"/>
  <c r="Q1341" i="1" a="1"/>
  <c r="Q1341" i="1" s="1"/>
  <c r="D1342" i="1" a="1"/>
  <c r="D1342" i="1" s="1"/>
  <c r="H1342" i="1" a="1"/>
  <c r="H1342" i="1" s="1"/>
  <c r="L1342" i="1" a="1"/>
  <c r="L1342" i="1" s="1"/>
  <c r="Q1342" i="1" a="1"/>
  <c r="Q1342" i="1" s="1"/>
  <c r="D1343" i="1" a="1"/>
  <c r="D1343" i="1" s="1"/>
  <c r="K1343" i="1" a="1"/>
  <c r="K1343" i="1" s="1"/>
  <c r="P1343" i="1" a="1"/>
  <c r="P1343" i="1" s="1"/>
  <c r="L1344" i="1" a="1"/>
  <c r="L1344" i="1" s="1"/>
  <c r="Q1344" i="1" a="1"/>
  <c r="Q1344" i="1" s="1"/>
  <c r="D1345" i="1" a="1"/>
  <c r="D1345" i="1" s="1"/>
  <c r="H1345" i="1" a="1"/>
  <c r="H1345" i="1" s="1"/>
  <c r="K1345" i="1" a="1"/>
  <c r="K1345" i="1" s="1"/>
  <c r="P1345" i="1" a="1"/>
  <c r="P1345" i="1" s="1"/>
  <c r="C1346" i="1" a="1"/>
  <c r="C1346" i="1" s="1"/>
  <c r="G1346" i="1" a="1"/>
  <c r="G1346" i="1" s="1"/>
  <c r="K1346" i="1" a="1"/>
  <c r="K1346" i="1" s="1"/>
  <c r="P1346" i="1" a="1"/>
  <c r="P1346" i="1" s="1"/>
  <c r="C1347" i="1" a="1"/>
  <c r="C1347" i="1" s="1"/>
  <c r="G1347" i="1" a="1"/>
  <c r="G1347" i="1" s="1"/>
  <c r="J1347" i="1" a="1"/>
  <c r="J1347" i="1" s="1"/>
  <c r="O1347" i="1"/>
  <c r="D1348" i="1" a="1"/>
  <c r="D1348" i="1" s="1"/>
  <c r="H1348" i="1" a="1"/>
  <c r="H1348" i="1" s="1"/>
  <c r="K1348" i="1" a="1"/>
  <c r="K1348" i="1" s="1"/>
  <c r="P1348" i="1" a="1"/>
  <c r="P1348" i="1" s="1"/>
  <c r="C1349" i="1" a="1"/>
  <c r="C1349" i="1" s="1"/>
  <c r="G1349" i="1" a="1"/>
  <c r="G1349" i="1" s="1"/>
  <c r="K1349" i="1" a="1"/>
  <c r="K1349" i="1" s="1"/>
  <c r="P1349" i="1" a="1"/>
  <c r="P1349" i="1" s="1"/>
  <c r="C1350" i="1" a="1"/>
  <c r="C1350" i="1" s="1"/>
  <c r="F1350" i="1" a="1"/>
  <c r="F1350" i="1" s="1"/>
  <c r="J1350" i="1" a="1"/>
  <c r="J1350" i="1" s="1"/>
  <c r="O1350" i="1"/>
  <c r="M1351" i="1" a="1"/>
  <c r="M1351" i="1" s="1"/>
  <c r="H1352" i="1" a="1"/>
  <c r="H1352" i="1" s="1"/>
  <c r="K1352" i="1" a="1"/>
  <c r="K1352" i="1" s="1"/>
  <c r="P1352" i="1" a="1"/>
  <c r="P1352" i="1" s="1"/>
  <c r="C1353" i="1" a="1"/>
  <c r="C1353" i="1" s="1"/>
  <c r="G1353" i="1" a="1"/>
  <c r="G1353" i="1" s="1"/>
  <c r="O1353" i="1"/>
  <c r="F1354" i="1" a="1"/>
  <c r="F1354" i="1" s="1"/>
  <c r="M1354" i="1" a="1"/>
  <c r="M1354" i="1" s="1"/>
  <c r="Q1354" i="1" a="1"/>
  <c r="Q1354" i="1" s="1"/>
  <c r="D1355" i="1" a="1"/>
  <c r="D1355" i="1" s="1"/>
  <c r="K1355" i="1" a="1"/>
  <c r="K1355" i="1" s="1"/>
  <c r="P1355" i="1" a="1"/>
  <c r="P1355" i="1" s="1"/>
  <c r="C1356" i="1" a="1"/>
  <c r="C1356" i="1" s="1"/>
  <c r="G1356" i="1" a="1"/>
  <c r="G1356" i="1" s="1"/>
  <c r="K1356" i="1" a="1"/>
  <c r="K1356" i="1" s="1"/>
  <c r="P1356" i="1" a="1"/>
  <c r="P1356" i="1" s="1"/>
  <c r="C1357" i="1" a="1"/>
  <c r="C1357" i="1" s="1"/>
  <c r="G1357" i="1" a="1"/>
  <c r="G1357" i="1" s="1"/>
  <c r="K1357" i="1" a="1"/>
  <c r="K1357" i="1" s="1"/>
  <c r="O1357" i="1"/>
  <c r="P1358" i="1" a="1"/>
  <c r="P1358" i="1" s="1"/>
  <c r="C1359" i="1" a="1"/>
  <c r="C1359" i="1" s="1"/>
  <c r="G1359" i="1" a="1"/>
  <c r="G1359" i="1" s="1"/>
  <c r="K1359" i="1" a="1"/>
  <c r="K1359" i="1" s="1"/>
  <c r="P1359" i="1" a="1"/>
  <c r="P1359" i="1" s="1"/>
  <c r="C1360" i="1" a="1"/>
  <c r="C1360" i="1" s="1"/>
  <c r="G1360" i="1" a="1"/>
  <c r="G1360" i="1" s="1"/>
  <c r="K1360" i="1" a="1"/>
  <c r="K1360" i="1" s="1"/>
  <c r="O1360" i="1"/>
  <c r="F1361" i="1" a="1"/>
  <c r="F1361" i="1" s="1"/>
  <c r="J1361" i="1" a="1"/>
  <c r="J1361" i="1" s="1"/>
  <c r="M1361" i="1" a="1"/>
  <c r="M1361" i="1" s="1"/>
  <c r="Q1361" i="1" a="1"/>
  <c r="Q1361" i="1" s="1"/>
  <c r="D1362" i="1" a="1"/>
  <c r="D1362" i="1" s="1"/>
  <c r="G1362" i="1" a="1"/>
  <c r="G1362" i="1" s="1"/>
  <c r="K1362" i="1" a="1"/>
  <c r="K1362" i="1" s="1"/>
  <c r="O1362" i="1"/>
  <c r="F1363" i="1" a="1"/>
  <c r="F1363" i="1" s="1"/>
  <c r="J1363" i="1" a="1"/>
  <c r="J1363" i="1" s="1"/>
  <c r="O1363" i="1"/>
  <c r="F1364" i="1" a="1"/>
  <c r="F1364" i="1" s="1"/>
  <c r="L1364" i="1" a="1"/>
  <c r="L1364" i="1" s="1"/>
  <c r="Q1364" i="1" a="1"/>
  <c r="Q1364" i="1" s="1"/>
  <c r="D1365" i="1" a="1"/>
  <c r="D1365" i="1" s="1"/>
  <c r="H1365" i="1" a="1"/>
  <c r="H1365" i="1" s="1"/>
  <c r="K1365" i="1" a="1"/>
  <c r="K1365" i="1" s="1"/>
  <c r="P1365" i="1" a="1"/>
  <c r="P1365" i="1" s="1"/>
  <c r="C1366" i="1" a="1"/>
  <c r="C1366" i="1" s="1"/>
  <c r="G1366" i="1" a="1"/>
  <c r="G1366" i="1" s="1"/>
  <c r="K1366" i="1" a="1"/>
  <c r="K1366" i="1" s="1"/>
  <c r="P1366" i="1" a="1"/>
  <c r="P1366" i="1" s="1"/>
  <c r="C1367" i="1" a="1"/>
  <c r="C1367" i="1" s="1"/>
  <c r="G1367" i="1" a="1"/>
  <c r="G1367" i="1" s="1"/>
  <c r="J1367" i="1" a="1"/>
  <c r="J1367" i="1" s="1"/>
  <c r="O1367" i="1"/>
  <c r="D1368" i="1" a="1"/>
  <c r="D1368" i="1" s="1"/>
  <c r="H1368" i="1" a="1"/>
  <c r="H1368" i="1" s="1"/>
  <c r="K1368" i="1" a="1"/>
  <c r="K1368" i="1" s="1"/>
  <c r="P1368" i="1" a="1"/>
  <c r="P1368" i="1" s="1"/>
  <c r="C1369" i="1" a="1"/>
  <c r="C1369" i="1" s="1"/>
  <c r="G1369" i="1" a="1"/>
  <c r="G1369" i="1" s="1"/>
  <c r="K1369" i="1" a="1"/>
  <c r="K1369" i="1" s="1"/>
  <c r="P1369" i="1" a="1"/>
  <c r="P1369" i="1" s="1"/>
  <c r="C1370" i="1" a="1"/>
  <c r="C1370" i="1" s="1"/>
  <c r="G1370" i="1" a="1"/>
  <c r="G1370" i="1" s="1"/>
  <c r="K1370" i="1" a="1"/>
  <c r="K1370" i="1" s="1"/>
  <c r="P1370" i="1" a="1"/>
  <c r="P1370" i="1" s="1"/>
  <c r="C1371" i="1" a="1"/>
  <c r="C1371" i="1" s="1"/>
  <c r="G1371" i="1" a="1"/>
  <c r="G1371" i="1" s="1"/>
  <c r="K1371" i="1" a="1"/>
  <c r="K1371" i="1" s="1"/>
  <c r="P1371" i="1" a="1"/>
  <c r="P1371" i="1" s="1"/>
  <c r="C1372" i="1" a="1"/>
  <c r="C1372" i="1" s="1"/>
  <c r="G1372" i="1" a="1"/>
  <c r="G1372" i="1" s="1"/>
  <c r="K1372" i="1" a="1"/>
  <c r="K1372" i="1" s="1"/>
  <c r="P1372" i="1" a="1"/>
  <c r="P1372" i="1" s="1"/>
  <c r="C1373" i="1" a="1"/>
  <c r="C1373" i="1" s="1"/>
  <c r="J1373" i="1" a="1"/>
  <c r="J1373" i="1" s="1"/>
  <c r="O1373" i="1"/>
  <c r="F1374" i="1" a="1"/>
  <c r="F1374" i="1" s="1"/>
  <c r="J1374" i="1" a="1"/>
  <c r="J1374" i="1" s="1"/>
  <c r="M1375" i="1" a="1"/>
  <c r="M1375" i="1" s="1"/>
  <c r="Q1376" i="1" a="1"/>
  <c r="Q1376" i="1" s="1"/>
  <c r="D1377" i="1" a="1"/>
  <c r="D1377" i="1" s="1"/>
  <c r="H1377" i="1" a="1"/>
  <c r="H1377" i="1" s="1"/>
  <c r="K1377" i="1" a="1"/>
  <c r="K1377" i="1" s="1"/>
  <c r="P1377" i="1" a="1"/>
  <c r="P1377" i="1" s="1"/>
  <c r="M1378" i="1" a="1"/>
  <c r="M1378" i="1" s="1"/>
  <c r="Q1378" i="1" a="1"/>
  <c r="Q1378" i="1" s="1"/>
  <c r="D1379" i="1" a="1"/>
  <c r="D1379" i="1" s="1"/>
  <c r="H1379" i="1" a="1"/>
  <c r="H1379" i="1" s="1"/>
  <c r="L1379" i="1" a="1"/>
  <c r="L1379" i="1" s="1"/>
  <c r="Q1379" i="1" a="1"/>
  <c r="Q1379" i="1" s="1"/>
  <c r="D1380" i="1" a="1"/>
  <c r="D1380" i="1" s="1"/>
  <c r="H1380" i="1" a="1"/>
  <c r="H1380" i="1" s="1"/>
  <c r="L1380" i="1" a="1"/>
  <c r="L1380" i="1" s="1"/>
  <c r="Q1380" i="1" a="1"/>
  <c r="Q1380" i="1" s="1"/>
  <c r="C1381" i="1" a="1"/>
  <c r="C1381" i="1" s="1"/>
  <c r="G1381" i="1" a="1"/>
  <c r="G1381" i="1" s="1"/>
  <c r="K1381" i="1" a="1"/>
  <c r="K1381" i="1" s="1"/>
  <c r="P1381" i="1" a="1"/>
  <c r="P1381" i="1" s="1"/>
  <c r="C1382" i="1" a="1"/>
  <c r="C1382" i="1" s="1"/>
  <c r="J1382" i="1" a="1"/>
  <c r="J1382" i="1" s="1"/>
  <c r="M1382" i="1" a="1"/>
  <c r="M1382" i="1" s="1"/>
  <c r="M1383" i="1" a="1"/>
  <c r="M1383" i="1" s="1"/>
  <c r="M1384" i="1" a="1"/>
  <c r="M1384" i="1" s="1"/>
  <c r="L1385" i="1" a="1"/>
  <c r="L1385" i="1" s="1"/>
  <c r="Q1385" i="1" a="1"/>
  <c r="Q1385" i="1" s="1"/>
  <c r="D1386" i="1" a="1"/>
  <c r="D1386" i="1" s="1"/>
  <c r="H1386" i="1" a="1"/>
  <c r="H1386" i="1" s="1"/>
  <c r="L1386" i="1" a="1"/>
  <c r="L1386" i="1" s="1"/>
  <c r="P1386" i="1" a="1"/>
  <c r="P1386" i="1" s="1"/>
  <c r="C1387" i="1" a="1"/>
  <c r="C1387" i="1" s="1"/>
  <c r="G1387" i="1" a="1"/>
  <c r="G1387" i="1" s="1"/>
  <c r="K1387" i="1" a="1"/>
  <c r="K1387" i="1" s="1"/>
  <c r="P1387" i="1" a="1"/>
  <c r="P1387" i="1" s="1"/>
  <c r="C1388" i="1" a="1"/>
  <c r="C1388" i="1" s="1"/>
  <c r="G1388" i="1" a="1"/>
  <c r="G1388" i="1" s="1"/>
  <c r="K1388" i="1" a="1"/>
  <c r="K1388" i="1" s="1"/>
  <c r="O1388" i="1"/>
  <c r="F1389" i="1" a="1"/>
  <c r="F1389" i="1" s="1"/>
  <c r="J1389" i="1" a="1"/>
  <c r="J1389" i="1" s="1"/>
  <c r="O1389" i="1"/>
  <c r="F1390" i="1" a="1"/>
  <c r="F1390" i="1" s="1"/>
  <c r="J1390" i="1" a="1"/>
  <c r="J1390" i="1" s="1"/>
  <c r="O1390" i="1"/>
  <c r="F1391" i="1" a="1"/>
  <c r="F1391" i="1" s="1"/>
  <c r="M1391" i="1" a="1"/>
  <c r="M1391" i="1" s="1"/>
  <c r="D1392" i="1" a="1"/>
  <c r="D1392" i="1" s="1"/>
  <c r="H1392" i="1" a="1"/>
  <c r="H1392" i="1" s="1"/>
  <c r="L1392" i="1" a="1"/>
  <c r="L1392" i="1" s="1"/>
  <c r="Q1392" i="1" a="1"/>
  <c r="Q1392" i="1" s="1"/>
  <c r="D1393" i="1" a="1"/>
  <c r="D1393" i="1" s="1"/>
  <c r="H1393" i="1" a="1"/>
  <c r="H1393" i="1" s="1"/>
  <c r="L1393" i="1" a="1"/>
  <c r="L1393" i="1" s="1"/>
  <c r="Q1393" i="1" a="1"/>
  <c r="Q1393" i="1" s="1"/>
  <c r="D1394" i="1" a="1"/>
  <c r="D1394" i="1" s="1"/>
  <c r="H1394" i="1" a="1"/>
  <c r="H1394" i="1" s="1"/>
  <c r="L1394" i="1" a="1"/>
  <c r="L1394" i="1" s="1"/>
  <c r="Q1394" i="1" a="1"/>
  <c r="Q1394" i="1" s="1"/>
  <c r="D1395" i="1" a="1"/>
  <c r="D1395" i="1" s="1"/>
  <c r="H1395" i="1" a="1"/>
  <c r="H1395" i="1" s="1"/>
  <c r="L1395" i="1" a="1"/>
  <c r="L1395" i="1" s="1"/>
  <c r="Q1395" i="1" a="1"/>
  <c r="Q1395" i="1" s="1"/>
  <c r="D1396" i="1" a="1"/>
  <c r="D1396" i="1" s="1"/>
  <c r="H1396" i="1" a="1"/>
  <c r="H1396" i="1" s="1"/>
  <c r="L1396" i="1" a="1"/>
  <c r="L1396" i="1" s="1"/>
  <c r="Q1396" i="1" a="1"/>
  <c r="Q1396" i="1" s="1"/>
  <c r="D1397" i="1" a="1"/>
  <c r="D1397" i="1" s="1"/>
  <c r="H1397" i="1" a="1"/>
  <c r="H1397" i="1" s="1"/>
  <c r="K1397" i="1" a="1"/>
  <c r="K1397" i="1" s="1"/>
  <c r="P1397" i="1" a="1"/>
  <c r="P1397" i="1" s="1"/>
  <c r="L1398" i="1" a="1"/>
  <c r="L1398" i="1" s="1"/>
  <c r="Q1398" i="1" a="1"/>
  <c r="Q1398" i="1" s="1"/>
  <c r="D1399" i="1" a="1"/>
  <c r="D1399" i="1" s="1"/>
  <c r="H1399" i="1" a="1"/>
  <c r="H1399" i="1" s="1"/>
  <c r="L1399" i="1" a="1"/>
  <c r="L1399" i="1" s="1"/>
  <c r="Q1399" i="1" a="1"/>
  <c r="Q1399" i="1" s="1"/>
  <c r="D1400" i="1" a="1"/>
  <c r="D1400" i="1" s="1"/>
  <c r="H1400" i="1" a="1"/>
  <c r="H1400" i="1" s="1"/>
  <c r="K1400" i="1" a="1"/>
  <c r="K1400" i="1" s="1"/>
  <c r="M1400" i="1" a="1"/>
  <c r="M1400" i="1" s="1"/>
  <c r="Q1400" i="1" a="1"/>
  <c r="Q1400" i="1" s="1"/>
  <c r="D1401" i="1" a="1"/>
  <c r="D1401" i="1" s="1"/>
  <c r="G1401" i="1" a="1"/>
  <c r="G1401" i="1" s="1"/>
  <c r="M1401" i="1" a="1"/>
  <c r="M1401" i="1" s="1"/>
  <c r="Q1401" i="1" a="1"/>
  <c r="Q1401" i="1" s="1"/>
  <c r="C1402" i="1" a="1"/>
  <c r="C1402" i="1" s="1"/>
  <c r="M1402" i="1" a="1"/>
  <c r="M1402" i="1" s="1"/>
  <c r="M1403" i="1" a="1"/>
  <c r="M1403" i="1" s="1"/>
  <c r="M1404" i="1" a="1"/>
  <c r="M1404" i="1" s="1"/>
  <c r="M1405" i="1" a="1"/>
  <c r="M1405" i="1" s="1"/>
  <c r="M1406" i="1" a="1"/>
  <c r="M1406" i="1" s="1"/>
  <c r="M1407" i="1" a="1"/>
  <c r="M1407" i="1" s="1"/>
  <c r="J1409" i="1" a="1"/>
  <c r="J1409" i="1" s="1"/>
  <c r="O1409" i="1"/>
  <c r="F1410" i="1" a="1"/>
  <c r="F1410" i="1" s="1"/>
  <c r="J1410" i="1" a="1"/>
  <c r="J1410" i="1" s="1"/>
  <c r="O1410" i="1"/>
  <c r="F1411" i="1" a="1"/>
  <c r="F1411" i="1" s="1"/>
  <c r="J1411" i="1" a="1"/>
  <c r="J1411" i="1" s="1"/>
  <c r="O1411" i="1"/>
  <c r="F1412" i="1" a="1"/>
  <c r="F1412" i="1" s="1"/>
  <c r="J1412" i="1" a="1"/>
  <c r="J1412" i="1" s="1"/>
  <c r="O1412" i="1"/>
  <c r="F1413" i="1" a="1"/>
  <c r="F1413" i="1" s="1"/>
  <c r="J1413" i="1" a="1"/>
  <c r="J1413" i="1" s="1"/>
  <c r="O1413" i="1"/>
  <c r="F1414" i="1" a="1"/>
  <c r="F1414" i="1" s="1"/>
  <c r="J1414" i="1" a="1"/>
  <c r="J1414" i="1" s="1"/>
  <c r="O1414" i="1"/>
  <c r="F1415" i="1" a="1"/>
  <c r="F1415" i="1" s="1"/>
  <c r="J1415" i="1" a="1"/>
  <c r="J1415" i="1" s="1"/>
  <c r="O1415" i="1"/>
  <c r="F1416" i="1" a="1"/>
  <c r="F1416" i="1" s="1"/>
  <c r="J1416" i="1" a="1"/>
  <c r="J1416" i="1" s="1"/>
  <c r="L1416" i="1" a="1"/>
  <c r="L1416" i="1" s="1"/>
  <c r="O1416" i="1"/>
  <c r="F1417" i="1" a="1"/>
  <c r="F1417" i="1" s="1"/>
  <c r="H1417" i="1" a="1"/>
  <c r="H1417" i="1" s="1"/>
  <c r="K1417" i="1" a="1"/>
  <c r="K1417" i="1" s="1"/>
  <c r="P1417" i="1" a="1"/>
  <c r="P1417" i="1" s="1"/>
  <c r="D1418" i="1" a="1"/>
  <c r="D1418" i="1" s="1"/>
  <c r="G1418" i="1" a="1"/>
  <c r="G1418" i="1" s="1"/>
  <c r="K1418" i="1" a="1"/>
  <c r="K1418" i="1" s="1"/>
  <c r="P1418" i="1" a="1"/>
  <c r="P1418" i="1" s="1"/>
  <c r="C1419" i="1" a="1"/>
  <c r="C1419" i="1" s="1"/>
  <c r="G1419" i="1" a="1"/>
  <c r="G1419" i="1" s="1"/>
  <c r="K1419" i="1" a="1"/>
  <c r="K1419" i="1" s="1"/>
  <c r="P1419" i="1" a="1"/>
  <c r="P1419" i="1" s="1"/>
  <c r="C1420" i="1" a="1"/>
  <c r="C1420" i="1" s="1"/>
  <c r="G1420" i="1" a="1"/>
  <c r="G1420" i="1" s="1"/>
  <c r="K1420" i="1" a="1"/>
  <c r="K1420" i="1" s="1"/>
  <c r="P1420" i="1" a="1"/>
  <c r="P1420" i="1" s="1"/>
  <c r="C1421" i="1" a="1"/>
  <c r="C1421" i="1" s="1"/>
  <c r="G1421" i="1" a="1"/>
  <c r="G1421" i="1" s="1"/>
  <c r="K1421" i="1" a="1"/>
  <c r="K1421" i="1" s="1"/>
  <c r="P1421" i="1" a="1"/>
  <c r="P1421" i="1" s="1"/>
  <c r="C1422" i="1" a="1"/>
  <c r="C1422" i="1" s="1"/>
  <c r="G1422" i="1" a="1"/>
  <c r="G1422" i="1" s="1"/>
  <c r="K1422" i="1" a="1"/>
  <c r="K1422" i="1" s="1"/>
  <c r="P1422" i="1" a="1"/>
  <c r="P1422" i="1" s="1"/>
  <c r="C1423" i="1" a="1"/>
  <c r="C1423" i="1" s="1"/>
  <c r="G1423" i="1" a="1"/>
  <c r="G1423" i="1" s="1"/>
  <c r="K1423" i="1" a="1"/>
  <c r="K1423" i="1" s="1"/>
  <c r="P1423" i="1" a="1"/>
  <c r="P1423" i="1" s="1"/>
  <c r="C1424" i="1" a="1"/>
  <c r="C1424" i="1" s="1"/>
  <c r="G1424" i="1" a="1"/>
  <c r="G1424" i="1" s="1"/>
  <c r="Q1424" i="1" a="1"/>
  <c r="Q1424" i="1" s="1"/>
  <c r="D1425" i="1" a="1"/>
  <c r="D1425" i="1" s="1"/>
  <c r="H1425" i="1" a="1"/>
  <c r="H1425" i="1" s="1"/>
  <c r="L1425" i="1" a="1"/>
  <c r="L1425" i="1" s="1"/>
  <c r="Q1425" i="1" a="1"/>
  <c r="Q1425" i="1" s="1"/>
  <c r="D1426" i="1" a="1"/>
  <c r="D1426" i="1" s="1"/>
  <c r="H1426" i="1" a="1"/>
  <c r="H1426" i="1" s="1"/>
  <c r="L1426" i="1" a="1"/>
  <c r="L1426" i="1" s="1"/>
  <c r="Q1426" i="1" a="1"/>
  <c r="Q1426" i="1" s="1"/>
  <c r="D1427" i="1" a="1"/>
  <c r="D1427" i="1" s="1"/>
  <c r="H1427" i="1" a="1"/>
  <c r="H1427" i="1" s="1"/>
  <c r="L1427" i="1" a="1"/>
  <c r="L1427" i="1" s="1"/>
  <c r="L1428" i="1" a="1"/>
  <c r="L1428" i="1" s="1"/>
  <c r="Q1428" i="1" a="1"/>
  <c r="Q1428" i="1" s="1"/>
  <c r="D1429" i="1" a="1"/>
  <c r="D1429" i="1" s="1"/>
  <c r="H1429" i="1" a="1"/>
  <c r="H1429" i="1" s="1"/>
  <c r="L1429" i="1" a="1"/>
  <c r="L1429" i="1" s="1"/>
  <c r="Q1429" i="1" a="1"/>
  <c r="Q1429" i="1" s="1"/>
  <c r="D1430" i="1" a="1"/>
  <c r="D1430" i="1" s="1"/>
  <c r="G1430" i="1" a="1"/>
  <c r="G1430" i="1" s="1"/>
  <c r="K1430" i="1" a="1"/>
  <c r="K1430" i="1" s="1"/>
  <c r="P1430" i="1" a="1"/>
  <c r="P1430" i="1" s="1"/>
  <c r="C1431" i="1" a="1"/>
  <c r="C1431" i="1" s="1"/>
  <c r="J1232" i="1" a="1"/>
  <c r="J1232" i="1" s="1"/>
  <c r="P1233" i="1" a="1"/>
  <c r="P1233" i="1" s="1"/>
  <c r="F1234" i="1" a="1"/>
  <c r="F1234" i="1" s="1"/>
  <c r="R1234" i="14" s="1"/>
  <c r="M1235" i="1" a="1"/>
  <c r="M1235" i="1" s="1"/>
  <c r="H1239" i="1" a="1"/>
  <c r="H1239" i="1" s="1"/>
  <c r="J1239" i="14" s="1"/>
  <c r="P1239" i="1" a="1"/>
  <c r="P1239" i="1" s="1"/>
  <c r="L1240" i="1" a="1"/>
  <c r="L1240" i="1" s="1"/>
  <c r="H1241" i="1" a="1"/>
  <c r="H1241" i="1" s="1"/>
  <c r="J1241" i="14" s="1"/>
  <c r="O1241" i="1"/>
  <c r="M1241" i="14" s="1"/>
  <c r="C1242" i="1" a="1"/>
  <c r="C1242" i="1" s="1"/>
  <c r="P1242" i="1" a="1"/>
  <c r="P1242" i="1" s="1"/>
  <c r="M1243" i="1" a="1"/>
  <c r="M1243" i="1" s="1"/>
  <c r="K1245" i="1" a="1"/>
  <c r="K1245" i="1" s="1"/>
  <c r="G1246" i="1" a="1"/>
  <c r="G1246" i="1" s="1"/>
  <c r="O1246" i="1"/>
  <c r="M1246" i="14" s="1"/>
  <c r="C1247" i="1" a="1"/>
  <c r="C1247" i="1" s="1"/>
  <c r="P1247" i="1" a="1"/>
  <c r="P1247" i="1" s="1"/>
  <c r="J1248" i="1" a="1"/>
  <c r="J1248" i="1" s="1"/>
  <c r="H1249" i="1" a="1"/>
  <c r="H1249" i="1" s="1"/>
  <c r="J1249" i="14" s="1"/>
  <c r="P1249" i="1" a="1"/>
  <c r="P1249" i="1" s="1"/>
  <c r="C1250" i="1" a="1"/>
  <c r="C1250" i="1" s="1"/>
  <c r="P1250" i="1" a="1"/>
  <c r="P1250" i="1" s="1"/>
  <c r="O1251" i="1"/>
  <c r="M1251" i="14" s="1"/>
  <c r="G1252" i="1" a="1"/>
  <c r="G1252" i="1" s="1"/>
  <c r="L1252" i="1" a="1"/>
  <c r="L1252" i="1" s="1"/>
  <c r="M1253" i="1" a="1"/>
  <c r="M1253" i="1" s="1"/>
  <c r="C1255" i="1" a="1"/>
  <c r="C1255" i="1" s="1"/>
  <c r="F1255" i="1" a="1"/>
  <c r="F1255" i="1" s="1"/>
  <c r="R1255" i="14" s="1"/>
  <c r="L1255" i="1" a="1"/>
  <c r="L1255" i="1" s="1"/>
  <c r="Q1255" i="1" a="1"/>
  <c r="Q1255" i="1" s="1"/>
  <c r="S1255" i="14" s="1"/>
  <c r="D1256" i="1" a="1"/>
  <c r="D1256" i="1" s="1"/>
  <c r="I1256" i="14" s="1"/>
  <c r="H1256" i="1" a="1"/>
  <c r="H1256" i="1" s="1"/>
  <c r="J1256" i="14" s="1"/>
  <c r="L1256" i="1" a="1"/>
  <c r="L1256" i="1" s="1"/>
  <c r="Q1256" i="1" a="1"/>
  <c r="Q1256" i="1" s="1"/>
  <c r="S1256" i="14" s="1"/>
  <c r="D1257" i="1" a="1"/>
  <c r="D1257" i="1" s="1"/>
  <c r="I1257" i="14" s="1"/>
  <c r="H1257" i="1" a="1"/>
  <c r="H1257" i="1" s="1"/>
  <c r="J1257" i="14" s="1"/>
  <c r="L1257" i="1" a="1"/>
  <c r="L1257" i="1" s="1"/>
  <c r="Q1257" i="1" a="1"/>
  <c r="Q1257" i="1" s="1"/>
  <c r="S1257" i="14" s="1"/>
  <c r="D1258" i="1" a="1"/>
  <c r="D1258" i="1" s="1"/>
  <c r="I1258" i="14" s="1"/>
  <c r="H1258" i="1" a="1"/>
  <c r="H1258" i="1" s="1"/>
  <c r="J1258" i="14" s="1"/>
  <c r="K1258" i="1" a="1"/>
  <c r="K1258" i="1" s="1"/>
  <c r="P1258" i="1" a="1"/>
  <c r="P1258" i="1" s="1"/>
  <c r="C1259" i="1" a="1"/>
  <c r="C1259" i="1" s="1"/>
  <c r="G1259" i="1" a="1"/>
  <c r="G1259" i="1" s="1"/>
  <c r="K1259" i="1" a="1"/>
  <c r="K1259" i="1" s="1"/>
  <c r="P1259" i="1" a="1"/>
  <c r="P1259" i="1" s="1"/>
  <c r="C1260" i="1" a="1"/>
  <c r="C1260" i="1" s="1"/>
  <c r="G1260" i="1" a="1"/>
  <c r="G1260" i="1" s="1"/>
  <c r="K1260" i="1" a="1"/>
  <c r="K1260" i="1" s="1"/>
  <c r="O1260" i="1"/>
  <c r="M1260" i="14" s="1"/>
  <c r="F1261" i="1" a="1"/>
  <c r="F1261" i="1" s="1"/>
  <c r="R1261" i="14" s="1"/>
  <c r="J1261" i="1" a="1"/>
  <c r="J1261" i="1" s="1"/>
  <c r="O1261" i="1"/>
  <c r="M1261" i="14" s="1"/>
  <c r="D1262" i="1" a="1"/>
  <c r="D1262" i="1" s="1"/>
  <c r="I1262" i="14" s="1"/>
  <c r="G1262" i="1" a="1"/>
  <c r="G1262" i="1" s="1"/>
  <c r="K1262" i="1" a="1"/>
  <c r="K1262" i="1" s="1"/>
  <c r="P1262" i="1" a="1"/>
  <c r="P1262" i="1" s="1"/>
  <c r="C1263" i="1" a="1"/>
  <c r="C1263" i="1" s="1"/>
  <c r="G1263" i="1" a="1"/>
  <c r="G1263" i="1" s="1"/>
  <c r="K1263" i="1" a="1"/>
  <c r="K1263" i="1" s="1"/>
  <c r="P1263" i="1" a="1"/>
  <c r="P1263" i="1" s="1"/>
  <c r="D1264" i="1" a="1"/>
  <c r="D1264" i="1" s="1"/>
  <c r="I1264" i="14" s="1"/>
  <c r="G1264" i="1" a="1"/>
  <c r="G1264" i="1" s="1"/>
  <c r="J1264" i="1" a="1"/>
  <c r="J1264" i="1" s="1"/>
  <c r="L1264" i="1" a="1"/>
  <c r="L1264" i="1" s="1"/>
  <c r="O1264" i="1"/>
  <c r="M1264" i="14" s="1"/>
  <c r="D1265" i="1" a="1"/>
  <c r="D1265" i="1" s="1"/>
  <c r="I1265" i="14" s="1"/>
  <c r="H1265" i="1" a="1"/>
  <c r="H1265" i="1" s="1"/>
  <c r="J1265" i="14" s="1"/>
  <c r="L1265" i="1" a="1"/>
  <c r="L1265" i="1" s="1"/>
  <c r="P1265" i="1" a="1"/>
  <c r="P1265" i="1" s="1"/>
  <c r="D1266" i="1" a="1"/>
  <c r="D1266" i="1" s="1"/>
  <c r="I1266" i="14" s="1"/>
  <c r="G1266" i="1" a="1"/>
  <c r="G1266" i="1" s="1"/>
  <c r="K1266" i="1" a="1"/>
  <c r="K1266" i="1" s="1"/>
  <c r="P1266" i="1" a="1"/>
  <c r="P1266" i="1" s="1"/>
  <c r="C1267" i="1" a="1"/>
  <c r="C1267" i="1" s="1"/>
  <c r="F1267" i="1" a="1"/>
  <c r="F1267" i="1" s="1"/>
  <c r="R1267" i="14" s="1"/>
  <c r="M1267" i="1" a="1"/>
  <c r="M1267" i="1" s="1"/>
  <c r="L1268" i="1" a="1"/>
  <c r="L1268" i="1" s="1"/>
  <c r="Q1268" i="1" a="1"/>
  <c r="Q1268" i="1" s="1"/>
  <c r="S1268" i="14" s="1"/>
  <c r="D1269" i="1" a="1"/>
  <c r="D1269" i="1" s="1"/>
  <c r="I1269" i="14" s="1"/>
  <c r="H1269" i="1" a="1"/>
  <c r="H1269" i="1" s="1"/>
  <c r="J1269" i="14" s="1"/>
  <c r="L1269" i="1" a="1"/>
  <c r="L1269" i="1" s="1"/>
  <c r="Q1269" i="1" a="1"/>
  <c r="Q1269" i="1" s="1"/>
  <c r="S1269" i="14" s="1"/>
  <c r="D1270" i="1" a="1"/>
  <c r="D1270" i="1" s="1"/>
  <c r="I1270" i="14" s="1"/>
  <c r="H1270" i="1" a="1"/>
  <c r="H1270" i="1" s="1"/>
  <c r="J1270" i="14" s="1"/>
  <c r="K1270" i="1" a="1"/>
  <c r="K1270" i="1" s="1"/>
  <c r="O1270" i="1"/>
  <c r="M1270" i="14" s="1"/>
  <c r="M1271" i="1" a="1"/>
  <c r="M1271" i="1" s="1"/>
  <c r="Q1271" i="1" a="1"/>
  <c r="Q1271" i="1" s="1"/>
  <c r="S1271" i="14" s="1"/>
  <c r="D1272" i="1" a="1"/>
  <c r="D1272" i="1" s="1"/>
  <c r="I1272" i="14" s="1"/>
  <c r="H1272" i="1" a="1"/>
  <c r="H1272" i="1" s="1"/>
  <c r="J1272" i="14" s="1"/>
  <c r="L1272" i="1" a="1"/>
  <c r="L1272" i="1" s="1"/>
  <c r="Q1272" i="1" a="1"/>
  <c r="Q1272" i="1" s="1"/>
  <c r="S1272" i="14" s="1"/>
  <c r="D1273" i="1" a="1"/>
  <c r="D1273" i="1" s="1"/>
  <c r="I1273" i="14" s="1"/>
  <c r="H1273" i="1" a="1"/>
  <c r="H1273" i="1" s="1"/>
  <c r="J1273" i="14" s="1"/>
  <c r="L1273" i="1" a="1"/>
  <c r="L1273" i="1" s="1"/>
  <c r="Q1273" i="1" a="1"/>
  <c r="Q1273" i="1" s="1"/>
  <c r="S1273" i="14" s="1"/>
  <c r="D1274" i="1" a="1"/>
  <c r="D1274" i="1" s="1"/>
  <c r="I1274" i="14" s="1"/>
  <c r="H1274" i="1" a="1"/>
  <c r="H1274" i="1" s="1"/>
  <c r="J1274" i="14" s="1"/>
  <c r="K1274" i="1" a="1"/>
  <c r="K1274" i="1" s="1"/>
  <c r="M1274" i="1" a="1"/>
  <c r="M1274" i="1" s="1"/>
  <c r="Q1274" i="1" a="1"/>
  <c r="Q1274" i="1" s="1"/>
  <c r="S1274" i="14" s="1"/>
  <c r="D1275" i="1" a="1"/>
  <c r="D1275" i="1" s="1"/>
  <c r="I1275" i="14" s="1"/>
  <c r="G1275" i="1" a="1"/>
  <c r="G1275" i="1" s="1"/>
  <c r="L1275" i="1" a="1"/>
  <c r="L1275" i="1" s="1"/>
  <c r="Q1275" i="1" a="1"/>
  <c r="Q1275" i="1" s="1"/>
  <c r="S1275" i="14" s="1"/>
  <c r="D1276" i="1" a="1"/>
  <c r="D1276" i="1" s="1"/>
  <c r="I1276" i="14" s="1"/>
  <c r="H1276" i="1" a="1"/>
  <c r="H1276" i="1" s="1"/>
  <c r="J1276" i="14" s="1"/>
  <c r="L1276" i="1" a="1"/>
  <c r="L1276" i="1" s="1"/>
  <c r="Q1276" i="1" a="1"/>
  <c r="Q1276" i="1" s="1"/>
  <c r="S1276" i="14" s="1"/>
  <c r="D1277" i="1" a="1"/>
  <c r="D1277" i="1" s="1"/>
  <c r="I1277" i="14" s="1"/>
  <c r="H1277" i="1" a="1"/>
  <c r="H1277" i="1" s="1"/>
  <c r="J1277" i="14" s="1"/>
  <c r="L1277" i="1" a="1"/>
  <c r="L1277" i="1" s="1"/>
  <c r="Q1277" i="1" a="1"/>
  <c r="Q1277" i="1" s="1"/>
  <c r="S1277" i="14" s="1"/>
  <c r="D1278" i="1" a="1"/>
  <c r="D1278" i="1" s="1"/>
  <c r="I1278" i="14" s="1"/>
  <c r="H1278" i="1" a="1"/>
  <c r="H1278" i="1" s="1"/>
  <c r="J1278" i="14" s="1"/>
  <c r="L1278" i="1" a="1"/>
  <c r="L1278" i="1" s="1"/>
  <c r="Q1278" i="1" a="1"/>
  <c r="Q1278" i="1" s="1"/>
  <c r="S1278" i="14" s="1"/>
  <c r="D1279" i="1" a="1"/>
  <c r="D1279" i="1" s="1"/>
  <c r="I1279" i="14" s="1"/>
  <c r="H1279" i="1" a="1"/>
  <c r="H1279" i="1" s="1"/>
  <c r="J1279" i="14" s="1"/>
  <c r="K1279" i="1" a="1"/>
  <c r="K1279" i="1" s="1"/>
  <c r="P1279" i="1" a="1"/>
  <c r="P1279" i="1" s="1"/>
  <c r="H1280" i="1" a="1"/>
  <c r="H1280" i="1" s="1"/>
  <c r="J1280" i="14" s="1"/>
  <c r="K1280" i="1" a="1"/>
  <c r="K1280" i="1" s="1"/>
  <c r="L1280" i="14" s="1"/>
  <c r="M1280" i="1" a="1"/>
  <c r="M1280" i="1" s="1"/>
  <c r="Q1280" i="1" a="1"/>
  <c r="Q1280" i="1" s="1"/>
  <c r="S1280" i="14" s="1"/>
  <c r="D1281" i="1" a="1"/>
  <c r="D1281" i="1" s="1"/>
  <c r="I1281" i="14" s="1"/>
  <c r="H1281" i="1" a="1"/>
  <c r="H1281" i="1" s="1"/>
  <c r="J1281" i="14" s="1"/>
  <c r="L1281" i="1" a="1"/>
  <c r="L1281" i="1" s="1"/>
  <c r="P1281" i="1" a="1"/>
  <c r="P1281" i="1" s="1"/>
  <c r="C1282" i="1" a="1"/>
  <c r="C1282" i="1" s="1"/>
  <c r="G1282" i="1" a="1"/>
  <c r="G1282" i="1" s="1"/>
  <c r="Q1282" i="1" a="1"/>
  <c r="Q1282" i="1" s="1"/>
  <c r="S1282" i="14" s="1"/>
  <c r="D1283" i="1" a="1"/>
  <c r="D1283" i="1" s="1"/>
  <c r="I1283" i="14" s="1"/>
  <c r="H1283" i="1" a="1"/>
  <c r="H1283" i="1" s="1"/>
  <c r="J1283" i="14" s="1"/>
  <c r="K1283" i="1" a="1"/>
  <c r="K1283" i="1" s="1"/>
  <c r="P1283" i="1" a="1"/>
  <c r="P1283" i="1" s="1"/>
  <c r="F1284" i="1" a="1"/>
  <c r="F1284" i="1" s="1"/>
  <c r="R1284" i="14" s="1"/>
  <c r="J1284" i="1" a="1"/>
  <c r="J1284" i="1" s="1"/>
  <c r="M1285" i="1" a="1"/>
  <c r="M1285" i="1" s="1"/>
  <c r="H1286" i="1" a="1"/>
  <c r="H1286" i="1" s="1"/>
  <c r="J1286" i="14" s="1"/>
  <c r="L1286" i="1" a="1"/>
  <c r="L1286" i="1" s="1"/>
  <c r="P1286" i="1" a="1"/>
  <c r="P1286" i="1" s="1"/>
  <c r="C1287" i="1" a="1"/>
  <c r="C1287" i="1" s="1"/>
  <c r="G1287" i="1" a="1"/>
  <c r="G1287" i="1" s="1"/>
  <c r="K1287" i="1" a="1"/>
  <c r="K1287" i="1" s="1"/>
  <c r="P1287" i="1" a="1"/>
  <c r="P1287" i="1" s="1"/>
  <c r="C1288" i="1" a="1"/>
  <c r="C1288" i="1" s="1"/>
  <c r="G1288" i="1" a="1"/>
  <c r="G1288" i="1" s="1"/>
  <c r="K1288" i="1" a="1"/>
  <c r="K1288" i="1" s="1"/>
  <c r="O1288" i="1"/>
  <c r="M1288" i="14" s="1"/>
  <c r="H1289" i="1" a="1"/>
  <c r="H1289" i="1" s="1"/>
  <c r="J1289" i="14" s="1"/>
  <c r="K1289" i="1" a="1"/>
  <c r="K1289" i="1" s="1"/>
  <c r="P1289" i="1" a="1"/>
  <c r="P1289" i="1" s="1"/>
  <c r="C1290" i="1" a="1"/>
  <c r="C1290" i="1" s="1"/>
  <c r="G1290" i="1" a="1"/>
  <c r="G1290" i="1" s="1"/>
  <c r="K1290" i="1" a="1"/>
  <c r="K1290" i="1" s="1"/>
  <c r="P1290" i="1" a="1"/>
  <c r="P1290" i="1" s="1"/>
  <c r="C1291" i="1" a="1"/>
  <c r="C1291" i="1" s="1"/>
  <c r="G1291" i="1" a="1"/>
  <c r="G1291" i="1" s="1"/>
  <c r="K1291" i="1" a="1"/>
  <c r="K1291" i="1" s="1"/>
  <c r="P1291" i="1" a="1"/>
  <c r="P1291" i="1" s="1"/>
  <c r="C1292" i="1" a="1"/>
  <c r="C1292" i="1" s="1"/>
  <c r="G1292" i="1" a="1"/>
  <c r="G1292" i="1" s="1"/>
  <c r="K1292" i="1" a="1"/>
  <c r="K1292" i="1" s="1"/>
  <c r="O1292" i="1"/>
  <c r="M1292" i="14" s="1"/>
  <c r="F1293" i="1" a="1"/>
  <c r="F1293" i="1" s="1"/>
  <c r="R1293" i="14" s="1"/>
  <c r="M1293" i="1" a="1"/>
  <c r="M1293" i="1" s="1"/>
  <c r="H1294" i="1" a="1"/>
  <c r="H1294" i="1" s="1"/>
  <c r="J1294" i="14" s="1"/>
  <c r="P1294" i="1" a="1"/>
  <c r="P1294" i="1" s="1"/>
  <c r="C1295" i="1" a="1"/>
  <c r="C1295" i="1" s="1"/>
  <c r="G1295" i="1" a="1"/>
  <c r="G1295" i="1" s="1"/>
  <c r="K1295" i="1" a="1"/>
  <c r="K1295" i="1" s="1"/>
  <c r="P1295" i="1" a="1"/>
  <c r="P1295" i="1" s="1"/>
  <c r="C1296" i="1" a="1"/>
  <c r="C1296" i="1" s="1"/>
  <c r="G1296" i="1" a="1"/>
  <c r="G1296" i="1" s="1"/>
  <c r="K1296" i="1" a="1"/>
  <c r="K1296" i="1" s="1"/>
  <c r="O1296" i="1"/>
  <c r="M1296" i="14" s="1"/>
  <c r="F1297" i="1" a="1"/>
  <c r="F1297" i="1" s="1"/>
  <c r="R1297" i="14" s="1"/>
  <c r="M1297" i="1" a="1"/>
  <c r="M1297" i="1" s="1"/>
  <c r="M1298" i="1" a="1"/>
  <c r="M1298" i="1" s="1"/>
  <c r="Q1298" i="1" a="1"/>
  <c r="Q1298" i="1" s="1"/>
  <c r="S1298" i="14" s="1"/>
  <c r="D1299" i="1" a="1"/>
  <c r="D1299" i="1" s="1"/>
  <c r="I1299" i="14" s="1"/>
  <c r="H1299" i="1" a="1"/>
  <c r="H1299" i="1" s="1"/>
  <c r="J1299" i="14" s="1"/>
  <c r="L1299" i="1" a="1"/>
  <c r="L1299" i="1" s="1"/>
  <c r="Q1299" i="1" a="1"/>
  <c r="Q1299" i="1" s="1"/>
  <c r="S1299" i="14" s="1"/>
  <c r="D1300" i="1" a="1"/>
  <c r="D1300" i="1" s="1"/>
  <c r="I1300" i="14" s="1"/>
  <c r="H1300" i="1" a="1"/>
  <c r="H1300" i="1" s="1"/>
  <c r="J1300" i="14" s="1"/>
  <c r="L1300" i="1" a="1"/>
  <c r="L1300" i="1" s="1"/>
  <c r="Q1300" i="1" a="1"/>
  <c r="Q1300" i="1" s="1"/>
  <c r="S1300" i="14" s="1"/>
  <c r="D1301" i="1" a="1"/>
  <c r="D1301" i="1" s="1"/>
  <c r="I1301" i="14" s="1"/>
  <c r="G1301" i="1" a="1"/>
  <c r="G1301" i="1" s="1"/>
  <c r="K1301" i="1" a="1"/>
  <c r="K1301" i="1" s="1"/>
  <c r="P1301" i="1" a="1"/>
  <c r="P1301" i="1" s="1"/>
  <c r="C1302" i="1" a="1"/>
  <c r="C1302" i="1" s="1"/>
  <c r="G1302" i="1" a="1"/>
  <c r="G1302" i="1" s="1"/>
  <c r="K1302" i="1" a="1"/>
  <c r="K1302" i="1" s="1"/>
  <c r="O1302" i="1"/>
  <c r="M1302" i="14" s="1"/>
  <c r="F1303" i="1" a="1"/>
  <c r="F1303" i="1" s="1"/>
  <c r="R1303" i="14" s="1"/>
  <c r="J1303" i="1" a="1"/>
  <c r="J1303" i="1" s="1"/>
  <c r="O1303" i="1"/>
  <c r="M1303" i="14" s="1"/>
  <c r="F1304" i="1" a="1"/>
  <c r="F1304" i="1" s="1"/>
  <c r="R1304" i="14" s="1"/>
  <c r="J1304" i="1" a="1"/>
  <c r="J1304" i="1" s="1"/>
  <c r="M1304" i="1" a="1"/>
  <c r="M1304" i="1" s="1"/>
  <c r="M1305" i="1" a="1"/>
  <c r="M1305" i="1" s="1"/>
  <c r="M1306" i="1" a="1"/>
  <c r="M1306" i="1" s="1"/>
  <c r="H1307" i="1" a="1"/>
  <c r="H1307" i="1" s="1"/>
  <c r="J1307" i="14" s="1"/>
  <c r="L1307" i="1" a="1"/>
  <c r="L1307" i="1" s="1"/>
  <c r="Q1307" i="1" a="1"/>
  <c r="Q1307" i="1" s="1"/>
  <c r="S1307" i="14" s="1"/>
  <c r="C1308" i="1" a="1"/>
  <c r="C1308" i="1" s="1"/>
  <c r="F1308" i="1" a="1"/>
  <c r="F1308" i="1" s="1"/>
  <c r="R1308" i="14" s="1"/>
  <c r="J1308" i="1" a="1"/>
  <c r="J1308" i="1" s="1"/>
  <c r="M1308" i="1" a="1"/>
  <c r="M1308" i="1" s="1"/>
  <c r="M1309" i="1" a="1"/>
  <c r="M1309" i="1" s="1"/>
  <c r="M1310" i="1" a="1"/>
  <c r="M1310" i="1" s="1"/>
  <c r="M1311" i="1" a="1"/>
  <c r="M1311" i="1" s="1"/>
  <c r="M1312" i="1" a="1"/>
  <c r="M1312" i="1" s="1"/>
  <c r="L1313" i="1" a="1"/>
  <c r="L1313" i="1" s="1"/>
  <c r="C1314" i="1" a="1"/>
  <c r="C1314" i="1" s="1"/>
  <c r="F1314" i="1" a="1"/>
  <c r="F1314" i="1" s="1"/>
  <c r="R1314" i="14" s="1"/>
  <c r="J1314" i="1" a="1"/>
  <c r="J1314" i="1" s="1"/>
  <c r="M1314" i="1" a="1"/>
  <c r="M1314" i="1" s="1"/>
  <c r="M1315" i="1" a="1"/>
  <c r="M1315" i="1" s="1"/>
  <c r="M1316" i="1" a="1"/>
  <c r="M1316" i="1" s="1"/>
  <c r="H1317" i="1" a="1"/>
  <c r="H1317" i="1" s="1"/>
  <c r="J1317" i="14" s="1"/>
  <c r="L1317" i="1" a="1"/>
  <c r="L1317" i="1" s="1"/>
  <c r="Q1317" i="1" a="1"/>
  <c r="Q1317" i="1" s="1"/>
  <c r="S1317" i="14" s="1"/>
  <c r="D1318" i="1" a="1"/>
  <c r="D1318" i="1" s="1"/>
  <c r="I1318" i="14" s="1"/>
  <c r="H1318" i="1" a="1"/>
  <c r="H1318" i="1" s="1"/>
  <c r="J1318" i="14" s="1"/>
  <c r="L1318" i="1" a="1"/>
  <c r="L1318" i="1" s="1"/>
  <c r="P1318" i="1" a="1"/>
  <c r="P1318" i="1" s="1"/>
  <c r="C1319" i="1" a="1"/>
  <c r="C1319" i="1" s="1"/>
  <c r="G1319" i="1" a="1"/>
  <c r="G1319" i="1" s="1"/>
  <c r="K1319" i="1" a="1"/>
  <c r="K1319" i="1" s="1"/>
  <c r="P1319" i="1" a="1"/>
  <c r="P1319" i="1" s="1"/>
  <c r="C1320" i="1" a="1"/>
  <c r="C1320" i="1" s="1"/>
  <c r="G1320" i="1" a="1"/>
  <c r="G1320" i="1" s="1"/>
  <c r="K1320" i="1" a="1"/>
  <c r="K1320" i="1" s="1"/>
  <c r="O1320" i="1"/>
  <c r="M1320" i="14" s="1"/>
  <c r="F1321" i="1" a="1"/>
  <c r="F1321" i="1" s="1"/>
  <c r="R1321" i="14" s="1"/>
  <c r="J1321" i="1" a="1"/>
  <c r="J1321" i="1" s="1"/>
  <c r="O1321" i="1"/>
  <c r="M1321" i="14" s="1"/>
  <c r="F1322" i="1" a="1"/>
  <c r="F1322" i="1" s="1"/>
  <c r="R1322" i="14" s="1"/>
  <c r="J1322" i="1" a="1"/>
  <c r="J1322" i="1" s="1"/>
  <c r="O1322" i="1"/>
  <c r="M1322" i="14" s="1"/>
  <c r="F1323" i="1" a="1"/>
  <c r="F1323" i="1" s="1"/>
  <c r="M1323" i="1" a="1"/>
  <c r="M1323" i="1" s="1"/>
  <c r="G1324" i="1" a="1"/>
  <c r="G1324" i="1" s="1"/>
  <c r="O1324" i="1"/>
  <c r="F1325" i="1" a="1"/>
  <c r="F1325" i="1" s="1"/>
  <c r="M1325" i="1" a="1"/>
  <c r="M1325" i="1" s="1"/>
  <c r="M1326" i="1" a="1"/>
  <c r="M1326" i="1" s="1"/>
  <c r="Q1326" i="1" a="1"/>
  <c r="Q1326" i="1" s="1"/>
  <c r="D1327" i="1" a="1"/>
  <c r="D1327" i="1" s="1"/>
  <c r="H1327" i="1" a="1"/>
  <c r="H1327" i="1" s="1"/>
  <c r="L1327" i="1" a="1"/>
  <c r="L1327" i="1" s="1"/>
  <c r="Q1327" i="1" a="1"/>
  <c r="Q1327" i="1" s="1"/>
  <c r="D1328" i="1" a="1"/>
  <c r="D1328" i="1" s="1"/>
  <c r="H1328" i="1" a="1"/>
  <c r="H1328" i="1" s="1"/>
  <c r="L1328" i="1" a="1"/>
  <c r="L1328" i="1" s="1"/>
  <c r="Q1328" i="1" a="1"/>
  <c r="Q1328" i="1" s="1"/>
  <c r="D1329" i="1" a="1"/>
  <c r="D1329" i="1" s="1"/>
  <c r="H1329" i="1" a="1"/>
  <c r="H1329" i="1" s="1"/>
  <c r="K1329" i="1" a="1"/>
  <c r="K1329" i="1" s="1"/>
  <c r="P1329" i="1" a="1"/>
  <c r="P1329" i="1" s="1"/>
  <c r="C1330" i="1" a="1"/>
  <c r="C1330" i="1" s="1"/>
  <c r="G1330" i="1" a="1"/>
  <c r="G1330" i="1" s="1"/>
  <c r="K1330" i="1" a="1"/>
  <c r="K1330" i="1" s="1"/>
  <c r="P1330" i="1" a="1"/>
  <c r="P1330" i="1" s="1"/>
  <c r="C1331" i="1" a="1"/>
  <c r="C1331" i="1" s="1"/>
  <c r="G1331" i="1" a="1"/>
  <c r="G1331" i="1" s="1"/>
  <c r="J1331" i="1" a="1"/>
  <c r="J1331" i="1" s="1"/>
  <c r="O1331" i="1"/>
  <c r="D1332" i="1" a="1"/>
  <c r="D1332" i="1" s="1"/>
  <c r="H1332" i="1" a="1"/>
  <c r="H1332" i="1" s="1"/>
  <c r="L1332" i="1" a="1"/>
  <c r="L1332" i="1" s="1"/>
  <c r="P1332" i="1" a="1"/>
  <c r="P1332" i="1" s="1"/>
  <c r="C1333" i="1" a="1"/>
  <c r="C1333" i="1" s="1"/>
  <c r="G1333" i="1" a="1"/>
  <c r="G1333" i="1" s="1"/>
  <c r="K1333" i="1" a="1"/>
  <c r="K1333" i="1" s="1"/>
  <c r="O1333" i="1"/>
  <c r="H1334" i="1" a="1"/>
  <c r="H1334" i="1" s="1"/>
  <c r="L1334" i="1" a="1"/>
  <c r="L1334" i="1" s="1"/>
  <c r="C1335" i="1" a="1"/>
  <c r="C1335" i="1" s="1"/>
  <c r="G1335" i="1" a="1"/>
  <c r="G1335" i="1" s="1"/>
  <c r="K1335" i="1" a="1"/>
  <c r="K1335" i="1" s="1"/>
  <c r="P1335" i="1" a="1"/>
  <c r="P1335" i="1" s="1"/>
  <c r="C1336" i="1" a="1"/>
  <c r="C1336" i="1" s="1"/>
  <c r="G1336" i="1" a="1"/>
  <c r="G1336" i="1" s="1"/>
  <c r="K1336" i="1" a="1"/>
  <c r="K1336" i="1" s="1"/>
  <c r="P1336" i="1" a="1"/>
  <c r="P1336" i="1" s="1"/>
  <c r="H1337" i="1" a="1"/>
  <c r="H1337" i="1" s="1"/>
  <c r="L1337" i="1" a="1"/>
  <c r="L1337" i="1" s="1"/>
  <c r="Q1337" i="1" a="1"/>
  <c r="Q1337" i="1" s="1"/>
  <c r="D1338" i="1" a="1"/>
  <c r="D1338" i="1" s="1"/>
  <c r="G1338" i="1" a="1"/>
  <c r="G1338" i="1" s="1"/>
  <c r="K1338" i="1" a="1"/>
  <c r="K1338" i="1" s="1"/>
  <c r="O1338" i="1"/>
  <c r="F1339" i="1" a="1"/>
  <c r="F1339" i="1" s="1"/>
  <c r="J1339" i="1" a="1"/>
  <c r="J1339" i="1" s="1"/>
  <c r="O1339" i="1"/>
  <c r="F1340" i="1" a="1"/>
  <c r="F1340" i="1" s="1"/>
  <c r="J1340" i="1" a="1"/>
  <c r="J1340" i="1" s="1"/>
  <c r="O1340" i="1"/>
  <c r="F1341" i="1" a="1"/>
  <c r="F1341" i="1" s="1"/>
  <c r="M1341" i="1" a="1"/>
  <c r="M1341" i="1" s="1"/>
  <c r="M1342" i="1" a="1"/>
  <c r="M1342" i="1" s="1"/>
  <c r="H1343" i="1" a="1"/>
  <c r="H1343" i="1" s="1"/>
  <c r="L1343" i="1" a="1"/>
  <c r="L1343" i="1" s="1"/>
  <c r="Q1343" i="1" a="1"/>
  <c r="Q1343" i="1" s="1"/>
  <c r="C1344" i="1" a="1"/>
  <c r="C1344" i="1" s="1"/>
  <c r="F1344" i="1" a="1"/>
  <c r="F1344" i="1" s="1"/>
  <c r="J1344" i="1" a="1"/>
  <c r="J1344" i="1" s="1"/>
  <c r="M1344" i="1" a="1"/>
  <c r="M1344" i="1" s="1"/>
  <c r="L1345" i="1" a="1"/>
  <c r="L1345" i="1" s="1"/>
  <c r="Q1345" i="1" a="1"/>
  <c r="Q1345" i="1" s="1"/>
  <c r="D1346" i="1" a="1"/>
  <c r="D1346" i="1" s="1"/>
  <c r="H1346" i="1" a="1"/>
  <c r="H1346" i="1" s="1"/>
  <c r="L1346" i="1" a="1"/>
  <c r="L1346" i="1" s="1"/>
  <c r="Q1346" i="1" a="1"/>
  <c r="Q1346" i="1" s="1"/>
  <c r="D1347" i="1" a="1"/>
  <c r="D1347" i="1" s="1"/>
  <c r="K1347" i="1" a="1"/>
  <c r="K1347" i="1" s="1"/>
  <c r="P1347" i="1" a="1"/>
  <c r="P1347" i="1" s="1"/>
  <c r="L1348" i="1" a="1"/>
  <c r="L1348" i="1" s="1"/>
  <c r="Q1348" i="1" a="1"/>
  <c r="Q1348" i="1" s="1"/>
  <c r="D1349" i="1" a="1"/>
  <c r="D1349" i="1" s="1"/>
  <c r="H1349" i="1" a="1"/>
  <c r="H1349" i="1" s="1"/>
  <c r="L1349" i="1" a="1"/>
  <c r="L1349" i="1" s="1"/>
  <c r="Q1349" i="1" a="1"/>
  <c r="Q1349" i="1" s="1"/>
  <c r="D1350" i="1" a="1"/>
  <c r="D1350" i="1" s="1"/>
  <c r="G1350" i="1" a="1"/>
  <c r="G1350" i="1" s="1"/>
  <c r="K1350" i="1" a="1"/>
  <c r="K1350" i="1" s="1"/>
  <c r="P1350" i="1" a="1"/>
  <c r="P1350" i="1" s="1"/>
  <c r="F1351" i="1" a="1"/>
  <c r="F1351" i="1" s="1"/>
  <c r="J1351" i="1" a="1"/>
  <c r="J1351" i="1" s="1"/>
  <c r="O1351" i="1"/>
  <c r="F1352" i="1" a="1"/>
  <c r="F1352" i="1" s="1"/>
  <c r="L1352" i="1" a="1"/>
  <c r="L1352" i="1" s="1"/>
  <c r="Q1352" i="1" a="1"/>
  <c r="Q1352" i="1" s="1"/>
  <c r="D1353" i="1" a="1"/>
  <c r="D1353" i="1" s="1"/>
  <c r="H1353" i="1" a="1"/>
  <c r="H1353" i="1" s="1"/>
  <c r="K1353" i="1" a="1"/>
  <c r="K1353" i="1" s="1"/>
  <c r="P1353" i="1" a="1"/>
  <c r="P1353" i="1" s="1"/>
  <c r="C1354" i="1" a="1"/>
  <c r="C1354" i="1" s="1"/>
  <c r="J1354" i="1" a="1"/>
  <c r="J1354" i="1" s="1"/>
  <c r="H1355" i="1" a="1"/>
  <c r="H1355" i="1" s="1"/>
  <c r="L1355" i="1" a="1"/>
  <c r="L1355" i="1" s="1"/>
  <c r="Q1355" i="1" a="1"/>
  <c r="Q1355" i="1" s="1"/>
  <c r="D1356" i="1" a="1"/>
  <c r="D1356" i="1" s="1"/>
  <c r="H1356" i="1" a="1"/>
  <c r="H1356" i="1" s="1"/>
  <c r="L1356" i="1" a="1"/>
  <c r="L1356" i="1" s="1"/>
  <c r="Q1356" i="1" a="1"/>
  <c r="Q1356" i="1" s="1"/>
  <c r="D1357" i="1" a="1"/>
  <c r="D1357" i="1" s="1"/>
  <c r="H1357" i="1" a="1"/>
  <c r="H1357" i="1" s="1"/>
  <c r="L1357" i="1" a="1"/>
  <c r="L1357" i="1" s="1"/>
  <c r="P1357" i="1" a="1"/>
  <c r="P1357" i="1" s="1"/>
  <c r="F1358" i="1" a="1"/>
  <c r="F1358" i="1" s="1"/>
  <c r="L1358" i="1" a="1"/>
  <c r="L1358" i="1" s="1"/>
  <c r="Q1358" i="1" a="1"/>
  <c r="Q1358" i="1" s="1"/>
  <c r="D1359" i="1" a="1"/>
  <c r="D1359" i="1" s="1"/>
  <c r="H1359" i="1" a="1"/>
  <c r="H1359" i="1" s="1"/>
  <c r="L1359" i="1" a="1"/>
  <c r="L1359" i="1" s="1"/>
  <c r="Q1359" i="1" a="1"/>
  <c r="Q1359" i="1" s="1"/>
  <c r="D1360" i="1" a="1"/>
  <c r="D1360" i="1" s="1"/>
  <c r="H1360" i="1" a="1"/>
  <c r="H1360" i="1" s="1"/>
  <c r="L1360" i="1" a="1"/>
  <c r="L1360" i="1" s="1"/>
  <c r="P1360" i="1" a="1"/>
  <c r="P1360" i="1" s="1"/>
  <c r="C1361" i="1" a="1"/>
  <c r="C1361" i="1" s="1"/>
  <c r="G1361" i="1" a="1"/>
  <c r="G1361" i="1" s="1"/>
  <c r="K1361" i="1" a="1"/>
  <c r="K1361" i="1" s="1"/>
  <c r="O1361" i="1"/>
  <c r="H1362" i="1" a="1"/>
  <c r="H1362" i="1" s="1"/>
  <c r="P1362" i="1" a="1"/>
  <c r="P1362" i="1" s="1"/>
  <c r="C1363" i="1" a="1"/>
  <c r="C1363" i="1" s="1"/>
  <c r="G1363" i="1" a="1"/>
  <c r="G1363" i="1" s="1"/>
  <c r="K1363" i="1" a="1"/>
  <c r="K1363" i="1" s="1"/>
  <c r="P1363" i="1" a="1"/>
  <c r="P1363" i="1" s="1"/>
  <c r="C1364" i="1" a="1"/>
  <c r="C1364" i="1" s="1"/>
  <c r="G1364" i="1" a="1"/>
  <c r="G1364" i="1" s="1"/>
  <c r="J1364" i="1" a="1"/>
  <c r="J1364" i="1" s="1"/>
  <c r="M1364" i="1" a="1"/>
  <c r="M1364" i="1" s="1"/>
  <c r="L1365" i="1" a="1"/>
  <c r="L1365" i="1" s="1"/>
  <c r="Q1365" i="1" a="1"/>
  <c r="Q1365" i="1" s="1"/>
  <c r="D1366" i="1" a="1"/>
  <c r="D1366" i="1" s="1"/>
  <c r="H1366" i="1" a="1"/>
  <c r="H1366" i="1" s="1"/>
  <c r="L1366" i="1" a="1"/>
  <c r="L1366" i="1" s="1"/>
  <c r="Q1366" i="1" a="1"/>
  <c r="Q1366" i="1" s="1"/>
  <c r="D1367" i="1" a="1"/>
  <c r="D1367" i="1" s="1"/>
  <c r="K1367" i="1" a="1"/>
  <c r="K1367" i="1" s="1"/>
  <c r="P1367" i="1" a="1"/>
  <c r="P1367" i="1" s="1"/>
  <c r="L1368" i="1" a="1"/>
  <c r="L1368" i="1" s="1"/>
  <c r="Q1368" i="1" a="1"/>
  <c r="Q1368" i="1" s="1"/>
  <c r="D1369" i="1" a="1"/>
  <c r="D1369" i="1" s="1"/>
  <c r="H1369" i="1" a="1"/>
  <c r="H1369" i="1" s="1"/>
  <c r="L1369" i="1" a="1"/>
  <c r="L1369" i="1" s="1"/>
  <c r="Q1369" i="1" a="1"/>
  <c r="Q1369" i="1" s="1"/>
  <c r="D1370" i="1" a="1"/>
  <c r="D1370" i="1" s="1"/>
  <c r="H1370" i="1" a="1"/>
  <c r="H1370" i="1" s="1"/>
  <c r="L1370" i="1" a="1"/>
  <c r="L1370" i="1" s="1"/>
  <c r="Q1370" i="1" a="1"/>
  <c r="Q1370" i="1" s="1"/>
  <c r="D1371" i="1" a="1"/>
  <c r="D1371" i="1" s="1"/>
  <c r="H1371" i="1" a="1"/>
  <c r="H1371" i="1" s="1"/>
  <c r="L1371" i="1" a="1"/>
  <c r="L1371" i="1" s="1"/>
  <c r="Q1371" i="1" a="1"/>
  <c r="Q1371" i="1" s="1"/>
  <c r="D1372" i="1" a="1"/>
  <c r="D1372" i="1" s="1"/>
  <c r="H1372" i="1" a="1"/>
  <c r="H1372" i="1" s="1"/>
  <c r="L1372" i="1" a="1"/>
  <c r="L1372" i="1" s="1"/>
  <c r="Q1372" i="1" a="1"/>
  <c r="Q1372" i="1" s="1"/>
  <c r="D1373" i="1" a="1"/>
  <c r="D1373" i="1" s="1"/>
  <c r="G1373" i="1" a="1"/>
  <c r="G1373" i="1" s="1"/>
  <c r="K1373" i="1" a="1"/>
  <c r="K1373" i="1" s="1"/>
  <c r="P1373" i="1" a="1"/>
  <c r="P1373" i="1" s="1"/>
  <c r="C1374" i="1" a="1"/>
  <c r="C1374" i="1" s="1"/>
  <c r="G1374" i="1" a="1"/>
  <c r="G1374" i="1" s="1"/>
  <c r="K1374" i="1" a="1"/>
  <c r="K1374" i="1" s="1"/>
  <c r="O1374" i="1"/>
  <c r="F1375" i="1" a="1"/>
  <c r="F1375" i="1" s="1"/>
  <c r="J1375" i="1" a="1"/>
  <c r="J1375" i="1" s="1"/>
  <c r="O1375" i="1"/>
  <c r="F1376" i="1" a="1"/>
  <c r="F1376" i="1" s="1"/>
  <c r="J1376" i="1" a="1"/>
  <c r="J1376" i="1" s="1"/>
  <c r="M1376" i="1" a="1"/>
  <c r="M1376" i="1" s="1"/>
  <c r="L1377" i="1" a="1"/>
  <c r="L1377" i="1" s="1"/>
  <c r="C1378" i="1" a="1"/>
  <c r="C1378" i="1" s="1"/>
  <c r="F1378" i="1" a="1"/>
  <c r="F1378" i="1" s="1"/>
  <c r="J1378" i="1" a="1"/>
  <c r="J1378" i="1" s="1"/>
  <c r="M1379" i="1" a="1"/>
  <c r="M1379" i="1" s="1"/>
  <c r="M1380" i="1" a="1"/>
  <c r="M1380" i="1" s="1"/>
  <c r="D1381" i="1" a="1"/>
  <c r="D1381" i="1" s="1"/>
  <c r="H1381" i="1" a="1"/>
  <c r="H1381" i="1" s="1"/>
  <c r="L1381" i="1" a="1"/>
  <c r="L1381" i="1" s="1"/>
  <c r="Q1381" i="1" a="1"/>
  <c r="Q1381" i="1" s="1"/>
  <c r="D1382" i="1" a="1"/>
  <c r="D1382" i="1" s="1"/>
  <c r="G1382" i="1" a="1"/>
  <c r="G1382" i="1" s="1"/>
  <c r="K1382" i="1" a="1"/>
  <c r="K1382" i="1" s="1"/>
  <c r="O1382" i="1"/>
  <c r="F1383" i="1" a="1"/>
  <c r="F1383" i="1" s="1"/>
  <c r="J1383" i="1" a="1"/>
  <c r="J1383" i="1" s="1"/>
  <c r="O1383" i="1"/>
  <c r="F1384" i="1" a="1"/>
  <c r="F1384" i="1" s="1"/>
  <c r="J1384" i="1" a="1"/>
  <c r="J1384" i="1" s="1"/>
  <c r="O1384" i="1"/>
  <c r="F1385" i="1" a="1"/>
  <c r="F1385" i="1" s="1"/>
  <c r="M1385" i="1" a="1"/>
  <c r="M1385" i="1" s="1"/>
  <c r="M1386" i="1" a="1"/>
  <c r="M1386" i="1" s="1"/>
  <c r="Q1386" i="1" a="1"/>
  <c r="Q1386" i="1" s="1"/>
  <c r="D1387" i="1" a="1"/>
  <c r="D1387" i="1" s="1"/>
  <c r="H1387" i="1" a="1"/>
  <c r="H1387" i="1" s="1"/>
  <c r="L1387" i="1" a="1"/>
  <c r="L1387" i="1" s="1"/>
  <c r="Q1387" i="1" a="1"/>
  <c r="Q1387" i="1" s="1"/>
  <c r="D1388" i="1" a="1"/>
  <c r="D1388" i="1" s="1"/>
  <c r="H1388" i="1" a="1"/>
  <c r="H1388" i="1" s="1"/>
  <c r="L1388" i="1" a="1"/>
  <c r="L1388" i="1" s="1"/>
  <c r="P1388" i="1" a="1"/>
  <c r="P1388" i="1" s="1"/>
  <c r="C1389" i="1" a="1"/>
  <c r="C1389" i="1" s="1"/>
  <c r="G1389" i="1" a="1"/>
  <c r="G1389" i="1" s="1"/>
  <c r="K1389" i="1" a="1"/>
  <c r="K1389" i="1" s="1"/>
  <c r="P1389" i="1" a="1"/>
  <c r="P1389" i="1" s="1"/>
  <c r="C1390" i="1" a="1"/>
  <c r="C1390" i="1" s="1"/>
  <c r="G1390" i="1" a="1"/>
  <c r="G1390" i="1" s="1"/>
  <c r="K1390" i="1" a="1"/>
  <c r="K1390" i="1" s="1"/>
  <c r="P1390" i="1" a="1"/>
  <c r="P1390" i="1" s="1"/>
  <c r="C1391" i="1" a="1"/>
  <c r="C1391" i="1" s="1"/>
  <c r="G1391" i="1" a="1"/>
  <c r="G1391" i="1" s="1"/>
  <c r="J1391" i="1" a="1"/>
  <c r="J1391" i="1" s="1"/>
  <c r="O1391" i="1"/>
  <c r="M1392" i="1" a="1"/>
  <c r="M1392" i="1" s="1"/>
  <c r="M1393" i="1" a="1"/>
  <c r="M1393" i="1" s="1"/>
  <c r="M1394" i="1" a="1"/>
  <c r="M1394" i="1" s="1"/>
  <c r="M1395" i="1" a="1"/>
  <c r="M1395" i="1" s="1"/>
  <c r="M1396" i="1" a="1"/>
  <c r="M1396" i="1" s="1"/>
  <c r="L1397" i="1" a="1"/>
  <c r="L1397" i="1" s="1"/>
  <c r="C1398" i="1" a="1"/>
  <c r="C1398" i="1" s="1"/>
  <c r="F1398" i="1" a="1"/>
  <c r="F1398" i="1" s="1"/>
  <c r="J1398" i="1" a="1"/>
  <c r="J1398" i="1" s="1"/>
  <c r="M1398" i="1" a="1"/>
  <c r="M1398" i="1" s="1"/>
  <c r="M1399" i="1" a="1"/>
  <c r="M1399" i="1" s="1"/>
  <c r="J1401" i="1" a="1"/>
  <c r="J1401" i="1" s="1"/>
  <c r="O1401" i="1"/>
  <c r="F1402" i="1" a="1"/>
  <c r="F1402" i="1" s="1"/>
  <c r="J1402" i="1" a="1"/>
  <c r="J1402" i="1" s="1"/>
  <c r="O1402" i="1"/>
  <c r="F1403" i="1" a="1"/>
  <c r="F1403" i="1" s="1"/>
  <c r="J1403" i="1" a="1"/>
  <c r="J1403" i="1" s="1"/>
  <c r="O1403" i="1"/>
  <c r="F1404" i="1" a="1"/>
  <c r="F1404" i="1" s="1"/>
  <c r="J1404" i="1" a="1"/>
  <c r="J1404" i="1" s="1"/>
  <c r="O1404" i="1"/>
  <c r="F1405" i="1" a="1"/>
  <c r="F1405" i="1" s="1"/>
  <c r="J1405" i="1" a="1"/>
  <c r="J1405" i="1" s="1"/>
  <c r="O1405" i="1"/>
  <c r="F1406" i="1" a="1"/>
  <c r="F1406" i="1" s="1"/>
  <c r="J1406" i="1" a="1"/>
  <c r="J1406" i="1" s="1"/>
  <c r="O1406" i="1"/>
  <c r="F1407" i="1" a="1"/>
  <c r="F1407" i="1" s="1"/>
  <c r="J1407" i="1" a="1"/>
  <c r="J1407" i="1" s="1"/>
  <c r="O1407" i="1"/>
  <c r="F1408" i="1" a="1"/>
  <c r="F1408" i="1" s="1"/>
  <c r="J1408" i="1" a="1"/>
  <c r="J1408" i="1" s="1"/>
  <c r="L1408" i="1" a="1"/>
  <c r="L1408" i="1" s="1"/>
  <c r="O1408" i="1"/>
  <c r="F1409" i="1" a="1"/>
  <c r="F1409" i="1" s="1"/>
  <c r="H1409" i="1" a="1"/>
  <c r="H1409" i="1" s="1"/>
  <c r="K1409" i="1" a="1"/>
  <c r="K1409" i="1" s="1"/>
  <c r="P1409" i="1" a="1"/>
  <c r="P1409" i="1" s="1"/>
  <c r="D1410" i="1" a="1"/>
  <c r="D1410" i="1" s="1"/>
  <c r="G1410" i="1" a="1"/>
  <c r="G1410" i="1" s="1"/>
  <c r="K1410" i="1" a="1"/>
  <c r="K1410" i="1" s="1"/>
  <c r="P1410" i="1" a="1"/>
  <c r="P1410" i="1" s="1"/>
  <c r="C1411" i="1" a="1"/>
  <c r="C1411" i="1" s="1"/>
  <c r="G1411" i="1" a="1"/>
  <c r="G1411" i="1" s="1"/>
  <c r="K1411" i="1" a="1"/>
  <c r="K1411" i="1" s="1"/>
  <c r="P1411" i="1" a="1"/>
  <c r="P1411" i="1" s="1"/>
  <c r="C1412" i="1" a="1"/>
  <c r="C1412" i="1" s="1"/>
  <c r="G1412" i="1" a="1"/>
  <c r="G1412" i="1" s="1"/>
  <c r="K1412" i="1" a="1"/>
  <c r="K1412" i="1" s="1"/>
  <c r="P1412" i="1" a="1"/>
  <c r="P1412" i="1" s="1"/>
  <c r="C1413" i="1" a="1"/>
  <c r="C1413" i="1" s="1"/>
  <c r="G1413" i="1" a="1"/>
  <c r="G1413" i="1" s="1"/>
  <c r="K1413" i="1" a="1"/>
  <c r="K1413" i="1" s="1"/>
  <c r="P1413" i="1" a="1"/>
  <c r="P1413" i="1" s="1"/>
  <c r="C1414" i="1" a="1"/>
  <c r="C1414" i="1" s="1"/>
  <c r="G1414" i="1" a="1"/>
  <c r="G1414" i="1" s="1"/>
  <c r="K1414" i="1" a="1"/>
  <c r="K1414" i="1" s="1"/>
  <c r="P1414" i="1" a="1"/>
  <c r="P1414" i="1" s="1"/>
  <c r="C1415" i="1" a="1"/>
  <c r="C1415" i="1" s="1"/>
  <c r="G1415" i="1" a="1"/>
  <c r="G1415" i="1" s="1"/>
  <c r="K1415" i="1" a="1"/>
  <c r="K1415" i="1" s="1"/>
  <c r="P1415" i="1" a="1"/>
  <c r="P1415" i="1" s="1"/>
  <c r="C1416" i="1" a="1"/>
  <c r="C1416" i="1" s="1"/>
  <c r="G1416" i="1" a="1"/>
  <c r="G1416" i="1" s="1"/>
  <c r="P1416" i="1" a="1"/>
  <c r="P1416" i="1" s="1"/>
  <c r="C1417" i="1" a="1"/>
  <c r="C1417" i="1" s="1"/>
  <c r="L1417" i="1" a="1"/>
  <c r="L1417" i="1" s="1"/>
  <c r="H1418" i="1" a="1"/>
  <c r="H1418" i="1" s="1"/>
  <c r="L1418" i="1" a="1"/>
  <c r="L1418" i="1" s="1"/>
  <c r="Q1418" i="1" a="1"/>
  <c r="Q1418" i="1" s="1"/>
  <c r="D1419" i="1" a="1"/>
  <c r="D1419" i="1" s="1"/>
  <c r="H1419" i="1" a="1"/>
  <c r="H1419" i="1" s="1"/>
  <c r="L1419" i="1" a="1"/>
  <c r="L1419" i="1" s="1"/>
  <c r="Q1419" i="1" a="1"/>
  <c r="Q1419" i="1" s="1"/>
  <c r="D1420" i="1" a="1"/>
  <c r="D1420" i="1" s="1"/>
  <c r="H1420" i="1" a="1"/>
  <c r="H1420" i="1" s="1"/>
  <c r="L1420" i="1" a="1"/>
  <c r="L1420" i="1" s="1"/>
  <c r="Q1420" i="1" a="1"/>
  <c r="Q1420" i="1" s="1"/>
  <c r="D1421" i="1" a="1"/>
  <c r="D1421" i="1" s="1"/>
  <c r="H1421" i="1" a="1"/>
  <c r="H1421" i="1" s="1"/>
  <c r="L1421" i="1" a="1"/>
  <c r="L1421" i="1" s="1"/>
  <c r="Q1421" i="1" a="1"/>
  <c r="Q1421" i="1" s="1"/>
  <c r="D1422" i="1" a="1"/>
  <c r="D1422" i="1" s="1"/>
  <c r="H1422" i="1" a="1"/>
  <c r="H1422" i="1" s="1"/>
  <c r="L1422" i="1" a="1"/>
  <c r="L1422" i="1" s="1"/>
  <c r="Q1422" i="1" a="1"/>
  <c r="Q1422" i="1" s="1"/>
  <c r="D1423" i="1" a="1"/>
  <c r="D1423" i="1" s="1"/>
  <c r="H1423" i="1" a="1"/>
  <c r="H1423" i="1" s="1"/>
  <c r="L1423" i="1" a="1"/>
  <c r="L1423" i="1" s="1"/>
  <c r="Q1423" i="1" a="1"/>
  <c r="Q1423" i="1" s="1"/>
  <c r="D1424" i="1" a="1"/>
  <c r="D1424" i="1" s="1"/>
  <c r="H1424" i="1" a="1"/>
  <c r="H1424" i="1" s="1"/>
  <c r="K1424" i="1" a="1"/>
  <c r="K1424" i="1" s="1"/>
  <c r="M1424" i="1" a="1"/>
  <c r="M1424" i="1" s="1"/>
  <c r="M1425" i="1" a="1"/>
  <c r="M1425" i="1" s="1"/>
  <c r="M1426" i="1" a="1"/>
  <c r="M1426" i="1" s="1"/>
  <c r="M1427" i="1" a="1"/>
  <c r="M1427" i="1" s="1"/>
  <c r="Q1427" i="1" a="1"/>
  <c r="Q1427" i="1" s="1"/>
  <c r="C1428" i="1" a="1"/>
  <c r="C1428" i="1" s="1"/>
  <c r="F1428" i="1" a="1"/>
  <c r="F1428" i="1" s="1"/>
  <c r="J1428" i="1" a="1"/>
  <c r="J1428" i="1" s="1"/>
  <c r="M1428" i="1" a="1"/>
  <c r="M1428" i="1" s="1"/>
  <c r="M1429" i="1" a="1"/>
  <c r="M1429" i="1" s="1"/>
  <c r="H1430" i="1" a="1"/>
  <c r="H1430" i="1" s="1"/>
  <c r="L1430" i="1" a="1"/>
  <c r="L1430" i="1" s="1"/>
  <c r="Q1430" i="1" a="1"/>
  <c r="Q1430" i="1" s="1"/>
  <c r="D1431" i="1" a="1"/>
  <c r="D1431" i="1" s="1"/>
  <c r="H1431" i="1" a="1"/>
  <c r="H1431" i="1" s="1"/>
  <c r="L1431" i="1" a="1"/>
  <c r="L1431" i="1" s="1"/>
  <c r="Q1431" i="1" a="1"/>
  <c r="Q1431" i="1" s="1"/>
  <c r="D1432" i="1" a="1"/>
  <c r="D1432" i="1" s="1"/>
  <c r="H1432" i="1" a="1"/>
  <c r="H1432" i="1" s="1"/>
  <c r="L1432" i="1" a="1"/>
  <c r="L1432" i="1" s="1"/>
  <c r="Q1432" i="1" a="1"/>
  <c r="Q1432" i="1" s="1"/>
  <c r="D1433" i="1" a="1"/>
  <c r="D1433" i="1" s="1"/>
  <c r="H1433" i="1" a="1"/>
  <c r="H1433" i="1" s="1"/>
  <c r="L1433" i="1" a="1"/>
  <c r="L1433" i="1" s="1"/>
  <c r="Q1433" i="1" a="1"/>
  <c r="Q1433" i="1" s="1"/>
  <c r="D1434" i="1" a="1"/>
  <c r="D1434" i="1" s="1"/>
  <c r="H1434" i="1" a="1"/>
  <c r="H1434" i="1" s="1"/>
  <c r="L1434" i="1" a="1"/>
  <c r="L1434" i="1" s="1"/>
  <c r="Q1434" i="1" a="1"/>
  <c r="Q1434" i="1" s="1"/>
  <c r="D1435" i="1" a="1"/>
  <c r="D1435" i="1" s="1"/>
  <c r="H1435" i="1" a="1"/>
  <c r="H1435" i="1" s="1"/>
  <c r="L1435" i="1" a="1"/>
  <c r="L1435" i="1" s="1"/>
  <c r="Q1435" i="1" a="1"/>
  <c r="Q1435" i="1" s="1"/>
  <c r="D1436" i="1" a="1"/>
  <c r="D1436" i="1" s="1"/>
  <c r="H1436" i="1" a="1"/>
  <c r="H1436" i="1" s="1"/>
  <c r="K1436" i="1" a="1"/>
  <c r="K1436" i="1" s="1"/>
  <c r="M1436" i="1" a="1"/>
  <c r="M1436" i="1" s="1"/>
  <c r="Q1436" i="1" a="1"/>
  <c r="Q1436" i="1" s="1"/>
  <c r="D1437" i="1" a="1"/>
  <c r="D1437" i="1" s="1"/>
  <c r="G1437" i="1" a="1"/>
  <c r="G1437" i="1" s="1"/>
  <c r="M1437" i="1" a="1"/>
  <c r="M1437" i="1" s="1"/>
  <c r="Q1437" i="1" a="1"/>
  <c r="Q1437" i="1" s="1"/>
  <c r="C1438" i="1" a="1"/>
  <c r="C1438" i="1" s="1"/>
  <c r="M1438" i="1" a="1"/>
  <c r="M1438" i="1" s="1"/>
  <c r="M1439" i="1" a="1"/>
  <c r="M1439" i="1" s="1"/>
  <c r="L1440" i="1" a="1"/>
  <c r="L1440" i="1" s="1"/>
  <c r="P1440" i="1" a="1"/>
  <c r="P1440" i="1" s="1"/>
  <c r="C1441" i="1" a="1"/>
  <c r="C1441" i="1" s="1"/>
  <c r="M1441" i="1" a="1"/>
  <c r="M1441" i="1" s="1"/>
  <c r="Q1441" i="1" a="1"/>
  <c r="Q1441" i="1" s="1"/>
  <c r="D1442" i="1" a="1"/>
  <c r="D1442" i="1" s="1"/>
  <c r="G1442" i="1" a="1"/>
  <c r="G1442" i="1" s="1"/>
  <c r="K1442" i="1" a="1"/>
  <c r="K1442" i="1" s="1"/>
  <c r="P1442" i="1" a="1"/>
  <c r="P1442" i="1" s="1"/>
  <c r="C1443" i="1" a="1"/>
  <c r="C1443" i="1" s="1"/>
  <c r="G1443" i="1" a="1"/>
  <c r="G1443" i="1" s="1"/>
  <c r="K1443" i="1" a="1"/>
  <c r="K1443" i="1" s="1"/>
  <c r="P1443" i="1" a="1"/>
  <c r="P1443" i="1" s="1"/>
  <c r="C1444" i="1" a="1"/>
  <c r="C1444" i="1" s="1"/>
  <c r="G1444" i="1" a="1"/>
  <c r="G1444" i="1" s="1"/>
  <c r="P1444" i="1" a="1"/>
  <c r="P1444" i="1" s="1"/>
  <c r="C1445" i="1" a="1"/>
  <c r="C1445" i="1" s="1"/>
  <c r="L1445" i="1" a="1"/>
  <c r="L1445" i="1" s="1"/>
  <c r="H1446" i="1" a="1"/>
  <c r="H1446" i="1" s="1"/>
  <c r="L1446" i="1" a="1"/>
  <c r="L1446" i="1" s="1"/>
  <c r="Q1446" i="1" a="1"/>
  <c r="Q1446" i="1" s="1"/>
  <c r="D1447" i="1" a="1"/>
  <c r="D1447" i="1" s="1"/>
  <c r="H1447" i="1" a="1"/>
  <c r="H1447" i="1" s="1"/>
  <c r="L1447" i="1" a="1"/>
  <c r="L1447" i="1" s="1"/>
  <c r="Q1447" i="1" a="1"/>
  <c r="Q1447" i="1" s="1"/>
  <c r="D1448" i="1" a="1"/>
  <c r="D1448" i="1" s="1"/>
  <c r="H1448" i="1" a="1"/>
  <c r="H1448" i="1" s="1"/>
  <c r="O1448" i="1"/>
  <c r="F1449" i="1" a="1"/>
  <c r="F1449" i="1" s="1"/>
  <c r="M1449" i="1" a="1"/>
  <c r="M1449" i="1" s="1"/>
  <c r="G1450" i="1" a="1"/>
  <c r="G1450" i="1" s="1"/>
  <c r="K1450" i="1" a="1"/>
  <c r="K1450" i="1" s="1"/>
  <c r="P1450" i="1" a="1"/>
  <c r="P1450" i="1" s="1"/>
  <c r="C1451" i="1" a="1"/>
  <c r="C1451" i="1" s="1"/>
  <c r="G1451" i="1" a="1"/>
  <c r="G1451" i="1" s="1"/>
  <c r="K1451" i="1" a="1"/>
  <c r="K1451" i="1" s="1"/>
  <c r="P1451" i="1" a="1"/>
  <c r="P1451" i="1" s="1"/>
  <c r="C1452" i="1" a="1"/>
  <c r="C1452" i="1" s="1"/>
  <c r="G1452" i="1" a="1"/>
  <c r="G1452" i="1" s="1"/>
  <c r="P1452" i="1" a="1"/>
  <c r="P1452" i="1" s="1"/>
  <c r="C1453" i="1" a="1"/>
  <c r="C1453" i="1" s="1"/>
  <c r="L1453" i="1" a="1"/>
  <c r="L1453" i="1" s="1"/>
  <c r="H1454" i="1" a="1"/>
  <c r="H1454" i="1" s="1"/>
  <c r="L1454" i="1" a="1"/>
  <c r="L1454" i="1" s="1"/>
  <c r="Q1454" i="1" a="1"/>
  <c r="Q1454" i="1" s="1"/>
  <c r="D1455" i="1" a="1"/>
  <c r="D1455" i="1" s="1"/>
  <c r="H1455" i="1" a="1"/>
  <c r="H1455" i="1" s="1"/>
  <c r="L1455" i="1" a="1"/>
  <c r="L1455" i="1" s="1"/>
  <c r="Q1455" i="1" a="1"/>
  <c r="Q1455" i="1" s="1"/>
  <c r="D1456" i="1" a="1"/>
  <c r="D1456" i="1" s="1"/>
  <c r="H1456" i="1" a="1"/>
  <c r="H1456" i="1" s="1"/>
  <c r="K1456" i="1" a="1"/>
  <c r="K1456" i="1" s="1"/>
  <c r="O1456" i="1"/>
  <c r="F1457" i="1" a="1"/>
  <c r="F1457" i="1" s="1"/>
  <c r="L1457" i="1" a="1"/>
  <c r="L1457" i="1" s="1"/>
  <c r="C1458" i="1" a="1"/>
  <c r="C1458" i="1" s="1"/>
  <c r="F1458" i="1" a="1"/>
  <c r="F1458" i="1" s="1"/>
  <c r="J1458" i="1" a="1"/>
  <c r="J1458" i="1" s="1"/>
  <c r="O1458" i="1"/>
  <c r="F1459" i="1" a="1"/>
  <c r="F1459" i="1" s="1"/>
  <c r="J1459" i="1" a="1"/>
  <c r="J1459" i="1" s="1"/>
  <c r="O1459" i="1"/>
  <c r="F1460" i="1" a="1"/>
  <c r="F1460" i="1" s="1"/>
  <c r="J1460" i="1" a="1"/>
  <c r="J1460" i="1" s="1"/>
  <c r="L1460" i="1" a="1"/>
  <c r="L1460" i="1" s="1"/>
  <c r="O1460" i="1"/>
  <c r="F1461" i="1" a="1"/>
  <c r="F1461" i="1" s="1"/>
  <c r="H1461" i="1" a="1"/>
  <c r="H1461" i="1" s="1"/>
  <c r="K1461" i="1" a="1"/>
  <c r="K1461" i="1" s="1"/>
  <c r="P1461" i="1" a="1"/>
  <c r="P1461" i="1" s="1"/>
  <c r="D1462" i="1" a="1"/>
  <c r="D1462" i="1" s="1"/>
  <c r="G1462" i="1" a="1"/>
  <c r="G1462" i="1" s="1"/>
  <c r="K1462" i="1" a="1"/>
  <c r="K1462" i="1" s="1"/>
  <c r="P1462" i="1" a="1"/>
  <c r="P1462" i="1" s="1"/>
  <c r="C1231" i="1" a="1"/>
  <c r="C1231" i="1" s="1"/>
  <c r="J1231" i="1" a="1"/>
  <c r="J1231" i="1" s="1"/>
  <c r="M1232" i="1" a="1"/>
  <c r="M1232" i="1" s="1"/>
  <c r="H1233" i="1" a="1"/>
  <c r="H1233" i="1" s="1"/>
  <c r="J1233" i="14" s="1"/>
  <c r="L1236" i="1" a="1"/>
  <c r="L1236" i="1" s="1"/>
  <c r="D1237" i="1" a="1"/>
  <c r="D1237" i="1" s="1"/>
  <c r="I1237" i="14" s="1"/>
  <c r="L1237" i="1" a="1"/>
  <c r="L1237" i="1" s="1"/>
  <c r="C1238" i="1" a="1"/>
  <c r="C1238" i="1" s="1"/>
  <c r="J1238" i="1" a="1"/>
  <c r="J1238" i="1" s="1"/>
  <c r="F1240" i="1" a="1"/>
  <c r="F1240" i="1" s="1"/>
  <c r="R1240" i="14" s="1"/>
  <c r="M1240" i="1" a="1"/>
  <c r="M1240" i="1" s="1"/>
  <c r="D1241" i="1" a="1"/>
  <c r="D1241" i="1" s="1"/>
  <c r="I1241" i="14" s="1"/>
  <c r="P1241" i="1" a="1"/>
  <c r="P1241" i="1" s="1"/>
  <c r="J1242" i="1" a="1"/>
  <c r="J1242" i="1" s="1"/>
  <c r="F1243" i="1" a="1"/>
  <c r="F1243" i="1" s="1"/>
  <c r="R1243" i="14" s="1"/>
  <c r="O1243" i="1"/>
  <c r="M1243" i="14" s="1"/>
  <c r="D1244" i="1" a="1"/>
  <c r="D1244" i="1" s="1"/>
  <c r="I1244" i="14" s="1"/>
  <c r="L1244" i="1" a="1"/>
  <c r="L1244" i="1" s="1"/>
  <c r="H1245" i="1" a="1"/>
  <c r="H1245" i="1" s="1"/>
  <c r="J1245" i="14" s="1"/>
  <c r="O1245" i="1"/>
  <c r="M1245" i="14" s="1"/>
  <c r="C1246" i="1" a="1"/>
  <c r="C1246" i="1" s="1"/>
  <c r="P1246" i="1" a="1"/>
  <c r="P1246" i="1" s="1"/>
  <c r="J1247" i="1" a="1"/>
  <c r="J1247" i="1" s="1"/>
  <c r="F1248" i="1" a="1"/>
  <c r="F1248" i="1" s="1"/>
  <c r="R1248" i="14" s="1"/>
  <c r="K1248" i="1" a="1"/>
  <c r="K1248" i="1" s="1"/>
  <c r="L1248" i="14" s="1"/>
  <c r="Q1249" i="1" a="1"/>
  <c r="Q1249" i="1" s="1"/>
  <c r="S1249" i="14" s="1"/>
  <c r="J1250" i="1" a="1"/>
  <c r="J1250" i="1" s="1"/>
  <c r="J1251" i="1" a="1"/>
  <c r="J1251" i="1" s="1"/>
  <c r="C1252" i="1" a="1"/>
  <c r="C1252" i="1" s="1"/>
  <c r="H1252" i="1" a="1"/>
  <c r="H1252" i="1" s="1"/>
  <c r="J1252" i="14" s="1"/>
  <c r="M1252" i="1" a="1"/>
  <c r="M1252" i="1" s="1"/>
  <c r="G1253" i="1" a="1"/>
  <c r="G1253" i="1" s="1"/>
  <c r="J1253" i="1" a="1"/>
  <c r="J1253" i="1" s="1"/>
  <c r="O1253" i="1"/>
  <c r="M1253" i="14" s="1"/>
  <c r="C1254" i="1" a="1"/>
  <c r="C1254" i="1" s="1"/>
  <c r="H1254" i="1" a="1"/>
  <c r="H1254" i="1" s="1"/>
  <c r="J1254" i="14" s="1"/>
  <c r="L1254" i="1" a="1"/>
  <c r="L1254" i="1" s="1"/>
  <c r="Q1254" i="1" a="1"/>
  <c r="Q1254" i="1" s="1"/>
  <c r="S1254" i="14" s="1"/>
  <c r="D1255" i="1" a="1"/>
  <c r="D1255" i="1" s="1"/>
  <c r="I1255" i="14" s="1"/>
  <c r="G1255" i="1" a="1"/>
  <c r="G1255" i="1" s="1"/>
  <c r="J1255" i="1" a="1"/>
  <c r="J1255" i="1" s="1"/>
  <c r="M1255" i="1" a="1"/>
  <c r="M1255" i="1" s="1"/>
  <c r="M1256" i="1" a="1"/>
  <c r="M1256" i="1" s="1"/>
  <c r="M1257" i="1" a="1"/>
  <c r="M1257" i="1" s="1"/>
  <c r="L1258" i="1" a="1"/>
  <c r="L1258" i="1" s="1"/>
  <c r="Q1258" i="1" a="1"/>
  <c r="Q1258" i="1" s="1"/>
  <c r="S1258" i="14" s="1"/>
  <c r="D1259" i="1" a="1"/>
  <c r="D1259" i="1" s="1"/>
  <c r="I1259" i="14" s="1"/>
  <c r="H1259" i="1" a="1"/>
  <c r="H1259" i="1" s="1"/>
  <c r="J1259" i="14" s="1"/>
  <c r="L1259" i="1" a="1"/>
  <c r="L1259" i="1" s="1"/>
  <c r="Q1259" i="1" a="1"/>
  <c r="Q1259" i="1" s="1"/>
  <c r="S1259" i="14" s="1"/>
  <c r="D1260" i="1" a="1"/>
  <c r="D1260" i="1" s="1"/>
  <c r="I1260" i="14" s="1"/>
  <c r="H1260" i="1" a="1"/>
  <c r="H1260" i="1" s="1"/>
  <c r="J1260" i="14" s="1"/>
  <c r="P1260" i="1" a="1"/>
  <c r="P1260" i="1" s="1"/>
  <c r="C1261" i="1" a="1"/>
  <c r="C1261" i="1" s="1"/>
  <c r="G1261" i="1" a="1"/>
  <c r="G1261" i="1" s="1"/>
  <c r="K1261" i="1" a="1"/>
  <c r="K1261" i="1" s="1"/>
  <c r="P1261" i="1" a="1"/>
  <c r="P1261" i="1" s="1"/>
  <c r="H1262" i="1" a="1"/>
  <c r="H1262" i="1" s="1"/>
  <c r="J1262" i="14" s="1"/>
  <c r="L1262" i="1" a="1"/>
  <c r="L1262" i="1" s="1"/>
  <c r="Q1262" i="1" a="1"/>
  <c r="Q1262" i="1" s="1"/>
  <c r="S1262" i="14" s="1"/>
  <c r="D1263" i="1" a="1"/>
  <c r="D1263" i="1" s="1"/>
  <c r="I1263" i="14" s="1"/>
  <c r="H1263" i="1" a="1"/>
  <c r="H1263" i="1" s="1"/>
  <c r="J1263" i="14" s="1"/>
  <c r="L1263" i="1" a="1"/>
  <c r="L1263" i="1" s="1"/>
  <c r="P1264" i="1" a="1"/>
  <c r="P1264" i="1" s="1"/>
  <c r="H1266" i="1" a="1"/>
  <c r="H1266" i="1" s="1"/>
  <c r="J1266" i="14" s="1"/>
  <c r="L1266" i="1" a="1"/>
  <c r="L1266" i="1" s="1"/>
  <c r="Q1266" i="1" a="1"/>
  <c r="Q1266" i="1" s="1"/>
  <c r="S1266" i="14" s="1"/>
  <c r="D1267" i="1" a="1"/>
  <c r="D1267" i="1" s="1"/>
  <c r="I1267" i="14" s="1"/>
  <c r="G1267" i="1" a="1"/>
  <c r="G1267" i="1" s="1"/>
  <c r="J1267" i="1" a="1"/>
  <c r="J1267" i="1" s="1"/>
  <c r="O1267" i="1"/>
  <c r="M1267" i="14" s="1"/>
  <c r="F1268" i="1" a="1"/>
  <c r="F1268" i="1" s="1"/>
  <c r="R1268" i="14" s="1"/>
  <c r="J1268" i="1" a="1"/>
  <c r="J1268" i="1" s="1"/>
  <c r="M1268" i="1" a="1"/>
  <c r="M1268" i="1" s="1"/>
  <c r="M1269" i="1" a="1"/>
  <c r="M1269" i="1" s="1"/>
  <c r="L1270" i="1" a="1"/>
  <c r="L1270" i="1" s="1"/>
  <c r="P1270" i="1" a="1"/>
  <c r="P1270" i="1" s="1"/>
  <c r="F1271" i="1" a="1"/>
  <c r="F1271" i="1" s="1"/>
  <c r="R1271" i="14" s="1"/>
  <c r="J1271" i="1" a="1"/>
  <c r="J1271" i="1" s="1"/>
  <c r="M1272" i="1" a="1"/>
  <c r="M1272" i="1" s="1"/>
  <c r="M1273" i="1" a="1"/>
  <c r="M1273" i="1" s="1"/>
  <c r="J1275" i="1" a="1"/>
  <c r="J1275" i="1" s="1"/>
  <c r="M1275" i="1" a="1"/>
  <c r="M1275" i="1" s="1"/>
  <c r="M1276" i="1" a="1"/>
  <c r="M1276" i="1" s="1"/>
  <c r="M1277" i="1" a="1"/>
  <c r="M1277" i="1" s="1"/>
  <c r="M1278" i="1" a="1"/>
  <c r="M1278" i="1" s="1"/>
  <c r="L1279" i="1" a="1"/>
  <c r="L1279" i="1" s="1"/>
  <c r="C1280" i="1" a="1"/>
  <c r="C1280" i="1" s="1"/>
  <c r="F1280" i="1" a="1"/>
  <c r="F1280" i="1" s="1"/>
  <c r="R1280" i="14" s="1"/>
  <c r="Q1281" i="1" a="1"/>
  <c r="Q1281" i="1" s="1"/>
  <c r="S1281" i="14" s="1"/>
  <c r="D1282" i="1" a="1"/>
  <c r="D1282" i="1" s="1"/>
  <c r="I1282" i="14" s="1"/>
  <c r="H1282" i="1" a="1"/>
  <c r="H1282" i="1" s="1"/>
  <c r="J1282" i="14" s="1"/>
  <c r="K1282" i="1" a="1"/>
  <c r="K1282" i="1" s="1"/>
  <c r="L1282" i="14" s="1"/>
  <c r="M1282" i="1" a="1"/>
  <c r="M1282" i="1" s="1"/>
  <c r="L1283" i="1" a="1"/>
  <c r="L1283" i="1" s="1"/>
  <c r="C1284" i="1" a="1"/>
  <c r="C1284" i="1" s="1"/>
  <c r="G1284" i="1" a="1"/>
  <c r="G1284" i="1" s="1"/>
  <c r="K1284" i="1" a="1"/>
  <c r="K1284" i="1" s="1"/>
  <c r="O1284" i="1"/>
  <c r="M1284" i="14" s="1"/>
  <c r="F1285" i="1" a="1"/>
  <c r="F1285" i="1" s="1"/>
  <c r="R1285" i="14" s="1"/>
  <c r="J1285" i="1" a="1"/>
  <c r="J1285" i="1" s="1"/>
  <c r="O1285" i="1"/>
  <c r="M1285" i="14" s="1"/>
  <c r="F1286" i="1" a="1"/>
  <c r="F1286" i="1" s="1"/>
  <c r="R1286" i="14" s="1"/>
  <c r="Q1286" i="1" a="1"/>
  <c r="Q1286" i="1" s="1"/>
  <c r="S1286" i="14" s="1"/>
  <c r="D1287" i="1" a="1"/>
  <c r="D1287" i="1" s="1"/>
  <c r="I1287" i="14" s="1"/>
  <c r="H1287" i="1" a="1"/>
  <c r="H1287" i="1" s="1"/>
  <c r="J1287" i="14" s="1"/>
  <c r="L1287" i="1" a="1"/>
  <c r="L1287" i="1" s="1"/>
  <c r="Q1287" i="1" a="1"/>
  <c r="Q1287" i="1" s="1"/>
  <c r="S1287" i="14" s="1"/>
  <c r="D1288" i="1" a="1"/>
  <c r="D1288" i="1" s="1"/>
  <c r="I1288" i="14" s="1"/>
  <c r="H1288" i="1" a="1"/>
  <c r="H1288" i="1" s="1"/>
  <c r="J1288" i="14" s="1"/>
  <c r="L1288" i="1" a="1"/>
  <c r="L1288" i="1" s="1"/>
  <c r="P1288" i="1" a="1"/>
  <c r="P1288" i="1" s="1"/>
  <c r="F1289" i="1" a="1"/>
  <c r="F1289" i="1" s="1"/>
  <c r="R1289" i="14" s="1"/>
  <c r="L1289" i="1" a="1"/>
  <c r="L1289" i="1" s="1"/>
  <c r="Q1289" i="1" a="1"/>
  <c r="Q1289" i="1" s="1"/>
  <c r="S1289" i="14" s="1"/>
  <c r="D1290" i="1" a="1"/>
  <c r="D1290" i="1" s="1"/>
  <c r="I1290" i="14" s="1"/>
  <c r="H1290" i="1" a="1"/>
  <c r="H1290" i="1" s="1"/>
  <c r="J1290" i="14" s="1"/>
  <c r="L1290" i="1" a="1"/>
  <c r="L1290" i="1" s="1"/>
  <c r="Q1290" i="1" a="1"/>
  <c r="Q1290" i="1" s="1"/>
  <c r="S1290" i="14" s="1"/>
  <c r="D1291" i="1" a="1"/>
  <c r="D1291" i="1" s="1"/>
  <c r="I1291" i="14" s="1"/>
  <c r="H1291" i="1" a="1"/>
  <c r="H1291" i="1" s="1"/>
  <c r="J1291" i="14" s="1"/>
  <c r="L1291" i="1" a="1"/>
  <c r="L1291" i="1" s="1"/>
  <c r="Q1291" i="1" a="1"/>
  <c r="Q1291" i="1" s="1"/>
  <c r="S1291" i="14" s="1"/>
  <c r="D1292" i="1" a="1"/>
  <c r="D1292" i="1" s="1"/>
  <c r="I1292" i="14" s="1"/>
  <c r="H1292" i="1" a="1"/>
  <c r="H1292" i="1" s="1"/>
  <c r="J1292" i="14" s="1"/>
  <c r="L1292" i="1" a="1"/>
  <c r="L1292" i="1" s="1"/>
  <c r="P1292" i="1" a="1"/>
  <c r="P1292" i="1" s="1"/>
  <c r="C1293" i="1" a="1"/>
  <c r="C1293" i="1" s="1"/>
  <c r="J1293" i="1" a="1"/>
  <c r="J1293" i="1" s="1"/>
  <c r="O1293" i="1"/>
  <c r="M1293" i="14" s="1"/>
  <c r="F1294" i="1" a="1"/>
  <c r="F1294" i="1" s="1"/>
  <c r="R1294" i="14" s="1"/>
  <c r="L1294" i="1" a="1"/>
  <c r="L1294" i="1" s="1"/>
  <c r="Q1294" i="1" a="1"/>
  <c r="Q1294" i="1" s="1"/>
  <c r="S1294" i="14" s="1"/>
  <c r="D1295" i="1" a="1"/>
  <c r="D1295" i="1" s="1"/>
  <c r="I1295" i="14" s="1"/>
  <c r="H1295" i="1" a="1"/>
  <c r="H1295" i="1" s="1"/>
  <c r="J1295" i="14" s="1"/>
  <c r="L1295" i="1" a="1"/>
  <c r="L1295" i="1" s="1"/>
  <c r="Q1295" i="1" a="1"/>
  <c r="Q1295" i="1" s="1"/>
  <c r="S1295" i="14" s="1"/>
  <c r="D1296" i="1" a="1"/>
  <c r="D1296" i="1" s="1"/>
  <c r="I1296" i="14" s="1"/>
  <c r="H1296" i="1" a="1"/>
  <c r="H1296" i="1" s="1"/>
  <c r="J1296" i="14" s="1"/>
  <c r="L1296" i="1" a="1"/>
  <c r="L1296" i="1" s="1"/>
  <c r="P1296" i="1" a="1"/>
  <c r="P1296" i="1" s="1"/>
  <c r="C1297" i="1" a="1"/>
  <c r="C1297" i="1" s="1"/>
  <c r="G1297" i="1" a="1"/>
  <c r="G1297" i="1" s="1"/>
  <c r="J1297" i="1" a="1"/>
  <c r="J1297" i="1" s="1"/>
  <c r="O1297" i="1"/>
  <c r="M1297" i="14" s="1"/>
  <c r="F1298" i="1" a="1"/>
  <c r="F1298" i="1" s="1"/>
  <c r="R1298" i="14" s="1"/>
  <c r="J1298" i="1" a="1"/>
  <c r="J1298" i="1" s="1"/>
  <c r="M1299" i="1" a="1"/>
  <c r="M1299" i="1" s="1"/>
  <c r="M1300" i="1" a="1"/>
  <c r="M1300" i="1" s="1"/>
  <c r="H1301" i="1" a="1"/>
  <c r="H1301" i="1" s="1"/>
  <c r="J1301" i="14" s="1"/>
  <c r="L1301" i="1" a="1"/>
  <c r="L1301" i="1" s="1"/>
  <c r="Q1301" i="1" a="1"/>
  <c r="Q1301" i="1" s="1"/>
  <c r="S1301" i="14" s="1"/>
  <c r="D1302" i="1" a="1"/>
  <c r="D1302" i="1" s="1"/>
  <c r="I1302" i="14" s="1"/>
  <c r="H1302" i="1" a="1"/>
  <c r="H1302" i="1" s="1"/>
  <c r="J1302" i="14" s="1"/>
  <c r="L1302" i="1" a="1"/>
  <c r="L1302" i="1" s="1"/>
  <c r="P1302" i="1" a="1"/>
  <c r="P1302" i="1" s="1"/>
  <c r="C1303" i="1" a="1"/>
  <c r="C1303" i="1" s="1"/>
  <c r="G1303" i="1" a="1"/>
  <c r="G1303" i="1" s="1"/>
  <c r="K1303" i="1" a="1"/>
  <c r="K1303" i="1" s="1"/>
  <c r="P1303" i="1" a="1"/>
  <c r="P1303" i="1" s="1"/>
  <c r="C1304" i="1" a="1"/>
  <c r="C1304" i="1" s="1"/>
  <c r="G1304" i="1" a="1"/>
  <c r="G1304" i="1" s="1"/>
  <c r="K1304" i="1" a="1"/>
  <c r="K1304" i="1" s="1"/>
  <c r="O1304" i="1"/>
  <c r="M1304" i="14" s="1"/>
  <c r="F1305" i="1" a="1"/>
  <c r="F1305" i="1" s="1"/>
  <c r="R1305" i="14" s="1"/>
  <c r="J1305" i="1" a="1"/>
  <c r="J1305" i="1" s="1"/>
  <c r="O1305" i="1"/>
  <c r="M1305" i="14" s="1"/>
  <c r="F1306" i="1" a="1"/>
  <c r="F1306" i="1" s="1"/>
  <c r="R1306" i="14" s="1"/>
  <c r="J1306" i="1" a="1"/>
  <c r="J1306" i="1" s="1"/>
  <c r="O1306" i="1"/>
  <c r="M1306" i="14" s="1"/>
  <c r="F1307" i="1" a="1"/>
  <c r="F1307" i="1" s="1"/>
  <c r="R1307" i="14" s="1"/>
  <c r="M1307" i="1" a="1"/>
  <c r="M1307" i="1" s="1"/>
  <c r="G1308" i="1" a="1"/>
  <c r="G1308" i="1" s="1"/>
  <c r="O1308" i="1"/>
  <c r="M1308" i="14" s="1"/>
  <c r="F1309" i="1" a="1"/>
  <c r="F1309" i="1" s="1"/>
  <c r="R1309" i="14" s="1"/>
  <c r="J1309" i="1" a="1"/>
  <c r="J1309" i="1" s="1"/>
  <c r="O1309" i="1"/>
  <c r="M1309" i="14" s="1"/>
  <c r="F1310" i="1" a="1"/>
  <c r="F1310" i="1" s="1"/>
  <c r="R1310" i="14" s="1"/>
  <c r="J1310" i="1" a="1"/>
  <c r="J1310" i="1" s="1"/>
  <c r="O1310" i="1"/>
  <c r="M1310" i="14" s="1"/>
  <c r="F1311" i="1" a="1"/>
  <c r="F1311" i="1" s="1"/>
  <c r="R1311" i="14" s="1"/>
  <c r="J1311" i="1" a="1"/>
  <c r="J1311" i="1" s="1"/>
  <c r="O1311" i="1"/>
  <c r="M1311" i="14" s="1"/>
  <c r="F1312" i="1" a="1"/>
  <c r="F1312" i="1" s="1"/>
  <c r="R1312" i="14" s="1"/>
  <c r="J1312" i="1" a="1"/>
  <c r="J1312" i="1" s="1"/>
  <c r="O1312" i="1"/>
  <c r="M1312" i="14" s="1"/>
  <c r="F1313" i="1" a="1"/>
  <c r="F1313" i="1" s="1"/>
  <c r="R1313" i="14" s="1"/>
  <c r="M1313" i="1" a="1"/>
  <c r="M1313" i="1" s="1"/>
  <c r="Q1313" i="1" a="1"/>
  <c r="Q1313" i="1" s="1"/>
  <c r="S1313" i="14" s="1"/>
  <c r="D1314" i="1" a="1"/>
  <c r="D1314" i="1" s="1"/>
  <c r="I1314" i="14" s="1"/>
  <c r="G1314" i="1" a="1"/>
  <c r="G1314" i="1" s="1"/>
  <c r="K1314" i="1" a="1"/>
  <c r="K1314" i="1" s="1"/>
  <c r="O1314" i="1"/>
  <c r="M1314" i="14" s="1"/>
  <c r="F1315" i="1" a="1"/>
  <c r="F1315" i="1" s="1"/>
  <c r="R1315" i="14" s="1"/>
  <c r="J1315" i="1" a="1"/>
  <c r="J1315" i="1" s="1"/>
  <c r="O1315" i="1"/>
  <c r="M1315" i="14" s="1"/>
  <c r="F1316" i="1" a="1"/>
  <c r="F1316" i="1" s="1"/>
  <c r="R1316" i="14" s="1"/>
  <c r="J1316" i="1" a="1"/>
  <c r="J1316" i="1" s="1"/>
  <c r="O1316" i="1"/>
  <c r="M1316" i="14" s="1"/>
  <c r="F1317" i="1" a="1"/>
  <c r="F1317" i="1" s="1"/>
  <c r="R1317" i="14" s="1"/>
  <c r="M1317" i="1" a="1"/>
  <c r="M1317" i="1" s="1"/>
  <c r="M1318" i="1" a="1"/>
  <c r="M1318" i="1" s="1"/>
  <c r="Q1318" i="1" a="1"/>
  <c r="Q1318" i="1" s="1"/>
  <c r="S1318" i="14" s="1"/>
  <c r="D1319" i="1" a="1"/>
  <c r="D1319" i="1" s="1"/>
  <c r="I1319" i="14" s="1"/>
  <c r="H1319" i="1" a="1"/>
  <c r="H1319" i="1" s="1"/>
  <c r="J1319" i="14" s="1"/>
  <c r="L1319" i="1" a="1"/>
  <c r="L1319" i="1" s="1"/>
  <c r="Q1319" i="1" a="1"/>
  <c r="Q1319" i="1" s="1"/>
  <c r="S1319" i="14" s="1"/>
  <c r="D1320" i="1" a="1"/>
  <c r="D1320" i="1" s="1"/>
  <c r="I1320" i="14" s="1"/>
  <c r="H1320" i="1" a="1"/>
  <c r="H1320" i="1" s="1"/>
  <c r="J1320" i="14" s="1"/>
  <c r="L1320" i="1" a="1"/>
  <c r="L1320" i="1" s="1"/>
  <c r="P1320" i="1" a="1"/>
  <c r="P1320" i="1" s="1"/>
  <c r="C1321" i="1" a="1"/>
  <c r="C1321" i="1" s="1"/>
  <c r="G1321" i="1" a="1"/>
  <c r="G1321" i="1" s="1"/>
  <c r="K1321" i="1" a="1"/>
  <c r="K1321" i="1" s="1"/>
  <c r="L1321" i="14" s="1"/>
  <c r="P1321" i="1" a="1"/>
  <c r="P1321" i="1" s="1"/>
  <c r="C1322" i="1" a="1"/>
  <c r="C1322" i="1" s="1"/>
  <c r="G1322" i="1" a="1"/>
  <c r="G1322" i="1" s="1"/>
  <c r="K1322" i="1" a="1"/>
  <c r="K1322" i="1" s="1"/>
  <c r="P1322" i="1" a="1"/>
  <c r="P1322" i="1" s="1"/>
  <c r="C1323" i="1" a="1"/>
  <c r="C1323" i="1" s="1"/>
  <c r="G1323" i="1" a="1"/>
  <c r="G1323" i="1" s="1"/>
  <c r="J1323" i="1" a="1"/>
  <c r="J1323" i="1" s="1"/>
  <c r="O1323" i="1"/>
  <c r="D1324" i="1" a="1"/>
  <c r="D1324" i="1" s="1"/>
  <c r="H1324" i="1" a="1"/>
  <c r="H1324" i="1" s="1"/>
  <c r="K1324" i="1" a="1"/>
  <c r="K1324" i="1" s="1"/>
  <c r="P1324" i="1" a="1"/>
  <c r="P1324" i="1" s="1"/>
  <c r="C1325" i="1" a="1"/>
  <c r="C1325" i="1" s="1"/>
  <c r="G1325" i="1" a="1"/>
  <c r="G1325" i="1" s="1"/>
  <c r="J1325" i="1" a="1"/>
  <c r="J1325" i="1" s="1"/>
  <c r="O1325" i="1"/>
  <c r="F1326" i="1" a="1"/>
  <c r="F1326" i="1" s="1"/>
  <c r="J1326" i="1" a="1"/>
  <c r="J1326" i="1" s="1"/>
  <c r="O1326" i="1"/>
  <c r="M1327" i="1" a="1"/>
  <c r="M1327" i="1" s="1"/>
  <c r="M1328" i="1" a="1"/>
  <c r="M1328" i="1" s="1"/>
  <c r="L1329" i="1" a="1"/>
  <c r="L1329" i="1" s="1"/>
  <c r="Q1329" i="1" a="1"/>
  <c r="Q1329" i="1" s="1"/>
  <c r="D1330" i="1" a="1"/>
  <c r="D1330" i="1" s="1"/>
  <c r="H1330" i="1" a="1"/>
  <c r="H1330" i="1" s="1"/>
  <c r="L1330" i="1" a="1"/>
  <c r="L1330" i="1" s="1"/>
  <c r="Q1330" i="1" a="1"/>
  <c r="Q1330" i="1" s="1"/>
  <c r="D1331" i="1" a="1"/>
  <c r="D1331" i="1" s="1"/>
  <c r="K1331" i="1" a="1"/>
  <c r="K1331" i="1" s="1"/>
  <c r="P1331" i="1" a="1"/>
  <c r="P1331" i="1" s="1"/>
  <c r="Q1332" i="1" a="1"/>
  <c r="Q1332" i="1" s="1"/>
  <c r="D1333" i="1" a="1"/>
  <c r="D1333" i="1" s="1"/>
  <c r="H1333" i="1" a="1"/>
  <c r="H1333" i="1" s="1"/>
  <c r="L1333" i="1" a="1"/>
  <c r="L1333" i="1" s="1"/>
  <c r="P1333" i="1" a="1"/>
  <c r="P1333" i="1" s="1"/>
  <c r="M1334" i="1" a="1"/>
  <c r="M1334" i="1" s="1"/>
  <c r="Q1334" i="1" a="1"/>
  <c r="Q1334" i="1" s="1"/>
  <c r="D1335" i="1" a="1"/>
  <c r="D1335" i="1" s="1"/>
  <c r="H1335" i="1" a="1"/>
  <c r="H1335" i="1" s="1"/>
  <c r="L1335" i="1" a="1"/>
  <c r="L1335" i="1" s="1"/>
  <c r="Q1335" i="1" a="1"/>
  <c r="Q1335" i="1" s="1"/>
  <c r="D1336" i="1" a="1"/>
  <c r="D1336" i="1" s="1"/>
  <c r="H1336" i="1" a="1"/>
  <c r="H1336" i="1" s="1"/>
  <c r="L1336" i="1" a="1"/>
  <c r="L1336" i="1" s="1"/>
  <c r="Q1336" i="1" a="1"/>
  <c r="Q1336" i="1" s="1"/>
  <c r="C1337" i="1" a="1"/>
  <c r="C1337" i="1" s="1"/>
  <c r="F1337" i="1" a="1"/>
  <c r="F1337" i="1" s="1"/>
  <c r="M1337" i="1" a="1"/>
  <c r="M1337" i="1" s="1"/>
  <c r="H1338" i="1" a="1"/>
  <c r="H1338" i="1" s="1"/>
  <c r="L1338" i="1" a="1"/>
  <c r="L1338" i="1" s="1"/>
  <c r="P1338" i="1" a="1"/>
  <c r="P1338" i="1" s="1"/>
  <c r="C1339" i="1" a="1"/>
  <c r="C1339" i="1" s="1"/>
  <c r="G1339" i="1" a="1"/>
  <c r="G1339" i="1" s="1"/>
  <c r="K1339" i="1" a="1"/>
  <c r="K1339" i="1" s="1"/>
  <c r="L1339" i="14" s="1"/>
  <c r="P1339" i="1" a="1"/>
  <c r="P1339" i="1" s="1"/>
  <c r="C1340" i="1" a="1"/>
  <c r="C1340" i="1" s="1"/>
  <c r="G1340" i="1" a="1"/>
  <c r="G1340" i="1" s="1"/>
  <c r="K1340" i="1" a="1"/>
  <c r="K1340" i="1" s="1"/>
  <c r="P1340" i="1" a="1"/>
  <c r="P1340" i="1" s="1"/>
  <c r="C1341" i="1" a="1"/>
  <c r="C1341" i="1" s="1"/>
  <c r="G1341" i="1" a="1"/>
  <c r="G1341" i="1" s="1"/>
  <c r="J1341" i="1" a="1"/>
  <c r="J1341" i="1" s="1"/>
  <c r="O1341" i="1"/>
  <c r="F1342" i="1" a="1"/>
  <c r="F1342" i="1" s="1"/>
  <c r="J1342" i="1" a="1"/>
  <c r="J1342" i="1" s="1"/>
  <c r="O1342" i="1"/>
  <c r="F1343" i="1" a="1"/>
  <c r="F1343" i="1" s="1"/>
  <c r="M1343" i="1" a="1"/>
  <c r="M1343" i="1" s="1"/>
  <c r="G1344" i="1" a="1"/>
  <c r="G1344" i="1" s="1"/>
  <c r="O1344" i="1"/>
  <c r="F1345" i="1" a="1"/>
  <c r="F1345" i="1" s="1"/>
  <c r="J1345" i="1" a="1"/>
  <c r="J1345" i="1" s="1"/>
  <c r="M1345" i="1" a="1"/>
  <c r="M1345" i="1" s="1"/>
  <c r="M1346" i="1" a="1"/>
  <c r="M1346" i="1" s="1"/>
  <c r="H1347" i="1" a="1"/>
  <c r="H1347" i="1" s="1"/>
  <c r="L1347" i="1" a="1"/>
  <c r="L1347" i="1" s="1"/>
  <c r="Q1347" i="1" a="1"/>
  <c r="Q1347" i="1" s="1"/>
  <c r="C1348" i="1" a="1"/>
  <c r="C1348" i="1" s="1"/>
  <c r="F1348" i="1" a="1"/>
  <c r="F1348" i="1" s="1"/>
  <c r="J1348" i="1" a="1"/>
  <c r="J1348" i="1" s="1"/>
  <c r="M1348" i="1" a="1"/>
  <c r="M1348" i="1" s="1"/>
  <c r="M1349" i="1" a="1"/>
  <c r="M1349" i="1" s="1"/>
  <c r="H1350" i="1" a="1"/>
  <c r="H1350" i="1" s="1"/>
  <c r="L1350" i="1" a="1"/>
  <c r="L1350" i="1" s="1"/>
  <c r="C1351" i="1" a="1"/>
  <c r="C1351" i="1" s="1"/>
  <c r="G1351" i="1" a="1"/>
  <c r="G1351" i="1" s="1"/>
  <c r="K1351" i="1" a="1"/>
  <c r="K1351" i="1" s="1"/>
  <c r="P1351" i="1" a="1"/>
  <c r="P1351" i="1" s="1"/>
  <c r="C1352" i="1" a="1"/>
  <c r="C1352" i="1" s="1"/>
  <c r="G1352" i="1" a="1"/>
  <c r="G1352" i="1" s="1"/>
  <c r="J1352" i="1" a="1"/>
  <c r="J1352" i="1" s="1"/>
  <c r="M1352" i="1" a="1"/>
  <c r="M1352" i="1" s="1"/>
  <c r="L1353" i="1" a="1"/>
  <c r="L1353" i="1" s="1"/>
  <c r="Q1353" i="1" a="1"/>
  <c r="Q1353" i="1" s="1"/>
  <c r="D1354" i="1" a="1"/>
  <c r="D1354" i="1" s="1"/>
  <c r="G1354" i="1" a="1"/>
  <c r="G1354" i="1" s="1"/>
  <c r="K1354" i="1" a="1"/>
  <c r="K1354" i="1" s="1"/>
  <c r="O1354" i="1"/>
  <c r="F1355" i="1" a="1"/>
  <c r="F1355" i="1" s="1"/>
  <c r="M1355" i="1" a="1"/>
  <c r="M1355" i="1" s="1"/>
  <c r="M1356" i="1" a="1"/>
  <c r="M1356" i="1" s="1"/>
  <c r="C1358" i="1" a="1"/>
  <c r="C1358" i="1" s="1"/>
  <c r="G1358" i="1" a="1"/>
  <c r="G1358" i="1" s="1"/>
  <c r="J1358" i="1" a="1"/>
  <c r="J1358" i="1" s="1"/>
  <c r="M1358" i="1" a="1"/>
  <c r="M1358" i="1" s="1"/>
  <c r="M1359" i="1" a="1"/>
  <c r="M1359" i="1" s="1"/>
  <c r="Q1360" i="1" a="1"/>
  <c r="Q1360" i="1" s="1"/>
  <c r="D1361" i="1" a="1"/>
  <c r="D1361" i="1" s="1"/>
  <c r="H1361" i="1" a="1"/>
  <c r="H1361" i="1" s="1"/>
  <c r="L1361" i="1" a="1"/>
  <c r="L1361" i="1" s="1"/>
  <c r="P1361" i="1" a="1"/>
  <c r="P1361" i="1" s="1"/>
  <c r="L1362" i="1" a="1"/>
  <c r="L1362" i="1" s="1"/>
  <c r="Q1362" i="1" a="1"/>
  <c r="Q1362" i="1" s="1"/>
  <c r="D1363" i="1" a="1"/>
  <c r="D1363" i="1" s="1"/>
  <c r="H1363" i="1" a="1"/>
  <c r="H1363" i="1" s="1"/>
  <c r="L1363" i="1" a="1"/>
  <c r="L1363" i="1" s="1"/>
  <c r="Q1363" i="1" a="1"/>
  <c r="Q1363" i="1" s="1"/>
  <c r="D1364" i="1" a="1"/>
  <c r="D1364" i="1" s="1"/>
  <c r="O1364" i="1"/>
  <c r="F1365" i="1" a="1"/>
  <c r="F1365" i="1" s="1"/>
  <c r="J1365" i="1" a="1"/>
  <c r="J1365" i="1" s="1"/>
  <c r="M1365" i="1" a="1"/>
  <c r="M1365" i="1" s="1"/>
  <c r="M1366" i="1" a="1"/>
  <c r="M1366" i="1" s="1"/>
  <c r="H1367" i="1" a="1"/>
  <c r="H1367" i="1" s="1"/>
  <c r="L1367" i="1" a="1"/>
  <c r="L1367" i="1" s="1"/>
  <c r="Q1367" i="1" a="1"/>
  <c r="Q1367" i="1" s="1"/>
  <c r="C1368" i="1" a="1"/>
  <c r="C1368" i="1" s="1"/>
  <c r="F1368" i="1" a="1"/>
  <c r="F1368" i="1" s="1"/>
  <c r="J1368" i="1" a="1"/>
  <c r="J1368" i="1" s="1"/>
  <c r="M1368" i="1" a="1"/>
  <c r="M1368" i="1" s="1"/>
  <c r="M1369" i="1" a="1"/>
  <c r="M1369" i="1" s="1"/>
  <c r="M1370" i="1" a="1"/>
  <c r="M1370" i="1" s="1"/>
  <c r="M1371" i="1" a="1"/>
  <c r="M1371" i="1" s="1"/>
  <c r="M1372" i="1" a="1"/>
  <c r="M1372" i="1" s="1"/>
  <c r="H1373" i="1" a="1"/>
  <c r="H1373" i="1" s="1"/>
  <c r="L1373" i="1" a="1"/>
  <c r="L1373" i="1" s="1"/>
  <c r="Q1373" i="1" a="1"/>
  <c r="Q1373" i="1" s="1"/>
  <c r="D1374" i="1" a="1"/>
  <c r="D1374" i="1" s="1"/>
  <c r="H1374" i="1" a="1"/>
  <c r="H1374" i="1" s="1"/>
  <c r="L1374" i="1" a="1"/>
  <c r="L1374" i="1" s="1"/>
  <c r="P1374" i="1" a="1"/>
  <c r="P1374" i="1" s="1"/>
  <c r="C1375" i="1" a="1"/>
  <c r="C1375" i="1" s="1"/>
  <c r="G1375" i="1" a="1"/>
  <c r="G1375" i="1" s="1"/>
  <c r="K1375" i="1" a="1"/>
  <c r="K1375" i="1" s="1"/>
  <c r="P1375" i="1" a="1"/>
  <c r="P1375" i="1" s="1"/>
  <c r="C1376" i="1" a="1"/>
  <c r="C1376" i="1" s="1"/>
  <c r="G1376" i="1" a="1"/>
  <c r="G1376" i="1" s="1"/>
  <c r="K1376" i="1" a="1"/>
  <c r="K1376" i="1" s="1"/>
  <c r="O1376" i="1"/>
  <c r="F1377" i="1" a="1"/>
  <c r="F1377" i="1" s="1"/>
  <c r="J1377" i="1" a="1"/>
  <c r="J1377" i="1" s="1"/>
  <c r="M1377" i="1" a="1"/>
  <c r="M1377" i="1" s="1"/>
  <c r="Q1377" i="1" a="1"/>
  <c r="Q1377" i="1" s="1"/>
  <c r="D1378" i="1" a="1"/>
  <c r="D1378" i="1" s="1"/>
  <c r="G1378" i="1" a="1"/>
  <c r="G1378" i="1" s="1"/>
  <c r="K1378" i="1" a="1"/>
  <c r="K1378" i="1" s="1"/>
  <c r="O1378" i="1"/>
  <c r="F1379" i="1" a="1"/>
  <c r="F1379" i="1" s="1"/>
  <c r="J1379" i="1" a="1"/>
  <c r="J1379" i="1" s="1"/>
  <c r="O1379" i="1"/>
  <c r="F1380" i="1" a="1"/>
  <c r="F1380" i="1" s="1"/>
  <c r="J1380" i="1" a="1"/>
  <c r="J1380" i="1" s="1"/>
  <c r="O1380" i="1"/>
  <c r="M1381" i="1" a="1"/>
  <c r="M1381" i="1" s="1"/>
  <c r="H1382" i="1" a="1"/>
  <c r="H1382" i="1" s="1"/>
  <c r="P1382" i="1" a="1"/>
  <c r="P1382" i="1" s="1"/>
  <c r="C1383" i="1" a="1"/>
  <c r="C1383" i="1" s="1"/>
  <c r="G1383" i="1" a="1"/>
  <c r="G1383" i="1" s="1"/>
  <c r="K1383" i="1" a="1"/>
  <c r="K1383" i="1" s="1"/>
  <c r="P1383" i="1" a="1"/>
  <c r="P1383" i="1" s="1"/>
  <c r="C1384" i="1" a="1"/>
  <c r="C1384" i="1" s="1"/>
  <c r="G1384" i="1" a="1"/>
  <c r="G1384" i="1" s="1"/>
  <c r="K1384" i="1" a="1"/>
  <c r="K1384" i="1" s="1"/>
  <c r="P1384" i="1" a="1"/>
  <c r="P1384" i="1" s="1"/>
  <c r="C1385" i="1" a="1"/>
  <c r="C1385" i="1" s="1"/>
  <c r="G1385" i="1" a="1"/>
  <c r="G1385" i="1" s="1"/>
  <c r="J1385" i="1" a="1"/>
  <c r="J1385" i="1" s="1"/>
  <c r="O1385" i="1"/>
  <c r="F1386" i="1" a="1"/>
  <c r="F1386" i="1" s="1"/>
  <c r="J1386" i="1" a="1"/>
  <c r="J1386" i="1" s="1"/>
  <c r="M1387" i="1" a="1"/>
  <c r="M1387" i="1" s="1"/>
  <c r="Q1388" i="1" a="1"/>
  <c r="Q1388" i="1" s="1"/>
  <c r="D1389" i="1" a="1"/>
  <c r="D1389" i="1" s="1"/>
  <c r="H1389" i="1" a="1"/>
  <c r="H1389" i="1" s="1"/>
  <c r="L1389" i="1" a="1"/>
  <c r="L1389" i="1" s="1"/>
  <c r="Q1389" i="1" a="1"/>
  <c r="Q1389" i="1" s="1"/>
  <c r="D1390" i="1" a="1"/>
  <c r="D1390" i="1" s="1"/>
  <c r="H1390" i="1" a="1"/>
  <c r="H1390" i="1" s="1"/>
  <c r="L1390" i="1" a="1"/>
  <c r="L1390" i="1" s="1"/>
  <c r="Q1390" i="1" a="1"/>
  <c r="Q1390" i="1" s="1"/>
  <c r="D1391" i="1" a="1"/>
  <c r="D1391" i="1" s="1"/>
  <c r="K1391" i="1" a="1"/>
  <c r="K1391" i="1" s="1"/>
  <c r="P1391" i="1" a="1"/>
  <c r="P1391" i="1" s="1"/>
  <c r="F1392" i="1" a="1"/>
  <c r="F1392" i="1" s="1"/>
  <c r="J1392" i="1" a="1"/>
  <c r="J1392" i="1" s="1"/>
  <c r="O1392" i="1"/>
  <c r="F1393" i="1" a="1"/>
  <c r="F1393" i="1" s="1"/>
  <c r="J1393" i="1" a="1"/>
  <c r="J1393" i="1" s="1"/>
  <c r="O1393" i="1"/>
  <c r="F1394" i="1" a="1"/>
  <c r="F1394" i="1" s="1"/>
  <c r="J1394" i="1" a="1"/>
  <c r="J1394" i="1" s="1"/>
  <c r="O1394" i="1"/>
  <c r="F1395" i="1" a="1"/>
  <c r="F1395" i="1" s="1"/>
  <c r="J1395" i="1" a="1"/>
  <c r="J1395" i="1" s="1"/>
  <c r="O1395" i="1"/>
  <c r="F1396" i="1" a="1"/>
  <c r="F1396" i="1" s="1"/>
  <c r="J1396" i="1" a="1"/>
  <c r="J1396" i="1" s="1"/>
  <c r="O1396" i="1"/>
  <c r="F1397" i="1" a="1"/>
  <c r="F1397" i="1" s="1"/>
  <c r="M1397" i="1" a="1"/>
  <c r="M1397" i="1" s="1"/>
  <c r="Q1397" i="1" a="1"/>
  <c r="Q1397" i="1" s="1"/>
  <c r="D1398" i="1" a="1"/>
  <c r="D1398" i="1" s="1"/>
  <c r="G1398" i="1" a="1"/>
  <c r="G1398" i="1" s="1"/>
  <c r="K1398" i="1" a="1"/>
  <c r="K1398" i="1" s="1"/>
  <c r="O1398" i="1"/>
  <c r="F1399" i="1" a="1"/>
  <c r="F1399" i="1" s="1"/>
  <c r="J1399" i="1" a="1"/>
  <c r="J1399" i="1" s="1"/>
  <c r="O1399" i="1"/>
  <c r="F1400" i="1" a="1"/>
  <c r="F1400" i="1" s="1"/>
  <c r="J1400" i="1" a="1"/>
  <c r="J1400" i="1" s="1"/>
  <c r="L1400" i="1" a="1"/>
  <c r="L1400" i="1" s="1"/>
  <c r="O1400" i="1"/>
  <c r="F1401" i="1" a="1"/>
  <c r="F1401" i="1" s="1"/>
  <c r="H1401" i="1" a="1"/>
  <c r="H1401" i="1" s="1"/>
  <c r="K1401" i="1" a="1"/>
  <c r="K1401" i="1" s="1"/>
  <c r="P1401" i="1" a="1"/>
  <c r="P1401" i="1" s="1"/>
  <c r="D1402" i="1" a="1"/>
  <c r="D1402" i="1" s="1"/>
  <c r="G1402" i="1" a="1"/>
  <c r="G1402" i="1" s="1"/>
  <c r="K1402" i="1" a="1"/>
  <c r="K1402" i="1" s="1"/>
  <c r="P1402" i="1" a="1"/>
  <c r="P1402" i="1" s="1"/>
  <c r="C1403" i="1" a="1"/>
  <c r="C1403" i="1" s="1"/>
  <c r="G1403" i="1" a="1"/>
  <c r="G1403" i="1" s="1"/>
  <c r="K1403" i="1" a="1"/>
  <c r="K1403" i="1" s="1"/>
  <c r="P1403" i="1" a="1"/>
  <c r="P1403" i="1" s="1"/>
  <c r="C1404" i="1" a="1"/>
  <c r="C1404" i="1" s="1"/>
  <c r="G1404" i="1" a="1"/>
  <c r="G1404" i="1" s="1"/>
  <c r="K1404" i="1" a="1"/>
  <c r="K1404" i="1" s="1"/>
  <c r="P1404" i="1" a="1"/>
  <c r="P1404" i="1" s="1"/>
  <c r="C1405" i="1" a="1"/>
  <c r="C1405" i="1" s="1"/>
  <c r="G1405" i="1" a="1"/>
  <c r="G1405" i="1" s="1"/>
  <c r="K1405" i="1" a="1"/>
  <c r="K1405" i="1" s="1"/>
  <c r="P1405" i="1" a="1"/>
  <c r="P1405" i="1" s="1"/>
  <c r="C1406" i="1" a="1"/>
  <c r="C1406" i="1" s="1"/>
  <c r="G1406" i="1" a="1"/>
  <c r="G1406" i="1" s="1"/>
  <c r="K1406" i="1" a="1"/>
  <c r="K1406" i="1" s="1"/>
  <c r="P1406" i="1" a="1"/>
  <c r="P1406" i="1" s="1"/>
  <c r="C1407" i="1" a="1"/>
  <c r="C1407" i="1" s="1"/>
  <c r="G1407" i="1" a="1"/>
  <c r="G1407" i="1" s="1"/>
  <c r="K1407" i="1" a="1"/>
  <c r="K1407" i="1" s="1"/>
  <c r="P1407" i="1" a="1"/>
  <c r="P1407" i="1" s="1"/>
  <c r="C1408" i="1" a="1"/>
  <c r="C1408" i="1" s="1"/>
  <c r="G1408" i="1" a="1"/>
  <c r="G1408" i="1" s="1"/>
  <c r="P1408" i="1" a="1"/>
  <c r="P1408" i="1" s="1"/>
  <c r="C1409" i="1" a="1"/>
  <c r="C1409" i="1" s="1"/>
  <c r="L1409" i="1" a="1"/>
  <c r="L1409" i="1" s="1"/>
  <c r="H1410" i="1" a="1"/>
  <c r="H1410" i="1" s="1"/>
  <c r="L1410" i="1" a="1"/>
  <c r="L1410" i="1" s="1"/>
  <c r="Q1410" i="1" a="1"/>
  <c r="Q1410" i="1" s="1"/>
  <c r="D1411" i="1" a="1"/>
  <c r="D1411" i="1" s="1"/>
  <c r="H1411" i="1" a="1"/>
  <c r="H1411" i="1" s="1"/>
  <c r="L1411" i="1" a="1"/>
  <c r="L1411" i="1" s="1"/>
  <c r="Q1411" i="1" a="1"/>
  <c r="Q1411" i="1" s="1"/>
  <c r="D1412" i="1" a="1"/>
  <c r="D1412" i="1" s="1"/>
  <c r="H1412" i="1" a="1"/>
  <c r="H1412" i="1" s="1"/>
  <c r="L1412" i="1" a="1"/>
  <c r="L1412" i="1" s="1"/>
  <c r="Q1412" i="1" a="1"/>
  <c r="Q1412" i="1" s="1"/>
  <c r="D1413" i="1" a="1"/>
  <c r="D1413" i="1" s="1"/>
  <c r="H1413" i="1" a="1"/>
  <c r="H1413" i="1" s="1"/>
  <c r="L1413" i="1" a="1"/>
  <c r="L1413" i="1" s="1"/>
  <c r="Q1413" i="1" a="1"/>
  <c r="Q1413" i="1" s="1"/>
  <c r="D1414" i="1" a="1"/>
  <c r="D1414" i="1" s="1"/>
  <c r="H1414" i="1" a="1"/>
  <c r="H1414" i="1" s="1"/>
  <c r="L1414" i="1" a="1"/>
  <c r="L1414" i="1" s="1"/>
  <c r="Q1414" i="1" a="1"/>
  <c r="Q1414" i="1" s="1"/>
  <c r="D1415" i="1" a="1"/>
  <c r="D1415" i="1" s="1"/>
  <c r="H1415" i="1" a="1"/>
  <c r="H1415" i="1" s="1"/>
  <c r="L1415" i="1" a="1"/>
  <c r="L1415" i="1" s="1"/>
  <c r="Q1415" i="1" a="1"/>
  <c r="Q1415" i="1" s="1"/>
  <c r="D1416" i="1" a="1"/>
  <c r="D1416" i="1" s="1"/>
  <c r="H1416" i="1" a="1"/>
  <c r="H1416" i="1" s="1"/>
  <c r="K1416" i="1" a="1"/>
  <c r="K1416" i="1" s="1"/>
  <c r="M1416" i="1" a="1"/>
  <c r="M1416" i="1" s="1"/>
  <c r="Q1416" i="1" a="1"/>
  <c r="Q1416" i="1" s="1"/>
  <c r="D1417" i="1" a="1"/>
  <c r="D1417" i="1" s="1"/>
  <c r="G1417" i="1" a="1"/>
  <c r="G1417" i="1" s="1"/>
  <c r="M1417" i="1" a="1"/>
  <c r="M1417" i="1" s="1"/>
  <c r="Q1417" i="1" a="1"/>
  <c r="Q1417" i="1" s="1"/>
  <c r="C1418" i="1" a="1"/>
  <c r="C1418" i="1" s="1"/>
  <c r="M1418" i="1" a="1"/>
  <c r="M1418" i="1" s="1"/>
  <c r="M1419" i="1" a="1"/>
  <c r="M1419" i="1" s="1"/>
  <c r="M1420" i="1" a="1"/>
  <c r="M1420" i="1" s="1"/>
  <c r="M1421" i="1" a="1"/>
  <c r="M1421" i="1" s="1"/>
  <c r="M1422" i="1" a="1"/>
  <c r="M1422" i="1" s="1"/>
  <c r="M1423" i="1" a="1"/>
  <c r="M1423" i="1" s="1"/>
  <c r="O1424" i="1"/>
  <c r="F1425" i="1" a="1"/>
  <c r="F1425" i="1" s="1"/>
  <c r="J1425" i="1" a="1"/>
  <c r="J1425" i="1" s="1"/>
  <c r="O1425" i="1"/>
  <c r="F1426" i="1" a="1"/>
  <c r="F1426" i="1" s="1"/>
  <c r="J1426" i="1" a="1"/>
  <c r="J1426" i="1" s="1"/>
  <c r="O1426" i="1"/>
  <c r="F1427" i="1" a="1"/>
  <c r="F1427" i="1" s="1"/>
  <c r="J1427" i="1" a="1"/>
  <c r="J1427" i="1" s="1"/>
  <c r="O1427" i="1"/>
  <c r="G1428" i="1" a="1"/>
  <c r="G1428" i="1" s="1"/>
  <c r="O1428" i="1"/>
  <c r="F1429" i="1" a="1"/>
  <c r="F1429" i="1" s="1"/>
  <c r="J1429" i="1" a="1"/>
  <c r="J1429" i="1" s="1"/>
  <c r="O1429" i="1"/>
  <c r="M1430" i="1" a="1"/>
  <c r="M1430" i="1" s="1"/>
  <c r="M1431" i="1" a="1"/>
  <c r="M1431" i="1" s="1"/>
  <c r="M1432" i="1" a="1"/>
  <c r="M1432" i="1" s="1"/>
  <c r="M1433" i="1" a="1"/>
  <c r="M1433" i="1" s="1"/>
  <c r="M1434" i="1" a="1"/>
  <c r="M1434" i="1" s="1"/>
  <c r="M1435" i="1" a="1"/>
  <c r="M1435" i="1" s="1"/>
  <c r="J1437" i="1" a="1"/>
  <c r="J1437" i="1" s="1"/>
  <c r="O1437" i="1"/>
  <c r="F1438" i="1" a="1"/>
  <c r="F1438" i="1" s="1"/>
  <c r="J1438" i="1" a="1"/>
  <c r="J1438" i="1" s="1"/>
  <c r="O1438" i="1"/>
  <c r="F1439" i="1" a="1"/>
  <c r="F1439" i="1" s="1"/>
  <c r="J1439" i="1" a="1"/>
  <c r="J1439" i="1" s="1"/>
  <c r="O1439" i="1"/>
  <c r="F1440" i="1" a="1"/>
  <c r="F1440" i="1" s="1"/>
  <c r="J1440" i="1" a="1"/>
  <c r="J1440" i="1" s="1"/>
  <c r="Q1440" i="1" a="1"/>
  <c r="Q1440" i="1" s="1"/>
  <c r="D1441" i="1" a="1"/>
  <c r="D1441" i="1" s="1"/>
  <c r="G1441" i="1" a="1"/>
  <c r="G1441" i="1" s="1"/>
  <c r="J1441" i="1" a="1"/>
  <c r="J1441" i="1" s="1"/>
  <c r="O1441" i="1"/>
  <c r="H1442" i="1" a="1"/>
  <c r="H1442" i="1" s="1"/>
  <c r="L1442" i="1" a="1"/>
  <c r="L1442" i="1" s="1"/>
  <c r="Q1442" i="1" a="1"/>
  <c r="Q1442" i="1" s="1"/>
  <c r="D1443" i="1" a="1"/>
  <c r="D1443" i="1" s="1"/>
  <c r="H1443" i="1" a="1"/>
  <c r="H1443" i="1" s="1"/>
  <c r="L1443" i="1" a="1"/>
  <c r="L1443" i="1" s="1"/>
  <c r="Q1443" i="1" a="1"/>
  <c r="Q1443" i="1" s="1"/>
  <c r="D1444" i="1" a="1"/>
  <c r="D1444" i="1" s="1"/>
  <c r="H1444" i="1" a="1"/>
  <c r="H1444" i="1" s="1"/>
  <c r="K1444" i="1" a="1"/>
  <c r="K1444" i="1" s="1"/>
  <c r="M1444" i="1" a="1"/>
  <c r="M1444" i="1" s="1"/>
  <c r="Q1444" i="1" a="1"/>
  <c r="Q1444" i="1" s="1"/>
  <c r="D1445" i="1" a="1"/>
  <c r="D1445" i="1" s="1"/>
  <c r="G1445" i="1" a="1"/>
  <c r="G1445" i="1" s="1"/>
  <c r="M1445" i="1" a="1"/>
  <c r="M1445" i="1" s="1"/>
  <c r="Q1445" i="1" a="1"/>
  <c r="Q1445" i="1" s="1"/>
  <c r="C1446" i="1" a="1"/>
  <c r="C1446" i="1" s="1"/>
  <c r="M1446" i="1" a="1"/>
  <c r="M1446" i="1" s="1"/>
  <c r="M1447" i="1" a="1"/>
  <c r="M1447" i="1" s="1"/>
  <c r="L1448" i="1" a="1"/>
  <c r="L1448" i="1" s="1"/>
  <c r="P1448" i="1" a="1"/>
  <c r="P1448" i="1" s="1"/>
  <c r="C1449" i="1" a="1"/>
  <c r="C1449" i="1" s="1"/>
  <c r="G1449" i="1" a="1"/>
  <c r="G1449" i="1" s="1"/>
  <c r="J1449" i="1" a="1"/>
  <c r="J1449" i="1" s="1"/>
  <c r="O1449" i="1"/>
  <c r="D1450" i="1" a="1"/>
  <c r="D1450" i="1" s="1"/>
  <c r="H1450" i="1" a="1"/>
  <c r="H1450" i="1" s="1"/>
  <c r="L1450" i="1" a="1"/>
  <c r="L1450" i="1" s="1"/>
  <c r="Q1450" i="1" a="1"/>
  <c r="Q1450" i="1" s="1"/>
  <c r="D1451" i="1" a="1"/>
  <c r="D1451" i="1" s="1"/>
  <c r="H1451" i="1" a="1"/>
  <c r="H1451" i="1" s="1"/>
  <c r="L1451" i="1" a="1"/>
  <c r="L1451" i="1" s="1"/>
  <c r="Q1451" i="1" a="1"/>
  <c r="Q1451" i="1" s="1"/>
  <c r="D1452" i="1" a="1"/>
  <c r="D1452" i="1" s="1"/>
  <c r="H1452" i="1" a="1"/>
  <c r="H1452" i="1" s="1"/>
  <c r="K1452" i="1" a="1"/>
  <c r="K1452" i="1" s="1"/>
  <c r="M1452" i="1" a="1"/>
  <c r="M1452" i="1" s="1"/>
  <c r="Q1452" i="1" a="1"/>
  <c r="Q1452" i="1" s="1"/>
  <c r="D1453" i="1" a="1"/>
  <c r="D1453" i="1" s="1"/>
  <c r="G1453" i="1" a="1"/>
  <c r="G1453" i="1" s="1"/>
  <c r="M1453" i="1" a="1"/>
  <c r="M1453" i="1" s="1"/>
  <c r="Q1453" i="1" a="1"/>
  <c r="Q1453" i="1" s="1"/>
  <c r="C1454" i="1" a="1"/>
  <c r="C1454" i="1" s="1"/>
  <c r="M1454" i="1" a="1"/>
  <c r="M1454" i="1" s="1"/>
  <c r="M1455" i="1" a="1"/>
  <c r="M1455" i="1" s="1"/>
  <c r="L1456" i="1" a="1"/>
  <c r="L1456" i="1" s="1"/>
  <c r="P1456" i="1" a="1"/>
  <c r="P1456" i="1" s="1"/>
  <c r="C1457" i="1" a="1"/>
  <c r="C1457" i="1" s="1"/>
  <c r="M1457" i="1" a="1"/>
  <c r="M1457" i="1" s="1"/>
  <c r="Q1457" i="1" a="1"/>
  <c r="Q1457" i="1" s="1"/>
  <c r="D1458" i="1" a="1"/>
  <c r="D1458" i="1" s="1"/>
  <c r="G1458" i="1" a="1"/>
  <c r="G1458" i="1" s="1"/>
  <c r="K1458" i="1" a="1"/>
  <c r="K1458" i="1" s="1"/>
  <c r="P1458" i="1" a="1"/>
  <c r="P1458" i="1" s="1"/>
  <c r="C1459" i="1" a="1"/>
  <c r="C1459" i="1" s="1"/>
  <c r="G1459" i="1" a="1"/>
  <c r="G1459" i="1" s="1"/>
  <c r="K1459" i="1" a="1"/>
  <c r="K1459" i="1" s="1"/>
  <c r="P1459" i="1" a="1"/>
  <c r="P1459" i="1" s="1"/>
  <c r="C1460" i="1" a="1"/>
  <c r="C1460" i="1" s="1"/>
  <c r="G1460" i="1" a="1"/>
  <c r="G1460" i="1" s="1"/>
  <c r="P1460" i="1" a="1"/>
  <c r="P1460" i="1" s="1"/>
  <c r="C1461" i="1" a="1"/>
  <c r="C1461" i="1" s="1"/>
  <c r="L1461" i="1" a="1"/>
  <c r="L1461" i="1" s="1"/>
  <c r="H1462" i="1" a="1"/>
  <c r="H1462" i="1" s="1"/>
  <c r="L1462" i="1" a="1"/>
  <c r="L1462" i="1" s="1"/>
  <c r="Q1462" i="1" a="1"/>
  <c r="Q1462" i="1" s="1"/>
  <c r="G1431" i="1" a="1"/>
  <c r="G1431" i="1" s="1"/>
  <c r="G1432" i="1" a="1"/>
  <c r="G1432" i="1" s="1"/>
  <c r="G1433" i="1" a="1"/>
  <c r="G1433" i="1" s="1"/>
  <c r="G1434" i="1" a="1"/>
  <c r="G1434" i="1" s="1"/>
  <c r="G1435" i="1" a="1"/>
  <c r="G1435" i="1" s="1"/>
  <c r="G1436" i="1" a="1"/>
  <c r="G1436" i="1" s="1"/>
  <c r="P1436" i="1" a="1"/>
  <c r="P1436" i="1" s="1"/>
  <c r="L1437" i="1" a="1"/>
  <c r="L1437" i="1" s="1"/>
  <c r="L1438" i="1" a="1"/>
  <c r="L1438" i="1" s="1"/>
  <c r="D1439" i="1" a="1"/>
  <c r="D1439" i="1" s="1"/>
  <c r="L1439" i="1" a="1"/>
  <c r="L1439" i="1" s="1"/>
  <c r="D1440" i="1" a="1"/>
  <c r="D1440" i="1" s="1"/>
  <c r="K1440" i="1" a="1"/>
  <c r="K1440" i="1" s="1"/>
  <c r="L1441" i="1" a="1"/>
  <c r="L1441" i="1" s="1"/>
  <c r="C1442" i="1" a="1"/>
  <c r="C1442" i="1" s="1"/>
  <c r="J1442" i="1" a="1"/>
  <c r="J1442" i="1" s="1"/>
  <c r="O1443" i="1"/>
  <c r="F1444" i="1" a="1"/>
  <c r="F1444" i="1" s="1"/>
  <c r="O1444" i="1"/>
  <c r="F1445" i="1" a="1"/>
  <c r="F1445" i="1" s="1"/>
  <c r="P1445" i="1" a="1"/>
  <c r="P1445" i="1" s="1"/>
  <c r="P1446" i="1" a="1"/>
  <c r="P1446" i="1" s="1"/>
  <c r="P1447" i="1" a="1"/>
  <c r="P1447" i="1" s="1"/>
  <c r="H1449" i="1" a="1"/>
  <c r="H1449" i="1" s="1"/>
  <c r="F1450" i="1" a="1"/>
  <c r="F1450" i="1" s="1"/>
  <c r="J1452" i="1" a="1"/>
  <c r="J1452" i="1" s="1"/>
  <c r="P1454" i="1" a="1"/>
  <c r="P1454" i="1" s="1"/>
  <c r="J1455" i="1" a="1"/>
  <c r="J1455" i="1" s="1"/>
  <c r="F1456" i="1" a="1"/>
  <c r="F1456" i="1" s="1"/>
  <c r="G1457" i="1" a="1"/>
  <c r="G1457" i="1" s="1"/>
  <c r="K1457" i="1" a="1"/>
  <c r="K1457" i="1" s="1"/>
  <c r="H1459" i="1" a="1"/>
  <c r="H1459" i="1" s="1"/>
  <c r="Q1459" i="1" a="1"/>
  <c r="Q1459" i="1" s="1"/>
  <c r="G1461" i="1" a="1"/>
  <c r="G1461" i="1" s="1"/>
  <c r="M1461" i="1" a="1"/>
  <c r="M1461" i="1" s="1"/>
  <c r="M1462" i="1" a="1"/>
  <c r="M1462" i="1" s="1"/>
  <c r="Q1438" i="1" a="1"/>
  <c r="Q1438" i="1" s="1"/>
  <c r="Q1439" i="1" a="1"/>
  <c r="Q1439" i="1" s="1"/>
  <c r="O1440" i="1"/>
  <c r="F1441" i="1" a="1"/>
  <c r="F1441" i="1" s="1"/>
  <c r="O1442" i="1"/>
  <c r="F1443" i="1" a="1"/>
  <c r="F1443" i="1" s="1"/>
  <c r="H1445" i="1" a="1"/>
  <c r="H1445" i="1" s="1"/>
  <c r="G1446" i="1" a="1"/>
  <c r="G1446" i="1" s="1"/>
  <c r="G1447" i="1" a="1"/>
  <c r="G1447" i="1" s="1"/>
  <c r="G1448" i="1" a="1"/>
  <c r="G1448" i="1" s="1"/>
  <c r="J1451" i="1" a="1"/>
  <c r="J1451" i="1" s="1"/>
  <c r="L1452" i="1" a="1"/>
  <c r="L1452" i="1" s="1"/>
  <c r="K1453" i="1" a="1"/>
  <c r="K1453" i="1" s="1"/>
  <c r="D1454" i="1" a="1"/>
  <c r="D1454" i="1" s="1"/>
  <c r="J1454" i="1" a="1"/>
  <c r="J1454" i="1" s="1"/>
  <c r="F1455" i="1" a="1"/>
  <c r="F1455" i="1" s="1"/>
  <c r="K1455" i="1" a="1"/>
  <c r="K1455" i="1" s="1"/>
  <c r="G1456" i="1" a="1"/>
  <c r="G1456" i="1" s="1"/>
  <c r="H1457" i="1" a="1"/>
  <c r="H1457" i="1" s="1"/>
  <c r="O1457" i="1"/>
  <c r="L1458" i="1" a="1"/>
  <c r="L1458" i="1" s="1"/>
  <c r="H1460" i="1" a="1"/>
  <c r="H1460" i="1" s="1"/>
  <c r="M1460" i="1" a="1"/>
  <c r="M1460" i="1" s="1"/>
  <c r="O1461" i="1"/>
  <c r="F1462" i="1" a="1"/>
  <c r="F1462" i="1" s="1"/>
  <c r="O1462" i="1"/>
  <c r="K1431" i="1" a="1"/>
  <c r="K1431" i="1" s="1"/>
  <c r="C1432" i="1" a="1"/>
  <c r="C1432" i="1" s="1"/>
  <c r="K1432" i="1" a="1"/>
  <c r="K1432" i="1" s="1"/>
  <c r="C1433" i="1" a="1"/>
  <c r="C1433" i="1" s="1"/>
  <c r="K1433" i="1" a="1"/>
  <c r="K1433" i="1" s="1"/>
  <c r="C1434" i="1" a="1"/>
  <c r="C1434" i="1" s="1"/>
  <c r="K1434" i="1" a="1"/>
  <c r="K1434" i="1" s="1"/>
  <c r="C1435" i="1" a="1"/>
  <c r="C1435" i="1" s="1"/>
  <c r="K1435" i="1" a="1"/>
  <c r="K1435" i="1" s="1"/>
  <c r="C1436" i="1" a="1"/>
  <c r="C1436" i="1" s="1"/>
  <c r="H1438" i="1" a="1"/>
  <c r="H1438" i="1" s="1"/>
  <c r="H1439" i="1" a="1"/>
  <c r="H1439" i="1" s="1"/>
  <c r="H1440" i="1" a="1"/>
  <c r="H1440" i="1" s="1"/>
  <c r="F1442" i="1" a="1"/>
  <c r="F1442" i="1" s="1"/>
  <c r="J1444" i="1" a="1"/>
  <c r="J1444" i="1" s="1"/>
  <c r="L1449" i="1" a="1"/>
  <c r="L1449" i="1" s="1"/>
  <c r="C1450" i="1" a="1"/>
  <c r="C1450" i="1" s="1"/>
  <c r="J1450" i="1" a="1"/>
  <c r="J1450" i="1" s="1"/>
  <c r="O1451" i="1"/>
  <c r="F1452" i="1" a="1"/>
  <c r="F1452" i="1" s="1"/>
  <c r="O1452" i="1"/>
  <c r="F1453" i="1" a="1"/>
  <c r="F1453" i="1" s="1"/>
  <c r="P1453" i="1" a="1"/>
  <c r="P1453" i="1" s="1"/>
  <c r="K1454" i="1" a="1"/>
  <c r="K1454" i="1" s="1"/>
  <c r="G1455" i="1" a="1"/>
  <c r="G1455" i="1" s="1"/>
  <c r="O1455" i="1"/>
  <c r="C1456" i="1" a="1"/>
  <c r="C1456" i="1" s="1"/>
  <c r="M1456" i="1" a="1"/>
  <c r="M1456" i="1" s="1"/>
  <c r="D1457" i="1" a="1"/>
  <c r="D1457" i="1" s="1"/>
  <c r="P1457" i="1" a="1"/>
  <c r="P1457" i="1" s="1"/>
  <c r="M1458" i="1" a="1"/>
  <c r="M1458" i="1" s="1"/>
  <c r="D1459" i="1" a="1"/>
  <c r="D1459" i="1" s="1"/>
  <c r="L1459" i="1" a="1"/>
  <c r="L1459" i="1" s="1"/>
  <c r="D1461" i="1" a="1"/>
  <c r="D1461" i="1" s="1"/>
  <c r="Q1461" i="1" a="1"/>
  <c r="Q1461" i="1" s="1"/>
  <c r="C1462" i="1" a="1"/>
  <c r="C1462" i="1" s="1"/>
  <c r="P1431" i="1" a="1"/>
  <c r="P1431" i="1" s="1"/>
  <c r="P1432" i="1" a="1"/>
  <c r="P1432" i="1" s="1"/>
  <c r="P1433" i="1" a="1"/>
  <c r="P1433" i="1" s="1"/>
  <c r="P1434" i="1" a="1"/>
  <c r="P1434" i="1" s="1"/>
  <c r="P1435" i="1" a="1"/>
  <c r="P1435" i="1" s="1"/>
  <c r="C1437" i="1" a="1"/>
  <c r="C1437" i="1" s="1"/>
  <c r="J1443" i="1" a="1"/>
  <c r="J1443" i="1" s="1"/>
  <c r="L1444" i="1" a="1"/>
  <c r="L1444" i="1" s="1"/>
  <c r="K1445" i="1" a="1"/>
  <c r="K1445" i="1" s="1"/>
  <c r="D1446" i="1" a="1"/>
  <c r="D1446" i="1" s="1"/>
  <c r="K1446" i="1" a="1"/>
  <c r="K1446" i="1" s="1"/>
  <c r="C1447" i="1" a="1"/>
  <c r="C1447" i="1" s="1"/>
  <c r="K1447" i="1" a="1"/>
  <c r="K1447" i="1" s="1"/>
  <c r="C1448" i="1" a="1"/>
  <c r="C1448" i="1" s="1"/>
  <c r="K1448" i="1" a="1"/>
  <c r="K1448" i="1" s="1"/>
  <c r="Q1449" i="1" a="1"/>
  <c r="Q1449" i="1" s="1"/>
  <c r="O1450" i="1"/>
  <c r="F1451" i="1" a="1"/>
  <c r="F1451" i="1" s="1"/>
  <c r="H1453" i="1" a="1"/>
  <c r="H1453" i="1" s="1"/>
  <c r="G1454" i="1" a="1"/>
  <c r="G1454" i="1" s="1"/>
  <c r="O1454" i="1"/>
  <c r="C1455" i="1" a="1"/>
  <c r="C1455" i="1" s="1"/>
  <c r="P1455" i="1" a="1"/>
  <c r="P1455" i="1" s="1"/>
  <c r="J1456" i="1" a="1"/>
  <c r="J1456" i="1" s="1"/>
  <c r="Q1456" i="1" a="1"/>
  <c r="Q1456" i="1" s="1"/>
  <c r="J1457" i="1" a="1"/>
  <c r="J1457" i="1" s="1"/>
  <c r="H1458" i="1" a="1"/>
  <c r="H1458" i="1" s="1"/>
  <c r="Q1458" i="1" a="1"/>
  <c r="Q1458" i="1" s="1"/>
  <c r="M1459" i="1" a="1"/>
  <c r="M1459" i="1" s="1"/>
  <c r="D1460" i="1" a="1"/>
  <c r="D1460" i="1" s="1"/>
  <c r="K1460" i="1" a="1"/>
  <c r="K1460" i="1" s="1"/>
  <c r="Q1460" i="1" a="1"/>
  <c r="Q1460" i="1" s="1"/>
  <c r="J1461" i="1" a="1"/>
  <c r="J1461" i="1" s="1"/>
  <c r="J1462" i="1" a="1"/>
  <c r="J1462" i="1" s="1"/>
  <c r="O196" i="1"/>
  <c r="M196" i="14" s="1"/>
  <c r="O178" i="1"/>
  <c r="M178" i="14" s="1"/>
  <c r="K157" i="1" a="1"/>
  <c r="K157" i="1" s="1"/>
  <c r="H157" i="1" a="1"/>
  <c r="H157" i="1" s="1"/>
  <c r="J157" i="14" s="1"/>
  <c r="D141" i="1" a="1"/>
  <c r="D141" i="1" s="1"/>
  <c r="I141" i="14" s="1"/>
  <c r="C141" i="1" a="1"/>
  <c r="C141" i="1" s="1"/>
  <c r="E141" i="14" s="1"/>
  <c r="H141" i="1" a="1"/>
  <c r="H141" i="1" s="1"/>
  <c r="J141" i="14" s="1"/>
  <c r="J129" i="1" a="1"/>
  <c r="J129" i="1" s="1"/>
  <c r="H129" i="1" a="1"/>
  <c r="H129" i="1" s="1"/>
  <c r="J129" i="14" s="1"/>
  <c r="L109" i="1" a="1"/>
  <c r="L109" i="1" s="1"/>
  <c r="J109" i="1" a="1"/>
  <c r="J109" i="1" s="1"/>
  <c r="K109" i="1" a="1"/>
  <c r="K109" i="1" s="1"/>
  <c r="C81" i="1" a="1"/>
  <c r="C81" i="1" s="1"/>
  <c r="E81" i="14" s="1"/>
  <c r="L81" i="1" a="1"/>
  <c r="L81" i="1" s="1"/>
  <c r="J81" i="1" a="1"/>
  <c r="J81" i="1" s="1"/>
  <c r="L168" i="1" a="1"/>
  <c r="L168" i="1" s="1"/>
  <c r="P168" i="1" a="1"/>
  <c r="P168" i="1" s="1"/>
  <c r="M168" i="1" a="1"/>
  <c r="M168" i="1" s="1"/>
  <c r="L156" i="1" a="1"/>
  <c r="L156" i="1" s="1"/>
  <c r="H156" i="1" a="1"/>
  <c r="H156" i="1" s="1"/>
  <c r="J156" i="14" s="1"/>
  <c r="L140" i="1" a="1"/>
  <c r="L140" i="1" s="1"/>
  <c r="D140" i="1" a="1"/>
  <c r="D140" i="1" s="1"/>
  <c r="I140" i="14" s="1"/>
  <c r="F124" i="1" a="1"/>
  <c r="F124" i="1" s="1"/>
  <c r="R124" i="14" s="1"/>
  <c r="G124" i="1" a="1"/>
  <c r="G124" i="1" s="1"/>
  <c r="K104" i="1" a="1"/>
  <c r="K104" i="1" s="1"/>
  <c r="H104" i="1" a="1"/>
  <c r="H104" i="1" s="1"/>
  <c r="J104" i="14" s="1"/>
  <c r="O104" i="1"/>
  <c r="M104" i="14" s="1"/>
  <c r="L104" i="1" a="1"/>
  <c r="L104" i="1" s="1"/>
  <c r="M76" i="1" a="1"/>
  <c r="M76" i="1" s="1"/>
  <c r="O76" i="1"/>
  <c r="M76" i="14" s="1"/>
  <c r="C76" i="1" a="1"/>
  <c r="C76" i="1" s="1"/>
  <c r="E76" i="14" s="1"/>
  <c r="H161" i="1" a="1"/>
  <c r="H161" i="1" s="1"/>
  <c r="J161" i="14" s="1"/>
  <c r="C161" i="1" a="1"/>
  <c r="C161" i="1" s="1"/>
  <c r="E161" i="14" s="1"/>
  <c r="J161" i="1" a="1"/>
  <c r="J161" i="1" s="1"/>
  <c r="O149" i="1"/>
  <c r="M149" i="14" s="1"/>
  <c r="D149" i="1" a="1"/>
  <c r="D149" i="1" s="1"/>
  <c r="I149" i="14" s="1"/>
  <c r="G149" i="1" a="1"/>
  <c r="G149" i="1" s="1"/>
  <c r="M133" i="1" a="1"/>
  <c r="M133" i="1" s="1"/>
  <c r="J133" i="1" a="1"/>
  <c r="J133" i="1" s="1"/>
  <c r="L117" i="1" a="1"/>
  <c r="L117" i="1" s="1"/>
  <c r="J117" i="1" a="1"/>
  <c r="J117" i="1" s="1"/>
  <c r="C105" i="1" a="1"/>
  <c r="C105" i="1" s="1"/>
  <c r="E105" i="14" s="1"/>
  <c r="J105" i="1" a="1"/>
  <c r="J105" i="1" s="1"/>
  <c r="J97" i="1" a="1"/>
  <c r="J97" i="1" s="1"/>
  <c r="M97" i="1" a="1"/>
  <c r="M97" i="1" s="1"/>
  <c r="P97" i="1" a="1"/>
  <c r="P97" i="1" s="1"/>
  <c r="L97" i="1" a="1"/>
  <c r="L97" i="1" s="1"/>
  <c r="K89" i="1" a="1"/>
  <c r="K89" i="1" s="1"/>
  <c r="H89" i="1" a="1"/>
  <c r="H89" i="1" s="1"/>
  <c r="J89" i="14" s="1"/>
  <c r="P89" i="1" a="1"/>
  <c r="P89" i="1" s="1"/>
  <c r="J73" i="1" a="1"/>
  <c r="J73" i="1" s="1"/>
  <c r="K73" i="1" a="1"/>
  <c r="K73" i="1" s="1"/>
  <c r="K164" i="1" a="1"/>
  <c r="K164" i="1" s="1"/>
  <c r="J164" i="1" a="1"/>
  <c r="J164" i="1" s="1"/>
  <c r="G164" i="1" a="1"/>
  <c r="G164" i="1" s="1"/>
  <c r="M152" i="1" a="1"/>
  <c r="M152" i="1" s="1"/>
  <c r="J152" i="1" a="1"/>
  <c r="J152" i="1" s="1"/>
  <c r="F152" i="1" a="1"/>
  <c r="F152" i="1" s="1"/>
  <c r="R152" i="14" s="1"/>
  <c r="L144" i="1" a="1"/>
  <c r="L144" i="1" s="1"/>
  <c r="C144" i="1" a="1"/>
  <c r="C144" i="1" s="1"/>
  <c r="E144" i="14" s="1"/>
  <c r="J132" i="1" a="1"/>
  <c r="J132" i="1" s="1"/>
  <c r="C132" i="1" a="1"/>
  <c r="C132" i="1" s="1"/>
  <c r="E132" i="14" s="1"/>
  <c r="P132" i="1" a="1"/>
  <c r="P132" i="1" s="1"/>
  <c r="F120" i="1" a="1"/>
  <c r="F120" i="1" s="1"/>
  <c r="R120" i="14" s="1"/>
  <c r="D120" i="1" a="1"/>
  <c r="D120" i="1" s="1"/>
  <c r="I120" i="14" s="1"/>
  <c r="H120" i="1" a="1"/>
  <c r="H120" i="1" s="1"/>
  <c r="J120" i="14" s="1"/>
  <c r="M112" i="1" a="1"/>
  <c r="M112" i="1" s="1"/>
  <c r="G100" i="1" a="1"/>
  <c r="G100" i="1" s="1"/>
  <c r="C100" i="1" a="1"/>
  <c r="C100" i="1" s="1"/>
  <c r="E100" i="14" s="1"/>
  <c r="M96" i="1" a="1"/>
  <c r="M96" i="1" s="1"/>
  <c r="P96" i="1" a="1"/>
  <c r="P96" i="1" s="1"/>
  <c r="J96" i="1" a="1"/>
  <c r="J96" i="1" s="1"/>
  <c r="F96" i="1" a="1"/>
  <c r="F96" i="1" s="1"/>
  <c r="R96" i="14" s="1"/>
  <c r="K88" i="1" a="1"/>
  <c r="K88" i="1" s="1"/>
  <c r="O88" i="1"/>
  <c r="M88" i="14" s="1"/>
  <c r="C88" i="1" a="1"/>
  <c r="C88" i="1" s="1"/>
  <c r="E88" i="14" s="1"/>
  <c r="P88" i="1" a="1"/>
  <c r="P88" i="1" s="1"/>
  <c r="H80" i="1" a="1"/>
  <c r="H80" i="1" s="1"/>
  <c r="J80" i="14" s="1"/>
  <c r="G80" i="1" a="1"/>
  <c r="G80" i="1" s="1"/>
  <c r="M80" i="1" a="1"/>
  <c r="M80" i="1" s="1"/>
  <c r="P80" i="1" a="1"/>
  <c r="P80" i="1" s="1"/>
  <c r="J68" i="1" a="1"/>
  <c r="J68" i="1" s="1"/>
  <c r="O68" i="1"/>
  <c r="M68" i="14" s="1"/>
  <c r="M68" i="1" a="1"/>
  <c r="M68" i="1" s="1"/>
  <c r="C68" i="1" a="1"/>
  <c r="C68" i="1" s="1"/>
  <c r="E68" i="14" s="1"/>
  <c r="D163" i="1" a="1"/>
  <c r="D163" i="1" s="1"/>
  <c r="I163" i="14" s="1"/>
  <c r="J155" i="1" a="1"/>
  <c r="J155" i="1" s="1"/>
  <c r="J147" i="1" a="1"/>
  <c r="J147" i="1" s="1"/>
  <c r="O139" i="1"/>
  <c r="M139" i="14" s="1"/>
  <c r="G139" i="1" a="1"/>
  <c r="G139" i="1" s="1"/>
  <c r="M131" i="1" a="1"/>
  <c r="M131" i="1" s="1"/>
  <c r="H131" i="1" a="1"/>
  <c r="H131" i="1" s="1"/>
  <c r="J131" i="14" s="1"/>
  <c r="F131" i="1" a="1"/>
  <c r="F131" i="1" s="1"/>
  <c r="R131" i="14" s="1"/>
  <c r="L131" i="1" a="1"/>
  <c r="L131" i="1" s="1"/>
  <c r="L119" i="1" a="1"/>
  <c r="L119" i="1" s="1"/>
  <c r="D119" i="1" a="1"/>
  <c r="D119" i="1" s="1"/>
  <c r="I119" i="14" s="1"/>
  <c r="M111" i="1" a="1"/>
  <c r="M111" i="1" s="1"/>
  <c r="J111" i="1" a="1"/>
  <c r="J111" i="1" s="1"/>
  <c r="H111" i="1" a="1"/>
  <c r="H111" i="1" s="1"/>
  <c r="J111" i="14" s="1"/>
  <c r="F111" i="1" a="1"/>
  <c r="F111" i="1" s="1"/>
  <c r="R111" i="14" s="1"/>
  <c r="M103" i="1" a="1"/>
  <c r="M103" i="1" s="1"/>
  <c r="F103" i="1" a="1"/>
  <c r="F103" i="1" s="1"/>
  <c r="R103" i="14" s="1"/>
  <c r="L103" i="1" a="1"/>
  <c r="L103" i="1" s="1"/>
  <c r="D103" i="1" a="1"/>
  <c r="D103" i="1" s="1"/>
  <c r="I103" i="14" s="1"/>
  <c r="J91" i="1" a="1"/>
  <c r="J91" i="1" s="1"/>
  <c r="P91" i="1" a="1"/>
  <c r="P91" i="1" s="1"/>
  <c r="Q91" i="1" a="1"/>
  <c r="Q91" i="1" s="1"/>
  <c r="S91" i="14" s="1"/>
  <c r="M75" i="1" a="1"/>
  <c r="M75" i="1" s="1"/>
  <c r="P75" i="1" a="1"/>
  <c r="P75" i="1" s="1"/>
  <c r="H75" i="1" a="1"/>
  <c r="H75" i="1" s="1"/>
  <c r="J75" i="14" s="1"/>
  <c r="H169" i="1" a="1"/>
  <c r="H169" i="1" s="1"/>
  <c r="J169" i="14" s="1"/>
  <c r="C169" i="1" a="1"/>
  <c r="C169" i="1" s="1"/>
  <c r="E169" i="14" s="1"/>
  <c r="J169" i="1" a="1"/>
  <c r="J169" i="1" s="1"/>
  <c r="D153" i="1" a="1"/>
  <c r="D153" i="1" s="1"/>
  <c r="I153" i="14" s="1"/>
  <c r="Q153" i="1" a="1"/>
  <c r="Q153" i="1" s="1"/>
  <c r="S153" i="14" s="1"/>
  <c r="K153" i="1" a="1"/>
  <c r="K153" i="1" s="1"/>
  <c r="H153" i="1" a="1"/>
  <c r="H153" i="1" s="1"/>
  <c r="J153" i="14" s="1"/>
  <c r="L137" i="1" a="1"/>
  <c r="L137" i="1" s="1"/>
  <c r="J137" i="1" a="1"/>
  <c r="J137" i="1" s="1"/>
  <c r="M137" i="1" a="1"/>
  <c r="M137" i="1" s="1"/>
  <c r="H125" i="1" a="1"/>
  <c r="H125" i="1" s="1"/>
  <c r="J125" i="14" s="1"/>
  <c r="C125" i="1" a="1"/>
  <c r="C125" i="1" s="1"/>
  <c r="E125" i="14" s="1"/>
  <c r="P125" i="1" a="1"/>
  <c r="P125" i="1" s="1"/>
  <c r="G125" i="1" a="1"/>
  <c r="G125" i="1" s="1"/>
  <c r="M113" i="1" a="1"/>
  <c r="M113" i="1" s="1"/>
  <c r="O113" i="1"/>
  <c r="M113" i="14" s="1"/>
  <c r="K101" i="1" a="1"/>
  <c r="K101" i="1" s="1"/>
  <c r="O101" i="1"/>
  <c r="M101" i="14" s="1"/>
  <c r="D101" i="1" a="1"/>
  <c r="D101" i="1" s="1"/>
  <c r="I101" i="14" s="1"/>
  <c r="M93" i="1" a="1"/>
  <c r="M93" i="1" s="1"/>
  <c r="K93" i="1" a="1"/>
  <c r="K93" i="1" s="1"/>
  <c r="L93" i="1" a="1"/>
  <c r="L93" i="1" s="1"/>
  <c r="P93" i="1" a="1"/>
  <c r="P93" i="1" s="1"/>
  <c r="J77" i="1" a="1"/>
  <c r="J77" i="1" s="1"/>
  <c r="F77" i="1" a="1"/>
  <c r="F77" i="1" s="1"/>
  <c r="R77" i="14" s="1"/>
  <c r="C77" i="1" a="1"/>
  <c r="C77" i="1" s="1"/>
  <c r="E77" i="14" s="1"/>
  <c r="K69" i="1" a="1"/>
  <c r="K69" i="1" s="1"/>
  <c r="P69" i="1" a="1"/>
  <c r="P69" i="1" s="1"/>
  <c r="L160" i="1" a="1"/>
  <c r="L160" i="1" s="1"/>
  <c r="M160" i="1" a="1"/>
  <c r="M160" i="1" s="1"/>
  <c r="L148" i="1" a="1"/>
  <c r="L148" i="1" s="1"/>
  <c r="H148" i="1" a="1"/>
  <c r="H148" i="1" s="1"/>
  <c r="J148" i="14" s="1"/>
  <c r="M136" i="1" a="1"/>
  <c r="M136" i="1" s="1"/>
  <c r="J128" i="1" a="1"/>
  <c r="J128" i="1" s="1"/>
  <c r="M116" i="1" a="1"/>
  <c r="M116" i="1" s="1"/>
  <c r="L108" i="1" a="1"/>
  <c r="L108" i="1" s="1"/>
  <c r="J108" i="1" a="1"/>
  <c r="J108" i="1" s="1"/>
  <c r="G108" i="1" a="1"/>
  <c r="G108" i="1" s="1"/>
  <c r="L92" i="1" a="1"/>
  <c r="L92" i="1" s="1"/>
  <c r="D92" i="1" a="1"/>
  <c r="D92" i="1" s="1"/>
  <c r="I92" i="14" s="1"/>
  <c r="Q92" i="1" a="1"/>
  <c r="Q92" i="1" s="1"/>
  <c r="S92" i="14" s="1"/>
  <c r="C92" i="1" a="1"/>
  <c r="C92" i="1" s="1"/>
  <c r="E92" i="14" s="1"/>
  <c r="L84" i="1" a="1"/>
  <c r="L84" i="1" s="1"/>
  <c r="Q84" i="1" a="1"/>
  <c r="Q84" i="1" s="1"/>
  <c r="S84" i="14" s="1"/>
  <c r="F84" i="1" a="1"/>
  <c r="F84" i="1" s="1"/>
  <c r="R84" i="14" s="1"/>
  <c r="O72" i="1"/>
  <c r="M72" i="14" s="1"/>
  <c r="L72" i="1" a="1"/>
  <c r="L72" i="1" s="1"/>
  <c r="M72" i="1" a="1"/>
  <c r="M72" i="1" s="1"/>
  <c r="O167" i="1"/>
  <c r="M167" i="14" s="1"/>
  <c r="K167" i="1" a="1"/>
  <c r="K167" i="1" s="1"/>
  <c r="L167" i="1" a="1"/>
  <c r="L167" i="1" s="1"/>
  <c r="M167" i="1" a="1"/>
  <c r="M167" i="1" s="1"/>
  <c r="O159" i="1"/>
  <c r="M159" i="14" s="1"/>
  <c r="L159" i="1" a="1"/>
  <c r="L159" i="1" s="1"/>
  <c r="M159" i="1" a="1"/>
  <c r="M159" i="1" s="1"/>
  <c r="H151" i="1" a="1"/>
  <c r="H151" i="1" s="1"/>
  <c r="J151" i="14" s="1"/>
  <c r="C151" i="1" a="1"/>
  <c r="C151" i="1" s="1"/>
  <c r="E151" i="14" s="1"/>
  <c r="O151" i="1"/>
  <c r="M151" i="14" s="1"/>
  <c r="O143" i="1"/>
  <c r="M143" i="14" s="1"/>
  <c r="D143" i="1" a="1"/>
  <c r="D143" i="1" s="1"/>
  <c r="I143" i="14" s="1"/>
  <c r="G143" i="1" a="1"/>
  <c r="G143" i="1" s="1"/>
  <c r="J135" i="1" a="1"/>
  <c r="J135" i="1" s="1"/>
  <c r="F135" i="1" a="1"/>
  <c r="F135" i="1" s="1"/>
  <c r="R135" i="14" s="1"/>
  <c r="M135" i="1" a="1"/>
  <c r="M135" i="1" s="1"/>
  <c r="J127" i="1" a="1"/>
  <c r="J127" i="1" s="1"/>
  <c r="H127" i="1" a="1"/>
  <c r="H127" i="1" s="1"/>
  <c r="J127" i="14" s="1"/>
  <c r="F127" i="1" a="1"/>
  <c r="F127" i="1" s="1"/>
  <c r="R127" i="14" s="1"/>
  <c r="L123" i="1" a="1"/>
  <c r="L123" i="1" s="1"/>
  <c r="H123" i="1" a="1"/>
  <c r="H123" i="1" s="1"/>
  <c r="J123" i="14" s="1"/>
  <c r="M115" i="1" a="1"/>
  <c r="M115" i="1" s="1"/>
  <c r="J115" i="1" a="1"/>
  <c r="J115" i="1" s="1"/>
  <c r="H115" i="1" a="1"/>
  <c r="H115" i="1" s="1"/>
  <c r="J115" i="14" s="1"/>
  <c r="F115" i="1" a="1"/>
  <c r="F115" i="1" s="1"/>
  <c r="R115" i="14" s="1"/>
  <c r="J107" i="1" a="1"/>
  <c r="J107" i="1" s="1"/>
  <c r="H107" i="1" a="1"/>
  <c r="H107" i="1" s="1"/>
  <c r="J107" i="14" s="1"/>
  <c r="F107" i="1" a="1"/>
  <c r="F107" i="1" s="1"/>
  <c r="R107" i="14" s="1"/>
  <c r="M107" i="1" a="1"/>
  <c r="M107" i="1" s="1"/>
  <c r="K99" i="1" a="1"/>
  <c r="K99" i="1" s="1"/>
  <c r="G99" i="1" a="1"/>
  <c r="G99" i="1" s="1"/>
  <c r="M99" i="1" a="1"/>
  <c r="M99" i="1" s="1"/>
  <c r="J95" i="1" a="1"/>
  <c r="J95" i="1" s="1"/>
  <c r="C95" i="1" a="1"/>
  <c r="C95" i="1" s="1"/>
  <c r="E95" i="14" s="1"/>
  <c r="F95" i="1" a="1"/>
  <c r="F95" i="1" s="1"/>
  <c r="R95" i="14" s="1"/>
  <c r="O87" i="1"/>
  <c r="M87" i="14" s="1"/>
  <c r="F87" i="1" a="1"/>
  <c r="F87" i="1" s="1"/>
  <c r="R87" i="14" s="1"/>
  <c r="K83" i="1" a="1"/>
  <c r="K83" i="1" s="1"/>
  <c r="Q83" i="1" a="1"/>
  <c r="Q83" i="1" s="1"/>
  <c r="S83" i="14" s="1"/>
  <c r="P83" i="1" a="1"/>
  <c r="P83" i="1" s="1"/>
  <c r="L83" i="1" a="1"/>
  <c r="L83" i="1" s="1"/>
  <c r="O79" i="1"/>
  <c r="M79" i="14" s="1"/>
  <c r="Q79" i="1" a="1"/>
  <c r="Q79" i="1" s="1"/>
  <c r="S79" i="14" s="1"/>
  <c r="H71" i="1" a="1"/>
  <c r="H71" i="1" s="1"/>
  <c r="J71" i="14" s="1"/>
  <c r="P71" i="1" a="1"/>
  <c r="P71" i="1" s="1"/>
  <c r="G71" i="1" a="1"/>
  <c r="G71" i="1" s="1"/>
  <c r="L166" i="1" a="1"/>
  <c r="L166" i="1" s="1"/>
  <c r="M166" i="1" a="1"/>
  <c r="M166" i="1" s="1"/>
  <c r="M162" i="1" a="1"/>
  <c r="M162" i="1" s="1"/>
  <c r="L162" i="1" a="1"/>
  <c r="L162" i="1" s="1"/>
  <c r="L158" i="1" a="1"/>
  <c r="L158" i="1" s="1"/>
  <c r="M158" i="1" a="1"/>
  <c r="M158" i="1" s="1"/>
  <c r="L154" i="1" a="1"/>
  <c r="L154" i="1" s="1"/>
  <c r="D154" i="1" a="1"/>
  <c r="D154" i="1" s="1"/>
  <c r="I154" i="14" s="1"/>
  <c r="L150" i="1" a="1"/>
  <c r="L150" i="1" s="1"/>
  <c r="P150" i="1" a="1"/>
  <c r="P150" i="1" s="1"/>
  <c r="C150" i="1" a="1"/>
  <c r="C150" i="1" s="1"/>
  <c r="E150" i="14" s="1"/>
  <c r="Q146" i="1" a="1"/>
  <c r="Q146" i="1" s="1"/>
  <c r="S146" i="14" s="1"/>
  <c r="M146" i="1" a="1"/>
  <c r="M146" i="1" s="1"/>
  <c r="O146" i="1"/>
  <c r="M146" i="14" s="1"/>
  <c r="F146" i="1" a="1"/>
  <c r="F146" i="1" s="1"/>
  <c r="R146" i="14" s="1"/>
  <c r="L142" i="1" a="1"/>
  <c r="L142" i="1" s="1"/>
  <c r="H142" i="1" a="1"/>
  <c r="H142" i="1" s="1"/>
  <c r="J142" i="14" s="1"/>
  <c r="J138" i="1" a="1"/>
  <c r="J138" i="1" s="1"/>
  <c r="H134" i="1" a="1"/>
  <c r="H134" i="1" s="1"/>
  <c r="J134" i="14" s="1"/>
  <c r="L134" i="1" a="1"/>
  <c r="L134" i="1" s="1"/>
  <c r="J134" i="1" a="1"/>
  <c r="J134" i="1" s="1"/>
  <c r="F130" i="1" a="1"/>
  <c r="F130" i="1" s="1"/>
  <c r="R130" i="14" s="1"/>
  <c r="M130" i="1" a="1"/>
  <c r="M130" i="1" s="1"/>
  <c r="M126" i="1" a="1"/>
  <c r="M126" i="1" s="1"/>
  <c r="H126" i="1" a="1"/>
  <c r="H126" i="1" s="1"/>
  <c r="J126" i="14" s="1"/>
  <c r="F126" i="1" a="1"/>
  <c r="F126" i="1" s="1"/>
  <c r="R126" i="14" s="1"/>
  <c r="F122" i="1" a="1"/>
  <c r="F122" i="1" s="1"/>
  <c r="R122" i="14" s="1"/>
  <c r="J122" i="1" a="1"/>
  <c r="J122" i="1" s="1"/>
  <c r="O122" i="1"/>
  <c r="M122" i="14" s="1"/>
  <c r="J118" i="1" a="1"/>
  <c r="J118" i="1" s="1"/>
  <c r="D118" i="1" a="1"/>
  <c r="D118" i="1" s="1"/>
  <c r="I118" i="14" s="1"/>
  <c r="F114" i="1" a="1"/>
  <c r="F114" i="1" s="1"/>
  <c r="R114" i="14" s="1"/>
  <c r="M114" i="1" a="1"/>
  <c r="M114" i="1" s="1"/>
  <c r="K114" i="1" a="1"/>
  <c r="K114" i="1" s="1"/>
  <c r="J110" i="1" a="1"/>
  <c r="J110" i="1" s="1"/>
  <c r="D110" i="1" a="1"/>
  <c r="D110" i="1" s="1"/>
  <c r="I110" i="14" s="1"/>
  <c r="L110" i="1" a="1"/>
  <c r="L110" i="1" s="1"/>
  <c r="J106" i="1" a="1"/>
  <c r="J106" i="1" s="1"/>
  <c r="O106" i="1"/>
  <c r="M106" i="14" s="1"/>
  <c r="L106" i="1" a="1"/>
  <c r="L106" i="1" s="1"/>
  <c r="G102" i="1" a="1"/>
  <c r="G102" i="1" s="1"/>
  <c r="J102" i="1" a="1"/>
  <c r="J102" i="1" s="1"/>
  <c r="F102" i="1" a="1"/>
  <c r="F102" i="1" s="1"/>
  <c r="R102" i="14" s="1"/>
  <c r="C98" i="1" a="1"/>
  <c r="C98" i="1" s="1"/>
  <c r="E98" i="14" s="1"/>
  <c r="Q98" i="1" a="1"/>
  <c r="Q98" i="1" s="1"/>
  <c r="S98" i="14" s="1"/>
  <c r="J94" i="1" a="1"/>
  <c r="J94" i="1" s="1"/>
  <c r="M94" i="1" a="1"/>
  <c r="M94" i="1" s="1"/>
  <c r="P94" i="1" a="1"/>
  <c r="P94" i="1" s="1"/>
  <c r="K94" i="1" a="1"/>
  <c r="K94" i="1" s="1"/>
  <c r="J90" i="1" a="1"/>
  <c r="J90" i="1" s="1"/>
  <c r="J86" i="1" a="1"/>
  <c r="J86" i="1" s="1"/>
  <c r="Q86" i="1" a="1"/>
  <c r="Q86" i="1" s="1"/>
  <c r="S86" i="14" s="1"/>
  <c r="O86" i="1"/>
  <c r="M86" i="14" s="1"/>
  <c r="O82" i="1"/>
  <c r="M82" i="14" s="1"/>
  <c r="P82" i="1" a="1"/>
  <c r="P82" i="1" s="1"/>
  <c r="J78" i="1" a="1"/>
  <c r="J78" i="1" s="1"/>
  <c r="Q78" i="1" a="1"/>
  <c r="Q78" i="1" s="1"/>
  <c r="S78" i="14" s="1"/>
  <c r="O78" i="1"/>
  <c r="M78" i="14" s="1"/>
  <c r="P78" i="1" a="1"/>
  <c r="P78" i="1" s="1"/>
  <c r="G74" i="1" a="1"/>
  <c r="G74" i="1" s="1"/>
  <c r="O74" i="1"/>
  <c r="M74" i="14" s="1"/>
  <c r="K70" i="1" a="1"/>
  <c r="K70" i="1" s="1"/>
  <c r="M70" i="1" a="1"/>
  <c r="M70" i="1" s="1"/>
  <c r="Q70" i="1" a="1"/>
  <c r="Q70" i="1" s="1"/>
  <c r="S70" i="14" s="1"/>
  <c r="O70" i="1"/>
  <c r="M70" i="14" s="1"/>
  <c r="J165" i="1" a="1"/>
  <c r="J165" i="1" s="1"/>
  <c r="H165" i="1" a="1"/>
  <c r="H165" i="1" s="1"/>
  <c r="J165" i="14" s="1"/>
  <c r="C165" i="1" a="1"/>
  <c r="C165" i="1" s="1"/>
  <c r="E165" i="14" s="1"/>
  <c r="H145" i="1" a="1"/>
  <c r="H145" i="1" s="1"/>
  <c r="J145" i="14" s="1"/>
  <c r="C145" i="1" a="1"/>
  <c r="C145" i="1" s="1"/>
  <c r="E145" i="14" s="1"/>
  <c r="O145" i="1"/>
  <c r="M145" i="14" s="1"/>
  <c r="H121" i="1" a="1"/>
  <c r="H121" i="1" s="1"/>
  <c r="J121" i="14" s="1"/>
  <c r="G121" i="1" a="1"/>
  <c r="G121" i="1" s="1"/>
  <c r="D85" i="1" a="1"/>
  <c r="D85" i="1" s="1"/>
  <c r="I85" i="14" s="1"/>
  <c r="C85" i="1" a="1"/>
  <c r="C85" i="1" s="1"/>
  <c r="E85" i="14" s="1"/>
  <c r="O176" i="1"/>
  <c r="M176" i="14" s="1"/>
  <c r="O170" i="1"/>
  <c r="M170" i="14" s="1"/>
  <c r="F157" i="1" a="1"/>
  <c r="F157" i="1" s="1"/>
  <c r="R157" i="14" s="1"/>
  <c r="O157" i="1"/>
  <c r="M157" i="14" s="1"/>
  <c r="P157" i="1" a="1"/>
  <c r="P157" i="1" s="1"/>
  <c r="L157" i="1" a="1"/>
  <c r="L157" i="1" s="1"/>
  <c r="G141" i="1" a="1"/>
  <c r="G141" i="1" s="1"/>
  <c r="L129" i="1" a="1"/>
  <c r="L129" i="1" s="1"/>
  <c r="O129" i="1"/>
  <c r="M129" i="14" s="1"/>
  <c r="Q109" i="1" a="1"/>
  <c r="Q109" i="1" s="1"/>
  <c r="S109" i="14" s="1"/>
  <c r="M109" i="1" a="1"/>
  <c r="M109" i="1" s="1"/>
  <c r="O109" i="1"/>
  <c r="M109" i="14" s="1"/>
  <c r="P109" i="1" a="1"/>
  <c r="P109" i="1" s="1"/>
  <c r="G81" i="1" a="1"/>
  <c r="G81" i="1" s="1"/>
  <c r="K81" i="1" a="1"/>
  <c r="K81" i="1" s="1"/>
  <c r="Q81" i="1" a="1"/>
  <c r="Q81" i="1" s="1"/>
  <c r="S81" i="14" s="1"/>
  <c r="D81" i="1" a="1"/>
  <c r="D81" i="1" s="1"/>
  <c r="I81" i="14" s="1"/>
  <c r="O168" i="1"/>
  <c r="M168" i="14" s="1"/>
  <c r="Q168" i="1" a="1"/>
  <c r="Q168" i="1" s="1"/>
  <c r="S168" i="14" s="1"/>
  <c r="O156" i="1"/>
  <c r="M156" i="14" s="1"/>
  <c r="M156" i="1" a="1"/>
  <c r="M156" i="1" s="1"/>
  <c r="O140" i="1"/>
  <c r="M140" i="14" s="1"/>
  <c r="M140" i="1" a="1"/>
  <c r="M140" i="1" s="1"/>
  <c r="L124" i="1" a="1"/>
  <c r="L124" i="1" s="1"/>
  <c r="J124" i="1" a="1"/>
  <c r="J124" i="1" s="1"/>
  <c r="H124" i="1" a="1"/>
  <c r="H124" i="1" s="1"/>
  <c r="J124" i="14" s="1"/>
  <c r="M104" i="1" a="1"/>
  <c r="M104" i="1" s="1"/>
  <c r="J104" i="1" a="1"/>
  <c r="J104" i="1" s="1"/>
  <c r="Q76" i="1" a="1"/>
  <c r="Q76" i="1" s="1"/>
  <c r="S76" i="14" s="1"/>
  <c r="D76" i="1" a="1"/>
  <c r="D76" i="1" s="1"/>
  <c r="I76" i="14" s="1"/>
  <c r="L76" i="1" a="1"/>
  <c r="L76" i="1" s="1"/>
  <c r="L161" i="1" a="1"/>
  <c r="L161" i="1" s="1"/>
  <c r="M161" i="1" a="1"/>
  <c r="M161" i="1" s="1"/>
  <c r="O161" i="1"/>
  <c r="M161" i="14" s="1"/>
  <c r="M149" i="1" a="1"/>
  <c r="M149" i="1" s="1"/>
  <c r="L133" i="1" a="1"/>
  <c r="L133" i="1" s="1"/>
  <c r="O133" i="1"/>
  <c r="M133" i="14" s="1"/>
  <c r="M117" i="1" a="1"/>
  <c r="M117" i="1" s="1"/>
  <c r="O117" i="1"/>
  <c r="M117" i="14" s="1"/>
  <c r="G105" i="1" a="1"/>
  <c r="G105" i="1" s="1"/>
  <c r="H105" i="1" a="1"/>
  <c r="H105" i="1" s="1"/>
  <c r="J105" i="14" s="1"/>
  <c r="O105" i="1"/>
  <c r="M105" i="14" s="1"/>
  <c r="P105" i="1" a="1"/>
  <c r="P105" i="1" s="1"/>
  <c r="O97" i="1"/>
  <c r="M97" i="14" s="1"/>
  <c r="Q97" i="1" a="1"/>
  <c r="Q97" i="1" s="1"/>
  <c r="S97" i="14" s="1"/>
  <c r="M89" i="1" a="1"/>
  <c r="M89" i="1" s="1"/>
  <c r="L89" i="1" a="1"/>
  <c r="L89" i="1" s="1"/>
  <c r="O89" i="1"/>
  <c r="M89" i="14" s="1"/>
  <c r="F89" i="1" a="1"/>
  <c r="F89" i="1" s="1"/>
  <c r="R89" i="14" s="1"/>
  <c r="L73" i="1" a="1"/>
  <c r="L73" i="1" s="1"/>
  <c r="P73" i="1" a="1"/>
  <c r="P73" i="1" s="1"/>
  <c r="C73" i="1" a="1"/>
  <c r="C73" i="1" s="1"/>
  <c r="E73" i="14" s="1"/>
  <c r="M164" i="1" a="1"/>
  <c r="M164" i="1" s="1"/>
  <c r="L164" i="1" a="1"/>
  <c r="L164" i="1" s="1"/>
  <c r="P164" i="1" a="1"/>
  <c r="P164" i="1" s="1"/>
  <c r="O152" i="1"/>
  <c r="M152" i="14" s="1"/>
  <c r="L152" i="1" a="1"/>
  <c r="L152" i="1" s="1"/>
  <c r="O144" i="1"/>
  <c r="M144" i="14" s="1"/>
  <c r="M132" i="1" a="1"/>
  <c r="M132" i="1" s="1"/>
  <c r="H132" i="1" a="1"/>
  <c r="H132" i="1" s="1"/>
  <c r="J132" i="14" s="1"/>
  <c r="F132" i="1" a="1"/>
  <c r="F132" i="1" s="1"/>
  <c r="R132" i="14" s="1"/>
  <c r="K132" i="1" a="1"/>
  <c r="K132" i="1" s="1"/>
  <c r="L120" i="1" a="1"/>
  <c r="L120" i="1" s="1"/>
  <c r="J120" i="1" a="1"/>
  <c r="J120" i="1" s="1"/>
  <c r="G120" i="1" a="1"/>
  <c r="G120" i="1" s="1"/>
  <c r="O120" i="1"/>
  <c r="M120" i="14" s="1"/>
  <c r="H112" i="1" a="1"/>
  <c r="H112" i="1" s="1"/>
  <c r="J112" i="14" s="1"/>
  <c r="C112" i="1" a="1"/>
  <c r="C112" i="1" s="1"/>
  <c r="E112" i="14" s="1"/>
  <c r="D100" i="1" a="1"/>
  <c r="D100" i="1" s="1"/>
  <c r="I100" i="14" s="1"/>
  <c r="J100" i="1" a="1"/>
  <c r="J100" i="1" s="1"/>
  <c r="Q100" i="1" a="1"/>
  <c r="Q100" i="1" s="1"/>
  <c r="S100" i="14" s="1"/>
  <c r="L100" i="1" a="1"/>
  <c r="L100" i="1" s="1"/>
  <c r="Q96" i="1" a="1"/>
  <c r="Q96" i="1" s="1"/>
  <c r="S96" i="14" s="1"/>
  <c r="O96" i="1"/>
  <c r="M96" i="14" s="1"/>
  <c r="M88" i="1" a="1"/>
  <c r="M88" i="1" s="1"/>
  <c r="F88" i="1" a="1"/>
  <c r="F88" i="1" s="1"/>
  <c r="R88" i="14" s="1"/>
  <c r="J88" i="1" a="1"/>
  <c r="J88" i="1" s="1"/>
  <c r="K80" i="1" a="1"/>
  <c r="K80" i="1" s="1"/>
  <c r="L80" i="1" a="1"/>
  <c r="L80" i="1" s="1"/>
  <c r="Q80" i="1" a="1"/>
  <c r="Q80" i="1" s="1"/>
  <c r="S80" i="14" s="1"/>
  <c r="Q68" i="1" a="1"/>
  <c r="Q68" i="1" s="1"/>
  <c r="S68" i="14" s="1"/>
  <c r="L68" i="1" a="1"/>
  <c r="L68" i="1" s="1"/>
  <c r="H68" i="1" a="1"/>
  <c r="H68" i="1" s="1"/>
  <c r="J68" i="14" s="1"/>
  <c r="G163" i="1" a="1"/>
  <c r="G163" i="1" s="1"/>
  <c r="F163" i="1" a="1"/>
  <c r="F163" i="1" s="1"/>
  <c r="R163" i="14" s="1"/>
  <c r="M155" i="1" a="1"/>
  <c r="M155" i="1" s="1"/>
  <c r="O155" i="1"/>
  <c r="M155" i="14" s="1"/>
  <c r="C155" i="1" a="1"/>
  <c r="C155" i="1" s="1"/>
  <c r="E155" i="14" s="1"/>
  <c r="L155" i="1" a="1"/>
  <c r="L155" i="1" s="1"/>
  <c r="M147" i="1" a="1"/>
  <c r="M147" i="1" s="1"/>
  <c r="O147" i="1"/>
  <c r="M147" i="14" s="1"/>
  <c r="L147" i="1" a="1"/>
  <c r="L147" i="1" s="1"/>
  <c r="C147" i="1" a="1"/>
  <c r="C147" i="1" s="1"/>
  <c r="E147" i="14" s="1"/>
  <c r="C139" i="1" a="1"/>
  <c r="C139" i="1" s="1"/>
  <c r="E139" i="14" s="1"/>
  <c r="H139" i="1" a="1"/>
  <c r="H139" i="1" s="1"/>
  <c r="J139" i="14" s="1"/>
  <c r="C119" i="1" a="1"/>
  <c r="C119" i="1" s="1"/>
  <c r="E119" i="14" s="1"/>
  <c r="G119" i="1" a="1"/>
  <c r="G119" i="1" s="1"/>
  <c r="Q111" i="1" a="1"/>
  <c r="Q111" i="1" s="1"/>
  <c r="S111" i="14" s="1"/>
  <c r="O111" i="1"/>
  <c r="M111" i="14" s="1"/>
  <c r="K111" i="1" a="1"/>
  <c r="K111" i="1" s="1"/>
  <c r="L111" i="1" a="1"/>
  <c r="L111" i="1" s="1"/>
  <c r="Q103" i="1" a="1"/>
  <c r="Q103" i="1" s="1"/>
  <c r="S103" i="14" s="1"/>
  <c r="K103" i="1" a="1"/>
  <c r="K103" i="1" s="1"/>
  <c r="L103" i="14" s="1"/>
  <c r="J103" i="1" a="1"/>
  <c r="J103" i="1" s="1"/>
  <c r="O91" i="1"/>
  <c r="M91" i="14" s="1"/>
  <c r="C91" i="1" a="1"/>
  <c r="C91" i="1" s="1"/>
  <c r="E91" i="14" s="1"/>
  <c r="L91" i="1" a="1"/>
  <c r="L91" i="1" s="1"/>
  <c r="H91" i="1" a="1"/>
  <c r="H91" i="1" s="1"/>
  <c r="J91" i="14" s="1"/>
  <c r="C75" i="1" a="1"/>
  <c r="C75" i="1" s="1"/>
  <c r="E75" i="14" s="1"/>
  <c r="L75" i="1" a="1"/>
  <c r="L75" i="1" s="1"/>
  <c r="L169" i="1" a="1"/>
  <c r="L169" i="1" s="1"/>
  <c r="M169" i="1" a="1"/>
  <c r="M169" i="1" s="1"/>
  <c r="O169" i="1"/>
  <c r="M169" i="14" s="1"/>
  <c r="G153" i="1" a="1"/>
  <c r="G153" i="1" s="1"/>
  <c r="P153" i="1" a="1"/>
  <c r="P153" i="1" s="1"/>
  <c r="O137" i="1"/>
  <c r="M137" i="14" s="1"/>
  <c r="K125" i="1" a="1"/>
  <c r="K125" i="1" s="1"/>
  <c r="F125" i="1" a="1"/>
  <c r="F125" i="1" s="1"/>
  <c r="R125" i="14" s="1"/>
  <c r="J125" i="1" a="1"/>
  <c r="J125" i="1" s="1"/>
  <c r="M125" i="1" a="1"/>
  <c r="M125" i="1" s="1"/>
  <c r="C113" i="1" a="1"/>
  <c r="C113" i="1" s="1"/>
  <c r="E113" i="14" s="1"/>
  <c r="P101" i="1" a="1"/>
  <c r="P101" i="1" s="1"/>
  <c r="M101" i="1" a="1"/>
  <c r="M101" i="1" s="1"/>
  <c r="Q93" i="1" a="1"/>
  <c r="Q93" i="1" s="1"/>
  <c r="S93" i="14" s="1"/>
  <c r="H93" i="1" a="1"/>
  <c r="H93" i="1" s="1"/>
  <c r="J93" i="14" s="1"/>
  <c r="L77" i="1" a="1"/>
  <c r="L77" i="1" s="1"/>
  <c r="M77" i="1" a="1"/>
  <c r="M77" i="1" s="1"/>
  <c r="H69" i="1" a="1"/>
  <c r="H69" i="1" s="1"/>
  <c r="J69" i="14" s="1"/>
  <c r="O69" i="1"/>
  <c r="M69" i="14" s="1"/>
  <c r="Q69" i="1" a="1"/>
  <c r="Q69" i="1" s="1"/>
  <c r="S69" i="14" s="1"/>
  <c r="O160" i="1"/>
  <c r="M160" i="14" s="1"/>
  <c r="O148" i="1"/>
  <c r="M148" i="14" s="1"/>
  <c r="M148" i="1" a="1"/>
  <c r="M148" i="1" s="1"/>
  <c r="C136" i="1" a="1"/>
  <c r="C136" i="1" s="1"/>
  <c r="E136" i="14" s="1"/>
  <c r="M128" i="1" a="1"/>
  <c r="M128" i="1" s="1"/>
  <c r="H128" i="1" a="1"/>
  <c r="H128" i="1" s="1"/>
  <c r="J128" i="14" s="1"/>
  <c r="C116" i="1" a="1"/>
  <c r="C116" i="1" s="1"/>
  <c r="E116" i="14" s="1"/>
  <c r="P108" i="1" a="1"/>
  <c r="P108" i="1" s="1"/>
  <c r="M108" i="1" a="1"/>
  <c r="M108" i="1" s="1"/>
  <c r="K108" i="1" a="1"/>
  <c r="K108" i="1" s="1"/>
  <c r="P92" i="1" a="1"/>
  <c r="P92" i="1" s="1"/>
  <c r="G92" i="1" a="1"/>
  <c r="G92" i="1" s="1"/>
  <c r="M92" i="1" a="1"/>
  <c r="M92" i="1" s="1"/>
  <c r="P84" i="1" a="1"/>
  <c r="P84" i="1" s="1"/>
  <c r="D84" i="1" a="1"/>
  <c r="D84" i="1" s="1"/>
  <c r="I84" i="14" s="1"/>
  <c r="K84" i="1" a="1"/>
  <c r="K84" i="1" s="1"/>
  <c r="H84" i="1" a="1"/>
  <c r="H84" i="1" s="1"/>
  <c r="J84" i="14" s="1"/>
  <c r="F72" i="1" a="1"/>
  <c r="F72" i="1" s="1"/>
  <c r="R72" i="14" s="1"/>
  <c r="H72" i="1" a="1"/>
  <c r="H72" i="1" s="1"/>
  <c r="J72" i="14" s="1"/>
  <c r="P167" i="1" a="1"/>
  <c r="P167" i="1" s="1"/>
  <c r="D167" i="1" a="1"/>
  <c r="D167" i="1" s="1"/>
  <c r="I167" i="14" s="1"/>
  <c r="Q167" i="1" a="1"/>
  <c r="Q167" i="1" s="1"/>
  <c r="S167" i="14" s="1"/>
  <c r="D159" i="1" a="1"/>
  <c r="D159" i="1" s="1"/>
  <c r="I159" i="14" s="1"/>
  <c r="L151" i="1" a="1"/>
  <c r="L151" i="1" s="1"/>
  <c r="D151" i="1" a="1"/>
  <c r="D151" i="1" s="1"/>
  <c r="I151" i="14" s="1"/>
  <c r="J151" i="1" a="1"/>
  <c r="J151" i="1" s="1"/>
  <c r="M143" i="1" a="1"/>
  <c r="M143" i="1" s="1"/>
  <c r="O135" i="1"/>
  <c r="M135" i="14" s="1"/>
  <c r="L135" i="1" a="1"/>
  <c r="L135" i="1" s="1"/>
  <c r="H135" i="1" a="1"/>
  <c r="H135" i="1" s="1"/>
  <c r="J135" i="14" s="1"/>
  <c r="M127" i="1" a="1"/>
  <c r="M127" i="1" s="1"/>
  <c r="L127" i="1" a="1"/>
  <c r="L127" i="1" s="1"/>
  <c r="C123" i="1" a="1"/>
  <c r="C123" i="1" s="1"/>
  <c r="E123" i="14" s="1"/>
  <c r="D123" i="1" a="1"/>
  <c r="D123" i="1" s="1"/>
  <c r="I123" i="14" s="1"/>
  <c r="O115" i="1"/>
  <c r="M115" i="14" s="1"/>
  <c r="L115" i="1" a="1"/>
  <c r="L115" i="1" s="1"/>
  <c r="O107" i="1"/>
  <c r="M107" i="14" s="1"/>
  <c r="K107" i="1" a="1"/>
  <c r="K107" i="1" s="1"/>
  <c r="L107" i="1" a="1"/>
  <c r="L107" i="1" s="1"/>
  <c r="Q107" i="1" a="1"/>
  <c r="Q107" i="1" s="1"/>
  <c r="S107" i="14" s="1"/>
  <c r="P99" i="1" a="1"/>
  <c r="P99" i="1" s="1"/>
  <c r="L99" i="1" a="1"/>
  <c r="L99" i="1" s="1"/>
  <c r="F99" i="1" a="1"/>
  <c r="F99" i="1" s="1"/>
  <c r="R99" i="14" s="1"/>
  <c r="J99" i="1" a="1"/>
  <c r="J99" i="1" s="1"/>
  <c r="O95" i="1"/>
  <c r="M95" i="14" s="1"/>
  <c r="H95" i="1" a="1"/>
  <c r="H95" i="1" s="1"/>
  <c r="J95" i="14" s="1"/>
  <c r="P95" i="1" a="1"/>
  <c r="P95" i="1" s="1"/>
  <c r="D87" i="1" a="1"/>
  <c r="D87" i="1" s="1"/>
  <c r="I87" i="14" s="1"/>
  <c r="G87" i="1" a="1"/>
  <c r="G87" i="1" s="1"/>
  <c r="M87" i="1" a="1"/>
  <c r="M87" i="1" s="1"/>
  <c r="Q87" i="1" a="1"/>
  <c r="Q87" i="1" s="1"/>
  <c r="S87" i="14" s="1"/>
  <c r="M83" i="1" a="1"/>
  <c r="M83" i="1" s="1"/>
  <c r="H83" i="1" a="1"/>
  <c r="H83" i="1" s="1"/>
  <c r="J83" i="14" s="1"/>
  <c r="D83" i="1" a="1"/>
  <c r="D83" i="1" s="1"/>
  <c r="I83" i="14" s="1"/>
  <c r="D79" i="1" a="1"/>
  <c r="D79" i="1" s="1"/>
  <c r="I79" i="14" s="1"/>
  <c r="G79" i="1" a="1"/>
  <c r="G79" i="1" s="1"/>
  <c r="M79" i="1" a="1"/>
  <c r="M79" i="1" s="1"/>
  <c r="K71" i="1" a="1"/>
  <c r="K71" i="1" s="1"/>
  <c r="D71" i="1" a="1"/>
  <c r="D71" i="1" s="1"/>
  <c r="I71" i="14" s="1"/>
  <c r="M71" i="1" a="1"/>
  <c r="M71" i="1" s="1"/>
  <c r="O166" i="1"/>
  <c r="M166" i="14" s="1"/>
  <c r="O162" i="1"/>
  <c r="M162" i="14" s="1"/>
  <c r="O158" i="1"/>
  <c r="M158" i="14" s="1"/>
  <c r="M154" i="1" a="1"/>
  <c r="M154" i="1" s="1"/>
  <c r="G154" i="1" a="1"/>
  <c r="G154" i="1" s="1"/>
  <c r="O150" i="1"/>
  <c r="M150" i="14" s="1"/>
  <c r="K150" i="1" a="1"/>
  <c r="K150" i="1" s="1"/>
  <c r="J146" i="1" a="1"/>
  <c r="J146" i="1" s="1"/>
  <c r="L146" i="1" a="1"/>
  <c r="L146" i="1" s="1"/>
  <c r="O142" i="1"/>
  <c r="M142" i="14" s="1"/>
  <c r="M142" i="1" a="1"/>
  <c r="M142" i="1" s="1"/>
  <c r="M138" i="1" a="1"/>
  <c r="M138" i="1" s="1"/>
  <c r="L138" i="1" a="1"/>
  <c r="L138" i="1" s="1"/>
  <c r="M134" i="1" a="1"/>
  <c r="M134" i="1" s="1"/>
  <c r="C134" i="1" a="1"/>
  <c r="C134" i="1" s="1"/>
  <c r="E134" i="14" s="1"/>
  <c r="D130" i="1" a="1"/>
  <c r="D130" i="1" s="1"/>
  <c r="I130" i="14" s="1"/>
  <c r="L126" i="1" a="1"/>
  <c r="L126" i="1" s="1"/>
  <c r="J126" i="1" a="1"/>
  <c r="J126" i="1" s="1"/>
  <c r="G122" i="1" a="1"/>
  <c r="G122" i="1" s="1"/>
  <c r="D122" i="1" a="1"/>
  <c r="D122" i="1" s="1"/>
  <c r="I122" i="14" s="1"/>
  <c r="G118" i="1" a="1"/>
  <c r="G118" i="1" s="1"/>
  <c r="H118" i="1" a="1"/>
  <c r="H118" i="1" s="1"/>
  <c r="J118" i="14" s="1"/>
  <c r="L114" i="1" a="1"/>
  <c r="L114" i="1" s="1"/>
  <c r="J114" i="1" a="1"/>
  <c r="J114" i="1" s="1"/>
  <c r="O114" i="1"/>
  <c r="M114" i="14" s="1"/>
  <c r="G110" i="1" a="1"/>
  <c r="G110" i="1" s="1"/>
  <c r="H110" i="1" a="1"/>
  <c r="H110" i="1" s="1"/>
  <c r="J110" i="14" s="1"/>
  <c r="P110" i="1" a="1"/>
  <c r="P110" i="1" s="1"/>
  <c r="Q106" i="1" a="1"/>
  <c r="Q106" i="1" s="1"/>
  <c r="S106" i="14" s="1"/>
  <c r="D106" i="1" a="1"/>
  <c r="D106" i="1" s="1"/>
  <c r="I106" i="14" s="1"/>
  <c r="P106" i="1" a="1"/>
  <c r="P106" i="1" s="1"/>
  <c r="L102" i="1" a="1"/>
  <c r="L102" i="1" s="1"/>
  <c r="K102" i="1" a="1"/>
  <c r="K102" i="1" s="1"/>
  <c r="O102" i="1"/>
  <c r="M102" i="14" s="1"/>
  <c r="M102" i="1" a="1"/>
  <c r="M102" i="1" s="1"/>
  <c r="F98" i="1" a="1"/>
  <c r="F98" i="1" s="1"/>
  <c r="R98" i="14" s="1"/>
  <c r="L98" i="1" a="1"/>
  <c r="L98" i="1" s="1"/>
  <c r="Q94" i="1" a="1"/>
  <c r="Q94" i="1" s="1"/>
  <c r="S94" i="14" s="1"/>
  <c r="H94" i="1" a="1"/>
  <c r="H94" i="1" s="1"/>
  <c r="J94" i="14" s="1"/>
  <c r="L94" i="1" a="1"/>
  <c r="L94" i="1" s="1"/>
  <c r="Q90" i="1" a="1"/>
  <c r="Q90" i="1" s="1"/>
  <c r="S90" i="14" s="1"/>
  <c r="G90" i="1" a="1"/>
  <c r="G90" i="1" s="1"/>
  <c r="O90" i="1"/>
  <c r="M90" i="14" s="1"/>
  <c r="K90" i="1" a="1"/>
  <c r="K90" i="1" s="1"/>
  <c r="M86" i="1" a="1"/>
  <c r="M86" i="1" s="1"/>
  <c r="F86" i="1" a="1"/>
  <c r="F86" i="1" s="1"/>
  <c r="R86" i="14" s="1"/>
  <c r="D86" i="1" a="1"/>
  <c r="D86" i="1" s="1"/>
  <c r="I86" i="14" s="1"/>
  <c r="Q82" i="1" a="1"/>
  <c r="Q82" i="1" s="1"/>
  <c r="S82" i="14" s="1"/>
  <c r="F82" i="1" a="1"/>
  <c r="F82" i="1" s="1"/>
  <c r="R82" i="14" s="1"/>
  <c r="L82" i="1" a="1"/>
  <c r="L82" i="1" s="1"/>
  <c r="C82" i="1" a="1"/>
  <c r="C82" i="1" s="1"/>
  <c r="E82" i="14" s="1"/>
  <c r="M78" i="1" a="1"/>
  <c r="M78" i="1" s="1"/>
  <c r="F78" i="1" a="1"/>
  <c r="F78" i="1" s="1"/>
  <c r="R78" i="14" s="1"/>
  <c r="L74" i="1" a="1"/>
  <c r="L74" i="1" s="1"/>
  <c r="J74" i="1" a="1"/>
  <c r="J74" i="1" s="1"/>
  <c r="K74" i="1" a="1"/>
  <c r="K74" i="1" s="1"/>
  <c r="H74" i="1" a="1"/>
  <c r="H74" i="1" s="1"/>
  <c r="J74" i="14" s="1"/>
  <c r="P70" i="1" a="1"/>
  <c r="P70" i="1" s="1"/>
  <c r="F70" i="1" a="1"/>
  <c r="F70" i="1" s="1"/>
  <c r="R70" i="14" s="1"/>
  <c r="M165" i="1" a="1"/>
  <c r="M165" i="1" s="1"/>
  <c r="O165" i="1"/>
  <c r="M165" i="14" s="1"/>
  <c r="L165" i="1" a="1"/>
  <c r="L165" i="1" s="1"/>
  <c r="L145" i="1" a="1"/>
  <c r="L145" i="1" s="1"/>
  <c r="D145" i="1" a="1"/>
  <c r="D145" i="1" s="1"/>
  <c r="I145" i="14" s="1"/>
  <c r="J145" i="1" a="1"/>
  <c r="J145" i="1" s="1"/>
  <c r="K121" i="1" a="1"/>
  <c r="K121" i="1" s="1"/>
  <c r="L121" i="1" a="1"/>
  <c r="L121" i="1" s="1"/>
  <c r="J121" i="1" a="1"/>
  <c r="J121" i="1" s="1"/>
  <c r="L85" i="1" a="1"/>
  <c r="L85" i="1" s="1"/>
  <c r="K85" i="1" a="1"/>
  <c r="K85" i="1" s="1"/>
  <c r="G85" i="1" a="1"/>
  <c r="G85" i="1" s="1"/>
  <c r="O85" i="1"/>
  <c r="M85" i="14" s="1"/>
  <c r="O199" i="1"/>
  <c r="M199" i="14" s="1"/>
  <c r="M157" i="1" a="1"/>
  <c r="M157" i="1" s="1"/>
  <c r="C157" i="1" a="1"/>
  <c r="C157" i="1" s="1"/>
  <c r="E157" i="14" s="1"/>
  <c r="J141" i="1" a="1"/>
  <c r="J141" i="1" s="1"/>
  <c r="C129" i="1" a="1"/>
  <c r="C129" i="1" s="1"/>
  <c r="E129" i="14" s="1"/>
  <c r="M129" i="1" a="1"/>
  <c r="M129" i="1" s="1"/>
  <c r="D129" i="1" a="1"/>
  <c r="D129" i="1" s="1"/>
  <c r="I129" i="14" s="1"/>
  <c r="C109" i="1" a="1"/>
  <c r="C109" i="1" s="1"/>
  <c r="E109" i="14" s="1"/>
  <c r="F81" i="1" a="1"/>
  <c r="F81" i="1" s="1"/>
  <c r="R81" i="14" s="1"/>
  <c r="M81" i="1" a="1"/>
  <c r="M81" i="1" s="1"/>
  <c r="P81" i="1" a="1"/>
  <c r="P81" i="1" s="1"/>
  <c r="O81" i="1"/>
  <c r="M81" i="14" s="1"/>
  <c r="F168" i="1" a="1"/>
  <c r="F168" i="1" s="1"/>
  <c r="R168" i="14" s="1"/>
  <c r="D168" i="1" a="1"/>
  <c r="D168" i="1" s="1"/>
  <c r="I168" i="14" s="1"/>
  <c r="H168" i="1" a="1"/>
  <c r="H168" i="1" s="1"/>
  <c r="J168" i="14" s="1"/>
  <c r="C168" i="1" a="1"/>
  <c r="C168" i="1" s="1"/>
  <c r="E168" i="14" s="1"/>
  <c r="C156" i="1" a="1"/>
  <c r="C156" i="1" s="1"/>
  <c r="E156" i="14" s="1"/>
  <c r="F156" i="1" a="1"/>
  <c r="F156" i="1" s="1"/>
  <c r="R156" i="14" s="1"/>
  <c r="D156" i="1" a="1"/>
  <c r="D156" i="1" s="1"/>
  <c r="I156" i="14" s="1"/>
  <c r="G156" i="1" a="1"/>
  <c r="G156" i="1" s="1"/>
  <c r="F140" i="1" a="1"/>
  <c r="F140" i="1" s="1"/>
  <c r="R140" i="14" s="1"/>
  <c r="M124" i="1" a="1"/>
  <c r="M124" i="1" s="1"/>
  <c r="O124" i="1"/>
  <c r="M124" i="14" s="1"/>
  <c r="D104" i="1" a="1"/>
  <c r="D104" i="1" s="1"/>
  <c r="I104" i="14" s="1"/>
  <c r="F104" i="1" a="1"/>
  <c r="F104" i="1" s="1"/>
  <c r="R104" i="14" s="1"/>
  <c r="C104" i="1" a="1"/>
  <c r="C104" i="1" s="1"/>
  <c r="E104" i="14" s="1"/>
  <c r="Q104" i="1" a="1"/>
  <c r="Q104" i="1" s="1"/>
  <c r="S104" i="14" s="1"/>
  <c r="G76" i="1" a="1"/>
  <c r="G76" i="1" s="1"/>
  <c r="J76" i="1" a="1"/>
  <c r="J76" i="1" s="1"/>
  <c r="P76" i="1" a="1"/>
  <c r="P76" i="1" s="1"/>
  <c r="D161" i="1" a="1"/>
  <c r="D161" i="1" s="1"/>
  <c r="I161" i="14" s="1"/>
  <c r="F149" i="1" a="1"/>
  <c r="F149" i="1" s="1"/>
  <c r="R149" i="14" s="1"/>
  <c r="C133" i="1" a="1"/>
  <c r="C133" i="1" s="1"/>
  <c r="E133" i="14" s="1"/>
  <c r="C117" i="1" a="1"/>
  <c r="C117" i="1" s="1"/>
  <c r="E117" i="14" s="1"/>
  <c r="D105" i="1" a="1"/>
  <c r="D105" i="1" s="1"/>
  <c r="I105" i="14" s="1"/>
  <c r="L105" i="1" a="1"/>
  <c r="L105" i="1" s="1"/>
  <c r="M105" i="1" a="1"/>
  <c r="M105" i="1" s="1"/>
  <c r="D97" i="1" a="1"/>
  <c r="D97" i="1" s="1"/>
  <c r="I97" i="14" s="1"/>
  <c r="F97" i="1" a="1"/>
  <c r="F97" i="1" s="1"/>
  <c r="R97" i="14" s="1"/>
  <c r="K97" i="1" a="1"/>
  <c r="K97" i="1" s="1"/>
  <c r="L97" i="14" s="1"/>
  <c r="D89" i="1" a="1"/>
  <c r="D89" i="1" s="1"/>
  <c r="I89" i="14" s="1"/>
  <c r="Q89" i="1" a="1"/>
  <c r="Q89" i="1" s="1"/>
  <c r="S89" i="14" s="1"/>
  <c r="J89" i="1" a="1"/>
  <c r="J89" i="1" s="1"/>
  <c r="D73" i="1" a="1"/>
  <c r="D73" i="1" s="1"/>
  <c r="I73" i="14" s="1"/>
  <c r="O73" i="1"/>
  <c r="M73" i="14" s="1"/>
  <c r="Q73" i="1" a="1"/>
  <c r="Q73" i="1" s="1"/>
  <c r="S73" i="14" s="1"/>
  <c r="H73" i="1" a="1"/>
  <c r="H73" i="1" s="1"/>
  <c r="J73" i="14" s="1"/>
  <c r="Q164" i="1" a="1"/>
  <c r="Q164" i="1" s="1"/>
  <c r="S164" i="14" s="1"/>
  <c r="O164" i="1"/>
  <c r="M164" i="14" s="1"/>
  <c r="D152" i="1" a="1"/>
  <c r="D152" i="1" s="1"/>
  <c r="I152" i="14" s="1"/>
  <c r="H152" i="1" a="1"/>
  <c r="H152" i="1" s="1"/>
  <c r="J152" i="14" s="1"/>
  <c r="C152" i="1" a="1"/>
  <c r="C152" i="1" s="1"/>
  <c r="E152" i="14" s="1"/>
  <c r="F144" i="1" a="1"/>
  <c r="F144" i="1" s="1"/>
  <c r="R144" i="14" s="1"/>
  <c r="D144" i="1" a="1"/>
  <c r="D144" i="1" s="1"/>
  <c r="I144" i="14" s="1"/>
  <c r="H144" i="1" a="1"/>
  <c r="H144" i="1" s="1"/>
  <c r="J144" i="14" s="1"/>
  <c r="D132" i="1" a="1"/>
  <c r="D132" i="1" s="1"/>
  <c r="I132" i="14" s="1"/>
  <c r="Q132" i="1" a="1"/>
  <c r="Q132" i="1" s="1"/>
  <c r="S132" i="14" s="1"/>
  <c r="O132" i="1"/>
  <c r="M132" i="14" s="1"/>
  <c r="M120" i="1" a="1"/>
  <c r="M120" i="1" s="1"/>
  <c r="D112" i="1" a="1"/>
  <c r="D112" i="1" s="1"/>
  <c r="I112" i="14" s="1"/>
  <c r="O112" i="1"/>
  <c r="M112" i="14" s="1"/>
  <c r="F112" i="1" a="1"/>
  <c r="F112" i="1" s="1"/>
  <c r="R112" i="14" s="1"/>
  <c r="H100" i="1" a="1"/>
  <c r="H100" i="1" s="1"/>
  <c r="J100" i="14" s="1"/>
  <c r="F100" i="1" a="1"/>
  <c r="F100" i="1" s="1"/>
  <c r="R100" i="14" s="1"/>
  <c r="D96" i="1" a="1"/>
  <c r="D96" i="1" s="1"/>
  <c r="I96" i="14" s="1"/>
  <c r="C96" i="1" a="1"/>
  <c r="C96" i="1" s="1"/>
  <c r="E96" i="14" s="1"/>
  <c r="L96" i="1" a="1"/>
  <c r="L96" i="1" s="1"/>
  <c r="K96" i="1" a="1"/>
  <c r="K96" i="1" s="1"/>
  <c r="Q88" i="1" a="1"/>
  <c r="Q88" i="1" s="1"/>
  <c r="S88" i="14" s="1"/>
  <c r="L88" i="1" a="1"/>
  <c r="L88" i="1" s="1"/>
  <c r="D88" i="1" a="1"/>
  <c r="D88" i="1" s="1"/>
  <c r="I88" i="14" s="1"/>
  <c r="O80" i="1"/>
  <c r="M80" i="14" s="1"/>
  <c r="J80" i="1" a="1"/>
  <c r="J80" i="1" s="1"/>
  <c r="D68" i="1" a="1"/>
  <c r="D68" i="1" s="1"/>
  <c r="I68" i="14" s="1"/>
  <c r="F68" i="1" a="1"/>
  <c r="F68" i="1" s="1"/>
  <c r="R68" i="14" s="1"/>
  <c r="P68" i="1" a="1"/>
  <c r="P68" i="1" s="1"/>
  <c r="C163" i="1" a="1"/>
  <c r="C163" i="1" s="1"/>
  <c r="E163" i="14" s="1"/>
  <c r="J163" i="1" a="1"/>
  <c r="J163" i="1" s="1"/>
  <c r="H163" i="1" a="1"/>
  <c r="H163" i="1" s="1"/>
  <c r="J163" i="14" s="1"/>
  <c r="D155" i="1" a="1"/>
  <c r="D155" i="1" s="1"/>
  <c r="I155" i="14" s="1"/>
  <c r="F155" i="1" a="1"/>
  <c r="F155" i="1" s="1"/>
  <c r="R155" i="14" s="1"/>
  <c r="D147" i="1" a="1"/>
  <c r="D147" i="1" s="1"/>
  <c r="I147" i="14" s="1"/>
  <c r="F147" i="1" a="1"/>
  <c r="F147" i="1" s="1"/>
  <c r="R147" i="14" s="1"/>
  <c r="L139" i="1" a="1"/>
  <c r="L139" i="1" s="1"/>
  <c r="M139" i="1" a="1"/>
  <c r="M139" i="1" s="1"/>
  <c r="G131" i="1" a="1"/>
  <c r="G131" i="1" s="1"/>
  <c r="O131" i="1"/>
  <c r="M131" i="14" s="1"/>
  <c r="D131" i="1" a="1"/>
  <c r="D131" i="1" s="1"/>
  <c r="I131" i="14" s="1"/>
  <c r="J119" i="1" a="1"/>
  <c r="J119" i="1" s="1"/>
  <c r="C111" i="1" a="1"/>
  <c r="C111" i="1" s="1"/>
  <c r="E111" i="14" s="1"/>
  <c r="D111" i="1" a="1"/>
  <c r="D111" i="1" s="1"/>
  <c r="I111" i="14" s="1"/>
  <c r="P111" i="1" a="1"/>
  <c r="P111" i="1" s="1"/>
  <c r="C103" i="1" a="1"/>
  <c r="C103" i="1" s="1"/>
  <c r="E103" i="14" s="1"/>
  <c r="H103" i="1" a="1"/>
  <c r="H103" i="1" s="1"/>
  <c r="J103" i="14" s="1"/>
  <c r="D91" i="1" a="1"/>
  <c r="D91" i="1" s="1"/>
  <c r="I91" i="14" s="1"/>
  <c r="F91" i="1" a="1"/>
  <c r="F91" i="1" s="1"/>
  <c r="R91" i="14" s="1"/>
  <c r="D75" i="1" a="1"/>
  <c r="D75" i="1" s="1"/>
  <c r="I75" i="14" s="1"/>
  <c r="K75" i="1" a="1"/>
  <c r="K75" i="1" s="1"/>
  <c r="O75" i="1"/>
  <c r="M75" i="14" s="1"/>
  <c r="D169" i="1" a="1"/>
  <c r="D169" i="1" s="1"/>
  <c r="I169" i="14" s="1"/>
  <c r="C153" i="1" a="1"/>
  <c r="C153" i="1" s="1"/>
  <c r="E153" i="14" s="1"/>
  <c r="J153" i="1" a="1"/>
  <c r="J153" i="1" s="1"/>
  <c r="O153" i="1"/>
  <c r="M153" i="14" s="1"/>
  <c r="C137" i="1" a="1"/>
  <c r="C137" i="1" s="1"/>
  <c r="E137" i="14" s="1"/>
  <c r="F137" i="1" a="1"/>
  <c r="F137" i="1" s="1"/>
  <c r="R137" i="14" s="1"/>
  <c r="O125" i="1"/>
  <c r="M125" i="14" s="1"/>
  <c r="Q125" i="1" a="1"/>
  <c r="Q125" i="1" s="1"/>
  <c r="S125" i="14" s="1"/>
  <c r="D113" i="1" a="1"/>
  <c r="D113" i="1" s="1"/>
  <c r="I113" i="14" s="1"/>
  <c r="H113" i="1" a="1"/>
  <c r="H113" i="1" s="1"/>
  <c r="J113" i="14" s="1"/>
  <c r="F113" i="1" a="1"/>
  <c r="F113" i="1" s="1"/>
  <c r="R113" i="14" s="1"/>
  <c r="G113" i="1" a="1"/>
  <c r="G113" i="1" s="1"/>
  <c r="F101" i="1" a="1"/>
  <c r="F101" i="1" s="1"/>
  <c r="R101" i="14" s="1"/>
  <c r="G101" i="1" a="1"/>
  <c r="G101" i="1" s="1"/>
  <c r="C101" i="1" a="1"/>
  <c r="C101" i="1" s="1"/>
  <c r="E101" i="14" s="1"/>
  <c r="C93" i="1" a="1"/>
  <c r="C93" i="1" s="1"/>
  <c r="E93" i="14" s="1"/>
  <c r="J93" i="1" a="1"/>
  <c r="J93" i="1" s="1"/>
  <c r="O93" i="1"/>
  <c r="M93" i="14" s="1"/>
  <c r="D77" i="1" a="1"/>
  <c r="D77" i="1" s="1"/>
  <c r="I77" i="14" s="1"/>
  <c r="P77" i="1" a="1"/>
  <c r="P77" i="1" s="1"/>
  <c r="K77" i="1" a="1"/>
  <c r="K77" i="1" s="1"/>
  <c r="O77" i="1"/>
  <c r="M77" i="14" s="1"/>
  <c r="D69" i="1" a="1"/>
  <c r="D69" i="1" s="1"/>
  <c r="I69" i="14" s="1"/>
  <c r="M69" i="1" a="1"/>
  <c r="M69" i="1" s="1"/>
  <c r="J69" i="1" a="1"/>
  <c r="J69" i="1" s="1"/>
  <c r="F160" i="1" a="1"/>
  <c r="F160" i="1" s="1"/>
  <c r="R160" i="14" s="1"/>
  <c r="D160" i="1" a="1"/>
  <c r="D160" i="1" s="1"/>
  <c r="I160" i="14" s="1"/>
  <c r="H160" i="1" a="1"/>
  <c r="H160" i="1" s="1"/>
  <c r="J160" i="14" s="1"/>
  <c r="C160" i="1" a="1"/>
  <c r="C160" i="1" s="1"/>
  <c r="E160" i="14" s="1"/>
  <c r="C148" i="1" a="1"/>
  <c r="C148" i="1" s="1"/>
  <c r="E148" i="14" s="1"/>
  <c r="F148" i="1" a="1"/>
  <c r="F148" i="1" s="1"/>
  <c r="R148" i="14" s="1"/>
  <c r="G148" i="1" a="1"/>
  <c r="G148" i="1" s="1"/>
  <c r="D148" i="1" a="1"/>
  <c r="D148" i="1" s="1"/>
  <c r="I148" i="14" s="1"/>
  <c r="H136" i="1" a="1"/>
  <c r="H136" i="1" s="1"/>
  <c r="J136" i="14" s="1"/>
  <c r="F136" i="1" a="1"/>
  <c r="F136" i="1" s="1"/>
  <c r="R136" i="14" s="1"/>
  <c r="D136" i="1" a="1"/>
  <c r="D136" i="1" s="1"/>
  <c r="I136" i="14" s="1"/>
  <c r="L136" i="1" a="1"/>
  <c r="L136" i="1" s="1"/>
  <c r="D128" i="1" a="1"/>
  <c r="D128" i="1" s="1"/>
  <c r="I128" i="14" s="1"/>
  <c r="F128" i="1" a="1"/>
  <c r="F128" i="1" s="1"/>
  <c r="R128" i="14" s="1"/>
  <c r="O128" i="1"/>
  <c r="M128" i="14" s="1"/>
  <c r="D116" i="1" a="1"/>
  <c r="D116" i="1" s="1"/>
  <c r="I116" i="14" s="1"/>
  <c r="H116" i="1" a="1"/>
  <c r="H116" i="1" s="1"/>
  <c r="J116" i="14" s="1"/>
  <c r="F116" i="1" a="1"/>
  <c r="F116" i="1" s="1"/>
  <c r="R116" i="14" s="1"/>
  <c r="H108" i="1" a="1"/>
  <c r="H108" i="1" s="1"/>
  <c r="J108" i="14" s="1"/>
  <c r="C108" i="1" a="1"/>
  <c r="C108" i="1" s="1"/>
  <c r="E108" i="14" s="1"/>
  <c r="Q108" i="1" a="1"/>
  <c r="Q108" i="1" s="1"/>
  <c r="S108" i="14" s="1"/>
  <c r="F92" i="1" a="1"/>
  <c r="F92" i="1" s="1"/>
  <c r="R92" i="14" s="1"/>
  <c r="O92" i="1"/>
  <c r="M92" i="14" s="1"/>
  <c r="C84" i="1" a="1"/>
  <c r="C84" i="1" s="1"/>
  <c r="E84" i="14" s="1"/>
  <c r="J84" i="1" a="1"/>
  <c r="J84" i="1" s="1"/>
  <c r="C72" i="1" a="1"/>
  <c r="C72" i="1" s="1"/>
  <c r="E72" i="14" s="1"/>
  <c r="G72" i="1" a="1"/>
  <c r="G72" i="1" s="1"/>
  <c r="K72" i="1" a="1"/>
  <c r="K72" i="1" s="1"/>
  <c r="F167" i="1" a="1"/>
  <c r="F167" i="1" s="1"/>
  <c r="R167" i="14" s="1"/>
  <c r="G167" i="1" a="1"/>
  <c r="G167" i="1" s="1"/>
  <c r="F159" i="1" a="1"/>
  <c r="F159" i="1" s="1"/>
  <c r="R159" i="14" s="1"/>
  <c r="G159" i="1" a="1"/>
  <c r="G159" i="1" s="1"/>
  <c r="G151" i="1" a="1"/>
  <c r="G151" i="1" s="1"/>
  <c r="F143" i="1" a="1"/>
  <c r="F143" i="1" s="1"/>
  <c r="R143" i="14" s="1"/>
  <c r="D135" i="1" a="1"/>
  <c r="D135" i="1" s="1"/>
  <c r="I135" i="14" s="1"/>
  <c r="C135" i="1" a="1"/>
  <c r="C135" i="1" s="1"/>
  <c r="E135" i="14" s="1"/>
  <c r="D127" i="1" a="1"/>
  <c r="D127" i="1" s="1"/>
  <c r="I127" i="14" s="1"/>
  <c r="O127" i="1"/>
  <c r="M127" i="14" s="1"/>
  <c r="C127" i="1" a="1"/>
  <c r="C127" i="1" s="1"/>
  <c r="E127" i="14" s="1"/>
  <c r="J123" i="1" a="1"/>
  <c r="J123" i="1" s="1"/>
  <c r="G123" i="1" a="1"/>
  <c r="G123" i="1" s="1"/>
  <c r="C115" i="1" a="1"/>
  <c r="C115" i="1" s="1"/>
  <c r="E115" i="14" s="1"/>
  <c r="D115" i="1" a="1"/>
  <c r="D115" i="1" s="1"/>
  <c r="I115" i="14" s="1"/>
  <c r="D107" i="1" a="1"/>
  <c r="D107" i="1" s="1"/>
  <c r="I107" i="14" s="1"/>
  <c r="P107" i="1" a="1"/>
  <c r="P107" i="1" s="1"/>
  <c r="C107" i="1" a="1"/>
  <c r="C107" i="1" s="1"/>
  <c r="E107" i="14" s="1"/>
  <c r="Q99" i="1" a="1"/>
  <c r="Q99" i="1" s="1"/>
  <c r="S99" i="14" s="1"/>
  <c r="O99" i="1"/>
  <c r="M99" i="14" s="1"/>
  <c r="D95" i="1" a="1"/>
  <c r="D95" i="1" s="1"/>
  <c r="I95" i="14" s="1"/>
  <c r="L95" i="1" a="1"/>
  <c r="L95" i="1" s="1"/>
  <c r="J87" i="1" a="1"/>
  <c r="J87" i="1" s="1"/>
  <c r="H87" i="1" a="1"/>
  <c r="H87" i="1" s="1"/>
  <c r="J87" i="14" s="1"/>
  <c r="K87" i="1" a="1"/>
  <c r="K87" i="1" s="1"/>
  <c r="C83" i="1" a="1"/>
  <c r="C83" i="1" s="1"/>
  <c r="E83" i="14" s="1"/>
  <c r="O83" i="1"/>
  <c r="M83" i="14" s="1"/>
  <c r="J79" i="1" a="1"/>
  <c r="J79" i="1" s="1"/>
  <c r="H79" i="1" a="1"/>
  <c r="H79" i="1" s="1"/>
  <c r="J79" i="14" s="1"/>
  <c r="K79" i="1" a="1"/>
  <c r="K79" i="1" s="1"/>
  <c r="F71" i="1" a="1"/>
  <c r="F71" i="1" s="1"/>
  <c r="R71" i="14" s="1"/>
  <c r="Q71" i="1" a="1"/>
  <c r="Q71" i="1" s="1"/>
  <c r="S71" i="14" s="1"/>
  <c r="C71" i="1" a="1"/>
  <c r="C71" i="1" s="1"/>
  <c r="E71" i="14" s="1"/>
  <c r="C166" i="1" a="1"/>
  <c r="C166" i="1" s="1"/>
  <c r="E166" i="14" s="1"/>
  <c r="F166" i="1" a="1"/>
  <c r="F166" i="1" s="1"/>
  <c r="R166" i="14" s="1"/>
  <c r="D166" i="1" a="1"/>
  <c r="D166" i="1" s="1"/>
  <c r="I166" i="14" s="1"/>
  <c r="H166" i="1" a="1"/>
  <c r="H166" i="1" s="1"/>
  <c r="J166" i="14" s="1"/>
  <c r="D162" i="1" a="1"/>
  <c r="D162" i="1" s="1"/>
  <c r="I162" i="14" s="1"/>
  <c r="H162" i="1" a="1"/>
  <c r="H162" i="1" s="1"/>
  <c r="J162" i="14" s="1"/>
  <c r="C162" i="1" a="1"/>
  <c r="C162" i="1" s="1"/>
  <c r="E162" i="14" s="1"/>
  <c r="F162" i="1" a="1"/>
  <c r="F162" i="1" s="1"/>
  <c r="R162" i="14" s="1"/>
  <c r="C158" i="1" a="1"/>
  <c r="C158" i="1" s="1"/>
  <c r="E158" i="14" s="1"/>
  <c r="F158" i="1" a="1"/>
  <c r="F158" i="1" s="1"/>
  <c r="R158" i="14" s="1"/>
  <c r="D158" i="1" a="1"/>
  <c r="D158" i="1" s="1"/>
  <c r="I158" i="14" s="1"/>
  <c r="H158" i="1" a="1"/>
  <c r="H158" i="1" s="1"/>
  <c r="J158" i="14" s="1"/>
  <c r="J154" i="1" a="1"/>
  <c r="J154" i="1" s="1"/>
  <c r="F150" i="1" a="1"/>
  <c r="F150" i="1" s="1"/>
  <c r="R150" i="14" s="1"/>
  <c r="D150" i="1" a="1"/>
  <c r="D150" i="1" s="1"/>
  <c r="I150" i="14" s="1"/>
  <c r="Q150" i="1" a="1"/>
  <c r="Q150" i="1" s="1"/>
  <c r="S150" i="14" s="1"/>
  <c r="H150" i="1" a="1"/>
  <c r="H150" i="1" s="1"/>
  <c r="J150" i="14" s="1"/>
  <c r="D146" i="1" a="1"/>
  <c r="D146" i="1" s="1"/>
  <c r="I146" i="14" s="1"/>
  <c r="H146" i="1" a="1"/>
  <c r="H146" i="1" s="1"/>
  <c r="J146" i="14" s="1"/>
  <c r="C146" i="1" a="1"/>
  <c r="C146" i="1" s="1"/>
  <c r="E146" i="14" s="1"/>
  <c r="P146" i="1" a="1"/>
  <c r="P146" i="1" s="1"/>
  <c r="C142" i="1" a="1"/>
  <c r="C142" i="1" s="1"/>
  <c r="E142" i="14" s="1"/>
  <c r="F142" i="1" a="1"/>
  <c r="F142" i="1" s="1"/>
  <c r="R142" i="14" s="1"/>
  <c r="G142" i="1" a="1"/>
  <c r="G142" i="1" s="1"/>
  <c r="D142" i="1" a="1"/>
  <c r="D142" i="1" s="1"/>
  <c r="I142" i="14" s="1"/>
  <c r="C138" i="1" a="1"/>
  <c r="C138" i="1" s="1"/>
  <c r="E138" i="14" s="1"/>
  <c r="D138" i="1" a="1"/>
  <c r="D138" i="1" s="1"/>
  <c r="I138" i="14" s="1"/>
  <c r="D134" i="1" a="1"/>
  <c r="D134" i="1" s="1"/>
  <c r="I134" i="14" s="1"/>
  <c r="O134" i="1"/>
  <c r="M134" i="14" s="1"/>
  <c r="G130" i="1" a="1"/>
  <c r="G130" i="1" s="1"/>
  <c r="H130" i="1" a="1"/>
  <c r="H130" i="1" s="1"/>
  <c r="J130" i="14" s="1"/>
  <c r="D126" i="1" a="1"/>
  <c r="D126" i="1" s="1"/>
  <c r="I126" i="14" s="1"/>
  <c r="O126" i="1"/>
  <c r="M126" i="14" s="1"/>
  <c r="C126" i="1" a="1"/>
  <c r="C126" i="1" s="1"/>
  <c r="E126" i="14" s="1"/>
  <c r="L122" i="1" a="1"/>
  <c r="L122" i="1" s="1"/>
  <c r="M122" i="1" a="1"/>
  <c r="M122" i="1" s="1"/>
  <c r="C118" i="1" a="1"/>
  <c r="C118" i="1" s="1"/>
  <c r="E118" i="14" s="1"/>
  <c r="M118" i="1" a="1"/>
  <c r="M118" i="1" s="1"/>
  <c r="P114" i="1" a="1"/>
  <c r="P114" i="1" s="1"/>
  <c r="Q114" i="1" a="1"/>
  <c r="Q114" i="1" s="1"/>
  <c r="S114" i="14" s="1"/>
  <c r="D114" i="1" a="1"/>
  <c r="D114" i="1" s="1"/>
  <c r="I114" i="14" s="1"/>
  <c r="C110" i="1" a="1"/>
  <c r="C110" i="1" s="1"/>
  <c r="E110" i="14" s="1"/>
  <c r="M110" i="1" a="1"/>
  <c r="M110" i="1" s="1"/>
  <c r="K110" i="1" a="1"/>
  <c r="K110" i="1" s="1"/>
  <c r="L110" i="14" s="1"/>
  <c r="C106" i="1" a="1"/>
  <c r="C106" i="1" s="1"/>
  <c r="E106" i="14" s="1"/>
  <c r="G106" i="1" a="1"/>
  <c r="G106" i="1" s="1"/>
  <c r="H106" i="1" a="1"/>
  <c r="H106" i="1" s="1"/>
  <c r="J106" i="14" s="1"/>
  <c r="P102" i="1" a="1"/>
  <c r="P102" i="1" s="1"/>
  <c r="Q102" i="1" a="1"/>
  <c r="Q102" i="1" s="1"/>
  <c r="S102" i="14" s="1"/>
  <c r="G98" i="1" a="1"/>
  <c r="G98" i="1" s="1"/>
  <c r="J98" i="1" a="1"/>
  <c r="J98" i="1" s="1"/>
  <c r="K98" i="1" a="1"/>
  <c r="K98" i="1" s="1"/>
  <c r="D98" i="1" a="1"/>
  <c r="D98" i="1" s="1"/>
  <c r="I98" i="14" s="1"/>
  <c r="C94" i="1" a="1"/>
  <c r="C94" i="1" s="1"/>
  <c r="E94" i="14" s="1"/>
  <c r="D94" i="1" a="1"/>
  <c r="D94" i="1" s="1"/>
  <c r="I94" i="14" s="1"/>
  <c r="O94" i="1"/>
  <c r="M94" i="14" s="1"/>
  <c r="C90" i="1" a="1"/>
  <c r="C90" i="1" s="1"/>
  <c r="E90" i="14" s="1"/>
  <c r="H90" i="1" a="1"/>
  <c r="H90" i="1" s="1"/>
  <c r="J90" i="14" s="1"/>
  <c r="M90" i="1" a="1"/>
  <c r="M90" i="1" s="1"/>
  <c r="D90" i="1" a="1"/>
  <c r="D90" i="1" s="1"/>
  <c r="I90" i="14" s="1"/>
  <c r="C86" i="1" a="1"/>
  <c r="C86" i="1" s="1"/>
  <c r="E86" i="14" s="1"/>
  <c r="L86" i="1" a="1"/>
  <c r="L86" i="1" s="1"/>
  <c r="P86" i="1" a="1"/>
  <c r="P86" i="1" s="1"/>
  <c r="G82" i="1" a="1"/>
  <c r="G82" i="1" s="1"/>
  <c r="D82" i="1" a="1"/>
  <c r="D82" i="1" s="1"/>
  <c r="I82" i="14" s="1"/>
  <c r="K82" i="1" a="1"/>
  <c r="K82" i="1" s="1"/>
  <c r="C78" i="1" a="1"/>
  <c r="C78" i="1" s="1"/>
  <c r="E78" i="14" s="1"/>
  <c r="L78" i="1" a="1"/>
  <c r="L78" i="1" s="1"/>
  <c r="P74" i="1" a="1"/>
  <c r="P74" i="1" s="1"/>
  <c r="M74" i="1" a="1"/>
  <c r="M74" i="1" s="1"/>
  <c r="Q74" i="1" a="1"/>
  <c r="Q74" i="1" s="1"/>
  <c r="S74" i="14" s="1"/>
  <c r="D70" i="1" a="1"/>
  <c r="D70" i="1" s="1"/>
  <c r="I70" i="14" s="1"/>
  <c r="C70" i="1" a="1"/>
  <c r="C70" i="1" s="1"/>
  <c r="E70" i="14" s="1"/>
  <c r="L70" i="1" a="1"/>
  <c r="L70" i="1" s="1"/>
  <c r="D165" i="1" a="1"/>
  <c r="D165" i="1" s="1"/>
  <c r="I165" i="14" s="1"/>
  <c r="G145" i="1" a="1"/>
  <c r="G145" i="1" s="1"/>
  <c r="P121" i="1" a="1"/>
  <c r="P121" i="1" s="1"/>
  <c r="Q121" i="1" a="1"/>
  <c r="Q121" i="1" s="1"/>
  <c r="S121" i="14" s="1"/>
  <c r="M121" i="1" a="1"/>
  <c r="M121" i="1" s="1"/>
  <c r="P85" i="1" a="1"/>
  <c r="P85" i="1" s="1"/>
  <c r="Q85" i="1" a="1"/>
  <c r="Q85" i="1" s="1"/>
  <c r="S85" i="14" s="1"/>
  <c r="H85" i="1" a="1"/>
  <c r="H85" i="1" s="1"/>
  <c r="J85" i="14" s="1"/>
  <c r="J157" i="1" a="1"/>
  <c r="J157" i="1" s="1"/>
  <c r="Q157" i="1" a="1"/>
  <c r="Q157" i="1" s="1"/>
  <c r="S157" i="14" s="1"/>
  <c r="G157" i="1" a="1"/>
  <c r="G157" i="1" s="1"/>
  <c r="D157" i="1" a="1"/>
  <c r="D157" i="1" s="1"/>
  <c r="I157" i="14" s="1"/>
  <c r="F141" i="1" a="1"/>
  <c r="F141" i="1" s="1"/>
  <c r="R141" i="14" s="1"/>
  <c r="M141" i="1" a="1"/>
  <c r="M141" i="1" s="1"/>
  <c r="O141" i="1"/>
  <c r="M141" i="14" s="1"/>
  <c r="L141" i="1" a="1"/>
  <c r="L141" i="1" s="1"/>
  <c r="F129" i="1" a="1"/>
  <c r="F129" i="1" s="1"/>
  <c r="R129" i="14" s="1"/>
  <c r="G129" i="1" a="1"/>
  <c r="G129" i="1" s="1"/>
  <c r="H109" i="1" a="1"/>
  <c r="H109" i="1" s="1"/>
  <c r="J109" i="14" s="1"/>
  <c r="F109" i="1" a="1"/>
  <c r="F109" i="1" s="1"/>
  <c r="R109" i="14" s="1"/>
  <c r="G109" i="1" a="1"/>
  <c r="G109" i="1" s="1"/>
  <c r="D109" i="1" a="1"/>
  <c r="D109" i="1" s="1"/>
  <c r="I109" i="14" s="1"/>
  <c r="H81" i="1" a="1"/>
  <c r="H81" i="1" s="1"/>
  <c r="J81" i="14" s="1"/>
  <c r="J168" i="1" a="1"/>
  <c r="J168" i="1" s="1"/>
  <c r="G168" i="1" a="1"/>
  <c r="G168" i="1" s="1"/>
  <c r="K168" i="1" a="1"/>
  <c r="K168" i="1" s="1"/>
  <c r="J156" i="1" a="1"/>
  <c r="J156" i="1" s="1"/>
  <c r="J140" i="1" a="1"/>
  <c r="J140" i="1" s="1"/>
  <c r="H140" i="1" a="1"/>
  <c r="H140" i="1" s="1"/>
  <c r="J140" i="14" s="1"/>
  <c r="C140" i="1" a="1"/>
  <c r="C140" i="1" s="1"/>
  <c r="E140" i="14" s="1"/>
  <c r="G140" i="1" a="1"/>
  <c r="G140" i="1" s="1"/>
  <c r="C124" i="1" a="1"/>
  <c r="C124" i="1" s="1"/>
  <c r="E124" i="14" s="1"/>
  <c r="D124" i="1" a="1"/>
  <c r="D124" i="1" s="1"/>
  <c r="I124" i="14" s="1"/>
  <c r="G104" i="1" a="1"/>
  <c r="G104" i="1" s="1"/>
  <c r="P104" i="1" a="1"/>
  <c r="P104" i="1" s="1"/>
  <c r="F76" i="1" a="1"/>
  <c r="F76" i="1" s="1"/>
  <c r="R76" i="14" s="1"/>
  <c r="K76" i="1" a="1"/>
  <c r="K76" i="1" s="1"/>
  <c r="H76" i="1" a="1"/>
  <c r="H76" i="1" s="1"/>
  <c r="J76" i="14" s="1"/>
  <c r="F161" i="1" a="1"/>
  <c r="F161" i="1" s="1"/>
  <c r="R161" i="14" s="1"/>
  <c r="G161" i="1" a="1"/>
  <c r="G161" i="1" s="1"/>
  <c r="J149" i="1" a="1"/>
  <c r="J149" i="1" s="1"/>
  <c r="H149" i="1" a="1"/>
  <c r="H149" i="1" s="1"/>
  <c r="J149" i="14" s="1"/>
  <c r="C149" i="1" a="1"/>
  <c r="C149" i="1" s="1"/>
  <c r="E149" i="14" s="1"/>
  <c r="L149" i="1" a="1"/>
  <c r="L149" i="1" s="1"/>
  <c r="F133" i="1" a="1"/>
  <c r="F133" i="1" s="1"/>
  <c r="R133" i="14" s="1"/>
  <c r="D133" i="1" a="1"/>
  <c r="D133" i="1" s="1"/>
  <c r="I133" i="14" s="1"/>
  <c r="H133" i="1" a="1"/>
  <c r="H133" i="1" s="1"/>
  <c r="J133" i="14" s="1"/>
  <c r="G133" i="1" a="1"/>
  <c r="G133" i="1" s="1"/>
  <c r="H117" i="1" a="1"/>
  <c r="H117" i="1" s="1"/>
  <c r="J117" i="14" s="1"/>
  <c r="F117" i="1" a="1"/>
  <c r="F117" i="1" s="1"/>
  <c r="R117" i="14" s="1"/>
  <c r="G117" i="1" a="1"/>
  <c r="G117" i="1" s="1"/>
  <c r="D117" i="1" a="1"/>
  <c r="D117" i="1" s="1"/>
  <c r="I117" i="14" s="1"/>
  <c r="K105" i="1" a="1"/>
  <c r="K105" i="1" s="1"/>
  <c r="Q105" i="1" a="1"/>
  <c r="Q105" i="1" s="1"/>
  <c r="S105" i="14" s="1"/>
  <c r="F105" i="1" a="1"/>
  <c r="F105" i="1" s="1"/>
  <c r="R105" i="14" s="1"/>
  <c r="G97" i="1" a="1"/>
  <c r="G97" i="1" s="1"/>
  <c r="H97" i="1" a="1"/>
  <c r="H97" i="1" s="1"/>
  <c r="J97" i="14" s="1"/>
  <c r="C97" i="1" a="1"/>
  <c r="C97" i="1" s="1"/>
  <c r="E97" i="14" s="1"/>
  <c r="G89" i="1" a="1"/>
  <c r="G89" i="1" s="1"/>
  <c r="C89" i="1" a="1"/>
  <c r="C89" i="1" s="1"/>
  <c r="E89" i="14" s="1"/>
  <c r="G73" i="1" a="1"/>
  <c r="G73" i="1" s="1"/>
  <c r="F73" i="1" a="1"/>
  <c r="F73" i="1" s="1"/>
  <c r="R73" i="14" s="1"/>
  <c r="M73" i="1" a="1"/>
  <c r="M73" i="1" s="1"/>
  <c r="H164" i="1" a="1"/>
  <c r="H164" i="1" s="1"/>
  <c r="J164" i="14" s="1"/>
  <c r="C164" i="1" a="1"/>
  <c r="C164" i="1" s="1"/>
  <c r="E164" i="14" s="1"/>
  <c r="F164" i="1" a="1"/>
  <c r="F164" i="1" s="1"/>
  <c r="R164" i="14" s="1"/>
  <c r="D164" i="1" a="1"/>
  <c r="D164" i="1" s="1"/>
  <c r="I164" i="14" s="1"/>
  <c r="G152" i="1" a="1"/>
  <c r="G152" i="1" s="1"/>
  <c r="J144" i="1" a="1"/>
  <c r="J144" i="1" s="1"/>
  <c r="G144" i="1" a="1"/>
  <c r="G144" i="1" s="1"/>
  <c r="M144" i="1" a="1"/>
  <c r="M144" i="1" s="1"/>
  <c r="G132" i="1" a="1"/>
  <c r="G132" i="1" s="1"/>
  <c r="L132" i="1" a="1"/>
  <c r="L132" i="1" s="1"/>
  <c r="C120" i="1" a="1"/>
  <c r="C120" i="1" s="1"/>
  <c r="E120" i="14" s="1"/>
  <c r="G112" i="1" a="1"/>
  <c r="G112" i="1" s="1"/>
  <c r="L112" i="1" a="1"/>
  <c r="L112" i="1" s="1"/>
  <c r="J112" i="1" a="1"/>
  <c r="J112" i="1" s="1"/>
  <c r="O100" i="1"/>
  <c r="M100" i="14" s="1"/>
  <c r="M100" i="1" a="1"/>
  <c r="M100" i="1" s="1"/>
  <c r="P100" i="1" a="1"/>
  <c r="P100" i="1" s="1"/>
  <c r="K100" i="1" a="1"/>
  <c r="K100" i="1" s="1"/>
  <c r="G96" i="1" a="1"/>
  <c r="G96" i="1" s="1"/>
  <c r="H96" i="1" a="1"/>
  <c r="H96" i="1" s="1"/>
  <c r="J96" i="14" s="1"/>
  <c r="H88" i="1" a="1"/>
  <c r="H88" i="1" s="1"/>
  <c r="J88" i="14" s="1"/>
  <c r="G88" i="1" a="1"/>
  <c r="G88" i="1" s="1"/>
  <c r="F80" i="1" a="1"/>
  <c r="F80" i="1" s="1"/>
  <c r="R80" i="14" s="1"/>
  <c r="D80" i="1" a="1"/>
  <c r="D80" i="1" s="1"/>
  <c r="I80" i="14" s="1"/>
  <c r="C80" i="1" a="1"/>
  <c r="C80" i="1" s="1"/>
  <c r="E80" i="14" s="1"/>
  <c r="G68" i="1" a="1"/>
  <c r="G68" i="1" s="1"/>
  <c r="K68" i="1" a="1"/>
  <c r="K68" i="1" s="1"/>
  <c r="L163" i="1" a="1"/>
  <c r="L163" i="1" s="1"/>
  <c r="M163" i="1" a="1"/>
  <c r="M163" i="1" s="1"/>
  <c r="O163" i="1"/>
  <c r="M163" i="14" s="1"/>
  <c r="G155" i="1" a="1"/>
  <c r="G155" i="1" s="1"/>
  <c r="H155" i="1" a="1"/>
  <c r="H155" i="1" s="1"/>
  <c r="J155" i="14" s="1"/>
  <c r="G147" i="1" a="1"/>
  <c r="G147" i="1" s="1"/>
  <c r="H147" i="1" a="1"/>
  <c r="H147" i="1" s="1"/>
  <c r="J147" i="14" s="1"/>
  <c r="J139" i="1" a="1"/>
  <c r="J139" i="1" s="1"/>
  <c r="D139" i="1" a="1"/>
  <c r="D139" i="1" s="1"/>
  <c r="I139" i="14" s="1"/>
  <c r="F139" i="1" a="1"/>
  <c r="F139" i="1" s="1"/>
  <c r="R139" i="14" s="1"/>
  <c r="J131" i="1" a="1"/>
  <c r="J131" i="1" s="1"/>
  <c r="C131" i="1" a="1"/>
  <c r="C131" i="1" s="1"/>
  <c r="E131" i="14" s="1"/>
  <c r="H119" i="1" a="1"/>
  <c r="H119" i="1" s="1"/>
  <c r="J119" i="14" s="1"/>
  <c r="F119" i="1" a="1"/>
  <c r="F119" i="1" s="1"/>
  <c r="R119" i="14" s="1"/>
  <c r="M119" i="1" a="1"/>
  <c r="M119" i="1" s="1"/>
  <c r="O119" i="1"/>
  <c r="M119" i="14" s="1"/>
  <c r="G111" i="1" a="1"/>
  <c r="G111" i="1" s="1"/>
  <c r="O103" i="1"/>
  <c r="M103" i="14" s="1"/>
  <c r="G103" i="1" a="1"/>
  <c r="G103" i="1" s="1"/>
  <c r="P103" i="1" a="1"/>
  <c r="P103" i="1" s="1"/>
  <c r="G91" i="1" a="1"/>
  <c r="G91" i="1" s="1"/>
  <c r="K91" i="1" a="1"/>
  <c r="K91" i="1" s="1"/>
  <c r="M91" i="1" a="1"/>
  <c r="M91" i="1" s="1"/>
  <c r="G75" i="1" a="1"/>
  <c r="G75" i="1" s="1"/>
  <c r="J75" i="1" a="1"/>
  <c r="J75" i="1" s="1"/>
  <c r="Q75" i="1" a="1"/>
  <c r="Q75" i="1" s="1"/>
  <c r="S75" i="14" s="1"/>
  <c r="F75" i="1" a="1"/>
  <c r="F75" i="1" s="1"/>
  <c r="R75" i="14" s="1"/>
  <c r="F169" i="1" a="1"/>
  <c r="F169" i="1" s="1"/>
  <c r="R169" i="14" s="1"/>
  <c r="G169" i="1" a="1"/>
  <c r="G169" i="1" s="1"/>
  <c r="L153" i="1" a="1"/>
  <c r="L153" i="1" s="1"/>
  <c r="M153" i="1" a="1"/>
  <c r="M153" i="1" s="1"/>
  <c r="F153" i="1" a="1"/>
  <c r="F153" i="1" s="1"/>
  <c r="R153" i="14" s="1"/>
  <c r="H137" i="1" a="1"/>
  <c r="H137" i="1" s="1"/>
  <c r="J137" i="14" s="1"/>
  <c r="G137" i="1" a="1"/>
  <c r="G137" i="1" s="1"/>
  <c r="D137" i="1" a="1"/>
  <c r="D137" i="1" s="1"/>
  <c r="I137" i="14" s="1"/>
  <c r="L125" i="1" a="1"/>
  <c r="L125" i="1" s="1"/>
  <c r="D125" i="1" a="1"/>
  <c r="D125" i="1" s="1"/>
  <c r="I125" i="14" s="1"/>
  <c r="L113" i="1" a="1"/>
  <c r="L113" i="1" s="1"/>
  <c r="J113" i="1" a="1"/>
  <c r="J113" i="1" s="1"/>
  <c r="H101" i="1" a="1"/>
  <c r="H101" i="1" s="1"/>
  <c r="J101" i="14" s="1"/>
  <c r="J101" i="1" a="1"/>
  <c r="J101" i="1" s="1"/>
  <c r="Q101" i="1" a="1"/>
  <c r="Q101" i="1" s="1"/>
  <c r="S101" i="14" s="1"/>
  <c r="L101" i="1" a="1"/>
  <c r="L101" i="1" s="1"/>
  <c r="G93" i="1" a="1"/>
  <c r="G93" i="1" s="1"/>
  <c r="F93" i="1" a="1"/>
  <c r="F93" i="1" s="1"/>
  <c r="R93" i="14" s="1"/>
  <c r="D93" i="1" a="1"/>
  <c r="D93" i="1" s="1"/>
  <c r="I93" i="14" s="1"/>
  <c r="G77" i="1" a="1"/>
  <c r="G77" i="1" s="1"/>
  <c r="Q77" i="1" a="1"/>
  <c r="Q77" i="1" s="1"/>
  <c r="S77" i="14" s="1"/>
  <c r="H77" i="1" a="1"/>
  <c r="H77" i="1" s="1"/>
  <c r="J77" i="14" s="1"/>
  <c r="G69" i="1" a="1"/>
  <c r="G69" i="1" s="1"/>
  <c r="F69" i="1" a="1"/>
  <c r="F69" i="1" s="1"/>
  <c r="R69" i="14" s="1"/>
  <c r="L69" i="1" a="1"/>
  <c r="L69" i="1" s="1"/>
  <c r="C69" i="1" a="1"/>
  <c r="C69" i="1" s="1"/>
  <c r="E69" i="14" s="1"/>
  <c r="J160" i="1" a="1"/>
  <c r="J160" i="1" s="1"/>
  <c r="G160" i="1" a="1"/>
  <c r="G160" i="1" s="1"/>
  <c r="J148" i="1" a="1"/>
  <c r="J148" i="1" s="1"/>
  <c r="O136" i="1"/>
  <c r="M136" i="14" s="1"/>
  <c r="J136" i="1" a="1"/>
  <c r="J136" i="1" s="1"/>
  <c r="G136" i="1" a="1"/>
  <c r="G136" i="1" s="1"/>
  <c r="G128" i="1" a="1"/>
  <c r="G128" i="1" s="1"/>
  <c r="L128" i="1" a="1"/>
  <c r="L128" i="1" s="1"/>
  <c r="C128" i="1" a="1"/>
  <c r="C128" i="1" s="1"/>
  <c r="E128" i="14" s="1"/>
  <c r="G116" i="1" a="1"/>
  <c r="G116" i="1" s="1"/>
  <c r="L116" i="1" a="1"/>
  <c r="L116" i="1" s="1"/>
  <c r="J116" i="1" a="1"/>
  <c r="J116" i="1" s="1"/>
  <c r="O108" i="1"/>
  <c r="M108" i="14" s="1"/>
  <c r="F108" i="1" a="1"/>
  <c r="F108" i="1" s="1"/>
  <c r="R108" i="14" s="1"/>
  <c r="D108" i="1" a="1"/>
  <c r="D108" i="1" s="1"/>
  <c r="I108" i="14" s="1"/>
  <c r="J92" i="1" a="1"/>
  <c r="J92" i="1" s="1"/>
  <c r="K92" i="1" a="1"/>
  <c r="K92" i="1" s="1"/>
  <c r="H92" i="1" a="1"/>
  <c r="H92" i="1" s="1"/>
  <c r="J92" i="14" s="1"/>
  <c r="M84" i="1" a="1"/>
  <c r="M84" i="1" s="1"/>
  <c r="O84" i="1"/>
  <c r="M84" i="14" s="1"/>
  <c r="G84" i="1" a="1"/>
  <c r="G84" i="1" s="1"/>
  <c r="P72" i="1" a="1"/>
  <c r="P72" i="1" s="1"/>
  <c r="J72" i="1" a="1"/>
  <c r="J72" i="1" s="1"/>
  <c r="Q72" i="1" a="1"/>
  <c r="Q72" i="1" s="1"/>
  <c r="S72" i="14" s="1"/>
  <c r="D72" i="1" a="1"/>
  <c r="D72" i="1" s="1"/>
  <c r="I72" i="14" s="1"/>
  <c r="J167" i="1" a="1"/>
  <c r="J167" i="1" s="1"/>
  <c r="H167" i="1" a="1"/>
  <c r="H167" i="1" s="1"/>
  <c r="J167" i="14" s="1"/>
  <c r="C167" i="1" a="1"/>
  <c r="C167" i="1" s="1"/>
  <c r="E167" i="14" s="1"/>
  <c r="J159" i="1" a="1"/>
  <c r="J159" i="1" s="1"/>
  <c r="H159" i="1" a="1"/>
  <c r="H159" i="1" s="1"/>
  <c r="J159" i="14" s="1"/>
  <c r="C159" i="1" a="1"/>
  <c r="C159" i="1" s="1"/>
  <c r="E159" i="14" s="1"/>
  <c r="F151" i="1" a="1"/>
  <c r="F151" i="1" s="1"/>
  <c r="R151" i="14" s="1"/>
  <c r="M151" i="1" a="1"/>
  <c r="M151" i="1" s="1"/>
  <c r="J143" i="1" a="1"/>
  <c r="J143" i="1" s="1"/>
  <c r="H143" i="1" a="1"/>
  <c r="H143" i="1" s="1"/>
  <c r="J143" i="14" s="1"/>
  <c r="C143" i="1" a="1"/>
  <c r="C143" i="1" s="1"/>
  <c r="E143" i="14" s="1"/>
  <c r="L143" i="1" a="1"/>
  <c r="L143" i="1" s="1"/>
  <c r="G135" i="1" a="1"/>
  <c r="G135" i="1" s="1"/>
  <c r="G127" i="1" a="1"/>
  <c r="G127" i="1" s="1"/>
  <c r="F123" i="1" a="1"/>
  <c r="F123" i="1" s="1"/>
  <c r="R123" i="14" s="1"/>
  <c r="M123" i="1" a="1"/>
  <c r="M123" i="1" s="1"/>
  <c r="O123" i="1"/>
  <c r="M123" i="14" s="1"/>
  <c r="G115" i="1" a="1"/>
  <c r="G115" i="1" s="1"/>
  <c r="G107" i="1" a="1"/>
  <c r="G107" i="1" s="1"/>
  <c r="H99" i="1" a="1"/>
  <c r="H99" i="1" s="1"/>
  <c r="J99" i="14" s="1"/>
  <c r="C99" i="1" a="1"/>
  <c r="C99" i="1" s="1"/>
  <c r="E99" i="14" s="1"/>
  <c r="D99" i="1" a="1"/>
  <c r="D99" i="1" s="1"/>
  <c r="I99" i="14" s="1"/>
  <c r="G95" i="1" a="1"/>
  <c r="G95" i="1" s="1"/>
  <c r="K95" i="1" a="1"/>
  <c r="K95" i="1" s="1"/>
  <c r="Q95" i="1" a="1"/>
  <c r="Q95" i="1" s="1"/>
  <c r="S95" i="14" s="1"/>
  <c r="M95" i="1" a="1"/>
  <c r="M95" i="1" s="1"/>
  <c r="L87" i="1" a="1"/>
  <c r="L87" i="1" s="1"/>
  <c r="P87" i="1" a="1"/>
  <c r="P87" i="1" s="1"/>
  <c r="C87" i="1" a="1"/>
  <c r="C87" i="1" s="1"/>
  <c r="E87" i="14" s="1"/>
  <c r="F83" i="1" a="1"/>
  <c r="F83" i="1" s="1"/>
  <c r="R83" i="14" s="1"/>
  <c r="J83" i="1" a="1"/>
  <c r="J83" i="1" s="1"/>
  <c r="G83" i="1" a="1"/>
  <c r="G83" i="1" s="1"/>
  <c r="L79" i="1" a="1"/>
  <c r="L79" i="1" s="1"/>
  <c r="P79" i="1" a="1"/>
  <c r="P79" i="1" s="1"/>
  <c r="C79" i="1" a="1"/>
  <c r="C79" i="1" s="1"/>
  <c r="E79" i="14" s="1"/>
  <c r="F79" i="1" a="1"/>
  <c r="F79" i="1" s="1"/>
  <c r="R79" i="14" s="1"/>
  <c r="J71" i="1" a="1"/>
  <c r="J71" i="1" s="1"/>
  <c r="L71" i="1" a="1"/>
  <c r="L71" i="1" s="1"/>
  <c r="O71" i="1"/>
  <c r="M71" i="14" s="1"/>
  <c r="J166" i="1" a="1"/>
  <c r="J166" i="1" s="1"/>
  <c r="G166" i="1" a="1"/>
  <c r="G166" i="1" s="1"/>
  <c r="G162" i="1" a="1"/>
  <c r="G162" i="1" s="1"/>
  <c r="J162" i="1" a="1"/>
  <c r="J162" i="1" s="1"/>
  <c r="J158" i="1" a="1"/>
  <c r="J158" i="1" s="1"/>
  <c r="G158" i="1" a="1"/>
  <c r="G158" i="1" s="1"/>
  <c r="H154" i="1" a="1"/>
  <c r="H154" i="1" s="1"/>
  <c r="J154" i="14" s="1"/>
  <c r="C154" i="1" a="1"/>
  <c r="C154" i="1" s="1"/>
  <c r="E154" i="14" s="1"/>
  <c r="F154" i="1" a="1"/>
  <c r="F154" i="1" s="1"/>
  <c r="R154" i="14" s="1"/>
  <c r="O154" i="1"/>
  <c r="M154" i="14" s="1"/>
  <c r="J150" i="1" a="1"/>
  <c r="J150" i="1" s="1"/>
  <c r="G150" i="1" a="1"/>
  <c r="G150" i="1" s="1"/>
  <c r="M150" i="1" a="1"/>
  <c r="M150" i="1" s="1"/>
  <c r="G146" i="1" a="1"/>
  <c r="G146" i="1" s="1"/>
  <c r="K146" i="1" a="1"/>
  <c r="K146" i="1" s="1"/>
  <c r="L146" i="14" s="1"/>
  <c r="J142" i="1" a="1"/>
  <c r="J142" i="1" s="1"/>
  <c r="F138" i="1" a="1"/>
  <c r="F138" i="1" s="1"/>
  <c r="R138" i="14" s="1"/>
  <c r="G138" i="1" a="1"/>
  <c r="G138" i="1" s="1"/>
  <c r="H138" i="1" a="1"/>
  <c r="H138" i="1" s="1"/>
  <c r="J138" i="14" s="1"/>
  <c r="O138" i="1"/>
  <c r="M138" i="14" s="1"/>
  <c r="G134" i="1" a="1"/>
  <c r="G134" i="1" s="1"/>
  <c r="F134" i="1" a="1"/>
  <c r="F134" i="1" s="1"/>
  <c r="R134" i="14" s="1"/>
  <c r="C130" i="1" a="1"/>
  <c r="C130" i="1" s="1"/>
  <c r="E130" i="14" s="1"/>
  <c r="O130" i="1"/>
  <c r="M130" i="14" s="1"/>
  <c r="L130" i="1" a="1"/>
  <c r="L130" i="1" s="1"/>
  <c r="J130" i="1" a="1"/>
  <c r="J130" i="1" s="1"/>
  <c r="G126" i="1" a="1"/>
  <c r="G126" i="1" s="1"/>
  <c r="C122" i="1" a="1"/>
  <c r="C122" i="1" s="1"/>
  <c r="E122" i="14" s="1"/>
  <c r="H122" i="1" a="1"/>
  <c r="H122" i="1" s="1"/>
  <c r="J122" i="14" s="1"/>
  <c r="F118" i="1" a="1"/>
  <c r="F118" i="1" s="1"/>
  <c r="R118" i="14" s="1"/>
  <c r="O118" i="1"/>
  <c r="M118" i="14" s="1"/>
  <c r="L118" i="1" a="1"/>
  <c r="L118" i="1" s="1"/>
  <c r="C114" i="1" a="1"/>
  <c r="C114" i="1" s="1"/>
  <c r="E114" i="14" s="1"/>
  <c r="G114" i="1" a="1"/>
  <c r="G114" i="1" s="1"/>
  <c r="H114" i="1" a="1"/>
  <c r="H114" i="1" s="1"/>
  <c r="J114" i="14" s="1"/>
  <c r="F110" i="1" a="1"/>
  <c r="F110" i="1" s="1"/>
  <c r="R110" i="14" s="1"/>
  <c r="Q110" i="1" a="1"/>
  <c r="Q110" i="1" s="1"/>
  <c r="S110" i="14" s="1"/>
  <c r="O110" i="1"/>
  <c r="M110" i="14" s="1"/>
  <c r="F106" i="1" a="1"/>
  <c r="F106" i="1" s="1"/>
  <c r="R106" i="14" s="1"/>
  <c r="M106" i="1" a="1"/>
  <c r="M106" i="1" s="1"/>
  <c r="K106" i="1" a="1"/>
  <c r="K106" i="1" s="1"/>
  <c r="C102" i="1" a="1"/>
  <c r="C102" i="1" s="1"/>
  <c r="E102" i="14" s="1"/>
  <c r="H102" i="1" a="1"/>
  <c r="H102" i="1" s="1"/>
  <c r="J102" i="14" s="1"/>
  <c r="D102" i="1" a="1"/>
  <c r="D102" i="1" s="1"/>
  <c r="I102" i="14" s="1"/>
  <c r="M98" i="1" a="1"/>
  <c r="M98" i="1" s="1"/>
  <c r="O98" i="1"/>
  <c r="M98" i="14" s="1"/>
  <c r="P98" i="1" a="1"/>
  <c r="P98" i="1" s="1"/>
  <c r="H98" i="1" a="1"/>
  <c r="H98" i="1" s="1"/>
  <c r="J98" i="14" s="1"/>
  <c r="F94" i="1" a="1"/>
  <c r="F94" i="1" s="1"/>
  <c r="R94" i="14" s="1"/>
  <c r="G94" i="1" a="1"/>
  <c r="G94" i="1" s="1"/>
  <c r="F90" i="1" a="1"/>
  <c r="F90" i="1" s="1"/>
  <c r="R90" i="14" s="1"/>
  <c r="L90" i="1" a="1"/>
  <c r="L90" i="1" s="1"/>
  <c r="P90" i="1" a="1"/>
  <c r="P90" i="1" s="1"/>
  <c r="G86" i="1" a="1"/>
  <c r="G86" i="1" s="1"/>
  <c r="K86" i="1" a="1"/>
  <c r="K86" i="1" s="1"/>
  <c r="H86" i="1" a="1"/>
  <c r="H86" i="1" s="1"/>
  <c r="J86" i="14" s="1"/>
  <c r="J82" i="1" a="1"/>
  <c r="J82" i="1" s="1"/>
  <c r="H82" i="1" a="1"/>
  <c r="H82" i="1" s="1"/>
  <c r="J82" i="14" s="1"/>
  <c r="M82" i="1" a="1"/>
  <c r="M82" i="1" s="1"/>
  <c r="G78" i="1" a="1"/>
  <c r="G78" i="1" s="1"/>
  <c r="K78" i="1" a="1"/>
  <c r="K78" i="1" s="1"/>
  <c r="H78" i="1" a="1"/>
  <c r="H78" i="1" s="1"/>
  <c r="J78" i="14" s="1"/>
  <c r="D78" i="1" a="1"/>
  <c r="D78" i="1" s="1"/>
  <c r="I78" i="14" s="1"/>
  <c r="F74" i="1" a="1"/>
  <c r="F74" i="1" s="1"/>
  <c r="R74" i="14" s="1"/>
  <c r="D74" i="1" a="1"/>
  <c r="D74" i="1" s="1"/>
  <c r="I74" i="14" s="1"/>
  <c r="C74" i="1" a="1"/>
  <c r="C74" i="1" s="1"/>
  <c r="E74" i="14" s="1"/>
  <c r="H70" i="1" a="1"/>
  <c r="H70" i="1" s="1"/>
  <c r="J70" i="14" s="1"/>
  <c r="J70" i="1" a="1"/>
  <c r="J70" i="1" s="1"/>
  <c r="G70" i="1" a="1"/>
  <c r="G70" i="1" s="1"/>
  <c r="G165" i="1" a="1"/>
  <c r="G165" i="1" s="1"/>
  <c r="F165" i="1" a="1"/>
  <c r="F165" i="1" s="1"/>
  <c r="R165" i="14" s="1"/>
  <c r="F145" i="1" a="1"/>
  <c r="F145" i="1" s="1"/>
  <c r="R145" i="14" s="1"/>
  <c r="M145" i="1" a="1"/>
  <c r="M145" i="1" s="1"/>
  <c r="F121" i="1" a="1"/>
  <c r="F121" i="1" s="1"/>
  <c r="R121" i="14" s="1"/>
  <c r="C121" i="1" a="1"/>
  <c r="C121" i="1" s="1"/>
  <c r="E121" i="14" s="1"/>
  <c r="D121" i="1" a="1"/>
  <c r="D121" i="1" s="1"/>
  <c r="I121" i="14" s="1"/>
  <c r="O121" i="1"/>
  <c r="M121" i="14" s="1"/>
  <c r="J85" i="1" a="1"/>
  <c r="J85" i="1" s="1"/>
  <c r="F85" i="1" a="1"/>
  <c r="F85" i="1" s="1"/>
  <c r="R85" i="14" s="1"/>
  <c r="M85" i="1" a="1"/>
  <c r="M85" i="1" s="1"/>
  <c r="O2" i="1"/>
  <c r="M2" i="14" s="1"/>
  <c r="AA2" i="4"/>
  <c r="O116" i="1" s="1"/>
  <c r="M116" i="14" s="1"/>
  <c r="K45" i="4"/>
  <c r="K159" i="1" s="1" a="1"/>
  <c r="K159" i="1" s="1"/>
  <c r="K44" i="4"/>
  <c r="K127" i="1" s="1" a="1"/>
  <c r="K127" i="1" s="1"/>
  <c r="K48" i="4"/>
  <c r="K142" i="1" s="1" a="1"/>
  <c r="K142" i="1" s="1"/>
  <c r="L142" i="14" s="1"/>
  <c r="K66" i="4"/>
  <c r="K241" i="1" s="1" a="1"/>
  <c r="K241" i="1" s="1"/>
  <c r="L241" i="14" s="1"/>
  <c r="K78" i="4"/>
  <c r="K84" i="4"/>
  <c r="K77" i="4"/>
  <c r="K82" i="4"/>
  <c r="K81" i="4"/>
  <c r="K87" i="4"/>
  <c r="K90" i="4"/>
  <c r="K96" i="4"/>
  <c r="K102" i="4"/>
  <c r="K108" i="4"/>
  <c r="K114" i="4"/>
  <c r="K80" i="4"/>
  <c r="K86" i="4"/>
  <c r="K85" i="4"/>
  <c r="K119" i="4"/>
  <c r="K125" i="4"/>
  <c r="K131" i="4"/>
  <c r="K137" i="4"/>
  <c r="K143" i="4"/>
  <c r="K149" i="4"/>
  <c r="K155" i="4"/>
  <c r="K161" i="4"/>
  <c r="K167" i="4"/>
  <c r="K173" i="4"/>
  <c r="K179" i="4"/>
  <c r="K185" i="4"/>
  <c r="K191" i="4"/>
  <c r="K197" i="4"/>
  <c r="K203" i="4"/>
  <c r="K209" i="4"/>
  <c r="K215" i="4"/>
  <c r="K221" i="4"/>
  <c r="K227" i="4"/>
  <c r="K233" i="4"/>
  <c r="K239" i="4"/>
  <c r="K245" i="4"/>
  <c r="K251" i="4"/>
  <c r="K79" i="4"/>
  <c r="K91" i="4"/>
  <c r="K93" i="4"/>
  <c r="K100" i="4"/>
  <c r="K101" i="4"/>
  <c r="K109" i="4"/>
  <c r="K111" i="4"/>
  <c r="K104" i="4"/>
  <c r="K115" i="4"/>
  <c r="K117" i="4"/>
  <c r="K120" i="4"/>
  <c r="K121" i="4"/>
  <c r="K123" i="4"/>
  <c r="K126" i="4"/>
  <c r="K127" i="4"/>
  <c r="K129" i="4"/>
  <c r="K132" i="4"/>
  <c r="K133" i="4"/>
  <c r="K135" i="4"/>
  <c r="K138" i="4"/>
  <c r="K139" i="4"/>
  <c r="K141" i="4"/>
  <c r="K144" i="4"/>
  <c r="K145" i="4"/>
  <c r="K147" i="4"/>
  <c r="K150" i="4"/>
  <c r="K151" i="4"/>
  <c r="K153" i="4"/>
  <c r="K156" i="4"/>
  <c r="K157" i="4"/>
  <c r="K159" i="4"/>
  <c r="K162" i="4"/>
  <c r="K163" i="4"/>
  <c r="K165" i="4"/>
  <c r="K168" i="4"/>
  <c r="K169" i="4"/>
  <c r="K171" i="4"/>
  <c r="K174" i="4"/>
  <c r="K175" i="4"/>
  <c r="K177" i="4"/>
  <c r="K180" i="4"/>
  <c r="K181" i="4"/>
  <c r="K183" i="4"/>
  <c r="K186" i="4"/>
  <c r="K187" i="4"/>
  <c r="K189" i="4"/>
  <c r="K192" i="4"/>
  <c r="K193" i="4"/>
  <c r="K195" i="4"/>
  <c r="K198" i="4"/>
  <c r="K199" i="4"/>
  <c r="K201" i="4"/>
  <c r="K204" i="4"/>
  <c r="K205" i="4"/>
  <c r="K207" i="4"/>
  <c r="K210" i="4"/>
  <c r="K211" i="4"/>
  <c r="K213" i="4"/>
  <c r="K216" i="4"/>
  <c r="K217" i="4"/>
  <c r="K219" i="4"/>
  <c r="K222" i="4"/>
  <c r="K223" i="4"/>
  <c r="K225" i="4"/>
  <c r="K228" i="4"/>
  <c r="K229" i="4"/>
  <c r="K231" i="4"/>
  <c r="K234" i="4"/>
  <c r="K235" i="4"/>
  <c r="K237" i="4"/>
  <c r="K240" i="4"/>
  <c r="K241" i="4"/>
  <c r="K243" i="4"/>
  <c r="K246" i="4"/>
  <c r="K247" i="4"/>
  <c r="K249" i="4"/>
  <c r="K252" i="4"/>
  <c r="K88" i="4"/>
  <c r="K94" i="4"/>
  <c r="K95" i="4"/>
  <c r="K103" i="4"/>
  <c r="K105" i="4"/>
  <c r="K112" i="4"/>
  <c r="K113" i="4"/>
  <c r="K116" i="4"/>
  <c r="K118" i="4"/>
  <c r="K122" i="4"/>
  <c r="K124" i="4"/>
  <c r="K128" i="4"/>
  <c r="K130" i="4"/>
  <c r="K134" i="4"/>
  <c r="K136" i="4"/>
  <c r="K140" i="4"/>
  <c r="K142" i="4"/>
  <c r="K146" i="4"/>
  <c r="K148" i="4"/>
  <c r="K152" i="4"/>
  <c r="K154" i="4"/>
  <c r="K158" i="4"/>
  <c r="K160" i="4"/>
  <c r="K164" i="4"/>
  <c r="K166" i="4"/>
  <c r="K170" i="4"/>
  <c r="K172" i="4"/>
  <c r="K176" i="4"/>
  <c r="K178" i="4"/>
  <c r="K182" i="4"/>
  <c r="K184" i="4"/>
  <c r="K188" i="4"/>
  <c r="K190" i="4"/>
  <c r="K194" i="4"/>
  <c r="K196" i="4"/>
  <c r="K200" i="4"/>
  <c r="K202" i="4"/>
  <c r="K206" i="4"/>
  <c r="K208" i="4"/>
  <c r="K212" i="4"/>
  <c r="K214" i="4"/>
  <c r="K218" i="4"/>
  <c r="K220" i="4"/>
  <c r="K224" i="4"/>
  <c r="K226" i="4"/>
  <c r="K230" i="4"/>
  <c r="K232" i="4"/>
  <c r="K236" i="4"/>
  <c r="K238" i="4"/>
  <c r="K242" i="4"/>
  <c r="K244" i="4"/>
  <c r="K248" i="4"/>
  <c r="K250" i="4"/>
  <c r="K83" i="4"/>
  <c r="K92" i="4"/>
  <c r="K107" i="4"/>
  <c r="K99" i="4"/>
  <c r="K106" i="4"/>
  <c r="K98" i="4"/>
  <c r="K97" i="4"/>
  <c r="K110" i="4"/>
  <c r="B2" i="8"/>
  <c r="C2" i="8" s="1"/>
  <c r="F2" i="8" s="1"/>
  <c r="I87" i="8"/>
  <c r="J2" i="1" a="1"/>
  <c r="J2" i="1" s="1"/>
  <c r="F2" i="1" a="1"/>
  <c r="F2" i="1" s="1"/>
  <c r="R2" i="14" s="1"/>
  <c r="M2" i="1" a="1"/>
  <c r="M2" i="1" s="1"/>
  <c r="G2" i="1" a="1"/>
  <c r="G2" i="1" s="1"/>
  <c r="L2" i="1" a="1"/>
  <c r="L2" i="1" s="1"/>
  <c r="C2" i="1" a="1"/>
  <c r="C2" i="1" s="1"/>
  <c r="E2" i="14" s="1"/>
  <c r="H2" i="1" a="1"/>
  <c r="H2" i="1" s="1"/>
  <c r="J2" i="14" s="1"/>
  <c r="D2" i="1" a="1"/>
  <c r="D2" i="1" s="1"/>
  <c r="I2" i="14" s="1"/>
  <c r="I44" i="8"/>
  <c r="I84" i="8"/>
  <c r="I56" i="8"/>
  <c r="K56" i="4" s="1"/>
  <c r="K154" i="1" s="1" a="1"/>
  <c r="K154" i="1" s="1"/>
  <c r="L154" i="14" s="1"/>
  <c r="I58" i="8"/>
  <c r="K58" i="4" s="1"/>
  <c r="K133" i="1" s="1" a="1"/>
  <c r="K133" i="1" s="1"/>
  <c r="L133" i="14" s="1"/>
  <c r="I21" i="8"/>
  <c r="I4" i="8"/>
  <c r="I27" i="8"/>
  <c r="K27" i="4" s="1"/>
  <c r="K129" i="1" s="1" a="1"/>
  <c r="K129" i="1" s="1"/>
  <c r="I74" i="8"/>
  <c r="K74" i="4" s="1"/>
  <c r="K149" i="1" s="1" a="1"/>
  <c r="K149" i="1" s="1"/>
  <c r="I22" i="8"/>
  <c r="I60" i="8"/>
  <c r="K60" i="4" s="1"/>
  <c r="K175" i="1" s="1" a="1"/>
  <c r="K175" i="1" s="1"/>
  <c r="L175" i="14" s="1"/>
  <c r="I90" i="8"/>
  <c r="I57" i="8"/>
  <c r="K57" i="4" s="1"/>
  <c r="K134" i="1" s="1" a="1"/>
  <c r="K134" i="1" s="1"/>
  <c r="I97" i="8"/>
  <c r="I86" i="8"/>
  <c r="I12" i="8"/>
  <c r="K12" i="4" s="1"/>
  <c r="K128" i="1" s="1" a="1"/>
  <c r="K128" i="1" s="1"/>
  <c r="I72" i="8"/>
  <c r="K72" i="4" s="1"/>
  <c r="K112" i="1" s="1" a="1"/>
  <c r="K112" i="1" s="1"/>
  <c r="I45" i="8"/>
  <c r="I33" i="8"/>
  <c r="K33" i="4" s="1"/>
  <c r="K246" i="1" s="1" a="1"/>
  <c r="K246" i="1" s="1"/>
  <c r="L246" i="14" s="1"/>
  <c r="I54" i="8"/>
  <c r="K54" i="4" s="1"/>
  <c r="K162" i="1" s="1" a="1"/>
  <c r="K162" i="1" s="1"/>
  <c r="I20" i="8"/>
  <c r="I18" i="8"/>
  <c r="K256" i="4"/>
  <c r="K255" i="4"/>
  <c r="K258" i="4"/>
  <c r="K253" i="4"/>
  <c r="K254" i="4"/>
  <c r="K257" i="4"/>
  <c r="K259" i="4"/>
  <c r="K260" i="4"/>
  <c r="I89" i="8"/>
  <c r="I73" i="8"/>
  <c r="K73" i="4" s="1"/>
  <c r="K156" i="1" s="1" a="1"/>
  <c r="K156" i="1" s="1"/>
  <c r="I103" i="8"/>
  <c r="I100" i="8"/>
  <c r="I53" i="8"/>
  <c r="K53" i="4" s="1"/>
  <c r="K173" i="1" s="1" a="1"/>
  <c r="K173" i="1" s="1"/>
  <c r="L173" i="14" s="1"/>
  <c r="I7" i="8"/>
  <c r="I75" i="8"/>
  <c r="K75" i="4" s="1"/>
  <c r="K165" i="1" s="1" a="1"/>
  <c r="K165" i="1" s="1"/>
  <c r="L165" i="14" s="1"/>
  <c r="I79" i="8"/>
  <c r="I19" i="8"/>
  <c r="K19" i="4" s="1"/>
  <c r="K145" i="1" s="1" a="1"/>
  <c r="K145" i="1" s="1"/>
  <c r="L145" i="14" s="1"/>
  <c r="I93" i="8"/>
  <c r="I61" i="8"/>
  <c r="K61" i="4" s="1"/>
  <c r="K174" i="1" s="1" a="1"/>
  <c r="K174" i="1" s="1"/>
  <c r="L174" i="14" s="1"/>
  <c r="I13" i="8"/>
  <c r="I83" i="8"/>
  <c r="I8" i="8"/>
  <c r="I23" i="8"/>
  <c r="I11" i="8"/>
  <c r="K11" i="4" s="1"/>
  <c r="K144" i="1" s="1" a="1"/>
  <c r="K144" i="1" s="1"/>
  <c r="L144" i="14" s="1"/>
  <c r="I96" i="8"/>
  <c r="I91" i="8"/>
  <c r="I29" i="8"/>
  <c r="I25" i="8"/>
  <c r="K25" i="4" s="1"/>
  <c r="K163" i="1" s="1" a="1"/>
  <c r="K163" i="1" s="1"/>
  <c r="I31" i="8"/>
  <c r="I52" i="8"/>
  <c r="K52" i="4" s="1"/>
  <c r="K249" i="1" s="1" a="1"/>
  <c r="K249" i="1" s="1"/>
  <c r="L249" i="14" s="1"/>
  <c r="I39" i="8"/>
  <c r="K39" i="4" s="1"/>
  <c r="K141" i="1" s="1" a="1"/>
  <c r="K141" i="1" s="1"/>
  <c r="I34" i="8"/>
  <c r="I37" i="8"/>
  <c r="I65" i="8"/>
  <c r="K65" i="4" s="1"/>
  <c r="K158" i="1" s="1" a="1"/>
  <c r="K158" i="1" s="1"/>
  <c r="I63" i="8"/>
  <c r="K63" i="4" s="1"/>
  <c r="K161" i="1" s="1" a="1"/>
  <c r="K161" i="1" s="1"/>
  <c r="I66" i="8"/>
  <c r="I99" i="8"/>
  <c r="P2" i="4"/>
  <c r="I64" i="8"/>
  <c r="K64" i="4" s="1"/>
  <c r="K130" i="1" s="1" a="1"/>
  <c r="K130" i="1" s="1"/>
  <c r="I98" i="8"/>
  <c r="I69" i="8"/>
  <c r="K69" i="4" s="1"/>
  <c r="K179" i="1" s="1" a="1"/>
  <c r="K179" i="1" s="1"/>
  <c r="L179" i="14" s="1"/>
  <c r="I15" i="8"/>
  <c r="I78" i="8"/>
  <c r="I10" i="8"/>
  <c r="K10" i="4" s="1"/>
  <c r="K123" i="1" s="1" a="1"/>
  <c r="K123" i="1" s="1"/>
  <c r="I16" i="8"/>
  <c r="I46" i="8"/>
  <c r="K46" i="4" s="1"/>
  <c r="K135" i="1" s="1" a="1"/>
  <c r="K135" i="1" s="1"/>
  <c r="I26" i="8"/>
  <c r="I30" i="8"/>
  <c r="I95" i="8"/>
  <c r="I88" i="8"/>
  <c r="I70" i="8"/>
  <c r="K70" i="4" s="1"/>
  <c r="K176" i="1" s="1" a="1"/>
  <c r="K176" i="1" s="1"/>
  <c r="L176" i="14" s="1"/>
  <c r="I82" i="8"/>
  <c r="I9" i="8"/>
  <c r="I49" i="8"/>
  <c r="K49" i="4" s="1"/>
  <c r="K124" i="1" s="1" a="1"/>
  <c r="K124" i="1" s="1"/>
  <c r="I71" i="8"/>
  <c r="K71" i="4" s="1"/>
  <c r="K122" i="1" s="1" a="1"/>
  <c r="K122" i="1" s="1"/>
  <c r="L122" i="14" s="1"/>
  <c r="I43" i="8"/>
  <c r="K43" i="4" s="1"/>
  <c r="K250" i="1" s="1" a="1"/>
  <c r="K250" i="1" s="1"/>
  <c r="L250" i="14" s="1"/>
  <c r="I77" i="8"/>
  <c r="I51" i="8"/>
  <c r="K51" i="4" s="1"/>
  <c r="K170" i="1" s="1" a="1"/>
  <c r="K170" i="1" s="1"/>
  <c r="L170" i="14" s="1"/>
  <c r="I35" i="8"/>
  <c r="I81" i="8"/>
  <c r="I55" i="8"/>
  <c r="K55" i="4" s="1"/>
  <c r="K204" i="1" s="1" a="1"/>
  <c r="K204" i="1" s="1"/>
  <c r="L204" i="14" s="1"/>
  <c r="I50" i="8"/>
  <c r="K50" i="4" s="1"/>
  <c r="K155" i="1" s="1" a="1"/>
  <c r="K155" i="1" s="1"/>
  <c r="I38" i="8"/>
  <c r="I68" i="8"/>
  <c r="K68" i="4" s="1"/>
  <c r="K169" i="1" s="1" a="1"/>
  <c r="K169" i="1" s="1"/>
  <c r="I6" i="8"/>
  <c r="I101" i="8"/>
  <c r="I59" i="8"/>
  <c r="K59" i="4" s="1"/>
  <c r="K182" i="1" s="1" a="1"/>
  <c r="K182" i="1" s="1"/>
  <c r="L182" i="14" s="1"/>
  <c r="I42" i="8"/>
  <c r="K42" i="4" s="1"/>
  <c r="K138" i="1" s="1" a="1"/>
  <c r="K138" i="1" s="1"/>
  <c r="I41" i="8"/>
  <c r="I76" i="8"/>
  <c r="K76" i="4" s="1"/>
  <c r="I17" i="8"/>
  <c r="I24" i="8"/>
  <c r="I67" i="8"/>
  <c r="K67" i="4" s="1"/>
  <c r="K151" i="1" s="1" a="1"/>
  <c r="K151" i="1" s="1"/>
  <c r="I3" i="8"/>
  <c r="I47" i="8"/>
  <c r="K47" i="4" s="1"/>
  <c r="K248" i="1" s="1" a="1"/>
  <c r="K248" i="1" s="1"/>
  <c r="L248" i="14" s="1"/>
  <c r="I92" i="8"/>
  <c r="I80" i="8"/>
  <c r="I40" i="8"/>
  <c r="K40" i="4" s="1"/>
  <c r="K196" i="1" s="1" a="1"/>
  <c r="K196" i="1" s="1"/>
  <c r="L196" i="14" s="1"/>
  <c r="I28" i="8"/>
  <c r="I14" i="8"/>
  <c r="I62" i="8"/>
  <c r="K62" i="4" s="1"/>
  <c r="K120" i="1" s="1" a="1"/>
  <c r="K120" i="1" s="1"/>
  <c r="I102" i="8"/>
  <c r="I5" i="8"/>
  <c r="I104" i="8"/>
  <c r="I94" i="8"/>
  <c r="I36" i="8"/>
  <c r="I85" i="8"/>
  <c r="I48" i="8"/>
  <c r="I32" i="8"/>
  <c r="L161" i="14" l="1"/>
  <c r="L112" i="14"/>
  <c r="L149" i="14"/>
  <c r="L159" i="14"/>
  <c r="L68" i="14"/>
  <c r="L168" i="14"/>
  <c r="L98" i="14"/>
  <c r="L102" i="14"/>
  <c r="L70" i="14"/>
  <c r="L1340" i="14"/>
  <c r="L1350" i="14"/>
  <c r="L1274" i="14"/>
  <c r="L1263" i="14"/>
  <c r="L1352" i="14"/>
  <c r="L1166" i="14"/>
  <c r="L1132" i="14"/>
  <c r="L1131" i="14"/>
  <c r="L1130" i="14"/>
  <c r="L1088" i="14"/>
  <c r="L1036" i="14"/>
  <c r="L1014" i="14"/>
  <c r="L964" i="14"/>
  <c r="L921" i="14"/>
  <c r="L871" i="14"/>
  <c r="L895" i="14"/>
  <c r="L1010" i="14"/>
  <c r="L998" i="14"/>
  <c r="L811" i="14"/>
  <c r="L800" i="14"/>
  <c r="L824" i="14"/>
  <c r="L786" i="14"/>
  <c r="L782" i="14"/>
  <c r="L715" i="14"/>
  <c r="L695" i="14"/>
  <c r="L840" i="14"/>
  <c r="L831" i="14"/>
  <c r="L757" i="14"/>
  <c r="L835" i="14"/>
  <c r="L730" i="14"/>
  <c r="L697" i="14"/>
  <c r="L723" i="14"/>
  <c r="L680" i="14"/>
  <c r="L639" i="14"/>
  <c r="L615" i="14"/>
  <c r="L614" i="14"/>
  <c r="L623" i="14"/>
  <c r="L588" i="14"/>
  <c r="L577" i="14"/>
  <c r="L543" i="14"/>
  <c r="L509" i="14"/>
  <c r="L508" i="14"/>
  <c r="L496" i="14"/>
  <c r="L572" i="14"/>
  <c r="L484" i="14"/>
  <c r="L425" i="14"/>
  <c r="L359" i="14"/>
  <c r="L358" i="14"/>
  <c r="L357" i="14"/>
  <c r="L321" i="14"/>
  <c r="L308" i="14"/>
  <c r="L295" i="14"/>
  <c r="L221" i="14"/>
  <c r="L181" i="14"/>
  <c r="L177" i="14"/>
  <c r="L44" i="14"/>
  <c r="L42" i="14"/>
  <c r="L37" i="14"/>
  <c r="L19" i="14"/>
  <c r="L36" i="14"/>
  <c r="L32" i="14"/>
  <c r="L29" i="14"/>
  <c r="L130" i="14"/>
  <c r="L141" i="14"/>
  <c r="L134" i="14"/>
  <c r="L86" i="14"/>
  <c r="L114" i="14"/>
  <c r="L1363" i="14"/>
  <c r="L1283" i="14"/>
  <c r="L1262" i="14"/>
  <c r="L155" i="14"/>
  <c r="L158" i="14"/>
  <c r="L156" i="14"/>
  <c r="L162" i="14"/>
  <c r="L1354" i="14"/>
  <c r="L1331" i="14"/>
  <c r="L1314" i="14"/>
  <c r="L1261" i="14"/>
  <c r="L1233" i="14"/>
  <c r="L1242" i="14"/>
  <c r="L1220" i="14"/>
  <c r="L1206" i="14"/>
  <c r="L1163" i="14"/>
  <c r="L1151" i="14"/>
  <c r="L1107" i="14"/>
  <c r="L1063" i="14"/>
  <c r="L1048" i="14"/>
  <c r="L1046" i="14"/>
  <c r="L1201" i="14"/>
  <c r="L1116" i="14"/>
  <c r="L1094" i="14"/>
  <c r="L1051" i="14"/>
  <c r="L1050" i="14"/>
  <c r="L980" i="14"/>
  <c r="L978" i="14"/>
  <c r="L943" i="14"/>
  <c r="L838" i="14"/>
  <c r="L991" i="14"/>
  <c r="L981" i="14"/>
  <c r="L863" i="14"/>
  <c r="L828" i="14"/>
  <c r="L732" i="14"/>
  <c r="L699" i="14"/>
  <c r="L691" i="14"/>
  <c r="L777" i="14"/>
  <c r="L776" i="14"/>
  <c r="L775" i="14"/>
  <c r="L774" i="14"/>
  <c r="L773" i="14"/>
  <c r="L772" i="14"/>
  <c r="L763" i="14"/>
  <c r="L713" i="14"/>
  <c r="L745" i="14"/>
  <c r="L708" i="14"/>
  <c r="L685" i="14"/>
  <c r="L684" i="14"/>
  <c r="L658" i="14"/>
  <c r="L657" i="14"/>
  <c r="L656" i="14"/>
  <c r="L621" i="14"/>
  <c r="L609" i="14"/>
  <c r="L608" i="14"/>
  <c r="L607" i="14"/>
  <c r="L602" i="14"/>
  <c r="L601" i="14"/>
  <c r="L636" i="14"/>
  <c r="L616" i="14"/>
  <c r="L583" i="14"/>
  <c r="L571" i="14"/>
  <c r="L491" i="14"/>
  <c r="L476" i="14"/>
  <c r="L475" i="14"/>
  <c r="L474" i="14"/>
  <c r="L473" i="14"/>
  <c r="L472" i="14"/>
  <c r="L471" i="14"/>
  <c r="L470" i="14"/>
  <c r="L469" i="14"/>
  <c r="L438" i="14"/>
  <c r="L407" i="14"/>
  <c r="L372" i="14"/>
  <c r="L370" i="14"/>
  <c r="L290" i="14"/>
  <c r="L239" i="14"/>
  <c r="L275" i="14"/>
  <c r="L171" i="14"/>
  <c r="L56" i="14"/>
  <c r="L8" i="14"/>
  <c r="L138" i="14"/>
  <c r="L169" i="14"/>
  <c r="L123" i="14"/>
  <c r="L163" i="14"/>
  <c r="L127" i="14"/>
  <c r="L79" i="14"/>
  <c r="L75" i="14"/>
  <c r="L121" i="14"/>
  <c r="L107" i="14"/>
  <c r="L111" i="14"/>
  <c r="L1351" i="14"/>
  <c r="L1324" i="14"/>
  <c r="L1322" i="14"/>
  <c r="L1284" i="14"/>
  <c r="L1302" i="14"/>
  <c r="L1301" i="14"/>
  <c r="L1279" i="14"/>
  <c r="L1260" i="14"/>
  <c r="L1245" i="14"/>
  <c r="L1269" i="14"/>
  <c r="L1241" i="14"/>
  <c r="L1195" i="14"/>
  <c r="L1175" i="14"/>
  <c r="L1170" i="14"/>
  <c r="L1125" i="14"/>
  <c r="L1124" i="14"/>
  <c r="L1047" i="14"/>
  <c r="L1045" i="14"/>
  <c r="L1041" i="14"/>
  <c r="L1202" i="14"/>
  <c r="L1198" i="14"/>
  <c r="L1164" i="14"/>
  <c r="L1044" i="14"/>
  <c r="L1032" i="14"/>
  <c r="L986" i="14"/>
  <c r="L984" i="14"/>
  <c r="L966" i="14"/>
  <c r="L935" i="14"/>
  <c r="L913" i="14"/>
  <c r="L887" i="14"/>
  <c r="L850" i="14"/>
  <c r="L886" i="14"/>
  <c r="L971" i="14"/>
  <c r="L1026" i="14"/>
  <c r="L936" i="14"/>
  <c r="L706" i="14"/>
  <c r="L769" i="14"/>
  <c r="L768" i="14"/>
  <c r="L755" i="14"/>
  <c r="L749" i="14"/>
  <c r="L734" i="14"/>
  <c r="L672" i="14"/>
  <c r="L671" i="14"/>
  <c r="L670" i="14"/>
  <c r="L669" i="14"/>
  <c r="L668" i="14"/>
  <c r="L663" i="14"/>
  <c r="L662" i="14"/>
  <c r="L637" i="14"/>
  <c r="L627" i="14"/>
  <c r="L646" i="14"/>
  <c r="L645" i="14"/>
  <c r="L620" i="14"/>
  <c r="L618" i="14"/>
  <c r="L585" i="14"/>
  <c r="L569" i="14"/>
  <c r="L538" i="14"/>
  <c r="L537" i="14"/>
  <c r="L492" i="14"/>
  <c r="L556" i="14"/>
  <c r="L536" i="14"/>
  <c r="L535" i="14"/>
  <c r="L534" i="14"/>
  <c r="L533" i="14"/>
  <c r="L555" i="14"/>
  <c r="L480" i="14"/>
  <c r="L461" i="14"/>
  <c r="L460" i="14"/>
  <c r="L459" i="14"/>
  <c r="L458" i="14"/>
  <c r="L457" i="14"/>
  <c r="L456" i="14"/>
  <c r="L418" i="14"/>
  <c r="L417" i="14"/>
  <c r="L416" i="14"/>
  <c r="L415" i="14"/>
  <c r="L393" i="14"/>
  <c r="L455" i="14"/>
  <c r="L258" i="14"/>
  <c r="L267" i="14"/>
  <c r="L265" i="14"/>
  <c r="L264" i="14"/>
  <c r="L263" i="14"/>
  <c r="L229" i="14"/>
  <c r="L230" i="14"/>
  <c r="L63" i="14"/>
  <c r="L52" i="14"/>
  <c r="L31" i="14"/>
  <c r="L38" i="14"/>
  <c r="L25" i="14"/>
  <c r="L14" i="14"/>
  <c r="L6" i="14"/>
  <c r="L87" i="14"/>
  <c r="L81" i="14"/>
  <c r="L88" i="14"/>
  <c r="L1333" i="14"/>
  <c r="L1330" i="14"/>
  <c r="L1329" i="14"/>
  <c r="L1365" i="14"/>
  <c r="L1349" i="14"/>
  <c r="L1348" i="14"/>
  <c r="L1346" i="14"/>
  <c r="L1345" i="14"/>
  <c r="L1281" i="14"/>
  <c r="L1326" i="14"/>
  <c r="L1325" i="14"/>
  <c r="L1316" i="14"/>
  <c r="L1315" i="14"/>
  <c r="L1298" i="14"/>
  <c r="L1297" i="14"/>
  <c r="L1271" i="14"/>
  <c r="L1268" i="14"/>
  <c r="L1267" i="14"/>
  <c r="L1234" i="14"/>
  <c r="L1217" i="14"/>
  <c r="L1183" i="14"/>
  <c r="L1160" i="14"/>
  <c r="L1159" i="14"/>
  <c r="L1140" i="14"/>
  <c r="L1139" i="14"/>
  <c r="L1126" i="14"/>
  <c r="L1228" i="14"/>
  <c r="L1227" i="14"/>
  <c r="L1226" i="14"/>
  <c r="L1221" i="14"/>
  <c r="L1213" i="14"/>
  <c r="L1142" i="14"/>
  <c r="L1071" i="14"/>
  <c r="L1040" i="14"/>
  <c r="L1037" i="14"/>
  <c r="L1237" i="14"/>
  <c r="L1214" i="14"/>
  <c r="L1194" i="14"/>
  <c r="L1193" i="14"/>
  <c r="L1162" i="14"/>
  <c r="L1161" i="14"/>
  <c r="L1147" i="14"/>
  <c r="L1146" i="14"/>
  <c r="L1129" i="14"/>
  <c r="L1110" i="14"/>
  <c r="L1109" i="14"/>
  <c r="L1052" i="14"/>
  <c r="L1049" i="14"/>
  <c r="L1028" i="14"/>
  <c r="L1054" i="14"/>
  <c r="L1053" i="14"/>
  <c r="L960" i="14"/>
  <c r="L920" i="14"/>
  <c r="L849" i="14"/>
  <c r="L1012" i="14"/>
  <c r="L1011" i="14"/>
  <c r="L976" i="14"/>
  <c r="L124" i="14"/>
  <c r="L128" i="14"/>
  <c r="L100" i="14"/>
  <c r="L76" i="14"/>
  <c r="L77" i="14"/>
  <c r="L74" i="14"/>
  <c r="L84" i="14"/>
  <c r="L80" i="14"/>
  <c r="L132" i="14"/>
  <c r="L164" i="14"/>
  <c r="L104" i="14"/>
  <c r="L1334" i="14"/>
  <c r="L1332" i="14"/>
  <c r="L1328" i="14"/>
  <c r="L1327" i="14"/>
  <c r="L1318" i="14"/>
  <c r="L1317" i="14"/>
  <c r="L1307" i="14"/>
  <c r="L1278" i="14"/>
  <c r="L1277" i="14"/>
  <c r="L1276" i="14"/>
  <c r="L1364" i="14"/>
  <c r="L1344" i="14"/>
  <c r="L1342" i="14"/>
  <c r="L1341" i="14"/>
  <c r="L1293" i="14"/>
  <c r="L1251" i="14"/>
  <c r="L1219" i="14"/>
  <c r="L1187" i="14"/>
  <c r="L1186" i="14"/>
  <c r="L1039" i="14"/>
  <c r="L1230" i="14"/>
  <c r="L1216" i="14"/>
  <c r="L1215" i="14"/>
  <c r="L1189" i="14"/>
  <c r="L1188" i="14"/>
  <c r="L1138" i="14"/>
  <c r="L1137" i="14"/>
  <c r="L1134" i="14"/>
  <c r="L1102" i="14"/>
  <c r="L1101" i="14"/>
  <c r="L1093" i="14"/>
  <c r="L1179" i="14"/>
  <c r="L1141" i="14"/>
  <c r="L1133" i="14"/>
  <c r="L1031" i="14"/>
  <c r="L1038" i="14"/>
  <c r="L1015" i="14"/>
  <c r="L1000" i="14"/>
  <c r="L979" i="14"/>
  <c r="L969" i="14"/>
  <c r="L967" i="14"/>
  <c r="L957" i="14"/>
  <c r="L942" i="14"/>
  <c r="L907" i="14"/>
  <c r="L135" i="14"/>
  <c r="L129" i="14"/>
  <c r="L105" i="14"/>
  <c r="L72" i="14"/>
  <c r="L96" i="14"/>
  <c r="L90" i="14"/>
  <c r="L94" i="14"/>
  <c r="L69" i="14"/>
  <c r="L120" i="14"/>
  <c r="L151" i="14"/>
  <c r="L78" i="14"/>
  <c r="L106" i="14"/>
  <c r="L95" i="14"/>
  <c r="L92" i="14"/>
  <c r="L91" i="14"/>
  <c r="L82" i="14"/>
  <c r="L150" i="14"/>
  <c r="L125" i="14"/>
  <c r="L83" i="14"/>
  <c r="L99" i="14"/>
  <c r="L167" i="14"/>
  <c r="L153" i="14"/>
  <c r="L73" i="14"/>
  <c r="L89" i="14"/>
  <c r="L109" i="14"/>
  <c r="L1304" i="14"/>
  <c r="L1303" i="14"/>
  <c r="L1361" i="14"/>
  <c r="L1353" i="14"/>
  <c r="L1347" i="14"/>
  <c r="L1336" i="14"/>
  <c r="L1335" i="14"/>
  <c r="L1320" i="14"/>
  <c r="L1319" i="14"/>
  <c r="L1288" i="14"/>
  <c r="L1287" i="14"/>
  <c r="L1270" i="14"/>
  <c r="L1362" i="14"/>
  <c r="L1360" i="14"/>
  <c r="L1359" i="14"/>
  <c r="L1343" i="14"/>
  <c r="L1286" i="14"/>
  <c r="L1273" i="14"/>
  <c r="L1272" i="14"/>
  <c r="L1253" i="14"/>
  <c r="L1252" i="14"/>
  <c r="L1246" i="14"/>
  <c r="L1323" i="14"/>
  <c r="L1312" i="14"/>
  <c r="L1311" i="14"/>
  <c r="L1310" i="14"/>
  <c r="L1309" i="14"/>
  <c r="L1308" i="14"/>
  <c r="L1306" i="14"/>
  <c r="L1305" i="14"/>
  <c r="L1285" i="14"/>
  <c r="L1275" i="14"/>
  <c r="L1247" i="14"/>
  <c r="L1239" i="14"/>
  <c r="L1243" i="14"/>
  <c r="L1236" i="14"/>
  <c r="L1235" i="14"/>
  <c r="L1168" i="14"/>
  <c r="L1154" i="14"/>
  <c r="L1119" i="14"/>
  <c r="L1090" i="14"/>
  <c r="L1089" i="14"/>
  <c r="L1068" i="14"/>
  <c r="L1238" i="14"/>
  <c r="L1229" i="14"/>
  <c r="L1205" i="14"/>
  <c r="L1204" i="14"/>
  <c r="L1192" i="14"/>
  <c r="L1191" i="14"/>
  <c r="L1190" i="14"/>
  <c r="L1143" i="14"/>
  <c r="L1135" i="14"/>
  <c r="L1123" i="14"/>
  <c r="L1096" i="14"/>
  <c r="L1095" i="14"/>
  <c r="L1081" i="14"/>
  <c r="L1080" i="14"/>
  <c r="L1079" i="14"/>
  <c r="L1078" i="14"/>
  <c r="L1077" i="14"/>
  <c r="L1076" i="14"/>
  <c r="L1075" i="14"/>
  <c r="L1074" i="14"/>
  <c r="L1073" i="14"/>
  <c r="L1072" i="14"/>
  <c r="L1066" i="14"/>
  <c r="L1065" i="14"/>
  <c r="L1062" i="14"/>
  <c r="L1057" i="14"/>
  <c r="L1056" i="14"/>
  <c r="L1218" i="14"/>
  <c r="L1209" i="14"/>
  <c r="L1200" i="14"/>
  <c r="L1199" i="14"/>
  <c r="L1182" i="14"/>
  <c r="L1181" i="14"/>
  <c r="L1180" i="14"/>
  <c r="L1158" i="14"/>
  <c r="L1157" i="14"/>
  <c r="L1156" i="14"/>
  <c r="L1145" i="14"/>
  <c r="L1128" i="14"/>
  <c r="L1127" i="14"/>
  <c r="L1087" i="14"/>
  <c r="L1086" i="14"/>
  <c r="L1085" i="14"/>
  <c r="L1084" i="14"/>
  <c r="L1083" i="14"/>
  <c r="L1082" i="14"/>
  <c r="L1061" i="14"/>
  <c r="L1060" i="14"/>
  <c r="L1059" i="14"/>
  <c r="L1058" i="14"/>
  <c r="L1043" i="14"/>
  <c r="L1240" i="14"/>
  <c r="L1225" i="14"/>
  <c r="L1208" i="14"/>
  <c r="L1207" i="14"/>
  <c r="L1169" i="14"/>
  <c r="L1153" i="14"/>
  <c r="L1092" i="14"/>
  <c r="L1091" i="14"/>
  <c r="L85" i="14"/>
  <c r="L71" i="14"/>
  <c r="L108" i="14"/>
  <c r="L93" i="14"/>
  <c r="L101" i="14"/>
  <c r="L157" i="14"/>
  <c r="L1338" i="14"/>
  <c r="L1296" i="14"/>
  <c r="L1295" i="14"/>
  <c r="L1292" i="14"/>
  <c r="L1291" i="14"/>
  <c r="L1290" i="14"/>
  <c r="L1289" i="14"/>
  <c r="L1266" i="14"/>
  <c r="L1259" i="14"/>
  <c r="L1258" i="14"/>
  <c r="L1357" i="14"/>
  <c r="L1356" i="14"/>
  <c r="L1355" i="14"/>
  <c r="L1337" i="14"/>
  <c r="L1313" i="14"/>
  <c r="L1300" i="14"/>
  <c r="L1299" i="14"/>
  <c r="L1294" i="14"/>
  <c r="L1265" i="14"/>
  <c r="L1257" i="14"/>
  <c r="L1256" i="14"/>
  <c r="L1358" i="14"/>
  <c r="L1264" i="14"/>
  <c r="L1255" i="14"/>
  <c r="L1249" i="14"/>
  <c r="L1254" i="14"/>
  <c r="L1232" i="14"/>
  <c r="L1231" i="14"/>
  <c r="L1224" i="14"/>
  <c r="L1223" i="14"/>
  <c r="L1222" i="14"/>
  <c r="L1173" i="14"/>
  <c r="L1106" i="14"/>
  <c r="L1105" i="14"/>
  <c r="L1104" i="14"/>
  <c r="L1103" i="14"/>
  <c r="L1203" i="14"/>
  <c r="L1178" i="14"/>
  <c r="L1177" i="14"/>
  <c r="L1172" i="14"/>
  <c r="L1165" i="14"/>
  <c r="L1150" i="14"/>
  <c r="L1149" i="14"/>
  <c r="L1148" i="14"/>
  <c r="L1122" i="14"/>
  <c r="L1121" i="14"/>
  <c r="L1115" i="14"/>
  <c r="L1114" i="14"/>
  <c r="L1113" i="14"/>
  <c r="L1112" i="14"/>
  <c r="L1111" i="14"/>
  <c r="L1055" i="14"/>
  <c r="L1244" i="14"/>
  <c r="L1212" i="14"/>
  <c r="L1211" i="14"/>
  <c r="L1210" i="14"/>
  <c r="L1197" i="14"/>
  <c r="L1196" i="14"/>
  <c r="L1144" i="14"/>
  <c r="L1120" i="14"/>
  <c r="L1100" i="14"/>
  <c r="L1099" i="14"/>
  <c r="L1070" i="14"/>
  <c r="L1069" i="14"/>
  <c r="L988" i="14"/>
  <c r="L987" i="14"/>
  <c r="L963" i="14"/>
  <c r="L962" i="14"/>
  <c r="L926" i="14"/>
  <c r="L860" i="14"/>
  <c r="L853" i="14"/>
  <c r="L990" i="14"/>
  <c r="L973" i="14"/>
  <c r="L970" i="14"/>
  <c r="L959" i="14"/>
  <c r="L934" i="14"/>
  <c r="L879" i="14"/>
  <c r="L852" i="14"/>
  <c r="L847" i="14"/>
  <c r="L989" i="14"/>
  <c r="L975" i="14"/>
  <c r="L974" i="14"/>
  <c r="L945" i="14"/>
  <c r="L944" i="14"/>
  <c r="L927" i="14"/>
  <c r="L856" i="14"/>
  <c r="L845" i="14"/>
  <c r="L844" i="14"/>
  <c r="L843" i="14"/>
  <c r="L842" i="14"/>
  <c r="L841" i="14"/>
  <c r="L816" i="14"/>
  <c r="L815" i="14"/>
  <c r="L807" i="14"/>
  <c r="L721" i="14"/>
  <c r="L712" i="14"/>
  <c r="L701" i="14"/>
  <c r="L834" i="14"/>
  <c r="L814" i="14"/>
  <c r="L762" i="14"/>
  <c r="L692" i="14"/>
  <c r="L700" i="14"/>
  <c r="L613" i="14"/>
  <c r="L612" i="14"/>
  <c r="L611" i="14"/>
  <c r="L674" i="14"/>
  <c r="L651" i="14"/>
  <c r="L650" i="14"/>
  <c r="L644" i="14"/>
  <c r="L640" i="14"/>
  <c r="L681" i="14"/>
  <c r="L664" i="14"/>
  <c r="L638" i="14"/>
  <c r="L626" i="14"/>
  <c r="L622" i="14"/>
  <c r="L570" i="14"/>
  <c r="L566" i="14"/>
  <c r="L497" i="14"/>
  <c r="L581" i="14"/>
  <c r="L541" i="14"/>
  <c r="L540" i="14"/>
  <c r="L547" i="14"/>
  <c r="L546" i="14"/>
  <c r="L539" i="14"/>
  <c r="L518" i="14"/>
  <c r="L481" i="14"/>
  <c r="L435" i="14"/>
  <c r="L434" i="14"/>
  <c r="L413" i="14"/>
  <c r="L412" i="14"/>
  <c r="L411" i="14"/>
  <c r="L444" i="14"/>
  <c r="L443" i="14"/>
  <c r="L431" i="14"/>
  <c r="L421" i="14"/>
  <c r="L405" i="14"/>
  <c r="L394" i="14"/>
  <c r="L884" i="14"/>
  <c r="L880" i="14"/>
  <c r="L1001" i="14"/>
  <c r="L996" i="14"/>
  <c r="L994" i="14"/>
  <c r="L956" i="14"/>
  <c r="L955" i="14"/>
  <c r="L928" i="14"/>
  <c r="L919" i="14"/>
  <c r="L902" i="14"/>
  <c r="L883" i="14"/>
  <c r="L882" i="14"/>
  <c r="L1030" i="14"/>
  <c r="L1029" i="14"/>
  <c r="L1020" i="14"/>
  <c r="L1019" i="14"/>
  <c r="L1018" i="14"/>
  <c r="L1004" i="14"/>
  <c r="L1003" i="14"/>
  <c r="L1002" i="14"/>
  <c r="L999" i="14"/>
  <c r="L933" i="14"/>
  <c r="L932" i="14"/>
  <c r="L931" i="14"/>
  <c r="L930" i="14"/>
  <c r="L901" i="14"/>
  <c r="L889" i="14"/>
  <c r="L888" i="14"/>
  <c r="L869" i="14"/>
  <c r="L868" i="14"/>
  <c r="L867" i="14"/>
  <c r="L866" i="14"/>
  <c r="L865" i="14"/>
  <c r="L864" i="14"/>
  <c r="L861" i="14"/>
  <c r="L848" i="14"/>
  <c r="L797" i="14"/>
  <c r="L796" i="14"/>
  <c r="L793" i="14"/>
  <c r="L792" i="14"/>
  <c r="L839" i="14"/>
  <c r="L788" i="14"/>
  <c r="L767" i="14"/>
  <c r="L766" i="14"/>
  <c r="L746" i="14"/>
  <c r="L744" i="14"/>
  <c r="L743" i="14"/>
  <c r="L717" i="14"/>
  <c r="L716" i="14"/>
  <c r="L702" i="14"/>
  <c r="L693" i="14"/>
  <c r="L787" i="14"/>
  <c r="L765" i="14"/>
  <c r="L764" i="14"/>
  <c r="L761" i="14"/>
  <c r="L760" i="14"/>
  <c r="L711" i="14"/>
  <c r="L710" i="14"/>
  <c r="L709" i="14"/>
  <c r="L707" i="14"/>
  <c r="L610" i="14"/>
  <c r="L648" i="14"/>
  <c r="L624" i="14"/>
  <c r="L647" i="14"/>
  <c r="L629" i="14"/>
  <c r="L667" i="14"/>
  <c r="L628" i="14"/>
  <c r="L606" i="14"/>
  <c r="L584" i="14"/>
  <c r="L562" i="14"/>
  <c r="L519" i="14"/>
  <c r="L514" i="14"/>
  <c r="L549" i="14"/>
  <c r="L528" i="14"/>
  <c r="L527" i="14"/>
  <c r="L526" i="14"/>
  <c r="L525" i="14"/>
  <c r="L524" i="14"/>
  <c r="L523" i="14"/>
  <c r="L522" i="14"/>
  <c r="L521" i="14"/>
  <c r="L487" i="14"/>
  <c r="L483" i="14"/>
  <c r="L408" i="14"/>
  <c r="L477" i="14"/>
  <c r="L951" i="14"/>
  <c r="L929" i="14"/>
  <c r="L903" i="14"/>
  <c r="L891" i="14"/>
  <c r="L1035" i="14"/>
  <c r="L1034" i="14"/>
  <c r="L1033" i="14"/>
  <c r="L1021" i="14"/>
  <c r="L1013" i="14"/>
  <c r="L1007" i="14"/>
  <c r="L1006" i="14"/>
  <c r="L983" i="14"/>
  <c r="L977" i="14"/>
  <c r="L972" i="14"/>
  <c r="L965" i="14"/>
  <c r="L917" i="14"/>
  <c r="L916" i="14"/>
  <c r="L900" i="14"/>
  <c r="L899" i="14"/>
  <c r="L898" i="14"/>
  <c r="L890" i="14"/>
  <c r="L870" i="14"/>
  <c r="L1005" i="14"/>
  <c r="L961" i="14"/>
  <c r="L949" i="14"/>
  <c r="L948" i="14"/>
  <c r="L947" i="14"/>
  <c r="L946" i="14"/>
  <c r="L915" i="14"/>
  <c r="L897" i="14"/>
  <c r="L896" i="14"/>
  <c r="L894" i="14"/>
  <c r="L885" i="14"/>
  <c r="L846" i="14"/>
  <c r="L833" i="14"/>
  <c r="L810" i="14"/>
  <c r="L801" i="14"/>
  <c r="L1023" i="14"/>
  <c r="L1022" i="14"/>
  <c r="L997" i="14"/>
  <c r="L995" i="14"/>
  <c r="L982" i="14"/>
  <c r="L954" i="14"/>
  <c r="L953" i="14"/>
  <c r="L952" i="14"/>
  <c r="L923" i="14"/>
  <c r="L922" i="14"/>
  <c r="L914" i="14"/>
  <c r="L911" i="14"/>
  <c r="L910" i="14"/>
  <c r="L909" i="14"/>
  <c r="L908" i="14"/>
  <c r="L804" i="14"/>
  <c r="L827" i="14"/>
  <c r="L826" i="14"/>
  <c r="L799" i="14"/>
  <c r="L798" i="14"/>
  <c r="L778" i="14"/>
  <c r="L759" i="14"/>
  <c r="L758" i="14"/>
  <c r="L751" i="14"/>
  <c r="L750" i="14"/>
  <c r="L729" i="14"/>
  <c r="L728" i="14"/>
  <c r="L837" i="14"/>
  <c r="L836" i="14"/>
  <c r="L823" i="14"/>
  <c r="L802" i="14"/>
  <c r="L747" i="14"/>
  <c r="L731" i="14"/>
  <c r="L727" i="14"/>
  <c r="L704" i="14"/>
  <c r="L694" i="14"/>
  <c r="L822" i="14"/>
  <c r="L821" i="14"/>
  <c r="L820" i="14"/>
  <c r="L819" i="14"/>
  <c r="L818" i="14"/>
  <c r="L817" i="14"/>
  <c r="L771" i="14"/>
  <c r="L726" i="14"/>
  <c r="L725" i="14"/>
  <c r="L724" i="14"/>
  <c r="L714" i="14"/>
  <c r="L698" i="14"/>
  <c r="L789" i="14"/>
  <c r="L770" i="14"/>
  <c r="L742" i="14"/>
  <c r="L741" i="14"/>
  <c r="L740" i="14"/>
  <c r="L720" i="14"/>
  <c r="L689" i="14"/>
  <c r="L683" i="14"/>
  <c r="L682" i="14"/>
  <c r="L679" i="14"/>
  <c r="L678" i="14"/>
  <c r="L661" i="14"/>
  <c r="L643" i="14"/>
  <c r="L642" i="14"/>
  <c r="L641" i="14"/>
  <c r="L605" i="14"/>
  <c r="L595" i="14"/>
  <c r="L594" i="14"/>
  <c r="L696" i="14"/>
  <c r="L677" i="14"/>
  <c r="L676" i="14"/>
  <c r="L666" i="14"/>
  <c r="L665" i="14"/>
  <c r="L655" i="14"/>
  <c r="L654" i="14"/>
  <c r="L635" i="14"/>
  <c r="L634" i="14"/>
  <c r="L633" i="14"/>
  <c r="L632" i="14"/>
  <c r="L603" i="14"/>
  <c r="L596" i="14"/>
  <c r="L687" i="14"/>
  <c r="L686" i="14"/>
  <c r="L673" i="14"/>
  <c r="L653" i="14"/>
  <c r="L652" i="14"/>
  <c r="L604" i="14"/>
  <c r="L592" i="14"/>
  <c r="L591" i="14"/>
  <c r="L551" i="14"/>
  <c r="L550" i="14"/>
  <c r="L517" i="14"/>
  <c r="L516" i="14"/>
  <c r="L499" i="14"/>
  <c r="L498" i="14"/>
  <c r="L488" i="14"/>
  <c r="L593" i="14"/>
  <c r="L579" i="14"/>
  <c r="L578" i="14"/>
  <c r="L575" i="14"/>
  <c r="L532" i="14"/>
  <c r="L531" i="14"/>
  <c r="L506" i="14"/>
  <c r="L505" i="14"/>
  <c r="L504" i="14"/>
  <c r="L489" i="14"/>
  <c r="L573" i="14"/>
  <c r="L568" i="14"/>
  <c r="L530" i="14"/>
  <c r="L529" i="14"/>
  <c r="L490" i="14"/>
  <c r="L574" i="14"/>
  <c r="L565" i="14"/>
  <c r="L564" i="14"/>
  <c r="L563" i="14"/>
  <c r="L941" i="14"/>
  <c r="L940" i="14"/>
  <c r="L925" i="14"/>
  <c r="L924" i="14"/>
  <c r="L912" i="14"/>
  <c r="L906" i="14"/>
  <c r="L862" i="14"/>
  <c r="L1027" i="14"/>
  <c r="L1025" i="14"/>
  <c r="L1008" i="14"/>
  <c r="L993" i="14"/>
  <c r="L939" i="14"/>
  <c r="L938" i="14"/>
  <c r="L937" i="14"/>
  <c r="L905" i="14"/>
  <c r="L904" i="14"/>
  <c r="L893" i="14"/>
  <c r="L892" i="14"/>
  <c r="L881" i="14"/>
  <c r="L878" i="14"/>
  <c r="L877" i="14"/>
  <c r="L876" i="14"/>
  <c r="L875" i="14"/>
  <c r="L874" i="14"/>
  <c r="L873" i="14"/>
  <c r="L872" i="14"/>
  <c r="L851" i="14"/>
  <c r="L803" i="14"/>
  <c r="L859" i="14"/>
  <c r="L858" i="14"/>
  <c r="L857" i="14"/>
  <c r="L825" i="14"/>
  <c r="L719" i="14"/>
  <c r="L718" i="14"/>
  <c r="L690" i="14"/>
  <c r="L830" i="14"/>
  <c r="L806" i="14"/>
  <c r="L791" i="14"/>
  <c r="L790" i="14"/>
  <c r="L754" i="14"/>
  <c r="L753" i="14"/>
  <c r="L752" i="14"/>
  <c r="L795" i="14"/>
  <c r="L780" i="14"/>
  <c r="L779" i="14"/>
  <c r="L736" i="14"/>
  <c r="L735" i="14"/>
  <c r="L703" i="14"/>
  <c r="L688" i="14"/>
  <c r="L660" i="14"/>
  <c r="L659" i="14"/>
  <c r="L619" i="14"/>
  <c r="L617" i="14"/>
  <c r="L675" i="14"/>
  <c r="L631" i="14"/>
  <c r="L630" i="14"/>
  <c r="L625" i="14"/>
  <c r="L598" i="14"/>
  <c r="L597" i="14"/>
  <c r="L587" i="14"/>
  <c r="L542" i="14"/>
  <c r="L515" i="14"/>
  <c r="L507" i="14"/>
  <c r="L493" i="14"/>
  <c r="L590" i="14"/>
  <c r="L589" i="14"/>
  <c r="L586" i="14"/>
  <c r="L548" i="14"/>
  <c r="L503" i="14"/>
  <c r="L494" i="14"/>
  <c r="L580" i="14"/>
  <c r="L502" i="14"/>
  <c r="L501" i="14"/>
  <c r="L500" i="14"/>
  <c r="L486" i="14"/>
  <c r="L485" i="14"/>
  <c r="L479" i="14"/>
  <c r="L478" i="14"/>
  <c r="L451" i="14"/>
  <c r="L482" i="14"/>
  <c r="L420" i="14"/>
  <c r="L404" i="14"/>
  <c r="L399" i="14"/>
  <c r="L398" i="14"/>
  <c r="L364" i="14"/>
  <c r="L332" i="14"/>
  <c r="L331" i="14"/>
  <c r="L342" i="14"/>
  <c r="L341" i="14"/>
  <c r="L325" i="14"/>
  <c r="L320" i="14"/>
  <c r="L291" i="14"/>
  <c r="L286" i="14"/>
  <c r="L281" i="14"/>
  <c r="L253" i="14"/>
  <c r="L224" i="14"/>
  <c r="L223" i="14"/>
  <c r="L220" i="14"/>
  <c r="L219" i="14"/>
  <c r="L227" i="14"/>
  <c r="L212" i="14"/>
  <c r="L211" i="14"/>
  <c r="L12" i="14"/>
  <c r="L468" i="14"/>
  <c r="L467" i="14"/>
  <c r="L466" i="14"/>
  <c r="L465" i="14"/>
  <c r="L464" i="14"/>
  <c r="L463" i="14"/>
  <c r="L450" i="14"/>
  <c r="L410" i="14"/>
  <c r="L397" i="14"/>
  <c r="L390" i="14"/>
  <c r="L454" i="14"/>
  <c r="L453" i="14"/>
  <c r="L452" i="14"/>
  <c r="L440" i="14"/>
  <c r="L433" i="14"/>
  <c r="L409" i="14"/>
  <c r="L402" i="14"/>
  <c r="L401" i="14"/>
  <c r="L392" i="14"/>
  <c r="L385" i="14"/>
  <c r="L339" i="14"/>
  <c r="L348" i="14"/>
  <c r="L338" i="14"/>
  <c r="L337" i="14"/>
  <c r="L336" i="14"/>
  <c r="L335" i="14"/>
  <c r="L334" i="14"/>
  <c r="L375" i="14"/>
  <c r="L374" i="14"/>
  <c r="L345" i="14"/>
  <c r="L344" i="14"/>
  <c r="L299" i="14"/>
  <c r="L315" i="14"/>
  <c r="L287" i="14"/>
  <c r="L326" i="14"/>
  <c r="L319" i="14"/>
  <c r="L318" i="14"/>
  <c r="L317" i="14"/>
  <c r="L309" i="14"/>
  <c r="L301" i="14"/>
  <c r="L300" i="14"/>
  <c r="L285" i="14"/>
  <c r="L272" i="14"/>
  <c r="L262" i="14"/>
  <c r="L256" i="14"/>
  <c r="L255" i="14"/>
  <c r="L259" i="14"/>
  <c r="L244" i="14"/>
  <c r="L251" i="14"/>
  <c r="L206" i="14"/>
  <c r="L226" i="14"/>
  <c r="L225" i="14"/>
  <c r="L233" i="14"/>
  <c r="L209" i="14"/>
  <c r="L208" i="14"/>
  <c r="L207" i="14"/>
  <c r="L232" i="14"/>
  <c r="L231" i="14"/>
  <c r="L218" i="14"/>
  <c r="L200" i="14"/>
  <c r="L190" i="14"/>
  <c r="L189" i="14"/>
  <c r="L188" i="14"/>
  <c r="L187" i="14"/>
  <c r="L186" i="14"/>
  <c r="L183" i="14"/>
  <c r="L64" i="14"/>
  <c r="L60" i="14"/>
  <c r="L62" i="14"/>
  <c r="L50" i="14"/>
  <c r="L53" i="14"/>
  <c r="L48" i="14"/>
  <c r="L59" i="14"/>
  <c r="L46" i="14"/>
  <c r="L28" i="14"/>
  <c r="L27" i="14"/>
  <c r="L40" i="14"/>
  <c r="L30" i="14"/>
  <c r="L18" i="14"/>
  <c r="L4" i="14"/>
  <c r="L3" i="14"/>
  <c r="L15" i="14"/>
  <c r="L10" i="14"/>
  <c r="L7" i="14"/>
  <c r="L561" i="14"/>
  <c r="L560" i="14"/>
  <c r="L559" i="14"/>
  <c r="L558" i="14"/>
  <c r="L557" i="14"/>
  <c r="L554" i="14"/>
  <c r="L553" i="14"/>
  <c r="L552" i="14"/>
  <c r="L513" i="14"/>
  <c r="L512" i="14"/>
  <c r="L511" i="14"/>
  <c r="L510" i="14"/>
  <c r="L495" i="14"/>
  <c r="L432" i="14"/>
  <c r="L419" i="14"/>
  <c r="L430" i="14"/>
  <c r="L429" i="14"/>
  <c r="L427" i="14"/>
  <c r="L426" i="14"/>
  <c r="L406" i="14"/>
  <c r="L462" i="14"/>
  <c r="L442" i="14"/>
  <c r="L441" i="14"/>
  <c r="L414" i="14"/>
  <c r="L400" i="14"/>
  <c r="L387" i="14"/>
  <c r="L384" i="14"/>
  <c r="L368" i="14"/>
  <c r="L367" i="14"/>
  <c r="L366" i="14"/>
  <c r="L360" i="14"/>
  <c r="L347" i="14"/>
  <c r="L346" i="14"/>
  <c r="L314" i="14"/>
  <c r="L298" i="14"/>
  <c r="L329" i="14"/>
  <c r="L316" i="14"/>
  <c r="L311" i="14"/>
  <c r="L310" i="14"/>
  <c r="L293" i="14"/>
  <c r="L292" i="14"/>
  <c r="L323" i="14"/>
  <c r="L306" i="14"/>
  <c r="L305" i="14"/>
  <c r="L304" i="14"/>
  <c r="L303" i="14"/>
  <c r="L302" i="14"/>
  <c r="L322" i="14"/>
  <c r="L297" i="14"/>
  <c r="L296" i="14"/>
  <c r="L288" i="14"/>
  <c r="L284" i="14"/>
  <c r="L273" i="14"/>
  <c r="L268" i="14"/>
  <c r="L254" i="14"/>
  <c r="L280" i="14"/>
  <c r="L276" i="14"/>
  <c r="L261" i="14"/>
  <c r="L260" i="14"/>
  <c r="L240" i="14"/>
  <c r="L217" i="14"/>
  <c r="L198" i="14"/>
  <c r="L228" i="14"/>
  <c r="L216" i="14"/>
  <c r="L215" i="14"/>
  <c r="L214" i="14"/>
  <c r="L213" i="14"/>
  <c r="L203" i="14"/>
  <c r="L191" i="14"/>
  <c r="L194" i="14"/>
  <c r="L185" i="14"/>
  <c r="L65" i="14"/>
  <c r="L49" i="14"/>
  <c r="L45" i="14"/>
  <c r="L61" i="14"/>
  <c r="L57" i="14"/>
  <c r="L54" i="14"/>
  <c r="L26" i="14"/>
  <c r="L21" i="14"/>
  <c r="L9" i="14"/>
  <c r="L39" i="14"/>
  <c r="L23" i="14"/>
  <c r="L17" i="14"/>
  <c r="L20" i="14"/>
  <c r="L5" i="14"/>
  <c r="L449" i="14"/>
  <c r="L448" i="14"/>
  <c r="L447" i="14"/>
  <c r="L446" i="14"/>
  <c r="L445" i="14"/>
  <c r="L437" i="14"/>
  <c r="L436" i="14"/>
  <c r="L428" i="14"/>
  <c r="L395" i="14"/>
  <c r="L386" i="14"/>
  <c r="L389" i="14"/>
  <c r="L356" i="14"/>
  <c r="L330" i="14"/>
  <c r="L383" i="14"/>
  <c r="L382" i="14"/>
  <c r="L381" i="14"/>
  <c r="L380" i="14"/>
  <c r="L379" i="14"/>
  <c r="L378" i="14"/>
  <c r="L377" i="14"/>
  <c r="L376" i="14"/>
  <c r="L369" i="14"/>
  <c r="L363" i="14"/>
  <c r="L362" i="14"/>
  <c r="L361" i="14"/>
  <c r="L355" i="14"/>
  <c r="L354" i="14"/>
  <c r="L353" i="14"/>
  <c r="L352" i="14"/>
  <c r="L294" i="14"/>
  <c r="L324" i="14"/>
  <c r="L279" i="14"/>
  <c r="L257" i="14"/>
  <c r="L266" i="14"/>
  <c r="L237" i="14"/>
  <c r="L278" i="14"/>
  <c r="L271" i="14"/>
  <c r="L270" i="14"/>
  <c r="L269" i="14"/>
  <c r="L238" i="14"/>
  <c r="L235" i="14"/>
  <c r="L180" i="14"/>
  <c r="L67" i="14"/>
  <c r="L55" i="14"/>
  <c r="L47" i="14"/>
  <c r="L41" i="14"/>
  <c r="L33" i="14"/>
  <c r="L35" i="14"/>
  <c r="L24" i="14"/>
  <c r="L11" i="14"/>
  <c r="A2" i="13" a="1"/>
  <c r="D17" i="13"/>
  <c r="E18" i="13"/>
  <c r="F19" i="13"/>
  <c r="B21" i="13"/>
  <c r="C22" i="13"/>
  <c r="D23" i="13"/>
  <c r="E24" i="13"/>
  <c r="F25" i="13"/>
  <c r="B27" i="13"/>
  <c r="C28" i="13"/>
  <c r="D29" i="13"/>
  <c r="E30" i="13"/>
  <c r="F31" i="13"/>
  <c r="B33" i="13"/>
  <c r="C34" i="13"/>
  <c r="D35" i="13"/>
  <c r="E36" i="13"/>
  <c r="F37" i="13"/>
  <c r="B39" i="13"/>
  <c r="C40" i="13"/>
  <c r="D41" i="13"/>
  <c r="E42" i="13"/>
  <c r="F43" i="13"/>
  <c r="B45" i="13"/>
  <c r="C46" i="13"/>
  <c r="D47" i="13"/>
  <c r="E48" i="13"/>
  <c r="F49" i="13"/>
  <c r="B51" i="13"/>
  <c r="C52" i="13"/>
  <c r="D53" i="13"/>
  <c r="E54" i="13"/>
  <c r="F55" i="13"/>
  <c r="B57" i="13"/>
  <c r="C58" i="13"/>
  <c r="D59" i="13"/>
  <c r="E60" i="13"/>
  <c r="F61" i="13"/>
  <c r="B63" i="13"/>
  <c r="C64" i="13"/>
  <c r="D65" i="13"/>
  <c r="E66" i="13"/>
  <c r="F67" i="13"/>
  <c r="B69" i="13"/>
  <c r="C70" i="13"/>
  <c r="D71" i="13"/>
  <c r="E72" i="13"/>
  <c r="F73" i="13"/>
  <c r="B75" i="13"/>
  <c r="C76" i="13"/>
  <c r="D77" i="13"/>
  <c r="E78" i="13"/>
  <c r="F79" i="13"/>
  <c r="B81" i="13"/>
  <c r="C82" i="13"/>
  <c r="E17" i="13"/>
  <c r="F18" i="13"/>
  <c r="B20" i="13"/>
  <c r="C21" i="13"/>
  <c r="D22" i="13"/>
  <c r="E23" i="13"/>
  <c r="F24" i="13"/>
  <c r="B26" i="13"/>
  <c r="C27" i="13"/>
  <c r="D28" i="13"/>
  <c r="E29" i="13"/>
  <c r="F30" i="13"/>
  <c r="B32" i="13"/>
  <c r="C33" i="13"/>
  <c r="D34" i="13"/>
  <c r="E35" i="13"/>
  <c r="F36" i="13"/>
  <c r="B38" i="13"/>
  <c r="C39" i="13"/>
  <c r="D40" i="13"/>
  <c r="E41" i="13"/>
  <c r="F42" i="13"/>
  <c r="B44" i="13"/>
  <c r="C45" i="13"/>
  <c r="D46" i="13"/>
  <c r="E47" i="13"/>
  <c r="F48" i="13"/>
  <c r="B50" i="13"/>
  <c r="C51" i="13"/>
  <c r="D52" i="13"/>
  <c r="E53" i="13"/>
  <c r="F54" i="13"/>
  <c r="B56" i="13"/>
  <c r="C57" i="13"/>
  <c r="D58" i="13"/>
  <c r="E59" i="13"/>
  <c r="F60" i="13"/>
  <c r="B62" i="13"/>
  <c r="C63" i="13"/>
  <c r="D64" i="13"/>
  <c r="E65" i="13"/>
  <c r="F66" i="13"/>
  <c r="B68" i="13"/>
  <c r="C69" i="13"/>
  <c r="D70" i="13"/>
  <c r="E71" i="13"/>
  <c r="F72" i="13"/>
  <c r="B74" i="13"/>
  <c r="C75" i="13"/>
  <c r="D76" i="13"/>
  <c r="E77" i="13"/>
  <c r="F78" i="13"/>
  <c r="B80" i="13"/>
  <c r="C81" i="13"/>
  <c r="D82" i="13"/>
  <c r="F17" i="13"/>
  <c r="B19" i="13"/>
  <c r="C20" i="13"/>
  <c r="D21" i="13"/>
  <c r="E22" i="13"/>
  <c r="F23" i="13"/>
  <c r="B25" i="13"/>
  <c r="C26" i="13"/>
  <c r="D27" i="13"/>
  <c r="E28" i="13"/>
  <c r="F29" i="13"/>
  <c r="B31" i="13"/>
  <c r="C32" i="13"/>
  <c r="D33" i="13"/>
  <c r="E34" i="13"/>
  <c r="F35" i="13"/>
  <c r="B37" i="13"/>
  <c r="C38" i="13"/>
  <c r="D39" i="13"/>
  <c r="E40" i="13"/>
  <c r="F41" i="13"/>
  <c r="B43" i="13"/>
  <c r="C44" i="13"/>
  <c r="D45" i="13"/>
  <c r="E46" i="13"/>
  <c r="F47" i="13"/>
  <c r="B49" i="13"/>
  <c r="C50" i="13"/>
  <c r="D51" i="13"/>
  <c r="E52" i="13"/>
  <c r="F53" i="13"/>
  <c r="B55" i="13"/>
  <c r="C56" i="13"/>
  <c r="D57" i="13"/>
  <c r="E58" i="13"/>
  <c r="F59" i="13"/>
  <c r="B61" i="13"/>
  <c r="C62" i="13"/>
  <c r="D63" i="13"/>
  <c r="E64" i="13"/>
  <c r="F65" i="13"/>
  <c r="B67" i="13"/>
  <c r="C68" i="13"/>
  <c r="D69" i="13"/>
  <c r="E70" i="13"/>
  <c r="F71" i="13"/>
  <c r="B18" i="13"/>
  <c r="C19" i="13"/>
  <c r="D20" i="13"/>
  <c r="E21" i="13"/>
  <c r="F22" i="13"/>
  <c r="B24" i="13"/>
  <c r="C25" i="13"/>
  <c r="D26" i="13"/>
  <c r="E27" i="13"/>
  <c r="F28" i="13"/>
  <c r="B30" i="13"/>
  <c r="C31" i="13"/>
  <c r="D32" i="13"/>
  <c r="E33" i="13"/>
  <c r="F34" i="13"/>
  <c r="B36" i="13"/>
  <c r="C37" i="13"/>
  <c r="D38" i="13"/>
  <c r="E39" i="13"/>
  <c r="F40" i="13"/>
  <c r="B42" i="13"/>
  <c r="C43" i="13"/>
  <c r="D44" i="13"/>
  <c r="E45" i="13"/>
  <c r="F46" i="13"/>
  <c r="B48" i="13"/>
  <c r="C49" i="13"/>
  <c r="D50" i="13"/>
  <c r="E51" i="13"/>
  <c r="F52" i="13"/>
  <c r="B54" i="13"/>
  <c r="C55" i="13"/>
  <c r="D56" i="13"/>
  <c r="E57" i="13"/>
  <c r="F58" i="13"/>
  <c r="B60" i="13"/>
  <c r="C61" i="13"/>
  <c r="D62" i="13"/>
  <c r="E63" i="13"/>
  <c r="F64" i="13"/>
  <c r="B66" i="13"/>
  <c r="C67" i="13"/>
  <c r="D68" i="13"/>
  <c r="E69" i="13"/>
  <c r="F70" i="13"/>
  <c r="B72" i="13"/>
  <c r="C73" i="13"/>
  <c r="D74" i="13"/>
  <c r="E75" i="13"/>
  <c r="F76" i="13"/>
  <c r="B78" i="13"/>
  <c r="C79" i="13"/>
  <c r="D80" i="13"/>
  <c r="E81" i="13"/>
  <c r="F82" i="13"/>
  <c r="C18" i="13"/>
  <c r="F21" i="13"/>
  <c r="D25" i="13"/>
  <c r="B29" i="13"/>
  <c r="E32" i="13"/>
  <c r="C36" i="13"/>
  <c r="F39" i="13"/>
  <c r="D43" i="13"/>
  <c r="B47" i="13"/>
  <c r="E50" i="13"/>
  <c r="C54" i="13"/>
  <c r="F57" i="13"/>
  <c r="D61" i="13"/>
  <c r="B65" i="13"/>
  <c r="E68" i="13"/>
  <c r="C72" i="13"/>
  <c r="E74" i="13"/>
  <c r="B77" i="13"/>
  <c r="D79" i="13"/>
  <c r="F81" i="13"/>
  <c r="D18" i="13"/>
  <c r="B22" i="13"/>
  <c r="E25" i="13"/>
  <c r="C29" i="13"/>
  <c r="F32" i="13"/>
  <c r="D36" i="13"/>
  <c r="B40" i="13"/>
  <c r="E43" i="13"/>
  <c r="C47" i="13"/>
  <c r="F50" i="13"/>
  <c r="D54" i="13"/>
  <c r="B58" i="13"/>
  <c r="E61" i="13"/>
  <c r="C65" i="13"/>
  <c r="F68" i="13"/>
  <c r="D72" i="13"/>
  <c r="F74" i="13"/>
  <c r="C77" i="13"/>
  <c r="E79" i="13"/>
  <c r="B82" i="13"/>
  <c r="D19" i="13"/>
  <c r="B23" i="13"/>
  <c r="E26" i="13"/>
  <c r="C30" i="13"/>
  <c r="F33" i="13"/>
  <c r="D37" i="13"/>
  <c r="B41" i="13"/>
  <c r="E44" i="13"/>
  <c r="C48" i="13"/>
  <c r="F51" i="13"/>
  <c r="D55" i="13"/>
  <c r="B59" i="13"/>
  <c r="E62" i="13"/>
  <c r="C66" i="13"/>
  <c r="F69" i="13"/>
  <c r="B73" i="13"/>
  <c r="D75" i="13"/>
  <c r="F77" i="13"/>
  <c r="C80" i="13"/>
  <c r="E82" i="13"/>
  <c r="E19" i="13"/>
  <c r="C23" i="13"/>
  <c r="F26" i="13"/>
  <c r="D30" i="13"/>
  <c r="B34" i="13"/>
  <c r="E37" i="13"/>
  <c r="C41" i="13"/>
  <c r="F44" i="13"/>
  <c r="D48" i="13"/>
  <c r="B52" i="13"/>
  <c r="E55" i="13"/>
  <c r="C59" i="13"/>
  <c r="F62" i="13"/>
  <c r="D66" i="13"/>
  <c r="B70" i="13"/>
  <c r="D73" i="13"/>
  <c r="F75" i="13"/>
  <c r="C78" i="13"/>
  <c r="E80" i="13"/>
  <c r="B17" i="13"/>
  <c r="E20" i="13"/>
  <c r="C24" i="13"/>
  <c r="F27" i="13"/>
  <c r="D31" i="13"/>
  <c r="B35" i="13"/>
  <c r="E38" i="13"/>
  <c r="C42" i="13"/>
  <c r="F45" i="13"/>
  <c r="D49" i="13"/>
  <c r="B53" i="13"/>
  <c r="E56" i="13"/>
  <c r="C60" i="13"/>
  <c r="F63" i="13"/>
  <c r="D67" i="13"/>
  <c r="B71" i="13"/>
  <c r="E73" i="13"/>
  <c r="B76" i="13"/>
  <c r="D78" i="13"/>
  <c r="F80" i="13"/>
  <c r="C17" i="13"/>
  <c r="F20" i="13"/>
  <c r="D24" i="13"/>
  <c r="B28" i="13"/>
  <c r="E31" i="13"/>
  <c r="C35" i="13"/>
  <c r="F38" i="13"/>
  <c r="D42" i="13"/>
  <c r="B46" i="13"/>
  <c r="E49" i="13"/>
  <c r="C53" i="13"/>
  <c r="F56" i="13"/>
  <c r="D60" i="13"/>
  <c r="B64" i="13"/>
  <c r="E67" i="13"/>
  <c r="C71" i="13"/>
  <c r="C74" i="13"/>
  <c r="E76" i="13"/>
  <c r="B79" i="13"/>
  <c r="D81" i="13"/>
  <c r="K29" i="4"/>
  <c r="K195" i="1" s="1" a="1"/>
  <c r="K195" i="1" s="1"/>
  <c r="L195" i="14" s="1"/>
  <c r="K13" i="4"/>
  <c r="K234" i="1" s="1" a="1"/>
  <c r="K234" i="1" s="1"/>
  <c r="L234" i="14" s="1"/>
  <c r="K20" i="4"/>
  <c r="K119" i="1" s="1" a="1"/>
  <c r="K119" i="1" s="1"/>
  <c r="L119" i="14" s="1"/>
  <c r="K4" i="4"/>
  <c r="K178" i="1" s="1" a="1"/>
  <c r="K178" i="1" s="1"/>
  <c r="L178" i="14" s="1"/>
  <c r="K23" i="4"/>
  <c r="K172" i="1" s="1" a="1"/>
  <c r="K172" i="1" s="1"/>
  <c r="L172" i="14" s="1"/>
  <c r="K6" i="4"/>
  <c r="K117" i="1" s="1" a="1"/>
  <c r="K117" i="1" s="1"/>
  <c r="L117" i="14" s="1"/>
  <c r="K7" i="4"/>
  <c r="K140" i="1" s="1" a="1"/>
  <c r="K140" i="1" s="1"/>
  <c r="L140" i="14" s="1"/>
  <c r="K14" i="4"/>
  <c r="K205" i="1" s="1" a="1"/>
  <c r="K205" i="1" s="1"/>
  <c r="L205" i="14" s="1"/>
  <c r="K34" i="4"/>
  <c r="K245" i="1" s="1" a="1"/>
  <c r="K245" i="1" s="1"/>
  <c r="L245" i="14" s="1"/>
  <c r="K17" i="4"/>
  <c r="K137" i="1" s="1" a="1"/>
  <c r="K137" i="1" s="1"/>
  <c r="L137" i="14" s="1"/>
  <c r="K36" i="4"/>
  <c r="K115" i="1" s="1" a="1"/>
  <c r="K115" i="1" s="1"/>
  <c r="L115" i="14" s="1"/>
  <c r="K37" i="4"/>
  <c r="K118" i="1" s="1" a="1"/>
  <c r="K118" i="1" s="1"/>
  <c r="L118" i="14" s="1"/>
  <c r="K8" i="4"/>
  <c r="K166" i="1" s="1" a="1"/>
  <c r="K166" i="1" s="1"/>
  <c r="L166" i="14" s="1"/>
  <c r="K21" i="4"/>
  <c r="K199" i="1" s="1" a="1"/>
  <c r="K199" i="1" s="1"/>
  <c r="L199" i="14" s="1"/>
  <c r="K28" i="4"/>
  <c r="K126" i="1" s="1" a="1"/>
  <c r="K126" i="1" s="1"/>
  <c r="L126" i="14" s="1"/>
  <c r="K30" i="4"/>
  <c r="K136" i="1" s="1" a="1"/>
  <c r="K136" i="1" s="1"/>
  <c r="L136" i="14" s="1"/>
  <c r="K31" i="4"/>
  <c r="K143" i="1" s="1" a="1"/>
  <c r="K143" i="1" s="1"/>
  <c r="L143" i="14" s="1"/>
  <c r="K38" i="4"/>
  <c r="K247" i="1" s="1" a="1"/>
  <c r="K247" i="1" s="1"/>
  <c r="L247" i="14" s="1"/>
  <c r="K15" i="4"/>
  <c r="K113" i="1" s="1" a="1"/>
  <c r="K113" i="1" s="1"/>
  <c r="L113" i="14" s="1"/>
  <c r="K22" i="4"/>
  <c r="K160" i="1" s="1" a="1"/>
  <c r="K160" i="1" s="1"/>
  <c r="L160" i="14" s="1"/>
  <c r="K41" i="4"/>
  <c r="K252" i="1" s="1" a="1"/>
  <c r="K252" i="1" s="1"/>
  <c r="L252" i="14" s="1"/>
  <c r="K5" i="4"/>
  <c r="K147" i="1" s="1" a="1"/>
  <c r="K147" i="1" s="1"/>
  <c r="L147" i="14" s="1"/>
  <c r="K24" i="4"/>
  <c r="K131" i="1" s="1" a="1"/>
  <c r="K131" i="1" s="1"/>
  <c r="L131" i="14" s="1"/>
  <c r="K32" i="4"/>
  <c r="K201" i="1" s="1" a="1"/>
  <c r="K201" i="1" s="1"/>
  <c r="L201" i="14" s="1"/>
  <c r="K9" i="4"/>
  <c r="K243" i="1" s="1" a="1"/>
  <c r="K243" i="1" s="1"/>
  <c r="L243" i="14" s="1"/>
  <c r="K16" i="4"/>
  <c r="K184" i="1" s="1" a="1"/>
  <c r="K184" i="1" s="1"/>
  <c r="L184" i="14" s="1"/>
  <c r="K35" i="4"/>
  <c r="K139" i="1" s="1" a="1"/>
  <c r="K139" i="1" s="1"/>
  <c r="L139" i="14" s="1"/>
  <c r="K18" i="4"/>
  <c r="K152" i="1" s="1" a="1"/>
  <c r="K152" i="1" s="1"/>
  <c r="L152" i="14" s="1"/>
  <c r="K26" i="4"/>
  <c r="K148" i="1" s="1" a="1"/>
  <c r="K148" i="1" s="1"/>
  <c r="L148" i="14" s="1"/>
  <c r="K3" i="4"/>
  <c r="K193" i="1" s="1" a="1"/>
  <c r="K193" i="1" s="1"/>
  <c r="L193" i="14" s="1"/>
  <c r="K2" i="1" a="1"/>
  <c r="K2" i="1" s="1"/>
  <c r="L2" i="14" s="1"/>
  <c r="D2" i="8"/>
  <c r="G2" i="8" s="1"/>
  <c r="E2" i="8"/>
  <c r="H2" i="8" s="1"/>
  <c r="K150" i="12"/>
  <c r="J411" i="12"/>
  <c r="K180" i="12"/>
  <c r="J121" i="12"/>
  <c r="J300" i="12"/>
  <c r="H295" i="12"/>
  <c r="H409" i="12"/>
  <c r="K103" i="12"/>
  <c r="H413" i="12"/>
  <c r="K217" i="12"/>
  <c r="H368" i="12"/>
  <c r="H198" i="12"/>
  <c r="H255" i="12"/>
  <c r="J235" i="12"/>
  <c r="H348" i="12"/>
  <c r="K166" i="12"/>
  <c r="H272" i="12"/>
  <c r="J429" i="12"/>
  <c r="H311" i="12"/>
  <c r="H318" i="12"/>
  <c r="J318" i="12"/>
  <c r="J83" i="12"/>
  <c r="H336" i="12"/>
  <c r="H187" i="12"/>
  <c r="H121" i="12"/>
  <c r="J196" i="12"/>
  <c r="J325" i="12"/>
  <c r="H194" i="12"/>
  <c r="J394" i="12"/>
  <c r="H376" i="12"/>
  <c r="H197" i="12"/>
  <c r="H422" i="12"/>
  <c r="J228" i="12"/>
  <c r="J396" i="12"/>
  <c r="H183" i="12"/>
  <c r="J443" i="12"/>
  <c r="K241" i="12"/>
  <c r="H417" i="12"/>
  <c r="H433" i="12"/>
  <c r="H126" i="12"/>
  <c r="H292" i="12"/>
  <c r="K190" i="12"/>
  <c r="H315" i="12"/>
  <c r="J136" i="12"/>
  <c r="J430" i="12"/>
  <c r="K194" i="12"/>
  <c r="H346" i="12"/>
  <c r="J420" i="12"/>
  <c r="K93" i="12"/>
  <c r="H383" i="12"/>
  <c r="H360" i="12"/>
  <c r="J202" i="12"/>
  <c r="H320" i="12"/>
  <c r="H113" i="12"/>
  <c r="H233" i="12"/>
  <c r="J206" i="12"/>
  <c r="J149" i="12"/>
  <c r="H95" i="12"/>
  <c r="J322" i="12"/>
  <c r="J398" i="12"/>
  <c r="J205" i="12"/>
  <c r="H271" i="12"/>
  <c r="H105" i="12"/>
  <c r="J384" i="12"/>
  <c r="K152" i="12"/>
  <c r="J177" i="12"/>
  <c r="K158" i="12"/>
  <c r="J340" i="12"/>
  <c r="K115" i="12"/>
  <c r="H237" i="12"/>
  <c r="J232" i="12"/>
  <c r="H148" i="12"/>
  <c r="J433" i="12"/>
  <c r="J364" i="12"/>
  <c r="J441" i="12"/>
  <c r="K78" i="12"/>
  <c r="H191" i="12"/>
  <c r="K219" i="12"/>
  <c r="K119" i="12"/>
  <c r="H419" i="12"/>
  <c r="H230" i="12"/>
  <c r="H322" i="12"/>
  <c r="J293" i="12"/>
  <c r="H101" i="12"/>
  <c r="J88" i="12"/>
  <c r="J253" i="12"/>
  <c r="H266" i="12"/>
  <c r="J86" i="12"/>
  <c r="J272" i="12"/>
  <c r="H236" i="12"/>
  <c r="K226" i="12"/>
  <c r="K149" i="12"/>
  <c r="J288" i="12"/>
  <c r="K185" i="12"/>
  <c r="K235" i="12"/>
  <c r="H402" i="12"/>
  <c r="J341" i="12"/>
  <c r="J97" i="12"/>
  <c r="H162" i="12"/>
  <c r="J197" i="12"/>
  <c r="H264" i="12"/>
  <c r="H141" i="12"/>
  <c r="H400" i="12"/>
  <c r="K116" i="12"/>
  <c r="J185" i="12"/>
  <c r="J114" i="12"/>
  <c r="H180" i="12"/>
  <c r="H390" i="12"/>
  <c r="J209" i="12"/>
  <c r="H412" i="12"/>
  <c r="J309" i="12"/>
  <c r="J329" i="12"/>
  <c r="J100" i="12"/>
  <c r="J292" i="12"/>
  <c r="J365" i="12"/>
  <c r="H385" i="12"/>
  <c r="J81" i="12"/>
  <c r="H83" i="12"/>
  <c r="H364" i="12"/>
  <c r="H391" i="12"/>
  <c r="J173" i="12"/>
  <c r="H355" i="12"/>
  <c r="H357" i="12"/>
  <c r="H169" i="12"/>
  <c r="H347" i="12"/>
  <c r="H270" i="12"/>
  <c r="H93" i="12"/>
  <c r="H246" i="12"/>
  <c r="K113" i="12"/>
  <c r="J77" i="12"/>
  <c r="H281" i="12"/>
  <c r="J434" i="12"/>
  <c r="J207" i="12"/>
  <c r="J337" i="12"/>
  <c r="K90" i="12"/>
  <c r="H173" i="12"/>
  <c r="H158" i="12"/>
  <c r="H91" i="12"/>
  <c r="J192" i="12"/>
  <c r="J223" i="12"/>
  <c r="J446" i="12"/>
  <c r="J160" i="12"/>
  <c r="H331" i="12"/>
  <c r="J134" i="12"/>
  <c r="K111" i="12"/>
  <c r="J310" i="12"/>
  <c r="J397" i="12"/>
  <c r="H372" i="12"/>
  <c r="J261" i="12"/>
  <c r="H386" i="12"/>
  <c r="K245" i="12"/>
  <c r="H312" i="12"/>
  <c r="H90" i="12"/>
  <c r="J252" i="12"/>
  <c r="H276" i="12"/>
  <c r="H248" i="12"/>
  <c r="J270" i="12"/>
  <c r="H131" i="12"/>
  <c r="J170" i="12"/>
  <c r="K251" i="12"/>
  <c r="J142" i="12"/>
  <c r="K77" i="12"/>
  <c r="K192" i="12"/>
  <c r="J323" i="12"/>
  <c r="J351" i="12"/>
  <c r="H332" i="12"/>
  <c r="J210" i="12"/>
  <c r="J108" i="12"/>
  <c r="H359" i="12"/>
  <c r="H334" i="12"/>
  <c r="H274" i="12"/>
  <c r="H201" i="12"/>
  <c r="H408" i="12"/>
  <c r="H392" i="12"/>
  <c r="J178" i="12"/>
  <c r="J367" i="12"/>
  <c r="H254" i="12"/>
  <c r="H184" i="12"/>
  <c r="J414" i="12"/>
  <c r="H301" i="12"/>
  <c r="J275" i="12"/>
  <c r="K239" i="12"/>
  <c r="J360" i="12"/>
  <c r="H375" i="12"/>
  <c r="J363" i="12"/>
  <c r="H102" i="12"/>
  <c r="H434" i="12"/>
  <c r="J298" i="12"/>
  <c r="K177" i="12"/>
  <c r="H352" i="12"/>
  <c r="J154" i="12"/>
  <c r="J212" i="12"/>
  <c r="J377" i="12"/>
  <c r="J101" i="12"/>
  <c r="H345" i="12"/>
  <c r="K176" i="12"/>
  <c r="J356" i="12"/>
  <c r="H117" i="12"/>
  <c r="H435" i="12"/>
  <c r="H394" i="12"/>
  <c r="J331" i="12"/>
  <c r="H224" i="12"/>
  <c r="J343" i="12"/>
  <c r="H151" i="12"/>
  <c r="J219" i="12"/>
  <c r="J422" i="12"/>
  <c r="H168" i="12"/>
  <c r="J82" i="12"/>
  <c r="K168" i="12"/>
  <c r="H221" i="12"/>
  <c r="J424" i="12"/>
  <c r="H403" i="12"/>
  <c r="J418" i="12"/>
  <c r="H160" i="12"/>
  <c r="J308" i="12"/>
  <c r="J266" i="12"/>
  <c r="H256" i="12"/>
  <c r="J188" i="12"/>
  <c r="J346" i="12"/>
  <c r="J357" i="12"/>
  <c r="J415" i="12"/>
  <c r="K138" i="12"/>
  <c r="J328" i="12"/>
  <c r="H106" i="12"/>
  <c r="J169" i="12"/>
  <c r="H404" i="12"/>
  <c r="H323" i="12"/>
  <c r="H250" i="12"/>
  <c r="J201" i="12"/>
  <c r="H297" i="12"/>
  <c r="J226" i="12"/>
  <c r="H138" i="12"/>
  <c r="H328" i="12"/>
  <c r="H341" i="12"/>
  <c r="H374" i="12"/>
  <c r="K84" i="12"/>
  <c r="H205" i="12"/>
  <c r="K244" i="12"/>
  <c r="J132" i="12"/>
  <c r="J302" i="12"/>
  <c r="J332" i="12"/>
  <c r="K100" i="12"/>
  <c r="H317" i="12"/>
  <c r="J171" i="12"/>
  <c r="J338" i="12"/>
  <c r="H247" i="12"/>
  <c r="J349" i="12"/>
  <c r="J217" i="12"/>
  <c r="J247" i="12"/>
  <c r="J425" i="12"/>
  <c r="J146" i="12"/>
  <c r="H387" i="12"/>
  <c r="J371" i="12"/>
  <c r="J385" i="12"/>
  <c r="J256" i="12"/>
  <c r="J403" i="12"/>
  <c r="H353" i="12"/>
  <c r="J99" i="12"/>
  <c r="J165" i="12"/>
  <c r="K105" i="12"/>
  <c r="H242" i="12"/>
  <c r="H124" i="12"/>
  <c r="K229" i="12"/>
  <c r="H325" i="12"/>
  <c r="J175" i="12"/>
  <c r="J366" i="12"/>
  <c r="J282" i="12"/>
  <c r="H326" i="12"/>
  <c r="H94" i="12"/>
  <c r="K135" i="12"/>
  <c r="K199" i="12"/>
  <c r="J147" i="12"/>
  <c r="H210" i="12"/>
  <c r="H415" i="12"/>
  <c r="J375" i="12"/>
  <c r="J116" i="12"/>
  <c r="H149" i="12"/>
  <c r="J389" i="12"/>
  <c r="J112" i="12"/>
  <c r="H206" i="12"/>
  <c r="J225" i="12"/>
  <c r="K207" i="12"/>
  <c r="H185" i="12"/>
  <c r="H226" i="12"/>
  <c r="J431" i="12"/>
  <c r="J183" i="12"/>
  <c r="J249" i="12"/>
  <c r="J143" i="12"/>
  <c r="J255" i="12"/>
  <c r="J214" i="12"/>
  <c r="K193" i="12"/>
  <c r="H373" i="12"/>
  <c r="H137" i="12"/>
  <c r="H382" i="12"/>
  <c r="K92" i="12"/>
  <c r="H241" i="12"/>
  <c r="J267" i="12"/>
  <c r="K154" i="12"/>
  <c r="J265" i="12"/>
  <c r="H211" i="12"/>
  <c r="H268" i="12"/>
  <c r="H411" i="12"/>
  <c r="H196" i="12"/>
  <c r="J262" i="12"/>
  <c r="H319" i="12"/>
  <c r="H426" i="12"/>
  <c r="H219" i="12"/>
  <c r="J321" i="12"/>
  <c r="J380" i="12"/>
  <c r="J413" i="12"/>
  <c r="J194" i="12"/>
  <c r="J91" i="12"/>
  <c r="J89" i="12"/>
  <c r="H388" i="12"/>
  <c r="J96" i="12"/>
  <c r="H263" i="12"/>
  <c r="J244" i="12"/>
  <c r="J283" i="12"/>
  <c r="H239" i="12"/>
  <c r="K242" i="12"/>
  <c r="H119" i="12"/>
  <c r="K128" i="12"/>
  <c r="H249" i="12"/>
  <c r="H89" i="12"/>
  <c r="J373" i="12"/>
  <c r="H155" i="12"/>
  <c r="K234" i="12"/>
  <c r="J94" i="12"/>
  <c r="H234" i="12"/>
  <c r="H344" i="12"/>
  <c r="J312" i="12"/>
  <c r="J334" i="12"/>
  <c r="H431" i="12"/>
  <c r="H356" i="12"/>
  <c r="H370" i="12"/>
  <c r="J222" i="12"/>
  <c r="J352" i="12"/>
  <c r="J417" i="12"/>
  <c r="J241" i="12"/>
  <c r="H120" i="12"/>
  <c r="H273" i="12"/>
  <c r="K156" i="12"/>
  <c r="H112" i="12"/>
  <c r="H340" i="12"/>
  <c r="J400" i="12"/>
  <c r="J376" i="12"/>
  <c r="J350" i="12"/>
  <c r="J115" i="12"/>
  <c r="J102" i="12"/>
  <c r="H350" i="12"/>
  <c r="K178" i="12"/>
  <c r="H204" i="12"/>
  <c r="J208" i="12"/>
  <c r="J161" i="12"/>
  <c r="K125" i="12"/>
  <c r="K117" i="12"/>
  <c r="H200" i="12"/>
  <c r="J276" i="12"/>
  <c r="H118" i="12"/>
  <c r="J84" i="12"/>
  <c r="J333" i="12"/>
  <c r="J172" i="12"/>
  <c r="H209" i="12"/>
  <c r="K153" i="12"/>
  <c r="H261" i="12"/>
  <c r="J317" i="12"/>
  <c r="J233" i="12"/>
  <c r="K147" i="12"/>
  <c r="J105" i="12"/>
  <c r="J237" i="12"/>
  <c r="K172" i="12"/>
  <c r="K132" i="12"/>
  <c r="K126" i="12"/>
  <c r="H163" i="12"/>
  <c r="K165" i="12"/>
  <c r="H229" i="12"/>
  <c r="J361" i="12"/>
  <c r="H174" i="12"/>
  <c r="J179" i="12"/>
  <c r="K187" i="12"/>
  <c r="H393" i="12"/>
  <c r="H298" i="12"/>
  <c r="J264" i="12"/>
  <c r="H189" i="12"/>
  <c r="J159" i="12"/>
  <c r="H398" i="12"/>
  <c r="K123" i="12"/>
  <c r="H228" i="12"/>
  <c r="H365" i="12"/>
  <c r="K94" i="12"/>
  <c r="K145" i="12"/>
  <c r="J227" i="12"/>
  <c r="H307" i="12"/>
  <c r="K80" i="12"/>
  <c r="H212" i="12"/>
  <c r="H305" i="12"/>
  <c r="J124" i="12"/>
  <c r="H123" i="12"/>
  <c r="K195" i="12"/>
  <c r="J327" i="12"/>
  <c r="K104" i="12"/>
  <c r="K249" i="12"/>
  <c r="K122" i="12"/>
  <c r="H231" i="12"/>
  <c r="J107" i="12"/>
  <c r="H100" i="12"/>
  <c r="J79" i="12"/>
  <c r="J131" i="12"/>
  <c r="H371" i="12"/>
  <c r="K171" i="12"/>
  <c r="J98" i="12"/>
  <c r="J358" i="12"/>
  <c r="J370" i="12"/>
  <c r="H414" i="12"/>
  <c r="J435" i="12"/>
  <c r="J440" i="12"/>
  <c r="J189" i="12"/>
  <c r="K114" i="12"/>
  <c r="H377" i="12"/>
  <c r="J416" i="12"/>
  <c r="H153" i="12"/>
  <c r="J224" i="12"/>
  <c r="H235" i="12"/>
  <c r="J348" i="12"/>
  <c r="H313" i="12"/>
  <c r="J139" i="12"/>
  <c r="H109" i="12"/>
  <c r="J258" i="12"/>
  <c r="J362" i="12"/>
  <c r="H378" i="12"/>
  <c r="J374" i="12"/>
  <c r="H416" i="12"/>
  <c r="H107" i="12"/>
  <c r="K161" i="12"/>
  <c r="H277" i="12"/>
  <c r="J234" i="12"/>
  <c r="J87" i="12"/>
  <c r="H406" i="12"/>
  <c r="J295" i="12"/>
  <c r="H190" i="12"/>
  <c r="K202" i="12"/>
  <c r="J369" i="12"/>
  <c r="J211" i="12"/>
  <c r="H290" i="12"/>
  <c r="J140" i="12"/>
  <c r="K248" i="12"/>
  <c r="J257" i="12"/>
  <c r="K133" i="12"/>
  <c r="J280" i="12"/>
  <c r="J193" i="12"/>
  <c r="K102" i="12"/>
  <c r="K173" i="12"/>
  <c r="H128" i="12"/>
  <c r="J279" i="12"/>
  <c r="H166" i="12"/>
  <c r="H245" i="12"/>
  <c r="H285" i="12"/>
  <c r="H225" i="12"/>
  <c r="H223" i="12"/>
  <c r="H152" i="12"/>
  <c r="J432" i="12"/>
  <c r="H358" i="12"/>
  <c r="H401" i="12"/>
  <c r="K101" i="12"/>
  <c r="J236" i="12"/>
  <c r="K204" i="12"/>
  <c r="H136" i="12"/>
  <c r="K225" i="12"/>
  <c r="J190" i="12"/>
  <c r="H143" i="12"/>
  <c r="H129" i="12"/>
  <c r="K134" i="12"/>
  <c r="H154" i="12"/>
  <c r="H287" i="12"/>
  <c r="H134" i="12"/>
  <c r="K146" i="12"/>
  <c r="H111" i="12"/>
  <c r="H384" i="12"/>
  <c r="J405" i="12"/>
  <c r="J281" i="12"/>
  <c r="J220" i="12"/>
  <c r="K151" i="12"/>
  <c r="H178" i="12"/>
  <c r="H85" i="12"/>
  <c r="J404" i="12"/>
  <c r="H114" i="12"/>
  <c r="J251" i="12"/>
  <c r="J195" i="12"/>
  <c r="K142" i="12"/>
  <c r="K120" i="12"/>
  <c r="H175" i="12"/>
  <c r="K79" i="12"/>
  <c r="K91" i="12"/>
  <c r="K238" i="12"/>
  <c r="H156" i="12"/>
  <c r="K182" i="12"/>
  <c r="H379" i="12"/>
  <c r="K121" i="12"/>
  <c r="J93" i="12"/>
  <c r="H79" i="12"/>
  <c r="J95" i="12"/>
  <c r="J383" i="12"/>
  <c r="H215" i="12"/>
  <c r="K139" i="12"/>
  <c r="H381" i="12"/>
  <c r="J162" i="12"/>
  <c r="J155" i="12"/>
  <c r="H172" i="12"/>
  <c r="H208" i="12"/>
  <c r="H300" i="12"/>
  <c r="J335" i="12"/>
  <c r="K86" i="12"/>
  <c r="J127" i="12"/>
  <c r="H240" i="12"/>
  <c r="H181" i="12"/>
  <c r="J150" i="12"/>
  <c r="J381" i="12"/>
  <c r="K189" i="12"/>
  <c r="J181" i="12"/>
  <c r="J187" i="12"/>
  <c r="K143" i="12"/>
  <c r="K87" i="12"/>
  <c r="J126" i="12"/>
  <c r="K167" i="12"/>
  <c r="J213" i="12"/>
  <c r="K253" i="12"/>
  <c r="K237" i="12"/>
  <c r="K148" i="12"/>
  <c r="H222" i="12"/>
  <c r="H279" i="12"/>
  <c r="H329" i="12"/>
  <c r="H199" i="12"/>
  <c r="J166" i="12"/>
  <c r="K157" i="12"/>
  <c r="J240" i="12"/>
  <c r="K183" i="12"/>
  <c r="J157" i="12"/>
  <c r="J284" i="12"/>
  <c r="J182" i="12"/>
  <c r="K224" i="12"/>
  <c r="H275" i="12"/>
  <c r="K175" i="12"/>
  <c r="H188" i="12"/>
  <c r="H104" i="12"/>
  <c r="H145" i="12"/>
  <c r="K220" i="12"/>
  <c r="K222" i="12"/>
  <c r="J138" i="12"/>
  <c r="J290" i="12"/>
  <c r="K228" i="12"/>
  <c r="H302" i="12"/>
  <c r="K240" i="12"/>
  <c r="K81" i="12"/>
  <c r="H80" i="12"/>
  <c r="H405" i="12"/>
  <c r="H195" i="12"/>
  <c r="H251" i="12"/>
  <c r="J311" i="12"/>
  <c r="J379" i="12"/>
  <c r="H147" i="12"/>
  <c r="K250" i="12"/>
  <c r="H165" i="12"/>
  <c r="H103" i="12"/>
  <c r="H339" i="12"/>
  <c r="J391" i="12"/>
  <c r="H363" i="12"/>
  <c r="J319" i="12"/>
  <c r="J386" i="12"/>
  <c r="J269" i="12"/>
  <c r="K85" i="12"/>
  <c r="J125" i="12"/>
  <c r="H87" i="12"/>
  <c r="K130" i="12"/>
  <c r="J344" i="12"/>
  <c r="H366" i="12"/>
  <c r="K216" i="12"/>
  <c r="K164" i="12"/>
  <c r="K110" i="12"/>
  <c r="J200" i="12"/>
  <c r="J176" i="12"/>
  <c r="K112" i="12"/>
  <c r="J130" i="12"/>
  <c r="H361" i="12"/>
  <c r="H304" i="12"/>
  <c r="H164" i="12"/>
  <c r="H432" i="12"/>
  <c r="K82" i="12"/>
  <c r="H171" i="12"/>
  <c r="H116" i="12"/>
  <c r="J273" i="12"/>
  <c r="J120" i="12"/>
  <c r="H157" i="12"/>
  <c r="J198" i="12"/>
  <c r="J399" i="12"/>
  <c r="H380" i="12"/>
  <c r="J271" i="12"/>
  <c r="H220" i="12"/>
  <c r="J437" i="12"/>
  <c r="J239" i="12"/>
  <c r="J438" i="12"/>
  <c r="K144" i="12"/>
  <c r="J260" i="12"/>
  <c r="H324" i="12"/>
  <c r="J303" i="12"/>
  <c r="J285" i="12"/>
  <c r="H310" i="12"/>
  <c r="J174" i="12"/>
  <c r="J330" i="12"/>
  <c r="K210" i="12"/>
  <c r="K233" i="12"/>
  <c r="H108" i="12"/>
  <c r="H232" i="12"/>
  <c r="J168" i="12"/>
  <c r="H98" i="12"/>
  <c r="J410" i="12"/>
  <c r="H424" i="12"/>
  <c r="H243" i="12"/>
  <c r="H396" i="12"/>
  <c r="J141" i="12"/>
  <c r="K200" i="12"/>
  <c r="H257" i="12"/>
  <c r="J339" i="12"/>
  <c r="J314" i="12"/>
  <c r="J423" i="12"/>
  <c r="K181" i="12"/>
  <c r="J92" i="12"/>
  <c r="J110" i="12"/>
  <c r="H278" i="12"/>
  <c r="H135" i="12"/>
  <c r="H97" i="12"/>
  <c r="K155" i="12"/>
  <c r="H192" i="12"/>
  <c r="H428" i="12"/>
  <c r="J248" i="12"/>
  <c r="J137" i="12"/>
  <c r="J180" i="12"/>
  <c r="J388" i="12"/>
  <c r="J186" i="12"/>
  <c r="K188" i="12"/>
  <c r="H115" i="12"/>
  <c r="K160" i="12"/>
  <c r="H258" i="12"/>
  <c r="J119" i="12"/>
  <c r="H125" i="12"/>
  <c r="H321" i="12"/>
  <c r="K163" i="12"/>
  <c r="J368" i="12"/>
  <c r="H193" i="12"/>
  <c r="K174" i="12"/>
  <c r="J111" i="12"/>
  <c r="J419" i="12"/>
  <c r="J408" i="12"/>
  <c r="J353" i="12"/>
  <c r="H429" i="12"/>
  <c r="H130" i="12"/>
  <c r="H427" i="12"/>
  <c r="H349" i="12"/>
  <c r="H142" i="12"/>
  <c r="J336" i="12"/>
  <c r="K252" i="12"/>
  <c r="H282" i="12"/>
  <c r="H333" i="12"/>
  <c r="J392" i="12"/>
  <c r="K88" i="12"/>
  <c r="H283" i="12"/>
  <c r="H369" i="12"/>
  <c r="K231" i="12"/>
  <c r="J342" i="12"/>
  <c r="K137" i="12"/>
  <c r="K159" i="12"/>
  <c r="J216" i="12"/>
  <c r="J144" i="12"/>
  <c r="K214" i="12"/>
  <c r="J382" i="12"/>
  <c r="J306" i="12"/>
  <c r="H213" i="12"/>
  <c r="H335" i="12"/>
  <c r="J204" i="12"/>
  <c r="J122" i="12"/>
  <c r="K208" i="12"/>
  <c r="J378" i="12"/>
  <c r="J372" i="12"/>
  <c r="J326" i="12"/>
  <c r="H244" i="12"/>
  <c r="H425" i="12"/>
  <c r="J145" i="12"/>
  <c r="H342" i="12"/>
  <c r="H289" i="12"/>
  <c r="J304" i="12"/>
  <c r="J85" i="12"/>
  <c r="K223" i="12"/>
  <c r="J117" i="12"/>
  <c r="K97" i="12"/>
  <c r="J123" i="12"/>
  <c r="J90" i="12"/>
  <c r="H140" i="12"/>
  <c r="K215" i="12"/>
  <c r="J427" i="12"/>
  <c r="J407" i="12"/>
  <c r="H410" i="12"/>
  <c r="H418" i="12"/>
  <c r="K186" i="12"/>
  <c r="K83" i="12"/>
  <c r="H253" i="12"/>
  <c r="K179" i="12"/>
  <c r="J393" i="12"/>
  <c r="H92" i="12"/>
  <c r="H259" i="12"/>
  <c r="H293" i="12"/>
  <c r="H351" i="12"/>
  <c r="K118" i="12"/>
  <c r="H327" i="12"/>
  <c r="K89" i="12"/>
  <c r="J164" i="12"/>
  <c r="J199" i="12"/>
  <c r="H420" i="12"/>
  <c r="J167" i="12"/>
  <c r="J307" i="12"/>
  <c r="J287" i="12"/>
  <c r="H430" i="12"/>
  <c r="J78" i="12"/>
  <c r="K246" i="12"/>
  <c r="H362" i="12"/>
  <c r="J238" i="12"/>
  <c r="J148" i="12"/>
  <c r="H399" i="12"/>
  <c r="H133" i="12"/>
  <c r="H88" i="12"/>
  <c r="H288" i="12"/>
  <c r="K196" i="12"/>
  <c r="J390" i="12"/>
  <c r="J191" i="12"/>
  <c r="H82" i="12"/>
  <c r="K197" i="12"/>
  <c r="J268" i="12"/>
  <c r="J286" i="12"/>
  <c r="J263" i="12"/>
  <c r="H316" i="12"/>
  <c r="K109" i="12"/>
  <c r="J163" i="12"/>
  <c r="J359" i="12"/>
  <c r="J129" i="12"/>
  <c r="J289" i="12"/>
  <c r="J297" i="12"/>
  <c r="J254" i="12"/>
  <c r="H132" i="12"/>
  <c r="K221" i="12"/>
  <c r="K95" i="12"/>
  <c r="J135" i="12"/>
  <c r="H421" i="12"/>
  <c r="H436" i="12"/>
  <c r="K212" i="12"/>
  <c r="H217" i="12"/>
  <c r="H314" i="12"/>
  <c r="H110" i="12"/>
  <c r="J444" i="12"/>
  <c r="K136" i="12"/>
  <c r="J215" i="12"/>
  <c r="J133" i="12"/>
  <c r="K140" i="12"/>
  <c r="J113" i="12"/>
  <c r="H260" i="12"/>
  <c r="J242" i="12"/>
  <c r="H186" i="12"/>
  <c r="J106" i="12"/>
  <c r="J421" i="12"/>
  <c r="J354" i="12"/>
  <c r="J250" i="12"/>
  <c r="J291" i="12"/>
  <c r="J355" i="12"/>
  <c r="H389" i="12"/>
  <c r="H280" i="12"/>
  <c r="J294" i="12"/>
  <c r="K236" i="12"/>
  <c r="J203" i="12"/>
  <c r="K209" i="12"/>
  <c r="H96" i="12"/>
  <c r="H267" i="12"/>
  <c r="J277" i="12"/>
  <c r="H337" i="12"/>
  <c r="J156" i="12"/>
  <c r="J313" i="12"/>
  <c r="J401" i="12"/>
  <c r="H309" i="12"/>
  <c r="J347" i="12"/>
  <c r="K203" i="12"/>
  <c r="H161" i="12"/>
  <c r="H407" i="12"/>
  <c r="H86" i="12"/>
  <c r="J395" i="12"/>
  <c r="K230" i="12"/>
  <c r="J230" i="12"/>
  <c r="J118" i="12"/>
  <c r="K191" i="12"/>
  <c r="J439" i="12"/>
  <c r="H202" i="12"/>
  <c r="K162" i="12"/>
  <c r="J259" i="12"/>
  <c r="K213" i="12"/>
  <c r="K201" i="12"/>
  <c r="H299" i="12"/>
  <c r="H218" i="12"/>
  <c r="H182" i="12"/>
  <c r="H227" i="12"/>
  <c r="J299" i="12"/>
  <c r="J402" i="12"/>
  <c r="K129" i="12"/>
  <c r="J445" i="12"/>
  <c r="J153" i="12"/>
  <c r="H354" i="12"/>
  <c r="H99" i="12"/>
  <c r="J246" i="12"/>
  <c r="J231" i="12"/>
  <c r="J158" i="12"/>
  <c r="H144" i="12"/>
  <c r="H306" i="12"/>
  <c r="K141" i="12"/>
  <c r="K243" i="12"/>
  <c r="K108" i="12"/>
  <c r="J442" i="12"/>
  <c r="K96" i="12"/>
  <c r="H81" i="12"/>
  <c r="J128" i="12"/>
  <c r="H330" i="12"/>
  <c r="H338" i="12"/>
  <c r="H167" i="12"/>
  <c r="J406" i="12"/>
  <c r="J436" i="12"/>
  <c r="H397" i="12"/>
  <c r="H170" i="12"/>
  <c r="K247" i="12"/>
  <c r="J409" i="12"/>
  <c r="H203" i="12"/>
  <c r="J320" i="12"/>
  <c r="H150" i="12"/>
  <c r="K107" i="12"/>
  <c r="H139" i="12"/>
  <c r="J278" i="12"/>
  <c r="K198" i="12"/>
  <c r="J218" i="12"/>
  <c r="H367" i="12"/>
  <c r="K184" i="12"/>
  <c r="K211" i="12"/>
  <c r="J305" i="12"/>
  <c r="J152" i="12"/>
  <c r="J324" i="12"/>
  <c r="J229" i="12"/>
  <c r="J412" i="12"/>
  <c r="H122" i="12"/>
  <c r="H78" i="12"/>
  <c r="H159" i="12"/>
  <c r="J221" i="12"/>
  <c r="H238" i="12"/>
  <c r="J315" i="12"/>
  <c r="K98" i="12"/>
  <c r="H127" i="12"/>
  <c r="K232" i="12"/>
  <c r="H179" i="12"/>
  <c r="J245" i="12"/>
  <c r="K205" i="12"/>
  <c r="J345" i="12"/>
  <c r="H77" i="12"/>
  <c r="J316" i="12"/>
  <c r="H286" i="12"/>
  <c r="J387" i="12"/>
  <c r="J301" i="12"/>
  <c r="H291" i="12"/>
  <c r="J151" i="12"/>
  <c r="H395" i="12"/>
  <c r="K170" i="12"/>
  <c r="H296" i="12"/>
  <c r="H294" i="12"/>
  <c r="H84" i="12"/>
  <c r="H207" i="12"/>
  <c r="J243" i="12"/>
  <c r="J274" i="12"/>
  <c r="K99" i="12"/>
  <c r="J104" i="12"/>
  <c r="K206" i="12"/>
  <c r="K218" i="12"/>
  <c r="H146" i="12"/>
  <c r="K124" i="12"/>
  <c r="K169" i="12"/>
  <c r="H343" i="12"/>
  <c r="K131" i="12"/>
  <c r="H269" i="12"/>
  <c r="H252" i="12"/>
  <c r="H216" i="12"/>
  <c r="J184" i="12"/>
  <c r="H423" i="12"/>
  <c r="J109" i="12"/>
  <c r="H303" i="12"/>
  <c r="J103" i="12"/>
  <c r="H265" i="12"/>
  <c r="J426" i="12"/>
  <c r="H176" i="12"/>
  <c r="J296" i="12"/>
  <c r="K127" i="12"/>
  <c r="H308" i="12"/>
  <c r="J80" i="12"/>
  <c r="H214" i="12"/>
  <c r="J428" i="12"/>
  <c r="H177" i="12"/>
  <c r="K106" i="12"/>
  <c r="H262" i="12"/>
  <c r="K227" i="12"/>
  <c r="H284" i="12"/>
  <c r="K74" i="12"/>
  <c r="H35" i="12"/>
  <c r="J70" i="12"/>
  <c r="J22" i="12"/>
  <c r="H47" i="12"/>
  <c r="H10" i="12"/>
  <c r="H42" i="12"/>
  <c r="J12" i="12"/>
  <c r="K43" i="12"/>
  <c r="H32" i="12"/>
  <c r="K60" i="12"/>
  <c r="J51" i="12"/>
  <c r="K13" i="12"/>
  <c r="J45" i="12"/>
  <c r="J26" i="12"/>
  <c r="J4" i="12"/>
  <c r="J58" i="12"/>
  <c r="K6" i="12"/>
  <c r="K57" i="12"/>
  <c r="H33" i="12"/>
  <c r="K64" i="12"/>
  <c r="H31" i="12"/>
  <c r="K11" i="12"/>
  <c r="H65" i="12"/>
  <c r="K20" i="12"/>
  <c r="J47" i="12"/>
  <c r="J38" i="12"/>
  <c r="K15" i="12"/>
  <c r="K55" i="12"/>
  <c r="K8" i="12"/>
  <c r="H16" i="12"/>
  <c r="H62" i="12"/>
  <c r="J67" i="12"/>
  <c r="J43" i="12"/>
  <c r="H55" i="12"/>
  <c r="K39" i="12"/>
  <c r="K41" i="12"/>
  <c r="H12" i="12"/>
  <c r="K32" i="12"/>
  <c r="J73" i="12"/>
  <c r="H21" i="12"/>
  <c r="H76" i="12"/>
  <c r="H72" i="12"/>
  <c r="J8" i="12"/>
  <c r="K35" i="12"/>
  <c r="H40" i="12"/>
  <c r="K22" i="12"/>
  <c r="J76" i="12"/>
  <c r="H25" i="12"/>
  <c r="J7" i="12"/>
  <c r="J50" i="12"/>
  <c r="J48" i="12"/>
  <c r="K26" i="12"/>
  <c r="K18" i="12"/>
  <c r="J52" i="12"/>
  <c r="K46" i="12"/>
  <c r="K75" i="12"/>
  <c r="J75" i="12"/>
  <c r="J32" i="12"/>
  <c r="K63" i="12"/>
  <c r="K73" i="12"/>
  <c r="H38" i="12"/>
  <c r="K56" i="12"/>
  <c r="H36" i="12"/>
  <c r="J21" i="12"/>
  <c r="K36" i="12"/>
  <c r="H54" i="12"/>
  <c r="H3" i="12"/>
  <c r="H68" i="12"/>
  <c r="H39" i="12"/>
  <c r="J14" i="12"/>
  <c r="H34" i="12"/>
  <c r="K40" i="12"/>
  <c r="K34" i="12"/>
  <c r="J3" i="12"/>
  <c r="K49" i="12"/>
  <c r="J29" i="12"/>
  <c r="H51" i="12"/>
  <c r="J34" i="12"/>
  <c r="J6" i="12"/>
  <c r="K27" i="12"/>
  <c r="J11" i="12"/>
  <c r="K30" i="12"/>
  <c r="K53" i="12"/>
  <c r="K14" i="12"/>
  <c r="H5" i="12"/>
  <c r="K16" i="12"/>
  <c r="H37" i="12"/>
  <c r="H58" i="12"/>
  <c r="H7" i="12"/>
  <c r="H45" i="12"/>
  <c r="K29" i="12"/>
  <c r="J25" i="12"/>
  <c r="J49" i="12"/>
  <c r="J23" i="12"/>
  <c r="K67" i="12"/>
  <c r="K51" i="12"/>
  <c r="H8" i="12"/>
  <c r="J31" i="12"/>
  <c r="J19" i="12"/>
  <c r="J57" i="12"/>
  <c r="K9" i="12"/>
  <c r="J66" i="12"/>
  <c r="J60" i="12"/>
  <c r="J61" i="12"/>
  <c r="K33" i="12"/>
  <c r="J74" i="12"/>
  <c r="H41" i="12"/>
  <c r="J17" i="12"/>
  <c r="K5" i="12"/>
  <c r="K3" i="12"/>
  <c r="K21" i="12"/>
  <c r="J20" i="12"/>
  <c r="J28" i="12"/>
  <c r="K28" i="12"/>
  <c r="H28" i="12"/>
  <c r="J62" i="12"/>
  <c r="K45" i="12"/>
  <c r="K69" i="12"/>
  <c r="K44" i="12"/>
  <c r="H73" i="12"/>
  <c r="K54" i="12"/>
  <c r="J10" i="12"/>
  <c r="H70" i="12"/>
  <c r="H23" i="12"/>
  <c r="H71" i="12"/>
  <c r="K12" i="12"/>
  <c r="J71" i="12"/>
  <c r="H52" i="12"/>
  <c r="H24" i="12"/>
  <c r="J68" i="12"/>
  <c r="J41" i="12"/>
  <c r="H46" i="12"/>
  <c r="H19" i="12"/>
  <c r="H11" i="12"/>
  <c r="J33" i="12"/>
  <c r="K25" i="12"/>
  <c r="H74" i="12"/>
  <c r="K76" i="12"/>
  <c r="K24" i="12"/>
  <c r="J63" i="12"/>
  <c r="K52" i="12"/>
  <c r="K50" i="12"/>
  <c r="K62" i="12"/>
  <c r="K17" i="12"/>
  <c r="J65" i="12"/>
  <c r="K68" i="12"/>
  <c r="H50" i="12"/>
  <c r="H30" i="12"/>
  <c r="J46" i="12"/>
  <c r="H63" i="12"/>
  <c r="K65" i="12"/>
  <c r="J5" i="12"/>
  <c r="K19" i="12"/>
  <c r="H2" i="12"/>
  <c r="J56" i="12"/>
  <c r="H53" i="12"/>
  <c r="J24" i="12"/>
  <c r="H13" i="12"/>
  <c r="J2" i="12"/>
  <c r="J16" i="12"/>
  <c r="K66" i="12"/>
  <c r="J15" i="12"/>
  <c r="K58" i="12"/>
  <c r="J59" i="12"/>
  <c r="J40" i="12"/>
  <c r="H56" i="12"/>
  <c r="H64" i="12"/>
  <c r="J42" i="12"/>
  <c r="J55" i="12"/>
  <c r="J44" i="12"/>
  <c r="H60" i="12"/>
  <c r="K47" i="12"/>
  <c r="H75" i="12"/>
  <c r="J36" i="12"/>
  <c r="H48" i="12"/>
  <c r="J37" i="12"/>
  <c r="H44" i="12"/>
  <c r="H18" i="12"/>
  <c r="H22" i="12"/>
  <c r="J69" i="12"/>
  <c r="H69" i="12"/>
  <c r="H27" i="12"/>
  <c r="J27" i="12"/>
  <c r="K48" i="12"/>
  <c r="K37" i="12"/>
  <c r="H17" i="12"/>
  <c r="K42" i="12"/>
  <c r="H6" i="12"/>
  <c r="K7" i="12"/>
  <c r="K4" i="12"/>
  <c r="K61" i="12"/>
  <c r="H4" i="12"/>
  <c r="K59" i="12"/>
  <c r="J39" i="12"/>
  <c r="J18" i="12"/>
  <c r="K70" i="12"/>
  <c r="H9" i="12"/>
  <c r="J30" i="12"/>
  <c r="H67" i="12"/>
  <c r="K38" i="12"/>
  <c r="J35" i="12"/>
  <c r="H20" i="12"/>
  <c r="J72" i="12"/>
  <c r="H59" i="12"/>
  <c r="H61" i="12"/>
  <c r="K10" i="12"/>
  <c r="H26" i="12"/>
  <c r="H43" i="12"/>
  <c r="K72" i="12"/>
  <c r="H14" i="12"/>
  <c r="H49" i="12"/>
  <c r="J13" i="12"/>
  <c r="K23" i="12"/>
  <c r="H66" i="12"/>
  <c r="J53" i="12"/>
  <c r="J9" i="12"/>
  <c r="J54" i="12"/>
  <c r="H57" i="12"/>
  <c r="J64" i="12"/>
  <c r="H15" i="12"/>
  <c r="K31" i="12"/>
  <c r="H29" i="12"/>
  <c r="K71" i="12"/>
  <c r="K2" i="12"/>
  <c r="A2" i="13" l="1"/>
  <c r="B3" i="13"/>
  <c r="C4" i="13"/>
  <c r="D5" i="13"/>
  <c r="E6" i="13"/>
  <c r="B9" i="13"/>
  <c r="C10" i="13"/>
  <c r="D11" i="13"/>
  <c r="E12" i="13"/>
  <c r="B15" i="13"/>
  <c r="C16" i="13"/>
  <c r="C3" i="13"/>
  <c r="D4" i="13"/>
  <c r="E5" i="13"/>
  <c r="B8" i="13"/>
  <c r="C9" i="13"/>
  <c r="D10" i="13"/>
  <c r="E11" i="13"/>
  <c r="B14" i="13"/>
  <c r="C15" i="13"/>
  <c r="D16" i="13"/>
  <c r="D3" i="13"/>
  <c r="E4" i="13"/>
  <c r="B7" i="13"/>
  <c r="C8" i="13"/>
  <c r="D9" i="13"/>
  <c r="E10" i="13"/>
  <c r="B13" i="13"/>
  <c r="C14" i="13"/>
  <c r="D15" i="13"/>
  <c r="E16" i="13"/>
  <c r="E3" i="13"/>
  <c r="B6" i="13"/>
  <c r="C7" i="13"/>
  <c r="D8" i="13"/>
  <c r="E9" i="13"/>
  <c r="B12" i="13"/>
  <c r="C13" i="13"/>
  <c r="D14" i="13"/>
  <c r="E15" i="13"/>
  <c r="D7" i="13"/>
  <c r="B11" i="13"/>
  <c r="E14" i="13"/>
  <c r="B4" i="13"/>
  <c r="E7" i="13"/>
  <c r="C11" i="13"/>
  <c r="B5" i="13"/>
  <c r="E8" i="13"/>
  <c r="C12" i="13"/>
  <c r="C5" i="13"/>
  <c r="D12" i="13"/>
  <c r="B16" i="13"/>
  <c r="C6" i="13"/>
  <c r="D13" i="13"/>
  <c r="D6" i="13"/>
  <c r="B10" i="13"/>
  <c r="E13" i="13"/>
  <c r="M107" i="12" a="1"/>
  <c r="M107" i="12" s="1"/>
  <c r="M98" i="12" a="1"/>
  <c r="M98" i="12" s="1"/>
  <c r="L85" i="12" a="1"/>
  <c r="L85" i="12" s="1"/>
  <c r="L231" i="12" a="1"/>
  <c r="L231" i="12" s="1"/>
  <c r="M157" i="12" a="1"/>
  <c r="M157" i="12" s="1"/>
  <c r="M167" i="12" a="1"/>
  <c r="M167" i="12" s="1"/>
  <c r="M2" i="12" a="1"/>
  <c r="M2" i="12" s="1"/>
  <c r="L11" i="12" a="1"/>
  <c r="L11" i="12" s="1"/>
  <c r="M68" i="12" a="1"/>
  <c r="M68" i="12" s="1"/>
  <c r="L61" i="12" a="1"/>
  <c r="L61" i="12" s="1"/>
  <c r="L103" i="12" a="1"/>
  <c r="L103" i="12" s="1"/>
  <c r="I66" i="12" a="1"/>
  <c r="I66" i="12" s="1"/>
  <c r="M62" i="12" a="1"/>
  <c r="M62" i="12" s="1"/>
  <c r="M127" i="12" a="1"/>
  <c r="M127" i="12" s="1"/>
  <c r="L148" i="12" a="1"/>
  <c r="L148" i="12" s="1"/>
  <c r="L209" i="12" a="1"/>
  <c r="L209" i="12" s="1"/>
  <c r="L92" i="12" a="1"/>
  <c r="L92" i="12" s="1"/>
  <c r="I45" i="12" a="1"/>
  <c r="I45" i="12" s="1"/>
  <c r="L127" i="12" a="1"/>
  <c r="L127" i="12" s="1"/>
  <c r="L80" i="12" a="1"/>
  <c r="L80" i="12" s="1"/>
  <c r="M232" i="12" a="1"/>
  <c r="M232" i="12" s="1"/>
  <c r="I33" i="12" a="1"/>
  <c r="I33" i="12" s="1"/>
  <c r="M131" i="12" a="1"/>
  <c r="M131" i="12" s="1"/>
  <c r="M163" i="12" a="1"/>
  <c r="M163" i="12" s="1"/>
  <c r="M218" i="12" a="1"/>
  <c r="M218" i="12" s="1"/>
  <c r="L144" i="12" a="1"/>
  <c r="L144" i="12" s="1"/>
  <c r="L221" i="12" a="1"/>
  <c r="L221" i="12" s="1"/>
  <c r="M181" i="12" a="1"/>
  <c r="M181" i="12" s="1"/>
  <c r="L56" i="12" a="1"/>
  <c r="L56" i="12" s="1"/>
  <c r="I3" i="12" a="1"/>
  <c r="I3" i="12" s="1"/>
  <c r="I87" i="12" a="1"/>
  <c r="I87" i="12" s="1"/>
  <c r="M109" i="12" a="1"/>
  <c r="M109" i="12" s="1"/>
  <c r="M86" i="12" a="1"/>
  <c r="M86" i="12" s="1"/>
  <c r="L65" i="12" a="1"/>
  <c r="L65" i="12" s="1"/>
  <c r="L195" i="12" a="1"/>
  <c r="L195" i="12" s="1"/>
  <c r="M71" i="12" a="1"/>
  <c r="M71" i="12" s="1"/>
  <c r="M13" i="12" a="1"/>
  <c r="M13" i="12" s="1"/>
  <c r="M183" i="12" a="1"/>
  <c r="M183" i="12" s="1"/>
  <c r="L60" i="12" a="1"/>
  <c r="L60" i="12" s="1"/>
  <c r="M63" i="12" a="1"/>
  <c r="M63" i="12" s="1"/>
  <c r="M91" i="12" a="1"/>
  <c r="M91" i="12" s="1"/>
  <c r="M97" i="12" a="1"/>
  <c r="M97" i="12" s="1"/>
  <c r="M200" i="12" a="1"/>
  <c r="M200" i="12" s="1"/>
  <c r="I15" i="12" a="1"/>
  <c r="I15" i="12" s="1"/>
  <c r="M174" i="12" a="1"/>
  <c r="M174" i="12" s="1"/>
  <c r="L133" i="12" a="1"/>
  <c r="L133" i="12" s="1"/>
  <c r="L53" i="12" a="1"/>
  <c r="L53" i="12" s="1"/>
  <c r="L156" i="12" a="1"/>
  <c r="L156" i="12" s="1"/>
  <c r="M40" i="12" a="1"/>
  <c r="M40" i="12" s="1"/>
  <c r="L129" i="12" a="1"/>
  <c r="L129" i="12" s="1"/>
  <c r="L181" i="12" a="1"/>
  <c r="L181" i="12" s="1"/>
  <c r="L78" i="12" a="1"/>
  <c r="L78" i="12" s="1"/>
  <c r="M134" i="12" a="1"/>
  <c r="M134" i="12" s="1"/>
  <c r="I34" i="12" a="1"/>
  <c r="I34" i="12" s="1"/>
  <c r="I51" i="12" a="1"/>
  <c r="I51" i="12" s="1"/>
  <c r="M79" i="12" a="1"/>
  <c r="M79" i="12" s="1"/>
  <c r="L245" i="12" a="1"/>
  <c r="L245" i="12" s="1"/>
  <c r="M32" i="12" a="1"/>
  <c r="M32" i="12" s="1"/>
  <c r="L24" i="12" a="1"/>
  <c r="L24" i="12" s="1"/>
  <c r="M84" i="12" a="1"/>
  <c r="M84" i="12" s="1"/>
  <c r="L76" i="12" a="1"/>
  <c r="L76" i="12" s="1"/>
  <c r="L100" i="12" a="1"/>
  <c r="L100" i="12" s="1"/>
  <c r="M99" i="12" a="1"/>
  <c r="M99" i="12" s="1"/>
  <c r="M188" i="12" a="1"/>
  <c r="M188" i="12" s="1"/>
  <c r="L199" i="12" a="1"/>
  <c r="L199" i="12" s="1"/>
  <c r="L176" i="12" a="1"/>
  <c r="L176" i="12" s="1"/>
  <c r="M27" i="12" a="1"/>
  <c r="M27" i="12" s="1"/>
  <c r="L4" i="12" a="1"/>
  <c r="L4" i="12" s="1"/>
  <c r="L34" i="12" a="1"/>
  <c r="L34" i="12" s="1"/>
  <c r="M227" i="12" a="1"/>
  <c r="M227" i="12" s="1"/>
  <c r="L69" i="12" a="1"/>
  <c r="L69" i="12" s="1"/>
  <c r="L111" i="12" a="1"/>
  <c r="L111" i="12" s="1"/>
  <c r="L39" i="12" a="1"/>
  <c r="L39" i="12" s="1"/>
  <c r="L234" i="12" a="1"/>
  <c r="L234" i="12" s="1"/>
  <c r="L155" i="12" a="1"/>
  <c r="L155" i="12" s="1"/>
  <c r="I8" i="12" a="1"/>
  <c r="I8" i="12" s="1"/>
  <c r="I29" i="12" a="1"/>
  <c r="I29" i="12" s="1"/>
  <c r="M213" i="12" a="1"/>
  <c r="M213" i="12" s="1"/>
  <c r="M31" i="12" a="1"/>
  <c r="M31" i="12" s="1"/>
  <c r="L230" i="12" a="1"/>
  <c r="L230" i="12" s="1"/>
  <c r="I77" i="12" a="1"/>
  <c r="I77" i="12" s="1"/>
  <c r="L239" i="12" a="1"/>
  <c r="L239" i="12" s="1"/>
  <c r="I81" i="12" a="1"/>
  <c r="I81" i="12" s="1"/>
  <c r="L138" i="12" a="1"/>
  <c r="L138" i="12" s="1"/>
  <c r="L118" i="12" a="1"/>
  <c r="L118" i="12" s="1"/>
  <c r="M222" i="12" a="1"/>
  <c r="M222" i="12" s="1"/>
  <c r="M234" i="12" a="1"/>
  <c r="M234" i="12" s="1"/>
  <c r="M210" i="12" a="1"/>
  <c r="M210" i="12" s="1"/>
  <c r="M96" i="12" a="1"/>
  <c r="M96" i="12" s="1"/>
  <c r="M197" i="12" a="1"/>
  <c r="M197" i="12" s="1"/>
  <c r="L58" i="12" a="1"/>
  <c r="L58" i="12" s="1"/>
  <c r="I99" i="12" a="1"/>
  <c r="I99" i="12" s="1"/>
  <c r="I79" i="12" a="1"/>
  <c r="I79" i="12" s="1"/>
  <c r="L19" i="12" a="1"/>
  <c r="L19" i="12" s="1"/>
  <c r="M108" i="12" a="1"/>
  <c r="M108" i="12" s="1"/>
  <c r="L219" i="12" a="1"/>
  <c r="L219" i="12" s="1"/>
  <c r="L119" i="12" a="1"/>
  <c r="L119" i="12" s="1"/>
  <c r="M175" i="12" a="1"/>
  <c r="M175" i="12" s="1"/>
  <c r="M211" i="12" a="1"/>
  <c r="M211" i="12" s="1"/>
  <c r="L153" i="12" a="1"/>
  <c r="L153" i="12" s="1"/>
  <c r="I44" i="12" a="1"/>
  <c r="I44" i="12" s="1"/>
  <c r="M112" i="12" a="1"/>
  <c r="M112" i="12" s="1"/>
  <c r="I85" i="12" a="1"/>
  <c r="I85" i="12" s="1"/>
  <c r="L73" i="12" a="1"/>
  <c r="L73" i="12" s="1"/>
  <c r="I92" i="12" a="1"/>
  <c r="I92" i="12" s="1"/>
  <c r="I69" i="12" a="1"/>
  <c r="I69" i="12" s="1"/>
  <c r="L48" i="12" a="1"/>
  <c r="L48" i="12" s="1"/>
  <c r="L157" i="12" a="1"/>
  <c r="L157" i="12" s="1"/>
  <c r="L75" i="12" a="1"/>
  <c r="L75" i="12" s="1"/>
  <c r="M9" i="12" a="1"/>
  <c r="M9" i="12" s="1"/>
  <c r="L151" i="12" a="1"/>
  <c r="L151" i="12" s="1"/>
  <c r="M159" i="12" a="1"/>
  <c r="M159" i="12" s="1"/>
  <c r="M143" i="12" a="1"/>
  <c r="M143" i="12" s="1"/>
  <c r="M173" i="12" a="1"/>
  <c r="M173" i="12" s="1"/>
  <c r="L128" i="12" a="1"/>
  <c r="L128" i="12" s="1"/>
  <c r="M220" i="12" a="1"/>
  <c r="M220" i="12" s="1"/>
  <c r="M51" i="12" a="1"/>
  <c r="M51" i="12" s="1"/>
  <c r="M226" i="12" a="1"/>
  <c r="M226" i="12" s="1"/>
  <c r="M14" i="12" a="1"/>
  <c r="M14" i="12" s="1"/>
  <c r="M52" i="12" a="1"/>
  <c r="M52" i="12" s="1"/>
  <c r="I98" i="12" a="1"/>
  <c r="I98" i="12" s="1"/>
  <c r="I82" i="12" a="1"/>
  <c r="I82" i="12" s="1"/>
  <c r="L251" i="12" a="1"/>
  <c r="L251" i="12" s="1"/>
  <c r="M169" i="12" a="1"/>
  <c r="M169" i="12" s="1"/>
  <c r="I63" i="12" a="1"/>
  <c r="I63" i="12" s="1"/>
  <c r="M18" i="12" a="1"/>
  <c r="M18" i="12" s="1"/>
  <c r="M120" i="12" a="1"/>
  <c r="M120" i="12" s="1"/>
  <c r="M118" i="12" a="1"/>
  <c r="M118" i="12" s="1"/>
  <c r="M121" i="12" a="1"/>
  <c r="M121" i="12" s="1"/>
  <c r="M89" i="12" a="1"/>
  <c r="M89" i="12" s="1"/>
  <c r="L203" i="12" a="1"/>
  <c r="L203" i="12" s="1"/>
  <c r="L93" i="12" a="1"/>
  <c r="L93" i="12" s="1"/>
  <c r="L54" i="12" a="1"/>
  <c r="L54" i="12" s="1"/>
  <c r="M162" i="12" a="1"/>
  <c r="M162" i="12" s="1"/>
  <c r="L218" i="12" a="1"/>
  <c r="L218" i="12" s="1"/>
  <c r="L122" i="12" a="1"/>
  <c r="L122" i="12" s="1"/>
  <c r="M206" i="12" a="1"/>
  <c r="M206" i="12" s="1"/>
  <c r="M170" i="12" a="1"/>
  <c r="M170" i="12" s="1"/>
  <c r="L166" i="12" a="1"/>
  <c r="L166" i="12" s="1"/>
  <c r="L169" i="12" a="1"/>
  <c r="L169" i="12" s="1"/>
  <c r="L180" i="12" a="1"/>
  <c r="L180" i="12" s="1"/>
  <c r="L57" i="12" a="1"/>
  <c r="L57" i="12" s="1"/>
  <c r="M184" i="12" a="1"/>
  <c r="M184" i="12" s="1"/>
  <c r="M230" i="12" a="1"/>
  <c r="M230" i="12" s="1"/>
  <c r="L190" i="12" a="1"/>
  <c r="L190" i="12" s="1"/>
  <c r="L150" i="12" a="1"/>
  <c r="L150" i="12" s="1"/>
  <c r="M95" i="12" a="1"/>
  <c r="M95" i="12" s="1"/>
  <c r="I10" i="12" a="1"/>
  <c r="I10" i="12" s="1"/>
  <c r="L66" i="12" a="1"/>
  <c r="L66" i="12" s="1"/>
  <c r="M198" i="12" a="1"/>
  <c r="M198" i="12" s="1"/>
  <c r="M5" i="12" a="1"/>
  <c r="M5" i="12" s="1"/>
  <c r="M59" i="12" a="1"/>
  <c r="M59" i="12" s="1"/>
  <c r="L110" i="12" a="1"/>
  <c r="L110" i="12" s="1"/>
  <c r="M26" i="12" a="1"/>
  <c r="M26" i="12" s="1"/>
  <c r="L187" i="12" a="1"/>
  <c r="L187" i="12" s="1"/>
  <c r="I43" i="12" a="1"/>
  <c r="I43" i="12" s="1"/>
  <c r="L46" i="12" a="1"/>
  <c r="L46" i="12" s="1"/>
  <c r="L2" i="12" a="1"/>
  <c r="L2" i="12" s="1"/>
  <c r="M214" i="12" a="1"/>
  <c r="M214" i="12" s="1"/>
  <c r="M16" i="12" a="1"/>
  <c r="M16" i="12" s="1"/>
  <c r="I38" i="12" a="1"/>
  <c r="I38" i="12" s="1"/>
  <c r="L109" i="12" a="1"/>
  <c r="L109" i="12" s="1"/>
  <c r="M137" i="12" a="1"/>
  <c r="M137" i="12" s="1"/>
  <c r="I12" i="12" a="1"/>
  <c r="I12" i="12" s="1"/>
  <c r="L182" i="12" a="1"/>
  <c r="L182" i="12" s="1"/>
  <c r="L91" i="12" a="1"/>
  <c r="L91" i="12" s="1"/>
  <c r="M212" i="12" a="1"/>
  <c r="M212" i="12" s="1"/>
  <c r="I83" i="12" a="1"/>
  <c r="I83" i="12" s="1"/>
  <c r="L163" i="12" a="1"/>
  <c r="L163" i="12" s="1"/>
  <c r="M114" i="12" a="1"/>
  <c r="M114" i="12" s="1"/>
  <c r="M164" i="12" a="1"/>
  <c r="M164" i="12" s="1"/>
  <c r="M228" i="12" a="1"/>
  <c r="M228" i="12" s="1"/>
  <c r="I27" i="12" a="1"/>
  <c r="I27" i="12" s="1"/>
  <c r="M106" i="12" a="1"/>
  <c r="M106" i="12" s="1"/>
  <c r="I13" i="12" a="1"/>
  <c r="I13" i="12" s="1"/>
  <c r="L130" i="12" a="1"/>
  <c r="L130" i="12" s="1"/>
  <c r="I80" i="12" a="1"/>
  <c r="I80" i="12" s="1"/>
  <c r="L21" i="12" a="1"/>
  <c r="L21" i="12" s="1"/>
  <c r="I97" i="12" a="1"/>
  <c r="I97" i="12" s="1"/>
  <c r="I21" i="12" a="1"/>
  <c r="I21" i="12" s="1"/>
  <c r="L246" i="12" a="1"/>
  <c r="L246" i="12" s="1"/>
  <c r="M144" i="12" a="1"/>
  <c r="M144" i="12" s="1"/>
  <c r="M56" i="12" a="1"/>
  <c r="M56" i="12" s="1"/>
  <c r="M133" i="12" a="1"/>
  <c r="M133" i="12" s="1"/>
  <c r="I41" i="12" a="1"/>
  <c r="I41" i="12" s="1"/>
  <c r="M141" i="12" a="1"/>
  <c r="M141" i="12" s="1"/>
  <c r="M42" i="12" a="1"/>
  <c r="M42" i="12" s="1"/>
  <c r="I84" i="12" a="1"/>
  <c r="I84" i="12" s="1"/>
  <c r="M139" i="12" a="1"/>
  <c r="M139" i="12" s="1"/>
  <c r="L88" i="12" a="1"/>
  <c r="L88" i="12" s="1"/>
  <c r="L17" i="12" a="1"/>
  <c r="L17" i="12" s="1"/>
  <c r="M37" i="12" a="1"/>
  <c r="M37" i="12" s="1"/>
  <c r="L37" i="12" a="1"/>
  <c r="L37" i="12" s="1"/>
  <c r="L50" i="12" a="1"/>
  <c r="L50" i="12" s="1"/>
  <c r="I17" i="12" a="1"/>
  <c r="I17" i="12" s="1"/>
  <c r="L120" i="12" a="1"/>
  <c r="L120" i="12" s="1"/>
  <c r="L167" i="12" a="1"/>
  <c r="L167" i="12" s="1"/>
  <c r="L164" i="12" a="1"/>
  <c r="L164" i="12" s="1"/>
  <c r="L126" i="12" a="1"/>
  <c r="L126" i="12" s="1"/>
  <c r="L27" i="12" a="1"/>
  <c r="L27" i="12" s="1"/>
  <c r="M142" i="12" a="1"/>
  <c r="M142" i="12" s="1"/>
  <c r="L98" i="12" a="1"/>
  <c r="L98" i="12" s="1"/>
  <c r="N98" i="12" s="1"/>
  <c r="I86" i="12" a="1"/>
  <c r="I86" i="12" s="1"/>
  <c r="M119" i="12" a="1"/>
  <c r="M119" i="12" s="1"/>
  <c r="M168" i="12" a="1"/>
  <c r="M168" i="12" s="1"/>
  <c r="I6" i="12" a="1"/>
  <c r="I6" i="12" s="1"/>
  <c r="L22" i="12" a="1"/>
  <c r="L22" i="12" s="1"/>
  <c r="M209" i="12" a="1"/>
  <c r="M209" i="12" s="1"/>
  <c r="I39" i="12" a="1"/>
  <c r="I39" i="12" s="1"/>
  <c r="L35" i="12" a="1"/>
  <c r="L35" i="12" s="1"/>
  <c r="M50" i="12" a="1"/>
  <c r="M50" i="12" s="1"/>
  <c r="M73" i="12" a="1"/>
  <c r="M73" i="12" s="1"/>
  <c r="I7" i="12" a="1"/>
  <c r="I7" i="12" s="1"/>
  <c r="M179" i="12" a="1"/>
  <c r="M179" i="12" s="1"/>
  <c r="L83" i="12" a="1"/>
  <c r="L83" i="12" s="1"/>
  <c r="M65" i="12" a="1"/>
  <c r="M65" i="12" s="1"/>
  <c r="L213" i="12" a="1"/>
  <c r="L213" i="12" s="1"/>
  <c r="L140" i="12" a="1"/>
  <c r="L140" i="12" s="1"/>
  <c r="L220" i="12" a="1"/>
  <c r="L220" i="12" s="1"/>
  <c r="L248" i="12" a="1"/>
  <c r="L248" i="12" s="1"/>
  <c r="M25" i="12" a="1"/>
  <c r="M25" i="12" s="1"/>
  <c r="M54" i="12" a="1"/>
  <c r="M54" i="12" s="1"/>
  <c r="M101" i="12" a="1"/>
  <c r="M101" i="12" s="1"/>
  <c r="M196" i="12" a="1"/>
  <c r="M196" i="12" s="1"/>
  <c r="M182" i="12" a="1"/>
  <c r="M182" i="12" s="1"/>
  <c r="L136" i="12" a="1"/>
  <c r="L136" i="12" s="1"/>
  <c r="M224" i="12" a="1"/>
  <c r="M224" i="12" s="1"/>
  <c r="L124" i="12" a="1"/>
  <c r="L124" i="12" s="1"/>
  <c r="L189" i="12" a="1"/>
  <c r="L189" i="12" s="1"/>
  <c r="I14" i="12" a="1"/>
  <c r="I14" i="12" s="1"/>
  <c r="L227" i="12" a="1"/>
  <c r="L227" i="12" s="1"/>
  <c r="L200" i="12" a="1"/>
  <c r="L200" i="12" s="1"/>
  <c r="I26" i="12" a="1"/>
  <c r="I26" i="12" s="1"/>
  <c r="L174" i="12" a="1"/>
  <c r="L174" i="12" s="1"/>
  <c r="L49" i="12" a="1"/>
  <c r="L49" i="12" s="1"/>
  <c r="M17" i="12" a="1"/>
  <c r="M17" i="12" s="1"/>
  <c r="M61" i="12" a="1"/>
  <c r="M61" i="12" s="1"/>
  <c r="M44" i="12" a="1"/>
  <c r="M44" i="12" s="1"/>
  <c r="I78" i="12" a="1"/>
  <c r="I78" i="12" s="1"/>
  <c r="L113" i="12" a="1"/>
  <c r="L113" i="12" s="1"/>
  <c r="M129" i="12" a="1"/>
  <c r="M129" i="12" s="1"/>
  <c r="I54" i="12" a="1"/>
  <c r="I54" i="12" s="1"/>
  <c r="I32" i="12" a="1"/>
  <c r="I32" i="12" s="1"/>
  <c r="M122" i="12" a="1"/>
  <c r="M122" i="12" s="1"/>
  <c r="I42" i="12" a="1"/>
  <c r="I42" i="12" s="1"/>
  <c r="L33" i="12" a="1"/>
  <c r="L33" i="12" s="1"/>
  <c r="L90" i="12" a="1"/>
  <c r="L90" i="12" s="1"/>
  <c r="I93" i="12" a="1"/>
  <c r="I93" i="12" s="1"/>
  <c r="L104" i="12" a="1"/>
  <c r="L104" i="12" s="1"/>
  <c r="L184" i="12" a="1"/>
  <c r="L184" i="12" s="1"/>
  <c r="I40" i="12" a="1"/>
  <c r="I40" i="12" s="1"/>
  <c r="L162" i="12" a="1"/>
  <c r="L162" i="12" s="1"/>
  <c r="M87" i="12" a="1"/>
  <c r="M87" i="12" s="1"/>
  <c r="M130" i="12" a="1"/>
  <c r="M130" i="12" s="1"/>
  <c r="M215" i="12" a="1"/>
  <c r="M215" i="12" s="1"/>
  <c r="L229" i="12" a="1"/>
  <c r="L229" i="12" s="1"/>
  <c r="M53" i="12" a="1"/>
  <c r="M53" i="12" s="1"/>
  <c r="N53" i="12" s="1"/>
  <c r="I18" i="12" a="1"/>
  <c r="I18" i="12" s="1"/>
  <c r="M124" i="12" a="1"/>
  <c r="M124" i="12" s="1"/>
  <c r="L186" i="12" a="1"/>
  <c r="L186" i="12" s="1"/>
  <c r="I50" i="12" a="1"/>
  <c r="I50" i="12" s="1"/>
  <c r="L117" i="12" a="1"/>
  <c r="L117" i="12" s="1"/>
  <c r="L5" i="12" a="1"/>
  <c r="L5" i="12" s="1"/>
  <c r="L102" i="12" a="1"/>
  <c r="L102" i="12" s="1"/>
  <c r="L13" i="12" a="1"/>
  <c r="L13" i="12" s="1"/>
  <c r="N13" i="12" s="1"/>
  <c r="L25" i="12" a="1"/>
  <c r="L25" i="12" s="1"/>
  <c r="M67" i="12" a="1"/>
  <c r="M67" i="12" s="1"/>
  <c r="L204" i="12" a="1"/>
  <c r="L204" i="12" s="1"/>
  <c r="L211" i="12" a="1"/>
  <c r="L211" i="12" s="1"/>
  <c r="M161" i="12" a="1"/>
  <c r="M161" i="12" s="1"/>
  <c r="L243" i="12" a="1"/>
  <c r="L243" i="12" s="1"/>
  <c r="M172" i="12" a="1"/>
  <c r="M172" i="12" s="1"/>
  <c r="I55" i="12" a="1"/>
  <c r="I55" i="12" s="1"/>
  <c r="I100" i="12" a="1"/>
  <c r="I100" i="12" s="1"/>
  <c r="I25" i="12" a="1"/>
  <c r="I25" i="12" s="1"/>
  <c r="L82" i="12" a="1"/>
  <c r="L82" i="12" s="1"/>
  <c r="L74" i="12" a="1"/>
  <c r="L74" i="12" s="1"/>
  <c r="M66" i="12" a="1"/>
  <c r="M66" i="12" s="1"/>
  <c r="I49" i="12" a="1"/>
  <c r="I49" i="12" s="1"/>
  <c r="M110" i="12" a="1"/>
  <c r="M110" i="12" s="1"/>
  <c r="L132" i="12" a="1"/>
  <c r="L132" i="12" s="1"/>
  <c r="M85" i="12" a="1"/>
  <c r="M85" i="12" s="1"/>
  <c r="L63" i="12" a="1"/>
  <c r="L63" i="12" s="1"/>
  <c r="M205" i="12" a="1"/>
  <c r="M205" i="12" s="1"/>
  <c r="M160" i="12" a="1"/>
  <c r="M160" i="12" s="1"/>
  <c r="L86" i="12" a="1"/>
  <c r="L86" i="12" s="1"/>
  <c r="I74" i="12" a="1"/>
  <c r="I74" i="12" s="1"/>
  <c r="L202" i="12" a="1"/>
  <c r="L202" i="12" s="1"/>
  <c r="L6" i="12" a="1"/>
  <c r="L6" i="12" s="1"/>
  <c r="L87" i="12" a="1"/>
  <c r="L87" i="12" s="1"/>
  <c r="L238" i="12" a="1"/>
  <c r="L238" i="12" s="1"/>
  <c r="L236" i="12" a="1"/>
  <c r="L236" i="12" s="1"/>
  <c r="L114" i="12" a="1"/>
  <c r="L114" i="12" s="1"/>
  <c r="L226" i="12" a="1"/>
  <c r="L226" i="12" s="1"/>
  <c r="M69" i="12" a="1"/>
  <c r="M69" i="12" s="1"/>
  <c r="I23" i="12" a="1"/>
  <c r="I23" i="12" s="1"/>
  <c r="I75" i="12" a="1"/>
  <c r="I75" i="12" s="1"/>
  <c r="L250" i="12" a="1"/>
  <c r="L250" i="12" s="1"/>
  <c r="M151" i="12" a="1"/>
  <c r="M151" i="12" s="1"/>
  <c r="L244" i="12" a="1"/>
  <c r="L244" i="12" s="1"/>
  <c r="L173" i="12" a="1"/>
  <c r="L173" i="12" s="1"/>
  <c r="M34" i="12" a="1"/>
  <c r="M34" i="12" s="1"/>
  <c r="L253" i="12" a="1"/>
  <c r="L253" i="12" s="1"/>
  <c r="M72" i="12" a="1"/>
  <c r="M72" i="12" s="1"/>
  <c r="M194" i="12" a="1"/>
  <c r="M194" i="12" s="1"/>
  <c r="I70" i="12" a="1"/>
  <c r="I70" i="12" s="1"/>
  <c r="M201" i="12" a="1"/>
  <c r="M201" i="12" s="1"/>
  <c r="L185" i="12" a="1"/>
  <c r="L185" i="12" s="1"/>
  <c r="M158" i="12" a="1"/>
  <c r="M158" i="12" s="1"/>
  <c r="I31" i="12" a="1"/>
  <c r="I31" i="12" s="1"/>
  <c r="M202" i="12" a="1"/>
  <c r="M202" i="12" s="1"/>
  <c r="M83" i="12" a="1"/>
  <c r="M83" i="12" s="1"/>
  <c r="M229" i="12" a="1"/>
  <c r="M229" i="12" s="1"/>
  <c r="L7" i="12" a="1"/>
  <c r="L7" i="12" s="1"/>
  <c r="M203" i="12" a="1"/>
  <c r="M203" i="12" s="1"/>
  <c r="L55" i="12" a="1"/>
  <c r="L55" i="12" s="1"/>
  <c r="I60" i="12" a="1"/>
  <c r="I60" i="12" s="1"/>
  <c r="I58" i="12" a="1"/>
  <c r="I58" i="12" s="1"/>
  <c r="M155" i="12" a="1"/>
  <c r="M155" i="12" s="1"/>
  <c r="I73" i="12" a="1"/>
  <c r="I73" i="12" s="1"/>
  <c r="L99" i="12" a="1"/>
  <c r="L99" i="12" s="1"/>
  <c r="N99" i="12" s="1"/>
  <c r="L135" i="12" a="1"/>
  <c r="L135" i="12" s="1"/>
  <c r="L194" i="12" a="1"/>
  <c r="L194" i="12" s="1"/>
  <c r="L196" i="12" a="1"/>
  <c r="L196" i="12" s="1"/>
  <c r="M208" i="12" a="1"/>
  <c r="M208" i="12" s="1"/>
  <c r="M123" i="12" a="1"/>
  <c r="M123" i="12" s="1"/>
  <c r="M231" i="12" a="1"/>
  <c r="M231" i="12" s="1"/>
  <c r="L147" i="12" a="1"/>
  <c r="L147" i="12" s="1"/>
  <c r="M75" i="12" a="1"/>
  <c r="M75" i="12" s="1"/>
  <c r="N75" i="12" s="1"/>
  <c r="L28" i="12" a="1"/>
  <c r="L28" i="12" s="1"/>
  <c r="M39" i="12" a="1"/>
  <c r="M39" i="12" s="1"/>
  <c r="L207" i="12" a="1"/>
  <c r="L207" i="12" s="1"/>
  <c r="I64" i="12" a="1"/>
  <c r="I64" i="12" s="1"/>
  <c r="L224" i="12" a="1"/>
  <c r="L224" i="12" s="1"/>
  <c r="I22" i="12" a="1"/>
  <c r="I22" i="12" s="1"/>
  <c r="M117" i="12" a="1"/>
  <c r="M117" i="12" s="1"/>
  <c r="M225" i="12" a="1"/>
  <c r="M225" i="12" s="1"/>
  <c r="M88" i="12" a="1"/>
  <c r="M88" i="12" s="1"/>
  <c r="L154" i="12" a="1"/>
  <c r="L154" i="12" s="1"/>
  <c r="L179" i="12" a="1"/>
  <c r="L179" i="12" s="1"/>
  <c r="M30" i="12" a="1"/>
  <c r="M30" i="12" s="1"/>
  <c r="I2" i="12" a="1"/>
  <c r="I2" i="12" s="1"/>
  <c r="L222" i="12" a="1"/>
  <c r="L222" i="12" s="1"/>
  <c r="L159" i="12" a="1"/>
  <c r="L159" i="12" s="1"/>
  <c r="M57" i="12" a="1"/>
  <c r="M57" i="12" s="1"/>
  <c r="L3" i="12" a="1"/>
  <c r="L3" i="12" s="1"/>
  <c r="M180" i="12" a="1"/>
  <c r="M180" i="12" s="1"/>
  <c r="L123" i="12" a="1"/>
  <c r="L123" i="12" s="1"/>
  <c r="L97" i="12" a="1"/>
  <c r="L97" i="12" s="1"/>
  <c r="L40" i="12" a="1"/>
  <c r="L40" i="12" s="1"/>
  <c r="I19" i="12" a="1"/>
  <c r="I19" i="12" s="1"/>
  <c r="M193" i="12" a="1"/>
  <c r="M193" i="12" s="1"/>
  <c r="M171" i="12" a="1"/>
  <c r="M171" i="12" s="1"/>
  <c r="L89" i="12" a="1"/>
  <c r="L89" i="12" s="1"/>
  <c r="M126" i="12" a="1"/>
  <c r="M126" i="12" s="1"/>
  <c r="M221" i="12" a="1"/>
  <c r="M221" i="12" s="1"/>
  <c r="L247" i="12" a="1"/>
  <c r="L247" i="12" s="1"/>
  <c r="M100" i="12" a="1"/>
  <c r="M100" i="12" s="1"/>
  <c r="N100" i="12" s="1"/>
  <c r="L131" i="12" a="1"/>
  <c r="L131" i="12" s="1"/>
  <c r="M8" i="12" a="1"/>
  <c r="M8" i="12" s="1"/>
  <c r="L192" i="12" a="1"/>
  <c r="L192" i="12" s="1"/>
  <c r="M191" i="12" a="1"/>
  <c r="M191" i="12" s="1"/>
  <c r="M111" i="12" a="1"/>
  <c r="M111" i="12" s="1"/>
  <c r="M29" i="12" a="1"/>
  <c r="M29" i="12" s="1"/>
  <c r="M20" i="12" a="1"/>
  <c r="M20" i="12" s="1"/>
  <c r="M223" i="12" a="1"/>
  <c r="M223" i="12" s="1"/>
  <c r="L31" i="12" a="1"/>
  <c r="L31" i="12" s="1"/>
  <c r="N31" i="12" s="1"/>
  <c r="I71" i="12" a="1"/>
  <c r="I71" i="12" s="1"/>
  <c r="L15" i="12" a="1"/>
  <c r="L15" i="12" s="1"/>
  <c r="I90" i="12" a="1"/>
  <c r="I90" i="12" s="1"/>
  <c r="L170" i="12" a="1"/>
  <c r="L170" i="12" s="1"/>
  <c r="M15" i="12" a="1"/>
  <c r="M15" i="12" s="1"/>
  <c r="L95" i="12" a="1"/>
  <c r="L95" i="12" s="1"/>
  <c r="N95" i="12" s="1"/>
  <c r="L142" i="12" a="1"/>
  <c r="L142" i="12" s="1"/>
  <c r="L208" i="12" a="1"/>
  <c r="L208" i="12" s="1"/>
  <c r="M80" i="12" a="1"/>
  <c r="M80" i="12" s="1"/>
  <c r="N80" i="12" s="1"/>
  <c r="L193" i="12" a="1"/>
  <c r="L193" i="12" s="1"/>
  <c r="L106" i="12" a="1"/>
  <c r="L106" i="12" s="1"/>
  <c r="N106" i="12" s="1"/>
  <c r="M45" i="12" a="1"/>
  <c r="M45" i="12" s="1"/>
  <c r="L233" i="12" a="1"/>
  <c r="L233" i="12" s="1"/>
  <c r="M113" i="12" a="1"/>
  <c r="M113" i="12" s="1"/>
  <c r="M154" i="12" a="1"/>
  <c r="M154" i="12" s="1"/>
  <c r="L168" i="12" a="1"/>
  <c r="L168" i="12" s="1"/>
  <c r="L10" i="12" a="1"/>
  <c r="L10" i="12" s="1"/>
  <c r="L41" i="12" a="1"/>
  <c r="L41" i="12" s="1"/>
  <c r="M135" i="12" a="1"/>
  <c r="M135" i="12" s="1"/>
  <c r="M233" i="12" a="1"/>
  <c r="M233" i="12" s="1"/>
  <c r="L201" i="12" a="1"/>
  <c r="L201" i="12" s="1"/>
  <c r="L79" i="12" a="1"/>
  <c r="L79" i="12" s="1"/>
  <c r="L23" i="12" a="1"/>
  <c r="L23" i="12" s="1"/>
  <c r="M47" i="12" a="1"/>
  <c r="M47" i="12" s="1"/>
  <c r="L72" i="12" a="1"/>
  <c r="L72" i="12" s="1"/>
  <c r="L205" i="12" a="1"/>
  <c r="L205" i="12" s="1"/>
  <c r="M28" i="12" a="1"/>
  <c r="M28" i="12" s="1"/>
  <c r="L228" i="12" a="1"/>
  <c r="L228" i="12" s="1"/>
  <c r="M22" i="12" a="1"/>
  <c r="M22" i="12" s="1"/>
  <c r="M189" i="12" a="1"/>
  <c r="M189" i="12" s="1"/>
  <c r="M235" i="12" a="1"/>
  <c r="M235" i="12" s="1"/>
  <c r="L160" i="12" a="1"/>
  <c r="L160" i="12" s="1"/>
  <c r="M176" i="12" a="1"/>
  <c r="M176" i="12" s="1"/>
  <c r="L240" i="12" a="1"/>
  <c r="L240" i="12" s="1"/>
  <c r="L145" i="12" a="1"/>
  <c r="L145" i="12" s="1"/>
  <c r="L32" i="12" a="1"/>
  <c r="L32" i="12" s="1"/>
  <c r="M190" i="12" a="1"/>
  <c r="M190" i="12" s="1"/>
  <c r="M204" i="12" a="1"/>
  <c r="M204" i="12" s="1"/>
  <c r="M33" i="12" a="1"/>
  <c r="M33" i="12" s="1"/>
  <c r="L210" i="12" a="1"/>
  <c r="L210" i="12" s="1"/>
  <c r="L249" i="12" a="1"/>
  <c r="L249" i="12" s="1"/>
  <c r="M153" i="12" a="1"/>
  <c r="M153" i="12" s="1"/>
  <c r="M150" i="12" a="1"/>
  <c r="M150" i="12" s="1"/>
  <c r="L12" i="12" a="1"/>
  <c r="L12" i="12" s="1"/>
  <c r="M38" i="12" a="1"/>
  <c r="M38" i="12" s="1"/>
  <c r="M36" i="12" a="1"/>
  <c r="M36" i="12" s="1"/>
  <c r="M4" i="12" a="1"/>
  <c r="M4" i="12" s="1"/>
  <c r="M3" i="12" a="1"/>
  <c r="M3" i="12" s="1"/>
  <c r="M24" i="12" a="1"/>
  <c r="M24" i="12" s="1"/>
  <c r="L197" i="12" a="1"/>
  <c r="L197" i="12" s="1"/>
  <c r="L165" i="12" a="1"/>
  <c r="L165" i="12" s="1"/>
  <c r="I24" i="12" a="1"/>
  <c r="I24" i="12" s="1"/>
  <c r="I28" i="12" a="1"/>
  <c r="I28" i="12" s="1"/>
  <c r="I67" i="12" a="1"/>
  <c r="I67" i="12" s="1"/>
  <c r="M7" i="12" a="1"/>
  <c r="M7" i="12" s="1"/>
  <c r="L68" i="12" a="1"/>
  <c r="L68" i="12" s="1"/>
  <c r="L152" i="12" a="1"/>
  <c r="L152" i="12" s="1"/>
  <c r="I89" i="12" a="1"/>
  <c r="I89" i="12" s="1"/>
  <c r="M128" i="12" a="1"/>
  <c r="M128" i="12" s="1"/>
  <c r="M156" i="12" a="1"/>
  <c r="M156" i="12" s="1"/>
  <c r="M43" i="12" a="1"/>
  <c r="M43" i="12" s="1"/>
  <c r="I91" i="12" a="1"/>
  <c r="I91" i="12" s="1"/>
  <c r="L59" i="12" a="1"/>
  <c r="L59" i="12" s="1"/>
  <c r="M76" i="12" a="1"/>
  <c r="M76" i="12" s="1"/>
  <c r="M216" i="12" a="1"/>
  <c r="M216" i="12" s="1"/>
  <c r="L96" i="12" a="1"/>
  <c r="L96" i="12" s="1"/>
  <c r="N96" i="12" s="1"/>
  <c r="M74" i="12" a="1"/>
  <c r="M74" i="12" s="1"/>
  <c r="L44" i="12" a="1"/>
  <c r="L44" i="12" s="1"/>
  <c r="M148" i="12" a="1"/>
  <c r="M148" i="12" s="1"/>
  <c r="I52" i="12" a="1"/>
  <c r="I52" i="12" s="1"/>
  <c r="L20" i="12" a="1"/>
  <c r="L20" i="12" s="1"/>
  <c r="I57" i="12" a="1"/>
  <c r="I57" i="12" s="1"/>
  <c r="M115" i="12" a="1"/>
  <c r="M115" i="12" s="1"/>
  <c r="L242" i="12" a="1"/>
  <c r="L242" i="12" s="1"/>
  <c r="M60" i="12" a="1"/>
  <c r="M60" i="12" s="1"/>
  <c r="N60" i="12" s="1"/>
  <c r="I5" i="12" a="1"/>
  <c r="I5" i="12" s="1"/>
  <c r="L84" i="12" a="1"/>
  <c r="L84" i="12" s="1"/>
  <c r="N84" i="12" s="1"/>
  <c r="L67" i="12" a="1"/>
  <c r="L67" i="12" s="1"/>
  <c r="N67" i="12" s="1"/>
  <c r="M185" i="12" a="1"/>
  <c r="M185" i="12" s="1"/>
  <c r="L191" i="12" a="1"/>
  <c r="L191" i="12" s="1"/>
  <c r="M195" i="12" a="1"/>
  <c r="M195" i="12" s="1"/>
  <c r="M82" i="12" a="1"/>
  <c r="M82" i="12" s="1"/>
  <c r="L121" i="12" a="1"/>
  <c r="L121" i="12" s="1"/>
  <c r="L108" i="12" a="1"/>
  <c r="L108" i="12" s="1"/>
  <c r="N108" i="12" s="1"/>
  <c r="L216" i="12" a="1"/>
  <c r="L216" i="12" s="1"/>
  <c r="L171" i="12" a="1"/>
  <c r="L171" i="12" s="1"/>
  <c r="M55" i="12" a="1"/>
  <c r="M55" i="12" s="1"/>
  <c r="L158" i="12" a="1"/>
  <c r="L158" i="12" s="1"/>
  <c r="M145" i="12" a="1"/>
  <c r="M145" i="12" s="1"/>
  <c r="L77" i="12" a="1"/>
  <c r="L77" i="12" s="1"/>
  <c r="L47" i="12" a="1"/>
  <c r="L47" i="12" s="1"/>
  <c r="M93" i="12" a="1"/>
  <c r="M93" i="12" s="1"/>
  <c r="L64" i="12" a="1"/>
  <c r="L64" i="12" s="1"/>
  <c r="L212" i="12" a="1"/>
  <c r="L212" i="12" s="1"/>
  <c r="M21" i="12" a="1"/>
  <c r="M21" i="12" s="1"/>
  <c r="L81" i="12" a="1"/>
  <c r="L81" i="12" s="1"/>
  <c r="I4" i="12" a="1"/>
  <c r="I4" i="12" s="1"/>
  <c r="M41" i="12" a="1"/>
  <c r="M41" i="12" s="1"/>
  <c r="I16" i="12" a="1"/>
  <c r="I16" i="12" s="1"/>
  <c r="L115" i="12" a="1"/>
  <c r="L115" i="12" s="1"/>
  <c r="L139" i="12" a="1"/>
  <c r="L139" i="12" s="1"/>
  <c r="M23" i="12" a="1"/>
  <c r="M23" i="12" s="1"/>
  <c r="M132" i="12" a="1"/>
  <c r="M132" i="12" s="1"/>
  <c r="M104" i="12" a="1"/>
  <c r="M104" i="12" s="1"/>
  <c r="L161" i="12" a="1"/>
  <c r="L161" i="12" s="1"/>
  <c r="M187" i="12" a="1"/>
  <c r="M187" i="12" s="1"/>
  <c r="M90" i="12" a="1"/>
  <c r="M90" i="12" s="1"/>
  <c r="N90" i="12" s="1"/>
  <c r="L172" i="12" a="1"/>
  <c r="L172" i="12" s="1"/>
  <c r="I68" i="12" a="1"/>
  <c r="I68" i="12" s="1"/>
  <c r="M81" i="12" a="1"/>
  <c r="M81" i="12" s="1"/>
  <c r="I65" i="12" a="1"/>
  <c r="I65" i="12" s="1"/>
  <c r="M147" i="12" a="1"/>
  <c r="M147" i="12" s="1"/>
  <c r="M219" i="12" a="1"/>
  <c r="M219" i="12" s="1"/>
  <c r="M165" i="12" a="1"/>
  <c r="M165" i="12" s="1"/>
  <c r="L101" i="12" a="1"/>
  <c r="L101" i="12" s="1"/>
  <c r="N101" i="12" s="1"/>
  <c r="L8" i="12" a="1"/>
  <c r="L8" i="12" s="1"/>
  <c r="L225" i="12" a="1"/>
  <c r="L225" i="12" s="1"/>
  <c r="L178" i="12" a="1"/>
  <c r="L178" i="12" s="1"/>
  <c r="I11" i="12" a="1"/>
  <c r="I11" i="12" s="1"/>
  <c r="L16" i="12" a="1"/>
  <c r="L16" i="12" s="1"/>
  <c r="M35" i="12" a="1"/>
  <c r="M35" i="12" s="1"/>
  <c r="M217" i="12" a="1"/>
  <c r="M217" i="12" s="1"/>
  <c r="M140" i="12" a="1"/>
  <c r="M140" i="12" s="1"/>
  <c r="I9" i="12" a="1"/>
  <c r="I9" i="12" s="1"/>
  <c r="L62" i="12" a="1"/>
  <c r="L62" i="12" s="1"/>
  <c r="I47" i="12" a="1"/>
  <c r="I47" i="12" s="1"/>
  <c r="L141" i="12" a="1"/>
  <c r="L141" i="12" s="1"/>
  <c r="L198" i="12" a="1"/>
  <c r="L198" i="12" s="1"/>
  <c r="M103" i="12" a="1"/>
  <c r="M103" i="12" s="1"/>
  <c r="L137" i="12" a="1"/>
  <c r="L137" i="12" s="1"/>
  <c r="I88" i="12" a="1"/>
  <c r="I88" i="12" s="1"/>
  <c r="L9" i="12" a="1"/>
  <c r="L9" i="12" s="1"/>
  <c r="N9" i="12" s="1"/>
  <c r="M6" i="12" a="1"/>
  <c r="M6" i="12" s="1"/>
  <c r="M178" i="12" a="1"/>
  <c r="M178" i="12" s="1"/>
  <c r="L105" i="12" a="1"/>
  <c r="L105" i="12" s="1"/>
  <c r="M94" i="12" a="1"/>
  <c r="M94" i="12" s="1"/>
  <c r="I96" i="12" a="1"/>
  <c r="I96" i="12" s="1"/>
  <c r="L45" i="12" a="1"/>
  <c r="L45" i="12" s="1"/>
  <c r="N45" i="12" s="1"/>
  <c r="M64" i="12" a="1"/>
  <c r="M64" i="12" s="1"/>
  <c r="L52" i="12" a="1"/>
  <c r="L52" i="12" s="1"/>
  <c r="M92" i="12" a="1"/>
  <c r="M92" i="12" s="1"/>
  <c r="I48" i="12" a="1"/>
  <c r="I48" i="12" s="1"/>
  <c r="M192" i="12" a="1"/>
  <c r="M192" i="12" s="1"/>
  <c r="L252" i="12" a="1"/>
  <c r="L252" i="12" s="1"/>
  <c r="M70" i="12" a="1"/>
  <c r="M70" i="12" s="1"/>
  <c r="M138" i="12" a="1"/>
  <c r="M138" i="12" s="1"/>
  <c r="L183" i="12" a="1"/>
  <c r="L183" i="12" s="1"/>
  <c r="L116" i="12" a="1"/>
  <c r="L116" i="12" s="1"/>
  <c r="L42" i="12" a="1"/>
  <c r="L42" i="12" s="1"/>
  <c r="N42" i="12" s="1"/>
  <c r="I72" i="12" a="1"/>
  <c r="I72" i="12" s="1"/>
  <c r="L237" i="12" a="1"/>
  <c r="L237" i="12" s="1"/>
  <c r="L51" i="12" a="1"/>
  <c r="L51" i="12" s="1"/>
  <c r="M207" i="12" a="1"/>
  <c r="M207" i="12" s="1"/>
  <c r="I20" i="12" a="1"/>
  <c r="I20" i="12" s="1"/>
  <c r="I36" i="12" a="1"/>
  <c r="I36" i="12" s="1"/>
  <c r="L38" i="12" a="1"/>
  <c r="L38" i="12" s="1"/>
  <c r="M102" i="12" a="1"/>
  <c r="M102" i="12" s="1"/>
  <c r="M199" i="12" a="1"/>
  <c r="M199" i="12" s="1"/>
  <c r="L149" i="12" a="1"/>
  <c r="L149" i="12" s="1"/>
  <c r="L206" i="12" a="1"/>
  <c r="L206" i="12" s="1"/>
  <c r="M125" i="12" a="1"/>
  <c r="M125" i="12" s="1"/>
  <c r="M149" i="12" a="1"/>
  <c r="M149" i="12" s="1"/>
  <c r="M48" i="12" a="1"/>
  <c r="M48" i="12" s="1"/>
  <c r="I76" i="12" a="1"/>
  <c r="I76" i="12" s="1"/>
  <c r="L107" i="12" a="1"/>
  <c r="L107" i="12" s="1"/>
  <c r="M10" i="12" a="1"/>
  <c r="M10" i="12" s="1"/>
  <c r="I95" i="12" a="1"/>
  <c r="I95" i="12" s="1"/>
  <c r="L43" i="12" a="1"/>
  <c r="L43" i="12" s="1"/>
  <c r="I30" i="12" a="1"/>
  <c r="I30" i="12" s="1"/>
  <c r="M105" i="12" a="1"/>
  <c r="M105" i="12" s="1"/>
  <c r="M152" i="12" a="1"/>
  <c r="M152" i="12" s="1"/>
  <c r="L36" i="12" a="1"/>
  <c r="L36" i="12" s="1"/>
  <c r="L71" i="12" a="1"/>
  <c r="L71" i="12" s="1"/>
  <c r="N71" i="12" s="1"/>
  <c r="I37" i="12" a="1"/>
  <c r="I37" i="12" s="1"/>
  <c r="I62" i="12" a="1"/>
  <c r="I62" i="12" s="1"/>
  <c r="I59" i="12" a="1"/>
  <c r="I59" i="12" s="1"/>
  <c r="M49" i="12" a="1"/>
  <c r="M49" i="12" s="1"/>
  <c r="N49" i="12" s="1"/>
  <c r="L175" i="12" a="1"/>
  <c r="L175" i="12" s="1"/>
  <c r="L29" i="12" a="1"/>
  <c r="L29" i="12" s="1"/>
  <c r="M78" i="12" a="1"/>
  <c r="M78" i="12" s="1"/>
  <c r="L223" i="12" a="1"/>
  <c r="L223" i="12" s="1"/>
  <c r="L214" i="12" a="1"/>
  <c r="L214" i="12" s="1"/>
  <c r="L241" i="12" a="1"/>
  <c r="L241" i="12" s="1"/>
  <c r="L112" i="12" a="1"/>
  <c r="L112" i="12" s="1"/>
  <c r="L18" i="12" a="1"/>
  <c r="L18" i="12" s="1"/>
  <c r="N18" i="12" s="1"/>
  <c r="L94" i="12" a="1"/>
  <c r="L94" i="12" s="1"/>
  <c r="M177" i="12" a="1"/>
  <c r="M177" i="12" s="1"/>
  <c r="I56" i="12" a="1"/>
  <c r="I56" i="12" s="1"/>
  <c r="M46" i="12" a="1"/>
  <c r="M46" i="12" s="1"/>
  <c r="L217" i="12" a="1"/>
  <c r="L217" i="12" s="1"/>
  <c r="M77" i="12" a="1"/>
  <c r="M77" i="12" s="1"/>
  <c r="L125" i="12" a="1"/>
  <c r="L125" i="12" s="1"/>
  <c r="L134" i="12" a="1"/>
  <c r="L134" i="12" s="1"/>
  <c r="L215" i="12" a="1"/>
  <c r="L215" i="12" s="1"/>
  <c r="M58" i="12" a="1"/>
  <c r="M58" i="12" s="1"/>
  <c r="N58" i="12" s="1"/>
  <c r="I61" i="12" a="1"/>
  <c r="I61" i="12" s="1"/>
  <c r="M166" i="12" a="1"/>
  <c r="M166" i="12" s="1"/>
  <c r="M11" i="12" a="1"/>
  <c r="M11" i="12" s="1"/>
  <c r="M186" i="12" a="1"/>
  <c r="M186" i="12" s="1"/>
  <c r="L26" i="12" a="1"/>
  <c r="L26" i="12" s="1"/>
  <c r="I35" i="12" a="1"/>
  <c r="I35" i="12" s="1"/>
  <c r="L177" i="12" a="1"/>
  <c r="L177" i="12" s="1"/>
  <c r="L235" i="12" a="1"/>
  <c r="L235" i="12" s="1"/>
  <c r="I46" i="12" a="1"/>
  <c r="I46" i="12" s="1"/>
  <c r="M12" i="12" a="1"/>
  <c r="M12" i="12" s="1"/>
  <c r="L14" i="12" a="1"/>
  <c r="L14" i="12" s="1"/>
  <c r="M136" i="12" a="1"/>
  <c r="M136" i="12" s="1"/>
  <c r="L30" i="12" a="1"/>
  <c r="L30" i="12" s="1"/>
  <c r="I94" i="12" a="1"/>
  <c r="I94" i="12" s="1"/>
  <c r="M19" i="12" a="1"/>
  <c r="M19" i="12" s="1"/>
  <c r="L143" i="12" a="1"/>
  <c r="L143" i="12" s="1"/>
  <c r="L232" i="12" a="1"/>
  <c r="L232" i="12" s="1"/>
  <c r="L146" i="12" a="1"/>
  <c r="L146" i="12" s="1"/>
  <c r="L188" i="12" a="1"/>
  <c r="L188" i="12" s="1"/>
  <c r="M116" i="12" a="1"/>
  <c r="M116" i="12" s="1"/>
  <c r="I53" i="12" a="1"/>
  <c r="I53" i="12" s="1"/>
  <c r="M146" i="12" a="1"/>
  <c r="M146" i="12" s="1"/>
  <c r="L70" i="12" a="1"/>
  <c r="L70" i="12" s="1"/>
  <c r="N47" i="12"/>
  <c r="N24" i="12"/>
  <c r="N39" i="12"/>
  <c r="I2" i="8"/>
  <c r="K2" i="4" s="1"/>
  <c r="K116" i="1" s="1" a="1"/>
  <c r="K116" i="1" s="1"/>
  <c r="L116" i="14" s="1"/>
  <c r="N74" i="12" l="1"/>
  <c r="N66" i="12"/>
  <c r="N40" i="12"/>
  <c r="N107" i="12"/>
  <c r="N92" i="12"/>
  <c r="N62" i="12"/>
  <c r="N30" i="12"/>
  <c r="N36" i="12"/>
  <c r="N51" i="12"/>
  <c r="N76" i="12"/>
  <c r="N68" i="12"/>
  <c r="N87" i="12"/>
  <c r="N86" i="12"/>
  <c r="N59" i="12"/>
  <c r="N4" i="12"/>
  <c r="N109" i="12"/>
  <c r="N70" i="12"/>
  <c r="N11" i="12"/>
  <c r="N79" i="12"/>
  <c r="T14" i="6"/>
  <c r="N2" i="12"/>
  <c r="AC2" i="4" s="1"/>
  <c r="Q116" i="1" s="1" a="1"/>
  <c r="Q116" i="1" s="1"/>
  <c r="S116" i="14" s="1"/>
  <c r="T16" i="6"/>
  <c r="T24" i="6"/>
  <c r="AB112" i="4"/>
  <c r="T20" i="6"/>
  <c r="T22" i="6"/>
  <c r="T11" i="6"/>
  <c r="F9" i="13" s="1"/>
  <c r="T13" i="6"/>
  <c r="T23" i="6"/>
  <c r="T19" i="6"/>
  <c r="F14" i="13" s="1"/>
  <c r="N5" i="12"/>
  <c r="T12" i="6"/>
  <c r="T21" i="6"/>
  <c r="N14" i="12"/>
  <c r="T10" i="6"/>
  <c r="T17" i="6"/>
  <c r="F15" i="13"/>
  <c r="D2" i="13"/>
  <c r="C2" i="13"/>
  <c r="E2" i="13"/>
  <c r="B2" i="13"/>
  <c r="N27" i="12"/>
  <c r="N34" i="12"/>
  <c r="N22" i="12"/>
  <c r="N85" i="12"/>
  <c r="N6" i="12"/>
  <c r="U7" i="6" s="1"/>
  <c r="V7" i="6" s="1"/>
  <c r="N77" i="12"/>
  <c r="N12" i="12"/>
  <c r="AB67" i="4"/>
  <c r="P151" i="1" s="1" a="1"/>
  <c r="P151" i="1" s="1"/>
  <c r="N64" i="12"/>
  <c r="N88" i="12"/>
  <c r="N57" i="12"/>
  <c r="N63" i="12"/>
  <c r="N61" i="12"/>
  <c r="N26" i="12"/>
  <c r="N44" i="12"/>
  <c r="AB136" i="4"/>
  <c r="N72" i="12"/>
  <c r="AB188" i="4"/>
  <c r="N19" i="12"/>
  <c r="N16" i="12"/>
  <c r="N32" i="12"/>
  <c r="N29" i="12"/>
  <c r="N21" i="12"/>
  <c r="N89" i="12"/>
  <c r="N65" i="12"/>
  <c r="N20" i="12"/>
  <c r="AB36" i="4"/>
  <c r="P115" i="1" s="1" a="1"/>
  <c r="P115" i="1" s="1"/>
  <c r="AB11" i="4"/>
  <c r="P144" i="1" s="1" a="1"/>
  <c r="P144" i="1" s="1"/>
  <c r="N23" i="12"/>
  <c r="T5" i="6"/>
  <c r="F3" i="13" s="1"/>
  <c r="AB137" i="4"/>
  <c r="AB84" i="4"/>
  <c r="U38" i="6"/>
  <c r="V38" i="6" s="1"/>
  <c r="U31" i="6"/>
  <c r="V31" i="6" s="1"/>
  <c r="U34" i="6"/>
  <c r="V34" i="6" s="1"/>
  <c r="U44" i="6"/>
  <c r="V44" i="6" s="1"/>
  <c r="U37" i="6"/>
  <c r="V37" i="6" s="1"/>
  <c r="U29" i="6"/>
  <c r="V29" i="6" s="1"/>
  <c r="AB28" i="4"/>
  <c r="P126" i="1" s="1" a="1"/>
  <c r="P126" i="1" s="1"/>
  <c r="T15" i="6"/>
  <c r="AB18" i="4"/>
  <c r="P152" i="1" s="1" a="1"/>
  <c r="P152" i="1" s="1"/>
  <c r="T25" i="6"/>
  <c r="AB21" i="4"/>
  <c r="P199" i="1" s="1" a="1"/>
  <c r="P199" i="1" s="1"/>
  <c r="T18" i="6"/>
  <c r="F13" i="13" s="1"/>
  <c r="T31" i="6"/>
  <c r="T49" i="6"/>
  <c r="T33" i="6"/>
  <c r="T51" i="6"/>
  <c r="T38" i="6"/>
  <c r="T34" i="6"/>
  <c r="T52" i="6"/>
  <c r="T36" i="6"/>
  <c r="T41" i="6"/>
  <c r="T37" i="6"/>
  <c r="T39" i="6"/>
  <c r="T26" i="6"/>
  <c r="T44" i="6"/>
  <c r="T40" i="6"/>
  <c r="T42" i="6"/>
  <c r="T29" i="6"/>
  <c r="T47" i="6"/>
  <c r="T43" i="6"/>
  <c r="T27" i="6"/>
  <c r="T45" i="6"/>
  <c r="T32" i="6"/>
  <c r="T50" i="6"/>
  <c r="T28" i="6"/>
  <c r="T46" i="6"/>
  <c r="T30" i="6"/>
  <c r="T48" i="6"/>
  <c r="T35" i="6"/>
  <c r="N94" i="12"/>
  <c r="AB141" i="4"/>
  <c r="AB59" i="4"/>
  <c r="P182" i="1" s="1" a="1"/>
  <c r="P182" i="1" s="1"/>
  <c r="AB162" i="4"/>
  <c r="AB240" i="4"/>
  <c r="AB49" i="4"/>
  <c r="P124" i="1" s="1" a="1"/>
  <c r="P124" i="1" s="1"/>
  <c r="AB168" i="4"/>
  <c r="AB139" i="4"/>
  <c r="AB224" i="4"/>
  <c r="AB99" i="4"/>
  <c r="AB209" i="4"/>
  <c r="AB132" i="4"/>
  <c r="N50" i="12"/>
  <c r="AB117" i="4"/>
  <c r="N10" i="12"/>
  <c r="U21" i="6" s="1"/>
  <c r="N28" i="12"/>
  <c r="U15" i="6" s="1"/>
  <c r="N102" i="12"/>
  <c r="N33" i="12"/>
  <c r="U9" i="6" s="1"/>
  <c r="N35" i="12"/>
  <c r="N93" i="12"/>
  <c r="N111" i="12"/>
  <c r="N48" i="12"/>
  <c r="N91" i="12"/>
  <c r="N103" i="12"/>
  <c r="N43" i="12"/>
  <c r="T6" i="6"/>
  <c r="F4" i="13" s="1"/>
  <c r="T2" i="6"/>
  <c r="P2" i="1" s="1" a="1"/>
  <c r="P2" i="1" s="1"/>
  <c r="AB214" i="4"/>
  <c r="AB157" i="4"/>
  <c r="AB145" i="4"/>
  <c r="AB126" i="4"/>
  <c r="AB135" i="4"/>
  <c r="AB155" i="4"/>
  <c r="AB243" i="4"/>
  <c r="AB46" i="4"/>
  <c r="P135" i="1" s="1" a="1"/>
  <c r="P135" i="1" s="1"/>
  <c r="AB138" i="4"/>
  <c r="AB176" i="4"/>
  <c r="AB66" i="4"/>
  <c r="P241" i="1" s="1" a="1"/>
  <c r="P241" i="1" s="1"/>
  <c r="AB131" i="4"/>
  <c r="AB134" i="4"/>
  <c r="AB121" i="4"/>
  <c r="AB239" i="4"/>
  <c r="AB181" i="4"/>
  <c r="AB236" i="4"/>
  <c r="AB220" i="4"/>
  <c r="AB120" i="4"/>
  <c r="AB238" i="4"/>
  <c r="AB143" i="4"/>
  <c r="AB235" i="4"/>
  <c r="AB217" i="4"/>
  <c r="AB103" i="4"/>
  <c r="AB72" i="4"/>
  <c r="P112" i="1" s="1" a="1"/>
  <c r="P112" i="1" s="1"/>
  <c r="AB90" i="4"/>
  <c r="AB186" i="4"/>
  <c r="AB34" i="4"/>
  <c r="P245" i="1" s="1" a="1"/>
  <c r="P245" i="1" s="1"/>
  <c r="AB16" i="4"/>
  <c r="P184" i="1" s="1" a="1"/>
  <c r="P184" i="1" s="1"/>
  <c r="AB130" i="4"/>
  <c r="AB50" i="4"/>
  <c r="P155" i="1" s="1" a="1"/>
  <c r="P155" i="1" s="1"/>
  <c r="AB65" i="4"/>
  <c r="P158" i="1" s="1" a="1"/>
  <c r="P158" i="1" s="1"/>
  <c r="AB196" i="4"/>
  <c r="AB48" i="4"/>
  <c r="P142" i="1" s="1" a="1"/>
  <c r="P142" i="1" s="1"/>
  <c r="AB230" i="4"/>
  <c r="AB237" i="4"/>
  <c r="AB199" i="4"/>
  <c r="AB167" i="4"/>
  <c r="AB115" i="4"/>
  <c r="AB107" i="4"/>
  <c r="AB221" i="4"/>
  <c r="AB86" i="4"/>
  <c r="AB82" i="4"/>
  <c r="AB180" i="4"/>
  <c r="AB44" i="4"/>
  <c r="P127" i="1" s="1" a="1"/>
  <c r="P127" i="1" s="1"/>
  <c r="AB108" i="4"/>
  <c r="AB246" i="4"/>
  <c r="AB64" i="4"/>
  <c r="P130" i="1" s="1" a="1"/>
  <c r="P130" i="1" s="1"/>
  <c r="AB80" i="4"/>
  <c r="AB169" i="4"/>
  <c r="AB87" i="4"/>
  <c r="AB245" i="4"/>
  <c r="AB95" i="4"/>
  <c r="AB159" i="4"/>
  <c r="AB7" i="4"/>
  <c r="AB153" i="4"/>
  <c r="AB79" i="4"/>
  <c r="AB5" i="4"/>
  <c r="P147" i="1" s="1" a="1"/>
  <c r="P147" i="1" s="1"/>
  <c r="AB22" i="4"/>
  <c r="P160" i="1" s="1" a="1"/>
  <c r="P160" i="1" s="1"/>
  <c r="AB25" i="4"/>
  <c r="P163" i="1" s="1" a="1"/>
  <c r="P163" i="1" s="1"/>
  <c r="AB40" i="4"/>
  <c r="P196" i="1" s="1" a="1"/>
  <c r="P196" i="1" s="1"/>
  <c r="AB26" i="4"/>
  <c r="P148" i="1" s="1" a="1"/>
  <c r="P148" i="1" s="1"/>
  <c r="AB39" i="4"/>
  <c r="P141" i="1" s="1" a="1"/>
  <c r="P141" i="1" s="1"/>
  <c r="AB41" i="4"/>
  <c r="P252" i="1" s="1" a="1"/>
  <c r="P252" i="1" s="1"/>
  <c r="AB27" i="4"/>
  <c r="P129" i="1" s="1" a="1"/>
  <c r="P129" i="1" s="1"/>
  <c r="AB38" i="4"/>
  <c r="AB241" i="4"/>
  <c r="AB163" i="4"/>
  <c r="AB77" i="4"/>
  <c r="AB113" i="4"/>
  <c r="AB69" i="4"/>
  <c r="P179" i="1" s="1" a="1"/>
  <c r="P179" i="1" s="1"/>
  <c r="AB33" i="4"/>
  <c r="P246" i="1" s="1" a="1"/>
  <c r="P246" i="1" s="1"/>
  <c r="AB9" i="4"/>
  <c r="P243" i="1" s="1" a="1"/>
  <c r="P243" i="1" s="1"/>
  <c r="AB232" i="4"/>
  <c r="AB190" i="4"/>
  <c r="AB119" i="4"/>
  <c r="AB70" i="4"/>
  <c r="P176" i="1" s="1" a="1"/>
  <c r="P176" i="1" s="1"/>
  <c r="AB96" i="4"/>
  <c r="AB175" i="4"/>
  <c r="AB206" i="4"/>
  <c r="AB71" i="4"/>
  <c r="P122" i="1" s="1" a="1"/>
  <c r="P122" i="1" s="1"/>
  <c r="AB179" i="4"/>
  <c r="AB74" i="4"/>
  <c r="P149" i="1" s="1" a="1"/>
  <c r="P149" i="1" s="1"/>
  <c r="AB62" i="4"/>
  <c r="P120" i="1" s="1" a="1"/>
  <c r="P120" i="1" s="1"/>
  <c r="AB81" i="4"/>
  <c r="AB226" i="4"/>
  <c r="AB178" i="4"/>
  <c r="AB116" i="4"/>
  <c r="AB73" i="4"/>
  <c r="P156" i="1" s="1" a="1"/>
  <c r="P156" i="1" s="1"/>
  <c r="AB192" i="4"/>
  <c r="T7" i="6"/>
  <c r="AB148" i="4"/>
  <c r="AB122" i="4"/>
  <c r="AB227" i="4"/>
  <c r="AB125" i="4"/>
  <c r="AB207" i="4"/>
  <c r="AB24" i="4"/>
  <c r="P131" i="1" s="1" a="1"/>
  <c r="P131" i="1" s="1"/>
  <c r="AB45" i="4"/>
  <c r="P159" i="1" s="1" a="1"/>
  <c r="P159" i="1" s="1"/>
  <c r="AB182" i="4"/>
  <c r="AB201" i="4"/>
  <c r="AB215" i="4"/>
  <c r="AB222" i="4"/>
  <c r="AB83" i="4"/>
  <c r="AB211" i="4"/>
  <c r="AB247" i="4"/>
  <c r="AB109" i="4"/>
  <c r="AB154" i="4"/>
  <c r="AB144" i="4"/>
  <c r="AB147" i="4"/>
  <c r="AB140" i="4"/>
  <c r="AB114" i="4"/>
  <c r="AB29" i="4"/>
  <c r="P195" i="1" s="1" a="1"/>
  <c r="P195" i="1" s="1"/>
  <c r="AB23" i="4"/>
  <c r="P172" i="1" s="1" a="1"/>
  <c r="P172" i="1" s="1"/>
  <c r="N52" i="12"/>
  <c r="AB51" i="4"/>
  <c r="P170" i="1" s="1" a="1"/>
  <c r="P170" i="1" s="1"/>
  <c r="AB193" i="4"/>
  <c r="AB93" i="4"/>
  <c r="AB68" i="4"/>
  <c r="P169" i="1" s="1" a="1"/>
  <c r="P169" i="1" s="1"/>
  <c r="AB101" i="4"/>
  <c r="AB88" i="4"/>
  <c r="AB160" i="4"/>
  <c r="AB118" i="4"/>
  <c r="AB129" i="4"/>
  <c r="AB252" i="4"/>
  <c r="AB231" i="4"/>
  <c r="AB102" i="4"/>
  <c r="AB212" i="4"/>
  <c r="AB173" i="4"/>
  <c r="AB161" i="4"/>
  <c r="AB204" i="4"/>
  <c r="AB244" i="4"/>
  <c r="AB216" i="4"/>
  <c r="N112" i="12"/>
  <c r="AB20" i="4"/>
  <c r="P119" i="1" s="1" a="1"/>
  <c r="P119" i="1" s="1"/>
  <c r="AB63" i="4"/>
  <c r="P161" i="1" s="1" a="1"/>
  <c r="P161" i="1" s="1"/>
  <c r="AB111" i="4"/>
  <c r="AB171" i="4"/>
  <c r="AB58" i="4"/>
  <c r="P133" i="1" s="1" a="1"/>
  <c r="P133" i="1" s="1"/>
  <c r="AB85" i="4"/>
  <c r="AB156" i="4"/>
  <c r="AB146" i="4"/>
  <c r="AB52" i="4"/>
  <c r="P249" i="1" s="1" a="1"/>
  <c r="P249" i="1" s="1"/>
  <c r="AB127" i="4"/>
  <c r="AB56" i="4"/>
  <c r="P154" i="1" s="1" a="1"/>
  <c r="P154" i="1" s="1"/>
  <c r="AB164" i="4"/>
  <c r="AB185" i="4"/>
  <c r="AB151" i="4"/>
  <c r="AB200" i="4"/>
  <c r="AB133" i="4"/>
  <c r="AB105" i="4"/>
  <c r="AB76" i="4"/>
  <c r="AB142" i="4"/>
  <c r="AB165" i="4"/>
  <c r="AB75" i="4"/>
  <c r="P165" i="1" s="1" a="1"/>
  <c r="P165" i="1" s="1"/>
  <c r="AB55" i="4"/>
  <c r="P204" i="1" s="1" a="1"/>
  <c r="P204" i="1" s="1"/>
  <c r="AB123" i="4"/>
  <c r="AB248" i="4"/>
  <c r="T4" i="6"/>
  <c r="F2" i="13" s="1"/>
  <c r="T8" i="6"/>
  <c r="F7" i="13" s="1"/>
  <c r="AB35" i="4"/>
  <c r="P139" i="1" s="1" a="1"/>
  <c r="P139" i="1" s="1"/>
  <c r="N3" i="12"/>
  <c r="AB31" i="4"/>
  <c r="P143" i="1" s="1" a="1"/>
  <c r="P143" i="1" s="1"/>
  <c r="AB10" i="4"/>
  <c r="P123" i="1" s="1" a="1"/>
  <c r="P123" i="1" s="1"/>
  <c r="AB8" i="4"/>
  <c r="P166" i="1" s="1" a="1"/>
  <c r="P166" i="1" s="1"/>
  <c r="N8" i="12"/>
  <c r="U22" i="6" s="1"/>
  <c r="N113" i="12"/>
  <c r="N15" i="12"/>
  <c r="U3" i="6" s="1"/>
  <c r="AB19" i="4"/>
  <c r="AB32" i="4"/>
  <c r="P201" i="1" s="1" a="1"/>
  <c r="P201" i="1" s="1"/>
  <c r="AB17" i="4"/>
  <c r="P137" i="1" s="1" a="1"/>
  <c r="P137" i="1" s="1"/>
  <c r="N56" i="12"/>
  <c r="AB30" i="4"/>
  <c r="P136" i="1" s="1" a="1"/>
  <c r="P136" i="1" s="1"/>
  <c r="AB4" i="4"/>
  <c r="P178" i="1" s="1" a="1"/>
  <c r="P178" i="1" s="1"/>
  <c r="N25" i="12"/>
  <c r="U24" i="6" s="1"/>
  <c r="AB14" i="4"/>
  <c r="P205" i="1" s="1" a="1"/>
  <c r="P205" i="1" s="1"/>
  <c r="AB6" i="4"/>
  <c r="P117" i="1" s="1" a="1"/>
  <c r="P117" i="1" s="1"/>
  <c r="AB12" i="4"/>
  <c r="P128" i="1" s="1" a="1"/>
  <c r="P128" i="1" s="1"/>
  <c r="AB15" i="4"/>
  <c r="P113" i="1" s="1" a="1"/>
  <c r="P113" i="1" s="1"/>
  <c r="U6" i="6"/>
  <c r="AB37" i="4"/>
  <c r="P118" i="1" s="1" a="1"/>
  <c r="P118" i="1" s="1"/>
  <c r="N97" i="12"/>
  <c r="AB13" i="4"/>
  <c r="P234" i="1" s="1" a="1"/>
  <c r="P234" i="1" s="1"/>
  <c r="AB2" i="4"/>
  <c r="P116" i="1" s="1" a="1"/>
  <c r="P116" i="1" s="1"/>
  <c r="T9" i="6"/>
  <c r="F8" i="13" s="1"/>
  <c r="T3" i="6"/>
  <c r="N82" i="12"/>
  <c r="AB3" i="4"/>
  <c r="P193" i="1" s="1" a="1"/>
  <c r="P193" i="1" s="1"/>
  <c r="AB184" i="4"/>
  <c r="AB229" i="4"/>
  <c r="AB228" i="4"/>
  <c r="AB234" i="4"/>
  <c r="AB213" i="4"/>
  <c r="AB170" i="4"/>
  <c r="AB223" i="4"/>
  <c r="AB210" i="4"/>
  <c r="AB250" i="4"/>
  <c r="AB106" i="4"/>
  <c r="AB104" i="4"/>
  <c r="AB219" i="4"/>
  <c r="AB57" i="4"/>
  <c r="P134" i="1" s="1" a="1"/>
  <c r="P134" i="1" s="1"/>
  <c r="AB174" i="4"/>
  <c r="AB166" i="4"/>
  <c r="AB189" i="4"/>
  <c r="AB78" i="4"/>
  <c r="AB233" i="4"/>
  <c r="AB124" i="4"/>
  <c r="AB197" i="4"/>
  <c r="AB198" i="4"/>
  <c r="AB92" i="4"/>
  <c r="AB225" i="4"/>
  <c r="AB47" i="4"/>
  <c r="P248" i="1" s="1" a="1"/>
  <c r="P248" i="1" s="1"/>
  <c r="AB89" i="4"/>
  <c r="AB158" i="4"/>
  <c r="AB60" i="4"/>
  <c r="P175" i="1" s="1" a="1"/>
  <c r="P175" i="1" s="1"/>
  <c r="AB187" i="4"/>
  <c r="AB128" i="4"/>
  <c r="AB97" i="4"/>
  <c r="AB177" i="4"/>
  <c r="AB110" i="4"/>
  <c r="AB208" i="4"/>
  <c r="AB91" i="4"/>
  <c r="AB150" i="4"/>
  <c r="AB203" i="4"/>
  <c r="AB191" i="4"/>
  <c r="AB183" i="4"/>
  <c r="AB152" i="4"/>
  <c r="AB100" i="4"/>
  <c r="AB242" i="4"/>
  <c r="AB149" i="4"/>
  <c r="AB43" i="4"/>
  <c r="P250" i="1" s="1" a="1"/>
  <c r="P250" i="1" s="1"/>
  <c r="AB61" i="4"/>
  <c r="P174" i="1" s="1" a="1"/>
  <c r="P174" i="1" s="1"/>
  <c r="AB249" i="4"/>
  <c r="AB94" i="4"/>
  <c r="AB42" i="4"/>
  <c r="P138" i="1" s="1" a="1"/>
  <c r="P138" i="1" s="1"/>
  <c r="AB205" i="4"/>
  <c r="AB202" i="4"/>
  <c r="AB194" i="4"/>
  <c r="AB218" i="4"/>
  <c r="AB172" i="4"/>
  <c r="AB195" i="4"/>
  <c r="AB53" i="4"/>
  <c r="P173" i="1" s="1" a="1"/>
  <c r="P173" i="1" s="1"/>
  <c r="AB98" i="4"/>
  <c r="AB251" i="4"/>
  <c r="AB54" i="4"/>
  <c r="P162" i="1" s="1" a="1"/>
  <c r="P162" i="1" s="1"/>
  <c r="N83" i="12"/>
  <c r="N17" i="12"/>
  <c r="U2" i="6" s="1"/>
  <c r="N69" i="12"/>
  <c r="N105" i="12"/>
  <c r="N55" i="12"/>
  <c r="N78" i="12"/>
  <c r="N104" i="12"/>
  <c r="N110" i="12"/>
  <c r="N7" i="12"/>
  <c r="U13" i="6" s="1"/>
  <c r="N73" i="12"/>
  <c r="N38" i="12"/>
  <c r="N81" i="12"/>
  <c r="N41" i="12"/>
  <c r="N37" i="12"/>
  <c r="N46" i="12"/>
  <c r="N54" i="12"/>
  <c r="AC166" i="4"/>
  <c r="AC116" i="4"/>
  <c r="AC90" i="4"/>
  <c r="AC81" i="4"/>
  <c r="AC228" i="4"/>
  <c r="F6" i="13" l="1"/>
  <c r="P145" i="1" a="1"/>
  <c r="P145" i="1" s="1"/>
  <c r="F11" i="13"/>
  <c r="P140" i="1" a="1"/>
  <c r="P140" i="1" s="1"/>
  <c r="F10" i="13"/>
  <c r="P247" i="1" a="1"/>
  <c r="P247" i="1" s="1"/>
  <c r="U52" i="6"/>
  <c r="V52" i="6" s="1"/>
  <c r="U48" i="6"/>
  <c r="V48" i="6" s="1"/>
  <c r="AC141" i="4"/>
  <c r="AC177" i="4"/>
  <c r="AC92" i="4"/>
  <c r="AC250" i="4"/>
  <c r="AC170" i="4"/>
  <c r="AC99" i="4"/>
  <c r="U43" i="6"/>
  <c r="V43" i="6" s="1"/>
  <c r="U41" i="6"/>
  <c r="V41" i="6" s="1"/>
  <c r="U46" i="6"/>
  <c r="V46" i="6" s="1"/>
  <c r="U32" i="6"/>
  <c r="V32" i="6" s="1"/>
  <c r="U47" i="6"/>
  <c r="V47" i="6" s="1"/>
  <c r="U26" i="6"/>
  <c r="V26" i="6" s="1"/>
  <c r="U49" i="6"/>
  <c r="V49" i="6" s="1"/>
  <c r="U28" i="6"/>
  <c r="V28" i="6" s="1"/>
  <c r="U45" i="6"/>
  <c r="V45" i="6" s="1"/>
  <c r="AC169" i="4"/>
  <c r="AC224" i="4"/>
  <c r="AC244" i="4"/>
  <c r="AC9" i="4"/>
  <c r="Q243" i="1" s="1" a="1"/>
  <c r="Q243" i="1" s="1"/>
  <c r="S243" i="14" s="1"/>
  <c r="U33" i="6"/>
  <c r="V33" i="6" s="1"/>
  <c r="U30" i="6"/>
  <c r="V30" i="6" s="1"/>
  <c r="U27" i="6"/>
  <c r="V27" i="6" s="1"/>
  <c r="AC167" i="4"/>
  <c r="AC66" i="4"/>
  <c r="Q241" i="1" s="1" a="1"/>
  <c r="Q241" i="1" s="1"/>
  <c r="S241" i="14" s="1"/>
  <c r="AC52" i="4"/>
  <c r="Q249" i="1" s="1" a="1"/>
  <c r="Q249" i="1" s="1"/>
  <c r="S249" i="14" s="1"/>
  <c r="AC51" i="4"/>
  <c r="Q170" i="1" s="1" a="1"/>
  <c r="Q170" i="1" s="1"/>
  <c r="S170" i="14" s="1"/>
  <c r="U18" i="6"/>
  <c r="U11" i="6"/>
  <c r="V11" i="6" s="1"/>
  <c r="U8" i="6"/>
  <c r="V8" i="6" s="1"/>
  <c r="U42" i="6"/>
  <c r="V42" i="6" s="1"/>
  <c r="U39" i="6"/>
  <c r="V39" i="6" s="1"/>
  <c r="U36" i="6"/>
  <c r="V36" i="6" s="1"/>
  <c r="U51" i="6"/>
  <c r="V51" i="6" s="1"/>
  <c r="U35" i="6"/>
  <c r="V35" i="6" s="1"/>
  <c r="U50" i="6"/>
  <c r="V50" i="6" s="1"/>
  <c r="U40" i="6"/>
  <c r="V40" i="6" s="1"/>
  <c r="U5" i="6"/>
  <c r="V5" i="6" s="1"/>
  <c r="U12" i="6"/>
  <c r="V12" i="6" s="1"/>
  <c r="U4" i="6"/>
  <c r="V4" i="6" s="1"/>
  <c r="U16" i="6"/>
  <c r="V16" i="6" s="1"/>
  <c r="U25" i="6"/>
  <c r="V25" i="6" s="1"/>
  <c r="AC35" i="4"/>
  <c r="Q139" i="1" s="1" a="1"/>
  <c r="Q139" i="1" s="1"/>
  <c r="S139" i="14" s="1"/>
  <c r="U17" i="6"/>
  <c r="V17" i="6" s="1"/>
  <c r="U14" i="6"/>
  <c r="V14" i="6" s="1"/>
  <c r="U19" i="6"/>
  <c r="V19" i="6" s="1"/>
  <c r="U20" i="6"/>
  <c r="V20" i="6" s="1"/>
  <c r="U10" i="6"/>
  <c r="V10" i="6" s="1"/>
  <c r="U23" i="6"/>
  <c r="V23" i="6" s="1"/>
  <c r="F12" i="13"/>
  <c r="AC151" i="4"/>
  <c r="AC176" i="4"/>
  <c r="AC196" i="4"/>
  <c r="AC162" i="4"/>
  <c r="AC226" i="4"/>
  <c r="AC57" i="4"/>
  <c r="Q134" i="1" s="1" a="1"/>
  <c r="Q134" i="1" s="1"/>
  <c r="S134" i="14" s="1"/>
  <c r="AC221" i="4"/>
  <c r="AC129" i="4"/>
  <c r="AC252" i="4"/>
  <c r="AC60" i="4"/>
  <c r="Q175" i="1" s="1" a="1"/>
  <c r="Q175" i="1" s="1"/>
  <c r="S175" i="14" s="1"/>
  <c r="AC241" i="4"/>
  <c r="AC62" i="4"/>
  <c r="Q120" i="1" s="1" a="1"/>
  <c r="Q120" i="1" s="1"/>
  <c r="S120" i="14" s="1"/>
  <c r="AC128" i="4"/>
  <c r="AC182" i="4"/>
  <c r="AC130" i="4"/>
  <c r="AC136" i="4"/>
  <c r="AC100" i="4"/>
  <c r="AC131" i="4"/>
  <c r="AC84" i="4"/>
  <c r="AC108" i="4"/>
  <c r="AC215" i="4"/>
  <c r="AC199" i="4"/>
  <c r="AC94" i="4"/>
  <c r="AC222" i="4"/>
  <c r="AC110" i="4"/>
  <c r="AC187" i="4"/>
  <c r="AC48" i="4"/>
  <c r="Q142" i="1" s="1" a="1"/>
  <c r="Q142" i="1" s="1"/>
  <c r="S142" i="14" s="1"/>
  <c r="AC138" i="4"/>
  <c r="AC103" i="4"/>
  <c r="AC124" i="4"/>
  <c r="AC64" i="4"/>
  <c r="Q130" i="1" s="1" a="1"/>
  <c r="Q130" i="1" s="1"/>
  <c r="S130" i="14" s="1"/>
  <c r="AC86" i="4"/>
  <c r="AC240" i="4"/>
  <c r="AC158" i="4"/>
  <c r="AC213" i="4"/>
  <c r="F5" i="13"/>
  <c r="F16" i="13"/>
  <c r="V22" i="6"/>
  <c r="V9" i="6"/>
  <c r="V13" i="6"/>
  <c r="V15" i="6"/>
  <c r="V24" i="6"/>
  <c r="V21" i="6"/>
  <c r="V3" i="6"/>
  <c r="V6" i="6"/>
  <c r="V2" i="6"/>
  <c r="Q2" i="1" a="1"/>
  <c r="Q2" i="1" s="1"/>
  <c r="S2" i="14" s="1"/>
  <c r="AC140" i="4"/>
  <c r="AC184" i="4"/>
  <c r="AC79" i="4"/>
  <c r="AC146" i="4"/>
  <c r="AC200" i="4"/>
  <c r="AC132" i="4"/>
  <c r="AC242" i="4"/>
  <c r="AC97" i="4"/>
  <c r="AC247" i="4"/>
  <c r="AC107" i="4"/>
  <c r="AC193" i="4"/>
  <c r="AC70" i="4"/>
  <c r="Q176" i="1" s="1" a="1"/>
  <c r="Q176" i="1" s="1"/>
  <c r="S176" i="14" s="1"/>
  <c r="AC145" i="4"/>
  <c r="AC230" i="4"/>
  <c r="AC63" i="4"/>
  <c r="Q161" i="1" s="1" a="1"/>
  <c r="Q161" i="1" s="1"/>
  <c r="S161" i="14" s="1"/>
  <c r="AC50" i="4"/>
  <c r="Q155" i="1" s="1" a="1"/>
  <c r="Q155" i="1" s="1"/>
  <c r="S155" i="14" s="1"/>
  <c r="AC198" i="4"/>
  <c r="AC154" i="4"/>
  <c r="AC104" i="4"/>
  <c r="AC211" i="4"/>
  <c r="AC8" i="4"/>
  <c r="Q166" i="1" s="1" a="1"/>
  <c r="Q166" i="1" s="1"/>
  <c r="S166" i="14" s="1"/>
  <c r="AC165" i="4"/>
  <c r="AC164" i="4"/>
  <c r="AC95" i="4"/>
  <c r="AC68" i="4"/>
  <c r="Q169" i="1" s="1" a="1"/>
  <c r="Q169" i="1" s="1"/>
  <c r="S169" i="14" s="1"/>
  <c r="AC218" i="4"/>
  <c r="AC225" i="4"/>
  <c r="AC205" i="4"/>
  <c r="AC234" i="4"/>
  <c r="AC219" i="4"/>
  <c r="AC217" i="4"/>
  <c r="AC216" i="4"/>
  <c r="AC31" i="4"/>
  <c r="Q143" i="1" s="1" a="1"/>
  <c r="Q143" i="1" s="1"/>
  <c r="S143" i="14" s="1"/>
  <c r="AC11" i="4"/>
  <c r="Q144" i="1" s="1" a="1"/>
  <c r="Q144" i="1" s="1"/>
  <c r="S144" i="14" s="1"/>
  <c r="AC190" i="4"/>
  <c r="AC212" i="4"/>
  <c r="AC243" i="4"/>
  <c r="AC125" i="4"/>
  <c r="AC58" i="4"/>
  <c r="Q133" i="1" s="1" a="1"/>
  <c r="Q133" i="1" s="1"/>
  <c r="S133" i="14" s="1"/>
  <c r="AC106" i="4"/>
  <c r="AC147" i="4"/>
  <c r="AC180" i="4"/>
  <c r="AC44" i="4"/>
  <c r="Q127" i="1" s="1" a="1"/>
  <c r="Q127" i="1" s="1"/>
  <c r="S127" i="14" s="1"/>
  <c r="AC237" i="4"/>
  <c r="AC39" i="4"/>
  <c r="Q141" i="1" s="1" a="1"/>
  <c r="Q141" i="1" s="1"/>
  <c r="S141" i="14" s="1"/>
  <c r="AC6" i="4"/>
  <c r="Q117" i="1" s="1" a="1"/>
  <c r="Q117" i="1" s="1"/>
  <c r="S117" i="14" s="1"/>
  <c r="AC40" i="4"/>
  <c r="Q196" i="1" s="1" a="1"/>
  <c r="Q196" i="1" s="1"/>
  <c r="S196" i="14" s="1"/>
  <c r="AC55" i="4"/>
  <c r="Q204" i="1" s="1" a="1"/>
  <c r="Q204" i="1" s="1"/>
  <c r="S204" i="14" s="1"/>
  <c r="AC80" i="4"/>
  <c r="AC220" i="4"/>
  <c r="AC179" i="4"/>
  <c r="AC126" i="4"/>
  <c r="AC85" i="4"/>
  <c r="AC75" i="4"/>
  <c r="Q165" i="1" s="1" a="1"/>
  <c r="Q165" i="1" s="1"/>
  <c r="S165" i="14" s="1"/>
  <c r="AC229" i="4"/>
  <c r="AC148" i="4"/>
  <c r="AC202" i="4"/>
  <c r="AC149" i="4"/>
  <c r="AC208" i="4"/>
  <c r="AC98" i="4"/>
  <c r="AC192" i="4"/>
  <c r="AC235" i="4"/>
  <c r="AC93" i="4"/>
  <c r="AC251" i="4"/>
  <c r="AC195" i="4"/>
  <c r="AC246" i="4"/>
  <c r="AC115" i="4"/>
  <c r="AC153" i="4"/>
  <c r="AC45" i="4"/>
  <c r="Q159" i="1" s="1" a="1"/>
  <c r="Q159" i="1" s="1"/>
  <c r="S159" i="14" s="1"/>
  <c r="AC137" i="4"/>
  <c r="AC87" i="4"/>
  <c r="AC37" i="4"/>
  <c r="Q118" i="1" s="1" a="1"/>
  <c r="Q118" i="1" s="1"/>
  <c r="S118" i="14" s="1"/>
  <c r="AC7" i="4"/>
  <c r="Q140" i="1" s="1" a="1"/>
  <c r="Q140" i="1" s="1"/>
  <c r="S140" i="14" s="1"/>
  <c r="AC27" i="4"/>
  <c r="Q129" i="1" s="1" a="1"/>
  <c r="Q129" i="1" s="1"/>
  <c r="S129" i="14" s="1"/>
  <c r="AC19" i="4"/>
  <c r="Q145" i="1" s="1" a="1"/>
  <c r="Q145" i="1" s="1"/>
  <c r="S145" i="14" s="1"/>
  <c r="AC59" i="4"/>
  <c r="Q182" i="1" s="1" a="1"/>
  <c r="Q182" i="1" s="1"/>
  <c r="S182" i="14" s="1"/>
  <c r="AC43" i="4"/>
  <c r="Q250" i="1" s="1" a="1"/>
  <c r="Q250" i="1" s="1"/>
  <c r="S250" i="14" s="1"/>
  <c r="AC121" i="4"/>
  <c r="AC46" i="4"/>
  <c r="Q135" i="1" s="1" a="1"/>
  <c r="Q135" i="1" s="1"/>
  <c r="S135" i="14" s="1"/>
  <c r="AC105" i="4"/>
  <c r="AC249" i="4"/>
  <c r="AC67" i="4"/>
  <c r="Q151" i="1" s="1" a="1"/>
  <c r="Q151" i="1" s="1"/>
  <c r="S151" i="14" s="1"/>
  <c r="AC188" i="4"/>
  <c r="AC78" i="4"/>
  <c r="AC117" i="4"/>
  <c r="AC181" i="4"/>
  <c r="AC207" i="4"/>
  <c r="AC191" i="4"/>
  <c r="AC91" i="4"/>
  <c r="AC233" i="4"/>
  <c r="AC134" i="4"/>
  <c r="AC96" i="4"/>
  <c r="AC236" i="4"/>
  <c r="AC201" i="4"/>
  <c r="AC109" i="4"/>
  <c r="AC206" i="4"/>
  <c r="AC161" i="4"/>
  <c r="AC65" i="4"/>
  <c r="Q158" i="1" s="1" a="1"/>
  <c r="Q158" i="1" s="1"/>
  <c r="S158" i="14" s="1"/>
  <c r="AC34" i="4"/>
  <c r="Q245" i="1" s="1" a="1"/>
  <c r="Q245" i="1" s="1"/>
  <c r="S245" i="14" s="1"/>
  <c r="AC5" i="4"/>
  <c r="Q147" i="1" s="1" a="1"/>
  <c r="Q147" i="1" s="1"/>
  <c r="S147" i="14" s="1"/>
  <c r="AC26" i="4"/>
  <c r="Q148" i="1" s="1" a="1"/>
  <c r="Q148" i="1" s="1"/>
  <c r="S148" i="14" s="1"/>
  <c r="AC21" i="4"/>
  <c r="Q199" i="1" s="1" a="1"/>
  <c r="Q199" i="1" s="1"/>
  <c r="S199" i="14" s="1"/>
  <c r="AC20" i="4"/>
  <c r="Q119" i="1" s="1" a="1"/>
  <c r="Q119" i="1" s="1"/>
  <c r="S119" i="14" s="1"/>
  <c r="AC3" i="4"/>
  <c r="Q193" i="1" s="1" a="1"/>
  <c r="Q193" i="1" s="1"/>
  <c r="S193" i="14" s="1"/>
  <c r="AC42" i="4"/>
  <c r="Q138" i="1" s="1" a="1"/>
  <c r="Q138" i="1" s="1"/>
  <c r="S138" i="14" s="1"/>
  <c r="AC18" i="4"/>
  <c r="Q152" i="1" s="1" a="1"/>
  <c r="Q152" i="1" s="1"/>
  <c r="S152" i="14" s="1"/>
  <c r="AC173" i="4"/>
  <c r="AC102" i="4"/>
  <c r="AC171" i="4"/>
  <c r="AC183" i="4"/>
  <c r="AC47" i="4"/>
  <c r="Q248" i="1" s="1" a="1"/>
  <c r="Q248" i="1" s="1"/>
  <c r="S248" i="14" s="1"/>
  <c r="AC168" i="4"/>
  <c r="AC238" i="4"/>
  <c r="AC89" i="4"/>
  <c r="AC239" i="4"/>
  <c r="AC174" i="4"/>
  <c r="AC172" i="4"/>
  <c r="AC32" i="4"/>
  <c r="Q201" i="1" s="1" a="1"/>
  <c r="Q201" i="1" s="1"/>
  <c r="S201" i="14" s="1"/>
  <c r="AC209" i="4"/>
  <c r="AC88" i="4"/>
  <c r="AC120" i="4"/>
  <c r="AC231" i="4"/>
  <c r="AC185" i="4"/>
  <c r="AC186" i="4"/>
  <c r="AC113" i="4"/>
  <c r="AC13" i="4"/>
  <c r="Q234" i="1" s="1" a="1"/>
  <c r="Q234" i="1" s="1"/>
  <c r="S234" i="14" s="1"/>
  <c r="AC15" i="4"/>
  <c r="Q113" i="1" s="1" a="1"/>
  <c r="Q113" i="1" s="1"/>
  <c r="S113" i="14" s="1"/>
  <c r="AC54" i="4"/>
  <c r="Q162" i="1" s="1" a="1"/>
  <c r="Q162" i="1" s="1"/>
  <c r="S162" i="14" s="1"/>
  <c r="AC139" i="4"/>
  <c r="AC114" i="4"/>
  <c r="AC144" i="4"/>
  <c r="AC111" i="4"/>
  <c r="AC204" i="4"/>
  <c r="AC112" i="4"/>
  <c r="AC232" i="4"/>
  <c r="AC156" i="4"/>
  <c r="AC152" i="4"/>
  <c r="AC61" i="4"/>
  <c r="Q174" i="1" s="1" a="1"/>
  <c r="Q174" i="1" s="1"/>
  <c r="S174" i="14" s="1"/>
  <c r="AC71" i="4"/>
  <c r="Q122" i="1" s="1" a="1"/>
  <c r="Q122" i="1" s="1"/>
  <c r="S122" i="14" s="1"/>
  <c r="AC118" i="4"/>
  <c r="AC197" i="4"/>
  <c r="AC142" i="4"/>
  <c r="AC119" i="4"/>
  <c r="AC135" i="4"/>
  <c r="AC56" i="4"/>
  <c r="Q154" i="1" s="1" a="1"/>
  <c r="Q154" i="1" s="1"/>
  <c r="S154" i="14" s="1"/>
  <c r="AC203" i="4"/>
  <c r="AC83" i="4"/>
  <c r="AC143" i="4"/>
  <c r="AC25" i="4"/>
  <c r="Q163" i="1" s="1" a="1"/>
  <c r="Q163" i="1" s="1"/>
  <c r="S163" i="14" s="1"/>
  <c r="AC163" i="4"/>
  <c r="AC189" i="4"/>
  <c r="AC41" i="4"/>
  <c r="Q252" i="1" s="1" a="1"/>
  <c r="Q252" i="1" s="1"/>
  <c r="S252" i="14" s="1"/>
  <c r="AC16" i="4"/>
  <c r="Q184" i="1" s="1" a="1"/>
  <c r="Q184" i="1" s="1"/>
  <c r="S184" i="14" s="1"/>
  <c r="AC245" i="4"/>
  <c r="AC69" i="4"/>
  <c r="Q179" i="1" s="1" a="1"/>
  <c r="Q179" i="1" s="1"/>
  <c r="S179" i="14" s="1"/>
  <c r="AC73" i="4"/>
  <c r="Q156" i="1" s="1" a="1"/>
  <c r="Q156" i="1" s="1"/>
  <c r="S156" i="14" s="1"/>
  <c r="AC157" i="4"/>
  <c r="AC76" i="4"/>
  <c r="AC122" i="4"/>
  <c r="AC38" i="4"/>
  <c r="Q247" i="1" s="1" a="1"/>
  <c r="Q247" i="1" s="1"/>
  <c r="S247" i="14" s="1"/>
  <c r="AC214" i="4"/>
  <c r="AC155" i="4"/>
  <c r="AC194" i="4"/>
  <c r="AC210" i="4"/>
  <c r="AC74" i="4"/>
  <c r="Q149" i="1" s="1" a="1"/>
  <c r="Q149" i="1" s="1"/>
  <c r="S149" i="14" s="1"/>
  <c r="AC123" i="4"/>
  <c r="AC127" i="4"/>
  <c r="AC101" i="4"/>
  <c r="AC159" i="4"/>
  <c r="AC175" i="4"/>
  <c r="AC49" i="4"/>
  <c r="Q124" i="1" s="1" a="1"/>
  <c r="Q124" i="1" s="1"/>
  <c r="S124" i="14" s="1"/>
  <c r="AC77" i="4"/>
  <c r="AC150" i="4"/>
  <c r="AC248" i="4"/>
  <c r="AC17" i="4"/>
  <c r="Q137" i="1" s="1" a="1"/>
  <c r="Q137" i="1" s="1"/>
  <c r="S137" i="14" s="1"/>
  <c r="AC22" i="4"/>
  <c r="Q160" i="1" s="1" a="1"/>
  <c r="Q160" i="1" s="1"/>
  <c r="S160" i="14" s="1"/>
  <c r="AC72" i="4"/>
  <c r="Q112" i="1" s="1" a="1"/>
  <c r="Q112" i="1" s="1"/>
  <c r="S112" i="14" s="1"/>
  <c r="AC227" i="4"/>
  <c r="AC223" i="4"/>
  <c r="AC133" i="4"/>
  <c r="AC178" i="4"/>
  <c r="AC53" i="4"/>
  <c r="Q173" i="1" s="1" a="1"/>
  <c r="Q173" i="1" s="1"/>
  <c r="S173" i="14" s="1"/>
  <c r="AC160" i="4"/>
  <c r="AC82" i="4"/>
  <c r="AC14" i="4"/>
  <c r="Q205" i="1" s="1" a="1"/>
  <c r="Q205" i="1" s="1"/>
  <c r="S205" i="14" s="1"/>
  <c r="AC36" i="4"/>
  <c r="Q115" i="1" s="1" a="1"/>
  <c r="Q115" i="1" s="1"/>
  <c r="S115" i="14" s="1"/>
  <c r="AC24" i="4"/>
  <c r="Q131" i="1" s="1" a="1"/>
  <c r="Q131" i="1" s="1"/>
  <c r="S131" i="14" s="1"/>
  <c r="AC28" i="4"/>
  <c r="Q126" i="1" s="1" a="1"/>
  <c r="Q126" i="1" s="1"/>
  <c r="S126" i="14" s="1"/>
  <c r="AC12" i="4"/>
  <c r="Q128" i="1" s="1" a="1"/>
  <c r="Q128" i="1" s="1"/>
  <c r="S128" i="14" s="1"/>
  <c r="AC10" i="4"/>
  <c r="Q123" i="1" s="1" a="1"/>
  <c r="Q123" i="1" s="1"/>
  <c r="S123" i="14" s="1"/>
  <c r="AC33" i="4"/>
  <c r="Q246" i="1" s="1" a="1"/>
  <c r="Q246" i="1" s="1"/>
  <c r="S246" i="14" s="1"/>
  <c r="AC30" i="4"/>
  <c r="Q136" i="1" s="1" a="1"/>
  <c r="Q136" i="1" s="1"/>
  <c r="S136" i="14" s="1"/>
  <c r="AC23" i="4"/>
  <c r="Q172" i="1" s="1" a="1"/>
  <c r="Q172" i="1" s="1"/>
  <c r="S172" i="14" s="1"/>
  <c r="AC29" i="4"/>
  <c r="Q195" i="1" s="1" a="1"/>
  <c r="Q195" i="1" s="1"/>
  <c r="S195" i="14" s="1"/>
  <c r="AC4" i="4"/>
  <c r="Q178" i="1" s="1" a="1"/>
  <c r="Q178" i="1" s="1"/>
  <c r="S178" i="14" s="1"/>
  <c r="V18" i="6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<sst xmlns="http://schemas.openxmlformats.org/spreadsheetml/2006/main" count="969" uniqueCount="559">
  <si>
    <t>Item</t>
  </si>
  <si>
    <t>S.N</t>
  </si>
  <si>
    <t>Type</t>
  </si>
  <si>
    <t>Asset</t>
  </si>
  <si>
    <t>Weight</t>
  </si>
  <si>
    <t>Make</t>
  </si>
  <si>
    <t>Model</t>
  </si>
  <si>
    <t>Screen</t>
  </si>
  <si>
    <t>Year</t>
  </si>
  <si>
    <t>CPU</t>
  </si>
  <si>
    <t>RAM</t>
  </si>
  <si>
    <t>Disk</t>
  </si>
  <si>
    <t>power supply</t>
  </si>
  <si>
    <t>Diagnostics</t>
  </si>
  <si>
    <t>Blancco Yes/No</t>
  </si>
  <si>
    <t>Blancco result</t>
  </si>
  <si>
    <t>S.N. Data carrier</t>
  </si>
  <si>
    <t>No. Data carrier</t>
  </si>
  <si>
    <t>Data Destruction Method</t>
  </si>
  <si>
    <t>Comments</t>
  </si>
  <si>
    <t>Item status</t>
  </si>
  <si>
    <t>Est. Value</t>
  </si>
  <si>
    <t>Mac reports</t>
  </si>
  <si>
    <t>CSV</t>
  </si>
  <si>
    <t>Business name</t>
  </si>
  <si>
    <t>System manufacturer</t>
  </si>
  <si>
    <t>System chassis type</t>
  </si>
  <si>
    <t>Custom 1</t>
  </si>
  <si>
    <t>Device Identifier</t>
  </si>
  <si>
    <t>Erasure state</t>
  </si>
  <si>
    <t>System serial</t>
  </si>
  <si>
    <t>System version</t>
  </si>
  <si>
    <t>System model</t>
  </si>
  <si>
    <t>Battery test</t>
  </si>
  <si>
    <t>Display test comment</t>
  </si>
  <si>
    <t>Keyboard test comment</t>
  </si>
  <si>
    <t>USB port hardware test comment</t>
  </si>
  <si>
    <t>Webcam test comment</t>
  </si>
  <si>
    <t>CPU model</t>
  </si>
  <si>
    <t>Memory capacity</t>
  </si>
  <si>
    <t>Memory type</t>
  </si>
  <si>
    <t>Disk capacity</t>
  </si>
  <si>
    <t>Disk interface type</t>
  </si>
  <si>
    <t>Disk serial</t>
  </si>
  <si>
    <t>Disk model</t>
  </si>
  <si>
    <t>Erasure start time</t>
  </si>
  <si>
    <t>Battery capacity</t>
  </si>
  <si>
    <t>Battery test comment</t>
  </si>
  <si>
    <t>Erasure technician</t>
  </si>
  <si>
    <t>UUID</t>
  </si>
  <si>
    <t>Notebook</t>
  </si>
  <si>
    <t>Laptop</t>
  </si>
  <si>
    <t>Latitude 5420</t>
  </si>
  <si>
    <t>ThinkPad P15v Gen 3</t>
  </si>
  <si>
    <t>Latitude 5410</t>
  </si>
  <si>
    <t>ThinkPad P15v Gen 2i</t>
  </si>
  <si>
    <t>Successful / Failed</t>
  </si>
  <si>
    <t>MacBookPro16,2</t>
  </si>
  <si>
    <t>ThinkPad P15v Gen 1</t>
  </si>
  <si>
    <t>Latitude 5401</t>
  </si>
  <si>
    <t>Latitude 7310</t>
  </si>
  <si>
    <t>Latitude 5400</t>
  </si>
  <si>
    <t>מספר פרויקט</t>
  </si>
  <si>
    <t>Item code</t>
  </si>
  <si>
    <t>לקוח סופי</t>
  </si>
  <si>
    <t>S.N.</t>
  </si>
  <si>
    <t>Ram</t>
  </si>
  <si>
    <t>Battery Health</t>
  </si>
  <si>
    <t>Activation Lock</t>
  </si>
  <si>
    <t>Find My Lock</t>
  </si>
  <si>
    <t>Remote</t>
  </si>
  <si>
    <t>Battery Status</t>
  </si>
  <si>
    <t>Disk S.N.</t>
  </si>
  <si>
    <t>Timestamp</t>
  </si>
  <si>
    <t>Erasure State</t>
  </si>
  <si>
    <t>model id</t>
  </si>
  <si>
    <t>model</t>
  </si>
  <si>
    <t>year</t>
  </si>
  <si>
    <t>size</t>
  </si>
  <si>
    <t>weight</t>
  </si>
  <si>
    <t>MacBookPro16,4</t>
  </si>
  <si>
    <t>A2141</t>
  </si>
  <si>
    <t>MacBookPro16,3</t>
  </si>
  <si>
    <t>A2289</t>
  </si>
  <si>
    <t>A2251</t>
  </si>
  <si>
    <t>MacBookPro16,1</t>
  </si>
  <si>
    <t>MacBookPro15,4</t>
  </si>
  <si>
    <t>A2159</t>
  </si>
  <si>
    <t>MacBookPro15,3</t>
  </si>
  <si>
    <t>A1990</t>
  </si>
  <si>
    <t>MacBookPro15,2</t>
  </si>
  <si>
    <t>A1989</t>
  </si>
  <si>
    <t>MacBookPro15,1</t>
  </si>
  <si>
    <t>MacBookPro14,3</t>
  </si>
  <si>
    <t>A1707</t>
  </si>
  <si>
    <t>MacBookPro14,2</t>
  </si>
  <si>
    <t>A1706</t>
  </si>
  <si>
    <t>MacBookPro14,1</t>
  </si>
  <si>
    <t>A1708</t>
  </si>
  <si>
    <t>MacBookPro13,3</t>
  </si>
  <si>
    <t>MacBookPro13,2</t>
  </si>
  <si>
    <t>MacBookPro13,1</t>
  </si>
  <si>
    <t>MacBookPro12,1</t>
  </si>
  <si>
    <t>A1502</t>
  </si>
  <si>
    <t>MacBookPro11,5</t>
  </si>
  <si>
    <t>A1398</t>
  </si>
  <si>
    <t>MacBookPro11,4</t>
  </si>
  <si>
    <t>MacBookPro11,3</t>
  </si>
  <si>
    <t>MacBookPro11,2</t>
  </si>
  <si>
    <t>MacBookPro17,1</t>
  </si>
  <si>
    <t>A2338</t>
  </si>
  <si>
    <t>MacBookPro18,2</t>
  </si>
  <si>
    <t>A2485</t>
  </si>
  <si>
    <t>MacBookPro18,3</t>
  </si>
  <si>
    <t>A2442</t>
  </si>
  <si>
    <t>MacBookPro18,4</t>
  </si>
  <si>
    <t>MacBookPro18,1</t>
  </si>
  <si>
    <t>Mac14,7</t>
  </si>
  <si>
    <t>Mac14,9</t>
  </si>
  <si>
    <t>A2779</t>
  </si>
  <si>
    <t>Mac14,5</t>
  </si>
  <si>
    <t>Mac14,10</t>
  </si>
  <si>
    <t>A2780</t>
  </si>
  <si>
    <t>Mac14,6</t>
  </si>
  <si>
    <t>Mac15,3</t>
  </si>
  <si>
    <t>A2918</t>
  </si>
  <si>
    <t>Mac15,6</t>
  </si>
  <si>
    <t>A2992</t>
  </si>
  <si>
    <t>Mac15,10</t>
  </si>
  <si>
    <t>Mac15,8</t>
  </si>
  <si>
    <t>Mac15,7</t>
  </si>
  <si>
    <t>A2991</t>
  </si>
  <si>
    <t>Mac15,11</t>
  </si>
  <si>
    <t>Mac15,9</t>
  </si>
  <si>
    <t>MacBookAir7,1</t>
  </si>
  <si>
    <t>A1465</t>
  </si>
  <si>
    <t>MacBookAir7,2</t>
  </si>
  <si>
    <t>A1466</t>
  </si>
  <si>
    <t>MacBookAir8,1</t>
  </si>
  <si>
    <t>A1932</t>
  </si>
  <si>
    <t>MacBookAir8,2</t>
  </si>
  <si>
    <t>MacBookAir9,1</t>
  </si>
  <si>
    <t>A2179</t>
  </si>
  <si>
    <t>MacBookAir10,1</t>
  </si>
  <si>
    <t>A2337</t>
  </si>
  <si>
    <t>Mac14,2</t>
  </si>
  <si>
    <t>A2681</t>
  </si>
  <si>
    <t>Mac14,15</t>
  </si>
  <si>
    <t>A2941</t>
  </si>
  <si>
    <t>Mac15,12</t>
  </si>
  <si>
    <t>A3113</t>
  </si>
  <si>
    <t>Mac15,13</t>
  </si>
  <si>
    <t>A3114</t>
  </si>
  <si>
    <t>MacPro6,1</t>
  </si>
  <si>
    <t>A1481</t>
  </si>
  <si>
    <t>imac17,1</t>
  </si>
  <si>
    <t>A1419</t>
  </si>
  <si>
    <t>imac18,3</t>
  </si>
  <si>
    <t>imac18,1</t>
  </si>
  <si>
    <t>A1418</t>
  </si>
  <si>
    <t>HP ZBook Studio G5</t>
  </si>
  <si>
    <t>HP ZBook Studio G7 Mobile Workstation</t>
  </si>
  <si>
    <t>HP ZBook Studio 15.6 inch G8 Mobile Workstation PC</t>
  </si>
  <si>
    <t>ZBook Studio 16 Inch G9</t>
  </si>
  <si>
    <t>HP EliteBook x360 1030 G4</t>
  </si>
  <si>
    <t>HP EliteBook x360 1030 G3</t>
  </si>
  <si>
    <t>EliteBook x360 1030 G7</t>
  </si>
  <si>
    <t>HP EliteBook x360 1030 G8 Notebook PC</t>
  </si>
  <si>
    <t>Latitude 7390</t>
  </si>
  <si>
    <t>Vostro 5590</t>
  </si>
  <si>
    <t>T490s</t>
  </si>
  <si>
    <t>X13 Gen 4</t>
  </si>
  <si>
    <t>X13 Gen 2i</t>
  </si>
  <si>
    <t>X13 Gen 2</t>
  </si>
  <si>
    <t>ThinkPad X280</t>
  </si>
  <si>
    <t>ThinkPad X240</t>
  </si>
  <si>
    <t>ThinkPad X230</t>
  </si>
  <si>
    <t>ThinkPad X250</t>
  </si>
  <si>
    <t>P2419H</t>
  </si>
  <si>
    <t>T24i-10</t>
  </si>
  <si>
    <t>M91p</t>
  </si>
  <si>
    <t>M70E</t>
  </si>
  <si>
    <t>ThinkCentre M900</t>
  </si>
  <si>
    <t>ThinkCentre M910t</t>
  </si>
  <si>
    <t>OptiPlex XE3</t>
  </si>
  <si>
    <t>LAC/E 32</t>
  </si>
  <si>
    <t>ThinkCentre M93p</t>
  </si>
  <si>
    <t>ThinkCentre M910q</t>
  </si>
  <si>
    <t>OptiPlex 7060</t>
  </si>
  <si>
    <t>ThinkStation P350</t>
  </si>
  <si>
    <t>OptiPlex 7080</t>
  </si>
  <si>
    <t>OptiPlex 7070</t>
  </si>
  <si>
    <t>UX31A</t>
  </si>
  <si>
    <t>S22B300B</t>
  </si>
  <si>
    <t>S22D300BY</t>
  </si>
  <si>
    <t>P2423</t>
  </si>
  <si>
    <t>U2415</t>
  </si>
  <si>
    <t>P2417Hc</t>
  </si>
  <si>
    <t>MS2286</t>
  </si>
  <si>
    <t>EliteBook 840 G2</t>
  </si>
  <si>
    <t>EliteBook 840 G4</t>
  </si>
  <si>
    <t>P2417H</t>
  </si>
  <si>
    <t>2013 UltraSlim</t>
  </si>
  <si>
    <t>AIN650-3</t>
  </si>
  <si>
    <t>ThinkPad T490</t>
  </si>
  <si>
    <t>ThinkPad X1 Carbon 6th</t>
  </si>
  <si>
    <t>ThinkPad X1 Carbon Gen 9</t>
  </si>
  <si>
    <t>ThinkPad T14 Gen 1</t>
  </si>
  <si>
    <t>Latitude 7410</t>
  </si>
  <si>
    <t>Latitude 7280</t>
  </si>
  <si>
    <t>T450</t>
  </si>
  <si>
    <t>ThinkPad T450</t>
  </si>
  <si>
    <t>ThinkPad T470</t>
  </si>
  <si>
    <t>ThinkPad T480</t>
  </si>
  <si>
    <t>ThinkPad T440</t>
  </si>
  <si>
    <t>ThinkPad T470p</t>
  </si>
  <si>
    <t>ThinkPad P1 Gen 3</t>
  </si>
  <si>
    <t>ThinkPad P52</t>
  </si>
  <si>
    <t>ThinkPad P15 Gen 1</t>
  </si>
  <si>
    <t>T22</t>
  </si>
  <si>
    <t>T470</t>
  </si>
  <si>
    <t>T480</t>
  </si>
  <si>
    <t>T440</t>
  </si>
  <si>
    <t>T470p</t>
  </si>
  <si>
    <t>P1 Gen 3</t>
  </si>
  <si>
    <t>P52</t>
  </si>
  <si>
    <t>P15 Gen 1</t>
  </si>
  <si>
    <t>ThinkPad X1 Yoga 4th</t>
  </si>
  <si>
    <t>Latitude 7400</t>
  </si>
  <si>
    <t>ThinkPad P53</t>
  </si>
  <si>
    <t>ThinkPad P1</t>
  </si>
  <si>
    <t>ThinkPad T470s</t>
  </si>
  <si>
    <t>ThinkPad T490s</t>
  </si>
  <si>
    <t>ThinkPad P1 Gen 2</t>
  </si>
  <si>
    <t>ThinkPad T460s</t>
  </si>
  <si>
    <t>Latitude 3520</t>
  </si>
  <si>
    <t>ThinkPad T480s</t>
  </si>
  <si>
    <t>ThinkPad X1 Yoga 1st</t>
  </si>
  <si>
    <t>ThinkPad X1 Yoga 3rd</t>
  </si>
  <si>
    <t>Latitude 7490</t>
  </si>
  <si>
    <t>ThinkPad P51</t>
  </si>
  <si>
    <t>ThinkPad P50</t>
  </si>
  <si>
    <t>ThinkPad P52s</t>
  </si>
  <si>
    <t>ThinkPad P1 Gen 4i</t>
  </si>
  <si>
    <t>Inspiron 3593</t>
  </si>
  <si>
    <t>ThinkPad_P51</t>
  </si>
  <si>
    <t>HP ENVY x360 m6 Convertible</t>
  </si>
  <si>
    <t>ThinkPad P14s Gen 2i</t>
  </si>
  <si>
    <t>ThinkPad X1 Yoga Gen 5</t>
  </si>
  <si>
    <t>Thinkpad P14s gen 2</t>
  </si>
  <si>
    <t>Thinkpad P43s</t>
  </si>
  <si>
    <t>Thinkpad P14s gen 3</t>
  </si>
  <si>
    <t>Thinkpad P14s gen 1</t>
  </si>
  <si>
    <t>Latitude E7450</t>
  </si>
  <si>
    <t>Thinkpad P15s gen 1</t>
  </si>
  <si>
    <t>T430s</t>
  </si>
  <si>
    <t>T460s</t>
  </si>
  <si>
    <t>P43s</t>
  </si>
  <si>
    <t>X280</t>
  </si>
  <si>
    <t>X240</t>
  </si>
  <si>
    <t>X230</t>
  </si>
  <si>
    <t>X250</t>
  </si>
  <si>
    <t>T490</t>
  </si>
  <si>
    <t>X1 Carbon 6th</t>
  </si>
  <si>
    <t>X1 Carbon Gen 9</t>
  </si>
  <si>
    <t>T14 Gen 1</t>
  </si>
  <si>
    <t>X1 Yoga 4th</t>
  </si>
  <si>
    <t>P53</t>
  </si>
  <si>
    <t>P1</t>
  </si>
  <si>
    <t>T470s</t>
  </si>
  <si>
    <t>P1 Gen 2</t>
  </si>
  <si>
    <t>T480s</t>
  </si>
  <si>
    <t>X1 Yoga 1st</t>
  </si>
  <si>
    <t>X1 Yoga 3rd</t>
  </si>
  <si>
    <t>P51</t>
  </si>
  <si>
    <t>P50</t>
  </si>
  <si>
    <t>P52s</t>
  </si>
  <si>
    <t>P1 Gen 4i</t>
  </si>
  <si>
    <t>P14s Gen 2i</t>
  </si>
  <si>
    <t>X1 Yoga Gen 5</t>
  </si>
  <si>
    <t>P14s gen 2</t>
  </si>
  <si>
    <t>P14s gen 3</t>
  </si>
  <si>
    <t>P14s gen 1</t>
  </si>
  <si>
    <t>P15s gen 1</t>
  </si>
  <si>
    <t>Surface Book 3 1899</t>
  </si>
  <si>
    <t>Surface Book 3</t>
  </si>
  <si>
    <t>Surface Book 1793</t>
  </si>
  <si>
    <t>Surface Laptop 4 1950:1951</t>
  </si>
  <si>
    <t>Surface Laptop 3 1867:1868</t>
  </si>
  <si>
    <t>Surface Pro 1796</t>
  </si>
  <si>
    <t>Surface Laptop 4</t>
  </si>
  <si>
    <t>A1286</t>
  </si>
  <si>
    <t>A2348</t>
  </si>
  <si>
    <t>A1993</t>
  </si>
  <si>
    <t>Zbook Firefly 14 G7</t>
  </si>
  <si>
    <t>Latitude E6400</t>
  </si>
  <si>
    <t>A1490</t>
  </si>
  <si>
    <t>s19c450mr</t>
  </si>
  <si>
    <t>L1942PK</t>
  </si>
  <si>
    <t>19S1CB</t>
  </si>
  <si>
    <t>EliteDisplay E190I</t>
  </si>
  <si>
    <t>Vostro 3360</t>
  </si>
  <si>
    <t>ProBook 6540b</t>
  </si>
  <si>
    <t>EliteBook 840 G1</t>
  </si>
  <si>
    <t>EliteBook 840 G3</t>
  </si>
  <si>
    <t>EliteDesk 800 G2</t>
  </si>
  <si>
    <t>All in One</t>
  </si>
  <si>
    <t>Desktop</t>
  </si>
  <si>
    <t>Mac_Model</t>
  </si>
  <si>
    <t>Battery Service</t>
  </si>
  <si>
    <t>Battery %</t>
  </si>
  <si>
    <t>Apple ID</t>
  </si>
  <si>
    <t>Remote Management</t>
  </si>
  <si>
    <t>Blancco Type</t>
  </si>
  <si>
    <t>Convertible</t>
  </si>
  <si>
    <t>PC</t>
  </si>
  <si>
    <t>CorePart</t>
  </si>
  <si>
    <t>RyzenPart</t>
  </si>
  <si>
    <t>UltraPart</t>
  </si>
  <si>
    <t>CoreCode</t>
  </si>
  <si>
    <t>RyzenCode</t>
  </si>
  <si>
    <t>UltraCode</t>
  </si>
  <si>
    <t>CPU Original</t>
  </si>
  <si>
    <t>Ram Type</t>
  </si>
  <si>
    <t>RAM Size</t>
  </si>
  <si>
    <t>RAM Type</t>
  </si>
  <si>
    <t>Yes X?</t>
  </si>
  <si>
    <t>Row Labels</t>
  </si>
  <si>
    <t>Grand Total</t>
  </si>
  <si>
    <t>Column Labels</t>
  </si>
  <si>
    <t>Count of Successful / Failed</t>
  </si>
  <si>
    <t>Passes</t>
  </si>
  <si>
    <t>Fails</t>
  </si>
  <si>
    <t>Pass Text</t>
  </si>
  <si>
    <t>Fail Text</t>
  </si>
  <si>
    <t>Battery</t>
  </si>
  <si>
    <t xml:space="preserve"> Battery %</t>
  </si>
  <si>
    <t>Latitude 5490</t>
  </si>
  <si>
    <t>ThinkPad X1 Extreme Gen 3</t>
  </si>
  <si>
    <t>ThinkPad T14 Gen 2i</t>
  </si>
  <si>
    <t>ThinkPad X1 Gen 3</t>
  </si>
  <si>
    <t>Vostro 5568</t>
  </si>
  <si>
    <t>Vostro 5468</t>
  </si>
  <si>
    <t>HP 250 G6 Notebook PC</t>
  </si>
  <si>
    <t>HP 250 G7 Notebook PC</t>
  </si>
  <si>
    <t>HP 250 G5 Notebook PC</t>
  </si>
  <si>
    <t>HP ProBook 440 G6</t>
  </si>
  <si>
    <t>Lenovo V330-14IKB</t>
  </si>
  <si>
    <t>HP ProBook 440 G5</t>
  </si>
  <si>
    <t>Lenovo ideapad 310-15IKB</t>
  </si>
  <si>
    <t>X556</t>
  </si>
  <si>
    <t>ThinkPad X1 Carbon</t>
  </si>
  <si>
    <t>T14 Gen 2i</t>
  </si>
  <si>
    <t>X1 Gen 3</t>
  </si>
  <si>
    <t>250 G6</t>
  </si>
  <si>
    <t>250 G7</t>
  </si>
  <si>
    <t>250 G5</t>
  </si>
  <si>
    <t>ProBook 440 G6</t>
  </si>
  <si>
    <t>V330-14IKB</t>
  </si>
  <si>
    <t>ProBook 440 G5</t>
  </si>
  <si>
    <t>ideapad 310-15IKB</t>
  </si>
  <si>
    <t>X1 Carbon</t>
  </si>
  <si>
    <t>X555L</t>
  </si>
  <si>
    <t>Latitude 5480</t>
  </si>
  <si>
    <t>Latitude E5470</t>
  </si>
  <si>
    <t>Latitude E5440</t>
  </si>
  <si>
    <t>Latitude 7420</t>
  </si>
  <si>
    <t>Latitude 5411</t>
  </si>
  <si>
    <t>Latitude 7300</t>
  </si>
  <si>
    <t>Vostro 5481</t>
  </si>
  <si>
    <t>Latitude E5450</t>
  </si>
  <si>
    <t>Latitude 5580</t>
  </si>
  <si>
    <t>Latitude 3340</t>
  </si>
  <si>
    <t>ThinkPad E15 Gen 2</t>
  </si>
  <si>
    <t>A1347</t>
  </si>
  <si>
    <t>P2721Q</t>
  </si>
  <si>
    <t>U2720Q</t>
  </si>
  <si>
    <t>U2722D</t>
  </si>
  <si>
    <t>P2415Q</t>
  </si>
  <si>
    <t>S2421HN</t>
  </si>
  <si>
    <t>Precision 5560</t>
  </si>
  <si>
    <t>XPS 15 9500</t>
  </si>
  <si>
    <t>Precision 5550</t>
  </si>
  <si>
    <t>XPS 15 7590</t>
  </si>
  <si>
    <t>XPS 15 9570</t>
  </si>
  <si>
    <t>Precision 7550</t>
  </si>
  <si>
    <t>124I:00036T:000M:0300000D:0B:05F:1C:05P:48S:01E:0Y:1K:0U:08</t>
  </si>
  <si>
    <t>Latitude 5421</t>
  </si>
  <si>
    <t>ThinkPad E14 Gen 2</t>
  </si>
  <si>
    <t>X512FA</t>
  </si>
  <si>
    <t>X406UAR</t>
  </si>
  <si>
    <t>UX410UAR</t>
  </si>
  <si>
    <t>UX331UA</t>
  </si>
  <si>
    <t>UX461UA</t>
  </si>
  <si>
    <t>UX333FA</t>
  </si>
  <si>
    <t>UX430UA</t>
  </si>
  <si>
    <t>14-al003nj</t>
  </si>
  <si>
    <t>P2540UA</t>
  </si>
  <si>
    <t>UX331U</t>
  </si>
  <si>
    <t>Latitude 7480</t>
  </si>
  <si>
    <t>ThinkPad X13 Gen 1</t>
  </si>
  <si>
    <t>U2419H</t>
  </si>
  <si>
    <t>U2422H</t>
  </si>
  <si>
    <t>U2717D</t>
  </si>
  <si>
    <t>U2417H</t>
  </si>
  <si>
    <t>P2723QE</t>
  </si>
  <si>
    <t>P2422H</t>
  </si>
  <si>
    <t>Latitude 5500</t>
  </si>
  <si>
    <t>Latitude 5290</t>
  </si>
  <si>
    <t>Latitude 5440</t>
  </si>
  <si>
    <t>Latitude 7440</t>
  </si>
  <si>
    <t>Precision 7780</t>
  </si>
  <si>
    <t>Precision 7770</t>
  </si>
  <si>
    <t>Vostro 15 3510</t>
  </si>
  <si>
    <t>Latitude 5530</t>
  </si>
  <si>
    <t>Latitude 5520</t>
  </si>
  <si>
    <t>Latitude 5540</t>
  </si>
  <si>
    <t>HP ZBook Fury 15.6 inch G8 Mobile Workstation PC</t>
  </si>
  <si>
    <t>HP EliteBook 850 G3</t>
  </si>
  <si>
    <t>HP ProBook 450 15.6 inch G9 Notebook PC</t>
  </si>
  <si>
    <t>Latitude 3550</t>
  </si>
  <si>
    <t>Latitude E5550</t>
  </si>
  <si>
    <t>ThinkPad E15</t>
  </si>
  <si>
    <t>ThinkPad E15 Gen 4</t>
  </si>
  <si>
    <t>ST2220Tc</t>
  </si>
  <si>
    <t>precision 7510</t>
  </si>
  <si>
    <t>precision M4800</t>
  </si>
  <si>
    <t>XPS 13 9310 2-in-1</t>
  </si>
  <si>
    <t>Latitude 7430</t>
  </si>
  <si>
    <t>precision tower 7810</t>
  </si>
  <si>
    <t>precision tower 3630</t>
  </si>
  <si>
    <t>precision tower 7910</t>
  </si>
  <si>
    <t>A1311</t>
  </si>
  <si>
    <t>optiplex 3010</t>
  </si>
  <si>
    <t>optiplex 7010</t>
  </si>
  <si>
    <t>optiplex 790</t>
  </si>
  <si>
    <t>U2711</t>
  </si>
  <si>
    <t>vostro 460</t>
  </si>
  <si>
    <t>G560</t>
  </si>
  <si>
    <t>HP EliteBook x360 1030 G7 Notebook PC</t>
  </si>
  <si>
    <t>U2414Hb</t>
  </si>
  <si>
    <t>OptiPlex 7040</t>
  </si>
  <si>
    <t>HP EliteDesk 800 G5 SFF</t>
  </si>
  <si>
    <t>OptiPlex 7050</t>
  </si>
  <si>
    <t>OptiPlex 3050</t>
  </si>
  <si>
    <t>OptiPlex 9020</t>
  </si>
  <si>
    <t>PV650</t>
  </si>
  <si>
    <t>PRV1000</t>
  </si>
  <si>
    <t>Latitude 7320</t>
  </si>
  <si>
    <t>LaserJet Pro M477FDW</t>
  </si>
  <si>
    <t>HL-L5100DN</t>
  </si>
  <si>
    <t>Latitude 5320</t>
  </si>
  <si>
    <t>Latitude 5300</t>
  </si>
  <si>
    <t>B2240W</t>
  </si>
  <si>
    <t>ThinkPad X1 Carbon 7th</t>
  </si>
  <si>
    <t>XPS 13 9360</t>
  </si>
  <si>
    <t>Precision 5540</t>
  </si>
  <si>
    <t>XPS 15 9560</t>
  </si>
  <si>
    <t>XPS 13 9370</t>
  </si>
  <si>
    <t>XPS 15 9510</t>
  </si>
  <si>
    <t>UX490U</t>
  </si>
  <si>
    <t>G510</t>
  </si>
  <si>
    <t>Latitude 3450</t>
  </si>
  <si>
    <t>UX330UAK</t>
  </si>
  <si>
    <t>Latitude 3400</t>
  </si>
  <si>
    <t>Yoga 510-14IBK</t>
  </si>
  <si>
    <t>Ideapad Y700-15ISK</t>
  </si>
  <si>
    <t>NUC6i7KYK</t>
  </si>
  <si>
    <t>Latitude 3420</t>
  </si>
  <si>
    <t>GL702V</t>
  </si>
  <si>
    <t>GL502V</t>
  </si>
  <si>
    <t>GL703G</t>
  </si>
  <si>
    <t>HP ProBook 430 G3</t>
  </si>
  <si>
    <t>HP ProBook 430 G6</t>
  </si>
  <si>
    <t>HP ProBook 430 G4</t>
  </si>
  <si>
    <t>ProBook 430 G3</t>
  </si>
  <si>
    <t>ProBook 430 G6</t>
  </si>
  <si>
    <t>ProBook 430 G4</t>
  </si>
  <si>
    <t>Latitude 3510</t>
  </si>
  <si>
    <t>Vostro 15-3568</t>
  </si>
  <si>
    <t>Inspiron 13-7359</t>
  </si>
  <si>
    <t>ThinkBook 14 G2 ITL</t>
  </si>
  <si>
    <t>Lenovo E31-80</t>
  </si>
  <si>
    <t>SATELLITE Z30-B-100</t>
  </si>
  <si>
    <t>thinkpad p14s gen 1</t>
  </si>
  <si>
    <t>thinkpad p14s gen 3</t>
  </si>
  <si>
    <t>T440p</t>
  </si>
  <si>
    <t>ThinkPad T460</t>
  </si>
  <si>
    <t>HP 240 G6 Notebook PC</t>
  </si>
  <si>
    <t>240 g6</t>
  </si>
  <si>
    <t>Latitude 5430</t>
  </si>
  <si>
    <t>Latitude E7270</t>
  </si>
  <si>
    <t>Precision 5520</t>
  </si>
  <si>
    <t>Precision 5510</t>
  </si>
  <si>
    <t>Latitude 5510</t>
  </si>
  <si>
    <t>Latitude E7470</t>
  </si>
  <si>
    <t>X390 Yoga</t>
  </si>
  <si>
    <t>x390</t>
  </si>
  <si>
    <t>x395</t>
  </si>
  <si>
    <t>t495s</t>
  </si>
  <si>
    <t>t14 g2</t>
  </si>
  <si>
    <t>t14s g2</t>
  </si>
  <si>
    <t>t14 g1</t>
  </si>
  <si>
    <t>t460</t>
  </si>
  <si>
    <t>latitude e5430</t>
  </si>
  <si>
    <t>elitebook 2560p</t>
  </si>
  <si>
    <t>latitude e6530</t>
  </si>
  <si>
    <t>latitude e4310</t>
  </si>
  <si>
    <t>precision 7520</t>
  </si>
  <si>
    <t>precision 7740</t>
  </si>
  <si>
    <t>latitude e5420</t>
  </si>
  <si>
    <t>ThinkPad X1 Carbon Gen 8</t>
  </si>
  <si>
    <t>X220i</t>
  </si>
  <si>
    <t>Latitude 7290</t>
  </si>
  <si>
    <t>Latitude E6420</t>
  </si>
  <si>
    <t>Latitude 5310</t>
  </si>
  <si>
    <t>ThinkPad T15 Gen 2i</t>
  </si>
  <si>
    <t>ThinkPad T15g Gen 1</t>
  </si>
  <si>
    <t>ThinkPad T15g Gen 2</t>
  </si>
  <si>
    <t>T550</t>
  </si>
  <si>
    <t>latitude e7250</t>
  </si>
  <si>
    <t>latitude e5270</t>
  </si>
  <si>
    <t>Speakers test</t>
  </si>
  <si>
    <t>Asset Tag</t>
  </si>
  <si>
    <t>Disk Capacity</t>
  </si>
  <si>
    <t>Wiping Yes/No</t>
  </si>
  <si>
    <t>Wiping result</t>
  </si>
  <si>
    <t>Pointer Test Comment</t>
  </si>
  <si>
    <t>Issue type</t>
  </si>
  <si>
    <t>Wiped</t>
  </si>
  <si>
    <t>Locked and Faulty</t>
  </si>
  <si>
    <t>Locked or Faulty</t>
  </si>
  <si>
    <t>Item Lookup</t>
  </si>
  <si>
    <t>ITEM</t>
  </si>
  <si>
    <t>Column1</t>
  </si>
  <si>
    <t>US kb</t>
  </si>
  <si>
    <t>Label marks D</t>
  </si>
  <si>
    <t>Label marks C</t>
  </si>
  <si>
    <t>Charging port defect</t>
  </si>
  <si>
    <t>PTB Project No</t>
  </si>
  <si>
    <t>PTB Description</t>
  </si>
  <si>
    <t>Collection Date</t>
  </si>
  <si>
    <t>Item No</t>
  </si>
  <si>
    <t>Serial No</t>
  </si>
  <si>
    <t>Client asset tag</t>
  </si>
  <si>
    <t>3rd Party No / IMEI No</t>
  </si>
  <si>
    <t>Category</t>
  </si>
  <si>
    <t>Model No</t>
  </si>
  <si>
    <t>Purchase Description</t>
  </si>
  <si>
    <t>Diagnostic Codes</t>
  </si>
  <si>
    <t>Item Remark</t>
  </si>
  <si>
    <t>Grade</t>
  </si>
  <si>
    <t>Item Status</t>
  </si>
  <si>
    <t>Weight (kg)</t>
  </si>
  <si>
    <t>Blancco Result</t>
  </si>
  <si>
    <t>Additional data deletions (if yes provide qty)</t>
  </si>
  <si>
    <t>Proposed Purchase price</t>
  </si>
  <si>
    <t>Currency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</si>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</sst>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48"/>
      <color theme="1"/>
      <name val="Aptos Narrow"/>
      <family val="2"/>
      <scheme val="minor"/>
    </font>
    <font>
      <sz val="72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Docs-Calibri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  <font>
      <b/>
      <sz val="8"/>
      <color rgb="FFFFFFFF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CE5C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3CEFA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</cellStyleXfs>
  <cellXfs count="56">
    <xf numFmtId="0" fontId="0" fillId="0" borderId="0" xfId="0"/>
    <xf numFmtId="0" fontId="1" fillId="0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1" fontId="0" fillId="0" borderId="0" xfId="0" applyNumberFormat="1"/>
    <xf numFmtId="0" fontId="7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vertical="top"/>
    </xf>
    <xf numFmtId="0" fontId="8" fillId="2" borderId="2" xfId="0" applyFont="1" applyFill="1" applyBorder="1" applyAlignment="1">
      <alignment vertical="top" wrapText="1"/>
    </xf>
    <xf numFmtId="0" fontId="1" fillId="3" borderId="1" xfId="1" applyFill="1" applyAlignment="1">
      <alignment horizontal="center" vertical="center"/>
    </xf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0" fontId="1" fillId="0" borderId="1" xfId="1" applyFill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0" fontId="7" fillId="2" borderId="3" xfId="0" applyFont="1" applyFill="1" applyBorder="1" applyAlignment="1">
      <alignment vertical="top" wrapText="1"/>
    </xf>
    <xf numFmtId="0" fontId="4" fillId="2" borderId="3" xfId="0" applyFont="1" applyFill="1" applyBorder="1" applyAlignment="1">
      <alignment horizontal="right" vertical="top" wrapText="1"/>
    </xf>
    <xf numFmtId="0" fontId="3" fillId="2" borderId="3" xfId="0" applyFont="1" applyFill="1" applyBorder="1" applyAlignment="1">
      <alignment horizontal="right" vertical="top" wrapText="1"/>
    </xf>
    <xf numFmtId="0" fontId="7" fillId="2" borderId="4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0" fillId="4" borderId="5" xfId="0" applyFill="1" applyBorder="1"/>
    <xf numFmtId="0" fontId="3" fillId="5" borderId="2" xfId="0" applyFont="1" applyFill="1" applyBorder="1" applyAlignment="1">
      <alignment vertical="top" wrapText="1"/>
    </xf>
    <xf numFmtId="0" fontId="4" fillId="5" borderId="2" xfId="0" applyFont="1" applyFill="1" applyBorder="1" applyAlignment="1">
      <alignment vertical="top" wrapText="1"/>
    </xf>
    <xf numFmtId="0" fontId="1" fillId="0" borderId="1" xfId="1" applyAlignment="1">
      <alignment horizontal="center"/>
    </xf>
    <xf numFmtId="0" fontId="2" fillId="0" borderId="0" xfId="2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/>
    <xf numFmtId="0" fontId="0" fillId="0" borderId="0" xfId="0" applyAlignment="1">
      <alignment horizontal="center"/>
    </xf>
    <xf numFmtId="0" fontId="11" fillId="6" borderId="6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 wrapText="1"/>
    </xf>
    <xf numFmtId="0" fontId="1" fillId="0" borderId="0" xfId="1" applyFill="1" applyBorder="1" applyAlignment="1">
      <alignment horizontal="center" vertical="center"/>
    </xf>
    <xf numFmtId="0" fontId="1" fillId="0" borderId="8" xfId="1" applyBorder="1" applyAlignment="1">
      <alignment horizontal="center" vertical="center"/>
    </xf>
    <xf numFmtId="0" fontId="1" fillId="7" borderId="8" xfId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/>
    <xf numFmtId="0" fontId="1" fillId="8" borderId="8" xfId="1" applyFill="1" applyBorder="1" applyAlignment="1">
      <alignment horizontal="center" vertical="center"/>
    </xf>
    <xf numFmtId="0" fontId="10" fillId="0" borderId="8" xfId="0" applyFont="1" applyBorder="1"/>
    <xf numFmtId="0" fontId="10" fillId="0" borderId="8" xfId="0" applyFont="1" applyBorder="1" applyAlignment="1">
      <alignment wrapText="1"/>
    </xf>
    <xf numFmtId="0" fontId="5" fillId="0" borderId="0" xfId="0" applyFont="1" applyAlignment="1">
      <alignment horizontal="center" vertical="top" textRotation="255"/>
    </xf>
    <xf numFmtId="0" fontId="6" fillId="0" borderId="0" xfId="0" applyFont="1" applyAlignment="1">
      <alignment horizontal="center" vertical="top" textRotation="255"/>
    </xf>
    <xf numFmtId="0" fontId="1" fillId="3" borderId="1" xfId="1" applyFill="1" applyAlignment="1">
      <alignment horizontal="center" vertical="center"/>
    </xf>
    <xf numFmtId="0" fontId="0" fillId="0" borderId="0" xfId="0" applyNumberFormat="1"/>
    <xf numFmtId="0" fontId="12" fillId="9" borderId="6" xfId="0" applyFont="1" applyFill="1" applyBorder="1" applyAlignment="1">
      <alignment horizontal="center" vertical="center" wrapText="1"/>
    </xf>
    <xf numFmtId="0" fontId="12" fillId="9" borderId="7" xfId="0" applyFont="1" applyFill="1" applyBorder="1" applyAlignment="1">
      <alignment horizontal="center" vertical="center" wrapText="1"/>
    </xf>
    <xf numFmtId="0" fontId="3" fillId="9" borderId="7" xfId="0" applyFont="1" applyFill="1" applyBorder="1" applyAlignment="1">
      <alignment vertical="center" wrapText="1"/>
    </xf>
    <xf numFmtId="0" fontId="3" fillId="10" borderId="7" xfId="0" applyFont="1" applyFill="1" applyBorder="1" applyAlignment="1">
      <alignment vertical="center" wrapText="1"/>
    </xf>
    <xf numFmtId="0" fontId="12" fillId="9" borderId="7" xfId="0" applyFont="1" applyFill="1" applyBorder="1" applyAlignment="1">
      <alignment vertical="center" wrapText="1"/>
    </xf>
    <xf numFmtId="0" fontId="12" fillId="11" borderId="7" xfId="0" applyFont="1" applyFill="1" applyBorder="1" applyAlignment="1">
      <alignment horizontal="center" vertical="center" wrapText="1"/>
    </xf>
    <xf numFmtId="0" fontId="3" fillId="12" borderId="2" xfId="0" applyFont="1" applyFill="1" applyBorder="1" applyAlignment="1">
      <alignment vertical="center" wrapText="1"/>
    </xf>
  </cellXfs>
  <cellStyles count="3">
    <cellStyle name="Explanatory Text" xfId="2" builtinId="53"/>
    <cellStyle name="Heading 2" xfId="1" builtinId="17"/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border outline="0">
        <left style="thick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17/06/relationships/rdRichValue" Target="richData/rdrichvalue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6105.588306134261" createdVersion="8" refreshedVersion="8" minRefreshableVersion="3" recordCount="1000" xr:uid="{0209DDFC-7F05-42B2-AADC-EC1000B93D93}">
  <cacheSource type="worksheet">
    <worksheetSource ref="A1:AC1048576" sheet="Disk_Pivot_Data"/>
  </cacheSource>
  <cacheFields count="29">
    <cacheField name="Business name" numFmtId="0">
      <sharedItems containsString="0" containsBlank="1" containsNumber="1" containsInteger="1" minValue="0" maxValue="0"/>
    </cacheField>
    <cacheField name="System manufacturer" numFmtId="0">
      <sharedItems containsString="0" containsBlank="1" containsNumber="1" containsInteger="1" minValue="0" maxValue="0"/>
    </cacheField>
    <cacheField name="System chassis type" numFmtId="0">
      <sharedItems containsString="0" containsBlank="1" containsNumber="1" containsInteger="1" minValue="0" maxValue="0"/>
    </cacheField>
    <cacheField name="Custom 1" numFmtId="0">
      <sharedItems containsString="0" containsBlank="1" containsNumber="1" containsInteger="1" minValue="0" maxValue="0"/>
    </cacheField>
    <cacheField name="Device Identifier" numFmtId="0">
      <sharedItems containsString="0" containsBlank="1" containsNumber="1" containsInteger="1" minValue="0" maxValue="0"/>
    </cacheField>
    <cacheField name="Erasure state" numFmtId="0">
      <sharedItems containsString="0" containsBlank="1" containsNumber="1" containsInteger="1" minValue="0" maxValue="0"/>
    </cacheField>
    <cacheField name="System serial" numFmtId="0">
      <sharedItems containsString="0" containsBlank="1" containsNumber="1" containsInteger="1" minValue="0" maxValue="0" count="2">
        <n v="0"/>
        <m/>
      </sharedItems>
    </cacheField>
    <cacheField name="System version" numFmtId="0">
      <sharedItems containsString="0" containsBlank="1" containsNumber="1" containsInteger="1" minValue="0" maxValue="0"/>
    </cacheField>
    <cacheField name="System model" numFmtId="0">
      <sharedItems containsString="0" containsBlank="1" containsNumber="1" containsInteger="1" minValue="0" maxValue="0"/>
    </cacheField>
    <cacheField name="Battery test" numFmtId="0">
      <sharedItems containsString="0" containsBlank="1" containsNumber="1" containsInteger="1" minValue="0" maxValue="0"/>
    </cacheField>
    <cacheField name="Display test comment" numFmtId="0">
      <sharedItems containsString="0" containsBlank="1" containsNumber="1" containsInteger="1" minValue="0" maxValue="0"/>
    </cacheField>
    <cacheField name="Keyboard test comment" numFmtId="0">
      <sharedItems containsString="0" containsBlank="1" containsNumber="1" containsInteger="1" minValue="0" maxValue="0"/>
    </cacheField>
    <cacheField name="Pointer Test Comment" numFmtId="0">
      <sharedItems containsString="0" containsBlank="1" containsNumber="1" containsInteger="1" minValue="0" maxValue="0"/>
    </cacheField>
    <cacheField name="Speakers test" numFmtId="0">
      <sharedItems containsString="0" containsBlank="1" containsNumber="1" containsInteger="1" minValue="0" maxValue="0"/>
    </cacheField>
    <cacheField name="USB port hardware test comment" numFmtId="0">
      <sharedItems containsString="0" containsBlank="1" containsNumber="1" containsInteger="1" minValue="0" maxValue="0"/>
    </cacheField>
    <cacheField name="Webcam test comment" numFmtId="0">
      <sharedItems containsString="0" containsBlank="1" containsNumber="1" containsInteger="1" minValue="0" maxValue="0"/>
    </cacheField>
    <cacheField name="CPU model" numFmtId="0">
      <sharedItems containsString="0" containsBlank="1" containsNumber="1" containsInteger="1" minValue="0" maxValue="0"/>
    </cacheField>
    <cacheField name="Memory capacity" numFmtId="0">
      <sharedItems containsString="0" containsBlank="1" containsNumber="1" containsInteger="1" minValue="0" maxValue="0"/>
    </cacheField>
    <cacheField name="Memory type" numFmtId="0">
      <sharedItems containsString="0" containsBlank="1" containsNumber="1" containsInteger="1" minValue="0" maxValue="0"/>
    </cacheField>
    <cacheField name="Disk capacity" numFmtId="0">
      <sharedItems containsString="0" containsBlank="1" containsNumber="1" containsInteger="1" minValue="0" maxValue="0"/>
    </cacheField>
    <cacheField name="Disk interface type" numFmtId="0">
      <sharedItems containsString="0" containsBlank="1" containsNumber="1" containsInteger="1" minValue="0" maxValue="0"/>
    </cacheField>
    <cacheField name="Disk serial" numFmtId="0">
      <sharedItems containsString="0" containsBlank="1" containsNumber="1" containsInteger="1" minValue="0" maxValue="0"/>
    </cacheField>
    <cacheField name="Disk model" numFmtId="0">
      <sharedItems containsString="0" containsBlank="1" containsNumber="1" containsInteger="1" minValue="0" maxValue="0"/>
    </cacheField>
    <cacheField name="Erasure start time" numFmtId="0">
      <sharedItems containsString="0" containsBlank="1" containsNumber="1" containsInteger="1" minValue="0" maxValue="0"/>
    </cacheField>
    <cacheField name="Battery capacity" numFmtId="0">
      <sharedItems containsString="0" containsBlank="1" containsNumber="1" containsInteger="1" minValue="0" maxValue="0"/>
    </cacheField>
    <cacheField name="Battery test comment" numFmtId="0">
      <sharedItems containsString="0" containsBlank="1" containsNumber="1" containsInteger="1" minValue="0" maxValue="0"/>
    </cacheField>
    <cacheField name="Erasure technician" numFmtId="0">
      <sharedItems containsString="0" containsBlank="1" containsNumber="1" containsInteger="1" minValue="0" maxValue="0"/>
    </cacheField>
    <cacheField name="UUID" numFmtId="0">
      <sharedItems containsString="0" containsBlank="1" containsNumber="1" containsInteger="1" minValue="0" maxValue="0"/>
    </cacheField>
    <cacheField name="Successful / Failed" numFmtId="0">
      <sharedItems containsBlank="1" count="3">
        <s v=""/>
        <m/>
        <s v="Successful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m/>
    <m/>
    <m/>
    <m/>
    <m/>
    <m/>
    <x v="1"/>
    <m/>
    <m/>
    <m/>
    <m/>
    <m/>
    <m/>
    <m/>
    <m/>
    <m/>
    <m/>
    <m/>
    <m/>
    <m/>
    <m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07BD0-EDE5-4434-BC30-306AB96DD5B9}" name="PivotTable2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B3" firstHeaderRow="1" firstDataRow="2" firstDataCol="1"/>
  <pivotFields count="29"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4">
        <item h="1" x="0"/>
        <item m="1" x="2"/>
        <item h="1" x="1"/>
        <item t="default"/>
      </items>
    </pivotField>
  </pivotFields>
  <rowFields count="1">
    <field x="6"/>
  </rowFields>
  <rowItems count="1">
    <i t="grand">
      <x/>
    </i>
  </rowItems>
  <colFields count="1">
    <field x="28"/>
  </colFields>
  <colItems count="1">
    <i t="grand">
      <x/>
    </i>
  </colItems>
  <dataFields count="1">
    <dataField name="Count of Successful / Failed" fld="2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08B2E-F192-42B4-8523-53AD44BB76CD}" name="Table2" displayName="Table2" ref="D1:AF1048576" totalsRowShown="0" tableBorderDxfId="5">
  <autoFilter ref="D1:AF1048576" xr:uid="{29308B2E-F192-42B4-8523-53AD44BB76CD}"/>
  <tableColumns count="29">
    <tableColumn id="1" xr3:uid="{CA4A19EC-6339-4325-A6BC-133496FB2C2B}" name="Business name"/>
    <tableColumn id="2" xr3:uid="{E8939219-9533-4261-9B75-9E2EEAD29D82}" name="System manufacturer"/>
    <tableColumn id="3" xr3:uid="{CF1B9FB7-360A-441F-9794-6814816BBACC}" name="System chassis type"/>
    <tableColumn id="4" xr3:uid="{1CCD10D5-E1EB-4E59-8947-E2E611153631}" name="Custom 1"/>
    <tableColumn id="5" xr3:uid="{B2523AC3-1063-4191-AE8B-126221A9B0EE}" name="Device Identifier"/>
    <tableColumn id="6" xr3:uid="{1C96BB52-9FD7-4294-9A12-E4806761FA73}" name="Erasure state"/>
    <tableColumn id="7" xr3:uid="{1B4B9B8A-2393-4981-8F5F-201262948360}" name="System serial"/>
    <tableColumn id="8" xr3:uid="{F4AA606D-0AB3-452C-B903-16B8C5D35911}" name="System version"/>
    <tableColumn id="9" xr3:uid="{194EE924-59CC-4F8A-AA5B-D9BDEFE83D5B}" name="System model"/>
    <tableColumn id="10" xr3:uid="{7F7FE8DD-10D1-4C92-B90D-F8622A18C631}" name="Battery test"/>
    <tableColumn id="11" xr3:uid="{64E7313F-9764-4039-ACF2-C26A42FA7871}" name="Display test comment"/>
    <tableColumn id="12" xr3:uid="{F4945B93-6847-4A4C-891D-0CCA487E3C05}" name="Keyboard test comment"/>
    <tableColumn id="14" xr3:uid="{E1D7D404-EDA4-4347-901D-F1BE69507E44}" name="Pointer Test Comment"/>
    <tableColumn id="15" xr3:uid="{277DC48B-A6F1-448E-AD2E-244326B1EE05}" name="Speakers test"/>
    <tableColumn id="16" xr3:uid="{64567BD6-EB70-472D-8F5D-F45DE6897DA3}" name="USB port hardware test comment"/>
    <tableColumn id="17" xr3:uid="{DE0C002B-64F3-4C56-A6CC-E2F99B41DD0F}" name="Webcam test comment"/>
    <tableColumn id="19" xr3:uid="{1887D030-FA0F-451B-B129-80FEE6CFAA53}" name="CPU model"/>
    <tableColumn id="20" xr3:uid="{B946C031-7248-4A4E-B14A-6120F0C64983}" name="Memory capacity"/>
    <tableColumn id="21" xr3:uid="{520A2281-2436-4088-944B-DACE8F490E6F}" name="Memory type"/>
    <tableColumn id="22" xr3:uid="{DB98B945-3709-420E-924A-FFA918C4CDFC}" name="Disk capacity"/>
    <tableColumn id="23" xr3:uid="{D44E1F9F-981A-4F98-BD6C-E86E2C91E7D5}" name="Disk interface type"/>
    <tableColumn id="24" xr3:uid="{00F92944-EE85-489C-9796-712BF730220F}" name="Disk serial" dataDxfId="4"/>
    <tableColumn id="25" xr3:uid="{142BB3A2-A27E-40E2-B3D1-7BF1AA333550}" name="Disk model"/>
    <tableColumn id="26" xr3:uid="{3C512A73-D70A-427B-BD05-153BCFB5F7F3}" name="Erasure start time"/>
    <tableColumn id="27" xr3:uid="{1C7C5782-8831-4ECC-8367-7A6FCD2462BA}" name="Battery capacity"/>
    <tableColumn id="28" xr3:uid="{2AEE377B-86E4-4F06-95D9-38854F86FA1E}" name="Battery test comment"/>
    <tableColumn id="29" xr3:uid="{F7E5595E-CE00-474F-8219-E0FA8B5B5CB9}" name="Erasure technician"/>
    <tableColumn id="30" xr3:uid="{80EED2BA-96AB-419E-80D9-28E14D0A4A90}" name="UUID"/>
    <tableColumn id="13" xr3:uid="{FAB02EC3-A65A-4628-B2E9-430841EB4933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EA0642-D003-44E0-B644-5798523C3892}" name="Table3" displayName="Table3" ref="A1:C2" totalsRowShown="0" dataDxfId="3">
  <autoFilter ref="A1:C2" xr:uid="{91EA0642-D003-44E0-B644-5798523C3892}"/>
  <tableColumns count="3">
    <tableColumn id="1" xr3:uid="{6E6F8EA8-FB6F-4A67-90FD-C7B6AFB035E4}" name="מספר פרויקט" dataDxfId="2"/>
    <tableColumn id="2" xr3:uid="{9C21112A-AE9D-46C7-9194-30F78707C528}" name="Item code" dataDxfId="1"/>
    <tableColumn id="3" xr3:uid="{D157A6C9-50AE-40BB-A385-BA3D5F36133C}" name="לקוח סופי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D98-A94D-41DA-81ED-307598EC0F43}">
  <sheetPr codeName="Sheet1">
    <tabColor theme="9"/>
  </sheetPr>
  <dimension ref="A1:X1462"/>
  <sheetViews>
    <sheetView tabSelected="1" workbookViewId="0">
      <pane ySplit="1" topLeftCell="A2" activePane="bottomLeft" state="frozen"/>
      <selection pane="bottomLeft" activeCell="H12" sqref="H12"/>
    </sheetView>
  </sheetViews>
  <sheetFormatPr defaultRowHeight="15"/>
  <cols>
    <col min="1" max="1" width="14" style="2" bestFit="1" customWidth="1"/>
    <col min="2" max="2" width="20.5703125" style="2" bestFit="1" customWidth="1"/>
    <col min="3" max="3" width="12.28515625" style="2" bestFit="1" customWidth="1"/>
    <col min="4" max="4" width="7" style="2" bestFit="1" customWidth="1"/>
    <col min="5" max="5" width="6.85546875" style="2" bestFit="1" customWidth="1"/>
    <col min="6" max="6" width="8.28515625" style="2" bestFit="1" customWidth="1"/>
    <col min="7" max="7" width="7.140625" style="2" bestFit="1" customWidth="1"/>
    <col min="8" max="8" width="47" style="2" bestFit="1" customWidth="1"/>
    <col min="9" max="9" width="8.42578125" style="2" bestFit="1" customWidth="1"/>
    <col min="10" max="10" width="5.85546875" style="2" bestFit="1" customWidth="1"/>
    <col min="11" max="11" width="11.42578125" style="2" bestFit="1" customWidth="1"/>
    <col min="12" max="12" width="14.140625" style="2" bestFit="1" customWidth="1"/>
    <col min="13" max="13" width="6.85546875" style="2" bestFit="1" customWidth="1"/>
    <col min="14" max="14" width="15.140625" style="2" bestFit="1" customWidth="1"/>
    <col min="15" max="15" width="32.85546875" style="2" bestFit="1" customWidth="1"/>
    <col min="16" max="16" width="17.28515625" style="2" bestFit="1" customWidth="1"/>
    <col min="17" max="17" width="15.85546875" style="2" bestFit="1" customWidth="1"/>
    <col min="18" max="18" width="18" style="2" bestFit="1" customWidth="1"/>
    <col min="19" max="19" width="17.140625" style="2" bestFit="1" customWidth="1"/>
    <col min="20" max="20" width="26.7109375" style="2" bestFit="1" customWidth="1"/>
    <col min="21" max="22" width="12.5703125" style="2" bestFit="1" customWidth="1"/>
    <col min="23" max="23" width="11.28515625" style="2" bestFit="1" customWidth="1"/>
    <col min="24" max="24" width="18" bestFit="1" customWidth="1"/>
  </cols>
  <sheetData>
    <row r="1" spans="1:24" ht="17.25">
      <c r="A1" s="38" t="s">
        <v>532</v>
      </c>
      <c r="B1" s="39" t="s">
        <v>533</v>
      </c>
      <c r="C1" s="39" t="s">
        <v>65</v>
      </c>
      <c r="D1" s="39" t="s">
        <v>2</v>
      </c>
      <c r="E1" s="39" t="s">
        <v>3</v>
      </c>
      <c r="F1" s="39" t="s">
        <v>4</v>
      </c>
      <c r="G1" s="39" t="s">
        <v>5</v>
      </c>
      <c r="H1" s="39" t="s">
        <v>6</v>
      </c>
      <c r="I1" s="39" t="s">
        <v>7</v>
      </c>
      <c r="J1" s="39" t="s">
        <v>8</v>
      </c>
      <c r="K1" s="39" t="s">
        <v>9</v>
      </c>
      <c r="L1" s="39" t="s">
        <v>10</v>
      </c>
      <c r="M1" s="39" t="s">
        <v>11</v>
      </c>
      <c r="N1" s="39" t="s">
        <v>12</v>
      </c>
      <c r="O1" s="39" t="s">
        <v>13</v>
      </c>
      <c r="P1" s="39" t="s">
        <v>14</v>
      </c>
      <c r="Q1" s="39" t="s">
        <v>15</v>
      </c>
      <c r="R1" s="39" t="s">
        <v>16</v>
      </c>
      <c r="S1" s="39" t="s">
        <v>17</v>
      </c>
      <c r="T1" s="39" t="s">
        <v>18</v>
      </c>
      <c r="U1" s="39" t="s">
        <v>19</v>
      </c>
      <c r="V1" s="39" t="s">
        <v>20</v>
      </c>
      <c r="W1" s="39" t="s">
        <v>21</v>
      </c>
      <c r="X1" s="39" t="s">
        <v>531</v>
      </c>
    </row>
    <row r="2" spans="1:24">
      <c r="A2" s="40" t="str">
        <f>_xlfn.TEXTJOIN("",TRUE,Input!$B$2,"0",ROW(My_Audit!A1))</f>
        <v>X01</v>
      </c>
      <c r="B2" s="40" t="str">
        <f>_xlfn.TEXTJOIN("-",TRUE,"ITD",Input!$A$2,A2)</f>
        <v>ITD-X01</v>
      </c>
      <c r="C2" s="40" t="str" cm="1">
        <f t="array" ref="C2">IFERROR(_xlfn.LET(
_xlpm.CSVVal,_xlfn.XLOOKUP($A2,CSV!$A:$A,CSV!B:B,""),
_xlpm.MacVal,_xlfn.XLOOKUP($A2,Output_Mac!$A:$A,Output_Mac!B:B,""),
_xlpm.MyAuditVal,_xlfn.XLOOKUP($A2,My_Audit!$A:$A,My_Audit!B:B,""),
_xlfn.IFS(_xlpm.MyAuditVal&lt;&gt;"",UPPER(_xlpm.MyAuditVal),_xlpm.MacVal&lt;&gt;"",_xlpm.MacVal,_xlpm.CSVVal&lt;&gt;"",_xlpm.CSVVal
)),"")</f>
        <v/>
      </c>
      <c r="D2" s="40" t="str" cm="1">
        <f t="array" ref="D2">IFERROR(_xlfn.LET(
_xlpm.CSVVal,_xlfn.XLOOKUP($A2,CSV!$A:$A,CSV!D:D,""),
_xlpm.MacVal,_xlfn.XLOOKUP($A2,Output_Mac!$A:$A,Output_Mac!C:C,""),
_xlpm.MyAuditVal,_xlfn.XLOOKUP($A2,My_Audit!$A:$A,My_Audit!C:C,""),
_xlfn.IFS(_xlpm.MyAuditVal&lt;&gt;"",_xlpm.MyAuditVal,_xlpm.MacVal&lt;&gt;"",_xlpm.MacVal,_xlpm.CSVVal&lt;&gt;"",_xlpm.CSVVal
)),"")</f>
        <v/>
      </c>
      <c r="E2" s="40">
        <f>_xlfn.XLOOKUP(A2,My_Audit!A:A,My_Audit!D:D,"")</f>
        <v>0</v>
      </c>
      <c r="F2" s="40" t="str" cm="1">
        <f t="array" ref="F2">IFERROR(_xlfn.LET(
_xlpm.CSVVal,_xlfn.XLOOKUP($A2,CSV!$A:$A,CSV!F:F,""),
_xlpm.MacVal,_xlfn.XLOOKUP($A2,Output_Mac!$A:$A,Output_Mac!E:E,""),
_xlpm.MyAuditVal,_xlfn.XLOOKUP($A2,My_Audit!$A:$A,My_Audit!E:E,""),
_xlfn.IFS(_xlpm.MyAuditVal&lt;&gt;"",_xlpm.MyAuditVal,_xlpm.MacVal&lt;&gt;"",_xlpm.MacVal,_xlpm.CSVVal&lt;&gt;"",_xlpm.CSVVal
)),"")</f>
        <v/>
      </c>
      <c r="G2" s="40" t="str" cm="1">
        <f t="array" ref="G2">IFERROR(_xlfn.LET(
_xlpm.CSVVal,_xlfn.XLOOKUP($A2,CSV!$A:$A,CSV!G:G,""),
_xlpm.MacVal,_xlfn.XLOOKUP($A2,Output_Mac!$A:$A,Output_Mac!F:F,""),
_xlpm.MyAuditVal,_xlfn.XLOOKUP($A2,My_Audit!$A:$A,My_Audit!F:F,""),
_xlfn.IFS(_xlpm.MyAuditVal&lt;&gt;"",_xlpm.MyAuditVal,_xlpm.MacVal&lt;&gt;"",_xlpm.MacVal,_xlpm.CSVVal&lt;&gt;"",PROPER(_xlpm.CSVVal)
)),"")</f>
        <v/>
      </c>
      <c r="H2" s="40" t="str" cm="1">
        <f t="array" ref="H2">IFERROR(_xlfn.LET(
_xlpm.CSVVal,_xlfn.XLOOKUP($A2,CSV!$A:$A,CSV!H:H,""),
_xlpm.MacVal,_xlfn.XLOOKUP($A2,Output_Mac!$A:$A,Output_Mac!H:H,""),
_xlpm.MyAuditVal,_xlfn.XLOOKUP($A2,My_Audit!$A:$A,My_Audit!G:G,""),
_xlfn.IFS(_xlpm.MyAuditVal&lt;&gt;"",_xlpm.MyAuditVal,_xlpm.MacVal&lt;&gt;"",_xlpm.MacVal,_xlpm.CSVVal&lt;&gt;"",_xlpm.CSVVal
)),"")</f>
        <v/>
      </c>
      <c r="I2" s="40" t="str">
        <f>_xlfn.XLOOKUP(A2,Output_Mac!A:A,Output_Mac!I:I,"")</f>
        <v/>
      </c>
      <c r="J2" s="40" t="str" cm="1">
        <f t="array" ref="J2">IFERROR(_xlfn.LET(
_xlpm.CSVVal,_xlfn.XLOOKUP($A2,CSV!$A:$A,CSV!I:I,""),
_xlpm.MacVal,_xlfn.XLOOKUP($A2,Output_Mac!$A:$A,Output_Mac!J:J,""),
_xlpm.MyAuditVal,_xlfn.XLOOKUP($A2,My_Audit!$A:$A,My_Audit!I:I,""),
_xlfn.IFS(_xlpm.MyAuditVal&lt;&gt;"",UPPER(_xlpm.MyAuditVal),_xlpm.MacVal&lt;&gt;"",_xlpm.MacVal,_xlpm.CSVVal&lt;&gt;"",_xlpm.CSVVal
)),"")</f>
        <v/>
      </c>
      <c r="K2" s="40" t="str" cm="1">
        <f t="array" ref="K2">IFERROR(_xlfn.LET(
_xlpm.CSVVal,_xlfn.XLOOKUP($A2,CSV!$A:$A,CSV!K:K,""),
_xlpm.MacVal,_xlfn.XLOOKUP($A2,Output_Mac!$A:$A,Output_Mac!K:K,""),
_xlpm.MyAuditVal,_xlfn.XLOOKUP($A2,My_Audit!$A:$A,My_Audit!J:J,""),
_xlfn.IFS(_xlpm.MyAuditVal&lt;&gt;"",UPPER(_xlpm.MyAuditVal),_xlpm.MacVal&lt;&gt;"",_xlpm.MacVal,_xlpm.CSVVal&lt;&gt;"",_xlpm.CSVVal
)),"")</f>
        <v/>
      </c>
      <c r="L2" s="40" t="str" cm="1">
        <f t="array" ref="L2">IFERROR(_xlfn.LET(
_xlpm.CSVVal,_xlfn.XLOOKUP($A2,CSV!$A:$A,CSV!P:P,""),
_xlpm.MacVal,_xlfn.XLOOKUP($A2,Output_Mac!$A:$A,Output_Mac!L:L,""),
_xlpm.MyAuditVal,_xlfn.XLOOKUP($A2,My_Audit!$A:$A,My_Audit!K:K,""),
_xlfn.IFS(_xlpm.MyAuditVal&lt;&gt;"",UPPER(_xlpm.MyAuditVal),_xlpm.MacVal&lt;&gt;"",_xlpm.MacVal,_xlpm.CSVVal&lt;&gt;"",_xlpm.CSVVal
)),"")</f>
        <v/>
      </c>
      <c r="M2" s="40" t="str" cm="1">
        <f t="array" ref="M2">IFERROR(_xlfn.LET(
_xlpm.CSVVal,_xlfn.XLOOKUP($A2,CSV!$A:$A,CSV!Q:Q,""),
_xlpm.MacVal,_xlfn.XLOOKUP($A2,Output_Mac!$A:$A,Output_Mac!M:M,""),
_xlpm.MyAuditVal,_xlfn.XLOOKUP($A2,My_Audit!$A:$A,My_Audit!L:L,""),
_xlfn.IFS(_xlpm.MyAuditVal&lt;&gt;"",UPPER(_xlpm.MyAuditVal),_xlpm.MacVal&lt;&gt;"",_xlpm.MacVal,_xlpm.CSVVal&lt;&gt;"",_xlpm.CSVVal
)),"")</f>
        <v/>
      </c>
      <c r="N2" s="40"/>
      <c r="O2" s="40" t="str">
        <f>_xlfn.LET(
    _xlpm.CSVVal, _xlfn.XLOOKUP($A2, CSV!$A:$A, CSV!AA:AA, ""),
    _xlpm.MacVal, _xlfn.XLOOKUP($A2, Output_Mac!$A:$A, Output_Mac!S:S, ""),
    _xlpm.MyAuditVal, _xlfn.XLOOKUP($A2, My_Audit!$A:$A, My_Audit!P:P, ""),
    _xlfn.TEXTJOIN(", ", TRUE, _xlpm.MyAuditVal, _xlpm.MacVal, _xlpm.CSVVal)
)</f>
        <v/>
      </c>
      <c r="P2" s="40" t="str" cm="1">
        <f t="array" ref="P2">IFERROR(_xlfn.LET(
_xlpm.CSVVal,_xlfn.XLOOKUP($A2,CSV!$A:$A,CSV!AB:AB,""),
_xlpm.MacVal,_xlfn.XLOOKUP($A2,Output_Mac!$A:$A,Output_Mac!T:T,""),
_xlpm.MyAuditVal,_xlfn.XLOOKUP($A2,My_Audit!$A:$A,My_Audit!Q:Q,""),
_xlfn.IFS(_xlpm.MyAuditVal&lt;&gt;"",UPPER(_xlpm.MyAuditVal),_xlpm.MacVal&lt;&gt;"",_xlpm.MacVal,_xlpm.CSVVal&lt;&gt;"",_xlpm.CSVVal
)),"No")</f>
        <v>No</v>
      </c>
      <c r="Q2" s="40" t="str" cm="1">
        <f t="array" ref="Q2">IFERROR(_xlfn.LET(
_xlpm.CSVVal,_xlfn.XLOOKUP($A2,CSV!$A:$A,CSV!AC:AC,""),
_xlpm.MacVal,_xlfn.XLOOKUP($A2,Output_Mac!$A:$A,Output_Mac!U:U,""),
_xlpm.MyAuditVal,_xlfn.XLOOKUP($A2,My_Audit!$A:$A,My_Audit!R:R,""),
_xlfn.IFS(_xlpm.MyAuditVal&lt;&gt;"",UPPER(_xlpm.MyAuditVal),_xlpm.MacVal&lt;&gt;"",_xlpm.MacVal,_xlpm.CSVVal&lt;&gt;"",_xlpm.CSVVal
)),"")</f>
        <v/>
      </c>
      <c r="R2" s="40"/>
      <c r="S2" s="40"/>
      <c r="T2" s="40"/>
      <c r="U2" s="40"/>
      <c r="V2" s="40"/>
      <c r="W2" s="40"/>
      <c r="X2" s="41" t="str">
        <f>_xlfn.LET(
    _xlpm.MacVal, _xlfn.XLOOKUP($A2, Output_Mac!$A:$A, Output_Mac!AB:AB, ""),
    _xlpm.MyAuditVal, _xlfn.XLOOKUP($A2, My_Audit!$A:$A, My_Audit!N:N, ""),
    _xlfn.TEXTJOIN(", ", TRUE, _xlpm.MyAuditVal, _xlpm.MacVal)
)</f>
        <v/>
      </c>
    </row>
    <row r="3" spans="1:24">
      <c r="A3" s="40" t="str">
        <f>_xlfn.TEXTJOIN("",TRUE,Input!$B$2,"0",ROW(My_Audit!A2))</f>
        <v>X02</v>
      </c>
      <c r="B3" s="40" t="str">
        <f>_xlfn.TEXTJOIN("-",TRUE,"ITD",Input!$A$2,A3)</f>
        <v>ITD-X02</v>
      </c>
      <c r="C3" s="40" t="str" cm="1">
        <f t="array" ref="C3">IFERROR(_xlfn.LET(
_xlpm.CSVVal,_xlfn.XLOOKUP($A3,CSV!$A:$A,CSV!B:B,""),
_xlpm.MacVal,_xlfn.XLOOKUP($A3,Output_Mac!$A:$A,Output_Mac!B:B,""),
_xlpm.MyAuditVal,_xlfn.XLOOKUP($A3,My_Audit!$A:$A,My_Audit!B:B,""),
_xlfn.IFS(_xlpm.MyAuditVal&lt;&gt;"",UPPER(_xlpm.MyAuditVal),_xlpm.MacVal&lt;&gt;"",_xlpm.MacVal,_xlpm.CSVVal&lt;&gt;"",_xlpm.CSVVal
)),"")</f>
        <v/>
      </c>
      <c r="D3" s="40" t="str" cm="1">
        <f t="array" ref="D3">IFERROR(_xlfn.LET(
_xlpm.CSVVal,_xlfn.XLOOKUP($A3,CSV!$A:$A,CSV!D:D,""),
_xlpm.MacVal,_xlfn.XLOOKUP($A3,Output_Mac!$A:$A,Output_Mac!C:C,""),
_xlpm.MyAuditVal,_xlfn.XLOOKUP($A3,My_Audit!$A:$A,My_Audit!C:C,""),
_xlfn.IFS(_xlpm.MyAuditVal&lt;&gt;"",_xlpm.MyAuditVal,_xlpm.MacVal&lt;&gt;"",_xlpm.MacVal,_xlpm.CSVVal&lt;&gt;"",_xlpm.CSVVal
)),"")</f>
        <v/>
      </c>
      <c r="E3" s="40">
        <f>_xlfn.XLOOKUP(A3,My_Audit!A:A,My_Audit!D:D,"")</f>
        <v>0</v>
      </c>
      <c r="F3" s="40" t="str" cm="1">
        <f t="array" ref="F3">IFERROR(_xlfn.LET(
_xlpm.CSVVal,_xlfn.XLOOKUP($A3,CSV!$A:$A,CSV!F:F,""),
_xlpm.MacVal,_xlfn.XLOOKUP($A3,Output_Mac!$A:$A,Output_Mac!E:E,""),
_xlpm.MyAuditVal,_xlfn.XLOOKUP($A3,My_Audit!$A:$A,My_Audit!E:E,""),
_xlfn.IFS(_xlpm.MyAuditVal&lt;&gt;"",_xlpm.MyAuditVal,_xlpm.MacVal&lt;&gt;"",_xlpm.MacVal,_xlpm.CSVVal&lt;&gt;"",_xlpm.CSVVal
)),"")</f>
        <v/>
      </c>
      <c r="G3" s="40" t="str" cm="1">
        <f t="array" ref="G3">IFERROR(_xlfn.LET(
_xlpm.CSVVal,_xlfn.XLOOKUP($A3,CSV!$A:$A,CSV!G:G,""),
_xlpm.MacVal,_xlfn.XLOOKUP($A3,Output_Mac!$A:$A,Output_Mac!F:F,""),
_xlpm.MyAuditVal,_xlfn.XLOOKUP($A3,My_Audit!$A:$A,My_Audit!F:F,""),
_xlfn.IFS(_xlpm.MyAuditVal&lt;&gt;"",_xlpm.MyAuditVal,_xlpm.MacVal&lt;&gt;"",_xlpm.MacVal,_xlpm.CSVVal&lt;&gt;"",PROPER(_xlpm.CSVVal)
)),"")</f>
        <v/>
      </c>
      <c r="H3" s="40" t="str" cm="1">
        <f t="array" ref="H3">IFERROR(_xlfn.LET(
_xlpm.CSVVal,_xlfn.XLOOKUP($A3,CSV!$A:$A,CSV!H:H,""),
_xlpm.MacVal,_xlfn.XLOOKUP($A3,Output_Mac!$A:$A,Output_Mac!H:H,""),
_xlpm.MyAuditVal,_xlfn.XLOOKUP($A3,My_Audit!$A:$A,My_Audit!G:G,""),
_xlfn.IFS(_xlpm.MyAuditVal&lt;&gt;"",_xlpm.MyAuditVal,_xlpm.MacVal&lt;&gt;"",_xlpm.MacVal,_xlpm.CSVVal&lt;&gt;"",_xlpm.CSVVal
)),"")</f>
        <v/>
      </c>
      <c r="I3" s="40" t="str">
        <f>_xlfn.XLOOKUP(A3,Output_Mac!A:A,Output_Mac!I:I,"")</f>
        <v/>
      </c>
      <c r="J3" s="40" t="str" cm="1">
        <f t="array" ref="J3">IFERROR(_xlfn.LET(
_xlpm.CSVVal,_xlfn.XLOOKUP($A3,CSV!$A:$A,CSV!I:I,""),
_xlpm.MacVal,_xlfn.XLOOKUP($A3,Output_Mac!$A:$A,Output_Mac!J:J,""),
_xlpm.MyAuditVal,_xlfn.XLOOKUP($A3,My_Audit!$A:$A,My_Audit!I:I,""),
_xlfn.IFS(_xlpm.MyAuditVal&lt;&gt;"",UPPER(_xlpm.MyAuditVal),_xlpm.MacVal&lt;&gt;"",_xlpm.MacVal,_xlpm.CSVVal&lt;&gt;"",_xlpm.CSVVal
)),"")</f>
        <v/>
      </c>
      <c r="K3" s="40" t="str" cm="1">
        <f t="array" ref="K3">IFERROR(_xlfn.LET(
_xlpm.CSVVal,_xlfn.XLOOKUP($A3,CSV!$A:$A,CSV!K:K,""),
_xlpm.MacVal,_xlfn.XLOOKUP($A3,Output_Mac!$A:$A,Output_Mac!K:K,""),
_xlpm.MyAuditVal,_xlfn.XLOOKUP($A3,My_Audit!$A:$A,My_Audit!J:J,""),
_xlfn.IFS(_xlpm.MyAuditVal&lt;&gt;"",UPPER(_xlpm.MyAuditVal),_xlpm.MacVal&lt;&gt;"",_xlpm.MacVal,_xlpm.CSVVal&lt;&gt;"",_xlpm.CSVVal
)),"")</f>
        <v/>
      </c>
      <c r="L3" s="40" t="str" cm="1">
        <f t="array" ref="L3">IFERROR(_xlfn.LET(
_xlpm.CSVVal,_xlfn.XLOOKUP($A3,CSV!$A:$A,CSV!P:P,""),
_xlpm.MacVal,_xlfn.XLOOKUP($A3,Output_Mac!$A:$A,Output_Mac!L:L,""),
_xlpm.MyAuditVal,_xlfn.XLOOKUP($A3,My_Audit!$A:$A,My_Audit!K:K,""),
_xlfn.IFS(_xlpm.MyAuditVal&lt;&gt;"",UPPER(_xlpm.MyAuditVal),_xlpm.MacVal&lt;&gt;"",_xlpm.MacVal,_xlpm.CSVVal&lt;&gt;"",_xlpm.CSVVal
)),"")</f>
        <v/>
      </c>
      <c r="M3" s="40" t="str" cm="1">
        <f t="array" ref="M3">IFERROR(_xlfn.LET(
_xlpm.CSVVal,_xlfn.XLOOKUP($A3,CSV!$A:$A,CSV!Q:Q,""),
_xlpm.MacVal,_xlfn.XLOOKUP($A3,Output_Mac!$A:$A,Output_Mac!M:M,""),
_xlpm.MyAuditVal,_xlfn.XLOOKUP($A3,My_Audit!$A:$A,My_Audit!L:L,""),
_xlfn.IFS(_xlpm.MyAuditVal&lt;&gt;"",UPPER(_xlpm.MyAuditVal),_xlpm.MacVal&lt;&gt;"",_xlpm.MacVal,_xlpm.CSVVal&lt;&gt;"",_xlpm.CSVVal
)),"")</f>
        <v/>
      </c>
      <c r="N3" s="40"/>
      <c r="O3" s="40" t="str">
        <f>_xlfn.LET(
    _xlpm.CSVVal, _xlfn.XLOOKUP($A3, CSV!$A:$A, CSV!AA:AA, ""),
    _xlpm.MacVal, _xlfn.XLOOKUP($A3, Output_Mac!$A:$A, Output_Mac!S:S, ""),
    _xlpm.MyAuditVal, _xlfn.XLOOKUP($A3, My_Audit!$A:$A, My_Audit!P:P, ""),
    _xlfn.TEXTJOIN(", ", TRUE, _xlpm.MyAuditVal, _xlpm.MacVal, _xlpm.CSVVal)
)</f>
        <v/>
      </c>
      <c r="P3" s="40" t="str" cm="1">
        <f t="array" ref="P3">IFERROR(_xlfn.LET(
_xlpm.CSVVal,_xlfn.XLOOKUP($A3,CSV!$A:$A,CSV!AB:AB,""),
_xlpm.MacVal,_xlfn.XLOOKUP($A3,Output_Mac!$A:$A,Output_Mac!T:T,""),
_xlpm.MyAuditVal,_xlfn.XLOOKUP($A3,My_Audit!$A:$A,My_Audit!Q:Q,""),
_xlfn.IFS(_xlpm.MyAuditVal&lt;&gt;"",UPPER(_xlpm.MyAuditVal),_xlpm.MacVal&lt;&gt;"",_xlpm.MacVal,_xlpm.CSVVal&lt;&gt;"",_xlpm.CSVVal
)),"No")</f>
        <v>No</v>
      </c>
      <c r="Q3" s="40" t="str" cm="1">
        <f t="array" ref="Q3">IFERROR(_xlfn.LET(
_xlpm.CSVVal,_xlfn.XLOOKUP($A3,CSV!$A:$A,CSV!AC:AC,""),
_xlpm.MacVal,_xlfn.XLOOKUP($A3,Output_Mac!$A:$A,Output_Mac!U:U,""),
_xlpm.MyAuditVal,_xlfn.XLOOKUP($A3,My_Audit!$A:$A,My_Audit!R:R,""),
_xlfn.IFS(_xlpm.MyAuditVal&lt;&gt;"",UPPER(_xlpm.MyAuditVal),_xlpm.MacVal&lt;&gt;"",_xlpm.MacVal,_xlpm.CSVVal&lt;&gt;"",_xlpm.CSVVal
)),"")</f>
        <v/>
      </c>
      <c r="R3" s="40"/>
      <c r="S3" s="40"/>
      <c r="T3" s="40"/>
      <c r="U3" s="40"/>
      <c r="V3" s="40"/>
      <c r="W3" s="40"/>
      <c r="X3" s="41" t="str">
        <f>_xlfn.LET(
    _xlpm.MacVal, _xlfn.XLOOKUP($A3, Output_Mac!$A:$A, Output_Mac!AB:AB, ""),
    _xlpm.MyAuditVal, _xlfn.XLOOKUP($A3, My_Audit!$A:$A, My_Audit!N:N, ""),
    _xlfn.TEXTJOIN(", ", TRUE, _xlpm.MyAuditVal, _xlpm.MacVal)
)</f>
        <v/>
      </c>
    </row>
    <row r="4" spans="1:24">
      <c r="A4" s="40" t="str">
        <f>_xlfn.TEXTJOIN("",TRUE,Input!$B$2,"0",ROW(My_Audit!A3))</f>
        <v>X03</v>
      </c>
      <c r="B4" s="40" t="str">
        <f>_xlfn.TEXTJOIN("-",TRUE,"ITD",Input!$A$2,A4)</f>
        <v>ITD-X03</v>
      </c>
      <c r="C4" s="40" t="str" cm="1">
        <f t="array" ref="C4">IFERROR(_xlfn.LET(
_xlpm.CSVVal,_xlfn.XLOOKUP($A4,CSV!$A:$A,CSV!B:B,""),
_xlpm.MacVal,_xlfn.XLOOKUP($A4,Output_Mac!$A:$A,Output_Mac!B:B,""),
_xlpm.MyAuditVal,_xlfn.XLOOKUP($A4,My_Audit!$A:$A,My_Audit!B:B,""),
_xlfn.IFS(_xlpm.MyAuditVal&lt;&gt;"",UPPER(_xlpm.MyAuditVal),_xlpm.MacVal&lt;&gt;"",_xlpm.MacVal,_xlpm.CSVVal&lt;&gt;"",_xlpm.CSVVal
)),"")</f>
        <v/>
      </c>
      <c r="D4" s="40" t="str" cm="1">
        <f t="array" ref="D4">IFERROR(_xlfn.LET(
_xlpm.CSVVal,_xlfn.XLOOKUP($A4,CSV!$A:$A,CSV!D:D,""),
_xlpm.MacVal,_xlfn.XLOOKUP($A4,Output_Mac!$A:$A,Output_Mac!C:C,""),
_xlpm.MyAuditVal,_xlfn.XLOOKUP($A4,My_Audit!$A:$A,My_Audit!C:C,""),
_xlfn.IFS(_xlpm.MyAuditVal&lt;&gt;"",_xlpm.MyAuditVal,_xlpm.MacVal&lt;&gt;"",_xlpm.MacVal,_xlpm.CSVVal&lt;&gt;"",_xlpm.CSVVal
)),"")</f>
        <v/>
      </c>
      <c r="E4" s="40">
        <f>_xlfn.XLOOKUP(A4,My_Audit!A:A,My_Audit!D:D,"")</f>
        <v>0</v>
      </c>
      <c r="F4" s="40" t="str" cm="1">
        <f t="array" ref="F4">IFERROR(_xlfn.LET(
_xlpm.CSVVal,_xlfn.XLOOKUP($A4,CSV!$A:$A,CSV!F:F,""),
_xlpm.MacVal,_xlfn.XLOOKUP($A4,Output_Mac!$A:$A,Output_Mac!E:E,""),
_xlpm.MyAuditVal,_xlfn.XLOOKUP($A4,My_Audit!$A:$A,My_Audit!E:E,""),
_xlfn.IFS(_xlpm.MyAuditVal&lt;&gt;"",_xlpm.MyAuditVal,_xlpm.MacVal&lt;&gt;"",_xlpm.MacVal,_xlpm.CSVVal&lt;&gt;"",_xlpm.CSVVal
)),"")</f>
        <v/>
      </c>
      <c r="G4" s="40" t="str" cm="1">
        <f t="array" ref="G4">IFERROR(_xlfn.LET(
_xlpm.CSVVal,_xlfn.XLOOKUP($A4,CSV!$A:$A,CSV!G:G,""),
_xlpm.MacVal,_xlfn.XLOOKUP($A4,Output_Mac!$A:$A,Output_Mac!F:F,""),
_xlpm.MyAuditVal,_xlfn.XLOOKUP($A4,My_Audit!$A:$A,My_Audit!F:F,""),
_xlfn.IFS(_xlpm.MyAuditVal&lt;&gt;"",_xlpm.MyAuditVal,_xlpm.MacVal&lt;&gt;"",_xlpm.MacVal,_xlpm.CSVVal&lt;&gt;"",PROPER(_xlpm.CSVVal)
)),"")</f>
        <v/>
      </c>
      <c r="H4" s="40" t="str" cm="1">
        <f t="array" ref="H4">IFERROR(_xlfn.LET(
_xlpm.CSVVal,_xlfn.XLOOKUP($A4,CSV!$A:$A,CSV!H:H,""),
_xlpm.MacVal,_xlfn.XLOOKUP($A4,Output_Mac!$A:$A,Output_Mac!H:H,""),
_xlpm.MyAuditVal,_xlfn.XLOOKUP($A4,My_Audit!$A:$A,My_Audit!G:G,""),
_xlfn.IFS(_xlpm.MyAuditVal&lt;&gt;"",_xlpm.MyAuditVal,_xlpm.MacVal&lt;&gt;"",_xlpm.MacVal,_xlpm.CSVVal&lt;&gt;"",_xlpm.CSVVal
)),"")</f>
        <v/>
      </c>
      <c r="I4" s="40" t="str">
        <f>_xlfn.XLOOKUP(A4,Output_Mac!A:A,Output_Mac!I:I,"")</f>
        <v/>
      </c>
      <c r="J4" s="40" t="str" cm="1">
        <f t="array" ref="J4">IFERROR(_xlfn.LET(
_xlpm.CSVVal,_xlfn.XLOOKUP($A4,CSV!$A:$A,CSV!I:I,""),
_xlpm.MacVal,_xlfn.XLOOKUP($A4,Output_Mac!$A:$A,Output_Mac!J:J,""),
_xlpm.MyAuditVal,_xlfn.XLOOKUP($A4,My_Audit!$A:$A,My_Audit!I:I,""),
_xlfn.IFS(_xlpm.MyAuditVal&lt;&gt;"",UPPER(_xlpm.MyAuditVal),_xlpm.MacVal&lt;&gt;"",_xlpm.MacVal,_xlpm.CSVVal&lt;&gt;"",_xlpm.CSVVal
)),"")</f>
        <v/>
      </c>
      <c r="K4" s="40" t="str" cm="1">
        <f t="array" ref="K4">IFERROR(_xlfn.LET(
_xlpm.CSVVal,_xlfn.XLOOKUP($A4,CSV!$A:$A,CSV!K:K,""),
_xlpm.MacVal,_xlfn.XLOOKUP($A4,Output_Mac!$A:$A,Output_Mac!K:K,""),
_xlpm.MyAuditVal,_xlfn.XLOOKUP($A4,My_Audit!$A:$A,My_Audit!J:J,""),
_xlfn.IFS(_xlpm.MyAuditVal&lt;&gt;"",UPPER(_xlpm.MyAuditVal),_xlpm.MacVal&lt;&gt;"",_xlpm.MacVal,_xlpm.CSVVal&lt;&gt;"",_xlpm.CSVVal
)),"")</f>
        <v/>
      </c>
      <c r="L4" s="40" t="str" cm="1">
        <f t="array" ref="L4">IFERROR(_xlfn.LET(
_xlpm.CSVVal,_xlfn.XLOOKUP($A4,CSV!$A:$A,CSV!P:P,""),
_xlpm.MacVal,_xlfn.XLOOKUP($A4,Output_Mac!$A:$A,Output_Mac!L:L,""),
_xlpm.MyAuditVal,_xlfn.XLOOKUP($A4,My_Audit!$A:$A,My_Audit!K:K,""),
_xlfn.IFS(_xlpm.MyAuditVal&lt;&gt;"",UPPER(_xlpm.MyAuditVal),_xlpm.MacVal&lt;&gt;"",_xlpm.MacVal,_xlpm.CSVVal&lt;&gt;"",_xlpm.CSVVal
)),"")</f>
        <v/>
      </c>
      <c r="M4" s="40" t="str" cm="1">
        <f t="array" ref="M4">IFERROR(_xlfn.LET(
_xlpm.CSVVal,_xlfn.XLOOKUP($A4,CSV!$A:$A,CSV!Q:Q,""),
_xlpm.MacVal,_xlfn.XLOOKUP($A4,Output_Mac!$A:$A,Output_Mac!M:M,""),
_xlpm.MyAuditVal,_xlfn.XLOOKUP($A4,My_Audit!$A:$A,My_Audit!L:L,""),
_xlfn.IFS(_xlpm.MyAuditVal&lt;&gt;"",UPPER(_xlpm.MyAuditVal),_xlpm.MacVal&lt;&gt;"",_xlpm.MacVal,_xlpm.CSVVal&lt;&gt;"",_xlpm.CSVVal
)),"")</f>
        <v/>
      </c>
      <c r="N4" s="40"/>
      <c r="O4" s="40" t="str">
        <f>_xlfn.LET(
    _xlpm.CSVVal, _xlfn.XLOOKUP($A4, CSV!$A:$A, CSV!AA:AA, ""),
    _xlpm.MacVal, _xlfn.XLOOKUP($A4, Output_Mac!$A:$A, Output_Mac!S:S, ""),
    _xlpm.MyAuditVal, _xlfn.XLOOKUP($A4, My_Audit!$A:$A, My_Audit!P:P, ""),
    _xlfn.TEXTJOIN(", ", TRUE, _xlpm.MyAuditVal, _xlpm.MacVal, _xlpm.CSVVal)
)</f>
        <v/>
      </c>
      <c r="P4" s="40" t="str" cm="1">
        <f t="array" ref="P4">IFERROR(_xlfn.LET(
_xlpm.CSVVal,_xlfn.XLOOKUP($A4,CSV!$A:$A,CSV!AB:AB,""),
_xlpm.MacVal,_xlfn.XLOOKUP($A4,Output_Mac!$A:$A,Output_Mac!T:T,""),
_xlpm.MyAuditVal,_xlfn.XLOOKUP($A4,My_Audit!$A:$A,My_Audit!Q:Q,""),
_xlfn.IFS(_xlpm.MyAuditVal&lt;&gt;"",UPPER(_xlpm.MyAuditVal),_xlpm.MacVal&lt;&gt;"",_xlpm.MacVal,_xlpm.CSVVal&lt;&gt;"",_xlpm.CSVVal
)),"No")</f>
        <v>No</v>
      </c>
      <c r="Q4" s="40" t="str" cm="1">
        <f t="array" ref="Q4">IFERROR(_xlfn.LET(
_xlpm.CSVVal,_xlfn.XLOOKUP($A4,CSV!$A:$A,CSV!AC:AC,""),
_xlpm.MacVal,_xlfn.XLOOKUP($A4,Output_Mac!$A:$A,Output_Mac!U:U,""),
_xlpm.MyAuditVal,_xlfn.XLOOKUP($A4,My_Audit!$A:$A,My_Audit!R:R,""),
_xlfn.IFS(_xlpm.MyAuditVal&lt;&gt;"",UPPER(_xlpm.MyAuditVal),_xlpm.MacVal&lt;&gt;"",_xlpm.MacVal,_xlpm.CSVVal&lt;&gt;"",_xlpm.CSVVal
)),"")</f>
        <v/>
      </c>
      <c r="R4" s="40"/>
      <c r="S4" s="40"/>
      <c r="T4" s="40"/>
      <c r="U4" s="40"/>
      <c r="V4" s="40"/>
      <c r="W4" s="40"/>
      <c r="X4" s="41" t="str">
        <f>_xlfn.LET(
    _xlpm.MacVal, _xlfn.XLOOKUP($A4, Output_Mac!$A:$A, Output_Mac!AB:AB, ""),
    _xlpm.MyAuditVal, _xlfn.XLOOKUP($A4, My_Audit!$A:$A, My_Audit!N:N, ""),
    _xlfn.TEXTJOIN(", ", TRUE, _xlpm.MyAuditVal, _xlpm.MacVal)
)</f>
        <v/>
      </c>
    </row>
    <row r="5" spans="1:24">
      <c r="A5" s="40" t="str">
        <f>_xlfn.TEXTJOIN("",TRUE,Input!$B$2,"0",ROW(My_Audit!A4))</f>
        <v>X04</v>
      </c>
      <c r="B5" s="40" t="str">
        <f>_xlfn.TEXTJOIN("-",TRUE,"ITD",Input!$A$2,A5)</f>
        <v>ITD-X04</v>
      </c>
      <c r="C5" s="40" t="str" cm="1">
        <f t="array" ref="C5">IFERROR(_xlfn.LET(
_xlpm.CSVVal,_xlfn.XLOOKUP($A5,CSV!$A:$A,CSV!B:B,""),
_xlpm.MacVal,_xlfn.XLOOKUP($A5,Output_Mac!$A:$A,Output_Mac!B:B,""),
_xlpm.MyAuditVal,_xlfn.XLOOKUP($A5,My_Audit!$A:$A,My_Audit!B:B,""),
_xlfn.IFS(_xlpm.MyAuditVal&lt;&gt;"",UPPER(_xlpm.MyAuditVal),_xlpm.MacVal&lt;&gt;"",_xlpm.MacVal,_xlpm.CSVVal&lt;&gt;"",_xlpm.CSVVal
)),"")</f>
        <v/>
      </c>
      <c r="D5" s="40" t="str" cm="1">
        <f t="array" ref="D5">IFERROR(_xlfn.LET(
_xlpm.CSVVal,_xlfn.XLOOKUP($A5,CSV!$A:$A,CSV!D:D,""),
_xlpm.MacVal,_xlfn.XLOOKUP($A5,Output_Mac!$A:$A,Output_Mac!C:C,""),
_xlpm.MyAuditVal,_xlfn.XLOOKUP($A5,My_Audit!$A:$A,My_Audit!C:C,""),
_xlfn.IFS(_xlpm.MyAuditVal&lt;&gt;"",_xlpm.MyAuditVal,_xlpm.MacVal&lt;&gt;"",_xlpm.MacVal,_xlpm.CSVVal&lt;&gt;"",_xlpm.CSVVal
)),"")</f>
        <v/>
      </c>
      <c r="E5" s="40">
        <f>_xlfn.XLOOKUP(A5,My_Audit!A:A,My_Audit!D:D,"")</f>
        <v>0</v>
      </c>
      <c r="F5" s="40" t="str" cm="1">
        <f t="array" ref="F5">IFERROR(_xlfn.LET(
_xlpm.CSVVal,_xlfn.XLOOKUP($A5,CSV!$A:$A,CSV!F:F,""),
_xlpm.MacVal,_xlfn.XLOOKUP($A5,Output_Mac!$A:$A,Output_Mac!E:E,""),
_xlpm.MyAuditVal,_xlfn.XLOOKUP($A5,My_Audit!$A:$A,My_Audit!E:E,""),
_xlfn.IFS(_xlpm.MyAuditVal&lt;&gt;"",_xlpm.MyAuditVal,_xlpm.MacVal&lt;&gt;"",_xlpm.MacVal,_xlpm.CSVVal&lt;&gt;"",_xlpm.CSVVal
)),"")</f>
        <v/>
      </c>
      <c r="G5" s="40" t="str" cm="1">
        <f t="array" ref="G5">IFERROR(_xlfn.LET(
_xlpm.CSVVal,_xlfn.XLOOKUP($A5,CSV!$A:$A,CSV!G:G,""),
_xlpm.MacVal,_xlfn.XLOOKUP($A5,Output_Mac!$A:$A,Output_Mac!F:F,""),
_xlpm.MyAuditVal,_xlfn.XLOOKUP($A5,My_Audit!$A:$A,My_Audit!F:F,""),
_xlfn.IFS(_xlpm.MyAuditVal&lt;&gt;"",_xlpm.MyAuditVal,_xlpm.MacVal&lt;&gt;"",_xlpm.MacVal,_xlpm.CSVVal&lt;&gt;"",PROPER(_xlpm.CSVVal)
)),"")</f>
        <v/>
      </c>
      <c r="H5" s="40" t="str" cm="1">
        <f t="array" ref="H5">IFERROR(_xlfn.LET(
_xlpm.CSVVal,_xlfn.XLOOKUP($A5,CSV!$A:$A,CSV!H:H,""),
_xlpm.MacVal,_xlfn.XLOOKUP($A5,Output_Mac!$A:$A,Output_Mac!H:H,""),
_xlpm.MyAuditVal,_xlfn.XLOOKUP($A5,My_Audit!$A:$A,My_Audit!G:G,""),
_xlfn.IFS(_xlpm.MyAuditVal&lt;&gt;"",_xlpm.MyAuditVal,_xlpm.MacVal&lt;&gt;"",_xlpm.MacVal,_xlpm.CSVVal&lt;&gt;"",_xlpm.CSVVal
)),"")</f>
        <v/>
      </c>
      <c r="I5" s="40" t="str">
        <f>_xlfn.XLOOKUP(A5,Output_Mac!A:A,Output_Mac!I:I,"")</f>
        <v/>
      </c>
      <c r="J5" s="40" t="str" cm="1">
        <f t="array" ref="J5">IFERROR(_xlfn.LET(
_xlpm.CSVVal,_xlfn.XLOOKUP($A5,CSV!$A:$A,CSV!I:I,""),
_xlpm.MacVal,_xlfn.XLOOKUP($A5,Output_Mac!$A:$A,Output_Mac!J:J,""),
_xlpm.MyAuditVal,_xlfn.XLOOKUP($A5,My_Audit!$A:$A,My_Audit!I:I,""),
_xlfn.IFS(_xlpm.MyAuditVal&lt;&gt;"",UPPER(_xlpm.MyAuditVal),_xlpm.MacVal&lt;&gt;"",_xlpm.MacVal,_xlpm.CSVVal&lt;&gt;"",_xlpm.CSVVal
)),"")</f>
        <v/>
      </c>
      <c r="K5" s="40" t="str" cm="1">
        <f t="array" ref="K5">IFERROR(_xlfn.LET(
_xlpm.CSVVal,_xlfn.XLOOKUP($A5,CSV!$A:$A,CSV!K:K,""),
_xlpm.MacVal,_xlfn.XLOOKUP($A5,Output_Mac!$A:$A,Output_Mac!K:K,""),
_xlpm.MyAuditVal,_xlfn.XLOOKUP($A5,My_Audit!$A:$A,My_Audit!J:J,""),
_xlfn.IFS(_xlpm.MyAuditVal&lt;&gt;"",UPPER(_xlpm.MyAuditVal),_xlpm.MacVal&lt;&gt;"",_xlpm.MacVal,_xlpm.CSVVal&lt;&gt;"",_xlpm.CSVVal
)),"")</f>
        <v/>
      </c>
      <c r="L5" s="40" t="str" cm="1">
        <f t="array" ref="L5">IFERROR(_xlfn.LET(
_xlpm.CSVVal,_xlfn.XLOOKUP($A5,CSV!$A:$A,CSV!P:P,""),
_xlpm.MacVal,_xlfn.XLOOKUP($A5,Output_Mac!$A:$A,Output_Mac!L:L,""),
_xlpm.MyAuditVal,_xlfn.XLOOKUP($A5,My_Audit!$A:$A,My_Audit!K:K,""),
_xlfn.IFS(_xlpm.MyAuditVal&lt;&gt;"",UPPER(_xlpm.MyAuditVal),_xlpm.MacVal&lt;&gt;"",_xlpm.MacVal,_xlpm.CSVVal&lt;&gt;"",_xlpm.CSVVal
)),"")</f>
        <v/>
      </c>
      <c r="M5" s="40" t="str" cm="1">
        <f t="array" ref="M5">IFERROR(_xlfn.LET(
_xlpm.CSVVal,_xlfn.XLOOKUP($A5,CSV!$A:$A,CSV!Q:Q,""),
_xlpm.MacVal,_xlfn.XLOOKUP($A5,Output_Mac!$A:$A,Output_Mac!M:M,""),
_xlpm.MyAuditVal,_xlfn.XLOOKUP($A5,My_Audit!$A:$A,My_Audit!L:L,""),
_xlfn.IFS(_xlpm.MyAuditVal&lt;&gt;"",UPPER(_xlpm.MyAuditVal),_xlpm.MacVal&lt;&gt;"",_xlpm.MacVal,_xlpm.CSVVal&lt;&gt;"",_xlpm.CSVVal
)),"")</f>
        <v/>
      </c>
      <c r="N5" s="40"/>
      <c r="O5" s="40" t="str">
        <f>_xlfn.LET(
    _xlpm.CSVVal, _xlfn.XLOOKUP($A5, CSV!$A:$A, CSV!AA:AA, ""),
    _xlpm.MacVal, _xlfn.XLOOKUP($A5, Output_Mac!$A:$A, Output_Mac!S:S, ""),
    _xlpm.MyAuditVal, _xlfn.XLOOKUP($A5, My_Audit!$A:$A, My_Audit!P:P, ""),
    _xlfn.TEXTJOIN(", ", TRUE, _xlpm.MyAuditVal, _xlpm.MacVal, _xlpm.CSVVal)
)</f>
        <v/>
      </c>
      <c r="P5" s="40" t="str" cm="1">
        <f t="array" ref="P5">IFERROR(_xlfn.LET(
_xlpm.CSVVal,_xlfn.XLOOKUP($A5,CSV!$A:$A,CSV!AB:AB,""),
_xlpm.MacVal,_xlfn.XLOOKUP($A5,Output_Mac!$A:$A,Output_Mac!T:T,""),
_xlpm.MyAuditVal,_xlfn.XLOOKUP($A5,My_Audit!$A:$A,My_Audit!Q:Q,""),
_xlfn.IFS(_xlpm.MyAuditVal&lt;&gt;"",UPPER(_xlpm.MyAuditVal),_xlpm.MacVal&lt;&gt;"",_xlpm.MacVal,_xlpm.CSVVal&lt;&gt;"",_xlpm.CSVVal
)),"No")</f>
        <v>No</v>
      </c>
      <c r="Q5" s="40" t="str" cm="1">
        <f t="array" ref="Q5">IFERROR(_xlfn.LET(
_xlpm.CSVVal,_xlfn.XLOOKUP($A5,CSV!$A:$A,CSV!AC:AC,""),
_xlpm.MacVal,_xlfn.XLOOKUP($A5,Output_Mac!$A:$A,Output_Mac!U:U,""),
_xlpm.MyAuditVal,_xlfn.XLOOKUP($A5,My_Audit!$A:$A,My_Audit!R:R,""),
_xlfn.IFS(_xlpm.MyAuditVal&lt;&gt;"",UPPER(_xlpm.MyAuditVal),_xlpm.MacVal&lt;&gt;"",_xlpm.MacVal,_xlpm.CSVVal&lt;&gt;"",_xlpm.CSVVal
)),"")</f>
        <v/>
      </c>
      <c r="R5" s="40"/>
      <c r="S5" s="40"/>
      <c r="T5" s="40"/>
      <c r="U5" s="40"/>
      <c r="V5" s="40"/>
      <c r="W5" s="40"/>
      <c r="X5" s="41" t="str">
        <f>_xlfn.LET(
    _xlpm.MacVal, _xlfn.XLOOKUP($A5, Output_Mac!$A:$A, Output_Mac!AB:AB, ""),
    _xlpm.MyAuditVal, _xlfn.XLOOKUP($A5, My_Audit!$A:$A, My_Audit!N:N, ""),
    _xlfn.TEXTJOIN(", ", TRUE, _xlpm.MyAuditVal, _xlpm.MacVal)
)</f>
        <v/>
      </c>
    </row>
    <row r="6" spans="1:24">
      <c r="A6" s="40" t="str">
        <f>_xlfn.TEXTJOIN("",TRUE,Input!$B$2,"0",ROW(My_Audit!A5))</f>
        <v>X05</v>
      </c>
      <c r="B6" s="40" t="str">
        <f>_xlfn.TEXTJOIN("-",TRUE,"ITD",Input!$A$2,A6)</f>
        <v>ITD-X05</v>
      </c>
      <c r="C6" s="40" t="str" cm="1">
        <f t="array" ref="C6">IFERROR(_xlfn.LET(
_xlpm.CSVVal,_xlfn.XLOOKUP($A6,CSV!$A:$A,CSV!B:B,""),
_xlpm.MacVal,_xlfn.XLOOKUP($A6,Output_Mac!$A:$A,Output_Mac!B:B,""),
_xlpm.MyAuditVal,_xlfn.XLOOKUP($A6,My_Audit!$A:$A,My_Audit!B:B,""),
_xlfn.IFS(_xlpm.MyAuditVal&lt;&gt;"",UPPER(_xlpm.MyAuditVal),_xlpm.MacVal&lt;&gt;"",_xlpm.MacVal,_xlpm.CSVVal&lt;&gt;"",_xlpm.CSVVal
)),"")</f>
        <v/>
      </c>
      <c r="D6" s="40" t="str" cm="1">
        <f t="array" ref="D6">IFERROR(_xlfn.LET(
_xlpm.CSVVal,_xlfn.XLOOKUP($A6,CSV!$A:$A,CSV!D:D,""),
_xlpm.MacVal,_xlfn.XLOOKUP($A6,Output_Mac!$A:$A,Output_Mac!C:C,""),
_xlpm.MyAuditVal,_xlfn.XLOOKUP($A6,My_Audit!$A:$A,My_Audit!C:C,""),
_xlfn.IFS(_xlpm.MyAuditVal&lt;&gt;"",_xlpm.MyAuditVal,_xlpm.MacVal&lt;&gt;"",_xlpm.MacVal,_xlpm.CSVVal&lt;&gt;"",_xlpm.CSVVal
)),"")</f>
        <v/>
      </c>
      <c r="E6" s="40">
        <f>_xlfn.XLOOKUP(A6,My_Audit!A:A,My_Audit!D:D,"")</f>
        <v>0</v>
      </c>
      <c r="F6" s="40" t="str" cm="1">
        <f t="array" ref="F6">IFERROR(_xlfn.LET(
_xlpm.CSVVal,_xlfn.XLOOKUP($A6,CSV!$A:$A,CSV!F:F,""),
_xlpm.MacVal,_xlfn.XLOOKUP($A6,Output_Mac!$A:$A,Output_Mac!E:E,""),
_xlpm.MyAuditVal,_xlfn.XLOOKUP($A6,My_Audit!$A:$A,My_Audit!E:E,""),
_xlfn.IFS(_xlpm.MyAuditVal&lt;&gt;"",_xlpm.MyAuditVal,_xlpm.MacVal&lt;&gt;"",_xlpm.MacVal,_xlpm.CSVVal&lt;&gt;"",_xlpm.CSVVal
)),"")</f>
        <v/>
      </c>
      <c r="G6" s="40" t="str" cm="1">
        <f t="array" ref="G6">IFERROR(_xlfn.LET(
_xlpm.CSVVal,_xlfn.XLOOKUP($A6,CSV!$A:$A,CSV!G:G,""),
_xlpm.MacVal,_xlfn.XLOOKUP($A6,Output_Mac!$A:$A,Output_Mac!F:F,""),
_xlpm.MyAuditVal,_xlfn.XLOOKUP($A6,My_Audit!$A:$A,My_Audit!F:F,""),
_xlfn.IFS(_xlpm.MyAuditVal&lt;&gt;"",_xlpm.MyAuditVal,_xlpm.MacVal&lt;&gt;"",_xlpm.MacVal,_xlpm.CSVVal&lt;&gt;"",PROPER(_xlpm.CSVVal)
)),"")</f>
        <v/>
      </c>
      <c r="H6" s="40" t="str" cm="1">
        <f t="array" ref="H6">IFERROR(_xlfn.LET(
_xlpm.CSVVal,_xlfn.XLOOKUP($A6,CSV!$A:$A,CSV!H:H,""),
_xlpm.MacVal,_xlfn.XLOOKUP($A6,Output_Mac!$A:$A,Output_Mac!H:H,""),
_xlpm.MyAuditVal,_xlfn.XLOOKUP($A6,My_Audit!$A:$A,My_Audit!G:G,""),
_xlfn.IFS(_xlpm.MyAuditVal&lt;&gt;"",_xlpm.MyAuditVal,_xlpm.MacVal&lt;&gt;"",_xlpm.MacVal,_xlpm.CSVVal&lt;&gt;"",_xlpm.CSVVal
)),"")</f>
        <v/>
      </c>
      <c r="I6" s="40" t="str">
        <f>_xlfn.XLOOKUP(A6,Output_Mac!A:A,Output_Mac!I:I,"")</f>
        <v/>
      </c>
      <c r="J6" s="40" t="str" cm="1">
        <f t="array" ref="J6">IFERROR(_xlfn.LET(
_xlpm.CSVVal,_xlfn.XLOOKUP($A6,CSV!$A:$A,CSV!I:I,""),
_xlpm.MacVal,_xlfn.XLOOKUP($A6,Output_Mac!$A:$A,Output_Mac!J:J,""),
_xlpm.MyAuditVal,_xlfn.XLOOKUP($A6,My_Audit!$A:$A,My_Audit!I:I,""),
_xlfn.IFS(_xlpm.MyAuditVal&lt;&gt;"",UPPER(_xlpm.MyAuditVal),_xlpm.MacVal&lt;&gt;"",_xlpm.MacVal,_xlpm.CSVVal&lt;&gt;"",_xlpm.CSVVal
)),"")</f>
        <v/>
      </c>
      <c r="K6" s="40" t="str" cm="1">
        <f t="array" ref="K6">IFERROR(_xlfn.LET(
_xlpm.CSVVal,_xlfn.XLOOKUP($A6,CSV!$A:$A,CSV!K:K,""),
_xlpm.MacVal,_xlfn.XLOOKUP($A6,Output_Mac!$A:$A,Output_Mac!K:K,""),
_xlpm.MyAuditVal,_xlfn.XLOOKUP($A6,My_Audit!$A:$A,My_Audit!J:J,""),
_xlfn.IFS(_xlpm.MyAuditVal&lt;&gt;"",UPPER(_xlpm.MyAuditVal),_xlpm.MacVal&lt;&gt;"",_xlpm.MacVal,_xlpm.CSVVal&lt;&gt;"",_xlpm.CSVVal
)),"")</f>
        <v/>
      </c>
      <c r="L6" s="40" t="str" cm="1">
        <f t="array" ref="L6">IFERROR(_xlfn.LET(
_xlpm.CSVVal,_xlfn.XLOOKUP($A6,CSV!$A:$A,CSV!P:P,""),
_xlpm.MacVal,_xlfn.XLOOKUP($A6,Output_Mac!$A:$A,Output_Mac!L:L,""),
_xlpm.MyAuditVal,_xlfn.XLOOKUP($A6,My_Audit!$A:$A,My_Audit!K:K,""),
_xlfn.IFS(_xlpm.MyAuditVal&lt;&gt;"",UPPER(_xlpm.MyAuditVal),_xlpm.MacVal&lt;&gt;"",_xlpm.MacVal,_xlpm.CSVVal&lt;&gt;"",_xlpm.CSVVal
)),"")</f>
        <v/>
      </c>
      <c r="M6" s="40" t="str" cm="1">
        <f t="array" ref="M6">IFERROR(_xlfn.LET(
_xlpm.CSVVal,_xlfn.XLOOKUP($A6,CSV!$A:$A,CSV!Q:Q,""),
_xlpm.MacVal,_xlfn.XLOOKUP($A6,Output_Mac!$A:$A,Output_Mac!M:M,""),
_xlpm.MyAuditVal,_xlfn.XLOOKUP($A6,My_Audit!$A:$A,My_Audit!L:L,""),
_xlfn.IFS(_xlpm.MyAuditVal&lt;&gt;"",UPPER(_xlpm.MyAuditVal),_xlpm.MacVal&lt;&gt;"",_xlpm.MacVal,_xlpm.CSVVal&lt;&gt;"",_xlpm.CSVVal
)),"")</f>
        <v/>
      </c>
      <c r="N6" s="40"/>
      <c r="O6" s="40" t="str">
        <f>_xlfn.LET(
    _xlpm.CSVVal, _xlfn.XLOOKUP($A6, CSV!$A:$A, CSV!AA:AA, ""),
    _xlpm.MacVal, _xlfn.XLOOKUP($A6, Output_Mac!$A:$A, Output_Mac!S:S, ""),
    _xlpm.MyAuditVal, _xlfn.XLOOKUP($A6, My_Audit!$A:$A, My_Audit!P:P, ""),
    _xlfn.TEXTJOIN(", ", TRUE, _xlpm.MyAuditVal, _xlpm.MacVal, _xlpm.CSVVal)
)</f>
        <v/>
      </c>
      <c r="P6" s="40" t="str" cm="1">
        <f t="array" ref="P6">IFERROR(_xlfn.LET(
_xlpm.CSVVal,_xlfn.XLOOKUP($A6,CSV!$A:$A,CSV!AB:AB,""),
_xlpm.MacVal,_xlfn.XLOOKUP($A6,Output_Mac!$A:$A,Output_Mac!T:T,""),
_xlpm.MyAuditVal,_xlfn.XLOOKUP($A6,My_Audit!$A:$A,My_Audit!Q:Q,""),
_xlfn.IFS(_xlpm.MyAuditVal&lt;&gt;"",UPPER(_xlpm.MyAuditVal),_xlpm.MacVal&lt;&gt;"",_xlpm.MacVal,_xlpm.CSVVal&lt;&gt;"",_xlpm.CSVVal
)),"No")</f>
        <v>No</v>
      </c>
      <c r="Q6" s="40" t="str" cm="1">
        <f t="array" ref="Q6">IFERROR(_xlfn.LET(
_xlpm.CSVVal,_xlfn.XLOOKUP($A6,CSV!$A:$A,CSV!AC:AC,""),
_xlpm.MacVal,_xlfn.XLOOKUP($A6,Output_Mac!$A:$A,Output_Mac!U:U,""),
_xlpm.MyAuditVal,_xlfn.XLOOKUP($A6,My_Audit!$A:$A,My_Audit!R:R,""),
_xlfn.IFS(_xlpm.MyAuditVal&lt;&gt;"",UPPER(_xlpm.MyAuditVal),_xlpm.MacVal&lt;&gt;"",_xlpm.MacVal,_xlpm.CSVVal&lt;&gt;"",_xlpm.CSVVal
)),"")</f>
        <v/>
      </c>
      <c r="R6" s="40"/>
      <c r="S6" s="40"/>
      <c r="T6" s="40"/>
      <c r="U6" s="40"/>
      <c r="V6" s="40"/>
      <c r="W6" s="40"/>
      <c r="X6" s="41" t="str">
        <f>_xlfn.LET(
    _xlpm.MacVal, _xlfn.XLOOKUP($A6, Output_Mac!$A:$A, Output_Mac!AB:AB, ""),
    _xlpm.MyAuditVal, _xlfn.XLOOKUP($A6, My_Audit!$A:$A, My_Audit!N:N, ""),
    _xlfn.TEXTJOIN(", ", TRUE, _xlpm.MyAuditVal, _xlpm.MacVal)
)</f>
        <v/>
      </c>
    </row>
    <row r="7" spans="1:24">
      <c r="A7" s="40" t="str">
        <f>_xlfn.TEXTJOIN("",TRUE,Input!$B$2,"0",ROW(My_Audit!A6))</f>
        <v>X06</v>
      </c>
      <c r="B7" s="40" t="str">
        <f>_xlfn.TEXTJOIN("-",TRUE,"ITD",Input!$A$2,A7)</f>
        <v>ITD-X06</v>
      </c>
      <c r="C7" s="40" t="str" cm="1">
        <f t="array" ref="C7">IFERROR(_xlfn.LET(
_xlpm.CSVVal,_xlfn.XLOOKUP($A7,CSV!$A:$A,CSV!B:B,""),
_xlpm.MacVal,_xlfn.XLOOKUP($A7,Output_Mac!$A:$A,Output_Mac!B:B,""),
_xlpm.MyAuditVal,_xlfn.XLOOKUP($A7,My_Audit!$A:$A,My_Audit!B:B,""),
_xlfn.IFS(_xlpm.MyAuditVal&lt;&gt;"",UPPER(_xlpm.MyAuditVal),_xlpm.MacVal&lt;&gt;"",_xlpm.MacVal,_xlpm.CSVVal&lt;&gt;"",_xlpm.CSVVal
)),"")</f>
        <v/>
      </c>
      <c r="D7" s="40" t="str" cm="1">
        <f t="array" ref="D7">IFERROR(_xlfn.LET(
_xlpm.CSVVal,_xlfn.XLOOKUP($A7,CSV!$A:$A,CSV!D:D,""),
_xlpm.MacVal,_xlfn.XLOOKUP($A7,Output_Mac!$A:$A,Output_Mac!C:C,""),
_xlpm.MyAuditVal,_xlfn.XLOOKUP($A7,My_Audit!$A:$A,My_Audit!C:C,""),
_xlfn.IFS(_xlpm.MyAuditVal&lt;&gt;"",_xlpm.MyAuditVal,_xlpm.MacVal&lt;&gt;"",_xlpm.MacVal,_xlpm.CSVVal&lt;&gt;"",_xlpm.CSVVal
)),"")</f>
        <v/>
      </c>
      <c r="E7" s="40">
        <f>_xlfn.XLOOKUP(A7,My_Audit!A:A,My_Audit!D:D,"")</f>
        <v>0</v>
      </c>
      <c r="F7" s="40" t="str" cm="1">
        <f t="array" ref="F7">IFERROR(_xlfn.LET(
_xlpm.CSVVal,_xlfn.XLOOKUP($A7,CSV!$A:$A,CSV!F:F,""),
_xlpm.MacVal,_xlfn.XLOOKUP($A7,Output_Mac!$A:$A,Output_Mac!E:E,""),
_xlpm.MyAuditVal,_xlfn.XLOOKUP($A7,My_Audit!$A:$A,My_Audit!E:E,""),
_xlfn.IFS(_xlpm.MyAuditVal&lt;&gt;"",_xlpm.MyAuditVal,_xlpm.MacVal&lt;&gt;"",_xlpm.MacVal,_xlpm.CSVVal&lt;&gt;"",_xlpm.CSVVal
)),"")</f>
        <v/>
      </c>
      <c r="G7" s="40" t="str" cm="1">
        <f t="array" ref="G7">IFERROR(_xlfn.LET(
_xlpm.CSVVal,_xlfn.XLOOKUP($A7,CSV!$A:$A,CSV!G:G,""),
_xlpm.MacVal,_xlfn.XLOOKUP($A7,Output_Mac!$A:$A,Output_Mac!F:F,""),
_xlpm.MyAuditVal,_xlfn.XLOOKUP($A7,My_Audit!$A:$A,My_Audit!F:F,""),
_xlfn.IFS(_xlpm.MyAuditVal&lt;&gt;"",_xlpm.MyAuditVal,_xlpm.MacVal&lt;&gt;"",_xlpm.MacVal,_xlpm.CSVVal&lt;&gt;"",PROPER(_xlpm.CSVVal)
)),"")</f>
        <v/>
      </c>
      <c r="H7" s="40" t="str" cm="1">
        <f t="array" ref="H7">IFERROR(_xlfn.LET(
_xlpm.CSVVal,_xlfn.XLOOKUP($A7,CSV!$A:$A,CSV!H:H,""),
_xlpm.MacVal,_xlfn.XLOOKUP($A7,Output_Mac!$A:$A,Output_Mac!H:H,""),
_xlpm.MyAuditVal,_xlfn.XLOOKUP($A7,My_Audit!$A:$A,My_Audit!G:G,""),
_xlfn.IFS(_xlpm.MyAuditVal&lt;&gt;"",_xlpm.MyAuditVal,_xlpm.MacVal&lt;&gt;"",_xlpm.MacVal,_xlpm.CSVVal&lt;&gt;"",_xlpm.CSVVal
)),"")</f>
        <v/>
      </c>
      <c r="I7" s="40" t="str">
        <f>_xlfn.XLOOKUP(A7,Output_Mac!A:A,Output_Mac!I:I,"")</f>
        <v/>
      </c>
      <c r="J7" s="40" t="str" cm="1">
        <f t="array" ref="J7">IFERROR(_xlfn.LET(
_xlpm.CSVVal,_xlfn.XLOOKUP($A7,CSV!$A:$A,CSV!I:I,""),
_xlpm.MacVal,_xlfn.XLOOKUP($A7,Output_Mac!$A:$A,Output_Mac!J:J,""),
_xlpm.MyAuditVal,_xlfn.XLOOKUP($A7,My_Audit!$A:$A,My_Audit!I:I,""),
_xlfn.IFS(_xlpm.MyAuditVal&lt;&gt;"",UPPER(_xlpm.MyAuditVal),_xlpm.MacVal&lt;&gt;"",_xlpm.MacVal,_xlpm.CSVVal&lt;&gt;"",_xlpm.CSVVal
)),"")</f>
        <v/>
      </c>
      <c r="K7" s="40" t="str" cm="1">
        <f t="array" ref="K7">IFERROR(_xlfn.LET(
_xlpm.CSVVal,_xlfn.XLOOKUP($A7,CSV!$A:$A,CSV!K:K,""),
_xlpm.MacVal,_xlfn.XLOOKUP($A7,Output_Mac!$A:$A,Output_Mac!K:K,""),
_xlpm.MyAuditVal,_xlfn.XLOOKUP($A7,My_Audit!$A:$A,My_Audit!J:J,""),
_xlfn.IFS(_xlpm.MyAuditVal&lt;&gt;"",UPPER(_xlpm.MyAuditVal),_xlpm.MacVal&lt;&gt;"",_xlpm.MacVal,_xlpm.CSVVal&lt;&gt;"",_xlpm.CSVVal
)),"")</f>
        <v/>
      </c>
      <c r="L7" s="40" t="str" cm="1">
        <f t="array" ref="L7">IFERROR(_xlfn.LET(
_xlpm.CSVVal,_xlfn.XLOOKUP($A7,CSV!$A:$A,CSV!P:P,""),
_xlpm.MacVal,_xlfn.XLOOKUP($A7,Output_Mac!$A:$A,Output_Mac!L:L,""),
_xlpm.MyAuditVal,_xlfn.XLOOKUP($A7,My_Audit!$A:$A,My_Audit!K:K,""),
_xlfn.IFS(_xlpm.MyAuditVal&lt;&gt;"",UPPER(_xlpm.MyAuditVal),_xlpm.MacVal&lt;&gt;"",_xlpm.MacVal,_xlpm.CSVVal&lt;&gt;"",_xlpm.CSVVal
)),"")</f>
        <v/>
      </c>
      <c r="M7" s="40" t="str" cm="1">
        <f t="array" ref="M7">IFERROR(_xlfn.LET(
_xlpm.CSVVal,_xlfn.XLOOKUP($A7,CSV!$A:$A,CSV!Q:Q,""),
_xlpm.MacVal,_xlfn.XLOOKUP($A7,Output_Mac!$A:$A,Output_Mac!M:M,""),
_xlpm.MyAuditVal,_xlfn.XLOOKUP($A7,My_Audit!$A:$A,My_Audit!L:L,""),
_xlfn.IFS(_xlpm.MyAuditVal&lt;&gt;"",UPPER(_xlpm.MyAuditVal),_xlpm.MacVal&lt;&gt;"",_xlpm.MacVal,_xlpm.CSVVal&lt;&gt;"",_xlpm.CSVVal
)),"")</f>
        <v/>
      </c>
      <c r="N7" s="40"/>
      <c r="O7" s="40" t="str">
        <f>_xlfn.LET(
    _xlpm.CSVVal, _xlfn.XLOOKUP($A7, CSV!$A:$A, CSV!AA:AA, ""),
    _xlpm.MacVal, _xlfn.XLOOKUP($A7, Output_Mac!$A:$A, Output_Mac!S:S, ""),
    _xlpm.MyAuditVal, _xlfn.XLOOKUP($A7, My_Audit!$A:$A, My_Audit!P:P, ""),
    _xlfn.TEXTJOIN(", ", TRUE, _xlpm.MyAuditVal, _xlpm.MacVal, _xlpm.CSVVal)
)</f>
        <v/>
      </c>
      <c r="P7" s="40" t="str" cm="1">
        <f t="array" ref="P7">IFERROR(_xlfn.LET(
_xlpm.CSVVal,_xlfn.XLOOKUP($A7,CSV!$A:$A,CSV!AB:AB,""),
_xlpm.MacVal,_xlfn.XLOOKUP($A7,Output_Mac!$A:$A,Output_Mac!T:T,""),
_xlpm.MyAuditVal,_xlfn.XLOOKUP($A7,My_Audit!$A:$A,My_Audit!Q:Q,""),
_xlfn.IFS(_xlpm.MyAuditVal&lt;&gt;"",UPPER(_xlpm.MyAuditVal),_xlpm.MacVal&lt;&gt;"",_xlpm.MacVal,_xlpm.CSVVal&lt;&gt;"",_xlpm.CSVVal
)),"No")</f>
        <v>No</v>
      </c>
      <c r="Q7" s="40" t="str" cm="1">
        <f t="array" ref="Q7">IFERROR(_xlfn.LET(
_xlpm.CSVVal,_xlfn.XLOOKUP($A7,CSV!$A:$A,CSV!AC:AC,""),
_xlpm.MacVal,_xlfn.XLOOKUP($A7,Output_Mac!$A:$A,Output_Mac!U:U,""),
_xlpm.MyAuditVal,_xlfn.XLOOKUP($A7,My_Audit!$A:$A,My_Audit!R:R,""),
_xlfn.IFS(_xlpm.MyAuditVal&lt;&gt;"",UPPER(_xlpm.MyAuditVal),_xlpm.MacVal&lt;&gt;"",_xlpm.MacVal,_xlpm.CSVVal&lt;&gt;"",_xlpm.CSVVal
)),"")</f>
        <v/>
      </c>
      <c r="R7" s="40"/>
      <c r="S7" s="40"/>
      <c r="T7" s="40"/>
      <c r="U7" s="40"/>
      <c r="V7" s="40"/>
      <c r="W7" s="40"/>
      <c r="X7" s="41" t="str">
        <f>_xlfn.LET(
    _xlpm.MacVal, _xlfn.XLOOKUP($A7, Output_Mac!$A:$A, Output_Mac!AB:AB, ""),
    _xlpm.MyAuditVal, _xlfn.XLOOKUP($A7, My_Audit!$A:$A, My_Audit!N:N, ""),
    _xlfn.TEXTJOIN(", ", TRUE, _xlpm.MyAuditVal, _xlpm.MacVal)
)</f>
        <v/>
      </c>
    </row>
    <row r="8" spans="1:24">
      <c r="A8" s="40" t="str">
        <f>_xlfn.TEXTJOIN("",TRUE,Input!$B$2,"0",ROW(My_Audit!A7))</f>
        <v>X07</v>
      </c>
      <c r="B8" s="40" t="str">
        <f>_xlfn.TEXTJOIN("-",TRUE,"ITD",Input!$A$2,A8)</f>
        <v>ITD-X07</v>
      </c>
      <c r="C8" s="40" t="str" cm="1">
        <f t="array" ref="C8">IFERROR(_xlfn.LET(
_xlpm.CSVVal,_xlfn.XLOOKUP($A8,CSV!$A:$A,CSV!B:B,""),
_xlpm.MacVal,_xlfn.XLOOKUP($A8,Output_Mac!$A:$A,Output_Mac!B:B,""),
_xlpm.MyAuditVal,_xlfn.XLOOKUP($A8,My_Audit!$A:$A,My_Audit!B:B,""),
_xlfn.IFS(_xlpm.MyAuditVal&lt;&gt;"",UPPER(_xlpm.MyAuditVal),_xlpm.MacVal&lt;&gt;"",_xlpm.MacVal,_xlpm.CSVVal&lt;&gt;"",_xlpm.CSVVal
)),"")</f>
        <v/>
      </c>
      <c r="D8" s="40" t="str" cm="1">
        <f t="array" ref="D8">IFERROR(_xlfn.LET(
_xlpm.CSVVal,_xlfn.XLOOKUP($A8,CSV!$A:$A,CSV!D:D,""),
_xlpm.MacVal,_xlfn.XLOOKUP($A8,Output_Mac!$A:$A,Output_Mac!C:C,""),
_xlpm.MyAuditVal,_xlfn.XLOOKUP($A8,My_Audit!$A:$A,My_Audit!C:C,""),
_xlfn.IFS(_xlpm.MyAuditVal&lt;&gt;"",_xlpm.MyAuditVal,_xlpm.MacVal&lt;&gt;"",_xlpm.MacVal,_xlpm.CSVVal&lt;&gt;"",_xlpm.CSVVal
)),"")</f>
        <v/>
      </c>
      <c r="E8" s="40">
        <f>_xlfn.XLOOKUP(A8,My_Audit!A:A,My_Audit!D:D,"")</f>
        <v>0</v>
      </c>
      <c r="F8" s="40" t="str" cm="1">
        <f t="array" ref="F8">IFERROR(_xlfn.LET(
_xlpm.CSVVal,_xlfn.XLOOKUP($A8,CSV!$A:$A,CSV!F:F,""),
_xlpm.MacVal,_xlfn.XLOOKUP($A8,Output_Mac!$A:$A,Output_Mac!E:E,""),
_xlpm.MyAuditVal,_xlfn.XLOOKUP($A8,My_Audit!$A:$A,My_Audit!E:E,""),
_xlfn.IFS(_xlpm.MyAuditVal&lt;&gt;"",_xlpm.MyAuditVal,_xlpm.MacVal&lt;&gt;"",_xlpm.MacVal,_xlpm.CSVVal&lt;&gt;"",_xlpm.CSVVal
)),"")</f>
        <v/>
      </c>
      <c r="G8" s="40" t="str" cm="1">
        <f t="array" ref="G8">IFERROR(_xlfn.LET(
_xlpm.CSVVal,_xlfn.XLOOKUP($A8,CSV!$A:$A,CSV!G:G,""),
_xlpm.MacVal,_xlfn.XLOOKUP($A8,Output_Mac!$A:$A,Output_Mac!F:F,""),
_xlpm.MyAuditVal,_xlfn.XLOOKUP($A8,My_Audit!$A:$A,My_Audit!F:F,""),
_xlfn.IFS(_xlpm.MyAuditVal&lt;&gt;"",_xlpm.MyAuditVal,_xlpm.MacVal&lt;&gt;"",_xlpm.MacVal,_xlpm.CSVVal&lt;&gt;"",PROPER(_xlpm.CSVVal)
)),"")</f>
        <v/>
      </c>
      <c r="H8" s="40" t="str" cm="1">
        <f t="array" ref="H8">IFERROR(_xlfn.LET(
_xlpm.CSVVal,_xlfn.XLOOKUP($A8,CSV!$A:$A,CSV!H:H,""),
_xlpm.MacVal,_xlfn.XLOOKUP($A8,Output_Mac!$A:$A,Output_Mac!H:H,""),
_xlpm.MyAuditVal,_xlfn.XLOOKUP($A8,My_Audit!$A:$A,My_Audit!G:G,""),
_xlfn.IFS(_xlpm.MyAuditVal&lt;&gt;"",_xlpm.MyAuditVal,_xlpm.MacVal&lt;&gt;"",_xlpm.MacVal,_xlpm.CSVVal&lt;&gt;"",_xlpm.CSVVal
)),"")</f>
        <v/>
      </c>
      <c r="I8" s="40" t="str">
        <f>_xlfn.XLOOKUP(A8,Output_Mac!A:A,Output_Mac!I:I,"")</f>
        <v/>
      </c>
      <c r="J8" s="40" t="str" cm="1">
        <f t="array" ref="J8">IFERROR(_xlfn.LET(
_xlpm.CSVVal,_xlfn.XLOOKUP($A8,CSV!$A:$A,CSV!I:I,""),
_xlpm.MacVal,_xlfn.XLOOKUP($A8,Output_Mac!$A:$A,Output_Mac!J:J,""),
_xlpm.MyAuditVal,_xlfn.XLOOKUP($A8,My_Audit!$A:$A,My_Audit!I:I,""),
_xlfn.IFS(_xlpm.MyAuditVal&lt;&gt;"",UPPER(_xlpm.MyAuditVal),_xlpm.MacVal&lt;&gt;"",_xlpm.MacVal,_xlpm.CSVVal&lt;&gt;"",_xlpm.CSVVal
)),"")</f>
        <v/>
      </c>
      <c r="K8" s="40" t="str" cm="1">
        <f t="array" ref="K8">IFERROR(_xlfn.LET(
_xlpm.CSVVal,_xlfn.XLOOKUP($A8,CSV!$A:$A,CSV!K:K,""),
_xlpm.MacVal,_xlfn.XLOOKUP($A8,Output_Mac!$A:$A,Output_Mac!K:K,""),
_xlpm.MyAuditVal,_xlfn.XLOOKUP($A8,My_Audit!$A:$A,My_Audit!J:J,""),
_xlfn.IFS(_xlpm.MyAuditVal&lt;&gt;"",UPPER(_xlpm.MyAuditVal),_xlpm.MacVal&lt;&gt;"",_xlpm.MacVal,_xlpm.CSVVal&lt;&gt;"",_xlpm.CSVVal
)),"")</f>
        <v/>
      </c>
      <c r="L8" s="40" t="str" cm="1">
        <f t="array" ref="L8">IFERROR(_xlfn.LET(
_xlpm.CSVVal,_xlfn.XLOOKUP($A8,CSV!$A:$A,CSV!P:P,""),
_xlpm.MacVal,_xlfn.XLOOKUP($A8,Output_Mac!$A:$A,Output_Mac!L:L,""),
_xlpm.MyAuditVal,_xlfn.XLOOKUP($A8,My_Audit!$A:$A,My_Audit!K:K,""),
_xlfn.IFS(_xlpm.MyAuditVal&lt;&gt;"",UPPER(_xlpm.MyAuditVal),_xlpm.MacVal&lt;&gt;"",_xlpm.MacVal,_xlpm.CSVVal&lt;&gt;"",_xlpm.CSVVal
)),"")</f>
        <v/>
      </c>
      <c r="M8" s="40" t="str" cm="1">
        <f t="array" ref="M8">IFERROR(_xlfn.LET(
_xlpm.CSVVal,_xlfn.XLOOKUP($A8,CSV!$A:$A,CSV!Q:Q,""),
_xlpm.MacVal,_xlfn.XLOOKUP($A8,Output_Mac!$A:$A,Output_Mac!M:M,""),
_xlpm.MyAuditVal,_xlfn.XLOOKUP($A8,My_Audit!$A:$A,My_Audit!L:L,""),
_xlfn.IFS(_xlpm.MyAuditVal&lt;&gt;"",UPPER(_xlpm.MyAuditVal),_xlpm.MacVal&lt;&gt;"",_xlpm.MacVal,_xlpm.CSVVal&lt;&gt;"",_xlpm.CSVVal
)),"")</f>
        <v/>
      </c>
      <c r="N8" s="40"/>
      <c r="O8" s="40" t="str">
        <f>_xlfn.LET(
    _xlpm.CSVVal, _xlfn.XLOOKUP($A8, CSV!$A:$A, CSV!AA:AA, ""),
    _xlpm.MacVal, _xlfn.XLOOKUP($A8, Output_Mac!$A:$A, Output_Mac!S:S, ""),
    _xlpm.MyAuditVal, _xlfn.XLOOKUP($A8, My_Audit!$A:$A, My_Audit!P:P, ""),
    _xlfn.TEXTJOIN(", ", TRUE, _xlpm.MyAuditVal, _xlpm.MacVal, _xlpm.CSVVal)
)</f>
        <v/>
      </c>
      <c r="P8" s="40" t="str" cm="1">
        <f t="array" ref="P8">IFERROR(_xlfn.LET(
_xlpm.CSVVal,_xlfn.XLOOKUP($A8,CSV!$A:$A,CSV!AB:AB,""),
_xlpm.MacVal,_xlfn.XLOOKUP($A8,Output_Mac!$A:$A,Output_Mac!T:T,""),
_xlpm.MyAuditVal,_xlfn.XLOOKUP($A8,My_Audit!$A:$A,My_Audit!Q:Q,""),
_xlfn.IFS(_xlpm.MyAuditVal&lt;&gt;"",UPPER(_xlpm.MyAuditVal),_xlpm.MacVal&lt;&gt;"",_xlpm.MacVal,_xlpm.CSVVal&lt;&gt;"",_xlpm.CSVVal
)),"No")</f>
        <v>No</v>
      </c>
      <c r="Q8" s="40" t="str" cm="1">
        <f t="array" ref="Q8">IFERROR(_xlfn.LET(
_xlpm.CSVVal,_xlfn.XLOOKUP($A8,CSV!$A:$A,CSV!AC:AC,""),
_xlpm.MacVal,_xlfn.XLOOKUP($A8,Output_Mac!$A:$A,Output_Mac!U:U,""),
_xlpm.MyAuditVal,_xlfn.XLOOKUP($A8,My_Audit!$A:$A,My_Audit!R:R,""),
_xlfn.IFS(_xlpm.MyAuditVal&lt;&gt;"",UPPER(_xlpm.MyAuditVal),_xlpm.MacVal&lt;&gt;"",_xlpm.MacVal,_xlpm.CSVVal&lt;&gt;"",_xlpm.CSVVal
)),"")</f>
        <v/>
      </c>
      <c r="R8" s="40"/>
      <c r="S8" s="40"/>
      <c r="T8" s="40"/>
      <c r="U8" s="40"/>
      <c r="V8" s="40"/>
      <c r="W8" s="40"/>
      <c r="X8" s="41" t="str">
        <f>_xlfn.LET(
    _xlpm.MacVal, _xlfn.XLOOKUP($A8, Output_Mac!$A:$A, Output_Mac!AB:AB, ""),
    _xlpm.MyAuditVal, _xlfn.XLOOKUP($A8, My_Audit!$A:$A, My_Audit!N:N, ""),
    _xlfn.TEXTJOIN(", ", TRUE, _xlpm.MyAuditVal, _xlpm.MacVal)
)</f>
        <v/>
      </c>
    </row>
    <row r="9" spans="1:24">
      <c r="A9" s="40" t="str">
        <f>_xlfn.TEXTJOIN("",TRUE,Input!$B$2,"0",ROW(My_Audit!A8))</f>
        <v>X08</v>
      </c>
      <c r="B9" s="40" t="str">
        <f>_xlfn.TEXTJOIN("-",TRUE,"ITD",Input!$A$2,A9)</f>
        <v>ITD-X08</v>
      </c>
      <c r="C9" s="40" t="str" cm="1">
        <f t="array" ref="C9">IFERROR(_xlfn.LET(
_xlpm.CSVVal,_xlfn.XLOOKUP($A9,CSV!$A:$A,CSV!B:B,""),
_xlpm.MacVal,_xlfn.XLOOKUP($A9,Output_Mac!$A:$A,Output_Mac!B:B,""),
_xlpm.MyAuditVal,_xlfn.XLOOKUP($A9,My_Audit!$A:$A,My_Audit!B:B,""),
_xlfn.IFS(_xlpm.MyAuditVal&lt;&gt;"",UPPER(_xlpm.MyAuditVal),_xlpm.MacVal&lt;&gt;"",_xlpm.MacVal,_xlpm.CSVVal&lt;&gt;"",_xlpm.CSVVal
)),"")</f>
        <v/>
      </c>
      <c r="D9" s="40" t="str" cm="1">
        <f t="array" ref="D9">IFERROR(_xlfn.LET(
_xlpm.CSVVal,_xlfn.XLOOKUP($A9,CSV!$A:$A,CSV!D:D,""),
_xlpm.MacVal,_xlfn.XLOOKUP($A9,Output_Mac!$A:$A,Output_Mac!C:C,""),
_xlpm.MyAuditVal,_xlfn.XLOOKUP($A9,My_Audit!$A:$A,My_Audit!C:C,""),
_xlfn.IFS(_xlpm.MyAuditVal&lt;&gt;"",_xlpm.MyAuditVal,_xlpm.MacVal&lt;&gt;"",_xlpm.MacVal,_xlpm.CSVVal&lt;&gt;"",_xlpm.CSVVal
)),"")</f>
        <v/>
      </c>
      <c r="E9" s="40">
        <f>_xlfn.XLOOKUP(A9,My_Audit!A:A,My_Audit!D:D,"")</f>
        <v>0</v>
      </c>
      <c r="F9" s="40" t="str" cm="1">
        <f t="array" ref="F9">IFERROR(_xlfn.LET(
_xlpm.CSVVal,_xlfn.XLOOKUP($A9,CSV!$A:$A,CSV!F:F,""),
_xlpm.MacVal,_xlfn.XLOOKUP($A9,Output_Mac!$A:$A,Output_Mac!E:E,""),
_xlpm.MyAuditVal,_xlfn.XLOOKUP($A9,My_Audit!$A:$A,My_Audit!E:E,""),
_xlfn.IFS(_xlpm.MyAuditVal&lt;&gt;"",_xlpm.MyAuditVal,_xlpm.MacVal&lt;&gt;"",_xlpm.MacVal,_xlpm.CSVVal&lt;&gt;"",_xlpm.CSVVal
)),"")</f>
        <v/>
      </c>
      <c r="G9" s="40" t="str" cm="1">
        <f t="array" ref="G9">IFERROR(_xlfn.LET(
_xlpm.CSVVal,_xlfn.XLOOKUP($A9,CSV!$A:$A,CSV!G:G,""),
_xlpm.MacVal,_xlfn.XLOOKUP($A9,Output_Mac!$A:$A,Output_Mac!F:F,""),
_xlpm.MyAuditVal,_xlfn.XLOOKUP($A9,My_Audit!$A:$A,My_Audit!F:F,""),
_xlfn.IFS(_xlpm.MyAuditVal&lt;&gt;"",_xlpm.MyAuditVal,_xlpm.MacVal&lt;&gt;"",_xlpm.MacVal,_xlpm.CSVVal&lt;&gt;"",PROPER(_xlpm.CSVVal)
)),"")</f>
        <v/>
      </c>
      <c r="H9" s="40" t="str" cm="1">
        <f t="array" ref="H9">IFERROR(_xlfn.LET(
_xlpm.CSVVal,_xlfn.XLOOKUP($A9,CSV!$A:$A,CSV!H:H,""),
_xlpm.MacVal,_xlfn.XLOOKUP($A9,Output_Mac!$A:$A,Output_Mac!H:H,""),
_xlpm.MyAuditVal,_xlfn.XLOOKUP($A9,My_Audit!$A:$A,My_Audit!G:G,""),
_xlfn.IFS(_xlpm.MyAuditVal&lt;&gt;"",_xlpm.MyAuditVal,_xlpm.MacVal&lt;&gt;"",_xlpm.MacVal,_xlpm.CSVVal&lt;&gt;"",_xlpm.CSVVal
)),"")</f>
        <v/>
      </c>
      <c r="I9" s="40" t="str">
        <f>_xlfn.XLOOKUP(A9,Output_Mac!A:A,Output_Mac!I:I,"")</f>
        <v/>
      </c>
      <c r="J9" s="40" t="str" cm="1">
        <f t="array" ref="J9">IFERROR(_xlfn.LET(
_xlpm.CSVVal,_xlfn.XLOOKUP($A9,CSV!$A:$A,CSV!I:I,""),
_xlpm.MacVal,_xlfn.XLOOKUP($A9,Output_Mac!$A:$A,Output_Mac!J:J,""),
_xlpm.MyAuditVal,_xlfn.XLOOKUP($A9,My_Audit!$A:$A,My_Audit!I:I,""),
_xlfn.IFS(_xlpm.MyAuditVal&lt;&gt;"",UPPER(_xlpm.MyAuditVal),_xlpm.MacVal&lt;&gt;"",_xlpm.MacVal,_xlpm.CSVVal&lt;&gt;"",_xlpm.CSVVal
)),"")</f>
        <v/>
      </c>
      <c r="K9" s="40" t="str" cm="1">
        <f t="array" ref="K9">IFERROR(_xlfn.LET(
_xlpm.CSVVal,_xlfn.XLOOKUP($A9,CSV!$A:$A,CSV!K:K,""),
_xlpm.MacVal,_xlfn.XLOOKUP($A9,Output_Mac!$A:$A,Output_Mac!K:K,""),
_xlpm.MyAuditVal,_xlfn.XLOOKUP($A9,My_Audit!$A:$A,My_Audit!J:J,""),
_xlfn.IFS(_xlpm.MyAuditVal&lt;&gt;"",UPPER(_xlpm.MyAuditVal),_xlpm.MacVal&lt;&gt;"",_xlpm.MacVal,_xlpm.CSVVal&lt;&gt;"",_xlpm.CSVVal
)),"")</f>
        <v/>
      </c>
      <c r="L9" s="40" t="str" cm="1">
        <f t="array" ref="L9">IFERROR(_xlfn.LET(
_xlpm.CSVVal,_xlfn.XLOOKUP($A9,CSV!$A:$A,CSV!P:P,""),
_xlpm.MacVal,_xlfn.XLOOKUP($A9,Output_Mac!$A:$A,Output_Mac!L:L,""),
_xlpm.MyAuditVal,_xlfn.XLOOKUP($A9,My_Audit!$A:$A,My_Audit!K:K,""),
_xlfn.IFS(_xlpm.MyAuditVal&lt;&gt;"",UPPER(_xlpm.MyAuditVal),_xlpm.MacVal&lt;&gt;"",_xlpm.MacVal,_xlpm.CSVVal&lt;&gt;"",_xlpm.CSVVal
)),"")</f>
        <v/>
      </c>
      <c r="M9" s="40" t="str" cm="1">
        <f t="array" ref="M9">IFERROR(_xlfn.LET(
_xlpm.CSVVal,_xlfn.XLOOKUP($A9,CSV!$A:$A,CSV!Q:Q,""),
_xlpm.MacVal,_xlfn.XLOOKUP($A9,Output_Mac!$A:$A,Output_Mac!M:M,""),
_xlpm.MyAuditVal,_xlfn.XLOOKUP($A9,My_Audit!$A:$A,My_Audit!L:L,""),
_xlfn.IFS(_xlpm.MyAuditVal&lt;&gt;"",UPPER(_xlpm.MyAuditVal),_xlpm.MacVal&lt;&gt;"",_xlpm.MacVal,_xlpm.CSVVal&lt;&gt;"",_xlpm.CSVVal
)),"")</f>
        <v/>
      </c>
      <c r="N9" s="40"/>
      <c r="O9" s="40" t="str">
        <f>_xlfn.LET(
    _xlpm.CSVVal, _xlfn.XLOOKUP($A9, CSV!$A:$A, CSV!AA:AA, ""),
    _xlpm.MacVal, _xlfn.XLOOKUP($A9, Output_Mac!$A:$A, Output_Mac!S:S, ""),
    _xlpm.MyAuditVal, _xlfn.XLOOKUP($A9, My_Audit!$A:$A, My_Audit!P:P, ""),
    _xlfn.TEXTJOIN(", ", TRUE, _xlpm.MyAuditVal, _xlpm.MacVal, _xlpm.CSVVal)
)</f>
        <v/>
      </c>
      <c r="P9" s="40" t="str" cm="1">
        <f t="array" ref="P9">IFERROR(_xlfn.LET(
_xlpm.CSVVal,_xlfn.XLOOKUP($A9,CSV!$A:$A,CSV!AB:AB,""),
_xlpm.MacVal,_xlfn.XLOOKUP($A9,Output_Mac!$A:$A,Output_Mac!T:T,""),
_xlpm.MyAuditVal,_xlfn.XLOOKUP($A9,My_Audit!$A:$A,My_Audit!Q:Q,""),
_xlfn.IFS(_xlpm.MyAuditVal&lt;&gt;"",UPPER(_xlpm.MyAuditVal),_xlpm.MacVal&lt;&gt;"",_xlpm.MacVal,_xlpm.CSVVal&lt;&gt;"",_xlpm.CSVVal
)),"No")</f>
        <v>No</v>
      </c>
      <c r="Q9" s="40" t="str" cm="1">
        <f t="array" ref="Q9">IFERROR(_xlfn.LET(
_xlpm.CSVVal,_xlfn.XLOOKUP($A9,CSV!$A:$A,CSV!AC:AC,""),
_xlpm.MacVal,_xlfn.XLOOKUP($A9,Output_Mac!$A:$A,Output_Mac!U:U,""),
_xlpm.MyAuditVal,_xlfn.XLOOKUP($A9,My_Audit!$A:$A,My_Audit!R:R,""),
_xlfn.IFS(_xlpm.MyAuditVal&lt;&gt;"",UPPER(_xlpm.MyAuditVal),_xlpm.MacVal&lt;&gt;"",_xlpm.MacVal,_xlpm.CSVVal&lt;&gt;"",_xlpm.CSVVal
)),"")</f>
        <v/>
      </c>
      <c r="R9" s="40"/>
      <c r="S9" s="40"/>
      <c r="T9" s="40"/>
      <c r="U9" s="40"/>
      <c r="V9" s="40"/>
      <c r="W9" s="40"/>
      <c r="X9" s="41" t="str">
        <f>_xlfn.LET(
    _xlpm.MacVal, _xlfn.XLOOKUP($A9, Output_Mac!$A:$A, Output_Mac!AB:AB, ""),
    _xlpm.MyAuditVal, _xlfn.XLOOKUP($A9, My_Audit!$A:$A, My_Audit!N:N, ""),
    _xlfn.TEXTJOIN(", ", TRUE, _xlpm.MyAuditVal, _xlpm.MacVal)
)</f>
        <v/>
      </c>
    </row>
    <row r="10" spans="1:24">
      <c r="A10" s="40" t="str">
        <f>_xlfn.TEXTJOIN("",TRUE,Input!$B$2,"0",ROW(My_Audit!A9))</f>
        <v>X09</v>
      </c>
      <c r="B10" s="40" t="str">
        <f>_xlfn.TEXTJOIN("-",TRUE,"ITD",Input!$A$2,A10)</f>
        <v>ITD-X09</v>
      </c>
      <c r="C10" s="40" t="str" cm="1">
        <f t="array" ref="C10">IFERROR(_xlfn.LET(
_xlpm.CSVVal,_xlfn.XLOOKUP($A10,CSV!$A:$A,CSV!B:B,""),
_xlpm.MacVal,_xlfn.XLOOKUP($A10,Output_Mac!$A:$A,Output_Mac!B:B,""),
_xlpm.MyAuditVal,_xlfn.XLOOKUP($A10,My_Audit!$A:$A,My_Audit!B:B,""),
_xlfn.IFS(_xlpm.MyAuditVal&lt;&gt;"",UPPER(_xlpm.MyAuditVal),_xlpm.MacVal&lt;&gt;"",_xlpm.MacVal,_xlpm.CSVVal&lt;&gt;"",_xlpm.CSVVal
)),"")</f>
        <v/>
      </c>
      <c r="D10" s="40" t="str" cm="1">
        <f t="array" ref="D10">IFERROR(_xlfn.LET(
_xlpm.CSVVal,_xlfn.XLOOKUP($A10,CSV!$A:$A,CSV!D:D,""),
_xlpm.MacVal,_xlfn.XLOOKUP($A10,Output_Mac!$A:$A,Output_Mac!C:C,""),
_xlpm.MyAuditVal,_xlfn.XLOOKUP($A10,My_Audit!$A:$A,My_Audit!C:C,""),
_xlfn.IFS(_xlpm.MyAuditVal&lt;&gt;"",_xlpm.MyAuditVal,_xlpm.MacVal&lt;&gt;"",_xlpm.MacVal,_xlpm.CSVVal&lt;&gt;"",_xlpm.CSVVal
)),"")</f>
        <v/>
      </c>
      <c r="E10" s="40">
        <f>_xlfn.XLOOKUP(A10,My_Audit!A:A,My_Audit!D:D,"")</f>
        <v>0</v>
      </c>
      <c r="F10" s="40" t="str" cm="1">
        <f t="array" ref="F10">IFERROR(_xlfn.LET(
_xlpm.CSVVal,_xlfn.XLOOKUP($A10,CSV!$A:$A,CSV!F:F,""),
_xlpm.MacVal,_xlfn.XLOOKUP($A10,Output_Mac!$A:$A,Output_Mac!E:E,""),
_xlpm.MyAuditVal,_xlfn.XLOOKUP($A10,My_Audit!$A:$A,My_Audit!E:E,""),
_xlfn.IFS(_xlpm.MyAuditVal&lt;&gt;"",_xlpm.MyAuditVal,_xlpm.MacVal&lt;&gt;"",_xlpm.MacVal,_xlpm.CSVVal&lt;&gt;"",_xlpm.CSVVal
)),"")</f>
        <v/>
      </c>
      <c r="G10" s="40" t="str" cm="1">
        <f t="array" ref="G10">IFERROR(_xlfn.LET(
_xlpm.CSVVal,_xlfn.XLOOKUP($A10,CSV!$A:$A,CSV!G:G,""),
_xlpm.MacVal,_xlfn.XLOOKUP($A10,Output_Mac!$A:$A,Output_Mac!F:F,""),
_xlpm.MyAuditVal,_xlfn.XLOOKUP($A10,My_Audit!$A:$A,My_Audit!F:F,""),
_xlfn.IFS(_xlpm.MyAuditVal&lt;&gt;"",_xlpm.MyAuditVal,_xlpm.MacVal&lt;&gt;"",_xlpm.MacVal,_xlpm.CSVVal&lt;&gt;"",PROPER(_xlpm.CSVVal)
)),"")</f>
        <v/>
      </c>
      <c r="H10" s="40" t="str" cm="1">
        <f t="array" ref="H10">IFERROR(_xlfn.LET(
_xlpm.CSVVal,_xlfn.XLOOKUP($A10,CSV!$A:$A,CSV!H:H,""),
_xlpm.MacVal,_xlfn.XLOOKUP($A10,Output_Mac!$A:$A,Output_Mac!H:H,""),
_xlpm.MyAuditVal,_xlfn.XLOOKUP($A10,My_Audit!$A:$A,My_Audit!G:G,""),
_xlfn.IFS(_xlpm.MyAuditVal&lt;&gt;"",_xlpm.MyAuditVal,_xlpm.MacVal&lt;&gt;"",_xlpm.MacVal,_xlpm.CSVVal&lt;&gt;"",_xlpm.CSVVal
)),"")</f>
        <v/>
      </c>
      <c r="I10" s="40" t="str">
        <f>_xlfn.XLOOKUP(A10,Output_Mac!A:A,Output_Mac!I:I,"")</f>
        <v/>
      </c>
      <c r="J10" s="40" t="str" cm="1">
        <f t="array" ref="J10">IFERROR(_xlfn.LET(
_xlpm.CSVVal,_xlfn.XLOOKUP($A10,CSV!$A:$A,CSV!I:I,""),
_xlpm.MacVal,_xlfn.XLOOKUP($A10,Output_Mac!$A:$A,Output_Mac!J:J,""),
_xlpm.MyAuditVal,_xlfn.XLOOKUP($A10,My_Audit!$A:$A,My_Audit!I:I,""),
_xlfn.IFS(_xlpm.MyAuditVal&lt;&gt;"",UPPER(_xlpm.MyAuditVal),_xlpm.MacVal&lt;&gt;"",_xlpm.MacVal,_xlpm.CSVVal&lt;&gt;"",_xlpm.CSVVal
)),"")</f>
        <v/>
      </c>
      <c r="K10" s="40" t="str" cm="1">
        <f t="array" ref="K10">IFERROR(_xlfn.LET(
_xlpm.CSVVal,_xlfn.XLOOKUP($A10,CSV!$A:$A,CSV!K:K,""),
_xlpm.MacVal,_xlfn.XLOOKUP($A10,Output_Mac!$A:$A,Output_Mac!K:K,""),
_xlpm.MyAuditVal,_xlfn.XLOOKUP($A10,My_Audit!$A:$A,My_Audit!J:J,""),
_xlfn.IFS(_xlpm.MyAuditVal&lt;&gt;"",UPPER(_xlpm.MyAuditVal),_xlpm.MacVal&lt;&gt;"",_xlpm.MacVal,_xlpm.CSVVal&lt;&gt;"",_xlpm.CSVVal
)),"")</f>
        <v/>
      </c>
      <c r="L10" s="40" t="str" cm="1">
        <f t="array" ref="L10">IFERROR(_xlfn.LET(
_xlpm.CSVVal,_xlfn.XLOOKUP($A10,CSV!$A:$A,CSV!P:P,""),
_xlpm.MacVal,_xlfn.XLOOKUP($A10,Output_Mac!$A:$A,Output_Mac!L:L,""),
_xlpm.MyAuditVal,_xlfn.XLOOKUP($A10,My_Audit!$A:$A,My_Audit!K:K,""),
_xlfn.IFS(_xlpm.MyAuditVal&lt;&gt;"",UPPER(_xlpm.MyAuditVal),_xlpm.MacVal&lt;&gt;"",_xlpm.MacVal,_xlpm.CSVVal&lt;&gt;"",_xlpm.CSVVal
)),"")</f>
        <v/>
      </c>
      <c r="M10" s="40" t="str" cm="1">
        <f t="array" ref="M10">IFERROR(_xlfn.LET(
_xlpm.CSVVal,_xlfn.XLOOKUP($A10,CSV!$A:$A,CSV!Q:Q,""),
_xlpm.MacVal,_xlfn.XLOOKUP($A10,Output_Mac!$A:$A,Output_Mac!M:M,""),
_xlpm.MyAuditVal,_xlfn.XLOOKUP($A10,My_Audit!$A:$A,My_Audit!L:L,""),
_xlfn.IFS(_xlpm.MyAuditVal&lt;&gt;"",UPPER(_xlpm.MyAuditVal),_xlpm.MacVal&lt;&gt;"",_xlpm.MacVal,_xlpm.CSVVal&lt;&gt;"",_xlpm.CSVVal
)),"")</f>
        <v/>
      </c>
      <c r="N10" s="40"/>
      <c r="O10" s="40" t="str">
        <f>_xlfn.LET(
    _xlpm.CSVVal, _xlfn.XLOOKUP($A10, CSV!$A:$A, CSV!AA:AA, ""),
    _xlpm.MacVal, _xlfn.XLOOKUP($A10, Output_Mac!$A:$A, Output_Mac!S:S, ""),
    _xlpm.MyAuditVal, _xlfn.XLOOKUP($A10, My_Audit!$A:$A, My_Audit!P:P, ""),
    _xlfn.TEXTJOIN(", ", TRUE, _xlpm.MyAuditVal, _xlpm.MacVal, _xlpm.CSVVal)
)</f>
        <v/>
      </c>
      <c r="P10" s="40" t="str" cm="1">
        <f t="array" ref="P10">IFERROR(_xlfn.LET(
_xlpm.CSVVal,_xlfn.XLOOKUP($A10,CSV!$A:$A,CSV!AB:AB,""),
_xlpm.MacVal,_xlfn.XLOOKUP($A10,Output_Mac!$A:$A,Output_Mac!T:T,""),
_xlpm.MyAuditVal,_xlfn.XLOOKUP($A10,My_Audit!$A:$A,My_Audit!Q:Q,""),
_xlfn.IFS(_xlpm.MyAuditVal&lt;&gt;"",UPPER(_xlpm.MyAuditVal),_xlpm.MacVal&lt;&gt;"",_xlpm.MacVal,_xlpm.CSVVal&lt;&gt;"",_xlpm.CSVVal
)),"No")</f>
        <v>No</v>
      </c>
      <c r="Q10" s="40" t="str" cm="1">
        <f t="array" ref="Q10">IFERROR(_xlfn.LET(
_xlpm.CSVVal,_xlfn.XLOOKUP($A10,CSV!$A:$A,CSV!AC:AC,""),
_xlpm.MacVal,_xlfn.XLOOKUP($A10,Output_Mac!$A:$A,Output_Mac!U:U,""),
_xlpm.MyAuditVal,_xlfn.XLOOKUP($A10,My_Audit!$A:$A,My_Audit!R:R,""),
_xlfn.IFS(_xlpm.MyAuditVal&lt;&gt;"",UPPER(_xlpm.MyAuditVal),_xlpm.MacVal&lt;&gt;"",_xlpm.MacVal,_xlpm.CSVVal&lt;&gt;"",_xlpm.CSVVal
)),"")</f>
        <v/>
      </c>
      <c r="R10" s="40"/>
      <c r="S10" s="40"/>
      <c r="T10" s="40"/>
      <c r="U10" s="40"/>
      <c r="V10" s="40"/>
      <c r="W10" s="40"/>
      <c r="X10" s="41" t="str">
        <f>_xlfn.LET(
    _xlpm.MacVal, _xlfn.XLOOKUP($A10, Output_Mac!$A:$A, Output_Mac!AB:AB, ""),
    _xlpm.MyAuditVal, _xlfn.XLOOKUP($A10, My_Audit!$A:$A, My_Audit!N:N, ""),
    _xlfn.TEXTJOIN(", ", TRUE, _xlpm.MyAuditVal, _xlpm.MacVal)
)</f>
        <v/>
      </c>
    </row>
    <row r="11" spans="1:24">
      <c r="A11" s="40" t="str">
        <f>_xlfn.TEXTJOIN("",TRUE,Input!$B$2,ROW(My_Audit!A10))</f>
        <v>X10</v>
      </c>
      <c r="B11" s="40" t="str">
        <f>_xlfn.TEXTJOIN("-",TRUE,"ITD",Input!$A$2,A11)</f>
        <v>ITD-X10</v>
      </c>
      <c r="C11" s="40" t="str" cm="1">
        <f t="array" ref="C11">IFERROR(_xlfn.LET(
_xlpm.CSVVal,_xlfn.XLOOKUP($A11,CSV!$A:$A,CSV!B:B,""),
_xlpm.MacVal,_xlfn.XLOOKUP($A11,Output_Mac!$A:$A,Output_Mac!B:B,""),
_xlpm.MyAuditVal,_xlfn.XLOOKUP($A11,My_Audit!$A:$A,My_Audit!B:B,""),
_xlfn.IFS(_xlpm.MyAuditVal&lt;&gt;"",UPPER(_xlpm.MyAuditVal),_xlpm.MacVal&lt;&gt;"",_xlpm.MacVal,_xlpm.CSVVal&lt;&gt;"",_xlpm.CSVVal
)),"")</f>
        <v/>
      </c>
      <c r="D11" s="40" t="str" cm="1">
        <f t="array" ref="D11">IFERROR(_xlfn.LET(
_xlpm.CSVVal,_xlfn.XLOOKUP($A11,CSV!$A:$A,CSV!D:D,""),
_xlpm.MacVal,_xlfn.XLOOKUP($A11,Output_Mac!$A:$A,Output_Mac!C:C,""),
_xlpm.MyAuditVal,_xlfn.XLOOKUP($A11,My_Audit!$A:$A,My_Audit!C:C,""),
_xlfn.IFS(_xlpm.MyAuditVal&lt;&gt;"",_xlpm.MyAuditVal,_xlpm.MacVal&lt;&gt;"",_xlpm.MacVal,_xlpm.CSVVal&lt;&gt;"",_xlpm.CSVVal
)),"")</f>
        <v/>
      </c>
      <c r="E11" s="40">
        <f>_xlfn.XLOOKUP(A11,My_Audit!A:A,My_Audit!D:D,"")</f>
        <v>0</v>
      </c>
      <c r="F11" s="40" t="str" cm="1">
        <f t="array" ref="F11">IFERROR(_xlfn.LET(
_xlpm.CSVVal,_xlfn.XLOOKUP($A11,CSV!$A:$A,CSV!F:F,""),
_xlpm.MacVal,_xlfn.XLOOKUP($A11,Output_Mac!$A:$A,Output_Mac!E:E,""),
_xlpm.MyAuditVal,_xlfn.XLOOKUP($A11,My_Audit!$A:$A,My_Audit!E:E,""),
_xlfn.IFS(_xlpm.MyAuditVal&lt;&gt;"",_xlpm.MyAuditVal,_xlpm.MacVal&lt;&gt;"",_xlpm.MacVal,_xlpm.CSVVal&lt;&gt;"",_xlpm.CSVVal
)),"")</f>
        <v/>
      </c>
      <c r="G11" s="40" t="str" cm="1">
        <f t="array" ref="G11">IFERROR(_xlfn.LET(
_xlpm.CSVVal,_xlfn.XLOOKUP($A11,CSV!$A:$A,CSV!G:G,""),
_xlpm.MacVal,_xlfn.XLOOKUP($A11,Output_Mac!$A:$A,Output_Mac!F:F,""),
_xlpm.MyAuditVal,_xlfn.XLOOKUP($A11,My_Audit!$A:$A,My_Audit!F:F,""),
_xlfn.IFS(_xlpm.MyAuditVal&lt;&gt;"",_xlpm.MyAuditVal,_xlpm.MacVal&lt;&gt;"",_xlpm.MacVal,_xlpm.CSVVal&lt;&gt;"",PROPER(_xlpm.CSVVal)
)),"")</f>
        <v/>
      </c>
      <c r="H11" s="40" t="str" cm="1">
        <f t="array" ref="H11">IFERROR(_xlfn.LET(
_xlpm.CSVVal,_xlfn.XLOOKUP($A11,CSV!$A:$A,CSV!H:H,""),
_xlpm.MacVal,_xlfn.XLOOKUP($A11,Output_Mac!$A:$A,Output_Mac!H:H,""),
_xlpm.MyAuditVal,_xlfn.XLOOKUP($A11,My_Audit!$A:$A,My_Audit!G:G,""),
_xlfn.IFS(_xlpm.MyAuditVal&lt;&gt;"",_xlpm.MyAuditVal,_xlpm.MacVal&lt;&gt;"",_xlpm.MacVal,_xlpm.CSVVal&lt;&gt;"",_xlpm.CSVVal
)),"")</f>
        <v/>
      </c>
      <c r="I11" s="40" t="str">
        <f>_xlfn.XLOOKUP(A11,Output_Mac!A:A,Output_Mac!I:I,"")</f>
        <v/>
      </c>
      <c r="J11" s="40" t="str" cm="1">
        <f t="array" ref="J11">IFERROR(_xlfn.LET(
_xlpm.CSVVal,_xlfn.XLOOKUP($A11,CSV!$A:$A,CSV!I:I,""),
_xlpm.MacVal,_xlfn.XLOOKUP($A11,Output_Mac!$A:$A,Output_Mac!J:J,""),
_xlpm.MyAuditVal,_xlfn.XLOOKUP($A11,My_Audit!$A:$A,My_Audit!I:I,""),
_xlfn.IFS(_xlpm.MyAuditVal&lt;&gt;"",UPPER(_xlpm.MyAuditVal),_xlpm.MacVal&lt;&gt;"",_xlpm.MacVal,_xlpm.CSVVal&lt;&gt;"",_xlpm.CSVVal
)),"")</f>
        <v/>
      </c>
      <c r="K11" s="40" t="str" cm="1">
        <f t="array" ref="K11">IFERROR(_xlfn.LET(
_xlpm.CSVVal,_xlfn.XLOOKUP($A11,CSV!$A:$A,CSV!K:K,""),
_xlpm.MacVal,_xlfn.XLOOKUP($A11,Output_Mac!$A:$A,Output_Mac!K:K,""),
_xlpm.MyAuditVal,_xlfn.XLOOKUP($A11,My_Audit!$A:$A,My_Audit!J:J,""),
_xlfn.IFS(_xlpm.MyAuditVal&lt;&gt;"",UPPER(_xlpm.MyAuditVal),_xlpm.MacVal&lt;&gt;"",_xlpm.MacVal,_xlpm.CSVVal&lt;&gt;"",_xlpm.CSVVal
)),"")</f>
        <v/>
      </c>
      <c r="L11" s="40" t="str" cm="1">
        <f t="array" ref="L11">IFERROR(_xlfn.LET(
_xlpm.CSVVal,_xlfn.XLOOKUP($A11,CSV!$A:$A,CSV!P:P,""),
_xlpm.MacVal,_xlfn.XLOOKUP($A11,Output_Mac!$A:$A,Output_Mac!L:L,""),
_xlpm.MyAuditVal,_xlfn.XLOOKUP($A11,My_Audit!$A:$A,My_Audit!K:K,""),
_xlfn.IFS(_xlpm.MyAuditVal&lt;&gt;"",UPPER(_xlpm.MyAuditVal),_xlpm.MacVal&lt;&gt;"",_xlpm.MacVal,_xlpm.CSVVal&lt;&gt;"",_xlpm.CSVVal
)),"")</f>
        <v/>
      </c>
      <c r="M11" s="40" t="str" cm="1">
        <f t="array" ref="M11">IFERROR(_xlfn.LET(
_xlpm.CSVVal,_xlfn.XLOOKUP($A11,CSV!$A:$A,CSV!Q:Q,""),
_xlpm.MacVal,_xlfn.XLOOKUP($A11,Output_Mac!$A:$A,Output_Mac!M:M,""),
_xlpm.MyAuditVal,_xlfn.XLOOKUP($A11,My_Audit!$A:$A,My_Audit!L:L,""),
_xlfn.IFS(_xlpm.MyAuditVal&lt;&gt;"",UPPER(_xlpm.MyAuditVal),_xlpm.MacVal&lt;&gt;"",_xlpm.MacVal,_xlpm.CSVVal&lt;&gt;"",_xlpm.CSVVal
)),"")</f>
        <v/>
      </c>
      <c r="N11" s="40"/>
      <c r="O11" s="40" t="str">
        <f>_xlfn.LET(
    _xlpm.CSVVal, _xlfn.XLOOKUP($A11, CSV!$A:$A, CSV!AA:AA, ""),
    _xlpm.MacVal, _xlfn.XLOOKUP($A11, Output_Mac!$A:$A, Output_Mac!S:S, ""),
    _xlpm.MyAuditVal, _xlfn.XLOOKUP($A11, My_Audit!$A:$A, My_Audit!P:P, ""),
    _xlfn.TEXTJOIN(", ", TRUE, _xlpm.MyAuditVal, _xlpm.MacVal, _xlpm.CSVVal)
)</f>
        <v/>
      </c>
      <c r="P11" s="40" t="str" cm="1">
        <f t="array" ref="P11">IFERROR(_xlfn.LET(
_xlpm.CSVVal,_xlfn.XLOOKUP($A11,CSV!$A:$A,CSV!AB:AB,""),
_xlpm.MacVal,_xlfn.XLOOKUP($A11,Output_Mac!$A:$A,Output_Mac!T:T,""),
_xlpm.MyAuditVal,_xlfn.XLOOKUP($A11,My_Audit!$A:$A,My_Audit!Q:Q,""),
_xlfn.IFS(_xlpm.MyAuditVal&lt;&gt;"",UPPER(_xlpm.MyAuditVal),_xlpm.MacVal&lt;&gt;"",_xlpm.MacVal,_xlpm.CSVVal&lt;&gt;"",_xlpm.CSVVal
)),"No")</f>
        <v>No</v>
      </c>
      <c r="Q11" s="40" t="str" cm="1">
        <f t="array" ref="Q11">IFERROR(_xlfn.LET(
_xlpm.CSVVal,_xlfn.XLOOKUP($A11,CSV!$A:$A,CSV!AC:AC,""),
_xlpm.MacVal,_xlfn.XLOOKUP($A11,Output_Mac!$A:$A,Output_Mac!U:U,""),
_xlpm.MyAuditVal,_xlfn.XLOOKUP($A11,My_Audit!$A:$A,My_Audit!R:R,""),
_xlfn.IFS(_xlpm.MyAuditVal&lt;&gt;"",UPPER(_xlpm.MyAuditVal),_xlpm.MacVal&lt;&gt;"",_xlpm.MacVal,_xlpm.CSVVal&lt;&gt;"",_xlpm.CSVVal
)),"")</f>
        <v/>
      </c>
      <c r="R11" s="40"/>
      <c r="S11" s="40"/>
      <c r="T11" s="40"/>
      <c r="U11" s="40"/>
      <c r="V11" s="40"/>
      <c r="W11" s="40"/>
      <c r="X11" s="41" t="str">
        <f>_xlfn.LET(
    _xlpm.MacVal, _xlfn.XLOOKUP($A11, Output_Mac!$A:$A, Output_Mac!AB:AB, ""),
    _xlpm.MyAuditVal, _xlfn.XLOOKUP($A11, My_Audit!$A:$A, My_Audit!N:N, ""),
    _xlfn.TEXTJOIN(", ", TRUE, _xlpm.MyAuditVal, _xlpm.MacVal)
)</f>
        <v/>
      </c>
    </row>
    <row r="12" spans="1:24">
      <c r="A12" s="40" t="str">
        <f>_xlfn.TEXTJOIN("",TRUE,Input!$B$2,ROW(My_Audit!A11))</f>
        <v>X11</v>
      </c>
      <c r="B12" s="40" t="str">
        <f>_xlfn.TEXTJOIN("-",TRUE,"ITD",Input!$A$2,A12)</f>
        <v>ITD-X11</v>
      </c>
      <c r="C12" s="40" t="str" cm="1">
        <f t="array" ref="C12">IFERROR(_xlfn.LET(
_xlpm.CSVVal,_xlfn.XLOOKUP($A12,CSV!$A:$A,CSV!B:B,""),
_xlpm.MacVal,_xlfn.XLOOKUP($A12,Output_Mac!$A:$A,Output_Mac!B:B,""),
_xlpm.MyAuditVal,_xlfn.XLOOKUP($A12,My_Audit!$A:$A,My_Audit!B:B,""),
_xlfn.IFS(_xlpm.MyAuditVal&lt;&gt;"",UPPER(_xlpm.MyAuditVal),_xlpm.MacVal&lt;&gt;"",_xlpm.MacVal,_xlpm.CSVVal&lt;&gt;"",_xlpm.CSVVal
)),"")</f>
        <v/>
      </c>
      <c r="D12" s="40" t="str" cm="1">
        <f t="array" ref="D12">IFERROR(_xlfn.LET(
_xlpm.CSVVal,_xlfn.XLOOKUP($A12,CSV!$A:$A,CSV!D:D,""),
_xlpm.MacVal,_xlfn.XLOOKUP($A12,Output_Mac!$A:$A,Output_Mac!C:C,""),
_xlpm.MyAuditVal,_xlfn.XLOOKUP($A12,My_Audit!$A:$A,My_Audit!C:C,""),
_xlfn.IFS(_xlpm.MyAuditVal&lt;&gt;"",_xlpm.MyAuditVal,_xlpm.MacVal&lt;&gt;"",_xlpm.MacVal,_xlpm.CSVVal&lt;&gt;"",_xlpm.CSVVal
)),"")</f>
        <v/>
      </c>
      <c r="E12" s="40">
        <f>_xlfn.XLOOKUP(A12,My_Audit!A:A,My_Audit!D:D,"")</f>
        <v>0</v>
      </c>
      <c r="F12" s="40" t="str" cm="1">
        <f t="array" ref="F12">IFERROR(_xlfn.LET(
_xlpm.CSVVal,_xlfn.XLOOKUP($A12,CSV!$A:$A,CSV!F:F,""),
_xlpm.MacVal,_xlfn.XLOOKUP($A12,Output_Mac!$A:$A,Output_Mac!E:E,""),
_xlpm.MyAuditVal,_xlfn.XLOOKUP($A12,My_Audit!$A:$A,My_Audit!E:E,""),
_xlfn.IFS(_xlpm.MyAuditVal&lt;&gt;"",_xlpm.MyAuditVal,_xlpm.MacVal&lt;&gt;"",_xlpm.MacVal,_xlpm.CSVVal&lt;&gt;"",_xlpm.CSVVal
)),"")</f>
        <v/>
      </c>
      <c r="G12" s="40" t="str" cm="1">
        <f t="array" ref="G12">IFERROR(_xlfn.LET(
_xlpm.CSVVal,_xlfn.XLOOKUP($A12,CSV!$A:$A,CSV!G:G,""),
_xlpm.MacVal,_xlfn.XLOOKUP($A12,Output_Mac!$A:$A,Output_Mac!F:F,""),
_xlpm.MyAuditVal,_xlfn.XLOOKUP($A12,My_Audit!$A:$A,My_Audit!F:F,""),
_xlfn.IFS(_xlpm.MyAuditVal&lt;&gt;"",_xlpm.MyAuditVal,_xlpm.MacVal&lt;&gt;"",_xlpm.MacVal,_xlpm.CSVVal&lt;&gt;"",PROPER(_xlpm.CSVVal)
)),"")</f>
        <v/>
      </c>
      <c r="H12" s="40" t="str" cm="1">
        <f t="array" ref="H12">IFERROR(_xlfn.LET(
_xlpm.CSVVal,_xlfn.XLOOKUP($A12,CSV!$A:$A,CSV!H:H,""),
_xlpm.MacVal,_xlfn.XLOOKUP($A12,Output_Mac!$A:$A,Output_Mac!H:H,""),
_xlpm.MyAuditVal,_xlfn.XLOOKUP($A12,My_Audit!$A:$A,My_Audit!G:G,""),
_xlfn.IFS(_xlpm.MyAuditVal&lt;&gt;"",_xlpm.MyAuditVal,_xlpm.MacVal&lt;&gt;"",_xlpm.MacVal,_xlpm.CSVVal&lt;&gt;"",_xlpm.CSVVal
)),"")</f>
        <v/>
      </c>
      <c r="I12" s="40" t="str">
        <f>_xlfn.XLOOKUP(A12,Output_Mac!A:A,Output_Mac!I:I,"")</f>
        <v/>
      </c>
      <c r="J12" s="40" t="str" cm="1">
        <f t="array" ref="J12">IFERROR(_xlfn.LET(
_xlpm.CSVVal,_xlfn.XLOOKUP($A12,CSV!$A:$A,CSV!I:I,""),
_xlpm.MacVal,_xlfn.XLOOKUP($A12,Output_Mac!$A:$A,Output_Mac!J:J,""),
_xlpm.MyAuditVal,_xlfn.XLOOKUP($A12,My_Audit!$A:$A,My_Audit!I:I,""),
_xlfn.IFS(_xlpm.MyAuditVal&lt;&gt;"",UPPER(_xlpm.MyAuditVal),_xlpm.MacVal&lt;&gt;"",_xlpm.MacVal,_xlpm.CSVVal&lt;&gt;"",_xlpm.CSVVal
)),"")</f>
        <v/>
      </c>
      <c r="K12" s="40" t="str" cm="1">
        <f t="array" ref="K12">IFERROR(_xlfn.LET(
_xlpm.CSVVal,_xlfn.XLOOKUP($A12,CSV!$A:$A,CSV!K:K,""),
_xlpm.MacVal,_xlfn.XLOOKUP($A12,Output_Mac!$A:$A,Output_Mac!K:K,""),
_xlpm.MyAuditVal,_xlfn.XLOOKUP($A12,My_Audit!$A:$A,My_Audit!J:J,""),
_xlfn.IFS(_xlpm.MyAuditVal&lt;&gt;"",UPPER(_xlpm.MyAuditVal),_xlpm.MacVal&lt;&gt;"",_xlpm.MacVal,_xlpm.CSVVal&lt;&gt;"",_xlpm.CSVVal
)),"")</f>
        <v/>
      </c>
      <c r="L12" s="40" t="str" cm="1">
        <f t="array" ref="L12">IFERROR(_xlfn.LET(
_xlpm.CSVVal,_xlfn.XLOOKUP($A12,CSV!$A:$A,CSV!P:P,""),
_xlpm.MacVal,_xlfn.XLOOKUP($A12,Output_Mac!$A:$A,Output_Mac!L:L,""),
_xlpm.MyAuditVal,_xlfn.XLOOKUP($A12,My_Audit!$A:$A,My_Audit!K:K,""),
_xlfn.IFS(_xlpm.MyAuditVal&lt;&gt;"",UPPER(_xlpm.MyAuditVal),_xlpm.MacVal&lt;&gt;"",_xlpm.MacVal,_xlpm.CSVVal&lt;&gt;"",_xlpm.CSVVal
)),"")</f>
        <v/>
      </c>
      <c r="M12" s="40" t="str" cm="1">
        <f t="array" ref="M12">IFERROR(_xlfn.LET(
_xlpm.CSVVal,_xlfn.XLOOKUP($A12,CSV!$A:$A,CSV!Q:Q,""),
_xlpm.MacVal,_xlfn.XLOOKUP($A12,Output_Mac!$A:$A,Output_Mac!M:M,""),
_xlpm.MyAuditVal,_xlfn.XLOOKUP($A12,My_Audit!$A:$A,My_Audit!L:L,""),
_xlfn.IFS(_xlpm.MyAuditVal&lt;&gt;"",UPPER(_xlpm.MyAuditVal),_xlpm.MacVal&lt;&gt;"",_xlpm.MacVal,_xlpm.CSVVal&lt;&gt;"",_xlpm.CSVVal
)),"")</f>
        <v/>
      </c>
      <c r="N12" s="40"/>
      <c r="O12" s="40" t="str">
        <f>_xlfn.LET(
    _xlpm.CSVVal, _xlfn.XLOOKUP($A12, CSV!$A:$A, CSV!AA:AA, ""),
    _xlpm.MacVal, _xlfn.XLOOKUP($A12, Output_Mac!$A:$A, Output_Mac!S:S, ""),
    _xlpm.MyAuditVal, _xlfn.XLOOKUP($A12, My_Audit!$A:$A, My_Audit!P:P, ""),
    _xlfn.TEXTJOIN(", ", TRUE, _xlpm.MyAuditVal, _xlpm.MacVal, _xlpm.CSVVal)
)</f>
        <v/>
      </c>
      <c r="P12" s="40" t="str" cm="1">
        <f t="array" ref="P12">IFERROR(_xlfn.LET(
_xlpm.CSVVal,_xlfn.XLOOKUP($A12,CSV!$A:$A,CSV!AB:AB,""),
_xlpm.MacVal,_xlfn.XLOOKUP($A12,Output_Mac!$A:$A,Output_Mac!T:T,""),
_xlpm.MyAuditVal,_xlfn.XLOOKUP($A12,My_Audit!$A:$A,My_Audit!Q:Q,""),
_xlfn.IFS(_xlpm.MyAuditVal&lt;&gt;"",UPPER(_xlpm.MyAuditVal),_xlpm.MacVal&lt;&gt;"",_xlpm.MacVal,_xlpm.CSVVal&lt;&gt;"",_xlpm.CSVVal
)),"No")</f>
        <v>No</v>
      </c>
      <c r="Q12" s="40" t="str" cm="1">
        <f t="array" ref="Q12">IFERROR(_xlfn.LET(
_xlpm.CSVVal,_xlfn.XLOOKUP($A12,CSV!$A:$A,CSV!AC:AC,""),
_xlpm.MacVal,_xlfn.XLOOKUP($A12,Output_Mac!$A:$A,Output_Mac!U:U,""),
_xlpm.MyAuditVal,_xlfn.XLOOKUP($A12,My_Audit!$A:$A,My_Audit!R:R,""),
_xlfn.IFS(_xlpm.MyAuditVal&lt;&gt;"",UPPER(_xlpm.MyAuditVal),_xlpm.MacVal&lt;&gt;"",_xlpm.MacVal,_xlpm.CSVVal&lt;&gt;"",_xlpm.CSVVal
)),"")</f>
        <v/>
      </c>
      <c r="R12" s="40"/>
      <c r="S12" s="40"/>
      <c r="T12" s="40"/>
      <c r="U12" s="40"/>
      <c r="V12" s="40"/>
      <c r="W12" s="40"/>
      <c r="X12" s="41" t="str">
        <f>_xlfn.LET(
    _xlpm.MacVal, _xlfn.XLOOKUP($A12, Output_Mac!$A:$A, Output_Mac!AB:AB, ""),
    _xlpm.MyAuditVal, _xlfn.XLOOKUP($A12, My_Audit!$A:$A, My_Audit!N:N, ""),
    _xlfn.TEXTJOIN(", ", TRUE, _xlpm.MyAuditVal, _xlpm.MacVal)
)</f>
        <v/>
      </c>
    </row>
    <row r="13" spans="1:24">
      <c r="A13" s="40" t="str">
        <f>_xlfn.TEXTJOIN("",TRUE,Input!$B$2,ROW(My_Audit!A12))</f>
        <v>X12</v>
      </c>
      <c r="B13" s="40" t="str">
        <f>_xlfn.TEXTJOIN("-",TRUE,"ITD",Input!$A$2,A13)</f>
        <v>ITD-X12</v>
      </c>
      <c r="C13" s="40" t="str" cm="1">
        <f t="array" ref="C13">IFERROR(_xlfn.LET(
_xlpm.CSVVal,_xlfn.XLOOKUP($A13,CSV!$A:$A,CSV!B:B,""),
_xlpm.MacVal,_xlfn.XLOOKUP($A13,Output_Mac!$A:$A,Output_Mac!B:B,""),
_xlpm.MyAuditVal,_xlfn.XLOOKUP($A13,My_Audit!$A:$A,My_Audit!B:B,""),
_xlfn.IFS(_xlpm.MyAuditVal&lt;&gt;"",UPPER(_xlpm.MyAuditVal),_xlpm.MacVal&lt;&gt;"",_xlpm.MacVal,_xlpm.CSVVal&lt;&gt;"",_xlpm.CSVVal
)),"")</f>
        <v/>
      </c>
      <c r="D13" s="40" t="str" cm="1">
        <f t="array" ref="D13">IFERROR(_xlfn.LET(
_xlpm.CSVVal,_xlfn.XLOOKUP($A13,CSV!$A:$A,CSV!D:D,""),
_xlpm.MacVal,_xlfn.XLOOKUP($A13,Output_Mac!$A:$A,Output_Mac!C:C,""),
_xlpm.MyAuditVal,_xlfn.XLOOKUP($A13,My_Audit!$A:$A,My_Audit!C:C,""),
_xlfn.IFS(_xlpm.MyAuditVal&lt;&gt;"",_xlpm.MyAuditVal,_xlpm.MacVal&lt;&gt;"",_xlpm.MacVal,_xlpm.CSVVal&lt;&gt;"",_xlpm.CSVVal
)),"")</f>
        <v/>
      </c>
      <c r="E13" s="40">
        <f>_xlfn.XLOOKUP(A13,My_Audit!A:A,My_Audit!D:D,"")</f>
        <v>0</v>
      </c>
      <c r="F13" s="40" t="str" cm="1">
        <f t="array" ref="F13">IFERROR(_xlfn.LET(
_xlpm.CSVVal,_xlfn.XLOOKUP($A13,CSV!$A:$A,CSV!F:F,""),
_xlpm.MacVal,_xlfn.XLOOKUP($A13,Output_Mac!$A:$A,Output_Mac!E:E,""),
_xlpm.MyAuditVal,_xlfn.XLOOKUP($A13,My_Audit!$A:$A,My_Audit!E:E,""),
_xlfn.IFS(_xlpm.MyAuditVal&lt;&gt;"",_xlpm.MyAuditVal,_xlpm.MacVal&lt;&gt;"",_xlpm.MacVal,_xlpm.CSVVal&lt;&gt;"",_xlpm.CSVVal
)),"")</f>
        <v/>
      </c>
      <c r="G13" s="40" t="str" cm="1">
        <f t="array" ref="G13">IFERROR(_xlfn.LET(
_xlpm.CSVVal,_xlfn.XLOOKUP($A13,CSV!$A:$A,CSV!G:G,""),
_xlpm.MacVal,_xlfn.XLOOKUP($A13,Output_Mac!$A:$A,Output_Mac!F:F,""),
_xlpm.MyAuditVal,_xlfn.XLOOKUP($A13,My_Audit!$A:$A,My_Audit!F:F,""),
_xlfn.IFS(_xlpm.MyAuditVal&lt;&gt;"",_xlpm.MyAuditVal,_xlpm.MacVal&lt;&gt;"",_xlpm.MacVal,_xlpm.CSVVal&lt;&gt;"",PROPER(_xlpm.CSVVal)
)),"")</f>
        <v/>
      </c>
      <c r="H13" s="40" t="str" cm="1">
        <f t="array" ref="H13">IFERROR(_xlfn.LET(
_xlpm.CSVVal,_xlfn.XLOOKUP($A13,CSV!$A:$A,CSV!H:H,""),
_xlpm.MacVal,_xlfn.XLOOKUP($A13,Output_Mac!$A:$A,Output_Mac!H:H,""),
_xlpm.MyAuditVal,_xlfn.XLOOKUP($A13,My_Audit!$A:$A,My_Audit!G:G,""),
_xlfn.IFS(_xlpm.MyAuditVal&lt;&gt;"",_xlpm.MyAuditVal,_xlpm.MacVal&lt;&gt;"",_xlpm.MacVal,_xlpm.CSVVal&lt;&gt;"",_xlpm.CSVVal
)),"")</f>
        <v/>
      </c>
      <c r="I13" s="40" t="str">
        <f>_xlfn.XLOOKUP(A13,Output_Mac!A:A,Output_Mac!I:I,"")</f>
        <v/>
      </c>
      <c r="J13" s="40" t="str" cm="1">
        <f t="array" ref="J13">IFERROR(_xlfn.LET(
_xlpm.CSVVal,_xlfn.XLOOKUP($A13,CSV!$A:$A,CSV!I:I,""),
_xlpm.MacVal,_xlfn.XLOOKUP($A13,Output_Mac!$A:$A,Output_Mac!J:J,""),
_xlpm.MyAuditVal,_xlfn.XLOOKUP($A13,My_Audit!$A:$A,My_Audit!I:I,""),
_xlfn.IFS(_xlpm.MyAuditVal&lt;&gt;"",UPPER(_xlpm.MyAuditVal),_xlpm.MacVal&lt;&gt;"",_xlpm.MacVal,_xlpm.CSVVal&lt;&gt;"",_xlpm.CSVVal
)),"")</f>
        <v/>
      </c>
      <c r="K13" s="40" t="str" cm="1">
        <f t="array" ref="K13">IFERROR(_xlfn.LET(
_xlpm.CSVVal,_xlfn.XLOOKUP($A13,CSV!$A:$A,CSV!K:K,""),
_xlpm.MacVal,_xlfn.XLOOKUP($A13,Output_Mac!$A:$A,Output_Mac!K:K,""),
_xlpm.MyAuditVal,_xlfn.XLOOKUP($A13,My_Audit!$A:$A,My_Audit!J:J,""),
_xlfn.IFS(_xlpm.MyAuditVal&lt;&gt;"",UPPER(_xlpm.MyAuditVal),_xlpm.MacVal&lt;&gt;"",_xlpm.MacVal,_xlpm.CSVVal&lt;&gt;"",_xlpm.CSVVal
)),"")</f>
        <v/>
      </c>
      <c r="L13" s="40" t="str" cm="1">
        <f t="array" ref="L13">IFERROR(_xlfn.LET(
_xlpm.CSVVal,_xlfn.XLOOKUP($A13,CSV!$A:$A,CSV!P:P,""),
_xlpm.MacVal,_xlfn.XLOOKUP($A13,Output_Mac!$A:$A,Output_Mac!L:L,""),
_xlpm.MyAuditVal,_xlfn.XLOOKUP($A13,My_Audit!$A:$A,My_Audit!K:K,""),
_xlfn.IFS(_xlpm.MyAuditVal&lt;&gt;"",UPPER(_xlpm.MyAuditVal),_xlpm.MacVal&lt;&gt;"",_xlpm.MacVal,_xlpm.CSVVal&lt;&gt;"",_xlpm.CSVVal
)),"")</f>
        <v/>
      </c>
      <c r="M13" s="40" t="str" cm="1">
        <f t="array" ref="M13">IFERROR(_xlfn.LET(
_xlpm.CSVVal,_xlfn.XLOOKUP($A13,CSV!$A:$A,CSV!Q:Q,""),
_xlpm.MacVal,_xlfn.XLOOKUP($A13,Output_Mac!$A:$A,Output_Mac!M:M,""),
_xlpm.MyAuditVal,_xlfn.XLOOKUP($A13,My_Audit!$A:$A,My_Audit!L:L,""),
_xlfn.IFS(_xlpm.MyAuditVal&lt;&gt;"",UPPER(_xlpm.MyAuditVal),_xlpm.MacVal&lt;&gt;"",_xlpm.MacVal,_xlpm.CSVVal&lt;&gt;"",_xlpm.CSVVal
)),"")</f>
        <v/>
      </c>
      <c r="N13" s="40"/>
      <c r="O13" s="40" t="str">
        <f>_xlfn.LET(
    _xlpm.CSVVal, _xlfn.XLOOKUP($A13, CSV!$A:$A, CSV!AA:AA, ""),
    _xlpm.MacVal, _xlfn.XLOOKUP($A13, Output_Mac!$A:$A, Output_Mac!S:S, ""),
    _xlpm.MyAuditVal, _xlfn.XLOOKUP($A13, My_Audit!$A:$A, My_Audit!P:P, ""),
    _xlfn.TEXTJOIN(", ", TRUE, _xlpm.MyAuditVal, _xlpm.MacVal, _xlpm.CSVVal)
)</f>
        <v/>
      </c>
      <c r="P13" s="40" t="str" cm="1">
        <f t="array" ref="P13">IFERROR(_xlfn.LET(
_xlpm.CSVVal,_xlfn.XLOOKUP($A13,CSV!$A:$A,CSV!AB:AB,""),
_xlpm.MacVal,_xlfn.XLOOKUP($A13,Output_Mac!$A:$A,Output_Mac!T:T,""),
_xlpm.MyAuditVal,_xlfn.XLOOKUP($A13,My_Audit!$A:$A,My_Audit!Q:Q,""),
_xlfn.IFS(_xlpm.MyAuditVal&lt;&gt;"",UPPER(_xlpm.MyAuditVal),_xlpm.MacVal&lt;&gt;"",_xlpm.MacVal,_xlpm.CSVVal&lt;&gt;"",_xlpm.CSVVal
)),"No")</f>
        <v>No</v>
      </c>
      <c r="Q13" s="40" t="str" cm="1">
        <f t="array" ref="Q13">IFERROR(_xlfn.LET(
_xlpm.CSVVal,_xlfn.XLOOKUP($A13,CSV!$A:$A,CSV!AC:AC,""),
_xlpm.MacVal,_xlfn.XLOOKUP($A13,Output_Mac!$A:$A,Output_Mac!U:U,""),
_xlpm.MyAuditVal,_xlfn.XLOOKUP($A13,My_Audit!$A:$A,My_Audit!R:R,""),
_xlfn.IFS(_xlpm.MyAuditVal&lt;&gt;"",UPPER(_xlpm.MyAuditVal),_xlpm.MacVal&lt;&gt;"",_xlpm.MacVal,_xlpm.CSVVal&lt;&gt;"",_xlpm.CSVVal
)),"")</f>
        <v/>
      </c>
      <c r="R13" s="40"/>
      <c r="S13" s="40"/>
      <c r="T13" s="40"/>
      <c r="U13" s="40"/>
      <c r="V13" s="40"/>
      <c r="W13" s="40"/>
      <c r="X13" s="41" t="str">
        <f>_xlfn.LET(
    _xlpm.MacVal, _xlfn.XLOOKUP($A13, Output_Mac!$A:$A, Output_Mac!AB:AB, ""),
    _xlpm.MyAuditVal, _xlfn.XLOOKUP($A13, My_Audit!$A:$A, My_Audit!N:N, ""),
    _xlfn.TEXTJOIN(", ", TRUE, _xlpm.MyAuditVal, _xlpm.MacVal)
)</f>
        <v/>
      </c>
    </row>
    <row r="14" spans="1:24">
      <c r="A14" s="40" t="str">
        <f>_xlfn.TEXTJOIN("",TRUE,Input!$B$2,ROW(My_Audit!A13))</f>
        <v>X13</v>
      </c>
      <c r="B14" s="40" t="str">
        <f>_xlfn.TEXTJOIN("-",TRUE,"ITD",Input!$A$2,A14)</f>
        <v>ITD-X13</v>
      </c>
      <c r="C14" s="40" t="str" cm="1">
        <f t="array" ref="C14">IFERROR(_xlfn.LET(
_xlpm.CSVVal,_xlfn.XLOOKUP($A14,CSV!$A:$A,CSV!B:B,""),
_xlpm.MacVal,_xlfn.XLOOKUP($A14,Output_Mac!$A:$A,Output_Mac!B:B,""),
_xlpm.MyAuditVal,_xlfn.XLOOKUP($A14,My_Audit!$A:$A,My_Audit!B:B,""),
_xlfn.IFS(_xlpm.MyAuditVal&lt;&gt;"",UPPER(_xlpm.MyAuditVal),_xlpm.MacVal&lt;&gt;"",_xlpm.MacVal,_xlpm.CSVVal&lt;&gt;"",_xlpm.CSVVal
)),"")</f>
        <v/>
      </c>
      <c r="D14" s="40" t="str" cm="1">
        <f t="array" ref="D14">IFERROR(_xlfn.LET(
_xlpm.CSVVal,_xlfn.XLOOKUP($A14,CSV!$A:$A,CSV!D:D,""),
_xlpm.MacVal,_xlfn.XLOOKUP($A14,Output_Mac!$A:$A,Output_Mac!C:C,""),
_xlpm.MyAuditVal,_xlfn.XLOOKUP($A14,My_Audit!$A:$A,My_Audit!C:C,""),
_xlfn.IFS(_xlpm.MyAuditVal&lt;&gt;"",_xlpm.MyAuditVal,_xlpm.MacVal&lt;&gt;"",_xlpm.MacVal,_xlpm.CSVVal&lt;&gt;"",_xlpm.CSVVal
)),"")</f>
        <v/>
      </c>
      <c r="E14" s="40">
        <f>_xlfn.XLOOKUP(A14,My_Audit!A:A,My_Audit!D:D,"")</f>
        <v>0</v>
      </c>
      <c r="F14" s="40" t="str" cm="1">
        <f t="array" ref="F14">IFERROR(_xlfn.LET(
_xlpm.CSVVal,_xlfn.XLOOKUP($A14,CSV!$A:$A,CSV!F:F,""),
_xlpm.MacVal,_xlfn.XLOOKUP($A14,Output_Mac!$A:$A,Output_Mac!E:E,""),
_xlpm.MyAuditVal,_xlfn.XLOOKUP($A14,My_Audit!$A:$A,My_Audit!E:E,""),
_xlfn.IFS(_xlpm.MyAuditVal&lt;&gt;"",_xlpm.MyAuditVal,_xlpm.MacVal&lt;&gt;"",_xlpm.MacVal,_xlpm.CSVVal&lt;&gt;"",_xlpm.CSVVal
)),"")</f>
        <v/>
      </c>
      <c r="G14" s="40" t="str" cm="1">
        <f t="array" ref="G14">IFERROR(_xlfn.LET(
_xlpm.CSVVal,_xlfn.XLOOKUP($A14,CSV!$A:$A,CSV!G:G,""),
_xlpm.MacVal,_xlfn.XLOOKUP($A14,Output_Mac!$A:$A,Output_Mac!F:F,""),
_xlpm.MyAuditVal,_xlfn.XLOOKUP($A14,My_Audit!$A:$A,My_Audit!F:F,""),
_xlfn.IFS(_xlpm.MyAuditVal&lt;&gt;"",_xlpm.MyAuditVal,_xlpm.MacVal&lt;&gt;"",_xlpm.MacVal,_xlpm.CSVVal&lt;&gt;"",PROPER(_xlpm.CSVVal)
)),"")</f>
        <v/>
      </c>
      <c r="H14" s="40" t="str" cm="1">
        <f t="array" ref="H14">IFERROR(_xlfn.LET(
_xlpm.CSVVal,_xlfn.XLOOKUP($A14,CSV!$A:$A,CSV!H:H,""),
_xlpm.MacVal,_xlfn.XLOOKUP($A14,Output_Mac!$A:$A,Output_Mac!H:H,""),
_xlpm.MyAuditVal,_xlfn.XLOOKUP($A14,My_Audit!$A:$A,My_Audit!G:G,""),
_xlfn.IFS(_xlpm.MyAuditVal&lt;&gt;"",_xlpm.MyAuditVal,_xlpm.MacVal&lt;&gt;"",_xlpm.MacVal,_xlpm.CSVVal&lt;&gt;"",_xlpm.CSVVal
)),"")</f>
        <v/>
      </c>
      <c r="I14" s="40" t="str">
        <f>_xlfn.XLOOKUP(A14,Output_Mac!A:A,Output_Mac!I:I,"")</f>
        <v/>
      </c>
      <c r="J14" s="40" t="str" cm="1">
        <f t="array" ref="J14">IFERROR(_xlfn.LET(
_xlpm.CSVVal,_xlfn.XLOOKUP($A14,CSV!$A:$A,CSV!I:I,""),
_xlpm.MacVal,_xlfn.XLOOKUP($A14,Output_Mac!$A:$A,Output_Mac!J:J,""),
_xlpm.MyAuditVal,_xlfn.XLOOKUP($A14,My_Audit!$A:$A,My_Audit!I:I,""),
_xlfn.IFS(_xlpm.MyAuditVal&lt;&gt;"",UPPER(_xlpm.MyAuditVal),_xlpm.MacVal&lt;&gt;"",_xlpm.MacVal,_xlpm.CSVVal&lt;&gt;"",_xlpm.CSVVal
)),"")</f>
        <v/>
      </c>
      <c r="K14" s="40" t="str" cm="1">
        <f t="array" ref="K14">IFERROR(_xlfn.LET(
_xlpm.CSVVal,_xlfn.XLOOKUP($A14,CSV!$A:$A,CSV!K:K,""),
_xlpm.MacVal,_xlfn.XLOOKUP($A14,Output_Mac!$A:$A,Output_Mac!K:K,""),
_xlpm.MyAuditVal,_xlfn.XLOOKUP($A14,My_Audit!$A:$A,My_Audit!J:J,""),
_xlfn.IFS(_xlpm.MyAuditVal&lt;&gt;"",UPPER(_xlpm.MyAuditVal),_xlpm.MacVal&lt;&gt;"",_xlpm.MacVal,_xlpm.CSVVal&lt;&gt;"",_xlpm.CSVVal
)),"")</f>
        <v/>
      </c>
      <c r="L14" s="40" t="str" cm="1">
        <f t="array" ref="L14">IFERROR(_xlfn.LET(
_xlpm.CSVVal,_xlfn.XLOOKUP($A14,CSV!$A:$A,CSV!P:P,""),
_xlpm.MacVal,_xlfn.XLOOKUP($A14,Output_Mac!$A:$A,Output_Mac!L:L,""),
_xlpm.MyAuditVal,_xlfn.XLOOKUP($A14,My_Audit!$A:$A,My_Audit!K:K,""),
_xlfn.IFS(_xlpm.MyAuditVal&lt;&gt;"",UPPER(_xlpm.MyAuditVal),_xlpm.MacVal&lt;&gt;"",_xlpm.MacVal,_xlpm.CSVVal&lt;&gt;"",_xlpm.CSVVal
)),"")</f>
        <v/>
      </c>
      <c r="M14" s="40" t="str" cm="1">
        <f t="array" ref="M14">IFERROR(_xlfn.LET(
_xlpm.CSVVal,_xlfn.XLOOKUP($A14,CSV!$A:$A,CSV!Q:Q,""),
_xlpm.MacVal,_xlfn.XLOOKUP($A14,Output_Mac!$A:$A,Output_Mac!M:M,""),
_xlpm.MyAuditVal,_xlfn.XLOOKUP($A14,My_Audit!$A:$A,My_Audit!L:L,""),
_xlfn.IFS(_xlpm.MyAuditVal&lt;&gt;"",UPPER(_xlpm.MyAuditVal),_xlpm.MacVal&lt;&gt;"",_xlpm.MacVal,_xlpm.CSVVal&lt;&gt;"",_xlpm.CSVVal
)),"")</f>
        <v/>
      </c>
      <c r="N14" s="40"/>
      <c r="O14" s="40" t="str">
        <f>_xlfn.LET(
    _xlpm.CSVVal, _xlfn.XLOOKUP($A14, CSV!$A:$A, CSV!AA:AA, ""),
    _xlpm.MacVal, _xlfn.XLOOKUP($A14, Output_Mac!$A:$A, Output_Mac!S:S, ""),
    _xlpm.MyAuditVal, _xlfn.XLOOKUP($A14, My_Audit!$A:$A, My_Audit!P:P, ""),
    _xlfn.TEXTJOIN(", ", TRUE, _xlpm.MyAuditVal, _xlpm.MacVal, _xlpm.CSVVal)
)</f>
        <v/>
      </c>
      <c r="P14" s="40" t="str" cm="1">
        <f t="array" ref="P14">IFERROR(_xlfn.LET(
_xlpm.CSVVal,_xlfn.XLOOKUP($A14,CSV!$A:$A,CSV!AB:AB,""),
_xlpm.MacVal,_xlfn.XLOOKUP($A14,Output_Mac!$A:$A,Output_Mac!T:T,""),
_xlpm.MyAuditVal,_xlfn.XLOOKUP($A14,My_Audit!$A:$A,My_Audit!Q:Q,""),
_xlfn.IFS(_xlpm.MyAuditVal&lt;&gt;"",UPPER(_xlpm.MyAuditVal),_xlpm.MacVal&lt;&gt;"",_xlpm.MacVal,_xlpm.CSVVal&lt;&gt;"",_xlpm.CSVVal
)),"No")</f>
        <v>No</v>
      </c>
      <c r="Q14" s="40" t="str" cm="1">
        <f t="array" ref="Q14">IFERROR(_xlfn.LET(
_xlpm.CSVVal,_xlfn.XLOOKUP($A14,CSV!$A:$A,CSV!AC:AC,""),
_xlpm.MacVal,_xlfn.XLOOKUP($A14,Output_Mac!$A:$A,Output_Mac!U:U,""),
_xlpm.MyAuditVal,_xlfn.XLOOKUP($A14,My_Audit!$A:$A,My_Audit!R:R,""),
_xlfn.IFS(_xlpm.MyAuditVal&lt;&gt;"",UPPER(_xlpm.MyAuditVal),_xlpm.MacVal&lt;&gt;"",_xlpm.MacVal,_xlpm.CSVVal&lt;&gt;"",_xlpm.CSVVal
)),"")</f>
        <v/>
      </c>
      <c r="R14" s="40"/>
      <c r="S14" s="40"/>
      <c r="T14" s="40"/>
      <c r="U14" s="40"/>
      <c r="V14" s="40"/>
      <c r="W14" s="40"/>
      <c r="X14" s="41" t="str">
        <f>_xlfn.LET(
    _xlpm.MacVal, _xlfn.XLOOKUP($A14, Output_Mac!$A:$A, Output_Mac!AB:AB, ""),
    _xlpm.MyAuditVal, _xlfn.XLOOKUP($A14, My_Audit!$A:$A, My_Audit!N:N, ""),
    _xlfn.TEXTJOIN(", ", TRUE, _xlpm.MyAuditVal, _xlpm.MacVal)
)</f>
        <v/>
      </c>
    </row>
    <row r="15" spans="1:24">
      <c r="A15" s="40" t="str">
        <f>_xlfn.TEXTJOIN("",TRUE,Input!$B$2,ROW(My_Audit!A14))</f>
        <v>X14</v>
      </c>
      <c r="B15" s="40" t="str">
        <f>_xlfn.TEXTJOIN("-",TRUE,"ITD",Input!$A$2,A15)</f>
        <v>ITD-X14</v>
      </c>
      <c r="C15" s="40" t="str" cm="1">
        <f t="array" ref="C15">IFERROR(_xlfn.LET(
_xlpm.CSVVal,_xlfn.XLOOKUP($A15,CSV!$A:$A,CSV!B:B,""),
_xlpm.MacVal,_xlfn.XLOOKUP($A15,Output_Mac!$A:$A,Output_Mac!B:B,""),
_xlpm.MyAuditVal,_xlfn.XLOOKUP($A15,My_Audit!$A:$A,My_Audit!B:B,""),
_xlfn.IFS(_xlpm.MyAuditVal&lt;&gt;"",UPPER(_xlpm.MyAuditVal),_xlpm.MacVal&lt;&gt;"",_xlpm.MacVal,_xlpm.CSVVal&lt;&gt;"",_xlpm.CSVVal
)),"")</f>
        <v/>
      </c>
      <c r="D15" s="40" t="str" cm="1">
        <f t="array" ref="D15">IFERROR(_xlfn.LET(
_xlpm.CSVVal,_xlfn.XLOOKUP($A15,CSV!$A:$A,CSV!D:D,""),
_xlpm.MacVal,_xlfn.XLOOKUP($A15,Output_Mac!$A:$A,Output_Mac!C:C,""),
_xlpm.MyAuditVal,_xlfn.XLOOKUP($A15,My_Audit!$A:$A,My_Audit!C:C,""),
_xlfn.IFS(_xlpm.MyAuditVal&lt;&gt;"",_xlpm.MyAuditVal,_xlpm.MacVal&lt;&gt;"",_xlpm.MacVal,_xlpm.CSVVal&lt;&gt;"",_xlpm.CSVVal
)),"")</f>
        <v/>
      </c>
      <c r="E15" s="40">
        <f>_xlfn.XLOOKUP(A15,My_Audit!A:A,My_Audit!D:D,"")</f>
        <v>0</v>
      </c>
      <c r="F15" s="40" t="str" cm="1">
        <f t="array" ref="F15">IFERROR(_xlfn.LET(
_xlpm.CSVVal,_xlfn.XLOOKUP($A15,CSV!$A:$A,CSV!F:F,""),
_xlpm.MacVal,_xlfn.XLOOKUP($A15,Output_Mac!$A:$A,Output_Mac!E:E,""),
_xlpm.MyAuditVal,_xlfn.XLOOKUP($A15,My_Audit!$A:$A,My_Audit!E:E,""),
_xlfn.IFS(_xlpm.MyAuditVal&lt;&gt;"",_xlpm.MyAuditVal,_xlpm.MacVal&lt;&gt;"",_xlpm.MacVal,_xlpm.CSVVal&lt;&gt;"",_xlpm.CSVVal
)),"")</f>
        <v/>
      </c>
      <c r="G15" s="40" t="str" cm="1">
        <f t="array" ref="G15">IFERROR(_xlfn.LET(
_xlpm.CSVVal,_xlfn.XLOOKUP($A15,CSV!$A:$A,CSV!G:G,""),
_xlpm.MacVal,_xlfn.XLOOKUP($A15,Output_Mac!$A:$A,Output_Mac!F:F,""),
_xlpm.MyAuditVal,_xlfn.XLOOKUP($A15,My_Audit!$A:$A,My_Audit!F:F,""),
_xlfn.IFS(_xlpm.MyAuditVal&lt;&gt;"",_xlpm.MyAuditVal,_xlpm.MacVal&lt;&gt;"",_xlpm.MacVal,_xlpm.CSVVal&lt;&gt;"",PROPER(_xlpm.CSVVal)
)),"")</f>
        <v/>
      </c>
      <c r="H15" s="40" t="str" cm="1">
        <f t="array" ref="H15">IFERROR(_xlfn.LET(
_xlpm.CSVVal,_xlfn.XLOOKUP($A15,CSV!$A:$A,CSV!H:H,""),
_xlpm.MacVal,_xlfn.XLOOKUP($A15,Output_Mac!$A:$A,Output_Mac!H:H,""),
_xlpm.MyAuditVal,_xlfn.XLOOKUP($A15,My_Audit!$A:$A,My_Audit!G:G,""),
_xlfn.IFS(_xlpm.MyAuditVal&lt;&gt;"",_xlpm.MyAuditVal,_xlpm.MacVal&lt;&gt;"",_xlpm.MacVal,_xlpm.CSVVal&lt;&gt;"",_xlpm.CSVVal
)),"")</f>
        <v/>
      </c>
      <c r="I15" s="40" t="str">
        <f>_xlfn.XLOOKUP(A15,Output_Mac!A:A,Output_Mac!I:I,"")</f>
        <v/>
      </c>
      <c r="J15" s="40" t="str" cm="1">
        <f t="array" ref="J15">IFERROR(_xlfn.LET(
_xlpm.CSVVal,_xlfn.XLOOKUP($A15,CSV!$A:$A,CSV!I:I,""),
_xlpm.MacVal,_xlfn.XLOOKUP($A15,Output_Mac!$A:$A,Output_Mac!J:J,""),
_xlpm.MyAuditVal,_xlfn.XLOOKUP($A15,My_Audit!$A:$A,My_Audit!I:I,""),
_xlfn.IFS(_xlpm.MyAuditVal&lt;&gt;"",UPPER(_xlpm.MyAuditVal),_xlpm.MacVal&lt;&gt;"",_xlpm.MacVal,_xlpm.CSVVal&lt;&gt;"",_xlpm.CSVVal
)),"")</f>
        <v/>
      </c>
      <c r="K15" s="40" t="str" cm="1">
        <f t="array" ref="K15">IFERROR(_xlfn.LET(
_xlpm.CSVVal,_xlfn.XLOOKUP($A15,CSV!$A:$A,CSV!K:K,""),
_xlpm.MacVal,_xlfn.XLOOKUP($A15,Output_Mac!$A:$A,Output_Mac!K:K,""),
_xlpm.MyAuditVal,_xlfn.XLOOKUP($A15,My_Audit!$A:$A,My_Audit!J:J,""),
_xlfn.IFS(_xlpm.MyAuditVal&lt;&gt;"",UPPER(_xlpm.MyAuditVal),_xlpm.MacVal&lt;&gt;"",_xlpm.MacVal,_xlpm.CSVVal&lt;&gt;"",_xlpm.CSVVal
)),"")</f>
        <v/>
      </c>
      <c r="L15" s="40" t="str" cm="1">
        <f t="array" ref="L15">IFERROR(_xlfn.LET(
_xlpm.CSVVal,_xlfn.XLOOKUP($A15,CSV!$A:$A,CSV!P:P,""),
_xlpm.MacVal,_xlfn.XLOOKUP($A15,Output_Mac!$A:$A,Output_Mac!L:L,""),
_xlpm.MyAuditVal,_xlfn.XLOOKUP($A15,My_Audit!$A:$A,My_Audit!K:K,""),
_xlfn.IFS(_xlpm.MyAuditVal&lt;&gt;"",UPPER(_xlpm.MyAuditVal),_xlpm.MacVal&lt;&gt;"",_xlpm.MacVal,_xlpm.CSVVal&lt;&gt;"",_xlpm.CSVVal
)),"")</f>
        <v/>
      </c>
      <c r="M15" s="40" t="str" cm="1">
        <f t="array" ref="M15">IFERROR(_xlfn.LET(
_xlpm.CSVVal,_xlfn.XLOOKUP($A15,CSV!$A:$A,CSV!Q:Q,""),
_xlpm.MacVal,_xlfn.XLOOKUP($A15,Output_Mac!$A:$A,Output_Mac!M:M,""),
_xlpm.MyAuditVal,_xlfn.XLOOKUP($A15,My_Audit!$A:$A,My_Audit!L:L,""),
_xlfn.IFS(_xlpm.MyAuditVal&lt;&gt;"",UPPER(_xlpm.MyAuditVal),_xlpm.MacVal&lt;&gt;"",_xlpm.MacVal,_xlpm.CSVVal&lt;&gt;"",_xlpm.CSVVal
)),"")</f>
        <v/>
      </c>
      <c r="N15" s="40"/>
      <c r="O15" s="40" t="str">
        <f>_xlfn.LET(
    _xlpm.CSVVal, _xlfn.XLOOKUP($A15, CSV!$A:$A, CSV!AA:AA, ""),
    _xlpm.MacVal, _xlfn.XLOOKUP($A15, Output_Mac!$A:$A, Output_Mac!S:S, ""),
    _xlpm.MyAuditVal, _xlfn.XLOOKUP($A15, My_Audit!$A:$A, My_Audit!P:P, ""),
    _xlfn.TEXTJOIN(", ", TRUE, _xlpm.MyAuditVal, _xlpm.MacVal, _xlpm.CSVVal)
)</f>
        <v/>
      </c>
      <c r="P15" s="40" t="str" cm="1">
        <f t="array" ref="P15">IFERROR(_xlfn.LET(
_xlpm.CSVVal,_xlfn.XLOOKUP($A15,CSV!$A:$A,CSV!AB:AB,""),
_xlpm.MacVal,_xlfn.XLOOKUP($A15,Output_Mac!$A:$A,Output_Mac!T:T,""),
_xlpm.MyAuditVal,_xlfn.XLOOKUP($A15,My_Audit!$A:$A,My_Audit!Q:Q,""),
_xlfn.IFS(_xlpm.MyAuditVal&lt;&gt;"",UPPER(_xlpm.MyAuditVal),_xlpm.MacVal&lt;&gt;"",_xlpm.MacVal,_xlpm.CSVVal&lt;&gt;"",_xlpm.CSVVal
)),"No")</f>
        <v>No</v>
      </c>
      <c r="Q15" s="40" t="str" cm="1">
        <f t="array" ref="Q15">IFERROR(_xlfn.LET(
_xlpm.CSVVal,_xlfn.XLOOKUP($A15,CSV!$A:$A,CSV!AC:AC,""),
_xlpm.MacVal,_xlfn.XLOOKUP($A15,Output_Mac!$A:$A,Output_Mac!U:U,""),
_xlpm.MyAuditVal,_xlfn.XLOOKUP($A15,My_Audit!$A:$A,My_Audit!R:R,""),
_xlfn.IFS(_xlpm.MyAuditVal&lt;&gt;"",UPPER(_xlpm.MyAuditVal),_xlpm.MacVal&lt;&gt;"",_xlpm.MacVal,_xlpm.CSVVal&lt;&gt;"",_xlpm.CSVVal
)),"")</f>
        <v/>
      </c>
      <c r="R15" s="40"/>
      <c r="S15" s="40"/>
      <c r="T15" s="40"/>
      <c r="U15" s="40"/>
      <c r="V15" s="40"/>
      <c r="W15" s="40"/>
      <c r="X15" s="41" t="str">
        <f>_xlfn.LET(
    _xlpm.MacVal, _xlfn.XLOOKUP($A15, Output_Mac!$A:$A, Output_Mac!AB:AB, ""),
    _xlpm.MyAuditVal, _xlfn.XLOOKUP($A15, My_Audit!$A:$A, My_Audit!N:N, ""),
    _xlfn.TEXTJOIN(", ", TRUE, _xlpm.MyAuditVal, _xlpm.MacVal)
)</f>
        <v/>
      </c>
    </row>
    <row r="16" spans="1:24">
      <c r="A16" s="40" t="str">
        <f>_xlfn.TEXTJOIN("",TRUE,Input!$B$2,ROW(My_Audit!A15))</f>
        <v>X15</v>
      </c>
      <c r="B16" s="40" t="str">
        <f>_xlfn.TEXTJOIN("-",TRUE,"ITD",Input!$A$2,A16)</f>
        <v>ITD-X15</v>
      </c>
      <c r="C16" s="40" t="str" cm="1">
        <f t="array" ref="C16">IFERROR(_xlfn.LET(
_xlpm.CSVVal,_xlfn.XLOOKUP($A16,CSV!$A:$A,CSV!B:B,""),
_xlpm.MacVal,_xlfn.XLOOKUP($A16,Output_Mac!$A:$A,Output_Mac!B:B,""),
_xlpm.MyAuditVal,_xlfn.XLOOKUP($A16,My_Audit!$A:$A,My_Audit!B:B,""),
_xlfn.IFS(_xlpm.MyAuditVal&lt;&gt;"",UPPER(_xlpm.MyAuditVal),_xlpm.MacVal&lt;&gt;"",_xlpm.MacVal,_xlpm.CSVVal&lt;&gt;"",_xlpm.CSVVal
)),"")</f>
        <v/>
      </c>
      <c r="D16" s="40" t="str" cm="1">
        <f t="array" ref="D16">IFERROR(_xlfn.LET(
_xlpm.CSVVal,_xlfn.XLOOKUP($A16,CSV!$A:$A,CSV!D:D,""),
_xlpm.MacVal,_xlfn.XLOOKUP($A16,Output_Mac!$A:$A,Output_Mac!C:C,""),
_xlpm.MyAuditVal,_xlfn.XLOOKUP($A16,My_Audit!$A:$A,My_Audit!C:C,""),
_xlfn.IFS(_xlpm.MyAuditVal&lt;&gt;"",_xlpm.MyAuditVal,_xlpm.MacVal&lt;&gt;"",_xlpm.MacVal,_xlpm.CSVVal&lt;&gt;"",_xlpm.CSVVal
)),"")</f>
        <v/>
      </c>
      <c r="E16" s="40">
        <f>_xlfn.XLOOKUP(A16,My_Audit!A:A,My_Audit!D:D,"")</f>
        <v>0</v>
      </c>
      <c r="F16" s="40" t="str" cm="1">
        <f t="array" ref="F16">IFERROR(_xlfn.LET(
_xlpm.CSVVal,_xlfn.XLOOKUP($A16,CSV!$A:$A,CSV!F:F,""),
_xlpm.MacVal,_xlfn.XLOOKUP($A16,Output_Mac!$A:$A,Output_Mac!E:E,""),
_xlpm.MyAuditVal,_xlfn.XLOOKUP($A16,My_Audit!$A:$A,My_Audit!E:E,""),
_xlfn.IFS(_xlpm.MyAuditVal&lt;&gt;"",_xlpm.MyAuditVal,_xlpm.MacVal&lt;&gt;"",_xlpm.MacVal,_xlpm.CSVVal&lt;&gt;"",_xlpm.CSVVal
)),"")</f>
        <v/>
      </c>
      <c r="G16" s="40" t="str" cm="1">
        <f t="array" ref="G16">IFERROR(_xlfn.LET(
_xlpm.CSVVal,_xlfn.XLOOKUP($A16,CSV!$A:$A,CSV!G:G,""),
_xlpm.MacVal,_xlfn.XLOOKUP($A16,Output_Mac!$A:$A,Output_Mac!F:F,""),
_xlpm.MyAuditVal,_xlfn.XLOOKUP($A16,My_Audit!$A:$A,My_Audit!F:F,""),
_xlfn.IFS(_xlpm.MyAuditVal&lt;&gt;"",_xlpm.MyAuditVal,_xlpm.MacVal&lt;&gt;"",_xlpm.MacVal,_xlpm.CSVVal&lt;&gt;"",PROPER(_xlpm.CSVVal)
)),"")</f>
        <v/>
      </c>
      <c r="H16" s="40" t="str" cm="1">
        <f t="array" ref="H16">IFERROR(_xlfn.LET(
_xlpm.CSVVal,_xlfn.XLOOKUP($A16,CSV!$A:$A,CSV!H:H,""),
_xlpm.MacVal,_xlfn.XLOOKUP($A16,Output_Mac!$A:$A,Output_Mac!H:H,""),
_xlpm.MyAuditVal,_xlfn.XLOOKUP($A16,My_Audit!$A:$A,My_Audit!G:G,""),
_xlfn.IFS(_xlpm.MyAuditVal&lt;&gt;"",_xlpm.MyAuditVal,_xlpm.MacVal&lt;&gt;"",_xlpm.MacVal,_xlpm.CSVVal&lt;&gt;"",_xlpm.CSVVal
)),"")</f>
        <v/>
      </c>
      <c r="I16" s="40" t="str">
        <f>_xlfn.XLOOKUP(A16,Output_Mac!A:A,Output_Mac!I:I,"")</f>
        <v/>
      </c>
      <c r="J16" s="40" t="str" cm="1">
        <f t="array" ref="J16">IFERROR(_xlfn.LET(
_xlpm.CSVVal,_xlfn.XLOOKUP($A16,CSV!$A:$A,CSV!I:I,""),
_xlpm.MacVal,_xlfn.XLOOKUP($A16,Output_Mac!$A:$A,Output_Mac!J:J,""),
_xlpm.MyAuditVal,_xlfn.XLOOKUP($A16,My_Audit!$A:$A,My_Audit!I:I,""),
_xlfn.IFS(_xlpm.MyAuditVal&lt;&gt;"",UPPER(_xlpm.MyAuditVal),_xlpm.MacVal&lt;&gt;"",_xlpm.MacVal,_xlpm.CSVVal&lt;&gt;"",_xlpm.CSVVal
)),"")</f>
        <v/>
      </c>
      <c r="K16" s="40" t="str" cm="1">
        <f t="array" ref="K16">IFERROR(_xlfn.LET(
_xlpm.CSVVal,_xlfn.XLOOKUP($A16,CSV!$A:$A,CSV!K:K,""),
_xlpm.MacVal,_xlfn.XLOOKUP($A16,Output_Mac!$A:$A,Output_Mac!K:K,""),
_xlpm.MyAuditVal,_xlfn.XLOOKUP($A16,My_Audit!$A:$A,My_Audit!J:J,""),
_xlfn.IFS(_xlpm.MyAuditVal&lt;&gt;"",UPPER(_xlpm.MyAuditVal),_xlpm.MacVal&lt;&gt;"",_xlpm.MacVal,_xlpm.CSVVal&lt;&gt;"",_xlpm.CSVVal
)),"")</f>
        <v/>
      </c>
      <c r="L16" s="40" t="str" cm="1">
        <f t="array" ref="L16">IFERROR(_xlfn.LET(
_xlpm.CSVVal,_xlfn.XLOOKUP($A16,CSV!$A:$A,CSV!P:P,""),
_xlpm.MacVal,_xlfn.XLOOKUP($A16,Output_Mac!$A:$A,Output_Mac!L:L,""),
_xlpm.MyAuditVal,_xlfn.XLOOKUP($A16,My_Audit!$A:$A,My_Audit!K:K,""),
_xlfn.IFS(_xlpm.MyAuditVal&lt;&gt;"",UPPER(_xlpm.MyAuditVal),_xlpm.MacVal&lt;&gt;"",_xlpm.MacVal,_xlpm.CSVVal&lt;&gt;"",_xlpm.CSVVal
)),"")</f>
        <v/>
      </c>
      <c r="M16" s="40" t="str" cm="1">
        <f t="array" ref="M16">IFERROR(_xlfn.LET(
_xlpm.CSVVal,_xlfn.XLOOKUP($A16,CSV!$A:$A,CSV!Q:Q,""),
_xlpm.MacVal,_xlfn.XLOOKUP($A16,Output_Mac!$A:$A,Output_Mac!M:M,""),
_xlpm.MyAuditVal,_xlfn.XLOOKUP($A16,My_Audit!$A:$A,My_Audit!L:L,""),
_xlfn.IFS(_xlpm.MyAuditVal&lt;&gt;"",UPPER(_xlpm.MyAuditVal),_xlpm.MacVal&lt;&gt;"",_xlpm.MacVal,_xlpm.CSVVal&lt;&gt;"",_xlpm.CSVVal
)),"")</f>
        <v/>
      </c>
      <c r="N16" s="40"/>
      <c r="O16" s="40" t="str">
        <f>_xlfn.LET(
    _xlpm.CSVVal, _xlfn.XLOOKUP($A16, CSV!$A:$A, CSV!AA:AA, ""),
    _xlpm.MacVal, _xlfn.XLOOKUP($A16, Output_Mac!$A:$A, Output_Mac!S:S, ""),
    _xlpm.MyAuditVal, _xlfn.XLOOKUP($A16, My_Audit!$A:$A, My_Audit!P:P, ""),
    _xlfn.TEXTJOIN(", ", TRUE, _xlpm.MyAuditVal, _xlpm.MacVal, _xlpm.CSVVal)
)</f>
        <v/>
      </c>
      <c r="P16" s="40" t="str" cm="1">
        <f t="array" ref="P16">IFERROR(_xlfn.LET(
_xlpm.CSVVal,_xlfn.XLOOKUP($A16,CSV!$A:$A,CSV!AB:AB,""),
_xlpm.MacVal,_xlfn.XLOOKUP($A16,Output_Mac!$A:$A,Output_Mac!T:T,""),
_xlpm.MyAuditVal,_xlfn.XLOOKUP($A16,My_Audit!$A:$A,My_Audit!Q:Q,""),
_xlfn.IFS(_xlpm.MyAuditVal&lt;&gt;"",UPPER(_xlpm.MyAuditVal),_xlpm.MacVal&lt;&gt;"",_xlpm.MacVal,_xlpm.CSVVal&lt;&gt;"",_xlpm.CSVVal
)),"No")</f>
        <v>No</v>
      </c>
      <c r="Q16" s="40" t="str" cm="1">
        <f t="array" ref="Q16">IFERROR(_xlfn.LET(
_xlpm.CSVVal,_xlfn.XLOOKUP($A16,CSV!$A:$A,CSV!AC:AC,""),
_xlpm.MacVal,_xlfn.XLOOKUP($A16,Output_Mac!$A:$A,Output_Mac!U:U,""),
_xlpm.MyAuditVal,_xlfn.XLOOKUP($A16,My_Audit!$A:$A,My_Audit!R:R,""),
_xlfn.IFS(_xlpm.MyAuditVal&lt;&gt;"",UPPER(_xlpm.MyAuditVal),_xlpm.MacVal&lt;&gt;"",_xlpm.MacVal,_xlpm.CSVVal&lt;&gt;"",_xlpm.CSVVal
)),"")</f>
        <v/>
      </c>
      <c r="R16" s="40"/>
      <c r="S16" s="40"/>
      <c r="T16" s="40"/>
      <c r="U16" s="40"/>
      <c r="V16" s="40"/>
      <c r="W16" s="40"/>
      <c r="X16" s="41" t="str">
        <f>_xlfn.LET(
    _xlpm.MacVal, _xlfn.XLOOKUP($A16, Output_Mac!$A:$A, Output_Mac!AB:AB, ""),
    _xlpm.MyAuditVal, _xlfn.XLOOKUP($A16, My_Audit!$A:$A, My_Audit!N:N, ""),
    _xlfn.TEXTJOIN(", ", TRUE, _xlpm.MyAuditVal, _xlpm.MacVal)
)</f>
        <v/>
      </c>
    </row>
    <row r="17" spans="1:24">
      <c r="A17" s="40" t="str">
        <f>_xlfn.TEXTJOIN("",TRUE,Input!$B$2,ROW(My_Audit!A16))</f>
        <v>X16</v>
      </c>
      <c r="B17" s="40" t="str">
        <f>_xlfn.TEXTJOIN("-",TRUE,"ITD",Input!$A$2,A17)</f>
        <v>ITD-X16</v>
      </c>
      <c r="C17" s="40" t="str" cm="1">
        <f t="array" ref="C17">IFERROR(_xlfn.LET(
_xlpm.CSVVal,_xlfn.XLOOKUP($A17,CSV!$A:$A,CSV!B:B,""),
_xlpm.MacVal,_xlfn.XLOOKUP($A17,Output_Mac!$A:$A,Output_Mac!B:B,""),
_xlpm.MyAuditVal,_xlfn.XLOOKUP($A17,My_Audit!$A:$A,My_Audit!B:B,""),
_xlfn.IFS(_xlpm.MyAuditVal&lt;&gt;"",UPPER(_xlpm.MyAuditVal),_xlpm.MacVal&lt;&gt;"",_xlpm.MacVal,_xlpm.CSVVal&lt;&gt;"",_xlpm.CSVVal
)),"")</f>
        <v/>
      </c>
      <c r="D17" s="40" t="str" cm="1">
        <f t="array" ref="D17">IFERROR(_xlfn.LET(
_xlpm.CSVVal,_xlfn.XLOOKUP($A17,CSV!$A:$A,CSV!D:D,""),
_xlpm.MacVal,_xlfn.XLOOKUP($A17,Output_Mac!$A:$A,Output_Mac!C:C,""),
_xlpm.MyAuditVal,_xlfn.XLOOKUP($A17,My_Audit!$A:$A,My_Audit!C:C,""),
_xlfn.IFS(_xlpm.MyAuditVal&lt;&gt;"",_xlpm.MyAuditVal,_xlpm.MacVal&lt;&gt;"",_xlpm.MacVal,_xlpm.CSVVal&lt;&gt;"",_xlpm.CSVVal
)),"")</f>
        <v/>
      </c>
      <c r="E17" s="40">
        <f>_xlfn.XLOOKUP(A17,My_Audit!A:A,My_Audit!D:D,"")</f>
        <v>0</v>
      </c>
      <c r="F17" s="40" t="str" cm="1">
        <f t="array" ref="F17">IFERROR(_xlfn.LET(
_xlpm.CSVVal,_xlfn.XLOOKUP($A17,CSV!$A:$A,CSV!F:F,""),
_xlpm.MacVal,_xlfn.XLOOKUP($A17,Output_Mac!$A:$A,Output_Mac!E:E,""),
_xlpm.MyAuditVal,_xlfn.XLOOKUP($A17,My_Audit!$A:$A,My_Audit!E:E,""),
_xlfn.IFS(_xlpm.MyAuditVal&lt;&gt;"",_xlpm.MyAuditVal,_xlpm.MacVal&lt;&gt;"",_xlpm.MacVal,_xlpm.CSVVal&lt;&gt;"",_xlpm.CSVVal
)),"")</f>
        <v/>
      </c>
      <c r="G17" s="40" t="str" cm="1">
        <f t="array" ref="G17">IFERROR(_xlfn.LET(
_xlpm.CSVVal,_xlfn.XLOOKUP($A17,CSV!$A:$A,CSV!G:G,""),
_xlpm.MacVal,_xlfn.XLOOKUP($A17,Output_Mac!$A:$A,Output_Mac!F:F,""),
_xlpm.MyAuditVal,_xlfn.XLOOKUP($A17,My_Audit!$A:$A,My_Audit!F:F,""),
_xlfn.IFS(_xlpm.MyAuditVal&lt;&gt;"",_xlpm.MyAuditVal,_xlpm.MacVal&lt;&gt;"",_xlpm.MacVal,_xlpm.CSVVal&lt;&gt;"",PROPER(_xlpm.CSVVal)
)),"")</f>
        <v/>
      </c>
      <c r="H17" s="40" t="str" cm="1">
        <f t="array" ref="H17">IFERROR(_xlfn.LET(
_xlpm.CSVVal,_xlfn.XLOOKUP($A17,CSV!$A:$A,CSV!H:H,""),
_xlpm.MacVal,_xlfn.XLOOKUP($A17,Output_Mac!$A:$A,Output_Mac!H:H,""),
_xlpm.MyAuditVal,_xlfn.XLOOKUP($A17,My_Audit!$A:$A,My_Audit!G:G,""),
_xlfn.IFS(_xlpm.MyAuditVal&lt;&gt;"",_xlpm.MyAuditVal,_xlpm.MacVal&lt;&gt;"",_xlpm.MacVal,_xlpm.CSVVal&lt;&gt;"",_xlpm.CSVVal
)),"")</f>
        <v/>
      </c>
      <c r="I17" s="40" t="str">
        <f>_xlfn.XLOOKUP(A17,Output_Mac!A:A,Output_Mac!I:I,"")</f>
        <v/>
      </c>
      <c r="J17" s="40" t="str" cm="1">
        <f t="array" ref="J17">IFERROR(_xlfn.LET(
_xlpm.CSVVal,_xlfn.XLOOKUP($A17,CSV!$A:$A,CSV!I:I,""),
_xlpm.MacVal,_xlfn.XLOOKUP($A17,Output_Mac!$A:$A,Output_Mac!J:J,""),
_xlpm.MyAuditVal,_xlfn.XLOOKUP($A17,My_Audit!$A:$A,My_Audit!I:I,""),
_xlfn.IFS(_xlpm.MyAuditVal&lt;&gt;"",UPPER(_xlpm.MyAuditVal),_xlpm.MacVal&lt;&gt;"",_xlpm.MacVal,_xlpm.CSVVal&lt;&gt;"",_xlpm.CSVVal
)),"")</f>
        <v/>
      </c>
      <c r="K17" s="40" t="str" cm="1">
        <f t="array" ref="K17">IFERROR(_xlfn.LET(
_xlpm.CSVVal,_xlfn.XLOOKUP($A17,CSV!$A:$A,CSV!K:K,""),
_xlpm.MacVal,_xlfn.XLOOKUP($A17,Output_Mac!$A:$A,Output_Mac!K:K,""),
_xlpm.MyAuditVal,_xlfn.XLOOKUP($A17,My_Audit!$A:$A,My_Audit!J:J,""),
_xlfn.IFS(_xlpm.MyAuditVal&lt;&gt;"",UPPER(_xlpm.MyAuditVal),_xlpm.MacVal&lt;&gt;"",_xlpm.MacVal,_xlpm.CSVVal&lt;&gt;"",_xlpm.CSVVal
)),"")</f>
        <v/>
      </c>
      <c r="L17" s="40" t="str" cm="1">
        <f t="array" ref="L17">IFERROR(_xlfn.LET(
_xlpm.CSVVal,_xlfn.XLOOKUP($A17,CSV!$A:$A,CSV!P:P,""),
_xlpm.MacVal,_xlfn.XLOOKUP($A17,Output_Mac!$A:$A,Output_Mac!L:L,""),
_xlpm.MyAuditVal,_xlfn.XLOOKUP($A17,My_Audit!$A:$A,My_Audit!K:K,""),
_xlfn.IFS(_xlpm.MyAuditVal&lt;&gt;"",UPPER(_xlpm.MyAuditVal),_xlpm.MacVal&lt;&gt;"",_xlpm.MacVal,_xlpm.CSVVal&lt;&gt;"",_xlpm.CSVVal
)),"")</f>
        <v/>
      </c>
      <c r="M17" s="40" t="str" cm="1">
        <f t="array" ref="M17">IFERROR(_xlfn.LET(
_xlpm.CSVVal,_xlfn.XLOOKUP($A17,CSV!$A:$A,CSV!Q:Q,""),
_xlpm.MacVal,_xlfn.XLOOKUP($A17,Output_Mac!$A:$A,Output_Mac!M:M,""),
_xlpm.MyAuditVal,_xlfn.XLOOKUP($A17,My_Audit!$A:$A,My_Audit!L:L,""),
_xlfn.IFS(_xlpm.MyAuditVal&lt;&gt;"",UPPER(_xlpm.MyAuditVal),_xlpm.MacVal&lt;&gt;"",_xlpm.MacVal,_xlpm.CSVVal&lt;&gt;"",_xlpm.CSVVal
)),"")</f>
        <v/>
      </c>
      <c r="N17" s="40"/>
      <c r="O17" s="40" t="str">
        <f>_xlfn.LET(
    _xlpm.CSVVal, _xlfn.XLOOKUP($A17, CSV!$A:$A, CSV!AA:AA, ""),
    _xlpm.MacVal, _xlfn.XLOOKUP($A17, Output_Mac!$A:$A, Output_Mac!S:S, ""),
    _xlpm.MyAuditVal, _xlfn.XLOOKUP($A17, My_Audit!$A:$A, My_Audit!P:P, ""),
    _xlfn.TEXTJOIN(", ", TRUE, _xlpm.MyAuditVal, _xlpm.MacVal, _xlpm.CSVVal)
)</f>
        <v/>
      </c>
      <c r="P17" s="40" t="str" cm="1">
        <f t="array" ref="P17">IFERROR(_xlfn.LET(
_xlpm.CSVVal,_xlfn.XLOOKUP($A17,CSV!$A:$A,CSV!AB:AB,""),
_xlpm.MacVal,_xlfn.XLOOKUP($A17,Output_Mac!$A:$A,Output_Mac!T:T,""),
_xlpm.MyAuditVal,_xlfn.XLOOKUP($A17,My_Audit!$A:$A,My_Audit!Q:Q,""),
_xlfn.IFS(_xlpm.MyAuditVal&lt;&gt;"",UPPER(_xlpm.MyAuditVal),_xlpm.MacVal&lt;&gt;"",_xlpm.MacVal,_xlpm.CSVVal&lt;&gt;"",_xlpm.CSVVal
)),"No")</f>
        <v>No</v>
      </c>
      <c r="Q17" s="40" t="str" cm="1">
        <f t="array" ref="Q17">IFERROR(_xlfn.LET(
_xlpm.CSVVal,_xlfn.XLOOKUP($A17,CSV!$A:$A,CSV!AC:AC,""),
_xlpm.MacVal,_xlfn.XLOOKUP($A17,Output_Mac!$A:$A,Output_Mac!U:U,""),
_xlpm.MyAuditVal,_xlfn.XLOOKUP($A17,My_Audit!$A:$A,My_Audit!R:R,""),
_xlfn.IFS(_xlpm.MyAuditVal&lt;&gt;"",UPPER(_xlpm.MyAuditVal),_xlpm.MacVal&lt;&gt;"",_xlpm.MacVal,_xlpm.CSVVal&lt;&gt;"",_xlpm.CSVVal
)),"")</f>
        <v/>
      </c>
      <c r="R17" s="40"/>
      <c r="S17" s="40"/>
      <c r="T17" s="40"/>
      <c r="U17" s="40"/>
      <c r="V17" s="40"/>
      <c r="W17" s="40"/>
      <c r="X17" s="41" t="str">
        <f>_xlfn.LET(
    _xlpm.MacVal, _xlfn.XLOOKUP($A17, Output_Mac!$A:$A, Output_Mac!AB:AB, ""),
    _xlpm.MyAuditVal, _xlfn.XLOOKUP($A17, My_Audit!$A:$A, My_Audit!N:N, ""),
    _xlfn.TEXTJOIN(", ", TRUE, _xlpm.MyAuditVal, _xlpm.MacVal)
)</f>
        <v/>
      </c>
    </row>
    <row r="18" spans="1:24">
      <c r="A18" s="40" t="str">
        <f>_xlfn.TEXTJOIN("",TRUE,Input!$B$2,ROW(My_Audit!A17))</f>
        <v>X17</v>
      </c>
      <c r="B18" s="40" t="str">
        <f>_xlfn.TEXTJOIN("-",TRUE,"ITD",Input!$A$2,A18)</f>
        <v>ITD-X17</v>
      </c>
      <c r="C18" s="40" t="str" cm="1">
        <f t="array" ref="C18">IFERROR(_xlfn.LET(
_xlpm.CSVVal,_xlfn.XLOOKUP($A18,CSV!$A:$A,CSV!B:B,""),
_xlpm.MacVal,_xlfn.XLOOKUP($A18,Output_Mac!$A:$A,Output_Mac!B:B,""),
_xlpm.MyAuditVal,_xlfn.XLOOKUP($A18,My_Audit!$A:$A,My_Audit!B:B,""),
_xlfn.IFS(_xlpm.MyAuditVal&lt;&gt;"",UPPER(_xlpm.MyAuditVal),_xlpm.MacVal&lt;&gt;"",_xlpm.MacVal,_xlpm.CSVVal&lt;&gt;"",_xlpm.CSVVal
)),"")</f>
        <v/>
      </c>
      <c r="D18" s="40" t="str" cm="1">
        <f t="array" ref="D18">IFERROR(_xlfn.LET(
_xlpm.CSVVal,_xlfn.XLOOKUP($A18,CSV!$A:$A,CSV!D:D,""),
_xlpm.MacVal,_xlfn.XLOOKUP($A18,Output_Mac!$A:$A,Output_Mac!C:C,""),
_xlpm.MyAuditVal,_xlfn.XLOOKUP($A18,My_Audit!$A:$A,My_Audit!C:C,""),
_xlfn.IFS(_xlpm.MyAuditVal&lt;&gt;"",_xlpm.MyAuditVal,_xlpm.MacVal&lt;&gt;"",_xlpm.MacVal,_xlpm.CSVVal&lt;&gt;"",_xlpm.CSVVal
)),"")</f>
        <v/>
      </c>
      <c r="E18" s="40">
        <f>_xlfn.XLOOKUP(A18,My_Audit!A:A,My_Audit!D:D,"")</f>
        <v>0</v>
      </c>
      <c r="F18" s="40" t="str" cm="1">
        <f t="array" ref="F18">IFERROR(_xlfn.LET(
_xlpm.CSVVal,_xlfn.XLOOKUP($A18,CSV!$A:$A,CSV!F:F,""),
_xlpm.MacVal,_xlfn.XLOOKUP($A18,Output_Mac!$A:$A,Output_Mac!E:E,""),
_xlpm.MyAuditVal,_xlfn.XLOOKUP($A18,My_Audit!$A:$A,My_Audit!E:E,""),
_xlfn.IFS(_xlpm.MyAuditVal&lt;&gt;"",_xlpm.MyAuditVal,_xlpm.MacVal&lt;&gt;"",_xlpm.MacVal,_xlpm.CSVVal&lt;&gt;"",_xlpm.CSVVal
)),"")</f>
        <v/>
      </c>
      <c r="G18" s="40" t="str" cm="1">
        <f t="array" ref="G18">IFERROR(_xlfn.LET(
_xlpm.CSVVal,_xlfn.XLOOKUP($A18,CSV!$A:$A,CSV!G:G,""),
_xlpm.MacVal,_xlfn.XLOOKUP($A18,Output_Mac!$A:$A,Output_Mac!F:F,""),
_xlpm.MyAuditVal,_xlfn.XLOOKUP($A18,My_Audit!$A:$A,My_Audit!F:F,""),
_xlfn.IFS(_xlpm.MyAuditVal&lt;&gt;"",_xlpm.MyAuditVal,_xlpm.MacVal&lt;&gt;"",_xlpm.MacVal,_xlpm.CSVVal&lt;&gt;"",PROPER(_xlpm.CSVVal)
)),"")</f>
        <v/>
      </c>
      <c r="H18" s="40" t="str" cm="1">
        <f t="array" ref="H18">IFERROR(_xlfn.LET(
_xlpm.CSVVal,_xlfn.XLOOKUP($A18,CSV!$A:$A,CSV!H:H,""),
_xlpm.MacVal,_xlfn.XLOOKUP($A18,Output_Mac!$A:$A,Output_Mac!H:H,""),
_xlpm.MyAuditVal,_xlfn.XLOOKUP($A18,My_Audit!$A:$A,My_Audit!G:G,""),
_xlfn.IFS(_xlpm.MyAuditVal&lt;&gt;"",_xlpm.MyAuditVal,_xlpm.MacVal&lt;&gt;"",_xlpm.MacVal,_xlpm.CSVVal&lt;&gt;"",_xlpm.CSVVal
)),"")</f>
        <v/>
      </c>
      <c r="I18" s="40" t="str">
        <f>_xlfn.XLOOKUP(A18,Output_Mac!A:A,Output_Mac!I:I,"")</f>
        <v/>
      </c>
      <c r="J18" s="40" t="str" cm="1">
        <f t="array" ref="J18">IFERROR(_xlfn.LET(
_xlpm.CSVVal,_xlfn.XLOOKUP($A18,CSV!$A:$A,CSV!I:I,""),
_xlpm.MacVal,_xlfn.XLOOKUP($A18,Output_Mac!$A:$A,Output_Mac!J:J,""),
_xlpm.MyAuditVal,_xlfn.XLOOKUP($A18,My_Audit!$A:$A,My_Audit!I:I,""),
_xlfn.IFS(_xlpm.MyAuditVal&lt;&gt;"",UPPER(_xlpm.MyAuditVal),_xlpm.MacVal&lt;&gt;"",_xlpm.MacVal,_xlpm.CSVVal&lt;&gt;"",_xlpm.CSVVal
)),"")</f>
        <v/>
      </c>
      <c r="K18" s="40" t="str" cm="1">
        <f t="array" ref="K18">IFERROR(_xlfn.LET(
_xlpm.CSVVal,_xlfn.XLOOKUP($A18,CSV!$A:$A,CSV!K:K,""),
_xlpm.MacVal,_xlfn.XLOOKUP($A18,Output_Mac!$A:$A,Output_Mac!K:K,""),
_xlpm.MyAuditVal,_xlfn.XLOOKUP($A18,My_Audit!$A:$A,My_Audit!J:J,""),
_xlfn.IFS(_xlpm.MyAuditVal&lt;&gt;"",UPPER(_xlpm.MyAuditVal),_xlpm.MacVal&lt;&gt;"",_xlpm.MacVal,_xlpm.CSVVal&lt;&gt;"",_xlpm.CSVVal
)),"")</f>
        <v/>
      </c>
      <c r="L18" s="40" t="str" cm="1">
        <f t="array" ref="L18">IFERROR(_xlfn.LET(
_xlpm.CSVVal,_xlfn.XLOOKUP($A18,CSV!$A:$A,CSV!P:P,""),
_xlpm.MacVal,_xlfn.XLOOKUP($A18,Output_Mac!$A:$A,Output_Mac!L:L,""),
_xlpm.MyAuditVal,_xlfn.XLOOKUP($A18,My_Audit!$A:$A,My_Audit!K:K,""),
_xlfn.IFS(_xlpm.MyAuditVal&lt;&gt;"",UPPER(_xlpm.MyAuditVal),_xlpm.MacVal&lt;&gt;"",_xlpm.MacVal,_xlpm.CSVVal&lt;&gt;"",_xlpm.CSVVal
)),"")</f>
        <v/>
      </c>
      <c r="M18" s="40" t="str" cm="1">
        <f t="array" ref="M18">IFERROR(_xlfn.LET(
_xlpm.CSVVal,_xlfn.XLOOKUP($A18,CSV!$A:$A,CSV!Q:Q,""),
_xlpm.MacVal,_xlfn.XLOOKUP($A18,Output_Mac!$A:$A,Output_Mac!M:M,""),
_xlpm.MyAuditVal,_xlfn.XLOOKUP($A18,My_Audit!$A:$A,My_Audit!L:L,""),
_xlfn.IFS(_xlpm.MyAuditVal&lt;&gt;"",UPPER(_xlpm.MyAuditVal),_xlpm.MacVal&lt;&gt;"",_xlpm.MacVal,_xlpm.CSVVal&lt;&gt;"",_xlpm.CSVVal
)),"")</f>
        <v/>
      </c>
      <c r="N18" s="40"/>
      <c r="O18" s="40" t="str">
        <f>_xlfn.LET(
    _xlpm.CSVVal, _xlfn.XLOOKUP($A18, CSV!$A:$A, CSV!AA:AA, ""),
    _xlpm.MacVal, _xlfn.XLOOKUP($A18, Output_Mac!$A:$A, Output_Mac!S:S, ""),
    _xlpm.MyAuditVal, _xlfn.XLOOKUP($A18, My_Audit!$A:$A, My_Audit!P:P, ""),
    _xlfn.TEXTJOIN(", ", TRUE, _xlpm.MyAuditVal, _xlpm.MacVal, _xlpm.CSVVal)
)</f>
        <v/>
      </c>
      <c r="P18" s="40" t="str" cm="1">
        <f t="array" ref="P18">IFERROR(_xlfn.LET(
_xlpm.CSVVal,_xlfn.XLOOKUP($A18,CSV!$A:$A,CSV!AB:AB,""),
_xlpm.MacVal,_xlfn.XLOOKUP($A18,Output_Mac!$A:$A,Output_Mac!T:T,""),
_xlpm.MyAuditVal,_xlfn.XLOOKUP($A18,My_Audit!$A:$A,My_Audit!Q:Q,""),
_xlfn.IFS(_xlpm.MyAuditVal&lt;&gt;"",UPPER(_xlpm.MyAuditVal),_xlpm.MacVal&lt;&gt;"",_xlpm.MacVal,_xlpm.CSVVal&lt;&gt;"",_xlpm.CSVVal
)),"No")</f>
        <v>No</v>
      </c>
      <c r="Q18" s="40" t="str" cm="1">
        <f t="array" ref="Q18">IFERROR(_xlfn.LET(
_xlpm.CSVVal,_xlfn.XLOOKUP($A18,CSV!$A:$A,CSV!AC:AC,""),
_xlpm.MacVal,_xlfn.XLOOKUP($A18,Output_Mac!$A:$A,Output_Mac!U:U,""),
_xlpm.MyAuditVal,_xlfn.XLOOKUP($A18,My_Audit!$A:$A,My_Audit!R:R,""),
_xlfn.IFS(_xlpm.MyAuditVal&lt;&gt;"",UPPER(_xlpm.MyAuditVal),_xlpm.MacVal&lt;&gt;"",_xlpm.MacVal,_xlpm.CSVVal&lt;&gt;"",_xlpm.CSVVal
)),"")</f>
        <v/>
      </c>
      <c r="R18" s="40"/>
      <c r="S18" s="40"/>
      <c r="T18" s="40"/>
      <c r="U18" s="40"/>
      <c r="V18" s="40"/>
      <c r="W18" s="40"/>
      <c r="X18" s="41" t="str">
        <f>_xlfn.LET(
    _xlpm.MacVal, _xlfn.XLOOKUP($A18, Output_Mac!$A:$A, Output_Mac!AB:AB, ""),
    _xlpm.MyAuditVal, _xlfn.XLOOKUP($A18, My_Audit!$A:$A, My_Audit!N:N, ""),
    _xlfn.TEXTJOIN(", ", TRUE, _xlpm.MyAuditVal, _xlpm.MacVal)
)</f>
        <v/>
      </c>
    </row>
    <row r="19" spans="1:24">
      <c r="A19" s="40" t="str">
        <f>_xlfn.TEXTJOIN("",TRUE,Input!$B$2,ROW(My_Audit!A18))</f>
        <v>X18</v>
      </c>
      <c r="B19" s="40" t="str">
        <f>_xlfn.TEXTJOIN("-",TRUE,"ITD",Input!$A$2,A19)</f>
        <v>ITD-X18</v>
      </c>
      <c r="C19" s="40" t="str" cm="1">
        <f t="array" ref="C19">IFERROR(_xlfn.LET(
_xlpm.CSVVal,_xlfn.XLOOKUP($A19,CSV!$A:$A,CSV!B:B,""),
_xlpm.MacVal,_xlfn.XLOOKUP($A19,Output_Mac!$A:$A,Output_Mac!B:B,""),
_xlpm.MyAuditVal,_xlfn.XLOOKUP($A19,My_Audit!$A:$A,My_Audit!B:B,""),
_xlfn.IFS(_xlpm.MyAuditVal&lt;&gt;"",UPPER(_xlpm.MyAuditVal),_xlpm.MacVal&lt;&gt;"",_xlpm.MacVal,_xlpm.CSVVal&lt;&gt;"",_xlpm.CSVVal
)),"")</f>
        <v/>
      </c>
      <c r="D19" s="40" t="str" cm="1">
        <f t="array" ref="D19">IFERROR(_xlfn.LET(
_xlpm.CSVVal,_xlfn.XLOOKUP($A19,CSV!$A:$A,CSV!D:D,""),
_xlpm.MacVal,_xlfn.XLOOKUP($A19,Output_Mac!$A:$A,Output_Mac!C:C,""),
_xlpm.MyAuditVal,_xlfn.XLOOKUP($A19,My_Audit!$A:$A,My_Audit!C:C,""),
_xlfn.IFS(_xlpm.MyAuditVal&lt;&gt;"",_xlpm.MyAuditVal,_xlpm.MacVal&lt;&gt;"",_xlpm.MacVal,_xlpm.CSVVal&lt;&gt;"",_xlpm.CSVVal
)),"")</f>
        <v/>
      </c>
      <c r="E19" s="40">
        <f>_xlfn.XLOOKUP(A19,My_Audit!A:A,My_Audit!D:D,"")</f>
        <v>0</v>
      </c>
      <c r="F19" s="40" t="str" cm="1">
        <f t="array" ref="F19">IFERROR(_xlfn.LET(
_xlpm.CSVVal,_xlfn.XLOOKUP($A19,CSV!$A:$A,CSV!F:F,""),
_xlpm.MacVal,_xlfn.XLOOKUP($A19,Output_Mac!$A:$A,Output_Mac!E:E,""),
_xlpm.MyAuditVal,_xlfn.XLOOKUP($A19,My_Audit!$A:$A,My_Audit!E:E,""),
_xlfn.IFS(_xlpm.MyAuditVal&lt;&gt;"",_xlpm.MyAuditVal,_xlpm.MacVal&lt;&gt;"",_xlpm.MacVal,_xlpm.CSVVal&lt;&gt;"",_xlpm.CSVVal
)),"")</f>
        <v/>
      </c>
      <c r="G19" s="40" t="str" cm="1">
        <f t="array" ref="G19">IFERROR(_xlfn.LET(
_xlpm.CSVVal,_xlfn.XLOOKUP($A19,CSV!$A:$A,CSV!G:G,""),
_xlpm.MacVal,_xlfn.XLOOKUP($A19,Output_Mac!$A:$A,Output_Mac!F:F,""),
_xlpm.MyAuditVal,_xlfn.XLOOKUP($A19,My_Audit!$A:$A,My_Audit!F:F,""),
_xlfn.IFS(_xlpm.MyAuditVal&lt;&gt;"",_xlpm.MyAuditVal,_xlpm.MacVal&lt;&gt;"",_xlpm.MacVal,_xlpm.CSVVal&lt;&gt;"",PROPER(_xlpm.CSVVal)
)),"")</f>
        <v/>
      </c>
      <c r="H19" s="40" t="str" cm="1">
        <f t="array" ref="H19">IFERROR(_xlfn.LET(
_xlpm.CSVVal,_xlfn.XLOOKUP($A19,CSV!$A:$A,CSV!H:H,""),
_xlpm.MacVal,_xlfn.XLOOKUP($A19,Output_Mac!$A:$A,Output_Mac!H:H,""),
_xlpm.MyAuditVal,_xlfn.XLOOKUP($A19,My_Audit!$A:$A,My_Audit!G:G,""),
_xlfn.IFS(_xlpm.MyAuditVal&lt;&gt;"",_xlpm.MyAuditVal,_xlpm.MacVal&lt;&gt;"",_xlpm.MacVal,_xlpm.CSVVal&lt;&gt;"",_xlpm.CSVVal
)),"")</f>
        <v/>
      </c>
      <c r="I19" s="40" t="str">
        <f>_xlfn.XLOOKUP(A19,Output_Mac!A:A,Output_Mac!I:I,"")</f>
        <v/>
      </c>
      <c r="J19" s="40" t="str" cm="1">
        <f t="array" ref="J19">IFERROR(_xlfn.LET(
_xlpm.CSVVal,_xlfn.XLOOKUP($A19,CSV!$A:$A,CSV!I:I,""),
_xlpm.MacVal,_xlfn.XLOOKUP($A19,Output_Mac!$A:$A,Output_Mac!J:J,""),
_xlpm.MyAuditVal,_xlfn.XLOOKUP($A19,My_Audit!$A:$A,My_Audit!I:I,""),
_xlfn.IFS(_xlpm.MyAuditVal&lt;&gt;"",UPPER(_xlpm.MyAuditVal),_xlpm.MacVal&lt;&gt;"",_xlpm.MacVal,_xlpm.CSVVal&lt;&gt;"",_xlpm.CSVVal
)),"")</f>
        <v/>
      </c>
      <c r="K19" s="40" t="str" cm="1">
        <f t="array" ref="K19">IFERROR(_xlfn.LET(
_xlpm.CSVVal,_xlfn.XLOOKUP($A19,CSV!$A:$A,CSV!K:K,""),
_xlpm.MacVal,_xlfn.XLOOKUP($A19,Output_Mac!$A:$A,Output_Mac!K:K,""),
_xlpm.MyAuditVal,_xlfn.XLOOKUP($A19,My_Audit!$A:$A,My_Audit!J:J,""),
_xlfn.IFS(_xlpm.MyAuditVal&lt;&gt;"",UPPER(_xlpm.MyAuditVal),_xlpm.MacVal&lt;&gt;"",_xlpm.MacVal,_xlpm.CSVVal&lt;&gt;"",_xlpm.CSVVal
)),"")</f>
        <v/>
      </c>
      <c r="L19" s="40" t="str" cm="1">
        <f t="array" ref="L19">IFERROR(_xlfn.LET(
_xlpm.CSVVal,_xlfn.XLOOKUP($A19,CSV!$A:$A,CSV!P:P,""),
_xlpm.MacVal,_xlfn.XLOOKUP($A19,Output_Mac!$A:$A,Output_Mac!L:L,""),
_xlpm.MyAuditVal,_xlfn.XLOOKUP($A19,My_Audit!$A:$A,My_Audit!K:K,""),
_xlfn.IFS(_xlpm.MyAuditVal&lt;&gt;"",UPPER(_xlpm.MyAuditVal),_xlpm.MacVal&lt;&gt;"",_xlpm.MacVal,_xlpm.CSVVal&lt;&gt;"",_xlpm.CSVVal
)),"")</f>
        <v/>
      </c>
      <c r="M19" s="40" t="str" cm="1">
        <f t="array" ref="M19">IFERROR(_xlfn.LET(
_xlpm.CSVVal,_xlfn.XLOOKUP($A19,CSV!$A:$A,CSV!Q:Q,""),
_xlpm.MacVal,_xlfn.XLOOKUP($A19,Output_Mac!$A:$A,Output_Mac!M:M,""),
_xlpm.MyAuditVal,_xlfn.XLOOKUP($A19,My_Audit!$A:$A,My_Audit!L:L,""),
_xlfn.IFS(_xlpm.MyAuditVal&lt;&gt;"",UPPER(_xlpm.MyAuditVal),_xlpm.MacVal&lt;&gt;"",_xlpm.MacVal,_xlpm.CSVVal&lt;&gt;"",_xlpm.CSVVal
)),"")</f>
        <v/>
      </c>
      <c r="N19" s="40"/>
      <c r="O19" s="40" t="str">
        <f>_xlfn.LET(
    _xlpm.CSVVal, _xlfn.XLOOKUP($A19, CSV!$A:$A, CSV!AA:AA, ""),
    _xlpm.MacVal, _xlfn.XLOOKUP($A19, Output_Mac!$A:$A, Output_Mac!S:S, ""),
    _xlpm.MyAuditVal, _xlfn.XLOOKUP($A19, My_Audit!$A:$A, My_Audit!P:P, ""),
    _xlfn.TEXTJOIN(", ", TRUE, _xlpm.MyAuditVal, _xlpm.MacVal, _xlpm.CSVVal)
)</f>
        <v/>
      </c>
      <c r="P19" s="40" t="str" cm="1">
        <f t="array" ref="P19">IFERROR(_xlfn.LET(
_xlpm.CSVVal,_xlfn.XLOOKUP($A19,CSV!$A:$A,CSV!AB:AB,""),
_xlpm.MacVal,_xlfn.XLOOKUP($A19,Output_Mac!$A:$A,Output_Mac!T:T,""),
_xlpm.MyAuditVal,_xlfn.XLOOKUP($A19,My_Audit!$A:$A,My_Audit!Q:Q,""),
_xlfn.IFS(_xlpm.MyAuditVal&lt;&gt;"",UPPER(_xlpm.MyAuditVal),_xlpm.MacVal&lt;&gt;"",_xlpm.MacVal,_xlpm.CSVVal&lt;&gt;"",_xlpm.CSVVal
)),"No")</f>
        <v>No</v>
      </c>
      <c r="Q19" s="40" t="str" cm="1">
        <f t="array" ref="Q19">IFERROR(_xlfn.LET(
_xlpm.CSVVal,_xlfn.XLOOKUP($A19,CSV!$A:$A,CSV!AC:AC,""),
_xlpm.MacVal,_xlfn.XLOOKUP($A19,Output_Mac!$A:$A,Output_Mac!U:U,""),
_xlpm.MyAuditVal,_xlfn.XLOOKUP($A19,My_Audit!$A:$A,My_Audit!R:R,""),
_xlfn.IFS(_xlpm.MyAuditVal&lt;&gt;"",UPPER(_xlpm.MyAuditVal),_xlpm.MacVal&lt;&gt;"",_xlpm.MacVal,_xlpm.CSVVal&lt;&gt;"",_xlpm.CSVVal
)),"")</f>
        <v/>
      </c>
      <c r="R19" s="40"/>
      <c r="S19" s="40"/>
      <c r="T19" s="40"/>
      <c r="U19" s="40"/>
      <c r="V19" s="40"/>
      <c r="W19" s="40"/>
      <c r="X19" s="41" t="str">
        <f>_xlfn.LET(
    _xlpm.MacVal, _xlfn.XLOOKUP($A19, Output_Mac!$A:$A, Output_Mac!AB:AB, ""),
    _xlpm.MyAuditVal, _xlfn.XLOOKUP($A19, My_Audit!$A:$A, My_Audit!N:N, ""),
    _xlfn.TEXTJOIN(", ", TRUE, _xlpm.MyAuditVal, _xlpm.MacVal)
)</f>
        <v/>
      </c>
    </row>
    <row r="20" spans="1:24">
      <c r="A20" s="40" t="str">
        <f>_xlfn.TEXTJOIN("",TRUE,Input!$B$2,ROW(My_Audit!A19))</f>
        <v>X19</v>
      </c>
      <c r="B20" s="40" t="str">
        <f>_xlfn.TEXTJOIN("-",TRUE,"ITD",Input!$A$2,A20)</f>
        <v>ITD-X19</v>
      </c>
      <c r="C20" s="40" t="str" cm="1">
        <f t="array" ref="C20">IFERROR(_xlfn.LET(
_xlpm.CSVVal,_xlfn.XLOOKUP($A20,CSV!$A:$A,CSV!B:B,""),
_xlpm.MacVal,_xlfn.XLOOKUP($A20,Output_Mac!$A:$A,Output_Mac!B:B,""),
_xlpm.MyAuditVal,_xlfn.XLOOKUP($A20,My_Audit!$A:$A,My_Audit!B:B,""),
_xlfn.IFS(_xlpm.MyAuditVal&lt;&gt;"",UPPER(_xlpm.MyAuditVal),_xlpm.MacVal&lt;&gt;"",_xlpm.MacVal,_xlpm.CSVVal&lt;&gt;"",_xlpm.CSVVal
)),"")</f>
        <v/>
      </c>
      <c r="D20" s="40" t="str" cm="1">
        <f t="array" ref="D20">IFERROR(_xlfn.LET(
_xlpm.CSVVal,_xlfn.XLOOKUP($A20,CSV!$A:$A,CSV!D:D,""),
_xlpm.MacVal,_xlfn.XLOOKUP($A20,Output_Mac!$A:$A,Output_Mac!C:C,""),
_xlpm.MyAuditVal,_xlfn.XLOOKUP($A20,My_Audit!$A:$A,My_Audit!C:C,""),
_xlfn.IFS(_xlpm.MyAuditVal&lt;&gt;"",_xlpm.MyAuditVal,_xlpm.MacVal&lt;&gt;"",_xlpm.MacVal,_xlpm.CSVVal&lt;&gt;"",_xlpm.CSVVal
)),"")</f>
        <v/>
      </c>
      <c r="E20" s="40">
        <f>_xlfn.XLOOKUP(A20,My_Audit!A:A,My_Audit!D:D,"")</f>
        <v>0</v>
      </c>
      <c r="F20" s="40" t="str" cm="1">
        <f t="array" ref="F20">IFERROR(_xlfn.LET(
_xlpm.CSVVal,_xlfn.XLOOKUP($A20,CSV!$A:$A,CSV!F:F,""),
_xlpm.MacVal,_xlfn.XLOOKUP($A20,Output_Mac!$A:$A,Output_Mac!E:E,""),
_xlpm.MyAuditVal,_xlfn.XLOOKUP($A20,My_Audit!$A:$A,My_Audit!E:E,""),
_xlfn.IFS(_xlpm.MyAuditVal&lt;&gt;"",_xlpm.MyAuditVal,_xlpm.MacVal&lt;&gt;"",_xlpm.MacVal,_xlpm.CSVVal&lt;&gt;"",_xlpm.CSVVal
)),"")</f>
        <v/>
      </c>
      <c r="G20" s="40" t="str" cm="1">
        <f t="array" ref="G20">IFERROR(_xlfn.LET(
_xlpm.CSVVal,_xlfn.XLOOKUP($A20,CSV!$A:$A,CSV!G:G,""),
_xlpm.MacVal,_xlfn.XLOOKUP($A20,Output_Mac!$A:$A,Output_Mac!F:F,""),
_xlpm.MyAuditVal,_xlfn.XLOOKUP($A20,My_Audit!$A:$A,My_Audit!F:F,""),
_xlfn.IFS(_xlpm.MyAuditVal&lt;&gt;"",_xlpm.MyAuditVal,_xlpm.MacVal&lt;&gt;"",_xlpm.MacVal,_xlpm.CSVVal&lt;&gt;"",PROPER(_xlpm.CSVVal)
)),"")</f>
        <v/>
      </c>
      <c r="H20" s="40" t="str" cm="1">
        <f t="array" ref="H20">IFERROR(_xlfn.LET(
_xlpm.CSVVal,_xlfn.XLOOKUP($A20,CSV!$A:$A,CSV!H:H,""),
_xlpm.MacVal,_xlfn.XLOOKUP($A20,Output_Mac!$A:$A,Output_Mac!H:H,""),
_xlpm.MyAuditVal,_xlfn.XLOOKUP($A20,My_Audit!$A:$A,My_Audit!G:G,""),
_xlfn.IFS(_xlpm.MyAuditVal&lt;&gt;"",_xlpm.MyAuditVal,_xlpm.MacVal&lt;&gt;"",_xlpm.MacVal,_xlpm.CSVVal&lt;&gt;"",_xlpm.CSVVal
)),"")</f>
        <v/>
      </c>
      <c r="I20" s="40" t="str">
        <f>_xlfn.XLOOKUP(A20,Output_Mac!A:A,Output_Mac!I:I,"")</f>
        <v/>
      </c>
      <c r="J20" s="40" t="str" cm="1">
        <f t="array" ref="J20">IFERROR(_xlfn.LET(
_xlpm.CSVVal,_xlfn.XLOOKUP($A20,CSV!$A:$A,CSV!I:I,""),
_xlpm.MacVal,_xlfn.XLOOKUP($A20,Output_Mac!$A:$A,Output_Mac!J:J,""),
_xlpm.MyAuditVal,_xlfn.XLOOKUP($A20,My_Audit!$A:$A,My_Audit!I:I,""),
_xlfn.IFS(_xlpm.MyAuditVal&lt;&gt;"",UPPER(_xlpm.MyAuditVal),_xlpm.MacVal&lt;&gt;"",_xlpm.MacVal,_xlpm.CSVVal&lt;&gt;"",_xlpm.CSVVal
)),"")</f>
        <v/>
      </c>
      <c r="K20" s="40" t="str" cm="1">
        <f t="array" ref="K20">IFERROR(_xlfn.LET(
_xlpm.CSVVal,_xlfn.XLOOKUP($A20,CSV!$A:$A,CSV!K:K,""),
_xlpm.MacVal,_xlfn.XLOOKUP($A20,Output_Mac!$A:$A,Output_Mac!K:K,""),
_xlpm.MyAuditVal,_xlfn.XLOOKUP($A20,My_Audit!$A:$A,My_Audit!J:J,""),
_xlfn.IFS(_xlpm.MyAuditVal&lt;&gt;"",UPPER(_xlpm.MyAuditVal),_xlpm.MacVal&lt;&gt;"",_xlpm.MacVal,_xlpm.CSVVal&lt;&gt;"",_xlpm.CSVVal
)),"")</f>
        <v/>
      </c>
      <c r="L20" s="40" t="str" cm="1">
        <f t="array" ref="L20">IFERROR(_xlfn.LET(
_xlpm.CSVVal,_xlfn.XLOOKUP($A20,CSV!$A:$A,CSV!P:P,""),
_xlpm.MacVal,_xlfn.XLOOKUP($A20,Output_Mac!$A:$A,Output_Mac!L:L,""),
_xlpm.MyAuditVal,_xlfn.XLOOKUP($A20,My_Audit!$A:$A,My_Audit!K:K,""),
_xlfn.IFS(_xlpm.MyAuditVal&lt;&gt;"",UPPER(_xlpm.MyAuditVal),_xlpm.MacVal&lt;&gt;"",_xlpm.MacVal,_xlpm.CSVVal&lt;&gt;"",_xlpm.CSVVal
)),"")</f>
        <v/>
      </c>
      <c r="M20" s="40" t="str" cm="1">
        <f t="array" ref="M20">IFERROR(_xlfn.LET(
_xlpm.CSVVal,_xlfn.XLOOKUP($A20,CSV!$A:$A,CSV!Q:Q,""),
_xlpm.MacVal,_xlfn.XLOOKUP($A20,Output_Mac!$A:$A,Output_Mac!M:M,""),
_xlpm.MyAuditVal,_xlfn.XLOOKUP($A20,My_Audit!$A:$A,My_Audit!L:L,""),
_xlfn.IFS(_xlpm.MyAuditVal&lt;&gt;"",UPPER(_xlpm.MyAuditVal),_xlpm.MacVal&lt;&gt;"",_xlpm.MacVal,_xlpm.CSVVal&lt;&gt;"",_xlpm.CSVVal
)),"")</f>
        <v/>
      </c>
      <c r="N20" s="40"/>
      <c r="O20" s="40" t="str">
        <f>_xlfn.LET(
    _xlpm.CSVVal, _xlfn.XLOOKUP($A20, CSV!$A:$A, CSV!AA:AA, ""),
    _xlpm.MacVal, _xlfn.XLOOKUP($A20, Output_Mac!$A:$A, Output_Mac!S:S, ""),
    _xlpm.MyAuditVal, _xlfn.XLOOKUP($A20, My_Audit!$A:$A, My_Audit!P:P, ""),
    _xlfn.TEXTJOIN(", ", TRUE, _xlpm.MyAuditVal, _xlpm.MacVal, _xlpm.CSVVal)
)</f>
        <v/>
      </c>
      <c r="P20" s="40" t="str" cm="1">
        <f t="array" ref="P20">IFERROR(_xlfn.LET(
_xlpm.CSVVal,_xlfn.XLOOKUP($A20,CSV!$A:$A,CSV!AB:AB,""),
_xlpm.MacVal,_xlfn.XLOOKUP($A20,Output_Mac!$A:$A,Output_Mac!T:T,""),
_xlpm.MyAuditVal,_xlfn.XLOOKUP($A20,My_Audit!$A:$A,My_Audit!Q:Q,""),
_xlfn.IFS(_xlpm.MyAuditVal&lt;&gt;"",UPPER(_xlpm.MyAuditVal),_xlpm.MacVal&lt;&gt;"",_xlpm.MacVal,_xlpm.CSVVal&lt;&gt;"",_xlpm.CSVVal
)),"No")</f>
        <v>No</v>
      </c>
      <c r="Q20" s="40" t="str" cm="1">
        <f t="array" ref="Q20">IFERROR(_xlfn.LET(
_xlpm.CSVVal,_xlfn.XLOOKUP($A20,CSV!$A:$A,CSV!AC:AC,""),
_xlpm.MacVal,_xlfn.XLOOKUP($A20,Output_Mac!$A:$A,Output_Mac!U:U,""),
_xlpm.MyAuditVal,_xlfn.XLOOKUP($A20,My_Audit!$A:$A,My_Audit!R:R,""),
_xlfn.IFS(_xlpm.MyAuditVal&lt;&gt;"",UPPER(_xlpm.MyAuditVal),_xlpm.MacVal&lt;&gt;"",_xlpm.MacVal,_xlpm.CSVVal&lt;&gt;"",_xlpm.CSVVal
)),"")</f>
        <v/>
      </c>
      <c r="R20" s="40"/>
      <c r="S20" s="40"/>
      <c r="T20" s="40"/>
      <c r="U20" s="40"/>
      <c r="V20" s="40"/>
      <c r="W20" s="40"/>
      <c r="X20" s="41" t="str">
        <f>_xlfn.LET(
    _xlpm.MacVal, _xlfn.XLOOKUP($A20, Output_Mac!$A:$A, Output_Mac!AB:AB, ""),
    _xlpm.MyAuditVal, _xlfn.XLOOKUP($A20, My_Audit!$A:$A, My_Audit!N:N, ""),
    _xlfn.TEXTJOIN(", ", TRUE, _xlpm.MyAuditVal, _xlpm.MacVal)
)</f>
        <v/>
      </c>
    </row>
    <row r="21" spans="1:24">
      <c r="A21" s="40" t="str">
        <f>_xlfn.TEXTJOIN("",TRUE,Input!$B$2,ROW(My_Audit!A20))</f>
        <v>X20</v>
      </c>
      <c r="B21" s="40" t="str">
        <f>_xlfn.TEXTJOIN("-",TRUE,"ITD",Input!$A$2,A21)</f>
        <v>ITD-X20</v>
      </c>
      <c r="C21" s="40" t="str" cm="1">
        <f t="array" ref="C21">IFERROR(_xlfn.LET(
_xlpm.CSVVal,_xlfn.XLOOKUP($A21,CSV!$A:$A,CSV!B:B,""),
_xlpm.MacVal,_xlfn.XLOOKUP($A21,Output_Mac!$A:$A,Output_Mac!B:B,""),
_xlpm.MyAuditVal,_xlfn.XLOOKUP($A21,My_Audit!$A:$A,My_Audit!B:B,""),
_xlfn.IFS(_xlpm.MyAuditVal&lt;&gt;"",UPPER(_xlpm.MyAuditVal),_xlpm.MacVal&lt;&gt;"",_xlpm.MacVal,_xlpm.CSVVal&lt;&gt;"",_xlpm.CSVVal
)),"")</f>
        <v/>
      </c>
      <c r="D21" s="40" t="str" cm="1">
        <f t="array" ref="D21">IFERROR(_xlfn.LET(
_xlpm.CSVVal,_xlfn.XLOOKUP($A21,CSV!$A:$A,CSV!D:D,""),
_xlpm.MacVal,_xlfn.XLOOKUP($A21,Output_Mac!$A:$A,Output_Mac!C:C,""),
_xlpm.MyAuditVal,_xlfn.XLOOKUP($A21,My_Audit!$A:$A,My_Audit!C:C,""),
_xlfn.IFS(_xlpm.MyAuditVal&lt;&gt;"",_xlpm.MyAuditVal,_xlpm.MacVal&lt;&gt;"",_xlpm.MacVal,_xlpm.CSVVal&lt;&gt;"",_xlpm.CSVVal
)),"")</f>
        <v/>
      </c>
      <c r="E21" s="40">
        <f>_xlfn.XLOOKUP(A21,My_Audit!A:A,My_Audit!D:D,"")</f>
        <v>0</v>
      </c>
      <c r="F21" s="40" t="str" cm="1">
        <f t="array" ref="F21">IFERROR(_xlfn.LET(
_xlpm.CSVVal,_xlfn.XLOOKUP($A21,CSV!$A:$A,CSV!F:F,""),
_xlpm.MacVal,_xlfn.XLOOKUP($A21,Output_Mac!$A:$A,Output_Mac!E:E,""),
_xlpm.MyAuditVal,_xlfn.XLOOKUP($A21,My_Audit!$A:$A,My_Audit!E:E,""),
_xlfn.IFS(_xlpm.MyAuditVal&lt;&gt;"",_xlpm.MyAuditVal,_xlpm.MacVal&lt;&gt;"",_xlpm.MacVal,_xlpm.CSVVal&lt;&gt;"",_xlpm.CSVVal
)),"")</f>
        <v/>
      </c>
      <c r="G21" s="40" t="str" cm="1">
        <f t="array" ref="G21">IFERROR(_xlfn.LET(
_xlpm.CSVVal,_xlfn.XLOOKUP($A21,CSV!$A:$A,CSV!G:G,""),
_xlpm.MacVal,_xlfn.XLOOKUP($A21,Output_Mac!$A:$A,Output_Mac!F:F,""),
_xlpm.MyAuditVal,_xlfn.XLOOKUP($A21,My_Audit!$A:$A,My_Audit!F:F,""),
_xlfn.IFS(_xlpm.MyAuditVal&lt;&gt;"",_xlpm.MyAuditVal,_xlpm.MacVal&lt;&gt;"",_xlpm.MacVal,_xlpm.CSVVal&lt;&gt;"",PROPER(_xlpm.CSVVal)
)),"")</f>
        <v/>
      </c>
      <c r="H21" s="40" t="str" cm="1">
        <f t="array" ref="H21">IFERROR(_xlfn.LET(
_xlpm.CSVVal,_xlfn.XLOOKUP($A21,CSV!$A:$A,CSV!H:H,""),
_xlpm.MacVal,_xlfn.XLOOKUP($A21,Output_Mac!$A:$A,Output_Mac!H:H,""),
_xlpm.MyAuditVal,_xlfn.XLOOKUP($A21,My_Audit!$A:$A,My_Audit!G:G,""),
_xlfn.IFS(_xlpm.MyAuditVal&lt;&gt;"",_xlpm.MyAuditVal,_xlpm.MacVal&lt;&gt;"",_xlpm.MacVal,_xlpm.CSVVal&lt;&gt;"",_xlpm.CSVVal
)),"")</f>
        <v/>
      </c>
      <c r="I21" s="40" t="str">
        <f>_xlfn.XLOOKUP(A21,Output_Mac!A:A,Output_Mac!I:I,"")</f>
        <v/>
      </c>
      <c r="J21" s="40" t="str" cm="1">
        <f t="array" ref="J21">IFERROR(_xlfn.LET(
_xlpm.CSVVal,_xlfn.XLOOKUP($A21,CSV!$A:$A,CSV!I:I,""),
_xlpm.MacVal,_xlfn.XLOOKUP($A21,Output_Mac!$A:$A,Output_Mac!J:J,""),
_xlpm.MyAuditVal,_xlfn.XLOOKUP($A21,My_Audit!$A:$A,My_Audit!I:I,""),
_xlfn.IFS(_xlpm.MyAuditVal&lt;&gt;"",UPPER(_xlpm.MyAuditVal),_xlpm.MacVal&lt;&gt;"",_xlpm.MacVal,_xlpm.CSVVal&lt;&gt;"",_xlpm.CSVVal
)),"")</f>
        <v/>
      </c>
      <c r="K21" s="40" t="str" cm="1">
        <f t="array" ref="K21">IFERROR(_xlfn.LET(
_xlpm.CSVVal,_xlfn.XLOOKUP($A21,CSV!$A:$A,CSV!K:K,""),
_xlpm.MacVal,_xlfn.XLOOKUP($A21,Output_Mac!$A:$A,Output_Mac!K:K,""),
_xlpm.MyAuditVal,_xlfn.XLOOKUP($A21,My_Audit!$A:$A,My_Audit!J:J,""),
_xlfn.IFS(_xlpm.MyAuditVal&lt;&gt;"",UPPER(_xlpm.MyAuditVal),_xlpm.MacVal&lt;&gt;"",_xlpm.MacVal,_xlpm.CSVVal&lt;&gt;"",_xlpm.CSVVal
)),"")</f>
        <v/>
      </c>
      <c r="L21" s="40" t="str" cm="1">
        <f t="array" ref="L21">IFERROR(_xlfn.LET(
_xlpm.CSVVal,_xlfn.XLOOKUP($A21,CSV!$A:$A,CSV!P:P,""),
_xlpm.MacVal,_xlfn.XLOOKUP($A21,Output_Mac!$A:$A,Output_Mac!L:L,""),
_xlpm.MyAuditVal,_xlfn.XLOOKUP($A21,My_Audit!$A:$A,My_Audit!K:K,""),
_xlfn.IFS(_xlpm.MyAuditVal&lt;&gt;"",UPPER(_xlpm.MyAuditVal),_xlpm.MacVal&lt;&gt;"",_xlpm.MacVal,_xlpm.CSVVal&lt;&gt;"",_xlpm.CSVVal
)),"")</f>
        <v/>
      </c>
      <c r="M21" s="40" t="str" cm="1">
        <f t="array" ref="M21">IFERROR(_xlfn.LET(
_xlpm.CSVVal,_xlfn.XLOOKUP($A21,CSV!$A:$A,CSV!Q:Q,""),
_xlpm.MacVal,_xlfn.XLOOKUP($A21,Output_Mac!$A:$A,Output_Mac!M:M,""),
_xlpm.MyAuditVal,_xlfn.XLOOKUP($A21,My_Audit!$A:$A,My_Audit!L:L,""),
_xlfn.IFS(_xlpm.MyAuditVal&lt;&gt;"",UPPER(_xlpm.MyAuditVal),_xlpm.MacVal&lt;&gt;"",_xlpm.MacVal,_xlpm.CSVVal&lt;&gt;"",_xlpm.CSVVal
)),"")</f>
        <v/>
      </c>
      <c r="N21" s="40"/>
      <c r="O21" s="40" t="str">
        <f>_xlfn.LET(
    _xlpm.CSVVal, _xlfn.XLOOKUP($A21, CSV!$A:$A, CSV!AA:AA, ""),
    _xlpm.MacVal, _xlfn.XLOOKUP($A21, Output_Mac!$A:$A, Output_Mac!S:S, ""),
    _xlpm.MyAuditVal, _xlfn.XLOOKUP($A21, My_Audit!$A:$A, My_Audit!P:P, ""),
    _xlfn.TEXTJOIN(", ", TRUE, _xlpm.MyAuditVal, _xlpm.MacVal, _xlpm.CSVVal)
)</f>
        <v/>
      </c>
      <c r="P21" s="40" t="str" cm="1">
        <f t="array" ref="P21">IFERROR(_xlfn.LET(
_xlpm.CSVVal,_xlfn.XLOOKUP($A21,CSV!$A:$A,CSV!AB:AB,""),
_xlpm.MacVal,_xlfn.XLOOKUP($A21,Output_Mac!$A:$A,Output_Mac!T:T,""),
_xlpm.MyAuditVal,_xlfn.XLOOKUP($A21,My_Audit!$A:$A,My_Audit!Q:Q,""),
_xlfn.IFS(_xlpm.MyAuditVal&lt;&gt;"",UPPER(_xlpm.MyAuditVal),_xlpm.MacVal&lt;&gt;"",_xlpm.MacVal,_xlpm.CSVVal&lt;&gt;"",_xlpm.CSVVal
)),"No")</f>
        <v>No</v>
      </c>
      <c r="Q21" s="40" t="str" cm="1">
        <f t="array" ref="Q21">IFERROR(_xlfn.LET(
_xlpm.CSVVal,_xlfn.XLOOKUP($A21,CSV!$A:$A,CSV!AC:AC,""),
_xlpm.MacVal,_xlfn.XLOOKUP($A21,Output_Mac!$A:$A,Output_Mac!U:U,""),
_xlpm.MyAuditVal,_xlfn.XLOOKUP($A21,My_Audit!$A:$A,My_Audit!R:R,""),
_xlfn.IFS(_xlpm.MyAuditVal&lt;&gt;"",UPPER(_xlpm.MyAuditVal),_xlpm.MacVal&lt;&gt;"",_xlpm.MacVal,_xlpm.CSVVal&lt;&gt;"",_xlpm.CSVVal
)),"")</f>
        <v/>
      </c>
      <c r="R21" s="40"/>
      <c r="S21" s="40"/>
      <c r="T21" s="40"/>
      <c r="U21" s="40"/>
      <c r="V21" s="40"/>
      <c r="W21" s="40"/>
      <c r="X21" s="41" t="str">
        <f>_xlfn.LET(
    _xlpm.MacVal, _xlfn.XLOOKUP($A21, Output_Mac!$A:$A, Output_Mac!AB:AB, ""),
    _xlpm.MyAuditVal, _xlfn.XLOOKUP($A21, My_Audit!$A:$A, My_Audit!N:N, ""),
    _xlfn.TEXTJOIN(", ", TRUE, _xlpm.MyAuditVal, _xlpm.MacVal)
)</f>
        <v/>
      </c>
    </row>
    <row r="22" spans="1:24">
      <c r="A22" s="40" t="str">
        <f>_xlfn.TEXTJOIN("",TRUE,Input!$B$2,ROW(My_Audit!A21))</f>
        <v>X21</v>
      </c>
      <c r="B22" s="40" t="str">
        <f>_xlfn.TEXTJOIN("-",TRUE,"ITD",Input!$A$2,A22)</f>
        <v>ITD-X21</v>
      </c>
      <c r="C22" s="40" t="str" cm="1">
        <f t="array" ref="C22">IFERROR(_xlfn.LET(
_xlpm.CSVVal,_xlfn.XLOOKUP($A22,CSV!$A:$A,CSV!B:B,""),
_xlpm.MacVal,_xlfn.XLOOKUP($A22,Output_Mac!$A:$A,Output_Mac!B:B,""),
_xlpm.MyAuditVal,_xlfn.XLOOKUP($A22,My_Audit!$A:$A,My_Audit!B:B,""),
_xlfn.IFS(_xlpm.MyAuditVal&lt;&gt;"",UPPER(_xlpm.MyAuditVal),_xlpm.MacVal&lt;&gt;"",_xlpm.MacVal,_xlpm.CSVVal&lt;&gt;"",_xlpm.CSVVal
)),"")</f>
        <v/>
      </c>
      <c r="D22" s="40" t="str" cm="1">
        <f t="array" ref="D22">IFERROR(_xlfn.LET(
_xlpm.CSVVal,_xlfn.XLOOKUP($A22,CSV!$A:$A,CSV!D:D,""),
_xlpm.MacVal,_xlfn.XLOOKUP($A22,Output_Mac!$A:$A,Output_Mac!C:C,""),
_xlpm.MyAuditVal,_xlfn.XLOOKUP($A22,My_Audit!$A:$A,My_Audit!C:C,""),
_xlfn.IFS(_xlpm.MyAuditVal&lt;&gt;"",_xlpm.MyAuditVal,_xlpm.MacVal&lt;&gt;"",_xlpm.MacVal,_xlpm.CSVVal&lt;&gt;"",_xlpm.CSVVal
)),"")</f>
        <v/>
      </c>
      <c r="E22" s="40">
        <f>_xlfn.XLOOKUP(A22,My_Audit!A:A,My_Audit!D:D,"")</f>
        <v>0</v>
      </c>
      <c r="F22" s="40" t="str" cm="1">
        <f t="array" ref="F22">IFERROR(_xlfn.LET(
_xlpm.CSVVal,_xlfn.XLOOKUP($A22,CSV!$A:$A,CSV!F:F,""),
_xlpm.MacVal,_xlfn.XLOOKUP($A22,Output_Mac!$A:$A,Output_Mac!E:E,""),
_xlpm.MyAuditVal,_xlfn.XLOOKUP($A22,My_Audit!$A:$A,My_Audit!E:E,""),
_xlfn.IFS(_xlpm.MyAuditVal&lt;&gt;"",_xlpm.MyAuditVal,_xlpm.MacVal&lt;&gt;"",_xlpm.MacVal,_xlpm.CSVVal&lt;&gt;"",_xlpm.CSVVal
)),"")</f>
        <v/>
      </c>
      <c r="G22" s="40" t="str" cm="1">
        <f t="array" ref="G22">IFERROR(_xlfn.LET(
_xlpm.CSVVal,_xlfn.XLOOKUP($A22,CSV!$A:$A,CSV!G:G,""),
_xlpm.MacVal,_xlfn.XLOOKUP($A22,Output_Mac!$A:$A,Output_Mac!F:F,""),
_xlpm.MyAuditVal,_xlfn.XLOOKUP($A22,My_Audit!$A:$A,My_Audit!F:F,""),
_xlfn.IFS(_xlpm.MyAuditVal&lt;&gt;"",_xlpm.MyAuditVal,_xlpm.MacVal&lt;&gt;"",_xlpm.MacVal,_xlpm.CSVVal&lt;&gt;"",PROPER(_xlpm.CSVVal)
)),"")</f>
        <v/>
      </c>
      <c r="H22" s="40" t="str" cm="1">
        <f t="array" ref="H22">IFERROR(_xlfn.LET(
_xlpm.CSVVal,_xlfn.XLOOKUP($A22,CSV!$A:$A,CSV!H:H,""),
_xlpm.MacVal,_xlfn.XLOOKUP($A22,Output_Mac!$A:$A,Output_Mac!H:H,""),
_xlpm.MyAuditVal,_xlfn.XLOOKUP($A22,My_Audit!$A:$A,My_Audit!G:G,""),
_xlfn.IFS(_xlpm.MyAuditVal&lt;&gt;"",_xlpm.MyAuditVal,_xlpm.MacVal&lt;&gt;"",_xlpm.MacVal,_xlpm.CSVVal&lt;&gt;"",_xlpm.CSVVal
)),"")</f>
        <v/>
      </c>
      <c r="I22" s="40" t="str">
        <f>_xlfn.XLOOKUP(A22,Output_Mac!A:A,Output_Mac!I:I,"")</f>
        <v/>
      </c>
      <c r="J22" s="40" t="str" cm="1">
        <f t="array" ref="J22">IFERROR(_xlfn.LET(
_xlpm.CSVVal,_xlfn.XLOOKUP($A22,CSV!$A:$A,CSV!I:I,""),
_xlpm.MacVal,_xlfn.XLOOKUP($A22,Output_Mac!$A:$A,Output_Mac!J:J,""),
_xlpm.MyAuditVal,_xlfn.XLOOKUP($A22,My_Audit!$A:$A,My_Audit!I:I,""),
_xlfn.IFS(_xlpm.MyAuditVal&lt;&gt;"",UPPER(_xlpm.MyAuditVal),_xlpm.MacVal&lt;&gt;"",_xlpm.MacVal,_xlpm.CSVVal&lt;&gt;"",_xlpm.CSVVal
)),"")</f>
        <v/>
      </c>
      <c r="K22" s="40" t="str" cm="1">
        <f t="array" ref="K22">IFERROR(_xlfn.LET(
_xlpm.CSVVal,_xlfn.XLOOKUP($A22,CSV!$A:$A,CSV!K:K,""),
_xlpm.MacVal,_xlfn.XLOOKUP($A22,Output_Mac!$A:$A,Output_Mac!K:K,""),
_xlpm.MyAuditVal,_xlfn.XLOOKUP($A22,My_Audit!$A:$A,My_Audit!J:J,""),
_xlfn.IFS(_xlpm.MyAuditVal&lt;&gt;"",UPPER(_xlpm.MyAuditVal),_xlpm.MacVal&lt;&gt;"",_xlpm.MacVal,_xlpm.CSVVal&lt;&gt;"",_xlpm.CSVVal
)),"")</f>
        <v/>
      </c>
      <c r="L22" s="40" t="str" cm="1">
        <f t="array" ref="L22">IFERROR(_xlfn.LET(
_xlpm.CSVVal,_xlfn.XLOOKUP($A22,CSV!$A:$A,CSV!P:P,""),
_xlpm.MacVal,_xlfn.XLOOKUP($A22,Output_Mac!$A:$A,Output_Mac!L:L,""),
_xlpm.MyAuditVal,_xlfn.XLOOKUP($A22,My_Audit!$A:$A,My_Audit!K:K,""),
_xlfn.IFS(_xlpm.MyAuditVal&lt;&gt;"",UPPER(_xlpm.MyAuditVal),_xlpm.MacVal&lt;&gt;"",_xlpm.MacVal,_xlpm.CSVVal&lt;&gt;"",_xlpm.CSVVal
)),"")</f>
        <v/>
      </c>
      <c r="M22" s="40" t="str" cm="1">
        <f t="array" ref="M22">IFERROR(_xlfn.LET(
_xlpm.CSVVal,_xlfn.XLOOKUP($A22,CSV!$A:$A,CSV!Q:Q,""),
_xlpm.MacVal,_xlfn.XLOOKUP($A22,Output_Mac!$A:$A,Output_Mac!M:M,""),
_xlpm.MyAuditVal,_xlfn.XLOOKUP($A22,My_Audit!$A:$A,My_Audit!L:L,""),
_xlfn.IFS(_xlpm.MyAuditVal&lt;&gt;"",UPPER(_xlpm.MyAuditVal),_xlpm.MacVal&lt;&gt;"",_xlpm.MacVal,_xlpm.CSVVal&lt;&gt;"",_xlpm.CSVVal
)),"")</f>
        <v/>
      </c>
      <c r="N22" s="40"/>
      <c r="O22" s="40" t="str">
        <f>_xlfn.LET(
    _xlpm.CSVVal, _xlfn.XLOOKUP($A22, CSV!$A:$A, CSV!AA:AA, ""),
    _xlpm.MacVal, _xlfn.XLOOKUP($A22, Output_Mac!$A:$A, Output_Mac!S:S, ""),
    _xlpm.MyAuditVal, _xlfn.XLOOKUP($A22, My_Audit!$A:$A, My_Audit!P:P, ""),
    _xlfn.TEXTJOIN(", ", TRUE, _xlpm.MyAuditVal, _xlpm.MacVal, _xlpm.CSVVal)
)</f>
        <v/>
      </c>
      <c r="P22" s="40" t="str" cm="1">
        <f t="array" ref="P22">IFERROR(_xlfn.LET(
_xlpm.CSVVal,_xlfn.XLOOKUP($A22,CSV!$A:$A,CSV!AB:AB,""),
_xlpm.MacVal,_xlfn.XLOOKUP($A22,Output_Mac!$A:$A,Output_Mac!T:T,""),
_xlpm.MyAuditVal,_xlfn.XLOOKUP($A22,My_Audit!$A:$A,My_Audit!Q:Q,""),
_xlfn.IFS(_xlpm.MyAuditVal&lt;&gt;"",UPPER(_xlpm.MyAuditVal),_xlpm.MacVal&lt;&gt;"",_xlpm.MacVal,_xlpm.CSVVal&lt;&gt;"",_xlpm.CSVVal
)),"No")</f>
        <v>No</v>
      </c>
      <c r="Q22" s="40" t="str" cm="1">
        <f t="array" ref="Q22">IFERROR(_xlfn.LET(
_xlpm.CSVVal,_xlfn.XLOOKUP($A22,CSV!$A:$A,CSV!AC:AC,""),
_xlpm.MacVal,_xlfn.XLOOKUP($A22,Output_Mac!$A:$A,Output_Mac!U:U,""),
_xlpm.MyAuditVal,_xlfn.XLOOKUP($A22,My_Audit!$A:$A,My_Audit!R:R,""),
_xlfn.IFS(_xlpm.MyAuditVal&lt;&gt;"",UPPER(_xlpm.MyAuditVal),_xlpm.MacVal&lt;&gt;"",_xlpm.MacVal,_xlpm.CSVVal&lt;&gt;"",_xlpm.CSVVal
)),"")</f>
        <v/>
      </c>
      <c r="R22" s="40"/>
      <c r="S22" s="40"/>
      <c r="T22" s="40"/>
      <c r="U22" s="40"/>
      <c r="V22" s="40"/>
      <c r="W22" s="40"/>
      <c r="X22" s="41" t="str">
        <f>_xlfn.LET(
    _xlpm.MacVal, _xlfn.XLOOKUP($A22, Output_Mac!$A:$A, Output_Mac!AB:AB, ""),
    _xlpm.MyAuditVal, _xlfn.XLOOKUP($A22, My_Audit!$A:$A, My_Audit!N:N, ""),
    _xlfn.TEXTJOIN(", ", TRUE, _xlpm.MyAuditVal, _xlpm.MacVal)
)</f>
        <v/>
      </c>
    </row>
    <row r="23" spans="1:24">
      <c r="A23" s="40" t="str">
        <f>_xlfn.TEXTJOIN("",TRUE,Input!$B$2,ROW(My_Audit!A22))</f>
        <v>X22</v>
      </c>
      <c r="B23" s="40" t="str">
        <f>_xlfn.TEXTJOIN("-",TRUE,"ITD",Input!$A$2,A23)</f>
        <v>ITD-X22</v>
      </c>
      <c r="C23" s="40" t="str" cm="1">
        <f t="array" ref="C23">IFERROR(_xlfn.LET(
_xlpm.CSVVal,_xlfn.XLOOKUP($A23,CSV!$A:$A,CSV!B:B,""),
_xlpm.MacVal,_xlfn.XLOOKUP($A23,Output_Mac!$A:$A,Output_Mac!B:B,""),
_xlpm.MyAuditVal,_xlfn.XLOOKUP($A23,My_Audit!$A:$A,My_Audit!B:B,""),
_xlfn.IFS(_xlpm.MyAuditVal&lt;&gt;"",UPPER(_xlpm.MyAuditVal),_xlpm.MacVal&lt;&gt;"",_xlpm.MacVal,_xlpm.CSVVal&lt;&gt;"",_xlpm.CSVVal
)),"")</f>
        <v/>
      </c>
      <c r="D23" s="40" t="str" cm="1">
        <f t="array" ref="D23">IFERROR(_xlfn.LET(
_xlpm.CSVVal,_xlfn.XLOOKUP($A23,CSV!$A:$A,CSV!D:D,""),
_xlpm.MacVal,_xlfn.XLOOKUP($A23,Output_Mac!$A:$A,Output_Mac!C:C,""),
_xlpm.MyAuditVal,_xlfn.XLOOKUP($A23,My_Audit!$A:$A,My_Audit!C:C,""),
_xlfn.IFS(_xlpm.MyAuditVal&lt;&gt;"",_xlpm.MyAuditVal,_xlpm.MacVal&lt;&gt;"",_xlpm.MacVal,_xlpm.CSVVal&lt;&gt;"",_xlpm.CSVVal
)),"")</f>
        <v/>
      </c>
      <c r="E23" s="40">
        <f>_xlfn.XLOOKUP(A23,My_Audit!A:A,My_Audit!D:D,"")</f>
        <v>0</v>
      </c>
      <c r="F23" s="40" t="str" cm="1">
        <f t="array" ref="F23">IFERROR(_xlfn.LET(
_xlpm.CSVVal,_xlfn.XLOOKUP($A23,CSV!$A:$A,CSV!F:F,""),
_xlpm.MacVal,_xlfn.XLOOKUP($A23,Output_Mac!$A:$A,Output_Mac!E:E,""),
_xlpm.MyAuditVal,_xlfn.XLOOKUP($A23,My_Audit!$A:$A,My_Audit!E:E,""),
_xlfn.IFS(_xlpm.MyAuditVal&lt;&gt;"",_xlpm.MyAuditVal,_xlpm.MacVal&lt;&gt;"",_xlpm.MacVal,_xlpm.CSVVal&lt;&gt;"",_xlpm.CSVVal
)),"")</f>
        <v/>
      </c>
      <c r="G23" s="40" t="str" cm="1">
        <f t="array" ref="G23">IFERROR(_xlfn.LET(
_xlpm.CSVVal,_xlfn.XLOOKUP($A23,CSV!$A:$A,CSV!G:G,""),
_xlpm.MacVal,_xlfn.XLOOKUP($A23,Output_Mac!$A:$A,Output_Mac!F:F,""),
_xlpm.MyAuditVal,_xlfn.XLOOKUP($A23,My_Audit!$A:$A,My_Audit!F:F,""),
_xlfn.IFS(_xlpm.MyAuditVal&lt;&gt;"",_xlpm.MyAuditVal,_xlpm.MacVal&lt;&gt;"",_xlpm.MacVal,_xlpm.CSVVal&lt;&gt;"",PROPER(_xlpm.CSVVal)
)),"")</f>
        <v/>
      </c>
      <c r="H23" s="40" t="str" cm="1">
        <f t="array" ref="H23">IFERROR(_xlfn.LET(
_xlpm.CSVVal,_xlfn.XLOOKUP($A23,CSV!$A:$A,CSV!H:H,""),
_xlpm.MacVal,_xlfn.XLOOKUP($A23,Output_Mac!$A:$A,Output_Mac!H:H,""),
_xlpm.MyAuditVal,_xlfn.XLOOKUP($A23,My_Audit!$A:$A,My_Audit!G:G,""),
_xlfn.IFS(_xlpm.MyAuditVal&lt;&gt;"",_xlpm.MyAuditVal,_xlpm.MacVal&lt;&gt;"",_xlpm.MacVal,_xlpm.CSVVal&lt;&gt;"",_xlpm.CSVVal
)),"")</f>
        <v/>
      </c>
      <c r="I23" s="40" t="str">
        <f>_xlfn.XLOOKUP(A23,Output_Mac!A:A,Output_Mac!I:I,"")</f>
        <v/>
      </c>
      <c r="J23" s="40" t="str" cm="1">
        <f t="array" ref="J23">IFERROR(_xlfn.LET(
_xlpm.CSVVal,_xlfn.XLOOKUP($A23,CSV!$A:$A,CSV!I:I,""),
_xlpm.MacVal,_xlfn.XLOOKUP($A23,Output_Mac!$A:$A,Output_Mac!J:J,""),
_xlpm.MyAuditVal,_xlfn.XLOOKUP($A23,My_Audit!$A:$A,My_Audit!I:I,""),
_xlfn.IFS(_xlpm.MyAuditVal&lt;&gt;"",UPPER(_xlpm.MyAuditVal),_xlpm.MacVal&lt;&gt;"",_xlpm.MacVal,_xlpm.CSVVal&lt;&gt;"",_xlpm.CSVVal
)),"")</f>
        <v/>
      </c>
      <c r="K23" s="40" t="str" cm="1">
        <f t="array" ref="K23">IFERROR(_xlfn.LET(
_xlpm.CSVVal,_xlfn.XLOOKUP($A23,CSV!$A:$A,CSV!K:K,""),
_xlpm.MacVal,_xlfn.XLOOKUP($A23,Output_Mac!$A:$A,Output_Mac!K:K,""),
_xlpm.MyAuditVal,_xlfn.XLOOKUP($A23,My_Audit!$A:$A,My_Audit!J:J,""),
_xlfn.IFS(_xlpm.MyAuditVal&lt;&gt;"",UPPER(_xlpm.MyAuditVal),_xlpm.MacVal&lt;&gt;"",_xlpm.MacVal,_xlpm.CSVVal&lt;&gt;"",_xlpm.CSVVal
)),"")</f>
        <v/>
      </c>
      <c r="L23" s="40" t="str" cm="1">
        <f t="array" ref="L23">IFERROR(_xlfn.LET(
_xlpm.CSVVal,_xlfn.XLOOKUP($A23,CSV!$A:$A,CSV!P:P,""),
_xlpm.MacVal,_xlfn.XLOOKUP($A23,Output_Mac!$A:$A,Output_Mac!L:L,""),
_xlpm.MyAuditVal,_xlfn.XLOOKUP($A23,My_Audit!$A:$A,My_Audit!K:K,""),
_xlfn.IFS(_xlpm.MyAuditVal&lt;&gt;"",UPPER(_xlpm.MyAuditVal),_xlpm.MacVal&lt;&gt;"",_xlpm.MacVal,_xlpm.CSVVal&lt;&gt;"",_xlpm.CSVVal
)),"")</f>
        <v/>
      </c>
      <c r="M23" s="40" t="str" cm="1">
        <f t="array" ref="M23">IFERROR(_xlfn.LET(
_xlpm.CSVVal,_xlfn.XLOOKUP($A23,CSV!$A:$A,CSV!Q:Q,""),
_xlpm.MacVal,_xlfn.XLOOKUP($A23,Output_Mac!$A:$A,Output_Mac!M:M,""),
_xlpm.MyAuditVal,_xlfn.XLOOKUP($A23,My_Audit!$A:$A,My_Audit!L:L,""),
_xlfn.IFS(_xlpm.MyAuditVal&lt;&gt;"",UPPER(_xlpm.MyAuditVal),_xlpm.MacVal&lt;&gt;"",_xlpm.MacVal,_xlpm.CSVVal&lt;&gt;"",_xlpm.CSVVal
)),"")</f>
        <v/>
      </c>
      <c r="N23" s="40"/>
      <c r="O23" s="40" t="str">
        <f>_xlfn.LET(
    _xlpm.CSVVal, _xlfn.XLOOKUP($A23, CSV!$A:$A, CSV!AA:AA, ""),
    _xlpm.MacVal, _xlfn.XLOOKUP($A23, Output_Mac!$A:$A, Output_Mac!S:S, ""),
    _xlpm.MyAuditVal, _xlfn.XLOOKUP($A23, My_Audit!$A:$A, My_Audit!P:P, ""),
    _xlfn.TEXTJOIN(", ", TRUE, _xlpm.MyAuditVal, _xlpm.MacVal, _xlpm.CSVVal)
)</f>
        <v/>
      </c>
      <c r="P23" s="40" t="str" cm="1">
        <f t="array" ref="P23">IFERROR(_xlfn.LET(
_xlpm.CSVVal,_xlfn.XLOOKUP($A23,CSV!$A:$A,CSV!AB:AB,""),
_xlpm.MacVal,_xlfn.XLOOKUP($A23,Output_Mac!$A:$A,Output_Mac!T:T,""),
_xlpm.MyAuditVal,_xlfn.XLOOKUP($A23,My_Audit!$A:$A,My_Audit!Q:Q,""),
_xlfn.IFS(_xlpm.MyAuditVal&lt;&gt;"",UPPER(_xlpm.MyAuditVal),_xlpm.MacVal&lt;&gt;"",_xlpm.MacVal,_xlpm.CSVVal&lt;&gt;"",_xlpm.CSVVal
)),"No")</f>
        <v>No</v>
      </c>
      <c r="Q23" s="40" t="str" cm="1">
        <f t="array" ref="Q23">IFERROR(_xlfn.LET(
_xlpm.CSVVal,_xlfn.XLOOKUP($A23,CSV!$A:$A,CSV!AC:AC,""),
_xlpm.MacVal,_xlfn.XLOOKUP($A23,Output_Mac!$A:$A,Output_Mac!U:U,""),
_xlpm.MyAuditVal,_xlfn.XLOOKUP($A23,My_Audit!$A:$A,My_Audit!R:R,""),
_xlfn.IFS(_xlpm.MyAuditVal&lt;&gt;"",UPPER(_xlpm.MyAuditVal),_xlpm.MacVal&lt;&gt;"",_xlpm.MacVal,_xlpm.CSVVal&lt;&gt;"",_xlpm.CSVVal
)),"")</f>
        <v/>
      </c>
      <c r="R23" s="40"/>
      <c r="S23" s="40"/>
      <c r="T23" s="40"/>
      <c r="U23" s="40"/>
      <c r="V23" s="40"/>
      <c r="W23" s="40"/>
      <c r="X23" s="41" t="str">
        <f>_xlfn.LET(
    _xlpm.MacVal, _xlfn.XLOOKUP($A23, Output_Mac!$A:$A, Output_Mac!AB:AB, ""),
    _xlpm.MyAuditVal, _xlfn.XLOOKUP($A23, My_Audit!$A:$A, My_Audit!N:N, ""),
    _xlfn.TEXTJOIN(", ", TRUE, _xlpm.MyAuditVal, _xlpm.MacVal)
)</f>
        <v/>
      </c>
    </row>
    <row r="24" spans="1:24">
      <c r="A24" s="40" t="str">
        <f>_xlfn.TEXTJOIN("",TRUE,Input!$B$2,ROW(My_Audit!A23))</f>
        <v>X23</v>
      </c>
      <c r="B24" s="40" t="str">
        <f>_xlfn.TEXTJOIN("-",TRUE,"ITD",Input!$A$2,A24)</f>
        <v>ITD-X23</v>
      </c>
      <c r="C24" s="40" t="str" cm="1">
        <f t="array" ref="C24">IFERROR(_xlfn.LET(
_xlpm.CSVVal,_xlfn.XLOOKUP($A24,CSV!$A:$A,CSV!B:B,""),
_xlpm.MacVal,_xlfn.XLOOKUP($A24,Output_Mac!$A:$A,Output_Mac!B:B,""),
_xlpm.MyAuditVal,_xlfn.XLOOKUP($A24,My_Audit!$A:$A,My_Audit!B:B,""),
_xlfn.IFS(_xlpm.MyAuditVal&lt;&gt;"",UPPER(_xlpm.MyAuditVal),_xlpm.MacVal&lt;&gt;"",_xlpm.MacVal,_xlpm.CSVVal&lt;&gt;"",_xlpm.CSVVal
)),"")</f>
        <v/>
      </c>
      <c r="D24" s="40" t="str" cm="1">
        <f t="array" ref="D24">IFERROR(_xlfn.LET(
_xlpm.CSVVal,_xlfn.XLOOKUP($A24,CSV!$A:$A,CSV!D:D,""),
_xlpm.MacVal,_xlfn.XLOOKUP($A24,Output_Mac!$A:$A,Output_Mac!C:C,""),
_xlpm.MyAuditVal,_xlfn.XLOOKUP($A24,My_Audit!$A:$A,My_Audit!C:C,""),
_xlfn.IFS(_xlpm.MyAuditVal&lt;&gt;"",_xlpm.MyAuditVal,_xlpm.MacVal&lt;&gt;"",_xlpm.MacVal,_xlpm.CSVVal&lt;&gt;"",_xlpm.CSVVal
)),"")</f>
        <v/>
      </c>
      <c r="E24" s="40">
        <f>_xlfn.XLOOKUP(A24,My_Audit!A:A,My_Audit!D:D,"")</f>
        <v>0</v>
      </c>
      <c r="F24" s="40" t="str" cm="1">
        <f t="array" ref="F24">IFERROR(_xlfn.LET(
_xlpm.CSVVal,_xlfn.XLOOKUP($A24,CSV!$A:$A,CSV!F:F,""),
_xlpm.MacVal,_xlfn.XLOOKUP($A24,Output_Mac!$A:$A,Output_Mac!E:E,""),
_xlpm.MyAuditVal,_xlfn.XLOOKUP($A24,My_Audit!$A:$A,My_Audit!E:E,""),
_xlfn.IFS(_xlpm.MyAuditVal&lt;&gt;"",_xlpm.MyAuditVal,_xlpm.MacVal&lt;&gt;"",_xlpm.MacVal,_xlpm.CSVVal&lt;&gt;"",_xlpm.CSVVal
)),"")</f>
        <v/>
      </c>
      <c r="G24" s="40" t="str" cm="1">
        <f t="array" ref="G24">IFERROR(_xlfn.LET(
_xlpm.CSVVal,_xlfn.XLOOKUP($A24,CSV!$A:$A,CSV!G:G,""),
_xlpm.MacVal,_xlfn.XLOOKUP($A24,Output_Mac!$A:$A,Output_Mac!F:F,""),
_xlpm.MyAuditVal,_xlfn.XLOOKUP($A24,My_Audit!$A:$A,My_Audit!F:F,""),
_xlfn.IFS(_xlpm.MyAuditVal&lt;&gt;"",_xlpm.MyAuditVal,_xlpm.MacVal&lt;&gt;"",_xlpm.MacVal,_xlpm.CSVVal&lt;&gt;"",PROPER(_xlpm.CSVVal)
)),"")</f>
        <v/>
      </c>
      <c r="H24" s="40" t="str" cm="1">
        <f t="array" ref="H24">IFERROR(_xlfn.LET(
_xlpm.CSVVal,_xlfn.XLOOKUP($A24,CSV!$A:$A,CSV!H:H,""),
_xlpm.MacVal,_xlfn.XLOOKUP($A24,Output_Mac!$A:$A,Output_Mac!H:H,""),
_xlpm.MyAuditVal,_xlfn.XLOOKUP($A24,My_Audit!$A:$A,My_Audit!G:G,""),
_xlfn.IFS(_xlpm.MyAuditVal&lt;&gt;"",_xlpm.MyAuditVal,_xlpm.MacVal&lt;&gt;"",_xlpm.MacVal,_xlpm.CSVVal&lt;&gt;"",_xlpm.CSVVal
)),"")</f>
        <v/>
      </c>
      <c r="I24" s="40" t="str">
        <f>_xlfn.XLOOKUP(A24,Output_Mac!A:A,Output_Mac!I:I,"")</f>
        <v/>
      </c>
      <c r="J24" s="40" t="str" cm="1">
        <f t="array" ref="J24">IFERROR(_xlfn.LET(
_xlpm.CSVVal,_xlfn.XLOOKUP($A24,CSV!$A:$A,CSV!I:I,""),
_xlpm.MacVal,_xlfn.XLOOKUP($A24,Output_Mac!$A:$A,Output_Mac!J:J,""),
_xlpm.MyAuditVal,_xlfn.XLOOKUP($A24,My_Audit!$A:$A,My_Audit!I:I,""),
_xlfn.IFS(_xlpm.MyAuditVal&lt;&gt;"",UPPER(_xlpm.MyAuditVal),_xlpm.MacVal&lt;&gt;"",_xlpm.MacVal,_xlpm.CSVVal&lt;&gt;"",_xlpm.CSVVal
)),"")</f>
        <v/>
      </c>
      <c r="K24" s="40" t="str" cm="1">
        <f t="array" ref="K24">IFERROR(_xlfn.LET(
_xlpm.CSVVal,_xlfn.XLOOKUP($A24,CSV!$A:$A,CSV!K:K,""),
_xlpm.MacVal,_xlfn.XLOOKUP($A24,Output_Mac!$A:$A,Output_Mac!K:K,""),
_xlpm.MyAuditVal,_xlfn.XLOOKUP($A24,My_Audit!$A:$A,My_Audit!J:J,""),
_xlfn.IFS(_xlpm.MyAuditVal&lt;&gt;"",UPPER(_xlpm.MyAuditVal),_xlpm.MacVal&lt;&gt;"",_xlpm.MacVal,_xlpm.CSVVal&lt;&gt;"",_xlpm.CSVVal
)),"")</f>
        <v/>
      </c>
      <c r="L24" s="40" t="str" cm="1">
        <f t="array" ref="L24">IFERROR(_xlfn.LET(
_xlpm.CSVVal,_xlfn.XLOOKUP($A24,CSV!$A:$A,CSV!P:P,""),
_xlpm.MacVal,_xlfn.XLOOKUP($A24,Output_Mac!$A:$A,Output_Mac!L:L,""),
_xlpm.MyAuditVal,_xlfn.XLOOKUP($A24,My_Audit!$A:$A,My_Audit!K:K,""),
_xlfn.IFS(_xlpm.MyAuditVal&lt;&gt;"",UPPER(_xlpm.MyAuditVal),_xlpm.MacVal&lt;&gt;"",_xlpm.MacVal,_xlpm.CSVVal&lt;&gt;"",_xlpm.CSVVal
)),"")</f>
        <v/>
      </c>
      <c r="M24" s="40" t="str" cm="1">
        <f t="array" ref="M24">IFERROR(_xlfn.LET(
_xlpm.CSVVal,_xlfn.XLOOKUP($A24,CSV!$A:$A,CSV!Q:Q,""),
_xlpm.MacVal,_xlfn.XLOOKUP($A24,Output_Mac!$A:$A,Output_Mac!M:M,""),
_xlpm.MyAuditVal,_xlfn.XLOOKUP($A24,My_Audit!$A:$A,My_Audit!L:L,""),
_xlfn.IFS(_xlpm.MyAuditVal&lt;&gt;"",UPPER(_xlpm.MyAuditVal),_xlpm.MacVal&lt;&gt;"",_xlpm.MacVal,_xlpm.CSVVal&lt;&gt;"",_xlpm.CSVVal
)),"")</f>
        <v/>
      </c>
      <c r="N24" s="40"/>
      <c r="O24" s="40" t="str">
        <f>_xlfn.LET(
    _xlpm.CSVVal, _xlfn.XLOOKUP($A24, CSV!$A:$A, CSV!AA:AA, ""),
    _xlpm.MacVal, _xlfn.XLOOKUP($A24, Output_Mac!$A:$A, Output_Mac!S:S, ""),
    _xlpm.MyAuditVal, _xlfn.XLOOKUP($A24, My_Audit!$A:$A, My_Audit!P:P, ""),
    _xlfn.TEXTJOIN(", ", TRUE, _xlpm.MyAuditVal, _xlpm.MacVal, _xlpm.CSVVal)
)</f>
        <v/>
      </c>
      <c r="P24" s="40" t="str" cm="1">
        <f t="array" ref="P24">IFERROR(_xlfn.LET(
_xlpm.CSVVal,_xlfn.XLOOKUP($A24,CSV!$A:$A,CSV!AB:AB,""),
_xlpm.MacVal,_xlfn.XLOOKUP($A24,Output_Mac!$A:$A,Output_Mac!T:T,""),
_xlpm.MyAuditVal,_xlfn.XLOOKUP($A24,My_Audit!$A:$A,My_Audit!Q:Q,""),
_xlfn.IFS(_xlpm.MyAuditVal&lt;&gt;"",UPPER(_xlpm.MyAuditVal),_xlpm.MacVal&lt;&gt;"",_xlpm.MacVal,_xlpm.CSVVal&lt;&gt;"",_xlpm.CSVVal
)),"No")</f>
        <v>No</v>
      </c>
      <c r="Q24" s="40" t="str" cm="1">
        <f t="array" ref="Q24">IFERROR(_xlfn.LET(
_xlpm.CSVVal,_xlfn.XLOOKUP($A24,CSV!$A:$A,CSV!AC:AC,""),
_xlpm.MacVal,_xlfn.XLOOKUP($A24,Output_Mac!$A:$A,Output_Mac!U:U,""),
_xlpm.MyAuditVal,_xlfn.XLOOKUP($A24,My_Audit!$A:$A,My_Audit!R:R,""),
_xlfn.IFS(_xlpm.MyAuditVal&lt;&gt;"",UPPER(_xlpm.MyAuditVal),_xlpm.MacVal&lt;&gt;"",_xlpm.MacVal,_xlpm.CSVVal&lt;&gt;"",_xlpm.CSVVal
)),"")</f>
        <v/>
      </c>
      <c r="R24" s="40"/>
      <c r="S24" s="40"/>
      <c r="T24" s="40"/>
      <c r="U24" s="40"/>
      <c r="V24" s="40"/>
      <c r="W24" s="40"/>
      <c r="X24" s="41" t="str">
        <f>_xlfn.LET(
    _xlpm.MacVal, _xlfn.XLOOKUP($A24, Output_Mac!$A:$A, Output_Mac!AB:AB, ""),
    _xlpm.MyAuditVal, _xlfn.XLOOKUP($A24, My_Audit!$A:$A, My_Audit!N:N, ""),
    _xlfn.TEXTJOIN(", ", TRUE, _xlpm.MyAuditVal, _xlpm.MacVal)
)</f>
        <v/>
      </c>
    </row>
    <row r="25" spans="1:24">
      <c r="A25" s="40" t="str">
        <f>_xlfn.TEXTJOIN("",TRUE,Input!$B$2,ROW(My_Audit!A24))</f>
        <v>X24</v>
      </c>
      <c r="B25" s="40" t="str">
        <f>_xlfn.TEXTJOIN("-",TRUE,"ITD",Input!$A$2,A25)</f>
        <v>ITD-X24</v>
      </c>
      <c r="C25" s="40" t="str" cm="1">
        <f t="array" ref="C25">IFERROR(_xlfn.LET(
_xlpm.CSVVal,_xlfn.XLOOKUP($A25,CSV!$A:$A,CSV!B:B,""),
_xlpm.MacVal,_xlfn.XLOOKUP($A25,Output_Mac!$A:$A,Output_Mac!B:B,""),
_xlpm.MyAuditVal,_xlfn.XLOOKUP($A25,My_Audit!$A:$A,My_Audit!B:B,""),
_xlfn.IFS(_xlpm.MyAuditVal&lt;&gt;"",UPPER(_xlpm.MyAuditVal),_xlpm.MacVal&lt;&gt;"",_xlpm.MacVal,_xlpm.CSVVal&lt;&gt;"",_xlpm.CSVVal
)),"")</f>
        <v/>
      </c>
      <c r="D25" s="40" t="str" cm="1">
        <f t="array" ref="D25">IFERROR(_xlfn.LET(
_xlpm.CSVVal,_xlfn.XLOOKUP($A25,CSV!$A:$A,CSV!D:D,""),
_xlpm.MacVal,_xlfn.XLOOKUP($A25,Output_Mac!$A:$A,Output_Mac!C:C,""),
_xlpm.MyAuditVal,_xlfn.XLOOKUP($A25,My_Audit!$A:$A,My_Audit!C:C,""),
_xlfn.IFS(_xlpm.MyAuditVal&lt;&gt;"",_xlpm.MyAuditVal,_xlpm.MacVal&lt;&gt;"",_xlpm.MacVal,_xlpm.CSVVal&lt;&gt;"",_xlpm.CSVVal
)),"")</f>
        <v/>
      </c>
      <c r="E25" s="40">
        <f>_xlfn.XLOOKUP(A25,My_Audit!A:A,My_Audit!D:D,"")</f>
        <v>0</v>
      </c>
      <c r="F25" s="40" t="str" cm="1">
        <f t="array" ref="F25">IFERROR(_xlfn.LET(
_xlpm.CSVVal,_xlfn.XLOOKUP($A25,CSV!$A:$A,CSV!F:F,""),
_xlpm.MacVal,_xlfn.XLOOKUP($A25,Output_Mac!$A:$A,Output_Mac!E:E,""),
_xlpm.MyAuditVal,_xlfn.XLOOKUP($A25,My_Audit!$A:$A,My_Audit!E:E,""),
_xlfn.IFS(_xlpm.MyAuditVal&lt;&gt;"",_xlpm.MyAuditVal,_xlpm.MacVal&lt;&gt;"",_xlpm.MacVal,_xlpm.CSVVal&lt;&gt;"",_xlpm.CSVVal
)),"")</f>
        <v/>
      </c>
      <c r="G25" s="40" t="str" cm="1">
        <f t="array" ref="G25">IFERROR(_xlfn.LET(
_xlpm.CSVVal,_xlfn.XLOOKUP($A25,CSV!$A:$A,CSV!G:G,""),
_xlpm.MacVal,_xlfn.XLOOKUP($A25,Output_Mac!$A:$A,Output_Mac!F:F,""),
_xlpm.MyAuditVal,_xlfn.XLOOKUP($A25,My_Audit!$A:$A,My_Audit!F:F,""),
_xlfn.IFS(_xlpm.MyAuditVal&lt;&gt;"",_xlpm.MyAuditVal,_xlpm.MacVal&lt;&gt;"",_xlpm.MacVal,_xlpm.CSVVal&lt;&gt;"",PROPER(_xlpm.CSVVal)
)),"")</f>
        <v/>
      </c>
      <c r="H25" s="40" t="str" cm="1">
        <f t="array" ref="H25">IFERROR(_xlfn.LET(
_xlpm.CSVVal,_xlfn.XLOOKUP($A25,CSV!$A:$A,CSV!H:H,""),
_xlpm.MacVal,_xlfn.XLOOKUP($A25,Output_Mac!$A:$A,Output_Mac!H:H,""),
_xlpm.MyAuditVal,_xlfn.XLOOKUP($A25,My_Audit!$A:$A,My_Audit!G:G,""),
_xlfn.IFS(_xlpm.MyAuditVal&lt;&gt;"",_xlpm.MyAuditVal,_xlpm.MacVal&lt;&gt;"",_xlpm.MacVal,_xlpm.CSVVal&lt;&gt;"",_xlpm.CSVVal
)),"")</f>
        <v/>
      </c>
      <c r="I25" s="40" t="str">
        <f>_xlfn.XLOOKUP(A25,Output_Mac!A:A,Output_Mac!I:I,"")</f>
        <v/>
      </c>
      <c r="J25" s="40" t="str" cm="1">
        <f t="array" ref="J25">IFERROR(_xlfn.LET(
_xlpm.CSVVal,_xlfn.XLOOKUP($A25,CSV!$A:$A,CSV!I:I,""),
_xlpm.MacVal,_xlfn.XLOOKUP($A25,Output_Mac!$A:$A,Output_Mac!J:J,""),
_xlpm.MyAuditVal,_xlfn.XLOOKUP($A25,My_Audit!$A:$A,My_Audit!I:I,""),
_xlfn.IFS(_xlpm.MyAuditVal&lt;&gt;"",UPPER(_xlpm.MyAuditVal),_xlpm.MacVal&lt;&gt;"",_xlpm.MacVal,_xlpm.CSVVal&lt;&gt;"",_xlpm.CSVVal
)),"")</f>
        <v/>
      </c>
      <c r="K25" s="40" t="str" cm="1">
        <f t="array" ref="K25">IFERROR(_xlfn.LET(
_xlpm.CSVVal,_xlfn.XLOOKUP($A25,CSV!$A:$A,CSV!K:K,""),
_xlpm.MacVal,_xlfn.XLOOKUP($A25,Output_Mac!$A:$A,Output_Mac!K:K,""),
_xlpm.MyAuditVal,_xlfn.XLOOKUP($A25,My_Audit!$A:$A,My_Audit!J:J,""),
_xlfn.IFS(_xlpm.MyAuditVal&lt;&gt;"",UPPER(_xlpm.MyAuditVal),_xlpm.MacVal&lt;&gt;"",_xlpm.MacVal,_xlpm.CSVVal&lt;&gt;"",_xlpm.CSVVal
)),"")</f>
        <v/>
      </c>
      <c r="L25" s="40" t="str" cm="1">
        <f t="array" ref="L25">IFERROR(_xlfn.LET(
_xlpm.CSVVal,_xlfn.XLOOKUP($A25,CSV!$A:$A,CSV!P:P,""),
_xlpm.MacVal,_xlfn.XLOOKUP($A25,Output_Mac!$A:$A,Output_Mac!L:L,""),
_xlpm.MyAuditVal,_xlfn.XLOOKUP($A25,My_Audit!$A:$A,My_Audit!K:K,""),
_xlfn.IFS(_xlpm.MyAuditVal&lt;&gt;"",UPPER(_xlpm.MyAuditVal),_xlpm.MacVal&lt;&gt;"",_xlpm.MacVal,_xlpm.CSVVal&lt;&gt;"",_xlpm.CSVVal
)),"")</f>
        <v/>
      </c>
      <c r="M25" s="40" t="str" cm="1">
        <f t="array" ref="M25">IFERROR(_xlfn.LET(
_xlpm.CSVVal,_xlfn.XLOOKUP($A25,CSV!$A:$A,CSV!Q:Q,""),
_xlpm.MacVal,_xlfn.XLOOKUP($A25,Output_Mac!$A:$A,Output_Mac!M:M,""),
_xlpm.MyAuditVal,_xlfn.XLOOKUP($A25,My_Audit!$A:$A,My_Audit!L:L,""),
_xlfn.IFS(_xlpm.MyAuditVal&lt;&gt;"",UPPER(_xlpm.MyAuditVal),_xlpm.MacVal&lt;&gt;"",_xlpm.MacVal,_xlpm.CSVVal&lt;&gt;"",_xlpm.CSVVal
)),"")</f>
        <v/>
      </c>
      <c r="N25" s="40"/>
      <c r="O25" s="40" t="str">
        <f>_xlfn.LET(
    _xlpm.CSVVal, _xlfn.XLOOKUP($A25, CSV!$A:$A, CSV!AA:AA, ""),
    _xlpm.MacVal, _xlfn.XLOOKUP($A25, Output_Mac!$A:$A, Output_Mac!S:S, ""),
    _xlpm.MyAuditVal, _xlfn.XLOOKUP($A25, My_Audit!$A:$A, My_Audit!P:P, ""),
    _xlfn.TEXTJOIN(", ", TRUE, _xlpm.MyAuditVal, _xlpm.MacVal, _xlpm.CSVVal)
)</f>
        <v/>
      </c>
      <c r="P25" s="40" t="str" cm="1">
        <f t="array" ref="P25">IFERROR(_xlfn.LET(
_xlpm.CSVVal,_xlfn.XLOOKUP($A25,CSV!$A:$A,CSV!AB:AB,""),
_xlpm.MacVal,_xlfn.XLOOKUP($A25,Output_Mac!$A:$A,Output_Mac!T:T,""),
_xlpm.MyAuditVal,_xlfn.XLOOKUP($A25,My_Audit!$A:$A,My_Audit!Q:Q,""),
_xlfn.IFS(_xlpm.MyAuditVal&lt;&gt;"",UPPER(_xlpm.MyAuditVal),_xlpm.MacVal&lt;&gt;"",_xlpm.MacVal,_xlpm.CSVVal&lt;&gt;"",_xlpm.CSVVal
)),"No")</f>
        <v>No</v>
      </c>
      <c r="Q25" s="40" t="str" cm="1">
        <f t="array" ref="Q25">IFERROR(_xlfn.LET(
_xlpm.CSVVal,_xlfn.XLOOKUP($A25,CSV!$A:$A,CSV!AC:AC,""),
_xlpm.MacVal,_xlfn.XLOOKUP($A25,Output_Mac!$A:$A,Output_Mac!U:U,""),
_xlpm.MyAuditVal,_xlfn.XLOOKUP($A25,My_Audit!$A:$A,My_Audit!R:R,""),
_xlfn.IFS(_xlpm.MyAuditVal&lt;&gt;"",UPPER(_xlpm.MyAuditVal),_xlpm.MacVal&lt;&gt;"",_xlpm.MacVal,_xlpm.CSVVal&lt;&gt;"",_xlpm.CSVVal
)),"")</f>
        <v/>
      </c>
      <c r="R25" s="40"/>
      <c r="S25" s="40"/>
      <c r="T25" s="40"/>
      <c r="U25" s="40"/>
      <c r="V25" s="40"/>
      <c r="W25" s="40"/>
      <c r="X25" s="41" t="str">
        <f>_xlfn.LET(
    _xlpm.MacVal, _xlfn.XLOOKUP($A25, Output_Mac!$A:$A, Output_Mac!AB:AB, ""),
    _xlpm.MyAuditVal, _xlfn.XLOOKUP($A25, My_Audit!$A:$A, My_Audit!N:N, ""),
    _xlfn.TEXTJOIN(", ", TRUE, _xlpm.MyAuditVal, _xlpm.MacVal)
)</f>
        <v/>
      </c>
    </row>
    <row r="26" spans="1:24">
      <c r="A26" s="40" t="str">
        <f>_xlfn.TEXTJOIN("",TRUE,Input!$B$2,ROW(My_Audit!A25))</f>
        <v>X25</v>
      </c>
      <c r="B26" s="40" t="str">
        <f>_xlfn.TEXTJOIN("-",TRUE,"ITD",Input!$A$2,A26)</f>
        <v>ITD-X25</v>
      </c>
      <c r="C26" s="40" t="str" cm="1">
        <f t="array" ref="C26">IFERROR(_xlfn.LET(
_xlpm.CSVVal,_xlfn.XLOOKUP($A26,CSV!$A:$A,CSV!B:B,""),
_xlpm.MacVal,_xlfn.XLOOKUP($A26,Output_Mac!$A:$A,Output_Mac!B:B,""),
_xlpm.MyAuditVal,_xlfn.XLOOKUP($A26,My_Audit!$A:$A,My_Audit!B:B,""),
_xlfn.IFS(_xlpm.MyAuditVal&lt;&gt;"",UPPER(_xlpm.MyAuditVal),_xlpm.MacVal&lt;&gt;"",_xlpm.MacVal,_xlpm.CSVVal&lt;&gt;"",_xlpm.CSVVal
)),"")</f>
        <v/>
      </c>
      <c r="D26" s="40" t="str" cm="1">
        <f t="array" ref="D26">IFERROR(_xlfn.LET(
_xlpm.CSVVal,_xlfn.XLOOKUP($A26,CSV!$A:$A,CSV!D:D,""),
_xlpm.MacVal,_xlfn.XLOOKUP($A26,Output_Mac!$A:$A,Output_Mac!C:C,""),
_xlpm.MyAuditVal,_xlfn.XLOOKUP($A26,My_Audit!$A:$A,My_Audit!C:C,""),
_xlfn.IFS(_xlpm.MyAuditVal&lt;&gt;"",_xlpm.MyAuditVal,_xlpm.MacVal&lt;&gt;"",_xlpm.MacVal,_xlpm.CSVVal&lt;&gt;"",_xlpm.CSVVal
)),"")</f>
        <v/>
      </c>
      <c r="E26" s="40">
        <f>_xlfn.XLOOKUP(A26,My_Audit!A:A,My_Audit!D:D,"")</f>
        <v>0</v>
      </c>
      <c r="F26" s="40" t="str" cm="1">
        <f t="array" ref="F26">IFERROR(_xlfn.LET(
_xlpm.CSVVal,_xlfn.XLOOKUP($A26,CSV!$A:$A,CSV!F:F,""),
_xlpm.MacVal,_xlfn.XLOOKUP($A26,Output_Mac!$A:$A,Output_Mac!E:E,""),
_xlpm.MyAuditVal,_xlfn.XLOOKUP($A26,My_Audit!$A:$A,My_Audit!E:E,""),
_xlfn.IFS(_xlpm.MyAuditVal&lt;&gt;"",_xlpm.MyAuditVal,_xlpm.MacVal&lt;&gt;"",_xlpm.MacVal,_xlpm.CSVVal&lt;&gt;"",_xlpm.CSVVal
)),"")</f>
        <v/>
      </c>
      <c r="G26" s="40" t="str" cm="1">
        <f t="array" ref="G26">IFERROR(_xlfn.LET(
_xlpm.CSVVal,_xlfn.XLOOKUP($A26,CSV!$A:$A,CSV!G:G,""),
_xlpm.MacVal,_xlfn.XLOOKUP($A26,Output_Mac!$A:$A,Output_Mac!F:F,""),
_xlpm.MyAuditVal,_xlfn.XLOOKUP($A26,My_Audit!$A:$A,My_Audit!F:F,""),
_xlfn.IFS(_xlpm.MyAuditVal&lt;&gt;"",_xlpm.MyAuditVal,_xlpm.MacVal&lt;&gt;"",_xlpm.MacVal,_xlpm.CSVVal&lt;&gt;"",PROPER(_xlpm.CSVVal)
)),"")</f>
        <v/>
      </c>
      <c r="H26" s="40" t="str" cm="1">
        <f t="array" ref="H26">IFERROR(_xlfn.LET(
_xlpm.CSVVal,_xlfn.XLOOKUP($A26,CSV!$A:$A,CSV!H:H,""),
_xlpm.MacVal,_xlfn.XLOOKUP($A26,Output_Mac!$A:$A,Output_Mac!H:H,""),
_xlpm.MyAuditVal,_xlfn.XLOOKUP($A26,My_Audit!$A:$A,My_Audit!G:G,""),
_xlfn.IFS(_xlpm.MyAuditVal&lt;&gt;"",_xlpm.MyAuditVal,_xlpm.MacVal&lt;&gt;"",_xlpm.MacVal,_xlpm.CSVVal&lt;&gt;"",_xlpm.CSVVal
)),"")</f>
        <v/>
      </c>
      <c r="I26" s="40" t="str">
        <f>_xlfn.XLOOKUP(A26,Output_Mac!A:A,Output_Mac!I:I,"")</f>
        <v/>
      </c>
      <c r="J26" s="40" t="str" cm="1">
        <f t="array" ref="J26">IFERROR(_xlfn.LET(
_xlpm.CSVVal,_xlfn.XLOOKUP($A26,CSV!$A:$A,CSV!I:I,""),
_xlpm.MacVal,_xlfn.XLOOKUP($A26,Output_Mac!$A:$A,Output_Mac!J:J,""),
_xlpm.MyAuditVal,_xlfn.XLOOKUP($A26,My_Audit!$A:$A,My_Audit!I:I,""),
_xlfn.IFS(_xlpm.MyAuditVal&lt;&gt;"",UPPER(_xlpm.MyAuditVal),_xlpm.MacVal&lt;&gt;"",_xlpm.MacVal,_xlpm.CSVVal&lt;&gt;"",_xlpm.CSVVal
)),"")</f>
        <v/>
      </c>
      <c r="K26" s="40" t="str" cm="1">
        <f t="array" ref="K26">IFERROR(_xlfn.LET(
_xlpm.CSVVal,_xlfn.XLOOKUP($A26,CSV!$A:$A,CSV!K:K,""),
_xlpm.MacVal,_xlfn.XLOOKUP($A26,Output_Mac!$A:$A,Output_Mac!K:K,""),
_xlpm.MyAuditVal,_xlfn.XLOOKUP($A26,My_Audit!$A:$A,My_Audit!J:J,""),
_xlfn.IFS(_xlpm.MyAuditVal&lt;&gt;"",UPPER(_xlpm.MyAuditVal),_xlpm.MacVal&lt;&gt;"",_xlpm.MacVal,_xlpm.CSVVal&lt;&gt;"",_xlpm.CSVVal
)),"")</f>
        <v/>
      </c>
      <c r="L26" s="40" t="str" cm="1">
        <f t="array" ref="L26">IFERROR(_xlfn.LET(
_xlpm.CSVVal,_xlfn.XLOOKUP($A26,CSV!$A:$A,CSV!P:P,""),
_xlpm.MacVal,_xlfn.XLOOKUP($A26,Output_Mac!$A:$A,Output_Mac!L:L,""),
_xlpm.MyAuditVal,_xlfn.XLOOKUP($A26,My_Audit!$A:$A,My_Audit!K:K,""),
_xlfn.IFS(_xlpm.MyAuditVal&lt;&gt;"",UPPER(_xlpm.MyAuditVal),_xlpm.MacVal&lt;&gt;"",_xlpm.MacVal,_xlpm.CSVVal&lt;&gt;"",_xlpm.CSVVal
)),"")</f>
        <v/>
      </c>
      <c r="M26" s="40" t="str" cm="1">
        <f t="array" ref="M26">IFERROR(_xlfn.LET(
_xlpm.CSVVal,_xlfn.XLOOKUP($A26,CSV!$A:$A,CSV!Q:Q,""),
_xlpm.MacVal,_xlfn.XLOOKUP($A26,Output_Mac!$A:$A,Output_Mac!M:M,""),
_xlpm.MyAuditVal,_xlfn.XLOOKUP($A26,My_Audit!$A:$A,My_Audit!L:L,""),
_xlfn.IFS(_xlpm.MyAuditVal&lt;&gt;"",UPPER(_xlpm.MyAuditVal),_xlpm.MacVal&lt;&gt;"",_xlpm.MacVal,_xlpm.CSVVal&lt;&gt;"",_xlpm.CSVVal
)),"")</f>
        <v/>
      </c>
      <c r="N26" s="40"/>
      <c r="O26" s="40" t="str">
        <f>_xlfn.LET(
    _xlpm.CSVVal, _xlfn.XLOOKUP($A26, CSV!$A:$A, CSV!AA:AA, ""),
    _xlpm.MacVal, _xlfn.XLOOKUP($A26, Output_Mac!$A:$A, Output_Mac!S:S, ""),
    _xlpm.MyAuditVal, _xlfn.XLOOKUP($A26, My_Audit!$A:$A, My_Audit!P:P, ""),
    _xlfn.TEXTJOIN(", ", TRUE, _xlpm.MyAuditVal, _xlpm.MacVal, _xlpm.CSVVal)
)</f>
        <v/>
      </c>
      <c r="P26" s="40" t="str" cm="1">
        <f t="array" ref="P26">IFERROR(_xlfn.LET(
_xlpm.CSVVal,_xlfn.XLOOKUP($A26,CSV!$A:$A,CSV!AB:AB,""),
_xlpm.MacVal,_xlfn.XLOOKUP($A26,Output_Mac!$A:$A,Output_Mac!T:T,""),
_xlpm.MyAuditVal,_xlfn.XLOOKUP($A26,My_Audit!$A:$A,My_Audit!Q:Q,""),
_xlfn.IFS(_xlpm.MyAuditVal&lt;&gt;"",UPPER(_xlpm.MyAuditVal),_xlpm.MacVal&lt;&gt;"",_xlpm.MacVal,_xlpm.CSVVal&lt;&gt;"",_xlpm.CSVVal
)),"No")</f>
        <v>No</v>
      </c>
      <c r="Q26" s="40" t="str" cm="1">
        <f t="array" ref="Q26">IFERROR(_xlfn.LET(
_xlpm.CSVVal,_xlfn.XLOOKUP($A26,CSV!$A:$A,CSV!AC:AC,""),
_xlpm.MacVal,_xlfn.XLOOKUP($A26,Output_Mac!$A:$A,Output_Mac!U:U,""),
_xlpm.MyAuditVal,_xlfn.XLOOKUP($A26,My_Audit!$A:$A,My_Audit!R:R,""),
_xlfn.IFS(_xlpm.MyAuditVal&lt;&gt;"",UPPER(_xlpm.MyAuditVal),_xlpm.MacVal&lt;&gt;"",_xlpm.MacVal,_xlpm.CSVVal&lt;&gt;"",_xlpm.CSVVal
)),"")</f>
        <v/>
      </c>
      <c r="R26" s="40"/>
      <c r="S26" s="40"/>
      <c r="T26" s="40"/>
      <c r="U26" s="40"/>
      <c r="V26" s="40"/>
      <c r="W26" s="40"/>
      <c r="X26" s="41" t="str">
        <f>_xlfn.LET(
    _xlpm.MacVal, _xlfn.XLOOKUP($A26, Output_Mac!$A:$A, Output_Mac!AB:AB, ""),
    _xlpm.MyAuditVal, _xlfn.XLOOKUP($A26, My_Audit!$A:$A, My_Audit!N:N, ""),
    _xlfn.TEXTJOIN(", ", TRUE, _xlpm.MyAuditVal, _xlpm.MacVal)
)</f>
        <v/>
      </c>
    </row>
    <row r="27" spans="1:24">
      <c r="A27" s="40" t="str">
        <f>_xlfn.TEXTJOIN("",TRUE,Input!$B$2,ROW(My_Audit!A26))</f>
        <v>X26</v>
      </c>
      <c r="B27" s="40" t="str">
        <f>_xlfn.TEXTJOIN("-",TRUE,"ITD",Input!$A$2,A27)</f>
        <v>ITD-X26</v>
      </c>
      <c r="C27" s="40" t="str" cm="1">
        <f t="array" ref="C27">IFERROR(_xlfn.LET(
_xlpm.CSVVal,_xlfn.XLOOKUP($A27,CSV!$A:$A,CSV!B:B,""),
_xlpm.MacVal,_xlfn.XLOOKUP($A27,Output_Mac!$A:$A,Output_Mac!B:B,""),
_xlpm.MyAuditVal,_xlfn.XLOOKUP($A27,My_Audit!$A:$A,My_Audit!B:B,""),
_xlfn.IFS(_xlpm.MyAuditVal&lt;&gt;"",UPPER(_xlpm.MyAuditVal),_xlpm.MacVal&lt;&gt;"",_xlpm.MacVal,_xlpm.CSVVal&lt;&gt;"",_xlpm.CSVVal
)),"")</f>
        <v/>
      </c>
      <c r="D27" s="40" t="str" cm="1">
        <f t="array" ref="D27">IFERROR(_xlfn.LET(
_xlpm.CSVVal,_xlfn.XLOOKUP($A27,CSV!$A:$A,CSV!D:D,""),
_xlpm.MacVal,_xlfn.XLOOKUP($A27,Output_Mac!$A:$A,Output_Mac!C:C,""),
_xlpm.MyAuditVal,_xlfn.XLOOKUP($A27,My_Audit!$A:$A,My_Audit!C:C,""),
_xlfn.IFS(_xlpm.MyAuditVal&lt;&gt;"",_xlpm.MyAuditVal,_xlpm.MacVal&lt;&gt;"",_xlpm.MacVal,_xlpm.CSVVal&lt;&gt;"",_xlpm.CSVVal
)),"")</f>
        <v/>
      </c>
      <c r="E27" s="40">
        <f>_xlfn.XLOOKUP(A27,My_Audit!A:A,My_Audit!D:D,"")</f>
        <v>0</v>
      </c>
      <c r="F27" s="40" t="str" cm="1">
        <f t="array" ref="F27">IFERROR(_xlfn.LET(
_xlpm.CSVVal,_xlfn.XLOOKUP($A27,CSV!$A:$A,CSV!F:F,""),
_xlpm.MacVal,_xlfn.XLOOKUP($A27,Output_Mac!$A:$A,Output_Mac!E:E,""),
_xlpm.MyAuditVal,_xlfn.XLOOKUP($A27,My_Audit!$A:$A,My_Audit!E:E,""),
_xlfn.IFS(_xlpm.MyAuditVal&lt;&gt;"",_xlpm.MyAuditVal,_xlpm.MacVal&lt;&gt;"",_xlpm.MacVal,_xlpm.CSVVal&lt;&gt;"",_xlpm.CSVVal
)),"")</f>
        <v/>
      </c>
      <c r="G27" s="40" t="str" cm="1">
        <f t="array" ref="G27">IFERROR(_xlfn.LET(
_xlpm.CSVVal,_xlfn.XLOOKUP($A27,CSV!$A:$A,CSV!G:G,""),
_xlpm.MacVal,_xlfn.XLOOKUP($A27,Output_Mac!$A:$A,Output_Mac!F:F,""),
_xlpm.MyAuditVal,_xlfn.XLOOKUP($A27,My_Audit!$A:$A,My_Audit!F:F,""),
_xlfn.IFS(_xlpm.MyAuditVal&lt;&gt;"",_xlpm.MyAuditVal,_xlpm.MacVal&lt;&gt;"",_xlpm.MacVal,_xlpm.CSVVal&lt;&gt;"",PROPER(_xlpm.CSVVal)
)),"")</f>
        <v/>
      </c>
      <c r="H27" s="40" t="str" cm="1">
        <f t="array" ref="H27">IFERROR(_xlfn.LET(
_xlpm.CSVVal,_xlfn.XLOOKUP($A27,CSV!$A:$A,CSV!H:H,""),
_xlpm.MacVal,_xlfn.XLOOKUP($A27,Output_Mac!$A:$A,Output_Mac!H:H,""),
_xlpm.MyAuditVal,_xlfn.XLOOKUP($A27,My_Audit!$A:$A,My_Audit!G:G,""),
_xlfn.IFS(_xlpm.MyAuditVal&lt;&gt;"",_xlpm.MyAuditVal,_xlpm.MacVal&lt;&gt;"",_xlpm.MacVal,_xlpm.CSVVal&lt;&gt;"",_xlpm.CSVVal
)),"")</f>
        <v/>
      </c>
      <c r="I27" s="40" t="str">
        <f>_xlfn.XLOOKUP(A27,Output_Mac!A:A,Output_Mac!I:I,"")</f>
        <v/>
      </c>
      <c r="J27" s="40" t="str" cm="1">
        <f t="array" ref="J27">IFERROR(_xlfn.LET(
_xlpm.CSVVal,_xlfn.XLOOKUP($A27,CSV!$A:$A,CSV!I:I,""),
_xlpm.MacVal,_xlfn.XLOOKUP($A27,Output_Mac!$A:$A,Output_Mac!J:J,""),
_xlpm.MyAuditVal,_xlfn.XLOOKUP($A27,My_Audit!$A:$A,My_Audit!I:I,""),
_xlfn.IFS(_xlpm.MyAuditVal&lt;&gt;"",UPPER(_xlpm.MyAuditVal),_xlpm.MacVal&lt;&gt;"",_xlpm.MacVal,_xlpm.CSVVal&lt;&gt;"",_xlpm.CSVVal
)),"")</f>
        <v/>
      </c>
      <c r="K27" s="40" t="str" cm="1">
        <f t="array" ref="K27">IFERROR(_xlfn.LET(
_xlpm.CSVVal,_xlfn.XLOOKUP($A27,CSV!$A:$A,CSV!K:K,""),
_xlpm.MacVal,_xlfn.XLOOKUP($A27,Output_Mac!$A:$A,Output_Mac!K:K,""),
_xlpm.MyAuditVal,_xlfn.XLOOKUP($A27,My_Audit!$A:$A,My_Audit!J:J,""),
_xlfn.IFS(_xlpm.MyAuditVal&lt;&gt;"",UPPER(_xlpm.MyAuditVal),_xlpm.MacVal&lt;&gt;"",_xlpm.MacVal,_xlpm.CSVVal&lt;&gt;"",_xlpm.CSVVal
)),"")</f>
        <v/>
      </c>
      <c r="L27" s="40" t="str" cm="1">
        <f t="array" ref="L27">IFERROR(_xlfn.LET(
_xlpm.CSVVal,_xlfn.XLOOKUP($A27,CSV!$A:$A,CSV!P:P,""),
_xlpm.MacVal,_xlfn.XLOOKUP($A27,Output_Mac!$A:$A,Output_Mac!L:L,""),
_xlpm.MyAuditVal,_xlfn.XLOOKUP($A27,My_Audit!$A:$A,My_Audit!K:K,""),
_xlfn.IFS(_xlpm.MyAuditVal&lt;&gt;"",UPPER(_xlpm.MyAuditVal),_xlpm.MacVal&lt;&gt;"",_xlpm.MacVal,_xlpm.CSVVal&lt;&gt;"",_xlpm.CSVVal
)),"")</f>
        <v/>
      </c>
      <c r="M27" s="40" t="str" cm="1">
        <f t="array" ref="M27">IFERROR(_xlfn.LET(
_xlpm.CSVVal,_xlfn.XLOOKUP($A27,CSV!$A:$A,CSV!Q:Q,""),
_xlpm.MacVal,_xlfn.XLOOKUP($A27,Output_Mac!$A:$A,Output_Mac!M:M,""),
_xlpm.MyAuditVal,_xlfn.XLOOKUP($A27,My_Audit!$A:$A,My_Audit!L:L,""),
_xlfn.IFS(_xlpm.MyAuditVal&lt;&gt;"",UPPER(_xlpm.MyAuditVal),_xlpm.MacVal&lt;&gt;"",_xlpm.MacVal,_xlpm.CSVVal&lt;&gt;"",_xlpm.CSVVal
)),"")</f>
        <v/>
      </c>
      <c r="N27" s="40"/>
      <c r="O27" s="40" t="str">
        <f>_xlfn.LET(
    _xlpm.CSVVal, _xlfn.XLOOKUP($A27, CSV!$A:$A, CSV!AA:AA, ""),
    _xlpm.MacVal, _xlfn.XLOOKUP($A27, Output_Mac!$A:$A, Output_Mac!S:S, ""),
    _xlpm.MyAuditVal, _xlfn.XLOOKUP($A27, My_Audit!$A:$A, My_Audit!P:P, ""),
    _xlfn.TEXTJOIN(", ", TRUE, _xlpm.MyAuditVal, _xlpm.MacVal, _xlpm.CSVVal)
)</f>
        <v/>
      </c>
      <c r="P27" s="40" t="str" cm="1">
        <f t="array" ref="P27">IFERROR(_xlfn.LET(
_xlpm.CSVVal,_xlfn.XLOOKUP($A27,CSV!$A:$A,CSV!AB:AB,""),
_xlpm.MacVal,_xlfn.XLOOKUP($A27,Output_Mac!$A:$A,Output_Mac!T:T,""),
_xlpm.MyAuditVal,_xlfn.XLOOKUP($A27,My_Audit!$A:$A,My_Audit!Q:Q,""),
_xlfn.IFS(_xlpm.MyAuditVal&lt;&gt;"",UPPER(_xlpm.MyAuditVal),_xlpm.MacVal&lt;&gt;"",_xlpm.MacVal,_xlpm.CSVVal&lt;&gt;"",_xlpm.CSVVal
)),"No")</f>
        <v>No</v>
      </c>
      <c r="Q27" s="40" t="str" cm="1">
        <f t="array" ref="Q27">IFERROR(_xlfn.LET(
_xlpm.CSVVal,_xlfn.XLOOKUP($A27,CSV!$A:$A,CSV!AC:AC,""),
_xlpm.MacVal,_xlfn.XLOOKUP($A27,Output_Mac!$A:$A,Output_Mac!U:U,""),
_xlpm.MyAuditVal,_xlfn.XLOOKUP($A27,My_Audit!$A:$A,My_Audit!R:R,""),
_xlfn.IFS(_xlpm.MyAuditVal&lt;&gt;"",UPPER(_xlpm.MyAuditVal),_xlpm.MacVal&lt;&gt;"",_xlpm.MacVal,_xlpm.CSVVal&lt;&gt;"",_xlpm.CSVVal
)),"")</f>
        <v/>
      </c>
      <c r="R27" s="40"/>
      <c r="S27" s="40"/>
      <c r="T27" s="40"/>
      <c r="U27" s="40"/>
      <c r="V27" s="40"/>
      <c r="W27" s="40"/>
      <c r="X27" s="41" t="str">
        <f>_xlfn.LET(
    _xlpm.MacVal, _xlfn.XLOOKUP($A27, Output_Mac!$A:$A, Output_Mac!AB:AB, ""),
    _xlpm.MyAuditVal, _xlfn.XLOOKUP($A27, My_Audit!$A:$A, My_Audit!N:N, ""),
    _xlfn.TEXTJOIN(", ", TRUE, _xlpm.MyAuditVal, _xlpm.MacVal)
)</f>
        <v/>
      </c>
    </row>
    <row r="28" spans="1:24">
      <c r="A28" s="40" t="str">
        <f>_xlfn.TEXTJOIN("",TRUE,Input!$B$2,ROW(My_Audit!A27))</f>
        <v>X27</v>
      </c>
      <c r="B28" s="40" t="str">
        <f>_xlfn.TEXTJOIN("-",TRUE,"ITD",Input!$A$2,A28)</f>
        <v>ITD-X27</v>
      </c>
      <c r="C28" s="40" t="str" cm="1">
        <f t="array" ref="C28">IFERROR(_xlfn.LET(
_xlpm.CSVVal,_xlfn.XLOOKUP($A28,CSV!$A:$A,CSV!B:B,""),
_xlpm.MacVal,_xlfn.XLOOKUP($A28,Output_Mac!$A:$A,Output_Mac!B:B,""),
_xlpm.MyAuditVal,_xlfn.XLOOKUP($A28,My_Audit!$A:$A,My_Audit!B:B,""),
_xlfn.IFS(_xlpm.MyAuditVal&lt;&gt;"",UPPER(_xlpm.MyAuditVal),_xlpm.MacVal&lt;&gt;"",_xlpm.MacVal,_xlpm.CSVVal&lt;&gt;"",_xlpm.CSVVal
)),"")</f>
        <v/>
      </c>
      <c r="D28" s="40" t="str" cm="1">
        <f t="array" ref="D28">IFERROR(_xlfn.LET(
_xlpm.CSVVal,_xlfn.XLOOKUP($A28,CSV!$A:$A,CSV!D:D,""),
_xlpm.MacVal,_xlfn.XLOOKUP($A28,Output_Mac!$A:$A,Output_Mac!C:C,""),
_xlpm.MyAuditVal,_xlfn.XLOOKUP($A28,My_Audit!$A:$A,My_Audit!C:C,""),
_xlfn.IFS(_xlpm.MyAuditVal&lt;&gt;"",_xlpm.MyAuditVal,_xlpm.MacVal&lt;&gt;"",_xlpm.MacVal,_xlpm.CSVVal&lt;&gt;"",_xlpm.CSVVal
)),"")</f>
        <v/>
      </c>
      <c r="E28" s="40">
        <f>_xlfn.XLOOKUP(A28,My_Audit!A:A,My_Audit!D:D,"")</f>
        <v>0</v>
      </c>
      <c r="F28" s="40" t="str" cm="1">
        <f t="array" ref="F28">IFERROR(_xlfn.LET(
_xlpm.CSVVal,_xlfn.XLOOKUP($A28,CSV!$A:$A,CSV!F:F,""),
_xlpm.MacVal,_xlfn.XLOOKUP($A28,Output_Mac!$A:$A,Output_Mac!E:E,""),
_xlpm.MyAuditVal,_xlfn.XLOOKUP($A28,My_Audit!$A:$A,My_Audit!E:E,""),
_xlfn.IFS(_xlpm.MyAuditVal&lt;&gt;"",_xlpm.MyAuditVal,_xlpm.MacVal&lt;&gt;"",_xlpm.MacVal,_xlpm.CSVVal&lt;&gt;"",_xlpm.CSVVal
)),"")</f>
        <v/>
      </c>
      <c r="G28" s="40" t="str" cm="1">
        <f t="array" ref="G28">IFERROR(_xlfn.LET(
_xlpm.CSVVal,_xlfn.XLOOKUP($A28,CSV!$A:$A,CSV!G:G,""),
_xlpm.MacVal,_xlfn.XLOOKUP($A28,Output_Mac!$A:$A,Output_Mac!F:F,""),
_xlpm.MyAuditVal,_xlfn.XLOOKUP($A28,My_Audit!$A:$A,My_Audit!F:F,""),
_xlfn.IFS(_xlpm.MyAuditVal&lt;&gt;"",_xlpm.MyAuditVal,_xlpm.MacVal&lt;&gt;"",_xlpm.MacVal,_xlpm.CSVVal&lt;&gt;"",PROPER(_xlpm.CSVVal)
)),"")</f>
        <v/>
      </c>
      <c r="H28" s="40" t="str" cm="1">
        <f t="array" ref="H28">IFERROR(_xlfn.LET(
_xlpm.CSVVal,_xlfn.XLOOKUP($A28,CSV!$A:$A,CSV!H:H,""),
_xlpm.MacVal,_xlfn.XLOOKUP($A28,Output_Mac!$A:$A,Output_Mac!H:H,""),
_xlpm.MyAuditVal,_xlfn.XLOOKUP($A28,My_Audit!$A:$A,My_Audit!G:G,""),
_xlfn.IFS(_xlpm.MyAuditVal&lt;&gt;"",_xlpm.MyAuditVal,_xlpm.MacVal&lt;&gt;"",_xlpm.MacVal,_xlpm.CSVVal&lt;&gt;"",_xlpm.CSVVal
)),"")</f>
        <v/>
      </c>
      <c r="I28" s="40" t="str">
        <f>_xlfn.XLOOKUP(A28,Output_Mac!A:A,Output_Mac!I:I,"")</f>
        <v/>
      </c>
      <c r="J28" s="40" t="str" cm="1">
        <f t="array" ref="J28">IFERROR(_xlfn.LET(
_xlpm.CSVVal,_xlfn.XLOOKUP($A28,CSV!$A:$A,CSV!I:I,""),
_xlpm.MacVal,_xlfn.XLOOKUP($A28,Output_Mac!$A:$A,Output_Mac!J:J,""),
_xlpm.MyAuditVal,_xlfn.XLOOKUP($A28,My_Audit!$A:$A,My_Audit!I:I,""),
_xlfn.IFS(_xlpm.MyAuditVal&lt;&gt;"",UPPER(_xlpm.MyAuditVal),_xlpm.MacVal&lt;&gt;"",_xlpm.MacVal,_xlpm.CSVVal&lt;&gt;"",_xlpm.CSVVal
)),"")</f>
        <v/>
      </c>
      <c r="K28" s="40" t="str" cm="1">
        <f t="array" ref="K28">IFERROR(_xlfn.LET(
_xlpm.CSVVal,_xlfn.XLOOKUP($A28,CSV!$A:$A,CSV!K:K,""),
_xlpm.MacVal,_xlfn.XLOOKUP($A28,Output_Mac!$A:$A,Output_Mac!K:K,""),
_xlpm.MyAuditVal,_xlfn.XLOOKUP($A28,My_Audit!$A:$A,My_Audit!J:J,""),
_xlfn.IFS(_xlpm.MyAuditVal&lt;&gt;"",UPPER(_xlpm.MyAuditVal),_xlpm.MacVal&lt;&gt;"",_xlpm.MacVal,_xlpm.CSVVal&lt;&gt;"",_xlpm.CSVVal
)),"")</f>
        <v/>
      </c>
      <c r="L28" s="40" t="str" cm="1">
        <f t="array" ref="L28">IFERROR(_xlfn.LET(
_xlpm.CSVVal,_xlfn.XLOOKUP($A28,CSV!$A:$A,CSV!P:P,""),
_xlpm.MacVal,_xlfn.XLOOKUP($A28,Output_Mac!$A:$A,Output_Mac!L:L,""),
_xlpm.MyAuditVal,_xlfn.XLOOKUP($A28,My_Audit!$A:$A,My_Audit!K:K,""),
_xlfn.IFS(_xlpm.MyAuditVal&lt;&gt;"",UPPER(_xlpm.MyAuditVal),_xlpm.MacVal&lt;&gt;"",_xlpm.MacVal,_xlpm.CSVVal&lt;&gt;"",_xlpm.CSVVal
)),"")</f>
        <v/>
      </c>
      <c r="M28" s="40" t="str" cm="1">
        <f t="array" ref="M28">IFERROR(_xlfn.LET(
_xlpm.CSVVal,_xlfn.XLOOKUP($A28,CSV!$A:$A,CSV!Q:Q,""),
_xlpm.MacVal,_xlfn.XLOOKUP($A28,Output_Mac!$A:$A,Output_Mac!M:M,""),
_xlpm.MyAuditVal,_xlfn.XLOOKUP($A28,My_Audit!$A:$A,My_Audit!L:L,""),
_xlfn.IFS(_xlpm.MyAuditVal&lt;&gt;"",UPPER(_xlpm.MyAuditVal),_xlpm.MacVal&lt;&gt;"",_xlpm.MacVal,_xlpm.CSVVal&lt;&gt;"",_xlpm.CSVVal
)),"")</f>
        <v/>
      </c>
      <c r="N28" s="40"/>
      <c r="O28" s="40" t="str">
        <f>_xlfn.LET(
    _xlpm.CSVVal, _xlfn.XLOOKUP($A28, CSV!$A:$A, CSV!AA:AA, ""),
    _xlpm.MacVal, _xlfn.XLOOKUP($A28, Output_Mac!$A:$A, Output_Mac!S:S, ""),
    _xlpm.MyAuditVal, _xlfn.XLOOKUP($A28, My_Audit!$A:$A, My_Audit!P:P, ""),
    _xlfn.TEXTJOIN(", ", TRUE, _xlpm.MyAuditVal, _xlpm.MacVal, _xlpm.CSVVal)
)</f>
        <v/>
      </c>
      <c r="P28" s="40" t="str" cm="1">
        <f t="array" ref="P28">IFERROR(_xlfn.LET(
_xlpm.CSVVal,_xlfn.XLOOKUP($A28,CSV!$A:$A,CSV!AB:AB,""),
_xlpm.MacVal,_xlfn.XLOOKUP($A28,Output_Mac!$A:$A,Output_Mac!T:T,""),
_xlpm.MyAuditVal,_xlfn.XLOOKUP($A28,My_Audit!$A:$A,My_Audit!Q:Q,""),
_xlfn.IFS(_xlpm.MyAuditVal&lt;&gt;"",UPPER(_xlpm.MyAuditVal),_xlpm.MacVal&lt;&gt;"",_xlpm.MacVal,_xlpm.CSVVal&lt;&gt;"",_xlpm.CSVVal
)),"No")</f>
        <v>No</v>
      </c>
      <c r="Q28" s="40" t="str" cm="1">
        <f t="array" ref="Q28">IFERROR(_xlfn.LET(
_xlpm.CSVVal,_xlfn.XLOOKUP($A28,CSV!$A:$A,CSV!AC:AC,""),
_xlpm.MacVal,_xlfn.XLOOKUP($A28,Output_Mac!$A:$A,Output_Mac!U:U,""),
_xlpm.MyAuditVal,_xlfn.XLOOKUP($A28,My_Audit!$A:$A,My_Audit!R:R,""),
_xlfn.IFS(_xlpm.MyAuditVal&lt;&gt;"",UPPER(_xlpm.MyAuditVal),_xlpm.MacVal&lt;&gt;"",_xlpm.MacVal,_xlpm.CSVVal&lt;&gt;"",_xlpm.CSVVal
)),"")</f>
        <v/>
      </c>
      <c r="R28" s="40"/>
      <c r="S28" s="40"/>
      <c r="T28" s="40"/>
      <c r="U28" s="40"/>
      <c r="V28" s="40"/>
      <c r="W28" s="40"/>
      <c r="X28" s="41" t="str">
        <f>_xlfn.LET(
    _xlpm.MacVal, _xlfn.XLOOKUP($A28, Output_Mac!$A:$A, Output_Mac!AB:AB, ""),
    _xlpm.MyAuditVal, _xlfn.XLOOKUP($A28, My_Audit!$A:$A, My_Audit!N:N, ""),
    _xlfn.TEXTJOIN(", ", TRUE, _xlpm.MyAuditVal, _xlpm.MacVal)
)</f>
        <v/>
      </c>
    </row>
    <row r="29" spans="1:24">
      <c r="A29" s="40" t="str">
        <f>_xlfn.TEXTJOIN("",TRUE,Input!$B$2,ROW(My_Audit!A28))</f>
        <v>X28</v>
      </c>
      <c r="B29" s="40" t="str">
        <f>_xlfn.TEXTJOIN("-",TRUE,"ITD",Input!$A$2,A29)</f>
        <v>ITD-X28</v>
      </c>
      <c r="C29" s="40" t="str" cm="1">
        <f t="array" ref="C29">IFERROR(_xlfn.LET(
_xlpm.CSVVal,_xlfn.XLOOKUP($A29,CSV!$A:$A,CSV!B:B,""),
_xlpm.MacVal,_xlfn.XLOOKUP($A29,Output_Mac!$A:$A,Output_Mac!B:B,""),
_xlpm.MyAuditVal,_xlfn.XLOOKUP($A29,My_Audit!$A:$A,My_Audit!B:B,""),
_xlfn.IFS(_xlpm.MyAuditVal&lt;&gt;"",UPPER(_xlpm.MyAuditVal),_xlpm.MacVal&lt;&gt;"",_xlpm.MacVal,_xlpm.CSVVal&lt;&gt;"",_xlpm.CSVVal
)),"")</f>
        <v/>
      </c>
      <c r="D29" s="40" t="str" cm="1">
        <f t="array" ref="D29">IFERROR(_xlfn.LET(
_xlpm.CSVVal,_xlfn.XLOOKUP($A29,CSV!$A:$A,CSV!D:D,""),
_xlpm.MacVal,_xlfn.XLOOKUP($A29,Output_Mac!$A:$A,Output_Mac!C:C,""),
_xlpm.MyAuditVal,_xlfn.XLOOKUP($A29,My_Audit!$A:$A,My_Audit!C:C,""),
_xlfn.IFS(_xlpm.MyAuditVal&lt;&gt;"",_xlpm.MyAuditVal,_xlpm.MacVal&lt;&gt;"",_xlpm.MacVal,_xlpm.CSVVal&lt;&gt;"",_xlpm.CSVVal
)),"")</f>
        <v/>
      </c>
      <c r="E29" s="40">
        <f>_xlfn.XLOOKUP(A29,My_Audit!A:A,My_Audit!D:D,"")</f>
        <v>0</v>
      </c>
      <c r="F29" s="40" t="str" cm="1">
        <f t="array" ref="F29">IFERROR(_xlfn.LET(
_xlpm.CSVVal,_xlfn.XLOOKUP($A29,CSV!$A:$A,CSV!F:F,""),
_xlpm.MacVal,_xlfn.XLOOKUP($A29,Output_Mac!$A:$A,Output_Mac!E:E,""),
_xlpm.MyAuditVal,_xlfn.XLOOKUP($A29,My_Audit!$A:$A,My_Audit!E:E,""),
_xlfn.IFS(_xlpm.MyAuditVal&lt;&gt;"",_xlpm.MyAuditVal,_xlpm.MacVal&lt;&gt;"",_xlpm.MacVal,_xlpm.CSVVal&lt;&gt;"",_xlpm.CSVVal
)),"")</f>
        <v/>
      </c>
      <c r="G29" s="40" t="str" cm="1">
        <f t="array" ref="G29">IFERROR(_xlfn.LET(
_xlpm.CSVVal,_xlfn.XLOOKUP($A29,CSV!$A:$A,CSV!G:G,""),
_xlpm.MacVal,_xlfn.XLOOKUP($A29,Output_Mac!$A:$A,Output_Mac!F:F,""),
_xlpm.MyAuditVal,_xlfn.XLOOKUP($A29,My_Audit!$A:$A,My_Audit!F:F,""),
_xlfn.IFS(_xlpm.MyAuditVal&lt;&gt;"",_xlpm.MyAuditVal,_xlpm.MacVal&lt;&gt;"",_xlpm.MacVal,_xlpm.CSVVal&lt;&gt;"",PROPER(_xlpm.CSVVal)
)),"")</f>
        <v/>
      </c>
      <c r="H29" s="40" t="str" cm="1">
        <f t="array" ref="H29">IFERROR(_xlfn.LET(
_xlpm.CSVVal,_xlfn.XLOOKUP($A29,CSV!$A:$A,CSV!H:H,""),
_xlpm.MacVal,_xlfn.XLOOKUP($A29,Output_Mac!$A:$A,Output_Mac!H:H,""),
_xlpm.MyAuditVal,_xlfn.XLOOKUP($A29,My_Audit!$A:$A,My_Audit!G:G,""),
_xlfn.IFS(_xlpm.MyAuditVal&lt;&gt;"",_xlpm.MyAuditVal,_xlpm.MacVal&lt;&gt;"",_xlpm.MacVal,_xlpm.CSVVal&lt;&gt;"",_xlpm.CSVVal
)),"")</f>
        <v/>
      </c>
      <c r="I29" s="40" t="str">
        <f>_xlfn.XLOOKUP(A29,Output_Mac!A:A,Output_Mac!I:I,"")</f>
        <v/>
      </c>
      <c r="J29" s="40" t="str" cm="1">
        <f t="array" ref="J29">IFERROR(_xlfn.LET(
_xlpm.CSVVal,_xlfn.XLOOKUP($A29,CSV!$A:$A,CSV!I:I,""),
_xlpm.MacVal,_xlfn.XLOOKUP($A29,Output_Mac!$A:$A,Output_Mac!J:J,""),
_xlpm.MyAuditVal,_xlfn.XLOOKUP($A29,My_Audit!$A:$A,My_Audit!I:I,""),
_xlfn.IFS(_xlpm.MyAuditVal&lt;&gt;"",UPPER(_xlpm.MyAuditVal),_xlpm.MacVal&lt;&gt;"",_xlpm.MacVal,_xlpm.CSVVal&lt;&gt;"",_xlpm.CSVVal
)),"")</f>
        <v/>
      </c>
      <c r="K29" s="40" t="str" cm="1">
        <f t="array" ref="K29">IFERROR(_xlfn.LET(
_xlpm.CSVVal,_xlfn.XLOOKUP($A29,CSV!$A:$A,CSV!K:K,""),
_xlpm.MacVal,_xlfn.XLOOKUP($A29,Output_Mac!$A:$A,Output_Mac!K:K,""),
_xlpm.MyAuditVal,_xlfn.XLOOKUP($A29,My_Audit!$A:$A,My_Audit!J:J,""),
_xlfn.IFS(_xlpm.MyAuditVal&lt;&gt;"",UPPER(_xlpm.MyAuditVal),_xlpm.MacVal&lt;&gt;"",_xlpm.MacVal,_xlpm.CSVVal&lt;&gt;"",_xlpm.CSVVal
)),"")</f>
        <v/>
      </c>
      <c r="L29" s="40" t="str" cm="1">
        <f t="array" ref="L29">IFERROR(_xlfn.LET(
_xlpm.CSVVal,_xlfn.XLOOKUP($A29,CSV!$A:$A,CSV!P:P,""),
_xlpm.MacVal,_xlfn.XLOOKUP($A29,Output_Mac!$A:$A,Output_Mac!L:L,""),
_xlpm.MyAuditVal,_xlfn.XLOOKUP($A29,My_Audit!$A:$A,My_Audit!K:K,""),
_xlfn.IFS(_xlpm.MyAuditVal&lt;&gt;"",UPPER(_xlpm.MyAuditVal),_xlpm.MacVal&lt;&gt;"",_xlpm.MacVal,_xlpm.CSVVal&lt;&gt;"",_xlpm.CSVVal
)),"")</f>
        <v/>
      </c>
      <c r="M29" s="40" t="str" cm="1">
        <f t="array" ref="M29">IFERROR(_xlfn.LET(
_xlpm.CSVVal,_xlfn.XLOOKUP($A29,CSV!$A:$A,CSV!Q:Q,""),
_xlpm.MacVal,_xlfn.XLOOKUP($A29,Output_Mac!$A:$A,Output_Mac!M:M,""),
_xlpm.MyAuditVal,_xlfn.XLOOKUP($A29,My_Audit!$A:$A,My_Audit!L:L,""),
_xlfn.IFS(_xlpm.MyAuditVal&lt;&gt;"",UPPER(_xlpm.MyAuditVal),_xlpm.MacVal&lt;&gt;"",_xlpm.MacVal,_xlpm.CSVVal&lt;&gt;"",_xlpm.CSVVal
)),"")</f>
        <v/>
      </c>
      <c r="N29" s="40"/>
      <c r="O29" s="40" t="str">
        <f>_xlfn.LET(
    _xlpm.CSVVal, _xlfn.XLOOKUP($A29, CSV!$A:$A, CSV!AA:AA, ""),
    _xlpm.MacVal, _xlfn.XLOOKUP($A29, Output_Mac!$A:$A, Output_Mac!S:S, ""),
    _xlpm.MyAuditVal, _xlfn.XLOOKUP($A29, My_Audit!$A:$A, My_Audit!P:P, ""),
    _xlfn.TEXTJOIN(", ", TRUE, _xlpm.MyAuditVal, _xlpm.MacVal, _xlpm.CSVVal)
)</f>
        <v/>
      </c>
      <c r="P29" s="40" t="str" cm="1">
        <f t="array" ref="P29">IFERROR(_xlfn.LET(
_xlpm.CSVVal,_xlfn.XLOOKUP($A29,CSV!$A:$A,CSV!AB:AB,""),
_xlpm.MacVal,_xlfn.XLOOKUP($A29,Output_Mac!$A:$A,Output_Mac!T:T,""),
_xlpm.MyAuditVal,_xlfn.XLOOKUP($A29,My_Audit!$A:$A,My_Audit!Q:Q,""),
_xlfn.IFS(_xlpm.MyAuditVal&lt;&gt;"",UPPER(_xlpm.MyAuditVal),_xlpm.MacVal&lt;&gt;"",_xlpm.MacVal,_xlpm.CSVVal&lt;&gt;"",_xlpm.CSVVal
)),"No")</f>
        <v>No</v>
      </c>
      <c r="Q29" s="40" t="str" cm="1">
        <f t="array" ref="Q29">IFERROR(_xlfn.LET(
_xlpm.CSVVal,_xlfn.XLOOKUP($A29,CSV!$A:$A,CSV!AC:AC,""),
_xlpm.MacVal,_xlfn.XLOOKUP($A29,Output_Mac!$A:$A,Output_Mac!U:U,""),
_xlpm.MyAuditVal,_xlfn.XLOOKUP($A29,My_Audit!$A:$A,My_Audit!R:R,""),
_xlfn.IFS(_xlpm.MyAuditVal&lt;&gt;"",UPPER(_xlpm.MyAuditVal),_xlpm.MacVal&lt;&gt;"",_xlpm.MacVal,_xlpm.CSVVal&lt;&gt;"",_xlpm.CSVVal
)),"")</f>
        <v/>
      </c>
      <c r="R29" s="40"/>
      <c r="S29" s="40"/>
      <c r="T29" s="40"/>
      <c r="U29" s="40"/>
      <c r="V29" s="40"/>
      <c r="W29" s="40"/>
      <c r="X29" s="41" t="str">
        <f>_xlfn.LET(
    _xlpm.MacVal, _xlfn.XLOOKUP($A29, Output_Mac!$A:$A, Output_Mac!AB:AB, ""),
    _xlpm.MyAuditVal, _xlfn.XLOOKUP($A29, My_Audit!$A:$A, My_Audit!N:N, ""),
    _xlfn.TEXTJOIN(", ", TRUE, _xlpm.MyAuditVal, _xlpm.MacVal)
)</f>
        <v/>
      </c>
    </row>
    <row r="30" spans="1:24">
      <c r="A30" s="40" t="str">
        <f>_xlfn.TEXTJOIN("",TRUE,Input!$B$2,ROW(My_Audit!A29))</f>
        <v>X29</v>
      </c>
      <c r="B30" s="40" t="str">
        <f>_xlfn.TEXTJOIN("-",TRUE,"ITD",Input!$A$2,A30)</f>
        <v>ITD-X29</v>
      </c>
      <c r="C30" s="40" t="str" cm="1">
        <f t="array" ref="C30">IFERROR(_xlfn.LET(
_xlpm.CSVVal,_xlfn.XLOOKUP($A30,CSV!$A:$A,CSV!B:B,""),
_xlpm.MacVal,_xlfn.XLOOKUP($A30,Output_Mac!$A:$A,Output_Mac!B:B,""),
_xlpm.MyAuditVal,_xlfn.XLOOKUP($A30,My_Audit!$A:$A,My_Audit!B:B,""),
_xlfn.IFS(_xlpm.MyAuditVal&lt;&gt;"",UPPER(_xlpm.MyAuditVal),_xlpm.MacVal&lt;&gt;"",_xlpm.MacVal,_xlpm.CSVVal&lt;&gt;"",_xlpm.CSVVal
)),"")</f>
        <v/>
      </c>
      <c r="D30" s="40" t="str" cm="1">
        <f t="array" ref="D30">IFERROR(_xlfn.LET(
_xlpm.CSVVal,_xlfn.XLOOKUP($A30,CSV!$A:$A,CSV!D:D,""),
_xlpm.MacVal,_xlfn.XLOOKUP($A30,Output_Mac!$A:$A,Output_Mac!C:C,""),
_xlpm.MyAuditVal,_xlfn.XLOOKUP($A30,My_Audit!$A:$A,My_Audit!C:C,""),
_xlfn.IFS(_xlpm.MyAuditVal&lt;&gt;"",_xlpm.MyAuditVal,_xlpm.MacVal&lt;&gt;"",_xlpm.MacVal,_xlpm.CSVVal&lt;&gt;"",_xlpm.CSVVal
)),"")</f>
        <v/>
      </c>
      <c r="E30" s="40">
        <f>_xlfn.XLOOKUP(A30,My_Audit!A:A,My_Audit!D:D,"")</f>
        <v>0</v>
      </c>
      <c r="F30" s="40" t="str" cm="1">
        <f t="array" ref="F30">IFERROR(_xlfn.LET(
_xlpm.CSVVal,_xlfn.XLOOKUP($A30,CSV!$A:$A,CSV!F:F,""),
_xlpm.MacVal,_xlfn.XLOOKUP($A30,Output_Mac!$A:$A,Output_Mac!E:E,""),
_xlpm.MyAuditVal,_xlfn.XLOOKUP($A30,My_Audit!$A:$A,My_Audit!E:E,""),
_xlfn.IFS(_xlpm.MyAuditVal&lt;&gt;"",_xlpm.MyAuditVal,_xlpm.MacVal&lt;&gt;"",_xlpm.MacVal,_xlpm.CSVVal&lt;&gt;"",_xlpm.CSVVal
)),"")</f>
        <v/>
      </c>
      <c r="G30" s="40" t="str" cm="1">
        <f t="array" ref="G30">IFERROR(_xlfn.LET(
_xlpm.CSVVal,_xlfn.XLOOKUP($A30,CSV!$A:$A,CSV!G:G,""),
_xlpm.MacVal,_xlfn.XLOOKUP($A30,Output_Mac!$A:$A,Output_Mac!F:F,""),
_xlpm.MyAuditVal,_xlfn.XLOOKUP($A30,My_Audit!$A:$A,My_Audit!F:F,""),
_xlfn.IFS(_xlpm.MyAuditVal&lt;&gt;"",_xlpm.MyAuditVal,_xlpm.MacVal&lt;&gt;"",_xlpm.MacVal,_xlpm.CSVVal&lt;&gt;"",PROPER(_xlpm.CSVVal)
)),"")</f>
        <v/>
      </c>
      <c r="H30" s="40" t="str" cm="1">
        <f t="array" ref="H30">IFERROR(_xlfn.LET(
_xlpm.CSVVal,_xlfn.XLOOKUP($A30,CSV!$A:$A,CSV!H:H,""),
_xlpm.MacVal,_xlfn.XLOOKUP($A30,Output_Mac!$A:$A,Output_Mac!H:H,""),
_xlpm.MyAuditVal,_xlfn.XLOOKUP($A30,My_Audit!$A:$A,My_Audit!G:G,""),
_xlfn.IFS(_xlpm.MyAuditVal&lt;&gt;"",_xlpm.MyAuditVal,_xlpm.MacVal&lt;&gt;"",_xlpm.MacVal,_xlpm.CSVVal&lt;&gt;"",_xlpm.CSVVal
)),"")</f>
        <v/>
      </c>
      <c r="I30" s="40" t="str">
        <f>_xlfn.XLOOKUP(A30,Output_Mac!A:A,Output_Mac!I:I,"")</f>
        <v/>
      </c>
      <c r="J30" s="40" t="str" cm="1">
        <f t="array" ref="J30">IFERROR(_xlfn.LET(
_xlpm.CSVVal,_xlfn.XLOOKUP($A30,CSV!$A:$A,CSV!I:I,""),
_xlpm.MacVal,_xlfn.XLOOKUP($A30,Output_Mac!$A:$A,Output_Mac!J:J,""),
_xlpm.MyAuditVal,_xlfn.XLOOKUP($A30,My_Audit!$A:$A,My_Audit!I:I,""),
_xlfn.IFS(_xlpm.MyAuditVal&lt;&gt;"",UPPER(_xlpm.MyAuditVal),_xlpm.MacVal&lt;&gt;"",_xlpm.MacVal,_xlpm.CSVVal&lt;&gt;"",_xlpm.CSVVal
)),"")</f>
        <v/>
      </c>
      <c r="K30" s="40" t="str" cm="1">
        <f t="array" ref="K30">IFERROR(_xlfn.LET(
_xlpm.CSVVal,_xlfn.XLOOKUP($A30,CSV!$A:$A,CSV!K:K,""),
_xlpm.MacVal,_xlfn.XLOOKUP($A30,Output_Mac!$A:$A,Output_Mac!K:K,""),
_xlpm.MyAuditVal,_xlfn.XLOOKUP($A30,My_Audit!$A:$A,My_Audit!J:J,""),
_xlfn.IFS(_xlpm.MyAuditVal&lt;&gt;"",UPPER(_xlpm.MyAuditVal),_xlpm.MacVal&lt;&gt;"",_xlpm.MacVal,_xlpm.CSVVal&lt;&gt;"",_xlpm.CSVVal
)),"")</f>
        <v/>
      </c>
      <c r="L30" s="40" t="str" cm="1">
        <f t="array" ref="L30">IFERROR(_xlfn.LET(
_xlpm.CSVVal,_xlfn.XLOOKUP($A30,CSV!$A:$A,CSV!P:P,""),
_xlpm.MacVal,_xlfn.XLOOKUP($A30,Output_Mac!$A:$A,Output_Mac!L:L,""),
_xlpm.MyAuditVal,_xlfn.XLOOKUP($A30,My_Audit!$A:$A,My_Audit!K:K,""),
_xlfn.IFS(_xlpm.MyAuditVal&lt;&gt;"",UPPER(_xlpm.MyAuditVal),_xlpm.MacVal&lt;&gt;"",_xlpm.MacVal,_xlpm.CSVVal&lt;&gt;"",_xlpm.CSVVal
)),"")</f>
        <v/>
      </c>
      <c r="M30" s="40" t="str" cm="1">
        <f t="array" ref="M30">IFERROR(_xlfn.LET(
_xlpm.CSVVal,_xlfn.XLOOKUP($A30,CSV!$A:$A,CSV!Q:Q,""),
_xlpm.MacVal,_xlfn.XLOOKUP($A30,Output_Mac!$A:$A,Output_Mac!M:M,""),
_xlpm.MyAuditVal,_xlfn.XLOOKUP($A30,My_Audit!$A:$A,My_Audit!L:L,""),
_xlfn.IFS(_xlpm.MyAuditVal&lt;&gt;"",UPPER(_xlpm.MyAuditVal),_xlpm.MacVal&lt;&gt;"",_xlpm.MacVal,_xlpm.CSVVal&lt;&gt;"",_xlpm.CSVVal
)),"")</f>
        <v/>
      </c>
      <c r="N30" s="40"/>
      <c r="O30" s="40" t="str">
        <f>_xlfn.LET(
    _xlpm.CSVVal, _xlfn.XLOOKUP($A30, CSV!$A:$A, CSV!AA:AA, ""),
    _xlpm.MacVal, _xlfn.XLOOKUP($A30, Output_Mac!$A:$A, Output_Mac!S:S, ""),
    _xlpm.MyAuditVal, _xlfn.XLOOKUP($A30, My_Audit!$A:$A, My_Audit!P:P, ""),
    _xlfn.TEXTJOIN(", ", TRUE, _xlpm.MyAuditVal, _xlpm.MacVal, _xlpm.CSVVal)
)</f>
        <v/>
      </c>
      <c r="P30" s="40" t="str" cm="1">
        <f t="array" ref="P30">IFERROR(_xlfn.LET(
_xlpm.CSVVal,_xlfn.XLOOKUP($A30,CSV!$A:$A,CSV!AB:AB,""),
_xlpm.MacVal,_xlfn.XLOOKUP($A30,Output_Mac!$A:$A,Output_Mac!T:T,""),
_xlpm.MyAuditVal,_xlfn.XLOOKUP($A30,My_Audit!$A:$A,My_Audit!Q:Q,""),
_xlfn.IFS(_xlpm.MyAuditVal&lt;&gt;"",UPPER(_xlpm.MyAuditVal),_xlpm.MacVal&lt;&gt;"",_xlpm.MacVal,_xlpm.CSVVal&lt;&gt;"",_xlpm.CSVVal
)),"No")</f>
        <v>No</v>
      </c>
      <c r="Q30" s="40" t="str" cm="1">
        <f t="array" ref="Q30">IFERROR(_xlfn.LET(
_xlpm.CSVVal,_xlfn.XLOOKUP($A30,CSV!$A:$A,CSV!AC:AC,""),
_xlpm.MacVal,_xlfn.XLOOKUP($A30,Output_Mac!$A:$A,Output_Mac!U:U,""),
_xlpm.MyAuditVal,_xlfn.XLOOKUP($A30,My_Audit!$A:$A,My_Audit!R:R,""),
_xlfn.IFS(_xlpm.MyAuditVal&lt;&gt;"",UPPER(_xlpm.MyAuditVal),_xlpm.MacVal&lt;&gt;"",_xlpm.MacVal,_xlpm.CSVVal&lt;&gt;"",_xlpm.CSVVal
)),"")</f>
        <v/>
      </c>
      <c r="R30" s="40"/>
      <c r="S30" s="40"/>
      <c r="T30" s="40"/>
      <c r="U30" s="40"/>
      <c r="V30" s="40"/>
      <c r="W30" s="40"/>
      <c r="X30" s="41" t="str">
        <f>_xlfn.LET(
    _xlpm.MacVal, _xlfn.XLOOKUP($A30, Output_Mac!$A:$A, Output_Mac!AB:AB, ""),
    _xlpm.MyAuditVal, _xlfn.XLOOKUP($A30, My_Audit!$A:$A, My_Audit!N:N, ""),
    _xlfn.TEXTJOIN(", ", TRUE, _xlpm.MyAuditVal, _xlpm.MacVal)
)</f>
        <v/>
      </c>
    </row>
    <row r="31" spans="1:24">
      <c r="A31" s="40" t="str">
        <f>_xlfn.TEXTJOIN("",TRUE,Input!$B$2,ROW(My_Audit!A30))</f>
        <v>X30</v>
      </c>
      <c r="B31" s="40" t="str">
        <f>_xlfn.TEXTJOIN("-",TRUE,"ITD",Input!$A$2,A31)</f>
        <v>ITD-X30</v>
      </c>
      <c r="C31" s="40" t="str" cm="1">
        <f t="array" ref="C31">IFERROR(_xlfn.LET(
_xlpm.CSVVal,_xlfn.XLOOKUP($A31,CSV!$A:$A,CSV!B:B,""),
_xlpm.MacVal,_xlfn.XLOOKUP($A31,Output_Mac!$A:$A,Output_Mac!B:B,""),
_xlpm.MyAuditVal,_xlfn.XLOOKUP($A31,My_Audit!$A:$A,My_Audit!B:B,""),
_xlfn.IFS(_xlpm.MyAuditVal&lt;&gt;"",UPPER(_xlpm.MyAuditVal),_xlpm.MacVal&lt;&gt;"",_xlpm.MacVal,_xlpm.CSVVal&lt;&gt;"",_xlpm.CSVVal
)),"")</f>
        <v/>
      </c>
      <c r="D31" s="40" t="str" cm="1">
        <f t="array" ref="D31">IFERROR(_xlfn.LET(
_xlpm.CSVVal,_xlfn.XLOOKUP($A31,CSV!$A:$A,CSV!D:D,""),
_xlpm.MacVal,_xlfn.XLOOKUP($A31,Output_Mac!$A:$A,Output_Mac!C:C,""),
_xlpm.MyAuditVal,_xlfn.XLOOKUP($A31,My_Audit!$A:$A,My_Audit!C:C,""),
_xlfn.IFS(_xlpm.MyAuditVal&lt;&gt;"",_xlpm.MyAuditVal,_xlpm.MacVal&lt;&gt;"",_xlpm.MacVal,_xlpm.CSVVal&lt;&gt;"",_xlpm.CSVVal
)),"")</f>
        <v/>
      </c>
      <c r="E31" s="40">
        <f>_xlfn.XLOOKUP(A31,My_Audit!A:A,My_Audit!D:D,"")</f>
        <v>0</v>
      </c>
      <c r="F31" s="40" t="str" cm="1">
        <f t="array" ref="F31">IFERROR(_xlfn.LET(
_xlpm.CSVVal,_xlfn.XLOOKUP($A31,CSV!$A:$A,CSV!F:F,""),
_xlpm.MacVal,_xlfn.XLOOKUP($A31,Output_Mac!$A:$A,Output_Mac!E:E,""),
_xlpm.MyAuditVal,_xlfn.XLOOKUP($A31,My_Audit!$A:$A,My_Audit!E:E,""),
_xlfn.IFS(_xlpm.MyAuditVal&lt;&gt;"",_xlpm.MyAuditVal,_xlpm.MacVal&lt;&gt;"",_xlpm.MacVal,_xlpm.CSVVal&lt;&gt;"",_xlpm.CSVVal
)),"")</f>
        <v/>
      </c>
      <c r="G31" s="40" t="str" cm="1">
        <f t="array" ref="G31">IFERROR(_xlfn.LET(
_xlpm.CSVVal,_xlfn.XLOOKUP($A31,CSV!$A:$A,CSV!G:G,""),
_xlpm.MacVal,_xlfn.XLOOKUP($A31,Output_Mac!$A:$A,Output_Mac!F:F,""),
_xlpm.MyAuditVal,_xlfn.XLOOKUP($A31,My_Audit!$A:$A,My_Audit!F:F,""),
_xlfn.IFS(_xlpm.MyAuditVal&lt;&gt;"",_xlpm.MyAuditVal,_xlpm.MacVal&lt;&gt;"",_xlpm.MacVal,_xlpm.CSVVal&lt;&gt;"",PROPER(_xlpm.CSVVal)
)),"")</f>
        <v/>
      </c>
      <c r="H31" s="40" t="str" cm="1">
        <f t="array" ref="H31">IFERROR(_xlfn.LET(
_xlpm.CSVVal,_xlfn.XLOOKUP($A31,CSV!$A:$A,CSV!H:H,""),
_xlpm.MacVal,_xlfn.XLOOKUP($A31,Output_Mac!$A:$A,Output_Mac!H:H,""),
_xlpm.MyAuditVal,_xlfn.XLOOKUP($A31,My_Audit!$A:$A,My_Audit!G:G,""),
_xlfn.IFS(_xlpm.MyAuditVal&lt;&gt;"",_xlpm.MyAuditVal,_xlpm.MacVal&lt;&gt;"",_xlpm.MacVal,_xlpm.CSVVal&lt;&gt;"",_xlpm.CSVVal
)),"")</f>
        <v/>
      </c>
      <c r="I31" s="40" t="str">
        <f>_xlfn.XLOOKUP(A31,Output_Mac!A:A,Output_Mac!I:I,"")</f>
        <v/>
      </c>
      <c r="J31" s="40" t="str" cm="1">
        <f t="array" ref="J31">IFERROR(_xlfn.LET(
_xlpm.CSVVal,_xlfn.XLOOKUP($A31,CSV!$A:$A,CSV!I:I,""),
_xlpm.MacVal,_xlfn.XLOOKUP($A31,Output_Mac!$A:$A,Output_Mac!J:J,""),
_xlpm.MyAuditVal,_xlfn.XLOOKUP($A31,My_Audit!$A:$A,My_Audit!I:I,""),
_xlfn.IFS(_xlpm.MyAuditVal&lt;&gt;"",UPPER(_xlpm.MyAuditVal),_xlpm.MacVal&lt;&gt;"",_xlpm.MacVal,_xlpm.CSVVal&lt;&gt;"",_xlpm.CSVVal
)),"")</f>
        <v/>
      </c>
      <c r="K31" s="40" t="str" cm="1">
        <f t="array" ref="K31">IFERROR(_xlfn.LET(
_xlpm.CSVVal,_xlfn.XLOOKUP($A31,CSV!$A:$A,CSV!K:K,""),
_xlpm.MacVal,_xlfn.XLOOKUP($A31,Output_Mac!$A:$A,Output_Mac!K:K,""),
_xlpm.MyAuditVal,_xlfn.XLOOKUP($A31,My_Audit!$A:$A,My_Audit!J:J,""),
_xlfn.IFS(_xlpm.MyAuditVal&lt;&gt;"",UPPER(_xlpm.MyAuditVal),_xlpm.MacVal&lt;&gt;"",_xlpm.MacVal,_xlpm.CSVVal&lt;&gt;"",_xlpm.CSVVal
)),"")</f>
        <v/>
      </c>
      <c r="L31" s="40" t="str" cm="1">
        <f t="array" ref="L31">IFERROR(_xlfn.LET(
_xlpm.CSVVal,_xlfn.XLOOKUP($A31,CSV!$A:$A,CSV!P:P,""),
_xlpm.MacVal,_xlfn.XLOOKUP($A31,Output_Mac!$A:$A,Output_Mac!L:L,""),
_xlpm.MyAuditVal,_xlfn.XLOOKUP($A31,My_Audit!$A:$A,My_Audit!K:K,""),
_xlfn.IFS(_xlpm.MyAuditVal&lt;&gt;"",UPPER(_xlpm.MyAuditVal),_xlpm.MacVal&lt;&gt;"",_xlpm.MacVal,_xlpm.CSVVal&lt;&gt;"",_xlpm.CSVVal
)),"")</f>
        <v/>
      </c>
      <c r="M31" s="40" t="str" cm="1">
        <f t="array" ref="M31">IFERROR(_xlfn.LET(
_xlpm.CSVVal,_xlfn.XLOOKUP($A31,CSV!$A:$A,CSV!Q:Q,""),
_xlpm.MacVal,_xlfn.XLOOKUP($A31,Output_Mac!$A:$A,Output_Mac!M:M,""),
_xlpm.MyAuditVal,_xlfn.XLOOKUP($A31,My_Audit!$A:$A,My_Audit!L:L,""),
_xlfn.IFS(_xlpm.MyAuditVal&lt;&gt;"",UPPER(_xlpm.MyAuditVal),_xlpm.MacVal&lt;&gt;"",_xlpm.MacVal,_xlpm.CSVVal&lt;&gt;"",_xlpm.CSVVal
)),"")</f>
        <v/>
      </c>
      <c r="N31" s="40"/>
      <c r="O31" s="40" t="str">
        <f>_xlfn.LET(
    _xlpm.CSVVal, _xlfn.XLOOKUP($A31, CSV!$A:$A, CSV!AA:AA, ""),
    _xlpm.MacVal, _xlfn.XLOOKUP($A31, Output_Mac!$A:$A, Output_Mac!S:S, ""),
    _xlpm.MyAuditVal, _xlfn.XLOOKUP($A31, My_Audit!$A:$A, My_Audit!P:P, ""),
    _xlfn.TEXTJOIN(", ", TRUE, _xlpm.MyAuditVal, _xlpm.MacVal, _xlpm.CSVVal)
)</f>
        <v/>
      </c>
      <c r="P31" s="40" t="str" cm="1">
        <f t="array" ref="P31">IFERROR(_xlfn.LET(
_xlpm.CSVVal,_xlfn.XLOOKUP($A31,CSV!$A:$A,CSV!AB:AB,""),
_xlpm.MacVal,_xlfn.XLOOKUP($A31,Output_Mac!$A:$A,Output_Mac!T:T,""),
_xlpm.MyAuditVal,_xlfn.XLOOKUP($A31,My_Audit!$A:$A,My_Audit!Q:Q,""),
_xlfn.IFS(_xlpm.MyAuditVal&lt;&gt;"",UPPER(_xlpm.MyAuditVal),_xlpm.MacVal&lt;&gt;"",_xlpm.MacVal,_xlpm.CSVVal&lt;&gt;"",_xlpm.CSVVal
)),"No")</f>
        <v>No</v>
      </c>
      <c r="Q31" s="40" t="str" cm="1">
        <f t="array" ref="Q31">IFERROR(_xlfn.LET(
_xlpm.CSVVal,_xlfn.XLOOKUP($A31,CSV!$A:$A,CSV!AC:AC,""),
_xlpm.MacVal,_xlfn.XLOOKUP($A31,Output_Mac!$A:$A,Output_Mac!U:U,""),
_xlpm.MyAuditVal,_xlfn.XLOOKUP($A31,My_Audit!$A:$A,My_Audit!R:R,""),
_xlfn.IFS(_xlpm.MyAuditVal&lt;&gt;"",UPPER(_xlpm.MyAuditVal),_xlpm.MacVal&lt;&gt;"",_xlpm.MacVal,_xlpm.CSVVal&lt;&gt;"",_xlpm.CSVVal
)),"")</f>
        <v/>
      </c>
      <c r="R31" s="40"/>
      <c r="S31" s="40"/>
      <c r="T31" s="40"/>
      <c r="U31" s="40"/>
      <c r="V31" s="40"/>
      <c r="W31" s="40"/>
      <c r="X31" s="41" t="str">
        <f>_xlfn.LET(
    _xlpm.MacVal, _xlfn.XLOOKUP($A31, Output_Mac!$A:$A, Output_Mac!AB:AB, ""),
    _xlpm.MyAuditVal, _xlfn.XLOOKUP($A31, My_Audit!$A:$A, My_Audit!N:N, ""),
    _xlfn.TEXTJOIN(", ", TRUE, _xlpm.MyAuditVal, _xlpm.MacVal)
)</f>
        <v/>
      </c>
    </row>
    <row r="32" spans="1:24">
      <c r="A32" s="40" t="str">
        <f>_xlfn.TEXTJOIN("",TRUE,Input!$B$2,ROW(My_Audit!A31))</f>
        <v>X31</v>
      </c>
      <c r="B32" s="40" t="str">
        <f>_xlfn.TEXTJOIN("-",TRUE,"ITD",Input!$A$2,A32)</f>
        <v>ITD-X31</v>
      </c>
      <c r="C32" s="40" t="str" cm="1">
        <f t="array" ref="C32">IFERROR(_xlfn.LET(
_xlpm.CSVVal,_xlfn.XLOOKUP($A32,CSV!$A:$A,CSV!B:B,""),
_xlpm.MacVal,_xlfn.XLOOKUP($A32,Output_Mac!$A:$A,Output_Mac!B:B,""),
_xlpm.MyAuditVal,_xlfn.XLOOKUP($A32,My_Audit!$A:$A,My_Audit!B:B,""),
_xlfn.IFS(_xlpm.MyAuditVal&lt;&gt;"",UPPER(_xlpm.MyAuditVal),_xlpm.MacVal&lt;&gt;"",_xlpm.MacVal,_xlpm.CSVVal&lt;&gt;"",_xlpm.CSVVal
)),"")</f>
        <v/>
      </c>
      <c r="D32" s="40" t="str" cm="1">
        <f t="array" ref="D32">IFERROR(_xlfn.LET(
_xlpm.CSVVal,_xlfn.XLOOKUP($A32,CSV!$A:$A,CSV!D:D,""),
_xlpm.MacVal,_xlfn.XLOOKUP($A32,Output_Mac!$A:$A,Output_Mac!C:C,""),
_xlpm.MyAuditVal,_xlfn.XLOOKUP($A32,My_Audit!$A:$A,My_Audit!C:C,""),
_xlfn.IFS(_xlpm.MyAuditVal&lt;&gt;"",_xlpm.MyAuditVal,_xlpm.MacVal&lt;&gt;"",_xlpm.MacVal,_xlpm.CSVVal&lt;&gt;"",_xlpm.CSVVal
)),"")</f>
        <v/>
      </c>
      <c r="E32" s="40">
        <f>_xlfn.XLOOKUP(A32,My_Audit!A:A,My_Audit!D:D,"")</f>
        <v>0</v>
      </c>
      <c r="F32" s="40" t="str" cm="1">
        <f t="array" ref="F32">IFERROR(_xlfn.LET(
_xlpm.CSVVal,_xlfn.XLOOKUP($A32,CSV!$A:$A,CSV!F:F,""),
_xlpm.MacVal,_xlfn.XLOOKUP($A32,Output_Mac!$A:$A,Output_Mac!E:E,""),
_xlpm.MyAuditVal,_xlfn.XLOOKUP($A32,My_Audit!$A:$A,My_Audit!E:E,""),
_xlfn.IFS(_xlpm.MyAuditVal&lt;&gt;"",_xlpm.MyAuditVal,_xlpm.MacVal&lt;&gt;"",_xlpm.MacVal,_xlpm.CSVVal&lt;&gt;"",_xlpm.CSVVal
)),"")</f>
        <v/>
      </c>
      <c r="G32" s="40" t="str" cm="1">
        <f t="array" ref="G32">IFERROR(_xlfn.LET(
_xlpm.CSVVal,_xlfn.XLOOKUP($A32,CSV!$A:$A,CSV!G:G,""),
_xlpm.MacVal,_xlfn.XLOOKUP($A32,Output_Mac!$A:$A,Output_Mac!F:F,""),
_xlpm.MyAuditVal,_xlfn.XLOOKUP($A32,My_Audit!$A:$A,My_Audit!F:F,""),
_xlfn.IFS(_xlpm.MyAuditVal&lt;&gt;"",_xlpm.MyAuditVal,_xlpm.MacVal&lt;&gt;"",_xlpm.MacVal,_xlpm.CSVVal&lt;&gt;"",PROPER(_xlpm.CSVVal)
)),"")</f>
        <v/>
      </c>
      <c r="H32" s="40" t="str" cm="1">
        <f t="array" ref="H32">IFERROR(_xlfn.LET(
_xlpm.CSVVal,_xlfn.XLOOKUP($A32,CSV!$A:$A,CSV!H:H,""),
_xlpm.MacVal,_xlfn.XLOOKUP($A32,Output_Mac!$A:$A,Output_Mac!H:H,""),
_xlpm.MyAuditVal,_xlfn.XLOOKUP($A32,My_Audit!$A:$A,My_Audit!G:G,""),
_xlfn.IFS(_xlpm.MyAuditVal&lt;&gt;"",_xlpm.MyAuditVal,_xlpm.MacVal&lt;&gt;"",_xlpm.MacVal,_xlpm.CSVVal&lt;&gt;"",_xlpm.CSVVal
)),"")</f>
        <v/>
      </c>
      <c r="I32" s="40" t="str">
        <f>_xlfn.XLOOKUP(A32,Output_Mac!A:A,Output_Mac!I:I,"")</f>
        <v/>
      </c>
      <c r="J32" s="40" t="str" cm="1">
        <f t="array" ref="J32">IFERROR(_xlfn.LET(
_xlpm.CSVVal,_xlfn.XLOOKUP($A32,CSV!$A:$A,CSV!I:I,""),
_xlpm.MacVal,_xlfn.XLOOKUP($A32,Output_Mac!$A:$A,Output_Mac!J:J,""),
_xlpm.MyAuditVal,_xlfn.XLOOKUP($A32,My_Audit!$A:$A,My_Audit!I:I,""),
_xlfn.IFS(_xlpm.MyAuditVal&lt;&gt;"",UPPER(_xlpm.MyAuditVal),_xlpm.MacVal&lt;&gt;"",_xlpm.MacVal,_xlpm.CSVVal&lt;&gt;"",_xlpm.CSVVal
)),"")</f>
        <v/>
      </c>
      <c r="K32" s="40" t="str" cm="1">
        <f t="array" ref="K32">IFERROR(_xlfn.LET(
_xlpm.CSVVal,_xlfn.XLOOKUP($A32,CSV!$A:$A,CSV!K:K,""),
_xlpm.MacVal,_xlfn.XLOOKUP($A32,Output_Mac!$A:$A,Output_Mac!K:K,""),
_xlpm.MyAuditVal,_xlfn.XLOOKUP($A32,My_Audit!$A:$A,My_Audit!J:J,""),
_xlfn.IFS(_xlpm.MyAuditVal&lt;&gt;"",UPPER(_xlpm.MyAuditVal),_xlpm.MacVal&lt;&gt;"",_xlpm.MacVal,_xlpm.CSVVal&lt;&gt;"",_xlpm.CSVVal
)),"")</f>
        <v/>
      </c>
      <c r="L32" s="40" t="str" cm="1">
        <f t="array" ref="L32">IFERROR(_xlfn.LET(
_xlpm.CSVVal,_xlfn.XLOOKUP($A32,CSV!$A:$A,CSV!P:P,""),
_xlpm.MacVal,_xlfn.XLOOKUP($A32,Output_Mac!$A:$A,Output_Mac!L:L,""),
_xlpm.MyAuditVal,_xlfn.XLOOKUP($A32,My_Audit!$A:$A,My_Audit!K:K,""),
_xlfn.IFS(_xlpm.MyAuditVal&lt;&gt;"",UPPER(_xlpm.MyAuditVal),_xlpm.MacVal&lt;&gt;"",_xlpm.MacVal,_xlpm.CSVVal&lt;&gt;"",_xlpm.CSVVal
)),"")</f>
        <v/>
      </c>
      <c r="M32" s="40" t="str" cm="1">
        <f t="array" ref="M32">IFERROR(_xlfn.LET(
_xlpm.CSVVal,_xlfn.XLOOKUP($A32,CSV!$A:$A,CSV!Q:Q,""),
_xlpm.MacVal,_xlfn.XLOOKUP($A32,Output_Mac!$A:$A,Output_Mac!M:M,""),
_xlpm.MyAuditVal,_xlfn.XLOOKUP($A32,My_Audit!$A:$A,My_Audit!L:L,""),
_xlfn.IFS(_xlpm.MyAuditVal&lt;&gt;"",UPPER(_xlpm.MyAuditVal),_xlpm.MacVal&lt;&gt;"",_xlpm.MacVal,_xlpm.CSVVal&lt;&gt;"",_xlpm.CSVVal
)),"")</f>
        <v/>
      </c>
      <c r="N32" s="40"/>
      <c r="O32" s="40" t="str">
        <f>_xlfn.LET(
    _xlpm.CSVVal, _xlfn.XLOOKUP($A32, CSV!$A:$A, CSV!AA:AA, ""),
    _xlpm.MacVal, _xlfn.XLOOKUP($A32, Output_Mac!$A:$A, Output_Mac!S:S, ""),
    _xlpm.MyAuditVal, _xlfn.XLOOKUP($A32, My_Audit!$A:$A, My_Audit!P:P, ""),
    _xlfn.TEXTJOIN(", ", TRUE, _xlpm.MyAuditVal, _xlpm.MacVal, _xlpm.CSVVal)
)</f>
        <v/>
      </c>
      <c r="P32" s="40" t="str" cm="1">
        <f t="array" ref="P32">IFERROR(_xlfn.LET(
_xlpm.CSVVal,_xlfn.XLOOKUP($A32,CSV!$A:$A,CSV!AB:AB,""),
_xlpm.MacVal,_xlfn.XLOOKUP($A32,Output_Mac!$A:$A,Output_Mac!T:T,""),
_xlpm.MyAuditVal,_xlfn.XLOOKUP($A32,My_Audit!$A:$A,My_Audit!Q:Q,""),
_xlfn.IFS(_xlpm.MyAuditVal&lt;&gt;"",UPPER(_xlpm.MyAuditVal),_xlpm.MacVal&lt;&gt;"",_xlpm.MacVal,_xlpm.CSVVal&lt;&gt;"",_xlpm.CSVVal
)),"No")</f>
        <v>No</v>
      </c>
      <c r="Q32" s="40" t="str" cm="1">
        <f t="array" ref="Q32">IFERROR(_xlfn.LET(
_xlpm.CSVVal,_xlfn.XLOOKUP($A32,CSV!$A:$A,CSV!AC:AC,""),
_xlpm.MacVal,_xlfn.XLOOKUP($A32,Output_Mac!$A:$A,Output_Mac!U:U,""),
_xlpm.MyAuditVal,_xlfn.XLOOKUP($A32,My_Audit!$A:$A,My_Audit!R:R,""),
_xlfn.IFS(_xlpm.MyAuditVal&lt;&gt;"",UPPER(_xlpm.MyAuditVal),_xlpm.MacVal&lt;&gt;"",_xlpm.MacVal,_xlpm.CSVVal&lt;&gt;"",_xlpm.CSVVal
)),"")</f>
        <v/>
      </c>
      <c r="R32" s="40"/>
      <c r="S32" s="40"/>
      <c r="T32" s="40"/>
      <c r="U32" s="40"/>
      <c r="V32" s="40"/>
      <c r="W32" s="40"/>
      <c r="X32" s="41" t="str">
        <f>_xlfn.LET(
    _xlpm.MacVal, _xlfn.XLOOKUP($A32, Output_Mac!$A:$A, Output_Mac!AB:AB, ""),
    _xlpm.MyAuditVal, _xlfn.XLOOKUP($A32, My_Audit!$A:$A, My_Audit!N:N, ""),
    _xlfn.TEXTJOIN(", ", TRUE, _xlpm.MyAuditVal, _xlpm.MacVal)
)</f>
        <v/>
      </c>
    </row>
    <row r="33" spans="1:24">
      <c r="A33" s="40" t="str">
        <f>_xlfn.TEXTJOIN("",TRUE,Input!$B$2,ROW(My_Audit!A32))</f>
        <v>X32</v>
      </c>
      <c r="B33" s="40" t="str">
        <f>_xlfn.TEXTJOIN("-",TRUE,"ITD",Input!$A$2,A33)</f>
        <v>ITD-X32</v>
      </c>
      <c r="C33" s="40" t="str" cm="1">
        <f t="array" ref="C33">IFERROR(_xlfn.LET(
_xlpm.CSVVal,_xlfn.XLOOKUP($A33,CSV!$A:$A,CSV!B:B,""),
_xlpm.MacVal,_xlfn.XLOOKUP($A33,Output_Mac!$A:$A,Output_Mac!B:B,""),
_xlpm.MyAuditVal,_xlfn.XLOOKUP($A33,My_Audit!$A:$A,My_Audit!B:B,""),
_xlfn.IFS(_xlpm.MyAuditVal&lt;&gt;"",UPPER(_xlpm.MyAuditVal),_xlpm.MacVal&lt;&gt;"",_xlpm.MacVal,_xlpm.CSVVal&lt;&gt;"",_xlpm.CSVVal
)),"")</f>
        <v/>
      </c>
      <c r="D33" s="40" t="str" cm="1">
        <f t="array" ref="D33">IFERROR(_xlfn.LET(
_xlpm.CSVVal,_xlfn.XLOOKUP($A33,CSV!$A:$A,CSV!D:D,""),
_xlpm.MacVal,_xlfn.XLOOKUP($A33,Output_Mac!$A:$A,Output_Mac!C:C,""),
_xlpm.MyAuditVal,_xlfn.XLOOKUP($A33,My_Audit!$A:$A,My_Audit!C:C,""),
_xlfn.IFS(_xlpm.MyAuditVal&lt;&gt;"",_xlpm.MyAuditVal,_xlpm.MacVal&lt;&gt;"",_xlpm.MacVal,_xlpm.CSVVal&lt;&gt;"",_xlpm.CSVVal
)),"")</f>
        <v/>
      </c>
      <c r="E33" s="40">
        <f>_xlfn.XLOOKUP(A33,My_Audit!A:A,My_Audit!D:D,"")</f>
        <v>0</v>
      </c>
      <c r="F33" s="40" t="str" cm="1">
        <f t="array" ref="F33">IFERROR(_xlfn.LET(
_xlpm.CSVVal,_xlfn.XLOOKUP($A33,CSV!$A:$A,CSV!F:F,""),
_xlpm.MacVal,_xlfn.XLOOKUP($A33,Output_Mac!$A:$A,Output_Mac!E:E,""),
_xlpm.MyAuditVal,_xlfn.XLOOKUP($A33,My_Audit!$A:$A,My_Audit!E:E,""),
_xlfn.IFS(_xlpm.MyAuditVal&lt;&gt;"",_xlpm.MyAuditVal,_xlpm.MacVal&lt;&gt;"",_xlpm.MacVal,_xlpm.CSVVal&lt;&gt;"",_xlpm.CSVVal
)),"")</f>
        <v/>
      </c>
      <c r="G33" s="40" t="str" cm="1">
        <f t="array" ref="G33">IFERROR(_xlfn.LET(
_xlpm.CSVVal,_xlfn.XLOOKUP($A33,CSV!$A:$A,CSV!G:G,""),
_xlpm.MacVal,_xlfn.XLOOKUP($A33,Output_Mac!$A:$A,Output_Mac!F:F,""),
_xlpm.MyAuditVal,_xlfn.XLOOKUP($A33,My_Audit!$A:$A,My_Audit!F:F,""),
_xlfn.IFS(_xlpm.MyAuditVal&lt;&gt;"",_xlpm.MyAuditVal,_xlpm.MacVal&lt;&gt;"",_xlpm.MacVal,_xlpm.CSVVal&lt;&gt;"",PROPER(_xlpm.CSVVal)
)),"")</f>
        <v/>
      </c>
      <c r="H33" s="40" t="str" cm="1">
        <f t="array" ref="H33">IFERROR(_xlfn.LET(
_xlpm.CSVVal,_xlfn.XLOOKUP($A33,CSV!$A:$A,CSV!H:H,""),
_xlpm.MacVal,_xlfn.XLOOKUP($A33,Output_Mac!$A:$A,Output_Mac!H:H,""),
_xlpm.MyAuditVal,_xlfn.XLOOKUP($A33,My_Audit!$A:$A,My_Audit!G:G,""),
_xlfn.IFS(_xlpm.MyAuditVal&lt;&gt;"",_xlpm.MyAuditVal,_xlpm.MacVal&lt;&gt;"",_xlpm.MacVal,_xlpm.CSVVal&lt;&gt;"",_xlpm.CSVVal
)),"")</f>
        <v/>
      </c>
      <c r="I33" s="40" t="str">
        <f>_xlfn.XLOOKUP(A33,Output_Mac!A:A,Output_Mac!I:I,"")</f>
        <v/>
      </c>
      <c r="J33" s="40" t="str" cm="1">
        <f t="array" ref="J33">IFERROR(_xlfn.LET(
_xlpm.CSVVal,_xlfn.XLOOKUP($A33,CSV!$A:$A,CSV!I:I,""),
_xlpm.MacVal,_xlfn.XLOOKUP($A33,Output_Mac!$A:$A,Output_Mac!J:J,""),
_xlpm.MyAuditVal,_xlfn.XLOOKUP($A33,My_Audit!$A:$A,My_Audit!I:I,""),
_xlfn.IFS(_xlpm.MyAuditVal&lt;&gt;"",UPPER(_xlpm.MyAuditVal),_xlpm.MacVal&lt;&gt;"",_xlpm.MacVal,_xlpm.CSVVal&lt;&gt;"",_xlpm.CSVVal
)),"")</f>
        <v/>
      </c>
      <c r="K33" s="40" t="str" cm="1">
        <f t="array" ref="K33">IFERROR(_xlfn.LET(
_xlpm.CSVVal,_xlfn.XLOOKUP($A33,CSV!$A:$A,CSV!K:K,""),
_xlpm.MacVal,_xlfn.XLOOKUP($A33,Output_Mac!$A:$A,Output_Mac!K:K,""),
_xlpm.MyAuditVal,_xlfn.XLOOKUP($A33,My_Audit!$A:$A,My_Audit!J:J,""),
_xlfn.IFS(_xlpm.MyAuditVal&lt;&gt;"",UPPER(_xlpm.MyAuditVal),_xlpm.MacVal&lt;&gt;"",_xlpm.MacVal,_xlpm.CSVVal&lt;&gt;"",_xlpm.CSVVal
)),"")</f>
        <v/>
      </c>
      <c r="L33" s="40" t="str" cm="1">
        <f t="array" ref="L33">IFERROR(_xlfn.LET(
_xlpm.CSVVal,_xlfn.XLOOKUP($A33,CSV!$A:$A,CSV!P:P,""),
_xlpm.MacVal,_xlfn.XLOOKUP($A33,Output_Mac!$A:$A,Output_Mac!L:L,""),
_xlpm.MyAuditVal,_xlfn.XLOOKUP($A33,My_Audit!$A:$A,My_Audit!K:K,""),
_xlfn.IFS(_xlpm.MyAuditVal&lt;&gt;"",UPPER(_xlpm.MyAuditVal),_xlpm.MacVal&lt;&gt;"",_xlpm.MacVal,_xlpm.CSVVal&lt;&gt;"",_xlpm.CSVVal
)),"")</f>
        <v/>
      </c>
      <c r="M33" s="40" t="str" cm="1">
        <f t="array" ref="M33">IFERROR(_xlfn.LET(
_xlpm.CSVVal,_xlfn.XLOOKUP($A33,CSV!$A:$A,CSV!Q:Q,""),
_xlpm.MacVal,_xlfn.XLOOKUP($A33,Output_Mac!$A:$A,Output_Mac!M:M,""),
_xlpm.MyAuditVal,_xlfn.XLOOKUP($A33,My_Audit!$A:$A,My_Audit!L:L,""),
_xlfn.IFS(_xlpm.MyAuditVal&lt;&gt;"",UPPER(_xlpm.MyAuditVal),_xlpm.MacVal&lt;&gt;"",_xlpm.MacVal,_xlpm.CSVVal&lt;&gt;"",_xlpm.CSVVal
)),"")</f>
        <v/>
      </c>
      <c r="N33" s="40"/>
      <c r="O33" s="40" t="str">
        <f>_xlfn.LET(
    _xlpm.CSVVal, _xlfn.XLOOKUP($A33, CSV!$A:$A, CSV!AA:AA, ""),
    _xlpm.MacVal, _xlfn.XLOOKUP($A33, Output_Mac!$A:$A, Output_Mac!S:S, ""),
    _xlpm.MyAuditVal, _xlfn.XLOOKUP($A33, My_Audit!$A:$A, My_Audit!P:P, ""),
    _xlfn.TEXTJOIN(", ", TRUE, _xlpm.MyAuditVal, _xlpm.MacVal, _xlpm.CSVVal)
)</f>
        <v/>
      </c>
      <c r="P33" s="40" t="str" cm="1">
        <f t="array" ref="P33">IFERROR(_xlfn.LET(
_xlpm.CSVVal,_xlfn.XLOOKUP($A33,CSV!$A:$A,CSV!AB:AB,""),
_xlpm.MacVal,_xlfn.XLOOKUP($A33,Output_Mac!$A:$A,Output_Mac!T:T,""),
_xlpm.MyAuditVal,_xlfn.XLOOKUP($A33,My_Audit!$A:$A,My_Audit!Q:Q,""),
_xlfn.IFS(_xlpm.MyAuditVal&lt;&gt;"",UPPER(_xlpm.MyAuditVal),_xlpm.MacVal&lt;&gt;"",_xlpm.MacVal,_xlpm.CSVVal&lt;&gt;"",_xlpm.CSVVal
)),"No")</f>
        <v>No</v>
      </c>
      <c r="Q33" s="40" t="str" cm="1">
        <f t="array" ref="Q33">IFERROR(_xlfn.LET(
_xlpm.CSVVal,_xlfn.XLOOKUP($A33,CSV!$A:$A,CSV!AC:AC,""),
_xlpm.MacVal,_xlfn.XLOOKUP($A33,Output_Mac!$A:$A,Output_Mac!U:U,""),
_xlpm.MyAuditVal,_xlfn.XLOOKUP($A33,My_Audit!$A:$A,My_Audit!R:R,""),
_xlfn.IFS(_xlpm.MyAuditVal&lt;&gt;"",UPPER(_xlpm.MyAuditVal),_xlpm.MacVal&lt;&gt;"",_xlpm.MacVal,_xlpm.CSVVal&lt;&gt;"",_xlpm.CSVVal
)),"")</f>
        <v/>
      </c>
      <c r="R33" s="40"/>
      <c r="S33" s="40"/>
      <c r="T33" s="40"/>
      <c r="U33" s="40"/>
      <c r="V33" s="40"/>
      <c r="W33" s="40"/>
      <c r="X33" s="41" t="str">
        <f>_xlfn.LET(
    _xlpm.MacVal, _xlfn.XLOOKUP($A33, Output_Mac!$A:$A, Output_Mac!AB:AB, ""),
    _xlpm.MyAuditVal, _xlfn.XLOOKUP($A33, My_Audit!$A:$A, My_Audit!N:N, ""),
    _xlfn.TEXTJOIN(", ", TRUE, _xlpm.MyAuditVal, _xlpm.MacVal)
)</f>
        <v/>
      </c>
    </row>
    <row r="34" spans="1:24">
      <c r="A34" s="40" t="str">
        <f>_xlfn.TEXTJOIN("",TRUE,Input!$B$2,ROW(My_Audit!A33))</f>
        <v>X33</v>
      </c>
      <c r="B34" s="40" t="str">
        <f>_xlfn.TEXTJOIN("-",TRUE,"ITD",Input!$A$2,A34)</f>
        <v>ITD-X33</v>
      </c>
      <c r="C34" s="40" t="str" cm="1">
        <f t="array" ref="C34">IFERROR(_xlfn.LET(
_xlpm.CSVVal,_xlfn.XLOOKUP($A34,CSV!$A:$A,CSV!B:B,""),
_xlpm.MacVal,_xlfn.XLOOKUP($A34,Output_Mac!$A:$A,Output_Mac!B:B,""),
_xlpm.MyAuditVal,_xlfn.XLOOKUP($A34,My_Audit!$A:$A,My_Audit!B:B,""),
_xlfn.IFS(_xlpm.MyAuditVal&lt;&gt;"",UPPER(_xlpm.MyAuditVal),_xlpm.MacVal&lt;&gt;"",_xlpm.MacVal,_xlpm.CSVVal&lt;&gt;"",_xlpm.CSVVal
)),"")</f>
        <v/>
      </c>
      <c r="D34" s="40" t="str" cm="1">
        <f t="array" ref="D34">IFERROR(_xlfn.LET(
_xlpm.CSVVal,_xlfn.XLOOKUP($A34,CSV!$A:$A,CSV!D:D,""),
_xlpm.MacVal,_xlfn.XLOOKUP($A34,Output_Mac!$A:$A,Output_Mac!C:C,""),
_xlpm.MyAuditVal,_xlfn.XLOOKUP($A34,My_Audit!$A:$A,My_Audit!C:C,""),
_xlfn.IFS(_xlpm.MyAuditVal&lt;&gt;"",_xlpm.MyAuditVal,_xlpm.MacVal&lt;&gt;"",_xlpm.MacVal,_xlpm.CSVVal&lt;&gt;"",_xlpm.CSVVal
)),"")</f>
        <v/>
      </c>
      <c r="E34" s="40">
        <f>_xlfn.XLOOKUP(A34,My_Audit!A:A,My_Audit!D:D,"")</f>
        <v>0</v>
      </c>
      <c r="F34" s="40" t="str" cm="1">
        <f t="array" ref="F34">IFERROR(_xlfn.LET(
_xlpm.CSVVal,_xlfn.XLOOKUP($A34,CSV!$A:$A,CSV!F:F,""),
_xlpm.MacVal,_xlfn.XLOOKUP($A34,Output_Mac!$A:$A,Output_Mac!E:E,""),
_xlpm.MyAuditVal,_xlfn.XLOOKUP($A34,My_Audit!$A:$A,My_Audit!E:E,""),
_xlfn.IFS(_xlpm.MyAuditVal&lt;&gt;"",_xlpm.MyAuditVal,_xlpm.MacVal&lt;&gt;"",_xlpm.MacVal,_xlpm.CSVVal&lt;&gt;"",_xlpm.CSVVal
)),"")</f>
        <v/>
      </c>
      <c r="G34" s="40" t="str" cm="1">
        <f t="array" ref="G34">IFERROR(_xlfn.LET(
_xlpm.CSVVal,_xlfn.XLOOKUP($A34,CSV!$A:$A,CSV!G:G,""),
_xlpm.MacVal,_xlfn.XLOOKUP($A34,Output_Mac!$A:$A,Output_Mac!F:F,""),
_xlpm.MyAuditVal,_xlfn.XLOOKUP($A34,My_Audit!$A:$A,My_Audit!F:F,""),
_xlfn.IFS(_xlpm.MyAuditVal&lt;&gt;"",_xlpm.MyAuditVal,_xlpm.MacVal&lt;&gt;"",_xlpm.MacVal,_xlpm.CSVVal&lt;&gt;"",PROPER(_xlpm.CSVVal)
)),"")</f>
        <v/>
      </c>
      <c r="H34" s="40" t="str" cm="1">
        <f t="array" ref="H34">IFERROR(_xlfn.LET(
_xlpm.CSVVal,_xlfn.XLOOKUP($A34,CSV!$A:$A,CSV!H:H,""),
_xlpm.MacVal,_xlfn.XLOOKUP($A34,Output_Mac!$A:$A,Output_Mac!H:H,""),
_xlpm.MyAuditVal,_xlfn.XLOOKUP($A34,My_Audit!$A:$A,My_Audit!G:G,""),
_xlfn.IFS(_xlpm.MyAuditVal&lt;&gt;"",_xlpm.MyAuditVal,_xlpm.MacVal&lt;&gt;"",_xlpm.MacVal,_xlpm.CSVVal&lt;&gt;"",_xlpm.CSVVal
)),"")</f>
        <v/>
      </c>
      <c r="I34" s="40" t="str">
        <f>_xlfn.XLOOKUP(A34,Output_Mac!A:A,Output_Mac!I:I,"")</f>
        <v/>
      </c>
      <c r="J34" s="40" t="str" cm="1">
        <f t="array" ref="J34">IFERROR(_xlfn.LET(
_xlpm.CSVVal,_xlfn.XLOOKUP($A34,CSV!$A:$A,CSV!I:I,""),
_xlpm.MacVal,_xlfn.XLOOKUP($A34,Output_Mac!$A:$A,Output_Mac!J:J,""),
_xlpm.MyAuditVal,_xlfn.XLOOKUP($A34,My_Audit!$A:$A,My_Audit!I:I,""),
_xlfn.IFS(_xlpm.MyAuditVal&lt;&gt;"",UPPER(_xlpm.MyAuditVal),_xlpm.MacVal&lt;&gt;"",_xlpm.MacVal,_xlpm.CSVVal&lt;&gt;"",_xlpm.CSVVal
)),"")</f>
        <v/>
      </c>
      <c r="K34" s="40" t="str" cm="1">
        <f t="array" ref="K34">IFERROR(_xlfn.LET(
_xlpm.CSVVal,_xlfn.XLOOKUP($A34,CSV!$A:$A,CSV!K:K,""),
_xlpm.MacVal,_xlfn.XLOOKUP($A34,Output_Mac!$A:$A,Output_Mac!K:K,""),
_xlpm.MyAuditVal,_xlfn.XLOOKUP($A34,My_Audit!$A:$A,My_Audit!J:J,""),
_xlfn.IFS(_xlpm.MyAuditVal&lt;&gt;"",UPPER(_xlpm.MyAuditVal),_xlpm.MacVal&lt;&gt;"",_xlpm.MacVal,_xlpm.CSVVal&lt;&gt;"",_xlpm.CSVVal
)),"")</f>
        <v/>
      </c>
      <c r="L34" s="40" t="str" cm="1">
        <f t="array" ref="L34">IFERROR(_xlfn.LET(
_xlpm.CSVVal,_xlfn.XLOOKUP($A34,CSV!$A:$A,CSV!P:P,""),
_xlpm.MacVal,_xlfn.XLOOKUP($A34,Output_Mac!$A:$A,Output_Mac!L:L,""),
_xlpm.MyAuditVal,_xlfn.XLOOKUP($A34,My_Audit!$A:$A,My_Audit!K:K,""),
_xlfn.IFS(_xlpm.MyAuditVal&lt;&gt;"",UPPER(_xlpm.MyAuditVal),_xlpm.MacVal&lt;&gt;"",_xlpm.MacVal,_xlpm.CSVVal&lt;&gt;"",_xlpm.CSVVal
)),"")</f>
        <v/>
      </c>
      <c r="M34" s="40" t="str" cm="1">
        <f t="array" ref="M34">IFERROR(_xlfn.LET(
_xlpm.CSVVal,_xlfn.XLOOKUP($A34,CSV!$A:$A,CSV!Q:Q,""),
_xlpm.MacVal,_xlfn.XLOOKUP($A34,Output_Mac!$A:$A,Output_Mac!M:M,""),
_xlpm.MyAuditVal,_xlfn.XLOOKUP($A34,My_Audit!$A:$A,My_Audit!L:L,""),
_xlfn.IFS(_xlpm.MyAuditVal&lt;&gt;"",UPPER(_xlpm.MyAuditVal),_xlpm.MacVal&lt;&gt;"",_xlpm.MacVal,_xlpm.CSVVal&lt;&gt;"",_xlpm.CSVVal
)),"")</f>
        <v/>
      </c>
      <c r="N34" s="40"/>
      <c r="O34" s="40" t="str">
        <f>_xlfn.LET(
    _xlpm.CSVVal, _xlfn.XLOOKUP($A34, CSV!$A:$A, CSV!AA:AA, ""),
    _xlpm.MacVal, _xlfn.XLOOKUP($A34, Output_Mac!$A:$A, Output_Mac!S:S, ""),
    _xlpm.MyAuditVal, _xlfn.XLOOKUP($A34, My_Audit!$A:$A, My_Audit!P:P, ""),
    _xlfn.TEXTJOIN(", ", TRUE, _xlpm.MyAuditVal, _xlpm.MacVal, _xlpm.CSVVal)
)</f>
        <v/>
      </c>
      <c r="P34" s="40" t="str" cm="1">
        <f t="array" ref="P34">IFERROR(_xlfn.LET(
_xlpm.CSVVal,_xlfn.XLOOKUP($A34,CSV!$A:$A,CSV!AB:AB,""),
_xlpm.MacVal,_xlfn.XLOOKUP($A34,Output_Mac!$A:$A,Output_Mac!T:T,""),
_xlpm.MyAuditVal,_xlfn.XLOOKUP($A34,My_Audit!$A:$A,My_Audit!Q:Q,""),
_xlfn.IFS(_xlpm.MyAuditVal&lt;&gt;"",UPPER(_xlpm.MyAuditVal),_xlpm.MacVal&lt;&gt;"",_xlpm.MacVal,_xlpm.CSVVal&lt;&gt;"",_xlpm.CSVVal
)),"No")</f>
        <v>No</v>
      </c>
      <c r="Q34" s="40" t="str" cm="1">
        <f t="array" ref="Q34">IFERROR(_xlfn.LET(
_xlpm.CSVVal,_xlfn.XLOOKUP($A34,CSV!$A:$A,CSV!AC:AC,""),
_xlpm.MacVal,_xlfn.XLOOKUP($A34,Output_Mac!$A:$A,Output_Mac!U:U,""),
_xlpm.MyAuditVal,_xlfn.XLOOKUP($A34,My_Audit!$A:$A,My_Audit!R:R,""),
_xlfn.IFS(_xlpm.MyAuditVal&lt;&gt;"",UPPER(_xlpm.MyAuditVal),_xlpm.MacVal&lt;&gt;"",_xlpm.MacVal,_xlpm.CSVVal&lt;&gt;"",_xlpm.CSVVal
)),"")</f>
        <v/>
      </c>
      <c r="R34" s="40"/>
      <c r="S34" s="40"/>
      <c r="T34" s="40"/>
      <c r="U34" s="40"/>
      <c r="V34" s="40"/>
      <c r="W34" s="40"/>
      <c r="X34" s="41" t="str">
        <f>_xlfn.LET(
    _xlpm.MacVal, _xlfn.XLOOKUP($A34, Output_Mac!$A:$A, Output_Mac!AB:AB, ""),
    _xlpm.MyAuditVal, _xlfn.XLOOKUP($A34, My_Audit!$A:$A, My_Audit!N:N, ""),
    _xlfn.TEXTJOIN(", ", TRUE, _xlpm.MyAuditVal, _xlpm.MacVal)
)</f>
        <v/>
      </c>
    </row>
    <row r="35" spans="1:24">
      <c r="A35" s="40" t="str">
        <f>_xlfn.TEXTJOIN("",TRUE,Input!$B$2,ROW(My_Audit!A34))</f>
        <v>X34</v>
      </c>
      <c r="B35" s="40" t="str">
        <f>_xlfn.TEXTJOIN("-",TRUE,"ITD",Input!$A$2,A35)</f>
        <v>ITD-X34</v>
      </c>
      <c r="C35" s="40" t="str" cm="1">
        <f t="array" ref="C35">IFERROR(_xlfn.LET(
_xlpm.CSVVal,_xlfn.XLOOKUP($A35,CSV!$A:$A,CSV!B:B,""),
_xlpm.MacVal,_xlfn.XLOOKUP($A35,Output_Mac!$A:$A,Output_Mac!B:B,""),
_xlpm.MyAuditVal,_xlfn.XLOOKUP($A35,My_Audit!$A:$A,My_Audit!B:B,""),
_xlfn.IFS(_xlpm.MyAuditVal&lt;&gt;"",UPPER(_xlpm.MyAuditVal),_xlpm.MacVal&lt;&gt;"",_xlpm.MacVal,_xlpm.CSVVal&lt;&gt;"",_xlpm.CSVVal
)),"")</f>
        <v/>
      </c>
      <c r="D35" s="40" t="str" cm="1">
        <f t="array" ref="D35">IFERROR(_xlfn.LET(
_xlpm.CSVVal,_xlfn.XLOOKUP($A35,CSV!$A:$A,CSV!D:D,""),
_xlpm.MacVal,_xlfn.XLOOKUP($A35,Output_Mac!$A:$A,Output_Mac!C:C,""),
_xlpm.MyAuditVal,_xlfn.XLOOKUP($A35,My_Audit!$A:$A,My_Audit!C:C,""),
_xlfn.IFS(_xlpm.MyAuditVal&lt;&gt;"",_xlpm.MyAuditVal,_xlpm.MacVal&lt;&gt;"",_xlpm.MacVal,_xlpm.CSVVal&lt;&gt;"",_xlpm.CSVVal
)),"")</f>
        <v/>
      </c>
      <c r="E35" s="40">
        <f>_xlfn.XLOOKUP(A35,My_Audit!A:A,My_Audit!D:D,"")</f>
        <v>0</v>
      </c>
      <c r="F35" s="40" t="str" cm="1">
        <f t="array" ref="F35">IFERROR(_xlfn.LET(
_xlpm.CSVVal,_xlfn.XLOOKUP($A35,CSV!$A:$A,CSV!F:F,""),
_xlpm.MacVal,_xlfn.XLOOKUP($A35,Output_Mac!$A:$A,Output_Mac!E:E,""),
_xlpm.MyAuditVal,_xlfn.XLOOKUP($A35,My_Audit!$A:$A,My_Audit!E:E,""),
_xlfn.IFS(_xlpm.MyAuditVal&lt;&gt;"",_xlpm.MyAuditVal,_xlpm.MacVal&lt;&gt;"",_xlpm.MacVal,_xlpm.CSVVal&lt;&gt;"",_xlpm.CSVVal
)),"")</f>
        <v/>
      </c>
      <c r="G35" s="40" t="str" cm="1">
        <f t="array" ref="G35">IFERROR(_xlfn.LET(
_xlpm.CSVVal,_xlfn.XLOOKUP($A35,CSV!$A:$A,CSV!G:G,""),
_xlpm.MacVal,_xlfn.XLOOKUP($A35,Output_Mac!$A:$A,Output_Mac!F:F,""),
_xlpm.MyAuditVal,_xlfn.XLOOKUP($A35,My_Audit!$A:$A,My_Audit!F:F,""),
_xlfn.IFS(_xlpm.MyAuditVal&lt;&gt;"",_xlpm.MyAuditVal,_xlpm.MacVal&lt;&gt;"",_xlpm.MacVal,_xlpm.CSVVal&lt;&gt;"",PROPER(_xlpm.CSVVal)
)),"")</f>
        <v/>
      </c>
      <c r="H35" s="40" t="str" cm="1">
        <f t="array" ref="H35">IFERROR(_xlfn.LET(
_xlpm.CSVVal,_xlfn.XLOOKUP($A35,CSV!$A:$A,CSV!H:H,""),
_xlpm.MacVal,_xlfn.XLOOKUP($A35,Output_Mac!$A:$A,Output_Mac!H:H,""),
_xlpm.MyAuditVal,_xlfn.XLOOKUP($A35,My_Audit!$A:$A,My_Audit!G:G,""),
_xlfn.IFS(_xlpm.MyAuditVal&lt;&gt;"",_xlpm.MyAuditVal,_xlpm.MacVal&lt;&gt;"",_xlpm.MacVal,_xlpm.CSVVal&lt;&gt;"",_xlpm.CSVVal
)),"")</f>
        <v/>
      </c>
      <c r="I35" s="40" t="str">
        <f>_xlfn.XLOOKUP(A35,Output_Mac!A:A,Output_Mac!I:I,"")</f>
        <v/>
      </c>
      <c r="J35" s="40" t="str" cm="1">
        <f t="array" ref="J35">IFERROR(_xlfn.LET(
_xlpm.CSVVal,_xlfn.XLOOKUP($A35,CSV!$A:$A,CSV!I:I,""),
_xlpm.MacVal,_xlfn.XLOOKUP($A35,Output_Mac!$A:$A,Output_Mac!J:J,""),
_xlpm.MyAuditVal,_xlfn.XLOOKUP($A35,My_Audit!$A:$A,My_Audit!I:I,""),
_xlfn.IFS(_xlpm.MyAuditVal&lt;&gt;"",UPPER(_xlpm.MyAuditVal),_xlpm.MacVal&lt;&gt;"",_xlpm.MacVal,_xlpm.CSVVal&lt;&gt;"",_xlpm.CSVVal
)),"")</f>
        <v/>
      </c>
      <c r="K35" s="40" t="str" cm="1">
        <f t="array" ref="K35">IFERROR(_xlfn.LET(
_xlpm.CSVVal,_xlfn.XLOOKUP($A35,CSV!$A:$A,CSV!K:K,""),
_xlpm.MacVal,_xlfn.XLOOKUP($A35,Output_Mac!$A:$A,Output_Mac!K:K,""),
_xlpm.MyAuditVal,_xlfn.XLOOKUP($A35,My_Audit!$A:$A,My_Audit!J:J,""),
_xlfn.IFS(_xlpm.MyAuditVal&lt;&gt;"",UPPER(_xlpm.MyAuditVal),_xlpm.MacVal&lt;&gt;"",_xlpm.MacVal,_xlpm.CSVVal&lt;&gt;"",_xlpm.CSVVal
)),"")</f>
        <v/>
      </c>
      <c r="L35" s="40" t="str" cm="1">
        <f t="array" ref="L35">IFERROR(_xlfn.LET(
_xlpm.CSVVal,_xlfn.XLOOKUP($A35,CSV!$A:$A,CSV!P:P,""),
_xlpm.MacVal,_xlfn.XLOOKUP($A35,Output_Mac!$A:$A,Output_Mac!L:L,""),
_xlpm.MyAuditVal,_xlfn.XLOOKUP($A35,My_Audit!$A:$A,My_Audit!K:K,""),
_xlfn.IFS(_xlpm.MyAuditVal&lt;&gt;"",UPPER(_xlpm.MyAuditVal),_xlpm.MacVal&lt;&gt;"",_xlpm.MacVal,_xlpm.CSVVal&lt;&gt;"",_xlpm.CSVVal
)),"")</f>
        <v/>
      </c>
      <c r="M35" s="40" t="str" cm="1">
        <f t="array" ref="M35">IFERROR(_xlfn.LET(
_xlpm.CSVVal,_xlfn.XLOOKUP($A35,CSV!$A:$A,CSV!Q:Q,""),
_xlpm.MacVal,_xlfn.XLOOKUP($A35,Output_Mac!$A:$A,Output_Mac!M:M,""),
_xlpm.MyAuditVal,_xlfn.XLOOKUP($A35,My_Audit!$A:$A,My_Audit!L:L,""),
_xlfn.IFS(_xlpm.MyAuditVal&lt;&gt;"",UPPER(_xlpm.MyAuditVal),_xlpm.MacVal&lt;&gt;"",_xlpm.MacVal,_xlpm.CSVVal&lt;&gt;"",_xlpm.CSVVal
)),"")</f>
        <v/>
      </c>
      <c r="N35" s="40"/>
      <c r="O35" s="40" t="str">
        <f>_xlfn.LET(
    _xlpm.CSVVal, _xlfn.XLOOKUP($A35, CSV!$A:$A, CSV!AA:AA, ""),
    _xlpm.MacVal, _xlfn.XLOOKUP($A35, Output_Mac!$A:$A, Output_Mac!S:S, ""),
    _xlpm.MyAuditVal, _xlfn.XLOOKUP($A35, My_Audit!$A:$A, My_Audit!P:P, ""),
    _xlfn.TEXTJOIN(", ", TRUE, _xlpm.MyAuditVal, _xlpm.MacVal, _xlpm.CSVVal)
)</f>
        <v/>
      </c>
      <c r="P35" s="40" t="str" cm="1">
        <f t="array" ref="P35">IFERROR(_xlfn.LET(
_xlpm.CSVVal,_xlfn.XLOOKUP($A35,CSV!$A:$A,CSV!AB:AB,""),
_xlpm.MacVal,_xlfn.XLOOKUP($A35,Output_Mac!$A:$A,Output_Mac!T:T,""),
_xlpm.MyAuditVal,_xlfn.XLOOKUP($A35,My_Audit!$A:$A,My_Audit!Q:Q,""),
_xlfn.IFS(_xlpm.MyAuditVal&lt;&gt;"",UPPER(_xlpm.MyAuditVal),_xlpm.MacVal&lt;&gt;"",_xlpm.MacVal,_xlpm.CSVVal&lt;&gt;"",_xlpm.CSVVal
)),"No")</f>
        <v>No</v>
      </c>
      <c r="Q35" s="40" t="str" cm="1">
        <f t="array" ref="Q35">IFERROR(_xlfn.LET(
_xlpm.CSVVal,_xlfn.XLOOKUP($A35,CSV!$A:$A,CSV!AC:AC,""),
_xlpm.MacVal,_xlfn.XLOOKUP($A35,Output_Mac!$A:$A,Output_Mac!U:U,""),
_xlpm.MyAuditVal,_xlfn.XLOOKUP($A35,My_Audit!$A:$A,My_Audit!R:R,""),
_xlfn.IFS(_xlpm.MyAuditVal&lt;&gt;"",UPPER(_xlpm.MyAuditVal),_xlpm.MacVal&lt;&gt;"",_xlpm.MacVal,_xlpm.CSVVal&lt;&gt;"",_xlpm.CSVVal
)),"")</f>
        <v/>
      </c>
      <c r="R35" s="40"/>
      <c r="S35" s="40"/>
      <c r="T35" s="40"/>
      <c r="U35" s="40"/>
      <c r="V35" s="40"/>
      <c r="W35" s="40"/>
      <c r="X35" s="41" t="str">
        <f>_xlfn.LET(
    _xlpm.MacVal, _xlfn.XLOOKUP($A35, Output_Mac!$A:$A, Output_Mac!AB:AB, ""),
    _xlpm.MyAuditVal, _xlfn.XLOOKUP($A35, My_Audit!$A:$A, My_Audit!N:N, ""),
    _xlfn.TEXTJOIN(", ", TRUE, _xlpm.MyAuditVal, _xlpm.MacVal)
)</f>
        <v/>
      </c>
    </row>
    <row r="36" spans="1:24">
      <c r="A36" s="40" t="str">
        <f>_xlfn.TEXTJOIN("",TRUE,Input!$B$2,ROW(My_Audit!A35))</f>
        <v>X35</v>
      </c>
      <c r="B36" s="40" t="str">
        <f>_xlfn.TEXTJOIN("-",TRUE,"ITD",Input!$A$2,A36)</f>
        <v>ITD-X35</v>
      </c>
      <c r="C36" s="40" t="str" cm="1">
        <f t="array" ref="C36">IFERROR(_xlfn.LET(
_xlpm.CSVVal,_xlfn.XLOOKUP($A36,CSV!$A:$A,CSV!B:B,""),
_xlpm.MacVal,_xlfn.XLOOKUP($A36,Output_Mac!$A:$A,Output_Mac!B:B,""),
_xlpm.MyAuditVal,_xlfn.XLOOKUP($A36,My_Audit!$A:$A,My_Audit!B:B,""),
_xlfn.IFS(_xlpm.MyAuditVal&lt;&gt;"",UPPER(_xlpm.MyAuditVal),_xlpm.MacVal&lt;&gt;"",_xlpm.MacVal,_xlpm.CSVVal&lt;&gt;"",_xlpm.CSVVal
)),"")</f>
        <v/>
      </c>
      <c r="D36" s="40" t="str" cm="1">
        <f t="array" ref="D36">IFERROR(_xlfn.LET(
_xlpm.CSVVal,_xlfn.XLOOKUP($A36,CSV!$A:$A,CSV!D:D,""),
_xlpm.MacVal,_xlfn.XLOOKUP($A36,Output_Mac!$A:$A,Output_Mac!C:C,""),
_xlpm.MyAuditVal,_xlfn.XLOOKUP($A36,My_Audit!$A:$A,My_Audit!C:C,""),
_xlfn.IFS(_xlpm.MyAuditVal&lt;&gt;"",_xlpm.MyAuditVal,_xlpm.MacVal&lt;&gt;"",_xlpm.MacVal,_xlpm.CSVVal&lt;&gt;"",_xlpm.CSVVal
)),"")</f>
        <v/>
      </c>
      <c r="E36" s="40">
        <f>_xlfn.XLOOKUP(A36,My_Audit!A:A,My_Audit!D:D,"")</f>
        <v>0</v>
      </c>
      <c r="F36" s="40" t="str" cm="1">
        <f t="array" ref="F36">IFERROR(_xlfn.LET(
_xlpm.CSVVal,_xlfn.XLOOKUP($A36,CSV!$A:$A,CSV!F:F,""),
_xlpm.MacVal,_xlfn.XLOOKUP($A36,Output_Mac!$A:$A,Output_Mac!E:E,""),
_xlpm.MyAuditVal,_xlfn.XLOOKUP($A36,My_Audit!$A:$A,My_Audit!E:E,""),
_xlfn.IFS(_xlpm.MyAuditVal&lt;&gt;"",_xlpm.MyAuditVal,_xlpm.MacVal&lt;&gt;"",_xlpm.MacVal,_xlpm.CSVVal&lt;&gt;"",_xlpm.CSVVal
)),"")</f>
        <v/>
      </c>
      <c r="G36" s="40" t="str" cm="1">
        <f t="array" ref="G36">IFERROR(_xlfn.LET(
_xlpm.CSVVal,_xlfn.XLOOKUP($A36,CSV!$A:$A,CSV!G:G,""),
_xlpm.MacVal,_xlfn.XLOOKUP($A36,Output_Mac!$A:$A,Output_Mac!F:F,""),
_xlpm.MyAuditVal,_xlfn.XLOOKUP($A36,My_Audit!$A:$A,My_Audit!F:F,""),
_xlfn.IFS(_xlpm.MyAuditVal&lt;&gt;"",_xlpm.MyAuditVal,_xlpm.MacVal&lt;&gt;"",_xlpm.MacVal,_xlpm.CSVVal&lt;&gt;"",PROPER(_xlpm.CSVVal)
)),"")</f>
        <v/>
      </c>
      <c r="H36" s="40" t="str" cm="1">
        <f t="array" ref="H36">IFERROR(_xlfn.LET(
_xlpm.CSVVal,_xlfn.XLOOKUP($A36,CSV!$A:$A,CSV!H:H,""),
_xlpm.MacVal,_xlfn.XLOOKUP($A36,Output_Mac!$A:$A,Output_Mac!H:H,""),
_xlpm.MyAuditVal,_xlfn.XLOOKUP($A36,My_Audit!$A:$A,My_Audit!G:G,""),
_xlfn.IFS(_xlpm.MyAuditVal&lt;&gt;"",_xlpm.MyAuditVal,_xlpm.MacVal&lt;&gt;"",_xlpm.MacVal,_xlpm.CSVVal&lt;&gt;"",_xlpm.CSVVal
)),"")</f>
        <v/>
      </c>
      <c r="I36" s="40" t="str">
        <f>_xlfn.XLOOKUP(A36,Output_Mac!A:A,Output_Mac!I:I,"")</f>
        <v/>
      </c>
      <c r="J36" s="40" t="str" cm="1">
        <f t="array" ref="J36">IFERROR(_xlfn.LET(
_xlpm.CSVVal,_xlfn.XLOOKUP($A36,CSV!$A:$A,CSV!I:I,""),
_xlpm.MacVal,_xlfn.XLOOKUP($A36,Output_Mac!$A:$A,Output_Mac!J:J,""),
_xlpm.MyAuditVal,_xlfn.XLOOKUP($A36,My_Audit!$A:$A,My_Audit!I:I,""),
_xlfn.IFS(_xlpm.MyAuditVal&lt;&gt;"",UPPER(_xlpm.MyAuditVal),_xlpm.MacVal&lt;&gt;"",_xlpm.MacVal,_xlpm.CSVVal&lt;&gt;"",_xlpm.CSVVal
)),"")</f>
        <v/>
      </c>
      <c r="K36" s="40" t="str" cm="1">
        <f t="array" ref="K36">IFERROR(_xlfn.LET(
_xlpm.CSVVal,_xlfn.XLOOKUP($A36,CSV!$A:$A,CSV!K:K,""),
_xlpm.MacVal,_xlfn.XLOOKUP($A36,Output_Mac!$A:$A,Output_Mac!K:K,""),
_xlpm.MyAuditVal,_xlfn.XLOOKUP($A36,My_Audit!$A:$A,My_Audit!J:J,""),
_xlfn.IFS(_xlpm.MyAuditVal&lt;&gt;"",UPPER(_xlpm.MyAuditVal),_xlpm.MacVal&lt;&gt;"",_xlpm.MacVal,_xlpm.CSVVal&lt;&gt;"",_xlpm.CSVVal
)),"")</f>
        <v/>
      </c>
      <c r="L36" s="40" t="str" cm="1">
        <f t="array" ref="L36">IFERROR(_xlfn.LET(
_xlpm.CSVVal,_xlfn.XLOOKUP($A36,CSV!$A:$A,CSV!P:P,""),
_xlpm.MacVal,_xlfn.XLOOKUP($A36,Output_Mac!$A:$A,Output_Mac!L:L,""),
_xlpm.MyAuditVal,_xlfn.XLOOKUP($A36,My_Audit!$A:$A,My_Audit!K:K,""),
_xlfn.IFS(_xlpm.MyAuditVal&lt;&gt;"",UPPER(_xlpm.MyAuditVal),_xlpm.MacVal&lt;&gt;"",_xlpm.MacVal,_xlpm.CSVVal&lt;&gt;"",_xlpm.CSVVal
)),"")</f>
        <v/>
      </c>
      <c r="M36" s="40" t="str" cm="1">
        <f t="array" ref="M36">IFERROR(_xlfn.LET(
_xlpm.CSVVal,_xlfn.XLOOKUP($A36,CSV!$A:$A,CSV!Q:Q,""),
_xlpm.MacVal,_xlfn.XLOOKUP($A36,Output_Mac!$A:$A,Output_Mac!M:M,""),
_xlpm.MyAuditVal,_xlfn.XLOOKUP($A36,My_Audit!$A:$A,My_Audit!L:L,""),
_xlfn.IFS(_xlpm.MyAuditVal&lt;&gt;"",UPPER(_xlpm.MyAuditVal),_xlpm.MacVal&lt;&gt;"",_xlpm.MacVal,_xlpm.CSVVal&lt;&gt;"",_xlpm.CSVVal
)),"")</f>
        <v/>
      </c>
      <c r="N36" s="40"/>
      <c r="O36" s="40" t="str">
        <f>_xlfn.LET(
    _xlpm.CSVVal, _xlfn.XLOOKUP($A36, CSV!$A:$A, CSV!AA:AA, ""),
    _xlpm.MacVal, _xlfn.XLOOKUP($A36, Output_Mac!$A:$A, Output_Mac!S:S, ""),
    _xlpm.MyAuditVal, _xlfn.XLOOKUP($A36, My_Audit!$A:$A, My_Audit!P:P, ""),
    _xlfn.TEXTJOIN(", ", TRUE, _xlpm.MyAuditVal, _xlpm.MacVal, _xlpm.CSVVal)
)</f>
        <v/>
      </c>
      <c r="P36" s="40" t="str" cm="1">
        <f t="array" ref="P36">IFERROR(_xlfn.LET(
_xlpm.CSVVal,_xlfn.XLOOKUP($A36,CSV!$A:$A,CSV!AB:AB,""),
_xlpm.MacVal,_xlfn.XLOOKUP($A36,Output_Mac!$A:$A,Output_Mac!T:T,""),
_xlpm.MyAuditVal,_xlfn.XLOOKUP($A36,My_Audit!$A:$A,My_Audit!Q:Q,""),
_xlfn.IFS(_xlpm.MyAuditVal&lt;&gt;"",UPPER(_xlpm.MyAuditVal),_xlpm.MacVal&lt;&gt;"",_xlpm.MacVal,_xlpm.CSVVal&lt;&gt;"",_xlpm.CSVVal
)),"No")</f>
        <v>No</v>
      </c>
      <c r="Q36" s="40" t="str" cm="1">
        <f t="array" ref="Q36">IFERROR(_xlfn.LET(
_xlpm.CSVVal,_xlfn.XLOOKUP($A36,CSV!$A:$A,CSV!AC:AC,""),
_xlpm.MacVal,_xlfn.XLOOKUP($A36,Output_Mac!$A:$A,Output_Mac!U:U,""),
_xlpm.MyAuditVal,_xlfn.XLOOKUP($A36,My_Audit!$A:$A,My_Audit!R:R,""),
_xlfn.IFS(_xlpm.MyAuditVal&lt;&gt;"",UPPER(_xlpm.MyAuditVal),_xlpm.MacVal&lt;&gt;"",_xlpm.MacVal,_xlpm.CSVVal&lt;&gt;"",_xlpm.CSVVal
)),"")</f>
        <v/>
      </c>
      <c r="R36" s="40"/>
      <c r="S36" s="40"/>
      <c r="T36" s="40"/>
      <c r="U36" s="40"/>
      <c r="V36" s="40"/>
      <c r="W36" s="40"/>
      <c r="X36" s="41" t="str">
        <f>_xlfn.LET(
    _xlpm.MacVal, _xlfn.XLOOKUP($A36, Output_Mac!$A:$A, Output_Mac!AB:AB, ""),
    _xlpm.MyAuditVal, _xlfn.XLOOKUP($A36, My_Audit!$A:$A, My_Audit!N:N, ""),
    _xlfn.TEXTJOIN(", ", TRUE, _xlpm.MyAuditVal, _xlpm.MacVal)
)</f>
        <v/>
      </c>
    </row>
    <row r="37" spans="1:24">
      <c r="A37" s="40" t="str">
        <f>_xlfn.TEXTJOIN("",TRUE,Input!$B$2,ROW(My_Audit!A36))</f>
        <v>X36</v>
      </c>
      <c r="B37" s="40" t="str">
        <f>_xlfn.TEXTJOIN("-",TRUE,"ITD",Input!$A$2,A37)</f>
        <v>ITD-X36</v>
      </c>
      <c r="C37" s="40" t="str" cm="1">
        <f t="array" ref="C37">IFERROR(_xlfn.LET(
_xlpm.CSVVal,_xlfn.XLOOKUP($A37,CSV!$A:$A,CSV!B:B,""),
_xlpm.MacVal,_xlfn.XLOOKUP($A37,Output_Mac!$A:$A,Output_Mac!B:B,""),
_xlpm.MyAuditVal,_xlfn.XLOOKUP($A37,My_Audit!$A:$A,My_Audit!B:B,""),
_xlfn.IFS(_xlpm.MyAuditVal&lt;&gt;"",UPPER(_xlpm.MyAuditVal),_xlpm.MacVal&lt;&gt;"",_xlpm.MacVal,_xlpm.CSVVal&lt;&gt;"",_xlpm.CSVVal
)),"")</f>
        <v/>
      </c>
      <c r="D37" s="40" t="str" cm="1">
        <f t="array" ref="D37">IFERROR(_xlfn.LET(
_xlpm.CSVVal,_xlfn.XLOOKUP($A37,CSV!$A:$A,CSV!D:D,""),
_xlpm.MacVal,_xlfn.XLOOKUP($A37,Output_Mac!$A:$A,Output_Mac!C:C,""),
_xlpm.MyAuditVal,_xlfn.XLOOKUP($A37,My_Audit!$A:$A,My_Audit!C:C,""),
_xlfn.IFS(_xlpm.MyAuditVal&lt;&gt;"",_xlpm.MyAuditVal,_xlpm.MacVal&lt;&gt;"",_xlpm.MacVal,_xlpm.CSVVal&lt;&gt;"",_xlpm.CSVVal
)),"")</f>
        <v/>
      </c>
      <c r="E37" s="40">
        <f>_xlfn.XLOOKUP(A37,My_Audit!A:A,My_Audit!D:D,"")</f>
        <v>0</v>
      </c>
      <c r="F37" s="40" t="str" cm="1">
        <f t="array" ref="F37">IFERROR(_xlfn.LET(
_xlpm.CSVVal,_xlfn.XLOOKUP($A37,CSV!$A:$A,CSV!F:F,""),
_xlpm.MacVal,_xlfn.XLOOKUP($A37,Output_Mac!$A:$A,Output_Mac!E:E,""),
_xlpm.MyAuditVal,_xlfn.XLOOKUP($A37,My_Audit!$A:$A,My_Audit!E:E,""),
_xlfn.IFS(_xlpm.MyAuditVal&lt;&gt;"",_xlpm.MyAuditVal,_xlpm.MacVal&lt;&gt;"",_xlpm.MacVal,_xlpm.CSVVal&lt;&gt;"",_xlpm.CSVVal
)),"")</f>
        <v/>
      </c>
      <c r="G37" s="40" t="str" cm="1">
        <f t="array" ref="G37">IFERROR(_xlfn.LET(
_xlpm.CSVVal,_xlfn.XLOOKUP($A37,CSV!$A:$A,CSV!G:G,""),
_xlpm.MacVal,_xlfn.XLOOKUP($A37,Output_Mac!$A:$A,Output_Mac!F:F,""),
_xlpm.MyAuditVal,_xlfn.XLOOKUP($A37,My_Audit!$A:$A,My_Audit!F:F,""),
_xlfn.IFS(_xlpm.MyAuditVal&lt;&gt;"",_xlpm.MyAuditVal,_xlpm.MacVal&lt;&gt;"",_xlpm.MacVal,_xlpm.CSVVal&lt;&gt;"",PROPER(_xlpm.CSVVal)
)),"")</f>
        <v/>
      </c>
      <c r="H37" s="40" t="str" cm="1">
        <f t="array" ref="H37">IFERROR(_xlfn.LET(
_xlpm.CSVVal,_xlfn.XLOOKUP($A37,CSV!$A:$A,CSV!H:H,""),
_xlpm.MacVal,_xlfn.XLOOKUP($A37,Output_Mac!$A:$A,Output_Mac!H:H,""),
_xlpm.MyAuditVal,_xlfn.XLOOKUP($A37,My_Audit!$A:$A,My_Audit!G:G,""),
_xlfn.IFS(_xlpm.MyAuditVal&lt;&gt;"",_xlpm.MyAuditVal,_xlpm.MacVal&lt;&gt;"",_xlpm.MacVal,_xlpm.CSVVal&lt;&gt;"",_xlpm.CSVVal
)),"")</f>
        <v/>
      </c>
      <c r="I37" s="40" t="str">
        <f>_xlfn.XLOOKUP(A37,Output_Mac!A:A,Output_Mac!I:I,"")</f>
        <v/>
      </c>
      <c r="J37" s="40" t="str" cm="1">
        <f t="array" ref="J37">IFERROR(_xlfn.LET(
_xlpm.CSVVal,_xlfn.XLOOKUP($A37,CSV!$A:$A,CSV!I:I,""),
_xlpm.MacVal,_xlfn.XLOOKUP($A37,Output_Mac!$A:$A,Output_Mac!J:J,""),
_xlpm.MyAuditVal,_xlfn.XLOOKUP($A37,My_Audit!$A:$A,My_Audit!I:I,""),
_xlfn.IFS(_xlpm.MyAuditVal&lt;&gt;"",UPPER(_xlpm.MyAuditVal),_xlpm.MacVal&lt;&gt;"",_xlpm.MacVal,_xlpm.CSVVal&lt;&gt;"",_xlpm.CSVVal
)),"")</f>
        <v/>
      </c>
      <c r="K37" s="40" t="str" cm="1">
        <f t="array" ref="K37">IFERROR(_xlfn.LET(
_xlpm.CSVVal,_xlfn.XLOOKUP($A37,CSV!$A:$A,CSV!K:K,""),
_xlpm.MacVal,_xlfn.XLOOKUP($A37,Output_Mac!$A:$A,Output_Mac!K:K,""),
_xlpm.MyAuditVal,_xlfn.XLOOKUP($A37,My_Audit!$A:$A,My_Audit!J:J,""),
_xlfn.IFS(_xlpm.MyAuditVal&lt;&gt;"",UPPER(_xlpm.MyAuditVal),_xlpm.MacVal&lt;&gt;"",_xlpm.MacVal,_xlpm.CSVVal&lt;&gt;"",_xlpm.CSVVal
)),"")</f>
        <v/>
      </c>
      <c r="L37" s="40" t="str" cm="1">
        <f t="array" ref="L37">IFERROR(_xlfn.LET(
_xlpm.CSVVal,_xlfn.XLOOKUP($A37,CSV!$A:$A,CSV!P:P,""),
_xlpm.MacVal,_xlfn.XLOOKUP($A37,Output_Mac!$A:$A,Output_Mac!L:L,""),
_xlpm.MyAuditVal,_xlfn.XLOOKUP($A37,My_Audit!$A:$A,My_Audit!K:K,""),
_xlfn.IFS(_xlpm.MyAuditVal&lt;&gt;"",UPPER(_xlpm.MyAuditVal),_xlpm.MacVal&lt;&gt;"",_xlpm.MacVal,_xlpm.CSVVal&lt;&gt;"",_xlpm.CSVVal
)),"")</f>
        <v/>
      </c>
      <c r="M37" s="40" t="str" cm="1">
        <f t="array" ref="M37">IFERROR(_xlfn.LET(
_xlpm.CSVVal,_xlfn.XLOOKUP($A37,CSV!$A:$A,CSV!Q:Q,""),
_xlpm.MacVal,_xlfn.XLOOKUP($A37,Output_Mac!$A:$A,Output_Mac!M:M,""),
_xlpm.MyAuditVal,_xlfn.XLOOKUP($A37,My_Audit!$A:$A,My_Audit!L:L,""),
_xlfn.IFS(_xlpm.MyAuditVal&lt;&gt;"",UPPER(_xlpm.MyAuditVal),_xlpm.MacVal&lt;&gt;"",_xlpm.MacVal,_xlpm.CSVVal&lt;&gt;"",_xlpm.CSVVal
)),"")</f>
        <v/>
      </c>
      <c r="N37" s="40"/>
      <c r="O37" s="40" t="str">
        <f>_xlfn.LET(
    _xlpm.CSVVal, _xlfn.XLOOKUP($A37, CSV!$A:$A, CSV!AA:AA, ""),
    _xlpm.MacVal, _xlfn.XLOOKUP($A37, Output_Mac!$A:$A, Output_Mac!S:S, ""),
    _xlpm.MyAuditVal, _xlfn.XLOOKUP($A37, My_Audit!$A:$A, My_Audit!P:P, ""),
    _xlfn.TEXTJOIN(", ", TRUE, _xlpm.MyAuditVal, _xlpm.MacVal, _xlpm.CSVVal)
)</f>
        <v/>
      </c>
      <c r="P37" s="40" t="str" cm="1">
        <f t="array" ref="P37">IFERROR(_xlfn.LET(
_xlpm.CSVVal,_xlfn.XLOOKUP($A37,CSV!$A:$A,CSV!AB:AB,""),
_xlpm.MacVal,_xlfn.XLOOKUP($A37,Output_Mac!$A:$A,Output_Mac!T:T,""),
_xlpm.MyAuditVal,_xlfn.XLOOKUP($A37,My_Audit!$A:$A,My_Audit!Q:Q,""),
_xlfn.IFS(_xlpm.MyAuditVal&lt;&gt;"",UPPER(_xlpm.MyAuditVal),_xlpm.MacVal&lt;&gt;"",_xlpm.MacVal,_xlpm.CSVVal&lt;&gt;"",_xlpm.CSVVal
)),"No")</f>
        <v>No</v>
      </c>
      <c r="Q37" s="40" t="str" cm="1">
        <f t="array" ref="Q37">IFERROR(_xlfn.LET(
_xlpm.CSVVal,_xlfn.XLOOKUP($A37,CSV!$A:$A,CSV!AC:AC,""),
_xlpm.MacVal,_xlfn.XLOOKUP($A37,Output_Mac!$A:$A,Output_Mac!U:U,""),
_xlpm.MyAuditVal,_xlfn.XLOOKUP($A37,My_Audit!$A:$A,My_Audit!R:R,""),
_xlfn.IFS(_xlpm.MyAuditVal&lt;&gt;"",UPPER(_xlpm.MyAuditVal),_xlpm.MacVal&lt;&gt;"",_xlpm.MacVal,_xlpm.CSVVal&lt;&gt;"",_xlpm.CSVVal
)),"")</f>
        <v/>
      </c>
      <c r="R37" s="40"/>
      <c r="S37" s="40"/>
      <c r="T37" s="40"/>
      <c r="U37" s="40"/>
      <c r="V37" s="40"/>
      <c r="W37" s="40"/>
      <c r="X37" s="41" t="str">
        <f>_xlfn.LET(
    _xlpm.MacVal, _xlfn.XLOOKUP($A37, Output_Mac!$A:$A, Output_Mac!AB:AB, ""),
    _xlpm.MyAuditVal, _xlfn.XLOOKUP($A37, My_Audit!$A:$A, My_Audit!N:N, ""),
    _xlfn.TEXTJOIN(", ", TRUE, _xlpm.MyAuditVal, _xlpm.MacVal)
)</f>
        <v/>
      </c>
    </row>
    <row r="38" spans="1:24">
      <c r="A38" s="40" t="str">
        <f>_xlfn.TEXTJOIN("",TRUE,Input!$B$2,ROW(My_Audit!A37))</f>
        <v>X37</v>
      </c>
      <c r="B38" s="40" t="str">
        <f>_xlfn.TEXTJOIN("-",TRUE,"ITD",Input!$A$2,A38)</f>
        <v>ITD-X37</v>
      </c>
      <c r="C38" s="40" t="str" cm="1">
        <f t="array" ref="C38">IFERROR(_xlfn.LET(
_xlpm.CSVVal,_xlfn.XLOOKUP($A38,CSV!$A:$A,CSV!B:B,""),
_xlpm.MacVal,_xlfn.XLOOKUP($A38,Output_Mac!$A:$A,Output_Mac!B:B,""),
_xlpm.MyAuditVal,_xlfn.XLOOKUP($A38,My_Audit!$A:$A,My_Audit!B:B,""),
_xlfn.IFS(_xlpm.MyAuditVal&lt;&gt;"",UPPER(_xlpm.MyAuditVal),_xlpm.MacVal&lt;&gt;"",_xlpm.MacVal,_xlpm.CSVVal&lt;&gt;"",_xlpm.CSVVal
)),"")</f>
        <v/>
      </c>
      <c r="D38" s="40" t="str" cm="1">
        <f t="array" ref="D38">IFERROR(_xlfn.LET(
_xlpm.CSVVal,_xlfn.XLOOKUP($A38,CSV!$A:$A,CSV!D:D,""),
_xlpm.MacVal,_xlfn.XLOOKUP($A38,Output_Mac!$A:$A,Output_Mac!C:C,""),
_xlpm.MyAuditVal,_xlfn.XLOOKUP($A38,My_Audit!$A:$A,My_Audit!C:C,""),
_xlfn.IFS(_xlpm.MyAuditVal&lt;&gt;"",_xlpm.MyAuditVal,_xlpm.MacVal&lt;&gt;"",_xlpm.MacVal,_xlpm.CSVVal&lt;&gt;"",_xlpm.CSVVal
)),"")</f>
        <v/>
      </c>
      <c r="E38" s="40">
        <f>_xlfn.XLOOKUP(A38,My_Audit!A:A,My_Audit!D:D,"")</f>
        <v>0</v>
      </c>
      <c r="F38" s="40" t="str" cm="1">
        <f t="array" ref="F38">IFERROR(_xlfn.LET(
_xlpm.CSVVal,_xlfn.XLOOKUP($A38,CSV!$A:$A,CSV!F:F,""),
_xlpm.MacVal,_xlfn.XLOOKUP($A38,Output_Mac!$A:$A,Output_Mac!E:E,""),
_xlpm.MyAuditVal,_xlfn.XLOOKUP($A38,My_Audit!$A:$A,My_Audit!E:E,""),
_xlfn.IFS(_xlpm.MyAuditVal&lt;&gt;"",_xlpm.MyAuditVal,_xlpm.MacVal&lt;&gt;"",_xlpm.MacVal,_xlpm.CSVVal&lt;&gt;"",_xlpm.CSVVal
)),"")</f>
        <v/>
      </c>
      <c r="G38" s="40" t="str" cm="1">
        <f t="array" ref="G38">IFERROR(_xlfn.LET(
_xlpm.CSVVal,_xlfn.XLOOKUP($A38,CSV!$A:$A,CSV!G:G,""),
_xlpm.MacVal,_xlfn.XLOOKUP($A38,Output_Mac!$A:$A,Output_Mac!F:F,""),
_xlpm.MyAuditVal,_xlfn.XLOOKUP($A38,My_Audit!$A:$A,My_Audit!F:F,""),
_xlfn.IFS(_xlpm.MyAuditVal&lt;&gt;"",_xlpm.MyAuditVal,_xlpm.MacVal&lt;&gt;"",_xlpm.MacVal,_xlpm.CSVVal&lt;&gt;"",PROPER(_xlpm.CSVVal)
)),"")</f>
        <v/>
      </c>
      <c r="H38" s="40" t="str" cm="1">
        <f t="array" ref="H38">IFERROR(_xlfn.LET(
_xlpm.CSVVal,_xlfn.XLOOKUP($A38,CSV!$A:$A,CSV!H:H,""),
_xlpm.MacVal,_xlfn.XLOOKUP($A38,Output_Mac!$A:$A,Output_Mac!H:H,""),
_xlpm.MyAuditVal,_xlfn.XLOOKUP($A38,My_Audit!$A:$A,My_Audit!G:G,""),
_xlfn.IFS(_xlpm.MyAuditVal&lt;&gt;"",_xlpm.MyAuditVal,_xlpm.MacVal&lt;&gt;"",_xlpm.MacVal,_xlpm.CSVVal&lt;&gt;"",_xlpm.CSVVal
)),"")</f>
        <v/>
      </c>
      <c r="I38" s="40" t="str">
        <f>_xlfn.XLOOKUP(A38,Output_Mac!A:A,Output_Mac!I:I,"")</f>
        <v/>
      </c>
      <c r="J38" s="40" t="str" cm="1">
        <f t="array" ref="J38">IFERROR(_xlfn.LET(
_xlpm.CSVVal,_xlfn.XLOOKUP($A38,CSV!$A:$A,CSV!I:I,""),
_xlpm.MacVal,_xlfn.XLOOKUP($A38,Output_Mac!$A:$A,Output_Mac!J:J,""),
_xlpm.MyAuditVal,_xlfn.XLOOKUP($A38,My_Audit!$A:$A,My_Audit!I:I,""),
_xlfn.IFS(_xlpm.MyAuditVal&lt;&gt;"",UPPER(_xlpm.MyAuditVal),_xlpm.MacVal&lt;&gt;"",_xlpm.MacVal,_xlpm.CSVVal&lt;&gt;"",_xlpm.CSVVal
)),"")</f>
        <v/>
      </c>
      <c r="K38" s="40" t="str" cm="1">
        <f t="array" ref="K38">IFERROR(_xlfn.LET(
_xlpm.CSVVal,_xlfn.XLOOKUP($A38,CSV!$A:$A,CSV!K:K,""),
_xlpm.MacVal,_xlfn.XLOOKUP($A38,Output_Mac!$A:$A,Output_Mac!K:K,""),
_xlpm.MyAuditVal,_xlfn.XLOOKUP($A38,My_Audit!$A:$A,My_Audit!J:J,""),
_xlfn.IFS(_xlpm.MyAuditVal&lt;&gt;"",UPPER(_xlpm.MyAuditVal),_xlpm.MacVal&lt;&gt;"",_xlpm.MacVal,_xlpm.CSVVal&lt;&gt;"",_xlpm.CSVVal
)),"")</f>
        <v/>
      </c>
      <c r="L38" s="40" t="str" cm="1">
        <f t="array" ref="L38">IFERROR(_xlfn.LET(
_xlpm.CSVVal,_xlfn.XLOOKUP($A38,CSV!$A:$A,CSV!P:P,""),
_xlpm.MacVal,_xlfn.XLOOKUP($A38,Output_Mac!$A:$A,Output_Mac!L:L,""),
_xlpm.MyAuditVal,_xlfn.XLOOKUP($A38,My_Audit!$A:$A,My_Audit!K:K,""),
_xlfn.IFS(_xlpm.MyAuditVal&lt;&gt;"",UPPER(_xlpm.MyAuditVal),_xlpm.MacVal&lt;&gt;"",_xlpm.MacVal,_xlpm.CSVVal&lt;&gt;"",_xlpm.CSVVal
)),"")</f>
        <v/>
      </c>
      <c r="M38" s="40" t="str" cm="1">
        <f t="array" ref="M38">IFERROR(_xlfn.LET(
_xlpm.CSVVal,_xlfn.XLOOKUP($A38,CSV!$A:$A,CSV!Q:Q,""),
_xlpm.MacVal,_xlfn.XLOOKUP($A38,Output_Mac!$A:$A,Output_Mac!M:M,""),
_xlpm.MyAuditVal,_xlfn.XLOOKUP($A38,My_Audit!$A:$A,My_Audit!L:L,""),
_xlfn.IFS(_xlpm.MyAuditVal&lt;&gt;"",UPPER(_xlpm.MyAuditVal),_xlpm.MacVal&lt;&gt;"",_xlpm.MacVal,_xlpm.CSVVal&lt;&gt;"",_xlpm.CSVVal
)),"")</f>
        <v/>
      </c>
      <c r="N38" s="40"/>
      <c r="O38" s="40" t="str">
        <f>_xlfn.LET(
    _xlpm.CSVVal, _xlfn.XLOOKUP($A38, CSV!$A:$A, CSV!AA:AA, ""),
    _xlpm.MacVal, _xlfn.XLOOKUP($A38, Output_Mac!$A:$A, Output_Mac!S:S, ""),
    _xlpm.MyAuditVal, _xlfn.XLOOKUP($A38, My_Audit!$A:$A, My_Audit!P:P, ""),
    _xlfn.TEXTJOIN(", ", TRUE, _xlpm.MyAuditVal, _xlpm.MacVal, _xlpm.CSVVal)
)</f>
        <v/>
      </c>
      <c r="P38" s="40" t="str" cm="1">
        <f t="array" ref="P38">IFERROR(_xlfn.LET(
_xlpm.CSVVal,_xlfn.XLOOKUP($A38,CSV!$A:$A,CSV!AB:AB,""),
_xlpm.MacVal,_xlfn.XLOOKUP($A38,Output_Mac!$A:$A,Output_Mac!T:T,""),
_xlpm.MyAuditVal,_xlfn.XLOOKUP($A38,My_Audit!$A:$A,My_Audit!Q:Q,""),
_xlfn.IFS(_xlpm.MyAuditVal&lt;&gt;"",UPPER(_xlpm.MyAuditVal),_xlpm.MacVal&lt;&gt;"",_xlpm.MacVal,_xlpm.CSVVal&lt;&gt;"",_xlpm.CSVVal
)),"No")</f>
        <v>No</v>
      </c>
      <c r="Q38" s="40" t="str" cm="1">
        <f t="array" ref="Q38">IFERROR(_xlfn.LET(
_xlpm.CSVVal,_xlfn.XLOOKUP($A38,CSV!$A:$A,CSV!AC:AC,""),
_xlpm.MacVal,_xlfn.XLOOKUP($A38,Output_Mac!$A:$A,Output_Mac!U:U,""),
_xlpm.MyAuditVal,_xlfn.XLOOKUP($A38,My_Audit!$A:$A,My_Audit!R:R,""),
_xlfn.IFS(_xlpm.MyAuditVal&lt;&gt;"",UPPER(_xlpm.MyAuditVal),_xlpm.MacVal&lt;&gt;"",_xlpm.MacVal,_xlpm.CSVVal&lt;&gt;"",_xlpm.CSVVal
)),"")</f>
        <v/>
      </c>
      <c r="R38" s="40"/>
      <c r="S38" s="40"/>
      <c r="T38" s="40"/>
      <c r="U38" s="40"/>
      <c r="V38" s="40"/>
      <c r="W38" s="40"/>
      <c r="X38" s="41" t="str">
        <f>_xlfn.LET(
    _xlpm.MacVal, _xlfn.XLOOKUP($A38, Output_Mac!$A:$A, Output_Mac!AB:AB, ""),
    _xlpm.MyAuditVal, _xlfn.XLOOKUP($A38, My_Audit!$A:$A, My_Audit!N:N, ""),
    _xlfn.TEXTJOIN(", ", TRUE, _xlpm.MyAuditVal, _xlpm.MacVal)
)</f>
        <v/>
      </c>
    </row>
    <row r="39" spans="1:24">
      <c r="A39" s="40" t="str">
        <f>_xlfn.TEXTJOIN("",TRUE,Input!$B$2,ROW(My_Audit!A38))</f>
        <v>X38</v>
      </c>
      <c r="B39" s="40" t="str">
        <f>_xlfn.TEXTJOIN("-",TRUE,"ITD",Input!$A$2,A39)</f>
        <v>ITD-X38</v>
      </c>
      <c r="C39" s="40" t="str" cm="1">
        <f t="array" ref="C39">IFERROR(_xlfn.LET(
_xlpm.CSVVal,_xlfn.XLOOKUP($A39,CSV!$A:$A,CSV!B:B,""),
_xlpm.MacVal,_xlfn.XLOOKUP($A39,Output_Mac!$A:$A,Output_Mac!B:B,""),
_xlpm.MyAuditVal,_xlfn.XLOOKUP($A39,My_Audit!$A:$A,My_Audit!B:B,""),
_xlfn.IFS(_xlpm.MyAuditVal&lt;&gt;"",UPPER(_xlpm.MyAuditVal),_xlpm.MacVal&lt;&gt;"",_xlpm.MacVal,_xlpm.CSVVal&lt;&gt;"",_xlpm.CSVVal
)),"")</f>
        <v/>
      </c>
      <c r="D39" s="40" t="str" cm="1">
        <f t="array" ref="D39">IFERROR(_xlfn.LET(
_xlpm.CSVVal,_xlfn.XLOOKUP($A39,CSV!$A:$A,CSV!D:D,""),
_xlpm.MacVal,_xlfn.XLOOKUP($A39,Output_Mac!$A:$A,Output_Mac!C:C,""),
_xlpm.MyAuditVal,_xlfn.XLOOKUP($A39,My_Audit!$A:$A,My_Audit!C:C,""),
_xlfn.IFS(_xlpm.MyAuditVal&lt;&gt;"",_xlpm.MyAuditVal,_xlpm.MacVal&lt;&gt;"",_xlpm.MacVal,_xlpm.CSVVal&lt;&gt;"",_xlpm.CSVVal
)),"")</f>
        <v/>
      </c>
      <c r="E39" s="40">
        <f>_xlfn.XLOOKUP(A39,My_Audit!A:A,My_Audit!D:D,"")</f>
        <v>0</v>
      </c>
      <c r="F39" s="40" t="str" cm="1">
        <f t="array" ref="F39">IFERROR(_xlfn.LET(
_xlpm.CSVVal,_xlfn.XLOOKUP($A39,CSV!$A:$A,CSV!F:F,""),
_xlpm.MacVal,_xlfn.XLOOKUP($A39,Output_Mac!$A:$A,Output_Mac!E:E,""),
_xlpm.MyAuditVal,_xlfn.XLOOKUP($A39,My_Audit!$A:$A,My_Audit!E:E,""),
_xlfn.IFS(_xlpm.MyAuditVal&lt;&gt;"",_xlpm.MyAuditVal,_xlpm.MacVal&lt;&gt;"",_xlpm.MacVal,_xlpm.CSVVal&lt;&gt;"",_xlpm.CSVVal
)),"")</f>
        <v/>
      </c>
      <c r="G39" s="40" t="str" cm="1">
        <f t="array" ref="G39">IFERROR(_xlfn.LET(
_xlpm.CSVVal,_xlfn.XLOOKUP($A39,CSV!$A:$A,CSV!G:G,""),
_xlpm.MacVal,_xlfn.XLOOKUP($A39,Output_Mac!$A:$A,Output_Mac!F:F,""),
_xlpm.MyAuditVal,_xlfn.XLOOKUP($A39,My_Audit!$A:$A,My_Audit!F:F,""),
_xlfn.IFS(_xlpm.MyAuditVal&lt;&gt;"",_xlpm.MyAuditVal,_xlpm.MacVal&lt;&gt;"",_xlpm.MacVal,_xlpm.CSVVal&lt;&gt;"",PROPER(_xlpm.CSVVal)
)),"")</f>
        <v/>
      </c>
      <c r="H39" s="40" t="str" cm="1">
        <f t="array" ref="H39">IFERROR(_xlfn.LET(
_xlpm.CSVVal,_xlfn.XLOOKUP($A39,CSV!$A:$A,CSV!H:H,""),
_xlpm.MacVal,_xlfn.XLOOKUP($A39,Output_Mac!$A:$A,Output_Mac!H:H,""),
_xlpm.MyAuditVal,_xlfn.XLOOKUP($A39,My_Audit!$A:$A,My_Audit!G:G,""),
_xlfn.IFS(_xlpm.MyAuditVal&lt;&gt;"",_xlpm.MyAuditVal,_xlpm.MacVal&lt;&gt;"",_xlpm.MacVal,_xlpm.CSVVal&lt;&gt;"",_xlpm.CSVVal
)),"")</f>
        <v/>
      </c>
      <c r="I39" s="40" t="str">
        <f>_xlfn.XLOOKUP(A39,Output_Mac!A:A,Output_Mac!I:I,"")</f>
        <v/>
      </c>
      <c r="J39" s="40" t="str" cm="1">
        <f t="array" ref="J39">IFERROR(_xlfn.LET(
_xlpm.CSVVal,_xlfn.XLOOKUP($A39,CSV!$A:$A,CSV!I:I,""),
_xlpm.MacVal,_xlfn.XLOOKUP($A39,Output_Mac!$A:$A,Output_Mac!J:J,""),
_xlpm.MyAuditVal,_xlfn.XLOOKUP($A39,My_Audit!$A:$A,My_Audit!I:I,""),
_xlfn.IFS(_xlpm.MyAuditVal&lt;&gt;"",UPPER(_xlpm.MyAuditVal),_xlpm.MacVal&lt;&gt;"",_xlpm.MacVal,_xlpm.CSVVal&lt;&gt;"",_xlpm.CSVVal
)),"")</f>
        <v/>
      </c>
      <c r="K39" s="40" t="str" cm="1">
        <f t="array" ref="K39">IFERROR(_xlfn.LET(
_xlpm.CSVVal,_xlfn.XLOOKUP($A39,CSV!$A:$A,CSV!K:K,""),
_xlpm.MacVal,_xlfn.XLOOKUP($A39,Output_Mac!$A:$A,Output_Mac!K:K,""),
_xlpm.MyAuditVal,_xlfn.XLOOKUP($A39,My_Audit!$A:$A,My_Audit!J:J,""),
_xlfn.IFS(_xlpm.MyAuditVal&lt;&gt;"",UPPER(_xlpm.MyAuditVal),_xlpm.MacVal&lt;&gt;"",_xlpm.MacVal,_xlpm.CSVVal&lt;&gt;"",_xlpm.CSVVal
)),"")</f>
        <v/>
      </c>
      <c r="L39" s="40" t="str" cm="1">
        <f t="array" ref="L39">IFERROR(_xlfn.LET(
_xlpm.CSVVal,_xlfn.XLOOKUP($A39,CSV!$A:$A,CSV!P:P,""),
_xlpm.MacVal,_xlfn.XLOOKUP($A39,Output_Mac!$A:$A,Output_Mac!L:L,""),
_xlpm.MyAuditVal,_xlfn.XLOOKUP($A39,My_Audit!$A:$A,My_Audit!K:K,""),
_xlfn.IFS(_xlpm.MyAuditVal&lt;&gt;"",UPPER(_xlpm.MyAuditVal),_xlpm.MacVal&lt;&gt;"",_xlpm.MacVal,_xlpm.CSVVal&lt;&gt;"",_xlpm.CSVVal
)),"")</f>
        <v/>
      </c>
      <c r="M39" s="40" t="str" cm="1">
        <f t="array" ref="M39">IFERROR(_xlfn.LET(
_xlpm.CSVVal,_xlfn.XLOOKUP($A39,CSV!$A:$A,CSV!Q:Q,""),
_xlpm.MacVal,_xlfn.XLOOKUP($A39,Output_Mac!$A:$A,Output_Mac!M:M,""),
_xlpm.MyAuditVal,_xlfn.XLOOKUP($A39,My_Audit!$A:$A,My_Audit!L:L,""),
_xlfn.IFS(_xlpm.MyAuditVal&lt;&gt;"",UPPER(_xlpm.MyAuditVal),_xlpm.MacVal&lt;&gt;"",_xlpm.MacVal,_xlpm.CSVVal&lt;&gt;"",_xlpm.CSVVal
)),"")</f>
        <v/>
      </c>
      <c r="N39" s="40"/>
      <c r="O39" s="40" t="str">
        <f>_xlfn.LET(
    _xlpm.CSVVal, _xlfn.XLOOKUP($A39, CSV!$A:$A, CSV!AA:AA, ""),
    _xlpm.MacVal, _xlfn.XLOOKUP($A39, Output_Mac!$A:$A, Output_Mac!S:S, ""),
    _xlpm.MyAuditVal, _xlfn.XLOOKUP($A39, My_Audit!$A:$A, My_Audit!P:P, ""),
    _xlfn.TEXTJOIN(", ", TRUE, _xlpm.MyAuditVal, _xlpm.MacVal, _xlpm.CSVVal)
)</f>
        <v/>
      </c>
      <c r="P39" s="40" t="str" cm="1">
        <f t="array" ref="P39">IFERROR(_xlfn.LET(
_xlpm.CSVVal,_xlfn.XLOOKUP($A39,CSV!$A:$A,CSV!AB:AB,""),
_xlpm.MacVal,_xlfn.XLOOKUP($A39,Output_Mac!$A:$A,Output_Mac!T:T,""),
_xlpm.MyAuditVal,_xlfn.XLOOKUP($A39,My_Audit!$A:$A,My_Audit!Q:Q,""),
_xlfn.IFS(_xlpm.MyAuditVal&lt;&gt;"",UPPER(_xlpm.MyAuditVal),_xlpm.MacVal&lt;&gt;"",_xlpm.MacVal,_xlpm.CSVVal&lt;&gt;"",_xlpm.CSVVal
)),"No")</f>
        <v>No</v>
      </c>
      <c r="Q39" s="40" t="str" cm="1">
        <f t="array" ref="Q39">IFERROR(_xlfn.LET(
_xlpm.CSVVal,_xlfn.XLOOKUP($A39,CSV!$A:$A,CSV!AC:AC,""),
_xlpm.MacVal,_xlfn.XLOOKUP($A39,Output_Mac!$A:$A,Output_Mac!U:U,""),
_xlpm.MyAuditVal,_xlfn.XLOOKUP($A39,My_Audit!$A:$A,My_Audit!R:R,""),
_xlfn.IFS(_xlpm.MyAuditVal&lt;&gt;"",UPPER(_xlpm.MyAuditVal),_xlpm.MacVal&lt;&gt;"",_xlpm.MacVal,_xlpm.CSVVal&lt;&gt;"",_xlpm.CSVVal
)),"")</f>
        <v/>
      </c>
      <c r="R39" s="40"/>
      <c r="S39" s="40"/>
      <c r="T39" s="40"/>
      <c r="U39" s="40"/>
      <c r="V39" s="40"/>
      <c r="W39" s="40"/>
      <c r="X39" s="41" t="str">
        <f>_xlfn.LET(
    _xlpm.MacVal, _xlfn.XLOOKUP($A39, Output_Mac!$A:$A, Output_Mac!AB:AB, ""),
    _xlpm.MyAuditVal, _xlfn.XLOOKUP($A39, My_Audit!$A:$A, My_Audit!N:N, ""),
    _xlfn.TEXTJOIN(", ", TRUE, _xlpm.MyAuditVal, _xlpm.MacVal)
)</f>
        <v/>
      </c>
    </row>
    <row r="40" spans="1:24">
      <c r="A40" s="40" t="str">
        <f>_xlfn.TEXTJOIN("",TRUE,Input!$B$2,ROW(My_Audit!A39))</f>
        <v>X39</v>
      </c>
      <c r="B40" s="40" t="str">
        <f>_xlfn.TEXTJOIN("-",TRUE,"ITD",Input!$A$2,A40)</f>
        <v>ITD-X39</v>
      </c>
      <c r="C40" s="40" t="str" cm="1">
        <f t="array" ref="C40">IFERROR(_xlfn.LET(
_xlpm.CSVVal,_xlfn.XLOOKUP($A40,CSV!$A:$A,CSV!B:B,""),
_xlpm.MacVal,_xlfn.XLOOKUP($A40,Output_Mac!$A:$A,Output_Mac!B:B,""),
_xlpm.MyAuditVal,_xlfn.XLOOKUP($A40,My_Audit!$A:$A,My_Audit!B:B,""),
_xlfn.IFS(_xlpm.MyAuditVal&lt;&gt;"",UPPER(_xlpm.MyAuditVal),_xlpm.MacVal&lt;&gt;"",_xlpm.MacVal,_xlpm.CSVVal&lt;&gt;"",_xlpm.CSVVal
)),"")</f>
        <v/>
      </c>
      <c r="D40" s="40" t="str" cm="1">
        <f t="array" ref="D40">IFERROR(_xlfn.LET(
_xlpm.CSVVal,_xlfn.XLOOKUP($A40,CSV!$A:$A,CSV!D:D,""),
_xlpm.MacVal,_xlfn.XLOOKUP($A40,Output_Mac!$A:$A,Output_Mac!C:C,""),
_xlpm.MyAuditVal,_xlfn.XLOOKUP($A40,My_Audit!$A:$A,My_Audit!C:C,""),
_xlfn.IFS(_xlpm.MyAuditVal&lt;&gt;"",_xlpm.MyAuditVal,_xlpm.MacVal&lt;&gt;"",_xlpm.MacVal,_xlpm.CSVVal&lt;&gt;"",_xlpm.CSVVal
)),"")</f>
        <v/>
      </c>
      <c r="E40" s="40">
        <f>_xlfn.XLOOKUP(A40,My_Audit!A:A,My_Audit!D:D,"")</f>
        <v>0</v>
      </c>
      <c r="F40" s="40" t="str" cm="1">
        <f t="array" ref="F40">IFERROR(_xlfn.LET(
_xlpm.CSVVal,_xlfn.XLOOKUP($A40,CSV!$A:$A,CSV!F:F,""),
_xlpm.MacVal,_xlfn.XLOOKUP($A40,Output_Mac!$A:$A,Output_Mac!E:E,""),
_xlpm.MyAuditVal,_xlfn.XLOOKUP($A40,My_Audit!$A:$A,My_Audit!E:E,""),
_xlfn.IFS(_xlpm.MyAuditVal&lt;&gt;"",_xlpm.MyAuditVal,_xlpm.MacVal&lt;&gt;"",_xlpm.MacVal,_xlpm.CSVVal&lt;&gt;"",_xlpm.CSVVal
)),"")</f>
        <v/>
      </c>
      <c r="G40" s="40" t="str" cm="1">
        <f t="array" ref="G40">IFERROR(_xlfn.LET(
_xlpm.CSVVal,_xlfn.XLOOKUP($A40,CSV!$A:$A,CSV!G:G,""),
_xlpm.MacVal,_xlfn.XLOOKUP($A40,Output_Mac!$A:$A,Output_Mac!F:F,""),
_xlpm.MyAuditVal,_xlfn.XLOOKUP($A40,My_Audit!$A:$A,My_Audit!F:F,""),
_xlfn.IFS(_xlpm.MyAuditVal&lt;&gt;"",_xlpm.MyAuditVal,_xlpm.MacVal&lt;&gt;"",_xlpm.MacVal,_xlpm.CSVVal&lt;&gt;"",PROPER(_xlpm.CSVVal)
)),"")</f>
        <v/>
      </c>
      <c r="H40" s="40" t="str" cm="1">
        <f t="array" ref="H40">IFERROR(_xlfn.LET(
_xlpm.CSVVal,_xlfn.XLOOKUP($A40,CSV!$A:$A,CSV!H:H,""),
_xlpm.MacVal,_xlfn.XLOOKUP($A40,Output_Mac!$A:$A,Output_Mac!H:H,""),
_xlpm.MyAuditVal,_xlfn.XLOOKUP($A40,My_Audit!$A:$A,My_Audit!G:G,""),
_xlfn.IFS(_xlpm.MyAuditVal&lt;&gt;"",_xlpm.MyAuditVal,_xlpm.MacVal&lt;&gt;"",_xlpm.MacVal,_xlpm.CSVVal&lt;&gt;"",_xlpm.CSVVal
)),"")</f>
        <v/>
      </c>
      <c r="I40" s="40" t="str">
        <f>_xlfn.XLOOKUP(A40,Output_Mac!A:A,Output_Mac!I:I,"")</f>
        <v/>
      </c>
      <c r="J40" s="40" t="str" cm="1">
        <f t="array" ref="J40">IFERROR(_xlfn.LET(
_xlpm.CSVVal,_xlfn.XLOOKUP($A40,CSV!$A:$A,CSV!I:I,""),
_xlpm.MacVal,_xlfn.XLOOKUP($A40,Output_Mac!$A:$A,Output_Mac!J:J,""),
_xlpm.MyAuditVal,_xlfn.XLOOKUP($A40,My_Audit!$A:$A,My_Audit!I:I,""),
_xlfn.IFS(_xlpm.MyAuditVal&lt;&gt;"",UPPER(_xlpm.MyAuditVal),_xlpm.MacVal&lt;&gt;"",_xlpm.MacVal,_xlpm.CSVVal&lt;&gt;"",_xlpm.CSVVal
)),"")</f>
        <v/>
      </c>
      <c r="K40" s="40" t="str" cm="1">
        <f t="array" ref="K40">IFERROR(_xlfn.LET(
_xlpm.CSVVal,_xlfn.XLOOKUP($A40,CSV!$A:$A,CSV!K:K,""),
_xlpm.MacVal,_xlfn.XLOOKUP($A40,Output_Mac!$A:$A,Output_Mac!K:K,""),
_xlpm.MyAuditVal,_xlfn.XLOOKUP($A40,My_Audit!$A:$A,My_Audit!J:J,""),
_xlfn.IFS(_xlpm.MyAuditVal&lt;&gt;"",UPPER(_xlpm.MyAuditVal),_xlpm.MacVal&lt;&gt;"",_xlpm.MacVal,_xlpm.CSVVal&lt;&gt;"",_xlpm.CSVVal
)),"")</f>
        <v/>
      </c>
      <c r="L40" s="40" t="str" cm="1">
        <f t="array" ref="L40">IFERROR(_xlfn.LET(
_xlpm.CSVVal,_xlfn.XLOOKUP($A40,CSV!$A:$A,CSV!P:P,""),
_xlpm.MacVal,_xlfn.XLOOKUP($A40,Output_Mac!$A:$A,Output_Mac!L:L,""),
_xlpm.MyAuditVal,_xlfn.XLOOKUP($A40,My_Audit!$A:$A,My_Audit!K:K,""),
_xlfn.IFS(_xlpm.MyAuditVal&lt;&gt;"",UPPER(_xlpm.MyAuditVal),_xlpm.MacVal&lt;&gt;"",_xlpm.MacVal,_xlpm.CSVVal&lt;&gt;"",_xlpm.CSVVal
)),"")</f>
        <v/>
      </c>
      <c r="M40" s="40" t="str" cm="1">
        <f t="array" ref="M40">IFERROR(_xlfn.LET(
_xlpm.CSVVal,_xlfn.XLOOKUP($A40,CSV!$A:$A,CSV!Q:Q,""),
_xlpm.MacVal,_xlfn.XLOOKUP($A40,Output_Mac!$A:$A,Output_Mac!M:M,""),
_xlpm.MyAuditVal,_xlfn.XLOOKUP($A40,My_Audit!$A:$A,My_Audit!L:L,""),
_xlfn.IFS(_xlpm.MyAuditVal&lt;&gt;"",UPPER(_xlpm.MyAuditVal),_xlpm.MacVal&lt;&gt;"",_xlpm.MacVal,_xlpm.CSVVal&lt;&gt;"",_xlpm.CSVVal
)),"")</f>
        <v/>
      </c>
      <c r="N40" s="40"/>
      <c r="O40" s="40" t="str">
        <f>_xlfn.LET(
    _xlpm.CSVVal, _xlfn.XLOOKUP($A40, CSV!$A:$A, CSV!AA:AA, ""),
    _xlpm.MacVal, _xlfn.XLOOKUP($A40, Output_Mac!$A:$A, Output_Mac!S:S, ""),
    _xlpm.MyAuditVal, _xlfn.XLOOKUP($A40, My_Audit!$A:$A, My_Audit!P:P, ""),
    _xlfn.TEXTJOIN(", ", TRUE, _xlpm.MyAuditVal, _xlpm.MacVal, _xlpm.CSVVal)
)</f>
        <v/>
      </c>
      <c r="P40" s="40" t="str" cm="1">
        <f t="array" ref="P40">IFERROR(_xlfn.LET(
_xlpm.CSVVal,_xlfn.XLOOKUP($A40,CSV!$A:$A,CSV!AB:AB,""),
_xlpm.MacVal,_xlfn.XLOOKUP($A40,Output_Mac!$A:$A,Output_Mac!T:T,""),
_xlpm.MyAuditVal,_xlfn.XLOOKUP($A40,My_Audit!$A:$A,My_Audit!Q:Q,""),
_xlfn.IFS(_xlpm.MyAuditVal&lt;&gt;"",UPPER(_xlpm.MyAuditVal),_xlpm.MacVal&lt;&gt;"",_xlpm.MacVal,_xlpm.CSVVal&lt;&gt;"",_xlpm.CSVVal
)),"No")</f>
        <v>No</v>
      </c>
      <c r="Q40" s="40" t="str" cm="1">
        <f t="array" ref="Q40">IFERROR(_xlfn.LET(
_xlpm.CSVVal,_xlfn.XLOOKUP($A40,CSV!$A:$A,CSV!AC:AC,""),
_xlpm.MacVal,_xlfn.XLOOKUP($A40,Output_Mac!$A:$A,Output_Mac!U:U,""),
_xlpm.MyAuditVal,_xlfn.XLOOKUP($A40,My_Audit!$A:$A,My_Audit!R:R,""),
_xlfn.IFS(_xlpm.MyAuditVal&lt;&gt;"",UPPER(_xlpm.MyAuditVal),_xlpm.MacVal&lt;&gt;"",_xlpm.MacVal,_xlpm.CSVVal&lt;&gt;"",_xlpm.CSVVal
)),"")</f>
        <v/>
      </c>
      <c r="R40" s="40"/>
      <c r="S40" s="40"/>
      <c r="T40" s="40"/>
      <c r="U40" s="40"/>
      <c r="V40" s="40"/>
      <c r="W40" s="40"/>
      <c r="X40" s="41" t="str">
        <f>_xlfn.LET(
    _xlpm.MacVal, _xlfn.XLOOKUP($A40, Output_Mac!$A:$A, Output_Mac!AB:AB, ""),
    _xlpm.MyAuditVal, _xlfn.XLOOKUP($A40, My_Audit!$A:$A, My_Audit!N:N, ""),
    _xlfn.TEXTJOIN(", ", TRUE, _xlpm.MyAuditVal, _xlpm.MacVal)
)</f>
        <v/>
      </c>
    </row>
    <row r="41" spans="1:24">
      <c r="A41" s="40" t="str">
        <f>_xlfn.TEXTJOIN("",TRUE,Input!$B$2,ROW(My_Audit!A40))</f>
        <v>X40</v>
      </c>
      <c r="B41" s="40" t="str">
        <f>_xlfn.TEXTJOIN("-",TRUE,"ITD",Input!$A$2,A41)</f>
        <v>ITD-X40</v>
      </c>
      <c r="C41" s="40" t="str" cm="1">
        <f t="array" ref="C41">IFERROR(_xlfn.LET(
_xlpm.CSVVal,_xlfn.XLOOKUP($A41,CSV!$A:$A,CSV!B:B,""),
_xlpm.MacVal,_xlfn.XLOOKUP($A41,Output_Mac!$A:$A,Output_Mac!B:B,""),
_xlpm.MyAuditVal,_xlfn.XLOOKUP($A41,My_Audit!$A:$A,My_Audit!B:B,""),
_xlfn.IFS(_xlpm.MyAuditVal&lt;&gt;"",UPPER(_xlpm.MyAuditVal),_xlpm.MacVal&lt;&gt;"",_xlpm.MacVal,_xlpm.CSVVal&lt;&gt;"",_xlpm.CSVVal
)),"")</f>
        <v/>
      </c>
      <c r="D41" s="40" t="str" cm="1">
        <f t="array" ref="D41">IFERROR(_xlfn.LET(
_xlpm.CSVVal,_xlfn.XLOOKUP($A41,CSV!$A:$A,CSV!D:D,""),
_xlpm.MacVal,_xlfn.XLOOKUP($A41,Output_Mac!$A:$A,Output_Mac!C:C,""),
_xlpm.MyAuditVal,_xlfn.XLOOKUP($A41,My_Audit!$A:$A,My_Audit!C:C,""),
_xlfn.IFS(_xlpm.MyAuditVal&lt;&gt;"",_xlpm.MyAuditVal,_xlpm.MacVal&lt;&gt;"",_xlpm.MacVal,_xlpm.CSVVal&lt;&gt;"",_xlpm.CSVVal
)),"")</f>
        <v/>
      </c>
      <c r="E41" s="40">
        <f>_xlfn.XLOOKUP(A41,My_Audit!A:A,My_Audit!D:D,"")</f>
        <v>0</v>
      </c>
      <c r="F41" s="40" t="str" cm="1">
        <f t="array" ref="F41">IFERROR(_xlfn.LET(
_xlpm.CSVVal,_xlfn.XLOOKUP($A41,CSV!$A:$A,CSV!F:F,""),
_xlpm.MacVal,_xlfn.XLOOKUP($A41,Output_Mac!$A:$A,Output_Mac!E:E,""),
_xlpm.MyAuditVal,_xlfn.XLOOKUP($A41,My_Audit!$A:$A,My_Audit!E:E,""),
_xlfn.IFS(_xlpm.MyAuditVal&lt;&gt;"",_xlpm.MyAuditVal,_xlpm.MacVal&lt;&gt;"",_xlpm.MacVal,_xlpm.CSVVal&lt;&gt;"",_xlpm.CSVVal
)),"")</f>
        <v/>
      </c>
      <c r="G41" s="40" t="str" cm="1">
        <f t="array" ref="G41">IFERROR(_xlfn.LET(
_xlpm.CSVVal,_xlfn.XLOOKUP($A41,CSV!$A:$A,CSV!G:G,""),
_xlpm.MacVal,_xlfn.XLOOKUP($A41,Output_Mac!$A:$A,Output_Mac!F:F,""),
_xlpm.MyAuditVal,_xlfn.XLOOKUP($A41,My_Audit!$A:$A,My_Audit!F:F,""),
_xlfn.IFS(_xlpm.MyAuditVal&lt;&gt;"",_xlpm.MyAuditVal,_xlpm.MacVal&lt;&gt;"",_xlpm.MacVal,_xlpm.CSVVal&lt;&gt;"",PROPER(_xlpm.CSVVal)
)),"")</f>
        <v/>
      </c>
      <c r="H41" s="40" t="str" cm="1">
        <f t="array" ref="H41">IFERROR(_xlfn.LET(
_xlpm.CSVVal,_xlfn.XLOOKUP($A41,CSV!$A:$A,CSV!H:H,""),
_xlpm.MacVal,_xlfn.XLOOKUP($A41,Output_Mac!$A:$A,Output_Mac!H:H,""),
_xlpm.MyAuditVal,_xlfn.XLOOKUP($A41,My_Audit!$A:$A,My_Audit!G:G,""),
_xlfn.IFS(_xlpm.MyAuditVal&lt;&gt;"",_xlpm.MyAuditVal,_xlpm.MacVal&lt;&gt;"",_xlpm.MacVal,_xlpm.CSVVal&lt;&gt;"",_xlpm.CSVVal
)),"")</f>
        <v/>
      </c>
      <c r="I41" s="40" t="str">
        <f>_xlfn.XLOOKUP(A41,Output_Mac!A:A,Output_Mac!I:I,"")</f>
        <v/>
      </c>
      <c r="J41" s="40" t="str" cm="1">
        <f t="array" ref="J41">IFERROR(_xlfn.LET(
_xlpm.CSVVal,_xlfn.XLOOKUP($A41,CSV!$A:$A,CSV!I:I,""),
_xlpm.MacVal,_xlfn.XLOOKUP($A41,Output_Mac!$A:$A,Output_Mac!J:J,""),
_xlpm.MyAuditVal,_xlfn.XLOOKUP($A41,My_Audit!$A:$A,My_Audit!I:I,""),
_xlfn.IFS(_xlpm.MyAuditVal&lt;&gt;"",UPPER(_xlpm.MyAuditVal),_xlpm.MacVal&lt;&gt;"",_xlpm.MacVal,_xlpm.CSVVal&lt;&gt;"",_xlpm.CSVVal
)),"")</f>
        <v/>
      </c>
      <c r="K41" s="40" t="str" cm="1">
        <f t="array" ref="K41">IFERROR(_xlfn.LET(
_xlpm.CSVVal,_xlfn.XLOOKUP($A41,CSV!$A:$A,CSV!K:K,""),
_xlpm.MacVal,_xlfn.XLOOKUP($A41,Output_Mac!$A:$A,Output_Mac!K:K,""),
_xlpm.MyAuditVal,_xlfn.XLOOKUP($A41,My_Audit!$A:$A,My_Audit!J:J,""),
_xlfn.IFS(_xlpm.MyAuditVal&lt;&gt;"",UPPER(_xlpm.MyAuditVal),_xlpm.MacVal&lt;&gt;"",_xlpm.MacVal,_xlpm.CSVVal&lt;&gt;"",_xlpm.CSVVal
)),"")</f>
        <v/>
      </c>
      <c r="L41" s="40" t="str" cm="1">
        <f t="array" ref="L41">IFERROR(_xlfn.LET(
_xlpm.CSVVal,_xlfn.XLOOKUP($A41,CSV!$A:$A,CSV!P:P,""),
_xlpm.MacVal,_xlfn.XLOOKUP($A41,Output_Mac!$A:$A,Output_Mac!L:L,""),
_xlpm.MyAuditVal,_xlfn.XLOOKUP($A41,My_Audit!$A:$A,My_Audit!K:K,""),
_xlfn.IFS(_xlpm.MyAuditVal&lt;&gt;"",UPPER(_xlpm.MyAuditVal),_xlpm.MacVal&lt;&gt;"",_xlpm.MacVal,_xlpm.CSVVal&lt;&gt;"",_xlpm.CSVVal
)),"")</f>
        <v/>
      </c>
      <c r="M41" s="40" t="str" cm="1">
        <f t="array" ref="M41">IFERROR(_xlfn.LET(
_xlpm.CSVVal,_xlfn.XLOOKUP($A41,CSV!$A:$A,CSV!Q:Q,""),
_xlpm.MacVal,_xlfn.XLOOKUP($A41,Output_Mac!$A:$A,Output_Mac!M:M,""),
_xlpm.MyAuditVal,_xlfn.XLOOKUP($A41,My_Audit!$A:$A,My_Audit!L:L,""),
_xlfn.IFS(_xlpm.MyAuditVal&lt;&gt;"",UPPER(_xlpm.MyAuditVal),_xlpm.MacVal&lt;&gt;"",_xlpm.MacVal,_xlpm.CSVVal&lt;&gt;"",_xlpm.CSVVal
)),"")</f>
        <v/>
      </c>
      <c r="N41" s="40"/>
      <c r="O41" s="40" t="str">
        <f>_xlfn.LET(
    _xlpm.CSVVal, _xlfn.XLOOKUP($A41, CSV!$A:$A, CSV!AA:AA, ""),
    _xlpm.MacVal, _xlfn.XLOOKUP($A41, Output_Mac!$A:$A, Output_Mac!S:S, ""),
    _xlpm.MyAuditVal, _xlfn.XLOOKUP($A41, My_Audit!$A:$A, My_Audit!P:P, ""),
    _xlfn.TEXTJOIN(", ", TRUE, _xlpm.MyAuditVal, _xlpm.MacVal, _xlpm.CSVVal)
)</f>
        <v/>
      </c>
      <c r="P41" s="40" t="str" cm="1">
        <f t="array" ref="P41">IFERROR(_xlfn.LET(
_xlpm.CSVVal,_xlfn.XLOOKUP($A41,CSV!$A:$A,CSV!AB:AB,""),
_xlpm.MacVal,_xlfn.XLOOKUP($A41,Output_Mac!$A:$A,Output_Mac!T:T,""),
_xlpm.MyAuditVal,_xlfn.XLOOKUP($A41,My_Audit!$A:$A,My_Audit!Q:Q,""),
_xlfn.IFS(_xlpm.MyAuditVal&lt;&gt;"",UPPER(_xlpm.MyAuditVal),_xlpm.MacVal&lt;&gt;"",_xlpm.MacVal,_xlpm.CSVVal&lt;&gt;"",_xlpm.CSVVal
)),"No")</f>
        <v>No</v>
      </c>
      <c r="Q41" s="40" t="str" cm="1">
        <f t="array" ref="Q41">IFERROR(_xlfn.LET(
_xlpm.CSVVal,_xlfn.XLOOKUP($A41,CSV!$A:$A,CSV!AC:AC,""),
_xlpm.MacVal,_xlfn.XLOOKUP($A41,Output_Mac!$A:$A,Output_Mac!U:U,""),
_xlpm.MyAuditVal,_xlfn.XLOOKUP($A41,My_Audit!$A:$A,My_Audit!R:R,""),
_xlfn.IFS(_xlpm.MyAuditVal&lt;&gt;"",UPPER(_xlpm.MyAuditVal),_xlpm.MacVal&lt;&gt;"",_xlpm.MacVal,_xlpm.CSVVal&lt;&gt;"",_xlpm.CSVVal
)),"")</f>
        <v/>
      </c>
      <c r="R41" s="40"/>
      <c r="S41" s="40"/>
      <c r="T41" s="40"/>
      <c r="U41" s="40"/>
      <c r="V41" s="40"/>
      <c r="W41" s="40"/>
      <c r="X41" s="41" t="str">
        <f>_xlfn.LET(
    _xlpm.MacVal, _xlfn.XLOOKUP($A41, Output_Mac!$A:$A, Output_Mac!AB:AB, ""),
    _xlpm.MyAuditVal, _xlfn.XLOOKUP($A41, My_Audit!$A:$A, My_Audit!N:N, ""),
    _xlfn.TEXTJOIN(", ", TRUE, _xlpm.MyAuditVal, _xlpm.MacVal)
)</f>
        <v/>
      </c>
    </row>
    <row r="42" spans="1:24">
      <c r="A42" s="40" t="str">
        <f>_xlfn.TEXTJOIN("",TRUE,Input!$B$2,ROW(My_Audit!A41))</f>
        <v>X41</v>
      </c>
      <c r="B42" s="40" t="str">
        <f>_xlfn.TEXTJOIN("-",TRUE,"ITD",Input!$A$2,A42)</f>
        <v>ITD-X41</v>
      </c>
      <c r="C42" s="40" t="str" cm="1">
        <f t="array" ref="C42">IFERROR(_xlfn.LET(
_xlpm.CSVVal,_xlfn.XLOOKUP($A42,CSV!$A:$A,CSV!B:B,""),
_xlpm.MacVal,_xlfn.XLOOKUP($A42,Output_Mac!$A:$A,Output_Mac!B:B,""),
_xlpm.MyAuditVal,_xlfn.XLOOKUP($A42,My_Audit!$A:$A,My_Audit!B:B,""),
_xlfn.IFS(_xlpm.MyAuditVal&lt;&gt;"",UPPER(_xlpm.MyAuditVal),_xlpm.MacVal&lt;&gt;"",_xlpm.MacVal,_xlpm.CSVVal&lt;&gt;"",_xlpm.CSVVal
)),"")</f>
        <v/>
      </c>
      <c r="D42" s="40" t="str" cm="1">
        <f t="array" ref="D42">IFERROR(_xlfn.LET(
_xlpm.CSVVal,_xlfn.XLOOKUP($A42,CSV!$A:$A,CSV!D:D,""),
_xlpm.MacVal,_xlfn.XLOOKUP($A42,Output_Mac!$A:$A,Output_Mac!C:C,""),
_xlpm.MyAuditVal,_xlfn.XLOOKUP($A42,My_Audit!$A:$A,My_Audit!C:C,""),
_xlfn.IFS(_xlpm.MyAuditVal&lt;&gt;"",_xlpm.MyAuditVal,_xlpm.MacVal&lt;&gt;"",_xlpm.MacVal,_xlpm.CSVVal&lt;&gt;"",_xlpm.CSVVal
)),"")</f>
        <v/>
      </c>
      <c r="E42" s="40">
        <f>_xlfn.XLOOKUP(A42,My_Audit!A:A,My_Audit!D:D,"")</f>
        <v>0</v>
      </c>
      <c r="F42" s="40" t="str" cm="1">
        <f t="array" ref="F42">IFERROR(_xlfn.LET(
_xlpm.CSVVal,_xlfn.XLOOKUP($A42,CSV!$A:$A,CSV!F:F,""),
_xlpm.MacVal,_xlfn.XLOOKUP($A42,Output_Mac!$A:$A,Output_Mac!E:E,""),
_xlpm.MyAuditVal,_xlfn.XLOOKUP($A42,My_Audit!$A:$A,My_Audit!E:E,""),
_xlfn.IFS(_xlpm.MyAuditVal&lt;&gt;"",_xlpm.MyAuditVal,_xlpm.MacVal&lt;&gt;"",_xlpm.MacVal,_xlpm.CSVVal&lt;&gt;"",_xlpm.CSVVal
)),"")</f>
        <v/>
      </c>
      <c r="G42" s="40" t="str" cm="1">
        <f t="array" ref="G42">IFERROR(_xlfn.LET(
_xlpm.CSVVal,_xlfn.XLOOKUP($A42,CSV!$A:$A,CSV!G:G,""),
_xlpm.MacVal,_xlfn.XLOOKUP($A42,Output_Mac!$A:$A,Output_Mac!F:F,""),
_xlpm.MyAuditVal,_xlfn.XLOOKUP($A42,My_Audit!$A:$A,My_Audit!F:F,""),
_xlfn.IFS(_xlpm.MyAuditVal&lt;&gt;"",_xlpm.MyAuditVal,_xlpm.MacVal&lt;&gt;"",_xlpm.MacVal,_xlpm.CSVVal&lt;&gt;"",PROPER(_xlpm.CSVVal)
)),"")</f>
        <v/>
      </c>
      <c r="H42" s="40" t="str" cm="1">
        <f t="array" ref="H42">IFERROR(_xlfn.LET(
_xlpm.CSVVal,_xlfn.XLOOKUP($A42,CSV!$A:$A,CSV!H:H,""),
_xlpm.MacVal,_xlfn.XLOOKUP($A42,Output_Mac!$A:$A,Output_Mac!H:H,""),
_xlpm.MyAuditVal,_xlfn.XLOOKUP($A42,My_Audit!$A:$A,My_Audit!G:G,""),
_xlfn.IFS(_xlpm.MyAuditVal&lt;&gt;"",_xlpm.MyAuditVal,_xlpm.MacVal&lt;&gt;"",_xlpm.MacVal,_xlpm.CSVVal&lt;&gt;"",_xlpm.CSVVal
)),"")</f>
        <v/>
      </c>
      <c r="I42" s="40" t="str">
        <f>_xlfn.XLOOKUP(A42,Output_Mac!A:A,Output_Mac!I:I,"")</f>
        <v/>
      </c>
      <c r="J42" s="40" t="str" cm="1">
        <f t="array" ref="J42">IFERROR(_xlfn.LET(
_xlpm.CSVVal,_xlfn.XLOOKUP($A42,CSV!$A:$A,CSV!I:I,""),
_xlpm.MacVal,_xlfn.XLOOKUP($A42,Output_Mac!$A:$A,Output_Mac!J:J,""),
_xlpm.MyAuditVal,_xlfn.XLOOKUP($A42,My_Audit!$A:$A,My_Audit!I:I,""),
_xlfn.IFS(_xlpm.MyAuditVal&lt;&gt;"",UPPER(_xlpm.MyAuditVal),_xlpm.MacVal&lt;&gt;"",_xlpm.MacVal,_xlpm.CSVVal&lt;&gt;"",_xlpm.CSVVal
)),"")</f>
        <v/>
      </c>
      <c r="K42" s="40" t="str" cm="1">
        <f t="array" ref="K42">IFERROR(_xlfn.LET(
_xlpm.CSVVal,_xlfn.XLOOKUP($A42,CSV!$A:$A,CSV!K:K,""),
_xlpm.MacVal,_xlfn.XLOOKUP($A42,Output_Mac!$A:$A,Output_Mac!K:K,""),
_xlpm.MyAuditVal,_xlfn.XLOOKUP($A42,My_Audit!$A:$A,My_Audit!J:J,""),
_xlfn.IFS(_xlpm.MyAuditVal&lt;&gt;"",UPPER(_xlpm.MyAuditVal),_xlpm.MacVal&lt;&gt;"",_xlpm.MacVal,_xlpm.CSVVal&lt;&gt;"",_xlpm.CSVVal
)),"")</f>
        <v/>
      </c>
      <c r="L42" s="40" t="str" cm="1">
        <f t="array" ref="L42">IFERROR(_xlfn.LET(
_xlpm.CSVVal,_xlfn.XLOOKUP($A42,CSV!$A:$A,CSV!P:P,""),
_xlpm.MacVal,_xlfn.XLOOKUP($A42,Output_Mac!$A:$A,Output_Mac!L:L,""),
_xlpm.MyAuditVal,_xlfn.XLOOKUP($A42,My_Audit!$A:$A,My_Audit!K:K,""),
_xlfn.IFS(_xlpm.MyAuditVal&lt;&gt;"",UPPER(_xlpm.MyAuditVal),_xlpm.MacVal&lt;&gt;"",_xlpm.MacVal,_xlpm.CSVVal&lt;&gt;"",_xlpm.CSVVal
)),"")</f>
        <v/>
      </c>
      <c r="M42" s="40" t="str" cm="1">
        <f t="array" ref="M42">IFERROR(_xlfn.LET(
_xlpm.CSVVal,_xlfn.XLOOKUP($A42,CSV!$A:$A,CSV!Q:Q,""),
_xlpm.MacVal,_xlfn.XLOOKUP($A42,Output_Mac!$A:$A,Output_Mac!M:M,""),
_xlpm.MyAuditVal,_xlfn.XLOOKUP($A42,My_Audit!$A:$A,My_Audit!L:L,""),
_xlfn.IFS(_xlpm.MyAuditVal&lt;&gt;"",UPPER(_xlpm.MyAuditVal),_xlpm.MacVal&lt;&gt;"",_xlpm.MacVal,_xlpm.CSVVal&lt;&gt;"",_xlpm.CSVVal
)),"")</f>
        <v/>
      </c>
      <c r="N42" s="40"/>
      <c r="O42" s="40" t="str">
        <f>_xlfn.LET(
    _xlpm.CSVVal, _xlfn.XLOOKUP($A42, CSV!$A:$A, CSV!AA:AA, ""),
    _xlpm.MacVal, _xlfn.XLOOKUP($A42, Output_Mac!$A:$A, Output_Mac!S:S, ""),
    _xlpm.MyAuditVal, _xlfn.XLOOKUP($A42, My_Audit!$A:$A, My_Audit!P:P, ""),
    _xlfn.TEXTJOIN(", ", TRUE, _xlpm.MyAuditVal, _xlpm.MacVal, _xlpm.CSVVal)
)</f>
        <v/>
      </c>
      <c r="P42" s="40" t="str" cm="1">
        <f t="array" ref="P42">IFERROR(_xlfn.LET(
_xlpm.CSVVal,_xlfn.XLOOKUP($A42,CSV!$A:$A,CSV!AB:AB,""),
_xlpm.MacVal,_xlfn.XLOOKUP($A42,Output_Mac!$A:$A,Output_Mac!T:T,""),
_xlpm.MyAuditVal,_xlfn.XLOOKUP($A42,My_Audit!$A:$A,My_Audit!Q:Q,""),
_xlfn.IFS(_xlpm.MyAuditVal&lt;&gt;"",UPPER(_xlpm.MyAuditVal),_xlpm.MacVal&lt;&gt;"",_xlpm.MacVal,_xlpm.CSVVal&lt;&gt;"",_xlpm.CSVVal
)),"No")</f>
        <v>No</v>
      </c>
      <c r="Q42" s="40" t="str" cm="1">
        <f t="array" ref="Q42">IFERROR(_xlfn.LET(
_xlpm.CSVVal,_xlfn.XLOOKUP($A42,CSV!$A:$A,CSV!AC:AC,""),
_xlpm.MacVal,_xlfn.XLOOKUP($A42,Output_Mac!$A:$A,Output_Mac!U:U,""),
_xlpm.MyAuditVal,_xlfn.XLOOKUP($A42,My_Audit!$A:$A,My_Audit!R:R,""),
_xlfn.IFS(_xlpm.MyAuditVal&lt;&gt;"",UPPER(_xlpm.MyAuditVal),_xlpm.MacVal&lt;&gt;"",_xlpm.MacVal,_xlpm.CSVVal&lt;&gt;"",_xlpm.CSVVal
)),"")</f>
        <v/>
      </c>
      <c r="R42" s="40"/>
      <c r="S42" s="40"/>
      <c r="T42" s="40"/>
      <c r="U42" s="40"/>
      <c r="V42" s="40"/>
      <c r="W42" s="40"/>
      <c r="X42" s="41" t="str">
        <f>_xlfn.LET(
    _xlpm.MacVal, _xlfn.XLOOKUP($A42, Output_Mac!$A:$A, Output_Mac!AB:AB, ""),
    _xlpm.MyAuditVal, _xlfn.XLOOKUP($A42, My_Audit!$A:$A, My_Audit!N:N, ""),
    _xlfn.TEXTJOIN(", ", TRUE, _xlpm.MyAuditVal, _xlpm.MacVal)
)</f>
        <v/>
      </c>
    </row>
    <row r="43" spans="1:24">
      <c r="A43" s="40" t="str">
        <f>_xlfn.TEXTJOIN("",TRUE,Input!$B$2,ROW(My_Audit!A42))</f>
        <v>X42</v>
      </c>
      <c r="B43" s="40" t="str">
        <f>_xlfn.TEXTJOIN("-",TRUE,"ITD",Input!$A$2,A43)</f>
        <v>ITD-X42</v>
      </c>
      <c r="C43" s="40" t="str" cm="1">
        <f t="array" ref="C43">IFERROR(_xlfn.LET(
_xlpm.CSVVal,_xlfn.XLOOKUP($A43,CSV!$A:$A,CSV!B:B,""),
_xlpm.MacVal,_xlfn.XLOOKUP($A43,Output_Mac!$A:$A,Output_Mac!B:B,""),
_xlpm.MyAuditVal,_xlfn.XLOOKUP($A43,My_Audit!$A:$A,My_Audit!B:B,""),
_xlfn.IFS(_xlpm.MyAuditVal&lt;&gt;"",UPPER(_xlpm.MyAuditVal),_xlpm.MacVal&lt;&gt;"",_xlpm.MacVal,_xlpm.CSVVal&lt;&gt;"",_xlpm.CSVVal
)),"")</f>
        <v/>
      </c>
      <c r="D43" s="40" t="str" cm="1">
        <f t="array" ref="D43">IFERROR(_xlfn.LET(
_xlpm.CSVVal,_xlfn.XLOOKUP($A43,CSV!$A:$A,CSV!D:D,""),
_xlpm.MacVal,_xlfn.XLOOKUP($A43,Output_Mac!$A:$A,Output_Mac!C:C,""),
_xlpm.MyAuditVal,_xlfn.XLOOKUP($A43,My_Audit!$A:$A,My_Audit!C:C,""),
_xlfn.IFS(_xlpm.MyAuditVal&lt;&gt;"",_xlpm.MyAuditVal,_xlpm.MacVal&lt;&gt;"",_xlpm.MacVal,_xlpm.CSVVal&lt;&gt;"",_xlpm.CSVVal
)),"")</f>
        <v/>
      </c>
      <c r="E43" s="40">
        <f>_xlfn.XLOOKUP(A43,My_Audit!A:A,My_Audit!D:D,"")</f>
        <v>0</v>
      </c>
      <c r="F43" s="40" t="str" cm="1">
        <f t="array" ref="F43">IFERROR(_xlfn.LET(
_xlpm.CSVVal,_xlfn.XLOOKUP($A43,CSV!$A:$A,CSV!F:F,""),
_xlpm.MacVal,_xlfn.XLOOKUP($A43,Output_Mac!$A:$A,Output_Mac!E:E,""),
_xlpm.MyAuditVal,_xlfn.XLOOKUP($A43,My_Audit!$A:$A,My_Audit!E:E,""),
_xlfn.IFS(_xlpm.MyAuditVal&lt;&gt;"",_xlpm.MyAuditVal,_xlpm.MacVal&lt;&gt;"",_xlpm.MacVal,_xlpm.CSVVal&lt;&gt;"",_xlpm.CSVVal
)),"")</f>
        <v/>
      </c>
      <c r="G43" s="40" t="str" cm="1">
        <f t="array" ref="G43">IFERROR(_xlfn.LET(
_xlpm.CSVVal,_xlfn.XLOOKUP($A43,CSV!$A:$A,CSV!G:G,""),
_xlpm.MacVal,_xlfn.XLOOKUP($A43,Output_Mac!$A:$A,Output_Mac!F:F,""),
_xlpm.MyAuditVal,_xlfn.XLOOKUP($A43,My_Audit!$A:$A,My_Audit!F:F,""),
_xlfn.IFS(_xlpm.MyAuditVal&lt;&gt;"",_xlpm.MyAuditVal,_xlpm.MacVal&lt;&gt;"",_xlpm.MacVal,_xlpm.CSVVal&lt;&gt;"",PROPER(_xlpm.CSVVal)
)),"")</f>
        <v/>
      </c>
      <c r="H43" s="40" t="str" cm="1">
        <f t="array" ref="H43">IFERROR(_xlfn.LET(
_xlpm.CSVVal,_xlfn.XLOOKUP($A43,CSV!$A:$A,CSV!H:H,""),
_xlpm.MacVal,_xlfn.XLOOKUP($A43,Output_Mac!$A:$A,Output_Mac!H:H,""),
_xlpm.MyAuditVal,_xlfn.XLOOKUP($A43,My_Audit!$A:$A,My_Audit!G:G,""),
_xlfn.IFS(_xlpm.MyAuditVal&lt;&gt;"",_xlpm.MyAuditVal,_xlpm.MacVal&lt;&gt;"",_xlpm.MacVal,_xlpm.CSVVal&lt;&gt;"",_xlpm.CSVVal
)),"")</f>
        <v/>
      </c>
      <c r="I43" s="40" t="str">
        <f>_xlfn.XLOOKUP(A43,Output_Mac!A:A,Output_Mac!I:I,"")</f>
        <v/>
      </c>
      <c r="J43" s="40" t="str" cm="1">
        <f t="array" ref="J43">IFERROR(_xlfn.LET(
_xlpm.CSVVal,_xlfn.XLOOKUP($A43,CSV!$A:$A,CSV!I:I,""),
_xlpm.MacVal,_xlfn.XLOOKUP($A43,Output_Mac!$A:$A,Output_Mac!J:J,""),
_xlpm.MyAuditVal,_xlfn.XLOOKUP($A43,My_Audit!$A:$A,My_Audit!I:I,""),
_xlfn.IFS(_xlpm.MyAuditVal&lt;&gt;"",UPPER(_xlpm.MyAuditVal),_xlpm.MacVal&lt;&gt;"",_xlpm.MacVal,_xlpm.CSVVal&lt;&gt;"",_xlpm.CSVVal
)),"")</f>
        <v/>
      </c>
      <c r="K43" s="40" t="str" cm="1">
        <f t="array" ref="K43">IFERROR(_xlfn.LET(
_xlpm.CSVVal,_xlfn.XLOOKUP($A43,CSV!$A:$A,CSV!K:K,""),
_xlpm.MacVal,_xlfn.XLOOKUP($A43,Output_Mac!$A:$A,Output_Mac!K:K,""),
_xlpm.MyAuditVal,_xlfn.XLOOKUP($A43,My_Audit!$A:$A,My_Audit!J:J,""),
_xlfn.IFS(_xlpm.MyAuditVal&lt;&gt;"",UPPER(_xlpm.MyAuditVal),_xlpm.MacVal&lt;&gt;"",_xlpm.MacVal,_xlpm.CSVVal&lt;&gt;"",_xlpm.CSVVal
)),"")</f>
        <v/>
      </c>
      <c r="L43" s="40" t="str" cm="1">
        <f t="array" ref="L43">IFERROR(_xlfn.LET(
_xlpm.CSVVal,_xlfn.XLOOKUP($A43,CSV!$A:$A,CSV!P:P,""),
_xlpm.MacVal,_xlfn.XLOOKUP($A43,Output_Mac!$A:$A,Output_Mac!L:L,""),
_xlpm.MyAuditVal,_xlfn.XLOOKUP($A43,My_Audit!$A:$A,My_Audit!K:K,""),
_xlfn.IFS(_xlpm.MyAuditVal&lt;&gt;"",UPPER(_xlpm.MyAuditVal),_xlpm.MacVal&lt;&gt;"",_xlpm.MacVal,_xlpm.CSVVal&lt;&gt;"",_xlpm.CSVVal
)),"")</f>
        <v/>
      </c>
      <c r="M43" s="40" t="str" cm="1">
        <f t="array" ref="M43">IFERROR(_xlfn.LET(
_xlpm.CSVVal,_xlfn.XLOOKUP($A43,CSV!$A:$A,CSV!Q:Q,""),
_xlpm.MacVal,_xlfn.XLOOKUP($A43,Output_Mac!$A:$A,Output_Mac!M:M,""),
_xlpm.MyAuditVal,_xlfn.XLOOKUP($A43,My_Audit!$A:$A,My_Audit!L:L,""),
_xlfn.IFS(_xlpm.MyAuditVal&lt;&gt;"",UPPER(_xlpm.MyAuditVal),_xlpm.MacVal&lt;&gt;"",_xlpm.MacVal,_xlpm.CSVVal&lt;&gt;"",_xlpm.CSVVal
)),"")</f>
        <v/>
      </c>
      <c r="N43" s="40"/>
      <c r="O43" s="40" t="str">
        <f>_xlfn.LET(
    _xlpm.CSVVal, _xlfn.XLOOKUP($A43, CSV!$A:$A, CSV!AA:AA, ""),
    _xlpm.MacVal, _xlfn.XLOOKUP($A43, Output_Mac!$A:$A, Output_Mac!S:S, ""),
    _xlpm.MyAuditVal, _xlfn.XLOOKUP($A43, My_Audit!$A:$A, My_Audit!P:P, ""),
    _xlfn.TEXTJOIN(", ", TRUE, _xlpm.MyAuditVal, _xlpm.MacVal, _xlpm.CSVVal)
)</f>
        <v/>
      </c>
      <c r="P43" s="40" t="str" cm="1">
        <f t="array" ref="P43">IFERROR(_xlfn.LET(
_xlpm.CSVVal,_xlfn.XLOOKUP($A43,CSV!$A:$A,CSV!AB:AB,""),
_xlpm.MacVal,_xlfn.XLOOKUP($A43,Output_Mac!$A:$A,Output_Mac!T:T,""),
_xlpm.MyAuditVal,_xlfn.XLOOKUP($A43,My_Audit!$A:$A,My_Audit!Q:Q,""),
_xlfn.IFS(_xlpm.MyAuditVal&lt;&gt;"",UPPER(_xlpm.MyAuditVal),_xlpm.MacVal&lt;&gt;"",_xlpm.MacVal,_xlpm.CSVVal&lt;&gt;"",_xlpm.CSVVal
)),"No")</f>
        <v>No</v>
      </c>
      <c r="Q43" s="40" t="str" cm="1">
        <f t="array" ref="Q43">IFERROR(_xlfn.LET(
_xlpm.CSVVal,_xlfn.XLOOKUP($A43,CSV!$A:$A,CSV!AC:AC,""),
_xlpm.MacVal,_xlfn.XLOOKUP($A43,Output_Mac!$A:$A,Output_Mac!U:U,""),
_xlpm.MyAuditVal,_xlfn.XLOOKUP($A43,My_Audit!$A:$A,My_Audit!R:R,""),
_xlfn.IFS(_xlpm.MyAuditVal&lt;&gt;"",UPPER(_xlpm.MyAuditVal),_xlpm.MacVal&lt;&gt;"",_xlpm.MacVal,_xlpm.CSVVal&lt;&gt;"",_xlpm.CSVVal
)),"")</f>
        <v/>
      </c>
      <c r="R43" s="40"/>
      <c r="S43" s="40"/>
      <c r="T43" s="40"/>
      <c r="U43" s="40"/>
      <c r="V43" s="40"/>
      <c r="W43" s="40"/>
      <c r="X43" s="41" t="str">
        <f>_xlfn.LET(
    _xlpm.MacVal, _xlfn.XLOOKUP($A43, Output_Mac!$A:$A, Output_Mac!AB:AB, ""),
    _xlpm.MyAuditVal, _xlfn.XLOOKUP($A43, My_Audit!$A:$A, My_Audit!N:N, ""),
    _xlfn.TEXTJOIN(", ", TRUE, _xlpm.MyAuditVal, _xlpm.MacVal)
)</f>
        <v/>
      </c>
    </row>
    <row r="44" spans="1:24">
      <c r="A44" s="40" t="str">
        <f>_xlfn.TEXTJOIN("",TRUE,Input!$B$2,ROW(My_Audit!A43))</f>
        <v>X43</v>
      </c>
      <c r="B44" s="40" t="str">
        <f>_xlfn.TEXTJOIN("-",TRUE,"ITD",Input!$A$2,A44)</f>
        <v>ITD-X43</v>
      </c>
      <c r="C44" s="40" t="str" cm="1">
        <f t="array" ref="C44">IFERROR(_xlfn.LET(
_xlpm.CSVVal,_xlfn.XLOOKUP($A44,CSV!$A:$A,CSV!B:B,""),
_xlpm.MacVal,_xlfn.XLOOKUP($A44,Output_Mac!$A:$A,Output_Mac!B:B,""),
_xlpm.MyAuditVal,_xlfn.XLOOKUP($A44,My_Audit!$A:$A,My_Audit!B:B,""),
_xlfn.IFS(_xlpm.MyAuditVal&lt;&gt;"",UPPER(_xlpm.MyAuditVal),_xlpm.MacVal&lt;&gt;"",_xlpm.MacVal,_xlpm.CSVVal&lt;&gt;"",_xlpm.CSVVal
)),"")</f>
        <v/>
      </c>
      <c r="D44" s="40" t="str" cm="1">
        <f t="array" ref="D44">IFERROR(_xlfn.LET(
_xlpm.CSVVal,_xlfn.XLOOKUP($A44,CSV!$A:$A,CSV!D:D,""),
_xlpm.MacVal,_xlfn.XLOOKUP($A44,Output_Mac!$A:$A,Output_Mac!C:C,""),
_xlpm.MyAuditVal,_xlfn.XLOOKUP($A44,My_Audit!$A:$A,My_Audit!C:C,""),
_xlfn.IFS(_xlpm.MyAuditVal&lt;&gt;"",_xlpm.MyAuditVal,_xlpm.MacVal&lt;&gt;"",_xlpm.MacVal,_xlpm.CSVVal&lt;&gt;"",_xlpm.CSVVal
)),"")</f>
        <v/>
      </c>
      <c r="E44" s="40">
        <f>_xlfn.XLOOKUP(A44,My_Audit!A:A,My_Audit!D:D,"")</f>
        <v>0</v>
      </c>
      <c r="F44" s="40" t="str" cm="1">
        <f t="array" ref="F44">IFERROR(_xlfn.LET(
_xlpm.CSVVal,_xlfn.XLOOKUP($A44,CSV!$A:$A,CSV!F:F,""),
_xlpm.MacVal,_xlfn.XLOOKUP($A44,Output_Mac!$A:$A,Output_Mac!E:E,""),
_xlpm.MyAuditVal,_xlfn.XLOOKUP($A44,My_Audit!$A:$A,My_Audit!E:E,""),
_xlfn.IFS(_xlpm.MyAuditVal&lt;&gt;"",_xlpm.MyAuditVal,_xlpm.MacVal&lt;&gt;"",_xlpm.MacVal,_xlpm.CSVVal&lt;&gt;"",_xlpm.CSVVal
)),"")</f>
        <v/>
      </c>
      <c r="G44" s="40" t="str" cm="1">
        <f t="array" ref="G44">IFERROR(_xlfn.LET(
_xlpm.CSVVal,_xlfn.XLOOKUP($A44,CSV!$A:$A,CSV!G:G,""),
_xlpm.MacVal,_xlfn.XLOOKUP($A44,Output_Mac!$A:$A,Output_Mac!F:F,""),
_xlpm.MyAuditVal,_xlfn.XLOOKUP($A44,My_Audit!$A:$A,My_Audit!F:F,""),
_xlfn.IFS(_xlpm.MyAuditVal&lt;&gt;"",_xlpm.MyAuditVal,_xlpm.MacVal&lt;&gt;"",_xlpm.MacVal,_xlpm.CSVVal&lt;&gt;"",PROPER(_xlpm.CSVVal)
)),"")</f>
        <v/>
      </c>
      <c r="H44" s="40" t="str" cm="1">
        <f t="array" ref="H44">IFERROR(_xlfn.LET(
_xlpm.CSVVal,_xlfn.XLOOKUP($A44,CSV!$A:$A,CSV!H:H,""),
_xlpm.MacVal,_xlfn.XLOOKUP($A44,Output_Mac!$A:$A,Output_Mac!H:H,""),
_xlpm.MyAuditVal,_xlfn.XLOOKUP($A44,My_Audit!$A:$A,My_Audit!G:G,""),
_xlfn.IFS(_xlpm.MyAuditVal&lt;&gt;"",_xlpm.MyAuditVal,_xlpm.MacVal&lt;&gt;"",_xlpm.MacVal,_xlpm.CSVVal&lt;&gt;"",_xlpm.CSVVal
)),"")</f>
        <v/>
      </c>
      <c r="I44" s="40" t="str">
        <f>_xlfn.XLOOKUP(A44,Output_Mac!A:A,Output_Mac!I:I,"")</f>
        <v/>
      </c>
      <c r="J44" s="40" t="str" cm="1">
        <f t="array" ref="J44">IFERROR(_xlfn.LET(
_xlpm.CSVVal,_xlfn.XLOOKUP($A44,CSV!$A:$A,CSV!I:I,""),
_xlpm.MacVal,_xlfn.XLOOKUP($A44,Output_Mac!$A:$A,Output_Mac!J:J,""),
_xlpm.MyAuditVal,_xlfn.XLOOKUP($A44,My_Audit!$A:$A,My_Audit!I:I,""),
_xlfn.IFS(_xlpm.MyAuditVal&lt;&gt;"",UPPER(_xlpm.MyAuditVal),_xlpm.MacVal&lt;&gt;"",_xlpm.MacVal,_xlpm.CSVVal&lt;&gt;"",_xlpm.CSVVal
)),"")</f>
        <v/>
      </c>
      <c r="K44" s="40" t="str" cm="1">
        <f t="array" ref="K44">IFERROR(_xlfn.LET(
_xlpm.CSVVal,_xlfn.XLOOKUP($A44,CSV!$A:$A,CSV!K:K,""),
_xlpm.MacVal,_xlfn.XLOOKUP($A44,Output_Mac!$A:$A,Output_Mac!K:K,""),
_xlpm.MyAuditVal,_xlfn.XLOOKUP($A44,My_Audit!$A:$A,My_Audit!J:J,""),
_xlfn.IFS(_xlpm.MyAuditVal&lt;&gt;"",UPPER(_xlpm.MyAuditVal),_xlpm.MacVal&lt;&gt;"",_xlpm.MacVal,_xlpm.CSVVal&lt;&gt;"",_xlpm.CSVVal
)),"")</f>
        <v/>
      </c>
      <c r="L44" s="40" t="str" cm="1">
        <f t="array" ref="L44">IFERROR(_xlfn.LET(
_xlpm.CSVVal,_xlfn.XLOOKUP($A44,CSV!$A:$A,CSV!P:P,""),
_xlpm.MacVal,_xlfn.XLOOKUP($A44,Output_Mac!$A:$A,Output_Mac!L:L,""),
_xlpm.MyAuditVal,_xlfn.XLOOKUP($A44,My_Audit!$A:$A,My_Audit!K:K,""),
_xlfn.IFS(_xlpm.MyAuditVal&lt;&gt;"",UPPER(_xlpm.MyAuditVal),_xlpm.MacVal&lt;&gt;"",_xlpm.MacVal,_xlpm.CSVVal&lt;&gt;"",_xlpm.CSVVal
)),"")</f>
        <v/>
      </c>
      <c r="M44" s="40" t="str" cm="1">
        <f t="array" ref="M44">IFERROR(_xlfn.LET(
_xlpm.CSVVal,_xlfn.XLOOKUP($A44,CSV!$A:$A,CSV!Q:Q,""),
_xlpm.MacVal,_xlfn.XLOOKUP($A44,Output_Mac!$A:$A,Output_Mac!M:M,""),
_xlpm.MyAuditVal,_xlfn.XLOOKUP($A44,My_Audit!$A:$A,My_Audit!L:L,""),
_xlfn.IFS(_xlpm.MyAuditVal&lt;&gt;"",UPPER(_xlpm.MyAuditVal),_xlpm.MacVal&lt;&gt;"",_xlpm.MacVal,_xlpm.CSVVal&lt;&gt;"",_xlpm.CSVVal
)),"")</f>
        <v/>
      </c>
      <c r="N44" s="40"/>
      <c r="O44" s="40" t="str">
        <f>_xlfn.LET(
    _xlpm.CSVVal, _xlfn.XLOOKUP($A44, CSV!$A:$A, CSV!AA:AA, ""),
    _xlpm.MacVal, _xlfn.XLOOKUP($A44, Output_Mac!$A:$A, Output_Mac!S:S, ""),
    _xlpm.MyAuditVal, _xlfn.XLOOKUP($A44, My_Audit!$A:$A, My_Audit!P:P, ""),
    _xlfn.TEXTJOIN(", ", TRUE, _xlpm.MyAuditVal, _xlpm.MacVal, _xlpm.CSVVal)
)</f>
        <v/>
      </c>
      <c r="P44" s="40" t="str" cm="1">
        <f t="array" ref="P44">IFERROR(_xlfn.LET(
_xlpm.CSVVal,_xlfn.XLOOKUP($A44,CSV!$A:$A,CSV!AB:AB,""),
_xlpm.MacVal,_xlfn.XLOOKUP($A44,Output_Mac!$A:$A,Output_Mac!T:T,""),
_xlpm.MyAuditVal,_xlfn.XLOOKUP($A44,My_Audit!$A:$A,My_Audit!Q:Q,""),
_xlfn.IFS(_xlpm.MyAuditVal&lt;&gt;"",UPPER(_xlpm.MyAuditVal),_xlpm.MacVal&lt;&gt;"",_xlpm.MacVal,_xlpm.CSVVal&lt;&gt;"",_xlpm.CSVVal
)),"No")</f>
        <v>No</v>
      </c>
      <c r="Q44" s="40" t="str" cm="1">
        <f t="array" ref="Q44">IFERROR(_xlfn.LET(
_xlpm.CSVVal,_xlfn.XLOOKUP($A44,CSV!$A:$A,CSV!AC:AC,""),
_xlpm.MacVal,_xlfn.XLOOKUP($A44,Output_Mac!$A:$A,Output_Mac!U:U,""),
_xlpm.MyAuditVal,_xlfn.XLOOKUP($A44,My_Audit!$A:$A,My_Audit!R:R,""),
_xlfn.IFS(_xlpm.MyAuditVal&lt;&gt;"",UPPER(_xlpm.MyAuditVal),_xlpm.MacVal&lt;&gt;"",_xlpm.MacVal,_xlpm.CSVVal&lt;&gt;"",_xlpm.CSVVal
)),"")</f>
        <v/>
      </c>
      <c r="R44" s="40"/>
      <c r="S44" s="40"/>
      <c r="T44" s="40"/>
      <c r="U44" s="40"/>
      <c r="V44" s="40"/>
      <c r="W44" s="40"/>
      <c r="X44" s="41" t="str">
        <f>_xlfn.LET(
    _xlpm.MacVal, _xlfn.XLOOKUP($A44, Output_Mac!$A:$A, Output_Mac!AB:AB, ""),
    _xlpm.MyAuditVal, _xlfn.XLOOKUP($A44, My_Audit!$A:$A, My_Audit!N:N, ""),
    _xlfn.TEXTJOIN(", ", TRUE, _xlpm.MyAuditVal, _xlpm.MacVal)
)</f>
        <v/>
      </c>
    </row>
    <row r="45" spans="1:24">
      <c r="A45" s="40" t="str">
        <f>_xlfn.TEXTJOIN("",TRUE,Input!$B$2,ROW(My_Audit!A44))</f>
        <v>X44</v>
      </c>
      <c r="B45" s="40" t="str">
        <f>_xlfn.TEXTJOIN("-",TRUE,"ITD",Input!$A$2,A45)</f>
        <v>ITD-X44</v>
      </c>
      <c r="C45" s="40" t="str" cm="1">
        <f t="array" ref="C45">IFERROR(_xlfn.LET(
_xlpm.CSVVal,_xlfn.XLOOKUP($A45,CSV!$A:$A,CSV!B:B,""),
_xlpm.MacVal,_xlfn.XLOOKUP($A45,Output_Mac!$A:$A,Output_Mac!B:B,""),
_xlpm.MyAuditVal,_xlfn.XLOOKUP($A45,My_Audit!$A:$A,My_Audit!B:B,""),
_xlfn.IFS(_xlpm.MyAuditVal&lt;&gt;"",UPPER(_xlpm.MyAuditVal),_xlpm.MacVal&lt;&gt;"",_xlpm.MacVal,_xlpm.CSVVal&lt;&gt;"",_xlpm.CSVVal
)),"")</f>
        <v/>
      </c>
      <c r="D45" s="40" t="str" cm="1">
        <f t="array" ref="D45">IFERROR(_xlfn.LET(
_xlpm.CSVVal,_xlfn.XLOOKUP($A45,CSV!$A:$A,CSV!D:D,""),
_xlpm.MacVal,_xlfn.XLOOKUP($A45,Output_Mac!$A:$A,Output_Mac!C:C,""),
_xlpm.MyAuditVal,_xlfn.XLOOKUP($A45,My_Audit!$A:$A,My_Audit!C:C,""),
_xlfn.IFS(_xlpm.MyAuditVal&lt;&gt;"",_xlpm.MyAuditVal,_xlpm.MacVal&lt;&gt;"",_xlpm.MacVal,_xlpm.CSVVal&lt;&gt;"",_xlpm.CSVVal
)),"")</f>
        <v/>
      </c>
      <c r="E45" s="40">
        <f>_xlfn.XLOOKUP(A45,My_Audit!A:A,My_Audit!D:D,"")</f>
        <v>0</v>
      </c>
      <c r="F45" s="40" t="str" cm="1">
        <f t="array" ref="F45">IFERROR(_xlfn.LET(
_xlpm.CSVVal,_xlfn.XLOOKUP($A45,CSV!$A:$A,CSV!F:F,""),
_xlpm.MacVal,_xlfn.XLOOKUP($A45,Output_Mac!$A:$A,Output_Mac!E:E,""),
_xlpm.MyAuditVal,_xlfn.XLOOKUP($A45,My_Audit!$A:$A,My_Audit!E:E,""),
_xlfn.IFS(_xlpm.MyAuditVal&lt;&gt;"",_xlpm.MyAuditVal,_xlpm.MacVal&lt;&gt;"",_xlpm.MacVal,_xlpm.CSVVal&lt;&gt;"",_xlpm.CSVVal
)),"")</f>
        <v/>
      </c>
      <c r="G45" s="40" t="str" cm="1">
        <f t="array" ref="G45">IFERROR(_xlfn.LET(
_xlpm.CSVVal,_xlfn.XLOOKUP($A45,CSV!$A:$A,CSV!G:G,""),
_xlpm.MacVal,_xlfn.XLOOKUP($A45,Output_Mac!$A:$A,Output_Mac!F:F,""),
_xlpm.MyAuditVal,_xlfn.XLOOKUP($A45,My_Audit!$A:$A,My_Audit!F:F,""),
_xlfn.IFS(_xlpm.MyAuditVal&lt;&gt;"",_xlpm.MyAuditVal,_xlpm.MacVal&lt;&gt;"",_xlpm.MacVal,_xlpm.CSVVal&lt;&gt;"",PROPER(_xlpm.CSVVal)
)),"")</f>
        <v/>
      </c>
      <c r="H45" s="40" t="str" cm="1">
        <f t="array" ref="H45">IFERROR(_xlfn.LET(
_xlpm.CSVVal,_xlfn.XLOOKUP($A45,CSV!$A:$A,CSV!H:H,""),
_xlpm.MacVal,_xlfn.XLOOKUP($A45,Output_Mac!$A:$A,Output_Mac!H:H,""),
_xlpm.MyAuditVal,_xlfn.XLOOKUP($A45,My_Audit!$A:$A,My_Audit!G:G,""),
_xlfn.IFS(_xlpm.MyAuditVal&lt;&gt;"",_xlpm.MyAuditVal,_xlpm.MacVal&lt;&gt;"",_xlpm.MacVal,_xlpm.CSVVal&lt;&gt;"",_xlpm.CSVVal
)),"")</f>
        <v/>
      </c>
      <c r="I45" s="40" t="str">
        <f>_xlfn.XLOOKUP(A45,Output_Mac!A:A,Output_Mac!I:I,"")</f>
        <v/>
      </c>
      <c r="J45" s="40" t="str" cm="1">
        <f t="array" ref="J45">IFERROR(_xlfn.LET(
_xlpm.CSVVal,_xlfn.XLOOKUP($A45,CSV!$A:$A,CSV!I:I,""),
_xlpm.MacVal,_xlfn.XLOOKUP($A45,Output_Mac!$A:$A,Output_Mac!J:J,""),
_xlpm.MyAuditVal,_xlfn.XLOOKUP($A45,My_Audit!$A:$A,My_Audit!I:I,""),
_xlfn.IFS(_xlpm.MyAuditVal&lt;&gt;"",UPPER(_xlpm.MyAuditVal),_xlpm.MacVal&lt;&gt;"",_xlpm.MacVal,_xlpm.CSVVal&lt;&gt;"",_xlpm.CSVVal
)),"")</f>
        <v/>
      </c>
      <c r="K45" s="40" t="str" cm="1">
        <f t="array" ref="K45">IFERROR(_xlfn.LET(
_xlpm.CSVVal,_xlfn.XLOOKUP($A45,CSV!$A:$A,CSV!K:K,""),
_xlpm.MacVal,_xlfn.XLOOKUP($A45,Output_Mac!$A:$A,Output_Mac!K:K,""),
_xlpm.MyAuditVal,_xlfn.XLOOKUP($A45,My_Audit!$A:$A,My_Audit!J:J,""),
_xlfn.IFS(_xlpm.MyAuditVal&lt;&gt;"",UPPER(_xlpm.MyAuditVal),_xlpm.MacVal&lt;&gt;"",_xlpm.MacVal,_xlpm.CSVVal&lt;&gt;"",_xlpm.CSVVal
)),"")</f>
        <v/>
      </c>
      <c r="L45" s="40" t="str" cm="1">
        <f t="array" ref="L45">IFERROR(_xlfn.LET(
_xlpm.CSVVal,_xlfn.XLOOKUP($A45,CSV!$A:$A,CSV!P:P,""),
_xlpm.MacVal,_xlfn.XLOOKUP($A45,Output_Mac!$A:$A,Output_Mac!L:L,""),
_xlpm.MyAuditVal,_xlfn.XLOOKUP($A45,My_Audit!$A:$A,My_Audit!K:K,""),
_xlfn.IFS(_xlpm.MyAuditVal&lt;&gt;"",UPPER(_xlpm.MyAuditVal),_xlpm.MacVal&lt;&gt;"",_xlpm.MacVal,_xlpm.CSVVal&lt;&gt;"",_xlpm.CSVVal
)),"")</f>
        <v/>
      </c>
      <c r="M45" s="40" t="str" cm="1">
        <f t="array" ref="M45">IFERROR(_xlfn.LET(
_xlpm.CSVVal,_xlfn.XLOOKUP($A45,CSV!$A:$A,CSV!Q:Q,""),
_xlpm.MacVal,_xlfn.XLOOKUP($A45,Output_Mac!$A:$A,Output_Mac!M:M,""),
_xlpm.MyAuditVal,_xlfn.XLOOKUP($A45,My_Audit!$A:$A,My_Audit!L:L,""),
_xlfn.IFS(_xlpm.MyAuditVal&lt;&gt;"",UPPER(_xlpm.MyAuditVal),_xlpm.MacVal&lt;&gt;"",_xlpm.MacVal,_xlpm.CSVVal&lt;&gt;"",_xlpm.CSVVal
)),"")</f>
        <v/>
      </c>
      <c r="N45" s="40"/>
      <c r="O45" s="40" t="str">
        <f>_xlfn.LET(
    _xlpm.CSVVal, _xlfn.XLOOKUP($A45, CSV!$A:$A, CSV!AA:AA, ""),
    _xlpm.MacVal, _xlfn.XLOOKUP($A45, Output_Mac!$A:$A, Output_Mac!S:S, ""),
    _xlpm.MyAuditVal, _xlfn.XLOOKUP($A45, My_Audit!$A:$A, My_Audit!P:P, ""),
    _xlfn.TEXTJOIN(", ", TRUE, _xlpm.MyAuditVal, _xlpm.MacVal, _xlpm.CSVVal)
)</f>
        <v/>
      </c>
      <c r="P45" s="40" t="str" cm="1">
        <f t="array" ref="P45">IFERROR(_xlfn.LET(
_xlpm.CSVVal,_xlfn.XLOOKUP($A45,CSV!$A:$A,CSV!AB:AB,""),
_xlpm.MacVal,_xlfn.XLOOKUP($A45,Output_Mac!$A:$A,Output_Mac!T:T,""),
_xlpm.MyAuditVal,_xlfn.XLOOKUP($A45,My_Audit!$A:$A,My_Audit!Q:Q,""),
_xlfn.IFS(_xlpm.MyAuditVal&lt;&gt;"",UPPER(_xlpm.MyAuditVal),_xlpm.MacVal&lt;&gt;"",_xlpm.MacVal,_xlpm.CSVVal&lt;&gt;"",_xlpm.CSVVal
)),"No")</f>
        <v>No</v>
      </c>
      <c r="Q45" s="40" t="str" cm="1">
        <f t="array" ref="Q45">IFERROR(_xlfn.LET(
_xlpm.CSVVal,_xlfn.XLOOKUP($A45,CSV!$A:$A,CSV!AC:AC,""),
_xlpm.MacVal,_xlfn.XLOOKUP($A45,Output_Mac!$A:$A,Output_Mac!U:U,""),
_xlpm.MyAuditVal,_xlfn.XLOOKUP($A45,My_Audit!$A:$A,My_Audit!R:R,""),
_xlfn.IFS(_xlpm.MyAuditVal&lt;&gt;"",UPPER(_xlpm.MyAuditVal),_xlpm.MacVal&lt;&gt;"",_xlpm.MacVal,_xlpm.CSVVal&lt;&gt;"",_xlpm.CSVVal
)),"")</f>
        <v/>
      </c>
      <c r="R45" s="40"/>
      <c r="S45" s="40"/>
      <c r="T45" s="40"/>
      <c r="U45" s="40"/>
      <c r="V45" s="40"/>
      <c r="W45" s="40"/>
      <c r="X45" s="41" t="str">
        <f>_xlfn.LET(
    _xlpm.MacVal, _xlfn.XLOOKUP($A45, Output_Mac!$A:$A, Output_Mac!AB:AB, ""),
    _xlpm.MyAuditVal, _xlfn.XLOOKUP($A45, My_Audit!$A:$A, My_Audit!N:N, ""),
    _xlfn.TEXTJOIN(", ", TRUE, _xlpm.MyAuditVal, _xlpm.MacVal)
)</f>
        <v/>
      </c>
    </row>
    <row r="46" spans="1:24">
      <c r="A46" s="40" t="str">
        <f>_xlfn.TEXTJOIN("",TRUE,Input!$B$2,ROW(My_Audit!A45))</f>
        <v>X45</v>
      </c>
      <c r="B46" s="40" t="str">
        <f>_xlfn.TEXTJOIN("-",TRUE,"ITD",Input!$A$2,A46)</f>
        <v>ITD-X45</v>
      </c>
      <c r="C46" s="40" t="str" cm="1">
        <f t="array" ref="C46">IFERROR(_xlfn.LET(
_xlpm.CSVVal,_xlfn.XLOOKUP($A46,CSV!$A:$A,CSV!B:B,""),
_xlpm.MacVal,_xlfn.XLOOKUP($A46,Output_Mac!$A:$A,Output_Mac!B:B,""),
_xlpm.MyAuditVal,_xlfn.XLOOKUP($A46,My_Audit!$A:$A,My_Audit!B:B,""),
_xlfn.IFS(_xlpm.MyAuditVal&lt;&gt;"",UPPER(_xlpm.MyAuditVal),_xlpm.MacVal&lt;&gt;"",_xlpm.MacVal,_xlpm.CSVVal&lt;&gt;"",_xlpm.CSVVal
)),"")</f>
        <v/>
      </c>
      <c r="D46" s="40" t="str" cm="1">
        <f t="array" ref="D46">IFERROR(_xlfn.LET(
_xlpm.CSVVal,_xlfn.XLOOKUP($A46,CSV!$A:$A,CSV!D:D,""),
_xlpm.MacVal,_xlfn.XLOOKUP($A46,Output_Mac!$A:$A,Output_Mac!C:C,""),
_xlpm.MyAuditVal,_xlfn.XLOOKUP($A46,My_Audit!$A:$A,My_Audit!C:C,""),
_xlfn.IFS(_xlpm.MyAuditVal&lt;&gt;"",_xlpm.MyAuditVal,_xlpm.MacVal&lt;&gt;"",_xlpm.MacVal,_xlpm.CSVVal&lt;&gt;"",_xlpm.CSVVal
)),"")</f>
        <v/>
      </c>
      <c r="E46" s="40">
        <f>_xlfn.XLOOKUP(A46,My_Audit!A:A,My_Audit!D:D,"")</f>
        <v>0</v>
      </c>
      <c r="F46" s="40" t="str" cm="1">
        <f t="array" ref="F46">IFERROR(_xlfn.LET(
_xlpm.CSVVal,_xlfn.XLOOKUP($A46,CSV!$A:$A,CSV!F:F,""),
_xlpm.MacVal,_xlfn.XLOOKUP($A46,Output_Mac!$A:$A,Output_Mac!E:E,""),
_xlpm.MyAuditVal,_xlfn.XLOOKUP($A46,My_Audit!$A:$A,My_Audit!E:E,""),
_xlfn.IFS(_xlpm.MyAuditVal&lt;&gt;"",_xlpm.MyAuditVal,_xlpm.MacVal&lt;&gt;"",_xlpm.MacVal,_xlpm.CSVVal&lt;&gt;"",_xlpm.CSVVal
)),"")</f>
        <v/>
      </c>
      <c r="G46" s="40" t="str" cm="1">
        <f t="array" ref="G46">IFERROR(_xlfn.LET(
_xlpm.CSVVal,_xlfn.XLOOKUP($A46,CSV!$A:$A,CSV!G:G,""),
_xlpm.MacVal,_xlfn.XLOOKUP($A46,Output_Mac!$A:$A,Output_Mac!F:F,""),
_xlpm.MyAuditVal,_xlfn.XLOOKUP($A46,My_Audit!$A:$A,My_Audit!F:F,""),
_xlfn.IFS(_xlpm.MyAuditVal&lt;&gt;"",_xlpm.MyAuditVal,_xlpm.MacVal&lt;&gt;"",_xlpm.MacVal,_xlpm.CSVVal&lt;&gt;"",PROPER(_xlpm.CSVVal)
)),"")</f>
        <v/>
      </c>
      <c r="H46" s="40" t="str" cm="1">
        <f t="array" ref="H46">IFERROR(_xlfn.LET(
_xlpm.CSVVal,_xlfn.XLOOKUP($A46,CSV!$A:$A,CSV!H:H,""),
_xlpm.MacVal,_xlfn.XLOOKUP($A46,Output_Mac!$A:$A,Output_Mac!H:H,""),
_xlpm.MyAuditVal,_xlfn.XLOOKUP($A46,My_Audit!$A:$A,My_Audit!G:G,""),
_xlfn.IFS(_xlpm.MyAuditVal&lt;&gt;"",_xlpm.MyAuditVal,_xlpm.MacVal&lt;&gt;"",_xlpm.MacVal,_xlpm.CSVVal&lt;&gt;"",_xlpm.CSVVal
)),"")</f>
        <v/>
      </c>
      <c r="I46" s="40" t="str">
        <f>_xlfn.XLOOKUP(A46,Output_Mac!A:A,Output_Mac!I:I,"")</f>
        <v/>
      </c>
      <c r="J46" s="40" t="str" cm="1">
        <f t="array" ref="J46">IFERROR(_xlfn.LET(
_xlpm.CSVVal,_xlfn.XLOOKUP($A46,CSV!$A:$A,CSV!I:I,""),
_xlpm.MacVal,_xlfn.XLOOKUP($A46,Output_Mac!$A:$A,Output_Mac!J:J,""),
_xlpm.MyAuditVal,_xlfn.XLOOKUP($A46,My_Audit!$A:$A,My_Audit!I:I,""),
_xlfn.IFS(_xlpm.MyAuditVal&lt;&gt;"",UPPER(_xlpm.MyAuditVal),_xlpm.MacVal&lt;&gt;"",_xlpm.MacVal,_xlpm.CSVVal&lt;&gt;"",_xlpm.CSVVal
)),"")</f>
        <v/>
      </c>
      <c r="K46" s="40" t="str" cm="1">
        <f t="array" ref="K46">IFERROR(_xlfn.LET(
_xlpm.CSVVal,_xlfn.XLOOKUP($A46,CSV!$A:$A,CSV!K:K,""),
_xlpm.MacVal,_xlfn.XLOOKUP($A46,Output_Mac!$A:$A,Output_Mac!K:K,""),
_xlpm.MyAuditVal,_xlfn.XLOOKUP($A46,My_Audit!$A:$A,My_Audit!J:J,""),
_xlfn.IFS(_xlpm.MyAuditVal&lt;&gt;"",UPPER(_xlpm.MyAuditVal),_xlpm.MacVal&lt;&gt;"",_xlpm.MacVal,_xlpm.CSVVal&lt;&gt;"",_xlpm.CSVVal
)),"")</f>
        <v/>
      </c>
      <c r="L46" s="40" t="str" cm="1">
        <f t="array" ref="L46">IFERROR(_xlfn.LET(
_xlpm.CSVVal,_xlfn.XLOOKUP($A46,CSV!$A:$A,CSV!P:P,""),
_xlpm.MacVal,_xlfn.XLOOKUP($A46,Output_Mac!$A:$A,Output_Mac!L:L,""),
_xlpm.MyAuditVal,_xlfn.XLOOKUP($A46,My_Audit!$A:$A,My_Audit!K:K,""),
_xlfn.IFS(_xlpm.MyAuditVal&lt;&gt;"",UPPER(_xlpm.MyAuditVal),_xlpm.MacVal&lt;&gt;"",_xlpm.MacVal,_xlpm.CSVVal&lt;&gt;"",_xlpm.CSVVal
)),"")</f>
        <v/>
      </c>
      <c r="M46" s="40" t="str" cm="1">
        <f t="array" ref="M46">IFERROR(_xlfn.LET(
_xlpm.CSVVal,_xlfn.XLOOKUP($A46,CSV!$A:$A,CSV!Q:Q,""),
_xlpm.MacVal,_xlfn.XLOOKUP($A46,Output_Mac!$A:$A,Output_Mac!M:M,""),
_xlpm.MyAuditVal,_xlfn.XLOOKUP($A46,My_Audit!$A:$A,My_Audit!L:L,""),
_xlfn.IFS(_xlpm.MyAuditVal&lt;&gt;"",UPPER(_xlpm.MyAuditVal),_xlpm.MacVal&lt;&gt;"",_xlpm.MacVal,_xlpm.CSVVal&lt;&gt;"",_xlpm.CSVVal
)),"")</f>
        <v/>
      </c>
      <c r="N46" s="40"/>
      <c r="O46" s="40" t="str">
        <f>_xlfn.LET(
    _xlpm.CSVVal, _xlfn.XLOOKUP($A46, CSV!$A:$A, CSV!AA:AA, ""),
    _xlpm.MacVal, _xlfn.XLOOKUP($A46, Output_Mac!$A:$A, Output_Mac!S:S, ""),
    _xlpm.MyAuditVal, _xlfn.XLOOKUP($A46, My_Audit!$A:$A, My_Audit!P:P, ""),
    _xlfn.TEXTJOIN(", ", TRUE, _xlpm.MyAuditVal, _xlpm.MacVal, _xlpm.CSVVal)
)</f>
        <v/>
      </c>
      <c r="P46" s="40" t="str" cm="1">
        <f t="array" ref="P46">IFERROR(_xlfn.LET(
_xlpm.CSVVal,_xlfn.XLOOKUP($A46,CSV!$A:$A,CSV!AB:AB,""),
_xlpm.MacVal,_xlfn.XLOOKUP($A46,Output_Mac!$A:$A,Output_Mac!T:T,""),
_xlpm.MyAuditVal,_xlfn.XLOOKUP($A46,My_Audit!$A:$A,My_Audit!Q:Q,""),
_xlfn.IFS(_xlpm.MyAuditVal&lt;&gt;"",UPPER(_xlpm.MyAuditVal),_xlpm.MacVal&lt;&gt;"",_xlpm.MacVal,_xlpm.CSVVal&lt;&gt;"",_xlpm.CSVVal
)),"No")</f>
        <v>No</v>
      </c>
      <c r="Q46" s="40" t="str" cm="1">
        <f t="array" ref="Q46">IFERROR(_xlfn.LET(
_xlpm.CSVVal,_xlfn.XLOOKUP($A46,CSV!$A:$A,CSV!AC:AC,""),
_xlpm.MacVal,_xlfn.XLOOKUP($A46,Output_Mac!$A:$A,Output_Mac!U:U,""),
_xlpm.MyAuditVal,_xlfn.XLOOKUP($A46,My_Audit!$A:$A,My_Audit!R:R,""),
_xlfn.IFS(_xlpm.MyAuditVal&lt;&gt;"",UPPER(_xlpm.MyAuditVal),_xlpm.MacVal&lt;&gt;"",_xlpm.MacVal,_xlpm.CSVVal&lt;&gt;"",_xlpm.CSVVal
)),"")</f>
        <v/>
      </c>
      <c r="R46" s="40"/>
      <c r="S46" s="40"/>
      <c r="T46" s="40"/>
      <c r="U46" s="40"/>
      <c r="V46" s="40"/>
      <c r="W46" s="40"/>
      <c r="X46" s="41" t="str">
        <f>_xlfn.LET(
    _xlpm.MacVal, _xlfn.XLOOKUP($A46, Output_Mac!$A:$A, Output_Mac!AB:AB, ""),
    _xlpm.MyAuditVal, _xlfn.XLOOKUP($A46, My_Audit!$A:$A, My_Audit!N:N, ""),
    _xlfn.TEXTJOIN(", ", TRUE, _xlpm.MyAuditVal, _xlpm.MacVal)
)</f>
        <v/>
      </c>
    </row>
    <row r="47" spans="1:24">
      <c r="A47" s="40" t="str">
        <f>_xlfn.TEXTJOIN("",TRUE,Input!$B$2,ROW(My_Audit!A46))</f>
        <v>X46</v>
      </c>
      <c r="B47" s="40" t="str">
        <f>_xlfn.TEXTJOIN("-",TRUE,"ITD",Input!$A$2,A47)</f>
        <v>ITD-X46</v>
      </c>
      <c r="C47" s="40" t="str" cm="1">
        <f t="array" ref="C47">IFERROR(_xlfn.LET(
_xlpm.CSVVal,_xlfn.XLOOKUP($A47,CSV!$A:$A,CSV!B:B,""),
_xlpm.MacVal,_xlfn.XLOOKUP($A47,Output_Mac!$A:$A,Output_Mac!B:B,""),
_xlpm.MyAuditVal,_xlfn.XLOOKUP($A47,My_Audit!$A:$A,My_Audit!B:B,""),
_xlfn.IFS(_xlpm.MyAuditVal&lt;&gt;"",UPPER(_xlpm.MyAuditVal),_xlpm.MacVal&lt;&gt;"",_xlpm.MacVal,_xlpm.CSVVal&lt;&gt;"",_xlpm.CSVVal
)),"")</f>
        <v/>
      </c>
      <c r="D47" s="40" t="str" cm="1">
        <f t="array" ref="D47">IFERROR(_xlfn.LET(
_xlpm.CSVVal,_xlfn.XLOOKUP($A47,CSV!$A:$A,CSV!D:D,""),
_xlpm.MacVal,_xlfn.XLOOKUP($A47,Output_Mac!$A:$A,Output_Mac!C:C,""),
_xlpm.MyAuditVal,_xlfn.XLOOKUP($A47,My_Audit!$A:$A,My_Audit!C:C,""),
_xlfn.IFS(_xlpm.MyAuditVal&lt;&gt;"",_xlpm.MyAuditVal,_xlpm.MacVal&lt;&gt;"",_xlpm.MacVal,_xlpm.CSVVal&lt;&gt;"",_xlpm.CSVVal
)),"")</f>
        <v/>
      </c>
      <c r="E47" s="40">
        <f>_xlfn.XLOOKUP(A47,My_Audit!A:A,My_Audit!D:D,"")</f>
        <v>0</v>
      </c>
      <c r="F47" s="40" t="str" cm="1">
        <f t="array" ref="F47">IFERROR(_xlfn.LET(
_xlpm.CSVVal,_xlfn.XLOOKUP($A47,CSV!$A:$A,CSV!F:F,""),
_xlpm.MacVal,_xlfn.XLOOKUP($A47,Output_Mac!$A:$A,Output_Mac!E:E,""),
_xlpm.MyAuditVal,_xlfn.XLOOKUP($A47,My_Audit!$A:$A,My_Audit!E:E,""),
_xlfn.IFS(_xlpm.MyAuditVal&lt;&gt;"",_xlpm.MyAuditVal,_xlpm.MacVal&lt;&gt;"",_xlpm.MacVal,_xlpm.CSVVal&lt;&gt;"",_xlpm.CSVVal
)),"")</f>
        <v/>
      </c>
      <c r="G47" s="40" t="str" cm="1">
        <f t="array" ref="G47">IFERROR(_xlfn.LET(
_xlpm.CSVVal,_xlfn.XLOOKUP($A47,CSV!$A:$A,CSV!G:G,""),
_xlpm.MacVal,_xlfn.XLOOKUP($A47,Output_Mac!$A:$A,Output_Mac!F:F,""),
_xlpm.MyAuditVal,_xlfn.XLOOKUP($A47,My_Audit!$A:$A,My_Audit!F:F,""),
_xlfn.IFS(_xlpm.MyAuditVal&lt;&gt;"",_xlpm.MyAuditVal,_xlpm.MacVal&lt;&gt;"",_xlpm.MacVal,_xlpm.CSVVal&lt;&gt;"",PROPER(_xlpm.CSVVal)
)),"")</f>
        <v/>
      </c>
      <c r="H47" s="40" t="str" cm="1">
        <f t="array" ref="H47">IFERROR(_xlfn.LET(
_xlpm.CSVVal,_xlfn.XLOOKUP($A47,CSV!$A:$A,CSV!H:H,""),
_xlpm.MacVal,_xlfn.XLOOKUP($A47,Output_Mac!$A:$A,Output_Mac!H:H,""),
_xlpm.MyAuditVal,_xlfn.XLOOKUP($A47,My_Audit!$A:$A,My_Audit!G:G,""),
_xlfn.IFS(_xlpm.MyAuditVal&lt;&gt;"",_xlpm.MyAuditVal,_xlpm.MacVal&lt;&gt;"",_xlpm.MacVal,_xlpm.CSVVal&lt;&gt;"",_xlpm.CSVVal
)),"")</f>
        <v/>
      </c>
      <c r="I47" s="40" t="str">
        <f>_xlfn.XLOOKUP(A47,Output_Mac!A:A,Output_Mac!I:I,"")</f>
        <v/>
      </c>
      <c r="J47" s="40" t="str" cm="1">
        <f t="array" ref="J47">IFERROR(_xlfn.LET(
_xlpm.CSVVal,_xlfn.XLOOKUP($A47,CSV!$A:$A,CSV!I:I,""),
_xlpm.MacVal,_xlfn.XLOOKUP($A47,Output_Mac!$A:$A,Output_Mac!J:J,""),
_xlpm.MyAuditVal,_xlfn.XLOOKUP($A47,My_Audit!$A:$A,My_Audit!I:I,""),
_xlfn.IFS(_xlpm.MyAuditVal&lt;&gt;"",UPPER(_xlpm.MyAuditVal),_xlpm.MacVal&lt;&gt;"",_xlpm.MacVal,_xlpm.CSVVal&lt;&gt;"",_xlpm.CSVVal
)),"")</f>
        <v/>
      </c>
      <c r="K47" s="40" t="str" cm="1">
        <f t="array" ref="K47">IFERROR(_xlfn.LET(
_xlpm.CSVVal,_xlfn.XLOOKUP($A47,CSV!$A:$A,CSV!K:K,""),
_xlpm.MacVal,_xlfn.XLOOKUP($A47,Output_Mac!$A:$A,Output_Mac!K:K,""),
_xlpm.MyAuditVal,_xlfn.XLOOKUP($A47,My_Audit!$A:$A,My_Audit!J:J,""),
_xlfn.IFS(_xlpm.MyAuditVal&lt;&gt;"",UPPER(_xlpm.MyAuditVal),_xlpm.MacVal&lt;&gt;"",_xlpm.MacVal,_xlpm.CSVVal&lt;&gt;"",_xlpm.CSVVal
)),"")</f>
        <v/>
      </c>
      <c r="L47" s="40" t="str" cm="1">
        <f t="array" ref="L47">IFERROR(_xlfn.LET(
_xlpm.CSVVal,_xlfn.XLOOKUP($A47,CSV!$A:$A,CSV!P:P,""),
_xlpm.MacVal,_xlfn.XLOOKUP($A47,Output_Mac!$A:$A,Output_Mac!L:L,""),
_xlpm.MyAuditVal,_xlfn.XLOOKUP($A47,My_Audit!$A:$A,My_Audit!K:K,""),
_xlfn.IFS(_xlpm.MyAuditVal&lt;&gt;"",UPPER(_xlpm.MyAuditVal),_xlpm.MacVal&lt;&gt;"",_xlpm.MacVal,_xlpm.CSVVal&lt;&gt;"",_xlpm.CSVVal
)),"")</f>
        <v/>
      </c>
      <c r="M47" s="40" t="str" cm="1">
        <f t="array" ref="M47">IFERROR(_xlfn.LET(
_xlpm.CSVVal,_xlfn.XLOOKUP($A47,CSV!$A:$A,CSV!Q:Q,""),
_xlpm.MacVal,_xlfn.XLOOKUP($A47,Output_Mac!$A:$A,Output_Mac!M:M,""),
_xlpm.MyAuditVal,_xlfn.XLOOKUP($A47,My_Audit!$A:$A,My_Audit!L:L,""),
_xlfn.IFS(_xlpm.MyAuditVal&lt;&gt;"",UPPER(_xlpm.MyAuditVal),_xlpm.MacVal&lt;&gt;"",_xlpm.MacVal,_xlpm.CSVVal&lt;&gt;"",_xlpm.CSVVal
)),"")</f>
        <v/>
      </c>
      <c r="N47" s="40"/>
      <c r="O47" s="40" t="str">
        <f>_xlfn.LET(
    _xlpm.CSVVal, _xlfn.XLOOKUP($A47, CSV!$A:$A, CSV!AA:AA, ""),
    _xlpm.MacVal, _xlfn.XLOOKUP($A47, Output_Mac!$A:$A, Output_Mac!S:S, ""),
    _xlpm.MyAuditVal, _xlfn.XLOOKUP($A47, My_Audit!$A:$A, My_Audit!P:P, ""),
    _xlfn.TEXTJOIN(", ", TRUE, _xlpm.MyAuditVal, _xlpm.MacVal, _xlpm.CSVVal)
)</f>
        <v/>
      </c>
      <c r="P47" s="40" t="str" cm="1">
        <f t="array" ref="P47">IFERROR(_xlfn.LET(
_xlpm.CSVVal,_xlfn.XLOOKUP($A47,CSV!$A:$A,CSV!AB:AB,""),
_xlpm.MacVal,_xlfn.XLOOKUP($A47,Output_Mac!$A:$A,Output_Mac!T:T,""),
_xlpm.MyAuditVal,_xlfn.XLOOKUP($A47,My_Audit!$A:$A,My_Audit!Q:Q,""),
_xlfn.IFS(_xlpm.MyAuditVal&lt;&gt;"",UPPER(_xlpm.MyAuditVal),_xlpm.MacVal&lt;&gt;"",_xlpm.MacVal,_xlpm.CSVVal&lt;&gt;"",_xlpm.CSVVal
)),"No")</f>
        <v>No</v>
      </c>
      <c r="Q47" s="40" t="str" cm="1">
        <f t="array" ref="Q47">IFERROR(_xlfn.LET(
_xlpm.CSVVal,_xlfn.XLOOKUP($A47,CSV!$A:$A,CSV!AC:AC,""),
_xlpm.MacVal,_xlfn.XLOOKUP($A47,Output_Mac!$A:$A,Output_Mac!U:U,""),
_xlpm.MyAuditVal,_xlfn.XLOOKUP($A47,My_Audit!$A:$A,My_Audit!R:R,""),
_xlfn.IFS(_xlpm.MyAuditVal&lt;&gt;"",UPPER(_xlpm.MyAuditVal),_xlpm.MacVal&lt;&gt;"",_xlpm.MacVal,_xlpm.CSVVal&lt;&gt;"",_xlpm.CSVVal
)),"")</f>
        <v/>
      </c>
      <c r="R47" s="40"/>
      <c r="S47" s="40"/>
      <c r="T47" s="40"/>
      <c r="U47" s="40"/>
      <c r="V47" s="40"/>
      <c r="W47" s="40"/>
      <c r="X47" s="41" t="str">
        <f>_xlfn.LET(
    _xlpm.MacVal, _xlfn.XLOOKUP($A47, Output_Mac!$A:$A, Output_Mac!AB:AB, ""),
    _xlpm.MyAuditVal, _xlfn.XLOOKUP($A47, My_Audit!$A:$A, My_Audit!N:N, ""),
    _xlfn.TEXTJOIN(", ", TRUE, _xlpm.MyAuditVal, _xlpm.MacVal)
)</f>
        <v/>
      </c>
    </row>
    <row r="48" spans="1:24">
      <c r="A48" s="40" t="str">
        <f>_xlfn.TEXTJOIN("",TRUE,Input!$B$2,ROW(My_Audit!A47))</f>
        <v>X47</v>
      </c>
      <c r="B48" s="40" t="str">
        <f>_xlfn.TEXTJOIN("-",TRUE,"ITD",Input!$A$2,A48)</f>
        <v>ITD-X47</v>
      </c>
      <c r="C48" s="40" t="str" cm="1">
        <f t="array" ref="C48">IFERROR(_xlfn.LET(
_xlpm.CSVVal,_xlfn.XLOOKUP($A48,CSV!$A:$A,CSV!B:B,""),
_xlpm.MacVal,_xlfn.XLOOKUP($A48,Output_Mac!$A:$A,Output_Mac!B:B,""),
_xlpm.MyAuditVal,_xlfn.XLOOKUP($A48,My_Audit!$A:$A,My_Audit!B:B,""),
_xlfn.IFS(_xlpm.MyAuditVal&lt;&gt;"",UPPER(_xlpm.MyAuditVal),_xlpm.MacVal&lt;&gt;"",_xlpm.MacVal,_xlpm.CSVVal&lt;&gt;"",_xlpm.CSVVal
)),"")</f>
        <v/>
      </c>
      <c r="D48" s="40" t="str" cm="1">
        <f t="array" ref="D48">IFERROR(_xlfn.LET(
_xlpm.CSVVal,_xlfn.XLOOKUP($A48,CSV!$A:$A,CSV!D:D,""),
_xlpm.MacVal,_xlfn.XLOOKUP($A48,Output_Mac!$A:$A,Output_Mac!C:C,""),
_xlpm.MyAuditVal,_xlfn.XLOOKUP($A48,My_Audit!$A:$A,My_Audit!C:C,""),
_xlfn.IFS(_xlpm.MyAuditVal&lt;&gt;"",_xlpm.MyAuditVal,_xlpm.MacVal&lt;&gt;"",_xlpm.MacVal,_xlpm.CSVVal&lt;&gt;"",_xlpm.CSVVal
)),"")</f>
        <v/>
      </c>
      <c r="E48" s="40">
        <f>_xlfn.XLOOKUP(A48,My_Audit!A:A,My_Audit!D:D,"")</f>
        <v>0</v>
      </c>
      <c r="F48" s="40" t="str" cm="1">
        <f t="array" ref="F48">IFERROR(_xlfn.LET(
_xlpm.CSVVal,_xlfn.XLOOKUP($A48,CSV!$A:$A,CSV!F:F,""),
_xlpm.MacVal,_xlfn.XLOOKUP($A48,Output_Mac!$A:$A,Output_Mac!E:E,""),
_xlpm.MyAuditVal,_xlfn.XLOOKUP($A48,My_Audit!$A:$A,My_Audit!E:E,""),
_xlfn.IFS(_xlpm.MyAuditVal&lt;&gt;"",_xlpm.MyAuditVal,_xlpm.MacVal&lt;&gt;"",_xlpm.MacVal,_xlpm.CSVVal&lt;&gt;"",_xlpm.CSVVal
)),"")</f>
        <v/>
      </c>
      <c r="G48" s="40" t="str" cm="1">
        <f t="array" ref="G48">IFERROR(_xlfn.LET(
_xlpm.CSVVal,_xlfn.XLOOKUP($A48,CSV!$A:$A,CSV!G:G,""),
_xlpm.MacVal,_xlfn.XLOOKUP($A48,Output_Mac!$A:$A,Output_Mac!F:F,""),
_xlpm.MyAuditVal,_xlfn.XLOOKUP($A48,My_Audit!$A:$A,My_Audit!F:F,""),
_xlfn.IFS(_xlpm.MyAuditVal&lt;&gt;"",_xlpm.MyAuditVal,_xlpm.MacVal&lt;&gt;"",_xlpm.MacVal,_xlpm.CSVVal&lt;&gt;"",PROPER(_xlpm.CSVVal)
)),"")</f>
        <v/>
      </c>
      <c r="H48" s="40" t="str" cm="1">
        <f t="array" ref="H48">IFERROR(_xlfn.LET(
_xlpm.CSVVal,_xlfn.XLOOKUP($A48,CSV!$A:$A,CSV!H:H,""),
_xlpm.MacVal,_xlfn.XLOOKUP($A48,Output_Mac!$A:$A,Output_Mac!H:H,""),
_xlpm.MyAuditVal,_xlfn.XLOOKUP($A48,My_Audit!$A:$A,My_Audit!G:G,""),
_xlfn.IFS(_xlpm.MyAuditVal&lt;&gt;"",_xlpm.MyAuditVal,_xlpm.MacVal&lt;&gt;"",_xlpm.MacVal,_xlpm.CSVVal&lt;&gt;"",_xlpm.CSVVal
)),"")</f>
        <v/>
      </c>
      <c r="I48" s="40" t="str">
        <f>_xlfn.XLOOKUP(A48,Output_Mac!A:A,Output_Mac!I:I,"")</f>
        <v/>
      </c>
      <c r="J48" s="40" t="str" cm="1">
        <f t="array" ref="J48">IFERROR(_xlfn.LET(
_xlpm.CSVVal,_xlfn.XLOOKUP($A48,CSV!$A:$A,CSV!I:I,""),
_xlpm.MacVal,_xlfn.XLOOKUP($A48,Output_Mac!$A:$A,Output_Mac!J:J,""),
_xlpm.MyAuditVal,_xlfn.XLOOKUP($A48,My_Audit!$A:$A,My_Audit!I:I,""),
_xlfn.IFS(_xlpm.MyAuditVal&lt;&gt;"",UPPER(_xlpm.MyAuditVal),_xlpm.MacVal&lt;&gt;"",_xlpm.MacVal,_xlpm.CSVVal&lt;&gt;"",_xlpm.CSVVal
)),"")</f>
        <v/>
      </c>
      <c r="K48" s="40" t="str" cm="1">
        <f t="array" ref="K48">IFERROR(_xlfn.LET(
_xlpm.CSVVal,_xlfn.XLOOKUP($A48,CSV!$A:$A,CSV!K:K,""),
_xlpm.MacVal,_xlfn.XLOOKUP($A48,Output_Mac!$A:$A,Output_Mac!K:K,""),
_xlpm.MyAuditVal,_xlfn.XLOOKUP($A48,My_Audit!$A:$A,My_Audit!J:J,""),
_xlfn.IFS(_xlpm.MyAuditVal&lt;&gt;"",UPPER(_xlpm.MyAuditVal),_xlpm.MacVal&lt;&gt;"",_xlpm.MacVal,_xlpm.CSVVal&lt;&gt;"",_xlpm.CSVVal
)),"")</f>
        <v/>
      </c>
      <c r="L48" s="40" t="str" cm="1">
        <f t="array" ref="L48">IFERROR(_xlfn.LET(
_xlpm.CSVVal,_xlfn.XLOOKUP($A48,CSV!$A:$A,CSV!P:P,""),
_xlpm.MacVal,_xlfn.XLOOKUP($A48,Output_Mac!$A:$A,Output_Mac!L:L,""),
_xlpm.MyAuditVal,_xlfn.XLOOKUP($A48,My_Audit!$A:$A,My_Audit!K:K,""),
_xlfn.IFS(_xlpm.MyAuditVal&lt;&gt;"",UPPER(_xlpm.MyAuditVal),_xlpm.MacVal&lt;&gt;"",_xlpm.MacVal,_xlpm.CSVVal&lt;&gt;"",_xlpm.CSVVal
)),"")</f>
        <v/>
      </c>
      <c r="M48" s="40" t="str" cm="1">
        <f t="array" ref="M48">IFERROR(_xlfn.LET(
_xlpm.CSVVal,_xlfn.XLOOKUP($A48,CSV!$A:$A,CSV!Q:Q,""),
_xlpm.MacVal,_xlfn.XLOOKUP($A48,Output_Mac!$A:$A,Output_Mac!M:M,""),
_xlpm.MyAuditVal,_xlfn.XLOOKUP($A48,My_Audit!$A:$A,My_Audit!L:L,""),
_xlfn.IFS(_xlpm.MyAuditVal&lt;&gt;"",UPPER(_xlpm.MyAuditVal),_xlpm.MacVal&lt;&gt;"",_xlpm.MacVal,_xlpm.CSVVal&lt;&gt;"",_xlpm.CSVVal
)),"")</f>
        <v/>
      </c>
      <c r="N48" s="40"/>
      <c r="O48" s="40" t="str">
        <f>_xlfn.LET(
    _xlpm.CSVVal, _xlfn.XLOOKUP($A48, CSV!$A:$A, CSV!AA:AA, ""),
    _xlpm.MacVal, _xlfn.XLOOKUP($A48, Output_Mac!$A:$A, Output_Mac!S:S, ""),
    _xlpm.MyAuditVal, _xlfn.XLOOKUP($A48, My_Audit!$A:$A, My_Audit!P:P, ""),
    _xlfn.TEXTJOIN(", ", TRUE, _xlpm.MyAuditVal, _xlpm.MacVal, _xlpm.CSVVal)
)</f>
        <v/>
      </c>
      <c r="P48" s="40" t="str" cm="1">
        <f t="array" ref="P48">IFERROR(_xlfn.LET(
_xlpm.CSVVal,_xlfn.XLOOKUP($A48,CSV!$A:$A,CSV!AB:AB,""),
_xlpm.MacVal,_xlfn.XLOOKUP($A48,Output_Mac!$A:$A,Output_Mac!T:T,""),
_xlpm.MyAuditVal,_xlfn.XLOOKUP($A48,My_Audit!$A:$A,My_Audit!Q:Q,""),
_xlfn.IFS(_xlpm.MyAuditVal&lt;&gt;"",UPPER(_xlpm.MyAuditVal),_xlpm.MacVal&lt;&gt;"",_xlpm.MacVal,_xlpm.CSVVal&lt;&gt;"",_xlpm.CSVVal
)),"No")</f>
        <v>No</v>
      </c>
      <c r="Q48" s="40" t="str" cm="1">
        <f t="array" ref="Q48">IFERROR(_xlfn.LET(
_xlpm.CSVVal,_xlfn.XLOOKUP($A48,CSV!$A:$A,CSV!AC:AC,""),
_xlpm.MacVal,_xlfn.XLOOKUP($A48,Output_Mac!$A:$A,Output_Mac!U:U,""),
_xlpm.MyAuditVal,_xlfn.XLOOKUP($A48,My_Audit!$A:$A,My_Audit!R:R,""),
_xlfn.IFS(_xlpm.MyAuditVal&lt;&gt;"",UPPER(_xlpm.MyAuditVal),_xlpm.MacVal&lt;&gt;"",_xlpm.MacVal,_xlpm.CSVVal&lt;&gt;"",_xlpm.CSVVal
)),"")</f>
        <v/>
      </c>
      <c r="R48" s="40"/>
      <c r="S48" s="40"/>
      <c r="T48" s="40"/>
      <c r="U48" s="40"/>
      <c r="V48" s="40"/>
      <c r="W48" s="40"/>
      <c r="X48" s="41" t="str">
        <f>_xlfn.LET(
    _xlpm.MacVal, _xlfn.XLOOKUP($A48, Output_Mac!$A:$A, Output_Mac!AB:AB, ""),
    _xlpm.MyAuditVal, _xlfn.XLOOKUP($A48, My_Audit!$A:$A, My_Audit!N:N, ""),
    _xlfn.TEXTJOIN(", ", TRUE, _xlpm.MyAuditVal, _xlpm.MacVal)
)</f>
        <v/>
      </c>
    </row>
    <row r="49" spans="1:24">
      <c r="A49" s="40" t="str">
        <f>_xlfn.TEXTJOIN("",TRUE,Input!$B$2,ROW(My_Audit!A48))</f>
        <v>X48</v>
      </c>
      <c r="B49" s="40" t="str">
        <f>_xlfn.TEXTJOIN("-",TRUE,"ITD",Input!$A$2,A49)</f>
        <v>ITD-X48</v>
      </c>
      <c r="C49" s="40" t="str" cm="1">
        <f t="array" ref="C49">IFERROR(_xlfn.LET(
_xlpm.CSVVal,_xlfn.XLOOKUP($A49,CSV!$A:$A,CSV!B:B,""),
_xlpm.MacVal,_xlfn.XLOOKUP($A49,Output_Mac!$A:$A,Output_Mac!B:B,""),
_xlpm.MyAuditVal,_xlfn.XLOOKUP($A49,My_Audit!$A:$A,My_Audit!B:B,""),
_xlfn.IFS(_xlpm.MyAuditVal&lt;&gt;"",UPPER(_xlpm.MyAuditVal),_xlpm.MacVal&lt;&gt;"",_xlpm.MacVal,_xlpm.CSVVal&lt;&gt;"",_xlpm.CSVVal
)),"")</f>
        <v/>
      </c>
      <c r="D49" s="40" t="str" cm="1">
        <f t="array" ref="D49">IFERROR(_xlfn.LET(
_xlpm.CSVVal,_xlfn.XLOOKUP($A49,CSV!$A:$A,CSV!D:D,""),
_xlpm.MacVal,_xlfn.XLOOKUP($A49,Output_Mac!$A:$A,Output_Mac!C:C,""),
_xlpm.MyAuditVal,_xlfn.XLOOKUP($A49,My_Audit!$A:$A,My_Audit!C:C,""),
_xlfn.IFS(_xlpm.MyAuditVal&lt;&gt;"",_xlpm.MyAuditVal,_xlpm.MacVal&lt;&gt;"",_xlpm.MacVal,_xlpm.CSVVal&lt;&gt;"",_xlpm.CSVVal
)),"")</f>
        <v/>
      </c>
      <c r="E49" s="40">
        <f>_xlfn.XLOOKUP(A49,My_Audit!A:A,My_Audit!D:D,"")</f>
        <v>0</v>
      </c>
      <c r="F49" s="40" t="str" cm="1">
        <f t="array" ref="F49">IFERROR(_xlfn.LET(
_xlpm.CSVVal,_xlfn.XLOOKUP($A49,CSV!$A:$A,CSV!F:F,""),
_xlpm.MacVal,_xlfn.XLOOKUP($A49,Output_Mac!$A:$A,Output_Mac!E:E,""),
_xlpm.MyAuditVal,_xlfn.XLOOKUP($A49,My_Audit!$A:$A,My_Audit!E:E,""),
_xlfn.IFS(_xlpm.MyAuditVal&lt;&gt;"",_xlpm.MyAuditVal,_xlpm.MacVal&lt;&gt;"",_xlpm.MacVal,_xlpm.CSVVal&lt;&gt;"",_xlpm.CSVVal
)),"")</f>
        <v/>
      </c>
      <c r="G49" s="40" t="str" cm="1">
        <f t="array" ref="G49">IFERROR(_xlfn.LET(
_xlpm.CSVVal,_xlfn.XLOOKUP($A49,CSV!$A:$A,CSV!G:G,""),
_xlpm.MacVal,_xlfn.XLOOKUP($A49,Output_Mac!$A:$A,Output_Mac!F:F,""),
_xlpm.MyAuditVal,_xlfn.XLOOKUP($A49,My_Audit!$A:$A,My_Audit!F:F,""),
_xlfn.IFS(_xlpm.MyAuditVal&lt;&gt;"",_xlpm.MyAuditVal,_xlpm.MacVal&lt;&gt;"",_xlpm.MacVal,_xlpm.CSVVal&lt;&gt;"",PROPER(_xlpm.CSVVal)
)),"")</f>
        <v/>
      </c>
      <c r="H49" s="40" t="str" cm="1">
        <f t="array" ref="H49">IFERROR(_xlfn.LET(
_xlpm.CSVVal,_xlfn.XLOOKUP($A49,CSV!$A:$A,CSV!H:H,""),
_xlpm.MacVal,_xlfn.XLOOKUP($A49,Output_Mac!$A:$A,Output_Mac!H:H,""),
_xlpm.MyAuditVal,_xlfn.XLOOKUP($A49,My_Audit!$A:$A,My_Audit!G:G,""),
_xlfn.IFS(_xlpm.MyAuditVal&lt;&gt;"",_xlpm.MyAuditVal,_xlpm.MacVal&lt;&gt;"",_xlpm.MacVal,_xlpm.CSVVal&lt;&gt;"",_xlpm.CSVVal
)),"")</f>
        <v/>
      </c>
      <c r="I49" s="40" t="str">
        <f>_xlfn.XLOOKUP(A49,Output_Mac!A:A,Output_Mac!I:I,"")</f>
        <v/>
      </c>
      <c r="J49" s="40" t="str" cm="1">
        <f t="array" ref="J49">IFERROR(_xlfn.LET(
_xlpm.CSVVal,_xlfn.XLOOKUP($A49,CSV!$A:$A,CSV!I:I,""),
_xlpm.MacVal,_xlfn.XLOOKUP($A49,Output_Mac!$A:$A,Output_Mac!J:J,""),
_xlpm.MyAuditVal,_xlfn.XLOOKUP($A49,My_Audit!$A:$A,My_Audit!I:I,""),
_xlfn.IFS(_xlpm.MyAuditVal&lt;&gt;"",UPPER(_xlpm.MyAuditVal),_xlpm.MacVal&lt;&gt;"",_xlpm.MacVal,_xlpm.CSVVal&lt;&gt;"",_xlpm.CSVVal
)),"")</f>
        <v/>
      </c>
      <c r="K49" s="40" t="str" cm="1">
        <f t="array" ref="K49">IFERROR(_xlfn.LET(
_xlpm.CSVVal,_xlfn.XLOOKUP($A49,CSV!$A:$A,CSV!K:K,""),
_xlpm.MacVal,_xlfn.XLOOKUP($A49,Output_Mac!$A:$A,Output_Mac!K:K,""),
_xlpm.MyAuditVal,_xlfn.XLOOKUP($A49,My_Audit!$A:$A,My_Audit!J:J,""),
_xlfn.IFS(_xlpm.MyAuditVal&lt;&gt;"",UPPER(_xlpm.MyAuditVal),_xlpm.MacVal&lt;&gt;"",_xlpm.MacVal,_xlpm.CSVVal&lt;&gt;"",_xlpm.CSVVal
)),"")</f>
        <v/>
      </c>
      <c r="L49" s="40" t="str" cm="1">
        <f t="array" ref="L49">IFERROR(_xlfn.LET(
_xlpm.CSVVal,_xlfn.XLOOKUP($A49,CSV!$A:$A,CSV!P:P,""),
_xlpm.MacVal,_xlfn.XLOOKUP($A49,Output_Mac!$A:$A,Output_Mac!L:L,""),
_xlpm.MyAuditVal,_xlfn.XLOOKUP($A49,My_Audit!$A:$A,My_Audit!K:K,""),
_xlfn.IFS(_xlpm.MyAuditVal&lt;&gt;"",UPPER(_xlpm.MyAuditVal),_xlpm.MacVal&lt;&gt;"",_xlpm.MacVal,_xlpm.CSVVal&lt;&gt;"",_xlpm.CSVVal
)),"")</f>
        <v/>
      </c>
      <c r="M49" s="40" t="str" cm="1">
        <f t="array" ref="M49">IFERROR(_xlfn.LET(
_xlpm.CSVVal,_xlfn.XLOOKUP($A49,CSV!$A:$A,CSV!Q:Q,""),
_xlpm.MacVal,_xlfn.XLOOKUP($A49,Output_Mac!$A:$A,Output_Mac!M:M,""),
_xlpm.MyAuditVal,_xlfn.XLOOKUP($A49,My_Audit!$A:$A,My_Audit!L:L,""),
_xlfn.IFS(_xlpm.MyAuditVal&lt;&gt;"",UPPER(_xlpm.MyAuditVal),_xlpm.MacVal&lt;&gt;"",_xlpm.MacVal,_xlpm.CSVVal&lt;&gt;"",_xlpm.CSVVal
)),"")</f>
        <v/>
      </c>
      <c r="N49" s="40"/>
      <c r="O49" s="40" t="str">
        <f>_xlfn.LET(
    _xlpm.CSVVal, _xlfn.XLOOKUP($A49, CSV!$A:$A, CSV!AA:AA, ""),
    _xlpm.MacVal, _xlfn.XLOOKUP($A49, Output_Mac!$A:$A, Output_Mac!S:S, ""),
    _xlpm.MyAuditVal, _xlfn.XLOOKUP($A49, My_Audit!$A:$A, My_Audit!P:P, ""),
    _xlfn.TEXTJOIN(", ", TRUE, _xlpm.MyAuditVal, _xlpm.MacVal, _xlpm.CSVVal)
)</f>
        <v/>
      </c>
      <c r="P49" s="40" t="str" cm="1">
        <f t="array" ref="P49">IFERROR(_xlfn.LET(
_xlpm.CSVVal,_xlfn.XLOOKUP($A49,CSV!$A:$A,CSV!AB:AB,""),
_xlpm.MacVal,_xlfn.XLOOKUP($A49,Output_Mac!$A:$A,Output_Mac!T:T,""),
_xlpm.MyAuditVal,_xlfn.XLOOKUP($A49,My_Audit!$A:$A,My_Audit!Q:Q,""),
_xlfn.IFS(_xlpm.MyAuditVal&lt;&gt;"",UPPER(_xlpm.MyAuditVal),_xlpm.MacVal&lt;&gt;"",_xlpm.MacVal,_xlpm.CSVVal&lt;&gt;"",_xlpm.CSVVal
)),"No")</f>
        <v>No</v>
      </c>
      <c r="Q49" s="40" t="str" cm="1">
        <f t="array" ref="Q49">IFERROR(_xlfn.LET(
_xlpm.CSVVal,_xlfn.XLOOKUP($A49,CSV!$A:$A,CSV!AC:AC,""),
_xlpm.MacVal,_xlfn.XLOOKUP($A49,Output_Mac!$A:$A,Output_Mac!U:U,""),
_xlpm.MyAuditVal,_xlfn.XLOOKUP($A49,My_Audit!$A:$A,My_Audit!R:R,""),
_xlfn.IFS(_xlpm.MyAuditVal&lt;&gt;"",UPPER(_xlpm.MyAuditVal),_xlpm.MacVal&lt;&gt;"",_xlpm.MacVal,_xlpm.CSVVal&lt;&gt;"",_xlpm.CSVVal
)),"")</f>
        <v/>
      </c>
      <c r="R49" s="40"/>
      <c r="S49" s="40"/>
      <c r="T49" s="40"/>
      <c r="U49" s="40"/>
      <c r="V49" s="40"/>
      <c r="W49" s="40"/>
      <c r="X49" s="41" t="str">
        <f>_xlfn.LET(
    _xlpm.MacVal, _xlfn.XLOOKUP($A49, Output_Mac!$A:$A, Output_Mac!AB:AB, ""),
    _xlpm.MyAuditVal, _xlfn.XLOOKUP($A49, My_Audit!$A:$A, My_Audit!N:N, ""),
    _xlfn.TEXTJOIN(", ", TRUE, _xlpm.MyAuditVal, _xlpm.MacVal)
)</f>
        <v/>
      </c>
    </row>
    <row r="50" spans="1:24">
      <c r="A50" s="40" t="str">
        <f>_xlfn.TEXTJOIN("",TRUE,Input!$B$2,ROW(My_Audit!A49))</f>
        <v>X49</v>
      </c>
      <c r="B50" s="40" t="str">
        <f>_xlfn.TEXTJOIN("-",TRUE,"ITD",Input!$A$2,A50)</f>
        <v>ITD-X49</v>
      </c>
      <c r="C50" s="40" t="str" cm="1">
        <f t="array" ref="C50">IFERROR(_xlfn.LET(
_xlpm.CSVVal,_xlfn.XLOOKUP($A50,CSV!$A:$A,CSV!B:B,""),
_xlpm.MacVal,_xlfn.XLOOKUP($A50,Output_Mac!$A:$A,Output_Mac!B:B,""),
_xlpm.MyAuditVal,_xlfn.XLOOKUP($A50,My_Audit!$A:$A,My_Audit!B:B,""),
_xlfn.IFS(_xlpm.MyAuditVal&lt;&gt;"",UPPER(_xlpm.MyAuditVal),_xlpm.MacVal&lt;&gt;"",_xlpm.MacVal,_xlpm.CSVVal&lt;&gt;"",_xlpm.CSVVal
)),"")</f>
        <v/>
      </c>
      <c r="D50" s="40" t="str" cm="1">
        <f t="array" ref="D50">IFERROR(_xlfn.LET(
_xlpm.CSVVal,_xlfn.XLOOKUP($A50,CSV!$A:$A,CSV!D:D,""),
_xlpm.MacVal,_xlfn.XLOOKUP($A50,Output_Mac!$A:$A,Output_Mac!C:C,""),
_xlpm.MyAuditVal,_xlfn.XLOOKUP($A50,My_Audit!$A:$A,My_Audit!C:C,""),
_xlfn.IFS(_xlpm.MyAuditVal&lt;&gt;"",_xlpm.MyAuditVal,_xlpm.MacVal&lt;&gt;"",_xlpm.MacVal,_xlpm.CSVVal&lt;&gt;"",_xlpm.CSVVal
)),"")</f>
        <v/>
      </c>
      <c r="E50" s="40">
        <f>_xlfn.XLOOKUP(A50,My_Audit!A:A,My_Audit!D:D,"")</f>
        <v>0</v>
      </c>
      <c r="F50" s="40" t="str" cm="1">
        <f t="array" ref="F50">IFERROR(_xlfn.LET(
_xlpm.CSVVal,_xlfn.XLOOKUP($A50,CSV!$A:$A,CSV!F:F,""),
_xlpm.MacVal,_xlfn.XLOOKUP($A50,Output_Mac!$A:$A,Output_Mac!E:E,""),
_xlpm.MyAuditVal,_xlfn.XLOOKUP($A50,My_Audit!$A:$A,My_Audit!E:E,""),
_xlfn.IFS(_xlpm.MyAuditVal&lt;&gt;"",_xlpm.MyAuditVal,_xlpm.MacVal&lt;&gt;"",_xlpm.MacVal,_xlpm.CSVVal&lt;&gt;"",_xlpm.CSVVal
)),"")</f>
        <v/>
      </c>
      <c r="G50" s="40" t="str" cm="1">
        <f t="array" ref="G50">IFERROR(_xlfn.LET(
_xlpm.CSVVal,_xlfn.XLOOKUP($A50,CSV!$A:$A,CSV!G:G,""),
_xlpm.MacVal,_xlfn.XLOOKUP($A50,Output_Mac!$A:$A,Output_Mac!F:F,""),
_xlpm.MyAuditVal,_xlfn.XLOOKUP($A50,My_Audit!$A:$A,My_Audit!F:F,""),
_xlfn.IFS(_xlpm.MyAuditVal&lt;&gt;"",_xlpm.MyAuditVal,_xlpm.MacVal&lt;&gt;"",_xlpm.MacVal,_xlpm.CSVVal&lt;&gt;"",PROPER(_xlpm.CSVVal)
)),"")</f>
        <v/>
      </c>
      <c r="H50" s="40" t="str" cm="1">
        <f t="array" ref="H50">IFERROR(_xlfn.LET(
_xlpm.CSVVal,_xlfn.XLOOKUP($A50,CSV!$A:$A,CSV!H:H,""),
_xlpm.MacVal,_xlfn.XLOOKUP($A50,Output_Mac!$A:$A,Output_Mac!H:H,""),
_xlpm.MyAuditVal,_xlfn.XLOOKUP($A50,My_Audit!$A:$A,My_Audit!G:G,""),
_xlfn.IFS(_xlpm.MyAuditVal&lt;&gt;"",_xlpm.MyAuditVal,_xlpm.MacVal&lt;&gt;"",_xlpm.MacVal,_xlpm.CSVVal&lt;&gt;"",_xlpm.CSVVal
)),"")</f>
        <v/>
      </c>
      <c r="I50" s="40" t="str">
        <f>_xlfn.XLOOKUP(A50,Output_Mac!A:A,Output_Mac!I:I,"")</f>
        <v/>
      </c>
      <c r="J50" s="40" t="str" cm="1">
        <f t="array" ref="J50">IFERROR(_xlfn.LET(
_xlpm.CSVVal,_xlfn.XLOOKUP($A50,CSV!$A:$A,CSV!I:I,""),
_xlpm.MacVal,_xlfn.XLOOKUP($A50,Output_Mac!$A:$A,Output_Mac!J:J,""),
_xlpm.MyAuditVal,_xlfn.XLOOKUP($A50,My_Audit!$A:$A,My_Audit!I:I,""),
_xlfn.IFS(_xlpm.MyAuditVal&lt;&gt;"",UPPER(_xlpm.MyAuditVal),_xlpm.MacVal&lt;&gt;"",_xlpm.MacVal,_xlpm.CSVVal&lt;&gt;"",_xlpm.CSVVal
)),"")</f>
        <v/>
      </c>
      <c r="K50" s="40" t="str" cm="1">
        <f t="array" ref="K50">IFERROR(_xlfn.LET(
_xlpm.CSVVal,_xlfn.XLOOKUP($A50,CSV!$A:$A,CSV!K:K,""),
_xlpm.MacVal,_xlfn.XLOOKUP($A50,Output_Mac!$A:$A,Output_Mac!K:K,""),
_xlpm.MyAuditVal,_xlfn.XLOOKUP($A50,My_Audit!$A:$A,My_Audit!J:J,""),
_xlfn.IFS(_xlpm.MyAuditVal&lt;&gt;"",UPPER(_xlpm.MyAuditVal),_xlpm.MacVal&lt;&gt;"",_xlpm.MacVal,_xlpm.CSVVal&lt;&gt;"",_xlpm.CSVVal
)),"")</f>
        <v/>
      </c>
      <c r="L50" s="40" t="str" cm="1">
        <f t="array" ref="L50">IFERROR(_xlfn.LET(
_xlpm.CSVVal,_xlfn.XLOOKUP($A50,CSV!$A:$A,CSV!P:P,""),
_xlpm.MacVal,_xlfn.XLOOKUP($A50,Output_Mac!$A:$A,Output_Mac!L:L,""),
_xlpm.MyAuditVal,_xlfn.XLOOKUP($A50,My_Audit!$A:$A,My_Audit!K:K,""),
_xlfn.IFS(_xlpm.MyAuditVal&lt;&gt;"",UPPER(_xlpm.MyAuditVal),_xlpm.MacVal&lt;&gt;"",_xlpm.MacVal,_xlpm.CSVVal&lt;&gt;"",_xlpm.CSVVal
)),"")</f>
        <v/>
      </c>
      <c r="M50" s="40" t="str" cm="1">
        <f t="array" ref="M50">IFERROR(_xlfn.LET(
_xlpm.CSVVal,_xlfn.XLOOKUP($A50,CSV!$A:$A,CSV!Q:Q,""),
_xlpm.MacVal,_xlfn.XLOOKUP($A50,Output_Mac!$A:$A,Output_Mac!M:M,""),
_xlpm.MyAuditVal,_xlfn.XLOOKUP($A50,My_Audit!$A:$A,My_Audit!L:L,""),
_xlfn.IFS(_xlpm.MyAuditVal&lt;&gt;"",UPPER(_xlpm.MyAuditVal),_xlpm.MacVal&lt;&gt;"",_xlpm.MacVal,_xlpm.CSVVal&lt;&gt;"",_xlpm.CSVVal
)),"")</f>
        <v/>
      </c>
      <c r="N50" s="40"/>
      <c r="O50" s="40" t="str">
        <f>_xlfn.LET(
    _xlpm.CSVVal, _xlfn.XLOOKUP($A50, CSV!$A:$A, CSV!AA:AA, ""),
    _xlpm.MacVal, _xlfn.XLOOKUP($A50, Output_Mac!$A:$A, Output_Mac!S:S, ""),
    _xlpm.MyAuditVal, _xlfn.XLOOKUP($A50, My_Audit!$A:$A, My_Audit!P:P, ""),
    _xlfn.TEXTJOIN(", ", TRUE, _xlpm.MyAuditVal, _xlpm.MacVal, _xlpm.CSVVal)
)</f>
        <v/>
      </c>
      <c r="P50" s="40" t="str" cm="1">
        <f t="array" ref="P50">IFERROR(_xlfn.LET(
_xlpm.CSVVal,_xlfn.XLOOKUP($A50,CSV!$A:$A,CSV!AB:AB,""),
_xlpm.MacVal,_xlfn.XLOOKUP($A50,Output_Mac!$A:$A,Output_Mac!T:T,""),
_xlpm.MyAuditVal,_xlfn.XLOOKUP($A50,My_Audit!$A:$A,My_Audit!Q:Q,""),
_xlfn.IFS(_xlpm.MyAuditVal&lt;&gt;"",UPPER(_xlpm.MyAuditVal),_xlpm.MacVal&lt;&gt;"",_xlpm.MacVal,_xlpm.CSVVal&lt;&gt;"",_xlpm.CSVVal
)),"No")</f>
        <v>No</v>
      </c>
      <c r="Q50" s="40" t="str" cm="1">
        <f t="array" ref="Q50">IFERROR(_xlfn.LET(
_xlpm.CSVVal,_xlfn.XLOOKUP($A50,CSV!$A:$A,CSV!AC:AC,""),
_xlpm.MacVal,_xlfn.XLOOKUP($A50,Output_Mac!$A:$A,Output_Mac!U:U,""),
_xlpm.MyAuditVal,_xlfn.XLOOKUP($A50,My_Audit!$A:$A,My_Audit!R:R,""),
_xlfn.IFS(_xlpm.MyAuditVal&lt;&gt;"",UPPER(_xlpm.MyAuditVal),_xlpm.MacVal&lt;&gt;"",_xlpm.MacVal,_xlpm.CSVVal&lt;&gt;"",_xlpm.CSVVal
)),"")</f>
        <v/>
      </c>
      <c r="R50" s="40"/>
      <c r="S50" s="40"/>
      <c r="T50" s="40"/>
      <c r="U50" s="40"/>
      <c r="V50" s="40"/>
      <c r="W50" s="40"/>
      <c r="X50" s="41" t="str">
        <f>_xlfn.LET(
    _xlpm.MacVal, _xlfn.XLOOKUP($A50, Output_Mac!$A:$A, Output_Mac!AB:AB, ""),
    _xlpm.MyAuditVal, _xlfn.XLOOKUP($A50, My_Audit!$A:$A, My_Audit!N:N, ""),
    _xlfn.TEXTJOIN(", ", TRUE, _xlpm.MyAuditVal, _xlpm.MacVal)
)</f>
        <v/>
      </c>
    </row>
    <row r="51" spans="1:24">
      <c r="A51" s="40" t="str">
        <f>_xlfn.TEXTJOIN("",TRUE,Input!$B$2,ROW(My_Audit!A50))</f>
        <v>X50</v>
      </c>
      <c r="B51" s="40" t="str">
        <f>_xlfn.TEXTJOIN("-",TRUE,"ITD",Input!$A$2,A51)</f>
        <v>ITD-X50</v>
      </c>
      <c r="C51" s="40" t="str" cm="1">
        <f t="array" ref="C51">IFERROR(_xlfn.LET(
_xlpm.CSVVal,_xlfn.XLOOKUP($A51,CSV!$A:$A,CSV!B:B,""),
_xlpm.MacVal,_xlfn.XLOOKUP($A51,Output_Mac!$A:$A,Output_Mac!B:B,""),
_xlpm.MyAuditVal,_xlfn.XLOOKUP($A51,My_Audit!$A:$A,My_Audit!B:B,""),
_xlfn.IFS(_xlpm.MyAuditVal&lt;&gt;"",UPPER(_xlpm.MyAuditVal),_xlpm.MacVal&lt;&gt;"",_xlpm.MacVal,_xlpm.CSVVal&lt;&gt;"",_xlpm.CSVVal
)),"")</f>
        <v/>
      </c>
      <c r="D51" s="40" t="str" cm="1">
        <f t="array" ref="D51">IFERROR(_xlfn.LET(
_xlpm.CSVVal,_xlfn.XLOOKUP($A51,CSV!$A:$A,CSV!D:D,""),
_xlpm.MacVal,_xlfn.XLOOKUP($A51,Output_Mac!$A:$A,Output_Mac!C:C,""),
_xlpm.MyAuditVal,_xlfn.XLOOKUP($A51,My_Audit!$A:$A,My_Audit!C:C,""),
_xlfn.IFS(_xlpm.MyAuditVal&lt;&gt;"",_xlpm.MyAuditVal,_xlpm.MacVal&lt;&gt;"",_xlpm.MacVal,_xlpm.CSVVal&lt;&gt;"",_xlpm.CSVVal
)),"")</f>
        <v/>
      </c>
      <c r="E51" s="40">
        <f>_xlfn.XLOOKUP(A51,My_Audit!A:A,My_Audit!D:D,"")</f>
        <v>0</v>
      </c>
      <c r="F51" s="40" t="str" cm="1">
        <f t="array" ref="F51">IFERROR(_xlfn.LET(
_xlpm.CSVVal,_xlfn.XLOOKUP($A51,CSV!$A:$A,CSV!F:F,""),
_xlpm.MacVal,_xlfn.XLOOKUP($A51,Output_Mac!$A:$A,Output_Mac!E:E,""),
_xlpm.MyAuditVal,_xlfn.XLOOKUP($A51,My_Audit!$A:$A,My_Audit!E:E,""),
_xlfn.IFS(_xlpm.MyAuditVal&lt;&gt;"",_xlpm.MyAuditVal,_xlpm.MacVal&lt;&gt;"",_xlpm.MacVal,_xlpm.CSVVal&lt;&gt;"",_xlpm.CSVVal
)),"")</f>
        <v/>
      </c>
      <c r="G51" s="40" t="str" cm="1">
        <f t="array" ref="G51">IFERROR(_xlfn.LET(
_xlpm.CSVVal,_xlfn.XLOOKUP($A51,CSV!$A:$A,CSV!G:G,""),
_xlpm.MacVal,_xlfn.XLOOKUP($A51,Output_Mac!$A:$A,Output_Mac!F:F,""),
_xlpm.MyAuditVal,_xlfn.XLOOKUP($A51,My_Audit!$A:$A,My_Audit!F:F,""),
_xlfn.IFS(_xlpm.MyAuditVal&lt;&gt;"",_xlpm.MyAuditVal,_xlpm.MacVal&lt;&gt;"",_xlpm.MacVal,_xlpm.CSVVal&lt;&gt;"",PROPER(_xlpm.CSVVal)
)),"")</f>
        <v/>
      </c>
      <c r="H51" s="40" t="str" cm="1">
        <f t="array" ref="H51">IFERROR(_xlfn.LET(
_xlpm.CSVVal,_xlfn.XLOOKUP($A51,CSV!$A:$A,CSV!H:H,""),
_xlpm.MacVal,_xlfn.XLOOKUP($A51,Output_Mac!$A:$A,Output_Mac!H:H,""),
_xlpm.MyAuditVal,_xlfn.XLOOKUP($A51,My_Audit!$A:$A,My_Audit!G:G,""),
_xlfn.IFS(_xlpm.MyAuditVal&lt;&gt;"",_xlpm.MyAuditVal,_xlpm.MacVal&lt;&gt;"",_xlpm.MacVal,_xlpm.CSVVal&lt;&gt;"",_xlpm.CSVVal
)),"")</f>
        <v/>
      </c>
      <c r="I51" s="40" t="str">
        <f>_xlfn.XLOOKUP(A51,Output_Mac!A:A,Output_Mac!I:I,"")</f>
        <v/>
      </c>
      <c r="J51" s="40" t="str" cm="1">
        <f t="array" ref="J51">IFERROR(_xlfn.LET(
_xlpm.CSVVal,_xlfn.XLOOKUP($A51,CSV!$A:$A,CSV!I:I,""),
_xlpm.MacVal,_xlfn.XLOOKUP($A51,Output_Mac!$A:$A,Output_Mac!J:J,""),
_xlpm.MyAuditVal,_xlfn.XLOOKUP($A51,My_Audit!$A:$A,My_Audit!I:I,""),
_xlfn.IFS(_xlpm.MyAuditVal&lt;&gt;"",UPPER(_xlpm.MyAuditVal),_xlpm.MacVal&lt;&gt;"",_xlpm.MacVal,_xlpm.CSVVal&lt;&gt;"",_xlpm.CSVVal
)),"")</f>
        <v/>
      </c>
      <c r="K51" s="40" t="str" cm="1">
        <f t="array" ref="K51">IFERROR(_xlfn.LET(
_xlpm.CSVVal,_xlfn.XLOOKUP($A51,CSV!$A:$A,CSV!K:K,""),
_xlpm.MacVal,_xlfn.XLOOKUP($A51,Output_Mac!$A:$A,Output_Mac!K:K,""),
_xlpm.MyAuditVal,_xlfn.XLOOKUP($A51,My_Audit!$A:$A,My_Audit!J:J,""),
_xlfn.IFS(_xlpm.MyAuditVal&lt;&gt;"",UPPER(_xlpm.MyAuditVal),_xlpm.MacVal&lt;&gt;"",_xlpm.MacVal,_xlpm.CSVVal&lt;&gt;"",_xlpm.CSVVal
)),"")</f>
        <v/>
      </c>
      <c r="L51" s="40" t="str" cm="1">
        <f t="array" ref="L51">IFERROR(_xlfn.LET(
_xlpm.CSVVal,_xlfn.XLOOKUP($A51,CSV!$A:$A,CSV!P:P,""),
_xlpm.MacVal,_xlfn.XLOOKUP($A51,Output_Mac!$A:$A,Output_Mac!L:L,""),
_xlpm.MyAuditVal,_xlfn.XLOOKUP($A51,My_Audit!$A:$A,My_Audit!K:K,""),
_xlfn.IFS(_xlpm.MyAuditVal&lt;&gt;"",UPPER(_xlpm.MyAuditVal),_xlpm.MacVal&lt;&gt;"",_xlpm.MacVal,_xlpm.CSVVal&lt;&gt;"",_xlpm.CSVVal
)),"")</f>
        <v/>
      </c>
      <c r="M51" s="40" t="str" cm="1">
        <f t="array" ref="M51">IFERROR(_xlfn.LET(
_xlpm.CSVVal,_xlfn.XLOOKUP($A51,CSV!$A:$A,CSV!Q:Q,""),
_xlpm.MacVal,_xlfn.XLOOKUP($A51,Output_Mac!$A:$A,Output_Mac!M:M,""),
_xlpm.MyAuditVal,_xlfn.XLOOKUP($A51,My_Audit!$A:$A,My_Audit!L:L,""),
_xlfn.IFS(_xlpm.MyAuditVal&lt;&gt;"",UPPER(_xlpm.MyAuditVal),_xlpm.MacVal&lt;&gt;"",_xlpm.MacVal,_xlpm.CSVVal&lt;&gt;"",_xlpm.CSVVal
)),"")</f>
        <v/>
      </c>
      <c r="N51" s="40"/>
      <c r="O51" s="40" t="str">
        <f>_xlfn.LET(
    _xlpm.CSVVal, _xlfn.XLOOKUP($A51, CSV!$A:$A, CSV!AA:AA, ""),
    _xlpm.MacVal, _xlfn.XLOOKUP($A51, Output_Mac!$A:$A, Output_Mac!S:S, ""),
    _xlpm.MyAuditVal, _xlfn.XLOOKUP($A51, My_Audit!$A:$A, My_Audit!P:P, ""),
    _xlfn.TEXTJOIN(", ", TRUE, _xlpm.MyAuditVal, _xlpm.MacVal, _xlpm.CSVVal)
)</f>
        <v/>
      </c>
      <c r="P51" s="40" t="str" cm="1">
        <f t="array" ref="P51">IFERROR(_xlfn.LET(
_xlpm.CSVVal,_xlfn.XLOOKUP($A51,CSV!$A:$A,CSV!AB:AB,""),
_xlpm.MacVal,_xlfn.XLOOKUP($A51,Output_Mac!$A:$A,Output_Mac!T:T,""),
_xlpm.MyAuditVal,_xlfn.XLOOKUP($A51,My_Audit!$A:$A,My_Audit!Q:Q,""),
_xlfn.IFS(_xlpm.MyAuditVal&lt;&gt;"",UPPER(_xlpm.MyAuditVal),_xlpm.MacVal&lt;&gt;"",_xlpm.MacVal,_xlpm.CSVVal&lt;&gt;"",_xlpm.CSVVal
)),"No")</f>
        <v>No</v>
      </c>
      <c r="Q51" s="40" t="str" cm="1">
        <f t="array" ref="Q51">IFERROR(_xlfn.LET(
_xlpm.CSVVal,_xlfn.XLOOKUP($A51,CSV!$A:$A,CSV!AC:AC,""),
_xlpm.MacVal,_xlfn.XLOOKUP($A51,Output_Mac!$A:$A,Output_Mac!U:U,""),
_xlpm.MyAuditVal,_xlfn.XLOOKUP($A51,My_Audit!$A:$A,My_Audit!R:R,""),
_xlfn.IFS(_xlpm.MyAuditVal&lt;&gt;"",UPPER(_xlpm.MyAuditVal),_xlpm.MacVal&lt;&gt;"",_xlpm.MacVal,_xlpm.CSVVal&lt;&gt;"",_xlpm.CSVVal
)),"")</f>
        <v/>
      </c>
      <c r="R51" s="40"/>
      <c r="S51" s="40"/>
      <c r="T51" s="40"/>
      <c r="U51" s="40"/>
      <c r="V51" s="40"/>
      <c r="W51" s="40"/>
      <c r="X51" s="41" t="str">
        <f>_xlfn.LET(
    _xlpm.MacVal, _xlfn.XLOOKUP($A51, Output_Mac!$A:$A, Output_Mac!AB:AB, ""),
    _xlpm.MyAuditVal, _xlfn.XLOOKUP($A51, My_Audit!$A:$A, My_Audit!N:N, ""),
    _xlfn.TEXTJOIN(", ", TRUE, _xlpm.MyAuditVal, _xlpm.MacVal)
)</f>
        <v/>
      </c>
    </row>
    <row r="52" spans="1:24">
      <c r="A52" s="40" t="str">
        <f>_xlfn.TEXTJOIN("",TRUE,Input!$B$2,ROW(My_Audit!A51))</f>
        <v>X51</v>
      </c>
      <c r="B52" s="40" t="str">
        <f>_xlfn.TEXTJOIN("-",TRUE,"ITD",Input!$A$2,A52)</f>
        <v>ITD-X51</v>
      </c>
      <c r="C52" s="40" t="str" cm="1">
        <f t="array" ref="C52">IFERROR(_xlfn.LET(
_xlpm.CSVVal,_xlfn.XLOOKUP($A52,CSV!$A:$A,CSV!B:B,""),
_xlpm.MacVal,_xlfn.XLOOKUP($A52,Output_Mac!$A:$A,Output_Mac!B:B,""),
_xlpm.MyAuditVal,_xlfn.XLOOKUP($A52,My_Audit!$A:$A,My_Audit!B:B,""),
_xlfn.IFS(_xlpm.MyAuditVal&lt;&gt;"",UPPER(_xlpm.MyAuditVal),_xlpm.MacVal&lt;&gt;"",_xlpm.MacVal,_xlpm.CSVVal&lt;&gt;"",_xlpm.CSVVal
)),"")</f>
        <v/>
      </c>
      <c r="D52" s="40" t="str" cm="1">
        <f t="array" ref="D52">IFERROR(_xlfn.LET(
_xlpm.CSVVal,_xlfn.XLOOKUP($A52,CSV!$A:$A,CSV!D:D,""),
_xlpm.MacVal,_xlfn.XLOOKUP($A52,Output_Mac!$A:$A,Output_Mac!C:C,""),
_xlpm.MyAuditVal,_xlfn.XLOOKUP($A52,My_Audit!$A:$A,My_Audit!C:C,""),
_xlfn.IFS(_xlpm.MyAuditVal&lt;&gt;"",_xlpm.MyAuditVal,_xlpm.MacVal&lt;&gt;"",_xlpm.MacVal,_xlpm.CSVVal&lt;&gt;"",_xlpm.CSVVal
)),"")</f>
        <v/>
      </c>
      <c r="E52" s="40">
        <f>_xlfn.XLOOKUP(A52,My_Audit!A:A,My_Audit!D:D,"")</f>
        <v>0</v>
      </c>
      <c r="F52" s="40" t="str" cm="1">
        <f t="array" ref="F52">IFERROR(_xlfn.LET(
_xlpm.CSVVal,_xlfn.XLOOKUP($A52,CSV!$A:$A,CSV!F:F,""),
_xlpm.MacVal,_xlfn.XLOOKUP($A52,Output_Mac!$A:$A,Output_Mac!E:E,""),
_xlpm.MyAuditVal,_xlfn.XLOOKUP($A52,My_Audit!$A:$A,My_Audit!E:E,""),
_xlfn.IFS(_xlpm.MyAuditVal&lt;&gt;"",_xlpm.MyAuditVal,_xlpm.MacVal&lt;&gt;"",_xlpm.MacVal,_xlpm.CSVVal&lt;&gt;"",_xlpm.CSVVal
)),"")</f>
        <v/>
      </c>
      <c r="G52" s="40" t="str" cm="1">
        <f t="array" ref="G52">IFERROR(_xlfn.LET(
_xlpm.CSVVal,_xlfn.XLOOKUP($A52,CSV!$A:$A,CSV!G:G,""),
_xlpm.MacVal,_xlfn.XLOOKUP($A52,Output_Mac!$A:$A,Output_Mac!F:F,""),
_xlpm.MyAuditVal,_xlfn.XLOOKUP($A52,My_Audit!$A:$A,My_Audit!F:F,""),
_xlfn.IFS(_xlpm.MyAuditVal&lt;&gt;"",_xlpm.MyAuditVal,_xlpm.MacVal&lt;&gt;"",_xlpm.MacVal,_xlpm.CSVVal&lt;&gt;"",PROPER(_xlpm.CSVVal)
)),"")</f>
        <v/>
      </c>
      <c r="H52" s="40" t="str" cm="1">
        <f t="array" ref="H52">IFERROR(_xlfn.LET(
_xlpm.CSVVal,_xlfn.XLOOKUP($A52,CSV!$A:$A,CSV!H:H,""),
_xlpm.MacVal,_xlfn.XLOOKUP($A52,Output_Mac!$A:$A,Output_Mac!H:H,""),
_xlpm.MyAuditVal,_xlfn.XLOOKUP($A52,My_Audit!$A:$A,My_Audit!G:G,""),
_xlfn.IFS(_xlpm.MyAuditVal&lt;&gt;"",_xlpm.MyAuditVal,_xlpm.MacVal&lt;&gt;"",_xlpm.MacVal,_xlpm.CSVVal&lt;&gt;"",_xlpm.CSVVal
)),"")</f>
        <v/>
      </c>
      <c r="I52" s="40" t="str">
        <f>_xlfn.XLOOKUP(A52,Output_Mac!A:A,Output_Mac!I:I,"")</f>
        <v/>
      </c>
      <c r="J52" s="40" t="str" cm="1">
        <f t="array" ref="J52">IFERROR(_xlfn.LET(
_xlpm.CSVVal,_xlfn.XLOOKUP($A52,CSV!$A:$A,CSV!I:I,""),
_xlpm.MacVal,_xlfn.XLOOKUP($A52,Output_Mac!$A:$A,Output_Mac!J:J,""),
_xlpm.MyAuditVal,_xlfn.XLOOKUP($A52,My_Audit!$A:$A,My_Audit!I:I,""),
_xlfn.IFS(_xlpm.MyAuditVal&lt;&gt;"",UPPER(_xlpm.MyAuditVal),_xlpm.MacVal&lt;&gt;"",_xlpm.MacVal,_xlpm.CSVVal&lt;&gt;"",_xlpm.CSVVal
)),"")</f>
        <v/>
      </c>
      <c r="K52" s="40" t="str" cm="1">
        <f t="array" ref="K52">IFERROR(_xlfn.LET(
_xlpm.CSVVal,_xlfn.XLOOKUP($A52,CSV!$A:$A,CSV!K:K,""),
_xlpm.MacVal,_xlfn.XLOOKUP($A52,Output_Mac!$A:$A,Output_Mac!K:K,""),
_xlpm.MyAuditVal,_xlfn.XLOOKUP($A52,My_Audit!$A:$A,My_Audit!J:J,""),
_xlfn.IFS(_xlpm.MyAuditVal&lt;&gt;"",UPPER(_xlpm.MyAuditVal),_xlpm.MacVal&lt;&gt;"",_xlpm.MacVal,_xlpm.CSVVal&lt;&gt;"",_xlpm.CSVVal
)),"")</f>
        <v/>
      </c>
      <c r="L52" s="40" t="str" cm="1">
        <f t="array" ref="L52">IFERROR(_xlfn.LET(
_xlpm.CSVVal,_xlfn.XLOOKUP($A52,CSV!$A:$A,CSV!P:P,""),
_xlpm.MacVal,_xlfn.XLOOKUP($A52,Output_Mac!$A:$A,Output_Mac!L:L,""),
_xlpm.MyAuditVal,_xlfn.XLOOKUP($A52,My_Audit!$A:$A,My_Audit!K:K,""),
_xlfn.IFS(_xlpm.MyAuditVal&lt;&gt;"",UPPER(_xlpm.MyAuditVal),_xlpm.MacVal&lt;&gt;"",_xlpm.MacVal,_xlpm.CSVVal&lt;&gt;"",_xlpm.CSVVal
)),"")</f>
        <v/>
      </c>
      <c r="M52" s="40" t="str" cm="1">
        <f t="array" ref="M52">IFERROR(_xlfn.LET(
_xlpm.CSVVal,_xlfn.XLOOKUP($A52,CSV!$A:$A,CSV!Q:Q,""),
_xlpm.MacVal,_xlfn.XLOOKUP($A52,Output_Mac!$A:$A,Output_Mac!M:M,""),
_xlpm.MyAuditVal,_xlfn.XLOOKUP($A52,My_Audit!$A:$A,My_Audit!L:L,""),
_xlfn.IFS(_xlpm.MyAuditVal&lt;&gt;"",UPPER(_xlpm.MyAuditVal),_xlpm.MacVal&lt;&gt;"",_xlpm.MacVal,_xlpm.CSVVal&lt;&gt;"",_xlpm.CSVVal
)),"")</f>
        <v/>
      </c>
      <c r="N52" s="40"/>
      <c r="O52" s="40" t="str">
        <f>_xlfn.LET(
    _xlpm.CSVVal, _xlfn.XLOOKUP($A52, CSV!$A:$A, CSV!AA:AA, ""),
    _xlpm.MacVal, _xlfn.XLOOKUP($A52, Output_Mac!$A:$A, Output_Mac!S:S, ""),
    _xlpm.MyAuditVal, _xlfn.XLOOKUP($A52, My_Audit!$A:$A, My_Audit!P:P, ""),
    _xlfn.TEXTJOIN(", ", TRUE, _xlpm.MyAuditVal, _xlpm.MacVal, _xlpm.CSVVal)
)</f>
        <v/>
      </c>
      <c r="P52" s="40" t="str" cm="1">
        <f t="array" ref="P52">IFERROR(_xlfn.LET(
_xlpm.CSVVal,_xlfn.XLOOKUP($A52,CSV!$A:$A,CSV!AB:AB,""),
_xlpm.MacVal,_xlfn.XLOOKUP($A52,Output_Mac!$A:$A,Output_Mac!T:T,""),
_xlpm.MyAuditVal,_xlfn.XLOOKUP($A52,My_Audit!$A:$A,My_Audit!Q:Q,""),
_xlfn.IFS(_xlpm.MyAuditVal&lt;&gt;"",UPPER(_xlpm.MyAuditVal),_xlpm.MacVal&lt;&gt;"",_xlpm.MacVal,_xlpm.CSVVal&lt;&gt;"",_xlpm.CSVVal
)),"No")</f>
        <v>No</v>
      </c>
      <c r="Q52" s="40" t="str" cm="1">
        <f t="array" ref="Q52">IFERROR(_xlfn.LET(
_xlpm.CSVVal,_xlfn.XLOOKUP($A52,CSV!$A:$A,CSV!AC:AC,""),
_xlpm.MacVal,_xlfn.XLOOKUP($A52,Output_Mac!$A:$A,Output_Mac!U:U,""),
_xlpm.MyAuditVal,_xlfn.XLOOKUP($A52,My_Audit!$A:$A,My_Audit!R:R,""),
_xlfn.IFS(_xlpm.MyAuditVal&lt;&gt;"",UPPER(_xlpm.MyAuditVal),_xlpm.MacVal&lt;&gt;"",_xlpm.MacVal,_xlpm.CSVVal&lt;&gt;"",_xlpm.CSVVal
)),"")</f>
        <v/>
      </c>
      <c r="R52" s="40"/>
      <c r="S52" s="40"/>
      <c r="T52" s="40"/>
      <c r="U52" s="40"/>
      <c r="V52" s="40"/>
      <c r="W52" s="40"/>
      <c r="X52" s="41" t="str">
        <f>_xlfn.LET(
    _xlpm.MacVal, _xlfn.XLOOKUP($A52, Output_Mac!$A:$A, Output_Mac!AB:AB, ""),
    _xlpm.MyAuditVal, _xlfn.XLOOKUP($A52, My_Audit!$A:$A, My_Audit!N:N, ""),
    _xlfn.TEXTJOIN(", ", TRUE, _xlpm.MyAuditVal, _xlpm.MacVal)
)</f>
        <v/>
      </c>
    </row>
    <row r="53" spans="1:24">
      <c r="A53" s="40" t="str">
        <f>_xlfn.TEXTJOIN("",TRUE,Input!$B$2,ROW(My_Audit!A52))</f>
        <v>X52</v>
      </c>
      <c r="B53" s="40" t="str">
        <f>_xlfn.TEXTJOIN("-",TRUE,"ITD",Input!$A$2,A53)</f>
        <v>ITD-X52</v>
      </c>
      <c r="C53" s="40" t="str" cm="1">
        <f t="array" ref="C53">IFERROR(_xlfn.LET(
_xlpm.CSVVal,_xlfn.XLOOKUP($A53,CSV!$A:$A,CSV!B:B,""),
_xlpm.MacVal,_xlfn.XLOOKUP($A53,Output_Mac!$A:$A,Output_Mac!B:B,""),
_xlpm.MyAuditVal,_xlfn.XLOOKUP($A53,My_Audit!$A:$A,My_Audit!B:B,""),
_xlfn.IFS(_xlpm.MyAuditVal&lt;&gt;"",UPPER(_xlpm.MyAuditVal),_xlpm.MacVal&lt;&gt;"",_xlpm.MacVal,_xlpm.CSVVal&lt;&gt;"",_xlpm.CSVVal
)),"")</f>
        <v/>
      </c>
      <c r="D53" s="40" t="str" cm="1">
        <f t="array" ref="D53">IFERROR(_xlfn.LET(
_xlpm.CSVVal,_xlfn.XLOOKUP($A53,CSV!$A:$A,CSV!D:D,""),
_xlpm.MacVal,_xlfn.XLOOKUP($A53,Output_Mac!$A:$A,Output_Mac!C:C,""),
_xlpm.MyAuditVal,_xlfn.XLOOKUP($A53,My_Audit!$A:$A,My_Audit!C:C,""),
_xlfn.IFS(_xlpm.MyAuditVal&lt;&gt;"",_xlpm.MyAuditVal,_xlpm.MacVal&lt;&gt;"",_xlpm.MacVal,_xlpm.CSVVal&lt;&gt;"",_xlpm.CSVVal
)),"")</f>
        <v/>
      </c>
      <c r="E53" s="40">
        <f>_xlfn.XLOOKUP(A53,My_Audit!A:A,My_Audit!D:D,"")</f>
        <v>0</v>
      </c>
      <c r="F53" s="40" t="str" cm="1">
        <f t="array" ref="F53">IFERROR(_xlfn.LET(
_xlpm.CSVVal,_xlfn.XLOOKUP($A53,CSV!$A:$A,CSV!F:F,""),
_xlpm.MacVal,_xlfn.XLOOKUP($A53,Output_Mac!$A:$A,Output_Mac!E:E,""),
_xlpm.MyAuditVal,_xlfn.XLOOKUP($A53,My_Audit!$A:$A,My_Audit!E:E,""),
_xlfn.IFS(_xlpm.MyAuditVal&lt;&gt;"",_xlpm.MyAuditVal,_xlpm.MacVal&lt;&gt;"",_xlpm.MacVal,_xlpm.CSVVal&lt;&gt;"",_xlpm.CSVVal
)),"")</f>
        <v/>
      </c>
      <c r="G53" s="40" t="str" cm="1">
        <f t="array" ref="G53">IFERROR(_xlfn.LET(
_xlpm.CSVVal,_xlfn.XLOOKUP($A53,CSV!$A:$A,CSV!G:G,""),
_xlpm.MacVal,_xlfn.XLOOKUP($A53,Output_Mac!$A:$A,Output_Mac!F:F,""),
_xlpm.MyAuditVal,_xlfn.XLOOKUP($A53,My_Audit!$A:$A,My_Audit!F:F,""),
_xlfn.IFS(_xlpm.MyAuditVal&lt;&gt;"",_xlpm.MyAuditVal,_xlpm.MacVal&lt;&gt;"",_xlpm.MacVal,_xlpm.CSVVal&lt;&gt;"",PROPER(_xlpm.CSVVal)
)),"")</f>
        <v/>
      </c>
      <c r="H53" s="40" t="str" cm="1">
        <f t="array" ref="H53">IFERROR(_xlfn.LET(
_xlpm.CSVVal,_xlfn.XLOOKUP($A53,CSV!$A:$A,CSV!H:H,""),
_xlpm.MacVal,_xlfn.XLOOKUP($A53,Output_Mac!$A:$A,Output_Mac!H:H,""),
_xlpm.MyAuditVal,_xlfn.XLOOKUP($A53,My_Audit!$A:$A,My_Audit!G:G,""),
_xlfn.IFS(_xlpm.MyAuditVal&lt;&gt;"",_xlpm.MyAuditVal,_xlpm.MacVal&lt;&gt;"",_xlpm.MacVal,_xlpm.CSVVal&lt;&gt;"",_xlpm.CSVVal
)),"")</f>
        <v/>
      </c>
      <c r="I53" s="40" t="str">
        <f>_xlfn.XLOOKUP(A53,Output_Mac!A:A,Output_Mac!I:I,"")</f>
        <v/>
      </c>
      <c r="J53" s="40" t="str" cm="1">
        <f t="array" ref="J53">IFERROR(_xlfn.LET(
_xlpm.CSVVal,_xlfn.XLOOKUP($A53,CSV!$A:$A,CSV!I:I,""),
_xlpm.MacVal,_xlfn.XLOOKUP($A53,Output_Mac!$A:$A,Output_Mac!J:J,""),
_xlpm.MyAuditVal,_xlfn.XLOOKUP($A53,My_Audit!$A:$A,My_Audit!I:I,""),
_xlfn.IFS(_xlpm.MyAuditVal&lt;&gt;"",UPPER(_xlpm.MyAuditVal),_xlpm.MacVal&lt;&gt;"",_xlpm.MacVal,_xlpm.CSVVal&lt;&gt;"",_xlpm.CSVVal
)),"")</f>
        <v/>
      </c>
      <c r="K53" s="40" t="str" cm="1">
        <f t="array" ref="K53">IFERROR(_xlfn.LET(
_xlpm.CSVVal,_xlfn.XLOOKUP($A53,CSV!$A:$A,CSV!K:K,""),
_xlpm.MacVal,_xlfn.XLOOKUP($A53,Output_Mac!$A:$A,Output_Mac!K:K,""),
_xlpm.MyAuditVal,_xlfn.XLOOKUP($A53,My_Audit!$A:$A,My_Audit!J:J,""),
_xlfn.IFS(_xlpm.MyAuditVal&lt;&gt;"",UPPER(_xlpm.MyAuditVal),_xlpm.MacVal&lt;&gt;"",_xlpm.MacVal,_xlpm.CSVVal&lt;&gt;"",_xlpm.CSVVal
)),"")</f>
        <v/>
      </c>
      <c r="L53" s="40" t="str" cm="1">
        <f t="array" ref="L53">IFERROR(_xlfn.LET(
_xlpm.CSVVal,_xlfn.XLOOKUP($A53,CSV!$A:$A,CSV!P:P,""),
_xlpm.MacVal,_xlfn.XLOOKUP($A53,Output_Mac!$A:$A,Output_Mac!L:L,""),
_xlpm.MyAuditVal,_xlfn.XLOOKUP($A53,My_Audit!$A:$A,My_Audit!K:K,""),
_xlfn.IFS(_xlpm.MyAuditVal&lt;&gt;"",UPPER(_xlpm.MyAuditVal),_xlpm.MacVal&lt;&gt;"",_xlpm.MacVal,_xlpm.CSVVal&lt;&gt;"",_xlpm.CSVVal
)),"")</f>
        <v/>
      </c>
      <c r="M53" s="40" t="str" cm="1">
        <f t="array" ref="M53">IFERROR(_xlfn.LET(
_xlpm.CSVVal,_xlfn.XLOOKUP($A53,CSV!$A:$A,CSV!Q:Q,""),
_xlpm.MacVal,_xlfn.XLOOKUP($A53,Output_Mac!$A:$A,Output_Mac!M:M,""),
_xlpm.MyAuditVal,_xlfn.XLOOKUP($A53,My_Audit!$A:$A,My_Audit!L:L,""),
_xlfn.IFS(_xlpm.MyAuditVal&lt;&gt;"",UPPER(_xlpm.MyAuditVal),_xlpm.MacVal&lt;&gt;"",_xlpm.MacVal,_xlpm.CSVVal&lt;&gt;"",_xlpm.CSVVal
)),"")</f>
        <v/>
      </c>
      <c r="N53" s="40"/>
      <c r="O53" s="40" t="str">
        <f>_xlfn.LET(
    _xlpm.CSVVal, _xlfn.XLOOKUP($A53, CSV!$A:$A, CSV!AA:AA, ""),
    _xlpm.MacVal, _xlfn.XLOOKUP($A53, Output_Mac!$A:$A, Output_Mac!S:S, ""),
    _xlpm.MyAuditVal, _xlfn.XLOOKUP($A53, My_Audit!$A:$A, My_Audit!P:P, ""),
    _xlfn.TEXTJOIN(", ", TRUE, _xlpm.MyAuditVal, _xlpm.MacVal, _xlpm.CSVVal)
)</f>
        <v/>
      </c>
      <c r="P53" s="40" t="str" cm="1">
        <f t="array" ref="P53">IFERROR(_xlfn.LET(
_xlpm.CSVVal,_xlfn.XLOOKUP($A53,CSV!$A:$A,CSV!AB:AB,""),
_xlpm.MacVal,_xlfn.XLOOKUP($A53,Output_Mac!$A:$A,Output_Mac!T:T,""),
_xlpm.MyAuditVal,_xlfn.XLOOKUP($A53,My_Audit!$A:$A,My_Audit!Q:Q,""),
_xlfn.IFS(_xlpm.MyAuditVal&lt;&gt;"",UPPER(_xlpm.MyAuditVal),_xlpm.MacVal&lt;&gt;"",_xlpm.MacVal,_xlpm.CSVVal&lt;&gt;"",_xlpm.CSVVal
)),"No")</f>
        <v>No</v>
      </c>
      <c r="Q53" s="40" t="str" cm="1">
        <f t="array" ref="Q53">IFERROR(_xlfn.LET(
_xlpm.CSVVal,_xlfn.XLOOKUP($A53,CSV!$A:$A,CSV!AC:AC,""),
_xlpm.MacVal,_xlfn.XLOOKUP($A53,Output_Mac!$A:$A,Output_Mac!U:U,""),
_xlpm.MyAuditVal,_xlfn.XLOOKUP($A53,My_Audit!$A:$A,My_Audit!R:R,""),
_xlfn.IFS(_xlpm.MyAuditVal&lt;&gt;"",UPPER(_xlpm.MyAuditVal),_xlpm.MacVal&lt;&gt;"",_xlpm.MacVal,_xlpm.CSVVal&lt;&gt;"",_xlpm.CSVVal
)),"")</f>
        <v/>
      </c>
      <c r="R53" s="40"/>
      <c r="S53" s="40"/>
      <c r="T53" s="40"/>
      <c r="U53" s="40"/>
      <c r="V53" s="40"/>
      <c r="W53" s="40"/>
      <c r="X53" s="41" t="str">
        <f>_xlfn.LET(
    _xlpm.MacVal, _xlfn.XLOOKUP($A53, Output_Mac!$A:$A, Output_Mac!AB:AB, ""),
    _xlpm.MyAuditVal, _xlfn.XLOOKUP($A53, My_Audit!$A:$A, My_Audit!N:N, ""),
    _xlfn.TEXTJOIN(", ", TRUE, _xlpm.MyAuditVal, _xlpm.MacVal)
)</f>
        <v/>
      </c>
    </row>
    <row r="54" spans="1:24">
      <c r="A54" s="40" t="str">
        <f>_xlfn.TEXTJOIN("",TRUE,Input!$B$2,ROW(My_Audit!A53))</f>
        <v>X53</v>
      </c>
      <c r="B54" s="40" t="str">
        <f>_xlfn.TEXTJOIN("-",TRUE,"ITD",Input!$A$2,A54)</f>
        <v>ITD-X53</v>
      </c>
      <c r="C54" s="40" t="str" cm="1">
        <f t="array" ref="C54">IFERROR(_xlfn.LET(
_xlpm.CSVVal,_xlfn.XLOOKUP($A54,CSV!$A:$A,CSV!B:B,""),
_xlpm.MacVal,_xlfn.XLOOKUP($A54,Output_Mac!$A:$A,Output_Mac!B:B,""),
_xlpm.MyAuditVal,_xlfn.XLOOKUP($A54,My_Audit!$A:$A,My_Audit!B:B,""),
_xlfn.IFS(_xlpm.MyAuditVal&lt;&gt;"",UPPER(_xlpm.MyAuditVal),_xlpm.MacVal&lt;&gt;"",_xlpm.MacVal,_xlpm.CSVVal&lt;&gt;"",_xlpm.CSVVal
)),"")</f>
        <v/>
      </c>
      <c r="D54" s="40" t="str" cm="1">
        <f t="array" ref="D54">IFERROR(_xlfn.LET(
_xlpm.CSVVal,_xlfn.XLOOKUP($A54,CSV!$A:$A,CSV!D:D,""),
_xlpm.MacVal,_xlfn.XLOOKUP($A54,Output_Mac!$A:$A,Output_Mac!C:C,""),
_xlpm.MyAuditVal,_xlfn.XLOOKUP($A54,My_Audit!$A:$A,My_Audit!C:C,""),
_xlfn.IFS(_xlpm.MyAuditVal&lt;&gt;"",_xlpm.MyAuditVal,_xlpm.MacVal&lt;&gt;"",_xlpm.MacVal,_xlpm.CSVVal&lt;&gt;"",_xlpm.CSVVal
)),"")</f>
        <v/>
      </c>
      <c r="E54" s="40">
        <f>_xlfn.XLOOKUP(A54,My_Audit!A:A,My_Audit!D:D,"")</f>
        <v>0</v>
      </c>
      <c r="F54" s="40" t="str" cm="1">
        <f t="array" ref="F54">IFERROR(_xlfn.LET(
_xlpm.CSVVal,_xlfn.XLOOKUP($A54,CSV!$A:$A,CSV!F:F,""),
_xlpm.MacVal,_xlfn.XLOOKUP($A54,Output_Mac!$A:$A,Output_Mac!E:E,""),
_xlpm.MyAuditVal,_xlfn.XLOOKUP($A54,My_Audit!$A:$A,My_Audit!E:E,""),
_xlfn.IFS(_xlpm.MyAuditVal&lt;&gt;"",_xlpm.MyAuditVal,_xlpm.MacVal&lt;&gt;"",_xlpm.MacVal,_xlpm.CSVVal&lt;&gt;"",_xlpm.CSVVal
)),"")</f>
        <v/>
      </c>
      <c r="G54" s="40" t="str" cm="1">
        <f t="array" ref="G54">IFERROR(_xlfn.LET(
_xlpm.CSVVal,_xlfn.XLOOKUP($A54,CSV!$A:$A,CSV!G:G,""),
_xlpm.MacVal,_xlfn.XLOOKUP($A54,Output_Mac!$A:$A,Output_Mac!F:F,""),
_xlpm.MyAuditVal,_xlfn.XLOOKUP($A54,My_Audit!$A:$A,My_Audit!F:F,""),
_xlfn.IFS(_xlpm.MyAuditVal&lt;&gt;"",_xlpm.MyAuditVal,_xlpm.MacVal&lt;&gt;"",_xlpm.MacVal,_xlpm.CSVVal&lt;&gt;"",PROPER(_xlpm.CSVVal)
)),"")</f>
        <v/>
      </c>
      <c r="H54" s="40" t="str" cm="1">
        <f t="array" ref="H54">IFERROR(_xlfn.LET(
_xlpm.CSVVal,_xlfn.XLOOKUP($A54,CSV!$A:$A,CSV!H:H,""),
_xlpm.MacVal,_xlfn.XLOOKUP($A54,Output_Mac!$A:$A,Output_Mac!H:H,""),
_xlpm.MyAuditVal,_xlfn.XLOOKUP($A54,My_Audit!$A:$A,My_Audit!G:G,""),
_xlfn.IFS(_xlpm.MyAuditVal&lt;&gt;"",_xlpm.MyAuditVal,_xlpm.MacVal&lt;&gt;"",_xlpm.MacVal,_xlpm.CSVVal&lt;&gt;"",_xlpm.CSVVal
)),"")</f>
        <v/>
      </c>
      <c r="I54" s="40" t="str">
        <f>_xlfn.XLOOKUP(A54,Output_Mac!A:A,Output_Mac!I:I,"")</f>
        <v/>
      </c>
      <c r="J54" s="40" t="str" cm="1">
        <f t="array" ref="J54">IFERROR(_xlfn.LET(
_xlpm.CSVVal,_xlfn.XLOOKUP($A54,CSV!$A:$A,CSV!I:I,""),
_xlpm.MacVal,_xlfn.XLOOKUP($A54,Output_Mac!$A:$A,Output_Mac!J:J,""),
_xlpm.MyAuditVal,_xlfn.XLOOKUP($A54,My_Audit!$A:$A,My_Audit!I:I,""),
_xlfn.IFS(_xlpm.MyAuditVal&lt;&gt;"",UPPER(_xlpm.MyAuditVal),_xlpm.MacVal&lt;&gt;"",_xlpm.MacVal,_xlpm.CSVVal&lt;&gt;"",_xlpm.CSVVal
)),"")</f>
        <v/>
      </c>
      <c r="K54" s="40" t="str" cm="1">
        <f t="array" ref="K54">IFERROR(_xlfn.LET(
_xlpm.CSVVal,_xlfn.XLOOKUP($A54,CSV!$A:$A,CSV!K:K,""),
_xlpm.MacVal,_xlfn.XLOOKUP($A54,Output_Mac!$A:$A,Output_Mac!K:K,""),
_xlpm.MyAuditVal,_xlfn.XLOOKUP($A54,My_Audit!$A:$A,My_Audit!J:J,""),
_xlfn.IFS(_xlpm.MyAuditVal&lt;&gt;"",UPPER(_xlpm.MyAuditVal),_xlpm.MacVal&lt;&gt;"",_xlpm.MacVal,_xlpm.CSVVal&lt;&gt;"",_xlpm.CSVVal
)),"")</f>
        <v/>
      </c>
      <c r="L54" s="40" t="str" cm="1">
        <f t="array" ref="L54">IFERROR(_xlfn.LET(
_xlpm.CSVVal,_xlfn.XLOOKUP($A54,CSV!$A:$A,CSV!P:P,""),
_xlpm.MacVal,_xlfn.XLOOKUP($A54,Output_Mac!$A:$A,Output_Mac!L:L,""),
_xlpm.MyAuditVal,_xlfn.XLOOKUP($A54,My_Audit!$A:$A,My_Audit!K:K,""),
_xlfn.IFS(_xlpm.MyAuditVal&lt;&gt;"",UPPER(_xlpm.MyAuditVal),_xlpm.MacVal&lt;&gt;"",_xlpm.MacVal,_xlpm.CSVVal&lt;&gt;"",_xlpm.CSVVal
)),"")</f>
        <v/>
      </c>
      <c r="M54" s="40" t="str" cm="1">
        <f t="array" ref="M54">IFERROR(_xlfn.LET(
_xlpm.CSVVal,_xlfn.XLOOKUP($A54,CSV!$A:$A,CSV!Q:Q,""),
_xlpm.MacVal,_xlfn.XLOOKUP($A54,Output_Mac!$A:$A,Output_Mac!M:M,""),
_xlpm.MyAuditVal,_xlfn.XLOOKUP($A54,My_Audit!$A:$A,My_Audit!L:L,""),
_xlfn.IFS(_xlpm.MyAuditVal&lt;&gt;"",UPPER(_xlpm.MyAuditVal),_xlpm.MacVal&lt;&gt;"",_xlpm.MacVal,_xlpm.CSVVal&lt;&gt;"",_xlpm.CSVVal
)),"")</f>
        <v/>
      </c>
      <c r="N54" s="40"/>
      <c r="O54" s="40" t="str">
        <f>_xlfn.LET(
    _xlpm.CSVVal, _xlfn.XLOOKUP($A54, CSV!$A:$A, CSV!AA:AA, ""),
    _xlpm.MacVal, _xlfn.XLOOKUP($A54, Output_Mac!$A:$A, Output_Mac!S:S, ""),
    _xlpm.MyAuditVal, _xlfn.XLOOKUP($A54, My_Audit!$A:$A, My_Audit!P:P, ""),
    _xlfn.TEXTJOIN(", ", TRUE, _xlpm.MyAuditVal, _xlpm.MacVal, _xlpm.CSVVal)
)</f>
        <v/>
      </c>
      <c r="P54" s="40" t="str" cm="1">
        <f t="array" ref="P54">IFERROR(_xlfn.LET(
_xlpm.CSVVal,_xlfn.XLOOKUP($A54,CSV!$A:$A,CSV!AB:AB,""),
_xlpm.MacVal,_xlfn.XLOOKUP($A54,Output_Mac!$A:$A,Output_Mac!T:T,""),
_xlpm.MyAuditVal,_xlfn.XLOOKUP($A54,My_Audit!$A:$A,My_Audit!Q:Q,""),
_xlfn.IFS(_xlpm.MyAuditVal&lt;&gt;"",UPPER(_xlpm.MyAuditVal),_xlpm.MacVal&lt;&gt;"",_xlpm.MacVal,_xlpm.CSVVal&lt;&gt;"",_xlpm.CSVVal
)),"No")</f>
        <v>No</v>
      </c>
      <c r="Q54" s="40" t="str" cm="1">
        <f t="array" ref="Q54">IFERROR(_xlfn.LET(
_xlpm.CSVVal,_xlfn.XLOOKUP($A54,CSV!$A:$A,CSV!AC:AC,""),
_xlpm.MacVal,_xlfn.XLOOKUP($A54,Output_Mac!$A:$A,Output_Mac!U:U,""),
_xlpm.MyAuditVal,_xlfn.XLOOKUP($A54,My_Audit!$A:$A,My_Audit!R:R,""),
_xlfn.IFS(_xlpm.MyAuditVal&lt;&gt;"",UPPER(_xlpm.MyAuditVal),_xlpm.MacVal&lt;&gt;"",_xlpm.MacVal,_xlpm.CSVVal&lt;&gt;"",_xlpm.CSVVal
)),"")</f>
        <v/>
      </c>
      <c r="R54" s="40"/>
      <c r="S54" s="40"/>
      <c r="T54" s="40"/>
      <c r="U54" s="40"/>
      <c r="V54" s="40"/>
      <c r="W54" s="40"/>
      <c r="X54" s="41" t="str">
        <f>_xlfn.LET(
    _xlpm.MacVal, _xlfn.XLOOKUP($A54, Output_Mac!$A:$A, Output_Mac!AB:AB, ""),
    _xlpm.MyAuditVal, _xlfn.XLOOKUP($A54, My_Audit!$A:$A, My_Audit!N:N, ""),
    _xlfn.TEXTJOIN(", ", TRUE, _xlpm.MyAuditVal, _xlpm.MacVal)
)</f>
        <v/>
      </c>
    </row>
    <row r="55" spans="1:24">
      <c r="A55" s="40" t="str">
        <f>_xlfn.TEXTJOIN("",TRUE,Input!$B$2,ROW(My_Audit!A54))</f>
        <v>X54</v>
      </c>
      <c r="B55" s="40" t="str">
        <f>_xlfn.TEXTJOIN("-",TRUE,"ITD",Input!$A$2,A55)</f>
        <v>ITD-X54</v>
      </c>
      <c r="C55" s="40" t="str" cm="1">
        <f t="array" ref="C55">IFERROR(_xlfn.LET(
_xlpm.CSVVal,_xlfn.XLOOKUP($A55,CSV!$A:$A,CSV!B:B,""),
_xlpm.MacVal,_xlfn.XLOOKUP($A55,Output_Mac!$A:$A,Output_Mac!B:B,""),
_xlpm.MyAuditVal,_xlfn.XLOOKUP($A55,My_Audit!$A:$A,My_Audit!B:B,""),
_xlfn.IFS(_xlpm.MyAuditVal&lt;&gt;"",UPPER(_xlpm.MyAuditVal),_xlpm.MacVal&lt;&gt;"",_xlpm.MacVal,_xlpm.CSVVal&lt;&gt;"",_xlpm.CSVVal
)),"")</f>
        <v/>
      </c>
      <c r="D55" s="40" t="str" cm="1">
        <f t="array" ref="D55">IFERROR(_xlfn.LET(
_xlpm.CSVVal,_xlfn.XLOOKUP($A55,CSV!$A:$A,CSV!D:D,""),
_xlpm.MacVal,_xlfn.XLOOKUP($A55,Output_Mac!$A:$A,Output_Mac!C:C,""),
_xlpm.MyAuditVal,_xlfn.XLOOKUP($A55,My_Audit!$A:$A,My_Audit!C:C,""),
_xlfn.IFS(_xlpm.MyAuditVal&lt;&gt;"",_xlpm.MyAuditVal,_xlpm.MacVal&lt;&gt;"",_xlpm.MacVal,_xlpm.CSVVal&lt;&gt;"",_xlpm.CSVVal
)),"")</f>
        <v/>
      </c>
      <c r="E55" s="40">
        <f>_xlfn.XLOOKUP(A55,My_Audit!A:A,My_Audit!D:D,"")</f>
        <v>0</v>
      </c>
      <c r="F55" s="40" t="str" cm="1">
        <f t="array" ref="F55">IFERROR(_xlfn.LET(
_xlpm.CSVVal,_xlfn.XLOOKUP($A55,CSV!$A:$A,CSV!F:F,""),
_xlpm.MacVal,_xlfn.XLOOKUP($A55,Output_Mac!$A:$A,Output_Mac!E:E,""),
_xlpm.MyAuditVal,_xlfn.XLOOKUP($A55,My_Audit!$A:$A,My_Audit!E:E,""),
_xlfn.IFS(_xlpm.MyAuditVal&lt;&gt;"",_xlpm.MyAuditVal,_xlpm.MacVal&lt;&gt;"",_xlpm.MacVal,_xlpm.CSVVal&lt;&gt;"",_xlpm.CSVVal
)),"")</f>
        <v/>
      </c>
      <c r="G55" s="40" t="str" cm="1">
        <f t="array" ref="G55">IFERROR(_xlfn.LET(
_xlpm.CSVVal,_xlfn.XLOOKUP($A55,CSV!$A:$A,CSV!G:G,""),
_xlpm.MacVal,_xlfn.XLOOKUP($A55,Output_Mac!$A:$A,Output_Mac!F:F,""),
_xlpm.MyAuditVal,_xlfn.XLOOKUP($A55,My_Audit!$A:$A,My_Audit!F:F,""),
_xlfn.IFS(_xlpm.MyAuditVal&lt;&gt;"",_xlpm.MyAuditVal,_xlpm.MacVal&lt;&gt;"",_xlpm.MacVal,_xlpm.CSVVal&lt;&gt;"",PROPER(_xlpm.CSVVal)
)),"")</f>
        <v/>
      </c>
      <c r="H55" s="40" t="str" cm="1">
        <f t="array" ref="H55">IFERROR(_xlfn.LET(
_xlpm.CSVVal,_xlfn.XLOOKUP($A55,CSV!$A:$A,CSV!H:H,""),
_xlpm.MacVal,_xlfn.XLOOKUP($A55,Output_Mac!$A:$A,Output_Mac!H:H,""),
_xlpm.MyAuditVal,_xlfn.XLOOKUP($A55,My_Audit!$A:$A,My_Audit!G:G,""),
_xlfn.IFS(_xlpm.MyAuditVal&lt;&gt;"",_xlpm.MyAuditVal,_xlpm.MacVal&lt;&gt;"",_xlpm.MacVal,_xlpm.CSVVal&lt;&gt;"",_xlpm.CSVVal
)),"")</f>
        <v/>
      </c>
      <c r="I55" s="40" t="str">
        <f>_xlfn.XLOOKUP(A55,Output_Mac!A:A,Output_Mac!I:I,"")</f>
        <v/>
      </c>
      <c r="J55" s="40" t="str" cm="1">
        <f t="array" ref="J55">IFERROR(_xlfn.LET(
_xlpm.CSVVal,_xlfn.XLOOKUP($A55,CSV!$A:$A,CSV!I:I,""),
_xlpm.MacVal,_xlfn.XLOOKUP($A55,Output_Mac!$A:$A,Output_Mac!J:J,""),
_xlpm.MyAuditVal,_xlfn.XLOOKUP($A55,My_Audit!$A:$A,My_Audit!I:I,""),
_xlfn.IFS(_xlpm.MyAuditVal&lt;&gt;"",UPPER(_xlpm.MyAuditVal),_xlpm.MacVal&lt;&gt;"",_xlpm.MacVal,_xlpm.CSVVal&lt;&gt;"",_xlpm.CSVVal
)),"")</f>
        <v/>
      </c>
      <c r="K55" s="40" t="str" cm="1">
        <f t="array" ref="K55">IFERROR(_xlfn.LET(
_xlpm.CSVVal,_xlfn.XLOOKUP($A55,CSV!$A:$A,CSV!K:K,""),
_xlpm.MacVal,_xlfn.XLOOKUP($A55,Output_Mac!$A:$A,Output_Mac!K:K,""),
_xlpm.MyAuditVal,_xlfn.XLOOKUP($A55,My_Audit!$A:$A,My_Audit!J:J,""),
_xlfn.IFS(_xlpm.MyAuditVal&lt;&gt;"",UPPER(_xlpm.MyAuditVal),_xlpm.MacVal&lt;&gt;"",_xlpm.MacVal,_xlpm.CSVVal&lt;&gt;"",_xlpm.CSVVal
)),"")</f>
        <v/>
      </c>
      <c r="L55" s="40" t="str" cm="1">
        <f t="array" ref="L55">IFERROR(_xlfn.LET(
_xlpm.CSVVal,_xlfn.XLOOKUP($A55,CSV!$A:$A,CSV!P:P,""),
_xlpm.MacVal,_xlfn.XLOOKUP($A55,Output_Mac!$A:$A,Output_Mac!L:L,""),
_xlpm.MyAuditVal,_xlfn.XLOOKUP($A55,My_Audit!$A:$A,My_Audit!K:K,""),
_xlfn.IFS(_xlpm.MyAuditVal&lt;&gt;"",UPPER(_xlpm.MyAuditVal),_xlpm.MacVal&lt;&gt;"",_xlpm.MacVal,_xlpm.CSVVal&lt;&gt;"",_xlpm.CSVVal
)),"")</f>
        <v/>
      </c>
      <c r="M55" s="40" t="str" cm="1">
        <f t="array" ref="M55">IFERROR(_xlfn.LET(
_xlpm.CSVVal,_xlfn.XLOOKUP($A55,CSV!$A:$A,CSV!Q:Q,""),
_xlpm.MacVal,_xlfn.XLOOKUP($A55,Output_Mac!$A:$A,Output_Mac!M:M,""),
_xlpm.MyAuditVal,_xlfn.XLOOKUP($A55,My_Audit!$A:$A,My_Audit!L:L,""),
_xlfn.IFS(_xlpm.MyAuditVal&lt;&gt;"",UPPER(_xlpm.MyAuditVal),_xlpm.MacVal&lt;&gt;"",_xlpm.MacVal,_xlpm.CSVVal&lt;&gt;"",_xlpm.CSVVal
)),"")</f>
        <v/>
      </c>
      <c r="N55" s="40"/>
      <c r="O55" s="40" t="str">
        <f>_xlfn.LET(
    _xlpm.CSVVal, _xlfn.XLOOKUP($A55, CSV!$A:$A, CSV!AA:AA, ""),
    _xlpm.MacVal, _xlfn.XLOOKUP($A55, Output_Mac!$A:$A, Output_Mac!S:S, ""),
    _xlpm.MyAuditVal, _xlfn.XLOOKUP($A55, My_Audit!$A:$A, My_Audit!P:P, ""),
    _xlfn.TEXTJOIN(", ", TRUE, _xlpm.MyAuditVal, _xlpm.MacVal, _xlpm.CSVVal)
)</f>
        <v/>
      </c>
      <c r="P55" s="40" t="str" cm="1">
        <f t="array" ref="P55">IFERROR(_xlfn.LET(
_xlpm.CSVVal,_xlfn.XLOOKUP($A55,CSV!$A:$A,CSV!AB:AB,""),
_xlpm.MacVal,_xlfn.XLOOKUP($A55,Output_Mac!$A:$A,Output_Mac!T:T,""),
_xlpm.MyAuditVal,_xlfn.XLOOKUP($A55,My_Audit!$A:$A,My_Audit!Q:Q,""),
_xlfn.IFS(_xlpm.MyAuditVal&lt;&gt;"",UPPER(_xlpm.MyAuditVal),_xlpm.MacVal&lt;&gt;"",_xlpm.MacVal,_xlpm.CSVVal&lt;&gt;"",_xlpm.CSVVal
)),"No")</f>
        <v>No</v>
      </c>
      <c r="Q55" s="40" t="str" cm="1">
        <f t="array" ref="Q55">IFERROR(_xlfn.LET(
_xlpm.CSVVal,_xlfn.XLOOKUP($A55,CSV!$A:$A,CSV!AC:AC,""),
_xlpm.MacVal,_xlfn.XLOOKUP($A55,Output_Mac!$A:$A,Output_Mac!U:U,""),
_xlpm.MyAuditVal,_xlfn.XLOOKUP($A55,My_Audit!$A:$A,My_Audit!R:R,""),
_xlfn.IFS(_xlpm.MyAuditVal&lt;&gt;"",UPPER(_xlpm.MyAuditVal),_xlpm.MacVal&lt;&gt;"",_xlpm.MacVal,_xlpm.CSVVal&lt;&gt;"",_xlpm.CSVVal
)),"")</f>
        <v/>
      </c>
      <c r="R55" s="40"/>
      <c r="S55" s="40"/>
      <c r="T55" s="40"/>
      <c r="U55" s="40"/>
      <c r="V55" s="40"/>
      <c r="W55" s="40"/>
      <c r="X55" s="41" t="str">
        <f>_xlfn.LET(
    _xlpm.MacVal, _xlfn.XLOOKUP($A55, Output_Mac!$A:$A, Output_Mac!AB:AB, ""),
    _xlpm.MyAuditVal, _xlfn.XLOOKUP($A55, My_Audit!$A:$A, My_Audit!N:N, ""),
    _xlfn.TEXTJOIN(", ", TRUE, _xlpm.MyAuditVal, _xlpm.MacVal)
)</f>
        <v/>
      </c>
    </row>
    <row r="56" spans="1:24">
      <c r="A56" s="40" t="str">
        <f>_xlfn.TEXTJOIN("",TRUE,Input!$B$2,ROW(My_Audit!A55))</f>
        <v>X55</v>
      </c>
      <c r="B56" s="40" t="str">
        <f>_xlfn.TEXTJOIN("-",TRUE,"ITD",Input!$A$2,A56)</f>
        <v>ITD-X55</v>
      </c>
      <c r="C56" s="40" t="str" cm="1">
        <f t="array" ref="C56">IFERROR(_xlfn.LET(
_xlpm.CSVVal,_xlfn.XLOOKUP($A56,CSV!$A:$A,CSV!B:B,""),
_xlpm.MacVal,_xlfn.XLOOKUP($A56,Output_Mac!$A:$A,Output_Mac!B:B,""),
_xlpm.MyAuditVal,_xlfn.XLOOKUP($A56,My_Audit!$A:$A,My_Audit!B:B,""),
_xlfn.IFS(_xlpm.MyAuditVal&lt;&gt;"",UPPER(_xlpm.MyAuditVal),_xlpm.MacVal&lt;&gt;"",_xlpm.MacVal,_xlpm.CSVVal&lt;&gt;"",_xlpm.CSVVal
)),"")</f>
        <v/>
      </c>
      <c r="D56" s="40" t="str" cm="1">
        <f t="array" ref="D56">IFERROR(_xlfn.LET(
_xlpm.CSVVal,_xlfn.XLOOKUP($A56,CSV!$A:$A,CSV!D:D,""),
_xlpm.MacVal,_xlfn.XLOOKUP($A56,Output_Mac!$A:$A,Output_Mac!C:C,""),
_xlpm.MyAuditVal,_xlfn.XLOOKUP($A56,My_Audit!$A:$A,My_Audit!C:C,""),
_xlfn.IFS(_xlpm.MyAuditVal&lt;&gt;"",_xlpm.MyAuditVal,_xlpm.MacVal&lt;&gt;"",_xlpm.MacVal,_xlpm.CSVVal&lt;&gt;"",_xlpm.CSVVal
)),"")</f>
        <v/>
      </c>
      <c r="E56" s="40">
        <f>_xlfn.XLOOKUP(A56,My_Audit!A:A,My_Audit!D:D,"")</f>
        <v>0</v>
      </c>
      <c r="F56" s="40" t="str" cm="1">
        <f t="array" ref="F56">IFERROR(_xlfn.LET(
_xlpm.CSVVal,_xlfn.XLOOKUP($A56,CSV!$A:$A,CSV!F:F,""),
_xlpm.MacVal,_xlfn.XLOOKUP($A56,Output_Mac!$A:$A,Output_Mac!E:E,""),
_xlpm.MyAuditVal,_xlfn.XLOOKUP($A56,My_Audit!$A:$A,My_Audit!E:E,""),
_xlfn.IFS(_xlpm.MyAuditVal&lt;&gt;"",_xlpm.MyAuditVal,_xlpm.MacVal&lt;&gt;"",_xlpm.MacVal,_xlpm.CSVVal&lt;&gt;"",_xlpm.CSVVal
)),"")</f>
        <v/>
      </c>
      <c r="G56" s="40" t="str" cm="1">
        <f t="array" ref="G56">IFERROR(_xlfn.LET(
_xlpm.CSVVal,_xlfn.XLOOKUP($A56,CSV!$A:$A,CSV!G:G,""),
_xlpm.MacVal,_xlfn.XLOOKUP($A56,Output_Mac!$A:$A,Output_Mac!F:F,""),
_xlpm.MyAuditVal,_xlfn.XLOOKUP($A56,My_Audit!$A:$A,My_Audit!F:F,""),
_xlfn.IFS(_xlpm.MyAuditVal&lt;&gt;"",_xlpm.MyAuditVal,_xlpm.MacVal&lt;&gt;"",_xlpm.MacVal,_xlpm.CSVVal&lt;&gt;"",PROPER(_xlpm.CSVVal)
)),"")</f>
        <v/>
      </c>
      <c r="H56" s="40" t="str" cm="1">
        <f t="array" ref="H56">IFERROR(_xlfn.LET(
_xlpm.CSVVal,_xlfn.XLOOKUP($A56,CSV!$A:$A,CSV!H:H,""),
_xlpm.MacVal,_xlfn.XLOOKUP($A56,Output_Mac!$A:$A,Output_Mac!H:H,""),
_xlpm.MyAuditVal,_xlfn.XLOOKUP($A56,My_Audit!$A:$A,My_Audit!G:G,""),
_xlfn.IFS(_xlpm.MyAuditVal&lt;&gt;"",_xlpm.MyAuditVal,_xlpm.MacVal&lt;&gt;"",_xlpm.MacVal,_xlpm.CSVVal&lt;&gt;"",_xlpm.CSVVal
)),"")</f>
        <v/>
      </c>
      <c r="I56" s="40" t="str">
        <f>_xlfn.XLOOKUP(A56,Output_Mac!A:A,Output_Mac!I:I,"")</f>
        <v/>
      </c>
      <c r="J56" s="40" t="str" cm="1">
        <f t="array" ref="J56">IFERROR(_xlfn.LET(
_xlpm.CSVVal,_xlfn.XLOOKUP($A56,CSV!$A:$A,CSV!I:I,""),
_xlpm.MacVal,_xlfn.XLOOKUP($A56,Output_Mac!$A:$A,Output_Mac!J:J,""),
_xlpm.MyAuditVal,_xlfn.XLOOKUP($A56,My_Audit!$A:$A,My_Audit!I:I,""),
_xlfn.IFS(_xlpm.MyAuditVal&lt;&gt;"",UPPER(_xlpm.MyAuditVal),_xlpm.MacVal&lt;&gt;"",_xlpm.MacVal,_xlpm.CSVVal&lt;&gt;"",_xlpm.CSVVal
)),"")</f>
        <v/>
      </c>
      <c r="K56" s="40" t="str" cm="1">
        <f t="array" ref="K56">IFERROR(_xlfn.LET(
_xlpm.CSVVal,_xlfn.XLOOKUP($A56,CSV!$A:$A,CSV!K:K,""),
_xlpm.MacVal,_xlfn.XLOOKUP($A56,Output_Mac!$A:$A,Output_Mac!K:K,""),
_xlpm.MyAuditVal,_xlfn.XLOOKUP($A56,My_Audit!$A:$A,My_Audit!J:J,""),
_xlfn.IFS(_xlpm.MyAuditVal&lt;&gt;"",UPPER(_xlpm.MyAuditVal),_xlpm.MacVal&lt;&gt;"",_xlpm.MacVal,_xlpm.CSVVal&lt;&gt;"",_xlpm.CSVVal
)),"")</f>
        <v/>
      </c>
      <c r="L56" s="40" t="str" cm="1">
        <f t="array" ref="L56">IFERROR(_xlfn.LET(
_xlpm.CSVVal,_xlfn.XLOOKUP($A56,CSV!$A:$A,CSV!P:P,""),
_xlpm.MacVal,_xlfn.XLOOKUP($A56,Output_Mac!$A:$A,Output_Mac!L:L,""),
_xlpm.MyAuditVal,_xlfn.XLOOKUP($A56,My_Audit!$A:$A,My_Audit!K:K,""),
_xlfn.IFS(_xlpm.MyAuditVal&lt;&gt;"",UPPER(_xlpm.MyAuditVal),_xlpm.MacVal&lt;&gt;"",_xlpm.MacVal,_xlpm.CSVVal&lt;&gt;"",_xlpm.CSVVal
)),"")</f>
        <v/>
      </c>
      <c r="M56" s="40" t="str" cm="1">
        <f t="array" ref="M56">IFERROR(_xlfn.LET(
_xlpm.CSVVal,_xlfn.XLOOKUP($A56,CSV!$A:$A,CSV!Q:Q,""),
_xlpm.MacVal,_xlfn.XLOOKUP($A56,Output_Mac!$A:$A,Output_Mac!M:M,""),
_xlpm.MyAuditVal,_xlfn.XLOOKUP($A56,My_Audit!$A:$A,My_Audit!L:L,""),
_xlfn.IFS(_xlpm.MyAuditVal&lt;&gt;"",UPPER(_xlpm.MyAuditVal),_xlpm.MacVal&lt;&gt;"",_xlpm.MacVal,_xlpm.CSVVal&lt;&gt;"",_xlpm.CSVVal
)),"")</f>
        <v/>
      </c>
      <c r="N56" s="40"/>
      <c r="O56" s="40" t="str">
        <f>_xlfn.LET(
    _xlpm.CSVVal, _xlfn.XLOOKUP($A56, CSV!$A:$A, CSV!AA:AA, ""),
    _xlpm.MacVal, _xlfn.XLOOKUP($A56, Output_Mac!$A:$A, Output_Mac!S:S, ""),
    _xlpm.MyAuditVal, _xlfn.XLOOKUP($A56, My_Audit!$A:$A, My_Audit!P:P, ""),
    _xlfn.TEXTJOIN(", ", TRUE, _xlpm.MyAuditVal, _xlpm.MacVal, _xlpm.CSVVal)
)</f>
        <v/>
      </c>
      <c r="P56" s="40" t="str" cm="1">
        <f t="array" ref="P56">IFERROR(_xlfn.LET(
_xlpm.CSVVal,_xlfn.XLOOKUP($A56,CSV!$A:$A,CSV!AB:AB,""),
_xlpm.MacVal,_xlfn.XLOOKUP($A56,Output_Mac!$A:$A,Output_Mac!T:T,""),
_xlpm.MyAuditVal,_xlfn.XLOOKUP($A56,My_Audit!$A:$A,My_Audit!Q:Q,""),
_xlfn.IFS(_xlpm.MyAuditVal&lt;&gt;"",UPPER(_xlpm.MyAuditVal),_xlpm.MacVal&lt;&gt;"",_xlpm.MacVal,_xlpm.CSVVal&lt;&gt;"",_xlpm.CSVVal
)),"No")</f>
        <v>No</v>
      </c>
      <c r="Q56" s="40" t="str" cm="1">
        <f t="array" ref="Q56">IFERROR(_xlfn.LET(
_xlpm.CSVVal,_xlfn.XLOOKUP($A56,CSV!$A:$A,CSV!AC:AC,""),
_xlpm.MacVal,_xlfn.XLOOKUP($A56,Output_Mac!$A:$A,Output_Mac!U:U,""),
_xlpm.MyAuditVal,_xlfn.XLOOKUP($A56,My_Audit!$A:$A,My_Audit!R:R,""),
_xlfn.IFS(_xlpm.MyAuditVal&lt;&gt;"",UPPER(_xlpm.MyAuditVal),_xlpm.MacVal&lt;&gt;"",_xlpm.MacVal,_xlpm.CSVVal&lt;&gt;"",_xlpm.CSVVal
)),"")</f>
        <v/>
      </c>
      <c r="R56" s="40"/>
      <c r="S56" s="40"/>
      <c r="T56" s="40"/>
      <c r="U56" s="40"/>
      <c r="V56" s="40"/>
      <c r="W56" s="40"/>
      <c r="X56" s="41" t="str">
        <f>_xlfn.LET(
    _xlpm.MacVal, _xlfn.XLOOKUP($A56, Output_Mac!$A:$A, Output_Mac!AB:AB, ""),
    _xlpm.MyAuditVal, _xlfn.XLOOKUP($A56, My_Audit!$A:$A, My_Audit!N:N, ""),
    _xlfn.TEXTJOIN(", ", TRUE, _xlpm.MyAuditVal, _xlpm.MacVal)
)</f>
        <v/>
      </c>
    </row>
    <row r="57" spans="1:24">
      <c r="A57" s="40" t="str">
        <f>_xlfn.TEXTJOIN("",TRUE,Input!$B$2,ROW(My_Audit!A56))</f>
        <v>X56</v>
      </c>
      <c r="B57" s="40" t="str">
        <f>_xlfn.TEXTJOIN("-",TRUE,"ITD",Input!$A$2,A57)</f>
        <v>ITD-X56</v>
      </c>
      <c r="C57" s="40" t="str" cm="1">
        <f t="array" ref="C57">IFERROR(_xlfn.LET(
_xlpm.CSVVal,_xlfn.XLOOKUP($A57,CSV!$A:$A,CSV!B:B,""),
_xlpm.MacVal,_xlfn.XLOOKUP($A57,Output_Mac!$A:$A,Output_Mac!B:B,""),
_xlpm.MyAuditVal,_xlfn.XLOOKUP($A57,My_Audit!$A:$A,My_Audit!B:B,""),
_xlfn.IFS(_xlpm.MyAuditVal&lt;&gt;"",UPPER(_xlpm.MyAuditVal),_xlpm.MacVal&lt;&gt;"",_xlpm.MacVal,_xlpm.CSVVal&lt;&gt;"",_xlpm.CSVVal
)),"")</f>
        <v/>
      </c>
      <c r="D57" s="40" t="str" cm="1">
        <f t="array" ref="D57">IFERROR(_xlfn.LET(
_xlpm.CSVVal,_xlfn.XLOOKUP($A57,CSV!$A:$A,CSV!D:D,""),
_xlpm.MacVal,_xlfn.XLOOKUP($A57,Output_Mac!$A:$A,Output_Mac!C:C,""),
_xlpm.MyAuditVal,_xlfn.XLOOKUP($A57,My_Audit!$A:$A,My_Audit!C:C,""),
_xlfn.IFS(_xlpm.MyAuditVal&lt;&gt;"",_xlpm.MyAuditVal,_xlpm.MacVal&lt;&gt;"",_xlpm.MacVal,_xlpm.CSVVal&lt;&gt;"",_xlpm.CSVVal
)),"")</f>
        <v/>
      </c>
      <c r="E57" s="40">
        <f>_xlfn.XLOOKUP(A57,My_Audit!A:A,My_Audit!D:D,"")</f>
        <v>0</v>
      </c>
      <c r="F57" s="40" t="str" cm="1">
        <f t="array" ref="F57">IFERROR(_xlfn.LET(
_xlpm.CSVVal,_xlfn.XLOOKUP($A57,CSV!$A:$A,CSV!F:F,""),
_xlpm.MacVal,_xlfn.XLOOKUP($A57,Output_Mac!$A:$A,Output_Mac!E:E,""),
_xlpm.MyAuditVal,_xlfn.XLOOKUP($A57,My_Audit!$A:$A,My_Audit!E:E,""),
_xlfn.IFS(_xlpm.MyAuditVal&lt;&gt;"",_xlpm.MyAuditVal,_xlpm.MacVal&lt;&gt;"",_xlpm.MacVal,_xlpm.CSVVal&lt;&gt;"",_xlpm.CSVVal
)),"")</f>
        <v/>
      </c>
      <c r="G57" s="40" t="str" cm="1">
        <f t="array" ref="G57">IFERROR(_xlfn.LET(
_xlpm.CSVVal,_xlfn.XLOOKUP($A57,CSV!$A:$A,CSV!G:G,""),
_xlpm.MacVal,_xlfn.XLOOKUP($A57,Output_Mac!$A:$A,Output_Mac!F:F,""),
_xlpm.MyAuditVal,_xlfn.XLOOKUP($A57,My_Audit!$A:$A,My_Audit!F:F,""),
_xlfn.IFS(_xlpm.MyAuditVal&lt;&gt;"",_xlpm.MyAuditVal,_xlpm.MacVal&lt;&gt;"",_xlpm.MacVal,_xlpm.CSVVal&lt;&gt;"",PROPER(_xlpm.CSVVal)
)),"")</f>
        <v/>
      </c>
      <c r="H57" s="40" t="str" cm="1">
        <f t="array" ref="H57">IFERROR(_xlfn.LET(
_xlpm.CSVVal,_xlfn.XLOOKUP($A57,CSV!$A:$A,CSV!H:H,""),
_xlpm.MacVal,_xlfn.XLOOKUP($A57,Output_Mac!$A:$A,Output_Mac!H:H,""),
_xlpm.MyAuditVal,_xlfn.XLOOKUP($A57,My_Audit!$A:$A,My_Audit!G:G,""),
_xlfn.IFS(_xlpm.MyAuditVal&lt;&gt;"",_xlpm.MyAuditVal,_xlpm.MacVal&lt;&gt;"",_xlpm.MacVal,_xlpm.CSVVal&lt;&gt;"",_xlpm.CSVVal
)),"")</f>
        <v/>
      </c>
      <c r="I57" s="40" t="str">
        <f>_xlfn.XLOOKUP(A57,Output_Mac!A:A,Output_Mac!I:I,"")</f>
        <v/>
      </c>
      <c r="J57" s="40" t="str" cm="1">
        <f t="array" ref="J57">IFERROR(_xlfn.LET(
_xlpm.CSVVal,_xlfn.XLOOKUP($A57,CSV!$A:$A,CSV!I:I,""),
_xlpm.MacVal,_xlfn.XLOOKUP($A57,Output_Mac!$A:$A,Output_Mac!J:J,""),
_xlpm.MyAuditVal,_xlfn.XLOOKUP($A57,My_Audit!$A:$A,My_Audit!I:I,""),
_xlfn.IFS(_xlpm.MyAuditVal&lt;&gt;"",UPPER(_xlpm.MyAuditVal),_xlpm.MacVal&lt;&gt;"",_xlpm.MacVal,_xlpm.CSVVal&lt;&gt;"",_xlpm.CSVVal
)),"")</f>
        <v/>
      </c>
      <c r="K57" s="40" t="str" cm="1">
        <f t="array" ref="K57">IFERROR(_xlfn.LET(
_xlpm.CSVVal,_xlfn.XLOOKUP($A57,CSV!$A:$A,CSV!K:K,""),
_xlpm.MacVal,_xlfn.XLOOKUP($A57,Output_Mac!$A:$A,Output_Mac!K:K,""),
_xlpm.MyAuditVal,_xlfn.XLOOKUP($A57,My_Audit!$A:$A,My_Audit!J:J,""),
_xlfn.IFS(_xlpm.MyAuditVal&lt;&gt;"",UPPER(_xlpm.MyAuditVal),_xlpm.MacVal&lt;&gt;"",_xlpm.MacVal,_xlpm.CSVVal&lt;&gt;"",_xlpm.CSVVal
)),"")</f>
        <v/>
      </c>
      <c r="L57" s="40" t="str" cm="1">
        <f t="array" ref="L57">IFERROR(_xlfn.LET(
_xlpm.CSVVal,_xlfn.XLOOKUP($A57,CSV!$A:$A,CSV!P:P,""),
_xlpm.MacVal,_xlfn.XLOOKUP($A57,Output_Mac!$A:$A,Output_Mac!L:L,""),
_xlpm.MyAuditVal,_xlfn.XLOOKUP($A57,My_Audit!$A:$A,My_Audit!K:K,""),
_xlfn.IFS(_xlpm.MyAuditVal&lt;&gt;"",UPPER(_xlpm.MyAuditVal),_xlpm.MacVal&lt;&gt;"",_xlpm.MacVal,_xlpm.CSVVal&lt;&gt;"",_xlpm.CSVVal
)),"")</f>
        <v/>
      </c>
      <c r="M57" s="40" t="str" cm="1">
        <f t="array" ref="M57">IFERROR(_xlfn.LET(
_xlpm.CSVVal,_xlfn.XLOOKUP($A57,CSV!$A:$A,CSV!Q:Q,""),
_xlpm.MacVal,_xlfn.XLOOKUP($A57,Output_Mac!$A:$A,Output_Mac!M:M,""),
_xlpm.MyAuditVal,_xlfn.XLOOKUP($A57,My_Audit!$A:$A,My_Audit!L:L,""),
_xlfn.IFS(_xlpm.MyAuditVal&lt;&gt;"",UPPER(_xlpm.MyAuditVal),_xlpm.MacVal&lt;&gt;"",_xlpm.MacVal,_xlpm.CSVVal&lt;&gt;"",_xlpm.CSVVal
)),"")</f>
        <v/>
      </c>
      <c r="N57" s="40"/>
      <c r="O57" s="40" t="str">
        <f>_xlfn.LET(
    _xlpm.CSVVal, _xlfn.XLOOKUP($A57, CSV!$A:$A, CSV!AA:AA, ""),
    _xlpm.MacVal, _xlfn.XLOOKUP($A57, Output_Mac!$A:$A, Output_Mac!S:S, ""),
    _xlpm.MyAuditVal, _xlfn.XLOOKUP($A57, My_Audit!$A:$A, My_Audit!P:P, ""),
    _xlfn.TEXTJOIN(", ", TRUE, _xlpm.MyAuditVal, _xlpm.MacVal, _xlpm.CSVVal)
)</f>
        <v/>
      </c>
      <c r="P57" s="40" t="str" cm="1">
        <f t="array" ref="P57">IFERROR(_xlfn.LET(
_xlpm.CSVVal,_xlfn.XLOOKUP($A57,CSV!$A:$A,CSV!AB:AB,""),
_xlpm.MacVal,_xlfn.XLOOKUP($A57,Output_Mac!$A:$A,Output_Mac!T:T,""),
_xlpm.MyAuditVal,_xlfn.XLOOKUP($A57,My_Audit!$A:$A,My_Audit!Q:Q,""),
_xlfn.IFS(_xlpm.MyAuditVal&lt;&gt;"",UPPER(_xlpm.MyAuditVal),_xlpm.MacVal&lt;&gt;"",_xlpm.MacVal,_xlpm.CSVVal&lt;&gt;"",_xlpm.CSVVal
)),"No")</f>
        <v>No</v>
      </c>
      <c r="Q57" s="40" t="str" cm="1">
        <f t="array" ref="Q57">IFERROR(_xlfn.LET(
_xlpm.CSVVal,_xlfn.XLOOKUP($A57,CSV!$A:$A,CSV!AC:AC,""),
_xlpm.MacVal,_xlfn.XLOOKUP($A57,Output_Mac!$A:$A,Output_Mac!U:U,""),
_xlpm.MyAuditVal,_xlfn.XLOOKUP($A57,My_Audit!$A:$A,My_Audit!R:R,""),
_xlfn.IFS(_xlpm.MyAuditVal&lt;&gt;"",UPPER(_xlpm.MyAuditVal),_xlpm.MacVal&lt;&gt;"",_xlpm.MacVal,_xlpm.CSVVal&lt;&gt;"",_xlpm.CSVVal
)),"")</f>
        <v/>
      </c>
      <c r="R57" s="40"/>
      <c r="S57" s="40"/>
      <c r="T57" s="40"/>
      <c r="U57" s="40"/>
      <c r="V57" s="40"/>
      <c r="W57" s="40"/>
      <c r="X57" s="41" t="str">
        <f>_xlfn.LET(
    _xlpm.MacVal, _xlfn.XLOOKUP($A57, Output_Mac!$A:$A, Output_Mac!AB:AB, ""),
    _xlpm.MyAuditVal, _xlfn.XLOOKUP($A57, My_Audit!$A:$A, My_Audit!N:N, ""),
    _xlfn.TEXTJOIN(", ", TRUE, _xlpm.MyAuditVal, _xlpm.MacVal)
)</f>
        <v/>
      </c>
    </row>
    <row r="58" spans="1:24">
      <c r="A58" s="40" t="str">
        <f>_xlfn.TEXTJOIN("",TRUE,Input!$B$2,ROW(My_Audit!A57))</f>
        <v>X57</v>
      </c>
      <c r="B58" s="40" t="str">
        <f>_xlfn.TEXTJOIN("-",TRUE,"ITD",Input!$A$2,A58)</f>
        <v>ITD-X57</v>
      </c>
      <c r="C58" s="40" t="str" cm="1">
        <f t="array" ref="C58">IFERROR(_xlfn.LET(
_xlpm.CSVVal,_xlfn.XLOOKUP($A58,CSV!$A:$A,CSV!B:B,""),
_xlpm.MacVal,_xlfn.XLOOKUP($A58,Output_Mac!$A:$A,Output_Mac!B:B,""),
_xlpm.MyAuditVal,_xlfn.XLOOKUP($A58,My_Audit!$A:$A,My_Audit!B:B,""),
_xlfn.IFS(_xlpm.MyAuditVal&lt;&gt;"",UPPER(_xlpm.MyAuditVal),_xlpm.MacVal&lt;&gt;"",_xlpm.MacVal,_xlpm.CSVVal&lt;&gt;"",_xlpm.CSVVal
)),"")</f>
        <v/>
      </c>
      <c r="D58" s="40" t="str" cm="1">
        <f t="array" ref="D58">IFERROR(_xlfn.LET(
_xlpm.CSVVal,_xlfn.XLOOKUP($A58,CSV!$A:$A,CSV!D:D,""),
_xlpm.MacVal,_xlfn.XLOOKUP($A58,Output_Mac!$A:$A,Output_Mac!C:C,""),
_xlpm.MyAuditVal,_xlfn.XLOOKUP($A58,My_Audit!$A:$A,My_Audit!C:C,""),
_xlfn.IFS(_xlpm.MyAuditVal&lt;&gt;"",_xlpm.MyAuditVal,_xlpm.MacVal&lt;&gt;"",_xlpm.MacVal,_xlpm.CSVVal&lt;&gt;"",_xlpm.CSVVal
)),"")</f>
        <v/>
      </c>
      <c r="E58" s="40">
        <f>_xlfn.XLOOKUP(A58,My_Audit!A:A,My_Audit!D:D,"")</f>
        <v>0</v>
      </c>
      <c r="F58" s="40" t="str" cm="1">
        <f t="array" ref="F58">IFERROR(_xlfn.LET(
_xlpm.CSVVal,_xlfn.XLOOKUP($A58,CSV!$A:$A,CSV!F:F,""),
_xlpm.MacVal,_xlfn.XLOOKUP($A58,Output_Mac!$A:$A,Output_Mac!E:E,""),
_xlpm.MyAuditVal,_xlfn.XLOOKUP($A58,My_Audit!$A:$A,My_Audit!E:E,""),
_xlfn.IFS(_xlpm.MyAuditVal&lt;&gt;"",_xlpm.MyAuditVal,_xlpm.MacVal&lt;&gt;"",_xlpm.MacVal,_xlpm.CSVVal&lt;&gt;"",_xlpm.CSVVal
)),"")</f>
        <v/>
      </c>
      <c r="G58" s="40" t="str" cm="1">
        <f t="array" ref="G58">IFERROR(_xlfn.LET(
_xlpm.CSVVal,_xlfn.XLOOKUP($A58,CSV!$A:$A,CSV!G:G,""),
_xlpm.MacVal,_xlfn.XLOOKUP($A58,Output_Mac!$A:$A,Output_Mac!F:F,""),
_xlpm.MyAuditVal,_xlfn.XLOOKUP($A58,My_Audit!$A:$A,My_Audit!F:F,""),
_xlfn.IFS(_xlpm.MyAuditVal&lt;&gt;"",_xlpm.MyAuditVal,_xlpm.MacVal&lt;&gt;"",_xlpm.MacVal,_xlpm.CSVVal&lt;&gt;"",PROPER(_xlpm.CSVVal)
)),"")</f>
        <v/>
      </c>
      <c r="H58" s="40" t="str" cm="1">
        <f t="array" ref="H58">IFERROR(_xlfn.LET(
_xlpm.CSVVal,_xlfn.XLOOKUP($A58,CSV!$A:$A,CSV!H:H,""),
_xlpm.MacVal,_xlfn.XLOOKUP($A58,Output_Mac!$A:$A,Output_Mac!H:H,""),
_xlpm.MyAuditVal,_xlfn.XLOOKUP($A58,My_Audit!$A:$A,My_Audit!G:G,""),
_xlfn.IFS(_xlpm.MyAuditVal&lt;&gt;"",_xlpm.MyAuditVal,_xlpm.MacVal&lt;&gt;"",_xlpm.MacVal,_xlpm.CSVVal&lt;&gt;"",_xlpm.CSVVal
)),"")</f>
        <v/>
      </c>
      <c r="I58" s="40" t="str">
        <f>_xlfn.XLOOKUP(A58,Output_Mac!A:A,Output_Mac!I:I,"")</f>
        <v/>
      </c>
      <c r="J58" s="40" t="str" cm="1">
        <f t="array" ref="J58">IFERROR(_xlfn.LET(
_xlpm.CSVVal,_xlfn.XLOOKUP($A58,CSV!$A:$A,CSV!I:I,""),
_xlpm.MacVal,_xlfn.XLOOKUP($A58,Output_Mac!$A:$A,Output_Mac!J:J,""),
_xlpm.MyAuditVal,_xlfn.XLOOKUP($A58,My_Audit!$A:$A,My_Audit!I:I,""),
_xlfn.IFS(_xlpm.MyAuditVal&lt;&gt;"",UPPER(_xlpm.MyAuditVal),_xlpm.MacVal&lt;&gt;"",_xlpm.MacVal,_xlpm.CSVVal&lt;&gt;"",_xlpm.CSVVal
)),"")</f>
        <v/>
      </c>
      <c r="K58" s="40" t="str" cm="1">
        <f t="array" ref="K58">IFERROR(_xlfn.LET(
_xlpm.CSVVal,_xlfn.XLOOKUP($A58,CSV!$A:$A,CSV!K:K,""),
_xlpm.MacVal,_xlfn.XLOOKUP($A58,Output_Mac!$A:$A,Output_Mac!K:K,""),
_xlpm.MyAuditVal,_xlfn.XLOOKUP($A58,My_Audit!$A:$A,My_Audit!J:J,""),
_xlfn.IFS(_xlpm.MyAuditVal&lt;&gt;"",UPPER(_xlpm.MyAuditVal),_xlpm.MacVal&lt;&gt;"",_xlpm.MacVal,_xlpm.CSVVal&lt;&gt;"",_xlpm.CSVVal
)),"")</f>
        <v/>
      </c>
      <c r="L58" s="40" t="str" cm="1">
        <f t="array" ref="L58">IFERROR(_xlfn.LET(
_xlpm.CSVVal,_xlfn.XLOOKUP($A58,CSV!$A:$A,CSV!P:P,""),
_xlpm.MacVal,_xlfn.XLOOKUP($A58,Output_Mac!$A:$A,Output_Mac!L:L,""),
_xlpm.MyAuditVal,_xlfn.XLOOKUP($A58,My_Audit!$A:$A,My_Audit!K:K,""),
_xlfn.IFS(_xlpm.MyAuditVal&lt;&gt;"",UPPER(_xlpm.MyAuditVal),_xlpm.MacVal&lt;&gt;"",_xlpm.MacVal,_xlpm.CSVVal&lt;&gt;"",_xlpm.CSVVal
)),"")</f>
        <v/>
      </c>
      <c r="M58" s="40" t="str" cm="1">
        <f t="array" ref="M58">IFERROR(_xlfn.LET(
_xlpm.CSVVal,_xlfn.XLOOKUP($A58,CSV!$A:$A,CSV!Q:Q,""),
_xlpm.MacVal,_xlfn.XLOOKUP($A58,Output_Mac!$A:$A,Output_Mac!M:M,""),
_xlpm.MyAuditVal,_xlfn.XLOOKUP($A58,My_Audit!$A:$A,My_Audit!L:L,""),
_xlfn.IFS(_xlpm.MyAuditVal&lt;&gt;"",UPPER(_xlpm.MyAuditVal),_xlpm.MacVal&lt;&gt;"",_xlpm.MacVal,_xlpm.CSVVal&lt;&gt;"",_xlpm.CSVVal
)),"")</f>
        <v/>
      </c>
      <c r="N58" s="40"/>
      <c r="O58" s="40" t="str">
        <f>_xlfn.LET(
    _xlpm.CSVVal, _xlfn.XLOOKUP($A58, CSV!$A:$A, CSV!AA:AA, ""),
    _xlpm.MacVal, _xlfn.XLOOKUP($A58, Output_Mac!$A:$A, Output_Mac!S:S, ""),
    _xlpm.MyAuditVal, _xlfn.XLOOKUP($A58, My_Audit!$A:$A, My_Audit!P:P, ""),
    _xlfn.TEXTJOIN(", ", TRUE, _xlpm.MyAuditVal, _xlpm.MacVal, _xlpm.CSVVal)
)</f>
        <v/>
      </c>
      <c r="P58" s="40" t="str" cm="1">
        <f t="array" ref="P58">IFERROR(_xlfn.LET(
_xlpm.CSVVal,_xlfn.XLOOKUP($A58,CSV!$A:$A,CSV!AB:AB,""),
_xlpm.MacVal,_xlfn.XLOOKUP($A58,Output_Mac!$A:$A,Output_Mac!T:T,""),
_xlpm.MyAuditVal,_xlfn.XLOOKUP($A58,My_Audit!$A:$A,My_Audit!Q:Q,""),
_xlfn.IFS(_xlpm.MyAuditVal&lt;&gt;"",UPPER(_xlpm.MyAuditVal),_xlpm.MacVal&lt;&gt;"",_xlpm.MacVal,_xlpm.CSVVal&lt;&gt;"",_xlpm.CSVVal
)),"No")</f>
        <v>No</v>
      </c>
      <c r="Q58" s="40" t="str" cm="1">
        <f t="array" ref="Q58">IFERROR(_xlfn.LET(
_xlpm.CSVVal,_xlfn.XLOOKUP($A58,CSV!$A:$A,CSV!AC:AC,""),
_xlpm.MacVal,_xlfn.XLOOKUP($A58,Output_Mac!$A:$A,Output_Mac!U:U,""),
_xlpm.MyAuditVal,_xlfn.XLOOKUP($A58,My_Audit!$A:$A,My_Audit!R:R,""),
_xlfn.IFS(_xlpm.MyAuditVal&lt;&gt;"",UPPER(_xlpm.MyAuditVal),_xlpm.MacVal&lt;&gt;"",_xlpm.MacVal,_xlpm.CSVVal&lt;&gt;"",_xlpm.CSVVal
)),"")</f>
        <v/>
      </c>
      <c r="R58" s="40"/>
      <c r="S58" s="40"/>
      <c r="T58" s="40"/>
      <c r="U58" s="40"/>
      <c r="V58" s="40"/>
      <c r="W58" s="40"/>
      <c r="X58" s="41" t="str">
        <f>_xlfn.LET(
    _xlpm.MacVal, _xlfn.XLOOKUP($A58, Output_Mac!$A:$A, Output_Mac!AB:AB, ""),
    _xlpm.MyAuditVal, _xlfn.XLOOKUP($A58, My_Audit!$A:$A, My_Audit!N:N, ""),
    _xlfn.TEXTJOIN(", ", TRUE, _xlpm.MyAuditVal, _xlpm.MacVal)
)</f>
        <v/>
      </c>
    </row>
    <row r="59" spans="1:24">
      <c r="A59" s="40" t="str">
        <f>_xlfn.TEXTJOIN("",TRUE,Input!$B$2,ROW(My_Audit!A58))</f>
        <v>X58</v>
      </c>
      <c r="B59" s="40" t="str">
        <f>_xlfn.TEXTJOIN("-",TRUE,"ITD",Input!$A$2,A59)</f>
        <v>ITD-X58</v>
      </c>
      <c r="C59" s="40" t="str" cm="1">
        <f t="array" ref="C59">IFERROR(_xlfn.LET(
_xlpm.CSVVal,_xlfn.XLOOKUP($A59,CSV!$A:$A,CSV!B:B,""),
_xlpm.MacVal,_xlfn.XLOOKUP($A59,Output_Mac!$A:$A,Output_Mac!B:B,""),
_xlpm.MyAuditVal,_xlfn.XLOOKUP($A59,My_Audit!$A:$A,My_Audit!B:B,""),
_xlfn.IFS(_xlpm.MyAuditVal&lt;&gt;"",UPPER(_xlpm.MyAuditVal),_xlpm.MacVal&lt;&gt;"",_xlpm.MacVal,_xlpm.CSVVal&lt;&gt;"",_xlpm.CSVVal
)),"")</f>
        <v/>
      </c>
      <c r="D59" s="40" t="str" cm="1">
        <f t="array" ref="D59">IFERROR(_xlfn.LET(
_xlpm.CSVVal,_xlfn.XLOOKUP($A59,CSV!$A:$A,CSV!D:D,""),
_xlpm.MacVal,_xlfn.XLOOKUP($A59,Output_Mac!$A:$A,Output_Mac!C:C,""),
_xlpm.MyAuditVal,_xlfn.XLOOKUP($A59,My_Audit!$A:$A,My_Audit!C:C,""),
_xlfn.IFS(_xlpm.MyAuditVal&lt;&gt;"",_xlpm.MyAuditVal,_xlpm.MacVal&lt;&gt;"",_xlpm.MacVal,_xlpm.CSVVal&lt;&gt;"",_xlpm.CSVVal
)),"")</f>
        <v/>
      </c>
      <c r="E59" s="40">
        <f>_xlfn.XLOOKUP(A59,My_Audit!A:A,My_Audit!D:D,"")</f>
        <v>0</v>
      </c>
      <c r="F59" s="40" t="str" cm="1">
        <f t="array" ref="F59">IFERROR(_xlfn.LET(
_xlpm.CSVVal,_xlfn.XLOOKUP($A59,CSV!$A:$A,CSV!F:F,""),
_xlpm.MacVal,_xlfn.XLOOKUP($A59,Output_Mac!$A:$A,Output_Mac!E:E,""),
_xlpm.MyAuditVal,_xlfn.XLOOKUP($A59,My_Audit!$A:$A,My_Audit!E:E,""),
_xlfn.IFS(_xlpm.MyAuditVal&lt;&gt;"",_xlpm.MyAuditVal,_xlpm.MacVal&lt;&gt;"",_xlpm.MacVal,_xlpm.CSVVal&lt;&gt;"",_xlpm.CSVVal
)),"")</f>
        <v/>
      </c>
      <c r="G59" s="40" t="str" cm="1">
        <f t="array" ref="G59">IFERROR(_xlfn.LET(
_xlpm.CSVVal,_xlfn.XLOOKUP($A59,CSV!$A:$A,CSV!G:G,""),
_xlpm.MacVal,_xlfn.XLOOKUP($A59,Output_Mac!$A:$A,Output_Mac!F:F,""),
_xlpm.MyAuditVal,_xlfn.XLOOKUP($A59,My_Audit!$A:$A,My_Audit!F:F,""),
_xlfn.IFS(_xlpm.MyAuditVal&lt;&gt;"",_xlpm.MyAuditVal,_xlpm.MacVal&lt;&gt;"",_xlpm.MacVal,_xlpm.CSVVal&lt;&gt;"",PROPER(_xlpm.CSVVal)
)),"")</f>
        <v/>
      </c>
      <c r="H59" s="40" t="str" cm="1">
        <f t="array" ref="H59">IFERROR(_xlfn.LET(
_xlpm.CSVVal,_xlfn.XLOOKUP($A59,CSV!$A:$A,CSV!H:H,""),
_xlpm.MacVal,_xlfn.XLOOKUP($A59,Output_Mac!$A:$A,Output_Mac!H:H,""),
_xlpm.MyAuditVal,_xlfn.XLOOKUP($A59,My_Audit!$A:$A,My_Audit!G:G,""),
_xlfn.IFS(_xlpm.MyAuditVal&lt;&gt;"",_xlpm.MyAuditVal,_xlpm.MacVal&lt;&gt;"",_xlpm.MacVal,_xlpm.CSVVal&lt;&gt;"",_xlpm.CSVVal
)),"")</f>
        <v/>
      </c>
      <c r="I59" s="40" t="str">
        <f>_xlfn.XLOOKUP(A59,Output_Mac!A:A,Output_Mac!I:I,"")</f>
        <v/>
      </c>
      <c r="J59" s="40" t="str" cm="1">
        <f t="array" ref="J59">IFERROR(_xlfn.LET(
_xlpm.CSVVal,_xlfn.XLOOKUP($A59,CSV!$A:$A,CSV!I:I,""),
_xlpm.MacVal,_xlfn.XLOOKUP($A59,Output_Mac!$A:$A,Output_Mac!J:J,""),
_xlpm.MyAuditVal,_xlfn.XLOOKUP($A59,My_Audit!$A:$A,My_Audit!I:I,""),
_xlfn.IFS(_xlpm.MyAuditVal&lt;&gt;"",UPPER(_xlpm.MyAuditVal),_xlpm.MacVal&lt;&gt;"",_xlpm.MacVal,_xlpm.CSVVal&lt;&gt;"",_xlpm.CSVVal
)),"")</f>
        <v/>
      </c>
      <c r="K59" s="40" t="str" cm="1">
        <f t="array" ref="K59">IFERROR(_xlfn.LET(
_xlpm.CSVVal,_xlfn.XLOOKUP($A59,CSV!$A:$A,CSV!K:K,""),
_xlpm.MacVal,_xlfn.XLOOKUP($A59,Output_Mac!$A:$A,Output_Mac!K:K,""),
_xlpm.MyAuditVal,_xlfn.XLOOKUP($A59,My_Audit!$A:$A,My_Audit!J:J,""),
_xlfn.IFS(_xlpm.MyAuditVal&lt;&gt;"",UPPER(_xlpm.MyAuditVal),_xlpm.MacVal&lt;&gt;"",_xlpm.MacVal,_xlpm.CSVVal&lt;&gt;"",_xlpm.CSVVal
)),"")</f>
        <v/>
      </c>
      <c r="L59" s="40" t="str" cm="1">
        <f t="array" ref="L59">IFERROR(_xlfn.LET(
_xlpm.CSVVal,_xlfn.XLOOKUP($A59,CSV!$A:$A,CSV!P:P,""),
_xlpm.MacVal,_xlfn.XLOOKUP($A59,Output_Mac!$A:$A,Output_Mac!L:L,""),
_xlpm.MyAuditVal,_xlfn.XLOOKUP($A59,My_Audit!$A:$A,My_Audit!K:K,""),
_xlfn.IFS(_xlpm.MyAuditVal&lt;&gt;"",UPPER(_xlpm.MyAuditVal),_xlpm.MacVal&lt;&gt;"",_xlpm.MacVal,_xlpm.CSVVal&lt;&gt;"",_xlpm.CSVVal
)),"")</f>
        <v/>
      </c>
      <c r="M59" s="40" t="str" cm="1">
        <f t="array" ref="M59">IFERROR(_xlfn.LET(
_xlpm.CSVVal,_xlfn.XLOOKUP($A59,CSV!$A:$A,CSV!Q:Q,""),
_xlpm.MacVal,_xlfn.XLOOKUP($A59,Output_Mac!$A:$A,Output_Mac!M:M,""),
_xlpm.MyAuditVal,_xlfn.XLOOKUP($A59,My_Audit!$A:$A,My_Audit!L:L,""),
_xlfn.IFS(_xlpm.MyAuditVal&lt;&gt;"",UPPER(_xlpm.MyAuditVal),_xlpm.MacVal&lt;&gt;"",_xlpm.MacVal,_xlpm.CSVVal&lt;&gt;"",_xlpm.CSVVal
)),"")</f>
        <v/>
      </c>
      <c r="N59" s="40"/>
      <c r="O59" s="40" t="str">
        <f>_xlfn.LET(
    _xlpm.CSVVal, _xlfn.XLOOKUP($A59, CSV!$A:$A, CSV!AA:AA, ""),
    _xlpm.MacVal, _xlfn.XLOOKUP($A59, Output_Mac!$A:$A, Output_Mac!S:S, ""),
    _xlpm.MyAuditVal, _xlfn.XLOOKUP($A59, My_Audit!$A:$A, My_Audit!P:P, ""),
    _xlfn.TEXTJOIN(", ", TRUE, _xlpm.MyAuditVal, _xlpm.MacVal, _xlpm.CSVVal)
)</f>
        <v/>
      </c>
      <c r="P59" s="40" t="str" cm="1">
        <f t="array" ref="P59">IFERROR(_xlfn.LET(
_xlpm.CSVVal,_xlfn.XLOOKUP($A59,CSV!$A:$A,CSV!AB:AB,""),
_xlpm.MacVal,_xlfn.XLOOKUP($A59,Output_Mac!$A:$A,Output_Mac!T:T,""),
_xlpm.MyAuditVal,_xlfn.XLOOKUP($A59,My_Audit!$A:$A,My_Audit!Q:Q,""),
_xlfn.IFS(_xlpm.MyAuditVal&lt;&gt;"",UPPER(_xlpm.MyAuditVal),_xlpm.MacVal&lt;&gt;"",_xlpm.MacVal,_xlpm.CSVVal&lt;&gt;"",_xlpm.CSVVal
)),"No")</f>
        <v>No</v>
      </c>
      <c r="Q59" s="40" t="str" cm="1">
        <f t="array" ref="Q59">IFERROR(_xlfn.LET(
_xlpm.CSVVal,_xlfn.XLOOKUP($A59,CSV!$A:$A,CSV!AC:AC,""),
_xlpm.MacVal,_xlfn.XLOOKUP($A59,Output_Mac!$A:$A,Output_Mac!U:U,""),
_xlpm.MyAuditVal,_xlfn.XLOOKUP($A59,My_Audit!$A:$A,My_Audit!R:R,""),
_xlfn.IFS(_xlpm.MyAuditVal&lt;&gt;"",UPPER(_xlpm.MyAuditVal),_xlpm.MacVal&lt;&gt;"",_xlpm.MacVal,_xlpm.CSVVal&lt;&gt;"",_xlpm.CSVVal
)),"")</f>
        <v/>
      </c>
      <c r="R59" s="40"/>
      <c r="S59" s="40"/>
      <c r="T59" s="40"/>
      <c r="U59" s="40"/>
      <c r="V59" s="40"/>
      <c r="W59" s="40"/>
      <c r="X59" s="41" t="str">
        <f>_xlfn.LET(
    _xlpm.MacVal, _xlfn.XLOOKUP($A59, Output_Mac!$A:$A, Output_Mac!AB:AB, ""),
    _xlpm.MyAuditVal, _xlfn.XLOOKUP($A59, My_Audit!$A:$A, My_Audit!N:N, ""),
    _xlfn.TEXTJOIN(", ", TRUE, _xlpm.MyAuditVal, _xlpm.MacVal)
)</f>
        <v/>
      </c>
    </row>
    <row r="60" spans="1:24">
      <c r="A60" s="40" t="str">
        <f>_xlfn.TEXTJOIN("",TRUE,Input!$B$2,ROW(My_Audit!A59))</f>
        <v>X59</v>
      </c>
      <c r="B60" s="40" t="str">
        <f>_xlfn.TEXTJOIN("-",TRUE,"ITD",Input!$A$2,A60)</f>
        <v>ITD-X59</v>
      </c>
      <c r="C60" s="40" t="str" cm="1">
        <f t="array" ref="C60">IFERROR(_xlfn.LET(
_xlpm.CSVVal,_xlfn.XLOOKUP($A60,CSV!$A:$A,CSV!B:B,""),
_xlpm.MacVal,_xlfn.XLOOKUP($A60,Output_Mac!$A:$A,Output_Mac!B:B,""),
_xlpm.MyAuditVal,_xlfn.XLOOKUP($A60,My_Audit!$A:$A,My_Audit!B:B,""),
_xlfn.IFS(_xlpm.MyAuditVal&lt;&gt;"",UPPER(_xlpm.MyAuditVal),_xlpm.MacVal&lt;&gt;"",_xlpm.MacVal,_xlpm.CSVVal&lt;&gt;"",_xlpm.CSVVal
)),"")</f>
        <v/>
      </c>
      <c r="D60" s="40" t="str" cm="1">
        <f t="array" ref="D60">IFERROR(_xlfn.LET(
_xlpm.CSVVal,_xlfn.XLOOKUP($A60,CSV!$A:$A,CSV!D:D,""),
_xlpm.MacVal,_xlfn.XLOOKUP($A60,Output_Mac!$A:$A,Output_Mac!C:C,""),
_xlpm.MyAuditVal,_xlfn.XLOOKUP($A60,My_Audit!$A:$A,My_Audit!C:C,""),
_xlfn.IFS(_xlpm.MyAuditVal&lt;&gt;"",_xlpm.MyAuditVal,_xlpm.MacVal&lt;&gt;"",_xlpm.MacVal,_xlpm.CSVVal&lt;&gt;"",_xlpm.CSVVal
)),"")</f>
        <v/>
      </c>
      <c r="E60" s="40">
        <f>_xlfn.XLOOKUP(A60,My_Audit!A:A,My_Audit!D:D,"")</f>
        <v>0</v>
      </c>
      <c r="F60" s="40" t="str" cm="1">
        <f t="array" ref="F60">IFERROR(_xlfn.LET(
_xlpm.CSVVal,_xlfn.XLOOKUP($A60,CSV!$A:$A,CSV!F:F,""),
_xlpm.MacVal,_xlfn.XLOOKUP($A60,Output_Mac!$A:$A,Output_Mac!E:E,""),
_xlpm.MyAuditVal,_xlfn.XLOOKUP($A60,My_Audit!$A:$A,My_Audit!E:E,""),
_xlfn.IFS(_xlpm.MyAuditVal&lt;&gt;"",_xlpm.MyAuditVal,_xlpm.MacVal&lt;&gt;"",_xlpm.MacVal,_xlpm.CSVVal&lt;&gt;"",_xlpm.CSVVal
)),"")</f>
        <v/>
      </c>
      <c r="G60" s="40" t="str" cm="1">
        <f t="array" ref="G60">IFERROR(_xlfn.LET(
_xlpm.CSVVal,_xlfn.XLOOKUP($A60,CSV!$A:$A,CSV!G:G,""),
_xlpm.MacVal,_xlfn.XLOOKUP($A60,Output_Mac!$A:$A,Output_Mac!F:F,""),
_xlpm.MyAuditVal,_xlfn.XLOOKUP($A60,My_Audit!$A:$A,My_Audit!F:F,""),
_xlfn.IFS(_xlpm.MyAuditVal&lt;&gt;"",_xlpm.MyAuditVal,_xlpm.MacVal&lt;&gt;"",_xlpm.MacVal,_xlpm.CSVVal&lt;&gt;"",PROPER(_xlpm.CSVVal)
)),"")</f>
        <v/>
      </c>
      <c r="H60" s="40" t="str" cm="1">
        <f t="array" ref="H60">IFERROR(_xlfn.LET(
_xlpm.CSVVal,_xlfn.XLOOKUP($A60,CSV!$A:$A,CSV!H:H,""),
_xlpm.MacVal,_xlfn.XLOOKUP($A60,Output_Mac!$A:$A,Output_Mac!H:H,""),
_xlpm.MyAuditVal,_xlfn.XLOOKUP($A60,My_Audit!$A:$A,My_Audit!G:G,""),
_xlfn.IFS(_xlpm.MyAuditVal&lt;&gt;"",_xlpm.MyAuditVal,_xlpm.MacVal&lt;&gt;"",_xlpm.MacVal,_xlpm.CSVVal&lt;&gt;"",_xlpm.CSVVal
)),"")</f>
        <v/>
      </c>
      <c r="I60" s="40" t="str">
        <f>_xlfn.XLOOKUP(A60,Output_Mac!A:A,Output_Mac!I:I,"")</f>
        <v/>
      </c>
      <c r="J60" s="40" t="str" cm="1">
        <f t="array" ref="J60">IFERROR(_xlfn.LET(
_xlpm.CSVVal,_xlfn.XLOOKUP($A60,CSV!$A:$A,CSV!I:I,""),
_xlpm.MacVal,_xlfn.XLOOKUP($A60,Output_Mac!$A:$A,Output_Mac!J:J,""),
_xlpm.MyAuditVal,_xlfn.XLOOKUP($A60,My_Audit!$A:$A,My_Audit!I:I,""),
_xlfn.IFS(_xlpm.MyAuditVal&lt;&gt;"",UPPER(_xlpm.MyAuditVal),_xlpm.MacVal&lt;&gt;"",_xlpm.MacVal,_xlpm.CSVVal&lt;&gt;"",_xlpm.CSVVal
)),"")</f>
        <v/>
      </c>
      <c r="K60" s="40" t="str" cm="1">
        <f t="array" ref="K60">IFERROR(_xlfn.LET(
_xlpm.CSVVal,_xlfn.XLOOKUP($A60,CSV!$A:$A,CSV!K:K,""),
_xlpm.MacVal,_xlfn.XLOOKUP($A60,Output_Mac!$A:$A,Output_Mac!K:K,""),
_xlpm.MyAuditVal,_xlfn.XLOOKUP($A60,My_Audit!$A:$A,My_Audit!J:J,""),
_xlfn.IFS(_xlpm.MyAuditVal&lt;&gt;"",UPPER(_xlpm.MyAuditVal),_xlpm.MacVal&lt;&gt;"",_xlpm.MacVal,_xlpm.CSVVal&lt;&gt;"",_xlpm.CSVVal
)),"")</f>
        <v/>
      </c>
      <c r="L60" s="40" t="str" cm="1">
        <f t="array" ref="L60">IFERROR(_xlfn.LET(
_xlpm.CSVVal,_xlfn.XLOOKUP($A60,CSV!$A:$A,CSV!P:P,""),
_xlpm.MacVal,_xlfn.XLOOKUP($A60,Output_Mac!$A:$A,Output_Mac!L:L,""),
_xlpm.MyAuditVal,_xlfn.XLOOKUP($A60,My_Audit!$A:$A,My_Audit!K:K,""),
_xlfn.IFS(_xlpm.MyAuditVal&lt;&gt;"",UPPER(_xlpm.MyAuditVal),_xlpm.MacVal&lt;&gt;"",_xlpm.MacVal,_xlpm.CSVVal&lt;&gt;"",_xlpm.CSVVal
)),"")</f>
        <v/>
      </c>
      <c r="M60" s="40" t="str" cm="1">
        <f t="array" ref="M60">IFERROR(_xlfn.LET(
_xlpm.CSVVal,_xlfn.XLOOKUP($A60,CSV!$A:$A,CSV!Q:Q,""),
_xlpm.MacVal,_xlfn.XLOOKUP($A60,Output_Mac!$A:$A,Output_Mac!M:M,""),
_xlpm.MyAuditVal,_xlfn.XLOOKUP($A60,My_Audit!$A:$A,My_Audit!L:L,""),
_xlfn.IFS(_xlpm.MyAuditVal&lt;&gt;"",UPPER(_xlpm.MyAuditVal),_xlpm.MacVal&lt;&gt;"",_xlpm.MacVal,_xlpm.CSVVal&lt;&gt;"",_xlpm.CSVVal
)),"")</f>
        <v/>
      </c>
      <c r="N60" s="40"/>
      <c r="O60" s="40" t="str">
        <f>_xlfn.LET(
    _xlpm.CSVVal, _xlfn.XLOOKUP($A60, CSV!$A:$A, CSV!AA:AA, ""),
    _xlpm.MacVal, _xlfn.XLOOKUP($A60, Output_Mac!$A:$A, Output_Mac!S:S, ""),
    _xlpm.MyAuditVal, _xlfn.XLOOKUP($A60, My_Audit!$A:$A, My_Audit!P:P, ""),
    _xlfn.TEXTJOIN(", ", TRUE, _xlpm.MyAuditVal, _xlpm.MacVal, _xlpm.CSVVal)
)</f>
        <v/>
      </c>
      <c r="P60" s="40" t="str" cm="1">
        <f t="array" ref="P60">IFERROR(_xlfn.LET(
_xlpm.CSVVal,_xlfn.XLOOKUP($A60,CSV!$A:$A,CSV!AB:AB,""),
_xlpm.MacVal,_xlfn.XLOOKUP($A60,Output_Mac!$A:$A,Output_Mac!T:T,""),
_xlpm.MyAuditVal,_xlfn.XLOOKUP($A60,My_Audit!$A:$A,My_Audit!Q:Q,""),
_xlfn.IFS(_xlpm.MyAuditVal&lt;&gt;"",UPPER(_xlpm.MyAuditVal),_xlpm.MacVal&lt;&gt;"",_xlpm.MacVal,_xlpm.CSVVal&lt;&gt;"",_xlpm.CSVVal
)),"No")</f>
        <v>No</v>
      </c>
      <c r="Q60" s="40" t="str" cm="1">
        <f t="array" ref="Q60">IFERROR(_xlfn.LET(
_xlpm.CSVVal,_xlfn.XLOOKUP($A60,CSV!$A:$A,CSV!AC:AC,""),
_xlpm.MacVal,_xlfn.XLOOKUP($A60,Output_Mac!$A:$A,Output_Mac!U:U,""),
_xlpm.MyAuditVal,_xlfn.XLOOKUP($A60,My_Audit!$A:$A,My_Audit!R:R,""),
_xlfn.IFS(_xlpm.MyAuditVal&lt;&gt;"",UPPER(_xlpm.MyAuditVal),_xlpm.MacVal&lt;&gt;"",_xlpm.MacVal,_xlpm.CSVVal&lt;&gt;"",_xlpm.CSVVal
)),"")</f>
        <v/>
      </c>
      <c r="R60" s="40"/>
      <c r="S60" s="40"/>
      <c r="T60" s="40"/>
      <c r="U60" s="40"/>
      <c r="V60" s="40"/>
      <c r="W60" s="40"/>
      <c r="X60" s="41" t="str">
        <f>_xlfn.LET(
    _xlpm.MacVal, _xlfn.XLOOKUP($A60, Output_Mac!$A:$A, Output_Mac!AB:AB, ""),
    _xlpm.MyAuditVal, _xlfn.XLOOKUP($A60, My_Audit!$A:$A, My_Audit!N:N, ""),
    _xlfn.TEXTJOIN(", ", TRUE, _xlpm.MyAuditVal, _xlpm.MacVal)
)</f>
        <v/>
      </c>
    </row>
    <row r="61" spans="1:24">
      <c r="A61" s="40" t="str">
        <f>_xlfn.TEXTJOIN("",TRUE,Input!$B$2,ROW(My_Audit!A60))</f>
        <v>X60</v>
      </c>
      <c r="B61" s="40" t="str">
        <f>_xlfn.TEXTJOIN("-",TRUE,"ITD",Input!$A$2,A61)</f>
        <v>ITD-X60</v>
      </c>
      <c r="C61" s="40" t="str" cm="1">
        <f t="array" ref="C61">IFERROR(_xlfn.LET(
_xlpm.CSVVal,_xlfn.XLOOKUP($A61,CSV!$A:$A,CSV!B:B,""),
_xlpm.MacVal,_xlfn.XLOOKUP($A61,Output_Mac!$A:$A,Output_Mac!B:B,""),
_xlpm.MyAuditVal,_xlfn.XLOOKUP($A61,My_Audit!$A:$A,My_Audit!B:B,""),
_xlfn.IFS(_xlpm.MyAuditVal&lt;&gt;"",UPPER(_xlpm.MyAuditVal),_xlpm.MacVal&lt;&gt;"",_xlpm.MacVal,_xlpm.CSVVal&lt;&gt;"",_xlpm.CSVVal
)),"")</f>
        <v/>
      </c>
      <c r="D61" s="40" t="str" cm="1">
        <f t="array" ref="D61">IFERROR(_xlfn.LET(
_xlpm.CSVVal,_xlfn.XLOOKUP($A61,CSV!$A:$A,CSV!D:D,""),
_xlpm.MacVal,_xlfn.XLOOKUP($A61,Output_Mac!$A:$A,Output_Mac!C:C,""),
_xlpm.MyAuditVal,_xlfn.XLOOKUP($A61,My_Audit!$A:$A,My_Audit!C:C,""),
_xlfn.IFS(_xlpm.MyAuditVal&lt;&gt;"",_xlpm.MyAuditVal,_xlpm.MacVal&lt;&gt;"",_xlpm.MacVal,_xlpm.CSVVal&lt;&gt;"",_xlpm.CSVVal
)),"")</f>
        <v/>
      </c>
      <c r="E61" s="40">
        <f>_xlfn.XLOOKUP(A61,My_Audit!A:A,My_Audit!D:D,"")</f>
        <v>0</v>
      </c>
      <c r="F61" s="40" t="str" cm="1">
        <f t="array" ref="F61">IFERROR(_xlfn.LET(
_xlpm.CSVVal,_xlfn.XLOOKUP($A61,CSV!$A:$A,CSV!F:F,""),
_xlpm.MacVal,_xlfn.XLOOKUP($A61,Output_Mac!$A:$A,Output_Mac!E:E,""),
_xlpm.MyAuditVal,_xlfn.XLOOKUP($A61,My_Audit!$A:$A,My_Audit!E:E,""),
_xlfn.IFS(_xlpm.MyAuditVal&lt;&gt;"",_xlpm.MyAuditVal,_xlpm.MacVal&lt;&gt;"",_xlpm.MacVal,_xlpm.CSVVal&lt;&gt;"",_xlpm.CSVVal
)),"")</f>
        <v/>
      </c>
      <c r="G61" s="40" t="str" cm="1">
        <f t="array" ref="G61">IFERROR(_xlfn.LET(
_xlpm.CSVVal,_xlfn.XLOOKUP($A61,CSV!$A:$A,CSV!G:G,""),
_xlpm.MacVal,_xlfn.XLOOKUP($A61,Output_Mac!$A:$A,Output_Mac!F:F,""),
_xlpm.MyAuditVal,_xlfn.XLOOKUP($A61,My_Audit!$A:$A,My_Audit!F:F,""),
_xlfn.IFS(_xlpm.MyAuditVal&lt;&gt;"",_xlpm.MyAuditVal,_xlpm.MacVal&lt;&gt;"",_xlpm.MacVal,_xlpm.CSVVal&lt;&gt;"",PROPER(_xlpm.CSVVal)
)),"")</f>
        <v/>
      </c>
      <c r="H61" s="40" t="str" cm="1">
        <f t="array" ref="H61">IFERROR(_xlfn.LET(
_xlpm.CSVVal,_xlfn.XLOOKUP($A61,CSV!$A:$A,CSV!H:H,""),
_xlpm.MacVal,_xlfn.XLOOKUP($A61,Output_Mac!$A:$A,Output_Mac!H:H,""),
_xlpm.MyAuditVal,_xlfn.XLOOKUP($A61,My_Audit!$A:$A,My_Audit!G:G,""),
_xlfn.IFS(_xlpm.MyAuditVal&lt;&gt;"",_xlpm.MyAuditVal,_xlpm.MacVal&lt;&gt;"",_xlpm.MacVal,_xlpm.CSVVal&lt;&gt;"",_xlpm.CSVVal
)),"")</f>
        <v/>
      </c>
      <c r="I61" s="40" t="str">
        <f>_xlfn.XLOOKUP(A61,Output_Mac!A:A,Output_Mac!I:I,"")</f>
        <v/>
      </c>
      <c r="J61" s="40" t="str" cm="1">
        <f t="array" ref="J61">IFERROR(_xlfn.LET(
_xlpm.CSVVal,_xlfn.XLOOKUP($A61,CSV!$A:$A,CSV!I:I,""),
_xlpm.MacVal,_xlfn.XLOOKUP($A61,Output_Mac!$A:$A,Output_Mac!J:J,""),
_xlpm.MyAuditVal,_xlfn.XLOOKUP($A61,My_Audit!$A:$A,My_Audit!I:I,""),
_xlfn.IFS(_xlpm.MyAuditVal&lt;&gt;"",UPPER(_xlpm.MyAuditVal),_xlpm.MacVal&lt;&gt;"",_xlpm.MacVal,_xlpm.CSVVal&lt;&gt;"",_xlpm.CSVVal
)),"")</f>
        <v/>
      </c>
      <c r="K61" s="40" t="str" cm="1">
        <f t="array" ref="K61">IFERROR(_xlfn.LET(
_xlpm.CSVVal,_xlfn.XLOOKUP($A61,CSV!$A:$A,CSV!K:K,""),
_xlpm.MacVal,_xlfn.XLOOKUP($A61,Output_Mac!$A:$A,Output_Mac!K:K,""),
_xlpm.MyAuditVal,_xlfn.XLOOKUP($A61,My_Audit!$A:$A,My_Audit!J:J,""),
_xlfn.IFS(_xlpm.MyAuditVal&lt;&gt;"",UPPER(_xlpm.MyAuditVal),_xlpm.MacVal&lt;&gt;"",_xlpm.MacVal,_xlpm.CSVVal&lt;&gt;"",_xlpm.CSVVal
)),"")</f>
        <v/>
      </c>
      <c r="L61" s="40" t="str" cm="1">
        <f t="array" ref="L61">IFERROR(_xlfn.LET(
_xlpm.CSVVal,_xlfn.XLOOKUP($A61,CSV!$A:$A,CSV!P:P,""),
_xlpm.MacVal,_xlfn.XLOOKUP($A61,Output_Mac!$A:$A,Output_Mac!L:L,""),
_xlpm.MyAuditVal,_xlfn.XLOOKUP($A61,My_Audit!$A:$A,My_Audit!K:K,""),
_xlfn.IFS(_xlpm.MyAuditVal&lt;&gt;"",UPPER(_xlpm.MyAuditVal),_xlpm.MacVal&lt;&gt;"",_xlpm.MacVal,_xlpm.CSVVal&lt;&gt;"",_xlpm.CSVVal
)),"")</f>
        <v/>
      </c>
      <c r="M61" s="40" t="str" cm="1">
        <f t="array" ref="M61">IFERROR(_xlfn.LET(
_xlpm.CSVVal,_xlfn.XLOOKUP($A61,CSV!$A:$A,CSV!Q:Q,""),
_xlpm.MacVal,_xlfn.XLOOKUP($A61,Output_Mac!$A:$A,Output_Mac!M:M,""),
_xlpm.MyAuditVal,_xlfn.XLOOKUP($A61,My_Audit!$A:$A,My_Audit!L:L,""),
_xlfn.IFS(_xlpm.MyAuditVal&lt;&gt;"",UPPER(_xlpm.MyAuditVal),_xlpm.MacVal&lt;&gt;"",_xlpm.MacVal,_xlpm.CSVVal&lt;&gt;"",_xlpm.CSVVal
)),"")</f>
        <v/>
      </c>
      <c r="N61" s="40"/>
      <c r="O61" s="40" t="str">
        <f>_xlfn.LET(
    _xlpm.CSVVal, _xlfn.XLOOKUP($A61, CSV!$A:$A, CSV!AA:AA, ""),
    _xlpm.MacVal, _xlfn.XLOOKUP($A61, Output_Mac!$A:$A, Output_Mac!S:S, ""),
    _xlpm.MyAuditVal, _xlfn.XLOOKUP($A61, My_Audit!$A:$A, My_Audit!P:P, ""),
    _xlfn.TEXTJOIN(", ", TRUE, _xlpm.MyAuditVal, _xlpm.MacVal, _xlpm.CSVVal)
)</f>
        <v/>
      </c>
      <c r="P61" s="40" t="str" cm="1">
        <f t="array" ref="P61">IFERROR(_xlfn.LET(
_xlpm.CSVVal,_xlfn.XLOOKUP($A61,CSV!$A:$A,CSV!AB:AB,""),
_xlpm.MacVal,_xlfn.XLOOKUP($A61,Output_Mac!$A:$A,Output_Mac!T:T,""),
_xlpm.MyAuditVal,_xlfn.XLOOKUP($A61,My_Audit!$A:$A,My_Audit!Q:Q,""),
_xlfn.IFS(_xlpm.MyAuditVal&lt;&gt;"",UPPER(_xlpm.MyAuditVal),_xlpm.MacVal&lt;&gt;"",_xlpm.MacVal,_xlpm.CSVVal&lt;&gt;"",_xlpm.CSVVal
)),"No")</f>
        <v>No</v>
      </c>
      <c r="Q61" s="40" t="str" cm="1">
        <f t="array" ref="Q61">IFERROR(_xlfn.LET(
_xlpm.CSVVal,_xlfn.XLOOKUP($A61,CSV!$A:$A,CSV!AC:AC,""),
_xlpm.MacVal,_xlfn.XLOOKUP($A61,Output_Mac!$A:$A,Output_Mac!U:U,""),
_xlpm.MyAuditVal,_xlfn.XLOOKUP($A61,My_Audit!$A:$A,My_Audit!R:R,""),
_xlfn.IFS(_xlpm.MyAuditVal&lt;&gt;"",UPPER(_xlpm.MyAuditVal),_xlpm.MacVal&lt;&gt;"",_xlpm.MacVal,_xlpm.CSVVal&lt;&gt;"",_xlpm.CSVVal
)),"")</f>
        <v/>
      </c>
      <c r="R61" s="40"/>
      <c r="S61" s="40"/>
      <c r="T61" s="40"/>
      <c r="U61" s="40"/>
      <c r="V61" s="40"/>
      <c r="W61" s="40"/>
      <c r="X61" s="41" t="str">
        <f>_xlfn.LET(
    _xlpm.MacVal, _xlfn.XLOOKUP($A61, Output_Mac!$A:$A, Output_Mac!AB:AB, ""),
    _xlpm.MyAuditVal, _xlfn.XLOOKUP($A61, My_Audit!$A:$A, My_Audit!N:N, ""),
    _xlfn.TEXTJOIN(", ", TRUE, _xlpm.MyAuditVal, _xlpm.MacVal)
)</f>
        <v/>
      </c>
    </row>
    <row r="62" spans="1:24">
      <c r="A62" s="40" t="str">
        <f>_xlfn.TEXTJOIN("",TRUE,Input!$B$2,ROW(My_Audit!A61))</f>
        <v>X61</v>
      </c>
      <c r="B62" s="40" t="str">
        <f>_xlfn.TEXTJOIN("-",TRUE,"ITD",Input!$A$2,A62)</f>
        <v>ITD-X61</v>
      </c>
      <c r="C62" s="40" t="str" cm="1">
        <f t="array" ref="C62">IFERROR(_xlfn.LET(
_xlpm.CSVVal,_xlfn.XLOOKUP($A62,CSV!$A:$A,CSV!B:B,""),
_xlpm.MacVal,_xlfn.XLOOKUP($A62,Output_Mac!$A:$A,Output_Mac!B:B,""),
_xlpm.MyAuditVal,_xlfn.XLOOKUP($A62,My_Audit!$A:$A,My_Audit!B:B,""),
_xlfn.IFS(_xlpm.MyAuditVal&lt;&gt;"",UPPER(_xlpm.MyAuditVal),_xlpm.MacVal&lt;&gt;"",_xlpm.MacVal,_xlpm.CSVVal&lt;&gt;"",_xlpm.CSVVal
)),"")</f>
        <v/>
      </c>
      <c r="D62" s="40" t="str" cm="1">
        <f t="array" ref="D62">IFERROR(_xlfn.LET(
_xlpm.CSVVal,_xlfn.XLOOKUP($A62,CSV!$A:$A,CSV!D:D,""),
_xlpm.MacVal,_xlfn.XLOOKUP($A62,Output_Mac!$A:$A,Output_Mac!C:C,""),
_xlpm.MyAuditVal,_xlfn.XLOOKUP($A62,My_Audit!$A:$A,My_Audit!C:C,""),
_xlfn.IFS(_xlpm.MyAuditVal&lt;&gt;"",_xlpm.MyAuditVal,_xlpm.MacVal&lt;&gt;"",_xlpm.MacVal,_xlpm.CSVVal&lt;&gt;"",_xlpm.CSVVal
)),"")</f>
        <v/>
      </c>
      <c r="E62" s="40">
        <f>_xlfn.XLOOKUP(A62,My_Audit!A:A,My_Audit!D:D,"")</f>
        <v>0</v>
      </c>
      <c r="F62" s="40" t="str" cm="1">
        <f t="array" ref="F62">IFERROR(_xlfn.LET(
_xlpm.CSVVal,_xlfn.XLOOKUP($A62,CSV!$A:$A,CSV!F:F,""),
_xlpm.MacVal,_xlfn.XLOOKUP($A62,Output_Mac!$A:$A,Output_Mac!E:E,""),
_xlpm.MyAuditVal,_xlfn.XLOOKUP($A62,My_Audit!$A:$A,My_Audit!E:E,""),
_xlfn.IFS(_xlpm.MyAuditVal&lt;&gt;"",_xlpm.MyAuditVal,_xlpm.MacVal&lt;&gt;"",_xlpm.MacVal,_xlpm.CSVVal&lt;&gt;"",_xlpm.CSVVal
)),"")</f>
        <v/>
      </c>
      <c r="G62" s="40" t="str" cm="1">
        <f t="array" ref="G62">IFERROR(_xlfn.LET(
_xlpm.CSVVal,_xlfn.XLOOKUP($A62,CSV!$A:$A,CSV!G:G,""),
_xlpm.MacVal,_xlfn.XLOOKUP($A62,Output_Mac!$A:$A,Output_Mac!F:F,""),
_xlpm.MyAuditVal,_xlfn.XLOOKUP($A62,My_Audit!$A:$A,My_Audit!F:F,""),
_xlfn.IFS(_xlpm.MyAuditVal&lt;&gt;"",_xlpm.MyAuditVal,_xlpm.MacVal&lt;&gt;"",_xlpm.MacVal,_xlpm.CSVVal&lt;&gt;"",PROPER(_xlpm.CSVVal)
)),"")</f>
        <v/>
      </c>
      <c r="H62" s="40" t="str" cm="1">
        <f t="array" ref="H62">IFERROR(_xlfn.LET(
_xlpm.CSVVal,_xlfn.XLOOKUP($A62,CSV!$A:$A,CSV!H:H,""),
_xlpm.MacVal,_xlfn.XLOOKUP($A62,Output_Mac!$A:$A,Output_Mac!H:H,""),
_xlpm.MyAuditVal,_xlfn.XLOOKUP($A62,My_Audit!$A:$A,My_Audit!G:G,""),
_xlfn.IFS(_xlpm.MyAuditVal&lt;&gt;"",_xlpm.MyAuditVal,_xlpm.MacVal&lt;&gt;"",_xlpm.MacVal,_xlpm.CSVVal&lt;&gt;"",_xlpm.CSVVal
)),"")</f>
        <v/>
      </c>
      <c r="I62" s="40" t="str">
        <f>_xlfn.XLOOKUP(A62,Output_Mac!A:A,Output_Mac!I:I,"")</f>
        <v/>
      </c>
      <c r="J62" s="40" t="str" cm="1">
        <f t="array" ref="J62">IFERROR(_xlfn.LET(
_xlpm.CSVVal,_xlfn.XLOOKUP($A62,CSV!$A:$A,CSV!I:I,""),
_xlpm.MacVal,_xlfn.XLOOKUP($A62,Output_Mac!$A:$A,Output_Mac!J:J,""),
_xlpm.MyAuditVal,_xlfn.XLOOKUP($A62,My_Audit!$A:$A,My_Audit!I:I,""),
_xlfn.IFS(_xlpm.MyAuditVal&lt;&gt;"",UPPER(_xlpm.MyAuditVal),_xlpm.MacVal&lt;&gt;"",_xlpm.MacVal,_xlpm.CSVVal&lt;&gt;"",_xlpm.CSVVal
)),"")</f>
        <v/>
      </c>
      <c r="K62" s="40" t="str" cm="1">
        <f t="array" ref="K62">IFERROR(_xlfn.LET(
_xlpm.CSVVal,_xlfn.XLOOKUP($A62,CSV!$A:$A,CSV!K:K,""),
_xlpm.MacVal,_xlfn.XLOOKUP($A62,Output_Mac!$A:$A,Output_Mac!K:K,""),
_xlpm.MyAuditVal,_xlfn.XLOOKUP($A62,My_Audit!$A:$A,My_Audit!J:J,""),
_xlfn.IFS(_xlpm.MyAuditVal&lt;&gt;"",UPPER(_xlpm.MyAuditVal),_xlpm.MacVal&lt;&gt;"",_xlpm.MacVal,_xlpm.CSVVal&lt;&gt;"",_xlpm.CSVVal
)),"")</f>
        <v/>
      </c>
      <c r="L62" s="40" t="str" cm="1">
        <f t="array" ref="L62">IFERROR(_xlfn.LET(
_xlpm.CSVVal,_xlfn.XLOOKUP($A62,CSV!$A:$A,CSV!P:P,""),
_xlpm.MacVal,_xlfn.XLOOKUP($A62,Output_Mac!$A:$A,Output_Mac!L:L,""),
_xlpm.MyAuditVal,_xlfn.XLOOKUP($A62,My_Audit!$A:$A,My_Audit!K:K,""),
_xlfn.IFS(_xlpm.MyAuditVal&lt;&gt;"",UPPER(_xlpm.MyAuditVal),_xlpm.MacVal&lt;&gt;"",_xlpm.MacVal,_xlpm.CSVVal&lt;&gt;"",_xlpm.CSVVal
)),"")</f>
        <v/>
      </c>
      <c r="M62" s="40" t="str" cm="1">
        <f t="array" ref="M62">IFERROR(_xlfn.LET(
_xlpm.CSVVal,_xlfn.XLOOKUP($A62,CSV!$A:$A,CSV!Q:Q,""),
_xlpm.MacVal,_xlfn.XLOOKUP($A62,Output_Mac!$A:$A,Output_Mac!M:M,""),
_xlpm.MyAuditVal,_xlfn.XLOOKUP($A62,My_Audit!$A:$A,My_Audit!L:L,""),
_xlfn.IFS(_xlpm.MyAuditVal&lt;&gt;"",UPPER(_xlpm.MyAuditVal),_xlpm.MacVal&lt;&gt;"",_xlpm.MacVal,_xlpm.CSVVal&lt;&gt;"",_xlpm.CSVVal
)),"")</f>
        <v/>
      </c>
      <c r="N62" s="40"/>
      <c r="O62" s="40" t="str">
        <f>_xlfn.LET(
    _xlpm.CSVVal, _xlfn.XLOOKUP($A62, CSV!$A:$A, CSV!AA:AA, ""),
    _xlpm.MacVal, _xlfn.XLOOKUP($A62, Output_Mac!$A:$A, Output_Mac!S:S, ""),
    _xlpm.MyAuditVal, _xlfn.XLOOKUP($A62, My_Audit!$A:$A, My_Audit!P:P, ""),
    _xlfn.TEXTJOIN(", ", TRUE, _xlpm.MyAuditVal, _xlpm.MacVal, _xlpm.CSVVal)
)</f>
        <v/>
      </c>
      <c r="P62" s="40" t="str" cm="1">
        <f t="array" ref="P62">IFERROR(_xlfn.LET(
_xlpm.CSVVal,_xlfn.XLOOKUP($A62,CSV!$A:$A,CSV!AB:AB,""),
_xlpm.MacVal,_xlfn.XLOOKUP($A62,Output_Mac!$A:$A,Output_Mac!T:T,""),
_xlpm.MyAuditVal,_xlfn.XLOOKUP($A62,My_Audit!$A:$A,My_Audit!Q:Q,""),
_xlfn.IFS(_xlpm.MyAuditVal&lt;&gt;"",UPPER(_xlpm.MyAuditVal),_xlpm.MacVal&lt;&gt;"",_xlpm.MacVal,_xlpm.CSVVal&lt;&gt;"",_xlpm.CSVVal
)),"No")</f>
        <v>No</v>
      </c>
      <c r="Q62" s="40" t="str" cm="1">
        <f t="array" ref="Q62">IFERROR(_xlfn.LET(
_xlpm.CSVVal,_xlfn.XLOOKUP($A62,CSV!$A:$A,CSV!AC:AC,""),
_xlpm.MacVal,_xlfn.XLOOKUP($A62,Output_Mac!$A:$A,Output_Mac!U:U,""),
_xlpm.MyAuditVal,_xlfn.XLOOKUP($A62,My_Audit!$A:$A,My_Audit!R:R,""),
_xlfn.IFS(_xlpm.MyAuditVal&lt;&gt;"",UPPER(_xlpm.MyAuditVal),_xlpm.MacVal&lt;&gt;"",_xlpm.MacVal,_xlpm.CSVVal&lt;&gt;"",_xlpm.CSVVal
)),"")</f>
        <v/>
      </c>
      <c r="R62" s="40"/>
      <c r="S62" s="40"/>
      <c r="T62" s="40"/>
      <c r="U62" s="40"/>
      <c r="V62" s="40"/>
      <c r="W62" s="40"/>
      <c r="X62" s="41" t="str">
        <f>_xlfn.LET(
    _xlpm.MacVal, _xlfn.XLOOKUP($A62, Output_Mac!$A:$A, Output_Mac!AB:AB, ""),
    _xlpm.MyAuditVal, _xlfn.XLOOKUP($A62, My_Audit!$A:$A, My_Audit!N:N, ""),
    _xlfn.TEXTJOIN(", ", TRUE, _xlpm.MyAuditVal, _xlpm.MacVal)
)</f>
        <v/>
      </c>
    </row>
    <row r="63" spans="1:24">
      <c r="A63" s="40" t="str">
        <f>_xlfn.TEXTJOIN("",TRUE,Input!$B$2,ROW(My_Audit!A62))</f>
        <v>X62</v>
      </c>
      <c r="B63" s="40" t="str">
        <f>_xlfn.TEXTJOIN("-",TRUE,"ITD",Input!$A$2,A63)</f>
        <v>ITD-X62</v>
      </c>
      <c r="C63" s="40" t="str" cm="1">
        <f t="array" ref="C63">IFERROR(_xlfn.LET(
_xlpm.CSVVal,_xlfn.XLOOKUP($A63,CSV!$A:$A,CSV!B:B,""),
_xlpm.MacVal,_xlfn.XLOOKUP($A63,Output_Mac!$A:$A,Output_Mac!B:B,""),
_xlpm.MyAuditVal,_xlfn.XLOOKUP($A63,My_Audit!$A:$A,My_Audit!B:B,""),
_xlfn.IFS(_xlpm.MyAuditVal&lt;&gt;"",UPPER(_xlpm.MyAuditVal),_xlpm.MacVal&lt;&gt;"",_xlpm.MacVal,_xlpm.CSVVal&lt;&gt;"",_xlpm.CSVVal
)),"")</f>
        <v/>
      </c>
      <c r="D63" s="40" t="str" cm="1">
        <f t="array" ref="D63">IFERROR(_xlfn.LET(
_xlpm.CSVVal,_xlfn.XLOOKUP($A63,CSV!$A:$A,CSV!D:D,""),
_xlpm.MacVal,_xlfn.XLOOKUP($A63,Output_Mac!$A:$A,Output_Mac!C:C,""),
_xlpm.MyAuditVal,_xlfn.XLOOKUP($A63,My_Audit!$A:$A,My_Audit!C:C,""),
_xlfn.IFS(_xlpm.MyAuditVal&lt;&gt;"",_xlpm.MyAuditVal,_xlpm.MacVal&lt;&gt;"",_xlpm.MacVal,_xlpm.CSVVal&lt;&gt;"",_xlpm.CSVVal
)),"")</f>
        <v/>
      </c>
      <c r="E63" s="40">
        <f>_xlfn.XLOOKUP(A63,My_Audit!A:A,My_Audit!D:D,"")</f>
        <v>0</v>
      </c>
      <c r="F63" s="40" t="str" cm="1">
        <f t="array" ref="F63">IFERROR(_xlfn.LET(
_xlpm.CSVVal,_xlfn.XLOOKUP($A63,CSV!$A:$A,CSV!F:F,""),
_xlpm.MacVal,_xlfn.XLOOKUP($A63,Output_Mac!$A:$A,Output_Mac!E:E,""),
_xlpm.MyAuditVal,_xlfn.XLOOKUP($A63,My_Audit!$A:$A,My_Audit!E:E,""),
_xlfn.IFS(_xlpm.MyAuditVal&lt;&gt;"",_xlpm.MyAuditVal,_xlpm.MacVal&lt;&gt;"",_xlpm.MacVal,_xlpm.CSVVal&lt;&gt;"",_xlpm.CSVVal
)),"")</f>
        <v/>
      </c>
      <c r="G63" s="40" t="str" cm="1">
        <f t="array" ref="G63">IFERROR(_xlfn.LET(
_xlpm.CSVVal,_xlfn.XLOOKUP($A63,CSV!$A:$A,CSV!G:G,""),
_xlpm.MacVal,_xlfn.XLOOKUP($A63,Output_Mac!$A:$A,Output_Mac!F:F,""),
_xlpm.MyAuditVal,_xlfn.XLOOKUP($A63,My_Audit!$A:$A,My_Audit!F:F,""),
_xlfn.IFS(_xlpm.MyAuditVal&lt;&gt;"",_xlpm.MyAuditVal,_xlpm.MacVal&lt;&gt;"",_xlpm.MacVal,_xlpm.CSVVal&lt;&gt;"",PROPER(_xlpm.CSVVal)
)),"")</f>
        <v/>
      </c>
      <c r="H63" s="40" t="str" cm="1">
        <f t="array" ref="H63">IFERROR(_xlfn.LET(
_xlpm.CSVVal,_xlfn.XLOOKUP($A63,CSV!$A:$A,CSV!H:H,""),
_xlpm.MacVal,_xlfn.XLOOKUP($A63,Output_Mac!$A:$A,Output_Mac!H:H,""),
_xlpm.MyAuditVal,_xlfn.XLOOKUP($A63,My_Audit!$A:$A,My_Audit!G:G,""),
_xlfn.IFS(_xlpm.MyAuditVal&lt;&gt;"",_xlpm.MyAuditVal,_xlpm.MacVal&lt;&gt;"",_xlpm.MacVal,_xlpm.CSVVal&lt;&gt;"",_xlpm.CSVVal
)),"")</f>
        <v/>
      </c>
      <c r="I63" s="40" t="str">
        <f>_xlfn.XLOOKUP(A63,Output_Mac!A:A,Output_Mac!I:I,"")</f>
        <v/>
      </c>
      <c r="J63" s="40" t="str" cm="1">
        <f t="array" ref="J63">IFERROR(_xlfn.LET(
_xlpm.CSVVal,_xlfn.XLOOKUP($A63,CSV!$A:$A,CSV!I:I,""),
_xlpm.MacVal,_xlfn.XLOOKUP($A63,Output_Mac!$A:$A,Output_Mac!J:J,""),
_xlpm.MyAuditVal,_xlfn.XLOOKUP($A63,My_Audit!$A:$A,My_Audit!I:I,""),
_xlfn.IFS(_xlpm.MyAuditVal&lt;&gt;"",UPPER(_xlpm.MyAuditVal),_xlpm.MacVal&lt;&gt;"",_xlpm.MacVal,_xlpm.CSVVal&lt;&gt;"",_xlpm.CSVVal
)),"")</f>
        <v/>
      </c>
      <c r="K63" s="40" t="str" cm="1">
        <f t="array" ref="K63">IFERROR(_xlfn.LET(
_xlpm.CSVVal,_xlfn.XLOOKUP($A63,CSV!$A:$A,CSV!K:K,""),
_xlpm.MacVal,_xlfn.XLOOKUP($A63,Output_Mac!$A:$A,Output_Mac!K:K,""),
_xlpm.MyAuditVal,_xlfn.XLOOKUP($A63,My_Audit!$A:$A,My_Audit!J:J,""),
_xlfn.IFS(_xlpm.MyAuditVal&lt;&gt;"",UPPER(_xlpm.MyAuditVal),_xlpm.MacVal&lt;&gt;"",_xlpm.MacVal,_xlpm.CSVVal&lt;&gt;"",_xlpm.CSVVal
)),"")</f>
        <v/>
      </c>
      <c r="L63" s="40" t="str" cm="1">
        <f t="array" ref="L63">IFERROR(_xlfn.LET(
_xlpm.CSVVal,_xlfn.XLOOKUP($A63,CSV!$A:$A,CSV!P:P,""),
_xlpm.MacVal,_xlfn.XLOOKUP($A63,Output_Mac!$A:$A,Output_Mac!L:L,""),
_xlpm.MyAuditVal,_xlfn.XLOOKUP($A63,My_Audit!$A:$A,My_Audit!K:K,""),
_xlfn.IFS(_xlpm.MyAuditVal&lt;&gt;"",UPPER(_xlpm.MyAuditVal),_xlpm.MacVal&lt;&gt;"",_xlpm.MacVal,_xlpm.CSVVal&lt;&gt;"",_xlpm.CSVVal
)),"")</f>
        <v/>
      </c>
      <c r="M63" s="40" t="str" cm="1">
        <f t="array" ref="M63">IFERROR(_xlfn.LET(
_xlpm.CSVVal,_xlfn.XLOOKUP($A63,CSV!$A:$A,CSV!Q:Q,""),
_xlpm.MacVal,_xlfn.XLOOKUP($A63,Output_Mac!$A:$A,Output_Mac!M:M,""),
_xlpm.MyAuditVal,_xlfn.XLOOKUP($A63,My_Audit!$A:$A,My_Audit!L:L,""),
_xlfn.IFS(_xlpm.MyAuditVal&lt;&gt;"",UPPER(_xlpm.MyAuditVal),_xlpm.MacVal&lt;&gt;"",_xlpm.MacVal,_xlpm.CSVVal&lt;&gt;"",_xlpm.CSVVal
)),"")</f>
        <v/>
      </c>
      <c r="N63" s="40"/>
      <c r="O63" s="40" t="str">
        <f>_xlfn.LET(
    _xlpm.CSVVal, _xlfn.XLOOKUP($A63, CSV!$A:$A, CSV!AA:AA, ""),
    _xlpm.MacVal, _xlfn.XLOOKUP($A63, Output_Mac!$A:$A, Output_Mac!S:S, ""),
    _xlpm.MyAuditVal, _xlfn.XLOOKUP($A63, My_Audit!$A:$A, My_Audit!P:P, ""),
    _xlfn.TEXTJOIN(", ", TRUE, _xlpm.MyAuditVal, _xlpm.MacVal, _xlpm.CSVVal)
)</f>
        <v/>
      </c>
      <c r="P63" s="40" t="str" cm="1">
        <f t="array" ref="P63">IFERROR(_xlfn.LET(
_xlpm.CSVVal,_xlfn.XLOOKUP($A63,CSV!$A:$A,CSV!AB:AB,""),
_xlpm.MacVal,_xlfn.XLOOKUP($A63,Output_Mac!$A:$A,Output_Mac!T:T,""),
_xlpm.MyAuditVal,_xlfn.XLOOKUP($A63,My_Audit!$A:$A,My_Audit!Q:Q,""),
_xlfn.IFS(_xlpm.MyAuditVal&lt;&gt;"",UPPER(_xlpm.MyAuditVal),_xlpm.MacVal&lt;&gt;"",_xlpm.MacVal,_xlpm.CSVVal&lt;&gt;"",_xlpm.CSVVal
)),"No")</f>
        <v>No</v>
      </c>
      <c r="Q63" s="40" t="str" cm="1">
        <f t="array" ref="Q63">IFERROR(_xlfn.LET(
_xlpm.CSVVal,_xlfn.XLOOKUP($A63,CSV!$A:$A,CSV!AC:AC,""),
_xlpm.MacVal,_xlfn.XLOOKUP($A63,Output_Mac!$A:$A,Output_Mac!U:U,""),
_xlpm.MyAuditVal,_xlfn.XLOOKUP($A63,My_Audit!$A:$A,My_Audit!R:R,""),
_xlfn.IFS(_xlpm.MyAuditVal&lt;&gt;"",UPPER(_xlpm.MyAuditVal),_xlpm.MacVal&lt;&gt;"",_xlpm.MacVal,_xlpm.CSVVal&lt;&gt;"",_xlpm.CSVVal
)),"")</f>
        <v/>
      </c>
      <c r="R63" s="40"/>
      <c r="S63" s="40"/>
      <c r="T63" s="40"/>
      <c r="U63" s="40"/>
      <c r="V63" s="40"/>
      <c r="W63" s="40"/>
      <c r="X63" s="41" t="str">
        <f>_xlfn.LET(
    _xlpm.MacVal, _xlfn.XLOOKUP($A63, Output_Mac!$A:$A, Output_Mac!AB:AB, ""),
    _xlpm.MyAuditVal, _xlfn.XLOOKUP($A63, My_Audit!$A:$A, My_Audit!N:N, ""),
    _xlfn.TEXTJOIN(", ", TRUE, _xlpm.MyAuditVal, _xlpm.MacVal)
)</f>
        <v/>
      </c>
    </row>
    <row r="64" spans="1:24">
      <c r="A64" s="40" t="str">
        <f>_xlfn.TEXTJOIN("",TRUE,Input!$B$2,ROW(My_Audit!A63))</f>
        <v>X63</v>
      </c>
      <c r="B64" s="40" t="str">
        <f>_xlfn.TEXTJOIN("-",TRUE,"ITD",Input!$A$2,A64)</f>
        <v>ITD-X63</v>
      </c>
      <c r="C64" s="40" t="str" cm="1">
        <f t="array" ref="C64">IFERROR(_xlfn.LET(
_xlpm.CSVVal,_xlfn.XLOOKUP($A64,CSV!$A:$A,CSV!B:B,""),
_xlpm.MacVal,_xlfn.XLOOKUP($A64,Output_Mac!$A:$A,Output_Mac!B:B,""),
_xlpm.MyAuditVal,_xlfn.XLOOKUP($A64,My_Audit!$A:$A,My_Audit!B:B,""),
_xlfn.IFS(_xlpm.MyAuditVal&lt;&gt;"",UPPER(_xlpm.MyAuditVal),_xlpm.MacVal&lt;&gt;"",_xlpm.MacVal,_xlpm.CSVVal&lt;&gt;"",_xlpm.CSVVal
)),"")</f>
        <v/>
      </c>
      <c r="D64" s="40" t="str" cm="1">
        <f t="array" ref="D64">IFERROR(_xlfn.LET(
_xlpm.CSVVal,_xlfn.XLOOKUP($A64,CSV!$A:$A,CSV!D:D,""),
_xlpm.MacVal,_xlfn.XLOOKUP($A64,Output_Mac!$A:$A,Output_Mac!C:C,""),
_xlpm.MyAuditVal,_xlfn.XLOOKUP($A64,My_Audit!$A:$A,My_Audit!C:C,""),
_xlfn.IFS(_xlpm.MyAuditVal&lt;&gt;"",_xlpm.MyAuditVal,_xlpm.MacVal&lt;&gt;"",_xlpm.MacVal,_xlpm.CSVVal&lt;&gt;"",_xlpm.CSVVal
)),"")</f>
        <v/>
      </c>
      <c r="E64" s="40">
        <f>_xlfn.XLOOKUP(A64,My_Audit!A:A,My_Audit!D:D,"")</f>
        <v>0</v>
      </c>
      <c r="F64" s="40" t="str" cm="1">
        <f t="array" ref="F64">IFERROR(_xlfn.LET(
_xlpm.CSVVal,_xlfn.XLOOKUP($A64,CSV!$A:$A,CSV!F:F,""),
_xlpm.MacVal,_xlfn.XLOOKUP($A64,Output_Mac!$A:$A,Output_Mac!E:E,""),
_xlpm.MyAuditVal,_xlfn.XLOOKUP($A64,My_Audit!$A:$A,My_Audit!E:E,""),
_xlfn.IFS(_xlpm.MyAuditVal&lt;&gt;"",_xlpm.MyAuditVal,_xlpm.MacVal&lt;&gt;"",_xlpm.MacVal,_xlpm.CSVVal&lt;&gt;"",_xlpm.CSVVal
)),"")</f>
        <v/>
      </c>
      <c r="G64" s="40" t="str" cm="1">
        <f t="array" ref="G64">IFERROR(_xlfn.LET(
_xlpm.CSVVal,_xlfn.XLOOKUP($A64,CSV!$A:$A,CSV!G:G,""),
_xlpm.MacVal,_xlfn.XLOOKUP($A64,Output_Mac!$A:$A,Output_Mac!F:F,""),
_xlpm.MyAuditVal,_xlfn.XLOOKUP($A64,My_Audit!$A:$A,My_Audit!F:F,""),
_xlfn.IFS(_xlpm.MyAuditVal&lt;&gt;"",_xlpm.MyAuditVal,_xlpm.MacVal&lt;&gt;"",_xlpm.MacVal,_xlpm.CSVVal&lt;&gt;"",PROPER(_xlpm.CSVVal)
)),"")</f>
        <v/>
      </c>
      <c r="H64" s="40" t="str" cm="1">
        <f t="array" ref="H64">IFERROR(_xlfn.LET(
_xlpm.CSVVal,_xlfn.XLOOKUP($A64,CSV!$A:$A,CSV!H:H,""),
_xlpm.MacVal,_xlfn.XLOOKUP($A64,Output_Mac!$A:$A,Output_Mac!H:H,""),
_xlpm.MyAuditVal,_xlfn.XLOOKUP($A64,My_Audit!$A:$A,My_Audit!G:G,""),
_xlfn.IFS(_xlpm.MyAuditVal&lt;&gt;"",_xlpm.MyAuditVal,_xlpm.MacVal&lt;&gt;"",_xlpm.MacVal,_xlpm.CSVVal&lt;&gt;"",_xlpm.CSVVal
)),"")</f>
        <v/>
      </c>
      <c r="I64" s="40" t="str">
        <f>_xlfn.XLOOKUP(A64,Output_Mac!A:A,Output_Mac!I:I,"")</f>
        <v/>
      </c>
      <c r="J64" s="40" t="str" cm="1">
        <f t="array" ref="J64">IFERROR(_xlfn.LET(
_xlpm.CSVVal,_xlfn.XLOOKUP($A64,CSV!$A:$A,CSV!I:I,""),
_xlpm.MacVal,_xlfn.XLOOKUP($A64,Output_Mac!$A:$A,Output_Mac!J:J,""),
_xlpm.MyAuditVal,_xlfn.XLOOKUP($A64,My_Audit!$A:$A,My_Audit!I:I,""),
_xlfn.IFS(_xlpm.MyAuditVal&lt;&gt;"",UPPER(_xlpm.MyAuditVal),_xlpm.MacVal&lt;&gt;"",_xlpm.MacVal,_xlpm.CSVVal&lt;&gt;"",_xlpm.CSVVal
)),"")</f>
        <v/>
      </c>
      <c r="K64" s="40" t="str" cm="1">
        <f t="array" ref="K64">IFERROR(_xlfn.LET(
_xlpm.CSVVal,_xlfn.XLOOKUP($A64,CSV!$A:$A,CSV!K:K,""),
_xlpm.MacVal,_xlfn.XLOOKUP($A64,Output_Mac!$A:$A,Output_Mac!K:K,""),
_xlpm.MyAuditVal,_xlfn.XLOOKUP($A64,My_Audit!$A:$A,My_Audit!J:J,""),
_xlfn.IFS(_xlpm.MyAuditVal&lt;&gt;"",UPPER(_xlpm.MyAuditVal),_xlpm.MacVal&lt;&gt;"",_xlpm.MacVal,_xlpm.CSVVal&lt;&gt;"",_xlpm.CSVVal
)),"")</f>
        <v/>
      </c>
      <c r="L64" s="40" t="str" cm="1">
        <f t="array" ref="L64">IFERROR(_xlfn.LET(
_xlpm.CSVVal,_xlfn.XLOOKUP($A64,CSV!$A:$A,CSV!P:P,""),
_xlpm.MacVal,_xlfn.XLOOKUP($A64,Output_Mac!$A:$A,Output_Mac!L:L,""),
_xlpm.MyAuditVal,_xlfn.XLOOKUP($A64,My_Audit!$A:$A,My_Audit!K:K,""),
_xlfn.IFS(_xlpm.MyAuditVal&lt;&gt;"",UPPER(_xlpm.MyAuditVal),_xlpm.MacVal&lt;&gt;"",_xlpm.MacVal,_xlpm.CSVVal&lt;&gt;"",_xlpm.CSVVal
)),"")</f>
        <v/>
      </c>
      <c r="M64" s="40" t="str" cm="1">
        <f t="array" ref="M64">IFERROR(_xlfn.LET(
_xlpm.CSVVal,_xlfn.XLOOKUP($A64,CSV!$A:$A,CSV!Q:Q,""),
_xlpm.MacVal,_xlfn.XLOOKUP($A64,Output_Mac!$A:$A,Output_Mac!M:M,""),
_xlpm.MyAuditVal,_xlfn.XLOOKUP($A64,My_Audit!$A:$A,My_Audit!L:L,""),
_xlfn.IFS(_xlpm.MyAuditVal&lt;&gt;"",UPPER(_xlpm.MyAuditVal),_xlpm.MacVal&lt;&gt;"",_xlpm.MacVal,_xlpm.CSVVal&lt;&gt;"",_xlpm.CSVVal
)),"")</f>
        <v/>
      </c>
      <c r="N64" s="40"/>
      <c r="O64" s="40" t="str">
        <f>_xlfn.LET(
    _xlpm.CSVVal, _xlfn.XLOOKUP($A64, CSV!$A:$A, CSV!AA:AA, ""),
    _xlpm.MacVal, _xlfn.XLOOKUP($A64, Output_Mac!$A:$A, Output_Mac!S:S, ""),
    _xlpm.MyAuditVal, _xlfn.XLOOKUP($A64, My_Audit!$A:$A, My_Audit!P:P, ""),
    _xlfn.TEXTJOIN(", ", TRUE, _xlpm.MyAuditVal, _xlpm.MacVal, _xlpm.CSVVal)
)</f>
        <v/>
      </c>
      <c r="P64" s="40" t="str" cm="1">
        <f t="array" ref="P64">IFERROR(_xlfn.LET(
_xlpm.CSVVal,_xlfn.XLOOKUP($A64,CSV!$A:$A,CSV!AB:AB,""),
_xlpm.MacVal,_xlfn.XLOOKUP($A64,Output_Mac!$A:$A,Output_Mac!T:T,""),
_xlpm.MyAuditVal,_xlfn.XLOOKUP($A64,My_Audit!$A:$A,My_Audit!Q:Q,""),
_xlfn.IFS(_xlpm.MyAuditVal&lt;&gt;"",UPPER(_xlpm.MyAuditVal),_xlpm.MacVal&lt;&gt;"",_xlpm.MacVal,_xlpm.CSVVal&lt;&gt;"",_xlpm.CSVVal
)),"No")</f>
        <v>No</v>
      </c>
      <c r="Q64" s="40" t="str" cm="1">
        <f t="array" ref="Q64">IFERROR(_xlfn.LET(
_xlpm.CSVVal,_xlfn.XLOOKUP($A64,CSV!$A:$A,CSV!AC:AC,""),
_xlpm.MacVal,_xlfn.XLOOKUP($A64,Output_Mac!$A:$A,Output_Mac!U:U,""),
_xlpm.MyAuditVal,_xlfn.XLOOKUP($A64,My_Audit!$A:$A,My_Audit!R:R,""),
_xlfn.IFS(_xlpm.MyAuditVal&lt;&gt;"",UPPER(_xlpm.MyAuditVal),_xlpm.MacVal&lt;&gt;"",_xlpm.MacVal,_xlpm.CSVVal&lt;&gt;"",_xlpm.CSVVal
)),"")</f>
        <v/>
      </c>
      <c r="R64" s="40"/>
      <c r="S64" s="40"/>
      <c r="T64" s="40"/>
      <c r="U64" s="40"/>
      <c r="V64" s="40"/>
      <c r="W64" s="40"/>
      <c r="X64" s="41" t="str">
        <f>_xlfn.LET(
    _xlpm.MacVal, _xlfn.XLOOKUP($A64, Output_Mac!$A:$A, Output_Mac!AB:AB, ""),
    _xlpm.MyAuditVal, _xlfn.XLOOKUP($A64, My_Audit!$A:$A, My_Audit!N:N, ""),
    _xlfn.TEXTJOIN(", ", TRUE, _xlpm.MyAuditVal, _xlpm.MacVal)
)</f>
        <v/>
      </c>
    </row>
    <row r="65" spans="1:24">
      <c r="A65" s="40" t="str">
        <f>_xlfn.TEXTJOIN("",TRUE,Input!$B$2,ROW(My_Audit!A64))</f>
        <v>X64</v>
      </c>
      <c r="B65" s="40" t="str">
        <f>_xlfn.TEXTJOIN("-",TRUE,"ITD",Input!$A$2,A65)</f>
        <v>ITD-X64</v>
      </c>
      <c r="C65" s="40" t="str" cm="1">
        <f t="array" ref="C65">IFERROR(_xlfn.LET(
_xlpm.CSVVal,_xlfn.XLOOKUP($A65,CSV!$A:$A,CSV!B:B,""),
_xlpm.MacVal,_xlfn.XLOOKUP($A65,Output_Mac!$A:$A,Output_Mac!B:B,""),
_xlpm.MyAuditVal,_xlfn.XLOOKUP($A65,My_Audit!$A:$A,My_Audit!B:B,""),
_xlfn.IFS(_xlpm.MyAuditVal&lt;&gt;"",UPPER(_xlpm.MyAuditVal),_xlpm.MacVal&lt;&gt;"",_xlpm.MacVal,_xlpm.CSVVal&lt;&gt;"",_xlpm.CSVVal
)),"")</f>
        <v/>
      </c>
      <c r="D65" s="40" t="str" cm="1">
        <f t="array" ref="D65">IFERROR(_xlfn.LET(
_xlpm.CSVVal,_xlfn.XLOOKUP($A65,CSV!$A:$A,CSV!D:D,""),
_xlpm.MacVal,_xlfn.XLOOKUP($A65,Output_Mac!$A:$A,Output_Mac!C:C,""),
_xlpm.MyAuditVal,_xlfn.XLOOKUP($A65,My_Audit!$A:$A,My_Audit!C:C,""),
_xlfn.IFS(_xlpm.MyAuditVal&lt;&gt;"",_xlpm.MyAuditVal,_xlpm.MacVal&lt;&gt;"",_xlpm.MacVal,_xlpm.CSVVal&lt;&gt;"",_xlpm.CSVVal
)),"")</f>
        <v/>
      </c>
      <c r="E65" s="40">
        <f>_xlfn.XLOOKUP(A65,My_Audit!A:A,My_Audit!D:D,"")</f>
        <v>0</v>
      </c>
      <c r="F65" s="40" t="str" cm="1">
        <f t="array" ref="F65">IFERROR(_xlfn.LET(
_xlpm.CSVVal,_xlfn.XLOOKUP($A65,CSV!$A:$A,CSV!F:F,""),
_xlpm.MacVal,_xlfn.XLOOKUP($A65,Output_Mac!$A:$A,Output_Mac!E:E,""),
_xlpm.MyAuditVal,_xlfn.XLOOKUP($A65,My_Audit!$A:$A,My_Audit!E:E,""),
_xlfn.IFS(_xlpm.MyAuditVal&lt;&gt;"",_xlpm.MyAuditVal,_xlpm.MacVal&lt;&gt;"",_xlpm.MacVal,_xlpm.CSVVal&lt;&gt;"",_xlpm.CSVVal
)),"")</f>
        <v/>
      </c>
      <c r="G65" s="40" t="str" cm="1">
        <f t="array" ref="G65">IFERROR(_xlfn.LET(
_xlpm.CSVVal,_xlfn.XLOOKUP($A65,CSV!$A:$A,CSV!G:G,""),
_xlpm.MacVal,_xlfn.XLOOKUP($A65,Output_Mac!$A:$A,Output_Mac!F:F,""),
_xlpm.MyAuditVal,_xlfn.XLOOKUP($A65,My_Audit!$A:$A,My_Audit!F:F,""),
_xlfn.IFS(_xlpm.MyAuditVal&lt;&gt;"",_xlpm.MyAuditVal,_xlpm.MacVal&lt;&gt;"",_xlpm.MacVal,_xlpm.CSVVal&lt;&gt;"",PROPER(_xlpm.CSVVal)
)),"")</f>
        <v/>
      </c>
      <c r="H65" s="40" t="str" cm="1">
        <f t="array" ref="H65">IFERROR(_xlfn.LET(
_xlpm.CSVVal,_xlfn.XLOOKUP($A65,CSV!$A:$A,CSV!H:H,""),
_xlpm.MacVal,_xlfn.XLOOKUP($A65,Output_Mac!$A:$A,Output_Mac!H:H,""),
_xlpm.MyAuditVal,_xlfn.XLOOKUP($A65,My_Audit!$A:$A,My_Audit!G:G,""),
_xlfn.IFS(_xlpm.MyAuditVal&lt;&gt;"",_xlpm.MyAuditVal,_xlpm.MacVal&lt;&gt;"",_xlpm.MacVal,_xlpm.CSVVal&lt;&gt;"",_xlpm.CSVVal
)),"")</f>
        <v/>
      </c>
      <c r="I65" s="40" t="str">
        <f>_xlfn.XLOOKUP(A65,Output_Mac!A:A,Output_Mac!I:I,"")</f>
        <v/>
      </c>
      <c r="J65" s="40" t="str" cm="1">
        <f t="array" ref="J65">IFERROR(_xlfn.LET(
_xlpm.CSVVal,_xlfn.XLOOKUP($A65,CSV!$A:$A,CSV!I:I,""),
_xlpm.MacVal,_xlfn.XLOOKUP($A65,Output_Mac!$A:$A,Output_Mac!J:J,""),
_xlpm.MyAuditVal,_xlfn.XLOOKUP($A65,My_Audit!$A:$A,My_Audit!I:I,""),
_xlfn.IFS(_xlpm.MyAuditVal&lt;&gt;"",UPPER(_xlpm.MyAuditVal),_xlpm.MacVal&lt;&gt;"",_xlpm.MacVal,_xlpm.CSVVal&lt;&gt;"",_xlpm.CSVVal
)),"")</f>
        <v/>
      </c>
      <c r="K65" s="40" t="str" cm="1">
        <f t="array" ref="K65">IFERROR(_xlfn.LET(
_xlpm.CSVVal,_xlfn.XLOOKUP($A65,CSV!$A:$A,CSV!K:K,""),
_xlpm.MacVal,_xlfn.XLOOKUP($A65,Output_Mac!$A:$A,Output_Mac!K:K,""),
_xlpm.MyAuditVal,_xlfn.XLOOKUP($A65,My_Audit!$A:$A,My_Audit!J:J,""),
_xlfn.IFS(_xlpm.MyAuditVal&lt;&gt;"",UPPER(_xlpm.MyAuditVal),_xlpm.MacVal&lt;&gt;"",_xlpm.MacVal,_xlpm.CSVVal&lt;&gt;"",_xlpm.CSVVal
)),"")</f>
        <v/>
      </c>
      <c r="L65" s="40" t="str" cm="1">
        <f t="array" ref="L65">IFERROR(_xlfn.LET(
_xlpm.CSVVal,_xlfn.XLOOKUP($A65,CSV!$A:$A,CSV!P:P,""),
_xlpm.MacVal,_xlfn.XLOOKUP($A65,Output_Mac!$A:$A,Output_Mac!L:L,""),
_xlpm.MyAuditVal,_xlfn.XLOOKUP($A65,My_Audit!$A:$A,My_Audit!K:K,""),
_xlfn.IFS(_xlpm.MyAuditVal&lt;&gt;"",UPPER(_xlpm.MyAuditVal),_xlpm.MacVal&lt;&gt;"",_xlpm.MacVal,_xlpm.CSVVal&lt;&gt;"",_xlpm.CSVVal
)),"")</f>
        <v/>
      </c>
      <c r="M65" s="40" t="str" cm="1">
        <f t="array" ref="M65">IFERROR(_xlfn.LET(
_xlpm.CSVVal,_xlfn.XLOOKUP($A65,CSV!$A:$A,CSV!Q:Q,""),
_xlpm.MacVal,_xlfn.XLOOKUP($A65,Output_Mac!$A:$A,Output_Mac!M:M,""),
_xlpm.MyAuditVal,_xlfn.XLOOKUP($A65,My_Audit!$A:$A,My_Audit!L:L,""),
_xlfn.IFS(_xlpm.MyAuditVal&lt;&gt;"",UPPER(_xlpm.MyAuditVal),_xlpm.MacVal&lt;&gt;"",_xlpm.MacVal,_xlpm.CSVVal&lt;&gt;"",_xlpm.CSVVal
)),"")</f>
        <v/>
      </c>
      <c r="N65" s="40"/>
      <c r="O65" s="40" t="str">
        <f>_xlfn.LET(
    _xlpm.CSVVal, _xlfn.XLOOKUP($A65, CSV!$A:$A, CSV!AA:AA, ""),
    _xlpm.MacVal, _xlfn.XLOOKUP($A65, Output_Mac!$A:$A, Output_Mac!S:S, ""),
    _xlpm.MyAuditVal, _xlfn.XLOOKUP($A65, My_Audit!$A:$A, My_Audit!P:P, ""),
    _xlfn.TEXTJOIN(", ", TRUE, _xlpm.MyAuditVal, _xlpm.MacVal, _xlpm.CSVVal)
)</f>
        <v/>
      </c>
      <c r="P65" s="40" t="str" cm="1">
        <f t="array" ref="P65">IFERROR(_xlfn.LET(
_xlpm.CSVVal,_xlfn.XLOOKUP($A65,CSV!$A:$A,CSV!AB:AB,""),
_xlpm.MacVal,_xlfn.XLOOKUP($A65,Output_Mac!$A:$A,Output_Mac!T:T,""),
_xlpm.MyAuditVal,_xlfn.XLOOKUP($A65,My_Audit!$A:$A,My_Audit!Q:Q,""),
_xlfn.IFS(_xlpm.MyAuditVal&lt;&gt;"",UPPER(_xlpm.MyAuditVal),_xlpm.MacVal&lt;&gt;"",_xlpm.MacVal,_xlpm.CSVVal&lt;&gt;"",_xlpm.CSVVal
)),"No")</f>
        <v>No</v>
      </c>
      <c r="Q65" s="40" t="str" cm="1">
        <f t="array" ref="Q65">IFERROR(_xlfn.LET(
_xlpm.CSVVal,_xlfn.XLOOKUP($A65,CSV!$A:$A,CSV!AC:AC,""),
_xlpm.MacVal,_xlfn.XLOOKUP($A65,Output_Mac!$A:$A,Output_Mac!U:U,""),
_xlpm.MyAuditVal,_xlfn.XLOOKUP($A65,My_Audit!$A:$A,My_Audit!R:R,""),
_xlfn.IFS(_xlpm.MyAuditVal&lt;&gt;"",UPPER(_xlpm.MyAuditVal),_xlpm.MacVal&lt;&gt;"",_xlpm.MacVal,_xlpm.CSVVal&lt;&gt;"",_xlpm.CSVVal
)),"")</f>
        <v/>
      </c>
      <c r="R65" s="40"/>
      <c r="S65" s="40"/>
      <c r="T65" s="40"/>
      <c r="U65" s="40"/>
      <c r="V65" s="40"/>
      <c r="W65" s="40"/>
      <c r="X65" s="41" t="str">
        <f>_xlfn.LET(
    _xlpm.MacVal, _xlfn.XLOOKUP($A65, Output_Mac!$A:$A, Output_Mac!AB:AB, ""),
    _xlpm.MyAuditVal, _xlfn.XLOOKUP($A65, My_Audit!$A:$A, My_Audit!N:N, ""),
    _xlfn.TEXTJOIN(", ", TRUE, _xlpm.MyAuditVal, _xlpm.MacVal)
)</f>
        <v/>
      </c>
    </row>
    <row r="66" spans="1:24">
      <c r="A66" s="40" t="str">
        <f>_xlfn.TEXTJOIN("",TRUE,Input!$B$2,ROW(My_Audit!A65))</f>
        <v>X65</v>
      </c>
      <c r="B66" s="40" t="str">
        <f>_xlfn.TEXTJOIN("-",TRUE,"ITD",Input!$A$2,A66)</f>
        <v>ITD-X65</v>
      </c>
      <c r="C66" s="40" t="str" cm="1">
        <f t="array" ref="C66">IFERROR(_xlfn.LET(
_xlpm.CSVVal,_xlfn.XLOOKUP($A66,CSV!$A:$A,CSV!B:B,""),
_xlpm.MacVal,_xlfn.XLOOKUP($A66,Output_Mac!$A:$A,Output_Mac!B:B,""),
_xlpm.MyAuditVal,_xlfn.XLOOKUP($A66,My_Audit!$A:$A,My_Audit!B:B,""),
_xlfn.IFS(_xlpm.MyAuditVal&lt;&gt;"",UPPER(_xlpm.MyAuditVal),_xlpm.MacVal&lt;&gt;"",_xlpm.MacVal,_xlpm.CSVVal&lt;&gt;"",_xlpm.CSVVal
)),"")</f>
        <v/>
      </c>
      <c r="D66" s="40" t="str" cm="1">
        <f t="array" ref="D66">IFERROR(_xlfn.LET(
_xlpm.CSVVal,_xlfn.XLOOKUP($A66,CSV!$A:$A,CSV!D:D,""),
_xlpm.MacVal,_xlfn.XLOOKUP($A66,Output_Mac!$A:$A,Output_Mac!C:C,""),
_xlpm.MyAuditVal,_xlfn.XLOOKUP($A66,My_Audit!$A:$A,My_Audit!C:C,""),
_xlfn.IFS(_xlpm.MyAuditVal&lt;&gt;"",_xlpm.MyAuditVal,_xlpm.MacVal&lt;&gt;"",_xlpm.MacVal,_xlpm.CSVVal&lt;&gt;"",_xlpm.CSVVal
)),"")</f>
        <v/>
      </c>
      <c r="E66" s="40">
        <f>_xlfn.XLOOKUP(A66,My_Audit!A:A,My_Audit!D:D,"")</f>
        <v>0</v>
      </c>
      <c r="F66" s="40" t="str" cm="1">
        <f t="array" ref="F66">IFERROR(_xlfn.LET(
_xlpm.CSVVal,_xlfn.XLOOKUP($A66,CSV!$A:$A,CSV!F:F,""),
_xlpm.MacVal,_xlfn.XLOOKUP($A66,Output_Mac!$A:$A,Output_Mac!E:E,""),
_xlpm.MyAuditVal,_xlfn.XLOOKUP($A66,My_Audit!$A:$A,My_Audit!E:E,""),
_xlfn.IFS(_xlpm.MyAuditVal&lt;&gt;"",_xlpm.MyAuditVal,_xlpm.MacVal&lt;&gt;"",_xlpm.MacVal,_xlpm.CSVVal&lt;&gt;"",_xlpm.CSVVal
)),"")</f>
        <v/>
      </c>
      <c r="G66" s="40" t="str" cm="1">
        <f t="array" ref="G66">IFERROR(_xlfn.LET(
_xlpm.CSVVal,_xlfn.XLOOKUP($A66,CSV!$A:$A,CSV!G:G,""),
_xlpm.MacVal,_xlfn.XLOOKUP($A66,Output_Mac!$A:$A,Output_Mac!F:F,""),
_xlpm.MyAuditVal,_xlfn.XLOOKUP($A66,My_Audit!$A:$A,My_Audit!F:F,""),
_xlfn.IFS(_xlpm.MyAuditVal&lt;&gt;"",_xlpm.MyAuditVal,_xlpm.MacVal&lt;&gt;"",_xlpm.MacVal,_xlpm.CSVVal&lt;&gt;"",PROPER(_xlpm.CSVVal)
)),"")</f>
        <v/>
      </c>
      <c r="H66" s="40" t="str" cm="1">
        <f t="array" ref="H66">IFERROR(_xlfn.LET(
_xlpm.CSVVal,_xlfn.XLOOKUP($A66,CSV!$A:$A,CSV!H:H,""),
_xlpm.MacVal,_xlfn.XLOOKUP($A66,Output_Mac!$A:$A,Output_Mac!H:H,""),
_xlpm.MyAuditVal,_xlfn.XLOOKUP($A66,My_Audit!$A:$A,My_Audit!G:G,""),
_xlfn.IFS(_xlpm.MyAuditVal&lt;&gt;"",_xlpm.MyAuditVal,_xlpm.MacVal&lt;&gt;"",_xlpm.MacVal,_xlpm.CSVVal&lt;&gt;"",_xlpm.CSVVal
)),"")</f>
        <v/>
      </c>
      <c r="I66" s="40" t="str">
        <f>_xlfn.XLOOKUP(A66,Output_Mac!A:A,Output_Mac!I:I,"")</f>
        <v/>
      </c>
      <c r="J66" s="40" t="str" cm="1">
        <f t="array" ref="J66">IFERROR(_xlfn.LET(
_xlpm.CSVVal,_xlfn.XLOOKUP($A66,CSV!$A:$A,CSV!I:I,""),
_xlpm.MacVal,_xlfn.XLOOKUP($A66,Output_Mac!$A:$A,Output_Mac!J:J,""),
_xlpm.MyAuditVal,_xlfn.XLOOKUP($A66,My_Audit!$A:$A,My_Audit!I:I,""),
_xlfn.IFS(_xlpm.MyAuditVal&lt;&gt;"",UPPER(_xlpm.MyAuditVal),_xlpm.MacVal&lt;&gt;"",_xlpm.MacVal,_xlpm.CSVVal&lt;&gt;"",_xlpm.CSVVal
)),"")</f>
        <v/>
      </c>
      <c r="K66" s="40" t="str" cm="1">
        <f t="array" ref="K66">IFERROR(_xlfn.LET(
_xlpm.CSVVal,_xlfn.XLOOKUP($A66,CSV!$A:$A,CSV!K:K,""),
_xlpm.MacVal,_xlfn.XLOOKUP($A66,Output_Mac!$A:$A,Output_Mac!K:K,""),
_xlpm.MyAuditVal,_xlfn.XLOOKUP($A66,My_Audit!$A:$A,My_Audit!J:J,""),
_xlfn.IFS(_xlpm.MyAuditVal&lt;&gt;"",UPPER(_xlpm.MyAuditVal),_xlpm.MacVal&lt;&gt;"",_xlpm.MacVal,_xlpm.CSVVal&lt;&gt;"",_xlpm.CSVVal
)),"")</f>
        <v/>
      </c>
      <c r="L66" s="40" t="str" cm="1">
        <f t="array" ref="L66">IFERROR(_xlfn.LET(
_xlpm.CSVVal,_xlfn.XLOOKUP($A66,CSV!$A:$A,CSV!P:P,""),
_xlpm.MacVal,_xlfn.XLOOKUP($A66,Output_Mac!$A:$A,Output_Mac!L:L,""),
_xlpm.MyAuditVal,_xlfn.XLOOKUP($A66,My_Audit!$A:$A,My_Audit!K:K,""),
_xlfn.IFS(_xlpm.MyAuditVal&lt;&gt;"",UPPER(_xlpm.MyAuditVal),_xlpm.MacVal&lt;&gt;"",_xlpm.MacVal,_xlpm.CSVVal&lt;&gt;"",_xlpm.CSVVal
)),"")</f>
        <v/>
      </c>
      <c r="M66" s="40" t="str" cm="1">
        <f t="array" ref="M66">IFERROR(_xlfn.LET(
_xlpm.CSVVal,_xlfn.XLOOKUP($A66,CSV!$A:$A,CSV!Q:Q,""),
_xlpm.MacVal,_xlfn.XLOOKUP($A66,Output_Mac!$A:$A,Output_Mac!M:M,""),
_xlpm.MyAuditVal,_xlfn.XLOOKUP($A66,My_Audit!$A:$A,My_Audit!L:L,""),
_xlfn.IFS(_xlpm.MyAuditVal&lt;&gt;"",UPPER(_xlpm.MyAuditVal),_xlpm.MacVal&lt;&gt;"",_xlpm.MacVal,_xlpm.CSVVal&lt;&gt;"",_xlpm.CSVVal
)),"")</f>
        <v/>
      </c>
      <c r="N66" s="40"/>
      <c r="O66" s="40" t="str">
        <f>_xlfn.LET(
    _xlpm.CSVVal, _xlfn.XLOOKUP($A66, CSV!$A:$A, CSV!AA:AA, ""),
    _xlpm.MacVal, _xlfn.XLOOKUP($A66, Output_Mac!$A:$A, Output_Mac!S:S, ""),
    _xlpm.MyAuditVal, _xlfn.XLOOKUP($A66, My_Audit!$A:$A, My_Audit!P:P, ""),
    _xlfn.TEXTJOIN(", ", TRUE, _xlpm.MyAuditVal, _xlpm.MacVal, _xlpm.CSVVal)
)</f>
        <v/>
      </c>
      <c r="P66" s="40" t="str" cm="1">
        <f t="array" ref="P66">IFERROR(_xlfn.LET(
_xlpm.CSVVal,_xlfn.XLOOKUP($A66,CSV!$A:$A,CSV!AB:AB,""),
_xlpm.MacVal,_xlfn.XLOOKUP($A66,Output_Mac!$A:$A,Output_Mac!T:T,""),
_xlpm.MyAuditVal,_xlfn.XLOOKUP($A66,My_Audit!$A:$A,My_Audit!Q:Q,""),
_xlfn.IFS(_xlpm.MyAuditVal&lt;&gt;"",UPPER(_xlpm.MyAuditVal),_xlpm.MacVal&lt;&gt;"",_xlpm.MacVal,_xlpm.CSVVal&lt;&gt;"",_xlpm.CSVVal
)),"No")</f>
        <v>No</v>
      </c>
      <c r="Q66" s="40" t="str" cm="1">
        <f t="array" ref="Q66">IFERROR(_xlfn.LET(
_xlpm.CSVVal,_xlfn.XLOOKUP($A66,CSV!$A:$A,CSV!AC:AC,""),
_xlpm.MacVal,_xlfn.XLOOKUP($A66,Output_Mac!$A:$A,Output_Mac!U:U,""),
_xlpm.MyAuditVal,_xlfn.XLOOKUP($A66,My_Audit!$A:$A,My_Audit!R:R,""),
_xlfn.IFS(_xlpm.MyAuditVal&lt;&gt;"",UPPER(_xlpm.MyAuditVal),_xlpm.MacVal&lt;&gt;"",_xlpm.MacVal,_xlpm.CSVVal&lt;&gt;"",_xlpm.CSVVal
)),"")</f>
        <v/>
      </c>
      <c r="R66" s="40"/>
      <c r="S66" s="40"/>
      <c r="T66" s="40"/>
      <c r="U66" s="40"/>
      <c r="V66" s="40"/>
      <c r="W66" s="40"/>
      <c r="X66" s="41" t="str">
        <f>_xlfn.LET(
    _xlpm.MacVal, _xlfn.XLOOKUP($A66, Output_Mac!$A:$A, Output_Mac!AB:AB, ""),
    _xlpm.MyAuditVal, _xlfn.XLOOKUP($A66, My_Audit!$A:$A, My_Audit!N:N, ""),
    _xlfn.TEXTJOIN(", ", TRUE, _xlpm.MyAuditVal, _xlpm.MacVal)
)</f>
        <v/>
      </c>
    </row>
    <row r="67" spans="1:24">
      <c r="A67" s="40" t="str">
        <f>_xlfn.TEXTJOIN("",TRUE,Input!$B$2,ROW(My_Audit!A66))</f>
        <v>X66</v>
      </c>
      <c r="B67" s="40" t="str">
        <f>_xlfn.TEXTJOIN("-",TRUE,"ITD",Input!$A$2,A67)</f>
        <v>ITD-X66</v>
      </c>
      <c r="C67" s="40" t="str" cm="1">
        <f t="array" ref="C67">IFERROR(_xlfn.LET(
_xlpm.CSVVal,_xlfn.XLOOKUP($A67,CSV!$A:$A,CSV!B:B,""),
_xlpm.MacVal,_xlfn.XLOOKUP($A67,Output_Mac!$A:$A,Output_Mac!B:B,""),
_xlpm.MyAuditVal,_xlfn.XLOOKUP($A67,My_Audit!$A:$A,My_Audit!B:B,""),
_xlfn.IFS(_xlpm.MyAuditVal&lt;&gt;"",UPPER(_xlpm.MyAuditVal),_xlpm.MacVal&lt;&gt;"",_xlpm.MacVal,_xlpm.CSVVal&lt;&gt;"",_xlpm.CSVVal
)),"")</f>
        <v/>
      </c>
      <c r="D67" s="40" t="str" cm="1">
        <f t="array" ref="D67">IFERROR(_xlfn.LET(
_xlpm.CSVVal,_xlfn.XLOOKUP($A67,CSV!$A:$A,CSV!D:D,""),
_xlpm.MacVal,_xlfn.XLOOKUP($A67,Output_Mac!$A:$A,Output_Mac!C:C,""),
_xlpm.MyAuditVal,_xlfn.XLOOKUP($A67,My_Audit!$A:$A,My_Audit!C:C,""),
_xlfn.IFS(_xlpm.MyAuditVal&lt;&gt;"",_xlpm.MyAuditVal,_xlpm.MacVal&lt;&gt;"",_xlpm.MacVal,_xlpm.CSVVal&lt;&gt;"",_xlpm.CSVVal
)),"")</f>
        <v/>
      </c>
      <c r="E67" s="40">
        <f>_xlfn.XLOOKUP(A67,My_Audit!A:A,My_Audit!D:D,"")</f>
        <v>0</v>
      </c>
      <c r="F67" s="40" t="str" cm="1">
        <f t="array" ref="F67">IFERROR(_xlfn.LET(
_xlpm.CSVVal,_xlfn.XLOOKUP($A67,CSV!$A:$A,CSV!F:F,""),
_xlpm.MacVal,_xlfn.XLOOKUP($A67,Output_Mac!$A:$A,Output_Mac!E:E,""),
_xlpm.MyAuditVal,_xlfn.XLOOKUP($A67,My_Audit!$A:$A,My_Audit!E:E,""),
_xlfn.IFS(_xlpm.MyAuditVal&lt;&gt;"",_xlpm.MyAuditVal,_xlpm.MacVal&lt;&gt;"",_xlpm.MacVal,_xlpm.CSVVal&lt;&gt;"",_xlpm.CSVVal
)),"")</f>
        <v/>
      </c>
      <c r="G67" s="40" t="str" cm="1">
        <f t="array" ref="G67">IFERROR(_xlfn.LET(
_xlpm.CSVVal,_xlfn.XLOOKUP($A67,CSV!$A:$A,CSV!G:G,""),
_xlpm.MacVal,_xlfn.XLOOKUP($A67,Output_Mac!$A:$A,Output_Mac!F:F,""),
_xlpm.MyAuditVal,_xlfn.XLOOKUP($A67,My_Audit!$A:$A,My_Audit!F:F,""),
_xlfn.IFS(_xlpm.MyAuditVal&lt;&gt;"",_xlpm.MyAuditVal,_xlpm.MacVal&lt;&gt;"",_xlpm.MacVal,_xlpm.CSVVal&lt;&gt;"",PROPER(_xlpm.CSVVal)
)),"")</f>
        <v/>
      </c>
      <c r="H67" s="40" t="str" cm="1">
        <f t="array" ref="H67">IFERROR(_xlfn.LET(
_xlpm.CSVVal,_xlfn.XLOOKUP($A67,CSV!$A:$A,CSV!H:H,""),
_xlpm.MacVal,_xlfn.XLOOKUP($A67,Output_Mac!$A:$A,Output_Mac!H:H,""),
_xlpm.MyAuditVal,_xlfn.XLOOKUP($A67,My_Audit!$A:$A,My_Audit!G:G,""),
_xlfn.IFS(_xlpm.MyAuditVal&lt;&gt;"",_xlpm.MyAuditVal,_xlpm.MacVal&lt;&gt;"",_xlpm.MacVal,_xlpm.CSVVal&lt;&gt;"",_xlpm.CSVVal
)),"")</f>
        <v/>
      </c>
      <c r="I67" s="40" t="str">
        <f>_xlfn.XLOOKUP(A67,Output_Mac!A:A,Output_Mac!I:I,"")</f>
        <v/>
      </c>
      <c r="J67" s="40" t="str" cm="1">
        <f t="array" ref="J67">IFERROR(_xlfn.LET(
_xlpm.CSVVal,_xlfn.XLOOKUP($A67,CSV!$A:$A,CSV!I:I,""),
_xlpm.MacVal,_xlfn.XLOOKUP($A67,Output_Mac!$A:$A,Output_Mac!J:J,""),
_xlpm.MyAuditVal,_xlfn.XLOOKUP($A67,My_Audit!$A:$A,My_Audit!I:I,""),
_xlfn.IFS(_xlpm.MyAuditVal&lt;&gt;"",UPPER(_xlpm.MyAuditVal),_xlpm.MacVal&lt;&gt;"",_xlpm.MacVal,_xlpm.CSVVal&lt;&gt;"",_xlpm.CSVVal
)),"")</f>
        <v/>
      </c>
      <c r="K67" s="40" t="str" cm="1">
        <f t="array" ref="K67">IFERROR(_xlfn.LET(
_xlpm.CSVVal,_xlfn.XLOOKUP($A67,CSV!$A:$A,CSV!K:K,""),
_xlpm.MacVal,_xlfn.XLOOKUP($A67,Output_Mac!$A:$A,Output_Mac!K:K,""),
_xlpm.MyAuditVal,_xlfn.XLOOKUP($A67,My_Audit!$A:$A,My_Audit!J:J,""),
_xlfn.IFS(_xlpm.MyAuditVal&lt;&gt;"",UPPER(_xlpm.MyAuditVal),_xlpm.MacVal&lt;&gt;"",_xlpm.MacVal,_xlpm.CSVVal&lt;&gt;"",_xlpm.CSVVal
)),"")</f>
        <v/>
      </c>
      <c r="L67" s="40" t="str" cm="1">
        <f t="array" ref="L67">IFERROR(_xlfn.LET(
_xlpm.CSVVal,_xlfn.XLOOKUP($A67,CSV!$A:$A,CSV!P:P,""),
_xlpm.MacVal,_xlfn.XLOOKUP($A67,Output_Mac!$A:$A,Output_Mac!L:L,""),
_xlpm.MyAuditVal,_xlfn.XLOOKUP($A67,My_Audit!$A:$A,My_Audit!K:K,""),
_xlfn.IFS(_xlpm.MyAuditVal&lt;&gt;"",UPPER(_xlpm.MyAuditVal),_xlpm.MacVal&lt;&gt;"",_xlpm.MacVal,_xlpm.CSVVal&lt;&gt;"",_xlpm.CSVVal
)),"")</f>
        <v/>
      </c>
      <c r="M67" s="40" t="str" cm="1">
        <f t="array" ref="M67">IFERROR(_xlfn.LET(
_xlpm.CSVVal,_xlfn.XLOOKUP($A67,CSV!$A:$A,CSV!Q:Q,""),
_xlpm.MacVal,_xlfn.XLOOKUP($A67,Output_Mac!$A:$A,Output_Mac!M:M,""),
_xlpm.MyAuditVal,_xlfn.XLOOKUP($A67,My_Audit!$A:$A,My_Audit!L:L,""),
_xlfn.IFS(_xlpm.MyAuditVal&lt;&gt;"",UPPER(_xlpm.MyAuditVal),_xlpm.MacVal&lt;&gt;"",_xlpm.MacVal,_xlpm.CSVVal&lt;&gt;"",_xlpm.CSVVal
)),"")</f>
        <v/>
      </c>
      <c r="N67" s="40"/>
      <c r="O67" s="40" t="str">
        <f>_xlfn.LET(
    _xlpm.CSVVal, _xlfn.XLOOKUP($A67, CSV!$A:$A, CSV!AA:AA, ""),
    _xlpm.MacVal, _xlfn.XLOOKUP($A67, Output_Mac!$A:$A, Output_Mac!S:S, ""),
    _xlpm.MyAuditVal, _xlfn.XLOOKUP($A67, My_Audit!$A:$A, My_Audit!P:P, ""),
    _xlfn.TEXTJOIN(", ", TRUE, _xlpm.MyAuditVal, _xlpm.MacVal, _xlpm.CSVVal)
)</f>
        <v/>
      </c>
      <c r="P67" s="40" t="str" cm="1">
        <f t="array" ref="P67">IFERROR(_xlfn.LET(
_xlpm.CSVVal,_xlfn.XLOOKUP($A67,CSV!$A:$A,CSV!AB:AB,""),
_xlpm.MacVal,_xlfn.XLOOKUP($A67,Output_Mac!$A:$A,Output_Mac!T:T,""),
_xlpm.MyAuditVal,_xlfn.XLOOKUP($A67,My_Audit!$A:$A,My_Audit!Q:Q,""),
_xlfn.IFS(_xlpm.MyAuditVal&lt;&gt;"",UPPER(_xlpm.MyAuditVal),_xlpm.MacVal&lt;&gt;"",_xlpm.MacVal,_xlpm.CSVVal&lt;&gt;"",_xlpm.CSVVal
)),"No")</f>
        <v>No</v>
      </c>
      <c r="Q67" s="40" t="str" cm="1">
        <f t="array" ref="Q67">IFERROR(_xlfn.LET(
_xlpm.CSVVal,_xlfn.XLOOKUP($A67,CSV!$A:$A,CSV!AC:AC,""),
_xlpm.MacVal,_xlfn.XLOOKUP($A67,Output_Mac!$A:$A,Output_Mac!U:U,""),
_xlpm.MyAuditVal,_xlfn.XLOOKUP($A67,My_Audit!$A:$A,My_Audit!R:R,""),
_xlfn.IFS(_xlpm.MyAuditVal&lt;&gt;"",UPPER(_xlpm.MyAuditVal),_xlpm.MacVal&lt;&gt;"",_xlpm.MacVal,_xlpm.CSVVal&lt;&gt;"",_xlpm.CSVVal
)),"")</f>
        <v/>
      </c>
      <c r="R67" s="40"/>
      <c r="S67" s="40"/>
      <c r="T67" s="40"/>
      <c r="U67" s="40"/>
      <c r="V67" s="40"/>
      <c r="W67" s="40"/>
      <c r="X67" s="41" t="str">
        <f>_xlfn.LET(
    _xlpm.MacVal, _xlfn.XLOOKUP($A67, Output_Mac!$A:$A, Output_Mac!AB:AB, ""),
    _xlpm.MyAuditVal, _xlfn.XLOOKUP($A67, My_Audit!$A:$A, My_Audit!N:N, ""),
    _xlfn.TEXTJOIN(", ", TRUE, _xlpm.MyAuditVal, _xlpm.MacVal)
)</f>
        <v/>
      </c>
    </row>
    <row r="68" spans="1:24">
      <c r="A68" s="40" t="str">
        <f>_xlfn.TEXTJOIN("",TRUE,Input!$B$2,ROW(My_Audit!A67))</f>
        <v>X67</v>
      </c>
      <c r="B68" s="40" t="str">
        <f>_xlfn.TEXTJOIN("-",TRUE,"ITD",Input!$A$2,A68)</f>
        <v>ITD-X67</v>
      </c>
      <c r="C68" s="40" t="str" cm="1">
        <f t="array" ref="C68">IFERROR(_xlfn.LET(
_xlpm.CSVVal,_xlfn.XLOOKUP($A68,CSV!$A:$A,CSV!B:B,""),
_xlpm.MacVal,_xlfn.XLOOKUP($A68,Output_Mac!$A:$A,Output_Mac!B:B,""),
_xlpm.MyAuditVal,_xlfn.XLOOKUP($A68,My_Audit!$A:$A,My_Audit!B:B,""),
_xlfn.IFS(_xlpm.MyAuditVal&lt;&gt;"",UPPER(_xlpm.MyAuditVal),_xlpm.MacVal&lt;&gt;"",_xlpm.MacVal,_xlpm.CSVVal&lt;&gt;"",_xlpm.CSVVal
)),"")</f>
        <v/>
      </c>
      <c r="D68" s="40" t="str" cm="1">
        <f t="array" ref="D68">IFERROR(_xlfn.LET(
_xlpm.CSVVal,_xlfn.XLOOKUP($A68,CSV!$A:$A,CSV!D:D,""),
_xlpm.MacVal,_xlfn.XLOOKUP($A68,Output_Mac!$A:$A,Output_Mac!C:C,""),
_xlpm.MyAuditVal,_xlfn.XLOOKUP($A68,My_Audit!$A:$A,My_Audit!C:C,""),
_xlfn.IFS(_xlpm.MyAuditVal&lt;&gt;"",_xlpm.MyAuditVal,_xlpm.MacVal&lt;&gt;"",_xlpm.MacVal,_xlpm.CSVVal&lt;&gt;"",_xlpm.CSVVal
)),"")</f>
        <v/>
      </c>
      <c r="E68" s="40">
        <f>_xlfn.XLOOKUP(A68,My_Audit!A:A,My_Audit!D:D,"")</f>
        <v>0</v>
      </c>
      <c r="F68" s="40" t="str" cm="1">
        <f t="array" ref="F68">IFERROR(_xlfn.LET(
_xlpm.CSVVal,_xlfn.XLOOKUP($A68,CSV!$A:$A,CSV!F:F,""),
_xlpm.MacVal,_xlfn.XLOOKUP($A68,Output_Mac!$A:$A,Output_Mac!E:E,""),
_xlpm.MyAuditVal,_xlfn.XLOOKUP($A68,My_Audit!$A:$A,My_Audit!E:E,""),
_xlfn.IFS(_xlpm.MyAuditVal&lt;&gt;"",_xlpm.MyAuditVal,_xlpm.MacVal&lt;&gt;"",_xlpm.MacVal,_xlpm.CSVVal&lt;&gt;"",_xlpm.CSVVal
)),"")</f>
        <v/>
      </c>
      <c r="G68" s="40" t="str" cm="1">
        <f t="array" ref="G68">IFERROR(_xlfn.LET(
_xlpm.CSVVal,_xlfn.XLOOKUP($A68,CSV!$A:$A,CSV!G:G,""),
_xlpm.MacVal,_xlfn.XLOOKUP($A68,Output_Mac!$A:$A,Output_Mac!F:F,""),
_xlpm.MyAuditVal,_xlfn.XLOOKUP($A68,My_Audit!$A:$A,My_Audit!F:F,""),
_xlfn.IFS(_xlpm.MyAuditVal&lt;&gt;"",_xlpm.MyAuditVal,_xlpm.MacVal&lt;&gt;"",_xlpm.MacVal,_xlpm.CSVVal&lt;&gt;"",PROPER(_xlpm.CSVVal)
)),"")</f>
        <v/>
      </c>
      <c r="H68" s="40" t="str" cm="1">
        <f t="array" ref="H68">IFERROR(_xlfn.LET(
_xlpm.CSVVal,_xlfn.XLOOKUP($A68,CSV!$A:$A,CSV!H:H,""),
_xlpm.MacVal,_xlfn.XLOOKUP($A68,Output_Mac!$A:$A,Output_Mac!H:H,""),
_xlpm.MyAuditVal,_xlfn.XLOOKUP($A68,My_Audit!$A:$A,My_Audit!G:G,""),
_xlfn.IFS(_xlpm.MyAuditVal&lt;&gt;"",_xlpm.MyAuditVal,_xlpm.MacVal&lt;&gt;"",_xlpm.MacVal,_xlpm.CSVVal&lt;&gt;"",_xlpm.CSVVal
)),"")</f>
        <v/>
      </c>
      <c r="I68" s="40" t="str">
        <f>_xlfn.XLOOKUP(A68,Output_Mac!A:A,Output_Mac!I:I,"")</f>
        <v/>
      </c>
      <c r="J68" s="40" t="str" cm="1">
        <f t="array" ref="J68">IFERROR(_xlfn.LET(
_xlpm.CSVVal,_xlfn.XLOOKUP($A68,CSV!$A:$A,CSV!I:I,""),
_xlpm.MacVal,_xlfn.XLOOKUP($A68,Output_Mac!$A:$A,Output_Mac!J:J,""),
_xlpm.MyAuditVal,_xlfn.XLOOKUP($A68,My_Audit!$A:$A,My_Audit!I:I,""),
_xlfn.IFS(_xlpm.MyAuditVal&lt;&gt;"",UPPER(_xlpm.MyAuditVal),_xlpm.MacVal&lt;&gt;"",_xlpm.MacVal,_xlpm.CSVVal&lt;&gt;"",_xlpm.CSVVal
)),"")</f>
        <v/>
      </c>
      <c r="K68" s="40" t="str" cm="1">
        <f t="array" ref="K68">IFERROR(_xlfn.LET(
_xlpm.CSVVal,_xlfn.XLOOKUP($A68,CSV!$A:$A,CSV!K:K,""),
_xlpm.MacVal,_xlfn.XLOOKUP($A68,Output_Mac!$A:$A,Output_Mac!K:K,""),
_xlpm.MyAuditVal,_xlfn.XLOOKUP($A68,My_Audit!$A:$A,My_Audit!J:J,""),
_xlfn.IFS(_xlpm.MyAuditVal&lt;&gt;"",UPPER(_xlpm.MyAuditVal),_xlpm.MacVal&lt;&gt;"",_xlpm.MacVal,_xlpm.CSVVal&lt;&gt;"",_xlpm.CSVVal
)),"")</f>
        <v/>
      </c>
      <c r="L68" s="40" t="str" cm="1">
        <f t="array" ref="L68">IFERROR(_xlfn.LET(
_xlpm.CSVVal,_xlfn.XLOOKUP($A68,CSV!$A:$A,CSV!P:P,""),
_xlpm.MacVal,_xlfn.XLOOKUP($A68,Output_Mac!$A:$A,Output_Mac!L:L,""),
_xlpm.MyAuditVal,_xlfn.XLOOKUP($A68,My_Audit!$A:$A,My_Audit!K:K,""),
_xlfn.IFS(_xlpm.MyAuditVal&lt;&gt;"",UPPER(_xlpm.MyAuditVal),_xlpm.MacVal&lt;&gt;"",_xlpm.MacVal,_xlpm.CSVVal&lt;&gt;"",_xlpm.CSVVal
)),"")</f>
        <v/>
      </c>
      <c r="M68" s="40" t="str" cm="1">
        <f t="array" ref="M68">IFERROR(_xlfn.LET(
_xlpm.CSVVal,_xlfn.XLOOKUP($A68,CSV!$A:$A,CSV!Q:Q,""),
_xlpm.MacVal,_xlfn.XLOOKUP($A68,Output_Mac!$A:$A,Output_Mac!M:M,""),
_xlpm.MyAuditVal,_xlfn.XLOOKUP($A68,My_Audit!$A:$A,My_Audit!L:L,""),
_xlfn.IFS(_xlpm.MyAuditVal&lt;&gt;"",UPPER(_xlpm.MyAuditVal),_xlpm.MacVal&lt;&gt;"",_xlpm.MacVal,_xlpm.CSVVal&lt;&gt;"",_xlpm.CSVVal
)),"")</f>
        <v/>
      </c>
      <c r="N68" s="40"/>
      <c r="O68" s="40" t="str">
        <f>_xlfn.LET(
    _xlpm.CSVVal, _xlfn.XLOOKUP($A68, CSV!$A:$A, CSV!AA:AA, ""),
    _xlpm.MacVal, _xlfn.XLOOKUP($A68, Output_Mac!$A:$A, Output_Mac!S:S, ""),
    _xlpm.MyAuditVal, _xlfn.XLOOKUP($A68, My_Audit!$A:$A, My_Audit!P:P, ""),
    _xlfn.TEXTJOIN(", ", TRUE, _xlpm.MyAuditVal, _xlpm.MacVal, _xlpm.CSVVal)
)</f>
        <v/>
      </c>
      <c r="P68" s="40" t="str" cm="1">
        <f t="array" ref="P68">IFERROR(_xlfn.LET(
_xlpm.CSVVal,_xlfn.XLOOKUP($A68,CSV!$A:$A,CSV!AB:AB,""),
_xlpm.MacVal,_xlfn.XLOOKUP($A68,Output_Mac!$A:$A,Output_Mac!T:T,""),
_xlpm.MyAuditVal,_xlfn.XLOOKUP($A68,My_Audit!$A:$A,My_Audit!Q:Q,""),
_xlfn.IFS(_xlpm.MyAuditVal&lt;&gt;"",UPPER(_xlpm.MyAuditVal),_xlpm.MacVal&lt;&gt;"",_xlpm.MacVal,_xlpm.CSVVal&lt;&gt;"",_xlpm.CSVVal
)),"No")</f>
        <v>No</v>
      </c>
      <c r="Q68" s="40" t="str" cm="1">
        <f t="array" ref="Q68">IFERROR(_xlfn.LET(
_xlpm.CSVVal,_xlfn.XLOOKUP($A68,CSV!$A:$A,CSV!AC:AC,""),
_xlpm.MacVal,_xlfn.XLOOKUP($A68,Output_Mac!$A:$A,Output_Mac!U:U,""),
_xlpm.MyAuditVal,_xlfn.XLOOKUP($A68,My_Audit!$A:$A,My_Audit!R:R,""),
_xlfn.IFS(_xlpm.MyAuditVal&lt;&gt;"",UPPER(_xlpm.MyAuditVal),_xlpm.MacVal&lt;&gt;"",_xlpm.MacVal,_xlpm.CSVVal&lt;&gt;"",_xlpm.CSVVal
)),"")</f>
        <v/>
      </c>
      <c r="R68" s="40"/>
      <c r="S68" s="40"/>
      <c r="T68" s="40"/>
      <c r="U68" s="40"/>
      <c r="V68" s="40"/>
      <c r="W68" s="40"/>
      <c r="X68" s="41" t="str">
        <f>_xlfn.LET(
    _xlpm.MacVal, _xlfn.XLOOKUP($A68, Output_Mac!$A:$A, Output_Mac!AB:AB, ""),
    _xlpm.MyAuditVal, _xlfn.XLOOKUP($A68, My_Audit!$A:$A, My_Audit!N:N, ""),
    _xlfn.TEXTJOIN(", ", TRUE, _xlpm.MyAuditVal, _xlpm.MacVal)
)</f>
        <v/>
      </c>
    </row>
    <row r="69" spans="1:24">
      <c r="A69" s="40" t="str">
        <f>_xlfn.TEXTJOIN("",TRUE,Input!$B$2,ROW(My_Audit!A68))</f>
        <v>X68</v>
      </c>
      <c r="B69" s="40" t="str">
        <f>_xlfn.TEXTJOIN("-",TRUE,"ITD",Input!$A$2,A69)</f>
        <v>ITD-X68</v>
      </c>
      <c r="C69" s="40" t="str" cm="1">
        <f t="array" ref="C69">IFERROR(_xlfn.LET(
_xlpm.CSVVal,_xlfn.XLOOKUP($A69,CSV!$A:$A,CSV!B:B,""),
_xlpm.MacVal,_xlfn.XLOOKUP($A69,Output_Mac!$A:$A,Output_Mac!B:B,""),
_xlpm.MyAuditVal,_xlfn.XLOOKUP($A69,My_Audit!$A:$A,My_Audit!B:B,""),
_xlfn.IFS(_xlpm.MyAuditVal&lt;&gt;"",UPPER(_xlpm.MyAuditVal),_xlpm.MacVal&lt;&gt;"",_xlpm.MacVal,_xlpm.CSVVal&lt;&gt;"",_xlpm.CSVVal
)),"")</f>
        <v/>
      </c>
      <c r="D69" s="40" t="str" cm="1">
        <f t="array" ref="D69">IFERROR(_xlfn.LET(
_xlpm.CSVVal,_xlfn.XLOOKUP($A69,CSV!$A:$A,CSV!D:D,""),
_xlpm.MacVal,_xlfn.XLOOKUP($A69,Output_Mac!$A:$A,Output_Mac!C:C,""),
_xlpm.MyAuditVal,_xlfn.XLOOKUP($A69,My_Audit!$A:$A,My_Audit!C:C,""),
_xlfn.IFS(_xlpm.MyAuditVal&lt;&gt;"",_xlpm.MyAuditVal,_xlpm.MacVal&lt;&gt;"",_xlpm.MacVal,_xlpm.CSVVal&lt;&gt;"",_xlpm.CSVVal
)),"")</f>
        <v/>
      </c>
      <c r="E69" s="40">
        <f>_xlfn.XLOOKUP(A69,My_Audit!A:A,My_Audit!D:D,"")</f>
        <v>0</v>
      </c>
      <c r="F69" s="40" t="str" cm="1">
        <f t="array" ref="F69">IFERROR(_xlfn.LET(
_xlpm.CSVVal,_xlfn.XLOOKUP($A69,CSV!$A:$A,CSV!F:F,""),
_xlpm.MacVal,_xlfn.XLOOKUP($A69,Output_Mac!$A:$A,Output_Mac!E:E,""),
_xlpm.MyAuditVal,_xlfn.XLOOKUP($A69,My_Audit!$A:$A,My_Audit!E:E,""),
_xlfn.IFS(_xlpm.MyAuditVal&lt;&gt;"",_xlpm.MyAuditVal,_xlpm.MacVal&lt;&gt;"",_xlpm.MacVal,_xlpm.CSVVal&lt;&gt;"",_xlpm.CSVVal
)),"")</f>
        <v/>
      </c>
      <c r="G69" s="40" t="str" cm="1">
        <f t="array" ref="G69">IFERROR(_xlfn.LET(
_xlpm.CSVVal,_xlfn.XLOOKUP($A69,CSV!$A:$A,CSV!G:G,""),
_xlpm.MacVal,_xlfn.XLOOKUP($A69,Output_Mac!$A:$A,Output_Mac!F:F,""),
_xlpm.MyAuditVal,_xlfn.XLOOKUP($A69,My_Audit!$A:$A,My_Audit!F:F,""),
_xlfn.IFS(_xlpm.MyAuditVal&lt;&gt;"",_xlpm.MyAuditVal,_xlpm.MacVal&lt;&gt;"",_xlpm.MacVal,_xlpm.CSVVal&lt;&gt;"",PROPER(_xlpm.CSVVal)
)),"")</f>
        <v/>
      </c>
      <c r="H69" s="40" t="str" cm="1">
        <f t="array" ref="H69">IFERROR(_xlfn.LET(
_xlpm.CSVVal,_xlfn.XLOOKUP($A69,CSV!$A:$A,CSV!H:H,""),
_xlpm.MacVal,_xlfn.XLOOKUP($A69,Output_Mac!$A:$A,Output_Mac!H:H,""),
_xlpm.MyAuditVal,_xlfn.XLOOKUP($A69,My_Audit!$A:$A,My_Audit!G:G,""),
_xlfn.IFS(_xlpm.MyAuditVal&lt;&gt;"",_xlpm.MyAuditVal,_xlpm.MacVal&lt;&gt;"",_xlpm.MacVal,_xlpm.CSVVal&lt;&gt;"",_xlpm.CSVVal
)),"")</f>
        <v/>
      </c>
      <c r="I69" s="40" t="str">
        <f>_xlfn.XLOOKUP(A69,Output_Mac!A:A,Output_Mac!I:I,"")</f>
        <v/>
      </c>
      <c r="J69" s="40" t="str" cm="1">
        <f t="array" ref="J69">IFERROR(_xlfn.LET(
_xlpm.CSVVal,_xlfn.XLOOKUP($A69,CSV!$A:$A,CSV!I:I,""),
_xlpm.MacVal,_xlfn.XLOOKUP($A69,Output_Mac!$A:$A,Output_Mac!J:J,""),
_xlpm.MyAuditVal,_xlfn.XLOOKUP($A69,My_Audit!$A:$A,My_Audit!I:I,""),
_xlfn.IFS(_xlpm.MyAuditVal&lt;&gt;"",UPPER(_xlpm.MyAuditVal),_xlpm.MacVal&lt;&gt;"",_xlpm.MacVal,_xlpm.CSVVal&lt;&gt;"",_xlpm.CSVVal
)),"")</f>
        <v/>
      </c>
      <c r="K69" s="40" t="str" cm="1">
        <f t="array" ref="K69">IFERROR(_xlfn.LET(
_xlpm.CSVVal,_xlfn.XLOOKUP($A69,CSV!$A:$A,CSV!K:K,""),
_xlpm.MacVal,_xlfn.XLOOKUP($A69,Output_Mac!$A:$A,Output_Mac!K:K,""),
_xlpm.MyAuditVal,_xlfn.XLOOKUP($A69,My_Audit!$A:$A,My_Audit!J:J,""),
_xlfn.IFS(_xlpm.MyAuditVal&lt;&gt;"",UPPER(_xlpm.MyAuditVal),_xlpm.MacVal&lt;&gt;"",_xlpm.MacVal,_xlpm.CSVVal&lt;&gt;"",_xlpm.CSVVal
)),"")</f>
        <v/>
      </c>
      <c r="L69" s="40" t="str" cm="1">
        <f t="array" ref="L69">IFERROR(_xlfn.LET(
_xlpm.CSVVal,_xlfn.XLOOKUP($A69,CSV!$A:$A,CSV!P:P,""),
_xlpm.MacVal,_xlfn.XLOOKUP($A69,Output_Mac!$A:$A,Output_Mac!L:L,""),
_xlpm.MyAuditVal,_xlfn.XLOOKUP($A69,My_Audit!$A:$A,My_Audit!K:K,""),
_xlfn.IFS(_xlpm.MyAuditVal&lt;&gt;"",UPPER(_xlpm.MyAuditVal),_xlpm.MacVal&lt;&gt;"",_xlpm.MacVal,_xlpm.CSVVal&lt;&gt;"",_xlpm.CSVVal
)),"")</f>
        <v/>
      </c>
      <c r="M69" s="40" t="str" cm="1">
        <f t="array" ref="M69">IFERROR(_xlfn.LET(
_xlpm.CSVVal,_xlfn.XLOOKUP($A69,CSV!$A:$A,CSV!Q:Q,""),
_xlpm.MacVal,_xlfn.XLOOKUP($A69,Output_Mac!$A:$A,Output_Mac!M:M,""),
_xlpm.MyAuditVal,_xlfn.XLOOKUP($A69,My_Audit!$A:$A,My_Audit!L:L,""),
_xlfn.IFS(_xlpm.MyAuditVal&lt;&gt;"",UPPER(_xlpm.MyAuditVal),_xlpm.MacVal&lt;&gt;"",_xlpm.MacVal,_xlpm.CSVVal&lt;&gt;"",_xlpm.CSVVal
)),"")</f>
        <v/>
      </c>
      <c r="N69" s="40"/>
      <c r="O69" s="40" t="str">
        <f>_xlfn.LET(
    _xlpm.CSVVal, _xlfn.XLOOKUP($A69, CSV!$A:$A, CSV!AA:AA, ""),
    _xlpm.MacVal, _xlfn.XLOOKUP($A69, Output_Mac!$A:$A, Output_Mac!S:S, ""),
    _xlpm.MyAuditVal, _xlfn.XLOOKUP($A69, My_Audit!$A:$A, My_Audit!P:P, ""),
    _xlfn.TEXTJOIN(", ", TRUE, _xlpm.MyAuditVal, _xlpm.MacVal, _xlpm.CSVVal)
)</f>
        <v/>
      </c>
      <c r="P69" s="40" t="str" cm="1">
        <f t="array" ref="P69">IFERROR(_xlfn.LET(
_xlpm.CSVVal,_xlfn.XLOOKUP($A69,CSV!$A:$A,CSV!AB:AB,""),
_xlpm.MacVal,_xlfn.XLOOKUP($A69,Output_Mac!$A:$A,Output_Mac!T:T,""),
_xlpm.MyAuditVal,_xlfn.XLOOKUP($A69,My_Audit!$A:$A,My_Audit!Q:Q,""),
_xlfn.IFS(_xlpm.MyAuditVal&lt;&gt;"",UPPER(_xlpm.MyAuditVal),_xlpm.MacVal&lt;&gt;"",_xlpm.MacVal,_xlpm.CSVVal&lt;&gt;"",_xlpm.CSVVal
)),"No")</f>
        <v>No</v>
      </c>
      <c r="Q69" s="40" t="str" cm="1">
        <f t="array" ref="Q69">IFERROR(_xlfn.LET(
_xlpm.CSVVal,_xlfn.XLOOKUP($A69,CSV!$A:$A,CSV!AC:AC,""),
_xlpm.MacVal,_xlfn.XLOOKUP($A69,Output_Mac!$A:$A,Output_Mac!U:U,""),
_xlpm.MyAuditVal,_xlfn.XLOOKUP($A69,My_Audit!$A:$A,My_Audit!R:R,""),
_xlfn.IFS(_xlpm.MyAuditVal&lt;&gt;"",UPPER(_xlpm.MyAuditVal),_xlpm.MacVal&lt;&gt;"",_xlpm.MacVal,_xlpm.CSVVal&lt;&gt;"",_xlpm.CSVVal
)),"")</f>
        <v/>
      </c>
      <c r="R69" s="40"/>
      <c r="S69" s="40"/>
      <c r="T69" s="40"/>
      <c r="U69" s="40"/>
      <c r="V69" s="40"/>
      <c r="W69" s="40"/>
      <c r="X69" s="41" t="str">
        <f>_xlfn.LET(
    _xlpm.MacVal, _xlfn.XLOOKUP($A69, Output_Mac!$A:$A, Output_Mac!AB:AB, ""),
    _xlpm.MyAuditVal, _xlfn.XLOOKUP($A69, My_Audit!$A:$A, My_Audit!N:N, ""),
    _xlfn.TEXTJOIN(", ", TRUE, _xlpm.MyAuditVal, _xlpm.MacVal)
)</f>
        <v/>
      </c>
    </row>
    <row r="70" spans="1:24">
      <c r="A70" s="40" t="str">
        <f>_xlfn.TEXTJOIN("",TRUE,Input!$B$2,ROW(My_Audit!A69))</f>
        <v>X69</v>
      </c>
      <c r="B70" s="40" t="str">
        <f>_xlfn.TEXTJOIN("-",TRUE,"ITD",Input!$A$2,A70)</f>
        <v>ITD-X69</v>
      </c>
      <c r="C70" s="40" t="str" cm="1">
        <f t="array" ref="C70">IFERROR(_xlfn.LET(
_xlpm.CSVVal,_xlfn.XLOOKUP($A70,CSV!$A:$A,CSV!B:B,""),
_xlpm.MacVal,_xlfn.XLOOKUP($A70,Output_Mac!$A:$A,Output_Mac!B:B,""),
_xlpm.MyAuditVal,_xlfn.XLOOKUP($A70,My_Audit!$A:$A,My_Audit!B:B,""),
_xlfn.IFS(_xlpm.MyAuditVal&lt;&gt;"",UPPER(_xlpm.MyAuditVal),_xlpm.MacVal&lt;&gt;"",_xlpm.MacVal,_xlpm.CSVVal&lt;&gt;"",_xlpm.CSVVal
)),"")</f>
        <v/>
      </c>
      <c r="D70" s="40" t="str" cm="1">
        <f t="array" ref="D70">IFERROR(_xlfn.LET(
_xlpm.CSVVal,_xlfn.XLOOKUP($A70,CSV!$A:$A,CSV!D:D,""),
_xlpm.MacVal,_xlfn.XLOOKUP($A70,Output_Mac!$A:$A,Output_Mac!C:C,""),
_xlpm.MyAuditVal,_xlfn.XLOOKUP($A70,My_Audit!$A:$A,My_Audit!C:C,""),
_xlfn.IFS(_xlpm.MyAuditVal&lt;&gt;"",_xlpm.MyAuditVal,_xlpm.MacVal&lt;&gt;"",_xlpm.MacVal,_xlpm.CSVVal&lt;&gt;"",_xlpm.CSVVal
)),"")</f>
        <v/>
      </c>
      <c r="E70" s="40">
        <f>_xlfn.XLOOKUP(A70,My_Audit!A:A,My_Audit!D:D,"")</f>
        <v>0</v>
      </c>
      <c r="F70" s="40" t="str" cm="1">
        <f t="array" ref="F70">IFERROR(_xlfn.LET(
_xlpm.CSVVal,_xlfn.XLOOKUP($A70,CSV!$A:$A,CSV!F:F,""),
_xlpm.MacVal,_xlfn.XLOOKUP($A70,Output_Mac!$A:$A,Output_Mac!E:E,""),
_xlpm.MyAuditVal,_xlfn.XLOOKUP($A70,My_Audit!$A:$A,My_Audit!E:E,""),
_xlfn.IFS(_xlpm.MyAuditVal&lt;&gt;"",_xlpm.MyAuditVal,_xlpm.MacVal&lt;&gt;"",_xlpm.MacVal,_xlpm.CSVVal&lt;&gt;"",_xlpm.CSVVal
)),"")</f>
        <v/>
      </c>
      <c r="G70" s="40" t="str" cm="1">
        <f t="array" ref="G70">IFERROR(_xlfn.LET(
_xlpm.CSVVal,_xlfn.XLOOKUP($A70,CSV!$A:$A,CSV!G:G,""),
_xlpm.MacVal,_xlfn.XLOOKUP($A70,Output_Mac!$A:$A,Output_Mac!F:F,""),
_xlpm.MyAuditVal,_xlfn.XLOOKUP($A70,My_Audit!$A:$A,My_Audit!F:F,""),
_xlfn.IFS(_xlpm.MyAuditVal&lt;&gt;"",_xlpm.MyAuditVal,_xlpm.MacVal&lt;&gt;"",_xlpm.MacVal,_xlpm.CSVVal&lt;&gt;"",PROPER(_xlpm.CSVVal)
)),"")</f>
        <v/>
      </c>
      <c r="H70" s="40" t="str" cm="1">
        <f t="array" ref="H70">IFERROR(_xlfn.LET(
_xlpm.CSVVal,_xlfn.XLOOKUP($A70,CSV!$A:$A,CSV!H:H,""),
_xlpm.MacVal,_xlfn.XLOOKUP($A70,Output_Mac!$A:$A,Output_Mac!H:H,""),
_xlpm.MyAuditVal,_xlfn.XLOOKUP($A70,My_Audit!$A:$A,My_Audit!G:G,""),
_xlfn.IFS(_xlpm.MyAuditVal&lt;&gt;"",_xlpm.MyAuditVal,_xlpm.MacVal&lt;&gt;"",_xlpm.MacVal,_xlpm.CSVVal&lt;&gt;"",_xlpm.CSVVal
)),"")</f>
        <v/>
      </c>
      <c r="I70" s="40" t="str">
        <f>_xlfn.XLOOKUP(A70,Output_Mac!A:A,Output_Mac!I:I,"")</f>
        <v/>
      </c>
      <c r="J70" s="40" t="str" cm="1">
        <f t="array" ref="J70">IFERROR(_xlfn.LET(
_xlpm.CSVVal,_xlfn.XLOOKUP($A70,CSV!$A:$A,CSV!I:I,""),
_xlpm.MacVal,_xlfn.XLOOKUP($A70,Output_Mac!$A:$A,Output_Mac!J:J,""),
_xlpm.MyAuditVal,_xlfn.XLOOKUP($A70,My_Audit!$A:$A,My_Audit!I:I,""),
_xlfn.IFS(_xlpm.MyAuditVal&lt;&gt;"",UPPER(_xlpm.MyAuditVal),_xlpm.MacVal&lt;&gt;"",_xlpm.MacVal,_xlpm.CSVVal&lt;&gt;"",_xlpm.CSVVal
)),"")</f>
        <v/>
      </c>
      <c r="K70" s="40" t="str" cm="1">
        <f t="array" ref="K70">IFERROR(_xlfn.LET(
_xlpm.CSVVal,_xlfn.XLOOKUP($A70,CSV!$A:$A,CSV!K:K,""),
_xlpm.MacVal,_xlfn.XLOOKUP($A70,Output_Mac!$A:$A,Output_Mac!K:K,""),
_xlpm.MyAuditVal,_xlfn.XLOOKUP($A70,My_Audit!$A:$A,My_Audit!J:J,""),
_xlfn.IFS(_xlpm.MyAuditVal&lt;&gt;"",UPPER(_xlpm.MyAuditVal),_xlpm.MacVal&lt;&gt;"",_xlpm.MacVal,_xlpm.CSVVal&lt;&gt;"",_xlpm.CSVVal
)),"")</f>
        <v/>
      </c>
      <c r="L70" s="40" t="str" cm="1">
        <f t="array" ref="L70">IFERROR(_xlfn.LET(
_xlpm.CSVVal,_xlfn.XLOOKUP($A70,CSV!$A:$A,CSV!P:P,""),
_xlpm.MacVal,_xlfn.XLOOKUP($A70,Output_Mac!$A:$A,Output_Mac!L:L,""),
_xlpm.MyAuditVal,_xlfn.XLOOKUP($A70,My_Audit!$A:$A,My_Audit!K:K,""),
_xlfn.IFS(_xlpm.MyAuditVal&lt;&gt;"",UPPER(_xlpm.MyAuditVal),_xlpm.MacVal&lt;&gt;"",_xlpm.MacVal,_xlpm.CSVVal&lt;&gt;"",_xlpm.CSVVal
)),"")</f>
        <v/>
      </c>
      <c r="M70" s="40" t="str" cm="1">
        <f t="array" ref="M70">IFERROR(_xlfn.LET(
_xlpm.CSVVal,_xlfn.XLOOKUP($A70,CSV!$A:$A,CSV!Q:Q,""),
_xlpm.MacVal,_xlfn.XLOOKUP($A70,Output_Mac!$A:$A,Output_Mac!M:M,""),
_xlpm.MyAuditVal,_xlfn.XLOOKUP($A70,My_Audit!$A:$A,My_Audit!L:L,""),
_xlfn.IFS(_xlpm.MyAuditVal&lt;&gt;"",UPPER(_xlpm.MyAuditVal),_xlpm.MacVal&lt;&gt;"",_xlpm.MacVal,_xlpm.CSVVal&lt;&gt;"",_xlpm.CSVVal
)),"")</f>
        <v/>
      </c>
      <c r="N70" s="40"/>
      <c r="O70" s="40" t="str">
        <f>_xlfn.LET(
    _xlpm.CSVVal, _xlfn.XLOOKUP($A70, CSV!$A:$A, CSV!AA:AA, ""),
    _xlpm.MacVal, _xlfn.XLOOKUP($A70, Output_Mac!$A:$A, Output_Mac!S:S, ""),
    _xlpm.MyAuditVal, _xlfn.XLOOKUP($A70, My_Audit!$A:$A, My_Audit!P:P, ""),
    _xlfn.TEXTJOIN(", ", TRUE, _xlpm.MyAuditVal, _xlpm.MacVal, _xlpm.CSVVal)
)</f>
        <v/>
      </c>
      <c r="P70" s="40" t="str" cm="1">
        <f t="array" ref="P70">IFERROR(_xlfn.LET(
_xlpm.CSVVal,_xlfn.XLOOKUP($A70,CSV!$A:$A,CSV!AB:AB,""),
_xlpm.MacVal,_xlfn.XLOOKUP($A70,Output_Mac!$A:$A,Output_Mac!T:T,""),
_xlpm.MyAuditVal,_xlfn.XLOOKUP($A70,My_Audit!$A:$A,My_Audit!Q:Q,""),
_xlfn.IFS(_xlpm.MyAuditVal&lt;&gt;"",UPPER(_xlpm.MyAuditVal),_xlpm.MacVal&lt;&gt;"",_xlpm.MacVal,_xlpm.CSVVal&lt;&gt;"",_xlpm.CSVVal
)),"No")</f>
        <v>No</v>
      </c>
      <c r="Q70" s="40" t="str" cm="1">
        <f t="array" ref="Q70">IFERROR(_xlfn.LET(
_xlpm.CSVVal,_xlfn.XLOOKUP($A70,CSV!$A:$A,CSV!AC:AC,""),
_xlpm.MacVal,_xlfn.XLOOKUP($A70,Output_Mac!$A:$A,Output_Mac!U:U,""),
_xlpm.MyAuditVal,_xlfn.XLOOKUP($A70,My_Audit!$A:$A,My_Audit!R:R,""),
_xlfn.IFS(_xlpm.MyAuditVal&lt;&gt;"",UPPER(_xlpm.MyAuditVal),_xlpm.MacVal&lt;&gt;"",_xlpm.MacVal,_xlpm.CSVVal&lt;&gt;"",_xlpm.CSVVal
)),"")</f>
        <v/>
      </c>
      <c r="R70" s="40"/>
      <c r="S70" s="40"/>
      <c r="T70" s="40"/>
      <c r="U70" s="40"/>
      <c r="V70" s="40"/>
      <c r="W70" s="40"/>
      <c r="X70" s="41" t="str">
        <f>_xlfn.LET(
    _xlpm.MacVal, _xlfn.XLOOKUP($A70, Output_Mac!$A:$A, Output_Mac!AB:AB, ""),
    _xlpm.MyAuditVal, _xlfn.XLOOKUP($A70, My_Audit!$A:$A, My_Audit!N:N, ""),
    _xlfn.TEXTJOIN(", ", TRUE, _xlpm.MyAuditVal, _xlpm.MacVal)
)</f>
        <v/>
      </c>
    </row>
    <row r="71" spans="1:24">
      <c r="A71" s="40" t="str">
        <f>_xlfn.TEXTJOIN("",TRUE,Input!$B$2,ROW(My_Audit!A70))</f>
        <v>X70</v>
      </c>
      <c r="B71" s="40" t="str">
        <f>_xlfn.TEXTJOIN("-",TRUE,"ITD",Input!$A$2,A71)</f>
        <v>ITD-X70</v>
      </c>
      <c r="C71" s="40" t="str" cm="1">
        <f t="array" ref="C71">IFERROR(_xlfn.LET(
_xlpm.CSVVal,_xlfn.XLOOKUP($A71,CSV!$A:$A,CSV!B:B,""),
_xlpm.MacVal,_xlfn.XLOOKUP($A71,Output_Mac!$A:$A,Output_Mac!B:B,""),
_xlpm.MyAuditVal,_xlfn.XLOOKUP($A71,My_Audit!$A:$A,My_Audit!B:B,""),
_xlfn.IFS(_xlpm.MyAuditVal&lt;&gt;"",UPPER(_xlpm.MyAuditVal),_xlpm.MacVal&lt;&gt;"",_xlpm.MacVal,_xlpm.CSVVal&lt;&gt;"",_xlpm.CSVVal
)),"")</f>
        <v/>
      </c>
      <c r="D71" s="40" t="str" cm="1">
        <f t="array" ref="D71">IFERROR(_xlfn.LET(
_xlpm.CSVVal,_xlfn.XLOOKUP($A71,CSV!$A:$A,CSV!D:D,""),
_xlpm.MacVal,_xlfn.XLOOKUP($A71,Output_Mac!$A:$A,Output_Mac!C:C,""),
_xlpm.MyAuditVal,_xlfn.XLOOKUP($A71,My_Audit!$A:$A,My_Audit!C:C,""),
_xlfn.IFS(_xlpm.MyAuditVal&lt;&gt;"",_xlpm.MyAuditVal,_xlpm.MacVal&lt;&gt;"",_xlpm.MacVal,_xlpm.CSVVal&lt;&gt;"",_xlpm.CSVVal
)),"")</f>
        <v/>
      </c>
      <c r="E71" s="40">
        <f>_xlfn.XLOOKUP(A71,My_Audit!A:A,My_Audit!D:D,"")</f>
        <v>0</v>
      </c>
      <c r="F71" s="40" t="str" cm="1">
        <f t="array" ref="F71">IFERROR(_xlfn.LET(
_xlpm.CSVVal,_xlfn.XLOOKUP($A71,CSV!$A:$A,CSV!F:F,""),
_xlpm.MacVal,_xlfn.XLOOKUP($A71,Output_Mac!$A:$A,Output_Mac!E:E,""),
_xlpm.MyAuditVal,_xlfn.XLOOKUP($A71,My_Audit!$A:$A,My_Audit!E:E,""),
_xlfn.IFS(_xlpm.MyAuditVal&lt;&gt;"",_xlpm.MyAuditVal,_xlpm.MacVal&lt;&gt;"",_xlpm.MacVal,_xlpm.CSVVal&lt;&gt;"",_xlpm.CSVVal
)),"")</f>
        <v/>
      </c>
      <c r="G71" s="40" t="str" cm="1">
        <f t="array" ref="G71">IFERROR(_xlfn.LET(
_xlpm.CSVVal,_xlfn.XLOOKUP($A71,CSV!$A:$A,CSV!G:G,""),
_xlpm.MacVal,_xlfn.XLOOKUP($A71,Output_Mac!$A:$A,Output_Mac!F:F,""),
_xlpm.MyAuditVal,_xlfn.XLOOKUP($A71,My_Audit!$A:$A,My_Audit!F:F,""),
_xlfn.IFS(_xlpm.MyAuditVal&lt;&gt;"",_xlpm.MyAuditVal,_xlpm.MacVal&lt;&gt;"",_xlpm.MacVal,_xlpm.CSVVal&lt;&gt;"",PROPER(_xlpm.CSVVal)
)),"")</f>
        <v/>
      </c>
      <c r="H71" s="40" t="str" cm="1">
        <f t="array" ref="H71">IFERROR(_xlfn.LET(
_xlpm.CSVVal,_xlfn.XLOOKUP($A71,CSV!$A:$A,CSV!H:H,""),
_xlpm.MacVal,_xlfn.XLOOKUP($A71,Output_Mac!$A:$A,Output_Mac!H:H,""),
_xlpm.MyAuditVal,_xlfn.XLOOKUP($A71,My_Audit!$A:$A,My_Audit!G:G,""),
_xlfn.IFS(_xlpm.MyAuditVal&lt;&gt;"",_xlpm.MyAuditVal,_xlpm.MacVal&lt;&gt;"",_xlpm.MacVal,_xlpm.CSVVal&lt;&gt;"",_xlpm.CSVVal
)),"")</f>
        <v/>
      </c>
      <c r="I71" s="40" t="str">
        <f>_xlfn.XLOOKUP(A71,Output_Mac!A:A,Output_Mac!I:I,"")</f>
        <v/>
      </c>
      <c r="J71" s="40" t="str" cm="1">
        <f t="array" ref="J71">IFERROR(_xlfn.LET(
_xlpm.CSVVal,_xlfn.XLOOKUP($A71,CSV!$A:$A,CSV!I:I,""),
_xlpm.MacVal,_xlfn.XLOOKUP($A71,Output_Mac!$A:$A,Output_Mac!J:J,""),
_xlpm.MyAuditVal,_xlfn.XLOOKUP($A71,My_Audit!$A:$A,My_Audit!I:I,""),
_xlfn.IFS(_xlpm.MyAuditVal&lt;&gt;"",UPPER(_xlpm.MyAuditVal),_xlpm.MacVal&lt;&gt;"",_xlpm.MacVal,_xlpm.CSVVal&lt;&gt;"",_xlpm.CSVVal
)),"")</f>
        <v/>
      </c>
      <c r="K71" s="40" t="str" cm="1">
        <f t="array" ref="K71">IFERROR(_xlfn.LET(
_xlpm.CSVVal,_xlfn.XLOOKUP($A71,CSV!$A:$A,CSV!K:K,""),
_xlpm.MacVal,_xlfn.XLOOKUP($A71,Output_Mac!$A:$A,Output_Mac!K:K,""),
_xlpm.MyAuditVal,_xlfn.XLOOKUP($A71,My_Audit!$A:$A,My_Audit!J:J,""),
_xlfn.IFS(_xlpm.MyAuditVal&lt;&gt;"",UPPER(_xlpm.MyAuditVal),_xlpm.MacVal&lt;&gt;"",_xlpm.MacVal,_xlpm.CSVVal&lt;&gt;"",_xlpm.CSVVal
)),"")</f>
        <v/>
      </c>
      <c r="L71" s="40" t="str" cm="1">
        <f t="array" ref="L71">IFERROR(_xlfn.LET(
_xlpm.CSVVal,_xlfn.XLOOKUP($A71,CSV!$A:$A,CSV!P:P,""),
_xlpm.MacVal,_xlfn.XLOOKUP($A71,Output_Mac!$A:$A,Output_Mac!L:L,""),
_xlpm.MyAuditVal,_xlfn.XLOOKUP($A71,My_Audit!$A:$A,My_Audit!K:K,""),
_xlfn.IFS(_xlpm.MyAuditVal&lt;&gt;"",UPPER(_xlpm.MyAuditVal),_xlpm.MacVal&lt;&gt;"",_xlpm.MacVal,_xlpm.CSVVal&lt;&gt;"",_xlpm.CSVVal
)),"")</f>
        <v/>
      </c>
      <c r="M71" s="40" t="str" cm="1">
        <f t="array" ref="M71">IFERROR(_xlfn.LET(
_xlpm.CSVVal,_xlfn.XLOOKUP($A71,CSV!$A:$A,CSV!Q:Q,""),
_xlpm.MacVal,_xlfn.XLOOKUP($A71,Output_Mac!$A:$A,Output_Mac!M:M,""),
_xlpm.MyAuditVal,_xlfn.XLOOKUP($A71,My_Audit!$A:$A,My_Audit!L:L,""),
_xlfn.IFS(_xlpm.MyAuditVal&lt;&gt;"",UPPER(_xlpm.MyAuditVal),_xlpm.MacVal&lt;&gt;"",_xlpm.MacVal,_xlpm.CSVVal&lt;&gt;"",_xlpm.CSVVal
)),"")</f>
        <v/>
      </c>
      <c r="N71" s="40"/>
      <c r="O71" s="40" t="str">
        <f>_xlfn.LET(
    _xlpm.CSVVal, _xlfn.XLOOKUP($A71, CSV!$A:$A, CSV!AA:AA, ""),
    _xlpm.MacVal, _xlfn.XLOOKUP($A71, Output_Mac!$A:$A, Output_Mac!S:S, ""),
    _xlpm.MyAuditVal, _xlfn.XLOOKUP($A71, My_Audit!$A:$A, My_Audit!P:P, ""),
    _xlfn.TEXTJOIN(", ", TRUE, _xlpm.MyAuditVal, _xlpm.MacVal, _xlpm.CSVVal)
)</f>
        <v/>
      </c>
      <c r="P71" s="40" t="str" cm="1">
        <f t="array" ref="P71">IFERROR(_xlfn.LET(
_xlpm.CSVVal,_xlfn.XLOOKUP($A71,CSV!$A:$A,CSV!AB:AB,""),
_xlpm.MacVal,_xlfn.XLOOKUP($A71,Output_Mac!$A:$A,Output_Mac!T:T,""),
_xlpm.MyAuditVal,_xlfn.XLOOKUP($A71,My_Audit!$A:$A,My_Audit!Q:Q,""),
_xlfn.IFS(_xlpm.MyAuditVal&lt;&gt;"",UPPER(_xlpm.MyAuditVal),_xlpm.MacVal&lt;&gt;"",_xlpm.MacVal,_xlpm.CSVVal&lt;&gt;"",_xlpm.CSVVal
)),"No")</f>
        <v>No</v>
      </c>
      <c r="Q71" s="40" t="str" cm="1">
        <f t="array" ref="Q71">IFERROR(_xlfn.LET(
_xlpm.CSVVal,_xlfn.XLOOKUP($A71,CSV!$A:$A,CSV!AC:AC,""),
_xlpm.MacVal,_xlfn.XLOOKUP($A71,Output_Mac!$A:$A,Output_Mac!U:U,""),
_xlpm.MyAuditVal,_xlfn.XLOOKUP($A71,My_Audit!$A:$A,My_Audit!R:R,""),
_xlfn.IFS(_xlpm.MyAuditVal&lt;&gt;"",UPPER(_xlpm.MyAuditVal),_xlpm.MacVal&lt;&gt;"",_xlpm.MacVal,_xlpm.CSVVal&lt;&gt;"",_xlpm.CSVVal
)),"")</f>
        <v/>
      </c>
      <c r="R71" s="40"/>
      <c r="S71" s="40"/>
      <c r="T71" s="40"/>
      <c r="U71" s="40"/>
      <c r="V71" s="40"/>
      <c r="W71" s="40"/>
      <c r="X71" s="41" t="str">
        <f>_xlfn.LET(
    _xlpm.MacVal, _xlfn.XLOOKUP($A71, Output_Mac!$A:$A, Output_Mac!AB:AB, ""),
    _xlpm.MyAuditVal, _xlfn.XLOOKUP($A71, My_Audit!$A:$A, My_Audit!N:N, ""),
    _xlfn.TEXTJOIN(", ", TRUE, _xlpm.MyAuditVal, _xlpm.MacVal)
)</f>
        <v/>
      </c>
    </row>
    <row r="72" spans="1:24">
      <c r="A72" s="40" t="str">
        <f>_xlfn.TEXTJOIN("",TRUE,Input!$B$2,ROW(My_Audit!A71))</f>
        <v>X71</v>
      </c>
      <c r="B72" s="40" t="str">
        <f>_xlfn.TEXTJOIN("-",TRUE,"ITD",Input!$A$2,A72)</f>
        <v>ITD-X71</v>
      </c>
      <c r="C72" s="40" t="str" cm="1">
        <f t="array" ref="C72">IFERROR(_xlfn.LET(
_xlpm.CSVVal,_xlfn.XLOOKUP($A72,CSV!$A:$A,CSV!B:B,""),
_xlpm.MacVal,_xlfn.XLOOKUP($A72,Output_Mac!$A:$A,Output_Mac!B:B,""),
_xlpm.MyAuditVal,_xlfn.XLOOKUP($A72,My_Audit!$A:$A,My_Audit!B:B,""),
_xlfn.IFS(_xlpm.MyAuditVal&lt;&gt;"",UPPER(_xlpm.MyAuditVal),_xlpm.MacVal&lt;&gt;"",_xlpm.MacVal,_xlpm.CSVVal&lt;&gt;"",_xlpm.CSVVal
)),"")</f>
        <v/>
      </c>
      <c r="D72" s="40" t="str" cm="1">
        <f t="array" ref="D72">IFERROR(_xlfn.LET(
_xlpm.CSVVal,_xlfn.XLOOKUP($A72,CSV!$A:$A,CSV!D:D,""),
_xlpm.MacVal,_xlfn.XLOOKUP($A72,Output_Mac!$A:$A,Output_Mac!C:C,""),
_xlpm.MyAuditVal,_xlfn.XLOOKUP($A72,My_Audit!$A:$A,My_Audit!C:C,""),
_xlfn.IFS(_xlpm.MyAuditVal&lt;&gt;"",_xlpm.MyAuditVal,_xlpm.MacVal&lt;&gt;"",_xlpm.MacVal,_xlpm.CSVVal&lt;&gt;"",_xlpm.CSVVal
)),"")</f>
        <v/>
      </c>
      <c r="E72" s="40">
        <f>_xlfn.XLOOKUP(A72,My_Audit!A:A,My_Audit!D:D,"")</f>
        <v>0</v>
      </c>
      <c r="F72" s="40" t="str" cm="1">
        <f t="array" ref="F72">IFERROR(_xlfn.LET(
_xlpm.CSVVal,_xlfn.XLOOKUP($A72,CSV!$A:$A,CSV!F:F,""),
_xlpm.MacVal,_xlfn.XLOOKUP($A72,Output_Mac!$A:$A,Output_Mac!E:E,""),
_xlpm.MyAuditVal,_xlfn.XLOOKUP($A72,My_Audit!$A:$A,My_Audit!E:E,""),
_xlfn.IFS(_xlpm.MyAuditVal&lt;&gt;"",_xlpm.MyAuditVal,_xlpm.MacVal&lt;&gt;"",_xlpm.MacVal,_xlpm.CSVVal&lt;&gt;"",_xlpm.CSVVal
)),"")</f>
        <v/>
      </c>
      <c r="G72" s="40" t="str" cm="1">
        <f t="array" ref="G72">IFERROR(_xlfn.LET(
_xlpm.CSVVal,_xlfn.XLOOKUP($A72,CSV!$A:$A,CSV!G:G,""),
_xlpm.MacVal,_xlfn.XLOOKUP($A72,Output_Mac!$A:$A,Output_Mac!F:F,""),
_xlpm.MyAuditVal,_xlfn.XLOOKUP($A72,My_Audit!$A:$A,My_Audit!F:F,""),
_xlfn.IFS(_xlpm.MyAuditVal&lt;&gt;"",_xlpm.MyAuditVal,_xlpm.MacVal&lt;&gt;"",_xlpm.MacVal,_xlpm.CSVVal&lt;&gt;"",PROPER(_xlpm.CSVVal)
)),"")</f>
        <v/>
      </c>
      <c r="H72" s="40" t="str" cm="1">
        <f t="array" ref="H72">IFERROR(_xlfn.LET(
_xlpm.CSVVal,_xlfn.XLOOKUP($A72,CSV!$A:$A,CSV!H:H,""),
_xlpm.MacVal,_xlfn.XLOOKUP($A72,Output_Mac!$A:$A,Output_Mac!H:H,""),
_xlpm.MyAuditVal,_xlfn.XLOOKUP($A72,My_Audit!$A:$A,My_Audit!G:G,""),
_xlfn.IFS(_xlpm.MyAuditVal&lt;&gt;"",_xlpm.MyAuditVal,_xlpm.MacVal&lt;&gt;"",_xlpm.MacVal,_xlpm.CSVVal&lt;&gt;"",_xlpm.CSVVal
)),"")</f>
        <v/>
      </c>
      <c r="I72" s="40" t="str">
        <f>_xlfn.XLOOKUP(A72,Output_Mac!A:A,Output_Mac!I:I,"")</f>
        <v/>
      </c>
      <c r="J72" s="40" t="str" cm="1">
        <f t="array" ref="J72">IFERROR(_xlfn.LET(
_xlpm.CSVVal,_xlfn.XLOOKUP($A72,CSV!$A:$A,CSV!I:I,""),
_xlpm.MacVal,_xlfn.XLOOKUP($A72,Output_Mac!$A:$A,Output_Mac!J:J,""),
_xlpm.MyAuditVal,_xlfn.XLOOKUP($A72,My_Audit!$A:$A,My_Audit!I:I,""),
_xlfn.IFS(_xlpm.MyAuditVal&lt;&gt;"",UPPER(_xlpm.MyAuditVal),_xlpm.MacVal&lt;&gt;"",_xlpm.MacVal,_xlpm.CSVVal&lt;&gt;"",_xlpm.CSVVal
)),"")</f>
        <v/>
      </c>
      <c r="K72" s="40" t="str" cm="1">
        <f t="array" ref="K72">IFERROR(_xlfn.LET(
_xlpm.CSVVal,_xlfn.XLOOKUP($A72,CSV!$A:$A,CSV!K:K,""),
_xlpm.MacVal,_xlfn.XLOOKUP($A72,Output_Mac!$A:$A,Output_Mac!K:K,""),
_xlpm.MyAuditVal,_xlfn.XLOOKUP($A72,My_Audit!$A:$A,My_Audit!J:J,""),
_xlfn.IFS(_xlpm.MyAuditVal&lt;&gt;"",UPPER(_xlpm.MyAuditVal),_xlpm.MacVal&lt;&gt;"",_xlpm.MacVal,_xlpm.CSVVal&lt;&gt;"",_xlpm.CSVVal
)),"")</f>
        <v/>
      </c>
      <c r="L72" s="40" t="str" cm="1">
        <f t="array" ref="L72">IFERROR(_xlfn.LET(
_xlpm.CSVVal,_xlfn.XLOOKUP($A72,CSV!$A:$A,CSV!P:P,""),
_xlpm.MacVal,_xlfn.XLOOKUP($A72,Output_Mac!$A:$A,Output_Mac!L:L,""),
_xlpm.MyAuditVal,_xlfn.XLOOKUP($A72,My_Audit!$A:$A,My_Audit!K:K,""),
_xlfn.IFS(_xlpm.MyAuditVal&lt;&gt;"",UPPER(_xlpm.MyAuditVal),_xlpm.MacVal&lt;&gt;"",_xlpm.MacVal,_xlpm.CSVVal&lt;&gt;"",_xlpm.CSVVal
)),"")</f>
        <v/>
      </c>
      <c r="M72" s="40" t="str" cm="1">
        <f t="array" ref="M72">IFERROR(_xlfn.LET(
_xlpm.CSVVal,_xlfn.XLOOKUP($A72,CSV!$A:$A,CSV!Q:Q,""),
_xlpm.MacVal,_xlfn.XLOOKUP($A72,Output_Mac!$A:$A,Output_Mac!M:M,""),
_xlpm.MyAuditVal,_xlfn.XLOOKUP($A72,My_Audit!$A:$A,My_Audit!L:L,""),
_xlfn.IFS(_xlpm.MyAuditVal&lt;&gt;"",UPPER(_xlpm.MyAuditVal),_xlpm.MacVal&lt;&gt;"",_xlpm.MacVal,_xlpm.CSVVal&lt;&gt;"",_xlpm.CSVVal
)),"")</f>
        <v/>
      </c>
      <c r="N72" s="40"/>
      <c r="O72" s="40" t="str">
        <f>_xlfn.LET(
    _xlpm.CSVVal, _xlfn.XLOOKUP($A72, CSV!$A:$A, CSV!AA:AA, ""),
    _xlpm.MacVal, _xlfn.XLOOKUP($A72, Output_Mac!$A:$A, Output_Mac!S:S, ""),
    _xlpm.MyAuditVal, _xlfn.XLOOKUP($A72, My_Audit!$A:$A, My_Audit!P:P, ""),
    _xlfn.TEXTJOIN(", ", TRUE, _xlpm.MyAuditVal, _xlpm.MacVal, _xlpm.CSVVal)
)</f>
        <v/>
      </c>
      <c r="P72" s="40" t="str" cm="1">
        <f t="array" ref="P72">IFERROR(_xlfn.LET(
_xlpm.CSVVal,_xlfn.XLOOKUP($A72,CSV!$A:$A,CSV!AB:AB,""),
_xlpm.MacVal,_xlfn.XLOOKUP($A72,Output_Mac!$A:$A,Output_Mac!T:T,""),
_xlpm.MyAuditVal,_xlfn.XLOOKUP($A72,My_Audit!$A:$A,My_Audit!Q:Q,""),
_xlfn.IFS(_xlpm.MyAuditVal&lt;&gt;"",UPPER(_xlpm.MyAuditVal),_xlpm.MacVal&lt;&gt;"",_xlpm.MacVal,_xlpm.CSVVal&lt;&gt;"",_xlpm.CSVVal
)),"No")</f>
        <v>No</v>
      </c>
      <c r="Q72" s="40" t="str" cm="1">
        <f t="array" ref="Q72">IFERROR(_xlfn.LET(
_xlpm.CSVVal,_xlfn.XLOOKUP($A72,CSV!$A:$A,CSV!AC:AC,""),
_xlpm.MacVal,_xlfn.XLOOKUP($A72,Output_Mac!$A:$A,Output_Mac!U:U,""),
_xlpm.MyAuditVal,_xlfn.XLOOKUP($A72,My_Audit!$A:$A,My_Audit!R:R,""),
_xlfn.IFS(_xlpm.MyAuditVal&lt;&gt;"",UPPER(_xlpm.MyAuditVal),_xlpm.MacVal&lt;&gt;"",_xlpm.MacVal,_xlpm.CSVVal&lt;&gt;"",_xlpm.CSVVal
)),"")</f>
        <v/>
      </c>
      <c r="R72" s="40"/>
      <c r="S72" s="40"/>
      <c r="T72" s="40"/>
      <c r="U72" s="40"/>
      <c r="V72" s="40"/>
      <c r="W72" s="40"/>
      <c r="X72" s="41" t="str">
        <f>_xlfn.LET(
    _xlpm.MacVal, _xlfn.XLOOKUP($A72, Output_Mac!$A:$A, Output_Mac!AB:AB, ""),
    _xlpm.MyAuditVal, _xlfn.XLOOKUP($A72, My_Audit!$A:$A, My_Audit!N:N, ""),
    _xlfn.TEXTJOIN(", ", TRUE, _xlpm.MyAuditVal, _xlpm.MacVal)
)</f>
        <v/>
      </c>
    </row>
    <row r="73" spans="1:24">
      <c r="A73" s="40" t="str">
        <f>_xlfn.TEXTJOIN("",TRUE,Input!$B$2,ROW(My_Audit!A72))</f>
        <v>X72</v>
      </c>
      <c r="B73" s="40" t="str">
        <f>_xlfn.TEXTJOIN("-",TRUE,"ITD",Input!$A$2,A73)</f>
        <v>ITD-X72</v>
      </c>
      <c r="C73" s="40" t="str" cm="1">
        <f t="array" ref="C73">IFERROR(_xlfn.LET(
_xlpm.CSVVal,_xlfn.XLOOKUP($A73,CSV!$A:$A,CSV!B:B,""),
_xlpm.MacVal,_xlfn.XLOOKUP($A73,Output_Mac!$A:$A,Output_Mac!B:B,""),
_xlpm.MyAuditVal,_xlfn.XLOOKUP($A73,My_Audit!$A:$A,My_Audit!B:B,""),
_xlfn.IFS(_xlpm.MyAuditVal&lt;&gt;"",UPPER(_xlpm.MyAuditVal),_xlpm.MacVal&lt;&gt;"",_xlpm.MacVal,_xlpm.CSVVal&lt;&gt;"",_xlpm.CSVVal
)),"")</f>
        <v/>
      </c>
      <c r="D73" s="40" t="str" cm="1">
        <f t="array" ref="D73">IFERROR(_xlfn.LET(
_xlpm.CSVVal,_xlfn.XLOOKUP($A73,CSV!$A:$A,CSV!D:D,""),
_xlpm.MacVal,_xlfn.XLOOKUP($A73,Output_Mac!$A:$A,Output_Mac!C:C,""),
_xlpm.MyAuditVal,_xlfn.XLOOKUP($A73,My_Audit!$A:$A,My_Audit!C:C,""),
_xlfn.IFS(_xlpm.MyAuditVal&lt;&gt;"",_xlpm.MyAuditVal,_xlpm.MacVal&lt;&gt;"",_xlpm.MacVal,_xlpm.CSVVal&lt;&gt;"",_xlpm.CSVVal
)),"")</f>
        <v/>
      </c>
      <c r="E73" s="40">
        <f>_xlfn.XLOOKUP(A73,My_Audit!A:A,My_Audit!D:D,"")</f>
        <v>0</v>
      </c>
      <c r="F73" s="40" t="str" cm="1">
        <f t="array" ref="F73">IFERROR(_xlfn.LET(
_xlpm.CSVVal,_xlfn.XLOOKUP($A73,CSV!$A:$A,CSV!F:F,""),
_xlpm.MacVal,_xlfn.XLOOKUP($A73,Output_Mac!$A:$A,Output_Mac!E:E,""),
_xlpm.MyAuditVal,_xlfn.XLOOKUP($A73,My_Audit!$A:$A,My_Audit!E:E,""),
_xlfn.IFS(_xlpm.MyAuditVal&lt;&gt;"",_xlpm.MyAuditVal,_xlpm.MacVal&lt;&gt;"",_xlpm.MacVal,_xlpm.CSVVal&lt;&gt;"",_xlpm.CSVVal
)),"")</f>
        <v/>
      </c>
      <c r="G73" s="40" t="str" cm="1">
        <f t="array" ref="G73">IFERROR(_xlfn.LET(
_xlpm.CSVVal,_xlfn.XLOOKUP($A73,CSV!$A:$A,CSV!G:G,""),
_xlpm.MacVal,_xlfn.XLOOKUP($A73,Output_Mac!$A:$A,Output_Mac!F:F,""),
_xlpm.MyAuditVal,_xlfn.XLOOKUP($A73,My_Audit!$A:$A,My_Audit!F:F,""),
_xlfn.IFS(_xlpm.MyAuditVal&lt;&gt;"",_xlpm.MyAuditVal,_xlpm.MacVal&lt;&gt;"",_xlpm.MacVal,_xlpm.CSVVal&lt;&gt;"",PROPER(_xlpm.CSVVal)
)),"")</f>
        <v/>
      </c>
      <c r="H73" s="40" t="str" cm="1">
        <f t="array" ref="H73">IFERROR(_xlfn.LET(
_xlpm.CSVVal,_xlfn.XLOOKUP($A73,CSV!$A:$A,CSV!H:H,""),
_xlpm.MacVal,_xlfn.XLOOKUP($A73,Output_Mac!$A:$A,Output_Mac!H:H,""),
_xlpm.MyAuditVal,_xlfn.XLOOKUP($A73,My_Audit!$A:$A,My_Audit!G:G,""),
_xlfn.IFS(_xlpm.MyAuditVal&lt;&gt;"",_xlpm.MyAuditVal,_xlpm.MacVal&lt;&gt;"",_xlpm.MacVal,_xlpm.CSVVal&lt;&gt;"",_xlpm.CSVVal
)),"")</f>
        <v/>
      </c>
      <c r="I73" s="40" t="str">
        <f>_xlfn.XLOOKUP(A73,Output_Mac!A:A,Output_Mac!I:I,"")</f>
        <v/>
      </c>
      <c r="J73" s="40" t="str" cm="1">
        <f t="array" ref="J73">IFERROR(_xlfn.LET(
_xlpm.CSVVal,_xlfn.XLOOKUP($A73,CSV!$A:$A,CSV!I:I,""),
_xlpm.MacVal,_xlfn.XLOOKUP($A73,Output_Mac!$A:$A,Output_Mac!J:J,""),
_xlpm.MyAuditVal,_xlfn.XLOOKUP($A73,My_Audit!$A:$A,My_Audit!I:I,""),
_xlfn.IFS(_xlpm.MyAuditVal&lt;&gt;"",UPPER(_xlpm.MyAuditVal),_xlpm.MacVal&lt;&gt;"",_xlpm.MacVal,_xlpm.CSVVal&lt;&gt;"",_xlpm.CSVVal
)),"")</f>
        <v/>
      </c>
      <c r="K73" s="40" t="str" cm="1">
        <f t="array" ref="K73">IFERROR(_xlfn.LET(
_xlpm.CSVVal,_xlfn.XLOOKUP($A73,CSV!$A:$A,CSV!K:K,""),
_xlpm.MacVal,_xlfn.XLOOKUP($A73,Output_Mac!$A:$A,Output_Mac!K:K,""),
_xlpm.MyAuditVal,_xlfn.XLOOKUP($A73,My_Audit!$A:$A,My_Audit!J:J,""),
_xlfn.IFS(_xlpm.MyAuditVal&lt;&gt;"",UPPER(_xlpm.MyAuditVal),_xlpm.MacVal&lt;&gt;"",_xlpm.MacVal,_xlpm.CSVVal&lt;&gt;"",_xlpm.CSVVal
)),"")</f>
        <v/>
      </c>
      <c r="L73" s="40" t="str" cm="1">
        <f t="array" ref="L73">IFERROR(_xlfn.LET(
_xlpm.CSVVal,_xlfn.XLOOKUP($A73,CSV!$A:$A,CSV!P:P,""),
_xlpm.MacVal,_xlfn.XLOOKUP($A73,Output_Mac!$A:$A,Output_Mac!L:L,""),
_xlpm.MyAuditVal,_xlfn.XLOOKUP($A73,My_Audit!$A:$A,My_Audit!K:K,""),
_xlfn.IFS(_xlpm.MyAuditVal&lt;&gt;"",UPPER(_xlpm.MyAuditVal),_xlpm.MacVal&lt;&gt;"",_xlpm.MacVal,_xlpm.CSVVal&lt;&gt;"",_xlpm.CSVVal
)),"")</f>
        <v/>
      </c>
      <c r="M73" s="40" t="str" cm="1">
        <f t="array" ref="M73">IFERROR(_xlfn.LET(
_xlpm.CSVVal,_xlfn.XLOOKUP($A73,CSV!$A:$A,CSV!Q:Q,""),
_xlpm.MacVal,_xlfn.XLOOKUP($A73,Output_Mac!$A:$A,Output_Mac!M:M,""),
_xlpm.MyAuditVal,_xlfn.XLOOKUP($A73,My_Audit!$A:$A,My_Audit!L:L,""),
_xlfn.IFS(_xlpm.MyAuditVal&lt;&gt;"",UPPER(_xlpm.MyAuditVal),_xlpm.MacVal&lt;&gt;"",_xlpm.MacVal,_xlpm.CSVVal&lt;&gt;"",_xlpm.CSVVal
)),"")</f>
        <v/>
      </c>
      <c r="N73" s="40"/>
      <c r="O73" s="40" t="str">
        <f>_xlfn.LET(
    _xlpm.CSVVal, _xlfn.XLOOKUP($A73, CSV!$A:$A, CSV!AA:AA, ""),
    _xlpm.MacVal, _xlfn.XLOOKUP($A73, Output_Mac!$A:$A, Output_Mac!S:S, ""),
    _xlpm.MyAuditVal, _xlfn.XLOOKUP($A73, My_Audit!$A:$A, My_Audit!P:P, ""),
    _xlfn.TEXTJOIN(", ", TRUE, _xlpm.MyAuditVal, _xlpm.MacVal, _xlpm.CSVVal)
)</f>
        <v/>
      </c>
      <c r="P73" s="40" t="str" cm="1">
        <f t="array" ref="P73">IFERROR(_xlfn.LET(
_xlpm.CSVVal,_xlfn.XLOOKUP($A73,CSV!$A:$A,CSV!AB:AB,""),
_xlpm.MacVal,_xlfn.XLOOKUP($A73,Output_Mac!$A:$A,Output_Mac!T:T,""),
_xlpm.MyAuditVal,_xlfn.XLOOKUP($A73,My_Audit!$A:$A,My_Audit!Q:Q,""),
_xlfn.IFS(_xlpm.MyAuditVal&lt;&gt;"",UPPER(_xlpm.MyAuditVal),_xlpm.MacVal&lt;&gt;"",_xlpm.MacVal,_xlpm.CSVVal&lt;&gt;"",_xlpm.CSVVal
)),"No")</f>
        <v>No</v>
      </c>
      <c r="Q73" s="40" t="str" cm="1">
        <f t="array" ref="Q73">IFERROR(_xlfn.LET(
_xlpm.CSVVal,_xlfn.XLOOKUP($A73,CSV!$A:$A,CSV!AC:AC,""),
_xlpm.MacVal,_xlfn.XLOOKUP($A73,Output_Mac!$A:$A,Output_Mac!U:U,""),
_xlpm.MyAuditVal,_xlfn.XLOOKUP($A73,My_Audit!$A:$A,My_Audit!R:R,""),
_xlfn.IFS(_xlpm.MyAuditVal&lt;&gt;"",UPPER(_xlpm.MyAuditVal),_xlpm.MacVal&lt;&gt;"",_xlpm.MacVal,_xlpm.CSVVal&lt;&gt;"",_xlpm.CSVVal
)),"")</f>
        <v/>
      </c>
      <c r="R73" s="40"/>
      <c r="S73" s="40"/>
      <c r="T73" s="40"/>
      <c r="U73" s="40"/>
      <c r="V73" s="40"/>
      <c r="W73" s="40"/>
      <c r="X73" s="41" t="str">
        <f>_xlfn.LET(
    _xlpm.MacVal, _xlfn.XLOOKUP($A73, Output_Mac!$A:$A, Output_Mac!AB:AB, ""),
    _xlpm.MyAuditVal, _xlfn.XLOOKUP($A73, My_Audit!$A:$A, My_Audit!N:N, ""),
    _xlfn.TEXTJOIN(", ", TRUE, _xlpm.MyAuditVal, _xlpm.MacVal)
)</f>
        <v/>
      </c>
    </row>
    <row r="74" spans="1:24">
      <c r="A74" s="40" t="str">
        <f>_xlfn.TEXTJOIN("",TRUE,Input!$B$2,ROW(My_Audit!A73))</f>
        <v>X73</v>
      </c>
      <c r="B74" s="40" t="str">
        <f>_xlfn.TEXTJOIN("-",TRUE,"ITD",Input!$A$2,A74)</f>
        <v>ITD-X73</v>
      </c>
      <c r="C74" s="40" t="str" cm="1">
        <f t="array" ref="C74">IFERROR(_xlfn.LET(
_xlpm.CSVVal,_xlfn.XLOOKUP($A74,CSV!$A:$A,CSV!B:B,""),
_xlpm.MacVal,_xlfn.XLOOKUP($A74,Output_Mac!$A:$A,Output_Mac!B:B,""),
_xlpm.MyAuditVal,_xlfn.XLOOKUP($A74,My_Audit!$A:$A,My_Audit!B:B,""),
_xlfn.IFS(_xlpm.MyAuditVal&lt;&gt;"",UPPER(_xlpm.MyAuditVal),_xlpm.MacVal&lt;&gt;"",_xlpm.MacVal,_xlpm.CSVVal&lt;&gt;"",_xlpm.CSVVal
)),"")</f>
        <v/>
      </c>
      <c r="D74" s="40" t="str" cm="1">
        <f t="array" ref="D74">IFERROR(_xlfn.LET(
_xlpm.CSVVal,_xlfn.XLOOKUP($A74,CSV!$A:$A,CSV!D:D,""),
_xlpm.MacVal,_xlfn.XLOOKUP($A74,Output_Mac!$A:$A,Output_Mac!C:C,""),
_xlpm.MyAuditVal,_xlfn.XLOOKUP($A74,My_Audit!$A:$A,My_Audit!C:C,""),
_xlfn.IFS(_xlpm.MyAuditVal&lt;&gt;"",_xlpm.MyAuditVal,_xlpm.MacVal&lt;&gt;"",_xlpm.MacVal,_xlpm.CSVVal&lt;&gt;"",_xlpm.CSVVal
)),"")</f>
        <v/>
      </c>
      <c r="E74" s="40">
        <f>_xlfn.XLOOKUP(A74,My_Audit!A:A,My_Audit!D:D,"")</f>
        <v>0</v>
      </c>
      <c r="F74" s="40" t="str" cm="1">
        <f t="array" ref="F74">IFERROR(_xlfn.LET(
_xlpm.CSVVal,_xlfn.XLOOKUP($A74,CSV!$A:$A,CSV!F:F,""),
_xlpm.MacVal,_xlfn.XLOOKUP($A74,Output_Mac!$A:$A,Output_Mac!E:E,""),
_xlpm.MyAuditVal,_xlfn.XLOOKUP($A74,My_Audit!$A:$A,My_Audit!E:E,""),
_xlfn.IFS(_xlpm.MyAuditVal&lt;&gt;"",_xlpm.MyAuditVal,_xlpm.MacVal&lt;&gt;"",_xlpm.MacVal,_xlpm.CSVVal&lt;&gt;"",_xlpm.CSVVal
)),"")</f>
        <v/>
      </c>
      <c r="G74" s="40" t="str" cm="1">
        <f t="array" ref="G74">IFERROR(_xlfn.LET(
_xlpm.CSVVal,_xlfn.XLOOKUP($A74,CSV!$A:$A,CSV!G:G,""),
_xlpm.MacVal,_xlfn.XLOOKUP($A74,Output_Mac!$A:$A,Output_Mac!F:F,""),
_xlpm.MyAuditVal,_xlfn.XLOOKUP($A74,My_Audit!$A:$A,My_Audit!F:F,""),
_xlfn.IFS(_xlpm.MyAuditVal&lt;&gt;"",_xlpm.MyAuditVal,_xlpm.MacVal&lt;&gt;"",_xlpm.MacVal,_xlpm.CSVVal&lt;&gt;"",PROPER(_xlpm.CSVVal)
)),"")</f>
        <v/>
      </c>
      <c r="H74" s="40" t="str" cm="1">
        <f t="array" ref="H74">IFERROR(_xlfn.LET(
_xlpm.CSVVal,_xlfn.XLOOKUP($A74,CSV!$A:$A,CSV!H:H,""),
_xlpm.MacVal,_xlfn.XLOOKUP($A74,Output_Mac!$A:$A,Output_Mac!H:H,""),
_xlpm.MyAuditVal,_xlfn.XLOOKUP($A74,My_Audit!$A:$A,My_Audit!G:G,""),
_xlfn.IFS(_xlpm.MyAuditVal&lt;&gt;"",_xlpm.MyAuditVal,_xlpm.MacVal&lt;&gt;"",_xlpm.MacVal,_xlpm.CSVVal&lt;&gt;"",_xlpm.CSVVal
)),"")</f>
        <v/>
      </c>
      <c r="I74" s="40" t="str">
        <f>_xlfn.XLOOKUP(A74,Output_Mac!A:A,Output_Mac!I:I,"")</f>
        <v/>
      </c>
      <c r="J74" s="40" t="str" cm="1">
        <f t="array" ref="J74">IFERROR(_xlfn.LET(
_xlpm.CSVVal,_xlfn.XLOOKUP($A74,CSV!$A:$A,CSV!I:I,""),
_xlpm.MacVal,_xlfn.XLOOKUP($A74,Output_Mac!$A:$A,Output_Mac!J:J,""),
_xlpm.MyAuditVal,_xlfn.XLOOKUP($A74,My_Audit!$A:$A,My_Audit!I:I,""),
_xlfn.IFS(_xlpm.MyAuditVal&lt;&gt;"",UPPER(_xlpm.MyAuditVal),_xlpm.MacVal&lt;&gt;"",_xlpm.MacVal,_xlpm.CSVVal&lt;&gt;"",_xlpm.CSVVal
)),"")</f>
        <v/>
      </c>
      <c r="K74" s="40" t="str" cm="1">
        <f t="array" ref="K74">IFERROR(_xlfn.LET(
_xlpm.CSVVal,_xlfn.XLOOKUP($A74,CSV!$A:$A,CSV!K:K,""),
_xlpm.MacVal,_xlfn.XLOOKUP($A74,Output_Mac!$A:$A,Output_Mac!K:K,""),
_xlpm.MyAuditVal,_xlfn.XLOOKUP($A74,My_Audit!$A:$A,My_Audit!J:J,""),
_xlfn.IFS(_xlpm.MyAuditVal&lt;&gt;"",UPPER(_xlpm.MyAuditVal),_xlpm.MacVal&lt;&gt;"",_xlpm.MacVal,_xlpm.CSVVal&lt;&gt;"",_xlpm.CSVVal
)),"")</f>
        <v/>
      </c>
      <c r="L74" s="40" t="str" cm="1">
        <f t="array" ref="L74">IFERROR(_xlfn.LET(
_xlpm.CSVVal,_xlfn.XLOOKUP($A74,CSV!$A:$A,CSV!P:P,""),
_xlpm.MacVal,_xlfn.XLOOKUP($A74,Output_Mac!$A:$A,Output_Mac!L:L,""),
_xlpm.MyAuditVal,_xlfn.XLOOKUP($A74,My_Audit!$A:$A,My_Audit!K:K,""),
_xlfn.IFS(_xlpm.MyAuditVal&lt;&gt;"",UPPER(_xlpm.MyAuditVal),_xlpm.MacVal&lt;&gt;"",_xlpm.MacVal,_xlpm.CSVVal&lt;&gt;"",_xlpm.CSVVal
)),"")</f>
        <v/>
      </c>
      <c r="M74" s="40" t="str" cm="1">
        <f t="array" ref="M74">IFERROR(_xlfn.LET(
_xlpm.CSVVal,_xlfn.XLOOKUP($A74,CSV!$A:$A,CSV!Q:Q,""),
_xlpm.MacVal,_xlfn.XLOOKUP($A74,Output_Mac!$A:$A,Output_Mac!M:M,""),
_xlpm.MyAuditVal,_xlfn.XLOOKUP($A74,My_Audit!$A:$A,My_Audit!L:L,""),
_xlfn.IFS(_xlpm.MyAuditVal&lt;&gt;"",UPPER(_xlpm.MyAuditVal),_xlpm.MacVal&lt;&gt;"",_xlpm.MacVal,_xlpm.CSVVal&lt;&gt;"",_xlpm.CSVVal
)),"")</f>
        <v/>
      </c>
      <c r="N74" s="40"/>
      <c r="O74" s="40" t="str">
        <f>_xlfn.LET(
    _xlpm.CSVVal, _xlfn.XLOOKUP($A74, CSV!$A:$A, CSV!AA:AA, ""),
    _xlpm.MacVal, _xlfn.XLOOKUP($A74, Output_Mac!$A:$A, Output_Mac!S:S, ""),
    _xlpm.MyAuditVal, _xlfn.XLOOKUP($A74, My_Audit!$A:$A, My_Audit!P:P, ""),
    _xlfn.TEXTJOIN(", ", TRUE, _xlpm.MyAuditVal, _xlpm.MacVal, _xlpm.CSVVal)
)</f>
        <v/>
      </c>
      <c r="P74" s="40" t="str" cm="1">
        <f t="array" ref="P74">IFERROR(_xlfn.LET(
_xlpm.CSVVal,_xlfn.XLOOKUP($A74,CSV!$A:$A,CSV!AB:AB,""),
_xlpm.MacVal,_xlfn.XLOOKUP($A74,Output_Mac!$A:$A,Output_Mac!T:T,""),
_xlpm.MyAuditVal,_xlfn.XLOOKUP($A74,My_Audit!$A:$A,My_Audit!Q:Q,""),
_xlfn.IFS(_xlpm.MyAuditVal&lt;&gt;"",UPPER(_xlpm.MyAuditVal),_xlpm.MacVal&lt;&gt;"",_xlpm.MacVal,_xlpm.CSVVal&lt;&gt;"",_xlpm.CSVVal
)),"No")</f>
        <v>No</v>
      </c>
      <c r="Q74" s="40" t="str" cm="1">
        <f t="array" ref="Q74">IFERROR(_xlfn.LET(
_xlpm.CSVVal,_xlfn.XLOOKUP($A74,CSV!$A:$A,CSV!AC:AC,""),
_xlpm.MacVal,_xlfn.XLOOKUP($A74,Output_Mac!$A:$A,Output_Mac!U:U,""),
_xlpm.MyAuditVal,_xlfn.XLOOKUP($A74,My_Audit!$A:$A,My_Audit!R:R,""),
_xlfn.IFS(_xlpm.MyAuditVal&lt;&gt;"",UPPER(_xlpm.MyAuditVal),_xlpm.MacVal&lt;&gt;"",_xlpm.MacVal,_xlpm.CSVVal&lt;&gt;"",_xlpm.CSVVal
)),"")</f>
        <v/>
      </c>
      <c r="R74" s="40"/>
      <c r="S74" s="40"/>
      <c r="T74" s="40"/>
      <c r="U74" s="40"/>
      <c r="V74" s="40"/>
      <c r="W74" s="40"/>
      <c r="X74" s="41" t="str">
        <f>_xlfn.LET(
    _xlpm.MacVal, _xlfn.XLOOKUP($A74, Output_Mac!$A:$A, Output_Mac!AB:AB, ""),
    _xlpm.MyAuditVal, _xlfn.XLOOKUP($A74, My_Audit!$A:$A, My_Audit!N:N, ""),
    _xlfn.TEXTJOIN(", ", TRUE, _xlpm.MyAuditVal, _xlpm.MacVal)
)</f>
        <v/>
      </c>
    </row>
    <row r="75" spans="1:24">
      <c r="A75" s="40" t="str">
        <f>_xlfn.TEXTJOIN("",TRUE,Input!$B$2,ROW(My_Audit!A74))</f>
        <v>X74</v>
      </c>
      <c r="B75" s="40" t="str">
        <f>_xlfn.TEXTJOIN("-",TRUE,"ITD",Input!$A$2,A75)</f>
        <v>ITD-X74</v>
      </c>
      <c r="C75" s="40" t="str" cm="1">
        <f t="array" ref="C75">IFERROR(_xlfn.LET(
_xlpm.CSVVal,_xlfn.XLOOKUP($A75,CSV!$A:$A,CSV!B:B,""),
_xlpm.MacVal,_xlfn.XLOOKUP($A75,Output_Mac!$A:$A,Output_Mac!B:B,""),
_xlpm.MyAuditVal,_xlfn.XLOOKUP($A75,My_Audit!$A:$A,My_Audit!B:B,""),
_xlfn.IFS(_xlpm.MyAuditVal&lt;&gt;"",UPPER(_xlpm.MyAuditVal),_xlpm.MacVal&lt;&gt;"",_xlpm.MacVal,_xlpm.CSVVal&lt;&gt;"",_xlpm.CSVVal
)),"")</f>
        <v/>
      </c>
      <c r="D75" s="40" t="str" cm="1">
        <f t="array" ref="D75">IFERROR(_xlfn.LET(
_xlpm.CSVVal,_xlfn.XLOOKUP($A75,CSV!$A:$A,CSV!D:D,""),
_xlpm.MacVal,_xlfn.XLOOKUP($A75,Output_Mac!$A:$A,Output_Mac!C:C,""),
_xlpm.MyAuditVal,_xlfn.XLOOKUP($A75,My_Audit!$A:$A,My_Audit!C:C,""),
_xlfn.IFS(_xlpm.MyAuditVal&lt;&gt;"",_xlpm.MyAuditVal,_xlpm.MacVal&lt;&gt;"",_xlpm.MacVal,_xlpm.CSVVal&lt;&gt;"",_xlpm.CSVVal
)),"")</f>
        <v/>
      </c>
      <c r="E75" s="40">
        <f>_xlfn.XLOOKUP(A75,My_Audit!A:A,My_Audit!D:D,"")</f>
        <v>0</v>
      </c>
      <c r="F75" s="40" t="str" cm="1">
        <f t="array" ref="F75">IFERROR(_xlfn.LET(
_xlpm.CSVVal,_xlfn.XLOOKUP($A75,CSV!$A:$A,CSV!F:F,""),
_xlpm.MacVal,_xlfn.XLOOKUP($A75,Output_Mac!$A:$A,Output_Mac!E:E,""),
_xlpm.MyAuditVal,_xlfn.XLOOKUP($A75,My_Audit!$A:$A,My_Audit!E:E,""),
_xlfn.IFS(_xlpm.MyAuditVal&lt;&gt;"",_xlpm.MyAuditVal,_xlpm.MacVal&lt;&gt;"",_xlpm.MacVal,_xlpm.CSVVal&lt;&gt;"",_xlpm.CSVVal
)),"")</f>
        <v/>
      </c>
      <c r="G75" s="40" t="str" cm="1">
        <f t="array" ref="G75">IFERROR(_xlfn.LET(
_xlpm.CSVVal,_xlfn.XLOOKUP($A75,CSV!$A:$A,CSV!G:G,""),
_xlpm.MacVal,_xlfn.XLOOKUP($A75,Output_Mac!$A:$A,Output_Mac!F:F,""),
_xlpm.MyAuditVal,_xlfn.XLOOKUP($A75,My_Audit!$A:$A,My_Audit!F:F,""),
_xlfn.IFS(_xlpm.MyAuditVal&lt;&gt;"",_xlpm.MyAuditVal,_xlpm.MacVal&lt;&gt;"",_xlpm.MacVal,_xlpm.CSVVal&lt;&gt;"",PROPER(_xlpm.CSVVal)
)),"")</f>
        <v/>
      </c>
      <c r="H75" s="40" t="str" cm="1">
        <f t="array" ref="H75">IFERROR(_xlfn.LET(
_xlpm.CSVVal,_xlfn.XLOOKUP($A75,CSV!$A:$A,CSV!H:H,""),
_xlpm.MacVal,_xlfn.XLOOKUP($A75,Output_Mac!$A:$A,Output_Mac!H:H,""),
_xlpm.MyAuditVal,_xlfn.XLOOKUP($A75,My_Audit!$A:$A,My_Audit!G:G,""),
_xlfn.IFS(_xlpm.MyAuditVal&lt;&gt;"",_xlpm.MyAuditVal,_xlpm.MacVal&lt;&gt;"",_xlpm.MacVal,_xlpm.CSVVal&lt;&gt;"",_xlpm.CSVVal
)),"")</f>
        <v/>
      </c>
      <c r="I75" s="40" t="str">
        <f>_xlfn.XLOOKUP(A75,Output_Mac!A:A,Output_Mac!I:I,"")</f>
        <v/>
      </c>
      <c r="J75" s="40" t="str" cm="1">
        <f t="array" ref="J75">IFERROR(_xlfn.LET(
_xlpm.CSVVal,_xlfn.XLOOKUP($A75,CSV!$A:$A,CSV!I:I,""),
_xlpm.MacVal,_xlfn.XLOOKUP($A75,Output_Mac!$A:$A,Output_Mac!J:J,""),
_xlpm.MyAuditVal,_xlfn.XLOOKUP($A75,My_Audit!$A:$A,My_Audit!I:I,""),
_xlfn.IFS(_xlpm.MyAuditVal&lt;&gt;"",UPPER(_xlpm.MyAuditVal),_xlpm.MacVal&lt;&gt;"",_xlpm.MacVal,_xlpm.CSVVal&lt;&gt;"",_xlpm.CSVVal
)),"")</f>
        <v/>
      </c>
      <c r="K75" s="40" t="str" cm="1">
        <f t="array" ref="K75">IFERROR(_xlfn.LET(
_xlpm.CSVVal,_xlfn.XLOOKUP($A75,CSV!$A:$A,CSV!K:K,""),
_xlpm.MacVal,_xlfn.XLOOKUP($A75,Output_Mac!$A:$A,Output_Mac!K:K,""),
_xlpm.MyAuditVal,_xlfn.XLOOKUP($A75,My_Audit!$A:$A,My_Audit!J:J,""),
_xlfn.IFS(_xlpm.MyAuditVal&lt;&gt;"",UPPER(_xlpm.MyAuditVal),_xlpm.MacVal&lt;&gt;"",_xlpm.MacVal,_xlpm.CSVVal&lt;&gt;"",_xlpm.CSVVal
)),"")</f>
        <v/>
      </c>
      <c r="L75" s="40" t="str" cm="1">
        <f t="array" ref="L75">IFERROR(_xlfn.LET(
_xlpm.CSVVal,_xlfn.XLOOKUP($A75,CSV!$A:$A,CSV!P:P,""),
_xlpm.MacVal,_xlfn.XLOOKUP($A75,Output_Mac!$A:$A,Output_Mac!L:L,""),
_xlpm.MyAuditVal,_xlfn.XLOOKUP($A75,My_Audit!$A:$A,My_Audit!K:K,""),
_xlfn.IFS(_xlpm.MyAuditVal&lt;&gt;"",UPPER(_xlpm.MyAuditVal),_xlpm.MacVal&lt;&gt;"",_xlpm.MacVal,_xlpm.CSVVal&lt;&gt;"",_xlpm.CSVVal
)),"")</f>
        <v/>
      </c>
      <c r="M75" s="40" t="str" cm="1">
        <f t="array" ref="M75">IFERROR(_xlfn.LET(
_xlpm.CSVVal,_xlfn.XLOOKUP($A75,CSV!$A:$A,CSV!Q:Q,""),
_xlpm.MacVal,_xlfn.XLOOKUP($A75,Output_Mac!$A:$A,Output_Mac!M:M,""),
_xlpm.MyAuditVal,_xlfn.XLOOKUP($A75,My_Audit!$A:$A,My_Audit!L:L,""),
_xlfn.IFS(_xlpm.MyAuditVal&lt;&gt;"",UPPER(_xlpm.MyAuditVal),_xlpm.MacVal&lt;&gt;"",_xlpm.MacVal,_xlpm.CSVVal&lt;&gt;"",_xlpm.CSVVal
)),"")</f>
        <v/>
      </c>
      <c r="N75" s="40"/>
      <c r="O75" s="40" t="str">
        <f>_xlfn.LET(
    _xlpm.CSVVal, _xlfn.XLOOKUP($A75, CSV!$A:$A, CSV!AA:AA, ""),
    _xlpm.MacVal, _xlfn.XLOOKUP($A75, Output_Mac!$A:$A, Output_Mac!S:S, ""),
    _xlpm.MyAuditVal, _xlfn.XLOOKUP($A75, My_Audit!$A:$A, My_Audit!P:P, ""),
    _xlfn.TEXTJOIN(", ", TRUE, _xlpm.MyAuditVal, _xlpm.MacVal, _xlpm.CSVVal)
)</f>
        <v/>
      </c>
      <c r="P75" s="40" t="str" cm="1">
        <f t="array" ref="P75">IFERROR(_xlfn.LET(
_xlpm.CSVVal,_xlfn.XLOOKUP($A75,CSV!$A:$A,CSV!AB:AB,""),
_xlpm.MacVal,_xlfn.XLOOKUP($A75,Output_Mac!$A:$A,Output_Mac!T:T,""),
_xlpm.MyAuditVal,_xlfn.XLOOKUP($A75,My_Audit!$A:$A,My_Audit!Q:Q,""),
_xlfn.IFS(_xlpm.MyAuditVal&lt;&gt;"",UPPER(_xlpm.MyAuditVal),_xlpm.MacVal&lt;&gt;"",_xlpm.MacVal,_xlpm.CSVVal&lt;&gt;"",_xlpm.CSVVal
)),"No")</f>
        <v>No</v>
      </c>
      <c r="Q75" s="40" t="str" cm="1">
        <f t="array" ref="Q75">IFERROR(_xlfn.LET(
_xlpm.CSVVal,_xlfn.XLOOKUP($A75,CSV!$A:$A,CSV!AC:AC,""),
_xlpm.MacVal,_xlfn.XLOOKUP($A75,Output_Mac!$A:$A,Output_Mac!U:U,""),
_xlpm.MyAuditVal,_xlfn.XLOOKUP($A75,My_Audit!$A:$A,My_Audit!R:R,""),
_xlfn.IFS(_xlpm.MyAuditVal&lt;&gt;"",UPPER(_xlpm.MyAuditVal),_xlpm.MacVal&lt;&gt;"",_xlpm.MacVal,_xlpm.CSVVal&lt;&gt;"",_xlpm.CSVVal
)),"")</f>
        <v/>
      </c>
      <c r="R75" s="40"/>
      <c r="S75" s="40"/>
      <c r="T75" s="40"/>
      <c r="U75" s="40"/>
      <c r="V75" s="40"/>
      <c r="W75" s="40"/>
      <c r="X75" s="41" t="str">
        <f>_xlfn.LET(
    _xlpm.MacVal, _xlfn.XLOOKUP($A75, Output_Mac!$A:$A, Output_Mac!AB:AB, ""),
    _xlpm.MyAuditVal, _xlfn.XLOOKUP($A75, My_Audit!$A:$A, My_Audit!N:N, ""),
    _xlfn.TEXTJOIN(", ", TRUE, _xlpm.MyAuditVal, _xlpm.MacVal)
)</f>
        <v/>
      </c>
    </row>
    <row r="76" spans="1:24">
      <c r="A76" s="40" t="str">
        <f>_xlfn.TEXTJOIN("",TRUE,Input!$B$2,ROW(My_Audit!A75))</f>
        <v>X75</v>
      </c>
      <c r="B76" s="40" t="str">
        <f>_xlfn.TEXTJOIN("-",TRUE,"ITD",Input!$A$2,A76)</f>
        <v>ITD-X75</v>
      </c>
      <c r="C76" s="40" t="str" cm="1">
        <f t="array" ref="C76">IFERROR(_xlfn.LET(
_xlpm.CSVVal,_xlfn.XLOOKUP($A76,CSV!$A:$A,CSV!B:B,""),
_xlpm.MacVal,_xlfn.XLOOKUP($A76,Output_Mac!$A:$A,Output_Mac!B:B,""),
_xlpm.MyAuditVal,_xlfn.XLOOKUP($A76,My_Audit!$A:$A,My_Audit!B:B,""),
_xlfn.IFS(_xlpm.MyAuditVal&lt;&gt;"",UPPER(_xlpm.MyAuditVal),_xlpm.MacVal&lt;&gt;"",_xlpm.MacVal,_xlpm.CSVVal&lt;&gt;"",_xlpm.CSVVal
)),"")</f>
        <v/>
      </c>
      <c r="D76" s="40" t="str" cm="1">
        <f t="array" ref="D76">IFERROR(_xlfn.LET(
_xlpm.CSVVal,_xlfn.XLOOKUP($A76,CSV!$A:$A,CSV!D:D,""),
_xlpm.MacVal,_xlfn.XLOOKUP($A76,Output_Mac!$A:$A,Output_Mac!C:C,""),
_xlpm.MyAuditVal,_xlfn.XLOOKUP($A76,My_Audit!$A:$A,My_Audit!C:C,""),
_xlfn.IFS(_xlpm.MyAuditVal&lt;&gt;"",_xlpm.MyAuditVal,_xlpm.MacVal&lt;&gt;"",_xlpm.MacVal,_xlpm.CSVVal&lt;&gt;"",_xlpm.CSVVal
)),"")</f>
        <v/>
      </c>
      <c r="E76" s="40">
        <f>_xlfn.XLOOKUP(A76,My_Audit!A:A,My_Audit!D:D,"")</f>
        <v>0</v>
      </c>
      <c r="F76" s="40" t="str" cm="1">
        <f t="array" ref="F76">IFERROR(_xlfn.LET(
_xlpm.CSVVal,_xlfn.XLOOKUP($A76,CSV!$A:$A,CSV!F:F,""),
_xlpm.MacVal,_xlfn.XLOOKUP($A76,Output_Mac!$A:$A,Output_Mac!E:E,""),
_xlpm.MyAuditVal,_xlfn.XLOOKUP($A76,My_Audit!$A:$A,My_Audit!E:E,""),
_xlfn.IFS(_xlpm.MyAuditVal&lt;&gt;"",_xlpm.MyAuditVal,_xlpm.MacVal&lt;&gt;"",_xlpm.MacVal,_xlpm.CSVVal&lt;&gt;"",_xlpm.CSVVal
)),"")</f>
        <v/>
      </c>
      <c r="G76" s="40" t="str" cm="1">
        <f t="array" ref="G76">IFERROR(_xlfn.LET(
_xlpm.CSVVal,_xlfn.XLOOKUP($A76,CSV!$A:$A,CSV!G:G,""),
_xlpm.MacVal,_xlfn.XLOOKUP($A76,Output_Mac!$A:$A,Output_Mac!F:F,""),
_xlpm.MyAuditVal,_xlfn.XLOOKUP($A76,My_Audit!$A:$A,My_Audit!F:F,""),
_xlfn.IFS(_xlpm.MyAuditVal&lt;&gt;"",_xlpm.MyAuditVal,_xlpm.MacVal&lt;&gt;"",_xlpm.MacVal,_xlpm.CSVVal&lt;&gt;"",PROPER(_xlpm.CSVVal)
)),"")</f>
        <v/>
      </c>
      <c r="H76" s="40" t="str" cm="1">
        <f t="array" ref="H76">IFERROR(_xlfn.LET(
_xlpm.CSVVal,_xlfn.XLOOKUP($A76,CSV!$A:$A,CSV!H:H,""),
_xlpm.MacVal,_xlfn.XLOOKUP($A76,Output_Mac!$A:$A,Output_Mac!H:H,""),
_xlpm.MyAuditVal,_xlfn.XLOOKUP($A76,My_Audit!$A:$A,My_Audit!G:G,""),
_xlfn.IFS(_xlpm.MyAuditVal&lt;&gt;"",_xlpm.MyAuditVal,_xlpm.MacVal&lt;&gt;"",_xlpm.MacVal,_xlpm.CSVVal&lt;&gt;"",_xlpm.CSVVal
)),"")</f>
        <v/>
      </c>
      <c r="I76" s="40" t="str">
        <f>_xlfn.XLOOKUP(A76,Output_Mac!A:A,Output_Mac!I:I,"")</f>
        <v/>
      </c>
      <c r="J76" s="40" t="str" cm="1">
        <f t="array" ref="J76">IFERROR(_xlfn.LET(
_xlpm.CSVVal,_xlfn.XLOOKUP($A76,CSV!$A:$A,CSV!I:I,""),
_xlpm.MacVal,_xlfn.XLOOKUP($A76,Output_Mac!$A:$A,Output_Mac!J:J,""),
_xlpm.MyAuditVal,_xlfn.XLOOKUP($A76,My_Audit!$A:$A,My_Audit!I:I,""),
_xlfn.IFS(_xlpm.MyAuditVal&lt;&gt;"",UPPER(_xlpm.MyAuditVal),_xlpm.MacVal&lt;&gt;"",_xlpm.MacVal,_xlpm.CSVVal&lt;&gt;"",_xlpm.CSVVal
)),"")</f>
        <v/>
      </c>
      <c r="K76" s="40" t="str" cm="1">
        <f t="array" ref="K76">IFERROR(_xlfn.LET(
_xlpm.CSVVal,_xlfn.XLOOKUP($A76,CSV!$A:$A,CSV!K:K,""),
_xlpm.MacVal,_xlfn.XLOOKUP($A76,Output_Mac!$A:$A,Output_Mac!K:K,""),
_xlpm.MyAuditVal,_xlfn.XLOOKUP($A76,My_Audit!$A:$A,My_Audit!J:J,""),
_xlfn.IFS(_xlpm.MyAuditVal&lt;&gt;"",UPPER(_xlpm.MyAuditVal),_xlpm.MacVal&lt;&gt;"",_xlpm.MacVal,_xlpm.CSVVal&lt;&gt;"",_xlpm.CSVVal
)),"")</f>
        <v/>
      </c>
      <c r="L76" s="40" t="str" cm="1">
        <f t="array" ref="L76">IFERROR(_xlfn.LET(
_xlpm.CSVVal,_xlfn.XLOOKUP($A76,CSV!$A:$A,CSV!P:P,""),
_xlpm.MacVal,_xlfn.XLOOKUP($A76,Output_Mac!$A:$A,Output_Mac!L:L,""),
_xlpm.MyAuditVal,_xlfn.XLOOKUP($A76,My_Audit!$A:$A,My_Audit!K:K,""),
_xlfn.IFS(_xlpm.MyAuditVal&lt;&gt;"",UPPER(_xlpm.MyAuditVal),_xlpm.MacVal&lt;&gt;"",_xlpm.MacVal,_xlpm.CSVVal&lt;&gt;"",_xlpm.CSVVal
)),"")</f>
        <v/>
      </c>
      <c r="M76" s="40" t="str" cm="1">
        <f t="array" ref="M76">IFERROR(_xlfn.LET(
_xlpm.CSVVal,_xlfn.XLOOKUP($A76,CSV!$A:$A,CSV!Q:Q,""),
_xlpm.MacVal,_xlfn.XLOOKUP($A76,Output_Mac!$A:$A,Output_Mac!M:M,""),
_xlpm.MyAuditVal,_xlfn.XLOOKUP($A76,My_Audit!$A:$A,My_Audit!L:L,""),
_xlfn.IFS(_xlpm.MyAuditVal&lt;&gt;"",UPPER(_xlpm.MyAuditVal),_xlpm.MacVal&lt;&gt;"",_xlpm.MacVal,_xlpm.CSVVal&lt;&gt;"",_xlpm.CSVVal
)),"")</f>
        <v/>
      </c>
      <c r="N76" s="40"/>
      <c r="O76" s="40" t="str">
        <f>_xlfn.LET(
    _xlpm.CSVVal, _xlfn.XLOOKUP($A76, CSV!$A:$A, CSV!AA:AA, ""),
    _xlpm.MacVal, _xlfn.XLOOKUP($A76, Output_Mac!$A:$A, Output_Mac!S:S, ""),
    _xlpm.MyAuditVal, _xlfn.XLOOKUP($A76, My_Audit!$A:$A, My_Audit!P:P, ""),
    _xlfn.TEXTJOIN(", ", TRUE, _xlpm.MyAuditVal, _xlpm.MacVal, _xlpm.CSVVal)
)</f>
        <v/>
      </c>
      <c r="P76" s="40" t="str" cm="1">
        <f t="array" ref="P76">IFERROR(_xlfn.LET(
_xlpm.CSVVal,_xlfn.XLOOKUP($A76,CSV!$A:$A,CSV!AB:AB,""),
_xlpm.MacVal,_xlfn.XLOOKUP($A76,Output_Mac!$A:$A,Output_Mac!T:T,""),
_xlpm.MyAuditVal,_xlfn.XLOOKUP($A76,My_Audit!$A:$A,My_Audit!Q:Q,""),
_xlfn.IFS(_xlpm.MyAuditVal&lt;&gt;"",UPPER(_xlpm.MyAuditVal),_xlpm.MacVal&lt;&gt;"",_xlpm.MacVal,_xlpm.CSVVal&lt;&gt;"",_xlpm.CSVVal
)),"No")</f>
        <v>No</v>
      </c>
      <c r="Q76" s="40" t="str" cm="1">
        <f t="array" ref="Q76">IFERROR(_xlfn.LET(
_xlpm.CSVVal,_xlfn.XLOOKUP($A76,CSV!$A:$A,CSV!AC:AC,""),
_xlpm.MacVal,_xlfn.XLOOKUP($A76,Output_Mac!$A:$A,Output_Mac!U:U,""),
_xlpm.MyAuditVal,_xlfn.XLOOKUP($A76,My_Audit!$A:$A,My_Audit!R:R,""),
_xlfn.IFS(_xlpm.MyAuditVal&lt;&gt;"",UPPER(_xlpm.MyAuditVal),_xlpm.MacVal&lt;&gt;"",_xlpm.MacVal,_xlpm.CSVVal&lt;&gt;"",_xlpm.CSVVal
)),"")</f>
        <v/>
      </c>
      <c r="R76" s="40"/>
      <c r="S76" s="40"/>
      <c r="T76" s="40"/>
      <c r="U76" s="40"/>
      <c r="V76" s="40"/>
      <c r="W76" s="40"/>
      <c r="X76" s="41" t="str">
        <f>_xlfn.LET(
    _xlpm.MacVal, _xlfn.XLOOKUP($A76, Output_Mac!$A:$A, Output_Mac!AB:AB, ""),
    _xlpm.MyAuditVal, _xlfn.XLOOKUP($A76, My_Audit!$A:$A, My_Audit!N:N, ""),
    _xlfn.TEXTJOIN(", ", TRUE, _xlpm.MyAuditVal, _xlpm.MacVal)
)</f>
        <v/>
      </c>
    </row>
    <row r="77" spans="1:24">
      <c r="A77" s="40" t="str">
        <f>_xlfn.TEXTJOIN("",TRUE,Input!$B$2,ROW(My_Audit!A76))</f>
        <v>X76</v>
      </c>
      <c r="B77" s="40" t="str">
        <f>_xlfn.TEXTJOIN("-",TRUE,"ITD",Input!$A$2,A77)</f>
        <v>ITD-X76</v>
      </c>
      <c r="C77" s="40" t="str" cm="1">
        <f t="array" ref="C77">IFERROR(_xlfn.LET(
_xlpm.CSVVal,_xlfn.XLOOKUP($A77,CSV!$A:$A,CSV!B:B,""),
_xlpm.MacVal,_xlfn.XLOOKUP($A77,Output_Mac!$A:$A,Output_Mac!B:B,""),
_xlpm.MyAuditVal,_xlfn.XLOOKUP($A77,My_Audit!$A:$A,My_Audit!B:B,""),
_xlfn.IFS(_xlpm.MyAuditVal&lt;&gt;"",UPPER(_xlpm.MyAuditVal),_xlpm.MacVal&lt;&gt;"",_xlpm.MacVal,_xlpm.CSVVal&lt;&gt;"",_xlpm.CSVVal
)),"")</f>
        <v/>
      </c>
      <c r="D77" s="40" t="str" cm="1">
        <f t="array" ref="D77">IFERROR(_xlfn.LET(
_xlpm.CSVVal,_xlfn.XLOOKUP($A77,CSV!$A:$A,CSV!D:D,""),
_xlpm.MacVal,_xlfn.XLOOKUP($A77,Output_Mac!$A:$A,Output_Mac!C:C,""),
_xlpm.MyAuditVal,_xlfn.XLOOKUP($A77,My_Audit!$A:$A,My_Audit!C:C,""),
_xlfn.IFS(_xlpm.MyAuditVal&lt;&gt;"",_xlpm.MyAuditVal,_xlpm.MacVal&lt;&gt;"",_xlpm.MacVal,_xlpm.CSVVal&lt;&gt;"",_xlpm.CSVVal
)),"")</f>
        <v/>
      </c>
      <c r="E77" s="40">
        <f>_xlfn.XLOOKUP(A77,My_Audit!A:A,My_Audit!D:D,"")</f>
        <v>0</v>
      </c>
      <c r="F77" s="40" t="str" cm="1">
        <f t="array" ref="F77">IFERROR(_xlfn.LET(
_xlpm.CSVVal,_xlfn.XLOOKUP($A77,CSV!$A:$A,CSV!F:F,""),
_xlpm.MacVal,_xlfn.XLOOKUP($A77,Output_Mac!$A:$A,Output_Mac!E:E,""),
_xlpm.MyAuditVal,_xlfn.XLOOKUP($A77,My_Audit!$A:$A,My_Audit!E:E,""),
_xlfn.IFS(_xlpm.MyAuditVal&lt;&gt;"",_xlpm.MyAuditVal,_xlpm.MacVal&lt;&gt;"",_xlpm.MacVal,_xlpm.CSVVal&lt;&gt;"",_xlpm.CSVVal
)),"")</f>
        <v/>
      </c>
      <c r="G77" s="40" t="str" cm="1">
        <f t="array" ref="G77">IFERROR(_xlfn.LET(
_xlpm.CSVVal,_xlfn.XLOOKUP($A77,CSV!$A:$A,CSV!G:G,""),
_xlpm.MacVal,_xlfn.XLOOKUP($A77,Output_Mac!$A:$A,Output_Mac!F:F,""),
_xlpm.MyAuditVal,_xlfn.XLOOKUP($A77,My_Audit!$A:$A,My_Audit!F:F,""),
_xlfn.IFS(_xlpm.MyAuditVal&lt;&gt;"",_xlpm.MyAuditVal,_xlpm.MacVal&lt;&gt;"",_xlpm.MacVal,_xlpm.CSVVal&lt;&gt;"",PROPER(_xlpm.CSVVal)
)),"")</f>
        <v/>
      </c>
      <c r="H77" s="40" t="str" cm="1">
        <f t="array" ref="H77">IFERROR(_xlfn.LET(
_xlpm.CSVVal,_xlfn.XLOOKUP($A77,CSV!$A:$A,CSV!H:H,""),
_xlpm.MacVal,_xlfn.XLOOKUP($A77,Output_Mac!$A:$A,Output_Mac!H:H,""),
_xlpm.MyAuditVal,_xlfn.XLOOKUP($A77,My_Audit!$A:$A,My_Audit!G:G,""),
_xlfn.IFS(_xlpm.MyAuditVal&lt;&gt;"",_xlpm.MyAuditVal,_xlpm.MacVal&lt;&gt;"",_xlpm.MacVal,_xlpm.CSVVal&lt;&gt;"",_xlpm.CSVVal
)),"")</f>
        <v/>
      </c>
      <c r="I77" s="40" t="str">
        <f>_xlfn.XLOOKUP(A77,Output_Mac!A:A,Output_Mac!I:I,"")</f>
        <v/>
      </c>
      <c r="J77" s="40" t="str" cm="1">
        <f t="array" ref="J77">IFERROR(_xlfn.LET(
_xlpm.CSVVal,_xlfn.XLOOKUP($A77,CSV!$A:$A,CSV!I:I,""),
_xlpm.MacVal,_xlfn.XLOOKUP($A77,Output_Mac!$A:$A,Output_Mac!J:J,""),
_xlpm.MyAuditVal,_xlfn.XLOOKUP($A77,My_Audit!$A:$A,My_Audit!I:I,""),
_xlfn.IFS(_xlpm.MyAuditVal&lt;&gt;"",UPPER(_xlpm.MyAuditVal),_xlpm.MacVal&lt;&gt;"",_xlpm.MacVal,_xlpm.CSVVal&lt;&gt;"",_xlpm.CSVVal
)),"")</f>
        <v/>
      </c>
      <c r="K77" s="40" t="str" cm="1">
        <f t="array" ref="K77">IFERROR(_xlfn.LET(
_xlpm.CSVVal,_xlfn.XLOOKUP($A77,CSV!$A:$A,CSV!K:K,""),
_xlpm.MacVal,_xlfn.XLOOKUP($A77,Output_Mac!$A:$A,Output_Mac!K:K,""),
_xlpm.MyAuditVal,_xlfn.XLOOKUP($A77,My_Audit!$A:$A,My_Audit!J:J,""),
_xlfn.IFS(_xlpm.MyAuditVal&lt;&gt;"",UPPER(_xlpm.MyAuditVal),_xlpm.MacVal&lt;&gt;"",_xlpm.MacVal,_xlpm.CSVVal&lt;&gt;"",_xlpm.CSVVal
)),"")</f>
        <v/>
      </c>
      <c r="L77" s="40" t="str" cm="1">
        <f t="array" ref="L77">IFERROR(_xlfn.LET(
_xlpm.CSVVal,_xlfn.XLOOKUP($A77,CSV!$A:$A,CSV!P:P,""),
_xlpm.MacVal,_xlfn.XLOOKUP($A77,Output_Mac!$A:$A,Output_Mac!L:L,""),
_xlpm.MyAuditVal,_xlfn.XLOOKUP($A77,My_Audit!$A:$A,My_Audit!K:K,""),
_xlfn.IFS(_xlpm.MyAuditVal&lt;&gt;"",UPPER(_xlpm.MyAuditVal),_xlpm.MacVal&lt;&gt;"",_xlpm.MacVal,_xlpm.CSVVal&lt;&gt;"",_xlpm.CSVVal
)),"")</f>
        <v/>
      </c>
      <c r="M77" s="40" t="str" cm="1">
        <f t="array" ref="M77">IFERROR(_xlfn.LET(
_xlpm.CSVVal,_xlfn.XLOOKUP($A77,CSV!$A:$A,CSV!Q:Q,""),
_xlpm.MacVal,_xlfn.XLOOKUP($A77,Output_Mac!$A:$A,Output_Mac!M:M,""),
_xlpm.MyAuditVal,_xlfn.XLOOKUP($A77,My_Audit!$A:$A,My_Audit!L:L,""),
_xlfn.IFS(_xlpm.MyAuditVal&lt;&gt;"",UPPER(_xlpm.MyAuditVal),_xlpm.MacVal&lt;&gt;"",_xlpm.MacVal,_xlpm.CSVVal&lt;&gt;"",_xlpm.CSVVal
)),"")</f>
        <v/>
      </c>
      <c r="N77" s="40"/>
      <c r="O77" s="40" t="str">
        <f>_xlfn.LET(
    _xlpm.CSVVal, _xlfn.XLOOKUP($A77, CSV!$A:$A, CSV!AA:AA, ""),
    _xlpm.MacVal, _xlfn.XLOOKUP($A77, Output_Mac!$A:$A, Output_Mac!S:S, ""),
    _xlpm.MyAuditVal, _xlfn.XLOOKUP($A77, My_Audit!$A:$A, My_Audit!P:P, ""),
    _xlfn.TEXTJOIN(", ", TRUE, _xlpm.MyAuditVal, _xlpm.MacVal, _xlpm.CSVVal)
)</f>
        <v/>
      </c>
      <c r="P77" s="40" t="str" cm="1">
        <f t="array" ref="P77">IFERROR(_xlfn.LET(
_xlpm.CSVVal,_xlfn.XLOOKUP($A77,CSV!$A:$A,CSV!AB:AB,""),
_xlpm.MacVal,_xlfn.XLOOKUP($A77,Output_Mac!$A:$A,Output_Mac!T:T,""),
_xlpm.MyAuditVal,_xlfn.XLOOKUP($A77,My_Audit!$A:$A,My_Audit!Q:Q,""),
_xlfn.IFS(_xlpm.MyAuditVal&lt;&gt;"",UPPER(_xlpm.MyAuditVal),_xlpm.MacVal&lt;&gt;"",_xlpm.MacVal,_xlpm.CSVVal&lt;&gt;"",_xlpm.CSVVal
)),"No")</f>
        <v>No</v>
      </c>
      <c r="Q77" s="40" t="str" cm="1">
        <f t="array" ref="Q77">IFERROR(_xlfn.LET(
_xlpm.CSVVal,_xlfn.XLOOKUP($A77,CSV!$A:$A,CSV!AC:AC,""),
_xlpm.MacVal,_xlfn.XLOOKUP($A77,Output_Mac!$A:$A,Output_Mac!U:U,""),
_xlpm.MyAuditVal,_xlfn.XLOOKUP($A77,My_Audit!$A:$A,My_Audit!R:R,""),
_xlfn.IFS(_xlpm.MyAuditVal&lt;&gt;"",UPPER(_xlpm.MyAuditVal),_xlpm.MacVal&lt;&gt;"",_xlpm.MacVal,_xlpm.CSVVal&lt;&gt;"",_xlpm.CSVVal
)),"")</f>
        <v/>
      </c>
      <c r="R77" s="40"/>
      <c r="S77" s="40"/>
      <c r="T77" s="40"/>
      <c r="U77" s="40"/>
      <c r="V77" s="40"/>
      <c r="W77" s="40"/>
      <c r="X77" s="41" t="str">
        <f>_xlfn.LET(
    _xlpm.MacVal, _xlfn.XLOOKUP($A77, Output_Mac!$A:$A, Output_Mac!AB:AB, ""),
    _xlpm.MyAuditVal, _xlfn.XLOOKUP($A77, My_Audit!$A:$A, My_Audit!N:N, ""),
    _xlfn.TEXTJOIN(", ", TRUE, _xlpm.MyAuditVal, _xlpm.MacVal)
)</f>
        <v/>
      </c>
    </row>
    <row r="78" spans="1:24">
      <c r="A78" s="40" t="str">
        <f>_xlfn.TEXTJOIN("",TRUE,Input!$B$2,ROW(My_Audit!A77))</f>
        <v>X77</v>
      </c>
      <c r="B78" s="40" t="str">
        <f>_xlfn.TEXTJOIN("-",TRUE,"ITD",Input!$A$2,A78)</f>
        <v>ITD-X77</v>
      </c>
      <c r="C78" s="40" t="str" cm="1">
        <f t="array" ref="C78">IFERROR(_xlfn.LET(
_xlpm.CSVVal,_xlfn.XLOOKUP($A78,CSV!$A:$A,CSV!B:B,""),
_xlpm.MacVal,_xlfn.XLOOKUP($A78,Output_Mac!$A:$A,Output_Mac!B:B,""),
_xlpm.MyAuditVal,_xlfn.XLOOKUP($A78,My_Audit!$A:$A,My_Audit!B:B,""),
_xlfn.IFS(_xlpm.MyAuditVal&lt;&gt;"",UPPER(_xlpm.MyAuditVal),_xlpm.MacVal&lt;&gt;"",_xlpm.MacVal,_xlpm.CSVVal&lt;&gt;"",_xlpm.CSVVal
)),"")</f>
        <v/>
      </c>
      <c r="D78" s="40" t="str" cm="1">
        <f t="array" ref="D78">IFERROR(_xlfn.LET(
_xlpm.CSVVal,_xlfn.XLOOKUP($A78,CSV!$A:$A,CSV!D:D,""),
_xlpm.MacVal,_xlfn.XLOOKUP($A78,Output_Mac!$A:$A,Output_Mac!C:C,""),
_xlpm.MyAuditVal,_xlfn.XLOOKUP($A78,My_Audit!$A:$A,My_Audit!C:C,""),
_xlfn.IFS(_xlpm.MyAuditVal&lt;&gt;"",_xlpm.MyAuditVal,_xlpm.MacVal&lt;&gt;"",_xlpm.MacVal,_xlpm.CSVVal&lt;&gt;"",_xlpm.CSVVal
)),"")</f>
        <v/>
      </c>
      <c r="E78" s="40">
        <f>_xlfn.XLOOKUP(A78,My_Audit!A:A,My_Audit!D:D,"")</f>
        <v>0</v>
      </c>
      <c r="F78" s="40" t="str" cm="1">
        <f t="array" ref="F78">IFERROR(_xlfn.LET(
_xlpm.CSVVal,_xlfn.XLOOKUP($A78,CSV!$A:$A,CSV!F:F,""),
_xlpm.MacVal,_xlfn.XLOOKUP($A78,Output_Mac!$A:$A,Output_Mac!E:E,""),
_xlpm.MyAuditVal,_xlfn.XLOOKUP($A78,My_Audit!$A:$A,My_Audit!E:E,""),
_xlfn.IFS(_xlpm.MyAuditVal&lt;&gt;"",_xlpm.MyAuditVal,_xlpm.MacVal&lt;&gt;"",_xlpm.MacVal,_xlpm.CSVVal&lt;&gt;"",_xlpm.CSVVal
)),"")</f>
        <v/>
      </c>
      <c r="G78" s="40" t="str" cm="1">
        <f t="array" ref="G78">IFERROR(_xlfn.LET(
_xlpm.CSVVal,_xlfn.XLOOKUP($A78,CSV!$A:$A,CSV!G:G,""),
_xlpm.MacVal,_xlfn.XLOOKUP($A78,Output_Mac!$A:$A,Output_Mac!F:F,""),
_xlpm.MyAuditVal,_xlfn.XLOOKUP($A78,My_Audit!$A:$A,My_Audit!F:F,""),
_xlfn.IFS(_xlpm.MyAuditVal&lt;&gt;"",_xlpm.MyAuditVal,_xlpm.MacVal&lt;&gt;"",_xlpm.MacVal,_xlpm.CSVVal&lt;&gt;"",PROPER(_xlpm.CSVVal)
)),"")</f>
        <v/>
      </c>
      <c r="H78" s="40" t="str" cm="1">
        <f t="array" ref="H78">IFERROR(_xlfn.LET(
_xlpm.CSVVal,_xlfn.XLOOKUP($A78,CSV!$A:$A,CSV!H:H,""),
_xlpm.MacVal,_xlfn.XLOOKUP($A78,Output_Mac!$A:$A,Output_Mac!H:H,""),
_xlpm.MyAuditVal,_xlfn.XLOOKUP($A78,My_Audit!$A:$A,My_Audit!G:G,""),
_xlfn.IFS(_xlpm.MyAuditVal&lt;&gt;"",_xlpm.MyAuditVal,_xlpm.MacVal&lt;&gt;"",_xlpm.MacVal,_xlpm.CSVVal&lt;&gt;"",_xlpm.CSVVal
)),"")</f>
        <v/>
      </c>
      <c r="I78" s="40" t="str">
        <f>_xlfn.XLOOKUP(A78,Output_Mac!A:A,Output_Mac!I:I,"")</f>
        <v/>
      </c>
      <c r="J78" s="40" t="str" cm="1">
        <f t="array" ref="J78">IFERROR(_xlfn.LET(
_xlpm.CSVVal,_xlfn.XLOOKUP($A78,CSV!$A:$A,CSV!I:I,""),
_xlpm.MacVal,_xlfn.XLOOKUP($A78,Output_Mac!$A:$A,Output_Mac!J:J,""),
_xlpm.MyAuditVal,_xlfn.XLOOKUP($A78,My_Audit!$A:$A,My_Audit!I:I,""),
_xlfn.IFS(_xlpm.MyAuditVal&lt;&gt;"",UPPER(_xlpm.MyAuditVal),_xlpm.MacVal&lt;&gt;"",_xlpm.MacVal,_xlpm.CSVVal&lt;&gt;"",_xlpm.CSVVal
)),"")</f>
        <v/>
      </c>
      <c r="K78" s="40" t="str" cm="1">
        <f t="array" ref="K78">IFERROR(_xlfn.LET(
_xlpm.CSVVal,_xlfn.XLOOKUP($A78,CSV!$A:$A,CSV!K:K,""),
_xlpm.MacVal,_xlfn.XLOOKUP($A78,Output_Mac!$A:$A,Output_Mac!K:K,""),
_xlpm.MyAuditVal,_xlfn.XLOOKUP($A78,My_Audit!$A:$A,My_Audit!J:J,""),
_xlfn.IFS(_xlpm.MyAuditVal&lt;&gt;"",UPPER(_xlpm.MyAuditVal),_xlpm.MacVal&lt;&gt;"",_xlpm.MacVal,_xlpm.CSVVal&lt;&gt;"",_xlpm.CSVVal
)),"")</f>
        <v/>
      </c>
      <c r="L78" s="40" t="str" cm="1">
        <f t="array" ref="L78">IFERROR(_xlfn.LET(
_xlpm.CSVVal,_xlfn.XLOOKUP($A78,CSV!$A:$A,CSV!P:P,""),
_xlpm.MacVal,_xlfn.XLOOKUP($A78,Output_Mac!$A:$A,Output_Mac!L:L,""),
_xlpm.MyAuditVal,_xlfn.XLOOKUP($A78,My_Audit!$A:$A,My_Audit!K:K,""),
_xlfn.IFS(_xlpm.MyAuditVal&lt;&gt;"",UPPER(_xlpm.MyAuditVal),_xlpm.MacVal&lt;&gt;"",_xlpm.MacVal,_xlpm.CSVVal&lt;&gt;"",_xlpm.CSVVal
)),"")</f>
        <v/>
      </c>
      <c r="M78" s="40" t="str" cm="1">
        <f t="array" ref="M78">IFERROR(_xlfn.LET(
_xlpm.CSVVal,_xlfn.XLOOKUP($A78,CSV!$A:$A,CSV!Q:Q,""),
_xlpm.MacVal,_xlfn.XLOOKUP($A78,Output_Mac!$A:$A,Output_Mac!M:M,""),
_xlpm.MyAuditVal,_xlfn.XLOOKUP($A78,My_Audit!$A:$A,My_Audit!L:L,""),
_xlfn.IFS(_xlpm.MyAuditVal&lt;&gt;"",UPPER(_xlpm.MyAuditVal),_xlpm.MacVal&lt;&gt;"",_xlpm.MacVal,_xlpm.CSVVal&lt;&gt;"",_xlpm.CSVVal
)),"")</f>
        <v/>
      </c>
      <c r="N78" s="40"/>
      <c r="O78" s="40" t="str">
        <f>_xlfn.LET(
    _xlpm.CSVVal, _xlfn.XLOOKUP($A78, CSV!$A:$A, CSV!AA:AA, ""),
    _xlpm.MacVal, _xlfn.XLOOKUP($A78, Output_Mac!$A:$A, Output_Mac!S:S, ""),
    _xlpm.MyAuditVal, _xlfn.XLOOKUP($A78, My_Audit!$A:$A, My_Audit!P:P, ""),
    _xlfn.TEXTJOIN(", ", TRUE, _xlpm.MyAuditVal, _xlpm.MacVal, _xlpm.CSVVal)
)</f>
        <v/>
      </c>
      <c r="P78" s="40" t="str" cm="1">
        <f t="array" ref="P78">IFERROR(_xlfn.LET(
_xlpm.CSVVal,_xlfn.XLOOKUP($A78,CSV!$A:$A,CSV!AB:AB,""),
_xlpm.MacVal,_xlfn.XLOOKUP($A78,Output_Mac!$A:$A,Output_Mac!T:T,""),
_xlpm.MyAuditVal,_xlfn.XLOOKUP($A78,My_Audit!$A:$A,My_Audit!Q:Q,""),
_xlfn.IFS(_xlpm.MyAuditVal&lt;&gt;"",UPPER(_xlpm.MyAuditVal),_xlpm.MacVal&lt;&gt;"",_xlpm.MacVal,_xlpm.CSVVal&lt;&gt;"",_xlpm.CSVVal
)),"No")</f>
        <v>No</v>
      </c>
      <c r="Q78" s="40" t="str" cm="1">
        <f t="array" ref="Q78">IFERROR(_xlfn.LET(
_xlpm.CSVVal,_xlfn.XLOOKUP($A78,CSV!$A:$A,CSV!AC:AC,""),
_xlpm.MacVal,_xlfn.XLOOKUP($A78,Output_Mac!$A:$A,Output_Mac!U:U,""),
_xlpm.MyAuditVal,_xlfn.XLOOKUP($A78,My_Audit!$A:$A,My_Audit!R:R,""),
_xlfn.IFS(_xlpm.MyAuditVal&lt;&gt;"",UPPER(_xlpm.MyAuditVal),_xlpm.MacVal&lt;&gt;"",_xlpm.MacVal,_xlpm.CSVVal&lt;&gt;"",_xlpm.CSVVal
)),"")</f>
        <v/>
      </c>
      <c r="R78" s="40"/>
      <c r="S78" s="40"/>
      <c r="T78" s="40"/>
      <c r="U78" s="40"/>
      <c r="V78" s="40"/>
      <c r="W78" s="40"/>
      <c r="X78" s="41" t="str">
        <f>_xlfn.LET(
    _xlpm.MacVal, _xlfn.XLOOKUP($A78, Output_Mac!$A:$A, Output_Mac!AB:AB, ""),
    _xlpm.MyAuditVal, _xlfn.XLOOKUP($A78, My_Audit!$A:$A, My_Audit!N:N, ""),
    _xlfn.TEXTJOIN(", ", TRUE, _xlpm.MyAuditVal, _xlpm.MacVal)
)</f>
        <v/>
      </c>
    </row>
    <row r="79" spans="1:24">
      <c r="A79" s="40" t="str">
        <f>_xlfn.TEXTJOIN("",TRUE,Input!$B$2,ROW(My_Audit!A78))</f>
        <v>X78</v>
      </c>
      <c r="B79" s="40" t="str">
        <f>_xlfn.TEXTJOIN("-",TRUE,"ITD",Input!$A$2,A79)</f>
        <v>ITD-X78</v>
      </c>
      <c r="C79" s="40" t="str" cm="1">
        <f t="array" ref="C79">IFERROR(_xlfn.LET(
_xlpm.CSVVal,_xlfn.XLOOKUP($A79,CSV!$A:$A,CSV!B:B,""),
_xlpm.MacVal,_xlfn.XLOOKUP($A79,Output_Mac!$A:$A,Output_Mac!B:B,""),
_xlpm.MyAuditVal,_xlfn.XLOOKUP($A79,My_Audit!$A:$A,My_Audit!B:B,""),
_xlfn.IFS(_xlpm.MyAuditVal&lt;&gt;"",UPPER(_xlpm.MyAuditVal),_xlpm.MacVal&lt;&gt;"",_xlpm.MacVal,_xlpm.CSVVal&lt;&gt;"",_xlpm.CSVVal
)),"")</f>
        <v/>
      </c>
      <c r="D79" s="40" t="str" cm="1">
        <f t="array" ref="D79">IFERROR(_xlfn.LET(
_xlpm.CSVVal,_xlfn.XLOOKUP($A79,CSV!$A:$A,CSV!D:D,""),
_xlpm.MacVal,_xlfn.XLOOKUP($A79,Output_Mac!$A:$A,Output_Mac!C:C,""),
_xlpm.MyAuditVal,_xlfn.XLOOKUP($A79,My_Audit!$A:$A,My_Audit!C:C,""),
_xlfn.IFS(_xlpm.MyAuditVal&lt;&gt;"",_xlpm.MyAuditVal,_xlpm.MacVal&lt;&gt;"",_xlpm.MacVal,_xlpm.CSVVal&lt;&gt;"",_xlpm.CSVVal
)),"")</f>
        <v/>
      </c>
      <c r="E79" s="40">
        <f>_xlfn.XLOOKUP(A79,My_Audit!A:A,My_Audit!D:D,"")</f>
        <v>0</v>
      </c>
      <c r="F79" s="40" t="str" cm="1">
        <f t="array" ref="F79">IFERROR(_xlfn.LET(
_xlpm.CSVVal,_xlfn.XLOOKUP($A79,CSV!$A:$A,CSV!F:F,""),
_xlpm.MacVal,_xlfn.XLOOKUP($A79,Output_Mac!$A:$A,Output_Mac!E:E,""),
_xlpm.MyAuditVal,_xlfn.XLOOKUP($A79,My_Audit!$A:$A,My_Audit!E:E,""),
_xlfn.IFS(_xlpm.MyAuditVal&lt;&gt;"",_xlpm.MyAuditVal,_xlpm.MacVal&lt;&gt;"",_xlpm.MacVal,_xlpm.CSVVal&lt;&gt;"",_xlpm.CSVVal
)),"")</f>
        <v/>
      </c>
      <c r="G79" s="40" t="str" cm="1">
        <f t="array" ref="G79">IFERROR(_xlfn.LET(
_xlpm.CSVVal,_xlfn.XLOOKUP($A79,CSV!$A:$A,CSV!G:G,""),
_xlpm.MacVal,_xlfn.XLOOKUP($A79,Output_Mac!$A:$A,Output_Mac!F:F,""),
_xlpm.MyAuditVal,_xlfn.XLOOKUP($A79,My_Audit!$A:$A,My_Audit!F:F,""),
_xlfn.IFS(_xlpm.MyAuditVal&lt;&gt;"",_xlpm.MyAuditVal,_xlpm.MacVal&lt;&gt;"",_xlpm.MacVal,_xlpm.CSVVal&lt;&gt;"",PROPER(_xlpm.CSVVal)
)),"")</f>
        <v/>
      </c>
      <c r="H79" s="40" t="str" cm="1">
        <f t="array" ref="H79">IFERROR(_xlfn.LET(
_xlpm.CSVVal,_xlfn.XLOOKUP($A79,CSV!$A:$A,CSV!H:H,""),
_xlpm.MacVal,_xlfn.XLOOKUP($A79,Output_Mac!$A:$A,Output_Mac!H:H,""),
_xlpm.MyAuditVal,_xlfn.XLOOKUP($A79,My_Audit!$A:$A,My_Audit!G:G,""),
_xlfn.IFS(_xlpm.MyAuditVal&lt;&gt;"",_xlpm.MyAuditVal,_xlpm.MacVal&lt;&gt;"",_xlpm.MacVal,_xlpm.CSVVal&lt;&gt;"",_xlpm.CSVVal
)),"")</f>
        <v/>
      </c>
      <c r="I79" s="40" t="str">
        <f>_xlfn.XLOOKUP(A79,Output_Mac!A:A,Output_Mac!I:I,"")</f>
        <v/>
      </c>
      <c r="J79" s="40" t="str" cm="1">
        <f t="array" ref="J79">IFERROR(_xlfn.LET(
_xlpm.CSVVal,_xlfn.XLOOKUP($A79,CSV!$A:$A,CSV!I:I,""),
_xlpm.MacVal,_xlfn.XLOOKUP($A79,Output_Mac!$A:$A,Output_Mac!J:J,""),
_xlpm.MyAuditVal,_xlfn.XLOOKUP($A79,My_Audit!$A:$A,My_Audit!I:I,""),
_xlfn.IFS(_xlpm.MyAuditVal&lt;&gt;"",UPPER(_xlpm.MyAuditVal),_xlpm.MacVal&lt;&gt;"",_xlpm.MacVal,_xlpm.CSVVal&lt;&gt;"",_xlpm.CSVVal
)),"")</f>
        <v/>
      </c>
      <c r="K79" s="40" t="str" cm="1">
        <f t="array" ref="K79">IFERROR(_xlfn.LET(
_xlpm.CSVVal,_xlfn.XLOOKUP($A79,CSV!$A:$A,CSV!K:K,""),
_xlpm.MacVal,_xlfn.XLOOKUP($A79,Output_Mac!$A:$A,Output_Mac!K:K,""),
_xlpm.MyAuditVal,_xlfn.XLOOKUP($A79,My_Audit!$A:$A,My_Audit!J:J,""),
_xlfn.IFS(_xlpm.MyAuditVal&lt;&gt;"",UPPER(_xlpm.MyAuditVal),_xlpm.MacVal&lt;&gt;"",_xlpm.MacVal,_xlpm.CSVVal&lt;&gt;"",_xlpm.CSVVal
)),"")</f>
        <v/>
      </c>
      <c r="L79" s="40" t="str" cm="1">
        <f t="array" ref="L79">IFERROR(_xlfn.LET(
_xlpm.CSVVal,_xlfn.XLOOKUP($A79,CSV!$A:$A,CSV!P:P,""),
_xlpm.MacVal,_xlfn.XLOOKUP($A79,Output_Mac!$A:$A,Output_Mac!L:L,""),
_xlpm.MyAuditVal,_xlfn.XLOOKUP($A79,My_Audit!$A:$A,My_Audit!K:K,""),
_xlfn.IFS(_xlpm.MyAuditVal&lt;&gt;"",UPPER(_xlpm.MyAuditVal),_xlpm.MacVal&lt;&gt;"",_xlpm.MacVal,_xlpm.CSVVal&lt;&gt;"",_xlpm.CSVVal
)),"")</f>
        <v/>
      </c>
      <c r="M79" s="40" t="str" cm="1">
        <f t="array" ref="M79">IFERROR(_xlfn.LET(
_xlpm.CSVVal,_xlfn.XLOOKUP($A79,CSV!$A:$A,CSV!Q:Q,""),
_xlpm.MacVal,_xlfn.XLOOKUP($A79,Output_Mac!$A:$A,Output_Mac!M:M,""),
_xlpm.MyAuditVal,_xlfn.XLOOKUP($A79,My_Audit!$A:$A,My_Audit!L:L,""),
_xlfn.IFS(_xlpm.MyAuditVal&lt;&gt;"",UPPER(_xlpm.MyAuditVal),_xlpm.MacVal&lt;&gt;"",_xlpm.MacVal,_xlpm.CSVVal&lt;&gt;"",_xlpm.CSVVal
)),"")</f>
        <v/>
      </c>
      <c r="N79" s="40"/>
      <c r="O79" s="40" t="str">
        <f>_xlfn.LET(
    _xlpm.CSVVal, _xlfn.XLOOKUP($A79, CSV!$A:$A, CSV!AA:AA, ""),
    _xlpm.MacVal, _xlfn.XLOOKUP($A79, Output_Mac!$A:$A, Output_Mac!S:S, ""),
    _xlpm.MyAuditVal, _xlfn.XLOOKUP($A79, My_Audit!$A:$A, My_Audit!P:P, ""),
    _xlfn.TEXTJOIN(", ", TRUE, _xlpm.MyAuditVal, _xlpm.MacVal, _xlpm.CSVVal)
)</f>
        <v/>
      </c>
      <c r="P79" s="40" t="str" cm="1">
        <f t="array" ref="P79">IFERROR(_xlfn.LET(
_xlpm.CSVVal,_xlfn.XLOOKUP($A79,CSV!$A:$A,CSV!AB:AB,""),
_xlpm.MacVal,_xlfn.XLOOKUP($A79,Output_Mac!$A:$A,Output_Mac!T:T,""),
_xlpm.MyAuditVal,_xlfn.XLOOKUP($A79,My_Audit!$A:$A,My_Audit!Q:Q,""),
_xlfn.IFS(_xlpm.MyAuditVal&lt;&gt;"",UPPER(_xlpm.MyAuditVal),_xlpm.MacVal&lt;&gt;"",_xlpm.MacVal,_xlpm.CSVVal&lt;&gt;"",_xlpm.CSVVal
)),"No")</f>
        <v>No</v>
      </c>
      <c r="Q79" s="40" t="str" cm="1">
        <f t="array" ref="Q79">IFERROR(_xlfn.LET(
_xlpm.CSVVal,_xlfn.XLOOKUP($A79,CSV!$A:$A,CSV!AC:AC,""),
_xlpm.MacVal,_xlfn.XLOOKUP($A79,Output_Mac!$A:$A,Output_Mac!U:U,""),
_xlpm.MyAuditVal,_xlfn.XLOOKUP($A79,My_Audit!$A:$A,My_Audit!R:R,""),
_xlfn.IFS(_xlpm.MyAuditVal&lt;&gt;"",UPPER(_xlpm.MyAuditVal),_xlpm.MacVal&lt;&gt;"",_xlpm.MacVal,_xlpm.CSVVal&lt;&gt;"",_xlpm.CSVVal
)),"")</f>
        <v/>
      </c>
      <c r="R79" s="40"/>
      <c r="S79" s="40"/>
      <c r="T79" s="40"/>
      <c r="U79" s="40"/>
      <c r="V79" s="40"/>
      <c r="W79" s="40"/>
      <c r="X79" s="41" t="str">
        <f>_xlfn.LET(
    _xlpm.MacVal, _xlfn.XLOOKUP($A79, Output_Mac!$A:$A, Output_Mac!AB:AB, ""),
    _xlpm.MyAuditVal, _xlfn.XLOOKUP($A79, My_Audit!$A:$A, My_Audit!N:N, ""),
    _xlfn.TEXTJOIN(", ", TRUE, _xlpm.MyAuditVal, _xlpm.MacVal)
)</f>
        <v/>
      </c>
    </row>
    <row r="80" spans="1:24">
      <c r="A80" s="40" t="str">
        <f>_xlfn.TEXTJOIN("",TRUE,Input!$B$2,ROW(My_Audit!A79))</f>
        <v>X79</v>
      </c>
      <c r="B80" s="40" t="str">
        <f>_xlfn.TEXTJOIN("-",TRUE,"ITD",Input!$A$2,A80)</f>
        <v>ITD-X79</v>
      </c>
      <c r="C80" s="40" t="str" cm="1">
        <f t="array" ref="C80">IFERROR(_xlfn.LET(
_xlpm.CSVVal,_xlfn.XLOOKUP($A80,CSV!$A:$A,CSV!B:B,""),
_xlpm.MacVal,_xlfn.XLOOKUP($A80,Output_Mac!$A:$A,Output_Mac!B:B,""),
_xlpm.MyAuditVal,_xlfn.XLOOKUP($A80,My_Audit!$A:$A,My_Audit!B:B,""),
_xlfn.IFS(_xlpm.MyAuditVal&lt;&gt;"",UPPER(_xlpm.MyAuditVal),_xlpm.MacVal&lt;&gt;"",_xlpm.MacVal,_xlpm.CSVVal&lt;&gt;"",_xlpm.CSVVal
)),"")</f>
        <v/>
      </c>
      <c r="D80" s="40" t="str" cm="1">
        <f t="array" ref="D80">IFERROR(_xlfn.LET(
_xlpm.CSVVal,_xlfn.XLOOKUP($A80,CSV!$A:$A,CSV!D:D,""),
_xlpm.MacVal,_xlfn.XLOOKUP($A80,Output_Mac!$A:$A,Output_Mac!C:C,""),
_xlpm.MyAuditVal,_xlfn.XLOOKUP($A80,My_Audit!$A:$A,My_Audit!C:C,""),
_xlfn.IFS(_xlpm.MyAuditVal&lt;&gt;"",_xlpm.MyAuditVal,_xlpm.MacVal&lt;&gt;"",_xlpm.MacVal,_xlpm.CSVVal&lt;&gt;"",_xlpm.CSVVal
)),"")</f>
        <v/>
      </c>
      <c r="E80" s="40">
        <f>_xlfn.XLOOKUP(A80,My_Audit!A:A,My_Audit!D:D,"")</f>
        <v>0</v>
      </c>
      <c r="F80" s="40" t="str" cm="1">
        <f t="array" ref="F80">IFERROR(_xlfn.LET(
_xlpm.CSVVal,_xlfn.XLOOKUP($A80,CSV!$A:$A,CSV!F:F,""),
_xlpm.MacVal,_xlfn.XLOOKUP($A80,Output_Mac!$A:$A,Output_Mac!E:E,""),
_xlpm.MyAuditVal,_xlfn.XLOOKUP($A80,My_Audit!$A:$A,My_Audit!E:E,""),
_xlfn.IFS(_xlpm.MyAuditVal&lt;&gt;"",_xlpm.MyAuditVal,_xlpm.MacVal&lt;&gt;"",_xlpm.MacVal,_xlpm.CSVVal&lt;&gt;"",_xlpm.CSVVal
)),"")</f>
        <v/>
      </c>
      <c r="G80" s="40" t="str" cm="1">
        <f t="array" ref="G80">IFERROR(_xlfn.LET(
_xlpm.CSVVal,_xlfn.XLOOKUP($A80,CSV!$A:$A,CSV!G:G,""),
_xlpm.MacVal,_xlfn.XLOOKUP($A80,Output_Mac!$A:$A,Output_Mac!F:F,""),
_xlpm.MyAuditVal,_xlfn.XLOOKUP($A80,My_Audit!$A:$A,My_Audit!F:F,""),
_xlfn.IFS(_xlpm.MyAuditVal&lt;&gt;"",_xlpm.MyAuditVal,_xlpm.MacVal&lt;&gt;"",_xlpm.MacVal,_xlpm.CSVVal&lt;&gt;"",PROPER(_xlpm.CSVVal)
)),"")</f>
        <v/>
      </c>
      <c r="H80" s="40" t="str" cm="1">
        <f t="array" ref="H80">IFERROR(_xlfn.LET(
_xlpm.CSVVal,_xlfn.XLOOKUP($A80,CSV!$A:$A,CSV!H:H,""),
_xlpm.MacVal,_xlfn.XLOOKUP($A80,Output_Mac!$A:$A,Output_Mac!H:H,""),
_xlpm.MyAuditVal,_xlfn.XLOOKUP($A80,My_Audit!$A:$A,My_Audit!G:G,""),
_xlfn.IFS(_xlpm.MyAuditVal&lt;&gt;"",_xlpm.MyAuditVal,_xlpm.MacVal&lt;&gt;"",_xlpm.MacVal,_xlpm.CSVVal&lt;&gt;"",_xlpm.CSVVal
)),"")</f>
        <v/>
      </c>
      <c r="I80" s="40" t="str">
        <f>_xlfn.XLOOKUP(A80,Output_Mac!A:A,Output_Mac!I:I,"")</f>
        <v/>
      </c>
      <c r="J80" s="40" t="str" cm="1">
        <f t="array" ref="J80">IFERROR(_xlfn.LET(
_xlpm.CSVVal,_xlfn.XLOOKUP($A80,CSV!$A:$A,CSV!I:I,""),
_xlpm.MacVal,_xlfn.XLOOKUP($A80,Output_Mac!$A:$A,Output_Mac!J:J,""),
_xlpm.MyAuditVal,_xlfn.XLOOKUP($A80,My_Audit!$A:$A,My_Audit!I:I,""),
_xlfn.IFS(_xlpm.MyAuditVal&lt;&gt;"",UPPER(_xlpm.MyAuditVal),_xlpm.MacVal&lt;&gt;"",_xlpm.MacVal,_xlpm.CSVVal&lt;&gt;"",_xlpm.CSVVal
)),"")</f>
        <v/>
      </c>
      <c r="K80" s="40" t="str" cm="1">
        <f t="array" ref="K80">IFERROR(_xlfn.LET(
_xlpm.CSVVal,_xlfn.XLOOKUP($A80,CSV!$A:$A,CSV!K:K,""),
_xlpm.MacVal,_xlfn.XLOOKUP($A80,Output_Mac!$A:$A,Output_Mac!K:K,""),
_xlpm.MyAuditVal,_xlfn.XLOOKUP($A80,My_Audit!$A:$A,My_Audit!J:J,""),
_xlfn.IFS(_xlpm.MyAuditVal&lt;&gt;"",UPPER(_xlpm.MyAuditVal),_xlpm.MacVal&lt;&gt;"",_xlpm.MacVal,_xlpm.CSVVal&lt;&gt;"",_xlpm.CSVVal
)),"")</f>
        <v/>
      </c>
      <c r="L80" s="40" t="str" cm="1">
        <f t="array" ref="L80">IFERROR(_xlfn.LET(
_xlpm.CSVVal,_xlfn.XLOOKUP($A80,CSV!$A:$A,CSV!P:P,""),
_xlpm.MacVal,_xlfn.XLOOKUP($A80,Output_Mac!$A:$A,Output_Mac!L:L,""),
_xlpm.MyAuditVal,_xlfn.XLOOKUP($A80,My_Audit!$A:$A,My_Audit!K:K,""),
_xlfn.IFS(_xlpm.MyAuditVal&lt;&gt;"",UPPER(_xlpm.MyAuditVal),_xlpm.MacVal&lt;&gt;"",_xlpm.MacVal,_xlpm.CSVVal&lt;&gt;"",_xlpm.CSVVal
)),"")</f>
        <v/>
      </c>
      <c r="M80" s="40" t="str" cm="1">
        <f t="array" ref="M80">IFERROR(_xlfn.LET(
_xlpm.CSVVal,_xlfn.XLOOKUP($A80,CSV!$A:$A,CSV!Q:Q,""),
_xlpm.MacVal,_xlfn.XLOOKUP($A80,Output_Mac!$A:$A,Output_Mac!M:M,""),
_xlpm.MyAuditVal,_xlfn.XLOOKUP($A80,My_Audit!$A:$A,My_Audit!L:L,""),
_xlfn.IFS(_xlpm.MyAuditVal&lt;&gt;"",UPPER(_xlpm.MyAuditVal),_xlpm.MacVal&lt;&gt;"",_xlpm.MacVal,_xlpm.CSVVal&lt;&gt;"",_xlpm.CSVVal
)),"")</f>
        <v/>
      </c>
      <c r="N80" s="40"/>
      <c r="O80" s="40" t="str">
        <f>_xlfn.LET(
    _xlpm.CSVVal, _xlfn.XLOOKUP($A80, CSV!$A:$A, CSV!AA:AA, ""),
    _xlpm.MacVal, _xlfn.XLOOKUP($A80, Output_Mac!$A:$A, Output_Mac!S:S, ""),
    _xlpm.MyAuditVal, _xlfn.XLOOKUP($A80, My_Audit!$A:$A, My_Audit!P:P, ""),
    _xlfn.TEXTJOIN(", ", TRUE, _xlpm.MyAuditVal, _xlpm.MacVal, _xlpm.CSVVal)
)</f>
        <v/>
      </c>
      <c r="P80" s="40" t="str" cm="1">
        <f t="array" ref="P80">IFERROR(_xlfn.LET(
_xlpm.CSVVal,_xlfn.XLOOKUP($A80,CSV!$A:$A,CSV!AB:AB,""),
_xlpm.MacVal,_xlfn.XLOOKUP($A80,Output_Mac!$A:$A,Output_Mac!T:T,""),
_xlpm.MyAuditVal,_xlfn.XLOOKUP($A80,My_Audit!$A:$A,My_Audit!Q:Q,""),
_xlfn.IFS(_xlpm.MyAuditVal&lt;&gt;"",UPPER(_xlpm.MyAuditVal),_xlpm.MacVal&lt;&gt;"",_xlpm.MacVal,_xlpm.CSVVal&lt;&gt;"",_xlpm.CSVVal
)),"No")</f>
        <v>No</v>
      </c>
      <c r="Q80" s="40" t="str" cm="1">
        <f t="array" ref="Q80">IFERROR(_xlfn.LET(
_xlpm.CSVVal,_xlfn.XLOOKUP($A80,CSV!$A:$A,CSV!AC:AC,""),
_xlpm.MacVal,_xlfn.XLOOKUP($A80,Output_Mac!$A:$A,Output_Mac!U:U,""),
_xlpm.MyAuditVal,_xlfn.XLOOKUP($A80,My_Audit!$A:$A,My_Audit!R:R,""),
_xlfn.IFS(_xlpm.MyAuditVal&lt;&gt;"",UPPER(_xlpm.MyAuditVal),_xlpm.MacVal&lt;&gt;"",_xlpm.MacVal,_xlpm.CSVVal&lt;&gt;"",_xlpm.CSVVal
)),"")</f>
        <v/>
      </c>
      <c r="R80" s="40"/>
      <c r="S80" s="40"/>
      <c r="T80" s="40"/>
      <c r="U80" s="40"/>
      <c r="V80" s="40"/>
      <c r="W80" s="40"/>
      <c r="X80" s="41" t="str">
        <f>_xlfn.LET(
    _xlpm.MacVal, _xlfn.XLOOKUP($A80, Output_Mac!$A:$A, Output_Mac!AB:AB, ""),
    _xlpm.MyAuditVal, _xlfn.XLOOKUP($A80, My_Audit!$A:$A, My_Audit!N:N, ""),
    _xlfn.TEXTJOIN(", ", TRUE, _xlpm.MyAuditVal, _xlpm.MacVal)
)</f>
        <v/>
      </c>
    </row>
    <row r="81" spans="1:24">
      <c r="A81" s="40" t="str">
        <f>_xlfn.TEXTJOIN("",TRUE,Input!$B$2,ROW(My_Audit!A80))</f>
        <v>X80</v>
      </c>
      <c r="B81" s="40" t="str">
        <f>_xlfn.TEXTJOIN("-",TRUE,"ITD",Input!$A$2,A81)</f>
        <v>ITD-X80</v>
      </c>
      <c r="C81" s="40" t="str" cm="1">
        <f t="array" ref="C81">IFERROR(_xlfn.LET(
_xlpm.CSVVal,_xlfn.XLOOKUP($A81,CSV!$A:$A,CSV!B:B,""),
_xlpm.MacVal,_xlfn.XLOOKUP($A81,Output_Mac!$A:$A,Output_Mac!B:B,""),
_xlpm.MyAuditVal,_xlfn.XLOOKUP($A81,My_Audit!$A:$A,My_Audit!B:B,""),
_xlfn.IFS(_xlpm.MyAuditVal&lt;&gt;"",UPPER(_xlpm.MyAuditVal),_xlpm.MacVal&lt;&gt;"",_xlpm.MacVal,_xlpm.CSVVal&lt;&gt;"",_xlpm.CSVVal
)),"")</f>
        <v/>
      </c>
      <c r="D81" s="40" t="str" cm="1">
        <f t="array" ref="D81">IFERROR(_xlfn.LET(
_xlpm.CSVVal,_xlfn.XLOOKUP($A81,CSV!$A:$A,CSV!D:D,""),
_xlpm.MacVal,_xlfn.XLOOKUP($A81,Output_Mac!$A:$A,Output_Mac!C:C,""),
_xlpm.MyAuditVal,_xlfn.XLOOKUP($A81,My_Audit!$A:$A,My_Audit!C:C,""),
_xlfn.IFS(_xlpm.MyAuditVal&lt;&gt;"",_xlpm.MyAuditVal,_xlpm.MacVal&lt;&gt;"",_xlpm.MacVal,_xlpm.CSVVal&lt;&gt;"",_xlpm.CSVVal
)),"")</f>
        <v/>
      </c>
      <c r="E81" s="40">
        <f>_xlfn.XLOOKUP(A81,My_Audit!A:A,My_Audit!D:D,"")</f>
        <v>0</v>
      </c>
      <c r="F81" s="40" t="str" cm="1">
        <f t="array" ref="F81">IFERROR(_xlfn.LET(
_xlpm.CSVVal,_xlfn.XLOOKUP($A81,CSV!$A:$A,CSV!F:F,""),
_xlpm.MacVal,_xlfn.XLOOKUP($A81,Output_Mac!$A:$A,Output_Mac!E:E,""),
_xlpm.MyAuditVal,_xlfn.XLOOKUP($A81,My_Audit!$A:$A,My_Audit!E:E,""),
_xlfn.IFS(_xlpm.MyAuditVal&lt;&gt;"",_xlpm.MyAuditVal,_xlpm.MacVal&lt;&gt;"",_xlpm.MacVal,_xlpm.CSVVal&lt;&gt;"",_xlpm.CSVVal
)),"")</f>
        <v/>
      </c>
      <c r="G81" s="40" t="str" cm="1">
        <f t="array" ref="G81">IFERROR(_xlfn.LET(
_xlpm.CSVVal,_xlfn.XLOOKUP($A81,CSV!$A:$A,CSV!G:G,""),
_xlpm.MacVal,_xlfn.XLOOKUP($A81,Output_Mac!$A:$A,Output_Mac!F:F,""),
_xlpm.MyAuditVal,_xlfn.XLOOKUP($A81,My_Audit!$A:$A,My_Audit!F:F,""),
_xlfn.IFS(_xlpm.MyAuditVal&lt;&gt;"",_xlpm.MyAuditVal,_xlpm.MacVal&lt;&gt;"",_xlpm.MacVal,_xlpm.CSVVal&lt;&gt;"",PROPER(_xlpm.CSVVal)
)),"")</f>
        <v/>
      </c>
      <c r="H81" s="40" t="str" cm="1">
        <f t="array" ref="H81">IFERROR(_xlfn.LET(
_xlpm.CSVVal,_xlfn.XLOOKUP($A81,CSV!$A:$A,CSV!H:H,""),
_xlpm.MacVal,_xlfn.XLOOKUP($A81,Output_Mac!$A:$A,Output_Mac!H:H,""),
_xlpm.MyAuditVal,_xlfn.XLOOKUP($A81,My_Audit!$A:$A,My_Audit!G:G,""),
_xlfn.IFS(_xlpm.MyAuditVal&lt;&gt;"",_xlpm.MyAuditVal,_xlpm.MacVal&lt;&gt;"",_xlpm.MacVal,_xlpm.CSVVal&lt;&gt;"",_xlpm.CSVVal
)),"")</f>
        <v/>
      </c>
      <c r="I81" s="40" t="str">
        <f>_xlfn.XLOOKUP(A81,Output_Mac!A:A,Output_Mac!I:I,"")</f>
        <v/>
      </c>
      <c r="J81" s="40" t="str" cm="1">
        <f t="array" ref="J81">IFERROR(_xlfn.LET(
_xlpm.CSVVal,_xlfn.XLOOKUP($A81,CSV!$A:$A,CSV!I:I,""),
_xlpm.MacVal,_xlfn.XLOOKUP($A81,Output_Mac!$A:$A,Output_Mac!J:J,""),
_xlpm.MyAuditVal,_xlfn.XLOOKUP($A81,My_Audit!$A:$A,My_Audit!I:I,""),
_xlfn.IFS(_xlpm.MyAuditVal&lt;&gt;"",UPPER(_xlpm.MyAuditVal),_xlpm.MacVal&lt;&gt;"",_xlpm.MacVal,_xlpm.CSVVal&lt;&gt;"",_xlpm.CSVVal
)),"")</f>
        <v/>
      </c>
      <c r="K81" s="40" t="str" cm="1">
        <f t="array" ref="K81">IFERROR(_xlfn.LET(
_xlpm.CSVVal,_xlfn.XLOOKUP($A81,CSV!$A:$A,CSV!K:K,""),
_xlpm.MacVal,_xlfn.XLOOKUP($A81,Output_Mac!$A:$A,Output_Mac!K:K,""),
_xlpm.MyAuditVal,_xlfn.XLOOKUP($A81,My_Audit!$A:$A,My_Audit!J:J,""),
_xlfn.IFS(_xlpm.MyAuditVal&lt;&gt;"",UPPER(_xlpm.MyAuditVal),_xlpm.MacVal&lt;&gt;"",_xlpm.MacVal,_xlpm.CSVVal&lt;&gt;"",_xlpm.CSVVal
)),"")</f>
        <v/>
      </c>
      <c r="L81" s="40" t="str" cm="1">
        <f t="array" ref="L81">IFERROR(_xlfn.LET(
_xlpm.CSVVal,_xlfn.XLOOKUP($A81,CSV!$A:$A,CSV!P:P,""),
_xlpm.MacVal,_xlfn.XLOOKUP($A81,Output_Mac!$A:$A,Output_Mac!L:L,""),
_xlpm.MyAuditVal,_xlfn.XLOOKUP($A81,My_Audit!$A:$A,My_Audit!K:K,""),
_xlfn.IFS(_xlpm.MyAuditVal&lt;&gt;"",UPPER(_xlpm.MyAuditVal),_xlpm.MacVal&lt;&gt;"",_xlpm.MacVal,_xlpm.CSVVal&lt;&gt;"",_xlpm.CSVVal
)),"")</f>
        <v/>
      </c>
      <c r="M81" s="40" t="str" cm="1">
        <f t="array" ref="M81">IFERROR(_xlfn.LET(
_xlpm.CSVVal,_xlfn.XLOOKUP($A81,CSV!$A:$A,CSV!Q:Q,""),
_xlpm.MacVal,_xlfn.XLOOKUP($A81,Output_Mac!$A:$A,Output_Mac!M:M,""),
_xlpm.MyAuditVal,_xlfn.XLOOKUP($A81,My_Audit!$A:$A,My_Audit!L:L,""),
_xlfn.IFS(_xlpm.MyAuditVal&lt;&gt;"",UPPER(_xlpm.MyAuditVal),_xlpm.MacVal&lt;&gt;"",_xlpm.MacVal,_xlpm.CSVVal&lt;&gt;"",_xlpm.CSVVal
)),"")</f>
        <v/>
      </c>
      <c r="N81" s="40"/>
      <c r="O81" s="40" t="str">
        <f>_xlfn.LET(
    _xlpm.CSVVal, _xlfn.XLOOKUP($A81, CSV!$A:$A, CSV!AA:AA, ""),
    _xlpm.MacVal, _xlfn.XLOOKUP($A81, Output_Mac!$A:$A, Output_Mac!S:S, ""),
    _xlpm.MyAuditVal, _xlfn.XLOOKUP($A81, My_Audit!$A:$A, My_Audit!P:P, ""),
    _xlfn.TEXTJOIN(", ", TRUE, _xlpm.MyAuditVal, _xlpm.MacVal, _xlpm.CSVVal)
)</f>
        <v/>
      </c>
      <c r="P81" s="40" t="str" cm="1">
        <f t="array" ref="P81">IFERROR(_xlfn.LET(
_xlpm.CSVVal,_xlfn.XLOOKUP($A81,CSV!$A:$A,CSV!AB:AB,""),
_xlpm.MacVal,_xlfn.XLOOKUP($A81,Output_Mac!$A:$A,Output_Mac!T:T,""),
_xlpm.MyAuditVal,_xlfn.XLOOKUP($A81,My_Audit!$A:$A,My_Audit!Q:Q,""),
_xlfn.IFS(_xlpm.MyAuditVal&lt;&gt;"",UPPER(_xlpm.MyAuditVal),_xlpm.MacVal&lt;&gt;"",_xlpm.MacVal,_xlpm.CSVVal&lt;&gt;"",_xlpm.CSVVal
)),"No")</f>
        <v>No</v>
      </c>
      <c r="Q81" s="40" t="str" cm="1">
        <f t="array" ref="Q81">IFERROR(_xlfn.LET(
_xlpm.CSVVal,_xlfn.XLOOKUP($A81,CSV!$A:$A,CSV!AC:AC,""),
_xlpm.MacVal,_xlfn.XLOOKUP($A81,Output_Mac!$A:$A,Output_Mac!U:U,""),
_xlpm.MyAuditVal,_xlfn.XLOOKUP($A81,My_Audit!$A:$A,My_Audit!R:R,""),
_xlfn.IFS(_xlpm.MyAuditVal&lt;&gt;"",UPPER(_xlpm.MyAuditVal),_xlpm.MacVal&lt;&gt;"",_xlpm.MacVal,_xlpm.CSVVal&lt;&gt;"",_xlpm.CSVVal
)),"")</f>
        <v/>
      </c>
      <c r="R81" s="40"/>
      <c r="S81" s="40"/>
      <c r="T81" s="40"/>
      <c r="U81" s="40"/>
      <c r="V81" s="40"/>
      <c r="W81" s="40"/>
      <c r="X81" s="41" t="str">
        <f>_xlfn.LET(
    _xlpm.MacVal, _xlfn.XLOOKUP($A81, Output_Mac!$A:$A, Output_Mac!AB:AB, ""),
    _xlpm.MyAuditVal, _xlfn.XLOOKUP($A81, My_Audit!$A:$A, My_Audit!N:N, ""),
    _xlfn.TEXTJOIN(", ", TRUE, _xlpm.MyAuditVal, _xlpm.MacVal)
)</f>
        <v/>
      </c>
    </row>
    <row r="82" spans="1:24">
      <c r="A82" s="40" t="str">
        <f>_xlfn.TEXTJOIN("",TRUE,Input!$B$2,ROW(My_Audit!A81))</f>
        <v>X81</v>
      </c>
      <c r="B82" s="40" t="str">
        <f>_xlfn.TEXTJOIN("-",TRUE,"ITD",Input!$A$2,A82)</f>
        <v>ITD-X81</v>
      </c>
      <c r="C82" s="40" t="str" cm="1">
        <f t="array" ref="C82">IFERROR(_xlfn.LET(
_xlpm.CSVVal,_xlfn.XLOOKUP($A82,CSV!$A:$A,CSV!B:B,""),
_xlpm.MacVal,_xlfn.XLOOKUP($A82,Output_Mac!$A:$A,Output_Mac!B:B,""),
_xlpm.MyAuditVal,_xlfn.XLOOKUP($A82,My_Audit!$A:$A,My_Audit!B:B,""),
_xlfn.IFS(_xlpm.MyAuditVal&lt;&gt;"",UPPER(_xlpm.MyAuditVal),_xlpm.MacVal&lt;&gt;"",_xlpm.MacVal,_xlpm.CSVVal&lt;&gt;"",_xlpm.CSVVal
)),"")</f>
        <v/>
      </c>
      <c r="D82" s="40" t="str" cm="1">
        <f t="array" ref="D82">IFERROR(_xlfn.LET(
_xlpm.CSVVal,_xlfn.XLOOKUP($A82,CSV!$A:$A,CSV!D:D,""),
_xlpm.MacVal,_xlfn.XLOOKUP($A82,Output_Mac!$A:$A,Output_Mac!C:C,""),
_xlpm.MyAuditVal,_xlfn.XLOOKUP($A82,My_Audit!$A:$A,My_Audit!C:C,""),
_xlfn.IFS(_xlpm.MyAuditVal&lt;&gt;"",_xlpm.MyAuditVal,_xlpm.MacVal&lt;&gt;"",_xlpm.MacVal,_xlpm.CSVVal&lt;&gt;"",_xlpm.CSVVal
)),"")</f>
        <v/>
      </c>
      <c r="E82" s="40">
        <f>_xlfn.XLOOKUP(A82,My_Audit!A:A,My_Audit!D:D,"")</f>
        <v>0</v>
      </c>
      <c r="F82" s="40" t="str" cm="1">
        <f t="array" ref="F82">IFERROR(_xlfn.LET(
_xlpm.CSVVal,_xlfn.XLOOKUP($A82,CSV!$A:$A,CSV!F:F,""),
_xlpm.MacVal,_xlfn.XLOOKUP($A82,Output_Mac!$A:$A,Output_Mac!E:E,""),
_xlpm.MyAuditVal,_xlfn.XLOOKUP($A82,My_Audit!$A:$A,My_Audit!E:E,""),
_xlfn.IFS(_xlpm.MyAuditVal&lt;&gt;"",_xlpm.MyAuditVal,_xlpm.MacVal&lt;&gt;"",_xlpm.MacVal,_xlpm.CSVVal&lt;&gt;"",_xlpm.CSVVal
)),"")</f>
        <v/>
      </c>
      <c r="G82" s="40" t="str" cm="1">
        <f t="array" ref="G82">IFERROR(_xlfn.LET(
_xlpm.CSVVal,_xlfn.XLOOKUP($A82,CSV!$A:$A,CSV!G:G,""),
_xlpm.MacVal,_xlfn.XLOOKUP($A82,Output_Mac!$A:$A,Output_Mac!F:F,""),
_xlpm.MyAuditVal,_xlfn.XLOOKUP($A82,My_Audit!$A:$A,My_Audit!F:F,""),
_xlfn.IFS(_xlpm.MyAuditVal&lt;&gt;"",_xlpm.MyAuditVal,_xlpm.MacVal&lt;&gt;"",_xlpm.MacVal,_xlpm.CSVVal&lt;&gt;"",PROPER(_xlpm.CSVVal)
)),"")</f>
        <v/>
      </c>
      <c r="H82" s="40" t="str" cm="1">
        <f t="array" ref="H82">IFERROR(_xlfn.LET(
_xlpm.CSVVal,_xlfn.XLOOKUP($A82,CSV!$A:$A,CSV!H:H,""),
_xlpm.MacVal,_xlfn.XLOOKUP($A82,Output_Mac!$A:$A,Output_Mac!H:H,""),
_xlpm.MyAuditVal,_xlfn.XLOOKUP($A82,My_Audit!$A:$A,My_Audit!G:G,""),
_xlfn.IFS(_xlpm.MyAuditVal&lt;&gt;"",_xlpm.MyAuditVal,_xlpm.MacVal&lt;&gt;"",_xlpm.MacVal,_xlpm.CSVVal&lt;&gt;"",_xlpm.CSVVal
)),"")</f>
        <v/>
      </c>
      <c r="I82" s="40" t="str">
        <f>_xlfn.XLOOKUP(A82,Output_Mac!A:A,Output_Mac!I:I,"")</f>
        <v/>
      </c>
      <c r="J82" s="40" t="str" cm="1">
        <f t="array" ref="J82">IFERROR(_xlfn.LET(
_xlpm.CSVVal,_xlfn.XLOOKUP($A82,CSV!$A:$A,CSV!I:I,""),
_xlpm.MacVal,_xlfn.XLOOKUP($A82,Output_Mac!$A:$A,Output_Mac!J:J,""),
_xlpm.MyAuditVal,_xlfn.XLOOKUP($A82,My_Audit!$A:$A,My_Audit!I:I,""),
_xlfn.IFS(_xlpm.MyAuditVal&lt;&gt;"",UPPER(_xlpm.MyAuditVal),_xlpm.MacVal&lt;&gt;"",_xlpm.MacVal,_xlpm.CSVVal&lt;&gt;"",_xlpm.CSVVal
)),"")</f>
        <v/>
      </c>
      <c r="K82" s="40" t="str" cm="1">
        <f t="array" ref="K82">IFERROR(_xlfn.LET(
_xlpm.CSVVal,_xlfn.XLOOKUP($A82,CSV!$A:$A,CSV!K:K,""),
_xlpm.MacVal,_xlfn.XLOOKUP($A82,Output_Mac!$A:$A,Output_Mac!K:K,""),
_xlpm.MyAuditVal,_xlfn.XLOOKUP($A82,My_Audit!$A:$A,My_Audit!J:J,""),
_xlfn.IFS(_xlpm.MyAuditVal&lt;&gt;"",UPPER(_xlpm.MyAuditVal),_xlpm.MacVal&lt;&gt;"",_xlpm.MacVal,_xlpm.CSVVal&lt;&gt;"",_xlpm.CSVVal
)),"")</f>
        <v/>
      </c>
      <c r="L82" s="40" t="str" cm="1">
        <f t="array" ref="L82">IFERROR(_xlfn.LET(
_xlpm.CSVVal,_xlfn.XLOOKUP($A82,CSV!$A:$A,CSV!P:P,""),
_xlpm.MacVal,_xlfn.XLOOKUP($A82,Output_Mac!$A:$A,Output_Mac!L:L,""),
_xlpm.MyAuditVal,_xlfn.XLOOKUP($A82,My_Audit!$A:$A,My_Audit!K:K,""),
_xlfn.IFS(_xlpm.MyAuditVal&lt;&gt;"",UPPER(_xlpm.MyAuditVal),_xlpm.MacVal&lt;&gt;"",_xlpm.MacVal,_xlpm.CSVVal&lt;&gt;"",_xlpm.CSVVal
)),"")</f>
        <v/>
      </c>
      <c r="M82" s="40" t="str" cm="1">
        <f t="array" ref="M82">IFERROR(_xlfn.LET(
_xlpm.CSVVal,_xlfn.XLOOKUP($A82,CSV!$A:$A,CSV!Q:Q,""),
_xlpm.MacVal,_xlfn.XLOOKUP($A82,Output_Mac!$A:$A,Output_Mac!M:M,""),
_xlpm.MyAuditVal,_xlfn.XLOOKUP($A82,My_Audit!$A:$A,My_Audit!L:L,""),
_xlfn.IFS(_xlpm.MyAuditVal&lt;&gt;"",UPPER(_xlpm.MyAuditVal),_xlpm.MacVal&lt;&gt;"",_xlpm.MacVal,_xlpm.CSVVal&lt;&gt;"",_xlpm.CSVVal
)),"")</f>
        <v/>
      </c>
      <c r="N82" s="40"/>
      <c r="O82" s="40" t="str">
        <f>_xlfn.LET(
    _xlpm.CSVVal, _xlfn.XLOOKUP($A82, CSV!$A:$A, CSV!AA:AA, ""),
    _xlpm.MacVal, _xlfn.XLOOKUP($A82, Output_Mac!$A:$A, Output_Mac!S:S, ""),
    _xlpm.MyAuditVal, _xlfn.XLOOKUP($A82, My_Audit!$A:$A, My_Audit!P:P, ""),
    _xlfn.TEXTJOIN(", ", TRUE, _xlpm.MyAuditVal, _xlpm.MacVal, _xlpm.CSVVal)
)</f>
        <v/>
      </c>
      <c r="P82" s="40" t="str" cm="1">
        <f t="array" ref="P82">IFERROR(_xlfn.LET(
_xlpm.CSVVal,_xlfn.XLOOKUP($A82,CSV!$A:$A,CSV!AB:AB,""),
_xlpm.MacVal,_xlfn.XLOOKUP($A82,Output_Mac!$A:$A,Output_Mac!T:T,""),
_xlpm.MyAuditVal,_xlfn.XLOOKUP($A82,My_Audit!$A:$A,My_Audit!Q:Q,""),
_xlfn.IFS(_xlpm.MyAuditVal&lt;&gt;"",UPPER(_xlpm.MyAuditVal),_xlpm.MacVal&lt;&gt;"",_xlpm.MacVal,_xlpm.CSVVal&lt;&gt;"",_xlpm.CSVVal
)),"No")</f>
        <v>No</v>
      </c>
      <c r="Q82" s="40" t="str" cm="1">
        <f t="array" ref="Q82">IFERROR(_xlfn.LET(
_xlpm.CSVVal,_xlfn.XLOOKUP($A82,CSV!$A:$A,CSV!AC:AC,""),
_xlpm.MacVal,_xlfn.XLOOKUP($A82,Output_Mac!$A:$A,Output_Mac!U:U,""),
_xlpm.MyAuditVal,_xlfn.XLOOKUP($A82,My_Audit!$A:$A,My_Audit!R:R,""),
_xlfn.IFS(_xlpm.MyAuditVal&lt;&gt;"",UPPER(_xlpm.MyAuditVal),_xlpm.MacVal&lt;&gt;"",_xlpm.MacVal,_xlpm.CSVVal&lt;&gt;"",_xlpm.CSVVal
)),"")</f>
        <v/>
      </c>
      <c r="R82" s="40"/>
      <c r="S82" s="40"/>
      <c r="T82" s="40"/>
      <c r="U82" s="40"/>
      <c r="V82" s="40"/>
      <c r="W82" s="40"/>
      <c r="X82" s="41" t="str">
        <f>_xlfn.LET(
    _xlpm.MacVal, _xlfn.XLOOKUP($A82, Output_Mac!$A:$A, Output_Mac!AB:AB, ""),
    _xlpm.MyAuditVal, _xlfn.XLOOKUP($A82, My_Audit!$A:$A, My_Audit!N:N, ""),
    _xlfn.TEXTJOIN(", ", TRUE, _xlpm.MyAuditVal, _xlpm.MacVal)
)</f>
        <v/>
      </c>
    </row>
    <row r="83" spans="1:24">
      <c r="A83" s="40" t="str">
        <f>_xlfn.TEXTJOIN("",TRUE,Input!$B$2,ROW(My_Audit!A82))</f>
        <v>X82</v>
      </c>
      <c r="B83" s="40" t="str">
        <f>_xlfn.TEXTJOIN("-",TRUE,"ITD",Input!$A$2,A83)</f>
        <v>ITD-X82</v>
      </c>
      <c r="C83" s="40" t="str" cm="1">
        <f t="array" ref="C83">IFERROR(_xlfn.LET(
_xlpm.CSVVal,_xlfn.XLOOKUP($A83,CSV!$A:$A,CSV!B:B,""),
_xlpm.MacVal,_xlfn.XLOOKUP($A83,Output_Mac!$A:$A,Output_Mac!B:B,""),
_xlpm.MyAuditVal,_xlfn.XLOOKUP($A83,My_Audit!$A:$A,My_Audit!B:B,""),
_xlfn.IFS(_xlpm.MyAuditVal&lt;&gt;"",UPPER(_xlpm.MyAuditVal),_xlpm.MacVal&lt;&gt;"",_xlpm.MacVal,_xlpm.CSVVal&lt;&gt;"",_xlpm.CSVVal
)),"")</f>
        <v/>
      </c>
      <c r="D83" s="40" t="str" cm="1">
        <f t="array" ref="D83">IFERROR(_xlfn.LET(
_xlpm.CSVVal,_xlfn.XLOOKUP($A83,CSV!$A:$A,CSV!D:D,""),
_xlpm.MacVal,_xlfn.XLOOKUP($A83,Output_Mac!$A:$A,Output_Mac!C:C,""),
_xlpm.MyAuditVal,_xlfn.XLOOKUP($A83,My_Audit!$A:$A,My_Audit!C:C,""),
_xlfn.IFS(_xlpm.MyAuditVal&lt;&gt;"",_xlpm.MyAuditVal,_xlpm.MacVal&lt;&gt;"",_xlpm.MacVal,_xlpm.CSVVal&lt;&gt;"",_xlpm.CSVVal
)),"")</f>
        <v/>
      </c>
      <c r="E83" s="40">
        <f>_xlfn.XLOOKUP(A83,My_Audit!A:A,My_Audit!D:D,"")</f>
        <v>0</v>
      </c>
      <c r="F83" s="40" t="str" cm="1">
        <f t="array" ref="F83">IFERROR(_xlfn.LET(
_xlpm.CSVVal,_xlfn.XLOOKUP($A83,CSV!$A:$A,CSV!F:F,""),
_xlpm.MacVal,_xlfn.XLOOKUP($A83,Output_Mac!$A:$A,Output_Mac!E:E,""),
_xlpm.MyAuditVal,_xlfn.XLOOKUP($A83,My_Audit!$A:$A,My_Audit!E:E,""),
_xlfn.IFS(_xlpm.MyAuditVal&lt;&gt;"",_xlpm.MyAuditVal,_xlpm.MacVal&lt;&gt;"",_xlpm.MacVal,_xlpm.CSVVal&lt;&gt;"",_xlpm.CSVVal
)),"")</f>
        <v/>
      </c>
      <c r="G83" s="40" t="str" cm="1">
        <f t="array" ref="G83">IFERROR(_xlfn.LET(
_xlpm.CSVVal,_xlfn.XLOOKUP($A83,CSV!$A:$A,CSV!G:G,""),
_xlpm.MacVal,_xlfn.XLOOKUP($A83,Output_Mac!$A:$A,Output_Mac!F:F,""),
_xlpm.MyAuditVal,_xlfn.XLOOKUP($A83,My_Audit!$A:$A,My_Audit!F:F,""),
_xlfn.IFS(_xlpm.MyAuditVal&lt;&gt;"",_xlpm.MyAuditVal,_xlpm.MacVal&lt;&gt;"",_xlpm.MacVal,_xlpm.CSVVal&lt;&gt;"",PROPER(_xlpm.CSVVal)
)),"")</f>
        <v/>
      </c>
      <c r="H83" s="40" t="str" cm="1">
        <f t="array" ref="H83">IFERROR(_xlfn.LET(
_xlpm.CSVVal,_xlfn.XLOOKUP($A83,CSV!$A:$A,CSV!H:H,""),
_xlpm.MacVal,_xlfn.XLOOKUP($A83,Output_Mac!$A:$A,Output_Mac!H:H,""),
_xlpm.MyAuditVal,_xlfn.XLOOKUP($A83,My_Audit!$A:$A,My_Audit!G:G,""),
_xlfn.IFS(_xlpm.MyAuditVal&lt;&gt;"",_xlpm.MyAuditVal,_xlpm.MacVal&lt;&gt;"",_xlpm.MacVal,_xlpm.CSVVal&lt;&gt;"",_xlpm.CSVVal
)),"")</f>
        <v/>
      </c>
      <c r="I83" s="40" t="str">
        <f>_xlfn.XLOOKUP(A83,Output_Mac!A:A,Output_Mac!I:I,"")</f>
        <v/>
      </c>
      <c r="J83" s="40" t="str" cm="1">
        <f t="array" ref="J83">IFERROR(_xlfn.LET(
_xlpm.CSVVal,_xlfn.XLOOKUP($A83,CSV!$A:$A,CSV!I:I,""),
_xlpm.MacVal,_xlfn.XLOOKUP($A83,Output_Mac!$A:$A,Output_Mac!J:J,""),
_xlpm.MyAuditVal,_xlfn.XLOOKUP($A83,My_Audit!$A:$A,My_Audit!I:I,""),
_xlfn.IFS(_xlpm.MyAuditVal&lt;&gt;"",UPPER(_xlpm.MyAuditVal),_xlpm.MacVal&lt;&gt;"",_xlpm.MacVal,_xlpm.CSVVal&lt;&gt;"",_xlpm.CSVVal
)),"")</f>
        <v/>
      </c>
      <c r="K83" s="40" t="str" cm="1">
        <f t="array" ref="K83">IFERROR(_xlfn.LET(
_xlpm.CSVVal,_xlfn.XLOOKUP($A83,CSV!$A:$A,CSV!K:K,""),
_xlpm.MacVal,_xlfn.XLOOKUP($A83,Output_Mac!$A:$A,Output_Mac!K:K,""),
_xlpm.MyAuditVal,_xlfn.XLOOKUP($A83,My_Audit!$A:$A,My_Audit!J:J,""),
_xlfn.IFS(_xlpm.MyAuditVal&lt;&gt;"",UPPER(_xlpm.MyAuditVal),_xlpm.MacVal&lt;&gt;"",_xlpm.MacVal,_xlpm.CSVVal&lt;&gt;"",_xlpm.CSVVal
)),"")</f>
        <v/>
      </c>
      <c r="L83" s="40" t="str" cm="1">
        <f t="array" ref="L83">IFERROR(_xlfn.LET(
_xlpm.CSVVal,_xlfn.XLOOKUP($A83,CSV!$A:$A,CSV!P:P,""),
_xlpm.MacVal,_xlfn.XLOOKUP($A83,Output_Mac!$A:$A,Output_Mac!L:L,""),
_xlpm.MyAuditVal,_xlfn.XLOOKUP($A83,My_Audit!$A:$A,My_Audit!K:K,""),
_xlfn.IFS(_xlpm.MyAuditVal&lt;&gt;"",UPPER(_xlpm.MyAuditVal),_xlpm.MacVal&lt;&gt;"",_xlpm.MacVal,_xlpm.CSVVal&lt;&gt;"",_xlpm.CSVVal
)),"")</f>
        <v/>
      </c>
      <c r="M83" s="40" t="str" cm="1">
        <f t="array" ref="M83">IFERROR(_xlfn.LET(
_xlpm.CSVVal,_xlfn.XLOOKUP($A83,CSV!$A:$A,CSV!Q:Q,""),
_xlpm.MacVal,_xlfn.XLOOKUP($A83,Output_Mac!$A:$A,Output_Mac!M:M,""),
_xlpm.MyAuditVal,_xlfn.XLOOKUP($A83,My_Audit!$A:$A,My_Audit!L:L,""),
_xlfn.IFS(_xlpm.MyAuditVal&lt;&gt;"",UPPER(_xlpm.MyAuditVal),_xlpm.MacVal&lt;&gt;"",_xlpm.MacVal,_xlpm.CSVVal&lt;&gt;"",_xlpm.CSVVal
)),"")</f>
        <v/>
      </c>
      <c r="N83" s="40"/>
      <c r="O83" s="40" t="str">
        <f>_xlfn.LET(
    _xlpm.CSVVal, _xlfn.XLOOKUP($A83, CSV!$A:$A, CSV!AA:AA, ""),
    _xlpm.MacVal, _xlfn.XLOOKUP($A83, Output_Mac!$A:$A, Output_Mac!S:S, ""),
    _xlpm.MyAuditVal, _xlfn.XLOOKUP($A83, My_Audit!$A:$A, My_Audit!P:P, ""),
    _xlfn.TEXTJOIN(", ", TRUE, _xlpm.MyAuditVal, _xlpm.MacVal, _xlpm.CSVVal)
)</f>
        <v/>
      </c>
      <c r="P83" s="40" t="str" cm="1">
        <f t="array" ref="P83">IFERROR(_xlfn.LET(
_xlpm.CSVVal,_xlfn.XLOOKUP($A83,CSV!$A:$A,CSV!AB:AB,""),
_xlpm.MacVal,_xlfn.XLOOKUP($A83,Output_Mac!$A:$A,Output_Mac!T:T,""),
_xlpm.MyAuditVal,_xlfn.XLOOKUP($A83,My_Audit!$A:$A,My_Audit!Q:Q,""),
_xlfn.IFS(_xlpm.MyAuditVal&lt;&gt;"",UPPER(_xlpm.MyAuditVal),_xlpm.MacVal&lt;&gt;"",_xlpm.MacVal,_xlpm.CSVVal&lt;&gt;"",_xlpm.CSVVal
)),"No")</f>
        <v>No</v>
      </c>
      <c r="Q83" s="40" t="str" cm="1">
        <f t="array" ref="Q83">IFERROR(_xlfn.LET(
_xlpm.CSVVal,_xlfn.XLOOKUP($A83,CSV!$A:$A,CSV!AC:AC,""),
_xlpm.MacVal,_xlfn.XLOOKUP($A83,Output_Mac!$A:$A,Output_Mac!U:U,""),
_xlpm.MyAuditVal,_xlfn.XLOOKUP($A83,My_Audit!$A:$A,My_Audit!R:R,""),
_xlfn.IFS(_xlpm.MyAuditVal&lt;&gt;"",UPPER(_xlpm.MyAuditVal),_xlpm.MacVal&lt;&gt;"",_xlpm.MacVal,_xlpm.CSVVal&lt;&gt;"",_xlpm.CSVVal
)),"")</f>
        <v/>
      </c>
      <c r="R83" s="40"/>
      <c r="S83" s="40"/>
      <c r="T83" s="40"/>
      <c r="U83" s="40"/>
      <c r="V83" s="40"/>
      <c r="W83" s="40"/>
      <c r="X83" s="41" t="str">
        <f>_xlfn.LET(
    _xlpm.MacVal, _xlfn.XLOOKUP($A83, Output_Mac!$A:$A, Output_Mac!AB:AB, ""),
    _xlpm.MyAuditVal, _xlfn.XLOOKUP($A83, My_Audit!$A:$A, My_Audit!N:N, ""),
    _xlfn.TEXTJOIN(", ", TRUE, _xlpm.MyAuditVal, _xlpm.MacVal)
)</f>
        <v/>
      </c>
    </row>
    <row r="84" spans="1:24">
      <c r="A84" s="40" t="str">
        <f>_xlfn.TEXTJOIN("",TRUE,Input!$B$2,ROW(My_Audit!A83))</f>
        <v>X83</v>
      </c>
      <c r="B84" s="40" t="str">
        <f>_xlfn.TEXTJOIN("-",TRUE,"ITD",Input!$A$2,A84)</f>
        <v>ITD-X83</v>
      </c>
      <c r="C84" s="40" t="str" cm="1">
        <f t="array" ref="C84">IFERROR(_xlfn.LET(
_xlpm.CSVVal,_xlfn.XLOOKUP($A84,CSV!$A:$A,CSV!B:B,""),
_xlpm.MacVal,_xlfn.XLOOKUP($A84,Output_Mac!$A:$A,Output_Mac!B:B,""),
_xlpm.MyAuditVal,_xlfn.XLOOKUP($A84,My_Audit!$A:$A,My_Audit!B:B,""),
_xlfn.IFS(_xlpm.MyAuditVal&lt;&gt;"",UPPER(_xlpm.MyAuditVal),_xlpm.MacVal&lt;&gt;"",_xlpm.MacVal,_xlpm.CSVVal&lt;&gt;"",_xlpm.CSVVal
)),"")</f>
        <v/>
      </c>
      <c r="D84" s="40" t="str" cm="1">
        <f t="array" ref="D84">IFERROR(_xlfn.LET(
_xlpm.CSVVal,_xlfn.XLOOKUP($A84,CSV!$A:$A,CSV!D:D,""),
_xlpm.MacVal,_xlfn.XLOOKUP($A84,Output_Mac!$A:$A,Output_Mac!C:C,""),
_xlpm.MyAuditVal,_xlfn.XLOOKUP($A84,My_Audit!$A:$A,My_Audit!C:C,""),
_xlfn.IFS(_xlpm.MyAuditVal&lt;&gt;"",_xlpm.MyAuditVal,_xlpm.MacVal&lt;&gt;"",_xlpm.MacVal,_xlpm.CSVVal&lt;&gt;"",_xlpm.CSVVal
)),"")</f>
        <v/>
      </c>
      <c r="E84" s="40">
        <f>_xlfn.XLOOKUP(A84,My_Audit!A:A,My_Audit!D:D,"")</f>
        <v>0</v>
      </c>
      <c r="F84" s="40" t="str" cm="1">
        <f t="array" ref="F84">IFERROR(_xlfn.LET(
_xlpm.CSVVal,_xlfn.XLOOKUP($A84,CSV!$A:$A,CSV!F:F,""),
_xlpm.MacVal,_xlfn.XLOOKUP($A84,Output_Mac!$A:$A,Output_Mac!E:E,""),
_xlpm.MyAuditVal,_xlfn.XLOOKUP($A84,My_Audit!$A:$A,My_Audit!E:E,""),
_xlfn.IFS(_xlpm.MyAuditVal&lt;&gt;"",_xlpm.MyAuditVal,_xlpm.MacVal&lt;&gt;"",_xlpm.MacVal,_xlpm.CSVVal&lt;&gt;"",_xlpm.CSVVal
)),"")</f>
        <v/>
      </c>
      <c r="G84" s="40" t="str" cm="1">
        <f t="array" ref="G84">IFERROR(_xlfn.LET(
_xlpm.CSVVal,_xlfn.XLOOKUP($A84,CSV!$A:$A,CSV!G:G,""),
_xlpm.MacVal,_xlfn.XLOOKUP($A84,Output_Mac!$A:$A,Output_Mac!F:F,""),
_xlpm.MyAuditVal,_xlfn.XLOOKUP($A84,My_Audit!$A:$A,My_Audit!F:F,""),
_xlfn.IFS(_xlpm.MyAuditVal&lt;&gt;"",_xlpm.MyAuditVal,_xlpm.MacVal&lt;&gt;"",_xlpm.MacVal,_xlpm.CSVVal&lt;&gt;"",PROPER(_xlpm.CSVVal)
)),"")</f>
        <v/>
      </c>
      <c r="H84" s="40" t="str" cm="1">
        <f t="array" ref="H84">IFERROR(_xlfn.LET(
_xlpm.CSVVal,_xlfn.XLOOKUP($A84,CSV!$A:$A,CSV!H:H,""),
_xlpm.MacVal,_xlfn.XLOOKUP($A84,Output_Mac!$A:$A,Output_Mac!H:H,""),
_xlpm.MyAuditVal,_xlfn.XLOOKUP($A84,My_Audit!$A:$A,My_Audit!G:G,""),
_xlfn.IFS(_xlpm.MyAuditVal&lt;&gt;"",_xlpm.MyAuditVal,_xlpm.MacVal&lt;&gt;"",_xlpm.MacVal,_xlpm.CSVVal&lt;&gt;"",_xlpm.CSVVal
)),"")</f>
        <v/>
      </c>
      <c r="I84" s="40" t="str">
        <f>_xlfn.XLOOKUP(A84,Output_Mac!A:A,Output_Mac!I:I,"")</f>
        <v/>
      </c>
      <c r="J84" s="40" t="str" cm="1">
        <f t="array" ref="J84">IFERROR(_xlfn.LET(
_xlpm.CSVVal,_xlfn.XLOOKUP($A84,CSV!$A:$A,CSV!I:I,""),
_xlpm.MacVal,_xlfn.XLOOKUP($A84,Output_Mac!$A:$A,Output_Mac!J:J,""),
_xlpm.MyAuditVal,_xlfn.XLOOKUP($A84,My_Audit!$A:$A,My_Audit!I:I,""),
_xlfn.IFS(_xlpm.MyAuditVal&lt;&gt;"",UPPER(_xlpm.MyAuditVal),_xlpm.MacVal&lt;&gt;"",_xlpm.MacVal,_xlpm.CSVVal&lt;&gt;"",_xlpm.CSVVal
)),"")</f>
        <v/>
      </c>
      <c r="K84" s="40" t="str" cm="1">
        <f t="array" ref="K84">IFERROR(_xlfn.LET(
_xlpm.CSVVal,_xlfn.XLOOKUP($A84,CSV!$A:$A,CSV!K:K,""),
_xlpm.MacVal,_xlfn.XLOOKUP($A84,Output_Mac!$A:$A,Output_Mac!K:K,""),
_xlpm.MyAuditVal,_xlfn.XLOOKUP($A84,My_Audit!$A:$A,My_Audit!J:J,""),
_xlfn.IFS(_xlpm.MyAuditVal&lt;&gt;"",UPPER(_xlpm.MyAuditVal),_xlpm.MacVal&lt;&gt;"",_xlpm.MacVal,_xlpm.CSVVal&lt;&gt;"",_xlpm.CSVVal
)),"")</f>
        <v/>
      </c>
      <c r="L84" s="40" t="str" cm="1">
        <f t="array" ref="L84">IFERROR(_xlfn.LET(
_xlpm.CSVVal,_xlfn.XLOOKUP($A84,CSV!$A:$A,CSV!P:P,""),
_xlpm.MacVal,_xlfn.XLOOKUP($A84,Output_Mac!$A:$A,Output_Mac!L:L,""),
_xlpm.MyAuditVal,_xlfn.XLOOKUP($A84,My_Audit!$A:$A,My_Audit!K:K,""),
_xlfn.IFS(_xlpm.MyAuditVal&lt;&gt;"",UPPER(_xlpm.MyAuditVal),_xlpm.MacVal&lt;&gt;"",_xlpm.MacVal,_xlpm.CSVVal&lt;&gt;"",_xlpm.CSVVal
)),"")</f>
        <v/>
      </c>
      <c r="M84" s="40" t="str" cm="1">
        <f t="array" ref="M84">IFERROR(_xlfn.LET(
_xlpm.CSVVal,_xlfn.XLOOKUP($A84,CSV!$A:$A,CSV!Q:Q,""),
_xlpm.MacVal,_xlfn.XLOOKUP($A84,Output_Mac!$A:$A,Output_Mac!M:M,""),
_xlpm.MyAuditVal,_xlfn.XLOOKUP($A84,My_Audit!$A:$A,My_Audit!L:L,""),
_xlfn.IFS(_xlpm.MyAuditVal&lt;&gt;"",UPPER(_xlpm.MyAuditVal),_xlpm.MacVal&lt;&gt;"",_xlpm.MacVal,_xlpm.CSVVal&lt;&gt;"",_xlpm.CSVVal
)),"")</f>
        <v/>
      </c>
      <c r="N84" s="40"/>
      <c r="O84" s="40" t="str">
        <f>_xlfn.LET(
    _xlpm.CSVVal, _xlfn.XLOOKUP($A84, CSV!$A:$A, CSV!AA:AA, ""),
    _xlpm.MacVal, _xlfn.XLOOKUP($A84, Output_Mac!$A:$A, Output_Mac!S:S, ""),
    _xlpm.MyAuditVal, _xlfn.XLOOKUP($A84, My_Audit!$A:$A, My_Audit!P:P, ""),
    _xlfn.TEXTJOIN(", ", TRUE, _xlpm.MyAuditVal, _xlpm.MacVal, _xlpm.CSVVal)
)</f>
        <v/>
      </c>
      <c r="P84" s="40" t="str" cm="1">
        <f t="array" ref="P84">IFERROR(_xlfn.LET(
_xlpm.CSVVal,_xlfn.XLOOKUP($A84,CSV!$A:$A,CSV!AB:AB,""),
_xlpm.MacVal,_xlfn.XLOOKUP($A84,Output_Mac!$A:$A,Output_Mac!T:T,""),
_xlpm.MyAuditVal,_xlfn.XLOOKUP($A84,My_Audit!$A:$A,My_Audit!Q:Q,""),
_xlfn.IFS(_xlpm.MyAuditVal&lt;&gt;"",UPPER(_xlpm.MyAuditVal),_xlpm.MacVal&lt;&gt;"",_xlpm.MacVal,_xlpm.CSVVal&lt;&gt;"",_xlpm.CSVVal
)),"No")</f>
        <v>No</v>
      </c>
      <c r="Q84" s="40" t="str" cm="1">
        <f t="array" ref="Q84">IFERROR(_xlfn.LET(
_xlpm.CSVVal,_xlfn.XLOOKUP($A84,CSV!$A:$A,CSV!AC:AC,""),
_xlpm.MacVal,_xlfn.XLOOKUP($A84,Output_Mac!$A:$A,Output_Mac!U:U,""),
_xlpm.MyAuditVal,_xlfn.XLOOKUP($A84,My_Audit!$A:$A,My_Audit!R:R,""),
_xlfn.IFS(_xlpm.MyAuditVal&lt;&gt;"",UPPER(_xlpm.MyAuditVal),_xlpm.MacVal&lt;&gt;"",_xlpm.MacVal,_xlpm.CSVVal&lt;&gt;"",_xlpm.CSVVal
)),"")</f>
        <v/>
      </c>
      <c r="R84" s="40"/>
      <c r="S84" s="40"/>
      <c r="T84" s="40"/>
      <c r="U84" s="40"/>
      <c r="V84" s="40"/>
      <c r="W84" s="40"/>
      <c r="X84" s="41" t="str">
        <f>_xlfn.LET(
    _xlpm.MacVal, _xlfn.XLOOKUP($A84, Output_Mac!$A:$A, Output_Mac!AB:AB, ""),
    _xlpm.MyAuditVal, _xlfn.XLOOKUP($A84, My_Audit!$A:$A, My_Audit!N:N, ""),
    _xlfn.TEXTJOIN(", ", TRUE, _xlpm.MyAuditVal, _xlpm.MacVal)
)</f>
        <v/>
      </c>
    </row>
    <row r="85" spans="1:24">
      <c r="A85" s="40" t="str">
        <f>_xlfn.TEXTJOIN("",TRUE,Input!$B$2,ROW(My_Audit!A84))</f>
        <v>X84</v>
      </c>
      <c r="B85" s="40" t="str">
        <f>_xlfn.TEXTJOIN("-",TRUE,"ITD",Input!$A$2,A85)</f>
        <v>ITD-X84</v>
      </c>
      <c r="C85" s="40" t="str" cm="1">
        <f t="array" ref="C85">IFERROR(_xlfn.LET(
_xlpm.CSVVal,_xlfn.XLOOKUP($A85,CSV!$A:$A,CSV!B:B,""),
_xlpm.MacVal,_xlfn.XLOOKUP($A85,Output_Mac!$A:$A,Output_Mac!B:B,""),
_xlpm.MyAuditVal,_xlfn.XLOOKUP($A85,My_Audit!$A:$A,My_Audit!B:B,""),
_xlfn.IFS(_xlpm.MyAuditVal&lt;&gt;"",UPPER(_xlpm.MyAuditVal),_xlpm.MacVal&lt;&gt;"",_xlpm.MacVal,_xlpm.CSVVal&lt;&gt;"",_xlpm.CSVVal
)),"")</f>
        <v/>
      </c>
      <c r="D85" s="40" t="str" cm="1">
        <f t="array" ref="D85">IFERROR(_xlfn.LET(
_xlpm.CSVVal,_xlfn.XLOOKUP($A85,CSV!$A:$A,CSV!D:D,""),
_xlpm.MacVal,_xlfn.XLOOKUP($A85,Output_Mac!$A:$A,Output_Mac!C:C,""),
_xlpm.MyAuditVal,_xlfn.XLOOKUP($A85,My_Audit!$A:$A,My_Audit!C:C,""),
_xlfn.IFS(_xlpm.MyAuditVal&lt;&gt;"",_xlpm.MyAuditVal,_xlpm.MacVal&lt;&gt;"",_xlpm.MacVal,_xlpm.CSVVal&lt;&gt;"",_xlpm.CSVVal
)),"")</f>
        <v/>
      </c>
      <c r="E85" s="40">
        <f>_xlfn.XLOOKUP(A85,My_Audit!A:A,My_Audit!D:D,"")</f>
        <v>0</v>
      </c>
      <c r="F85" s="40" t="str" cm="1">
        <f t="array" ref="F85">IFERROR(_xlfn.LET(
_xlpm.CSVVal,_xlfn.XLOOKUP($A85,CSV!$A:$A,CSV!F:F,""),
_xlpm.MacVal,_xlfn.XLOOKUP($A85,Output_Mac!$A:$A,Output_Mac!E:E,""),
_xlpm.MyAuditVal,_xlfn.XLOOKUP($A85,My_Audit!$A:$A,My_Audit!E:E,""),
_xlfn.IFS(_xlpm.MyAuditVal&lt;&gt;"",_xlpm.MyAuditVal,_xlpm.MacVal&lt;&gt;"",_xlpm.MacVal,_xlpm.CSVVal&lt;&gt;"",_xlpm.CSVVal
)),"")</f>
        <v/>
      </c>
      <c r="G85" s="40" t="str" cm="1">
        <f t="array" ref="G85">IFERROR(_xlfn.LET(
_xlpm.CSVVal,_xlfn.XLOOKUP($A85,CSV!$A:$A,CSV!G:G,""),
_xlpm.MacVal,_xlfn.XLOOKUP($A85,Output_Mac!$A:$A,Output_Mac!F:F,""),
_xlpm.MyAuditVal,_xlfn.XLOOKUP($A85,My_Audit!$A:$A,My_Audit!F:F,""),
_xlfn.IFS(_xlpm.MyAuditVal&lt;&gt;"",_xlpm.MyAuditVal,_xlpm.MacVal&lt;&gt;"",_xlpm.MacVal,_xlpm.CSVVal&lt;&gt;"",PROPER(_xlpm.CSVVal)
)),"")</f>
        <v/>
      </c>
      <c r="H85" s="40" t="str" cm="1">
        <f t="array" ref="H85">IFERROR(_xlfn.LET(
_xlpm.CSVVal,_xlfn.XLOOKUP($A85,CSV!$A:$A,CSV!H:H,""),
_xlpm.MacVal,_xlfn.XLOOKUP($A85,Output_Mac!$A:$A,Output_Mac!H:H,""),
_xlpm.MyAuditVal,_xlfn.XLOOKUP($A85,My_Audit!$A:$A,My_Audit!G:G,""),
_xlfn.IFS(_xlpm.MyAuditVal&lt;&gt;"",_xlpm.MyAuditVal,_xlpm.MacVal&lt;&gt;"",_xlpm.MacVal,_xlpm.CSVVal&lt;&gt;"",_xlpm.CSVVal
)),"")</f>
        <v/>
      </c>
      <c r="I85" s="40" t="str">
        <f>_xlfn.XLOOKUP(A85,Output_Mac!A:A,Output_Mac!I:I,"")</f>
        <v/>
      </c>
      <c r="J85" s="40" t="str" cm="1">
        <f t="array" ref="J85">IFERROR(_xlfn.LET(
_xlpm.CSVVal,_xlfn.XLOOKUP($A85,CSV!$A:$A,CSV!I:I,""),
_xlpm.MacVal,_xlfn.XLOOKUP($A85,Output_Mac!$A:$A,Output_Mac!J:J,""),
_xlpm.MyAuditVal,_xlfn.XLOOKUP($A85,My_Audit!$A:$A,My_Audit!I:I,""),
_xlfn.IFS(_xlpm.MyAuditVal&lt;&gt;"",UPPER(_xlpm.MyAuditVal),_xlpm.MacVal&lt;&gt;"",_xlpm.MacVal,_xlpm.CSVVal&lt;&gt;"",_xlpm.CSVVal
)),"")</f>
        <v/>
      </c>
      <c r="K85" s="40" t="str" cm="1">
        <f t="array" ref="K85">IFERROR(_xlfn.LET(
_xlpm.CSVVal,_xlfn.XLOOKUP($A85,CSV!$A:$A,CSV!K:K,""),
_xlpm.MacVal,_xlfn.XLOOKUP($A85,Output_Mac!$A:$A,Output_Mac!K:K,""),
_xlpm.MyAuditVal,_xlfn.XLOOKUP($A85,My_Audit!$A:$A,My_Audit!J:J,""),
_xlfn.IFS(_xlpm.MyAuditVal&lt;&gt;"",UPPER(_xlpm.MyAuditVal),_xlpm.MacVal&lt;&gt;"",_xlpm.MacVal,_xlpm.CSVVal&lt;&gt;"",_xlpm.CSVVal
)),"")</f>
        <v/>
      </c>
      <c r="L85" s="40" t="str" cm="1">
        <f t="array" ref="L85">IFERROR(_xlfn.LET(
_xlpm.CSVVal,_xlfn.XLOOKUP($A85,CSV!$A:$A,CSV!P:P,""),
_xlpm.MacVal,_xlfn.XLOOKUP($A85,Output_Mac!$A:$A,Output_Mac!L:L,""),
_xlpm.MyAuditVal,_xlfn.XLOOKUP($A85,My_Audit!$A:$A,My_Audit!K:K,""),
_xlfn.IFS(_xlpm.MyAuditVal&lt;&gt;"",UPPER(_xlpm.MyAuditVal),_xlpm.MacVal&lt;&gt;"",_xlpm.MacVal,_xlpm.CSVVal&lt;&gt;"",_xlpm.CSVVal
)),"")</f>
        <v/>
      </c>
      <c r="M85" s="40" t="str" cm="1">
        <f t="array" ref="M85">IFERROR(_xlfn.LET(
_xlpm.CSVVal,_xlfn.XLOOKUP($A85,CSV!$A:$A,CSV!Q:Q,""),
_xlpm.MacVal,_xlfn.XLOOKUP($A85,Output_Mac!$A:$A,Output_Mac!M:M,""),
_xlpm.MyAuditVal,_xlfn.XLOOKUP($A85,My_Audit!$A:$A,My_Audit!L:L,""),
_xlfn.IFS(_xlpm.MyAuditVal&lt;&gt;"",UPPER(_xlpm.MyAuditVal),_xlpm.MacVal&lt;&gt;"",_xlpm.MacVal,_xlpm.CSVVal&lt;&gt;"",_xlpm.CSVVal
)),"")</f>
        <v/>
      </c>
      <c r="N85" s="40"/>
      <c r="O85" s="40" t="str">
        <f>_xlfn.LET(
    _xlpm.CSVVal, _xlfn.XLOOKUP($A85, CSV!$A:$A, CSV!AA:AA, ""),
    _xlpm.MacVal, _xlfn.XLOOKUP($A85, Output_Mac!$A:$A, Output_Mac!S:S, ""),
    _xlpm.MyAuditVal, _xlfn.XLOOKUP($A85, My_Audit!$A:$A, My_Audit!P:P, ""),
    _xlfn.TEXTJOIN(", ", TRUE, _xlpm.MyAuditVal, _xlpm.MacVal, _xlpm.CSVVal)
)</f>
        <v/>
      </c>
      <c r="P85" s="40" t="str" cm="1">
        <f t="array" ref="P85">IFERROR(_xlfn.LET(
_xlpm.CSVVal,_xlfn.XLOOKUP($A85,CSV!$A:$A,CSV!AB:AB,""),
_xlpm.MacVal,_xlfn.XLOOKUP($A85,Output_Mac!$A:$A,Output_Mac!T:T,""),
_xlpm.MyAuditVal,_xlfn.XLOOKUP($A85,My_Audit!$A:$A,My_Audit!Q:Q,""),
_xlfn.IFS(_xlpm.MyAuditVal&lt;&gt;"",UPPER(_xlpm.MyAuditVal),_xlpm.MacVal&lt;&gt;"",_xlpm.MacVal,_xlpm.CSVVal&lt;&gt;"",_xlpm.CSVVal
)),"No")</f>
        <v>No</v>
      </c>
      <c r="Q85" s="40" t="str" cm="1">
        <f t="array" ref="Q85">IFERROR(_xlfn.LET(
_xlpm.CSVVal,_xlfn.XLOOKUP($A85,CSV!$A:$A,CSV!AC:AC,""),
_xlpm.MacVal,_xlfn.XLOOKUP($A85,Output_Mac!$A:$A,Output_Mac!U:U,""),
_xlpm.MyAuditVal,_xlfn.XLOOKUP($A85,My_Audit!$A:$A,My_Audit!R:R,""),
_xlfn.IFS(_xlpm.MyAuditVal&lt;&gt;"",UPPER(_xlpm.MyAuditVal),_xlpm.MacVal&lt;&gt;"",_xlpm.MacVal,_xlpm.CSVVal&lt;&gt;"",_xlpm.CSVVal
)),"")</f>
        <v/>
      </c>
      <c r="R85" s="40"/>
      <c r="S85" s="40"/>
      <c r="T85" s="40"/>
      <c r="U85" s="40"/>
      <c r="V85" s="40"/>
      <c r="W85" s="40"/>
      <c r="X85" s="41" t="str">
        <f>_xlfn.LET(
    _xlpm.MacVal, _xlfn.XLOOKUP($A85, Output_Mac!$A:$A, Output_Mac!AB:AB, ""),
    _xlpm.MyAuditVal, _xlfn.XLOOKUP($A85, My_Audit!$A:$A, My_Audit!N:N, ""),
    _xlfn.TEXTJOIN(", ", TRUE, _xlpm.MyAuditVal, _xlpm.MacVal)
)</f>
        <v/>
      </c>
    </row>
    <row r="86" spans="1:24">
      <c r="A86" s="40" t="str">
        <f>_xlfn.TEXTJOIN("",TRUE,Input!$B$2,ROW(My_Audit!A85))</f>
        <v>X85</v>
      </c>
      <c r="B86" s="40" t="str">
        <f>_xlfn.TEXTJOIN("-",TRUE,"ITD",Input!$A$2,A86)</f>
        <v>ITD-X85</v>
      </c>
      <c r="C86" s="40" t="str" cm="1">
        <f t="array" ref="C86">IFERROR(_xlfn.LET(
_xlpm.CSVVal,_xlfn.XLOOKUP($A86,CSV!$A:$A,CSV!B:B,""),
_xlpm.MacVal,_xlfn.XLOOKUP($A86,Output_Mac!$A:$A,Output_Mac!B:B,""),
_xlpm.MyAuditVal,_xlfn.XLOOKUP($A86,My_Audit!$A:$A,My_Audit!B:B,""),
_xlfn.IFS(_xlpm.MyAuditVal&lt;&gt;"",UPPER(_xlpm.MyAuditVal),_xlpm.MacVal&lt;&gt;"",_xlpm.MacVal,_xlpm.CSVVal&lt;&gt;"",_xlpm.CSVVal
)),"")</f>
        <v/>
      </c>
      <c r="D86" s="40" t="str" cm="1">
        <f t="array" ref="D86">IFERROR(_xlfn.LET(
_xlpm.CSVVal,_xlfn.XLOOKUP($A86,CSV!$A:$A,CSV!D:D,""),
_xlpm.MacVal,_xlfn.XLOOKUP($A86,Output_Mac!$A:$A,Output_Mac!C:C,""),
_xlpm.MyAuditVal,_xlfn.XLOOKUP($A86,My_Audit!$A:$A,My_Audit!C:C,""),
_xlfn.IFS(_xlpm.MyAuditVal&lt;&gt;"",_xlpm.MyAuditVal,_xlpm.MacVal&lt;&gt;"",_xlpm.MacVal,_xlpm.CSVVal&lt;&gt;"",_xlpm.CSVVal
)),"")</f>
        <v/>
      </c>
      <c r="E86" s="40">
        <f>_xlfn.XLOOKUP(A86,My_Audit!A:A,My_Audit!D:D,"")</f>
        <v>0</v>
      </c>
      <c r="F86" s="40" t="str" cm="1">
        <f t="array" ref="F86">IFERROR(_xlfn.LET(
_xlpm.CSVVal,_xlfn.XLOOKUP($A86,CSV!$A:$A,CSV!F:F,""),
_xlpm.MacVal,_xlfn.XLOOKUP($A86,Output_Mac!$A:$A,Output_Mac!E:E,""),
_xlpm.MyAuditVal,_xlfn.XLOOKUP($A86,My_Audit!$A:$A,My_Audit!E:E,""),
_xlfn.IFS(_xlpm.MyAuditVal&lt;&gt;"",_xlpm.MyAuditVal,_xlpm.MacVal&lt;&gt;"",_xlpm.MacVal,_xlpm.CSVVal&lt;&gt;"",_xlpm.CSVVal
)),"")</f>
        <v/>
      </c>
      <c r="G86" s="40" t="str" cm="1">
        <f t="array" ref="G86">IFERROR(_xlfn.LET(
_xlpm.CSVVal,_xlfn.XLOOKUP($A86,CSV!$A:$A,CSV!G:G,""),
_xlpm.MacVal,_xlfn.XLOOKUP($A86,Output_Mac!$A:$A,Output_Mac!F:F,""),
_xlpm.MyAuditVal,_xlfn.XLOOKUP($A86,My_Audit!$A:$A,My_Audit!F:F,""),
_xlfn.IFS(_xlpm.MyAuditVal&lt;&gt;"",_xlpm.MyAuditVal,_xlpm.MacVal&lt;&gt;"",_xlpm.MacVal,_xlpm.CSVVal&lt;&gt;"",PROPER(_xlpm.CSVVal)
)),"")</f>
        <v/>
      </c>
      <c r="H86" s="40" t="str" cm="1">
        <f t="array" ref="H86">IFERROR(_xlfn.LET(
_xlpm.CSVVal,_xlfn.XLOOKUP($A86,CSV!$A:$A,CSV!H:H,""),
_xlpm.MacVal,_xlfn.XLOOKUP($A86,Output_Mac!$A:$A,Output_Mac!H:H,""),
_xlpm.MyAuditVal,_xlfn.XLOOKUP($A86,My_Audit!$A:$A,My_Audit!G:G,""),
_xlfn.IFS(_xlpm.MyAuditVal&lt;&gt;"",_xlpm.MyAuditVal,_xlpm.MacVal&lt;&gt;"",_xlpm.MacVal,_xlpm.CSVVal&lt;&gt;"",_xlpm.CSVVal
)),"")</f>
        <v/>
      </c>
      <c r="I86" s="40" t="str">
        <f>_xlfn.XLOOKUP(A86,Output_Mac!A:A,Output_Mac!I:I,"")</f>
        <v/>
      </c>
      <c r="J86" s="40" t="str" cm="1">
        <f t="array" ref="J86">IFERROR(_xlfn.LET(
_xlpm.CSVVal,_xlfn.XLOOKUP($A86,CSV!$A:$A,CSV!I:I,""),
_xlpm.MacVal,_xlfn.XLOOKUP($A86,Output_Mac!$A:$A,Output_Mac!J:J,""),
_xlpm.MyAuditVal,_xlfn.XLOOKUP($A86,My_Audit!$A:$A,My_Audit!I:I,""),
_xlfn.IFS(_xlpm.MyAuditVal&lt;&gt;"",UPPER(_xlpm.MyAuditVal),_xlpm.MacVal&lt;&gt;"",_xlpm.MacVal,_xlpm.CSVVal&lt;&gt;"",_xlpm.CSVVal
)),"")</f>
        <v/>
      </c>
      <c r="K86" s="40" t="str" cm="1">
        <f t="array" ref="K86">IFERROR(_xlfn.LET(
_xlpm.CSVVal,_xlfn.XLOOKUP($A86,CSV!$A:$A,CSV!K:K,""),
_xlpm.MacVal,_xlfn.XLOOKUP($A86,Output_Mac!$A:$A,Output_Mac!K:K,""),
_xlpm.MyAuditVal,_xlfn.XLOOKUP($A86,My_Audit!$A:$A,My_Audit!J:J,""),
_xlfn.IFS(_xlpm.MyAuditVal&lt;&gt;"",UPPER(_xlpm.MyAuditVal),_xlpm.MacVal&lt;&gt;"",_xlpm.MacVal,_xlpm.CSVVal&lt;&gt;"",_xlpm.CSVVal
)),"")</f>
        <v/>
      </c>
      <c r="L86" s="40" t="str" cm="1">
        <f t="array" ref="L86">IFERROR(_xlfn.LET(
_xlpm.CSVVal,_xlfn.XLOOKUP($A86,CSV!$A:$A,CSV!P:P,""),
_xlpm.MacVal,_xlfn.XLOOKUP($A86,Output_Mac!$A:$A,Output_Mac!L:L,""),
_xlpm.MyAuditVal,_xlfn.XLOOKUP($A86,My_Audit!$A:$A,My_Audit!K:K,""),
_xlfn.IFS(_xlpm.MyAuditVal&lt;&gt;"",UPPER(_xlpm.MyAuditVal),_xlpm.MacVal&lt;&gt;"",_xlpm.MacVal,_xlpm.CSVVal&lt;&gt;"",_xlpm.CSVVal
)),"")</f>
        <v/>
      </c>
      <c r="M86" s="40" t="str" cm="1">
        <f t="array" ref="M86">IFERROR(_xlfn.LET(
_xlpm.CSVVal,_xlfn.XLOOKUP($A86,CSV!$A:$A,CSV!Q:Q,""),
_xlpm.MacVal,_xlfn.XLOOKUP($A86,Output_Mac!$A:$A,Output_Mac!M:M,""),
_xlpm.MyAuditVal,_xlfn.XLOOKUP($A86,My_Audit!$A:$A,My_Audit!L:L,""),
_xlfn.IFS(_xlpm.MyAuditVal&lt;&gt;"",UPPER(_xlpm.MyAuditVal),_xlpm.MacVal&lt;&gt;"",_xlpm.MacVal,_xlpm.CSVVal&lt;&gt;"",_xlpm.CSVVal
)),"")</f>
        <v/>
      </c>
      <c r="N86" s="40"/>
      <c r="O86" s="40" t="str">
        <f>_xlfn.LET(
    _xlpm.CSVVal, _xlfn.XLOOKUP($A86, CSV!$A:$A, CSV!AA:AA, ""),
    _xlpm.MacVal, _xlfn.XLOOKUP($A86, Output_Mac!$A:$A, Output_Mac!S:S, ""),
    _xlpm.MyAuditVal, _xlfn.XLOOKUP($A86, My_Audit!$A:$A, My_Audit!P:P, ""),
    _xlfn.TEXTJOIN(", ", TRUE, _xlpm.MyAuditVal, _xlpm.MacVal, _xlpm.CSVVal)
)</f>
        <v/>
      </c>
      <c r="P86" s="40" t="str" cm="1">
        <f t="array" ref="P86">IFERROR(_xlfn.LET(
_xlpm.CSVVal,_xlfn.XLOOKUP($A86,CSV!$A:$A,CSV!AB:AB,""),
_xlpm.MacVal,_xlfn.XLOOKUP($A86,Output_Mac!$A:$A,Output_Mac!T:T,""),
_xlpm.MyAuditVal,_xlfn.XLOOKUP($A86,My_Audit!$A:$A,My_Audit!Q:Q,""),
_xlfn.IFS(_xlpm.MyAuditVal&lt;&gt;"",UPPER(_xlpm.MyAuditVal),_xlpm.MacVal&lt;&gt;"",_xlpm.MacVal,_xlpm.CSVVal&lt;&gt;"",_xlpm.CSVVal
)),"No")</f>
        <v>No</v>
      </c>
      <c r="Q86" s="40" t="str" cm="1">
        <f t="array" ref="Q86">IFERROR(_xlfn.LET(
_xlpm.CSVVal,_xlfn.XLOOKUP($A86,CSV!$A:$A,CSV!AC:AC,""),
_xlpm.MacVal,_xlfn.XLOOKUP($A86,Output_Mac!$A:$A,Output_Mac!U:U,""),
_xlpm.MyAuditVal,_xlfn.XLOOKUP($A86,My_Audit!$A:$A,My_Audit!R:R,""),
_xlfn.IFS(_xlpm.MyAuditVal&lt;&gt;"",UPPER(_xlpm.MyAuditVal),_xlpm.MacVal&lt;&gt;"",_xlpm.MacVal,_xlpm.CSVVal&lt;&gt;"",_xlpm.CSVVal
)),"")</f>
        <v/>
      </c>
      <c r="R86" s="40"/>
      <c r="S86" s="40"/>
      <c r="T86" s="40"/>
      <c r="U86" s="40"/>
      <c r="V86" s="40"/>
      <c r="W86" s="40"/>
      <c r="X86" s="41" t="str">
        <f>_xlfn.LET(
    _xlpm.MacVal, _xlfn.XLOOKUP($A86, Output_Mac!$A:$A, Output_Mac!AB:AB, ""),
    _xlpm.MyAuditVal, _xlfn.XLOOKUP($A86, My_Audit!$A:$A, My_Audit!N:N, ""),
    _xlfn.TEXTJOIN(", ", TRUE, _xlpm.MyAuditVal, _xlpm.MacVal)
)</f>
        <v/>
      </c>
    </row>
    <row r="87" spans="1:24">
      <c r="A87" s="40" t="str">
        <f>_xlfn.TEXTJOIN("",TRUE,Input!$B$2,ROW(My_Audit!A86))</f>
        <v>X86</v>
      </c>
      <c r="B87" s="40" t="str">
        <f>_xlfn.TEXTJOIN("-",TRUE,"ITD",Input!$A$2,A87)</f>
        <v>ITD-X86</v>
      </c>
      <c r="C87" s="40" t="str" cm="1">
        <f t="array" ref="C87">IFERROR(_xlfn.LET(
_xlpm.CSVVal,_xlfn.XLOOKUP($A87,CSV!$A:$A,CSV!B:B,""),
_xlpm.MacVal,_xlfn.XLOOKUP($A87,Output_Mac!$A:$A,Output_Mac!B:B,""),
_xlpm.MyAuditVal,_xlfn.XLOOKUP($A87,My_Audit!$A:$A,My_Audit!B:B,""),
_xlfn.IFS(_xlpm.MyAuditVal&lt;&gt;"",UPPER(_xlpm.MyAuditVal),_xlpm.MacVal&lt;&gt;"",_xlpm.MacVal,_xlpm.CSVVal&lt;&gt;"",_xlpm.CSVVal
)),"")</f>
        <v/>
      </c>
      <c r="D87" s="40" t="str" cm="1">
        <f t="array" ref="D87">IFERROR(_xlfn.LET(
_xlpm.CSVVal,_xlfn.XLOOKUP($A87,CSV!$A:$A,CSV!D:D,""),
_xlpm.MacVal,_xlfn.XLOOKUP($A87,Output_Mac!$A:$A,Output_Mac!C:C,""),
_xlpm.MyAuditVal,_xlfn.XLOOKUP($A87,My_Audit!$A:$A,My_Audit!C:C,""),
_xlfn.IFS(_xlpm.MyAuditVal&lt;&gt;"",_xlpm.MyAuditVal,_xlpm.MacVal&lt;&gt;"",_xlpm.MacVal,_xlpm.CSVVal&lt;&gt;"",_xlpm.CSVVal
)),"")</f>
        <v/>
      </c>
      <c r="E87" s="40">
        <f>_xlfn.XLOOKUP(A87,My_Audit!A:A,My_Audit!D:D,"")</f>
        <v>0</v>
      </c>
      <c r="F87" s="40" t="str" cm="1">
        <f t="array" ref="F87">IFERROR(_xlfn.LET(
_xlpm.CSVVal,_xlfn.XLOOKUP($A87,CSV!$A:$A,CSV!F:F,""),
_xlpm.MacVal,_xlfn.XLOOKUP($A87,Output_Mac!$A:$A,Output_Mac!E:E,""),
_xlpm.MyAuditVal,_xlfn.XLOOKUP($A87,My_Audit!$A:$A,My_Audit!E:E,""),
_xlfn.IFS(_xlpm.MyAuditVal&lt;&gt;"",_xlpm.MyAuditVal,_xlpm.MacVal&lt;&gt;"",_xlpm.MacVal,_xlpm.CSVVal&lt;&gt;"",_xlpm.CSVVal
)),"")</f>
        <v/>
      </c>
      <c r="G87" s="40" t="str" cm="1">
        <f t="array" ref="G87">IFERROR(_xlfn.LET(
_xlpm.CSVVal,_xlfn.XLOOKUP($A87,CSV!$A:$A,CSV!G:G,""),
_xlpm.MacVal,_xlfn.XLOOKUP($A87,Output_Mac!$A:$A,Output_Mac!F:F,""),
_xlpm.MyAuditVal,_xlfn.XLOOKUP($A87,My_Audit!$A:$A,My_Audit!F:F,""),
_xlfn.IFS(_xlpm.MyAuditVal&lt;&gt;"",_xlpm.MyAuditVal,_xlpm.MacVal&lt;&gt;"",_xlpm.MacVal,_xlpm.CSVVal&lt;&gt;"",PROPER(_xlpm.CSVVal)
)),"")</f>
        <v/>
      </c>
      <c r="H87" s="40" t="str" cm="1">
        <f t="array" ref="H87">IFERROR(_xlfn.LET(
_xlpm.CSVVal,_xlfn.XLOOKUP($A87,CSV!$A:$A,CSV!H:H,""),
_xlpm.MacVal,_xlfn.XLOOKUP($A87,Output_Mac!$A:$A,Output_Mac!H:H,""),
_xlpm.MyAuditVal,_xlfn.XLOOKUP($A87,My_Audit!$A:$A,My_Audit!G:G,""),
_xlfn.IFS(_xlpm.MyAuditVal&lt;&gt;"",_xlpm.MyAuditVal,_xlpm.MacVal&lt;&gt;"",_xlpm.MacVal,_xlpm.CSVVal&lt;&gt;"",_xlpm.CSVVal
)),"")</f>
        <v/>
      </c>
      <c r="I87" s="40" t="str">
        <f>_xlfn.XLOOKUP(A87,Output_Mac!A:A,Output_Mac!I:I,"")</f>
        <v/>
      </c>
      <c r="J87" s="40" t="str" cm="1">
        <f t="array" ref="J87">IFERROR(_xlfn.LET(
_xlpm.CSVVal,_xlfn.XLOOKUP($A87,CSV!$A:$A,CSV!I:I,""),
_xlpm.MacVal,_xlfn.XLOOKUP($A87,Output_Mac!$A:$A,Output_Mac!J:J,""),
_xlpm.MyAuditVal,_xlfn.XLOOKUP($A87,My_Audit!$A:$A,My_Audit!I:I,""),
_xlfn.IFS(_xlpm.MyAuditVal&lt;&gt;"",UPPER(_xlpm.MyAuditVal),_xlpm.MacVal&lt;&gt;"",_xlpm.MacVal,_xlpm.CSVVal&lt;&gt;"",_xlpm.CSVVal
)),"")</f>
        <v/>
      </c>
      <c r="K87" s="40" t="str" cm="1">
        <f t="array" ref="K87">IFERROR(_xlfn.LET(
_xlpm.CSVVal,_xlfn.XLOOKUP($A87,CSV!$A:$A,CSV!K:K,""),
_xlpm.MacVal,_xlfn.XLOOKUP($A87,Output_Mac!$A:$A,Output_Mac!K:K,""),
_xlpm.MyAuditVal,_xlfn.XLOOKUP($A87,My_Audit!$A:$A,My_Audit!J:J,""),
_xlfn.IFS(_xlpm.MyAuditVal&lt;&gt;"",UPPER(_xlpm.MyAuditVal),_xlpm.MacVal&lt;&gt;"",_xlpm.MacVal,_xlpm.CSVVal&lt;&gt;"",_xlpm.CSVVal
)),"")</f>
        <v/>
      </c>
      <c r="L87" s="40" t="str" cm="1">
        <f t="array" ref="L87">IFERROR(_xlfn.LET(
_xlpm.CSVVal,_xlfn.XLOOKUP($A87,CSV!$A:$A,CSV!P:P,""),
_xlpm.MacVal,_xlfn.XLOOKUP($A87,Output_Mac!$A:$A,Output_Mac!L:L,""),
_xlpm.MyAuditVal,_xlfn.XLOOKUP($A87,My_Audit!$A:$A,My_Audit!K:K,""),
_xlfn.IFS(_xlpm.MyAuditVal&lt;&gt;"",UPPER(_xlpm.MyAuditVal),_xlpm.MacVal&lt;&gt;"",_xlpm.MacVal,_xlpm.CSVVal&lt;&gt;"",_xlpm.CSVVal
)),"")</f>
        <v/>
      </c>
      <c r="M87" s="40" t="str" cm="1">
        <f t="array" ref="M87">IFERROR(_xlfn.LET(
_xlpm.CSVVal,_xlfn.XLOOKUP($A87,CSV!$A:$A,CSV!Q:Q,""),
_xlpm.MacVal,_xlfn.XLOOKUP($A87,Output_Mac!$A:$A,Output_Mac!M:M,""),
_xlpm.MyAuditVal,_xlfn.XLOOKUP($A87,My_Audit!$A:$A,My_Audit!L:L,""),
_xlfn.IFS(_xlpm.MyAuditVal&lt;&gt;"",UPPER(_xlpm.MyAuditVal),_xlpm.MacVal&lt;&gt;"",_xlpm.MacVal,_xlpm.CSVVal&lt;&gt;"",_xlpm.CSVVal
)),"")</f>
        <v/>
      </c>
      <c r="N87" s="40"/>
      <c r="O87" s="40" t="str">
        <f>_xlfn.LET(
    _xlpm.CSVVal, _xlfn.XLOOKUP($A87, CSV!$A:$A, CSV!AA:AA, ""),
    _xlpm.MacVal, _xlfn.XLOOKUP($A87, Output_Mac!$A:$A, Output_Mac!S:S, ""),
    _xlpm.MyAuditVal, _xlfn.XLOOKUP($A87, My_Audit!$A:$A, My_Audit!P:P, ""),
    _xlfn.TEXTJOIN(", ", TRUE, _xlpm.MyAuditVal, _xlpm.MacVal, _xlpm.CSVVal)
)</f>
        <v/>
      </c>
      <c r="P87" s="40" t="str" cm="1">
        <f t="array" ref="P87">IFERROR(_xlfn.LET(
_xlpm.CSVVal,_xlfn.XLOOKUP($A87,CSV!$A:$A,CSV!AB:AB,""),
_xlpm.MacVal,_xlfn.XLOOKUP($A87,Output_Mac!$A:$A,Output_Mac!T:T,""),
_xlpm.MyAuditVal,_xlfn.XLOOKUP($A87,My_Audit!$A:$A,My_Audit!Q:Q,""),
_xlfn.IFS(_xlpm.MyAuditVal&lt;&gt;"",UPPER(_xlpm.MyAuditVal),_xlpm.MacVal&lt;&gt;"",_xlpm.MacVal,_xlpm.CSVVal&lt;&gt;"",_xlpm.CSVVal
)),"No")</f>
        <v>No</v>
      </c>
      <c r="Q87" s="40" t="str" cm="1">
        <f t="array" ref="Q87">IFERROR(_xlfn.LET(
_xlpm.CSVVal,_xlfn.XLOOKUP($A87,CSV!$A:$A,CSV!AC:AC,""),
_xlpm.MacVal,_xlfn.XLOOKUP($A87,Output_Mac!$A:$A,Output_Mac!U:U,""),
_xlpm.MyAuditVal,_xlfn.XLOOKUP($A87,My_Audit!$A:$A,My_Audit!R:R,""),
_xlfn.IFS(_xlpm.MyAuditVal&lt;&gt;"",UPPER(_xlpm.MyAuditVal),_xlpm.MacVal&lt;&gt;"",_xlpm.MacVal,_xlpm.CSVVal&lt;&gt;"",_xlpm.CSVVal
)),"")</f>
        <v/>
      </c>
      <c r="R87" s="40"/>
      <c r="S87" s="40"/>
      <c r="T87" s="40"/>
      <c r="U87" s="40"/>
      <c r="V87" s="40"/>
      <c r="W87" s="40"/>
      <c r="X87" s="41" t="str">
        <f>_xlfn.LET(
    _xlpm.MacVal, _xlfn.XLOOKUP($A87, Output_Mac!$A:$A, Output_Mac!AB:AB, ""),
    _xlpm.MyAuditVal, _xlfn.XLOOKUP($A87, My_Audit!$A:$A, My_Audit!N:N, ""),
    _xlfn.TEXTJOIN(", ", TRUE, _xlpm.MyAuditVal, _xlpm.MacVal)
)</f>
        <v/>
      </c>
    </row>
    <row r="88" spans="1:24">
      <c r="A88" s="40" t="str">
        <f>_xlfn.TEXTJOIN("",TRUE,Input!$B$2,ROW(My_Audit!A87))</f>
        <v>X87</v>
      </c>
      <c r="B88" s="40" t="str">
        <f>_xlfn.TEXTJOIN("-",TRUE,"ITD",Input!$A$2,A88)</f>
        <v>ITD-X87</v>
      </c>
      <c r="C88" s="40" t="str" cm="1">
        <f t="array" ref="C88">IFERROR(_xlfn.LET(
_xlpm.CSVVal,_xlfn.XLOOKUP($A88,CSV!$A:$A,CSV!B:B,""),
_xlpm.MacVal,_xlfn.XLOOKUP($A88,Output_Mac!$A:$A,Output_Mac!B:B,""),
_xlpm.MyAuditVal,_xlfn.XLOOKUP($A88,My_Audit!$A:$A,My_Audit!B:B,""),
_xlfn.IFS(_xlpm.MyAuditVal&lt;&gt;"",UPPER(_xlpm.MyAuditVal),_xlpm.MacVal&lt;&gt;"",_xlpm.MacVal,_xlpm.CSVVal&lt;&gt;"",_xlpm.CSVVal
)),"")</f>
        <v/>
      </c>
      <c r="D88" s="40" t="str" cm="1">
        <f t="array" ref="D88">IFERROR(_xlfn.LET(
_xlpm.CSVVal,_xlfn.XLOOKUP($A88,CSV!$A:$A,CSV!D:D,""),
_xlpm.MacVal,_xlfn.XLOOKUP($A88,Output_Mac!$A:$A,Output_Mac!C:C,""),
_xlpm.MyAuditVal,_xlfn.XLOOKUP($A88,My_Audit!$A:$A,My_Audit!C:C,""),
_xlfn.IFS(_xlpm.MyAuditVal&lt;&gt;"",_xlpm.MyAuditVal,_xlpm.MacVal&lt;&gt;"",_xlpm.MacVal,_xlpm.CSVVal&lt;&gt;"",_xlpm.CSVVal
)),"")</f>
        <v/>
      </c>
      <c r="E88" s="40">
        <f>_xlfn.XLOOKUP(A88,My_Audit!A:A,My_Audit!D:D,"")</f>
        <v>0</v>
      </c>
      <c r="F88" s="40" t="str" cm="1">
        <f t="array" ref="F88">IFERROR(_xlfn.LET(
_xlpm.CSVVal,_xlfn.XLOOKUP($A88,CSV!$A:$A,CSV!F:F,""),
_xlpm.MacVal,_xlfn.XLOOKUP($A88,Output_Mac!$A:$A,Output_Mac!E:E,""),
_xlpm.MyAuditVal,_xlfn.XLOOKUP($A88,My_Audit!$A:$A,My_Audit!E:E,""),
_xlfn.IFS(_xlpm.MyAuditVal&lt;&gt;"",_xlpm.MyAuditVal,_xlpm.MacVal&lt;&gt;"",_xlpm.MacVal,_xlpm.CSVVal&lt;&gt;"",_xlpm.CSVVal
)),"")</f>
        <v/>
      </c>
      <c r="G88" s="40" t="str" cm="1">
        <f t="array" ref="G88">IFERROR(_xlfn.LET(
_xlpm.CSVVal,_xlfn.XLOOKUP($A88,CSV!$A:$A,CSV!G:G,""),
_xlpm.MacVal,_xlfn.XLOOKUP($A88,Output_Mac!$A:$A,Output_Mac!F:F,""),
_xlpm.MyAuditVal,_xlfn.XLOOKUP($A88,My_Audit!$A:$A,My_Audit!F:F,""),
_xlfn.IFS(_xlpm.MyAuditVal&lt;&gt;"",_xlpm.MyAuditVal,_xlpm.MacVal&lt;&gt;"",_xlpm.MacVal,_xlpm.CSVVal&lt;&gt;"",PROPER(_xlpm.CSVVal)
)),"")</f>
        <v/>
      </c>
      <c r="H88" s="40" t="str" cm="1">
        <f t="array" ref="H88">IFERROR(_xlfn.LET(
_xlpm.CSVVal,_xlfn.XLOOKUP($A88,CSV!$A:$A,CSV!H:H,""),
_xlpm.MacVal,_xlfn.XLOOKUP($A88,Output_Mac!$A:$A,Output_Mac!H:H,""),
_xlpm.MyAuditVal,_xlfn.XLOOKUP($A88,My_Audit!$A:$A,My_Audit!G:G,""),
_xlfn.IFS(_xlpm.MyAuditVal&lt;&gt;"",_xlpm.MyAuditVal,_xlpm.MacVal&lt;&gt;"",_xlpm.MacVal,_xlpm.CSVVal&lt;&gt;"",_xlpm.CSVVal
)),"")</f>
        <v/>
      </c>
      <c r="I88" s="40" t="str">
        <f>_xlfn.XLOOKUP(A88,Output_Mac!A:A,Output_Mac!I:I,"")</f>
        <v/>
      </c>
      <c r="J88" s="40" t="str" cm="1">
        <f t="array" ref="J88">IFERROR(_xlfn.LET(
_xlpm.CSVVal,_xlfn.XLOOKUP($A88,CSV!$A:$A,CSV!I:I,""),
_xlpm.MacVal,_xlfn.XLOOKUP($A88,Output_Mac!$A:$A,Output_Mac!J:J,""),
_xlpm.MyAuditVal,_xlfn.XLOOKUP($A88,My_Audit!$A:$A,My_Audit!I:I,""),
_xlfn.IFS(_xlpm.MyAuditVal&lt;&gt;"",UPPER(_xlpm.MyAuditVal),_xlpm.MacVal&lt;&gt;"",_xlpm.MacVal,_xlpm.CSVVal&lt;&gt;"",_xlpm.CSVVal
)),"")</f>
        <v/>
      </c>
      <c r="K88" s="40" t="str" cm="1">
        <f t="array" ref="K88">IFERROR(_xlfn.LET(
_xlpm.CSVVal,_xlfn.XLOOKUP($A88,CSV!$A:$A,CSV!K:K,""),
_xlpm.MacVal,_xlfn.XLOOKUP($A88,Output_Mac!$A:$A,Output_Mac!K:K,""),
_xlpm.MyAuditVal,_xlfn.XLOOKUP($A88,My_Audit!$A:$A,My_Audit!J:J,""),
_xlfn.IFS(_xlpm.MyAuditVal&lt;&gt;"",UPPER(_xlpm.MyAuditVal),_xlpm.MacVal&lt;&gt;"",_xlpm.MacVal,_xlpm.CSVVal&lt;&gt;"",_xlpm.CSVVal
)),"")</f>
        <v/>
      </c>
      <c r="L88" s="40" t="str" cm="1">
        <f t="array" ref="L88">IFERROR(_xlfn.LET(
_xlpm.CSVVal,_xlfn.XLOOKUP($A88,CSV!$A:$A,CSV!P:P,""),
_xlpm.MacVal,_xlfn.XLOOKUP($A88,Output_Mac!$A:$A,Output_Mac!L:L,""),
_xlpm.MyAuditVal,_xlfn.XLOOKUP($A88,My_Audit!$A:$A,My_Audit!K:K,""),
_xlfn.IFS(_xlpm.MyAuditVal&lt;&gt;"",UPPER(_xlpm.MyAuditVal),_xlpm.MacVal&lt;&gt;"",_xlpm.MacVal,_xlpm.CSVVal&lt;&gt;"",_xlpm.CSVVal
)),"")</f>
        <v/>
      </c>
      <c r="M88" s="40" t="str" cm="1">
        <f t="array" ref="M88">IFERROR(_xlfn.LET(
_xlpm.CSVVal,_xlfn.XLOOKUP($A88,CSV!$A:$A,CSV!Q:Q,""),
_xlpm.MacVal,_xlfn.XLOOKUP($A88,Output_Mac!$A:$A,Output_Mac!M:M,""),
_xlpm.MyAuditVal,_xlfn.XLOOKUP($A88,My_Audit!$A:$A,My_Audit!L:L,""),
_xlfn.IFS(_xlpm.MyAuditVal&lt;&gt;"",UPPER(_xlpm.MyAuditVal),_xlpm.MacVal&lt;&gt;"",_xlpm.MacVal,_xlpm.CSVVal&lt;&gt;"",_xlpm.CSVVal
)),"")</f>
        <v/>
      </c>
      <c r="N88" s="40"/>
      <c r="O88" s="40" t="str">
        <f>_xlfn.LET(
    _xlpm.CSVVal, _xlfn.XLOOKUP($A88, CSV!$A:$A, CSV!AA:AA, ""),
    _xlpm.MacVal, _xlfn.XLOOKUP($A88, Output_Mac!$A:$A, Output_Mac!S:S, ""),
    _xlpm.MyAuditVal, _xlfn.XLOOKUP($A88, My_Audit!$A:$A, My_Audit!P:P, ""),
    _xlfn.TEXTJOIN(", ", TRUE, _xlpm.MyAuditVal, _xlpm.MacVal, _xlpm.CSVVal)
)</f>
        <v/>
      </c>
      <c r="P88" s="40" t="str" cm="1">
        <f t="array" ref="P88">IFERROR(_xlfn.LET(
_xlpm.CSVVal,_xlfn.XLOOKUP($A88,CSV!$A:$A,CSV!AB:AB,""),
_xlpm.MacVal,_xlfn.XLOOKUP($A88,Output_Mac!$A:$A,Output_Mac!T:T,""),
_xlpm.MyAuditVal,_xlfn.XLOOKUP($A88,My_Audit!$A:$A,My_Audit!Q:Q,""),
_xlfn.IFS(_xlpm.MyAuditVal&lt;&gt;"",UPPER(_xlpm.MyAuditVal),_xlpm.MacVal&lt;&gt;"",_xlpm.MacVal,_xlpm.CSVVal&lt;&gt;"",_xlpm.CSVVal
)),"No")</f>
        <v>No</v>
      </c>
      <c r="Q88" s="40" t="str" cm="1">
        <f t="array" ref="Q88">IFERROR(_xlfn.LET(
_xlpm.CSVVal,_xlfn.XLOOKUP($A88,CSV!$A:$A,CSV!AC:AC,""),
_xlpm.MacVal,_xlfn.XLOOKUP($A88,Output_Mac!$A:$A,Output_Mac!U:U,""),
_xlpm.MyAuditVal,_xlfn.XLOOKUP($A88,My_Audit!$A:$A,My_Audit!R:R,""),
_xlfn.IFS(_xlpm.MyAuditVal&lt;&gt;"",UPPER(_xlpm.MyAuditVal),_xlpm.MacVal&lt;&gt;"",_xlpm.MacVal,_xlpm.CSVVal&lt;&gt;"",_xlpm.CSVVal
)),"")</f>
        <v/>
      </c>
      <c r="R88" s="40"/>
      <c r="S88" s="40"/>
      <c r="T88" s="40"/>
      <c r="U88" s="40"/>
      <c r="V88" s="40"/>
      <c r="W88" s="40"/>
      <c r="X88" s="41" t="str">
        <f>_xlfn.LET(
    _xlpm.MacVal, _xlfn.XLOOKUP($A88, Output_Mac!$A:$A, Output_Mac!AB:AB, ""),
    _xlpm.MyAuditVal, _xlfn.XLOOKUP($A88, My_Audit!$A:$A, My_Audit!N:N, ""),
    _xlfn.TEXTJOIN(", ", TRUE, _xlpm.MyAuditVal, _xlpm.MacVal)
)</f>
        <v/>
      </c>
    </row>
    <row r="89" spans="1:24">
      <c r="A89" s="40" t="str">
        <f>_xlfn.TEXTJOIN("",TRUE,Input!$B$2,ROW(My_Audit!A88))</f>
        <v>X88</v>
      </c>
      <c r="B89" s="40" t="str">
        <f>_xlfn.TEXTJOIN("-",TRUE,"ITD",Input!$A$2,A89)</f>
        <v>ITD-X88</v>
      </c>
      <c r="C89" s="40" t="str" cm="1">
        <f t="array" ref="C89">IFERROR(_xlfn.LET(
_xlpm.CSVVal,_xlfn.XLOOKUP($A89,CSV!$A:$A,CSV!B:B,""),
_xlpm.MacVal,_xlfn.XLOOKUP($A89,Output_Mac!$A:$A,Output_Mac!B:B,""),
_xlpm.MyAuditVal,_xlfn.XLOOKUP($A89,My_Audit!$A:$A,My_Audit!B:B,""),
_xlfn.IFS(_xlpm.MyAuditVal&lt;&gt;"",UPPER(_xlpm.MyAuditVal),_xlpm.MacVal&lt;&gt;"",_xlpm.MacVal,_xlpm.CSVVal&lt;&gt;"",_xlpm.CSVVal
)),"")</f>
        <v/>
      </c>
      <c r="D89" s="40" t="str" cm="1">
        <f t="array" ref="D89">IFERROR(_xlfn.LET(
_xlpm.CSVVal,_xlfn.XLOOKUP($A89,CSV!$A:$A,CSV!D:D,""),
_xlpm.MacVal,_xlfn.XLOOKUP($A89,Output_Mac!$A:$A,Output_Mac!C:C,""),
_xlpm.MyAuditVal,_xlfn.XLOOKUP($A89,My_Audit!$A:$A,My_Audit!C:C,""),
_xlfn.IFS(_xlpm.MyAuditVal&lt;&gt;"",_xlpm.MyAuditVal,_xlpm.MacVal&lt;&gt;"",_xlpm.MacVal,_xlpm.CSVVal&lt;&gt;"",_xlpm.CSVVal
)),"")</f>
        <v/>
      </c>
      <c r="E89" s="40">
        <f>_xlfn.XLOOKUP(A89,My_Audit!A:A,My_Audit!D:D,"")</f>
        <v>0</v>
      </c>
      <c r="F89" s="40" t="str" cm="1">
        <f t="array" ref="F89">IFERROR(_xlfn.LET(
_xlpm.CSVVal,_xlfn.XLOOKUP($A89,CSV!$A:$A,CSV!F:F,""),
_xlpm.MacVal,_xlfn.XLOOKUP($A89,Output_Mac!$A:$A,Output_Mac!E:E,""),
_xlpm.MyAuditVal,_xlfn.XLOOKUP($A89,My_Audit!$A:$A,My_Audit!E:E,""),
_xlfn.IFS(_xlpm.MyAuditVal&lt;&gt;"",_xlpm.MyAuditVal,_xlpm.MacVal&lt;&gt;"",_xlpm.MacVal,_xlpm.CSVVal&lt;&gt;"",_xlpm.CSVVal
)),"")</f>
        <v/>
      </c>
      <c r="G89" s="40" t="str" cm="1">
        <f t="array" ref="G89">IFERROR(_xlfn.LET(
_xlpm.CSVVal,_xlfn.XLOOKUP($A89,CSV!$A:$A,CSV!G:G,""),
_xlpm.MacVal,_xlfn.XLOOKUP($A89,Output_Mac!$A:$A,Output_Mac!F:F,""),
_xlpm.MyAuditVal,_xlfn.XLOOKUP($A89,My_Audit!$A:$A,My_Audit!F:F,""),
_xlfn.IFS(_xlpm.MyAuditVal&lt;&gt;"",_xlpm.MyAuditVal,_xlpm.MacVal&lt;&gt;"",_xlpm.MacVal,_xlpm.CSVVal&lt;&gt;"",PROPER(_xlpm.CSVVal)
)),"")</f>
        <v/>
      </c>
      <c r="H89" s="40" t="str" cm="1">
        <f t="array" ref="H89">IFERROR(_xlfn.LET(
_xlpm.CSVVal,_xlfn.XLOOKUP($A89,CSV!$A:$A,CSV!H:H,""),
_xlpm.MacVal,_xlfn.XLOOKUP($A89,Output_Mac!$A:$A,Output_Mac!H:H,""),
_xlpm.MyAuditVal,_xlfn.XLOOKUP($A89,My_Audit!$A:$A,My_Audit!G:G,""),
_xlfn.IFS(_xlpm.MyAuditVal&lt;&gt;"",_xlpm.MyAuditVal,_xlpm.MacVal&lt;&gt;"",_xlpm.MacVal,_xlpm.CSVVal&lt;&gt;"",_xlpm.CSVVal
)),"")</f>
        <v/>
      </c>
      <c r="I89" s="40" t="str">
        <f>_xlfn.XLOOKUP(A89,Output_Mac!A:A,Output_Mac!I:I,"")</f>
        <v/>
      </c>
      <c r="J89" s="40" t="str" cm="1">
        <f t="array" ref="J89">IFERROR(_xlfn.LET(
_xlpm.CSVVal,_xlfn.XLOOKUP($A89,CSV!$A:$A,CSV!I:I,""),
_xlpm.MacVal,_xlfn.XLOOKUP($A89,Output_Mac!$A:$A,Output_Mac!J:J,""),
_xlpm.MyAuditVal,_xlfn.XLOOKUP($A89,My_Audit!$A:$A,My_Audit!I:I,""),
_xlfn.IFS(_xlpm.MyAuditVal&lt;&gt;"",UPPER(_xlpm.MyAuditVal),_xlpm.MacVal&lt;&gt;"",_xlpm.MacVal,_xlpm.CSVVal&lt;&gt;"",_xlpm.CSVVal
)),"")</f>
        <v/>
      </c>
      <c r="K89" s="40" t="str" cm="1">
        <f t="array" ref="K89">IFERROR(_xlfn.LET(
_xlpm.CSVVal,_xlfn.XLOOKUP($A89,CSV!$A:$A,CSV!K:K,""),
_xlpm.MacVal,_xlfn.XLOOKUP($A89,Output_Mac!$A:$A,Output_Mac!K:K,""),
_xlpm.MyAuditVal,_xlfn.XLOOKUP($A89,My_Audit!$A:$A,My_Audit!J:J,""),
_xlfn.IFS(_xlpm.MyAuditVal&lt;&gt;"",UPPER(_xlpm.MyAuditVal),_xlpm.MacVal&lt;&gt;"",_xlpm.MacVal,_xlpm.CSVVal&lt;&gt;"",_xlpm.CSVVal
)),"")</f>
        <v/>
      </c>
      <c r="L89" s="40" t="str" cm="1">
        <f t="array" ref="L89">IFERROR(_xlfn.LET(
_xlpm.CSVVal,_xlfn.XLOOKUP($A89,CSV!$A:$A,CSV!P:P,""),
_xlpm.MacVal,_xlfn.XLOOKUP($A89,Output_Mac!$A:$A,Output_Mac!L:L,""),
_xlpm.MyAuditVal,_xlfn.XLOOKUP($A89,My_Audit!$A:$A,My_Audit!K:K,""),
_xlfn.IFS(_xlpm.MyAuditVal&lt;&gt;"",UPPER(_xlpm.MyAuditVal),_xlpm.MacVal&lt;&gt;"",_xlpm.MacVal,_xlpm.CSVVal&lt;&gt;"",_xlpm.CSVVal
)),"")</f>
        <v/>
      </c>
      <c r="M89" s="40" t="str" cm="1">
        <f t="array" ref="M89">IFERROR(_xlfn.LET(
_xlpm.CSVVal,_xlfn.XLOOKUP($A89,CSV!$A:$A,CSV!Q:Q,""),
_xlpm.MacVal,_xlfn.XLOOKUP($A89,Output_Mac!$A:$A,Output_Mac!M:M,""),
_xlpm.MyAuditVal,_xlfn.XLOOKUP($A89,My_Audit!$A:$A,My_Audit!L:L,""),
_xlfn.IFS(_xlpm.MyAuditVal&lt;&gt;"",UPPER(_xlpm.MyAuditVal),_xlpm.MacVal&lt;&gt;"",_xlpm.MacVal,_xlpm.CSVVal&lt;&gt;"",_xlpm.CSVVal
)),"")</f>
        <v/>
      </c>
      <c r="N89" s="40"/>
      <c r="O89" s="40" t="str">
        <f>_xlfn.LET(
    _xlpm.CSVVal, _xlfn.XLOOKUP($A89, CSV!$A:$A, CSV!AA:AA, ""),
    _xlpm.MacVal, _xlfn.XLOOKUP($A89, Output_Mac!$A:$A, Output_Mac!S:S, ""),
    _xlpm.MyAuditVal, _xlfn.XLOOKUP($A89, My_Audit!$A:$A, My_Audit!P:P, ""),
    _xlfn.TEXTJOIN(", ", TRUE, _xlpm.MyAuditVal, _xlpm.MacVal, _xlpm.CSVVal)
)</f>
        <v/>
      </c>
      <c r="P89" s="40" t="str" cm="1">
        <f t="array" ref="P89">IFERROR(_xlfn.LET(
_xlpm.CSVVal,_xlfn.XLOOKUP($A89,CSV!$A:$A,CSV!AB:AB,""),
_xlpm.MacVal,_xlfn.XLOOKUP($A89,Output_Mac!$A:$A,Output_Mac!T:T,""),
_xlpm.MyAuditVal,_xlfn.XLOOKUP($A89,My_Audit!$A:$A,My_Audit!Q:Q,""),
_xlfn.IFS(_xlpm.MyAuditVal&lt;&gt;"",UPPER(_xlpm.MyAuditVal),_xlpm.MacVal&lt;&gt;"",_xlpm.MacVal,_xlpm.CSVVal&lt;&gt;"",_xlpm.CSVVal
)),"No")</f>
        <v>No</v>
      </c>
      <c r="Q89" s="40" t="str" cm="1">
        <f t="array" ref="Q89">IFERROR(_xlfn.LET(
_xlpm.CSVVal,_xlfn.XLOOKUP($A89,CSV!$A:$A,CSV!AC:AC,""),
_xlpm.MacVal,_xlfn.XLOOKUP($A89,Output_Mac!$A:$A,Output_Mac!U:U,""),
_xlpm.MyAuditVal,_xlfn.XLOOKUP($A89,My_Audit!$A:$A,My_Audit!R:R,""),
_xlfn.IFS(_xlpm.MyAuditVal&lt;&gt;"",UPPER(_xlpm.MyAuditVal),_xlpm.MacVal&lt;&gt;"",_xlpm.MacVal,_xlpm.CSVVal&lt;&gt;"",_xlpm.CSVVal
)),"")</f>
        <v/>
      </c>
      <c r="R89" s="40"/>
      <c r="S89" s="40"/>
      <c r="T89" s="40"/>
      <c r="U89" s="40"/>
      <c r="V89" s="40"/>
      <c r="W89" s="40"/>
      <c r="X89" s="41" t="str">
        <f>_xlfn.LET(
    _xlpm.MacVal, _xlfn.XLOOKUP($A89, Output_Mac!$A:$A, Output_Mac!AB:AB, ""),
    _xlpm.MyAuditVal, _xlfn.XLOOKUP($A89, My_Audit!$A:$A, My_Audit!N:N, ""),
    _xlfn.TEXTJOIN(", ", TRUE, _xlpm.MyAuditVal, _xlpm.MacVal)
)</f>
        <v/>
      </c>
    </row>
    <row r="90" spans="1:24">
      <c r="A90" s="40" t="str">
        <f>_xlfn.TEXTJOIN("",TRUE,Input!$B$2,ROW(My_Audit!A89))</f>
        <v>X89</v>
      </c>
      <c r="B90" s="40" t="str">
        <f>_xlfn.TEXTJOIN("-",TRUE,"ITD",Input!$A$2,A90)</f>
        <v>ITD-X89</v>
      </c>
      <c r="C90" s="40" t="str" cm="1">
        <f t="array" ref="C90">IFERROR(_xlfn.LET(
_xlpm.CSVVal,_xlfn.XLOOKUP($A90,CSV!$A:$A,CSV!B:B,""),
_xlpm.MacVal,_xlfn.XLOOKUP($A90,Output_Mac!$A:$A,Output_Mac!B:B,""),
_xlpm.MyAuditVal,_xlfn.XLOOKUP($A90,My_Audit!$A:$A,My_Audit!B:B,""),
_xlfn.IFS(_xlpm.MyAuditVal&lt;&gt;"",UPPER(_xlpm.MyAuditVal),_xlpm.MacVal&lt;&gt;"",_xlpm.MacVal,_xlpm.CSVVal&lt;&gt;"",_xlpm.CSVVal
)),"")</f>
        <v/>
      </c>
      <c r="D90" s="40" t="str" cm="1">
        <f t="array" ref="D90">IFERROR(_xlfn.LET(
_xlpm.CSVVal,_xlfn.XLOOKUP($A90,CSV!$A:$A,CSV!D:D,""),
_xlpm.MacVal,_xlfn.XLOOKUP($A90,Output_Mac!$A:$A,Output_Mac!C:C,""),
_xlpm.MyAuditVal,_xlfn.XLOOKUP($A90,My_Audit!$A:$A,My_Audit!C:C,""),
_xlfn.IFS(_xlpm.MyAuditVal&lt;&gt;"",_xlpm.MyAuditVal,_xlpm.MacVal&lt;&gt;"",_xlpm.MacVal,_xlpm.CSVVal&lt;&gt;"",_xlpm.CSVVal
)),"")</f>
        <v/>
      </c>
      <c r="E90" s="40">
        <f>_xlfn.XLOOKUP(A90,My_Audit!A:A,My_Audit!D:D,"")</f>
        <v>0</v>
      </c>
      <c r="F90" s="40" t="str" cm="1">
        <f t="array" ref="F90">IFERROR(_xlfn.LET(
_xlpm.CSVVal,_xlfn.XLOOKUP($A90,CSV!$A:$A,CSV!F:F,""),
_xlpm.MacVal,_xlfn.XLOOKUP($A90,Output_Mac!$A:$A,Output_Mac!E:E,""),
_xlpm.MyAuditVal,_xlfn.XLOOKUP($A90,My_Audit!$A:$A,My_Audit!E:E,""),
_xlfn.IFS(_xlpm.MyAuditVal&lt;&gt;"",_xlpm.MyAuditVal,_xlpm.MacVal&lt;&gt;"",_xlpm.MacVal,_xlpm.CSVVal&lt;&gt;"",_xlpm.CSVVal
)),"")</f>
        <v/>
      </c>
      <c r="G90" s="40" t="str" cm="1">
        <f t="array" ref="G90">IFERROR(_xlfn.LET(
_xlpm.CSVVal,_xlfn.XLOOKUP($A90,CSV!$A:$A,CSV!G:G,""),
_xlpm.MacVal,_xlfn.XLOOKUP($A90,Output_Mac!$A:$A,Output_Mac!F:F,""),
_xlpm.MyAuditVal,_xlfn.XLOOKUP($A90,My_Audit!$A:$A,My_Audit!F:F,""),
_xlfn.IFS(_xlpm.MyAuditVal&lt;&gt;"",_xlpm.MyAuditVal,_xlpm.MacVal&lt;&gt;"",_xlpm.MacVal,_xlpm.CSVVal&lt;&gt;"",PROPER(_xlpm.CSVVal)
)),"")</f>
        <v/>
      </c>
      <c r="H90" s="40" t="str" cm="1">
        <f t="array" ref="H90">IFERROR(_xlfn.LET(
_xlpm.CSVVal,_xlfn.XLOOKUP($A90,CSV!$A:$A,CSV!H:H,""),
_xlpm.MacVal,_xlfn.XLOOKUP($A90,Output_Mac!$A:$A,Output_Mac!H:H,""),
_xlpm.MyAuditVal,_xlfn.XLOOKUP($A90,My_Audit!$A:$A,My_Audit!G:G,""),
_xlfn.IFS(_xlpm.MyAuditVal&lt;&gt;"",_xlpm.MyAuditVal,_xlpm.MacVal&lt;&gt;"",_xlpm.MacVal,_xlpm.CSVVal&lt;&gt;"",_xlpm.CSVVal
)),"")</f>
        <v/>
      </c>
      <c r="I90" s="40" t="str">
        <f>_xlfn.XLOOKUP(A90,Output_Mac!A:A,Output_Mac!I:I,"")</f>
        <v/>
      </c>
      <c r="J90" s="40" t="str" cm="1">
        <f t="array" ref="J90">IFERROR(_xlfn.LET(
_xlpm.CSVVal,_xlfn.XLOOKUP($A90,CSV!$A:$A,CSV!I:I,""),
_xlpm.MacVal,_xlfn.XLOOKUP($A90,Output_Mac!$A:$A,Output_Mac!J:J,""),
_xlpm.MyAuditVal,_xlfn.XLOOKUP($A90,My_Audit!$A:$A,My_Audit!I:I,""),
_xlfn.IFS(_xlpm.MyAuditVal&lt;&gt;"",UPPER(_xlpm.MyAuditVal),_xlpm.MacVal&lt;&gt;"",_xlpm.MacVal,_xlpm.CSVVal&lt;&gt;"",_xlpm.CSVVal
)),"")</f>
        <v/>
      </c>
      <c r="K90" s="40" t="str" cm="1">
        <f t="array" ref="K90">IFERROR(_xlfn.LET(
_xlpm.CSVVal,_xlfn.XLOOKUP($A90,CSV!$A:$A,CSV!K:K,""),
_xlpm.MacVal,_xlfn.XLOOKUP($A90,Output_Mac!$A:$A,Output_Mac!K:K,""),
_xlpm.MyAuditVal,_xlfn.XLOOKUP($A90,My_Audit!$A:$A,My_Audit!J:J,""),
_xlfn.IFS(_xlpm.MyAuditVal&lt;&gt;"",UPPER(_xlpm.MyAuditVal),_xlpm.MacVal&lt;&gt;"",_xlpm.MacVal,_xlpm.CSVVal&lt;&gt;"",_xlpm.CSVVal
)),"")</f>
        <v/>
      </c>
      <c r="L90" s="40" t="str" cm="1">
        <f t="array" ref="L90">IFERROR(_xlfn.LET(
_xlpm.CSVVal,_xlfn.XLOOKUP($A90,CSV!$A:$A,CSV!P:P,""),
_xlpm.MacVal,_xlfn.XLOOKUP($A90,Output_Mac!$A:$A,Output_Mac!L:L,""),
_xlpm.MyAuditVal,_xlfn.XLOOKUP($A90,My_Audit!$A:$A,My_Audit!K:K,""),
_xlfn.IFS(_xlpm.MyAuditVal&lt;&gt;"",UPPER(_xlpm.MyAuditVal),_xlpm.MacVal&lt;&gt;"",_xlpm.MacVal,_xlpm.CSVVal&lt;&gt;"",_xlpm.CSVVal
)),"")</f>
        <v/>
      </c>
      <c r="M90" s="40" t="str" cm="1">
        <f t="array" ref="M90">IFERROR(_xlfn.LET(
_xlpm.CSVVal,_xlfn.XLOOKUP($A90,CSV!$A:$A,CSV!Q:Q,""),
_xlpm.MacVal,_xlfn.XLOOKUP($A90,Output_Mac!$A:$A,Output_Mac!M:M,""),
_xlpm.MyAuditVal,_xlfn.XLOOKUP($A90,My_Audit!$A:$A,My_Audit!L:L,""),
_xlfn.IFS(_xlpm.MyAuditVal&lt;&gt;"",UPPER(_xlpm.MyAuditVal),_xlpm.MacVal&lt;&gt;"",_xlpm.MacVal,_xlpm.CSVVal&lt;&gt;"",_xlpm.CSVVal
)),"")</f>
        <v/>
      </c>
      <c r="N90" s="40"/>
      <c r="O90" s="40" t="str">
        <f>_xlfn.LET(
    _xlpm.CSVVal, _xlfn.XLOOKUP($A90, CSV!$A:$A, CSV!AA:AA, ""),
    _xlpm.MacVal, _xlfn.XLOOKUP($A90, Output_Mac!$A:$A, Output_Mac!S:S, ""),
    _xlpm.MyAuditVal, _xlfn.XLOOKUP($A90, My_Audit!$A:$A, My_Audit!P:P, ""),
    _xlfn.TEXTJOIN(", ", TRUE, _xlpm.MyAuditVal, _xlpm.MacVal, _xlpm.CSVVal)
)</f>
        <v/>
      </c>
      <c r="P90" s="40" t="str" cm="1">
        <f t="array" ref="P90">IFERROR(_xlfn.LET(
_xlpm.CSVVal,_xlfn.XLOOKUP($A90,CSV!$A:$A,CSV!AB:AB,""),
_xlpm.MacVal,_xlfn.XLOOKUP($A90,Output_Mac!$A:$A,Output_Mac!T:T,""),
_xlpm.MyAuditVal,_xlfn.XLOOKUP($A90,My_Audit!$A:$A,My_Audit!Q:Q,""),
_xlfn.IFS(_xlpm.MyAuditVal&lt;&gt;"",UPPER(_xlpm.MyAuditVal),_xlpm.MacVal&lt;&gt;"",_xlpm.MacVal,_xlpm.CSVVal&lt;&gt;"",_xlpm.CSVVal
)),"No")</f>
        <v>No</v>
      </c>
      <c r="Q90" s="40" t="str" cm="1">
        <f t="array" ref="Q90">IFERROR(_xlfn.LET(
_xlpm.CSVVal,_xlfn.XLOOKUP($A90,CSV!$A:$A,CSV!AC:AC,""),
_xlpm.MacVal,_xlfn.XLOOKUP($A90,Output_Mac!$A:$A,Output_Mac!U:U,""),
_xlpm.MyAuditVal,_xlfn.XLOOKUP($A90,My_Audit!$A:$A,My_Audit!R:R,""),
_xlfn.IFS(_xlpm.MyAuditVal&lt;&gt;"",UPPER(_xlpm.MyAuditVal),_xlpm.MacVal&lt;&gt;"",_xlpm.MacVal,_xlpm.CSVVal&lt;&gt;"",_xlpm.CSVVal
)),"")</f>
        <v/>
      </c>
      <c r="R90" s="40"/>
      <c r="S90" s="40"/>
      <c r="T90" s="40"/>
      <c r="U90" s="40"/>
      <c r="V90" s="40"/>
      <c r="W90" s="40"/>
      <c r="X90" s="41" t="str">
        <f>_xlfn.LET(
    _xlpm.MacVal, _xlfn.XLOOKUP($A90, Output_Mac!$A:$A, Output_Mac!AB:AB, ""),
    _xlpm.MyAuditVal, _xlfn.XLOOKUP($A90, My_Audit!$A:$A, My_Audit!N:N, ""),
    _xlfn.TEXTJOIN(", ", TRUE, _xlpm.MyAuditVal, _xlpm.MacVal)
)</f>
        <v/>
      </c>
    </row>
    <row r="91" spans="1:24">
      <c r="A91" s="40" t="str">
        <f>_xlfn.TEXTJOIN("",TRUE,Input!$B$2,ROW(My_Audit!A90))</f>
        <v>X90</v>
      </c>
      <c r="B91" s="40" t="str">
        <f>_xlfn.TEXTJOIN("-",TRUE,"ITD",Input!$A$2,A91)</f>
        <v>ITD-X90</v>
      </c>
      <c r="C91" s="40" t="str" cm="1">
        <f t="array" ref="C91">IFERROR(_xlfn.LET(
_xlpm.CSVVal,_xlfn.XLOOKUP($A91,CSV!$A:$A,CSV!B:B,""),
_xlpm.MacVal,_xlfn.XLOOKUP($A91,Output_Mac!$A:$A,Output_Mac!B:B,""),
_xlpm.MyAuditVal,_xlfn.XLOOKUP($A91,My_Audit!$A:$A,My_Audit!B:B,""),
_xlfn.IFS(_xlpm.MyAuditVal&lt;&gt;"",UPPER(_xlpm.MyAuditVal),_xlpm.MacVal&lt;&gt;"",_xlpm.MacVal,_xlpm.CSVVal&lt;&gt;"",_xlpm.CSVVal
)),"")</f>
        <v/>
      </c>
      <c r="D91" s="40" t="str" cm="1">
        <f t="array" ref="D91">IFERROR(_xlfn.LET(
_xlpm.CSVVal,_xlfn.XLOOKUP($A91,CSV!$A:$A,CSV!D:D,""),
_xlpm.MacVal,_xlfn.XLOOKUP($A91,Output_Mac!$A:$A,Output_Mac!C:C,""),
_xlpm.MyAuditVal,_xlfn.XLOOKUP($A91,My_Audit!$A:$A,My_Audit!C:C,""),
_xlfn.IFS(_xlpm.MyAuditVal&lt;&gt;"",_xlpm.MyAuditVal,_xlpm.MacVal&lt;&gt;"",_xlpm.MacVal,_xlpm.CSVVal&lt;&gt;"",_xlpm.CSVVal
)),"")</f>
        <v/>
      </c>
      <c r="E91" s="40">
        <f>_xlfn.XLOOKUP(A91,My_Audit!A:A,My_Audit!D:D,"")</f>
        <v>0</v>
      </c>
      <c r="F91" s="40" t="str" cm="1">
        <f t="array" ref="F91">IFERROR(_xlfn.LET(
_xlpm.CSVVal,_xlfn.XLOOKUP($A91,CSV!$A:$A,CSV!F:F,""),
_xlpm.MacVal,_xlfn.XLOOKUP($A91,Output_Mac!$A:$A,Output_Mac!E:E,""),
_xlpm.MyAuditVal,_xlfn.XLOOKUP($A91,My_Audit!$A:$A,My_Audit!E:E,""),
_xlfn.IFS(_xlpm.MyAuditVal&lt;&gt;"",_xlpm.MyAuditVal,_xlpm.MacVal&lt;&gt;"",_xlpm.MacVal,_xlpm.CSVVal&lt;&gt;"",_xlpm.CSVVal
)),"")</f>
        <v/>
      </c>
      <c r="G91" s="40" t="str" cm="1">
        <f t="array" ref="G91">IFERROR(_xlfn.LET(
_xlpm.CSVVal,_xlfn.XLOOKUP($A91,CSV!$A:$A,CSV!G:G,""),
_xlpm.MacVal,_xlfn.XLOOKUP($A91,Output_Mac!$A:$A,Output_Mac!F:F,""),
_xlpm.MyAuditVal,_xlfn.XLOOKUP($A91,My_Audit!$A:$A,My_Audit!F:F,""),
_xlfn.IFS(_xlpm.MyAuditVal&lt;&gt;"",_xlpm.MyAuditVal,_xlpm.MacVal&lt;&gt;"",_xlpm.MacVal,_xlpm.CSVVal&lt;&gt;"",PROPER(_xlpm.CSVVal)
)),"")</f>
        <v/>
      </c>
      <c r="H91" s="40" t="str" cm="1">
        <f t="array" ref="H91">IFERROR(_xlfn.LET(
_xlpm.CSVVal,_xlfn.XLOOKUP($A91,CSV!$A:$A,CSV!H:H,""),
_xlpm.MacVal,_xlfn.XLOOKUP($A91,Output_Mac!$A:$A,Output_Mac!H:H,""),
_xlpm.MyAuditVal,_xlfn.XLOOKUP($A91,My_Audit!$A:$A,My_Audit!G:G,""),
_xlfn.IFS(_xlpm.MyAuditVal&lt;&gt;"",_xlpm.MyAuditVal,_xlpm.MacVal&lt;&gt;"",_xlpm.MacVal,_xlpm.CSVVal&lt;&gt;"",_xlpm.CSVVal
)),"")</f>
        <v/>
      </c>
      <c r="I91" s="40" t="str">
        <f>_xlfn.XLOOKUP(A91,Output_Mac!A:A,Output_Mac!I:I,"")</f>
        <v/>
      </c>
      <c r="J91" s="40" t="str" cm="1">
        <f t="array" ref="J91">IFERROR(_xlfn.LET(
_xlpm.CSVVal,_xlfn.XLOOKUP($A91,CSV!$A:$A,CSV!I:I,""),
_xlpm.MacVal,_xlfn.XLOOKUP($A91,Output_Mac!$A:$A,Output_Mac!J:J,""),
_xlpm.MyAuditVal,_xlfn.XLOOKUP($A91,My_Audit!$A:$A,My_Audit!I:I,""),
_xlfn.IFS(_xlpm.MyAuditVal&lt;&gt;"",UPPER(_xlpm.MyAuditVal),_xlpm.MacVal&lt;&gt;"",_xlpm.MacVal,_xlpm.CSVVal&lt;&gt;"",_xlpm.CSVVal
)),"")</f>
        <v/>
      </c>
      <c r="K91" s="40" t="str" cm="1">
        <f t="array" ref="K91">IFERROR(_xlfn.LET(
_xlpm.CSVVal,_xlfn.XLOOKUP($A91,CSV!$A:$A,CSV!K:K,""),
_xlpm.MacVal,_xlfn.XLOOKUP($A91,Output_Mac!$A:$A,Output_Mac!K:K,""),
_xlpm.MyAuditVal,_xlfn.XLOOKUP($A91,My_Audit!$A:$A,My_Audit!J:J,""),
_xlfn.IFS(_xlpm.MyAuditVal&lt;&gt;"",UPPER(_xlpm.MyAuditVal),_xlpm.MacVal&lt;&gt;"",_xlpm.MacVal,_xlpm.CSVVal&lt;&gt;"",_xlpm.CSVVal
)),"")</f>
        <v/>
      </c>
      <c r="L91" s="40" t="str" cm="1">
        <f t="array" ref="L91">IFERROR(_xlfn.LET(
_xlpm.CSVVal,_xlfn.XLOOKUP($A91,CSV!$A:$A,CSV!P:P,""),
_xlpm.MacVal,_xlfn.XLOOKUP($A91,Output_Mac!$A:$A,Output_Mac!L:L,""),
_xlpm.MyAuditVal,_xlfn.XLOOKUP($A91,My_Audit!$A:$A,My_Audit!K:K,""),
_xlfn.IFS(_xlpm.MyAuditVal&lt;&gt;"",UPPER(_xlpm.MyAuditVal),_xlpm.MacVal&lt;&gt;"",_xlpm.MacVal,_xlpm.CSVVal&lt;&gt;"",_xlpm.CSVVal
)),"")</f>
        <v/>
      </c>
      <c r="M91" s="40" t="str" cm="1">
        <f t="array" ref="M91">IFERROR(_xlfn.LET(
_xlpm.CSVVal,_xlfn.XLOOKUP($A91,CSV!$A:$A,CSV!Q:Q,""),
_xlpm.MacVal,_xlfn.XLOOKUP($A91,Output_Mac!$A:$A,Output_Mac!M:M,""),
_xlpm.MyAuditVal,_xlfn.XLOOKUP($A91,My_Audit!$A:$A,My_Audit!L:L,""),
_xlfn.IFS(_xlpm.MyAuditVal&lt;&gt;"",UPPER(_xlpm.MyAuditVal),_xlpm.MacVal&lt;&gt;"",_xlpm.MacVal,_xlpm.CSVVal&lt;&gt;"",_xlpm.CSVVal
)),"")</f>
        <v/>
      </c>
      <c r="N91" s="40"/>
      <c r="O91" s="40" t="str">
        <f>_xlfn.LET(
    _xlpm.CSVVal, _xlfn.XLOOKUP($A91, CSV!$A:$A, CSV!AA:AA, ""),
    _xlpm.MacVal, _xlfn.XLOOKUP($A91, Output_Mac!$A:$A, Output_Mac!S:S, ""),
    _xlpm.MyAuditVal, _xlfn.XLOOKUP($A91, My_Audit!$A:$A, My_Audit!P:P, ""),
    _xlfn.TEXTJOIN(", ", TRUE, _xlpm.MyAuditVal, _xlpm.MacVal, _xlpm.CSVVal)
)</f>
        <v/>
      </c>
      <c r="P91" s="40" t="str" cm="1">
        <f t="array" ref="P91">IFERROR(_xlfn.LET(
_xlpm.CSVVal,_xlfn.XLOOKUP($A91,CSV!$A:$A,CSV!AB:AB,""),
_xlpm.MacVal,_xlfn.XLOOKUP($A91,Output_Mac!$A:$A,Output_Mac!T:T,""),
_xlpm.MyAuditVal,_xlfn.XLOOKUP($A91,My_Audit!$A:$A,My_Audit!Q:Q,""),
_xlfn.IFS(_xlpm.MyAuditVal&lt;&gt;"",UPPER(_xlpm.MyAuditVal),_xlpm.MacVal&lt;&gt;"",_xlpm.MacVal,_xlpm.CSVVal&lt;&gt;"",_xlpm.CSVVal
)),"No")</f>
        <v>No</v>
      </c>
      <c r="Q91" s="40" t="str" cm="1">
        <f t="array" ref="Q91">IFERROR(_xlfn.LET(
_xlpm.CSVVal,_xlfn.XLOOKUP($A91,CSV!$A:$A,CSV!AC:AC,""),
_xlpm.MacVal,_xlfn.XLOOKUP($A91,Output_Mac!$A:$A,Output_Mac!U:U,""),
_xlpm.MyAuditVal,_xlfn.XLOOKUP($A91,My_Audit!$A:$A,My_Audit!R:R,""),
_xlfn.IFS(_xlpm.MyAuditVal&lt;&gt;"",UPPER(_xlpm.MyAuditVal),_xlpm.MacVal&lt;&gt;"",_xlpm.MacVal,_xlpm.CSVVal&lt;&gt;"",_xlpm.CSVVal
)),"")</f>
        <v/>
      </c>
      <c r="R91" s="40"/>
      <c r="S91" s="40"/>
      <c r="T91" s="40"/>
      <c r="U91" s="40"/>
      <c r="V91" s="40"/>
      <c r="W91" s="40"/>
      <c r="X91" s="41" t="str">
        <f>_xlfn.LET(
    _xlpm.MacVal, _xlfn.XLOOKUP($A91, Output_Mac!$A:$A, Output_Mac!AB:AB, ""),
    _xlpm.MyAuditVal, _xlfn.XLOOKUP($A91, My_Audit!$A:$A, My_Audit!N:N, ""),
    _xlfn.TEXTJOIN(", ", TRUE, _xlpm.MyAuditVal, _xlpm.MacVal)
)</f>
        <v/>
      </c>
    </row>
    <row r="92" spans="1:24">
      <c r="A92" s="40" t="str">
        <f>_xlfn.TEXTJOIN("",TRUE,Input!$B$2,ROW(My_Audit!A91))</f>
        <v>X91</v>
      </c>
      <c r="B92" s="40" t="str">
        <f>_xlfn.TEXTJOIN("-",TRUE,"ITD",Input!$A$2,A92)</f>
        <v>ITD-X91</v>
      </c>
      <c r="C92" s="40" t="str" cm="1">
        <f t="array" ref="C92">IFERROR(_xlfn.LET(
_xlpm.CSVVal,_xlfn.XLOOKUP($A92,CSV!$A:$A,CSV!B:B,""),
_xlpm.MacVal,_xlfn.XLOOKUP($A92,Output_Mac!$A:$A,Output_Mac!B:B,""),
_xlpm.MyAuditVal,_xlfn.XLOOKUP($A92,My_Audit!$A:$A,My_Audit!B:B,""),
_xlfn.IFS(_xlpm.MyAuditVal&lt;&gt;"",UPPER(_xlpm.MyAuditVal),_xlpm.MacVal&lt;&gt;"",_xlpm.MacVal,_xlpm.CSVVal&lt;&gt;"",_xlpm.CSVVal
)),"")</f>
        <v/>
      </c>
      <c r="D92" s="40" t="str" cm="1">
        <f t="array" ref="D92">IFERROR(_xlfn.LET(
_xlpm.CSVVal,_xlfn.XLOOKUP($A92,CSV!$A:$A,CSV!D:D,""),
_xlpm.MacVal,_xlfn.XLOOKUP($A92,Output_Mac!$A:$A,Output_Mac!C:C,""),
_xlpm.MyAuditVal,_xlfn.XLOOKUP($A92,My_Audit!$A:$A,My_Audit!C:C,""),
_xlfn.IFS(_xlpm.MyAuditVal&lt;&gt;"",_xlpm.MyAuditVal,_xlpm.MacVal&lt;&gt;"",_xlpm.MacVal,_xlpm.CSVVal&lt;&gt;"",_xlpm.CSVVal
)),"")</f>
        <v/>
      </c>
      <c r="E92" s="40">
        <f>_xlfn.XLOOKUP(A92,My_Audit!A:A,My_Audit!D:D,"")</f>
        <v>0</v>
      </c>
      <c r="F92" s="40" t="str" cm="1">
        <f t="array" ref="F92">IFERROR(_xlfn.LET(
_xlpm.CSVVal,_xlfn.XLOOKUP($A92,CSV!$A:$A,CSV!F:F,""),
_xlpm.MacVal,_xlfn.XLOOKUP($A92,Output_Mac!$A:$A,Output_Mac!E:E,""),
_xlpm.MyAuditVal,_xlfn.XLOOKUP($A92,My_Audit!$A:$A,My_Audit!E:E,""),
_xlfn.IFS(_xlpm.MyAuditVal&lt;&gt;"",_xlpm.MyAuditVal,_xlpm.MacVal&lt;&gt;"",_xlpm.MacVal,_xlpm.CSVVal&lt;&gt;"",_xlpm.CSVVal
)),"")</f>
        <v/>
      </c>
      <c r="G92" s="40" t="str" cm="1">
        <f t="array" ref="G92">IFERROR(_xlfn.LET(
_xlpm.CSVVal,_xlfn.XLOOKUP($A92,CSV!$A:$A,CSV!G:G,""),
_xlpm.MacVal,_xlfn.XLOOKUP($A92,Output_Mac!$A:$A,Output_Mac!F:F,""),
_xlpm.MyAuditVal,_xlfn.XLOOKUP($A92,My_Audit!$A:$A,My_Audit!F:F,""),
_xlfn.IFS(_xlpm.MyAuditVal&lt;&gt;"",_xlpm.MyAuditVal,_xlpm.MacVal&lt;&gt;"",_xlpm.MacVal,_xlpm.CSVVal&lt;&gt;"",PROPER(_xlpm.CSVVal)
)),"")</f>
        <v/>
      </c>
      <c r="H92" s="40" t="str" cm="1">
        <f t="array" ref="H92">IFERROR(_xlfn.LET(
_xlpm.CSVVal,_xlfn.XLOOKUP($A92,CSV!$A:$A,CSV!H:H,""),
_xlpm.MacVal,_xlfn.XLOOKUP($A92,Output_Mac!$A:$A,Output_Mac!H:H,""),
_xlpm.MyAuditVal,_xlfn.XLOOKUP($A92,My_Audit!$A:$A,My_Audit!G:G,""),
_xlfn.IFS(_xlpm.MyAuditVal&lt;&gt;"",_xlpm.MyAuditVal,_xlpm.MacVal&lt;&gt;"",_xlpm.MacVal,_xlpm.CSVVal&lt;&gt;"",_xlpm.CSVVal
)),"")</f>
        <v/>
      </c>
      <c r="I92" s="40" t="str">
        <f>_xlfn.XLOOKUP(A92,Output_Mac!A:A,Output_Mac!I:I,"")</f>
        <v/>
      </c>
      <c r="J92" s="40" t="str" cm="1">
        <f t="array" ref="J92">IFERROR(_xlfn.LET(
_xlpm.CSVVal,_xlfn.XLOOKUP($A92,CSV!$A:$A,CSV!I:I,""),
_xlpm.MacVal,_xlfn.XLOOKUP($A92,Output_Mac!$A:$A,Output_Mac!J:J,""),
_xlpm.MyAuditVal,_xlfn.XLOOKUP($A92,My_Audit!$A:$A,My_Audit!I:I,""),
_xlfn.IFS(_xlpm.MyAuditVal&lt;&gt;"",UPPER(_xlpm.MyAuditVal),_xlpm.MacVal&lt;&gt;"",_xlpm.MacVal,_xlpm.CSVVal&lt;&gt;"",_xlpm.CSVVal
)),"")</f>
        <v/>
      </c>
      <c r="K92" s="40" t="str" cm="1">
        <f t="array" ref="K92">IFERROR(_xlfn.LET(
_xlpm.CSVVal,_xlfn.XLOOKUP($A92,CSV!$A:$A,CSV!K:K,""),
_xlpm.MacVal,_xlfn.XLOOKUP($A92,Output_Mac!$A:$A,Output_Mac!K:K,""),
_xlpm.MyAuditVal,_xlfn.XLOOKUP($A92,My_Audit!$A:$A,My_Audit!J:J,""),
_xlfn.IFS(_xlpm.MyAuditVal&lt;&gt;"",UPPER(_xlpm.MyAuditVal),_xlpm.MacVal&lt;&gt;"",_xlpm.MacVal,_xlpm.CSVVal&lt;&gt;"",_xlpm.CSVVal
)),"")</f>
        <v/>
      </c>
      <c r="L92" s="40" t="str" cm="1">
        <f t="array" ref="L92">IFERROR(_xlfn.LET(
_xlpm.CSVVal,_xlfn.XLOOKUP($A92,CSV!$A:$A,CSV!P:P,""),
_xlpm.MacVal,_xlfn.XLOOKUP($A92,Output_Mac!$A:$A,Output_Mac!L:L,""),
_xlpm.MyAuditVal,_xlfn.XLOOKUP($A92,My_Audit!$A:$A,My_Audit!K:K,""),
_xlfn.IFS(_xlpm.MyAuditVal&lt;&gt;"",UPPER(_xlpm.MyAuditVal),_xlpm.MacVal&lt;&gt;"",_xlpm.MacVal,_xlpm.CSVVal&lt;&gt;"",_xlpm.CSVVal
)),"")</f>
        <v/>
      </c>
      <c r="M92" s="40" t="str" cm="1">
        <f t="array" ref="M92">IFERROR(_xlfn.LET(
_xlpm.CSVVal,_xlfn.XLOOKUP($A92,CSV!$A:$A,CSV!Q:Q,""),
_xlpm.MacVal,_xlfn.XLOOKUP($A92,Output_Mac!$A:$A,Output_Mac!M:M,""),
_xlpm.MyAuditVal,_xlfn.XLOOKUP($A92,My_Audit!$A:$A,My_Audit!L:L,""),
_xlfn.IFS(_xlpm.MyAuditVal&lt;&gt;"",UPPER(_xlpm.MyAuditVal),_xlpm.MacVal&lt;&gt;"",_xlpm.MacVal,_xlpm.CSVVal&lt;&gt;"",_xlpm.CSVVal
)),"")</f>
        <v/>
      </c>
      <c r="N92" s="40"/>
      <c r="O92" s="40" t="str">
        <f>_xlfn.LET(
    _xlpm.CSVVal, _xlfn.XLOOKUP($A92, CSV!$A:$A, CSV!AA:AA, ""),
    _xlpm.MacVal, _xlfn.XLOOKUP($A92, Output_Mac!$A:$A, Output_Mac!S:S, ""),
    _xlpm.MyAuditVal, _xlfn.XLOOKUP($A92, My_Audit!$A:$A, My_Audit!P:P, ""),
    _xlfn.TEXTJOIN(", ", TRUE, _xlpm.MyAuditVal, _xlpm.MacVal, _xlpm.CSVVal)
)</f>
        <v/>
      </c>
      <c r="P92" s="40" t="str" cm="1">
        <f t="array" ref="P92">IFERROR(_xlfn.LET(
_xlpm.CSVVal,_xlfn.XLOOKUP($A92,CSV!$A:$A,CSV!AB:AB,""),
_xlpm.MacVal,_xlfn.XLOOKUP($A92,Output_Mac!$A:$A,Output_Mac!T:T,""),
_xlpm.MyAuditVal,_xlfn.XLOOKUP($A92,My_Audit!$A:$A,My_Audit!Q:Q,""),
_xlfn.IFS(_xlpm.MyAuditVal&lt;&gt;"",UPPER(_xlpm.MyAuditVal),_xlpm.MacVal&lt;&gt;"",_xlpm.MacVal,_xlpm.CSVVal&lt;&gt;"",_xlpm.CSVVal
)),"No")</f>
        <v>No</v>
      </c>
      <c r="Q92" s="40" t="str" cm="1">
        <f t="array" ref="Q92">IFERROR(_xlfn.LET(
_xlpm.CSVVal,_xlfn.XLOOKUP($A92,CSV!$A:$A,CSV!AC:AC,""),
_xlpm.MacVal,_xlfn.XLOOKUP($A92,Output_Mac!$A:$A,Output_Mac!U:U,""),
_xlpm.MyAuditVal,_xlfn.XLOOKUP($A92,My_Audit!$A:$A,My_Audit!R:R,""),
_xlfn.IFS(_xlpm.MyAuditVal&lt;&gt;"",UPPER(_xlpm.MyAuditVal),_xlpm.MacVal&lt;&gt;"",_xlpm.MacVal,_xlpm.CSVVal&lt;&gt;"",_xlpm.CSVVal
)),"")</f>
        <v/>
      </c>
      <c r="R92" s="40"/>
      <c r="S92" s="40"/>
      <c r="T92" s="40"/>
      <c r="U92" s="40"/>
      <c r="V92" s="40"/>
      <c r="W92" s="40"/>
      <c r="X92" s="41" t="str">
        <f>_xlfn.LET(
    _xlpm.MacVal, _xlfn.XLOOKUP($A92, Output_Mac!$A:$A, Output_Mac!AB:AB, ""),
    _xlpm.MyAuditVal, _xlfn.XLOOKUP($A92, My_Audit!$A:$A, My_Audit!N:N, ""),
    _xlfn.TEXTJOIN(", ", TRUE, _xlpm.MyAuditVal, _xlpm.MacVal)
)</f>
        <v/>
      </c>
    </row>
    <row r="93" spans="1:24">
      <c r="A93" s="40" t="str">
        <f>_xlfn.TEXTJOIN("",TRUE,Input!$B$2,ROW(My_Audit!A92))</f>
        <v>X92</v>
      </c>
      <c r="B93" s="40" t="str">
        <f>_xlfn.TEXTJOIN("-",TRUE,"ITD",Input!$A$2,A93)</f>
        <v>ITD-X92</v>
      </c>
      <c r="C93" s="40" t="str" cm="1">
        <f t="array" ref="C93">IFERROR(_xlfn.LET(
_xlpm.CSVVal,_xlfn.XLOOKUP($A93,CSV!$A:$A,CSV!B:B,""),
_xlpm.MacVal,_xlfn.XLOOKUP($A93,Output_Mac!$A:$A,Output_Mac!B:B,""),
_xlpm.MyAuditVal,_xlfn.XLOOKUP($A93,My_Audit!$A:$A,My_Audit!B:B,""),
_xlfn.IFS(_xlpm.MyAuditVal&lt;&gt;"",UPPER(_xlpm.MyAuditVal),_xlpm.MacVal&lt;&gt;"",_xlpm.MacVal,_xlpm.CSVVal&lt;&gt;"",_xlpm.CSVVal
)),"")</f>
        <v/>
      </c>
      <c r="D93" s="40" t="str" cm="1">
        <f t="array" ref="D93">IFERROR(_xlfn.LET(
_xlpm.CSVVal,_xlfn.XLOOKUP($A93,CSV!$A:$A,CSV!D:D,""),
_xlpm.MacVal,_xlfn.XLOOKUP($A93,Output_Mac!$A:$A,Output_Mac!C:C,""),
_xlpm.MyAuditVal,_xlfn.XLOOKUP($A93,My_Audit!$A:$A,My_Audit!C:C,""),
_xlfn.IFS(_xlpm.MyAuditVal&lt;&gt;"",_xlpm.MyAuditVal,_xlpm.MacVal&lt;&gt;"",_xlpm.MacVal,_xlpm.CSVVal&lt;&gt;"",_xlpm.CSVVal
)),"")</f>
        <v/>
      </c>
      <c r="E93" s="40">
        <f>_xlfn.XLOOKUP(A93,My_Audit!A:A,My_Audit!D:D,"")</f>
        <v>0</v>
      </c>
      <c r="F93" s="40" t="str" cm="1">
        <f t="array" ref="F93">IFERROR(_xlfn.LET(
_xlpm.CSVVal,_xlfn.XLOOKUP($A93,CSV!$A:$A,CSV!F:F,""),
_xlpm.MacVal,_xlfn.XLOOKUP($A93,Output_Mac!$A:$A,Output_Mac!E:E,""),
_xlpm.MyAuditVal,_xlfn.XLOOKUP($A93,My_Audit!$A:$A,My_Audit!E:E,""),
_xlfn.IFS(_xlpm.MyAuditVal&lt;&gt;"",_xlpm.MyAuditVal,_xlpm.MacVal&lt;&gt;"",_xlpm.MacVal,_xlpm.CSVVal&lt;&gt;"",_xlpm.CSVVal
)),"")</f>
        <v/>
      </c>
      <c r="G93" s="40" t="str" cm="1">
        <f t="array" ref="G93">IFERROR(_xlfn.LET(
_xlpm.CSVVal,_xlfn.XLOOKUP($A93,CSV!$A:$A,CSV!G:G,""),
_xlpm.MacVal,_xlfn.XLOOKUP($A93,Output_Mac!$A:$A,Output_Mac!F:F,""),
_xlpm.MyAuditVal,_xlfn.XLOOKUP($A93,My_Audit!$A:$A,My_Audit!F:F,""),
_xlfn.IFS(_xlpm.MyAuditVal&lt;&gt;"",_xlpm.MyAuditVal,_xlpm.MacVal&lt;&gt;"",_xlpm.MacVal,_xlpm.CSVVal&lt;&gt;"",PROPER(_xlpm.CSVVal)
)),"")</f>
        <v/>
      </c>
      <c r="H93" s="40" t="str" cm="1">
        <f t="array" ref="H93">IFERROR(_xlfn.LET(
_xlpm.CSVVal,_xlfn.XLOOKUP($A93,CSV!$A:$A,CSV!H:H,""),
_xlpm.MacVal,_xlfn.XLOOKUP($A93,Output_Mac!$A:$A,Output_Mac!H:H,""),
_xlpm.MyAuditVal,_xlfn.XLOOKUP($A93,My_Audit!$A:$A,My_Audit!G:G,""),
_xlfn.IFS(_xlpm.MyAuditVal&lt;&gt;"",_xlpm.MyAuditVal,_xlpm.MacVal&lt;&gt;"",_xlpm.MacVal,_xlpm.CSVVal&lt;&gt;"",_xlpm.CSVVal
)),"")</f>
        <v/>
      </c>
      <c r="I93" s="40" t="str">
        <f>_xlfn.XLOOKUP(A93,Output_Mac!A:A,Output_Mac!I:I,"")</f>
        <v/>
      </c>
      <c r="J93" s="40" t="str" cm="1">
        <f t="array" ref="J93">IFERROR(_xlfn.LET(
_xlpm.CSVVal,_xlfn.XLOOKUP($A93,CSV!$A:$A,CSV!I:I,""),
_xlpm.MacVal,_xlfn.XLOOKUP($A93,Output_Mac!$A:$A,Output_Mac!J:J,""),
_xlpm.MyAuditVal,_xlfn.XLOOKUP($A93,My_Audit!$A:$A,My_Audit!I:I,""),
_xlfn.IFS(_xlpm.MyAuditVal&lt;&gt;"",UPPER(_xlpm.MyAuditVal),_xlpm.MacVal&lt;&gt;"",_xlpm.MacVal,_xlpm.CSVVal&lt;&gt;"",_xlpm.CSVVal
)),"")</f>
        <v/>
      </c>
      <c r="K93" s="40" t="str" cm="1">
        <f t="array" ref="K93">IFERROR(_xlfn.LET(
_xlpm.CSVVal,_xlfn.XLOOKUP($A93,CSV!$A:$A,CSV!K:K,""),
_xlpm.MacVal,_xlfn.XLOOKUP($A93,Output_Mac!$A:$A,Output_Mac!K:K,""),
_xlpm.MyAuditVal,_xlfn.XLOOKUP($A93,My_Audit!$A:$A,My_Audit!J:J,""),
_xlfn.IFS(_xlpm.MyAuditVal&lt;&gt;"",UPPER(_xlpm.MyAuditVal),_xlpm.MacVal&lt;&gt;"",_xlpm.MacVal,_xlpm.CSVVal&lt;&gt;"",_xlpm.CSVVal
)),"")</f>
        <v/>
      </c>
      <c r="L93" s="40" t="str" cm="1">
        <f t="array" ref="L93">IFERROR(_xlfn.LET(
_xlpm.CSVVal,_xlfn.XLOOKUP($A93,CSV!$A:$A,CSV!P:P,""),
_xlpm.MacVal,_xlfn.XLOOKUP($A93,Output_Mac!$A:$A,Output_Mac!L:L,""),
_xlpm.MyAuditVal,_xlfn.XLOOKUP($A93,My_Audit!$A:$A,My_Audit!K:K,""),
_xlfn.IFS(_xlpm.MyAuditVal&lt;&gt;"",UPPER(_xlpm.MyAuditVal),_xlpm.MacVal&lt;&gt;"",_xlpm.MacVal,_xlpm.CSVVal&lt;&gt;"",_xlpm.CSVVal
)),"")</f>
        <v/>
      </c>
      <c r="M93" s="40" t="str" cm="1">
        <f t="array" ref="M93">IFERROR(_xlfn.LET(
_xlpm.CSVVal,_xlfn.XLOOKUP($A93,CSV!$A:$A,CSV!Q:Q,""),
_xlpm.MacVal,_xlfn.XLOOKUP($A93,Output_Mac!$A:$A,Output_Mac!M:M,""),
_xlpm.MyAuditVal,_xlfn.XLOOKUP($A93,My_Audit!$A:$A,My_Audit!L:L,""),
_xlfn.IFS(_xlpm.MyAuditVal&lt;&gt;"",UPPER(_xlpm.MyAuditVal),_xlpm.MacVal&lt;&gt;"",_xlpm.MacVal,_xlpm.CSVVal&lt;&gt;"",_xlpm.CSVVal
)),"")</f>
        <v/>
      </c>
      <c r="N93" s="40"/>
      <c r="O93" s="40" t="str">
        <f>_xlfn.LET(
    _xlpm.CSVVal, _xlfn.XLOOKUP($A93, CSV!$A:$A, CSV!AA:AA, ""),
    _xlpm.MacVal, _xlfn.XLOOKUP($A93, Output_Mac!$A:$A, Output_Mac!S:S, ""),
    _xlpm.MyAuditVal, _xlfn.XLOOKUP($A93, My_Audit!$A:$A, My_Audit!P:P, ""),
    _xlfn.TEXTJOIN(", ", TRUE, _xlpm.MyAuditVal, _xlpm.MacVal, _xlpm.CSVVal)
)</f>
        <v/>
      </c>
      <c r="P93" s="40" t="str" cm="1">
        <f t="array" ref="P93">IFERROR(_xlfn.LET(
_xlpm.CSVVal,_xlfn.XLOOKUP($A93,CSV!$A:$A,CSV!AB:AB,""),
_xlpm.MacVal,_xlfn.XLOOKUP($A93,Output_Mac!$A:$A,Output_Mac!T:T,""),
_xlpm.MyAuditVal,_xlfn.XLOOKUP($A93,My_Audit!$A:$A,My_Audit!Q:Q,""),
_xlfn.IFS(_xlpm.MyAuditVal&lt;&gt;"",UPPER(_xlpm.MyAuditVal),_xlpm.MacVal&lt;&gt;"",_xlpm.MacVal,_xlpm.CSVVal&lt;&gt;"",_xlpm.CSVVal
)),"No")</f>
        <v>No</v>
      </c>
      <c r="Q93" s="40" t="str" cm="1">
        <f t="array" ref="Q93">IFERROR(_xlfn.LET(
_xlpm.CSVVal,_xlfn.XLOOKUP($A93,CSV!$A:$A,CSV!AC:AC,""),
_xlpm.MacVal,_xlfn.XLOOKUP($A93,Output_Mac!$A:$A,Output_Mac!U:U,""),
_xlpm.MyAuditVal,_xlfn.XLOOKUP($A93,My_Audit!$A:$A,My_Audit!R:R,""),
_xlfn.IFS(_xlpm.MyAuditVal&lt;&gt;"",UPPER(_xlpm.MyAuditVal),_xlpm.MacVal&lt;&gt;"",_xlpm.MacVal,_xlpm.CSVVal&lt;&gt;"",_xlpm.CSVVal
)),"")</f>
        <v/>
      </c>
      <c r="R93" s="40"/>
      <c r="S93" s="40"/>
      <c r="T93" s="40"/>
      <c r="U93" s="40"/>
      <c r="V93" s="40"/>
      <c r="W93" s="40"/>
      <c r="X93" s="41" t="str">
        <f>_xlfn.LET(
    _xlpm.MacVal, _xlfn.XLOOKUP($A93, Output_Mac!$A:$A, Output_Mac!AB:AB, ""),
    _xlpm.MyAuditVal, _xlfn.XLOOKUP($A93, My_Audit!$A:$A, My_Audit!N:N, ""),
    _xlfn.TEXTJOIN(", ", TRUE, _xlpm.MyAuditVal, _xlpm.MacVal)
)</f>
        <v/>
      </c>
    </row>
    <row r="94" spans="1:24">
      <c r="A94" s="40" t="str">
        <f>_xlfn.TEXTJOIN("",TRUE,Input!$B$2,ROW(My_Audit!A93))</f>
        <v>X93</v>
      </c>
      <c r="B94" s="40" t="str">
        <f>_xlfn.TEXTJOIN("-",TRUE,"ITD",Input!$A$2,A94)</f>
        <v>ITD-X93</v>
      </c>
      <c r="C94" s="40" t="str" cm="1">
        <f t="array" ref="C94">IFERROR(_xlfn.LET(
_xlpm.CSVVal,_xlfn.XLOOKUP($A94,CSV!$A:$A,CSV!B:B,""),
_xlpm.MacVal,_xlfn.XLOOKUP($A94,Output_Mac!$A:$A,Output_Mac!B:B,""),
_xlpm.MyAuditVal,_xlfn.XLOOKUP($A94,My_Audit!$A:$A,My_Audit!B:B,""),
_xlfn.IFS(_xlpm.MyAuditVal&lt;&gt;"",UPPER(_xlpm.MyAuditVal),_xlpm.MacVal&lt;&gt;"",_xlpm.MacVal,_xlpm.CSVVal&lt;&gt;"",_xlpm.CSVVal
)),"")</f>
        <v/>
      </c>
      <c r="D94" s="40" t="str" cm="1">
        <f t="array" ref="D94">IFERROR(_xlfn.LET(
_xlpm.CSVVal,_xlfn.XLOOKUP($A94,CSV!$A:$A,CSV!D:D,""),
_xlpm.MacVal,_xlfn.XLOOKUP($A94,Output_Mac!$A:$A,Output_Mac!C:C,""),
_xlpm.MyAuditVal,_xlfn.XLOOKUP($A94,My_Audit!$A:$A,My_Audit!C:C,""),
_xlfn.IFS(_xlpm.MyAuditVal&lt;&gt;"",_xlpm.MyAuditVal,_xlpm.MacVal&lt;&gt;"",_xlpm.MacVal,_xlpm.CSVVal&lt;&gt;"",_xlpm.CSVVal
)),"")</f>
        <v/>
      </c>
      <c r="E94" s="40">
        <f>_xlfn.XLOOKUP(A94,My_Audit!A:A,My_Audit!D:D,"")</f>
        <v>0</v>
      </c>
      <c r="F94" s="40" t="str" cm="1">
        <f t="array" ref="F94">IFERROR(_xlfn.LET(
_xlpm.CSVVal,_xlfn.XLOOKUP($A94,CSV!$A:$A,CSV!F:F,""),
_xlpm.MacVal,_xlfn.XLOOKUP($A94,Output_Mac!$A:$A,Output_Mac!E:E,""),
_xlpm.MyAuditVal,_xlfn.XLOOKUP($A94,My_Audit!$A:$A,My_Audit!E:E,""),
_xlfn.IFS(_xlpm.MyAuditVal&lt;&gt;"",_xlpm.MyAuditVal,_xlpm.MacVal&lt;&gt;"",_xlpm.MacVal,_xlpm.CSVVal&lt;&gt;"",_xlpm.CSVVal
)),"")</f>
        <v/>
      </c>
      <c r="G94" s="40" t="str" cm="1">
        <f t="array" ref="G94">IFERROR(_xlfn.LET(
_xlpm.CSVVal,_xlfn.XLOOKUP($A94,CSV!$A:$A,CSV!G:G,""),
_xlpm.MacVal,_xlfn.XLOOKUP($A94,Output_Mac!$A:$A,Output_Mac!F:F,""),
_xlpm.MyAuditVal,_xlfn.XLOOKUP($A94,My_Audit!$A:$A,My_Audit!F:F,""),
_xlfn.IFS(_xlpm.MyAuditVal&lt;&gt;"",_xlpm.MyAuditVal,_xlpm.MacVal&lt;&gt;"",_xlpm.MacVal,_xlpm.CSVVal&lt;&gt;"",PROPER(_xlpm.CSVVal)
)),"")</f>
        <v/>
      </c>
      <c r="H94" s="40" t="str" cm="1">
        <f t="array" ref="H94">IFERROR(_xlfn.LET(
_xlpm.CSVVal,_xlfn.XLOOKUP($A94,CSV!$A:$A,CSV!H:H,""),
_xlpm.MacVal,_xlfn.XLOOKUP($A94,Output_Mac!$A:$A,Output_Mac!H:H,""),
_xlpm.MyAuditVal,_xlfn.XLOOKUP($A94,My_Audit!$A:$A,My_Audit!G:G,""),
_xlfn.IFS(_xlpm.MyAuditVal&lt;&gt;"",_xlpm.MyAuditVal,_xlpm.MacVal&lt;&gt;"",_xlpm.MacVal,_xlpm.CSVVal&lt;&gt;"",_xlpm.CSVVal
)),"")</f>
        <v/>
      </c>
      <c r="I94" s="40" t="str">
        <f>_xlfn.XLOOKUP(A94,Output_Mac!A:A,Output_Mac!I:I,"")</f>
        <v/>
      </c>
      <c r="J94" s="40" t="str" cm="1">
        <f t="array" ref="J94">IFERROR(_xlfn.LET(
_xlpm.CSVVal,_xlfn.XLOOKUP($A94,CSV!$A:$A,CSV!I:I,""),
_xlpm.MacVal,_xlfn.XLOOKUP($A94,Output_Mac!$A:$A,Output_Mac!J:J,""),
_xlpm.MyAuditVal,_xlfn.XLOOKUP($A94,My_Audit!$A:$A,My_Audit!I:I,""),
_xlfn.IFS(_xlpm.MyAuditVal&lt;&gt;"",UPPER(_xlpm.MyAuditVal),_xlpm.MacVal&lt;&gt;"",_xlpm.MacVal,_xlpm.CSVVal&lt;&gt;"",_xlpm.CSVVal
)),"")</f>
        <v/>
      </c>
      <c r="K94" s="40" t="str" cm="1">
        <f t="array" ref="K94">IFERROR(_xlfn.LET(
_xlpm.CSVVal,_xlfn.XLOOKUP($A94,CSV!$A:$A,CSV!K:K,""),
_xlpm.MacVal,_xlfn.XLOOKUP($A94,Output_Mac!$A:$A,Output_Mac!K:K,""),
_xlpm.MyAuditVal,_xlfn.XLOOKUP($A94,My_Audit!$A:$A,My_Audit!J:J,""),
_xlfn.IFS(_xlpm.MyAuditVal&lt;&gt;"",UPPER(_xlpm.MyAuditVal),_xlpm.MacVal&lt;&gt;"",_xlpm.MacVal,_xlpm.CSVVal&lt;&gt;"",_xlpm.CSVVal
)),"")</f>
        <v/>
      </c>
      <c r="L94" s="40" t="str" cm="1">
        <f t="array" ref="L94">IFERROR(_xlfn.LET(
_xlpm.CSVVal,_xlfn.XLOOKUP($A94,CSV!$A:$A,CSV!P:P,""),
_xlpm.MacVal,_xlfn.XLOOKUP($A94,Output_Mac!$A:$A,Output_Mac!L:L,""),
_xlpm.MyAuditVal,_xlfn.XLOOKUP($A94,My_Audit!$A:$A,My_Audit!K:K,""),
_xlfn.IFS(_xlpm.MyAuditVal&lt;&gt;"",UPPER(_xlpm.MyAuditVal),_xlpm.MacVal&lt;&gt;"",_xlpm.MacVal,_xlpm.CSVVal&lt;&gt;"",_xlpm.CSVVal
)),"")</f>
        <v/>
      </c>
      <c r="M94" s="40" t="str" cm="1">
        <f t="array" ref="M94">IFERROR(_xlfn.LET(
_xlpm.CSVVal,_xlfn.XLOOKUP($A94,CSV!$A:$A,CSV!Q:Q,""),
_xlpm.MacVal,_xlfn.XLOOKUP($A94,Output_Mac!$A:$A,Output_Mac!M:M,""),
_xlpm.MyAuditVal,_xlfn.XLOOKUP($A94,My_Audit!$A:$A,My_Audit!L:L,""),
_xlfn.IFS(_xlpm.MyAuditVal&lt;&gt;"",UPPER(_xlpm.MyAuditVal),_xlpm.MacVal&lt;&gt;"",_xlpm.MacVal,_xlpm.CSVVal&lt;&gt;"",_xlpm.CSVVal
)),"")</f>
        <v/>
      </c>
      <c r="N94" s="40"/>
      <c r="O94" s="40" t="str">
        <f>_xlfn.LET(
    _xlpm.CSVVal, _xlfn.XLOOKUP($A94, CSV!$A:$A, CSV!AA:AA, ""),
    _xlpm.MacVal, _xlfn.XLOOKUP($A94, Output_Mac!$A:$A, Output_Mac!S:S, ""),
    _xlpm.MyAuditVal, _xlfn.XLOOKUP($A94, My_Audit!$A:$A, My_Audit!P:P, ""),
    _xlfn.TEXTJOIN(", ", TRUE, _xlpm.MyAuditVal, _xlpm.MacVal, _xlpm.CSVVal)
)</f>
        <v/>
      </c>
      <c r="P94" s="40" t="str" cm="1">
        <f t="array" ref="P94">IFERROR(_xlfn.LET(
_xlpm.CSVVal,_xlfn.XLOOKUP($A94,CSV!$A:$A,CSV!AB:AB,""),
_xlpm.MacVal,_xlfn.XLOOKUP($A94,Output_Mac!$A:$A,Output_Mac!T:T,""),
_xlpm.MyAuditVal,_xlfn.XLOOKUP($A94,My_Audit!$A:$A,My_Audit!Q:Q,""),
_xlfn.IFS(_xlpm.MyAuditVal&lt;&gt;"",UPPER(_xlpm.MyAuditVal),_xlpm.MacVal&lt;&gt;"",_xlpm.MacVal,_xlpm.CSVVal&lt;&gt;"",_xlpm.CSVVal
)),"No")</f>
        <v>No</v>
      </c>
      <c r="Q94" s="40" t="str" cm="1">
        <f t="array" ref="Q94">IFERROR(_xlfn.LET(
_xlpm.CSVVal,_xlfn.XLOOKUP($A94,CSV!$A:$A,CSV!AC:AC,""),
_xlpm.MacVal,_xlfn.XLOOKUP($A94,Output_Mac!$A:$A,Output_Mac!U:U,""),
_xlpm.MyAuditVal,_xlfn.XLOOKUP($A94,My_Audit!$A:$A,My_Audit!R:R,""),
_xlfn.IFS(_xlpm.MyAuditVal&lt;&gt;"",UPPER(_xlpm.MyAuditVal),_xlpm.MacVal&lt;&gt;"",_xlpm.MacVal,_xlpm.CSVVal&lt;&gt;"",_xlpm.CSVVal
)),"")</f>
        <v/>
      </c>
      <c r="R94" s="40"/>
      <c r="S94" s="40"/>
      <c r="T94" s="40"/>
      <c r="U94" s="40"/>
      <c r="V94" s="40"/>
      <c r="W94" s="40"/>
      <c r="X94" s="41" t="str">
        <f>_xlfn.LET(
    _xlpm.MacVal, _xlfn.XLOOKUP($A94, Output_Mac!$A:$A, Output_Mac!AB:AB, ""),
    _xlpm.MyAuditVal, _xlfn.XLOOKUP($A94, My_Audit!$A:$A, My_Audit!N:N, ""),
    _xlfn.TEXTJOIN(", ", TRUE, _xlpm.MyAuditVal, _xlpm.MacVal)
)</f>
        <v/>
      </c>
    </row>
    <row r="95" spans="1:24">
      <c r="A95" s="40" t="str">
        <f>_xlfn.TEXTJOIN("",TRUE,Input!$B$2,ROW(My_Audit!A94))</f>
        <v>X94</v>
      </c>
      <c r="B95" s="40" t="str">
        <f>_xlfn.TEXTJOIN("-",TRUE,"ITD",Input!$A$2,A95)</f>
        <v>ITD-X94</v>
      </c>
      <c r="C95" s="40" t="str" cm="1">
        <f t="array" ref="C95">IFERROR(_xlfn.LET(
_xlpm.CSVVal,_xlfn.XLOOKUP($A95,CSV!$A:$A,CSV!B:B,""),
_xlpm.MacVal,_xlfn.XLOOKUP($A95,Output_Mac!$A:$A,Output_Mac!B:B,""),
_xlpm.MyAuditVal,_xlfn.XLOOKUP($A95,My_Audit!$A:$A,My_Audit!B:B,""),
_xlfn.IFS(_xlpm.MyAuditVal&lt;&gt;"",UPPER(_xlpm.MyAuditVal),_xlpm.MacVal&lt;&gt;"",_xlpm.MacVal,_xlpm.CSVVal&lt;&gt;"",_xlpm.CSVVal
)),"")</f>
        <v/>
      </c>
      <c r="D95" s="40" t="str" cm="1">
        <f t="array" ref="D95">IFERROR(_xlfn.LET(
_xlpm.CSVVal,_xlfn.XLOOKUP($A95,CSV!$A:$A,CSV!D:D,""),
_xlpm.MacVal,_xlfn.XLOOKUP($A95,Output_Mac!$A:$A,Output_Mac!C:C,""),
_xlpm.MyAuditVal,_xlfn.XLOOKUP($A95,My_Audit!$A:$A,My_Audit!C:C,""),
_xlfn.IFS(_xlpm.MyAuditVal&lt;&gt;"",_xlpm.MyAuditVal,_xlpm.MacVal&lt;&gt;"",_xlpm.MacVal,_xlpm.CSVVal&lt;&gt;"",_xlpm.CSVVal
)),"")</f>
        <v/>
      </c>
      <c r="E95" s="40">
        <f>_xlfn.XLOOKUP(A95,My_Audit!A:A,My_Audit!D:D,"")</f>
        <v>0</v>
      </c>
      <c r="F95" s="40" t="str" cm="1">
        <f t="array" ref="F95">IFERROR(_xlfn.LET(
_xlpm.CSVVal,_xlfn.XLOOKUP($A95,CSV!$A:$A,CSV!F:F,""),
_xlpm.MacVal,_xlfn.XLOOKUP($A95,Output_Mac!$A:$A,Output_Mac!E:E,""),
_xlpm.MyAuditVal,_xlfn.XLOOKUP($A95,My_Audit!$A:$A,My_Audit!E:E,""),
_xlfn.IFS(_xlpm.MyAuditVal&lt;&gt;"",_xlpm.MyAuditVal,_xlpm.MacVal&lt;&gt;"",_xlpm.MacVal,_xlpm.CSVVal&lt;&gt;"",_xlpm.CSVVal
)),"")</f>
        <v/>
      </c>
      <c r="G95" s="40" t="str" cm="1">
        <f t="array" ref="G95">IFERROR(_xlfn.LET(
_xlpm.CSVVal,_xlfn.XLOOKUP($A95,CSV!$A:$A,CSV!G:G,""),
_xlpm.MacVal,_xlfn.XLOOKUP($A95,Output_Mac!$A:$A,Output_Mac!F:F,""),
_xlpm.MyAuditVal,_xlfn.XLOOKUP($A95,My_Audit!$A:$A,My_Audit!F:F,""),
_xlfn.IFS(_xlpm.MyAuditVal&lt;&gt;"",_xlpm.MyAuditVal,_xlpm.MacVal&lt;&gt;"",_xlpm.MacVal,_xlpm.CSVVal&lt;&gt;"",PROPER(_xlpm.CSVVal)
)),"")</f>
        <v/>
      </c>
      <c r="H95" s="40" t="str" cm="1">
        <f t="array" ref="H95">IFERROR(_xlfn.LET(
_xlpm.CSVVal,_xlfn.XLOOKUP($A95,CSV!$A:$A,CSV!H:H,""),
_xlpm.MacVal,_xlfn.XLOOKUP($A95,Output_Mac!$A:$A,Output_Mac!H:H,""),
_xlpm.MyAuditVal,_xlfn.XLOOKUP($A95,My_Audit!$A:$A,My_Audit!G:G,""),
_xlfn.IFS(_xlpm.MyAuditVal&lt;&gt;"",_xlpm.MyAuditVal,_xlpm.MacVal&lt;&gt;"",_xlpm.MacVal,_xlpm.CSVVal&lt;&gt;"",_xlpm.CSVVal
)),"")</f>
        <v/>
      </c>
      <c r="I95" s="40" t="str">
        <f>_xlfn.XLOOKUP(A95,Output_Mac!A:A,Output_Mac!I:I,"")</f>
        <v/>
      </c>
      <c r="J95" s="40" t="str" cm="1">
        <f t="array" ref="J95">IFERROR(_xlfn.LET(
_xlpm.CSVVal,_xlfn.XLOOKUP($A95,CSV!$A:$A,CSV!I:I,""),
_xlpm.MacVal,_xlfn.XLOOKUP($A95,Output_Mac!$A:$A,Output_Mac!J:J,""),
_xlpm.MyAuditVal,_xlfn.XLOOKUP($A95,My_Audit!$A:$A,My_Audit!I:I,""),
_xlfn.IFS(_xlpm.MyAuditVal&lt;&gt;"",UPPER(_xlpm.MyAuditVal),_xlpm.MacVal&lt;&gt;"",_xlpm.MacVal,_xlpm.CSVVal&lt;&gt;"",_xlpm.CSVVal
)),"")</f>
        <v/>
      </c>
      <c r="K95" s="40" t="str" cm="1">
        <f t="array" ref="K95">IFERROR(_xlfn.LET(
_xlpm.CSVVal,_xlfn.XLOOKUP($A95,CSV!$A:$A,CSV!K:K,""),
_xlpm.MacVal,_xlfn.XLOOKUP($A95,Output_Mac!$A:$A,Output_Mac!K:K,""),
_xlpm.MyAuditVal,_xlfn.XLOOKUP($A95,My_Audit!$A:$A,My_Audit!J:J,""),
_xlfn.IFS(_xlpm.MyAuditVal&lt;&gt;"",UPPER(_xlpm.MyAuditVal),_xlpm.MacVal&lt;&gt;"",_xlpm.MacVal,_xlpm.CSVVal&lt;&gt;"",_xlpm.CSVVal
)),"")</f>
        <v/>
      </c>
      <c r="L95" s="40" t="str" cm="1">
        <f t="array" ref="L95">IFERROR(_xlfn.LET(
_xlpm.CSVVal,_xlfn.XLOOKUP($A95,CSV!$A:$A,CSV!P:P,""),
_xlpm.MacVal,_xlfn.XLOOKUP($A95,Output_Mac!$A:$A,Output_Mac!L:L,""),
_xlpm.MyAuditVal,_xlfn.XLOOKUP($A95,My_Audit!$A:$A,My_Audit!K:K,""),
_xlfn.IFS(_xlpm.MyAuditVal&lt;&gt;"",UPPER(_xlpm.MyAuditVal),_xlpm.MacVal&lt;&gt;"",_xlpm.MacVal,_xlpm.CSVVal&lt;&gt;"",_xlpm.CSVVal
)),"")</f>
        <v/>
      </c>
      <c r="M95" s="40" t="str" cm="1">
        <f t="array" ref="M95">IFERROR(_xlfn.LET(
_xlpm.CSVVal,_xlfn.XLOOKUP($A95,CSV!$A:$A,CSV!Q:Q,""),
_xlpm.MacVal,_xlfn.XLOOKUP($A95,Output_Mac!$A:$A,Output_Mac!M:M,""),
_xlpm.MyAuditVal,_xlfn.XLOOKUP($A95,My_Audit!$A:$A,My_Audit!L:L,""),
_xlfn.IFS(_xlpm.MyAuditVal&lt;&gt;"",UPPER(_xlpm.MyAuditVal),_xlpm.MacVal&lt;&gt;"",_xlpm.MacVal,_xlpm.CSVVal&lt;&gt;"",_xlpm.CSVVal
)),"")</f>
        <v/>
      </c>
      <c r="N95" s="40"/>
      <c r="O95" s="40" t="str">
        <f>_xlfn.LET(
    _xlpm.CSVVal, _xlfn.XLOOKUP($A95, CSV!$A:$A, CSV!AA:AA, ""),
    _xlpm.MacVal, _xlfn.XLOOKUP($A95, Output_Mac!$A:$A, Output_Mac!S:S, ""),
    _xlpm.MyAuditVal, _xlfn.XLOOKUP($A95, My_Audit!$A:$A, My_Audit!P:P, ""),
    _xlfn.TEXTJOIN(", ", TRUE, _xlpm.MyAuditVal, _xlpm.MacVal, _xlpm.CSVVal)
)</f>
        <v/>
      </c>
      <c r="P95" s="40" t="str" cm="1">
        <f t="array" ref="P95">IFERROR(_xlfn.LET(
_xlpm.CSVVal,_xlfn.XLOOKUP($A95,CSV!$A:$A,CSV!AB:AB,""),
_xlpm.MacVal,_xlfn.XLOOKUP($A95,Output_Mac!$A:$A,Output_Mac!T:T,""),
_xlpm.MyAuditVal,_xlfn.XLOOKUP($A95,My_Audit!$A:$A,My_Audit!Q:Q,""),
_xlfn.IFS(_xlpm.MyAuditVal&lt;&gt;"",UPPER(_xlpm.MyAuditVal),_xlpm.MacVal&lt;&gt;"",_xlpm.MacVal,_xlpm.CSVVal&lt;&gt;"",_xlpm.CSVVal
)),"No")</f>
        <v>No</v>
      </c>
      <c r="Q95" s="40" t="str" cm="1">
        <f t="array" ref="Q95">IFERROR(_xlfn.LET(
_xlpm.CSVVal,_xlfn.XLOOKUP($A95,CSV!$A:$A,CSV!AC:AC,""),
_xlpm.MacVal,_xlfn.XLOOKUP($A95,Output_Mac!$A:$A,Output_Mac!U:U,""),
_xlpm.MyAuditVal,_xlfn.XLOOKUP($A95,My_Audit!$A:$A,My_Audit!R:R,""),
_xlfn.IFS(_xlpm.MyAuditVal&lt;&gt;"",UPPER(_xlpm.MyAuditVal),_xlpm.MacVal&lt;&gt;"",_xlpm.MacVal,_xlpm.CSVVal&lt;&gt;"",_xlpm.CSVVal
)),"")</f>
        <v/>
      </c>
      <c r="R95" s="40"/>
      <c r="S95" s="40"/>
      <c r="T95" s="40"/>
      <c r="U95" s="40"/>
      <c r="V95" s="40"/>
      <c r="W95" s="40"/>
      <c r="X95" s="41" t="str">
        <f>_xlfn.LET(
    _xlpm.MacVal, _xlfn.XLOOKUP($A95, Output_Mac!$A:$A, Output_Mac!AB:AB, ""),
    _xlpm.MyAuditVal, _xlfn.XLOOKUP($A95, My_Audit!$A:$A, My_Audit!N:N, ""),
    _xlfn.TEXTJOIN(", ", TRUE, _xlpm.MyAuditVal, _xlpm.MacVal)
)</f>
        <v/>
      </c>
    </row>
    <row r="96" spans="1:24">
      <c r="A96" s="40" t="str">
        <f>_xlfn.TEXTJOIN("",TRUE,Input!$B$2,ROW(My_Audit!A95))</f>
        <v>X95</v>
      </c>
      <c r="B96" s="40" t="str">
        <f>_xlfn.TEXTJOIN("-",TRUE,"ITD",Input!$A$2,A96)</f>
        <v>ITD-X95</v>
      </c>
      <c r="C96" s="40" t="str" cm="1">
        <f t="array" ref="C96">IFERROR(_xlfn.LET(
_xlpm.CSVVal,_xlfn.XLOOKUP($A96,CSV!$A:$A,CSV!B:B,""),
_xlpm.MacVal,_xlfn.XLOOKUP($A96,Output_Mac!$A:$A,Output_Mac!B:B,""),
_xlpm.MyAuditVal,_xlfn.XLOOKUP($A96,My_Audit!$A:$A,My_Audit!B:B,""),
_xlfn.IFS(_xlpm.MyAuditVal&lt;&gt;"",UPPER(_xlpm.MyAuditVal),_xlpm.MacVal&lt;&gt;"",_xlpm.MacVal,_xlpm.CSVVal&lt;&gt;"",_xlpm.CSVVal
)),"")</f>
        <v/>
      </c>
      <c r="D96" s="40" t="str" cm="1">
        <f t="array" ref="D96">IFERROR(_xlfn.LET(
_xlpm.CSVVal,_xlfn.XLOOKUP($A96,CSV!$A:$A,CSV!D:D,""),
_xlpm.MacVal,_xlfn.XLOOKUP($A96,Output_Mac!$A:$A,Output_Mac!C:C,""),
_xlpm.MyAuditVal,_xlfn.XLOOKUP($A96,My_Audit!$A:$A,My_Audit!C:C,""),
_xlfn.IFS(_xlpm.MyAuditVal&lt;&gt;"",_xlpm.MyAuditVal,_xlpm.MacVal&lt;&gt;"",_xlpm.MacVal,_xlpm.CSVVal&lt;&gt;"",_xlpm.CSVVal
)),"")</f>
        <v/>
      </c>
      <c r="E96" s="40">
        <f>_xlfn.XLOOKUP(A96,My_Audit!A:A,My_Audit!D:D,"")</f>
        <v>0</v>
      </c>
      <c r="F96" s="40" t="str" cm="1">
        <f t="array" ref="F96">IFERROR(_xlfn.LET(
_xlpm.CSVVal,_xlfn.XLOOKUP($A96,CSV!$A:$A,CSV!F:F,""),
_xlpm.MacVal,_xlfn.XLOOKUP($A96,Output_Mac!$A:$A,Output_Mac!E:E,""),
_xlpm.MyAuditVal,_xlfn.XLOOKUP($A96,My_Audit!$A:$A,My_Audit!E:E,""),
_xlfn.IFS(_xlpm.MyAuditVal&lt;&gt;"",_xlpm.MyAuditVal,_xlpm.MacVal&lt;&gt;"",_xlpm.MacVal,_xlpm.CSVVal&lt;&gt;"",_xlpm.CSVVal
)),"")</f>
        <v/>
      </c>
      <c r="G96" s="40" t="str" cm="1">
        <f t="array" ref="G96">IFERROR(_xlfn.LET(
_xlpm.CSVVal,_xlfn.XLOOKUP($A96,CSV!$A:$A,CSV!G:G,""),
_xlpm.MacVal,_xlfn.XLOOKUP($A96,Output_Mac!$A:$A,Output_Mac!F:F,""),
_xlpm.MyAuditVal,_xlfn.XLOOKUP($A96,My_Audit!$A:$A,My_Audit!F:F,""),
_xlfn.IFS(_xlpm.MyAuditVal&lt;&gt;"",_xlpm.MyAuditVal,_xlpm.MacVal&lt;&gt;"",_xlpm.MacVal,_xlpm.CSVVal&lt;&gt;"",PROPER(_xlpm.CSVVal)
)),"")</f>
        <v/>
      </c>
      <c r="H96" s="40" t="str" cm="1">
        <f t="array" ref="H96">IFERROR(_xlfn.LET(
_xlpm.CSVVal,_xlfn.XLOOKUP($A96,CSV!$A:$A,CSV!H:H,""),
_xlpm.MacVal,_xlfn.XLOOKUP($A96,Output_Mac!$A:$A,Output_Mac!H:H,""),
_xlpm.MyAuditVal,_xlfn.XLOOKUP($A96,My_Audit!$A:$A,My_Audit!G:G,""),
_xlfn.IFS(_xlpm.MyAuditVal&lt;&gt;"",_xlpm.MyAuditVal,_xlpm.MacVal&lt;&gt;"",_xlpm.MacVal,_xlpm.CSVVal&lt;&gt;"",_xlpm.CSVVal
)),"")</f>
        <v/>
      </c>
      <c r="I96" s="40" t="str">
        <f>_xlfn.XLOOKUP(A96,Output_Mac!A:A,Output_Mac!I:I,"")</f>
        <v/>
      </c>
      <c r="J96" s="40" t="str" cm="1">
        <f t="array" ref="J96">IFERROR(_xlfn.LET(
_xlpm.CSVVal,_xlfn.XLOOKUP($A96,CSV!$A:$A,CSV!I:I,""),
_xlpm.MacVal,_xlfn.XLOOKUP($A96,Output_Mac!$A:$A,Output_Mac!J:J,""),
_xlpm.MyAuditVal,_xlfn.XLOOKUP($A96,My_Audit!$A:$A,My_Audit!I:I,""),
_xlfn.IFS(_xlpm.MyAuditVal&lt;&gt;"",UPPER(_xlpm.MyAuditVal),_xlpm.MacVal&lt;&gt;"",_xlpm.MacVal,_xlpm.CSVVal&lt;&gt;"",_xlpm.CSVVal
)),"")</f>
        <v/>
      </c>
      <c r="K96" s="40" t="str" cm="1">
        <f t="array" ref="K96">IFERROR(_xlfn.LET(
_xlpm.CSVVal,_xlfn.XLOOKUP($A96,CSV!$A:$A,CSV!K:K,""),
_xlpm.MacVal,_xlfn.XLOOKUP($A96,Output_Mac!$A:$A,Output_Mac!K:K,""),
_xlpm.MyAuditVal,_xlfn.XLOOKUP($A96,My_Audit!$A:$A,My_Audit!J:J,""),
_xlfn.IFS(_xlpm.MyAuditVal&lt;&gt;"",UPPER(_xlpm.MyAuditVal),_xlpm.MacVal&lt;&gt;"",_xlpm.MacVal,_xlpm.CSVVal&lt;&gt;"",_xlpm.CSVVal
)),"")</f>
        <v/>
      </c>
      <c r="L96" s="40" t="str" cm="1">
        <f t="array" ref="L96">IFERROR(_xlfn.LET(
_xlpm.CSVVal,_xlfn.XLOOKUP($A96,CSV!$A:$A,CSV!P:P,""),
_xlpm.MacVal,_xlfn.XLOOKUP($A96,Output_Mac!$A:$A,Output_Mac!L:L,""),
_xlpm.MyAuditVal,_xlfn.XLOOKUP($A96,My_Audit!$A:$A,My_Audit!K:K,""),
_xlfn.IFS(_xlpm.MyAuditVal&lt;&gt;"",UPPER(_xlpm.MyAuditVal),_xlpm.MacVal&lt;&gt;"",_xlpm.MacVal,_xlpm.CSVVal&lt;&gt;"",_xlpm.CSVVal
)),"")</f>
        <v/>
      </c>
      <c r="M96" s="40" t="str" cm="1">
        <f t="array" ref="M96">IFERROR(_xlfn.LET(
_xlpm.CSVVal,_xlfn.XLOOKUP($A96,CSV!$A:$A,CSV!Q:Q,""),
_xlpm.MacVal,_xlfn.XLOOKUP($A96,Output_Mac!$A:$A,Output_Mac!M:M,""),
_xlpm.MyAuditVal,_xlfn.XLOOKUP($A96,My_Audit!$A:$A,My_Audit!L:L,""),
_xlfn.IFS(_xlpm.MyAuditVal&lt;&gt;"",UPPER(_xlpm.MyAuditVal),_xlpm.MacVal&lt;&gt;"",_xlpm.MacVal,_xlpm.CSVVal&lt;&gt;"",_xlpm.CSVVal
)),"")</f>
        <v/>
      </c>
      <c r="N96" s="40"/>
      <c r="O96" s="40" t="str">
        <f>_xlfn.LET(
    _xlpm.CSVVal, _xlfn.XLOOKUP($A96, CSV!$A:$A, CSV!AA:AA, ""),
    _xlpm.MacVal, _xlfn.XLOOKUP($A96, Output_Mac!$A:$A, Output_Mac!S:S, ""),
    _xlpm.MyAuditVal, _xlfn.XLOOKUP($A96, My_Audit!$A:$A, My_Audit!P:P, ""),
    _xlfn.TEXTJOIN(", ", TRUE, _xlpm.MyAuditVal, _xlpm.MacVal, _xlpm.CSVVal)
)</f>
        <v/>
      </c>
      <c r="P96" s="40" t="str" cm="1">
        <f t="array" ref="P96">IFERROR(_xlfn.LET(
_xlpm.CSVVal,_xlfn.XLOOKUP($A96,CSV!$A:$A,CSV!AB:AB,""),
_xlpm.MacVal,_xlfn.XLOOKUP($A96,Output_Mac!$A:$A,Output_Mac!T:T,""),
_xlpm.MyAuditVal,_xlfn.XLOOKUP($A96,My_Audit!$A:$A,My_Audit!Q:Q,""),
_xlfn.IFS(_xlpm.MyAuditVal&lt;&gt;"",UPPER(_xlpm.MyAuditVal),_xlpm.MacVal&lt;&gt;"",_xlpm.MacVal,_xlpm.CSVVal&lt;&gt;"",_xlpm.CSVVal
)),"No")</f>
        <v>No</v>
      </c>
      <c r="Q96" s="40" t="str" cm="1">
        <f t="array" ref="Q96">IFERROR(_xlfn.LET(
_xlpm.CSVVal,_xlfn.XLOOKUP($A96,CSV!$A:$A,CSV!AC:AC,""),
_xlpm.MacVal,_xlfn.XLOOKUP($A96,Output_Mac!$A:$A,Output_Mac!U:U,""),
_xlpm.MyAuditVal,_xlfn.XLOOKUP($A96,My_Audit!$A:$A,My_Audit!R:R,""),
_xlfn.IFS(_xlpm.MyAuditVal&lt;&gt;"",UPPER(_xlpm.MyAuditVal),_xlpm.MacVal&lt;&gt;"",_xlpm.MacVal,_xlpm.CSVVal&lt;&gt;"",_xlpm.CSVVal
)),"")</f>
        <v/>
      </c>
      <c r="R96" s="40"/>
      <c r="S96" s="40"/>
      <c r="T96" s="40"/>
      <c r="U96" s="40"/>
      <c r="V96" s="40"/>
      <c r="W96" s="40"/>
      <c r="X96" s="41" t="str">
        <f>_xlfn.LET(
    _xlpm.MacVal, _xlfn.XLOOKUP($A96, Output_Mac!$A:$A, Output_Mac!AB:AB, ""),
    _xlpm.MyAuditVal, _xlfn.XLOOKUP($A96, My_Audit!$A:$A, My_Audit!N:N, ""),
    _xlfn.TEXTJOIN(", ", TRUE, _xlpm.MyAuditVal, _xlpm.MacVal)
)</f>
        <v/>
      </c>
    </row>
    <row r="97" spans="1:24">
      <c r="A97" s="40" t="str">
        <f>_xlfn.TEXTJOIN("",TRUE,Input!$B$2,ROW(My_Audit!A96))</f>
        <v>X96</v>
      </c>
      <c r="B97" s="40" t="str">
        <f>_xlfn.TEXTJOIN("-",TRUE,"ITD",Input!$A$2,A97)</f>
        <v>ITD-X96</v>
      </c>
      <c r="C97" s="40" t="str" cm="1">
        <f t="array" ref="C97">IFERROR(_xlfn.LET(
_xlpm.CSVVal,_xlfn.XLOOKUP($A97,CSV!$A:$A,CSV!B:B,""),
_xlpm.MacVal,_xlfn.XLOOKUP($A97,Output_Mac!$A:$A,Output_Mac!B:B,""),
_xlpm.MyAuditVal,_xlfn.XLOOKUP($A97,My_Audit!$A:$A,My_Audit!B:B,""),
_xlfn.IFS(_xlpm.MyAuditVal&lt;&gt;"",UPPER(_xlpm.MyAuditVal),_xlpm.MacVal&lt;&gt;"",_xlpm.MacVal,_xlpm.CSVVal&lt;&gt;"",_xlpm.CSVVal
)),"")</f>
        <v/>
      </c>
      <c r="D97" s="40" t="str" cm="1">
        <f t="array" ref="D97">IFERROR(_xlfn.LET(
_xlpm.CSVVal,_xlfn.XLOOKUP($A97,CSV!$A:$A,CSV!D:D,""),
_xlpm.MacVal,_xlfn.XLOOKUP($A97,Output_Mac!$A:$A,Output_Mac!C:C,""),
_xlpm.MyAuditVal,_xlfn.XLOOKUP($A97,My_Audit!$A:$A,My_Audit!C:C,""),
_xlfn.IFS(_xlpm.MyAuditVal&lt;&gt;"",_xlpm.MyAuditVal,_xlpm.MacVal&lt;&gt;"",_xlpm.MacVal,_xlpm.CSVVal&lt;&gt;"",_xlpm.CSVVal
)),"")</f>
        <v/>
      </c>
      <c r="E97" s="40">
        <f>_xlfn.XLOOKUP(A97,My_Audit!A:A,My_Audit!D:D,"")</f>
        <v>0</v>
      </c>
      <c r="F97" s="40" t="str" cm="1">
        <f t="array" ref="F97">IFERROR(_xlfn.LET(
_xlpm.CSVVal,_xlfn.XLOOKUP($A97,CSV!$A:$A,CSV!F:F,""),
_xlpm.MacVal,_xlfn.XLOOKUP($A97,Output_Mac!$A:$A,Output_Mac!E:E,""),
_xlpm.MyAuditVal,_xlfn.XLOOKUP($A97,My_Audit!$A:$A,My_Audit!E:E,""),
_xlfn.IFS(_xlpm.MyAuditVal&lt;&gt;"",_xlpm.MyAuditVal,_xlpm.MacVal&lt;&gt;"",_xlpm.MacVal,_xlpm.CSVVal&lt;&gt;"",_xlpm.CSVVal
)),"")</f>
        <v/>
      </c>
      <c r="G97" s="40" t="str" cm="1">
        <f t="array" ref="G97">IFERROR(_xlfn.LET(
_xlpm.CSVVal,_xlfn.XLOOKUP($A97,CSV!$A:$A,CSV!G:G,""),
_xlpm.MacVal,_xlfn.XLOOKUP($A97,Output_Mac!$A:$A,Output_Mac!F:F,""),
_xlpm.MyAuditVal,_xlfn.XLOOKUP($A97,My_Audit!$A:$A,My_Audit!F:F,""),
_xlfn.IFS(_xlpm.MyAuditVal&lt;&gt;"",_xlpm.MyAuditVal,_xlpm.MacVal&lt;&gt;"",_xlpm.MacVal,_xlpm.CSVVal&lt;&gt;"",PROPER(_xlpm.CSVVal)
)),"")</f>
        <v/>
      </c>
      <c r="H97" s="40" t="str" cm="1">
        <f t="array" ref="H97">IFERROR(_xlfn.LET(
_xlpm.CSVVal,_xlfn.XLOOKUP($A97,CSV!$A:$A,CSV!H:H,""),
_xlpm.MacVal,_xlfn.XLOOKUP($A97,Output_Mac!$A:$A,Output_Mac!H:H,""),
_xlpm.MyAuditVal,_xlfn.XLOOKUP($A97,My_Audit!$A:$A,My_Audit!G:G,""),
_xlfn.IFS(_xlpm.MyAuditVal&lt;&gt;"",_xlpm.MyAuditVal,_xlpm.MacVal&lt;&gt;"",_xlpm.MacVal,_xlpm.CSVVal&lt;&gt;"",_xlpm.CSVVal
)),"")</f>
        <v/>
      </c>
      <c r="I97" s="40" t="str">
        <f>_xlfn.XLOOKUP(A97,Output_Mac!A:A,Output_Mac!I:I,"")</f>
        <v/>
      </c>
      <c r="J97" s="40" t="str" cm="1">
        <f t="array" ref="J97">IFERROR(_xlfn.LET(
_xlpm.CSVVal,_xlfn.XLOOKUP($A97,CSV!$A:$A,CSV!I:I,""),
_xlpm.MacVal,_xlfn.XLOOKUP($A97,Output_Mac!$A:$A,Output_Mac!J:J,""),
_xlpm.MyAuditVal,_xlfn.XLOOKUP($A97,My_Audit!$A:$A,My_Audit!I:I,""),
_xlfn.IFS(_xlpm.MyAuditVal&lt;&gt;"",UPPER(_xlpm.MyAuditVal),_xlpm.MacVal&lt;&gt;"",_xlpm.MacVal,_xlpm.CSVVal&lt;&gt;"",_xlpm.CSVVal
)),"")</f>
        <v/>
      </c>
      <c r="K97" s="40" t="str" cm="1">
        <f t="array" ref="K97">IFERROR(_xlfn.LET(
_xlpm.CSVVal,_xlfn.XLOOKUP($A97,CSV!$A:$A,CSV!K:K,""),
_xlpm.MacVal,_xlfn.XLOOKUP($A97,Output_Mac!$A:$A,Output_Mac!K:K,""),
_xlpm.MyAuditVal,_xlfn.XLOOKUP($A97,My_Audit!$A:$A,My_Audit!J:J,""),
_xlfn.IFS(_xlpm.MyAuditVal&lt;&gt;"",UPPER(_xlpm.MyAuditVal),_xlpm.MacVal&lt;&gt;"",_xlpm.MacVal,_xlpm.CSVVal&lt;&gt;"",_xlpm.CSVVal
)),"")</f>
        <v/>
      </c>
      <c r="L97" s="40" t="str" cm="1">
        <f t="array" ref="L97">IFERROR(_xlfn.LET(
_xlpm.CSVVal,_xlfn.XLOOKUP($A97,CSV!$A:$A,CSV!P:P,""),
_xlpm.MacVal,_xlfn.XLOOKUP($A97,Output_Mac!$A:$A,Output_Mac!L:L,""),
_xlpm.MyAuditVal,_xlfn.XLOOKUP($A97,My_Audit!$A:$A,My_Audit!K:K,""),
_xlfn.IFS(_xlpm.MyAuditVal&lt;&gt;"",UPPER(_xlpm.MyAuditVal),_xlpm.MacVal&lt;&gt;"",_xlpm.MacVal,_xlpm.CSVVal&lt;&gt;"",_xlpm.CSVVal
)),"")</f>
        <v/>
      </c>
      <c r="M97" s="40" t="str" cm="1">
        <f t="array" ref="M97">IFERROR(_xlfn.LET(
_xlpm.CSVVal,_xlfn.XLOOKUP($A97,CSV!$A:$A,CSV!Q:Q,""),
_xlpm.MacVal,_xlfn.XLOOKUP($A97,Output_Mac!$A:$A,Output_Mac!M:M,""),
_xlpm.MyAuditVal,_xlfn.XLOOKUP($A97,My_Audit!$A:$A,My_Audit!L:L,""),
_xlfn.IFS(_xlpm.MyAuditVal&lt;&gt;"",UPPER(_xlpm.MyAuditVal),_xlpm.MacVal&lt;&gt;"",_xlpm.MacVal,_xlpm.CSVVal&lt;&gt;"",_xlpm.CSVVal
)),"")</f>
        <v/>
      </c>
      <c r="N97" s="40"/>
      <c r="O97" s="40" t="str">
        <f>_xlfn.LET(
    _xlpm.CSVVal, _xlfn.XLOOKUP($A97, CSV!$A:$A, CSV!AA:AA, ""),
    _xlpm.MacVal, _xlfn.XLOOKUP($A97, Output_Mac!$A:$A, Output_Mac!S:S, ""),
    _xlpm.MyAuditVal, _xlfn.XLOOKUP($A97, My_Audit!$A:$A, My_Audit!P:P, ""),
    _xlfn.TEXTJOIN(", ", TRUE, _xlpm.MyAuditVal, _xlpm.MacVal, _xlpm.CSVVal)
)</f>
        <v/>
      </c>
      <c r="P97" s="40" t="str" cm="1">
        <f t="array" ref="P97">IFERROR(_xlfn.LET(
_xlpm.CSVVal,_xlfn.XLOOKUP($A97,CSV!$A:$A,CSV!AB:AB,""),
_xlpm.MacVal,_xlfn.XLOOKUP($A97,Output_Mac!$A:$A,Output_Mac!T:T,""),
_xlpm.MyAuditVal,_xlfn.XLOOKUP($A97,My_Audit!$A:$A,My_Audit!Q:Q,""),
_xlfn.IFS(_xlpm.MyAuditVal&lt;&gt;"",UPPER(_xlpm.MyAuditVal),_xlpm.MacVal&lt;&gt;"",_xlpm.MacVal,_xlpm.CSVVal&lt;&gt;"",_xlpm.CSVVal
)),"No")</f>
        <v>No</v>
      </c>
      <c r="Q97" s="40" t="str" cm="1">
        <f t="array" ref="Q97">IFERROR(_xlfn.LET(
_xlpm.CSVVal,_xlfn.XLOOKUP($A97,CSV!$A:$A,CSV!AC:AC,""),
_xlpm.MacVal,_xlfn.XLOOKUP($A97,Output_Mac!$A:$A,Output_Mac!U:U,""),
_xlpm.MyAuditVal,_xlfn.XLOOKUP($A97,My_Audit!$A:$A,My_Audit!R:R,""),
_xlfn.IFS(_xlpm.MyAuditVal&lt;&gt;"",UPPER(_xlpm.MyAuditVal),_xlpm.MacVal&lt;&gt;"",_xlpm.MacVal,_xlpm.CSVVal&lt;&gt;"",_xlpm.CSVVal
)),"")</f>
        <v/>
      </c>
      <c r="R97" s="40"/>
      <c r="S97" s="40"/>
      <c r="T97" s="40"/>
      <c r="U97" s="40"/>
      <c r="V97" s="40"/>
      <c r="W97" s="40"/>
      <c r="X97" s="41" t="str">
        <f>_xlfn.LET(
    _xlpm.MacVal, _xlfn.XLOOKUP($A97, Output_Mac!$A:$A, Output_Mac!AB:AB, ""),
    _xlpm.MyAuditVal, _xlfn.XLOOKUP($A97, My_Audit!$A:$A, My_Audit!N:N, ""),
    _xlfn.TEXTJOIN(", ", TRUE, _xlpm.MyAuditVal, _xlpm.MacVal)
)</f>
        <v/>
      </c>
    </row>
    <row r="98" spans="1:24">
      <c r="A98" s="40" t="str">
        <f>_xlfn.TEXTJOIN("",TRUE,Input!$B$2,ROW(My_Audit!A97))</f>
        <v>X97</v>
      </c>
      <c r="B98" s="40" t="str">
        <f>_xlfn.TEXTJOIN("-",TRUE,"ITD",Input!$A$2,A98)</f>
        <v>ITD-X97</v>
      </c>
      <c r="C98" s="40" t="str" cm="1">
        <f t="array" ref="C98">IFERROR(_xlfn.LET(
_xlpm.CSVVal,_xlfn.XLOOKUP($A98,CSV!$A:$A,CSV!B:B,""),
_xlpm.MacVal,_xlfn.XLOOKUP($A98,Output_Mac!$A:$A,Output_Mac!B:B,""),
_xlpm.MyAuditVal,_xlfn.XLOOKUP($A98,My_Audit!$A:$A,My_Audit!B:B,""),
_xlfn.IFS(_xlpm.MyAuditVal&lt;&gt;"",UPPER(_xlpm.MyAuditVal),_xlpm.MacVal&lt;&gt;"",_xlpm.MacVal,_xlpm.CSVVal&lt;&gt;"",_xlpm.CSVVal
)),"")</f>
        <v/>
      </c>
      <c r="D98" s="40" t="str" cm="1">
        <f t="array" ref="D98">IFERROR(_xlfn.LET(
_xlpm.CSVVal,_xlfn.XLOOKUP($A98,CSV!$A:$A,CSV!D:D,""),
_xlpm.MacVal,_xlfn.XLOOKUP($A98,Output_Mac!$A:$A,Output_Mac!C:C,""),
_xlpm.MyAuditVal,_xlfn.XLOOKUP($A98,My_Audit!$A:$A,My_Audit!C:C,""),
_xlfn.IFS(_xlpm.MyAuditVal&lt;&gt;"",_xlpm.MyAuditVal,_xlpm.MacVal&lt;&gt;"",_xlpm.MacVal,_xlpm.CSVVal&lt;&gt;"",_xlpm.CSVVal
)),"")</f>
        <v/>
      </c>
      <c r="E98" s="40">
        <f>_xlfn.XLOOKUP(A98,My_Audit!A:A,My_Audit!D:D,"")</f>
        <v>0</v>
      </c>
      <c r="F98" s="40" t="str" cm="1">
        <f t="array" ref="F98">IFERROR(_xlfn.LET(
_xlpm.CSVVal,_xlfn.XLOOKUP($A98,CSV!$A:$A,CSV!F:F,""),
_xlpm.MacVal,_xlfn.XLOOKUP($A98,Output_Mac!$A:$A,Output_Mac!E:E,""),
_xlpm.MyAuditVal,_xlfn.XLOOKUP($A98,My_Audit!$A:$A,My_Audit!E:E,""),
_xlfn.IFS(_xlpm.MyAuditVal&lt;&gt;"",_xlpm.MyAuditVal,_xlpm.MacVal&lt;&gt;"",_xlpm.MacVal,_xlpm.CSVVal&lt;&gt;"",_xlpm.CSVVal
)),"")</f>
        <v/>
      </c>
      <c r="G98" s="40" t="str" cm="1">
        <f t="array" ref="G98">IFERROR(_xlfn.LET(
_xlpm.CSVVal,_xlfn.XLOOKUP($A98,CSV!$A:$A,CSV!G:G,""),
_xlpm.MacVal,_xlfn.XLOOKUP($A98,Output_Mac!$A:$A,Output_Mac!F:F,""),
_xlpm.MyAuditVal,_xlfn.XLOOKUP($A98,My_Audit!$A:$A,My_Audit!F:F,""),
_xlfn.IFS(_xlpm.MyAuditVal&lt;&gt;"",_xlpm.MyAuditVal,_xlpm.MacVal&lt;&gt;"",_xlpm.MacVal,_xlpm.CSVVal&lt;&gt;"",PROPER(_xlpm.CSVVal)
)),"")</f>
        <v/>
      </c>
      <c r="H98" s="40" t="str" cm="1">
        <f t="array" ref="H98">IFERROR(_xlfn.LET(
_xlpm.CSVVal,_xlfn.XLOOKUP($A98,CSV!$A:$A,CSV!H:H,""),
_xlpm.MacVal,_xlfn.XLOOKUP($A98,Output_Mac!$A:$A,Output_Mac!H:H,""),
_xlpm.MyAuditVal,_xlfn.XLOOKUP($A98,My_Audit!$A:$A,My_Audit!G:G,""),
_xlfn.IFS(_xlpm.MyAuditVal&lt;&gt;"",_xlpm.MyAuditVal,_xlpm.MacVal&lt;&gt;"",_xlpm.MacVal,_xlpm.CSVVal&lt;&gt;"",_xlpm.CSVVal
)),"")</f>
        <v/>
      </c>
      <c r="I98" s="40" t="str">
        <f>_xlfn.XLOOKUP(A98,Output_Mac!A:A,Output_Mac!I:I,"")</f>
        <v/>
      </c>
      <c r="J98" s="40" t="str" cm="1">
        <f t="array" ref="J98">IFERROR(_xlfn.LET(
_xlpm.CSVVal,_xlfn.XLOOKUP($A98,CSV!$A:$A,CSV!I:I,""),
_xlpm.MacVal,_xlfn.XLOOKUP($A98,Output_Mac!$A:$A,Output_Mac!J:J,""),
_xlpm.MyAuditVal,_xlfn.XLOOKUP($A98,My_Audit!$A:$A,My_Audit!I:I,""),
_xlfn.IFS(_xlpm.MyAuditVal&lt;&gt;"",UPPER(_xlpm.MyAuditVal),_xlpm.MacVal&lt;&gt;"",_xlpm.MacVal,_xlpm.CSVVal&lt;&gt;"",_xlpm.CSVVal
)),"")</f>
        <v/>
      </c>
      <c r="K98" s="40" t="str" cm="1">
        <f t="array" ref="K98">IFERROR(_xlfn.LET(
_xlpm.CSVVal,_xlfn.XLOOKUP($A98,CSV!$A:$A,CSV!K:K,""),
_xlpm.MacVal,_xlfn.XLOOKUP($A98,Output_Mac!$A:$A,Output_Mac!K:K,""),
_xlpm.MyAuditVal,_xlfn.XLOOKUP($A98,My_Audit!$A:$A,My_Audit!J:J,""),
_xlfn.IFS(_xlpm.MyAuditVal&lt;&gt;"",UPPER(_xlpm.MyAuditVal),_xlpm.MacVal&lt;&gt;"",_xlpm.MacVal,_xlpm.CSVVal&lt;&gt;"",_xlpm.CSVVal
)),"")</f>
        <v/>
      </c>
      <c r="L98" s="40" t="str" cm="1">
        <f t="array" ref="L98">IFERROR(_xlfn.LET(
_xlpm.CSVVal,_xlfn.XLOOKUP($A98,CSV!$A:$A,CSV!P:P,""),
_xlpm.MacVal,_xlfn.XLOOKUP($A98,Output_Mac!$A:$A,Output_Mac!L:L,""),
_xlpm.MyAuditVal,_xlfn.XLOOKUP($A98,My_Audit!$A:$A,My_Audit!K:K,""),
_xlfn.IFS(_xlpm.MyAuditVal&lt;&gt;"",UPPER(_xlpm.MyAuditVal),_xlpm.MacVal&lt;&gt;"",_xlpm.MacVal,_xlpm.CSVVal&lt;&gt;"",_xlpm.CSVVal
)),"")</f>
        <v/>
      </c>
      <c r="M98" s="40" t="str" cm="1">
        <f t="array" ref="M98">IFERROR(_xlfn.LET(
_xlpm.CSVVal,_xlfn.XLOOKUP($A98,CSV!$A:$A,CSV!Q:Q,""),
_xlpm.MacVal,_xlfn.XLOOKUP($A98,Output_Mac!$A:$A,Output_Mac!M:M,""),
_xlpm.MyAuditVal,_xlfn.XLOOKUP($A98,My_Audit!$A:$A,My_Audit!L:L,""),
_xlfn.IFS(_xlpm.MyAuditVal&lt;&gt;"",UPPER(_xlpm.MyAuditVal),_xlpm.MacVal&lt;&gt;"",_xlpm.MacVal,_xlpm.CSVVal&lt;&gt;"",_xlpm.CSVVal
)),"")</f>
        <v/>
      </c>
      <c r="N98" s="40"/>
      <c r="O98" s="40" t="str">
        <f>_xlfn.LET(
    _xlpm.CSVVal, _xlfn.XLOOKUP($A98, CSV!$A:$A, CSV!AA:AA, ""),
    _xlpm.MacVal, _xlfn.XLOOKUP($A98, Output_Mac!$A:$A, Output_Mac!S:S, ""),
    _xlpm.MyAuditVal, _xlfn.XLOOKUP($A98, My_Audit!$A:$A, My_Audit!P:P, ""),
    _xlfn.TEXTJOIN(", ", TRUE, _xlpm.MyAuditVal, _xlpm.MacVal, _xlpm.CSVVal)
)</f>
        <v/>
      </c>
      <c r="P98" s="40" t="str" cm="1">
        <f t="array" ref="P98">IFERROR(_xlfn.LET(
_xlpm.CSVVal,_xlfn.XLOOKUP($A98,CSV!$A:$A,CSV!AB:AB,""),
_xlpm.MacVal,_xlfn.XLOOKUP($A98,Output_Mac!$A:$A,Output_Mac!T:T,""),
_xlpm.MyAuditVal,_xlfn.XLOOKUP($A98,My_Audit!$A:$A,My_Audit!Q:Q,""),
_xlfn.IFS(_xlpm.MyAuditVal&lt;&gt;"",UPPER(_xlpm.MyAuditVal),_xlpm.MacVal&lt;&gt;"",_xlpm.MacVal,_xlpm.CSVVal&lt;&gt;"",_xlpm.CSVVal
)),"No")</f>
        <v>No</v>
      </c>
      <c r="Q98" s="40" t="str" cm="1">
        <f t="array" ref="Q98">IFERROR(_xlfn.LET(
_xlpm.CSVVal,_xlfn.XLOOKUP($A98,CSV!$A:$A,CSV!AC:AC,""),
_xlpm.MacVal,_xlfn.XLOOKUP($A98,Output_Mac!$A:$A,Output_Mac!U:U,""),
_xlpm.MyAuditVal,_xlfn.XLOOKUP($A98,My_Audit!$A:$A,My_Audit!R:R,""),
_xlfn.IFS(_xlpm.MyAuditVal&lt;&gt;"",UPPER(_xlpm.MyAuditVal),_xlpm.MacVal&lt;&gt;"",_xlpm.MacVal,_xlpm.CSVVal&lt;&gt;"",_xlpm.CSVVal
)),"")</f>
        <v/>
      </c>
      <c r="R98" s="40"/>
      <c r="S98" s="40"/>
      <c r="T98" s="40"/>
      <c r="U98" s="40"/>
      <c r="V98" s="40"/>
      <c r="W98" s="40"/>
      <c r="X98" s="41" t="str">
        <f>_xlfn.LET(
    _xlpm.MacVal, _xlfn.XLOOKUP($A98, Output_Mac!$A:$A, Output_Mac!AB:AB, ""),
    _xlpm.MyAuditVal, _xlfn.XLOOKUP($A98, My_Audit!$A:$A, My_Audit!N:N, ""),
    _xlfn.TEXTJOIN(", ", TRUE, _xlpm.MyAuditVal, _xlpm.MacVal)
)</f>
        <v/>
      </c>
    </row>
    <row r="99" spans="1:24">
      <c r="A99" s="40" t="str">
        <f>_xlfn.TEXTJOIN("",TRUE,Input!$B$2,ROW(My_Audit!A98))</f>
        <v>X98</v>
      </c>
      <c r="B99" s="40" t="str">
        <f>_xlfn.TEXTJOIN("-",TRUE,"ITD",Input!$A$2,A99)</f>
        <v>ITD-X98</v>
      </c>
      <c r="C99" s="40" t="str" cm="1">
        <f t="array" ref="C99">IFERROR(_xlfn.LET(
_xlpm.CSVVal,_xlfn.XLOOKUP($A99,CSV!$A:$A,CSV!B:B,""),
_xlpm.MacVal,_xlfn.XLOOKUP($A99,Output_Mac!$A:$A,Output_Mac!B:B,""),
_xlpm.MyAuditVal,_xlfn.XLOOKUP($A99,My_Audit!$A:$A,My_Audit!B:B,""),
_xlfn.IFS(_xlpm.MyAuditVal&lt;&gt;"",UPPER(_xlpm.MyAuditVal),_xlpm.MacVal&lt;&gt;"",_xlpm.MacVal,_xlpm.CSVVal&lt;&gt;"",_xlpm.CSVVal
)),"")</f>
        <v/>
      </c>
      <c r="D99" s="40" t="str" cm="1">
        <f t="array" ref="D99">IFERROR(_xlfn.LET(
_xlpm.CSVVal,_xlfn.XLOOKUP($A99,CSV!$A:$A,CSV!D:D,""),
_xlpm.MacVal,_xlfn.XLOOKUP($A99,Output_Mac!$A:$A,Output_Mac!C:C,""),
_xlpm.MyAuditVal,_xlfn.XLOOKUP($A99,My_Audit!$A:$A,My_Audit!C:C,""),
_xlfn.IFS(_xlpm.MyAuditVal&lt;&gt;"",_xlpm.MyAuditVal,_xlpm.MacVal&lt;&gt;"",_xlpm.MacVal,_xlpm.CSVVal&lt;&gt;"",_xlpm.CSVVal
)),"")</f>
        <v/>
      </c>
      <c r="E99" s="40">
        <f>_xlfn.XLOOKUP(A99,My_Audit!A:A,My_Audit!D:D,"")</f>
        <v>0</v>
      </c>
      <c r="F99" s="40" t="str" cm="1">
        <f t="array" ref="F99">IFERROR(_xlfn.LET(
_xlpm.CSVVal,_xlfn.XLOOKUP($A99,CSV!$A:$A,CSV!F:F,""),
_xlpm.MacVal,_xlfn.XLOOKUP($A99,Output_Mac!$A:$A,Output_Mac!E:E,""),
_xlpm.MyAuditVal,_xlfn.XLOOKUP($A99,My_Audit!$A:$A,My_Audit!E:E,""),
_xlfn.IFS(_xlpm.MyAuditVal&lt;&gt;"",_xlpm.MyAuditVal,_xlpm.MacVal&lt;&gt;"",_xlpm.MacVal,_xlpm.CSVVal&lt;&gt;"",_xlpm.CSVVal
)),"")</f>
        <v/>
      </c>
      <c r="G99" s="40" t="str" cm="1">
        <f t="array" ref="G99">IFERROR(_xlfn.LET(
_xlpm.CSVVal,_xlfn.XLOOKUP($A99,CSV!$A:$A,CSV!G:G,""),
_xlpm.MacVal,_xlfn.XLOOKUP($A99,Output_Mac!$A:$A,Output_Mac!F:F,""),
_xlpm.MyAuditVal,_xlfn.XLOOKUP($A99,My_Audit!$A:$A,My_Audit!F:F,""),
_xlfn.IFS(_xlpm.MyAuditVal&lt;&gt;"",_xlpm.MyAuditVal,_xlpm.MacVal&lt;&gt;"",_xlpm.MacVal,_xlpm.CSVVal&lt;&gt;"",PROPER(_xlpm.CSVVal)
)),"")</f>
        <v/>
      </c>
      <c r="H99" s="40" t="str" cm="1">
        <f t="array" ref="H99">IFERROR(_xlfn.LET(
_xlpm.CSVVal,_xlfn.XLOOKUP($A99,CSV!$A:$A,CSV!H:H,""),
_xlpm.MacVal,_xlfn.XLOOKUP($A99,Output_Mac!$A:$A,Output_Mac!H:H,""),
_xlpm.MyAuditVal,_xlfn.XLOOKUP($A99,My_Audit!$A:$A,My_Audit!G:G,""),
_xlfn.IFS(_xlpm.MyAuditVal&lt;&gt;"",_xlpm.MyAuditVal,_xlpm.MacVal&lt;&gt;"",_xlpm.MacVal,_xlpm.CSVVal&lt;&gt;"",_xlpm.CSVVal
)),"")</f>
        <v/>
      </c>
      <c r="I99" s="40" t="str">
        <f>_xlfn.XLOOKUP(A99,Output_Mac!A:A,Output_Mac!I:I,"")</f>
        <v/>
      </c>
      <c r="J99" s="40" t="str" cm="1">
        <f t="array" ref="J99">IFERROR(_xlfn.LET(
_xlpm.CSVVal,_xlfn.XLOOKUP($A99,CSV!$A:$A,CSV!I:I,""),
_xlpm.MacVal,_xlfn.XLOOKUP($A99,Output_Mac!$A:$A,Output_Mac!J:J,""),
_xlpm.MyAuditVal,_xlfn.XLOOKUP($A99,My_Audit!$A:$A,My_Audit!I:I,""),
_xlfn.IFS(_xlpm.MyAuditVal&lt;&gt;"",UPPER(_xlpm.MyAuditVal),_xlpm.MacVal&lt;&gt;"",_xlpm.MacVal,_xlpm.CSVVal&lt;&gt;"",_xlpm.CSVVal
)),"")</f>
        <v/>
      </c>
      <c r="K99" s="40" t="str" cm="1">
        <f t="array" ref="K99">IFERROR(_xlfn.LET(
_xlpm.CSVVal,_xlfn.XLOOKUP($A99,CSV!$A:$A,CSV!K:K,""),
_xlpm.MacVal,_xlfn.XLOOKUP($A99,Output_Mac!$A:$A,Output_Mac!K:K,""),
_xlpm.MyAuditVal,_xlfn.XLOOKUP($A99,My_Audit!$A:$A,My_Audit!J:J,""),
_xlfn.IFS(_xlpm.MyAuditVal&lt;&gt;"",UPPER(_xlpm.MyAuditVal),_xlpm.MacVal&lt;&gt;"",_xlpm.MacVal,_xlpm.CSVVal&lt;&gt;"",_xlpm.CSVVal
)),"")</f>
        <v/>
      </c>
      <c r="L99" s="40" t="str" cm="1">
        <f t="array" ref="L99">IFERROR(_xlfn.LET(
_xlpm.CSVVal,_xlfn.XLOOKUP($A99,CSV!$A:$A,CSV!P:P,""),
_xlpm.MacVal,_xlfn.XLOOKUP($A99,Output_Mac!$A:$A,Output_Mac!L:L,""),
_xlpm.MyAuditVal,_xlfn.XLOOKUP($A99,My_Audit!$A:$A,My_Audit!K:K,""),
_xlfn.IFS(_xlpm.MyAuditVal&lt;&gt;"",UPPER(_xlpm.MyAuditVal),_xlpm.MacVal&lt;&gt;"",_xlpm.MacVal,_xlpm.CSVVal&lt;&gt;"",_xlpm.CSVVal
)),"")</f>
        <v/>
      </c>
      <c r="M99" s="40" t="str" cm="1">
        <f t="array" ref="M99">IFERROR(_xlfn.LET(
_xlpm.CSVVal,_xlfn.XLOOKUP($A99,CSV!$A:$A,CSV!Q:Q,""),
_xlpm.MacVal,_xlfn.XLOOKUP($A99,Output_Mac!$A:$A,Output_Mac!M:M,""),
_xlpm.MyAuditVal,_xlfn.XLOOKUP($A99,My_Audit!$A:$A,My_Audit!L:L,""),
_xlfn.IFS(_xlpm.MyAuditVal&lt;&gt;"",UPPER(_xlpm.MyAuditVal),_xlpm.MacVal&lt;&gt;"",_xlpm.MacVal,_xlpm.CSVVal&lt;&gt;"",_xlpm.CSVVal
)),"")</f>
        <v/>
      </c>
      <c r="N99" s="40"/>
      <c r="O99" s="40" t="str">
        <f>_xlfn.LET(
    _xlpm.CSVVal, _xlfn.XLOOKUP($A99, CSV!$A:$A, CSV!AA:AA, ""),
    _xlpm.MacVal, _xlfn.XLOOKUP($A99, Output_Mac!$A:$A, Output_Mac!S:S, ""),
    _xlpm.MyAuditVal, _xlfn.XLOOKUP($A99, My_Audit!$A:$A, My_Audit!P:P, ""),
    _xlfn.TEXTJOIN(", ", TRUE, _xlpm.MyAuditVal, _xlpm.MacVal, _xlpm.CSVVal)
)</f>
        <v/>
      </c>
      <c r="P99" s="40" t="str" cm="1">
        <f t="array" ref="P99">IFERROR(_xlfn.LET(
_xlpm.CSVVal,_xlfn.XLOOKUP($A99,CSV!$A:$A,CSV!AB:AB,""),
_xlpm.MacVal,_xlfn.XLOOKUP($A99,Output_Mac!$A:$A,Output_Mac!T:T,""),
_xlpm.MyAuditVal,_xlfn.XLOOKUP($A99,My_Audit!$A:$A,My_Audit!Q:Q,""),
_xlfn.IFS(_xlpm.MyAuditVal&lt;&gt;"",UPPER(_xlpm.MyAuditVal),_xlpm.MacVal&lt;&gt;"",_xlpm.MacVal,_xlpm.CSVVal&lt;&gt;"",_xlpm.CSVVal
)),"No")</f>
        <v>No</v>
      </c>
      <c r="Q99" s="40" t="str" cm="1">
        <f t="array" ref="Q99">IFERROR(_xlfn.LET(
_xlpm.CSVVal,_xlfn.XLOOKUP($A99,CSV!$A:$A,CSV!AC:AC,""),
_xlpm.MacVal,_xlfn.XLOOKUP($A99,Output_Mac!$A:$A,Output_Mac!U:U,""),
_xlpm.MyAuditVal,_xlfn.XLOOKUP($A99,My_Audit!$A:$A,My_Audit!R:R,""),
_xlfn.IFS(_xlpm.MyAuditVal&lt;&gt;"",UPPER(_xlpm.MyAuditVal),_xlpm.MacVal&lt;&gt;"",_xlpm.MacVal,_xlpm.CSVVal&lt;&gt;"",_xlpm.CSVVal
)),"")</f>
        <v/>
      </c>
      <c r="R99" s="40"/>
      <c r="S99" s="40"/>
      <c r="T99" s="40"/>
      <c r="U99" s="40"/>
      <c r="V99" s="40"/>
      <c r="W99" s="40"/>
      <c r="X99" s="41" t="str">
        <f>_xlfn.LET(
    _xlpm.MacVal, _xlfn.XLOOKUP($A99, Output_Mac!$A:$A, Output_Mac!AB:AB, ""),
    _xlpm.MyAuditVal, _xlfn.XLOOKUP($A99, My_Audit!$A:$A, My_Audit!N:N, ""),
    _xlfn.TEXTJOIN(", ", TRUE, _xlpm.MyAuditVal, _xlpm.MacVal)
)</f>
        <v/>
      </c>
    </row>
    <row r="100" spans="1:24">
      <c r="A100" s="40" t="str">
        <f>_xlfn.TEXTJOIN("",TRUE,Input!$B$2,ROW(My_Audit!A99))</f>
        <v>X99</v>
      </c>
      <c r="B100" s="40" t="str">
        <f>_xlfn.TEXTJOIN("-",TRUE,"ITD",Input!$A$2,A100)</f>
        <v>ITD-X99</v>
      </c>
      <c r="C100" s="40" t="str" cm="1">
        <f t="array" ref="C100">IFERROR(_xlfn.LET(
_xlpm.CSVVal,_xlfn.XLOOKUP($A100,CSV!$A:$A,CSV!B:B,""),
_xlpm.MacVal,_xlfn.XLOOKUP($A100,Output_Mac!$A:$A,Output_Mac!B:B,""),
_xlpm.MyAuditVal,_xlfn.XLOOKUP($A100,My_Audit!$A:$A,My_Audit!B:B,""),
_xlfn.IFS(_xlpm.MyAuditVal&lt;&gt;"",UPPER(_xlpm.MyAuditVal),_xlpm.MacVal&lt;&gt;"",_xlpm.MacVal,_xlpm.CSVVal&lt;&gt;"",_xlpm.CSVVal
)),"")</f>
        <v/>
      </c>
      <c r="D100" s="40" t="str" cm="1">
        <f t="array" ref="D100">IFERROR(_xlfn.LET(
_xlpm.CSVVal,_xlfn.XLOOKUP($A100,CSV!$A:$A,CSV!D:D,""),
_xlpm.MacVal,_xlfn.XLOOKUP($A100,Output_Mac!$A:$A,Output_Mac!C:C,""),
_xlpm.MyAuditVal,_xlfn.XLOOKUP($A100,My_Audit!$A:$A,My_Audit!C:C,""),
_xlfn.IFS(_xlpm.MyAuditVal&lt;&gt;"",_xlpm.MyAuditVal,_xlpm.MacVal&lt;&gt;"",_xlpm.MacVal,_xlpm.CSVVal&lt;&gt;"",_xlpm.CSVVal
)),"")</f>
        <v/>
      </c>
      <c r="E100" s="40">
        <f>_xlfn.XLOOKUP(A100,My_Audit!A:A,My_Audit!D:D,"")</f>
        <v>0</v>
      </c>
      <c r="F100" s="40" t="str" cm="1">
        <f t="array" ref="F100">IFERROR(_xlfn.LET(
_xlpm.CSVVal,_xlfn.XLOOKUP($A100,CSV!$A:$A,CSV!F:F,""),
_xlpm.MacVal,_xlfn.XLOOKUP($A100,Output_Mac!$A:$A,Output_Mac!E:E,""),
_xlpm.MyAuditVal,_xlfn.XLOOKUP($A100,My_Audit!$A:$A,My_Audit!E:E,""),
_xlfn.IFS(_xlpm.MyAuditVal&lt;&gt;"",_xlpm.MyAuditVal,_xlpm.MacVal&lt;&gt;"",_xlpm.MacVal,_xlpm.CSVVal&lt;&gt;"",_xlpm.CSVVal
)),"")</f>
        <v/>
      </c>
      <c r="G100" s="40" t="str" cm="1">
        <f t="array" ref="G100">IFERROR(_xlfn.LET(
_xlpm.CSVVal,_xlfn.XLOOKUP($A100,CSV!$A:$A,CSV!G:G,""),
_xlpm.MacVal,_xlfn.XLOOKUP($A100,Output_Mac!$A:$A,Output_Mac!F:F,""),
_xlpm.MyAuditVal,_xlfn.XLOOKUP($A100,My_Audit!$A:$A,My_Audit!F:F,""),
_xlfn.IFS(_xlpm.MyAuditVal&lt;&gt;"",_xlpm.MyAuditVal,_xlpm.MacVal&lt;&gt;"",_xlpm.MacVal,_xlpm.CSVVal&lt;&gt;"",PROPER(_xlpm.CSVVal)
)),"")</f>
        <v/>
      </c>
      <c r="H100" s="40" t="str" cm="1">
        <f t="array" ref="H100">IFERROR(_xlfn.LET(
_xlpm.CSVVal,_xlfn.XLOOKUP($A100,CSV!$A:$A,CSV!H:H,""),
_xlpm.MacVal,_xlfn.XLOOKUP($A100,Output_Mac!$A:$A,Output_Mac!H:H,""),
_xlpm.MyAuditVal,_xlfn.XLOOKUP($A100,My_Audit!$A:$A,My_Audit!G:G,""),
_xlfn.IFS(_xlpm.MyAuditVal&lt;&gt;"",_xlpm.MyAuditVal,_xlpm.MacVal&lt;&gt;"",_xlpm.MacVal,_xlpm.CSVVal&lt;&gt;"",_xlpm.CSVVal
)),"")</f>
        <v/>
      </c>
      <c r="I100" s="40" t="str">
        <f>_xlfn.XLOOKUP(A100,Output_Mac!A:A,Output_Mac!I:I,"")</f>
        <v/>
      </c>
      <c r="J100" s="40" t="str" cm="1">
        <f t="array" ref="J100">IFERROR(_xlfn.LET(
_xlpm.CSVVal,_xlfn.XLOOKUP($A100,CSV!$A:$A,CSV!I:I,""),
_xlpm.MacVal,_xlfn.XLOOKUP($A100,Output_Mac!$A:$A,Output_Mac!J:J,""),
_xlpm.MyAuditVal,_xlfn.XLOOKUP($A100,My_Audit!$A:$A,My_Audit!I:I,""),
_xlfn.IFS(_xlpm.MyAuditVal&lt;&gt;"",UPPER(_xlpm.MyAuditVal),_xlpm.MacVal&lt;&gt;"",_xlpm.MacVal,_xlpm.CSVVal&lt;&gt;"",_xlpm.CSVVal
)),"")</f>
        <v/>
      </c>
      <c r="K100" s="40" t="str" cm="1">
        <f t="array" ref="K100">IFERROR(_xlfn.LET(
_xlpm.CSVVal,_xlfn.XLOOKUP($A100,CSV!$A:$A,CSV!K:K,""),
_xlpm.MacVal,_xlfn.XLOOKUP($A100,Output_Mac!$A:$A,Output_Mac!K:K,""),
_xlpm.MyAuditVal,_xlfn.XLOOKUP($A100,My_Audit!$A:$A,My_Audit!J:J,""),
_xlfn.IFS(_xlpm.MyAuditVal&lt;&gt;"",UPPER(_xlpm.MyAuditVal),_xlpm.MacVal&lt;&gt;"",_xlpm.MacVal,_xlpm.CSVVal&lt;&gt;"",_xlpm.CSVVal
)),"")</f>
        <v/>
      </c>
      <c r="L100" s="40" t="str" cm="1">
        <f t="array" ref="L100">IFERROR(_xlfn.LET(
_xlpm.CSVVal,_xlfn.XLOOKUP($A100,CSV!$A:$A,CSV!P:P,""),
_xlpm.MacVal,_xlfn.XLOOKUP($A100,Output_Mac!$A:$A,Output_Mac!L:L,""),
_xlpm.MyAuditVal,_xlfn.XLOOKUP($A100,My_Audit!$A:$A,My_Audit!K:K,""),
_xlfn.IFS(_xlpm.MyAuditVal&lt;&gt;"",UPPER(_xlpm.MyAuditVal),_xlpm.MacVal&lt;&gt;"",_xlpm.MacVal,_xlpm.CSVVal&lt;&gt;"",_xlpm.CSVVal
)),"")</f>
        <v/>
      </c>
      <c r="M100" s="40" t="str" cm="1">
        <f t="array" ref="M100">IFERROR(_xlfn.LET(
_xlpm.CSVVal,_xlfn.XLOOKUP($A100,CSV!$A:$A,CSV!Q:Q,""),
_xlpm.MacVal,_xlfn.XLOOKUP($A100,Output_Mac!$A:$A,Output_Mac!M:M,""),
_xlpm.MyAuditVal,_xlfn.XLOOKUP($A100,My_Audit!$A:$A,My_Audit!L:L,""),
_xlfn.IFS(_xlpm.MyAuditVal&lt;&gt;"",UPPER(_xlpm.MyAuditVal),_xlpm.MacVal&lt;&gt;"",_xlpm.MacVal,_xlpm.CSVVal&lt;&gt;"",_xlpm.CSVVal
)),"")</f>
        <v/>
      </c>
      <c r="N100" s="40"/>
      <c r="O100" s="40" t="str">
        <f>_xlfn.LET(
    _xlpm.CSVVal, _xlfn.XLOOKUP($A100, CSV!$A:$A, CSV!AA:AA, ""),
    _xlpm.MacVal, _xlfn.XLOOKUP($A100, Output_Mac!$A:$A, Output_Mac!S:S, ""),
    _xlpm.MyAuditVal, _xlfn.XLOOKUP($A100, My_Audit!$A:$A, My_Audit!P:P, ""),
    _xlfn.TEXTJOIN(", ", TRUE, _xlpm.MyAuditVal, _xlpm.MacVal, _xlpm.CSVVal)
)</f>
        <v/>
      </c>
      <c r="P100" s="40" t="str" cm="1">
        <f t="array" ref="P100">IFERROR(_xlfn.LET(
_xlpm.CSVVal,_xlfn.XLOOKUP($A100,CSV!$A:$A,CSV!AB:AB,""),
_xlpm.MacVal,_xlfn.XLOOKUP($A100,Output_Mac!$A:$A,Output_Mac!T:T,""),
_xlpm.MyAuditVal,_xlfn.XLOOKUP($A100,My_Audit!$A:$A,My_Audit!Q:Q,""),
_xlfn.IFS(_xlpm.MyAuditVal&lt;&gt;"",UPPER(_xlpm.MyAuditVal),_xlpm.MacVal&lt;&gt;"",_xlpm.MacVal,_xlpm.CSVVal&lt;&gt;"",_xlpm.CSVVal
)),"No")</f>
        <v>No</v>
      </c>
      <c r="Q100" s="40" t="str" cm="1">
        <f t="array" ref="Q100">IFERROR(_xlfn.LET(
_xlpm.CSVVal,_xlfn.XLOOKUP($A100,CSV!$A:$A,CSV!AC:AC,""),
_xlpm.MacVal,_xlfn.XLOOKUP($A100,Output_Mac!$A:$A,Output_Mac!U:U,""),
_xlpm.MyAuditVal,_xlfn.XLOOKUP($A100,My_Audit!$A:$A,My_Audit!R:R,""),
_xlfn.IFS(_xlpm.MyAuditVal&lt;&gt;"",UPPER(_xlpm.MyAuditVal),_xlpm.MacVal&lt;&gt;"",_xlpm.MacVal,_xlpm.CSVVal&lt;&gt;"",_xlpm.CSVVal
)),"")</f>
        <v/>
      </c>
      <c r="R100" s="40"/>
      <c r="S100" s="40"/>
      <c r="T100" s="40"/>
      <c r="U100" s="40"/>
      <c r="V100" s="40"/>
      <c r="W100" s="40"/>
      <c r="X100" s="41" t="str">
        <f>_xlfn.LET(
    _xlpm.MacVal, _xlfn.XLOOKUP($A100, Output_Mac!$A:$A, Output_Mac!AB:AB, ""),
    _xlpm.MyAuditVal, _xlfn.XLOOKUP($A100, My_Audit!$A:$A, My_Audit!N:N, ""),
    _xlfn.TEXTJOIN(", ", TRUE, _xlpm.MyAuditVal, _xlpm.MacVal)
)</f>
        <v/>
      </c>
    </row>
    <row r="101" spans="1:24">
      <c r="A101" s="40" t="str">
        <f>_xlfn.TEXTJOIN("",TRUE,Input!$B$2,ROW(My_Audit!A100))</f>
        <v>X100</v>
      </c>
      <c r="B101" s="40" t="str">
        <f>_xlfn.TEXTJOIN("-",TRUE,"ITD",Input!$A$2,A101)</f>
        <v>ITD-X100</v>
      </c>
      <c r="C101" s="40" t="str" cm="1">
        <f t="array" ref="C101">IFERROR(_xlfn.LET(
_xlpm.CSVVal,_xlfn.XLOOKUP($A101,CSV!$A:$A,CSV!B:B,""),
_xlpm.MacVal,_xlfn.XLOOKUP($A101,Output_Mac!$A:$A,Output_Mac!B:B,""),
_xlpm.MyAuditVal,_xlfn.XLOOKUP($A101,My_Audit!$A:$A,My_Audit!B:B,""),
_xlfn.IFS(_xlpm.MyAuditVal&lt;&gt;"",UPPER(_xlpm.MyAuditVal),_xlpm.MacVal&lt;&gt;"",_xlpm.MacVal,_xlpm.CSVVal&lt;&gt;"",_xlpm.CSVVal
)),"")</f>
        <v/>
      </c>
      <c r="D101" s="40" t="str" cm="1">
        <f t="array" ref="D101">IFERROR(_xlfn.LET(
_xlpm.CSVVal,_xlfn.XLOOKUP($A101,CSV!$A:$A,CSV!D:D,""),
_xlpm.MacVal,_xlfn.XLOOKUP($A101,Output_Mac!$A:$A,Output_Mac!C:C,""),
_xlpm.MyAuditVal,_xlfn.XLOOKUP($A101,My_Audit!$A:$A,My_Audit!C:C,""),
_xlfn.IFS(_xlpm.MyAuditVal&lt;&gt;"",_xlpm.MyAuditVal,_xlpm.MacVal&lt;&gt;"",_xlpm.MacVal,_xlpm.CSVVal&lt;&gt;"",_xlpm.CSVVal
)),"")</f>
        <v/>
      </c>
      <c r="E101" s="40">
        <f>_xlfn.XLOOKUP(A101,My_Audit!A:A,My_Audit!D:D,"")</f>
        <v>0</v>
      </c>
      <c r="F101" s="40" t="str" cm="1">
        <f t="array" ref="F101">IFERROR(_xlfn.LET(
_xlpm.CSVVal,_xlfn.XLOOKUP($A101,CSV!$A:$A,CSV!F:F,""),
_xlpm.MacVal,_xlfn.XLOOKUP($A101,Output_Mac!$A:$A,Output_Mac!E:E,""),
_xlpm.MyAuditVal,_xlfn.XLOOKUP($A101,My_Audit!$A:$A,My_Audit!E:E,""),
_xlfn.IFS(_xlpm.MyAuditVal&lt;&gt;"",_xlpm.MyAuditVal,_xlpm.MacVal&lt;&gt;"",_xlpm.MacVal,_xlpm.CSVVal&lt;&gt;"",_xlpm.CSVVal
)),"")</f>
        <v/>
      </c>
      <c r="G101" s="40" t="str" cm="1">
        <f t="array" ref="G101">IFERROR(_xlfn.LET(
_xlpm.CSVVal,_xlfn.XLOOKUP($A101,CSV!$A:$A,CSV!G:G,""),
_xlpm.MacVal,_xlfn.XLOOKUP($A101,Output_Mac!$A:$A,Output_Mac!F:F,""),
_xlpm.MyAuditVal,_xlfn.XLOOKUP($A101,My_Audit!$A:$A,My_Audit!F:F,""),
_xlfn.IFS(_xlpm.MyAuditVal&lt;&gt;"",_xlpm.MyAuditVal,_xlpm.MacVal&lt;&gt;"",_xlpm.MacVal,_xlpm.CSVVal&lt;&gt;"",PROPER(_xlpm.CSVVal)
)),"")</f>
        <v/>
      </c>
      <c r="H101" s="40" t="str" cm="1">
        <f t="array" ref="H101">IFERROR(_xlfn.LET(
_xlpm.CSVVal,_xlfn.XLOOKUP($A101,CSV!$A:$A,CSV!H:H,""),
_xlpm.MacVal,_xlfn.XLOOKUP($A101,Output_Mac!$A:$A,Output_Mac!H:H,""),
_xlpm.MyAuditVal,_xlfn.XLOOKUP($A101,My_Audit!$A:$A,My_Audit!G:G,""),
_xlfn.IFS(_xlpm.MyAuditVal&lt;&gt;"",_xlpm.MyAuditVal,_xlpm.MacVal&lt;&gt;"",_xlpm.MacVal,_xlpm.CSVVal&lt;&gt;"",_xlpm.CSVVal
)),"")</f>
        <v/>
      </c>
      <c r="I101" s="40" t="str">
        <f>_xlfn.XLOOKUP(A101,Output_Mac!A:A,Output_Mac!I:I,"")</f>
        <v/>
      </c>
      <c r="J101" s="40" t="str" cm="1">
        <f t="array" ref="J101">IFERROR(_xlfn.LET(
_xlpm.CSVVal,_xlfn.XLOOKUP($A101,CSV!$A:$A,CSV!I:I,""),
_xlpm.MacVal,_xlfn.XLOOKUP($A101,Output_Mac!$A:$A,Output_Mac!J:J,""),
_xlpm.MyAuditVal,_xlfn.XLOOKUP($A101,My_Audit!$A:$A,My_Audit!I:I,""),
_xlfn.IFS(_xlpm.MyAuditVal&lt;&gt;"",UPPER(_xlpm.MyAuditVal),_xlpm.MacVal&lt;&gt;"",_xlpm.MacVal,_xlpm.CSVVal&lt;&gt;"",_xlpm.CSVVal
)),"")</f>
        <v/>
      </c>
      <c r="K101" s="40" t="str" cm="1">
        <f t="array" ref="K101">IFERROR(_xlfn.LET(
_xlpm.CSVVal,_xlfn.XLOOKUP($A101,CSV!$A:$A,CSV!K:K,""),
_xlpm.MacVal,_xlfn.XLOOKUP($A101,Output_Mac!$A:$A,Output_Mac!K:K,""),
_xlpm.MyAuditVal,_xlfn.XLOOKUP($A101,My_Audit!$A:$A,My_Audit!J:J,""),
_xlfn.IFS(_xlpm.MyAuditVal&lt;&gt;"",UPPER(_xlpm.MyAuditVal),_xlpm.MacVal&lt;&gt;"",_xlpm.MacVal,_xlpm.CSVVal&lt;&gt;"",_xlpm.CSVVal
)),"")</f>
        <v/>
      </c>
      <c r="L101" s="40" t="str" cm="1">
        <f t="array" ref="L101">IFERROR(_xlfn.LET(
_xlpm.CSVVal,_xlfn.XLOOKUP($A101,CSV!$A:$A,CSV!P:P,""),
_xlpm.MacVal,_xlfn.XLOOKUP($A101,Output_Mac!$A:$A,Output_Mac!L:L,""),
_xlpm.MyAuditVal,_xlfn.XLOOKUP($A101,My_Audit!$A:$A,My_Audit!K:K,""),
_xlfn.IFS(_xlpm.MyAuditVal&lt;&gt;"",UPPER(_xlpm.MyAuditVal),_xlpm.MacVal&lt;&gt;"",_xlpm.MacVal,_xlpm.CSVVal&lt;&gt;"",_xlpm.CSVVal
)),"")</f>
        <v/>
      </c>
      <c r="M101" s="40" t="str" cm="1">
        <f t="array" ref="M101">IFERROR(_xlfn.LET(
_xlpm.CSVVal,_xlfn.XLOOKUP($A101,CSV!$A:$A,CSV!Q:Q,""),
_xlpm.MacVal,_xlfn.XLOOKUP($A101,Output_Mac!$A:$A,Output_Mac!M:M,""),
_xlpm.MyAuditVal,_xlfn.XLOOKUP($A101,My_Audit!$A:$A,My_Audit!L:L,""),
_xlfn.IFS(_xlpm.MyAuditVal&lt;&gt;"",UPPER(_xlpm.MyAuditVal),_xlpm.MacVal&lt;&gt;"",_xlpm.MacVal,_xlpm.CSVVal&lt;&gt;"",_xlpm.CSVVal
)),"")</f>
        <v/>
      </c>
      <c r="N101" s="40"/>
      <c r="O101" s="40" t="str">
        <f>_xlfn.LET(
    _xlpm.CSVVal, _xlfn.XLOOKUP($A101, CSV!$A:$A, CSV!AA:AA, ""),
    _xlpm.MacVal, _xlfn.XLOOKUP($A101, Output_Mac!$A:$A, Output_Mac!S:S, ""),
    _xlpm.MyAuditVal, _xlfn.XLOOKUP($A101, My_Audit!$A:$A, My_Audit!P:P, ""),
    _xlfn.TEXTJOIN(", ", TRUE, _xlpm.MyAuditVal, _xlpm.MacVal, _xlpm.CSVVal)
)</f>
        <v/>
      </c>
      <c r="P101" s="40" t="str" cm="1">
        <f t="array" ref="P101">IFERROR(_xlfn.LET(
_xlpm.CSVVal,_xlfn.XLOOKUP($A101,CSV!$A:$A,CSV!AB:AB,""),
_xlpm.MacVal,_xlfn.XLOOKUP($A101,Output_Mac!$A:$A,Output_Mac!T:T,""),
_xlpm.MyAuditVal,_xlfn.XLOOKUP($A101,My_Audit!$A:$A,My_Audit!Q:Q,""),
_xlfn.IFS(_xlpm.MyAuditVal&lt;&gt;"",UPPER(_xlpm.MyAuditVal),_xlpm.MacVal&lt;&gt;"",_xlpm.MacVal,_xlpm.CSVVal&lt;&gt;"",_xlpm.CSVVal
)),"No")</f>
        <v>No</v>
      </c>
      <c r="Q101" s="40" t="str" cm="1">
        <f t="array" ref="Q101">IFERROR(_xlfn.LET(
_xlpm.CSVVal,_xlfn.XLOOKUP($A101,CSV!$A:$A,CSV!AC:AC,""),
_xlpm.MacVal,_xlfn.XLOOKUP($A101,Output_Mac!$A:$A,Output_Mac!U:U,""),
_xlpm.MyAuditVal,_xlfn.XLOOKUP($A101,My_Audit!$A:$A,My_Audit!R:R,""),
_xlfn.IFS(_xlpm.MyAuditVal&lt;&gt;"",UPPER(_xlpm.MyAuditVal),_xlpm.MacVal&lt;&gt;"",_xlpm.MacVal,_xlpm.CSVVal&lt;&gt;"",_xlpm.CSVVal
)),"")</f>
        <v/>
      </c>
      <c r="R101" s="40"/>
      <c r="S101" s="40"/>
      <c r="T101" s="40"/>
      <c r="U101" s="40"/>
      <c r="V101" s="40"/>
      <c r="W101" s="40"/>
      <c r="X101" s="41" t="str">
        <f>_xlfn.LET(
    _xlpm.MacVal, _xlfn.XLOOKUP($A101, Output_Mac!$A:$A, Output_Mac!AB:AB, ""),
    _xlpm.MyAuditVal, _xlfn.XLOOKUP($A101, My_Audit!$A:$A, My_Audit!N:N, ""),
    _xlfn.TEXTJOIN(", ", TRUE, _xlpm.MyAuditVal, _xlpm.MacVal)
)</f>
        <v/>
      </c>
    </row>
    <row r="102" spans="1:24">
      <c r="A102" s="40" t="str">
        <f>_xlfn.TEXTJOIN("",TRUE,Input!$B$2,ROW(My_Audit!A101))</f>
        <v>X101</v>
      </c>
      <c r="B102" s="40" t="str">
        <f>_xlfn.TEXTJOIN("-",TRUE,"ITD",Input!$A$2,A102)</f>
        <v>ITD-X101</v>
      </c>
      <c r="C102" s="40" t="str" cm="1">
        <f t="array" ref="C102">IFERROR(_xlfn.LET(
_xlpm.CSVVal,_xlfn.XLOOKUP($A102,CSV!$A:$A,CSV!B:B,""),
_xlpm.MacVal,_xlfn.XLOOKUP($A102,Output_Mac!$A:$A,Output_Mac!B:B,""),
_xlpm.MyAuditVal,_xlfn.XLOOKUP($A102,My_Audit!$A:$A,My_Audit!B:B,""),
_xlfn.IFS(_xlpm.MyAuditVal&lt;&gt;"",UPPER(_xlpm.MyAuditVal),_xlpm.MacVal&lt;&gt;"",_xlpm.MacVal,_xlpm.CSVVal&lt;&gt;"",_xlpm.CSVVal
)),"")</f>
        <v/>
      </c>
      <c r="D102" s="40" t="str" cm="1">
        <f t="array" ref="D102">IFERROR(_xlfn.LET(
_xlpm.CSVVal,_xlfn.XLOOKUP($A102,CSV!$A:$A,CSV!D:D,""),
_xlpm.MacVal,_xlfn.XLOOKUP($A102,Output_Mac!$A:$A,Output_Mac!C:C,""),
_xlpm.MyAuditVal,_xlfn.XLOOKUP($A102,My_Audit!$A:$A,My_Audit!C:C,""),
_xlfn.IFS(_xlpm.MyAuditVal&lt;&gt;"",_xlpm.MyAuditVal,_xlpm.MacVal&lt;&gt;"",_xlpm.MacVal,_xlpm.CSVVal&lt;&gt;"",_xlpm.CSVVal
)),"")</f>
        <v/>
      </c>
      <c r="E102" s="40">
        <f>_xlfn.XLOOKUP(A102,My_Audit!A:A,My_Audit!D:D,"")</f>
        <v>0</v>
      </c>
      <c r="F102" s="40" t="str" cm="1">
        <f t="array" ref="F102">IFERROR(_xlfn.LET(
_xlpm.CSVVal,_xlfn.XLOOKUP($A102,CSV!$A:$A,CSV!F:F,""),
_xlpm.MacVal,_xlfn.XLOOKUP($A102,Output_Mac!$A:$A,Output_Mac!E:E,""),
_xlpm.MyAuditVal,_xlfn.XLOOKUP($A102,My_Audit!$A:$A,My_Audit!E:E,""),
_xlfn.IFS(_xlpm.MyAuditVal&lt;&gt;"",_xlpm.MyAuditVal,_xlpm.MacVal&lt;&gt;"",_xlpm.MacVal,_xlpm.CSVVal&lt;&gt;"",_xlpm.CSVVal
)),"")</f>
        <v/>
      </c>
      <c r="G102" s="40" t="str" cm="1">
        <f t="array" ref="G102">IFERROR(_xlfn.LET(
_xlpm.CSVVal,_xlfn.XLOOKUP($A102,CSV!$A:$A,CSV!G:G,""),
_xlpm.MacVal,_xlfn.XLOOKUP($A102,Output_Mac!$A:$A,Output_Mac!F:F,""),
_xlpm.MyAuditVal,_xlfn.XLOOKUP($A102,My_Audit!$A:$A,My_Audit!F:F,""),
_xlfn.IFS(_xlpm.MyAuditVal&lt;&gt;"",_xlpm.MyAuditVal,_xlpm.MacVal&lt;&gt;"",_xlpm.MacVal,_xlpm.CSVVal&lt;&gt;"",PROPER(_xlpm.CSVVal)
)),"")</f>
        <v/>
      </c>
      <c r="H102" s="40" t="str" cm="1">
        <f t="array" ref="H102">IFERROR(_xlfn.LET(
_xlpm.CSVVal,_xlfn.XLOOKUP($A102,CSV!$A:$A,CSV!H:H,""),
_xlpm.MacVal,_xlfn.XLOOKUP($A102,Output_Mac!$A:$A,Output_Mac!H:H,""),
_xlpm.MyAuditVal,_xlfn.XLOOKUP($A102,My_Audit!$A:$A,My_Audit!G:G,""),
_xlfn.IFS(_xlpm.MyAuditVal&lt;&gt;"",_xlpm.MyAuditVal,_xlpm.MacVal&lt;&gt;"",_xlpm.MacVal,_xlpm.CSVVal&lt;&gt;"",_xlpm.CSVVal
)),"")</f>
        <v/>
      </c>
      <c r="I102" s="40" t="str">
        <f>_xlfn.XLOOKUP(A102,Output_Mac!A:A,Output_Mac!I:I,"")</f>
        <v/>
      </c>
      <c r="J102" s="40" t="str" cm="1">
        <f t="array" ref="J102">IFERROR(_xlfn.LET(
_xlpm.CSVVal,_xlfn.XLOOKUP($A102,CSV!$A:$A,CSV!I:I,""),
_xlpm.MacVal,_xlfn.XLOOKUP($A102,Output_Mac!$A:$A,Output_Mac!J:J,""),
_xlpm.MyAuditVal,_xlfn.XLOOKUP($A102,My_Audit!$A:$A,My_Audit!I:I,""),
_xlfn.IFS(_xlpm.MyAuditVal&lt;&gt;"",UPPER(_xlpm.MyAuditVal),_xlpm.MacVal&lt;&gt;"",_xlpm.MacVal,_xlpm.CSVVal&lt;&gt;"",_xlpm.CSVVal
)),"")</f>
        <v/>
      </c>
      <c r="K102" s="40" t="str" cm="1">
        <f t="array" ref="K102">IFERROR(_xlfn.LET(
_xlpm.CSVVal,_xlfn.XLOOKUP($A102,CSV!$A:$A,CSV!K:K,""),
_xlpm.MacVal,_xlfn.XLOOKUP($A102,Output_Mac!$A:$A,Output_Mac!K:K,""),
_xlpm.MyAuditVal,_xlfn.XLOOKUP($A102,My_Audit!$A:$A,My_Audit!J:J,""),
_xlfn.IFS(_xlpm.MyAuditVal&lt;&gt;"",UPPER(_xlpm.MyAuditVal),_xlpm.MacVal&lt;&gt;"",_xlpm.MacVal,_xlpm.CSVVal&lt;&gt;"",_xlpm.CSVVal
)),"")</f>
        <v/>
      </c>
      <c r="L102" s="40" t="str" cm="1">
        <f t="array" ref="L102">IFERROR(_xlfn.LET(
_xlpm.CSVVal,_xlfn.XLOOKUP($A102,CSV!$A:$A,CSV!P:P,""),
_xlpm.MacVal,_xlfn.XLOOKUP($A102,Output_Mac!$A:$A,Output_Mac!L:L,""),
_xlpm.MyAuditVal,_xlfn.XLOOKUP($A102,My_Audit!$A:$A,My_Audit!K:K,""),
_xlfn.IFS(_xlpm.MyAuditVal&lt;&gt;"",UPPER(_xlpm.MyAuditVal),_xlpm.MacVal&lt;&gt;"",_xlpm.MacVal,_xlpm.CSVVal&lt;&gt;"",_xlpm.CSVVal
)),"")</f>
        <v/>
      </c>
      <c r="M102" s="40" t="str" cm="1">
        <f t="array" ref="M102">IFERROR(_xlfn.LET(
_xlpm.CSVVal,_xlfn.XLOOKUP($A102,CSV!$A:$A,CSV!Q:Q,""),
_xlpm.MacVal,_xlfn.XLOOKUP($A102,Output_Mac!$A:$A,Output_Mac!M:M,""),
_xlpm.MyAuditVal,_xlfn.XLOOKUP($A102,My_Audit!$A:$A,My_Audit!L:L,""),
_xlfn.IFS(_xlpm.MyAuditVal&lt;&gt;"",UPPER(_xlpm.MyAuditVal),_xlpm.MacVal&lt;&gt;"",_xlpm.MacVal,_xlpm.CSVVal&lt;&gt;"",_xlpm.CSVVal
)),"")</f>
        <v/>
      </c>
      <c r="N102" s="40"/>
      <c r="O102" s="40" t="str">
        <f>_xlfn.LET(
    _xlpm.CSVVal, _xlfn.XLOOKUP($A102, CSV!$A:$A, CSV!AA:AA, ""),
    _xlpm.MacVal, _xlfn.XLOOKUP($A102, Output_Mac!$A:$A, Output_Mac!S:S, ""),
    _xlpm.MyAuditVal, _xlfn.XLOOKUP($A102, My_Audit!$A:$A, My_Audit!P:P, ""),
    _xlfn.TEXTJOIN(", ", TRUE, _xlpm.MyAuditVal, _xlpm.MacVal, _xlpm.CSVVal)
)</f>
        <v/>
      </c>
      <c r="P102" s="40" t="str" cm="1">
        <f t="array" ref="P102">IFERROR(_xlfn.LET(
_xlpm.CSVVal,_xlfn.XLOOKUP($A102,CSV!$A:$A,CSV!AB:AB,""),
_xlpm.MacVal,_xlfn.XLOOKUP($A102,Output_Mac!$A:$A,Output_Mac!T:T,""),
_xlpm.MyAuditVal,_xlfn.XLOOKUP($A102,My_Audit!$A:$A,My_Audit!Q:Q,""),
_xlfn.IFS(_xlpm.MyAuditVal&lt;&gt;"",UPPER(_xlpm.MyAuditVal),_xlpm.MacVal&lt;&gt;"",_xlpm.MacVal,_xlpm.CSVVal&lt;&gt;"",_xlpm.CSVVal
)),"No")</f>
        <v>No</v>
      </c>
      <c r="Q102" s="40" t="str" cm="1">
        <f t="array" ref="Q102">IFERROR(_xlfn.LET(
_xlpm.CSVVal,_xlfn.XLOOKUP($A102,CSV!$A:$A,CSV!AC:AC,""),
_xlpm.MacVal,_xlfn.XLOOKUP($A102,Output_Mac!$A:$A,Output_Mac!U:U,""),
_xlpm.MyAuditVal,_xlfn.XLOOKUP($A102,My_Audit!$A:$A,My_Audit!R:R,""),
_xlfn.IFS(_xlpm.MyAuditVal&lt;&gt;"",UPPER(_xlpm.MyAuditVal),_xlpm.MacVal&lt;&gt;"",_xlpm.MacVal,_xlpm.CSVVal&lt;&gt;"",_xlpm.CSVVal
)),"")</f>
        <v/>
      </c>
      <c r="R102" s="40"/>
      <c r="S102" s="40"/>
      <c r="T102" s="40"/>
      <c r="U102" s="40"/>
      <c r="V102" s="40"/>
      <c r="W102" s="40"/>
      <c r="X102" s="41" t="str">
        <f>_xlfn.LET(
    _xlpm.MacVal, _xlfn.XLOOKUP($A102, Output_Mac!$A:$A, Output_Mac!AB:AB, ""),
    _xlpm.MyAuditVal, _xlfn.XLOOKUP($A102, My_Audit!$A:$A, My_Audit!N:N, ""),
    _xlfn.TEXTJOIN(", ", TRUE, _xlpm.MyAuditVal, _xlpm.MacVal)
)</f>
        <v/>
      </c>
    </row>
    <row r="103" spans="1:24">
      <c r="A103" s="40" t="str">
        <f>_xlfn.TEXTJOIN("",TRUE,Input!$B$2,ROW(My_Audit!A102))</f>
        <v>X102</v>
      </c>
      <c r="B103" s="40" t="str">
        <f>_xlfn.TEXTJOIN("-",TRUE,"ITD",Input!$A$2,A103)</f>
        <v>ITD-X102</v>
      </c>
      <c r="C103" s="40" t="str" cm="1">
        <f t="array" ref="C103">IFERROR(_xlfn.LET(
_xlpm.CSVVal,_xlfn.XLOOKUP($A103,CSV!$A:$A,CSV!B:B,""),
_xlpm.MacVal,_xlfn.XLOOKUP($A103,Output_Mac!$A:$A,Output_Mac!B:B,""),
_xlpm.MyAuditVal,_xlfn.XLOOKUP($A103,My_Audit!$A:$A,My_Audit!B:B,""),
_xlfn.IFS(_xlpm.MyAuditVal&lt;&gt;"",UPPER(_xlpm.MyAuditVal),_xlpm.MacVal&lt;&gt;"",_xlpm.MacVal,_xlpm.CSVVal&lt;&gt;"",_xlpm.CSVVal
)),"")</f>
        <v/>
      </c>
      <c r="D103" s="40" t="str" cm="1">
        <f t="array" ref="D103">IFERROR(_xlfn.LET(
_xlpm.CSVVal,_xlfn.XLOOKUP($A103,CSV!$A:$A,CSV!D:D,""),
_xlpm.MacVal,_xlfn.XLOOKUP($A103,Output_Mac!$A:$A,Output_Mac!C:C,""),
_xlpm.MyAuditVal,_xlfn.XLOOKUP($A103,My_Audit!$A:$A,My_Audit!C:C,""),
_xlfn.IFS(_xlpm.MyAuditVal&lt;&gt;"",_xlpm.MyAuditVal,_xlpm.MacVal&lt;&gt;"",_xlpm.MacVal,_xlpm.CSVVal&lt;&gt;"",_xlpm.CSVVal
)),"")</f>
        <v/>
      </c>
      <c r="E103" s="40">
        <f>_xlfn.XLOOKUP(A103,My_Audit!A:A,My_Audit!D:D,"")</f>
        <v>0</v>
      </c>
      <c r="F103" s="40" t="str" cm="1">
        <f t="array" ref="F103">IFERROR(_xlfn.LET(
_xlpm.CSVVal,_xlfn.XLOOKUP($A103,CSV!$A:$A,CSV!F:F,""),
_xlpm.MacVal,_xlfn.XLOOKUP($A103,Output_Mac!$A:$A,Output_Mac!E:E,""),
_xlpm.MyAuditVal,_xlfn.XLOOKUP($A103,My_Audit!$A:$A,My_Audit!E:E,""),
_xlfn.IFS(_xlpm.MyAuditVal&lt;&gt;"",_xlpm.MyAuditVal,_xlpm.MacVal&lt;&gt;"",_xlpm.MacVal,_xlpm.CSVVal&lt;&gt;"",_xlpm.CSVVal
)),"")</f>
        <v/>
      </c>
      <c r="G103" s="40" t="str" cm="1">
        <f t="array" ref="G103">IFERROR(_xlfn.LET(
_xlpm.CSVVal,_xlfn.XLOOKUP($A103,CSV!$A:$A,CSV!G:G,""),
_xlpm.MacVal,_xlfn.XLOOKUP($A103,Output_Mac!$A:$A,Output_Mac!F:F,""),
_xlpm.MyAuditVal,_xlfn.XLOOKUP($A103,My_Audit!$A:$A,My_Audit!F:F,""),
_xlfn.IFS(_xlpm.MyAuditVal&lt;&gt;"",_xlpm.MyAuditVal,_xlpm.MacVal&lt;&gt;"",_xlpm.MacVal,_xlpm.CSVVal&lt;&gt;"",PROPER(_xlpm.CSVVal)
)),"")</f>
        <v/>
      </c>
      <c r="H103" s="40" t="str" cm="1">
        <f t="array" ref="H103">IFERROR(_xlfn.LET(
_xlpm.CSVVal,_xlfn.XLOOKUP($A103,CSV!$A:$A,CSV!H:H,""),
_xlpm.MacVal,_xlfn.XLOOKUP($A103,Output_Mac!$A:$A,Output_Mac!H:H,""),
_xlpm.MyAuditVal,_xlfn.XLOOKUP($A103,My_Audit!$A:$A,My_Audit!G:G,""),
_xlfn.IFS(_xlpm.MyAuditVal&lt;&gt;"",_xlpm.MyAuditVal,_xlpm.MacVal&lt;&gt;"",_xlpm.MacVal,_xlpm.CSVVal&lt;&gt;"",_xlpm.CSVVal
)),"")</f>
        <v/>
      </c>
      <c r="I103" s="40" t="str">
        <f>_xlfn.XLOOKUP(A103,Output_Mac!A:A,Output_Mac!I:I,"")</f>
        <v/>
      </c>
      <c r="J103" s="40" t="str" cm="1">
        <f t="array" ref="J103">IFERROR(_xlfn.LET(
_xlpm.CSVVal,_xlfn.XLOOKUP($A103,CSV!$A:$A,CSV!I:I,""),
_xlpm.MacVal,_xlfn.XLOOKUP($A103,Output_Mac!$A:$A,Output_Mac!J:J,""),
_xlpm.MyAuditVal,_xlfn.XLOOKUP($A103,My_Audit!$A:$A,My_Audit!I:I,""),
_xlfn.IFS(_xlpm.MyAuditVal&lt;&gt;"",UPPER(_xlpm.MyAuditVal),_xlpm.MacVal&lt;&gt;"",_xlpm.MacVal,_xlpm.CSVVal&lt;&gt;"",_xlpm.CSVVal
)),"")</f>
        <v/>
      </c>
      <c r="K103" s="40" t="str" cm="1">
        <f t="array" ref="K103">IFERROR(_xlfn.LET(
_xlpm.CSVVal,_xlfn.XLOOKUP($A103,CSV!$A:$A,CSV!K:K,""),
_xlpm.MacVal,_xlfn.XLOOKUP($A103,Output_Mac!$A:$A,Output_Mac!K:K,""),
_xlpm.MyAuditVal,_xlfn.XLOOKUP($A103,My_Audit!$A:$A,My_Audit!J:J,""),
_xlfn.IFS(_xlpm.MyAuditVal&lt;&gt;"",UPPER(_xlpm.MyAuditVal),_xlpm.MacVal&lt;&gt;"",_xlpm.MacVal,_xlpm.CSVVal&lt;&gt;"",_xlpm.CSVVal
)),"")</f>
        <v/>
      </c>
      <c r="L103" s="40" t="str" cm="1">
        <f t="array" ref="L103">IFERROR(_xlfn.LET(
_xlpm.CSVVal,_xlfn.XLOOKUP($A103,CSV!$A:$A,CSV!P:P,""),
_xlpm.MacVal,_xlfn.XLOOKUP($A103,Output_Mac!$A:$A,Output_Mac!L:L,""),
_xlpm.MyAuditVal,_xlfn.XLOOKUP($A103,My_Audit!$A:$A,My_Audit!K:K,""),
_xlfn.IFS(_xlpm.MyAuditVal&lt;&gt;"",UPPER(_xlpm.MyAuditVal),_xlpm.MacVal&lt;&gt;"",_xlpm.MacVal,_xlpm.CSVVal&lt;&gt;"",_xlpm.CSVVal
)),"")</f>
        <v/>
      </c>
      <c r="M103" s="40" t="str" cm="1">
        <f t="array" ref="M103">IFERROR(_xlfn.LET(
_xlpm.CSVVal,_xlfn.XLOOKUP($A103,CSV!$A:$A,CSV!Q:Q,""),
_xlpm.MacVal,_xlfn.XLOOKUP($A103,Output_Mac!$A:$A,Output_Mac!M:M,""),
_xlpm.MyAuditVal,_xlfn.XLOOKUP($A103,My_Audit!$A:$A,My_Audit!L:L,""),
_xlfn.IFS(_xlpm.MyAuditVal&lt;&gt;"",UPPER(_xlpm.MyAuditVal),_xlpm.MacVal&lt;&gt;"",_xlpm.MacVal,_xlpm.CSVVal&lt;&gt;"",_xlpm.CSVVal
)),"")</f>
        <v/>
      </c>
      <c r="N103" s="40"/>
      <c r="O103" s="40" t="str">
        <f>_xlfn.LET(
    _xlpm.CSVVal, _xlfn.XLOOKUP($A103, CSV!$A:$A, CSV!AA:AA, ""),
    _xlpm.MacVal, _xlfn.XLOOKUP($A103, Output_Mac!$A:$A, Output_Mac!S:S, ""),
    _xlpm.MyAuditVal, _xlfn.XLOOKUP($A103, My_Audit!$A:$A, My_Audit!P:P, ""),
    _xlfn.TEXTJOIN(", ", TRUE, _xlpm.MyAuditVal, _xlpm.MacVal, _xlpm.CSVVal)
)</f>
        <v/>
      </c>
      <c r="P103" s="40" t="str" cm="1">
        <f t="array" ref="P103">IFERROR(_xlfn.LET(
_xlpm.CSVVal,_xlfn.XLOOKUP($A103,CSV!$A:$A,CSV!AB:AB,""),
_xlpm.MacVal,_xlfn.XLOOKUP($A103,Output_Mac!$A:$A,Output_Mac!T:T,""),
_xlpm.MyAuditVal,_xlfn.XLOOKUP($A103,My_Audit!$A:$A,My_Audit!Q:Q,""),
_xlfn.IFS(_xlpm.MyAuditVal&lt;&gt;"",UPPER(_xlpm.MyAuditVal),_xlpm.MacVal&lt;&gt;"",_xlpm.MacVal,_xlpm.CSVVal&lt;&gt;"",_xlpm.CSVVal
)),"No")</f>
        <v>No</v>
      </c>
      <c r="Q103" s="40" t="str" cm="1">
        <f t="array" ref="Q103">IFERROR(_xlfn.LET(
_xlpm.CSVVal,_xlfn.XLOOKUP($A103,CSV!$A:$A,CSV!AC:AC,""),
_xlpm.MacVal,_xlfn.XLOOKUP($A103,Output_Mac!$A:$A,Output_Mac!U:U,""),
_xlpm.MyAuditVal,_xlfn.XLOOKUP($A103,My_Audit!$A:$A,My_Audit!R:R,""),
_xlfn.IFS(_xlpm.MyAuditVal&lt;&gt;"",UPPER(_xlpm.MyAuditVal),_xlpm.MacVal&lt;&gt;"",_xlpm.MacVal,_xlpm.CSVVal&lt;&gt;"",_xlpm.CSVVal
)),"")</f>
        <v/>
      </c>
      <c r="R103" s="40"/>
      <c r="S103" s="40"/>
      <c r="T103" s="40"/>
      <c r="U103" s="40"/>
      <c r="V103" s="40"/>
      <c r="W103" s="40"/>
      <c r="X103" s="41" t="str">
        <f>_xlfn.LET(
    _xlpm.MacVal, _xlfn.XLOOKUP($A103, Output_Mac!$A:$A, Output_Mac!AB:AB, ""),
    _xlpm.MyAuditVal, _xlfn.XLOOKUP($A103, My_Audit!$A:$A, My_Audit!N:N, ""),
    _xlfn.TEXTJOIN(", ", TRUE, _xlpm.MyAuditVal, _xlpm.MacVal)
)</f>
        <v/>
      </c>
    </row>
    <row r="104" spans="1:24">
      <c r="A104" s="40" t="str">
        <f>_xlfn.TEXTJOIN("",TRUE,Input!$B$2,ROW(My_Audit!A103))</f>
        <v>X103</v>
      </c>
      <c r="B104" s="40" t="str">
        <f>_xlfn.TEXTJOIN("-",TRUE,"ITD",Input!$A$2,A104)</f>
        <v>ITD-X103</v>
      </c>
      <c r="C104" s="40" t="str" cm="1">
        <f t="array" ref="C104">IFERROR(_xlfn.LET(
_xlpm.CSVVal,_xlfn.XLOOKUP($A104,CSV!$A:$A,CSV!B:B,""),
_xlpm.MacVal,_xlfn.XLOOKUP($A104,Output_Mac!$A:$A,Output_Mac!B:B,""),
_xlpm.MyAuditVal,_xlfn.XLOOKUP($A104,My_Audit!$A:$A,My_Audit!B:B,""),
_xlfn.IFS(_xlpm.MyAuditVal&lt;&gt;"",UPPER(_xlpm.MyAuditVal),_xlpm.MacVal&lt;&gt;"",_xlpm.MacVal,_xlpm.CSVVal&lt;&gt;"",_xlpm.CSVVal
)),"")</f>
        <v/>
      </c>
      <c r="D104" s="40" t="str" cm="1">
        <f t="array" ref="D104">IFERROR(_xlfn.LET(
_xlpm.CSVVal,_xlfn.XLOOKUP($A104,CSV!$A:$A,CSV!D:D,""),
_xlpm.MacVal,_xlfn.XLOOKUP($A104,Output_Mac!$A:$A,Output_Mac!C:C,""),
_xlpm.MyAuditVal,_xlfn.XLOOKUP($A104,My_Audit!$A:$A,My_Audit!C:C,""),
_xlfn.IFS(_xlpm.MyAuditVal&lt;&gt;"",_xlpm.MyAuditVal,_xlpm.MacVal&lt;&gt;"",_xlpm.MacVal,_xlpm.CSVVal&lt;&gt;"",_xlpm.CSVVal
)),"")</f>
        <v/>
      </c>
      <c r="E104" s="40">
        <f>_xlfn.XLOOKUP(A104,My_Audit!A:A,My_Audit!D:D,"")</f>
        <v>0</v>
      </c>
      <c r="F104" s="40" t="str" cm="1">
        <f t="array" ref="F104">IFERROR(_xlfn.LET(
_xlpm.CSVVal,_xlfn.XLOOKUP($A104,CSV!$A:$A,CSV!F:F,""),
_xlpm.MacVal,_xlfn.XLOOKUP($A104,Output_Mac!$A:$A,Output_Mac!E:E,""),
_xlpm.MyAuditVal,_xlfn.XLOOKUP($A104,My_Audit!$A:$A,My_Audit!E:E,""),
_xlfn.IFS(_xlpm.MyAuditVal&lt;&gt;"",_xlpm.MyAuditVal,_xlpm.MacVal&lt;&gt;"",_xlpm.MacVal,_xlpm.CSVVal&lt;&gt;"",_xlpm.CSVVal
)),"")</f>
        <v/>
      </c>
      <c r="G104" s="40" t="str" cm="1">
        <f t="array" ref="G104">IFERROR(_xlfn.LET(
_xlpm.CSVVal,_xlfn.XLOOKUP($A104,CSV!$A:$A,CSV!G:G,""),
_xlpm.MacVal,_xlfn.XLOOKUP($A104,Output_Mac!$A:$A,Output_Mac!F:F,""),
_xlpm.MyAuditVal,_xlfn.XLOOKUP($A104,My_Audit!$A:$A,My_Audit!F:F,""),
_xlfn.IFS(_xlpm.MyAuditVal&lt;&gt;"",_xlpm.MyAuditVal,_xlpm.MacVal&lt;&gt;"",_xlpm.MacVal,_xlpm.CSVVal&lt;&gt;"",PROPER(_xlpm.CSVVal)
)),"")</f>
        <v/>
      </c>
      <c r="H104" s="40" t="str" cm="1">
        <f t="array" ref="H104">IFERROR(_xlfn.LET(
_xlpm.CSVVal,_xlfn.XLOOKUP($A104,CSV!$A:$A,CSV!H:H,""),
_xlpm.MacVal,_xlfn.XLOOKUP($A104,Output_Mac!$A:$A,Output_Mac!H:H,""),
_xlpm.MyAuditVal,_xlfn.XLOOKUP($A104,My_Audit!$A:$A,My_Audit!G:G,""),
_xlfn.IFS(_xlpm.MyAuditVal&lt;&gt;"",_xlpm.MyAuditVal,_xlpm.MacVal&lt;&gt;"",_xlpm.MacVal,_xlpm.CSVVal&lt;&gt;"",_xlpm.CSVVal
)),"")</f>
        <v/>
      </c>
      <c r="I104" s="40" t="str">
        <f>_xlfn.XLOOKUP(A104,Output_Mac!A:A,Output_Mac!I:I,"")</f>
        <v/>
      </c>
      <c r="J104" s="40" t="str" cm="1">
        <f t="array" ref="J104">IFERROR(_xlfn.LET(
_xlpm.CSVVal,_xlfn.XLOOKUP($A104,CSV!$A:$A,CSV!I:I,""),
_xlpm.MacVal,_xlfn.XLOOKUP($A104,Output_Mac!$A:$A,Output_Mac!J:J,""),
_xlpm.MyAuditVal,_xlfn.XLOOKUP($A104,My_Audit!$A:$A,My_Audit!I:I,""),
_xlfn.IFS(_xlpm.MyAuditVal&lt;&gt;"",UPPER(_xlpm.MyAuditVal),_xlpm.MacVal&lt;&gt;"",_xlpm.MacVal,_xlpm.CSVVal&lt;&gt;"",_xlpm.CSVVal
)),"")</f>
        <v/>
      </c>
      <c r="K104" s="40" t="str" cm="1">
        <f t="array" ref="K104">IFERROR(_xlfn.LET(
_xlpm.CSVVal,_xlfn.XLOOKUP($A104,CSV!$A:$A,CSV!K:K,""),
_xlpm.MacVal,_xlfn.XLOOKUP($A104,Output_Mac!$A:$A,Output_Mac!K:K,""),
_xlpm.MyAuditVal,_xlfn.XLOOKUP($A104,My_Audit!$A:$A,My_Audit!J:J,""),
_xlfn.IFS(_xlpm.MyAuditVal&lt;&gt;"",UPPER(_xlpm.MyAuditVal),_xlpm.MacVal&lt;&gt;"",_xlpm.MacVal,_xlpm.CSVVal&lt;&gt;"",_xlpm.CSVVal
)),"")</f>
        <v/>
      </c>
      <c r="L104" s="40" t="str" cm="1">
        <f t="array" ref="L104">IFERROR(_xlfn.LET(
_xlpm.CSVVal,_xlfn.XLOOKUP($A104,CSV!$A:$A,CSV!P:P,""),
_xlpm.MacVal,_xlfn.XLOOKUP($A104,Output_Mac!$A:$A,Output_Mac!L:L,""),
_xlpm.MyAuditVal,_xlfn.XLOOKUP($A104,My_Audit!$A:$A,My_Audit!K:K,""),
_xlfn.IFS(_xlpm.MyAuditVal&lt;&gt;"",UPPER(_xlpm.MyAuditVal),_xlpm.MacVal&lt;&gt;"",_xlpm.MacVal,_xlpm.CSVVal&lt;&gt;"",_xlpm.CSVVal
)),"")</f>
        <v/>
      </c>
      <c r="M104" s="40" t="str" cm="1">
        <f t="array" ref="M104">IFERROR(_xlfn.LET(
_xlpm.CSVVal,_xlfn.XLOOKUP($A104,CSV!$A:$A,CSV!Q:Q,""),
_xlpm.MacVal,_xlfn.XLOOKUP($A104,Output_Mac!$A:$A,Output_Mac!M:M,""),
_xlpm.MyAuditVal,_xlfn.XLOOKUP($A104,My_Audit!$A:$A,My_Audit!L:L,""),
_xlfn.IFS(_xlpm.MyAuditVal&lt;&gt;"",UPPER(_xlpm.MyAuditVal),_xlpm.MacVal&lt;&gt;"",_xlpm.MacVal,_xlpm.CSVVal&lt;&gt;"",_xlpm.CSVVal
)),"")</f>
        <v/>
      </c>
      <c r="N104" s="40"/>
      <c r="O104" s="40" t="str">
        <f>_xlfn.LET(
    _xlpm.CSVVal, _xlfn.XLOOKUP($A104, CSV!$A:$A, CSV!AA:AA, ""),
    _xlpm.MacVal, _xlfn.XLOOKUP($A104, Output_Mac!$A:$A, Output_Mac!S:S, ""),
    _xlpm.MyAuditVal, _xlfn.XLOOKUP($A104, My_Audit!$A:$A, My_Audit!P:P, ""),
    _xlfn.TEXTJOIN(", ", TRUE, _xlpm.MyAuditVal, _xlpm.MacVal, _xlpm.CSVVal)
)</f>
        <v/>
      </c>
      <c r="P104" s="40" t="str" cm="1">
        <f t="array" ref="P104">IFERROR(_xlfn.LET(
_xlpm.CSVVal,_xlfn.XLOOKUP($A104,CSV!$A:$A,CSV!AB:AB,""),
_xlpm.MacVal,_xlfn.XLOOKUP($A104,Output_Mac!$A:$A,Output_Mac!T:T,""),
_xlpm.MyAuditVal,_xlfn.XLOOKUP($A104,My_Audit!$A:$A,My_Audit!Q:Q,""),
_xlfn.IFS(_xlpm.MyAuditVal&lt;&gt;"",UPPER(_xlpm.MyAuditVal),_xlpm.MacVal&lt;&gt;"",_xlpm.MacVal,_xlpm.CSVVal&lt;&gt;"",_xlpm.CSVVal
)),"No")</f>
        <v>No</v>
      </c>
      <c r="Q104" s="40" t="str" cm="1">
        <f t="array" ref="Q104">IFERROR(_xlfn.LET(
_xlpm.CSVVal,_xlfn.XLOOKUP($A104,CSV!$A:$A,CSV!AC:AC,""),
_xlpm.MacVal,_xlfn.XLOOKUP($A104,Output_Mac!$A:$A,Output_Mac!U:U,""),
_xlpm.MyAuditVal,_xlfn.XLOOKUP($A104,My_Audit!$A:$A,My_Audit!R:R,""),
_xlfn.IFS(_xlpm.MyAuditVal&lt;&gt;"",UPPER(_xlpm.MyAuditVal),_xlpm.MacVal&lt;&gt;"",_xlpm.MacVal,_xlpm.CSVVal&lt;&gt;"",_xlpm.CSVVal
)),"")</f>
        <v/>
      </c>
      <c r="R104" s="40"/>
      <c r="S104" s="40"/>
      <c r="T104" s="40"/>
      <c r="U104" s="40"/>
      <c r="V104" s="40"/>
      <c r="W104" s="40"/>
      <c r="X104" s="41" t="str">
        <f>_xlfn.LET(
    _xlpm.MacVal, _xlfn.XLOOKUP($A104, Output_Mac!$A:$A, Output_Mac!AB:AB, ""),
    _xlpm.MyAuditVal, _xlfn.XLOOKUP($A104, My_Audit!$A:$A, My_Audit!N:N, ""),
    _xlfn.TEXTJOIN(", ", TRUE, _xlpm.MyAuditVal, _xlpm.MacVal)
)</f>
        <v/>
      </c>
    </row>
    <row r="105" spans="1:24">
      <c r="A105" s="40" t="str">
        <f>_xlfn.TEXTJOIN("",TRUE,Input!$B$2,ROW(My_Audit!A104))</f>
        <v>X104</v>
      </c>
      <c r="B105" s="40" t="str">
        <f>_xlfn.TEXTJOIN("-",TRUE,"ITD",Input!$A$2,A105)</f>
        <v>ITD-X104</v>
      </c>
      <c r="C105" s="40" t="str" cm="1">
        <f t="array" ref="C105">IFERROR(_xlfn.LET(
_xlpm.CSVVal,_xlfn.XLOOKUP($A105,CSV!$A:$A,CSV!B:B,""),
_xlpm.MacVal,_xlfn.XLOOKUP($A105,Output_Mac!$A:$A,Output_Mac!B:B,""),
_xlpm.MyAuditVal,_xlfn.XLOOKUP($A105,My_Audit!$A:$A,My_Audit!B:B,""),
_xlfn.IFS(_xlpm.MyAuditVal&lt;&gt;"",UPPER(_xlpm.MyAuditVal),_xlpm.MacVal&lt;&gt;"",_xlpm.MacVal,_xlpm.CSVVal&lt;&gt;"",_xlpm.CSVVal
)),"")</f>
        <v/>
      </c>
      <c r="D105" s="40" t="str" cm="1">
        <f t="array" ref="D105">IFERROR(_xlfn.LET(
_xlpm.CSVVal,_xlfn.XLOOKUP($A105,CSV!$A:$A,CSV!D:D,""),
_xlpm.MacVal,_xlfn.XLOOKUP($A105,Output_Mac!$A:$A,Output_Mac!C:C,""),
_xlpm.MyAuditVal,_xlfn.XLOOKUP($A105,My_Audit!$A:$A,My_Audit!C:C,""),
_xlfn.IFS(_xlpm.MyAuditVal&lt;&gt;"",_xlpm.MyAuditVal,_xlpm.MacVal&lt;&gt;"",_xlpm.MacVal,_xlpm.CSVVal&lt;&gt;"",_xlpm.CSVVal
)),"")</f>
        <v/>
      </c>
      <c r="E105" s="40">
        <f>_xlfn.XLOOKUP(A105,My_Audit!A:A,My_Audit!D:D,"")</f>
        <v>0</v>
      </c>
      <c r="F105" s="40" t="str" cm="1">
        <f t="array" ref="F105">IFERROR(_xlfn.LET(
_xlpm.CSVVal,_xlfn.XLOOKUP($A105,CSV!$A:$A,CSV!F:F,""),
_xlpm.MacVal,_xlfn.XLOOKUP($A105,Output_Mac!$A:$A,Output_Mac!E:E,""),
_xlpm.MyAuditVal,_xlfn.XLOOKUP($A105,My_Audit!$A:$A,My_Audit!E:E,""),
_xlfn.IFS(_xlpm.MyAuditVal&lt;&gt;"",_xlpm.MyAuditVal,_xlpm.MacVal&lt;&gt;"",_xlpm.MacVal,_xlpm.CSVVal&lt;&gt;"",_xlpm.CSVVal
)),"")</f>
        <v/>
      </c>
      <c r="G105" s="40" t="str" cm="1">
        <f t="array" ref="G105">IFERROR(_xlfn.LET(
_xlpm.CSVVal,_xlfn.XLOOKUP($A105,CSV!$A:$A,CSV!G:G,""),
_xlpm.MacVal,_xlfn.XLOOKUP($A105,Output_Mac!$A:$A,Output_Mac!F:F,""),
_xlpm.MyAuditVal,_xlfn.XLOOKUP($A105,My_Audit!$A:$A,My_Audit!F:F,""),
_xlfn.IFS(_xlpm.MyAuditVal&lt;&gt;"",_xlpm.MyAuditVal,_xlpm.MacVal&lt;&gt;"",_xlpm.MacVal,_xlpm.CSVVal&lt;&gt;"",PROPER(_xlpm.CSVVal)
)),"")</f>
        <v/>
      </c>
      <c r="H105" s="40" t="str" cm="1">
        <f t="array" ref="H105">IFERROR(_xlfn.LET(
_xlpm.CSVVal,_xlfn.XLOOKUP($A105,CSV!$A:$A,CSV!H:H,""),
_xlpm.MacVal,_xlfn.XLOOKUP($A105,Output_Mac!$A:$A,Output_Mac!H:H,""),
_xlpm.MyAuditVal,_xlfn.XLOOKUP($A105,My_Audit!$A:$A,My_Audit!G:G,""),
_xlfn.IFS(_xlpm.MyAuditVal&lt;&gt;"",_xlpm.MyAuditVal,_xlpm.MacVal&lt;&gt;"",_xlpm.MacVal,_xlpm.CSVVal&lt;&gt;"",_xlpm.CSVVal
)),"")</f>
        <v/>
      </c>
      <c r="I105" s="40" t="str">
        <f>_xlfn.XLOOKUP(A105,Output_Mac!A:A,Output_Mac!I:I,"")</f>
        <v/>
      </c>
      <c r="J105" s="40" t="str" cm="1">
        <f t="array" ref="J105">IFERROR(_xlfn.LET(
_xlpm.CSVVal,_xlfn.XLOOKUP($A105,CSV!$A:$A,CSV!I:I,""),
_xlpm.MacVal,_xlfn.XLOOKUP($A105,Output_Mac!$A:$A,Output_Mac!J:J,""),
_xlpm.MyAuditVal,_xlfn.XLOOKUP($A105,My_Audit!$A:$A,My_Audit!I:I,""),
_xlfn.IFS(_xlpm.MyAuditVal&lt;&gt;"",UPPER(_xlpm.MyAuditVal),_xlpm.MacVal&lt;&gt;"",_xlpm.MacVal,_xlpm.CSVVal&lt;&gt;"",_xlpm.CSVVal
)),"")</f>
        <v/>
      </c>
      <c r="K105" s="40" t="str" cm="1">
        <f t="array" ref="K105">IFERROR(_xlfn.LET(
_xlpm.CSVVal,_xlfn.XLOOKUP($A105,CSV!$A:$A,CSV!K:K,""),
_xlpm.MacVal,_xlfn.XLOOKUP($A105,Output_Mac!$A:$A,Output_Mac!K:K,""),
_xlpm.MyAuditVal,_xlfn.XLOOKUP($A105,My_Audit!$A:$A,My_Audit!J:J,""),
_xlfn.IFS(_xlpm.MyAuditVal&lt;&gt;"",UPPER(_xlpm.MyAuditVal),_xlpm.MacVal&lt;&gt;"",_xlpm.MacVal,_xlpm.CSVVal&lt;&gt;"",_xlpm.CSVVal
)),"")</f>
        <v/>
      </c>
      <c r="L105" s="40" t="str" cm="1">
        <f t="array" ref="L105">IFERROR(_xlfn.LET(
_xlpm.CSVVal,_xlfn.XLOOKUP($A105,CSV!$A:$A,CSV!P:P,""),
_xlpm.MacVal,_xlfn.XLOOKUP($A105,Output_Mac!$A:$A,Output_Mac!L:L,""),
_xlpm.MyAuditVal,_xlfn.XLOOKUP($A105,My_Audit!$A:$A,My_Audit!K:K,""),
_xlfn.IFS(_xlpm.MyAuditVal&lt;&gt;"",UPPER(_xlpm.MyAuditVal),_xlpm.MacVal&lt;&gt;"",_xlpm.MacVal,_xlpm.CSVVal&lt;&gt;"",_xlpm.CSVVal
)),"")</f>
        <v/>
      </c>
      <c r="M105" s="40" t="str" cm="1">
        <f t="array" ref="M105">IFERROR(_xlfn.LET(
_xlpm.CSVVal,_xlfn.XLOOKUP($A105,CSV!$A:$A,CSV!Q:Q,""),
_xlpm.MacVal,_xlfn.XLOOKUP($A105,Output_Mac!$A:$A,Output_Mac!M:M,""),
_xlpm.MyAuditVal,_xlfn.XLOOKUP($A105,My_Audit!$A:$A,My_Audit!L:L,""),
_xlfn.IFS(_xlpm.MyAuditVal&lt;&gt;"",UPPER(_xlpm.MyAuditVal),_xlpm.MacVal&lt;&gt;"",_xlpm.MacVal,_xlpm.CSVVal&lt;&gt;"",_xlpm.CSVVal
)),"")</f>
        <v/>
      </c>
      <c r="N105" s="40"/>
      <c r="O105" s="40" t="str">
        <f>_xlfn.LET(
    _xlpm.CSVVal, _xlfn.XLOOKUP($A105, CSV!$A:$A, CSV!AA:AA, ""),
    _xlpm.MacVal, _xlfn.XLOOKUP($A105, Output_Mac!$A:$A, Output_Mac!S:S, ""),
    _xlpm.MyAuditVal, _xlfn.XLOOKUP($A105, My_Audit!$A:$A, My_Audit!P:P, ""),
    _xlfn.TEXTJOIN(", ", TRUE, _xlpm.MyAuditVal, _xlpm.MacVal, _xlpm.CSVVal)
)</f>
        <v/>
      </c>
      <c r="P105" s="40" t="str" cm="1">
        <f t="array" ref="P105">IFERROR(_xlfn.LET(
_xlpm.CSVVal,_xlfn.XLOOKUP($A105,CSV!$A:$A,CSV!AB:AB,""),
_xlpm.MacVal,_xlfn.XLOOKUP($A105,Output_Mac!$A:$A,Output_Mac!T:T,""),
_xlpm.MyAuditVal,_xlfn.XLOOKUP($A105,My_Audit!$A:$A,My_Audit!Q:Q,""),
_xlfn.IFS(_xlpm.MyAuditVal&lt;&gt;"",UPPER(_xlpm.MyAuditVal),_xlpm.MacVal&lt;&gt;"",_xlpm.MacVal,_xlpm.CSVVal&lt;&gt;"",_xlpm.CSVVal
)),"No")</f>
        <v>No</v>
      </c>
      <c r="Q105" s="40" t="str" cm="1">
        <f t="array" ref="Q105">IFERROR(_xlfn.LET(
_xlpm.CSVVal,_xlfn.XLOOKUP($A105,CSV!$A:$A,CSV!AC:AC,""),
_xlpm.MacVal,_xlfn.XLOOKUP($A105,Output_Mac!$A:$A,Output_Mac!U:U,""),
_xlpm.MyAuditVal,_xlfn.XLOOKUP($A105,My_Audit!$A:$A,My_Audit!R:R,""),
_xlfn.IFS(_xlpm.MyAuditVal&lt;&gt;"",UPPER(_xlpm.MyAuditVal),_xlpm.MacVal&lt;&gt;"",_xlpm.MacVal,_xlpm.CSVVal&lt;&gt;"",_xlpm.CSVVal
)),"")</f>
        <v/>
      </c>
      <c r="R105" s="40"/>
      <c r="S105" s="40"/>
      <c r="T105" s="40"/>
      <c r="U105" s="40"/>
      <c r="V105" s="40"/>
      <c r="W105" s="40"/>
      <c r="X105" s="41" t="str">
        <f>_xlfn.LET(
    _xlpm.MacVal, _xlfn.XLOOKUP($A105, Output_Mac!$A:$A, Output_Mac!AB:AB, ""),
    _xlpm.MyAuditVal, _xlfn.XLOOKUP($A105, My_Audit!$A:$A, My_Audit!N:N, ""),
    _xlfn.TEXTJOIN(", ", TRUE, _xlpm.MyAuditVal, _xlpm.MacVal)
)</f>
        <v/>
      </c>
    </row>
    <row r="106" spans="1:24">
      <c r="A106" s="40" t="str">
        <f>_xlfn.TEXTJOIN("",TRUE,Input!$B$2,ROW(My_Audit!A105))</f>
        <v>X105</v>
      </c>
      <c r="B106" s="40" t="str">
        <f>_xlfn.TEXTJOIN("-",TRUE,"ITD",Input!$A$2,A106)</f>
        <v>ITD-X105</v>
      </c>
      <c r="C106" s="40" t="str" cm="1">
        <f t="array" ref="C106">IFERROR(_xlfn.LET(
_xlpm.CSVVal,_xlfn.XLOOKUP($A106,CSV!$A:$A,CSV!B:B,""),
_xlpm.MacVal,_xlfn.XLOOKUP($A106,Output_Mac!$A:$A,Output_Mac!B:B,""),
_xlpm.MyAuditVal,_xlfn.XLOOKUP($A106,My_Audit!$A:$A,My_Audit!B:B,""),
_xlfn.IFS(_xlpm.MyAuditVal&lt;&gt;"",UPPER(_xlpm.MyAuditVal),_xlpm.MacVal&lt;&gt;"",_xlpm.MacVal,_xlpm.CSVVal&lt;&gt;"",_xlpm.CSVVal
)),"")</f>
        <v/>
      </c>
      <c r="D106" s="40" t="str" cm="1">
        <f t="array" ref="D106">IFERROR(_xlfn.LET(
_xlpm.CSVVal,_xlfn.XLOOKUP($A106,CSV!$A:$A,CSV!D:D,""),
_xlpm.MacVal,_xlfn.XLOOKUP($A106,Output_Mac!$A:$A,Output_Mac!C:C,""),
_xlpm.MyAuditVal,_xlfn.XLOOKUP($A106,My_Audit!$A:$A,My_Audit!C:C,""),
_xlfn.IFS(_xlpm.MyAuditVal&lt;&gt;"",_xlpm.MyAuditVal,_xlpm.MacVal&lt;&gt;"",_xlpm.MacVal,_xlpm.CSVVal&lt;&gt;"",_xlpm.CSVVal
)),"")</f>
        <v/>
      </c>
      <c r="E106" s="40">
        <f>_xlfn.XLOOKUP(A106,My_Audit!A:A,My_Audit!D:D,"")</f>
        <v>0</v>
      </c>
      <c r="F106" s="40" t="str" cm="1">
        <f t="array" ref="F106">IFERROR(_xlfn.LET(
_xlpm.CSVVal,_xlfn.XLOOKUP($A106,CSV!$A:$A,CSV!F:F,""),
_xlpm.MacVal,_xlfn.XLOOKUP($A106,Output_Mac!$A:$A,Output_Mac!E:E,""),
_xlpm.MyAuditVal,_xlfn.XLOOKUP($A106,My_Audit!$A:$A,My_Audit!E:E,""),
_xlfn.IFS(_xlpm.MyAuditVal&lt;&gt;"",_xlpm.MyAuditVal,_xlpm.MacVal&lt;&gt;"",_xlpm.MacVal,_xlpm.CSVVal&lt;&gt;"",_xlpm.CSVVal
)),"")</f>
        <v/>
      </c>
      <c r="G106" s="40" t="str" cm="1">
        <f t="array" ref="G106">IFERROR(_xlfn.LET(
_xlpm.CSVVal,_xlfn.XLOOKUP($A106,CSV!$A:$A,CSV!G:G,""),
_xlpm.MacVal,_xlfn.XLOOKUP($A106,Output_Mac!$A:$A,Output_Mac!F:F,""),
_xlpm.MyAuditVal,_xlfn.XLOOKUP($A106,My_Audit!$A:$A,My_Audit!F:F,""),
_xlfn.IFS(_xlpm.MyAuditVal&lt;&gt;"",_xlpm.MyAuditVal,_xlpm.MacVal&lt;&gt;"",_xlpm.MacVal,_xlpm.CSVVal&lt;&gt;"",PROPER(_xlpm.CSVVal)
)),"")</f>
        <v/>
      </c>
      <c r="H106" s="40" t="str" cm="1">
        <f t="array" ref="H106">IFERROR(_xlfn.LET(
_xlpm.CSVVal,_xlfn.XLOOKUP($A106,CSV!$A:$A,CSV!H:H,""),
_xlpm.MacVal,_xlfn.XLOOKUP($A106,Output_Mac!$A:$A,Output_Mac!H:H,""),
_xlpm.MyAuditVal,_xlfn.XLOOKUP($A106,My_Audit!$A:$A,My_Audit!G:G,""),
_xlfn.IFS(_xlpm.MyAuditVal&lt;&gt;"",_xlpm.MyAuditVal,_xlpm.MacVal&lt;&gt;"",_xlpm.MacVal,_xlpm.CSVVal&lt;&gt;"",_xlpm.CSVVal
)),"")</f>
        <v/>
      </c>
      <c r="I106" s="40" t="str">
        <f>_xlfn.XLOOKUP(A106,Output_Mac!A:A,Output_Mac!I:I,"")</f>
        <v/>
      </c>
      <c r="J106" s="40" t="str" cm="1">
        <f t="array" ref="J106">IFERROR(_xlfn.LET(
_xlpm.CSVVal,_xlfn.XLOOKUP($A106,CSV!$A:$A,CSV!I:I,""),
_xlpm.MacVal,_xlfn.XLOOKUP($A106,Output_Mac!$A:$A,Output_Mac!J:J,""),
_xlpm.MyAuditVal,_xlfn.XLOOKUP($A106,My_Audit!$A:$A,My_Audit!I:I,""),
_xlfn.IFS(_xlpm.MyAuditVal&lt;&gt;"",UPPER(_xlpm.MyAuditVal),_xlpm.MacVal&lt;&gt;"",_xlpm.MacVal,_xlpm.CSVVal&lt;&gt;"",_xlpm.CSVVal
)),"")</f>
        <v/>
      </c>
      <c r="K106" s="40" t="str" cm="1">
        <f t="array" ref="K106">IFERROR(_xlfn.LET(
_xlpm.CSVVal,_xlfn.XLOOKUP($A106,CSV!$A:$A,CSV!K:K,""),
_xlpm.MacVal,_xlfn.XLOOKUP($A106,Output_Mac!$A:$A,Output_Mac!K:K,""),
_xlpm.MyAuditVal,_xlfn.XLOOKUP($A106,My_Audit!$A:$A,My_Audit!J:J,""),
_xlfn.IFS(_xlpm.MyAuditVal&lt;&gt;"",UPPER(_xlpm.MyAuditVal),_xlpm.MacVal&lt;&gt;"",_xlpm.MacVal,_xlpm.CSVVal&lt;&gt;"",_xlpm.CSVVal
)),"")</f>
        <v/>
      </c>
      <c r="L106" s="40" t="str" cm="1">
        <f t="array" ref="L106">IFERROR(_xlfn.LET(
_xlpm.CSVVal,_xlfn.XLOOKUP($A106,CSV!$A:$A,CSV!P:P,""),
_xlpm.MacVal,_xlfn.XLOOKUP($A106,Output_Mac!$A:$A,Output_Mac!L:L,""),
_xlpm.MyAuditVal,_xlfn.XLOOKUP($A106,My_Audit!$A:$A,My_Audit!K:K,""),
_xlfn.IFS(_xlpm.MyAuditVal&lt;&gt;"",UPPER(_xlpm.MyAuditVal),_xlpm.MacVal&lt;&gt;"",_xlpm.MacVal,_xlpm.CSVVal&lt;&gt;"",_xlpm.CSVVal
)),"")</f>
        <v/>
      </c>
      <c r="M106" s="40" t="str" cm="1">
        <f t="array" ref="M106">IFERROR(_xlfn.LET(
_xlpm.CSVVal,_xlfn.XLOOKUP($A106,CSV!$A:$A,CSV!Q:Q,""),
_xlpm.MacVal,_xlfn.XLOOKUP($A106,Output_Mac!$A:$A,Output_Mac!M:M,""),
_xlpm.MyAuditVal,_xlfn.XLOOKUP($A106,My_Audit!$A:$A,My_Audit!L:L,""),
_xlfn.IFS(_xlpm.MyAuditVal&lt;&gt;"",UPPER(_xlpm.MyAuditVal),_xlpm.MacVal&lt;&gt;"",_xlpm.MacVal,_xlpm.CSVVal&lt;&gt;"",_xlpm.CSVVal
)),"")</f>
        <v/>
      </c>
      <c r="N106" s="40"/>
      <c r="O106" s="40" t="str">
        <f>_xlfn.LET(
    _xlpm.CSVVal, _xlfn.XLOOKUP($A106, CSV!$A:$A, CSV!AA:AA, ""),
    _xlpm.MacVal, _xlfn.XLOOKUP($A106, Output_Mac!$A:$A, Output_Mac!S:S, ""),
    _xlpm.MyAuditVal, _xlfn.XLOOKUP($A106, My_Audit!$A:$A, My_Audit!P:P, ""),
    _xlfn.TEXTJOIN(", ", TRUE, _xlpm.MyAuditVal, _xlpm.MacVal, _xlpm.CSVVal)
)</f>
        <v/>
      </c>
      <c r="P106" s="40" t="str" cm="1">
        <f t="array" ref="P106">IFERROR(_xlfn.LET(
_xlpm.CSVVal,_xlfn.XLOOKUP($A106,CSV!$A:$A,CSV!AB:AB,""),
_xlpm.MacVal,_xlfn.XLOOKUP($A106,Output_Mac!$A:$A,Output_Mac!T:T,""),
_xlpm.MyAuditVal,_xlfn.XLOOKUP($A106,My_Audit!$A:$A,My_Audit!Q:Q,""),
_xlfn.IFS(_xlpm.MyAuditVal&lt;&gt;"",UPPER(_xlpm.MyAuditVal),_xlpm.MacVal&lt;&gt;"",_xlpm.MacVal,_xlpm.CSVVal&lt;&gt;"",_xlpm.CSVVal
)),"No")</f>
        <v>No</v>
      </c>
      <c r="Q106" s="40" t="str" cm="1">
        <f t="array" ref="Q106">IFERROR(_xlfn.LET(
_xlpm.CSVVal,_xlfn.XLOOKUP($A106,CSV!$A:$A,CSV!AC:AC,""),
_xlpm.MacVal,_xlfn.XLOOKUP($A106,Output_Mac!$A:$A,Output_Mac!U:U,""),
_xlpm.MyAuditVal,_xlfn.XLOOKUP($A106,My_Audit!$A:$A,My_Audit!R:R,""),
_xlfn.IFS(_xlpm.MyAuditVal&lt;&gt;"",UPPER(_xlpm.MyAuditVal),_xlpm.MacVal&lt;&gt;"",_xlpm.MacVal,_xlpm.CSVVal&lt;&gt;"",_xlpm.CSVVal
)),"")</f>
        <v/>
      </c>
      <c r="R106" s="40"/>
      <c r="S106" s="40"/>
      <c r="T106" s="40"/>
      <c r="U106" s="40"/>
      <c r="V106" s="40"/>
      <c r="W106" s="40"/>
      <c r="X106" s="41" t="str">
        <f>_xlfn.LET(
    _xlpm.MacVal, _xlfn.XLOOKUP($A106, Output_Mac!$A:$A, Output_Mac!AB:AB, ""),
    _xlpm.MyAuditVal, _xlfn.XLOOKUP($A106, My_Audit!$A:$A, My_Audit!N:N, ""),
    _xlfn.TEXTJOIN(", ", TRUE, _xlpm.MyAuditVal, _xlpm.MacVal)
)</f>
        <v/>
      </c>
    </row>
    <row r="107" spans="1:24">
      <c r="A107" s="40" t="str">
        <f>_xlfn.TEXTJOIN("",TRUE,Input!$B$2,ROW(My_Audit!A106))</f>
        <v>X106</v>
      </c>
      <c r="B107" s="40" t="str">
        <f>_xlfn.TEXTJOIN("-",TRUE,"ITD",Input!$A$2,A107)</f>
        <v>ITD-X106</v>
      </c>
      <c r="C107" s="40" t="str" cm="1">
        <f t="array" ref="C107">IFERROR(_xlfn.LET(
_xlpm.CSVVal,_xlfn.XLOOKUP($A107,CSV!$A:$A,CSV!B:B,""),
_xlpm.MacVal,_xlfn.XLOOKUP($A107,Output_Mac!$A:$A,Output_Mac!B:B,""),
_xlpm.MyAuditVal,_xlfn.XLOOKUP($A107,My_Audit!$A:$A,My_Audit!B:B,""),
_xlfn.IFS(_xlpm.MyAuditVal&lt;&gt;"",UPPER(_xlpm.MyAuditVal),_xlpm.MacVal&lt;&gt;"",_xlpm.MacVal,_xlpm.CSVVal&lt;&gt;"",_xlpm.CSVVal
)),"")</f>
        <v/>
      </c>
      <c r="D107" s="40" t="str" cm="1">
        <f t="array" ref="D107">IFERROR(_xlfn.LET(
_xlpm.CSVVal,_xlfn.XLOOKUP($A107,CSV!$A:$A,CSV!D:D,""),
_xlpm.MacVal,_xlfn.XLOOKUP($A107,Output_Mac!$A:$A,Output_Mac!C:C,""),
_xlpm.MyAuditVal,_xlfn.XLOOKUP($A107,My_Audit!$A:$A,My_Audit!C:C,""),
_xlfn.IFS(_xlpm.MyAuditVal&lt;&gt;"",_xlpm.MyAuditVal,_xlpm.MacVal&lt;&gt;"",_xlpm.MacVal,_xlpm.CSVVal&lt;&gt;"",_xlpm.CSVVal
)),"")</f>
        <v/>
      </c>
      <c r="E107" s="40">
        <f>_xlfn.XLOOKUP(A107,My_Audit!A:A,My_Audit!D:D,"")</f>
        <v>0</v>
      </c>
      <c r="F107" s="40" t="str" cm="1">
        <f t="array" ref="F107">IFERROR(_xlfn.LET(
_xlpm.CSVVal,_xlfn.XLOOKUP($A107,CSV!$A:$A,CSV!F:F,""),
_xlpm.MacVal,_xlfn.XLOOKUP($A107,Output_Mac!$A:$A,Output_Mac!E:E,""),
_xlpm.MyAuditVal,_xlfn.XLOOKUP($A107,My_Audit!$A:$A,My_Audit!E:E,""),
_xlfn.IFS(_xlpm.MyAuditVal&lt;&gt;"",_xlpm.MyAuditVal,_xlpm.MacVal&lt;&gt;"",_xlpm.MacVal,_xlpm.CSVVal&lt;&gt;"",_xlpm.CSVVal
)),"")</f>
        <v/>
      </c>
      <c r="G107" s="40" t="str" cm="1">
        <f t="array" ref="G107">IFERROR(_xlfn.LET(
_xlpm.CSVVal,_xlfn.XLOOKUP($A107,CSV!$A:$A,CSV!G:G,""),
_xlpm.MacVal,_xlfn.XLOOKUP($A107,Output_Mac!$A:$A,Output_Mac!F:F,""),
_xlpm.MyAuditVal,_xlfn.XLOOKUP($A107,My_Audit!$A:$A,My_Audit!F:F,""),
_xlfn.IFS(_xlpm.MyAuditVal&lt;&gt;"",_xlpm.MyAuditVal,_xlpm.MacVal&lt;&gt;"",_xlpm.MacVal,_xlpm.CSVVal&lt;&gt;"",PROPER(_xlpm.CSVVal)
)),"")</f>
        <v/>
      </c>
      <c r="H107" s="40" t="str" cm="1">
        <f t="array" ref="H107">IFERROR(_xlfn.LET(
_xlpm.CSVVal,_xlfn.XLOOKUP($A107,CSV!$A:$A,CSV!H:H,""),
_xlpm.MacVal,_xlfn.XLOOKUP($A107,Output_Mac!$A:$A,Output_Mac!H:H,""),
_xlpm.MyAuditVal,_xlfn.XLOOKUP($A107,My_Audit!$A:$A,My_Audit!G:G,""),
_xlfn.IFS(_xlpm.MyAuditVal&lt;&gt;"",_xlpm.MyAuditVal,_xlpm.MacVal&lt;&gt;"",_xlpm.MacVal,_xlpm.CSVVal&lt;&gt;"",_xlpm.CSVVal
)),"")</f>
        <v/>
      </c>
      <c r="I107" s="40" t="str">
        <f>_xlfn.XLOOKUP(A107,Output_Mac!A:A,Output_Mac!I:I,"")</f>
        <v/>
      </c>
      <c r="J107" s="40" t="str" cm="1">
        <f t="array" ref="J107">IFERROR(_xlfn.LET(
_xlpm.CSVVal,_xlfn.XLOOKUP($A107,CSV!$A:$A,CSV!I:I,""),
_xlpm.MacVal,_xlfn.XLOOKUP($A107,Output_Mac!$A:$A,Output_Mac!J:J,""),
_xlpm.MyAuditVal,_xlfn.XLOOKUP($A107,My_Audit!$A:$A,My_Audit!I:I,""),
_xlfn.IFS(_xlpm.MyAuditVal&lt;&gt;"",UPPER(_xlpm.MyAuditVal),_xlpm.MacVal&lt;&gt;"",_xlpm.MacVal,_xlpm.CSVVal&lt;&gt;"",_xlpm.CSVVal
)),"")</f>
        <v/>
      </c>
      <c r="K107" s="40" t="str" cm="1">
        <f t="array" ref="K107">IFERROR(_xlfn.LET(
_xlpm.CSVVal,_xlfn.XLOOKUP($A107,CSV!$A:$A,CSV!K:K,""),
_xlpm.MacVal,_xlfn.XLOOKUP($A107,Output_Mac!$A:$A,Output_Mac!K:K,""),
_xlpm.MyAuditVal,_xlfn.XLOOKUP($A107,My_Audit!$A:$A,My_Audit!J:J,""),
_xlfn.IFS(_xlpm.MyAuditVal&lt;&gt;"",UPPER(_xlpm.MyAuditVal),_xlpm.MacVal&lt;&gt;"",_xlpm.MacVal,_xlpm.CSVVal&lt;&gt;"",_xlpm.CSVVal
)),"")</f>
        <v/>
      </c>
      <c r="L107" s="40" t="str" cm="1">
        <f t="array" ref="L107">IFERROR(_xlfn.LET(
_xlpm.CSVVal,_xlfn.XLOOKUP($A107,CSV!$A:$A,CSV!P:P,""),
_xlpm.MacVal,_xlfn.XLOOKUP($A107,Output_Mac!$A:$A,Output_Mac!L:L,""),
_xlpm.MyAuditVal,_xlfn.XLOOKUP($A107,My_Audit!$A:$A,My_Audit!K:K,""),
_xlfn.IFS(_xlpm.MyAuditVal&lt;&gt;"",UPPER(_xlpm.MyAuditVal),_xlpm.MacVal&lt;&gt;"",_xlpm.MacVal,_xlpm.CSVVal&lt;&gt;"",_xlpm.CSVVal
)),"")</f>
        <v/>
      </c>
      <c r="M107" s="40" t="str" cm="1">
        <f t="array" ref="M107">IFERROR(_xlfn.LET(
_xlpm.CSVVal,_xlfn.XLOOKUP($A107,CSV!$A:$A,CSV!Q:Q,""),
_xlpm.MacVal,_xlfn.XLOOKUP($A107,Output_Mac!$A:$A,Output_Mac!M:M,""),
_xlpm.MyAuditVal,_xlfn.XLOOKUP($A107,My_Audit!$A:$A,My_Audit!L:L,""),
_xlfn.IFS(_xlpm.MyAuditVal&lt;&gt;"",UPPER(_xlpm.MyAuditVal),_xlpm.MacVal&lt;&gt;"",_xlpm.MacVal,_xlpm.CSVVal&lt;&gt;"",_xlpm.CSVVal
)),"")</f>
        <v/>
      </c>
      <c r="N107" s="40"/>
      <c r="O107" s="40" t="str">
        <f>_xlfn.LET(
    _xlpm.CSVVal, _xlfn.XLOOKUP($A107, CSV!$A:$A, CSV!AA:AA, ""),
    _xlpm.MacVal, _xlfn.XLOOKUP($A107, Output_Mac!$A:$A, Output_Mac!S:S, ""),
    _xlpm.MyAuditVal, _xlfn.XLOOKUP($A107, My_Audit!$A:$A, My_Audit!P:P, ""),
    _xlfn.TEXTJOIN(", ", TRUE, _xlpm.MyAuditVal, _xlpm.MacVal, _xlpm.CSVVal)
)</f>
        <v/>
      </c>
      <c r="P107" s="40" t="str" cm="1">
        <f t="array" ref="P107">IFERROR(_xlfn.LET(
_xlpm.CSVVal,_xlfn.XLOOKUP($A107,CSV!$A:$A,CSV!AB:AB,""),
_xlpm.MacVal,_xlfn.XLOOKUP($A107,Output_Mac!$A:$A,Output_Mac!T:T,""),
_xlpm.MyAuditVal,_xlfn.XLOOKUP($A107,My_Audit!$A:$A,My_Audit!Q:Q,""),
_xlfn.IFS(_xlpm.MyAuditVal&lt;&gt;"",UPPER(_xlpm.MyAuditVal),_xlpm.MacVal&lt;&gt;"",_xlpm.MacVal,_xlpm.CSVVal&lt;&gt;"",_xlpm.CSVVal
)),"No")</f>
        <v>No</v>
      </c>
      <c r="Q107" s="40" t="str" cm="1">
        <f t="array" ref="Q107">IFERROR(_xlfn.LET(
_xlpm.CSVVal,_xlfn.XLOOKUP($A107,CSV!$A:$A,CSV!AC:AC,""),
_xlpm.MacVal,_xlfn.XLOOKUP($A107,Output_Mac!$A:$A,Output_Mac!U:U,""),
_xlpm.MyAuditVal,_xlfn.XLOOKUP($A107,My_Audit!$A:$A,My_Audit!R:R,""),
_xlfn.IFS(_xlpm.MyAuditVal&lt;&gt;"",UPPER(_xlpm.MyAuditVal),_xlpm.MacVal&lt;&gt;"",_xlpm.MacVal,_xlpm.CSVVal&lt;&gt;"",_xlpm.CSVVal
)),"")</f>
        <v/>
      </c>
      <c r="R107" s="40"/>
      <c r="S107" s="40"/>
      <c r="T107" s="40"/>
      <c r="U107" s="40"/>
      <c r="V107" s="40"/>
      <c r="W107" s="40"/>
      <c r="X107" s="41" t="str">
        <f>_xlfn.LET(
    _xlpm.MacVal, _xlfn.XLOOKUP($A107, Output_Mac!$A:$A, Output_Mac!AB:AB, ""),
    _xlpm.MyAuditVal, _xlfn.XLOOKUP($A107, My_Audit!$A:$A, My_Audit!N:N, ""),
    _xlfn.TEXTJOIN(", ", TRUE, _xlpm.MyAuditVal, _xlpm.MacVal)
)</f>
        <v/>
      </c>
    </row>
    <row r="108" spans="1:24">
      <c r="A108" s="40" t="str">
        <f>_xlfn.TEXTJOIN("",TRUE,Input!$B$2,ROW(My_Audit!A107))</f>
        <v>X107</v>
      </c>
      <c r="B108" s="40" t="str">
        <f>_xlfn.TEXTJOIN("-",TRUE,"ITD",Input!$A$2,A108)</f>
        <v>ITD-X107</v>
      </c>
      <c r="C108" s="40" t="str" cm="1">
        <f t="array" ref="C108">IFERROR(_xlfn.LET(
_xlpm.CSVVal,_xlfn.XLOOKUP($A108,CSV!$A:$A,CSV!B:B,""),
_xlpm.MacVal,_xlfn.XLOOKUP($A108,Output_Mac!$A:$A,Output_Mac!B:B,""),
_xlpm.MyAuditVal,_xlfn.XLOOKUP($A108,My_Audit!$A:$A,My_Audit!B:B,""),
_xlfn.IFS(_xlpm.MyAuditVal&lt;&gt;"",UPPER(_xlpm.MyAuditVal),_xlpm.MacVal&lt;&gt;"",_xlpm.MacVal,_xlpm.CSVVal&lt;&gt;"",_xlpm.CSVVal
)),"")</f>
        <v/>
      </c>
      <c r="D108" s="40" t="str" cm="1">
        <f t="array" ref="D108">IFERROR(_xlfn.LET(
_xlpm.CSVVal,_xlfn.XLOOKUP($A108,CSV!$A:$A,CSV!D:D,""),
_xlpm.MacVal,_xlfn.XLOOKUP($A108,Output_Mac!$A:$A,Output_Mac!C:C,""),
_xlpm.MyAuditVal,_xlfn.XLOOKUP($A108,My_Audit!$A:$A,My_Audit!C:C,""),
_xlfn.IFS(_xlpm.MyAuditVal&lt;&gt;"",_xlpm.MyAuditVal,_xlpm.MacVal&lt;&gt;"",_xlpm.MacVal,_xlpm.CSVVal&lt;&gt;"",_xlpm.CSVVal
)),"")</f>
        <v/>
      </c>
      <c r="E108" s="40">
        <f>_xlfn.XLOOKUP(A108,My_Audit!A:A,My_Audit!D:D,"")</f>
        <v>0</v>
      </c>
      <c r="F108" s="40" t="str" cm="1">
        <f t="array" ref="F108">IFERROR(_xlfn.LET(
_xlpm.CSVVal,_xlfn.XLOOKUP($A108,CSV!$A:$A,CSV!F:F,""),
_xlpm.MacVal,_xlfn.XLOOKUP($A108,Output_Mac!$A:$A,Output_Mac!E:E,""),
_xlpm.MyAuditVal,_xlfn.XLOOKUP($A108,My_Audit!$A:$A,My_Audit!E:E,""),
_xlfn.IFS(_xlpm.MyAuditVal&lt;&gt;"",_xlpm.MyAuditVal,_xlpm.MacVal&lt;&gt;"",_xlpm.MacVal,_xlpm.CSVVal&lt;&gt;"",_xlpm.CSVVal
)),"")</f>
        <v/>
      </c>
      <c r="G108" s="40" t="str" cm="1">
        <f t="array" ref="G108">IFERROR(_xlfn.LET(
_xlpm.CSVVal,_xlfn.XLOOKUP($A108,CSV!$A:$A,CSV!G:G,""),
_xlpm.MacVal,_xlfn.XLOOKUP($A108,Output_Mac!$A:$A,Output_Mac!F:F,""),
_xlpm.MyAuditVal,_xlfn.XLOOKUP($A108,My_Audit!$A:$A,My_Audit!F:F,""),
_xlfn.IFS(_xlpm.MyAuditVal&lt;&gt;"",_xlpm.MyAuditVal,_xlpm.MacVal&lt;&gt;"",_xlpm.MacVal,_xlpm.CSVVal&lt;&gt;"",PROPER(_xlpm.CSVVal)
)),"")</f>
        <v/>
      </c>
      <c r="H108" s="40" t="str" cm="1">
        <f t="array" ref="H108">IFERROR(_xlfn.LET(
_xlpm.CSVVal,_xlfn.XLOOKUP($A108,CSV!$A:$A,CSV!H:H,""),
_xlpm.MacVal,_xlfn.XLOOKUP($A108,Output_Mac!$A:$A,Output_Mac!H:H,""),
_xlpm.MyAuditVal,_xlfn.XLOOKUP($A108,My_Audit!$A:$A,My_Audit!G:G,""),
_xlfn.IFS(_xlpm.MyAuditVal&lt;&gt;"",_xlpm.MyAuditVal,_xlpm.MacVal&lt;&gt;"",_xlpm.MacVal,_xlpm.CSVVal&lt;&gt;"",_xlpm.CSVVal
)),"")</f>
        <v/>
      </c>
      <c r="I108" s="40" t="str">
        <f>_xlfn.XLOOKUP(A108,Output_Mac!A:A,Output_Mac!I:I,"")</f>
        <v/>
      </c>
      <c r="J108" s="40" t="str" cm="1">
        <f t="array" ref="J108">IFERROR(_xlfn.LET(
_xlpm.CSVVal,_xlfn.XLOOKUP($A108,CSV!$A:$A,CSV!I:I,""),
_xlpm.MacVal,_xlfn.XLOOKUP($A108,Output_Mac!$A:$A,Output_Mac!J:J,""),
_xlpm.MyAuditVal,_xlfn.XLOOKUP($A108,My_Audit!$A:$A,My_Audit!I:I,""),
_xlfn.IFS(_xlpm.MyAuditVal&lt;&gt;"",UPPER(_xlpm.MyAuditVal),_xlpm.MacVal&lt;&gt;"",_xlpm.MacVal,_xlpm.CSVVal&lt;&gt;"",_xlpm.CSVVal
)),"")</f>
        <v/>
      </c>
      <c r="K108" s="40" t="str" cm="1">
        <f t="array" ref="K108">IFERROR(_xlfn.LET(
_xlpm.CSVVal,_xlfn.XLOOKUP($A108,CSV!$A:$A,CSV!K:K,""),
_xlpm.MacVal,_xlfn.XLOOKUP($A108,Output_Mac!$A:$A,Output_Mac!K:K,""),
_xlpm.MyAuditVal,_xlfn.XLOOKUP($A108,My_Audit!$A:$A,My_Audit!J:J,""),
_xlfn.IFS(_xlpm.MyAuditVal&lt;&gt;"",UPPER(_xlpm.MyAuditVal),_xlpm.MacVal&lt;&gt;"",_xlpm.MacVal,_xlpm.CSVVal&lt;&gt;"",_xlpm.CSVVal
)),"")</f>
        <v/>
      </c>
      <c r="L108" s="40" t="str" cm="1">
        <f t="array" ref="L108">IFERROR(_xlfn.LET(
_xlpm.CSVVal,_xlfn.XLOOKUP($A108,CSV!$A:$A,CSV!P:P,""),
_xlpm.MacVal,_xlfn.XLOOKUP($A108,Output_Mac!$A:$A,Output_Mac!L:L,""),
_xlpm.MyAuditVal,_xlfn.XLOOKUP($A108,My_Audit!$A:$A,My_Audit!K:K,""),
_xlfn.IFS(_xlpm.MyAuditVal&lt;&gt;"",UPPER(_xlpm.MyAuditVal),_xlpm.MacVal&lt;&gt;"",_xlpm.MacVal,_xlpm.CSVVal&lt;&gt;"",_xlpm.CSVVal
)),"")</f>
        <v/>
      </c>
      <c r="M108" s="40" t="str" cm="1">
        <f t="array" ref="M108">IFERROR(_xlfn.LET(
_xlpm.CSVVal,_xlfn.XLOOKUP($A108,CSV!$A:$A,CSV!Q:Q,""),
_xlpm.MacVal,_xlfn.XLOOKUP($A108,Output_Mac!$A:$A,Output_Mac!M:M,""),
_xlpm.MyAuditVal,_xlfn.XLOOKUP($A108,My_Audit!$A:$A,My_Audit!L:L,""),
_xlfn.IFS(_xlpm.MyAuditVal&lt;&gt;"",UPPER(_xlpm.MyAuditVal),_xlpm.MacVal&lt;&gt;"",_xlpm.MacVal,_xlpm.CSVVal&lt;&gt;"",_xlpm.CSVVal
)),"")</f>
        <v/>
      </c>
      <c r="N108" s="40"/>
      <c r="O108" s="40" t="str">
        <f>_xlfn.LET(
    _xlpm.CSVVal, _xlfn.XLOOKUP($A108, CSV!$A:$A, CSV!AA:AA, ""),
    _xlpm.MacVal, _xlfn.XLOOKUP($A108, Output_Mac!$A:$A, Output_Mac!S:S, ""),
    _xlpm.MyAuditVal, _xlfn.XLOOKUP($A108, My_Audit!$A:$A, My_Audit!P:P, ""),
    _xlfn.TEXTJOIN(", ", TRUE, _xlpm.MyAuditVal, _xlpm.MacVal, _xlpm.CSVVal)
)</f>
        <v/>
      </c>
      <c r="P108" s="40" t="str" cm="1">
        <f t="array" ref="P108">IFERROR(_xlfn.LET(
_xlpm.CSVVal,_xlfn.XLOOKUP($A108,CSV!$A:$A,CSV!AB:AB,""),
_xlpm.MacVal,_xlfn.XLOOKUP($A108,Output_Mac!$A:$A,Output_Mac!T:T,""),
_xlpm.MyAuditVal,_xlfn.XLOOKUP($A108,My_Audit!$A:$A,My_Audit!Q:Q,""),
_xlfn.IFS(_xlpm.MyAuditVal&lt;&gt;"",UPPER(_xlpm.MyAuditVal),_xlpm.MacVal&lt;&gt;"",_xlpm.MacVal,_xlpm.CSVVal&lt;&gt;"",_xlpm.CSVVal
)),"No")</f>
        <v>No</v>
      </c>
      <c r="Q108" s="40" t="str" cm="1">
        <f t="array" ref="Q108">IFERROR(_xlfn.LET(
_xlpm.CSVVal,_xlfn.XLOOKUP($A108,CSV!$A:$A,CSV!AC:AC,""),
_xlpm.MacVal,_xlfn.XLOOKUP($A108,Output_Mac!$A:$A,Output_Mac!U:U,""),
_xlpm.MyAuditVal,_xlfn.XLOOKUP($A108,My_Audit!$A:$A,My_Audit!R:R,""),
_xlfn.IFS(_xlpm.MyAuditVal&lt;&gt;"",UPPER(_xlpm.MyAuditVal),_xlpm.MacVal&lt;&gt;"",_xlpm.MacVal,_xlpm.CSVVal&lt;&gt;"",_xlpm.CSVVal
)),"")</f>
        <v/>
      </c>
      <c r="R108" s="40"/>
      <c r="S108" s="40"/>
      <c r="T108" s="40"/>
      <c r="U108" s="40"/>
      <c r="V108" s="40"/>
      <c r="W108" s="40"/>
      <c r="X108" s="41" t="str">
        <f>_xlfn.LET(
    _xlpm.MacVal, _xlfn.XLOOKUP($A108, Output_Mac!$A:$A, Output_Mac!AB:AB, ""),
    _xlpm.MyAuditVal, _xlfn.XLOOKUP($A108, My_Audit!$A:$A, My_Audit!N:N, ""),
    _xlfn.TEXTJOIN(", ", TRUE, _xlpm.MyAuditVal, _xlpm.MacVal)
)</f>
        <v/>
      </c>
    </row>
    <row r="109" spans="1:24">
      <c r="A109" s="40" t="str">
        <f>_xlfn.TEXTJOIN("",TRUE,Input!$B$2,ROW(My_Audit!A108))</f>
        <v>X108</v>
      </c>
      <c r="B109" s="40" t="str">
        <f>_xlfn.TEXTJOIN("-",TRUE,"ITD",Input!$A$2,A109)</f>
        <v>ITD-X108</v>
      </c>
      <c r="C109" s="40" t="str" cm="1">
        <f t="array" ref="C109">IFERROR(_xlfn.LET(
_xlpm.CSVVal,_xlfn.XLOOKUP($A109,CSV!$A:$A,CSV!B:B,""),
_xlpm.MacVal,_xlfn.XLOOKUP($A109,Output_Mac!$A:$A,Output_Mac!B:B,""),
_xlpm.MyAuditVal,_xlfn.XLOOKUP($A109,My_Audit!$A:$A,My_Audit!B:B,""),
_xlfn.IFS(_xlpm.MyAuditVal&lt;&gt;"",UPPER(_xlpm.MyAuditVal),_xlpm.MacVal&lt;&gt;"",_xlpm.MacVal,_xlpm.CSVVal&lt;&gt;"",_xlpm.CSVVal
)),"")</f>
        <v/>
      </c>
      <c r="D109" s="40" t="str" cm="1">
        <f t="array" ref="D109">IFERROR(_xlfn.LET(
_xlpm.CSVVal,_xlfn.XLOOKUP($A109,CSV!$A:$A,CSV!D:D,""),
_xlpm.MacVal,_xlfn.XLOOKUP($A109,Output_Mac!$A:$A,Output_Mac!C:C,""),
_xlpm.MyAuditVal,_xlfn.XLOOKUP($A109,My_Audit!$A:$A,My_Audit!C:C,""),
_xlfn.IFS(_xlpm.MyAuditVal&lt;&gt;"",_xlpm.MyAuditVal,_xlpm.MacVal&lt;&gt;"",_xlpm.MacVal,_xlpm.CSVVal&lt;&gt;"",_xlpm.CSVVal
)),"")</f>
        <v/>
      </c>
      <c r="E109" s="40">
        <f>_xlfn.XLOOKUP(A109,My_Audit!A:A,My_Audit!D:D,"")</f>
        <v>0</v>
      </c>
      <c r="F109" s="40" t="str" cm="1">
        <f t="array" ref="F109">IFERROR(_xlfn.LET(
_xlpm.CSVVal,_xlfn.XLOOKUP($A109,CSV!$A:$A,CSV!F:F,""),
_xlpm.MacVal,_xlfn.XLOOKUP($A109,Output_Mac!$A:$A,Output_Mac!E:E,""),
_xlpm.MyAuditVal,_xlfn.XLOOKUP($A109,My_Audit!$A:$A,My_Audit!E:E,""),
_xlfn.IFS(_xlpm.MyAuditVal&lt;&gt;"",_xlpm.MyAuditVal,_xlpm.MacVal&lt;&gt;"",_xlpm.MacVal,_xlpm.CSVVal&lt;&gt;"",_xlpm.CSVVal
)),"")</f>
        <v/>
      </c>
      <c r="G109" s="40" t="str" cm="1">
        <f t="array" ref="G109">IFERROR(_xlfn.LET(
_xlpm.CSVVal,_xlfn.XLOOKUP($A109,CSV!$A:$A,CSV!G:G,""),
_xlpm.MacVal,_xlfn.XLOOKUP($A109,Output_Mac!$A:$A,Output_Mac!F:F,""),
_xlpm.MyAuditVal,_xlfn.XLOOKUP($A109,My_Audit!$A:$A,My_Audit!F:F,""),
_xlfn.IFS(_xlpm.MyAuditVal&lt;&gt;"",_xlpm.MyAuditVal,_xlpm.MacVal&lt;&gt;"",_xlpm.MacVal,_xlpm.CSVVal&lt;&gt;"",PROPER(_xlpm.CSVVal)
)),"")</f>
        <v/>
      </c>
      <c r="H109" s="40" t="str" cm="1">
        <f t="array" ref="H109">IFERROR(_xlfn.LET(
_xlpm.CSVVal,_xlfn.XLOOKUP($A109,CSV!$A:$A,CSV!H:H,""),
_xlpm.MacVal,_xlfn.XLOOKUP($A109,Output_Mac!$A:$A,Output_Mac!H:H,""),
_xlpm.MyAuditVal,_xlfn.XLOOKUP($A109,My_Audit!$A:$A,My_Audit!G:G,""),
_xlfn.IFS(_xlpm.MyAuditVal&lt;&gt;"",_xlpm.MyAuditVal,_xlpm.MacVal&lt;&gt;"",_xlpm.MacVal,_xlpm.CSVVal&lt;&gt;"",_xlpm.CSVVal
)),"")</f>
        <v/>
      </c>
      <c r="I109" s="40" t="str">
        <f>_xlfn.XLOOKUP(A109,Output_Mac!A:A,Output_Mac!I:I,"")</f>
        <v/>
      </c>
      <c r="J109" s="40" t="str" cm="1">
        <f t="array" ref="J109">IFERROR(_xlfn.LET(
_xlpm.CSVVal,_xlfn.XLOOKUP($A109,CSV!$A:$A,CSV!I:I,""),
_xlpm.MacVal,_xlfn.XLOOKUP($A109,Output_Mac!$A:$A,Output_Mac!J:J,""),
_xlpm.MyAuditVal,_xlfn.XLOOKUP($A109,My_Audit!$A:$A,My_Audit!I:I,""),
_xlfn.IFS(_xlpm.MyAuditVal&lt;&gt;"",UPPER(_xlpm.MyAuditVal),_xlpm.MacVal&lt;&gt;"",_xlpm.MacVal,_xlpm.CSVVal&lt;&gt;"",_xlpm.CSVVal
)),"")</f>
        <v/>
      </c>
      <c r="K109" s="40" t="str" cm="1">
        <f t="array" ref="K109">IFERROR(_xlfn.LET(
_xlpm.CSVVal,_xlfn.XLOOKUP($A109,CSV!$A:$A,CSV!K:K,""),
_xlpm.MacVal,_xlfn.XLOOKUP($A109,Output_Mac!$A:$A,Output_Mac!K:K,""),
_xlpm.MyAuditVal,_xlfn.XLOOKUP($A109,My_Audit!$A:$A,My_Audit!J:J,""),
_xlfn.IFS(_xlpm.MyAuditVal&lt;&gt;"",UPPER(_xlpm.MyAuditVal),_xlpm.MacVal&lt;&gt;"",_xlpm.MacVal,_xlpm.CSVVal&lt;&gt;"",_xlpm.CSVVal
)),"")</f>
        <v/>
      </c>
      <c r="L109" s="40" t="str" cm="1">
        <f t="array" ref="L109">IFERROR(_xlfn.LET(
_xlpm.CSVVal,_xlfn.XLOOKUP($A109,CSV!$A:$A,CSV!P:P,""),
_xlpm.MacVal,_xlfn.XLOOKUP($A109,Output_Mac!$A:$A,Output_Mac!L:L,""),
_xlpm.MyAuditVal,_xlfn.XLOOKUP($A109,My_Audit!$A:$A,My_Audit!K:K,""),
_xlfn.IFS(_xlpm.MyAuditVal&lt;&gt;"",UPPER(_xlpm.MyAuditVal),_xlpm.MacVal&lt;&gt;"",_xlpm.MacVal,_xlpm.CSVVal&lt;&gt;"",_xlpm.CSVVal
)),"")</f>
        <v/>
      </c>
      <c r="M109" s="40" t="str" cm="1">
        <f t="array" ref="M109">IFERROR(_xlfn.LET(
_xlpm.CSVVal,_xlfn.XLOOKUP($A109,CSV!$A:$A,CSV!Q:Q,""),
_xlpm.MacVal,_xlfn.XLOOKUP($A109,Output_Mac!$A:$A,Output_Mac!M:M,""),
_xlpm.MyAuditVal,_xlfn.XLOOKUP($A109,My_Audit!$A:$A,My_Audit!L:L,""),
_xlfn.IFS(_xlpm.MyAuditVal&lt;&gt;"",UPPER(_xlpm.MyAuditVal),_xlpm.MacVal&lt;&gt;"",_xlpm.MacVal,_xlpm.CSVVal&lt;&gt;"",_xlpm.CSVVal
)),"")</f>
        <v/>
      </c>
      <c r="N109" s="40"/>
      <c r="O109" s="40" t="str">
        <f>_xlfn.LET(
    _xlpm.CSVVal, _xlfn.XLOOKUP($A109, CSV!$A:$A, CSV!AA:AA, ""),
    _xlpm.MacVal, _xlfn.XLOOKUP($A109, Output_Mac!$A:$A, Output_Mac!S:S, ""),
    _xlpm.MyAuditVal, _xlfn.XLOOKUP($A109, My_Audit!$A:$A, My_Audit!P:P, ""),
    _xlfn.TEXTJOIN(", ", TRUE, _xlpm.MyAuditVal, _xlpm.MacVal, _xlpm.CSVVal)
)</f>
        <v/>
      </c>
      <c r="P109" s="40" t="str" cm="1">
        <f t="array" ref="P109">IFERROR(_xlfn.LET(
_xlpm.CSVVal,_xlfn.XLOOKUP($A109,CSV!$A:$A,CSV!AB:AB,""),
_xlpm.MacVal,_xlfn.XLOOKUP($A109,Output_Mac!$A:$A,Output_Mac!T:T,""),
_xlpm.MyAuditVal,_xlfn.XLOOKUP($A109,My_Audit!$A:$A,My_Audit!Q:Q,""),
_xlfn.IFS(_xlpm.MyAuditVal&lt;&gt;"",UPPER(_xlpm.MyAuditVal),_xlpm.MacVal&lt;&gt;"",_xlpm.MacVal,_xlpm.CSVVal&lt;&gt;"",_xlpm.CSVVal
)),"No")</f>
        <v>No</v>
      </c>
      <c r="Q109" s="40" t="str" cm="1">
        <f t="array" ref="Q109">IFERROR(_xlfn.LET(
_xlpm.CSVVal,_xlfn.XLOOKUP($A109,CSV!$A:$A,CSV!AC:AC,""),
_xlpm.MacVal,_xlfn.XLOOKUP($A109,Output_Mac!$A:$A,Output_Mac!U:U,""),
_xlpm.MyAuditVal,_xlfn.XLOOKUP($A109,My_Audit!$A:$A,My_Audit!R:R,""),
_xlfn.IFS(_xlpm.MyAuditVal&lt;&gt;"",UPPER(_xlpm.MyAuditVal),_xlpm.MacVal&lt;&gt;"",_xlpm.MacVal,_xlpm.CSVVal&lt;&gt;"",_xlpm.CSVVal
)),"")</f>
        <v/>
      </c>
      <c r="R109" s="40"/>
      <c r="S109" s="40"/>
      <c r="T109" s="40"/>
      <c r="U109" s="40"/>
      <c r="V109" s="40"/>
      <c r="W109" s="40"/>
      <c r="X109" s="41" t="str">
        <f>_xlfn.LET(
    _xlpm.MacVal, _xlfn.XLOOKUP($A109, Output_Mac!$A:$A, Output_Mac!AB:AB, ""),
    _xlpm.MyAuditVal, _xlfn.XLOOKUP($A109, My_Audit!$A:$A, My_Audit!N:N, ""),
    _xlfn.TEXTJOIN(", ", TRUE, _xlpm.MyAuditVal, _xlpm.MacVal)
)</f>
        <v/>
      </c>
    </row>
    <row r="110" spans="1:24">
      <c r="A110" s="40" t="str">
        <f>_xlfn.TEXTJOIN("",TRUE,Input!$B$2,ROW(My_Audit!A109))</f>
        <v>X109</v>
      </c>
      <c r="B110" s="40" t="str">
        <f>_xlfn.TEXTJOIN("-",TRUE,"ITD",Input!$A$2,A110)</f>
        <v>ITD-X109</v>
      </c>
      <c r="C110" s="40" t="str" cm="1">
        <f t="array" ref="C110">IFERROR(_xlfn.LET(
_xlpm.CSVVal,_xlfn.XLOOKUP($A110,CSV!$A:$A,CSV!B:B,""),
_xlpm.MacVal,_xlfn.XLOOKUP($A110,Output_Mac!$A:$A,Output_Mac!B:B,""),
_xlpm.MyAuditVal,_xlfn.XLOOKUP($A110,My_Audit!$A:$A,My_Audit!B:B,""),
_xlfn.IFS(_xlpm.MyAuditVal&lt;&gt;"",UPPER(_xlpm.MyAuditVal),_xlpm.MacVal&lt;&gt;"",_xlpm.MacVal,_xlpm.CSVVal&lt;&gt;"",_xlpm.CSVVal
)),"")</f>
        <v/>
      </c>
      <c r="D110" s="40" t="str" cm="1">
        <f t="array" ref="D110">IFERROR(_xlfn.LET(
_xlpm.CSVVal,_xlfn.XLOOKUP($A110,CSV!$A:$A,CSV!D:D,""),
_xlpm.MacVal,_xlfn.XLOOKUP($A110,Output_Mac!$A:$A,Output_Mac!C:C,""),
_xlpm.MyAuditVal,_xlfn.XLOOKUP($A110,My_Audit!$A:$A,My_Audit!C:C,""),
_xlfn.IFS(_xlpm.MyAuditVal&lt;&gt;"",_xlpm.MyAuditVal,_xlpm.MacVal&lt;&gt;"",_xlpm.MacVal,_xlpm.CSVVal&lt;&gt;"",_xlpm.CSVVal
)),"")</f>
        <v/>
      </c>
      <c r="E110" s="40">
        <f>_xlfn.XLOOKUP(A110,My_Audit!A:A,My_Audit!D:D,"")</f>
        <v>0</v>
      </c>
      <c r="F110" s="40" t="str" cm="1">
        <f t="array" ref="F110">IFERROR(_xlfn.LET(
_xlpm.CSVVal,_xlfn.XLOOKUP($A110,CSV!$A:$A,CSV!F:F,""),
_xlpm.MacVal,_xlfn.XLOOKUP($A110,Output_Mac!$A:$A,Output_Mac!E:E,""),
_xlpm.MyAuditVal,_xlfn.XLOOKUP($A110,My_Audit!$A:$A,My_Audit!E:E,""),
_xlfn.IFS(_xlpm.MyAuditVal&lt;&gt;"",_xlpm.MyAuditVal,_xlpm.MacVal&lt;&gt;"",_xlpm.MacVal,_xlpm.CSVVal&lt;&gt;"",_xlpm.CSVVal
)),"")</f>
        <v/>
      </c>
      <c r="G110" s="40" t="str" cm="1">
        <f t="array" ref="G110">IFERROR(_xlfn.LET(
_xlpm.CSVVal,_xlfn.XLOOKUP($A110,CSV!$A:$A,CSV!G:G,""),
_xlpm.MacVal,_xlfn.XLOOKUP($A110,Output_Mac!$A:$A,Output_Mac!F:F,""),
_xlpm.MyAuditVal,_xlfn.XLOOKUP($A110,My_Audit!$A:$A,My_Audit!F:F,""),
_xlfn.IFS(_xlpm.MyAuditVal&lt;&gt;"",_xlpm.MyAuditVal,_xlpm.MacVal&lt;&gt;"",_xlpm.MacVal,_xlpm.CSVVal&lt;&gt;"",PROPER(_xlpm.CSVVal)
)),"")</f>
        <v/>
      </c>
      <c r="H110" s="40" t="str" cm="1">
        <f t="array" ref="H110">IFERROR(_xlfn.LET(
_xlpm.CSVVal,_xlfn.XLOOKUP($A110,CSV!$A:$A,CSV!H:H,""),
_xlpm.MacVal,_xlfn.XLOOKUP($A110,Output_Mac!$A:$A,Output_Mac!H:H,""),
_xlpm.MyAuditVal,_xlfn.XLOOKUP($A110,My_Audit!$A:$A,My_Audit!G:G,""),
_xlfn.IFS(_xlpm.MyAuditVal&lt;&gt;"",_xlpm.MyAuditVal,_xlpm.MacVal&lt;&gt;"",_xlpm.MacVal,_xlpm.CSVVal&lt;&gt;"",_xlpm.CSVVal
)),"")</f>
        <v/>
      </c>
      <c r="I110" s="40" t="str">
        <f>_xlfn.XLOOKUP(A110,Output_Mac!A:A,Output_Mac!I:I,"")</f>
        <v/>
      </c>
      <c r="J110" s="40" t="str" cm="1">
        <f t="array" ref="J110">IFERROR(_xlfn.LET(
_xlpm.CSVVal,_xlfn.XLOOKUP($A110,CSV!$A:$A,CSV!I:I,""),
_xlpm.MacVal,_xlfn.XLOOKUP($A110,Output_Mac!$A:$A,Output_Mac!J:J,""),
_xlpm.MyAuditVal,_xlfn.XLOOKUP($A110,My_Audit!$A:$A,My_Audit!I:I,""),
_xlfn.IFS(_xlpm.MyAuditVal&lt;&gt;"",UPPER(_xlpm.MyAuditVal),_xlpm.MacVal&lt;&gt;"",_xlpm.MacVal,_xlpm.CSVVal&lt;&gt;"",_xlpm.CSVVal
)),"")</f>
        <v/>
      </c>
      <c r="K110" s="40" t="str" cm="1">
        <f t="array" ref="K110">IFERROR(_xlfn.LET(
_xlpm.CSVVal,_xlfn.XLOOKUP($A110,CSV!$A:$A,CSV!K:K,""),
_xlpm.MacVal,_xlfn.XLOOKUP($A110,Output_Mac!$A:$A,Output_Mac!K:K,""),
_xlpm.MyAuditVal,_xlfn.XLOOKUP($A110,My_Audit!$A:$A,My_Audit!J:J,""),
_xlfn.IFS(_xlpm.MyAuditVal&lt;&gt;"",UPPER(_xlpm.MyAuditVal),_xlpm.MacVal&lt;&gt;"",_xlpm.MacVal,_xlpm.CSVVal&lt;&gt;"",_xlpm.CSVVal
)),"")</f>
        <v/>
      </c>
      <c r="L110" s="40" t="str" cm="1">
        <f t="array" ref="L110">IFERROR(_xlfn.LET(
_xlpm.CSVVal,_xlfn.XLOOKUP($A110,CSV!$A:$A,CSV!P:P,""),
_xlpm.MacVal,_xlfn.XLOOKUP($A110,Output_Mac!$A:$A,Output_Mac!L:L,""),
_xlpm.MyAuditVal,_xlfn.XLOOKUP($A110,My_Audit!$A:$A,My_Audit!K:K,""),
_xlfn.IFS(_xlpm.MyAuditVal&lt;&gt;"",UPPER(_xlpm.MyAuditVal),_xlpm.MacVal&lt;&gt;"",_xlpm.MacVal,_xlpm.CSVVal&lt;&gt;"",_xlpm.CSVVal
)),"")</f>
        <v/>
      </c>
      <c r="M110" s="40" t="str" cm="1">
        <f t="array" ref="M110">IFERROR(_xlfn.LET(
_xlpm.CSVVal,_xlfn.XLOOKUP($A110,CSV!$A:$A,CSV!Q:Q,""),
_xlpm.MacVal,_xlfn.XLOOKUP($A110,Output_Mac!$A:$A,Output_Mac!M:M,""),
_xlpm.MyAuditVal,_xlfn.XLOOKUP($A110,My_Audit!$A:$A,My_Audit!L:L,""),
_xlfn.IFS(_xlpm.MyAuditVal&lt;&gt;"",UPPER(_xlpm.MyAuditVal),_xlpm.MacVal&lt;&gt;"",_xlpm.MacVal,_xlpm.CSVVal&lt;&gt;"",_xlpm.CSVVal
)),"")</f>
        <v/>
      </c>
      <c r="N110" s="40"/>
      <c r="O110" s="40" t="str">
        <f>_xlfn.LET(
    _xlpm.CSVVal, _xlfn.XLOOKUP($A110, CSV!$A:$A, CSV!AA:AA, ""),
    _xlpm.MacVal, _xlfn.XLOOKUP($A110, Output_Mac!$A:$A, Output_Mac!S:S, ""),
    _xlpm.MyAuditVal, _xlfn.XLOOKUP($A110, My_Audit!$A:$A, My_Audit!P:P, ""),
    _xlfn.TEXTJOIN(", ", TRUE, _xlpm.MyAuditVal, _xlpm.MacVal, _xlpm.CSVVal)
)</f>
        <v/>
      </c>
      <c r="P110" s="40" t="str" cm="1">
        <f t="array" ref="P110">IFERROR(_xlfn.LET(
_xlpm.CSVVal,_xlfn.XLOOKUP($A110,CSV!$A:$A,CSV!AB:AB,""),
_xlpm.MacVal,_xlfn.XLOOKUP($A110,Output_Mac!$A:$A,Output_Mac!T:T,""),
_xlpm.MyAuditVal,_xlfn.XLOOKUP($A110,My_Audit!$A:$A,My_Audit!Q:Q,""),
_xlfn.IFS(_xlpm.MyAuditVal&lt;&gt;"",UPPER(_xlpm.MyAuditVal),_xlpm.MacVal&lt;&gt;"",_xlpm.MacVal,_xlpm.CSVVal&lt;&gt;"",_xlpm.CSVVal
)),"No")</f>
        <v>No</v>
      </c>
      <c r="Q110" s="40" t="str" cm="1">
        <f t="array" ref="Q110">IFERROR(_xlfn.LET(
_xlpm.CSVVal,_xlfn.XLOOKUP($A110,CSV!$A:$A,CSV!AC:AC,""),
_xlpm.MacVal,_xlfn.XLOOKUP($A110,Output_Mac!$A:$A,Output_Mac!U:U,""),
_xlpm.MyAuditVal,_xlfn.XLOOKUP($A110,My_Audit!$A:$A,My_Audit!R:R,""),
_xlfn.IFS(_xlpm.MyAuditVal&lt;&gt;"",UPPER(_xlpm.MyAuditVal),_xlpm.MacVal&lt;&gt;"",_xlpm.MacVal,_xlpm.CSVVal&lt;&gt;"",_xlpm.CSVVal
)),"")</f>
        <v/>
      </c>
      <c r="R110" s="40"/>
      <c r="S110" s="40"/>
      <c r="T110" s="40"/>
      <c r="U110" s="40"/>
      <c r="V110" s="40"/>
      <c r="W110" s="40"/>
      <c r="X110" s="41" t="str">
        <f>_xlfn.LET(
    _xlpm.MacVal, _xlfn.XLOOKUP($A110, Output_Mac!$A:$A, Output_Mac!AB:AB, ""),
    _xlpm.MyAuditVal, _xlfn.XLOOKUP($A110, My_Audit!$A:$A, My_Audit!N:N, ""),
    _xlfn.TEXTJOIN(", ", TRUE, _xlpm.MyAuditVal, _xlpm.MacVal)
)</f>
        <v/>
      </c>
    </row>
    <row r="111" spans="1:24">
      <c r="A111" s="40" t="str">
        <f>_xlfn.TEXTJOIN("",TRUE,Input!$B$2,ROW(My_Audit!A110))</f>
        <v>X110</v>
      </c>
      <c r="B111" s="40" t="str">
        <f>_xlfn.TEXTJOIN("-",TRUE,"ITD",Input!$A$2,A111)</f>
        <v>ITD-X110</v>
      </c>
      <c r="C111" s="40" t="str" cm="1">
        <f t="array" ref="C111">IFERROR(_xlfn.LET(
_xlpm.CSVVal,_xlfn.XLOOKUP($A111,CSV!$A:$A,CSV!B:B,""),
_xlpm.MacVal,_xlfn.XLOOKUP($A111,Output_Mac!$A:$A,Output_Mac!B:B,""),
_xlpm.MyAuditVal,_xlfn.XLOOKUP($A111,My_Audit!$A:$A,My_Audit!B:B,""),
_xlfn.IFS(_xlpm.MyAuditVal&lt;&gt;"",UPPER(_xlpm.MyAuditVal),_xlpm.MacVal&lt;&gt;"",_xlpm.MacVal,_xlpm.CSVVal&lt;&gt;"",_xlpm.CSVVal
)),"")</f>
        <v/>
      </c>
      <c r="D111" s="40" t="str" cm="1">
        <f t="array" ref="D111">IFERROR(_xlfn.LET(
_xlpm.CSVVal,_xlfn.XLOOKUP($A111,CSV!$A:$A,CSV!D:D,""),
_xlpm.MacVal,_xlfn.XLOOKUP($A111,Output_Mac!$A:$A,Output_Mac!C:C,""),
_xlpm.MyAuditVal,_xlfn.XLOOKUP($A111,My_Audit!$A:$A,My_Audit!C:C,""),
_xlfn.IFS(_xlpm.MyAuditVal&lt;&gt;"",_xlpm.MyAuditVal,_xlpm.MacVal&lt;&gt;"",_xlpm.MacVal,_xlpm.CSVVal&lt;&gt;"",_xlpm.CSVVal
)),"")</f>
        <v/>
      </c>
      <c r="E111" s="40">
        <f>_xlfn.XLOOKUP(A111,My_Audit!A:A,My_Audit!D:D,"")</f>
        <v>0</v>
      </c>
      <c r="F111" s="40" t="str" cm="1">
        <f t="array" ref="F111">IFERROR(_xlfn.LET(
_xlpm.CSVVal,_xlfn.XLOOKUP($A111,CSV!$A:$A,CSV!F:F,""),
_xlpm.MacVal,_xlfn.XLOOKUP($A111,Output_Mac!$A:$A,Output_Mac!E:E,""),
_xlpm.MyAuditVal,_xlfn.XLOOKUP($A111,My_Audit!$A:$A,My_Audit!E:E,""),
_xlfn.IFS(_xlpm.MyAuditVal&lt;&gt;"",_xlpm.MyAuditVal,_xlpm.MacVal&lt;&gt;"",_xlpm.MacVal,_xlpm.CSVVal&lt;&gt;"",_xlpm.CSVVal
)),"")</f>
        <v/>
      </c>
      <c r="G111" s="40" t="str" cm="1">
        <f t="array" ref="G111">IFERROR(_xlfn.LET(
_xlpm.CSVVal,_xlfn.XLOOKUP($A111,CSV!$A:$A,CSV!G:G,""),
_xlpm.MacVal,_xlfn.XLOOKUP($A111,Output_Mac!$A:$A,Output_Mac!F:F,""),
_xlpm.MyAuditVal,_xlfn.XLOOKUP($A111,My_Audit!$A:$A,My_Audit!F:F,""),
_xlfn.IFS(_xlpm.MyAuditVal&lt;&gt;"",_xlpm.MyAuditVal,_xlpm.MacVal&lt;&gt;"",_xlpm.MacVal,_xlpm.CSVVal&lt;&gt;"",PROPER(_xlpm.CSVVal)
)),"")</f>
        <v/>
      </c>
      <c r="H111" s="40" t="str" cm="1">
        <f t="array" ref="H111">IFERROR(_xlfn.LET(
_xlpm.CSVVal,_xlfn.XLOOKUP($A111,CSV!$A:$A,CSV!H:H,""),
_xlpm.MacVal,_xlfn.XLOOKUP($A111,Output_Mac!$A:$A,Output_Mac!H:H,""),
_xlpm.MyAuditVal,_xlfn.XLOOKUP($A111,My_Audit!$A:$A,My_Audit!G:G,""),
_xlfn.IFS(_xlpm.MyAuditVal&lt;&gt;"",_xlpm.MyAuditVal,_xlpm.MacVal&lt;&gt;"",_xlpm.MacVal,_xlpm.CSVVal&lt;&gt;"",_xlpm.CSVVal
)),"")</f>
        <v/>
      </c>
      <c r="I111" s="40" t="str">
        <f>_xlfn.XLOOKUP(A111,Output_Mac!A:A,Output_Mac!I:I,"")</f>
        <v/>
      </c>
      <c r="J111" s="40" t="str" cm="1">
        <f t="array" ref="J111">IFERROR(_xlfn.LET(
_xlpm.CSVVal,_xlfn.XLOOKUP($A111,CSV!$A:$A,CSV!I:I,""),
_xlpm.MacVal,_xlfn.XLOOKUP($A111,Output_Mac!$A:$A,Output_Mac!J:J,""),
_xlpm.MyAuditVal,_xlfn.XLOOKUP($A111,My_Audit!$A:$A,My_Audit!I:I,""),
_xlfn.IFS(_xlpm.MyAuditVal&lt;&gt;"",UPPER(_xlpm.MyAuditVal),_xlpm.MacVal&lt;&gt;"",_xlpm.MacVal,_xlpm.CSVVal&lt;&gt;"",_xlpm.CSVVal
)),"")</f>
        <v/>
      </c>
      <c r="K111" s="40" t="str" cm="1">
        <f t="array" ref="K111">IFERROR(_xlfn.LET(
_xlpm.CSVVal,_xlfn.XLOOKUP($A111,CSV!$A:$A,CSV!K:K,""),
_xlpm.MacVal,_xlfn.XLOOKUP($A111,Output_Mac!$A:$A,Output_Mac!K:K,""),
_xlpm.MyAuditVal,_xlfn.XLOOKUP($A111,My_Audit!$A:$A,My_Audit!J:J,""),
_xlfn.IFS(_xlpm.MyAuditVal&lt;&gt;"",UPPER(_xlpm.MyAuditVal),_xlpm.MacVal&lt;&gt;"",_xlpm.MacVal,_xlpm.CSVVal&lt;&gt;"",_xlpm.CSVVal
)),"")</f>
        <v/>
      </c>
      <c r="L111" s="40" t="str" cm="1">
        <f t="array" ref="L111">IFERROR(_xlfn.LET(
_xlpm.CSVVal,_xlfn.XLOOKUP($A111,CSV!$A:$A,CSV!P:P,""),
_xlpm.MacVal,_xlfn.XLOOKUP($A111,Output_Mac!$A:$A,Output_Mac!L:L,""),
_xlpm.MyAuditVal,_xlfn.XLOOKUP($A111,My_Audit!$A:$A,My_Audit!K:K,""),
_xlfn.IFS(_xlpm.MyAuditVal&lt;&gt;"",UPPER(_xlpm.MyAuditVal),_xlpm.MacVal&lt;&gt;"",_xlpm.MacVal,_xlpm.CSVVal&lt;&gt;"",_xlpm.CSVVal
)),"")</f>
        <v/>
      </c>
      <c r="M111" s="40" t="str" cm="1">
        <f t="array" ref="M111">IFERROR(_xlfn.LET(
_xlpm.CSVVal,_xlfn.XLOOKUP($A111,CSV!$A:$A,CSV!Q:Q,""),
_xlpm.MacVal,_xlfn.XLOOKUP($A111,Output_Mac!$A:$A,Output_Mac!M:M,""),
_xlpm.MyAuditVal,_xlfn.XLOOKUP($A111,My_Audit!$A:$A,My_Audit!L:L,""),
_xlfn.IFS(_xlpm.MyAuditVal&lt;&gt;"",UPPER(_xlpm.MyAuditVal),_xlpm.MacVal&lt;&gt;"",_xlpm.MacVal,_xlpm.CSVVal&lt;&gt;"",_xlpm.CSVVal
)),"")</f>
        <v/>
      </c>
      <c r="N111" s="40"/>
      <c r="O111" s="40" t="str">
        <f>_xlfn.LET(
    _xlpm.CSVVal, _xlfn.XLOOKUP($A111, CSV!$A:$A, CSV!AA:AA, ""),
    _xlpm.MacVal, _xlfn.XLOOKUP($A111, Output_Mac!$A:$A, Output_Mac!S:S, ""),
    _xlpm.MyAuditVal, _xlfn.XLOOKUP($A111, My_Audit!$A:$A, My_Audit!P:P, ""),
    _xlfn.TEXTJOIN(", ", TRUE, _xlpm.MyAuditVal, _xlpm.MacVal, _xlpm.CSVVal)
)</f>
        <v/>
      </c>
      <c r="P111" s="40" t="str" cm="1">
        <f t="array" ref="P111">IFERROR(_xlfn.LET(
_xlpm.CSVVal,_xlfn.XLOOKUP($A111,CSV!$A:$A,CSV!AB:AB,""),
_xlpm.MacVal,_xlfn.XLOOKUP($A111,Output_Mac!$A:$A,Output_Mac!T:T,""),
_xlpm.MyAuditVal,_xlfn.XLOOKUP($A111,My_Audit!$A:$A,My_Audit!Q:Q,""),
_xlfn.IFS(_xlpm.MyAuditVal&lt;&gt;"",UPPER(_xlpm.MyAuditVal),_xlpm.MacVal&lt;&gt;"",_xlpm.MacVal,_xlpm.CSVVal&lt;&gt;"",_xlpm.CSVVal
)),"No")</f>
        <v>No</v>
      </c>
      <c r="Q111" s="40" t="str" cm="1">
        <f t="array" ref="Q111">IFERROR(_xlfn.LET(
_xlpm.CSVVal,_xlfn.XLOOKUP($A111,CSV!$A:$A,CSV!AC:AC,""),
_xlpm.MacVal,_xlfn.XLOOKUP($A111,Output_Mac!$A:$A,Output_Mac!U:U,""),
_xlpm.MyAuditVal,_xlfn.XLOOKUP($A111,My_Audit!$A:$A,My_Audit!R:R,""),
_xlfn.IFS(_xlpm.MyAuditVal&lt;&gt;"",UPPER(_xlpm.MyAuditVal),_xlpm.MacVal&lt;&gt;"",_xlpm.MacVal,_xlpm.CSVVal&lt;&gt;"",_xlpm.CSVVal
)),"")</f>
        <v/>
      </c>
      <c r="R111" s="40"/>
      <c r="S111" s="40"/>
      <c r="T111" s="40"/>
      <c r="U111" s="40"/>
      <c r="V111" s="40"/>
      <c r="W111" s="40"/>
      <c r="X111" s="41" t="str">
        <f>_xlfn.LET(
    _xlpm.MacVal, _xlfn.XLOOKUP($A111, Output_Mac!$A:$A, Output_Mac!AB:AB, ""),
    _xlpm.MyAuditVal, _xlfn.XLOOKUP($A111, My_Audit!$A:$A, My_Audit!N:N, ""),
    _xlfn.TEXTJOIN(", ", TRUE, _xlpm.MyAuditVal, _xlpm.MacVal)
)</f>
        <v/>
      </c>
    </row>
    <row r="112" spans="1:24">
      <c r="A112" s="40" t="str">
        <f>_xlfn.TEXTJOIN("",TRUE,Input!$B$2,ROW(My_Audit!A111))</f>
        <v>X111</v>
      </c>
      <c r="B112" s="40" t="str">
        <f>_xlfn.TEXTJOIN("-",TRUE,"ITD",Input!$A$2,A112)</f>
        <v>ITD-X111</v>
      </c>
      <c r="C112" s="40" t="str" cm="1">
        <f t="array" ref="C112">IFERROR(_xlfn.LET(
_xlpm.CSVVal,_xlfn.XLOOKUP($A112,CSV!$A:$A,CSV!B:B,""),
_xlpm.MacVal,_xlfn.XLOOKUP($A112,Output_Mac!$A:$A,Output_Mac!B:B,""),
_xlpm.MyAuditVal,_xlfn.XLOOKUP($A112,My_Audit!$A:$A,My_Audit!B:B,""),
_xlfn.IFS(_xlpm.MyAuditVal&lt;&gt;"",UPPER(_xlpm.MyAuditVal),_xlpm.MacVal&lt;&gt;"",_xlpm.MacVal,_xlpm.CSVVal&lt;&gt;"",_xlpm.CSVVal
)),"")</f>
        <v/>
      </c>
      <c r="D112" s="40" t="str" cm="1">
        <f t="array" ref="D112">IFERROR(_xlfn.LET(
_xlpm.CSVVal,_xlfn.XLOOKUP($A112,CSV!$A:$A,CSV!D:D,""),
_xlpm.MacVal,_xlfn.XLOOKUP($A112,Output_Mac!$A:$A,Output_Mac!C:C,""),
_xlpm.MyAuditVal,_xlfn.XLOOKUP($A112,My_Audit!$A:$A,My_Audit!C:C,""),
_xlfn.IFS(_xlpm.MyAuditVal&lt;&gt;"",_xlpm.MyAuditVal,_xlpm.MacVal&lt;&gt;"",_xlpm.MacVal,_xlpm.CSVVal&lt;&gt;"",_xlpm.CSVVal
)),"")</f>
        <v/>
      </c>
      <c r="E112" s="40">
        <f>_xlfn.XLOOKUP(A112,My_Audit!A:A,My_Audit!D:D,"")</f>
        <v>0</v>
      </c>
      <c r="F112" s="40" t="str" cm="1">
        <f t="array" ref="F112">IFERROR(_xlfn.LET(
_xlpm.CSVVal,_xlfn.XLOOKUP($A112,CSV!$A:$A,CSV!F:F,""),
_xlpm.MacVal,_xlfn.XLOOKUP($A112,Output_Mac!$A:$A,Output_Mac!E:E,""),
_xlpm.MyAuditVal,_xlfn.XLOOKUP($A112,My_Audit!$A:$A,My_Audit!E:E,""),
_xlfn.IFS(_xlpm.MyAuditVal&lt;&gt;"",_xlpm.MyAuditVal,_xlpm.MacVal&lt;&gt;"",_xlpm.MacVal,_xlpm.CSVVal&lt;&gt;"",_xlpm.CSVVal
)),"")</f>
        <v/>
      </c>
      <c r="G112" s="40" t="str" cm="1">
        <f t="array" ref="G112">IFERROR(_xlfn.LET(
_xlpm.CSVVal,_xlfn.XLOOKUP($A112,CSV!$A:$A,CSV!G:G,""),
_xlpm.MacVal,_xlfn.XLOOKUP($A112,Output_Mac!$A:$A,Output_Mac!F:F,""),
_xlpm.MyAuditVal,_xlfn.XLOOKUP($A112,My_Audit!$A:$A,My_Audit!F:F,""),
_xlfn.IFS(_xlpm.MyAuditVal&lt;&gt;"",_xlpm.MyAuditVal,_xlpm.MacVal&lt;&gt;"",_xlpm.MacVal,_xlpm.CSVVal&lt;&gt;"",PROPER(_xlpm.CSVVal)
)),"")</f>
        <v/>
      </c>
      <c r="H112" s="40" t="str" cm="1">
        <f t="array" ref="H112">IFERROR(_xlfn.LET(
_xlpm.CSVVal,_xlfn.XLOOKUP($A112,CSV!$A:$A,CSV!H:H,""),
_xlpm.MacVal,_xlfn.XLOOKUP($A112,Output_Mac!$A:$A,Output_Mac!H:H,""),
_xlpm.MyAuditVal,_xlfn.XLOOKUP($A112,My_Audit!$A:$A,My_Audit!G:G,""),
_xlfn.IFS(_xlpm.MyAuditVal&lt;&gt;"",_xlpm.MyAuditVal,_xlpm.MacVal&lt;&gt;"",_xlpm.MacVal,_xlpm.CSVVal&lt;&gt;"",_xlpm.CSVVal
)),"")</f>
        <v/>
      </c>
      <c r="I112" s="40" t="str">
        <f>_xlfn.XLOOKUP(A112,Output_Mac!A:A,Output_Mac!I:I,"")</f>
        <v/>
      </c>
      <c r="J112" s="40" t="str" cm="1">
        <f t="array" ref="J112">IFERROR(_xlfn.LET(
_xlpm.CSVVal,_xlfn.XLOOKUP($A112,CSV!$A:$A,CSV!I:I,""),
_xlpm.MacVal,_xlfn.XLOOKUP($A112,Output_Mac!$A:$A,Output_Mac!J:J,""),
_xlpm.MyAuditVal,_xlfn.XLOOKUP($A112,My_Audit!$A:$A,My_Audit!I:I,""),
_xlfn.IFS(_xlpm.MyAuditVal&lt;&gt;"",UPPER(_xlpm.MyAuditVal),_xlpm.MacVal&lt;&gt;"",_xlpm.MacVal,_xlpm.CSVVal&lt;&gt;"",_xlpm.CSVVal
)),"")</f>
        <v/>
      </c>
      <c r="K112" s="40" t="str" cm="1">
        <f t="array" ref="K112">IFERROR(_xlfn.LET(
_xlpm.CSVVal,_xlfn.XLOOKUP($A112,CSV!$A:$A,CSV!K:K,""),
_xlpm.MacVal,_xlfn.XLOOKUP($A112,Output_Mac!$A:$A,Output_Mac!K:K,""),
_xlpm.MyAuditVal,_xlfn.XLOOKUP($A112,My_Audit!$A:$A,My_Audit!J:J,""),
_xlfn.IFS(_xlpm.MyAuditVal&lt;&gt;"",UPPER(_xlpm.MyAuditVal),_xlpm.MacVal&lt;&gt;"",_xlpm.MacVal,_xlpm.CSVVal&lt;&gt;"",_xlpm.CSVVal
)),"")</f>
        <v/>
      </c>
      <c r="L112" s="40" t="str" cm="1">
        <f t="array" ref="L112">IFERROR(_xlfn.LET(
_xlpm.CSVVal,_xlfn.XLOOKUP($A112,CSV!$A:$A,CSV!P:P,""),
_xlpm.MacVal,_xlfn.XLOOKUP($A112,Output_Mac!$A:$A,Output_Mac!L:L,""),
_xlpm.MyAuditVal,_xlfn.XLOOKUP($A112,My_Audit!$A:$A,My_Audit!K:K,""),
_xlfn.IFS(_xlpm.MyAuditVal&lt;&gt;"",UPPER(_xlpm.MyAuditVal),_xlpm.MacVal&lt;&gt;"",_xlpm.MacVal,_xlpm.CSVVal&lt;&gt;"",_xlpm.CSVVal
)),"")</f>
        <v/>
      </c>
      <c r="M112" s="40" t="str" cm="1">
        <f t="array" ref="M112">IFERROR(_xlfn.LET(
_xlpm.CSVVal,_xlfn.XLOOKUP($A112,CSV!$A:$A,CSV!Q:Q,""),
_xlpm.MacVal,_xlfn.XLOOKUP($A112,Output_Mac!$A:$A,Output_Mac!M:M,""),
_xlpm.MyAuditVal,_xlfn.XLOOKUP($A112,My_Audit!$A:$A,My_Audit!L:L,""),
_xlfn.IFS(_xlpm.MyAuditVal&lt;&gt;"",UPPER(_xlpm.MyAuditVal),_xlpm.MacVal&lt;&gt;"",_xlpm.MacVal,_xlpm.CSVVal&lt;&gt;"",_xlpm.CSVVal
)),"")</f>
        <v/>
      </c>
      <c r="N112" s="40"/>
      <c r="O112" s="40" t="str">
        <f>_xlfn.LET(
    _xlpm.CSVVal, _xlfn.XLOOKUP($A112, CSV!$A:$A, CSV!AA:AA, ""),
    _xlpm.MacVal, _xlfn.XLOOKUP($A112, Output_Mac!$A:$A, Output_Mac!S:S, ""),
    _xlpm.MyAuditVal, _xlfn.XLOOKUP($A112, My_Audit!$A:$A, My_Audit!P:P, ""),
    _xlfn.TEXTJOIN(", ", TRUE, _xlpm.MyAuditVal, _xlpm.MacVal, _xlpm.CSVVal)
)</f>
        <v/>
      </c>
      <c r="P112" s="40" t="str" cm="1">
        <f t="array" ref="P112">IFERROR(_xlfn.LET(
_xlpm.CSVVal,_xlfn.XLOOKUP($A112,CSV!$A:$A,CSV!AB:AB,""),
_xlpm.MacVal,_xlfn.XLOOKUP($A112,Output_Mac!$A:$A,Output_Mac!T:T,""),
_xlpm.MyAuditVal,_xlfn.XLOOKUP($A112,My_Audit!$A:$A,My_Audit!Q:Q,""),
_xlfn.IFS(_xlpm.MyAuditVal&lt;&gt;"",UPPER(_xlpm.MyAuditVal),_xlpm.MacVal&lt;&gt;"",_xlpm.MacVal,_xlpm.CSVVal&lt;&gt;"",_xlpm.CSVVal
)),"No")</f>
        <v>No</v>
      </c>
      <c r="Q112" s="40" t="str" cm="1">
        <f t="array" ref="Q112">IFERROR(_xlfn.LET(
_xlpm.CSVVal,_xlfn.XLOOKUP($A112,CSV!$A:$A,CSV!AC:AC,""),
_xlpm.MacVal,_xlfn.XLOOKUP($A112,Output_Mac!$A:$A,Output_Mac!U:U,""),
_xlpm.MyAuditVal,_xlfn.XLOOKUP($A112,My_Audit!$A:$A,My_Audit!R:R,""),
_xlfn.IFS(_xlpm.MyAuditVal&lt;&gt;"",UPPER(_xlpm.MyAuditVal),_xlpm.MacVal&lt;&gt;"",_xlpm.MacVal,_xlpm.CSVVal&lt;&gt;"",_xlpm.CSVVal
)),"")</f>
        <v/>
      </c>
      <c r="R112" s="40"/>
      <c r="S112" s="40"/>
      <c r="T112" s="40"/>
      <c r="U112" s="40"/>
      <c r="V112" s="40"/>
      <c r="W112" s="40"/>
      <c r="X112" s="41" t="str">
        <f>_xlfn.LET(
    _xlpm.MacVal, _xlfn.XLOOKUP($A112, Output_Mac!$A:$A, Output_Mac!AB:AB, ""),
    _xlpm.MyAuditVal, _xlfn.XLOOKUP($A112, My_Audit!$A:$A, My_Audit!N:N, ""),
    _xlfn.TEXTJOIN(", ", TRUE, _xlpm.MyAuditVal, _xlpm.MacVal)
)</f>
        <v/>
      </c>
    </row>
    <row r="113" spans="1:24">
      <c r="A113" s="40" t="str">
        <f>_xlfn.TEXTJOIN("",TRUE,Input!$B$2,ROW(My_Audit!A112))</f>
        <v>X112</v>
      </c>
      <c r="B113" s="40" t="str">
        <f>_xlfn.TEXTJOIN("-",TRUE,"ITD",Input!$A$2,A113)</f>
        <v>ITD-X112</v>
      </c>
      <c r="C113" s="40" t="str" cm="1">
        <f t="array" ref="C113">IFERROR(_xlfn.LET(
_xlpm.CSVVal,_xlfn.XLOOKUP($A113,CSV!$A:$A,CSV!B:B,""),
_xlpm.MacVal,_xlfn.XLOOKUP($A113,Output_Mac!$A:$A,Output_Mac!B:B,""),
_xlpm.MyAuditVal,_xlfn.XLOOKUP($A113,My_Audit!$A:$A,My_Audit!B:B,""),
_xlfn.IFS(_xlpm.MyAuditVal&lt;&gt;"",UPPER(_xlpm.MyAuditVal),_xlpm.MacVal&lt;&gt;"",_xlpm.MacVal,_xlpm.CSVVal&lt;&gt;"",_xlpm.CSVVal
)),"")</f>
        <v/>
      </c>
      <c r="D113" s="40" t="str" cm="1">
        <f t="array" ref="D113">IFERROR(_xlfn.LET(
_xlpm.CSVVal,_xlfn.XLOOKUP($A113,CSV!$A:$A,CSV!D:D,""),
_xlpm.MacVal,_xlfn.XLOOKUP($A113,Output_Mac!$A:$A,Output_Mac!C:C,""),
_xlpm.MyAuditVal,_xlfn.XLOOKUP($A113,My_Audit!$A:$A,My_Audit!C:C,""),
_xlfn.IFS(_xlpm.MyAuditVal&lt;&gt;"",_xlpm.MyAuditVal,_xlpm.MacVal&lt;&gt;"",_xlpm.MacVal,_xlpm.CSVVal&lt;&gt;"",_xlpm.CSVVal
)),"")</f>
        <v/>
      </c>
      <c r="E113" s="40">
        <f>_xlfn.XLOOKUP(A113,My_Audit!A:A,My_Audit!D:D,"")</f>
        <v>0</v>
      </c>
      <c r="F113" s="40" t="str" cm="1">
        <f t="array" ref="F113">IFERROR(_xlfn.LET(
_xlpm.CSVVal,_xlfn.XLOOKUP($A113,CSV!$A:$A,CSV!F:F,""),
_xlpm.MacVal,_xlfn.XLOOKUP($A113,Output_Mac!$A:$A,Output_Mac!E:E,""),
_xlpm.MyAuditVal,_xlfn.XLOOKUP($A113,My_Audit!$A:$A,My_Audit!E:E,""),
_xlfn.IFS(_xlpm.MyAuditVal&lt;&gt;"",_xlpm.MyAuditVal,_xlpm.MacVal&lt;&gt;"",_xlpm.MacVal,_xlpm.CSVVal&lt;&gt;"",_xlpm.CSVVal
)),"")</f>
        <v/>
      </c>
      <c r="G113" s="40" t="str" cm="1">
        <f t="array" ref="G113">IFERROR(_xlfn.LET(
_xlpm.CSVVal,_xlfn.XLOOKUP($A113,CSV!$A:$A,CSV!G:G,""),
_xlpm.MacVal,_xlfn.XLOOKUP($A113,Output_Mac!$A:$A,Output_Mac!F:F,""),
_xlpm.MyAuditVal,_xlfn.XLOOKUP($A113,My_Audit!$A:$A,My_Audit!F:F,""),
_xlfn.IFS(_xlpm.MyAuditVal&lt;&gt;"",_xlpm.MyAuditVal,_xlpm.MacVal&lt;&gt;"",_xlpm.MacVal,_xlpm.CSVVal&lt;&gt;"",PROPER(_xlpm.CSVVal)
)),"")</f>
        <v/>
      </c>
      <c r="H113" s="40" t="str" cm="1">
        <f t="array" ref="H113">IFERROR(_xlfn.LET(
_xlpm.CSVVal,_xlfn.XLOOKUP($A113,CSV!$A:$A,CSV!H:H,""),
_xlpm.MacVal,_xlfn.XLOOKUP($A113,Output_Mac!$A:$A,Output_Mac!H:H,""),
_xlpm.MyAuditVal,_xlfn.XLOOKUP($A113,My_Audit!$A:$A,My_Audit!G:G,""),
_xlfn.IFS(_xlpm.MyAuditVal&lt;&gt;"",_xlpm.MyAuditVal,_xlpm.MacVal&lt;&gt;"",_xlpm.MacVal,_xlpm.CSVVal&lt;&gt;"",_xlpm.CSVVal
)),"")</f>
        <v/>
      </c>
      <c r="I113" s="40" t="str">
        <f>_xlfn.XLOOKUP(A113,Output_Mac!A:A,Output_Mac!I:I,"")</f>
        <v/>
      </c>
      <c r="J113" s="40" t="str" cm="1">
        <f t="array" ref="J113">IFERROR(_xlfn.LET(
_xlpm.CSVVal,_xlfn.XLOOKUP($A113,CSV!$A:$A,CSV!I:I,""),
_xlpm.MacVal,_xlfn.XLOOKUP($A113,Output_Mac!$A:$A,Output_Mac!J:J,""),
_xlpm.MyAuditVal,_xlfn.XLOOKUP($A113,My_Audit!$A:$A,My_Audit!I:I,""),
_xlfn.IFS(_xlpm.MyAuditVal&lt;&gt;"",UPPER(_xlpm.MyAuditVal),_xlpm.MacVal&lt;&gt;"",_xlpm.MacVal,_xlpm.CSVVal&lt;&gt;"",_xlpm.CSVVal
)),"")</f>
        <v/>
      </c>
      <c r="K113" s="40" t="str" cm="1">
        <f t="array" ref="K113">IFERROR(_xlfn.LET(
_xlpm.CSVVal,_xlfn.XLOOKUP($A113,CSV!$A:$A,CSV!K:K,""),
_xlpm.MacVal,_xlfn.XLOOKUP($A113,Output_Mac!$A:$A,Output_Mac!K:K,""),
_xlpm.MyAuditVal,_xlfn.XLOOKUP($A113,My_Audit!$A:$A,My_Audit!J:J,""),
_xlfn.IFS(_xlpm.MyAuditVal&lt;&gt;"",UPPER(_xlpm.MyAuditVal),_xlpm.MacVal&lt;&gt;"",_xlpm.MacVal,_xlpm.CSVVal&lt;&gt;"",_xlpm.CSVVal
)),"")</f>
        <v/>
      </c>
      <c r="L113" s="40" t="str" cm="1">
        <f t="array" ref="L113">IFERROR(_xlfn.LET(
_xlpm.CSVVal,_xlfn.XLOOKUP($A113,CSV!$A:$A,CSV!P:P,""),
_xlpm.MacVal,_xlfn.XLOOKUP($A113,Output_Mac!$A:$A,Output_Mac!L:L,""),
_xlpm.MyAuditVal,_xlfn.XLOOKUP($A113,My_Audit!$A:$A,My_Audit!K:K,""),
_xlfn.IFS(_xlpm.MyAuditVal&lt;&gt;"",UPPER(_xlpm.MyAuditVal),_xlpm.MacVal&lt;&gt;"",_xlpm.MacVal,_xlpm.CSVVal&lt;&gt;"",_xlpm.CSVVal
)),"")</f>
        <v/>
      </c>
      <c r="M113" s="40" t="str" cm="1">
        <f t="array" ref="M113">IFERROR(_xlfn.LET(
_xlpm.CSVVal,_xlfn.XLOOKUP($A113,CSV!$A:$A,CSV!Q:Q,""),
_xlpm.MacVal,_xlfn.XLOOKUP($A113,Output_Mac!$A:$A,Output_Mac!M:M,""),
_xlpm.MyAuditVal,_xlfn.XLOOKUP($A113,My_Audit!$A:$A,My_Audit!L:L,""),
_xlfn.IFS(_xlpm.MyAuditVal&lt;&gt;"",UPPER(_xlpm.MyAuditVal),_xlpm.MacVal&lt;&gt;"",_xlpm.MacVal,_xlpm.CSVVal&lt;&gt;"",_xlpm.CSVVal
)),"")</f>
        <v/>
      </c>
      <c r="N113" s="40"/>
      <c r="O113" s="40" t="str">
        <f>_xlfn.LET(
    _xlpm.CSVVal, _xlfn.XLOOKUP($A113, CSV!$A:$A, CSV!AA:AA, ""),
    _xlpm.MacVal, _xlfn.XLOOKUP($A113, Output_Mac!$A:$A, Output_Mac!S:S, ""),
    _xlpm.MyAuditVal, _xlfn.XLOOKUP($A113, My_Audit!$A:$A, My_Audit!P:P, ""),
    _xlfn.TEXTJOIN(", ", TRUE, _xlpm.MyAuditVal, _xlpm.MacVal, _xlpm.CSVVal)
)</f>
        <v/>
      </c>
      <c r="P113" s="40" t="str" cm="1">
        <f t="array" ref="P113">IFERROR(_xlfn.LET(
_xlpm.CSVVal,_xlfn.XLOOKUP($A113,CSV!$A:$A,CSV!AB:AB,""),
_xlpm.MacVal,_xlfn.XLOOKUP($A113,Output_Mac!$A:$A,Output_Mac!T:T,""),
_xlpm.MyAuditVal,_xlfn.XLOOKUP($A113,My_Audit!$A:$A,My_Audit!Q:Q,""),
_xlfn.IFS(_xlpm.MyAuditVal&lt;&gt;"",UPPER(_xlpm.MyAuditVal),_xlpm.MacVal&lt;&gt;"",_xlpm.MacVal,_xlpm.CSVVal&lt;&gt;"",_xlpm.CSVVal
)),"No")</f>
        <v>No</v>
      </c>
      <c r="Q113" s="40" t="str" cm="1">
        <f t="array" ref="Q113">IFERROR(_xlfn.LET(
_xlpm.CSVVal,_xlfn.XLOOKUP($A113,CSV!$A:$A,CSV!AC:AC,""),
_xlpm.MacVal,_xlfn.XLOOKUP($A113,Output_Mac!$A:$A,Output_Mac!U:U,""),
_xlpm.MyAuditVal,_xlfn.XLOOKUP($A113,My_Audit!$A:$A,My_Audit!R:R,""),
_xlfn.IFS(_xlpm.MyAuditVal&lt;&gt;"",UPPER(_xlpm.MyAuditVal),_xlpm.MacVal&lt;&gt;"",_xlpm.MacVal,_xlpm.CSVVal&lt;&gt;"",_xlpm.CSVVal
)),"")</f>
        <v/>
      </c>
      <c r="R113" s="40"/>
      <c r="S113" s="40"/>
      <c r="T113" s="40"/>
      <c r="U113" s="40"/>
      <c r="V113" s="40"/>
      <c r="W113" s="40"/>
      <c r="X113" s="41" t="str">
        <f>_xlfn.LET(
    _xlpm.MacVal, _xlfn.XLOOKUP($A113, Output_Mac!$A:$A, Output_Mac!AB:AB, ""),
    _xlpm.MyAuditVal, _xlfn.XLOOKUP($A113, My_Audit!$A:$A, My_Audit!N:N, ""),
    _xlfn.TEXTJOIN(", ", TRUE, _xlpm.MyAuditVal, _xlpm.MacVal)
)</f>
        <v/>
      </c>
    </row>
    <row r="114" spans="1:24">
      <c r="A114" s="40" t="str">
        <f>_xlfn.TEXTJOIN("",TRUE,Input!$B$2,ROW(My_Audit!A113))</f>
        <v>X113</v>
      </c>
      <c r="B114" s="40" t="str">
        <f>_xlfn.TEXTJOIN("-",TRUE,"ITD",Input!$A$2,A114)</f>
        <v>ITD-X113</v>
      </c>
      <c r="C114" s="40" t="str" cm="1">
        <f t="array" ref="C114">IFERROR(_xlfn.LET(
_xlpm.CSVVal,_xlfn.XLOOKUP($A114,CSV!$A:$A,CSV!B:B,""),
_xlpm.MacVal,_xlfn.XLOOKUP($A114,Output_Mac!$A:$A,Output_Mac!B:B,""),
_xlpm.MyAuditVal,_xlfn.XLOOKUP($A114,My_Audit!$A:$A,My_Audit!B:B,""),
_xlfn.IFS(_xlpm.MyAuditVal&lt;&gt;"",UPPER(_xlpm.MyAuditVal),_xlpm.MacVal&lt;&gt;"",_xlpm.MacVal,_xlpm.CSVVal&lt;&gt;"",_xlpm.CSVVal
)),"")</f>
        <v/>
      </c>
      <c r="D114" s="40" t="str" cm="1">
        <f t="array" ref="D114">IFERROR(_xlfn.LET(
_xlpm.CSVVal,_xlfn.XLOOKUP($A114,CSV!$A:$A,CSV!D:D,""),
_xlpm.MacVal,_xlfn.XLOOKUP($A114,Output_Mac!$A:$A,Output_Mac!C:C,""),
_xlpm.MyAuditVal,_xlfn.XLOOKUP($A114,My_Audit!$A:$A,My_Audit!C:C,""),
_xlfn.IFS(_xlpm.MyAuditVal&lt;&gt;"",_xlpm.MyAuditVal,_xlpm.MacVal&lt;&gt;"",_xlpm.MacVal,_xlpm.CSVVal&lt;&gt;"",_xlpm.CSVVal
)),"")</f>
        <v/>
      </c>
      <c r="E114" s="40">
        <f>_xlfn.XLOOKUP(A114,My_Audit!A:A,My_Audit!D:D,"")</f>
        <v>0</v>
      </c>
      <c r="F114" s="40" t="str" cm="1">
        <f t="array" ref="F114">IFERROR(_xlfn.LET(
_xlpm.CSVVal,_xlfn.XLOOKUP($A114,CSV!$A:$A,CSV!F:F,""),
_xlpm.MacVal,_xlfn.XLOOKUP($A114,Output_Mac!$A:$A,Output_Mac!E:E,""),
_xlpm.MyAuditVal,_xlfn.XLOOKUP($A114,My_Audit!$A:$A,My_Audit!E:E,""),
_xlfn.IFS(_xlpm.MyAuditVal&lt;&gt;"",_xlpm.MyAuditVal,_xlpm.MacVal&lt;&gt;"",_xlpm.MacVal,_xlpm.CSVVal&lt;&gt;"",_xlpm.CSVVal
)),"")</f>
        <v/>
      </c>
      <c r="G114" s="40" t="str" cm="1">
        <f t="array" ref="G114">IFERROR(_xlfn.LET(
_xlpm.CSVVal,_xlfn.XLOOKUP($A114,CSV!$A:$A,CSV!G:G,""),
_xlpm.MacVal,_xlfn.XLOOKUP($A114,Output_Mac!$A:$A,Output_Mac!F:F,""),
_xlpm.MyAuditVal,_xlfn.XLOOKUP($A114,My_Audit!$A:$A,My_Audit!F:F,""),
_xlfn.IFS(_xlpm.MyAuditVal&lt;&gt;"",_xlpm.MyAuditVal,_xlpm.MacVal&lt;&gt;"",_xlpm.MacVal,_xlpm.CSVVal&lt;&gt;"",PROPER(_xlpm.CSVVal)
)),"")</f>
        <v/>
      </c>
      <c r="H114" s="40" t="str" cm="1">
        <f t="array" ref="H114">IFERROR(_xlfn.LET(
_xlpm.CSVVal,_xlfn.XLOOKUP($A114,CSV!$A:$A,CSV!H:H,""),
_xlpm.MacVal,_xlfn.XLOOKUP($A114,Output_Mac!$A:$A,Output_Mac!H:H,""),
_xlpm.MyAuditVal,_xlfn.XLOOKUP($A114,My_Audit!$A:$A,My_Audit!G:G,""),
_xlfn.IFS(_xlpm.MyAuditVal&lt;&gt;"",_xlpm.MyAuditVal,_xlpm.MacVal&lt;&gt;"",_xlpm.MacVal,_xlpm.CSVVal&lt;&gt;"",_xlpm.CSVVal
)),"")</f>
        <v/>
      </c>
      <c r="I114" s="40" t="str">
        <f>_xlfn.XLOOKUP(A114,Output_Mac!A:A,Output_Mac!I:I,"")</f>
        <v/>
      </c>
      <c r="J114" s="40" t="str" cm="1">
        <f t="array" ref="J114">IFERROR(_xlfn.LET(
_xlpm.CSVVal,_xlfn.XLOOKUP($A114,CSV!$A:$A,CSV!I:I,""),
_xlpm.MacVal,_xlfn.XLOOKUP($A114,Output_Mac!$A:$A,Output_Mac!J:J,""),
_xlpm.MyAuditVal,_xlfn.XLOOKUP($A114,My_Audit!$A:$A,My_Audit!I:I,""),
_xlfn.IFS(_xlpm.MyAuditVal&lt;&gt;"",UPPER(_xlpm.MyAuditVal),_xlpm.MacVal&lt;&gt;"",_xlpm.MacVal,_xlpm.CSVVal&lt;&gt;"",_xlpm.CSVVal
)),"")</f>
        <v/>
      </c>
      <c r="K114" s="40" t="str" cm="1">
        <f t="array" ref="K114">IFERROR(_xlfn.LET(
_xlpm.CSVVal,_xlfn.XLOOKUP($A114,CSV!$A:$A,CSV!K:K,""),
_xlpm.MacVal,_xlfn.XLOOKUP($A114,Output_Mac!$A:$A,Output_Mac!K:K,""),
_xlpm.MyAuditVal,_xlfn.XLOOKUP($A114,My_Audit!$A:$A,My_Audit!J:J,""),
_xlfn.IFS(_xlpm.MyAuditVal&lt;&gt;"",UPPER(_xlpm.MyAuditVal),_xlpm.MacVal&lt;&gt;"",_xlpm.MacVal,_xlpm.CSVVal&lt;&gt;"",_xlpm.CSVVal
)),"")</f>
        <v/>
      </c>
      <c r="L114" s="40" t="str" cm="1">
        <f t="array" ref="L114">IFERROR(_xlfn.LET(
_xlpm.CSVVal,_xlfn.XLOOKUP($A114,CSV!$A:$A,CSV!P:P,""),
_xlpm.MacVal,_xlfn.XLOOKUP($A114,Output_Mac!$A:$A,Output_Mac!L:L,""),
_xlpm.MyAuditVal,_xlfn.XLOOKUP($A114,My_Audit!$A:$A,My_Audit!K:K,""),
_xlfn.IFS(_xlpm.MyAuditVal&lt;&gt;"",UPPER(_xlpm.MyAuditVal),_xlpm.MacVal&lt;&gt;"",_xlpm.MacVal,_xlpm.CSVVal&lt;&gt;"",_xlpm.CSVVal
)),"")</f>
        <v/>
      </c>
      <c r="M114" s="40" t="str" cm="1">
        <f t="array" ref="M114">IFERROR(_xlfn.LET(
_xlpm.CSVVal,_xlfn.XLOOKUP($A114,CSV!$A:$A,CSV!Q:Q,""),
_xlpm.MacVal,_xlfn.XLOOKUP($A114,Output_Mac!$A:$A,Output_Mac!M:M,""),
_xlpm.MyAuditVal,_xlfn.XLOOKUP($A114,My_Audit!$A:$A,My_Audit!L:L,""),
_xlfn.IFS(_xlpm.MyAuditVal&lt;&gt;"",UPPER(_xlpm.MyAuditVal),_xlpm.MacVal&lt;&gt;"",_xlpm.MacVal,_xlpm.CSVVal&lt;&gt;"",_xlpm.CSVVal
)),"")</f>
        <v/>
      </c>
      <c r="N114" s="40"/>
      <c r="O114" s="40" t="str">
        <f>_xlfn.LET(
    _xlpm.CSVVal, _xlfn.XLOOKUP($A114, CSV!$A:$A, CSV!AA:AA, ""),
    _xlpm.MacVal, _xlfn.XLOOKUP($A114, Output_Mac!$A:$A, Output_Mac!S:S, ""),
    _xlpm.MyAuditVal, _xlfn.XLOOKUP($A114, My_Audit!$A:$A, My_Audit!P:P, ""),
    _xlfn.TEXTJOIN(", ", TRUE, _xlpm.MyAuditVal, _xlpm.MacVal, _xlpm.CSVVal)
)</f>
        <v/>
      </c>
      <c r="P114" s="40" t="str" cm="1">
        <f t="array" ref="P114">IFERROR(_xlfn.LET(
_xlpm.CSVVal,_xlfn.XLOOKUP($A114,CSV!$A:$A,CSV!AB:AB,""),
_xlpm.MacVal,_xlfn.XLOOKUP($A114,Output_Mac!$A:$A,Output_Mac!T:T,""),
_xlpm.MyAuditVal,_xlfn.XLOOKUP($A114,My_Audit!$A:$A,My_Audit!Q:Q,""),
_xlfn.IFS(_xlpm.MyAuditVal&lt;&gt;"",UPPER(_xlpm.MyAuditVal),_xlpm.MacVal&lt;&gt;"",_xlpm.MacVal,_xlpm.CSVVal&lt;&gt;"",_xlpm.CSVVal
)),"No")</f>
        <v>No</v>
      </c>
      <c r="Q114" s="40" t="str" cm="1">
        <f t="array" ref="Q114">IFERROR(_xlfn.LET(
_xlpm.CSVVal,_xlfn.XLOOKUP($A114,CSV!$A:$A,CSV!AC:AC,""),
_xlpm.MacVal,_xlfn.XLOOKUP($A114,Output_Mac!$A:$A,Output_Mac!U:U,""),
_xlpm.MyAuditVal,_xlfn.XLOOKUP($A114,My_Audit!$A:$A,My_Audit!R:R,""),
_xlfn.IFS(_xlpm.MyAuditVal&lt;&gt;"",UPPER(_xlpm.MyAuditVal),_xlpm.MacVal&lt;&gt;"",_xlpm.MacVal,_xlpm.CSVVal&lt;&gt;"",_xlpm.CSVVal
)),"")</f>
        <v/>
      </c>
      <c r="R114" s="40"/>
      <c r="S114" s="40"/>
      <c r="T114" s="40"/>
      <c r="U114" s="40"/>
      <c r="V114" s="40"/>
      <c r="W114" s="40"/>
      <c r="X114" s="41" t="str">
        <f>_xlfn.LET(
    _xlpm.MacVal, _xlfn.XLOOKUP($A114, Output_Mac!$A:$A, Output_Mac!AB:AB, ""),
    _xlpm.MyAuditVal, _xlfn.XLOOKUP($A114, My_Audit!$A:$A, My_Audit!N:N, ""),
    _xlfn.TEXTJOIN(", ", TRUE, _xlpm.MyAuditVal, _xlpm.MacVal)
)</f>
        <v/>
      </c>
    </row>
    <row r="115" spans="1:24">
      <c r="A115" s="40" t="str">
        <f>_xlfn.TEXTJOIN("",TRUE,Input!$B$2,ROW(My_Audit!A114))</f>
        <v>X114</v>
      </c>
      <c r="B115" s="40" t="str">
        <f>_xlfn.TEXTJOIN("-",TRUE,"ITD",Input!$A$2,A115)</f>
        <v>ITD-X114</v>
      </c>
      <c r="C115" s="40" t="str" cm="1">
        <f t="array" ref="C115">IFERROR(_xlfn.LET(
_xlpm.CSVVal,_xlfn.XLOOKUP($A115,CSV!$A:$A,CSV!B:B,""),
_xlpm.MacVal,_xlfn.XLOOKUP($A115,Output_Mac!$A:$A,Output_Mac!B:B,""),
_xlpm.MyAuditVal,_xlfn.XLOOKUP($A115,My_Audit!$A:$A,My_Audit!B:B,""),
_xlfn.IFS(_xlpm.MyAuditVal&lt;&gt;"",UPPER(_xlpm.MyAuditVal),_xlpm.MacVal&lt;&gt;"",_xlpm.MacVal,_xlpm.CSVVal&lt;&gt;"",_xlpm.CSVVal
)),"")</f>
        <v/>
      </c>
      <c r="D115" s="40" t="str" cm="1">
        <f t="array" ref="D115">IFERROR(_xlfn.LET(
_xlpm.CSVVal,_xlfn.XLOOKUP($A115,CSV!$A:$A,CSV!D:D,""),
_xlpm.MacVal,_xlfn.XLOOKUP($A115,Output_Mac!$A:$A,Output_Mac!C:C,""),
_xlpm.MyAuditVal,_xlfn.XLOOKUP($A115,My_Audit!$A:$A,My_Audit!C:C,""),
_xlfn.IFS(_xlpm.MyAuditVal&lt;&gt;"",_xlpm.MyAuditVal,_xlpm.MacVal&lt;&gt;"",_xlpm.MacVal,_xlpm.CSVVal&lt;&gt;"",_xlpm.CSVVal
)),"")</f>
        <v/>
      </c>
      <c r="E115" s="40">
        <f>_xlfn.XLOOKUP(A115,My_Audit!A:A,My_Audit!D:D,"")</f>
        <v>0</v>
      </c>
      <c r="F115" s="40" t="str" cm="1">
        <f t="array" ref="F115">IFERROR(_xlfn.LET(
_xlpm.CSVVal,_xlfn.XLOOKUP($A115,CSV!$A:$A,CSV!F:F,""),
_xlpm.MacVal,_xlfn.XLOOKUP($A115,Output_Mac!$A:$A,Output_Mac!E:E,""),
_xlpm.MyAuditVal,_xlfn.XLOOKUP($A115,My_Audit!$A:$A,My_Audit!E:E,""),
_xlfn.IFS(_xlpm.MyAuditVal&lt;&gt;"",_xlpm.MyAuditVal,_xlpm.MacVal&lt;&gt;"",_xlpm.MacVal,_xlpm.CSVVal&lt;&gt;"",_xlpm.CSVVal
)),"")</f>
        <v/>
      </c>
      <c r="G115" s="40" t="str" cm="1">
        <f t="array" ref="G115">IFERROR(_xlfn.LET(
_xlpm.CSVVal,_xlfn.XLOOKUP($A115,CSV!$A:$A,CSV!G:G,""),
_xlpm.MacVal,_xlfn.XLOOKUP($A115,Output_Mac!$A:$A,Output_Mac!F:F,""),
_xlpm.MyAuditVal,_xlfn.XLOOKUP($A115,My_Audit!$A:$A,My_Audit!F:F,""),
_xlfn.IFS(_xlpm.MyAuditVal&lt;&gt;"",_xlpm.MyAuditVal,_xlpm.MacVal&lt;&gt;"",_xlpm.MacVal,_xlpm.CSVVal&lt;&gt;"",PROPER(_xlpm.CSVVal)
)),"")</f>
        <v/>
      </c>
      <c r="H115" s="40" t="str" cm="1">
        <f t="array" ref="H115">IFERROR(_xlfn.LET(
_xlpm.CSVVal,_xlfn.XLOOKUP($A115,CSV!$A:$A,CSV!H:H,""),
_xlpm.MacVal,_xlfn.XLOOKUP($A115,Output_Mac!$A:$A,Output_Mac!H:H,""),
_xlpm.MyAuditVal,_xlfn.XLOOKUP($A115,My_Audit!$A:$A,My_Audit!G:G,""),
_xlfn.IFS(_xlpm.MyAuditVal&lt;&gt;"",_xlpm.MyAuditVal,_xlpm.MacVal&lt;&gt;"",_xlpm.MacVal,_xlpm.CSVVal&lt;&gt;"",_xlpm.CSVVal
)),"")</f>
        <v/>
      </c>
      <c r="I115" s="40" t="str">
        <f>_xlfn.XLOOKUP(A115,Output_Mac!A:A,Output_Mac!I:I,"")</f>
        <v/>
      </c>
      <c r="J115" s="40" t="str" cm="1">
        <f t="array" ref="J115">IFERROR(_xlfn.LET(
_xlpm.CSVVal,_xlfn.XLOOKUP($A115,CSV!$A:$A,CSV!I:I,""),
_xlpm.MacVal,_xlfn.XLOOKUP($A115,Output_Mac!$A:$A,Output_Mac!J:J,""),
_xlpm.MyAuditVal,_xlfn.XLOOKUP($A115,My_Audit!$A:$A,My_Audit!I:I,""),
_xlfn.IFS(_xlpm.MyAuditVal&lt;&gt;"",UPPER(_xlpm.MyAuditVal),_xlpm.MacVal&lt;&gt;"",_xlpm.MacVal,_xlpm.CSVVal&lt;&gt;"",_xlpm.CSVVal
)),"")</f>
        <v/>
      </c>
      <c r="K115" s="40" t="str" cm="1">
        <f t="array" ref="K115">IFERROR(_xlfn.LET(
_xlpm.CSVVal,_xlfn.XLOOKUP($A115,CSV!$A:$A,CSV!K:K,""),
_xlpm.MacVal,_xlfn.XLOOKUP($A115,Output_Mac!$A:$A,Output_Mac!K:K,""),
_xlpm.MyAuditVal,_xlfn.XLOOKUP($A115,My_Audit!$A:$A,My_Audit!J:J,""),
_xlfn.IFS(_xlpm.MyAuditVal&lt;&gt;"",UPPER(_xlpm.MyAuditVal),_xlpm.MacVal&lt;&gt;"",_xlpm.MacVal,_xlpm.CSVVal&lt;&gt;"",_xlpm.CSVVal
)),"")</f>
        <v/>
      </c>
      <c r="L115" s="40" t="str" cm="1">
        <f t="array" ref="L115">IFERROR(_xlfn.LET(
_xlpm.CSVVal,_xlfn.XLOOKUP($A115,CSV!$A:$A,CSV!P:P,""),
_xlpm.MacVal,_xlfn.XLOOKUP($A115,Output_Mac!$A:$A,Output_Mac!L:L,""),
_xlpm.MyAuditVal,_xlfn.XLOOKUP($A115,My_Audit!$A:$A,My_Audit!K:K,""),
_xlfn.IFS(_xlpm.MyAuditVal&lt;&gt;"",UPPER(_xlpm.MyAuditVal),_xlpm.MacVal&lt;&gt;"",_xlpm.MacVal,_xlpm.CSVVal&lt;&gt;"",_xlpm.CSVVal
)),"")</f>
        <v/>
      </c>
      <c r="M115" s="40" t="str" cm="1">
        <f t="array" ref="M115">IFERROR(_xlfn.LET(
_xlpm.CSVVal,_xlfn.XLOOKUP($A115,CSV!$A:$A,CSV!Q:Q,""),
_xlpm.MacVal,_xlfn.XLOOKUP($A115,Output_Mac!$A:$A,Output_Mac!M:M,""),
_xlpm.MyAuditVal,_xlfn.XLOOKUP($A115,My_Audit!$A:$A,My_Audit!L:L,""),
_xlfn.IFS(_xlpm.MyAuditVal&lt;&gt;"",UPPER(_xlpm.MyAuditVal),_xlpm.MacVal&lt;&gt;"",_xlpm.MacVal,_xlpm.CSVVal&lt;&gt;"",_xlpm.CSVVal
)),"")</f>
        <v/>
      </c>
      <c r="N115" s="40"/>
      <c r="O115" s="40" t="str">
        <f>_xlfn.LET(
    _xlpm.CSVVal, _xlfn.XLOOKUP($A115, CSV!$A:$A, CSV!AA:AA, ""),
    _xlpm.MacVal, _xlfn.XLOOKUP($A115, Output_Mac!$A:$A, Output_Mac!S:S, ""),
    _xlpm.MyAuditVal, _xlfn.XLOOKUP($A115, My_Audit!$A:$A, My_Audit!P:P, ""),
    _xlfn.TEXTJOIN(", ", TRUE, _xlpm.MyAuditVal, _xlpm.MacVal, _xlpm.CSVVal)
)</f>
        <v/>
      </c>
      <c r="P115" s="40" t="str" cm="1">
        <f t="array" ref="P115">IFERROR(_xlfn.LET(
_xlpm.CSVVal,_xlfn.XLOOKUP($A115,CSV!$A:$A,CSV!AB:AB,""),
_xlpm.MacVal,_xlfn.XLOOKUP($A115,Output_Mac!$A:$A,Output_Mac!T:T,""),
_xlpm.MyAuditVal,_xlfn.XLOOKUP($A115,My_Audit!$A:$A,My_Audit!Q:Q,""),
_xlfn.IFS(_xlpm.MyAuditVal&lt;&gt;"",UPPER(_xlpm.MyAuditVal),_xlpm.MacVal&lt;&gt;"",_xlpm.MacVal,_xlpm.CSVVal&lt;&gt;"",_xlpm.CSVVal
)),"No")</f>
        <v>No</v>
      </c>
      <c r="Q115" s="40" t="str" cm="1">
        <f t="array" ref="Q115">IFERROR(_xlfn.LET(
_xlpm.CSVVal,_xlfn.XLOOKUP($A115,CSV!$A:$A,CSV!AC:AC,""),
_xlpm.MacVal,_xlfn.XLOOKUP($A115,Output_Mac!$A:$A,Output_Mac!U:U,""),
_xlpm.MyAuditVal,_xlfn.XLOOKUP($A115,My_Audit!$A:$A,My_Audit!R:R,""),
_xlfn.IFS(_xlpm.MyAuditVal&lt;&gt;"",UPPER(_xlpm.MyAuditVal),_xlpm.MacVal&lt;&gt;"",_xlpm.MacVal,_xlpm.CSVVal&lt;&gt;"",_xlpm.CSVVal
)),"")</f>
        <v/>
      </c>
      <c r="R115" s="40"/>
      <c r="S115" s="40"/>
      <c r="T115" s="40"/>
      <c r="U115" s="40"/>
      <c r="V115" s="40"/>
      <c r="W115" s="40"/>
      <c r="X115" s="41" t="str">
        <f>_xlfn.LET(
    _xlpm.MacVal, _xlfn.XLOOKUP($A115, Output_Mac!$A:$A, Output_Mac!AB:AB, ""),
    _xlpm.MyAuditVal, _xlfn.XLOOKUP($A115, My_Audit!$A:$A, My_Audit!N:N, ""),
    _xlfn.TEXTJOIN(", ", TRUE, _xlpm.MyAuditVal, _xlpm.MacVal)
)</f>
        <v/>
      </c>
    </row>
    <row r="116" spans="1:24">
      <c r="A116" s="40" t="str">
        <f>_xlfn.TEXTJOIN("",TRUE,Input!$B$2,ROW(My_Audit!A115))</f>
        <v>X115</v>
      </c>
      <c r="B116" s="40" t="str">
        <f>_xlfn.TEXTJOIN("-",TRUE,"ITD",Input!$A$2,A116)</f>
        <v>ITD-X115</v>
      </c>
      <c r="C116" s="40" t="str" cm="1">
        <f t="array" ref="C116">IFERROR(_xlfn.LET(
_xlpm.CSVVal,_xlfn.XLOOKUP($A116,CSV!$A:$A,CSV!B:B,""),
_xlpm.MacVal,_xlfn.XLOOKUP($A116,Output_Mac!$A:$A,Output_Mac!B:B,""),
_xlpm.MyAuditVal,_xlfn.XLOOKUP($A116,My_Audit!$A:$A,My_Audit!B:B,""),
_xlfn.IFS(_xlpm.MyAuditVal&lt;&gt;"",UPPER(_xlpm.MyAuditVal),_xlpm.MacVal&lt;&gt;"",_xlpm.MacVal,_xlpm.CSVVal&lt;&gt;"",_xlpm.CSVVal
)),"")</f>
        <v/>
      </c>
      <c r="D116" s="40" t="str" cm="1">
        <f t="array" ref="D116">IFERROR(_xlfn.LET(
_xlpm.CSVVal,_xlfn.XLOOKUP($A116,CSV!$A:$A,CSV!D:D,""),
_xlpm.MacVal,_xlfn.XLOOKUP($A116,Output_Mac!$A:$A,Output_Mac!C:C,""),
_xlpm.MyAuditVal,_xlfn.XLOOKUP($A116,My_Audit!$A:$A,My_Audit!C:C,""),
_xlfn.IFS(_xlpm.MyAuditVal&lt;&gt;"",_xlpm.MyAuditVal,_xlpm.MacVal&lt;&gt;"",_xlpm.MacVal,_xlpm.CSVVal&lt;&gt;"",_xlpm.CSVVal
)),"")</f>
        <v/>
      </c>
      <c r="E116" s="40">
        <f>_xlfn.XLOOKUP(A116,My_Audit!A:A,My_Audit!D:D,"")</f>
        <v>0</v>
      </c>
      <c r="F116" s="40" t="str" cm="1">
        <f t="array" ref="F116">IFERROR(_xlfn.LET(
_xlpm.CSVVal,_xlfn.XLOOKUP($A116,CSV!$A:$A,CSV!F:F,""),
_xlpm.MacVal,_xlfn.XLOOKUP($A116,Output_Mac!$A:$A,Output_Mac!E:E,""),
_xlpm.MyAuditVal,_xlfn.XLOOKUP($A116,My_Audit!$A:$A,My_Audit!E:E,""),
_xlfn.IFS(_xlpm.MyAuditVal&lt;&gt;"",_xlpm.MyAuditVal,_xlpm.MacVal&lt;&gt;"",_xlpm.MacVal,_xlpm.CSVVal&lt;&gt;"",_xlpm.CSVVal
)),"")</f>
        <v/>
      </c>
      <c r="G116" s="40" t="str" cm="1">
        <f t="array" ref="G116">IFERROR(_xlfn.LET(
_xlpm.CSVVal,_xlfn.XLOOKUP($A116,CSV!$A:$A,CSV!G:G,""),
_xlpm.MacVal,_xlfn.XLOOKUP($A116,Output_Mac!$A:$A,Output_Mac!F:F,""),
_xlpm.MyAuditVal,_xlfn.XLOOKUP($A116,My_Audit!$A:$A,My_Audit!F:F,""),
_xlfn.IFS(_xlpm.MyAuditVal&lt;&gt;"",_xlpm.MyAuditVal,_xlpm.MacVal&lt;&gt;"",_xlpm.MacVal,_xlpm.CSVVal&lt;&gt;"",PROPER(_xlpm.CSVVal)
)),"")</f>
        <v/>
      </c>
      <c r="H116" s="40" t="str" cm="1">
        <f t="array" ref="H116">IFERROR(_xlfn.LET(
_xlpm.CSVVal,_xlfn.XLOOKUP($A116,CSV!$A:$A,CSV!H:H,""),
_xlpm.MacVal,_xlfn.XLOOKUP($A116,Output_Mac!$A:$A,Output_Mac!H:H,""),
_xlpm.MyAuditVal,_xlfn.XLOOKUP($A116,My_Audit!$A:$A,My_Audit!G:G,""),
_xlfn.IFS(_xlpm.MyAuditVal&lt;&gt;"",_xlpm.MyAuditVal,_xlpm.MacVal&lt;&gt;"",_xlpm.MacVal,_xlpm.CSVVal&lt;&gt;"",_xlpm.CSVVal
)),"")</f>
        <v/>
      </c>
      <c r="I116" s="40" t="str">
        <f>_xlfn.XLOOKUP(A116,Output_Mac!A:A,Output_Mac!I:I,"")</f>
        <v/>
      </c>
      <c r="J116" s="40" t="str" cm="1">
        <f t="array" ref="J116">IFERROR(_xlfn.LET(
_xlpm.CSVVal,_xlfn.XLOOKUP($A116,CSV!$A:$A,CSV!I:I,""),
_xlpm.MacVal,_xlfn.XLOOKUP($A116,Output_Mac!$A:$A,Output_Mac!J:J,""),
_xlpm.MyAuditVal,_xlfn.XLOOKUP($A116,My_Audit!$A:$A,My_Audit!I:I,""),
_xlfn.IFS(_xlpm.MyAuditVal&lt;&gt;"",UPPER(_xlpm.MyAuditVal),_xlpm.MacVal&lt;&gt;"",_xlpm.MacVal,_xlpm.CSVVal&lt;&gt;"",_xlpm.CSVVal
)),"")</f>
        <v/>
      </c>
      <c r="K116" s="40" t="str" cm="1">
        <f t="array" ref="K116">IFERROR(_xlfn.LET(
_xlpm.CSVVal,_xlfn.XLOOKUP($A116,CSV!$A:$A,CSV!K:K,""),
_xlpm.MacVal,_xlfn.XLOOKUP($A116,Output_Mac!$A:$A,Output_Mac!K:K,""),
_xlpm.MyAuditVal,_xlfn.XLOOKUP($A116,My_Audit!$A:$A,My_Audit!J:J,""),
_xlfn.IFS(_xlpm.MyAuditVal&lt;&gt;"",UPPER(_xlpm.MyAuditVal),_xlpm.MacVal&lt;&gt;"",_xlpm.MacVal,_xlpm.CSVVal&lt;&gt;"",_xlpm.CSVVal
)),"")</f>
        <v/>
      </c>
      <c r="L116" s="40" t="str" cm="1">
        <f t="array" ref="L116">IFERROR(_xlfn.LET(
_xlpm.CSVVal,_xlfn.XLOOKUP($A116,CSV!$A:$A,CSV!P:P,""),
_xlpm.MacVal,_xlfn.XLOOKUP($A116,Output_Mac!$A:$A,Output_Mac!L:L,""),
_xlpm.MyAuditVal,_xlfn.XLOOKUP($A116,My_Audit!$A:$A,My_Audit!K:K,""),
_xlfn.IFS(_xlpm.MyAuditVal&lt;&gt;"",UPPER(_xlpm.MyAuditVal),_xlpm.MacVal&lt;&gt;"",_xlpm.MacVal,_xlpm.CSVVal&lt;&gt;"",_xlpm.CSVVal
)),"")</f>
        <v/>
      </c>
      <c r="M116" s="40" t="str" cm="1">
        <f t="array" ref="M116">IFERROR(_xlfn.LET(
_xlpm.CSVVal,_xlfn.XLOOKUP($A116,CSV!$A:$A,CSV!Q:Q,""),
_xlpm.MacVal,_xlfn.XLOOKUP($A116,Output_Mac!$A:$A,Output_Mac!M:M,""),
_xlpm.MyAuditVal,_xlfn.XLOOKUP($A116,My_Audit!$A:$A,My_Audit!L:L,""),
_xlfn.IFS(_xlpm.MyAuditVal&lt;&gt;"",UPPER(_xlpm.MyAuditVal),_xlpm.MacVal&lt;&gt;"",_xlpm.MacVal,_xlpm.CSVVal&lt;&gt;"",_xlpm.CSVVal
)),"")</f>
        <v/>
      </c>
      <c r="N116" s="40"/>
      <c r="O116" s="40" t="str">
        <f>_xlfn.LET(
    _xlpm.CSVVal, _xlfn.XLOOKUP($A116, CSV!$A:$A, CSV!AA:AA, ""),
    _xlpm.MacVal, _xlfn.XLOOKUP($A116, Output_Mac!$A:$A, Output_Mac!S:S, ""),
    _xlpm.MyAuditVal, _xlfn.XLOOKUP($A116, My_Audit!$A:$A, My_Audit!P:P, ""),
    _xlfn.TEXTJOIN(", ", TRUE, _xlpm.MyAuditVal, _xlpm.MacVal, _xlpm.CSVVal)
)</f>
        <v>Charging port defect</v>
      </c>
      <c r="P116" s="40" t="str" cm="1">
        <f t="array" ref="P116">IFERROR(_xlfn.LET(
_xlpm.CSVVal,_xlfn.XLOOKUP($A116,CSV!$A:$A,CSV!AB:AB,""),
_xlpm.MacVal,_xlfn.XLOOKUP($A116,Output_Mac!$A:$A,Output_Mac!T:T,""),
_xlpm.MyAuditVal,_xlfn.XLOOKUP($A116,My_Audit!$A:$A,My_Audit!Q:Q,""),
_xlfn.IFS(_xlpm.MyAuditVal&lt;&gt;"",UPPER(_xlpm.MyAuditVal),_xlpm.MacVal&lt;&gt;"",_xlpm.MacVal,_xlpm.CSVVal&lt;&gt;"",_xlpm.CSVVal
)),"No")</f>
        <v>No</v>
      </c>
      <c r="Q116" s="40" t="str" cm="1">
        <f t="array" ref="Q116">IFERROR(_xlfn.LET(
_xlpm.CSVVal,_xlfn.XLOOKUP($A116,CSV!$A:$A,CSV!AC:AC,""),
_xlpm.MacVal,_xlfn.XLOOKUP($A116,Output_Mac!$A:$A,Output_Mac!U:U,""),
_xlpm.MyAuditVal,_xlfn.XLOOKUP($A116,My_Audit!$A:$A,My_Audit!R:R,""),
_xlfn.IFS(_xlpm.MyAuditVal&lt;&gt;"",UPPER(_xlpm.MyAuditVal),_xlpm.MacVal&lt;&gt;"",_xlpm.MacVal,_xlpm.CSVVal&lt;&gt;"",_xlpm.CSVVal
)),"")</f>
        <v/>
      </c>
      <c r="R116" s="40"/>
      <c r="S116" s="40"/>
      <c r="T116" s="40"/>
      <c r="U116" s="40"/>
      <c r="V116" s="40"/>
      <c r="W116" s="40"/>
      <c r="X116" s="41" t="str">
        <f>_xlfn.LET(
    _xlpm.MacVal, _xlfn.XLOOKUP($A116, Output_Mac!$A:$A, Output_Mac!AB:AB, ""),
    _xlpm.MyAuditVal, _xlfn.XLOOKUP($A116, My_Audit!$A:$A, My_Audit!N:N, ""),
    _xlfn.TEXTJOIN(", ", TRUE, _xlpm.MyAuditVal, _xlpm.MacVal)
)</f>
        <v/>
      </c>
    </row>
    <row r="117" spans="1:24">
      <c r="A117" s="40" t="str">
        <f>_xlfn.TEXTJOIN("",TRUE,Input!$B$2,ROW(My_Audit!A116))</f>
        <v>X116</v>
      </c>
      <c r="B117" s="40" t="str">
        <f>_xlfn.TEXTJOIN("-",TRUE,"ITD",Input!$A$2,A117)</f>
        <v>ITD-X116</v>
      </c>
      <c r="C117" s="40" t="str" cm="1">
        <f t="array" ref="C117">IFERROR(_xlfn.LET(
_xlpm.CSVVal,_xlfn.XLOOKUP($A117,CSV!$A:$A,CSV!B:B,""),
_xlpm.MacVal,_xlfn.XLOOKUP($A117,Output_Mac!$A:$A,Output_Mac!B:B,""),
_xlpm.MyAuditVal,_xlfn.XLOOKUP($A117,My_Audit!$A:$A,My_Audit!B:B,""),
_xlfn.IFS(_xlpm.MyAuditVal&lt;&gt;"",UPPER(_xlpm.MyAuditVal),_xlpm.MacVal&lt;&gt;"",_xlpm.MacVal,_xlpm.CSVVal&lt;&gt;"",_xlpm.CSVVal
)),"")</f>
        <v/>
      </c>
      <c r="D117" s="40" t="str" cm="1">
        <f t="array" ref="D117">IFERROR(_xlfn.LET(
_xlpm.CSVVal,_xlfn.XLOOKUP($A117,CSV!$A:$A,CSV!D:D,""),
_xlpm.MacVal,_xlfn.XLOOKUP($A117,Output_Mac!$A:$A,Output_Mac!C:C,""),
_xlpm.MyAuditVal,_xlfn.XLOOKUP($A117,My_Audit!$A:$A,My_Audit!C:C,""),
_xlfn.IFS(_xlpm.MyAuditVal&lt;&gt;"",_xlpm.MyAuditVal,_xlpm.MacVal&lt;&gt;"",_xlpm.MacVal,_xlpm.CSVVal&lt;&gt;"",_xlpm.CSVVal
)),"")</f>
        <v/>
      </c>
      <c r="E117" s="40">
        <f>_xlfn.XLOOKUP(A117,My_Audit!A:A,My_Audit!D:D,"")</f>
        <v>0</v>
      </c>
      <c r="F117" s="40" t="str" cm="1">
        <f t="array" ref="F117">IFERROR(_xlfn.LET(
_xlpm.CSVVal,_xlfn.XLOOKUP($A117,CSV!$A:$A,CSV!F:F,""),
_xlpm.MacVal,_xlfn.XLOOKUP($A117,Output_Mac!$A:$A,Output_Mac!E:E,""),
_xlpm.MyAuditVal,_xlfn.XLOOKUP($A117,My_Audit!$A:$A,My_Audit!E:E,""),
_xlfn.IFS(_xlpm.MyAuditVal&lt;&gt;"",_xlpm.MyAuditVal,_xlpm.MacVal&lt;&gt;"",_xlpm.MacVal,_xlpm.CSVVal&lt;&gt;"",_xlpm.CSVVal
)),"")</f>
        <v/>
      </c>
      <c r="G117" s="40" t="str" cm="1">
        <f t="array" ref="G117">IFERROR(_xlfn.LET(
_xlpm.CSVVal,_xlfn.XLOOKUP($A117,CSV!$A:$A,CSV!G:G,""),
_xlpm.MacVal,_xlfn.XLOOKUP($A117,Output_Mac!$A:$A,Output_Mac!F:F,""),
_xlpm.MyAuditVal,_xlfn.XLOOKUP($A117,My_Audit!$A:$A,My_Audit!F:F,""),
_xlfn.IFS(_xlpm.MyAuditVal&lt;&gt;"",_xlpm.MyAuditVal,_xlpm.MacVal&lt;&gt;"",_xlpm.MacVal,_xlpm.CSVVal&lt;&gt;"",PROPER(_xlpm.CSVVal)
)),"")</f>
        <v/>
      </c>
      <c r="H117" s="40" t="str" cm="1">
        <f t="array" ref="H117">IFERROR(_xlfn.LET(
_xlpm.CSVVal,_xlfn.XLOOKUP($A117,CSV!$A:$A,CSV!H:H,""),
_xlpm.MacVal,_xlfn.XLOOKUP($A117,Output_Mac!$A:$A,Output_Mac!H:H,""),
_xlpm.MyAuditVal,_xlfn.XLOOKUP($A117,My_Audit!$A:$A,My_Audit!G:G,""),
_xlfn.IFS(_xlpm.MyAuditVal&lt;&gt;"",_xlpm.MyAuditVal,_xlpm.MacVal&lt;&gt;"",_xlpm.MacVal,_xlpm.CSVVal&lt;&gt;"",_xlpm.CSVVal
)),"")</f>
        <v/>
      </c>
      <c r="I117" s="40" t="str">
        <f>_xlfn.XLOOKUP(A117,Output_Mac!A:A,Output_Mac!I:I,"")</f>
        <v/>
      </c>
      <c r="J117" s="40" t="str" cm="1">
        <f t="array" ref="J117">IFERROR(_xlfn.LET(
_xlpm.CSVVal,_xlfn.XLOOKUP($A117,CSV!$A:$A,CSV!I:I,""),
_xlpm.MacVal,_xlfn.XLOOKUP($A117,Output_Mac!$A:$A,Output_Mac!J:J,""),
_xlpm.MyAuditVal,_xlfn.XLOOKUP($A117,My_Audit!$A:$A,My_Audit!I:I,""),
_xlfn.IFS(_xlpm.MyAuditVal&lt;&gt;"",UPPER(_xlpm.MyAuditVal),_xlpm.MacVal&lt;&gt;"",_xlpm.MacVal,_xlpm.CSVVal&lt;&gt;"",_xlpm.CSVVal
)),"")</f>
        <v/>
      </c>
      <c r="K117" s="40" t="str" cm="1">
        <f t="array" ref="K117">IFERROR(_xlfn.LET(
_xlpm.CSVVal,_xlfn.XLOOKUP($A117,CSV!$A:$A,CSV!K:K,""),
_xlpm.MacVal,_xlfn.XLOOKUP($A117,Output_Mac!$A:$A,Output_Mac!K:K,""),
_xlpm.MyAuditVal,_xlfn.XLOOKUP($A117,My_Audit!$A:$A,My_Audit!J:J,""),
_xlfn.IFS(_xlpm.MyAuditVal&lt;&gt;"",UPPER(_xlpm.MyAuditVal),_xlpm.MacVal&lt;&gt;"",_xlpm.MacVal,_xlpm.CSVVal&lt;&gt;"",_xlpm.CSVVal
)),"")</f>
        <v/>
      </c>
      <c r="L117" s="40" t="str" cm="1">
        <f t="array" ref="L117">IFERROR(_xlfn.LET(
_xlpm.CSVVal,_xlfn.XLOOKUP($A117,CSV!$A:$A,CSV!P:P,""),
_xlpm.MacVal,_xlfn.XLOOKUP($A117,Output_Mac!$A:$A,Output_Mac!L:L,""),
_xlpm.MyAuditVal,_xlfn.XLOOKUP($A117,My_Audit!$A:$A,My_Audit!K:K,""),
_xlfn.IFS(_xlpm.MyAuditVal&lt;&gt;"",UPPER(_xlpm.MyAuditVal),_xlpm.MacVal&lt;&gt;"",_xlpm.MacVal,_xlpm.CSVVal&lt;&gt;"",_xlpm.CSVVal
)),"")</f>
        <v/>
      </c>
      <c r="M117" s="40" t="str" cm="1">
        <f t="array" ref="M117">IFERROR(_xlfn.LET(
_xlpm.CSVVal,_xlfn.XLOOKUP($A117,CSV!$A:$A,CSV!Q:Q,""),
_xlpm.MacVal,_xlfn.XLOOKUP($A117,Output_Mac!$A:$A,Output_Mac!M:M,""),
_xlpm.MyAuditVal,_xlfn.XLOOKUP($A117,My_Audit!$A:$A,My_Audit!L:L,""),
_xlfn.IFS(_xlpm.MyAuditVal&lt;&gt;"",UPPER(_xlpm.MyAuditVal),_xlpm.MacVal&lt;&gt;"",_xlpm.MacVal,_xlpm.CSVVal&lt;&gt;"",_xlpm.CSVVal
)),"")</f>
        <v/>
      </c>
      <c r="N117" s="40"/>
      <c r="O117" s="40" t="str">
        <f>_xlfn.LET(
    _xlpm.CSVVal, _xlfn.XLOOKUP($A117, CSV!$A:$A, CSV!AA:AA, ""),
    _xlpm.MacVal, _xlfn.XLOOKUP($A117, Output_Mac!$A:$A, Output_Mac!S:S, ""),
    _xlpm.MyAuditVal, _xlfn.XLOOKUP($A117, My_Audit!$A:$A, My_Audit!P:P, ""),
    _xlfn.TEXTJOIN(", ", TRUE, _xlpm.MyAuditVal, _xlpm.MacVal, _xlpm.CSVVal)
)</f>
        <v/>
      </c>
      <c r="P117" s="40" t="str" cm="1">
        <f t="array" ref="P117">IFERROR(_xlfn.LET(
_xlpm.CSVVal,_xlfn.XLOOKUP($A117,CSV!$A:$A,CSV!AB:AB,""),
_xlpm.MacVal,_xlfn.XLOOKUP($A117,Output_Mac!$A:$A,Output_Mac!T:T,""),
_xlpm.MyAuditVal,_xlfn.XLOOKUP($A117,My_Audit!$A:$A,My_Audit!Q:Q,""),
_xlfn.IFS(_xlpm.MyAuditVal&lt;&gt;"",UPPER(_xlpm.MyAuditVal),_xlpm.MacVal&lt;&gt;"",_xlpm.MacVal,_xlpm.CSVVal&lt;&gt;"",_xlpm.CSVVal
)),"No")</f>
        <v>No</v>
      </c>
      <c r="Q117" s="40" t="str" cm="1">
        <f t="array" ref="Q117">IFERROR(_xlfn.LET(
_xlpm.CSVVal,_xlfn.XLOOKUP($A117,CSV!$A:$A,CSV!AC:AC,""),
_xlpm.MacVal,_xlfn.XLOOKUP($A117,Output_Mac!$A:$A,Output_Mac!U:U,""),
_xlpm.MyAuditVal,_xlfn.XLOOKUP($A117,My_Audit!$A:$A,My_Audit!R:R,""),
_xlfn.IFS(_xlpm.MyAuditVal&lt;&gt;"",UPPER(_xlpm.MyAuditVal),_xlpm.MacVal&lt;&gt;"",_xlpm.MacVal,_xlpm.CSVVal&lt;&gt;"",_xlpm.CSVVal
)),"")</f>
        <v/>
      </c>
      <c r="R117" s="40"/>
      <c r="S117" s="40"/>
      <c r="T117" s="40"/>
      <c r="U117" s="40"/>
      <c r="V117" s="40"/>
      <c r="W117" s="40"/>
      <c r="X117" s="41" t="str">
        <f>_xlfn.LET(
    _xlpm.MacVal, _xlfn.XLOOKUP($A117, Output_Mac!$A:$A, Output_Mac!AB:AB, ""),
    _xlpm.MyAuditVal, _xlfn.XLOOKUP($A117, My_Audit!$A:$A, My_Audit!N:N, ""),
    _xlfn.TEXTJOIN(", ", TRUE, _xlpm.MyAuditVal, _xlpm.MacVal)
)</f>
        <v/>
      </c>
    </row>
    <row r="118" spans="1:24">
      <c r="A118" s="40" t="str">
        <f>_xlfn.TEXTJOIN("",TRUE,Input!$B$2,ROW(My_Audit!A117))</f>
        <v>X117</v>
      </c>
      <c r="B118" s="40" t="str">
        <f>_xlfn.TEXTJOIN("-",TRUE,"ITD",Input!$A$2,A118)</f>
        <v>ITD-X117</v>
      </c>
      <c r="C118" s="40" t="str" cm="1">
        <f t="array" ref="C118">IFERROR(_xlfn.LET(
_xlpm.CSVVal,_xlfn.XLOOKUP($A118,CSV!$A:$A,CSV!B:B,""),
_xlpm.MacVal,_xlfn.XLOOKUP($A118,Output_Mac!$A:$A,Output_Mac!B:B,""),
_xlpm.MyAuditVal,_xlfn.XLOOKUP($A118,My_Audit!$A:$A,My_Audit!B:B,""),
_xlfn.IFS(_xlpm.MyAuditVal&lt;&gt;"",UPPER(_xlpm.MyAuditVal),_xlpm.MacVal&lt;&gt;"",_xlpm.MacVal,_xlpm.CSVVal&lt;&gt;"",_xlpm.CSVVal
)),"")</f>
        <v/>
      </c>
      <c r="D118" s="40" t="str" cm="1">
        <f t="array" ref="D118">IFERROR(_xlfn.LET(
_xlpm.CSVVal,_xlfn.XLOOKUP($A118,CSV!$A:$A,CSV!D:D,""),
_xlpm.MacVal,_xlfn.XLOOKUP($A118,Output_Mac!$A:$A,Output_Mac!C:C,""),
_xlpm.MyAuditVal,_xlfn.XLOOKUP($A118,My_Audit!$A:$A,My_Audit!C:C,""),
_xlfn.IFS(_xlpm.MyAuditVal&lt;&gt;"",_xlpm.MyAuditVal,_xlpm.MacVal&lt;&gt;"",_xlpm.MacVal,_xlpm.CSVVal&lt;&gt;"",_xlpm.CSVVal
)),"")</f>
        <v/>
      </c>
      <c r="E118" s="40">
        <f>_xlfn.XLOOKUP(A118,My_Audit!A:A,My_Audit!D:D,"")</f>
        <v>0</v>
      </c>
      <c r="F118" s="40" t="str" cm="1">
        <f t="array" ref="F118">IFERROR(_xlfn.LET(
_xlpm.CSVVal,_xlfn.XLOOKUP($A118,CSV!$A:$A,CSV!F:F,""),
_xlpm.MacVal,_xlfn.XLOOKUP($A118,Output_Mac!$A:$A,Output_Mac!E:E,""),
_xlpm.MyAuditVal,_xlfn.XLOOKUP($A118,My_Audit!$A:$A,My_Audit!E:E,""),
_xlfn.IFS(_xlpm.MyAuditVal&lt;&gt;"",_xlpm.MyAuditVal,_xlpm.MacVal&lt;&gt;"",_xlpm.MacVal,_xlpm.CSVVal&lt;&gt;"",_xlpm.CSVVal
)),"")</f>
        <v/>
      </c>
      <c r="G118" s="40" t="str" cm="1">
        <f t="array" ref="G118">IFERROR(_xlfn.LET(
_xlpm.CSVVal,_xlfn.XLOOKUP($A118,CSV!$A:$A,CSV!G:G,""),
_xlpm.MacVal,_xlfn.XLOOKUP($A118,Output_Mac!$A:$A,Output_Mac!F:F,""),
_xlpm.MyAuditVal,_xlfn.XLOOKUP($A118,My_Audit!$A:$A,My_Audit!F:F,""),
_xlfn.IFS(_xlpm.MyAuditVal&lt;&gt;"",_xlpm.MyAuditVal,_xlpm.MacVal&lt;&gt;"",_xlpm.MacVal,_xlpm.CSVVal&lt;&gt;"",PROPER(_xlpm.CSVVal)
)),"")</f>
        <v/>
      </c>
      <c r="H118" s="40" t="str" cm="1">
        <f t="array" ref="H118">IFERROR(_xlfn.LET(
_xlpm.CSVVal,_xlfn.XLOOKUP($A118,CSV!$A:$A,CSV!H:H,""),
_xlpm.MacVal,_xlfn.XLOOKUP($A118,Output_Mac!$A:$A,Output_Mac!H:H,""),
_xlpm.MyAuditVal,_xlfn.XLOOKUP($A118,My_Audit!$A:$A,My_Audit!G:G,""),
_xlfn.IFS(_xlpm.MyAuditVal&lt;&gt;"",_xlpm.MyAuditVal,_xlpm.MacVal&lt;&gt;"",_xlpm.MacVal,_xlpm.CSVVal&lt;&gt;"",_xlpm.CSVVal
)),"")</f>
        <v/>
      </c>
      <c r="I118" s="40" t="str">
        <f>_xlfn.XLOOKUP(A118,Output_Mac!A:A,Output_Mac!I:I,"")</f>
        <v/>
      </c>
      <c r="J118" s="40" t="str" cm="1">
        <f t="array" ref="J118">IFERROR(_xlfn.LET(
_xlpm.CSVVal,_xlfn.XLOOKUP($A118,CSV!$A:$A,CSV!I:I,""),
_xlpm.MacVal,_xlfn.XLOOKUP($A118,Output_Mac!$A:$A,Output_Mac!J:J,""),
_xlpm.MyAuditVal,_xlfn.XLOOKUP($A118,My_Audit!$A:$A,My_Audit!I:I,""),
_xlfn.IFS(_xlpm.MyAuditVal&lt;&gt;"",UPPER(_xlpm.MyAuditVal),_xlpm.MacVal&lt;&gt;"",_xlpm.MacVal,_xlpm.CSVVal&lt;&gt;"",_xlpm.CSVVal
)),"")</f>
        <v/>
      </c>
      <c r="K118" s="40" t="str" cm="1">
        <f t="array" ref="K118">IFERROR(_xlfn.LET(
_xlpm.CSVVal,_xlfn.XLOOKUP($A118,CSV!$A:$A,CSV!K:K,""),
_xlpm.MacVal,_xlfn.XLOOKUP($A118,Output_Mac!$A:$A,Output_Mac!K:K,""),
_xlpm.MyAuditVal,_xlfn.XLOOKUP($A118,My_Audit!$A:$A,My_Audit!J:J,""),
_xlfn.IFS(_xlpm.MyAuditVal&lt;&gt;"",UPPER(_xlpm.MyAuditVal),_xlpm.MacVal&lt;&gt;"",_xlpm.MacVal,_xlpm.CSVVal&lt;&gt;"",_xlpm.CSVVal
)),"")</f>
        <v/>
      </c>
      <c r="L118" s="40" t="str" cm="1">
        <f t="array" ref="L118">IFERROR(_xlfn.LET(
_xlpm.CSVVal,_xlfn.XLOOKUP($A118,CSV!$A:$A,CSV!P:P,""),
_xlpm.MacVal,_xlfn.XLOOKUP($A118,Output_Mac!$A:$A,Output_Mac!L:L,""),
_xlpm.MyAuditVal,_xlfn.XLOOKUP($A118,My_Audit!$A:$A,My_Audit!K:K,""),
_xlfn.IFS(_xlpm.MyAuditVal&lt;&gt;"",UPPER(_xlpm.MyAuditVal),_xlpm.MacVal&lt;&gt;"",_xlpm.MacVal,_xlpm.CSVVal&lt;&gt;"",_xlpm.CSVVal
)),"")</f>
        <v/>
      </c>
      <c r="M118" s="40" t="str" cm="1">
        <f t="array" ref="M118">IFERROR(_xlfn.LET(
_xlpm.CSVVal,_xlfn.XLOOKUP($A118,CSV!$A:$A,CSV!Q:Q,""),
_xlpm.MacVal,_xlfn.XLOOKUP($A118,Output_Mac!$A:$A,Output_Mac!M:M,""),
_xlpm.MyAuditVal,_xlfn.XLOOKUP($A118,My_Audit!$A:$A,My_Audit!L:L,""),
_xlfn.IFS(_xlpm.MyAuditVal&lt;&gt;"",UPPER(_xlpm.MyAuditVal),_xlpm.MacVal&lt;&gt;"",_xlpm.MacVal,_xlpm.CSVVal&lt;&gt;"",_xlpm.CSVVal
)),"")</f>
        <v/>
      </c>
      <c r="N118" s="40"/>
      <c r="O118" s="40" t="str">
        <f>_xlfn.LET(
    _xlpm.CSVVal, _xlfn.XLOOKUP($A118, CSV!$A:$A, CSV!AA:AA, ""),
    _xlpm.MacVal, _xlfn.XLOOKUP($A118, Output_Mac!$A:$A, Output_Mac!S:S, ""),
    _xlpm.MyAuditVal, _xlfn.XLOOKUP($A118, My_Audit!$A:$A, My_Audit!P:P, ""),
    _xlfn.TEXTJOIN(", ", TRUE, _xlpm.MyAuditVal, _xlpm.MacVal, _xlpm.CSVVal)
)</f>
        <v/>
      </c>
      <c r="P118" s="40" t="str" cm="1">
        <f t="array" ref="P118">IFERROR(_xlfn.LET(
_xlpm.CSVVal,_xlfn.XLOOKUP($A118,CSV!$A:$A,CSV!AB:AB,""),
_xlpm.MacVal,_xlfn.XLOOKUP($A118,Output_Mac!$A:$A,Output_Mac!T:T,""),
_xlpm.MyAuditVal,_xlfn.XLOOKUP($A118,My_Audit!$A:$A,My_Audit!Q:Q,""),
_xlfn.IFS(_xlpm.MyAuditVal&lt;&gt;"",UPPER(_xlpm.MyAuditVal),_xlpm.MacVal&lt;&gt;"",_xlpm.MacVal,_xlpm.CSVVal&lt;&gt;"",_xlpm.CSVVal
)),"No")</f>
        <v>No</v>
      </c>
      <c r="Q118" s="40" t="str" cm="1">
        <f t="array" ref="Q118">IFERROR(_xlfn.LET(
_xlpm.CSVVal,_xlfn.XLOOKUP($A118,CSV!$A:$A,CSV!AC:AC,""),
_xlpm.MacVal,_xlfn.XLOOKUP($A118,Output_Mac!$A:$A,Output_Mac!U:U,""),
_xlpm.MyAuditVal,_xlfn.XLOOKUP($A118,My_Audit!$A:$A,My_Audit!R:R,""),
_xlfn.IFS(_xlpm.MyAuditVal&lt;&gt;"",UPPER(_xlpm.MyAuditVal),_xlpm.MacVal&lt;&gt;"",_xlpm.MacVal,_xlpm.CSVVal&lt;&gt;"",_xlpm.CSVVal
)),"")</f>
        <v/>
      </c>
      <c r="R118" s="40"/>
      <c r="S118" s="40"/>
      <c r="T118" s="40"/>
      <c r="U118" s="40"/>
      <c r="V118" s="40"/>
      <c r="W118" s="40"/>
      <c r="X118" s="41" t="str">
        <f>_xlfn.LET(
    _xlpm.MacVal, _xlfn.XLOOKUP($A118, Output_Mac!$A:$A, Output_Mac!AB:AB, ""),
    _xlpm.MyAuditVal, _xlfn.XLOOKUP($A118, My_Audit!$A:$A, My_Audit!N:N, ""),
    _xlfn.TEXTJOIN(", ", TRUE, _xlpm.MyAuditVal, _xlpm.MacVal)
)</f>
        <v/>
      </c>
    </row>
    <row r="119" spans="1:24">
      <c r="A119" s="40" t="str">
        <f>_xlfn.TEXTJOIN("",TRUE,Input!$B$2,ROW(My_Audit!A118))</f>
        <v>X118</v>
      </c>
      <c r="B119" s="40" t="str">
        <f>_xlfn.TEXTJOIN("-",TRUE,"ITD",Input!$A$2,A119)</f>
        <v>ITD-X118</v>
      </c>
      <c r="C119" s="40" t="str" cm="1">
        <f t="array" ref="C119">IFERROR(_xlfn.LET(
_xlpm.CSVVal,_xlfn.XLOOKUP($A119,CSV!$A:$A,CSV!B:B,""),
_xlpm.MacVal,_xlfn.XLOOKUP($A119,Output_Mac!$A:$A,Output_Mac!B:B,""),
_xlpm.MyAuditVal,_xlfn.XLOOKUP($A119,My_Audit!$A:$A,My_Audit!B:B,""),
_xlfn.IFS(_xlpm.MyAuditVal&lt;&gt;"",UPPER(_xlpm.MyAuditVal),_xlpm.MacVal&lt;&gt;"",_xlpm.MacVal,_xlpm.CSVVal&lt;&gt;"",_xlpm.CSVVal
)),"")</f>
        <v/>
      </c>
      <c r="D119" s="40" t="str" cm="1">
        <f t="array" ref="D119">IFERROR(_xlfn.LET(
_xlpm.CSVVal,_xlfn.XLOOKUP($A119,CSV!$A:$A,CSV!D:D,""),
_xlpm.MacVal,_xlfn.XLOOKUP($A119,Output_Mac!$A:$A,Output_Mac!C:C,""),
_xlpm.MyAuditVal,_xlfn.XLOOKUP($A119,My_Audit!$A:$A,My_Audit!C:C,""),
_xlfn.IFS(_xlpm.MyAuditVal&lt;&gt;"",_xlpm.MyAuditVal,_xlpm.MacVal&lt;&gt;"",_xlpm.MacVal,_xlpm.CSVVal&lt;&gt;"",_xlpm.CSVVal
)),"")</f>
        <v/>
      </c>
      <c r="E119" s="40">
        <f>_xlfn.XLOOKUP(A119,My_Audit!A:A,My_Audit!D:D,"")</f>
        <v>0</v>
      </c>
      <c r="F119" s="40" t="str" cm="1">
        <f t="array" ref="F119">IFERROR(_xlfn.LET(
_xlpm.CSVVal,_xlfn.XLOOKUP($A119,CSV!$A:$A,CSV!F:F,""),
_xlpm.MacVal,_xlfn.XLOOKUP($A119,Output_Mac!$A:$A,Output_Mac!E:E,""),
_xlpm.MyAuditVal,_xlfn.XLOOKUP($A119,My_Audit!$A:$A,My_Audit!E:E,""),
_xlfn.IFS(_xlpm.MyAuditVal&lt;&gt;"",_xlpm.MyAuditVal,_xlpm.MacVal&lt;&gt;"",_xlpm.MacVal,_xlpm.CSVVal&lt;&gt;"",_xlpm.CSVVal
)),"")</f>
        <v/>
      </c>
      <c r="G119" s="40" t="str" cm="1">
        <f t="array" ref="G119">IFERROR(_xlfn.LET(
_xlpm.CSVVal,_xlfn.XLOOKUP($A119,CSV!$A:$A,CSV!G:G,""),
_xlpm.MacVal,_xlfn.XLOOKUP($A119,Output_Mac!$A:$A,Output_Mac!F:F,""),
_xlpm.MyAuditVal,_xlfn.XLOOKUP($A119,My_Audit!$A:$A,My_Audit!F:F,""),
_xlfn.IFS(_xlpm.MyAuditVal&lt;&gt;"",_xlpm.MyAuditVal,_xlpm.MacVal&lt;&gt;"",_xlpm.MacVal,_xlpm.CSVVal&lt;&gt;"",PROPER(_xlpm.CSVVal)
)),"")</f>
        <v/>
      </c>
      <c r="H119" s="40" t="str" cm="1">
        <f t="array" ref="H119">IFERROR(_xlfn.LET(
_xlpm.CSVVal,_xlfn.XLOOKUP($A119,CSV!$A:$A,CSV!H:H,""),
_xlpm.MacVal,_xlfn.XLOOKUP($A119,Output_Mac!$A:$A,Output_Mac!H:H,""),
_xlpm.MyAuditVal,_xlfn.XLOOKUP($A119,My_Audit!$A:$A,My_Audit!G:G,""),
_xlfn.IFS(_xlpm.MyAuditVal&lt;&gt;"",_xlpm.MyAuditVal,_xlpm.MacVal&lt;&gt;"",_xlpm.MacVal,_xlpm.CSVVal&lt;&gt;"",_xlpm.CSVVal
)),"")</f>
        <v/>
      </c>
      <c r="I119" s="40" t="str">
        <f>_xlfn.XLOOKUP(A119,Output_Mac!A:A,Output_Mac!I:I,"")</f>
        <v/>
      </c>
      <c r="J119" s="40" t="str" cm="1">
        <f t="array" ref="J119">IFERROR(_xlfn.LET(
_xlpm.CSVVal,_xlfn.XLOOKUP($A119,CSV!$A:$A,CSV!I:I,""),
_xlpm.MacVal,_xlfn.XLOOKUP($A119,Output_Mac!$A:$A,Output_Mac!J:J,""),
_xlpm.MyAuditVal,_xlfn.XLOOKUP($A119,My_Audit!$A:$A,My_Audit!I:I,""),
_xlfn.IFS(_xlpm.MyAuditVal&lt;&gt;"",UPPER(_xlpm.MyAuditVal),_xlpm.MacVal&lt;&gt;"",_xlpm.MacVal,_xlpm.CSVVal&lt;&gt;"",_xlpm.CSVVal
)),"")</f>
        <v/>
      </c>
      <c r="K119" s="40" t="str" cm="1">
        <f t="array" ref="K119">IFERROR(_xlfn.LET(
_xlpm.CSVVal,_xlfn.XLOOKUP($A119,CSV!$A:$A,CSV!K:K,""),
_xlpm.MacVal,_xlfn.XLOOKUP($A119,Output_Mac!$A:$A,Output_Mac!K:K,""),
_xlpm.MyAuditVal,_xlfn.XLOOKUP($A119,My_Audit!$A:$A,My_Audit!J:J,""),
_xlfn.IFS(_xlpm.MyAuditVal&lt;&gt;"",UPPER(_xlpm.MyAuditVal),_xlpm.MacVal&lt;&gt;"",_xlpm.MacVal,_xlpm.CSVVal&lt;&gt;"",_xlpm.CSVVal
)),"")</f>
        <v/>
      </c>
      <c r="L119" s="40" t="str" cm="1">
        <f t="array" ref="L119">IFERROR(_xlfn.LET(
_xlpm.CSVVal,_xlfn.XLOOKUP($A119,CSV!$A:$A,CSV!P:P,""),
_xlpm.MacVal,_xlfn.XLOOKUP($A119,Output_Mac!$A:$A,Output_Mac!L:L,""),
_xlpm.MyAuditVal,_xlfn.XLOOKUP($A119,My_Audit!$A:$A,My_Audit!K:K,""),
_xlfn.IFS(_xlpm.MyAuditVal&lt;&gt;"",UPPER(_xlpm.MyAuditVal),_xlpm.MacVal&lt;&gt;"",_xlpm.MacVal,_xlpm.CSVVal&lt;&gt;"",_xlpm.CSVVal
)),"")</f>
        <v/>
      </c>
      <c r="M119" s="40" t="str" cm="1">
        <f t="array" ref="M119">IFERROR(_xlfn.LET(
_xlpm.CSVVal,_xlfn.XLOOKUP($A119,CSV!$A:$A,CSV!Q:Q,""),
_xlpm.MacVal,_xlfn.XLOOKUP($A119,Output_Mac!$A:$A,Output_Mac!M:M,""),
_xlpm.MyAuditVal,_xlfn.XLOOKUP($A119,My_Audit!$A:$A,My_Audit!L:L,""),
_xlfn.IFS(_xlpm.MyAuditVal&lt;&gt;"",UPPER(_xlpm.MyAuditVal),_xlpm.MacVal&lt;&gt;"",_xlpm.MacVal,_xlpm.CSVVal&lt;&gt;"",_xlpm.CSVVal
)),"")</f>
        <v/>
      </c>
      <c r="N119" s="40"/>
      <c r="O119" s="40" t="str">
        <f>_xlfn.LET(
    _xlpm.CSVVal, _xlfn.XLOOKUP($A119, CSV!$A:$A, CSV!AA:AA, ""),
    _xlpm.MacVal, _xlfn.XLOOKUP($A119, Output_Mac!$A:$A, Output_Mac!S:S, ""),
    _xlpm.MyAuditVal, _xlfn.XLOOKUP($A119, My_Audit!$A:$A, My_Audit!P:P, ""),
    _xlfn.TEXTJOIN(", ", TRUE, _xlpm.MyAuditVal, _xlpm.MacVal, _xlpm.CSVVal)
)</f>
        <v/>
      </c>
      <c r="P119" s="40" t="str" cm="1">
        <f t="array" ref="P119">IFERROR(_xlfn.LET(
_xlpm.CSVVal,_xlfn.XLOOKUP($A119,CSV!$A:$A,CSV!AB:AB,""),
_xlpm.MacVal,_xlfn.XLOOKUP($A119,Output_Mac!$A:$A,Output_Mac!T:T,""),
_xlpm.MyAuditVal,_xlfn.XLOOKUP($A119,My_Audit!$A:$A,My_Audit!Q:Q,""),
_xlfn.IFS(_xlpm.MyAuditVal&lt;&gt;"",UPPER(_xlpm.MyAuditVal),_xlpm.MacVal&lt;&gt;"",_xlpm.MacVal,_xlpm.CSVVal&lt;&gt;"",_xlpm.CSVVal
)),"No")</f>
        <v>No</v>
      </c>
      <c r="Q119" s="40" t="str" cm="1">
        <f t="array" ref="Q119">IFERROR(_xlfn.LET(
_xlpm.CSVVal,_xlfn.XLOOKUP($A119,CSV!$A:$A,CSV!AC:AC,""),
_xlpm.MacVal,_xlfn.XLOOKUP($A119,Output_Mac!$A:$A,Output_Mac!U:U,""),
_xlpm.MyAuditVal,_xlfn.XLOOKUP($A119,My_Audit!$A:$A,My_Audit!R:R,""),
_xlfn.IFS(_xlpm.MyAuditVal&lt;&gt;"",UPPER(_xlpm.MyAuditVal),_xlpm.MacVal&lt;&gt;"",_xlpm.MacVal,_xlpm.CSVVal&lt;&gt;"",_xlpm.CSVVal
)),"")</f>
        <v/>
      </c>
      <c r="R119" s="40"/>
      <c r="S119" s="40"/>
      <c r="T119" s="40"/>
      <c r="U119" s="40"/>
      <c r="V119" s="40"/>
      <c r="W119" s="40"/>
      <c r="X119" s="41" t="str">
        <f>_xlfn.LET(
    _xlpm.MacVal, _xlfn.XLOOKUP($A119, Output_Mac!$A:$A, Output_Mac!AB:AB, ""),
    _xlpm.MyAuditVal, _xlfn.XLOOKUP($A119, My_Audit!$A:$A, My_Audit!N:N, ""),
    _xlfn.TEXTJOIN(", ", TRUE, _xlpm.MyAuditVal, _xlpm.MacVal)
)</f>
        <v/>
      </c>
    </row>
    <row r="120" spans="1:24">
      <c r="A120" s="40" t="str">
        <f>_xlfn.TEXTJOIN("",TRUE,Input!$B$2,ROW(My_Audit!A119))</f>
        <v>X119</v>
      </c>
      <c r="B120" s="40" t="str">
        <f>_xlfn.TEXTJOIN("-",TRUE,"ITD",Input!$A$2,A120)</f>
        <v>ITD-X119</v>
      </c>
      <c r="C120" s="40" t="str" cm="1">
        <f t="array" ref="C120">IFERROR(_xlfn.LET(
_xlpm.CSVVal,_xlfn.XLOOKUP($A120,CSV!$A:$A,CSV!B:B,""),
_xlpm.MacVal,_xlfn.XLOOKUP($A120,Output_Mac!$A:$A,Output_Mac!B:B,""),
_xlpm.MyAuditVal,_xlfn.XLOOKUP($A120,My_Audit!$A:$A,My_Audit!B:B,""),
_xlfn.IFS(_xlpm.MyAuditVal&lt;&gt;"",UPPER(_xlpm.MyAuditVal),_xlpm.MacVal&lt;&gt;"",_xlpm.MacVal,_xlpm.CSVVal&lt;&gt;"",_xlpm.CSVVal
)),"")</f>
        <v/>
      </c>
      <c r="D120" s="40" t="str" cm="1">
        <f t="array" ref="D120">IFERROR(_xlfn.LET(
_xlpm.CSVVal,_xlfn.XLOOKUP($A120,CSV!$A:$A,CSV!D:D,""),
_xlpm.MacVal,_xlfn.XLOOKUP($A120,Output_Mac!$A:$A,Output_Mac!C:C,""),
_xlpm.MyAuditVal,_xlfn.XLOOKUP($A120,My_Audit!$A:$A,My_Audit!C:C,""),
_xlfn.IFS(_xlpm.MyAuditVal&lt;&gt;"",_xlpm.MyAuditVal,_xlpm.MacVal&lt;&gt;"",_xlpm.MacVal,_xlpm.CSVVal&lt;&gt;"",_xlpm.CSVVal
)),"")</f>
        <v/>
      </c>
      <c r="E120" s="40">
        <f>_xlfn.XLOOKUP(A120,My_Audit!A:A,My_Audit!D:D,"")</f>
        <v>0</v>
      </c>
      <c r="F120" s="40" t="str" cm="1">
        <f t="array" ref="F120">IFERROR(_xlfn.LET(
_xlpm.CSVVal,_xlfn.XLOOKUP($A120,CSV!$A:$A,CSV!F:F,""),
_xlpm.MacVal,_xlfn.XLOOKUP($A120,Output_Mac!$A:$A,Output_Mac!E:E,""),
_xlpm.MyAuditVal,_xlfn.XLOOKUP($A120,My_Audit!$A:$A,My_Audit!E:E,""),
_xlfn.IFS(_xlpm.MyAuditVal&lt;&gt;"",_xlpm.MyAuditVal,_xlpm.MacVal&lt;&gt;"",_xlpm.MacVal,_xlpm.CSVVal&lt;&gt;"",_xlpm.CSVVal
)),"")</f>
        <v/>
      </c>
      <c r="G120" s="40" t="str" cm="1">
        <f t="array" ref="G120">IFERROR(_xlfn.LET(
_xlpm.CSVVal,_xlfn.XLOOKUP($A120,CSV!$A:$A,CSV!G:G,""),
_xlpm.MacVal,_xlfn.XLOOKUP($A120,Output_Mac!$A:$A,Output_Mac!F:F,""),
_xlpm.MyAuditVal,_xlfn.XLOOKUP($A120,My_Audit!$A:$A,My_Audit!F:F,""),
_xlfn.IFS(_xlpm.MyAuditVal&lt;&gt;"",_xlpm.MyAuditVal,_xlpm.MacVal&lt;&gt;"",_xlpm.MacVal,_xlpm.CSVVal&lt;&gt;"",PROPER(_xlpm.CSVVal)
)),"")</f>
        <v/>
      </c>
      <c r="H120" s="40" t="str" cm="1">
        <f t="array" ref="H120">IFERROR(_xlfn.LET(
_xlpm.CSVVal,_xlfn.XLOOKUP($A120,CSV!$A:$A,CSV!H:H,""),
_xlpm.MacVal,_xlfn.XLOOKUP($A120,Output_Mac!$A:$A,Output_Mac!H:H,""),
_xlpm.MyAuditVal,_xlfn.XLOOKUP($A120,My_Audit!$A:$A,My_Audit!G:G,""),
_xlfn.IFS(_xlpm.MyAuditVal&lt;&gt;"",_xlpm.MyAuditVal,_xlpm.MacVal&lt;&gt;"",_xlpm.MacVal,_xlpm.CSVVal&lt;&gt;"",_xlpm.CSVVal
)),"")</f>
        <v/>
      </c>
      <c r="I120" s="40" t="str">
        <f>_xlfn.XLOOKUP(A120,Output_Mac!A:A,Output_Mac!I:I,"")</f>
        <v/>
      </c>
      <c r="J120" s="40" t="str" cm="1">
        <f t="array" ref="J120">IFERROR(_xlfn.LET(
_xlpm.CSVVal,_xlfn.XLOOKUP($A120,CSV!$A:$A,CSV!I:I,""),
_xlpm.MacVal,_xlfn.XLOOKUP($A120,Output_Mac!$A:$A,Output_Mac!J:J,""),
_xlpm.MyAuditVal,_xlfn.XLOOKUP($A120,My_Audit!$A:$A,My_Audit!I:I,""),
_xlfn.IFS(_xlpm.MyAuditVal&lt;&gt;"",UPPER(_xlpm.MyAuditVal),_xlpm.MacVal&lt;&gt;"",_xlpm.MacVal,_xlpm.CSVVal&lt;&gt;"",_xlpm.CSVVal
)),"")</f>
        <v/>
      </c>
      <c r="K120" s="40" t="str" cm="1">
        <f t="array" ref="K120">IFERROR(_xlfn.LET(
_xlpm.CSVVal,_xlfn.XLOOKUP($A120,CSV!$A:$A,CSV!K:K,""),
_xlpm.MacVal,_xlfn.XLOOKUP($A120,Output_Mac!$A:$A,Output_Mac!K:K,""),
_xlpm.MyAuditVal,_xlfn.XLOOKUP($A120,My_Audit!$A:$A,My_Audit!J:J,""),
_xlfn.IFS(_xlpm.MyAuditVal&lt;&gt;"",UPPER(_xlpm.MyAuditVal),_xlpm.MacVal&lt;&gt;"",_xlpm.MacVal,_xlpm.CSVVal&lt;&gt;"",_xlpm.CSVVal
)),"")</f>
        <v/>
      </c>
      <c r="L120" s="40" t="str" cm="1">
        <f t="array" ref="L120">IFERROR(_xlfn.LET(
_xlpm.CSVVal,_xlfn.XLOOKUP($A120,CSV!$A:$A,CSV!P:P,""),
_xlpm.MacVal,_xlfn.XLOOKUP($A120,Output_Mac!$A:$A,Output_Mac!L:L,""),
_xlpm.MyAuditVal,_xlfn.XLOOKUP($A120,My_Audit!$A:$A,My_Audit!K:K,""),
_xlfn.IFS(_xlpm.MyAuditVal&lt;&gt;"",UPPER(_xlpm.MyAuditVal),_xlpm.MacVal&lt;&gt;"",_xlpm.MacVal,_xlpm.CSVVal&lt;&gt;"",_xlpm.CSVVal
)),"")</f>
        <v/>
      </c>
      <c r="M120" s="40" t="str" cm="1">
        <f t="array" ref="M120">IFERROR(_xlfn.LET(
_xlpm.CSVVal,_xlfn.XLOOKUP($A120,CSV!$A:$A,CSV!Q:Q,""),
_xlpm.MacVal,_xlfn.XLOOKUP($A120,Output_Mac!$A:$A,Output_Mac!M:M,""),
_xlpm.MyAuditVal,_xlfn.XLOOKUP($A120,My_Audit!$A:$A,My_Audit!L:L,""),
_xlfn.IFS(_xlpm.MyAuditVal&lt;&gt;"",UPPER(_xlpm.MyAuditVal),_xlpm.MacVal&lt;&gt;"",_xlpm.MacVal,_xlpm.CSVVal&lt;&gt;"",_xlpm.CSVVal
)),"")</f>
        <v/>
      </c>
      <c r="N120" s="40"/>
      <c r="O120" s="40" t="str">
        <f>_xlfn.LET(
    _xlpm.CSVVal, _xlfn.XLOOKUP($A120, CSV!$A:$A, CSV!AA:AA, ""),
    _xlpm.MacVal, _xlfn.XLOOKUP($A120, Output_Mac!$A:$A, Output_Mac!S:S, ""),
    _xlpm.MyAuditVal, _xlfn.XLOOKUP($A120, My_Audit!$A:$A, My_Audit!P:P, ""),
    _xlfn.TEXTJOIN(", ", TRUE, _xlpm.MyAuditVal, _xlpm.MacVal, _xlpm.CSVVal)
)</f>
        <v/>
      </c>
      <c r="P120" s="40" t="str" cm="1">
        <f t="array" ref="P120">IFERROR(_xlfn.LET(
_xlpm.CSVVal,_xlfn.XLOOKUP($A120,CSV!$A:$A,CSV!AB:AB,""),
_xlpm.MacVal,_xlfn.XLOOKUP($A120,Output_Mac!$A:$A,Output_Mac!T:T,""),
_xlpm.MyAuditVal,_xlfn.XLOOKUP($A120,My_Audit!$A:$A,My_Audit!Q:Q,""),
_xlfn.IFS(_xlpm.MyAuditVal&lt;&gt;"",UPPER(_xlpm.MyAuditVal),_xlpm.MacVal&lt;&gt;"",_xlpm.MacVal,_xlpm.CSVVal&lt;&gt;"",_xlpm.CSVVal
)),"No")</f>
        <v>No</v>
      </c>
      <c r="Q120" s="40" t="str" cm="1">
        <f t="array" ref="Q120">IFERROR(_xlfn.LET(
_xlpm.CSVVal,_xlfn.XLOOKUP($A120,CSV!$A:$A,CSV!AC:AC,""),
_xlpm.MacVal,_xlfn.XLOOKUP($A120,Output_Mac!$A:$A,Output_Mac!U:U,""),
_xlpm.MyAuditVal,_xlfn.XLOOKUP($A120,My_Audit!$A:$A,My_Audit!R:R,""),
_xlfn.IFS(_xlpm.MyAuditVal&lt;&gt;"",UPPER(_xlpm.MyAuditVal),_xlpm.MacVal&lt;&gt;"",_xlpm.MacVal,_xlpm.CSVVal&lt;&gt;"",_xlpm.CSVVal
)),"")</f>
        <v/>
      </c>
      <c r="R120" s="40"/>
      <c r="S120" s="40"/>
      <c r="T120" s="40"/>
      <c r="U120" s="40"/>
      <c r="V120" s="40"/>
      <c r="W120" s="40"/>
      <c r="X120" s="41" t="str">
        <f>_xlfn.LET(
    _xlpm.MacVal, _xlfn.XLOOKUP($A120, Output_Mac!$A:$A, Output_Mac!AB:AB, ""),
    _xlpm.MyAuditVal, _xlfn.XLOOKUP($A120, My_Audit!$A:$A, My_Audit!N:N, ""),
    _xlfn.TEXTJOIN(", ", TRUE, _xlpm.MyAuditVal, _xlpm.MacVal)
)</f>
        <v/>
      </c>
    </row>
    <row r="121" spans="1:24">
      <c r="A121" s="40" t="str">
        <f>_xlfn.TEXTJOIN("",TRUE,Input!$B$2,ROW(My_Audit!A120))</f>
        <v>X120</v>
      </c>
      <c r="B121" s="40" t="str">
        <f>_xlfn.TEXTJOIN("-",TRUE,"ITD",Input!$A$2,A121)</f>
        <v>ITD-X120</v>
      </c>
      <c r="C121" s="40" t="str" cm="1">
        <f t="array" ref="C121">IFERROR(_xlfn.LET(
_xlpm.CSVVal,_xlfn.XLOOKUP($A121,CSV!$A:$A,CSV!B:B,""),
_xlpm.MacVal,_xlfn.XLOOKUP($A121,Output_Mac!$A:$A,Output_Mac!B:B,""),
_xlpm.MyAuditVal,_xlfn.XLOOKUP($A121,My_Audit!$A:$A,My_Audit!B:B,""),
_xlfn.IFS(_xlpm.MyAuditVal&lt;&gt;"",UPPER(_xlpm.MyAuditVal),_xlpm.MacVal&lt;&gt;"",_xlpm.MacVal,_xlpm.CSVVal&lt;&gt;"",_xlpm.CSVVal
)),"")</f>
        <v/>
      </c>
      <c r="D121" s="40" t="str" cm="1">
        <f t="array" ref="D121">IFERROR(_xlfn.LET(
_xlpm.CSVVal,_xlfn.XLOOKUP($A121,CSV!$A:$A,CSV!D:D,""),
_xlpm.MacVal,_xlfn.XLOOKUP($A121,Output_Mac!$A:$A,Output_Mac!C:C,""),
_xlpm.MyAuditVal,_xlfn.XLOOKUP($A121,My_Audit!$A:$A,My_Audit!C:C,""),
_xlfn.IFS(_xlpm.MyAuditVal&lt;&gt;"",_xlpm.MyAuditVal,_xlpm.MacVal&lt;&gt;"",_xlpm.MacVal,_xlpm.CSVVal&lt;&gt;"",_xlpm.CSVVal
)),"")</f>
        <v/>
      </c>
      <c r="E121" s="40">
        <f>_xlfn.XLOOKUP(A121,My_Audit!A:A,My_Audit!D:D,"")</f>
        <v>0</v>
      </c>
      <c r="F121" s="40" t="str" cm="1">
        <f t="array" ref="F121">IFERROR(_xlfn.LET(
_xlpm.CSVVal,_xlfn.XLOOKUP($A121,CSV!$A:$A,CSV!F:F,""),
_xlpm.MacVal,_xlfn.XLOOKUP($A121,Output_Mac!$A:$A,Output_Mac!E:E,""),
_xlpm.MyAuditVal,_xlfn.XLOOKUP($A121,My_Audit!$A:$A,My_Audit!E:E,""),
_xlfn.IFS(_xlpm.MyAuditVal&lt;&gt;"",_xlpm.MyAuditVal,_xlpm.MacVal&lt;&gt;"",_xlpm.MacVal,_xlpm.CSVVal&lt;&gt;"",_xlpm.CSVVal
)),"")</f>
        <v/>
      </c>
      <c r="G121" s="40" t="str" cm="1">
        <f t="array" ref="G121">IFERROR(_xlfn.LET(
_xlpm.CSVVal,_xlfn.XLOOKUP($A121,CSV!$A:$A,CSV!G:G,""),
_xlpm.MacVal,_xlfn.XLOOKUP($A121,Output_Mac!$A:$A,Output_Mac!F:F,""),
_xlpm.MyAuditVal,_xlfn.XLOOKUP($A121,My_Audit!$A:$A,My_Audit!F:F,""),
_xlfn.IFS(_xlpm.MyAuditVal&lt;&gt;"",_xlpm.MyAuditVal,_xlpm.MacVal&lt;&gt;"",_xlpm.MacVal,_xlpm.CSVVal&lt;&gt;"",PROPER(_xlpm.CSVVal)
)),"")</f>
        <v/>
      </c>
      <c r="H121" s="40" t="str" cm="1">
        <f t="array" ref="H121">IFERROR(_xlfn.LET(
_xlpm.CSVVal,_xlfn.XLOOKUP($A121,CSV!$A:$A,CSV!H:H,""),
_xlpm.MacVal,_xlfn.XLOOKUP($A121,Output_Mac!$A:$A,Output_Mac!H:H,""),
_xlpm.MyAuditVal,_xlfn.XLOOKUP($A121,My_Audit!$A:$A,My_Audit!G:G,""),
_xlfn.IFS(_xlpm.MyAuditVal&lt;&gt;"",_xlpm.MyAuditVal,_xlpm.MacVal&lt;&gt;"",_xlpm.MacVal,_xlpm.CSVVal&lt;&gt;"",_xlpm.CSVVal
)),"")</f>
        <v/>
      </c>
      <c r="I121" s="40" t="str">
        <f>_xlfn.XLOOKUP(A121,Output_Mac!A:A,Output_Mac!I:I,"")</f>
        <v/>
      </c>
      <c r="J121" s="40" t="str" cm="1">
        <f t="array" ref="J121">IFERROR(_xlfn.LET(
_xlpm.CSVVal,_xlfn.XLOOKUP($A121,CSV!$A:$A,CSV!I:I,""),
_xlpm.MacVal,_xlfn.XLOOKUP($A121,Output_Mac!$A:$A,Output_Mac!J:J,""),
_xlpm.MyAuditVal,_xlfn.XLOOKUP($A121,My_Audit!$A:$A,My_Audit!I:I,""),
_xlfn.IFS(_xlpm.MyAuditVal&lt;&gt;"",UPPER(_xlpm.MyAuditVal),_xlpm.MacVal&lt;&gt;"",_xlpm.MacVal,_xlpm.CSVVal&lt;&gt;"",_xlpm.CSVVal
)),"")</f>
        <v/>
      </c>
      <c r="K121" s="40" t="str" cm="1">
        <f t="array" ref="K121">IFERROR(_xlfn.LET(
_xlpm.CSVVal,_xlfn.XLOOKUP($A121,CSV!$A:$A,CSV!K:K,""),
_xlpm.MacVal,_xlfn.XLOOKUP($A121,Output_Mac!$A:$A,Output_Mac!K:K,""),
_xlpm.MyAuditVal,_xlfn.XLOOKUP($A121,My_Audit!$A:$A,My_Audit!J:J,""),
_xlfn.IFS(_xlpm.MyAuditVal&lt;&gt;"",UPPER(_xlpm.MyAuditVal),_xlpm.MacVal&lt;&gt;"",_xlpm.MacVal,_xlpm.CSVVal&lt;&gt;"",_xlpm.CSVVal
)),"")</f>
        <v/>
      </c>
      <c r="L121" s="40" t="str" cm="1">
        <f t="array" ref="L121">IFERROR(_xlfn.LET(
_xlpm.CSVVal,_xlfn.XLOOKUP($A121,CSV!$A:$A,CSV!P:P,""),
_xlpm.MacVal,_xlfn.XLOOKUP($A121,Output_Mac!$A:$A,Output_Mac!L:L,""),
_xlpm.MyAuditVal,_xlfn.XLOOKUP($A121,My_Audit!$A:$A,My_Audit!K:K,""),
_xlfn.IFS(_xlpm.MyAuditVal&lt;&gt;"",UPPER(_xlpm.MyAuditVal),_xlpm.MacVal&lt;&gt;"",_xlpm.MacVal,_xlpm.CSVVal&lt;&gt;"",_xlpm.CSVVal
)),"")</f>
        <v/>
      </c>
      <c r="M121" s="40" t="str" cm="1">
        <f t="array" ref="M121">IFERROR(_xlfn.LET(
_xlpm.CSVVal,_xlfn.XLOOKUP($A121,CSV!$A:$A,CSV!Q:Q,""),
_xlpm.MacVal,_xlfn.XLOOKUP($A121,Output_Mac!$A:$A,Output_Mac!M:M,""),
_xlpm.MyAuditVal,_xlfn.XLOOKUP($A121,My_Audit!$A:$A,My_Audit!L:L,""),
_xlfn.IFS(_xlpm.MyAuditVal&lt;&gt;"",UPPER(_xlpm.MyAuditVal),_xlpm.MacVal&lt;&gt;"",_xlpm.MacVal,_xlpm.CSVVal&lt;&gt;"",_xlpm.CSVVal
)),"")</f>
        <v/>
      </c>
      <c r="N121" s="40"/>
      <c r="O121" s="40" t="str">
        <f>_xlfn.LET(
    _xlpm.CSVVal, _xlfn.XLOOKUP($A121, CSV!$A:$A, CSV!AA:AA, ""),
    _xlpm.MacVal, _xlfn.XLOOKUP($A121, Output_Mac!$A:$A, Output_Mac!S:S, ""),
    _xlpm.MyAuditVal, _xlfn.XLOOKUP($A121, My_Audit!$A:$A, My_Audit!P:P, ""),
    _xlfn.TEXTJOIN(", ", TRUE, _xlpm.MyAuditVal, _xlpm.MacVal, _xlpm.CSVVal)
)</f>
        <v/>
      </c>
      <c r="P121" s="40" t="str" cm="1">
        <f t="array" ref="P121">IFERROR(_xlfn.LET(
_xlpm.CSVVal,_xlfn.XLOOKUP($A121,CSV!$A:$A,CSV!AB:AB,""),
_xlpm.MacVal,_xlfn.XLOOKUP($A121,Output_Mac!$A:$A,Output_Mac!T:T,""),
_xlpm.MyAuditVal,_xlfn.XLOOKUP($A121,My_Audit!$A:$A,My_Audit!Q:Q,""),
_xlfn.IFS(_xlpm.MyAuditVal&lt;&gt;"",UPPER(_xlpm.MyAuditVal),_xlpm.MacVal&lt;&gt;"",_xlpm.MacVal,_xlpm.CSVVal&lt;&gt;"",_xlpm.CSVVal
)),"No")</f>
        <v>No</v>
      </c>
      <c r="Q121" s="40" t="str" cm="1">
        <f t="array" ref="Q121">IFERROR(_xlfn.LET(
_xlpm.CSVVal,_xlfn.XLOOKUP($A121,CSV!$A:$A,CSV!AC:AC,""),
_xlpm.MacVal,_xlfn.XLOOKUP($A121,Output_Mac!$A:$A,Output_Mac!U:U,""),
_xlpm.MyAuditVal,_xlfn.XLOOKUP($A121,My_Audit!$A:$A,My_Audit!R:R,""),
_xlfn.IFS(_xlpm.MyAuditVal&lt;&gt;"",UPPER(_xlpm.MyAuditVal),_xlpm.MacVal&lt;&gt;"",_xlpm.MacVal,_xlpm.CSVVal&lt;&gt;"",_xlpm.CSVVal
)),"")</f>
        <v/>
      </c>
      <c r="R121" s="40"/>
      <c r="S121" s="40"/>
      <c r="T121" s="40"/>
      <c r="U121" s="40"/>
      <c r="V121" s="40"/>
      <c r="W121" s="40"/>
      <c r="X121" s="41" t="str">
        <f>_xlfn.LET(
    _xlpm.MacVal, _xlfn.XLOOKUP($A121, Output_Mac!$A:$A, Output_Mac!AB:AB, ""),
    _xlpm.MyAuditVal, _xlfn.XLOOKUP($A121, My_Audit!$A:$A, My_Audit!N:N, ""),
    _xlfn.TEXTJOIN(", ", TRUE, _xlpm.MyAuditVal, _xlpm.MacVal)
)</f>
        <v/>
      </c>
    </row>
    <row r="122" spans="1:24">
      <c r="A122" s="40" t="str">
        <f>_xlfn.TEXTJOIN("",TRUE,Input!$B$2,ROW(My_Audit!A121))</f>
        <v>X121</v>
      </c>
      <c r="B122" s="40" t="str">
        <f>_xlfn.TEXTJOIN("-",TRUE,"ITD",Input!$A$2,A122)</f>
        <v>ITD-X121</v>
      </c>
      <c r="C122" s="40" t="str" cm="1">
        <f t="array" ref="C122">IFERROR(_xlfn.LET(
_xlpm.CSVVal,_xlfn.XLOOKUP($A122,CSV!$A:$A,CSV!B:B,""),
_xlpm.MacVal,_xlfn.XLOOKUP($A122,Output_Mac!$A:$A,Output_Mac!B:B,""),
_xlpm.MyAuditVal,_xlfn.XLOOKUP($A122,My_Audit!$A:$A,My_Audit!B:B,""),
_xlfn.IFS(_xlpm.MyAuditVal&lt;&gt;"",UPPER(_xlpm.MyAuditVal),_xlpm.MacVal&lt;&gt;"",_xlpm.MacVal,_xlpm.CSVVal&lt;&gt;"",_xlpm.CSVVal
)),"")</f>
        <v/>
      </c>
      <c r="D122" s="40" t="str" cm="1">
        <f t="array" ref="D122">IFERROR(_xlfn.LET(
_xlpm.CSVVal,_xlfn.XLOOKUP($A122,CSV!$A:$A,CSV!D:D,""),
_xlpm.MacVal,_xlfn.XLOOKUP($A122,Output_Mac!$A:$A,Output_Mac!C:C,""),
_xlpm.MyAuditVal,_xlfn.XLOOKUP($A122,My_Audit!$A:$A,My_Audit!C:C,""),
_xlfn.IFS(_xlpm.MyAuditVal&lt;&gt;"",_xlpm.MyAuditVal,_xlpm.MacVal&lt;&gt;"",_xlpm.MacVal,_xlpm.CSVVal&lt;&gt;"",_xlpm.CSVVal
)),"")</f>
        <v/>
      </c>
      <c r="E122" s="40">
        <f>_xlfn.XLOOKUP(A122,My_Audit!A:A,My_Audit!D:D,"")</f>
        <v>0</v>
      </c>
      <c r="F122" s="40" t="str" cm="1">
        <f t="array" ref="F122">IFERROR(_xlfn.LET(
_xlpm.CSVVal,_xlfn.XLOOKUP($A122,CSV!$A:$A,CSV!F:F,""),
_xlpm.MacVal,_xlfn.XLOOKUP($A122,Output_Mac!$A:$A,Output_Mac!E:E,""),
_xlpm.MyAuditVal,_xlfn.XLOOKUP($A122,My_Audit!$A:$A,My_Audit!E:E,""),
_xlfn.IFS(_xlpm.MyAuditVal&lt;&gt;"",_xlpm.MyAuditVal,_xlpm.MacVal&lt;&gt;"",_xlpm.MacVal,_xlpm.CSVVal&lt;&gt;"",_xlpm.CSVVal
)),"")</f>
        <v/>
      </c>
      <c r="G122" s="40" t="str" cm="1">
        <f t="array" ref="G122">IFERROR(_xlfn.LET(
_xlpm.CSVVal,_xlfn.XLOOKUP($A122,CSV!$A:$A,CSV!G:G,""),
_xlpm.MacVal,_xlfn.XLOOKUP($A122,Output_Mac!$A:$A,Output_Mac!F:F,""),
_xlpm.MyAuditVal,_xlfn.XLOOKUP($A122,My_Audit!$A:$A,My_Audit!F:F,""),
_xlfn.IFS(_xlpm.MyAuditVal&lt;&gt;"",_xlpm.MyAuditVal,_xlpm.MacVal&lt;&gt;"",_xlpm.MacVal,_xlpm.CSVVal&lt;&gt;"",PROPER(_xlpm.CSVVal)
)),"")</f>
        <v/>
      </c>
      <c r="H122" s="40" t="str" cm="1">
        <f t="array" ref="H122">IFERROR(_xlfn.LET(
_xlpm.CSVVal,_xlfn.XLOOKUP($A122,CSV!$A:$A,CSV!H:H,""),
_xlpm.MacVal,_xlfn.XLOOKUP($A122,Output_Mac!$A:$A,Output_Mac!H:H,""),
_xlpm.MyAuditVal,_xlfn.XLOOKUP($A122,My_Audit!$A:$A,My_Audit!G:G,""),
_xlfn.IFS(_xlpm.MyAuditVal&lt;&gt;"",_xlpm.MyAuditVal,_xlpm.MacVal&lt;&gt;"",_xlpm.MacVal,_xlpm.CSVVal&lt;&gt;"",_xlpm.CSVVal
)),"")</f>
        <v/>
      </c>
      <c r="I122" s="40" t="str">
        <f>_xlfn.XLOOKUP(A122,Output_Mac!A:A,Output_Mac!I:I,"")</f>
        <v/>
      </c>
      <c r="J122" s="40" t="str" cm="1">
        <f t="array" ref="J122">IFERROR(_xlfn.LET(
_xlpm.CSVVal,_xlfn.XLOOKUP($A122,CSV!$A:$A,CSV!I:I,""),
_xlpm.MacVal,_xlfn.XLOOKUP($A122,Output_Mac!$A:$A,Output_Mac!J:J,""),
_xlpm.MyAuditVal,_xlfn.XLOOKUP($A122,My_Audit!$A:$A,My_Audit!I:I,""),
_xlfn.IFS(_xlpm.MyAuditVal&lt;&gt;"",UPPER(_xlpm.MyAuditVal),_xlpm.MacVal&lt;&gt;"",_xlpm.MacVal,_xlpm.CSVVal&lt;&gt;"",_xlpm.CSVVal
)),"")</f>
        <v/>
      </c>
      <c r="K122" s="40" t="str" cm="1">
        <f t="array" ref="K122">IFERROR(_xlfn.LET(
_xlpm.CSVVal,_xlfn.XLOOKUP($A122,CSV!$A:$A,CSV!K:K,""),
_xlpm.MacVal,_xlfn.XLOOKUP($A122,Output_Mac!$A:$A,Output_Mac!K:K,""),
_xlpm.MyAuditVal,_xlfn.XLOOKUP($A122,My_Audit!$A:$A,My_Audit!J:J,""),
_xlfn.IFS(_xlpm.MyAuditVal&lt;&gt;"",UPPER(_xlpm.MyAuditVal),_xlpm.MacVal&lt;&gt;"",_xlpm.MacVal,_xlpm.CSVVal&lt;&gt;"",_xlpm.CSVVal
)),"")</f>
        <v/>
      </c>
      <c r="L122" s="40" t="str" cm="1">
        <f t="array" ref="L122">IFERROR(_xlfn.LET(
_xlpm.CSVVal,_xlfn.XLOOKUP($A122,CSV!$A:$A,CSV!P:P,""),
_xlpm.MacVal,_xlfn.XLOOKUP($A122,Output_Mac!$A:$A,Output_Mac!L:L,""),
_xlpm.MyAuditVal,_xlfn.XLOOKUP($A122,My_Audit!$A:$A,My_Audit!K:K,""),
_xlfn.IFS(_xlpm.MyAuditVal&lt;&gt;"",UPPER(_xlpm.MyAuditVal),_xlpm.MacVal&lt;&gt;"",_xlpm.MacVal,_xlpm.CSVVal&lt;&gt;"",_xlpm.CSVVal
)),"")</f>
        <v/>
      </c>
      <c r="M122" s="40" t="str" cm="1">
        <f t="array" ref="M122">IFERROR(_xlfn.LET(
_xlpm.CSVVal,_xlfn.XLOOKUP($A122,CSV!$A:$A,CSV!Q:Q,""),
_xlpm.MacVal,_xlfn.XLOOKUP($A122,Output_Mac!$A:$A,Output_Mac!M:M,""),
_xlpm.MyAuditVal,_xlfn.XLOOKUP($A122,My_Audit!$A:$A,My_Audit!L:L,""),
_xlfn.IFS(_xlpm.MyAuditVal&lt;&gt;"",UPPER(_xlpm.MyAuditVal),_xlpm.MacVal&lt;&gt;"",_xlpm.MacVal,_xlpm.CSVVal&lt;&gt;"",_xlpm.CSVVal
)),"")</f>
        <v/>
      </c>
      <c r="N122" s="40"/>
      <c r="O122" s="40" t="str">
        <f>_xlfn.LET(
    _xlpm.CSVVal, _xlfn.XLOOKUP($A122, CSV!$A:$A, CSV!AA:AA, ""),
    _xlpm.MacVal, _xlfn.XLOOKUP($A122, Output_Mac!$A:$A, Output_Mac!S:S, ""),
    _xlpm.MyAuditVal, _xlfn.XLOOKUP($A122, My_Audit!$A:$A, My_Audit!P:P, ""),
    _xlfn.TEXTJOIN(", ", TRUE, _xlpm.MyAuditVal, _xlpm.MacVal, _xlpm.CSVVal)
)</f>
        <v/>
      </c>
      <c r="P122" s="40" t="str" cm="1">
        <f t="array" ref="P122">IFERROR(_xlfn.LET(
_xlpm.CSVVal,_xlfn.XLOOKUP($A122,CSV!$A:$A,CSV!AB:AB,""),
_xlpm.MacVal,_xlfn.XLOOKUP($A122,Output_Mac!$A:$A,Output_Mac!T:T,""),
_xlpm.MyAuditVal,_xlfn.XLOOKUP($A122,My_Audit!$A:$A,My_Audit!Q:Q,""),
_xlfn.IFS(_xlpm.MyAuditVal&lt;&gt;"",UPPER(_xlpm.MyAuditVal),_xlpm.MacVal&lt;&gt;"",_xlpm.MacVal,_xlpm.CSVVal&lt;&gt;"",_xlpm.CSVVal
)),"No")</f>
        <v>No</v>
      </c>
      <c r="Q122" s="40" t="str" cm="1">
        <f t="array" ref="Q122">IFERROR(_xlfn.LET(
_xlpm.CSVVal,_xlfn.XLOOKUP($A122,CSV!$A:$A,CSV!AC:AC,""),
_xlpm.MacVal,_xlfn.XLOOKUP($A122,Output_Mac!$A:$A,Output_Mac!U:U,""),
_xlpm.MyAuditVal,_xlfn.XLOOKUP($A122,My_Audit!$A:$A,My_Audit!R:R,""),
_xlfn.IFS(_xlpm.MyAuditVal&lt;&gt;"",UPPER(_xlpm.MyAuditVal),_xlpm.MacVal&lt;&gt;"",_xlpm.MacVal,_xlpm.CSVVal&lt;&gt;"",_xlpm.CSVVal
)),"")</f>
        <v/>
      </c>
      <c r="R122" s="40"/>
      <c r="S122" s="40"/>
      <c r="T122" s="40"/>
      <c r="U122" s="40"/>
      <c r="V122" s="40"/>
      <c r="W122" s="40"/>
      <c r="X122" s="41" t="str">
        <f>_xlfn.LET(
    _xlpm.MacVal, _xlfn.XLOOKUP($A122, Output_Mac!$A:$A, Output_Mac!AB:AB, ""),
    _xlpm.MyAuditVal, _xlfn.XLOOKUP($A122, My_Audit!$A:$A, My_Audit!N:N, ""),
    _xlfn.TEXTJOIN(", ", TRUE, _xlpm.MyAuditVal, _xlpm.MacVal)
)</f>
        <v/>
      </c>
    </row>
    <row r="123" spans="1:24">
      <c r="A123" s="40" t="str">
        <f>_xlfn.TEXTJOIN("",TRUE,Input!$B$2,ROW(My_Audit!A122))</f>
        <v>X122</v>
      </c>
      <c r="B123" s="40" t="str">
        <f>_xlfn.TEXTJOIN("-",TRUE,"ITD",Input!$A$2,A123)</f>
        <v>ITD-X122</v>
      </c>
      <c r="C123" s="40" t="str" cm="1">
        <f t="array" ref="C123">IFERROR(_xlfn.LET(
_xlpm.CSVVal,_xlfn.XLOOKUP($A123,CSV!$A:$A,CSV!B:B,""),
_xlpm.MacVal,_xlfn.XLOOKUP($A123,Output_Mac!$A:$A,Output_Mac!B:B,""),
_xlpm.MyAuditVal,_xlfn.XLOOKUP($A123,My_Audit!$A:$A,My_Audit!B:B,""),
_xlfn.IFS(_xlpm.MyAuditVal&lt;&gt;"",UPPER(_xlpm.MyAuditVal),_xlpm.MacVal&lt;&gt;"",_xlpm.MacVal,_xlpm.CSVVal&lt;&gt;"",_xlpm.CSVVal
)),"")</f>
        <v/>
      </c>
      <c r="D123" s="40" t="str" cm="1">
        <f t="array" ref="D123">IFERROR(_xlfn.LET(
_xlpm.CSVVal,_xlfn.XLOOKUP($A123,CSV!$A:$A,CSV!D:D,""),
_xlpm.MacVal,_xlfn.XLOOKUP($A123,Output_Mac!$A:$A,Output_Mac!C:C,""),
_xlpm.MyAuditVal,_xlfn.XLOOKUP($A123,My_Audit!$A:$A,My_Audit!C:C,""),
_xlfn.IFS(_xlpm.MyAuditVal&lt;&gt;"",_xlpm.MyAuditVal,_xlpm.MacVal&lt;&gt;"",_xlpm.MacVal,_xlpm.CSVVal&lt;&gt;"",_xlpm.CSVVal
)),"")</f>
        <v/>
      </c>
      <c r="E123" s="40">
        <f>_xlfn.XLOOKUP(A123,My_Audit!A:A,My_Audit!D:D,"")</f>
        <v>0</v>
      </c>
      <c r="F123" s="40" t="str" cm="1">
        <f t="array" ref="F123">IFERROR(_xlfn.LET(
_xlpm.CSVVal,_xlfn.XLOOKUP($A123,CSV!$A:$A,CSV!F:F,""),
_xlpm.MacVal,_xlfn.XLOOKUP($A123,Output_Mac!$A:$A,Output_Mac!E:E,""),
_xlpm.MyAuditVal,_xlfn.XLOOKUP($A123,My_Audit!$A:$A,My_Audit!E:E,""),
_xlfn.IFS(_xlpm.MyAuditVal&lt;&gt;"",_xlpm.MyAuditVal,_xlpm.MacVal&lt;&gt;"",_xlpm.MacVal,_xlpm.CSVVal&lt;&gt;"",_xlpm.CSVVal
)),"")</f>
        <v/>
      </c>
      <c r="G123" s="40" t="str" cm="1">
        <f t="array" ref="G123">IFERROR(_xlfn.LET(
_xlpm.CSVVal,_xlfn.XLOOKUP($A123,CSV!$A:$A,CSV!G:G,""),
_xlpm.MacVal,_xlfn.XLOOKUP($A123,Output_Mac!$A:$A,Output_Mac!F:F,""),
_xlpm.MyAuditVal,_xlfn.XLOOKUP($A123,My_Audit!$A:$A,My_Audit!F:F,""),
_xlfn.IFS(_xlpm.MyAuditVal&lt;&gt;"",_xlpm.MyAuditVal,_xlpm.MacVal&lt;&gt;"",_xlpm.MacVal,_xlpm.CSVVal&lt;&gt;"",PROPER(_xlpm.CSVVal)
)),"")</f>
        <v/>
      </c>
      <c r="H123" s="40" t="str" cm="1">
        <f t="array" ref="H123">IFERROR(_xlfn.LET(
_xlpm.CSVVal,_xlfn.XLOOKUP($A123,CSV!$A:$A,CSV!H:H,""),
_xlpm.MacVal,_xlfn.XLOOKUP($A123,Output_Mac!$A:$A,Output_Mac!H:H,""),
_xlpm.MyAuditVal,_xlfn.XLOOKUP($A123,My_Audit!$A:$A,My_Audit!G:G,""),
_xlfn.IFS(_xlpm.MyAuditVal&lt;&gt;"",_xlpm.MyAuditVal,_xlpm.MacVal&lt;&gt;"",_xlpm.MacVal,_xlpm.CSVVal&lt;&gt;"",_xlpm.CSVVal
)),"")</f>
        <v/>
      </c>
      <c r="I123" s="40" t="str">
        <f>_xlfn.XLOOKUP(A123,Output_Mac!A:A,Output_Mac!I:I,"")</f>
        <v/>
      </c>
      <c r="J123" s="40" t="str" cm="1">
        <f t="array" ref="J123">IFERROR(_xlfn.LET(
_xlpm.CSVVal,_xlfn.XLOOKUP($A123,CSV!$A:$A,CSV!I:I,""),
_xlpm.MacVal,_xlfn.XLOOKUP($A123,Output_Mac!$A:$A,Output_Mac!J:J,""),
_xlpm.MyAuditVal,_xlfn.XLOOKUP($A123,My_Audit!$A:$A,My_Audit!I:I,""),
_xlfn.IFS(_xlpm.MyAuditVal&lt;&gt;"",UPPER(_xlpm.MyAuditVal),_xlpm.MacVal&lt;&gt;"",_xlpm.MacVal,_xlpm.CSVVal&lt;&gt;"",_xlpm.CSVVal
)),"")</f>
        <v/>
      </c>
      <c r="K123" s="40" t="str" cm="1">
        <f t="array" ref="K123">IFERROR(_xlfn.LET(
_xlpm.CSVVal,_xlfn.XLOOKUP($A123,CSV!$A:$A,CSV!K:K,""),
_xlpm.MacVal,_xlfn.XLOOKUP($A123,Output_Mac!$A:$A,Output_Mac!K:K,""),
_xlpm.MyAuditVal,_xlfn.XLOOKUP($A123,My_Audit!$A:$A,My_Audit!J:J,""),
_xlfn.IFS(_xlpm.MyAuditVal&lt;&gt;"",UPPER(_xlpm.MyAuditVal),_xlpm.MacVal&lt;&gt;"",_xlpm.MacVal,_xlpm.CSVVal&lt;&gt;"",_xlpm.CSVVal
)),"")</f>
        <v/>
      </c>
      <c r="L123" s="40" t="str" cm="1">
        <f t="array" ref="L123">IFERROR(_xlfn.LET(
_xlpm.CSVVal,_xlfn.XLOOKUP($A123,CSV!$A:$A,CSV!P:P,""),
_xlpm.MacVal,_xlfn.XLOOKUP($A123,Output_Mac!$A:$A,Output_Mac!L:L,""),
_xlpm.MyAuditVal,_xlfn.XLOOKUP($A123,My_Audit!$A:$A,My_Audit!K:K,""),
_xlfn.IFS(_xlpm.MyAuditVal&lt;&gt;"",UPPER(_xlpm.MyAuditVal),_xlpm.MacVal&lt;&gt;"",_xlpm.MacVal,_xlpm.CSVVal&lt;&gt;"",_xlpm.CSVVal
)),"")</f>
        <v/>
      </c>
      <c r="M123" s="40" t="str" cm="1">
        <f t="array" ref="M123">IFERROR(_xlfn.LET(
_xlpm.CSVVal,_xlfn.XLOOKUP($A123,CSV!$A:$A,CSV!Q:Q,""),
_xlpm.MacVal,_xlfn.XLOOKUP($A123,Output_Mac!$A:$A,Output_Mac!M:M,""),
_xlpm.MyAuditVal,_xlfn.XLOOKUP($A123,My_Audit!$A:$A,My_Audit!L:L,""),
_xlfn.IFS(_xlpm.MyAuditVal&lt;&gt;"",UPPER(_xlpm.MyAuditVal),_xlpm.MacVal&lt;&gt;"",_xlpm.MacVal,_xlpm.CSVVal&lt;&gt;"",_xlpm.CSVVal
)),"")</f>
        <v/>
      </c>
      <c r="N123" s="40"/>
      <c r="O123" s="40" t="str">
        <f>_xlfn.LET(
    _xlpm.CSVVal, _xlfn.XLOOKUP($A123, CSV!$A:$A, CSV!AA:AA, ""),
    _xlpm.MacVal, _xlfn.XLOOKUP($A123, Output_Mac!$A:$A, Output_Mac!S:S, ""),
    _xlpm.MyAuditVal, _xlfn.XLOOKUP($A123, My_Audit!$A:$A, My_Audit!P:P, ""),
    _xlfn.TEXTJOIN(", ", TRUE, _xlpm.MyAuditVal, _xlpm.MacVal, _xlpm.CSVVal)
)</f>
        <v/>
      </c>
      <c r="P123" s="40" t="str" cm="1">
        <f t="array" ref="P123">IFERROR(_xlfn.LET(
_xlpm.CSVVal,_xlfn.XLOOKUP($A123,CSV!$A:$A,CSV!AB:AB,""),
_xlpm.MacVal,_xlfn.XLOOKUP($A123,Output_Mac!$A:$A,Output_Mac!T:T,""),
_xlpm.MyAuditVal,_xlfn.XLOOKUP($A123,My_Audit!$A:$A,My_Audit!Q:Q,""),
_xlfn.IFS(_xlpm.MyAuditVal&lt;&gt;"",UPPER(_xlpm.MyAuditVal),_xlpm.MacVal&lt;&gt;"",_xlpm.MacVal,_xlpm.CSVVal&lt;&gt;"",_xlpm.CSVVal
)),"No")</f>
        <v>No</v>
      </c>
      <c r="Q123" s="40" t="str" cm="1">
        <f t="array" ref="Q123">IFERROR(_xlfn.LET(
_xlpm.CSVVal,_xlfn.XLOOKUP($A123,CSV!$A:$A,CSV!AC:AC,""),
_xlpm.MacVal,_xlfn.XLOOKUP($A123,Output_Mac!$A:$A,Output_Mac!U:U,""),
_xlpm.MyAuditVal,_xlfn.XLOOKUP($A123,My_Audit!$A:$A,My_Audit!R:R,""),
_xlfn.IFS(_xlpm.MyAuditVal&lt;&gt;"",UPPER(_xlpm.MyAuditVal),_xlpm.MacVal&lt;&gt;"",_xlpm.MacVal,_xlpm.CSVVal&lt;&gt;"",_xlpm.CSVVal
)),"")</f>
        <v/>
      </c>
      <c r="R123" s="40"/>
      <c r="S123" s="40"/>
      <c r="T123" s="40"/>
      <c r="U123" s="40"/>
      <c r="V123" s="40"/>
      <c r="W123" s="40"/>
      <c r="X123" s="41" t="str">
        <f>_xlfn.LET(
    _xlpm.MacVal, _xlfn.XLOOKUP($A123, Output_Mac!$A:$A, Output_Mac!AB:AB, ""),
    _xlpm.MyAuditVal, _xlfn.XLOOKUP($A123, My_Audit!$A:$A, My_Audit!N:N, ""),
    _xlfn.TEXTJOIN(", ", TRUE, _xlpm.MyAuditVal, _xlpm.MacVal)
)</f>
        <v/>
      </c>
    </row>
    <row r="124" spans="1:24">
      <c r="A124" s="40" t="str">
        <f>_xlfn.TEXTJOIN("",TRUE,Input!$B$2,ROW(My_Audit!A123))</f>
        <v>X123</v>
      </c>
      <c r="B124" s="40" t="str">
        <f>_xlfn.TEXTJOIN("-",TRUE,"ITD",Input!$A$2,A124)</f>
        <v>ITD-X123</v>
      </c>
      <c r="C124" s="40" t="str" cm="1">
        <f t="array" ref="C124">IFERROR(_xlfn.LET(
_xlpm.CSVVal,_xlfn.XLOOKUP($A124,CSV!$A:$A,CSV!B:B,""),
_xlpm.MacVal,_xlfn.XLOOKUP($A124,Output_Mac!$A:$A,Output_Mac!B:B,""),
_xlpm.MyAuditVal,_xlfn.XLOOKUP($A124,My_Audit!$A:$A,My_Audit!B:B,""),
_xlfn.IFS(_xlpm.MyAuditVal&lt;&gt;"",UPPER(_xlpm.MyAuditVal),_xlpm.MacVal&lt;&gt;"",_xlpm.MacVal,_xlpm.CSVVal&lt;&gt;"",_xlpm.CSVVal
)),"")</f>
        <v/>
      </c>
      <c r="D124" s="40" t="str" cm="1">
        <f t="array" ref="D124">IFERROR(_xlfn.LET(
_xlpm.CSVVal,_xlfn.XLOOKUP($A124,CSV!$A:$A,CSV!D:D,""),
_xlpm.MacVal,_xlfn.XLOOKUP($A124,Output_Mac!$A:$A,Output_Mac!C:C,""),
_xlpm.MyAuditVal,_xlfn.XLOOKUP($A124,My_Audit!$A:$A,My_Audit!C:C,""),
_xlfn.IFS(_xlpm.MyAuditVal&lt;&gt;"",_xlpm.MyAuditVal,_xlpm.MacVal&lt;&gt;"",_xlpm.MacVal,_xlpm.CSVVal&lt;&gt;"",_xlpm.CSVVal
)),"")</f>
        <v/>
      </c>
      <c r="E124" s="40">
        <f>_xlfn.XLOOKUP(A124,My_Audit!A:A,My_Audit!D:D,"")</f>
        <v>0</v>
      </c>
      <c r="F124" s="40" t="str" cm="1">
        <f t="array" ref="F124">IFERROR(_xlfn.LET(
_xlpm.CSVVal,_xlfn.XLOOKUP($A124,CSV!$A:$A,CSV!F:F,""),
_xlpm.MacVal,_xlfn.XLOOKUP($A124,Output_Mac!$A:$A,Output_Mac!E:E,""),
_xlpm.MyAuditVal,_xlfn.XLOOKUP($A124,My_Audit!$A:$A,My_Audit!E:E,""),
_xlfn.IFS(_xlpm.MyAuditVal&lt;&gt;"",_xlpm.MyAuditVal,_xlpm.MacVal&lt;&gt;"",_xlpm.MacVal,_xlpm.CSVVal&lt;&gt;"",_xlpm.CSVVal
)),"")</f>
        <v/>
      </c>
      <c r="G124" s="40" t="str" cm="1">
        <f t="array" ref="G124">IFERROR(_xlfn.LET(
_xlpm.CSVVal,_xlfn.XLOOKUP($A124,CSV!$A:$A,CSV!G:G,""),
_xlpm.MacVal,_xlfn.XLOOKUP($A124,Output_Mac!$A:$A,Output_Mac!F:F,""),
_xlpm.MyAuditVal,_xlfn.XLOOKUP($A124,My_Audit!$A:$A,My_Audit!F:F,""),
_xlfn.IFS(_xlpm.MyAuditVal&lt;&gt;"",_xlpm.MyAuditVal,_xlpm.MacVal&lt;&gt;"",_xlpm.MacVal,_xlpm.CSVVal&lt;&gt;"",PROPER(_xlpm.CSVVal)
)),"")</f>
        <v/>
      </c>
      <c r="H124" s="40" t="str" cm="1">
        <f t="array" ref="H124">IFERROR(_xlfn.LET(
_xlpm.CSVVal,_xlfn.XLOOKUP($A124,CSV!$A:$A,CSV!H:H,""),
_xlpm.MacVal,_xlfn.XLOOKUP($A124,Output_Mac!$A:$A,Output_Mac!H:H,""),
_xlpm.MyAuditVal,_xlfn.XLOOKUP($A124,My_Audit!$A:$A,My_Audit!G:G,""),
_xlfn.IFS(_xlpm.MyAuditVal&lt;&gt;"",_xlpm.MyAuditVal,_xlpm.MacVal&lt;&gt;"",_xlpm.MacVal,_xlpm.CSVVal&lt;&gt;"",_xlpm.CSVVal
)),"")</f>
        <v/>
      </c>
      <c r="I124" s="40" t="str">
        <f>_xlfn.XLOOKUP(A124,Output_Mac!A:A,Output_Mac!I:I,"")</f>
        <v/>
      </c>
      <c r="J124" s="40" t="str" cm="1">
        <f t="array" ref="J124">IFERROR(_xlfn.LET(
_xlpm.CSVVal,_xlfn.XLOOKUP($A124,CSV!$A:$A,CSV!I:I,""),
_xlpm.MacVal,_xlfn.XLOOKUP($A124,Output_Mac!$A:$A,Output_Mac!J:J,""),
_xlpm.MyAuditVal,_xlfn.XLOOKUP($A124,My_Audit!$A:$A,My_Audit!I:I,""),
_xlfn.IFS(_xlpm.MyAuditVal&lt;&gt;"",UPPER(_xlpm.MyAuditVal),_xlpm.MacVal&lt;&gt;"",_xlpm.MacVal,_xlpm.CSVVal&lt;&gt;"",_xlpm.CSVVal
)),"")</f>
        <v/>
      </c>
      <c r="K124" s="40" t="str" cm="1">
        <f t="array" ref="K124">IFERROR(_xlfn.LET(
_xlpm.CSVVal,_xlfn.XLOOKUP($A124,CSV!$A:$A,CSV!K:K,""),
_xlpm.MacVal,_xlfn.XLOOKUP($A124,Output_Mac!$A:$A,Output_Mac!K:K,""),
_xlpm.MyAuditVal,_xlfn.XLOOKUP($A124,My_Audit!$A:$A,My_Audit!J:J,""),
_xlfn.IFS(_xlpm.MyAuditVal&lt;&gt;"",UPPER(_xlpm.MyAuditVal),_xlpm.MacVal&lt;&gt;"",_xlpm.MacVal,_xlpm.CSVVal&lt;&gt;"",_xlpm.CSVVal
)),"")</f>
        <v/>
      </c>
      <c r="L124" s="40" t="str" cm="1">
        <f t="array" ref="L124">IFERROR(_xlfn.LET(
_xlpm.CSVVal,_xlfn.XLOOKUP($A124,CSV!$A:$A,CSV!P:P,""),
_xlpm.MacVal,_xlfn.XLOOKUP($A124,Output_Mac!$A:$A,Output_Mac!L:L,""),
_xlpm.MyAuditVal,_xlfn.XLOOKUP($A124,My_Audit!$A:$A,My_Audit!K:K,""),
_xlfn.IFS(_xlpm.MyAuditVal&lt;&gt;"",UPPER(_xlpm.MyAuditVal),_xlpm.MacVal&lt;&gt;"",_xlpm.MacVal,_xlpm.CSVVal&lt;&gt;"",_xlpm.CSVVal
)),"")</f>
        <v/>
      </c>
      <c r="M124" s="40" t="str" cm="1">
        <f t="array" ref="M124">IFERROR(_xlfn.LET(
_xlpm.CSVVal,_xlfn.XLOOKUP($A124,CSV!$A:$A,CSV!Q:Q,""),
_xlpm.MacVal,_xlfn.XLOOKUP($A124,Output_Mac!$A:$A,Output_Mac!M:M,""),
_xlpm.MyAuditVal,_xlfn.XLOOKUP($A124,My_Audit!$A:$A,My_Audit!L:L,""),
_xlfn.IFS(_xlpm.MyAuditVal&lt;&gt;"",UPPER(_xlpm.MyAuditVal),_xlpm.MacVal&lt;&gt;"",_xlpm.MacVal,_xlpm.CSVVal&lt;&gt;"",_xlpm.CSVVal
)),"")</f>
        <v/>
      </c>
      <c r="N124" s="40"/>
      <c r="O124" s="40" t="str">
        <f>_xlfn.LET(
    _xlpm.CSVVal, _xlfn.XLOOKUP($A124, CSV!$A:$A, CSV!AA:AA, ""),
    _xlpm.MacVal, _xlfn.XLOOKUP($A124, Output_Mac!$A:$A, Output_Mac!S:S, ""),
    _xlpm.MyAuditVal, _xlfn.XLOOKUP($A124, My_Audit!$A:$A, My_Audit!P:P, ""),
    _xlfn.TEXTJOIN(", ", TRUE, _xlpm.MyAuditVal, _xlpm.MacVal, _xlpm.CSVVal)
)</f>
        <v/>
      </c>
      <c r="P124" s="40" t="str" cm="1">
        <f t="array" ref="P124">IFERROR(_xlfn.LET(
_xlpm.CSVVal,_xlfn.XLOOKUP($A124,CSV!$A:$A,CSV!AB:AB,""),
_xlpm.MacVal,_xlfn.XLOOKUP($A124,Output_Mac!$A:$A,Output_Mac!T:T,""),
_xlpm.MyAuditVal,_xlfn.XLOOKUP($A124,My_Audit!$A:$A,My_Audit!Q:Q,""),
_xlfn.IFS(_xlpm.MyAuditVal&lt;&gt;"",UPPER(_xlpm.MyAuditVal),_xlpm.MacVal&lt;&gt;"",_xlpm.MacVal,_xlpm.CSVVal&lt;&gt;"",_xlpm.CSVVal
)),"No")</f>
        <v>No</v>
      </c>
      <c r="Q124" s="40" t="str" cm="1">
        <f t="array" ref="Q124">IFERROR(_xlfn.LET(
_xlpm.CSVVal,_xlfn.XLOOKUP($A124,CSV!$A:$A,CSV!AC:AC,""),
_xlpm.MacVal,_xlfn.XLOOKUP($A124,Output_Mac!$A:$A,Output_Mac!U:U,""),
_xlpm.MyAuditVal,_xlfn.XLOOKUP($A124,My_Audit!$A:$A,My_Audit!R:R,""),
_xlfn.IFS(_xlpm.MyAuditVal&lt;&gt;"",UPPER(_xlpm.MyAuditVal),_xlpm.MacVal&lt;&gt;"",_xlpm.MacVal,_xlpm.CSVVal&lt;&gt;"",_xlpm.CSVVal
)),"")</f>
        <v/>
      </c>
      <c r="R124" s="40"/>
      <c r="S124" s="40"/>
      <c r="T124" s="40"/>
      <c r="U124" s="40"/>
      <c r="V124" s="40"/>
      <c r="W124" s="40"/>
      <c r="X124" s="41" t="str">
        <f>_xlfn.LET(
    _xlpm.MacVal, _xlfn.XLOOKUP($A124, Output_Mac!$A:$A, Output_Mac!AB:AB, ""),
    _xlpm.MyAuditVal, _xlfn.XLOOKUP($A124, My_Audit!$A:$A, My_Audit!N:N, ""),
    _xlfn.TEXTJOIN(", ", TRUE, _xlpm.MyAuditVal, _xlpm.MacVal)
)</f>
        <v/>
      </c>
    </row>
    <row r="125" spans="1:24">
      <c r="A125" s="40" t="str">
        <f>_xlfn.TEXTJOIN("",TRUE,Input!$B$2,ROW(My_Audit!A124))</f>
        <v>X124</v>
      </c>
      <c r="B125" s="40" t="str">
        <f>_xlfn.TEXTJOIN("-",TRUE,"ITD",Input!$A$2,A125)</f>
        <v>ITD-X124</v>
      </c>
      <c r="C125" s="40" t="str" cm="1">
        <f t="array" ref="C125">IFERROR(_xlfn.LET(
_xlpm.CSVVal,_xlfn.XLOOKUP($A125,CSV!$A:$A,CSV!B:B,""),
_xlpm.MacVal,_xlfn.XLOOKUP($A125,Output_Mac!$A:$A,Output_Mac!B:B,""),
_xlpm.MyAuditVal,_xlfn.XLOOKUP($A125,My_Audit!$A:$A,My_Audit!B:B,""),
_xlfn.IFS(_xlpm.MyAuditVal&lt;&gt;"",UPPER(_xlpm.MyAuditVal),_xlpm.MacVal&lt;&gt;"",_xlpm.MacVal,_xlpm.CSVVal&lt;&gt;"",_xlpm.CSVVal
)),"")</f>
        <v/>
      </c>
      <c r="D125" s="40" t="str" cm="1">
        <f t="array" ref="D125">IFERROR(_xlfn.LET(
_xlpm.CSVVal,_xlfn.XLOOKUP($A125,CSV!$A:$A,CSV!D:D,""),
_xlpm.MacVal,_xlfn.XLOOKUP($A125,Output_Mac!$A:$A,Output_Mac!C:C,""),
_xlpm.MyAuditVal,_xlfn.XLOOKUP($A125,My_Audit!$A:$A,My_Audit!C:C,""),
_xlfn.IFS(_xlpm.MyAuditVal&lt;&gt;"",_xlpm.MyAuditVal,_xlpm.MacVal&lt;&gt;"",_xlpm.MacVal,_xlpm.CSVVal&lt;&gt;"",_xlpm.CSVVal
)),"")</f>
        <v/>
      </c>
      <c r="E125" s="40">
        <f>_xlfn.XLOOKUP(A125,My_Audit!A:A,My_Audit!D:D,"")</f>
        <v>0</v>
      </c>
      <c r="F125" s="40" t="str" cm="1">
        <f t="array" ref="F125">IFERROR(_xlfn.LET(
_xlpm.CSVVal,_xlfn.XLOOKUP($A125,CSV!$A:$A,CSV!F:F,""),
_xlpm.MacVal,_xlfn.XLOOKUP($A125,Output_Mac!$A:$A,Output_Mac!E:E,""),
_xlpm.MyAuditVal,_xlfn.XLOOKUP($A125,My_Audit!$A:$A,My_Audit!E:E,""),
_xlfn.IFS(_xlpm.MyAuditVal&lt;&gt;"",_xlpm.MyAuditVal,_xlpm.MacVal&lt;&gt;"",_xlpm.MacVal,_xlpm.CSVVal&lt;&gt;"",_xlpm.CSVVal
)),"")</f>
        <v/>
      </c>
      <c r="G125" s="40" t="str" cm="1">
        <f t="array" ref="G125">IFERROR(_xlfn.LET(
_xlpm.CSVVal,_xlfn.XLOOKUP($A125,CSV!$A:$A,CSV!G:G,""),
_xlpm.MacVal,_xlfn.XLOOKUP($A125,Output_Mac!$A:$A,Output_Mac!F:F,""),
_xlpm.MyAuditVal,_xlfn.XLOOKUP($A125,My_Audit!$A:$A,My_Audit!F:F,""),
_xlfn.IFS(_xlpm.MyAuditVal&lt;&gt;"",_xlpm.MyAuditVal,_xlpm.MacVal&lt;&gt;"",_xlpm.MacVal,_xlpm.CSVVal&lt;&gt;"",PROPER(_xlpm.CSVVal)
)),"")</f>
        <v/>
      </c>
      <c r="H125" s="40" t="str" cm="1">
        <f t="array" ref="H125">IFERROR(_xlfn.LET(
_xlpm.CSVVal,_xlfn.XLOOKUP($A125,CSV!$A:$A,CSV!H:H,""),
_xlpm.MacVal,_xlfn.XLOOKUP($A125,Output_Mac!$A:$A,Output_Mac!H:H,""),
_xlpm.MyAuditVal,_xlfn.XLOOKUP($A125,My_Audit!$A:$A,My_Audit!G:G,""),
_xlfn.IFS(_xlpm.MyAuditVal&lt;&gt;"",_xlpm.MyAuditVal,_xlpm.MacVal&lt;&gt;"",_xlpm.MacVal,_xlpm.CSVVal&lt;&gt;"",_xlpm.CSVVal
)),"")</f>
        <v/>
      </c>
      <c r="I125" s="40" t="str">
        <f>_xlfn.XLOOKUP(A125,Output_Mac!A:A,Output_Mac!I:I,"")</f>
        <v/>
      </c>
      <c r="J125" s="40" t="str" cm="1">
        <f t="array" ref="J125">IFERROR(_xlfn.LET(
_xlpm.CSVVal,_xlfn.XLOOKUP($A125,CSV!$A:$A,CSV!I:I,""),
_xlpm.MacVal,_xlfn.XLOOKUP($A125,Output_Mac!$A:$A,Output_Mac!J:J,""),
_xlpm.MyAuditVal,_xlfn.XLOOKUP($A125,My_Audit!$A:$A,My_Audit!I:I,""),
_xlfn.IFS(_xlpm.MyAuditVal&lt;&gt;"",UPPER(_xlpm.MyAuditVal),_xlpm.MacVal&lt;&gt;"",_xlpm.MacVal,_xlpm.CSVVal&lt;&gt;"",_xlpm.CSVVal
)),"")</f>
        <v/>
      </c>
      <c r="K125" s="40" t="str" cm="1">
        <f t="array" ref="K125">IFERROR(_xlfn.LET(
_xlpm.CSVVal,_xlfn.XLOOKUP($A125,CSV!$A:$A,CSV!K:K,""),
_xlpm.MacVal,_xlfn.XLOOKUP($A125,Output_Mac!$A:$A,Output_Mac!K:K,""),
_xlpm.MyAuditVal,_xlfn.XLOOKUP($A125,My_Audit!$A:$A,My_Audit!J:J,""),
_xlfn.IFS(_xlpm.MyAuditVal&lt;&gt;"",UPPER(_xlpm.MyAuditVal),_xlpm.MacVal&lt;&gt;"",_xlpm.MacVal,_xlpm.CSVVal&lt;&gt;"",_xlpm.CSVVal
)),"")</f>
        <v/>
      </c>
      <c r="L125" s="40" t="str" cm="1">
        <f t="array" ref="L125">IFERROR(_xlfn.LET(
_xlpm.CSVVal,_xlfn.XLOOKUP($A125,CSV!$A:$A,CSV!P:P,""),
_xlpm.MacVal,_xlfn.XLOOKUP($A125,Output_Mac!$A:$A,Output_Mac!L:L,""),
_xlpm.MyAuditVal,_xlfn.XLOOKUP($A125,My_Audit!$A:$A,My_Audit!K:K,""),
_xlfn.IFS(_xlpm.MyAuditVal&lt;&gt;"",UPPER(_xlpm.MyAuditVal),_xlpm.MacVal&lt;&gt;"",_xlpm.MacVal,_xlpm.CSVVal&lt;&gt;"",_xlpm.CSVVal
)),"")</f>
        <v/>
      </c>
      <c r="M125" s="40" t="str" cm="1">
        <f t="array" ref="M125">IFERROR(_xlfn.LET(
_xlpm.CSVVal,_xlfn.XLOOKUP($A125,CSV!$A:$A,CSV!Q:Q,""),
_xlpm.MacVal,_xlfn.XLOOKUP($A125,Output_Mac!$A:$A,Output_Mac!M:M,""),
_xlpm.MyAuditVal,_xlfn.XLOOKUP($A125,My_Audit!$A:$A,My_Audit!L:L,""),
_xlfn.IFS(_xlpm.MyAuditVal&lt;&gt;"",UPPER(_xlpm.MyAuditVal),_xlpm.MacVal&lt;&gt;"",_xlpm.MacVal,_xlpm.CSVVal&lt;&gt;"",_xlpm.CSVVal
)),"")</f>
        <v/>
      </c>
      <c r="N125" s="40"/>
      <c r="O125" s="40" t="str">
        <f>_xlfn.LET(
    _xlpm.CSVVal, _xlfn.XLOOKUP($A125, CSV!$A:$A, CSV!AA:AA, ""),
    _xlpm.MacVal, _xlfn.XLOOKUP($A125, Output_Mac!$A:$A, Output_Mac!S:S, ""),
    _xlpm.MyAuditVal, _xlfn.XLOOKUP($A125, My_Audit!$A:$A, My_Audit!P:P, ""),
    _xlfn.TEXTJOIN(", ", TRUE, _xlpm.MyAuditVal, _xlpm.MacVal, _xlpm.CSVVal)
)</f>
        <v/>
      </c>
      <c r="P125" s="40" t="str" cm="1">
        <f t="array" ref="P125">IFERROR(_xlfn.LET(
_xlpm.CSVVal,_xlfn.XLOOKUP($A125,CSV!$A:$A,CSV!AB:AB,""),
_xlpm.MacVal,_xlfn.XLOOKUP($A125,Output_Mac!$A:$A,Output_Mac!T:T,""),
_xlpm.MyAuditVal,_xlfn.XLOOKUP($A125,My_Audit!$A:$A,My_Audit!Q:Q,""),
_xlfn.IFS(_xlpm.MyAuditVal&lt;&gt;"",UPPER(_xlpm.MyAuditVal),_xlpm.MacVal&lt;&gt;"",_xlpm.MacVal,_xlpm.CSVVal&lt;&gt;"",_xlpm.CSVVal
)),"No")</f>
        <v>No</v>
      </c>
      <c r="Q125" s="40" t="str" cm="1">
        <f t="array" ref="Q125">IFERROR(_xlfn.LET(
_xlpm.CSVVal,_xlfn.XLOOKUP($A125,CSV!$A:$A,CSV!AC:AC,""),
_xlpm.MacVal,_xlfn.XLOOKUP($A125,Output_Mac!$A:$A,Output_Mac!U:U,""),
_xlpm.MyAuditVal,_xlfn.XLOOKUP($A125,My_Audit!$A:$A,My_Audit!R:R,""),
_xlfn.IFS(_xlpm.MyAuditVal&lt;&gt;"",UPPER(_xlpm.MyAuditVal),_xlpm.MacVal&lt;&gt;"",_xlpm.MacVal,_xlpm.CSVVal&lt;&gt;"",_xlpm.CSVVal
)),"")</f>
        <v/>
      </c>
      <c r="R125" s="40"/>
      <c r="S125" s="40"/>
      <c r="T125" s="40"/>
      <c r="U125" s="40"/>
      <c r="V125" s="40"/>
      <c r="W125" s="40"/>
      <c r="X125" s="41" t="str">
        <f>_xlfn.LET(
    _xlpm.MacVal, _xlfn.XLOOKUP($A125, Output_Mac!$A:$A, Output_Mac!AB:AB, ""),
    _xlpm.MyAuditVal, _xlfn.XLOOKUP($A125, My_Audit!$A:$A, My_Audit!N:N, ""),
    _xlfn.TEXTJOIN(", ", TRUE, _xlpm.MyAuditVal, _xlpm.MacVal)
)</f>
        <v/>
      </c>
    </row>
    <row r="126" spans="1:24">
      <c r="A126" s="40" t="str">
        <f>_xlfn.TEXTJOIN("",TRUE,Input!$B$2,ROW(My_Audit!A125))</f>
        <v>X125</v>
      </c>
      <c r="B126" s="40" t="str">
        <f>_xlfn.TEXTJOIN("-",TRUE,"ITD",Input!$A$2,A126)</f>
        <v>ITD-X125</v>
      </c>
      <c r="C126" s="40" t="str" cm="1">
        <f t="array" ref="C126">IFERROR(_xlfn.LET(
_xlpm.CSVVal,_xlfn.XLOOKUP($A126,CSV!$A:$A,CSV!B:B,""),
_xlpm.MacVal,_xlfn.XLOOKUP($A126,Output_Mac!$A:$A,Output_Mac!B:B,""),
_xlpm.MyAuditVal,_xlfn.XLOOKUP($A126,My_Audit!$A:$A,My_Audit!B:B,""),
_xlfn.IFS(_xlpm.MyAuditVal&lt;&gt;"",UPPER(_xlpm.MyAuditVal),_xlpm.MacVal&lt;&gt;"",_xlpm.MacVal,_xlpm.CSVVal&lt;&gt;"",_xlpm.CSVVal
)),"")</f>
        <v/>
      </c>
      <c r="D126" s="40" t="str" cm="1">
        <f t="array" ref="D126">IFERROR(_xlfn.LET(
_xlpm.CSVVal,_xlfn.XLOOKUP($A126,CSV!$A:$A,CSV!D:D,""),
_xlpm.MacVal,_xlfn.XLOOKUP($A126,Output_Mac!$A:$A,Output_Mac!C:C,""),
_xlpm.MyAuditVal,_xlfn.XLOOKUP($A126,My_Audit!$A:$A,My_Audit!C:C,""),
_xlfn.IFS(_xlpm.MyAuditVal&lt;&gt;"",_xlpm.MyAuditVal,_xlpm.MacVal&lt;&gt;"",_xlpm.MacVal,_xlpm.CSVVal&lt;&gt;"",_xlpm.CSVVal
)),"")</f>
        <v/>
      </c>
      <c r="E126" s="40">
        <f>_xlfn.XLOOKUP(A126,My_Audit!A:A,My_Audit!D:D,"")</f>
        <v>0</v>
      </c>
      <c r="F126" s="40" t="str" cm="1">
        <f t="array" ref="F126">IFERROR(_xlfn.LET(
_xlpm.CSVVal,_xlfn.XLOOKUP($A126,CSV!$A:$A,CSV!F:F,""),
_xlpm.MacVal,_xlfn.XLOOKUP($A126,Output_Mac!$A:$A,Output_Mac!E:E,""),
_xlpm.MyAuditVal,_xlfn.XLOOKUP($A126,My_Audit!$A:$A,My_Audit!E:E,""),
_xlfn.IFS(_xlpm.MyAuditVal&lt;&gt;"",_xlpm.MyAuditVal,_xlpm.MacVal&lt;&gt;"",_xlpm.MacVal,_xlpm.CSVVal&lt;&gt;"",_xlpm.CSVVal
)),"")</f>
        <v/>
      </c>
      <c r="G126" s="40" t="str" cm="1">
        <f t="array" ref="G126">IFERROR(_xlfn.LET(
_xlpm.CSVVal,_xlfn.XLOOKUP($A126,CSV!$A:$A,CSV!G:G,""),
_xlpm.MacVal,_xlfn.XLOOKUP($A126,Output_Mac!$A:$A,Output_Mac!F:F,""),
_xlpm.MyAuditVal,_xlfn.XLOOKUP($A126,My_Audit!$A:$A,My_Audit!F:F,""),
_xlfn.IFS(_xlpm.MyAuditVal&lt;&gt;"",_xlpm.MyAuditVal,_xlpm.MacVal&lt;&gt;"",_xlpm.MacVal,_xlpm.CSVVal&lt;&gt;"",PROPER(_xlpm.CSVVal)
)),"")</f>
        <v/>
      </c>
      <c r="H126" s="40" t="str" cm="1">
        <f t="array" ref="H126">IFERROR(_xlfn.LET(
_xlpm.CSVVal,_xlfn.XLOOKUP($A126,CSV!$A:$A,CSV!H:H,""),
_xlpm.MacVal,_xlfn.XLOOKUP($A126,Output_Mac!$A:$A,Output_Mac!H:H,""),
_xlpm.MyAuditVal,_xlfn.XLOOKUP($A126,My_Audit!$A:$A,My_Audit!G:G,""),
_xlfn.IFS(_xlpm.MyAuditVal&lt;&gt;"",_xlpm.MyAuditVal,_xlpm.MacVal&lt;&gt;"",_xlpm.MacVal,_xlpm.CSVVal&lt;&gt;"",_xlpm.CSVVal
)),"")</f>
        <v/>
      </c>
      <c r="I126" s="40" t="str">
        <f>_xlfn.XLOOKUP(A126,Output_Mac!A:A,Output_Mac!I:I,"")</f>
        <v/>
      </c>
      <c r="J126" s="40" t="str" cm="1">
        <f t="array" ref="J126">IFERROR(_xlfn.LET(
_xlpm.CSVVal,_xlfn.XLOOKUP($A126,CSV!$A:$A,CSV!I:I,""),
_xlpm.MacVal,_xlfn.XLOOKUP($A126,Output_Mac!$A:$A,Output_Mac!J:J,""),
_xlpm.MyAuditVal,_xlfn.XLOOKUP($A126,My_Audit!$A:$A,My_Audit!I:I,""),
_xlfn.IFS(_xlpm.MyAuditVal&lt;&gt;"",UPPER(_xlpm.MyAuditVal),_xlpm.MacVal&lt;&gt;"",_xlpm.MacVal,_xlpm.CSVVal&lt;&gt;"",_xlpm.CSVVal
)),"")</f>
        <v/>
      </c>
      <c r="K126" s="40" t="str" cm="1">
        <f t="array" ref="K126">IFERROR(_xlfn.LET(
_xlpm.CSVVal,_xlfn.XLOOKUP($A126,CSV!$A:$A,CSV!K:K,""),
_xlpm.MacVal,_xlfn.XLOOKUP($A126,Output_Mac!$A:$A,Output_Mac!K:K,""),
_xlpm.MyAuditVal,_xlfn.XLOOKUP($A126,My_Audit!$A:$A,My_Audit!J:J,""),
_xlfn.IFS(_xlpm.MyAuditVal&lt;&gt;"",UPPER(_xlpm.MyAuditVal),_xlpm.MacVal&lt;&gt;"",_xlpm.MacVal,_xlpm.CSVVal&lt;&gt;"",_xlpm.CSVVal
)),"")</f>
        <v/>
      </c>
      <c r="L126" s="40" t="str" cm="1">
        <f t="array" ref="L126">IFERROR(_xlfn.LET(
_xlpm.CSVVal,_xlfn.XLOOKUP($A126,CSV!$A:$A,CSV!P:P,""),
_xlpm.MacVal,_xlfn.XLOOKUP($A126,Output_Mac!$A:$A,Output_Mac!L:L,""),
_xlpm.MyAuditVal,_xlfn.XLOOKUP($A126,My_Audit!$A:$A,My_Audit!K:K,""),
_xlfn.IFS(_xlpm.MyAuditVal&lt;&gt;"",UPPER(_xlpm.MyAuditVal),_xlpm.MacVal&lt;&gt;"",_xlpm.MacVal,_xlpm.CSVVal&lt;&gt;"",_xlpm.CSVVal
)),"")</f>
        <v/>
      </c>
      <c r="M126" s="40" t="str" cm="1">
        <f t="array" ref="M126">IFERROR(_xlfn.LET(
_xlpm.CSVVal,_xlfn.XLOOKUP($A126,CSV!$A:$A,CSV!Q:Q,""),
_xlpm.MacVal,_xlfn.XLOOKUP($A126,Output_Mac!$A:$A,Output_Mac!M:M,""),
_xlpm.MyAuditVal,_xlfn.XLOOKUP($A126,My_Audit!$A:$A,My_Audit!L:L,""),
_xlfn.IFS(_xlpm.MyAuditVal&lt;&gt;"",UPPER(_xlpm.MyAuditVal),_xlpm.MacVal&lt;&gt;"",_xlpm.MacVal,_xlpm.CSVVal&lt;&gt;"",_xlpm.CSVVal
)),"")</f>
        <v/>
      </c>
      <c r="N126" s="40"/>
      <c r="O126" s="40" t="str">
        <f>_xlfn.LET(
    _xlpm.CSVVal, _xlfn.XLOOKUP($A126, CSV!$A:$A, CSV!AA:AA, ""),
    _xlpm.MacVal, _xlfn.XLOOKUP($A126, Output_Mac!$A:$A, Output_Mac!S:S, ""),
    _xlpm.MyAuditVal, _xlfn.XLOOKUP($A126, My_Audit!$A:$A, My_Audit!P:P, ""),
    _xlfn.TEXTJOIN(", ", TRUE, _xlpm.MyAuditVal, _xlpm.MacVal, _xlpm.CSVVal)
)</f>
        <v/>
      </c>
      <c r="P126" s="40" t="str" cm="1">
        <f t="array" ref="P126">IFERROR(_xlfn.LET(
_xlpm.CSVVal,_xlfn.XLOOKUP($A126,CSV!$A:$A,CSV!AB:AB,""),
_xlpm.MacVal,_xlfn.XLOOKUP($A126,Output_Mac!$A:$A,Output_Mac!T:T,""),
_xlpm.MyAuditVal,_xlfn.XLOOKUP($A126,My_Audit!$A:$A,My_Audit!Q:Q,""),
_xlfn.IFS(_xlpm.MyAuditVal&lt;&gt;"",UPPER(_xlpm.MyAuditVal),_xlpm.MacVal&lt;&gt;"",_xlpm.MacVal,_xlpm.CSVVal&lt;&gt;"",_xlpm.CSVVal
)),"No")</f>
        <v>No</v>
      </c>
      <c r="Q126" s="40" t="str" cm="1">
        <f t="array" ref="Q126">IFERROR(_xlfn.LET(
_xlpm.CSVVal,_xlfn.XLOOKUP($A126,CSV!$A:$A,CSV!AC:AC,""),
_xlpm.MacVal,_xlfn.XLOOKUP($A126,Output_Mac!$A:$A,Output_Mac!U:U,""),
_xlpm.MyAuditVal,_xlfn.XLOOKUP($A126,My_Audit!$A:$A,My_Audit!R:R,""),
_xlfn.IFS(_xlpm.MyAuditVal&lt;&gt;"",UPPER(_xlpm.MyAuditVal),_xlpm.MacVal&lt;&gt;"",_xlpm.MacVal,_xlpm.CSVVal&lt;&gt;"",_xlpm.CSVVal
)),"")</f>
        <v/>
      </c>
      <c r="R126" s="40"/>
      <c r="S126" s="40"/>
      <c r="T126" s="40"/>
      <c r="U126" s="40"/>
      <c r="V126" s="40"/>
      <c r="W126" s="40"/>
      <c r="X126" s="41" t="str">
        <f>_xlfn.LET(
    _xlpm.MacVal, _xlfn.XLOOKUP($A126, Output_Mac!$A:$A, Output_Mac!AB:AB, ""),
    _xlpm.MyAuditVal, _xlfn.XLOOKUP($A126, My_Audit!$A:$A, My_Audit!N:N, ""),
    _xlfn.TEXTJOIN(", ", TRUE, _xlpm.MyAuditVal, _xlpm.MacVal)
)</f>
        <v/>
      </c>
    </row>
    <row r="127" spans="1:24">
      <c r="A127" s="40" t="str">
        <f>_xlfn.TEXTJOIN("",TRUE,Input!$B$2,ROW(My_Audit!A126))</f>
        <v>X126</v>
      </c>
      <c r="B127" s="40" t="str">
        <f>_xlfn.TEXTJOIN("-",TRUE,"ITD",Input!$A$2,A127)</f>
        <v>ITD-X126</v>
      </c>
      <c r="C127" s="40" t="str" cm="1">
        <f t="array" ref="C127">IFERROR(_xlfn.LET(
_xlpm.CSVVal,_xlfn.XLOOKUP($A127,CSV!$A:$A,CSV!B:B,""),
_xlpm.MacVal,_xlfn.XLOOKUP($A127,Output_Mac!$A:$A,Output_Mac!B:B,""),
_xlpm.MyAuditVal,_xlfn.XLOOKUP($A127,My_Audit!$A:$A,My_Audit!B:B,""),
_xlfn.IFS(_xlpm.MyAuditVal&lt;&gt;"",UPPER(_xlpm.MyAuditVal),_xlpm.MacVal&lt;&gt;"",_xlpm.MacVal,_xlpm.CSVVal&lt;&gt;"",_xlpm.CSVVal
)),"")</f>
        <v/>
      </c>
      <c r="D127" s="40" t="str" cm="1">
        <f t="array" ref="D127">IFERROR(_xlfn.LET(
_xlpm.CSVVal,_xlfn.XLOOKUP($A127,CSV!$A:$A,CSV!D:D,""),
_xlpm.MacVal,_xlfn.XLOOKUP($A127,Output_Mac!$A:$A,Output_Mac!C:C,""),
_xlpm.MyAuditVal,_xlfn.XLOOKUP($A127,My_Audit!$A:$A,My_Audit!C:C,""),
_xlfn.IFS(_xlpm.MyAuditVal&lt;&gt;"",_xlpm.MyAuditVal,_xlpm.MacVal&lt;&gt;"",_xlpm.MacVal,_xlpm.CSVVal&lt;&gt;"",_xlpm.CSVVal
)),"")</f>
        <v/>
      </c>
      <c r="E127" s="40">
        <f>_xlfn.XLOOKUP(A127,My_Audit!A:A,My_Audit!D:D,"")</f>
        <v>0</v>
      </c>
      <c r="F127" s="40" t="str" cm="1">
        <f t="array" ref="F127">IFERROR(_xlfn.LET(
_xlpm.CSVVal,_xlfn.XLOOKUP($A127,CSV!$A:$A,CSV!F:F,""),
_xlpm.MacVal,_xlfn.XLOOKUP($A127,Output_Mac!$A:$A,Output_Mac!E:E,""),
_xlpm.MyAuditVal,_xlfn.XLOOKUP($A127,My_Audit!$A:$A,My_Audit!E:E,""),
_xlfn.IFS(_xlpm.MyAuditVal&lt;&gt;"",_xlpm.MyAuditVal,_xlpm.MacVal&lt;&gt;"",_xlpm.MacVal,_xlpm.CSVVal&lt;&gt;"",_xlpm.CSVVal
)),"")</f>
        <v/>
      </c>
      <c r="G127" s="40" t="str" cm="1">
        <f t="array" ref="G127">IFERROR(_xlfn.LET(
_xlpm.CSVVal,_xlfn.XLOOKUP($A127,CSV!$A:$A,CSV!G:G,""),
_xlpm.MacVal,_xlfn.XLOOKUP($A127,Output_Mac!$A:$A,Output_Mac!F:F,""),
_xlpm.MyAuditVal,_xlfn.XLOOKUP($A127,My_Audit!$A:$A,My_Audit!F:F,""),
_xlfn.IFS(_xlpm.MyAuditVal&lt;&gt;"",_xlpm.MyAuditVal,_xlpm.MacVal&lt;&gt;"",_xlpm.MacVal,_xlpm.CSVVal&lt;&gt;"",PROPER(_xlpm.CSVVal)
)),"")</f>
        <v/>
      </c>
      <c r="H127" s="40" t="str" cm="1">
        <f t="array" ref="H127">IFERROR(_xlfn.LET(
_xlpm.CSVVal,_xlfn.XLOOKUP($A127,CSV!$A:$A,CSV!H:H,""),
_xlpm.MacVal,_xlfn.XLOOKUP($A127,Output_Mac!$A:$A,Output_Mac!H:H,""),
_xlpm.MyAuditVal,_xlfn.XLOOKUP($A127,My_Audit!$A:$A,My_Audit!G:G,""),
_xlfn.IFS(_xlpm.MyAuditVal&lt;&gt;"",_xlpm.MyAuditVal,_xlpm.MacVal&lt;&gt;"",_xlpm.MacVal,_xlpm.CSVVal&lt;&gt;"",_xlpm.CSVVal
)),"")</f>
        <v/>
      </c>
      <c r="I127" s="40" t="str">
        <f>_xlfn.XLOOKUP(A127,Output_Mac!A:A,Output_Mac!I:I,"")</f>
        <v/>
      </c>
      <c r="J127" s="40" t="str" cm="1">
        <f t="array" ref="J127">IFERROR(_xlfn.LET(
_xlpm.CSVVal,_xlfn.XLOOKUP($A127,CSV!$A:$A,CSV!I:I,""),
_xlpm.MacVal,_xlfn.XLOOKUP($A127,Output_Mac!$A:$A,Output_Mac!J:J,""),
_xlpm.MyAuditVal,_xlfn.XLOOKUP($A127,My_Audit!$A:$A,My_Audit!I:I,""),
_xlfn.IFS(_xlpm.MyAuditVal&lt;&gt;"",UPPER(_xlpm.MyAuditVal),_xlpm.MacVal&lt;&gt;"",_xlpm.MacVal,_xlpm.CSVVal&lt;&gt;"",_xlpm.CSVVal
)),"")</f>
        <v/>
      </c>
      <c r="K127" s="40" t="str" cm="1">
        <f t="array" ref="K127">IFERROR(_xlfn.LET(
_xlpm.CSVVal,_xlfn.XLOOKUP($A127,CSV!$A:$A,CSV!K:K,""),
_xlpm.MacVal,_xlfn.XLOOKUP($A127,Output_Mac!$A:$A,Output_Mac!K:K,""),
_xlpm.MyAuditVal,_xlfn.XLOOKUP($A127,My_Audit!$A:$A,My_Audit!J:J,""),
_xlfn.IFS(_xlpm.MyAuditVal&lt;&gt;"",UPPER(_xlpm.MyAuditVal),_xlpm.MacVal&lt;&gt;"",_xlpm.MacVal,_xlpm.CSVVal&lt;&gt;"",_xlpm.CSVVal
)),"")</f>
        <v/>
      </c>
      <c r="L127" s="40" t="str" cm="1">
        <f t="array" ref="L127">IFERROR(_xlfn.LET(
_xlpm.CSVVal,_xlfn.XLOOKUP($A127,CSV!$A:$A,CSV!P:P,""),
_xlpm.MacVal,_xlfn.XLOOKUP($A127,Output_Mac!$A:$A,Output_Mac!L:L,""),
_xlpm.MyAuditVal,_xlfn.XLOOKUP($A127,My_Audit!$A:$A,My_Audit!K:K,""),
_xlfn.IFS(_xlpm.MyAuditVal&lt;&gt;"",UPPER(_xlpm.MyAuditVal),_xlpm.MacVal&lt;&gt;"",_xlpm.MacVal,_xlpm.CSVVal&lt;&gt;"",_xlpm.CSVVal
)),"")</f>
        <v/>
      </c>
      <c r="M127" s="40" t="str" cm="1">
        <f t="array" ref="M127">IFERROR(_xlfn.LET(
_xlpm.CSVVal,_xlfn.XLOOKUP($A127,CSV!$A:$A,CSV!Q:Q,""),
_xlpm.MacVal,_xlfn.XLOOKUP($A127,Output_Mac!$A:$A,Output_Mac!M:M,""),
_xlpm.MyAuditVal,_xlfn.XLOOKUP($A127,My_Audit!$A:$A,My_Audit!L:L,""),
_xlfn.IFS(_xlpm.MyAuditVal&lt;&gt;"",UPPER(_xlpm.MyAuditVal),_xlpm.MacVal&lt;&gt;"",_xlpm.MacVal,_xlpm.CSVVal&lt;&gt;"",_xlpm.CSVVal
)),"")</f>
        <v/>
      </c>
      <c r="N127" s="40"/>
      <c r="O127" s="40" t="str">
        <f>_xlfn.LET(
    _xlpm.CSVVal, _xlfn.XLOOKUP($A127, CSV!$A:$A, CSV!AA:AA, ""),
    _xlpm.MacVal, _xlfn.XLOOKUP($A127, Output_Mac!$A:$A, Output_Mac!S:S, ""),
    _xlpm.MyAuditVal, _xlfn.XLOOKUP($A127, My_Audit!$A:$A, My_Audit!P:P, ""),
    _xlfn.TEXTJOIN(", ", TRUE, _xlpm.MyAuditVal, _xlpm.MacVal, _xlpm.CSVVal)
)</f>
        <v/>
      </c>
      <c r="P127" s="40" t="str" cm="1">
        <f t="array" ref="P127">IFERROR(_xlfn.LET(
_xlpm.CSVVal,_xlfn.XLOOKUP($A127,CSV!$A:$A,CSV!AB:AB,""),
_xlpm.MacVal,_xlfn.XLOOKUP($A127,Output_Mac!$A:$A,Output_Mac!T:T,""),
_xlpm.MyAuditVal,_xlfn.XLOOKUP($A127,My_Audit!$A:$A,My_Audit!Q:Q,""),
_xlfn.IFS(_xlpm.MyAuditVal&lt;&gt;"",UPPER(_xlpm.MyAuditVal),_xlpm.MacVal&lt;&gt;"",_xlpm.MacVal,_xlpm.CSVVal&lt;&gt;"",_xlpm.CSVVal
)),"No")</f>
        <v>No</v>
      </c>
      <c r="Q127" s="40" t="str" cm="1">
        <f t="array" ref="Q127">IFERROR(_xlfn.LET(
_xlpm.CSVVal,_xlfn.XLOOKUP($A127,CSV!$A:$A,CSV!AC:AC,""),
_xlpm.MacVal,_xlfn.XLOOKUP($A127,Output_Mac!$A:$A,Output_Mac!U:U,""),
_xlpm.MyAuditVal,_xlfn.XLOOKUP($A127,My_Audit!$A:$A,My_Audit!R:R,""),
_xlfn.IFS(_xlpm.MyAuditVal&lt;&gt;"",UPPER(_xlpm.MyAuditVal),_xlpm.MacVal&lt;&gt;"",_xlpm.MacVal,_xlpm.CSVVal&lt;&gt;"",_xlpm.CSVVal
)),"")</f>
        <v/>
      </c>
      <c r="R127" s="40"/>
      <c r="S127" s="40"/>
      <c r="T127" s="40"/>
      <c r="U127" s="40"/>
      <c r="V127" s="40"/>
      <c r="W127" s="40"/>
      <c r="X127" s="41" t="str">
        <f>_xlfn.LET(
    _xlpm.MacVal, _xlfn.XLOOKUP($A127, Output_Mac!$A:$A, Output_Mac!AB:AB, ""),
    _xlpm.MyAuditVal, _xlfn.XLOOKUP($A127, My_Audit!$A:$A, My_Audit!N:N, ""),
    _xlfn.TEXTJOIN(", ", TRUE, _xlpm.MyAuditVal, _xlpm.MacVal)
)</f>
        <v/>
      </c>
    </row>
    <row r="128" spans="1:24">
      <c r="A128" s="40" t="str">
        <f>_xlfn.TEXTJOIN("",TRUE,Input!$B$2,ROW(My_Audit!A127))</f>
        <v>X127</v>
      </c>
      <c r="B128" s="40" t="str">
        <f>_xlfn.TEXTJOIN("-",TRUE,"ITD",Input!$A$2,A128)</f>
        <v>ITD-X127</v>
      </c>
      <c r="C128" s="40" t="str" cm="1">
        <f t="array" ref="C128">IFERROR(_xlfn.LET(
_xlpm.CSVVal,_xlfn.XLOOKUP($A128,CSV!$A:$A,CSV!B:B,""),
_xlpm.MacVal,_xlfn.XLOOKUP($A128,Output_Mac!$A:$A,Output_Mac!B:B,""),
_xlpm.MyAuditVal,_xlfn.XLOOKUP($A128,My_Audit!$A:$A,My_Audit!B:B,""),
_xlfn.IFS(_xlpm.MyAuditVal&lt;&gt;"",UPPER(_xlpm.MyAuditVal),_xlpm.MacVal&lt;&gt;"",_xlpm.MacVal,_xlpm.CSVVal&lt;&gt;"",_xlpm.CSVVal
)),"")</f>
        <v/>
      </c>
      <c r="D128" s="40" t="str" cm="1">
        <f t="array" ref="D128">IFERROR(_xlfn.LET(
_xlpm.CSVVal,_xlfn.XLOOKUP($A128,CSV!$A:$A,CSV!D:D,""),
_xlpm.MacVal,_xlfn.XLOOKUP($A128,Output_Mac!$A:$A,Output_Mac!C:C,""),
_xlpm.MyAuditVal,_xlfn.XLOOKUP($A128,My_Audit!$A:$A,My_Audit!C:C,""),
_xlfn.IFS(_xlpm.MyAuditVal&lt;&gt;"",_xlpm.MyAuditVal,_xlpm.MacVal&lt;&gt;"",_xlpm.MacVal,_xlpm.CSVVal&lt;&gt;"",_xlpm.CSVVal
)),"")</f>
        <v/>
      </c>
      <c r="E128" s="40">
        <f>_xlfn.XLOOKUP(A128,My_Audit!A:A,My_Audit!D:D,"")</f>
        <v>0</v>
      </c>
      <c r="F128" s="40" t="str" cm="1">
        <f t="array" ref="F128">IFERROR(_xlfn.LET(
_xlpm.CSVVal,_xlfn.XLOOKUP($A128,CSV!$A:$A,CSV!F:F,""),
_xlpm.MacVal,_xlfn.XLOOKUP($A128,Output_Mac!$A:$A,Output_Mac!E:E,""),
_xlpm.MyAuditVal,_xlfn.XLOOKUP($A128,My_Audit!$A:$A,My_Audit!E:E,""),
_xlfn.IFS(_xlpm.MyAuditVal&lt;&gt;"",_xlpm.MyAuditVal,_xlpm.MacVal&lt;&gt;"",_xlpm.MacVal,_xlpm.CSVVal&lt;&gt;"",_xlpm.CSVVal
)),"")</f>
        <v/>
      </c>
      <c r="G128" s="40" t="str" cm="1">
        <f t="array" ref="G128">IFERROR(_xlfn.LET(
_xlpm.CSVVal,_xlfn.XLOOKUP($A128,CSV!$A:$A,CSV!G:G,""),
_xlpm.MacVal,_xlfn.XLOOKUP($A128,Output_Mac!$A:$A,Output_Mac!F:F,""),
_xlpm.MyAuditVal,_xlfn.XLOOKUP($A128,My_Audit!$A:$A,My_Audit!F:F,""),
_xlfn.IFS(_xlpm.MyAuditVal&lt;&gt;"",_xlpm.MyAuditVal,_xlpm.MacVal&lt;&gt;"",_xlpm.MacVal,_xlpm.CSVVal&lt;&gt;"",PROPER(_xlpm.CSVVal)
)),"")</f>
        <v/>
      </c>
      <c r="H128" s="40" t="str" cm="1">
        <f t="array" ref="H128">IFERROR(_xlfn.LET(
_xlpm.CSVVal,_xlfn.XLOOKUP($A128,CSV!$A:$A,CSV!H:H,""),
_xlpm.MacVal,_xlfn.XLOOKUP($A128,Output_Mac!$A:$A,Output_Mac!H:H,""),
_xlpm.MyAuditVal,_xlfn.XLOOKUP($A128,My_Audit!$A:$A,My_Audit!G:G,""),
_xlfn.IFS(_xlpm.MyAuditVal&lt;&gt;"",_xlpm.MyAuditVal,_xlpm.MacVal&lt;&gt;"",_xlpm.MacVal,_xlpm.CSVVal&lt;&gt;"",_xlpm.CSVVal
)),"")</f>
        <v/>
      </c>
      <c r="I128" s="40" t="str">
        <f>_xlfn.XLOOKUP(A128,Output_Mac!A:A,Output_Mac!I:I,"")</f>
        <v/>
      </c>
      <c r="J128" s="40" t="str" cm="1">
        <f t="array" ref="J128">IFERROR(_xlfn.LET(
_xlpm.CSVVal,_xlfn.XLOOKUP($A128,CSV!$A:$A,CSV!I:I,""),
_xlpm.MacVal,_xlfn.XLOOKUP($A128,Output_Mac!$A:$A,Output_Mac!J:J,""),
_xlpm.MyAuditVal,_xlfn.XLOOKUP($A128,My_Audit!$A:$A,My_Audit!I:I,""),
_xlfn.IFS(_xlpm.MyAuditVal&lt;&gt;"",UPPER(_xlpm.MyAuditVal),_xlpm.MacVal&lt;&gt;"",_xlpm.MacVal,_xlpm.CSVVal&lt;&gt;"",_xlpm.CSVVal
)),"")</f>
        <v/>
      </c>
      <c r="K128" s="40" t="str" cm="1">
        <f t="array" ref="K128">IFERROR(_xlfn.LET(
_xlpm.CSVVal,_xlfn.XLOOKUP($A128,CSV!$A:$A,CSV!K:K,""),
_xlpm.MacVal,_xlfn.XLOOKUP($A128,Output_Mac!$A:$A,Output_Mac!K:K,""),
_xlpm.MyAuditVal,_xlfn.XLOOKUP($A128,My_Audit!$A:$A,My_Audit!J:J,""),
_xlfn.IFS(_xlpm.MyAuditVal&lt;&gt;"",UPPER(_xlpm.MyAuditVal),_xlpm.MacVal&lt;&gt;"",_xlpm.MacVal,_xlpm.CSVVal&lt;&gt;"",_xlpm.CSVVal
)),"")</f>
        <v/>
      </c>
      <c r="L128" s="40" t="str" cm="1">
        <f t="array" ref="L128">IFERROR(_xlfn.LET(
_xlpm.CSVVal,_xlfn.XLOOKUP($A128,CSV!$A:$A,CSV!P:P,""),
_xlpm.MacVal,_xlfn.XLOOKUP($A128,Output_Mac!$A:$A,Output_Mac!L:L,""),
_xlpm.MyAuditVal,_xlfn.XLOOKUP($A128,My_Audit!$A:$A,My_Audit!K:K,""),
_xlfn.IFS(_xlpm.MyAuditVal&lt;&gt;"",UPPER(_xlpm.MyAuditVal),_xlpm.MacVal&lt;&gt;"",_xlpm.MacVal,_xlpm.CSVVal&lt;&gt;"",_xlpm.CSVVal
)),"")</f>
        <v/>
      </c>
      <c r="M128" s="40" t="str" cm="1">
        <f t="array" ref="M128">IFERROR(_xlfn.LET(
_xlpm.CSVVal,_xlfn.XLOOKUP($A128,CSV!$A:$A,CSV!Q:Q,""),
_xlpm.MacVal,_xlfn.XLOOKUP($A128,Output_Mac!$A:$A,Output_Mac!M:M,""),
_xlpm.MyAuditVal,_xlfn.XLOOKUP($A128,My_Audit!$A:$A,My_Audit!L:L,""),
_xlfn.IFS(_xlpm.MyAuditVal&lt;&gt;"",UPPER(_xlpm.MyAuditVal),_xlpm.MacVal&lt;&gt;"",_xlpm.MacVal,_xlpm.CSVVal&lt;&gt;"",_xlpm.CSVVal
)),"")</f>
        <v/>
      </c>
      <c r="N128" s="40"/>
      <c r="O128" s="40" t="str">
        <f>_xlfn.LET(
    _xlpm.CSVVal, _xlfn.XLOOKUP($A128, CSV!$A:$A, CSV!AA:AA, ""),
    _xlpm.MacVal, _xlfn.XLOOKUP($A128, Output_Mac!$A:$A, Output_Mac!S:S, ""),
    _xlpm.MyAuditVal, _xlfn.XLOOKUP($A128, My_Audit!$A:$A, My_Audit!P:P, ""),
    _xlfn.TEXTJOIN(", ", TRUE, _xlpm.MyAuditVal, _xlpm.MacVal, _xlpm.CSVVal)
)</f>
        <v/>
      </c>
      <c r="P128" s="40" t="str" cm="1">
        <f t="array" ref="P128">IFERROR(_xlfn.LET(
_xlpm.CSVVal,_xlfn.XLOOKUP($A128,CSV!$A:$A,CSV!AB:AB,""),
_xlpm.MacVal,_xlfn.XLOOKUP($A128,Output_Mac!$A:$A,Output_Mac!T:T,""),
_xlpm.MyAuditVal,_xlfn.XLOOKUP($A128,My_Audit!$A:$A,My_Audit!Q:Q,""),
_xlfn.IFS(_xlpm.MyAuditVal&lt;&gt;"",UPPER(_xlpm.MyAuditVal),_xlpm.MacVal&lt;&gt;"",_xlpm.MacVal,_xlpm.CSVVal&lt;&gt;"",_xlpm.CSVVal
)),"No")</f>
        <v>No</v>
      </c>
      <c r="Q128" s="40" t="str" cm="1">
        <f t="array" ref="Q128">IFERROR(_xlfn.LET(
_xlpm.CSVVal,_xlfn.XLOOKUP($A128,CSV!$A:$A,CSV!AC:AC,""),
_xlpm.MacVal,_xlfn.XLOOKUP($A128,Output_Mac!$A:$A,Output_Mac!U:U,""),
_xlpm.MyAuditVal,_xlfn.XLOOKUP($A128,My_Audit!$A:$A,My_Audit!R:R,""),
_xlfn.IFS(_xlpm.MyAuditVal&lt;&gt;"",UPPER(_xlpm.MyAuditVal),_xlpm.MacVal&lt;&gt;"",_xlpm.MacVal,_xlpm.CSVVal&lt;&gt;"",_xlpm.CSVVal
)),"")</f>
        <v/>
      </c>
      <c r="R128" s="40"/>
      <c r="S128" s="40"/>
      <c r="T128" s="40"/>
      <c r="U128" s="40"/>
      <c r="V128" s="40"/>
      <c r="W128" s="40"/>
      <c r="X128" s="41" t="str">
        <f>_xlfn.LET(
    _xlpm.MacVal, _xlfn.XLOOKUP($A128, Output_Mac!$A:$A, Output_Mac!AB:AB, ""),
    _xlpm.MyAuditVal, _xlfn.XLOOKUP($A128, My_Audit!$A:$A, My_Audit!N:N, ""),
    _xlfn.TEXTJOIN(", ", TRUE, _xlpm.MyAuditVal, _xlpm.MacVal)
)</f>
        <v/>
      </c>
    </row>
    <row r="129" spans="1:24">
      <c r="A129" s="40" t="str">
        <f>_xlfn.TEXTJOIN("",TRUE,Input!$B$2,ROW(My_Audit!A128))</f>
        <v>X128</v>
      </c>
      <c r="B129" s="40" t="str">
        <f>_xlfn.TEXTJOIN("-",TRUE,"ITD",Input!$A$2,A129)</f>
        <v>ITD-X128</v>
      </c>
      <c r="C129" s="40" t="str" cm="1">
        <f t="array" ref="C129">IFERROR(_xlfn.LET(
_xlpm.CSVVal,_xlfn.XLOOKUP($A129,CSV!$A:$A,CSV!B:B,""),
_xlpm.MacVal,_xlfn.XLOOKUP($A129,Output_Mac!$A:$A,Output_Mac!B:B,""),
_xlpm.MyAuditVal,_xlfn.XLOOKUP($A129,My_Audit!$A:$A,My_Audit!B:B,""),
_xlfn.IFS(_xlpm.MyAuditVal&lt;&gt;"",UPPER(_xlpm.MyAuditVal),_xlpm.MacVal&lt;&gt;"",_xlpm.MacVal,_xlpm.CSVVal&lt;&gt;"",_xlpm.CSVVal
)),"")</f>
        <v/>
      </c>
      <c r="D129" s="40" t="str" cm="1">
        <f t="array" ref="D129">IFERROR(_xlfn.LET(
_xlpm.CSVVal,_xlfn.XLOOKUP($A129,CSV!$A:$A,CSV!D:D,""),
_xlpm.MacVal,_xlfn.XLOOKUP($A129,Output_Mac!$A:$A,Output_Mac!C:C,""),
_xlpm.MyAuditVal,_xlfn.XLOOKUP($A129,My_Audit!$A:$A,My_Audit!C:C,""),
_xlfn.IFS(_xlpm.MyAuditVal&lt;&gt;"",_xlpm.MyAuditVal,_xlpm.MacVal&lt;&gt;"",_xlpm.MacVal,_xlpm.CSVVal&lt;&gt;"",_xlpm.CSVVal
)),"")</f>
        <v/>
      </c>
      <c r="E129" s="40">
        <f>_xlfn.XLOOKUP(A129,My_Audit!A:A,My_Audit!D:D,"")</f>
        <v>0</v>
      </c>
      <c r="F129" s="40" t="str" cm="1">
        <f t="array" ref="F129">IFERROR(_xlfn.LET(
_xlpm.CSVVal,_xlfn.XLOOKUP($A129,CSV!$A:$A,CSV!F:F,""),
_xlpm.MacVal,_xlfn.XLOOKUP($A129,Output_Mac!$A:$A,Output_Mac!E:E,""),
_xlpm.MyAuditVal,_xlfn.XLOOKUP($A129,My_Audit!$A:$A,My_Audit!E:E,""),
_xlfn.IFS(_xlpm.MyAuditVal&lt;&gt;"",_xlpm.MyAuditVal,_xlpm.MacVal&lt;&gt;"",_xlpm.MacVal,_xlpm.CSVVal&lt;&gt;"",_xlpm.CSVVal
)),"")</f>
        <v/>
      </c>
      <c r="G129" s="40" t="str" cm="1">
        <f t="array" ref="G129">IFERROR(_xlfn.LET(
_xlpm.CSVVal,_xlfn.XLOOKUP($A129,CSV!$A:$A,CSV!G:G,""),
_xlpm.MacVal,_xlfn.XLOOKUP($A129,Output_Mac!$A:$A,Output_Mac!F:F,""),
_xlpm.MyAuditVal,_xlfn.XLOOKUP($A129,My_Audit!$A:$A,My_Audit!F:F,""),
_xlfn.IFS(_xlpm.MyAuditVal&lt;&gt;"",_xlpm.MyAuditVal,_xlpm.MacVal&lt;&gt;"",_xlpm.MacVal,_xlpm.CSVVal&lt;&gt;"",PROPER(_xlpm.CSVVal)
)),"")</f>
        <v/>
      </c>
      <c r="H129" s="40" t="str" cm="1">
        <f t="array" ref="H129">IFERROR(_xlfn.LET(
_xlpm.CSVVal,_xlfn.XLOOKUP($A129,CSV!$A:$A,CSV!H:H,""),
_xlpm.MacVal,_xlfn.XLOOKUP($A129,Output_Mac!$A:$A,Output_Mac!H:H,""),
_xlpm.MyAuditVal,_xlfn.XLOOKUP($A129,My_Audit!$A:$A,My_Audit!G:G,""),
_xlfn.IFS(_xlpm.MyAuditVal&lt;&gt;"",_xlpm.MyAuditVal,_xlpm.MacVal&lt;&gt;"",_xlpm.MacVal,_xlpm.CSVVal&lt;&gt;"",_xlpm.CSVVal
)),"")</f>
        <v/>
      </c>
      <c r="I129" s="40" t="str">
        <f>_xlfn.XLOOKUP(A129,Output_Mac!A:A,Output_Mac!I:I,"")</f>
        <v/>
      </c>
      <c r="J129" s="40" t="str" cm="1">
        <f t="array" ref="J129">IFERROR(_xlfn.LET(
_xlpm.CSVVal,_xlfn.XLOOKUP($A129,CSV!$A:$A,CSV!I:I,""),
_xlpm.MacVal,_xlfn.XLOOKUP($A129,Output_Mac!$A:$A,Output_Mac!J:J,""),
_xlpm.MyAuditVal,_xlfn.XLOOKUP($A129,My_Audit!$A:$A,My_Audit!I:I,""),
_xlfn.IFS(_xlpm.MyAuditVal&lt;&gt;"",UPPER(_xlpm.MyAuditVal),_xlpm.MacVal&lt;&gt;"",_xlpm.MacVal,_xlpm.CSVVal&lt;&gt;"",_xlpm.CSVVal
)),"")</f>
        <v/>
      </c>
      <c r="K129" s="40" t="str" cm="1">
        <f t="array" ref="K129">IFERROR(_xlfn.LET(
_xlpm.CSVVal,_xlfn.XLOOKUP($A129,CSV!$A:$A,CSV!K:K,""),
_xlpm.MacVal,_xlfn.XLOOKUP($A129,Output_Mac!$A:$A,Output_Mac!K:K,""),
_xlpm.MyAuditVal,_xlfn.XLOOKUP($A129,My_Audit!$A:$A,My_Audit!J:J,""),
_xlfn.IFS(_xlpm.MyAuditVal&lt;&gt;"",UPPER(_xlpm.MyAuditVal),_xlpm.MacVal&lt;&gt;"",_xlpm.MacVal,_xlpm.CSVVal&lt;&gt;"",_xlpm.CSVVal
)),"")</f>
        <v/>
      </c>
      <c r="L129" s="40" t="str" cm="1">
        <f t="array" ref="L129">IFERROR(_xlfn.LET(
_xlpm.CSVVal,_xlfn.XLOOKUP($A129,CSV!$A:$A,CSV!P:P,""),
_xlpm.MacVal,_xlfn.XLOOKUP($A129,Output_Mac!$A:$A,Output_Mac!L:L,""),
_xlpm.MyAuditVal,_xlfn.XLOOKUP($A129,My_Audit!$A:$A,My_Audit!K:K,""),
_xlfn.IFS(_xlpm.MyAuditVal&lt;&gt;"",UPPER(_xlpm.MyAuditVal),_xlpm.MacVal&lt;&gt;"",_xlpm.MacVal,_xlpm.CSVVal&lt;&gt;"",_xlpm.CSVVal
)),"")</f>
        <v/>
      </c>
      <c r="M129" s="40" t="str" cm="1">
        <f t="array" ref="M129">IFERROR(_xlfn.LET(
_xlpm.CSVVal,_xlfn.XLOOKUP($A129,CSV!$A:$A,CSV!Q:Q,""),
_xlpm.MacVal,_xlfn.XLOOKUP($A129,Output_Mac!$A:$A,Output_Mac!M:M,""),
_xlpm.MyAuditVal,_xlfn.XLOOKUP($A129,My_Audit!$A:$A,My_Audit!L:L,""),
_xlfn.IFS(_xlpm.MyAuditVal&lt;&gt;"",UPPER(_xlpm.MyAuditVal),_xlpm.MacVal&lt;&gt;"",_xlpm.MacVal,_xlpm.CSVVal&lt;&gt;"",_xlpm.CSVVal
)),"")</f>
        <v/>
      </c>
      <c r="N129" s="40"/>
      <c r="O129" s="40" t="str">
        <f>_xlfn.LET(
    _xlpm.CSVVal, _xlfn.XLOOKUP($A129, CSV!$A:$A, CSV!AA:AA, ""),
    _xlpm.MacVal, _xlfn.XLOOKUP($A129, Output_Mac!$A:$A, Output_Mac!S:S, ""),
    _xlpm.MyAuditVal, _xlfn.XLOOKUP($A129, My_Audit!$A:$A, My_Audit!P:P, ""),
    _xlfn.TEXTJOIN(", ", TRUE, _xlpm.MyAuditVal, _xlpm.MacVal, _xlpm.CSVVal)
)</f>
        <v/>
      </c>
      <c r="P129" s="40" t="str" cm="1">
        <f t="array" ref="P129">IFERROR(_xlfn.LET(
_xlpm.CSVVal,_xlfn.XLOOKUP($A129,CSV!$A:$A,CSV!AB:AB,""),
_xlpm.MacVal,_xlfn.XLOOKUP($A129,Output_Mac!$A:$A,Output_Mac!T:T,""),
_xlpm.MyAuditVal,_xlfn.XLOOKUP($A129,My_Audit!$A:$A,My_Audit!Q:Q,""),
_xlfn.IFS(_xlpm.MyAuditVal&lt;&gt;"",UPPER(_xlpm.MyAuditVal),_xlpm.MacVal&lt;&gt;"",_xlpm.MacVal,_xlpm.CSVVal&lt;&gt;"",_xlpm.CSVVal
)),"No")</f>
        <v>No</v>
      </c>
      <c r="Q129" s="40" t="str" cm="1">
        <f t="array" ref="Q129">IFERROR(_xlfn.LET(
_xlpm.CSVVal,_xlfn.XLOOKUP($A129,CSV!$A:$A,CSV!AC:AC,""),
_xlpm.MacVal,_xlfn.XLOOKUP($A129,Output_Mac!$A:$A,Output_Mac!U:U,""),
_xlpm.MyAuditVal,_xlfn.XLOOKUP($A129,My_Audit!$A:$A,My_Audit!R:R,""),
_xlfn.IFS(_xlpm.MyAuditVal&lt;&gt;"",UPPER(_xlpm.MyAuditVal),_xlpm.MacVal&lt;&gt;"",_xlpm.MacVal,_xlpm.CSVVal&lt;&gt;"",_xlpm.CSVVal
)),"")</f>
        <v/>
      </c>
      <c r="R129" s="40"/>
      <c r="S129" s="40"/>
      <c r="T129" s="40"/>
      <c r="U129" s="40"/>
      <c r="V129" s="40"/>
      <c r="W129" s="40"/>
      <c r="X129" s="41" t="str">
        <f>_xlfn.LET(
    _xlpm.MacVal, _xlfn.XLOOKUP($A129, Output_Mac!$A:$A, Output_Mac!AB:AB, ""),
    _xlpm.MyAuditVal, _xlfn.XLOOKUP($A129, My_Audit!$A:$A, My_Audit!N:N, ""),
    _xlfn.TEXTJOIN(", ", TRUE, _xlpm.MyAuditVal, _xlpm.MacVal)
)</f>
        <v/>
      </c>
    </row>
    <row r="130" spans="1:24">
      <c r="A130" s="40" t="str">
        <f>_xlfn.TEXTJOIN("",TRUE,Input!$B$2,ROW(My_Audit!A129))</f>
        <v>X129</v>
      </c>
      <c r="B130" s="40" t="str">
        <f>_xlfn.TEXTJOIN("-",TRUE,"ITD",Input!$A$2,A130)</f>
        <v>ITD-X129</v>
      </c>
      <c r="C130" s="40" t="str" cm="1">
        <f t="array" ref="C130">IFERROR(_xlfn.LET(
_xlpm.CSVVal,_xlfn.XLOOKUP($A130,CSV!$A:$A,CSV!B:B,""),
_xlpm.MacVal,_xlfn.XLOOKUP($A130,Output_Mac!$A:$A,Output_Mac!B:B,""),
_xlpm.MyAuditVal,_xlfn.XLOOKUP($A130,My_Audit!$A:$A,My_Audit!B:B,""),
_xlfn.IFS(_xlpm.MyAuditVal&lt;&gt;"",UPPER(_xlpm.MyAuditVal),_xlpm.MacVal&lt;&gt;"",_xlpm.MacVal,_xlpm.CSVVal&lt;&gt;"",_xlpm.CSVVal
)),"")</f>
        <v/>
      </c>
      <c r="D130" s="40" t="str" cm="1">
        <f t="array" ref="D130">IFERROR(_xlfn.LET(
_xlpm.CSVVal,_xlfn.XLOOKUP($A130,CSV!$A:$A,CSV!D:D,""),
_xlpm.MacVal,_xlfn.XLOOKUP($A130,Output_Mac!$A:$A,Output_Mac!C:C,""),
_xlpm.MyAuditVal,_xlfn.XLOOKUP($A130,My_Audit!$A:$A,My_Audit!C:C,""),
_xlfn.IFS(_xlpm.MyAuditVal&lt;&gt;"",_xlpm.MyAuditVal,_xlpm.MacVal&lt;&gt;"",_xlpm.MacVal,_xlpm.CSVVal&lt;&gt;"",_xlpm.CSVVal
)),"")</f>
        <v/>
      </c>
      <c r="E130" s="40">
        <f>_xlfn.XLOOKUP(A130,My_Audit!A:A,My_Audit!D:D,"")</f>
        <v>0</v>
      </c>
      <c r="F130" s="40" t="str" cm="1">
        <f t="array" ref="F130">IFERROR(_xlfn.LET(
_xlpm.CSVVal,_xlfn.XLOOKUP($A130,CSV!$A:$A,CSV!F:F,""),
_xlpm.MacVal,_xlfn.XLOOKUP($A130,Output_Mac!$A:$A,Output_Mac!E:E,""),
_xlpm.MyAuditVal,_xlfn.XLOOKUP($A130,My_Audit!$A:$A,My_Audit!E:E,""),
_xlfn.IFS(_xlpm.MyAuditVal&lt;&gt;"",_xlpm.MyAuditVal,_xlpm.MacVal&lt;&gt;"",_xlpm.MacVal,_xlpm.CSVVal&lt;&gt;"",_xlpm.CSVVal
)),"")</f>
        <v/>
      </c>
      <c r="G130" s="40" t="str" cm="1">
        <f t="array" ref="G130">IFERROR(_xlfn.LET(
_xlpm.CSVVal,_xlfn.XLOOKUP($A130,CSV!$A:$A,CSV!G:G,""),
_xlpm.MacVal,_xlfn.XLOOKUP($A130,Output_Mac!$A:$A,Output_Mac!F:F,""),
_xlpm.MyAuditVal,_xlfn.XLOOKUP($A130,My_Audit!$A:$A,My_Audit!F:F,""),
_xlfn.IFS(_xlpm.MyAuditVal&lt;&gt;"",_xlpm.MyAuditVal,_xlpm.MacVal&lt;&gt;"",_xlpm.MacVal,_xlpm.CSVVal&lt;&gt;"",PROPER(_xlpm.CSVVal)
)),"")</f>
        <v/>
      </c>
      <c r="H130" s="40" t="str" cm="1">
        <f t="array" ref="H130">IFERROR(_xlfn.LET(
_xlpm.CSVVal,_xlfn.XLOOKUP($A130,CSV!$A:$A,CSV!H:H,""),
_xlpm.MacVal,_xlfn.XLOOKUP($A130,Output_Mac!$A:$A,Output_Mac!H:H,""),
_xlpm.MyAuditVal,_xlfn.XLOOKUP($A130,My_Audit!$A:$A,My_Audit!G:G,""),
_xlfn.IFS(_xlpm.MyAuditVal&lt;&gt;"",_xlpm.MyAuditVal,_xlpm.MacVal&lt;&gt;"",_xlpm.MacVal,_xlpm.CSVVal&lt;&gt;"",_xlpm.CSVVal
)),"")</f>
        <v/>
      </c>
      <c r="I130" s="40" t="str">
        <f>_xlfn.XLOOKUP(A130,Output_Mac!A:A,Output_Mac!I:I,"")</f>
        <v/>
      </c>
      <c r="J130" s="40" t="str" cm="1">
        <f t="array" ref="J130">IFERROR(_xlfn.LET(
_xlpm.CSVVal,_xlfn.XLOOKUP($A130,CSV!$A:$A,CSV!I:I,""),
_xlpm.MacVal,_xlfn.XLOOKUP($A130,Output_Mac!$A:$A,Output_Mac!J:J,""),
_xlpm.MyAuditVal,_xlfn.XLOOKUP($A130,My_Audit!$A:$A,My_Audit!I:I,""),
_xlfn.IFS(_xlpm.MyAuditVal&lt;&gt;"",UPPER(_xlpm.MyAuditVal),_xlpm.MacVal&lt;&gt;"",_xlpm.MacVal,_xlpm.CSVVal&lt;&gt;"",_xlpm.CSVVal
)),"")</f>
        <v/>
      </c>
      <c r="K130" s="40" t="str" cm="1">
        <f t="array" ref="K130">IFERROR(_xlfn.LET(
_xlpm.CSVVal,_xlfn.XLOOKUP($A130,CSV!$A:$A,CSV!K:K,""),
_xlpm.MacVal,_xlfn.XLOOKUP($A130,Output_Mac!$A:$A,Output_Mac!K:K,""),
_xlpm.MyAuditVal,_xlfn.XLOOKUP($A130,My_Audit!$A:$A,My_Audit!J:J,""),
_xlfn.IFS(_xlpm.MyAuditVal&lt;&gt;"",UPPER(_xlpm.MyAuditVal),_xlpm.MacVal&lt;&gt;"",_xlpm.MacVal,_xlpm.CSVVal&lt;&gt;"",_xlpm.CSVVal
)),"")</f>
        <v/>
      </c>
      <c r="L130" s="40" t="str" cm="1">
        <f t="array" ref="L130">IFERROR(_xlfn.LET(
_xlpm.CSVVal,_xlfn.XLOOKUP($A130,CSV!$A:$A,CSV!P:P,""),
_xlpm.MacVal,_xlfn.XLOOKUP($A130,Output_Mac!$A:$A,Output_Mac!L:L,""),
_xlpm.MyAuditVal,_xlfn.XLOOKUP($A130,My_Audit!$A:$A,My_Audit!K:K,""),
_xlfn.IFS(_xlpm.MyAuditVal&lt;&gt;"",UPPER(_xlpm.MyAuditVal),_xlpm.MacVal&lt;&gt;"",_xlpm.MacVal,_xlpm.CSVVal&lt;&gt;"",_xlpm.CSVVal
)),"")</f>
        <v/>
      </c>
      <c r="M130" s="40" t="str" cm="1">
        <f t="array" ref="M130">IFERROR(_xlfn.LET(
_xlpm.CSVVal,_xlfn.XLOOKUP($A130,CSV!$A:$A,CSV!Q:Q,""),
_xlpm.MacVal,_xlfn.XLOOKUP($A130,Output_Mac!$A:$A,Output_Mac!M:M,""),
_xlpm.MyAuditVal,_xlfn.XLOOKUP($A130,My_Audit!$A:$A,My_Audit!L:L,""),
_xlfn.IFS(_xlpm.MyAuditVal&lt;&gt;"",UPPER(_xlpm.MyAuditVal),_xlpm.MacVal&lt;&gt;"",_xlpm.MacVal,_xlpm.CSVVal&lt;&gt;"",_xlpm.CSVVal
)),"")</f>
        <v/>
      </c>
      <c r="N130" s="40"/>
      <c r="O130" s="40" t="str">
        <f>_xlfn.LET(
    _xlpm.CSVVal, _xlfn.XLOOKUP($A130, CSV!$A:$A, CSV!AA:AA, ""),
    _xlpm.MacVal, _xlfn.XLOOKUP($A130, Output_Mac!$A:$A, Output_Mac!S:S, ""),
    _xlpm.MyAuditVal, _xlfn.XLOOKUP($A130, My_Audit!$A:$A, My_Audit!P:P, ""),
    _xlfn.TEXTJOIN(", ", TRUE, _xlpm.MyAuditVal, _xlpm.MacVal, _xlpm.CSVVal)
)</f>
        <v/>
      </c>
      <c r="P130" s="40" t="str" cm="1">
        <f t="array" ref="P130">IFERROR(_xlfn.LET(
_xlpm.CSVVal,_xlfn.XLOOKUP($A130,CSV!$A:$A,CSV!AB:AB,""),
_xlpm.MacVal,_xlfn.XLOOKUP($A130,Output_Mac!$A:$A,Output_Mac!T:T,""),
_xlpm.MyAuditVal,_xlfn.XLOOKUP($A130,My_Audit!$A:$A,My_Audit!Q:Q,""),
_xlfn.IFS(_xlpm.MyAuditVal&lt;&gt;"",UPPER(_xlpm.MyAuditVal),_xlpm.MacVal&lt;&gt;"",_xlpm.MacVal,_xlpm.CSVVal&lt;&gt;"",_xlpm.CSVVal
)),"No")</f>
        <v>No</v>
      </c>
      <c r="Q130" s="40" t="str" cm="1">
        <f t="array" ref="Q130">IFERROR(_xlfn.LET(
_xlpm.CSVVal,_xlfn.XLOOKUP($A130,CSV!$A:$A,CSV!AC:AC,""),
_xlpm.MacVal,_xlfn.XLOOKUP($A130,Output_Mac!$A:$A,Output_Mac!U:U,""),
_xlpm.MyAuditVal,_xlfn.XLOOKUP($A130,My_Audit!$A:$A,My_Audit!R:R,""),
_xlfn.IFS(_xlpm.MyAuditVal&lt;&gt;"",UPPER(_xlpm.MyAuditVal),_xlpm.MacVal&lt;&gt;"",_xlpm.MacVal,_xlpm.CSVVal&lt;&gt;"",_xlpm.CSVVal
)),"")</f>
        <v/>
      </c>
      <c r="R130" s="40"/>
      <c r="S130" s="40"/>
      <c r="T130" s="40"/>
      <c r="U130" s="40"/>
      <c r="V130" s="40"/>
      <c r="W130" s="40"/>
      <c r="X130" s="41" t="str">
        <f>_xlfn.LET(
    _xlpm.MacVal, _xlfn.XLOOKUP($A130, Output_Mac!$A:$A, Output_Mac!AB:AB, ""),
    _xlpm.MyAuditVal, _xlfn.XLOOKUP($A130, My_Audit!$A:$A, My_Audit!N:N, ""),
    _xlfn.TEXTJOIN(", ", TRUE, _xlpm.MyAuditVal, _xlpm.MacVal)
)</f>
        <v/>
      </c>
    </row>
    <row r="131" spans="1:24">
      <c r="A131" s="40" t="str">
        <f>_xlfn.TEXTJOIN("",TRUE,Input!$B$2,ROW(My_Audit!A130))</f>
        <v>X130</v>
      </c>
      <c r="B131" s="40" t="str">
        <f>_xlfn.TEXTJOIN("-",TRUE,"ITD",Input!$A$2,A131)</f>
        <v>ITD-X130</v>
      </c>
      <c r="C131" s="40" t="str" cm="1">
        <f t="array" ref="C131">IFERROR(_xlfn.LET(
_xlpm.CSVVal,_xlfn.XLOOKUP($A131,CSV!$A:$A,CSV!B:B,""),
_xlpm.MacVal,_xlfn.XLOOKUP($A131,Output_Mac!$A:$A,Output_Mac!B:B,""),
_xlpm.MyAuditVal,_xlfn.XLOOKUP($A131,My_Audit!$A:$A,My_Audit!B:B,""),
_xlfn.IFS(_xlpm.MyAuditVal&lt;&gt;"",UPPER(_xlpm.MyAuditVal),_xlpm.MacVal&lt;&gt;"",_xlpm.MacVal,_xlpm.CSVVal&lt;&gt;"",_xlpm.CSVVal
)),"")</f>
        <v/>
      </c>
      <c r="D131" s="40" t="str" cm="1">
        <f t="array" ref="D131">IFERROR(_xlfn.LET(
_xlpm.CSVVal,_xlfn.XLOOKUP($A131,CSV!$A:$A,CSV!D:D,""),
_xlpm.MacVal,_xlfn.XLOOKUP($A131,Output_Mac!$A:$A,Output_Mac!C:C,""),
_xlpm.MyAuditVal,_xlfn.XLOOKUP($A131,My_Audit!$A:$A,My_Audit!C:C,""),
_xlfn.IFS(_xlpm.MyAuditVal&lt;&gt;"",_xlpm.MyAuditVal,_xlpm.MacVal&lt;&gt;"",_xlpm.MacVal,_xlpm.CSVVal&lt;&gt;"",_xlpm.CSVVal
)),"")</f>
        <v/>
      </c>
      <c r="E131" s="40">
        <f>_xlfn.XLOOKUP(A131,My_Audit!A:A,My_Audit!D:D,"")</f>
        <v>0</v>
      </c>
      <c r="F131" s="40" t="str" cm="1">
        <f t="array" ref="F131">IFERROR(_xlfn.LET(
_xlpm.CSVVal,_xlfn.XLOOKUP($A131,CSV!$A:$A,CSV!F:F,""),
_xlpm.MacVal,_xlfn.XLOOKUP($A131,Output_Mac!$A:$A,Output_Mac!E:E,""),
_xlpm.MyAuditVal,_xlfn.XLOOKUP($A131,My_Audit!$A:$A,My_Audit!E:E,""),
_xlfn.IFS(_xlpm.MyAuditVal&lt;&gt;"",_xlpm.MyAuditVal,_xlpm.MacVal&lt;&gt;"",_xlpm.MacVal,_xlpm.CSVVal&lt;&gt;"",_xlpm.CSVVal
)),"")</f>
        <v/>
      </c>
      <c r="G131" s="40" t="str" cm="1">
        <f t="array" ref="G131">IFERROR(_xlfn.LET(
_xlpm.CSVVal,_xlfn.XLOOKUP($A131,CSV!$A:$A,CSV!G:G,""),
_xlpm.MacVal,_xlfn.XLOOKUP($A131,Output_Mac!$A:$A,Output_Mac!F:F,""),
_xlpm.MyAuditVal,_xlfn.XLOOKUP($A131,My_Audit!$A:$A,My_Audit!F:F,""),
_xlfn.IFS(_xlpm.MyAuditVal&lt;&gt;"",_xlpm.MyAuditVal,_xlpm.MacVal&lt;&gt;"",_xlpm.MacVal,_xlpm.CSVVal&lt;&gt;"",PROPER(_xlpm.CSVVal)
)),"")</f>
        <v/>
      </c>
      <c r="H131" s="40" t="str" cm="1">
        <f t="array" ref="H131">IFERROR(_xlfn.LET(
_xlpm.CSVVal,_xlfn.XLOOKUP($A131,CSV!$A:$A,CSV!H:H,""),
_xlpm.MacVal,_xlfn.XLOOKUP($A131,Output_Mac!$A:$A,Output_Mac!H:H,""),
_xlpm.MyAuditVal,_xlfn.XLOOKUP($A131,My_Audit!$A:$A,My_Audit!G:G,""),
_xlfn.IFS(_xlpm.MyAuditVal&lt;&gt;"",_xlpm.MyAuditVal,_xlpm.MacVal&lt;&gt;"",_xlpm.MacVal,_xlpm.CSVVal&lt;&gt;"",_xlpm.CSVVal
)),"")</f>
        <v/>
      </c>
      <c r="I131" s="40" t="str">
        <f>_xlfn.XLOOKUP(A131,Output_Mac!A:A,Output_Mac!I:I,"")</f>
        <v/>
      </c>
      <c r="J131" s="40" t="str" cm="1">
        <f t="array" ref="J131">IFERROR(_xlfn.LET(
_xlpm.CSVVal,_xlfn.XLOOKUP($A131,CSV!$A:$A,CSV!I:I,""),
_xlpm.MacVal,_xlfn.XLOOKUP($A131,Output_Mac!$A:$A,Output_Mac!J:J,""),
_xlpm.MyAuditVal,_xlfn.XLOOKUP($A131,My_Audit!$A:$A,My_Audit!I:I,""),
_xlfn.IFS(_xlpm.MyAuditVal&lt;&gt;"",UPPER(_xlpm.MyAuditVal),_xlpm.MacVal&lt;&gt;"",_xlpm.MacVal,_xlpm.CSVVal&lt;&gt;"",_xlpm.CSVVal
)),"")</f>
        <v/>
      </c>
      <c r="K131" s="40" t="str" cm="1">
        <f t="array" ref="K131">IFERROR(_xlfn.LET(
_xlpm.CSVVal,_xlfn.XLOOKUP($A131,CSV!$A:$A,CSV!K:K,""),
_xlpm.MacVal,_xlfn.XLOOKUP($A131,Output_Mac!$A:$A,Output_Mac!K:K,""),
_xlpm.MyAuditVal,_xlfn.XLOOKUP($A131,My_Audit!$A:$A,My_Audit!J:J,""),
_xlfn.IFS(_xlpm.MyAuditVal&lt;&gt;"",UPPER(_xlpm.MyAuditVal),_xlpm.MacVal&lt;&gt;"",_xlpm.MacVal,_xlpm.CSVVal&lt;&gt;"",_xlpm.CSVVal
)),"")</f>
        <v/>
      </c>
      <c r="L131" s="40" t="str" cm="1">
        <f t="array" ref="L131">IFERROR(_xlfn.LET(
_xlpm.CSVVal,_xlfn.XLOOKUP($A131,CSV!$A:$A,CSV!P:P,""),
_xlpm.MacVal,_xlfn.XLOOKUP($A131,Output_Mac!$A:$A,Output_Mac!L:L,""),
_xlpm.MyAuditVal,_xlfn.XLOOKUP($A131,My_Audit!$A:$A,My_Audit!K:K,""),
_xlfn.IFS(_xlpm.MyAuditVal&lt;&gt;"",UPPER(_xlpm.MyAuditVal),_xlpm.MacVal&lt;&gt;"",_xlpm.MacVal,_xlpm.CSVVal&lt;&gt;"",_xlpm.CSVVal
)),"")</f>
        <v/>
      </c>
      <c r="M131" s="40" t="str" cm="1">
        <f t="array" ref="M131">IFERROR(_xlfn.LET(
_xlpm.CSVVal,_xlfn.XLOOKUP($A131,CSV!$A:$A,CSV!Q:Q,""),
_xlpm.MacVal,_xlfn.XLOOKUP($A131,Output_Mac!$A:$A,Output_Mac!M:M,""),
_xlpm.MyAuditVal,_xlfn.XLOOKUP($A131,My_Audit!$A:$A,My_Audit!L:L,""),
_xlfn.IFS(_xlpm.MyAuditVal&lt;&gt;"",UPPER(_xlpm.MyAuditVal),_xlpm.MacVal&lt;&gt;"",_xlpm.MacVal,_xlpm.CSVVal&lt;&gt;"",_xlpm.CSVVal
)),"")</f>
        <v/>
      </c>
      <c r="N131" s="40"/>
      <c r="O131" s="40" t="str">
        <f>_xlfn.LET(
    _xlpm.CSVVal, _xlfn.XLOOKUP($A131, CSV!$A:$A, CSV!AA:AA, ""),
    _xlpm.MacVal, _xlfn.XLOOKUP($A131, Output_Mac!$A:$A, Output_Mac!S:S, ""),
    _xlpm.MyAuditVal, _xlfn.XLOOKUP($A131, My_Audit!$A:$A, My_Audit!P:P, ""),
    _xlfn.TEXTJOIN(", ", TRUE, _xlpm.MyAuditVal, _xlpm.MacVal, _xlpm.CSVVal)
)</f>
        <v/>
      </c>
      <c r="P131" s="40" t="str" cm="1">
        <f t="array" ref="P131">IFERROR(_xlfn.LET(
_xlpm.CSVVal,_xlfn.XLOOKUP($A131,CSV!$A:$A,CSV!AB:AB,""),
_xlpm.MacVal,_xlfn.XLOOKUP($A131,Output_Mac!$A:$A,Output_Mac!T:T,""),
_xlpm.MyAuditVal,_xlfn.XLOOKUP($A131,My_Audit!$A:$A,My_Audit!Q:Q,""),
_xlfn.IFS(_xlpm.MyAuditVal&lt;&gt;"",UPPER(_xlpm.MyAuditVal),_xlpm.MacVal&lt;&gt;"",_xlpm.MacVal,_xlpm.CSVVal&lt;&gt;"",_xlpm.CSVVal
)),"No")</f>
        <v>No</v>
      </c>
      <c r="Q131" s="40" t="str" cm="1">
        <f t="array" ref="Q131">IFERROR(_xlfn.LET(
_xlpm.CSVVal,_xlfn.XLOOKUP($A131,CSV!$A:$A,CSV!AC:AC,""),
_xlpm.MacVal,_xlfn.XLOOKUP($A131,Output_Mac!$A:$A,Output_Mac!U:U,""),
_xlpm.MyAuditVal,_xlfn.XLOOKUP($A131,My_Audit!$A:$A,My_Audit!R:R,""),
_xlfn.IFS(_xlpm.MyAuditVal&lt;&gt;"",UPPER(_xlpm.MyAuditVal),_xlpm.MacVal&lt;&gt;"",_xlpm.MacVal,_xlpm.CSVVal&lt;&gt;"",_xlpm.CSVVal
)),"")</f>
        <v/>
      </c>
      <c r="R131" s="40"/>
      <c r="S131" s="40"/>
      <c r="T131" s="40"/>
      <c r="U131" s="40"/>
      <c r="V131" s="40"/>
      <c r="W131" s="40"/>
      <c r="X131" s="41" t="str">
        <f>_xlfn.LET(
    _xlpm.MacVal, _xlfn.XLOOKUP($A131, Output_Mac!$A:$A, Output_Mac!AB:AB, ""),
    _xlpm.MyAuditVal, _xlfn.XLOOKUP($A131, My_Audit!$A:$A, My_Audit!N:N, ""),
    _xlfn.TEXTJOIN(", ", TRUE, _xlpm.MyAuditVal, _xlpm.MacVal)
)</f>
        <v/>
      </c>
    </row>
    <row r="132" spans="1:24">
      <c r="A132" s="40" t="str">
        <f>_xlfn.TEXTJOIN("",TRUE,Input!$B$2,ROW(My_Audit!A131))</f>
        <v>X131</v>
      </c>
      <c r="B132" s="40" t="str">
        <f>_xlfn.TEXTJOIN("-",TRUE,"ITD",Input!$A$2,A132)</f>
        <v>ITD-X131</v>
      </c>
      <c r="C132" s="40" t="str" cm="1">
        <f t="array" ref="C132">IFERROR(_xlfn.LET(
_xlpm.CSVVal,_xlfn.XLOOKUP($A132,CSV!$A:$A,CSV!B:B,""),
_xlpm.MacVal,_xlfn.XLOOKUP($A132,Output_Mac!$A:$A,Output_Mac!B:B,""),
_xlpm.MyAuditVal,_xlfn.XLOOKUP($A132,My_Audit!$A:$A,My_Audit!B:B,""),
_xlfn.IFS(_xlpm.MyAuditVal&lt;&gt;"",UPPER(_xlpm.MyAuditVal),_xlpm.MacVal&lt;&gt;"",_xlpm.MacVal,_xlpm.CSVVal&lt;&gt;"",_xlpm.CSVVal
)),"")</f>
        <v/>
      </c>
      <c r="D132" s="40" t="str" cm="1">
        <f t="array" ref="D132">IFERROR(_xlfn.LET(
_xlpm.CSVVal,_xlfn.XLOOKUP($A132,CSV!$A:$A,CSV!D:D,""),
_xlpm.MacVal,_xlfn.XLOOKUP($A132,Output_Mac!$A:$A,Output_Mac!C:C,""),
_xlpm.MyAuditVal,_xlfn.XLOOKUP($A132,My_Audit!$A:$A,My_Audit!C:C,""),
_xlfn.IFS(_xlpm.MyAuditVal&lt;&gt;"",_xlpm.MyAuditVal,_xlpm.MacVal&lt;&gt;"",_xlpm.MacVal,_xlpm.CSVVal&lt;&gt;"",_xlpm.CSVVal
)),"")</f>
        <v/>
      </c>
      <c r="E132" s="40">
        <f>_xlfn.XLOOKUP(A132,My_Audit!A:A,My_Audit!D:D,"")</f>
        <v>0</v>
      </c>
      <c r="F132" s="40" t="str" cm="1">
        <f t="array" ref="F132">IFERROR(_xlfn.LET(
_xlpm.CSVVal,_xlfn.XLOOKUP($A132,CSV!$A:$A,CSV!F:F,""),
_xlpm.MacVal,_xlfn.XLOOKUP($A132,Output_Mac!$A:$A,Output_Mac!E:E,""),
_xlpm.MyAuditVal,_xlfn.XLOOKUP($A132,My_Audit!$A:$A,My_Audit!E:E,""),
_xlfn.IFS(_xlpm.MyAuditVal&lt;&gt;"",_xlpm.MyAuditVal,_xlpm.MacVal&lt;&gt;"",_xlpm.MacVal,_xlpm.CSVVal&lt;&gt;"",_xlpm.CSVVal
)),"")</f>
        <v/>
      </c>
      <c r="G132" s="40" t="str" cm="1">
        <f t="array" ref="G132">IFERROR(_xlfn.LET(
_xlpm.CSVVal,_xlfn.XLOOKUP($A132,CSV!$A:$A,CSV!G:G,""),
_xlpm.MacVal,_xlfn.XLOOKUP($A132,Output_Mac!$A:$A,Output_Mac!F:F,""),
_xlpm.MyAuditVal,_xlfn.XLOOKUP($A132,My_Audit!$A:$A,My_Audit!F:F,""),
_xlfn.IFS(_xlpm.MyAuditVal&lt;&gt;"",_xlpm.MyAuditVal,_xlpm.MacVal&lt;&gt;"",_xlpm.MacVal,_xlpm.CSVVal&lt;&gt;"",PROPER(_xlpm.CSVVal)
)),"")</f>
        <v/>
      </c>
      <c r="H132" s="40" t="str" cm="1">
        <f t="array" ref="H132">IFERROR(_xlfn.LET(
_xlpm.CSVVal,_xlfn.XLOOKUP($A132,CSV!$A:$A,CSV!H:H,""),
_xlpm.MacVal,_xlfn.XLOOKUP($A132,Output_Mac!$A:$A,Output_Mac!H:H,""),
_xlpm.MyAuditVal,_xlfn.XLOOKUP($A132,My_Audit!$A:$A,My_Audit!G:G,""),
_xlfn.IFS(_xlpm.MyAuditVal&lt;&gt;"",_xlpm.MyAuditVal,_xlpm.MacVal&lt;&gt;"",_xlpm.MacVal,_xlpm.CSVVal&lt;&gt;"",_xlpm.CSVVal
)),"")</f>
        <v/>
      </c>
      <c r="I132" s="40" t="str">
        <f>_xlfn.XLOOKUP(A132,Output_Mac!A:A,Output_Mac!I:I,"")</f>
        <v/>
      </c>
      <c r="J132" s="40" t="str" cm="1">
        <f t="array" ref="J132">IFERROR(_xlfn.LET(
_xlpm.CSVVal,_xlfn.XLOOKUP($A132,CSV!$A:$A,CSV!I:I,""),
_xlpm.MacVal,_xlfn.XLOOKUP($A132,Output_Mac!$A:$A,Output_Mac!J:J,""),
_xlpm.MyAuditVal,_xlfn.XLOOKUP($A132,My_Audit!$A:$A,My_Audit!I:I,""),
_xlfn.IFS(_xlpm.MyAuditVal&lt;&gt;"",UPPER(_xlpm.MyAuditVal),_xlpm.MacVal&lt;&gt;"",_xlpm.MacVal,_xlpm.CSVVal&lt;&gt;"",_xlpm.CSVVal
)),"")</f>
        <v/>
      </c>
      <c r="K132" s="40" t="str" cm="1">
        <f t="array" ref="K132">IFERROR(_xlfn.LET(
_xlpm.CSVVal,_xlfn.XLOOKUP($A132,CSV!$A:$A,CSV!K:K,""),
_xlpm.MacVal,_xlfn.XLOOKUP($A132,Output_Mac!$A:$A,Output_Mac!K:K,""),
_xlpm.MyAuditVal,_xlfn.XLOOKUP($A132,My_Audit!$A:$A,My_Audit!J:J,""),
_xlfn.IFS(_xlpm.MyAuditVal&lt;&gt;"",UPPER(_xlpm.MyAuditVal),_xlpm.MacVal&lt;&gt;"",_xlpm.MacVal,_xlpm.CSVVal&lt;&gt;"",_xlpm.CSVVal
)),"")</f>
        <v/>
      </c>
      <c r="L132" s="40" t="str" cm="1">
        <f t="array" ref="L132">IFERROR(_xlfn.LET(
_xlpm.CSVVal,_xlfn.XLOOKUP($A132,CSV!$A:$A,CSV!P:P,""),
_xlpm.MacVal,_xlfn.XLOOKUP($A132,Output_Mac!$A:$A,Output_Mac!L:L,""),
_xlpm.MyAuditVal,_xlfn.XLOOKUP($A132,My_Audit!$A:$A,My_Audit!K:K,""),
_xlfn.IFS(_xlpm.MyAuditVal&lt;&gt;"",UPPER(_xlpm.MyAuditVal),_xlpm.MacVal&lt;&gt;"",_xlpm.MacVal,_xlpm.CSVVal&lt;&gt;"",_xlpm.CSVVal
)),"")</f>
        <v/>
      </c>
      <c r="M132" s="40" t="str" cm="1">
        <f t="array" ref="M132">IFERROR(_xlfn.LET(
_xlpm.CSVVal,_xlfn.XLOOKUP($A132,CSV!$A:$A,CSV!Q:Q,""),
_xlpm.MacVal,_xlfn.XLOOKUP($A132,Output_Mac!$A:$A,Output_Mac!M:M,""),
_xlpm.MyAuditVal,_xlfn.XLOOKUP($A132,My_Audit!$A:$A,My_Audit!L:L,""),
_xlfn.IFS(_xlpm.MyAuditVal&lt;&gt;"",UPPER(_xlpm.MyAuditVal),_xlpm.MacVal&lt;&gt;"",_xlpm.MacVal,_xlpm.CSVVal&lt;&gt;"",_xlpm.CSVVal
)),"")</f>
        <v/>
      </c>
      <c r="N132" s="40"/>
      <c r="O132" s="40" t="str">
        <f>_xlfn.LET(
    _xlpm.CSVVal, _xlfn.XLOOKUP($A132, CSV!$A:$A, CSV!AA:AA, ""),
    _xlpm.MacVal, _xlfn.XLOOKUP($A132, Output_Mac!$A:$A, Output_Mac!S:S, ""),
    _xlpm.MyAuditVal, _xlfn.XLOOKUP($A132, My_Audit!$A:$A, My_Audit!P:P, ""),
    _xlfn.TEXTJOIN(", ", TRUE, _xlpm.MyAuditVal, _xlpm.MacVal, _xlpm.CSVVal)
)</f>
        <v/>
      </c>
      <c r="P132" s="40" t="str" cm="1">
        <f t="array" ref="P132">IFERROR(_xlfn.LET(
_xlpm.CSVVal,_xlfn.XLOOKUP($A132,CSV!$A:$A,CSV!AB:AB,""),
_xlpm.MacVal,_xlfn.XLOOKUP($A132,Output_Mac!$A:$A,Output_Mac!T:T,""),
_xlpm.MyAuditVal,_xlfn.XLOOKUP($A132,My_Audit!$A:$A,My_Audit!Q:Q,""),
_xlfn.IFS(_xlpm.MyAuditVal&lt;&gt;"",UPPER(_xlpm.MyAuditVal),_xlpm.MacVal&lt;&gt;"",_xlpm.MacVal,_xlpm.CSVVal&lt;&gt;"",_xlpm.CSVVal
)),"No")</f>
        <v>No</v>
      </c>
      <c r="Q132" s="40" t="str" cm="1">
        <f t="array" ref="Q132">IFERROR(_xlfn.LET(
_xlpm.CSVVal,_xlfn.XLOOKUP($A132,CSV!$A:$A,CSV!AC:AC,""),
_xlpm.MacVal,_xlfn.XLOOKUP($A132,Output_Mac!$A:$A,Output_Mac!U:U,""),
_xlpm.MyAuditVal,_xlfn.XLOOKUP($A132,My_Audit!$A:$A,My_Audit!R:R,""),
_xlfn.IFS(_xlpm.MyAuditVal&lt;&gt;"",UPPER(_xlpm.MyAuditVal),_xlpm.MacVal&lt;&gt;"",_xlpm.MacVal,_xlpm.CSVVal&lt;&gt;"",_xlpm.CSVVal
)),"")</f>
        <v/>
      </c>
      <c r="R132" s="40"/>
      <c r="S132" s="40"/>
      <c r="T132" s="40"/>
      <c r="U132" s="40"/>
      <c r="V132" s="40"/>
      <c r="W132" s="40"/>
      <c r="X132" s="41" t="str">
        <f>_xlfn.LET(
    _xlpm.MacVal, _xlfn.XLOOKUP($A132, Output_Mac!$A:$A, Output_Mac!AB:AB, ""),
    _xlpm.MyAuditVal, _xlfn.XLOOKUP($A132, My_Audit!$A:$A, My_Audit!N:N, ""),
    _xlfn.TEXTJOIN(", ", TRUE, _xlpm.MyAuditVal, _xlpm.MacVal)
)</f>
        <v/>
      </c>
    </row>
    <row r="133" spans="1:24">
      <c r="A133" s="40" t="str">
        <f>_xlfn.TEXTJOIN("",TRUE,Input!$B$2,ROW(My_Audit!A132))</f>
        <v>X132</v>
      </c>
      <c r="B133" s="40" t="str">
        <f>_xlfn.TEXTJOIN("-",TRUE,"ITD",Input!$A$2,A133)</f>
        <v>ITD-X132</v>
      </c>
      <c r="C133" s="40" t="str" cm="1">
        <f t="array" ref="C133">IFERROR(_xlfn.LET(
_xlpm.CSVVal,_xlfn.XLOOKUP($A133,CSV!$A:$A,CSV!B:B,""),
_xlpm.MacVal,_xlfn.XLOOKUP($A133,Output_Mac!$A:$A,Output_Mac!B:B,""),
_xlpm.MyAuditVal,_xlfn.XLOOKUP($A133,My_Audit!$A:$A,My_Audit!B:B,""),
_xlfn.IFS(_xlpm.MyAuditVal&lt;&gt;"",UPPER(_xlpm.MyAuditVal),_xlpm.MacVal&lt;&gt;"",_xlpm.MacVal,_xlpm.CSVVal&lt;&gt;"",_xlpm.CSVVal
)),"")</f>
        <v/>
      </c>
      <c r="D133" s="40" t="str" cm="1">
        <f t="array" ref="D133">IFERROR(_xlfn.LET(
_xlpm.CSVVal,_xlfn.XLOOKUP($A133,CSV!$A:$A,CSV!D:D,""),
_xlpm.MacVal,_xlfn.XLOOKUP($A133,Output_Mac!$A:$A,Output_Mac!C:C,""),
_xlpm.MyAuditVal,_xlfn.XLOOKUP($A133,My_Audit!$A:$A,My_Audit!C:C,""),
_xlfn.IFS(_xlpm.MyAuditVal&lt;&gt;"",_xlpm.MyAuditVal,_xlpm.MacVal&lt;&gt;"",_xlpm.MacVal,_xlpm.CSVVal&lt;&gt;"",_xlpm.CSVVal
)),"")</f>
        <v/>
      </c>
      <c r="E133" s="40">
        <f>_xlfn.XLOOKUP(A133,My_Audit!A:A,My_Audit!D:D,"")</f>
        <v>0</v>
      </c>
      <c r="F133" s="40" t="str" cm="1">
        <f t="array" ref="F133">IFERROR(_xlfn.LET(
_xlpm.CSVVal,_xlfn.XLOOKUP($A133,CSV!$A:$A,CSV!F:F,""),
_xlpm.MacVal,_xlfn.XLOOKUP($A133,Output_Mac!$A:$A,Output_Mac!E:E,""),
_xlpm.MyAuditVal,_xlfn.XLOOKUP($A133,My_Audit!$A:$A,My_Audit!E:E,""),
_xlfn.IFS(_xlpm.MyAuditVal&lt;&gt;"",_xlpm.MyAuditVal,_xlpm.MacVal&lt;&gt;"",_xlpm.MacVal,_xlpm.CSVVal&lt;&gt;"",_xlpm.CSVVal
)),"")</f>
        <v/>
      </c>
      <c r="G133" s="40" t="str" cm="1">
        <f t="array" ref="G133">IFERROR(_xlfn.LET(
_xlpm.CSVVal,_xlfn.XLOOKUP($A133,CSV!$A:$A,CSV!G:G,""),
_xlpm.MacVal,_xlfn.XLOOKUP($A133,Output_Mac!$A:$A,Output_Mac!F:F,""),
_xlpm.MyAuditVal,_xlfn.XLOOKUP($A133,My_Audit!$A:$A,My_Audit!F:F,""),
_xlfn.IFS(_xlpm.MyAuditVal&lt;&gt;"",_xlpm.MyAuditVal,_xlpm.MacVal&lt;&gt;"",_xlpm.MacVal,_xlpm.CSVVal&lt;&gt;"",PROPER(_xlpm.CSVVal)
)),"")</f>
        <v/>
      </c>
      <c r="H133" s="40" t="str" cm="1">
        <f t="array" ref="H133">IFERROR(_xlfn.LET(
_xlpm.CSVVal,_xlfn.XLOOKUP($A133,CSV!$A:$A,CSV!H:H,""),
_xlpm.MacVal,_xlfn.XLOOKUP($A133,Output_Mac!$A:$A,Output_Mac!H:H,""),
_xlpm.MyAuditVal,_xlfn.XLOOKUP($A133,My_Audit!$A:$A,My_Audit!G:G,""),
_xlfn.IFS(_xlpm.MyAuditVal&lt;&gt;"",_xlpm.MyAuditVal,_xlpm.MacVal&lt;&gt;"",_xlpm.MacVal,_xlpm.CSVVal&lt;&gt;"",_xlpm.CSVVal
)),"")</f>
        <v/>
      </c>
      <c r="I133" s="40" t="str">
        <f>_xlfn.XLOOKUP(A133,Output_Mac!A:A,Output_Mac!I:I,"")</f>
        <v/>
      </c>
      <c r="J133" s="40" t="str" cm="1">
        <f t="array" ref="J133">IFERROR(_xlfn.LET(
_xlpm.CSVVal,_xlfn.XLOOKUP($A133,CSV!$A:$A,CSV!I:I,""),
_xlpm.MacVal,_xlfn.XLOOKUP($A133,Output_Mac!$A:$A,Output_Mac!J:J,""),
_xlpm.MyAuditVal,_xlfn.XLOOKUP($A133,My_Audit!$A:$A,My_Audit!I:I,""),
_xlfn.IFS(_xlpm.MyAuditVal&lt;&gt;"",UPPER(_xlpm.MyAuditVal),_xlpm.MacVal&lt;&gt;"",_xlpm.MacVal,_xlpm.CSVVal&lt;&gt;"",_xlpm.CSVVal
)),"")</f>
        <v/>
      </c>
      <c r="K133" s="40" t="str" cm="1">
        <f t="array" ref="K133">IFERROR(_xlfn.LET(
_xlpm.CSVVal,_xlfn.XLOOKUP($A133,CSV!$A:$A,CSV!K:K,""),
_xlpm.MacVal,_xlfn.XLOOKUP($A133,Output_Mac!$A:$A,Output_Mac!K:K,""),
_xlpm.MyAuditVal,_xlfn.XLOOKUP($A133,My_Audit!$A:$A,My_Audit!J:J,""),
_xlfn.IFS(_xlpm.MyAuditVal&lt;&gt;"",UPPER(_xlpm.MyAuditVal),_xlpm.MacVal&lt;&gt;"",_xlpm.MacVal,_xlpm.CSVVal&lt;&gt;"",_xlpm.CSVVal
)),"")</f>
        <v/>
      </c>
      <c r="L133" s="40" t="str" cm="1">
        <f t="array" ref="L133">IFERROR(_xlfn.LET(
_xlpm.CSVVal,_xlfn.XLOOKUP($A133,CSV!$A:$A,CSV!P:P,""),
_xlpm.MacVal,_xlfn.XLOOKUP($A133,Output_Mac!$A:$A,Output_Mac!L:L,""),
_xlpm.MyAuditVal,_xlfn.XLOOKUP($A133,My_Audit!$A:$A,My_Audit!K:K,""),
_xlfn.IFS(_xlpm.MyAuditVal&lt;&gt;"",UPPER(_xlpm.MyAuditVal),_xlpm.MacVal&lt;&gt;"",_xlpm.MacVal,_xlpm.CSVVal&lt;&gt;"",_xlpm.CSVVal
)),"")</f>
        <v/>
      </c>
      <c r="M133" s="40" t="str" cm="1">
        <f t="array" ref="M133">IFERROR(_xlfn.LET(
_xlpm.CSVVal,_xlfn.XLOOKUP($A133,CSV!$A:$A,CSV!Q:Q,""),
_xlpm.MacVal,_xlfn.XLOOKUP($A133,Output_Mac!$A:$A,Output_Mac!M:M,""),
_xlpm.MyAuditVal,_xlfn.XLOOKUP($A133,My_Audit!$A:$A,My_Audit!L:L,""),
_xlfn.IFS(_xlpm.MyAuditVal&lt;&gt;"",UPPER(_xlpm.MyAuditVal),_xlpm.MacVal&lt;&gt;"",_xlpm.MacVal,_xlpm.CSVVal&lt;&gt;"",_xlpm.CSVVal
)),"")</f>
        <v/>
      </c>
      <c r="N133" s="40"/>
      <c r="O133" s="40" t="str">
        <f>_xlfn.LET(
    _xlpm.CSVVal, _xlfn.XLOOKUP($A133, CSV!$A:$A, CSV!AA:AA, ""),
    _xlpm.MacVal, _xlfn.XLOOKUP($A133, Output_Mac!$A:$A, Output_Mac!S:S, ""),
    _xlpm.MyAuditVal, _xlfn.XLOOKUP($A133, My_Audit!$A:$A, My_Audit!P:P, ""),
    _xlfn.TEXTJOIN(", ", TRUE, _xlpm.MyAuditVal, _xlpm.MacVal, _xlpm.CSVVal)
)</f>
        <v/>
      </c>
      <c r="P133" s="40" t="str" cm="1">
        <f t="array" ref="P133">IFERROR(_xlfn.LET(
_xlpm.CSVVal,_xlfn.XLOOKUP($A133,CSV!$A:$A,CSV!AB:AB,""),
_xlpm.MacVal,_xlfn.XLOOKUP($A133,Output_Mac!$A:$A,Output_Mac!T:T,""),
_xlpm.MyAuditVal,_xlfn.XLOOKUP($A133,My_Audit!$A:$A,My_Audit!Q:Q,""),
_xlfn.IFS(_xlpm.MyAuditVal&lt;&gt;"",UPPER(_xlpm.MyAuditVal),_xlpm.MacVal&lt;&gt;"",_xlpm.MacVal,_xlpm.CSVVal&lt;&gt;"",_xlpm.CSVVal
)),"No")</f>
        <v>No</v>
      </c>
      <c r="Q133" s="40" t="str" cm="1">
        <f t="array" ref="Q133">IFERROR(_xlfn.LET(
_xlpm.CSVVal,_xlfn.XLOOKUP($A133,CSV!$A:$A,CSV!AC:AC,""),
_xlpm.MacVal,_xlfn.XLOOKUP($A133,Output_Mac!$A:$A,Output_Mac!U:U,""),
_xlpm.MyAuditVal,_xlfn.XLOOKUP($A133,My_Audit!$A:$A,My_Audit!R:R,""),
_xlfn.IFS(_xlpm.MyAuditVal&lt;&gt;"",UPPER(_xlpm.MyAuditVal),_xlpm.MacVal&lt;&gt;"",_xlpm.MacVal,_xlpm.CSVVal&lt;&gt;"",_xlpm.CSVVal
)),"")</f>
        <v/>
      </c>
      <c r="R133" s="40"/>
      <c r="S133" s="40"/>
      <c r="T133" s="40"/>
      <c r="U133" s="40"/>
      <c r="V133" s="40"/>
      <c r="W133" s="40"/>
      <c r="X133" s="41" t="str">
        <f>_xlfn.LET(
    _xlpm.MacVal, _xlfn.XLOOKUP($A133, Output_Mac!$A:$A, Output_Mac!AB:AB, ""),
    _xlpm.MyAuditVal, _xlfn.XLOOKUP($A133, My_Audit!$A:$A, My_Audit!N:N, ""),
    _xlfn.TEXTJOIN(", ", TRUE, _xlpm.MyAuditVal, _xlpm.MacVal)
)</f>
        <v/>
      </c>
    </row>
    <row r="134" spans="1:24">
      <c r="A134" s="40" t="str">
        <f>_xlfn.TEXTJOIN("",TRUE,Input!$B$2,ROW(My_Audit!A133))</f>
        <v>X133</v>
      </c>
      <c r="B134" s="40" t="str">
        <f>_xlfn.TEXTJOIN("-",TRUE,"ITD",Input!$A$2,A134)</f>
        <v>ITD-X133</v>
      </c>
      <c r="C134" s="40" t="str" cm="1">
        <f t="array" ref="C134">IFERROR(_xlfn.LET(
_xlpm.CSVVal,_xlfn.XLOOKUP($A134,CSV!$A:$A,CSV!B:B,""),
_xlpm.MacVal,_xlfn.XLOOKUP($A134,Output_Mac!$A:$A,Output_Mac!B:B,""),
_xlpm.MyAuditVal,_xlfn.XLOOKUP($A134,My_Audit!$A:$A,My_Audit!B:B,""),
_xlfn.IFS(_xlpm.MyAuditVal&lt;&gt;"",UPPER(_xlpm.MyAuditVal),_xlpm.MacVal&lt;&gt;"",_xlpm.MacVal,_xlpm.CSVVal&lt;&gt;"",_xlpm.CSVVal
)),"")</f>
        <v/>
      </c>
      <c r="D134" s="40" t="str" cm="1">
        <f t="array" ref="D134">IFERROR(_xlfn.LET(
_xlpm.CSVVal,_xlfn.XLOOKUP($A134,CSV!$A:$A,CSV!D:D,""),
_xlpm.MacVal,_xlfn.XLOOKUP($A134,Output_Mac!$A:$A,Output_Mac!C:C,""),
_xlpm.MyAuditVal,_xlfn.XLOOKUP($A134,My_Audit!$A:$A,My_Audit!C:C,""),
_xlfn.IFS(_xlpm.MyAuditVal&lt;&gt;"",_xlpm.MyAuditVal,_xlpm.MacVal&lt;&gt;"",_xlpm.MacVal,_xlpm.CSVVal&lt;&gt;"",_xlpm.CSVVal
)),"")</f>
        <v/>
      </c>
      <c r="E134" s="40">
        <f>_xlfn.XLOOKUP(A134,My_Audit!A:A,My_Audit!D:D,"")</f>
        <v>0</v>
      </c>
      <c r="F134" s="40" t="str" cm="1">
        <f t="array" ref="F134">IFERROR(_xlfn.LET(
_xlpm.CSVVal,_xlfn.XLOOKUP($A134,CSV!$A:$A,CSV!F:F,""),
_xlpm.MacVal,_xlfn.XLOOKUP($A134,Output_Mac!$A:$A,Output_Mac!E:E,""),
_xlpm.MyAuditVal,_xlfn.XLOOKUP($A134,My_Audit!$A:$A,My_Audit!E:E,""),
_xlfn.IFS(_xlpm.MyAuditVal&lt;&gt;"",_xlpm.MyAuditVal,_xlpm.MacVal&lt;&gt;"",_xlpm.MacVal,_xlpm.CSVVal&lt;&gt;"",_xlpm.CSVVal
)),"")</f>
        <v/>
      </c>
      <c r="G134" s="40" t="str" cm="1">
        <f t="array" ref="G134">IFERROR(_xlfn.LET(
_xlpm.CSVVal,_xlfn.XLOOKUP($A134,CSV!$A:$A,CSV!G:G,""),
_xlpm.MacVal,_xlfn.XLOOKUP($A134,Output_Mac!$A:$A,Output_Mac!F:F,""),
_xlpm.MyAuditVal,_xlfn.XLOOKUP($A134,My_Audit!$A:$A,My_Audit!F:F,""),
_xlfn.IFS(_xlpm.MyAuditVal&lt;&gt;"",_xlpm.MyAuditVal,_xlpm.MacVal&lt;&gt;"",_xlpm.MacVal,_xlpm.CSVVal&lt;&gt;"",PROPER(_xlpm.CSVVal)
)),"")</f>
        <v/>
      </c>
      <c r="H134" s="40" t="str" cm="1">
        <f t="array" ref="H134">IFERROR(_xlfn.LET(
_xlpm.CSVVal,_xlfn.XLOOKUP($A134,CSV!$A:$A,CSV!H:H,""),
_xlpm.MacVal,_xlfn.XLOOKUP($A134,Output_Mac!$A:$A,Output_Mac!H:H,""),
_xlpm.MyAuditVal,_xlfn.XLOOKUP($A134,My_Audit!$A:$A,My_Audit!G:G,""),
_xlfn.IFS(_xlpm.MyAuditVal&lt;&gt;"",_xlpm.MyAuditVal,_xlpm.MacVal&lt;&gt;"",_xlpm.MacVal,_xlpm.CSVVal&lt;&gt;"",_xlpm.CSVVal
)),"")</f>
        <v/>
      </c>
      <c r="I134" s="40" t="str">
        <f>_xlfn.XLOOKUP(A134,Output_Mac!A:A,Output_Mac!I:I,"")</f>
        <v/>
      </c>
      <c r="J134" s="40" t="str" cm="1">
        <f t="array" ref="J134">IFERROR(_xlfn.LET(
_xlpm.CSVVal,_xlfn.XLOOKUP($A134,CSV!$A:$A,CSV!I:I,""),
_xlpm.MacVal,_xlfn.XLOOKUP($A134,Output_Mac!$A:$A,Output_Mac!J:J,""),
_xlpm.MyAuditVal,_xlfn.XLOOKUP($A134,My_Audit!$A:$A,My_Audit!I:I,""),
_xlfn.IFS(_xlpm.MyAuditVal&lt;&gt;"",UPPER(_xlpm.MyAuditVal),_xlpm.MacVal&lt;&gt;"",_xlpm.MacVal,_xlpm.CSVVal&lt;&gt;"",_xlpm.CSVVal
)),"")</f>
        <v/>
      </c>
      <c r="K134" s="40" t="str" cm="1">
        <f t="array" ref="K134">IFERROR(_xlfn.LET(
_xlpm.CSVVal,_xlfn.XLOOKUP($A134,CSV!$A:$A,CSV!K:K,""),
_xlpm.MacVal,_xlfn.XLOOKUP($A134,Output_Mac!$A:$A,Output_Mac!K:K,""),
_xlpm.MyAuditVal,_xlfn.XLOOKUP($A134,My_Audit!$A:$A,My_Audit!J:J,""),
_xlfn.IFS(_xlpm.MyAuditVal&lt;&gt;"",UPPER(_xlpm.MyAuditVal),_xlpm.MacVal&lt;&gt;"",_xlpm.MacVal,_xlpm.CSVVal&lt;&gt;"",_xlpm.CSVVal
)),"")</f>
        <v/>
      </c>
      <c r="L134" s="40" t="str" cm="1">
        <f t="array" ref="L134">IFERROR(_xlfn.LET(
_xlpm.CSVVal,_xlfn.XLOOKUP($A134,CSV!$A:$A,CSV!P:P,""),
_xlpm.MacVal,_xlfn.XLOOKUP($A134,Output_Mac!$A:$A,Output_Mac!L:L,""),
_xlpm.MyAuditVal,_xlfn.XLOOKUP($A134,My_Audit!$A:$A,My_Audit!K:K,""),
_xlfn.IFS(_xlpm.MyAuditVal&lt;&gt;"",UPPER(_xlpm.MyAuditVal),_xlpm.MacVal&lt;&gt;"",_xlpm.MacVal,_xlpm.CSVVal&lt;&gt;"",_xlpm.CSVVal
)),"")</f>
        <v/>
      </c>
      <c r="M134" s="40" t="str" cm="1">
        <f t="array" ref="M134">IFERROR(_xlfn.LET(
_xlpm.CSVVal,_xlfn.XLOOKUP($A134,CSV!$A:$A,CSV!Q:Q,""),
_xlpm.MacVal,_xlfn.XLOOKUP($A134,Output_Mac!$A:$A,Output_Mac!M:M,""),
_xlpm.MyAuditVal,_xlfn.XLOOKUP($A134,My_Audit!$A:$A,My_Audit!L:L,""),
_xlfn.IFS(_xlpm.MyAuditVal&lt;&gt;"",UPPER(_xlpm.MyAuditVal),_xlpm.MacVal&lt;&gt;"",_xlpm.MacVal,_xlpm.CSVVal&lt;&gt;"",_xlpm.CSVVal
)),"")</f>
        <v/>
      </c>
      <c r="N134" s="40"/>
      <c r="O134" s="40" t="str">
        <f>_xlfn.LET(
    _xlpm.CSVVal, _xlfn.XLOOKUP($A134, CSV!$A:$A, CSV!AA:AA, ""),
    _xlpm.MacVal, _xlfn.XLOOKUP($A134, Output_Mac!$A:$A, Output_Mac!S:S, ""),
    _xlpm.MyAuditVal, _xlfn.XLOOKUP($A134, My_Audit!$A:$A, My_Audit!P:P, ""),
    _xlfn.TEXTJOIN(", ", TRUE, _xlpm.MyAuditVal, _xlpm.MacVal, _xlpm.CSVVal)
)</f>
        <v/>
      </c>
      <c r="P134" s="40" t="str" cm="1">
        <f t="array" ref="P134">IFERROR(_xlfn.LET(
_xlpm.CSVVal,_xlfn.XLOOKUP($A134,CSV!$A:$A,CSV!AB:AB,""),
_xlpm.MacVal,_xlfn.XLOOKUP($A134,Output_Mac!$A:$A,Output_Mac!T:T,""),
_xlpm.MyAuditVal,_xlfn.XLOOKUP($A134,My_Audit!$A:$A,My_Audit!Q:Q,""),
_xlfn.IFS(_xlpm.MyAuditVal&lt;&gt;"",UPPER(_xlpm.MyAuditVal),_xlpm.MacVal&lt;&gt;"",_xlpm.MacVal,_xlpm.CSVVal&lt;&gt;"",_xlpm.CSVVal
)),"No")</f>
        <v>No</v>
      </c>
      <c r="Q134" s="40" t="str" cm="1">
        <f t="array" ref="Q134">IFERROR(_xlfn.LET(
_xlpm.CSVVal,_xlfn.XLOOKUP($A134,CSV!$A:$A,CSV!AC:AC,""),
_xlpm.MacVal,_xlfn.XLOOKUP($A134,Output_Mac!$A:$A,Output_Mac!U:U,""),
_xlpm.MyAuditVal,_xlfn.XLOOKUP($A134,My_Audit!$A:$A,My_Audit!R:R,""),
_xlfn.IFS(_xlpm.MyAuditVal&lt;&gt;"",UPPER(_xlpm.MyAuditVal),_xlpm.MacVal&lt;&gt;"",_xlpm.MacVal,_xlpm.CSVVal&lt;&gt;"",_xlpm.CSVVal
)),"")</f>
        <v/>
      </c>
      <c r="R134" s="40"/>
      <c r="S134" s="40"/>
      <c r="T134" s="40"/>
      <c r="U134" s="40"/>
      <c r="V134" s="40"/>
      <c r="W134" s="40"/>
      <c r="X134" s="41" t="str">
        <f>_xlfn.LET(
    _xlpm.MacVal, _xlfn.XLOOKUP($A134, Output_Mac!$A:$A, Output_Mac!AB:AB, ""),
    _xlpm.MyAuditVal, _xlfn.XLOOKUP($A134, My_Audit!$A:$A, My_Audit!N:N, ""),
    _xlfn.TEXTJOIN(", ", TRUE, _xlpm.MyAuditVal, _xlpm.MacVal)
)</f>
        <v/>
      </c>
    </row>
    <row r="135" spans="1:24">
      <c r="A135" s="40" t="str">
        <f>_xlfn.TEXTJOIN("",TRUE,Input!$B$2,ROW(My_Audit!A134))</f>
        <v>X134</v>
      </c>
      <c r="B135" s="40" t="str">
        <f>_xlfn.TEXTJOIN("-",TRUE,"ITD",Input!$A$2,A135)</f>
        <v>ITD-X134</v>
      </c>
      <c r="C135" s="40" t="str" cm="1">
        <f t="array" ref="C135">IFERROR(_xlfn.LET(
_xlpm.CSVVal,_xlfn.XLOOKUP($A135,CSV!$A:$A,CSV!B:B,""),
_xlpm.MacVal,_xlfn.XLOOKUP($A135,Output_Mac!$A:$A,Output_Mac!B:B,""),
_xlpm.MyAuditVal,_xlfn.XLOOKUP($A135,My_Audit!$A:$A,My_Audit!B:B,""),
_xlfn.IFS(_xlpm.MyAuditVal&lt;&gt;"",UPPER(_xlpm.MyAuditVal),_xlpm.MacVal&lt;&gt;"",_xlpm.MacVal,_xlpm.CSVVal&lt;&gt;"",_xlpm.CSVVal
)),"")</f>
        <v/>
      </c>
      <c r="D135" s="40" t="str" cm="1">
        <f t="array" ref="D135">IFERROR(_xlfn.LET(
_xlpm.CSVVal,_xlfn.XLOOKUP($A135,CSV!$A:$A,CSV!D:D,""),
_xlpm.MacVal,_xlfn.XLOOKUP($A135,Output_Mac!$A:$A,Output_Mac!C:C,""),
_xlpm.MyAuditVal,_xlfn.XLOOKUP($A135,My_Audit!$A:$A,My_Audit!C:C,""),
_xlfn.IFS(_xlpm.MyAuditVal&lt;&gt;"",_xlpm.MyAuditVal,_xlpm.MacVal&lt;&gt;"",_xlpm.MacVal,_xlpm.CSVVal&lt;&gt;"",_xlpm.CSVVal
)),"")</f>
        <v/>
      </c>
      <c r="E135" s="40">
        <f>_xlfn.XLOOKUP(A135,My_Audit!A:A,My_Audit!D:D,"")</f>
        <v>0</v>
      </c>
      <c r="F135" s="40" t="str" cm="1">
        <f t="array" ref="F135">IFERROR(_xlfn.LET(
_xlpm.CSVVal,_xlfn.XLOOKUP($A135,CSV!$A:$A,CSV!F:F,""),
_xlpm.MacVal,_xlfn.XLOOKUP($A135,Output_Mac!$A:$A,Output_Mac!E:E,""),
_xlpm.MyAuditVal,_xlfn.XLOOKUP($A135,My_Audit!$A:$A,My_Audit!E:E,""),
_xlfn.IFS(_xlpm.MyAuditVal&lt;&gt;"",_xlpm.MyAuditVal,_xlpm.MacVal&lt;&gt;"",_xlpm.MacVal,_xlpm.CSVVal&lt;&gt;"",_xlpm.CSVVal
)),"")</f>
        <v/>
      </c>
      <c r="G135" s="40" t="str" cm="1">
        <f t="array" ref="G135">IFERROR(_xlfn.LET(
_xlpm.CSVVal,_xlfn.XLOOKUP($A135,CSV!$A:$A,CSV!G:G,""),
_xlpm.MacVal,_xlfn.XLOOKUP($A135,Output_Mac!$A:$A,Output_Mac!F:F,""),
_xlpm.MyAuditVal,_xlfn.XLOOKUP($A135,My_Audit!$A:$A,My_Audit!F:F,""),
_xlfn.IFS(_xlpm.MyAuditVal&lt;&gt;"",_xlpm.MyAuditVal,_xlpm.MacVal&lt;&gt;"",_xlpm.MacVal,_xlpm.CSVVal&lt;&gt;"",PROPER(_xlpm.CSVVal)
)),"")</f>
        <v/>
      </c>
      <c r="H135" s="40" t="str" cm="1">
        <f t="array" ref="H135">IFERROR(_xlfn.LET(
_xlpm.CSVVal,_xlfn.XLOOKUP($A135,CSV!$A:$A,CSV!H:H,""),
_xlpm.MacVal,_xlfn.XLOOKUP($A135,Output_Mac!$A:$A,Output_Mac!H:H,""),
_xlpm.MyAuditVal,_xlfn.XLOOKUP($A135,My_Audit!$A:$A,My_Audit!G:G,""),
_xlfn.IFS(_xlpm.MyAuditVal&lt;&gt;"",_xlpm.MyAuditVal,_xlpm.MacVal&lt;&gt;"",_xlpm.MacVal,_xlpm.CSVVal&lt;&gt;"",_xlpm.CSVVal
)),"")</f>
        <v/>
      </c>
      <c r="I135" s="40" t="str">
        <f>_xlfn.XLOOKUP(A135,Output_Mac!A:A,Output_Mac!I:I,"")</f>
        <v/>
      </c>
      <c r="J135" s="40" t="str" cm="1">
        <f t="array" ref="J135">IFERROR(_xlfn.LET(
_xlpm.CSVVal,_xlfn.XLOOKUP($A135,CSV!$A:$A,CSV!I:I,""),
_xlpm.MacVal,_xlfn.XLOOKUP($A135,Output_Mac!$A:$A,Output_Mac!J:J,""),
_xlpm.MyAuditVal,_xlfn.XLOOKUP($A135,My_Audit!$A:$A,My_Audit!I:I,""),
_xlfn.IFS(_xlpm.MyAuditVal&lt;&gt;"",UPPER(_xlpm.MyAuditVal),_xlpm.MacVal&lt;&gt;"",_xlpm.MacVal,_xlpm.CSVVal&lt;&gt;"",_xlpm.CSVVal
)),"")</f>
        <v/>
      </c>
      <c r="K135" s="40" t="str" cm="1">
        <f t="array" ref="K135">IFERROR(_xlfn.LET(
_xlpm.CSVVal,_xlfn.XLOOKUP($A135,CSV!$A:$A,CSV!K:K,""),
_xlpm.MacVal,_xlfn.XLOOKUP($A135,Output_Mac!$A:$A,Output_Mac!K:K,""),
_xlpm.MyAuditVal,_xlfn.XLOOKUP($A135,My_Audit!$A:$A,My_Audit!J:J,""),
_xlfn.IFS(_xlpm.MyAuditVal&lt;&gt;"",UPPER(_xlpm.MyAuditVal),_xlpm.MacVal&lt;&gt;"",_xlpm.MacVal,_xlpm.CSVVal&lt;&gt;"",_xlpm.CSVVal
)),"")</f>
        <v/>
      </c>
      <c r="L135" s="40" t="str" cm="1">
        <f t="array" ref="L135">IFERROR(_xlfn.LET(
_xlpm.CSVVal,_xlfn.XLOOKUP($A135,CSV!$A:$A,CSV!P:P,""),
_xlpm.MacVal,_xlfn.XLOOKUP($A135,Output_Mac!$A:$A,Output_Mac!L:L,""),
_xlpm.MyAuditVal,_xlfn.XLOOKUP($A135,My_Audit!$A:$A,My_Audit!K:K,""),
_xlfn.IFS(_xlpm.MyAuditVal&lt;&gt;"",UPPER(_xlpm.MyAuditVal),_xlpm.MacVal&lt;&gt;"",_xlpm.MacVal,_xlpm.CSVVal&lt;&gt;"",_xlpm.CSVVal
)),"")</f>
        <v/>
      </c>
      <c r="M135" s="40" t="str" cm="1">
        <f t="array" ref="M135">IFERROR(_xlfn.LET(
_xlpm.CSVVal,_xlfn.XLOOKUP($A135,CSV!$A:$A,CSV!Q:Q,""),
_xlpm.MacVal,_xlfn.XLOOKUP($A135,Output_Mac!$A:$A,Output_Mac!M:M,""),
_xlpm.MyAuditVal,_xlfn.XLOOKUP($A135,My_Audit!$A:$A,My_Audit!L:L,""),
_xlfn.IFS(_xlpm.MyAuditVal&lt;&gt;"",UPPER(_xlpm.MyAuditVal),_xlpm.MacVal&lt;&gt;"",_xlpm.MacVal,_xlpm.CSVVal&lt;&gt;"",_xlpm.CSVVal
)),"")</f>
        <v/>
      </c>
      <c r="N135" s="40"/>
      <c r="O135" s="40" t="str">
        <f>_xlfn.LET(
    _xlpm.CSVVal, _xlfn.XLOOKUP($A135, CSV!$A:$A, CSV!AA:AA, ""),
    _xlpm.MacVal, _xlfn.XLOOKUP($A135, Output_Mac!$A:$A, Output_Mac!S:S, ""),
    _xlpm.MyAuditVal, _xlfn.XLOOKUP($A135, My_Audit!$A:$A, My_Audit!P:P, ""),
    _xlfn.TEXTJOIN(", ", TRUE, _xlpm.MyAuditVal, _xlpm.MacVal, _xlpm.CSVVal)
)</f>
        <v/>
      </c>
      <c r="P135" s="40" t="str" cm="1">
        <f t="array" ref="P135">IFERROR(_xlfn.LET(
_xlpm.CSVVal,_xlfn.XLOOKUP($A135,CSV!$A:$A,CSV!AB:AB,""),
_xlpm.MacVal,_xlfn.XLOOKUP($A135,Output_Mac!$A:$A,Output_Mac!T:T,""),
_xlpm.MyAuditVal,_xlfn.XLOOKUP($A135,My_Audit!$A:$A,My_Audit!Q:Q,""),
_xlfn.IFS(_xlpm.MyAuditVal&lt;&gt;"",UPPER(_xlpm.MyAuditVal),_xlpm.MacVal&lt;&gt;"",_xlpm.MacVal,_xlpm.CSVVal&lt;&gt;"",_xlpm.CSVVal
)),"No")</f>
        <v>No</v>
      </c>
      <c r="Q135" s="40" t="str" cm="1">
        <f t="array" ref="Q135">IFERROR(_xlfn.LET(
_xlpm.CSVVal,_xlfn.XLOOKUP($A135,CSV!$A:$A,CSV!AC:AC,""),
_xlpm.MacVal,_xlfn.XLOOKUP($A135,Output_Mac!$A:$A,Output_Mac!U:U,""),
_xlpm.MyAuditVal,_xlfn.XLOOKUP($A135,My_Audit!$A:$A,My_Audit!R:R,""),
_xlfn.IFS(_xlpm.MyAuditVal&lt;&gt;"",UPPER(_xlpm.MyAuditVal),_xlpm.MacVal&lt;&gt;"",_xlpm.MacVal,_xlpm.CSVVal&lt;&gt;"",_xlpm.CSVVal
)),"")</f>
        <v/>
      </c>
      <c r="R135" s="40"/>
      <c r="S135" s="40"/>
      <c r="T135" s="40"/>
      <c r="U135" s="40"/>
      <c r="V135" s="40"/>
      <c r="W135" s="40"/>
      <c r="X135" s="41" t="str">
        <f>_xlfn.LET(
    _xlpm.MacVal, _xlfn.XLOOKUP($A135, Output_Mac!$A:$A, Output_Mac!AB:AB, ""),
    _xlpm.MyAuditVal, _xlfn.XLOOKUP($A135, My_Audit!$A:$A, My_Audit!N:N, ""),
    _xlfn.TEXTJOIN(", ", TRUE, _xlpm.MyAuditVal, _xlpm.MacVal)
)</f>
        <v/>
      </c>
    </row>
    <row r="136" spans="1:24">
      <c r="A136" s="40" t="str">
        <f>_xlfn.TEXTJOIN("",TRUE,Input!$B$2,ROW(My_Audit!A135))</f>
        <v>X135</v>
      </c>
      <c r="B136" s="40" t="str">
        <f>_xlfn.TEXTJOIN("-",TRUE,"ITD",Input!$A$2,A136)</f>
        <v>ITD-X135</v>
      </c>
      <c r="C136" s="40" t="str" cm="1">
        <f t="array" ref="C136">IFERROR(_xlfn.LET(
_xlpm.CSVVal,_xlfn.XLOOKUP($A136,CSV!$A:$A,CSV!B:B,""),
_xlpm.MacVal,_xlfn.XLOOKUP($A136,Output_Mac!$A:$A,Output_Mac!B:B,""),
_xlpm.MyAuditVal,_xlfn.XLOOKUP($A136,My_Audit!$A:$A,My_Audit!B:B,""),
_xlfn.IFS(_xlpm.MyAuditVal&lt;&gt;"",UPPER(_xlpm.MyAuditVal),_xlpm.MacVal&lt;&gt;"",_xlpm.MacVal,_xlpm.CSVVal&lt;&gt;"",_xlpm.CSVVal
)),"")</f>
        <v/>
      </c>
      <c r="D136" s="40" t="str" cm="1">
        <f t="array" ref="D136">IFERROR(_xlfn.LET(
_xlpm.CSVVal,_xlfn.XLOOKUP($A136,CSV!$A:$A,CSV!D:D,""),
_xlpm.MacVal,_xlfn.XLOOKUP($A136,Output_Mac!$A:$A,Output_Mac!C:C,""),
_xlpm.MyAuditVal,_xlfn.XLOOKUP($A136,My_Audit!$A:$A,My_Audit!C:C,""),
_xlfn.IFS(_xlpm.MyAuditVal&lt;&gt;"",_xlpm.MyAuditVal,_xlpm.MacVal&lt;&gt;"",_xlpm.MacVal,_xlpm.CSVVal&lt;&gt;"",_xlpm.CSVVal
)),"")</f>
        <v/>
      </c>
      <c r="E136" s="40">
        <f>_xlfn.XLOOKUP(A136,My_Audit!A:A,My_Audit!D:D,"")</f>
        <v>0</v>
      </c>
      <c r="F136" s="40" t="str" cm="1">
        <f t="array" ref="F136">IFERROR(_xlfn.LET(
_xlpm.CSVVal,_xlfn.XLOOKUP($A136,CSV!$A:$A,CSV!F:F,""),
_xlpm.MacVal,_xlfn.XLOOKUP($A136,Output_Mac!$A:$A,Output_Mac!E:E,""),
_xlpm.MyAuditVal,_xlfn.XLOOKUP($A136,My_Audit!$A:$A,My_Audit!E:E,""),
_xlfn.IFS(_xlpm.MyAuditVal&lt;&gt;"",_xlpm.MyAuditVal,_xlpm.MacVal&lt;&gt;"",_xlpm.MacVal,_xlpm.CSVVal&lt;&gt;"",_xlpm.CSVVal
)),"")</f>
        <v/>
      </c>
      <c r="G136" s="40" t="str" cm="1">
        <f t="array" ref="G136">IFERROR(_xlfn.LET(
_xlpm.CSVVal,_xlfn.XLOOKUP($A136,CSV!$A:$A,CSV!G:G,""),
_xlpm.MacVal,_xlfn.XLOOKUP($A136,Output_Mac!$A:$A,Output_Mac!F:F,""),
_xlpm.MyAuditVal,_xlfn.XLOOKUP($A136,My_Audit!$A:$A,My_Audit!F:F,""),
_xlfn.IFS(_xlpm.MyAuditVal&lt;&gt;"",_xlpm.MyAuditVal,_xlpm.MacVal&lt;&gt;"",_xlpm.MacVal,_xlpm.CSVVal&lt;&gt;"",PROPER(_xlpm.CSVVal)
)),"")</f>
        <v/>
      </c>
      <c r="H136" s="40" t="str" cm="1">
        <f t="array" ref="H136">IFERROR(_xlfn.LET(
_xlpm.CSVVal,_xlfn.XLOOKUP($A136,CSV!$A:$A,CSV!H:H,""),
_xlpm.MacVal,_xlfn.XLOOKUP($A136,Output_Mac!$A:$A,Output_Mac!H:H,""),
_xlpm.MyAuditVal,_xlfn.XLOOKUP($A136,My_Audit!$A:$A,My_Audit!G:G,""),
_xlfn.IFS(_xlpm.MyAuditVal&lt;&gt;"",_xlpm.MyAuditVal,_xlpm.MacVal&lt;&gt;"",_xlpm.MacVal,_xlpm.CSVVal&lt;&gt;"",_xlpm.CSVVal
)),"")</f>
        <v/>
      </c>
      <c r="I136" s="40" t="str">
        <f>_xlfn.XLOOKUP(A136,Output_Mac!A:A,Output_Mac!I:I,"")</f>
        <v/>
      </c>
      <c r="J136" s="40" t="str" cm="1">
        <f t="array" ref="J136">IFERROR(_xlfn.LET(
_xlpm.CSVVal,_xlfn.XLOOKUP($A136,CSV!$A:$A,CSV!I:I,""),
_xlpm.MacVal,_xlfn.XLOOKUP($A136,Output_Mac!$A:$A,Output_Mac!J:J,""),
_xlpm.MyAuditVal,_xlfn.XLOOKUP($A136,My_Audit!$A:$A,My_Audit!I:I,""),
_xlfn.IFS(_xlpm.MyAuditVal&lt;&gt;"",UPPER(_xlpm.MyAuditVal),_xlpm.MacVal&lt;&gt;"",_xlpm.MacVal,_xlpm.CSVVal&lt;&gt;"",_xlpm.CSVVal
)),"")</f>
        <v/>
      </c>
      <c r="K136" s="40" t="str" cm="1">
        <f t="array" ref="K136">IFERROR(_xlfn.LET(
_xlpm.CSVVal,_xlfn.XLOOKUP($A136,CSV!$A:$A,CSV!K:K,""),
_xlpm.MacVal,_xlfn.XLOOKUP($A136,Output_Mac!$A:$A,Output_Mac!K:K,""),
_xlpm.MyAuditVal,_xlfn.XLOOKUP($A136,My_Audit!$A:$A,My_Audit!J:J,""),
_xlfn.IFS(_xlpm.MyAuditVal&lt;&gt;"",UPPER(_xlpm.MyAuditVal),_xlpm.MacVal&lt;&gt;"",_xlpm.MacVal,_xlpm.CSVVal&lt;&gt;"",_xlpm.CSVVal
)),"")</f>
        <v/>
      </c>
      <c r="L136" s="40" t="str" cm="1">
        <f t="array" ref="L136">IFERROR(_xlfn.LET(
_xlpm.CSVVal,_xlfn.XLOOKUP($A136,CSV!$A:$A,CSV!P:P,""),
_xlpm.MacVal,_xlfn.XLOOKUP($A136,Output_Mac!$A:$A,Output_Mac!L:L,""),
_xlpm.MyAuditVal,_xlfn.XLOOKUP($A136,My_Audit!$A:$A,My_Audit!K:K,""),
_xlfn.IFS(_xlpm.MyAuditVal&lt;&gt;"",UPPER(_xlpm.MyAuditVal),_xlpm.MacVal&lt;&gt;"",_xlpm.MacVal,_xlpm.CSVVal&lt;&gt;"",_xlpm.CSVVal
)),"")</f>
        <v/>
      </c>
      <c r="M136" s="40" t="str" cm="1">
        <f t="array" ref="M136">IFERROR(_xlfn.LET(
_xlpm.CSVVal,_xlfn.XLOOKUP($A136,CSV!$A:$A,CSV!Q:Q,""),
_xlpm.MacVal,_xlfn.XLOOKUP($A136,Output_Mac!$A:$A,Output_Mac!M:M,""),
_xlpm.MyAuditVal,_xlfn.XLOOKUP($A136,My_Audit!$A:$A,My_Audit!L:L,""),
_xlfn.IFS(_xlpm.MyAuditVal&lt;&gt;"",UPPER(_xlpm.MyAuditVal),_xlpm.MacVal&lt;&gt;"",_xlpm.MacVal,_xlpm.CSVVal&lt;&gt;"",_xlpm.CSVVal
)),"")</f>
        <v/>
      </c>
      <c r="N136" s="40"/>
      <c r="O136" s="40" t="str">
        <f>_xlfn.LET(
    _xlpm.CSVVal, _xlfn.XLOOKUP($A136, CSV!$A:$A, CSV!AA:AA, ""),
    _xlpm.MacVal, _xlfn.XLOOKUP($A136, Output_Mac!$A:$A, Output_Mac!S:S, ""),
    _xlpm.MyAuditVal, _xlfn.XLOOKUP($A136, My_Audit!$A:$A, My_Audit!P:P, ""),
    _xlfn.TEXTJOIN(", ", TRUE, _xlpm.MyAuditVal, _xlpm.MacVal, _xlpm.CSVVal)
)</f>
        <v/>
      </c>
      <c r="P136" s="40" t="str" cm="1">
        <f t="array" ref="P136">IFERROR(_xlfn.LET(
_xlpm.CSVVal,_xlfn.XLOOKUP($A136,CSV!$A:$A,CSV!AB:AB,""),
_xlpm.MacVal,_xlfn.XLOOKUP($A136,Output_Mac!$A:$A,Output_Mac!T:T,""),
_xlpm.MyAuditVal,_xlfn.XLOOKUP($A136,My_Audit!$A:$A,My_Audit!Q:Q,""),
_xlfn.IFS(_xlpm.MyAuditVal&lt;&gt;"",UPPER(_xlpm.MyAuditVal),_xlpm.MacVal&lt;&gt;"",_xlpm.MacVal,_xlpm.CSVVal&lt;&gt;"",_xlpm.CSVVal
)),"No")</f>
        <v>No</v>
      </c>
      <c r="Q136" s="40" t="str" cm="1">
        <f t="array" ref="Q136">IFERROR(_xlfn.LET(
_xlpm.CSVVal,_xlfn.XLOOKUP($A136,CSV!$A:$A,CSV!AC:AC,""),
_xlpm.MacVal,_xlfn.XLOOKUP($A136,Output_Mac!$A:$A,Output_Mac!U:U,""),
_xlpm.MyAuditVal,_xlfn.XLOOKUP($A136,My_Audit!$A:$A,My_Audit!R:R,""),
_xlfn.IFS(_xlpm.MyAuditVal&lt;&gt;"",UPPER(_xlpm.MyAuditVal),_xlpm.MacVal&lt;&gt;"",_xlpm.MacVal,_xlpm.CSVVal&lt;&gt;"",_xlpm.CSVVal
)),"")</f>
        <v/>
      </c>
      <c r="R136" s="40"/>
      <c r="S136" s="40"/>
      <c r="T136" s="40"/>
      <c r="U136" s="40"/>
      <c r="V136" s="40"/>
      <c r="W136" s="40"/>
      <c r="X136" s="41" t="str">
        <f>_xlfn.LET(
    _xlpm.MacVal, _xlfn.XLOOKUP($A136, Output_Mac!$A:$A, Output_Mac!AB:AB, ""),
    _xlpm.MyAuditVal, _xlfn.XLOOKUP($A136, My_Audit!$A:$A, My_Audit!N:N, ""),
    _xlfn.TEXTJOIN(", ", TRUE, _xlpm.MyAuditVal, _xlpm.MacVal)
)</f>
        <v/>
      </c>
    </row>
    <row r="137" spans="1:24">
      <c r="A137" s="40" t="str">
        <f>_xlfn.TEXTJOIN("",TRUE,Input!$B$2,ROW(My_Audit!A136))</f>
        <v>X136</v>
      </c>
      <c r="B137" s="40" t="str">
        <f>_xlfn.TEXTJOIN("-",TRUE,"ITD",Input!$A$2,A137)</f>
        <v>ITD-X136</v>
      </c>
      <c r="C137" s="40" t="str" cm="1">
        <f t="array" ref="C137">IFERROR(_xlfn.LET(
_xlpm.CSVVal,_xlfn.XLOOKUP($A137,CSV!$A:$A,CSV!B:B,""),
_xlpm.MacVal,_xlfn.XLOOKUP($A137,Output_Mac!$A:$A,Output_Mac!B:B,""),
_xlpm.MyAuditVal,_xlfn.XLOOKUP($A137,My_Audit!$A:$A,My_Audit!B:B,""),
_xlfn.IFS(_xlpm.MyAuditVal&lt;&gt;"",UPPER(_xlpm.MyAuditVal),_xlpm.MacVal&lt;&gt;"",_xlpm.MacVal,_xlpm.CSVVal&lt;&gt;"",_xlpm.CSVVal
)),"")</f>
        <v/>
      </c>
      <c r="D137" s="40" t="str" cm="1">
        <f t="array" ref="D137">IFERROR(_xlfn.LET(
_xlpm.CSVVal,_xlfn.XLOOKUP($A137,CSV!$A:$A,CSV!D:D,""),
_xlpm.MacVal,_xlfn.XLOOKUP($A137,Output_Mac!$A:$A,Output_Mac!C:C,""),
_xlpm.MyAuditVal,_xlfn.XLOOKUP($A137,My_Audit!$A:$A,My_Audit!C:C,""),
_xlfn.IFS(_xlpm.MyAuditVal&lt;&gt;"",_xlpm.MyAuditVal,_xlpm.MacVal&lt;&gt;"",_xlpm.MacVal,_xlpm.CSVVal&lt;&gt;"",_xlpm.CSVVal
)),"")</f>
        <v/>
      </c>
      <c r="E137" s="40">
        <f>_xlfn.XLOOKUP(A137,My_Audit!A:A,My_Audit!D:D,"")</f>
        <v>0</v>
      </c>
      <c r="F137" s="40" t="str" cm="1">
        <f t="array" ref="F137">IFERROR(_xlfn.LET(
_xlpm.CSVVal,_xlfn.XLOOKUP($A137,CSV!$A:$A,CSV!F:F,""),
_xlpm.MacVal,_xlfn.XLOOKUP($A137,Output_Mac!$A:$A,Output_Mac!E:E,""),
_xlpm.MyAuditVal,_xlfn.XLOOKUP($A137,My_Audit!$A:$A,My_Audit!E:E,""),
_xlfn.IFS(_xlpm.MyAuditVal&lt;&gt;"",_xlpm.MyAuditVal,_xlpm.MacVal&lt;&gt;"",_xlpm.MacVal,_xlpm.CSVVal&lt;&gt;"",_xlpm.CSVVal
)),"")</f>
        <v/>
      </c>
      <c r="G137" s="40" t="str" cm="1">
        <f t="array" ref="G137">IFERROR(_xlfn.LET(
_xlpm.CSVVal,_xlfn.XLOOKUP($A137,CSV!$A:$A,CSV!G:G,""),
_xlpm.MacVal,_xlfn.XLOOKUP($A137,Output_Mac!$A:$A,Output_Mac!F:F,""),
_xlpm.MyAuditVal,_xlfn.XLOOKUP($A137,My_Audit!$A:$A,My_Audit!F:F,""),
_xlfn.IFS(_xlpm.MyAuditVal&lt;&gt;"",_xlpm.MyAuditVal,_xlpm.MacVal&lt;&gt;"",_xlpm.MacVal,_xlpm.CSVVal&lt;&gt;"",PROPER(_xlpm.CSVVal)
)),"")</f>
        <v/>
      </c>
      <c r="H137" s="40" t="str" cm="1">
        <f t="array" ref="H137">IFERROR(_xlfn.LET(
_xlpm.CSVVal,_xlfn.XLOOKUP($A137,CSV!$A:$A,CSV!H:H,""),
_xlpm.MacVal,_xlfn.XLOOKUP($A137,Output_Mac!$A:$A,Output_Mac!H:H,""),
_xlpm.MyAuditVal,_xlfn.XLOOKUP($A137,My_Audit!$A:$A,My_Audit!G:G,""),
_xlfn.IFS(_xlpm.MyAuditVal&lt;&gt;"",_xlpm.MyAuditVal,_xlpm.MacVal&lt;&gt;"",_xlpm.MacVal,_xlpm.CSVVal&lt;&gt;"",_xlpm.CSVVal
)),"")</f>
        <v/>
      </c>
      <c r="I137" s="40" t="str">
        <f>_xlfn.XLOOKUP(A137,Output_Mac!A:A,Output_Mac!I:I,"")</f>
        <v/>
      </c>
      <c r="J137" s="40" t="str" cm="1">
        <f t="array" ref="J137">IFERROR(_xlfn.LET(
_xlpm.CSVVal,_xlfn.XLOOKUP($A137,CSV!$A:$A,CSV!I:I,""),
_xlpm.MacVal,_xlfn.XLOOKUP($A137,Output_Mac!$A:$A,Output_Mac!J:J,""),
_xlpm.MyAuditVal,_xlfn.XLOOKUP($A137,My_Audit!$A:$A,My_Audit!I:I,""),
_xlfn.IFS(_xlpm.MyAuditVal&lt;&gt;"",UPPER(_xlpm.MyAuditVal),_xlpm.MacVal&lt;&gt;"",_xlpm.MacVal,_xlpm.CSVVal&lt;&gt;"",_xlpm.CSVVal
)),"")</f>
        <v/>
      </c>
      <c r="K137" s="40" t="str" cm="1">
        <f t="array" ref="K137">IFERROR(_xlfn.LET(
_xlpm.CSVVal,_xlfn.XLOOKUP($A137,CSV!$A:$A,CSV!K:K,""),
_xlpm.MacVal,_xlfn.XLOOKUP($A137,Output_Mac!$A:$A,Output_Mac!K:K,""),
_xlpm.MyAuditVal,_xlfn.XLOOKUP($A137,My_Audit!$A:$A,My_Audit!J:J,""),
_xlfn.IFS(_xlpm.MyAuditVal&lt;&gt;"",UPPER(_xlpm.MyAuditVal),_xlpm.MacVal&lt;&gt;"",_xlpm.MacVal,_xlpm.CSVVal&lt;&gt;"",_xlpm.CSVVal
)),"")</f>
        <v/>
      </c>
      <c r="L137" s="40" t="str" cm="1">
        <f t="array" ref="L137">IFERROR(_xlfn.LET(
_xlpm.CSVVal,_xlfn.XLOOKUP($A137,CSV!$A:$A,CSV!P:P,""),
_xlpm.MacVal,_xlfn.XLOOKUP($A137,Output_Mac!$A:$A,Output_Mac!L:L,""),
_xlpm.MyAuditVal,_xlfn.XLOOKUP($A137,My_Audit!$A:$A,My_Audit!K:K,""),
_xlfn.IFS(_xlpm.MyAuditVal&lt;&gt;"",UPPER(_xlpm.MyAuditVal),_xlpm.MacVal&lt;&gt;"",_xlpm.MacVal,_xlpm.CSVVal&lt;&gt;"",_xlpm.CSVVal
)),"")</f>
        <v/>
      </c>
      <c r="M137" s="40" t="str" cm="1">
        <f t="array" ref="M137">IFERROR(_xlfn.LET(
_xlpm.CSVVal,_xlfn.XLOOKUP($A137,CSV!$A:$A,CSV!Q:Q,""),
_xlpm.MacVal,_xlfn.XLOOKUP($A137,Output_Mac!$A:$A,Output_Mac!M:M,""),
_xlpm.MyAuditVal,_xlfn.XLOOKUP($A137,My_Audit!$A:$A,My_Audit!L:L,""),
_xlfn.IFS(_xlpm.MyAuditVal&lt;&gt;"",UPPER(_xlpm.MyAuditVal),_xlpm.MacVal&lt;&gt;"",_xlpm.MacVal,_xlpm.CSVVal&lt;&gt;"",_xlpm.CSVVal
)),"")</f>
        <v/>
      </c>
      <c r="N137" s="40"/>
      <c r="O137" s="40" t="str">
        <f>_xlfn.LET(
    _xlpm.CSVVal, _xlfn.XLOOKUP($A137, CSV!$A:$A, CSV!AA:AA, ""),
    _xlpm.MacVal, _xlfn.XLOOKUP($A137, Output_Mac!$A:$A, Output_Mac!S:S, ""),
    _xlpm.MyAuditVal, _xlfn.XLOOKUP($A137, My_Audit!$A:$A, My_Audit!P:P, ""),
    _xlfn.TEXTJOIN(", ", TRUE, _xlpm.MyAuditVal, _xlpm.MacVal, _xlpm.CSVVal)
)</f>
        <v/>
      </c>
      <c r="P137" s="40" t="str" cm="1">
        <f t="array" ref="P137">IFERROR(_xlfn.LET(
_xlpm.CSVVal,_xlfn.XLOOKUP($A137,CSV!$A:$A,CSV!AB:AB,""),
_xlpm.MacVal,_xlfn.XLOOKUP($A137,Output_Mac!$A:$A,Output_Mac!T:T,""),
_xlpm.MyAuditVal,_xlfn.XLOOKUP($A137,My_Audit!$A:$A,My_Audit!Q:Q,""),
_xlfn.IFS(_xlpm.MyAuditVal&lt;&gt;"",UPPER(_xlpm.MyAuditVal),_xlpm.MacVal&lt;&gt;"",_xlpm.MacVal,_xlpm.CSVVal&lt;&gt;"",_xlpm.CSVVal
)),"No")</f>
        <v>No</v>
      </c>
      <c r="Q137" s="40" t="str" cm="1">
        <f t="array" ref="Q137">IFERROR(_xlfn.LET(
_xlpm.CSVVal,_xlfn.XLOOKUP($A137,CSV!$A:$A,CSV!AC:AC,""),
_xlpm.MacVal,_xlfn.XLOOKUP($A137,Output_Mac!$A:$A,Output_Mac!U:U,""),
_xlpm.MyAuditVal,_xlfn.XLOOKUP($A137,My_Audit!$A:$A,My_Audit!R:R,""),
_xlfn.IFS(_xlpm.MyAuditVal&lt;&gt;"",UPPER(_xlpm.MyAuditVal),_xlpm.MacVal&lt;&gt;"",_xlpm.MacVal,_xlpm.CSVVal&lt;&gt;"",_xlpm.CSVVal
)),"")</f>
        <v/>
      </c>
      <c r="R137" s="40"/>
      <c r="S137" s="40"/>
      <c r="T137" s="40"/>
      <c r="U137" s="40"/>
      <c r="V137" s="40"/>
      <c r="W137" s="40"/>
      <c r="X137" s="41" t="str">
        <f>_xlfn.LET(
    _xlpm.MacVal, _xlfn.XLOOKUP($A137, Output_Mac!$A:$A, Output_Mac!AB:AB, ""),
    _xlpm.MyAuditVal, _xlfn.XLOOKUP($A137, My_Audit!$A:$A, My_Audit!N:N, ""),
    _xlfn.TEXTJOIN(", ", TRUE, _xlpm.MyAuditVal, _xlpm.MacVal)
)</f>
        <v/>
      </c>
    </row>
    <row r="138" spans="1:24">
      <c r="A138" s="40" t="str">
        <f>_xlfn.TEXTJOIN("",TRUE,Input!$B$2,ROW(My_Audit!A137))</f>
        <v>X137</v>
      </c>
      <c r="B138" s="40" t="str">
        <f>_xlfn.TEXTJOIN("-",TRUE,"ITD",Input!$A$2,A138)</f>
        <v>ITD-X137</v>
      </c>
      <c r="C138" s="40" t="str" cm="1">
        <f t="array" ref="C138">IFERROR(_xlfn.LET(
_xlpm.CSVVal,_xlfn.XLOOKUP($A138,CSV!$A:$A,CSV!B:B,""),
_xlpm.MacVal,_xlfn.XLOOKUP($A138,Output_Mac!$A:$A,Output_Mac!B:B,""),
_xlpm.MyAuditVal,_xlfn.XLOOKUP($A138,My_Audit!$A:$A,My_Audit!B:B,""),
_xlfn.IFS(_xlpm.MyAuditVal&lt;&gt;"",UPPER(_xlpm.MyAuditVal),_xlpm.MacVal&lt;&gt;"",_xlpm.MacVal,_xlpm.CSVVal&lt;&gt;"",_xlpm.CSVVal
)),"")</f>
        <v/>
      </c>
      <c r="D138" s="40" t="str" cm="1">
        <f t="array" ref="D138">IFERROR(_xlfn.LET(
_xlpm.CSVVal,_xlfn.XLOOKUP($A138,CSV!$A:$A,CSV!D:D,""),
_xlpm.MacVal,_xlfn.XLOOKUP($A138,Output_Mac!$A:$A,Output_Mac!C:C,""),
_xlpm.MyAuditVal,_xlfn.XLOOKUP($A138,My_Audit!$A:$A,My_Audit!C:C,""),
_xlfn.IFS(_xlpm.MyAuditVal&lt;&gt;"",_xlpm.MyAuditVal,_xlpm.MacVal&lt;&gt;"",_xlpm.MacVal,_xlpm.CSVVal&lt;&gt;"",_xlpm.CSVVal
)),"")</f>
        <v/>
      </c>
      <c r="E138" s="40">
        <f>_xlfn.XLOOKUP(A138,My_Audit!A:A,My_Audit!D:D,"")</f>
        <v>0</v>
      </c>
      <c r="F138" s="40" t="str" cm="1">
        <f t="array" ref="F138">IFERROR(_xlfn.LET(
_xlpm.CSVVal,_xlfn.XLOOKUP($A138,CSV!$A:$A,CSV!F:F,""),
_xlpm.MacVal,_xlfn.XLOOKUP($A138,Output_Mac!$A:$A,Output_Mac!E:E,""),
_xlpm.MyAuditVal,_xlfn.XLOOKUP($A138,My_Audit!$A:$A,My_Audit!E:E,""),
_xlfn.IFS(_xlpm.MyAuditVal&lt;&gt;"",_xlpm.MyAuditVal,_xlpm.MacVal&lt;&gt;"",_xlpm.MacVal,_xlpm.CSVVal&lt;&gt;"",_xlpm.CSVVal
)),"")</f>
        <v/>
      </c>
      <c r="G138" s="40" t="str" cm="1">
        <f t="array" ref="G138">IFERROR(_xlfn.LET(
_xlpm.CSVVal,_xlfn.XLOOKUP($A138,CSV!$A:$A,CSV!G:G,""),
_xlpm.MacVal,_xlfn.XLOOKUP($A138,Output_Mac!$A:$A,Output_Mac!F:F,""),
_xlpm.MyAuditVal,_xlfn.XLOOKUP($A138,My_Audit!$A:$A,My_Audit!F:F,""),
_xlfn.IFS(_xlpm.MyAuditVal&lt;&gt;"",_xlpm.MyAuditVal,_xlpm.MacVal&lt;&gt;"",_xlpm.MacVal,_xlpm.CSVVal&lt;&gt;"",PROPER(_xlpm.CSVVal)
)),"")</f>
        <v/>
      </c>
      <c r="H138" s="40" t="str" cm="1">
        <f t="array" ref="H138">IFERROR(_xlfn.LET(
_xlpm.CSVVal,_xlfn.XLOOKUP($A138,CSV!$A:$A,CSV!H:H,""),
_xlpm.MacVal,_xlfn.XLOOKUP($A138,Output_Mac!$A:$A,Output_Mac!H:H,""),
_xlpm.MyAuditVal,_xlfn.XLOOKUP($A138,My_Audit!$A:$A,My_Audit!G:G,""),
_xlfn.IFS(_xlpm.MyAuditVal&lt;&gt;"",_xlpm.MyAuditVal,_xlpm.MacVal&lt;&gt;"",_xlpm.MacVal,_xlpm.CSVVal&lt;&gt;"",_xlpm.CSVVal
)),"")</f>
        <v/>
      </c>
      <c r="I138" s="40" t="str">
        <f>_xlfn.XLOOKUP(A138,Output_Mac!A:A,Output_Mac!I:I,"")</f>
        <v/>
      </c>
      <c r="J138" s="40" t="str" cm="1">
        <f t="array" ref="J138">IFERROR(_xlfn.LET(
_xlpm.CSVVal,_xlfn.XLOOKUP($A138,CSV!$A:$A,CSV!I:I,""),
_xlpm.MacVal,_xlfn.XLOOKUP($A138,Output_Mac!$A:$A,Output_Mac!J:J,""),
_xlpm.MyAuditVal,_xlfn.XLOOKUP($A138,My_Audit!$A:$A,My_Audit!I:I,""),
_xlfn.IFS(_xlpm.MyAuditVal&lt;&gt;"",UPPER(_xlpm.MyAuditVal),_xlpm.MacVal&lt;&gt;"",_xlpm.MacVal,_xlpm.CSVVal&lt;&gt;"",_xlpm.CSVVal
)),"")</f>
        <v/>
      </c>
      <c r="K138" s="40" t="str" cm="1">
        <f t="array" ref="K138">IFERROR(_xlfn.LET(
_xlpm.CSVVal,_xlfn.XLOOKUP($A138,CSV!$A:$A,CSV!K:K,""),
_xlpm.MacVal,_xlfn.XLOOKUP($A138,Output_Mac!$A:$A,Output_Mac!K:K,""),
_xlpm.MyAuditVal,_xlfn.XLOOKUP($A138,My_Audit!$A:$A,My_Audit!J:J,""),
_xlfn.IFS(_xlpm.MyAuditVal&lt;&gt;"",UPPER(_xlpm.MyAuditVal),_xlpm.MacVal&lt;&gt;"",_xlpm.MacVal,_xlpm.CSVVal&lt;&gt;"",_xlpm.CSVVal
)),"")</f>
        <v/>
      </c>
      <c r="L138" s="40" t="str" cm="1">
        <f t="array" ref="L138">IFERROR(_xlfn.LET(
_xlpm.CSVVal,_xlfn.XLOOKUP($A138,CSV!$A:$A,CSV!P:P,""),
_xlpm.MacVal,_xlfn.XLOOKUP($A138,Output_Mac!$A:$A,Output_Mac!L:L,""),
_xlpm.MyAuditVal,_xlfn.XLOOKUP($A138,My_Audit!$A:$A,My_Audit!K:K,""),
_xlfn.IFS(_xlpm.MyAuditVal&lt;&gt;"",UPPER(_xlpm.MyAuditVal),_xlpm.MacVal&lt;&gt;"",_xlpm.MacVal,_xlpm.CSVVal&lt;&gt;"",_xlpm.CSVVal
)),"")</f>
        <v/>
      </c>
      <c r="M138" s="40" t="str" cm="1">
        <f t="array" ref="M138">IFERROR(_xlfn.LET(
_xlpm.CSVVal,_xlfn.XLOOKUP($A138,CSV!$A:$A,CSV!Q:Q,""),
_xlpm.MacVal,_xlfn.XLOOKUP($A138,Output_Mac!$A:$A,Output_Mac!M:M,""),
_xlpm.MyAuditVal,_xlfn.XLOOKUP($A138,My_Audit!$A:$A,My_Audit!L:L,""),
_xlfn.IFS(_xlpm.MyAuditVal&lt;&gt;"",UPPER(_xlpm.MyAuditVal),_xlpm.MacVal&lt;&gt;"",_xlpm.MacVal,_xlpm.CSVVal&lt;&gt;"",_xlpm.CSVVal
)),"")</f>
        <v/>
      </c>
      <c r="N138" s="40"/>
      <c r="O138" s="40" t="str">
        <f>_xlfn.LET(
    _xlpm.CSVVal, _xlfn.XLOOKUP($A138, CSV!$A:$A, CSV!AA:AA, ""),
    _xlpm.MacVal, _xlfn.XLOOKUP($A138, Output_Mac!$A:$A, Output_Mac!S:S, ""),
    _xlpm.MyAuditVal, _xlfn.XLOOKUP($A138, My_Audit!$A:$A, My_Audit!P:P, ""),
    _xlfn.TEXTJOIN(", ", TRUE, _xlpm.MyAuditVal, _xlpm.MacVal, _xlpm.CSVVal)
)</f>
        <v/>
      </c>
      <c r="P138" s="40" t="str" cm="1">
        <f t="array" ref="P138">IFERROR(_xlfn.LET(
_xlpm.CSVVal,_xlfn.XLOOKUP($A138,CSV!$A:$A,CSV!AB:AB,""),
_xlpm.MacVal,_xlfn.XLOOKUP($A138,Output_Mac!$A:$A,Output_Mac!T:T,""),
_xlpm.MyAuditVal,_xlfn.XLOOKUP($A138,My_Audit!$A:$A,My_Audit!Q:Q,""),
_xlfn.IFS(_xlpm.MyAuditVal&lt;&gt;"",UPPER(_xlpm.MyAuditVal),_xlpm.MacVal&lt;&gt;"",_xlpm.MacVal,_xlpm.CSVVal&lt;&gt;"",_xlpm.CSVVal
)),"No")</f>
        <v>No</v>
      </c>
      <c r="Q138" s="40" t="str" cm="1">
        <f t="array" ref="Q138">IFERROR(_xlfn.LET(
_xlpm.CSVVal,_xlfn.XLOOKUP($A138,CSV!$A:$A,CSV!AC:AC,""),
_xlpm.MacVal,_xlfn.XLOOKUP($A138,Output_Mac!$A:$A,Output_Mac!U:U,""),
_xlpm.MyAuditVal,_xlfn.XLOOKUP($A138,My_Audit!$A:$A,My_Audit!R:R,""),
_xlfn.IFS(_xlpm.MyAuditVal&lt;&gt;"",UPPER(_xlpm.MyAuditVal),_xlpm.MacVal&lt;&gt;"",_xlpm.MacVal,_xlpm.CSVVal&lt;&gt;"",_xlpm.CSVVal
)),"")</f>
        <v/>
      </c>
      <c r="R138" s="40"/>
      <c r="S138" s="40"/>
      <c r="T138" s="40"/>
      <c r="U138" s="40"/>
      <c r="V138" s="40"/>
      <c r="W138" s="40"/>
      <c r="X138" s="41" t="str">
        <f>_xlfn.LET(
    _xlpm.MacVal, _xlfn.XLOOKUP($A138, Output_Mac!$A:$A, Output_Mac!AB:AB, ""),
    _xlpm.MyAuditVal, _xlfn.XLOOKUP($A138, My_Audit!$A:$A, My_Audit!N:N, ""),
    _xlfn.TEXTJOIN(", ", TRUE, _xlpm.MyAuditVal, _xlpm.MacVal)
)</f>
        <v/>
      </c>
    </row>
    <row r="139" spans="1:24">
      <c r="A139" s="40" t="str">
        <f>_xlfn.TEXTJOIN("",TRUE,Input!$B$2,ROW(My_Audit!A138))</f>
        <v>X138</v>
      </c>
      <c r="B139" s="40" t="str">
        <f>_xlfn.TEXTJOIN("-",TRUE,"ITD",Input!$A$2,A139)</f>
        <v>ITD-X138</v>
      </c>
      <c r="C139" s="40" t="str" cm="1">
        <f t="array" ref="C139">IFERROR(_xlfn.LET(
_xlpm.CSVVal,_xlfn.XLOOKUP($A139,CSV!$A:$A,CSV!B:B,""),
_xlpm.MacVal,_xlfn.XLOOKUP($A139,Output_Mac!$A:$A,Output_Mac!B:B,""),
_xlpm.MyAuditVal,_xlfn.XLOOKUP($A139,My_Audit!$A:$A,My_Audit!B:B,""),
_xlfn.IFS(_xlpm.MyAuditVal&lt;&gt;"",UPPER(_xlpm.MyAuditVal),_xlpm.MacVal&lt;&gt;"",_xlpm.MacVal,_xlpm.CSVVal&lt;&gt;"",_xlpm.CSVVal
)),"")</f>
        <v/>
      </c>
      <c r="D139" s="40" t="str" cm="1">
        <f t="array" ref="D139">IFERROR(_xlfn.LET(
_xlpm.CSVVal,_xlfn.XLOOKUP($A139,CSV!$A:$A,CSV!D:D,""),
_xlpm.MacVal,_xlfn.XLOOKUP($A139,Output_Mac!$A:$A,Output_Mac!C:C,""),
_xlpm.MyAuditVal,_xlfn.XLOOKUP($A139,My_Audit!$A:$A,My_Audit!C:C,""),
_xlfn.IFS(_xlpm.MyAuditVal&lt;&gt;"",_xlpm.MyAuditVal,_xlpm.MacVal&lt;&gt;"",_xlpm.MacVal,_xlpm.CSVVal&lt;&gt;"",_xlpm.CSVVal
)),"")</f>
        <v/>
      </c>
      <c r="E139" s="40">
        <f>_xlfn.XLOOKUP(A139,My_Audit!A:A,My_Audit!D:D,"")</f>
        <v>0</v>
      </c>
      <c r="F139" s="40" t="str" cm="1">
        <f t="array" ref="F139">IFERROR(_xlfn.LET(
_xlpm.CSVVal,_xlfn.XLOOKUP($A139,CSV!$A:$A,CSV!F:F,""),
_xlpm.MacVal,_xlfn.XLOOKUP($A139,Output_Mac!$A:$A,Output_Mac!E:E,""),
_xlpm.MyAuditVal,_xlfn.XLOOKUP($A139,My_Audit!$A:$A,My_Audit!E:E,""),
_xlfn.IFS(_xlpm.MyAuditVal&lt;&gt;"",_xlpm.MyAuditVal,_xlpm.MacVal&lt;&gt;"",_xlpm.MacVal,_xlpm.CSVVal&lt;&gt;"",_xlpm.CSVVal
)),"")</f>
        <v/>
      </c>
      <c r="G139" s="40" t="str" cm="1">
        <f t="array" ref="G139">IFERROR(_xlfn.LET(
_xlpm.CSVVal,_xlfn.XLOOKUP($A139,CSV!$A:$A,CSV!G:G,""),
_xlpm.MacVal,_xlfn.XLOOKUP($A139,Output_Mac!$A:$A,Output_Mac!F:F,""),
_xlpm.MyAuditVal,_xlfn.XLOOKUP($A139,My_Audit!$A:$A,My_Audit!F:F,""),
_xlfn.IFS(_xlpm.MyAuditVal&lt;&gt;"",_xlpm.MyAuditVal,_xlpm.MacVal&lt;&gt;"",_xlpm.MacVal,_xlpm.CSVVal&lt;&gt;"",PROPER(_xlpm.CSVVal)
)),"")</f>
        <v/>
      </c>
      <c r="H139" s="40" t="str" cm="1">
        <f t="array" ref="H139">IFERROR(_xlfn.LET(
_xlpm.CSVVal,_xlfn.XLOOKUP($A139,CSV!$A:$A,CSV!H:H,""),
_xlpm.MacVal,_xlfn.XLOOKUP($A139,Output_Mac!$A:$A,Output_Mac!H:H,""),
_xlpm.MyAuditVal,_xlfn.XLOOKUP($A139,My_Audit!$A:$A,My_Audit!G:G,""),
_xlfn.IFS(_xlpm.MyAuditVal&lt;&gt;"",_xlpm.MyAuditVal,_xlpm.MacVal&lt;&gt;"",_xlpm.MacVal,_xlpm.CSVVal&lt;&gt;"",_xlpm.CSVVal
)),"")</f>
        <v/>
      </c>
      <c r="I139" s="40" t="str">
        <f>_xlfn.XLOOKUP(A139,Output_Mac!A:A,Output_Mac!I:I,"")</f>
        <v/>
      </c>
      <c r="J139" s="40" t="str" cm="1">
        <f t="array" ref="J139">IFERROR(_xlfn.LET(
_xlpm.CSVVal,_xlfn.XLOOKUP($A139,CSV!$A:$A,CSV!I:I,""),
_xlpm.MacVal,_xlfn.XLOOKUP($A139,Output_Mac!$A:$A,Output_Mac!J:J,""),
_xlpm.MyAuditVal,_xlfn.XLOOKUP($A139,My_Audit!$A:$A,My_Audit!I:I,""),
_xlfn.IFS(_xlpm.MyAuditVal&lt;&gt;"",UPPER(_xlpm.MyAuditVal),_xlpm.MacVal&lt;&gt;"",_xlpm.MacVal,_xlpm.CSVVal&lt;&gt;"",_xlpm.CSVVal
)),"")</f>
        <v/>
      </c>
      <c r="K139" s="40" t="str" cm="1">
        <f t="array" ref="K139">IFERROR(_xlfn.LET(
_xlpm.CSVVal,_xlfn.XLOOKUP($A139,CSV!$A:$A,CSV!K:K,""),
_xlpm.MacVal,_xlfn.XLOOKUP($A139,Output_Mac!$A:$A,Output_Mac!K:K,""),
_xlpm.MyAuditVal,_xlfn.XLOOKUP($A139,My_Audit!$A:$A,My_Audit!J:J,""),
_xlfn.IFS(_xlpm.MyAuditVal&lt;&gt;"",UPPER(_xlpm.MyAuditVal),_xlpm.MacVal&lt;&gt;"",_xlpm.MacVal,_xlpm.CSVVal&lt;&gt;"",_xlpm.CSVVal
)),"")</f>
        <v/>
      </c>
      <c r="L139" s="40" t="str" cm="1">
        <f t="array" ref="L139">IFERROR(_xlfn.LET(
_xlpm.CSVVal,_xlfn.XLOOKUP($A139,CSV!$A:$A,CSV!P:P,""),
_xlpm.MacVal,_xlfn.XLOOKUP($A139,Output_Mac!$A:$A,Output_Mac!L:L,""),
_xlpm.MyAuditVal,_xlfn.XLOOKUP($A139,My_Audit!$A:$A,My_Audit!K:K,""),
_xlfn.IFS(_xlpm.MyAuditVal&lt;&gt;"",UPPER(_xlpm.MyAuditVal),_xlpm.MacVal&lt;&gt;"",_xlpm.MacVal,_xlpm.CSVVal&lt;&gt;"",_xlpm.CSVVal
)),"")</f>
        <v/>
      </c>
      <c r="M139" s="40" t="str" cm="1">
        <f t="array" ref="M139">IFERROR(_xlfn.LET(
_xlpm.CSVVal,_xlfn.XLOOKUP($A139,CSV!$A:$A,CSV!Q:Q,""),
_xlpm.MacVal,_xlfn.XLOOKUP($A139,Output_Mac!$A:$A,Output_Mac!M:M,""),
_xlpm.MyAuditVal,_xlfn.XLOOKUP($A139,My_Audit!$A:$A,My_Audit!L:L,""),
_xlfn.IFS(_xlpm.MyAuditVal&lt;&gt;"",UPPER(_xlpm.MyAuditVal),_xlpm.MacVal&lt;&gt;"",_xlpm.MacVal,_xlpm.CSVVal&lt;&gt;"",_xlpm.CSVVal
)),"")</f>
        <v/>
      </c>
      <c r="N139" s="40"/>
      <c r="O139" s="40" t="str">
        <f>_xlfn.LET(
    _xlpm.CSVVal, _xlfn.XLOOKUP($A139, CSV!$A:$A, CSV!AA:AA, ""),
    _xlpm.MacVal, _xlfn.XLOOKUP($A139, Output_Mac!$A:$A, Output_Mac!S:S, ""),
    _xlpm.MyAuditVal, _xlfn.XLOOKUP($A139, My_Audit!$A:$A, My_Audit!P:P, ""),
    _xlfn.TEXTJOIN(", ", TRUE, _xlpm.MyAuditVal, _xlpm.MacVal, _xlpm.CSVVal)
)</f>
        <v/>
      </c>
      <c r="P139" s="40" t="str" cm="1">
        <f t="array" ref="P139">IFERROR(_xlfn.LET(
_xlpm.CSVVal,_xlfn.XLOOKUP($A139,CSV!$A:$A,CSV!AB:AB,""),
_xlpm.MacVal,_xlfn.XLOOKUP($A139,Output_Mac!$A:$A,Output_Mac!T:T,""),
_xlpm.MyAuditVal,_xlfn.XLOOKUP($A139,My_Audit!$A:$A,My_Audit!Q:Q,""),
_xlfn.IFS(_xlpm.MyAuditVal&lt;&gt;"",UPPER(_xlpm.MyAuditVal),_xlpm.MacVal&lt;&gt;"",_xlpm.MacVal,_xlpm.CSVVal&lt;&gt;"",_xlpm.CSVVal
)),"No")</f>
        <v>No</v>
      </c>
      <c r="Q139" s="40" t="str" cm="1">
        <f t="array" ref="Q139">IFERROR(_xlfn.LET(
_xlpm.CSVVal,_xlfn.XLOOKUP($A139,CSV!$A:$A,CSV!AC:AC,""),
_xlpm.MacVal,_xlfn.XLOOKUP($A139,Output_Mac!$A:$A,Output_Mac!U:U,""),
_xlpm.MyAuditVal,_xlfn.XLOOKUP($A139,My_Audit!$A:$A,My_Audit!R:R,""),
_xlfn.IFS(_xlpm.MyAuditVal&lt;&gt;"",UPPER(_xlpm.MyAuditVal),_xlpm.MacVal&lt;&gt;"",_xlpm.MacVal,_xlpm.CSVVal&lt;&gt;"",_xlpm.CSVVal
)),"")</f>
        <v/>
      </c>
      <c r="R139" s="40"/>
      <c r="S139" s="40"/>
      <c r="T139" s="40"/>
      <c r="U139" s="40"/>
      <c r="V139" s="40"/>
      <c r="W139" s="40"/>
      <c r="X139" s="41" t="str">
        <f>_xlfn.LET(
    _xlpm.MacVal, _xlfn.XLOOKUP($A139, Output_Mac!$A:$A, Output_Mac!AB:AB, ""),
    _xlpm.MyAuditVal, _xlfn.XLOOKUP($A139, My_Audit!$A:$A, My_Audit!N:N, ""),
    _xlfn.TEXTJOIN(", ", TRUE, _xlpm.MyAuditVal, _xlpm.MacVal)
)</f>
        <v/>
      </c>
    </row>
    <row r="140" spans="1:24">
      <c r="A140" s="40" t="str">
        <f>_xlfn.TEXTJOIN("",TRUE,Input!$B$2,ROW(My_Audit!A139))</f>
        <v>X139</v>
      </c>
      <c r="B140" s="40" t="str">
        <f>_xlfn.TEXTJOIN("-",TRUE,"ITD",Input!$A$2,A140)</f>
        <v>ITD-X139</v>
      </c>
      <c r="C140" s="40" t="str" cm="1">
        <f t="array" ref="C140">IFERROR(_xlfn.LET(
_xlpm.CSVVal,_xlfn.XLOOKUP($A140,CSV!$A:$A,CSV!B:B,""),
_xlpm.MacVal,_xlfn.XLOOKUP($A140,Output_Mac!$A:$A,Output_Mac!B:B,""),
_xlpm.MyAuditVal,_xlfn.XLOOKUP($A140,My_Audit!$A:$A,My_Audit!B:B,""),
_xlfn.IFS(_xlpm.MyAuditVal&lt;&gt;"",UPPER(_xlpm.MyAuditVal),_xlpm.MacVal&lt;&gt;"",_xlpm.MacVal,_xlpm.CSVVal&lt;&gt;"",_xlpm.CSVVal
)),"")</f>
        <v/>
      </c>
      <c r="D140" s="40" t="str" cm="1">
        <f t="array" ref="D140">IFERROR(_xlfn.LET(
_xlpm.CSVVal,_xlfn.XLOOKUP($A140,CSV!$A:$A,CSV!D:D,""),
_xlpm.MacVal,_xlfn.XLOOKUP($A140,Output_Mac!$A:$A,Output_Mac!C:C,""),
_xlpm.MyAuditVal,_xlfn.XLOOKUP($A140,My_Audit!$A:$A,My_Audit!C:C,""),
_xlfn.IFS(_xlpm.MyAuditVal&lt;&gt;"",_xlpm.MyAuditVal,_xlpm.MacVal&lt;&gt;"",_xlpm.MacVal,_xlpm.CSVVal&lt;&gt;"",_xlpm.CSVVal
)),"")</f>
        <v/>
      </c>
      <c r="E140" s="40">
        <f>_xlfn.XLOOKUP(A140,My_Audit!A:A,My_Audit!D:D,"")</f>
        <v>0</v>
      </c>
      <c r="F140" s="40" t="str" cm="1">
        <f t="array" ref="F140">IFERROR(_xlfn.LET(
_xlpm.CSVVal,_xlfn.XLOOKUP($A140,CSV!$A:$A,CSV!F:F,""),
_xlpm.MacVal,_xlfn.XLOOKUP($A140,Output_Mac!$A:$A,Output_Mac!E:E,""),
_xlpm.MyAuditVal,_xlfn.XLOOKUP($A140,My_Audit!$A:$A,My_Audit!E:E,""),
_xlfn.IFS(_xlpm.MyAuditVal&lt;&gt;"",_xlpm.MyAuditVal,_xlpm.MacVal&lt;&gt;"",_xlpm.MacVal,_xlpm.CSVVal&lt;&gt;"",_xlpm.CSVVal
)),"")</f>
        <v/>
      </c>
      <c r="G140" s="40" t="str" cm="1">
        <f t="array" ref="G140">IFERROR(_xlfn.LET(
_xlpm.CSVVal,_xlfn.XLOOKUP($A140,CSV!$A:$A,CSV!G:G,""),
_xlpm.MacVal,_xlfn.XLOOKUP($A140,Output_Mac!$A:$A,Output_Mac!F:F,""),
_xlpm.MyAuditVal,_xlfn.XLOOKUP($A140,My_Audit!$A:$A,My_Audit!F:F,""),
_xlfn.IFS(_xlpm.MyAuditVal&lt;&gt;"",_xlpm.MyAuditVal,_xlpm.MacVal&lt;&gt;"",_xlpm.MacVal,_xlpm.CSVVal&lt;&gt;"",PROPER(_xlpm.CSVVal)
)),"")</f>
        <v/>
      </c>
      <c r="H140" s="40" t="str" cm="1">
        <f t="array" ref="H140">IFERROR(_xlfn.LET(
_xlpm.CSVVal,_xlfn.XLOOKUP($A140,CSV!$A:$A,CSV!H:H,""),
_xlpm.MacVal,_xlfn.XLOOKUP($A140,Output_Mac!$A:$A,Output_Mac!H:H,""),
_xlpm.MyAuditVal,_xlfn.XLOOKUP($A140,My_Audit!$A:$A,My_Audit!G:G,""),
_xlfn.IFS(_xlpm.MyAuditVal&lt;&gt;"",_xlpm.MyAuditVal,_xlpm.MacVal&lt;&gt;"",_xlpm.MacVal,_xlpm.CSVVal&lt;&gt;"",_xlpm.CSVVal
)),"")</f>
        <v/>
      </c>
      <c r="I140" s="40" t="str">
        <f>_xlfn.XLOOKUP(A140,Output_Mac!A:A,Output_Mac!I:I,"")</f>
        <v/>
      </c>
      <c r="J140" s="40" t="str" cm="1">
        <f t="array" ref="J140">IFERROR(_xlfn.LET(
_xlpm.CSVVal,_xlfn.XLOOKUP($A140,CSV!$A:$A,CSV!I:I,""),
_xlpm.MacVal,_xlfn.XLOOKUP($A140,Output_Mac!$A:$A,Output_Mac!J:J,""),
_xlpm.MyAuditVal,_xlfn.XLOOKUP($A140,My_Audit!$A:$A,My_Audit!I:I,""),
_xlfn.IFS(_xlpm.MyAuditVal&lt;&gt;"",UPPER(_xlpm.MyAuditVal),_xlpm.MacVal&lt;&gt;"",_xlpm.MacVal,_xlpm.CSVVal&lt;&gt;"",_xlpm.CSVVal
)),"")</f>
        <v/>
      </c>
      <c r="K140" s="40" t="str" cm="1">
        <f t="array" ref="K140">IFERROR(_xlfn.LET(
_xlpm.CSVVal,_xlfn.XLOOKUP($A140,CSV!$A:$A,CSV!K:K,""),
_xlpm.MacVal,_xlfn.XLOOKUP($A140,Output_Mac!$A:$A,Output_Mac!K:K,""),
_xlpm.MyAuditVal,_xlfn.XLOOKUP($A140,My_Audit!$A:$A,My_Audit!J:J,""),
_xlfn.IFS(_xlpm.MyAuditVal&lt;&gt;"",UPPER(_xlpm.MyAuditVal),_xlpm.MacVal&lt;&gt;"",_xlpm.MacVal,_xlpm.CSVVal&lt;&gt;"",_xlpm.CSVVal
)),"")</f>
        <v/>
      </c>
      <c r="L140" s="40" t="str" cm="1">
        <f t="array" ref="L140">IFERROR(_xlfn.LET(
_xlpm.CSVVal,_xlfn.XLOOKUP($A140,CSV!$A:$A,CSV!P:P,""),
_xlpm.MacVal,_xlfn.XLOOKUP($A140,Output_Mac!$A:$A,Output_Mac!L:L,""),
_xlpm.MyAuditVal,_xlfn.XLOOKUP($A140,My_Audit!$A:$A,My_Audit!K:K,""),
_xlfn.IFS(_xlpm.MyAuditVal&lt;&gt;"",UPPER(_xlpm.MyAuditVal),_xlpm.MacVal&lt;&gt;"",_xlpm.MacVal,_xlpm.CSVVal&lt;&gt;"",_xlpm.CSVVal
)),"")</f>
        <v/>
      </c>
      <c r="M140" s="40" t="str" cm="1">
        <f t="array" ref="M140">IFERROR(_xlfn.LET(
_xlpm.CSVVal,_xlfn.XLOOKUP($A140,CSV!$A:$A,CSV!Q:Q,""),
_xlpm.MacVal,_xlfn.XLOOKUP($A140,Output_Mac!$A:$A,Output_Mac!M:M,""),
_xlpm.MyAuditVal,_xlfn.XLOOKUP($A140,My_Audit!$A:$A,My_Audit!L:L,""),
_xlfn.IFS(_xlpm.MyAuditVal&lt;&gt;"",UPPER(_xlpm.MyAuditVal),_xlpm.MacVal&lt;&gt;"",_xlpm.MacVal,_xlpm.CSVVal&lt;&gt;"",_xlpm.CSVVal
)),"")</f>
        <v/>
      </c>
      <c r="N140" s="40"/>
      <c r="O140" s="40" t="str">
        <f>_xlfn.LET(
    _xlpm.CSVVal, _xlfn.XLOOKUP($A140, CSV!$A:$A, CSV!AA:AA, ""),
    _xlpm.MacVal, _xlfn.XLOOKUP($A140, Output_Mac!$A:$A, Output_Mac!S:S, ""),
    _xlpm.MyAuditVal, _xlfn.XLOOKUP($A140, My_Audit!$A:$A, My_Audit!P:P, ""),
    _xlfn.TEXTJOIN(", ", TRUE, _xlpm.MyAuditVal, _xlpm.MacVal, _xlpm.CSVVal)
)</f>
        <v/>
      </c>
      <c r="P140" s="40" t="str" cm="1">
        <f t="array" ref="P140">IFERROR(_xlfn.LET(
_xlpm.CSVVal,_xlfn.XLOOKUP($A140,CSV!$A:$A,CSV!AB:AB,""),
_xlpm.MacVal,_xlfn.XLOOKUP($A140,Output_Mac!$A:$A,Output_Mac!T:T,""),
_xlpm.MyAuditVal,_xlfn.XLOOKUP($A140,My_Audit!$A:$A,My_Audit!Q:Q,""),
_xlfn.IFS(_xlpm.MyAuditVal&lt;&gt;"",UPPER(_xlpm.MyAuditVal),_xlpm.MacVal&lt;&gt;"",_xlpm.MacVal,_xlpm.CSVVal&lt;&gt;"",_xlpm.CSVVal
)),"No")</f>
        <v>No</v>
      </c>
      <c r="Q140" s="40" t="str" cm="1">
        <f t="array" ref="Q140">IFERROR(_xlfn.LET(
_xlpm.CSVVal,_xlfn.XLOOKUP($A140,CSV!$A:$A,CSV!AC:AC,""),
_xlpm.MacVal,_xlfn.XLOOKUP($A140,Output_Mac!$A:$A,Output_Mac!U:U,""),
_xlpm.MyAuditVal,_xlfn.XLOOKUP($A140,My_Audit!$A:$A,My_Audit!R:R,""),
_xlfn.IFS(_xlpm.MyAuditVal&lt;&gt;"",UPPER(_xlpm.MyAuditVal),_xlpm.MacVal&lt;&gt;"",_xlpm.MacVal,_xlpm.CSVVal&lt;&gt;"",_xlpm.CSVVal
)),"")</f>
        <v/>
      </c>
      <c r="R140" s="40"/>
      <c r="S140" s="40"/>
      <c r="T140" s="40"/>
      <c r="U140" s="40"/>
      <c r="V140" s="40"/>
      <c r="W140" s="40"/>
      <c r="X140" s="41" t="str">
        <f>_xlfn.LET(
    _xlpm.MacVal, _xlfn.XLOOKUP($A140, Output_Mac!$A:$A, Output_Mac!AB:AB, ""),
    _xlpm.MyAuditVal, _xlfn.XLOOKUP($A140, My_Audit!$A:$A, My_Audit!N:N, ""),
    _xlfn.TEXTJOIN(", ", TRUE, _xlpm.MyAuditVal, _xlpm.MacVal)
)</f>
        <v/>
      </c>
    </row>
    <row r="141" spans="1:24">
      <c r="A141" s="40" t="str">
        <f>_xlfn.TEXTJOIN("",TRUE,Input!$B$2,ROW(My_Audit!A140))</f>
        <v>X140</v>
      </c>
      <c r="B141" s="40" t="str">
        <f>_xlfn.TEXTJOIN("-",TRUE,"ITD",Input!$A$2,A141)</f>
        <v>ITD-X140</v>
      </c>
      <c r="C141" s="40" t="str" cm="1">
        <f t="array" ref="C141">IFERROR(_xlfn.LET(
_xlpm.CSVVal,_xlfn.XLOOKUP($A141,CSV!$A:$A,CSV!B:B,""),
_xlpm.MacVal,_xlfn.XLOOKUP($A141,Output_Mac!$A:$A,Output_Mac!B:B,""),
_xlpm.MyAuditVal,_xlfn.XLOOKUP($A141,My_Audit!$A:$A,My_Audit!B:B,""),
_xlfn.IFS(_xlpm.MyAuditVal&lt;&gt;"",UPPER(_xlpm.MyAuditVal),_xlpm.MacVal&lt;&gt;"",_xlpm.MacVal,_xlpm.CSVVal&lt;&gt;"",_xlpm.CSVVal
)),"")</f>
        <v/>
      </c>
      <c r="D141" s="40" t="str" cm="1">
        <f t="array" ref="D141">IFERROR(_xlfn.LET(
_xlpm.CSVVal,_xlfn.XLOOKUP($A141,CSV!$A:$A,CSV!D:D,""),
_xlpm.MacVal,_xlfn.XLOOKUP($A141,Output_Mac!$A:$A,Output_Mac!C:C,""),
_xlpm.MyAuditVal,_xlfn.XLOOKUP($A141,My_Audit!$A:$A,My_Audit!C:C,""),
_xlfn.IFS(_xlpm.MyAuditVal&lt;&gt;"",_xlpm.MyAuditVal,_xlpm.MacVal&lt;&gt;"",_xlpm.MacVal,_xlpm.CSVVal&lt;&gt;"",_xlpm.CSVVal
)),"")</f>
        <v/>
      </c>
      <c r="E141" s="40">
        <f>_xlfn.XLOOKUP(A141,My_Audit!A:A,My_Audit!D:D,"")</f>
        <v>0</v>
      </c>
      <c r="F141" s="40" t="str" cm="1">
        <f t="array" ref="F141">IFERROR(_xlfn.LET(
_xlpm.CSVVal,_xlfn.XLOOKUP($A141,CSV!$A:$A,CSV!F:F,""),
_xlpm.MacVal,_xlfn.XLOOKUP($A141,Output_Mac!$A:$A,Output_Mac!E:E,""),
_xlpm.MyAuditVal,_xlfn.XLOOKUP($A141,My_Audit!$A:$A,My_Audit!E:E,""),
_xlfn.IFS(_xlpm.MyAuditVal&lt;&gt;"",_xlpm.MyAuditVal,_xlpm.MacVal&lt;&gt;"",_xlpm.MacVal,_xlpm.CSVVal&lt;&gt;"",_xlpm.CSVVal
)),"")</f>
        <v/>
      </c>
      <c r="G141" s="40" t="str" cm="1">
        <f t="array" ref="G141">IFERROR(_xlfn.LET(
_xlpm.CSVVal,_xlfn.XLOOKUP($A141,CSV!$A:$A,CSV!G:G,""),
_xlpm.MacVal,_xlfn.XLOOKUP($A141,Output_Mac!$A:$A,Output_Mac!F:F,""),
_xlpm.MyAuditVal,_xlfn.XLOOKUP($A141,My_Audit!$A:$A,My_Audit!F:F,""),
_xlfn.IFS(_xlpm.MyAuditVal&lt;&gt;"",_xlpm.MyAuditVal,_xlpm.MacVal&lt;&gt;"",_xlpm.MacVal,_xlpm.CSVVal&lt;&gt;"",PROPER(_xlpm.CSVVal)
)),"")</f>
        <v/>
      </c>
      <c r="H141" s="40" t="str" cm="1">
        <f t="array" ref="H141">IFERROR(_xlfn.LET(
_xlpm.CSVVal,_xlfn.XLOOKUP($A141,CSV!$A:$A,CSV!H:H,""),
_xlpm.MacVal,_xlfn.XLOOKUP($A141,Output_Mac!$A:$A,Output_Mac!H:H,""),
_xlpm.MyAuditVal,_xlfn.XLOOKUP($A141,My_Audit!$A:$A,My_Audit!G:G,""),
_xlfn.IFS(_xlpm.MyAuditVal&lt;&gt;"",_xlpm.MyAuditVal,_xlpm.MacVal&lt;&gt;"",_xlpm.MacVal,_xlpm.CSVVal&lt;&gt;"",_xlpm.CSVVal
)),"")</f>
        <v/>
      </c>
      <c r="I141" s="40" t="str">
        <f>_xlfn.XLOOKUP(A141,Output_Mac!A:A,Output_Mac!I:I,"")</f>
        <v/>
      </c>
      <c r="J141" s="40" t="str" cm="1">
        <f t="array" ref="J141">IFERROR(_xlfn.LET(
_xlpm.CSVVal,_xlfn.XLOOKUP($A141,CSV!$A:$A,CSV!I:I,""),
_xlpm.MacVal,_xlfn.XLOOKUP($A141,Output_Mac!$A:$A,Output_Mac!J:J,""),
_xlpm.MyAuditVal,_xlfn.XLOOKUP($A141,My_Audit!$A:$A,My_Audit!I:I,""),
_xlfn.IFS(_xlpm.MyAuditVal&lt;&gt;"",UPPER(_xlpm.MyAuditVal),_xlpm.MacVal&lt;&gt;"",_xlpm.MacVal,_xlpm.CSVVal&lt;&gt;"",_xlpm.CSVVal
)),"")</f>
        <v/>
      </c>
      <c r="K141" s="40" t="str" cm="1">
        <f t="array" ref="K141">IFERROR(_xlfn.LET(
_xlpm.CSVVal,_xlfn.XLOOKUP($A141,CSV!$A:$A,CSV!K:K,""),
_xlpm.MacVal,_xlfn.XLOOKUP($A141,Output_Mac!$A:$A,Output_Mac!K:K,""),
_xlpm.MyAuditVal,_xlfn.XLOOKUP($A141,My_Audit!$A:$A,My_Audit!J:J,""),
_xlfn.IFS(_xlpm.MyAuditVal&lt;&gt;"",UPPER(_xlpm.MyAuditVal),_xlpm.MacVal&lt;&gt;"",_xlpm.MacVal,_xlpm.CSVVal&lt;&gt;"",_xlpm.CSVVal
)),"")</f>
        <v/>
      </c>
      <c r="L141" s="40" t="str" cm="1">
        <f t="array" ref="L141">IFERROR(_xlfn.LET(
_xlpm.CSVVal,_xlfn.XLOOKUP($A141,CSV!$A:$A,CSV!P:P,""),
_xlpm.MacVal,_xlfn.XLOOKUP($A141,Output_Mac!$A:$A,Output_Mac!L:L,""),
_xlpm.MyAuditVal,_xlfn.XLOOKUP($A141,My_Audit!$A:$A,My_Audit!K:K,""),
_xlfn.IFS(_xlpm.MyAuditVal&lt;&gt;"",UPPER(_xlpm.MyAuditVal),_xlpm.MacVal&lt;&gt;"",_xlpm.MacVal,_xlpm.CSVVal&lt;&gt;"",_xlpm.CSVVal
)),"")</f>
        <v/>
      </c>
      <c r="M141" s="40" t="str" cm="1">
        <f t="array" ref="M141">IFERROR(_xlfn.LET(
_xlpm.CSVVal,_xlfn.XLOOKUP($A141,CSV!$A:$A,CSV!Q:Q,""),
_xlpm.MacVal,_xlfn.XLOOKUP($A141,Output_Mac!$A:$A,Output_Mac!M:M,""),
_xlpm.MyAuditVal,_xlfn.XLOOKUP($A141,My_Audit!$A:$A,My_Audit!L:L,""),
_xlfn.IFS(_xlpm.MyAuditVal&lt;&gt;"",UPPER(_xlpm.MyAuditVal),_xlpm.MacVal&lt;&gt;"",_xlpm.MacVal,_xlpm.CSVVal&lt;&gt;"",_xlpm.CSVVal
)),"")</f>
        <v/>
      </c>
      <c r="N141" s="40"/>
      <c r="O141" s="40" t="str">
        <f>_xlfn.LET(
    _xlpm.CSVVal, _xlfn.XLOOKUP($A141, CSV!$A:$A, CSV!AA:AA, ""),
    _xlpm.MacVal, _xlfn.XLOOKUP($A141, Output_Mac!$A:$A, Output_Mac!S:S, ""),
    _xlpm.MyAuditVal, _xlfn.XLOOKUP($A141, My_Audit!$A:$A, My_Audit!P:P, ""),
    _xlfn.TEXTJOIN(", ", TRUE, _xlpm.MyAuditVal, _xlpm.MacVal, _xlpm.CSVVal)
)</f>
        <v/>
      </c>
      <c r="P141" s="40" t="str" cm="1">
        <f t="array" ref="P141">IFERROR(_xlfn.LET(
_xlpm.CSVVal,_xlfn.XLOOKUP($A141,CSV!$A:$A,CSV!AB:AB,""),
_xlpm.MacVal,_xlfn.XLOOKUP($A141,Output_Mac!$A:$A,Output_Mac!T:T,""),
_xlpm.MyAuditVal,_xlfn.XLOOKUP($A141,My_Audit!$A:$A,My_Audit!Q:Q,""),
_xlfn.IFS(_xlpm.MyAuditVal&lt;&gt;"",UPPER(_xlpm.MyAuditVal),_xlpm.MacVal&lt;&gt;"",_xlpm.MacVal,_xlpm.CSVVal&lt;&gt;"",_xlpm.CSVVal
)),"No")</f>
        <v>No</v>
      </c>
      <c r="Q141" s="40" t="str" cm="1">
        <f t="array" ref="Q141">IFERROR(_xlfn.LET(
_xlpm.CSVVal,_xlfn.XLOOKUP($A141,CSV!$A:$A,CSV!AC:AC,""),
_xlpm.MacVal,_xlfn.XLOOKUP($A141,Output_Mac!$A:$A,Output_Mac!U:U,""),
_xlpm.MyAuditVal,_xlfn.XLOOKUP($A141,My_Audit!$A:$A,My_Audit!R:R,""),
_xlfn.IFS(_xlpm.MyAuditVal&lt;&gt;"",UPPER(_xlpm.MyAuditVal),_xlpm.MacVal&lt;&gt;"",_xlpm.MacVal,_xlpm.CSVVal&lt;&gt;"",_xlpm.CSVVal
)),"")</f>
        <v/>
      </c>
      <c r="R141" s="40"/>
      <c r="S141" s="40"/>
      <c r="T141" s="40"/>
      <c r="U141" s="40"/>
      <c r="V141" s="40"/>
      <c r="W141" s="40"/>
      <c r="X141" s="41" t="str">
        <f>_xlfn.LET(
    _xlpm.MacVal, _xlfn.XLOOKUP($A141, Output_Mac!$A:$A, Output_Mac!AB:AB, ""),
    _xlpm.MyAuditVal, _xlfn.XLOOKUP($A141, My_Audit!$A:$A, My_Audit!N:N, ""),
    _xlfn.TEXTJOIN(", ", TRUE, _xlpm.MyAuditVal, _xlpm.MacVal)
)</f>
        <v/>
      </c>
    </row>
    <row r="142" spans="1:24">
      <c r="A142" s="40" t="str">
        <f>_xlfn.TEXTJOIN("",TRUE,Input!$B$2,ROW(My_Audit!A141))</f>
        <v>X141</v>
      </c>
      <c r="B142" s="40" t="str">
        <f>_xlfn.TEXTJOIN("-",TRUE,"ITD",Input!$A$2,A142)</f>
        <v>ITD-X141</v>
      </c>
      <c r="C142" s="40" t="str" cm="1">
        <f t="array" ref="C142">IFERROR(_xlfn.LET(
_xlpm.CSVVal,_xlfn.XLOOKUP($A142,CSV!$A:$A,CSV!B:B,""),
_xlpm.MacVal,_xlfn.XLOOKUP($A142,Output_Mac!$A:$A,Output_Mac!B:B,""),
_xlpm.MyAuditVal,_xlfn.XLOOKUP($A142,My_Audit!$A:$A,My_Audit!B:B,""),
_xlfn.IFS(_xlpm.MyAuditVal&lt;&gt;"",UPPER(_xlpm.MyAuditVal),_xlpm.MacVal&lt;&gt;"",_xlpm.MacVal,_xlpm.CSVVal&lt;&gt;"",_xlpm.CSVVal
)),"")</f>
        <v/>
      </c>
      <c r="D142" s="40" t="str" cm="1">
        <f t="array" ref="D142">IFERROR(_xlfn.LET(
_xlpm.CSVVal,_xlfn.XLOOKUP($A142,CSV!$A:$A,CSV!D:D,""),
_xlpm.MacVal,_xlfn.XLOOKUP($A142,Output_Mac!$A:$A,Output_Mac!C:C,""),
_xlpm.MyAuditVal,_xlfn.XLOOKUP($A142,My_Audit!$A:$A,My_Audit!C:C,""),
_xlfn.IFS(_xlpm.MyAuditVal&lt;&gt;"",_xlpm.MyAuditVal,_xlpm.MacVal&lt;&gt;"",_xlpm.MacVal,_xlpm.CSVVal&lt;&gt;"",_xlpm.CSVVal
)),"")</f>
        <v/>
      </c>
      <c r="E142" s="40">
        <f>_xlfn.XLOOKUP(A142,My_Audit!A:A,My_Audit!D:D,"")</f>
        <v>0</v>
      </c>
      <c r="F142" s="40" t="str" cm="1">
        <f t="array" ref="F142">IFERROR(_xlfn.LET(
_xlpm.CSVVal,_xlfn.XLOOKUP($A142,CSV!$A:$A,CSV!F:F,""),
_xlpm.MacVal,_xlfn.XLOOKUP($A142,Output_Mac!$A:$A,Output_Mac!E:E,""),
_xlpm.MyAuditVal,_xlfn.XLOOKUP($A142,My_Audit!$A:$A,My_Audit!E:E,""),
_xlfn.IFS(_xlpm.MyAuditVal&lt;&gt;"",_xlpm.MyAuditVal,_xlpm.MacVal&lt;&gt;"",_xlpm.MacVal,_xlpm.CSVVal&lt;&gt;"",_xlpm.CSVVal
)),"")</f>
        <v/>
      </c>
      <c r="G142" s="40" t="str" cm="1">
        <f t="array" ref="G142">IFERROR(_xlfn.LET(
_xlpm.CSVVal,_xlfn.XLOOKUP($A142,CSV!$A:$A,CSV!G:G,""),
_xlpm.MacVal,_xlfn.XLOOKUP($A142,Output_Mac!$A:$A,Output_Mac!F:F,""),
_xlpm.MyAuditVal,_xlfn.XLOOKUP($A142,My_Audit!$A:$A,My_Audit!F:F,""),
_xlfn.IFS(_xlpm.MyAuditVal&lt;&gt;"",_xlpm.MyAuditVal,_xlpm.MacVal&lt;&gt;"",_xlpm.MacVal,_xlpm.CSVVal&lt;&gt;"",PROPER(_xlpm.CSVVal)
)),"")</f>
        <v/>
      </c>
      <c r="H142" s="40" t="str" cm="1">
        <f t="array" ref="H142">IFERROR(_xlfn.LET(
_xlpm.CSVVal,_xlfn.XLOOKUP($A142,CSV!$A:$A,CSV!H:H,""),
_xlpm.MacVal,_xlfn.XLOOKUP($A142,Output_Mac!$A:$A,Output_Mac!H:H,""),
_xlpm.MyAuditVal,_xlfn.XLOOKUP($A142,My_Audit!$A:$A,My_Audit!G:G,""),
_xlfn.IFS(_xlpm.MyAuditVal&lt;&gt;"",_xlpm.MyAuditVal,_xlpm.MacVal&lt;&gt;"",_xlpm.MacVal,_xlpm.CSVVal&lt;&gt;"",_xlpm.CSVVal
)),"")</f>
        <v/>
      </c>
      <c r="I142" s="40" t="str">
        <f>_xlfn.XLOOKUP(A142,Output_Mac!A:A,Output_Mac!I:I,"")</f>
        <v/>
      </c>
      <c r="J142" s="40" t="str" cm="1">
        <f t="array" ref="J142">IFERROR(_xlfn.LET(
_xlpm.CSVVal,_xlfn.XLOOKUP($A142,CSV!$A:$A,CSV!I:I,""),
_xlpm.MacVal,_xlfn.XLOOKUP($A142,Output_Mac!$A:$A,Output_Mac!J:J,""),
_xlpm.MyAuditVal,_xlfn.XLOOKUP($A142,My_Audit!$A:$A,My_Audit!I:I,""),
_xlfn.IFS(_xlpm.MyAuditVal&lt;&gt;"",UPPER(_xlpm.MyAuditVal),_xlpm.MacVal&lt;&gt;"",_xlpm.MacVal,_xlpm.CSVVal&lt;&gt;"",_xlpm.CSVVal
)),"")</f>
        <v/>
      </c>
      <c r="K142" s="40" t="str" cm="1">
        <f t="array" ref="K142">IFERROR(_xlfn.LET(
_xlpm.CSVVal,_xlfn.XLOOKUP($A142,CSV!$A:$A,CSV!K:K,""),
_xlpm.MacVal,_xlfn.XLOOKUP($A142,Output_Mac!$A:$A,Output_Mac!K:K,""),
_xlpm.MyAuditVal,_xlfn.XLOOKUP($A142,My_Audit!$A:$A,My_Audit!J:J,""),
_xlfn.IFS(_xlpm.MyAuditVal&lt;&gt;"",UPPER(_xlpm.MyAuditVal),_xlpm.MacVal&lt;&gt;"",_xlpm.MacVal,_xlpm.CSVVal&lt;&gt;"",_xlpm.CSVVal
)),"")</f>
        <v/>
      </c>
      <c r="L142" s="40" t="str" cm="1">
        <f t="array" ref="L142">IFERROR(_xlfn.LET(
_xlpm.CSVVal,_xlfn.XLOOKUP($A142,CSV!$A:$A,CSV!P:P,""),
_xlpm.MacVal,_xlfn.XLOOKUP($A142,Output_Mac!$A:$A,Output_Mac!L:L,""),
_xlpm.MyAuditVal,_xlfn.XLOOKUP($A142,My_Audit!$A:$A,My_Audit!K:K,""),
_xlfn.IFS(_xlpm.MyAuditVal&lt;&gt;"",UPPER(_xlpm.MyAuditVal),_xlpm.MacVal&lt;&gt;"",_xlpm.MacVal,_xlpm.CSVVal&lt;&gt;"",_xlpm.CSVVal
)),"")</f>
        <v/>
      </c>
      <c r="M142" s="40" t="str" cm="1">
        <f t="array" ref="M142">IFERROR(_xlfn.LET(
_xlpm.CSVVal,_xlfn.XLOOKUP($A142,CSV!$A:$A,CSV!Q:Q,""),
_xlpm.MacVal,_xlfn.XLOOKUP($A142,Output_Mac!$A:$A,Output_Mac!M:M,""),
_xlpm.MyAuditVal,_xlfn.XLOOKUP($A142,My_Audit!$A:$A,My_Audit!L:L,""),
_xlfn.IFS(_xlpm.MyAuditVal&lt;&gt;"",UPPER(_xlpm.MyAuditVal),_xlpm.MacVal&lt;&gt;"",_xlpm.MacVal,_xlpm.CSVVal&lt;&gt;"",_xlpm.CSVVal
)),"")</f>
        <v/>
      </c>
      <c r="N142" s="40"/>
      <c r="O142" s="40" t="str">
        <f>_xlfn.LET(
    _xlpm.CSVVal, _xlfn.XLOOKUP($A142, CSV!$A:$A, CSV!AA:AA, ""),
    _xlpm.MacVal, _xlfn.XLOOKUP($A142, Output_Mac!$A:$A, Output_Mac!S:S, ""),
    _xlpm.MyAuditVal, _xlfn.XLOOKUP($A142, My_Audit!$A:$A, My_Audit!P:P, ""),
    _xlfn.TEXTJOIN(", ", TRUE, _xlpm.MyAuditVal, _xlpm.MacVal, _xlpm.CSVVal)
)</f>
        <v/>
      </c>
      <c r="P142" s="40" t="str" cm="1">
        <f t="array" ref="P142">IFERROR(_xlfn.LET(
_xlpm.CSVVal,_xlfn.XLOOKUP($A142,CSV!$A:$A,CSV!AB:AB,""),
_xlpm.MacVal,_xlfn.XLOOKUP($A142,Output_Mac!$A:$A,Output_Mac!T:T,""),
_xlpm.MyAuditVal,_xlfn.XLOOKUP($A142,My_Audit!$A:$A,My_Audit!Q:Q,""),
_xlfn.IFS(_xlpm.MyAuditVal&lt;&gt;"",UPPER(_xlpm.MyAuditVal),_xlpm.MacVal&lt;&gt;"",_xlpm.MacVal,_xlpm.CSVVal&lt;&gt;"",_xlpm.CSVVal
)),"No")</f>
        <v>No</v>
      </c>
      <c r="Q142" s="40" t="str" cm="1">
        <f t="array" ref="Q142">IFERROR(_xlfn.LET(
_xlpm.CSVVal,_xlfn.XLOOKUP($A142,CSV!$A:$A,CSV!AC:AC,""),
_xlpm.MacVal,_xlfn.XLOOKUP($A142,Output_Mac!$A:$A,Output_Mac!U:U,""),
_xlpm.MyAuditVal,_xlfn.XLOOKUP($A142,My_Audit!$A:$A,My_Audit!R:R,""),
_xlfn.IFS(_xlpm.MyAuditVal&lt;&gt;"",UPPER(_xlpm.MyAuditVal),_xlpm.MacVal&lt;&gt;"",_xlpm.MacVal,_xlpm.CSVVal&lt;&gt;"",_xlpm.CSVVal
)),"")</f>
        <v/>
      </c>
      <c r="R142" s="40"/>
      <c r="S142" s="40"/>
      <c r="T142" s="40"/>
      <c r="U142" s="40"/>
      <c r="V142" s="40"/>
      <c r="W142" s="40"/>
      <c r="X142" s="41" t="str">
        <f>_xlfn.LET(
    _xlpm.MacVal, _xlfn.XLOOKUP($A142, Output_Mac!$A:$A, Output_Mac!AB:AB, ""),
    _xlpm.MyAuditVal, _xlfn.XLOOKUP($A142, My_Audit!$A:$A, My_Audit!N:N, ""),
    _xlfn.TEXTJOIN(", ", TRUE, _xlpm.MyAuditVal, _xlpm.MacVal)
)</f>
        <v/>
      </c>
    </row>
    <row r="143" spans="1:24">
      <c r="A143" s="40" t="str">
        <f>_xlfn.TEXTJOIN("",TRUE,Input!$B$2,ROW(My_Audit!A142))</f>
        <v>X142</v>
      </c>
      <c r="B143" s="40" t="str">
        <f>_xlfn.TEXTJOIN("-",TRUE,"ITD",Input!$A$2,A143)</f>
        <v>ITD-X142</v>
      </c>
      <c r="C143" s="40" t="str" cm="1">
        <f t="array" ref="C143">IFERROR(_xlfn.LET(
_xlpm.CSVVal,_xlfn.XLOOKUP($A143,CSV!$A:$A,CSV!B:B,""),
_xlpm.MacVal,_xlfn.XLOOKUP($A143,Output_Mac!$A:$A,Output_Mac!B:B,""),
_xlpm.MyAuditVal,_xlfn.XLOOKUP($A143,My_Audit!$A:$A,My_Audit!B:B,""),
_xlfn.IFS(_xlpm.MyAuditVal&lt;&gt;"",UPPER(_xlpm.MyAuditVal),_xlpm.MacVal&lt;&gt;"",_xlpm.MacVal,_xlpm.CSVVal&lt;&gt;"",_xlpm.CSVVal
)),"")</f>
        <v/>
      </c>
      <c r="D143" s="40" t="str" cm="1">
        <f t="array" ref="D143">IFERROR(_xlfn.LET(
_xlpm.CSVVal,_xlfn.XLOOKUP($A143,CSV!$A:$A,CSV!D:D,""),
_xlpm.MacVal,_xlfn.XLOOKUP($A143,Output_Mac!$A:$A,Output_Mac!C:C,""),
_xlpm.MyAuditVal,_xlfn.XLOOKUP($A143,My_Audit!$A:$A,My_Audit!C:C,""),
_xlfn.IFS(_xlpm.MyAuditVal&lt;&gt;"",_xlpm.MyAuditVal,_xlpm.MacVal&lt;&gt;"",_xlpm.MacVal,_xlpm.CSVVal&lt;&gt;"",_xlpm.CSVVal
)),"")</f>
        <v/>
      </c>
      <c r="E143" s="40">
        <f>_xlfn.XLOOKUP(A143,My_Audit!A:A,My_Audit!D:D,"")</f>
        <v>0</v>
      </c>
      <c r="F143" s="40" t="str" cm="1">
        <f t="array" ref="F143">IFERROR(_xlfn.LET(
_xlpm.CSVVal,_xlfn.XLOOKUP($A143,CSV!$A:$A,CSV!F:F,""),
_xlpm.MacVal,_xlfn.XLOOKUP($A143,Output_Mac!$A:$A,Output_Mac!E:E,""),
_xlpm.MyAuditVal,_xlfn.XLOOKUP($A143,My_Audit!$A:$A,My_Audit!E:E,""),
_xlfn.IFS(_xlpm.MyAuditVal&lt;&gt;"",_xlpm.MyAuditVal,_xlpm.MacVal&lt;&gt;"",_xlpm.MacVal,_xlpm.CSVVal&lt;&gt;"",_xlpm.CSVVal
)),"")</f>
        <v/>
      </c>
      <c r="G143" s="40" t="str" cm="1">
        <f t="array" ref="G143">IFERROR(_xlfn.LET(
_xlpm.CSVVal,_xlfn.XLOOKUP($A143,CSV!$A:$A,CSV!G:G,""),
_xlpm.MacVal,_xlfn.XLOOKUP($A143,Output_Mac!$A:$A,Output_Mac!F:F,""),
_xlpm.MyAuditVal,_xlfn.XLOOKUP($A143,My_Audit!$A:$A,My_Audit!F:F,""),
_xlfn.IFS(_xlpm.MyAuditVal&lt;&gt;"",_xlpm.MyAuditVal,_xlpm.MacVal&lt;&gt;"",_xlpm.MacVal,_xlpm.CSVVal&lt;&gt;"",PROPER(_xlpm.CSVVal)
)),"")</f>
        <v/>
      </c>
      <c r="H143" s="40" t="str" cm="1">
        <f t="array" ref="H143">IFERROR(_xlfn.LET(
_xlpm.CSVVal,_xlfn.XLOOKUP($A143,CSV!$A:$A,CSV!H:H,""),
_xlpm.MacVal,_xlfn.XLOOKUP($A143,Output_Mac!$A:$A,Output_Mac!H:H,""),
_xlpm.MyAuditVal,_xlfn.XLOOKUP($A143,My_Audit!$A:$A,My_Audit!G:G,""),
_xlfn.IFS(_xlpm.MyAuditVal&lt;&gt;"",_xlpm.MyAuditVal,_xlpm.MacVal&lt;&gt;"",_xlpm.MacVal,_xlpm.CSVVal&lt;&gt;"",_xlpm.CSVVal
)),"")</f>
        <v/>
      </c>
      <c r="I143" s="40" t="str">
        <f>_xlfn.XLOOKUP(A143,Output_Mac!A:A,Output_Mac!I:I,"")</f>
        <v/>
      </c>
      <c r="J143" s="40" t="str" cm="1">
        <f t="array" ref="J143">IFERROR(_xlfn.LET(
_xlpm.CSVVal,_xlfn.XLOOKUP($A143,CSV!$A:$A,CSV!I:I,""),
_xlpm.MacVal,_xlfn.XLOOKUP($A143,Output_Mac!$A:$A,Output_Mac!J:J,""),
_xlpm.MyAuditVal,_xlfn.XLOOKUP($A143,My_Audit!$A:$A,My_Audit!I:I,""),
_xlfn.IFS(_xlpm.MyAuditVal&lt;&gt;"",UPPER(_xlpm.MyAuditVal),_xlpm.MacVal&lt;&gt;"",_xlpm.MacVal,_xlpm.CSVVal&lt;&gt;"",_xlpm.CSVVal
)),"")</f>
        <v/>
      </c>
      <c r="K143" s="40" t="str" cm="1">
        <f t="array" ref="K143">IFERROR(_xlfn.LET(
_xlpm.CSVVal,_xlfn.XLOOKUP($A143,CSV!$A:$A,CSV!K:K,""),
_xlpm.MacVal,_xlfn.XLOOKUP($A143,Output_Mac!$A:$A,Output_Mac!K:K,""),
_xlpm.MyAuditVal,_xlfn.XLOOKUP($A143,My_Audit!$A:$A,My_Audit!J:J,""),
_xlfn.IFS(_xlpm.MyAuditVal&lt;&gt;"",UPPER(_xlpm.MyAuditVal),_xlpm.MacVal&lt;&gt;"",_xlpm.MacVal,_xlpm.CSVVal&lt;&gt;"",_xlpm.CSVVal
)),"")</f>
        <v/>
      </c>
      <c r="L143" s="40" t="str" cm="1">
        <f t="array" ref="L143">IFERROR(_xlfn.LET(
_xlpm.CSVVal,_xlfn.XLOOKUP($A143,CSV!$A:$A,CSV!P:P,""),
_xlpm.MacVal,_xlfn.XLOOKUP($A143,Output_Mac!$A:$A,Output_Mac!L:L,""),
_xlpm.MyAuditVal,_xlfn.XLOOKUP($A143,My_Audit!$A:$A,My_Audit!K:K,""),
_xlfn.IFS(_xlpm.MyAuditVal&lt;&gt;"",UPPER(_xlpm.MyAuditVal),_xlpm.MacVal&lt;&gt;"",_xlpm.MacVal,_xlpm.CSVVal&lt;&gt;"",_xlpm.CSVVal
)),"")</f>
        <v/>
      </c>
      <c r="M143" s="40" t="str" cm="1">
        <f t="array" ref="M143">IFERROR(_xlfn.LET(
_xlpm.CSVVal,_xlfn.XLOOKUP($A143,CSV!$A:$A,CSV!Q:Q,""),
_xlpm.MacVal,_xlfn.XLOOKUP($A143,Output_Mac!$A:$A,Output_Mac!M:M,""),
_xlpm.MyAuditVal,_xlfn.XLOOKUP($A143,My_Audit!$A:$A,My_Audit!L:L,""),
_xlfn.IFS(_xlpm.MyAuditVal&lt;&gt;"",UPPER(_xlpm.MyAuditVal),_xlpm.MacVal&lt;&gt;"",_xlpm.MacVal,_xlpm.CSVVal&lt;&gt;"",_xlpm.CSVVal
)),"")</f>
        <v/>
      </c>
      <c r="N143" s="40"/>
      <c r="O143" s="40" t="str">
        <f>_xlfn.LET(
    _xlpm.CSVVal, _xlfn.XLOOKUP($A143, CSV!$A:$A, CSV!AA:AA, ""),
    _xlpm.MacVal, _xlfn.XLOOKUP($A143, Output_Mac!$A:$A, Output_Mac!S:S, ""),
    _xlpm.MyAuditVal, _xlfn.XLOOKUP($A143, My_Audit!$A:$A, My_Audit!P:P, ""),
    _xlfn.TEXTJOIN(", ", TRUE, _xlpm.MyAuditVal, _xlpm.MacVal, _xlpm.CSVVal)
)</f>
        <v/>
      </c>
      <c r="P143" s="40" t="str" cm="1">
        <f t="array" ref="P143">IFERROR(_xlfn.LET(
_xlpm.CSVVal,_xlfn.XLOOKUP($A143,CSV!$A:$A,CSV!AB:AB,""),
_xlpm.MacVal,_xlfn.XLOOKUP($A143,Output_Mac!$A:$A,Output_Mac!T:T,""),
_xlpm.MyAuditVal,_xlfn.XLOOKUP($A143,My_Audit!$A:$A,My_Audit!Q:Q,""),
_xlfn.IFS(_xlpm.MyAuditVal&lt;&gt;"",UPPER(_xlpm.MyAuditVal),_xlpm.MacVal&lt;&gt;"",_xlpm.MacVal,_xlpm.CSVVal&lt;&gt;"",_xlpm.CSVVal
)),"No")</f>
        <v>No</v>
      </c>
      <c r="Q143" s="40" t="str" cm="1">
        <f t="array" ref="Q143">IFERROR(_xlfn.LET(
_xlpm.CSVVal,_xlfn.XLOOKUP($A143,CSV!$A:$A,CSV!AC:AC,""),
_xlpm.MacVal,_xlfn.XLOOKUP($A143,Output_Mac!$A:$A,Output_Mac!U:U,""),
_xlpm.MyAuditVal,_xlfn.XLOOKUP($A143,My_Audit!$A:$A,My_Audit!R:R,""),
_xlfn.IFS(_xlpm.MyAuditVal&lt;&gt;"",UPPER(_xlpm.MyAuditVal),_xlpm.MacVal&lt;&gt;"",_xlpm.MacVal,_xlpm.CSVVal&lt;&gt;"",_xlpm.CSVVal
)),"")</f>
        <v/>
      </c>
      <c r="R143" s="40"/>
      <c r="S143" s="40"/>
      <c r="T143" s="40"/>
      <c r="U143" s="40"/>
      <c r="V143" s="40"/>
      <c r="W143" s="40"/>
      <c r="X143" s="41" t="str">
        <f>_xlfn.LET(
    _xlpm.MacVal, _xlfn.XLOOKUP($A143, Output_Mac!$A:$A, Output_Mac!AB:AB, ""),
    _xlpm.MyAuditVal, _xlfn.XLOOKUP($A143, My_Audit!$A:$A, My_Audit!N:N, ""),
    _xlfn.TEXTJOIN(", ", TRUE, _xlpm.MyAuditVal, _xlpm.MacVal)
)</f>
        <v/>
      </c>
    </row>
    <row r="144" spans="1:24">
      <c r="A144" s="40" t="str">
        <f>_xlfn.TEXTJOIN("",TRUE,Input!$B$2,ROW(My_Audit!A143))</f>
        <v>X143</v>
      </c>
      <c r="B144" s="40" t="str">
        <f>_xlfn.TEXTJOIN("-",TRUE,"ITD",Input!$A$2,A144)</f>
        <v>ITD-X143</v>
      </c>
      <c r="C144" s="40" t="str" cm="1">
        <f t="array" ref="C144">IFERROR(_xlfn.LET(
_xlpm.CSVVal,_xlfn.XLOOKUP($A144,CSV!$A:$A,CSV!B:B,""),
_xlpm.MacVal,_xlfn.XLOOKUP($A144,Output_Mac!$A:$A,Output_Mac!B:B,""),
_xlpm.MyAuditVal,_xlfn.XLOOKUP($A144,My_Audit!$A:$A,My_Audit!B:B,""),
_xlfn.IFS(_xlpm.MyAuditVal&lt;&gt;"",UPPER(_xlpm.MyAuditVal),_xlpm.MacVal&lt;&gt;"",_xlpm.MacVal,_xlpm.CSVVal&lt;&gt;"",_xlpm.CSVVal
)),"")</f>
        <v/>
      </c>
      <c r="D144" s="40" t="str" cm="1">
        <f t="array" ref="D144">IFERROR(_xlfn.LET(
_xlpm.CSVVal,_xlfn.XLOOKUP($A144,CSV!$A:$A,CSV!D:D,""),
_xlpm.MacVal,_xlfn.XLOOKUP($A144,Output_Mac!$A:$A,Output_Mac!C:C,""),
_xlpm.MyAuditVal,_xlfn.XLOOKUP($A144,My_Audit!$A:$A,My_Audit!C:C,""),
_xlfn.IFS(_xlpm.MyAuditVal&lt;&gt;"",_xlpm.MyAuditVal,_xlpm.MacVal&lt;&gt;"",_xlpm.MacVal,_xlpm.CSVVal&lt;&gt;"",_xlpm.CSVVal
)),"")</f>
        <v/>
      </c>
      <c r="E144" s="40">
        <f>_xlfn.XLOOKUP(A144,My_Audit!A:A,My_Audit!D:D,"")</f>
        <v>0</v>
      </c>
      <c r="F144" s="40" t="str" cm="1">
        <f t="array" ref="F144">IFERROR(_xlfn.LET(
_xlpm.CSVVal,_xlfn.XLOOKUP($A144,CSV!$A:$A,CSV!F:F,""),
_xlpm.MacVal,_xlfn.XLOOKUP($A144,Output_Mac!$A:$A,Output_Mac!E:E,""),
_xlpm.MyAuditVal,_xlfn.XLOOKUP($A144,My_Audit!$A:$A,My_Audit!E:E,""),
_xlfn.IFS(_xlpm.MyAuditVal&lt;&gt;"",_xlpm.MyAuditVal,_xlpm.MacVal&lt;&gt;"",_xlpm.MacVal,_xlpm.CSVVal&lt;&gt;"",_xlpm.CSVVal
)),"")</f>
        <v/>
      </c>
      <c r="G144" s="40" t="str" cm="1">
        <f t="array" ref="G144">IFERROR(_xlfn.LET(
_xlpm.CSVVal,_xlfn.XLOOKUP($A144,CSV!$A:$A,CSV!G:G,""),
_xlpm.MacVal,_xlfn.XLOOKUP($A144,Output_Mac!$A:$A,Output_Mac!F:F,""),
_xlpm.MyAuditVal,_xlfn.XLOOKUP($A144,My_Audit!$A:$A,My_Audit!F:F,""),
_xlfn.IFS(_xlpm.MyAuditVal&lt;&gt;"",_xlpm.MyAuditVal,_xlpm.MacVal&lt;&gt;"",_xlpm.MacVal,_xlpm.CSVVal&lt;&gt;"",PROPER(_xlpm.CSVVal)
)),"")</f>
        <v/>
      </c>
      <c r="H144" s="40" t="str" cm="1">
        <f t="array" ref="H144">IFERROR(_xlfn.LET(
_xlpm.CSVVal,_xlfn.XLOOKUP($A144,CSV!$A:$A,CSV!H:H,""),
_xlpm.MacVal,_xlfn.XLOOKUP($A144,Output_Mac!$A:$A,Output_Mac!H:H,""),
_xlpm.MyAuditVal,_xlfn.XLOOKUP($A144,My_Audit!$A:$A,My_Audit!G:G,""),
_xlfn.IFS(_xlpm.MyAuditVal&lt;&gt;"",_xlpm.MyAuditVal,_xlpm.MacVal&lt;&gt;"",_xlpm.MacVal,_xlpm.CSVVal&lt;&gt;"",_xlpm.CSVVal
)),"")</f>
        <v/>
      </c>
      <c r="I144" s="40" t="str">
        <f>_xlfn.XLOOKUP(A144,Output_Mac!A:A,Output_Mac!I:I,"")</f>
        <v/>
      </c>
      <c r="J144" s="40" t="str" cm="1">
        <f t="array" ref="J144">IFERROR(_xlfn.LET(
_xlpm.CSVVal,_xlfn.XLOOKUP($A144,CSV!$A:$A,CSV!I:I,""),
_xlpm.MacVal,_xlfn.XLOOKUP($A144,Output_Mac!$A:$A,Output_Mac!J:J,""),
_xlpm.MyAuditVal,_xlfn.XLOOKUP($A144,My_Audit!$A:$A,My_Audit!I:I,""),
_xlfn.IFS(_xlpm.MyAuditVal&lt;&gt;"",UPPER(_xlpm.MyAuditVal),_xlpm.MacVal&lt;&gt;"",_xlpm.MacVal,_xlpm.CSVVal&lt;&gt;"",_xlpm.CSVVal
)),"")</f>
        <v/>
      </c>
      <c r="K144" s="40" t="str" cm="1">
        <f t="array" ref="K144">IFERROR(_xlfn.LET(
_xlpm.CSVVal,_xlfn.XLOOKUP($A144,CSV!$A:$A,CSV!K:K,""),
_xlpm.MacVal,_xlfn.XLOOKUP($A144,Output_Mac!$A:$A,Output_Mac!K:K,""),
_xlpm.MyAuditVal,_xlfn.XLOOKUP($A144,My_Audit!$A:$A,My_Audit!J:J,""),
_xlfn.IFS(_xlpm.MyAuditVal&lt;&gt;"",UPPER(_xlpm.MyAuditVal),_xlpm.MacVal&lt;&gt;"",_xlpm.MacVal,_xlpm.CSVVal&lt;&gt;"",_xlpm.CSVVal
)),"")</f>
        <v/>
      </c>
      <c r="L144" s="40" t="str" cm="1">
        <f t="array" ref="L144">IFERROR(_xlfn.LET(
_xlpm.CSVVal,_xlfn.XLOOKUP($A144,CSV!$A:$A,CSV!P:P,""),
_xlpm.MacVal,_xlfn.XLOOKUP($A144,Output_Mac!$A:$A,Output_Mac!L:L,""),
_xlpm.MyAuditVal,_xlfn.XLOOKUP($A144,My_Audit!$A:$A,My_Audit!K:K,""),
_xlfn.IFS(_xlpm.MyAuditVal&lt;&gt;"",UPPER(_xlpm.MyAuditVal),_xlpm.MacVal&lt;&gt;"",_xlpm.MacVal,_xlpm.CSVVal&lt;&gt;"",_xlpm.CSVVal
)),"")</f>
        <v/>
      </c>
      <c r="M144" s="40" t="str" cm="1">
        <f t="array" ref="M144">IFERROR(_xlfn.LET(
_xlpm.CSVVal,_xlfn.XLOOKUP($A144,CSV!$A:$A,CSV!Q:Q,""),
_xlpm.MacVal,_xlfn.XLOOKUP($A144,Output_Mac!$A:$A,Output_Mac!M:M,""),
_xlpm.MyAuditVal,_xlfn.XLOOKUP($A144,My_Audit!$A:$A,My_Audit!L:L,""),
_xlfn.IFS(_xlpm.MyAuditVal&lt;&gt;"",UPPER(_xlpm.MyAuditVal),_xlpm.MacVal&lt;&gt;"",_xlpm.MacVal,_xlpm.CSVVal&lt;&gt;"",_xlpm.CSVVal
)),"")</f>
        <v/>
      </c>
      <c r="N144" s="40"/>
      <c r="O144" s="40" t="str">
        <f>_xlfn.LET(
    _xlpm.CSVVal, _xlfn.XLOOKUP($A144, CSV!$A:$A, CSV!AA:AA, ""),
    _xlpm.MacVal, _xlfn.XLOOKUP($A144, Output_Mac!$A:$A, Output_Mac!S:S, ""),
    _xlpm.MyAuditVal, _xlfn.XLOOKUP($A144, My_Audit!$A:$A, My_Audit!P:P, ""),
    _xlfn.TEXTJOIN(", ", TRUE, _xlpm.MyAuditVal, _xlpm.MacVal, _xlpm.CSVVal)
)</f>
        <v>Label marks C</v>
      </c>
      <c r="P144" s="40" t="str" cm="1">
        <f t="array" ref="P144">IFERROR(_xlfn.LET(
_xlpm.CSVVal,_xlfn.XLOOKUP($A144,CSV!$A:$A,CSV!AB:AB,""),
_xlpm.MacVal,_xlfn.XLOOKUP($A144,Output_Mac!$A:$A,Output_Mac!T:T,""),
_xlpm.MyAuditVal,_xlfn.XLOOKUP($A144,My_Audit!$A:$A,My_Audit!Q:Q,""),
_xlfn.IFS(_xlpm.MyAuditVal&lt;&gt;"",UPPER(_xlpm.MyAuditVal),_xlpm.MacVal&lt;&gt;"",_xlpm.MacVal,_xlpm.CSVVal&lt;&gt;"",_xlpm.CSVVal
)),"No")</f>
        <v>No</v>
      </c>
      <c r="Q144" s="40" t="str" cm="1">
        <f t="array" ref="Q144">IFERROR(_xlfn.LET(
_xlpm.CSVVal,_xlfn.XLOOKUP($A144,CSV!$A:$A,CSV!AC:AC,""),
_xlpm.MacVal,_xlfn.XLOOKUP($A144,Output_Mac!$A:$A,Output_Mac!U:U,""),
_xlpm.MyAuditVal,_xlfn.XLOOKUP($A144,My_Audit!$A:$A,My_Audit!R:R,""),
_xlfn.IFS(_xlpm.MyAuditVal&lt;&gt;"",UPPER(_xlpm.MyAuditVal),_xlpm.MacVal&lt;&gt;"",_xlpm.MacVal,_xlpm.CSVVal&lt;&gt;"",_xlpm.CSVVal
)),"")</f>
        <v/>
      </c>
      <c r="R144" s="40"/>
      <c r="S144" s="40"/>
      <c r="T144" s="40"/>
      <c r="U144" s="40"/>
      <c r="V144" s="40"/>
      <c r="W144" s="40"/>
      <c r="X144" s="41" t="str">
        <f>_xlfn.LET(
    _xlpm.MacVal, _xlfn.XLOOKUP($A144, Output_Mac!$A:$A, Output_Mac!AB:AB, ""),
    _xlpm.MyAuditVal, _xlfn.XLOOKUP($A144, My_Audit!$A:$A, My_Audit!N:N, ""),
    _xlfn.TEXTJOIN(", ", TRUE, _xlpm.MyAuditVal, _xlpm.MacVal)
)</f>
        <v/>
      </c>
    </row>
    <row r="145" spans="1:24">
      <c r="A145" s="40" t="str">
        <f>_xlfn.TEXTJOIN("",TRUE,Input!$B$2,ROW(My_Audit!A144))</f>
        <v>X144</v>
      </c>
      <c r="B145" s="40" t="str">
        <f>_xlfn.TEXTJOIN("-",TRUE,"ITD",Input!$A$2,A145)</f>
        <v>ITD-X144</v>
      </c>
      <c r="C145" s="40" t="str" cm="1">
        <f t="array" ref="C145">IFERROR(_xlfn.LET(
_xlpm.CSVVal,_xlfn.XLOOKUP($A145,CSV!$A:$A,CSV!B:B,""),
_xlpm.MacVal,_xlfn.XLOOKUP($A145,Output_Mac!$A:$A,Output_Mac!B:B,""),
_xlpm.MyAuditVal,_xlfn.XLOOKUP($A145,My_Audit!$A:$A,My_Audit!B:B,""),
_xlfn.IFS(_xlpm.MyAuditVal&lt;&gt;"",UPPER(_xlpm.MyAuditVal),_xlpm.MacVal&lt;&gt;"",_xlpm.MacVal,_xlpm.CSVVal&lt;&gt;"",_xlpm.CSVVal
)),"")</f>
        <v/>
      </c>
      <c r="D145" s="40" t="str" cm="1">
        <f t="array" ref="D145">IFERROR(_xlfn.LET(
_xlpm.CSVVal,_xlfn.XLOOKUP($A145,CSV!$A:$A,CSV!D:D,""),
_xlpm.MacVal,_xlfn.XLOOKUP($A145,Output_Mac!$A:$A,Output_Mac!C:C,""),
_xlpm.MyAuditVal,_xlfn.XLOOKUP($A145,My_Audit!$A:$A,My_Audit!C:C,""),
_xlfn.IFS(_xlpm.MyAuditVal&lt;&gt;"",_xlpm.MyAuditVal,_xlpm.MacVal&lt;&gt;"",_xlpm.MacVal,_xlpm.CSVVal&lt;&gt;"",_xlpm.CSVVal
)),"")</f>
        <v/>
      </c>
      <c r="E145" s="40">
        <f>_xlfn.XLOOKUP(A145,My_Audit!A:A,My_Audit!D:D,"")</f>
        <v>0</v>
      </c>
      <c r="F145" s="40" t="str" cm="1">
        <f t="array" ref="F145">IFERROR(_xlfn.LET(
_xlpm.CSVVal,_xlfn.XLOOKUP($A145,CSV!$A:$A,CSV!F:F,""),
_xlpm.MacVal,_xlfn.XLOOKUP($A145,Output_Mac!$A:$A,Output_Mac!E:E,""),
_xlpm.MyAuditVal,_xlfn.XLOOKUP($A145,My_Audit!$A:$A,My_Audit!E:E,""),
_xlfn.IFS(_xlpm.MyAuditVal&lt;&gt;"",_xlpm.MyAuditVal,_xlpm.MacVal&lt;&gt;"",_xlpm.MacVal,_xlpm.CSVVal&lt;&gt;"",_xlpm.CSVVal
)),"")</f>
        <v/>
      </c>
      <c r="G145" s="40" t="str" cm="1">
        <f t="array" ref="G145">IFERROR(_xlfn.LET(
_xlpm.CSVVal,_xlfn.XLOOKUP($A145,CSV!$A:$A,CSV!G:G,""),
_xlpm.MacVal,_xlfn.XLOOKUP($A145,Output_Mac!$A:$A,Output_Mac!F:F,""),
_xlpm.MyAuditVal,_xlfn.XLOOKUP($A145,My_Audit!$A:$A,My_Audit!F:F,""),
_xlfn.IFS(_xlpm.MyAuditVal&lt;&gt;"",_xlpm.MyAuditVal,_xlpm.MacVal&lt;&gt;"",_xlpm.MacVal,_xlpm.CSVVal&lt;&gt;"",PROPER(_xlpm.CSVVal)
)),"")</f>
        <v/>
      </c>
      <c r="H145" s="40" t="str" cm="1">
        <f t="array" ref="H145">IFERROR(_xlfn.LET(
_xlpm.CSVVal,_xlfn.XLOOKUP($A145,CSV!$A:$A,CSV!H:H,""),
_xlpm.MacVal,_xlfn.XLOOKUP($A145,Output_Mac!$A:$A,Output_Mac!H:H,""),
_xlpm.MyAuditVal,_xlfn.XLOOKUP($A145,My_Audit!$A:$A,My_Audit!G:G,""),
_xlfn.IFS(_xlpm.MyAuditVal&lt;&gt;"",_xlpm.MyAuditVal,_xlpm.MacVal&lt;&gt;"",_xlpm.MacVal,_xlpm.CSVVal&lt;&gt;"",_xlpm.CSVVal
)),"")</f>
        <v/>
      </c>
      <c r="I145" s="40" t="str">
        <f>_xlfn.XLOOKUP(A145,Output_Mac!A:A,Output_Mac!I:I,"")</f>
        <v/>
      </c>
      <c r="J145" s="40" t="str" cm="1">
        <f t="array" ref="J145">IFERROR(_xlfn.LET(
_xlpm.CSVVal,_xlfn.XLOOKUP($A145,CSV!$A:$A,CSV!I:I,""),
_xlpm.MacVal,_xlfn.XLOOKUP($A145,Output_Mac!$A:$A,Output_Mac!J:J,""),
_xlpm.MyAuditVal,_xlfn.XLOOKUP($A145,My_Audit!$A:$A,My_Audit!I:I,""),
_xlfn.IFS(_xlpm.MyAuditVal&lt;&gt;"",UPPER(_xlpm.MyAuditVal),_xlpm.MacVal&lt;&gt;"",_xlpm.MacVal,_xlpm.CSVVal&lt;&gt;"",_xlpm.CSVVal
)),"")</f>
        <v/>
      </c>
      <c r="K145" s="40" t="str" cm="1">
        <f t="array" ref="K145">IFERROR(_xlfn.LET(
_xlpm.CSVVal,_xlfn.XLOOKUP($A145,CSV!$A:$A,CSV!K:K,""),
_xlpm.MacVal,_xlfn.XLOOKUP($A145,Output_Mac!$A:$A,Output_Mac!K:K,""),
_xlpm.MyAuditVal,_xlfn.XLOOKUP($A145,My_Audit!$A:$A,My_Audit!J:J,""),
_xlfn.IFS(_xlpm.MyAuditVal&lt;&gt;"",UPPER(_xlpm.MyAuditVal),_xlpm.MacVal&lt;&gt;"",_xlpm.MacVal,_xlpm.CSVVal&lt;&gt;"",_xlpm.CSVVal
)),"")</f>
        <v/>
      </c>
      <c r="L145" s="40" t="str" cm="1">
        <f t="array" ref="L145">IFERROR(_xlfn.LET(
_xlpm.CSVVal,_xlfn.XLOOKUP($A145,CSV!$A:$A,CSV!P:P,""),
_xlpm.MacVal,_xlfn.XLOOKUP($A145,Output_Mac!$A:$A,Output_Mac!L:L,""),
_xlpm.MyAuditVal,_xlfn.XLOOKUP($A145,My_Audit!$A:$A,My_Audit!K:K,""),
_xlfn.IFS(_xlpm.MyAuditVal&lt;&gt;"",UPPER(_xlpm.MyAuditVal),_xlpm.MacVal&lt;&gt;"",_xlpm.MacVal,_xlpm.CSVVal&lt;&gt;"",_xlpm.CSVVal
)),"")</f>
        <v/>
      </c>
      <c r="M145" s="40" t="str" cm="1">
        <f t="array" ref="M145">IFERROR(_xlfn.LET(
_xlpm.CSVVal,_xlfn.XLOOKUP($A145,CSV!$A:$A,CSV!Q:Q,""),
_xlpm.MacVal,_xlfn.XLOOKUP($A145,Output_Mac!$A:$A,Output_Mac!M:M,""),
_xlpm.MyAuditVal,_xlfn.XLOOKUP($A145,My_Audit!$A:$A,My_Audit!L:L,""),
_xlfn.IFS(_xlpm.MyAuditVal&lt;&gt;"",UPPER(_xlpm.MyAuditVal),_xlpm.MacVal&lt;&gt;"",_xlpm.MacVal,_xlpm.CSVVal&lt;&gt;"",_xlpm.CSVVal
)),"")</f>
        <v/>
      </c>
      <c r="N145" s="40"/>
      <c r="O145" s="40" t="str">
        <f>_xlfn.LET(
    _xlpm.CSVVal, _xlfn.XLOOKUP($A145, CSV!$A:$A, CSV!AA:AA, ""),
    _xlpm.MacVal, _xlfn.XLOOKUP($A145, Output_Mac!$A:$A, Output_Mac!S:S, ""),
    _xlpm.MyAuditVal, _xlfn.XLOOKUP($A145, My_Audit!$A:$A, My_Audit!P:P, ""),
    _xlfn.TEXTJOIN(", ", TRUE, _xlpm.MyAuditVal, _xlpm.MacVal, _xlpm.CSVVal)
)</f>
        <v/>
      </c>
      <c r="P145" s="40" t="str" cm="1">
        <f t="array" ref="P145">IFERROR(_xlfn.LET(
_xlpm.CSVVal,_xlfn.XLOOKUP($A145,CSV!$A:$A,CSV!AB:AB,""),
_xlpm.MacVal,_xlfn.XLOOKUP($A145,Output_Mac!$A:$A,Output_Mac!T:T,""),
_xlpm.MyAuditVal,_xlfn.XLOOKUP($A145,My_Audit!$A:$A,My_Audit!Q:Q,""),
_xlfn.IFS(_xlpm.MyAuditVal&lt;&gt;"",UPPER(_xlpm.MyAuditVal),_xlpm.MacVal&lt;&gt;"",_xlpm.MacVal,_xlpm.CSVVal&lt;&gt;"",_xlpm.CSVVal
)),"No")</f>
        <v>No</v>
      </c>
      <c r="Q145" s="40" t="str" cm="1">
        <f t="array" ref="Q145">IFERROR(_xlfn.LET(
_xlpm.CSVVal,_xlfn.XLOOKUP($A145,CSV!$A:$A,CSV!AC:AC,""),
_xlpm.MacVal,_xlfn.XLOOKUP($A145,Output_Mac!$A:$A,Output_Mac!U:U,""),
_xlpm.MyAuditVal,_xlfn.XLOOKUP($A145,My_Audit!$A:$A,My_Audit!R:R,""),
_xlfn.IFS(_xlpm.MyAuditVal&lt;&gt;"",UPPER(_xlpm.MyAuditVal),_xlpm.MacVal&lt;&gt;"",_xlpm.MacVal,_xlpm.CSVVal&lt;&gt;"",_xlpm.CSVVal
)),"")</f>
        <v/>
      </c>
      <c r="R145" s="40"/>
      <c r="S145" s="40"/>
      <c r="T145" s="40"/>
      <c r="U145" s="40"/>
      <c r="V145" s="40"/>
      <c r="W145" s="40"/>
      <c r="X145" s="41" t="str">
        <f>_xlfn.LET(
    _xlpm.MacVal, _xlfn.XLOOKUP($A145, Output_Mac!$A:$A, Output_Mac!AB:AB, ""),
    _xlpm.MyAuditVal, _xlfn.XLOOKUP($A145, My_Audit!$A:$A, My_Audit!N:N, ""),
    _xlfn.TEXTJOIN(", ", TRUE, _xlpm.MyAuditVal, _xlpm.MacVal)
)</f>
        <v/>
      </c>
    </row>
    <row r="146" spans="1:24">
      <c r="A146" s="40" t="str">
        <f>_xlfn.TEXTJOIN("",TRUE,Input!$B$2,ROW(My_Audit!A145))</f>
        <v>X145</v>
      </c>
      <c r="B146" s="40" t="str">
        <f>_xlfn.TEXTJOIN("-",TRUE,"ITD",Input!$A$2,A146)</f>
        <v>ITD-X145</v>
      </c>
      <c r="C146" s="40" t="str" cm="1">
        <f t="array" ref="C146">IFERROR(_xlfn.LET(
_xlpm.CSVVal,_xlfn.XLOOKUP($A146,CSV!$A:$A,CSV!B:B,""),
_xlpm.MacVal,_xlfn.XLOOKUP($A146,Output_Mac!$A:$A,Output_Mac!B:B,""),
_xlpm.MyAuditVal,_xlfn.XLOOKUP($A146,My_Audit!$A:$A,My_Audit!B:B,""),
_xlfn.IFS(_xlpm.MyAuditVal&lt;&gt;"",UPPER(_xlpm.MyAuditVal),_xlpm.MacVal&lt;&gt;"",_xlpm.MacVal,_xlpm.CSVVal&lt;&gt;"",_xlpm.CSVVal
)),"")</f>
        <v/>
      </c>
      <c r="D146" s="40" t="str" cm="1">
        <f t="array" ref="D146">IFERROR(_xlfn.LET(
_xlpm.CSVVal,_xlfn.XLOOKUP($A146,CSV!$A:$A,CSV!D:D,""),
_xlpm.MacVal,_xlfn.XLOOKUP($A146,Output_Mac!$A:$A,Output_Mac!C:C,""),
_xlpm.MyAuditVal,_xlfn.XLOOKUP($A146,My_Audit!$A:$A,My_Audit!C:C,""),
_xlfn.IFS(_xlpm.MyAuditVal&lt;&gt;"",_xlpm.MyAuditVal,_xlpm.MacVal&lt;&gt;"",_xlpm.MacVal,_xlpm.CSVVal&lt;&gt;"",_xlpm.CSVVal
)),"")</f>
        <v/>
      </c>
      <c r="E146" s="40">
        <f>_xlfn.XLOOKUP(A146,My_Audit!A:A,My_Audit!D:D,"")</f>
        <v>0</v>
      </c>
      <c r="F146" s="40" t="str" cm="1">
        <f t="array" ref="F146">IFERROR(_xlfn.LET(
_xlpm.CSVVal,_xlfn.XLOOKUP($A146,CSV!$A:$A,CSV!F:F,""),
_xlpm.MacVal,_xlfn.XLOOKUP($A146,Output_Mac!$A:$A,Output_Mac!E:E,""),
_xlpm.MyAuditVal,_xlfn.XLOOKUP($A146,My_Audit!$A:$A,My_Audit!E:E,""),
_xlfn.IFS(_xlpm.MyAuditVal&lt;&gt;"",_xlpm.MyAuditVal,_xlpm.MacVal&lt;&gt;"",_xlpm.MacVal,_xlpm.CSVVal&lt;&gt;"",_xlpm.CSVVal
)),"")</f>
        <v/>
      </c>
      <c r="G146" s="40" t="str" cm="1">
        <f t="array" ref="G146">IFERROR(_xlfn.LET(
_xlpm.CSVVal,_xlfn.XLOOKUP($A146,CSV!$A:$A,CSV!G:G,""),
_xlpm.MacVal,_xlfn.XLOOKUP($A146,Output_Mac!$A:$A,Output_Mac!F:F,""),
_xlpm.MyAuditVal,_xlfn.XLOOKUP($A146,My_Audit!$A:$A,My_Audit!F:F,""),
_xlfn.IFS(_xlpm.MyAuditVal&lt;&gt;"",_xlpm.MyAuditVal,_xlpm.MacVal&lt;&gt;"",_xlpm.MacVal,_xlpm.CSVVal&lt;&gt;"",PROPER(_xlpm.CSVVal)
)),"")</f>
        <v/>
      </c>
      <c r="H146" s="40" t="str" cm="1">
        <f t="array" ref="H146">IFERROR(_xlfn.LET(
_xlpm.CSVVal,_xlfn.XLOOKUP($A146,CSV!$A:$A,CSV!H:H,""),
_xlpm.MacVal,_xlfn.XLOOKUP($A146,Output_Mac!$A:$A,Output_Mac!H:H,""),
_xlpm.MyAuditVal,_xlfn.XLOOKUP($A146,My_Audit!$A:$A,My_Audit!G:G,""),
_xlfn.IFS(_xlpm.MyAuditVal&lt;&gt;"",_xlpm.MyAuditVal,_xlpm.MacVal&lt;&gt;"",_xlpm.MacVal,_xlpm.CSVVal&lt;&gt;"",_xlpm.CSVVal
)),"")</f>
        <v/>
      </c>
      <c r="I146" s="40" t="str">
        <f>_xlfn.XLOOKUP(A146,Output_Mac!A:A,Output_Mac!I:I,"")</f>
        <v/>
      </c>
      <c r="J146" s="40" t="str" cm="1">
        <f t="array" ref="J146">IFERROR(_xlfn.LET(
_xlpm.CSVVal,_xlfn.XLOOKUP($A146,CSV!$A:$A,CSV!I:I,""),
_xlpm.MacVal,_xlfn.XLOOKUP($A146,Output_Mac!$A:$A,Output_Mac!J:J,""),
_xlpm.MyAuditVal,_xlfn.XLOOKUP($A146,My_Audit!$A:$A,My_Audit!I:I,""),
_xlfn.IFS(_xlpm.MyAuditVal&lt;&gt;"",UPPER(_xlpm.MyAuditVal),_xlpm.MacVal&lt;&gt;"",_xlpm.MacVal,_xlpm.CSVVal&lt;&gt;"",_xlpm.CSVVal
)),"")</f>
        <v/>
      </c>
      <c r="K146" s="40" t="str" cm="1">
        <f t="array" ref="K146">IFERROR(_xlfn.LET(
_xlpm.CSVVal,_xlfn.XLOOKUP($A146,CSV!$A:$A,CSV!K:K,""),
_xlpm.MacVal,_xlfn.XLOOKUP($A146,Output_Mac!$A:$A,Output_Mac!K:K,""),
_xlpm.MyAuditVal,_xlfn.XLOOKUP($A146,My_Audit!$A:$A,My_Audit!J:J,""),
_xlfn.IFS(_xlpm.MyAuditVal&lt;&gt;"",UPPER(_xlpm.MyAuditVal),_xlpm.MacVal&lt;&gt;"",_xlpm.MacVal,_xlpm.CSVVal&lt;&gt;"",_xlpm.CSVVal
)),"")</f>
        <v/>
      </c>
      <c r="L146" s="40" t="str" cm="1">
        <f t="array" ref="L146">IFERROR(_xlfn.LET(
_xlpm.CSVVal,_xlfn.XLOOKUP($A146,CSV!$A:$A,CSV!P:P,""),
_xlpm.MacVal,_xlfn.XLOOKUP($A146,Output_Mac!$A:$A,Output_Mac!L:L,""),
_xlpm.MyAuditVal,_xlfn.XLOOKUP($A146,My_Audit!$A:$A,My_Audit!K:K,""),
_xlfn.IFS(_xlpm.MyAuditVal&lt;&gt;"",UPPER(_xlpm.MyAuditVal),_xlpm.MacVal&lt;&gt;"",_xlpm.MacVal,_xlpm.CSVVal&lt;&gt;"",_xlpm.CSVVal
)),"")</f>
        <v/>
      </c>
      <c r="M146" s="40" t="str" cm="1">
        <f t="array" ref="M146">IFERROR(_xlfn.LET(
_xlpm.CSVVal,_xlfn.XLOOKUP($A146,CSV!$A:$A,CSV!Q:Q,""),
_xlpm.MacVal,_xlfn.XLOOKUP($A146,Output_Mac!$A:$A,Output_Mac!M:M,""),
_xlpm.MyAuditVal,_xlfn.XLOOKUP($A146,My_Audit!$A:$A,My_Audit!L:L,""),
_xlfn.IFS(_xlpm.MyAuditVal&lt;&gt;"",UPPER(_xlpm.MyAuditVal),_xlpm.MacVal&lt;&gt;"",_xlpm.MacVal,_xlpm.CSVVal&lt;&gt;"",_xlpm.CSVVal
)),"")</f>
        <v/>
      </c>
      <c r="N146" s="40"/>
      <c r="O146" s="40" t="str">
        <f>_xlfn.LET(
    _xlpm.CSVVal, _xlfn.XLOOKUP($A146, CSV!$A:$A, CSV!AA:AA, ""),
    _xlpm.MacVal, _xlfn.XLOOKUP($A146, Output_Mac!$A:$A, Output_Mac!S:S, ""),
    _xlpm.MyAuditVal, _xlfn.XLOOKUP($A146, My_Audit!$A:$A, My_Audit!P:P, ""),
    _xlfn.TEXTJOIN(", ", TRUE, _xlpm.MyAuditVal, _xlpm.MacVal, _xlpm.CSVVal)
)</f>
        <v/>
      </c>
      <c r="P146" s="40" t="str" cm="1">
        <f t="array" ref="P146">IFERROR(_xlfn.LET(
_xlpm.CSVVal,_xlfn.XLOOKUP($A146,CSV!$A:$A,CSV!AB:AB,""),
_xlpm.MacVal,_xlfn.XLOOKUP($A146,Output_Mac!$A:$A,Output_Mac!T:T,""),
_xlpm.MyAuditVal,_xlfn.XLOOKUP($A146,My_Audit!$A:$A,My_Audit!Q:Q,""),
_xlfn.IFS(_xlpm.MyAuditVal&lt;&gt;"",UPPER(_xlpm.MyAuditVal),_xlpm.MacVal&lt;&gt;"",_xlpm.MacVal,_xlpm.CSVVal&lt;&gt;"",_xlpm.CSVVal
)),"No")</f>
        <v>No</v>
      </c>
      <c r="Q146" s="40" t="str" cm="1">
        <f t="array" ref="Q146">IFERROR(_xlfn.LET(
_xlpm.CSVVal,_xlfn.XLOOKUP($A146,CSV!$A:$A,CSV!AC:AC,""),
_xlpm.MacVal,_xlfn.XLOOKUP($A146,Output_Mac!$A:$A,Output_Mac!U:U,""),
_xlpm.MyAuditVal,_xlfn.XLOOKUP($A146,My_Audit!$A:$A,My_Audit!R:R,""),
_xlfn.IFS(_xlpm.MyAuditVal&lt;&gt;"",UPPER(_xlpm.MyAuditVal),_xlpm.MacVal&lt;&gt;"",_xlpm.MacVal,_xlpm.CSVVal&lt;&gt;"",_xlpm.CSVVal
)),"")</f>
        <v/>
      </c>
      <c r="R146" s="40"/>
      <c r="S146" s="40"/>
      <c r="T146" s="40"/>
      <c r="U146" s="40"/>
      <c r="V146" s="40"/>
      <c r="W146" s="40"/>
      <c r="X146" s="41" t="str">
        <f>_xlfn.LET(
    _xlpm.MacVal, _xlfn.XLOOKUP($A146, Output_Mac!$A:$A, Output_Mac!AB:AB, ""),
    _xlpm.MyAuditVal, _xlfn.XLOOKUP($A146, My_Audit!$A:$A, My_Audit!N:N, ""),
    _xlfn.TEXTJOIN(", ", TRUE, _xlpm.MyAuditVal, _xlpm.MacVal)
)</f>
        <v/>
      </c>
    </row>
    <row r="147" spans="1:24">
      <c r="A147" s="40" t="str">
        <f>_xlfn.TEXTJOIN("",TRUE,Input!$B$2,ROW(My_Audit!A146))</f>
        <v>X146</v>
      </c>
      <c r="B147" s="40" t="str">
        <f>_xlfn.TEXTJOIN("-",TRUE,"ITD",Input!$A$2,A147)</f>
        <v>ITD-X146</v>
      </c>
      <c r="C147" s="40" t="str" cm="1">
        <f t="array" ref="C147">IFERROR(_xlfn.LET(
_xlpm.CSVVal,_xlfn.XLOOKUP($A147,CSV!$A:$A,CSV!B:B,""),
_xlpm.MacVal,_xlfn.XLOOKUP($A147,Output_Mac!$A:$A,Output_Mac!B:B,""),
_xlpm.MyAuditVal,_xlfn.XLOOKUP($A147,My_Audit!$A:$A,My_Audit!B:B,""),
_xlfn.IFS(_xlpm.MyAuditVal&lt;&gt;"",UPPER(_xlpm.MyAuditVal),_xlpm.MacVal&lt;&gt;"",_xlpm.MacVal,_xlpm.CSVVal&lt;&gt;"",_xlpm.CSVVal
)),"")</f>
        <v/>
      </c>
      <c r="D147" s="40" t="str" cm="1">
        <f t="array" ref="D147">IFERROR(_xlfn.LET(
_xlpm.CSVVal,_xlfn.XLOOKUP($A147,CSV!$A:$A,CSV!D:D,""),
_xlpm.MacVal,_xlfn.XLOOKUP($A147,Output_Mac!$A:$A,Output_Mac!C:C,""),
_xlpm.MyAuditVal,_xlfn.XLOOKUP($A147,My_Audit!$A:$A,My_Audit!C:C,""),
_xlfn.IFS(_xlpm.MyAuditVal&lt;&gt;"",_xlpm.MyAuditVal,_xlpm.MacVal&lt;&gt;"",_xlpm.MacVal,_xlpm.CSVVal&lt;&gt;"",_xlpm.CSVVal
)),"")</f>
        <v/>
      </c>
      <c r="E147" s="40">
        <f>_xlfn.XLOOKUP(A147,My_Audit!A:A,My_Audit!D:D,"")</f>
        <v>0</v>
      </c>
      <c r="F147" s="40" t="str" cm="1">
        <f t="array" ref="F147">IFERROR(_xlfn.LET(
_xlpm.CSVVal,_xlfn.XLOOKUP($A147,CSV!$A:$A,CSV!F:F,""),
_xlpm.MacVal,_xlfn.XLOOKUP($A147,Output_Mac!$A:$A,Output_Mac!E:E,""),
_xlpm.MyAuditVal,_xlfn.XLOOKUP($A147,My_Audit!$A:$A,My_Audit!E:E,""),
_xlfn.IFS(_xlpm.MyAuditVal&lt;&gt;"",_xlpm.MyAuditVal,_xlpm.MacVal&lt;&gt;"",_xlpm.MacVal,_xlpm.CSVVal&lt;&gt;"",_xlpm.CSVVal
)),"")</f>
        <v/>
      </c>
      <c r="G147" s="40" t="str" cm="1">
        <f t="array" ref="G147">IFERROR(_xlfn.LET(
_xlpm.CSVVal,_xlfn.XLOOKUP($A147,CSV!$A:$A,CSV!G:G,""),
_xlpm.MacVal,_xlfn.XLOOKUP($A147,Output_Mac!$A:$A,Output_Mac!F:F,""),
_xlpm.MyAuditVal,_xlfn.XLOOKUP($A147,My_Audit!$A:$A,My_Audit!F:F,""),
_xlfn.IFS(_xlpm.MyAuditVal&lt;&gt;"",_xlpm.MyAuditVal,_xlpm.MacVal&lt;&gt;"",_xlpm.MacVal,_xlpm.CSVVal&lt;&gt;"",PROPER(_xlpm.CSVVal)
)),"")</f>
        <v/>
      </c>
      <c r="H147" s="40" t="str" cm="1">
        <f t="array" ref="H147">IFERROR(_xlfn.LET(
_xlpm.CSVVal,_xlfn.XLOOKUP($A147,CSV!$A:$A,CSV!H:H,""),
_xlpm.MacVal,_xlfn.XLOOKUP($A147,Output_Mac!$A:$A,Output_Mac!H:H,""),
_xlpm.MyAuditVal,_xlfn.XLOOKUP($A147,My_Audit!$A:$A,My_Audit!G:G,""),
_xlfn.IFS(_xlpm.MyAuditVal&lt;&gt;"",_xlpm.MyAuditVal,_xlpm.MacVal&lt;&gt;"",_xlpm.MacVal,_xlpm.CSVVal&lt;&gt;"",_xlpm.CSVVal
)),"")</f>
        <v/>
      </c>
      <c r="I147" s="40" t="str">
        <f>_xlfn.XLOOKUP(A147,Output_Mac!A:A,Output_Mac!I:I,"")</f>
        <v/>
      </c>
      <c r="J147" s="40" t="str" cm="1">
        <f t="array" ref="J147">IFERROR(_xlfn.LET(
_xlpm.CSVVal,_xlfn.XLOOKUP($A147,CSV!$A:$A,CSV!I:I,""),
_xlpm.MacVal,_xlfn.XLOOKUP($A147,Output_Mac!$A:$A,Output_Mac!J:J,""),
_xlpm.MyAuditVal,_xlfn.XLOOKUP($A147,My_Audit!$A:$A,My_Audit!I:I,""),
_xlfn.IFS(_xlpm.MyAuditVal&lt;&gt;"",UPPER(_xlpm.MyAuditVal),_xlpm.MacVal&lt;&gt;"",_xlpm.MacVal,_xlpm.CSVVal&lt;&gt;"",_xlpm.CSVVal
)),"")</f>
        <v/>
      </c>
      <c r="K147" s="40" t="str" cm="1">
        <f t="array" ref="K147">IFERROR(_xlfn.LET(
_xlpm.CSVVal,_xlfn.XLOOKUP($A147,CSV!$A:$A,CSV!K:K,""),
_xlpm.MacVal,_xlfn.XLOOKUP($A147,Output_Mac!$A:$A,Output_Mac!K:K,""),
_xlpm.MyAuditVal,_xlfn.XLOOKUP($A147,My_Audit!$A:$A,My_Audit!J:J,""),
_xlfn.IFS(_xlpm.MyAuditVal&lt;&gt;"",UPPER(_xlpm.MyAuditVal),_xlpm.MacVal&lt;&gt;"",_xlpm.MacVal,_xlpm.CSVVal&lt;&gt;"",_xlpm.CSVVal
)),"")</f>
        <v/>
      </c>
      <c r="L147" s="40" t="str" cm="1">
        <f t="array" ref="L147">IFERROR(_xlfn.LET(
_xlpm.CSVVal,_xlfn.XLOOKUP($A147,CSV!$A:$A,CSV!P:P,""),
_xlpm.MacVal,_xlfn.XLOOKUP($A147,Output_Mac!$A:$A,Output_Mac!L:L,""),
_xlpm.MyAuditVal,_xlfn.XLOOKUP($A147,My_Audit!$A:$A,My_Audit!K:K,""),
_xlfn.IFS(_xlpm.MyAuditVal&lt;&gt;"",UPPER(_xlpm.MyAuditVal),_xlpm.MacVal&lt;&gt;"",_xlpm.MacVal,_xlpm.CSVVal&lt;&gt;"",_xlpm.CSVVal
)),"")</f>
        <v/>
      </c>
      <c r="M147" s="40" t="str" cm="1">
        <f t="array" ref="M147">IFERROR(_xlfn.LET(
_xlpm.CSVVal,_xlfn.XLOOKUP($A147,CSV!$A:$A,CSV!Q:Q,""),
_xlpm.MacVal,_xlfn.XLOOKUP($A147,Output_Mac!$A:$A,Output_Mac!M:M,""),
_xlpm.MyAuditVal,_xlfn.XLOOKUP($A147,My_Audit!$A:$A,My_Audit!L:L,""),
_xlfn.IFS(_xlpm.MyAuditVal&lt;&gt;"",UPPER(_xlpm.MyAuditVal),_xlpm.MacVal&lt;&gt;"",_xlpm.MacVal,_xlpm.CSVVal&lt;&gt;"",_xlpm.CSVVal
)),"")</f>
        <v/>
      </c>
      <c r="N147" s="40"/>
      <c r="O147" s="40" t="str">
        <f>_xlfn.LET(
    _xlpm.CSVVal, _xlfn.XLOOKUP($A147, CSV!$A:$A, CSV!AA:AA, ""),
    _xlpm.MacVal, _xlfn.XLOOKUP($A147, Output_Mac!$A:$A, Output_Mac!S:S, ""),
    _xlpm.MyAuditVal, _xlfn.XLOOKUP($A147, My_Audit!$A:$A, My_Audit!P:P, ""),
    _xlfn.TEXTJOIN(", ", TRUE, _xlpm.MyAuditVal, _xlpm.MacVal, _xlpm.CSVVal)
)</f>
        <v/>
      </c>
      <c r="P147" s="40" t="str" cm="1">
        <f t="array" ref="P147">IFERROR(_xlfn.LET(
_xlpm.CSVVal,_xlfn.XLOOKUP($A147,CSV!$A:$A,CSV!AB:AB,""),
_xlpm.MacVal,_xlfn.XLOOKUP($A147,Output_Mac!$A:$A,Output_Mac!T:T,""),
_xlpm.MyAuditVal,_xlfn.XLOOKUP($A147,My_Audit!$A:$A,My_Audit!Q:Q,""),
_xlfn.IFS(_xlpm.MyAuditVal&lt;&gt;"",UPPER(_xlpm.MyAuditVal),_xlpm.MacVal&lt;&gt;"",_xlpm.MacVal,_xlpm.CSVVal&lt;&gt;"",_xlpm.CSVVal
)),"No")</f>
        <v>No</v>
      </c>
      <c r="Q147" s="40" t="str" cm="1">
        <f t="array" ref="Q147">IFERROR(_xlfn.LET(
_xlpm.CSVVal,_xlfn.XLOOKUP($A147,CSV!$A:$A,CSV!AC:AC,""),
_xlpm.MacVal,_xlfn.XLOOKUP($A147,Output_Mac!$A:$A,Output_Mac!U:U,""),
_xlpm.MyAuditVal,_xlfn.XLOOKUP($A147,My_Audit!$A:$A,My_Audit!R:R,""),
_xlfn.IFS(_xlpm.MyAuditVal&lt;&gt;"",UPPER(_xlpm.MyAuditVal),_xlpm.MacVal&lt;&gt;"",_xlpm.MacVal,_xlpm.CSVVal&lt;&gt;"",_xlpm.CSVVal
)),"")</f>
        <v/>
      </c>
      <c r="R147" s="40"/>
      <c r="S147" s="40"/>
      <c r="T147" s="40"/>
      <c r="U147" s="40"/>
      <c r="V147" s="40"/>
      <c r="W147" s="40"/>
      <c r="X147" s="41" t="str">
        <f>_xlfn.LET(
    _xlpm.MacVal, _xlfn.XLOOKUP($A147, Output_Mac!$A:$A, Output_Mac!AB:AB, ""),
    _xlpm.MyAuditVal, _xlfn.XLOOKUP($A147, My_Audit!$A:$A, My_Audit!N:N, ""),
    _xlfn.TEXTJOIN(", ", TRUE, _xlpm.MyAuditVal, _xlpm.MacVal)
)</f>
        <v/>
      </c>
    </row>
    <row r="148" spans="1:24">
      <c r="A148" s="40" t="str">
        <f>_xlfn.TEXTJOIN("",TRUE,Input!$B$2,ROW(My_Audit!A147))</f>
        <v>X147</v>
      </c>
      <c r="B148" s="40" t="str">
        <f>_xlfn.TEXTJOIN("-",TRUE,"ITD",Input!$A$2,A148)</f>
        <v>ITD-X147</v>
      </c>
      <c r="C148" s="40" t="str" cm="1">
        <f t="array" ref="C148">IFERROR(_xlfn.LET(
_xlpm.CSVVal,_xlfn.XLOOKUP($A148,CSV!$A:$A,CSV!B:B,""),
_xlpm.MacVal,_xlfn.XLOOKUP($A148,Output_Mac!$A:$A,Output_Mac!B:B,""),
_xlpm.MyAuditVal,_xlfn.XLOOKUP($A148,My_Audit!$A:$A,My_Audit!B:B,""),
_xlfn.IFS(_xlpm.MyAuditVal&lt;&gt;"",UPPER(_xlpm.MyAuditVal),_xlpm.MacVal&lt;&gt;"",_xlpm.MacVal,_xlpm.CSVVal&lt;&gt;"",_xlpm.CSVVal
)),"")</f>
        <v/>
      </c>
      <c r="D148" s="40" t="str" cm="1">
        <f t="array" ref="D148">IFERROR(_xlfn.LET(
_xlpm.CSVVal,_xlfn.XLOOKUP($A148,CSV!$A:$A,CSV!D:D,""),
_xlpm.MacVal,_xlfn.XLOOKUP($A148,Output_Mac!$A:$A,Output_Mac!C:C,""),
_xlpm.MyAuditVal,_xlfn.XLOOKUP($A148,My_Audit!$A:$A,My_Audit!C:C,""),
_xlfn.IFS(_xlpm.MyAuditVal&lt;&gt;"",_xlpm.MyAuditVal,_xlpm.MacVal&lt;&gt;"",_xlpm.MacVal,_xlpm.CSVVal&lt;&gt;"",_xlpm.CSVVal
)),"")</f>
        <v/>
      </c>
      <c r="E148" s="40">
        <f>_xlfn.XLOOKUP(A148,My_Audit!A:A,My_Audit!D:D,"")</f>
        <v>0</v>
      </c>
      <c r="F148" s="40" t="str" cm="1">
        <f t="array" ref="F148">IFERROR(_xlfn.LET(
_xlpm.CSVVal,_xlfn.XLOOKUP($A148,CSV!$A:$A,CSV!F:F,""),
_xlpm.MacVal,_xlfn.XLOOKUP($A148,Output_Mac!$A:$A,Output_Mac!E:E,""),
_xlpm.MyAuditVal,_xlfn.XLOOKUP($A148,My_Audit!$A:$A,My_Audit!E:E,""),
_xlfn.IFS(_xlpm.MyAuditVal&lt;&gt;"",_xlpm.MyAuditVal,_xlpm.MacVal&lt;&gt;"",_xlpm.MacVal,_xlpm.CSVVal&lt;&gt;"",_xlpm.CSVVal
)),"")</f>
        <v/>
      </c>
      <c r="G148" s="40" t="str" cm="1">
        <f t="array" ref="G148">IFERROR(_xlfn.LET(
_xlpm.CSVVal,_xlfn.XLOOKUP($A148,CSV!$A:$A,CSV!G:G,""),
_xlpm.MacVal,_xlfn.XLOOKUP($A148,Output_Mac!$A:$A,Output_Mac!F:F,""),
_xlpm.MyAuditVal,_xlfn.XLOOKUP($A148,My_Audit!$A:$A,My_Audit!F:F,""),
_xlfn.IFS(_xlpm.MyAuditVal&lt;&gt;"",_xlpm.MyAuditVal,_xlpm.MacVal&lt;&gt;"",_xlpm.MacVal,_xlpm.CSVVal&lt;&gt;"",PROPER(_xlpm.CSVVal)
)),"")</f>
        <v/>
      </c>
      <c r="H148" s="40" t="str" cm="1">
        <f t="array" ref="H148">IFERROR(_xlfn.LET(
_xlpm.CSVVal,_xlfn.XLOOKUP($A148,CSV!$A:$A,CSV!H:H,""),
_xlpm.MacVal,_xlfn.XLOOKUP($A148,Output_Mac!$A:$A,Output_Mac!H:H,""),
_xlpm.MyAuditVal,_xlfn.XLOOKUP($A148,My_Audit!$A:$A,My_Audit!G:G,""),
_xlfn.IFS(_xlpm.MyAuditVal&lt;&gt;"",_xlpm.MyAuditVal,_xlpm.MacVal&lt;&gt;"",_xlpm.MacVal,_xlpm.CSVVal&lt;&gt;"",_xlpm.CSVVal
)),"")</f>
        <v/>
      </c>
      <c r="I148" s="40" t="str">
        <f>_xlfn.XLOOKUP(A148,Output_Mac!A:A,Output_Mac!I:I,"")</f>
        <v/>
      </c>
      <c r="J148" s="40" t="str" cm="1">
        <f t="array" ref="J148">IFERROR(_xlfn.LET(
_xlpm.CSVVal,_xlfn.XLOOKUP($A148,CSV!$A:$A,CSV!I:I,""),
_xlpm.MacVal,_xlfn.XLOOKUP($A148,Output_Mac!$A:$A,Output_Mac!J:J,""),
_xlpm.MyAuditVal,_xlfn.XLOOKUP($A148,My_Audit!$A:$A,My_Audit!I:I,""),
_xlfn.IFS(_xlpm.MyAuditVal&lt;&gt;"",UPPER(_xlpm.MyAuditVal),_xlpm.MacVal&lt;&gt;"",_xlpm.MacVal,_xlpm.CSVVal&lt;&gt;"",_xlpm.CSVVal
)),"")</f>
        <v/>
      </c>
      <c r="K148" s="40" t="str" cm="1">
        <f t="array" ref="K148">IFERROR(_xlfn.LET(
_xlpm.CSVVal,_xlfn.XLOOKUP($A148,CSV!$A:$A,CSV!K:K,""),
_xlpm.MacVal,_xlfn.XLOOKUP($A148,Output_Mac!$A:$A,Output_Mac!K:K,""),
_xlpm.MyAuditVal,_xlfn.XLOOKUP($A148,My_Audit!$A:$A,My_Audit!J:J,""),
_xlfn.IFS(_xlpm.MyAuditVal&lt;&gt;"",UPPER(_xlpm.MyAuditVal),_xlpm.MacVal&lt;&gt;"",_xlpm.MacVal,_xlpm.CSVVal&lt;&gt;"",_xlpm.CSVVal
)),"")</f>
        <v/>
      </c>
      <c r="L148" s="40" t="str" cm="1">
        <f t="array" ref="L148">IFERROR(_xlfn.LET(
_xlpm.CSVVal,_xlfn.XLOOKUP($A148,CSV!$A:$A,CSV!P:P,""),
_xlpm.MacVal,_xlfn.XLOOKUP($A148,Output_Mac!$A:$A,Output_Mac!L:L,""),
_xlpm.MyAuditVal,_xlfn.XLOOKUP($A148,My_Audit!$A:$A,My_Audit!K:K,""),
_xlfn.IFS(_xlpm.MyAuditVal&lt;&gt;"",UPPER(_xlpm.MyAuditVal),_xlpm.MacVal&lt;&gt;"",_xlpm.MacVal,_xlpm.CSVVal&lt;&gt;"",_xlpm.CSVVal
)),"")</f>
        <v/>
      </c>
      <c r="M148" s="40" t="str" cm="1">
        <f t="array" ref="M148">IFERROR(_xlfn.LET(
_xlpm.CSVVal,_xlfn.XLOOKUP($A148,CSV!$A:$A,CSV!Q:Q,""),
_xlpm.MacVal,_xlfn.XLOOKUP($A148,Output_Mac!$A:$A,Output_Mac!M:M,""),
_xlpm.MyAuditVal,_xlfn.XLOOKUP($A148,My_Audit!$A:$A,My_Audit!L:L,""),
_xlfn.IFS(_xlpm.MyAuditVal&lt;&gt;"",UPPER(_xlpm.MyAuditVal),_xlpm.MacVal&lt;&gt;"",_xlpm.MacVal,_xlpm.CSVVal&lt;&gt;"",_xlpm.CSVVal
)),"")</f>
        <v/>
      </c>
      <c r="N148" s="40"/>
      <c r="O148" s="40" t="str">
        <f>_xlfn.LET(
    _xlpm.CSVVal, _xlfn.XLOOKUP($A148, CSV!$A:$A, CSV!AA:AA, ""),
    _xlpm.MacVal, _xlfn.XLOOKUP($A148, Output_Mac!$A:$A, Output_Mac!S:S, ""),
    _xlpm.MyAuditVal, _xlfn.XLOOKUP($A148, My_Audit!$A:$A, My_Audit!P:P, ""),
    _xlfn.TEXTJOIN(", ", TRUE, _xlpm.MyAuditVal, _xlpm.MacVal, _xlpm.CSVVal)
)</f>
        <v/>
      </c>
      <c r="P148" s="40" t="str" cm="1">
        <f t="array" ref="P148">IFERROR(_xlfn.LET(
_xlpm.CSVVal,_xlfn.XLOOKUP($A148,CSV!$A:$A,CSV!AB:AB,""),
_xlpm.MacVal,_xlfn.XLOOKUP($A148,Output_Mac!$A:$A,Output_Mac!T:T,""),
_xlpm.MyAuditVal,_xlfn.XLOOKUP($A148,My_Audit!$A:$A,My_Audit!Q:Q,""),
_xlfn.IFS(_xlpm.MyAuditVal&lt;&gt;"",UPPER(_xlpm.MyAuditVal),_xlpm.MacVal&lt;&gt;"",_xlpm.MacVal,_xlpm.CSVVal&lt;&gt;"",_xlpm.CSVVal
)),"No")</f>
        <v>No</v>
      </c>
      <c r="Q148" s="40" t="str" cm="1">
        <f t="array" ref="Q148">IFERROR(_xlfn.LET(
_xlpm.CSVVal,_xlfn.XLOOKUP($A148,CSV!$A:$A,CSV!AC:AC,""),
_xlpm.MacVal,_xlfn.XLOOKUP($A148,Output_Mac!$A:$A,Output_Mac!U:U,""),
_xlpm.MyAuditVal,_xlfn.XLOOKUP($A148,My_Audit!$A:$A,My_Audit!R:R,""),
_xlfn.IFS(_xlpm.MyAuditVal&lt;&gt;"",UPPER(_xlpm.MyAuditVal),_xlpm.MacVal&lt;&gt;"",_xlpm.MacVal,_xlpm.CSVVal&lt;&gt;"",_xlpm.CSVVal
)),"")</f>
        <v/>
      </c>
      <c r="R148" s="40"/>
      <c r="S148" s="40"/>
      <c r="T148" s="40"/>
      <c r="U148" s="40"/>
      <c r="V148" s="40"/>
      <c r="W148" s="40"/>
      <c r="X148" s="41" t="str">
        <f>_xlfn.LET(
    _xlpm.MacVal, _xlfn.XLOOKUP($A148, Output_Mac!$A:$A, Output_Mac!AB:AB, ""),
    _xlpm.MyAuditVal, _xlfn.XLOOKUP($A148, My_Audit!$A:$A, My_Audit!N:N, ""),
    _xlfn.TEXTJOIN(", ", TRUE, _xlpm.MyAuditVal, _xlpm.MacVal)
)</f>
        <v/>
      </c>
    </row>
    <row r="149" spans="1:24">
      <c r="A149" s="40" t="str">
        <f>_xlfn.TEXTJOIN("",TRUE,Input!$B$2,ROW(My_Audit!A148))</f>
        <v>X148</v>
      </c>
      <c r="B149" s="40" t="str">
        <f>_xlfn.TEXTJOIN("-",TRUE,"ITD",Input!$A$2,A149)</f>
        <v>ITD-X148</v>
      </c>
      <c r="C149" s="40" t="str" cm="1">
        <f t="array" ref="C149">IFERROR(_xlfn.LET(
_xlpm.CSVVal,_xlfn.XLOOKUP($A149,CSV!$A:$A,CSV!B:B,""),
_xlpm.MacVal,_xlfn.XLOOKUP($A149,Output_Mac!$A:$A,Output_Mac!B:B,""),
_xlpm.MyAuditVal,_xlfn.XLOOKUP($A149,My_Audit!$A:$A,My_Audit!B:B,""),
_xlfn.IFS(_xlpm.MyAuditVal&lt;&gt;"",UPPER(_xlpm.MyAuditVal),_xlpm.MacVal&lt;&gt;"",_xlpm.MacVal,_xlpm.CSVVal&lt;&gt;"",_xlpm.CSVVal
)),"")</f>
        <v/>
      </c>
      <c r="D149" s="40" t="str" cm="1">
        <f t="array" ref="D149">IFERROR(_xlfn.LET(
_xlpm.CSVVal,_xlfn.XLOOKUP($A149,CSV!$A:$A,CSV!D:D,""),
_xlpm.MacVal,_xlfn.XLOOKUP($A149,Output_Mac!$A:$A,Output_Mac!C:C,""),
_xlpm.MyAuditVal,_xlfn.XLOOKUP($A149,My_Audit!$A:$A,My_Audit!C:C,""),
_xlfn.IFS(_xlpm.MyAuditVal&lt;&gt;"",_xlpm.MyAuditVal,_xlpm.MacVal&lt;&gt;"",_xlpm.MacVal,_xlpm.CSVVal&lt;&gt;"",_xlpm.CSVVal
)),"")</f>
        <v/>
      </c>
      <c r="E149" s="40">
        <f>_xlfn.XLOOKUP(A149,My_Audit!A:A,My_Audit!D:D,"")</f>
        <v>0</v>
      </c>
      <c r="F149" s="40" t="str" cm="1">
        <f t="array" ref="F149">IFERROR(_xlfn.LET(
_xlpm.CSVVal,_xlfn.XLOOKUP($A149,CSV!$A:$A,CSV!F:F,""),
_xlpm.MacVal,_xlfn.XLOOKUP($A149,Output_Mac!$A:$A,Output_Mac!E:E,""),
_xlpm.MyAuditVal,_xlfn.XLOOKUP($A149,My_Audit!$A:$A,My_Audit!E:E,""),
_xlfn.IFS(_xlpm.MyAuditVal&lt;&gt;"",_xlpm.MyAuditVal,_xlpm.MacVal&lt;&gt;"",_xlpm.MacVal,_xlpm.CSVVal&lt;&gt;"",_xlpm.CSVVal
)),"")</f>
        <v/>
      </c>
      <c r="G149" s="40" t="str" cm="1">
        <f t="array" ref="G149">IFERROR(_xlfn.LET(
_xlpm.CSVVal,_xlfn.XLOOKUP($A149,CSV!$A:$A,CSV!G:G,""),
_xlpm.MacVal,_xlfn.XLOOKUP($A149,Output_Mac!$A:$A,Output_Mac!F:F,""),
_xlpm.MyAuditVal,_xlfn.XLOOKUP($A149,My_Audit!$A:$A,My_Audit!F:F,""),
_xlfn.IFS(_xlpm.MyAuditVal&lt;&gt;"",_xlpm.MyAuditVal,_xlpm.MacVal&lt;&gt;"",_xlpm.MacVal,_xlpm.CSVVal&lt;&gt;"",PROPER(_xlpm.CSVVal)
)),"")</f>
        <v/>
      </c>
      <c r="H149" s="40" t="str" cm="1">
        <f t="array" ref="H149">IFERROR(_xlfn.LET(
_xlpm.CSVVal,_xlfn.XLOOKUP($A149,CSV!$A:$A,CSV!H:H,""),
_xlpm.MacVal,_xlfn.XLOOKUP($A149,Output_Mac!$A:$A,Output_Mac!H:H,""),
_xlpm.MyAuditVal,_xlfn.XLOOKUP($A149,My_Audit!$A:$A,My_Audit!G:G,""),
_xlfn.IFS(_xlpm.MyAuditVal&lt;&gt;"",_xlpm.MyAuditVal,_xlpm.MacVal&lt;&gt;"",_xlpm.MacVal,_xlpm.CSVVal&lt;&gt;"",_xlpm.CSVVal
)),"")</f>
        <v/>
      </c>
      <c r="I149" s="40" t="str">
        <f>_xlfn.XLOOKUP(A149,Output_Mac!A:A,Output_Mac!I:I,"")</f>
        <v/>
      </c>
      <c r="J149" s="40" t="str" cm="1">
        <f t="array" ref="J149">IFERROR(_xlfn.LET(
_xlpm.CSVVal,_xlfn.XLOOKUP($A149,CSV!$A:$A,CSV!I:I,""),
_xlpm.MacVal,_xlfn.XLOOKUP($A149,Output_Mac!$A:$A,Output_Mac!J:J,""),
_xlpm.MyAuditVal,_xlfn.XLOOKUP($A149,My_Audit!$A:$A,My_Audit!I:I,""),
_xlfn.IFS(_xlpm.MyAuditVal&lt;&gt;"",UPPER(_xlpm.MyAuditVal),_xlpm.MacVal&lt;&gt;"",_xlpm.MacVal,_xlpm.CSVVal&lt;&gt;"",_xlpm.CSVVal
)),"")</f>
        <v/>
      </c>
      <c r="K149" s="40" t="str" cm="1">
        <f t="array" ref="K149">IFERROR(_xlfn.LET(
_xlpm.CSVVal,_xlfn.XLOOKUP($A149,CSV!$A:$A,CSV!K:K,""),
_xlpm.MacVal,_xlfn.XLOOKUP($A149,Output_Mac!$A:$A,Output_Mac!K:K,""),
_xlpm.MyAuditVal,_xlfn.XLOOKUP($A149,My_Audit!$A:$A,My_Audit!J:J,""),
_xlfn.IFS(_xlpm.MyAuditVal&lt;&gt;"",UPPER(_xlpm.MyAuditVal),_xlpm.MacVal&lt;&gt;"",_xlpm.MacVal,_xlpm.CSVVal&lt;&gt;"",_xlpm.CSVVal
)),"")</f>
        <v/>
      </c>
      <c r="L149" s="40" t="str" cm="1">
        <f t="array" ref="L149">IFERROR(_xlfn.LET(
_xlpm.CSVVal,_xlfn.XLOOKUP($A149,CSV!$A:$A,CSV!P:P,""),
_xlpm.MacVal,_xlfn.XLOOKUP($A149,Output_Mac!$A:$A,Output_Mac!L:L,""),
_xlpm.MyAuditVal,_xlfn.XLOOKUP($A149,My_Audit!$A:$A,My_Audit!K:K,""),
_xlfn.IFS(_xlpm.MyAuditVal&lt;&gt;"",UPPER(_xlpm.MyAuditVal),_xlpm.MacVal&lt;&gt;"",_xlpm.MacVal,_xlpm.CSVVal&lt;&gt;"",_xlpm.CSVVal
)),"")</f>
        <v/>
      </c>
      <c r="M149" s="40" t="str" cm="1">
        <f t="array" ref="M149">IFERROR(_xlfn.LET(
_xlpm.CSVVal,_xlfn.XLOOKUP($A149,CSV!$A:$A,CSV!Q:Q,""),
_xlpm.MacVal,_xlfn.XLOOKUP($A149,Output_Mac!$A:$A,Output_Mac!M:M,""),
_xlpm.MyAuditVal,_xlfn.XLOOKUP($A149,My_Audit!$A:$A,My_Audit!L:L,""),
_xlfn.IFS(_xlpm.MyAuditVal&lt;&gt;"",UPPER(_xlpm.MyAuditVal),_xlpm.MacVal&lt;&gt;"",_xlpm.MacVal,_xlpm.CSVVal&lt;&gt;"",_xlpm.CSVVal
)),"")</f>
        <v/>
      </c>
      <c r="N149" s="40"/>
      <c r="O149" s="40" t="str">
        <f>_xlfn.LET(
    _xlpm.CSVVal, _xlfn.XLOOKUP($A149, CSV!$A:$A, CSV!AA:AA, ""),
    _xlpm.MacVal, _xlfn.XLOOKUP($A149, Output_Mac!$A:$A, Output_Mac!S:S, ""),
    _xlpm.MyAuditVal, _xlfn.XLOOKUP($A149, My_Audit!$A:$A, My_Audit!P:P, ""),
    _xlfn.TEXTJOIN(", ", TRUE, _xlpm.MyAuditVal, _xlpm.MacVal, _xlpm.CSVVal)
)</f>
        <v/>
      </c>
      <c r="P149" s="40" t="str" cm="1">
        <f t="array" ref="P149">IFERROR(_xlfn.LET(
_xlpm.CSVVal,_xlfn.XLOOKUP($A149,CSV!$A:$A,CSV!AB:AB,""),
_xlpm.MacVal,_xlfn.XLOOKUP($A149,Output_Mac!$A:$A,Output_Mac!T:T,""),
_xlpm.MyAuditVal,_xlfn.XLOOKUP($A149,My_Audit!$A:$A,My_Audit!Q:Q,""),
_xlfn.IFS(_xlpm.MyAuditVal&lt;&gt;"",UPPER(_xlpm.MyAuditVal),_xlpm.MacVal&lt;&gt;"",_xlpm.MacVal,_xlpm.CSVVal&lt;&gt;"",_xlpm.CSVVal
)),"No")</f>
        <v>No</v>
      </c>
      <c r="Q149" s="40" t="str" cm="1">
        <f t="array" ref="Q149">IFERROR(_xlfn.LET(
_xlpm.CSVVal,_xlfn.XLOOKUP($A149,CSV!$A:$A,CSV!AC:AC,""),
_xlpm.MacVal,_xlfn.XLOOKUP($A149,Output_Mac!$A:$A,Output_Mac!U:U,""),
_xlpm.MyAuditVal,_xlfn.XLOOKUP($A149,My_Audit!$A:$A,My_Audit!R:R,""),
_xlfn.IFS(_xlpm.MyAuditVal&lt;&gt;"",UPPER(_xlpm.MyAuditVal),_xlpm.MacVal&lt;&gt;"",_xlpm.MacVal,_xlpm.CSVVal&lt;&gt;"",_xlpm.CSVVal
)),"")</f>
        <v/>
      </c>
      <c r="R149" s="40"/>
      <c r="S149" s="40"/>
      <c r="T149" s="40"/>
      <c r="U149" s="40"/>
      <c r="V149" s="40"/>
      <c r="W149" s="40"/>
      <c r="X149" s="41" t="str">
        <f>_xlfn.LET(
    _xlpm.MacVal, _xlfn.XLOOKUP($A149, Output_Mac!$A:$A, Output_Mac!AB:AB, ""),
    _xlpm.MyAuditVal, _xlfn.XLOOKUP($A149, My_Audit!$A:$A, My_Audit!N:N, ""),
    _xlfn.TEXTJOIN(", ", TRUE, _xlpm.MyAuditVal, _xlpm.MacVal)
)</f>
        <v/>
      </c>
    </row>
    <row r="150" spans="1:24">
      <c r="A150" s="40" t="str">
        <f>_xlfn.TEXTJOIN("",TRUE,Input!$B$2,ROW(My_Audit!A149))</f>
        <v>X149</v>
      </c>
      <c r="B150" s="40" t="str">
        <f>_xlfn.TEXTJOIN("-",TRUE,"ITD",Input!$A$2,A150)</f>
        <v>ITD-X149</v>
      </c>
      <c r="C150" s="40" t="str" cm="1">
        <f t="array" ref="C150">IFERROR(_xlfn.LET(
_xlpm.CSVVal,_xlfn.XLOOKUP($A150,CSV!$A:$A,CSV!B:B,""),
_xlpm.MacVal,_xlfn.XLOOKUP($A150,Output_Mac!$A:$A,Output_Mac!B:B,""),
_xlpm.MyAuditVal,_xlfn.XLOOKUP($A150,My_Audit!$A:$A,My_Audit!B:B,""),
_xlfn.IFS(_xlpm.MyAuditVal&lt;&gt;"",UPPER(_xlpm.MyAuditVal),_xlpm.MacVal&lt;&gt;"",_xlpm.MacVal,_xlpm.CSVVal&lt;&gt;"",_xlpm.CSVVal
)),"")</f>
        <v/>
      </c>
      <c r="D150" s="40" t="str" cm="1">
        <f t="array" ref="D150">IFERROR(_xlfn.LET(
_xlpm.CSVVal,_xlfn.XLOOKUP($A150,CSV!$A:$A,CSV!D:D,""),
_xlpm.MacVal,_xlfn.XLOOKUP($A150,Output_Mac!$A:$A,Output_Mac!C:C,""),
_xlpm.MyAuditVal,_xlfn.XLOOKUP($A150,My_Audit!$A:$A,My_Audit!C:C,""),
_xlfn.IFS(_xlpm.MyAuditVal&lt;&gt;"",_xlpm.MyAuditVal,_xlpm.MacVal&lt;&gt;"",_xlpm.MacVal,_xlpm.CSVVal&lt;&gt;"",_xlpm.CSVVal
)),"")</f>
        <v/>
      </c>
      <c r="E150" s="40">
        <f>_xlfn.XLOOKUP(A150,My_Audit!A:A,My_Audit!D:D,"")</f>
        <v>0</v>
      </c>
      <c r="F150" s="40" t="str" cm="1">
        <f t="array" ref="F150">IFERROR(_xlfn.LET(
_xlpm.CSVVal,_xlfn.XLOOKUP($A150,CSV!$A:$A,CSV!F:F,""),
_xlpm.MacVal,_xlfn.XLOOKUP($A150,Output_Mac!$A:$A,Output_Mac!E:E,""),
_xlpm.MyAuditVal,_xlfn.XLOOKUP($A150,My_Audit!$A:$A,My_Audit!E:E,""),
_xlfn.IFS(_xlpm.MyAuditVal&lt;&gt;"",_xlpm.MyAuditVal,_xlpm.MacVal&lt;&gt;"",_xlpm.MacVal,_xlpm.CSVVal&lt;&gt;"",_xlpm.CSVVal
)),"")</f>
        <v/>
      </c>
      <c r="G150" s="40" t="str" cm="1">
        <f t="array" ref="G150">IFERROR(_xlfn.LET(
_xlpm.CSVVal,_xlfn.XLOOKUP($A150,CSV!$A:$A,CSV!G:G,""),
_xlpm.MacVal,_xlfn.XLOOKUP($A150,Output_Mac!$A:$A,Output_Mac!F:F,""),
_xlpm.MyAuditVal,_xlfn.XLOOKUP($A150,My_Audit!$A:$A,My_Audit!F:F,""),
_xlfn.IFS(_xlpm.MyAuditVal&lt;&gt;"",_xlpm.MyAuditVal,_xlpm.MacVal&lt;&gt;"",_xlpm.MacVal,_xlpm.CSVVal&lt;&gt;"",PROPER(_xlpm.CSVVal)
)),"")</f>
        <v/>
      </c>
      <c r="H150" s="40" t="str" cm="1">
        <f t="array" ref="H150">IFERROR(_xlfn.LET(
_xlpm.CSVVal,_xlfn.XLOOKUP($A150,CSV!$A:$A,CSV!H:H,""),
_xlpm.MacVal,_xlfn.XLOOKUP($A150,Output_Mac!$A:$A,Output_Mac!H:H,""),
_xlpm.MyAuditVal,_xlfn.XLOOKUP($A150,My_Audit!$A:$A,My_Audit!G:G,""),
_xlfn.IFS(_xlpm.MyAuditVal&lt;&gt;"",_xlpm.MyAuditVal,_xlpm.MacVal&lt;&gt;"",_xlpm.MacVal,_xlpm.CSVVal&lt;&gt;"",_xlpm.CSVVal
)),"")</f>
        <v/>
      </c>
      <c r="I150" s="40" t="str">
        <f>_xlfn.XLOOKUP(A150,Output_Mac!A:A,Output_Mac!I:I,"")</f>
        <v/>
      </c>
      <c r="J150" s="40" t="str" cm="1">
        <f t="array" ref="J150">IFERROR(_xlfn.LET(
_xlpm.CSVVal,_xlfn.XLOOKUP($A150,CSV!$A:$A,CSV!I:I,""),
_xlpm.MacVal,_xlfn.XLOOKUP($A150,Output_Mac!$A:$A,Output_Mac!J:J,""),
_xlpm.MyAuditVal,_xlfn.XLOOKUP($A150,My_Audit!$A:$A,My_Audit!I:I,""),
_xlfn.IFS(_xlpm.MyAuditVal&lt;&gt;"",UPPER(_xlpm.MyAuditVal),_xlpm.MacVal&lt;&gt;"",_xlpm.MacVal,_xlpm.CSVVal&lt;&gt;"",_xlpm.CSVVal
)),"")</f>
        <v/>
      </c>
      <c r="K150" s="40" t="str" cm="1">
        <f t="array" ref="K150">IFERROR(_xlfn.LET(
_xlpm.CSVVal,_xlfn.XLOOKUP($A150,CSV!$A:$A,CSV!K:K,""),
_xlpm.MacVal,_xlfn.XLOOKUP($A150,Output_Mac!$A:$A,Output_Mac!K:K,""),
_xlpm.MyAuditVal,_xlfn.XLOOKUP($A150,My_Audit!$A:$A,My_Audit!J:J,""),
_xlfn.IFS(_xlpm.MyAuditVal&lt;&gt;"",UPPER(_xlpm.MyAuditVal),_xlpm.MacVal&lt;&gt;"",_xlpm.MacVal,_xlpm.CSVVal&lt;&gt;"",_xlpm.CSVVal
)),"")</f>
        <v/>
      </c>
      <c r="L150" s="40" t="str" cm="1">
        <f t="array" ref="L150">IFERROR(_xlfn.LET(
_xlpm.CSVVal,_xlfn.XLOOKUP($A150,CSV!$A:$A,CSV!P:P,""),
_xlpm.MacVal,_xlfn.XLOOKUP($A150,Output_Mac!$A:$A,Output_Mac!L:L,""),
_xlpm.MyAuditVal,_xlfn.XLOOKUP($A150,My_Audit!$A:$A,My_Audit!K:K,""),
_xlfn.IFS(_xlpm.MyAuditVal&lt;&gt;"",UPPER(_xlpm.MyAuditVal),_xlpm.MacVal&lt;&gt;"",_xlpm.MacVal,_xlpm.CSVVal&lt;&gt;"",_xlpm.CSVVal
)),"")</f>
        <v/>
      </c>
      <c r="M150" s="40" t="str" cm="1">
        <f t="array" ref="M150">IFERROR(_xlfn.LET(
_xlpm.CSVVal,_xlfn.XLOOKUP($A150,CSV!$A:$A,CSV!Q:Q,""),
_xlpm.MacVal,_xlfn.XLOOKUP($A150,Output_Mac!$A:$A,Output_Mac!M:M,""),
_xlpm.MyAuditVal,_xlfn.XLOOKUP($A150,My_Audit!$A:$A,My_Audit!L:L,""),
_xlfn.IFS(_xlpm.MyAuditVal&lt;&gt;"",UPPER(_xlpm.MyAuditVal),_xlpm.MacVal&lt;&gt;"",_xlpm.MacVal,_xlpm.CSVVal&lt;&gt;"",_xlpm.CSVVal
)),"")</f>
        <v/>
      </c>
      <c r="N150" s="40"/>
      <c r="O150" s="40" t="str">
        <f>_xlfn.LET(
    _xlpm.CSVVal, _xlfn.XLOOKUP($A150, CSV!$A:$A, CSV!AA:AA, ""),
    _xlpm.MacVal, _xlfn.XLOOKUP($A150, Output_Mac!$A:$A, Output_Mac!S:S, ""),
    _xlpm.MyAuditVal, _xlfn.XLOOKUP($A150, My_Audit!$A:$A, My_Audit!P:P, ""),
    _xlfn.TEXTJOIN(", ", TRUE, _xlpm.MyAuditVal, _xlpm.MacVal, _xlpm.CSVVal)
)</f>
        <v/>
      </c>
      <c r="P150" s="40" t="str" cm="1">
        <f t="array" ref="P150">IFERROR(_xlfn.LET(
_xlpm.CSVVal,_xlfn.XLOOKUP($A150,CSV!$A:$A,CSV!AB:AB,""),
_xlpm.MacVal,_xlfn.XLOOKUP($A150,Output_Mac!$A:$A,Output_Mac!T:T,""),
_xlpm.MyAuditVal,_xlfn.XLOOKUP($A150,My_Audit!$A:$A,My_Audit!Q:Q,""),
_xlfn.IFS(_xlpm.MyAuditVal&lt;&gt;"",UPPER(_xlpm.MyAuditVal),_xlpm.MacVal&lt;&gt;"",_xlpm.MacVal,_xlpm.CSVVal&lt;&gt;"",_xlpm.CSVVal
)),"No")</f>
        <v>No</v>
      </c>
      <c r="Q150" s="40" t="str" cm="1">
        <f t="array" ref="Q150">IFERROR(_xlfn.LET(
_xlpm.CSVVal,_xlfn.XLOOKUP($A150,CSV!$A:$A,CSV!AC:AC,""),
_xlpm.MacVal,_xlfn.XLOOKUP($A150,Output_Mac!$A:$A,Output_Mac!U:U,""),
_xlpm.MyAuditVal,_xlfn.XLOOKUP($A150,My_Audit!$A:$A,My_Audit!R:R,""),
_xlfn.IFS(_xlpm.MyAuditVal&lt;&gt;"",UPPER(_xlpm.MyAuditVal),_xlpm.MacVal&lt;&gt;"",_xlpm.MacVal,_xlpm.CSVVal&lt;&gt;"",_xlpm.CSVVal
)),"")</f>
        <v/>
      </c>
      <c r="R150" s="40"/>
      <c r="S150" s="40"/>
      <c r="T150" s="40"/>
      <c r="U150" s="40"/>
      <c r="V150" s="40"/>
      <c r="W150" s="40"/>
      <c r="X150" s="41" t="str">
        <f>_xlfn.LET(
    _xlpm.MacVal, _xlfn.XLOOKUP($A150, Output_Mac!$A:$A, Output_Mac!AB:AB, ""),
    _xlpm.MyAuditVal, _xlfn.XLOOKUP($A150, My_Audit!$A:$A, My_Audit!N:N, ""),
    _xlfn.TEXTJOIN(", ", TRUE, _xlpm.MyAuditVal, _xlpm.MacVal)
)</f>
        <v/>
      </c>
    </row>
    <row r="151" spans="1:24">
      <c r="A151" s="40" t="str">
        <f>_xlfn.TEXTJOIN("",TRUE,Input!$B$2,ROW(My_Audit!A150))</f>
        <v>X150</v>
      </c>
      <c r="B151" s="40" t="str">
        <f>_xlfn.TEXTJOIN("-",TRUE,"ITD",Input!$A$2,A151)</f>
        <v>ITD-X150</v>
      </c>
      <c r="C151" s="40" t="str" cm="1">
        <f t="array" ref="C151">IFERROR(_xlfn.LET(
_xlpm.CSVVal,_xlfn.XLOOKUP($A151,CSV!$A:$A,CSV!B:B,""),
_xlpm.MacVal,_xlfn.XLOOKUP($A151,Output_Mac!$A:$A,Output_Mac!B:B,""),
_xlpm.MyAuditVal,_xlfn.XLOOKUP($A151,My_Audit!$A:$A,My_Audit!B:B,""),
_xlfn.IFS(_xlpm.MyAuditVal&lt;&gt;"",UPPER(_xlpm.MyAuditVal),_xlpm.MacVal&lt;&gt;"",_xlpm.MacVal,_xlpm.CSVVal&lt;&gt;"",_xlpm.CSVVal
)),"")</f>
        <v/>
      </c>
      <c r="D151" s="40" t="str" cm="1">
        <f t="array" ref="D151">IFERROR(_xlfn.LET(
_xlpm.CSVVal,_xlfn.XLOOKUP($A151,CSV!$A:$A,CSV!D:D,""),
_xlpm.MacVal,_xlfn.XLOOKUP($A151,Output_Mac!$A:$A,Output_Mac!C:C,""),
_xlpm.MyAuditVal,_xlfn.XLOOKUP($A151,My_Audit!$A:$A,My_Audit!C:C,""),
_xlfn.IFS(_xlpm.MyAuditVal&lt;&gt;"",_xlpm.MyAuditVal,_xlpm.MacVal&lt;&gt;"",_xlpm.MacVal,_xlpm.CSVVal&lt;&gt;"",_xlpm.CSVVal
)),"")</f>
        <v/>
      </c>
      <c r="E151" s="40">
        <f>_xlfn.XLOOKUP(A151,My_Audit!A:A,My_Audit!D:D,"")</f>
        <v>0</v>
      </c>
      <c r="F151" s="40" t="str" cm="1">
        <f t="array" ref="F151">IFERROR(_xlfn.LET(
_xlpm.CSVVal,_xlfn.XLOOKUP($A151,CSV!$A:$A,CSV!F:F,""),
_xlpm.MacVal,_xlfn.XLOOKUP($A151,Output_Mac!$A:$A,Output_Mac!E:E,""),
_xlpm.MyAuditVal,_xlfn.XLOOKUP($A151,My_Audit!$A:$A,My_Audit!E:E,""),
_xlfn.IFS(_xlpm.MyAuditVal&lt;&gt;"",_xlpm.MyAuditVal,_xlpm.MacVal&lt;&gt;"",_xlpm.MacVal,_xlpm.CSVVal&lt;&gt;"",_xlpm.CSVVal
)),"")</f>
        <v/>
      </c>
      <c r="G151" s="40" t="str" cm="1">
        <f t="array" ref="G151">IFERROR(_xlfn.LET(
_xlpm.CSVVal,_xlfn.XLOOKUP($A151,CSV!$A:$A,CSV!G:G,""),
_xlpm.MacVal,_xlfn.XLOOKUP($A151,Output_Mac!$A:$A,Output_Mac!F:F,""),
_xlpm.MyAuditVal,_xlfn.XLOOKUP($A151,My_Audit!$A:$A,My_Audit!F:F,""),
_xlfn.IFS(_xlpm.MyAuditVal&lt;&gt;"",_xlpm.MyAuditVal,_xlpm.MacVal&lt;&gt;"",_xlpm.MacVal,_xlpm.CSVVal&lt;&gt;"",PROPER(_xlpm.CSVVal)
)),"")</f>
        <v/>
      </c>
      <c r="H151" s="40" t="str" cm="1">
        <f t="array" ref="H151">IFERROR(_xlfn.LET(
_xlpm.CSVVal,_xlfn.XLOOKUP($A151,CSV!$A:$A,CSV!H:H,""),
_xlpm.MacVal,_xlfn.XLOOKUP($A151,Output_Mac!$A:$A,Output_Mac!H:H,""),
_xlpm.MyAuditVal,_xlfn.XLOOKUP($A151,My_Audit!$A:$A,My_Audit!G:G,""),
_xlfn.IFS(_xlpm.MyAuditVal&lt;&gt;"",_xlpm.MyAuditVal,_xlpm.MacVal&lt;&gt;"",_xlpm.MacVal,_xlpm.CSVVal&lt;&gt;"",_xlpm.CSVVal
)),"")</f>
        <v/>
      </c>
      <c r="I151" s="40" t="str">
        <f>_xlfn.XLOOKUP(A151,Output_Mac!A:A,Output_Mac!I:I,"")</f>
        <v/>
      </c>
      <c r="J151" s="40" t="str" cm="1">
        <f t="array" ref="J151">IFERROR(_xlfn.LET(
_xlpm.CSVVal,_xlfn.XLOOKUP($A151,CSV!$A:$A,CSV!I:I,""),
_xlpm.MacVal,_xlfn.XLOOKUP($A151,Output_Mac!$A:$A,Output_Mac!J:J,""),
_xlpm.MyAuditVal,_xlfn.XLOOKUP($A151,My_Audit!$A:$A,My_Audit!I:I,""),
_xlfn.IFS(_xlpm.MyAuditVal&lt;&gt;"",UPPER(_xlpm.MyAuditVal),_xlpm.MacVal&lt;&gt;"",_xlpm.MacVal,_xlpm.CSVVal&lt;&gt;"",_xlpm.CSVVal
)),"")</f>
        <v/>
      </c>
      <c r="K151" s="40" t="str" cm="1">
        <f t="array" ref="K151">IFERROR(_xlfn.LET(
_xlpm.CSVVal,_xlfn.XLOOKUP($A151,CSV!$A:$A,CSV!K:K,""),
_xlpm.MacVal,_xlfn.XLOOKUP($A151,Output_Mac!$A:$A,Output_Mac!K:K,""),
_xlpm.MyAuditVal,_xlfn.XLOOKUP($A151,My_Audit!$A:$A,My_Audit!J:J,""),
_xlfn.IFS(_xlpm.MyAuditVal&lt;&gt;"",UPPER(_xlpm.MyAuditVal),_xlpm.MacVal&lt;&gt;"",_xlpm.MacVal,_xlpm.CSVVal&lt;&gt;"",_xlpm.CSVVal
)),"")</f>
        <v/>
      </c>
      <c r="L151" s="40" t="str" cm="1">
        <f t="array" ref="L151">IFERROR(_xlfn.LET(
_xlpm.CSVVal,_xlfn.XLOOKUP($A151,CSV!$A:$A,CSV!P:P,""),
_xlpm.MacVal,_xlfn.XLOOKUP($A151,Output_Mac!$A:$A,Output_Mac!L:L,""),
_xlpm.MyAuditVal,_xlfn.XLOOKUP($A151,My_Audit!$A:$A,My_Audit!K:K,""),
_xlfn.IFS(_xlpm.MyAuditVal&lt;&gt;"",UPPER(_xlpm.MyAuditVal),_xlpm.MacVal&lt;&gt;"",_xlpm.MacVal,_xlpm.CSVVal&lt;&gt;"",_xlpm.CSVVal
)),"")</f>
        <v/>
      </c>
      <c r="M151" s="40" t="str" cm="1">
        <f t="array" ref="M151">IFERROR(_xlfn.LET(
_xlpm.CSVVal,_xlfn.XLOOKUP($A151,CSV!$A:$A,CSV!Q:Q,""),
_xlpm.MacVal,_xlfn.XLOOKUP($A151,Output_Mac!$A:$A,Output_Mac!M:M,""),
_xlpm.MyAuditVal,_xlfn.XLOOKUP($A151,My_Audit!$A:$A,My_Audit!L:L,""),
_xlfn.IFS(_xlpm.MyAuditVal&lt;&gt;"",UPPER(_xlpm.MyAuditVal),_xlpm.MacVal&lt;&gt;"",_xlpm.MacVal,_xlpm.CSVVal&lt;&gt;"",_xlpm.CSVVal
)),"")</f>
        <v/>
      </c>
      <c r="N151" s="40"/>
      <c r="O151" s="40" t="str">
        <f>_xlfn.LET(
    _xlpm.CSVVal, _xlfn.XLOOKUP($A151, CSV!$A:$A, CSV!AA:AA, ""),
    _xlpm.MacVal, _xlfn.XLOOKUP($A151, Output_Mac!$A:$A, Output_Mac!S:S, ""),
    _xlpm.MyAuditVal, _xlfn.XLOOKUP($A151, My_Audit!$A:$A, My_Audit!P:P, ""),
    _xlfn.TEXTJOIN(", ", TRUE, _xlpm.MyAuditVal, _xlpm.MacVal, _xlpm.CSVVal)
)</f>
        <v/>
      </c>
      <c r="P151" s="40" t="str" cm="1">
        <f t="array" ref="P151">IFERROR(_xlfn.LET(
_xlpm.CSVVal,_xlfn.XLOOKUP($A151,CSV!$A:$A,CSV!AB:AB,""),
_xlpm.MacVal,_xlfn.XLOOKUP($A151,Output_Mac!$A:$A,Output_Mac!T:T,""),
_xlpm.MyAuditVal,_xlfn.XLOOKUP($A151,My_Audit!$A:$A,My_Audit!Q:Q,""),
_xlfn.IFS(_xlpm.MyAuditVal&lt;&gt;"",UPPER(_xlpm.MyAuditVal),_xlpm.MacVal&lt;&gt;"",_xlpm.MacVal,_xlpm.CSVVal&lt;&gt;"",_xlpm.CSVVal
)),"No")</f>
        <v>No</v>
      </c>
      <c r="Q151" s="40" t="str" cm="1">
        <f t="array" ref="Q151">IFERROR(_xlfn.LET(
_xlpm.CSVVal,_xlfn.XLOOKUP($A151,CSV!$A:$A,CSV!AC:AC,""),
_xlpm.MacVal,_xlfn.XLOOKUP($A151,Output_Mac!$A:$A,Output_Mac!U:U,""),
_xlpm.MyAuditVal,_xlfn.XLOOKUP($A151,My_Audit!$A:$A,My_Audit!R:R,""),
_xlfn.IFS(_xlpm.MyAuditVal&lt;&gt;"",UPPER(_xlpm.MyAuditVal),_xlpm.MacVal&lt;&gt;"",_xlpm.MacVal,_xlpm.CSVVal&lt;&gt;"",_xlpm.CSVVal
)),"")</f>
        <v/>
      </c>
      <c r="R151" s="40"/>
      <c r="S151" s="40"/>
      <c r="T151" s="40"/>
      <c r="U151" s="40"/>
      <c r="V151" s="40"/>
      <c r="W151" s="40"/>
      <c r="X151" s="41" t="str">
        <f>_xlfn.LET(
    _xlpm.MacVal, _xlfn.XLOOKUP($A151, Output_Mac!$A:$A, Output_Mac!AB:AB, ""),
    _xlpm.MyAuditVal, _xlfn.XLOOKUP($A151, My_Audit!$A:$A, My_Audit!N:N, ""),
    _xlfn.TEXTJOIN(", ", TRUE, _xlpm.MyAuditVal, _xlpm.MacVal)
)</f>
        <v/>
      </c>
    </row>
    <row r="152" spans="1:24">
      <c r="A152" s="40" t="str">
        <f>_xlfn.TEXTJOIN("",TRUE,Input!$B$2,ROW(My_Audit!A151))</f>
        <v>X151</v>
      </c>
      <c r="B152" s="40" t="str">
        <f>_xlfn.TEXTJOIN("-",TRUE,"ITD",Input!$A$2,A152)</f>
        <v>ITD-X151</v>
      </c>
      <c r="C152" s="40" t="str" cm="1">
        <f t="array" ref="C152">IFERROR(_xlfn.LET(
_xlpm.CSVVal,_xlfn.XLOOKUP($A152,CSV!$A:$A,CSV!B:B,""),
_xlpm.MacVal,_xlfn.XLOOKUP($A152,Output_Mac!$A:$A,Output_Mac!B:B,""),
_xlpm.MyAuditVal,_xlfn.XLOOKUP($A152,My_Audit!$A:$A,My_Audit!B:B,""),
_xlfn.IFS(_xlpm.MyAuditVal&lt;&gt;"",UPPER(_xlpm.MyAuditVal),_xlpm.MacVal&lt;&gt;"",_xlpm.MacVal,_xlpm.CSVVal&lt;&gt;"",_xlpm.CSVVal
)),"")</f>
        <v/>
      </c>
      <c r="D152" s="40" t="str" cm="1">
        <f t="array" ref="D152">IFERROR(_xlfn.LET(
_xlpm.CSVVal,_xlfn.XLOOKUP($A152,CSV!$A:$A,CSV!D:D,""),
_xlpm.MacVal,_xlfn.XLOOKUP($A152,Output_Mac!$A:$A,Output_Mac!C:C,""),
_xlpm.MyAuditVal,_xlfn.XLOOKUP($A152,My_Audit!$A:$A,My_Audit!C:C,""),
_xlfn.IFS(_xlpm.MyAuditVal&lt;&gt;"",_xlpm.MyAuditVal,_xlpm.MacVal&lt;&gt;"",_xlpm.MacVal,_xlpm.CSVVal&lt;&gt;"",_xlpm.CSVVal
)),"")</f>
        <v/>
      </c>
      <c r="E152" s="40">
        <f>_xlfn.XLOOKUP(A152,My_Audit!A:A,My_Audit!D:D,"")</f>
        <v>0</v>
      </c>
      <c r="F152" s="40" t="str" cm="1">
        <f t="array" ref="F152">IFERROR(_xlfn.LET(
_xlpm.CSVVal,_xlfn.XLOOKUP($A152,CSV!$A:$A,CSV!F:F,""),
_xlpm.MacVal,_xlfn.XLOOKUP($A152,Output_Mac!$A:$A,Output_Mac!E:E,""),
_xlpm.MyAuditVal,_xlfn.XLOOKUP($A152,My_Audit!$A:$A,My_Audit!E:E,""),
_xlfn.IFS(_xlpm.MyAuditVal&lt;&gt;"",_xlpm.MyAuditVal,_xlpm.MacVal&lt;&gt;"",_xlpm.MacVal,_xlpm.CSVVal&lt;&gt;"",_xlpm.CSVVal
)),"")</f>
        <v/>
      </c>
      <c r="G152" s="40" t="str" cm="1">
        <f t="array" ref="G152">IFERROR(_xlfn.LET(
_xlpm.CSVVal,_xlfn.XLOOKUP($A152,CSV!$A:$A,CSV!G:G,""),
_xlpm.MacVal,_xlfn.XLOOKUP($A152,Output_Mac!$A:$A,Output_Mac!F:F,""),
_xlpm.MyAuditVal,_xlfn.XLOOKUP($A152,My_Audit!$A:$A,My_Audit!F:F,""),
_xlfn.IFS(_xlpm.MyAuditVal&lt;&gt;"",_xlpm.MyAuditVal,_xlpm.MacVal&lt;&gt;"",_xlpm.MacVal,_xlpm.CSVVal&lt;&gt;"",PROPER(_xlpm.CSVVal)
)),"")</f>
        <v/>
      </c>
      <c r="H152" s="40" t="str" cm="1">
        <f t="array" ref="H152">IFERROR(_xlfn.LET(
_xlpm.CSVVal,_xlfn.XLOOKUP($A152,CSV!$A:$A,CSV!H:H,""),
_xlpm.MacVal,_xlfn.XLOOKUP($A152,Output_Mac!$A:$A,Output_Mac!H:H,""),
_xlpm.MyAuditVal,_xlfn.XLOOKUP($A152,My_Audit!$A:$A,My_Audit!G:G,""),
_xlfn.IFS(_xlpm.MyAuditVal&lt;&gt;"",_xlpm.MyAuditVal,_xlpm.MacVal&lt;&gt;"",_xlpm.MacVal,_xlpm.CSVVal&lt;&gt;"",_xlpm.CSVVal
)),"")</f>
        <v/>
      </c>
      <c r="I152" s="40" t="str">
        <f>_xlfn.XLOOKUP(A152,Output_Mac!A:A,Output_Mac!I:I,"")</f>
        <v/>
      </c>
      <c r="J152" s="40" t="str" cm="1">
        <f t="array" ref="J152">IFERROR(_xlfn.LET(
_xlpm.CSVVal,_xlfn.XLOOKUP($A152,CSV!$A:$A,CSV!I:I,""),
_xlpm.MacVal,_xlfn.XLOOKUP($A152,Output_Mac!$A:$A,Output_Mac!J:J,""),
_xlpm.MyAuditVal,_xlfn.XLOOKUP($A152,My_Audit!$A:$A,My_Audit!I:I,""),
_xlfn.IFS(_xlpm.MyAuditVal&lt;&gt;"",UPPER(_xlpm.MyAuditVal),_xlpm.MacVal&lt;&gt;"",_xlpm.MacVal,_xlpm.CSVVal&lt;&gt;"",_xlpm.CSVVal
)),"")</f>
        <v/>
      </c>
      <c r="K152" s="40" t="str" cm="1">
        <f t="array" ref="K152">IFERROR(_xlfn.LET(
_xlpm.CSVVal,_xlfn.XLOOKUP($A152,CSV!$A:$A,CSV!K:K,""),
_xlpm.MacVal,_xlfn.XLOOKUP($A152,Output_Mac!$A:$A,Output_Mac!K:K,""),
_xlpm.MyAuditVal,_xlfn.XLOOKUP($A152,My_Audit!$A:$A,My_Audit!J:J,""),
_xlfn.IFS(_xlpm.MyAuditVal&lt;&gt;"",UPPER(_xlpm.MyAuditVal),_xlpm.MacVal&lt;&gt;"",_xlpm.MacVal,_xlpm.CSVVal&lt;&gt;"",_xlpm.CSVVal
)),"")</f>
        <v/>
      </c>
      <c r="L152" s="40" t="str" cm="1">
        <f t="array" ref="L152">IFERROR(_xlfn.LET(
_xlpm.CSVVal,_xlfn.XLOOKUP($A152,CSV!$A:$A,CSV!P:P,""),
_xlpm.MacVal,_xlfn.XLOOKUP($A152,Output_Mac!$A:$A,Output_Mac!L:L,""),
_xlpm.MyAuditVal,_xlfn.XLOOKUP($A152,My_Audit!$A:$A,My_Audit!K:K,""),
_xlfn.IFS(_xlpm.MyAuditVal&lt;&gt;"",UPPER(_xlpm.MyAuditVal),_xlpm.MacVal&lt;&gt;"",_xlpm.MacVal,_xlpm.CSVVal&lt;&gt;"",_xlpm.CSVVal
)),"")</f>
        <v/>
      </c>
      <c r="M152" s="40" t="str" cm="1">
        <f t="array" ref="M152">IFERROR(_xlfn.LET(
_xlpm.CSVVal,_xlfn.XLOOKUP($A152,CSV!$A:$A,CSV!Q:Q,""),
_xlpm.MacVal,_xlfn.XLOOKUP($A152,Output_Mac!$A:$A,Output_Mac!M:M,""),
_xlpm.MyAuditVal,_xlfn.XLOOKUP($A152,My_Audit!$A:$A,My_Audit!L:L,""),
_xlfn.IFS(_xlpm.MyAuditVal&lt;&gt;"",UPPER(_xlpm.MyAuditVal),_xlpm.MacVal&lt;&gt;"",_xlpm.MacVal,_xlpm.CSVVal&lt;&gt;"",_xlpm.CSVVal
)),"")</f>
        <v/>
      </c>
      <c r="N152" s="40"/>
      <c r="O152" s="40" t="str">
        <f>_xlfn.LET(
    _xlpm.CSVVal, _xlfn.XLOOKUP($A152, CSV!$A:$A, CSV!AA:AA, ""),
    _xlpm.MacVal, _xlfn.XLOOKUP($A152, Output_Mac!$A:$A, Output_Mac!S:S, ""),
    _xlpm.MyAuditVal, _xlfn.XLOOKUP($A152, My_Audit!$A:$A, My_Audit!P:P, ""),
    _xlfn.TEXTJOIN(", ", TRUE, _xlpm.MyAuditVal, _xlpm.MacVal, _xlpm.CSVVal)
)</f>
        <v/>
      </c>
      <c r="P152" s="40" t="str" cm="1">
        <f t="array" ref="P152">IFERROR(_xlfn.LET(
_xlpm.CSVVal,_xlfn.XLOOKUP($A152,CSV!$A:$A,CSV!AB:AB,""),
_xlpm.MacVal,_xlfn.XLOOKUP($A152,Output_Mac!$A:$A,Output_Mac!T:T,""),
_xlpm.MyAuditVal,_xlfn.XLOOKUP($A152,My_Audit!$A:$A,My_Audit!Q:Q,""),
_xlfn.IFS(_xlpm.MyAuditVal&lt;&gt;"",UPPER(_xlpm.MyAuditVal),_xlpm.MacVal&lt;&gt;"",_xlpm.MacVal,_xlpm.CSVVal&lt;&gt;"",_xlpm.CSVVal
)),"No")</f>
        <v>No</v>
      </c>
      <c r="Q152" s="40" t="str" cm="1">
        <f t="array" ref="Q152">IFERROR(_xlfn.LET(
_xlpm.CSVVal,_xlfn.XLOOKUP($A152,CSV!$A:$A,CSV!AC:AC,""),
_xlpm.MacVal,_xlfn.XLOOKUP($A152,Output_Mac!$A:$A,Output_Mac!U:U,""),
_xlpm.MyAuditVal,_xlfn.XLOOKUP($A152,My_Audit!$A:$A,My_Audit!R:R,""),
_xlfn.IFS(_xlpm.MyAuditVal&lt;&gt;"",UPPER(_xlpm.MyAuditVal),_xlpm.MacVal&lt;&gt;"",_xlpm.MacVal,_xlpm.CSVVal&lt;&gt;"",_xlpm.CSVVal
)),"")</f>
        <v/>
      </c>
      <c r="R152" s="40"/>
      <c r="S152" s="40"/>
      <c r="T152" s="40"/>
      <c r="U152" s="40"/>
      <c r="V152" s="40"/>
      <c r="W152" s="40"/>
      <c r="X152" s="41" t="str">
        <f>_xlfn.LET(
    _xlpm.MacVal, _xlfn.XLOOKUP($A152, Output_Mac!$A:$A, Output_Mac!AB:AB, ""),
    _xlpm.MyAuditVal, _xlfn.XLOOKUP($A152, My_Audit!$A:$A, My_Audit!N:N, ""),
    _xlfn.TEXTJOIN(", ", TRUE, _xlpm.MyAuditVal, _xlpm.MacVal)
)</f>
        <v/>
      </c>
    </row>
    <row r="153" spans="1:24">
      <c r="A153" s="40" t="str">
        <f>_xlfn.TEXTJOIN("",TRUE,Input!$B$2,ROW(My_Audit!A152))</f>
        <v>X152</v>
      </c>
      <c r="B153" s="40" t="str">
        <f>_xlfn.TEXTJOIN("-",TRUE,"ITD",Input!$A$2,A153)</f>
        <v>ITD-X152</v>
      </c>
      <c r="C153" s="40" t="str" cm="1">
        <f t="array" ref="C153">IFERROR(_xlfn.LET(
_xlpm.CSVVal,_xlfn.XLOOKUP($A153,CSV!$A:$A,CSV!B:B,""),
_xlpm.MacVal,_xlfn.XLOOKUP($A153,Output_Mac!$A:$A,Output_Mac!B:B,""),
_xlpm.MyAuditVal,_xlfn.XLOOKUP($A153,My_Audit!$A:$A,My_Audit!B:B,""),
_xlfn.IFS(_xlpm.MyAuditVal&lt;&gt;"",UPPER(_xlpm.MyAuditVal),_xlpm.MacVal&lt;&gt;"",_xlpm.MacVal,_xlpm.CSVVal&lt;&gt;"",_xlpm.CSVVal
)),"")</f>
        <v/>
      </c>
      <c r="D153" s="40" t="str" cm="1">
        <f t="array" ref="D153">IFERROR(_xlfn.LET(
_xlpm.CSVVal,_xlfn.XLOOKUP($A153,CSV!$A:$A,CSV!D:D,""),
_xlpm.MacVal,_xlfn.XLOOKUP($A153,Output_Mac!$A:$A,Output_Mac!C:C,""),
_xlpm.MyAuditVal,_xlfn.XLOOKUP($A153,My_Audit!$A:$A,My_Audit!C:C,""),
_xlfn.IFS(_xlpm.MyAuditVal&lt;&gt;"",_xlpm.MyAuditVal,_xlpm.MacVal&lt;&gt;"",_xlpm.MacVal,_xlpm.CSVVal&lt;&gt;"",_xlpm.CSVVal
)),"")</f>
        <v/>
      </c>
      <c r="E153" s="40">
        <f>_xlfn.XLOOKUP(A153,My_Audit!A:A,My_Audit!D:D,"")</f>
        <v>0</v>
      </c>
      <c r="F153" s="40" t="str" cm="1">
        <f t="array" ref="F153">IFERROR(_xlfn.LET(
_xlpm.CSVVal,_xlfn.XLOOKUP($A153,CSV!$A:$A,CSV!F:F,""),
_xlpm.MacVal,_xlfn.XLOOKUP($A153,Output_Mac!$A:$A,Output_Mac!E:E,""),
_xlpm.MyAuditVal,_xlfn.XLOOKUP($A153,My_Audit!$A:$A,My_Audit!E:E,""),
_xlfn.IFS(_xlpm.MyAuditVal&lt;&gt;"",_xlpm.MyAuditVal,_xlpm.MacVal&lt;&gt;"",_xlpm.MacVal,_xlpm.CSVVal&lt;&gt;"",_xlpm.CSVVal
)),"")</f>
        <v/>
      </c>
      <c r="G153" s="40" t="str" cm="1">
        <f t="array" ref="G153">IFERROR(_xlfn.LET(
_xlpm.CSVVal,_xlfn.XLOOKUP($A153,CSV!$A:$A,CSV!G:G,""),
_xlpm.MacVal,_xlfn.XLOOKUP($A153,Output_Mac!$A:$A,Output_Mac!F:F,""),
_xlpm.MyAuditVal,_xlfn.XLOOKUP($A153,My_Audit!$A:$A,My_Audit!F:F,""),
_xlfn.IFS(_xlpm.MyAuditVal&lt;&gt;"",_xlpm.MyAuditVal,_xlpm.MacVal&lt;&gt;"",_xlpm.MacVal,_xlpm.CSVVal&lt;&gt;"",PROPER(_xlpm.CSVVal)
)),"")</f>
        <v/>
      </c>
      <c r="H153" s="40" t="str" cm="1">
        <f t="array" ref="H153">IFERROR(_xlfn.LET(
_xlpm.CSVVal,_xlfn.XLOOKUP($A153,CSV!$A:$A,CSV!H:H,""),
_xlpm.MacVal,_xlfn.XLOOKUP($A153,Output_Mac!$A:$A,Output_Mac!H:H,""),
_xlpm.MyAuditVal,_xlfn.XLOOKUP($A153,My_Audit!$A:$A,My_Audit!G:G,""),
_xlfn.IFS(_xlpm.MyAuditVal&lt;&gt;"",_xlpm.MyAuditVal,_xlpm.MacVal&lt;&gt;"",_xlpm.MacVal,_xlpm.CSVVal&lt;&gt;"",_xlpm.CSVVal
)),"")</f>
        <v/>
      </c>
      <c r="I153" s="40" t="str">
        <f>_xlfn.XLOOKUP(A153,Output_Mac!A:A,Output_Mac!I:I,"")</f>
        <v/>
      </c>
      <c r="J153" s="40" t="str" cm="1">
        <f t="array" ref="J153">IFERROR(_xlfn.LET(
_xlpm.CSVVal,_xlfn.XLOOKUP($A153,CSV!$A:$A,CSV!I:I,""),
_xlpm.MacVal,_xlfn.XLOOKUP($A153,Output_Mac!$A:$A,Output_Mac!J:J,""),
_xlpm.MyAuditVal,_xlfn.XLOOKUP($A153,My_Audit!$A:$A,My_Audit!I:I,""),
_xlfn.IFS(_xlpm.MyAuditVal&lt;&gt;"",UPPER(_xlpm.MyAuditVal),_xlpm.MacVal&lt;&gt;"",_xlpm.MacVal,_xlpm.CSVVal&lt;&gt;"",_xlpm.CSVVal
)),"")</f>
        <v/>
      </c>
      <c r="K153" s="40" t="str" cm="1">
        <f t="array" ref="K153">IFERROR(_xlfn.LET(
_xlpm.CSVVal,_xlfn.XLOOKUP($A153,CSV!$A:$A,CSV!K:K,""),
_xlpm.MacVal,_xlfn.XLOOKUP($A153,Output_Mac!$A:$A,Output_Mac!K:K,""),
_xlpm.MyAuditVal,_xlfn.XLOOKUP($A153,My_Audit!$A:$A,My_Audit!J:J,""),
_xlfn.IFS(_xlpm.MyAuditVal&lt;&gt;"",UPPER(_xlpm.MyAuditVal),_xlpm.MacVal&lt;&gt;"",_xlpm.MacVal,_xlpm.CSVVal&lt;&gt;"",_xlpm.CSVVal
)),"")</f>
        <v/>
      </c>
      <c r="L153" s="40" t="str" cm="1">
        <f t="array" ref="L153">IFERROR(_xlfn.LET(
_xlpm.CSVVal,_xlfn.XLOOKUP($A153,CSV!$A:$A,CSV!P:P,""),
_xlpm.MacVal,_xlfn.XLOOKUP($A153,Output_Mac!$A:$A,Output_Mac!L:L,""),
_xlpm.MyAuditVal,_xlfn.XLOOKUP($A153,My_Audit!$A:$A,My_Audit!K:K,""),
_xlfn.IFS(_xlpm.MyAuditVal&lt;&gt;"",UPPER(_xlpm.MyAuditVal),_xlpm.MacVal&lt;&gt;"",_xlpm.MacVal,_xlpm.CSVVal&lt;&gt;"",_xlpm.CSVVal
)),"")</f>
        <v/>
      </c>
      <c r="M153" s="40" t="str" cm="1">
        <f t="array" ref="M153">IFERROR(_xlfn.LET(
_xlpm.CSVVal,_xlfn.XLOOKUP($A153,CSV!$A:$A,CSV!Q:Q,""),
_xlpm.MacVal,_xlfn.XLOOKUP($A153,Output_Mac!$A:$A,Output_Mac!M:M,""),
_xlpm.MyAuditVal,_xlfn.XLOOKUP($A153,My_Audit!$A:$A,My_Audit!L:L,""),
_xlfn.IFS(_xlpm.MyAuditVal&lt;&gt;"",UPPER(_xlpm.MyAuditVal),_xlpm.MacVal&lt;&gt;"",_xlpm.MacVal,_xlpm.CSVVal&lt;&gt;"",_xlpm.CSVVal
)),"")</f>
        <v/>
      </c>
      <c r="N153" s="40"/>
      <c r="O153" s="40" t="str">
        <f>_xlfn.LET(
    _xlpm.CSVVal, _xlfn.XLOOKUP($A153, CSV!$A:$A, CSV!AA:AA, ""),
    _xlpm.MacVal, _xlfn.XLOOKUP($A153, Output_Mac!$A:$A, Output_Mac!S:S, ""),
    _xlpm.MyAuditVal, _xlfn.XLOOKUP($A153, My_Audit!$A:$A, My_Audit!P:P, ""),
    _xlfn.TEXTJOIN(", ", TRUE, _xlpm.MyAuditVal, _xlpm.MacVal, _xlpm.CSVVal)
)</f>
        <v/>
      </c>
      <c r="P153" s="40" t="str" cm="1">
        <f t="array" ref="P153">IFERROR(_xlfn.LET(
_xlpm.CSVVal,_xlfn.XLOOKUP($A153,CSV!$A:$A,CSV!AB:AB,""),
_xlpm.MacVal,_xlfn.XLOOKUP($A153,Output_Mac!$A:$A,Output_Mac!T:T,""),
_xlpm.MyAuditVal,_xlfn.XLOOKUP($A153,My_Audit!$A:$A,My_Audit!Q:Q,""),
_xlfn.IFS(_xlpm.MyAuditVal&lt;&gt;"",UPPER(_xlpm.MyAuditVal),_xlpm.MacVal&lt;&gt;"",_xlpm.MacVal,_xlpm.CSVVal&lt;&gt;"",_xlpm.CSVVal
)),"No")</f>
        <v>No</v>
      </c>
      <c r="Q153" s="40" t="str" cm="1">
        <f t="array" ref="Q153">IFERROR(_xlfn.LET(
_xlpm.CSVVal,_xlfn.XLOOKUP($A153,CSV!$A:$A,CSV!AC:AC,""),
_xlpm.MacVal,_xlfn.XLOOKUP($A153,Output_Mac!$A:$A,Output_Mac!U:U,""),
_xlpm.MyAuditVal,_xlfn.XLOOKUP($A153,My_Audit!$A:$A,My_Audit!R:R,""),
_xlfn.IFS(_xlpm.MyAuditVal&lt;&gt;"",UPPER(_xlpm.MyAuditVal),_xlpm.MacVal&lt;&gt;"",_xlpm.MacVal,_xlpm.CSVVal&lt;&gt;"",_xlpm.CSVVal
)),"")</f>
        <v/>
      </c>
      <c r="R153" s="40"/>
      <c r="S153" s="40"/>
      <c r="T153" s="40"/>
      <c r="U153" s="40"/>
      <c r="V153" s="40"/>
      <c r="W153" s="40"/>
      <c r="X153" s="41" t="str">
        <f>_xlfn.LET(
    _xlpm.MacVal, _xlfn.XLOOKUP($A153, Output_Mac!$A:$A, Output_Mac!AB:AB, ""),
    _xlpm.MyAuditVal, _xlfn.XLOOKUP($A153, My_Audit!$A:$A, My_Audit!N:N, ""),
    _xlfn.TEXTJOIN(", ", TRUE, _xlpm.MyAuditVal, _xlpm.MacVal)
)</f>
        <v/>
      </c>
    </row>
    <row r="154" spans="1:24">
      <c r="A154" s="40" t="str">
        <f>_xlfn.TEXTJOIN("",TRUE,Input!$B$2,ROW(My_Audit!A153))</f>
        <v>X153</v>
      </c>
      <c r="B154" s="40" t="str">
        <f>_xlfn.TEXTJOIN("-",TRUE,"ITD",Input!$A$2,A154)</f>
        <v>ITD-X153</v>
      </c>
      <c r="C154" s="40" t="str" cm="1">
        <f t="array" ref="C154">IFERROR(_xlfn.LET(
_xlpm.CSVVal,_xlfn.XLOOKUP($A154,CSV!$A:$A,CSV!B:B,""),
_xlpm.MacVal,_xlfn.XLOOKUP($A154,Output_Mac!$A:$A,Output_Mac!B:B,""),
_xlpm.MyAuditVal,_xlfn.XLOOKUP($A154,My_Audit!$A:$A,My_Audit!B:B,""),
_xlfn.IFS(_xlpm.MyAuditVal&lt;&gt;"",UPPER(_xlpm.MyAuditVal),_xlpm.MacVal&lt;&gt;"",_xlpm.MacVal,_xlpm.CSVVal&lt;&gt;"",_xlpm.CSVVal
)),"")</f>
        <v/>
      </c>
      <c r="D154" s="40" t="str" cm="1">
        <f t="array" ref="D154">IFERROR(_xlfn.LET(
_xlpm.CSVVal,_xlfn.XLOOKUP($A154,CSV!$A:$A,CSV!D:D,""),
_xlpm.MacVal,_xlfn.XLOOKUP($A154,Output_Mac!$A:$A,Output_Mac!C:C,""),
_xlpm.MyAuditVal,_xlfn.XLOOKUP($A154,My_Audit!$A:$A,My_Audit!C:C,""),
_xlfn.IFS(_xlpm.MyAuditVal&lt;&gt;"",_xlpm.MyAuditVal,_xlpm.MacVal&lt;&gt;"",_xlpm.MacVal,_xlpm.CSVVal&lt;&gt;"",_xlpm.CSVVal
)),"")</f>
        <v/>
      </c>
      <c r="E154" s="40">
        <f>_xlfn.XLOOKUP(A154,My_Audit!A:A,My_Audit!D:D,"")</f>
        <v>0</v>
      </c>
      <c r="F154" s="40" t="str" cm="1">
        <f t="array" ref="F154">IFERROR(_xlfn.LET(
_xlpm.CSVVal,_xlfn.XLOOKUP($A154,CSV!$A:$A,CSV!F:F,""),
_xlpm.MacVal,_xlfn.XLOOKUP($A154,Output_Mac!$A:$A,Output_Mac!E:E,""),
_xlpm.MyAuditVal,_xlfn.XLOOKUP($A154,My_Audit!$A:$A,My_Audit!E:E,""),
_xlfn.IFS(_xlpm.MyAuditVal&lt;&gt;"",_xlpm.MyAuditVal,_xlpm.MacVal&lt;&gt;"",_xlpm.MacVal,_xlpm.CSVVal&lt;&gt;"",_xlpm.CSVVal
)),"")</f>
        <v/>
      </c>
      <c r="G154" s="40" t="str" cm="1">
        <f t="array" ref="G154">IFERROR(_xlfn.LET(
_xlpm.CSVVal,_xlfn.XLOOKUP($A154,CSV!$A:$A,CSV!G:G,""),
_xlpm.MacVal,_xlfn.XLOOKUP($A154,Output_Mac!$A:$A,Output_Mac!F:F,""),
_xlpm.MyAuditVal,_xlfn.XLOOKUP($A154,My_Audit!$A:$A,My_Audit!F:F,""),
_xlfn.IFS(_xlpm.MyAuditVal&lt;&gt;"",_xlpm.MyAuditVal,_xlpm.MacVal&lt;&gt;"",_xlpm.MacVal,_xlpm.CSVVal&lt;&gt;"",PROPER(_xlpm.CSVVal)
)),"")</f>
        <v/>
      </c>
      <c r="H154" s="40" t="str" cm="1">
        <f t="array" ref="H154">IFERROR(_xlfn.LET(
_xlpm.CSVVal,_xlfn.XLOOKUP($A154,CSV!$A:$A,CSV!H:H,""),
_xlpm.MacVal,_xlfn.XLOOKUP($A154,Output_Mac!$A:$A,Output_Mac!H:H,""),
_xlpm.MyAuditVal,_xlfn.XLOOKUP($A154,My_Audit!$A:$A,My_Audit!G:G,""),
_xlfn.IFS(_xlpm.MyAuditVal&lt;&gt;"",_xlpm.MyAuditVal,_xlpm.MacVal&lt;&gt;"",_xlpm.MacVal,_xlpm.CSVVal&lt;&gt;"",_xlpm.CSVVal
)),"")</f>
        <v/>
      </c>
      <c r="I154" s="40" t="str">
        <f>_xlfn.XLOOKUP(A154,Output_Mac!A:A,Output_Mac!I:I,"")</f>
        <v/>
      </c>
      <c r="J154" s="40" t="str" cm="1">
        <f t="array" ref="J154">IFERROR(_xlfn.LET(
_xlpm.CSVVal,_xlfn.XLOOKUP($A154,CSV!$A:$A,CSV!I:I,""),
_xlpm.MacVal,_xlfn.XLOOKUP($A154,Output_Mac!$A:$A,Output_Mac!J:J,""),
_xlpm.MyAuditVal,_xlfn.XLOOKUP($A154,My_Audit!$A:$A,My_Audit!I:I,""),
_xlfn.IFS(_xlpm.MyAuditVal&lt;&gt;"",UPPER(_xlpm.MyAuditVal),_xlpm.MacVal&lt;&gt;"",_xlpm.MacVal,_xlpm.CSVVal&lt;&gt;"",_xlpm.CSVVal
)),"")</f>
        <v/>
      </c>
      <c r="K154" s="40" t="str" cm="1">
        <f t="array" ref="K154">IFERROR(_xlfn.LET(
_xlpm.CSVVal,_xlfn.XLOOKUP($A154,CSV!$A:$A,CSV!K:K,""),
_xlpm.MacVal,_xlfn.XLOOKUP($A154,Output_Mac!$A:$A,Output_Mac!K:K,""),
_xlpm.MyAuditVal,_xlfn.XLOOKUP($A154,My_Audit!$A:$A,My_Audit!J:J,""),
_xlfn.IFS(_xlpm.MyAuditVal&lt;&gt;"",UPPER(_xlpm.MyAuditVal),_xlpm.MacVal&lt;&gt;"",_xlpm.MacVal,_xlpm.CSVVal&lt;&gt;"",_xlpm.CSVVal
)),"")</f>
        <v/>
      </c>
      <c r="L154" s="40" t="str" cm="1">
        <f t="array" ref="L154">IFERROR(_xlfn.LET(
_xlpm.CSVVal,_xlfn.XLOOKUP($A154,CSV!$A:$A,CSV!P:P,""),
_xlpm.MacVal,_xlfn.XLOOKUP($A154,Output_Mac!$A:$A,Output_Mac!L:L,""),
_xlpm.MyAuditVal,_xlfn.XLOOKUP($A154,My_Audit!$A:$A,My_Audit!K:K,""),
_xlfn.IFS(_xlpm.MyAuditVal&lt;&gt;"",UPPER(_xlpm.MyAuditVal),_xlpm.MacVal&lt;&gt;"",_xlpm.MacVal,_xlpm.CSVVal&lt;&gt;"",_xlpm.CSVVal
)),"")</f>
        <v/>
      </c>
      <c r="M154" s="40" t="str" cm="1">
        <f t="array" ref="M154">IFERROR(_xlfn.LET(
_xlpm.CSVVal,_xlfn.XLOOKUP($A154,CSV!$A:$A,CSV!Q:Q,""),
_xlpm.MacVal,_xlfn.XLOOKUP($A154,Output_Mac!$A:$A,Output_Mac!M:M,""),
_xlpm.MyAuditVal,_xlfn.XLOOKUP($A154,My_Audit!$A:$A,My_Audit!L:L,""),
_xlfn.IFS(_xlpm.MyAuditVal&lt;&gt;"",UPPER(_xlpm.MyAuditVal),_xlpm.MacVal&lt;&gt;"",_xlpm.MacVal,_xlpm.CSVVal&lt;&gt;"",_xlpm.CSVVal
)),"")</f>
        <v/>
      </c>
      <c r="N154" s="40"/>
      <c r="O154" s="40" t="str">
        <f>_xlfn.LET(
    _xlpm.CSVVal, _xlfn.XLOOKUP($A154, CSV!$A:$A, CSV!AA:AA, ""),
    _xlpm.MacVal, _xlfn.XLOOKUP($A154, Output_Mac!$A:$A, Output_Mac!S:S, ""),
    _xlpm.MyAuditVal, _xlfn.XLOOKUP($A154, My_Audit!$A:$A, My_Audit!P:P, ""),
    _xlfn.TEXTJOIN(", ", TRUE, _xlpm.MyAuditVal, _xlpm.MacVal, _xlpm.CSVVal)
)</f>
        <v/>
      </c>
      <c r="P154" s="40" t="str" cm="1">
        <f t="array" ref="P154">IFERROR(_xlfn.LET(
_xlpm.CSVVal,_xlfn.XLOOKUP($A154,CSV!$A:$A,CSV!AB:AB,""),
_xlpm.MacVal,_xlfn.XLOOKUP($A154,Output_Mac!$A:$A,Output_Mac!T:T,""),
_xlpm.MyAuditVal,_xlfn.XLOOKUP($A154,My_Audit!$A:$A,My_Audit!Q:Q,""),
_xlfn.IFS(_xlpm.MyAuditVal&lt;&gt;"",UPPER(_xlpm.MyAuditVal),_xlpm.MacVal&lt;&gt;"",_xlpm.MacVal,_xlpm.CSVVal&lt;&gt;"",_xlpm.CSVVal
)),"No")</f>
        <v>No</v>
      </c>
      <c r="Q154" s="40" t="str" cm="1">
        <f t="array" ref="Q154">IFERROR(_xlfn.LET(
_xlpm.CSVVal,_xlfn.XLOOKUP($A154,CSV!$A:$A,CSV!AC:AC,""),
_xlpm.MacVal,_xlfn.XLOOKUP($A154,Output_Mac!$A:$A,Output_Mac!U:U,""),
_xlpm.MyAuditVal,_xlfn.XLOOKUP($A154,My_Audit!$A:$A,My_Audit!R:R,""),
_xlfn.IFS(_xlpm.MyAuditVal&lt;&gt;"",UPPER(_xlpm.MyAuditVal),_xlpm.MacVal&lt;&gt;"",_xlpm.MacVal,_xlpm.CSVVal&lt;&gt;"",_xlpm.CSVVal
)),"")</f>
        <v/>
      </c>
      <c r="R154" s="40"/>
      <c r="S154" s="40"/>
      <c r="T154" s="40"/>
      <c r="U154" s="40"/>
      <c r="V154" s="40"/>
      <c r="W154" s="40"/>
      <c r="X154" s="41" t="str">
        <f>_xlfn.LET(
    _xlpm.MacVal, _xlfn.XLOOKUP($A154, Output_Mac!$A:$A, Output_Mac!AB:AB, ""),
    _xlpm.MyAuditVal, _xlfn.XLOOKUP($A154, My_Audit!$A:$A, My_Audit!N:N, ""),
    _xlfn.TEXTJOIN(", ", TRUE, _xlpm.MyAuditVal, _xlpm.MacVal)
)</f>
        <v/>
      </c>
    </row>
    <row r="155" spans="1:24">
      <c r="A155" s="40" t="str">
        <f>_xlfn.TEXTJOIN("",TRUE,Input!$B$2,ROW(My_Audit!A154))</f>
        <v>X154</v>
      </c>
      <c r="B155" s="40" t="str">
        <f>_xlfn.TEXTJOIN("-",TRUE,"ITD",Input!$A$2,A155)</f>
        <v>ITD-X154</v>
      </c>
      <c r="C155" s="40" t="str" cm="1">
        <f t="array" ref="C155">IFERROR(_xlfn.LET(
_xlpm.CSVVal,_xlfn.XLOOKUP($A155,CSV!$A:$A,CSV!B:B,""),
_xlpm.MacVal,_xlfn.XLOOKUP($A155,Output_Mac!$A:$A,Output_Mac!B:B,""),
_xlpm.MyAuditVal,_xlfn.XLOOKUP($A155,My_Audit!$A:$A,My_Audit!B:B,""),
_xlfn.IFS(_xlpm.MyAuditVal&lt;&gt;"",UPPER(_xlpm.MyAuditVal),_xlpm.MacVal&lt;&gt;"",_xlpm.MacVal,_xlpm.CSVVal&lt;&gt;"",_xlpm.CSVVal
)),"")</f>
        <v/>
      </c>
      <c r="D155" s="40" t="str" cm="1">
        <f t="array" ref="D155">IFERROR(_xlfn.LET(
_xlpm.CSVVal,_xlfn.XLOOKUP($A155,CSV!$A:$A,CSV!D:D,""),
_xlpm.MacVal,_xlfn.XLOOKUP($A155,Output_Mac!$A:$A,Output_Mac!C:C,""),
_xlpm.MyAuditVal,_xlfn.XLOOKUP($A155,My_Audit!$A:$A,My_Audit!C:C,""),
_xlfn.IFS(_xlpm.MyAuditVal&lt;&gt;"",_xlpm.MyAuditVal,_xlpm.MacVal&lt;&gt;"",_xlpm.MacVal,_xlpm.CSVVal&lt;&gt;"",_xlpm.CSVVal
)),"")</f>
        <v/>
      </c>
      <c r="E155" s="40">
        <f>_xlfn.XLOOKUP(A155,My_Audit!A:A,My_Audit!D:D,"")</f>
        <v>0</v>
      </c>
      <c r="F155" s="40" t="str" cm="1">
        <f t="array" ref="F155">IFERROR(_xlfn.LET(
_xlpm.CSVVal,_xlfn.XLOOKUP($A155,CSV!$A:$A,CSV!F:F,""),
_xlpm.MacVal,_xlfn.XLOOKUP($A155,Output_Mac!$A:$A,Output_Mac!E:E,""),
_xlpm.MyAuditVal,_xlfn.XLOOKUP($A155,My_Audit!$A:$A,My_Audit!E:E,""),
_xlfn.IFS(_xlpm.MyAuditVal&lt;&gt;"",_xlpm.MyAuditVal,_xlpm.MacVal&lt;&gt;"",_xlpm.MacVal,_xlpm.CSVVal&lt;&gt;"",_xlpm.CSVVal
)),"")</f>
        <v/>
      </c>
      <c r="G155" s="40" t="str" cm="1">
        <f t="array" ref="G155">IFERROR(_xlfn.LET(
_xlpm.CSVVal,_xlfn.XLOOKUP($A155,CSV!$A:$A,CSV!G:G,""),
_xlpm.MacVal,_xlfn.XLOOKUP($A155,Output_Mac!$A:$A,Output_Mac!F:F,""),
_xlpm.MyAuditVal,_xlfn.XLOOKUP($A155,My_Audit!$A:$A,My_Audit!F:F,""),
_xlfn.IFS(_xlpm.MyAuditVal&lt;&gt;"",_xlpm.MyAuditVal,_xlpm.MacVal&lt;&gt;"",_xlpm.MacVal,_xlpm.CSVVal&lt;&gt;"",PROPER(_xlpm.CSVVal)
)),"")</f>
        <v/>
      </c>
      <c r="H155" s="40" t="str" cm="1">
        <f t="array" ref="H155">IFERROR(_xlfn.LET(
_xlpm.CSVVal,_xlfn.XLOOKUP($A155,CSV!$A:$A,CSV!H:H,""),
_xlpm.MacVal,_xlfn.XLOOKUP($A155,Output_Mac!$A:$A,Output_Mac!H:H,""),
_xlpm.MyAuditVal,_xlfn.XLOOKUP($A155,My_Audit!$A:$A,My_Audit!G:G,""),
_xlfn.IFS(_xlpm.MyAuditVal&lt;&gt;"",_xlpm.MyAuditVal,_xlpm.MacVal&lt;&gt;"",_xlpm.MacVal,_xlpm.CSVVal&lt;&gt;"",_xlpm.CSVVal
)),"")</f>
        <v/>
      </c>
      <c r="I155" s="40" t="str">
        <f>_xlfn.XLOOKUP(A155,Output_Mac!A:A,Output_Mac!I:I,"")</f>
        <v/>
      </c>
      <c r="J155" s="40" t="str" cm="1">
        <f t="array" ref="J155">IFERROR(_xlfn.LET(
_xlpm.CSVVal,_xlfn.XLOOKUP($A155,CSV!$A:$A,CSV!I:I,""),
_xlpm.MacVal,_xlfn.XLOOKUP($A155,Output_Mac!$A:$A,Output_Mac!J:J,""),
_xlpm.MyAuditVal,_xlfn.XLOOKUP($A155,My_Audit!$A:$A,My_Audit!I:I,""),
_xlfn.IFS(_xlpm.MyAuditVal&lt;&gt;"",UPPER(_xlpm.MyAuditVal),_xlpm.MacVal&lt;&gt;"",_xlpm.MacVal,_xlpm.CSVVal&lt;&gt;"",_xlpm.CSVVal
)),"")</f>
        <v/>
      </c>
      <c r="K155" s="40" t="str" cm="1">
        <f t="array" ref="K155">IFERROR(_xlfn.LET(
_xlpm.CSVVal,_xlfn.XLOOKUP($A155,CSV!$A:$A,CSV!K:K,""),
_xlpm.MacVal,_xlfn.XLOOKUP($A155,Output_Mac!$A:$A,Output_Mac!K:K,""),
_xlpm.MyAuditVal,_xlfn.XLOOKUP($A155,My_Audit!$A:$A,My_Audit!J:J,""),
_xlfn.IFS(_xlpm.MyAuditVal&lt;&gt;"",UPPER(_xlpm.MyAuditVal),_xlpm.MacVal&lt;&gt;"",_xlpm.MacVal,_xlpm.CSVVal&lt;&gt;"",_xlpm.CSVVal
)),"")</f>
        <v/>
      </c>
      <c r="L155" s="40" t="str" cm="1">
        <f t="array" ref="L155">IFERROR(_xlfn.LET(
_xlpm.CSVVal,_xlfn.XLOOKUP($A155,CSV!$A:$A,CSV!P:P,""),
_xlpm.MacVal,_xlfn.XLOOKUP($A155,Output_Mac!$A:$A,Output_Mac!L:L,""),
_xlpm.MyAuditVal,_xlfn.XLOOKUP($A155,My_Audit!$A:$A,My_Audit!K:K,""),
_xlfn.IFS(_xlpm.MyAuditVal&lt;&gt;"",UPPER(_xlpm.MyAuditVal),_xlpm.MacVal&lt;&gt;"",_xlpm.MacVal,_xlpm.CSVVal&lt;&gt;"",_xlpm.CSVVal
)),"")</f>
        <v/>
      </c>
      <c r="M155" s="40" t="str" cm="1">
        <f t="array" ref="M155">IFERROR(_xlfn.LET(
_xlpm.CSVVal,_xlfn.XLOOKUP($A155,CSV!$A:$A,CSV!Q:Q,""),
_xlpm.MacVal,_xlfn.XLOOKUP($A155,Output_Mac!$A:$A,Output_Mac!M:M,""),
_xlpm.MyAuditVal,_xlfn.XLOOKUP($A155,My_Audit!$A:$A,My_Audit!L:L,""),
_xlfn.IFS(_xlpm.MyAuditVal&lt;&gt;"",UPPER(_xlpm.MyAuditVal),_xlpm.MacVal&lt;&gt;"",_xlpm.MacVal,_xlpm.CSVVal&lt;&gt;"",_xlpm.CSVVal
)),"")</f>
        <v/>
      </c>
      <c r="N155" s="40"/>
      <c r="O155" s="40" t="str">
        <f>_xlfn.LET(
    _xlpm.CSVVal, _xlfn.XLOOKUP($A155, CSV!$A:$A, CSV!AA:AA, ""),
    _xlpm.MacVal, _xlfn.XLOOKUP($A155, Output_Mac!$A:$A, Output_Mac!S:S, ""),
    _xlpm.MyAuditVal, _xlfn.XLOOKUP($A155, My_Audit!$A:$A, My_Audit!P:P, ""),
    _xlfn.TEXTJOIN(", ", TRUE, _xlpm.MyAuditVal, _xlpm.MacVal, _xlpm.CSVVal)
)</f>
        <v/>
      </c>
      <c r="P155" s="40" t="str" cm="1">
        <f t="array" ref="P155">IFERROR(_xlfn.LET(
_xlpm.CSVVal,_xlfn.XLOOKUP($A155,CSV!$A:$A,CSV!AB:AB,""),
_xlpm.MacVal,_xlfn.XLOOKUP($A155,Output_Mac!$A:$A,Output_Mac!T:T,""),
_xlpm.MyAuditVal,_xlfn.XLOOKUP($A155,My_Audit!$A:$A,My_Audit!Q:Q,""),
_xlfn.IFS(_xlpm.MyAuditVal&lt;&gt;"",UPPER(_xlpm.MyAuditVal),_xlpm.MacVal&lt;&gt;"",_xlpm.MacVal,_xlpm.CSVVal&lt;&gt;"",_xlpm.CSVVal
)),"No")</f>
        <v>No</v>
      </c>
      <c r="Q155" s="40" t="str" cm="1">
        <f t="array" ref="Q155">IFERROR(_xlfn.LET(
_xlpm.CSVVal,_xlfn.XLOOKUP($A155,CSV!$A:$A,CSV!AC:AC,""),
_xlpm.MacVal,_xlfn.XLOOKUP($A155,Output_Mac!$A:$A,Output_Mac!U:U,""),
_xlpm.MyAuditVal,_xlfn.XLOOKUP($A155,My_Audit!$A:$A,My_Audit!R:R,""),
_xlfn.IFS(_xlpm.MyAuditVal&lt;&gt;"",UPPER(_xlpm.MyAuditVal),_xlpm.MacVal&lt;&gt;"",_xlpm.MacVal,_xlpm.CSVVal&lt;&gt;"",_xlpm.CSVVal
)),"")</f>
        <v/>
      </c>
      <c r="R155" s="40"/>
      <c r="S155" s="40"/>
      <c r="T155" s="40"/>
      <c r="U155" s="40"/>
      <c r="V155" s="40"/>
      <c r="W155" s="40"/>
      <c r="X155" s="41" t="str">
        <f>_xlfn.LET(
    _xlpm.MacVal, _xlfn.XLOOKUP($A155, Output_Mac!$A:$A, Output_Mac!AB:AB, ""),
    _xlpm.MyAuditVal, _xlfn.XLOOKUP($A155, My_Audit!$A:$A, My_Audit!N:N, ""),
    _xlfn.TEXTJOIN(", ", TRUE, _xlpm.MyAuditVal, _xlpm.MacVal)
)</f>
        <v/>
      </c>
    </row>
    <row r="156" spans="1:24">
      <c r="A156" s="40" t="str">
        <f>_xlfn.TEXTJOIN("",TRUE,Input!$B$2,ROW(My_Audit!A155))</f>
        <v>X155</v>
      </c>
      <c r="B156" s="40" t="str">
        <f>_xlfn.TEXTJOIN("-",TRUE,"ITD",Input!$A$2,A156)</f>
        <v>ITD-X155</v>
      </c>
      <c r="C156" s="40" t="str" cm="1">
        <f t="array" ref="C156">IFERROR(_xlfn.LET(
_xlpm.CSVVal,_xlfn.XLOOKUP($A156,CSV!$A:$A,CSV!B:B,""),
_xlpm.MacVal,_xlfn.XLOOKUP($A156,Output_Mac!$A:$A,Output_Mac!B:B,""),
_xlpm.MyAuditVal,_xlfn.XLOOKUP($A156,My_Audit!$A:$A,My_Audit!B:B,""),
_xlfn.IFS(_xlpm.MyAuditVal&lt;&gt;"",UPPER(_xlpm.MyAuditVal),_xlpm.MacVal&lt;&gt;"",_xlpm.MacVal,_xlpm.CSVVal&lt;&gt;"",_xlpm.CSVVal
)),"")</f>
        <v/>
      </c>
      <c r="D156" s="40" t="str" cm="1">
        <f t="array" ref="D156">IFERROR(_xlfn.LET(
_xlpm.CSVVal,_xlfn.XLOOKUP($A156,CSV!$A:$A,CSV!D:D,""),
_xlpm.MacVal,_xlfn.XLOOKUP($A156,Output_Mac!$A:$A,Output_Mac!C:C,""),
_xlpm.MyAuditVal,_xlfn.XLOOKUP($A156,My_Audit!$A:$A,My_Audit!C:C,""),
_xlfn.IFS(_xlpm.MyAuditVal&lt;&gt;"",_xlpm.MyAuditVal,_xlpm.MacVal&lt;&gt;"",_xlpm.MacVal,_xlpm.CSVVal&lt;&gt;"",_xlpm.CSVVal
)),"")</f>
        <v/>
      </c>
      <c r="E156" s="40">
        <f>_xlfn.XLOOKUP(A156,My_Audit!A:A,My_Audit!D:D,"")</f>
        <v>0</v>
      </c>
      <c r="F156" s="40" t="str" cm="1">
        <f t="array" ref="F156">IFERROR(_xlfn.LET(
_xlpm.CSVVal,_xlfn.XLOOKUP($A156,CSV!$A:$A,CSV!F:F,""),
_xlpm.MacVal,_xlfn.XLOOKUP($A156,Output_Mac!$A:$A,Output_Mac!E:E,""),
_xlpm.MyAuditVal,_xlfn.XLOOKUP($A156,My_Audit!$A:$A,My_Audit!E:E,""),
_xlfn.IFS(_xlpm.MyAuditVal&lt;&gt;"",_xlpm.MyAuditVal,_xlpm.MacVal&lt;&gt;"",_xlpm.MacVal,_xlpm.CSVVal&lt;&gt;"",_xlpm.CSVVal
)),"")</f>
        <v/>
      </c>
      <c r="G156" s="40" t="str" cm="1">
        <f t="array" ref="G156">IFERROR(_xlfn.LET(
_xlpm.CSVVal,_xlfn.XLOOKUP($A156,CSV!$A:$A,CSV!G:G,""),
_xlpm.MacVal,_xlfn.XLOOKUP($A156,Output_Mac!$A:$A,Output_Mac!F:F,""),
_xlpm.MyAuditVal,_xlfn.XLOOKUP($A156,My_Audit!$A:$A,My_Audit!F:F,""),
_xlfn.IFS(_xlpm.MyAuditVal&lt;&gt;"",_xlpm.MyAuditVal,_xlpm.MacVal&lt;&gt;"",_xlpm.MacVal,_xlpm.CSVVal&lt;&gt;"",PROPER(_xlpm.CSVVal)
)),"")</f>
        <v/>
      </c>
      <c r="H156" s="40" t="str" cm="1">
        <f t="array" ref="H156">IFERROR(_xlfn.LET(
_xlpm.CSVVal,_xlfn.XLOOKUP($A156,CSV!$A:$A,CSV!H:H,""),
_xlpm.MacVal,_xlfn.XLOOKUP($A156,Output_Mac!$A:$A,Output_Mac!H:H,""),
_xlpm.MyAuditVal,_xlfn.XLOOKUP($A156,My_Audit!$A:$A,My_Audit!G:G,""),
_xlfn.IFS(_xlpm.MyAuditVal&lt;&gt;"",_xlpm.MyAuditVal,_xlpm.MacVal&lt;&gt;"",_xlpm.MacVal,_xlpm.CSVVal&lt;&gt;"",_xlpm.CSVVal
)),"")</f>
        <v/>
      </c>
      <c r="I156" s="40" t="str">
        <f>_xlfn.XLOOKUP(A156,Output_Mac!A:A,Output_Mac!I:I,"")</f>
        <v/>
      </c>
      <c r="J156" s="40" t="str" cm="1">
        <f t="array" ref="J156">IFERROR(_xlfn.LET(
_xlpm.CSVVal,_xlfn.XLOOKUP($A156,CSV!$A:$A,CSV!I:I,""),
_xlpm.MacVal,_xlfn.XLOOKUP($A156,Output_Mac!$A:$A,Output_Mac!J:J,""),
_xlpm.MyAuditVal,_xlfn.XLOOKUP($A156,My_Audit!$A:$A,My_Audit!I:I,""),
_xlfn.IFS(_xlpm.MyAuditVal&lt;&gt;"",UPPER(_xlpm.MyAuditVal),_xlpm.MacVal&lt;&gt;"",_xlpm.MacVal,_xlpm.CSVVal&lt;&gt;"",_xlpm.CSVVal
)),"")</f>
        <v/>
      </c>
      <c r="K156" s="40" t="str" cm="1">
        <f t="array" ref="K156">IFERROR(_xlfn.LET(
_xlpm.CSVVal,_xlfn.XLOOKUP($A156,CSV!$A:$A,CSV!K:K,""),
_xlpm.MacVal,_xlfn.XLOOKUP($A156,Output_Mac!$A:$A,Output_Mac!K:K,""),
_xlpm.MyAuditVal,_xlfn.XLOOKUP($A156,My_Audit!$A:$A,My_Audit!J:J,""),
_xlfn.IFS(_xlpm.MyAuditVal&lt;&gt;"",UPPER(_xlpm.MyAuditVal),_xlpm.MacVal&lt;&gt;"",_xlpm.MacVal,_xlpm.CSVVal&lt;&gt;"",_xlpm.CSVVal
)),"")</f>
        <v/>
      </c>
      <c r="L156" s="40" t="str" cm="1">
        <f t="array" ref="L156">IFERROR(_xlfn.LET(
_xlpm.CSVVal,_xlfn.XLOOKUP($A156,CSV!$A:$A,CSV!P:P,""),
_xlpm.MacVal,_xlfn.XLOOKUP($A156,Output_Mac!$A:$A,Output_Mac!L:L,""),
_xlpm.MyAuditVal,_xlfn.XLOOKUP($A156,My_Audit!$A:$A,My_Audit!K:K,""),
_xlfn.IFS(_xlpm.MyAuditVal&lt;&gt;"",UPPER(_xlpm.MyAuditVal),_xlpm.MacVal&lt;&gt;"",_xlpm.MacVal,_xlpm.CSVVal&lt;&gt;"",_xlpm.CSVVal
)),"")</f>
        <v/>
      </c>
      <c r="M156" s="40" t="str" cm="1">
        <f t="array" ref="M156">IFERROR(_xlfn.LET(
_xlpm.CSVVal,_xlfn.XLOOKUP($A156,CSV!$A:$A,CSV!Q:Q,""),
_xlpm.MacVal,_xlfn.XLOOKUP($A156,Output_Mac!$A:$A,Output_Mac!M:M,""),
_xlpm.MyAuditVal,_xlfn.XLOOKUP($A156,My_Audit!$A:$A,My_Audit!L:L,""),
_xlfn.IFS(_xlpm.MyAuditVal&lt;&gt;"",UPPER(_xlpm.MyAuditVal),_xlpm.MacVal&lt;&gt;"",_xlpm.MacVal,_xlpm.CSVVal&lt;&gt;"",_xlpm.CSVVal
)),"")</f>
        <v/>
      </c>
      <c r="N156" s="40"/>
      <c r="O156" s="40" t="str">
        <f>_xlfn.LET(
    _xlpm.CSVVal, _xlfn.XLOOKUP($A156, CSV!$A:$A, CSV!AA:AA, ""),
    _xlpm.MacVal, _xlfn.XLOOKUP($A156, Output_Mac!$A:$A, Output_Mac!S:S, ""),
    _xlpm.MyAuditVal, _xlfn.XLOOKUP($A156, My_Audit!$A:$A, My_Audit!P:P, ""),
    _xlfn.TEXTJOIN(", ", TRUE, _xlpm.MyAuditVal, _xlpm.MacVal, _xlpm.CSVVal)
)</f>
        <v/>
      </c>
      <c r="P156" s="40" t="str" cm="1">
        <f t="array" ref="P156">IFERROR(_xlfn.LET(
_xlpm.CSVVal,_xlfn.XLOOKUP($A156,CSV!$A:$A,CSV!AB:AB,""),
_xlpm.MacVal,_xlfn.XLOOKUP($A156,Output_Mac!$A:$A,Output_Mac!T:T,""),
_xlpm.MyAuditVal,_xlfn.XLOOKUP($A156,My_Audit!$A:$A,My_Audit!Q:Q,""),
_xlfn.IFS(_xlpm.MyAuditVal&lt;&gt;"",UPPER(_xlpm.MyAuditVal),_xlpm.MacVal&lt;&gt;"",_xlpm.MacVal,_xlpm.CSVVal&lt;&gt;"",_xlpm.CSVVal
)),"No")</f>
        <v>No</v>
      </c>
      <c r="Q156" s="40" t="str" cm="1">
        <f t="array" ref="Q156">IFERROR(_xlfn.LET(
_xlpm.CSVVal,_xlfn.XLOOKUP($A156,CSV!$A:$A,CSV!AC:AC,""),
_xlpm.MacVal,_xlfn.XLOOKUP($A156,Output_Mac!$A:$A,Output_Mac!U:U,""),
_xlpm.MyAuditVal,_xlfn.XLOOKUP($A156,My_Audit!$A:$A,My_Audit!R:R,""),
_xlfn.IFS(_xlpm.MyAuditVal&lt;&gt;"",UPPER(_xlpm.MyAuditVal),_xlpm.MacVal&lt;&gt;"",_xlpm.MacVal,_xlpm.CSVVal&lt;&gt;"",_xlpm.CSVVal
)),"")</f>
        <v/>
      </c>
      <c r="R156" s="40"/>
      <c r="S156" s="40"/>
      <c r="T156" s="40"/>
      <c r="U156" s="40"/>
      <c r="V156" s="40"/>
      <c r="W156" s="40"/>
      <c r="X156" s="41" t="str">
        <f>_xlfn.LET(
    _xlpm.MacVal, _xlfn.XLOOKUP($A156, Output_Mac!$A:$A, Output_Mac!AB:AB, ""),
    _xlpm.MyAuditVal, _xlfn.XLOOKUP($A156, My_Audit!$A:$A, My_Audit!N:N, ""),
    _xlfn.TEXTJOIN(", ", TRUE, _xlpm.MyAuditVal, _xlpm.MacVal)
)</f>
        <v/>
      </c>
    </row>
    <row r="157" spans="1:24">
      <c r="A157" s="40" t="str">
        <f>_xlfn.TEXTJOIN("",TRUE,Input!$B$2,ROW(My_Audit!A156))</f>
        <v>X156</v>
      </c>
      <c r="B157" s="40" t="str">
        <f>_xlfn.TEXTJOIN("-",TRUE,"ITD",Input!$A$2,A157)</f>
        <v>ITD-X156</v>
      </c>
      <c r="C157" s="40" t="str" cm="1">
        <f t="array" ref="C157">IFERROR(_xlfn.LET(
_xlpm.CSVVal,_xlfn.XLOOKUP($A157,CSV!$A:$A,CSV!B:B,""),
_xlpm.MacVal,_xlfn.XLOOKUP($A157,Output_Mac!$A:$A,Output_Mac!B:B,""),
_xlpm.MyAuditVal,_xlfn.XLOOKUP($A157,My_Audit!$A:$A,My_Audit!B:B,""),
_xlfn.IFS(_xlpm.MyAuditVal&lt;&gt;"",UPPER(_xlpm.MyAuditVal),_xlpm.MacVal&lt;&gt;"",_xlpm.MacVal,_xlpm.CSVVal&lt;&gt;"",_xlpm.CSVVal
)),"")</f>
        <v/>
      </c>
      <c r="D157" s="40" t="str" cm="1">
        <f t="array" ref="D157">IFERROR(_xlfn.LET(
_xlpm.CSVVal,_xlfn.XLOOKUP($A157,CSV!$A:$A,CSV!D:D,""),
_xlpm.MacVal,_xlfn.XLOOKUP($A157,Output_Mac!$A:$A,Output_Mac!C:C,""),
_xlpm.MyAuditVal,_xlfn.XLOOKUP($A157,My_Audit!$A:$A,My_Audit!C:C,""),
_xlfn.IFS(_xlpm.MyAuditVal&lt;&gt;"",_xlpm.MyAuditVal,_xlpm.MacVal&lt;&gt;"",_xlpm.MacVal,_xlpm.CSVVal&lt;&gt;"",_xlpm.CSVVal
)),"")</f>
        <v/>
      </c>
      <c r="E157" s="40">
        <f>_xlfn.XLOOKUP(A157,My_Audit!A:A,My_Audit!D:D,"")</f>
        <v>0</v>
      </c>
      <c r="F157" s="40" t="str" cm="1">
        <f t="array" ref="F157">IFERROR(_xlfn.LET(
_xlpm.CSVVal,_xlfn.XLOOKUP($A157,CSV!$A:$A,CSV!F:F,""),
_xlpm.MacVal,_xlfn.XLOOKUP($A157,Output_Mac!$A:$A,Output_Mac!E:E,""),
_xlpm.MyAuditVal,_xlfn.XLOOKUP($A157,My_Audit!$A:$A,My_Audit!E:E,""),
_xlfn.IFS(_xlpm.MyAuditVal&lt;&gt;"",_xlpm.MyAuditVal,_xlpm.MacVal&lt;&gt;"",_xlpm.MacVal,_xlpm.CSVVal&lt;&gt;"",_xlpm.CSVVal
)),"")</f>
        <v/>
      </c>
      <c r="G157" s="40" t="str" cm="1">
        <f t="array" ref="G157">IFERROR(_xlfn.LET(
_xlpm.CSVVal,_xlfn.XLOOKUP($A157,CSV!$A:$A,CSV!G:G,""),
_xlpm.MacVal,_xlfn.XLOOKUP($A157,Output_Mac!$A:$A,Output_Mac!F:F,""),
_xlpm.MyAuditVal,_xlfn.XLOOKUP($A157,My_Audit!$A:$A,My_Audit!F:F,""),
_xlfn.IFS(_xlpm.MyAuditVal&lt;&gt;"",_xlpm.MyAuditVal,_xlpm.MacVal&lt;&gt;"",_xlpm.MacVal,_xlpm.CSVVal&lt;&gt;"",PROPER(_xlpm.CSVVal)
)),"")</f>
        <v/>
      </c>
      <c r="H157" s="40" t="str" cm="1">
        <f t="array" ref="H157">IFERROR(_xlfn.LET(
_xlpm.CSVVal,_xlfn.XLOOKUP($A157,CSV!$A:$A,CSV!H:H,""),
_xlpm.MacVal,_xlfn.XLOOKUP($A157,Output_Mac!$A:$A,Output_Mac!H:H,""),
_xlpm.MyAuditVal,_xlfn.XLOOKUP($A157,My_Audit!$A:$A,My_Audit!G:G,""),
_xlfn.IFS(_xlpm.MyAuditVal&lt;&gt;"",_xlpm.MyAuditVal,_xlpm.MacVal&lt;&gt;"",_xlpm.MacVal,_xlpm.CSVVal&lt;&gt;"",_xlpm.CSVVal
)),"")</f>
        <v/>
      </c>
      <c r="I157" s="40" t="str">
        <f>_xlfn.XLOOKUP(A157,Output_Mac!A:A,Output_Mac!I:I,"")</f>
        <v/>
      </c>
      <c r="J157" s="40" t="str" cm="1">
        <f t="array" ref="J157">IFERROR(_xlfn.LET(
_xlpm.CSVVal,_xlfn.XLOOKUP($A157,CSV!$A:$A,CSV!I:I,""),
_xlpm.MacVal,_xlfn.XLOOKUP($A157,Output_Mac!$A:$A,Output_Mac!J:J,""),
_xlpm.MyAuditVal,_xlfn.XLOOKUP($A157,My_Audit!$A:$A,My_Audit!I:I,""),
_xlfn.IFS(_xlpm.MyAuditVal&lt;&gt;"",UPPER(_xlpm.MyAuditVal),_xlpm.MacVal&lt;&gt;"",_xlpm.MacVal,_xlpm.CSVVal&lt;&gt;"",_xlpm.CSVVal
)),"")</f>
        <v/>
      </c>
      <c r="K157" s="40" t="str" cm="1">
        <f t="array" ref="K157">IFERROR(_xlfn.LET(
_xlpm.CSVVal,_xlfn.XLOOKUP($A157,CSV!$A:$A,CSV!K:K,""),
_xlpm.MacVal,_xlfn.XLOOKUP($A157,Output_Mac!$A:$A,Output_Mac!K:K,""),
_xlpm.MyAuditVal,_xlfn.XLOOKUP($A157,My_Audit!$A:$A,My_Audit!J:J,""),
_xlfn.IFS(_xlpm.MyAuditVal&lt;&gt;"",UPPER(_xlpm.MyAuditVal),_xlpm.MacVal&lt;&gt;"",_xlpm.MacVal,_xlpm.CSVVal&lt;&gt;"",_xlpm.CSVVal
)),"")</f>
        <v/>
      </c>
      <c r="L157" s="40" t="str" cm="1">
        <f t="array" ref="L157">IFERROR(_xlfn.LET(
_xlpm.CSVVal,_xlfn.XLOOKUP($A157,CSV!$A:$A,CSV!P:P,""),
_xlpm.MacVal,_xlfn.XLOOKUP($A157,Output_Mac!$A:$A,Output_Mac!L:L,""),
_xlpm.MyAuditVal,_xlfn.XLOOKUP($A157,My_Audit!$A:$A,My_Audit!K:K,""),
_xlfn.IFS(_xlpm.MyAuditVal&lt;&gt;"",UPPER(_xlpm.MyAuditVal),_xlpm.MacVal&lt;&gt;"",_xlpm.MacVal,_xlpm.CSVVal&lt;&gt;"",_xlpm.CSVVal
)),"")</f>
        <v/>
      </c>
      <c r="M157" s="40" t="str" cm="1">
        <f t="array" ref="M157">IFERROR(_xlfn.LET(
_xlpm.CSVVal,_xlfn.XLOOKUP($A157,CSV!$A:$A,CSV!Q:Q,""),
_xlpm.MacVal,_xlfn.XLOOKUP($A157,Output_Mac!$A:$A,Output_Mac!M:M,""),
_xlpm.MyAuditVal,_xlfn.XLOOKUP($A157,My_Audit!$A:$A,My_Audit!L:L,""),
_xlfn.IFS(_xlpm.MyAuditVal&lt;&gt;"",UPPER(_xlpm.MyAuditVal),_xlpm.MacVal&lt;&gt;"",_xlpm.MacVal,_xlpm.CSVVal&lt;&gt;"",_xlpm.CSVVal
)),"")</f>
        <v/>
      </c>
      <c r="N157" s="40"/>
      <c r="O157" s="40" t="str">
        <f>_xlfn.LET(
    _xlpm.CSVVal, _xlfn.XLOOKUP($A157, CSV!$A:$A, CSV!AA:AA, ""),
    _xlpm.MacVal, _xlfn.XLOOKUP($A157, Output_Mac!$A:$A, Output_Mac!S:S, ""),
    _xlpm.MyAuditVal, _xlfn.XLOOKUP($A157, My_Audit!$A:$A, My_Audit!P:P, ""),
    _xlfn.TEXTJOIN(", ", TRUE, _xlpm.MyAuditVal, _xlpm.MacVal, _xlpm.CSVVal)
)</f>
        <v/>
      </c>
      <c r="P157" s="40" t="str" cm="1">
        <f t="array" ref="P157">IFERROR(_xlfn.LET(
_xlpm.CSVVal,_xlfn.XLOOKUP($A157,CSV!$A:$A,CSV!AB:AB,""),
_xlpm.MacVal,_xlfn.XLOOKUP($A157,Output_Mac!$A:$A,Output_Mac!T:T,""),
_xlpm.MyAuditVal,_xlfn.XLOOKUP($A157,My_Audit!$A:$A,My_Audit!Q:Q,""),
_xlfn.IFS(_xlpm.MyAuditVal&lt;&gt;"",UPPER(_xlpm.MyAuditVal),_xlpm.MacVal&lt;&gt;"",_xlpm.MacVal,_xlpm.CSVVal&lt;&gt;"",_xlpm.CSVVal
)),"No")</f>
        <v>No</v>
      </c>
      <c r="Q157" s="40" t="str" cm="1">
        <f t="array" ref="Q157">IFERROR(_xlfn.LET(
_xlpm.CSVVal,_xlfn.XLOOKUP($A157,CSV!$A:$A,CSV!AC:AC,""),
_xlpm.MacVal,_xlfn.XLOOKUP($A157,Output_Mac!$A:$A,Output_Mac!U:U,""),
_xlpm.MyAuditVal,_xlfn.XLOOKUP($A157,My_Audit!$A:$A,My_Audit!R:R,""),
_xlfn.IFS(_xlpm.MyAuditVal&lt;&gt;"",UPPER(_xlpm.MyAuditVal),_xlpm.MacVal&lt;&gt;"",_xlpm.MacVal,_xlpm.CSVVal&lt;&gt;"",_xlpm.CSVVal
)),"")</f>
        <v/>
      </c>
      <c r="R157" s="40"/>
      <c r="S157" s="40"/>
      <c r="T157" s="40"/>
      <c r="U157" s="40"/>
      <c r="V157" s="40"/>
      <c r="W157" s="40"/>
      <c r="X157" s="41" t="str">
        <f>_xlfn.LET(
    _xlpm.MacVal, _xlfn.XLOOKUP($A157, Output_Mac!$A:$A, Output_Mac!AB:AB, ""),
    _xlpm.MyAuditVal, _xlfn.XLOOKUP($A157, My_Audit!$A:$A, My_Audit!N:N, ""),
    _xlfn.TEXTJOIN(", ", TRUE, _xlpm.MyAuditVal, _xlpm.MacVal)
)</f>
        <v/>
      </c>
    </row>
    <row r="158" spans="1:24">
      <c r="A158" s="40" t="str">
        <f>_xlfn.TEXTJOIN("",TRUE,Input!$B$2,ROW(My_Audit!A157))</f>
        <v>X157</v>
      </c>
      <c r="B158" s="40" t="str">
        <f>_xlfn.TEXTJOIN("-",TRUE,"ITD",Input!$A$2,A158)</f>
        <v>ITD-X157</v>
      </c>
      <c r="C158" s="40" t="str" cm="1">
        <f t="array" ref="C158">IFERROR(_xlfn.LET(
_xlpm.CSVVal,_xlfn.XLOOKUP($A158,CSV!$A:$A,CSV!B:B,""),
_xlpm.MacVal,_xlfn.XLOOKUP($A158,Output_Mac!$A:$A,Output_Mac!B:B,""),
_xlpm.MyAuditVal,_xlfn.XLOOKUP($A158,My_Audit!$A:$A,My_Audit!B:B,""),
_xlfn.IFS(_xlpm.MyAuditVal&lt;&gt;"",UPPER(_xlpm.MyAuditVal),_xlpm.MacVal&lt;&gt;"",_xlpm.MacVal,_xlpm.CSVVal&lt;&gt;"",_xlpm.CSVVal
)),"")</f>
        <v/>
      </c>
      <c r="D158" s="40" t="str" cm="1">
        <f t="array" ref="D158">IFERROR(_xlfn.LET(
_xlpm.CSVVal,_xlfn.XLOOKUP($A158,CSV!$A:$A,CSV!D:D,""),
_xlpm.MacVal,_xlfn.XLOOKUP($A158,Output_Mac!$A:$A,Output_Mac!C:C,""),
_xlpm.MyAuditVal,_xlfn.XLOOKUP($A158,My_Audit!$A:$A,My_Audit!C:C,""),
_xlfn.IFS(_xlpm.MyAuditVal&lt;&gt;"",_xlpm.MyAuditVal,_xlpm.MacVal&lt;&gt;"",_xlpm.MacVal,_xlpm.CSVVal&lt;&gt;"",_xlpm.CSVVal
)),"")</f>
        <v/>
      </c>
      <c r="E158" s="40">
        <f>_xlfn.XLOOKUP(A158,My_Audit!A:A,My_Audit!D:D,"")</f>
        <v>0</v>
      </c>
      <c r="F158" s="40" t="str" cm="1">
        <f t="array" ref="F158">IFERROR(_xlfn.LET(
_xlpm.CSVVal,_xlfn.XLOOKUP($A158,CSV!$A:$A,CSV!F:F,""),
_xlpm.MacVal,_xlfn.XLOOKUP($A158,Output_Mac!$A:$A,Output_Mac!E:E,""),
_xlpm.MyAuditVal,_xlfn.XLOOKUP($A158,My_Audit!$A:$A,My_Audit!E:E,""),
_xlfn.IFS(_xlpm.MyAuditVal&lt;&gt;"",_xlpm.MyAuditVal,_xlpm.MacVal&lt;&gt;"",_xlpm.MacVal,_xlpm.CSVVal&lt;&gt;"",_xlpm.CSVVal
)),"")</f>
        <v/>
      </c>
      <c r="G158" s="40" t="str" cm="1">
        <f t="array" ref="G158">IFERROR(_xlfn.LET(
_xlpm.CSVVal,_xlfn.XLOOKUP($A158,CSV!$A:$A,CSV!G:G,""),
_xlpm.MacVal,_xlfn.XLOOKUP($A158,Output_Mac!$A:$A,Output_Mac!F:F,""),
_xlpm.MyAuditVal,_xlfn.XLOOKUP($A158,My_Audit!$A:$A,My_Audit!F:F,""),
_xlfn.IFS(_xlpm.MyAuditVal&lt;&gt;"",_xlpm.MyAuditVal,_xlpm.MacVal&lt;&gt;"",_xlpm.MacVal,_xlpm.CSVVal&lt;&gt;"",PROPER(_xlpm.CSVVal)
)),"")</f>
        <v/>
      </c>
      <c r="H158" s="40" t="str" cm="1">
        <f t="array" ref="H158">IFERROR(_xlfn.LET(
_xlpm.CSVVal,_xlfn.XLOOKUP($A158,CSV!$A:$A,CSV!H:H,""),
_xlpm.MacVal,_xlfn.XLOOKUP($A158,Output_Mac!$A:$A,Output_Mac!H:H,""),
_xlpm.MyAuditVal,_xlfn.XLOOKUP($A158,My_Audit!$A:$A,My_Audit!G:G,""),
_xlfn.IFS(_xlpm.MyAuditVal&lt;&gt;"",_xlpm.MyAuditVal,_xlpm.MacVal&lt;&gt;"",_xlpm.MacVal,_xlpm.CSVVal&lt;&gt;"",_xlpm.CSVVal
)),"")</f>
        <v/>
      </c>
      <c r="I158" s="40" t="str">
        <f>_xlfn.XLOOKUP(A158,Output_Mac!A:A,Output_Mac!I:I,"")</f>
        <v/>
      </c>
      <c r="J158" s="40" t="str" cm="1">
        <f t="array" ref="J158">IFERROR(_xlfn.LET(
_xlpm.CSVVal,_xlfn.XLOOKUP($A158,CSV!$A:$A,CSV!I:I,""),
_xlpm.MacVal,_xlfn.XLOOKUP($A158,Output_Mac!$A:$A,Output_Mac!J:J,""),
_xlpm.MyAuditVal,_xlfn.XLOOKUP($A158,My_Audit!$A:$A,My_Audit!I:I,""),
_xlfn.IFS(_xlpm.MyAuditVal&lt;&gt;"",UPPER(_xlpm.MyAuditVal),_xlpm.MacVal&lt;&gt;"",_xlpm.MacVal,_xlpm.CSVVal&lt;&gt;"",_xlpm.CSVVal
)),"")</f>
        <v/>
      </c>
      <c r="K158" s="40" t="str" cm="1">
        <f t="array" ref="K158">IFERROR(_xlfn.LET(
_xlpm.CSVVal,_xlfn.XLOOKUP($A158,CSV!$A:$A,CSV!K:K,""),
_xlpm.MacVal,_xlfn.XLOOKUP($A158,Output_Mac!$A:$A,Output_Mac!K:K,""),
_xlpm.MyAuditVal,_xlfn.XLOOKUP($A158,My_Audit!$A:$A,My_Audit!J:J,""),
_xlfn.IFS(_xlpm.MyAuditVal&lt;&gt;"",UPPER(_xlpm.MyAuditVal),_xlpm.MacVal&lt;&gt;"",_xlpm.MacVal,_xlpm.CSVVal&lt;&gt;"",_xlpm.CSVVal
)),"")</f>
        <v/>
      </c>
      <c r="L158" s="40" t="str" cm="1">
        <f t="array" ref="L158">IFERROR(_xlfn.LET(
_xlpm.CSVVal,_xlfn.XLOOKUP($A158,CSV!$A:$A,CSV!P:P,""),
_xlpm.MacVal,_xlfn.XLOOKUP($A158,Output_Mac!$A:$A,Output_Mac!L:L,""),
_xlpm.MyAuditVal,_xlfn.XLOOKUP($A158,My_Audit!$A:$A,My_Audit!K:K,""),
_xlfn.IFS(_xlpm.MyAuditVal&lt;&gt;"",UPPER(_xlpm.MyAuditVal),_xlpm.MacVal&lt;&gt;"",_xlpm.MacVal,_xlpm.CSVVal&lt;&gt;"",_xlpm.CSVVal
)),"")</f>
        <v/>
      </c>
      <c r="M158" s="40" t="str" cm="1">
        <f t="array" ref="M158">IFERROR(_xlfn.LET(
_xlpm.CSVVal,_xlfn.XLOOKUP($A158,CSV!$A:$A,CSV!Q:Q,""),
_xlpm.MacVal,_xlfn.XLOOKUP($A158,Output_Mac!$A:$A,Output_Mac!M:M,""),
_xlpm.MyAuditVal,_xlfn.XLOOKUP($A158,My_Audit!$A:$A,My_Audit!L:L,""),
_xlfn.IFS(_xlpm.MyAuditVal&lt;&gt;"",UPPER(_xlpm.MyAuditVal),_xlpm.MacVal&lt;&gt;"",_xlpm.MacVal,_xlpm.CSVVal&lt;&gt;"",_xlpm.CSVVal
)),"")</f>
        <v/>
      </c>
      <c r="N158" s="40"/>
      <c r="O158" s="40" t="str">
        <f>_xlfn.LET(
    _xlpm.CSVVal, _xlfn.XLOOKUP($A158, CSV!$A:$A, CSV!AA:AA, ""),
    _xlpm.MacVal, _xlfn.XLOOKUP($A158, Output_Mac!$A:$A, Output_Mac!S:S, ""),
    _xlpm.MyAuditVal, _xlfn.XLOOKUP($A158, My_Audit!$A:$A, My_Audit!P:P, ""),
    _xlfn.TEXTJOIN(", ", TRUE, _xlpm.MyAuditVal, _xlpm.MacVal, _xlpm.CSVVal)
)</f>
        <v/>
      </c>
      <c r="P158" s="40" t="str" cm="1">
        <f t="array" ref="P158">IFERROR(_xlfn.LET(
_xlpm.CSVVal,_xlfn.XLOOKUP($A158,CSV!$A:$A,CSV!AB:AB,""),
_xlpm.MacVal,_xlfn.XLOOKUP($A158,Output_Mac!$A:$A,Output_Mac!T:T,""),
_xlpm.MyAuditVal,_xlfn.XLOOKUP($A158,My_Audit!$A:$A,My_Audit!Q:Q,""),
_xlfn.IFS(_xlpm.MyAuditVal&lt;&gt;"",UPPER(_xlpm.MyAuditVal),_xlpm.MacVal&lt;&gt;"",_xlpm.MacVal,_xlpm.CSVVal&lt;&gt;"",_xlpm.CSVVal
)),"No")</f>
        <v>No</v>
      </c>
      <c r="Q158" s="40" t="str" cm="1">
        <f t="array" ref="Q158">IFERROR(_xlfn.LET(
_xlpm.CSVVal,_xlfn.XLOOKUP($A158,CSV!$A:$A,CSV!AC:AC,""),
_xlpm.MacVal,_xlfn.XLOOKUP($A158,Output_Mac!$A:$A,Output_Mac!U:U,""),
_xlpm.MyAuditVal,_xlfn.XLOOKUP($A158,My_Audit!$A:$A,My_Audit!R:R,""),
_xlfn.IFS(_xlpm.MyAuditVal&lt;&gt;"",UPPER(_xlpm.MyAuditVal),_xlpm.MacVal&lt;&gt;"",_xlpm.MacVal,_xlpm.CSVVal&lt;&gt;"",_xlpm.CSVVal
)),"")</f>
        <v/>
      </c>
      <c r="R158" s="40"/>
      <c r="S158" s="40"/>
      <c r="T158" s="40"/>
      <c r="U158" s="40"/>
      <c r="V158" s="40"/>
      <c r="W158" s="40"/>
      <c r="X158" s="41" t="str">
        <f>_xlfn.LET(
    _xlpm.MacVal, _xlfn.XLOOKUP($A158, Output_Mac!$A:$A, Output_Mac!AB:AB, ""),
    _xlpm.MyAuditVal, _xlfn.XLOOKUP($A158, My_Audit!$A:$A, My_Audit!N:N, ""),
    _xlfn.TEXTJOIN(", ", TRUE, _xlpm.MyAuditVal, _xlpm.MacVal)
)</f>
        <v/>
      </c>
    </row>
    <row r="159" spans="1:24">
      <c r="A159" s="40" t="str">
        <f>_xlfn.TEXTJOIN("",TRUE,Input!$B$2,ROW(My_Audit!A158))</f>
        <v>X158</v>
      </c>
      <c r="B159" s="40" t="str">
        <f>_xlfn.TEXTJOIN("-",TRUE,"ITD",Input!$A$2,A159)</f>
        <v>ITD-X158</v>
      </c>
      <c r="C159" s="40" t="str" cm="1">
        <f t="array" ref="C159">IFERROR(_xlfn.LET(
_xlpm.CSVVal,_xlfn.XLOOKUP($A159,CSV!$A:$A,CSV!B:B,""),
_xlpm.MacVal,_xlfn.XLOOKUP($A159,Output_Mac!$A:$A,Output_Mac!B:B,""),
_xlpm.MyAuditVal,_xlfn.XLOOKUP($A159,My_Audit!$A:$A,My_Audit!B:B,""),
_xlfn.IFS(_xlpm.MyAuditVal&lt;&gt;"",UPPER(_xlpm.MyAuditVal),_xlpm.MacVal&lt;&gt;"",_xlpm.MacVal,_xlpm.CSVVal&lt;&gt;"",_xlpm.CSVVal
)),"")</f>
        <v/>
      </c>
      <c r="D159" s="40" t="str" cm="1">
        <f t="array" ref="D159">IFERROR(_xlfn.LET(
_xlpm.CSVVal,_xlfn.XLOOKUP($A159,CSV!$A:$A,CSV!D:D,""),
_xlpm.MacVal,_xlfn.XLOOKUP($A159,Output_Mac!$A:$A,Output_Mac!C:C,""),
_xlpm.MyAuditVal,_xlfn.XLOOKUP($A159,My_Audit!$A:$A,My_Audit!C:C,""),
_xlfn.IFS(_xlpm.MyAuditVal&lt;&gt;"",_xlpm.MyAuditVal,_xlpm.MacVal&lt;&gt;"",_xlpm.MacVal,_xlpm.CSVVal&lt;&gt;"",_xlpm.CSVVal
)),"")</f>
        <v/>
      </c>
      <c r="E159" s="40">
        <f>_xlfn.XLOOKUP(A159,My_Audit!A:A,My_Audit!D:D,"")</f>
        <v>0</v>
      </c>
      <c r="F159" s="40" t="str" cm="1">
        <f t="array" ref="F159">IFERROR(_xlfn.LET(
_xlpm.CSVVal,_xlfn.XLOOKUP($A159,CSV!$A:$A,CSV!F:F,""),
_xlpm.MacVal,_xlfn.XLOOKUP($A159,Output_Mac!$A:$A,Output_Mac!E:E,""),
_xlpm.MyAuditVal,_xlfn.XLOOKUP($A159,My_Audit!$A:$A,My_Audit!E:E,""),
_xlfn.IFS(_xlpm.MyAuditVal&lt;&gt;"",_xlpm.MyAuditVal,_xlpm.MacVal&lt;&gt;"",_xlpm.MacVal,_xlpm.CSVVal&lt;&gt;"",_xlpm.CSVVal
)),"")</f>
        <v/>
      </c>
      <c r="G159" s="40" t="str" cm="1">
        <f t="array" ref="G159">IFERROR(_xlfn.LET(
_xlpm.CSVVal,_xlfn.XLOOKUP($A159,CSV!$A:$A,CSV!G:G,""),
_xlpm.MacVal,_xlfn.XLOOKUP($A159,Output_Mac!$A:$A,Output_Mac!F:F,""),
_xlpm.MyAuditVal,_xlfn.XLOOKUP($A159,My_Audit!$A:$A,My_Audit!F:F,""),
_xlfn.IFS(_xlpm.MyAuditVal&lt;&gt;"",_xlpm.MyAuditVal,_xlpm.MacVal&lt;&gt;"",_xlpm.MacVal,_xlpm.CSVVal&lt;&gt;"",PROPER(_xlpm.CSVVal)
)),"")</f>
        <v/>
      </c>
      <c r="H159" s="40" t="str" cm="1">
        <f t="array" ref="H159">IFERROR(_xlfn.LET(
_xlpm.CSVVal,_xlfn.XLOOKUP($A159,CSV!$A:$A,CSV!H:H,""),
_xlpm.MacVal,_xlfn.XLOOKUP($A159,Output_Mac!$A:$A,Output_Mac!H:H,""),
_xlpm.MyAuditVal,_xlfn.XLOOKUP($A159,My_Audit!$A:$A,My_Audit!G:G,""),
_xlfn.IFS(_xlpm.MyAuditVal&lt;&gt;"",_xlpm.MyAuditVal,_xlpm.MacVal&lt;&gt;"",_xlpm.MacVal,_xlpm.CSVVal&lt;&gt;"",_xlpm.CSVVal
)),"")</f>
        <v/>
      </c>
      <c r="I159" s="40" t="str">
        <f>_xlfn.XLOOKUP(A159,Output_Mac!A:A,Output_Mac!I:I,"")</f>
        <v/>
      </c>
      <c r="J159" s="40" t="str" cm="1">
        <f t="array" ref="J159">IFERROR(_xlfn.LET(
_xlpm.CSVVal,_xlfn.XLOOKUP($A159,CSV!$A:$A,CSV!I:I,""),
_xlpm.MacVal,_xlfn.XLOOKUP($A159,Output_Mac!$A:$A,Output_Mac!J:J,""),
_xlpm.MyAuditVal,_xlfn.XLOOKUP($A159,My_Audit!$A:$A,My_Audit!I:I,""),
_xlfn.IFS(_xlpm.MyAuditVal&lt;&gt;"",UPPER(_xlpm.MyAuditVal),_xlpm.MacVal&lt;&gt;"",_xlpm.MacVal,_xlpm.CSVVal&lt;&gt;"",_xlpm.CSVVal
)),"")</f>
        <v/>
      </c>
      <c r="K159" s="40" t="str" cm="1">
        <f t="array" ref="K159">IFERROR(_xlfn.LET(
_xlpm.CSVVal,_xlfn.XLOOKUP($A159,CSV!$A:$A,CSV!K:K,""),
_xlpm.MacVal,_xlfn.XLOOKUP($A159,Output_Mac!$A:$A,Output_Mac!K:K,""),
_xlpm.MyAuditVal,_xlfn.XLOOKUP($A159,My_Audit!$A:$A,My_Audit!J:J,""),
_xlfn.IFS(_xlpm.MyAuditVal&lt;&gt;"",UPPER(_xlpm.MyAuditVal),_xlpm.MacVal&lt;&gt;"",_xlpm.MacVal,_xlpm.CSVVal&lt;&gt;"",_xlpm.CSVVal
)),"")</f>
        <v/>
      </c>
      <c r="L159" s="40" t="str" cm="1">
        <f t="array" ref="L159">IFERROR(_xlfn.LET(
_xlpm.CSVVal,_xlfn.XLOOKUP($A159,CSV!$A:$A,CSV!P:P,""),
_xlpm.MacVal,_xlfn.XLOOKUP($A159,Output_Mac!$A:$A,Output_Mac!L:L,""),
_xlpm.MyAuditVal,_xlfn.XLOOKUP($A159,My_Audit!$A:$A,My_Audit!K:K,""),
_xlfn.IFS(_xlpm.MyAuditVal&lt;&gt;"",UPPER(_xlpm.MyAuditVal),_xlpm.MacVal&lt;&gt;"",_xlpm.MacVal,_xlpm.CSVVal&lt;&gt;"",_xlpm.CSVVal
)),"")</f>
        <v/>
      </c>
      <c r="M159" s="40" t="str" cm="1">
        <f t="array" ref="M159">IFERROR(_xlfn.LET(
_xlpm.CSVVal,_xlfn.XLOOKUP($A159,CSV!$A:$A,CSV!Q:Q,""),
_xlpm.MacVal,_xlfn.XLOOKUP($A159,Output_Mac!$A:$A,Output_Mac!M:M,""),
_xlpm.MyAuditVal,_xlfn.XLOOKUP($A159,My_Audit!$A:$A,My_Audit!L:L,""),
_xlfn.IFS(_xlpm.MyAuditVal&lt;&gt;"",UPPER(_xlpm.MyAuditVal),_xlpm.MacVal&lt;&gt;"",_xlpm.MacVal,_xlpm.CSVVal&lt;&gt;"",_xlpm.CSVVal
)),"")</f>
        <v/>
      </c>
      <c r="N159" s="40"/>
      <c r="O159" s="40" t="str">
        <f>_xlfn.LET(
    _xlpm.CSVVal, _xlfn.XLOOKUP($A159, CSV!$A:$A, CSV!AA:AA, ""),
    _xlpm.MacVal, _xlfn.XLOOKUP($A159, Output_Mac!$A:$A, Output_Mac!S:S, ""),
    _xlpm.MyAuditVal, _xlfn.XLOOKUP($A159, My_Audit!$A:$A, My_Audit!P:P, ""),
    _xlfn.TEXTJOIN(", ", TRUE, _xlpm.MyAuditVal, _xlpm.MacVal, _xlpm.CSVVal)
)</f>
        <v/>
      </c>
      <c r="P159" s="40" t="str" cm="1">
        <f t="array" ref="P159">IFERROR(_xlfn.LET(
_xlpm.CSVVal,_xlfn.XLOOKUP($A159,CSV!$A:$A,CSV!AB:AB,""),
_xlpm.MacVal,_xlfn.XLOOKUP($A159,Output_Mac!$A:$A,Output_Mac!T:T,""),
_xlpm.MyAuditVal,_xlfn.XLOOKUP($A159,My_Audit!$A:$A,My_Audit!Q:Q,""),
_xlfn.IFS(_xlpm.MyAuditVal&lt;&gt;"",UPPER(_xlpm.MyAuditVal),_xlpm.MacVal&lt;&gt;"",_xlpm.MacVal,_xlpm.CSVVal&lt;&gt;"",_xlpm.CSVVal
)),"No")</f>
        <v>No</v>
      </c>
      <c r="Q159" s="40" t="str" cm="1">
        <f t="array" ref="Q159">IFERROR(_xlfn.LET(
_xlpm.CSVVal,_xlfn.XLOOKUP($A159,CSV!$A:$A,CSV!AC:AC,""),
_xlpm.MacVal,_xlfn.XLOOKUP($A159,Output_Mac!$A:$A,Output_Mac!U:U,""),
_xlpm.MyAuditVal,_xlfn.XLOOKUP($A159,My_Audit!$A:$A,My_Audit!R:R,""),
_xlfn.IFS(_xlpm.MyAuditVal&lt;&gt;"",UPPER(_xlpm.MyAuditVal),_xlpm.MacVal&lt;&gt;"",_xlpm.MacVal,_xlpm.CSVVal&lt;&gt;"",_xlpm.CSVVal
)),"")</f>
        <v/>
      </c>
      <c r="R159" s="40"/>
      <c r="S159" s="40"/>
      <c r="T159" s="40"/>
      <c r="U159" s="40"/>
      <c r="V159" s="40"/>
      <c r="W159" s="40"/>
      <c r="X159" s="41" t="str">
        <f>_xlfn.LET(
    _xlpm.MacVal, _xlfn.XLOOKUP($A159, Output_Mac!$A:$A, Output_Mac!AB:AB, ""),
    _xlpm.MyAuditVal, _xlfn.XLOOKUP($A159, My_Audit!$A:$A, My_Audit!N:N, ""),
    _xlfn.TEXTJOIN(", ", TRUE, _xlpm.MyAuditVal, _xlpm.MacVal)
)</f>
        <v/>
      </c>
    </row>
    <row r="160" spans="1:24">
      <c r="A160" s="40" t="str">
        <f>_xlfn.TEXTJOIN("",TRUE,Input!$B$2,ROW(My_Audit!A159))</f>
        <v>X159</v>
      </c>
      <c r="B160" s="40" t="str">
        <f>_xlfn.TEXTJOIN("-",TRUE,"ITD",Input!$A$2,A160)</f>
        <v>ITD-X159</v>
      </c>
      <c r="C160" s="40" t="str" cm="1">
        <f t="array" ref="C160">IFERROR(_xlfn.LET(
_xlpm.CSVVal,_xlfn.XLOOKUP($A160,CSV!$A:$A,CSV!B:B,""),
_xlpm.MacVal,_xlfn.XLOOKUP($A160,Output_Mac!$A:$A,Output_Mac!B:B,""),
_xlpm.MyAuditVal,_xlfn.XLOOKUP($A160,My_Audit!$A:$A,My_Audit!B:B,""),
_xlfn.IFS(_xlpm.MyAuditVal&lt;&gt;"",UPPER(_xlpm.MyAuditVal),_xlpm.MacVal&lt;&gt;"",_xlpm.MacVal,_xlpm.CSVVal&lt;&gt;"",_xlpm.CSVVal
)),"")</f>
        <v/>
      </c>
      <c r="D160" s="40" t="str" cm="1">
        <f t="array" ref="D160">IFERROR(_xlfn.LET(
_xlpm.CSVVal,_xlfn.XLOOKUP($A160,CSV!$A:$A,CSV!D:D,""),
_xlpm.MacVal,_xlfn.XLOOKUP($A160,Output_Mac!$A:$A,Output_Mac!C:C,""),
_xlpm.MyAuditVal,_xlfn.XLOOKUP($A160,My_Audit!$A:$A,My_Audit!C:C,""),
_xlfn.IFS(_xlpm.MyAuditVal&lt;&gt;"",_xlpm.MyAuditVal,_xlpm.MacVal&lt;&gt;"",_xlpm.MacVal,_xlpm.CSVVal&lt;&gt;"",_xlpm.CSVVal
)),"")</f>
        <v/>
      </c>
      <c r="E160" s="40">
        <f>_xlfn.XLOOKUP(A160,My_Audit!A:A,My_Audit!D:D,"")</f>
        <v>0</v>
      </c>
      <c r="F160" s="40" t="str" cm="1">
        <f t="array" ref="F160">IFERROR(_xlfn.LET(
_xlpm.CSVVal,_xlfn.XLOOKUP($A160,CSV!$A:$A,CSV!F:F,""),
_xlpm.MacVal,_xlfn.XLOOKUP($A160,Output_Mac!$A:$A,Output_Mac!E:E,""),
_xlpm.MyAuditVal,_xlfn.XLOOKUP($A160,My_Audit!$A:$A,My_Audit!E:E,""),
_xlfn.IFS(_xlpm.MyAuditVal&lt;&gt;"",_xlpm.MyAuditVal,_xlpm.MacVal&lt;&gt;"",_xlpm.MacVal,_xlpm.CSVVal&lt;&gt;"",_xlpm.CSVVal
)),"")</f>
        <v/>
      </c>
      <c r="G160" s="40" t="str" cm="1">
        <f t="array" ref="G160">IFERROR(_xlfn.LET(
_xlpm.CSVVal,_xlfn.XLOOKUP($A160,CSV!$A:$A,CSV!G:G,""),
_xlpm.MacVal,_xlfn.XLOOKUP($A160,Output_Mac!$A:$A,Output_Mac!F:F,""),
_xlpm.MyAuditVal,_xlfn.XLOOKUP($A160,My_Audit!$A:$A,My_Audit!F:F,""),
_xlfn.IFS(_xlpm.MyAuditVal&lt;&gt;"",_xlpm.MyAuditVal,_xlpm.MacVal&lt;&gt;"",_xlpm.MacVal,_xlpm.CSVVal&lt;&gt;"",PROPER(_xlpm.CSVVal)
)),"")</f>
        <v/>
      </c>
      <c r="H160" s="40" t="str" cm="1">
        <f t="array" ref="H160">IFERROR(_xlfn.LET(
_xlpm.CSVVal,_xlfn.XLOOKUP($A160,CSV!$A:$A,CSV!H:H,""),
_xlpm.MacVal,_xlfn.XLOOKUP($A160,Output_Mac!$A:$A,Output_Mac!H:H,""),
_xlpm.MyAuditVal,_xlfn.XLOOKUP($A160,My_Audit!$A:$A,My_Audit!G:G,""),
_xlfn.IFS(_xlpm.MyAuditVal&lt;&gt;"",_xlpm.MyAuditVal,_xlpm.MacVal&lt;&gt;"",_xlpm.MacVal,_xlpm.CSVVal&lt;&gt;"",_xlpm.CSVVal
)),"")</f>
        <v/>
      </c>
      <c r="I160" s="40" t="str">
        <f>_xlfn.XLOOKUP(A160,Output_Mac!A:A,Output_Mac!I:I,"")</f>
        <v/>
      </c>
      <c r="J160" s="40" t="str" cm="1">
        <f t="array" ref="J160">IFERROR(_xlfn.LET(
_xlpm.CSVVal,_xlfn.XLOOKUP($A160,CSV!$A:$A,CSV!I:I,""),
_xlpm.MacVal,_xlfn.XLOOKUP($A160,Output_Mac!$A:$A,Output_Mac!J:J,""),
_xlpm.MyAuditVal,_xlfn.XLOOKUP($A160,My_Audit!$A:$A,My_Audit!I:I,""),
_xlfn.IFS(_xlpm.MyAuditVal&lt;&gt;"",UPPER(_xlpm.MyAuditVal),_xlpm.MacVal&lt;&gt;"",_xlpm.MacVal,_xlpm.CSVVal&lt;&gt;"",_xlpm.CSVVal
)),"")</f>
        <v/>
      </c>
      <c r="K160" s="40" t="str" cm="1">
        <f t="array" ref="K160">IFERROR(_xlfn.LET(
_xlpm.CSVVal,_xlfn.XLOOKUP($A160,CSV!$A:$A,CSV!K:K,""),
_xlpm.MacVal,_xlfn.XLOOKUP($A160,Output_Mac!$A:$A,Output_Mac!K:K,""),
_xlpm.MyAuditVal,_xlfn.XLOOKUP($A160,My_Audit!$A:$A,My_Audit!J:J,""),
_xlfn.IFS(_xlpm.MyAuditVal&lt;&gt;"",UPPER(_xlpm.MyAuditVal),_xlpm.MacVal&lt;&gt;"",_xlpm.MacVal,_xlpm.CSVVal&lt;&gt;"",_xlpm.CSVVal
)),"")</f>
        <v/>
      </c>
      <c r="L160" s="40" t="str" cm="1">
        <f t="array" ref="L160">IFERROR(_xlfn.LET(
_xlpm.CSVVal,_xlfn.XLOOKUP($A160,CSV!$A:$A,CSV!P:P,""),
_xlpm.MacVal,_xlfn.XLOOKUP($A160,Output_Mac!$A:$A,Output_Mac!L:L,""),
_xlpm.MyAuditVal,_xlfn.XLOOKUP($A160,My_Audit!$A:$A,My_Audit!K:K,""),
_xlfn.IFS(_xlpm.MyAuditVal&lt;&gt;"",UPPER(_xlpm.MyAuditVal),_xlpm.MacVal&lt;&gt;"",_xlpm.MacVal,_xlpm.CSVVal&lt;&gt;"",_xlpm.CSVVal
)),"")</f>
        <v/>
      </c>
      <c r="M160" s="40" t="str" cm="1">
        <f t="array" ref="M160">IFERROR(_xlfn.LET(
_xlpm.CSVVal,_xlfn.XLOOKUP($A160,CSV!$A:$A,CSV!Q:Q,""),
_xlpm.MacVal,_xlfn.XLOOKUP($A160,Output_Mac!$A:$A,Output_Mac!M:M,""),
_xlpm.MyAuditVal,_xlfn.XLOOKUP($A160,My_Audit!$A:$A,My_Audit!L:L,""),
_xlfn.IFS(_xlpm.MyAuditVal&lt;&gt;"",UPPER(_xlpm.MyAuditVal),_xlpm.MacVal&lt;&gt;"",_xlpm.MacVal,_xlpm.CSVVal&lt;&gt;"",_xlpm.CSVVal
)),"")</f>
        <v/>
      </c>
      <c r="N160" s="40"/>
      <c r="O160" s="40" t="str">
        <f>_xlfn.LET(
    _xlpm.CSVVal, _xlfn.XLOOKUP($A160, CSV!$A:$A, CSV!AA:AA, ""),
    _xlpm.MacVal, _xlfn.XLOOKUP($A160, Output_Mac!$A:$A, Output_Mac!S:S, ""),
    _xlpm.MyAuditVal, _xlfn.XLOOKUP($A160, My_Audit!$A:$A, My_Audit!P:P, ""),
    _xlfn.TEXTJOIN(", ", TRUE, _xlpm.MyAuditVal, _xlpm.MacVal, _xlpm.CSVVal)
)</f>
        <v/>
      </c>
      <c r="P160" s="40" t="str" cm="1">
        <f t="array" ref="P160">IFERROR(_xlfn.LET(
_xlpm.CSVVal,_xlfn.XLOOKUP($A160,CSV!$A:$A,CSV!AB:AB,""),
_xlpm.MacVal,_xlfn.XLOOKUP($A160,Output_Mac!$A:$A,Output_Mac!T:T,""),
_xlpm.MyAuditVal,_xlfn.XLOOKUP($A160,My_Audit!$A:$A,My_Audit!Q:Q,""),
_xlfn.IFS(_xlpm.MyAuditVal&lt;&gt;"",UPPER(_xlpm.MyAuditVal),_xlpm.MacVal&lt;&gt;"",_xlpm.MacVal,_xlpm.CSVVal&lt;&gt;"",_xlpm.CSVVal
)),"No")</f>
        <v>No</v>
      </c>
      <c r="Q160" s="40" t="str" cm="1">
        <f t="array" ref="Q160">IFERROR(_xlfn.LET(
_xlpm.CSVVal,_xlfn.XLOOKUP($A160,CSV!$A:$A,CSV!AC:AC,""),
_xlpm.MacVal,_xlfn.XLOOKUP($A160,Output_Mac!$A:$A,Output_Mac!U:U,""),
_xlpm.MyAuditVal,_xlfn.XLOOKUP($A160,My_Audit!$A:$A,My_Audit!R:R,""),
_xlfn.IFS(_xlpm.MyAuditVal&lt;&gt;"",UPPER(_xlpm.MyAuditVal),_xlpm.MacVal&lt;&gt;"",_xlpm.MacVal,_xlpm.CSVVal&lt;&gt;"",_xlpm.CSVVal
)),"")</f>
        <v/>
      </c>
      <c r="R160" s="40"/>
      <c r="S160" s="40"/>
      <c r="T160" s="40"/>
      <c r="U160" s="40"/>
      <c r="V160" s="40"/>
      <c r="W160" s="40"/>
      <c r="X160" s="41" t="str">
        <f>_xlfn.LET(
    _xlpm.MacVal, _xlfn.XLOOKUP($A160, Output_Mac!$A:$A, Output_Mac!AB:AB, ""),
    _xlpm.MyAuditVal, _xlfn.XLOOKUP($A160, My_Audit!$A:$A, My_Audit!N:N, ""),
    _xlfn.TEXTJOIN(", ", TRUE, _xlpm.MyAuditVal, _xlpm.MacVal)
)</f>
        <v/>
      </c>
    </row>
    <row r="161" spans="1:24">
      <c r="A161" s="40" t="str">
        <f>_xlfn.TEXTJOIN("",TRUE,Input!$B$2,ROW(My_Audit!A160))</f>
        <v>X160</v>
      </c>
      <c r="B161" s="40" t="str">
        <f>_xlfn.TEXTJOIN("-",TRUE,"ITD",Input!$A$2,A161)</f>
        <v>ITD-X160</v>
      </c>
      <c r="C161" s="40" t="str" cm="1">
        <f t="array" ref="C161">IFERROR(_xlfn.LET(
_xlpm.CSVVal,_xlfn.XLOOKUP($A161,CSV!$A:$A,CSV!B:B,""),
_xlpm.MacVal,_xlfn.XLOOKUP($A161,Output_Mac!$A:$A,Output_Mac!B:B,""),
_xlpm.MyAuditVal,_xlfn.XLOOKUP($A161,My_Audit!$A:$A,My_Audit!B:B,""),
_xlfn.IFS(_xlpm.MyAuditVal&lt;&gt;"",UPPER(_xlpm.MyAuditVal),_xlpm.MacVal&lt;&gt;"",_xlpm.MacVal,_xlpm.CSVVal&lt;&gt;"",_xlpm.CSVVal
)),"")</f>
        <v/>
      </c>
      <c r="D161" s="40" t="str" cm="1">
        <f t="array" ref="D161">IFERROR(_xlfn.LET(
_xlpm.CSVVal,_xlfn.XLOOKUP($A161,CSV!$A:$A,CSV!D:D,""),
_xlpm.MacVal,_xlfn.XLOOKUP($A161,Output_Mac!$A:$A,Output_Mac!C:C,""),
_xlpm.MyAuditVal,_xlfn.XLOOKUP($A161,My_Audit!$A:$A,My_Audit!C:C,""),
_xlfn.IFS(_xlpm.MyAuditVal&lt;&gt;"",_xlpm.MyAuditVal,_xlpm.MacVal&lt;&gt;"",_xlpm.MacVal,_xlpm.CSVVal&lt;&gt;"",_xlpm.CSVVal
)),"")</f>
        <v/>
      </c>
      <c r="E161" s="40">
        <f>_xlfn.XLOOKUP(A161,My_Audit!A:A,My_Audit!D:D,"")</f>
        <v>0</v>
      </c>
      <c r="F161" s="40" t="str" cm="1">
        <f t="array" ref="F161">IFERROR(_xlfn.LET(
_xlpm.CSVVal,_xlfn.XLOOKUP($A161,CSV!$A:$A,CSV!F:F,""),
_xlpm.MacVal,_xlfn.XLOOKUP($A161,Output_Mac!$A:$A,Output_Mac!E:E,""),
_xlpm.MyAuditVal,_xlfn.XLOOKUP($A161,My_Audit!$A:$A,My_Audit!E:E,""),
_xlfn.IFS(_xlpm.MyAuditVal&lt;&gt;"",_xlpm.MyAuditVal,_xlpm.MacVal&lt;&gt;"",_xlpm.MacVal,_xlpm.CSVVal&lt;&gt;"",_xlpm.CSVVal
)),"")</f>
        <v/>
      </c>
      <c r="G161" s="40" t="str" cm="1">
        <f t="array" ref="G161">IFERROR(_xlfn.LET(
_xlpm.CSVVal,_xlfn.XLOOKUP($A161,CSV!$A:$A,CSV!G:G,""),
_xlpm.MacVal,_xlfn.XLOOKUP($A161,Output_Mac!$A:$A,Output_Mac!F:F,""),
_xlpm.MyAuditVal,_xlfn.XLOOKUP($A161,My_Audit!$A:$A,My_Audit!F:F,""),
_xlfn.IFS(_xlpm.MyAuditVal&lt;&gt;"",_xlpm.MyAuditVal,_xlpm.MacVal&lt;&gt;"",_xlpm.MacVal,_xlpm.CSVVal&lt;&gt;"",PROPER(_xlpm.CSVVal)
)),"")</f>
        <v/>
      </c>
      <c r="H161" s="40" t="str" cm="1">
        <f t="array" ref="H161">IFERROR(_xlfn.LET(
_xlpm.CSVVal,_xlfn.XLOOKUP($A161,CSV!$A:$A,CSV!H:H,""),
_xlpm.MacVal,_xlfn.XLOOKUP($A161,Output_Mac!$A:$A,Output_Mac!H:H,""),
_xlpm.MyAuditVal,_xlfn.XLOOKUP($A161,My_Audit!$A:$A,My_Audit!G:G,""),
_xlfn.IFS(_xlpm.MyAuditVal&lt;&gt;"",_xlpm.MyAuditVal,_xlpm.MacVal&lt;&gt;"",_xlpm.MacVal,_xlpm.CSVVal&lt;&gt;"",_xlpm.CSVVal
)),"")</f>
        <v/>
      </c>
      <c r="I161" s="40" t="str">
        <f>_xlfn.XLOOKUP(A161,Output_Mac!A:A,Output_Mac!I:I,"")</f>
        <v/>
      </c>
      <c r="J161" s="40" t="str" cm="1">
        <f t="array" ref="J161">IFERROR(_xlfn.LET(
_xlpm.CSVVal,_xlfn.XLOOKUP($A161,CSV!$A:$A,CSV!I:I,""),
_xlpm.MacVal,_xlfn.XLOOKUP($A161,Output_Mac!$A:$A,Output_Mac!J:J,""),
_xlpm.MyAuditVal,_xlfn.XLOOKUP($A161,My_Audit!$A:$A,My_Audit!I:I,""),
_xlfn.IFS(_xlpm.MyAuditVal&lt;&gt;"",UPPER(_xlpm.MyAuditVal),_xlpm.MacVal&lt;&gt;"",_xlpm.MacVal,_xlpm.CSVVal&lt;&gt;"",_xlpm.CSVVal
)),"")</f>
        <v/>
      </c>
      <c r="K161" s="40" t="str" cm="1">
        <f t="array" ref="K161">IFERROR(_xlfn.LET(
_xlpm.CSVVal,_xlfn.XLOOKUP($A161,CSV!$A:$A,CSV!K:K,""),
_xlpm.MacVal,_xlfn.XLOOKUP($A161,Output_Mac!$A:$A,Output_Mac!K:K,""),
_xlpm.MyAuditVal,_xlfn.XLOOKUP($A161,My_Audit!$A:$A,My_Audit!J:J,""),
_xlfn.IFS(_xlpm.MyAuditVal&lt;&gt;"",UPPER(_xlpm.MyAuditVal),_xlpm.MacVal&lt;&gt;"",_xlpm.MacVal,_xlpm.CSVVal&lt;&gt;"",_xlpm.CSVVal
)),"")</f>
        <v/>
      </c>
      <c r="L161" s="40" t="str" cm="1">
        <f t="array" ref="L161">IFERROR(_xlfn.LET(
_xlpm.CSVVal,_xlfn.XLOOKUP($A161,CSV!$A:$A,CSV!P:P,""),
_xlpm.MacVal,_xlfn.XLOOKUP($A161,Output_Mac!$A:$A,Output_Mac!L:L,""),
_xlpm.MyAuditVal,_xlfn.XLOOKUP($A161,My_Audit!$A:$A,My_Audit!K:K,""),
_xlfn.IFS(_xlpm.MyAuditVal&lt;&gt;"",UPPER(_xlpm.MyAuditVal),_xlpm.MacVal&lt;&gt;"",_xlpm.MacVal,_xlpm.CSVVal&lt;&gt;"",_xlpm.CSVVal
)),"")</f>
        <v/>
      </c>
      <c r="M161" s="40" t="str" cm="1">
        <f t="array" ref="M161">IFERROR(_xlfn.LET(
_xlpm.CSVVal,_xlfn.XLOOKUP($A161,CSV!$A:$A,CSV!Q:Q,""),
_xlpm.MacVal,_xlfn.XLOOKUP($A161,Output_Mac!$A:$A,Output_Mac!M:M,""),
_xlpm.MyAuditVal,_xlfn.XLOOKUP($A161,My_Audit!$A:$A,My_Audit!L:L,""),
_xlfn.IFS(_xlpm.MyAuditVal&lt;&gt;"",UPPER(_xlpm.MyAuditVal),_xlpm.MacVal&lt;&gt;"",_xlpm.MacVal,_xlpm.CSVVal&lt;&gt;"",_xlpm.CSVVal
)),"")</f>
        <v/>
      </c>
      <c r="N161" s="40"/>
      <c r="O161" s="40" t="str">
        <f>_xlfn.LET(
    _xlpm.CSVVal, _xlfn.XLOOKUP($A161, CSV!$A:$A, CSV!AA:AA, ""),
    _xlpm.MacVal, _xlfn.XLOOKUP($A161, Output_Mac!$A:$A, Output_Mac!S:S, ""),
    _xlpm.MyAuditVal, _xlfn.XLOOKUP($A161, My_Audit!$A:$A, My_Audit!P:P, ""),
    _xlfn.TEXTJOIN(", ", TRUE, _xlpm.MyAuditVal, _xlpm.MacVal, _xlpm.CSVVal)
)</f>
        <v/>
      </c>
      <c r="P161" s="40" t="str" cm="1">
        <f t="array" ref="P161">IFERROR(_xlfn.LET(
_xlpm.CSVVal,_xlfn.XLOOKUP($A161,CSV!$A:$A,CSV!AB:AB,""),
_xlpm.MacVal,_xlfn.XLOOKUP($A161,Output_Mac!$A:$A,Output_Mac!T:T,""),
_xlpm.MyAuditVal,_xlfn.XLOOKUP($A161,My_Audit!$A:$A,My_Audit!Q:Q,""),
_xlfn.IFS(_xlpm.MyAuditVal&lt;&gt;"",UPPER(_xlpm.MyAuditVal),_xlpm.MacVal&lt;&gt;"",_xlpm.MacVal,_xlpm.CSVVal&lt;&gt;"",_xlpm.CSVVal
)),"No")</f>
        <v>No</v>
      </c>
      <c r="Q161" s="40" t="str" cm="1">
        <f t="array" ref="Q161">IFERROR(_xlfn.LET(
_xlpm.CSVVal,_xlfn.XLOOKUP($A161,CSV!$A:$A,CSV!AC:AC,""),
_xlpm.MacVal,_xlfn.XLOOKUP($A161,Output_Mac!$A:$A,Output_Mac!U:U,""),
_xlpm.MyAuditVal,_xlfn.XLOOKUP($A161,My_Audit!$A:$A,My_Audit!R:R,""),
_xlfn.IFS(_xlpm.MyAuditVal&lt;&gt;"",UPPER(_xlpm.MyAuditVal),_xlpm.MacVal&lt;&gt;"",_xlpm.MacVal,_xlpm.CSVVal&lt;&gt;"",_xlpm.CSVVal
)),"")</f>
        <v/>
      </c>
      <c r="R161" s="40"/>
      <c r="S161" s="40"/>
      <c r="T161" s="40"/>
      <c r="U161" s="40"/>
      <c r="V161" s="40"/>
      <c r="W161" s="40"/>
      <c r="X161" s="41" t="str">
        <f>_xlfn.LET(
    _xlpm.MacVal, _xlfn.XLOOKUP($A161, Output_Mac!$A:$A, Output_Mac!AB:AB, ""),
    _xlpm.MyAuditVal, _xlfn.XLOOKUP($A161, My_Audit!$A:$A, My_Audit!N:N, ""),
    _xlfn.TEXTJOIN(", ", TRUE, _xlpm.MyAuditVal, _xlpm.MacVal)
)</f>
        <v/>
      </c>
    </row>
    <row r="162" spans="1:24">
      <c r="A162" s="40" t="str">
        <f>_xlfn.TEXTJOIN("",TRUE,Input!$B$2,ROW(My_Audit!A161))</f>
        <v>X161</v>
      </c>
      <c r="B162" s="40" t="str">
        <f>_xlfn.TEXTJOIN("-",TRUE,"ITD",Input!$A$2,A162)</f>
        <v>ITD-X161</v>
      </c>
      <c r="C162" s="40" t="str" cm="1">
        <f t="array" ref="C162">IFERROR(_xlfn.LET(
_xlpm.CSVVal,_xlfn.XLOOKUP($A162,CSV!$A:$A,CSV!B:B,""),
_xlpm.MacVal,_xlfn.XLOOKUP($A162,Output_Mac!$A:$A,Output_Mac!B:B,""),
_xlpm.MyAuditVal,_xlfn.XLOOKUP($A162,My_Audit!$A:$A,My_Audit!B:B,""),
_xlfn.IFS(_xlpm.MyAuditVal&lt;&gt;"",UPPER(_xlpm.MyAuditVal),_xlpm.MacVal&lt;&gt;"",_xlpm.MacVal,_xlpm.CSVVal&lt;&gt;"",_xlpm.CSVVal
)),"")</f>
        <v/>
      </c>
      <c r="D162" s="40" t="str" cm="1">
        <f t="array" ref="D162">IFERROR(_xlfn.LET(
_xlpm.CSVVal,_xlfn.XLOOKUP($A162,CSV!$A:$A,CSV!D:D,""),
_xlpm.MacVal,_xlfn.XLOOKUP($A162,Output_Mac!$A:$A,Output_Mac!C:C,""),
_xlpm.MyAuditVal,_xlfn.XLOOKUP($A162,My_Audit!$A:$A,My_Audit!C:C,""),
_xlfn.IFS(_xlpm.MyAuditVal&lt;&gt;"",_xlpm.MyAuditVal,_xlpm.MacVal&lt;&gt;"",_xlpm.MacVal,_xlpm.CSVVal&lt;&gt;"",_xlpm.CSVVal
)),"")</f>
        <v/>
      </c>
      <c r="E162" s="40">
        <f>_xlfn.XLOOKUP(A162,My_Audit!A:A,My_Audit!D:D,"")</f>
        <v>0</v>
      </c>
      <c r="F162" s="40" t="str" cm="1">
        <f t="array" ref="F162">IFERROR(_xlfn.LET(
_xlpm.CSVVal,_xlfn.XLOOKUP($A162,CSV!$A:$A,CSV!F:F,""),
_xlpm.MacVal,_xlfn.XLOOKUP($A162,Output_Mac!$A:$A,Output_Mac!E:E,""),
_xlpm.MyAuditVal,_xlfn.XLOOKUP($A162,My_Audit!$A:$A,My_Audit!E:E,""),
_xlfn.IFS(_xlpm.MyAuditVal&lt;&gt;"",_xlpm.MyAuditVal,_xlpm.MacVal&lt;&gt;"",_xlpm.MacVal,_xlpm.CSVVal&lt;&gt;"",_xlpm.CSVVal
)),"")</f>
        <v/>
      </c>
      <c r="G162" s="40" t="str" cm="1">
        <f t="array" ref="G162">IFERROR(_xlfn.LET(
_xlpm.CSVVal,_xlfn.XLOOKUP($A162,CSV!$A:$A,CSV!G:G,""),
_xlpm.MacVal,_xlfn.XLOOKUP($A162,Output_Mac!$A:$A,Output_Mac!F:F,""),
_xlpm.MyAuditVal,_xlfn.XLOOKUP($A162,My_Audit!$A:$A,My_Audit!F:F,""),
_xlfn.IFS(_xlpm.MyAuditVal&lt;&gt;"",_xlpm.MyAuditVal,_xlpm.MacVal&lt;&gt;"",_xlpm.MacVal,_xlpm.CSVVal&lt;&gt;"",PROPER(_xlpm.CSVVal)
)),"")</f>
        <v/>
      </c>
      <c r="H162" s="40" t="str" cm="1">
        <f t="array" ref="H162">IFERROR(_xlfn.LET(
_xlpm.CSVVal,_xlfn.XLOOKUP($A162,CSV!$A:$A,CSV!H:H,""),
_xlpm.MacVal,_xlfn.XLOOKUP($A162,Output_Mac!$A:$A,Output_Mac!H:H,""),
_xlpm.MyAuditVal,_xlfn.XLOOKUP($A162,My_Audit!$A:$A,My_Audit!G:G,""),
_xlfn.IFS(_xlpm.MyAuditVal&lt;&gt;"",_xlpm.MyAuditVal,_xlpm.MacVal&lt;&gt;"",_xlpm.MacVal,_xlpm.CSVVal&lt;&gt;"",_xlpm.CSVVal
)),"")</f>
        <v/>
      </c>
      <c r="I162" s="40" t="str">
        <f>_xlfn.XLOOKUP(A162,Output_Mac!A:A,Output_Mac!I:I,"")</f>
        <v/>
      </c>
      <c r="J162" s="40" t="str" cm="1">
        <f t="array" ref="J162">IFERROR(_xlfn.LET(
_xlpm.CSVVal,_xlfn.XLOOKUP($A162,CSV!$A:$A,CSV!I:I,""),
_xlpm.MacVal,_xlfn.XLOOKUP($A162,Output_Mac!$A:$A,Output_Mac!J:J,""),
_xlpm.MyAuditVal,_xlfn.XLOOKUP($A162,My_Audit!$A:$A,My_Audit!I:I,""),
_xlfn.IFS(_xlpm.MyAuditVal&lt;&gt;"",UPPER(_xlpm.MyAuditVal),_xlpm.MacVal&lt;&gt;"",_xlpm.MacVal,_xlpm.CSVVal&lt;&gt;"",_xlpm.CSVVal
)),"")</f>
        <v/>
      </c>
      <c r="K162" s="40" t="str" cm="1">
        <f t="array" ref="K162">IFERROR(_xlfn.LET(
_xlpm.CSVVal,_xlfn.XLOOKUP($A162,CSV!$A:$A,CSV!K:K,""),
_xlpm.MacVal,_xlfn.XLOOKUP($A162,Output_Mac!$A:$A,Output_Mac!K:K,""),
_xlpm.MyAuditVal,_xlfn.XLOOKUP($A162,My_Audit!$A:$A,My_Audit!J:J,""),
_xlfn.IFS(_xlpm.MyAuditVal&lt;&gt;"",UPPER(_xlpm.MyAuditVal),_xlpm.MacVal&lt;&gt;"",_xlpm.MacVal,_xlpm.CSVVal&lt;&gt;"",_xlpm.CSVVal
)),"")</f>
        <v/>
      </c>
      <c r="L162" s="40" t="str" cm="1">
        <f t="array" ref="L162">IFERROR(_xlfn.LET(
_xlpm.CSVVal,_xlfn.XLOOKUP($A162,CSV!$A:$A,CSV!P:P,""),
_xlpm.MacVal,_xlfn.XLOOKUP($A162,Output_Mac!$A:$A,Output_Mac!L:L,""),
_xlpm.MyAuditVal,_xlfn.XLOOKUP($A162,My_Audit!$A:$A,My_Audit!K:K,""),
_xlfn.IFS(_xlpm.MyAuditVal&lt;&gt;"",UPPER(_xlpm.MyAuditVal),_xlpm.MacVal&lt;&gt;"",_xlpm.MacVal,_xlpm.CSVVal&lt;&gt;"",_xlpm.CSVVal
)),"")</f>
        <v/>
      </c>
      <c r="M162" s="40" t="str" cm="1">
        <f t="array" ref="M162">IFERROR(_xlfn.LET(
_xlpm.CSVVal,_xlfn.XLOOKUP($A162,CSV!$A:$A,CSV!Q:Q,""),
_xlpm.MacVal,_xlfn.XLOOKUP($A162,Output_Mac!$A:$A,Output_Mac!M:M,""),
_xlpm.MyAuditVal,_xlfn.XLOOKUP($A162,My_Audit!$A:$A,My_Audit!L:L,""),
_xlfn.IFS(_xlpm.MyAuditVal&lt;&gt;"",UPPER(_xlpm.MyAuditVal),_xlpm.MacVal&lt;&gt;"",_xlpm.MacVal,_xlpm.CSVVal&lt;&gt;"",_xlpm.CSVVal
)),"")</f>
        <v/>
      </c>
      <c r="N162" s="40"/>
      <c r="O162" s="40" t="str">
        <f>_xlfn.LET(
    _xlpm.CSVVal, _xlfn.XLOOKUP($A162, CSV!$A:$A, CSV!AA:AA, ""),
    _xlpm.MacVal, _xlfn.XLOOKUP($A162, Output_Mac!$A:$A, Output_Mac!S:S, ""),
    _xlpm.MyAuditVal, _xlfn.XLOOKUP($A162, My_Audit!$A:$A, My_Audit!P:P, ""),
    _xlfn.TEXTJOIN(", ", TRUE, _xlpm.MyAuditVal, _xlpm.MacVal, _xlpm.CSVVal)
)</f>
        <v/>
      </c>
      <c r="P162" s="40" t="str" cm="1">
        <f t="array" ref="P162">IFERROR(_xlfn.LET(
_xlpm.CSVVal,_xlfn.XLOOKUP($A162,CSV!$A:$A,CSV!AB:AB,""),
_xlpm.MacVal,_xlfn.XLOOKUP($A162,Output_Mac!$A:$A,Output_Mac!T:T,""),
_xlpm.MyAuditVal,_xlfn.XLOOKUP($A162,My_Audit!$A:$A,My_Audit!Q:Q,""),
_xlfn.IFS(_xlpm.MyAuditVal&lt;&gt;"",UPPER(_xlpm.MyAuditVal),_xlpm.MacVal&lt;&gt;"",_xlpm.MacVal,_xlpm.CSVVal&lt;&gt;"",_xlpm.CSVVal
)),"No")</f>
        <v>No</v>
      </c>
      <c r="Q162" s="40" t="str" cm="1">
        <f t="array" ref="Q162">IFERROR(_xlfn.LET(
_xlpm.CSVVal,_xlfn.XLOOKUP($A162,CSV!$A:$A,CSV!AC:AC,""),
_xlpm.MacVal,_xlfn.XLOOKUP($A162,Output_Mac!$A:$A,Output_Mac!U:U,""),
_xlpm.MyAuditVal,_xlfn.XLOOKUP($A162,My_Audit!$A:$A,My_Audit!R:R,""),
_xlfn.IFS(_xlpm.MyAuditVal&lt;&gt;"",UPPER(_xlpm.MyAuditVal),_xlpm.MacVal&lt;&gt;"",_xlpm.MacVal,_xlpm.CSVVal&lt;&gt;"",_xlpm.CSVVal
)),"")</f>
        <v/>
      </c>
      <c r="R162" s="40"/>
      <c r="S162" s="40"/>
      <c r="T162" s="40"/>
      <c r="U162" s="40"/>
      <c r="V162" s="40"/>
      <c r="W162" s="40"/>
      <c r="X162" s="41" t="str">
        <f>_xlfn.LET(
    _xlpm.MacVal, _xlfn.XLOOKUP($A162, Output_Mac!$A:$A, Output_Mac!AB:AB, ""),
    _xlpm.MyAuditVal, _xlfn.XLOOKUP($A162, My_Audit!$A:$A, My_Audit!N:N, ""),
    _xlfn.TEXTJOIN(", ", TRUE, _xlpm.MyAuditVal, _xlpm.MacVal)
)</f>
        <v/>
      </c>
    </row>
    <row r="163" spans="1:24">
      <c r="A163" s="40" t="str">
        <f>_xlfn.TEXTJOIN("",TRUE,Input!$B$2,ROW(My_Audit!A162))</f>
        <v>X162</v>
      </c>
      <c r="B163" s="40" t="str">
        <f>_xlfn.TEXTJOIN("-",TRUE,"ITD",Input!$A$2,A163)</f>
        <v>ITD-X162</v>
      </c>
      <c r="C163" s="40" t="str" cm="1">
        <f t="array" ref="C163">IFERROR(_xlfn.LET(
_xlpm.CSVVal,_xlfn.XLOOKUP($A163,CSV!$A:$A,CSV!B:B,""),
_xlpm.MacVal,_xlfn.XLOOKUP($A163,Output_Mac!$A:$A,Output_Mac!B:B,""),
_xlpm.MyAuditVal,_xlfn.XLOOKUP($A163,My_Audit!$A:$A,My_Audit!B:B,""),
_xlfn.IFS(_xlpm.MyAuditVal&lt;&gt;"",UPPER(_xlpm.MyAuditVal),_xlpm.MacVal&lt;&gt;"",_xlpm.MacVal,_xlpm.CSVVal&lt;&gt;"",_xlpm.CSVVal
)),"")</f>
        <v/>
      </c>
      <c r="D163" s="40" t="str" cm="1">
        <f t="array" ref="D163">IFERROR(_xlfn.LET(
_xlpm.CSVVal,_xlfn.XLOOKUP($A163,CSV!$A:$A,CSV!D:D,""),
_xlpm.MacVal,_xlfn.XLOOKUP($A163,Output_Mac!$A:$A,Output_Mac!C:C,""),
_xlpm.MyAuditVal,_xlfn.XLOOKUP($A163,My_Audit!$A:$A,My_Audit!C:C,""),
_xlfn.IFS(_xlpm.MyAuditVal&lt;&gt;"",_xlpm.MyAuditVal,_xlpm.MacVal&lt;&gt;"",_xlpm.MacVal,_xlpm.CSVVal&lt;&gt;"",_xlpm.CSVVal
)),"")</f>
        <v/>
      </c>
      <c r="E163" s="40">
        <f>_xlfn.XLOOKUP(A163,My_Audit!A:A,My_Audit!D:D,"")</f>
        <v>0</v>
      </c>
      <c r="F163" s="40" t="str" cm="1">
        <f t="array" ref="F163">IFERROR(_xlfn.LET(
_xlpm.CSVVal,_xlfn.XLOOKUP($A163,CSV!$A:$A,CSV!F:F,""),
_xlpm.MacVal,_xlfn.XLOOKUP($A163,Output_Mac!$A:$A,Output_Mac!E:E,""),
_xlpm.MyAuditVal,_xlfn.XLOOKUP($A163,My_Audit!$A:$A,My_Audit!E:E,""),
_xlfn.IFS(_xlpm.MyAuditVal&lt;&gt;"",_xlpm.MyAuditVal,_xlpm.MacVal&lt;&gt;"",_xlpm.MacVal,_xlpm.CSVVal&lt;&gt;"",_xlpm.CSVVal
)),"")</f>
        <v/>
      </c>
      <c r="G163" s="40" t="str" cm="1">
        <f t="array" ref="G163">IFERROR(_xlfn.LET(
_xlpm.CSVVal,_xlfn.XLOOKUP($A163,CSV!$A:$A,CSV!G:G,""),
_xlpm.MacVal,_xlfn.XLOOKUP($A163,Output_Mac!$A:$A,Output_Mac!F:F,""),
_xlpm.MyAuditVal,_xlfn.XLOOKUP($A163,My_Audit!$A:$A,My_Audit!F:F,""),
_xlfn.IFS(_xlpm.MyAuditVal&lt;&gt;"",_xlpm.MyAuditVal,_xlpm.MacVal&lt;&gt;"",_xlpm.MacVal,_xlpm.CSVVal&lt;&gt;"",PROPER(_xlpm.CSVVal)
)),"")</f>
        <v/>
      </c>
      <c r="H163" s="40" t="str" cm="1">
        <f t="array" ref="H163">IFERROR(_xlfn.LET(
_xlpm.CSVVal,_xlfn.XLOOKUP($A163,CSV!$A:$A,CSV!H:H,""),
_xlpm.MacVal,_xlfn.XLOOKUP($A163,Output_Mac!$A:$A,Output_Mac!H:H,""),
_xlpm.MyAuditVal,_xlfn.XLOOKUP($A163,My_Audit!$A:$A,My_Audit!G:G,""),
_xlfn.IFS(_xlpm.MyAuditVal&lt;&gt;"",_xlpm.MyAuditVal,_xlpm.MacVal&lt;&gt;"",_xlpm.MacVal,_xlpm.CSVVal&lt;&gt;"",_xlpm.CSVVal
)),"")</f>
        <v/>
      </c>
      <c r="I163" s="40" t="str">
        <f>_xlfn.XLOOKUP(A163,Output_Mac!A:A,Output_Mac!I:I,"")</f>
        <v/>
      </c>
      <c r="J163" s="40" t="str" cm="1">
        <f t="array" ref="J163">IFERROR(_xlfn.LET(
_xlpm.CSVVal,_xlfn.XLOOKUP($A163,CSV!$A:$A,CSV!I:I,""),
_xlpm.MacVal,_xlfn.XLOOKUP($A163,Output_Mac!$A:$A,Output_Mac!J:J,""),
_xlpm.MyAuditVal,_xlfn.XLOOKUP($A163,My_Audit!$A:$A,My_Audit!I:I,""),
_xlfn.IFS(_xlpm.MyAuditVal&lt;&gt;"",UPPER(_xlpm.MyAuditVal),_xlpm.MacVal&lt;&gt;"",_xlpm.MacVal,_xlpm.CSVVal&lt;&gt;"",_xlpm.CSVVal
)),"")</f>
        <v/>
      </c>
      <c r="K163" s="40" t="str" cm="1">
        <f t="array" ref="K163">IFERROR(_xlfn.LET(
_xlpm.CSVVal,_xlfn.XLOOKUP($A163,CSV!$A:$A,CSV!K:K,""),
_xlpm.MacVal,_xlfn.XLOOKUP($A163,Output_Mac!$A:$A,Output_Mac!K:K,""),
_xlpm.MyAuditVal,_xlfn.XLOOKUP($A163,My_Audit!$A:$A,My_Audit!J:J,""),
_xlfn.IFS(_xlpm.MyAuditVal&lt;&gt;"",UPPER(_xlpm.MyAuditVal),_xlpm.MacVal&lt;&gt;"",_xlpm.MacVal,_xlpm.CSVVal&lt;&gt;"",_xlpm.CSVVal
)),"")</f>
        <v/>
      </c>
      <c r="L163" s="40" t="str" cm="1">
        <f t="array" ref="L163">IFERROR(_xlfn.LET(
_xlpm.CSVVal,_xlfn.XLOOKUP($A163,CSV!$A:$A,CSV!P:P,""),
_xlpm.MacVal,_xlfn.XLOOKUP($A163,Output_Mac!$A:$A,Output_Mac!L:L,""),
_xlpm.MyAuditVal,_xlfn.XLOOKUP($A163,My_Audit!$A:$A,My_Audit!K:K,""),
_xlfn.IFS(_xlpm.MyAuditVal&lt;&gt;"",UPPER(_xlpm.MyAuditVal),_xlpm.MacVal&lt;&gt;"",_xlpm.MacVal,_xlpm.CSVVal&lt;&gt;"",_xlpm.CSVVal
)),"")</f>
        <v/>
      </c>
      <c r="M163" s="40" t="str" cm="1">
        <f t="array" ref="M163">IFERROR(_xlfn.LET(
_xlpm.CSVVal,_xlfn.XLOOKUP($A163,CSV!$A:$A,CSV!Q:Q,""),
_xlpm.MacVal,_xlfn.XLOOKUP($A163,Output_Mac!$A:$A,Output_Mac!M:M,""),
_xlpm.MyAuditVal,_xlfn.XLOOKUP($A163,My_Audit!$A:$A,My_Audit!L:L,""),
_xlfn.IFS(_xlpm.MyAuditVal&lt;&gt;"",UPPER(_xlpm.MyAuditVal),_xlpm.MacVal&lt;&gt;"",_xlpm.MacVal,_xlpm.CSVVal&lt;&gt;"",_xlpm.CSVVal
)),"")</f>
        <v/>
      </c>
      <c r="N163" s="40"/>
      <c r="O163" s="40" t="str">
        <f>_xlfn.LET(
    _xlpm.CSVVal, _xlfn.XLOOKUP($A163, CSV!$A:$A, CSV!AA:AA, ""),
    _xlpm.MacVal, _xlfn.XLOOKUP($A163, Output_Mac!$A:$A, Output_Mac!S:S, ""),
    _xlpm.MyAuditVal, _xlfn.XLOOKUP($A163, My_Audit!$A:$A, My_Audit!P:P, ""),
    _xlfn.TEXTJOIN(", ", TRUE, _xlpm.MyAuditVal, _xlpm.MacVal, _xlpm.CSVVal)
)</f>
        <v/>
      </c>
      <c r="P163" s="40" t="str" cm="1">
        <f t="array" ref="P163">IFERROR(_xlfn.LET(
_xlpm.CSVVal,_xlfn.XLOOKUP($A163,CSV!$A:$A,CSV!AB:AB,""),
_xlpm.MacVal,_xlfn.XLOOKUP($A163,Output_Mac!$A:$A,Output_Mac!T:T,""),
_xlpm.MyAuditVal,_xlfn.XLOOKUP($A163,My_Audit!$A:$A,My_Audit!Q:Q,""),
_xlfn.IFS(_xlpm.MyAuditVal&lt;&gt;"",UPPER(_xlpm.MyAuditVal),_xlpm.MacVal&lt;&gt;"",_xlpm.MacVal,_xlpm.CSVVal&lt;&gt;"",_xlpm.CSVVal
)),"No")</f>
        <v>No</v>
      </c>
      <c r="Q163" s="40" t="str" cm="1">
        <f t="array" ref="Q163">IFERROR(_xlfn.LET(
_xlpm.CSVVal,_xlfn.XLOOKUP($A163,CSV!$A:$A,CSV!AC:AC,""),
_xlpm.MacVal,_xlfn.XLOOKUP($A163,Output_Mac!$A:$A,Output_Mac!U:U,""),
_xlpm.MyAuditVal,_xlfn.XLOOKUP($A163,My_Audit!$A:$A,My_Audit!R:R,""),
_xlfn.IFS(_xlpm.MyAuditVal&lt;&gt;"",UPPER(_xlpm.MyAuditVal),_xlpm.MacVal&lt;&gt;"",_xlpm.MacVal,_xlpm.CSVVal&lt;&gt;"",_xlpm.CSVVal
)),"")</f>
        <v/>
      </c>
      <c r="R163" s="40"/>
      <c r="S163" s="40"/>
      <c r="T163" s="40"/>
      <c r="U163" s="40"/>
      <c r="V163" s="40"/>
      <c r="W163" s="40"/>
      <c r="X163" s="41" t="str">
        <f>_xlfn.LET(
    _xlpm.MacVal, _xlfn.XLOOKUP($A163, Output_Mac!$A:$A, Output_Mac!AB:AB, ""),
    _xlpm.MyAuditVal, _xlfn.XLOOKUP($A163, My_Audit!$A:$A, My_Audit!N:N, ""),
    _xlfn.TEXTJOIN(", ", TRUE, _xlpm.MyAuditVal, _xlpm.MacVal)
)</f>
        <v/>
      </c>
    </row>
    <row r="164" spans="1:24">
      <c r="A164" s="40" t="str">
        <f>_xlfn.TEXTJOIN("",TRUE,Input!$B$2,ROW(My_Audit!A163))</f>
        <v>X163</v>
      </c>
      <c r="B164" s="40" t="str">
        <f>_xlfn.TEXTJOIN("-",TRUE,"ITD",Input!$A$2,A164)</f>
        <v>ITD-X163</v>
      </c>
      <c r="C164" s="40" t="str" cm="1">
        <f t="array" ref="C164">IFERROR(_xlfn.LET(
_xlpm.CSVVal,_xlfn.XLOOKUP($A164,CSV!$A:$A,CSV!B:B,""),
_xlpm.MacVal,_xlfn.XLOOKUP($A164,Output_Mac!$A:$A,Output_Mac!B:B,""),
_xlpm.MyAuditVal,_xlfn.XLOOKUP($A164,My_Audit!$A:$A,My_Audit!B:B,""),
_xlfn.IFS(_xlpm.MyAuditVal&lt;&gt;"",UPPER(_xlpm.MyAuditVal),_xlpm.MacVal&lt;&gt;"",_xlpm.MacVal,_xlpm.CSVVal&lt;&gt;"",_xlpm.CSVVal
)),"")</f>
        <v/>
      </c>
      <c r="D164" s="40" t="str" cm="1">
        <f t="array" ref="D164">IFERROR(_xlfn.LET(
_xlpm.CSVVal,_xlfn.XLOOKUP($A164,CSV!$A:$A,CSV!D:D,""),
_xlpm.MacVal,_xlfn.XLOOKUP($A164,Output_Mac!$A:$A,Output_Mac!C:C,""),
_xlpm.MyAuditVal,_xlfn.XLOOKUP($A164,My_Audit!$A:$A,My_Audit!C:C,""),
_xlfn.IFS(_xlpm.MyAuditVal&lt;&gt;"",_xlpm.MyAuditVal,_xlpm.MacVal&lt;&gt;"",_xlpm.MacVal,_xlpm.CSVVal&lt;&gt;"",_xlpm.CSVVal
)),"")</f>
        <v/>
      </c>
      <c r="E164" s="40">
        <f>_xlfn.XLOOKUP(A164,My_Audit!A:A,My_Audit!D:D,"")</f>
        <v>0</v>
      </c>
      <c r="F164" s="40" t="str" cm="1">
        <f t="array" ref="F164">IFERROR(_xlfn.LET(
_xlpm.CSVVal,_xlfn.XLOOKUP($A164,CSV!$A:$A,CSV!F:F,""),
_xlpm.MacVal,_xlfn.XLOOKUP($A164,Output_Mac!$A:$A,Output_Mac!E:E,""),
_xlpm.MyAuditVal,_xlfn.XLOOKUP($A164,My_Audit!$A:$A,My_Audit!E:E,""),
_xlfn.IFS(_xlpm.MyAuditVal&lt;&gt;"",_xlpm.MyAuditVal,_xlpm.MacVal&lt;&gt;"",_xlpm.MacVal,_xlpm.CSVVal&lt;&gt;"",_xlpm.CSVVal
)),"")</f>
        <v/>
      </c>
      <c r="G164" s="40" t="str" cm="1">
        <f t="array" ref="G164">IFERROR(_xlfn.LET(
_xlpm.CSVVal,_xlfn.XLOOKUP($A164,CSV!$A:$A,CSV!G:G,""),
_xlpm.MacVal,_xlfn.XLOOKUP($A164,Output_Mac!$A:$A,Output_Mac!F:F,""),
_xlpm.MyAuditVal,_xlfn.XLOOKUP($A164,My_Audit!$A:$A,My_Audit!F:F,""),
_xlfn.IFS(_xlpm.MyAuditVal&lt;&gt;"",_xlpm.MyAuditVal,_xlpm.MacVal&lt;&gt;"",_xlpm.MacVal,_xlpm.CSVVal&lt;&gt;"",PROPER(_xlpm.CSVVal)
)),"")</f>
        <v/>
      </c>
      <c r="H164" s="40" t="str" cm="1">
        <f t="array" ref="H164">IFERROR(_xlfn.LET(
_xlpm.CSVVal,_xlfn.XLOOKUP($A164,CSV!$A:$A,CSV!H:H,""),
_xlpm.MacVal,_xlfn.XLOOKUP($A164,Output_Mac!$A:$A,Output_Mac!H:H,""),
_xlpm.MyAuditVal,_xlfn.XLOOKUP($A164,My_Audit!$A:$A,My_Audit!G:G,""),
_xlfn.IFS(_xlpm.MyAuditVal&lt;&gt;"",_xlpm.MyAuditVal,_xlpm.MacVal&lt;&gt;"",_xlpm.MacVal,_xlpm.CSVVal&lt;&gt;"",_xlpm.CSVVal
)),"")</f>
        <v/>
      </c>
      <c r="I164" s="40" t="str">
        <f>_xlfn.XLOOKUP(A164,Output_Mac!A:A,Output_Mac!I:I,"")</f>
        <v/>
      </c>
      <c r="J164" s="40" t="str" cm="1">
        <f t="array" ref="J164">IFERROR(_xlfn.LET(
_xlpm.CSVVal,_xlfn.XLOOKUP($A164,CSV!$A:$A,CSV!I:I,""),
_xlpm.MacVal,_xlfn.XLOOKUP($A164,Output_Mac!$A:$A,Output_Mac!J:J,""),
_xlpm.MyAuditVal,_xlfn.XLOOKUP($A164,My_Audit!$A:$A,My_Audit!I:I,""),
_xlfn.IFS(_xlpm.MyAuditVal&lt;&gt;"",UPPER(_xlpm.MyAuditVal),_xlpm.MacVal&lt;&gt;"",_xlpm.MacVal,_xlpm.CSVVal&lt;&gt;"",_xlpm.CSVVal
)),"")</f>
        <v/>
      </c>
      <c r="K164" s="40" t="str" cm="1">
        <f t="array" ref="K164">IFERROR(_xlfn.LET(
_xlpm.CSVVal,_xlfn.XLOOKUP($A164,CSV!$A:$A,CSV!K:K,""),
_xlpm.MacVal,_xlfn.XLOOKUP($A164,Output_Mac!$A:$A,Output_Mac!K:K,""),
_xlpm.MyAuditVal,_xlfn.XLOOKUP($A164,My_Audit!$A:$A,My_Audit!J:J,""),
_xlfn.IFS(_xlpm.MyAuditVal&lt;&gt;"",UPPER(_xlpm.MyAuditVal),_xlpm.MacVal&lt;&gt;"",_xlpm.MacVal,_xlpm.CSVVal&lt;&gt;"",_xlpm.CSVVal
)),"")</f>
        <v/>
      </c>
      <c r="L164" s="40" t="str" cm="1">
        <f t="array" ref="L164">IFERROR(_xlfn.LET(
_xlpm.CSVVal,_xlfn.XLOOKUP($A164,CSV!$A:$A,CSV!P:P,""),
_xlpm.MacVal,_xlfn.XLOOKUP($A164,Output_Mac!$A:$A,Output_Mac!L:L,""),
_xlpm.MyAuditVal,_xlfn.XLOOKUP($A164,My_Audit!$A:$A,My_Audit!K:K,""),
_xlfn.IFS(_xlpm.MyAuditVal&lt;&gt;"",UPPER(_xlpm.MyAuditVal),_xlpm.MacVal&lt;&gt;"",_xlpm.MacVal,_xlpm.CSVVal&lt;&gt;"",_xlpm.CSVVal
)),"")</f>
        <v/>
      </c>
      <c r="M164" s="40" t="str" cm="1">
        <f t="array" ref="M164">IFERROR(_xlfn.LET(
_xlpm.CSVVal,_xlfn.XLOOKUP($A164,CSV!$A:$A,CSV!Q:Q,""),
_xlpm.MacVal,_xlfn.XLOOKUP($A164,Output_Mac!$A:$A,Output_Mac!M:M,""),
_xlpm.MyAuditVal,_xlfn.XLOOKUP($A164,My_Audit!$A:$A,My_Audit!L:L,""),
_xlfn.IFS(_xlpm.MyAuditVal&lt;&gt;"",UPPER(_xlpm.MyAuditVal),_xlpm.MacVal&lt;&gt;"",_xlpm.MacVal,_xlpm.CSVVal&lt;&gt;"",_xlpm.CSVVal
)),"")</f>
        <v/>
      </c>
      <c r="N164" s="40"/>
      <c r="O164" s="40" t="str">
        <f>_xlfn.LET(
    _xlpm.CSVVal, _xlfn.XLOOKUP($A164, CSV!$A:$A, CSV!AA:AA, ""),
    _xlpm.MacVal, _xlfn.XLOOKUP($A164, Output_Mac!$A:$A, Output_Mac!S:S, ""),
    _xlpm.MyAuditVal, _xlfn.XLOOKUP($A164, My_Audit!$A:$A, My_Audit!P:P, ""),
    _xlfn.TEXTJOIN(", ", TRUE, _xlpm.MyAuditVal, _xlpm.MacVal, _xlpm.CSVVal)
)</f>
        <v/>
      </c>
      <c r="P164" s="40" t="str" cm="1">
        <f t="array" ref="P164">IFERROR(_xlfn.LET(
_xlpm.CSVVal,_xlfn.XLOOKUP($A164,CSV!$A:$A,CSV!AB:AB,""),
_xlpm.MacVal,_xlfn.XLOOKUP($A164,Output_Mac!$A:$A,Output_Mac!T:T,""),
_xlpm.MyAuditVal,_xlfn.XLOOKUP($A164,My_Audit!$A:$A,My_Audit!Q:Q,""),
_xlfn.IFS(_xlpm.MyAuditVal&lt;&gt;"",UPPER(_xlpm.MyAuditVal),_xlpm.MacVal&lt;&gt;"",_xlpm.MacVal,_xlpm.CSVVal&lt;&gt;"",_xlpm.CSVVal
)),"No")</f>
        <v>No</v>
      </c>
      <c r="Q164" s="40" t="str" cm="1">
        <f t="array" ref="Q164">IFERROR(_xlfn.LET(
_xlpm.CSVVal,_xlfn.XLOOKUP($A164,CSV!$A:$A,CSV!AC:AC,""),
_xlpm.MacVal,_xlfn.XLOOKUP($A164,Output_Mac!$A:$A,Output_Mac!U:U,""),
_xlpm.MyAuditVal,_xlfn.XLOOKUP($A164,My_Audit!$A:$A,My_Audit!R:R,""),
_xlfn.IFS(_xlpm.MyAuditVal&lt;&gt;"",UPPER(_xlpm.MyAuditVal),_xlpm.MacVal&lt;&gt;"",_xlpm.MacVal,_xlpm.CSVVal&lt;&gt;"",_xlpm.CSVVal
)),"")</f>
        <v/>
      </c>
      <c r="R164" s="40"/>
      <c r="S164" s="40"/>
      <c r="T164" s="40"/>
      <c r="U164" s="40"/>
      <c r="V164" s="40"/>
      <c r="W164" s="40"/>
      <c r="X164" s="41" t="str">
        <f>_xlfn.LET(
    _xlpm.MacVal, _xlfn.XLOOKUP($A164, Output_Mac!$A:$A, Output_Mac!AB:AB, ""),
    _xlpm.MyAuditVal, _xlfn.XLOOKUP($A164, My_Audit!$A:$A, My_Audit!N:N, ""),
    _xlfn.TEXTJOIN(", ", TRUE, _xlpm.MyAuditVal, _xlpm.MacVal)
)</f>
        <v/>
      </c>
    </row>
    <row r="165" spans="1:24">
      <c r="A165" s="40" t="str">
        <f>_xlfn.TEXTJOIN("",TRUE,Input!$B$2,ROW(My_Audit!A164))</f>
        <v>X164</v>
      </c>
      <c r="B165" s="40" t="str">
        <f>_xlfn.TEXTJOIN("-",TRUE,"ITD",Input!$A$2,A165)</f>
        <v>ITD-X164</v>
      </c>
      <c r="C165" s="40" t="str" cm="1">
        <f t="array" ref="C165">IFERROR(_xlfn.LET(
_xlpm.CSVVal,_xlfn.XLOOKUP($A165,CSV!$A:$A,CSV!B:B,""),
_xlpm.MacVal,_xlfn.XLOOKUP($A165,Output_Mac!$A:$A,Output_Mac!B:B,""),
_xlpm.MyAuditVal,_xlfn.XLOOKUP($A165,My_Audit!$A:$A,My_Audit!B:B,""),
_xlfn.IFS(_xlpm.MyAuditVal&lt;&gt;"",UPPER(_xlpm.MyAuditVal),_xlpm.MacVal&lt;&gt;"",_xlpm.MacVal,_xlpm.CSVVal&lt;&gt;"",_xlpm.CSVVal
)),"")</f>
        <v/>
      </c>
      <c r="D165" s="40" t="str" cm="1">
        <f t="array" ref="D165">IFERROR(_xlfn.LET(
_xlpm.CSVVal,_xlfn.XLOOKUP($A165,CSV!$A:$A,CSV!D:D,""),
_xlpm.MacVal,_xlfn.XLOOKUP($A165,Output_Mac!$A:$A,Output_Mac!C:C,""),
_xlpm.MyAuditVal,_xlfn.XLOOKUP($A165,My_Audit!$A:$A,My_Audit!C:C,""),
_xlfn.IFS(_xlpm.MyAuditVal&lt;&gt;"",_xlpm.MyAuditVal,_xlpm.MacVal&lt;&gt;"",_xlpm.MacVal,_xlpm.CSVVal&lt;&gt;"",_xlpm.CSVVal
)),"")</f>
        <v/>
      </c>
      <c r="E165" s="40">
        <f>_xlfn.XLOOKUP(A165,My_Audit!A:A,My_Audit!D:D,"")</f>
        <v>0</v>
      </c>
      <c r="F165" s="40" t="str" cm="1">
        <f t="array" ref="F165">IFERROR(_xlfn.LET(
_xlpm.CSVVal,_xlfn.XLOOKUP($A165,CSV!$A:$A,CSV!F:F,""),
_xlpm.MacVal,_xlfn.XLOOKUP($A165,Output_Mac!$A:$A,Output_Mac!E:E,""),
_xlpm.MyAuditVal,_xlfn.XLOOKUP($A165,My_Audit!$A:$A,My_Audit!E:E,""),
_xlfn.IFS(_xlpm.MyAuditVal&lt;&gt;"",_xlpm.MyAuditVal,_xlpm.MacVal&lt;&gt;"",_xlpm.MacVal,_xlpm.CSVVal&lt;&gt;"",_xlpm.CSVVal
)),"")</f>
        <v/>
      </c>
      <c r="G165" s="40" t="str" cm="1">
        <f t="array" ref="G165">IFERROR(_xlfn.LET(
_xlpm.CSVVal,_xlfn.XLOOKUP($A165,CSV!$A:$A,CSV!G:G,""),
_xlpm.MacVal,_xlfn.XLOOKUP($A165,Output_Mac!$A:$A,Output_Mac!F:F,""),
_xlpm.MyAuditVal,_xlfn.XLOOKUP($A165,My_Audit!$A:$A,My_Audit!F:F,""),
_xlfn.IFS(_xlpm.MyAuditVal&lt;&gt;"",_xlpm.MyAuditVal,_xlpm.MacVal&lt;&gt;"",_xlpm.MacVal,_xlpm.CSVVal&lt;&gt;"",PROPER(_xlpm.CSVVal)
)),"")</f>
        <v/>
      </c>
      <c r="H165" s="40" t="str" cm="1">
        <f t="array" ref="H165">IFERROR(_xlfn.LET(
_xlpm.CSVVal,_xlfn.XLOOKUP($A165,CSV!$A:$A,CSV!H:H,""),
_xlpm.MacVal,_xlfn.XLOOKUP($A165,Output_Mac!$A:$A,Output_Mac!H:H,""),
_xlpm.MyAuditVal,_xlfn.XLOOKUP($A165,My_Audit!$A:$A,My_Audit!G:G,""),
_xlfn.IFS(_xlpm.MyAuditVal&lt;&gt;"",_xlpm.MyAuditVal,_xlpm.MacVal&lt;&gt;"",_xlpm.MacVal,_xlpm.CSVVal&lt;&gt;"",_xlpm.CSVVal
)),"")</f>
        <v/>
      </c>
      <c r="I165" s="40" t="str">
        <f>_xlfn.XLOOKUP(A165,Output_Mac!A:A,Output_Mac!I:I,"")</f>
        <v/>
      </c>
      <c r="J165" s="40" t="str" cm="1">
        <f t="array" ref="J165">IFERROR(_xlfn.LET(
_xlpm.CSVVal,_xlfn.XLOOKUP($A165,CSV!$A:$A,CSV!I:I,""),
_xlpm.MacVal,_xlfn.XLOOKUP($A165,Output_Mac!$A:$A,Output_Mac!J:J,""),
_xlpm.MyAuditVal,_xlfn.XLOOKUP($A165,My_Audit!$A:$A,My_Audit!I:I,""),
_xlfn.IFS(_xlpm.MyAuditVal&lt;&gt;"",UPPER(_xlpm.MyAuditVal),_xlpm.MacVal&lt;&gt;"",_xlpm.MacVal,_xlpm.CSVVal&lt;&gt;"",_xlpm.CSVVal
)),"")</f>
        <v/>
      </c>
      <c r="K165" s="40" t="str" cm="1">
        <f t="array" ref="K165">IFERROR(_xlfn.LET(
_xlpm.CSVVal,_xlfn.XLOOKUP($A165,CSV!$A:$A,CSV!K:K,""),
_xlpm.MacVal,_xlfn.XLOOKUP($A165,Output_Mac!$A:$A,Output_Mac!K:K,""),
_xlpm.MyAuditVal,_xlfn.XLOOKUP($A165,My_Audit!$A:$A,My_Audit!J:J,""),
_xlfn.IFS(_xlpm.MyAuditVal&lt;&gt;"",UPPER(_xlpm.MyAuditVal),_xlpm.MacVal&lt;&gt;"",_xlpm.MacVal,_xlpm.CSVVal&lt;&gt;"",_xlpm.CSVVal
)),"")</f>
        <v/>
      </c>
      <c r="L165" s="40" t="str" cm="1">
        <f t="array" ref="L165">IFERROR(_xlfn.LET(
_xlpm.CSVVal,_xlfn.XLOOKUP($A165,CSV!$A:$A,CSV!P:P,""),
_xlpm.MacVal,_xlfn.XLOOKUP($A165,Output_Mac!$A:$A,Output_Mac!L:L,""),
_xlpm.MyAuditVal,_xlfn.XLOOKUP($A165,My_Audit!$A:$A,My_Audit!K:K,""),
_xlfn.IFS(_xlpm.MyAuditVal&lt;&gt;"",UPPER(_xlpm.MyAuditVal),_xlpm.MacVal&lt;&gt;"",_xlpm.MacVal,_xlpm.CSVVal&lt;&gt;"",_xlpm.CSVVal
)),"")</f>
        <v/>
      </c>
      <c r="M165" s="40" t="str" cm="1">
        <f t="array" ref="M165">IFERROR(_xlfn.LET(
_xlpm.CSVVal,_xlfn.XLOOKUP($A165,CSV!$A:$A,CSV!Q:Q,""),
_xlpm.MacVal,_xlfn.XLOOKUP($A165,Output_Mac!$A:$A,Output_Mac!M:M,""),
_xlpm.MyAuditVal,_xlfn.XLOOKUP($A165,My_Audit!$A:$A,My_Audit!L:L,""),
_xlfn.IFS(_xlpm.MyAuditVal&lt;&gt;"",UPPER(_xlpm.MyAuditVal),_xlpm.MacVal&lt;&gt;"",_xlpm.MacVal,_xlpm.CSVVal&lt;&gt;"",_xlpm.CSVVal
)),"")</f>
        <v/>
      </c>
      <c r="N165" s="40"/>
      <c r="O165" s="40" t="str">
        <f>_xlfn.LET(
    _xlpm.CSVVal, _xlfn.XLOOKUP($A165, CSV!$A:$A, CSV!AA:AA, ""),
    _xlpm.MacVal, _xlfn.XLOOKUP($A165, Output_Mac!$A:$A, Output_Mac!S:S, ""),
    _xlpm.MyAuditVal, _xlfn.XLOOKUP($A165, My_Audit!$A:$A, My_Audit!P:P, ""),
    _xlfn.TEXTJOIN(", ", TRUE, _xlpm.MyAuditVal, _xlpm.MacVal, _xlpm.CSVVal)
)</f>
        <v/>
      </c>
      <c r="P165" s="40" t="str" cm="1">
        <f t="array" ref="P165">IFERROR(_xlfn.LET(
_xlpm.CSVVal,_xlfn.XLOOKUP($A165,CSV!$A:$A,CSV!AB:AB,""),
_xlpm.MacVal,_xlfn.XLOOKUP($A165,Output_Mac!$A:$A,Output_Mac!T:T,""),
_xlpm.MyAuditVal,_xlfn.XLOOKUP($A165,My_Audit!$A:$A,My_Audit!Q:Q,""),
_xlfn.IFS(_xlpm.MyAuditVal&lt;&gt;"",UPPER(_xlpm.MyAuditVal),_xlpm.MacVal&lt;&gt;"",_xlpm.MacVal,_xlpm.CSVVal&lt;&gt;"",_xlpm.CSVVal
)),"No")</f>
        <v>No</v>
      </c>
      <c r="Q165" s="40" t="str" cm="1">
        <f t="array" ref="Q165">IFERROR(_xlfn.LET(
_xlpm.CSVVal,_xlfn.XLOOKUP($A165,CSV!$A:$A,CSV!AC:AC,""),
_xlpm.MacVal,_xlfn.XLOOKUP($A165,Output_Mac!$A:$A,Output_Mac!U:U,""),
_xlpm.MyAuditVal,_xlfn.XLOOKUP($A165,My_Audit!$A:$A,My_Audit!R:R,""),
_xlfn.IFS(_xlpm.MyAuditVal&lt;&gt;"",UPPER(_xlpm.MyAuditVal),_xlpm.MacVal&lt;&gt;"",_xlpm.MacVal,_xlpm.CSVVal&lt;&gt;"",_xlpm.CSVVal
)),"")</f>
        <v/>
      </c>
      <c r="R165" s="40"/>
      <c r="S165" s="40"/>
      <c r="T165" s="40"/>
      <c r="U165" s="40"/>
      <c r="V165" s="40"/>
      <c r="W165" s="40"/>
      <c r="X165" s="41" t="str">
        <f>_xlfn.LET(
    _xlpm.MacVal, _xlfn.XLOOKUP($A165, Output_Mac!$A:$A, Output_Mac!AB:AB, ""),
    _xlpm.MyAuditVal, _xlfn.XLOOKUP($A165, My_Audit!$A:$A, My_Audit!N:N, ""),
    _xlfn.TEXTJOIN(", ", TRUE, _xlpm.MyAuditVal, _xlpm.MacVal)
)</f>
        <v/>
      </c>
    </row>
    <row r="166" spans="1:24">
      <c r="A166" s="40" t="str">
        <f>_xlfn.TEXTJOIN("",TRUE,Input!$B$2,ROW(My_Audit!A165))</f>
        <v>X165</v>
      </c>
      <c r="B166" s="40" t="str">
        <f>_xlfn.TEXTJOIN("-",TRUE,"ITD",Input!$A$2,A166)</f>
        <v>ITD-X165</v>
      </c>
      <c r="C166" s="40" t="str" cm="1">
        <f t="array" ref="C166">IFERROR(_xlfn.LET(
_xlpm.CSVVal,_xlfn.XLOOKUP($A166,CSV!$A:$A,CSV!B:B,""),
_xlpm.MacVal,_xlfn.XLOOKUP($A166,Output_Mac!$A:$A,Output_Mac!B:B,""),
_xlpm.MyAuditVal,_xlfn.XLOOKUP($A166,My_Audit!$A:$A,My_Audit!B:B,""),
_xlfn.IFS(_xlpm.MyAuditVal&lt;&gt;"",UPPER(_xlpm.MyAuditVal),_xlpm.MacVal&lt;&gt;"",_xlpm.MacVal,_xlpm.CSVVal&lt;&gt;"",_xlpm.CSVVal
)),"")</f>
        <v/>
      </c>
      <c r="D166" s="40" t="str" cm="1">
        <f t="array" ref="D166">IFERROR(_xlfn.LET(
_xlpm.CSVVal,_xlfn.XLOOKUP($A166,CSV!$A:$A,CSV!D:D,""),
_xlpm.MacVal,_xlfn.XLOOKUP($A166,Output_Mac!$A:$A,Output_Mac!C:C,""),
_xlpm.MyAuditVal,_xlfn.XLOOKUP($A166,My_Audit!$A:$A,My_Audit!C:C,""),
_xlfn.IFS(_xlpm.MyAuditVal&lt;&gt;"",_xlpm.MyAuditVal,_xlpm.MacVal&lt;&gt;"",_xlpm.MacVal,_xlpm.CSVVal&lt;&gt;"",_xlpm.CSVVal
)),"")</f>
        <v/>
      </c>
      <c r="E166" s="40">
        <f>_xlfn.XLOOKUP(A166,My_Audit!A:A,My_Audit!D:D,"")</f>
        <v>0</v>
      </c>
      <c r="F166" s="40" t="str" cm="1">
        <f t="array" ref="F166">IFERROR(_xlfn.LET(
_xlpm.CSVVal,_xlfn.XLOOKUP($A166,CSV!$A:$A,CSV!F:F,""),
_xlpm.MacVal,_xlfn.XLOOKUP($A166,Output_Mac!$A:$A,Output_Mac!E:E,""),
_xlpm.MyAuditVal,_xlfn.XLOOKUP($A166,My_Audit!$A:$A,My_Audit!E:E,""),
_xlfn.IFS(_xlpm.MyAuditVal&lt;&gt;"",_xlpm.MyAuditVal,_xlpm.MacVal&lt;&gt;"",_xlpm.MacVal,_xlpm.CSVVal&lt;&gt;"",_xlpm.CSVVal
)),"")</f>
        <v/>
      </c>
      <c r="G166" s="40" t="str" cm="1">
        <f t="array" ref="G166">IFERROR(_xlfn.LET(
_xlpm.CSVVal,_xlfn.XLOOKUP($A166,CSV!$A:$A,CSV!G:G,""),
_xlpm.MacVal,_xlfn.XLOOKUP($A166,Output_Mac!$A:$A,Output_Mac!F:F,""),
_xlpm.MyAuditVal,_xlfn.XLOOKUP($A166,My_Audit!$A:$A,My_Audit!F:F,""),
_xlfn.IFS(_xlpm.MyAuditVal&lt;&gt;"",_xlpm.MyAuditVal,_xlpm.MacVal&lt;&gt;"",_xlpm.MacVal,_xlpm.CSVVal&lt;&gt;"",PROPER(_xlpm.CSVVal)
)),"")</f>
        <v/>
      </c>
      <c r="H166" s="40" t="str" cm="1">
        <f t="array" ref="H166">IFERROR(_xlfn.LET(
_xlpm.CSVVal,_xlfn.XLOOKUP($A166,CSV!$A:$A,CSV!H:H,""),
_xlpm.MacVal,_xlfn.XLOOKUP($A166,Output_Mac!$A:$A,Output_Mac!H:H,""),
_xlpm.MyAuditVal,_xlfn.XLOOKUP($A166,My_Audit!$A:$A,My_Audit!G:G,""),
_xlfn.IFS(_xlpm.MyAuditVal&lt;&gt;"",_xlpm.MyAuditVal,_xlpm.MacVal&lt;&gt;"",_xlpm.MacVal,_xlpm.CSVVal&lt;&gt;"",_xlpm.CSVVal
)),"")</f>
        <v/>
      </c>
      <c r="I166" s="40" t="str">
        <f>_xlfn.XLOOKUP(A166,Output_Mac!A:A,Output_Mac!I:I,"")</f>
        <v/>
      </c>
      <c r="J166" s="40" t="str" cm="1">
        <f t="array" ref="J166">IFERROR(_xlfn.LET(
_xlpm.CSVVal,_xlfn.XLOOKUP($A166,CSV!$A:$A,CSV!I:I,""),
_xlpm.MacVal,_xlfn.XLOOKUP($A166,Output_Mac!$A:$A,Output_Mac!J:J,""),
_xlpm.MyAuditVal,_xlfn.XLOOKUP($A166,My_Audit!$A:$A,My_Audit!I:I,""),
_xlfn.IFS(_xlpm.MyAuditVal&lt;&gt;"",UPPER(_xlpm.MyAuditVal),_xlpm.MacVal&lt;&gt;"",_xlpm.MacVal,_xlpm.CSVVal&lt;&gt;"",_xlpm.CSVVal
)),"")</f>
        <v/>
      </c>
      <c r="K166" s="40" t="str" cm="1">
        <f t="array" ref="K166">IFERROR(_xlfn.LET(
_xlpm.CSVVal,_xlfn.XLOOKUP($A166,CSV!$A:$A,CSV!K:K,""),
_xlpm.MacVal,_xlfn.XLOOKUP($A166,Output_Mac!$A:$A,Output_Mac!K:K,""),
_xlpm.MyAuditVal,_xlfn.XLOOKUP($A166,My_Audit!$A:$A,My_Audit!J:J,""),
_xlfn.IFS(_xlpm.MyAuditVal&lt;&gt;"",UPPER(_xlpm.MyAuditVal),_xlpm.MacVal&lt;&gt;"",_xlpm.MacVal,_xlpm.CSVVal&lt;&gt;"",_xlpm.CSVVal
)),"")</f>
        <v/>
      </c>
      <c r="L166" s="40" t="str" cm="1">
        <f t="array" ref="L166">IFERROR(_xlfn.LET(
_xlpm.CSVVal,_xlfn.XLOOKUP($A166,CSV!$A:$A,CSV!P:P,""),
_xlpm.MacVal,_xlfn.XLOOKUP($A166,Output_Mac!$A:$A,Output_Mac!L:L,""),
_xlpm.MyAuditVal,_xlfn.XLOOKUP($A166,My_Audit!$A:$A,My_Audit!K:K,""),
_xlfn.IFS(_xlpm.MyAuditVal&lt;&gt;"",UPPER(_xlpm.MyAuditVal),_xlpm.MacVal&lt;&gt;"",_xlpm.MacVal,_xlpm.CSVVal&lt;&gt;"",_xlpm.CSVVal
)),"")</f>
        <v/>
      </c>
      <c r="M166" s="40" t="str" cm="1">
        <f t="array" ref="M166">IFERROR(_xlfn.LET(
_xlpm.CSVVal,_xlfn.XLOOKUP($A166,CSV!$A:$A,CSV!Q:Q,""),
_xlpm.MacVal,_xlfn.XLOOKUP($A166,Output_Mac!$A:$A,Output_Mac!M:M,""),
_xlpm.MyAuditVal,_xlfn.XLOOKUP($A166,My_Audit!$A:$A,My_Audit!L:L,""),
_xlfn.IFS(_xlpm.MyAuditVal&lt;&gt;"",UPPER(_xlpm.MyAuditVal),_xlpm.MacVal&lt;&gt;"",_xlpm.MacVal,_xlpm.CSVVal&lt;&gt;"",_xlpm.CSVVal
)),"")</f>
        <v/>
      </c>
      <c r="N166" s="40"/>
      <c r="O166" s="40" t="str">
        <f>_xlfn.LET(
    _xlpm.CSVVal, _xlfn.XLOOKUP($A166, CSV!$A:$A, CSV!AA:AA, ""),
    _xlpm.MacVal, _xlfn.XLOOKUP($A166, Output_Mac!$A:$A, Output_Mac!S:S, ""),
    _xlpm.MyAuditVal, _xlfn.XLOOKUP($A166, My_Audit!$A:$A, My_Audit!P:P, ""),
    _xlfn.TEXTJOIN(", ", TRUE, _xlpm.MyAuditVal, _xlpm.MacVal, _xlpm.CSVVal)
)</f>
        <v/>
      </c>
      <c r="P166" s="40" t="str" cm="1">
        <f t="array" ref="P166">IFERROR(_xlfn.LET(
_xlpm.CSVVal,_xlfn.XLOOKUP($A166,CSV!$A:$A,CSV!AB:AB,""),
_xlpm.MacVal,_xlfn.XLOOKUP($A166,Output_Mac!$A:$A,Output_Mac!T:T,""),
_xlpm.MyAuditVal,_xlfn.XLOOKUP($A166,My_Audit!$A:$A,My_Audit!Q:Q,""),
_xlfn.IFS(_xlpm.MyAuditVal&lt;&gt;"",UPPER(_xlpm.MyAuditVal),_xlpm.MacVal&lt;&gt;"",_xlpm.MacVal,_xlpm.CSVVal&lt;&gt;"",_xlpm.CSVVal
)),"No")</f>
        <v>No</v>
      </c>
      <c r="Q166" s="40" t="str" cm="1">
        <f t="array" ref="Q166">IFERROR(_xlfn.LET(
_xlpm.CSVVal,_xlfn.XLOOKUP($A166,CSV!$A:$A,CSV!AC:AC,""),
_xlpm.MacVal,_xlfn.XLOOKUP($A166,Output_Mac!$A:$A,Output_Mac!U:U,""),
_xlpm.MyAuditVal,_xlfn.XLOOKUP($A166,My_Audit!$A:$A,My_Audit!R:R,""),
_xlfn.IFS(_xlpm.MyAuditVal&lt;&gt;"",UPPER(_xlpm.MyAuditVal),_xlpm.MacVal&lt;&gt;"",_xlpm.MacVal,_xlpm.CSVVal&lt;&gt;"",_xlpm.CSVVal
)),"")</f>
        <v/>
      </c>
      <c r="R166" s="40"/>
      <c r="S166" s="40"/>
      <c r="T166" s="40"/>
      <c r="U166" s="40"/>
      <c r="V166" s="40"/>
      <c r="W166" s="40"/>
      <c r="X166" s="41" t="str">
        <f>_xlfn.LET(
    _xlpm.MacVal, _xlfn.XLOOKUP($A166, Output_Mac!$A:$A, Output_Mac!AB:AB, ""),
    _xlpm.MyAuditVal, _xlfn.XLOOKUP($A166, My_Audit!$A:$A, My_Audit!N:N, ""),
    _xlfn.TEXTJOIN(", ", TRUE, _xlpm.MyAuditVal, _xlpm.MacVal)
)</f>
        <v/>
      </c>
    </row>
    <row r="167" spans="1:24">
      <c r="A167" s="40" t="str">
        <f>_xlfn.TEXTJOIN("",TRUE,Input!$B$2,ROW(My_Audit!A166))</f>
        <v>X166</v>
      </c>
      <c r="B167" s="40" t="str">
        <f>_xlfn.TEXTJOIN("-",TRUE,"ITD",Input!$A$2,A167)</f>
        <v>ITD-X166</v>
      </c>
      <c r="C167" s="40" t="str" cm="1">
        <f t="array" ref="C167">IFERROR(_xlfn.LET(
_xlpm.CSVVal,_xlfn.XLOOKUP($A167,CSV!$A:$A,CSV!B:B,""),
_xlpm.MacVal,_xlfn.XLOOKUP($A167,Output_Mac!$A:$A,Output_Mac!B:B,""),
_xlpm.MyAuditVal,_xlfn.XLOOKUP($A167,My_Audit!$A:$A,My_Audit!B:B,""),
_xlfn.IFS(_xlpm.MyAuditVal&lt;&gt;"",UPPER(_xlpm.MyAuditVal),_xlpm.MacVal&lt;&gt;"",_xlpm.MacVal,_xlpm.CSVVal&lt;&gt;"",_xlpm.CSVVal
)),"")</f>
        <v/>
      </c>
      <c r="D167" s="40" t="str" cm="1">
        <f t="array" ref="D167">IFERROR(_xlfn.LET(
_xlpm.CSVVal,_xlfn.XLOOKUP($A167,CSV!$A:$A,CSV!D:D,""),
_xlpm.MacVal,_xlfn.XLOOKUP($A167,Output_Mac!$A:$A,Output_Mac!C:C,""),
_xlpm.MyAuditVal,_xlfn.XLOOKUP($A167,My_Audit!$A:$A,My_Audit!C:C,""),
_xlfn.IFS(_xlpm.MyAuditVal&lt;&gt;"",_xlpm.MyAuditVal,_xlpm.MacVal&lt;&gt;"",_xlpm.MacVal,_xlpm.CSVVal&lt;&gt;"",_xlpm.CSVVal
)),"")</f>
        <v/>
      </c>
      <c r="E167" s="40">
        <f>_xlfn.XLOOKUP(A167,My_Audit!A:A,My_Audit!D:D,"")</f>
        <v>0</v>
      </c>
      <c r="F167" s="40" t="str" cm="1">
        <f t="array" ref="F167">IFERROR(_xlfn.LET(
_xlpm.CSVVal,_xlfn.XLOOKUP($A167,CSV!$A:$A,CSV!F:F,""),
_xlpm.MacVal,_xlfn.XLOOKUP($A167,Output_Mac!$A:$A,Output_Mac!E:E,""),
_xlpm.MyAuditVal,_xlfn.XLOOKUP($A167,My_Audit!$A:$A,My_Audit!E:E,""),
_xlfn.IFS(_xlpm.MyAuditVal&lt;&gt;"",_xlpm.MyAuditVal,_xlpm.MacVal&lt;&gt;"",_xlpm.MacVal,_xlpm.CSVVal&lt;&gt;"",_xlpm.CSVVal
)),"")</f>
        <v/>
      </c>
      <c r="G167" s="40" t="str" cm="1">
        <f t="array" ref="G167">IFERROR(_xlfn.LET(
_xlpm.CSVVal,_xlfn.XLOOKUP($A167,CSV!$A:$A,CSV!G:G,""),
_xlpm.MacVal,_xlfn.XLOOKUP($A167,Output_Mac!$A:$A,Output_Mac!F:F,""),
_xlpm.MyAuditVal,_xlfn.XLOOKUP($A167,My_Audit!$A:$A,My_Audit!F:F,""),
_xlfn.IFS(_xlpm.MyAuditVal&lt;&gt;"",_xlpm.MyAuditVal,_xlpm.MacVal&lt;&gt;"",_xlpm.MacVal,_xlpm.CSVVal&lt;&gt;"",PROPER(_xlpm.CSVVal)
)),"")</f>
        <v/>
      </c>
      <c r="H167" s="40" t="str" cm="1">
        <f t="array" ref="H167">IFERROR(_xlfn.LET(
_xlpm.CSVVal,_xlfn.XLOOKUP($A167,CSV!$A:$A,CSV!H:H,""),
_xlpm.MacVal,_xlfn.XLOOKUP($A167,Output_Mac!$A:$A,Output_Mac!H:H,""),
_xlpm.MyAuditVal,_xlfn.XLOOKUP($A167,My_Audit!$A:$A,My_Audit!G:G,""),
_xlfn.IFS(_xlpm.MyAuditVal&lt;&gt;"",_xlpm.MyAuditVal,_xlpm.MacVal&lt;&gt;"",_xlpm.MacVal,_xlpm.CSVVal&lt;&gt;"",_xlpm.CSVVal
)),"")</f>
        <v/>
      </c>
      <c r="I167" s="40" t="str">
        <f>_xlfn.XLOOKUP(A167,Output_Mac!A:A,Output_Mac!I:I,"")</f>
        <v/>
      </c>
      <c r="J167" s="40" t="str" cm="1">
        <f t="array" ref="J167">IFERROR(_xlfn.LET(
_xlpm.CSVVal,_xlfn.XLOOKUP($A167,CSV!$A:$A,CSV!I:I,""),
_xlpm.MacVal,_xlfn.XLOOKUP($A167,Output_Mac!$A:$A,Output_Mac!J:J,""),
_xlpm.MyAuditVal,_xlfn.XLOOKUP($A167,My_Audit!$A:$A,My_Audit!I:I,""),
_xlfn.IFS(_xlpm.MyAuditVal&lt;&gt;"",UPPER(_xlpm.MyAuditVal),_xlpm.MacVal&lt;&gt;"",_xlpm.MacVal,_xlpm.CSVVal&lt;&gt;"",_xlpm.CSVVal
)),"")</f>
        <v/>
      </c>
      <c r="K167" s="40" t="str" cm="1">
        <f t="array" ref="K167">IFERROR(_xlfn.LET(
_xlpm.CSVVal,_xlfn.XLOOKUP($A167,CSV!$A:$A,CSV!K:K,""),
_xlpm.MacVal,_xlfn.XLOOKUP($A167,Output_Mac!$A:$A,Output_Mac!K:K,""),
_xlpm.MyAuditVal,_xlfn.XLOOKUP($A167,My_Audit!$A:$A,My_Audit!J:J,""),
_xlfn.IFS(_xlpm.MyAuditVal&lt;&gt;"",UPPER(_xlpm.MyAuditVal),_xlpm.MacVal&lt;&gt;"",_xlpm.MacVal,_xlpm.CSVVal&lt;&gt;"",_xlpm.CSVVal
)),"")</f>
        <v/>
      </c>
      <c r="L167" s="40" t="str" cm="1">
        <f t="array" ref="L167">IFERROR(_xlfn.LET(
_xlpm.CSVVal,_xlfn.XLOOKUP($A167,CSV!$A:$A,CSV!P:P,""),
_xlpm.MacVal,_xlfn.XLOOKUP($A167,Output_Mac!$A:$A,Output_Mac!L:L,""),
_xlpm.MyAuditVal,_xlfn.XLOOKUP($A167,My_Audit!$A:$A,My_Audit!K:K,""),
_xlfn.IFS(_xlpm.MyAuditVal&lt;&gt;"",UPPER(_xlpm.MyAuditVal),_xlpm.MacVal&lt;&gt;"",_xlpm.MacVal,_xlpm.CSVVal&lt;&gt;"",_xlpm.CSVVal
)),"")</f>
        <v/>
      </c>
      <c r="M167" s="40" t="str" cm="1">
        <f t="array" ref="M167">IFERROR(_xlfn.LET(
_xlpm.CSVVal,_xlfn.XLOOKUP($A167,CSV!$A:$A,CSV!Q:Q,""),
_xlpm.MacVal,_xlfn.XLOOKUP($A167,Output_Mac!$A:$A,Output_Mac!M:M,""),
_xlpm.MyAuditVal,_xlfn.XLOOKUP($A167,My_Audit!$A:$A,My_Audit!L:L,""),
_xlfn.IFS(_xlpm.MyAuditVal&lt;&gt;"",UPPER(_xlpm.MyAuditVal),_xlpm.MacVal&lt;&gt;"",_xlpm.MacVal,_xlpm.CSVVal&lt;&gt;"",_xlpm.CSVVal
)),"")</f>
        <v/>
      </c>
      <c r="N167" s="40"/>
      <c r="O167" s="40" t="str">
        <f>_xlfn.LET(
    _xlpm.CSVVal, _xlfn.XLOOKUP($A167, CSV!$A:$A, CSV!AA:AA, ""),
    _xlpm.MacVal, _xlfn.XLOOKUP($A167, Output_Mac!$A:$A, Output_Mac!S:S, ""),
    _xlpm.MyAuditVal, _xlfn.XLOOKUP($A167, My_Audit!$A:$A, My_Audit!P:P, ""),
    _xlfn.TEXTJOIN(", ", TRUE, _xlpm.MyAuditVal, _xlpm.MacVal, _xlpm.CSVVal)
)</f>
        <v/>
      </c>
      <c r="P167" s="40" t="str" cm="1">
        <f t="array" ref="P167">IFERROR(_xlfn.LET(
_xlpm.CSVVal,_xlfn.XLOOKUP($A167,CSV!$A:$A,CSV!AB:AB,""),
_xlpm.MacVal,_xlfn.XLOOKUP($A167,Output_Mac!$A:$A,Output_Mac!T:T,""),
_xlpm.MyAuditVal,_xlfn.XLOOKUP($A167,My_Audit!$A:$A,My_Audit!Q:Q,""),
_xlfn.IFS(_xlpm.MyAuditVal&lt;&gt;"",UPPER(_xlpm.MyAuditVal),_xlpm.MacVal&lt;&gt;"",_xlpm.MacVal,_xlpm.CSVVal&lt;&gt;"",_xlpm.CSVVal
)),"No")</f>
        <v>No</v>
      </c>
      <c r="Q167" s="40" t="str" cm="1">
        <f t="array" ref="Q167">IFERROR(_xlfn.LET(
_xlpm.CSVVal,_xlfn.XLOOKUP($A167,CSV!$A:$A,CSV!AC:AC,""),
_xlpm.MacVal,_xlfn.XLOOKUP($A167,Output_Mac!$A:$A,Output_Mac!U:U,""),
_xlpm.MyAuditVal,_xlfn.XLOOKUP($A167,My_Audit!$A:$A,My_Audit!R:R,""),
_xlfn.IFS(_xlpm.MyAuditVal&lt;&gt;"",UPPER(_xlpm.MyAuditVal),_xlpm.MacVal&lt;&gt;"",_xlpm.MacVal,_xlpm.CSVVal&lt;&gt;"",_xlpm.CSVVal
)),"")</f>
        <v/>
      </c>
      <c r="R167" s="40"/>
      <c r="S167" s="40"/>
      <c r="T167" s="40"/>
      <c r="U167" s="40"/>
      <c r="V167" s="40"/>
      <c r="W167" s="40"/>
      <c r="X167" s="41" t="str">
        <f>_xlfn.LET(
    _xlpm.MacVal, _xlfn.XLOOKUP($A167, Output_Mac!$A:$A, Output_Mac!AB:AB, ""),
    _xlpm.MyAuditVal, _xlfn.XLOOKUP($A167, My_Audit!$A:$A, My_Audit!N:N, ""),
    _xlfn.TEXTJOIN(", ", TRUE, _xlpm.MyAuditVal, _xlpm.MacVal)
)</f>
        <v/>
      </c>
    </row>
    <row r="168" spans="1:24">
      <c r="A168" s="40" t="str">
        <f>_xlfn.TEXTJOIN("",TRUE,Input!$B$2,ROW(My_Audit!A167))</f>
        <v>X167</v>
      </c>
      <c r="B168" s="40" t="str">
        <f>_xlfn.TEXTJOIN("-",TRUE,"ITD",Input!$A$2,A168)</f>
        <v>ITD-X167</v>
      </c>
      <c r="C168" s="40" t="str" cm="1">
        <f t="array" ref="C168">IFERROR(_xlfn.LET(
_xlpm.CSVVal,_xlfn.XLOOKUP($A168,CSV!$A:$A,CSV!B:B,""),
_xlpm.MacVal,_xlfn.XLOOKUP($A168,Output_Mac!$A:$A,Output_Mac!B:B,""),
_xlpm.MyAuditVal,_xlfn.XLOOKUP($A168,My_Audit!$A:$A,My_Audit!B:B,""),
_xlfn.IFS(_xlpm.MyAuditVal&lt;&gt;"",UPPER(_xlpm.MyAuditVal),_xlpm.MacVal&lt;&gt;"",_xlpm.MacVal,_xlpm.CSVVal&lt;&gt;"",_xlpm.CSVVal
)),"")</f>
        <v/>
      </c>
      <c r="D168" s="40" t="str" cm="1">
        <f t="array" ref="D168">IFERROR(_xlfn.LET(
_xlpm.CSVVal,_xlfn.XLOOKUP($A168,CSV!$A:$A,CSV!D:D,""),
_xlpm.MacVal,_xlfn.XLOOKUP($A168,Output_Mac!$A:$A,Output_Mac!C:C,""),
_xlpm.MyAuditVal,_xlfn.XLOOKUP($A168,My_Audit!$A:$A,My_Audit!C:C,""),
_xlfn.IFS(_xlpm.MyAuditVal&lt;&gt;"",_xlpm.MyAuditVal,_xlpm.MacVal&lt;&gt;"",_xlpm.MacVal,_xlpm.CSVVal&lt;&gt;"",_xlpm.CSVVal
)),"")</f>
        <v/>
      </c>
      <c r="E168" s="40">
        <f>_xlfn.XLOOKUP(A168,My_Audit!A:A,My_Audit!D:D,"")</f>
        <v>0</v>
      </c>
      <c r="F168" s="40" t="str" cm="1">
        <f t="array" ref="F168">IFERROR(_xlfn.LET(
_xlpm.CSVVal,_xlfn.XLOOKUP($A168,CSV!$A:$A,CSV!F:F,""),
_xlpm.MacVal,_xlfn.XLOOKUP($A168,Output_Mac!$A:$A,Output_Mac!E:E,""),
_xlpm.MyAuditVal,_xlfn.XLOOKUP($A168,My_Audit!$A:$A,My_Audit!E:E,""),
_xlfn.IFS(_xlpm.MyAuditVal&lt;&gt;"",_xlpm.MyAuditVal,_xlpm.MacVal&lt;&gt;"",_xlpm.MacVal,_xlpm.CSVVal&lt;&gt;"",_xlpm.CSVVal
)),"")</f>
        <v/>
      </c>
      <c r="G168" s="40" t="str" cm="1">
        <f t="array" ref="G168">IFERROR(_xlfn.LET(
_xlpm.CSVVal,_xlfn.XLOOKUP($A168,CSV!$A:$A,CSV!G:G,""),
_xlpm.MacVal,_xlfn.XLOOKUP($A168,Output_Mac!$A:$A,Output_Mac!F:F,""),
_xlpm.MyAuditVal,_xlfn.XLOOKUP($A168,My_Audit!$A:$A,My_Audit!F:F,""),
_xlfn.IFS(_xlpm.MyAuditVal&lt;&gt;"",_xlpm.MyAuditVal,_xlpm.MacVal&lt;&gt;"",_xlpm.MacVal,_xlpm.CSVVal&lt;&gt;"",PROPER(_xlpm.CSVVal)
)),"")</f>
        <v/>
      </c>
      <c r="H168" s="40" t="str" cm="1">
        <f t="array" ref="H168">IFERROR(_xlfn.LET(
_xlpm.CSVVal,_xlfn.XLOOKUP($A168,CSV!$A:$A,CSV!H:H,""),
_xlpm.MacVal,_xlfn.XLOOKUP($A168,Output_Mac!$A:$A,Output_Mac!H:H,""),
_xlpm.MyAuditVal,_xlfn.XLOOKUP($A168,My_Audit!$A:$A,My_Audit!G:G,""),
_xlfn.IFS(_xlpm.MyAuditVal&lt;&gt;"",_xlpm.MyAuditVal,_xlpm.MacVal&lt;&gt;"",_xlpm.MacVal,_xlpm.CSVVal&lt;&gt;"",_xlpm.CSVVal
)),"")</f>
        <v/>
      </c>
      <c r="I168" s="40" t="str">
        <f>_xlfn.XLOOKUP(A168,Output_Mac!A:A,Output_Mac!I:I,"")</f>
        <v/>
      </c>
      <c r="J168" s="40" t="str" cm="1">
        <f t="array" ref="J168">IFERROR(_xlfn.LET(
_xlpm.CSVVal,_xlfn.XLOOKUP($A168,CSV!$A:$A,CSV!I:I,""),
_xlpm.MacVal,_xlfn.XLOOKUP($A168,Output_Mac!$A:$A,Output_Mac!J:J,""),
_xlpm.MyAuditVal,_xlfn.XLOOKUP($A168,My_Audit!$A:$A,My_Audit!I:I,""),
_xlfn.IFS(_xlpm.MyAuditVal&lt;&gt;"",UPPER(_xlpm.MyAuditVal),_xlpm.MacVal&lt;&gt;"",_xlpm.MacVal,_xlpm.CSVVal&lt;&gt;"",_xlpm.CSVVal
)),"")</f>
        <v/>
      </c>
      <c r="K168" s="40" t="str" cm="1">
        <f t="array" ref="K168">IFERROR(_xlfn.LET(
_xlpm.CSVVal,_xlfn.XLOOKUP($A168,CSV!$A:$A,CSV!K:K,""),
_xlpm.MacVal,_xlfn.XLOOKUP($A168,Output_Mac!$A:$A,Output_Mac!K:K,""),
_xlpm.MyAuditVal,_xlfn.XLOOKUP($A168,My_Audit!$A:$A,My_Audit!J:J,""),
_xlfn.IFS(_xlpm.MyAuditVal&lt;&gt;"",UPPER(_xlpm.MyAuditVal),_xlpm.MacVal&lt;&gt;"",_xlpm.MacVal,_xlpm.CSVVal&lt;&gt;"",_xlpm.CSVVal
)),"")</f>
        <v/>
      </c>
      <c r="L168" s="40" t="str" cm="1">
        <f t="array" ref="L168">IFERROR(_xlfn.LET(
_xlpm.CSVVal,_xlfn.XLOOKUP($A168,CSV!$A:$A,CSV!P:P,""),
_xlpm.MacVal,_xlfn.XLOOKUP($A168,Output_Mac!$A:$A,Output_Mac!L:L,""),
_xlpm.MyAuditVal,_xlfn.XLOOKUP($A168,My_Audit!$A:$A,My_Audit!K:K,""),
_xlfn.IFS(_xlpm.MyAuditVal&lt;&gt;"",UPPER(_xlpm.MyAuditVal),_xlpm.MacVal&lt;&gt;"",_xlpm.MacVal,_xlpm.CSVVal&lt;&gt;"",_xlpm.CSVVal
)),"")</f>
        <v/>
      </c>
      <c r="M168" s="40" t="str" cm="1">
        <f t="array" ref="M168">IFERROR(_xlfn.LET(
_xlpm.CSVVal,_xlfn.XLOOKUP($A168,CSV!$A:$A,CSV!Q:Q,""),
_xlpm.MacVal,_xlfn.XLOOKUP($A168,Output_Mac!$A:$A,Output_Mac!M:M,""),
_xlpm.MyAuditVal,_xlfn.XLOOKUP($A168,My_Audit!$A:$A,My_Audit!L:L,""),
_xlfn.IFS(_xlpm.MyAuditVal&lt;&gt;"",UPPER(_xlpm.MyAuditVal),_xlpm.MacVal&lt;&gt;"",_xlpm.MacVal,_xlpm.CSVVal&lt;&gt;"",_xlpm.CSVVal
)),"")</f>
        <v/>
      </c>
      <c r="N168" s="40"/>
      <c r="O168" s="40" t="str">
        <f>_xlfn.LET(
    _xlpm.CSVVal, _xlfn.XLOOKUP($A168, CSV!$A:$A, CSV!AA:AA, ""),
    _xlpm.MacVal, _xlfn.XLOOKUP($A168, Output_Mac!$A:$A, Output_Mac!S:S, ""),
    _xlpm.MyAuditVal, _xlfn.XLOOKUP($A168, My_Audit!$A:$A, My_Audit!P:P, ""),
    _xlfn.TEXTJOIN(", ", TRUE, _xlpm.MyAuditVal, _xlpm.MacVal, _xlpm.CSVVal)
)</f>
        <v/>
      </c>
      <c r="P168" s="40" t="str" cm="1">
        <f t="array" ref="P168">IFERROR(_xlfn.LET(
_xlpm.CSVVal,_xlfn.XLOOKUP($A168,CSV!$A:$A,CSV!AB:AB,""),
_xlpm.MacVal,_xlfn.XLOOKUP($A168,Output_Mac!$A:$A,Output_Mac!T:T,""),
_xlpm.MyAuditVal,_xlfn.XLOOKUP($A168,My_Audit!$A:$A,My_Audit!Q:Q,""),
_xlfn.IFS(_xlpm.MyAuditVal&lt;&gt;"",UPPER(_xlpm.MyAuditVal),_xlpm.MacVal&lt;&gt;"",_xlpm.MacVal,_xlpm.CSVVal&lt;&gt;"",_xlpm.CSVVal
)),"No")</f>
        <v>No</v>
      </c>
      <c r="Q168" s="40" t="str" cm="1">
        <f t="array" ref="Q168">IFERROR(_xlfn.LET(
_xlpm.CSVVal,_xlfn.XLOOKUP($A168,CSV!$A:$A,CSV!AC:AC,""),
_xlpm.MacVal,_xlfn.XLOOKUP($A168,Output_Mac!$A:$A,Output_Mac!U:U,""),
_xlpm.MyAuditVal,_xlfn.XLOOKUP($A168,My_Audit!$A:$A,My_Audit!R:R,""),
_xlfn.IFS(_xlpm.MyAuditVal&lt;&gt;"",UPPER(_xlpm.MyAuditVal),_xlpm.MacVal&lt;&gt;"",_xlpm.MacVal,_xlpm.CSVVal&lt;&gt;"",_xlpm.CSVVal
)),"")</f>
        <v/>
      </c>
      <c r="R168" s="40"/>
      <c r="S168" s="40"/>
      <c r="T168" s="40"/>
      <c r="U168" s="40"/>
      <c r="V168" s="40"/>
      <c r="W168" s="40"/>
      <c r="X168" s="41" t="str">
        <f>_xlfn.LET(
    _xlpm.MacVal, _xlfn.XLOOKUP($A168, Output_Mac!$A:$A, Output_Mac!AB:AB, ""),
    _xlpm.MyAuditVal, _xlfn.XLOOKUP($A168, My_Audit!$A:$A, My_Audit!N:N, ""),
    _xlfn.TEXTJOIN(", ", TRUE, _xlpm.MyAuditVal, _xlpm.MacVal)
)</f>
        <v/>
      </c>
    </row>
    <row r="169" spans="1:24">
      <c r="A169" s="40" t="str">
        <f>_xlfn.TEXTJOIN("",TRUE,Input!$B$2,ROW(My_Audit!A168))</f>
        <v>X168</v>
      </c>
      <c r="B169" s="40" t="str">
        <f>_xlfn.TEXTJOIN("-",TRUE,"ITD",Input!$A$2,A169)</f>
        <v>ITD-X168</v>
      </c>
      <c r="C169" s="40" t="str" cm="1">
        <f t="array" ref="C169">IFERROR(_xlfn.LET(
_xlpm.CSVVal,_xlfn.XLOOKUP($A169,CSV!$A:$A,CSV!B:B,""),
_xlpm.MacVal,_xlfn.XLOOKUP($A169,Output_Mac!$A:$A,Output_Mac!B:B,""),
_xlpm.MyAuditVal,_xlfn.XLOOKUP($A169,My_Audit!$A:$A,My_Audit!B:B,""),
_xlfn.IFS(_xlpm.MyAuditVal&lt;&gt;"",UPPER(_xlpm.MyAuditVal),_xlpm.MacVal&lt;&gt;"",_xlpm.MacVal,_xlpm.CSVVal&lt;&gt;"",_xlpm.CSVVal
)),"")</f>
        <v/>
      </c>
      <c r="D169" s="40" t="str" cm="1">
        <f t="array" ref="D169">IFERROR(_xlfn.LET(
_xlpm.CSVVal,_xlfn.XLOOKUP($A169,CSV!$A:$A,CSV!D:D,""),
_xlpm.MacVal,_xlfn.XLOOKUP($A169,Output_Mac!$A:$A,Output_Mac!C:C,""),
_xlpm.MyAuditVal,_xlfn.XLOOKUP($A169,My_Audit!$A:$A,My_Audit!C:C,""),
_xlfn.IFS(_xlpm.MyAuditVal&lt;&gt;"",_xlpm.MyAuditVal,_xlpm.MacVal&lt;&gt;"",_xlpm.MacVal,_xlpm.CSVVal&lt;&gt;"",_xlpm.CSVVal
)),"")</f>
        <v/>
      </c>
      <c r="E169" s="40">
        <f>_xlfn.XLOOKUP(A169,My_Audit!A:A,My_Audit!D:D,"")</f>
        <v>0</v>
      </c>
      <c r="F169" s="40" t="str" cm="1">
        <f t="array" ref="F169">IFERROR(_xlfn.LET(
_xlpm.CSVVal,_xlfn.XLOOKUP($A169,CSV!$A:$A,CSV!F:F,""),
_xlpm.MacVal,_xlfn.XLOOKUP($A169,Output_Mac!$A:$A,Output_Mac!E:E,""),
_xlpm.MyAuditVal,_xlfn.XLOOKUP($A169,My_Audit!$A:$A,My_Audit!E:E,""),
_xlfn.IFS(_xlpm.MyAuditVal&lt;&gt;"",_xlpm.MyAuditVal,_xlpm.MacVal&lt;&gt;"",_xlpm.MacVal,_xlpm.CSVVal&lt;&gt;"",_xlpm.CSVVal
)),"")</f>
        <v/>
      </c>
      <c r="G169" s="40" t="str" cm="1">
        <f t="array" ref="G169">IFERROR(_xlfn.LET(
_xlpm.CSVVal,_xlfn.XLOOKUP($A169,CSV!$A:$A,CSV!G:G,""),
_xlpm.MacVal,_xlfn.XLOOKUP($A169,Output_Mac!$A:$A,Output_Mac!F:F,""),
_xlpm.MyAuditVal,_xlfn.XLOOKUP($A169,My_Audit!$A:$A,My_Audit!F:F,""),
_xlfn.IFS(_xlpm.MyAuditVal&lt;&gt;"",_xlpm.MyAuditVal,_xlpm.MacVal&lt;&gt;"",_xlpm.MacVal,_xlpm.CSVVal&lt;&gt;"",PROPER(_xlpm.CSVVal)
)),"")</f>
        <v/>
      </c>
      <c r="H169" s="40" t="str" cm="1">
        <f t="array" ref="H169">IFERROR(_xlfn.LET(
_xlpm.CSVVal,_xlfn.XLOOKUP($A169,CSV!$A:$A,CSV!H:H,""),
_xlpm.MacVal,_xlfn.XLOOKUP($A169,Output_Mac!$A:$A,Output_Mac!H:H,""),
_xlpm.MyAuditVal,_xlfn.XLOOKUP($A169,My_Audit!$A:$A,My_Audit!G:G,""),
_xlfn.IFS(_xlpm.MyAuditVal&lt;&gt;"",_xlpm.MyAuditVal,_xlpm.MacVal&lt;&gt;"",_xlpm.MacVal,_xlpm.CSVVal&lt;&gt;"",_xlpm.CSVVal
)),"")</f>
        <v/>
      </c>
      <c r="I169" s="40" t="str">
        <f>_xlfn.XLOOKUP(A169,Output_Mac!A:A,Output_Mac!I:I,"")</f>
        <v/>
      </c>
      <c r="J169" s="40" t="str" cm="1">
        <f t="array" ref="J169">IFERROR(_xlfn.LET(
_xlpm.CSVVal,_xlfn.XLOOKUP($A169,CSV!$A:$A,CSV!I:I,""),
_xlpm.MacVal,_xlfn.XLOOKUP($A169,Output_Mac!$A:$A,Output_Mac!J:J,""),
_xlpm.MyAuditVal,_xlfn.XLOOKUP($A169,My_Audit!$A:$A,My_Audit!I:I,""),
_xlfn.IFS(_xlpm.MyAuditVal&lt;&gt;"",UPPER(_xlpm.MyAuditVal),_xlpm.MacVal&lt;&gt;"",_xlpm.MacVal,_xlpm.CSVVal&lt;&gt;"",_xlpm.CSVVal
)),"")</f>
        <v/>
      </c>
      <c r="K169" s="40" t="str" cm="1">
        <f t="array" ref="K169">IFERROR(_xlfn.LET(
_xlpm.CSVVal,_xlfn.XLOOKUP($A169,CSV!$A:$A,CSV!K:K,""),
_xlpm.MacVal,_xlfn.XLOOKUP($A169,Output_Mac!$A:$A,Output_Mac!K:K,""),
_xlpm.MyAuditVal,_xlfn.XLOOKUP($A169,My_Audit!$A:$A,My_Audit!J:J,""),
_xlfn.IFS(_xlpm.MyAuditVal&lt;&gt;"",UPPER(_xlpm.MyAuditVal),_xlpm.MacVal&lt;&gt;"",_xlpm.MacVal,_xlpm.CSVVal&lt;&gt;"",_xlpm.CSVVal
)),"")</f>
        <v/>
      </c>
      <c r="L169" s="40" t="str" cm="1">
        <f t="array" ref="L169">IFERROR(_xlfn.LET(
_xlpm.CSVVal,_xlfn.XLOOKUP($A169,CSV!$A:$A,CSV!P:P,""),
_xlpm.MacVal,_xlfn.XLOOKUP($A169,Output_Mac!$A:$A,Output_Mac!L:L,""),
_xlpm.MyAuditVal,_xlfn.XLOOKUP($A169,My_Audit!$A:$A,My_Audit!K:K,""),
_xlfn.IFS(_xlpm.MyAuditVal&lt;&gt;"",UPPER(_xlpm.MyAuditVal),_xlpm.MacVal&lt;&gt;"",_xlpm.MacVal,_xlpm.CSVVal&lt;&gt;"",_xlpm.CSVVal
)),"")</f>
        <v/>
      </c>
      <c r="M169" s="40" t="str" cm="1">
        <f t="array" ref="M169">IFERROR(_xlfn.LET(
_xlpm.CSVVal,_xlfn.XLOOKUP($A169,CSV!$A:$A,CSV!Q:Q,""),
_xlpm.MacVal,_xlfn.XLOOKUP($A169,Output_Mac!$A:$A,Output_Mac!M:M,""),
_xlpm.MyAuditVal,_xlfn.XLOOKUP($A169,My_Audit!$A:$A,My_Audit!L:L,""),
_xlfn.IFS(_xlpm.MyAuditVal&lt;&gt;"",UPPER(_xlpm.MyAuditVal),_xlpm.MacVal&lt;&gt;"",_xlpm.MacVal,_xlpm.CSVVal&lt;&gt;"",_xlpm.CSVVal
)),"")</f>
        <v/>
      </c>
      <c r="N169" s="40"/>
      <c r="O169" s="40" t="str">
        <f>_xlfn.LET(
    _xlpm.CSVVal, _xlfn.XLOOKUP($A169, CSV!$A:$A, CSV!AA:AA, ""),
    _xlpm.MacVal, _xlfn.XLOOKUP($A169, Output_Mac!$A:$A, Output_Mac!S:S, ""),
    _xlpm.MyAuditVal, _xlfn.XLOOKUP($A169, My_Audit!$A:$A, My_Audit!P:P, ""),
    _xlfn.TEXTJOIN(", ", TRUE, _xlpm.MyAuditVal, _xlpm.MacVal, _xlpm.CSVVal)
)</f>
        <v/>
      </c>
      <c r="P169" s="40" t="str" cm="1">
        <f t="array" ref="P169">IFERROR(_xlfn.LET(
_xlpm.CSVVal,_xlfn.XLOOKUP($A169,CSV!$A:$A,CSV!AB:AB,""),
_xlpm.MacVal,_xlfn.XLOOKUP($A169,Output_Mac!$A:$A,Output_Mac!T:T,""),
_xlpm.MyAuditVal,_xlfn.XLOOKUP($A169,My_Audit!$A:$A,My_Audit!Q:Q,""),
_xlfn.IFS(_xlpm.MyAuditVal&lt;&gt;"",UPPER(_xlpm.MyAuditVal),_xlpm.MacVal&lt;&gt;"",_xlpm.MacVal,_xlpm.CSVVal&lt;&gt;"",_xlpm.CSVVal
)),"No")</f>
        <v>No</v>
      </c>
      <c r="Q169" s="40" t="str" cm="1">
        <f t="array" ref="Q169">IFERROR(_xlfn.LET(
_xlpm.CSVVal,_xlfn.XLOOKUP($A169,CSV!$A:$A,CSV!AC:AC,""),
_xlpm.MacVal,_xlfn.XLOOKUP($A169,Output_Mac!$A:$A,Output_Mac!U:U,""),
_xlpm.MyAuditVal,_xlfn.XLOOKUP($A169,My_Audit!$A:$A,My_Audit!R:R,""),
_xlfn.IFS(_xlpm.MyAuditVal&lt;&gt;"",UPPER(_xlpm.MyAuditVal),_xlpm.MacVal&lt;&gt;"",_xlpm.MacVal,_xlpm.CSVVal&lt;&gt;"",_xlpm.CSVVal
)),"")</f>
        <v/>
      </c>
      <c r="R169" s="40"/>
      <c r="S169" s="40"/>
      <c r="T169" s="40"/>
      <c r="U169" s="40"/>
      <c r="V169" s="40"/>
      <c r="W169" s="40"/>
      <c r="X169" s="41" t="str">
        <f>_xlfn.LET(
    _xlpm.MacVal, _xlfn.XLOOKUP($A169, Output_Mac!$A:$A, Output_Mac!AB:AB, ""),
    _xlpm.MyAuditVal, _xlfn.XLOOKUP($A169, My_Audit!$A:$A, My_Audit!N:N, ""),
    _xlfn.TEXTJOIN(", ", TRUE, _xlpm.MyAuditVal, _xlpm.MacVal)
)</f>
        <v/>
      </c>
    </row>
    <row r="170" spans="1:24">
      <c r="A170" s="40" t="str">
        <f>_xlfn.TEXTJOIN("",TRUE,Input!$B$2,ROW(My_Audit!A169))</f>
        <v>X169</v>
      </c>
      <c r="B170" s="40" t="str">
        <f>_xlfn.TEXTJOIN("-",TRUE,"ITD",Input!$A$2,A170)</f>
        <v>ITD-X169</v>
      </c>
      <c r="C170" s="40" t="str" cm="1">
        <f t="array" ref="C170">IFERROR(_xlfn.LET(
_xlpm.CSVVal,_xlfn.XLOOKUP($A170,CSV!$A:$A,CSV!B:B,""),
_xlpm.MacVal,_xlfn.XLOOKUP($A170,Output_Mac!$A:$A,Output_Mac!B:B,""),
_xlpm.MyAuditVal,_xlfn.XLOOKUP($A170,My_Audit!$A:$A,My_Audit!B:B,""),
_xlfn.IFS(_xlpm.MyAuditVal&lt;&gt;"",UPPER(_xlpm.MyAuditVal),_xlpm.MacVal&lt;&gt;"",_xlpm.MacVal,_xlpm.CSVVal&lt;&gt;"",_xlpm.CSVVal
)),"")</f>
        <v/>
      </c>
      <c r="D170" s="40" t="str" cm="1">
        <f t="array" ref="D170">IFERROR(_xlfn.LET(
_xlpm.CSVVal,_xlfn.XLOOKUP($A170,CSV!$A:$A,CSV!D:D,""),
_xlpm.MacVal,_xlfn.XLOOKUP($A170,Output_Mac!$A:$A,Output_Mac!C:C,""),
_xlpm.MyAuditVal,_xlfn.XLOOKUP($A170,My_Audit!$A:$A,My_Audit!C:C,""),
_xlfn.IFS(_xlpm.MyAuditVal&lt;&gt;"",_xlpm.MyAuditVal,_xlpm.MacVal&lt;&gt;"",_xlpm.MacVal,_xlpm.CSVVal&lt;&gt;"",_xlpm.CSVVal
)),"")</f>
        <v/>
      </c>
      <c r="E170" s="40">
        <f>_xlfn.XLOOKUP(A170,My_Audit!A:A,My_Audit!D:D,"")</f>
        <v>0</v>
      </c>
      <c r="F170" s="40" t="str" cm="1">
        <f t="array" ref="F170">IFERROR(_xlfn.LET(
_xlpm.CSVVal,_xlfn.XLOOKUP($A170,CSV!$A:$A,CSV!F:F,""),
_xlpm.MacVal,_xlfn.XLOOKUP($A170,Output_Mac!$A:$A,Output_Mac!E:E,""),
_xlpm.MyAuditVal,_xlfn.XLOOKUP($A170,My_Audit!$A:$A,My_Audit!E:E,""),
_xlfn.IFS(_xlpm.MyAuditVal&lt;&gt;"",_xlpm.MyAuditVal,_xlpm.MacVal&lt;&gt;"",_xlpm.MacVal,_xlpm.CSVVal&lt;&gt;"",_xlpm.CSVVal
)),"")</f>
        <v/>
      </c>
      <c r="G170" s="40" t="str" cm="1">
        <f t="array" ref="G170">IFERROR(_xlfn.LET(
_xlpm.CSVVal,_xlfn.XLOOKUP($A170,CSV!$A:$A,CSV!G:G,""),
_xlpm.MacVal,_xlfn.XLOOKUP($A170,Output_Mac!$A:$A,Output_Mac!F:F,""),
_xlpm.MyAuditVal,_xlfn.XLOOKUP($A170,My_Audit!$A:$A,My_Audit!F:F,""),
_xlfn.IFS(_xlpm.MyAuditVal&lt;&gt;"",_xlpm.MyAuditVal,_xlpm.MacVal&lt;&gt;"",_xlpm.MacVal,_xlpm.CSVVal&lt;&gt;"",PROPER(_xlpm.CSVVal)
)),"")</f>
        <v/>
      </c>
      <c r="H170" s="40" t="str" cm="1">
        <f t="array" ref="H170">IFERROR(_xlfn.LET(
_xlpm.CSVVal,_xlfn.XLOOKUP($A170,CSV!$A:$A,CSV!H:H,""),
_xlpm.MacVal,_xlfn.XLOOKUP($A170,Output_Mac!$A:$A,Output_Mac!H:H,""),
_xlpm.MyAuditVal,_xlfn.XLOOKUP($A170,My_Audit!$A:$A,My_Audit!G:G,""),
_xlfn.IFS(_xlpm.MyAuditVal&lt;&gt;"",_xlpm.MyAuditVal,_xlpm.MacVal&lt;&gt;"",_xlpm.MacVal,_xlpm.CSVVal&lt;&gt;"",_xlpm.CSVVal
)),"")</f>
        <v/>
      </c>
      <c r="I170" s="40" t="str">
        <f>_xlfn.XLOOKUP(A170,Output_Mac!A:A,Output_Mac!I:I,"")</f>
        <v/>
      </c>
      <c r="J170" s="40" t="str" cm="1">
        <f t="array" ref="J170">IFERROR(_xlfn.LET(
_xlpm.CSVVal,_xlfn.XLOOKUP($A170,CSV!$A:$A,CSV!I:I,""),
_xlpm.MacVal,_xlfn.XLOOKUP($A170,Output_Mac!$A:$A,Output_Mac!J:J,""),
_xlpm.MyAuditVal,_xlfn.XLOOKUP($A170,My_Audit!$A:$A,My_Audit!I:I,""),
_xlfn.IFS(_xlpm.MyAuditVal&lt;&gt;"",UPPER(_xlpm.MyAuditVal),_xlpm.MacVal&lt;&gt;"",_xlpm.MacVal,_xlpm.CSVVal&lt;&gt;"",_xlpm.CSVVal
)),"")</f>
        <v/>
      </c>
      <c r="K170" s="40" t="str" cm="1">
        <f t="array" ref="K170">IFERROR(_xlfn.LET(
_xlpm.CSVVal,_xlfn.XLOOKUP($A170,CSV!$A:$A,CSV!K:K,""),
_xlpm.MacVal,_xlfn.XLOOKUP($A170,Output_Mac!$A:$A,Output_Mac!K:K,""),
_xlpm.MyAuditVal,_xlfn.XLOOKUP($A170,My_Audit!$A:$A,My_Audit!J:J,""),
_xlfn.IFS(_xlpm.MyAuditVal&lt;&gt;"",UPPER(_xlpm.MyAuditVal),_xlpm.MacVal&lt;&gt;"",_xlpm.MacVal,_xlpm.CSVVal&lt;&gt;"",_xlpm.CSVVal
)),"")</f>
        <v/>
      </c>
      <c r="L170" s="40" t="str" cm="1">
        <f t="array" ref="L170">IFERROR(_xlfn.LET(
_xlpm.CSVVal,_xlfn.XLOOKUP($A170,CSV!$A:$A,CSV!P:P,""),
_xlpm.MacVal,_xlfn.XLOOKUP($A170,Output_Mac!$A:$A,Output_Mac!L:L,""),
_xlpm.MyAuditVal,_xlfn.XLOOKUP($A170,My_Audit!$A:$A,My_Audit!K:K,""),
_xlfn.IFS(_xlpm.MyAuditVal&lt;&gt;"",UPPER(_xlpm.MyAuditVal),_xlpm.MacVal&lt;&gt;"",_xlpm.MacVal,_xlpm.CSVVal&lt;&gt;"",_xlpm.CSVVal
)),"")</f>
        <v/>
      </c>
      <c r="M170" s="40" t="str" cm="1">
        <f t="array" ref="M170">IFERROR(_xlfn.LET(
_xlpm.CSVVal,_xlfn.XLOOKUP($A170,CSV!$A:$A,CSV!Q:Q,""),
_xlpm.MacVal,_xlfn.XLOOKUP($A170,Output_Mac!$A:$A,Output_Mac!M:M,""),
_xlpm.MyAuditVal,_xlfn.XLOOKUP($A170,My_Audit!$A:$A,My_Audit!L:L,""),
_xlfn.IFS(_xlpm.MyAuditVal&lt;&gt;"",UPPER(_xlpm.MyAuditVal),_xlpm.MacVal&lt;&gt;"",_xlpm.MacVal,_xlpm.CSVVal&lt;&gt;"",_xlpm.CSVVal
)),"")</f>
        <v/>
      </c>
      <c r="N170" s="40"/>
      <c r="O170" s="40" t="str">
        <f>_xlfn.LET(
    _xlpm.CSVVal, _xlfn.XLOOKUP($A170, CSV!$A:$A, CSV!AA:AA, ""),
    _xlpm.MacVal, _xlfn.XLOOKUP($A170, Output_Mac!$A:$A, Output_Mac!S:S, ""),
    _xlpm.MyAuditVal, _xlfn.XLOOKUP($A170, My_Audit!$A:$A, My_Audit!P:P, ""),
    _xlfn.TEXTJOIN(", ", TRUE, _xlpm.MyAuditVal, _xlpm.MacVal, _xlpm.CSVVal)
)</f>
        <v>Label marks D</v>
      </c>
      <c r="P170" s="40" t="str" cm="1">
        <f t="array" ref="P170">IFERROR(_xlfn.LET(
_xlpm.CSVVal,_xlfn.XLOOKUP($A170,CSV!$A:$A,CSV!AB:AB,""),
_xlpm.MacVal,_xlfn.XLOOKUP($A170,Output_Mac!$A:$A,Output_Mac!T:T,""),
_xlpm.MyAuditVal,_xlfn.XLOOKUP($A170,My_Audit!$A:$A,My_Audit!Q:Q,""),
_xlfn.IFS(_xlpm.MyAuditVal&lt;&gt;"",UPPER(_xlpm.MyAuditVal),_xlpm.MacVal&lt;&gt;"",_xlpm.MacVal,_xlpm.CSVVal&lt;&gt;"",_xlpm.CSVVal
)),"No")</f>
        <v>No</v>
      </c>
      <c r="Q170" s="40" t="str" cm="1">
        <f t="array" ref="Q170">IFERROR(_xlfn.LET(
_xlpm.CSVVal,_xlfn.XLOOKUP($A170,CSV!$A:$A,CSV!AC:AC,""),
_xlpm.MacVal,_xlfn.XLOOKUP($A170,Output_Mac!$A:$A,Output_Mac!U:U,""),
_xlpm.MyAuditVal,_xlfn.XLOOKUP($A170,My_Audit!$A:$A,My_Audit!R:R,""),
_xlfn.IFS(_xlpm.MyAuditVal&lt;&gt;"",UPPER(_xlpm.MyAuditVal),_xlpm.MacVal&lt;&gt;"",_xlpm.MacVal,_xlpm.CSVVal&lt;&gt;"",_xlpm.CSVVal
)),"")</f>
        <v/>
      </c>
      <c r="R170" s="40"/>
      <c r="S170" s="40"/>
      <c r="T170" s="40"/>
      <c r="U170" s="40"/>
      <c r="V170" s="40"/>
      <c r="W170" s="40"/>
      <c r="X170" s="41" t="str">
        <f>_xlfn.LET(
    _xlpm.MacVal, _xlfn.XLOOKUP($A170, Output_Mac!$A:$A, Output_Mac!AB:AB, ""),
    _xlpm.MyAuditVal, _xlfn.XLOOKUP($A170, My_Audit!$A:$A, My_Audit!N:N, ""),
    _xlfn.TEXTJOIN(", ", TRUE, _xlpm.MyAuditVal, _xlpm.MacVal)
)</f>
        <v/>
      </c>
    </row>
    <row r="171" spans="1:24">
      <c r="A171" s="40" t="str">
        <f>_xlfn.TEXTJOIN("",TRUE,Input!$B$2,ROW(My_Audit!A170))</f>
        <v>X170</v>
      </c>
      <c r="B171" s="40" t="str">
        <f>_xlfn.TEXTJOIN("-",TRUE,"ITD",Input!$A$2,A171)</f>
        <v>ITD-X170</v>
      </c>
      <c r="C171" s="40" t="str" cm="1">
        <f t="array" ref="C171">IFERROR(_xlfn.LET(
_xlpm.CSVVal,_xlfn.XLOOKUP($A171,CSV!$A:$A,CSV!B:B,""),
_xlpm.MacVal,_xlfn.XLOOKUP($A171,Output_Mac!$A:$A,Output_Mac!B:B,""),
_xlpm.MyAuditVal,_xlfn.XLOOKUP($A171,My_Audit!$A:$A,My_Audit!B:B,""),
_xlfn.IFS(_xlpm.MyAuditVal&lt;&gt;"",UPPER(_xlpm.MyAuditVal),_xlpm.MacVal&lt;&gt;"",_xlpm.MacVal,_xlpm.CSVVal&lt;&gt;"",_xlpm.CSVVal
)),"")</f>
        <v/>
      </c>
      <c r="D171" s="40" t="str" cm="1">
        <f t="array" ref="D171">IFERROR(_xlfn.LET(
_xlpm.CSVVal,_xlfn.XLOOKUP($A171,CSV!$A:$A,CSV!D:D,""),
_xlpm.MacVal,_xlfn.XLOOKUP($A171,Output_Mac!$A:$A,Output_Mac!C:C,""),
_xlpm.MyAuditVal,_xlfn.XLOOKUP($A171,My_Audit!$A:$A,My_Audit!C:C,""),
_xlfn.IFS(_xlpm.MyAuditVal&lt;&gt;"",_xlpm.MyAuditVal,_xlpm.MacVal&lt;&gt;"",_xlpm.MacVal,_xlpm.CSVVal&lt;&gt;"",_xlpm.CSVVal
)),"")</f>
        <v/>
      </c>
      <c r="E171" s="40">
        <f>_xlfn.XLOOKUP(A171,My_Audit!A:A,My_Audit!D:D,"")</f>
        <v>0</v>
      </c>
      <c r="F171" s="40" t="str" cm="1">
        <f t="array" ref="F171">IFERROR(_xlfn.LET(
_xlpm.CSVVal,_xlfn.XLOOKUP($A171,CSV!$A:$A,CSV!F:F,""),
_xlpm.MacVal,_xlfn.XLOOKUP($A171,Output_Mac!$A:$A,Output_Mac!E:E,""),
_xlpm.MyAuditVal,_xlfn.XLOOKUP($A171,My_Audit!$A:$A,My_Audit!E:E,""),
_xlfn.IFS(_xlpm.MyAuditVal&lt;&gt;"",_xlpm.MyAuditVal,_xlpm.MacVal&lt;&gt;"",_xlpm.MacVal,_xlpm.CSVVal&lt;&gt;"",_xlpm.CSVVal
)),"")</f>
        <v/>
      </c>
      <c r="G171" s="40" t="str" cm="1">
        <f t="array" ref="G171">IFERROR(_xlfn.LET(
_xlpm.CSVVal,_xlfn.XLOOKUP($A171,CSV!$A:$A,CSV!G:G,""),
_xlpm.MacVal,_xlfn.XLOOKUP($A171,Output_Mac!$A:$A,Output_Mac!F:F,""),
_xlpm.MyAuditVal,_xlfn.XLOOKUP($A171,My_Audit!$A:$A,My_Audit!F:F,""),
_xlfn.IFS(_xlpm.MyAuditVal&lt;&gt;"",_xlpm.MyAuditVal,_xlpm.MacVal&lt;&gt;"",_xlpm.MacVal,_xlpm.CSVVal&lt;&gt;"",PROPER(_xlpm.CSVVal)
)),"")</f>
        <v/>
      </c>
      <c r="H171" s="40" t="str" cm="1">
        <f t="array" ref="H171">IFERROR(_xlfn.LET(
_xlpm.CSVVal,_xlfn.XLOOKUP($A171,CSV!$A:$A,CSV!H:H,""),
_xlpm.MacVal,_xlfn.XLOOKUP($A171,Output_Mac!$A:$A,Output_Mac!H:H,""),
_xlpm.MyAuditVal,_xlfn.XLOOKUP($A171,My_Audit!$A:$A,My_Audit!G:G,""),
_xlfn.IFS(_xlpm.MyAuditVal&lt;&gt;"",_xlpm.MyAuditVal,_xlpm.MacVal&lt;&gt;"",_xlpm.MacVal,_xlpm.CSVVal&lt;&gt;"",_xlpm.CSVVal
)),"")</f>
        <v/>
      </c>
      <c r="I171" s="40" t="str">
        <f>_xlfn.XLOOKUP(A171,Output_Mac!A:A,Output_Mac!I:I,"")</f>
        <v/>
      </c>
      <c r="J171" s="40" t="str" cm="1">
        <f t="array" ref="J171">IFERROR(_xlfn.LET(
_xlpm.CSVVal,_xlfn.XLOOKUP($A171,CSV!$A:$A,CSV!I:I,""),
_xlpm.MacVal,_xlfn.XLOOKUP($A171,Output_Mac!$A:$A,Output_Mac!J:J,""),
_xlpm.MyAuditVal,_xlfn.XLOOKUP($A171,My_Audit!$A:$A,My_Audit!I:I,""),
_xlfn.IFS(_xlpm.MyAuditVal&lt;&gt;"",UPPER(_xlpm.MyAuditVal),_xlpm.MacVal&lt;&gt;"",_xlpm.MacVal,_xlpm.CSVVal&lt;&gt;"",_xlpm.CSVVal
)),"")</f>
        <v/>
      </c>
      <c r="K171" s="40" t="str" cm="1">
        <f t="array" ref="K171">IFERROR(_xlfn.LET(
_xlpm.CSVVal,_xlfn.XLOOKUP($A171,CSV!$A:$A,CSV!K:K,""),
_xlpm.MacVal,_xlfn.XLOOKUP($A171,Output_Mac!$A:$A,Output_Mac!K:K,""),
_xlpm.MyAuditVal,_xlfn.XLOOKUP($A171,My_Audit!$A:$A,My_Audit!J:J,""),
_xlfn.IFS(_xlpm.MyAuditVal&lt;&gt;"",UPPER(_xlpm.MyAuditVal),_xlpm.MacVal&lt;&gt;"",_xlpm.MacVal,_xlpm.CSVVal&lt;&gt;"",_xlpm.CSVVal
)),"")</f>
        <v/>
      </c>
      <c r="L171" s="40" t="str" cm="1">
        <f t="array" ref="L171">IFERROR(_xlfn.LET(
_xlpm.CSVVal,_xlfn.XLOOKUP($A171,CSV!$A:$A,CSV!P:P,""),
_xlpm.MacVal,_xlfn.XLOOKUP($A171,Output_Mac!$A:$A,Output_Mac!L:L,""),
_xlpm.MyAuditVal,_xlfn.XLOOKUP($A171,My_Audit!$A:$A,My_Audit!K:K,""),
_xlfn.IFS(_xlpm.MyAuditVal&lt;&gt;"",UPPER(_xlpm.MyAuditVal),_xlpm.MacVal&lt;&gt;"",_xlpm.MacVal,_xlpm.CSVVal&lt;&gt;"",_xlpm.CSVVal
)),"")</f>
        <v/>
      </c>
      <c r="M171" s="40" t="str" cm="1">
        <f t="array" ref="M171">IFERROR(_xlfn.LET(
_xlpm.CSVVal,_xlfn.XLOOKUP($A171,CSV!$A:$A,CSV!Q:Q,""),
_xlpm.MacVal,_xlfn.XLOOKUP($A171,Output_Mac!$A:$A,Output_Mac!M:M,""),
_xlpm.MyAuditVal,_xlfn.XLOOKUP($A171,My_Audit!$A:$A,My_Audit!L:L,""),
_xlfn.IFS(_xlpm.MyAuditVal&lt;&gt;"",UPPER(_xlpm.MyAuditVal),_xlpm.MacVal&lt;&gt;"",_xlpm.MacVal,_xlpm.CSVVal&lt;&gt;"",_xlpm.CSVVal
)),"")</f>
        <v/>
      </c>
      <c r="N171" s="40"/>
      <c r="O171" s="40" t="str">
        <f>_xlfn.LET(
    _xlpm.CSVVal, _xlfn.XLOOKUP($A171, CSV!$A:$A, CSV!AA:AA, ""),
    _xlpm.MacVal, _xlfn.XLOOKUP($A171, Output_Mac!$A:$A, Output_Mac!S:S, ""),
    _xlpm.MyAuditVal, _xlfn.XLOOKUP($A171, My_Audit!$A:$A, My_Audit!P:P, ""),
    _xlfn.TEXTJOIN(", ", TRUE, _xlpm.MyAuditVal, _xlpm.MacVal, _xlpm.CSVVal)
)</f>
        <v/>
      </c>
      <c r="P171" s="40" t="str" cm="1">
        <f t="array" ref="P171">IFERROR(_xlfn.LET(
_xlpm.CSVVal,_xlfn.XLOOKUP($A171,CSV!$A:$A,CSV!AB:AB,""),
_xlpm.MacVal,_xlfn.XLOOKUP($A171,Output_Mac!$A:$A,Output_Mac!T:T,""),
_xlpm.MyAuditVal,_xlfn.XLOOKUP($A171,My_Audit!$A:$A,My_Audit!Q:Q,""),
_xlfn.IFS(_xlpm.MyAuditVal&lt;&gt;"",UPPER(_xlpm.MyAuditVal),_xlpm.MacVal&lt;&gt;"",_xlpm.MacVal,_xlpm.CSVVal&lt;&gt;"",_xlpm.CSVVal
)),"No")</f>
        <v>No</v>
      </c>
      <c r="Q171" s="40" t="str" cm="1">
        <f t="array" ref="Q171">IFERROR(_xlfn.LET(
_xlpm.CSVVal,_xlfn.XLOOKUP($A171,CSV!$A:$A,CSV!AC:AC,""),
_xlpm.MacVal,_xlfn.XLOOKUP($A171,Output_Mac!$A:$A,Output_Mac!U:U,""),
_xlpm.MyAuditVal,_xlfn.XLOOKUP($A171,My_Audit!$A:$A,My_Audit!R:R,""),
_xlfn.IFS(_xlpm.MyAuditVal&lt;&gt;"",UPPER(_xlpm.MyAuditVal),_xlpm.MacVal&lt;&gt;"",_xlpm.MacVal,_xlpm.CSVVal&lt;&gt;"",_xlpm.CSVVal
)),"")</f>
        <v/>
      </c>
      <c r="R171" s="40"/>
      <c r="S171" s="40"/>
      <c r="T171" s="40"/>
      <c r="U171" s="40"/>
      <c r="V171" s="40"/>
      <c r="W171" s="40"/>
      <c r="X171" s="41" t="str">
        <f>_xlfn.LET(
    _xlpm.MacVal, _xlfn.XLOOKUP($A171, Output_Mac!$A:$A, Output_Mac!AB:AB, ""),
    _xlpm.MyAuditVal, _xlfn.XLOOKUP($A171, My_Audit!$A:$A, My_Audit!N:N, ""),
    _xlfn.TEXTJOIN(", ", TRUE, _xlpm.MyAuditVal, _xlpm.MacVal)
)</f>
        <v/>
      </c>
    </row>
    <row r="172" spans="1:24">
      <c r="A172" s="40" t="str">
        <f>_xlfn.TEXTJOIN("",TRUE,Input!$B$2,ROW(My_Audit!A171))</f>
        <v>X171</v>
      </c>
      <c r="B172" s="40" t="str">
        <f>_xlfn.TEXTJOIN("-",TRUE,"ITD",Input!$A$2,A172)</f>
        <v>ITD-X171</v>
      </c>
      <c r="C172" s="40" t="str" cm="1">
        <f t="array" ref="C172">IFERROR(_xlfn.LET(
_xlpm.CSVVal,_xlfn.XLOOKUP($A172,CSV!$A:$A,CSV!B:B,""),
_xlpm.MacVal,_xlfn.XLOOKUP($A172,Output_Mac!$A:$A,Output_Mac!B:B,""),
_xlpm.MyAuditVal,_xlfn.XLOOKUP($A172,My_Audit!$A:$A,My_Audit!B:B,""),
_xlfn.IFS(_xlpm.MyAuditVal&lt;&gt;"",UPPER(_xlpm.MyAuditVal),_xlpm.MacVal&lt;&gt;"",_xlpm.MacVal,_xlpm.CSVVal&lt;&gt;"",_xlpm.CSVVal
)),"")</f>
        <v/>
      </c>
      <c r="D172" s="40" t="str" cm="1">
        <f t="array" ref="D172">IFERROR(_xlfn.LET(
_xlpm.CSVVal,_xlfn.XLOOKUP($A172,CSV!$A:$A,CSV!D:D,""),
_xlpm.MacVal,_xlfn.XLOOKUP($A172,Output_Mac!$A:$A,Output_Mac!C:C,""),
_xlpm.MyAuditVal,_xlfn.XLOOKUP($A172,My_Audit!$A:$A,My_Audit!C:C,""),
_xlfn.IFS(_xlpm.MyAuditVal&lt;&gt;"",_xlpm.MyAuditVal,_xlpm.MacVal&lt;&gt;"",_xlpm.MacVal,_xlpm.CSVVal&lt;&gt;"",_xlpm.CSVVal
)),"")</f>
        <v/>
      </c>
      <c r="E172" s="40">
        <f>_xlfn.XLOOKUP(A172,My_Audit!A:A,My_Audit!D:D,"")</f>
        <v>0</v>
      </c>
      <c r="F172" s="40" t="str" cm="1">
        <f t="array" ref="F172">IFERROR(_xlfn.LET(
_xlpm.CSVVal,_xlfn.XLOOKUP($A172,CSV!$A:$A,CSV!F:F,""),
_xlpm.MacVal,_xlfn.XLOOKUP($A172,Output_Mac!$A:$A,Output_Mac!E:E,""),
_xlpm.MyAuditVal,_xlfn.XLOOKUP($A172,My_Audit!$A:$A,My_Audit!E:E,""),
_xlfn.IFS(_xlpm.MyAuditVal&lt;&gt;"",_xlpm.MyAuditVal,_xlpm.MacVal&lt;&gt;"",_xlpm.MacVal,_xlpm.CSVVal&lt;&gt;"",_xlpm.CSVVal
)),"")</f>
        <v/>
      </c>
      <c r="G172" s="40" t="str" cm="1">
        <f t="array" ref="G172">IFERROR(_xlfn.LET(
_xlpm.CSVVal,_xlfn.XLOOKUP($A172,CSV!$A:$A,CSV!G:G,""),
_xlpm.MacVal,_xlfn.XLOOKUP($A172,Output_Mac!$A:$A,Output_Mac!F:F,""),
_xlpm.MyAuditVal,_xlfn.XLOOKUP($A172,My_Audit!$A:$A,My_Audit!F:F,""),
_xlfn.IFS(_xlpm.MyAuditVal&lt;&gt;"",_xlpm.MyAuditVal,_xlpm.MacVal&lt;&gt;"",_xlpm.MacVal,_xlpm.CSVVal&lt;&gt;"",PROPER(_xlpm.CSVVal)
)),"")</f>
        <v/>
      </c>
      <c r="H172" s="40" t="str" cm="1">
        <f t="array" ref="H172">IFERROR(_xlfn.LET(
_xlpm.CSVVal,_xlfn.XLOOKUP($A172,CSV!$A:$A,CSV!H:H,""),
_xlpm.MacVal,_xlfn.XLOOKUP($A172,Output_Mac!$A:$A,Output_Mac!H:H,""),
_xlpm.MyAuditVal,_xlfn.XLOOKUP($A172,My_Audit!$A:$A,My_Audit!G:G,""),
_xlfn.IFS(_xlpm.MyAuditVal&lt;&gt;"",_xlpm.MyAuditVal,_xlpm.MacVal&lt;&gt;"",_xlpm.MacVal,_xlpm.CSVVal&lt;&gt;"",_xlpm.CSVVal
)),"")</f>
        <v/>
      </c>
      <c r="I172" s="40" t="str">
        <f>_xlfn.XLOOKUP(A172,Output_Mac!A:A,Output_Mac!I:I,"")</f>
        <v/>
      </c>
      <c r="J172" s="40" t="str" cm="1">
        <f t="array" ref="J172">IFERROR(_xlfn.LET(
_xlpm.CSVVal,_xlfn.XLOOKUP($A172,CSV!$A:$A,CSV!I:I,""),
_xlpm.MacVal,_xlfn.XLOOKUP($A172,Output_Mac!$A:$A,Output_Mac!J:J,""),
_xlpm.MyAuditVal,_xlfn.XLOOKUP($A172,My_Audit!$A:$A,My_Audit!I:I,""),
_xlfn.IFS(_xlpm.MyAuditVal&lt;&gt;"",UPPER(_xlpm.MyAuditVal),_xlpm.MacVal&lt;&gt;"",_xlpm.MacVal,_xlpm.CSVVal&lt;&gt;"",_xlpm.CSVVal
)),"")</f>
        <v/>
      </c>
      <c r="K172" s="40" t="str" cm="1">
        <f t="array" ref="K172">IFERROR(_xlfn.LET(
_xlpm.CSVVal,_xlfn.XLOOKUP($A172,CSV!$A:$A,CSV!K:K,""),
_xlpm.MacVal,_xlfn.XLOOKUP($A172,Output_Mac!$A:$A,Output_Mac!K:K,""),
_xlpm.MyAuditVal,_xlfn.XLOOKUP($A172,My_Audit!$A:$A,My_Audit!J:J,""),
_xlfn.IFS(_xlpm.MyAuditVal&lt;&gt;"",UPPER(_xlpm.MyAuditVal),_xlpm.MacVal&lt;&gt;"",_xlpm.MacVal,_xlpm.CSVVal&lt;&gt;"",_xlpm.CSVVal
)),"")</f>
        <v/>
      </c>
      <c r="L172" s="40" t="str" cm="1">
        <f t="array" ref="L172">IFERROR(_xlfn.LET(
_xlpm.CSVVal,_xlfn.XLOOKUP($A172,CSV!$A:$A,CSV!P:P,""),
_xlpm.MacVal,_xlfn.XLOOKUP($A172,Output_Mac!$A:$A,Output_Mac!L:L,""),
_xlpm.MyAuditVal,_xlfn.XLOOKUP($A172,My_Audit!$A:$A,My_Audit!K:K,""),
_xlfn.IFS(_xlpm.MyAuditVal&lt;&gt;"",UPPER(_xlpm.MyAuditVal),_xlpm.MacVal&lt;&gt;"",_xlpm.MacVal,_xlpm.CSVVal&lt;&gt;"",_xlpm.CSVVal
)),"")</f>
        <v/>
      </c>
      <c r="M172" s="40" t="str" cm="1">
        <f t="array" ref="M172">IFERROR(_xlfn.LET(
_xlpm.CSVVal,_xlfn.XLOOKUP($A172,CSV!$A:$A,CSV!Q:Q,""),
_xlpm.MacVal,_xlfn.XLOOKUP($A172,Output_Mac!$A:$A,Output_Mac!M:M,""),
_xlpm.MyAuditVal,_xlfn.XLOOKUP($A172,My_Audit!$A:$A,My_Audit!L:L,""),
_xlfn.IFS(_xlpm.MyAuditVal&lt;&gt;"",UPPER(_xlpm.MyAuditVal),_xlpm.MacVal&lt;&gt;"",_xlpm.MacVal,_xlpm.CSVVal&lt;&gt;"",_xlpm.CSVVal
)),"")</f>
        <v/>
      </c>
      <c r="N172" s="40"/>
      <c r="O172" s="40" t="str">
        <f>_xlfn.LET(
    _xlpm.CSVVal, _xlfn.XLOOKUP($A172, CSV!$A:$A, CSV!AA:AA, ""),
    _xlpm.MacVal, _xlfn.XLOOKUP($A172, Output_Mac!$A:$A, Output_Mac!S:S, ""),
    _xlpm.MyAuditVal, _xlfn.XLOOKUP($A172, My_Audit!$A:$A, My_Audit!P:P, ""),
    _xlfn.TEXTJOIN(", ", TRUE, _xlpm.MyAuditVal, _xlpm.MacVal, _xlpm.CSVVal)
)</f>
        <v/>
      </c>
      <c r="P172" s="40" t="str" cm="1">
        <f t="array" ref="P172">IFERROR(_xlfn.LET(
_xlpm.CSVVal,_xlfn.XLOOKUP($A172,CSV!$A:$A,CSV!AB:AB,""),
_xlpm.MacVal,_xlfn.XLOOKUP($A172,Output_Mac!$A:$A,Output_Mac!T:T,""),
_xlpm.MyAuditVal,_xlfn.XLOOKUP($A172,My_Audit!$A:$A,My_Audit!Q:Q,""),
_xlfn.IFS(_xlpm.MyAuditVal&lt;&gt;"",UPPER(_xlpm.MyAuditVal),_xlpm.MacVal&lt;&gt;"",_xlpm.MacVal,_xlpm.CSVVal&lt;&gt;"",_xlpm.CSVVal
)),"No")</f>
        <v>No</v>
      </c>
      <c r="Q172" s="40" t="str" cm="1">
        <f t="array" ref="Q172">IFERROR(_xlfn.LET(
_xlpm.CSVVal,_xlfn.XLOOKUP($A172,CSV!$A:$A,CSV!AC:AC,""),
_xlpm.MacVal,_xlfn.XLOOKUP($A172,Output_Mac!$A:$A,Output_Mac!U:U,""),
_xlpm.MyAuditVal,_xlfn.XLOOKUP($A172,My_Audit!$A:$A,My_Audit!R:R,""),
_xlfn.IFS(_xlpm.MyAuditVal&lt;&gt;"",UPPER(_xlpm.MyAuditVal),_xlpm.MacVal&lt;&gt;"",_xlpm.MacVal,_xlpm.CSVVal&lt;&gt;"",_xlpm.CSVVal
)),"")</f>
        <v/>
      </c>
      <c r="R172" s="40"/>
      <c r="S172" s="40"/>
      <c r="T172" s="40"/>
      <c r="U172" s="40"/>
      <c r="V172" s="40"/>
      <c r="W172" s="40"/>
      <c r="X172" s="41" t="str">
        <f>_xlfn.LET(
    _xlpm.MacVal, _xlfn.XLOOKUP($A172, Output_Mac!$A:$A, Output_Mac!AB:AB, ""),
    _xlpm.MyAuditVal, _xlfn.XLOOKUP($A172, My_Audit!$A:$A, My_Audit!N:N, ""),
    _xlfn.TEXTJOIN(", ", TRUE, _xlpm.MyAuditVal, _xlpm.MacVal)
)</f>
        <v/>
      </c>
    </row>
    <row r="173" spans="1:24">
      <c r="A173" s="40" t="str">
        <f>_xlfn.TEXTJOIN("",TRUE,Input!$B$2,ROW(My_Audit!A172))</f>
        <v>X172</v>
      </c>
      <c r="B173" s="40" t="str">
        <f>_xlfn.TEXTJOIN("-",TRUE,"ITD",Input!$A$2,A173)</f>
        <v>ITD-X172</v>
      </c>
      <c r="C173" s="40" t="str" cm="1">
        <f t="array" ref="C173">IFERROR(_xlfn.LET(
_xlpm.CSVVal,_xlfn.XLOOKUP($A173,CSV!$A:$A,CSV!B:B,""),
_xlpm.MacVal,_xlfn.XLOOKUP($A173,Output_Mac!$A:$A,Output_Mac!B:B,""),
_xlpm.MyAuditVal,_xlfn.XLOOKUP($A173,My_Audit!$A:$A,My_Audit!B:B,""),
_xlfn.IFS(_xlpm.MyAuditVal&lt;&gt;"",UPPER(_xlpm.MyAuditVal),_xlpm.MacVal&lt;&gt;"",_xlpm.MacVal,_xlpm.CSVVal&lt;&gt;"",_xlpm.CSVVal
)),"")</f>
        <v/>
      </c>
      <c r="D173" s="40" t="str" cm="1">
        <f t="array" ref="D173">IFERROR(_xlfn.LET(
_xlpm.CSVVal,_xlfn.XLOOKUP($A173,CSV!$A:$A,CSV!D:D,""),
_xlpm.MacVal,_xlfn.XLOOKUP($A173,Output_Mac!$A:$A,Output_Mac!C:C,""),
_xlpm.MyAuditVal,_xlfn.XLOOKUP($A173,My_Audit!$A:$A,My_Audit!C:C,""),
_xlfn.IFS(_xlpm.MyAuditVal&lt;&gt;"",_xlpm.MyAuditVal,_xlpm.MacVal&lt;&gt;"",_xlpm.MacVal,_xlpm.CSVVal&lt;&gt;"",_xlpm.CSVVal
)),"")</f>
        <v/>
      </c>
      <c r="E173" s="40">
        <f>_xlfn.XLOOKUP(A173,My_Audit!A:A,My_Audit!D:D,"")</f>
        <v>0</v>
      </c>
      <c r="F173" s="40" t="str" cm="1">
        <f t="array" ref="F173">IFERROR(_xlfn.LET(
_xlpm.CSVVal,_xlfn.XLOOKUP($A173,CSV!$A:$A,CSV!F:F,""),
_xlpm.MacVal,_xlfn.XLOOKUP($A173,Output_Mac!$A:$A,Output_Mac!E:E,""),
_xlpm.MyAuditVal,_xlfn.XLOOKUP($A173,My_Audit!$A:$A,My_Audit!E:E,""),
_xlfn.IFS(_xlpm.MyAuditVal&lt;&gt;"",_xlpm.MyAuditVal,_xlpm.MacVal&lt;&gt;"",_xlpm.MacVal,_xlpm.CSVVal&lt;&gt;"",_xlpm.CSVVal
)),"")</f>
        <v/>
      </c>
      <c r="G173" s="40" t="str" cm="1">
        <f t="array" ref="G173">IFERROR(_xlfn.LET(
_xlpm.CSVVal,_xlfn.XLOOKUP($A173,CSV!$A:$A,CSV!G:G,""),
_xlpm.MacVal,_xlfn.XLOOKUP($A173,Output_Mac!$A:$A,Output_Mac!F:F,""),
_xlpm.MyAuditVal,_xlfn.XLOOKUP($A173,My_Audit!$A:$A,My_Audit!F:F,""),
_xlfn.IFS(_xlpm.MyAuditVal&lt;&gt;"",_xlpm.MyAuditVal,_xlpm.MacVal&lt;&gt;"",_xlpm.MacVal,_xlpm.CSVVal&lt;&gt;"",PROPER(_xlpm.CSVVal)
)),"")</f>
        <v/>
      </c>
      <c r="H173" s="40" t="str" cm="1">
        <f t="array" ref="H173">IFERROR(_xlfn.LET(
_xlpm.CSVVal,_xlfn.XLOOKUP($A173,CSV!$A:$A,CSV!H:H,""),
_xlpm.MacVal,_xlfn.XLOOKUP($A173,Output_Mac!$A:$A,Output_Mac!H:H,""),
_xlpm.MyAuditVal,_xlfn.XLOOKUP($A173,My_Audit!$A:$A,My_Audit!G:G,""),
_xlfn.IFS(_xlpm.MyAuditVal&lt;&gt;"",_xlpm.MyAuditVal,_xlpm.MacVal&lt;&gt;"",_xlpm.MacVal,_xlpm.CSVVal&lt;&gt;"",_xlpm.CSVVal
)),"")</f>
        <v/>
      </c>
      <c r="I173" s="40" t="str">
        <f>_xlfn.XLOOKUP(A173,Output_Mac!A:A,Output_Mac!I:I,"")</f>
        <v/>
      </c>
      <c r="J173" s="40" t="str" cm="1">
        <f t="array" ref="J173">IFERROR(_xlfn.LET(
_xlpm.CSVVal,_xlfn.XLOOKUP($A173,CSV!$A:$A,CSV!I:I,""),
_xlpm.MacVal,_xlfn.XLOOKUP($A173,Output_Mac!$A:$A,Output_Mac!J:J,""),
_xlpm.MyAuditVal,_xlfn.XLOOKUP($A173,My_Audit!$A:$A,My_Audit!I:I,""),
_xlfn.IFS(_xlpm.MyAuditVal&lt;&gt;"",UPPER(_xlpm.MyAuditVal),_xlpm.MacVal&lt;&gt;"",_xlpm.MacVal,_xlpm.CSVVal&lt;&gt;"",_xlpm.CSVVal
)),"")</f>
        <v/>
      </c>
      <c r="K173" s="40" t="str" cm="1">
        <f t="array" ref="K173">IFERROR(_xlfn.LET(
_xlpm.CSVVal,_xlfn.XLOOKUP($A173,CSV!$A:$A,CSV!K:K,""),
_xlpm.MacVal,_xlfn.XLOOKUP($A173,Output_Mac!$A:$A,Output_Mac!K:K,""),
_xlpm.MyAuditVal,_xlfn.XLOOKUP($A173,My_Audit!$A:$A,My_Audit!J:J,""),
_xlfn.IFS(_xlpm.MyAuditVal&lt;&gt;"",UPPER(_xlpm.MyAuditVal),_xlpm.MacVal&lt;&gt;"",_xlpm.MacVal,_xlpm.CSVVal&lt;&gt;"",_xlpm.CSVVal
)),"")</f>
        <v/>
      </c>
      <c r="L173" s="40" t="str" cm="1">
        <f t="array" ref="L173">IFERROR(_xlfn.LET(
_xlpm.CSVVal,_xlfn.XLOOKUP($A173,CSV!$A:$A,CSV!P:P,""),
_xlpm.MacVal,_xlfn.XLOOKUP($A173,Output_Mac!$A:$A,Output_Mac!L:L,""),
_xlpm.MyAuditVal,_xlfn.XLOOKUP($A173,My_Audit!$A:$A,My_Audit!K:K,""),
_xlfn.IFS(_xlpm.MyAuditVal&lt;&gt;"",UPPER(_xlpm.MyAuditVal),_xlpm.MacVal&lt;&gt;"",_xlpm.MacVal,_xlpm.CSVVal&lt;&gt;"",_xlpm.CSVVal
)),"")</f>
        <v/>
      </c>
      <c r="M173" s="40" t="str" cm="1">
        <f t="array" ref="M173">IFERROR(_xlfn.LET(
_xlpm.CSVVal,_xlfn.XLOOKUP($A173,CSV!$A:$A,CSV!Q:Q,""),
_xlpm.MacVal,_xlfn.XLOOKUP($A173,Output_Mac!$A:$A,Output_Mac!M:M,""),
_xlpm.MyAuditVal,_xlfn.XLOOKUP($A173,My_Audit!$A:$A,My_Audit!L:L,""),
_xlfn.IFS(_xlpm.MyAuditVal&lt;&gt;"",UPPER(_xlpm.MyAuditVal),_xlpm.MacVal&lt;&gt;"",_xlpm.MacVal,_xlpm.CSVVal&lt;&gt;"",_xlpm.CSVVal
)),"")</f>
        <v/>
      </c>
      <c r="N173" s="40"/>
      <c r="O173" s="40" t="str">
        <f>_xlfn.LET(
    _xlpm.CSVVal, _xlfn.XLOOKUP($A173, CSV!$A:$A, CSV!AA:AA, ""),
    _xlpm.MacVal, _xlfn.XLOOKUP($A173, Output_Mac!$A:$A, Output_Mac!S:S, ""),
    _xlpm.MyAuditVal, _xlfn.XLOOKUP($A173, My_Audit!$A:$A, My_Audit!P:P, ""),
    _xlfn.TEXTJOIN(", ", TRUE, _xlpm.MyAuditVal, _xlpm.MacVal, _xlpm.CSVVal)
)</f>
        <v/>
      </c>
      <c r="P173" s="40" t="str" cm="1">
        <f t="array" ref="P173">IFERROR(_xlfn.LET(
_xlpm.CSVVal,_xlfn.XLOOKUP($A173,CSV!$A:$A,CSV!AB:AB,""),
_xlpm.MacVal,_xlfn.XLOOKUP($A173,Output_Mac!$A:$A,Output_Mac!T:T,""),
_xlpm.MyAuditVal,_xlfn.XLOOKUP($A173,My_Audit!$A:$A,My_Audit!Q:Q,""),
_xlfn.IFS(_xlpm.MyAuditVal&lt;&gt;"",UPPER(_xlpm.MyAuditVal),_xlpm.MacVal&lt;&gt;"",_xlpm.MacVal,_xlpm.CSVVal&lt;&gt;"",_xlpm.CSVVal
)),"No")</f>
        <v>No</v>
      </c>
      <c r="Q173" s="40" t="str" cm="1">
        <f t="array" ref="Q173">IFERROR(_xlfn.LET(
_xlpm.CSVVal,_xlfn.XLOOKUP($A173,CSV!$A:$A,CSV!AC:AC,""),
_xlpm.MacVal,_xlfn.XLOOKUP($A173,Output_Mac!$A:$A,Output_Mac!U:U,""),
_xlpm.MyAuditVal,_xlfn.XLOOKUP($A173,My_Audit!$A:$A,My_Audit!R:R,""),
_xlfn.IFS(_xlpm.MyAuditVal&lt;&gt;"",UPPER(_xlpm.MyAuditVal),_xlpm.MacVal&lt;&gt;"",_xlpm.MacVal,_xlpm.CSVVal&lt;&gt;"",_xlpm.CSVVal
)),"")</f>
        <v/>
      </c>
      <c r="R173" s="40"/>
      <c r="S173" s="40"/>
      <c r="T173" s="40"/>
      <c r="U173" s="40"/>
      <c r="V173" s="40"/>
      <c r="W173" s="40"/>
      <c r="X173" s="41" t="str">
        <f>_xlfn.LET(
    _xlpm.MacVal, _xlfn.XLOOKUP($A173, Output_Mac!$A:$A, Output_Mac!AB:AB, ""),
    _xlpm.MyAuditVal, _xlfn.XLOOKUP($A173, My_Audit!$A:$A, My_Audit!N:N, ""),
    _xlfn.TEXTJOIN(", ", TRUE, _xlpm.MyAuditVal, _xlpm.MacVal)
)</f>
        <v/>
      </c>
    </row>
    <row r="174" spans="1:24">
      <c r="A174" s="40" t="str">
        <f>_xlfn.TEXTJOIN("",TRUE,Input!$B$2,ROW(My_Audit!A173))</f>
        <v>X173</v>
      </c>
      <c r="B174" s="40" t="str">
        <f>_xlfn.TEXTJOIN("-",TRUE,"ITD",Input!$A$2,A174)</f>
        <v>ITD-X173</v>
      </c>
      <c r="C174" s="40" t="str" cm="1">
        <f t="array" ref="C174">IFERROR(_xlfn.LET(
_xlpm.CSVVal,_xlfn.XLOOKUP($A174,CSV!$A:$A,CSV!B:B,""),
_xlpm.MacVal,_xlfn.XLOOKUP($A174,Output_Mac!$A:$A,Output_Mac!B:B,""),
_xlpm.MyAuditVal,_xlfn.XLOOKUP($A174,My_Audit!$A:$A,My_Audit!B:B,""),
_xlfn.IFS(_xlpm.MyAuditVal&lt;&gt;"",UPPER(_xlpm.MyAuditVal),_xlpm.MacVal&lt;&gt;"",_xlpm.MacVal,_xlpm.CSVVal&lt;&gt;"",_xlpm.CSVVal
)),"")</f>
        <v/>
      </c>
      <c r="D174" s="40" t="str" cm="1">
        <f t="array" ref="D174">IFERROR(_xlfn.LET(
_xlpm.CSVVal,_xlfn.XLOOKUP($A174,CSV!$A:$A,CSV!D:D,""),
_xlpm.MacVal,_xlfn.XLOOKUP($A174,Output_Mac!$A:$A,Output_Mac!C:C,""),
_xlpm.MyAuditVal,_xlfn.XLOOKUP($A174,My_Audit!$A:$A,My_Audit!C:C,""),
_xlfn.IFS(_xlpm.MyAuditVal&lt;&gt;"",_xlpm.MyAuditVal,_xlpm.MacVal&lt;&gt;"",_xlpm.MacVal,_xlpm.CSVVal&lt;&gt;"",_xlpm.CSVVal
)),"")</f>
        <v/>
      </c>
      <c r="E174" s="40">
        <f>_xlfn.XLOOKUP(A174,My_Audit!A:A,My_Audit!D:D,"")</f>
        <v>0</v>
      </c>
      <c r="F174" s="40" t="str" cm="1">
        <f t="array" ref="F174">IFERROR(_xlfn.LET(
_xlpm.CSVVal,_xlfn.XLOOKUP($A174,CSV!$A:$A,CSV!F:F,""),
_xlpm.MacVal,_xlfn.XLOOKUP($A174,Output_Mac!$A:$A,Output_Mac!E:E,""),
_xlpm.MyAuditVal,_xlfn.XLOOKUP($A174,My_Audit!$A:$A,My_Audit!E:E,""),
_xlfn.IFS(_xlpm.MyAuditVal&lt;&gt;"",_xlpm.MyAuditVal,_xlpm.MacVal&lt;&gt;"",_xlpm.MacVal,_xlpm.CSVVal&lt;&gt;"",_xlpm.CSVVal
)),"")</f>
        <v/>
      </c>
      <c r="G174" s="40" t="str" cm="1">
        <f t="array" ref="G174">IFERROR(_xlfn.LET(
_xlpm.CSVVal,_xlfn.XLOOKUP($A174,CSV!$A:$A,CSV!G:G,""),
_xlpm.MacVal,_xlfn.XLOOKUP($A174,Output_Mac!$A:$A,Output_Mac!F:F,""),
_xlpm.MyAuditVal,_xlfn.XLOOKUP($A174,My_Audit!$A:$A,My_Audit!F:F,""),
_xlfn.IFS(_xlpm.MyAuditVal&lt;&gt;"",_xlpm.MyAuditVal,_xlpm.MacVal&lt;&gt;"",_xlpm.MacVal,_xlpm.CSVVal&lt;&gt;"",PROPER(_xlpm.CSVVal)
)),"")</f>
        <v/>
      </c>
      <c r="H174" s="40" t="str" cm="1">
        <f t="array" ref="H174">IFERROR(_xlfn.LET(
_xlpm.CSVVal,_xlfn.XLOOKUP($A174,CSV!$A:$A,CSV!H:H,""),
_xlpm.MacVal,_xlfn.XLOOKUP($A174,Output_Mac!$A:$A,Output_Mac!H:H,""),
_xlpm.MyAuditVal,_xlfn.XLOOKUP($A174,My_Audit!$A:$A,My_Audit!G:G,""),
_xlfn.IFS(_xlpm.MyAuditVal&lt;&gt;"",_xlpm.MyAuditVal,_xlpm.MacVal&lt;&gt;"",_xlpm.MacVal,_xlpm.CSVVal&lt;&gt;"",_xlpm.CSVVal
)),"")</f>
        <v/>
      </c>
      <c r="I174" s="40" t="str">
        <f>_xlfn.XLOOKUP(A174,Output_Mac!A:A,Output_Mac!I:I,"")</f>
        <v/>
      </c>
      <c r="J174" s="40" t="str" cm="1">
        <f t="array" ref="J174">IFERROR(_xlfn.LET(
_xlpm.CSVVal,_xlfn.XLOOKUP($A174,CSV!$A:$A,CSV!I:I,""),
_xlpm.MacVal,_xlfn.XLOOKUP($A174,Output_Mac!$A:$A,Output_Mac!J:J,""),
_xlpm.MyAuditVal,_xlfn.XLOOKUP($A174,My_Audit!$A:$A,My_Audit!I:I,""),
_xlfn.IFS(_xlpm.MyAuditVal&lt;&gt;"",UPPER(_xlpm.MyAuditVal),_xlpm.MacVal&lt;&gt;"",_xlpm.MacVal,_xlpm.CSVVal&lt;&gt;"",_xlpm.CSVVal
)),"")</f>
        <v/>
      </c>
      <c r="K174" s="40" t="str" cm="1">
        <f t="array" ref="K174">IFERROR(_xlfn.LET(
_xlpm.CSVVal,_xlfn.XLOOKUP($A174,CSV!$A:$A,CSV!K:K,""),
_xlpm.MacVal,_xlfn.XLOOKUP($A174,Output_Mac!$A:$A,Output_Mac!K:K,""),
_xlpm.MyAuditVal,_xlfn.XLOOKUP($A174,My_Audit!$A:$A,My_Audit!J:J,""),
_xlfn.IFS(_xlpm.MyAuditVal&lt;&gt;"",UPPER(_xlpm.MyAuditVal),_xlpm.MacVal&lt;&gt;"",_xlpm.MacVal,_xlpm.CSVVal&lt;&gt;"",_xlpm.CSVVal
)),"")</f>
        <v/>
      </c>
      <c r="L174" s="40" t="str" cm="1">
        <f t="array" ref="L174">IFERROR(_xlfn.LET(
_xlpm.CSVVal,_xlfn.XLOOKUP($A174,CSV!$A:$A,CSV!P:P,""),
_xlpm.MacVal,_xlfn.XLOOKUP($A174,Output_Mac!$A:$A,Output_Mac!L:L,""),
_xlpm.MyAuditVal,_xlfn.XLOOKUP($A174,My_Audit!$A:$A,My_Audit!K:K,""),
_xlfn.IFS(_xlpm.MyAuditVal&lt;&gt;"",UPPER(_xlpm.MyAuditVal),_xlpm.MacVal&lt;&gt;"",_xlpm.MacVal,_xlpm.CSVVal&lt;&gt;"",_xlpm.CSVVal
)),"")</f>
        <v/>
      </c>
      <c r="M174" s="40" t="str" cm="1">
        <f t="array" ref="M174">IFERROR(_xlfn.LET(
_xlpm.CSVVal,_xlfn.XLOOKUP($A174,CSV!$A:$A,CSV!Q:Q,""),
_xlpm.MacVal,_xlfn.XLOOKUP($A174,Output_Mac!$A:$A,Output_Mac!M:M,""),
_xlpm.MyAuditVal,_xlfn.XLOOKUP($A174,My_Audit!$A:$A,My_Audit!L:L,""),
_xlfn.IFS(_xlpm.MyAuditVal&lt;&gt;"",UPPER(_xlpm.MyAuditVal),_xlpm.MacVal&lt;&gt;"",_xlpm.MacVal,_xlpm.CSVVal&lt;&gt;"",_xlpm.CSVVal
)),"")</f>
        <v/>
      </c>
      <c r="N174" s="40"/>
      <c r="O174" s="40" t="str">
        <f>_xlfn.LET(
    _xlpm.CSVVal, _xlfn.XLOOKUP($A174, CSV!$A:$A, CSV!AA:AA, ""),
    _xlpm.MacVal, _xlfn.XLOOKUP($A174, Output_Mac!$A:$A, Output_Mac!S:S, ""),
    _xlpm.MyAuditVal, _xlfn.XLOOKUP($A174, My_Audit!$A:$A, My_Audit!P:P, ""),
    _xlfn.TEXTJOIN(", ", TRUE, _xlpm.MyAuditVal, _xlpm.MacVal, _xlpm.CSVVal)
)</f>
        <v/>
      </c>
      <c r="P174" s="40" t="str" cm="1">
        <f t="array" ref="P174">IFERROR(_xlfn.LET(
_xlpm.CSVVal,_xlfn.XLOOKUP($A174,CSV!$A:$A,CSV!AB:AB,""),
_xlpm.MacVal,_xlfn.XLOOKUP($A174,Output_Mac!$A:$A,Output_Mac!T:T,""),
_xlpm.MyAuditVal,_xlfn.XLOOKUP($A174,My_Audit!$A:$A,My_Audit!Q:Q,""),
_xlfn.IFS(_xlpm.MyAuditVal&lt;&gt;"",UPPER(_xlpm.MyAuditVal),_xlpm.MacVal&lt;&gt;"",_xlpm.MacVal,_xlpm.CSVVal&lt;&gt;"",_xlpm.CSVVal
)),"No")</f>
        <v>No</v>
      </c>
      <c r="Q174" s="40" t="str" cm="1">
        <f t="array" ref="Q174">IFERROR(_xlfn.LET(
_xlpm.CSVVal,_xlfn.XLOOKUP($A174,CSV!$A:$A,CSV!AC:AC,""),
_xlpm.MacVal,_xlfn.XLOOKUP($A174,Output_Mac!$A:$A,Output_Mac!U:U,""),
_xlpm.MyAuditVal,_xlfn.XLOOKUP($A174,My_Audit!$A:$A,My_Audit!R:R,""),
_xlfn.IFS(_xlpm.MyAuditVal&lt;&gt;"",UPPER(_xlpm.MyAuditVal),_xlpm.MacVal&lt;&gt;"",_xlpm.MacVal,_xlpm.CSVVal&lt;&gt;"",_xlpm.CSVVal
)),"")</f>
        <v/>
      </c>
      <c r="R174" s="40"/>
      <c r="S174" s="40"/>
      <c r="T174" s="40"/>
      <c r="U174" s="40"/>
      <c r="V174" s="40"/>
      <c r="W174" s="40"/>
      <c r="X174" s="41" t="str">
        <f>_xlfn.LET(
    _xlpm.MacVal, _xlfn.XLOOKUP($A174, Output_Mac!$A:$A, Output_Mac!AB:AB, ""),
    _xlpm.MyAuditVal, _xlfn.XLOOKUP($A174, My_Audit!$A:$A, My_Audit!N:N, ""),
    _xlfn.TEXTJOIN(", ", TRUE, _xlpm.MyAuditVal, _xlpm.MacVal)
)</f>
        <v/>
      </c>
    </row>
    <row r="175" spans="1:24">
      <c r="A175" s="40" t="str">
        <f>_xlfn.TEXTJOIN("",TRUE,Input!$B$2,ROW(My_Audit!A174))</f>
        <v>X174</v>
      </c>
      <c r="B175" s="40" t="str">
        <f>_xlfn.TEXTJOIN("-",TRUE,"ITD",Input!$A$2,A175)</f>
        <v>ITD-X174</v>
      </c>
      <c r="C175" s="40" t="str" cm="1">
        <f t="array" ref="C175">IFERROR(_xlfn.LET(
_xlpm.CSVVal,_xlfn.XLOOKUP($A175,CSV!$A:$A,CSV!B:B,""),
_xlpm.MacVal,_xlfn.XLOOKUP($A175,Output_Mac!$A:$A,Output_Mac!B:B,""),
_xlpm.MyAuditVal,_xlfn.XLOOKUP($A175,My_Audit!$A:$A,My_Audit!B:B,""),
_xlfn.IFS(_xlpm.MyAuditVal&lt;&gt;"",UPPER(_xlpm.MyAuditVal),_xlpm.MacVal&lt;&gt;"",_xlpm.MacVal,_xlpm.CSVVal&lt;&gt;"",_xlpm.CSVVal
)),"")</f>
        <v/>
      </c>
      <c r="D175" s="40" t="str" cm="1">
        <f t="array" ref="D175">IFERROR(_xlfn.LET(
_xlpm.CSVVal,_xlfn.XLOOKUP($A175,CSV!$A:$A,CSV!D:D,""),
_xlpm.MacVal,_xlfn.XLOOKUP($A175,Output_Mac!$A:$A,Output_Mac!C:C,""),
_xlpm.MyAuditVal,_xlfn.XLOOKUP($A175,My_Audit!$A:$A,My_Audit!C:C,""),
_xlfn.IFS(_xlpm.MyAuditVal&lt;&gt;"",_xlpm.MyAuditVal,_xlpm.MacVal&lt;&gt;"",_xlpm.MacVal,_xlpm.CSVVal&lt;&gt;"",_xlpm.CSVVal
)),"")</f>
        <v/>
      </c>
      <c r="E175" s="40">
        <f>_xlfn.XLOOKUP(A175,My_Audit!A:A,My_Audit!D:D,"")</f>
        <v>0</v>
      </c>
      <c r="F175" s="40" t="str" cm="1">
        <f t="array" ref="F175">IFERROR(_xlfn.LET(
_xlpm.CSVVal,_xlfn.XLOOKUP($A175,CSV!$A:$A,CSV!F:F,""),
_xlpm.MacVal,_xlfn.XLOOKUP($A175,Output_Mac!$A:$A,Output_Mac!E:E,""),
_xlpm.MyAuditVal,_xlfn.XLOOKUP($A175,My_Audit!$A:$A,My_Audit!E:E,""),
_xlfn.IFS(_xlpm.MyAuditVal&lt;&gt;"",_xlpm.MyAuditVal,_xlpm.MacVal&lt;&gt;"",_xlpm.MacVal,_xlpm.CSVVal&lt;&gt;"",_xlpm.CSVVal
)),"")</f>
        <v/>
      </c>
      <c r="G175" s="40" t="str" cm="1">
        <f t="array" ref="G175">IFERROR(_xlfn.LET(
_xlpm.CSVVal,_xlfn.XLOOKUP($A175,CSV!$A:$A,CSV!G:G,""),
_xlpm.MacVal,_xlfn.XLOOKUP($A175,Output_Mac!$A:$A,Output_Mac!F:F,""),
_xlpm.MyAuditVal,_xlfn.XLOOKUP($A175,My_Audit!$A:$A,My_Audit!F:F,""),
_xlfn.IFS(_xlpm.MyAuditVal&lt;&gt;"",_xlpm.MyAuditVal,_xlpm.MacVal&lt;&gt;"",_xlpm.MacVal,_xlpm.CSVVal&lt;&gt;"",PROPER(_xlpm.CSVVal)
)),"")</f>
        <v/>
      </c>
      <c r="H175" s="40" t="str" cm="1">
        <f t="array" ref="H175">IFERROR(_xlfn.LET(
_xlpm.CSVVal,_xlfn.XLOOKUP($A175,CSV!$A:$A,CSV!H:H,""),
_xlpm.MacVal,_xlfn.XLOOKUP($A175,Output_Mac!$A:$A,Output_Mac!H:H,""),
_xlpm.MyAuditVal,_xlfn.XLOOKUP($A175,My_Audit!$A:$A,My_Audit!G:G,""),
_xlfn.IFS(_xlpm.MyAuditVal&lt;&gt;"",_xlpm.MyAuditVal,_xlpm.MacVal&lt;&gt;"",_xlpm.MacVal,_xlpm.CSVVal&lt;&gt;"",_xlpm.CSVVal
)),"")</f>
        <v/>
      </c>
      <c r="I175" s="40" t="str">
        <f>_xlfn.XLOOKUP(A175,Output_Mac!A:A,Output_Mac!I:I,"")</f>
        <v/>
      </c>
      <c r="J175" s="40" t="str" cm="1">
        <f t="array" ref="J175">IFERROR(_xlfn.LET(
_xlpm.CSVVal,_xlfn.XLOOKUP($A175,CSV!$A:$A,CSV!I:I,""),
_xlpm.MacVal,_xlfn.XLOOKUP($A175,Output_Mac!$A:$A,Output_Mac!J:J,""),
_xlpm.MyAuditVal,_xlfn.XLOOKUP($A175,My_Audit!$A:$A,My_Audit!I:I,""),
_xlfn.IFS(_xlpm.MyAuditVal&lt;&gt;"",UPPER(_xlpm.MyAuditVal),_xlpm.MacVal&lt;&gt;"",_xlpm.MacVal,_xlpm.CSVVal&lt;&gt;"",_xlpm.CSVVal
)),"")</f>
        <v/>
      </c>
      <c r="K175" s="40" t="str" cm="1">
        <f t="array" ref="K175">IFERROR(_xlfn.LET(
_xlpm.CSVVal,_xlfn.XLOOKUP($A175,CSV!$A:$A,CSV!K:K,""),
_xlpm.MacVal,_xlfn.XLOOKUP($A175,Output_Mac!$A:$A,Output_Mac!K:K,""),
_xlpm.MyAuditVal,_xlfn.XLOOKUP($A175,My_Audit!$A:$A,My_Audit!J:J,""),
_xlfn.IFS(_xlpm.MyAuditVal&lt;&gt;"",UPPER(_xlpm.MyAuditVal),_xlpm.MacVal&lt;&gt;"",_xlpm.MacVal,_xlpm.CSVVal&lt;&gt;"",_xlpm.CSVVal
)),"")</f>
        <v/>
      </c>
      <c r="L175" s="40" t="str" cm="1">
        <f t="array" ref="L175">IFERROR(_xlfn.LET(
_xlpm.CSVVal,_xlfn.XLOOKUP($A175,CSV!$A:$A,CSV!P:P,""),
_xlpm.MacVal,_xlfn.XLOOKUP($A175,Output_Mac!$A:$A,Output_Mac!L:L,""),
_xlpm.MyAuditVal,_xlfn.XLOOKUP($A175,My_Audit!$A:$A,My_Audit!K:K,""),
_xlfn.IFS(_xlpm.MyAuditVal&lt;&gt;"",UPPER(_xlpm.MyAuditVal),_xlpm.MacVal&lt;&gt;"",_xlpm.MacVal,_xlpm.CSVVal&lt;&gt;"",_xlpm.CSVVal
)),"")</f>
        <v/>
      </c>
      <c r="M175" s="40" t="str" cm="1">
        <f t="array" ref="M175">IFERROR(_xlfn.LET(
_xlpm.CSVVal,_xlfn.XLOOKUP($A175,CSV!$A:$A,CSV!Q:Q,""),
_xlpm.MacVal,_xlfn.XLOOKUP($A175,Output_Mac!$A:$A,Output_Mac!M:M,""),
_xlpm.MyAuditVal,_xlfn.XLOOKUP($A175,My_Audit!$A:$A,My_Audit!L:L,""),
_xlfn.IFS(_xlpm.MyAuditVal&lt;&gt;"",UPPER(_xlpm.MyAuditVal),_xlpm.MacVal&lt;&gt;"",_xlpm.MacVal,_xlpm.CSVVal&lt;&gt;"",_xlpm.CSVVal
)),"")</f>
        <v/>
      </c>
      <c r="N175" s="40"/>
      <c r="O175" s="40" t="str">
        <f>_xlfn.LET(
    _xlpm.CSVVal, _xlfn.XLOOKUP($A175, CSV!$A:$A, CSV!AA:AA, ""),
    _xlpm.MacVal, _xlfn.XLOOKUP($A175, Output_Mac!$A:$A, Output_Mac!S:S, ""),
    _xlpm.MyAuditVal, _xlfn.XLOOKUP($A175, My_Audit!$A:$A, My_Audit!P:P, ""),
    _xlfn.TEXTJOIN(", ", TRUE, _xlpm.MyAuditVal, _xlpm.MacVal, _xlpm.CSVVal)
)</f>
        <v/>
      </c>
      <c r="P175" s="40" t="str" cm="1">
        <f t="array" ref="P175">IFERROR(_xlfn.LET(
_xlpm.CSVVal,_xlfn.XLOOKUP($A175,CSV!$A:$A,CSV!AB:AB,""),
_xlpm.MacVal,_xlfn.XLOOKUP($A175,Output_Mac!$A:$A,Output_Mac!T:T,""),
_xlpm.MyAuditVal,_xlfn.XLOOKUP($A175,My_Audit!$A:$A,My_Audit!Q:Q,""),
_xlfn.IFS(_xlpm.MyAuditVal&lt;&gt;"",UPPER(_xlpm.MyAuditVal),_xlpm.MacVal&lt;&gt;"",_xlpm.MacVal,_xlpm.CSVVal&lt;&gt;"",_xlpm.CSVVal
)),"No")</f>
        <v>No</v>
      </c>
      <c r="Q175" s="40" t="str" cm="1">
        <f t="array" ref="Q175">IFERROR(_xlfn.LET(
_xlpm.CSVVal,_xlfn.XLOOKUP($A175,CSV!$A:$A,CSV!AC:AC,""),
_xlpm.MacVal,_xlfn.XLOOKUP($A175,Output_Mac!$A:$A,Output_Mac!U:U,""),
_xlpm.MyAuditVal,_xlfn.XLOOKUP($A175,My_Audit!$A:$A,My_Audit!R:R,""),
_xlfn.IFS(_xlpm.MyAuditVal&lt;&gt;"",UPPER(_xlpm.MyAuditVal),_xlpm.MacVal&lt;&gt;"",_xlpm.MacVal,_xlpm.CSVVal&lt;&gt;"",_xlpm.CSVVal
)),"")</f>
        <v/>
      </c>
      <c r="R175" s="40"/>
      <c r="S175" s="40"/>
      <c r="T175" s="40"/>
      <c r="U175" s="40"/>
      <c r="V175" s="40"/>
      <c r="W175" s="40"/>
      <c r="X175" s="41" t="str">
        <f>_xlfn.LET(
    _xlpm.MacVal, _xlfn.XLOOKUP($A175, Output_Mac!$A:$A, Output_Mac!AB:AB, ""),
    _xlpm.MyAuditVal, _xlfn.XLOOKUP($A175, My_Audit!$A:$A, My_Audit!N:N, ""),
    _xlfn.TEXTJOIN(", ", TRUE, _xlpm.MyAuditVal, _xlpm.MacVal)
)</f>
        <v/>
      </c>
    </row>
    <row r="176" spans="1:24">
      <c r="A176" s="40" t="str">
        <f>_xlfn.TEXTJOIN("",TRUE,Input!$B$2,ROW(My_Audit!A175))</f>
        <v>X175</v>
      </c>
      <c r="B176" s="40" t="str">
        <f>_xlfn.TEXTJOIN("-",TRUE,"ITD",Input!$A$2,A176)</f>
        <v>ITD-X175</v>
      </c>
      <c r="C176" s="40" t="str" cm="1">
        <f t="array" ref="C176">IFERROR(_xlfn.LET(
_xlpm.CSVVal,_xlfn.XLOOKUP($A176,CSV!$A:$A,CSV!B:B,""),
_xlpm.MacVal,_xlfn.XLOOKUP($A176,Output_Mac!$A:$A,Output_Mac!B:B,""),
_xlpm.MyAuditVal,_xlfn.XLOOKUP($A176,My_Audit!$A:$A,My_Audit!B:B,""),
_xlfn.IFS(_xlpm.MyAuditVal&lt;&gt;"",UPPER(_xlpm.MyAuditVal),_xlpm.MacVal&lt;&gt;"",_xlpm.MacVal,_xlpm.CSVVal&lt;&gt;"",_xlpm.CSVVal
)),"")</f>
        <v/>
      </c>
      <c r="D176" s="40" t="str" cm="1">
        <f t="array" ref="D176">IFERROR(_xlfn.LET(
_xlpm.CSVVal,_xlfn.XLOOKUP($A176,CSV!$A:$A,CSV!D:D,""),
_xlpm.MacVal,_xlfn.XLOOKUP($A176,Output_Mac!$A:$A,Output_Mac!C:C,""),
_xlpm.MyAuditVal,_xlfn.XLOOKUP($A176,My_Audit!$A:$A,My_Audit!C:C,""),
_xlfn.IFS(_xlpm.MyAuditVal&lt;&gt;"",_xlpm.MyAuditVal,_xlpm.MacVal&lt;&gt;"",_xlpm.MacVal,_xlpm.CSVVal&lt;&gt;"",_xlpm.CSVVal
)),"")</f>
        <v/>
      </c>
      <c r="E176" s="40">
        <f>_xlfn.XLOOKUP(A176,My_Audit!A:A,My_Audit!D:D,"")</f>
        <v>0</v>
      </c>
      <c r="F176" s="40" t="str" cm="1">
        <f t="array" ref="F176">IFERROR(_xlfn.LET(
_xlpm.CSVVal,_xlfn.XLOOKUP($A176,CSV!$A:$A,CSV!F:F,""),
_xlpm.MacVal,_xlfn.XLOOKUP($A176,Output_Mac!$A:$A,Output_Mac!E:E,""),
_xlpm.MyAuditVal,_xlfn.XLOOKUP($A176,My_Audit!$A:$A,My_Audit!E:E,""),
_xlfn.IFS(_xlpm.MyAuditVal&lt;&gt;"",_xlpm.MyAuditVal,_xlpm.MacVal&lt;&gt;"",_xlpm.MacVal,_xlpm.CSVVal&lt;&gt;"",_xlpm.CSVVal
)),"")</f>
        <v/>
      </c>
      <c r="G176" s="40" t="str" cm="1">
        <f t="array" ref="G176">IFERROR(_xlfn.LET(
_xlpm.CSVVal,_xlfn.XLOOKUP($A176,CSV!$A:$A,CSV!G:G,""),
_xlpm.MacVal,_xlfn.XLOOKUP($A176,Output_Mac!$A:$A,Output_Mac!F:F,""),
_xlpm.MyAuditVal,_xlfn.XLOOKUP($A176,My_Audit!$A:$A,My_Audit!F:F,""),
_xlfn.IFS(_xlpm.MyAuditVal&lt;&gt;"",_xlpm.MyAuditVal,_xlpm.MacVal&lt;&gt;"",_xlpm.MacVal,_xlpm.CSVVal&lt;&gt;"",PROPER(_xlpm.CSVVal)
)),"")</f>
        <v/>
      </c>
      <c r="H176" s="40" t="str" cm="1">
        <f t="array" ref="H176">IFERROR(_xlfn.LET(
_xlpm.CSVVal,_xlfn.XLOOKUP($A176,CSV!$A:$A,CSV!H:H,""),
_xlpm.MacVal,_xlfn.XLOOKUP($A176,Output_Mac!$A:$A,Output_Mac!H:H,""),
_xlpm.MyAuditVal,_xlfn.XLOOKUP($A176,My_Audit!$A:$A,My_Audit!G:G,""),
_xlfn.IFS(_xlpm.MyAuditVal&lt;&gt;"",_xlpm.MyAuditVal,_xlpm.MacVal&lt;&gt;"",_xlpm.MacVal,_xlpm.CSVVal&lt;&gt;"",_xlpm.CSVVal
)),"")</f>
        <v/>
      </c>
      <c r="I176" s="40" t="str">
        <f>_xlfn.XLOOKUP(A176,Output_Mac!A:A,Output_Mac!I:I,"")</f>
        <v/>
      </c>
      <c r="J176" s="40" t="str" cm="1">
        <f t="array" ref="J176">IFERROR(_xlfn.LET(
_xlpm.CSVVal,_xlfn.XLOOKUP($A176,CSV!$A:$A,CSV!I:I,""),
_xlpm.MacVal,_xlfn.XLOOKUP($A176,Output_Mac!$A:$A,Output_Mac!J:J,""),
_xlpm.MyAuditVal,_xlfn.XLOOKUP($A176,My_Audit!$A:$A,My_Audit!I:I,""),
_xlfn.IFS(_xlpm.MyAuditVal&lt;&gt;"",UPPER(_xlpm.MyAuditVal),_xlpm.MacVal&lt;&gt;"",_xlpm.MacVal,_xlpm.CSVVal&lt;&gt;"",_xlpm.CSVVal
)),"")</f>
        <v/>
      </c>
      <c r="K176" s="40" t="str" cm="1">
        <f t="array" ref="K176">IFERROR(_xlfn.LET(
_xlpm.CSVVal,_xlfn.XLOOKUP($A176,CSV!$A:$A,CSV!K:K,""),
_xlpm.MacVal,_xlfn.XLOOKUP($A176,Output_Mac!$A:$A,Output_Mac!K:K,""),
_xlpm.MyAuditVal,_xlfn.XLOOKUP($A176,My_Audit!$A:$A,My_Audit!J:J,""),
_xlfn.IFS(_xlpm.MyAuditVal&lt;&gt;"",UPPER(_xlpm.MyAuditVal),_xlpm.MacVal&lt;&gt;"",_xlpm.MacVal,_xlpm.CSVVal&lt;&gt;"",_xlpm.CSVVal
)),"")</f>
        <v/>
      </c>
      <c r="L176" s="40" t="str" cm="1">
        <f t="array" ref="L176">IFERROR(_xlfn.LET(
_xlpm.CSVVal,_xlfn.XLOOKUP($A176,CSV!$A:$A,CSV!P:P,""),
_xlpm.MacVal,_xlfn.XLOOKUP($A176,Output_Mac!$A:$A,Output_Mac!L:L,""),
_xlpm.MyAuditVal,_xlfn.XLOOKUP($A176,My_Audit!$A:$A,My_Audit!K:K,""),
_xlfn.IFS(_xlpm.MyAuditVal&lt;&gt;"",UPPER(_xlpm.MyAuditVal),_xlpm.MacVal&lt;&gt;"",_xlpm.MacVal,_xlpm.CSVVal&lt;&gt;"",_xlpm.CSVVal
)),"")</f>
        <v/>
      </c>
      <c r="M176" s="40" t="str" cm="1">
        <f t="array" ref="M176">IFERROR(_xlfn.LET(
_xlpm.CSVVal,_xlfn.XLOOKUP($A176,CSV!$A:$A,CSV!Q:Q,""),
_xlpm.MacVal,_xlfn.XLOOKUP($A176,Output_Mac!$A:$A,Output_Mac!M:M,""),
_xlpm.MyAuditVal,_xlfn.XLOOKUP($A176,My_Audit!$A:$A,My_Audit!L:L,""),
_xlfn.IFS(_xlpm.MyAuditVal&lt;&gt;"",UPPER(_xlpm.MyAuditVal),_xlpm.MacVal&lt;&gt;"",_xlpm.MacVal,_xlpm.CSVVal&lt;&gt;"",_xlpm.CSVVal
)),"")</f>
        <v/>
      </c>
      <c r="N176" s="40"/>
      <c r="O176" s="40" t="str">
        <f>_xlfn.LET(
    _xlpm.CSVVal, _xlfn.XLOOKUP($A176, CSV!$A:$A, CSV!AA:AA, ""),
    _xlpm.MacVal, _xlfn.XLOOKUP($A176, Output_Mac!$A:$A, Output_Mac!S:S, ""),
    _xlpm.MyAuditVal, _xlfn.XLOOKUP($A176, My_Audit!$A:$A, My_Audit!P:P, ""),
    _xlfn.TEXTJOIN(", ", TRUE, _xlpm.MyAuditVal, _xlpm.MacVal, _xlpm.CSVVal)
)</f>
        <v>US kb</v>
      </c>
      <c r="P176" s="40" t="str" cm="1">
        <f t="array" ref="P176">IFERROR(_xlfn.LET(
_xlpm.CSVVal,_xlfn.XLOOKUP($A176,CSV!$A:$A,CSV!AB:AB,""),
_xlpm.MacVal,_xlfn.XLOOKUP($A176,Output_Mac!$A:$A,Output_Mac!T:T,""),
_xlpm.MyAuditVal,_xlfn.XLOOKUP($A176,My_Audit!$A:$A,My_Audit!Q:Q,""),
_xlfn.IFS(_xlpm.MyAuditVal&lt;&gt;"",UPPER(_xlpm.MyAuditVal),_xlpm.MacVal&lt;&gt;"",_xlpm.MacVal,_xlpm.CSVVal&lt;&gt;"",_xlpm.CSVVal
)),"No")</f>
        <v>No</v>
      </c>
      <c r="Q176" s="40" t="str" cm="1">
        <f t="array" ref="Q176">IFERROR(_xlfn.LET(
_xlpm.CSVVal,_xlfn.XLOOKUP($A176,CSV!$A:$A,CSV!AC:AC,""),
_xlpm.MacVal,_xlfn.XLOOKUP($A176,Output_Mac!$A:$A,Output_Mac!U:U,""),
_xlpm.MyAuditVal,_xlfn.XLOOKUP($A176,My_Audit!$A:$A,My_Audit!R:R,""),
_xlfn.IFS(_xlpm.MyAuditVal&lt;&gt;"",UPPER(_xlpm.MyAuditVal),_xlpm.MacVal&lt;&gt;"",_xlpm.MacVal,_xlpm.CSVVal&lt;&gt;"",_xlpm.CSVVal
)),"")</f>
        <v/>
      </c>
      <c r="R176" s="40"/>
      <c r="S176" s="40"/>
      <c r="T176" s="40"/>
      <c r="U176" s="40"/>
      <c r="V176" s="40"/>
      <c r="W176" s="40"/>
      <c r="X176" s="41" t="str">
        <f>_xlfn.LET(
    _xlpm.MacVal, _xlfn.XLOOKUP($A176, Output_Mac!$A:$A, Output_Mac!AB:AB, ""),
    _xlpm.MyAuditVal, _xlfn.XLOOKUP($A176, My_Audit!$A:$A, My_Audit!N:N, ""),
    _xlfn.TEXTJOIN(", ", TRUE, _xlpm.MyAuditVal, _xlpm.MacVal)
)</f>
        <v/>
      </c>
    </row>
    <row r="177" spans="1:24">
      <c r="A177" s="40" t="str">
        <f>_xlfn.TEXTJOIN("",TRUE,Input!$B$2,ROW(My_Audit!A176))</f>
        <v>X176</v>
      </c>
      <c r="B177" s="40" t="str">
        <f>_xlfn.TEXTJOIN("-",TRUE,"ITD",Input!$A$2,A177)</f>
        <v>ITD-X176</v>
      </c>
      <c r="C177" s="40" t="str" cm="1">
        <f t="array" ref="C177">IFERROR(_xlfn.LET(
_xlpm.CSVVal,_xlfn.XLOOKUP($A177,CSV!$A:$A,CSV!B:B,""),
_xlpm.MacVal,_xlfn.XLOOKUP($A177,Output_Mac!$A:$A,Output_Mac!B:B,""),
_xlpm.MyAuditVal,_xlfn.XLOOKUP($A177,My_Audit!$A:$A,My_Audit!B:B,""),
_xlfn.IFS(_xlpm.MyAuditVal&lt;&gt;"",UPPER(_xlpm.MyAuditVal),_xlpm.MacVal&lt;&gt;"",_xlpm.MacVal,_xlpm.CSVVal&lt;&gt;"",_xlpm.CSVVal
)),"")</f>
        <v/>
      </c>
      <c r="D177" s="40" t="str" cm="1">
        <f t="array" ref="D177">IFERROR(_xlfn.LET(
_xlpm.CSVVal,_xlfn.XLOOKUP($A177,CSV!$A:$A,CSV!D:D,""),
_xlpm.MacVal,_xlfn.XLOOKUP($A177,Output_Mac!$A:$A,Output_Mac!C:C,""),
_xlpm.MyAuditVal,_xlfn.XLOOKUP($A177,My_Audit!$A:$A,My_Audit!C:C,""),
_xlfn.IFS(_xlpm.MyAuditVal&lt;&gt;"",_xlpm.MyAuditVal,_xlpm.MacVal&lt;&gt;"",_xlpm.MacVal,_xlpm.CSVVal&lt;&gt;"",_xlpm.CSVVal
)),"")</f>
        <v/>
      </c>
      <c r="E177" s="40">
        <f>_xlfn.XLOOKUP(A177,My_Audit!A:A,My_Audit!D:D,"")</f>
        <v>0</v>
      </c>
      <c r="F177" s="40" t="str" cm="1">
        <f t="array" ref="F177">IFERROR(_xlfn.LET(
_xlpm.CSVVal,_xlfn.XLOOKUP($A177,CSV!$A:$A,CSV!F:F,""),
_xlpm.MacVal,_xlfn.XLOOKUP($A177,Output_Mac!$A:$A,Output_Mac!E:E,""),
_xlpm.MyAuditVal,_xlfn.XLOOKUP($A177,My_Audit!$A:$A,My_Audit!E:E,""),
_xlfn.IFS(_xlpm.MyAuditVal&lt;&gt;"",_xlpm.MyAuditVal,_xlpm.MacVal&lt;&gt;"",_xlpm.MacVal,_xlpm.CSVVal&lt;&gt;"",_xlpm.CSVVal
)),"")</f>
        <v/>
      </c>
      <c r="G177" s="40" t="str" cm="1">
        <f t="array" ref="G177">IFERROR(_xlfn.LET(
_xlpm.CSVVal,_xlfn.XLOOKUP($A177,CSV!$A:$A,CSV!G:G,""),
_xlpm.MacVal,_xlfn.XLOOKUP($A177,Output_Mac!$A:$A,Output_Mac!F:F,""),
_xlpm.MyAuditVal,_xlfn.XLOOKUP($A177,My_Audit!$A:$A,My_Audit!F:F,""),
_xlfn.IFS(_xlpm.MyAuditVal&lt;&gt;"",_xlpm.MyAuditVal,_xlpm.MacVal&lt;&gt;"",_xlpm.MacVal,_xlpm.CSVVal&lt;&gt;"",PROPER(_xlpm.CSVVal)
)),"")</f>
        <v/>
      </c>
      <c r="H177" s="40" t="str" cm="1">
        <f t="array" ref="H177">IFERROR(_xlfn.LET(
_xlpm.CSVVal,_xlfn.XLOOKUP($A177,CSV!$A:$A,CSV!H:H,""),
_xlpm.MacVal,_xlfn.XLOOKUP($A177,Output_Mac!$A:$A,Output_Mac!H:H,""),
_xlpm.MyAuditVal,_xlfn.XLOOKUP($A177,My_Audit!$A:$A,My_Audit!G:G,""),
_xlfn.IFS(_xlpm.MyAuditVal&lt;&gt;"",_xlpm.MyAuditVal,_xlpm.MacVal&lt;&gt;"",_xlpm.MacVal,_xlpm.CSVVal&lt;&gt;"",_xlpm.CSVVal
)),"")</f>
        <v/>
      </c>
      <c r="I177" s="40" t="str">
        <f>_xlfn.XLOOKUP(A177,Output_Mac!A:A,Output_Mac!I:I,"")</f>
        <v/>
      </c>
      <c r="J177" s="40" t="str" cm="1">
        <f t="array" ref="J177">IFERROR(_xlfn.LET(
_xlpm.CSVVal,_xlfn.XLOOKUP($A177,CSV!$A:$A,CSV!I:I,""),
_xlpm.MacVal,_xlfn.XLOOKUP($A177,Output_Mac!$A:$A,Output_Mac!J:J,""),
_xlpm.MyAuditVal,_xlfn.XLOOKUP($A177,My_Audit!$A:$A,My_Audit!I:I,""),
_xlfn.IFS(_xlpm.MyAuditVal&lt;&gt;"",UPPER(_xlpm.MyAuditVal),_xlpm.MacVal&lt;&gt;"",_xlpm.MacVal,_xlpm.CSVVal&lt;&gt;"",_xlpm.CSVVal
)),"")</f>
        <v/>
      </c>
      <c r="K177" s="40" t="str" cm="1">
        <f t="array" ref="K177">IFERROR(_xlfn.LET(
_xlpm.CSVVal,_xlfn.XLOOKUP($A177,CSV!$A:$A,CSV!K:K,""),
_xlpm.MacVal,_xlfn.XLOOKUP($A177,Output_Mac!$A:$A,Output_Mac!K:K,""),
_xlpm.MyAuditVal,_xlfn.XLOOKUP($A177,My_Audit!$A:$A,My_Audit!J:J,""),
_xlfn.IFS(_xlpm.MyAuditVal&lt;&gt;"",UPPER(_xlpm.MyAuditVal),_xlpm.MacVal&lt;&gt;"",_xlpm.MacVal,_xlpm.CSVVal&lt;&gt;"",_xlpm.CSVVal
)),"")</f>
        <v/>
      </c>
      <c r="L177" s="40" t="str" cm="1">
        <f t="array" ref="L177">IFERROR(_xlfn.LET(
_xlpm.CSVVal,_xlfn.XLOOKUP($A177,CSV!$A:$A,CSV!P:P,""),
_xlpm.MacVal,_xlfn.XLOOKUP($A177,Output_Mac!$A:$A,Output_Mac!L:L,""),
_xlpm.MyAuditVal,_xlfn.XLOOKUP($A177,My_Audit!$A:$A,My_Audit!K:K,""),
_xlfn.IFS(_xlpm.MyAuditVal&lt;&gt;"",UPPER(_xlpm.MyAuditVal),_xlpm.MacVal&lt;&gt;"",_xlpm.MacVal,_xlpm.CSVVal&lt;&gt;"",_xlpm.CSVVal
)),"")</f>
        <v/>
      </c>
      <c r="M177" s="40" t="str" cm="1">
        <f t="array" ref="M177">IFERROR(_xlfn.LET(
_xlpm.CSVVal,_xlfn.XLOOKUP($A177,CSV!$A:$A,CSV!Q:Q,""),
_xlpm.MacVal,_xlfn.XLOOKUP($A177,Output_Mac!$A:$A,Output_Mac!M:M,""),
_xlpm.MyAuditVal,_xlfn.XLOOKUP($A177,My_Audit!$A:$A,My_Audit!L:L,""),
_xlfn.IFS(_xlpm.MyAuditVal&lt;&gt;"",UPPER(_xlpm.MyAuditVal),_xlpm.MacVal&lt;&gt;"",_xlpm.MacVal,_xlpm.CSVVal&lt;&gt;"",_xlpm.CSVVal
)),"")</f>
        <v/>
      </c>
      <c r="N177" s="40"/>
      <c r="O177" s="40" t="str">
        <f>_xlfn.LET(
    _xlpm.CSVVal, _xlfn.XLOOKUP($A177, CSV!$A:$A, CSV!AA:AA, ""),
    _xlpm.MacVal, _xlfn.XLOOKUP($A177, Output_Mac!$A:$A, Output_Mac!S:S, ""),
    _xlpm.MyAuditVal, _xlfn.XLOOKUP($A177, My_Audit!$A:$A, My_Audit!P:P, ""),
    _xlfn.TEXTJOIN(", ", TRUE, _xlpm.MyAuditVal, _xlpm.MacVal, _xlpm.CSVVal)
)</f>
        <v/>
      </c>
      <c r="P177" s="40" t="str" cm="1">
        <f t="array" ref="P177">IFERROR(_xlfn.LET(
_xlpm.CSVVal,_xlfn.XLOOKUP($A177,CSV!$A:$A,CSV!AB:AB,""),
_xlpm.MacVal,_xlfn.XLOOKUP($A177,Output_Mac!$A:$A,Output_Mac!T:T,""),
_xlpm.MyAuditVal,_xlfn.XLOOKUP($A177,My_Audit!$A:$A,My_Audit!Q:Q,""),
_xlfn.IFS(_xlpm.MyAuditVal&lt;&gt;"",UPPER(_xlpm.MyAuditVal),_xlpm.MacVal&lt;&gt;"",_xlpm.MacVal,_xlpm.CSVVal&lt;&gt;"",_xlpm.CSVVal
)),"No")</f>
        <v>No</v>
      </c>
      <c r="Q177" s="40" t="str" cm="1">
        <f t="array" ref="Q177">IFERROR(_xlfn.LET(
_xlpm.CSVVal,_xlfn.XLOOKUP($A177,CSV!$A:$A,CSV!AC:AC,""),
_xlpm.MacVal,_xlfn.XLOOKUP($A177,Output_Mac!$A:$A,Output_Mac!U:U,""),
_xlpm.MyAuditVal,_xlfn.XLOOKUP($A177,My_Audit!$A:$A,My_Audit!R:R,""),
_xlfn.IFS(_xlpm.MyAuditVal&lt;&gt;"",UPPER(_xlpm.MyAuditVal),_xlpm.MacVal&lt;&gt;"",_xlpm.MacVal,_xlpm.CSVVal&lt;&gt;"",_xlpm.CSVVal
)),"")</f>
        <v/>
      </c>
      <c r="R177" s="40"/>
      <c r="S177" s="40"/>
      <c r="T177" s="40"/>
      <c r="U177" s="40"/>
      <c r="V177" s="40"/>
      <c r="W177" s="40"/>
      <c r="X177" s="41" t="str">
        <f>_xlfn.LET(
    _xlpm.MacVal, _xlfn.XLOOKUP($A177, Output_Mac!$A:$A, Output_Mac!AB:AB, ""),
    _xlpm.MyAuditVal, _xlfn.XLOOKUP($A177, My_Audit!$A:$A, My_Audit!N:N, ""),
    _xlfn.TEXTJOIN(", ", TRUE, _xlpm.MyAuditVal, _xlpm.MacVal)
)</f>
        <v/>
      </c>
    </row>
    <row r="178" spans="1:24">
      <c r="A178" s="40" t="str">
        <f>_xlfn.TEXTJOIN("",TRUE,Input!$B$2,ROW(My_Audit!A177))</f>
        <v>X177</v>
      </c>
      <c r="B178" s="40" t="str">
        <f>_xlfn.TEXTJOIN("-",TRUE,"ITD",Input!$A$2,A178)</f>
        <v>ITD-X177</v>
      </c>
      <c r="C178" s="40" t="str" cm="1">
        <f t="array" ref="C178">IFERROR(_xlfn.LET(
_xlpm.CSVVal,_xlfn.XLOOKUP($A178,CSV!$A:$A,CSV!B:B,""),
_xlpm.MacVal,_xlfn.XLOOKUP($A178,Output_Mac!$A:$A,Output_Mac!B:B,""),
_xlpm.MyAuditVal,_xlfn.XLOOKUP($A178,My_Audit!$A:$A,My_Audit!B:B,""),
_xlfn.IFS(_xlpm.MyAuditVal&lt;&gt;"",UPPER(_xlpm.MyAuditVal),_xlpm.MacVal&lt;&gt;"",_xlpm.MacVal,_xlpm.CSVVal&lt;&gt;"",_xlpm.CSVVal
)),"")</f>
        <v/>
      </c>
      <c r="D178" s="40" t="str" cm="1">
        <f t="array" ref="D178">IFERROR(_xlfn.LET(
_xlpm.CSVVal,_xlfn.XLOOKUP($A178,CSV!$A:$A,CSV!D:D,""),
_xlpm.MacVal,_xlfn.XLOOKUP($A178,Output_Mac!$A:$A,Output_Mac!C:C,""),
_xlpm.MyAuditVal,_xlfn.XLOOKUP($A178,My_Audit!$A:$A,My_Audit!C:C,""),
_xlfn.IFS(_xlpm.MyAuditVal&lt;&gt;"",_xlpm.MyAuditVal,_xlpm.MacVal&lt;&gt;"",_xlpm.MacVal,_xlpm.CSVVal&lt;&gt;"",_xlpm.CSVVal
)),"")</f>
        <v/>
      </c>
      <c r="E178" s="40">
        <f>_xlfn.XLOOKUP(A178,My_Audit!A:A,My_Audit!D:D,"")</f>
        <v>0</v>
      </c>
      <c r="F178" s="40" t="str" cm="1">
        <f t="array" ref="F178">IFERROR(_xlfn.LET(
_xlpm.CSVVal,_xlfn.XLOOKUP($A178,CSV!$A:$A,CSV!F:F,""),
_xlpm.MacVal,_xlfn.XLOOKUP($A178,Output_Mac!$A:$A,Output_Mac!E:E,""),
_xlpm.MyAuditVal,_xlfn.XLOOKUP($A178,My_Audit!$A:$A,My_Audit!E:E,""),
_xlfn.IFS(_xlpm.MyAuditVal&lt;&gt;"",_xlpm.MyAuditVal,_xlpm.MacVal&lt;&gt;"",_xlpm.MacVal,_xlpm.CSVVal&lt;&gt;"",_xlpm.CSVVal
)),"")</f>
        <v/>
      </c>
      <c r="G178" s="40" t="str" cm="1">
        <f t="array" ref="G178">IFERROR(_xlfn.LET(
_xlpm.CSVVal,_xlfn.XLOOKUP($A178,CSV!$A:$A,CSV!G:G,""),
_xlpm.MacVal,_xlfn.XLOOKUP($A178,Output_Mac!$A:$A,Output_Mac!F:F,""),
_xlpm.MyAuditVal,_xlfn.XLOOKUP($A178,My_Audit!$A:$A,My_Audit!F:F,""),
_xlfn.IFS(_xlpm.MyAuditVal&lt;&gt;"",_xlpm.MyAuditVal,_xlpm.MacVal&lt;&gt;"",_xlpm.MacVal,_xlpm.CSVVal&lt;&gt;"",PROPER(_xlpm.CSVVal)
)),"")</f>
        <v/>
      </c>
      <c r="H178" s="40" t="str" cm="1">
        <f t="array" ref="H178">IFERROR(_xlfn.LET(
_xlpm.CSVVal,_xlfn.XLOOKUP($A178,CSV!$A:$A,CSV!H:H,""),
_xlpm.MacVal,_xlfn.XLOOKUP($A178,Output_Mac!$A:$A,Output_Mac!H:H,""),
_xlpm.MyAuditVal,_xlfn.XLOOKUP($A178,My_Audit!$A:$A,My_Audit!G:G,""),
_xlfn.IFS(_xlpm.MyAuditVal&lt;&gt;"",_xlpm.MyAuditVal,_xlpm.MacVal&lt;&gt;"",_xlpm.MacVal,_xlpm.CSVVal&lt;&gt;"",_xlpm.CSVVal
)),"")</f>
        <v/>
      </c>
      <c r="I178" s="40" t="str">
        <f>_xlfn.XLOOKUP(A178,Output_Mac!A:A,Output_Mac!I:I,"")</f>
        <v/>
      </c>
      <c r="J178" s="40" t="str" cm="1">
        <f t="array" ref="J178">IFERROR(_xlfn.LET(
_xlpm.CSVVal,_xlfn.XLOOKUP($A178,CSV!$A:$A,CSV!I:I,""),
_xlpm.MacVal,_xlfn.XLOOKUP($A178,Output_Mac!$A:$A,Output_Mac!J:J,""),
_xlpm.MyAuditVal,_xlfn.XLOOKUP($A178,My_Audit!$A:$A,My_Audit!I:I,""),
_xlfn.IFS(_xlpm.MyAuditVal&lt;&gt;"",UPPER(_xlpm.MyAuditVal),_xlpm.MacVal&lt;&gt;"",_xlpm.MacVal,_xlpm.CSVVal&lt;&gt;"",_xlpm.CSVVal
)),"")</f>
        <v/>
      </c>
      <c r="K178" s="40" t="str" cm="1">
        <f t="array" ref="K178">IFERROR(_xlfn.LET(
_xlpm.CSVVal,_xlfn.XLOOKUP($A178,CSV!$A:$A,CSV!K:K,""),
_xlpm.MacVal,_xlfn.XLOOKUP($A178,Output_Mac!$A:$A,Output_Mac!K:K,""),
_xlpm.MyAuditVal,_xlfn.XLOOKUP($A178,My_Audit!$A:$A,My_Audit!J:J,""),
_xlfn.IFS(_xlpm.MyAuditVal&lt;&gt;"",UPPER(_xlpm.MyAuditVal),_xlpm.MacVal&lt;&gt;"",_xlpm.MacVal,_xlpm.CSVVal&lt;&gt;"",_xlpm.CSVVal
)),"")</f>
        <v/>
      </c>
      <c r="L178" s="40" t="str" cm="1">
        <f t="array" ref="L178">IFERROR(_xlfn.LET(
_xlpm.CSVVal,_xlfn.XLOOKUP($A178,CSV!$A:$A,CSV!P:P,""),
_xlpm.MacVal,_xlfn.XLOOKUP($A178,Output_Mac!$A:$A,Output_Mac!L:L,""),
_xlpm.MyAuditVal,_xlfn.XLOOKUP($A178,My_Audit!$A:$A,My_Audit!K:K,""),
_xlfn.IFS(_xlpm.MyAuditVal&lt;&gt;"",UPPER(_xlpm.MyAuditVal),_xlpm.MacVal&lt;&gt;"",_xlpm.MacVal,_xlpm.CSVVal&lt;&gt;"",_xlpm.CSVVal
)),"")</f>
        <v/>
      </c>
      <c r="M178" s="40" t="str" cm="1">
        <f t="array" ref="M178">IFERROR(_xlfn.LET(
_xlpm.CSVVal,_xlfn.XLOOKUP($A178,CSV!$A:$A,CSV!Q:Q,""),
_xlpm.MacVal,_xlfn.XLOOKUP($A178,Output_Mac!$A:$A,Output_Mac!M:M,""),
_xlpm.MyAuditVal,_xlfn.XLOOKUP($A178,My_Audit!$A:$A,My_Audit!L:L,""),
_xlfn.IFS(_xlpm.MyAuditVal&lt;&gt;"",UPPER(_xlpm.MyAuditVal),_xlpm.MacVal&lt;&gt;"",_xlpm.MacVal,_xlpm.CSVVal&lt;&gt;"",_xlpm.CSVVal
)),"")</f>
        <v/>
      </c>
      <c r="N178" s="40"/>
      <c r="O178" s="40" t="str">
        <f>_xlfn.LET(
    _xlpm.CSVVal, _xlfn.XLOOKUP($A178, CSV!$A:$A, CSV!AA:AA, ""),
    _xlpm.MacVal, _xlfn.XLOOKUP($A178, Output_Mac!$A:$A, Output_Mac!S:S, ""),
    _xlpm.MyAuditVal, _xlfn.XLOOKUP($A178, My_Audit!$A:$A, My_Audit!P:P, ""),
    _xlfn.TEXTJOIN(", ", TRUE, _xlpm.MyAuditVal, _xlpm.MacVal, _xlpm.CSVVal)
)</f>
        <v>US kb</v>
      </c>
      <c r="P178" s="40" t="str" cm="1">
        <f t="array" ref="P178">IFERROR(_xlfn.LET(
_xlpm.CSVVal,_xlfn.XLOOKUP($A178,CSV!$A:$A,CSV!AB:AB,""),
_xlpm.MacVal,_xlfn.XLOOKUP($A178,Output_Mac!$A:$A,Output_Mac!T:T,""),
_xlpm.MyAuditVal,_xlfn.XLOOKUP($A178,My_Audit!$A:$A,My_Audit!Q:Q,""),
_xlfn.IFS(_xlpm.MyAuditVal&lt;&gt;"",UPPER(_xlpm.MyAuditVal),_xlpm.MacVal&lt;&gt;"",_xlpm.MacVal,_xlpm.CSVVal&lt;&gt;"",_xlpm.CSVVal
)),"No")</f>
        <v>No</v>
      </c>
      <c r="Q178" s="40" t="str" cm="1">
        <f t="array" ref="Q178">IFERROR(_xlfn.LET(
_xlpm.CSVVal,_xlfn.XLOOKUP($A178,CSV!$A:$A,CSV!AC:AC,""),
_xlpm.MacVal,_xlfn.XLOOKUP($A178,Output_Mac!$A:$A,Output_Mac!U:U,""),
_xlpm.MyAuditVal,_xlfn.XLOOKUP($A178,My_Audit!$A:$A,My_Audit!R:R,""),
_xlfn.IFS(_xlpm.MyAuditVal&lt;&gt;"",UPPER(_xlpm.MyAuditVal),_xlpm.MacVal&lt;&gt;"",_xlpm.MacVal,_xlpm.CSVVal&lt;&gt;"",_xlpm.CSVVal
)),"")</f>
        <v/>
      </c>
      <c r="R178" s="40"/>
      <c r="S178" s="40"/>
      <c r="T178" s="40"/>
      <c r="U178" s="40"/>
      <c r="V178" s="40"/>
      <c r="W178" s="40"/>
      <c r="X178" s="41" t="str">
        <f>_xlfn.LET(
    _xlpm.MacVal, _xlfn.XLOOKUP($A178, Output_Mac!$A:$A, Output_Mac!AB:AB, ""),
    _xlpm.MyAuditVal, _xlfn.XLOOKUP($A178, My_Audit!$A:$A, My_Audit!N:N, ""),
    _xlfn.TEXTJOIN(", ", TRUE, _xlpm.MyAuditVal, _xlpm.MacVal)
)</f>
        <v/>
      </c>
    </row>
    <row r="179" spans="1:24">
      <c r="A179" s="40" t="str">
        <f>_xlfn.TEXTJOIN("",TRUE,Input!$B$2,ROW(My_Audit!A178))</f>
        <v>X178</v>
      </c>
      <c r="B179" s="40" t="str">
        <f>_xlfn.TEXTJOIN("-",TRUE,"ITD",Input!$A$2,A179)</f>
        <v>ITD-X178</v>
      </c>
      <c r="C179" s="40" t="str" cm="1">
        <f t="array" ref="C179">IFERROR(_xlfn.LET(
_xlpm.CSVVal,_xlfn.XLOOKUP($A179,CSV!$A:$A,CSV!B:B,""),
_xlpm.MacVal,_xlfn.XLOOKUP($A179,Output_Mac!$A:$A,Output_Mac!B:B,""),
_xlpm.MyAuditVal,_xlfn.XLOOKUP($A179,My_Audit!$A:$A,My_Audit!B:B,""),
_xlfn.IFS(_xlpm.MyAuditVal&lt;&gt;"",UPPER(_xlpm.MyAuditVal),_xlpm.MacVal&lt;&gt;"",_xlpm.MacVal,_xlpm.CSVVal&lt;&gt;"",_xlpm.CSVVal
)),"")</f>
        <v/>
      </c>
      <c r="D179" s="40" t="str" cm="1">
        <f t="array" ref="D179">IFERROR(_xlfn.LET(
_xlpm.CSVVal,_xlfn.XLOOKUP($A179,CSV!$A:$A,CSV!D:D,""),
_xlpm.MacVal,_xlfn.XLOOKUP($A179,Output_Mac!$A:$A,Output_Mac!C:C,""),
_xlpm.MyAuditVal,_xlfn.XLOOKUP($A179,My_Audit!$A:$A,My_Audit!C:C,""),
_xlfn.IFS(_xlpm.MyAuditVal&lt;&gt;"",_xlpm.MyAuditVal,_xlpm.MacVal&lt;&gt;"",_xlpm.MacVal,_xlpm.CSVVal&lt;&gt;"",_xlpm.CSVVal
)),"")</f>
        <v/>
      </c>
      <c r="E179" s="40">
        <f>_xlfn.XLOOKUP(A179,My_Audit!A:A,My_Audit!D:D,"")</f>
        <v>0</v>
      </c>
      <c r="F179" s="40" t="str" cm="1">
        <f t="array" ref="F179">IFERROR(_xlfn.LET(
_xlpm.CSVVal,_xlfn.XLOOKUP($A179,CSV!$A:$A,CSV!F:F,""),
_xlpm.MacVal,_xlfn.XLOOKUP($A179,Output_Mac!$A:$A,Output_Mac!E:E,""),
_xlpm.MyAuditVal,_xlfn.XLOOKUP($A179,My_Audit!$A:$A,My_Audit!E:E,""),
_xlfn.IFS(_xlpm.MyAuditVal&lt;&gt;"",_xlpm.MyAuditVal,_xlpm.MacVal&lt;&gt;"",_xlpm.MacVal,_xlpm.CSVVal&lt;&gt;"",_xlpm.CSVVal
)),"")</f>
        <v/>
      </c>
      <c r="G179" s="40" t="str" cm="1">
        <f t="array" ref="G179">IFERROR(_xlfn.LET(
_xlpm.CSVVal,_xlfn.XLOOKUP($A179,CSV!$A:$A,CSV!G:G,""),
_xlpm.MacVal,_xlfn.XLOOKUP($A179,Output_Mac!$A:$A,Output_Mac!F:F,""),
_xlpm.MyAuditVal,_xlfn.XLOOKUP($A179,My_Audit!$A:$A,My_Audit!F:F,""),
_xlfn.IFS(_xlpm.MyAuditVal&lt;&gt;"",_xlpm.MyAuditVal,_xlpm.MacVal&lt;&gt;"",_xlpm.MacVal,_xlpm.CSVVal&lt;&gt;"",PROPER(_xlpm.CSVVal)
)),"")</f>
        <v/>
      </c>
      <c r="H179" s="40" t="str" cm="1">
        <f t="array" ref="H179">IFERROR(_xlfn.LET(
_xlpm.CSVVal,_xlfn.XLOOKUP($A179,CSV!$A:$A,CSV!H:H,""),
_xlpm.MacVal,_xlfn.XLOOKUP($A179,Output_Mac!$A:$A,Output_Mac!H:H,""),
_xlpm.MyAuditVal,_xlfn.XLOOKUP($A179,My_Audit!$A:$A,My_Audit!G:G,""),
_xlfn.IFS(_xlpm.MyAuditVal&lt;&gt;"",_xlpm.MyAuditVal,_xlpm.MacVal&lt;&gt;"",_xlpm.MacVal,_xlpm.CSVVal&lt;&gt;"",_xlpm.CSVVal
)),"")</f>
        <v/>
      </c>
      <c r="I179" s="40" t="str">
        <f>_xlfn.XLOOKUP(A179,Output_Mac!A:A,Output_Mac!I:I,"")</f>
        <v/>
      </c>
      <c r="J179" s="40" t="str" cm="1">
        <f t="array" ref="J179">IFERROR(_xlfn.LET(
_xlpm.CSVVal,_xlfn.XLOOKUP($A179,CSV!$A:$A,CSV!I:I,""),
_xlpm.MacVal,_xlfn.XLOOKUP($A179,Output_Mac!$A:$A,Output_Mac!J:J,""),
_xlpm.MyAuditVal,_xlfn.XLOOKUP($A179,My_Audit!$A:$A,My_Audit!I:I,""),
_xlfn.IFS(_xlpm.MyAuditVal&lt;&gt;"",UPPER(_xlpm.MyAuditVal),_xlpm.MacVal&lt;&gt;"",_xlpm.MacVal,_xlpm.CSVVal&lt;&gt;"",_xlpm.CSVVal
)),"")</f>
        <v/>
      </c>
      <c r="K179" s="40" t="str" cm="1">
        <f t="array" ref="K179">IFERROR(_xlfn.LET(
_xlpm.CSVVal,_xlfn.XLOOKUP($A179,CSV!$A:$A,CSV!K:K,""),
_xlpm.MacVal,_xlfn.XLOOKUP($A179,Output_Mac!$A:$A,Output_Mac!K:K,""),
_xlpm.MyAuditVal,_xlfn.XLOOKUP($A179,My_Audit!$A:$A,My_Audit!J:J,""),
_xlfn.IFS(_xlpm.MyAuditVal&lt;&gt;"",UPPER(_xlpm.MyAuditVal),_xlpm.MacVal&lt;&gt;"",_xlpm.MacVal,_xlpm.CSVVal&lt;&gt;"",_xlpm.CSVVal
)),"")</f>
        <v/>
      </c>
      <c r="L179" s="40" t="str" cm="1">
        <f t="array" ref="L179">IFERROR(_xlfn.LET(
_xlpm.CSVVal,_xlfn.XLOOKUP($A179,CSV!$A:$A,CSV!P:P,""),
_xlpm.MacVal,_xlfn.XLOOKUP($A179,Output_Mac!$A:$A,Output_Mac!L:L,""),
_xlpm.MyAuditVal,_xlfn.XLOOKUP($A179,My_Audit!$A:$A,My_Audit!K:K,""),
_xlfn.IFS(_xlpm.MyAuditVal&lt;&gt;"",UPPER(_xlpm.MyAuditVal),_xlpm.MacVal&lt;&gt;"",_xlpm.MacVal,_xlpm.CSVVal&lt;&gt;"",_xlpm.CSVVal
)),"")</f>
        <v/>
      </c>
      <c r="M179" s="40" t="str" cm="1">
        <f t="array" ref="M179">IFERROR(_xlfn.LET(
_xlpm.CSVVal,_xlfn.XLOOKUP($A179,CSV!$A:$A,CSV!Q:Q,""),
_xlpm.MacVal,_xlfn.XLOOKUP($A179,Output_Mac!$A:$A,Output_Mac!M:M,""),
_xlpm.MyAuditVal,_xlfn.XLOOKUP($A179,My_Audit!$A:$A,My_Audit!L:L,""),
_xlfn.IFS(_xlpm.MyAuditVal&lt;&gt;"",UPPER(_xlpm.MyAuditVal),_xlpm.MacVal&lt;&gt;"",_xlpm.MacVal,_xlpm.CSVVal&lt;&gt;"",_xlpm.CSVVal
)),"")</f>
        <v/>
      </c>
      <c r="N179" s="40"/>
      <c r="O179" s="40" t="str">
        <f>_xlfn.LET(
    _xlpm.CSVVal, _xlfn.XLOOKUP($A179, CSV!$A:$A, CSV!AA:AA, ""),
    _xlpm.MacVal, _xlfn.XLOOKUP($A179, Output_Mac!$A:$A, Output_Mac!S:S, ""),
    _xlpm.MyAuditVal, _xlfn.XLOOKUP($A179, My_Audit!$A:$A, My_Audit!P:P, ""),
    _xlfn.TEXTJOIN(", ", TRUE, _xlpm.MyAuditVal, _xlpm.MacVal, _xlpm.CSVVal)
)</f>
        <v/>
      </c>
      <c r="P179" s="40" t="str" cm="1">
        <f t="array" ref="P179">IFERROR(_xlfn.LET(
_xlpm.CSVVal,_xlfn.XLOOKUP($A179,CSV!$A:$A,CSV!AB:AB,""),
_xlpm.MacVal,_xlfn.XLOOKUP($A179,Output_Mac!$A:$A,Output_Mac!T:T,""),
_xlpm.MyAuditVal,_xlfn.XLOOKUP($A179,My_Audit!$A:$A,My_Audit!Q:Q,""),
_xlfn.IFS(_xlpm.MyAuditVal&lt;&gt;"",UPPER(_xlpm.MyAuditVal),_xlpm.MacVal&lt;&gt;"",_xlpm.MacVal,_xlpm.CSVVal&lt;&gt;"",_xlpm.CSVVal
)),"No")</f>
        <v>No</v>
      </c>
      <c r="Q179" s="40" t="str" cm="1">
        <f t="array" ref="Q179">IFERROR(_xlfn.LET(
_xlpm.CSVVal,_xlfn.XLOOKUP($A179,CSV!$A:$A,CSV!AC:AC,""),
_xlpm.MacVal,_xlfn.XLOOKUP($A179,Output_Mac!$A:$A,Output_Mac!U:U,""),
_xlpm.MyAuditVal,_xlfn.XLOOKUP($A179,My_Audit!$A:$A,My_Audit!R:R,""),
_xlfn.IFS(_xlpm.MyAuditVal&lt;&gt;"",UPPER(_xlpm.MyAuditVal),_xlpm.MacVal&lt;&gt;"",_xlpm.MacVal,_xlpm.CSVVal&lt;&gt;"",_xlpm.CSVVal
)),"")</f>
        <v/>
      </c>
      <c r="R179" s="40"/>
      <c r="S179" s="40"/>
      <c r="T179" s="40"/>
      <c r="U179" s="40"/>
      <c r="V179" s="40"/>
      <c r="W179" s="40"/>
      <c r="X179" s="41" t="str">
        <f>_xlfn.LET(
    _xlpm.MacVal, _xlfn.XLOOKUP($A179, Output_Mac!$A:$A, Output_Mac!AB:AB, ""),
    _xlpm.MyAuditVal, _xlfn.XLOOKUP($A179, My_Audit!$A:$A, My_Audit!N:N, ""),
    _xlfn.TEXTJOIN(", ", TRUE, _xlpm.MyAuditVal, _xlpm.MacVal)
)</f>
        <v/>
      </c>
    </row>
    <row r="180" spans="1:24">
      <c r="A180" s="40" t="str">
        <f>_xlfn.TEXTJOIN("",TRUE,Input!$B$2,ROW(My_Audit!A179))</f>
        <v>X179</v>
      </c>
      <c r="B180" s="40" t="str">
        <f>_xlfn.TEXTJOIN("-",TRUE,"ITD",Input!$A$2,A180)</f>
        <v>ITD-X179</v>
      </c>
      <c r="C180" s="40" t="str" cm="1">
        <f t="array" ref="C180">IFERROR(_xlfn.LET(
_xlpm.CSVVal,_xlfn.XLOOKUP($A180,CSV!$A:$A,CSV!B:B,""),
_xlpm.MacVal,_xlfn.XLOOKUP($A180,Output_Mac!$A:$A,Output_Mac!B:B,""),
_xlpm.MyAuditVal,_xlfn.XLOOKUP($A180,My_Audit!$A:$A,My_Audit!B:B,""),
_xlfn.IFS(_xlpm.MyAuditVal&lt;&gt;"",UPPER(_xlpm.MyAuditVal),_xlpm.MacVal&lt;&gt;"",_xlpm.MacVal,_xlpm.CSVVal&lt;&gt;"",_xlpm.CSVVal
)),"")</f>
        <v/>
      </c>
      <c r="D180" s="40" t="str" cm="1">
        <f t="array" ref="D180">IFERROR(_xlfn.LET(
_xlpm.CSVVal,_xlfn.XLOOKUP($A180,CSV!$A:$A,CSV!D:D,""),
_xlpm.MacVal,_xlfn.XLOOKUP($A180,Output_Mac!$A:$A,Output_Mac!C:C,""),
_xlpm.MyAuditVal,_xlfn.XLOOKUP($A180,My_Audit!$A:$A,My_Audit!C:C,""),
_xlfn.IFS(_xlpm.MyAuditVal&lt;&gt;"",_xlpm.MyAuditVal,_xlpm.MacVal&lt;&gt;"",_xlpm.MacVal,_xlpm.CSVVal&lt;&gt;"",_xlpm.CSVVal
)),"")</f>
        <v/>
      </c>
      <c r="E180" s="40">
        <f>_xlfn.XLOOKUP(A180,My_Audit!A:A,My_Audit!D:D,"")</f>
        <v>0</v>
      </c>
      <c r="F180" s="40" t="str" cm="1">
        <f t="array" ref="F180">IFERROR(_xlfn.LET(
_xlpm.CSVVal,_xlfn.XLOOKUP($A180,CSV!$A:$A,CSV!F:F,""),
_xlpm.MacVal,_xlfn.XLOOKUP($A180,Output_Mac!$A:$A,Output_Mac!E:E,""),
_xlpm.MyAuditVal,_xlfn.XLOOKUP($A180,My_Audit!$A:$A,My_Audit!E:E,""),
_xlfn.IFS(_xlpm.MyAuditVal&lt;&gt;"",_xlpm.MyAuditVal,_xlpm.MacVal&lt;&gt;"",_xlpm.MacVal,_xlpm.CSVVal&lt;&gt;"",_xlpm.CSVVal
)),"")</f>
        <v/>
      </c>
      <c r="G180" s="40" t="str" cm="1">
        <f t="array" ref="G180">IFERROR(_xlfn.LET(
_xlpm.CSVVal,_xlfn.XLOOKUP($A180,CSV!$A:$A,CSV!G:G,""),
_xlpm.MacVal,_xlfn.XLOOKUP($A180,Output_Mac!$A:$A,Output_Mac!F:F,""),
_xlpm.MyAuditVal,_xlfn.XLOOKUP($A180,My_Audit!$A:$A,My_Audit!F:F,""),
_xlfn.IFS(_xlpm.MyAuditVal&lt;&gt;"",_xlpm.MyAuditVal,_xlpm.MacVal&lt;&gt;"",_xlpm.MacVal,_xlpm.CSVVal&lt;&gt;"",PROPER(_xlpm.CSVVal)
)),"")</f>
        <v/>
      </c>
      <c r="H180" s="40" t="str" cm="1">
        <f t="array" ref="H180">IFERROR(_xlfn.LET(
_xlpm.CSVVal,_xlfn.XLOOKUP($A180,CSV!$A:$A,CSV!H:H,""),
_xlpm.MacVal,_xlfn.XLOOKUP($A180,Output_Mac!$A:$A,Output_Mac!H:H,""),
_xlpm.MyAuditVal,_xlfn.XLOOKUP($A180,My_Audit!$A:$A,My_Audit!G:G,""),
_xlfn.IFS(_xlpm.MyAuditVal&lt;&gt;"",_xlpm.MyAuditVal,_xlpm.MacVal&lt;&gt;"",_xlpm.MacVal,_xlpm.CSVVal&lt;&gt;"",_xlpm.CSVVal
)),"")</f>
        <v/>
      </c>
      <c r="I180" s="40" t="str">
        <f>_xlfn.XLOOKUP(A180,Output_Mac!A:A,Output_Mac!I:I,"")</f>
        <v/>
      </c>
      <c r="J180" s="40" t="str" cm="1">
        <f t="array" ref="J180">IFERROR(_xlfn.LET(
_xlpm.CSVVal,_xlfn.XLOOKUP($A180,CSV!$A:$A,CSV!I:I,""),
_xlpm.MacVal,_xlfn.XLOOKUP($A180,Output_Mac!$A:$A,Output_Mac!J:J,""),
_xlpm.MyAuditVal,_xlfn.XLOOKUP($A180,My_Audit!$A:$A,My_Audit!I:I,""),
_xlfn.IFS(_xlpm.MyAuditVal&lt;&gt;"",UPPER(_xlpm.MyAuditVal),_xlpm.MacVal&lt;&gt;"",_xlpm.MacVal,_xlpm.CSVVal&lt;&gt;"",_xlpm.CSVVal
)),"")</f>
        <v/>
      </c>
      <c r="K180" s="40" t="str" cm="1">
        <f t="array" ref="K180">IFERROR(_xlfn.LET(
_xlpm.CSVVal,_xlfn.XLOOKUP($A180,CSV!$A:$A,CSV!K:K,""),
_xlpm.MacVal,_xlfn.XLOOKUP($A180,Output_Mac!$A:$A,Output_Mac!K:K,""),
_xlpm.MyAuditVal,_xlfn.XLOOKUP($A180,My_Audit!$A:$A,My_Audit!J:J,""),
_xlfn.IFS(_xlpm.MyAuditVal&lt;&gt;"",UPPER(_xlpm.MyAuditVal),_xlpm.MacVal&lt;&gt;"",_xlpm.MacVal,_xlpm.CSVVal&lt;&gt;"",_xlpm.CSVVal
)),"")</f>
        <v/>
      </c>
      <c r="L180" s="40" t="str" cm="1">
        <f t="array" ref="L180">IFERROR(_xlfn.LET(
_xlpm.CSVVal,_xlfn.XLOOKUP($A180,CSV!$A:$A,CSV!P:P,""),
_xlpm.MacVal,_xlfn.XLOOKUP($A180,Output_Mac!$A:$A,Output_Mac!L:L,""),
_xlpm.MyAuditVal,_xlfn.XLOOKUP($A180,My_Audit!$A:$A,My_Audit!K:K,""),
_xlfn.IFS(_xlpm.MyAuditVal&lt;&gt;"",UPPER(_xlpm.MyAuditVal),_xlpm.MacVal&lt;&gt;"",_xlpm.MacVal,_xlpm.CSVVal&lt;&gt;"",_xlpm.CSVVal
)),"")</f>
        <v/>
      </c>
      <c r="M180" s="40" t="str" cm="1">
        <f t="array" ref="M180">IFERROR(_xlfn.LET(
_xlpm.CSVVal,_xlfn.XLOOKUP($A180,CSV!$A:$A,CSV!Q:Q,""),
_xlpm.MacVal,_xlfn.XLOOKUP($A180,Output_Mac!$A:$A,Output_Mac!M:M,""),
_xlpm.MyAuditVal,_xlfn.XLOOKUP($A180,My_Audit!$A:$A,My_Audit!L:L,""),
_xlfn.IFS(_xlpm.MyAuditVal&lt;&gt;"",UPPER(_xlpm.MyAuditVal),_xlpm.MacVal&lt;&gt;"",_xlpm.MacVal,_xlpm.CSVVal&lt;&gt;"",_xlpm.CSVVal
)),"")</f>
        <v/>
      </c>
      <c r="N180" s="40"/>
      <c r="O180" s="40" t="str">
        <f>_xlfn.LET(
    _xlpm.CSVVal, _xlfn.XLOOKUP($A180, CSV!$A:$A, CSV!AA:AA, ""),
    _xlpm.MacVal, _xlfn.XLOOKUP($A180, Output_Mac!$A:$A, Output_Mac!S:S, ""),
    _xlpm.MyAuditVal, _xlfn.XLOOKUP($A180, My_Audit!$A:$A, My_Audit!P:P, ""),
    _xlfn.TEXTJOIN(", ", TRUE, _xlpm.MyAuditVal, _xlpm.MacVal, _xlpm.CSVVal)
)</f>
        <v/>
      </c>
      <c r="P180" s="40" t="str" cm="1">
        <f t="array" ref="P180">IFERROR(_xlfn.LET(
_xlpm.CSVVal,_xlfn.XLOOKUP($A180,CSV!$A:$A,CSV!AB:AB,""),
_xlpm.MacVal,_xlfn.XLOOKUP($A180,Output_Mac!$A:$A,Output_Mac!T:T,""),
_xlpm.MyAuditVal,_xlfn.XLOOKUP($A180,My_Audit!$A:$A,My_Audit!Q:Q,""),
_xlfn.IFS(_xlpm.MyAuditVal&lt;&gt;"",UPPER(_xlpm.MyAuditVal),_xlpm.MacVal&lt;&gt;"",_xlpm.MacVal,_xlpm.CSVVal&lt;&gt;"",_xlpm.CSVVal
)),"No")</f>
        <v>No</v>
      </c>
      <c r="Q180" s="40" t="str" cm="1">
        <f t="array" ref="Q180">IFERROR(_xlfn.LET(
_xlpm.CSVVal,_xlfn.XLOOKUP($A180,CSV!$A:$A,CSV!AC:AC,""),
_xlpm.MacVal,_xlfn.XLOOKUP($A180,Output_Mac!$A:$A,Output_Mac!U:U,""),
_xlpm.MyAuditVal,_xlfn.XLOOKUP($A180,My_Audit!$A:$A,My_Audit!R:R,""),
_xlfn.IFS(_xlpm.MyAuditVal&lt;&gt;"",UPPER(_xlpm.MyAuditVal),_xlpm.MacVal&lt;&gt;"",_xlpm.MacVal,_xlpm.CSVVal&lt;&gt;"",_xlpm.CSVVal
)),"")</f>
        <v/>
      </c>
      <c r="R180" s="40"/>
      <c r="S180" s="40"/>
      <c r="T180" s="40"/>
      <c r="U180" s="40"/>
      <c r="V180" s="40"/>
      <c r="W180" s="40"/>
      <c r="X180" s="41" t="str">
        <f>_xlfn.LET(
    _xlpm.MacVal, _xlfn.XLOOKUP($A180, Output_Mac!$A:$A, Output_Mac!AB:AB, ""),
    _xlpm.MyAuditVal, _xlfn.XLOOKUP($A180, My_Audit!$A:$A, My_Audit!N:N, ""),
    _xlfn.TEXTJOIN(", ", TRUE, _xlpm.MyAuditVal, _xlpm.MacVal)
)</f>
        <v/>
      </c>
    </row>
    <row r="181" spans="1:24">
      <c r="A181" s="40" t="str">
        <f>_xlfn.TEXTJOIN("",TRUE,Input!$B$2,ROW(My_Audit!A180))</f>
        <v>X180</v>
      </c>
      <c r="B181" s="40" t="str">
        <f>_xlfn.TEXTJOIN("-",TRUE,"ITD",Input!$A$2,A181)</f>
        <v>ITD-X180</v>
      </c>
      <c r="C181" s="40" t="str" cm="1">
        <f t="array" ref="C181">IFERROR(_xlfn.LET(
_xlpm.CSVVal,_xlfn.XLOOKUP($A181,CSV!$A:$A,CSV!B:B,""),
_xlpm.MacVal,_xlfn.XLOOKUP($A181,Output_Mac!$A:$A,Output_Mac!B:B,""),
_xlpm.MyAuditVal,_xlfn.XLOOKUP($A181,My_Audit!$A:$A,My_Audit!B:B,""),
_xlfn.IFS(_xlpm.MyAuditVal&lt;&gt;"",UPPER(_xlpm.MyAuditVal),_xlpm.MacVal&lt;&gt;"",_xlpm.MacVal,_xlpm.CSVVal&lt;&gt;"",_xlpm.CSVVal
)),"")</f>
        <v/>
      </c>
      <c r="D181" s="40" t="str" cm="1">
        <f t="array" ref="D181">IFERROR(_xlfn.LET(
_xlpm.CSVVal,_xlfn.XLOOKUP($A181,CSV!$A:$A,CSV!D:D,""),
_xlpm.MacVal,_xlfn.XLOOKUP($A181,Output_Mac!$A:$A,Output_Mac!C:C,""),
_xlpm.MyAuditVal,_xlfn.XLOOKUP($A181,My_Audit!$A:$A,My_Audit!C:C,""),
_xlfn.IFS(_xlpm.MyAuditVal&lt;&gt;"",_xlpm.MyAuditVal,_xlpm.MacVal&lt;&gt;"",_xlpm.MacVal,_xlpm.CSVVal&lt;&gt;"",_xlpm.CSVVal
)),"")</f>
        <v/>
      </c>
      <c r="E181" s="40">
        <f>_xlfn.XLOOKUP(A181,My_Audit!A:A,My_Audit!D:D,"")</f>
        <v>0</v>
      </c>
      <c r="F181" s="40" t="str" cm="1">
        <f t="array" ref="F181">IFERROR(_xlfn.LET(
_xlpm.CSVVal,_xlfn.XLOOKUP($A181,CSV!$A:$A,CSV!F:F,""),
_xlpm.MacVal,_xlfn.XLOOKUP($A181,Output_Mac!$A:$A,Output_Mac!E:E,""),
_xlpm.MyAuditVal,_xlfn.XLOOKUP($A181,My_Audit!$A:$A,My_Audit!E:E,""),
_xlfn.IFS(_xlpm.MyAuditVal&lt;&gt;"",_xlpm.MyAuditVal,_xlpm.MacVal&lt;&gt;"",_xlpm.MacVal,_xlpm.CSVVal&lt;&gt;"",_xlpm.CSVVal
)),"")</f>
        <v/>
      </c>
      <c r="G181" s="40" t="str" cm="1">
        <f t="array" ref="G181">IFERROR(_xlfn.LET(
_xlpm.CSVVal,_xlfn.XLOOKUP($A181,CSV!$A:$A,CSV!G:G,""),
_xlpm.MacVal,_xlfn.XLOOKUP($A181,Output_Mac!$A:$A,Output_Mac!F:F,""),
_xlpm.MyAuditVal,_xlfn.XLOOKUP($A181,My_Audit!$A:$A,My_Audit!F:F,""),
_xlfn.IFS(_xlpm.MyAuditVal&lt;&gt;"",_xlpm.MyAuditVal,_xlpm.MacVal&lt;&gt;"",_xlpm.MacVal,_xlpm.CSVVal&lt;&gt;"",PROPER(_xlpm.CSVVal)
)),"")</f>
        <v/>
      </c>
      <c r="H181" s="40" t="str" cm="1">
        <f t="array" ref="H181">IFERROR(_xlfn.LET(
_xlpm.CSVVal,_xlfn.XLOOKUP($A181,CSV!$A:$A,CSV!H:H,""),
_xlpm.MacVal,_xlfn.XLOOKUP($A181,Output_Mac!$A:$A,Output_Mac!H:H,""),
_xlpm.MyAuditVal,_xlfn.XLOOKUP($A181,My_Audit!$A:$A,My_Audit!G:G,""),
_xlfn.IFS(_xlpm.MyAuditVal&lt;&gt;"",_xlpm.MyAuditVal,_xlpm.MacVal&lt;&gt;"",_xlpm.MacVal,_xlpm.CSVVal&lt;&gt;"",_xlpm.CSVVal
)),"")</f>
        <v/>
      </c>
      <c r="I181" s="40" t="str">
        <f>_xlfn.XLOOKUP(A181,Output_Mac!A:A,Output_Mac!I:I,"")</f>
        <v/>
      </c>
      <c r="J181" s="40" t="str" cm="1">
        <f t="array" ref="J181">IFERROR(_xlfn.LET(
_xlpm.CSVVal,_xlfn.XLOOKUP($A181,CSV!$A:$A,CSV!I:I,""),
_xlpm.MacVal,_xlfn.XLOOKUP($A181,Output_Mac!$A:$A,Output_Mac!J:J,""),
_xlpm.MyAuditVal,_xlfn.XLOOKUP($A181,My_Audit!$A:$A,My_Audit!I:I,""),
_xlfn.IFS(_xlpm.MyAuditVal&lt;&gt;"",UPPER(_xlpm.MyAuditVal),_xlpm.MacVal&lt;&gt;"",_xlpm.MacVal,_xlpm.CSVVal&lt;&gt;"",_xlpm.CSVVal
)),"")</f>
        <v/>
      </c>
      <c r="K181" s="40" t="str" cm="1">
        <f t="array" ref="K181">IFERROR(_xlfn.LET(
_xlpm.CSVVal,_xlfn.XLOOKUP($A181,CSV!$A:$A,CSV!K:K,""),
_xlpm.MacVal,_xlfn.XLOOKUP($A181,Output_Mac!$A:$A,Output_Mac!K:K,""),
_xlpm.MyAuditVal,_xlfn.XLOOKUP($A181,My_Audit!$A:$A,My_Audit!J:J,""),
_xlfn.IFS(_xlpm.MyAuditVal&lt;&gt;"",UPPER(_xlpm.MyAuditVal),_xlpm.MacVal&lt;&gt;"",_xlpm.MacVal,_xlpm.CSVVal&lt;&gt;"",_xlpm.CSVVal
)),"")</f>
        <v/>
      </c>
      <c r="L181" s="40" t="str" cm="1">
        <f t="array" ref="L181">IFERROR(_xlfn.LET(
_xlpm.CSVVal,_xlfn.XLOOKUP($A181,CSV!$A:$A,CSV!P:P,""),
_xlpm.MacVal,_xlfn.XLOOKUP($A181,Output_Mac!$A:$A,Output_Mac!L:L,""),
_xlpm.MyAuditVal,_xlfn.XLOOKUP($A181,My_Audit!$A:$A,My_Audit!K:K,""),
_xlfn.IFS(_xlpm.MyAuditVal&lt;&gt;"",UPPER(_xlpm.MyAuditVal),_xlpm.MacVal&lt;&gt;"",_xlpm.MacVal,_xlpm.CSVVal&lt;&gt;"",_xlpm.CSVVal
)),"")</f>
        <v/>
      </c>
      <c r="M181" s="40" t="str" cm="1">
        <f t="array" ref="M181">IFERROR(_xlfn.LET(
_xlpm.CSVVal,_xlfn.XLOOKUP($A181,CSV!$A:$A,CSV!Q:Q,""),
_xlpm.MacVal,_xlfn.XLOOKUP($A181,Output_Mac!$A:$A,Output_Mac!M:M,""),
_xlpm.MyAuditVal,_xlfn.XLOOKUP($A181,My_Audit!$A:$A,My_Audit!L:L,""),
_xlfn.IFS(_xlpm.MyAuditVal&lt;&gt;"",UPPER(_xlpm.MyAuditVal),_xlpm.MacVal&lt;&gt;"",_xlpm.MacVal,_xlpm.CSVVal&lt;&gt;"",_xlpm.CSVVal
)),"")</f>
        <v/>
      </c>
      <c r="N181" s="40"/>
      <c r="O181" s="40" t="str">
        <f>_xlfn.LET(
    _xlpm.CSVVal, _xlfn.XLOOKUP($A181, CSV!$A:$A, CSV!AA:AA, ""),
    _xlpm.MacVal, _xlfn.XLOOKUP($A181, Output_Mac!$A:$A, Output_Mac!S:S, ""),
    _xlpm.MyAuditVal, _xlfn.XLOOKUP($A181, My_Audit!$A:$A, My_Audit!P:P, ""),
    _xlfn.TEXTJOIN(", ", TRUE, _xlpm.MyAuditVal, _xlpm.MacVal, _xlpm.CSVVal)
)</f>
        <v/>
      </c>
      <c r="P181" s="40" t="str" cm="1">
        <f t="array" ref="P181">IFERROR(_xlfn.LET(
_xlpm.CSVVal,_xlfn.XLOOKUP($A181,CSV!$A:$A,CSV!AB:AB,""),
_xlpm.MacVal,_xlfn.XLOOKUP($A181,Output_Mac!$A:$A,Output_Mac!T:T,""),
_xlpm.MyAuditVal,_xlfn.XLOOKUP($A181,My_Audit!$A:$A,My_Audit!Q:Q,""),
_xlfn.IFS(_xlpm.MyAuditVal&lt;&gt;"",UPPER(_xlpm.MyAuditVal),_xlpm.MacVal&lt;&gt;"",_xlpm.MacVal,_xlpm.CSVVal&lt;&gt;"",_xlpm.CSVVal
)),"No")</f>
        <v>No</v>
      </c>
      <c r="Q181" s="40" t="str" cm="1">
        <f t="array" ref="Q181">IFERROR(_xlfn.LET(
_xlpm.CSVVal,_xlfn.XLOOKUP($A181,CSV!$A:$A,CSV!AC:AC,""),
_xlpm.MacVal,_xlfn.XLOOKUP($A181,Output_Mac!$A:$A,Output_Mac!U:U,""),
_xlpm.MyAuditVal,_xlfn.XLOOKUP($A181,My_Audit!$A:$A,My_Audit!R:R,""),
_xlfn.IFS(_xlpm.MyAuditVal&lt;&gt;"",UPPER(_xlpm.MyAuditVal),_xlpm.MacVal&lt;&gt;"",_xlpm.MacVal,_xlpm.CSVVal&lt;&gt;"",_xlpm.CSVVal
)),"")</f>
        <v/>
      </c>
      <c r="R181" s="40"/>
      <c r="S181" s="40"/>
      <c r="T181" s="40"/>
      <c r="U181" s="40"/>
      <c r="V181" s="40"/>
      <c r="W181" s="40"/>
      <c r="X181" s="41" t="str">
        <f>_xlfn.LET(
    _xlpm.MacVal, _xlfn.XLOOKUP($A181, Output_Mac!$A:$A, Output_Mac!AB:AB, ""),
    _xlpm.MyAuditVal, _xlfn.XLOOKUP($A181, My_Audit!$A:$A, My_Audit!N:N, ""),
    _xlfn.TEXTJOIN(", ", TRUE, _xlpm.MyAuditVal, _xlpm.MacVal)
)</f>
        <v/>
      </c>
    </row>
    <row r="182" spans="1:24">
      <c r="A182" s="40" t="str">
        <f>_xlfn.TEXTJOIN("",TRUE,Input!$B$2,ROW(My_Audit!A181))</f>
        <v>X181</v>
      </c>
      <c r="B182" s="40" t="str">
        <f>_xlfn.TEXTJOIN("-",TRUE,"ITD",Input!$A$2,A182)</f>
        <v>ITD-X181</v>
      </c>
      <c r="C182" s="40" t="str" cm="1">
        <f t="array" ref="C182">IFERROR(_xlfn.LET(
_xlpm.CSVVal,_xlfn.XLOOKUP($A182,CSV!$A:$A,CSV!B:B,""),
_xlpm.MacVal,_xlfn.XLOOKUP($A182,Output_Mac!$A:$A,Output_Mac!B:B,""),
_xlpm.MyAuditVal,_xlfn.XLOOKUP($A182,My_Audit!$A:$A,My_Audit!B:B,""),
_xlfn.IFS(_xlpm.MyAuditVal&lt;&gt;"",UPPER(_xlpm.MyAuditVal),_xlpm.MacVal&lt;&gt;"",_xlpm.MacVal,_xlpm.CSVVal&lt;&gt;"",_xlpm.CSVVal
)),"")</f>
        <v/>
      </c>
      <c r="D182" s="40" t="str" cm="1">
        <f t="array" ref="D182">IFERROR(_xlfn.LET(
_xlpm.CSVVal,_xlfn.XLOOKUP($A182,CSV!$A:$A,CSV!D:D,""),
_xlpm.MacVal,_xlfn.XLOOKUP($A182,Output_Mac!$A:$A,Output_Mac!C:C,""),
_xlpm.MyAuditVal,_xlfn.XLOOKUP($A182,My_Audit!$A:$A,My_Audit!C:C,""),
_xlfn.IFS(_xlpm.MyAuditVal&lt;&gt;"",_xlpm.MyAuditVal,_xlpm.MacVal&lt;&gt;"",_xlpm.MacVal,_xlpm.CSVVal&lt;&gt;"",_xlpm.CSVVal
)),"")</f>
        <v/>
      </c>
      <c r="E182" s="40">
        <f>_xlfn.XLOOKUP(A182,My_Audit!A:A,My_Audit!D:D,"")</f>
        <v>0</v>
      </c>
      <c r="F182" s="40" t="str" cm="1">
        <f t="array" ref="F182">IFERROR(_xlfn.LET(
_xlpm.CSVVal,_xlfn.XLOOKUP($A182,CSV!$A:$A,CSV!F:F,""),
_xlpm.MacVal,_xlfn.XLOOKUP($A182,Output_Mac!$A:$A,Output_Mac!E:E,""),
_xlpm.MyAuditVal,_xlfn.XLOOKUP($A182,My_Audit!$A:$A,My_Audit!E:E,""),
_xlfn.IFS(_xlpm.MyAuditVal&lt;&gt;"",_xlpm.MyAuditVal,_xlpm.MacVal&lt;&gt;"",_xlpm.MacVal,_xlpm.CSVVal&lt;&gt;"",_xlpm.CSVVal
)),"")</f>
        <v/>
      </c>
      <c r="G182" s="40" t="str" cm="1">
        <f t="array" ref="G182">IFERROR(_xlfn.LET(
_xlpm.CSVVal,_xlfn.XLOOKUP($A182,CSV!$A:$A,CSV!G:G,""),
_xlpm.MacVal,_xlfn.XLOOKUP($A182,Output_Mac!$A:$A,Output_Mac!F:F,""),
_xlpm.MyAuditVal,_xlfn.XLOOKUP($A182,My_Audit!$A:$A,My_Audit!F:F,""),
_xlfn.IFS(_xlpm.MyAuditVal&lt;&gt;"",_xlpm.MyAuditVal,_xlpm.MacVal&lt;&gt;"",_xlpm.MacVal,_xlpm.CSVVal&lt;&gt;"",PROPER(_xlpm.CSVVal)
)),"")</f>
        <v/>
      </c>
      <c r="H182" s="40" t="str" cm="1">
        <f t="array" ref="H182">IFERROR(_xlfn.LET(
_xlpm.CSVVal,_xlfn.XLOOKUP($A182,CSV!$A:$A,CSV!H:H,""),
_xlpm.MacVal,_xlfn.XLOOKUP($A182,Output_Mac!$A:$A,Output_Mac!H:H,""),
_xlpm.MyAuditVal,_xlfn.XLOOKUP($A182,My_Audit!$A:$A,My_Audit!G:G,""),
_xlfn.IFS(_xlpm.MyAuditVal&lt;&gt;"",_xlpm.MyAuditVal,_xlpm.MacVal&lt;&gt;"",_xlpm.MacVal,_xlpm.CSVVal&lt;&gt;"",_xlpm.CSVVal
)),"")</f>
        <v/>
      </c>
      <c r="I182" s="40" t="str">
        <f>_xlfn.XLOOKUP(A182,Output_Mac!A:A,Output_Mac!I:I,"")</f>
        <v/>
      </c>
      <c r="J182" s="40" t="str" cm="1">
        <f t="array" ref="J182">IFERROR(_xlfn.LET(
_xlpm.CSVVal,_xlfn.XLOOKUP($A182,CSV!$A:$A,CSV!I:I,""),
_xlpm.MacVal,_xlfn.XLOOKUP($A182,Output_Mac!$A:$A,Output_Mac!J:J,""),
_xlpm.MyAuditVal,_xlfn.XLOOKUP($A182,My_Audit!$A:$A,My_Audit!I:I,""),
_xlfn.IFS(_xlpm.MyAuditVal&lt;&gt;"",UPPER(_xlpm.MyAuditVal),_xlpm.MacVal&lt;&gt;"",_xlpm.MacVal,_xlpm.CSVVal&lt;&gt;"",_xlpm.CSVVal
)),"")</f>
        <v/>
      </c>
      <c r="K182" s="40" t="str" cm="1">
        <f t="array" ref="K182">IFERROR(_xlfn.LET(
_xlpm.CSVVal,_xlfn.XLOOKUP($A182,CSV!$A:$A,CSV!K:K,""),
_xlpm.MacVal,_xlfn.XLOOKUP($A182,Output_Mac!$A:$A,Output_Mac!K:K,""),
_xlpm.MyAuditVal,_xlfn.XLOOKUP($A182,My_Audit!$A:$A,My_Audit!J:J,""),
_xlfn.IFS(_xlpm.MyAuditVal&lt;&gt;"",UPPER(_xlpm.MyAuditVal),_xlpm.MacVal&lt;&gt;"",_xlpm.MacVal,_xlpm.CSVVal&lt;&gt;"",_xlpm.CSVVal
)),"")</f>
        <v/>
      </c>
      <c r="L182" s="40" t="str" cm="1">
        <f t="array" ref="L182">IFERROR(_xlfn.LET(
_xlpm.CSVVal,_xlfn.XLOOKUP($A182,CSV!$A:$A,CSV!P:P,""),
_xlpm.MacVal,_xlfn.XLOOKUP($A182,Output_Mac!$A:$A,Output_Mac!L:L,""),
_xlpm.MyAuditVal,_xlfn.XLOOKUP($A182,My_Audit!$A:$A,My_Audit!K:K,""),
_xlfn.IFS(_xlpm.MyAuditVal&lt;&gt;"",UPPER(_xlpm.MyAuditVal),_xlpm.MacVal&lt;&gt;"",_xlpm.MacVal,_xlpm.CSVVal&lt;&gt;"",_xlpm.CSVVal
)),"")</f>
        <v/>
      </c>
      <c r="M182" s="40" t="str" cm="1">
        <f t="array" ref="M182">IFERROR(_xlfn.LET(
_xlpm.CSVVal,_xlfn.XLOOKUP($A182,CSV!$A:$A,CSV!Q:Q,""),
_xlpm.MacVal,_xlfn.XLOOKUP($A182,Output_Mac!$A:$A,Output_Mac!M:M,""),
_xlpm.MyAuditVal,_xlfn.XLOOKUP($A182,My_Audit!$A:$A,My_Audit!L:L,""),
_xlfn.IFS(_xlpm.MyAuditVal&lt;&gt;"",UPPER(_xlpm.MyAuditVal),_xlpm.MacVal&lt;&gt;"",_xlpm.MacVal,_xlpm.CSVVal&lt;&gt;"",_xlpm.CSVVal
)),"")</f>
        <v/>
      </c>
      <c r="N182" s="40"/>
      <c r="O182" s="40" t="str">
        <f>_xlfn.LET(
    _xlpm.CSVVal, _xlfn.XLOOKUP($A182, CSV!$A:$A, CSV!AA:AA, ""),
    _xlpm.MacVal, _xlfn.XLOOKUP($A182, Output_Mac!$A:$A, Output_Mac!S:S, ""),
    _xlpm.MyAuditVal, _xlfn.XLOOKUP($A182, My_Audit!$A:$A, My_Audit!P:P, ""),
    _xlfn.TEXTJOIN(", ", TRUE, _xlpm.MyAuditVal, _xlpm.MacVal, _xlpm.CSVVal)
)</f>
        <v/>
      </c>
      <c r="P182" s="40" t="str" cm="1">
        <f t="array" ref="P182">IFERROR(_xlfn.LET(
_xlpm.CSVVal,_xlfn.XLOOKUP($A182,CSV!$A:$A,CSV!AB:AB,""),
_xlpm.MacVal,_xlfn.XLOOKUP($A182,Output_Mac!$A:$A,Output_Mac!T:T,""),
_xlpm.MyAuditVal,_xlfn.XLOOKUP($A182,My_Audit!$A:$A,My_Audit!Q:Q,""),
_xlfn.IFS(_xlpm.MyAuditVal&lt;&gt;"",UPPER(_xlpm.MyAuditVal),_xlpm.MacVal&lt;&gt;"",_xlpm.MacVal,_xlpm.CSVVal&lt;&gt;"",_xlpm.CSVVal
)),"No")</f>
        <v>No</v>
      </c>
      <c r="Q182" s="40" t="str" cm="1">
        <f t="array" ref="Q182">IFERROR(_xlfn.LET(
_xlpm.CSVVal,_xlfn.XLOOKUP($A182,CSV!$A:$A,CSV!AC:AC,""),
_xlpm.MacVal,_xlfn.XLOOKUP($A182,Output_Mac!$A:$A,Output_Mac!U:U,""),
_xlpm.MyAuditVal,_xlfn.XLOOKUP($A182,My_Audit!$A:$A,My_Audit!R:R,""),
_xlfn.IFS(_xlpm.MyAuditVal&lt;&gt;"",UPPER(_xlpm.MyAuditVal),_xlpm.MacVal&lt;&gt;"",_xlpm.MacVal,_xlpm.CSVVal&lt;&gt;"",_xlpm.CSVVal
)),"")</f>
        <v/>
      </c>
      <c r="R182" s="40"/>
      <c r="S182" s="40"/>
      <c r="T182" s="40"/>
      <c r="U182" s="40"/>
      <c r="V182" s="40"/>
      <c r="W182" s="40"/>
      <c r="X182" s="41" t="str">
        <f>_xlfn.LET(
    _xlpm.MacVal, _xlfn.XLOOKUP($A182, Output_Mac!$A:$A, Output_Mac!AB:AB, ""),
    _xlpm.MyAuditVal, _xlfn.XLOOKUP($A182, My_Audit!$A:$A, My_Audit!N:N, ""),
    _xlfn.TEXTJOIN(", ", TRUE, _xlpm.MyAuditVal, _xlpm.MacVal)
)</f>
        <v/>
      </c>
    </row>
    <row r="183" spans="1:24">
      <c r="A183" s="40" t="str">
        <f>_xlfn.TEXTJOIN("",TRUE,Input!$B$2,ROW(My_Audit!A182))</f>
        <v>X182</v>
      </c>
      <c r="B183" s="40" t="str">
        <f>_xlfn.TEXTJOIN("-",TRUE,"ITD",Input!$A$2,A183)</f>
        <v>ITD-X182</v>
      </c>
      <c r="C183" s="40" t="str" cm="1">
        <f t="array" ref="C183">IFERROR(_xlfn.LET(
_xlpm.CSVVal,_xlfn.XLOOKUP($A183,CSV!$A:$A,CSV!B:B,""),
_xlpm.MacVal,_xlfn.XLOOKUP($A183,Output_Mac!$A:$A,Output_Mac!B:B,""),
_xlpm.MyAuditVal,_xlfn.XLOOKUP($A183,My_Audit!$A:$A,My_Audit!B:B,""),
_xlfn.IFS(_xlpm.MyAuditVal&lt;&gt;"",UPPER(_xlpm.MyAuditVal),_xlpm.MacVal&lt;&gt;"",_xlpm.MacVal,_xlpm.CSVVal&lt;&gt;"",_xlpm.CSVVal
)),"")</f>
        <v/>
      </c>
      <c r="D183" s="40" t="str" cm="1">
        <f t="array" ref="D183">IFERROR(_xlfn.LET(
_xlpm.CSVVal,_xlfn.XLOOKUP($A183,CSV!$A:$A,CSV!D:D,""),
_xlpm.MacVal,_xlfn.XLOOKUP($A183,Output_Mac!$A:$A,Output_Mac!C:C,""),
_xlpm.MyAuditVal,_xlfn.XLOOKUP($A183,My_Audit!$A:$A,My_Audit!C:C,""),
_xlfn.IFS(_xlpm.MyAuditVal&lt;&gt;"",_xlpm.MyAuditVal,_xlpm.MacVal&lt;&gt;"",_xlpm.MacVal,_xlpm.CSVVal&lt;&gt;"",_xlpm.CSVVal
)),"")</f>
        <v/>
      </c>
      <c r="E183" s="40">
        <f>_xlfn.XLOOKUP(A183,My_Audit!A:A,My_Audit!D:D,"")</f>
        <v>0</v>
      </c>
      <c r="F183" s="40" t="str" cm="1">
        <f t="array" ref="F183">IFERROR(_xlfn.LET(
_xlpm.CSVVal,_xlfn.XLOOKUP($A183,CSV!$A:$A,CSV!F:F,""),
_xlpm.MacVal,_xlfn.XLOOKUP($A183,Output_Mac!$A:$A,Output_Mac!E:E,""),
_xlpm.MyAuditVal,_xlfn.XLOOKUP($A183,My_Audit!$A:$A,My_Audit!E:E,""),
_xlfn.IFS(_xlpm.MyAuditVal&lt;&gt;"",_xlpm.MyAuditVal,_xlpm.MacVal&lt;&gt;"",_xlpm.MacVal,_xlpm.CSVVal&lt;&gt;"",_xlpm.CSVVal
)),"")</f>
        <v/>
      </c>
      <c r="G183" s="40" t="str" cm="1">
        <f t="array" ref="G183">IFERROR(_xlfn.LET(
_xlpm.CSVVal,_xlfn.XLOOKUP($A183,CSV!$A:$A,CSV!G:G,""),
_xlpm.MacVal,_xlfn.XLOOKUP($A183,Output_Mac!$A:$A,Output_Mac!F:F,""),
_xlpm.MyAuditVal,_xlfn.XLOOKUP($A183,My_Audit!$A:$A,My_Audit!F:F,""),
_xlfn.IFS(_xlpm.MyAuditVal&lt;&gt;"",_xlpm.MyAuditVal,_xlpm.MacVal&lt;&gt;"",_xlpm.MacVal,_xlpm.CSVVal&lt;&gt;"",PROPER(_xlpm.CSVVal)
)),"")</f>
        <v/>
      </c>
      <c r="H183" s="40" t="str" cm="1">
        <f t="array" ref="H183">IFERROR(_xlfn.LET(
_xlpm.CSVVal,_xlfn.XLOOKUP($A183,CSV!$A:$A,CSV!H:H,""),
_xlpm.MacVal,_xlfn.XLOOKUP($A183,Output_Mac!$A:$A,Output_Mac!H:H,""),
_xlpm.MyAuditVal,_xlfn.XLOOKUP($A183,My_Audit!$A:$A,My_Audit!G:G,""),
_xlfn.IFS(_xlpm.MyAuditVal&lt;&gt;"",_xlpm.MyAuditVal,_xlpm.MacVal&lt;&gt;"",_xlpm.MacVal,_xlpm.CSVVal&lt;&gt;"",_xlpm.CSVVal
)),"")</f>
        <v/>
      </c>
      <c r="I183" s="40" t="str">
        <f>_xlfn.XLOOKUP(A183,Output_Mac!A:A,Output_Mac!I:I,"")</f>
        <v/>
      </c>
      <c r="J183" s="40" t="str" cm="1">
        <f t="array" ref="J183">IFERROR(_xlfn.LET(
_xlpm.CSVVal,_xlfn.XLOOKUP($A183,CSV!$A:$A,CSV!I:I,""),
_xlpm.MacVal,_xlfn.XLOOKUP($A183,Output_Mac!$A:$A,Output_Mac!J:J,""),
_xlpm.MyAuditVal,_xlfn.XLOOKUP($A183,My_Audit!$A:$A,My_Audit!I:I,""),
_xlfn.IFS(_xlpm.MyAuditVal&lt;&gt;"",UPPER(_xlpm.MyAuditVal),_xlpm.MacVal&lt;&gt;"",_xlpm.MacVal,_xlpm.CSVVal&lt;&gt;"",_xlpm.CSVVal
)),"")</f>
        <v/>
      </c>
      <c r="K183" s="40" t="str" cm="1">
        <f t="array" ref="K183">IFERROR(_xlfn.LET(
_xlpm.CSVVal,_xlfn.XLOOKUP($A183,CSV!$A:$A,CSV!K:K,""),
_xlpm.MacVal,_xlfn.XLOOKUP($A183,Output_Mac!$A:$A,Output_Mac!K:K,""),
_xlpm.MyAuditVal,_xlfn.XLOOKUP($A183,My_Audit!$A:$A,My_Audit!J:J,""),
_xlfn.IFS(_xlpm.MyAuditVal&lt;&gt;"",UPPER(_xlpm.MyAuditVal),_xlpm.MacVal&lt;&gt;"",_xlpm.MacVal,_xlpm.CSVVal&lt;&gt;"",_xlpm.CSVVal
)),"")</f>
        <v/>
      </c>
      <c r="L183" s="40" t="str" cm="1">
        <f t="array" ref="L183">IFERROR(_xlfn.LET(
_xlpm.CSVVal,_xlfn.XLOOKUP($A183,CSV!$A:$A,CSV!P:P,""),
_xlpm.MacVal,_xlfn.XLOOKUP($A183,Output_Mac!$A:$A,Output_Mac!L:L,""),
_xlpm.MyAuditVal,_xlfn.XLOOKUP($A183,My_Audit!$A:$A,My_Audit!K:K,""),
_xlfn.IFS(_xlpm.MyAuditVal&lt;&gt;"",UPPER(_xlpm.MyAuditVal),_xlpm.MacVal&lt;&gt;"",_xlpm.MacVal,_xlpm.CSVVal&lt;&gt;"",_xlpm.CSVVal
)),"")</f>
        <v/>
      </c>
      <c r="M183" s="40" t="str" cm="1">
        <f t="array" ref="M183">IFERROR(_xlfn.LET(
_xlpm.CSVVal,_xlfn.XLOOKUP($A183,CSV!$A:$A,CSV!Q:Q,""),
_xlpm.MacVal,_xlfn.XLOOKUP($A183,Output_Mac!$A:$A,Output_Mac!M:M,""),
_xlpm.MyAuditVal,_xlfn.XLOOKUP($A183,My_Audit!$A:$A,My_Audit!L:L,""),
_xlfn.IFS(_xlpm.MyAuditVal&lt;&gt;"",UPPER(_xlpm.MyAuditVal),_xlpm.MacVal&lt;&gt;"",_xlpm.MacVal,_xlpm.CSVVal&lt;&gt;"",_xlpm.CSVVal
)),"")</f>
        <v/>
      </c>
      <c r="N183" s="40"/>
      <c r="O183" s="40" t="str">
        <f>_xlfn.LET(
    _xlpm.CSVVal, _xlfn.XLOOKUP($A183, CSV!$A:$A, CSV!AA:AA, ""),
    _xlpm.MacVal, _xlfn.XLOOKUP($A183, Output_Mac!$A:$A, Output_Mac!S:S, ""),
    _xlpm.MyAuditVal, _xlfn.XLOOKUP($A183, My_Audit!$A:$A, My_Audit!P:P, ""),
    _xlfn.TEXTJOIN(", ", TRUE, _xlpm.MyAuditVal, _xlpm.MacVal, _xlpm.CSVVal)
)</f>
        <v/>
      </c>
      <c r="P183" s="40" t="str" cm="1">
        <f t="array" ref="P183">IFERROR(_xlfn.LET(
_xlpm.CSVVal,_xlfn.XLOOKUP($A183,CSV!$A:$A,CSV!AB:AB,""),
_xlpm.MacVal,_xlfn.XLOOKUP($A183,Output_Mac!$A:$A,Output_Mac!T:T,""),
_xlpm.MyAuditVal,_xlfn.XLOOKUP($A183,My_Audit!$A:$A,My_Audit!Q:Q,""),
_xlfn.IFS(_xlpm.MyAuditVal&lt;&gt;"",UPPER(_xlpm.MyAuditVal),_xlpm.MacVal&lt;&gt;"",_xlpm.MacVal,_xlpm.CSVVal&lt;&gt;"",_xlpm.CSVVal
)),"No")</f>
        <v>No</v>
      </c>
      <c r="Q183" s="40" t="str" cm="1">
        <f t="array" ref="Q183">IFERROR(_xlfn.LET(
_xlpm.CSVVal,_xlfn.XLOOKUP($A183,CSV!$A:$A,CSV!AC:AC,""),
_xlpm.MacVal,_xlfn.XLOOKUP($A183,Output_Mac!$A:$A,Output_Mac!U:U,""),
_xlpm.MyAuditVal,_xlfn.XLOOKUP($A183,My_Audit!$A:$A,My_Audit!R:R,""),
_xlfn.IFS(_xlpm.MyAuditVal&lt;&gt;"",UPPER(_xlpm.MyAuditVal),_xlpm.MacVal&lt;&gt;"",_xlpm.MacVal,_xlpm.CSVVal&lt;&gt;"",_xlpm.CSVVal
)),"")</f>
        <v/>
      </c>
      <c r="R183" s="40"/>
      <c r="S183" s="40"/>
      <c r="T183" s="40"/>
      <c r="U183" s="40"/>
      <c r="V183" s="40"/>
      <c r="W183" s="40"/>
      <c r="X183" s="41" t="str">
        <f>_xlfn.LET(
    _xlpm.MacVal, _xlfn.XLOOKUP($A183, Output_Mac!$A:$A, Output_Mac!AB:AB, ""),
    _xlpm.MyAuditVal, _xlfn.XLOOKUP($A183, My_Audit!$A:$A, My_Audit!N:N, ""),
    _xlfn.TEXTJOIN(", ", TRUE, _xlpm.MyAuditVal, _xlpm.MacVal)
)</f>
        <v/>
      </c>
    </row>
    <row r="184" spans="1:24">
      <c r="A184" s="40" t="str">
        <f>_xlfn.TEXTJOIN("",TRUE,Input!$B$2,ROW(My_Audit!A183))</f>
        <v>X183</v>
      </c>
      <c r="B184" s="40" t="str">
        <f>_xlfn.TEXTJOIN("-",TRUE,"ITD",Input!$A$2,A184)</f>
        <v>ITD-X183</v>
      </c>
      <c r="C184" s="40" t="str" cm="1">
        <f t="array" ref="C184">IFERROR(_xlfn.LET(
_xlpm.CSVVal,_xlfn.XLOOKUP($A184,CSV!$A:$A,CSV!B:B,""),
_xlpm.MacVal,_xlfn.XLOOKUP($A184,Output_Mac!$A:$A,Output_Mac!B:B,""),
_xlpm.MyAuditVal,_xlfn.XLOOKUP($A184,My_Audit!$A:$A,My_Audit!B:B,""),
_xlfn.IFS(_xlpm.MyAuditVal&lt;&gt;"",UPPER(_xlpm.MyAuditVal),_xlpm.MacVal&lt;&gt;"",_xlpm.MacVal,_xlpm.CSVVal&lt;&gt;"",_xlpm.CSVVal
)),"")</f>
        <v/>
      </c>
      <c r="D184" s="40" t="str" cm="1">
        <f t="array" ref="D184">IFERROR(_xlfn.LET(
_xlpm.CSVVal,_xlfn.XLOOKUP($A184,CSV!$A:$A,CSV!D:D,""),
_xlpm.MacVal,_xlfn.XLOOKUP($A184,Output_Mac!$A:$A,Output_Mac!C:C,""),
_xlpm.MyAuditVal,_xlfn.XLOOKUP($A184,My_Audit!$A:$A,My_Audit!C:C,""),
_xlfn.IFS(_xlpm.MyAuditVal&lt;&gt;"",_xlpm.MyAuditVal,_xlpm.MacVal&lt;&gt;"",_xlpm.MacVal,_xlpm.CSVVal&lt;&gt;"",_xlpm.CSVVal
)),"")</f>
        <v/>
      </c>
      <c r="E184" s="40">
        <f>_xlfn.XLOOKUP(A184,My_Audit!A:A,My_Audit!D:D,"")</f>
        <v>0</v>
      </c>
      <c r="F184" s="40" t="str" cm="1">
        <f t="array" ref="F184">IFERROR(_xlfn.LET(
_xlpm.CSVVal,_xlfn.XLOOKUP($A184,CSV!$A:$A,CSV!F:F,""),
_xlpm.MacVal,_xlfn.XLOOKUP($A184,Output_Mac!$A:$A,Output_Mac!E:E,""),
_xlpm.MyAuditVal,_xlfn.XLOOKUP($A184,My_Audit!$A:$A,My_Audit!E:E,""),
_xlfn.IFS(_xlpm.MyAuditVal&lt;&gt;"",_xlpm.MyAuditVal,_xlpm.MacVal&lt;&gt;"",_xlpm.MacVal,_xlpm.CSVVal&lt;&gt;"",_xlpm.CSVVal
)),"")</f>
        <v/>
      </c>
      <c r="G184" s="40" t="str" cm="1">
        <f t="array" ref="G184">IFERROR(_xlfn.LET(
_xlpm.CSVVal,_xlfn.XLOOKUP($A184,CSV!$A:$A,CSV!G:G,""),
_xlpm.MacVal,_xlfn.XLOOKUP($A184,Output_Mac!$A:$A,Output_Mac!F:F,""),
_xlpm.MyAuditVal,_xlfn.XLOOKUP($A184,My_Audit!$A:$A,My_Audit!F:F,""),
_xlfn.IFS(_xlpm.MyAuditVal&lt;&gt;"",_xlpm.MyAuditVal,_xlpm.MacVal&lt;&gt;"",_xlpm.MacVal,_xlpm.CSVVal&lt;&gt;"",PROPER(_xlpm.CSVVal)
)),"")</f>
        <v/>
      </c>
      <c r="H184" s="40" t="str" cm="1">
        <f t="array" ref="H184">IFERROR(_xlfn.LET(
_xlpm.CSVVal,_xlfn.XLOOKUP($A184,CSV!$A:$A,CSV!H:H,""),
_xlpm.MacVal,_xlfn.XLOOKUP($A184,Output_Mac!$A:$A,Output_Mac!H:H,""),
_xlpm.MyAuditVal,_xlfn.XLOOKUP($A184,My_Audit!$A:$A,My_Audit!G:G,""),
_xlfn.IFS(_xlpm.MyAuditVal&lt;&gt;"",_xlpm.MyAuditVal,_xlpm.MacVal&lt;&gt;"",_xlpm.MacVal,_xlpm.CSVVal&lt;&gt;"",_xlpm.CSVVal
)),"")</f>
        <v/>
      </c>
      <c r="I184" s="40" t="str">
        <f>_xlfn.XLOOKUP(A184,Output_Mac!A:A,Output_Mac!I:I,"")</f>
        <v/>
      </c>
      <c r="J184" s="40" t="str" cm="1">
        <f t="array" ref="J184">IFERROR(_xlfn.LET(
_xlpm.CSVVal,_xlfn.XLOOKUP($A184,CSV!$A:$A,CSV!I:I,""),
_xlpm.MacVal,_xlfn.XLOOKUP($A184,Output_Mac!$A:$A,Output_Mac!J:J,""),
_xlpm.MyAuditVal,_xlfn.XLOOKUP($A184,My_Audit!$A:$A,My_Audit!I:I,""),
_xlfn.IFS(_xlpm.MyAuditVal&lt;&gt;"",UPPER(_xlpm.MyAuditVal),_xlpm.MacVal&lt;&gt;"",_xlpm.MacVal,_xlpm.CSVVal&lt;&gt;"",_xlpm.CSVVal
)),"")</f>
        <v/>
      </c>
      <c r="K184" s="40" t="str" cm="1">
        <f t="array" ref="K184">IFERROR(_xlfn.LET(
_xlpm.CSVVal,_xlfn.XLOOKUP($A184,CSV!$A:$A,CSV!K:K,""),
_xlpm.MacVal,_xlfn.XLOOKUP($A184,Output_Mac!$A:$A,Output_Mac!K:K,""),
_xlpm.MyAuditVal,_xlfn.XLOOKUP($A184,My_Audit!$A:$A,My_Audit!J:J,""),
_xlfn.IFS(_xlpm.MyAuditVal&lt;&gt;"",UPPER(_xlpm.MyAuditVal),_xlpm.MacVal&lt;&gt;"",_xlpm.MacVal,_xlpm.CSVVal&lt;&gt;"",_xlpm.CSVVal
)),"")</f>
        <v/>
      </c>
      <c r="L184" s="40" t="str" cm="1">
        <f t="array" ref="L184">IFERROR(_xlfn.LET(
_xlpm.CSVVal,_xlfn.XLOOKUP($A184,CSV!$A:$A,CSV!P:P,""),
_xlpm.MacVal,_xlfn.XLOOKUP($A184,Output_Mac!$A:$A,Output_Mac!L:L,""),
_xlpm.MyAuditVal,_xlfn.XLOOKUP($A184,My_Audit!$A:$A,My_Audit!K:K,""),
_xlfn.IFS(_xlpm.MyAuditVal&lt;&gt;"",UPPER(_xlpm.MyAuditVal),_xlpm.MacVal&lt;&gt;"",_xlpm.MacVal,_xlpm.CSVVal&lt;&gt;"",_xlpm.CSVVal
)),"")</f>
        <v/>
      </c>
      <c r="M184" s="40" t="str" cm="1">
        <f t="array" ref="M184">IFERROR(_xlfn.LET(
_xlpm.CSVVal,_xlfn.XLOOKUP($A184,CSV!$A:$A,CSV!Q:Q,""),
_xlpm.MacVal,_xlfn.XLOOKUP($A184,Output_Mac!$A:$A,Output_Mac!M:M,""),
_xlpm.MyAuditVal,_xlfn.XLOOKUP($A184,My_Audit!$A:$A,My_Audit!L:L,""),
_xlfn.IFS(_xlpm.MyAuditVal&lt;&gt;"",UPPER(_xlpm.MyAuditVal),_xlpm.MacVal&lt;&gt;"",_xlpm.MacVal,_xlpm.CSVVal&lt;&gt;"",_xlpm.CSVVal
)),"")</f>
        <v/>
      </c>
      <c r="N184" s="40"/>
      <c r="O184" s="40" t="str">
        <f>_xlfn.LET(
    _xlpm.CSVVal, _xlfn.XLOOKUP($A184, CSV!$A:$A, CSV!AA:AA, ""),
    _xlpm.MacVal, _xlfn.XLOOKUP($A184, Output_Mac!$A:$A, Output_Mac!S:S, ""),
    _xlpm.MyAuditVal, _xlfn.XLOOKUP($A184, My_Audit!$A:$A, My_Audit!P:P, ""),
    _xlfn.TEXTJOIN(", ", TRUE, _xlpm.MyAuditVal, _xlpm.MacVal, _xlpm.CSVVal)
)</f>
        <v/>
      </c>
      <c r="P184" s="40" t="str" cm="1">
        <f t="array" ref="P184">IFERROR(_xlfn.LET(
_xlpm.CSVVal,_xlfn.XLOOKUP($A184,CSV!$A:$A,CSV!AB:AB,""),
_xlpm.MacVal,_xlfn.XLOOKUP($A184,Output_Mac!$A:$A,Output_Mac!T:T,""),
_xlpm.MyAuditVal,_xlfn.XLOOKUP($A184,My_Audit!$A:$A,My_Audit!Q:Q,""),
_xlfn.IFS(_xlpm.MyAuditVal&lt;&gt;"",UPPER(_xlpm.MyAuditVal),_xlpm.MacVal&lt;&gt;"",_xlpm.MacVal,_xlpm.CSVVal&lt;&gt;"",_xlpm.CSVVal
)),"No")</f>
        <v>No</v>
      </c>
      <c r="Q184" s="40" t="str" cm="1">
        <f t="array" ref="Q184">IFERROR(_xlfn.LET(
_xlpm.CSVVal,_xlfn.XLOOKUP($A184,CSV!$A:$A,CSV!AC:AC,""),
_xlpm.MacVal,_xlfn.XLOOKUP($A184,Output_Mac!$A:$A,Output_Mac!U:U,""),
_xlpm.MyAuditVal,_xlfn.XLOOKUP($A184,My_Audit!$A:$A,My_Audit!R:R,""),
_xlfn.IFS(_xlpm.MyAuditVal&lt;&gt;"",UPPER(_xlpm.MyAuditVal),_xlpm.MacVal&lt;&gt;"",_xlpm.MacVal,_xlpm.CSVVal&lt;&gt;"",_xlpm.CSVVal
)),"")</f>
        <v/>
      </c>
      <c r="R184" s="40"/>
      <c r="S184" s="40"/>
      <c r="T184" s="40"/>
      <c r="U184" s="40"/>
      <c r="V184" s="40"/>
      <c r="W184" s="40"/>
      <c r="X184" s="41" t="str">
        <f>_xlfn.LET(
    _xlpm.MacVal, _xlfn.XLOOKUP($A184, Output_Mac!$A:$A, Output_Mac!AB:AB, ""),
    _xlpm.MyAuditVal, _xlfn.XLOOKUP($A184, My_Audit!$A:$A, My_Audit!N:N, ""),
    _xlfn.TEXTJOIN(", ", TRUE, _xlpm.MyAuditVal, _xlpm.MacVal)
)</f>
        <v/>
      </c>
    </row>
    <row r="185" spans="1:24">
      <c r="A185" s="40" t="str">
        <f>_xlfn.TEXTJOIN("",TRUE,Input!$B$2,ROW(My_Audit!A184))</f>
        <v>X184</v>
      </c>
      <c r="B185" s="40" t="str">
        <f>_xlfn.TEXTJOIN("-",TRUE,"ITD",Input!$A$2,A185)</f>
        <v>ITD-X184</v>
      </c>
      <c r="C185" s="40" t="str" cm="1">
        <f t="array" ref="C185">IFERROR(_xlfn.LET(
_xlpm.CSVVal,_xlfn.XLOOKUP($A185,CSV!$A:$A,CSV!B:B,""),
_xlpm.MacVal,_xlfn.XLOOKUP($A185,Output_Mac!$A:$A,Output_Mac!B:B,""),
_xlpm.MyAuditVal,_xlfn.XLOOKUP($A185,My_Audit!$A:$A,My_Audit!B:B,""),
_xlfn.IFS(_xlpm.MyAuditVal&lt;&gt;"",UPPER(_xlpm.MyAuditVal),_xlpm.MacVal&lt;&gt;"",_xlpm.MacVal,_xlpm.CSVVal&lt;&gt;"",_xlpm.CSVVal
)),"")</f>
        <v/>
      </c>
      <c r="D185" s="40" t="str" cm="1">
        <f t="array" ref="D185">IFERROR(_xlfn.LET(
_xlpm.CSVVal,_xlfn.XLOOKUP($A185,CSV!$A:$A,CSV!D:D,""),
_xlpm.MacVal,_xlfn.XLOOKUP($A185,Output_Mac!$A:$A,Output_Mac!C:C,""),
_xlpm.MyAuditVal,_xlfn.XLOOKUP($A185,My_Audit!$A:$A,My_Audit!C:C,""),
_xlfn.IFS(_xlpm.MyAuditVal&lt;&gt;"",_xlpm.MyAuditVal,_xlpm.MacVal&lt;&gt;"",_xlpm.MacVal,_xlpm.CSVVal&lt;&gt;"",_xlpm.CSVVal
)),"")</f>
        <v/>
      </c>
      <c r="E185" s="40">
        <f>_xlfn.XLOOKUP(A185,My_Audit!A:A,My_Audit!D:D,"")</f>
        <v>0</v>
      </c>
      <c r="F185" s="40" t="str" cm="1">
        <f t="array" ref="F185">IFERROR(_xlfn.LET(
_xlpm.CSVVal,_xlfn.XLOOKUP($A185,CSV!$A:$A,CSV!F:F,""),
_xlpm.MacVal,_xlfn.XLOOKUP($A185,Output_Mac!$A:$A,Output_Mac!E:E,""),
_xlpm.MyAuditVal,_xlfn.XLOOKUP($A185,My_Audit!$A:$A,My_Audit!E:E,""),
_xlfn.IFS(_xlpm.MyAuditVal&lt;&gt;"",_xlpm.MyAuditVal,_xlpm.MacVal&lt;&gt;"",_xlpm.MacVal,_xlpm.CSVVal&lt;&gt;"",_xlpm.CSVVal
)),"")</f>
        <v/>
      </c>
      <c r="G185" s="40" t="str" cm="1">
        <f t="array" ref="G185">IFERROR(_xlfn.LET(
_xlpm.CSVVal,_xlfn.XLOOKUP($A185,CSV!$A:$A,CSV!G:G,""),
_xlpm.MacVal,_xlfn.XLOOKUP($A185,Output_Mac!$A:$A,Output_Mac!F:F,""),
_xlpm.MyAuditVal,_xlfn.XLOOKUP($A185,My_Audit!$A:$A,My_Audit!F:F,""),
_xlfn.IFS(_xlpm.MyAuditVal&lt;&gt;"",_xlpm.MyAuditVal,_xlpm.MacVal&lt;&gt;"",_xlpm.MacVal,_xlpm.CSVVal&lt;&gt;"",PROPER(_xlpm.CSVVal)
)),"")</f>
        <v/>
      </c>
      <c r="H185" s="40" t="str" cm="1">
        <f t="array" ref="H185">IFERROR(_xlfn.LET(
_xlpm.CSVVal,_xlfn.XLOOKUP($A185,CSV!$A:$A,CSV!H:H,""),
_xlpm.MacVal,_xlfn.XLOOKUP($A185,Output_Mac!$A:$A,Output_Mac!H:H,""),
_xlpm.MyAuditVal,_xlfn.XLOOKUP($A185,My_Audit!$A:$A,My_Audit!G:G,""),
_xlfn.IFS(_xlpm.MyAuditVal&lt;&gt;"",_xlpm.MyAuditVal,_xlpm.MacVal&lt;&gt;"",_xlpm.MacVal,_xlpm.CSVVal&lt;&gt;"",_xlpm.CSVVal
)),"")</f>
        <v/>
      </c>
      <c r="I185" s="40" t="str">
        <f>_xlfn.XLOOKUP(A185,Output_Mac!A:A,Output_Mac!I:I,"")</f>
        <v/>
      </c>
      <c r="J185" s="40" t="str" cm="1">
        <f t="array" ref="J185">IFERROR(_xlfn.LET(
_xlpm.CSVVal,_xlfn.XLOOKUP($A185,CSV!$A:$A,CSV!I:I,""),
_xlpm.MacVal,_xlfn.XLOOKUP($A185,Output_Mac!$A:$A,Output_Mac!J:J,""),
_xlpm.MyAuditVal,_xlfn.XLOOKUP($A185,My_Audit!$A:$A,My_Audit!I:I,""),
_xlfn.IFS(_xlpm.MyAuditVal&lt;&gt;"",UPPER(_xlpm.MyAuditVal),_xlpm.MacVal&lt;&gt;"",_xlpm.MacVal,_xlpm.CSVVal&lt;&gt;"",_xlpm.CSVVal
)),"")</f>
        <v/>
      </c>
      <c r="K185" s="40" t="str" cm="1">
        <f t="array" ref="K185">IFERROR(_xlfn.LET(
_xlpm.CSVVal,_xlfn.XLOOKUP($A185,CSV!$A:$A,CSV!K:K,""),
_xlpm.MacVal,_xlfn.XLOOKUP($A185,Output_Mac!$A:$A,Output_Mac!K:K,""),
_xlpm.MyAuditVal,_xlfn.XLOOKUP($A185,My_Audit!$A:$A,My_Audit!J:J,""),
_xlfn.IFS(_xlpm.MyAuditVal&lt;&gt;"",UPPER(_xlpm.MyAuditVal),_xlpm.MacVal&lt;&gt;"",_xlpm.MacVal,_xlpm.CSVVal&lt;&gt;"",_xlpm.CSVVal
)),"")</f>
        <v/>
      </c>
      <c r="L185" s="40" t="str" cm="1">
        <f t="array" ref="L185">IFERROR(_xlfn.LET(
_xlpm.CSVVal,_xlfn.XLOOKUP($A185,CSV!$A:$A,CSV!P:P,""),
_xlpm.MacVal,_xlfn.XLOOKUP($A185,Output_Mac!$A:$A,Output_Mac!L:L,""),
_xlpm.MyAuditVal,_xlfn.XLOOKUP($A185,My_Audit!$A:$A,My_Audit!K:K,""),
_xlfn.IFS(_xlpm.MyAuditVal&lt;&gt;"",UPPER(_xlpm.MyAuditVal),_xlpm.MacVal&lt;&gt;"",_xlpm.MacVal,_xlpm.CSVVal&lt;&gt;"",_xlpm.CSVVal
)),"")</f>
        <v/>
      </c>
      <c r="M185" s="40" t="str" cm="1">
        <f t="array" ref="M185">IFERROR(_xlfn.LET(
_xlpm.CSVVal,_xlfn.XLOOKUP($A185,CSV!$A:$A,CSV!Q:Q,""),
_xlpm.MacVal,_xlfn.XLOOKUP($A185,Output_Mac!$A:$A,Output_Mac!M:M,""),
_xlpm.MyAuditVal,_xlfn.XLOOKUP($A185,My_Audit!$A:$A,My_Audit!L:L,""),
_xlfn.IFS(_xlpm.MyAuditVal&lt;&gt;"",UPPER(_xlpm.MyAuditVal),_xlpm.MacVal&lt;&gt;"",_xlpm.MacVal,_xlpm.CSVVal&lt;&gt;"",_xlpm.CSVVal
)),"")</f>
        <v/>
      </c>
      <c r="N185" s="40"/>
      <c r="O185" s="40" t="str">
        <f>_xlfn.LET(
    _xlpm.CSVVal, _xlfn.XLOOKUP($A185, CSV!$A:$A, CSV!AA:AA, ""),
    _xlpm.MacVal, _xlfn.XLOOKUP($A185, Output_Mac!$A:$A, Output_Mac!S:S, ""),
    _xlpm.MyAuditVal, _xlfn.XLOOKUP($A185, My_Audit!$A:$A, My_Audit!P:P, ""),
    _xlfn.TEXTJOIN(", ", TRUE, _xlpm.MyAuditVal, _xlpm.MacVal, _xlpm.CSVVal)
)</f>
        <v/>
      </c>
      <c r="P185" s="40" t="str" cm="1">
        <f t="array" ref="P185">IFERROR(_xlfn.LET(
_xlpm.CSVVal,_xlfn.XLOOKUP($A185,CSV!$A:$A,CSV!AB:AB,""),
_xlpm.MacVal,_xlfn.XLOOKUP($A185,Output_Mac!$A:$A,Output_Mac!T:T,""),
_xlpm.MyAuditVal,_xlfn.XLOOKUP($A185,My_Audit!$A:$A,My_Audit!Q:Q,""),
_xlfn.IFS(_xlpm.MyAuditVal&lt;&gt;"",UPPER(_xlpm.MyAuditVal),_xlpm.MacVal&lt;&gt;"",_xlpm.MacVal,_xlpm.CSVVal&lt;&gt;"",_xlpm.CSVVal
)),"No")</f>
        <v>No</v>
      </c>
      <c r="Q185" s="40" t="str" cm="1">
        <f t="array" ref="Q185">IFERROR(_xlfn.LET(
_xlpm.CSVVal,_xlfn.XLOOKUP($A185,CSV!$A:$A,CSV!AC:AC,""),
_xlpm.MacVal,_xlfn.XLOOKUP($A185,Output_Mac!$A:$A,Output_Mac!U:U,""),
_xlpm.MyAuditVal,_xlfn.XLOOKUP($A185,My_Audit!$A:$A,My_Audit!R:R,""),
_xlfn.IFS(_xlpm.MyAuditVal&lt;&gt;"",UPPER(_xlpm.MyAuditVal),_xlpm.MacVal&lt;&gt;"",_xlpm.MacVal,_xlpm.CSVVal&lt;&gt;"",_xlpm.CSVVal
)),"")</f>
        <v/>
      </c>
      <c r="R185" s="40"/>
      <c r="S185" s="40"/>
      <c r="T185" s="40"/>
      <c r="U185" s="40"/>
      <c r="V185" s="40"/>
      <c r="W185" s="40"/>
      <c r="X185" s="41" t="str">
        <f>_xlfn.LET(
    _xlpm.MacVal, _xlfn.XLOOKUP($A185, Output_Mac!$A:$A, Output_Mac!AB:AB, ""),
    _xlpm.MyAuditVal, _xlfn.XLOOKUP($A185, My_Audit!$A:$A, My_Audit!N:N, ""),
    _xlfn.TEXTJOIN(", ", TRUE, _xlpm.MyAuditVal, _xlpm.MacVal)
)</f>
        <v/>
      </c>
    </row>
    <row r="186" spans="1:24">
      <c r="A186" s="40" t="str">
        <f>_xlfn.TEXTJOIN("",TRUE,Input!$B$2,ROW(My_Audit!A185))</f>
        <v>X185</v>
      </c>
      <c r="B186" s="40" t="str">
        <f>_xlfn.TEXTJOIN("-",TRUE,"ITD",Input!$A$2,A186)</f>
        <v>ITD-X185</v>
      </c>
      <c r="C186" s="40" t="str" cm="1">
        <f t="array" ref="C186">IFERROR(_xlfn.LET(
_xlpm.CSVVal,_xlfn.XLOOKUP($A186,CSV!$A:$A,CSV!B:B,""),
_xlpm.MacVal,_xlfn.XLOOKUP($A186,Output_Mac!$A:$A,Output_Mac!B:B,""),
_xlpm.MyAuditVal,_xlfn.XLOOKUP($A186,My_Audit!$A:$A,My_Audit!B:B,""),
_xlfn.IFS(_xlpm.MyAuditVal&lt;&gt;"",UPPER(_xlpm.MyAuditVal),_xlpm.MacVal&lt;&gt;"",_xlpm.MacVal,_xlpm.CSVVal&lt;&gt;"",_xlpm.CSVVal
)),"")</f>
        <v/>
      </c>
      <c r="D186" s="40" t="str" cm="1">
        <f t="array" ref="D186">IFERROR(_xlfn.LET(
_xlpm.CSVVal,_xlfn.XLOOKUP($A186,CSV!$A:$A,CSV!D:D,""),
_xlpm.MacVal,_xlfn.XLOOKUP($A186,Output_Mac!$A:$A,Output_Mac!C:C,""),
_xlpm.MyAuditVal,_xlfn.XLOOKUP($A186,My_Audit!$A:$A,My_Audit!C:C,""),
_xlfn.IFS(_xlpm.MyAuditVal&lt;&gt;"",_xlpm.MyAuditVal,_xlpm.MacVal&lt;&gt;"",_xlpm.MacVal,_xlpm.CSVVal&lt;&gt;"",_xlpm.CSVVal
)),"")</f>
        <v/>
      </c>
      <c r="E186" s="40">
        <f>_xlfn.XLOOKUP(A186,My_Audit!A:A,My_Audit!D:D,"")</f>
        <v>0</v>
      </c>
      <c r="F186" s="40" t="str" cm="1">
        <f t="array" ref="F186">IFERROR(_xlfn.LET(
_xlpm.CSVVal,_xlfn.XLOOKUP($A186,CSV!$A:$A,CSV!F:F,""),
_xlpm.MacVal,_xlfn.XLOOKUP($A186,Output_Mac!$A:$A,Output_Mac!E:E,""),
_xlpm.MyAuditVal,_xlfn.XLOOKUP($A186,My_Audit!$A:$A,My_Audit!E:E,""),
_xlfn.IFS(_xlpm.MyAuditVal&lt;&gt;"",_xlpm.MyAuditVal,_xlpm.MacVal&lt;&gt;"",_xlpm.MacVal,_xlpm.CSVVal&lt;&gt;"",_xlpm.CSVVal
)),"")</f>
        <v/>
      </c>
      <c r="G186" s="40" t="str" cm="1">
        <f t="array" ref="G186">IFERROR(_xlfn.LET(
_xlpm.CSVVal,_xlfn.XLOOKUP($A186,CSV!$A:$A,CSV!G:G,""),
_xlpm.MacVal,_xlfn.XLOOKUP($A186,Output_Mac!$A:$A,Output_Mac!F:F,""),
_xlpm.MyAuditVal,_xlfn.XLOOKUP($A186,My_Audit!$A:$A,My_Audit!F:F,""),
_xlfn.IFS(_xlpm.MyAuditVal&lt;&gt;"",_xlpm.MyAuditVal,_xlpm.MacVal&lt;&gt;"",_xlpm.MacVal,_xlpm.CSVVal&lt;&gt;"",PROPER(_xlpm.CSVVal)
)),"")</f>
        <v/>
      </c>
      <c r="H186" s="40" t="str" cm="1">
        <f t="array" ref="H186">IFERROR(_xlfn.LET(
_xlpm.CSVVal,_xlfn.XLOOKUP($A186,CSV!$A:$A,CSV!H:H,""),
_xlpm.MacVal,_xlfn.XLOOKUP($A186,Output_Mac!$A:$A,Output_Mac!H:H,""),
_xlpm.MyAuditVal,_xlfn.XLOOKUP($A186,My_Audit!$A:$A,My_Audit!G:G,""),
_xlfn.IFS(_xlpm.MyAuditVal&lt;&gt;"",_xlpm.MyAuditVal,_xlpm.MacVal&lt;&gt;"",_xlpm.MacVal,_xlpm.CSVVal&lt;&gt;"",_xlpm.CSVVal
)),"")</f>
        <v/>
      </c>
      <c r="I186" s="40" t="str">
        <f>_xlfn.XLOOKUP(A186,Output_Mac!A:A,Output_Mac!I:I,"")</f>
        <v/>
      </c>
      <c r="J186" s="40" t="str" cm="1">
        <f t="array" ref="J186">IFERROR(_xlfn.LET(
_xlpm.CSVVal,_xlfn.XLOOKUP($A186,CSV!$A:$A,CSV!I:I,""),
_xlpm.MacVal,_xlfn.XLOOKUP($A186,Output_Mac!$A:$A,Output_Mac!J:J,""),
_xlpm.MyAuditVal,_xlfn.XLOOKUP($A186,My_Audit!$A:$A,My_Audit!I:I,""),
_xlfn.IFS(_xlpm.MyAuditVal&lt;&gt;"",UPPER(_xlpm.MyAuditVal),_xlpm.MacVal&lt;&gt;"",_xlpm.MacVal,_xlpm.CSVVal&lt;&gt;"",_xlpm.CSVVal
)),"")</f>
        <v/>
      </c>
      <c r="K186" s="40" t="str" cm="1">
        <f t="array" ref="K186">IFERROR(_xlfn.LET(
_xlpm.CSVVal,_xlfn.XLOOKUP($A186,CSV!$A:$A,CSV!K:K,""),
_xlpm.MacVal,_xlfn.XLOOKUP($A186,Output_Mac!$A:$A,Output_Mac!K:K,""),
_xlpm.MyAuditVal,_xlfn.XLOOKUP($A186,My_Audit!$A:$A,My_Audit!J:J,""),
_xlfn.IFS(_xlpm.MyAuditVal&lt;&gt;"",UPPER(_xlpm.MyAuditVal),_xlpm.MacVal&lt;&gt;"",_xlpm.MacVal,_xlpm.CSVVal&lt;&gt;"",_xlpm.CSVVal
)),"")</f>
        <v/>
      </c>
      <c r="L186" s="40" t="str" cm="1">
        <f t="array" ref="L186">IFERROR(_xlfn.LET(
_xlpm.CSVVal,_xlfn.XLOOKUP($A186,CSV!$A:$A,CSV!P:P,""),
_xlpm.MacVal,_xlfn.XLOOKUP($A186,Output_Mac!$A:$A,Output_Mac!L:L,""),
_xlpm.MyAuditVal,_xlfn.XLOOKUP($A186,My_Audit!$A:$A,My_Audit!K:K,""),
_xlfn.IFS(_xlpm.MyAuditVal&lt;&gt;"",UPPER(_xlpm.MyAuditVal),_xlpm.MacVal&lt;&gt;"",_xlpm.MacVal,_xlpm.CSVVal&lt;&gt;"",_xlpm.CSVVal
)),"")</f>
        <v/>
      </c>
      <c r="M186" s="40" t="str" cm="1">
        <f t="array" ref="M186">IFERROR(_xlfn.LET(
_xlpm.CSVVal,_xlfn.XLOOKUP($A186,CSV!$A:$A,CSV!Q:Q,""),
_xlpm.MacVal,_xlfn.XLOOKUP($A186,Output_Mac!$A:$A,Output_Mac!M:M,""),
_xlpm.MyAuditVal,_xlfn.XLOOKUP($A186,My_Audit!$A:$A,My_Audit!L:L,""),
_xlfn.IFS(_xlpm.MyAuditVal&lt;&gt;"",UPPER(_xlpm.MyAuditVal),_xlpm.MacVal&lt;&gt;"",_xlpm.MacVal,_xlpm.CSVVal&lt;&gt;"",_xlpm.CSVVal
)),"")</f>
        <v/>
      </c>
      <c r="N186" s="40"/>
      <c r="O186" s="40" t="str">
        <f>_xlfn.LET(
    _xlpm.CSVVal, _xlfn.XLOOKUP($A186, CSV!$A:$A, CSV!AA:AA, ""),
    _xlpm.MacVal, _xlfn.XLOOKUP($A186, Output_Mac!$A:$A, Output_Mac!S:S, ""),
    _xlpm.MyAuditVal, _xlfn.XLOOKUP($A186, My_Audit!$A:$A, My_Audit!P:P, ""),
    _xlfn.TEXTJOIN(", ", TRUE, _xlpm.MyAuditVal, _xlpm.MacVal, _xlpm.CSVVal)
)</f>
        <v/>
      </c>
      <c r="P186" s="40" t="str" cm="1">
        <f t="array" ref="P186">IFERROR(_xlfn.LET(
_xlpm.CSVVal,_xlfn.XLOOKUP($A186,CSV!$A:$A,CSV!AB:AB,""),
_xlpm.MacVal,_xlfn.XLOOKUP($A186,Output_Mac!$A:$A,Output_Mac!T:T,""),
_xlpm.MyAuditVal,_xlfn.XLOOKUP($A186,My_Audit!$A:$A,My_Audit!Q:Q,""),
_xlfn.IFS(_xlpm.MyAuditVal&lt;&gt;"",UPPER(_xlpm.MyAuditVal),_xlpm.MacVal&lt;&gt;"",_xlpm.MacVal,_xlpm.CSVVal&lt;&gt;"",_xlpm.CSVVal
)),"No")</f>
        <v>No</v>
      </c>
      <c r="Q186" s="40" t="str" cm="1">
        <f t="array" ref="Q186">IFERROR(_xlfn.LET(
_xlpm.CSVVal,_xlfn.XLOOKUP($A186,CSV!$A:$A,CSV!AC:AC,""),
_xlpm.MacVal,_xlfn.XLOOKUP($A186,Output_Mac!$A:$A,Output_Mac!U:U,""),
_xlpm.MyAuditVal,_xlfn.XLOOKUP($A186,My_Audit!$A:$A,My_Audit!R:R,""),
_xlfn.IFS(_xlpm.MyAuditVal&lt;&gt;"",UPPER(_xlpm.MyAuditVal),_xlpm.MacVal&lt;&gt;"",_xlpm.MacVal,_xlpm.CSVVal&lt;&gt;"",_xlpm.CSVVal
)),"")</f>
        <v/>
      </c>
      <c r="R186" s="40"/>
      <c r="S186" s="40"/>
      <c r="T186" s="40"/>
      <c r="U186" s="40"/>
      <c r="V186" s="40"/>
      <c r="W186" s="40"/>
      <c r="X186" s="41" t="str">
        <f>_xlfn.LET(
    _xlpm.MacVal, _xlfn.XLOOKUP($A186, Output_Mac!$A:$A, Output_Mac!AB:AB, ""),
    _xlpm.MyAuditVal, _xlfn.XLOOKUP($A186, My_Audit!$A:$A, My_Audit!N:N, ""),
    _xlfn.TEXTJOIN(", ", TRUE, _xlpm.MyAuditVal, _xlpm.MacVal)
)</f>
        <v/>
      </c>
    </row>
    <row r="187" spans="1:24">
      <c r="A187" s="40" t="str">
        <f>_xlfn.TEXTJOIN("",TRUE,Input!$B$2,ROW(My_Audit!A186))</f>
        <v>X186</v>
      </c>
      <c r="B187" s="40" t="str">
        <f>_xlfn.TEXTJOIN("-",TRUE,"ITD",Input!$A$2,A187)</f>
        <v>ITD-X186</v>
      </c>
      <c r="C187" s="40" t="str" cm="1">
        <f t="array" ref="C187">IFERROR(_xlfn.LET(
_xlpm.CSVVal,_xlfn.XLOOKUP($A187,CSV!$A:$A,CSV!B:B,""),
_xlpm.MacVal,_xlfn.XLOOKUP($A187,Output_Mac!$A:$A,Output_Mac!B:B,""),
_xlpm.MyAuditVal,_xlfn.XLOOKUP($A187,My_Audit!$A:$A,My_Audit!B:B,""),
_xlfn.IFS(_xlpm.MyAuditVal&lt;&gt;"",UPPER(_xlpm.MyAuditVal),_xlpm.MacVal&lt;&gt;"",_xlpm.MacVal,_xlpm.CSVVal&lt;&gt;"",_xlpm.CSVVal
)),"")</f>
        <v/>
      </c>
      <c r="D187" s="40" t="str" cm="1">
        <f t="array" ref="D187">IFERROR(_xlfn.LET(
_xlpm.CSVVal,_xlfn.XLOOKUP($A187,CSV!$A:$A,CSV!D:D,""),
_xlpm.MacVal,_xlfn.XLOOKUP($A187,Output_Mac!$A:$A,Output_Mac!C:C,""),
_xlpm.MyAuditVal,_xlfn.XLOOKUP($A187,My_Audit!$A:$A,My_Audit!C:C,""),
_xlfn.IFS(_xlpm.MyAuditVal&lt;&gt;"",_xlpm.MyAuditVal,_xlpm.MacVal&lt;&gt;"",_xlpm.MacVal,_xlpm.CSVVal&lt;&gt;"",_xlpm.CSVVal
)),"")</f>
        <v/>
      </c>
      <c r="E187" s="40">
        <f>_xlfn.XLOOKUP(A187,My_Audit!A:A,My_Audit!D:D,"")</f>
        <v>0</v>
      </c>
      <c r="F187" s="40" t="str" cm="1">
        <f t="array" ref="F187">IFERROR(_xlfn.LET(
_xlpm.CSVVal,_xlfn.XLOOKUP($A187,CSV!$A:$A,CSV!F:F,""),
_xlpm.MacVal,_xlfn.XLOOKUP($A187,Output_Mac!$A:$A,Output_Mac!E:E,""),
_xlpm.MyAuditVal,_xlfn.XLOOKUP($A187,My_Audit!$A:$A,My_Audit!E:E,""),
_xlfn.IFS(_xlpm.MyAuditVal&lt;&gt;"",_xlpm.MyAuditVal,_xlpm.MacVal&lt;&gt;"",_xlpm.MacVal,_xlpm.CSVVal&lt;&gt;"",_xlpm.CSVVal
)),"")</f>
        <v/>
      </c>
      <c r="G187" s="40" t="str" cm="1">
        <f t="array" ref="G187">IFERROR(_xlfn.LET(
_xlpm.CSVVal,_xlfn.XLOOKUP($A187,CSV!$A:$A,CSV!G:G,""),
_xlpm.MacVal,_xlfn.XLOOKUP($A187,Output_Mac!$A:$A,Output_Mac!F:F,""),
_xlpm.MyAuditVal,_xlfn.XLOOKUP($A187,My_Audit!$A:$A,My_Audit!F:F,""),
_xlfn.IFS(_xlpm.MyAuditVal&lt;&gt;"",_xlpm.MyAuditVal,_xlpm.MacVal&lt;&gt;"",_xlpm.MacVal,_xlpm.CSVVal&lt;&gt;"",PROPER(_xlpm.CSVVal)
)),"")</f>
        <v/>
      </c>
      <c r="H187" s="40" t="str" cm="1">
        <f t="array" ref="H187">IFERROR(_xlfn.LET(
_xlpm.CSVVal,_xlfn.XLOOKUP($A187,CSV!$A:$A,CSV!H:H,""),
_xlpm.MacVal,_xlfn.XLOOKUP($A187,Output_Mac!$A:$A,Output_Mac!H:H,""),
_xlpm.MyAuditVal,_xlfn.XLOOKUP($A187,My_Audit!$A:$A,My_Audit!G:G,""),
_xlfn.IFS(_xlpm.MyAuditVal&lt;&gt;"",_xlpm.MyAuditVal,_xlpm.MacVal&lt;&gt;"",_xlpm.MacVal,_xlpm.CSVVal&lt;&gt;"",_xlpm.CSVVal
)),"")</f>
        <v/>
      </c>
      <c r="I187" s="40" t="str">
        <f>_xlfn.XLOOKUP(A187,Output_Mac!A:A,Output_Mac!I:I,"")</f>
        <v/>
      </c>
      <c r="J187" s="40" t="str" cm="1">
        <f t="array" ref="J187">IFERROR(_xlfn.LET(
_xlpm.CSVVal,_xlfn.XLOOKUP($A187,CSV!$A:$A,CSV!I:I,""),
_xlpm.MacVal,_xlfn.XLOOKUP($A187,Output_Mac!$A:$A,Output_Mac!J:J,""),
_xlpm.MyAuditVal,_xlfn.XLOOKUP($A187,My_Audit!$A:$A,My_Audit!I:I,""),
_xlfn.IFS(_xlpm.MyAuditVal&lt;&gt;"",UPPER(_xlpm.MyAuditVal),_xlpm.MacVal&lt;&gt;"",_xlpm.MacVal,_xlpm.CSVVal&lt;&gt;"",_xlpm.CSVVal
)),"")</f>
        <v/>
      </c>
      <c r="K187" s="40" t="str" cm="1">
        <f t="array" ref="K187">IFERROR(_xlfn.LET(
_xlpm.CSVVal,_xlfn.XLOOKUP($A187,CSV!$A:$A,CSV!K:K,""),
_xlpm.MacVal,_xlfn.XLOOKUP($A187,Output_Mac!$A:$A,Output_Mac!K:K,""),
_xlpm.MyAuditVal,_xlfn.XLOOKUP($A187,My_Audit!$A:$A,My_Audit!J:J,""),
_xlfn.IFS(_xlpm.MyAuditVal&lt;&gt;"",UPPER(_xlpm.MyAuditVal),_xlpm.MacVal&lt;&gt;"",_xlpm.MacVal,_xlpm.CSVVal&lt;&gt;"",_xlpm.CSVVal
)),"")</f>
        <v/>
      </c>
      <c r="L187" s="40" t="str" cm="1">
        <f t="array" ref="L187">IFERROR(_xlfn.LET(
_xlpm.CSVVal,_xlfn.XLOOKUP($A187,CSV!$A:$A,CSV!P:P,""),
_xlpm.MacVal,_xlfn.XLOOKUP($A187,Output_Mac!$A:$A,Output_Mac!L:L,""),
_xlpm.MyAuditVal,_xlfn.XLOOKUP($A187,My_Audit!$A:$A,My_Audit!K:K,""),
_xlfn.IFS(_xlpm.MyAuditVal&lt;&gt;"",UPPER(_xlpm.MyAuditVal),_xlpm.MacVal&lt;&gt;"",_xlpm.MacVal,_xlpm.CSVVal&lt;&gt;"",_xlpm.CSVVal
)),"")</f>
        <v/>
      </c>
      <c r="M187" s="40" t="str" cm="1">
        <f t="array" ref="M187">IFERROR(_xlfn.LET(
_xlpm.CSVVal,_xlfn.XLOOKUP($A187,CSV!$A:$A,CSV!Q:Q,""),
_xlpm.MacVal,_xlfn.XLOOKUP($A187,Output_Mac!$A:$A,Output_Mac!M:M,""),
_xlpm.MyAuditVal,_xlfn.XLOOKUP($A187,My_Audit!$A:$A,My_Audit!L:L,""),
_xlfn.IFS(_xlpm.MyAuditVal&lt;&gt;"",UPPER(_xlpm.MyAuditVal),_xlpm.MacVal&lt;&gt;"",_xlpm.MacVal,_xlpm.CSVVal&lt;&gt;"",_xlpm.CSVVal
)),"")</f>
        <v/>
      </c>
      <c r="N187" s="40"/>
      <c r="O187" s="40" t="str">
        <f>_xlfn.LET(
    _xlpm.CSVVal, _xlfn.XLOOKUP($A187, CSV!$A:$A, CSV!AA:AA, ""),
    _xlpm.MacVal, _xlfn.XLOOKUP($A187, Output_Mac!$A:$A, Output_Mac!S:S, ""),
    _xlpm.MyAuditVal, _xlfn.XLOOKUP($A187, My_Audit!$A:$A, My_Audit!P:P, ""),
    _xlfn.TEXTJOIN(", ", TRUE, _xlpm.MyAuditVal, _xlpm.MacVal, _xlpm.CSVVal)
)</f>
        <v/>
      </c>
      <c r="P187" s="40" t="str" cm="1">
        <f t="array" ref="P187">IFERROR(_xlfn.LET(
_xlpm.CSVVal,_xlfn.XLOOKUP($A187,CSV!$A:$A,CSV!AB:AB,""),
_xlpm.MacVal,_xlfn.XLOOKUP($A187,Output_Mac!$A:$A,Output_Mac!T:T,""),
_xlpm.MyAuditVal,_xlfn.XLOOKUP($A187,My_Audit!$A:$A,My_Audit!Q:Q,""),
_xlfn.IFS(_xlpm.MyAuditVal&lt;&gt;"",UPPER(_xlpm.MyAuditVal),_xlpm.MacVal&lt;&gt;"",_xlpm.MacVal,_xlpm.CSVVal&lt;&gt;"",_xlpm.CSVVal
)),"No")</f>
        <v>No</v>
      </c>
      <c r="Q187" s="40" t="str" cm="1">
        <f t="array" ref="Q187">IFERROR(_xlfn.LET(
_xlpm.CSVVal,_xlfn.XLOOKUP($A187,CSV!$A:$A,CSV!AC:AC,""),
_xlpm.MacVal,_xlfn.XLOOKUP($A187,Output_Mac!$A:$A,Output_Mac!U:U,""),
_xlpm.MyAuditVal,_xlfn.XLOOKUP($A187,My_Audit!$A:$A,My_Audit!R:R,""),
_xlfn.IFS(_xlpm.MyAuditVal&lt;&gt;"",UPPER(_xlpm.MyAuditVal),_xlpm.MacVal&lt;&gt;"",_xlpm.MacVal,_xlpm.CSVVal&lt;&gt;"",_xlpm.CSVVal
)),"")</f>
        <v/>
      </c>
      <c r="R187" s="40"/>
      <c r="S187" s="40"/>
      <c r="T187" s="40"/>
      <c r="U187" s="40"/>
      <c r="V187" s="40"/>
      <c r="W187" s="40"/>
      <c r="X187" s="41" t="str">
        <f>_xlfn.LET(
    _xlpm.MacVal, _xlfn.XLOOKUP($A187, Output_Mac!$A:$A, Output_Mac!AB:AB, ""),
    _xlpm.MyAuditVal, _xlfn.XLOOKUP($A187, My_Audit!$A:$A, My_Audit!N:N, ""),
    _xlfn.TEXTJOIN(", ", TRUE, _xlpm.MyAuditVal, _xlpm.MacVal)
)</f>
        <v/>
      </c>
    </row>
    <row r="188" spans="1:24">
      <c r="A188" s="40" t="str">
        <f>_xlfn.TEXTJOIN("",TRUE,Input!$B$2,ROW(My_Audit!A187))</f>
        <v>X187</v>
      </c>
      <c r="B188" s="40" t="str">
        <f>_xlfn.TEXTJOIN("-",TRUE,"ITD",Input!$A$2,A188)</f>
        <v>ITD-X187</v>
      </c>
      <c r="C188" s="40" t="str" cm="1">
        <f t="array" ref="C188">IFERROR(_xlfn.LET(
_xlpm.CSVVal,_xlfn.XLOOKUP($A188,CSV!$A:$A,CSV!B:B,""),
_xlpm.MacVal,_xlfn.XLOOKUP($A188,Output_Mac!$A:$A,Output_Mac!B:B,""),
_xlpm.MyAuditVal,_xlfn.XLOOKUP($A188,My_Audit!$A:$A,My_Audit!B:B,""),
_xlfn.IFS(_xlpm.MyAuditVal&lt;&gt;"",UPPER(_xlpm.MyAuditVal),_xlpm.MacVal&lt;&gt;"",_xlpm.MacVal,_xlpm.CSVVal&lt;&gt;"",_xlpm.CSVVal
)),"")</f>
        <v/>
      </c>
      <c r="D188" s="40" t="str" cm="1">
        <f t="array" ref="D188">IFERROR(_xlfn.LET(
_xlpm.CSVVal,_xlfn.XLOOKUP($A188,CSV!$A:$A,CSV!D:D,""),
_xlpm.MacVal,_xlfn.XLOOKUP($A188,Output_Mac!$A:$A,Output_Mac!C:C,""),
_xlpm.MyAuditVal,_xlfn.XLOOKUP($A188,My_Audit!$A:$A,My_Audit!C:C,""),
_xlfn.IFS(_xlpm.MyAuditVal&lt;&gt;"",_xlpm.MyAuditVal,_xlpm.MacVal&lt;&gt;"",_xlpm.MacVal,_xlpm.CSVVal&lt;&gt;"",_xlpm.CSVVal
)),"")</f>
        <v/>
      </c>
      <c r="E188" s="40">
        <f>_xlfn.XLOOKUP(A188,My_Audit!A:A,My_Audit!D:D,"")</f>
        <v>0</v>
      </c>
      <c r="F188" s="40" t="str" cm="1">
        <f t="array" ref="F188">IFERROR(_xlfn.LET(
_xlpm.CSVVal,_xlfn.XLOOKUP($A188,CSV!$A:$A,CSV!F:F,""),
_xlpm.MacVal,_xlfn.XLOOKUP($A188,Output_Mac!$A:$A,Output_Mac!E:E,""),
_xlpm.MyAuditVal,_xlfn.XLOOKUP($A188,My_Audit!$A:$A,My_Audit!E:E,""),
_xlfn.IFS(_xlpm.MyAuditVal&lt;&gt;"",_xlpm.MyAuditVal,_xlpm.MacVal&lt;&gt;"",_xlpm.MacVal,_xlpm.CSVVal&lt;&gt;"",_xlpm.CSVVal
)),"")</f>
        <v/>
      </c>
      <c r="G188" s="40" t="str" cm="1">
        <f t="array" ref="G188">IFERROR(_xlfn.LET(
_xlpm.CSVVal,_xlfn.XLOOKUP($A188,CSV!$A:$A,CSV!G:G,""),
_xlpm.MacVal,_xlfn.XLOOKUP($A188,Output_Mac!$A:$A,Output_Mac!F:F,""),
_xlpm.MyAuditVal,_xlfn.XLOOKUP($A188,My_Audit!$A:$A,My_Audit!F:F,""),
_xlfn.IFS(_xlpm.MyAuditVal&lt;&gt;"",_xlpm.MyAuditVal,_xlpm.MacVal&lt;&gt;"",_xlpm.MacVal,_xlpm.CSVVal&lt;&gt;"",PROPER(_xlpm.CSVVal)
)),"")</f>
        <v/>
      </c>
      <c r="H188" s="40" t="str" cm="1">
        <f t="array" ref="H188">IFERROR(_xlfn.LET(
_xlpm.CSVVal,_xlfn.XLOOKUP($A188,CSV!$A:$A,CSV!H:H,""),
_xlpm.MacVal,_xlfn.XLOOKUP($A188,Output_Mac!$A:$A,Output_Mac!H:H,""),
_xlpm.MyAuditVal,_xlfn.XLOOKUP($A188,My_Audit!$A:$A,My_Audit!G:G,""),
_xlfn.IFS(_xlpm.MyAuditVal&lt;&gt;"",_xlpm.MyAuditVal,_xlpm.MacVal&lt;&gt;"",_xlpm.MacVal,_xlpm.CSVVal&lt;&gt;"",_xlpm.CSVVal
)),"")</f>
        <v/>
      </c>
      <c r="I188" s="40" t="str">
        <f>_xlfn.XLOOKUP(A188,Output_Mac!A:A,Output_Mac!I:I,"")</f>
        <v/>
      </c>
      <c r="J188" s="40" t="str" cm="1">
        <f t="array" ref="J188">IFERROR(_xlfn.LET(
_xlpm.CSVVal,_xlfn.XLOOKUP($A188,CSV!$A:$A,CSV!I:I,""),
_xlpm.MacVal,_xlfn.XLOOKUP($A188,Output_Mac!$A:$A,Output_Mac!J:J,""),
_xlpm.MyAuditVal,_xlfn.XLOOKUP($A188,My_Audit!$A:$A,My_Audit!I:I,""),
_xlfn.IFS(_xlpm.MyAuditVal&lt;&gt;"",UPPER(_xlpm.MyAuditVal),_xlpm.MacVal&lt;&gt;"",_xlpm.MacVal,_xlpm.CSVVal&lt;&gt;"",_xlpm.CSVVal
)),"")</f>
        <v/>
      </c>
      <c r="K188" s="40" t="str" cm="1">
        <f t="array" ref="K188">IFERROR(_xlfn.LET(
_xlpm.CSVVal,_xlfn.XLOOKUP($A188,CSV!$A:$A,CSV!K:K,""),
_xlpm.MacVal,_xlfn.XLOOKUP($A188,Output_Mac!$A:$A,Output_Mac!K:K,""),
_xlpm.MyAuditVal,_xlfn.XLOOKUP($A188,My_Audit!$A:$A,My_Audit!J:J,""),
_xlfn.IFS(_xlpm.MyAuditVal&lt;&gt;"",UPPER(_xlpm.MyAuditVal),_xlpm.MacVal&lt;&gt;"",_xlpm.MacVal,_xlpm.CSVVal&lt;&gt;"",_xlpm.CSVVal
)),"")</f>
        <v/>
      </c>
      <c r="L188" s="40" t="str" cm="1">
        <f t="array" ref="L188">IFERROR(_xlfn.LET(
_xlpm.CSVVal,_xlfn.XLOOKUP($A188,CSV!$A:$A,CSV!P:P,""),
_xlpm.MacVal,_xlfn.XLOOKUP($A188,Output_Mac!$A:$A,Output_Mac!L:L,""),
_xlpm.MyAuditVal,_xlfn.XLOOKUP($A188,My_Audit!$A:$A,My_Audit!K:K,""),
_xlfn.IFS(_xlpm.MyAuditVal&lt;&gt;"",UPPER(_xlpm.MyAuditVal),_xlpm.MacVal&lt;&gt;"",_xlpm.MacVal,_xlpm.CSVVal&lt;&gt;"",_xlpm.CSVVal
)),"")</f>
        <v/>
      </c>
      <c r="M188" s="40" t="str" cm="1">
        <f t="array" ref="M188">IFERROR(_xlfn.LET(
_xlpm.CSVVal,_xlfn.XLOOKUP($A188,CSV!$A:$A,CSV!Q:Q,""),
_xlpm.MacVal,_xlfn.XLOOKUP($A188,Output_Mac!$A:$A,Output_Mac!M:M,""),
_xlpm.MyAuditVal,_xlfn.XLOOKUP($A188,My_Audit!$A:$A,My_Audit!L:L,""),
_xlfn.IFS(_xlpm.MyAuditVal&lt;&gt;"",UPPER(_xlpm.MyAuditVal),_xlpm.MacVal&lt;&gt;"",_xlpm.MacVal,_xlpm.CSVVal&lt;&gt;"",_xlpm.CSVVal
)),"")</f>
        <v/>
      </c>
      <c r="N188" s="40"/>
      <c r="O188" s="40" t="str">
        <f>_xlfn.LET(
    _xlpm.CSVVal, _xlfn.XLOOKUP($A188, CSV!$A:$A, CSV!AA:AA, ""),
    _xlpm.MacVal, _xlfn.XLOOKUP($A188, Output_Mac!$A:$A, Output_Mac!S:S, ""),
    _xlpm.MyAuditVal, _xlfn.XLOOKUP($A188, My_Audit!$A:$A, My_Audit!P:P, ""),
    _xlfn.TEXTJOIN(", ", TRUE, _xlpm.MyAuditVal, _xlpm.MacVal, _xlpm.CSVVal)
)</f>
        <v/>
      </c>
      <c r="P188" s="40" t="str" cm="1">
        <f t="array" ref="P188">IFERROR(_xlfn.LET(
_xlpm.CSVVal,_xlfn.XLOOKUP($A188,CSV!$A:$A,CSV!AB:AB,""),
_xlpm.MacVal,_xlfn.XLOOKUP($A188,Output_Mac!$A:$A,Output_Mac!T:T,""),
_xlpm.MyAuditVal,_xlfn.XLOOKUP($A188,My_Audit!$A:$A,My_Audit!Q:Q,""),
_xlfn.IFS(_xlpm.MyAuditVal&lt;&gt;"",UPPER(_xlpm.MyAuditVal),_xlpm.MacVal&lt;&gt;"",_xlpm.MacVal,_xlpm.CSVVal&lt;&gt;"",_xlpm.CSVVal
)),"No")</f>
        <v>No</v>
      </c>
      <c r="Q188" s="40" t="str" cm="1">
        <f t="array" ref="Q188">IFERROR(_xlfn.LET(
_xlpm.CSVVal,_xlfn.XLOOKUP($A188,CSV!$A:$A,CSV!AC:AC,""),
_xlpm.MacVal,_xlfn.XLOOKUP($A188,Output_Mac!$A:$A,Output_Mac!U:U,""),
_xlpm.MyAuditVal,_xlfn.XLOOKUP($A188,My_Audit!$A:$A,My_Audit!R:R,""),
_xlfn.IFS(_xlpm.MyAuditVal&lt;&gt;"",UPPER(_xlpm.MyAuditVal),_xlpm.MacVal&lt;&gt;"",_xlpm.MacVal,_xlpm.CSVVal&lt;&gt;"",_xlpm.CSVVal
)),"")</f>
        <v/>
      </c>
      <c r="R188" s="40"/>
      <c r="S188" s="40"/>
      <c r="T188" s="40"/>
      <c r="U188" s="40"/>
      <c r="V188" s="40"/>
      <c r="W188" s="40"/>
      <c r="X188" s="41" t="str">
        <f>_xlfn.LET(
    _xlpm.MacVal, _xlfn.XLOOKUP($A188, Output_Mac!$A:$A, Output_Mac!AB:AB, ""),
    _xlpm.MyAuditVal, _xlfn.XLOOKUP($A188, My_Audit!$A:$A, My_Audit!N:N, ""),
    _xlfn.TEXTJOIN(", ", TRUE, _xlpm.MyAuditVal, _xlpm.MacVal)
)</f>
        <v/>
      </c>
    </row>
    <row r="189" spans="1:24">
      <c r="A189" s="40" t="str">
        <f>_xlfn.TEXTJOIN("",TRUE,Input!$B$2,ROW(My_Audit!A188))</f>
        <v>X188</v>
      </c>
      <c r="B189" s="40" t="str">
        <f>_xlfn.TEXTJOIN("-",TRUE,"ITD",Input!$A$2,A189)</f>
        <v>ITD-X188</v>
      </c>
      <c r="C189" s="40" t="str" cm="1">
        <f t="array" ref="C189">IFERROR(_xlfn.LET(
_xlpm.CSVVal,_xlfn.XLOOKUP($A189,CSV!$A:$A,CSV!B:B,""),
_xlpm.MacVal,_xlfn.XLOOKUP($A189,Output_Mac!$A:$A,Output_Mac!B:B,""),
_xlpm.MyAuditVal,_xlfn.XLOOKUP($A189,My_Audit!$A:$A,My_Audit!B:B,""),
_xlfn.IFS(_xlpm.MyAuditVal&lt;&gt;"",UPPER(_xlpm.MyAuditVal),_xlpm.MacVal&lt;&gt;"",_xlpm.MacVal,_xlpm.CSVVal&lt;&gt;"",_xlpm.CSVVal
)),"")</f>
        <v/>
      </c>
      <c r="D189" s="40" t="str" cm="1">
        <f t="array" ref="D189">IFERROR(_xlfn.LET(
_xlpm.CSVVal,_xlfn.XLOOKUP($A189,CSV!$A:$A,CSV!D:D,""),
_xlpm.MacVal,_xlfn.XLOOKUP($A189,Output_Mac!$A:$A,Output_Mac!C:C,""),
_xlpm.MyAuditVal,_xlfn.XLOOKUP($A189,My_Audit!$A:$A,My_Audit!C:C,""),
_xlfn.IFS(_xlpm.MyAuditVal&lt;&gt;"",_xlpm.MyAuditVal,_xlpm.MacVal&lt;&gt;"",_xlpm.MacVal,_xlpm.CSVVal&lt;&gt;"",_xlpm.CSVVal
)),"")</f>
        <v/>
      </c>
      <c r="E189" s="40">
        <f>_xlfn.XLOOKUP(A189,My_Audit!A:A,My_Audit!D:D,"")</f>
        <v>0</v>
      </c>
      <c r="F189" s="40" t="str" cm="1">
        <f t="array" ref="F189">IFERROR(_xlfn.LET(
_xlpm.CSVVal,_xlfn.XLOOKUP($A189,CSV!$A:$A,CSV!F:F,""),
_xlpm.MacVal,_xlfn.XLOOKUP($A189,Output_Mac!$A:$A,Output_Mac!E:E,""),
_xlpm.MyAuditVal,_xlfn.XLOOKUP($A189,My_Audit!$A:$A,My_Audit!E:E,""),
_xlfn.IFS(_xlpm.MyAuditVal&lt;&gt;"",_xlpm.MyAuditVal,_xlpm.MacVal&lt;&gt;"",_xlpm.MacVal,_xlpm.CSVVal&lt;&gt;"",_xlpm.CSVVal
)),"")</f>
        <v/>
      </c>
      <c r="G189" s="40" t="str" cm="1">
        <f t="array" ref="G189">IFERROR(_xlfn.LET(
_xlpm.CSVVal,_xlfn.XLOOKUP($A189,CSV!$A:$A,CSV!G:G,""),
_xlpm.MacVal,_xlfn.XLOOKUP($A189,Output_Mac!$A:$A,Output_Mac!F:F,""),
_xlpm.MyAuditVal,_xlfn.XLOOKUP($A189,My_Audit!$A:$A,My_Audit!F:F,""),
_xlfn.IFS(_xlpm.MyAuditVal&lt;&gt;"",_xlpm.MyAuditVal,_xlpm.MacVal&lt;&gt;"",_xlpm.MacVal,_xlpm.CSVVal&lt;&gt;"",PROPER(_xlpm.CSVVal)
)),"")</f>
        <v/>
      </c>
      <c r="H189" s="40" t="str" cm="1">
        <f t="array" ref="H189">IFERROR(_xlfn.LET(
_xlpm.CSVVal,_xlfn.XLOOKUP($A189,CSV!$A:$A,CSV!H:H,""),
_xlpm.MacVal,_xlfn.XLOOKUP($A189,Output_Mac!$A:$A,Output_Mac!H:H,""),
_xlpm.MyAuditVal,_xlfn.XLOOKUP($A189,My_Audit!$A:$A,My_Audit!G:G,""),
_xlfn.IFS(_xlpm.MyAuditVal&lt;&gt;"",_xlpm.MyAuditVal,_xlpm.MacVal&lt;&gt;"",_xlpm.MacVal,_xlpm.CSVVal&lt;&gt;"",_xlpm.CSVVal
)),"")</f>
        <v/>
      </c>
      <c r="I189" s="40" t="str">
        <f>_xlfn.XLOOKUP(A189,Output_Mac!A:A,Output_Mac!I:I,"")</f>
        <v/>
      </c>
      <c r="J189" s="40" t="str" cm="1">
        <f t="array" ref="J189">IFERROR(_xlfn.LET(
_xlpm.CSVVal,_xlfn.XLOOKUP($A189,CSV!$A:$A,CSV!I:I,""),
_xlpm.MacVal,_xlfn.XLOOKUP($A189,Output_Mac!$A:$A,Output_Mac!J:J,""),
_xlpm.MyAuditVal,_xlfn.XLOOKUP($A189,My_Audit!$A:$A,My_Audit!I:I,""),
_xlfn.IFS(_xlpm.MyAuditVal&lt;&gt;"",UPPER(_xlpm.MyAuditVal),_xlpm.MacVal&lt;&gt;"",_xlpm.MacVal,_xlpm.CSVVal&lt;&gt;"",_xlpm.CSVVal
)),"")</f>
        <v/>
      </c>
      <c r="K189" s="40" t="str" cm="1">
        <f t="array" ref="K189">IFERROR(_xlfn.LET(
_xlpm.CSVVal,_xlfn.XLOOKUP($A189,CSV!$A:$A,CSV!K:K,""),
_xlpm.MacVal,_xlfn.XLOOKUP($A189,Output_Mac!$A:$A,Output_Mac!K:K,""),
_xlpm.MyAuditVal,_xlfn.XLOOKUP($A189,My_Audit!$A:$A,My_Audit!J:J,""),
_xlfn.IFS(_xlpm.MyAuditVal&lt;&gt;"",UPPER(_xlpm.MyAuditVal),_xlpm.MacVal&lt;&gt;"",_xlpm.MacVal,_xlpm.CSVVal&lt;&gt;"",_xlpm.CSVVal
)),"")</f>
        <v/>
      </c>
      <c r="L189" s="40" t="str" cm="1">
        <f t="array" ref="L189">IFERROR(_xlfn.LET(
_xlpm.CSVVal,_xlfn.XLOOKUP($A189,CSV!$A:$A,CSV!P:P,""),
_xlpm.MacVal,_xlfn.XLOOKUP($A189,Output_Mac!$A:$A,Output_Mac!L:L,""),
_xlpm.MyAuditVal,_xlfn.XLOOKUP($A189,My_Audit!$A:$A,My_Audit!K:K,""),
_xlfn.IFS(_xlpm.MyAuditVal&lt;&gt;"",UPPER(_xlpm.MyAuditVal),_xlpm.MacVal&lt;&gt;"",_xlpm.MacVal,_xlpm.CSVVal&lt;&gt;"",_xlpm.CSVVal
)),"")</f>
        <v/>
      </c>
      <c r="M189" s="40" t="str" cm="1">
        <f t="array" ref="M189">IFERROR(_xlfn.LET(
_xlpm.CSVVal,_xlfn.XLOOKUP($A189,CSV!$A:$A,CSV!Q:Q,""),
_xlpm.MacVal,_xlfn.XLOOKUP($A189,Output_Mac!$A:$A,Output_Mac!M:M,""),
_xlpm.MyAuditVal,_xlfn.XLOOKUP($A189,My_Audit!$A:$A,My_Audit!L:L,""),
_xlfn.IFS(_xlpm.MyAuditVal&lt;&gt;"",UPPER(_xlpm.MyAuditVal),_xlpm.MacVal&lt;&gt;"",_xlpm.MacVal,_xlpm.CSVVal&lt;&gt;"",_xlpm.CSVVal
)),"")</f>
        <v/>
      </c>
      <c r="N189" s="40"/>
      <c r="O189" s="40" t="str">
        <f>_xlfn.LET(
    _xlpm.CSVVal, _xlfn.XLOOKUP($A189, CSV!$A:$A, CSV!AA:AA, ""),
    _xlpm.MacVal, _xlfn.XLOOKUP($A189, Output_Mac!$A:$A, Output_Mac!S:S, ""),
    _xlpm.MyAuditVal, _xlfn.XLOOKUP($A189, My_Audit!$A:$A, My_Audit!P:P, ""),
    _xlfn.TEXTJOIN(", ", TRUE, _xlpm.MyAuditVal, _xlpm.MacVal, _xlpm.CSVVal)
)</f>
        <v/>
      </c>
      <c r="P189" s="40" t="str" cm="1">
        <f t="array" ref="P189">IFERROR(_xlfn.LET(
_xlpm.CSVVal,_xlfn.XLOOKUP($A189,CSV!$A:$A,CSV!AB:AB,""),
_xlpm.MacVal,_xlfn.XLOOKUP($A189,Output_Mac!$A:$A,Output_Mac!T:T,""),
_xlpm.MyAuditVal,_xlfn.XLOOKUP($A189,My_Audit!$A:$A,My_Audit!Q:Q,""),
_xlfn.IFS(_xlpm.MyAuditVal&lt;&gt;"",UPPER(_xlpm.MyAuditVal),_xlpm.MacVal&lt;&gt;"",_xlpm.MacVal,_xlpm.CSVVal&lt;&gt;"",_xlpm.CSVVal
)),"No")</f>
        <v>No</v>
      </c>
      <c r="Q189" s="40" t="str" cm="1">
        <f t="array" ref="Q189">IFERROR(_xlfn.LET(
_xlpm.CSVVal,_xlfn.XLOOKUP($A189,CSV!$A:$A,CSV!AC:AC,""),
_xlpm.MacVal,_xlfn.XLOOKUP($A189,Output_Mac!$A:$A,Output_Mac!U:U,""),
_xlpm.MyAuditVal,_xlfn.XLOOKUP($A189,My_Audit!$A:$A,My_Audit!R:R,""),
_xlfn.IFS(_xlpm.MyAuditVal&lt;&gt;"",UPPER(_xlpm.MyAuditVal),_xlpm.MacVal&lt;&gt;"",_xlpm.MacVal,_xlpm.CSVVal&lt;&gt;"",_xlpm.CSVVal
)),"")</f>
        <v/>
      </c>
      <c r="R189" s="40"/>
      <c r="S189" s="40"/>
      <c r="T189" s="40"/>
      <c r="U189" s="40"/>
      <c r="V189" s="40"/>
      <c r="W189" s="40"/>
      <c r="X189" s="41" t="str">
        <f>_xlfn.LET(
    _xlpm.MacVal, _xlfn.XLOOKUP($A189, Output_Mac!$A:$A, Output_Mac!AB:AB, ""),
    _xlpm.MyAuditVal, _xlfn.XLOOKUP($A189, My_Audit!$A:$A, My_Audit!N:N, ""),
    _xlfn.TEXTJOIN(", ", TRUE, _xlpm.MyAuditVal, _xlpm.MacVal)
)</f>
        <v/>
      </c>
    </row>
    <row r="190" spans="1:24">
      <c r="A190" s="40" t="str">
        <f>_xlfn.TEXTJOIN("",TRUE,Input!$B$2,ROW(My_Audit!A189))</f>
        <v>X189</v>
      </c>
      <c r="B190" s="40" t="str">
        <f>_xlfn.TEXTJOIN("-",TRUE,"ITD",Input!$A$2,A190)</f>
        <v>ITD-X189</v>
      </c>
      <c r="C190" s="40" t="str" cm="1">
        <f t="array" ref="C190">IFERROR(_xlfn.LET(
_xlpm.CSVVal,_xlfn.XLOOKUP($A190,CSV!$A:$A,CSV!B:B,""),
_xlpm.MacVal,_xlfn.XLOOKUP($A190,Output_Mac!$A:$A,Output_Mac!B:B,""),
_xlpm.MyAuditVal,_xlfn.XLOOKUP($A190,My_Audit!$A:$A,My_Audit!B:B,""),
_xlfn.IFS(_xlpm.MyAuditVal&lt;&gt;"",UPPER(_xlpm.MyAuditVal),_xlpm.MacVal&lt;&gt;"",_xlpm.MacVal,_xlpm.CSVVal&lt;&gt;"",_xlpm.CSVVal
)),"")</f>
        <v/>
      </c>
      <c r="D190" s="40" t="str" cm="1">
        <f t="array" ref="D190">IFERROR(_xlfn.LET(
_xlpm.CSVVal,_xlfn.XLOOKUP($A190,CSV!$A:$A,CSV!D:D,""),
_xlpm.MacVal,_xlfn.XLOOKUP($A190,Output_Mac!$A:$A,Output_Mac!C:C,""),
_xlpm.MyAuditVal,_xlfn.XLOOKUP($A190,My_Audit!$A:$A,My_Audit!C:C,""),
_xlfn.IFS(_xlpm.MyAuditVal&lt;&gt;"",_xlpm.MyAuditVal,_xlpm.MacVal&lt;&gt;"",_xlpm.MacVal,_xlpm.CSVVal&lt;&gt;"",_xlpm.CSVVal
)),"")</f>
        <v/>
      </c>
      <c r="E190" s="40">
        <f>_xlfn.XLOOKUP(A190,My_Audit!A:A,My_Audit!D:D,"")</f>
        <v>0</v>
      </c>
      <c r="F190" s="40" t="str" cm="1">
        <f t="array" ref="F190">IFERROR(_xlfn.LET(
_xlpm.CSVVal,_xlfn.XLOOKUP($A190,CSV!$A:$A,CSV!F:F,""),
_xlpm.MacVal,_xlfn.XLOOKUP($A190,Output_Mac!$A:$A,Output_Mac!E:E,""),
_xlpm.MyAuditVal,_xlfn.XLOOKUP($A190,My_Audit!$A:$A,My_Audit!E:E,""),
_xlfn.IFS(_xlpm.MyAuditVal&lt;&gt;"",_xlpm.MyAuditVal,_xlpm.MacVal&lt;&gt;"",_xlpm.MacVal,_xlpm.CSVVal&lt;&gt;"",_xlpm.CSVVal
)),"")</f>
        <v/>
      </c>
      <c r="G190" s="40" t="str" cm="1">
        <f t="array" ref="G190">IFERROR(_xlfn.LET(
_xlpm.CSVVal,_xlfn.XLOOKUP($A190,CSV!$A:$A,CSV!G:G,""),
_xlpm.MacVal,_xlfn.XLOOKUP($A190,Output_Mac!$A:$A,Output_Mac!F:F,""),
_xlpm.MyAuditVal,_xlfn.XLOOKUP($A190,My_Audit!$A:$A,My_Audit!F:F,""),
_xlfn.IFS(_xlpm.MyAuditVal&lt;&gt;"",_xlpm.MyAuditVal,_xlpm.MacVal&lt;&gt;"",_xlpm.MacVal,_xlpm.CSVVal&lt;&gt;"",PROPER(_xlpm.CSVVal)
)),"")</f>
        <v/>
      </c>
      <c r="H190" s="40" t="str" cm="1">
        <f t="array" ref="H190">IFERROR(_xlfn.LET(
_xlpm.CSVVal,_xlfn.XLOOKUP($A190,CSV!$A:$A,CSV!H:H,""),
_xlpm.MacVal,_xlfn.XLOOKUP($A190,Output_Mac!$A:$A,Output_Mac!H:H,""),
_xlpm.MyAuditVal,_xlfn.XLOOKUP($A190,My_Audit!$A:$A,My_Audit!G:G,""),
_xlfn.IFS(_xlpm.MyAuditVal&lt;&gt;"",_xlpm.MyAuditVal,_xlpm.MacVal&lt;&gt;"",_xlpm.MacVal,_xlpm.CSVVal&lt;&gt;"",_xlpm.CSVVal
)),"")</f>
        <v/>
      </c>
      <c r="I190" s="40" t="str">
        <f>_xlfn.XLOOKUP(A190,Output_Mac!A:A,Output_Mac!I:I,"")</f>
        <v/>
      </c>
      <c r="J190" s="40" t="str" cm="1">
        <f t="array" ref="J190">IFERROR(_xlfn.LET(
_xlpm.CSVVal,_xlfn.XLOOKUP($A190,CSV!$A:$A,CSV!I:I,""),
_xlpm.MacVal,_xlfn.XLOOKUP($A190,Output_Mac!$A:$A,Output_Mac!J:J,""),
_xlpm.MyAuditVal,_xlfn.XLOOKUP($A190,My_Audit!$A:$A,My_Audit!I:I,""),
_xlfn.IFS(_xlpm.MyAuditVal&lt;&gt;"",UPPER(_xlpm.MyAuditVal),_xlpm.MacVal&lt;&gt;"",_xlpm.MacVal,_xlpm.CSVVal&lt;&gt;"",_xlpm.CSVVal
)),"")</f>
        <v/>
      </c>
      <c r="K190" s="40" t="str" cm="1">
        <f t="array" ref="K190">IFERROR(_xlfn.LET(
_xlpm.CSVVal,_xlfn.XLOOKUP($A190,CSV!$A:$A,CSV!K:K,""),
_xlpm.MacVal,_xlfn.XLOOKUP($A190,Output_Mac!$A:$A,Output_Mac!K:K,""),
_xlpm.MyAuditVal,_xlfn.XLOOKUP($A190,My_Audit!$A:$A,My_Audit!J:J,""),
_xlfn.IFS(_xlpm.MyAuditVal&lt;&gt;"",UPPER(_xlpm.MyAuditVal),_xlpm.MacVal&lt;&gt;"",_xlpm.MacVal,_xlpm.CSVVal&lt;&gt;"",_xlpm.CSVVal
)),"")</f>
        <v/>
      </c>
      <c r="L190" s="40" t="str" cm="1">
        <f t="array" ref="L190">IFERROR(_xlfn.LET(
_xlpm.CSVVal,_xlfn.XLOOKUP($A190,CSV!$A:$A,CSV!P:P,""),
_xlpm.MacVal,_xlfn.XLOOKUP($A190,Output_Mac!$A:$A,Output_Mac!L:L,""),
_xlpm.MyAuditVal,_xlfn.XLOOKUP($A190,My_Audit!$A:$A,My_Audit!K:K,""),
_xlfn.IFS(_xlpm.MyAuditVal&lt;&gt;"",UPPER(_xlpm.MyAuditVal),_xlpm.MacVal&lt;&gt;"",_xlpm.MacVal,_xlpm.CSVVal&lt;&gt;"",_xlpm.CSVVal
)),"")</f>
        <v/>
      </c>
      <c r="M190" s="40" t="str" cm="1">
        <f t="array" ref="M190">IFERROR(_xlfn.LET(
_xlpm.CSVVal,_xlfn.XLOOKUP($A190,CSV!$A:$A,CSV!Q:Q,""),
_xlpm.MacVal,_xlfn.XLOOKUP($A190,Output_Mac!$A:$A,Output_Mac!M:M,""),
_xlpm.MyAuditVal,_xlfn.XLOOKUP($A190,My_Audit!$A:$A,My_Audit!L:L,""),
_xlfn.IFS(_xlpm.MyAuditVal&lt;&gt;"",UPPER(_xlpm.MyAuditVal),_xlpm.MacVal&lt;&gt;"",_xlpm.MacVal,_xlpm.CSVVal&lt;&gt;"",_xlpm.CSVVal
)),"")</f>
        <v/>
      </c>
      <c r="N190" s="40"/>
      <c r="O190" s="40" t="str">
        <f>_xlfn.LET(
    _xlpm.CSVVal, _xlfn.XLOOKUP($A190, CSV!$A:$A, CSV!AA:AA, ""),
    _xlpm.MacVal, _xlfn.XLOOKUP($A190, Output_Mac!$A:$A, Output_Mac!S:S, ""),
    _xlpm.MyAuditVal, _xlfn.XLOOKUP($A190, My_Audit!$A:$A, My_Audit!P:P, ""),
    _xlfn.TEXTJOIN(", ", TRUE, _xlpm.MyAuditVal, _xlpm.MacVal, _xlpm.CSVVal)
)</f>
        <v/>
      </c>
      <c r="P190" s="40" t="str" cm="1">
        <f t="array" ref="P190">IFERROR(_xlfn.LET(
_xlpm.CSVVal,_xlfn.XLOOKUP($A190,CSV!$A:$A,CSV!AB:AB,""),
_xlpm.MacVal,_xlfn.XLOOKUP($A190,Output_Mac!$A:$A,Output_Mac!T:T,""),
_xlpm.MyAuditVal,_xlfn.XLOOKUP($A190,My_Audit!$A:$A,My_Audit!Q:Q,""),
_xlfn.IFS(_xlpm.MyAuditVal&lt;&gt;"",UPPER(_xlpm.MyAuditVal),_xlpm.MacVal&lt;&gt;"",_xlpm.MacVal,_xlpm.CSVVal&lt;&gt;"",_xlpm.CSVVal
)),"No")</f>
        <v>No</v>
      </c>
      <c r="Q190" s="40" t="str" cm="1">
        <f t="array" ref="Q190">IFERROR(_xlfn.LET(
_xlpm.CSVVal,_xlfn.XLOOKUP($A190,CSV!$A:$A,CSV!AC:AC,""),
_xlpm.MacVal,_xlfn.XLOOKUP($A190,Output_Mac!$A:$A,Output_Mac!U:U,""),
_xlpm.MyAuditVal,_xlfn.XLOOKUP($A190,My_Audit!$A:$A,My_Audit!R:R,""),
_xlfn.IFS(_xlpm.MyAuditVal&lt;&gt;"",UPPER(_xlpm.MyAuditVal),_xlpm.MacVal&lt;&gt;"",_xlpm.MacVal,_xlpm.CSVVal&lt;&gt;"",_xlpm.CSVVal
)),"")</f>
        <v/>
      </c>
      <c r="R190" s="40"/>
      <c r="S190" s="40"/>
      <c r="T190" s="40"/>
      <c r="U190" s="40"/>
      <c r="V190" s="40"/>
      <c r="W190" s="40"/>
      <c r="X190" s="41" t="str">
        <f>_xlfn.LET(
    _xlpm.MacVal, _xlfn.XLOOKUP($A190, Output_Mac!$A:$A, Output_Mac!AB:AB, ""),
    _xlpm.MyAuditVal, _xlfn.XLOOKUP($A190, My_Audit!$A:$A, My_Audit!N:N, ""),
    _xlfn.TEXTJOIN(", ", TRUE, _xlpm.MyAuditVal, _xlpm.MacVal)
)</f>
        <v/>
      </c>
    </row>
    <row r="191" spans="1:24">
      <c r="A191" s="40" t="str">
        <f>_xlfn.TEXTJOIN("",TRUE,Input!$B$2,ROW(My_Audit!A190))</f>
        <v>X190</v>
      </c>
      <c r="B191" s="40" t="str">
        <f>_xlfn.TEXTJOIN("-",TRUE,"ITD",Input!$A$2,A191)</f>
        <v>ITD-X190</v>
      </c>
      <c r="C191" s="40" t="str" cm="1">
        <f t="array" ref="C191">IFERROR(_xlfn.LET(
_xlpm.CSVVal,_xlfn.XLOOKUP($A191,CSV!$A:$A,CSV!B:B,""),
_xlpm.MacVal,_xlfn.XLOOKUP($A191,Output_Mac!$A:$A,Output_Mac!B:B,""),
_xlpm.MyAuditVal,_xlfn.XLOOKUP($A191,My_Audit!$A:$A,My_Audit!B:B,""),
_xlfn.IFS(_xlpm.MyAuditVal&lt;&gt;"",UPPER(_xlpm.MyAuditVal),_xlpm.MacVal&lt;&gt;"",_xlpm.MacVal,_xlpm.CSVVal&lt;&gt;"",_xlpm.CSVVal
)),"")</f>
        <v/>
      </c>
      <c r="D191" s="40" t="str" cm="1">
        <f t="array" ref="D191">IFERROR(_xlfn.LET(
_xlpm.CSVVal,_xlfn.XLOOKUP($A191,CSV!$A:$A,CSV!D:D,""),
_xlpm.MacVal,_xlfn.XLOOKUP($A191,Output_Mac!$A:$A,Output_Mac!C:C,""),
_xlpm.MyAuditVal,_xlfn.XLOOKUP($A191,My_Audit!$A:$A,My_Audit!C:C,""),
_xlfn.IFS(_xlpm.MyAuditVal&lt;&gt;"",_xlpm.MyAuditVal,_xlpm.MacVal&lt;&gt;"",_xlpm.MacVal,_xlpm.CSVVal&lt;&gt;"",_xlpm.CSVVal
)),"")</f>
        <v/>
      </c>
      <c r="E191" s="40">
        <f>_xlfn.XLOOKUP(A191,My_Audit!A:A,My_Audit!D:D,"")</f>
        <v>0</v>
      </c>
      <c r="F191" s="40" t="str" cm="1">
        <f t="array" ref="F191">IFERROR(_xlfn.LET(
_xlpm.CSVVal,_xlfn.XLOOKUP($A191,CSV!$A:$A,CSV!F:F,""),
_xlpm.MacVal,_xlfn.XLOOKUP($A191,Output_Mac!$A:$A,Output_Mac!E:E,""),
_xlpm.MyAuditVal,_xlfn.XLOOKUP($A191,My_Audit!$A:$A,My_Audit!E:E,""),
_xlfn.IFS(_xlpm.MyAuditVal&lt;&gt;"",_xlpm.MyAuditVal,_xlpm.MacVal&lt;&gt;"",_xlpm.MacVal,_xlpm.CSVVal&lt;&gt;"",_xlpm.CSVVal
)),"")</f>
        <v/>
      </c>
      <c r="G191" s="40" t="str" cm="1">
        <f t="array" ref="G191">IFERROR(_xlfn.LET(
_xlpm.CSVVal,_xlfn.XLOOKUP($A191,CSV!$A:$A,CSV!G:G,""),
_xlpm.MacVal,_xlfn.XLOOKUP($A191,Output_Mac!$A:$A,Output_Mac!F:F,""),
_xlpm.MyAuditVal,_xlfn.XLOOKUP($A191,My_Audit!$A:$A,My_Audit!F:F,""),
_xlfn.IFS(_xlpm.MyAuditVal&lt;&gt;"",_xlpm.MyAuditVal,_xlpm.MacVal&lt;&gt;"",_xlpm.MacVal,_xlpm.CSVVal&lt;&gt;"",PROPER(_xlpm.CSVVal)
)),"")</f>
        <v/>
      </c>
      <c r="H191" s="40" t="str" cm="1">
        <f t="array" ref="H191">IFERROR(_xlfn.LET(
_xlpm.CSVVal,_xlfn.XLOOKUP($A191,CSV!$A:$A,CSV!H:H,""),
_xlpm.MacVal,_xlfn.XLOOKUP($A191,Output_Mac!$A:$A,Output_Mac!H:H,""),
_xlpm.MyAuditVal,_xlfn.XLOOKUP($A191,My_Audit!$A:$A,My_Audit!G:G,""),
_xlfn.IFS(_xlpm.MyAuditVal&lt;&gt;"",_xlpm.MyAuditVal,_xlpm.MacVal&lt;&gt;"",_xlpm.MacVal,_xlpm.CSVVal&lt;&gt;"",_xlpm.CSVVal
)),"")</f>
        <v/>
      </c>
      <c r="I191" s="40" t="str">
        <f>_xlfn.XLOOKUP(A191,Output_Mac!A:A,Output_Mac!I:I,"")</f>
        <v/>
      </c>
      <c r="J191" s="40" t="str" cm="1">
        <f t="array" ref="J191">IFERROR(_xlfn.LET(
_xlpm.CSVVal,_xlfn.XLOOKUP($A191,CSV!$A:$A,CSV!I:I,""),
_xlpm.MacVal,_xlfn.XLOOKUP($A191,Output_Mac!$A:$A,Output_Mac!J:J,""),
_xlpm.MyAuditVal,_xlfn.XLOOKUP($A191,My_Audit!$A:$A,My_Audit!I:I,""),
_xlfn.IFS(_xlpm.MyAuditVal&lt;&gt;"",UPPER(_xlpm.MyAuditVal),_xlpm.MacVal&lt;&gt;"",_xlpm.MacVal,_xlpm.CSVVal&lt;&gt;"",_xlpm.CSVVal
)),"")</f>
        <v/>
      </c>
      <c r="K191" s="40" t="str" cm="1">
        <f t="array" ref="K191">IFERROR(_xlfn.LET(
_xlpm.CSVVal,_xlfn.XLOOKUP($A191,CSV!$A:$A,CSV!K:K,""),
_xlpm.MacVal,_xlfn.XLOOKUP($A191,Output_Mac!$A:$A,Output_Mac!K:K,""),
_xlpm.MyAuditVal,_xlfn.XLOOKUP($A191,My_Audit!$A:$A,My_Audit!J:J,""),
_xlfn.IFS(_xlpm.MyAuditVal&lt;&gt;"",UPPER(_xlpm.MyAuditVal),_xlpm.MacVal&lt;&gt;"",_xlpm.MacVal,_xlpm.CSVVal&lt;&gt;"",_xlpm.CSVVal
)),"")</f>
        <v/>
      </c>
      <c r="L191" s="40" t="str" cm="1">
        <f t="array" ref="L191">IFERROR(_xlfn.LET(
_xlpm.CSVVal,_xlfn.XLOOKUP($A191,CSV!$A:$A,CSV!P:P,""),
_xlpm.MacVal,_xlfn.XLOOKUP($A191,Output_Mac!$A:$A,Output_Mac!L:L,""),
_xlpm.MyAuditVal,_xlfn.XLOOKUP($A191,My_Audit!$A:$A,My_Audit!K:K,""),
_xlfn.IFS(_xlpm.MyAuditVal&lt;&gt;"",UPPER(_xlpm.MyAuditVal),_xlpm.MacVal&lt;&gt;"",_xlpm.MacVal,_xlpm.CSVVal&lt;&gt;"",_xlpm.CSVVal
)),"")</f>
        <v/>
      </c>
      <c r="M191" s="40" t="str" cm="1">
        <f t="array" ref="M191">IFERROR(_xlfn.LET(
_xlpm.CSVVal,_xlfn.XLOOKUP($A191,CSV!$A:$A,CSV!Q:Q,""),
_xlpm.MacVal,_xlfn.XLOOKUP($A191,Output_Mac!$A:$A,Output_Mac!M:M,""),
_xlpm.MyAuditVal,_xlfn.XLOOKUP($A191,My_Audit!$A:$A,My_Audit!L:L,""),
_xlfn.IFS(_xlpm.MyAuditVal&lt;&gt;"",UPPER(_xlpm.MyAuditVal),_xlpm.MacVal&lt;&gt;"",_xlpm.MacVal,_xlpm.CSVVal&lt;&gt;"",_xlpm.CSVVal
)),"")</f>
        <v/>
      </c>
      <c r="N191" s="40"/>
      <c r="O191" s="40" t="str">
        <f>_xlfn.LET(
    _xlpm.CSVVal, _xlfn.XLOOKUP($A191, CSV!$A:$A, CSV!AA:AA, ""),
    _xlpm.MacVal, _xlfn.XLOOKUP($A191, Output_Mac!$A:$A, Output_Mac!S:S, ""),
    _xlpm.MyAuditVal, _xlfn.XLOOKUP($A191, My_Audit!$A:$A, My_Audit!P:P, ""),
    _xlfn.TEXTJOIN(", ", TRUE, _xlpm.MyAuditVal, _xlpm.MacVal, _xlpm.CSVVal)
)</f>
        <v/>
      </c>
      <c r="P191" s="40" t="str" cm="1">
        <f t="array" ref="P191">IFERROR(_xlfn.LET(
_xlpm.CSVVal,_xlfn.XLOOKUP($A191,CSV!$A:$A,CSV!AB:AB,""),
_xlpm.MacVal,_xlfn.XLOOKUP($A191,Output_Mac!$A:$A,Output_Mac!T:T,""),
_xlpm.MyAuditVal,_xlfn.XLOOKUP($A191,My_Audit!$A:$A,My_Audit!Q:Q,""),
_xlfn.IFS(_xlpm.MyAuditVal&lt;&gt;"",UPPER(_xlpm.MyAuditVal),_xlpm.MacVal&lt;&gt;"",_xlpm.MacVal,_xlpm.CSVVal&lt;&gt;"",_xlpm.CSVVal
)),"No")</f>
        <v>No</v>
      </c>
      <c r="Q191" s="40" t="str" cm="1">
        <f t="array" ref="Q191">IFERROR(_xlfn.LET(
_xlpm.CSVVal,_xlfn.XLOOKUP($A191,CSV!$A:$A,CSV!AC:AC,""),
_xlpm.MacVal,_xlfn.XLOOKUP($A191,Output_Mac!$A:$A,Output_Mac!U:U,""),
_xlpm.MyAuditVal,_xlfn.XLOOKUP($A191,My_Audit!$A:$A,My_Audit!R:R,""),
_xlfn.IFS(_xlpm.MyAuditVal&lt;&gt;"",UPPER(_xlpm.MyAuditVal),_xlpm.MacVal&lt;&gt;"",_xlpm.MacVal,_xlpm.CSVVal&lt;&gt;"",_xlpm.CSVVal
)),"")</f>
        <v/>
      </c>
      <c r="R191" s="40"/>
      <c r="S191" s="40"/>
      <c r="T191" s="40"/>
      <c r="U191" s="40"/>
      <c r="V191" s="40"/>
      <c r="W191" s="40"/>
      <c r="X191" s="41" t="str">
        <f>_xlfn.LET(
    _xlpm.MacVal, _xlfn.XLOOKUP($A191, Output_Mac!$A:$A, Output_Mac!AB:AB, ""),
    _xlpm.MyAuditVal, _xlfn.XLOOKUP($A191, My_Audit!$A:$A, My_Audit!N:N, ""),
    _xlfn.TEXTJOIN(", ", TRUE, _xlpm.MyAuditVal, _xlpm.MacVal)
)</f>
        <v/>
      </c>
    </row>
    <row r="192" spans="1:24">
      <c r="A192" s="40" t="str">
        <f>_xlfn.TEXTJOIN("",TRUE,Input!$B$2,ROW(My_Audit!A191))</f>
        <v>X191</v>
      </c>
      <c r="B192" s="40" t="str">
        <f>_xlfn.TEXTJOIN("-",TRUE,"ITD",Input!$A$2,A192)</f>
        <v>ITD-X191</v>
      </c>
      <c r="C192" s="40" t="str" cm="1">
        <f t="array" ref="C192">IFERROR(_xlfn.LET(
_xlpm.CSVVal,_xlfn.XLOOKUP($A192,CSV!$A:$A,CSV!B:B,""),
_xlpm.MacVal,_xlfn.XLOOKUP($A192,Output_Mac!$A:$A,Output_Mac!B:B,""),
_xlpm.MyAuditVal,_xlfn.XLOOKUP($A192,My_Audit!$A:$A,My_Audit!B:B,""),
_xlfn.IFS(_xlpm.MyAuditVal&lt;&gt;"",UPPER(_xlpm.MyAuditVal),_xlpm.MacVal&lt;&gt;"",_xlpm.MacVal,_xlpm.CSVVal&lt;&gt;"",_xlpm.CSVVal
)),"")</f>
        <v/>
      </c>
      <c r="D192" s="40" t="str" cm="1">
        <f t="array" ref="D192">IFERROR(_xlfn.LET(
_xlpm.CSVVal,_xlfn.XLOOKUP($A192,CSV!$A:$A,CSV!D:D,""),
_xlpm.MacVal,_xlfn.XLOOKUP($A192,Output_Mac!$A:$A,Output_Mac!C:C,""),
_xlpm.MyAuditVal,_xlfn.XLOOKUP($A192,My_Audit!$A:$A,My_Audit!C:C,""),
_xlfn.IFS(_xlpm.MyAuditVal&lt;&gt;"",_xlpm.MyAuditVal,_xlpm.MacVal&lt;&gt;"",_xlpm.MacVal,_xlpm.CSVVal&lt;&gt;"",_xlpm.CSVVal
)),"")</f>
        <v/>
      </c>
      <c r="E192" s="40">
        <f>_xlfn.XLOOKUP(A192,My_Audit!A:A,My_Audit!D:D,"")</f>
        <v>0</v>
      </c>
      <c r="F192" s="40" t="str" cm="1">
        <f t="array" ref="F192">IFERROR(_xlfn.LET(
_xlpm.CSVVal,_xlfn.XLOOKUP($A192,CSV!$A:$A,CSV!F:F,""),
_xlpm.MacVal,_xlfn.XLOOKUP($A192,Output_Mac!$A:$A,Output_Mac!E:E,""),
_xlpm.MyAuditVal,_xlfn.XLOOKUP($A192,My_Audit!$A:$A,My_Audit!E:E,""),
_xlfn.IFS(_xlpm.MyAuditVal&lt;&gt;"",_xlpm.MyAuditVal,_xlpm.MacVal&lt;&gt;"",_xlpm.MacVal,_xlpm.CSVVal&lt;&gt;"",_xlpm.CSVVal
)),"")</f>
        <v/>
      </c>
      <c r="G192" s="40" t="str" cm="1">
        <f t="array" ref="G192">IFERROR(_xlfn.LET(
_xlpm.CSVVal,_xlfn.XLOOKUP($A192,CSV!$A:$A,CSV!G:G,""),
_xlpm.MacVal,_xlfn.XLOOKUP($A192,Output_Mac!$A:$A,Output_Mac!F:F,""),
_xlpm.MyAuditVal,_xlfn.XLOOKUP($A192,My_Audit!$A:$A,My_Audit!F:F,""),
_xlfn.IFS(_xlpm.MyAuditVal&lt;&gt;"",_xlpm.MyAuditVal,_xlpm.MacVal&lt;&gt;"",_xlpm.MacVal,_xlpm.CSVVal&lt;&gt;"",PROPER(_xlpm.CSVVal)
)),"")</f>
        <v/>
      </c>
      <c r="H192" s="40" t="str" cm="1">
        <f t="array" ref="H192">IFERROR(_xlfn.LET(
_xlpm.CSVVal,_xlfn.XLOOKUP($A192,CSV!$A:$A,CSV!H:H,""),
_xlpm.MacVal,_xlfn.XLOOKUP($A192,Output_Mac!$A:$A,Output_Mac!H:H,""),
_xlpm.MyAuditVal,_xlfn.XLOOKUP($A192,My_Audit!$A:$A,My_Audit!G:G,""),
_xlfn.IFS(_xlpm.MyAuditVal&lt;&gt;"",_xlpm.MyAuditVal,_xlpm.MacVal&lt;&gt;"",_xlpm.MacVal,_xlpm.CSVVal&lt;&gt;"",_xlpm.CSVVal
)),"")</f>
        <v/>
      </c>
      <c r="I192" s="40" t="str">
        <f>_xlfn.XLOOKUP(A192,Output_Mac!A:A,Output_Mac!I:I,"")</f>
        <v/>
      </c>
      <c r="J192" s="40" t="str" cm="1">
        <f t="array" ref="J192">IFERROR(_xlfn.LET(
_xlpm.CSVVal,_xlfn.XLOOKUP($A192,CSV!$A:$A,CSV!I:I,""),
_xlpm.MacVal,_xlfn.XLOOKUP($A192,Output_Mac!$A:$A,Output_Mac!J:J,""),
_xlpm.MyAuditVal,_xlfn.XLOOKUP($A192,My_Audit!$A:$A,My_Audit!I:I,""),
_xlfn.IFS(_xlpm.MyAuditVal&lt;&gt;"",UPPER(_xlpm.MyAuditVal),_xlpm.MacVal&lt;&gt;"",_xlpm.MacVal,_xlpm.CSVVal&lt;&gt;"",_xlpm.CSVVal
)),"")</f>
        <v/>
      </c>
      <c r="K192" s="40" t="str" cm="1">
        <f t="array" ref="K192">IFERROR(_xlfn.LET(
_xlpm.CSVVal,_xlfn.XLOOKUP($A192,CSV!$A:$A,CSV!K:K,""),
_xlpm.MacVal,_xlfn.XLOOKUP($A192,Output_Mac!$A:$A,Output_Mac!K:K,""),
_xlpm.MyAuditVal,_xlfn.XLOOKUP($A192,My_Audit!$A:$A,My_Audit!J:J,""),
_xlfn.IFS(_xlpm.MyAuditVal&lt;&gt;"",UPPER(_xlpm.MyAuditVal),_xlpm.MacVal&lt;&gt;"",_xlpm.MacVal,_xlpm.CSVVal&lt;&gt;"",_xlpm.CSVVal
)),"")</f>
        <v/>
      </c>
      <c r="L192" s="40" t="str" cm="1">
        <f t="array" ref="L192">IFERROR(_xlfn.LET(
_xlpm.CSVVal,_xlfn.XLOOKUP($A192,CSV!$A:$A,CSV!P:P,""),
_xlpm.MacVal,_xlfn.XLOOKUP($A192,Output_Mac!$A:$A,Output_Mac!L:L,""),
_xlpm.MyAuditVal,_xlfn.XLOOKUP($A192,My_Audit!$A:$A,My_Audit!K:K,""),
_xlfn.IFS(_xlpm.MyAuditVal&lt;&gt;"",UPPER(_xlpm.MyAuditVal),_xlpm.MacVal&lt;&gt;"",_xlpm.MacVal,_xlpm.CSVVal&lt;&gt;"",_xlpm.CSVVal
)),"")</f>
        <v/>
      </c>
      <c r="M192" s="40" t="str" cm="1">
        <f t="array" ref="M192">IFERROR(_xlfn.LET(
_xlpm.CSVVal,_xlfn.XLOOKUP($A192,CSV!$A:$A,CSV!Q:Q,""),
_xlpm.MacVal,_xlfn.XLOOKUP($A192,Output_Mac!$A:$A,Output_Mac!M:M,""),
_xlpm.MyAuditVal,_xlfn.XLOOKUP($A192,My_Audit!$A:$A,My_Audit!L:L,""),
_xlfn.IFS(_xlpm.MyAuditVal&lt;&gt;"",UPPER(_xlpm.MyAuditVal),_xlpm.MacVal&lt;&gt;"",_xlpm.MacVal,_xlpm.CSVVal&lt;&gt;"",_xlpm.CSVVal
)),"")</f>
        <v/>
      </c>
      <c r="N192" s="40"/>
      <c r="O192" s="40" t="str">
        <f>_xlfn.LET(
    _xlpm.CSVVal, _xlfn.XLOOKUP($A192, CSV!$A:$A, CSV!AA:AA, ""),
    _xlpm.MacVal, _xlfn.XLOOKUP($A192, Output_Mac!$A:$A, Output_Mac!S:S, ""),
    _xlpm.MyAuditVal, _xlfn.XLOOKUP($A192, My_Audit!$A:$A, My_Audit!P:P, ""),
    _xlfn.TEXTJOIN(", ", TRUE, _xlpm.MyAuditVal, _xlpm.MacVal, _xlpm.CSVVal)
)</f>
        <v/>
      </c>
      <c r="P192" s="40" t="str" cm="1">
        <f t="array" ref="P192">IFERROR(_xlfn.LET(
_xlpm.CSVVal,_xlfn.XLOOKUP($A192,CSV!$A:$A,CSV!AB:AB,""),
_xlpm.MacVal,_xlfn.XLOOKUP($A192,Output_Mac!$A:$A,Output_Mac!T:T,""),
_xlpm.MyAuditVal,_xlfn.XLOOKUP($A192,My_Audit!$A:$A,My_Audit!Q:Q,""),
_xlfn.IFS(_xlpm.MyAuditVal&lt;&gt;"",UPPER(_xlpm.MyAuditVal),_xlpm.MacVal&lt;&gt;"",_xlpm.MacVal,_xlpm.CSVVal&lt;&gt;"",_xlpm.CSVVal
)),"No")</f>
        <v>No</v>
      </c>
      <c r="Q192" s="40" t="str" cm="1">
        <f t="array" ref="Q192">IFERROR(_xlfn.LET(
_xlpm.CSVVal,_xlfn.XLOOKUP($A192,CSV!$A:$A,CSV!AC:AC,""),
_xlpm.MacVal,_xlfn.XLOOKUP($A192,Output_Mac!$A:$A,Output_Mac!U:U,""),
_xlpm.MyAuditVal,_xlfn.XLOOKUP($A192,My_Audit!$A:$A,My_Audit!R:R,""),
_xlfn.IFS(_xlpm.MyAuditVal&lt;&gt;"",UPPER(_xlpm.MyAuditVal),_xlpm.MacVal&lt;&gt;"",_xlpm.MacVal,_xlpm.CSVVal&lt;&gt;"",_xlpm.CSVVal
)),"")</f>
        <v/>
      </c>
      <c r="R192" s="40"/>
      <c r="S192" s="40"/>
      <c r="T192" s="40"/>
      <c r="U192" s="40"/>
      <c r="V192" s="40"/>
      <c r="W192" s="40"/>
      <c r="X192" s="41" t="str">
        <f>_xlfn.LET(
    _xlpm.MacVal, _xlfn.XLOOKUP($A192, Output_Mac!$A:$A, Output_Mac!AB:AB, ""),
    _xlpm.MyAuditVal, _xlfn.XLOOKUP($A192, My_Audit!$A:$A, My_Audit!N:N, ""),
    _xlfn.TEXTJOIN(", ", TRUE, _xlpm.MyAuditVal, _xlpm.MacVal)
)</f>
        <v/>
      </c>
    </row>
    <row r="193" spans="1:24">
      <c r="A193" s="40" t="str">
        <f>_xlfn.TEXTJOIN("",TRUE,Input!$B$2,ROW(My_Audit!A192))</f>
        <v>X192</v>
      </c>
      <c r="B193" s="40" t="str">
        <f>_xlfn.TEXTJOIN("-",TRUE,"ITD",Input!$A$2,A193)</f>
        <v>ITD-X192</v>
      </c>
      <c r="C193" s="40" t="str" cm="1">
        <f t="array" ref="C193">IFERROR(_xlfn.LET(
_xlpm.CSVVal,_xlfn.XLOOKUP($A193,CSV!$A:$A,CSV!B:B,""),
_xlpm.MacVal,_xlfn.XLOOKUP($A193,Output_Mac!$A:$A,Output_Mac!B:B,""),
_xlpm.MyAuditVal,_xlfn.XLOOKUP($A193,My_Audit!$A:$A,My_Audit!B:B,""),
_xlfn.IFS(_xlpm.MyAuditVal&lt;&gt;"",UPPER(_xlpm.MyAuditVal),_xlpm.MacVal&lt;&gt;"",_xlpm.MacVal,_xlpm.CSVVal&lt;&gt;"",_xlpm.CSVVal
)),"")</f>
        <v/>
      </c>
      <c r="D193" s="40" t="str" cm="1">
        <f t="array" ref="D193">IFERROR(_xlfn.LET(
_xlpm.CSVVal,_xlfn.XLOOKUP($A193,CSV!$A:$A,CSV!D:D,""),
_xlpm.MacVal,_xlfn.XLOOKUP($A193,Output_Mac!$A:$A,Output_Mac!C:C,""),
_xlpm.MyAuditVal,_xlfn.XLOOKUP($A193,My_Audit!$A:$A,My_Audit!C:C,""),
_xlfn.IFS(_xlpm.MyAuditVal&lt;&gt;"",_xlpm.MyAuditVal,_xlpm.MacVal&lt;&gt;"",_xlpm.MacVal,_xlpm.CSVVal&lt;&gt;"",_xlpm.CSVVal
)),"")</f>
        <v/>
      </c>
      <c r="E193" s="40">
        <f>_xlfn.XLOOKUP(A193,My_Audit!A:A,My_Audit!D:D,"")</f>
        <v>0</v>
      </c>
      <c r="F193" s="40" t="str" cm="1">
        <f t="array" ref="F193">IFERROR(_xlfn.LET(
_xlpm.CSVVal,_xlfn.XLOOKUP($A193,CSV!$A:$A,CSV!F:F,""),
_xlpm.MacVal,_xlfn.XLOOKUP($A193,Output_Mac!$A:$A,Output_Mac!E:E,""),
_xlpm.MyAuditVal,_xlfn.XLOOKUP($A193,My_Audit!$A:$A,My_Audit!E:E,""),
_xlfn.IFS(_xlpm.MyAuditVal&lt;&gt;"",_xlpm.MyAuditVal,_xlpm.MacVal&lt;&gt;"",_xlpm.MacVal,_xlpm.CSVVal&lt;&gt;"",_xlpm.CSVVal
)),"")</f>
        <v/>
      </c>
      <c r="G193" s="40" t="str" cm="1">
        <f t="array" ref="G193">IFERROR(_xlfn.LET(
_xlpm.CSVVal,_xlfn.XLOOKUP($A193,CSV!$A:$A,CSV!G:G,""),
_xlpm.MacVal,_xlfn.XLOOKUP($A193,Output_Mac!$A:$A,Output_Mac!F:F,""),
_xlpm.MyAuditVal,_xlfn.XLOOKUP($A193,My_Audit!$A:$A,My_Audit!F:F,""),
_xlfn.IFS(_xlpm.MyAuditVal&lt;&gt;"",_xlpm.MyAuditVal,_xlpm.MacVal&lt;&gt;"",_xlpm.MacVal,_xlpm.CSVVal&lt;&gt;"",PROPER(_xlpm.CSVVal)
)),"")</f>
        <v/>
      </c>
      <c r="H193" s="40" t="str" cm="1">
        <f t="array" ref="H193">IFERROR(_xlfn.LET(
_xlpm.CSVVal,_xlfn.XLOOKUP($A193,CSV!$A:$A,CSV!H:H,""),
_xlpm.MacVal,_xlfn.XLOOKUP($A193,Output_Mac!$A:$A,Output_Mac!H:H,""),
_xlpm.MyAuditVal,_xlfn.XLOOKUP($A193,My_Audit!$A:$A,My_Audit!G:G,""),
_xlfn.IFS(_xlpm.MyAuditVal&lt;&gt;"",_xlpm.MyAuditVal,_xlpm.MacVal&lt;&gt;"",_xlpm.MacVal,_xlpm.CSVVal&lt;&gt;"",_xlpm.CSVVal
)),"")</f>
        <v/>
      </c>
      <c r="I193" s="40" t="str">
        <f>_xlfn.XLOOKUP(A193,Output_Mac!A:A,Output_Mac!I:I,"")</f>
        <v/>
      </c>
      <c r="J193" s="40" t="str" cm="1">
        <f t="array" ref="J193">IFERROR(_xlfn.LET(
_xlpm.CSVVal,_xlfn.XLOOKUP($A193,CSV!$A:$A,CSV!I:I,""),
_xlpm.MacVal,_xlfn.XLOOKUP($A193,Output_Mac!$A:$A,Output_Mac!J:J,""),
_xlpm.MyAuditVal,_xlfn.XLOOKUP($A193,My_Audit!$A:$A,My_Audit!I:I,""),
_xlfn.IFS(_xlpm.MyAuditVal&lt;&gt;"",UPPER(_xlpm.MyAuditVal),_xlpm.MacVal&lt;&gt;"",_xlpm.MacVal,_xlpm.CSVVal&lt;&gt;"",_xlpm.CSVVal
)),"")</f>
        <v/>
      </c>
      <c r="K193" s="40" t="str" cm="1">
        <f t="array" ref="K193">IFERROR(_xlfn.LET(
_xlpm.CSVVal,_xlfn.XLOOKUP($A193,CSV!$A:$A,CSV!K:K,""),
_xlpm.MacVal,_xlfn.XLOOKUP($A193,Output_Mac!$A:$A,Output_Mac!K:K,""),
_xlpm.MyAuditVal,_xlfn.XLOOKUP($A193,My_Audit!$A:$A,My_Audit!J:J,""),
_xlfn.IFS(_xlpm.MyAuditVal&lt;&gt;"",UPPER(_xlpm.MyAuditVal),_xlpm.MacVal&lt;&gt;"",_xlpm.MacVal,_xlpm.CSVVal&lt;&gt;"",_xlpm.CSVVal
)),"")</f>
        <v/>
      </c>
      <c r="L193" s="40" t="str" cm="1">
        <f t="array" ref="L193">IFERROR(_xlfn.LET(
_xlpm.CSVVal,_xlfn.XLOOKUP($A193,CSV!$A:$A,CSV!P:P,""),
_xlpm.MacVal,_xlfn.XLOOKUP($A193,Output_Mac!$A:$A,Output_Mac!L:L,""),
_xlpm.MyAuditVal,_xlfn.XLOOKUP($A193,My_Audit!$A:$A,My_Audit!K:K,""),
_xlfn.IFS(_xlpm.MyAuditVal&lt;&gt;"",UPPER(_xlpm.MyAuditVal),_xlpm.MacVal&lt;&gt;"",_xlpm.MacVal,_xlpm.CSVVal&lt;&gt;"",_xlpm.CSVVal
)),"")</f>
        <v/>
      </c>
      <c r="M193" s="40" t="str" cm="1">
        <f t="array" ref="M193">IFERROR(_xlfn.LET(
_xlpm.CSVVal,_xlfn.XLOOKUP($A193,CSV!$A:$A,CSV!Q:Q,""),
_xlpm.MacVal,_xlfn.XLOOKUP($A193,Output_Mac!$A:$A,Output_Mac!M:M,""),
_xlpm.MyAuditVal,_xlfn.XLOOKUP($A193,My_Audit!$A:$A,My_Audit!L:L,""),
_xlfn.IFS(_xlpm.MyAuditVal&lt;&gt;"",UPPER(_xlpm.MyAuditVal),_xlpm.MacVal&lt;&gt;"",_xlpm.MacVal,_xlpm.CSVVal&lt;&gt;"",_xlpm.CSVVal
)),"")</f>
        <v/>
      </c>
      <c r="N193" s="40"/>
      <c r="O193" s="40" t="str">
        <f>_xlfn.LET(
    _xlpm.CSVVal, _xlfn.XLOOKUP($A193, CSV!$A:$A, CSV!AA:AA, ""),
    _xlpm.MacVal, _xlfn.XLOOKUP($A193, Output_Mac!$A:$A, Output_Mac!S:S, ""),
    _xlpm.MyAuditVal, _xlfn.XLOOKUP($A193, My_Audit!$A:$A, My_Audit!P:P, ""),
    _xlfn.TEXTJOIN(", ", TRUE, _xlpm.MyAuditVal, _xlpm.MacVal, _xlpm.CSVVal)
)</f>
        <v/>
      </c>
      <c r="P193" s="40" t="str" cm="1">
        <f t="array" ref="P193">IFERROR(_xlfn.LET(
_xlpm.CSVVal,_xlfn.XLOOKUP($A193,CSV!$A:$A,CSV!AB:AB,""),
_xlpm.MacVal,_xlfn.XLOOKUP($A193,Output_Mac!$A:$A,Output_Mac!T:T,""),
_xlpm.MyAuditVal,_xlfn.XLOOKUP($A193,My_Audit!$A:$A,My_Audit!Q:Q,""),
_xlfn.IFS(_xlpm.MyAuditVal&lt;&gt;"",UPPER(_xlpm.MyAuditVal),_xlpm.MacVal&lt;&gt;"",_xlpm.MacVal,_xlpm.CSVVal&lt;&gt;"",_xlpm.CSVVal
)),"No")</f>
        <v>No</v>
      </c>
      <c r="Q193" s="40" t="str" cm="1">
        <f t="array" ref="Q193">IFERROR(_xlfn.LET(
_xlpm.CSVVal,_xlfn.XLOOKUP($A193,CSV!$A:$A,CSV!AC:AC,""),
_xlpm.MacVal,_xlfn.XLOOKUP($A193,Output_Mac!$A:$A,Output_Mac!U:U,""),
_xlpm.MyAuditVal,_xlfn.XLOOKUP($A193,My_Audit!$A:$A,My_Audit!R:R,""),
_xlfn.IFS(_xlpm.MyAuditVal&lt;&gt;"",UPPER(_xlpm.MyAuditVal),_xlpm.MacVal&lt;&gt;"",_xlpm.MacVal,_xlpm.CSVVal&lt;&gt;"",_xlpm.CSVVal
)),"")</f>
        <v/>
      </c>
      <c r="R193" s="40"/>
      <c r="S193" s="40"/>
      <c r="T193" s="40"/>
      <c r="U193" s="40"/>
      <c r="V193" s="40"/>
      <c r="W193" s="40"/>
      <c r="X193" s="41" t="str">
        <f>_xlfn.LET(
    _xlpm.MacVal, _xlfn.XLOOKUP($A193, Output_Mac!$A:$A, Output_Mac!AB:AB, ""),
    _xlpm.MyAuditVal, _xlfn.XLOOKUP($A193, My_Audit!$A:$A, My_Audit!N:N, ""),
    _xlfn.TEXTJOIN(", ", TRUE, _xlpm.MyAuditVal, _xlpm.MacVal)
)</f>
        <v/>
      </c>
    </row>
    <row r="194" spans="1:24">
      <c r="A194" s="40" t="str">
        <f>_xlfn.TEXTJOIN("",TRUE,Input!$B$2,ROW(My_Audit!A193))</f>
        <v>X193</v>
      </c>
      <c r="B194" s="40" t="str">
        <f>_xlfn.TEXTJOIN("-",TRUE,"ITD",Input!$A$2,A194)</f>
        <v>ITD-X193</v>
      </c>
      <c r="C194" s="40" t="str" cm="1">
        <f t="array" ref="C194">IFERROR(_xlfn.LET(
_xlpm.CSVVal,_xlfn.XLOOKUP($A194,CSV!$A:$A,CSV!B:B,""),
_xlpm.MacVal,_xlfn.XLOOKUP($A194,Output_Mac!$A:$A,Output_Mac!B:B,""),
_xlpm.MyAuditVal,_xlfn.XLOOKUP($A194,My_Audit!$A:$A,My_Audit!B:B,""),
_xlfn.IFS(_xlpm.MyAuditVal&lt;&gt;"",UPPER(_xlpm.MyAuditVal),_xlpm.MacVal&lt;&gt;"",_xlpm.MacVal,_xlpm.CSVVal&lt;&gt;"",_xlpm.CSVVal
)),"")</f>
        <v/>
      </c>
      <c r="D194" s="40" t="str" cm="1">
        <f t="array" ref="D194">IFERROR(_xlfn.LET(
_xlpm.CSVVal,_xlfn.XLOOKUP($A194,CSV!$A:$A,CSV!D:D,""),
_xlpm.MacVal,_xlfn.XLOOKUP($A194,Output_Mac!$A:$A,Output_Mac!C:C,""),
_xlpm.MyAuditVal,_xlfn.XLOOKUP($A194,My_Audit!$A:$A,My_Audit!C:C,""),
_xlfn.IFS(_xlpm.MyAuditVal&lt;&gt;"",_xlpm.MyAuditVal,_xlpm.MacVal&lt;&gt;"",_xlpm.MacVal,_xlpm.CSVVal&lt;&gt;"",_xlpm.CSVVal
)),"")</f>
        <v/>
      </c>
      <c r="E194" s="40">
        <f>_xlfn.XLOOKUP(A194,My_Audit!A:A,My_Audit!D:D,"")</f>
        <v>0</v>
      </c>
      <c r="F194" s="40" t="str" cm="1">
        <f t="array" ref="F194">IFERROR(_xlfn.LET(
_xlpm.CSVVal,_xlfn.XLOOKUP($A194,CSV!$A:$A,CSV!F:F,""),
_xlpm.MacVal,_xlfn.XLOOKUP($A194,Output_Mac!$A:$A,Output_Mac!E:E,""),
_xlpm.MyAuditVal,_xlfn.XLOOKUP($A194,My_Audit!$A:$A,My_Audit!E:E,""),
_xlfn.IFS(_xlpm.MyAuditVal&lt;&gt;"",_xlpm.MyAuditVal,_xlpm.MacVal&lt;&gt;"",_xlpm.MacVal,_xlpm.CSVVal&lt;&gt;"",_xlpm.CSVVal
)),"")</f>
        <v/>
      </c>
      <c r="G194" s="40" t="str" cm="1">
        <f t="array" ref="G194">IFERROR(_xlfn.LET(
_xlpm.CSVVal,_xlfn.XLOOKUP($A194,CSV!$A:$A,CSV!G:G,""),
_xlpm.MacVal,_xlfn.XLOOKUP($A194,Output_Mac!$A:$A,Output_Mac!F:F,""),
_xlpm.MyAuditVal,_xlfn.XLOOKUP($A194,My_Audit!$A:$A,My_Audit!F:F,""),
_xlfn.IFS(_xlpm.MyAuditVal&lt;&gt;"",_xlpm.MyAuditVal,_xlpm.MacVal&lt;&gt;"",_xlpm.MacVal,_xlpm.CSVVal&lt;&gt;"",PROPER(_xlpm.CSVVal)
)),"")</f>
        <v/>
      </c>
      <c r="H194" s="40" t="str" cm="1">
        <f t="array" ref="H194">IFERROR(_xlfn.LET(
_xlpm.CSVVal,_xlfn.XLOOKUP($A194,CSV!$A:$A,CSV!H:H,""),
_xlpm.MacVal,_xlfn.XLOOKUP($A194,Output_Mac!$A:$A,Output_Mac!H:H,""),
_xlpm.MyAuditVal,_xlfn.XLOOKUP($A194,My_Audit!$A:$A,My_Audit!G:G,""),
_xlfn.IFS(_xlpm.MyAuditVal&lt;&gt;"",_xlpm.MyAuditVal,_xlpm.MacVal&lt;&gt;"",_xlpm.MacVal,_xlpm.CSVVal&lt;&gt;"",_xlpm.CSVVal
)),"")</f>
        <v/>
      </c>
      <c r="I194" s="40" t="str">
        <f>_xlfn.XLOOKUP(A194,Output_Mac!A:A,Output_Mac!I:I,"")</f>
        <v/>
      </c>
      <c r="J194" s="40" t="str" cm="1">
        <f t="array" ref="J194">IFERROR(_xlfn.LET(
_xlpm.CSVVal,_xlfn.XLOOKUP($A194,CSV!$A:$A,CSV!I:I,""),
_xlpm.MacVal,_xlfn.XLOOKUP($A194,Output_Mac!$A:$A,Output_Mac!J:J,""),
_xlpm.MyAuditVal,_xlfn.XLOOKUP($A194,My_Audit!$A:$A,My_Audit!I:I,""),
_xlfn.IFS(_xlpm.MyAuditVal&lt;&gt;"",UPPER(_xlpm.MyAuditVal),_xlpm.MacVal&lt;&gt;"",_xlpm.MacVal,_xlpm.CSVVal&lt;&gt;"",_xlpm.CSVVal
)),"")</f>
        <v/>
      </c>
      <c r="K194" s="40" t="str" cm="1">
        <f t="array" ref="K194">IFERROR(_xlfn.LET(
_xlpm.CSVVal,_xlfn.XLOOKUP($A194,CSV!$A:$A,CSV!K:K,""),
_xlpm.MacVal,_xlfn.XLOOKUP($A194,Output_Mac!$A:$A,Output_Mac!K:K,""),
_xlpm.MyAuditVal,_xlfn.XLOOKUP($A194,My_Audit!$A:$A,My_Audit!J:J,""),
_xlfn.IFS(_xlpm.MyAuditVal&lt;&gt;"",UPPER(_xlpm.MyAuditVal),_xlpm.MacVal&lt;&gt;"",_xlpm.MacVal,_xlpm.CSVVal&lt;&gt;"",_xlpm.CSVVal
)),"")</f>
        <v/>
      </c>
      <c r="L194" s="40" t="str" cm="1">
        <f t="array" ref="L194">IFERROR(_xlfn.LET(
_xlpm.CSVVal,_xlfn.XLOOKUP($A194,CSV!$A:$A,CSV!P:P,""),
_xlpm.MacVal,_xlfn.XLOOKUP($A194,Output_Mac!$A:$A,Output_Mac!L:L,""),
_xlpm.MyAuditVal,_xlfn.XLOOKUP($A194,My_Audit!$A:$A,My_Audit!K:K,""),
_xlfn.IFS(_xlpm.MyAuditVal&lt;&gt;"",UPPER(_xlpm.MyAuditVal),_xlpm.MacVal&lt;&gt;"",_xlpm.MacVal,_xlpm.CSVVal&lt;&gt;"",_xlpm.CSVVal
)),"")</f>
        <v/>
      </c>
      <c r="M194" s="40" t="str" cm="1">
        <f t="array" ref="M194">IFERROR(_xlfn.LET(
_xlpm.CSVVal,_xlfn.XLOOKUP($A194,CSV!$A:$A,CSV!Q:Q,""),
_xlpm.MacVal,_xlfn.XLOOKUP($A194,Output_Mac!$A:$A,Output_Mac!M:M,""),
_xlpm.MyAuditVal,_xlfn.XLOOKUP($A194,My_Audit!$A:$A,My_Audit!L:L,""),
_xlfn.IFS(_xlpm.MyAuditVal&lt;&gt;"",UPPER(_xlpm.MyAuditVal),_xlpm.MacVal&lt;&gt;"",_xlpm.MacVal,_xlpm.CSVVal&lt;&gt;"",_xlpm.CSVVal
)),"")</f>
        <v/>
      </c>
      <c r="N194" s="40"/>
      <c r="O194" s="40" t="str">
        <f>_xlfn.LET(
    _xlpm.CSVVal, _xlfn.XLOOKUP($A194, CSV!$A:$A, CSV!AA:AA, ""),
    _xlpm.MacVal, _xlfn.XLOOKUP($A194, Output_Mac!$A:$A, Output_Mac!S:S, ""),
    _xlpm.MyAuditVal, _xlfn.XLOOKUP($A194, My_Audit!$A:$A, My_Audit!P:P, ""),
    _xlfn.TEXTJOIN(", ", TRUE, _xlpm.MyAuditVal, _xlpm.MacVal, _xlpm.CSVVal)
)</f>
        <v/>
      </c>
      <c r="P194" s="40" t="str" cm="1">
        <f t="array" ref="P194">IFERROR(_xlfn.LET(
_xlpm.CSVVal,_xlfn.XLOOKUP($A194,CSV!$A:$A,CSV!AB:AB,""),
_xlpm.MacVal,_xlfn.XLOOKUP($A194,Output_Mac!$A:$A,Output_Mac!T:T,""),
_xlpm.MyAuditVal,_xlfn.XLOOKUP($A194,My_Audit!$A:$A,My_Audit!Q:Q,""),
_xlfn.IFS(_xlpm.MyAuditVal&lt;&gt;"",UPPER(_xlpm.MyAuditVal),_xlpm.MacVal&lt;&gt;"",_xlpm.MacVal,_xlpm.CSVVal&lt;&gt;"",_xlpm.CSVVal
)),"No")</f>
        <v>No</v>
      </c>
      <c r="Q194" s="40" t="str" cm="1">
        <f t="array" ref="Q194">IFERROR(_xlfn.LET(
_xlpm.CSVVal,_xlfn.XLOOKUP($A194,CSV!$A:$A,CSV!AC:AC,""),
_xlpm.MacVal,_xlfn.XLOOKUP($A194,Output_Mac!$A:$A,Output_Mac!U:U,""),
_xlpm.MyAuditVal,_xlfn.XLOOKUP($A194,My_Audit!$A:$A,My_Audit!R:R,""),
_xlfn.IFS(_xlpm.MyAuditVal&lt;&gt;"",UPPER(_xlpm.MyAuditVal),_xlpm.MacVal&lt;&gt;"",_xlpm.MacVal,_xlpm.CSVVal&lt;&gt;"",_xlpm.CSVVal
)),"")</f>
        <v/>
      </c>
      <c r="R194" s="40"/>
      <c r="S194" s="40"/>
      <c r="T194" s="40"/>
      <c r="U194" s="40"/>
      <c r="V194" s="40"/>
      <c r="W194" s="40"/>
      <c r="X194" s="41" t="str">
        <f>_xlfn.LET(
    _xlpm.MacVal, _xlfn.XLOOKUP($A194, Output_Mac!$A:$A, Output_Mac!AB:AB, ""),
    _xlpm.MyAuditVal, _xlfn.XLOOKUP($A194, My_Audit!$A:$A, My_Audit!N:N, ""),
    _xlfn.TEXTJOIN(", ", TRUE, _xlpm.MyAuditVal, _xlpm.MacVal)
)</f>
        <v/>
      </c>
    </row>
    <row r="195" spans="1:24">
      <c r="A195" s="40" t="str">
        <f>_xlfn.TEXTJOIN("",TRUE,Input!$B$2,ROW(My_Audit!A194))</f>
        <v>X194</v>
      </c>
      <c r="B195" s="40" t="str">
        <f>_xlfn.TEXTJOIN("-",TRUE,"ITD",Input!$A$2,A195)</f>
        <v>ITD-X194</v>
      </c>
      <c r="C195" s="40" t="str" cm="1">
        <f t="array" ref="C195">IFERROR(_xlfn.LET(
_xlpm.CSVVal,_xlfn.XLOOKUP($A195,CSV!$A:$A,CSV!B:B,""),
_xlpm.MacVal,_xlfn.XLOOKUP($A195,Output_Mac!$A:$A,Output_Mac!B:B,""),
_xlpm.MyAuditVal,_xlfn.XLOOKUP($A195,My_Audit!$A:$A,My_Audit!B:B,""),
_xlfn.IFS(_xlpm.MyAuditVal&lt;&gt;"",UPPER(_xlpm.MyAuditVal),_xlpm.MacVal&lt;&gt;"",_xlpm.MacVal,_xlpm.CSVVal&lt;&gt;"",_xlpm.CSVVal
)),"")</f>
        <v/>
      </c>
      <c r="D195" s="40" t="str" cm="1">
        <f t="array" ref="D195">IFERROR(_xlfn.LET(
_xlpm.CSVVal,_xlfn.XLOOKUP($A195,CSV!$A:$A,CSV!D:D,""),
_xlpm.MacVal,_xlfn.XLOOKUP($A195,Output_Mac!$A:$A,Output_Mac!C:C,""),
_xlpm.MyAuditVal,_xlfn.XLOOKUP($A195,My_Audit!$A:$A,My_Audit!C:C,""),
_xlfn.IFS(_xlpm.MyAuditVal&lt;&gt;"",_xlpm.MyAuditVal,_xlpm.MacVal&lt;&gt;"",_xlpm.MacVal,_xlpm.CSVVal&lt;&gt;"",_xlpm.CSVVal
)),"")</f>
        <v/>
      </c>
      <c r="E195" s="40">
        <f>_xlfn.XLOOKUP(A195,My_Audit!A:A,My_Audit!D:D,"")</f>
        <v>0</v>
      </c>
      <c r="F195" s="40" t="str" cm="1">
        <f t="array" ref="F195">IFERROR(_xlfn.LET(
_xlpm.CSVVal,_xlfn.XLOOKUP($A195,CSV!$A:$A,CSV!F:F,""),
_xlpm.MacVal,_xlfn.XLOOKUP($A195,Output_Mac!$A:$A,Output_Mac!E:E,""),
_xlpm.MyAuditVal,_xlfn.XLOOKUP($A195,My_Audit!$A:$A,My_Audit!E:E,""),
_xlfn.IFS(_xlpm.MyAuditVal&lt;&gt;"",_xlpm.MyAuditVal,_xlpm.MacVal&lt;&gt;"",_xlpm.MacVal,_xlpm.CSVVal&lt;&gt;"",_xlpm.CSVVal
)),"")</f>
        <v/>
      </c>
      <c r="G195" s="40" t="str" cm="1">
        <f t="array" ref="G195">IFERROR(_xlfn.LET(
_xlpm.CSVVal,_xlfn.XLOOKUP($A195,CSV!$A:$A,CSV!G:G,""),
_xlpm.MacVal,_xlfn.XLOOKUP($A195,Output_Mac!$A:$A,Output_Mac!F:F,""),
_xlpm.MyAuditVal,_xlfn.XLOOKUP($A195,My_Audit!$A:$A,My_Audit!F:F,""),
_xlfn.IFS(_xlpm.MyAuditVal&lt;&gt;"",_xlpm.MyAuditVal,_xlpm.MacVal&lt;&gt;"",_xlpm.MacVal,_xlpm.CSVVal&lt;&gt;"",PROPER(_xlpm.CSVVal)
)),"")</f>
        <v/>
      </c>
      <c r="H195" s="40" t="str" cm="1">
        <f t="array" ref="H195">IFERROR(_xlfn.LET(
_xlpm.CSVVal,_xlfn.XLOOKUP($A195,CSV!$A:$A,CSV!H:H,""),
_xlpm.MacVal,_xlfn.XLOOKUP($A195,Output_Mac!$A:$A,Output_Mac!H:H,""),
_xlpm.MyAuditVal,_xlfn.XLOOKUP($A195,My_Audit!$A:$A,My_Audit!G:G,""),
_xlfn.IFS(_xlpm.MyAuditVal&lt;&gt;"",_xlpm.MyAuditVal,_xlpm.MacVal&lt;&gt;"",_xlpm.MacVal,_xlpm.CSVVal&lt;&gt;"",_xlpm.CSVVal
)),"")</f>
        <v/>
      </c>
      <c r="I195" s="40" t="str">
        <f>_xlfn.XLOOKUP(A195,Output_Mac!A:A,Output_Mac!I:I,"")</f>
        <v/>
      </c>
      <c r="J195" s="40" t="str" cm="1">
        <f t="array" ref="J195">IFERROR(_xlfn.LET(
_xlpm.CSVVal,_xlfn.XLOOKUP($A195,CSV!$A:$A,CSV!I:I,""),
_xlpm.MacVal,_xlfn.XLOOKUP($A195,Output_Mac!$A:$A,Output_Mac!J:J,""),
_xlpm.MyAuditVal,_xlfn.XLOOKUP($A195,My_Audit!$A:$A,My_Audit!I:I,""),
_xlfn.IFS(_xlpm.MyAuditVal&lt;&gt;"",UPPER(_xlpm.MyAuditVal),_xlpm.MacVal&lt;&gt;"",_xlpm.MacVal,_xlpm.CSVVal&lt;&gt;"",_xlpm.CSVVal
)),"")</f>
        <v/>
      </c>
      <c r="K195" s="40" t="str" cm="1">
        <f t="array" ref="K195">IFERROR(_xlfn.LET(
_xlpm.CSVVal,_xlfn.XLOOKUP($A195,CSV!$A:$A,CSV!K:K,""),
_xlpm.MacVal,_xlfn.XLOOKUP($A195,Output_Mac!$A:$A,Output_Mac!K:K,""),
_xlpm.MyAuditVal,_xlfn.XLOOKUP($A195,My_Audit!$A:$A,My_Audit!J:J,""),
_xlfn.IFS(_xlpm.MyAuditVal&lt;&gt;"",UPPER(_xlpm.MyAuditVal),_xlpm.MacVal&lt;&gt;"",_xlpm.MacVal,_xlpm.CSVVal&lt;&gt;"",_xlpm.CSVVal
)),"")</f>
        <v/>
      </c>
      <c r="L195" s="40" t="str" cm="1">
        <f t="array" ref="L195">IFERROR(_xlfn.LET(
_xlpm.CSVVal,_xlfn.XLOOKUP($A195,CSV!$A:$A,CSV!P:P,""),
_xlpm.MacVal,_xlfn.XLOOKUP($A195,Output_Mac!$A:$A,Output_Mac!L:L,""),
_xlpm.MyAuditVal,_xlfn.XLOOKUP($A195,My_Audit!$A:$A,My_Audit!K:K,""),
_xlfn.IFS(_xlpm.MyAuditVal&lt;&gt;"",UPPER(_xlpm.MyAuditVal),_xlpm.MacVal&lt;&gt;"",_xlpm.MacVal,_xlpm.CSVVal&lt;&gt;"",_xlpm.CSVVal
)),"")</f>
        <v/>
      </c>
      <c r="M195" s="40" t="str" cm="1">
        <f t="array" ref="M195">IFERROR(_xlfn.LET(
_xlpm.CSVVal,_xlfn.XLOOKUP($A195,CSV!$A:$A,CSV!Q:Q,""),
_xlpm.MacVal,_xlfn.XLOOKUP($A195,Output_Mac!$A:$A,Output_Mac!M:M,""),
_xlpm.MyAuditVal,_xlfn.XLOOKUP($A195,My_Audit!$A:$A,My_Audit!L:L,""),
_xlfn.IFS(_xlpm.MyAuditVal&lt;&gt;"",UPPER(_xlpm.MyAuditVal),_xlpm.MacVal&lt;&gt;"",_xlpm.MacVal,_xlpm.CSVVal&lt;&gt;"",_xlpm.CSVVal
)),"")</f>
        <v/>
      </c>
      <c r="N195" s="40"/>
      <c r="O195" s="40" t="str">
        <f>_xlfn.LET(
    _xlpm.CSVVal, _xlfn.XLOOKUP($A195, CSV!$A:$A, CSV!AA:AA, ""),
    _xlpm.MacVal, _xlfn.XLOOKUP($A195, Output_Mac!$A:$A, Output_Mac!S:S, ""),
    _xlpm.MyAuditVal, _xlfn.XLOOKUP($A195, My_Audit!$A:$A, My_Audit!P:P, ""),
    _xlfn.TEXTJOIN(", ", TRUE, _xlpm.MyAuditVal, _xlpm.MacVal, _xlpm.CSVVal)
)</f>
        <v/>
      </c>
      <c r="P195" s="40" t="str" cm="1">
        <f t="array" ref="P195">IFERROR(_xlfn.LET(
_xlpm.CSVVal,_xlfn.XLOOKUP($A195,CSV!$A:$A,CSV!AB:AB,""),
_xlpm.MacVal,_xlfn.XLOOKUP($A195,Output_Mac!$A:$A,Output_Mac!T:T,""),
_xlpm.MyAuditVal,_xlfn.XLOOKUP($A195,My_Audit!$A:$A,My_Audit!Q:Q,""),
_xlfn.IFS(_xlpm.MyAuditVal&lt;&gt;"",UPPER(_xlpm.MyAuditVal),_xlpm.MacVal&lt;&gt;"",_xlpm.MacVal,_xlpm.CSVVal&lt;&gt;"",_xlpm.CSVVal
)),"No")</f>
        <v>No</v>
      </c>
      <c r="Q195" s="40" t="str" cm="1">
        <f t="array" ref="Q195">IFERROR(_xlfn.LET(
_xlpm.CSVVal,_xlfn.XLOOKUP($A195,CSV!$A:$A,CSV!AC:AC,""),
_xlpm.MacVal,_xlfn.XLOOKUP($A195,Output_Mac!$A:$A,Output_Mac!U:U,""),
_xlpm.MyAuditVal,_xlfn.XLOOKUP($A195,My_Audit!$A:$A,My_Audit!R:R,""),
_xlfn.IFS(_xlpm.MyAuditVal&lt;&gt;"",UPPER(_xlpm.MyAuditVal),_xlpm.MacVal&lt;&gt;"",_xlpm.MacVal,_xlpm.CSVVal&lt;&gt;"",_xlpm.CSVVal
)),"")</f>
        <v/>
      </c>
      <c r="R195" s="40"/>
      <c r="S195" s="40"/>
      <c r="T195" s="40"/>
      <c r="U195" s="40"/>
      <c r="V195" s="40"/>
      <c r="W195" s="40"/>
      <c r="X195" s="41" t="str">
        <f>_xlfn.LET(
    _xlpm.MacVal, _xlfn.XLOOKUP($A195, Output_Mac!$A:$A, Output_Mac!AB:AB, ""),
    _xlpm.MyAuditVal, _xlfn.XLOOKUP($A195, My_Audit!$A:$A, My_Audit!N:N, ""),
    _xlfn.TEXTJOIN(", ", TRUE, _xlpm.MyAuditVal, _xlpm.MacVal)
)</f>
        <v/>
      </c>
    </row>
    <row r="196" spans="1:24">
      <c r="A196" s="40" t="str">
        <f>_xlfn.TEXTJOIN("",TRUE,Input!$B$2,ROW(My_Audit!A195))</f>
        <v>X195</v>
      </c>
      <c r="B196" s="40" t="str">
        <f>_xlfn.TEXTJOIN("-",TRUE,"ITD",Input!$A$2,A196)</f>
        <v>ITD-X195</v>
      </c>
      <c r="C196" s="40" t="str" cm="1">
        <f t="array" ref="C196">IFERROR(_xlfn.LET(
_xlpm.CSVVal,_xlfn.XLOOKUP($A196,CSV!$A:$A,CSV!B:B,""),
_xlpm.MacVal,_xlfn.XLOOKUP($A196,Output_Mac!$A:$A,Output_Mac!B:B,""),
_xlpm.MyAuditVal,_xlfn.XLOOKUP($A196,My_Audit!$A:$A,My_Audit!B:B,""),
_xlfn.IFS(_xlpm.MyAuditVal&lt;&gt;"",UPPER(_xlpm.MyAuditVal),_xlpm.MacVal&lt;&gt;"",_xlpm.MacVal,_xlpm.CSVVal&lt;&gt;"",_xlpm.CSVVal
)),"")</f>
        <v/>
      </c>
      <c r="D196" s="40" t="str" cm="1">
        <f t="array" ref="D196">IFERROR(_xlfn.LET(
_xlpm.CSVVal,_xlfn.XLOOKUP($A196,CSV!$A:$A,CSV!D:D,""),
_xlpm.MacVal,_xlfn.XLOOKUP($A196,Output_Mac!$A:$A,Output_Mac!C:C,""),
_xlpm.MyAuditVal,_xlfn.XLOOKUP($A196,My_Audit!$A:$A,My_Audit!C:C,""),
_xlfn.IFS(_xlpm.MyAuditVal&lt;&gt;"",_xlpm.MyAuditVal,_xlpm.MacVal&lt;&gt;"",_xlpm.MacVal,_xlpm.CSVVal&lt;&gt;"",_xlpm.CSVVal
)),"")</f>
        <v/>
      </c>
      <c r="E196" s="40">
        <f>_xlfn.XLOOKUP(A196,My_Audit!A:A,My_Audit!D:D,"")</f>
        <v>0</v>
      </c>
      <c r="F196" s="40" t="str" cm="1">
        <f t="array" ref="F196">IFERROR(_xlfn.LET(
_xlpm.CSVVal,_xlfn.XLOOKUP($A196,CSV!$A:$A,CSV!F:F,""),
_xlpm.MacVal,_xlfn.XLOOKUP($A196,Output_Mac!$A:$A,Output_Mac!E:E,""),
_xlpm.MyAuditVal,_xlfn.XLOOKUP($A196,My_Audit!$A:$A,My_Audit!E:E,""),
_xlfn.IFS(_xlpm.MyAuditVal&lt;&gt;"",_xlpm.MyAuditVal,_xlpm.MacVal&lt;&gt;"",_xlpm.MacVal,_xlpm.CSVVal&lt;&gt;"",_xlpm.CSVVal
)),"")</f>
        <v/>
      </c>
      <c r="G196" s="40" t="str" cm="1">
        <f t="array" ref="G196">IFERROR(_xlfn.LET(
_xlpm.CSVVal,_xlfn.XLOOKUP($A196,CSV!$A:$A,CSV!G:G,""),
_xlpm.MacVal,_xlfn.XLOOKUP($A196,Output_Mac!$A:$A,Output_Mac!F:F,""),
_xlpm.MyAuditVal,_xlfn.XLOOKUP($A196,My_Audit!$A:$A,My_Audit!F:F,""),
_xlfn.IFS(_xlpm.MyAuditVal&lt;&gt;"",_xlpm.MyAuditVal,_xlpm.MacVal&lt;&gt;"",_xlpm.MacVal,_xlpm.CSVVal&lt;&gt;"",PROPER(_xlpm.CSVVal)
)),"")</f>
        <v/>
      </c>
      <c r="H196" s="40" t="str" cm="1">
        <f t="array" ref="H196">IFERROR(_xlfn.LET(
_xlpm.CSVVal,_xlfn.XLOOKUP($A196,CSV!$A:$A,CSV!H:H,""),
_xlpm.MacVal,_xlfn.XLOOKUP($A196,Output_Mac!$A:$A,Output_Mac!H:H,""),
_xlpm.MyAuditVal,_xlfn.XLOOKUP($A196,My_Audit!$A:$A,My_Audit!G:G,""),
_xlfn.IFS(_xlpm.MyAuditVal&lt;&gt;"",_xlpm.MyAuditVal,_xlpm.MacVal&lt;&gt;"",_xlpm.MacVal,_xlpm.CSVVal&lt;&gt;"",_xlpm.CSVVal
)),"")</f>
        <v/>
      </c>
      <c r="I196" s="40" t="str">
        <f>_xlfn.XLOOKUP(A196,Output_Mac!A:A,Output_Mac!I:I,"")</f>
        <v/>
      </c>
      <c r="J196" s="40" t="str" cm="1">
        <f t="array" ref="J196">IFERROR(_xlfn.LET(
_xlpm.CSVVal,_xlfn.XLOOKUP($A196,CSV!$A:$A,CSV!I:I,""),
_xlpm.MacVal,_xlfn.XLOOKUP($A196,Output_Mac!$A:$A,Output_Mac!J:J,""),
_xlpm.MyAuditVal,_xlfn.XLOOKUP($A196,My_Audit!$A:$A,My_Audit!I:I,""),
_xlfn.IFS(_xlpm.MyAuditVal&lt;&gt;"",UPPER(_xlpm.MyAuditVal),_xlpm.MacVal&lt;&gt;"",_xlpm.MacVal,_xlpm.CSVVal&lt;&gt;"",_xlpm.CSVVal
)),"")</f>
        <v/>
      </c>
      <c r="K196" s="40" t="str" cm="1">
        <f t="array" ref="K196">IFERROR(_xlfn.LET(
_xlpm.CSVVal,_xlfn.XLOOKUP($A196,CSV!$A:$A,CSV!K:K,""),
_xlpm.MacVal,_xlfn.XLOOKUP($A196,Output_Mac!$A:$A,Output_Mac!K:K,""),
_xlpm.MyAuditVal,_xlfn.XLOOKUP($A196,My_Audit!$A:$A,My_Audit!J:J,""),
_xlfn.IFS(_xlpm.MyAuditVal&lt;&gt;"",UPPER(_xlpm.MyAuditVal),_xlpm.MacVal&lt;&gt;"",_xlpm.MacVal,_xlpm.CSVVal&lt;&gt;"",_xlpm.CSVVal
)),"")</f>
        <v/>
      </c>
      <c r="L196" s="40" t="str" cm="1">
        <f t="array" ref="L196">IFERROR(_xlfn.LET(
_xlpm.CSVVal,_xlfn.XLOOKUP($A196,CSV!$A:$A,CSV!P:P,""),
_xlpm.MacVal,_xlfn.XLOOKUP($A196,Output_Mac!$A:$A,Output_Mac!L:L,""),
_xlpm.MyAuditVal,_xlfn.XLOOKUP($A196,My_Audit!$A:$A,My_Audit!K:K,""),
_xlfn.IFS(_xlpm.MyAuditVal&lt;&gt;"",UPPER(_xlpm.MyAuditVal),_xlpm.MacVal&lt;&gt;"",_xlpm.MacVal,_xlpm.CSVVal&lt;&gt;"",_xlpm.CSVVal
)),"")</f>
        <v/>
      </c>
      <c r="M196" s="40" t="str" cm="1">
        <f t="array" ref="M196">IFERROR(_xlfn.LET(
_xlpm.CSVVal,_xlfn.XLOOKUP($A196,CSV!$A:$A,CSV!Q:Q,""),
_xlpm.MacVal,_xlfn.XLOOKUP($A196,Output_Mac!$A:$A,Output_Mac!M:M,""),
_xlpm.MyAuditVal,_xlfn.XLOOKUP($A196,My_Audit!$A:$A,My_Audit!L:L,""),
_xlfn.IFS(_xlpm.MyAuditVal&lt;&gt;"",UPPER(_xlpm.MyAuditVal),_xlpm.MacVal&lt;&gt;"",_xlpm.MacVal,_xlpm.CSVVal&lt;&gt;"",_xlpm.CSVVal
)),"")</f>
        <v/>
      </c>
      <c r="N196" s="40"/>
      <c r="O196" s="40" t="str">
        <f>_xlfn.LET(
    _xlpm.CSVVal, _xlfn.XLOOKUP($A196, CSV!$A:$A, CSV!AA:AA, ""),
    _xlpm.MacVal, _xlfn.XLOOKUP($A196, Output_Mac!$A:$A, Output_Mac!S:S, ""),
    _xlpm.MyAuditVal, _xlfn.XLOOKUP($A196, My_Audit!$A:$A, My_Audit!P:P, ""),
    _xlfn.TEXTJOIN(", ", TRUE, _xlpm.MyAuditVal, _xlpm.MacVal, _xlpm.CSVVal)
)</f>
        <v>Label marks C</v>
      </c>
      <c r="P196" s="40" t="str" cm="1">
        <f t="array" ref="P196">IFERROR(_xlfn.LET(
_xlpm.CSVVal,_xlfn.XLOOKUP($A196,CSV!$A:$A,CSV!AB:AB,""),
_xlpm.MacVal,_xlfn.XLOOKUP($A196,Output_Mac!$A:$A,Output_Mac!T:T,""),
_xlpm.MyAuditVal,_xlfn.XLOOKUP($A196,My_Audit!$A:$A,My_Audit!Q:Q,""),
_xlfn.IFS(_xlpm.MyAuditVal&lt;&gt;"",UPPER(_xlpm.MyAuditVal),_xlpm.MacVal&lt;&gt;"",_xlpm.MacVal,_xlpm.CSVVal&lt;&gt;"",_xlpm.CSVVal
)),"No")</f>
        <v>No</v>
      </c>
      <c r="Q196" s="40" t="str" cm="1">
        <f t="array" ref="Q196">IFERROR(_xlfn.LET(
_xlpm.CSVVal,_xlfn.XLOOKUP($A196,CSV!$A:$A,CSV!AC:AC,""),
_xlpm.MacVal,_xlfn.XLOOKUP($A196,Output_Mac!$A:$A,Output_Mac!U:U,""),
_xlpm.MyAuditVal,_xlfn.XLOOKUP($A196,My_Audit!$A:$A,My_Audit!R:R,""),
_xlfn.IFS(_xlpm.MyAuditVal&lt;&gt;"",UPPER(_xlpm.MyAuditVal),_xlpm.MacVal&lt;&gt;"",_xlpm.MacVal,_xlpm.CSVVal&lt;&gt;"",_xlpm.CSVVal
)),"")</f>
        <v/>
      </c>
      <c r="R196" s="40"/>
      <c r="S196" s="40"/>
      <c r="T196" s="40"/>
      <c r="U196" s="40"/>
      <c r="V196" s="40"/>
      <c r="W196" s="40"/>
      <c r="X196" s="41" t="str">
        <f>_xlfn.LET(
    _xlpm.MacVal, _xlfn.XLOOKUP($A196, Output_Mac!$A:$A, Output_Mac!AB:AB, ""),
    _xlpm.MyAuditVal, _xlfn.XLOOKUP($A196, My_Audit!$A:$A, My_Audit!N:N, ""),
    _xlfn.TEXTJOIN(", ", TRUE, _xlpm.MyAuditVal, _xlpm.MacVal)
)</f>
        <v/>
      </c>
    </row>
    <row r="197" spans="1:24">
      <c r="A197" s="40" t="str">
        <f>_xlfn.TEXTJOIN("",TRUE,Input!$B$2,ROW(My_Audit!A196))</f>
        <v>X196</v>
      </c>
      <c r="B197" s="40" t="str">
        <f>_xlfn.TEXTJOIN("-",TRUE,"ITD",Input!$A$2,A197)</f>
        <v>ITD-X196</v>
      </c>
      <c r="C197" s="40" t="str" cm="1">
        <f t="array" ref="C197">IFERROR(_xlfn.LET(
_xlpm.CSVVal,_xlfn.XLOOKUP($A197,CSV!$A:$A,CSV!B:B,""),
_xlpm.MacVal,_xlfn.XLOOKUP($A197,Output_Mac!$A:$A,Output_Mac!B:B,""),
_xlpm.MyAuditVal,_xlfn.XLOOKUP($A197,My_Audit!$A:$A,My_Audit!B:B,""),
_xlfn.IFS(_xlpm.MyAuditVal&lt;&gt;"",UPPER(_xlpm.MyAuditVal),_xlpm.MacVal&lt;&gt;"",_xlpm.MacVal,_xlpm.CSVVal&lt;&gt;"",_xlpm.CSVVal
)),"")</f>
        <v/>
      </c>
      <c r="D197" s="40" t="str" cm="1">
        <f t="array" ref="D197">IFERROR(_xlfn.LET(
_xlpm.CSVVal,_xlfn.XLOOKUP($A197,CSV!$A:$A,CSV!D:D,""),
_xlpm.MacVal,_xlfn.XLOOKUP($A197,Output_Mac!$A:$A,Output_Mac!C:C,""),
_xlpm.MyAuditVal,_xlfn.XLOOKUP($A197,My_Audit!$A:$A,My_Audit!C:C,""),
_xlfn.IFS(_xlpm.MyAuditVal&lt;&gt;"",_xlpm.MyAuditVal,_xlpm.MacVal&lt;&gt;"",_xlpm.MacVal,_xlpm.CSVVal&lt;&gt;"",_xlpm.CSVVal
)),"")</f>
        <v/>
      </c>
      <c r="E197" s="40">
        <f>_xlfn.XLOOKUP(A197,My_Audit!A:A,My_Audit!D:D,"")</f>
        <v>0</v>
      </c>
      <c r="F197" s="40" t="str" cm="1">
        <f t="array" ref="F197">IFERROR(_xlfn.LET(
_xlpm.CSVVal,_xlfn.XLOOKUP($A197,CSV!$A:$A,CSV!F:F,""),
_xlpm.MacVal,_xlfn.XLOOKUP($A197,Output_Mac!$A:$A,Output_Mac!E:E,""),
_xlpm.MyAuditVal,_xlfn.XLOOKUP($A197,My_Audit!$A:$A,My_Audit!E:E,""),
_xlfn.IFS(_xlpm.MyAuditVal&lt;&gt;"",_xlpm.MyAuditVal,_xlpm.MacVal&lt;&gt;"",_xlpm.MacVal,_xlpm.CSVVal&lt;&gt;"",_xlpm.CSVVal
)),"")</f>
        <v/>
      </c>
      <c r="G197" s="40" t="str" cm="1">
        <f t="array" ref="G197">IFERROR(_xlfn.LET(
_xlpm.CSVVal,_xlfn.XLOOKUP($A197,CSV!$A:$A,CSV!G:G,""),
_xlpm.MacVal,_xlfn.XLOOKUP($A197,Output_Mac!$A:$A,Output_Mac!F:F,""),
_xlpm.MyAuditVal,_xlfn.XLOOKUP($A197,My_Audit!$A:$A,My_Audit!F:F,""),
_xlfn.IFS(_xlpm.MyAuditVal&lt;&gt;"",_xlpm.MyAuditVal,_xlpm.MacVal&lt;&gt;"",_xlpm.MacVal,_xlpm.CSVVal&lt;&gt;"",PROPER(_xlpm.CSVVal)
)),"")</f>
        <v/>
      </c>
      <c r="H197" s="40" t="str" cm="1">
        <f t="array" ref="H197">IFERROR(_xlfn.LET(
_xlpm.CSVVal,_xlfn.XLOOKUP($A197,CSV!$A:$A,CSV!H:H,""),
_xlpm.MacVal,_xlfn.XLOOKUP($A197,Output_Mac!$A:$A,Output_Mac!H:H,""),
_xlpm.MyAuditVal,_xlfn.XLOOKUP($A197,My_Audit!$A:$A,My_Audit!G:G,""),
_xlfn.IFS(_xlpm.MyAuditVal&lt;&gt;"",_xlpm.MyAuditVal,_xlpm.MacVal&lt;&gt;"",_xlpm.MacVal,_xlpm.CSVVal&lt;&gt;"",_xlpm.CSVVal
)),"")</f>
        <v/>
      </c>
      <c r="I197" s="40" t="str">
        <f>_xlfn.XLOOKUP(A197,Output_Mac!A:A,Output_Mac!I:I,"")</f>
        <v/>
      </c>
      <c r="J197" s="40" t="str" cm="1">
        <f t="array" ref="J197">IFERROR(_xlfn.LET(
_xlpm.CSVVal,_xlfn.XLOOKUP($A197,CSV!$A:$A,CSV!I:I,""),
_xlpm.MacVal,_xlfn.XLOOKUP($A197,Output_Mac!$A:$A,Output_Mac!J:J,""),
_xlpm.MyAuditVal,_xlfn.XLOOKUP($A197,My_Audit!$A:$A,My_Audit!I:I,""),
_xlfn.IFS(_xlpm.MyAuditVal&lt;&gt;"",UPPER(_xlpm.MyAuditVal),_xlpm.MacVal&lt;&gt;"",_xlpm.MacVal,_xlpm.CSVVal&lt;&gt;"",_xlpm.CSVVal
)),"")</f>
        <v/>
      </c>
      <c r="K197" s="40" t="str" cm="1">
        <f t="array" ref="K197">IFERROR(_xlfn.LET(
_xlpm.CSVVal,_xlfn.XLOOKUP($A197,CSV!$A:$A,CSV!K:K,""),
_xlpm.MacVal,_xlfn.XLOOKUP($A197,Output_Mac!$A:$A,Output_Mac!K:K,""),
_xlpm.MyAuditVal,_xlfn.XLOOKUP($A197,My_Audit!$A:$A,My_Audit!J:J,""),
_xlfn.IFS(_xlpm.MyAuditVal&lt;&gt;"",UPPER(_xlpm.MyAuditVal),_xlpm.MacVal&lt;&gt;"",_xlpm.MacVal,_xlpm.CSVVal&lt;&gt;"",_xlpm.CSVVal
)),"")</f>
        <v/>
      </c>
      <c r="L197" s="40" t="str" cm="1">
        <f t="array" ref="L197">IFERROR(_xlfn.LET(
_xlpm.CSVVal,_xlfn.XLOOKUP($A197,CSV!$A:$A,CSV!P:P,""),
_xlpm.MacVal,_xlfn.XLOOKUP($A197,Output_Mac!$A:$A,Output_Mac!L:L,""),
_xlpm.MyAuditVal,_xlfn.XLOOKUP($A197,My_Audit!$A:$A,My_Audit!K:K,""),
_xlfn.IFS(_xlpm.MyAuditVal&lt;&gt;"",UPPER(_xlpm.MyAuditVal),_xlpm.MacVal&lt;&gt;"",_xlpm.MacVal,_xlpm.CSVVal&lt;&gt;"",_xlpm.CSVVal
)),"")</f>
        <v/>
      </c>
      <c r="M197" s="40" t="str" cm="1">
        <f t="array" ref="M197">IFERROR(_xlfn.LET(
_xlpm.CSVVal,_xlfn.XLOOKUP($A197,CSV!$A:$A,CSV!Q:Q,""),
_xlpm.MacVal,_xlfn.XLOOKUP($A197,Output_Mac!$A:$A,Output_Mac!M:M,""),
_xlpm.MyAuditVal,_xlfn.XLOOKUP($A197,My_Audit!$A:$A,My_Audit!L:L,""),
_xlfn.IFS(_xlpm.MyAuditVal&lt;&gt;"",UPPER(_xlpm.MyAuditVal),_xlpm.MacVal&lt;&gt;"",_xlpm.MacVal,_xlpm.CSVVal&lt;&gt;"",_xlpm.CSVVal
)),"")</f>
        <v/>
      </c>
      <c r="N197" s="40"/>
      <c r="O197" s="40" t="str">
        <f>_xlfn.LET(
    _xlpm.CSVVal, _xlfn.XLOOKUP($A197, CSV!$A:$A, CSV!AA:AA, ""),
    _xlpm.MacVal, _xlfn.XLOOKUP($A197, Output_Mac!$A:$A, Output_Mac!S:S, ""),
    _xlpm.MyAuditVal, _xlfn.XLOOKUP($A197, My_Audit!$A:$A, My_Audit!P:P, ""),
    _xlfn.TEXTJOIN(", ", TRUE, _xlpm.MyAuditVal, _xlpm.MacVal, _xlpm.CSVVal)
)</f>
        <v/>
      </c>
      <c r="P197" s="40" t="str" cm="1">
        <f t="array" ref="P197">IFERROR(_xlfn.LET(
_xlpm.CSVVal,_xlfn.XLOOKUP($A197,CSV!$A:$A,CSV!AB:AB,""),
_xlpm.MacVal,_xlfn.XLOOKUP($A197,Output_Mac!$A:$A,Output_Mac!T:T,""),
_xlpm.MyAuditVal,_xlfn.XLOOKUP($A197,My_Audit!$A:$A,My_Audit!Q:Q,""),
_xlfn.IFS(_xlpm.MyAuditVal&lt;&gt;"",UPPER(_xlpm.MyAuditVal),_xlpm.MacVal&lt;&gt;"",_xlpm.MacVal,_xlpm.CSVVal&lt;&gt;"",_xlpm.CSVVal
)),"No")</f>
        <v>No</v>
      </c>
      <c r="Q197" s="40" t="str" cm="1">
        <f t="array" ref="Q197">IFERROR(_xlfn.LET(
_xlpm.CSVVal,_xlfn.XLOOKUP($A197,CSV!$A:$A,CSV!AC:AC,""),
_xlpm.MacVal,_xlfn.XLOOKUP($A197,Output_Mac!$A:$A,Output_Mac!U:U,""),
_xlpm.MyAuditVal,_xlfn.XLOOKUP($A197,My_Audit!$A:$A,My_Audit!R:R,""),
_xlfn.IFS(_xlpm.MyAuditVal&lt;&gt;"",UPPER(_xlpm.MyAuditVal),_xlpm.MacVal&lt;&gt;"",_xlpm.MacVal,_xlpm.CSVVal&lt;&gt;"",_xlpm.CSVVal
)),"")</f>
        <v/>
      </c>
      <c r="R197" s="40"/>
      <c r="S197" s="40"/>
      <c r="T197" s="40"/>
      <c r="U197" s="40"/>
      <c r="V197" s="40"/>
      <c r="W197" s="40"/>
      <c r="X197" s="41" t="str">
        <f>_xlfn.LET(
    _xlpm.MacVal, _xlfn.XLOOKUP($A197, Output_Mac!$A:$A, Output_Mac!AB:AB, ""),
    _xlpm.MyAuditVal, _xlfn.XLOOKUP($A197, My_Audit!$A:$A, My_Audit!N:N, ""),
    _xlfn.TEXTJOIN(", ", TRUE, _xlpm.MyAuditVal, _xlpm.MacVal)
)</f>
        <v/>
      </c>
    </row>
    <row r="198" spans="1:24">
      <c r="A198" s="40" t="str">
        <f>_xlfn.TEXTJOIN("",TRUE,Input!$B$2,ROW(My_Audit!A197))</f>
        <v>X197</v>
      </c>
      <c r="B198" s="40" t="str">
        <f>_xlfn.TEXTJOIN("-",TRUE,"ITD",Input!$A$2,A198)</f>
        <v>ITD-X197</v>
      </c>
      <c r="C198" s="40" t="str" cm="1">
        <f t="array" ref="C198">IFERROR(_xlfn.LET(
_xlpm.CSVVal,_xlfn.XLOOKUP($A198,CSV!$A:$A,CSV!B:B,""),
_xlpm.MacVal,_xlfn.XLOOKUP($A198,Output_Mac!$A:$A,Output_Mac!B:B,""),
_xlpm.MyAuditVal,_xlfn.XLOOKUP($A198,My_Audit!$A:$A,My_Audit!B:B,""),
_xlfn.IFS(_xlpm.MyAuditVal&lt;&gt;"",UPPER(_xlpm.MyAuditVal),_xlpm.MacVal&lt;&gt;"",_xlpm.MacVal,_xlpm.CSVVal&lt;&gt;"",_xlpm.CSVVal
)),"")</f>
        <v/>
      </c>
      <c r="D198" s="40" t="str" cm="1">
        <f t="array" ref="D198">IFERROR(_xlfn.LET(
_xlpm.CSVVal,_xlfn.XLOOKUP($A198,CSV!$A:$A,CSV!D:D,""),
_xlpm.MacVal,_xlfn.XLOOKUP($A198,Output_Mac!$A:$A,Output_Mac!C:C,""),
_xlpm.MyAuditVal,_xlfn.XLOOKUP($A198,My_Audit!$A:$A,My_Audit!C:C,""),
_xlfn.IFS(_xlpm.MyAuditVal&lt;&gt;"",_xlpm.MyAuditVal,_xlpm.MacVal&lt;&gt;"",_xlpm.MacVal,_xlpm.CSVVal&lt;&gt;"",_xlpm.CSVVal
)),"")</f>
        <v/>
      </c>
      <c r="E198" s="40">
        <f>_xlfn.XLOOKUP(A198,My_Audit!A:A,My_Audit!D:D,"")</f>
        <v>0</v>
      </c>
      <c r="F198" s="40" t="str" cm="1">
        <f t="array" ref="F198">IFERROR(_xlfn.LET(
_xlpm.CSVVal,_xlfn.XLOOKUP($A198,CSV!$A:$A,CSV!F:F,""),
_xlpm.MacVal,_xlfn.XLOOKUP($A198,Output_Mac!$A:$A,Output_Mac!E:E,""),
_xlpm.MyAuditVal,_xlfn.XLOOKUP($A198,My_Audit!$A:$A,My_Audit!E:E,""),
_xlfn.IFS(_xlpm.MyAuditVal&lt;&gt;"",_xlpm.MyAuditVal,_xlpm.MacVal&lt;&gt;"",_xlpm.MacVal,_xlpm.CSVVal&lt;&gt;"",_xlpm.CSVVal
)),"")</f>
        <v/>
      </c>
      <c r="G198" s="40" t="str" cm="1">
        <f t="array" ref="G198">IFERROR(_xlfn.LET(
_xlpm.CSVVal,_xlfn.XLOOKUP($A198,CSV!$A:$A,CSV!G:G,""),
_xlpm.MacVal,_xlfn.XLOOKUP($A198,Output_Mac!$A:$A,Output_Mac!F:F,""),
_xlpm.MyAuditVal,_xlfn.XLOOKUP($A198,My_Audit!$A:$A,My_Audit!F:F,""),
_xlfn.IFS(_xlpm.MyAuditVal&lt;&gt;"",_xlpm.MyAuditVal,_xlpm.MacVal&lt;&gt;"",_xlpm.MacVal,_xlpm.CSVVal&lt;&gt;"",PROPER(_xlpm.CSVVal)
)),"")</f>
        <v/>
      </c>
      <c r="H198" s="40" t="str" cm="1">
        <f t="array" ref="H198">IFERROR(_xlfn.LET(
_xlpm.CSVVal,_xlfn.XLOOKUP($A198,CSV!$A:$A,CSV!H:H,""),
_xlpm.MacVal,_xlfn.XLOOKUP($A198,Output_Mac!$A:$A,Output_Mac!H:H,""),
_xlpm.MyAuditVal,_xlfn.XLOOKUP($A198,My_Audit!$A:$A,My_Audit!G:G,""),
_xlfn.IFS(_xlpm.MyAuditVal&lt;&gt;"",_xlpm.MyAuditVal,_xlpm.MacVal&lt;&gt;"",_xlpm.MacVal,_xlpm.CSVVal&lt;&gt;"",_xlpm.CSVVal
)),"")</f>
        <v/>
      </c>
      <c r="I198" s="40" t="str">
        <f>_xlfn.XLOOKUP(A198,Output_Mac!A:A,Output_Mac!I:I,"")</f>
        <v/>
      </c>
      <c r="J198" s="40" t="str" cm="1">
        <f t="array" ref="J198">IFERROR(_xlfn.LET(
_xlpm.CSVVal,_xlfn.XLOOKUP($A198,CSV!$A:$A,CSV!I:I,""),
_xlpm.MacVal,_xlfn.XLOOKUP($A198,Output_Mac!$A:$A,Output_Mac!J:J,""),
_xlpm.MyAuditVal,_xlfn.XLOOKUP($A198,My_Audit!$A:$A,My_Audit!I:I,""),
_xlfn.IFS(_xlpm.MyAuditVal&lt;&gt;"",UPPER(_xlpm.MyAuditVal),_xlpm.MacVal&lt;&gt;"",_xlpm.MacVal,_xlpm.CSVVal&lt;&gt;"",_xlpm.CSVVal
)),"")</f>
        <v/>
      </c>
      <c r="K198" s="40" t="str" cm="1">
        <f t="array" ref="K198">IFERROR(_xlfn.LET(
_xlpm.CSVVal,_xlfn.XLOOKUP($A198,CSV!$A:$A,CSV!K:K,""),
_xlpm.MacVal,_xlfn.XLOOKUP($A198,Output_Mac!$A:$A,Output_Mac!K:K,""),
_xlpm.MyAuditVal,_xlfn.XLOOKUP($A198,My_Audit!$A:$A,My_Audit!J:J,""),
_xlfn.IFS(_xlpm.MyAuditVal&lt;&gt;"",UPPER(_xlpm.MyAuditVal),_xlpm.MacVal&lt;&gt;"",_xlpm.MacVal,_xlpm.CSVVal&lt;&gt;"",_xlpm.CSVVal
)),"")</f>
        <v/>
      </c>
      <c r="L198" s="40" t="str" cm="1">
        <f t="array" ref="L198">IFERROR(_xlfn.LET(
_xlpm.CSVVal,_xlfn.XLOOKUP($A198,CSV!$A:$A,CSV!P:P,""),
_xlpm.MacVal,_xlfn.XLOOKUP($A198,Output_Mac!$A:$A,Output_Mac!L:L,""),
_xlpm.MyAuditVal,_xlfn.XLOOKUP($A198,My_Audit!$A:$A,My_Audit!K:K,""),
_xlfn.IFS(_xlpm.MyAuditVal&lt;&gt;"",UPPER(_xlpm.MyAuditVal),_xlpm.MacVal&lt;&gt;"",_xlpm.MacVal,_xlpm.CSVVal&lt;&gt;"",_xlpm.CSVVal
)),"")</f>
        <v/>
      </c>
      <c r="M198" s="40" t="str" cm="1">
        <f t="array" ref="M198">IFERROR(_xlfn.LET(
_xlpm.CSVVal,_xlfn.XLOOKUP($A198,CSV!$A:$A,CSV!Q:Q,""),
_xlpm.MacVal,_xlfn.XLOOKUP($A198,Output_Mac!$A:$A,Output_Mac!M:M,""),
_xlpm.MyAuditVal,_xlfn.XLOOKUP($A198,My_Audit!$A:$A,My_Audit!L:L,""),
_xlfn.IFS(_xlpm.MyAuditVal&lt;&gt;"",UPPER(_xlpm.MyAuditVal),_xlpm.MacVal&lt;&gt;"",_xlpm.MacVal,_xlpm.CSVVal&lt;&gt;"",_xlpm.CSVVal
)),"")</f>
        <v/>
      </c>
      <c r="N198" s="40"/>
      <c r="O198" s="40" t="str">
        <f>_xlfn.LET(
    _xlpm.CSVVal, _xlfn.XLOOKUP($A198, CSV!$A:$A, CSV!AA:AA, ""),
    _xlpm.MacVal, _xlfn.XLOOKUP($A198, Output_Mac!$A:$A, Output_Mac!S:S, ""),
    _xlpm.MyAuditVal, _xlfn.XLOOKUP($A198, My_Audit!$A:$A, My_Audit!P:P, ""),
    _xlfn.TEXTJOIN(", ", TRUE, _xlpm.MyAuditVal, _xlpm.MacVal, _xlpm.CSVVal)
)</f>
        <v/>
      </c>
      <c r="P198" s="40" t="str" cm="1">
        <f t="array" ref="P198">IFERROR(_xlfn.LET(
_xlpm.CSVVal,_xlfn.XLOOKUP($A198,CSV!$A:$A,CSV!AB:AB,""),
_xlpm.MacVal,_xlfn.XLOOKUP($A198,Output_Mac!$A:$A,Output_Mac!T:T,""),
_xlpm.MyAuditVal,_xlfn.XLOOKUP($A198,My_Audit!$A:$A,My_Audit!Q:Q,""),
_xlfn.IFS(_xlpm.MyAuditVal&lt;&gt;"",UPPER(_xlpm.MyAuditVal),_xlpm.MacVal&lt;&gt;"",_xlpm.MacVal,_xlpm.CSVVal&lt;&gt;"",_xlpm.CSVVal
)),"No")</f>
        <v>No</v>
      </c>
      <c r="Q198" s="40" t="str" cm="1">
        <f t="array" ref="Q198">IFERROR(_xlfn.LET(
_xlpm.CSVVal,_xlfn.XLOOKUP($A198,CSV!$A:$A,CSV!AC:AC,""),
_xlpm.MacVal,_xlfn.XLOOKUP($A198,Output_Mac!$A:$A,Output_Mac!U:U,""),
_xlpm.MyAuditVal,_xlfn.XLOOKUP($A198,My_Audit!$A:$A,My_Audit!R:R,""),
_xlfn.IFS(_xlpm.MyAuditVal&lt;&gt;"",UPPER(_xlpm.MyAuditVal),_xlpm.MacVal&lt;&gt;"",_xlpm.MacVal,_xlpm.CSVVal&lt;&gt;"",_xlpm.CSVVal
)),"")</f>
        <v/>
      </c>
      <c r="R198" s="40"/>
      <c r="S198" s="40"/>
      <c r="T198" s="40"/>
      <c r="U198" s="40"/>
      <c r="V198" s="40"/>
      <c r="W198" s="40"/>
      <c r="X198" s="41" t="str">
        <f>_xlfn.LET(
    _xlpm.MacVal, _xlfn.XLOOKUP($A198, Output_Mac!$A:$A, Output_Mac!AB:AB, ""),
    _xlpm.MyAuditVal, _xlfn.XLOOKUP($A198, My_Audit!$A:$A, My_Audit!N:N, ""),
    _xlfn.TEXTJOIN(", ", TRUE, _xlpm.MyAuditVal, _xlpm.MacVal)
)</f>
        <v/>
      </c>
    </row>
    <row r="199" spans="1:24">
      <c r="A199" s="40" t="str">
        <f>_xlfn.TEXTJOIN("",TRUE,Input!$B$2,ROW(My_Audit!A198))</f>
        <v>X198</v>
      </c>
      <c r="B199" s="40" t="str">
        <f>_xlfn.TEXTJOIN("-",TRUE,"ITD",Input!$A$2,A199)</f>
        <v>ITD-X198</v>
      </c>
      <c r="C199" s="40" t="str" cm="1">
        <f t="array" ref="C199">IFERROR(_xlfn.LET(
_xlpm.CSVVal,_xlfn.XLOOKUP($A199,CSV!$A:$A,CSV!B:B,""),
_xlpm.MacVal,_xlfn.XLOOKUP($A199,Output_Mac!$A:$A,Output_Mac!B:B,""),
_xlpm.MyAuditVal,_xlfn.XLOOKUP($A199,My_Audit!$A:$A,My_Audit!B:B,""),
_xlfn.IFS(_xlpm.MyAuditVal&lt;&gt;"",UPPER(_xlpm.MyAuditVal),_xlpm.MacVal&lt;&gt;"",_xlpm.MacVal,_xlpm.CSVVal&lt;&gt;"",_xlpm.CSVVal
)),"")</f>
        <v/>
      </c>
      <c r="D199" s="40" t="str" cm="1">
        <f t="array" ref="D199">IFERROR(_xlfn.LET(
_xlpm.CSVVal,_xlfn.XLOOKUP($A199,CSV!$A:$A,CSV!D:D,""),
_xlpm.MacVal,_xlfn.XLOOKUP($A199,Output_Mac!$A:$A,Output_Mac!C:C,""),
_xlpm.MyAuditVal,_xlfn.XLOOKUP($A199,My_Audit!$A:$A,My_Audit!C:C,""),
_xlfn.IFS(_xlpm.MyAuditVal&lt;&gt;"",_xlpm.MyAuditVal,_xlpm.MacVal&lt;&gt;"",_xlpm.MacVal,_xlpm.CSVVal&lt;&gt;"",_xlpm.CSVVal
)),"")</f>
        <v/>
      </c>
      <c r="E199" s="40">
        <f>_xlfn.XLOOKUP(A199,My_Audit!A:A,My_Audit!D:D,"")</f>
        <v>0</v>
      </c>
      <c r="F199" s="40" t="str" cm="1">
        <f t="array" ref="F199">IFERROR(_xlfn.LET(
_xlpm.CSVVal,_xlfn.XLOOKUP($A199,CSV!$A:$A,CSV!F:F,""),
_xlpm.MacVal,_xlfn.XLOOKUP($A199,Output_Mac!$A:$A,Output_Mac!E:E,""),
_xlpm.MyAuditVal,_xlfn.XLOOKUP($A199,My_Audit!$A:$A,My_Audit!E:E,""),
_xlfn.IFS(_xlpm.MyAuditVal&lt;&gt;"",_xlpm.MyAuditVal,_xlpm.MacVal&lt;&gt;"",_xlpm.MacVal,_xlpm.CSVVal&lt;&gt;"",_xlpm.CSVVal
)),"")</f>
        <v/>
      </c>
      <c r="G199" s="40" t="str" cm="1">
        <f t="array" ref="G199">IFERROR(_xlfn.LET(
_xlpm.CSVVal,_xlfn.XLOOKUP($A199,CSV!$A:$A,CSV!G:G,""),
_xlpm.MacVal,_xlfn.XLOOKUP($A199,Output_Mac!$A:$A,Output_Mac!F:F,""),
_xlpm.MyAuditVal,_xlfn.XLOOKUP($A199,My_Audit!$A:$A,My_Audit!F:F,""),
_xlfn.IFS(_xlpm.MyAuditVal&lt;&gt;"",_xlpm.MyAuditVal,_xlpm.MacVal&lt;&gt;"",_xlpm.MacVal,_xlpm.CSVVal&lt;&gt;"",PROPER(_xlpm.CSVVal)
)),"")</f>
        <v/>
      </c>
      <c r="H199" s="40" t="str" cm="1">
        <f t="array" ref="H199">IFERROR(_xlfn.LET(
_xlpm.CSVVal,_xlfn.XLOOKUP($A199,CSV!$A:$A,CSV!H:H,""),
_xlpm.MacVal,_xlfn.XLOOKUP($A199,Output_Mac!$A:$A,Output_Mac!H:H,""),
_xlpm.MyAuditVal,_xlfn.XLOOKUP($A199,My_Audit!$A:$A,My_Audit!G:G,""),
_xlfn.IFS(_xlpm.MyAuditVal&lt;&gt;"",_xlpm.MyAuditVal,_xlpm.MacVal&lt;&gt;"",_xlpm.MacVal,_xlpm.CSVVal&lt;&gt;"",_xlpm.CSVVal
)),"")</f>
        <v/>
      </c>
      <c r="I199" s="40" t="str">
        <f>_xlfn.XLOOKUP(A199,Output_Mac!A:A,Output_Mac!I:I,"")</f>
        <v/>
      </c>
      <c r="J199" s="40" t="str" cm="1">
        <f t="array" ref="J199">IFERROR(_xlfn.LET(
_xlpm.CSVVal,_xlfn.XLOOKUP($A199,CSV!$A:$A,CSV!I:I,""),
_xlpm.MacVal,_xlfn.XLOOKUP($A199,Output_Mac!$A:$A,Output_Mac!J:J,""),
_xlpm.MyAuditVal,_xlfn.XLOOKUP($A199,My_Audit!$A:$A,My_Audit!I:I,""),
_xlfn.IFS(_xlpm.MyAuditVal&lt;&gt;"",UPPER(_xlpm.MyAuditVal),_xlpm.MacVal&lt;&gt;"",_xlpm.MacVal,_xlpm.CSVVal&lt;&gt;"",_xlpm.CSVVal
)),"")</f>
        <v/>
      </c>
      <c r="K199" s="40" t="str" cm="1">
        <f t="array" ref="K199">IFERROR(_xlfn.LET(
_xlpm.CSVVal,_xlfn.XLOOKUP($A199,CSV!$A:$A,CSV!K:K,""),
_xlpm.MacVal,_xlfn.XLOOKUP($A199,Output_Mac!$A:$A,Output_Mac!K:K,""),
_xlpm.MyAuditVal,_xlfn.XLOOKUP($A199,My_Audit!$A:$A,My_Audit!J:J,""),
_xlfn.IFS(_xlpm.MyAuditVal&lt;&gt;"",UPPER(_xlpm.MyAuditVal),_xlpm.MacVal&lt;&gt;"",_xlpm.MacVal,_xlpm.CSVVal&lt;&gt;"",_xlpm.CSVVal
)),"")</f>
        <v/>
      </c>
      <c r="L199" s="40" t="str" cm="1">
        <f t="array" ref="L199">IFERROR(_xlfn.LET(
_xlpm.CSVVal,_xlfn.XLOOKUP($A199,CSV!$A:$A,CSV!P:P,""),
_xlpm.MacVal,_xlfn.XLOOKUP($A199,Output_Mac!$A:$A,Output_Mac!L:L,""),
_xlpm.MyAuditVal,_xlfn.XLOOKUP($A199,My_Audit!$A:$A,My_Audit!K:K,""),
_xlfn.IFS(_xlpm.MyAuditVal&lt;&gt;"",UPPER(_xlpm.MyAuditVal),_xlpm.MacVal&lt;&gt;"",_xlpm.MacVal,_xlpm.CSVVal&lt;&gt;"",_xlpm.CSVVal
)),"")</f>
        <v/>
      </c>
      <c r="M199" s="40" t="str" cm="1">
        <f t="array" ref="M199">IFERROR(_xlfn.LET(
_xlpm.CSVVal,_xlfn.XLOOKUP($A199,CSV!$A:$A,CSV!Q:Q,""),
_xlpm.MacVal,_xlfn.XLOOKUP($A199,Output_Mac!$A:$A,Output_Mac!M:M,""),
_xlpm.MyAuditVal,_xlfn.XLOOKUP($A199,My_Audit!$A:$A,My_Audit!L:L,""),
_xlfn.IFS(_xlpm.MyAuditVal&lt;&gt;"",UPPER(_xlpm.MyAuditVal),_xlpm.MacVal&lt;&gt;"",_xlpm.MacVal,_xlpm.CSVVal&lt;&gt;"",_xlpm.CSVVal
)),"")</f>
        <v/>
      </c>
      <c r="N199" s="40"/>
      <c r="O199" s="40" t="str">
        <f>_xlfn.LET(
    _xlpm.CSVVal, _xlfn.XLOOKUP($A199, CSV!$A:$A, CSV!AA:AA, ""),
    _xlpm.MacVal, _xlfn.XLOOKUP($A199, Output_Mac!$A:$A, Output_Mac!S:S, ""),
    _xlpm.MyAuditVal, _xlfn.XLOOKUP($A199, My_Audit!$A:$A, My_Audit!P:P, ""),
    _xlfn.TEXTJOIN(", ", TRUE, _xlpm.MyAuditVal, _xlpm.MacVal, _xlpm.CSVVal)
)</f>
        <v>Label marks D</v>
      </c>
      <c r="P199" s="40" t="str" cm="1">
        <f t="array" ref="P199">IFERROR(_xlfn.LET(
_xlpm.CSVVal,_xlfn.XLOOKUP($A199,CSV!$A:$A,CSV!AB:AB,""),
_xlpm.MacVal,_xlfn.XLOOKUP($A199,Output_Mac!$A:$A,Output_Mac!T:T,""),
_xlpm.MyAuditVal,_xlfn.XLOOKUP($A199,My_Audit!$A:$A,My_Audit!Q:Q,""),
_xlfn.IFS(_xlpm.MyAuditVal&lt;&gt;"",UPPER(_xlpm.MyAuditVal),_xlpm.MacVal&lt;&gt;"",_xlpm.MacVal,_xlpm.CSVVal&lt;&gt;"",_xlpm.CSVVal
)),"No")</f>
        <v>No</v>
      </c>
      <c r="Q199" s="40" t="str" cm="1">
        <f t="array" ref="Q199">IFERROR(_xlfn.LET(
_xlpm.CSVVal,_xlfn.XLOOKUP($A199,CSV!$A:$A,CSV!AC:AC,""),
_xlpm.MacVal,_xlfn.XLOOKUP($A199,Output_Mac!$A:$A,Output_Mac!U:U,""),
_xlpm.MyAuditVal,_xlfn.XLOOKUP($A199,My_Audit!$A:$A,My_Audit!R:R,""),
_xlfn.IFS(_xlpm.MyAuditVal&lt;&gt;"",UPPER(_xlpm.MyAuditVal),_xlpm.MacVal&lt;&gt;"",_xlpm.MacVal,_xlpm.CSVVal&lt;&gt;"",_xlpm.CSVVal
)),"")</f>
        <v/>
      </c>
      <c r="R199" s="40"/>
      <c r="S199" s="40"/>
      <c r="T199" s="40"/>
      <c r="U199" s="40"/>
      <c r="V199" s="40"/>
      <c r="W199" s="40"/>
      <c r="X199" s="41" t="str">
        <f>_xlfn.LET(
    _xlpm.MacVal, _xlfn.XLOOKUP($A199, Output_Mac!$A:$A, Output_Mac!AB:AB, ""),
    _xlpm.MyAuditVal, _xlfn.XLOOKUP($A199, My_Audit!$A:$A, My_Audit!N:N, ""),
    _xlfn.TEXTJOIN(", ", TRUE, _xlpm.MyAuditVal, _xlpm.MacVal)
)</f>
        <v/>
      </c>
    </row>
    <row r="200" spans="1:24">
      <c r="A200" s="40" t="str">
        <f>_xlfn.TEXTJOIN("",TRUE,Input!$B$2,ROW(My_Audit!A199))</f>
        <v>X199</v>
      </c>
      <c r="B200" s="40" t="str">
        <f>_xlfn.TEXTJOIN("-",TRUE,"ITD",Input!$A$2,A200)</f>
        <v>ITD-X199</v>
      </c>
      <c r="C200" s="40" t="str" cm="1">
        <f t="array" ref="C200">IFERROR(_xlfn.LET(
_xlpm.CSVVal,_xlfn.XLOOKUP($A200,CSV!$A:$A,CSV!B:B,""),
_xlpm.MacVal,_xlfn.XLOOKUP($A200,Output_Mac!$A:$A,Output_Mac!B:B,""),
_xlpm.MyAuditVal,_xlfn.XLOOKUP($A200,My_Audit!$A:$A,My_Audit!B:B,""),
_xlfn.IFS(_xlpm.MyAuditVal&lt;&gt;"",UPPER(_xlpm.MyAuditVal),_xlpm.MacVal&lt;&gt;"",_xlpm.MacVal,_xlpm.CSVVal&lt;&gt;"",_xlpm.CSVVal
)),"")</f>
        <v/>
      </c>
      <c r="D200" s="40" t="str" cm="1">
        <f t="array" ref="D200">IFERROR(_xlfn.LET(
_xlpm.CSVVal,_xlfn.XLOOKUP($A200,CSV!$A:$A,CSV!D:D,""),
_xlpm.MacVal,_xlfn.XLOOKUP($A200,Output_Mac!$A:$A,Output_Mac!C:C,""),
_xlpm.MyAuditVal,_xlfn.XLOOKUP($A200,My_Audit!$A:$A,My_Audit!C:C,""),
_xlfn.IFS(_xlpm.MyAuditVal&lt;&gt;"",_xlpm.MyAuditVal,_xlpm.MacVal&lt;&gt;"",_xlpm.MacVal,_xlpm.CSVVal&lt;&gt;"",_xlpm.CSVVal
)),"")</f>
        <v/>
      </c>
      <c r="E200" s="40">
        <f>_xlfn.XLOOKUP(A200,My_Audit!A:A,My_Audit!D:D,"")</f>
        <v>0</v>
      </c>
      <c r="F200" s="40" t="str" cm="1">
        <f t="array" ref="F200">IFERROR(_xlfn.LET(
_xlpm.CSVVal,_xlfn.XLOOKUP($A200,CSV!$A:$A,CSV!F:F,""),
_xlpm.MacVal,_xlfn.XLOOKUP($A200,Output_Mac!$A:$A,Output_Mac!E:E,""),
_xlpm.MyAuditVal,_xlfn.XLOOKUP($A200,My_Audit!$A:$A,My_Audit!E:E,""),
_xlfn.IFS(_xlpm.MyAuditVal&lt;&gt;"",_xlpm.MyAuditVal,_xlpm.MacVal&lt;&gt;"",_xlpm.MacVal,_xlpm.CSVVal&lt;&gt;"",_xlpm.CSVVal
)),"")</f>
        <v/>
      </c>
      <c r="G200" s="40" t="str" cm="1">
        <f t="array" ref="G200">IFERROR(_xlfn.LET(
_xlpm.CSVVal,_xlfn.XLOOKUP($A200,CSV!$A:$A,CSV!G:G,""),
_xlpm.MacVal,_xlfn.XLOOKUP($A200,Output_Mac!$A:$A,Output_Mac!F:F,""),
_xlpm.MyAuditVal,_xlfn.XLOOKUP($A200,My_Audit!$A:$A,My_Audit!F:F,""),
_xlfn.IFS(_xlpm.MyAuditVal&lt;&gt;"",_xlpm.MyAuditVal,_xlpm.MacVal&lt;&gt;"",_xlpm.MacVal,_xlpm.CSVVal&lt;&gt;"",PROPER(_xlpm.CSVVal)
)),"")</f>
        <v/>
      </c>
      <c r="H200" s="40" t="str" cm="1">
        <f t="array" ref="H200">IFERROR(_xlfn.LET(
_xlpm.CSVVal,_xlfn.XLOOKUP($A200,CSV!$A:$A,CSV!H:H,""),
_xlpm.MacVal,_xlfn.XLOOKUP($A200,Output_Mac!$A:$A,Output_Mac!H:H,""),
_xlpm.MyAuditVal,_xlfn.XLOOKUP($A200,My_Audit!$A:$A,My_Audit!G:G,""),
_xlfn.IFS(_xlpm.MyAuditVal&lt;&gt;"",_xlpm.MyAuditVal,_xlpm.MacVal&lt;&gt;"",_xlpm.MacVal,_xlpm.CSVVal&lt;&gt;"",_xlpm.CSVVal
)),"")</f>
        <v/>
      </c>
      <c r="I200" s="40" t="str">
        <f>_xlfn.XLOOKUP(A200,Output_Mac!A:A,Output_Mac!I:I,"")</f>
        <v/>
      </c>
      <c r="J200" s="40" t="str" cm="1">
        <f t="array" ref="J200">IFERROR(_xlfn.LET(
_xlpm.CSVVal,_xlfn.XLOOKUP($A200,CSV!$A:$A,CSV!I:I,""),
_xlpm.MacVal,_xlfn.XLOOKUP($A200,Output_Mac!$A:$A,Output_Mac!J:J,""),
_xlpm.MyAuditVal,_xlfn.XLOOKUP($A200,My_Audit!$A:$A,My_Audit!I:I,""),
_xlfn.IFS(_xlpm.MyAuditVal&lt;&gt;"",UPPER(_xlpm.MyAuditVal),_xlpm.MacVal&lt;&gt;"",_xlpm.MacVal,_xlpm.CSVVal&lt;&gt;"",_xlpm.CSVVal
)),"")</f>
        <v/>
      </c>
      <c r="K200" s="40" t="str" cm="1">
        <f t="array" ref="K200">IFERROR(_xlfn.LET(
_xlpm.CSVVal,_xlfn.XLOOKUP($A200,CSV!$A:$A,CSV!K:K,""),
_xlpm.MacVal,_xlfn.XLOOKUP($A200,Output_Mac!$A:$A,Output_Mac!K:K,""),
_xlpm.MyAuditVal,_xlfn.XLOOKUP($A200,My_Audit!$A:$A,My_Audit!J:J,""),
_xlfn.IFS(_xlpm.MyAuditVal&lt;&gt;"",UPPER(_xlpm.MyAuditVal),_xlpm.MacVal&lt;&gt;"",_xlpm.MacVal,_xlpm.CSVVal&lt;&gt;"",_xlpm.CSVVal
)),"")</f>
        <v/>
      </c>
      <c r="L200" s="40" t="str" cm="1">
        <f t="array" ref="L200">IFERROR(_xlfn.LET(
_xlpm.CSVVal,_xlfn.XLOOKUP($A200,CSV!$A:$A,CSV!P:P,""),
_xlpm.MacVal,_xlfn.XLOOKUP($A200,Output_Mac!$A:$A,Output_Mac!L:L,""),
_xlpm.MyAuditVal,_xlfn.XLOOKUP($A200,My_Audit!$A:$A,My_Audit!K:K,""),
_xlfn.IFS(_xlpm.MyAuditVal&lt;&gt;"",UPPER(_xlpm.MyAuditVal),_xlpm.MacVal&lt;&gt;"",_xlpm.MacVal,_xlpm.CSVVal&lt;&gt;"",_xlpm.CSVVal
)),"")</f>
        <v/>
      </c>
      <c r="M200" s="40" t="str" cm="1">
        <f t="array" ref="M200">IFERROR(_xlfn.LET(
_xlpm.CSVVal,_xlfn.XLOOKUP($A200,CSV!$A:$A,CSV!Q:Q,""),
_xlpm.MacVal,_xlfn.XLOOKUP($A200,Output_Mac!$A:$A,Output_Mac!M:M,""),
_xlpm.MyAuditVal,_xlfn.XLOOKUP($A200,My_Audit!$A:$A,My_Audit!L:L,""),
_xlfn.IFS(_xlpm.MyAuditVal&lt;&gt;"",UPPER(_xlpm.MyAuditVal),_xlpm.MacVal&lt;&gt;"",_xlpm.MacVal,_xlpm.CSVVal&lt;&gt;"",_xlpm.CSVVal
)),"")</f>
        <v/>
      </c>
      <c r="N200" s="40"/>
      <c r="O200" s="40" t="str">
        <f>_xlfn.LET(
    _xlpm.CSVVal, _xlfn.XLOOKUP($A200, CSV!$A:$A, CSV!AA:AA, ""),
    _xlpm.MacVal, _xlfn.XLOOKUP($A200, Output_Mac!$A:$A, Output_Mac!S:S, ""),
    _xlpm.MyAuditVal, _xlfn.XLOOKUP($A200, My_Audit!$A:$A, My_Audit!P:P, ""),
    _xlfn.TEXTJOIN(", ", TRUE, _xlpm.MyAuditVal, _xlpm.MacVal, _xlpm.CSVVal)
)</f>
        <v/>
      </c>
      <c r="P200" s="40" t="str" cm="1">
        <f t="array" ref="P200">IFERROR(_xlfn.LET(
_xlpm.CSVVal,_xlfn.XLOOKUP($A200,CSV!$A:$A,CSV!AB:AB,""),
_xlpm.MacVal,_xlfn.XLOOKUP($A200,Output_Mac!$A:$A,Output_Mac!T:T,""),
_xlpm.MyAuditVal,_xlfn.XLOOKUP($A200,My_Audit!$A:$A,My_Audit!Q:Q,""),
_xlfn.IFS(_xlpm.MyAuditVal&lt;&gt;"",UPPER(_xlpm.MyAuditVal),_xlpm.MacVal&lt;&gt;"",_xlpm.MacVal,_xlpm.CSVVal&lt;&gt;"",_xlpm.CSVVal
)),"No")</f>
        <v>No</v>
      </c>
      <c r="Q200" s="40" t="str" cm="1">
        <f t="array" ref="Q200">IFERROR(_xlfn.LET(
_xlpm.CSVVal,_xlfn.XLOOKUP($A200,CSV!$A:$A,CSV!AC:AC,""),
_xlpm.MacVal,_xlfn.XLOOKUP($A200,Output_Mac!$A:$A,Output_Mac!U:U,""),
_xlpm.MyAuditVal,_xlfn.XLOOKUP($A200,My_Audit!$A:$A,My_Audit!R:R,""),
_xlfn.IFS(_xlpm.MyAuditVal&lt;&gt;"",UPPER(_xlpm.MyAuditVal),_xlpm.MacVal&lt;&gt;"",_xlpm.MacVal,_xlpm.CSVVal&lt;&gt;"",_xlpm.CSVVal
)),"")</f>
        <v/>
      </c>
      <c r="R200" s="40"/>
      <c r="S200" s="40"/>
      <c r="T200" s="40"/>
      <c r="U200" s="40"/>
      <c r="V200" s="40"/>
      <c r="W200" s="40"/>
      <c r="X200" s="41" t="str">
        <f>_xlfn.LET(
    _xlpm.MacVal, _xlfn.XLOOKUP($A200, Output_Mac!$A:$A, Output_Mac!AB:AB, ""),
    _xlpm.MyAuditVal, _xlfn.XLOOKUP($A200, My_Audit!$A:$A, My_Audit!N:N, ""),
    _xlfn.TEXTJOIN(", ", TRUE, _xlpm.MyAuditVal, _xlpm.MacVal)
)</f>
        <v/>
      </c>
    </row>
    <row r="201" spans="1:24">
      <c r="A201" s="40" t="str">
        <f>_xlfn.TEXTJOIN("",TRUE,Input!$B$2,ROW(My_Audit!A200))</f>
        <v>X200</v>
      </c>
      <c r="B201" s="40" t="str">
        <f>_xlfn.TEXTJOIN("-",TRUE,"ITD",Input!$A$2,A201)</f>
        <v>ITD-X200</v>
      </c>
      <c r="C201" s="40" t="str" cm="1">
        <f t="array" ref="C201">IFERROR(_xlfn.LET(
_xlpm.CSVVal,_xlfn.XLOOKUP($A201,CSV!$A:$A,CSV!B:B,""),
_xlpm.MacVal,_xlfn.XLOOKUP($A201,Output_Mac!$A:$A,Output_Mac!B:B,""),
_xlpm.MyAuditVal,_xlfn.XLOOKUP($A201,My_Audit!$A:$A,My_Audit!B:B,""),
_xlfn.IFS(_xlpm.MyAuditVal&lt;&gt;"",UPPER(_xlpm.MyAuditVal),_xlpm.MacVal&lt;&gt;"",_xlpm.MacVal,_xlpm.CSVVal&lt;&gt;"",_xlpm.CSVVal
)),"")</f>
        <v/>
      </c>
      <c r="D201" s="40" t="str" cm="1">
        <f t="array" ref="D201">IFERROR(_xlfn.LET(
_xlpm.CSVVal,_xlfn.XLOOKUP($A201,CSV!$A:$A,CSV!D:D,""),
_xlpm.MacVal,_xlfn.XLOOKUP($A201,Output_Mac!$A:$A,Output_Mac!C:C,""),
_xlpm.MyAuditVal,_xlfn.XLOOKUP($A201,My_Audit!$A:$A,My_Audit!C:C,""),
_xlfn.IFS(_xlpm.MyAuditVal&lt;&gt;"",_xlpm.MyAuditVal,_xlpm.MacVal&lt;&gt;"",_xlpm.MacVal,_xlpm.CSVVal&lt;&gt;"",_xlpm.CSVVal
)),"")</f>
        <v/>
      </c>
      <c r="E201" s="40">
        <f>_xlfn.XLOOKUP(A201,My_Audit!A:A,My_Audit!D:D,"")</f>
        <v>0</v>
      </c>
      <c r="F201" s="40" t="str" cm="1">
        <f t="array" ref="F201">IFERROR(_xlfn.LET(
_xlpm.CSVVal,_xlfn.XLOOKUP($A201,CSV!$A:$A,CSV!F:F,""),
_xlpm.MacVal,_xlfn.XLOOKUP($A201,Output_Mac!$A:$A,Output_Mac!E:E,""),
_xlpm.MyAuditVal,_xlfn.XLOOKUP($A201,My_Audit!$A:$A,My_Audit!E:E,""),
_xlfn.IFS(_xlpm.MyAuditVal&lt;&gt;"",_xlpm.MyAuditVal,_xlpm.MacVal&lt;&gt;"",_xlpm.MacVal,_xlpm.CSVVal&lt;&gt;"",_xlpm.CSVVal
)),"")</f>
        <v/>
      </c>
      <c r="G201" s="40" t="str" cm="1">
        <f t="array" ref="G201">IFERROR(_xlfn.LET(
_xlpm.CSVVal,_xlfn.XLOOKUP($A201,CSV!$A:$A,CSV!G:G,""),
_xlpm.MacVal,_xlfn.XLOOKUP($A201,Output_Mac!$A:$A,Output_Mac!F:F,""),
_xlpm.MyAuditVal,_xlfn.XLOOKUP($A201,My_Audit!$A:$A,My_Audit!F:F,""),
_xlfn.IFS(_xlpm.MyAuditVal&lt;&gt;"",_xlpm.MyAuditVal,_xlpm.MacVal&lt;&gt;"",_xlpm.MacVal,_xlpm.CSVVal&lt;&gt;"",PROPER(_xlpm.CSVVal)
)),"")</f>
        <v/>
      </c>
      <c r="H201" s="40" t="str" cm="1">
        <f t="array" ref="H201">IFERROR(_xlfn.LET(
_xlpm.CSVVal,_xlfn.XLOOKUP($A201,CSV!$A:$A,CSV!H:H,""),
_xlpm.MacVal,_xlfn.XLOOKUP($A201,Output_Mac!$A:$A,Output_Mac!H:H,""),
_xlpm.MyAuditVal,_xlfn.XLOOKUP($A201,My_Audit!$A:$A,My_Audit!G:G,""),
_xlfn.IFS(_xlpm.MyAuditVal&lt;&gt;"",_xlpm.MyAuditVal,_xlpm.MacVal&lt;&gt;"",_xlpm.MacVal,_xlpm.CSVVal&lt;&gt;"",_xlpm.CSVVal
)),"")</f>
        <v/>
      </c>
      <c r="I201" s="40" t="str">
        <f>_xlfn.XLOOKUP(A201,Output_Mac!A:A,Output_Mac!I:I,"")</f>
        <v/>
      </c>
      <c r="J201" s="40" t="str" cm="1">
        <f t="array" ref="J201">IFERROR(_xlfn.LET(
_xlpm.CSVVal,_xlfn.XLOOKUP($A201,CSV!$A:$A,CSV!I:I,""),
_xlpm.MacVal,_xlfn.XLOOKUP($A201,Output_Mac!$A:$A,Output_Mac!J:J,""),
_xlpm.MyAuditVal,_xlfn.XLOOKUP($A201,My_Audit!$A:$A,My_Audit!I:I,""),
_xlfn.IFS(_xlpm.MyAuditVal&lt;&gt;"",UPPER(_xlpm.MyAuditVal),_xlpm.MacVal&lt;&gt;"",_xlpm.MacVal,_xlpm.CSVVal&lt;&gt;"",_xlpm.CSVVal
)),"")</f>
        <v/>
      </c>
      <c r="K201" s="40" t="str" cm="1">
        <f t="array" ref="K201">IFERROR(_xlfn.LET(
_xlpm.CSVVal,_xlfn.XLOOKUP($A201,CSV!$A:$A,CSV!K:K,""),
_xlpm.MacVal,_xlfn.XLOOKUP($A201,Output_Mac!$A:$A,Output_Mac!K:K,""),
_xlpm.MyAuditVal,_xlfn.XLOOKUP($A201,My_Audit!$A:$A,My_Audit!J:J,""),
_xlfn.IFS(_xlpm.MyAuditVal&lt;&gt;"",UPPER(_xlpm.MyAuditVal),_xlpm.MacVal&lt;&gt;"",_xlpm.MacVal,_xlpm.CSVVal&lt;&gt;"",_xlpm.CSVVal
)),"")</f>
        <v/>
      </c>
      <c r="L201" s="40" t="str" cm="1">
        <f t="array" ref="L201">IFERROR(_xlfn.LET(
_xlpm.CSVVal,_xlfn.XLOOKUP($A201,CSV!$A:$A,CSV!P:P,""),
_xlpm.MacVal,_xlfn.XLOOKUP($A201,Output_Mac!$A:$A,Output_Mac!L:L,""),
_xlpm.MyAuditVal,_xlfn.XLOOKUP($A201,My_Audit!$A:$A,My_Audit!K:K,""),
_xlfn.IFS(_xlpm.MyAuditVal&lt;&gt;"",UPPER(_xlpm.MyAuditVal),_xlpm.MacVal&lt;&gt;"",_xlpm.MacVal,_xlpm.CSVVal&lt;&gt;"",_xlpm.CSVVal
)),"")</f>
        <v/>
      </c>
      <c r="M201" s="40" t="str" cm="1">
        <f t="array" ref="M201">IFERROR(_xlfn.LET(
_xlpm.CSVVal,_xlfn.XLOOKUP($A201,CSV!$A:$A,CSV!Q:Q,""),
_xlpm.MacVal,_xlfn.XLOOKUP($A201,Output_Mac!$A:$A,Output_Mac!M:M,""),
_xlpm.MyAuditVal,_xlfn.XLOOKUP($A201,My_Audit!$A:$A,My_Audit!L:L,""),
_xlfn.IFS(_xlpm.MyAuditVal&lt;&gt;"",UPPER(_xlpm.MyAuditVal),_xlpm.MacVal&lt;&gt;"",_xlpm.MacVal,_xlpm.CSVVal&lt;&gt;"",_xlpm.CSVVal
)),"")</f>
        <v/>
      </c>
      <c r="N201" s="40"/>
      <c r="O201" s="40" t="str">
        <f>_xlfn.LET(
    _xlpm.CSVVal, _xlfn.XLOOKUP($A201, CSV!$A:$A, CSV!AA:AA, ""),
    _xlpm.MacVal, _xlfn.XLOOKUP($A201, Output_Mac!$A:$A, Output_Mac!S:S, ""),
    _xlpm.MyAuditVal, _xlfn.XLOOKUP($A201, My_Audit!$A:$A, My_Audit!P:P, ""),
    _xlfn.TEXTJOIN(", ", TRUE, _xlpm.MyAuditVal, _xlpm.MacVal, _xlpm.CSVVal)
)</f>
        <v/>
      </c>
      <c r="P201" s="40" t="str" cm="1">
        <f t="array" ref="P201">IFERROR(_xlfn.LET(
_xlpm.CSVVal,_xlfn.XLOOKUP($A201,CSV!$A:$A,CSV!AB:AB,""),
_xlpm.MacVal,_xlfn.XLOOKUP($A201,Output_Mac!$A:$A,Output_Mac!T:T,""),
_xlpm.MyAuditVal,_xlfn.XLOOKUP($A201,My_Audit!$A:$A,My_Audit!Q:Q,""),
_xlfn.IFS(_xlpm.MyAuditVal&lt;&gt;"",UPPER(_xlpm.MyAuditVal),_xlpm.MacVal&lt;&gt;"",_xlpm.MacVal,_xlpm.CSVVal&lt;&gt;"",_xlpm.CSVVal
)),"No")</f>
        <v>No</v>
      </c>
      <c r="Q201" s="40" t="str" cm="1">
        <f t="array" ref="Q201">IFERROR(_xlfn.LET(
_xlpm.CSVVal,_xlfn.XLOOKUP($A201,CSV!$A:$A,CSV!AC:AC,""),
_xlpm.MacVal,_xlfn.XLOOKUP($A201,Output_Mac!$A:$A,Output_Mac!U:U,""),
_xlpm.MyAuditVal,_xlfn.XLOOKUP($A201,My_Audit!$A:$A,My_Audit!R:R,""),
_xlfn.IFS(_xlpm.MyAuditVal&lt;&gt;"",UPPER(_xlpm.MyAuditVal),_xlpm.MacVal&lt;&gt;"",_xlpm.MacVal,_xlpm.CSVVal&lt;&gt;"",_xlpm.CSVVal
)),"")</f>
        <v/>
      </c>
      <c r="R201" s="40"/>
      <c r="S201" s="40"/>
      <c r="T201" s="40"/>
      <c r="U201" s="40"/>
      <c r="V201" s="40"/>
      <c r="W201" s="40"/>
      <c r="X201" s="41" t="str">
        <f>_xlfn.LET(
    _xlpm.MacVal, _xlfn.XLOOKUP($A201, Output_Mac!$A:$A, Output_Mac!AB:AB, ""),
    _xlpm.MyAuditVal, _xlfn.XLOOKUP($A201, My_Audit!$A:$A, My_Audit!N:N, ""),
    _xlfn.TEXTJOIN(", ", TRUE, _xlpm.MyAuditVal, _xlpm.MacVal)
)</f>
        <v/>
      </c>
    </row>
    <row r="202" spans="1:24">
      <c r="A202" s="40" t="str">
        <f>_xlfn.TEXTJOIN("",TRUE,Input!$B$2,ROW(My_Audit!A201))</f>
        <v>X201</v>
      </c>
      <c r="B202" s="40" t="str">
        <f>_xlfn.TEXTJOIN("-",TRUE,"ITD",Input!$A$2,A202)</f>
        <v>ITD-X201</v>
      </c>
      <c r="C202" s="40" t="str" cm="1">
        <f t="array" ref="C202">IFERROR(_xlfn.LET(
_xlpm.CSVVal,_xlfn.XLOOKUP($A202,CSV!$A:$A,CSV!B:B,""),
_xlpm.MacVal,_xlfn.XLOOKUP($A202,Output_Mac!$A:$A,Output_Mac!B:B,""),
_xlpm.MyAuditVal,_xlfn.XLOOKUP($A202,My_Audit!$A:$A,My_Audit!B:B,""),
_xlfn.IFS(_xlpm.MyAuditVal&lt;&gt;"",UPPER(_xlpm.MyAuditVal),_xlpm.MacVal&lt;&gt;"",_xlpm.MacVal,_xlpm.CSVVal&lt;&gt;"",_xlpm.CSVVal
)),"")</f>
        <v/>
      </c>
      <c r="D202" s="40" t="str" cm="1">
        <f t="array" ref="D202">IFERROR(_xlfn.LET(
_xlpm.CSVVal,_xlfn.XLOOKUP($A202,CSV!$A:$A,CSV!D:D,""),
_xlpm.MacVal,_xlfn.XLOOKUP($A202,Output_Mac!$A:$A,Output_Mac!C:C,""),
_xlpm.MyAuditVal,_xlfn.XLOOKUP($A202,My_Audit!$A:$A,My_Audit!C:C,""),
_xlfn.IFS(_xlpm.MyAuditVal&lt;&gt;"",_xlpm.MyAuditVal,_xlpm.MacVal&lt;&gt;"",_xlpm.MacVal,_xlpm.CSVVal&lt;&gt;"",_xlpm.CSVVal
)),"")</f>
        <v/>
      </c>
      <c r="E202" s="40">
        <f>_xlfn.XLOOKUP(A202,My_Audit!A:A,My_Audit!D:D,"")</f>
        <v>0</v>
      </c>
      <c r="F202" s="40" t="str" cm="1">
        <f t="array" ref="F202">IFERROR(_xlfn.LET(
_xlpm.CSVVal,_xlfn.XLOOKUP($A202,CSV!$A:$A,CSV!F:F,""),
_xlpm.MacVal,_xlfn.XLOOKUP($A202,Output_Mac!$A:$A,Output_Mac!E:E,""),
_xlpm.MyAuditVal,_xlfn.XLOOKUP($A202,My_Audit!$A:$A,My_Audit!E:E,""),
_xlfn.IFS(_xlpm.MyAuditVal&lt;&gt;"",_xlpm.MyAuditVal,_xlpm.MacVal&lt;&gt;"",_xlpm.MacVal,_xlpm.CSVVal&lt;&gt;"",_xlpm.CSVVal
)),"")</f>
        <v/>
      </c>
      <c r="G202" s="40" t="str" cm="1">
        <f t="array" ref="G202">IFERROR(_xlfn.LET(
_xlpm.CSVVal,_xlfn.XLOOKUP($A202,CSV!$A:$A,CSV!G:G,""),
_xlpm.MacVal,_xlfn.XLOOKUP($A202,Output_Mac!$A:$A,Output_Mac!F:F,""),
_xlpm.MyAuditVal,_xlfn.XLOOKUP($A202,My_Audit!$A:$A,My_Audit!F:F,""),
_xlfn.IFS(_xlpm.MyAuditVal&lt;&gt;"",_xlpm.MyAuditVal,_xlpm.MacVal&lt;&gt;"",_xlpm.MacVal,_xlpm.CSVVal&lt;&gt;"",PROPER(_xlpm.CSVVal)
)),"")</f>
        <v/>
      </c>
      <c r="H202" s="40" t="str" cm="1">
        <f t="array" ref="H202">IFERROR(_xlfn.LET(
_xlpm.CSVVal,_xlfn.XLOOKUP($A202,CSV!$A:$A,CSV!H:H,""),
_xlpm.MacVal,_xlfn.XLOOKUP($A202,Output_Mac!$A:$A,Output_Mac!H:H,""),
_xlpm.MyAuditVal,_xlfn.XLOOKUP($A202,My_Audit!$A:$A,My_Audit!G:G,""),
_xlfn.IFS(_xlpm.MyAuditVal&lt;&gt;"",_xlpm.MyAuditVal,_xlpm.MacVal&lt;&gt;"",_xlpm.MacVal,_xlpm.CSVVal&lt;&gt;"",_xlpm.CSVVal
)),"")</f>
        <v/>
      </c>
      <c r="I202" s="40" t="str">
        <f>_xlfn.XLOOKUP(A202,Output_Mac!A:A,Output_Mac!I:I,"")</f>
        <v/>
      </c>
      <c r="J202" s="40" t="str" cm="1">
        <f t="array" ref="J202">IFERROR(_xlfn.LET(
_xlpm.CSVVal,_xlfn.XLOOKUP($A202,CSV!$A:$A,CSV!I:I,""),
_xlpm.MacVal,_xlfn.XLOOKUP($A202,Output_Mac!$A:$A,Output_Mac!J:J,""),
_xlpm.MyAuditVal,_xlfn.XLOOKUP($A202,My_Audit!$A:$A,My_Audit!I:I,""),
_xlfn.IFS(_xlpm.MyAuditVal&lt;&gt;"",UPPER(_xlpm.MyAuditVal),_xlpm.MacVal&lt;&gt;"",_xlpm.MacVal,_xlpm.CSVVal&lt;&gt;"",_xlpm.CSVVal
)),"")</f>
        <v/>
      </c>
      <c r="K202" s="40" t="str" cm="1">
        <f t="array" ref="K202">IFERROR(_xlfn.LET(
_xlpm.CSVVal,_xlfn.XLOOKUP($A202,CSV!$A:$A,CSV!K:K,""),
_xlpm.MacVal,_xlfn.XLOOKUP($A202,Output_Mac!$A:$A,Output_Mac!K:K,""),
_xlpm.MyAuditVal,_xlfn.XLOOKUP($A202,My_Audit!$A:$A,My_Audit!J:J,""),
_xlfn.IFS(_xlpm.MyAuditVal&lt;&gt;"",UPPER(_xlpm.MyAuditVal),_xlpm.MacVal&lt;&gt;"",_xlpm.MacVal,_xlpm.CSVVal&lt;&gt;"",_xlpm.CSVVal
)),"")</f>
        <v/>
      </c>
      <c r="L202" s="40" t="str" cm="1">
        <f t="array" ref="L202">IFERROR(_xlfn.LET(
_xlpm.CSVVal,_xlfn.XLOOKUP($A202,CSV!$A:$A,CSV!P:P,""),
_xlpm.MacVal,_xlfn.XLOOKUP($A202,Output_Mac!$A:$A,Output_Mac!L:L,""),
_xlpm.MyAuditVal,_xlfn.XLOOKUP($A202,My_Audit!$A:$A,My_Audit!K:K,""),
_xlfn.IFS(_xlpm.MyAuditVal&lt;&gt;"",UPPER(_xlpm.MyAuditVal),_xlpm.MacVal&lt;&gt;"",_xlpm.MacVal,_xlpm.CSVVal&lt;&gt;"",_xlpm.CSVVal
)),"")</f>
        <v/>
      </c>
      <c r="M202" s="40" t="str" cm="1">
        <f t="array" ref="M202">IFERROR(_xlfn.LET(
_xlpm.CSVVal,_xlfn.XLOOKUP($A202,CSV!$A:$A,CSV!Q:Q,""),
_xlpm.MacVal,_xlfn.XLOOKUP($A202,Output_Mac!$A:$A,Output_Mac!M:M,""),
_xlpm.MyAuditVal,_xlfn.XLOOKUP($A202,My_Audit!$A:$A,My_Audit!L:L,""),
_xlfn.IFS(_xlpm.MyAuditVal&lt;&gt;"",UPPER(_xlpm.MyAuditVal),_xlpm.MacVal&lt;&gt;"",_xlpm.MacVal,_xlpm.CSVVal&lt;&gt;"",_xlpm.CSVVal
)),"")</f>
        <v/>
      </c>
      <c r="N202" s="40"/>
      <c r="O202" s="40" t="str">
        <f>_xlfn.LET(
    _xlpm.CSVVal, _xlfn.XLOOKUP($A202, CSV!$A:$A, CSV!AA:AA, ""),
    _xlpm.MacVal, _xlfn.XLOOKUP($A202, Output_Mac!$A:$A, Output_Mac!S:S, ""),
    _xlpm.MyAuditVal, _xlfn.XLOOKUP($A202, My_Audit!$A:$A, My_Audit!P:P, ""),
    _xlfn.TEXTJOIN(", ", TRUE, _xlpm.MyAuditVal, _xlpm.MacVal, _xlpm.CSVVal)
)</f>
        <v/>
      </c>
      <c r="P202" s="40" t="str" cm="1">
        <f t="array" ref="P202">IFERROR(_xlfn.LET(
_xlpm.CSVVal,_xlfn.XLOOKUP($A202,CSV!$A:$A,CSV!AB:AB,""),
_xlpm.MacVal,_xlfn.XLOOKUP($A202,Output_Mac!$A:$A,Output_Mac!T:T,""),
_xlpm.MyAuditVal,_xlfn.XLOOKUP($A202,My_Audit!$A:$A,My_Audit!Q:Q,""),
_xlfn.IFS(_xlpm.MyAuditVal&lt;&gt;"",UPPER(_xlpm.MyAuditVal),_xlpm.MacVal&lt;&gt;"",_xlpm.MacVal,_xlpm.CSVVal&lt;&gt;"",_xlpm.CSVVal
)),"No")</f>
        <v>No</v>
      </c>
      <c r="Q202" s="40" t="str" cm="1">
        <f t="array" ref="Q202">IFERROR(_xlfn.LET(
_xlpm.CSVVal,_xlfn.XLOOKUP($A202,CSV!$A:$A,CSV!AC:AC,""),
_xlpm.MacVal,_xlfn.XLOOKUP($A202,Output_Mac!$A:$A,Output_Mac!U:U,""),
_xlpm.MyAuditVal,_xlfn.XLOOKUP($A202,My_Audit!$A:$A,My_Audit!R:R,""),
_xlfn.IFS(_xlpm.MyAuditVal&lt;&gt;"",UPPER(_xlpm.MyAuditVal),_xlpm.MacVal&lt;&gt;"",_xlpm.MacVal,_xlpm.CSVVal&lt;&gt;"",_xlpm.CSVVal
)),"")</f>
        <v/>
      </c>
      <c r="R202" s="40"/>
      <c r="S202" s="40"/>
      <c r="T202" s="40"/>
      <c r="U202" s="40"/>
      <c r="V202" s="40"/>
      <c r="W202" s="40"/>
      <c r="X202" s="41" t="str">
        <f>_xlfn.LET(
    _xlpm.MacVal, _xlfn.XLOOKUP($A202, Output_Mac!$A:$A, Output_Mac!AB:AB, ""),
    _xlpm.MyAuditVal, _xlfn.XLOOKUP($A202, My_Audit!$A:$A, My_Audit!N:N, ""),
    _xlfn.TEXTJOIN(", ", TRUE, _xlpm.MyAuditVal, _xlpm.MacVal)
)</f>
        <v/>
      </c>
    </row>
    <row r="203" spans="1:24">
      <c r="A203" s="40" t="str">
        <f>_xlfn.TEXTJOIN("",TRUE,Input!$B$2,ROW(My_Audit!A202))</f>
        <v>X202</v>
      </c>
      <c r="B203" s="40" t="str">
        <f>_xlfn.TEXTJOIN("-",TRUE,"ITD",Input!$A$2,A203)</f>
        <v>ITD-X202</v>
      </c>
      <c r="C203" s="40" t="str" cm="1">
        <f t="array" ref="C203">IFERROR(_xlfn.LET(
_xlpm.CSVVal,_xlfn.XLOOKUP($A203,CSV!$A:$A,CSV!B:B,""),
_xlpm.MacVal,_xlfn.XLOOKUP($A203,Output_Mac!$A:$A,Output_Mac!B:B,""),
_xlpm.MyAuditVal,_xlfn.XLOOKUP($A203,My_Audit!$A:$A,My_Audit!B:B,""),
_xlfn.IFS(_xlpm.MyAuditVal&lt;&gt;"",UPPER(_xlpm.MyAuditVal),_xlpm.MacVal&lt;&gt;"",_xlpm.MacVal,_xlpm.CSVVal&lt;&gt;"",_xlpm.CSVVal
)),"")</f>
        <v/>
      </c>
      <c r="D203" s="40" t="str" cm="1">
        <f t="array" ref="D203">IFERROR(_xlfn.LET(
_xlpm.CSVVal,_xlfn.XLOOKUP($A203,CSV!$A:$A,CSV!D:D,""),
_xlpm.MacVal,_xlfn.XLOOKUP($A203,Output_Mac!$A:$A,Output_Mac!C:C,""),
_xlpm.MyAuditVal,_xlfn.XLOOKUP($A203,My_Audit!$A:$A,My_Audit!C:C,""),
_xlfn.IFS(_xlpm.MyAuditVal&lt;&gt;"",_xlpm.MyAuditVal,_xlpm.MacVal&lt;&gt;"",_xlpm.MacVal,_xlpm.CSVVal&lt;&gt;"",_xlpm.CSVVal
)),"")</f>
        <v/>
      </c>
      <c r="E203" s="40">
        <f>_xlfn.XLOOKUP(A203,My_Audit!A:A,My_Audit!D:D,"")</f>
        <v>0</v>
      </c>
      <c r="F203" s="40" t="str" cm="1">
        <f t="array" ref="F203">IFERROR(_xlfn.LET(
_xlpm.CSVVal,_xlfn.XLOOKUP($A203,CSV!$A:$A,CSV!F:F,""),
_xlpm.MacVal,_xlfn.XLOOKUP($A203,Output_Mac!$A:$A,Output_Mac!E:E,""),
_xlpm.MyAuditVal,_xlfn.XLOOKUP($A203,My_Audit!$A:$A,My_Audit!E:E,""),
_xlfn.IFS(_xlpm.MyAuditVal&lt;&gt;"",_xlpm.MyAuditVal,_xlpm.MacVal&lt;&gt;"",_xlpm.MacVal,_xlpm.CSVVal&lt;&gt;"",_xlpm.CSVVal
)),"")</f>
        <v/>
      </c>
      <c r="G203" s="40" t="str" cm="1">
        <f t="array" ref="G203">IFERROR(_xlfn.LET(
_xlpm.CSVVal,_xlfn.XLOOKUP($A203,CSV!$A:$A,CSV!G:G,""),
_xlpm.MacVal,_xlfn.XLOOKUP($A203,Output_Mac!$A:$A,Output_Mac!F:F,""),
_xlpm.MyAuditVal,_xlfn.XLOOKUP($A203,My_Audit!$A:$A,My_Audit!F:F,""),
_xlfn.IFS(_xlpm.MyAuditVal&lt;&gt;"",_xlpm.MyAuditVal,_xlpm.MacVal&lt;&gt;"",_xlpm.MacVal,_xlpm.CSVVal&lt;&gt;"",PROPER(_xlpm.CSVVal)
)),"")</f>
        <v/>
      </c>
      <c r="H203" s="40" t="str" cm="1">
        <f t="array" ref="H203">IFERROR(_xlfn.LET(
_xlpm.CSVVal,_xlfn.XLOOKUP($A203,CSV!$A:$A,CSV!H:H,""),
_xlpm.MacVal,_xlfn.XLOOKUP($A203,Output_Mac!$A:$A,Output_Mac!H:H,""),
_xlpm.MyAuditVal,_xlfn.XLOOKUP($A203,My_Audit!$A:$A,My_Audit!G:G,""),
_xlfn.IFS(_xlpm.MyAuditVal&lt;&gt;"",_xlpm.MyAuditVal,_xlpm.MacVal&lt;&gt;"",_xlpm.MacVal,_xlpm.CSVVal&lt;&gt;"",_xlpm.CSVVal
)),"")</f>
        <v/>
      </c>
      <c r="I203" s="40" t="str">
        <f>_xlfn.XLOOKUP(A203,Output_Mac!A:A,Output_Mac!I:I,"")</f>
        <v/>
      </c>
      <c r="J203" s="40" t="str" cm="1">
        <f t="array" ref="J203">IFERROR(_xlfn.LET(
_xlpm.CSVVal,_xlfn.XLOOKUP($A203,CSV!$A:$A,CSV!I:I,""),
_xlpm.MacVal,_xlfn.XLOOKUP($A203,Output_Mac!$A:$A,Output_Mac!J:J,""),
_xlpm.MyAuditVal,_xlfn.XLOOKUP($A203,My_Audit!$A:$A,My_Audit!I:I,""),
_xlfn.IFS(_xlpm.MyAuditVal&lt;&gt;"",UPPER(_xlpm.MyAuditVal),_xlpm.MacVal&lt;&gt;"",_xlpm.MacVal,_xlpm.CSVVal&lt;&gt;"",_xlpm.CSVVal
)),"")</f>
        <v/>
      </c>
      <c r="K203" s="40" t="str" cm="1">
        <f t="array" ref="K203">IFERROR(_xlfn.LET(
_xlpm.CSVVal,_xlfn.XLOOKUP($A203,CSV!$A:$A,CSV!K:K,""),
_xlpm.MacVal,_xlfn.XLOOKUP($A203,Output_Mac!$A:$A,Output_Mac!K:K,""),
_xlpm.MyAuditVal,_xlfn.XLOOKUP($A203,My_Audit!$A:$A,My_Audit!J:J,""),
_xlfn.IFS(_xlpm.MyAuditVal&lt;&gt;"",UPPER(_xlpm.MyAuditVal),_xlpm.MacVal&lt;&gt;"",_xlpm.MacVal,_xlpm.CSVVal&lt;&gt;"",_xlpm.CSVVal
)),"")</f>
        <v/>
      </c>
      <c r="L203" s="40" t="str" cm="1">
        <f t="array" ref="L203">IFERROR(_xlfn.LET(
_xlpm.CSVVal,_xlfn.XLOOKUP($A203,CSV!$A:$A,CSV!P:P,""),
_xlpm.MacVal,_xlfn.XLOOKUP($A203,Output_Mac!$A:$A,Output_Mac!L:L,""),
_xlpm.MyAuditVal,_xlfn.XLOOKUP($A203,My_Audit!$A:$A,My_Audit!K:K,""),
_xlfn.IFS(_xlpm.MyAuditVal&lt;&gt;"",UPPER(_xlpm.MyAuditVal),_xlpm.MacVal&lt;&gt;"",_xlpm.MacVal,_xlpm.CSVVal&lt;&gt;"",_xlpm.CSVVal
)),"")</f>
        <v/>
      </c>
      <c r="M203" s="40" t="str" cm="1">
        <f t="array" ref="M203">IFERROR(_xlfn.LET(
_xlpm.CSVVal,_xlfn.XLOOKUP($A203,CSV!$A:$A,CSV!Q:Q,""),
_xlpm.MacVal,_xlfn.XLOOKUP($A203,Output_Mac!$A:$A,Output_Mac!M:M,""),
_xlpm.MyAuditVal,_xlfn.XLOOKUP($A203,My_Audit!$A:$A,My_Audit!L:L,""),
_xlfn.IFS(_xlpm.MyAuditVal&lt;&gt;"",UPPER(_xlpm.MyAuditVal),_xlpm.MacVal&lt;&gt;"",_xlpm.MacVal,_xlpm.CSVVal&lt;&gt;"",_xlpm.CSVVal
)),"")</f>
        <v/>
      </c>
      <c r="N203" s="40"/>
      <c r="O203" s="40" t="str">
        <f>_xlfn.LET(
    _xlpm.CSVVal, _xlfn.XLOOKUP($A203, CSV!$A:$A, CSV!AA:AA, ""),
    _xlpm.MacVal, _xlfn.XLOOKUP($A203, Output_Mac!$A:$A, Output_Mac!S:S, ""),
    _xlpm.MyAuditVal, _xlfn.XLOOKUP($A203, My_Audit!$A:$A, My_Audit!P:P, ""),
    _xlfn.TEXTJOIN(", ", TRUE, _xlpm.MyAuditVal, _xlpm.MacVal, _xlpm.CSVVal)
)</f>
        <v/>
      </c>
      <c r="P203" s="40" t="str" cm="1">
        <f t="array" ref="P203">IFERROR(_xlfn.LET(
_xlpm.CSVVal,_xlfn.XLOOKUP($A203,CSV!$A:$A,CSV!AB:AB,""),
_xlpm.MacVal,_xlfn.XLOOKUP($A203,Output_Mac!$A:$A,Output_Mac!T:T,""),
_xlpm.MyAuditVal,_xlfn.XLOOKUP($A203,My_Audit!$A:$A,My_Audit!Q:Q,""),
_xlfn.IFS(_xlpm.MyAuditVal&lt;&gt;"",UPPER(_xlpm.MyAuditVal),_xlpm.MacVal&lt;&gt;"",_xlpm.MacVal,_xlpm.CSVVal&lt;&gt;"",_xlpm.CSVVal
)),"No")</f>
        <v>No</v>
      </c>
      <c r="Q203" s="40" t="str" cm="1">
        <f t="array" ref="Q203">IFERROR(_xlfn.LET(
_xlpm.CSVVal,_xlfn.XLOOKUP($A203,CSV!$A:$A,CSV!AC:AC,""),
_xlpm.MacVal,_xlfn.XLOOKUP($A203,Output_Mac!$A:$A,Output_Mac!U:U,""),
_xlpm.MyAuditVal,_xlfn.XLOOKUP($A203,My_Audit!$A:$A,My_Audit!R:R,""),
_xlfn.IFS(_xlpm.MyAuditVal&lt;&gt;"",UPPER(_xlpm.MyAuditVal),_xlpm.MacVal&lt;&gt;"",_xlpm.MacVal,_xlpm.CSVVal&lt;&gt;"",_xlpm.CSVVal
)),"")</f>
        <v/>
      </c>
      <c r="R203" s="40"/>
      <c r="S203" s="40"/>
      <c r="T203" s="40"/>
      <c r="U203" s="40"/>
      <c r="V203" s="40"/>
      <c r="W203" s="40"/>
      <c r="X203" s="41" t="str">
        <f>_xlfn.LET(
    _xlpm.MacVal, _xlfn.XLOOKUP($A203, Output_Mac!$A:$A, Output_Mac!AB:AB, ""),
    _xlpm.MyAuditVal, _xlfn.XLOOKUP($A203, My_Audit!$A:$A, My_Audit!N:N, ""),
    _xlfn.TEXTJOIN(", ", TRUE, _xlpm.MyAuditVal, _xlpm.MacVal)
)</f>
        <v/>
      </c>
    </row>
    <row r="204" spans="1:24">
      <c r="A204" s="40" t="str">
        <f>_xlfn.TEXTJOIN("",TRUE,Input!$B$2,ROW(My_Audit!A203))</f>
        <v>X203</v>
      </c>
      <c r="B204" s="40" t="str">
        <f>_xlfn.TEXTJOIN("-",TRUE,"ITD",Input!$A$2,A204)</f>
        <v>ITD-X203</v>
      </c>
      <c r="C204" s="40" t="str" cm="1">
        <f t="array" ref="C204">IFERROR(_xlfn.LET(
_xlpm.CSVVal,_xlfn.XLOOKUP($A204,CSV!$A:$A,CSV!B:B,""),
_xlpm.MacVal,_xlfn.XLOOKUP($A204,Output_Mac!$A:$A,Output_Mac!B:B,""),
_xlpm.MyAuditVal,_xlfn.XLOOKUP($A204,My_Audit!$A:$A,My_Audit!B:B,""),
_xlfn.IFS(_xlpm.MyAuditVal&lt;&gt;"",UPPER(_xlpm.MyAuditVal),_xlpm.MacVal&lt;&gt;"",_xlpm.MacVal,_xlpm.CSVVal&lt;&gt;"",_xlpm.CSVVal
)),"")</f>
        <v/>
      </c>
      <c r="D204" s="40" t="str" cm="1">
        <f t="array" ref="D204">IFERROR(_xlfn.LET(
_xlpm.CSVVal,_xlfn.XLOOKUP($A204,CSV!$A:$A,CSV!D:D,""),
_xlpm.MacVal,_xlfn.XLOOKUP($A204,Output_Mac!$A:$A,Output_Mac!C:C,""),
_xlpm.MyAuditVal,_xlfn.XLOOKUP($A204,My_Audit!$A:$A,My_Audit!C:C,""),
_xlfn.IFS(_xlpm.MyAuditVal&lt;&gt;"",_xlpm.MyAuditVal,_xlpm.MacVal&lt;&gt;"",_xlpm.MacVal,_xlpm.CSVVal&lt;&gt;"",_xlpm.CSVVal
)),"")</f>
        <v/>
      </c>
      <c r="E204" s="40">
        <f>_xlfn.XLOOKUP(A204,My_Audit!A:A,My_Audit!D:D,"")</f>
        <v>0</v>
      </c>
      <c r="F204" s="40" t="str" cm="1">
        <f t="array" ref="F204">IFERROR(_xlfn.LET(
_xlpm.CSVVal,_xlfn.XLOOKUP($A204,CSV!$A:$A,CSV!F:F,""),
_xlpm.MacVal,_xlfn.XLOOKUP($A204,Output_Mac!$A:$A,Output_Mac!E:E,""),
_xlpm.MyAuditVal,_xlfn.XLOOKUP($A204,My_Audit!$A:$A,My_Audit!E:E,""),
_xlfn.IFS(_xlpm.MyAuditVal&lt;&gt;"",_xlpm.MyAuditVal,_xlpm.MacVal&lt;&gt;"",_xlpm.MacVal,_xlpm.CSVVal&lt;&gt;"",_xlpm.CSVVal
)),"")</f>
        <v/>
      </c>
      <c r="G204" s="40" t="str" cm="1">
        <f t="array" ref="G204">IFERROR(_xlfn.LET(
_xlpm.CSVVal,_xlfn.XLOOKUP($A204,CSV!$A:$A,CSV!G:G,""),
_xlpm.MacVal,_xlfn.XLOOKUP($A204,Output_Mac!$A:$A,Output_Mac!F:F,""),
_xlpm.MyAuditVal,_xlfn.XLOOKUP($A204,My_Audit!$A:$A,My_Audit!F:F,""),
_xlfn.IFS(_xlpm.MyAuditVal&lt;&gt;"",_xlpm.MyAuditVal,_xlpm.MacVal&lt;&gt;"",_xlpm.MacVal,_xlpm.CSVVal&lt;&gt;"",PROPER(_xlpm.CSVVal)
)),"")</f>
        <v/>
      </c>
      <c r="H204" s="40" t="str" cm="1">
        <f t="array" ref="H204">IFERROR(_xlfn.LET(
_xlpm.CSVVal,_xlfn.XLOOKUP($A204,CSV!$A:$A,CSV!H:H,""),
_xlpm.MacVal,_xlfn.XLOOKUP($A204,Output_Mac!$A:$A,Output_Mac!H:H,""),
_xlpm.MyAuditVal,_xlfn.XLOOKUP($A204,My_Audit!$A:$A,My_Audit!G:G,""),
_xlfn.IFS(_xlpm.MyAuditVal&lt;&gt;"",_xlpm.MyAuditVal,_xlpm.MacVal&lt;&gt;"",_xlpm.MacVal,_xlpm.CSVVal&lt;&gt;"",_xlpm.CSVVal
)),"")</f>
        <v/>
      </c>
      <c r="I204" s="40" t="str">
        <f>_xlfn.XLOOKUP(A204,Output_Mac!A:A,Output_Mac!I:I,"")</f>
        <v/>
      </c>
      <c r="J204" s="40" t="str" cm="1">
        <f t="array" ref="J204">IFERROR(_xlfn.LET(
_xlpm.CSVVal,_xlfn.XLOOKUP($A204,CSV!$A:$A,CSV!I:I,""),
_xlpm.MacVal,_xlfn.XLOOKUP($A204,Output_Mac!$A:$A,Output_Mac!J:J,""),
_xlpm.MyAuditVal,_xlfn.XLOOKUP($A204,My_Audit!$A:$A,My_Audit!I:I,""),
_xlfn.IFS(_xlpm.MyAuditVal&lt;&gt;"",UPPER(_xlpm.MyAuditVal),_xlpm.MacVal&lt;&gt;"",_xlpm.MacVal,_xlpm.CSVVal&lt;&gt;"",_xlpm.CSVVal
)),"")</f>
        <v/>
      </c>
      <c r="K204" s="40" t="str" cm="1">
        <f t="array" ref="K204">IFERROR(_xlfn.LET(
_xlpm.CSVVal,_xlfn.XLOOKUP($A204,CSV!$A:$A,CSV!K:K,""),
_xlpm.MacVal,_xlfn.XLOOKUP($A204,Output_Mac!$A:$A,Output_Mac!K:K,""),
_xlpm.MyAuditVal,_xlfn.XLOOKUP($A204,My_Audit!$A:$A,My_Audit!J:J,""),
_xlfn.IFS(_xlpm.MyAuditVal&lt;&gt;"",UPPER(_xlpm.MyAuditVal),_xlpm.MacVal&lt;&gt;"",_xlpm.MacVal,_xlpm.CSVVal&lt;&gt;"",_xlpm.CSVVal
)),"")</f>
        <v/>
      </c>
      <c r="L204" s="40" t="str" cm="1">
        <f t="array" ref="L204">IFERROR(_xlfn.LET(
_xlpm.CSVVal,_xlfn.XLOOKUP($A204,CSV!$A:$A,CSV!P:P,""),
_xlpm.MacVal,_xlfn.XLOOKUP($A204,Output_Mac!$A:$A,Output_Mac!L:L,""),
_xlpm.MyAuditVal,_xlfn.XLOOKUP($A204,My_Audit!$A:$A,My_Audit!K:K,""),
_xlfn.IFS(_xlpm.MyAuditVal&lt;&gt;"",UPPER(_xlpm.MyAuditVal),_xlpm.MacVal&lt;&gt;"",_xlpm.MacVal,_xlpm.CSVVal&lt;&gt;"",_xlpm.CSVVal
)),"")</f>
        <v/>
      </c>
      <c r="M204" s="40" t="str" cm="1">
        <f t="array" ref="M204">IFERROR(_xlfn.LET(
_xlpm.CSVVal,_xlfn.XLOOKUP($A204,CSV!$A:$A,CSV!Q:Q,""),
_xlpm.MacVal,_xlfn.XLOOKUP($A204,Output_Mac!$A:$A,Output_Mac!M:M,""),
_xlpm.MyAuditVal,_xlfn.XLOOKUP($A204,My_Audit!$A:$A,My_Audit!L:L,""),
_xlfn.IFS(_xlpm.MyAuditVal&lt;&gt;"",UPPER(_xlpm.MyAuditVal),_xlpm.MacVal&lt;&gt;"",_xlpm.MacVal,_xlpm.CSVVal&lt;&gt;"",_xlpm.CSVVal
)),"")</f>
        <v/>
      </c>
      <c r="N204" s="40"/>
      <c r="O204" s="40" t="str">
        <f>_xlfn.LET(
    _xlpm.CSVVal, _xlfn.XLOOKUP($A204, CSV!$A:$A, CSV!AA:AA, ""),
    _xlpm.MacVal, _xlfn.XLOOKUP($A204, Output_Mac!$A:$A, Output_Mac!S:S, ""),
    _xlpm.MyAuditVal, _xlfn.XLOOKUP($A204, My_Audit!$A:$A, My_Audit!P:P, ""),
    _xlfn.TEXTJOIN(", ", TRUE, _xlpm.MyAuditVal, _xlpm.MacVal, _xlpm.CSVVal)
)</f>
        <v/>
      </c>
      <c r="P204" s="40" t="str" cm="1">
        <f t="array" ref="P204">IFERROR(_xlfn.LET(
_xlpm.CSVVal,_xlfn.XLOOKUP($A204,CSV!$A:$A,CSV!AB:AB,""),
_xlpm.MacVal,_xlfn.XLOOKUP($A204,Output_Mac!$A:$A,Output_Mac!T:T,""),
_xlpm.MyAuditVal,_xlfn.XLOOKUP($A204,My_Audit!$A:$A,My_Audit!Q:Q,""),
_xlfn.IFS(_xlpm.MyAuditVal&lt;&gt;"",UPPER(_xlpm.MyAuditVal),_xlpm.MacVal&lt;&gt;"",_xlpm.MacVal,_xlpm.CSVVal&lt;&gt;"",_xlpm.CSVVal
)),"No")</f>
        <v>No</v>
      </c>
      <c r="Q204" s="40" t="str" cm="1">
        <f t="array" ref="Q204">IFERROR(_xlfn.LET(
_xlpm.CSVVal,_xlfn.XLOOKUP($A204,CSV!$A:$A,CSV!AC:AC,""),
_xlpm.MacVal,_xlfn.XLOOKUP($A204,Output_Mac!$A:$A,Output_Mac!U:U,""),
_xlpm.MyAuditVal,_xlfn.XLOOKUP($A204,My_Audit!$A:$A,My_Audit!R:R,""),
_xlfn.IFS(_xlpm.MyAuditVal&lt;&gt;"",UPPER(_xlpm.MyAuditVal),_xlpm.MacVal&lt;&gt;"",_xlpm.MacVal,_xlpm.CSVVal&lt;&gt;"",_xlpm.CSVVal
)),"")</f>
        <v/>
      </c>
      <c r="R204" s="40"/>
      <c r="S204" s="40"/>
      <c r="T204" s="40"/>
      <c r="U204" s="40"/>
      <c r="V204" s="40"/>
      <c r="W204" s="40"/>
      <c r="X204" s="41" t="str">
        <f>_xlfn.LET(
    _xlpm.MacVal, _xlfn.XLOOKUP($A204, Output_Mac!$A:$A, Output_Mac!AB:AB, ""),
    _xlpm.MyAuditVal, _xlfn.XLOOKUP($A204, My_Audit!$A:$A, My_Audit!N:N, ""),
    _xlfn.TEXTJOIN(", ", TRUE, _xlpm.MyAuditVal, _xlpm.MacVal)
)</f>
        <v/>
      </c>
    </row>
    <row r="205" spans="1:24">
      <c r="A205" s="40" t="str">
        <f>_xlfn.TEXTJOIN("",TRUE,Input!$B$2,ROW(My_Audit!A204))</f>
        <v>X204</v>
      </c>
      <c r="B205" s="40" t="str">
        <f>_xlfn.TEXTJOIN("-",TRUE,"ITD",Input!$A$2,A205)</f>
        <v>ITD-X204</v>
      </c>
      <c r="C205" s="40" t="str" cm="1">
        <f t="array" ref="C205">IFERROR(_xlfn.LET(
_xlpm.CSVVal,_xlfn.XLOOKUP($A205,CSV!$A:$A,CSV!B:B,""),
_xlpm.MacVal,_xlfn.XLOOKUP($A205,Output_Mac!$A:$A,Output_Mac!B:B,""),
_xlpm.MyAuditVal,_xlfn.XLOOKUP($A205,My_Audit!$A:$A,My_Audit!B:B,""),
_xlfn.IFS(_xlpm.MyAuditVal&lt;&gt;"",UPPER(_xlpm.MyAuditVal),_xlpm.MacVal&lt;&gt;"",_xlpm.MacVal,_xlpm.CSVVal&lt;&gt;"",_xlpm.CSVVal
)),"")</f>
        <v/>
      </c>
      <c r="D205" s="40" t="str" cm="1">
        <f t="array" ref="D205">IFERROR(_xlfn.LET(
_xlpm.CSVVal,_xlfn.XLOOKUP($A205,CSV!$A:$A,CSV!D:D,""),
_xlpm.MacVal,_xlfn.XLOOKUP($A205,Output_Mac!$A:$A,Output_Mac!C:C,""),
_xlpm.MyAuditVal,_xlfn.XLOOKUP($A205,My_Audit!$A:$A,My_Audit!C:C,""),
_xlfn.IFS(_xlpm.MyAuditVal&lt;&gt;"",_xlpm.MyAuditVal,_xlpm.MacVal&lt;&gt;"",_xlpm.MacVal,_xlpm.CSVVal&lt;&gt;"",_xlpm.CSVVal
)),"")</f>
        <v/>
      </c>
      <c r="E205" s="40">
        <f>_xlfn.XLOOKUP(A205,My_Audit!A:A,My_Audit!D:D,"")</f>
        <v>0</v>
      </c>
      <c r="F205" s="40" t="str" cm="1">
        <f t="array" ref="F205">IFERROR(_xlfn.LET(
_xlpm.CSVVal,_xlfn.XLOOKUP($A205,CSV!$A:$A,CSV!F:F,""),
_xlpm.MacVal,_xlfn.XLOOKUP($A205,Output_Mac!$A:$A,Output_Mac!E:E,""),
_xlpm.MyAuditVal,_xlfn.XLOOKUP($A205,My_Audit!$A:$A,My_Audit!E:E,""),
_xlfn.IFS(_xlpm.MyAuditVal&lt;&gt;"",_xlpm.MyAuditVal,_xlpm.MacVal&lt;&gt;"",_xlpm.MacVal,_xlpm.CSVVal&lt;&gt;"",_xlpm.CSVVal
)),"")</f>
        <v/>
      </c>
      <c r="G205" s="40" t="str" cm="1">
        <f t="array" ref="G205">IFERROR(_xlfn.LET(
_xlpm.CSVVal,_xlfn.XLOOKUP($A205,CSV!$A:$A,CSV!G:G,""),
_xlpm.MacVal,_xlfn.XLOOKUP($A205,Output_Mac!$A:$A,Output_Mac!F:F,""),
_xlpm.MyAuditVal,_xlfn.XLOOKUP($A205,My_Audit!$A:$A,My_Audit!F:F,""),
_xlfn.IFS(_xlpm.MyAuditVal&lt;&gt;"",_xlpm.MyAuditVal,_xlpm.MacVal&lt;&gt;"",_xlpm.MacVal,_xlpm.CSVVal&lt;&gt;"",PROPER(_xlpm.CSVVal)
)),"")</f>
        <v/>
      </c>
      <c r="H205" s="40" t="str" cm="1">
        <f t="array" ref="H205">IFERROR(_xlfn.LET(
_xlpm.CSVVal,_xlfn.XLOOKUP($A205,CSV!$A:$A,CSV!H:H,""),
_xlpm.MacVal,_xlfn.XLOOKUP($A205,Output_Mac!$A:$A,Output_Mac!H:H,""),
_xlpm.MyAuditVal,_xlfn.XLOOKUP($A205,My_Audit!$A:$A,My_Audit!G:G,""),
_xlfn.IFS(_xlpm.MyAuditVal&lt;&gt;"",_xlpm.MyAuditVal,_xlpm.MacVal&lt;&gt;"",_xlpm.MacVal,_xlpm.CSVVal&lt;&gt;"",_xlpm.CSVVal
)),"")</f>
        <v/>
      </c>
      <c r="I205" s="40" t="str">
        <f>_xlfn.XLOOKUP(A205,Output_Mac!A:A,Output_Mac!I:I,"")</f>
        <v/>
      </c>
      <c r="J205" s="40" t="str" cm="1">
        <f t="array" ref="J205">IFERROR(_xlfn.LET(
_xlpm.CSVVal,_xlfn.XLOOKUP($A205,CSV!$A:$A,CSV!I:I,""),
_xlpm.MacVal,_xlfn.XLOOKUP($A205,Output_Mac!$A:$A,Output_Mac!J:J,""),
_xlpm.MyAuditVal,_xlfn.XLOOKUP($A205,My_Audit!$A:$A,My_Audit!I:I,""),
_xlfn.IFS(_xlpm.MyAuditVal&lt;&gt;"",UPPER(_xlpm.MyAuditVal),_xlpm.MacVal&lt;&gt;"",_xlpm.MacVal,_xlpm.CSVVal&lt;&gt;"",_xlpm.CSVVal
)),"")</f>
        <v/>
      </c>
      <c r="K205" s="40" t="str" cm="1">
        <f t="array" ref="K205">IFERROR(_xlfn.LET(
_xlpm.CSVVal,_xlfn.XLOOKUP($A205,CSV!$A:$A,CSV!K:K,""),
_xlpm.MacVal,_xlfn.XLOOKUP($A205,Output_Mac!$A:$A,Output_Mac!K:K,""),
_xlpm.MyAuditVal,_xlfn.XLOOKUP($A205,My_Audit!$A:$A,My_Audit!J:J,""),
_xlfn.IFS(_xlpm.MyAuditVal&lt;&gt;"",UPPER(_xlpm.MyAuditVal),_xlpm.MacVal&lt;&gt;"",_xlpm.MacVal,_xlpm.CSVVal&lt;&gt;"",_xlpm.CSVVal
)),"")</f>
        <v/>
      </c>
      <c r="L205" s="40" t="str" cm="1">
        <f t="array" ref="L205">IFERROR(_xlfn.LET(
_xlpm.CSVVal,_xlfn.XLOOKUP($A205,CSV!$A:$A,CSV!P:P,""),
_xlpm.MacVal,_xlfn.XLOOKUP($A205,Output_Mac!$A:$A,Output_Mac!L:L,""),
_xlpm.MyAuditVal,_xlfn.XLOOKUP($A205,My_Audit!$A:$A,My_Audit!K:K,""),
_xlfn.IFS(_xlpm.MyAuditVal&lt;&gt;"",UPPER(_xlpm.MyAuditVal),_xlpm.MacVal&lt;&gt;"",_xlpm.MacVal,_xlpm.CSVVal&lt;&gt;"",_xlpm.CSVVal
)),"")</f>
        <v/>
      </c>
      <c r="M205" s="40" t="str" cm="1">
        <f t="array" ref="M205">IFERROR(_xlfn.LET(
_xlpm.CSVVal,_xlfn.XLOOKUP($A205,CSV!$A:$A,CSV!Q:Q,""),
_xlpm.MacVal,_xlfn.XLOOKUP($A205,Output_Mac!$A:$A,Output_Mac!M:M,""),
_xlpm.MyAuditVal,_xlfn.XLOOKUP($A205,My_Audit!$A:$A,My_Audit!L:L,""),
_xlfn.IFS(_xlpm.MyAuditVal&lt;&gt;"",UPPER(_xlpm.MyAuditVal),_xlpm.MacVal&lt;&gt;"",_xlpm.MacVal,_xlpm.CSVVal&lt;&gt;"",_xlpm.CSVVal
)),"")</f>
        <v/>
      </c>
      <c r="N205" s="40"/>
      <c r="O205" s="40" t="str">
        <f>_xlfn.LET(
    _xlpm.CSVVal, _xlfn.XLOOKUP($A205, CSV!$A:$A, CSV!AA:AA, ""),
    _xlpm.MacVal, _xlfn.XLOOKUP($A205, Output_Mac!$A:$A, Output_Mac!S:S, ""),
    _xlpm.MyAuditVal, _xlfn.XLOOKUP($A205, My_Audit!$A:$A, My_Audit!P:P, ""),
    _xlfn.TEXTJOIN(", ", TRUE, _xlpm.MyAuditVal, _xlpm.MacVal, _xlpm.CSVVal)
)</f>
        <v/>
      </c>
      <c r="P205" s="40" t="str" cm="1">
        <f t="array" ref="P205">IFERROR(_xlfn.LET(
_xlpm.CSVVal,_xlfn.XLOOKUP($A205,CSV!$A:$A,CSV!AB:AB,""),
_xlpm.MacVal,_xlfn.XLOOKUP($A205,Output_Mac!$A:$A,Output_Mac!T:T,""),
_xlpm.MyAuditVal,_xlfn.XLOOKUP($A205,My_Audit!$A:$A,My_Audit!Q:Q,""),
_xlfn.IFS(_xlpm.MyAuditVal&lt;&gt;"",UPPER(_xlpm.MyAuditVal),_xlpm.MacVal&lt;&gt;"",_xlpm.MacVal,_xlpm.CSVVal&lt;&gt;"",_xlpm.CSVVal
)),"No")</f>
        <v>No</v>
      </c>
      <c r="Q205" s="40" t="str" cm="1">
        <f t="array" ref="Q205">IFERROR(_xlfn.LET(
_xlpm.CSVVal,_xlfn.XLOOKUP($A205,CSV!$A:$A,CSV!AC:AC,""),
_xlpm.MacVal,_xlfn.XLOOKUP($A205,Output_Mac!$A:$A,Output_Mac!U:U,""),
_xlpm.MyAuditVal,_xlfn.XLOOKUP($A205,My_Audit!$A:$A,My_Audit!R:R,""),
_xlfn.IFS(_xlpm.MyAuditVal&lt;&gt;"",UPPER(_xlpm.MyAuditVal),_xlpm.MacVal&lt;&gt;"",_xlpm.MacVal,_xlpm.CSVVal&lt;&gt;"",_xlpm.CSVVal
)),"")</f>
        <v/>
      </c>
      <c r="R205" s="40"/>
      <c r="S205" s="40"/>
      <c r="T205" s="40"/>
      <c r="U205" s="40"/>
      <c r="V205" s="40"/>
      <c r="W205" s="40"/>
      <c r="X205" s="41" t="str">
        <f>_xlfn.LET(
    _xlpm.MacVal, _xlfn.XLOOKUP($A205, Output_Mac!$A:$A, Output_Mac!AB:AB, ""),
    _xlpm.MyAuditVal, _xlfn.XLOOKUP($A205, My_Audit!$A:$A, My_Audit!N:N, ""),
    _xlfn.TEXTJOIN(", ", TRUE, _xlpm.MyAuditVal, _xlpm.MacVal)
)</f>
        <v/>
      </c>
    </row>
    <row r="206" spans="1:24">
      <c r="A206" s="40" t="str">
        <f>_xlfn.TEXTJOIN("",TRUE,Input!$B$2,ROW(My_Audit!A205))</f>
        <v>X205</v>
      </c>
      <c r="B206" s="40" t="str">
        <f>_xlfn.TEXTJOIN("-",TRUE,"ITD",Input!$A$2,A206)</f>
        <v>ITD-X205</v>
      </c>
      <c r="C206" s="40" t="str" cm="1">
        <f t="array" ref="C206">IFERROR(_xlfn.LET(
_xlpm.CSVVal,_xlfn.XLOOKUP($A206,CSV!$A:$A,CSV!B:B,""),
_xlpm.MacVal,_xlfn.XLOOKUP($A206,Output_Mac!$A:$A,Output_Mac!B:B,""),
_xlpm.MyAuditVal,_xlfn.XLOOKUP($A206,My_Audit!$A:$A,My_Audit!B:B,""),
_xlfn.IFS(_xlpm.MyAuditVal&lt;&gt;"",UPPER(_xlpm.MyAuditVal),_xlpm.MacVal&lt;&gt;"",_xlpm.MacVal,_xlpm.CSVVal&lt;&gt;"",_xlpm.CSVVal
)),"")</f>
        <v/>
      </c>
      <c r="D206" s="40" t="str" cm="1">
        <f t="array" ref="D206">IFERROR(_xlfn.LET(
_xlpm.CSVVal,_xlfn.XLOOKUP($A206,CSV!$A:$A,CSV!D:D,""),
_xlpm.MacVal,_xlfn.XLOOKUP($A206,Output_Mac!$A:$A,Output_Mac!C:C,""),
_xlpm.MyAuditVal,_xlfn.XLOOKUP($A206,My_Audit!$A:$A,My_Audit!C:C,""),
_xlfn.IFS(_xlpm.MyAuditVal&lt;&gt;"",_xlpm.MyAuditVal,_xlpm.MacVal&lt;&gt;"",_xlpm.MacVal,_xlpm.CSVVal&lt;&gt;"",_xlpm.CSVVal
)),"")</f>
        <v/>
      </c>
      <c r="E206" s="40">
        <f>_xlfn.XLOOKUP(A206,My_Audit!A:A,My_Audit!D:D,"")</f>
        <v>0</v>
      </c>
      <c r="F206" s="40" t="str" cm="1">
        <f t="array" ref="F206">IFERROR(_xlfn.LET(
_xlpm.CSVVal,_xlfn.XLOOKUP($A206,CSV!$A:$A,CSV!F:F,""),
_xlpm.MacVal,_xlfn.XLOOKUP($A206,Output_Mac!$A:$A,Output_Mac!E:E,""),
_xlpm.MyAuditVal,_xlfn.XLOOKUP($A206,My_Audit!$A:$A,My_Audit!E:E,""),
_xlfn.IFS(_xlpm.MyAuditVal&lt;&gt;"",_xlpm.MyAuditVal,_xlpm.MacVal&lt;&gt;"",_xlpm.MacVal,_xlpm.CSVVal&lt;&gt;"",_xlpm.CSVVal
)),"")</f>
        <v/>
      </c>
      <c r="G206" s="40" t="str" cm="1">
        <f t="array" ref="G206">IFERROR(_xlfn.LET(
_xlpm.CSVVal,_xlfn.XLOOKUP($A206,CSV!$A:$A,CSV!G:G,""),
_xlpm.MacVal,_xlfn.XLOOKUP($A206,Output_Mac!$A:$A,Output_Mac!F:F,""),
_xlpm.MyAuditVal,_xlfn.XLOOKUP($A206,My_Audit!$A:$A,My_Audit!F:F,""),
_xlfn.IFS(_xlpm.MyAuditVal&lt;&gt;"",_xlpm.MyAuditVal,_xlpm.MacVal&lt;&gt;"",_xlpm.MacVal,_xlpm.CSVVal&lt;&gt;"",PROPER(_xlpm.CSVVal)
)),"")</f>
        <v/>
      </c>
      <c r="H206" s="40" t="str" cm="1">
        <f t="array" ref="H206">IFERROR(_xlfn.LET(
_xlpm.CSVVal,_xlfn.XLOOKUP($A206,CSV!$A:$A,CSV!H:H,""),
_xlpm.MacVal,_xlfn.XLOOKUP($A206,Output_Mac!$A:$A,Output_Mac!H:H,""),
_xlpm.MyAuditVal,_xlfn.XLOOKUP($A206,My_Audit!$A:$A,My_Audit!G:G,""),
_xlfn.IFS(_xlpm.MyAuditVal&lt;&gt;"",_xlpm.MyAuditVal,_xlpm.MacVal&lt;&gt;"",_xlpm.MacVal,_xlpm.CSVVal&lt;&gt;"",_xlpm.CSVVal
)),"")</f>
        <v/>
      </c>
      <c r="I206" s="40" t="str">
        <f>_xlfn.XLOOKUP(A206,Output_Mac!A:A,Output_Mac!I:I,"")</f>
        <v/>
      </c>
      <c r="J206" s="40" t="str" cm="1">
        <f t="array" ref="J206">IFERROR(_xlfn.LET(
_xlpm.CSVVal,_xlfn.XLOOKUP($A206,CSV!$A:$A,CSV!I:I,""),
_xlpm.MacVal,_xlfn.XLOOKUP($A206,Output_Mac!$A:$A,Output_Mac!J:J,""),
_xlpm.MyAuditVal,_xlfn.XLOOKUP($A206,My_Audit!$A:$A,My_Audit!I:I,""),
_xlfn.IFS(_xlpm.MyAuditVal&lt;&gt;"",UPPER(_xlpm.MyAuditVal),_xlpm.MacVal&lt;&gt;"",_xlpm.MacVal,_xlpm.CSVVal&lt;&gt;"",_xlpm.CSVVal
)),"")</f>
        <v/>
      </c>
      <c r="K206" s="40" t="str" cm="1">
        <f t="array" ref="K206">IFERROR(_xlfn.LET(
_xlpm.CSVVal,_xlfn.XLOOKUP($A206,CSV!$A:$A,CSV!K:K,""),
_xlpm.MacVal,_xlfn.XLOOKUP($A206,Output_Mac!$A:$A,Output_Mac!K:K,""),
_xlpm.MyAuditVal,_xlfn.XLOOKUP($A206,My_Audit!$A:$A,My_Audit!J:J,""),
_xlfn.IFS(_xlpm.MyAuditVal&lt;&gt;"",UPPER(_xlpm.MyAuditVal),_xlpm.MacVal&lt;&gt;"",_xlpm.MacVal,_xlpm.CSVVal&lt;&gt;"",_xlpm.CSVVal
)),"")</f>
        <v/>
      </c>
      <c r="L206" s="40" t="str" cm="1">
        <f t="array" ref="L206">IFERROR(_xlfn.LET(
_xlpm.CSVVal,_xlfn.XLOOKUP($A206,CSV!$A:$A,CSV!P:P,""),
_xlpm.MacVal,_xlfn.XLOOKUP($A206,Output_Mac!$A:$A,Output_Mac!L:L,""),
_xlpm.MyAuditVal,_xlfn.XLOOKUP($A206,My_Audit!$A:$A,My_Audit!K:K,""),
_xlfn.IFS(_xlpm.MyAuditVal&lt;&gt;"",UPPER(_xlpm.MyAuditVal),_xlpm.MacVal&lt;&gt;"",_xlpm.MacVal,_xlpm.CSVVal&lt;&gt;"",_xlpm.CSVVal
)),"")</f>
        <v/>
      </c>
      <c r="M206" s="40" t="str" cm="1">
        <f t="array" ref="M206">IFERROR(_xlfn.LET(
_xlpm.CSVVal,_xlfn.XLOOKUP($A206,CSV!$A:$A,CSV!Q:Q,""),
_xlpm.MacVal,_xlfn.XLOOKUP($A206,Output_Mac!$A:$A,Output_Mac!M:M,""),
_xlpm.MyAuditVal,_xlfn.XLOOKUP($A206,My_Audit!$A:$A,My_Audit!L:L,""),
_xlfn.IFS(_xlpm.MyAuditVal&lt;&gt;"",UPPER(_xlpm.MyAuditVal),_xlpm.MacVal&lt;&gt;"",_xlpm.MacVal,_xlpm.CSVVal&lt;&gt;"",_xlpm.CSVVal
)),"")</f>
        <v/>
      </c>
      <c r="N206" s="40"/>
      <c r="O206" s="40" t="str">
        <f>_xlfn.LET(
    _xlpm.CSVVal, _xlfn.XLOOKUP($A206, CSV!$A:$A, CSV!AA:AA, ""),
    _xlpm.MacVal, _xlfn.XLOOKUP($A206, Output_Mac!$A:$A, Output_Mac!S:S, ""),
    _xlpm.MyAuditVal, _xlfn.XLOOKUP($A206, My_Audit!$A:$A, My_Audit!P:P, ""),
    _xlfn.TEXTJOIN(", ", TRUE, _xlpm.MyAuditVal, _xlpm.MacVal, _xlpm.CSVVal)
)</f>
        <v/>
      </c>
      <c r="P206" s="40" t="str" cm="1">
        <f t="array" ref="P206">IFERROR(_xlfn.LET(
_xlpm.CSVVal,_xlfn.XLOOKUP($A206,CSV!$A:$A,CSV!AB:AB,""),
_xlpm.MacVal,_xlfn.XLOOKUP($A206,Output_Mac!$A:$A,Output_Mac!T:T,""),
_xlpm.MyAuditVal,_xlfn.XLOOKUP($A206,My_Audit!$A:$A,My_Audit!Q:Q,""),
_xlfn.IFS(_xlpm.MyAuditVal&lt;&gt;"",UPPER(_xlpm.MyAuditVal),_xlpm.MacVal&lt;&gt;"",_xlpm.MacVal,_xlpm.CSVVal&lt;&gt;"",_xlpm.CSVVal
)),"No")</f>
        <v>No</v>
      </c>
      <c r="Q206" s="40" t="str" cm="1">
        <f t="array" ref="Q206">IFERROR(_xlfn.LET(
_xlpm.CSVVal,_xlfn.XLOOKUP($A206,CSV!$A:$A,CSV!AC:AC,""),
_xlpm.MacVal,_xlfn.XLOOKUP($A206,Output_Mac!$A:$A,Output_Mac!U:U,""),
_xlpm.MyAuditVal,_xlfn.XLOOKUP($A206,My_Audit!$A:$A,My_Audit!R:R,""),
_xlfn.IFS(_xlpm.MyAuditVal&lt;&gt;"",UPPER(_xlpm.MyAuditVal),_xlpm.MacVal&lt;&gt;"",_xlpm.MacVal,_xlpm.CSVVal&lt;&gt;"",_xlpm.CSVVal
)),"")</f>
        <v/>
      </c>
      <c r="R206" s="40"/>
      <c r="S206" s="40"/>
      <c r="T206" s="40"/>
      <c r="U206" s="40"/>
      <c r="V206" s="40"/>
      <c r="W206" s="40"/>
      <c r="X206" s="41" t="str">
        <f>_xlfn.LET(
    _xlpm.MacVal, _xlfn.XLOOKUP($A206, Output_Mac!$A:$A, Output_Mac!AB:AB, ""),
    _xlpm.MyAuditVal, _xlfn.XLOOKUP($A206, My_Audit!$A:$A, My_Audit!N:N, ""),
    _xlfn.TEXTJOIN(", ", TRUE, _xlpm.MyAuditVal, _xlpm.MacVal)
)</f>
        <v/>
      </c>
    </row>
    <row r="207" spans="1:24">
      <c r="A207" s="40" t="str">
        <f>_xlfn.TEXTJOIN("",TRUE,Input!$B$2,ROW(My_Audit!A206))</f>
        <v>X206</v>
      </c>
      <c r="B207" s="40" t="str">
        <f>_xlfn.TEXTJOIN("-",TRUE,"ITD",Input!$A$2,A207)</f>
        <v>ITD-X206</v>
      </c>
      <c r="C207" s="40" t="str" cm="1">
        <f t="array" ref="C207">IFERROR(_xlfn.LET(
_xlpm.CSVVal,_xlfn.XLOOKUP($A207,CSV!$A:$A,CSV!B:B,""),
_xlpm.MacVal,_xlfn.XLOOKUP($A207,Output_Mac!$A:$A,Output_Mac!B:B,""),
_xlpm.MyAuditVal,_xlfn.XLOOKUP($A207,My_Audit!$A:$A,My_Audit!B:B,""),
_xlfn.IFS(_xlpm.MyAuditVal&lt;&gt;"",UPPER(_xlpm.MyAuditVal),_xlpm.MacVal&lt;&gt;"",_xlpm.MacVal,_xlpm.CSVVal&lt;&gt;"",_xlpm.CSVVal
)),"")</f>
        <v/>
      </c>
      <c r="D207" s="40" t="str" cm="1">
        <f t="array" ref="D207">IFERROR(_xlfn.LET(
_xlpm.CSVVal,_xlfn.XLOOKUP($A207,CSV!$A:$A,CSV!D:D,""),
_xlpm.MacVal,_xlfn.XLOOKUP($A207,Output_Mac!$A:$A,Output_Mac!C:C,""),
_xlpm.MyAuditVal,_xlfn.XLOOKUP($A207,My_Audit!$A:$A,My_Audit!C:C,""),
_xlfn.IFS(_xlpm.MyAuditVal&lt;&gt;"",_xlpm.MyAuditVal,_xlpm.MacVal&lt;&gt;"",_xlpm.MacVal,_xlpm.CSVVal&lt;&gt;"",_xlpm.CSVVal
)),"")</f>
        <v/>
      </c>
      <c r="E207" s="40">
        <f>_xlfn.XLOOKUP(A207,My_Audit!A:A,My_Audit!D:D,"")</f>
        <v>0</v>
      </c>
      <c r="F207" s="40" t="str" cm="1">
        <f t="array" ref="F207">IFERROR(_xlfn.LET(
_xlpm.CSVVal,_xlfn.XLOOKUP($A207,CSV!$A:$A,CSV!F:F,""),
_xlpm.MacVal,_xlfn.XLOOKUP($A207,Output_Mac!$A:$A,Output_Mac!E:E,""),
_xlpm.MyAuditVal,_xlfn.XLOOKUP($A207,My_Audit!$A:$A,My_Audit!E:E,""),
_xlfn.IFS(_xlpm.MyAuditVal&lt;&gt;"",_xlpm.MyAuditVal,_xlpm.MacVal&lt;&gt;"",_xlpm.MacVal,_xlpm.CSVVal&lt;&gt;"",_xlpm.CSVVal
)),"")</f>
        <v/>
      </c>
      <c r="G207" s="40" t="str" cm="1">
        <f t="array" ref="G207">IFERROR(_xlfn.LET(
_xlpm.CSVVal,_xlfn.XLOOKUP($A207,CSV!$A:$A,CSV!G:G,""),
_xlpm.MacVal,_xlfn.XLOOKUP($A207,Output_Mac!$A:$A,Output_Mac!F:F,""),
_xlpm.MyAuditVal,_xlfn.XLOOKUP($A207,My_Audit!$A:$A,My_Audit!F:F,""),
_xlfn.IFS(_xlpm.MyAuditVal&lt;&gt;"",_xlpm.MyAuditVal,_xlpm.MacVal&lt;&gt;"",_xlpm.MacVal,_xlpm.CSVVal&lt;&gt;"",PROPER(_xlpm.CSVVal)
)),"")</f>
        <v/>
      </c>
      <c r="H207" s="40" t="str" cm="1">
        <f t="array" ref="H207">IFERROR(_xlfn.LET(
_xlpm.CSVVal,_xlfn.XLOOKUP($A207,CSV!$A:$A,CSV!H:H,""),
_xlpm.MacVal,_xlfn.XLOOKUP($A207,Output_Mac!$A:$A,Output_Mac!H:H,""),
_xlpm.MyAuditVal,_xlfn.XLOOKUP($A207,My_Audit!$A:$A,My_Audit!G:G,""),
_xlfn.IFS(_xlpm.MyAuditVal&lt;&gt;"",_xlpm.MyAuditVal,_xlpm.MacVal&lt;&gt;"",_xlpm.MacVal,_xlpm.CSVVal&lt;&gt;"",_xlpm.CSVVal
)),"")</f>
        <v/>
      </c>
      <c r="I207" s="40" t="str">
        <f>_xlfn.XLOOKUP(A207,Output_Mac!A:A,Output_Mac!I:I,"")</f>
        <v/>
      </c>
      <c r="J207" s="40" t="str" cm="1">
        <f t="array" ref="J207">IFERROR(_xlfn.LET(
_xlpm.CSVVal,_xlfn.XLOOKUP($A207,CSV!$A:$A,CSV!I:I,""),
_xlpm.MacVal,_xlfn.XLOOKUP($A207,Output_Mac!$A:$A,Output_Mac!J:J,""),
_xlpm.MyAuditVal,_xlfn.XLOOKUP($A207,My_Audit!$A:$A,My_Audit!I:I,""),
_xlfn.IFS(_xlpm.MyAuditVal&lt;&gt;"",UPPER(_xlpm.MyAuditVal),_xlpm.MacVal&lt;&gt;"",_xlpm.MacVal,_xlpm.CSVVal&lt;&gt;"",_xlpm.CSVVal
)),"")</f>
        <v/>
      </c>
      <c r="K207" s="40" t="str" cm="1">
        <f t="array" ref="K207">IFERROR(_xlfn.LET(
_xlpm.CSVVal,_xlfn.XLOOKUP($A207,CSV!$A:$A,CSV!K:K,""),
_xlpm.MacVal,_xlfn.XLOOKUP($A207,Output_Mac!$A:$A,Output_Mac!K:K,""),
_xlpm.MyAuditVal,_xlfn.XLOOKUP($A207,My_Audit!$A:$A,My_Audit!J:J,""),
_xlfn.IFS(_xlpm.MyAuditVal&lt;&gt;"",UPPER(_xlpm.MyAuditVal),_xlpm.MacVal&lt;&gt;"",_xlpm.MacVal,_xlpm.CSVVal&lt;&gt;"",_xlpm.CSVVal
)),"")</f>
        <v/>
      </c>
      <c r="L207" s="40" t="str" cm="1">
        <f t="array" ref="L207">IFERROR(_xlfn.LET(
_xlpm.CSVVal,_xlfn.XLOOKUP($A207,CSV!$A:$A,CSV!P:P,""),
_xlpm.MacVal,_xlfn.XLOOKUP($A207,Output_Mac!$A:$A,Output_Mac!L:L,""),
_xlpm.MyAuditVal,_xlfn.XLOOKUP($A207,My_Audit!$A:$A,My_Audit!K:K,""),
_xlfn.IFS(_xlpm.MyAuditVal&lt;&gt;"",UPPER(_xlpm.MyAuditVal),_xlpm.MacVal&lt;&gt;"",_xlpm.MacVal,_xlpm.CSVVal&lt;&gt;"",_xlpm.CSVVal
)),"")</f>
        <v/>
      </c>
      <c r="M207" s="40" t="str" cm="1">
        <f t="array" ref="M207">IFERROR(_xlfn.LET(
_xlpm.CSVVal,_xlfn.XLOOKUP($A207,CSV!$A:$A,CSV!Q:Q,""),
_xlpm.MacVal,_xlfn.XLOOKUP($A207,Output_Mac!$A:$A,Output_Mac!M:M,""),
_xlpm.MyAuditVal,_xlfn.XLOOKUP($A207,My_Audit!$A:$A,My_Audit!L:L,""),
_xlfn.IFS(_xlpm.MyAuditVal&lt;&gt;"",UPPER(_xlpm.MyAuditVal),_xlpm.MacVal&lt;&gt;"",_xlpm.MacVal,_xlpm.CSVVal&lt;&gt;"",_xlpm.CSVVal
)),"")</f>
        <v/>
      </c>
      <c r="N207" s="40"/>
      <c r="O207" s="40" t="str">
        <f>_xlfn.LET(
    _xlpm.CSVVal, _xlfn.XLOOKUP($A207, CSV!$A:$A, CSV!AA:AA, ""),
    _xlpm.MacVal, _xlfn.XLOOKUP($A207, Output_Mac!$A:$A, Output_Mac!S:S, ""),
    _xlpm.MyAuditVal, _xlfn.XLOOKUP($A207, My_Audit!$A:$A, My_Audit!P:P, ""),
    _xlfn.TEXTJOIN(", ", TRUE, _xlpm.MyAuditVal, _xlpm.MacVal, _xlpm.CSVVal)
)</f>
        <v/>
      </c>
      <c r="P207" s="40" t="str" cm="1">
        <f t="array" ref="P207">IFERROR(_xlfn.LET(
_xlpm.CSVVal,_xlfn.XLOOKUP($A207,CSV!$A:$A,CSV!AB:AB,""),
_xlpm.MacVal,_xlfn.XLOOKUP($A207,Output_Mac!$A:$A,Output_Mac!T:T,""),
_xlpm.MyAuditVal,_xlfn.XLOOKUP($A207,My_Audit!$A:$A,My_Audit!Q:Q,""),
_xlfn.IFS(_xlpm.MyAuditVal&lt;&gt;"",UPPER(_xlpm.MyAuditVal),_xlpm.MacVal&lt;&gt;"",_xlpm.MacVal,_xlpm.CSVVal&lt;&gt;"",_xlpm.CSVVal
)),"No")</f>
        <v>No</v>
      </c>
      <c r="Q207" s="40" t="str" cm="1">
        <f t="array" ref="Q207">IFERROR(_xlfn.LET(
_xlpm.CSVVal,_xlfn.XLOOKUP($A207,CSV!$A:$A,CSV!AC:AC,""),
_xlpm.MacVal,_xlfn.XLOOKUP($A207,Output_Mac!$A:$A,Output_Mac!U:U,""),
_xlpm.MyAuditVal,_xlfn.XLOOKUP($A207,My_Audit!$A:$A,My_Audit!R:R,""),
_xlfn.IFS(_xlpm.MyAuditVal&lt;&gt;"",UPPER(_xlpm.MyAuditVal),_xlpm.MacVal&lt;&gt;"",_xlpm.MacVal,_xlpm.CSVVal&lt;&gt;"",_xlpm.CSVVal
)),"")</f>
        <v/>
      </c>
      <c r="R207" s="40"/>
      <c r="S207" s="40"/>
      <c r="T207" s="40"/>
      <c r="U207" s="40"/>
      <c r="V207" s="40"/>
      <c r="W207" s="40"/>
      <c r="X207" s="41" t="str">
        <f>_xlfn.LET(
    _xlpm.MacVal, _xlfn.XLOOKUP($A207, Output_Mac!$A:$A, Output_Mac!AB:AB, ""),
    _xlpm.MyAuditVal, _xlfn.XLOOKUP($A207, My_Audit!$A:$A, My_Audit!N:N, ""),
    _xlfn.TEXTJOIN(", ", TRUE, _xlpm.MyAuditVal, _xlpm.MacVal)
)</f>
        <v/>
      </c>
    </row>
    <row r="208" spans="1:24">
      <c r="A208" s="40" t="str">
        <f>_xlfn.TEXTJOIN("",TRUE,Input!$B$2,ROW(My_Audit!A207))</f>
        <v>X207</v>
      </c>
      <c r="B208" s="40" t="str">
        <f>_xlfn.TEXTJOIN("-",TRUE,"ITD",Input!$A$2,A208)</f>
        <v>ITD-X207</v>
      </c>
      <c r="C208" s="40" t="str" cm="1">
        <f t="array" ref="C208">IFERROR(_xlfn.LET(
_xlpm.CSVVal,_xlfn.XLOOKUP($A208,CSV!$A:$A,CSV!B:B,""),
_xlpm.MacVal,_xlfn.XLOOKUP($A208,Output_Mac!$A:$A,Output_Mac!B:B,""),
_xlpm.MyAuditVal,_xlfn.XLOOKUP($A208,My_Audit!$A:$A,My_Audit!B:B,""),
_xlfn.IFS(_xlpm.MyAuditVal&lt;&gt;"",UPPER(_xlpm.MyAuditVal),_xlpm.MacVal&lt;&gt;"",_xlpm.MacVal,_xlpm.CSVVal&lt;&gt;"",_xlpm.CSVVal
)),"")</f>
        <v/>
      </c>
      <c r="D208" s="40" t="str" cm="1">
        <f t="array" ref="D208">IFERROR(_xlfn.LET(
_xlpm.CSVVal,_xlfn.XLOOKUP($A208,CSV!$A:$A,CSV!D:D,""),
_xlpm.MacVal,_xlfn.XLOOKUP($A208,Output_Mac!$A:$A,Output_Mac!C:C,""),
_xlpm.MyAuditVal,_xlfn.XLOOKUP($A208,My_Audit!$A:$A,My_Audit!C:C,""),
_xlfn.IFS(_xlpm.MyAuditVal&lt;&gt;"",_xlpm.MyAuditVal,_xlpm.MacVal&lt;&gt;"",_xlpm.MacVal,_xlpm.CSVVal&lt;&gt;"",_xlpm.CSVVal
)),"")</f>
        <v/>
      </c>
      <c r="E208" s="40">
        <f>_xlfn.XLOOKUP(A208,My_Audit!A:A,My_Audit!D:D,"")</f>
        <v>0</v>
      </c>
      <c r="F208" s="40" t="str" cm="1">
        <f t="array" ref="F208">IFERROR(_xlfn.LET(
_xlpm.CSVVal,_xlfn.XLOOKUP($A208,CSV!$A:$A,CSV!F:F,""),
_xlpm.MacVal,_xlfn.XLOOKUP($A208,Output_Mac!$A:$A,Output_Mac!E:E,""),
_xlpm.MyAuditVal,_xlfn.XLOOKUP($A208,My_Audit!$A:$A,My_Audit!E:E,""),
_xlfn.IFS(_xlpm.MyAuditVal&lt;&gt;"",_xlpm.MyAuditVal,_xlpm.MacVal&lt;&gt;"",_xlpm.MacVal,_xlpm.CSVVal&lt;&gt;"",_xlpm.CSVVal
)),"")</f>
        <v/>
      </c>
      <c r="G208" s="40" t="str" cm="1">
        <f t="array" ref="G208">IFERROR(_xlfn.LET(
_xlpm.CSVVal,_xlfn.XLOOKUP($A208,CSV!$A:$A,CSV!G:G,""),
_xlpm.MacVal,_xlfn.XLOOKUP($A208,Output_Mac!$A:$A,Output_Mac!F:F,""),
_xlpm.MyAuditVal,_xlfn.XLOOKUP($A208,My_Audit!$A:$A,My_Audit!F:F,""),
_xlfn.IFS(_xlpm.MyAuditVal&lt;&gt;"",_xlpm.MyAuditVal,_xlpm.MacVal&lt;&gt;"",_xlpm.MacVal,_xlpm.CSVVal&lt;&gt;"",PROPER(_xlpm.CSVVal)
)),"")</f>
        <v/>
      </c>
      <c r="H208" s="40" t="str" cm="1">
        <f t="array" ref="H208">IFERROR(_xlfn.LET(
_xlpm.CSVVal,_xlfn.XLOOKUP($A208,CSV!$A:$A,CSV!H:H,""),
_xlpm.MacVal,_xlfn.XLOOKUP($A208,Output_Mac!$A:$A,Output_Mac!H:H,""),
_xlpm.MyAuditVal,_xlfn.XLOOKUP($A208,My_Audit!$A:$A,My_Audit!G:G,""),
_xlfn.IFS(_xlpm.MyAuditVal&lt;&gt;"",_xlpm.MyAuditVal,_xlpm.MacVal&lt;&gt;"",_xlpm.MacVal,_xlpm.CSVVal&lt;&gt;"",_xlpm.CSVVal
)),"")</f>
        <v/>
      </c>
      <c r="I208" s="40" t="str">
        <f>_xlfn.XLOOKUP(A208,Output_Mac!A:A,Output_Mac!I:I,"")</f>
        <v/>
      </c>
      <c r="J208" s="40" t="str" cm="1">
        <f t="array" ref="J208">IFERROR(_xlfn.LET(
_xlpm.CSVVal,_xlfn.XLOOKUP($A208,CSV!$A:$A,CSV!I:I,""),
_xlpm.MacVal,_xlfn.XLOOKUP($A208,Output_Mac!$A:$A,Output_Mac!J:J,""),
_xlpm.MyAuditVal,_xlfn.XLOOKUP($A208,My_Audit!$A:$A,My_Audit!I:I,""),
_xlfn.IFS(_xlpm.MyAuditVal&lt;&gt;"",UPPER(_xlpm.MyAuditVal),_xlpm.MacVal&lt;&gt;"",_xlpm.MacVal,_xlpm.CSVVal&lt;&gt;"",_xlpm.CSVVal
)),"")</f>
        <v/>
      </c>
      <c r="K208" s="40" t="str" cm="1">
        <f t="array" ref="K208">IFERROR(_xlfn.LET(
_xlpm.CSVVal,_xlfn.XLOOKUP($A208,CSV!$A:$A,CSV!K:K,""),
_xlpm.MacVal,_xlfn.XLOOKUP($A208,Output_Mac!$A:$A,Output_Mac!K:K,""),
_xlpm.MyAuditVal,_xlfn.XLOOKUP($A208,My_Audit!$A:$A,My_Audit!J:J,""),
_xlfn.IFS(_xlpm.MyAuditVal&lt;&gt;"",UPPER(_xlpm.MyAuditVal),_xlpm.MacVal&lt;&gt;"",_xlpm.MacVal,_xlpm.CSVVal&lt;&gt;"",_xlpm.CSVVal
)),"")</f>
        <v/>
      </c>
      <c r="L208" s="40" t="str" cm="1">
        <f t="array" ref="L208">IFERROR(_xlfn.LET(
_xlpm.CSVVal,_xlfn.XLOOKUP($A208,CSV!$A:$A,CSV!P:P,""),
_xlpm.MacVal,_xlfn.XLOOKUP($A208,Output_Mac!$A:$A,Output_Mac!L:L,""),
_xlpm.MyAuditVal,_xlfn.XLOOKUP($A208,My_Audit!$A:$A,My_Audit!K:K,""),
_xlfn.IFS(_xlpm.MyAuditVal&lt;&gt;"",UPPER(_xlpm.MyAuditVal),_xlpm.MacVal&lt;&gt;"",_xlpm.MacVal,_xlpm.CSVVal&lt;&gt;"",_xlpm.CSVVal
)),"")</f>
        <v/>
      </c>
      <c r="M208" s="40" t="str" cm="1">
        <f t="array" ref="M208">IFERROR(_xlfn.LET(
_xlpm.CSVVal,_xlfn.XLOOKUP($A208,CSV!$A:$A,CSV!Q:Q,""),
_xlpm.MacVal,_xlfn.XLOOKUP($A208,Output_Mac!$A:$A,Output_Mac!M:M,""),
_xlpm.MyAuditVal,_xlfn.XLOOKUP($A208,My_Audit!$A:$A,My_Audit!L:L,""),
_xlfn.IFS(_xlpm.MyAuditVal&lt;&gt;"",UPPER(_xlpm.MyAuditVal),_xlpm.MacVal&lt;&gt;"",_xlpm.MacVal,_xlpm.CSVVal&lt;&gt;"",_xlpm.CSVVal
)),"")</f>
        <v/>
      </c>
      <c r="N208" s="40"/>
      <c r="O208" s="40" t="str">
        <f>_xlfn.LET(
    _xlpm.CSVVal, _xlfn.XLOOKUP($A208, CSV!$A:$A, CSV!AA:AA, ""),
    _xlpm.MacVal, _xlfn.XLOOKUP($A208, Output_Mac!$A:$A, Output_Mac!S:S, ""),
    _xlpm.MyAuditVal, _xlfn.XLOOKUP($A208, My_Audit!$A:$A, My_Audit!P:P, ""),
    _xlfn.TEXTJOIN(", ", TRUE, _xlpm.MyAuditVal, _xlpm.MacVal, _xlpm.CSVVal)
)</f>
        <v/>
      </c>
      <c r="P208" s="40" t="str" cm="1">
        <f t="array" ref="P208">IFERROR(_xlfn.LET(
_xlpm.CSVVal,_xlfn.XLOOKUP($A208,CSV!$A:$A,CSV!AB:AB,""),
_xlpm.MacVal,_xlfn.XLOOKUP($A208,Output_Mac!$A:$A,Output_Mac!T:T,""),
_xlpm.MyAuditVal,_xlfn.XLOOKUP($A208,My_Audit!$A:$A,My_Audit!Q:Q,""),
_xlfn.IFS(_xlpm.MyAuditVal&lt;&gt;"",UPPER(_xlpm.MyAuditVal),_xlpm.MacVal&lt;&gt;"",_xlpm.MacVal,_xlpm.CSVVal&lt;&gt;"",_xlpm.CSVVal
)),"No")</f>
        <v>No</v>
      </c>
      <c r="Q208" s="40" t="str" cm="1">
        <f t="array" ref="Q208">IFERROR(_xlfn.LET(
_xlpm.CSVVal,_xlfn.XLOOKUP($A208,CSV!$A:$A,CSV!AC:AC,""),
_xlpm.MacVal,_xlfn.XLOOKUP($A208,Output_Mac!$A:$A,Output_Mac!U:U,""),
_xlpm.MyAuditVal,_xlfn.XLOOKUP($A208,My_Audit!$A:$A,My_Audit!R:R,""),
_xlfn.IFS(_xlpm.MyAuditVal&lt;&gt;"",UPPER(_xlpm.MyAuditVal),_xlpm.MacVal&lt;&gt;"",_xlpm.MacVal,_xlpm.CSVVal&lt;&gt;"",_xlpm.CSVVal
)),"")</f>
        <v/>
      </c>
      <c r="R208" s="40"/>
      <c r="S208" s="40"/>
      <c r="T208" s="40"/>
      <c r="U208" s="40"/>
      <c r="V208" s="40"/>
      <c r="W208" s="40"/>
      <c r="X208" s="41" t="str">
        <f>_xlfn.LET(
    _xlpm.MacVal, _xlfn.XLOOKUP($A208, Output_Mac!$A:$A, Output_Mac!AB:AB, ""),
    _xlpm.MyAuditVal, _xlfn.XLOOKUP($A208, My_Audit!$A:$A, My_Audit!N:N, ""),
    _xlfn.TEXTJOIN(", ", TRUE, _xlpm.MyAuditVal, _xlpm.MacVal)
)</f>
        <v/>
      </c>
    </row>
    <row r="209" spans="1:24">
      <c r="A209" s="40" t="str">
        <f>_xlfn.TEXTJOIN("",TRUE,Input!$B$2,ROW(My_Audit!A208))</f>
        <v>X208</v>
      </c>
      <c r="B209" s="40" t="str">
        <f>_xlfn.TEXTJOIN("-",TRUE,"ITD",Input!$A$2,A209)</f>
        <v>ITD-X208</v>
      </c>
      <c r="C209" s="40" t="str" cm="1">
        <f t="array" ref="C209">IFERROR(_xlfn.LET(
_xlpm.CSVVal,_xlfn.XLOOKUP($A209,CSV!$A:$A,CSV!B:B,""),
_xlpm.MacVal,_xlfn.XLOOKUP($A209,Output_Mac!$A:$A,Output_Mac!B:B,""),
_xlpm.MyAuditVal,_xlfn.XLOOKUP($A209,My_Audit!$A:$A,My_Audit!B:B,""),
_xlfn.IFS(_xlpm.MyAuditVal&lt;&gt;"",UPPER(_xlpm.MyAuditVal),_xlpm.MacVal&lt;&gt;"",_xlpm.MacVal,_xlpm.CSVVal&lt;&gt;"",_xlpm.CSVVal
)),"")</f>
        <v/>
      </c>
      <c r="D209" s="40" t="str" cm="1">
        <f t="array" ref="D209">IFERROR(_xlfn.LET(
_xlpm.CSVVal,_xlfn.XLOOKUP($A209,CSV!$A:$A,CSV!D:D,""),
_xlpm.MacVal,_xlfn.XLOOKUP($A209,Output_Mac!$A:$A,Output_Mac!C:C,""),
_xlpm.MyAuditVal,_xlfn.XLOOKUP($A209,My_Audit!$A:$A,My_Audit!C:C,""),
_xlfn.IFS(_xlpm.MyAuditVal&lt;&gt;"",_xlpm.MyAuditVal,_xlpm.MacVal&lt;&gt;"",_xlpm.MacVal,_xlpm.CSVVal&lt;&gt;"",_xlpm.CSVVal
)),"")</f>
        <v/>
      </c>
      <c r="E209" s="40">
        <f>_xlfn.XLOOKUP(A209,My_Audit!A:A,My_Audit!D:D,"")</f>
        <v>0</v>
      </c>
      <c r="F209" s="40" t="str" cm="1">
        <f t="array" ref="F209">IFERROR(_xlfn.LET(
_xlpm.CSVVal,_xlfn.XLOOKUP($A209,CSV!$A:$A,CSV!F:F,""),
_xlpm.MacVal,_xlfn.XLOOKUP($A209,Output_Mac!$A:$A,Output_Mac!E:E,""),
_xlpm.MyAuditVal,_xlfn.XLOOKUP($A209,My_Audit!$A:$A,My_Audit!E:E,""),
_xlfn.IFS(_xlpm.MyAuditVal&lt;&gt;"",_xlpm.MyAuditVal,_xlpm.MacVal&lt;&gt;"",_xlpm.MacVal,_xlpm.CSVVal&lt;&gt;"",_xlpm.CSVVal
)),"")</f>
        <v/>
      </c>
      <c r="G209" s="40" t="str" cm="1">
        <f t="array" ref="G209">IFERROR(_xlfn.LET(
_xlpm.CSVVal,_xlfn.XLOOKUP($A209,CSV!$A:$A,CSV!G:G,""),
_xlpm.MacVal,_xlfn.XLOOKUP($A209,Output_Mac!$A:$A,Output_Mac!F:F,""),
_xlpm.MyAuditVal,_xlfn.XLOOKUP($A209,My_Audit!$A:$A,My_Audit!F:F,""),
_xlfn.IFS(_xlpm.MyAuditVal&lt;&gt;"",_xlpm.MyAuditVal,_xlpm.MacVal&lt;&gt;"",_xlpm.MacVal,_xlpm.CSVVal&lt;&gt;"",PROPER(_xlpm.CSVVal)
)),"")</f>
        <v/>
      </c>
      <c r="H209" s="40" t="str" cm="1">
        <f t="array" ref="H209">IFERROR(_xlfn.LET(
_xlpm.CSVVal,_xlfn.XLOOKUP($A209,CSV!$A:$A,CSV!H:H,""),
_xlpm.MacVal,_xlfn.XLOOKUP($A209,Output_Mac!$A:$A,Output_Mac!H:H,""),
_xlpm.MyAuditVal,_xlfn.XLOOKUP($A209,My_Audit!$A:$A,My_Audit!G:G,""),
_xlfn.IFS(_xlpm.MyAuditVal&lt;&gt;"",_xlpm.MyAuditVal,_xlpm.MacVal&lt;&gt;"",_xlpm.MacVal,_xlpm.CSVVal&lt;&gt;"",_xlpm.CSVVal
)),"")</f>
        <v/>
      </c>
      <c r="I209" s="40" t="str">
        <f>_xlfn.XLOOKUP(A209,Output_Mac!A:A,Output_Mac!I:I,"")</f>
        <v/>
      </c>
      <c r="J209" s="40" t="str" cm="1">
        <f t="array" ref="J209">IFERROR(_xlfn.LET(
_xlpm.CSVVal,_xlfn.XLOOKUP($A209,CSV!$A:$A,CSV!I:I,""),
_xlpm.MacVal,_xlfn.XLOOKUP($A209,Output_Mac!$A:$A,Output_Mac!J:J,""),
_xlpm.MyAuditVal,_xlfn.XLOOKUP($A209,My_Audit!$A:$A,My_Audit!I:I,""),
_xlfn.IFS(_xlpm.MyAuditVal&lt;&gt;"",UPPER(_xlpm.MyAuditVal),_xlpm.MacVal&lt;&gt;"",_xlpm.MacVal,_xlpm.CSVVal&lt;&gt;"",_xlpm.CSVVal
)),"")</f>
        <v/>
      </c>
      <c r="K209" s="40" t="str" cm="1">
        <f t="array" ref="K209">IFERROR(_xlfn.LET(
_xlpm.CSVVal,_xlfn.XLOOKUP($A209,CSV!$A:$A,CSV!K:K,""),
_xlpm.MacVal,_xlfn.XLOOKUP($A209,Output_Mac!$A:$A,Output_Mac!K:K,""),
_xlpm.MyAuditVal,_xlfn.XLOOKUP($A209,My_Audit!$A:$A,My_Audit!J:J,""),
_xlfn.IFS(_xlpm.MyAuditVal&lt;&gt;"",UPPER(_xlpm.MyAuditVal),_xlpm.MacVal&lt;&gt;"",_xlpm.MacVal,_xlpm.CSVVal&lt;&gt;"",_xlpm.CSVVal
)),"")</f>
        <v/>
      </c>
      <c r="L209" s="40" t="str" cm="1">
        <f t="array" ref="L209">IFERROR(_xlfn.LET(
_xlpm.CSVVal,_xlfn.XLOOKUP($A209,CSV!$A:$A,CSV!P:P,""),
_xlpm.MacVal,_xlfn.XLOOKUP($A209,Output_Mac!$A:$A,Output_Mac!L:L,""),
_xlpm.MyAuditVal,_xlfn.XLOOKUP($A209,My_Audit!$A:$A,My_Audit!K:K,""),
_xlfn.IFS(_xlpm.MyAuditVal&lt;&gt;"",UPPER(_xlpm.MyAuditVal),_xlpm.MacVal&lt;&gt;"",_xlpm.MacVal,_xlpm.CSVVal&lt;&gt;"",_xlpm.CSVVal
)),"")</f>
        <v/>
      </c>
      <c r="M209" s="40" t="str" cm="1">
        <f t="array" ref="M209">IFERROR(_xlfn.LET(
_xlpm.CSVVal,_xlfn.XLOOKUP($A209,CSV!$A:$A,CSV!Q:Q,""),
_xlpm.MacVal,_xlfn.XLOOKUP($A209,Output_Mac!$A:$A,Output_Mac!M:M,""),
_xlpm.MyAuditVal,_xlfn.XLOOKUP($A209,My_Audit!$A:$A,My_Audit!L:L,""),
_xlfn.IFS(_xlpm.MyAuditVal&lt;&gt;"",UPPER(_xlpm.MyAuditVal),_xlpm.MacVal&lt;&gt;"",_xlpm.MacVal,_xlpm.CSVVal&lt;&gt;"",_xlpm.CSVVal
)),"")</f>
        <v/>
      </c>
      <c r="N209" s="40"/>
      <c r="O209" s="40" t="str">
        <f>_xlfn.LET(
    _xlpm.CSVVal, _xlfn.XLOOKUP($A209, CSV!$A:$A, CSV!AA:AA, ""),
    _xlpm.MacVal, _xlfn.XLOOKUP($A209, Output_Mac!$A:$A, Output_Mac!S:S, ""),
    _xlpm.MyAuditVal, _xlfn.XLOOKUP($A209, My_Audit!$A:$A, My_Audit!P:P, ""),
    _xlfn.TEXTJOIN(", ", TRUE, _xlpm.MyAuditVal, _xlpm.MacVal, _xlpm.CSVVal)
)</f>
        <v/>
      </c>
      <c r="P209" s="40" t="str" cm="1">
        <f t="array" ref="P209">IFERROR(_xlfn.LET(
_xlpm.CSVVal,_xlfn.XLOOKUP($A209,CSV!$A:$A,CSV!AB:AB,""),
_xlpm.MacVal,_xlfn.XLOOKUP($A209,Output_Mac!$A:$A,Output_Mac!T:T,""),
_xlpm.MyAuditVal,_xlfn.XLOOKUP($A209,My_Audit!$A:$A,My_Audit!Q:Q,""),
_xlfn.IFS(_xlpm.MyAuditVal&lt;&gt;"",UPPER(_xlpm.MyAuditVal),_xlpm.MacVal&lt;&gt;"",_xlpm.MacVal,_xlpm.CSVVal&lt;&gt;"",_xlpm.CSVVal
)),"No")</f>
        <v>No</v>
      </c>
      <c r="Q209" s="40" t="str" cm="1">
        <f t="array" ref="Q209">IFERROR(_xlfn.LET(
_xlpm.CSVVal,_xlfn.XLOOKUP($A209,CSV!$A:$A,CSV!AC:AC,""),
_xlpm.MacVal,_xlfn.XLOOKUP($A209,Output_Mac!$A:$A,Output_Mac!U:U,""),
_xlpm.MyAuditVal,_xlfn.XLOOKUP($A209,My_Audit!$A:$A,My_Audit!R:R,""),
_xlfn.IFS(_xlpm.MyAuditVal&lt;&gt;"",UPPER(_xlpm.MyAuditVal),_xlpm.MacVal&lt;&gt;"",_xlpm.MacVal,_xlpm.CSVVal&lt;&gt;"",_xlpm.CSVVal
)),"")</f>
        <v/>
      </c>
      <c r="R209" s="40"/>
      <c r="S209" s="40"/>
      <c r="T209" s="40"/>
      <c r="U209" s="40"/>
      <c r="V209" s="40"/>
      <c r="W209" s="40"/>
      <c r="X209" s="41" t="str">
        <f>_xlfn.LET(
    _xlpm.MacVal, _xlfn.XLOOKUP($A209, Output_Mac!$A:$A, Output_Mac!AB:AB, ""),
    _xlpm.MyAuditVal, _xlfn.XLOOKUP($A209, My_Audit!$A:$A, My_Audit!N:N, ""),
    _xlfn.TEXTJOIN(", ", TRUE, _xlpm.MyAuditVal, _xlpm.MacVal)
)</f>
        <v/>
      </c>
    </row>
    <row r="210" spans="1:24">
      <c r="A210" s="40" t="str">
        <f>_xlfn.TEXTJOIN("",TRUE,Input!$B$2,ROW(My_Audit!A209))</f>
        <v>X209</v>
      </c>
      <c r="B210" s="40" t="str">
        <f>_xlfn.TEXTJOIN("-",TRUE,"ITD",Input!$A$2,A210)</f>
        <v>ITD-X209</v>
      </c>
      <c r="C210" s="40" t="str" cm="1">
        <f t="array" ref="C210">IFERROR(_xlfn.LET(
_xlpm.CSVVal,_xlfn.XLOOKUP($A210,CSV!$A:$A,CSV!B:B,""),
_xlpm.MacVal,_xlfn.XLOOKUP($A210,Output_Mac!$A:$A,Output_Mac!B:B,""),
_xlpm.MyAuditVal,_xlfn.XLOOKUP($A210,My_Audit!$A:$A,My_Audit!B:B,""),
_xlfn.IFS(_xlpm.MyAuditVal&lt;&gt;"",UPPER(_xlpm.MyAuditVal),_xlpm.MacVal&lt;&gt;"",_xlpm.MacVal,_xlpm.CSVVal&lt;&gt;"",_xlpm.CSVVal
)),"")</f>
        <v/>
      </c>
      <c r="D210" s="40" t="str" cm="1">
        <f t="array" ref="D210">IFERROR(_xlfn.LET(
_xlpm.CSVVal,_xlfn.XLOOKUP($A210,CSV!$A:$A,CSV!D:D,""),
_xlpm.MacVal,_xlfn.XLOOKUP($A210,Output_Mac!$A:$A,Output_Mac!C:C,""),
_xlpm.MyAuditVal,_xlfn.XLOOKUP($A210,My_Audit!$A:$A,My_Audit!C:C,""),
_xlfn.IFS(_xlpm.MyAuditVal&lt;&gt;"",_xlpm.MyAuditVal,_xlpm.MacVal&lt;&gt;"",_xlpm.MacVal,_xlpm.CSVVal&lt;&gt;"",_xlpm.CSVVal
)),"")</f>
        <v/>
      </c>
      <c r="E210" s="40">
        <f>_xlfn.XLOOKUP(A210,My_Audit!A:A,My_Audit!D:D,"")</f>
        <v>0</v>
      </c>
      <c r="F210" s="40" t="str" cm="1">
        <f t="array" ref="F210">IFERROR(_xlfn.LET(
_xlpm.CSVVal,_xlfn.XLOOKUP($A210,CSV!$A:$A,CSV!F:F,""),
_xlpm.MacVal,_xlfn.XLOOKUP($A210,Output_Mac!$A:$A,Output_Mac!E:E,""),
_xlpm.MyAuditVal,_xlfn.XLOOKUP($A210,My_Audit!$A:$A,My_Audit!E:E,""),
_xlfn.IFS(_xlpm.MyAuditVal&lt;&gt;"",_xlpm.MyAuditVal,_xlpm.MacVal&lt;&gt;"",_xlpm.MacVal,_xlpm.CSVVal&lt;&gt;"",_xlpm.CSVVal
)),"")</f>
        <v/>
      </c>
      <c r="G210" s="40" t="str" cm="1">
        <f t="array" ref="G210">IFERROR(_xlfn.LET(
_xlpm.CSVVal,_xlfn.XLOOKUP($A210,CSV!$A:$A,CSV!G:G,""),
_xlpm.MacVal,_xlfn.XLOOKUP($A210,Output_Mac!$A:$A,Output_Mac!F:F,""),
_xlpm.MyAuditVal,_xlfn.XLOOKUP($A210,My_Audit!$A:$A,My_Audit!F:F,""),
_xlfn.IFS(_xlpm.MyAuditVal&lt;&gt;"",_xlpm.MyAuditVal,_xlpm.MacVal&lt;&gt;"",_xlpm.MacVal,_xlpm.CSVVal&lt;&gt;"",PROPER(_xlpm.CSVVal)
)),"")</f>
        <v/>
      </c>
      <c r="H210" s="40" t="str" cm="1">
        <f t="array" ref="H210">IFERROR(_xlfn.LET(
_xlpm.CSVVal,_xlfn.XLOOKUP($A210,CSV!$A:$A,CSV!H:H,""),
_xlpm.MacVal,_xlfn.XLOOKUP($A210,Output_Mac!$A:$A,Output_Mac!H:H,""),
_xlpm.MyAuditVal,_xlfn.XLOOKUP($A210,My_Audit!$A:$A,My_Audit!G:G,""),
_xlfn.IFS(_xlpm.MyAuditVal&lt;&gt;"",_xlpm.MyAuditVal,_xlpm.MacVal&lt;&gt;"",_xlpm.MacVal,_xlpm.CSVVal&lt;&gt;"",_xlpm.CSVVal
)),"")</f>
        <v/>
      </c>
      <c r="I210" s="40" t="str">
        <f>_xlfn.XLOOKUP(A210,Output_Mac!A:A,Output_Mac!I:I,"")</f>
        <v/>
      </c>
      <c r="J210" s="40" t="str" cm="1">
        <f t="array" ref="J210">IFERROR(_xlfn.LET(
_xlpm.CSVVal,_xlfn.XLOOKUP($A210,CSV!$A:$A,CSV!I:I,""),
_xlpm.MacVal,_xlfn.XLOOKUP($A210,Output_Mac!$A:$A,Output_Mac!J:J,""),
_xlpm.MyAuditVal,_xlfn.XLOOKUP($A210,My_Audit!$A:$A,My_Audit!I:I,""),
_xlfn.IFS(_xlpm.MyAuditVal&lt;&gt;"",UPPER(_xlpm.MyAuditVal),_xlpm.MacVal&lt;&gt;"",_xlpm.MacVal,_xlpm.CSVVal&lt;&gt;"",_xlpm.CSVVal
)),"")</f>
        <v/>
      </c>
      <c r="K210" s="40" t="str" cm="1">
        <f t="array" ref="K210">IFERROR(_xlfn.LET(
_xlpm.CSVVal,_xlfn.XLOOKUP($A210,CSV!$A:$A,CSV!K:K,""),
_xlpm.MacVal,_xlfn.XLOOKUP($A210,Output_Mac!$A:$A,Output_Mac!K:K,""),
_xlpm.MyAuditVal,_xlfn.XLOOKUP($A210,My_Audit!$A:$A,My_Audit!J:J,""),
_xlfn.IFS(_xlpm.MyAuditVal&lt;&gt;"",UPPER(_xlpm.MyAuditVal),_xlpm.MacVal&lt;&gt;"",_xlpm.MacVal,_xlpm.CSVVal&lt;&gt;"",_xlpm.CSVVal
)),"")</f>
        <v/>
      </c>
      <c r="L210" s="40" t="str" cm="1">
        <f t="array" ref="L210">IFERROR(_xlfn.LET(
_xlpm.CSVVal,_xlfn.XLOOKUP($A210,CSV!$A:$A,CSV!P:P,""),
_xlpm.MacVal,_xlfn.XLOOKUP($A210,Output_Mac!$A:$A,Output_Mac!L:L,""),
_xlpm.MyAuditVal,_xlfn.XLOOKUP($A210,My_Audit!$A:$A,My_Audit!K:K,""),
_xlfn.IFS(_xlpm.MyAuditVal&lt;&gt;"",UPPER(_xlpm.MyAuditVal),_xlpm.MacVal&lt;&gt;"",_xlpm.MacVal,_xlpm.CSVVal&lt;&gt;"",_xlpm.CSVVal
)),"")</f>
        <v/>
      </c>
      <c r="M210" s="40" t="str" cm="1">
        <f t="array" ref="M210">IFERROR(_xlfn.LET(
_xlpm.CSVVal,_xlfn.XLOOKUP($A210,CSV!$A:$A,CSV!Q:Q,""),
_xlpm.MacVal,_xlfn.XLOOKUP($A210,Output_Mac!$A:$A,Output_Mac!M:M,""),
_xlpm.MyAuditVal,_xlfn.XLOOKUP($A210,My_Audit!$A:$A,My_Audit!L:L,""),
_xlfn.IFS(_xlpm.MyAuditVal&lt;&gt;"",UPPER(_xlpm.MyAuditVal),_xlpm.MacVal&lt;&gt;"",_xlpm.MacVal,_xlpm.CSVVal&lt;&gt;"",_xlpm.CSVVal
)),"")</f>
        <v/>
      </c>
      <c r="N210" s="40"/>
      <c r="O210" s="40" t="str">
        <f>_xlfn.LET(
    _xlpm.CSVVal, _xlfn.XLOOKUP($A210, CSV!$A:$A, CSV!AA:AA, ""),
    _xlpm.MacVal, _xlfn.XLOOKUP($A210, Output_Mac!$A:$A, Output_Mac!S:S, ""),
    _xlpm.MyAuditVal, _xlfn.XLOOKUP($A210, My_Audit!$A:$A, My_Audit!P:P, ""),
    _xlfn.TEXTJOIN(", ", TRUE, _xlpm.MyAuditVal, _xlpm.MacVal, _xlpm.CSVVal)
)</f>
        <v/>
      </c>
      <c r="P210" s="40" t="str" cm="1">
        <f t="array" ref="P210">IFERROR(_xlfn.LET(
_xlpm.CSVVal,_xlfn.XLOOKUP($A210,CSV!$A:$A,CSV!AB:AB,""),
_xlpm.MacVal,_xlfn.XLOOKUP($A210,Output_Mac!$A:$A,Output_Mac!T:T,""),
_xlpm.MyAuditVal,_xlfn.XLOOKUP($A210,My_Audit!$A:$A,My_Audit!Q:Q,""),
_xlfn.IFS(_xlpm.MyAuditVal&lt;&gt;"",UPPER(_xlpm.MyAuditVal),_xlpm.MacVal&lt;&gt;"",_xlpm.MacVal,_xlpm.CSVVal&lt;&gt;"",_xlpm.CSVVal
)),"No")</f>
        <v>No</v>
      </c>
      <c r="Q210" s="40" t="str" cm="1">
        <f t="array" ref="Q210">IFERROR(_xlfn.LET(
_xlpm.CSVVal,_xlfn.XLOOKUP($A210,CSV!$A:$A,CSV!AC:AC,""),
_xlpm.MacVal,_xlfn.XLOOKUP($A210,Output_Mac!$A:$A,Output_Mac!U:U,""),
_xlpm.MyAuditVal,_xlfn.XLOOKUP($A210,My_Audit!$A:$A,My_Audit!R:R,""),
_xlfn.IFS(_xlpm.MyAuditVal&lt;&gt;"",UPPER(_xlpm.MyAuditVal),_xlpm.MacVal&lt;&gt;"",_xlpm.MacVal,_xlpm.CSVVal&lt;&gt;"",_xlpm.CSVVal
)),"")</f>
        <v/>
      </c>
      <c r="R210" s="40"/>
      <c r="S210" s="40"/>
      <c r="T210" s="40"/>
      <c r="U210" s="40"/>
      <c r="V210" s="40"/>
      <c r="W210" s="40"/>
      <c r="X210" s="41" t="str">
        <f>_xlfn.LET(
    _xlpm.MacVal, _xlfn.XLOOKUP($A210, Output_Mac!$A:$A, Output_Mac!AB:AB, ""),
    _xlpm.MyAuditVal, _xlfn.XLOOKUP($A210, My_Audit!$A:$A, My_Audit!N:N, ""),
    _xlfn.TEXTJOIN(", ", TRUE, _xlpm.MyAuditVal, _xlpm.MacVal)
)</f>
        <v/>
      </c>
    </row>
    <row r="211" spans="1:24">
      <c r="A211" s="40" t="str">
        <f>_xlfn.TEXTJOIN("",TRUE,Input!$B$2,ROW(My_Audit!A210))</f>
        <v>X210</v>
      </c>
      <c r="B211" s="40" t="str">
        <f>_xlfn.TEXTJOIN("-",TRUE,"ITD",Input!$A$2,A211)</f>
        <v>ITD-X210</v>
      </c>
      <c r="C211" s="40" t="str" cm="1">
        <f t="array" ref="C211">IFERROR(_xlfn.LET(
_xlpm.CSVVal,_xlfn.XLOOKUP($A211,CSV!$A:$A,CSV!B:B,""),
_xlpm.MacVal,_xlfn.XLOOKUP($A211,Output_Mac!$A:$A,Output_Mac!B:B,""),
_xlpm.MyAuditVal,_xlfn.XLOOKUP($A211,My_Audit!$A:$A,My_Audit!B:B,""),
_xlfn.IFS(_xlpm.MyAuditVal&lt;&gt;"",UPPER(_xlpm.MyAuditVal),_xlpm.MacVal&lt;&gt;"",_xlpm.MacVal,_xlpm.CSVVal&lt;&gt;"",_xlpm.CSVVal
)),"")</f>
        <v/>
      </c>
      <c r="D211" s="40" t="str" cm="1">
        <f t="array" ref="D211">IFERROR(_xlfn.LET(
_xlpm.CSVVal,_xlfn.XLOOKUP($A211,CSV!$A:$A,CSV!D:D,""),
_xlpm.MacVal,_xlfn.XLOOKUP($A211,Output_Mac!$A:$A,Output_Mac!C:C,""),
_xlpm.MyAuditVal,_xlfn.XLOOKUP($A211,My_Audit!$A:$A,My_Audit!C:C,""),
_xlfn.IFS(_xlpm.MyAuditVal&lt;&gt;"",_xlpm.MyAuditVal,_xlpm.MacVal&lt;&gt;"",_xlpm.MacVal,_xlpm.CSVVal&lt;&gt;"",_xlpm.CSVVal
)),"")</f>
        <v/>
      </c>
      <c r="E211" s="40">
        <f>_xlfn.XLOOKUP(A211,My_Audit!A:A,My_Audit!D:D,"")</f>
        <v>0</v>
      </c>
      <c r="F211" s="40" t="str" cm="1">
        <f t="array" ref="F211">IFERROR(_xlfn.LET(
_xlpm.CSVVal,_xlfn.XLOOKUP($A211,CSV!$A:$A,CSV!F:F,""),
_xlpm.MacVal,_xlfn.XLOOKUP($A211,Output_Mac!$A:$A,Output_Mac!E:E,""),
_xlpm.MyAuditVal,_xlfn.XLOOKUP($A211,My_Audit!$A:$A,My_Audit!E:E,""),
_xlfn.IFS(_xlpm.MyAuditVal&lt;&gt;"",_xlpm.MyAuditVal,_xlpm.MacVal&lt;&gt;"",_xlpm.MacVal,_xlpm.CSVVal&lt;&gt;"",_xlpm.CSVVal
)),"")</f>
        <v/>
      </c>
      <c r="G211" s="40" t="str" cm="1">
        <f t="array" ref="G211">IFERROR(_xlfn.LET(
_xlpm.CSVVal,_xlfn.XLOOKUP($A211,CSV!$A:$A,CSV!G:G,""),
_xlpm.MacVal,_xlfn.XLOOKUP($A211,Output_Mac!$A:$A,Output_Mac!F:F,""),
_xlpm.MyAuditVal,_xlfn.XLOOKUP($A211,My_Audit!$A:$A,My_Audit!F:F,""),
_xlfn.IFS(_xlpm.MyAuditVal&lt;&gt;"",_xlpm.MyAuditVal,_xlpm.MacVal&lt;&gt;"",_xlpm.MacVal,_xlpm.CSVVal&lt;&gt;"",PROPER(_xlpm.CSVVal)
)),"")</f>
        <v/>
      </c>
      <c r="H211" s="40" t="str" cm="1">
        <f t="array" ref="H211">IFERROR(_xlfn.LET(
_xlpm.CSVVal,_xlfn.XLOOKUP($A211,CSV!$A:$A,CSV!H:H,""),
_xlpm.MacVal,_xlfn.XLOOKUP($A211,Output_Mac!$A:$A,Output_Mac!H:H,""),
_xlpm.MyAuditVal,_xlfn.XLOOKUP($A211,My_Audit!$A:$A,My_Audit!G:G,""),
_xlfn.IFS(_xlpm.MyAuditVal&lt;&gt;"",_xlpm.MyAuditVal,_xlpm.MacVal&lt;&gt;"",_xlpm.MacVal,_xlpm.CSVVal&lt;&gt;"",_xlpm.CSVVal
)),"")</f>
        <v/>
      </c>
      <c r="I211" s="40" t="str">
        <f>_xlfn.XLOOKUP(A211,Output_Mac!A:A,Output_Mac!I:I,"")</f>
        <v/>
      </c>
      <c r="J211" s="40" t="str" cm="1">
        <f t="array" ref="J211">IFERROR(_xlfn.LET(
_xlpm.CSVVal,_xlfn.XLOOKUP($A211,CSV!$A:$A,CSV!I:I,""),
_xlpm.MacVal,_xlfn.XLOOKUP($A211,Output_Mac!$A:$A,Output_Mac!J:J,""),
_xlpm.MyAuditVal,_xlfn.XLOOKUP($A211,My_Audit!$A:$A,My_Audit!I:I,""),
_xlfn.IFS(_xlpm.MyAuditVal&lt;&gt;"",UPPER(_xlpm.MyAuditVal),_xlpm.MacVal&lt;&gt;"",_xlpm.MacVal,_xlpm.CSVVal&lt;&gt;"",_xlpm.CSVVal
)),"")</f>
        <v/>
      </c>
      <c r="K211" s="40" t="str" cm="1">
        <f t="array" ref="K211">IFERROR(_xlfn.LET(
_xlpm.CSVVal,_xlfn.XLOOKUP($A211,CSV!$A:$A,CSV!K:K,""),
_xlpm.MacVal,_xlfn.XLOOKUP($A211,Output_Mac!$A:$A,Output_Mac!K:K,""),
_xlpm.MyAuditVal,_xlfn.XLOOKUP($A211,My_Audit!$A:$A,My_Audit!J:J,""),
_xlfn.IFS(_xlpm.MyAuditVal&lt;&gt;"",UPPER(_xlpm.MyAuditVal),_xlpm.MacVal&lt;&gt;"",_xlpm.MacVal,_xlpm.CSVVal&lt;&gt;"",_xlpm.CSVVal
)),"")</f>
        <v/>
      </c>
      <c r="L211" s="40" t="str" cm="1">
        <f t="array" ref="L211">IFERROR(_xlfn.LET(
_xlpm.CSVVal,_xlfn.XLOOKUP($A211,CSV!$A:$A,CSV!P:P,""),
_xlpm.MacVal,_xlfn.XLOOKUP($A211,Output_Mac!$A:$A,Output_Mac!L:L,""),
_xlpm.MyAuditVal,_xlfn.XLOOKUP($A211,My_Audit!$A:$A,My_Audit!K:K,""),
_xlfn.IFS(_xlpm.MyAuditVal&lt;&gt;"",UPPER(_xlpm.MyAuditVal),_xlpm.MacVal&lt;&gt;"",_xlpm.MacVal,_xlpm.CSVVal&lt;&gt;"",_xlpm.CSVVal
)),"")</f>
        <v/>
      </c>
      <c r="M211" s="40" t="str" cm="1">
        <f t="array" ref="M211">IFERROR(_xlfn.LET(
_xlpm.CSVVal,_xlfn.XLOOKUP($A211,CSV!$A:$A,CSV!Q:Q,""),
_xlpm.MacVal,_xlfn.XLOOKUP($A211,Output_Mac!$A:$A,Output_Mac!M:M,""),
_xlpm.MyAuditVal,_xlfn.XLOOKUP($A211,My_Audit!$A:$A,My_Audit!L:L,""),
_xlfn.IFS(_xlpm.MyAuditVal&lt;&gt;"",UPPER(_xlpm.MyAuditVal),_xlpm.MacVal&lt;&gt;"",_xlpm.MacVal,_xlpm.CSVVal&lt;&gt;"",_xlpm.CSVVal
)),"")</f>
        <v/>
      </c>
      <c r="N211" s="40"/>
      <c r="O211" s="40" t="str">
        <f>_xlfn.LET(
    _xlpm.CSVVal, _xlfn.XLOOKUP($A211, CSV!$A:$A, CSV!AA:AA, ""),
    _xlpm.MacVal, _xlfn.XLOOKUP($A211, Output_Mac!$A:$A, Output_Mac!S:S, ""),
    _xlpm.MyAuditVal, _xlfn.XLOOKUP($A211, My_Audit!$A:$A, My_Audit!P:P, ""),
    _xlfn.TEXTJOIN(", ", TRUE, _xlpm.MyAuditVal, _xlpm.MacVal, _xlpm.CSVVal)
)</f>
        <v/>
      </c>
      <c r="P211" s="40" t="str" cm="1">
        <f t="array" ref="P211">IFERROR(_xlfn.LET(
_xlpm.CSVVal,_xlfn.XLOOKUP($A211,CSV!$A:$A,CSV!AB:AB,""),
_xlpm.MacVal,_xlfn.XLOOKUP($A211,Output_Mac!$A:$A,Output_Mac!T:T,""),
_xlpm.MyAuditVal,_xlfn.XLOOKUP($A211,My_Audit!$A:$A,My_Audit!Q:Q,""),
_xlfn.IFS(_xlpm.MyAuditVal&lt;&gt;"",UPPER(_xlpm.MyAuditVal),_xlpm.MacVal&lt;&gt;"",_xlpm.MacVal,_xlpm.CSVVal&lt;&gt;"",_xlpm.CSVVal
)),"No")</f>
        <v>No</v>
      </c>
      <c r="Q211" s="40" t="str" cm="1">
        <f t="array" ref="Q211">IFERROR(_xlfn.LET(
_xlpm.CSVVal,_xlfn.XLOOKUP($A211,CSV!$A:$A,CSV!AC:AC,""),
_xlpm.MacVal,_xlfn.XLOOKUP($A211,Output_Mac!$A:$A,Output_Mac!U:U,""),
_xlpm.MyAuditVal,_xlfn.XLOOKUP($A211,My_Audit!$A:$A,My_Audit!R:R,""),
_xlfn.IFS(_xlpm.MyAuditVal&lt;&gt;"",UPPER(_xlpm.MyAuditVal),_xlpm.MacVal&lt;&gt;"",_xlpm.MacVal,_xlpm.CSVVal&lt;&gt;"",_xlpm.CSVVal
)),"")</f>
        <v/>
      </c>
      <c r="R211" s="40"/>
      <c r="S211" s="40"/>
      <c r="T211" s="40"/>
      <c r="U211" s="40"/>
      <c r="V211" s="40"/>
      <c r="W211" s="40"/>
      <c r="X211" s="41" t="str">
        <f>_xlfn.LET(
    _xlpm.MacVal, _xlfn.XLOOKUP($A211, Output_Mac!$A:$A, Output_Mac!AB:AB, ""),
    _xlpm.MyAuditVal, _xlfn.XLOOKUP($A211, My_Audit!$A:$A, My_Audit!N:N, ""),
    _xlfn.TEXTJOIN(", ", TRUE, _xlpm.MyAuditVal, _xlpm.MacVal)
)</f>
        <v/>
      </c>
    </row>
    <row r="212" spans="1:24">
      <c r="A212" s="40" t="str">
        <f>_xlfn.TEXTJOIN("",TRUE,Input!$B$2,ROW(My_Audit!A211))</f>
        <v>X211</v>
      </c>
      <c r="B212" s="40" t="str">
        <f>_xlfn.TEXTJOIN("-",TRUE,"ITD",Input!$A$2,A212)</f>
        <v>ITD-X211</v>
      </c>
      <c r="C212" s="40" t="str" cm="1">
        <f t="array" ref="C212">IFERROR(_xlfn.LET(
_xlpm.CSVVal,_xlfn.XLOOKUP($A212,CSV!$A:$A,CSV!B:B,""),
_xlpm.MacVal,_xlfn.XLOOKUP($A212,Output_Mac!$A:$A,Output_Mac!B:B,""),
_xlpm.MyAuditVal,_xlfn.XLOOKUP($A212,My_Audit!$A:$A,My_Audit!B:B,""),
_xlfn.IFS(_xlpm.MyAuditVal&lt;&gt;"",UPPER(_xlpm.MyAuditVal),_xlpm.MacVal&lt;&gt;"",_xlpm.MacVal,_xlpm.CSVVal&lt;&gt;"",_xlpm.CSVVal
)),"")</f>
        <v/>
      </c>
      <c r="D212" s="40" t="str" cm="1">
        <f t="array" ref="D212">IFERROR(_xlfn.LET(
_xlpm.CSVVal,_xlfn.XLOOKUP($A212,CSV!$A:$A,CSV!D:D,""),
_xlpm.MacVal,_xlfn.XLOOKUP($A212,Output_Mac!$A:$A,Output_Mac!C:C,""),
_xlpm.MyAuditVal,_xlfn.XLOOKUP($A212,My_Audit!$A:$A,My_Audit!C:C,""),
_xlfn.IFS(_xlpm.MyAuditVal&lt;&gt;"",_xlpm.MyAuditVal,_xlpm.MacVal&lt;&gt;"",_xlpm.MacVal,_xlpm.CSVVal&lt;&gt;"",_xlpm.CSVVal
)),"")</f>
        <v/>
      </c>
      <c r="E212" s="40">
        <f>_xlfn.XLOOKUP(A212,My_Audit!A:A,My_Audit!D:D,"")</f>
        <v>0</v>
      </c>
      <c r="F212" s="40" t="str" cm="1">
        <f t="array" ref="F212">IFERROR(_xlfn.LET(
_xlpm.CSVVal,_xlfn.XLOOKUP($A212,CSV!$A:$A,CSV!F:F,""),
_xlpm.MacVal,_xlfn.XLOOKUP($A212,Output_Mac!$A:$A,Output_Mac!E:E,""),
_xlpm.MyAuditVal,_xlfn.XLOOKUP($A212,My_Audit!$A:$A,My_Audit!E:E,""),
_xlfn.IFS(_xlpm.MyAuditVal&lt;&gt;"",_xlpm.MyAuditVal,_xlpm.MacVal&lt;&gt;"",_xlpm.MacVal,_xlpm.CSVVal&lt;&gt;"",_xlpm.CSVVal
)),"")</f>
        <v/>
      </c>
      <c r="G212" s="40" t="str" cm="1">
        <f t="array" ref="G212">IFERROR(_xlfn.LET(
_xlpm.CSVVal,_xlfn.XLOOKUP($A212,CSV!$A:$A,CSV!G:G,""),
_xlpm.MacVal,_xlfn.XLOOKUP($A212,Output_Mac!$A:$A,Output_Mac!F:F,""),
_xlpm.MyAuditVal,_xlfn.XLOOKUP($A212,My_Audit!$A:$A,My_Audit!F:F,""),
_xlfn.IFS(_xlpm.MyAuditVal&lt;&gt;"",_xlpm.MyAuditVal,_xlpm.MacVal&lt;&gt;"",_xlpm.MacVal,_xlpm.CSVVal&lt;&gt;"",PROPER(_xlpm.CSVVal)
)),"")</f>
        <v/>
      </c>
      <c r="H212" s="40" t="str" cm="1">
        <f t="array" ref="H212">IFERROR(_xlfn.LET(
_xlpm.CSVVal,_xlfn.XLOOKUP($A212,CSV!$A:$A,CSV!H:H,""),
_xlpm.MacVal,_xlfn.XLOOKUP($A212,Output_Mac!$A:$A,Output_Mac!H:H,""),
_xlpm.MyAuditVal,_xlfn.XLOOKUP($A212,My_Audit!$A:$A,My_Audit!G:G,""),
_xlfn.IFS(_xlpm.MyAuditVal&lt;&gt;"",_xlpm.MyAuditVal,_xlpm.MacVal&lt;&gt;"",_xlpm.MacVal,_xlpm.CSVVal&lt;&gt;"",_xlpm.CSVVal
)),"")</f>
        <v/>
      </c>
      <c r="I212" s="40" t="str">
        <f>_xlfn.XLOOKUP(A212,Output_Mac!A:A,Output_Mac!I:I,"")</f>
        <v/>
      </c>
      <c r="J212" s="40" t="str" cm="1">
        <f t="array" ref="J212">IFERROR(_xlfn.LET(
_xlpm.CSVVal,_xlfn.XLOOKUP($A212,CSV!$A:$A,CSV!I:I,""),
_xlpm.MacVal,_xlfn.XLOOKUP($A212,Output_Mac!$A:$A,Output_Mac!J:J,""),
_xlpm.MyAuditVal,_xlfn.XLOOKUP($A212,My_Audit!$A:$A,My_Audit!I:I,""),
_xlfn.IFS(_xlpm.MyAuditVal&lt;&gt;"",UPPER(_xlpm.MyAuditVal),_xlpm.MacVal&lt;&gt;"",_xlpm.MacVal,_xlpm.CSVVal&lt;&gt;"",_xlpm.CSVVal
)),"")</f>
        <v/>
      </c>
      <c r="K212" s="40" t="str" cm="1">
        <f t="array" ref="K212">IFERROR(_xlfn.LET(
_xlpm.CSVVal,_xlfn.XLOOKUP($A212,CSV!$A:$A,CSV!K:K,""),
_xlpm.MacVal,_xlfn.XLOOKUP($A212,Output_Mac!$A:$A,Output_Mac!K:K,""),
_xlpm.MyAuditVal,_xlfn.XLOOKUP($A212,My_Audit!$A:$A,My_Audit!J:J,""),
_xlfn.IFS(_xlpm.MyAuditVal&lt;&gt;"",UPPER(_xlpm.MyAuditVal),_xlpm.MacVal&lt;&gt;"",_xlpm.MacVal,_xlpm.CSVVal&lt;&gt;"",_xlpm.CSVVal
)),"")</f>
        <v/>
      </c>
      <c r="L212" s="40" t="str" cm="1">
        <f t="array" ref="L212">IFERROR(_xlfn.LET(
_xlpm.CSVVal,_xlfn.XLOOKUP($A212,CSV!$A:$A,CSV!P:P,""),
_xlpm.MacVal,_xlfn.XLOOKUP($A212,Output_Mac!$A:$A,Output_Mac!L:L,""),
_xlpm.MyAuditVal,_xlfn.XLOOKUP($A212,My_Audit!$A:$A,My_Audit!K:K,""),
_xlfn.IFS(_xlpm.MyAuditVal&lt;&gt;"",UPPER(_xlpm.MyAuditVal),_xlpm.MacVal&lt;&gt;"",_xlpm.MacVal,_xlpm.CSVVal&lt;&gt;"",_xlpm.CSVVal
)),"")</f>
        <v/>
      </c>
      <c r="M212" s="40" t="str" cm="1">
        <f t="array" ref="M212">IFERROR(_xlfn.LET(
_xlpm.CSVVal,_xlfn.XLOOKUP($A212,CSV!$A:$A,CSV!Q:Q,""),
_xlpm.MacVal,_xlfn.XLOOKUP($A212,Output_Mac!$A:$A,Output_Mac!M:M,""),
_xlpm.MyAuditVal,_xlfn.XLOOKUP($A212,My_Audit!$A:$A,My_Audit!L:L,""),
_xlfn.IFS(_xlpm.MyAuditVal&lt;&gt;"",UPPER(_xlpm.MyAuditVal),_xlpm.MacVal&lt;&gt;"",_xlpm.MacVal,_xlpm.CSVVal&lt;&gt;"",_xlpm.CSVVal
)),"")</f>
        <v/>
      </c>
      <c r="N212" s="40"/>
      <c r="O212" s="40" t="str">
        <f>_xlfn.LET(
    _xlpm.CSVVal, _xlfn.XLOOKUP($A212, CSV!$A:$A, CSV!AA:AA, ""),
    _xlpm.MacVal, _xlfn.XLOOKUP($A212, Output_Mac!$A:$A, Output_Mac!S:S, ""),
    _xlpm.MyAuditVal, _xlfn.XLOOKUP($A212, My_Audit!$A:$A, My_Audit!P:P, ""),
    _xlfn.TEXTJOIN(", ", TRUE, _xlpm.MyAuditVal, _xlpm.MacVal, _xlpm.CSVVal)
)</f>
        <v/>
      </c>
      <c r="P212" s="40" t="str" cm="1">
        <f t="array" ref="P212">IFERROR(_xlfn.LET(
_xlpm.CSVVal,_xlfn.XLOOKUP($A212,CSV!$A:$A,CSV!AB:AB,""),
_xlpm.MacVal,_xlfn.XLOOKUP($A212,Output_Mac!$A:$A,Output_Mac!T:T,""),
_xlpm.MyAuditVal,_xlfn.XLOOKUP($A212,My_Audit!$A:$A,My_Audit!Q:Q,""),
_xlfn.IFS(_xlpm.MyAuditVal&lt;&gt;"",UPPER(_xlpm.MyAuditVal),_xlpm.MacVal&lt;&gt;"",_xlpm.MacVal,_xlpm.CSVVal&lt;&gt;"",_xlpm.CSVVal
)),"No")</f>
        <v>No</v>
      </c>
      <c r="Q212" s="40" t="str" cm="1">
        <f t="array" ref="Q212">IFERROR(_xlfn.LET(
_xlpm.CSVVal,_xlfn.XLOOKUP($A212,CSV!$A:$A,CSV!AC:AC,""),
_xlpm.MacVal,_xlfn.XLOOKUP($A212,Output_Mac!$A:$A,Output_Mac!U:U,""),
_xlpm.MyAuditVal,_xlfn.XLOOKUP($A212,My_Audit!$A:$A,My_Audit!R:R,""),
_xlfn.IFS(_xlpm.MyAuditVal&lt;&gt;"",UPPER(_xlpm.MyAuditVal),_xlpm.MacVal&lt;&gt;"",_xlpm.MacVal,_xlpm.CSVVal&lt;&gt;"",_xlpm.CSVVal
)),"")</f>
        <v/>
      </c>
      <c r="R212" s="40"/>
      <c r="S212" s="40"/>
      <c r="T212" s="40"/>
      <c r="U212" s="40"/>
      <c r="V212" s="40"/>
      <c r="W212" s="40"/>
      <c r="X212" s="41" t="str">
        <f>_xlfn.LET(
    _xlpm.MacVal, _xlfn.XLOOKUP($A212, Output_Mac!$A:$A, Output_Mac!AB:AB, ""),
    _xlpm.MyAuditVal, _xlfn.XLOOKUP($A212, My_Audit!$A:$A, My_Audit!N:N, ""),
    _xlfn.TEXTJOIN(", ", TRUE, _xlpm.MyAuditVal, _xlpm.MacVal)
)</f>
        <v/>
      </c>
    </row>
    <row r="213" spans="1:24">
      <c r="A213" s="40" t="str">
        <f>_xlfn.TEXTJOIN("",TRUE,Input!$B$2,ROW(My_Audit!A212))</f>
        <v>X212</v>
      </c>
      <c r="B213" s="40" t="str">
        <f>_xlfn.TEXTJOIN("-",TRUE,"ITD",Input!$A$2,A213)</f>
        <v>ITD-X212</v>
      </c>
      <c r="C213" s="40" t="str" cm="1">
        <f t="array" ref="C213">IFERROR(_xlfn.LET(
_xlpm.CSVVal,_xlfn.XLOOKUP($A213,CSV!$A:$A,CSV!B:B,""),
_xlpm.MacVal,_xlfn.XLOOKUP($A213,Output_Mac!$A:$A,Output_Mac!B:B,""),
_xlpm.MyAuditVal,_xlfn.XLOOKUP($A213,My_Audit!$A:$A,My_Audit!B:B,""),
_xlfn.IFS(_xlpm.MyAuditVal&lt;&gt;"",UPPER(_xlpm.MyAuditVal),_xlpm.MacVal&lt;&gt;"",_xlpm.MacVal,_xlpm.CSVVal&lt;&gt;"",_xlpm.CSVVal
)),"")</f>
        <v/>
      </c>
      <c r="D213" s="40" t="str" cm="1">
        <f t="array" ref="D213">IFERROR(_xlfn.LET(
_xlpm.CSVVal,_xlfn.XLOOKUP($A213,CSV!$A:$A,CSV!D:D,""),
_xlpm.MacVal,_xlfn.XLOOKUP($A213,Output_Mac!$A:$A,Output_Mac!C:C,""),
_xlpm.MyAuditVal,_xlfn.XLOOKUP($A213,My_Audit!$A:$A,My_Audit!C:C,""),
_xlfn.IFS(_xlpm.MyAuditVal&lt;&gt;"",_xlpm.MyAuditVal,_xlpm.MacVal&lt;&gt;"",_xlpm.MacVal,_xlpm.CSVVal&lt;&gt;"",_xlpm.CSVVal
)),"")</f>
        <v/>
      </c>
      <c r="E213" s="40">
        <f>_xlfn.XLOOKUP(A213,My_Audit!A:A,My_Audit!D:D,"")</f>
        <v>0</v>
      </c>
      <c r="F213" s="40" t="str" cm="1">
        <f t="array" ref="F213">IFERROR(_xlfn.LET(
_xlpm.CSVVal,_xlfn.XLOOKUP($A213,CSV!$A:$A,CSV!F:F,""),
_xlpm.MacVal,_xlfn.XLOOKUP($A213,Output_Mac!$A:$A,Output_Mac!E:E,""),
_xlpm.MyAuditVal,_xlfn.XLOOKUP($A213,My_Audit!$A:$A,My_Audit!E:E,""),
_xlfn.IFS(_xlpm.MyAuditVal&lt;&gt;"",_xlpm.MyAuditVal,_xlpm.MacVal&lt;&gt;"",_xlpm.MacVal,_xlpm.CSVVal&lt;&gt;"",_xlpm.CSVVal
)),"")</f>
        <v/>
      </c>
      <c r="G213" s="40" t="str" cm="1">
        <f t="array" ref="G213">IFERROR(_xlfn.LET(
_xlpm.CSVVal,_xlfn.XLOOKUP($A213,CSV!$A:$A,CSV!G:G,""),
_xlpm.MacVal,_xlfn.XLOOKUP($A213,Output_Mac!$A:$A,Output_Mac!F:F,""),
_xlpm.MyAuditVal,_xlfn.XLOOKUP($A213,My_Audit!$A:$A,My_Audit!F:F,""),
_xlfn.IFS(_xlpm.MyAuditVal&lt;&gt;"",_xlpm.MyAuditVal,_xlpm.MacVal&lt;&gt;"",_xlpm.MacVal,_xlpm.CSVVal&lt;&gt;"",PROPER(_xlpm.CSVVal)
)),"")</f>
        <v/>
      </c>
      <c r="H213" s="40" t="str" cm="1">
        <f t="array" ref="H213">IFERROR(_xlfn.LET(
_xlpm.CSVVal,_xlfn.XLOOKUP($A213,CSV!$A:$A,CSV!H:H,""),
_xlpm.MacVal,_xlfn.XLOOKUP($A213,Output_Mac!$A:$A,Output_Mac!H:H,""),
_xlpm.MyAuditVal,_xlfn.XLOOKUP($A213,My_Audit!$A:$A,My_Audit!G:G,""),
_xlfn.IFS(_xlpm.MyAuditVal&lt;&gt;"",_xlpm.MyAuditVal,_xlpm.MacVal&lt;&gt;"",_xlpm.MacVal,_xlpm.CSVVal&lt;&gt;"",_xlpm.CSVVal
)),"")</f>
        <v/>
      </c>
      <c r="I213" s="40" t="str">
        <f>_xlfn.XLOOKUP(A213,Output_Mac!A:A,Output_Mac!I:I,"")</f>
        <v/>
      </c>
      <c r="J213" s="40" t="str" cm="1">
        <f t="array" ref="J213">IFERROR(_xlfn.LET(
_xlpm.CSVVal,_xlfn.XLOOKUP($A213,CSV!$A:$A,CSV!I:I,""),
_xlpm.MacVal,_xlfn.XLOOKUP($A213,Output_Mac!$A:$A,Output_Mac!J:J,""),
_xlpm.MyAuditVal,_xlfn.XLOOKUP($A213,My_Audit!$A:$A,My_Audit!I:I,""),
_xlfn.IFS(_xlpm.MyAuditVal&lt;&gt;"",UPPER(_xlpm.MyAuditVal),_xlpm.MacVal&lt;&gt;"",_xlpm.MacVal,_xlpm.CSVVal&lt;&gt;"",_xlpm.CSVVal
)),"")</f>
        <v/>
      </c>
      <c r="K213" s="40" t="str" cm="1">
        <f t="array" ref="K213">IFERROR(_xlfn.LET(
_xlpm.CSVVal,_xlfn.XLOOKUP($A213,CSV!$A:$A,CSV!K:K,""),
_xlpm.MacVal,_xlfn.XLOOKUP($A213,Output_Mac!$A:$A,Output_Mac!K:K,""),
_xlpm.MyAuditVal,_xlfn.XLOOKUP($A213,My_Audit!$A:$A,My_Audit!J:J,""),
_xlfn.IFS(_xlpm.MyAuditVal&lt;&gt;"",UPPER(_xlpm.MyAuditVal),_xlpm.MacVal&lt;&gt;"",_xlpm.MacVal,_xlpm.CSVVal&lt;&gt;"",_xlpm.CSVVal
)),"")</f>
        <v/>
      </c>
      <c r="L213" s="40" t="str" cm="1">
        <f t="array" ref="L213">IFERROR(_xlfn.LET(
_xlpm.CSVVal,_xlfn.XLOOKUP($A213,CSV!$A:$A,CSV!P:P,""),
_xlpm.MacVal,_xlfn.XLOOKUP($A213,Output_Mac!$A:$A,Output_Mac!L:L,""),
_xlpm.MyAuditVal,_xlfn.XLOOKUP($A213,My_Audit!$A:$A,My_Audit!K:K,""),
_xlfn.IFS(_xlpm.MyAuditVal&lt;&gt;"",UPPER(_xlpm.MyAuditVal),_xlpm.MacVal&lt;&gt;"",_xlpm.MacVal,_xlpm.CSVVal&lt;&gt;"",_xlpm.CSVVal
)),"")</f>
        <v/>
      </c>
      <c r="M213" s="40" t="str" cm="1">
        <f t="array" ref="M213">IFERROR(_xlfn.LET(
_xlpm.CSVVal,_xlfn.XLOOKUP($A213,CSV!$A:$A,CSV!Q:Q,""),
_xlpm.MacVal,_xlfn.XLOOKUP($A213,Output_Mac!$A:$A,Output_Mac!M:M,""),
_xlpm.MyAuditVal,_xlfn.XLOOKUP($A213,My_Audit!$A:$A,My_Audit!L:L,""),
_xlfn.IFS(_xlpm.MyAuditVal&lt;&gt;"",UPPER(_xlpm.MyAuditVal),_xlpm.MacVal&lt;&gt;"",_xlpm.MacVal,_xlpm.CSVVal&lt;&gt;"",_xlpm.CSVVal
)),"")</f>
        <v/>
      </c>
      <c r="N213" s="40"/>
      <c r="O213" s="40" t="str">
        <f>_xlfn.LET(
    _xlpm.CSVVal, _xlfn.XLOOKUP($A213, CSV!$A:$A, CSV!AA:AA, ""),
    _xlpm.MacVal, _xlfn.XLOOKUP($A213, Output_Mac!$A:$A, Output_Mac!S:S, ""),
    _xlpm.MyAuditVal, _xlfn.XLOOKUP($A213, My_Audit!$A:$A, My_Audit!P:P, ""),
    _xlfn.TEXTJOIN(", ", TRUE, _xlpm.MyAuditVal, _xlpm.MacVal, _xlpm.CSVVal)
)</f>
        <v/>
      </c>
      <c r="P213" s="40" t="str" cm="1">
        <f t="array" ref="P213">IFERROR(_xlfn.LET(
_xlpm.CSVVal,_xlfn.XLOOKUP($A213,CSV!$A:$A,CSV!AB:AB,""),
_xlpm.MacVal,_xlfn.XLOOKUP($A213,Output_Mac!$A:$A,Output_Mac!T:T,""),
_xlpm.MyAuditVal,_xlfn.XLOOKUP($A213,My_Audit!$A:$A,My_Audit!Q:Q,""),
_xlfn.IFS(_xlpm.MyAuditVal&lt;&gt;"",UPPER(_xlpm.MyAuditVal),_xlpm.MacVal&lt;&gt;"",_xlpm.MacVal,_xlpm.CSVVal&lt;&gt;"",_xlpm.CSVVal
)),"No")</f>
        <v>No</v>
      </c>
      <c r="Q213" s="40" t="str" cm="1">
        <f t="array" ref="Q213">IFERROR(_xlfn.LET(
_xlpm.CSVVal,_xlfn.XLOOKUP($A213,CSV!$A:$A,CSV!AC:AC,""),
_xlpm.MacVal,_xlfn.XLOOKUP($A213,Output_Mac!$A:$A,Output_Mac!U:U,""),
_xlpm.MyAuditVal,_xlfn.XLOOKUP($A213,My_Audit!$A:$A,My_Audit!R:R,""),
_xlfn.IFS(_xlpm.MyAuditVal&lt;&gt;"",UPPER(_xlpm.MyAuditVal),_xlpm.MacVal&lt;&gt;"",_xlpm.MacVal,_xlpm.CSVVal&lt;&gt;"",_xlpm.CSVVal
)),"")</f>
        <v/>
      </c>
      <c r="R213" s="40"/>
      <c r="S213" s="40"/>
      <c r="T213" s="40"/>
      <c r="U213" s="40"/>
      <c r="V213" s="40"/>
      <c r="W213" s="40"/>
      <c r="X213" s="41" t="str">
        <f>_xlfn.LET(
    _xlpm.MacVal, _xlfn.XLOOKUP($A213, Output_Mac!$A:$A, Output_Mac!AB:AB, ""),
    _xlpm.MyAuditVal, _xlfn.XLOOKUP($A213, My_Audit!$A:$A, My_Audit!N:N, ""),
    _xlfn.TEXTJOIN(", ", TRUE, _xlpm.MyAuditVal, _xlpm.MacVal)
)</f>
        <v/>
      </c>
    </row>
    <row r="214" spans="1:24">
      <c r="A214" s="40" t="str">
        <f>_xlfn.TEXTJOIN("",TRUE,Input!$B$2,ROW(My_Audit!A213))</f>
        <v>X213</v>
      </c>
      <c r="B214" s="40" t="str">
        <f>_xlfn.TEXTJOIN("-",TRUE,"ITD",Input!$A$2,A214)</f>
        <v>ITD-X213</v>
      </c>
      <c r="C214" s="40" t="str" cm="1">
        <f t="array" ref="C214">IFERROR(_xlfn.LET(
_xlpm.CSVVal,_xlfn.XLOOKUP($A214,CSV!$A:$A,CSV!B:B,""),
_xlpm.MacVal,_xlfn.XLOOKUP($A214,Output_Mac!$A:$A,Output_Mac!B:B,""),
_xlpm.MyAuditVal,_xlfn.XLOOKUP($A214,My_Audit!$A:$A,My_Audit!B:B,""),
_xlfn.IFS(_xlpm.MyAuditVal&lt;&gt;"",UPPER(_xlpm.MyAuditVal),_xlpm.MacVal&lt;&gt;"",_xlpm.MacVal,_xlpm.CSVVal&lt;&gt;"",_xlpm.CSVVal
)),"")</f>
        <v/>
      </c>
      <c r="D214" s="40" t="str" cm="1">
        <f t="array" ref="D214">IFERROR(_xlfn.LET(
_xlpm.CSVVal,_xlfn.XLOOKUP($A214,CSV!$A:$A,CSV!D:D,""),
_xlpm.MacVal,_xlfn.XLOOKUP($A214,Output_Mac!$A:$A,Output_Mac!C:C,""),
_xlpm.MyAuditVal,_xlfn.XLOOKUP($A214,My_Audit!$A:$A,My_Audit!C:C,""),
_xlfn.IFS(_xlpm.MyAuditVal&lt;&gt;"",_xlpm.MyAuditVal,_xlpm.MacVal&lt;&gt;"",_xlpm.MacVal,_xlpm.CSVVal&lt;&gt;"",_xlpm.CSVVal
)),"")</f>
        <v/>
      </c>
      <c r="E214" s="40">
        <f>_xlfn.XLOOKUP(A214,My_Audit!A:A,My_Audit!D:D,"")</f>
        <v>0</v>
      </c>
      <c r="F214" s="40" t="str" cm="1">
        <f t="array" ref="F214">IFERROR(_xlfn.LET(
_xlpm.CSVVal,_xlfn.XLOOKUP($A214,CSV!$A:$A,CSV!F:F,""),
_xlpm.MacVal,_xlfn.XLOOKUP($A214,Output_Mac!$A:$A,Output_Mac!E:E,""),
_xlpm.MyAuditVal,_xlfn.XLOOKUP($A214,My_Audit!$A:$A,My_Audit!E:E,""),
_xlfn.IFS(_xlpm.MyAuditVal&lt;&gt;"",_xlpm.MyAuditVal,_xlpm.MacVal&lt;&gt;"",_xlpm.MacVal,_xlpm.CSVVal&lt;&gt;"",_xlpm.CSVVal
)),"")</f>
        <v/>
      </c>
      <c r="G214" s="40" t="str" cm="1">
        <f t="array" ref="G214">IFERROR(_xlfn.LET(
_xlpm.CSVVal,_xlfn.XLOOKUP($A214,CSV!$A:$A,CSV!G:G,""),
_xlpm.MacVal,_xlfn.XLOOKUP($A214,Output_Mac!$A:$A,Output_Mac!F:F,""),
_xlpm.MyAuditVal,_xlfn.XLOOKUP($A214,My_Audit!$A:$A,My_Audit!F:F,""),
_xlfn.IFS(_xlpm.MyAuditVal&lt;&gt;"",_xlpm.MyAuditVal,_xlpm.MacVal&lt;&gt;"",_xlpm.MacVal,_xlpm.CSVVal&lt;&gt;"",PROPER(_xlpm.CSVVal)
)),"")</f>
        <v/>
      </c>
      <c r="H214" s="40" t="str" cm="1">
        <f t="array" ref="H214">IFERROR(_xlfn.LET(
_xlpm.CSVVal,_xlfn.XLOOKUP($A214,CSV!$A:$A,CSV!H:H,""),
_xlpm.MacVal,_xlfn.XLOOKUP($A214,Output_Mac!$A:$A,Output_Mac!H:H,""),
_xlpm.MyAuditVal,_xlfn.XLOOKUP($A214,My_Audit!$A:$A,My_Audit!G:G,""),
_xlfn.IFS(_xlpm.MyAuditVal&lt;&gt;"",_xlpm.MyAuditVal,_xlpm.MacVal&lt;&gt;"",_xlpm.MacVal,_xlpm.CSVVal&lt;&gt;"",_xlpm.CSVVal
)),"")</f>
        <v/>
      </c>
      <c r="I214" s="40" t="str">
        <f>_xlfn.XLOOKUP(A214,Output_Mac!A:A,Output_Mac!I:I,"")</f>
        <v/>
      </c>
      <c r="J214" s="40" t="str" cm="1">
        <f t="array" ref="J214">IFERROR(_xlfn.LET(
_xlpm.CSVVal,_xlfn.XLOOKUP($A214,CSV!$A:$A,CSV!I:I,""),
_xlpm.MacVal,_xlfn.XLOOKUP($A214,Output_Mac!$A:$A,Output_Mac!J:J,""),
_xlpm.MyAuditVal,_xlfn.XLOOKUP($A214,My_Audit!$A:$A,My_Audit!I:I,""),
_xlfn.IFS(_xlpm.MyAuditVal&lt;&gt;"",UPPER(_xlpm.MyAuditVal),_xlpm.MacVal&lt;&gt;"",_xlpm.MacVal,_xlpm.CSVVal&lt;&gt;"",_xlpm.CSVVal
)),"")</f>
        <v/>
      </c>
      <c r="K214" s="40" t="str" cm="1">
        <f t="array" ref="K214">IFERROR(_xlfn.LET(
_xlpm.CSVVal,_xlfn.XLOOKUP($A214,CSV!$A:$A,CSV!K:K,""),
_xlpm.MacVal,_xlfn.XLOOKUP($A214,Output_Mac!$A:$A,Output_Mac!K:K,""),
_xlpm.MyAuditVal,_xlfn.XLOOKUP($A214,My_Audit!$A:$A,My_Audit!J:J,""),
_xlfn.IFS(_xlpm.MyAuditVal&lt;&gt;"",UPPER(_xlpm.MyAuditVal),_xlpm.MacVal&lt;&gt;"",_xlpm.MacVal,_xlpm.CSVVal&lt;&gt;"",_xlpm.CSVVal
)),"")</f>
        <v/>
      </c>
      <c r="L214" s="40" t="str" cm="1">
        <f t="array" ref="L214">IFERROR(_xlfn.LET(
_xlpm.CSVVal,_xlfn.XLOOKUP($A214,CSV!$A:$A,CSV!P:P,""),
_xlpm.MacVal,_xlfn.XLOOKUP($A214,Output_Mac!$A:$A,Output_Mac!L:L,""),
_xlpm.MyAuditVal,_xlfn.XLOOKUP($A214,My_Audit!$A:$A,My_Audit!K:K,""),
_xlfn.IFS(_xlpm.MyAuditVal&lt;&gt;"",UPPER(_xlpm.MyAuditVal),_xlpm.MacVal&lt;&gt;"",_xlpm.MacVal,_xlpm.CSVVal&lt;&gt;"",_xlpm.CSVVal
)),"")</f>
        <v/>
      </c>
      <c r="M214" s="40" t="str" cm="1">
        <f t="array" ref="M214">IFERROR(_xlfn.LET(
_xlpm.CSVVal,_xlfn.XLOOKUP($A214,CSV!$A:$A,CSV!Q:Q,""),
_xlpm.MacVal,_xlfn.XLOOKUP($A214,Output_Mac!$A:$A,Output_Mac!M:M,""),
_xlpm.MyAuditVal,_xlfn.XLOOKUP($A214,My_Audit!$A:$A,My_Audit!L:L,""),
_xlfn.IFS(_xlpm.MyAuditVal&lt;&gt;"",UPPER(_xlpm.MyAuditVal),_xlpm.MacVal&lt;&gt;"",_xlpm.MacVal,_xlpm.CSVVal&lt;&gt;"",_xlpm.CSVVal
)),"")</f>
        <v/>
      </c>
      <c r="N214" s="40"/>
      <c r="O214" s="40" t="str">
        <f>_xlfn.LET(
    _xlpm.CSVVal, _xlfn.XLOOKUP($A214, CSV!$A:$A, CSV!AA:AA, ""),
    _xlpm.MacVal, _xlfn.XLOOKUP($A214, Output_Mac!$A:$A, Output_Mac!S:S, ""),
    _xlpm.MyAuditVal, _xlfn.XLOOKUP($A214, My_Audit!$A:$A, My_Audit!P:P, ""),
    _xlfn.TEXTJOIN(", ", TRUE, _xlpm.MyAuditVal, _xlpm.MacVal, _xlpm.CSVVal)
)</f>
        <v/>
      </c>
      <c r="P214" s="40" t="str" cm="1">
        <f t="array" ref="P214">IFERROR(_xlfn.LET(
_xlpm.CSVVal,_xlfn.XLOOKUP($A214,CSV!$A:$A,CSV!AB:AB,""),
_xlpm.MacVal,_xlfn.XLOOKUP($A214,Output_Mac!$A:$A,Output_Mac!T:T,""),
_xlpm.MyAuditVal,_xlfn.XLOOKUP($A214,My_Audit!$A:$A,My_Audit!Q:Q,""),
_xlfn.IFS(_xlpm.MyAuditVal&lt;&gt;"",UPPER(_xlpm.MyAuditVal),_xlpm.MacVal&lt;&gt;"",_xlpm.MacVal,_xlpm.CSVVal&lt;&gt;"",_xlpm.CSVVal
)),"No")</f>
        <v>No</v>
      </c>
      <c r="Q214" s="40" t="str" cm="1">
        <f t="array" ref="Q214">IFERROR(_xlfn.LET(
_xlpm.CSVVal,_xlfn.XLOOKUP($A214,CSV!$A:$A,CSV!AC:AC,""),
_xlpm.MacVal,_xlfn.XLOOKUP($A214,Output_Mac!$A:$A,Output_Mac!U:U,""),
_xlpm.MyAuditVal,_xlfn.XLOOKUP($A214,My_Audit!$A:$A,My_Audit!R:R,""),
_xlfn.IFS(_xlpm.MyAuditVal&lt;&gt;"",UPPER(_xlpm.MyAuditVal),_xlpm.MacVal&lt;&gt;"",_xlpm.MacVal,_xlpm.CSVVal&lt;&gt;"",_xlpm.CSVVal
)),"")</f>
        <v/>
      </c>
      <c r="R214" s="40"/>
      <c r="S214" s="40"/>
      <c r="T214" s="40"/>
      <c r="U214" s="40"/>
      <c r="V214" s="40"/>
      <c r="W214" s="40"/>
      <c r="X214" s="41" t="str">
        <f>_xlfn.LET(
    _xlpm.MacVal, _xlfn.XLOOKUP($A214, Output_Mac!$A:$A, Output_Mac!AB:AB, ""),
    _xlpm.MyAuditVal, _xlfn.XLOOKUP($A214, My_Audit!$A:$A, My_Audit!N:N, ""),
    _xlfn.TEXTJOIN(", ", TRUE, _xlpm.MyAuditVal, _xlpm.MacVal)
)</f>
        <v/>
      </c>
    </row>
    <row r="215" spans="1:24">
      <c r="A215" s="40" t="str">
        <f>_xlfn.TEXTJOIN("",TRUE,Input!$B$2,ROW(My_Audit!A214))</f>
        <v>X214</v>
      </c>
      <c r="B215" s="40" t="str">
        <f>_xlfn.TEXTJOIN("-",TRUE,"ITD",Input!$A$2,A215)</f>
        <v>ITD-X214</v>
      </c>
      <c r="C215" s="40" t="str" cm="1">
        <f t="array" ref="C215">IFERROR(_xlfn.LET(
_xlpm.CSVVal,_xlfn.XLOOKUP($A215,CSV!$A:$A,CSV!B:B,""),
_xlpm.MacVal,_xlfn.XLOOKUP($A215,Output_Mac!$A:$A,Output_Mac!B:B,""),
_xlpm.MyAuditVal,_xlfn.XLOOKUP($A215,My_Audit!$A:$A,My_Audit!B:B,""),
_xlfn.IFS(_xlpm.MyAuditVal&lt;&gt;"",UPPER(_xlpm.MyAuditVal),_xlpm.MacVal&lt;&gt;"",_xlpm.MacVal,_xlpm.CSVVal&lt;&gt;"",_xlpm.CSVVal
)),"")</f>
        <v/>
      </c>
      <c r="D215" s="40" t="str" cm="1">
        <f t="array" ref="D215">IFERROR(_xlfn.LET(
_xlpm.CSVVal,_xlfn.XLOOKUP($A215,CSV!$A:$A,CSV!D:D,""),
_xlpm.MacVal,_xlfn.XLOOKUP($A215,Output_Mac!$A:$A,Output_Mac!C:C,""),
_xlpm.MyAuditVal,_xlfn.XLOOKUP($A215,My_Audit!$A:$A,My_Audit!C:C,""),
_xlfn.IFS(_xlpm.MyAuditVal&lt;&gt;"",_xlpm.MyAuditVal,_xlpm.MacVal&lt;&gt;"",_xlpm.MacVal,_xlpm.CSVVal&lt;&gt;"",_xlpm.CSVVal
)),"")</f>
        <v/>
      </c>
      <c r="E215" s="40">
        <f>_xlfn.XLOOKUP(A215,My_Audit!A:A,My_Audit!D:D,"")</f>
        <v>0</v>
      </c>
      <c r="F215" s="40" t="str" cm="1">
        <f t="array" ref="F215">IFERROR(_xlfn.LET(
_xlpm.CSVVal,_xlfn.XLOOKUP($A215,CSV!$A:$A,CSV!F:F,""),
_xlpm.MacVal,_xlfn.XLOOKUP($A215,Output_Mac!$A:$A,Output_Mac!E:E,""),
_xlpm.MyAuditVal,_xlfn.XLOOKUP($A215,My_Audit!$A:$A,My_Audit!E:E,""),
_xlfn.IFS(_xlpm.MyAuditVal&lt;&gt;"",_xlpm.MyAuditVal,_xlpm.MacVal&lt;&gt;"",_xlpm.MacVal,_xlpm.CSVVal&lt;&gt;"",_xlpm.CSVVal
)),"")</f>
        <v/>
      </c>
      <c r="G215" s="40" t="str" cm="1">
        <f t="array" ref="G215">IFERROR(_xlfn.LET(
_xlpm.CSVVal,_xlfn.XLOOKUP($A215,CSV!$A:$A,CSV!G:G,""),
_xlpm.MacVal,_xlfn.XLOOKUP($A215,Output_Mac!$A:$A,Output_Mac!F:F,""),
_xlpm.MyAuditVal,_xlfn.XLOOKUP($A215,My_Audit!$A:$A,My_Audit!F:F,""),
_xlfn.IFS(_xlpm.MyAuditVal&lt;&gt;"",_xlpm.MyAuditVal,_xlpm.MacVal&lt;&gt;"",_xlpm.MacVal,_xlpm.CSVVal&lt;&gt;"",PROPER(_xlpm.CSVVal)
)),"")</f>
        <v/>
      </c>
      <c r="H215" s="40" t="str" cm="1">
        <f t="array" ref="H215">IFERROR(_xlfn.LET(
_xlpm.CSVVal,_xlfn.XLOOKUP($A215,CSV!$A:$A,CSV!H:H,""),
_xlpm.MacVal,_xlfn.XLOOKUP($A215,Output_Mac!$A:$A,Output_Mac!H:H,""),
_xlpm.MyAuditVal,_xlfn.XLOOKUP($A215,My_Audit!$A:$A,My_Audit!G:G,""),
_xlfn.IFS(_xlpm.MyAuditVal&lt;&gt;"",_xlpm.MyAuditVal,_xlpm.MacVal&lt;&gt;"",_xlpm.MacVal,_xlpm.CSVVal&lt;&gt;"",_xlpm.CSVVal
)),"")</f>
        <v/>
      </c>
      <c r="I215" s="40" t="str">
        <f>_xlfn.XLOOKUP(A215,Output_Mac!A:A,Output_Mac!I:I,"")</f>
        <v/>
      </c>
      <c r="J215" s="40" t="str" cm="1">
        <f t="array" ref="J215">IFERROR(_xlfn.LET(
_xlpm.CSVVal,_xlfn.XLOOKUP($A215,CSV!$A:$A,CSV!I:I,""),
_xlpm.MacVal,_xlfn.XLOOKUP($A215,Output_Mac!$A:$A,Output_Mac!J:J,""),
_xlpm.MyAuditVal,_xlfn.XLOOKUP($A215,My_Audit!$A:$A,My_Audit!I:I,""),
_xlfn.IFS(_xlpm.MyAuditVal&lt;&gt;"",UPPER(_xlpm.MyAuditVal),_xlpm.MacVal&lt;&gt;"",_xlpm.MacVal,_xlpm.CSVVal&lt;&gt;"",_xlpm.CSVVal
)),"")</f>
        <v/>
      </c>
      <c r="K215" s="40" t="str" cm="1">
        <f t="array" ref="K215">IFERROR(_xlfn.LET(
_xlpm.CSVVal,_xlfn.XLOOKUP($A215,CSV!$A:$A,CSV!K:K,""),
_xlpm.MacVal,_xlfn.XLOOKUP($A215,Output_Mac!$A:$A,Output_Mac!K:K,""),
_xlpm.MyAuditVal,_xlfn.XLOOKUP($A215,My_Audit!$A:$A,My_Audit!J:J,""),
_xlfn.IFS(_xlpm.MyAuditVal&lt;&gt;"",UPPER(_xlpm.MyAuditVal),_xlpm.MacVal&lt;&gt;"",_xlpm.MacVal,_xlpm.CSVVal&lt;&gt;"",_xlpm.CSVVal
)),"")</f>
        <v/>
      </c>
      <c r="L215" s="40" t="str" cm="1">
        <f t="array" ref="L215">IFERROR(_xlfn.LET(
_xlpm.CSVVal,_xlfn.XLOOKUP($A215,CSV!$A:$A,CSV!P:P,""),
_xlpm.MacVal,_xlfn.XLOOKUP($A215,Output_Mac!$A:$A,Output_Mac!L:L,""),
_xlpm.MyAuditVal,_xlfn.XLOOKUP($A215,My_Audit!$A:$A,My_Audit!K:K,""),
_xlfn.IFS(_xlpm.MyAuditVal&lt;&gt;"",UPPER(_xlpm.MyAuditVal),_xlpm.MacVal&lt;&gt;"",_xlpm.MacVal,_xlpm.CSVVal&lt;&gt;"",_xlpm.CSVVal
)),"")</f>
        <v/>
      </c>
      <c r="M215" s="40" t="str" cm="1">
        <f t="array" ref="M215">IFERROR(_xlfn.LET(
_xlpm.CSVVal,_xlfn.XLOOKUP($A215,CSV!$A:$A,CSV!Q:Q,""),
_xlpm.MacVal,_xlfn.XLOOKUP($A215,Output_Mac!$A:$A,Output_Mac!M:M,""),
_xlpm.MyAuditVal,_xlfn.XLOOKUP($A215,My_Audit!$A:$A,My_Audit!L:L,""),
_xlfn.IFS(_xlpm.MyAuditVal&lt;&gt;"",UPPER(_xlpm.MyAuditVal),_xlpm.MacVal&lt;&gt;"",_xlpm.MacVal,_xlpm.CSVVal&lt;&gt;"",_xlpm.CSVVal
)),"")</f>
        <v/>
      </c>
      <c r="N215" s="40"/>
      <c r="O215" s="40" t="str">
        <f>_xlfn.LET(
    _xlpm.CSVVal, _xlfn.XLOOKUP($A215, CSV!$A:$A, CSV!AA:AA, ""),
    _xlpm.MacVal, _xlfn.XLOOKUP($A215, Output_Mac!$A:$A, Output_Mac!S:S, ""),
    _xlpm.MyAuditVal, _xlfn.XLOOKUP($A215, My_Audit!$A:$A, My_Audit!P:P, ""),
    _xlfn.TEXTJOIN(", ", TRUE, _xlpm.MyAuditVal, _xlpm.MacVal, _xlpm.CSVVal)
)</f>
        <v/>
      </c>
      <c r="P215" s="40" t="str" cm="1">
        <f t="array" ref="P215">IFERROR(_xlfn.LET(
_xlpm.CSVVal,_xlfn.XLOOKUP($A215,CSV!$A:$A,CSV!AB:AB,""),
_xlpm.MacVal,_xlfn.XLOOKUP($A215,Output_Mac!$A:$A,Output_Mac!T:T,""),
_xlpm.MyAuditVal,_xlfn.XLOOKUP($A215,My_Audit!$A:$A,My_Audit!Q:Q,""),
_xlfn.IFS(_xlpm.MyAuditVal&lt;&gt;"",UPPER(_xlpm.MyAuditVal),_xlpm.MacVal&lt;&gt;"",_xlpm.MacVal,_xlpm.CSVVal&lt;&gt;"",_xlpm.CSVVal
)),"No")</f>
        <v>No</v>
      </c>
      <c r="Q215" s="40" t="str" cm="1">
        <f t="array" ref="Q215">IFERROR(_xlfn.LET(
_xlpm.CSVVal,_xlfn.XLOOKUP($A215,CSV!$A:$A,CSV!AC:AC,""),
_xlpm.MacVal,_xlfn.XLOOKUP($A215,Output_Mac!$A:$A,Output_Mac!U:U,""),
_xlpm.MyAuditVal,_xlfn.XLOOKUP($A215,My_Audit!$A:$A,My_Audit!R:R,""),
_xlfn.IFS(_xlpm.MyAuditVal&lt;&gt;"",UPPER(_xlpm.MyAuditVal),_xlpm.MacVal&lt;&gt;"",_xlpm.MacVal,_xlpm.CSVVal&lt;&gt;"",_xlpm.CSVVal
)),"")</f>
        <v/>
      </c>
      <c r="R215" s="40"/>
      <c r="S215" s="40"/>
      <c r="T215" s="40"/>
      <c r="U215" s="40"/>
      <c r="V215" s="40"/>
      <c r="W215" s="40"/>
      <c r="X215" s="41" t="str">
        <f>_xlfn.LET(
    _xlpm.MacVal, _xlfn.XLOOKUP($A215, Output_Mac!$A:$A, Output_Mac!AB:AB, ""),
    _xlpm.MyAuditVal, _xlfn.XLOOKUP($A215, My_Audit!$A:$A, My_Audit!N:N, ""),
    _xlfn.TEXTJOIN(", ", TRUE, _xlpm.MyAuditVal, _xlpm.MacVal)
)</f>
        <v/>
      </c>
    </row>
    <row r="216" spans="1:24">
      <c r="A216" s="40" t="str">
        <f>_xlfn.TEXTJOIN("",TRUE,Input!$B$2,ROW(My_Audit!A215))</f>
        <v>X215</v>
      </c>
      <c r="B216" s="40" t="str">
        <f>_xlfn.TEXTJOIN("-",TRUE,"ITD",Input!$A$2,A216)</f>
        <v>ITD-X215</v>
      </c>
      <c r="C216" s="40" t="str" cm="1">
        <f t="array" ref="C216">IFERROR(_xlfn.LET(
_xlpm.CSVVal,_xlfn.XLOOKUP($A216,CSV!$A:$A,CSV!B:B,""),
_xlpm.MacVal,_xlfn.XLOOKUP($A216,Output_Mac!$A:$A,Output_Mac!B:B,""),
_xlpm.MyAuditVal,_xlfn.XLOOKUP($A216,My_Audit!$A:$A,My_Audit!B:B,""),
_xlfn.IFS(_xlpm.MyAuditVal&lt;&gt;"",UPPER(_xlpm.MyAuditVal),_xlpm.MacVal&lt;&gt;"",_xlpm.MacVal,_xlpm.CSVVal&lt;&gt;"",_xlpm.CSVVal
)),"")</f>
        <v/>
      </c>
      <c r="D216" s="40" t="str" cm="1">
        <f t="array" ref="D216">IFERROR(_xlfn.LET(
_xlpm.CSVVal,_xlfn.XLOOKUP($A216,CSV!$A:$A,CSV!D:D,""),
_xlpm.MacVal,_xlfn.XLOOKUP($A216,Output_Mac!$A:$A,Output_Mac!C:C,""),
_xlpm.MyAuditVal,_xlfn.XLOOKUP($A216,My_Audit!$A:$A,My_Audit!C:C,""),
_xlfn.IFS(_xlpm.MyAuditVal&lt;&gt;"",_xlpm.MyAuditVal,_xlpm.MacVal&lt;&gt;"",_xlpm.MacVal,_xlpm.CSVVal&lt;&gt;"",_xlpm.CSVVal
)),"")</f>
        <v/>
      </c>
      <c r="E216" s="40">
        <f>_xlfn.XLOOKUP(A216,My_Audit!A:A,My_Audit!D:D,"")</f>
        <v>0</v>
      </c>
      <c r="F216" s="40" t="str" cm="1">
        <f t="array" ref="F216">IFERROR(_xlfn.LET(
_xlpm.CSVVal,_xlfn.XLOOKUP($A216,CSV!$A:$A,CSV!F:F,""),
_xlpm.MacVal,_xlfn.XLOOKUP($A216,Output_Mac!$A:$A,Output_Mac!E:E,""),
_xlpm.MyAuditVal,_xlfn.XLOOKUP($A216,My_Audit!$A:$A,My_Audit!E:E,""),
_xlfn.IFS(_xlpm.MyAuditVal&lt;&gt;"",_xlpm.MyAuditVal,_xlpm.MacVal&lt;&gt;"",_xlpm.MacVal,_xlpm.CSVVal&lt;&gt;"",_xlpm.CSVVal
)),"")</f>
        <v/>
      </c>
      <c r="G216" s="40" t="str" cm="1">
        <f t="array" ref="G216">IFERROR(_xlfn.LET(
_xlpm.CSVVal,_xlfn.XLOOKUP($A216,CSV!$A:$A,CSV!G:G,""),
_xlpm.MacVal,_xlfn.XLOOKUP($A216,Output_Mac!$A:$A,Output_Mac!F:F,""),
_xlpm.MyAuditVal,_xlfn.XLOOKUP($A216,My_Audit!$A:$A,My_Audit!F:F,""),
_xlfn.IFS(_xlpm.MyAuditVal&lt;&gt;"",_xlpm.MyAuditVal,_xlpm.MacVal&lt;&gt;"",_xlpm.MacVal,_xlpm.CSVVal&lt;&gt;"",PROPER(_xlpm.CSVVal)
)),"")</f>
        <v/>
      </c>
      <c r="H216" s="40" t="str" cm="1">
        <f t="array" ref="H216">IFERROR(_xlfn.LET(
_xlpm.CSVVal,_xlfn.XLOOKUP($A216,CSV!$A:$A,CSV!H:H,""),
_xlpm.MacVal,_xlfn.XLOOKUP($A216,Output_Mac!$A:$A,Output_Mac!H:H,""),
_xlpm.MyAuditVal,_xlfn.XLOOKUP($A216,My_Audit!$A:$A,My_Audit!G:G,""),
_xlfn.IFS(_xlpm.MyAuditVal&lt;&gt;"",_xlpm.MyAuditVal,_xlpm.MacVal&lt;&gt;"",_xlpm.MacVal,_xlpm.CSVVal&lt;&gt;"",_xlpm.CSVVal
)),"")</f>
        <v/>
      </c>
      <c r="I216" s="40" t="str">
        <f>_xlfn.XLOOKUP(A216,Output_Mac!A:A,Output_Mac!I:I,"")</f>
        <v/>
      </c>
      <c r="J216" s="40" t="str" cm="1">
        <f t="array" ref="J216">IFERROR(_xlfn.LET(
_xlpm.CSVVal,_xlfn.XLOOKUP($A216,CSV!$A:$A,CSV!I:I,""),
_xlpm.MacVal,_xlfn.XLOOKUP($A216,Output_Mac!$A:$A,Output_Mac!J:J,""),
_xlpm.MyAuditVal,_xlfn.XLOOKUP($A216,My_Audit!$A:$A,My_Audit!I:I,""),
_xlfn.IFS(_xlpm.MyAuditVal&lt;&gt;"",UPPER(_xlpm.MyAuditVal),_xlpm.MacVal&lt;&gt;"",_xlpm.MacVal,_xlpm.CSVVal&lt;&gt;"",_xlpm.CSVVal
)),"")</f>
        <v/>
      </c>
      <c r="K216" s="40" t="str" cm="1">
        <f t="array" ref="K216">IFERROR(_xlfn.LET(
_xlpm.CSVVal,_xlfn.XLOOKUP($A216,CSV!$A:$A,CSV!K:K,""),
_xlpm.MacVal,_xlfn.XLOOKUP($A216,Output_Mac!$A:$A,Output_Mac!K:K,""),
_xlpm.MyAuditVal,_xlfn.XLOOKUP($A216,My_Audit!$A:$A,My_Audit!J:J,""),
_xlfn.IFS(_xlpm.MyAuditVal&lt;&gt;"",UPPER(_xlpm.MyAuditVal),_xlpm.MacVal&lt;&gt;"",_xlpm.MacVal,_xlpm.CSVVal&lt;&gt;"",_xlpm.CSVVal
)),"")</f>
        <v/>
      </c>
      <c r="L216" s="40" t="str" cm="1">
        <f t="array" ref="L216">IFERROR(_xlfn.LET(
_xlpm.CSVVal,_xlfn.XLOOKUP($A216,CSV!$A:$A,CSV!P:P,""),
_xlpm.MacVal,_xlfn.XLOOKUP($A216,Output_Mac!$A:$A,Output_Mac!L:L,""),
_xlpm.MyAuditVal,_xlfn.XLOOKUP($A216,My_Audit!$A:$A,My_Audit!K:K,""),
_xlfn.IFS(_xlpm.MyAuditVal&lt;&gt;"",UPPER(_xlpm.MyAuditVal),_xlpm.MacVal&lt;&gt;"",_xlpm.MacVal,_xlpm.CSVVal&lt;&gt;"",_xlpm.CSVVal
)),"")</f>
        <v/>
      </c>
      <c r="M216" s="40" t="str" cm="1">
        <f t="array" ref="M216">IFERROR(_xlfn.LET(
_xlpm.CSVVal,_xlfn.XLOOKUP($A216,CSV!$A:$A,CSV!Q:Q,""),
_xlpm.MacVal,_xlfn.XLOOKUP($A216,Output_Mac!$A:$A,Output_Mac!M:M,""),
_xlpm.MyAuditVal,_xlfn.XLOOKUP($A216,My_Audit!$A:$A,My_Audit!L:L,""),
_xlfn.IFS(_xlpm.MyAuditVal&lt;&gt;"",UPPER(_xlpm.MyAuditVal),_xlpm.MacVal&lt;&gt;"",_xlpm.MacVal,_xlpm.CSVVal&lt;&gt;"",_xlpm.CSVVal
)),"")</f>
        <v/>
      </c>
      <c r="N216" s="40"/>
      <c r="O216" s="40" t="str">
        <f>_xlfn.LET(
    _xlpm.CSVVal, _xlfn.XLOOKUP($A216, CSV!$A:$A, CSV!AA:AA, ""),
    _xlpm.MacVal, _xlfn.XLOOKUP($A216, Output_Mac!$A:$A, Output_Mac!S:S, ""),
    _xlpm.MyAuditVal, _xlfn.XLOOKUP($A216, My_Audit!$A:$A, My_Audit!P:P, ""),
    _xlfn.TEXTJOIN(", ", TRUE, _xlpm.MyAuditVal, _xlpm.MacVal, _xlpm.CSVVal)
)</f>
        <v/>
      </c>
      <c r="P216" s="40" t="str" cm="1">
        <f t="array" ref="P216">IFERROR(_xlfn.LET(
_xlpm.CSVVal,_xlfn.XLOOKUP($A216,CSV!$A:$A,CSV!AB:AB,""),
_xlpm.MacVal,_xlfn.XLOOKUP($A216,Output_Mac!$A:$A,Output_Mac!T:T,""),
_xlpm.MyAuditVal,_xlfn.XLOOKUP($A216,My_Audit!$A:$A,My_Audit!Q:Q,""),
_xlfn.IFS(_xlpm.MyAuditVal&lt;&gt;"",UPPER(_xlpm.MyAuditVal),_xlpm.MacVal&lt;&gt;"",_xlpm.MacVal,_xlpm.CSVVal&lt;&gt;"",_xlpm.CSVVal
)),"No")</f>
        <v>No</v>
      </c>
      <c r="Q216" s="40" t="str" cm="1">
        <f t="array" ref="Q216">IFERROR(_xlfn.LET(
_xlpm.CSVVal,_xlfn.XLOOKUP($A216,CSV!$A:$A,CSV!AC:AC,""),
_xlpm.MacVal,_xlfn.XLOOKUP($A216,Output_Mac!$A:$A,Output_Mac!U:U,""),
_xlpm.MyAuditVal,_xlfn.XLOOKUP($A216,My_Audit!$A:$A,My_Audit!R:R,""),
_xlfn.IFS(_xlpm.MyAuditVal&lt;&gt;"",UPPER(_xlpm.MyAuditVal),_xlpm.MacVal&lt;&gt;"",_xlpm.MacVal,_xlpm.CSVVal&lt;&gt;"",_xlpm.CSVVal
)),"")</f>
        <v/>
      </c>
      <c r="R216" s="40"/>
      <c r="S216" s="40"/>
      <c r="T216" s="40"/>
      <c r="U216" s="40"/>
      <c r="V216" s="40"/>
      <c r="W216" s="40"/>
      <c r="X216" s="41" t="str">
        <f>_xlfn.LET(
    _xlpm.MacVal, _xlfn.XLOOKUP($A216, Output_Mac!$A:$A, Output_Mac!AB:AB, ""),
    _xlpm.MyAuditVal, _xlfn.XLOOKUP($A216, My_Audit!$A:$A, My_Audit!N:N, ""),
    _xlfn.TEXTJOIN(", ", TRUE, _xlpm.MyAuditVal, _xlpm.MacVal)
)</f>
        <v/>
      </c>
    </row>
    <row r="217" spans="1:24">
      <c r="A217" s="40" t="str">
        <f>_xlfn.TEXTJOIN("",TRUE,Input!$B$2,ROW(My_Audit!A216))</f>
        <v>X216</v>
      </c>
      <c r="B217" s="40" t="str">
        <f>_xlfn.TEXTJOIN("-",TRUE,"ITD",Input!$A$2,A217)</f>
        <v>ITD-X216</v>
      </c>
      <c r="C217" s="40" t="str" cm="1">
        <f t="array" ref="C217">IFERROR(_xlfn.LET(
_xlpm.CSVVal,_xlfn.XLOOKUP($A217,CSV!$A:$A,CSV!B:B,""),
_xlpm.MacVal,_xlfn.XLOOKUP($A217,Output_Mac!$A:$A,Output_Mac!B:B,""),
_xlpm.MyAuditVal,_xlfn.XLOOKUP($A217,My_Audit!$A:$A,My_Audit!B:B,""),
_xlfn.IFS(_xlpm.MyAuditVal&lt;&gt;"",UPPER(_xlpm.MyAuditVal),_xlpm.MacVal&lt;&gt;"",_xlpm.MacVal,_xlpm.CSVVal&lt;&gt;"",_xlpm.CSVVal
)),"")</f>
        <v/>
      </c>
      <c r="D217" s="40" t="str" cm="1">
        <f t="array" ref="D217">IFERROR(_xlfn.LET(
_xlpm.CSVVal,_xlfn.XLOOKUP($A217,CSV!$A:$A,CSV!D:D,""),
_xlpm.MacVal,_xlfn.XLOOKUP($A217,Output_Mac!$A:$A,Output_Mac!C:C,""),
_xlpm.MyAuditVal,_xlfn.XLOOKUP($A217,My_Audit!$A:$A,My_Audit!C:C,""),
_xlfn.IFS(_xlpm.MyAuditVal&lt;&gt;"",_xlpm.MyAuditVal,_xlpm.MacVal&lt;&gt;"",_xlpm.MacVal,_xlpm.CSVVal&lt;&gt;"",_xlpm.CSVVal
)),"")</f>
        <v/>
      </c>
      <c r="E217" s="40">
        <f>_xlfn.XLOOKUP(A217,My_Audit!A:A,My_Audit!D:D,"")</f>
        <v>0</v>
      </c>
      <c r="F217" s="40" t="str" cm="1">
        <f t="array" ref="F217">IFERROR(_xlfn.LET(
_xlpm.CSVVal,_xlfn.XLOOKUP($A217,CSV!$A:$A,CSV!F:F,""),
_xlpm.MacVal,_xlfn.XLOOKUP($A217,Output_Mac!$A:$A,Output_Mac!E:E,""),
_xlpm.MyAuditVal,_xlfn.XLOOKUP($A217,My_Audit!$A:$A,My_Audit!E:E,""),
_xlfn.IFS(_xlpm.MyAuditVal&lt;&gt;"",_xlpm.MyAuditVal,_xlpm.MacVal&lt;&gt;"",_xlpm.MacVal,_xlpm.CSVVal&lt;&gt;"",_xlpm.CSVVal
)),"")</f>
        <v/>
      </c>
      <c r="G217" s="40" t="str" cm="1">
        <f t="array" ref="G217">IFERROR(_xlfn.LET(
_xlpm.CSVVal,_xlfn.XLOOKUP($A217,CSV!$A:$A,CSV!G:G,""),
_xlpm.MacVal,_xlfn.XLOOKUP($A217,Output_Mac!$A:$A,Output_Mac!F:F,""),
_xlpm.MyAuditVal,_xlfn.XLOOKUP($A217,My_Audit!$A:$A,My_Audit!F:F,""),
_xlfn.IFS(_xlpm.MyAuditVal&lt;&gt;"",_xlpm.MyAuditVal,_xlpm.MacVal&lt;&gt;"",_xlpm.MacVal,_xlpm.CSVVal&lt;&gt;"",PROPER(_xlpm.CSVVal)
)),"")</f>
        <v/>
      </c>
      <c r="H217" s="40" t="str" cm="1">
        <f t="array" ref="H217">IFERROR(_xlfn.LET(
_xlpm.CSVVal,_xlfn.XLOOKUP($A217,CSV!$A:$A,CSV!H:H,""),
_xlpm.MacVal,_xlfn.XLOOKUP($A217,Output_Mac!$A:$A,Output_Mac!H:H,""),
_xlpm.MyAuditVal,_xlfn.XLOOKUP($A217,My_Audit!$A:$A,My_Audit!G:G,""),
_xlfn.IFS(_xlpm.MyAuditVal&lt;&gt;"",_xlpm.MyAuditVal,_xlpm.MacVal&lt;&gt;"",_xlpm.MacVal,_xlpm.CSVVal&lt;&gt;"",_xlpm.CSVVal
)),"")</f>
        <v/>
      </c>
      <c r="I217" s="40" t="str">
        <f>_xlfn.XLOOKUP(A217,Output_Mac!A:A,Output_Mac!I:I,"")</f>
        <v/>
      </c>
      <c r="J217" s="40" t="str" cm="1">
        <f t="array" ref="J217">IFERROR(_xlfn.LET(
_xlpm.CSVVal,_xlfn.XLOOKUP($A217,CSV!$A:$A,CSV!I:I,""),
_xlpm.MacVal,_xlfn.XLOOKUP($A217,Output_Mac!$A:$A,Output_Mac!J:J,""),
_xlpm.MyAuditVal,_xlfn.XLOOKUP($A217,My_Audit!$A:$A,My_Audit!I:I,""),
_xlfn.IFS(_xlpm.MyAuditVal&lt;&gt;"",UPPER(_xlpm.MyAuditVal),_xlpm.MacVal&lt;&gt;"",_xlpm.MacVal,_xlpm.CSVVal&lt;&gt;"",_xlpm.CSVVal
)),"")</f>
        <v/>
      </c>
      <c r="K217" s="40" t="str" cm="1">
        <f t="array" ref="K217">IFERROR(_xlfn.LET(
_xlpm.CSVVal,_xlfn.XLOOKUP($A217,CSV!$A:$A,CSV!K:K,""),
_xlpm.MacVal,_xlfn.XLOOKUP($A217,Output_Mac!$A:$A,Output_Mac!K:K,""),
_xlpm.MyAuditVal,_xlfn.XLOOKUP($A217,My_Audit!$A:$A,My_Audit!J:J,""),
_xlfn.IFS(_xlpm.MyAuditVal&lt;&gt;"",UPPER(_xlpm.MyAuditVal),_xlpm.MacVal&lt;&gt;"",_xlpm.MacVal,_xlpm.CSVVal&lt;&gt;"",_xlpm.CSVVal
)),"")</f>
        <v/>
      </c>
      <c r="L217" s="40" t="str" cm="1">
        <f t="array" ref="L217">IFERROR(_xlfn.LET(
_xlpm.CSVVal,_xlfn.XLOOKUP($A217,CSV!$A:$A,CSV!P:P,""),
_xlpm.MacVal,_xlfn.XLOOKUP($A217,Output_Mac!$A:$A,Output_Mac!L:L,""),
_xlpm.MyAuditVal,_xlfn.XLOOKUP($A217,My_Audit!$A:$A,My_Audit!K:K,""),
_xlfn.IFS(_xlpm.MyAuditVal&lt;&gt;"",UPPER(_xlpm.MyAuditVal),_xlpm.MacVal&lt;&gt;"",_xlpm.MacVal,_xlpm.CSVVal&lt;&gt;"",_xlpm.CSVVal
)),"")</f>
        <v/>
      </c>
      <c r="M217" s="40" t="str" cm="1">
        <f t="array" ref="M217">IFERROR(_xlfn.LET(
_xlpm.CSVVal,_xlfn.XLOOKUP($A217,CSV!$A:$A,CSV!Q:Q,""),
_xlpm.MacVal,_xlfn.XLOOKUP($A217,Output_Mac!$A:$A,Output_Mac!M:M,""),
_xlpm.MyAuditVal,_xlfn.XLOOKUP($A217,My_Audit!$A:$A,My_Audit!L:L,""),
_xlfn.IFS(_xlpm.MyAuditVal&lt;&gt;"",UPPER(_xlpm.MyAuditVal),_xlpm.MacVal&lt;&gt;"",_xlpm.MacVal,_xlpm.CSVVal&lt;&gt;"",_xlpm.CSVVal
)),"")</f>
        <v/>
      </c>
      <c r="N217" s="40"/>
      <c r="O217" s="40" t="str">
        <f>_xlfn.LET(
    _xlpm.CSVVal, _xlfn.XLOOKUP($A217, CSV!$A:$A, CSV!AA:AA, ""),
    _xlpm.MacVal, _xlfn.XLOOKUP($A217, Output_Mac!$A:$A, Output_Mac!S:S, ""),
    _xlpm.MyAuditVal, _xlfn.XLOOKUP($A217, My_Audit!$A:$A, My_Audit!P:P, ""),
    _xlfn.TEXTJOIN(", ", TRUE, _xlpm.MyAuditVal, _xlpm.MacVal, _xlpm.CSVVal)
)</f>
        <v/>
      </c>
      <c r="P217" s="40" t="str" cm="1">
        <f t="array" ref="P217">IFERROR(_xlfn.LET(
_xlpm.CSVVal,_xlfn.XLOOKUP($A217,CSV!$A:$A,CSV!AB:AB,""),
_xlpm.MacVal,_xlfn.XLOOKUP($A217,Output_Mac!$A:$A,Output_Mac!T:T,""),
_xlpm.MyAuditVal,_xlfn.XLOOKUP($A217,My_Audit!$A:$A,My_Audit!Q:Q,""),
_xlfn.IFS(_xlpm.MyAuditVal&lt;&gt;"",UPPER(_xlpm.MyAuditVal),_xlpm.MacVal&lt;&gt;"",_xlpm.MacVal,_xlpm.CSVVal&lt;&gt;"",_xlpm.CSVVal
)),"No")</f>
        <v>No</v>
      </c>
      <c r="Q217" s="40" t="str" cm="1">
        <f t="array" ref="Q217">IFERROR(_xlfn.LET(
_xlpm.CSVVal,_xlfn.XLOOKUP($A217,CSV!$A:$A,CSV!AC:AC,""),
_xlpm.MacVal,_xlfn.XLOOKUP($A217,Output_Mac!$A:$A,Output_Mac!U:U,""),
_xlpm.MyAuditVal,_xlfn.XLOOKUP($A217,My_Audit!$A:$A,My_Audit!R:R,""),
_xlfn.IFS(_xlpm.MyAuditVal&lt;&gt;"",UPPER(_xlpm.MyAuditVal),_xlpm.MacVal&lt;&gt;"",_xlpm.MacVal,_xlpm.CSVVal&lt;&gt;"",_xlpm.CSVVal
)),"")</f>
        <v/>
      </c>
      <c r="R217" s="40"/>
      <c r="S217" s="40"/>
      <c r="T217" s="40"/>
      <c r="U217" s="40"/>
      <c r="V217" s="40"/>
      <c r="W217" s="40"/>
      <c r="X217" s="41" t="str">
        <f>_xlfn.LET(
    _xlpm.MacVal, _xlfn.XLOOKUP($A217, Output_Mac!$A:$A, Output_Mac!AB:AB, ""),
    _xlpm.MyAuditVal, _xlfn.XLOOKUP($A217, My_Audit!$A:$A, My_Audit!N:N, ""),
    _xlfn.TEXTJOIN(", ", TRUE, _xlpm.MyAuditVal, _xlpm.MacVal)
)</f>
        <v/>
      </c>
    </row>
    <row r="218" spans="1:24">
      <c r="A218" s="40" t="str">
        <f>_xlfn.TEXTJOIN("",TRUE,Input!$B$2,ROW(My_Audit!A217))</f>
        <v>X217</v>
      </c>
      <c r="B218" s="40" t="str">
        <f>_xlfn.TEXTJOIN("-",TRUE,"ITD",Input!$A$2,A218)</f>
        <v>ITD-X217</v>
      </c>
      <c r="C218" s="40" t="str" cm="1">
        <f t="array" ref="C218">IFERROR(_xlfn.LET(
_xlpm.CSVVal,_xlfn.XLOOKUP($A218,CSV!$A:$A,CSV!B:B,""),
_xlpm.MacVal,_xlfn.XLOOKUP($A218,Output_Mac!$A:$A,Output_Mac!B:B,""),
_xlpm.MyAuditVal,_xlfn.XLOOKUP($A218,My_Audit!$A:$A,My_Audit!B:B,""),
_xlfn.IFS(_xlpm.MyAuditVal&lt;&gt;"",UPPER(_xlpm.MyAuditVal),_xlpm.MacVal&lt;&gt;"",_xlpm.MacVal,_xlpm.CSVVal&lt;&gt;"",_xlpm.CSVVal
)),"")</f>
        <v/>
      </c>
      <c r="D218" s="40" t="str" cm="1">
        <f t="array" ref="D218">IFERROR(_xlfn.LET(
_xlpm.CSVVal,_xlfn.XLOOKUP($A218,CSV!$A:$A,CSV!D:D,""),
_xlpm.MacVal,_xlfn.XLOOKUP($A218,Output_Mac!$A:$A,Output_Mac!C:C,""),
_xlpm.MyAuditVal,_xlfn.XLOOKUP($A218,My_Audit!$A:$A,My_Audit!C:C,""),
_xlfn.IFS(_xlpm.MyAuditVal&lt;&gt;"",_xlpm.MyAuditVal,_xlpm.MacVal&lt;&gt;"",_xlpm.MacVal,_xlpm.CSVVal&lt;&gt;"",_xlpm.CSVVal
)),"")</f>
        <v/>
      </c>
      <c r="E218" s="40">
        <f>_xlfn.XLOOKUP(A218,My_Audit!A:A,My_Audit!D:D,"")</f>
        <v>0</v>
      </c>
      <c r="F218" s="40" t="str" cm="1">
        <f t="array" ref="F218">IFERROR(_xlfn.LET(
_xlpm.CSVVal,_xlfn.XLOOKUP($A218,CSV!$A:$A,CSV!F:F,""),
_xlpm.MacVal,_xlfn.XLOOKUP($A218,Output_Mac!$A:$A,Output_Mac!E:E,""),
_xlpm.MyAuditVal,_xlfn.XLOOKUP($A218,My_Audit!$A:$A,My_Audit!E:E,""),
_xlfn.IFS(_xlpm.MyAuditVal&lt;&gt;"",_xlpm.MyAuditVal,_xlpm.MacVal&lt;&gt;"",_xlpm.MacVal,_xlpm.CSVVal&lt;&gt;"",_xlpm.CSVVal
)),"")</f>
        <v/>
      </c>
      <c r="G218" s="40" t="str" cm="1">
        <f t="array" ref="G218">IFERROR(_xlfn.LET(
_xlpm.CSVVal,_xlfn.XLOOKUP($A218,CSV!$A:$A,CSV!G:G,""),
_xlpm.MacVal,_xlfn.XLOOKUP($A218,Output_Mac!$A:$A,Output_Mac!F:F,""),
_xlpm.MyAuditVal,_xlfn.XLOOKUP($A218,My_Audit!$A:$A,My_Audit!F:F,""),
_xlfn.IFS(_xlpm.MyAuditVal&lt;&gt;"",_xlpm.MyAuditVal,_xlpm.MacVal&lt;&gt;"",_xlpm.MacVal,_xlpm.CSVVal&lt;&gt;"",PROPER(_xlpm.CSVVal)
)),"")</f>
        <v/>
      </c>
      <c r="H218" s="40" t="str" cm="1">
        <f t="array" ref="H218">IFERROR(_xlfn.LET(
_xlpm.CSVVal,_xlfn.XLOOKUP($A218,CSV!$A:$A,CSV!H:H,""),
_xlpm.MacVal,_xlfn.XLOOKUP($A218,Output_Mac!$A:$A,Output_Mac!H:H,""),
_xlpm.MyAuditVal,_xlfn.XLOOKUP($A218,My_Audit!$A:$A,My_Audit!G:G,""),
_xlfn.IFS(_xlpm.MyAuditVal&lt;&gt;"",_xlpm.MyAuditVal,_xlpm.MacVal&lt;&gt;"",_xlpm.MacVal,_xlpm.CSVVal&lt;&gt;"",_xlpm.CSVVal
)),"")</f>
        <v/>
      </c>
      <c r="I218" s="40" t="str">
        <f>_xlfn.XLOOKUP(A218,Output_Mac!A:A,Output_Mac!I:I,"")</f>
        <v/>
      </c>
      <c r="J218" s="40" t="str" cm="1">
        <f t="array" ref="J218">IFERROR(_xlfn.LET(
_xlpm.CSVVal,_xlfn.XLOOKUP($A218,CSV!$A:$A,CSV!I:I,""),
_xlpm.MacVal,_xlfn.XLOOKUP($A218,Output_Mac!$A:$A,Output_Mac!J:J,""),
_xlpm.MyAuditVal,_xlfn.XLOOKUP($A218,My_Audit!$A:$A,My_Audit!I:I,""),
_xlfn.IFS(_xlpm.MyAuditVal&lt;&gt;"",UPPER(_xlpm.MyAuditVal),_xlpm.MacVal&lt;&gt;"",_xlpm.MacVal,_xlpm.CSVVal&lt;&gt;"",_xlpm.CSVVal
)),"")</f>
        <v/>
      </c>
      <c r="K218" s="40" t="str" cm="1">
        <f t="array" ref="K218">IFERROR(_xlfn.LET(
_xlpm.CSVVal,_xlfn.XLOOKUP($A218,CSV!$A:$A,CSV!K:K,""),
_xlpm.MacVal,_xlfn.XLOOKUP($A218,Output_Mac!$A:$A,Output_Mac!K:K,""),
_xlpm.MyAuditVal,_xlfn.XLOOKUP($A218,My_Audit!$A:$A,My_Audit!J:J,""),
_xlfn.IFS(_xlpm.MyAuditVal&lt;&gt;"",UPPER(_xlpm.MyAuditVal),_xlpm.MacVal&lt;&gt;"",_xlpm.MacVal,_xlpm.CSVVal&lt;&gt;"",_xlpm.CSVVal
)),"")</f>
        <v/>
      </c>
      <c r="L218" s="40" t="str" cm="1">
        <f t="array" ref="L218">IFERROR(_xlfn.LET(
_xlpm.CSVVal,_xlfn.XLOOKUP($A218,CSV!$A:$A,CSV!P:P,""),
_xlpm.MacVal,_xlfn.XLOOKUP($A218,Output_Mac!$A:$A,Output_Mac!L:L,""),
_xlpm.MyAuditVal,_xlfn.XLOOKUP($A218,My_Audit!$A:$A,My_Audit!K:K,""),
_xlfn.IFS(_xlpm.MyAuditVal&lt;&gt;"",UPPER(_xlpm.MyAuditVal),_xlpm.MacVal&lt;&gt;"",_xlpm.MacVal,_xlpm.CSVVal&lt;&gt;"",_xlpm.CSVVal
)),"")</f>
        <v/>
      </c>
      <c r="M218" s="40" t="str" cm="1">
        <f t="array" ref="M218">IFERROR(_xlfn.LET(
_xlpm.CSVVal,_xlfn.XLOOKUP($A218,CSV!$A:$A,CSV!Q:Q,""),
_xlpm.MacVal,_xlfn.XLOOKUP($A218,Output_Mac!$A:$A,Output_Mac!M:M,""),
_xlpm.MyAuditVal,_xlfn.XLOOKUP($A218,My_Audit!$A:$A,My_Audit!L:L,""),
_xlfn.IFS(_xlpm.MyAuditVal&lt;&gt;"",UPPER(_xlpm.MyAuditVal),_xlpm.MacVal&lt;&gt;"",_xlpm.MacVal,_xlpm.CSVVal&lt;&gt;"",_xlpm.CSVVal
)),"")</f>
        <v/>
      </c>
      <c r="N218" s="40"/>
      <c r="O218" s="40" t="str">
        <f>_xlfn.LET(
    _xlpm.CSVVal, _xlfn.XLOOKUP($A218, CSV!$A:$A, CSV!AA:AA, ""),
    _xlpm.MacVal, _xlfn.XLOOKUP($A218, Output_Mac!$A:$A, Output_Mac!S:S, ""),
    _xlpm.MyAuditVal, _xlfn.XLOOKUP($A218, My_Audit!$A:$A, My_Audit!P:P, ""),
    _xlfn.TEXTJOIN(", ", TRUE, _xlpm.MyAuditVal, _xlpm.MacVal, _xlpm.CSVVal)
)</f>
        <v/>
      </c>
      <c r="P218" s="40" t="str" cm="1">
        <f t="array" ref="P218">IFERROR(_xlfn.LET(
_xlpm.CSVVal,_xlfn.XLOOKUP($A218,CSV!$A:$A,CSV!AB:AB,""),
_xlpm.MacVal,_xlfn.XLOOKUP($A218,Output_Mac!$A:$A,Output_Mac!T:T,""),
_xlpm.MyAuditVal,_xlfn.XLOOKUP($A218,My_Audit!$A:$A,My_Audit!Q:Q,""),
_xlfn.IFS(_xlpm.MyAuditVal&lt;&gt;"",UPPER(_xlpm.MyAuditVal),_xlpm.MacVal&lt;&gt;"",_xlpm.MacVal,_xlpm.CSVVal&lt;&gt;"",_xlpm.CSVVal
)),"No")</f>
        <v>No</v>
      </c>
      <c r="Q218" s="40" t="str" cm="1">
        <f t="array" ref="Q218">IFERROR(_xlfn.LET(
_xlpm.CSVVal,_xlfn.XLOOKUP($A218,CSV!$A:$A,CSV!AC:AC,""),
_xlpm.MacVal,_xlfn.XLOOKUP($A218,Output_Mac!$A:$A,Output_Mac!U:U,""),
_xlpm.MyAuditVal,_xlfn.XLOOKUP($A218,My_Audit!$A:$A,My_Audit!R:R,""),
_xlfn.IFS(_xlpm.MyAuditVal&lt;&gt;"",UPPER(_xlpm.MyAuditVal),_xlpm.MacVal&lt;&gt;"",_xlpm.MacVal,_xlpm.CSVVal&lt;&gt;"",_xlpm.CSVVal
)),"")</f>
        <v/>
      </c>
      <c r="R218" s="40"/>
      <c r="S218" s="40"/>
      <c r="T218" s="40"/>
      <c r="U218" s="40"/>
      <c r="V218" s="40"/>
      <c r="W218" s="40"/>
      <c r="X218" s="41" t="str">
        <f>_xlfn.LET(
    _xlpm.MacVal, _xlfn.XLOOKUP($A218, Output_Mac!$A:$A, Output_Mac!AB:AB, ""),
    _xlpm.MyAuditVal, _xlfn.XLOOKUP($A218, My_Audit!$A:$A, My_Audit!N:N, ""),
    _xlfn.TEXTJOIN(", ", TRUE, _xlpm.MyAuditVal, _xlpm.MacVal)
)</f>
        <v/>
      </c>
    </row>
    <row r="219" spans="1:24">
      <c r="A219" s="40" t="str">
        <f>_xlfn.TEXTJOIN("",TRUE,Input!$B$2,ROW(My_Audit!A218))</f>
        <v>X218</v>
      </c>
      <c r="B219" s="40" t="str">
        <f>_xlfn.TEXTJOIN("-",TRUE,"ITD",Input!$A$2,A219)</f>
        <v>ITD-X218</v>
      </c>
      <c r="C219" s="40" t="str" cm="1">
        <f t="array" ref="C219">IFERROR(_xlfn.LET(
_xlpm.CSVVal,_xlfn.XLOOKUP($A219,CSV!$A:$A,CSV!B:B,""),
_xlpm.MacVal,_xlfn.XLOOKUP($A219,Output_Mac!$A:$A,Output_Mac!B:B,""),
_xlpm.MyAuditVal,_xlfn.XLOOKUP($A219,My_Audit!$A:$A,My_Audit!B:B,""),
_xlfn.IFS(_xlpm.MyAuditVal&lt;&gt;"",UPPER(_xlpm.MyAuditVal),_xlpm.MacVal&lt;&gt;"",_xlpm.MacVal,_xlpm.CSVVal&lt;&gt;"",_xlpm.CSVVal
)),"")</f>
        <v/>
      </c>
      <c r="D219" s="40" t="str" cm="1">
        <f t="array" ref="D219">IFERROR(_xlfn.LET(
_xlpm.CSVVal,_xlfn.XLOOKUP($A219,CSV!$A:$A,CSV!D:D,""),
_xlpm.MacVal,_xlfn.XLOOKUP($A219,Output_Mac!$A:$A,Output_Mac!C:C,""),
_xlpm.MyAuditVal,_xlfn.XLOOKUP($A219,My_Audit!$A:$A,My_Audit!C:C,""),
_xlfn.IFS(_xlpm.MyAuditVal&lt;&gt;"",_xlpm.MyAuditVal,_xlpm.MacVal&lt;&gt;"",_xlpm.MacVal,_xlpm.CSVVal&lt;&gt;"",_xlpm.CSVVal
)),"")</f>
        <v/>
      </c>
      <c r="E219" s="40">
        <f>_xlfn.XLOOKUP(A219,My_Audit!A:A,My_Audit!D:D,"")</f>
        <v>0</v>
      </c>
      <c r="F219" s="40" t="str" cm="1">
        <f t="array" ref="F219">IFERROR(_xlfn.LET(
_xlpm.CSVVal,_xlfn.XLOOKUP($A219,CSV!$A:$A,CSV!F:F,""),
_xlpm.MacVal,_xlfn.XLOOKUP($A219,Output_Mac!$A:$A,Output_Mac!E:E,""),
_xlpm.MyAuditVal,_xlfn.XLOOKUP($A219,My_Audit!$A:$A,My_Audit!E:E,""),
_xlfn.IFS(_xlpm.MyAuditVal&lt;&gt;"",_xlpm.MyAuditVal,_xlpm.MacVal&lt;&gt;"",_xlpm.MacVal,_xlpm.CSVVal&lt;&gt;"",_xlpm.CSVVal
)),"")</f>
        <v/>
      </c>
      <c r="G219" s="40" t="str" cm="1">
        <f t="array" ref="G219">IFERROR(_xlfn.LET(
_xlpm.CSVVal,_xlfn.XLOOKUP($A219,CSV!$A:$A,CSV!G:G,""),
_xlpm.MacVal,_xlfn.XLOOKUP($A219,Output_Mac!$A:$A,Output_Mac!F:F,""),
_xlpm.MyAuditVal,_xlfn.XLOOKUP($A219,My_Audit!$A:$A,My_Audit!F:F,""),
_xlfn.IFS(_xlpm.MyAuditVal&lt;&gt;"",_xlpm.MyAuditVal,_xlpm.MacVal&lt;&gt;"",_xlpm.MacVal,_xlpm.CSVVal&lt;&gt;"",PROPER(_xlpm.CSVVal)
)),"")</f>
        <v/>
      </c>
      <c r="H219" s="40" t="str" cm="1">
        <f t="array" ref="H219">IFERROR(_xlfn.LET(
_xlpm.CSVVal,_xlfn.XLOOKUP($A219,CSV!$A:$A,CSV!H:H,""),
_xlpm.MacVal,_xlfn.XLOOKUP($A219,Output_Mac!$A:$A,Output_Mac!H:H,""),
_xlpm.MyAuditVal,_xlfn.XLOOKUP($A219,My_Audit!$A:$A,My_Audit!G:G,""),
_xlfn.IFS(_xlpm.MyAuditVal&lt;&gt;"",_xlpm.MyAuditVal,_xlpm.MacVal&lt;&gt;"",_xlpm.MacVal,_xlpm.CSVVal&lt;&gt;"",_xlpm.CSVVal
)),"")</f>
        <v/>
      </c>
      <c r="I219" s="40" t="str">
        <f>_xlfn.XLOOKUP(A219,Output_Mac!A:A,Output_Mac!I:I,"")</f>
        <v/>
      </c>
      <c r="J219" s="40" t="str" cm="1">
        <f t="array" ref="J219">IFERROR(_xlfn.LET(
_xlpm.CSVVal,_xlfn.XLOOKUP($A219,CSV!$A:$A,CSV!I:I,""),
_xlpm.MacVal,_xlfn.XLOOKUP($A219,Output_Mac!$A:$A,Output_Mac!J:J,""),
_xlpm.MyAuditVal,_xlfn.XLOOKUP($A219,My_Audit!$A:$A,My_Audit!I:I,""),
_xlfn.IFS(_xlpm.MyAuditVal&lt;&gt;"",UPPER(_xlpm.MyAuditVal),_xlpm.MacVal&lt;&gt;"",_xlpm.MacVal,_xlpm.CSVVal&lt;&gt;"",_xlpm.CSVVal
)),"")</f>
        <v/>
      </c>
      <c r="K219" s="40" t="str" cm="1">
        <f t="array" ref="K219">IFERROR(_xlfn.LET(
_xlpm.CSVVal,_xlfn.XLOOKUP($A219,CSV!$A:$A,CSV!K:K,""),
_xlpm.MacVal,_xlfn.XLOOKUP($A219,Output_Mac!$A:$A,Output_Mac!K:K,""),
_xlpm.MyAuditVal,_xlfn.XLOOKUP($A219,My_Audit!$A:$A,My_Audit!J:J,""),
_xlfn.IFS(_xlpm.MyAuditVal&lt;&gt;"",UPPER(_xlpm.MyAuditVal),_xlpm.MacVal&lt;&gt;"",_xlpm.MacVal,_xlpm.CSVVal&lt;&gt;"",_xlpm.CSVVal
)),"")</f>
        <v/>
      </c>
      <c r="L219" s="40" t="str" cm="1">
        <f t="array" ref="L219">IFERROR(_xlfn.LET(
_xlpm.CSVVal,_xlfn.XLOOKUP($A219,CSV!$A:$A,CSV!P:P,""),
_xlpm.MacVal,_xlfn.XLOOKUP($A219,Output_Mac!$A:$A,Output_Mac!L:L,""),
_xlpm.MyAuditVal,_xlfn.XLOOKUP($A219,My_Audit!$A:$A,My_Audit!K:K,""),
_xlfn.IFS(_xlpm.MyAuditVal&lt;&gt;"",UPPER(_xlpm.MyAuditVal),_xlpm.MacVal&lt;&gt;"",_xlpm.MacVal,_xlpm.CSVVal&lt;&gt;"",_xlpm.CSVVal
)),"")</f>
        <v/>
      </c>
      <c r="M219" s="40" t="str" cm="1">
        <f t="array" ref="M219">IFERROR(_xlfn.LET(
_xlpm.CSVVal,_xlfn.XLOOKUP($A219,CSV!$A:$A,CSV!Q:Q,""),
_xlpm.MacVal,_xlfn.XLOOKUP($A219,Output_Mac!$A:$A,Output_Mac!M:M,""),
_xlpm.MyAuditVal,_xlfn.XLOOKUP($A219,My_Audit!$A:$A,My_Audit!L:L,""),
_xlfn.IFS(_xlpm.MyAuditVal&lt;&gt;"",UPPER(_xlpm.MyAuditVal),_xlpm.MacVal&lt;&gt;"",_xlpm.MacVal,_xlpm.CSVVal&lt;&gt;"",_xlpm.CSVVal
)),"")</f>
        <v/>
      </c>
      <c r="N219" s="40"/>
      <c r="O219" s="40" t="str">
        <f>_xlfn.LET(
    _xlpm.CSVVal, _xlfn.XLOOKUP($A219, CSV!$A:$A, CSV!AA:AA, ""),
    _xlpm.MacVal, _xlfn.XLOOKUP($A219, Output_Mac!$A:$A, Output_Mac!S:S, ""),
    _xlpm.MyAuditVal, _xlfn.XLOOKUP($A219, My_Audit!$A:$A, My_Audit!P:P, ""),
    _xlfn.TEXTJOIN(", ", TRUE, _xlpm.MyAuditVal, _xlpm.MacVal, _xlpm.CSVVal)
)</f>
        <v/>
      </c>
      <c r="P219" s="40" t="str" cm="1">
        <f t="array" ref="P219">IFERROR(_xlfn.LET(
_xlpm.CSVVal,_xlfn.XLOOKUP($A219,CSV!$A:$A,CSV!AB:AB,""),
_xlpm.MacVal,_xlfn.XLOOKUP($A219,Output_Mac!$A:$A,Output_Mac!T:T,""),
_xlpm.MyAuditVal,_xlfn.XLOOKUP($A219,My_Audit!$A:$A,My_Audit!Q:Q,""),
_xlfn.IFS(_xlpm.MyAuditVal&lt;&gt;"",UPPER(_xlpm.MyAuditVal),_xlpm.MacVal&lt;&gt;"",_xlpm.MacVal,_xlpm.CSVVal&lt;&gt;"",_xlpm.CSVVal
)),"No")</f>
        <v>No</v>
      </c>
      <c r="Q219" s="40" t="str" cm="1">
        <f t="array" ref="Q219">IFERROR(_xlfn.LET(
_xlpm.CSVVal,_xlfn.XLOOKUP($A219,CSV!$A:$A,CSV!AC:AC,""),
_xlpm.MacVal,_xlfn.XLOOKUP($A219,Output_Mac!$A:$A,Output_Mac!U:U,""),
_xlpm.MyAuditVal,_xlfn.XLOOKUP($A219,My_Audit!$A:$A,My_Audit!R:R,""),
_xlfn.IFS(_xlpm.MyAuditVal&lt;&gt;"",UPPER(_xlpm.MyAuditVal),_xlpm.MacVal&lt;&gt;"",_xlpm.MacVal,_xlpm.CSVVal&lt;&gt;"",_xlpm.CSVVal
)),"")</f>
        <v/>
      </c>
      <c r="R219" s="40"/>
      <c r="S219" s="40"/>
      <c r="T219" s="40"/>
      <c r="U219" s="40"/>
      <c r="V219" s="40"/>
      <c r="W219" s="40"/>
      <c r="X219" s="41" t="str">
        <f>_xlfn.LET(
    _xlpm.MacVal, _xlfn.XLOOKUP($A219, Output_Mac!$A:$A, Output_Mac!AB:AB, ""),
    _xlpm.MyAuditVal, _xlfn.XLOOKUP($A219, My_Audit!$A:$A, My_Audit!N:N, ""),
    _xlfn.TEXTJOIN(", ", TRUE, _xlpm.MyAuditVal, _xlpm.MacVal)
)</f>
        <v/>
      </c>
    </row>
    <row r="220" spans="1:24">
      <c r="A220" s="40" t="str">
        <f>_xlfn.TEXTJOIN("",TRUE,Input!$B$2,ROW(My_Audit!A219))</f>
        <v>X219</v>
      </c>
      <c r="B220" s="40" t="str">
        <f>_xlfn.TEXTJOIN("-",TRUE,"ITD",Input!$A$2,A220)</f>
        <v>ITD-X219</v>
      </c>
      <c r="C220" s="40" t="str" cm="1">
        <f t="array" ref="C220">IFERROR(_xlfn.LET(
_xlpm.CSVVal,_xlfn.XLOOKUP($A220,CSV!$A:$A,CSV!B:B,""),
_xlpm.MacVal,_xlfn.XLOOKUP($A220,Output_Mac!$A:$A,Output_Mac!B:B,""),
_xlpm.MyAuditVal,_xlfn.XLOOKUP($A220,My_Audit!$A:$A,My_Audit!B:B,""),
_xlfn.IFS(_xlpm.MyAuditVal&lt;&gt;"",UPPER(_xlpm.MyAuditVal),_xlpm.MacVal&lt;&gt;"",_xlpm.MacVal,_xlpm.CSVVal&lt;&gt;"",_xlpm.CSVVal
)),"")</f>
        <v/>
      </c>
      <c r="D220" s="40" t="str" cm="1">
        <f t="array" ref="D220">IFERROR(_xlfn.LET(
_xlpm.CSVVal,_xlfn.XLOOKUP($A220,CSV!$A:$A,CSV!D:D,""),
_xlpm.MacVal,_xlfn.XLOOKUP($A220,Output_Mac!$A:$A,Output_Mac!C:C,""),
_xlpm.MyAuditVal,_xlfn.XLOOKUP($A220,My_Audit!$A:$A,My_Audit!C:C,""),
_xlfn.IFS(_xlpm.MyAuditVal&lt;&gt;"",_xlpm.MyAuditVal,_xlpm.MacVal&lt;&gt;"",_xlpm.MacVal,_xlpm.CSVVal&lt;&gt;"",_xlpm.CSVVal
)),"")</f>
        <v/>
      </c>
      <c r="E220" s="40">
        <f>_xlfn.XLOOKUP(A220,My_Audit!A:A,My_Audit!D:D,"")</f>
        <v>0</v>
      </c>
      <c r="F220" s="40" t="str" cm="1">
        <f t="array" ref="F220">IFERROR(_xlfn.LET(
_xlpm.CSVVal,_xlfn.XLOOKUP($A220,CSV!$A:$A,CSV!F:F,""),
_xlpm.MacVal,_xlfn.XLOOKUP($A220,Output_Mac!$A:$A,Output_Mac!E:E,""),
_xlpm.MyAuditVal,_xlfn.XLOOKUP($A220,My_Audit!$A:$A,My_Audit!E:E,""),
_xlfn.IFS(_xlpm.MyAuditVal&lt;&gt;"",_xlpm.MyAuditVal,_xlpm.MacVal&lt;&gt;"",_xlpm.MacVal,_xlpm.CSVVal&lt;&gt;"",_xlpm.CSVVal
)),"")</f>
        <v/>
      </c>
      <c r="G220" s="40" t="str" cm="1">
        <f t="array" ref="G220">IFERROR(_xlfn.LET(
_xlpm.CSVVal,_xlfn.XLOOKUP($A220,CSV!$A:$A,CSV!G:G,""),
_xlpm.MacVal,_xlfn.XLOOKUP($A220,Output_Mac!$A:$A,Output_Mac!F:F,""),
_xlpm.MyAuditVal,_xlfn.XLOOKUP($A220,My_Audit!$A:$A,My_Audit!F:F,""),
_xlfn.IFS(_xlpm.MyAuditVal&lt;&gt;"",_xlpm.MyAuditVal,_xlpm.MacVal&lt;&gt;"",_xlpm.MacVal,_xlpm.CSVVal&lt;&gt;"",PROPER(_xlpm.CSVVal)
)),"")</f>
        <v/>
      </c>
      <c r="H220" s="40" t="str" cm="1">
        <f t="array" ref="H220">IFERROR(_xlfn.LET(
_xlpm.CSVVal,_xlfn.XLOOKUP($A220,CSV!$A:$A,CSV!H:H,""),
_xlpm.MacVal,_xlfn.XLOOKUP($A220,Output_Mac!$A:$A,Output_Mac!H:H,""),
_xlpm.MyAuditVal,_xlfn.XLOOKUP($A220,My_Audit!$A:$A,My_Audit!G:G,""),
_xlfn.IFS(_xlpm.MyAuditVal&lt;&gt;"",_xlpm.MyAuditVal,_xlpm.MacVal&lt;&gt;"",_xlpm.MacVal,_xlpm.CSVVal&lt;&gt;"",_xlpm.CSVVal
)),"")</f>
        <v/>
      </c>
      <c r="I220" s="40" t="str">
        <f>_xlfn.XLOOKUP(A220,Output_Mac!A:A,Output_Mac!I:I,"")</f>
        <v/>
      </c>
      <c r="J220" s="40" t="str" cm="1">
        <f t="array" ref="J220">IFERROR(_xlfn.LET(
_xlpm.CSVVal,_xlfn.XLOOKUP($A220,CSV!$A:$A,CSV!I:I,""),
_xlpm.MacVal,_xlfn.XLOOKUP($A220,Output_Mac!$A:$A,Output_Mac!J:J,""),
_xlpm.MyAuditVal,_xlfn.XLOOKUP($A220,My_Audit!$A:$A,My_Audit!I:I,""),
_xlfn.IFS(_xlpm.MyAuditVal&lt;&gt;"",UPPER(_xlpm.MyAuditVal),_xlpm.MacVal&lt;&gt;"",_xlpm.MacVal,_xlpm.CSVVal&lt;&gt;"",_xlpm.CSVVal
)),"")</f>
        <v/>
      </c>
      <c r="K220" s="40" t="str" cm="1">
        <f t="array" ref="K220">IFERROR(_xlfn.LET(
_xlpm.CSVVal,_xlfn.XLOOKUP($A220,CSV!$A:$A,CSV!K:K,""),
_xlpm.MacVal,_xlfn.XLOOKUP($A220,Output_Mac!$A:$A,Output_Mac!K:K,""),
_xlpm.MyAuditVal,_xlfn.XLOOKUP($A220,My_Audit!$A:$A,My_Audit!J:J,""),
_xlfn.IFS(_xlpm.MyAuditVal&lt;&gt;"",UPPER(_xlpm.MyAuditVal),_xlpm.MacVal&lt;&gt;"",_xlpm.MacVal,_xlpm.CSVVal&lt;&gt;"",_xlpm.CSVVal
)),"")</f>
        <v/>
      </c>
      <c r="L220" s="40" t="str" cm="1">
        <f t="array" ref="L220">IFERROR(_xlfn.LET(
_xlpm.CSVVal,_xlfn.XLOOKUP($A220,CSV!$A:$A,CSV!P:P,""),
_xlpm.MacVal,_xlfn.XLOOKUP($A220,Output_Mac!$A:$A,Output_Mac!L:L,""),
_xlpm.MyAuditVal,_xlfn.XLOOKUP($A220,My_Audit!$A:$A,My_Audit!K:K,""),
_xlfn.IFS(_xlpm.MyAuditVal&lt;&gt;"",UPPER(_xlpm.MyAuditVal),_xlpm.MacVal&lt;&gt;"",_xlpm.MacVal,_xlpm.CSVVal&lt;&gt;"",_xlpm.CSVVal
)),"")</f>
        <v/>
      </c>
      <c r="M220" s="40" t="str" cm="1">
        <f t="array" ref="M220">IFERROR(_xlfn.LET(
_xlpm.CSVVal,_xlfn.XLOOKUP($A220,CSV!$A:$A,CSV!Q:Q,""),
_xlpm.MacVal,_xlfn.XLOOKUP($A220,Output_Mac!$A:$A,Output_Mac!M:M,""),
_xlpm.MyAuditVal,_xlfn.XLOOKUP($A220,My_Audit!$A:$A,My_Audit!L:L,""),
_xlfn.IFS(_xlpm.MyAuditVal&lt;&gt;"",UPPER(_xlpm.MyAuditVal),_xlpm.MacVal&lt;&gt;"",_xlpm.MacVal,_xlpm.CSVVal&lt;&gt;"",_xlpm.CSVVal
)),"")</f>
        <v/>
      </c>
      <c r="N220" s="40"/>
      <c r="O220" s="40" t="str">
        <f>_xlfn.LET(
    _xlpm.CSVVal, _xlfn.XLOOKUP($A220, CSV!$A:$A, CSV!AA:AA, ""),
    _xlpm.MacVal, _xlfn.XLOOKUP($A220, Output_Mac!$A:$A, Output_Mac!S:S, ""),
    _xlpm.MyAuditVal, _xlfn.XLOOKUP($A220, My_Audit!$A:$A, My_Audit!P:P, ""),
    _xlfn.TEXTJOIN(", ", TRUE, _xlpm.MyAuditVal, _xlpm.MacVal, _xlpm.CSVVal)
)</f>
        <v/>
      </c>
      <c r="P220" s="40" t="str" cm="1">
        <f t="array" ref="P220">IFERROR(_xlfn.LET(
_xlpm.CSVVal,_xlfn.XLOOKUP($A220,CSV!$A:$A,CSV!AB:AB,""),
_xlpm.MacVal,_xlfn.XLOOKUP($A220,Output_Mac!$A:$A,Output_Mac!T:T,""),
_xlpm.MyAuditVal,_xlfn.XLOOKUP($A220,My_Audit!$A:$A,My_Audit!Q:Q,""),
_xlfn.IFS(_xlpm.MyAuditVal&lt;&gt;"",UPPER(_xlpm.MyAuditVal),_xlpm.MacVal&lt;&gt;"",_xlpm.MacVal,_xlpm.CSVVal&lt;&gt;"",_xlpm.CSVVal
)),"No")</f>
        <v>No</v>
      </c>
      <c r="Q220" s="40" t="str" cm="1">
        <f t="array" ref="Q220">IFERROR(_xlfn.LET(
_xlpm.CSVVal,_xlfn.XLOOKUP($A220,CSV!$A:$A,CSV!AC:AC,""),
_xlpm.MacVal,_xlfn.XLOOKUP($A220,Output_Mac!$A:$A,Output_Mac!U:U,""),
_xlpm.MyAuditVal,_xlfn.XLOOKUP($A220,My_Audit!$A:$A,My_Audit!R:R,""),
_xlfn.IFS(_xlpm.MyAuditVal&lt;&gt;"",UPPER(_xlpm.MyAuditVal),_xlpm.MacVal&lt;&gt;"",_xlpm.MacVal,_xlpm.CSVVal&lt;&gt;"",_xlpm.CSVVal
)),"")</f>
        <v/>
      </c>
      <c r="R220" s="40"/>
      <c r="S220" s="40"/>
      <c r="T220" s="40"/>
      <c r="U220" s="40"/>
      <c r="V220" s="40"/>
      <c r="W220" s="40"/>
      <c r="X220" s="41" t="str">
        <f>_xlfn.LET(
    _xlpm.MacVal, _xlfn.XLOOKUP($A220, Output_Mac!$A:$A, Output_Mac!AB:AB, ""),
    _xlpm.MyAuditVal, _xlfn.XLOOKUP($A220, My_Audit!$A:$A, My_Audit!N:N, ""),
    _xlfn.TEXTJOIN(", ", TRUE, _xlpm.MyAuditVal, _xlpm.MacVal)
)</f>
        <v/>
      </c>
    </row>
    <row r="221" spans="1:24">
      <c r="A221" s="40" t="str">
        <f>_xlfn.TEXTJOIN("",TRUE,Input!$B$2,ROW(My_Audit!A220))</f>
        <v>X220</v>
      </c>
      <c r="B221" s="40" t="str">
        <f>_xlfn.TEXTJOIN("-",TRUE,"ITD",Input!$A$2,A221)</f>
        <v>ITD-X220</v>
      </c>
      <c r="C221" s="40" t="str" cm="1">
        <f t="array" ref="C221">IFERROR(_xlfn.LET(
_xlpm.CSVVal,_xlfn.XLOOKUP($A221,CSV!$A:$A,CSV!B:B,""),
_xlpm.MacVal,_xlfn.XLOOKUP($A221,Output_Mac!$A:$A,Output_Mac!B:B,""),
_xlpm.MyAuditVal,_xlfn.XLOOKUP($A221,My_Audit!$A:$A,My_Audit!B:B,""),
_xlfn.IFS(_xlpm.MyAuditVal&lt;&gt;"",UPPER(_xlpm.MyAuditVal),_xlpm.MacVal&lt;&gt;"",_xlpm.MacVal,_xlpm.CSVVal&lt;&gt;"",_xlpm.CSVVal
)),"")</f>
        <v/>
      </c>
      <c r="D221" s="40" t="str" cm="1">
        <f t="array" ref="D221">IFERROR(_xlfn.LET(
_xlpm.CSVVal,_xlfn.XLOOKUP($A221,CSV!$A:$A,CSV!D:D,""),
_xlpm.MacVal,_xlfn.XLOOKUP($A221,Output_Mac!$A:$A,Output_Mac!C:C,""),
_xlpm.MyAuditVal,_xlfn.XLOOKUP($A221,My_Audit!$A:$A,My_Audit!C:C,""),
_xlfn.IFS(_xlpm.MyAuditVal&lt;&gt;"",_xlpm.MyAuditVal,_xlpm.MacVal&lt;&gt;"",_xlpm.MacVal,_xlpm.CSVVal&lt;&gt;"",_xlpm.CSVVal
)),"")</f>
        <v/>
      </c>
      <c r="E221" s="40">
        <f>_xlfn.XLOOKUP(A221,My_Audit!A:A,My_Audit!D:D,"")</f>
        <v>0</v>
      </c>
      <c r="F221" s="40" t="str" cm="1">
        <f t="array" ref="F221">IFERROR(_xlfn.LET(
_xlpm.CSVVal,_xlfn.XLOOKUP($A221,CSV!$A:$A,CSV!F:F,""),
_xlpm.MacVal,_xlfn.XLOOKUP($A221,Output_Mac!$A:$A,Output_Mac!E:E,""),
_xlpm.MyAuditVal,_xlfn.XLOOKUP($A221,My_Audit!$A:$A,My_Audit!E:E,""),
_xlfn.IFS(_xlpm.MyAuditVal&lt;&gt;"",_xlpm.MyAuditVal,_xlpm.MacVal&lt;&gt;"",_xlpm.MacVal,_xlpm.CSVVal&lt;&gt;"",_xlpm.CSVVal
)),"")</f>
        <v/>
      </c>
      <c r="G221" s="40" t="str" cm="1">
        <f t="array" ref="G221">IFERROR(_xlfn.LET(
_xlpm.CSVVal,_xlfn.XLOOKUP($A221,CSV!$A:$A,CSV!G:G,""),
_xlpm.MacVal,_xlfn.XLOOKUP($A221,Output_Mac!$A:$A,Output_Mac!F:F,""),
_xlpm.MyAuditVal,_xlfn.XLOOKUP($A221,My_Audit!$A:$A,My_Audit!F:F,""),
_xlfn.IFS(_xlpm.MyAuditVal&lt;&gt;"",_xlpm.MyAuditVal,_xlpm.MacVal&lt;&gt;"",_xlpm.MacVal,_xlpm.CSVVal&lt;&gt;"",PROPER(_xlpm.CSVVal)
)),"")</f>
        <v/>
      </c>
      <c r="H221" s="40" t="str" cm="1">
        <f t="array" ref="H221">IFERROR(_xlfn.LET(
_xlpm.CSVVal,_xlfn.XLOOKUP($A221,CSV!$A:$A,CSV!H:H,""),
_xlpm.MacVal,_xlfn.XLOOKUP($A221,Output_Mac!$A:$A,Output_Mac!H:H,""),
_xlpm.MyAuditVal,_xlfn.XLOOKUP($A221,My_Audit!$A:$A,My_Audit!G:G,""),
_xlfn.IFS(_xlpm.MyAuditVal&lt;&gt;"",_xlpm.MyAuditVal,_xlpm.MacVal&lt;&gt;"",_xlpm.MacVal,_xlpm.CSVVal&lt;&gt;"",_xlpm.CSVVal
)),"")</f>
        <v/>
      </c>
      <c r="I221" s="40" t="str">
        <f>_xlfn.XLOOKUP(A221,Output_Mac!A:A,Output_Mac!I:I,"")</f>
        <v/>
      </c>
      <c r="J221" s="40" t="str" cm="1">
        <f t="array" ref="J221">IFERROR(_xlfn.LET(
_xlpm.CSVVal,_xlfn.XLOOKUP($A221,CSV!$A:$A,CSV!I:I,""),
_xlpm.MacVal,_xlfn.XLOOKUP($A221,Output_Mac!$A:$A,Output_Mac!J:J,""),
_xlpm.MyAuditVal,_xlfn.XLOOKUP($A221,My_Audit!$A:$A,My_Audit!I:I,""),
_xlfn.IFS(_xlpm.MyAuditVal&lt;&gt;"",UPPER(_xlpm.MyAuditVal),_xlpm.MacVal&lt;&gt;"",_xlpm.MacVal,_xlpm.CSVVal&lt;&gt;"",_xlpm.CSVVal
)),"")</f>
        <v/>
      </c>
      <c r="K221" s="40" t="str" cm="1">
        <f t="array" ref="K221">IFERROR(_xlfn.LET(
_xlpm.CSVVal,_xlfn.XLOOKUP($A221,CSV!$A:$A,CSV!K:K,""),
_xlpm.MacVal,_xlfn.XLOOKUP($A221,Output_Mac!$A:$A,Output_Mac!K:K,""),
_xlpm.MyAuditVal,_xlfn.XLOOKUP($A221,My_Audit!$A:$A,My_Audit!J:J,""),
_xlfn.IFS(_xlpm.MyAuditVal&lt;&gt;"",UPPER(_xlpm.MyAuditVal),_xlpm.MacVal&lt;&gt;"",_xlpm.MacVal,_xlpm.CSVVal&lt;&gt;"",_xlpm.CSVVal
)),"")</f>
        <v/>
      </c>
      <c r="L221" s="40" t="str" cm="1">
        <f t="array" ref="L221">IFERROR(_xlfn.LET(
_xlpm.CSVVal,_xlfn.XLOOKUP($A221,CSV!$A:$A,CSV!P:P,""),
_xlpm.MacVal,_xlfn.XLOOKUP($A221,Output_Mac!$A:$A,Output_Mac!L:L,""),
_xlpm.MyAuditVal,_xlfn.XLOOKUP($A221,My_Audit!$A:$A,My_Audit!K:K,""),
_xlfn.IFS(_xlpm.MyAuditVal&lt;&gt;"",UPPER(_xlpm.MyAuditVal),_xlpm.MacVal&lt;&gt;"",_xlpm.MacVal,_xlpm.CSVVal&lt;&gt;"",_xlpm.CSVVal
)),"")</f>
        <v/>
      </c>
      <c r="M221" s="40" t="str" cm="1">
        <f t="array" ref="M221">IFERROR(_xlfn.LET(
_xlpm.CSVVal,_xlfn.XLOOKUP($A221,CSV!$A:$A,CSV!Q:Q,""),
_xlpm.MacVal,_xlfn.XLOOKUP($A221,Output_Mac!$A:$A,Output_Mac!M:M,""),
_xlpm.MyAuditVal,_xlfn.XLOOKUP($A221,My_Audit!$A:$A,My_Audit!L:L,""),
_xlfn.IFS(_xlpm.MyAuditVal&lt;&gt;"",UPPER(_xlpm.MyAuditVal),_xlpm.MacVal&lt;&gt;"",_xlpm.MacVal,_xlpm.CSVVal&lt;&gt;"",_xlpm.CSVVal
)),"")</f>
        <v/>
      </c>
      <c r="N221" s="40"/>
      <c r="O221" s="40" t="str">
        <f>_xlfn.LET(
    _xlpm.CSVVal, _xlfn.XLOOKUP($A221, CSV!$A:$A, CSV!AA:AA, ""),
    _xlpm.MacVal, _xlfn.XLOOKUP($A221, Output_Mac!$A:$A, Output_Mac!S:S, ""),
    _xlpm.MyAuditVal, _xlfn.XLOOKUP($A221, My_Audit!$A:$A, My_Audit!P:P, ""),
    _xlfn.TEXTJOIN(", ", TRUE, _xlpm.MyAuditVal, _xlpm.MacVal, _xlpm.CSVVal)
)</f>
        <v/>
      </c>
      <c r="P221" s="40" t="str" cm="1">
        <f t="array" ref="P221">IFERROR(_xlfn.LET(
_xlpm.CSVVal,_xlfn.XLOOKUP($A221,CSV!$A:$A,CSV!AB:AB,""),
_xlpm.MacVal,_xlfn.XLOOKUP($A221,Output_Mac!$A:$A,Output_Mac!T:T,""),
_xlpm.MyAuditVal,_xlfn.XLOOKUP($A221,My_Audit!$A:$A,My_Audit!Q:Q,""),
_xlfn.IFS(_xlpm.MyAuditVal&lt;&gt;"",UPPER(_xlpm.MyAuditVal),_xlpm.MacVal&lt;&gt;"",_xlpm.MacVal,_xlpm.CSVVal&lt;&gt;"",_xlpm.CSVVal
)),"No")</f>
        <v>No</v>
      </c>
      <c r="Q221" s="40" t="str" cm="1">
        <f t="array" ref="Q221">IFERROR(_xlfn.LET(
_xlpm.CSVVal,_xlfn.XLOOKUP($A221,CSV!$A:$A,CSV!AC:AC,""),
_xlpm.MacVal,_xlfn.XLOOKUP($A221,Output_Mac!$A:$A,Output_Mac!U:U,""),
_xlpm.MyAuditVal,_xlfn.XLOOKUP($A221,My_Audit!$A:$A,My_Audit!R:R,""),
_xlfn.IFS(_xlpm.MyAuditVal&lt;&gt;"",UPPER(_xlpm.MyAuditVal),_xlpm.MacVal&lt;&gt;"",_xlpm.MacVal,_xlpm.CSVVal&lt;&gt;"",_xlpm.CSVVal
)),"")</f>
        <v/>
      </c>
      <c r="R221" s="40"/>
      <c r="S221" s="40"/>
      <c r="T221" s="40"/>
      <c r="U221" s="40"/>
      <c r="V221" s="40"/>
      <c r="W221" s="40"/>
      <c r="X221" s="41" t="str">
        <f>_xlfn.LET(
    _xlpm.MacVal, _xlfn.XLOOKUP($A221, Output_Mac!$A:$A, Output_Mac!AB:AB, ""),
    _xlpm.MyAuditVal, _xlfn.XLOOKUP($A221, My_Audit!$A:$A, My_Audit!N:N, ""),
    _xlfn.TEXTJOIN(", ", TRUE, _xlpm.MyAuditVal, _xlpm.MacVal)
)</f>
        <v/>
      </c>
    </row>
    <row r="222" spans="1:24">
      <c r="A222" s="40" t="str">
        <f>_xlfn.TEXTJOIN("",TRUE,Input!$B$2,ROW(My_Audit!A221))</f>
        <v>X221</v>
      </c>
      <c r="B222" s="40" t="str">
        <f>_xlfn.TEXTJOIN("-",TRUE,"ITD",Input!$A$2,A222)</f>
        <v>ITD-X221</v>
      </c>
      <c r="C222" s="40" t="str" cm="1">
        <f t="array" ref="C222">IFERROR(_xlfn.LET(
_xlpm.CSVVal,_xlfn.XLOOKUP($A222,CSV!$A:$A,CSV!B:B,""),
_xlpm.MacVal,_xlfn.XLOOKUP($A222,Output_Mac!$A:$A,Output_Mac!B:B,""),
_xlpm.MyAuditVal,_xlfn.XLOOKUP($A222,My_Audit!$A:$A,My_Audit!B:B,""),
_xlfn.IFS(_xlpm.MyAuditVal&lt;&gt;"",UPPER(_xlpm.MyAuditVal),_xlpm.MacVal&lt;&gt;"",_xlpm.MacVal,_xlpm.CSVVal&lt;&gt;"",_xlpm.CSVVal
)),"")</f>
        <v/>
      </c>
      <c r="D222" s="40" t="str" cm="1">
        <f t="array" ref="D222">IFERROR(_xlfn.LET(
_xlpm.CSVVal,_xlfn.XLOOKUP($A222,CSV!$A:$A,CSV!D:D,""),
_xlpm.MacVal,_xlfn.XLOOKUP($A222,Output_Mac!$A:$A,Output_Mac!C:C,""),
_xlpm.MyAuditVal,_xlfn.XLOOKUP($A222,My_Audit!$A:$A,My_Audit!C:C,""),
_xlfn.IFS(_xlpm.MyAuditVal&lt;&gt;"",_xlpm.MyAuditVal,_xlpm.MacVal&lt;&gt;"",_xlpm.MacVal,_xlpm.CSVVal&lt;&gt;"",_xlpm.CSVVal
)),"")</f>
        <v/>
      </c>
      <c r="E222" s="40">
        <f>_xlfn.XLOOKUP(A222,My_Audit!A:A,My_Audit!D:D,"")</f>
        <v>0</v>
      </c>
      <c r="F222" s="40" t="str" cm="1">
        <f t="array" ref="F222">IFERROR(_xlfn.LET(
_xlpm.CSVVal,_xlfn.XLOOKUP($A222,CSV!$A:$A,CSV!F:F,""),
_xlpm.MacVal,_xlfn.XLOOKUP($A222,Output_Mac!$A:$A,Output_Mac!E:E,""),
_xlpm.MyAuditVal,_xlfn.XLOOKUP($A222,My_Audit!$A:$A,My_Audit!E:E,""),
_xlfn.IFS(_xlpm.MyAuditVal&lt;&gt;"",_xlpm.MyAuditVal,_xlpm.MacVal&lt;&gt;"",_xlpm.MacVal,_xlpm.CSVVal&lt;&gt;"",_xlpm.CSVVal
)),"")</f>
        <v/>
      </c>
      <c r="G222" s="40" t="str" cm="1">
        <f t="array" ref="G222">IFERROR(_xlfn.LET(
_xlpm.CSVVal,_xlfn.XLOOKUP($A222,CSV!$A:$A,CSV!G:G,""),
_xlpm.MacVal,_xlfn.XLOOKUP($A222,Output_Mac!$A:$A,Output_Mac!F:F,""),
_xlpm.MyAuditVal,_xlfn.XLOOKUP($A222,My_Audit!$A:$A,My_Audit!F:F,""),
_xlfn.IFS(_xlpm.MyAuditVal&lt;&gt;"",_xlpm.MyAuditVal,_xlpm.MacVal&lt;&gt;"",_xlpm.MacVal,_xlpm.CSVVal&lt;&gt;"",PROPER(_xlpm.CSVVal)
)),"")</f>
        <v/>
      </c>
      <c r="H222" s="40" t="str" cm="1">
        <f t="array" ref="H222">IFERROR(_xlfn.LET(
_xlpm.CSVVal,_xlfn.XLOOKUP($A222,CSV!$A:$A,CSV!H:H,""),
_xlpm.MacVal,_xlfn.XLOOKUP($A222,Output_Mac!$A:$A,Output_Mac!H:H,""),
_xlpm.MyAuditVal,_xlfn.XLOOKUP($A222,My_Audit!$A:$A,My_Audit!G:G,""),
_xlfn.IFS(_xlpm.MyAuditVal&lt;&gt;"",_xlpm.MyAuditVal,_xlpm.MacVal&lt;&gt;"",_xlpm.MacVal,_xlpm.CSVVal&lt;&gt;"",_xlpm.CSVVal
)),"")</f>
        <v/>
      </c>
      <c r="I222" s="40" t="str">
        <f>_xlfn.XLOOKUP(A222,Output_Mac!A:A,Output_Mac!I:I,"")</f>
        <v/>
      </c>
      <c r="J222" s="40" t="str" cm="1">
        <f t="array" ref="J222">IFERROR(_xlfn.LET(
_xlpm.CSVVal,_xlfn.XLOOKUP($A222,CSV!$A:$A,CSV!I:I,""),
_xlpm.MacVal,_xlfn.XLOOKUP($A222,Output_Mac!$A:$A,Output_Mac!J:J,""),
_xlpm.MyAuditVal,_xlfn.XLOOKUP($A222,My_Audit!$A:$A,My_Audit!I:I,""),
_xlfn.IFS(_xlpm.MyAuditVal&lt;&gt;"",UPPER(_xlpm.MyAuditVal),_xlpm.MacVal&lt;&gt;"",_xlpm.MacVal,_xlpm.CSVVal&lt;&gt;"",_xlpm.CSVVal
)),"")</f>
        <v/>
      </c>
      <c r="K222" s="40" t="str" cm="1">
        <f t="array" ref="K222">IFERROR(_xlfn.LET(
_xlpm.CSVVal,_xlfn.XLOOKUP($A222,CSV!$A:$A,CSV!K:K,""),
_xlpm.MacVal,_xlfn.XLOOKUP($A222,Output_Mac!$A:$A,Output_Mac!K:K,""),
_xlpm.MyAuditVal,_xlfn.XLOOKUP($A222,My_Audit!$A:$A,My_Audit!J:J,""),
_xlfn.IFS(_xlpm.MyAuditVal&lt;&gt;"",UPPER(_xlpm.MyAuditVal),_xlpm.MacVal&lt;&gt;"",_xlpm.MacVal,_xlpm.CSVVal&lt;&gt;"",_xlpm.CSVVal
)),"")</f>
        <v/>
      </c>
      <c r="L222" s="40" t="str" cm="1">
        <f t="array" ref="L222">IFERROR(_xlfn.LET(
_xlpm.CSVVal,_xlfn.XLOOKUP($A222,CSV!$A:$A,CSV!P:P,""),
_xlpm.MacVal,_xlfn.XLOOKUP($A222,Output_Mac!$A:$A,Output_Mac!L:L,""),
_xlpm.MyAuditVal,_xlfn.XLOOKUP($A222,My_Audit!$A:$A,My_Audit!K:K,""),
_xlfn.IFS(_xlpm.MyAuditVal&lt;&gt;"",UPPER(_xlpm.MyAuditVal),_xlpm.MacVal&lt;&gt;"",_xlpm.MacVal,_xlpm.CSVVal&lt;&gt;"",_xlpm.CSVVal
)),"")</f>
        <v/>
      </c>
      <c r="M222" s="40" t="str" cm="1">
        <f t="array" ref="M222">IFERROR(_xlfn.LET(
_xlpm.CSVVal,_xlfn.XLOOKUP($A222,CSV!$A:$A,CSV!Q:Q,""),
_xlpm.MacVal,_xlfn.XLOOKUP($A222,Output_Mac!$A:$A,Output_Mac!M:M,""),
_xlpm.MyAuditVal,_xlfn.XLOOKUP($A222,My_Audit!$A:$A,My_Audit!L:L,""),
_xlfn.IFS(_xlpm.MyAuditVal&lt;&gt;"",UPPER(_xlpm.MyAuditVal),_xlpm.MacVal&lt;&gt;"",_xlpm.MacVal,_xlpm.CSVVal&lt;&gt;"",_xlpm.CSVVal
)),"")</f>
        <v/>
      </c>
      <c r="N222" s="40"/>
      <c r="O222" s="40" t="str">
        <f>_xlfn.LET(
    _xlpm.CSVVal, _xlfn.XLOOKUP($A222, CSV!$A:$A, CSV!AA:AA, ""),
    _xlpm.MacVal, _xlfn.XLOOKUP($A222, Output_Mac!$A:$A, Output_Mac!S:S, ""),
    _xlpm.MyAuditVal, _xlfn.XLOOKUP($A222, My_Audit!$A:$A, My_Audit!P:P, ""),
    _xlfn.TEXTJOIN(", ", TRUE, _xlpm.MyAuditVal, _xlpm.MacVal, _xlpm.CSVVal)
)</f>
        <v/>
      </c>
      <c r="P222" s="40" t="str" cm="1">
        <f t="array" ref="P222">IFERROR(_xlfn.LET(
_xlpm.CSVVal,_xlfn.XLOOKUP($A222,CSV!$A:$A,CSV!AB:AB,""),
_xlpm.MacVal,_xlfn.XLOOKUP($A222,Output_Mac!$A:$A,Output_Mac!T:T,""),
_xlpm.MyAuditVal,_xlfn.XLOOKUP($A222,My_Audit!$A:$A,My_Audit!Q:Q,""),
_xlfn.IFS(_xlpm.MyAuditVal&lt;&gt;"",UPPER(_xlpm.MyAuditVal),_xlpm.MacVal&lt;&gt;"",_xlpm.MacVal,_xlpm.CSVVal&lt;&gt;"",_xlpm.CSVVal
)),"No")</f>
        <v>No</v>
      </c>
      <c r="Q222" s="40" t="str" cm="1">
        <f t="array" ref="Q222">IFERROR(_xlfn.LET(
_xlpm.CSVVal,_xlfn.XLOOKUP($A222,CSV!$A:$A,CSV!AC:AC,""),
_xlpm.MacVal,_xlfn.XLOOKUP($A222,Output_Mac!$A:$A,Output_Mac!U:U,""),
_xlpm.MyAuditVal,_xlfn.XLOOKUP($A222,My_Audit!$A:$A,My_Audit!R:R,""),
_xlfn.IFS(_xlpm.MyAuditVal&lt;&gt;"",UPPER(_xlpm.MyAuditVal),_xlpm.MacVal&lt;&gt;"",_xlpm.MacVal,_xlpm.CSVVal&lt;&gt;"",_xlpm.CSVVal
)),"")</f>
        <v/>
      </c>
      <c r="R222" s="40"/>
      <c r="S222" s="40"/>
      <c r="T222" s="40"/>
      <c r="U222" s="40"/>
      <c r="V222" s="40"/>
      <c r="W222" s="40"/>
      <c r="X222" s="41" t="str">
        <f>_xlfn.LET(
    _xlpm.MacVal, _xlfn.XLOOKUP($A222, Output_Mac!$A:$A, Output_Mac!AB:AB, ""),
    _xlpm.MyAuditVal, _xlfn.XLOOKUP($A222, My_Audit!$A:$A, My_Audit!N:N, ""),
    _xlfn.TEXTJOIN(", ", TRUE, _xlpm.MyAuditVal, _xlpm.MacVal)
)</f>
        <v/>
      </c>
    </row>
    <row r="223" spans="1:24">
      <c r="A223" s="40" t="str">
        <f>_xlfn.TEXTJOIN("",TRUE,Input!$B$2,ROW(My_Audit!A222))</f>
        <v>X222</v>
      </c>
      <c r="B223" s="40" t="str">
        <f>_xlfn.TEXTJOIN("-",TRUE,"ITD",Input!$A$2,A223)</f>
        <v>ITD-X222</v>
      </c>
      <c r="C223" s="40" t="str" cm="1">
        <f t="array" ref="C223">IFERROR(_xlfn.LET(
_xlpm.CSVVal,_xlfn.XLOOKUP($A223,CSV!$A:$A,CSV!B:B,""),
_xlpm.MacVal,_xlfn.XLOOKUP($A223,Output_Mac!$A:$A,Output_Mac!B:B,""),
_xlpm.MyAuditVal,_xlfn.XLOOKUP($A223,My_Audit!$A:$A,My_Audit!B:B,""),
_xlfn.IFS(_xlpm.MyAuditVal&lt;&gt;"",UPPER(_xlpm.MyAuditVal),_xlpm.MacVal&lt;&gt;"",_xlpm.MacVal,_xlpm.CSVVal&lt;&gt;"",_xlpm.CSVVal
)),"")</f>
        <v/>
      </c>
      <c r="D223" s="40" t="str" cm="1">
        <f t="array" ref="D223">IFERROR(_xlfn.LET(
_xlpm.CSVVal,_xlfn.XLOOKUP($A223,CSV!$A:$A,CSV!D:D,""),
_xlpm.MacVal,_xlfn.XLOOKUP($A223,Output_Mac!$A:$A,Output_Mac!C:C,""),
_xlpm.MyAuditVal,_xlfn.XLOOKUP($A223,My_Audit!$A:$A,My_Audit!C:C,""),
_xlfn.IFS(_xlpm.MyAuditVal&lt;&gt;"",_xlpm.MyAuditVal,_xlpm.MacVal&lt;&gt;"",_xlpm.MacVal,_xlpm.CSVVal&lt;&gt;"",_xlpm.CSVVal
)),"")</f>
        <v/>
      </c>
      <c r="E223" s="40">
        <f>_xlfn.XLOOKUP(A223,My_Audit!A:A,My_Audit!D:D,"")</f>
        <v>0</v>
      </c>
      <c r="F223" s="40" t="str" cm="1">
        <f t="array" ref="F223">IFERROR(_xlfn.LET(
_xlpm.CSVVal,_xlfn.XLOOKUP($A223,CSV!$A:$A,CSV!F:F,""),
_xlpm.MacVal,_xlfn.XLOOKUP($A223,Output_Mac!$A:$A,Output_Mac!E:E,""),
_xlpm.MyAuditVal,_xlfn.XLOOKUP($A223,My_Audit!$A:$A,My_Audit!E:E,""),
_xlfn.IFS(_xlpm.MyAuditVal&lt;&gt;"",_xlpm.MyAuditVal,_xlpm.MacVal&lt;&gt;"",_xlpm.MacVal,_xlpm.CSVVal&lt;&gt;"",_xlpm.CSVVal
)),"")</f>
        <v/>
      </c>
      <c r="G223" s="40" t="str" cm="1">
        <f t="array" ref="G223">IFERROR(_xlfn.LET(
_xlpm.CSVVal,_xlfn.XLOOKUP($A223,CSV!$A:$A,CSV!G:G,""),
_xlpm.MacVal,_xlfn.XLOOKUP($A223,Output_Mac!$A:$A,Output_Mac!F:F,""),
_xlpm.MyAuditVal,_xlfn.XLOOKUP($A223,My_Audit!$A:$A,My_Audit!F:F,""),
_xlfn.IFS(_xlpm.MyAuditVal&lt;&gt;"",_xlpm.MyAuditVal,_xlpm.MacVal&lt;&gt;"",_xlpm.MacVal,_xlpm.CSVVal&lt;&gt;"",PROPER(_xlpm.CSVVal)
)),"")</f>
        <v/>
      </c>
      <c r="H223" s="40" t="str" cm="1">
        <f t="array" ref="H223">IFERROR(_xlfn.LET(
_xlpm.CSVVal,_xlfn.XLOOKUP($A223,CSV!$A:$A,CSV!H:H,""),
_xlpm.MacVal,_xlfn.XLOOKUP($A223,Output_Mac!$A:$A,Output_Mac!H:H,""),
_xlpm.MyAuditVal,_xlfn.XLOOKUP($A223,My_Audit!$A:$A,My_Audit!G:G,""),
_xlfn.IFS(_xlpm.MyAuditVal&lt;&gt;"",_xlpm.MyAuditVal,_xlpm.MacVal&lt;&gt;"",_xlpm.MacVal,_xlpm.CSVVal&lt;&gt;"",_xlpm.CSVVal
)),"")</f>
        <v/>
      </c>
      <c r="I223" s="40" t="str">
        <f>_xlfn.XLOOKUP(A223,Output_Mac!A:A,Output_Mac!I:I,"")</f>
        <v/>
      </c>
      <c r="J223" s="40" t="str" cm="1">
        <f t="array" ref="J223">IFERROR(_xlfn.LET(
_xlpm.CSVVal,_xlfn.XLOOKUP($A223,CSV!$A:$A,CSV!I:I,""),
_xlpm.MacVal,_xlfn.XLOOKUP($A223,Output_Mac!$A:$A,Output_Mac!J:J,""),
_xlpm.MyAuditVal,_xlfn.XLOOKUP($A223,My_Audit!$A:$A,My_Audit!I:I,""),
_xlfn.IFS(_xlpm.MyAuditVal&lt;&gt;"",UPPER(_xlpm.MyAuditVal),_xlpm.MacVal&lt;&gt;"",_xlpm.MacVal,_xlpm.CSVVal&lt;&gt;"",_xlpm.CSVVal
)),"")</f>
        <v/>
      </c>
      <c r="K223" s="40" t="str" cm="1">
        <f t="array" ref="K223">IFERROR(_xlfn.LET(
_xlpm.CSVVal,_xlfn.XLOOKUP($A223,CSV!$A:$A,CSV!K:K,""),
_xlpm.MacVal,_xlfn.XLOOKUP($A223,Output_Mac!$A:$A,Output_Mac!K:K,""),
_xlpm.MyAuditVal,_xlfn.XLOOKUP($A223,My_Audit!$A:$A,My_Audit!J:J,""),
_xlfn.IFS(_xlpm.MyAuditVal&lt;&gt;"",UPPER(_xlpm.MyAuditVal),_xlpm.MacVal&lt;&gt;"",_xlpm.MacVal,_xlpm.CSVVal&lt;&gt;"",_xlpm.CSVVal
)),"")</f>
        <v/>
      </c>
      <c r="L223" s="40" t="str" cm="1">
        <f t="array" ref="L223">IFERROR(_xlfn.LET(
_xlpm.CSVVal,_xlfn.XLOOKUP($A223,CSV!$A:$A,CSV!P:P,""),
_xlpm.MacVal,_xlfn.XLOOKUP($A223,Output_Mac!$A:$A,Output_Mac!L:L,""),
_xlpm.MyAuditVal,_xlfn.XLOOKUP($A223,My_Audit!$A:$A,My_Audit!K:K,""),
_xlfn.IFS(_xlpm.MyAuditVal&lt;&gt;"",UPPER(_xlpm.MyAuditVal),_xlpm.MacVal&lt;&gt;"",_xlpm.MacVal,_xlpm.CSVVal&lt;&gt;"",_xlpm.CSVVal
)),"")</f>
        <v/>
      </c>
      <c r="M223" s="40" t="str" cm="1">
        <f t="array" ref="M223">IFERROR(_xlfn.LET(
_xlpm.CSVVal,_xlfn.XLOOKUP($A223,CSV!$A:$A,CSV!Q:Q,""),
_xlpm.MacVal,_xlfn.XLOOKUP($A223,Output_Mac!$A:$A,Output_Mac!M:M,""),
_xlpm.MyAuditVal,_xlfn.XLOOKUP($A223,My_Audit!$A:$A,My_Audit!L:L,""),
_xlfn.IFS(_xlpm.MyAuditVal&lt;&gt;"",UPPER(_xlpm.MyAuditVal),_xlpm.MacVal&lt;&gt;"",_xlpm.MacVal,_xlpm.CSVVal&lt;&gt;"",_xlpm.CSVVal
)),"")</f>
        <v/>
      </c>
      <c r="N223" s="40"/>
      <c r="O223" s="40" t="str">
        <f>_xlfn.LET(
    _xlpm.CSVVal, _xlfn.XLOOKUP($A223, CSV!$A:$A, CSV!AA:AA, ""),
    _xlpm.MacVal, _xlfn.XLOOKUP($A223, Output_Mac!$A:$A, Output_Mac!S:S, ""),
    _xlpm.MyAuditVal, _xlfn.XLOOKUP($A223, My_Audit!$A:$A, My_Audit!P:P, ""),
    _xlfn.TEXTJOIN(", ", TRUE, _xlpm.MyAuditVal, _xlpm.MacVal, _xlpm.CSVVal)
)</f>
        <v/>
      </c>
      <c r="P223" s="40" t="str" cm="1">
        <f t="array" ref="P223">IFERROR(_xlfn.LET(
_xlpm.CSVVal,_xlfn.XLOOKUP($A223,CSV!$A:$A,CSV!AB:AB,""),
_xlpm.MacVal,_xlfn.XLOOKUP($A223,Output_Mac!$A:$A,Output_Mac!T:T,""),
_xlpm.MyAuditVal,_xlfn.XLOOKUP($A223,My_Audit!$A:$A,My_Audit!Q:Q,""),
_xlfn.IFS(_xlpm.MyAuditVal&lt;&gt;"",UPPER(_xlpm.MyAuditVal),_xlpm.MacVal&lt;&gt;"",_xlpm.MacVal,_xlpm.CSVVal&lt;&gt;"",_xlpm.CSVVal
)),"No")</f>
        <v>No</v>
      </c>
      <c r="Q223" s="40" t="str" cm="1">
        <f t="array" ref="Q223">IFERROR(_xlfn.LET(
_xlpm.CSVVal,_xlfn.XLOOKUP($A223,CSV!$A:$A,CSV!AC:AC,""),
_xlpm.MacVal,_xlfn.XLOOKUP($A223,Output_Mac!$A:$A,Output_Mac!U:U,""),
_xlpm.MyAuditVal,_xlfn.XLOOKUP($A223,My_Audit!$A:$A,My_Audit!R:R,""),
_xlfn.IFS(_xlpm.MyAuditVal&lt;&gt;"",UPPER(_xlpm.MyAuditVal),_xlpm.MacVal&lt;&gt;"",_xlpm.MacVal,_xlpm.CSVVal&lt;&gt;"",_xlpm.CSVVal
)),"")</f>
        <v/>
      </c>
      <c r="R223" s="40"/>
      <c r="S223" s="40"/>
      <c r="T223" s="40"/>
      <c r="U223" s="40"/>
      <c r="V223" s="40"/>
      <c r="W223" s="40"/>
      <c r="X223" s="41" t="str">
        <f>_xlfn.LET(
    _xlpm.MacVal, _xlfn.XLOOKUP($A223, Output_Mac!$A:$A, Output_Mac!AB:AB, ""),
    _xlpm.MyAuditVal, _xlfn.XLOOKUP($A223, My_Audit!$A:$A, My_Audit!N:N, ""),
    _xlfn.TEXTJOIN(", ", TRUE, _xlpm.MyAuditVal, _xlpm.MacVal)
)</f>
        <v/>
      </c>
    </row>
    <row r="224" spans="1:24">
      <c r="A224" s="40" t="str">
        <f>_xlfn.TEXTJOIN("",TRUE,Input!$B$2,ROW(My_Audit!A223))</f>
        <v>X223</v>
      </c>
      <c r="B224" s="40" t="str">
        <f>_xlfn.TEXTJOIN("-",TRUE,"ITD",Input!$A$2,A224)</f>
        <v>ITD-X223</v>
      </c>
      <c r="C224" s="40" t="str" cm="1">
        <f t="array" ref="C224">IFERROR(_xlfn.LET(
_xlpm.CSVVal,_xlfn.XLOOKUP($A224,CSV!$A:$A,CSV!B:B,""),
_xlpm.MacVal,_xlfn.XLOOKUP($A224,Output_Mac!$A:$A,Output_Mac!B:B,""),
_xlpm.MyAuditVal,_xlfn.XLOOKUP($A224,My_Audit!$A:$A,My_Audit!B:B,""),
_xlfn.IFS(_xlpm.MyAuditVal&lt;&gt;"",UPPER(_xlpm.MyAuditVal),_xlpm.MacVal&lt;&gt;"",_xlpm.MacVal,_xlpm.CSVVal&lt;&gt;"",_xlpm.CSVVal
)),"")</f>
        <v/>
      </c>
      <c r="D224" s="40" t="str" cm="1">
        <f t="array" ref="D224">IFERROR(_xlfn.LET(
_xlpm.CSVVal,_xlfn.XLOOKUP($A224,CSV!$A:$A,CSV!D:D,""),
_xlpm.MacVal,_xlfn.XLOOKUP($A224,Output_Mac!$A:$A,Output_Mac!C:C,""),
_xlpm.MyAuditVal,_xlfn.XLOOKUP($A224,My_Audit!$A:$A,My_Audit!C:C,""),
_xlfn.IFS(_xlpm.MyAuditVal&lt;&gt;"",_xlpm.MyAuditVal,_xlpm.MacVal&lt;&gt;"",_xlpm.MacVal,_xlpm.CSVVal&lt;&gt;"",_xlpm.CSVVal
)),"")</f>
        <v/>
      </c>
      <c r="E224" s="40">
        <f>_xlfn.XLOOKUP(A224,My_Audit!A:A,My_Audit!D:D,"")</f>
        <v>0</v>
      </c>
      <c r="F224" s="40" t="str" cm="1">
        <f t="array" ref="F224">IFERROR(_xlfn.LET(
_xlpm.CSVVal,_xlfn.XLOOKUP($A224,CSV!$A:$A,CSV!F:F,""),
_xlpm.MacVal,_xlfn.XLOOKUP($A224,Output_Mac!$A:$A,Output_Mac!E:E,""),
_xlpm.MyAuditVal,_xlfn.XLOOKUP($A224,My_Audit!$A:$A,My_Audit!E:E,""),
_xlfn.IFS(_xlpm.MyAuditVal&lt;&gt;"",_xlpm.MyAuditVal,_xlpm.MacVal&lt;&gt;"",_xlpm.MacVal,_xlpm.CSVVal&lt;&gt;"",_xlpm.CSVVal
)),"")</f>
        <v/>
      </c>
      <c r="G224" s="40" t="str" cm="1">
        <f t="array" ref="G224">IFERROR(_xlfn.LET(
_xlpm.CSVVal,_xlfn.XLOOKUP($A224,CSV!$A:$A,CSV!G:G,""),
_xlpm.MacVal,_xlfn.XLOOKUP($A224,Output_Mac!$A:$A,Output_Mac!F:F,""),
_xlpm.MyAuditVal,_xlfn.XLOOKUP($A224,My_Audit!$A:$A,My_Audit!F:F,""),
_xlfn.IFS(_xlpm.MyAuditVal&lt;&gt;"",_xlpm.MyAuditVal,_xlpm.MacVal&lt;&gt;"",_xlpm.MacVal,_xlpm.CSVVal&lt;&gt;"",PROPER(_xlpm.CSVVal)
)),"")</f>
        <v/>
      </c>
      <c r="H224" s="40" t="str" cm="1">
        <f t="array" ref="H224">IFERROR(_xlfn.LET(
_xlpm.CSVVal,_xlfn.XLOOKUP($A224,CSV!$A:$A,CSV!H:H,""),
_xlpm.MacVal,_xlfn.XLOOKUP($A224,Output_Mac!$A:$A,Output_Mac!H:H,""),
_xlpm.MyAuditVal,_xlfn.XLOOKUP($A224,My_Audit!$A:$A,My_Audit!G:G,""),
_xlfn.IFS(_xlpm.MyAuditVal&lt;&gt;"",_xlpm.MyAuditVal,_xlpm.MacVal&lt;&gt;"",_xlpm.MacVal,_xlpm.CSVVal&lt;&gt;"",_xlpm.CSVVal
)),"")</f>
        <v/>
      </c>
      <c r="I224" s="40" t="str">
        <f>_xlfn.XLOOKUP(A224,Output_Mac!A:A,Output_Mac!I:I,"")</f>
        <v/>
      </c>
      <c r="J224" s="40" t="str" cm="1">
        <f t="array" ref="J224">IFERROR(_xlfn.LET(
_xlpm.CSVVal,_xlfn.XLOOKUP($A224,CSV!$A:$A,CSV!I:I,""),
_xlpm.MacVal,_xlfn.XLOOKUP($A224,Output_Mac!$A:$A,Output_Mac!J:J,""),
_xlpm.MyAuditVal,_xlfn.XLOOKUP($A224,My_Audit!$A:$A,My_Audit!I:I,""),
_xlfn.IFS(_xlpm.MyAuditVal&lt;&gt;"",UPPER(_xlpm.MyAuditVal),_xlpm.MacVal&lt;&gt;"",_xlpm.MacVal,_xlpm.CSVVal&lt;&gt;"",_xlpm.CSVVal
)),"")</f>
        <v/>
      </c>
      <c r="K224" s="40" t="str" cm="1">
        <f t="array" ref="K224">IFERROR(_xlfn.LET(
_xlpm.CSVVal,_xlfn.XLOOKUP($A224,CSV!$A:$A,CSV!K:K,""),
_xlpm.MacVal,_xlfn.XLOOKUP($A224,Output_Mac!$A:$A,Output_Mac!K:K,""),
_xlpm.MyAuditVal,_xlfn.XLOOKUP($A224,My_Audit!$A:$A,My_Audit!J:J,""),
_xlfn.IFS(_xlpm.MyAuditVal&lt;&gt;"",UPPER(_xlpm.MyAuditVal),_xlpm.MacVal&lt;&gt;"",_xlpm.MacVal,_xlpm.CSVVal&lt;&gt;"",_xlpm.CSVVal
)),"")</f>
        <v/>
      </c>
      <c r="L224" s="40" t="str" cm="1">
        <f t="array" ref="L224">IFERROR(_xlfn.LET(
_xlpm.CSVVal,_xlfn.XLOOKUP($A224,CSV!$A:$A,CSV!P:P,""),
_xlpm.MacVal,_xlfn.XLOOKUP($A224,Output_Mac!$A:$A,Output_Mac!L:L,""),
_xlpm.MyAuditVal,_xlfn.XLOOKUP($A224,My_Audit!$A:$A,My_Audit!K:K,""),
_xlfn.IFS(_xlpm.MyAuditVal&lt;&gt;"",UPPER(_xlpm.MyAuditVal),_xlpm.MacVal&lt;&gt;"",_xlpm.MacVal,_xlpm.CSVVal&lt;&gt;"",_xlpm.CSVVal
)),"")</f>
        <v/>
      </c>
      <c r="M224" s="40" t="str" cm="1">
        <f t="array" ref="M224">IFERROR(_xlfn.LET(
_xlpm.CSVVal,_xlfn.XLOOKUP($A224,CSV!$A:$A,CSV!Q:Q,""),
_xlpm.MacVal,_xlfn.XLOOKUP($A224,Output_Mac!$A:$A,Output_Mac!M:M,""),
_xlpm.MyAuditVal,_xlfn.XLOOKUP($A224,My_Audit!$A:$A,My_Audit!L:L,""),
_xlfn.IFS(_xlpm.MyAuditVal&lt;&gt;"",UPPER(_xlpm.MyAuditVal),_xlpm.MacVal&lt;&gt;"",_xlpm.MacVal,_xlpm.CSVVal&lt;&gt;"",_xlpm.CSVVal
)),"")</f>
        <v/>
      </c>
      <c r="N224" s="40"/>
      <c r="O224" s="40" t="str">
        <f>_xlfn.LET(
    _xlpm.CSVVal, _xlfn.XLOOKUP($A224, CSV!$A:$A, CSV!AA:AA, ""),
    _xlpm.MacVal, _xlfn.XLOOKUP($A224, Output_Mac!$A:$A, Output_Mac!S:S, ""),
    _xlpm.MyAuditVal, _xlfn.XLOOKUP($A224, My_Audit!$A:$A, My_Audit!P:P, ""),
    _xlfn.TEXTJOIN(", ", TRUE, _xlpm.MyAuditVal, _xlpm.MacVal, _xlpm.CSVVal)
)</f>
        <v/>
      </c>
      <c r="P224" s="40" t="str" cm="1">
        <f t="array" ref="P224">IFERROR(_xlfn.LET(
_xlpm.CSVVal,_xlfn.XLOOKUP($A224,CSV!$A:$A,CSV!AB:AB,""),
_xlpm.MacVal,_xlfn.XLOOKUP($A224,Output_Mac!$A:$A,Output_Mac!T:T,""),
_xlpm.MyAuditVal,_xlfn.XLOOKUP($A224,My_Audit!$A:$A,My_Audit!Q:Q,""),
_xlfn.IFS(_xlpm.MyAuditVal&lt;&gt;"",UPPER(_xlpm.MyAuditVal),_xlpm.MacVal&lt;&gt;"",_xlpm.MacVal,_xlpm.CSVVal&lt;&gt;"",_xlpm.CSVVal
)),"No")</f>
        <v>No</v>
      </c>
      <c r="Q224" s="40" t="str" cm="1">
        <f t="array" ref="Q224">IFERROR(_xlfn.LET(
_xlpm.CSVVal,_xlfn.XLOOKUP($A224,CSV!$A:$A,CSV!AC:AC,""),
_xlpm.MacVal,_xlfn.XLOOKUP($A224,Output_Mac!$A:$A,Output_Mac!U:U,""),
_xlpm.MyAuditVal,_xlfn.XLOOKUP($A224,My_Audit!$A:$A,My_Audit!R:R,""),
_xlfn.IFS(_xlpm.MyAuditVal&lt;&gt;"",UPPER(_xlpm.MyAuditVal),_xlpm.MacVal&lt;&gt;"",_xlpm.MacVal,_xlpm.CSVVal&lt;&gt;"",_xlpm.CSVVal
)),"")</f>
        <v/>
      </c>
      <c r="R224" s="40"/>
      <c r="S224" s="40"/>
      <c r="T224" s="40"/>
      <c r="U224" s="40"/>
      <c r="V224" s="40"/>
      <c r="W224" s="40"/>
      <c r="X224" s="41" t="str">
        <f>_xlfn.LET(
    _xlpm.MacVal, _xlfn.XLOOKUP($A224, Output_Mac!$A:$A, Output_Mac!AB:AB, ""),
    _xlpm.MyAuditVal, _xlfn.XLOOKUP($A224, My_Audit!$A:$A, My_Audit!N:N, ""),
    _xlfn.TEXTJOIN(", ", TRUE, _xlpm.MyAuditVal, _xlpm.MacVal)
)</f>
        <v/>
      </c>
    </row>
    <row r="225" spans="1:24">
      <c r="A225" s="40" t="str">
        <f>_xlfn.TEXTJOIN("",TRUE,Input!$B$2,ROW(My_Audit!A224))</f>
        <v>X224</v>
      </c>
      <c r="B225" s="40" t="str">
        <f>_xlfn.TEXTJOIN("-",TRUE,"ITD",Input!$A$2,A225)</f>
        <v>ITD-X224</v>
      </c>
      <c r="C225" s="40" t="str" cm="1">
        <f t="array" ref="C225">IFERROR(_xlfn.LET(
_xlpm.CSVVal,_xlfn.XLOOKUP($A225,CSV!$A:$A,CSV!B:B,""),
_xlpm.MacVal,_xlfn.XLOOKUP($A225,Output_Mac!$A:$A,Output_Mac!B:B,""),
_xlpm.MyAuditVal,_xlfn.XLOOKUP($A225,My_Audit!$A:$A,My_Audit!B:B,""),
_xlfn.IFS(_xlpm.MyAuditVal&lt;&gt;"",UPPER(_xlpm.MyAuditVal),_xlpm.MacVal&lt;&gt;"",_xlpm.MacVal,_xlpm.CSVVal&lt;&gt;"",_xlpm.CSVVal
)),"")</f>
        <v/>
      </c>
      <c r="D225" s="40" t="str" cm="1">
        <f t="array" ref="D225">IFERROR(_xlfn.LET(
_xlpm.CSVVal,_xlfn.XLOOKUP($A225,CSV!$A:$A,CSV!D:D,""),
_xlpm.MacVal,_xlfn.XLOOKUP($A225,Output_Mac!$A:$A,Output_Mac!C:C,""),
_xlpm.MyAuditVal,_xlfn.XLOOKUP($A225,My_Audit!$A:$A,My_Audit!C:C,""),
_xlfn.IFS(_xlpm.MyAuditVal&lt;&gt;"",_xlpm.MyAuditVal,_xlpm.MacVal&lt;&gt;"",_xlpm.MacVal,_xlpm.CSVVal&lt;&gt;"",_xlpm.CSVVal
)),"")</f>
        <v/>
      </c>
      <c r="E225" s="40">
        <f>_xlfn.XLOOKUP(A225,My_Audit!A:A,My_Audit!D:D,"")</f>
        <v>0</v>
      </c>
      <c r="F225" s="40" t="str" cm="1">
        <f t="array" ref="F225">IFERROR(_xlfn.LET(
_xlpm.CSVVal,_xlfn.XLOOKUP($A225,CSV!$A:$A,CSV!F:F,""),
_xlpm.MacVal,_xlfn.XLOOKUP($A225,Output_Mac!$A:$A,Output_Mac!E:E,""),
_xlpm.MyAuditVal,_xlfn.XLOOKUP($A225,My_Audit!$A:$A,My_Audit!E:E,""),
_xlfn.IFS(_xlpm.MyAuditVal&lt;&gt;"",_xlpm.MyAuditVal,_xlpm.MacVal&lt;&gt;"",_xlpm.MacVal,_xlpm.CSVVal&lt;&gt;"",_xlpm.CSVVal
)),"")</f>
        <v/>
      </c>
      <c r="G225" s="40" t="str" cm="1">
        <f t="array" ref="G225">IFERROR(_xlfn.LET(
_xlpm.CSVVal,_xlfn.XLOOKUP($A225,CSV!$A:$A,CSV!G:G,""),
_xlpm.MacVal,_xlfn.XLOOKUP($A225,Output_Mac!$A:$A,Output_Mac!F:F,""),
_xlpm.MyAuditVal,_xlfn.XLOOKUP($A225,My_Audit!$A:$A,My_Audit!F:F,""),
_xlfn.IFS(_xlpm.MyAuditVal&lt;&gt;"",_xlpm.MyAuditVal,_xlpm.MacVal&lt;&gt;"",_xlpm.MacVal,_xlpm.CSVVal&lt;&gt;"",PROPER(_xlpm.CSVVal)
)),"")</f>
        <v/>
      </c>
      <c r="H225" s="40" t="str" cm="1">
        <f t="array" ref="H225">IFERROR(_xlfn.LET(
_xlpm.CSVVal,_xlfn.XLOOKUP($A225,CSV!$A:$A,CSV!H:H,""),
_xlpm.MacVal,_xlfn.XLOOKUP($A225,Output_Mac!$A:$A,Output_Mac!H:H,""),
_xlpm.MyAuditVal,_xlfn.XLOOKUP($A225,My_Audit!$A:$A,My_Audit!G:G,""),
_xlfn.IFS(_xlpm.MyAuditVal&lt;&gt;"",_xlpm.MyAuditVal,_xlpm.MacVal&lt;&gt;"",_xlpm.MacVal,_xlpm.CSVVal&lt;&gt;"",_xlpm.CSVVal
)),"")</f>
        <v/>
      </c>
      <c r="I225" s="40" t="str">
        <f>_xlfn.XLOOKUP(A225,Output_Mac!A:A,Output_Mac!I:I,"")</f>
        <v/>
      </c>
      <c r="J225" s="40" t="str" cm="1">
        <f t="array" ref="J225">IFERROR(_xlfn.LET(
_xlpm.CSVVal,_xlfn.XLOOKUP($A225,CSV!$A:$A,CSV!I:I,""),
_xlpm.MacVal,_xlfn.XLOOKUP($A225,Output_Mac!$A:$A,Output_Mac!J:J,""),
_xlpm.MyAuditVal,_xlfn.XLOOKUP($A225,My_Audit!$A:$A,My_Audit!I:I,""),
_xlfn.IFS(_xlpm.MyAuditVal&lt;&gt;"",UPPER(_xlpm.MyAuditVal),_xlpm.MacVal&lt;&gt;"",_xlpm.MacVal,_xlpm.CSVVal&lt;&gt;"",_xlpm.CSVVal
)),"")</f>
        <v/>
      </c>
      <c r="K225" s="40" t="str" cm="1">
        <f t="array" ref="K225">IFERROR(_xlfn.LET(
_xlpm.CSVVal,_xlfn.XLOOKUP($A225,CSV!$A:$A,CSV!K:K,""),
_xlpm.MacVal,_xlfn.XLOOKUP($A225,Output_Mac!$A:$A,Output_Mac!K:K,""),
_xlpm.MyAuditVal,_xlfn.XLOOKUP($A225,My_Audit!$A:$A,My_Audit!J:J,""),
_xlfn.IFS(_xlpm.MyAuditVal&lt;&gt;"",UPPER(_xlpm.MyAuditVal),_xlpm.MacVal&lt;&gt;"",_xlpm.MacVal,_xlpm.CSVVal&lt;&gt;"",_xlpm.CSVVal
)),"")</f>
        <v/>
      </c>
      <c r="L225" s="40" t="str" cm="1">
        <f t="array" ref="L225">IFERROR(_xlfn.LET(
_xlpm.CSVVal,_xlfn.XLOOKUP($A225,CSV!$A:$A,CSV!P:P,""),
_xlpm.MacVal,_xlfn.XLOOKUP($A225,Output_Mac!$A:$A,Output_Mac!L:L,""),
_xlpm.MyAuditVal,_xlfn.XLOOKUP($A225,My_Audit!$A:$A,My_Audit!K:K,""),
_xlfn.IFS(_xlpm.MyAuditVal&lt;&gt;"",UPPER(_xlpm.MyAuditVal),_xlpm.MacVal&lt;&gt;"",_xlpm.MacVal,_xlpm.CSVVal&lt;&gt;"",_xlpm.CSVVal
)),"")</f>
        <v/>
      </c>
      <c r="M225" s="40" t="str" cm="1">
        <f t="array" ref="M225">IFERROR(_xlfn.LET(
_xlpm.CSVVal,_xlfn.XLOOKUP($A225,CSV!$A:$A,CSV!Q:Q,""),
_xlpm.MacVal,_xlfn.XLOOKUP($A225,Output_Mac!$A:$A,Output_Mac!M:M,""),
_xlpm.MyAuditVal,_xlfn.XLOOKUP($A225,My_Audit!$A:$A,My_Audit!L:L,""),
_xlfn.IFS(_xlpm.MyAuditVal&lt;&gt;"",UPPER(_xlpm.MyAuditVal),_xlpm.MacVal&lt;&gt;"",_xlpm.MacVal,_xlpm.CSVVal&lt;&gt;"",_xlpm.CSVVal
)),"")</f>
        <v/>
      </c>
      <c r="N225" s="40"/>
      <c r="O225" s="40" t="str">
        <f>_xlfn.LET(
    _xlpm.CSVVal, _xlfn.XLOOKUP($A225, CSV!$A:$A, CSV!AA:AA, ""),
    _xlpm.MacVal, _xlfn.XLOOKUP($A225, Output_Mac!$A:$A, Output_Mac!S:S, ""),
    _xlpm.MyAuditVal, _xlfn.XLOOKUP($A225, My_Audit!$A:$A, My_Audit!P:P, ""),
    _xlfn.TEXTJOIN(", ", TRUE, _xlpm.MyAuditVal, _xlpm.MacVal, _xlpm.CSVVal)
)</f>
        <v/>
      </c>
      <c r="P225" s="40" t="str" cm="1">
        <f t="array" ref="P225">IFERROR(_xlfn.LET(
_xlpm.CSVVal,_xlfn.XLOOKUP($A225,CSV!$A:$A,CSV!AB:AB,""),
_xlpm.MacVal,_xlfn.XLOOKUP($A225,Output_Mac!$A:$A,Output_Mac!T:T,""),
_xlpm.MyAuditVal,_xlfn.XLOOKUP($A225,My_Audit!$A:$A,My_Audit!Q:Q,""),
_xlfn.IFS(_xlpm.MyAuditVal&lt;&gt;"",UPPER(_xlpm.MyAuditVal),_xlpm.MacVal&lt;&gt;"",_xlpm.MacVal,_xlpm.CSVVal&lt;&gt;"",_xlpm.CSVVal
)),"No")</f>
        <v>No</v>
      </c>
      <c r="Q225" s="40" t="str" cm="1">
        <f t="array" ref="Q225">IFERROR(_xlfn.LET(
_xlpm.CSVVal,_xlfn.XLOOKUP($A225,CSV!$A:$A,CSV!AC:AC,""),
_xlpm.MacVal,_xlfn.XLOOKUP($A225,Output_Mac!$A:$A,Output_Mac!U:U,""),
_xlpm.MyAuditVal,_xlfn.XLOOKUP($A225,My_Audit!$A:$A,My_Audit!R:R,""),
_xlfn.IFS(_xlpm.MyAuditVal&lt;&gt;"",UPPER(_xlpm.MyAuditVal),_xlpm.MacVal&lt;&gt;"",_xlpm.MacVal,_xlpm.CSVVal&lt;&gt;"",_xlpm.CSVVal
)),"")</f>
        <v/>
      </c>
      <c r="R225" s="40"/>
      <c r="S225" s="40"/>
      <c r="T225" s="40"/>
      <c r="U225" s="40"/>
      <c r="V225" s="40"/>
      <c r="W225" s="40"/>
      <c r="X225" s="41" t="str">
        <f>_xlfn.LET(
    _xlpm.MacVal, _xlfn.XLOOKUP($A225, Output_Mac!$A:$A, Output_Mac!AB:AB, ""),
    _xlpm.MyAuditVal, _xlfn.XLOOKUP($A225, My_Audit!$A:$A, My_Audit!N:N, ""),
    _xlfn.TEXTJOIN(", ", TRUE, _xlpm.MyAuditVal, _xlpm.MacVal)
)</f>
        <v/>
      </c>
    </row>
    <row r="226" spans="1:24">
      <c r="A226" s="40" t="str">
        <f>_xlfn.TEXTJOIN("",TRUE,Input!$B$2,ROW(My_Audit!A225))</f>
        <v>X225</v>
      </c>
      <c r="B226" s="40" t="str">
        <f>_xlfn.TEXTJOIN("-",TRUE,"ITD",Input!$A$2,A226)</f>
        <v>ITD-X225</v>
      </c>
      <c r="C226" s="40" t="str" cm="1">
        <f t="array" ref="C226">IFERROR(_xlfn.LET(
_xlpm.CSVVal,_xlfn.XLOOKUP($A226,CSV!$A:$A,CSV!B:B,""),
_xlpm.MacVal,_xlfn.XLOOKUP($A226,Output_Mac!$A:$A,Output_Mac!B:B,""),
_xlpm.MyAuditVal,_xlfn.XLOOKUP($A226,My_Audit!$A:$A,My_Audit!B:B,""),
_xlfn.IFS(_xlpm.MyAuditVal&lt;&gt;"",UPPER(_xlpm.MyAuditVal),_xlpm.MacVal&lt;&gt;"",_xlpm.MacVal,_xlpm.CSVVal&lt;&gt;"",_xlpm.CSVVal
)),"")</f>
        <v/>
      </c>
      <c r="D226" s="40" t="str" cm="1">
        <f t="array" ref="D226">IFERROR(_xlfn.LET(
_xlpm.CSVVal,_xlfn.XLOOKUP($A226,CSV!$A:$A,CSV!D:D,""),
_xlpm.MacVal,_xlfn.XLOOKUP($A226,Output_Mac!$A:$A,Output_Mac!C:C,""),
_xlpm.MyAuditVal,_xlfn.XLOOKUP($A226,My_Audit!$A:$A,My_Audit!C:C,""),
_xlfn.IFS(_xlpm.MyAuditVal&lt;&gt;"",_xlpm.MyAuditVal,_xlpm.MacVal&lt;&gt;"",_xlpm.MacVal,_xlpm.CSVVal&lt;&gt;"",_xlpm.CSVVal
)),"")</f>
        <v/>
      </c>
      <c r="E226" s="40">
        <f>_xlfn.XLOOKUP(A226,My_Audit!A:A,My_Audit!D:D,"")</f>
        <v>0</v>
      </c>
      <c r="F226" s="40" t="str" cm="1">
        <f t="array" ref="F226">IFERROR(_xlfn.LET(
_xlpm.CSVVal,_xlfn.XLOOKUP($A226,CSV!$A:$A,CSV!F:F,""),
_xlpm.MacVal,_xlfn.XLOOKUP($A226,Output_Mac!$A:$A,Output_Mac!E:E,""),
_xlpm.MyAuditVal,_xlfn.XLOOKUP($A226,My_Audit!$A:$A,My_Audit!E:E,""),
_xlfn.IFS(_xlpm.MyAuditVal&lt;&gt;"",_xlpm.MyAuditVal,_xlpm.MacVal&lt;&gt;"",_xlpm.MacVal,_xlpm.CSVVal&lt;&gt;"",_xlpm.CSVVal
)),"")</f>
        <v/>
      </c>
      <c r="G226" s="40" t="str" cm="1">
        <f t="array" ref="G226">IFERROR(_xlfn.LET(
_xlpm.CSVVal,_xlfn.XLOOKUP($A226,CSV!$A:$A,CSV!G:G,""),
_xlpm.MacVal,_xlfn.XLOOKUP($A226,Output_Mac!$A:$A,Output_Mac!F:F,""),
_xlpm.MyAuditVal,_xlfn.XLOOKUP($A226,My_Audit!$A:$A,My_Audit!F:F,""),
_xlfn.IFS(_xlpm.MyAuditVal&lt;&gt;"",_xlpm.MyAuditVal,_xlpm.MacVal&lt;&gt;"",_xlpm.MacVal,_xlpm.CSVVal&lt;&gt;"",PROPER(_xlpm.CSVVal)
)),"")</f>
        <v/>
      </c>
      <c r="H226" s="40" t="str" cm="1">
        <f t="array" ref="H226">IFERROR(_xlfn.LET(
_xlpm.CSVVal,_xlfn.XLOOKUP($A226,CSV!$A:$A,CSV!H:H,""),
_xlpm.MacVal,_xlfn.XLOOKUP($A226,Output_Mac!$A:$A,Output_Mac!H:H,""),
_xlpm.MyAuditVal,_xlfn.XLOOKUP($A226,My_Audit!$A:$A,My_Audit!G:G,""),
_xlfn.IFS(_xlpm.MyAuditVal&lt;&gt;"",_xlpm.MyAuditVal,_xlpm.MacVal&lt;&gt;"",_xlpm.MacVal,_xlpm.CSVVal&lt;&gt;"",_xlpm.CSVVal
)),"")</f>
        <v/>
      </c>
      <c r="I226" s="40" t="str">
        <f>_xlfn.XLOOKUP(A226,Output_Mac!A:A,Output_Mac!I:I,"")</f>
        <v/>
      </c>
      <c r="J226" s="40" t="str" cm="1">
        <f t="array" ref="J226">IFERROR(_xlfn.LET(
_xlpm.CSVVal,_xlfn.XLOOKUP($A226,CSV!$A:$A,CSV!I:I,""),
_xlpm.MacVal,_xlfn.XLOOKUP($A226,Output_Mac!$A:$A,Output_Mac!J:J,""),
_xlpm.MyAuditVal,_xlfn.XLOOKUP($A226,My_Audit!$A:$A,My_Audit!I:I,""),
_xlfn.IFS(_xlpm.MyAuditVal&lt;&gt;"",UPPER(_xlpm.MyAuditVal),_xlpm.MacVal&lt;&gt;"",_xlpm.MacVal,_xlpm.CSVVal&lt;&gt;"",_xlpm.CSVVal
)),"")</f>
        <v/>
      </c>
      <c r="K226" s="40" t="str" cm="1">
        <f t="array" ref="K226">IFERROR(_xlfn.LET(
_xlpm.CSVVal,_xlfn.XLOOKUP($A226,CSV!$A:$A,CSV!K:K,""),
_xlpm.MacVal,_xlfn.XLOOKUP($A226,Output_Mac!$A:$A,Output_Mac!K:K,""),
_xlpm.MyAuditVal,_xlfn.XLOOKUP($A226,My_Audit!$A:$A,My_Audit!J:J,""),
_xlfn.IFS(_xlpm.MyAuditVal&lt;&gt;"",UPPER(_xlpm.MyAuditVal),_xlpm.MacVal&lt;&gt;"",_xlpm.MacVal,_xlpm.CSVVal&lt;&gt;"",_xlpm.CSVVal
)),"")</f>
        <v/>
      </c>
      <c r="L226" s="40" t="str" cm="1">
        <f t="array" ref="L226">IFERROR(_xlfn.LET(
_xlpm.CSVVal,_xlfn.XLOOKUP($A226,CSV!$A:$A,CSV!P:P,""),
_xlpm.MacVal,_xlfn.XLOOKUP($A226,Output_Mac!$A:$A,Output_Mac!L:L,""),
_xlpm.MyAuditVal,_xlfn.XLOOKUP($A226,My_Audit!$A:$A,My_Audit!K:K,""),
_xlfn.IFS(_xlpm.MyAuditVal&lt;&gt;"",UPPER(_xlpm.MyAuditVal),_xlpm.MacVal&lt;&gt;"",_xlpm.MacVal,_xlpm.CSVVal&lt;&gt;"",_xlpm.CSVVal
)),"")</f>
        <v/>
      </c>
      <c r="M226" s="40" t="str" cm="1">
        <f t="array" ref="M226">IFERROR(_xlfn.LET(
_xlpm.CSVVal,_xlfn.XLOOKUP($A226,CSV!$A:$A,CSV!Q:Q,""),
_xlpm.MacVal,_xlfn.XLOOKUP($A226,Output_Mac!$A:$A,Output_Mac!M:M,""),
_xlpm.MyAuditVal,_xlfn.XLOOKUP($A226,My_Audit!$A:$A,My_Audit!L:L,""),
_xlfn.IFS(_xlpm.MyAuditVal&lt;&gt;"",UPPER(_xlpm.MyAuditVal),_xlpm.MacVal&lt;&gt;"",_xlpm.MacVal,_xlpm.CSVVal&lt;&gt;"",_xlpm.CSVVal
)),"")</f>
        <v/>
      </c>
      <c r="N226" s="40"/>
      <c r="O226" s="40" t="str">
        <f>_xlfn.LET(
    _xlpm.CSVVal, _xlfn.XLOOKUP($A226, CSV!$A:$A, CSV!AA:AA, ""),
    _xlpm.MacVal, _xlfn.XLOOKUP($A226, Output_Mac!$A:$A, Output_Mac!S:S, ""),
    _xlpm.MyAuditVal, _xlfn.XLOOKUP($A226, My_Audit!$A:$A, My_Audit!P:P, ""),
    _xlfn.TEXTJOIN(", ", TRUE, _xlpm.MyAuditVal, _xlpm.MacVal, _xlpm.CSVVal)
)</f>
        <v/>
      </c>
      <c r="P226" s="40" t="str" cm="1">
        <f t="array" ref="P226">IFERROR(_xlfn.LET(
_xlpm.CSVVal,_xlfn.XLOOKUP($A226,CSV!$A:$A,CSV!AB:AB,""),
_xlpm.MacVal,_xlfn.XLOOKUP($A226,Output_Mac!$A:$A,Output_Mac!T:T,""),
_xlpm.MyAuditVal,_xlfn.XLOOKUP($A226,My_Audit!$A:$A,My_Audit!Q:Q,""),
_xlfn.IFS(_xlpm.MyAuditVal&lt;&gt;"",UPPER(_xlpm.MyAuditVal),_xlpm.MacVal&lt;&gt;"",_xlpm.MacVal,_xlpm.CSVVal&lt;&gt;"",_xlpm.CSVVal
)),"No")</f>
        <v>No</v>
      </c>
      <c r="Q226" s="40" t="str" cm="1">
        <f t="array" ref="Q226">IFERROR(_xlfn.LET(
_xlpm.CSVVal,_xlfn.XLOOKUP($A226,CSV!$A:$A,CSV!AC:AC,""),
_xlpm.MacVal,_xlfn.XLOOKUP($A226,Output_Mac!$A:$A,Output_Mac!U:U,""),
_xlpm.MyAuditVal,_xlfn.XLOOKUP($A226,My_Audit!$A:$A,My_Audit!R:R,""),
_xlfn.IFS(_xlpm.MyAuditVal&lt;&gt;"",UPPER(_xlpm.MyAuditVal),_xlpm.MacVal&lt;&gt;"",_xlpm.MacVal,_xlpm.CSVVal&lt;&gt;"",_xlpm.CSVVal
)),"")</f>
        <v/>
      </c>
      <c r="R226" s="40"/>
      <c r="S226" s="40"/>
      <c r="T226" s="40"/>
      <c r="U226" s="40"/>
      <c r="V226" s="40"/>
      <c r="W226" s="40"/>
      <c r="X226" s="41" t="str">
        <f>_xlfn.LET(
    _xlpm.MacVal, _xlfn.XLOOKUP($A226, Output_Mac!$A:$A, Output_Mac!AB:AB, ""),
    _xlpm.MyAuditVal, _xlfn.XLOOKUP($A226, My_Audit!$A:$A, My_Audit!N:N, ""),
    _xlfn.TEXTJOIN(", ", TRUE, _xlpm.MyAuditVal, _xlpm.MacVal)
)</f>
        <v/>
      </c>
    </row>
    <row r="227" spans="1:24">
      <c r="A227" s="40" t="str">
        <f>_xlfn.TEXTJOIN("",TRUE,Input!$B$2,ROW(My_Audit!A226))</f>
        <v>X226</v>
      </c>
      <c r="B227" s="40" t="str">
        <f>_xlfn.TEXTJOIN("-",TRUE,"ITD",Input!$A$2,A227)</f>
        <v>ITD-X226</v>
      </c>
      <c r="C227" s="40" t="str" cm="1">
        <f t="array" ref="C227">IFERROR(_xlfn.LET(
_xlpm.CSVVal,_xlfn.XLOOKUP($A227,CSV!$A:$A,CSV!B:B,""),
_xlpm.MacVal,_xlfn.XLOOKUP($A227,Output_Mac!$A:$A,Output_Mac!B:B,""),
_xlpm.MyAuditVal,_xlfn.XLOOKUP($A227,My_Audit!$A:$A,My_Audit!B:B,""),
_xlfn.IFS(_xlpm.MyAuditVal&lt;&gt;"",UPPER(_xlpm.MyAuditVal),_xlpm.MacVal&lt;&gt;"",_xlpm.MacVal,_xlpm.CSVVal&lt;&gt;"",_xlpm.CSVVal
)),"")</f>
        <v/>
      </c>
      <c r="D227" s="40" t="str" cm="1">
        <f t="array" ref="D227">IFERROR(_xlfn.LET(
_xlpm.CSVVal,_xlfn.XLOOKUP($A227,CSV!$A:$A,CSV!D:D,""),
_xlpm.MacVal,_xlfn.XLOOKUP($A227,Output_Mac!$A:$A,Output_Mac!C:C,""),
_xlpm.MyAuditVal,_xlfn.XLOOKUP($A227,My_Audit!$A:$A,My_Audit!C:C,""),
_xlfn.IFS(_xlpm.MyAuditVal&lt;&gt;"",_xlpm.MyAuditVal,_xlpm.MacVal&lt;&gt;"",_xlpm.MacVal,_xlpm.CSVVal&lt;&gt;"",_xlpm.CSVVal
)),"")</f>
        <v/>
      </c>
      <c r="E227" s="40">
        <f>_xlfn.XLOOKUP(A227,My_Audit!A:A,My_Audit!D:D,"")</f>
        <v>0</v>
      </c>
      <c r="F227" s="40" t="str" cm="1">
        <f t="array" ref="F227">IFERROR(_xlfn.LET(
_xlpm.CSVVal,_xlfn.XLOOKUP($A227,CSV!$A:$A,CSV!F:F,""),
_xlpm.MacVal,_xlfn.XLOOKUP($A227,Output_Mac!$A:$A,Output_Mac!E:E,""),
_xlpm.MyAuditVal,_xlfn.XLOOKUP($A227,My_Audit!$A:$A,My_Audit!E:E,""),
_xlfn.IFS(_xlpm.MyAuditVal&lt;&gt;"",_xlpm.MyAuditVal,_xlpm.MacVal&lt;&gt;"",_xlpm.MacVal,_xlpm.CSVVal&lt;&gt;"",_xlpm.CSVVal
)),"")</f>
        <v/>
      </c>
      <c r="G227" s="40" t="str" cm="1">
        <f t="array" ref="G227">IFERROR(_xlfn.LET(
_xlpm.CSVVal,_xlfn.XLOOKUP($A227,CSV!$A:$A,CSV!G:G,""),
_xlpm.MacVal,_xlfn.XLOOKUP($A227,Output_Mac!$A:$A,Output_Mac!F:F,""),
_xlpm.MyAuditVal,_xlfn.XLOOKUP($A227,My_Audit!$A:$A,My_Audit!F:F,""),
_xlfn.IFS(_xlpm.MyAuditVal&lt;&gt;"",_xlpm.MyAuditVal,_xlpm.MacVal&lt;&gt;"",_xlpm.MacVal,_xlpm.CSVVal&lt;&gt;"",PROPER(_xlpm.CSVVal)
)),"")</f>
        <v/>
      </c>
      <c r="H227" s="40" t="str" cm="1">
        <f t="array" ref="H227">IFERROR(_xlfn.LET(
_xlpm.CSVVal,_xlfn.XLOOKUP($A227,CSV!$A:$A,CSV!H:H,""),
_xlpm.MacVal,_xlfn.XLOOKUP($A227,Output_Mac!$A:$A,Output_Mac!H:H,""),
_xlpm.MyAuditVal,_xlfn.XLOOKUP($A227,My_Audit!$A:$A,My_Audit!G:G,""),
_xlfn.IFS(_xlpm.MyAuditVal&lt;&gt;"",_xlpm.MyAuditVal,_xlpm.MacVal&lt;&gt;"",_xlpm.MacVal,_xlpm.CSVVal&lt;&gt;"",_xlpm.CSVVal
)),"")</f>
        <v/>
      </c>
      <c r="I227" s="40" t="str">
        <f>_xlfn.XLOOKUP(A227,Output_Mac!A:A,Output_Mac!I:I,"")</f>
        <v/>
      </c>
      <c r="J227" s="40" t="str" cm="1">
        <f t="array" ref="J227">IFERROR(_xlfn.LET(
_xlpm.CSVVal,_xlfn.XLOOKUP($A227,CSV!$A:$A,CSV!I:I,""),
_xlpm.MacVal,_xlfn.XLOOKUP($A227,Output_Mac!$A:$A,Output_Mac!J:J,""),
_xlpm.MyAuditVal,_xlfn.XLOOKUP($A227,My_Audit!$A:$A,My_Audit!I:I,""),
_xlfn.IFS(_xlpm.MyAuditVal&lt;&gt;"",UPPER(_xlpm.MyAuditVal),_xlpm.MacVal&lt;&gt;"",_xlpm.MacVal,_xlpm.CSVVal&lt;&gt;"",_xlpm.CSVVal
)),"")</f>
        <v/>
      </c>
      <c r="K227" s="40" t="str" cm="1">
        <f t="array" ref="K227">IFERROR(_xlfn.LET(
_xlpm.CSVVal,_xlfn.XLOOKUP($A227,CSV!$A:$A,CSV!K:K,""),
_xlpm.MacVal,_xlfn.XLOOKUP($A227,Output_Mac!$A:$A,Output_Mac!K:K,""),
_xlpm.MyAuditVal,_xlfn.XLOOKUP($A227,My_Audit!$A:$A,My_Audit!J:J,""),
_xlfn.IFS(_xlpm.MyAuditVal&lt;&gt;"",UPPER(_xlpm.MyAuditVal),_xlpm.MacVal&lt;&gt;"",_xlpm.MacVal,_xlpm.CSVVal&lt;&gt;"",_xlpm.CSVVal
)),"")</f>
        <v/>
      </c>
      <c r="L227" s="40" t="str" cm="1">
        <f t="array" ref="L227">IFERROR(_xlfn.LET(
_xlpm.CSVVal,_xlfn.XLOOKUP($A227,CSV!$A:$A,CSV!P:P,""),
_xlpm.MacVal,_xlfn.XLOOKUP($A227,Output_Mac!$A:$A,Output_Mac!L:L,""),
_xlpm.MyAuditVal,_xlfn.XLOOKUP($A227,My_Audit!$A:$A,My_Audit!K:K,""),
_xlfn.IFS(_xlpm.MyAuditVal&lt;&gt;"",UPPER(_xlpm.MyAuditVal),_xlpm.MacVal&lt;&gt;"",_xlpm.MacVal,_xlpm.CSVVal&lt;&gt;"",_xlpm.CSVVal
)),"")</f>
        <v/>
      </c>
      <c r="M227" s="40" t="str" cm="1">
        <f t="array" ref="M227">IFERROR(_xlfn.LET(
_xlpm.CSVVal,_xlfn.XLOOKUP($A227,CSV!$A:$A,CSV!Q:Q,""),
_xlpm.MacVal,_xlfn.XLOOKUP($A227,Output_Mac!$A:$A,Output_Mac!M:M,""),
_xlpm.MyAuditVal,_xlfn.XLOOKUP($A227,My_Audit!$A:$A,My_Audit!L:L,""),
_xlfn.IFS(_xlpm.MyAuditVal&lt;&gt;"",UPPER(_xlpm.MyAuditVal),_xlpm.MacVal&lt;&gt;"",_xlpm.MacVal,_xlpm.CSVVal&lt;&gt;"",_xlpm.CSVVal
)),"")</f>
        <v/>
      </c>
      <c r="N227" s="40"/>
      <c r="O227" s="40" t="str">
        <f>_xlfn.LET(
    _xlpm.CSVVal, _xlfn.XLOOKUP($A227, CSV!$A:$A, CSV!AA:AA, ""),
    _xlpm.MacVal, _xlfn.XLOOKUP($A227, Output_Mac!$A:$A, Output_Mac!S:S, ""),
    _xlpm.MyAuditVal, _xlfn.XLOOKUP($A227, My_Audit!$A:$A, My_Audit!P:P, ""),
    _xlfn.TEXTJOIN(", ", TRUE, _xlpm.MyAuditVal, _xlpm.MacVal, _xlpm.CSVVal)
)</f>
        <v/>
      </c>
      <c r="P227" s="40" t="str" cm="1">
        <f t="array" ref="P227">IFERROR(_xlfn.LET(
_xlpm.CSVVal,_xlfn.XLOOKUP($A227,CSV!$A:$A,CSV!AB:AB,""),
_xlpm.MacVal,_xlfn.XLOOKUP($A227,Output_Mac!$A:$A,Output_Mac!T:T,""),
_xlpm.MyAuditVal,_xlfn.XLOOKUP($A227,My_Audit!$A:$A,My_Audit!Q:Q,""),
_xlfn.IFS(_xlpm.MyAuditVal&lt;&gt;"",UPPER(_xlpm.MyAuditVal),_xlpm.MacVal&lt;&gt;"",_xlpm.MacVal,_xlpm.CSVVal&lt;&gt;"",_xlpm.CSVVal
)),"No")</f>
        <v>No</v>
      </c>
      <c r="Q227" s="40" t="str" cm="1">
        <f t="array" ref="Q227">IFERROR(_xlfn.LET(
_xlpm.CSVVal,_xlfn.XLOOKUP($A227,CSV!$A:$A,CSV!AC:AC,""),
_xlpm.MacVal,_xlfn.XLOOKUP($A227,Output_Mac!$A:$A,Output_Mac!U:U,""),
_xlpm.MyAuditVal,_xlfn.XLOOKUP($A227,My_Audit!$A:$A,My_Audit!R:R,""),
_xlfn.IFS(_xlpm.MyAuditVal&lt;&gt;"",UPPER(_xlpm.MyAuditVal),_xlpm.MacVal&lt;&gt;"",_xlpm.MacVal,_xlpm.CSVVal&lt;&gt;"",_xlpm.CSVVal
)),"")</f>
        <v/>
      </c>
      <c r="R227" s="40"/>
      <c r="S227" s="40"/>
      <c r="T227" s="40"/>
      <c r="U227" s="40"/>
      <c r="V227" s="40"/>
      <c r="W227" s="40"/>
      <c r="X227" s="41" t="str">
        <f>_xlfn.LET(
    _xlpm.MacVal, _xlfn.XLOOKUP($A227, Output_Mac!$A:$A, Output_Mac!AB:AB, ""),
    _xlpm.MyAuditVal, _xlfn.XLOOKUP($A227, My_Audit!$A:$A, My_Audit!N:N, ""),
    _xlfn.TEXTJOIN(", ", TRUE, _xlpm.MyAuditVal, _xlpm.MacVal)
)</f>
        <v/>
      </c>
    </row>
    <row r="228" spans="1:24">
      <c r="A228" s="40" t="str">
        <f>_xlfn.TEXTJOIN("",TRUE,Input!$B$2,ROW(My_Audit!A227))</f>
        <v>X227</v>
      </c>
      <c r="B228" s="40" t="str">
        <f>_xlfn.TEXTJOIN("-",TRUE,"ITD",Input!$A$2,A228)</f>
        <v>ITD-X227</v>
      </c>
      <c r="C228" s="40" t="str" cm="1">
        <f t="array" ref="C228">IFERROR(_xlfn.LET(
_xlpm.CSVVal,_xlfn.XLOOKUP($A228,CSV!$A:$A,CSV!B:B,""),
_xlpm.MacVal,_xlfn.XLOOKUP($A228,Output_Mac!$A:$A,Output_Mac!B:B,""),
_xlpm.MyAuditVal,_xlfn.XLOOKUP($A228,My_Audit!$A:$A,My_Audit!B:B,""),
_xlfn.IFS(_xlpm.MyAuditVal&lt;&gt;"",UPPER(_xlpm.MyAuditVal),_xlpm.MacVal&lt;&gt;"",_xlpm.MacVal,_xlpm.CSVVal&lt;&gt;"",_xlpm.CSVVal
)),"")</f>
        <v/>
      </c>
      <c r="D228" s="40" t="str" cm="1">
        <f t="array" ref="D228">IFERROR(_xlfn.LET(
_xlpm.CSVVal,_xlfn.XLOOKUP($A228,CSV!$A:$A,CSV!D:D,""),
_xlpm.MacVal,_xlfn.XLOOKUP($A228,Output_Mac!$A:$A,Output_Mac!C:C,""),
_xlpm.MyAuditVal,_xlfn.XLOOKUP($A228,My_Audit!$A:$A,My_Audit!C:C,""),
_xlfn.IFS(_xlpm.MyAuditVal&lt;&gt;"",_xlpm.MyAuditVal,_xlpm.MacVal&lt;&gt;"",_xlpm.MacVal,_xlpm.CSVVal&lt;&gt;"",_xlpm.CSVVal
)),"")</f>
        <v/>
      </c>
      <c r="E228" s="40">
        <f>_xlfn.XLOOKUP(A228,My_Audit!A:A,My_Audit!D:D,"")</f>
        <v>0</v>
      </c>
      <c r="F228" s="40" t="str" cm="1">
        <f t="array" ref="F228">IFERROR(_xlfn.LET(
_xlpm.CSVVal,_xlfn.XLOOKUP($A228,CSV!$A:$A,CSV!F:F,""),
_xlpm.MacVal,_xlfn.XLOOKUP($A228,Output_Mac!$A:$A,Output_Mac!E:E,""),
_xlpm.MyAuditVal,_xlfn.XLOOKUP($A228,My_Audit!$A:$A,My_Audit!E:E,""),
_xlfn.IFS(_xlpm.MyAuditVal&lt;&gt;"",_xlpm.MyAuditVal,_xlpm.MacVal&lt;&gt;"",_xlpm.MacVal,_xlpm.CSVVal&lt;&gt;"",_xlpm.CSVVal
)),"")</f>
        <v/>
      </c>
      <c r="G228" s="40" t="str" cm="1">
        <f t="array" ref="G228">IFERROR(_xlfn.LET(
_xlpm.CSVVal,_xlfn.XLOOKUP($A228,CSV!$A:$A,CSV!G:G,""),
_xlpm.MacVal,_xlfn.XLOOKUP($A228,Output_Mac!$A:$A,Output_Mac!F:F,""),
_xlpm.MyAuditVal,_xlfn.XLOOKUP($A228,My_Audit!$A:$A,My_Audit!F:F,""),
_xlfn.IFS(_xlpm.MyAuditVal&lt;&gt;"",_xlpm.MyAuditVal,_xlpm.MacVal&lt;&gt;"",_xlpm.MacVal,_xlpm.CSVVal&lt;&gt;"",PROPER(_xlpm.CSVVal)
)),"")</f>
        <v/>
      </c>
      <c r="H228" s="40" t="str" cm="1">
        <f t="array" ref="H228">IFERROR(_xlfn.LET(
_xlpm.CSVVal,_xlfn.XLOOKUP($A228,CSV!$A:$A,CSV!H:H,""),
_xlpm.MacVal,_xlfn.XLOOKUP($A228,Output_Mac!$A:$A,Output_Mac!H:H,""),
_xlpm.MyAuditVal,_xlfn.XLOOKUP($A228,My_Audit!$A:$A,My_Audit!G:G,""),
_xlfn.IFS(_xlpm.MyAuditVal&lt;&gt;"",_xlpm.MyAuditVal,_xlpm.MacVal&lt;&gt;"",_xlpm.MacVal,_xlpm.CSVVal&lt;&gt;"",_xlpm.CSVVal
)),"")</f>
        <v/>
      </c>
      <c r="I228" s="40" t="str">
        <f>_xlfn.XLOOKUP(A228,Output_Mac!A:A,Output_Mac!I:I,"")</f>
        <v/>
      </c>
      <c r="J228" s="40" t="str" cm="1">
        <f t="array" ref="J228">IFERROR(_xlfn.LET(
_xlpm.CSVVal,_xlfn.XLOOKUP($A228,CSV!$A:$A,CSV!I:I,""),
_xlpm.MacVal,_xlfn.XLOOKUP($A228,Output_Mac!$A:$A,Output_Mac!J:J,""),
_xlpm.MyAuditVal,_xlfn.XLOOKUP($A228,My_Audit!$A:$A,My_Audit!I:I,""),
_xlfn.IFS(_xlpm.MyAuditVal&lt;&gt;"",UPPER(_xlpm.MyAuditVal),_xlpm.MacVal&lt;&gt;"",_xlpm.MacVal,_xlpm.CSVVal&lt;&gt;"",_xlpm.CSVVal
)),"")</f>
        <v/>
      </c>
      <c r="K228" s="40" t="str" cm="1">
        <f t="array" ref="K228">IFERROR(_xlfn.LET(
_xlpm.CSVVal,_xlfn.XLOOKUP($A228,CSV!$A:$A,CSV!K:K,""),
_xlpm.MacVal,_xlfn.XLOOKUP($A228,Output_Mac!$A:$A,Output_Mac!K:K,""),
_xlpm.MyAuditVal,_xlfn.XLOOKUP($A228,My_Audit!$A:$A,My_Audit!J:J,""),
_xlfn.IFS(_xlpm.MyAuditVal&lt;&gt;"",UPPER(_xlpm.MyAuditVal),_xlpm.MacVal&lt;&gt;"",_xlpm.MacVal,_xlpm.CSVVal&lt;&gt;"",_xlpm.CSVVal
)),"")</f>
        <v/>
      </c>
      <c r="L228" s="40" t="str" cm="1">
        <f t="array" ref="L228">IFERROR(_xlfn.LET(
_xlpm.CSVVal,_xlfn.XLOOKUP($A228,CSV!$A:$A,CSV!P:P,""),
_xlpm.MacVal,_xlfn.XLOOKUP($A228,Output_Mac!$A:$A,Output_Mac!L:L,""),
_xlpm.MyAuditVal,_xlfn.XLOOKUP($A228,My_Audit!$A:$A,My_Audit!K:K,""),
_xlfn.IFS(_xlpm.MyAuditVal&lt;&gt;"",UPPER(_xlpm.MyAuditVal),_xlpm.MacVal&lt;&gt;"",_xlpm.MacVal,_xlpm.CSVVal&lt;&gt;"",_xlpm.CSVVal
)),"")</f>
        <v/>
      </c>
      <c r="M228" s="40" t="str" cm="1">
        <f t="array" ref="M228">IFERROR(_xlfn.LET(
_xlpm.CSVVal,_xlfn.XLOOKUP($A228,CSV!$A:$A,CSV!Q:Q,""),
_xlpm.MacVal,_xlfn.XLOOKUP($A228,Output_Mac!$A:$A,Output_Mac!M:M,""),
_xlpm.MyAuditVal,_xlfn.XLOOKUP($A228,My_Audit!$A:$A,My_Audit!L:L,""),
_xlfn.IFS(_xlpm.MyAuditVal&lt;&gt;"",UPPER(_xlpm.MyAuditVal),_xlpm.MacVal&lt;&gt;"",_xlpm.MacVal,_xlpm.CSVVal&lt;&gt;"",_xlpm.CSVVal
)),"")</f>
        <v/>
      </c>
      <c r="N228" s="40"/>
      <c r="O228" s="40" t="str">
        <f>_xlfn.LET(
    _xlpm.CSVVal, _xlfn.XLOOKUP($A228, CSV!$A:$A, CSV!AA:AA, ""),
    _xlpm.MacVal, _xlfn.XLOOKUP($A228, Output_Mac!$A:$A, Output_Mac!S:S, ""),
    _xlpm.MyAuditVal, _xlfn.XLOOKUP($A228, My_Audit!$A:$A, My_Audit!P:P, ""),
    _xlfn.TEXTJOIN(", ", TRUE, _xlpm.MyAuditVal, _xlpm.MacVal, _xlpm.CSVVal)
)</f>
        <v/>
      </c>
      <c r="P228" s="40" t="str" cm="1">
        <f t="array" ref="P228">IFERROR(_xlfn.LET(
_xlpm.CSVVal,_xlfn.XLOOKUP($A228,CSV!$A:$A,CSV!AB:AB,""),
_xlpm.MacVal,_xlfn.XLOOKUP($A228,Output_Mac!$A:$A,Output_Mac!T:T,""),
_xlpm.MyAuditVal,_xlfn.XLOOKUP($A228,My_Audit!$A:$A,My_Audit!Q:Q,""),
_xlfn.IFS(_xlpm.MyAuditVal&lt;&gt;"",UPPER(_xlpm.MyAuditVal),_xlpm.MacVal&lt;&gt;"",_xlpm.MacVal,_xlpm.CSVVal&lt;&gt;"",_xlpm.CSVVal
)),"No")</f>
        <v>No</v>
      </c>
      <c r="Q228" s="40" t="str" cm="1">
        <f t="array" ref="Q228">IFERROR(_xlfn.LET(
_xlpm.CSVVal,_xlfn.XLOOKUP($A228,CSV!$A:$A,CSV!AC:AC,""),
_xlpm.MacVal,_xlfn.XLOOKUP($A228,Output_Mac!$A:$A,Output_Mac!U:U,""),
_xlpm.MyAuditVal,_xlfn.XLOOKUP($A228,My_Audit!$A:$A,My_Audit!R:R,""),
_xlfn.IFS(_xlpm.MyAuditVal&lt;&gt;"",UPPER(_xlpm.MyAuditVal),_xlpm.MacVal&lt;&gt;"",_xlpm.MacVal,_xlpm.CSVVal&lt;&gt;"",_xlpm.CSVVal
)),"")</f>
        <v/>
      </c>
      <c r="R228" s="40"/>
      <c r="S228" s="40"/>
      <c r="T228" s="40"/>
      <c r="U228" s="40"/>
      <c r="V228" s="40"/>
      <c r="W228" s="40"/>
      <c r="X228" s="41" t="str">
        <f>_xlfn.LET(
    _xlpm.MacVal, _xlfn.XLOOKUP($A228, Output_Mac!$A:$A, Output_Mac!AB:AB, ""),
    _xlpm.MyAuditVal, _xlfn.XLOOKUP($A228, My_Audit!$A:$A, My_Audit!N:N, ""),
    _xlfn.TEXTJOIN(", ", TRUE, _xlpm.MyAuditVal, _xlpm.MacVal)
)</f>
        <v/>
      </c>
    </row>
    <row r="229" spans="1:24">
      <c r="A229" s="40" t="str">
        <f>_xlfn.TEXTJOIN("",TRUE,Input!$B$2,ROW(My_Audit!A228))</f>
        <v>X228</v>
      </c>
      <c r="B229" s="40" t="str">
        <f>_xlfn.TEXTJOIN("-",TRUE,"ITD",Input!$A$2,A229)</f>
        <v>ITD-X228</v>
      </c>
      <c r="C229" s="40" t="str" cm="1">
        <f t="array" ref="C229">IFERROR(_xlfn.LET(
_xlpm.CSVVal,_xlfn.XLOOKUP($A229,CSV!$A:$A,CSV!B:B,""),
_xlpm.MacVal,_xlfn.XLOOKUP($A229,Output_Mac!$A:$A,Output_Mac!B:B,""),
_xlpm.MyAuditVal,_xlfn.XLOOKUP($A229,My_Audit!$A:$A,My_Audit!B:B,""),
_xlfn.IFS(_xlpm.MyAuditVal&lt;&gt;"",UPPER(_xlpm.MyAuditVal),_xlpm.MacVal&lt;&gt;"",_xlpm.MacVal,_xlpm.CSVVal&lt;&gt;"",_xlpm.CSVVal
)),"")</f>
        <v/>
      </c>
      <c r="D229" s="40" t="str" cm="1">
        <f t="array" ref="D229">IFERROR(_xlfn.LET(
_xlpm.CSVVal,_xlfn.XLOOKUP($A229,CSV!$A:$A,CSV!D:D,""),
_xlpm.MacVal,_xlfn.XLOOKUP($A229,Output_Mac!$A:$A,Output_Mac!C:C,""),
_xlpm.MyAuditVal,_xlfn.XLOOKUP($A229,My_Audit!$A:$A,My_Audit!C:C,""),
_xlfn.IFS(_xlpm.MyAuditVal&lt;&gt;"",_xlpm.MyAuditVal,_xlpm.MacVal&lt;&gt;"",_xlpm.MacVal,_xlpm.CSVVal&lt;&gt;"",_xlpm.CSVVal
)),"")</f>
        <v/>
      </c>
      <c r="E229" s="40">
        <f>_xlfn.XLOOKUP(A229,My_Audit!A:A,My_Audit!D:D,"")</f>
        <v>0</v>
      </c>
      <c r="F229" s="40" t="str" cm="1">
        <f t="array" ref="F229">IFERROR(_xlfn.LET(
_xlpm.CSVVal,_xlfn.XLOOKUP($A229,CSV!$A:$A,CSV!F:F,""),
_xlpm.MacVal,_xlfn.XLOOKUP($A229,Output_Mac!$A:$A,Output_Mac!E:E,""),
_xlpm.MyAuditVal,_xlfn.XLOOKUP($A229,My_Audit!$A:$A,My_Audit!E:E,""),
_xlfn.IFS(_xlpm.MyAuditVal&lt;&gt;"",_xlpm.MyAuditVal,_xlpm.MacVal&lt;&gt;"",_xlpm.MacVal,_xlpm.CSVVal&lt;&gt;"",_xlpm.CSVVal
)),"")</f>
        <v/>
      </c>
      <c r="G229" s="40" t="str" cm="1">
        <f t="array" ref="G229">IFERROR(_xlfn.LET(
_xlpm.CSVVal,_xlfn.XLOOKUP($A229,CSV!$A:$A,CSV!G:G,""),
_xlpm.MacVal,_xlfn.XLOOKUP($A229,Output_Mac!$A:$A,Output_Mac!F:F,""),
_xlpm.MyAuditVal,_xlfn.XLOOKUP($A229,My_Audit!$A:$A,My_Audit!F:F,""),
_xlfn.IFS(_xlpm.MyAuditVal&lt;&gt;"",_xlpm.MyAuditVal,_xlpm.MacVal&lt;&gt;"",_xlpm.MacVal,_xlpm.CSVVal&lt;&gt;"",PROPER(_xlpm.CSVVal)
)),"")</f>
        <v/>
      </c>
      <c r="H229" s="40" t="str" cm="1">
        <f t="array" ref="H229">IFERROR(_xlfn.LET(
_xlpm.CSVVal,_xlfn.XLOOKUP($A229,CSV!$A:$A,CSV!H:H,""),
_xlpm.MacVal,_xlfn.XLOOKUP($A229,Output_Mac!$A:$A,Output_Mac!H:H,""),
_xlpm.MyAuditVal,_xlfn.XLOOKUP($A229,My_Audit!$A:$A,My_Audit!G:G,""),
_xlfn.IFS(_xlpm.MyAuditVal&lt;&gt;"",_xlpm.MyAuditVal,_xlpm.MacVal&lt;&gt;"",_xlpm.MacVal,_xlpm.CSVVal&lt;&gt;"",_xlpm.CSVVal
)),"")</f>
        <v/>
      </c>
      <c r="I229" s="40" t="str">
        <f>_xlfn.XLOOKUP(A229,Output_Mac!A:A,Output_Mac!I:I,"")</f>
        <v/>
      </c>
      <c r="J229" s="40" t="str" cm="1">
        <f t="array" ref="J229">IFERROR(_xlfn.LET(
_xlpm.CSVVal,_xlfn.XLOOKUP($A229,CSV!$A:$A,CSV!I:I,""),
_xlpm.MacVal,_xlfn.XLOOKUP($A229,Output_Mac!$A:$A,Output_Mac!J:J,""),
_xlpm.MyAuditVal,_xlfn.XLOOKUP($A229,My_Audit!$A:$A,My_Audit!I:I,""),
_xlfn.IFS(_xlpm.MyAuditVal&lt;&gt;"",UPPER(_xlpm.MyAuditVal),_xlpm.MacVal&lt;&gt;"",_xlpm.MacVal,_xlpm.CSVVal&lt;&gt;"",_xlpm.CSVVal
)),"")</f>
        <v/>
      </c>
      <c r="K229" s="40" t="str" cm="1">
        <f t="array" ref="K229">IFERROR(_xlfn.LET(
_xlpm.CSVVal,_xlfn.XLOOKUP($A229,CSV!$A:$A,CSV!K:K,""),
_xlpm.MacVal,_xlfn.XLOOKUP($A229,Output_Mac!$A:$A,Output_Mac!K:K,""),
_xlpm.MyAuditVal,_xlfn.XLOOKUP($A229,My_Audit!$A:$A,My_Audit!J:J,""),
_xlfn.IFS(_xlpm.MyAuditVal&lt;&gt;"",UPPER(_xlpm.MyAuditVal),_xlpm.MacVal&lt;&gt;"",_xlpm.MacVal,_xlpm.CSVVal&lt;&gt;"",_xlpm.CSVVal
)),"")</f>
        <v/>
      </c>
      <c r="L229" s="40" t="str" cm="1">
        <f t="array" ref="L229">IFERROR(_xlfn.LET(
_xlpm.CSVVal,_xlfn.XLOOKUP($A229,CSV!$A:$A,CSV!P:P,""),
_xlpm.MacVal,_xlfn.XLOOKUP($A229,Output_Mac!$A:$A,Output_Mac!L:L,""),
_xlpm.MyAuditVal,_xlfn.XLOOKUP($A229,My_Audit!$A:$A,My_Audit!K:K,""),
_xlfn.IFS(_xlpm.MyAuditVal&lt;&gt;"",UPPER(_xlpm.MyAuditVal),_xlpm.MacVal&lt;&gt;"",_xlpm.MacVal,_xlpm.CSVVal&lt;&gt;"",_xlpm.CSVVal
)),"")</f>
        <v/>
      </c>
      <c r="M229" s="40" t="str" cm="1">
        <f t="array" ref="M229">IFERROR(_xlfn.LET(
_xlpm.CSVVal,_xlfn.XLOOKUP($A229,CSV!$A:$A,CSV!Q:Q,""),
_xlpm.MacVal,_xlfn.XLOOKUP($A229,Output_Mac!$A:$A,Output_Mac!M:M,""),
_xlpm.MyAuditVal,_xlfn.XLOOKUP($A229,My_Audit!$A:$A,My_Audit!L:L,""),
_xlfn.IFS(_xlpm.MyAuditVal&lt;&gt;"",UPPER(_xlpm.MyAuditVal),_xlpm.MacVal&lt;&gt;"",_xlpm.MacVal,_xlpm.CSVVal&lt;&gt;"",_xlpm.CSVVal
)),"")</f>
        <v/>
      </c>
      <c r="N229" s="40"/>
      <c r="O229" s="40" t="str">
        <f>_xlfn.LET(
    _xlpm.CSVVal, _xlfn.XLOOKUP($A229, CSV!$A:$A, CSV!AA:AA, ""),
    _xlpm.MacVal, _xlfn.XLOOKUP($A229, Output_Mac!$A:$A, Output_Mac!S:S, ""),
    _xlpm.MyAuditVal, _xlfn.XLOOKUP($A229, My_Audit!$A:$A, My_Audit!P:P, ""),
    _xlfn.TEXTJOIN(", ", TRUE, _xlpm.MyAuditVal, _xlpm.MacVal, _xlpm.CSVVal)
)</f>
        <v/>
      </c>
      <c r="P229" s="40" t="str" cm="1">
        <f t="array" ref="P229">IFERROR(_xlfn.LET(
_xlpm.CSVVal,_xlfn.XLOOKUP($A229,CSV!$A:$A,CSV!AB:AB,""),
_xlpm.MacVal,_xlfn.XLOOKUP($A229,Output_Mac!$A:$A,Output_Mac!T:T,""),
_xlpm.MyAuditVal,_xlfn.XLOOKUP($A229,My_Audit!$A:$A,My_Audit!Q:Q,""),
_xlfn.IFS(_xlpm.MyAuditVal&lt;&gt;"",UPPER(_xlpm.MyAuditVal),_xlpm.MacVal&lt;&gt;"",_xlpm.MacVal,_xlpm.CSVVal&lt;&gt;"",_xlpm.CSVVal
)),"No")</f>
        <v>No</v>
      </c>
      <c r="Q229" s="40" t="str" cm="1">
        <f t="array" ref="Q229">IFERROR(_xlfn.LET(
_xlpm.CSVVal,_xlfn.XLOOKUP($A229,CSV!$A:$A,CSV!AC:AC,""),
_xlpm.MacVal,_xlfn.XLOOKUP($A229,Output_Mac!$A:$A,Output_Mac!U:U,""),
_xlpm.MyAuditVal,_xlfn.XLOOKUP($A229,My_Audit!$A:$A,My_Audit!R:R,""),
_xlfn.IFS(_xlpm.MyAuditVal&lt;&gt;"",UPPER(_xlpm.MyAuditVal),_xlpm.MacVal&lt;&gt;"",_xlpm.MacVal,_xlpm.CSVVal&lt;&gt;"",_xlpm.CSVVal
)),"")</f>
        <v/>
      </c>
      <c r="R229" s="40"/>
      <c r="S229" s="40"/>
      <c r="T229" s="40"/>
      <c r="U229" s="40"/>
      <c r="V229" s="40"/>
      <c r="W229" s="40"/>
      <c r="X229" s="41" t="str">
        <f>_xlfn.LET(
    _xlpm.MacVal, _xlfn.XLOOKUP($A229, Output_Mac!$A:$A, Output_Mac!AB:AB, ""),
    _xlpm.MyAuditVal, _xlfn.XLOOKUP($A229, My_Audit!$A:$A, My_Audit!N:N, ""),
    _xlfn.TEXTJOIN(", ", TRUE, _xlpm.MyAuditVal, _xlpm.MacVal)
)</f>
        <v/>
      </c>
    </row>
    <row r="230" spans="1:24">
      <c r="A230" s="40" t="str">
        <f>_xlfn.TEXTJOIN("",TRUE,Input!$B$2,ROW(My_Audit!A229))</f>
        <v>X229</v>
      </c>
      <c r="B230" s="40" t="str">
        <f>_xlfn.TEXTJOIN("-",TRUE,"ITD",Input!$A$2,A230)</f>
        <v>ITD-X229</v>
      </c>
      <c r="C230" s="40" t="str" cm="1">
        <f t="array" ref="C230">IFERROR(_xlfn.LET(
_xlpm.CSVVal,_xlfn.XLOOKUP($A230,CSV!$A:$A,CSV!B:B,""),
_xlpm.MacVal,_xlfn.XLOOKUP($A230,Output_Mac!$A:$A,Output_Mac!B:B,""),
_xlpm.MyAuditVal,_xlfn.XLOOKUP($A230,My_Audit!$A:$A,My_Audit!B:B,""),
_xlfn.IFS(_xlpm.MyAuditVal&lt;&gt;"",UPPER(_xlpm.MyAuditVal),_xlpm.MacVal&lt;&gt;"",_xlpm.MacVal,_xlpm.CSVVal&lt;&gt;"",_xlpm.CSVVal
)),"")</f>
        <v/>
      </c>
      <c r="D230" s="40" t="str" cm="1">
        <f t="array" ref="D230">IFERROR(_xlfn.LET(
_xlpm.CSVVal,_xlfn.XLOOKUP($A230,CSV!$A:$A,CSV!D:D,""),
_xlpm.MacVal,_xlfn.XLOOKUP($A230,Output_Mac!$A:$A,Output_Mac!C:C,""),
_xlpm.MyAuditVal,_xlfn.XLOOKUP($A230,My_Audit!$A:$A,My_Audit!C:C,""),
_xlfn.IFS(_xlpm.MyAuditVal&lt;&gt;"",_xlpm.MyAuditVal,_xlpm.MacVal&lt;&gt;"",_xlpm.MacVal,_xlpm.CSVVal&lt;&gt;"",_xlpm.CSVVal
)),"")</f>
        <v/>
      </c>
      <c r="E230" s="40">
        <f>_xlfn.XLOOKUP(A230,My_Audit!A:A,My_Audit!D:D,"")</f>
        <v>0</v>
      </c>
      <c r="F230" s="40" t="str" cm="1">
        <f t="array" ref="F230">IFERROR(_xlfn.LET(
_xlpm.CSVVal,_xlfn.XLOOKUP($A230,CSV!$A:$A,CSV!F:F,""),
_xlpm.MacVal,_xlfn.XLOOKUP($A230,Output_Mac!$A:$A,Output_Mac!E:E,""),
_xlpm.MyAuditVal,_xlfn.XLOOKUP($A230,My_Audit!$A:$A,My_Audit!E:E,""),
_xlfn.IFS(_xlpm.MyAuditVal&lt;&gt;"",_xlpm.MyAuditVal,_xlpm.MacVal&lt;&gt;"",_xlpm.MacVal,_xlpm.CSVVal&lt;&gt;"",_xlpm.CSVVal
)),"")</f>
        <v/>
      </c>
      <c r="G230" s="40" t="str" cm="1">
        <f t="array" ref="G230">IFERROR(_xlfn.LET(
_xlpm.CSVVal,_xlfn.XLOOKUP($A230,CSV!$A:$A,CSV!G:G,""),
_xlpm.MacVal,_xlfn.XLOOKUP($A230,Output_Mac!$A:$A,Output_Mac!F:F,""),
_xlpm.MyAuditVal,_xlfn.XLOOKUP($A230,My_Audit!$A:$A,My_Audit!F:F,""),
_xlfn.IFS(_xlpm.MyAuditVal&lt;&gt;"",_xlpm.MyAuditVal,_xlpm.MacVal&lt;&gt;"",_xlpm.MacVal,_xlpm.CSVVal&lt;&gt;"",PROPER(_xlpm.CSVVal)
)),"")</f>
        <v/>
      </c>
      <c r="H230" s="40" t="str" cm="1">
        <f t="array" ref="H230">IFERROR(_xlfn.LET(
_xlpm.CSVVal,_xlfn.XLOOKUP($A230,CSV!$A:$A,CSV!H:H,""),
_xlpm.MacVal,_xlfn.XLOOKUP($A230,Output_Mac!$A:$A,Output_Mac!H:H,""),
_xlpm.MyAuditVal,_xlfn.XLOOKUP($A230,My_Audit!$A:$A,My_Audit!G:G,""),
_xlfn.IFS(_xlpm.MyAuditVal&lt;&gt;"",_xlpm.MyAuditVal,_xlpm.MacVal&lt;&gt;"",_xlpm.MacVal,_xlpm.CSVVal&lt;&gt;"",_xlpm.CSVVal
)),"")</f>
        <v/>
      </c>
      <c r="I230" s="40" t="str">
        <f>_xlfn.XLOOKUP(A230,Output_Mac!A:A,Output_Mac!I:I,"")</f>
        <v/>
      </c>
      <c r="J230" s="40" t="str" cm="1">
        <f t="array" ref="J230">IFERROR(_xlfn.LET(
_xlpm.CSVVal,_xlfn.XLOOKUP($A230,CSV!$A:$A,CSV!I:I,""),
_xlpm.MacVal,_xlfn.XLOOKUP($A230,Output_Mac!$A:$A,Output_Mac!J:J,""),
_xlpm.MyAuditVal,_xlfn.XLOOKUP($A230,My_Audit!$A:$A,My_Audit!I:I,""),
_xlfn.IFS(_xlpm.MyAuditVal&lt;&gt;"",UPPER(_xlpm.MyAuditVal),_xlpm.MacVal&lt;&gt;"",_xlpm.MacVal,_xlpm.CSVVal&lt;&gt;"",_xlpm.CSVVal
)),"")</f>
        <v/>
      </c>
      <c r="K230" s="40" t="str" cm="1">
        <f t="array" ref="K230">IFERROR(_xlfn.LET(
_xlpm.CSVVal,_xlfn.XLOOKUP($A230,CSV!$A:$A,CSV!K:K,""),
_xlpm.MacVal,_xlfn.XLOOKUP($A230,Output_Mac!$A:$A,Output_Mac!K:K,""),
_xlpm.MyAuditVal,_xlfn.XLOOKUP($A230,My_Audit!$A:$A,My_Audit!J:J,""),
_xlfn.IFS(_xlpm.MyAuditVal&lt;&gt;"",UPPER(_xlpm.MyAuditVal),_xlpm.MacVal&lt;&gt;"",_xlpm.MacVal,_xlpm.CSVVal&lt;&gt;"",_xlpm.CSVVal
)),"")</f>
        <v/>
      </c>
      <c r="L230" s="40" t="str" cm="1">
        <f t="array" ref="L230">IFERROR(_xlfn.LET(
_xlpm.CSVVal,_xlfn.XLOOKUP($A230,CSV!$A:$A,CSV!P:P,""),
_xlpm.MacVal,_xlfn.XLOOKUP($A230,Output_Mac!$A:$A,Output_Mac!L:L,""),
_xlpm.MyAuditVal,_xlfn.XLOOKUP($A230,My_Audit!$A:$A,My_Audit!K:K,""),
_xlfn.IFS(_xlpm.MyAuditVal&lt;&gt;"",UPPER(_xlpm.MyAuditVal),_xlpm.MacVal&lt;&gt;"",_xlpm.MacVal,_xlpm.CSVVal&lt;&gt;"",_xlpm.CSVVal
)),"")</f>
        <v/>
      </c>
      <c r="M230" s="40" t="str" cm="1">
        <f t="array" ref="M230">IFERROR(_xlfn.LET(
_xlpm.CSVVal,_xlfn.XLOOKUP($A230,CSV!$A:$A,CSV!Q:Q,""),
_xlpm.MacVal,_xlfn.XLOOKUP($A230,Output_Mac!$A:$A,Output_Mac!M:M,""),
_xlpm.MyAuditVal,_xlfn.XLOOKUP($A230,My_Audit!$A:$A,My_Audit!L:L,""),
_xlfn.IFS(_xlpm.MyAuditVal&lt;&gt;"",UPPER(_xlpm.MyAuditVal),_xlpm.MacVal&lt;&gt;"",_xlpm.MacVal,_xlpm.CSVVal&lt;&gt;"",_xlpm.CSVVal
)),"")</f>
        <v/>
      </c>
      <c r="N230" s="40"/>
      <c r="O230" s="40" t="str">
        <f>_xlfn.LET(
    _xlpm.CSVVal, _xlfn.XLOOKUP($A230, CSV!$A:$A, CSV!AA:AA, ""),
    _xlpm.MacVal, _xlfn.XLOOKUP($A230, Output_Mac!$A:$A, Output_Mac!S:S, ""),
    _xlpm.MyAuditVal, _xlfn.XLOOKUP($A230, My_Audit!$A:$A, My_Audit!P:P, ""),
    _xlfn.TEXTJOIN(", ", TRUE, _xlpm.MyAuditVal, _xlpm.MacVal, _xlpm.CSVVal)
)</f>
        <v/>
      </c>
      <c r="P230" s="40" t="str" cm="1">
        <f t="array" ref="P230">IFERROR(_xlfn.LET(
_xlpm.CSVVal,_xlfn.XLOOKUP($A230,CSV!$A:$A,CSV!AB:AB,""),
_xlpm.MacVal,_xlfn.XLOOKUP($A230,Output_Mac!$A:$A,Output_Mac!T:T,""),
_xlpm.MyAuditVal,_xlfn.XLOOKUP($A230,My_Audit!$A:$A,My_Audit!Q:Q,""),
_xlfn.IFS(_xlpm.MyAuditVal&lt;&gt;"",UPPER(_xlpm.MyAuditVal),_xlpm.MacVal&lt;&gt;"",_xlpm.MacVal,_xlpm.CSVVal&lt;&gt;"",_xlpm.CSVVal
)),"No")</f>
        <v>No</v>
      </c>
      <c r="Q230" s="40" t="str" cm="1">
        <f t="array" ref="Q230">IFERROR(_xlfn.LET(
_xlpm.CSVVal,_xlfn.XLOOKUP($A230,CSV!$A:$A,CSV!AC:AC,""),
_xlpm.MacVal,_xlfn.XLOOKUP($A230,Output_Mac!$A:$A,Output_Mac!U:U,""),
_xlpm.MyAuditVal,_xlfn.XLOOKUP($A230,My_Audit!$A:$A,My_Audit!R:R,""),
_xlfn.IFS(_xlpm.MyAuditVal&lt;&gt;"",UPPER(_xlpm.MyAuditVal),_xlpm.MacVal&lt;&gt;"",_xlpm.MacVal,_xlpm.CSVVal&lt;&gt;"",_xlpm.CSVVal
)),"")</f>
        <v/>
      </c>
      <c r="R230" s="40"/>
      <c r="S230" s="40"/>
      <c r="T230" s="40"/>
      <c r="U230" s="40"/>
      <c r="V230" s="40"/>
      <c r="W230" s="40"/>
      <c r="X230" s="41" t="str">
        <f>_xlfn.LET(
    _xlpm.MacVal, _xlfn.XLOOKUP($A230, Output_Mac!$A:$A, Output_Mac!AB:AB, ""),
    _xlpm.MyAuditVal, _xlfn.XLOOKUP($A230, My_Audit!$A:$A, My_Audit!N:N, ""),
    _xlfn.TEXTJOIN(", ", TRUE, _xlpm.MyAuditVal, _xlpm.MacVal)
)</f>
        <v/>
      </c>
    </row>
    <row r="231" spans="1:24">
      <c r="A231" s="40" t="str">
        <f>_xlfn.TEXTJOIN("",TRUE,Input!$B$2,ROW(My_Audit!A230))</f>
        <v>X230</v>
      </c>
      <c r="B231" s="40" t="str">
        <f>_xlfn.TEXTJOIN("-",TRUE,"ITD",Input!$A$2,A231)</f>
        <v>ITD-X230</v>
      </c>
      <c r="C231" s="40" t="str" cm="1">
        <f t="array" ref="C231">IFERROR(_xlfn.LET(
_xlpm.CSVVal,_xlfn.XLOOKUP($A231,CSV!$A:$A,CSV!B:B,""),
_xlpm.MacVal,_xlfn.XLOOKUP($A231,Output_Mac!$A:$A,Output_Mac!B:B,""),
_xlpm.MyAuditVal,_xlfn.XLOOKUP($A231,My_Audit!$A:$A,My_Audit!B:B,""),
_xlfn.IFS(_xlpm.MyAuditVal&lt;&gt;"",UPPER(_xlpm.MyAuditVal),_xlpm.MacVal&lt;&gt;"",_xlpm.MacVal,_xlpm.CSVVal&lt;&gt;"",_xlpm.CSVVal
)),"")</f>
        <v/>
      </c>
      <c r="D231" s="40" t="str" cm="1">
        <f t="array" ref="D231">IFERROR(_xlfn.LET(
_xlpm.CSVVal,_xlfn.XLOOKUP($A231,CSV!$A:$A,CSV!D:D,""),
_xlpm.MacVal,_xlfn.XLOOKUP($A231,Output_Mac!$A:$A,Output_Mac!C:C,""),
_xlpm.MyAuditVal,_xlfn.XLOOKUP($A231,My_Audit!$A:$A,My_Audit!C:C,""),
_xlfn.IFS(_xlpm.MyAuditVal&lt;&gt;"",_xlpm.MyAuditVal,_xlpm.MacVal&lt;&gt;"",_xlpm.MacVal,_xlpm.CSVVal&lt;&gt;"",_xlpm.CSVVal
)),"")</f>
        <v/>
      </c>
      <c r="E231" s="40">
        <f>_xlfn.XLOOKUP(A231,My_Audit!A:A,My_Audit!D:D,"")</f>
        <v>0</v>
      </c>
      <c r="F231" s="40" t="str" cm="1">
        <f t="array" ref="F231">IFERROR(_xlfn.LET(
_xlpm.CSVVal,_xlfn.XLOOKUP($A231,CSV!$A:$A,CSV!F:F,""),
_xlpm.MacVal,_xlfn.XLOOKUP($A231,Output_Mac!$A:$A,Output_Mac!E:E,""),
_xlpm.MyAuditVal,_xlfn.XLOOKUP($A231,My_Audit!$A:$A,My_Audit!E:E,""),
_xlfn.IFS(_xlpm.MyAuditVal&lt;&gt;"",_xlpm.MyAuditVal,_xlpm.MacVal&lt;&gt;"",_xlpm.MacVal,_xlpm.CSVVal&lt;&gt;"",_xlpm.CSVVal
)),"")</f>
        <v/>
      </c>
      <c r="G231" s="40" t="str" cm="1">
        <f t="array" ref="G231">IFERROR(_xlfn.LET(
_xlpm.CSVVal,_xlfn.XLOOKUP($A231,CSV!$A:$A,CSV!G:G,""),
_xlpm.MacVal,_xlfn.XLOOKUP($A231,Output_Mac!$A:$A,Output_Mac!F:F,""),
_xlpm.MyAuditVal,_xlfn.XLOOKUP($A231,My_Audit!$A:$A,My_Audit!F:F,""),
_xlfn.IFS(_xlpm.MyAuditVal&lt;&gt;"",_xlpm.MyAuditVal,_xlpm.MacVal&lt;&gt;"",_xlpm.MacVal,_xlpm.CSVVal&lt;&gt;"",PROPER(_xlpm.CSVVal)
)),"")</f>
        <v/>
      </c>
      <c r="H231" s="40" t="str" cm="1">
        <f t="array" ref="H231">IFERROR(_xlfn.LET(
_xlpm.CSVVal,_xlfn.XLOOKUP($A231,CSV!$A:$A,CSV!H:H,""),
_xlpm.MacVal,_xlfn.XLOOKUP($A231,Output_Mac!$A:$A,Output_Mac!H:H,""),
_xlpm.MyAuditVal,_xlfn.XLOOKUP($A231,My_Audit!$A:$A,My_Audit!G:G,""),
_xlfn.IFS(_xlpm.MyAuditVal&lt;&gt;"",_xlpm.MyAuditVal,_xlpm.MacVal&lt;&gt;"",_xlpm.MacVal,_xlpm.CSVVal&lt;&gt;"",_xlpm.CSVVal
)),"")</f>
        <v/>
      </c>
      <c r="I231" s="40" t="str">
        <f>_xlfn.XLOOKUP(A231,Output_Mac!A:A,Output_Mac!I:I,"")</f>
        <v/>
      </c>
      <c r="J231" s="40" t="str" cm="1">
        <f t="array" ref="J231">IFERROR(_xlfn.LET(
_xlpm.CSVVal,_xlfn.XLOOKUP($A231,CSV!$A:$A,CSV!I:I,""),
_xlpm.MacVal,_xlfn.XLOOKUP($A231,Output_Mac!$A:$A,Output_Mac!J:J,""),
_xlpm.MyAuditVal,_xlfn.XLOOKUP($A231,My_Audit!$A:$A,My_Audit!I:I,""),
_xlfn.IFS(_xlpm.MyAuditVal&lt;&gt;"",UPPER(_xlpm.MyAuditVal),_xlpm.MacVal&lt;&gt;"",_xlpm.MacVal,_xlpm.CSVVal&lt;&gt;"",_xlpm.CSVVal
)),"")</f>
        <v/>
      </c>
      <c r="K231" s="40" t="str" cm="1">
        <f t="array" ref="K231">IFERROR(_xlfn.LET(
_xlpm.CSVVal,_xlfn.XLOOKUP($A231,CSV!$A:$A,CSV!K:K,""),
_xlpm.MacVal,_xlfn.XLOOKUP($A231,Output_Mac!$A:$A,Output_Mac!K:K,""),
_xlpm.MyAuditVal,_xlfn.XLOOKUP($A231,My_Audit!$A:$A,My_Audit!J:J,""),
_xlfn.IFS(_xlpm.MyAuditVal&lt;&gt;"",UPPER(_xlpm.MyAuditVal),_xlpm.MacVal&lt;&gt;"",_xlpm.MacVal,_xlpm.CSVVal&lt;&gt;"",_xlpm.CSVVal
)),"")</f>
        <v/>
      </c>
      <c r="L231" s="40" t="str" cm="1">
        <f t="array" ref="L231">IFERROR(_xlfn.LET(
_xlpm.CSVVal,_xlfn.XLOOKUP($A231,CSV!$A:$A,CSV!P:P,""),
_xlpm.MacVal,_xlfn.XLOOKUP($A231,Output_Mac!$A:$A,Output_Mac!L:L,""),
_xlpm.MyAuditVal,_xlfn.XLOOKUP($A231,My_Audit!$A:$A,My_Audit!K:K,""),
_xlfn.IFS(_xlpm.MyAuditVal&lt;&gt;"",UPPER(_xlpm.MyAuditVal),_xlpm.MacVal&lt;&gt;"",_xlpm.MacVal,_xlpm.CSVVal&lt;&gt;"",_xlpm.CSVVal
)),"")</f>
        <v/>
      </c>
      <c r="M231" s="40" t="str" cm="1">
        <f t="array" ref="M231">IFERROR(_xlfn.LET(
_xlpm.CSVVal,_xlfn.XLOOKUP($A231,CSV!$A:$A,CSV!Q:Q,""),
_xlpm.MacVal,_xlfn.XLOOKUP($A231,Output_Mac!$A:$A,Output_Mac!M:M,""),
_xlpm.MyAuditVal,_xlfn.XLOOKUP($A231,My_Audit!$A:$A,My_Audit!L:L,""),
_xlfn.IFS(_xlpm.MyAuditVal&lt;&gt;"",UPPER(_xlpm.MyAuditVal),_xlpm.MacVal&lt;&gt;"",_xlpm.MacVal,_xlpm.CSVVal&lt;&gt;"",_xlpm.CSVVal
)),"")</f>
        <v/>
      </c>
      <c r="N231" s="40"/>
      <c r="O231" s="40" t="str">
        <f>_xlfn.LET(
    _xlpm.CSVVal, _xlfn.XLOOKUP($A231, CSV!$A:$A, CSV!AA:AA, ""),
    _xlpm.MacVal, _xlfn.XLOOKUP($A231, Output_Mac!$A:$A, Output_Mac!S:S, ""),
    _xlpm.MyAuditVal, _xlfn.XLOOKUP($A231, My_Audit!$A:$A, My_Audit!P:P, ""),
    _xlfn.TEXTJOIN(", ", TRUE, _xlpm.MyAuditVal, _xlpm.MacVal, _xlpm.CSVVal)
)</f>
        <v/>
      </c>
      <c r="P231" s="40" t="str" cm="1">
        <f t="array" ref="P231">IFERROR(_xlfn.LET(
_xlpm.CSVVal,_xlfn.XLOOKUP($A231,CSV!$A:$A,CSV!AB:AB,""),
_xlpm.MacVal,_xlfn.XLOOKUP($A231,Output_Mac!$A:$A,Output_Mac!T:T,""),
_xlpm.MyAuditVal,_xlfn.XLOOKUP($A231,My_Audit!$A:$A,My_Audit!Q:Q,""),
_xlfn.IFS(_xlpm.MyAuditVal&lt;&gt;"",UPPER(_xlpm.MyAuditVal),_xlpm.MacVal&lt;&gt;"",_xlpm.MacVal,_xlpm.CSVVal&lt;&gt;"",_xlpm.CSVVal
)),"No")</f>
        <v>No</v>
      </c>
      <c r="Q231" s="40" t="str" cm="1">
        <f t="array" ref="Q231">IFERROR(_xlfn.LET(
_xlpm.CSVVal,_xlfn.XLOOKUP($A231,CSV!$A:$A,CSV!AC:AC,""),
_xlpm.MacVal,_xlfn.XLOOKUP($A231,Output_Mac!$A:$A,Output_Mac!U:U,""),
_xlpm.MyAuditVal,_xlfn.XLOOKUP($A231,My_Audit!$A:$A,My_Audit!R:R,""),
_xlfn.IFS(_xlpm.MyAuditVal&lt;&gt;"",UPPER(_xlpm.MyAuditVal),_xlpm.MacVal&lt;&gt;"",_xlpm.MacVal,_xlpm.CSVVal&lt;&gt;"",_xlpm.CSVVal
)),"")</f>
        <v/>
      </c>
      <c r="R231" s="40"/>
      <c r="S231" s="40"/>
      <c r="T231" s="40"/>
      <c r="U231" s="40"/>
      <c r="V231" s="40"/>
      <c r="W231" s="40"/>
      <c r="X231" s="41" t="str">
        <f>_xlfn.LET(
    _xlpm.MacVal, _xlfn.XLOOKUP($A231, Output_Mac!$A:$A, Output_Mac!AB:AB, ""),
    _xlpm.MyAuditVal, _xlfn.XLOOKUP($A231, My_Audit!$A:$A, My_Audit!N:N, ""),
    _xlfn.TEXTJOIN(", ", TRUE, _xlpm.MyAuditVal, _xlpm.MacVal)
)</f>
        <v/>
      </c>
    </row>
    <row r="232" spans="1:24">
      <c r="A232" s="40" t="str">
        <f>_xlfn.TEXTJOIN("",TRUE,Input!$B$2,ROW(My_Audit!A231))</f>
        <v>X231</v>
      </c>
      <c r="B232" s="40" t="str">
        <f>_xlfn.TEXTJOIN("-",TRUE,"ITD",Input!$A$2,A232)</f>
        <v>ITD-X231</v>
      </c>
      <c r="C232" s="40" t="str" cm="1">
        <f t="array" ref="C232">IFERROR(_xlfn.LET(
_xlpm.CSVVal,_xlfn.XLOOKUP($A232,CSV!$A:$A,CSV!B:B,""),
_xlpm.MacVal,_xlfn.XLOOKUP($A232,Output_Mac!$A:$A,Output_Mac!B:B,""),
_xlpm.MyAuditVal,_xlfn.XLOOKUP($A232,My_Audit!$A:$A,My_Audit!B:B,""),
_xlfn.IFS(_xlpm.MyAuditVal&lt;&gt;"",UPPER(_xlpm.MyAuditVal),_xlpm.MacVal&lt;&gt;"",_xlpm.MacVal,_xlpm.CSVVal&lt;&gt;"",_xlpm.CSVVal
)),"")</f>
        <v/>
      </c>
      <c r="D232" s="40" t="str" cm="1">
        <f t="array" ref="D232">IFERROR(_xlfn.LET(
_xlpm.CSVVal,_xlfn.XLOOKUP($A232,CSV!$A:$A,CSV!D:D,""),
_xlpm.MacVal,_xlfn.XLOOKUP($A232,Output_Mac!$A:$A,Output_Mac!C:C,""),
_xlpm.MyAuditVal,_xlfn.XLOOKUP($A232,My_Audit!$A:$A,My_Audit!C:C,""),
_xlfn.IFS(_xlpm.MyAuditVal&lt;&gt;"",_xlpm.MyAuditVal,_xlpm.MacVal&lt;&gt;"",_xlpm.MacVal,_xlpm.CSVVal&lt;&gt;"",_xlpm.CSVVal
)),"")</f>
        <v/>
      </c>
      <c r="E232" s="40">
        <f>_xlfn.XLOOKUP(A232,My_Audit!A:A,My_Audit!D:D,"")</f>
        <v>0</v>
      </c>
      <c r="F232" s="40" t="str" cm="1">
        <f t="array" ref="F232">IFERROR(_xlfn.LET(
_xlpm.CSVVal,_xlfn.XLOOKUP($A232,CSV!$A:$A,CSV!F:F,""),
_xlpm.MacVal,_xlfn.XLOOKUP($A232,Output_Mac!$A:$A,Output_Mac!E:E,""),
_xlpm.MyAuditVal,_xlfn.XLOOKUP($A232,My_Audit!$A:$A,My_Audit!E:E,""),
_xlfn.IFS(_xlpm.MyAuditVal&lt;&gt;"",_xlpm.MyAuditVal,_xlpm.MacVal&lt;&gt;"",_xlpm.MacVal,_xlpm.CSVVal&lt;&gt;"",_xlpm.CSVVal
)),"")</f>
        <v/>
      </c>
      <c r="G232" s="40" t="str" cm="1">
        <f t="array" ref="G232">IFERROR(_xlfn.LET(
_xlpm.CSVVal,_xlfn.XLOOKUP($A232,CSV!$A:$A,CSV!G:G,""),
_xlpm.MacVal,_xlfn.XLOOKUP($A232,Output_Mac!$A:$A,Output_Mac!F:F,""),
_xlpm.MyAuditVal,_xlfn.XLOOKUP($A232,My_Audit!$A:$A,My_Audit!F:F,""),
_xlfn.IFS(_xlpm.MyAuditVal&lt;&gt;"",_xlpm.MyAuditVal,_xlpm.MacVal&lt;&gt;"",_xlpm.MacVal,_xlpm.CSVVal&lt;&gt;"",PROPER(_xlpm.CSVVal)
)),"")</f>
        <v/>
      </c>
      <c r="H232" s="40" t="str" cm="1">
        <f t="array" ref="H232">IFERROR(_xlfn.LET(
_xlpm.CSVVal,_xlfn.XLOOKUP($A232,CSV!$A:$A,CSV!H:H,""),
_xlpm.MacVal,_xlfn.XLOOKUP($A232,Output_Mac!$A:$A,Output_Mac!H:H,""),
_xlpm.MyAuditVal,_xlfn.XLOOKUP($A232,My_Audit!$A:$A,My_Audit!G:G,""),
_xlfn.IFS(_xlpm.MyAuditVal&lt;&gt;"",_xlpm.MyAuditVal,_xlpm.MacVal&lt;&gt;"",_xlpm.MacVal,_xlpm.CSVVal&lt;&gt;"",_xlpm.CSVVal
)),"")</f>
        <v/>
      </c>
      <c r="I232" s="40" t="str">
        <f>_xlfn.XLOOKUP(A232,Output_Mac!A:A,Output_Mac!I:I,"")</f>
        <v/>
      </c>
      <c r="J232" s="40" t="str" cm="1">
        <f t="array" ref="J232">IFERROR(_xlfn.LET(
_xlpm.CSVVal,_xlfn.XLOOKUP($A232,CSV!$A:$A,CSV!I:I,""),
_xlpm.MacVal,_xlfn.XLOOKUP($A232,Output_Mac!$A:$A,Output_Mac!J:J,""),
_xlpm.MyAuditVal,_xlfn.XLOOKUP($A232,My_Audit!$A:$A,My_Audit!I:I,""),
_xlfn.IFS(_xlpm.MyAuditVal&lt;&gt;"",UPPER(_xlpm.MyAuditVal),_xlpm.MacVal&lt;&gt;"",_xlpm.MacVal,_xlpm.CSVVal&lt;&gt;"",_xlpm.CSVVal
)),"")</f>
        <v/>
      </c>
      <c r="K232" s="40" t="str" cm="1">
        <f t="array" ref="K232">IFERROR(_xlfn.LET(
_xlpm.CSVVal,_xlfn.XLOOKUP($A232,CSV!$A:$A,CSV!K:K,""),
_xlpm.MacVal,_xlfn.XLOOKUP($A232,Output_Mac!$A:$A,Output_Mac!K:K,""),
_xlpm.MyAuditVal,_xlfn.XLOOKUP($A232,My_Audit!$A:$A,My_Audit!J:J,""),
_xlfn.IFS(_xlpm.MyAuditVal&lt;&gt;"",UPPER(_xlpm.MyAuditVal),_xlpm.MacVal&lt;&gt;"",_xlpm.MacVal,_xlpm.CSVVal&lt;&gt;"",_xlpm.CSVVal
)),"")</f>
        <v/>
      </c>
      <c r="L232" s="40" t="str" cm="1">
        <f t="array" ref="L232">IFERROR(_xlfn.LET(
_xlpm.CSVVal,_xlfn.XLOOKUP($A232,CSV!$A:$A,CSV!P:P,""),
_xlpm.MacVal,_xlfn.XLOOKUP($A232,Output_Mac!$A:$A,Output_Mac!L:L,""),
_xlpm.MyAuditVal,_xlfn.XLOOKUP($A232,My_Audit!$A:$A,My_Audit!K:K,""),
_xlfn.IFS(_xlpm.MyAuditVal&lt;&gt;"",UPPER(_xlpm.MyAuditVal),_xlpm.MacVal&lt;&gt;"",_xlpm.MacVal,_xlpm.CSVVal&lt;&gt;"",_xlpm.CSVVal
)),"")</f>
        <v/>
      </c>
      <c r="M232" s="40" t="str" cm="1">
        <f t="array" ref="M232">IFERROR(_xlfn.LET(
_xlpm.CSVVal,_xlfn.XLOOKUP($A232,CSV!$A:$A,CSV!Q:Q,""),
_xlpm.MacVal,_xlfn.XLOOKUP($A232,Output_Mac!$A:$A,Output_Mac!M:M,""),
_xlpm.MyAuditVal,_xlfn.XLOOKUP($A232,My_Audit!$A:$A,My_Audit!L:L,""),
_xlfn.IFS(_xlpm.MyAuditVal&lt;&gt;"",UPPER(_xlpm.MyAuditVal),_xlpm.MacVal&lt;&gt;"",_xlpm.MacVal,_xlpm.CSVVal&lt;&gt;"",_xlpm.CSVVal
)),"")</f>
        <v/>
      </c>
      <c r="N232" s="40"/>
      <c r="O232" s="40" t="str">
        <f>_xlfn.LET(
    _xlpm.CSVVal, _xlfn.XLOOKUP($A232, CSV!$A:$A, CSV!AA:AA, ""),
    _xlpm.MacVal, _xlfn.XLOOKUP($A232, Output_Mac!$A:$A, Output_Mac!S:S, ""),
    _xlpm.MyAuditVal, _xlfn.XLOOKUP($A232, My_Audit!$A:$A, My_Audit!P:P, ""),
    _xlfn.TEXTJOIN(", ", TRUE, _xlpm.MyAuditVal, _xlpm.MacVal, _xlpm.CSVVal)
)</f>
        <v/>
      </c>
      <c r="P232" s="40" t="str" cm="1">
        <f t="array" ref="P232">IFERROR(_xlfn.LET(
_xlpm.CSVVal,_xlfn.XLOOKUP($A232,CSV!$A:$A,CSV!AB:AB,""),
_xlpm.MacVal,_xlfn.XLOOKUP($A232,Output_Mac!$A:$A,Output_Mac!T:T,""),
_xlpm.MyAuditVal,_xlfn.XLOOKUP($A232,My_Audit!$A:$A,My_Audit!Q:Q,""),
_xlfn.IFS(_xlpm.MyAuditVal&lt;&gt;"",UPPER(_xlpm.MyAuditVal),_xlpm.MacVal&lt;&gt;"",_xlpm.MacVal,_xlpm.CSVVal&lt;&gt;"",_xlpm.CSVVal
)),"No")</f>
        <v>No</v>
      </c>
      <c r="Q232" s="40" t="str" cm="1">
        <f t="array" ref="Q232">IFERROR(_xlfn.LET(
_xlpm.CSVVal,_xlfn.XLOOKUP($A232,CSV!$A:$A,CSV!AC:AC,""),
_xlpm.MacVal,_xlfn.XLOOKUP($A232,Output_Mac!$A:$A,Output_Mac!U:U,""),
_xlpm.MyAuditVal,_xlfn.XLOOKUP($A232,My_Audit!$A:$A,My_Audit!R:R,""),
_xlfn.IFS(_xlpm.MyAuditVal&lt;&gt;"",UPPER(_xlpm.MyAuditVal),_xlpm.MacVal&lt;&gt;"",_xlpm.MacVal,_xlpm.CSVVal&lt;&gt;"",_xlpm.CSVVal
)),"")</f>
        <v/>
      </c>
      <c r="R232" s="40"/>
      <c r="S232" s="40"/>
      <c r="T232" s="40"/>
      <c r="U232" s="40"/>
      <c r="V232" s="40"/>
      <c r="W232" s="40"/>
      <c r="X232" s="41" t="str">
        <f>_xlfn.LET(
    _xlpm.MacVal, _xlfn.XLOOKUP($A232, Output_Mac!$A:$A, Output_Mac!AB:AB, ""),
    _xlpm.MyAuditVal, _xlfn.XLOOKUP($A232, My_Audit!$A:$A, My_Audit!N:N, ""),
    _xlfn.TEXTJOIN(", ", TRUE, _xlpm.MyAuditVal, _xlpm.MacVal)
)</f>
        <v/>
      </c>
    </row>
    <row r="233" spans="1:24">
      <c r="A233" s="40" t="str">
        <f>_xlfn.TEXTJOIN("",TRUE,Input!$B$2,ROW(My_Audit!A232))</f>
        <v>X232</v>
      </c>
      <c r="B233" s="40" t="str">
        <f>_xlfn.TEXTJOIN("-",TRUE,"ITD",Input!$A$2,A233)</f>
        <v>ITD-X232</v>
      </c>
      <c r="C233" s="40" t="str" cm="1">
        <f t="array" ref="C233">IFERROR(_xlfn.LET(
_xlpm.CSVVal,_xlfn.XLOOKUP($A233,CSV!$A:$A,CSV!B:B,""),
_xlpm.MacVal,_xlfn.XLOOKUP($A233,Output_Mac!$A:$A,Output_Mac!B:B,""),
_xlpm.MyAuditVal,_xlfn.XLOOKUP($A233,My_Audit!$A:$A,My_Audit!B:B,""),
_xlfn.IFS(_xlpm.MyAuditVal&lt;&gt;"",UPPER(_xlpm.MyAuditVal),_xlpm.MacVal&lt;&gt;"",_xlpm.MacVal,_xlpm.CSVVal&lt;&gt;"",_xlpm.CSVVal
)),"")</f>
        <v/>
      </c>
      <c r="D233" s="40" t="str" cm="1">
        <f t="array" ref="D233">IFERROR(_xlfn.LET(
_xlpm.CSVVal,_xlfn.XLOOKUP($A233,CSV!$A:$A,CSV!D:D,""),
_xlpm.MacVal,_xlfn.XLOOKUP($A233,Output_Mac!$A:$A,Output_Mac!C:C,""),
_xlpm.MyAuditVal,_xlfn.XLOOKUP($A233,My_Audit!$A:$A,My_Audit!C:C,""),
_xlfn.IFS(_xlpm.MyAuditVal&lt;&gt;"",_xlpm.MyAuditVal,_xlpm.MacVal&lt;&gt;"",_xlpm.MacVal,_xlpm.CSVVal&lt;&gt;"",_xlpm.CSVVal
)),"")</f>
        <v/>
      </c>
      <c r="E233" s="40">
        <f>_xlfn.XLOOKUP(A233,My_Audit!A:A,My_Audit!D:D,"")</f>
        <v>0</v>
      </c>
      <c r="F233" s="40" t="str" cm="1">
        <f t="array" ref="F233">IFERROR(_xlfn.LET(
_xlpm.CSVVal,_xlfn.XLOOKUP($A233,CSV!$A:$A,CSV!F:F,""),
_xlpm.MacVal,_xlfn.XLOOKUP($A233,Output_Mac!$A:$A,Output_Mac!E:E,""),
_xlpm.MyAuditVal,_xlfn.XLOOKUP($A233,My_Audit!$A:$A,My_Audit!E:E,""),
_xlfn.IFS(_xlpm.MyAuditVal&lt;&gt;"",_xlpm.MyAuditVal,_xlpm.MacVal&lt;&gt;"",_xlpm.MacVal,_xlpm.CSVVal&lt;&gt;"",_xlpm.CSVVal
)),"")</f>
        <v/>
      </c>
      <c r="G233" s="40" t="str" cm="1">
        <f t="array" ref="G233">IFERROR(_xlfn.LET(
_xlpm.CSVVal,_xlfn.XLOOKUP($A233,CSV!$A:$A,CSV!G:G,""),
_xlpm.MacVal,_xlfn.XLOOKUP($A233,Output_Mac!$A:$A,Output_Mac!F:F,""),
_xlpm.MyAuditVal,_xlfn.XLOOKUP($A233,My_Audit!$A:$A,My_Audit!F:F,""),
_xlfn.IFS(_xlpm.MyAuditVal&lt;&gt;"",_xlpm.MyAuditVal,_xlpm.MacVal&lt;&gt;"",_xlpm.MacVal,_xlpm.CSVVal&lt;&gt;"",PROPER(_xlpm.CSVVal)
)),"")</f>
        <v/>
      </c>
      <c r="H233" s="40" t="str" cm="1">
        <f t="array" ref="H233">IFERROR(_xlfn.LET(
_xlpm.CSVVal,_xlfn.XLOOKUP($A233,CSV!$A:$A,CSV!H:H,""),
_xlpm.MacVal,_xlfn.XLOOKUP($A233,Output_Mac!$A:$A,Output_Mac!H:H,""),
_xlpm.MyAuditVal,_xlfn.XLOOKUP($A233,My_Audit!$A:$A,My_Audit!G:G,""),
_xlfn.IFS(_xlpm.MyAuditVal&lt;&gt;"",_xlpm.MyAuditVal,_xlpm.MacVal&lt;&gt;"",_xlpm.MacVal,_xlpm.CSVVal&lt;&gt;"",_xlpm.CSVVal
)),"")</f>
        <v/>
      </c>
      <c r="I233" s="40" t="str">
        <f>_xlfn.XLOOKUP(A233,Output_Mac!A:A,Output_Mac!I:I,"")</f>
        <v/>
      </c>
      <c r="J233" s="40" t="str" cm="1">
        <f t="array" ref="J233">IFERROR(_xlfn.LET(
_xlpm.CSVVal,_xlfn.XLOOKUP($A233,CSV!$A:$A,CSV!I:I,""),
_xlpm.MacVal,_xlfn.XLOOKUP($A233,Output_Mac!$A:$A,Output_Mac!J:J,""),
_xlpm.MyAuditVal,_xlfn.XLOOKUP($A233,My_Audit!$A:$A,My_Audit!I:I,""),
_xlfn.IFS(_xlpm.MyAuditVal&lt;&gt;"",UPPER(_xlpm.MyAuditVal),_xlpm.MacVal&lt;&gt;"",_xlpm.MacVal,_xlpm.CSVVal&lt;&gt;"",_xlpm.CSVVal
)),"")</f>
        <v/>
      </c>
      <c r="K233" s="40" t="str" cm="1">
        <f t="array" ref="K233">IFERROR(_xlfn.LET(
_xlpm.CSVVal,_xlfn.XLOOKUP($A233,CSV!$A:$A,CSV!K:K,""),
_xlpm.MacVal,_xlfn.XLOOKUP($A233,Output_Mac!$A:$A,Output_Mac!K:K,""),
_xlpm.MyAuditVal,_xlfn.XLOOKUP($A233,My_Audit!$A:$A,My_Audit!J:J,""),
_xlfn.IFS(_xlpm.MyAuditVal&lt;&gt;"",UPPER(_xlpm.MyAuditVal),_xlpm.MacVal&lt;&gt;"",_xlpm.MacVal,_xlpm.CSVVal&lt;&gt;"",_xlpm.CSVVal
)),"")</f>
        <v/>
      </c>
      <c r="L233" s="40" t="str" cm="1">
        <f t="array" ref="L233">IFERROR(_xlfn.LET(
_xlpm.CSVVal,_xlfn.XLOOKUP($A233,CSV!$A:$A,CSV!P:P,""),
_xlpm.MacVal,_xlfn.XLOOKUP($A233,Output_Mac!$A:$A,Output_Mac!L:L,""),
_xlpm.MyAuditVal,_xlfn.XLOOKUP($A233,My_Audit!$A:$A,My_Audit!K:K,""),
_xlfn.IFS(_xlpm.MyAuditVal&lt;&gt;"",UPPER(_xlpm.MyAuditVal),_xlpm.MacVal&lt;&gt;"",_xlpm.MacVal,_xlpm.CSVVal&lt;&gt;"",_xlpm.CSVVal
)),"")</f>
        <v/>
      </c>
      <c r="M233" s="40" t="str" cm="1">
        <f t="array" ref="M233">IFERROR(_xlfn.LET(
_xlpm.CSVVal,_xlfn.XLOOKUP($A233,CSV!$A:$A,CSV!Q:Q,""),
_xlpm.MacVal,_xlfn.XLOOKUP($A233,Output_Mac!$A:$A,Output_Mac!M:M,""),
_xlpm.MyAuditVal,_xlfn.XLOOKUP($A233,My_Audit!$A:$A,My_Audit!L:L,""),
_xlfn.IFS(_xlpm.MyAuditVal&lt;&gt;"",UPPER(_xlpm.MyAuditVal),_xlpm.MacVal&lt;&gt;"",_xlpm.MacVal,_xlpm.CSVVal&lt;&gt;"",_xlpm.CSVVal
)),"")</f>
        <v/>
      </c>
      <c r="N233" s="40"/>
      <c r="O233" s="40" t="str">
        <f>_xlfn.LET(
    _xlpm.CSVVal, _xlfn.XLOOKUP($A233, CSV!$A:$A, CSV!AA:AA, ""),
    _xlpm.MacVal, _xlfn.XLOOKUP($A233, Output_Mac!$A:$A, Output_Mac!S:S, ""),
    _xlpm.MyAuditVal, _xlfn.XLOOKUP($A233, My_Audit!$A:$A, My_Audit!P:P, ""),
    _xlfn.TEXTJOIN(", ", TRUE, _xlpm.MyAuditVal, _xlpm.MacVal, _xlpm.CSVVal)
)</f>
        <v/>
      </c>
      <c r="P233" s="40" t="str" cm="1">
        <f t="array" ref="P233">IFERROR(_xlfn.LET(
_xlpm.CSVVal,_xlfn.XLOOKUP($A233,CSV!$A:$A,CSV!AB:AB,""),
_xlpm.MacVal,_xlfn.XLOOKUP($A233,Output_Mac!$A:$A,Output_Mac!T:T,""),
_xlpm.MyAuditVal,_xlfn.XLOOKUP($A233,My_Audit!$A:$A,My_Audit!Q:Q,""),
_xlfn.IFS(_xlpm.MyAuditVal&lt;&gt;"",UPPER(_xlpm.MyAuditVal),_xlpm.MacVal&lt;&gt;"",_xlpm.MacVal,_xlpm.CSVVal&lt;&gt;"",_xlpm.CSVVal
)),"No")</f>
        <v>No</v>
      </c>
      <c r="Q233" s="40" t="str" cm="1">
        <f t="array" ref="Q233">IFERROR(_xlfn.LET(
_xlpm.CSVVal,_xlfn.XLOOKUP($A233,CSV!$A:$A,CSV!AC:AC,""),
_xlpm.MacVal,_xlfn.XLOOKUP($A233,Output_Mac!$A:$A,Output_Mac!U:U,""),
_xlpm.MyAuditVal,_xlfn.XLOOKUP($A233,My_Audit!$A:$A,My_Audit!R:R,""),
_xlfn.IFS(_xlpm.MyAuditVal&lt;&gt;"",UPPER(_xlpm.MyAuditVal),_xlpm.MacVal&lt;&gt;"",_xlpm.MacVal,_xlpm.CSVVal&lt;&gt;"",_xlpm.CSVVal
)),"")</f>
        <v/>
      </c>
      <c r="R233" s="40"/>
      <c r="S233" s="40"/>
      <c r="T233" s="40"/>
      <c r="U233" s="40"/>
      <c r="V233" s="40"/>
      <c r="W233" s="40"/>
      <c r="X233" s="41" t="str">
        <f>_xlfn.LET(
    _xlpm.MacVal, _xlfn.XLOOKUP($A233, Output_Mac!$A:$A, Output_Mac!AB:AB, ""),
    _xlpm.MyAuditVal, _xlfn.XLOOKUP($A233, My_Audit!$A:$A, My_Audit!N:N, ""),
    _xlfn.TEXTJOIN(", ", TRUE, _xlpm.MyAuditVal, _xlpm.MacVal)
)</f>
        <v/>
      </c>
    </row>
    <row r="234" spans="1:24">
      <c r="A234" s="40" t="str">
        <f>_xlfn.TEXTJOIN("",TRUE,Input!$B$2,ROW(My_Audit!A233))</f>
        <v>X233</v>
      </c>
      <c r="B234" s="40" t="str">
        <f>_xlfn.TEXTJOIN("-",TRUE,"ITD",Input!$A$2,A234)</f>
        <v>ITD-X233</v>
      </c>
      <c r="C234" s="40" t="str" cm="1">
        <f t="array" ref="C234">IFERROR(_xlfn.LET(
_xlpm.CSVVal,_xlfn.XLOOKUP($A234,CSV!$A:$A,CSV!B:B,""),
_xlpm.MacVal,_xlfn.XLOOKUP($A234,Output_Mac!$A:$A,Output_Mac!B:B,""),
_xlpm.MyAuditVal,_xlfn.XLOOKUP($A234,My_Audit!$A:$A,My_Audit!B:B,""),
_xlfn.IFS(_xlpm.MyAuditVal&lt;&gt;"",UPPER(_xlpm.MyAuditVal),_xlpm.MacVal&lt;&gt;"",_xlpm.MacVal,_xlpm.CSVVal&lt;&gt;"",_xlpm.CSVVal
)),"")</f>
        <v/>
      </c>
      <c r="D234" s="40" t="str" cm="1">
        <f t="array" ref="D234">IFERROR(_xlfn.LET(
_xlpm.CSVVal,_xlfn.XLOOKUP($A234,CSV!$A:$A,CSV!D:D,""),
_xlpm.MacVal,_xlfn.XLOOKUP($A234,Output_Mac!$A:$A,Output_Mac!C:C,""),
_xlpm.MyAuditVal,_xlfn.XLOOKUP($A234,My_Audit!$A:$A,My_Audit!C:C,""),
_xlfn.IFS(_xlpm.MyAuditVal&lt;&gt;"",_xlpm.MyAuditVal,_xlpm.MacVal&lt;&gt;"",_xlpm.MacVal,_xlpm.CSVVal&lt;&gt;"",_xlpm.CSVVal
)),"")</f>
        <v/>
      </c>
      <c r="E234" s="40">
        <f>_xlfn.XLOOKUP(A234,My_Audit!A:A,My_Audit!D:D,"")</f>
        <v>0</v>
      </c>
      <c r="F234" s="40" t="str" cm="1">
        <f t="array" ref="F234">IFERROR(_xlfn.LET(
_xlpm.CSVVal,_xlfn.XLOOKUP($A234,CSV!$A:$A,CSV!F:F,""),
_xlpm.MacVal,_xlfn.XLOOKUP($A234,Output_Mac!$A:$A,Output_Mac!E:E,""),
_xlpm.MyAuditVal,_xlfn.XLOOKUP($A234,My_Audit!$A:$A,My_Audit!E:E,""),
_xlfn.IFS(_xlpm.MyAuditVal&lt;&gt;"",_xlpm.MyAuditVal,_xlpm.MacVal&lt;&gt;"",_xlpm.MacVal,_xlpm.CSVVal&lt;&gt;"",_xlpm.CSVVal
)),"")</f>
        <v/>
      </c>
      <c r="G234" s="40" t="str" cm="1">
        <f t="array" ref="G234">IFERROR(_xlfn.LET(
_xlpm.CSVVal,_xlfn.XLOOKUP($A234,CSV!$A:$A,CSV!G:G,""),
_xlpm.MacVal,_xlfn.XLOOKUP($A234,Output_Mac!$A:$A,Output_Mac!F:F,""),
_xlpm.MyAuditVal,_xlfn.XLOOKUP($A234,My_Audit!$A:$A,My_Audit!F:F,""),
_xlfn.IFS(_xlpm.MyAuditVal&lt;&gt;"",_xlpm.MyAuditVal,_xlpm.MacVal&lt;&gt;"",_xlpm.MacVal,_xlpm.CSVVal&lt;&gt;"",PROPER(_xlpm.CSVVal)
)),"")</f>
        <v/>
      </c>
      <c r="H234" s="40" t="str" cm="1">
        <f t="array" ref="H234">IFERROR(_xlfn.LET(
_xlpm.CSVVal,_xlfn.XLOOKUP($A234,CSV!$A:$A,CSV!H:H,""),
_xlpm.MacVal,_xlfn.XLOOKUP($A234,Output_Mac!$A:$A,Output_Mac!H:H,""),
_xlpm.MyAuditVal,_xlfn.XLOOKUP($A234,My_Audit!$A:$A,My_Audit!G:G,""),
_xlfn.IFS(_xlpm.MyAuditVal&lt;&gt;"",_xlpm.MyAuditVal,_xlpm.MacVal&lt;&gt;"",_xlpm.MacVal,_xlpm.CSVVal&lt;&gt;"",_xlpm.CSVVal
)),"")</f>
        <v/>
      </c>
      <c r="I234" s="40" t="str">
        <f>_xlfn.XLOOKUP(A234,Output_Mac!A:A,Output_Mac!I:I,"")</f>
        <v/>
      </c>
      <c r="J234" s="40" t="str" cm="1">
        <f t="array" ref="J234">IFERROR(_xlfn.LET(
_xlpm.CSVVal,_xlfn.XLOOKUP($A234,CSV!$A:$A,CSV!I:I,""),
_xlpm.MacVal,_xlfn.XLOOKUP($A234,Output_Mac!$A:$A,Output_Mac!J:J,""),
_xlpm.MyAuditVal,_xlfn.XLOOKUP($A234,My_Audit!$A:$A,My_Audit!I:I,""),
_xlfn.IFS(_xlpm.MyAuditVal&lt;&gt;"",UPPER(_xlpm.MyAuditVal),_xlpm.MacVal&lt;&gt;"",_xlpm.MacVal,_xlpm.CSVVal&lt;&gt;"",_xlpm.CSVVal
)),"")</f>
        <v/>
      </c>
      <c r="K234" s="40" t="str" cm="1">
        <f t="array" ref="K234">IFERROR(_xlfn.LET(
_xlpm.CSVVal,_xlfn.XLOOKUP($A234,CSV!$A:$A,CSV!K:K,""),
_xlpm.MacVal,_xlfn.XLOOKUP($A234,Output_Mac!$A:$A,Output_Mac!K:K,""),
_xlpm.MyAuditVal,_xlfn.XLOOKUP($A234,My_Audit!$A:$A,My_Audit!J:J,""),
_xlfn.IFS(_xlpm.MyAuditVal&lt;&gt;"",UPPER(_xlpm.MyAuditVal),_xlpm.MacVal&lt;&gt;"",_xlpm.MacVal,_xlpm.CSVVal&lt;&gt;"",_xlpm.CSVVal
)),"")</f>
        <v/>
      </c>
      <c r="L234" s="40" t="str" cm="1">
        <f t="array" ref="L234">IFERROR(_xlfn.LET(
_xlpm.CSVVal,_xlfn.XLOOKUP($A234,CSV!$A:$A,CSV!P:P,""),
_xlpm.MacVal,_xlfn.XLOOKUP($A234,Output_Mac!$A:$A,Output_Mac!L:L,""),
_xlpm.MyAuditVal,_xlfn.XLOOKUP($A234,My_Audit!$A:$A,My_Audit!K:K,""),
_xlfn.IFS(_xlpm.MyAuditVal&lt;&gt;"",UPPER(_xlpm.MyAuditVal),_xlpm.MacVal&lt;&gt;"",_xlpm.MacVal,_xlpm.CSVVal&lt;&gt;"",_xlpm.CSVVal
)),"")</f>
        <v/>
      </c>
      <c r="M234" s="40" t="str" cm="1">
        <f t="array" ref="M234">IFERROR(_xlfn.LET(
_xlpm.CSVVal,_xlfn.XLOOKUP($A234,CSV!$A:$A,CSV!Q:Q,""),
_xlpm.MacVal,_xlfn.XLOOKUP($A234,Output_Mac!$A:$A,Output_Mac!M:M,""),
_xlpm.MyAuditVal,_xlfn.XLOOKUP($A234,My_Audit!$A:$A,My_Audit!L:L,""),
_xlfn.IFS(_xlpm.MyAuditVal&lt;&gt;"",UPPER(_xlpm.MyAuditVal),_xlpm.MacVal&lt;&gt;"",_xlpm.MacVal,_xlpm.CSVVal&lt;&gt;"",_xlpm.CSVVal
)),"")</f>
        <v/>
      </c>
      <c r="N234" s="40"/>
      <c r="O234" s="40" t="str">
        <f>_xlfn.LET(
    _xlpm.CSVVal, _xlfn.XLOOKUP($A234, CSV!$A:$A, CSV!AA:AA, ""),
    _xlpm.MacVal, _xlfn.XLOOKUP($A234, Output_Mac!$A:$A, Output_Mac!S:S, ""),
    _xlpm.MyAuditVal, _xlfn.XLOOKUP($A234, My_Audit!$A:$A, My_Audit!P:P, ""),
    _xlfn.TEXTJOIN(", ", TRUE, _xlpm.MyAuditVal, _xlpm.MacVal, _xlpm.CSVVal)
)</f>
        <v/>
      </c>
      <c r="P234" s="40" t="str" cm="1">
        <f t="array" ref="P234">IFERROR(_xlfn.LET(
_xlpm.CSVVal,_xlfn.XLOOKUP($A234,CSV!$A:$A,CSV!AB:AB,""),
_xlpm.MacVal,_xlfn.XLOOKUP($A234,Output_Mac!$A:$A,Output_Mac!T:T,""),
_xlpm.MyAuditVal,_xlfn.XLOOKUP($A234,My_Audit!$A:$A,My_Audit!Q:Q,""),
_xlfn.IFS(_xlpm.MyAuditVal&lt;&gt;"",UPPER(_xlpm.MyAuditVal),_xlpm.MacVal&lt;&gt;"",_xlpm.MacVal,_xlpm.CSVVal&lt;&gt;"",_xlpm.CSVVal
)),"No")</f>
        <v>No</v>
      </c>
      <c r="Q234" s="40" t="str" cm="1">
        <f t="array" ref="Q234">IFERROR(_xlfn.LET(
_xlpm.CSVVal,_xlfn.XLOOKUP($A234,CSV!$A:$A,CSV!AC:AC,""),
_xlpm.MacVal,_xlfn.XLOOKUP($A234,Output_Mac!$A:$A,Output_Mac!U:U,""),
_xlpm.MyAuditVal,_xlfn.XLOOKUP($A234,My_Audit!$A:$A,My_Audit!R:R,""),
_xlfn.IFS(_xlpm.MyAuditVal&lt;&gt;"",UPPER(_xlpm.MyAuditVal),_xlpm.MacVal&lt;&gt;"",_xlpm.MacVal,_xlpm.CSVVal&lt;&gt;"",_xlpm.CSVVal
)),"")</f>
        <v/>
      </c>
      <c r="R234" s="40"/>
      <c r="S234" s="40"/>
      <c r="T234" s="40"/>
      <c r="U234" s="40"/>
      <c r="V234" s="40"/>
      <c r="W234" s="40"/>
      <c r="X234" s="41" t="str">
        <f>_xlfn.LET(
    _xlpm.MacVal, _xlfn.XLOOKUP($A234, Output_Mac!$A:$A, Output_Mac!AB:AB, ""),
    _xlpm.MyAuditVal, _xlfn.XLOOKUP($A234, My_Audit!$A:$A, My_Audit!N:N, ""),
    _xlfn.TEXTJOIN(", ", TRUE, _xlpm.MyAuditVal, _xlpm.MacVal)
)</f>
        <v/>
      </c>
    </row>
    <row r="235" spans="1:24">
      <c r="A235" s="40" t="str">
        <f>_xlfn.TEXTJOIN("",TRUE,Input!$B$2,ROW(My_Audit!A234))</f>
        <v>X234</v>
      </c>
      <c r="B235" s="40" t="str">
        <f>_xlfn.TEXTJOIN("-",TRUE,"ITD",Input!$A$2,A235)</f>
        <v>ITD-X234</v>
      </c>
      <c r="C235" s="40" t="str" cm="1">
        <f t="array" ref="C235">IFERROR(_xlfn.LET(
_xlpm.CSVVal,_xlfn.XLOOKUP($A235,CSV!$A:$A,CSV!B:B,""),
_xlpm.MacVal,_xlfn.XLOOKUP($A235,Output_Mac!$A:$A,Output_Mac!B:B,""),
_xlpm.MyAuditVal,_xlfn.XLOOKUP($A235,My_Audit!$A:$A,My_Audit!B:B,""),
_xlfn.IFS(_xlpm.MyAuditVal&lt;&gt;"",UPPER(_xlpm.MyAuditVal),_xlpm.MacVal&lt;&gt;"",_xlpm.MacVal,_xlpm.CSVVal&lt;&gt;"",_xlpm.CSVVal
)),"")</f>
        <v/>
      </c>
      <c r="D235" s="40" t="str" cm="1">
        <f t="array" ref="D235">IFERROR(_xlfn.LET(
_xlpm.CSVVal,_xlfn.XLOOKUP($A235,CSV!$A:$A,CSV!D:D,""),
_xlpm.MacVal,_xlfn.XLOOKUP($A235,Output_Mac!$A:$A,Output_Mac!C:C,""),
_xlpm.MyAuditVal,_xlfn.XLOOKUP($A235,My_Audit!$A:$A,My_Audit!C:C,""),
_xlfn.IFS(_xlpm.MyAuditVal&lt;&gt;"",_xlpm.MyAuditVal,_xlpm.MacVal&lt;&gt;"",_xlpm.MacVal,_xlpm.CSVVal&lt;&gt;"",_xlpm.CSVVal
)),"")</f>
        <v/>
      </c>
      <c r="E235" s="40">
        <f>_xlfn.XLOOKUP(A235,My_Audit!A:A,My_Audit!D:D,"")</f>
        <v>0</v>
      </c>
      <c r="F235" s="40" t="str" cm="1">
        <f t="array" ref="F235">IFERROR(_xlfn.LET(
_xlpm.CSVVal,_xlfn.XLOOKUP($A235,CSV!$A:$A,CSV!F:F,""),
_xlpm.MacVal,_xlfn.XLOOKUP($A235,Output_Mac!$A:$A,Output_Mac!E:E,""),
_xlpm.MyAuditVal,_xlfn.XLOOKUP($A235,My_Audit!$A:$A,My_Audit!E:E,""),
_xlfn.IFS(_xlpm.MyAuditVal&lt;&gt;"",_xlpm.MyAuditVal,_xlpm.MacVal&lt;&gt;"",_xlpm.MacVal,_xlpm.CSVVal&lt;&gt;"",_xlpm.CSVVal
)),"")</f>
        <v/>
      </c>
      <c r="G235" s="40" t="str" cm="1">
        <f t="array" ref="G235">IFERROR(_xlfn.LET(
_xlpm.CSVVal,_xlfn.XLOOKUP($A235,CSV!$A:$A,CSV!G:G,""),
_xlpm.MacVal,_xlfn.XLOOKUP($A235,Output_Mac!$A:$A,Output_Mac!F:F,""),
_xlpm.MyAuditVal,_xlfn.XLOOKUP($A235,My_Audit!$A:$A,My_Audit!F:F,""),
_xlfn.IFS(_xlpm.MyAuditVal&lt;&gt;"",_xlpm.MyAuditVal,_xlpm.MacVal&lt;&gt;"",_xlpm.MacVal,_xlpm.CSVVal&lt;&gt;"",PROPER(_xlpm.CSVVal)
)),"")</f>
        <v/>
      </c>
      <c r="H235" s="40" t="str" cm="1">
        <f t="array" ref="H235">IFERROR(_xlfn.LET(
_xlpm.CSVVal,_xlfn.XLOOKUP($A235,CSV!$A:$A,CSV!H:H,""),
_xlpm.MacVal,_xlfn.XLOOKUP($A235,Output_Mac!$A:$A,Output_Mac!H:H,""),
_xlpm.MyAuditVal,_xlfn.XLOOKUP($A235,My_Audit!$A:$A,My_Audit!G:G,""),
_xlfn.IFS(_xlpm.MyAuditVal&lt;&gt;"",_xlpm.MyAuditVal,_xlpm.MacVal&lt;&gt;"",_xlpm.MacVal,_xlpm.CSVVal&lt;&gt;"",_xlpm.CSVVal
)),"")</f>
        <v/>
      </c>
      <c r="I235" s="40" t="str">
        <f>_xlfn.XLOOKUP(A235,Output_Mac!A:A,Output_Mac!I:I,"")</f>
        <v/>
      </c>
      <c r="J235" s="40" t="str" cm="1">
        <f t="array" ref="J235">IFERROR(_xlfn.LET(
_xlpm.CSVVal,_xlfn.XLOOKUP($A235,CSV!$A:$A,CSV!I:I,""),
_xlpm.MacVal,_xlfn.XLOOKUP($A235,Output_Mac!$A:$A,Output_Mac!J:J,""),
_xlpm.MyAuditVal,_xlfn.XLOOKUP($A235,My_Audit!$A:$A,My_Audit!I:I,""),
_xlfn.IFS(_xlpm.MyAuditVal&lt;&gt;"",UPPER(_xlpm.MyAuditVal),_xlpm.MacVal&lt;&gt;"",_xlpm.MacVal,_xlpm.CSVVal&lt;&gt;"",_xlpm.CSVVal
)),"")</f>
        <v/>
      </c>
      <c r="K235" s="40" t="str" cm="1">
        <f t="array" ref="K235">IFERROR(_xlfn.LET(
_xlpm.CSVVal,_xlfn.XLOOKUP($A235,CSV!$A:$A,CSV!K:K,""),
_xlpm.MacVal,_xlfn.XLOOKUP($A235,Output_Mac!$A:$A,Output_Mac!K:K,""),
_xlpm.MyAuditVal,_xlfn.XLOOKUP($A235,My_Audit!$A:$A,My_Audit!J:J,""),
_xlfn.IFS(_xlpm.MyAuditVal&lt;&gt;"",UPPER(_xlpm.MyAuditVal),_xlpm.MacVal&lt;&gt;"",_xlpm.MacVal,_xlpm.CSVVal&lt;&gt;"",_xlpm.CSVVal
)),"")</f>
        <v/>
      </c>
      <c r="L235" s="40" t="str" cm="1">
        <f t="array" ref="L235">IFERROR(_xlfn.LET(
_xlpm.CSVVal,_xlfn.XLOOKUP($A235,CSV!$A:$A,CSV!P:P,""),
_xlpm.MacVal,_xlfn.XLOOKUP($A235,Output_Mac!$A:$A,Output_Mac!L:L,""),
_xlpm.MyAuditVal,_xlfn.XLOOKUP($A235,My_Audit!$A:$A,My_Audit!K:K,""),
_xlfn.IFS(_xlpm.MyAuditVal&lt;&gt;"",UPPER(_xlpm.MyAuditVal),_xlpm.MacVal&lt;&gt;"",_xlpm.MacVal,_xlpm.CSVVal&lt;&gt;"",_xlpm.CSVVal
)),"")</f>
        <v/>
      </c>
      <c r="M235" s="40" t="str" cm="1">
        <f t="array" ref="M235">IFERROR(_xlfn.LET(
_xlpm.CSVVal,_xlfn.XLOOKUP($A235,CSV!$A:$A,CSV!Q:Q,""),
_xlpm.MacVal,_xlfn.XLOOKUP($A235,Output_Mac!$A:$A,Output_Mac!M:M,""),
_xlpm.MyAuditVal,_xlfn.XLOOKUP($A235,My_Audit!$A:$A,My_Audit!L:L,""),
_xlfn.IFS(_xlpm.MyAuditVal&lt;&gt;"",UPPER(_xlpm.MyAuditVal),_xlpm.MacVal&lt;&gt;"",_xlpm.MacVal,_xlpm.CSVVal&lt;&gt;"",_xlpm.CSVVal
)),"")</f>
        <v/>
      </c>
      <c r="N235" s="40"/>
      <c r="O235" s="40" t="str">
        <f>_xlfn.LET(
    _xlpm.CSVVal, _xlfn.XLOOKUP($A235, CSV!$A:$A, CSV!AA:AA, ""),
    _xlpm.MacVal, _xlfn.XLOOKUP($A235, Output_Mac!$A:$A, Output_Mac!S:S, ""),
    _xlpm.MyAuditVal, _xlfn.XLOOKUP($A235, My_Audit!$A:$A, My_Audit!P:P, ""),
    _xlfn.TEXTJOIN(", ", TRUE, _xlpm.MyAuditVal, _xlpm.MacVal, _xlpm.CSVVal)
)</f>
        <v/>
      </c>
      <c r="P235" s="40" t="str" cm="1">
        <f t="array" ref="P235">IFERROR(_xlfn.LET(
_xlpm.CSVVal,_xlfn.XLOOKUP($A235,CSV!$A:$A,CSV!AB:AB,""),
_xlpm.MacVal,_xlfn.XLOOKUP($A235,Output_Mac!$A:$A,Output_Mac!T:T,""),
_xlpm.MyAuditVal,_xlfn.XLOOKUP($A235,My_Audit!$A:$A,My_Audit!Q:Q,""),
_xlfn.IFS(_xlpm.MyAuditVal&lt;&gt;"",UPPER(_xlpm.MyAuditVal),_xlpm.MacVal&lt;&gt;"",_xlpm.MacVal,_xlpm.CSVVal&lt;&gt;"",_xlpm.CSVVal
)),"No")</f>
        <v>No</v>
      </c>
      <c r="Q235" s="40" t="str" cm="1">
        <f t="array" ref="Q235">IFERROR(_xlfn.LET(
_xlpm.CSVVal,_xlfn.XLOOKUP($A235,CSV!$A:$A,CSV!AC:AC,""),
_xlpm.MacVal,_xlfn.XLOOKUP($A235,Output_Mac!$A:$A,Output_Mac!U:U,""),
_xlpm.MyAuditVal,_xlfn.XLOOKUP($A235,My_Audit!$A:$A,My_Audit!R:R,""),
_xlfn.IFS(_xlpm.MyAuditVal&lt;&gt;"",UPPER(_xlpm.MyAuditVal),_xlpm.MacVal&lt;&gt;"",_xlpm.MacVal,_xlpm.CSVVal&lt;&gt;"",_xlpm.CSVVal
)),"")</f>
        <v/>
      </c>
      <c r="R235" s="40"/>
      <c r="S235" s="40"/>
      <c r="T235" s="40"/>
      <c r="U235" s="40"/>
      <c r="V235" s="40"/>
      <c r="W235" s="40"/>
      <c r="X235" s="41" t="str">
        <f>_xlfn.LET(
    _xlpm.MacVal, _xlfn.XLOOKUP($A235, Output_Mac!$A:$A, Output_Mac!AB:AB, ""),
    _xlpm.MyAuditVal, _xlfn.XLOOKUP($A235, My_Audit!$A:$A, My_Audit!N:N, ""),
    _xlfn.TEXTJOIN(", ", TRUE, _xlpm.MyAuditVal, _xlpm.MacVal)
)</f>
        <v/>
      </c>
    </row>
    <row r="236" spans="1:24">
      <c r="A236" s="40" t="str">
        <f>_xlfn.TEXTJOIN("",TRUE,Input!$B$2,ROW(My_Audit!A235))</f>
        <v>X235</v>
      </c>
      <c r="B236" s="40" t="str">
        <f>_xlfn.TEXTJOIN("-",TRUE,"ITD",Input!$A$2,A236)</f>
        <v>ITD-X235</v>
      </c>
      <c r="C236" s="40" t="str" cm="1">
        <f t="array" ref="C236">IFERROR(_xlfn.LET(
_xlpm.CSVVal,_xlfn.XLOOKUP($A236,CSV!$A:$A,CSV!B:B,""),
_xlpm.MacVal,_xlfn.XLOOKUP($A236,Output_Mac!$A:$A,Output_Mac!B:B,""),
_xlpm.MyAuditVal,_xlfn.XLOOKUP($A236,My_Audit!$A:$A,My_Audit!B:B,""),
_xlfn.IFS(_xlpm.MyAuditVal&lt;&gt;"",UPPER(_xlpm.MyAuditVal),_xlpm.MacVal&lt;&gt;"",_xlpm.MacVal,_xlpm.CSVVal&lt;&gt;"",_xlpm.CSVVal
)),"")</f>
        <v/>
      </c>
      <c r="D236" s="40" t="str" cm="1">
        <f t="array" ref="D236">IFERROR(_xlfn.LET(
_xlpm.CSVVal,_xlfn.XLOOKUP($A236,CSV!$A:$A,CSV!D:D,""),
_xlpm.MacVal,_xlfn.XLOOKUP($A236,Output_Mac!$A:$A,Output_Mac!C:C,""),
_xlpm.MyAuditVal,_xlfn.XLOOKUP($A236,My_Audit!$A:$A,My_Audit!C:C,""),
_xlfn.IFS(_xlpm.MyAuditVal&lt;&gt;"",_xlpm.MyAuditVal,_xlpm.MacVal&lt;&gt;"",_xlpm.MacVal,_xlpm.CSVVal&lt;&gt;"",_xlpm.CSVVal
)),"")</f>
        <v/>
      </c>
      <c r="E236" s="40">
        <f>_xlfn.XLOOKUP(A236,My_Audit!A:A,My_Audit!D:D,"")</f>
        <v>0</v>
      </c>
      <c r="F236" s="40" t="str" cm="1">
        <f t="array" ref="F236">IFERROR(_xlfn.LET(
_xlpm.CSVVal,_xlfn.XLOOKUP($A236,CSV!$A:$A,CSV!F:F,""),
_xlpm.MacVal,_xlfn.XLOOKUP($A236,Output_Mac!$A:$A,Output_Mac!E:E,""),
_xlpm.MyAuditVal,_xlfn.XLOOKUP($A236,My_Audit!$A:$A,My_Audit!E:E,""),
_xlfn.IFS(_xlpm.MyAuditVal&lt;&gt;"",_xlpm.MyAuditVal,_xlpm.MacVal&lt;&gt;"",_xlpm.MacVal,_xlpm.CSVVal&lt;&gt;"",_xlpm.CSVVal
)),"")</f>
        <v/>
      </c>
      <c r="G236" s="40" t="str" cm="1">
        <f t="array" ref="G236">IFERROR(_xlfn.LET(
_xlpm.CSVVal,_xlfn.XLOOKUP($A236,CSV!$A:$A,CSV!G:G,""),
_xlpm.MacVal,_xlfn.XLOOKUP($A236,Output_Mac!$A:$A,Output_Mac!F:F,""),
_xlpm.MyAuditVal,_xlfn.XLOOKUP($A236,My_Audit!$A:$A,My_Audit!F:F,""),
_xlfn.IFS(_xlpm.MyAuditVal&lt;&gt;"",_xlpm.MyAuditVal,_xlpm.MacVal&lt;&gt;"",_xlpm.MacVal,_xlpm.CSVVal&lt;&gt;"",PROPER(_xlpm.CSVVal)
)),"")</f>
        <v/>
      </c>
      <c r="H236" s="40" t="str" cm="1">
        <f t="array" ref="H236">IFERROR(_xlfn.LET(
_xlpm.CSVVal,_xlfn.XLOOKUP($A236,CSV!$A:$A,CSV!H:H,""),
_xlpm.MacVal,_xlfn.XLOOKUP($A236,Output_Mac!$A:$A,Output_Mac!H:H,""),
_xlpm.MyAuditVal,_xlfn.XLOOKUP($A236,My_Audit!$A:$A,My_Audit!G:G,""),
_xlfn.IFS(_xlpm.MyAuditVal&lt;&gt;"",_xlpm.MyAuditVal,_xlpm.MacVal&lt;&gt;"",_xlpm.MacVal,_xlpm.CSVVal&lt;&gt;"",_xlpm.CSVVal
)),"")</f>
        <v/>
      </c>
      <c r="I236" s="40" t="str">
        <f>_xlfn.XLOOKUP(A236,Output_Mac!A:A,Output_Mac!I:I,"")</f>
        <v/>
      </c>
      <c r="J236" s="40" t="str" cm="1">
        <f t="array" ref="J236">IFERROR(_xlfn.LET(
_xlpm.CSVVal,_xlfn.XLOOKUP($A236,CSV!$A:$A,CSV!I:I,""),
_xlpm.MacVal,_xlfn.XLOOKUP($A236,Output_Mac!$A:$A,Output_Mac!J:J,""),
_xlpm.MyAuditVal,_xlfn.XLOOKUP($A236,My_Audit!$A:$A,My_Audit!I:I,""),
_xlfn.IFS(_xlpm.MyAuditVal&lt;&gt;"",UPPER(_xlpm.MyAuditVal),_xlpm.MacVal&lt;&gt;"",_xlpm.MacVal,_xlpm.CSVVal&lt;&gt;"",_xlpm.CSVVal
)),"")</f>
        <v/>
      </c>
      <c r="K236" s="40" t="str" cm="1">
        <f t="array" ref="K236">IFERROR(_xlfn.LET(
_xlpm.CSVVal,_xlfn.XLOOKUP($A236,CSV!$A:$A,CSV!K:K,""),
_xlpm.MacVal,_xlfn.XLOOKUP($A236,Output_Mac!$A:$A,Output_Mac!K:K,""),
_xlpm.MyAuditVal,_xlfn.XLOOKUP($A236,My_Audit!$A:$A,My_Audit!J:J,""),
_xlfn.IFS(_xlpm.MyAuditVal&lt;&gt;"",UPPER(_xlpm.MyAuditVal),_xlpm.MacVal&lt;&gt;"",_xlpm.MacVal,_xlpm.CSVVal&lt;&gt;"",_xlpm.CSVVal
)),"")</f>
        <v/>
      </c>
      <c r="L236" s="40" t="str" cm="1">
        <f t="array" ref="L236">IFERROR(_xlfn.LET(
_xlpm.CSVVal,_xlfn.XLOOKUP($A236,CSV!$A:$A,CSV!P:P,""),
_xlpm.MacVal,_xlfn.XLOOKUP($A236,Output_Mac!$A:$A,Output_Mac!L:L,""),
_xlpm.MyAuditVal,_xlfn.XLOOKUP($A236,My_Audit!$A:$A,My_Audit!K:K,""),
_xlfn.IFS(_xlpm.MyAuditVal&lt;&gt;"",UPPER(_xlpm.MyAuditVal),_xlpm.MacVal&lt;&gt;"",_xlpm.MacVal,_xlpm.CSVVal&lt;&gt;"",_xlpm.CSVVal
)),"")</f>
        <v/>
      </c>
      <c r="M236" s="40" t="str" cm="1">
        <f t="array" ref="M236">IFERROR(_xlfn.LET(
_xlpm.CSVVal,_xlfn.XLOOKUP($A236,CSV!$A:$A,CSV!Q:Q,""),
_xlpm.MacVal,_xlfn.XLOOKUP($A236,Output_Mac!$A:$A,Output_Mac!M:M,""),
_xlpm.MyAuditVal,_xlfn.XLOOKUP($A236,My_Audit!$A:$A,My_Audit!L:L,""),
_xlfn.IFS(_xlpm.MyAuditVal&lt;&gt;"",UPPER(_xlpm.MyAuditVal),_xlpm.MacVal&lt;&gt;"",_xlpm.MacVal,_xlpm.CSVVal&lt;&gt;"",_xlpm.CSVVal
)),"")</f>
        <v/>
      </c>
      <c r="N236" s="40"/>
      <c r="O236" s="40" t="str">
        <f>_xlfn.LET(
    _xlpm.CSVVal, _xlfn.XLOOKUP($A236, CSV!$A:$A, CSV!AA:AA, ""),
    _xlpm.MacVal, _xlfn.XLOOKUP($A236, Output_Mac!$A:$A, Output_Mac!S:S, ""),
    _xlpm.MyAuditVal, _xlfn.XLOOKUP($A236, My_Audit!$A:$A, My_Audit!P:P, ""),
    _xlfn.TEXTJOIN(", ", TRUE, _xlpm.MyAuditVal, _xlpm.MacVal, _xlpm.CSVVal)
)</f>
        <v/>
      </c>
      <c r="P236" s="40" t="str" cm="1">
        <f t="array" ref="P236">IFERROR(_xlfn.LET(
_xlpm.CSVVal,_xlfn.XLOOKUP($A236,CSV!$A:$A,CSV!AB:AB,""),
_xlpm.MacVal,_xlfn.XLOOKUP($A236,Output_Mac!$A:$A,Output_Mac!T:T,""),
_xlpm.MyAuditVal,_xlfn.XLOOKUP($A236,My_Audit!$A:$A,My_Audit!Q:Q,""),
_xlfn.IFS(_xlpm.MyAuditVal&lt;&gt;"",UPPER(_xlpm.MyAuditVal),_xlpm.MacVal&lt;&gt;"",_xlpm.MacVal,_xlpm.CSVVal&lt;&gt;"",_xlpm.CSVVal
)),"No")</f>
        <v>No</v>
      </c>
      <c r="Q236" s="40" t="str" cm="1">
        <f t="array" ref="Q236">IFERROR(_xlfn.LET(
_xlpm.CSVVal,_xlfn.XLOOKUP($A236,CSV!$A:$A,CSV!AC:AC,""),
_xlpm.MacVal,_xlfn.XLOOKUP($A236,Output_Mac!$A:$A,Output_Mac!U:U,""),
_xlpm.MyAuditVal,_xlfn.XLOOKUP($A236,My_Audit!$A:$A,My_Audit!R:R,""),
_xlfn.IFS(_xlpm.MyAuditVal&lt;&gt;"",UPPER(_xlpm.MyAuditVal),_xlpm.MacVal&lt;&gt;"",_xlpm.MacVal,_xlpm.CSVVal&lt;&gt;"",_xlpm.CSVVal
)),"")</f>
        <v/>
      </c>
      <c r="R236" s="40"/>
      <c r="S236" s="40"/>
      <c r="T236" s="40"/>
      <c r="U236" s="40"/>
      <c r="V236" s="40"/>
      <c r="W236" s="40"/>
      <c r="X236" s="41" t="str">
        <f>_xlfn.LET(
    _xlpm.MacVal, _xlfn.XLOOKUP($A236, Output_Mac!$A:$A, Output_Mac!AB:AB, ""),
    _xlpm.MyAuditVal, _xlfn.XLOOKUP($A236, My_Audit!$A:$A, My_Audit!N:N, ""),
    _xlfn.TEXTJOIN(", ", TRUE, _xlpm.MyAuditVal, _xlpm.MacVal)
)</f>
        <v/>
      </c>
    </row>
    <row r="237" spans="1:24">
      <c r="A237" s="40" t="str">
        <f>_xlfn.TEXTJOIN("",TRUE,Input!$B$2,ROW(My_Audit!A236))</f>
        <v>X236</v>
      </c>
      <c r="B237" s="40" t="str">
        <f>_xlfn.TEXTJOIN("-",TRUE,"ITD",Input!$A$2,A237)</f>
        <v>ITD-X236</v>
      </c>
      <c r="C237" s="40" t="str" cm="1">
        <f t="array" ref="C237">IFERROR(_xlfn.LET(
_xlpm.CSVVal,_xlfn.XLOOKUP($A237,CSV!$A:$A,CSV!B:B,""),
_xlpm.MacVal,_xlfn.XLOOKUP($A237,Output_Mac!$A:$A,Output_Mac!B:B,""),
_xlpm.MyAuditVal,_xlfn.XLOOKUP($A237,My_Audit!$A:$A,My_Audit!B:B,""),
_xlfn.IFS(_xlpm.MyAuditVal&lt;&gt;"",UPPER(_xlpm.MyAuditVal),_xlpm.MacVal&lt;&gt;"",_xlpm.MacVal,_xlpm.CSVVal&lt;&gt;"",_xlpm.CSVVal
)),"")</f>
        <v/>
      </c>
      <c r="D237" s="40" t="str" cm="1">
        <f t="array" ref="D237">IFERROR(_xlfn.LET(
_xlpm.CSVVal,_xlfn.XLOOKUP($A237,CSV!$A:$A,CSV!D:D,""),
_xlpm.MacVal,_xlfn.XLOOKUP($A237,Output_Mac!$A:$A,Output_Mac!C:C,""),
_xlpm.MyAuditVal,_xlfn.XLOOKUP($A237,My_Audit!$A:$A,My_Audit!C:C,""),
_xlfn.IFS(_xlpm.MyAuditVal&lt;&gt;"",_xlpm.MyAuditVal,_xlpm.MacVal&lt;&gt;"",_xlpm.MacVal,_xlpm.CSVVal&lt;&gt;"",_xlpm.CSVVal
)),"")</f>
        <v/>
      </c>
      <c r="E237" s="40">
        <f>_xlfn.XLOOKUP(A237,My_Audit!A:A,My_Audit!D:D,"")</f>
        <v>0</v>
      </c>
      <c r="F237" s="40" t="str" cm="1">
        <f t="array" ref="F237">IFERROR(_xlfn.LET(
_xlpm.CSVVal,_xlfn.XLOOKUP($A237,CSV!$A:$A,CSV!F:F,""),
_xlpm.MacVal,_xlfn.XLOOKUP($A237,Output_Mac!$A:$A,Output_Mac!E:E,""),
_xlpm.MyAuditVal,_xlfn.XLOOKUP($A237,My_Audit!$A:$A,My_Audit!E:E,""),
_xlfn.IFS(_xlpm.MyAuditVal&lt;&gt;"",_xlpm.MyAuditVal,_xlpm.MacVal&lt;&gt;"",_xlpm.MacVal,_xlpm.CSVVal&lt;&gt;"",_xlpm.CSVVal
)),"")</f>
        <v/>
      </c>
      <c r="G237" s="40" t="str" cm="1">
        <f t="array" ref="G237">IFERROR(_xlfn.LET(
_xlpm.CSVVal,_xlfn.XLOOKUP($A237,CSV!$A:$A,CSV!G:G,""),
_xlpm.MacVal,_xlfn.XLOOKUP($A237,Output_Mac!$A:$A,Output_Mac!F:F,""),
_xlpm.MyAuditVal,_xlfn.XLOOKUP($A237,My_Audit!$A:$A,My_Audit!F:F,""),
_xlfn.IFS(_xlpm.MyAuditVal&lt;&gt;"",_xlpm.MyAuditVal,_xlpm.MacVal&lt;&gt;"",_xlpm.MacVal,_xlpm.CSVVal&lt;&gt;"",PROPER(_xlpm.CSVVal)
)),"")</f>
        <v/>
      </c>
      <c r="H237" s="40" t="str" cm="1">
        <f t="array" ref="H237">IFERROR(_xlfn.LET(
_xlpm.CSVVal,_xlfn.XLOOKUP($A237,CSV!$A:$A,CSV!H:H,""),
_xlpm.MacVal,_xlfn.XLOOKUP($A237,Output_Mac!$A:$A,Output_Mac!H:H,""),
_xlpm.MyAuditVal,_xlfn.XLOOKUP($A237,My_Audit!$A:$A,My_Audit!G:G,""),
_xlfn.IFS(_xlpm.MyAuditVal&lt;&gt;"",_xlpm.MyAuditVal,_xlpm.MacVal&lt;&gt;"",_xlpm.MacVal,_xlpm.CSVVal&lt;&gt;"",_xlpm.CSVVal
)),"")</f>
        <v/>
      </c>
      <c r="I237" s="40" t="str">
        <f>_xlfn.XLOOKUP(A237,Output_Mac!A:A,Output_Mac!I:I,"")</f>
        <v/>
      </c>
      <c r="J237" s="40" t="str" cm="1">
        <f t="array" ref="J237">IFERROR(_xlfn.LET(
_xlpm.CSVVal,_xlfn.XLOOKUP($A237,CSV!$A:$A,CSV!I:I,""),
_xlpm.MacVal,_xlfn.XLOOKUP($A237,Output_Mac!$A:$A,Output_Mac!J:J,""),
_xlpm.MyAuditVal,_xlfn.XLOOKUP($A237,My_Audit!$A:$A,My_Audit!I:I,""),
_xlfn.IFS(_xlpm.MyAuditVal&lt;&gt;"",UPPER(_xlpm.MyAuditVal),_xlpm.MacVal&lt;&gt;"",_xlpm.MacVal,_xlpm.CSVVal&lt;&gt;"",_xlpm.CSVVal
)),"")</f>
        <v/>
      </c>
      <c r="K237" s="40" t="str" cm="1">
        <f t="array" ref="K237">IFERROR(_xlfn.LET(
_xlpm.CSVVal,_xlfn.XLOOKUP($A237,CSV!$A:$A,CSV!K:K,""),
_xlpm.MacVal,_xlfn.XLOOKUP($A237,Output_Mac!$A:$A,Output_Mac!K:K,""),
_xlpm.MyAuditVal,_xlfn.XLOOKUP($A237,My_Audit!$A:$A,My_Audit!J:J,""),
_xlfn.IFS(_xlpm.MyAuditVal&lt;&gt;"",UPPER(_xlpm.MyAuditVal),_xlpm.MacVal&lt;&gt;"",_xlpm.MacVal,_xlpm.CSVVal&lt;&gt;"",_xlpm.CSVVal
)),"")</f>
        <v/>
      </c>
      <c r="L237" s="40" t="str" cm="1">
        <f t="array" ref="L237">IFERROR(_xlfn.LET(
_xlpm.CSVVal,_xlfn.XLOOKUP($A237,CSV!$A:$A,CSV!P:P,""),
_xlpm.MacVal,_xlfn.XLOOKUP($A237,Output_Mac!$A:$A,Output_Mac!L:L,""),
_xlpm.MyAuditVal,_xlfn.XLOOKUP($A237,My_Audit!$A:$A,My_Audit!K:K,""),
_xlfn.IFS(_xlpm.MyAuditVal&lt;&gt;"",UPPER(_xlpm.MyAuditVal),_xlpm.MacVal&lt;&gt;"",_xlpm.MacVal,_xlpm.CSVVal&lt;&gt;"",_xlpm.CSVVal
)),"")</f>
        <v/>
      </c>
      <c r="M237" s="40" t="str" cm="1">
        <f t="array" ref="M237">IFERROR(_xlfn.LET(
_xlpm.CSVVal,_xlfn.XLOOKUP($A237,CSV!$A:$A,CSV!Q:Q,""),
_xlpm.MacVal,_xlfn.XLOOKUP($A237,Output_Mac!$A:$A,Output_Mac!M:M,""),
_xlpm.MyAuditVal,_xlfn.XLOOKUP($A237,My_Audit!$A:$A,My_Audit!L:L,""),
_xlfn.IFS(_xlpm.MyAuditVal&lt;&gt;"",UPPER(_xlpm.MyAuditVal),_xlpm.MacVal&lt;&gt;"",_xlpm.MacVal,_xlpm.CSVVal&lt;&gt;"",_xlpm.CSVVal
)),"")</f>
        <v/>
      </c>
      <c r="N237" s="40"/>
      <c r="O237" s="40" t="str">
        <f>_xlfn.LET(
    _xlpm.CSVVal, _xlfn.XLOOKUP($A237, CSV!$A:$A, CSV!AA:AA, ""),
    _xlpm.MacVal, _xlfn.XLOOKUP($A237, Output_Mac!$A:$A, Output_Mac!S:S, ""),
    _xlpm.MyAuditVal, _xlfn.XLOOKUP($A237, My_Audit!$A:$A, My_Audit!P:P, ""),
    _xlfn.TEXTJOIN(", ", TRUE, _xlpm.MyAuditVal, _xlpm.MacVal, _xlpm.CSVVal)
)</f>
        <v/>
      </c>
      <c r="P237" s="40" t="str" cm="1">
        <f t="array" ref="P237">IFERROR(_xlfn.LET(
_xlpm.CSVVal,_xlfn.XLOOKUP($A237,CSV!$A:$A,CSV!AB:AB,""),
_xlpm.MacVal,_xlfn.XLOOKUP($A237,Output_Mac!$A:$A,Output_Mac!T:T,""),
_xlpm.MyAuditVal,_xlfn.XLOOKUP($A237,My_Audit!$A:$A,My_Audit!Q:Q,""),
_xlfn.IFS(_xlpm.MyAuditVal&lt;&gt;"",UPPER(_xlpm.MyAuditVal),_xlpm.MacVal&lt;&gt;"",_xlpm.MacVal,_xlpm.CSVVal&lt;&gt;"",_xlpm.CSVVal
)),"No")</f>
        <v>No</v>
      </c>
      <c r="Q237" s="40" t="str" cm="1">
        <f t="array" ref="Q237">IFERROR(_xlfn.LET(
_xlpm.CSVVal,_xlfn.XLOOKUP($A237,CSV!$A:$A,CSV!AC:AC,""),
_xlpm.MacVal,_xlfn.XLOOKUP($A237,Output_Mac!$A:$A,Output_Mac!U:U,""),
_xlpm.MyAuditVal,_xlfn.XLOOKUP($A237,My_Audit!$A:$A,My_Audit!R:R,""),
_xlfn.IFS(_xlpm.MyAuditVal&lt;&gt;"",UPPER(_xlpm.MyAuditVal),_xlpm.MacVal&lt;&gt;"",_xlpm.MacVal,_xlpm.CSVVal&lt;&gt;"",_xlpm.CSVVal
)),"")</f>
        <v/>
      </c>
      <c r="R237" s="40"/>
      <c r="S237" s="40"/>
      <c r="T237" s="40"/>
      <c r="U237" s="40"/>
      <c r="V237" s="40"/>
      <c r="W237" s="40"/>
      <c r="X237" s="41" t="str">
        <f>_xlfn.LET(
    _xlpm.MacVal, _xlfn.XLOOKUP($A237, Output_Mac!$A:$A, Output_Mac!AB:AB, ""),
    _xlpm.MyAuditVal, _xlfn.XLOOKUP($A237, My_Audit!$A:$A, My_Audit!N:N, ""),
    _xlfn.TEXTJOIN(", ", TRUE, _xlpm.MyAuditVal, _xlpm.MacVal)
)</f>
        <v/>
      </c>
    </row>
    <row r="238" spans="1:24">
      <c r="A238" s="40" t="str">
        <f>_xlfn.TEXTJOIN("",TRUE,Input!$B$2,ROW(My_Audit!A237))</f>
        <v>X237</v>
      </c>
      <c r="B238" s="40" t="str">
        <f>_xlfn.TEXTJOIN("-",TRUE,"ITD",Input!$A$2,A238)</f>
        <v>ITD-X237</v>
      </c>
      <c r="C238" s="40" t="str" cm="1">
        <f t="array" ref="C238">IFERROR(_xlfn.LET(
_xlpm.CSVVal,_xlfn.XLOOKUP($A238,CSV!$A:$A,CSV!B:B,""),
_xlpm.MacVal,_xlfn.XLOOKUP($A238,Output_Mac!$A:$A,Output_Mac!B:B,""),
_xlpm.MyAuditVal,_xlfn.XLOOKUP($A238,My_Audit!$A:$A,My_Audit!B:B,""),
_xlfn.IFS(_xlpm.MyAuditVal&lt;&gt;"",UPPER(_xlpm.MyAuditVal),_xlpm.MacVal&lt;&gt;"",_xlpm.MacVal,_xlpm.CSVVal&lt;&gt;"",_xlpm.CSVVal
)),"")</f>
        <v/>
      </c>
      <c r="D238" s="40" t="str" cm="1">
        <f t="array" ref="D238">IFERROR(_xlfn.LET(
_xlpm.CSVVal,_xlfn.XLOOKUP($A238,CSV!$A:$A,CSV!D:D,""),
_xlpm.MacVal,_xlfn.XLOOKUP($A238,Output_Mac!$A:$A,Output_Mac!C:C,""),
_xlpm.MyAuditVal,_xlfn.XLOOKUP($A238,My_Audit!$A:$A,My_Audit!C:C,""),
_xlfn.IFS(_xlpm.MyAuditVal&lt;&gt;"",_xlpm.MyAuditVal,_xlpm.MacVal&lt;&gt;"",_xlpm.MacVal,_xlpm.CSVVal&lt;&gt;"",_xlpm.CSVVal
)),"")</f>
        <v/>
      </c>
      <c r="E238" s="40">
        <f>_xlfn.XLOOKUP(A238,My_Audit!A:A,My_Audit!D:D,"")</f>
        <v>0</v>
      </c>
      <c r="F238" s="40" t="str" cm="1">
        <f t="array" ref="F238">IFERROR(_xlfn.LET(
_xlpm.CSVVal,_xlfn.XLOOKUP($A238,CSV!$A:$A,CSV!F:F,""),
_xlpm.MacVal,_xlfn.XLOOKUP($A238,Output_Mac!$A:$A,Output_Mac!E:E,""),
_xlpm.MyAuditVal,_xlfn.XLOOKUP($A238,My_Audit!$A:$A,My_Audit!E:E,""),
_xlfn.IFS(_xlpm.MyAuditVal&lt;&gt;"",_xlpm.MyAuditVal,_xlpm.MacVal&lt;&gt;"",_xlpm.MacVal,_xlpm.CSVVal&lt;&gt;"",_xlpm.CSVVal
)),"")</f>
        <v/>
      </c>
      <c r="G238" s="40" t="str" cm="1">
        <f t="array" ref="G238">IFERROR(_xlfn.LET(
_xlpm.CSVVal,_xlfn.XLOOKUP($A238,CSV!$A:$A,CSV!G:G,""),
_xlpm.MacVal,_xlfn.XLOOKUP($A238,Output_Mac!$A:$A,Output_Mac!F:F,""),
_xlpm.MyAuditVal,_xlfn.XLOOKUP($A238,My_Audit!$A:$A,My_Audit!F:F,""),
_xlfn.IFS(_xlpm.MyAuditVal&lt;&gt;"",_xlpm.MyAuditVal,_xlpm.MacVal&lt;&gt;"",_xlpm.MacVal,_xlpm.CSVVal&lt;&gt;"",PROPER(_xlpm.CSVVal)
)),"")</f>
        <v/>
      </c>
      <c r="H238" s="40" t="str" cm="1">
        <f t="array" ref="H238">IFERROR(_xlfn.LET(
_xlpm.CSVVal,_xlfn.XLOOKUP($A238,CSV!$A:$A,CSV!H:H,""),
_xlpm.MacVal,_xlfn.XLOOKUP($A238,Output_Mac!$A:$A,Output_Mac!H:H,""),
_xlpm.MyAuditVal,_xlfn.XLOOKUP($A238,My_Audit!$A:$A,My_Audit!G:G,""),
_xlfn.IFS(_xlpm.MyAuditVal&lt;&gt;"",_xlpm.MyAuditVal,_xlpm.MacVal&lt;&gt;"",_xlpm.MacVal,_xlpm.CSVVal&lt;&gt;"",_xlpm.CSVVal
)),"")</f>
        <v/>
      </c>
      <c r="I238" s="40" t="str">
        <f>_xlfn.XLOOKUP(A238,Output_Mac!A:A,Output_Mac!I:I,"")</f>
        <v/>
      </c>
      <c r="J238" s="40" t="str" cm="1">
        <f t="array" ref="J238">IFERROR(_xlfn.LET(
_xlpm.CSVVal,_xlfn.XLOOKUP($A238,CSV!$A:$A,CSV!I:I,""),
_xlpm.MacVal,_xlfn.XLOOKUP($A238,Output_Mac!$A:$A,Output_Mac!J:J,""),
_xlpm.MyAuditVal,_xlfn.XLOOKUP($A238,My_Audit!$A:$A,My_Audit!I:I,""),
_xlfn.IFS(_xlpm.MyAuditVal&lt;&gt;"",UPPER(_xlpm.MyAuditVal),_xlpm.MacVal&lt;&gt;"",_xlpm.MacVal,_xlpm.CSVVal&lt;&gt;"",_xlpm.CSVVal
)),"")</f>
        <v/>
      </c>
      <c r="K238" s="40" t="str" cm="1">
        <f t="array" ref="K238">IFERROR(_xlfn.LET(
_xlpm.CSVVal,_xlfn.XLOOKUP($A238,CSV!$A:$A,CSV!K:K,""),
_xlpm.MacVal,_xlfn.XLOOKUP($A238,Output_Mac!$A:$A,Output_Mac!K:K,""),
_xlpm.MyAuditVal,_xlfn.XLOOKUP($A238,My_Audit!$A:$A,My_Audit!J:J,""),
_xlfn.IFS(_xlpm.MyAuditVal&lt;&gt;"",UPPER(_xlpm.MyAuditVal),_xlpm.MacVal&lt;&gt;"",_xlpm.MacVal,_xlpm.CSVVal&lt;&gt;"",_xlpm.CSVVal
)),"")</f>
        <v/>
      </c>
      <c r="L238" s="40" t="str" cm="1">
        <f t="array" ref="L238">IFERROR(_xlfn.LET(
_xlpm.CSVVal,_xlfn.XLOOKUP($A238,CSV!$A:$A,CSV!P:P,""),
_xlpm.MacVal,_xlfn.XLOOKUP($A238,Output_Mac!$A:$A,Output_Mac!L:L,""),
_xlpm.MyAuditVal,_xlfn.XLOOKUP($A238,My_Audit!$A:$A,My_Audit!K:K,""),
_xlfn.IFS(_xlpm.MyAuditVal&lt;&gt;"",UPPER(_xlpm.MyAuditVal),_xlpm.MacVal&lt;&gt;"",_xlpm.MacVal,_xlpm.CSVVal&lt;&gt;"",_xlpm.CSVVal
)),"")</f>
        <v/>
      </c>
      <c r="M238" s="40" t="str" cm="1">
        <f t="array" ref="M238">IFERROR(_xlfn.LET(
_xlpm.CSVVal,_xlfn.XLOOKUP($A238,CSV!$A:$A,CSV!Q:Q,""),
_xlpm.MacVal,_xlfn.XLOOKUP($A238,Output_Mac!$A:$A,Output_Mac!M:M,""),
_xlpm.MyAuditVal,_xlfn.XLOOKUP($A238,My_Audit!$A:$A,My_Audit!L:L,""),
_xlfn.IFS(_xlpm.MyAuditVal&lt;&gt;"",UPPER(_xlpm.MyAuditVal),_xlpm.MacVal&lt;&gt;"",_xlpm.MacVal,_xlpm.CSVVal&lt;&gt;"",_xlpm.CSVVal
)),"")</f>
        <v/>
      </c>
      <c r="N238" s="40"/>
      <c r="O238" s="40" t="str">
        <f>_xlfn.LET(
    _xlpm.CSVVal, _xlfn.XLOOKUP($A238, CSV!$A:$A, CSV!AA:AA, ""),
    _xlpm.MacVal, _xlfn.XLOOKUP($A238, Output_Mac!$A:$A, Output_Mac!S:S, ""),
    _xlpm.MyAuditVal, _xlfn.XLOOKUP($A238, My_Audit!$A:$A, My_Audit!P:P, ""),
    _xlfn.TEXTJOIN(", ", TRUE, _xlpm.MyAuditVal, _xlpm.MacVal, _xlpm.CSVVal)
)</f>
        <v/>
      </c>
      <c r="P238" s="40" t="str" cm="1">
        <f t="array" ref="P238">IFERROR(_xlfn.LET(
_xlpm.CSVVal,_xlfn.XLOOKUP($A238,CSV!$A:$A,CSV!AB:AB,""),
_xlpm.MacVal,_xlfn.XLOOKUP($A238,Output_Mac!$A:$A,Output_Mac!T:T,""),
_xlpm.MyAuditVal,_xlfn.XLOOKUP($A238,My_Audit!$A:$A,My_Audit!Q:Q,""),
_xlfn.IFS(_xlpm.MyAuditVal&lt;&gt;"",UPPER(_xlpm.MyAuditVal),_xlpm.MacVal&lt;&gt;"",_xlpm.MacVal,_xlpm.CSVVal&lt;&gt;"",_xlpm.CSVVal
)),"No")</f>
        <v>No</v>
      </c>
      <c r="Q238" s="40" t="str" cm="1">
        <f t="array" ref="Q238">IFERROR(_xlfn.LET(
_xlpm.CSVVal,_xlfn.XLOOKUP($A238,CSV!$A:$A,CSV!AC:AC,""),
_xlpm.MacVal,_xlfn.XLOOKUP($A238,Output_Mac!$A:$A,Output_Mac!U:U,""),
_xlpm.MyAuditVal,_xlfn.XLOOKUP($A238,My_Audit!$A:$A,My_Audit!R:R,""),
_xlfn.IFS(_xlpm.MyAuditVal&lt;&gt;"",UPPER(_xlpm.MyAuditVal),_xlpm.MacVal&lt;&gt;"",_xlpm.MacVal,_xlpm.CSVVal&lt;&gt;"",_xlpm.CSVVal
)),"")</f>
        <v/>
      </c>
      <c r="R238" s="40"/>
      <c r="S238" s="40"/>
      <c r="T238" s="40"/>
      <c r="U238" s="40"/>
      <c r="V238" s="40"/>
      <c r="W238" s="40"/>
      <c r="X238" s="41" t="str">
        <f>_xlfn.LET(
    _xlpm.MacVal, _xlfn.XLOOKUP($A238, Output_Mac!$A:$A, Output_Mac!AB:AB, ""),
    _xlpm.MyAuditVal, _xlfn.XLOOKUP($A238, My_Audit!$A:$A, My_Audit!N:N, ""),
    _xlfn.TEXTJOIN(", ", TRUE, _xlpm.MyAuditVal, _xlpm.MacVal)
)</f>
        <v/>
      </c>
    </row>
    <row r="239" spans="1:24">
      <c r="A239" s="40" t="str">
        <f>_xlfn.TEXTJOIN("",TRUE,Input!$B$2,ROW(My_Audit!A238))</f>
        <v>X238</v>
      </c>
      <c r="B239" s="40" t="str">
        <f>_xlfn.TEXTJOIN("-",TRUE,"ITD",Input!$A$2,A239)</f>
        <v>ITD-X238</v>
      </c>
      <c r="C239" s="40" t="str" cm="1">
        <f t="array" ref="C239">IFERROR(_xlfn.LET(
_xlpm.CSVVal,_xlfn.XLOOKUP($A239,CSV!$A:$A,CSV!B:B,""),
_xlpm.MacVal,_xlfn.XLOOKUP($A239,Output_Mac!$A:$A,Output_Mac!B:B,""),
_xlpm.MyAuditVal,_xlfn.XLOOKUP($A239,My_Audit!$A:$A,My_Audit!B:B,""),
_xlfn.IFS(_xlpm.MyAuditVal&lt;&gt;"",UPPER(_xlpm.MyAuditVal),_xlpm.MacVal&lt;&gt;"",_xlpm.MacVal,_xlpm.CSVVal&lt;&gt;"",_xlpm.CSVVal
)),"")</f>
        <v/>
      </c>
      <c r="D239" s="40" t="str" cm="1">
        <f t="array" ref="D239">IFERROR(_xlfn.LET(
_xlpm.CSVVal,_xlfn.XLOOKUP($A239,CSV!$A:$A,CSV!D:D,""),
_xlpm.MacVal,_xlfn.XLOOKUP($A239,Output_Mac!$A:$A,Output_Mac!C:C,""),
_xlpm.MyAuditVal,_xlfn.XLOOKUP($A239,My_Audit!$A:$A,My_Audit!C:C,""),
_xlfn.IFS(_xlpm.MyAuditVal&lt;&gt;"",_xlpm.MyAuditVal,_xlpm.MacVal&lt;&gt;"",_xlpm.MacVal,_xlpm.CSVVal&lt;&gt;"",_xlpm.CSVVal
)),"")</f>
        <v/>
      </c>
      <c r="E239" s="40">
        <f>_xlfn.XLOOKUP(A239,My_Audit!A:A,My_Audit!D:D,"")</f>
        <v>0</v>
      </c>
      <c r="F239" s="40" t="str" cm="1">
        <f t="array" ref="F239">IFERROR(_xlfn.LET(
_xlpm.CSVVal,_xlfn.XLOOKUP($A239,CSV!$A:$A,CSV!F:F,""),
_xlpm.MacVal,_xlfn.XLOOKUP($A239,Output_Mac!$A:$A,Output_Mac!E:E,""),
_xlpm.MyAuditVal,_xlfn.XLOOKUP($A239,My_Audit!$A:$A,My_Audit!E:E,""),
_xlfn.IFS(_xlpm.MyAuditVal&lt;&gt;"",_xlpm.MyAuditVal,_xlpm.MacVal&lt;&gt;"",_xlpm.MacVal,_xlpm.CSVVal&lt;&gt;"",_xlpm.CSVVal
)),"")</f>
        <v/>
      </c>
      <c r="G239" s="40" t="str" cm="1">
        <f t="array" ref="G239">IFERROR(_xlfn.LET(
_xlpm.CSVVal,_xlfn.XLOOKUP($A239,CSV!$A:$A,CSV!G:G,""),
_xlpm.MacVal,_xlfn.XLOOKUP($A239,Output_Mac!$A:$A,Output_Mac!F:F,""),
_xlpm.MyAuditVal,_xlfn.XLOOKUP($A239,My_Audit!$A:$A,My_Audit!F:F,""),
_xlfn.IFS(_xlpm.MyAuditVal&lt;&gt;"",_xlpm.MyAuditVal,_xlpm.MacVal&lt;&gt;"",_xlpm.MacVal,_xlpm.CSVVal&lt;&gt;"",PROPER(_xlpm.CSVVal)
)),"")</f>
        <v/>
      </c>
      <c r="H239" s="40" t="str" cm="1">
        <f t="array" ref="H239">IFERROR(_xlfn.LET(
_xlpm.CSVVal,_xlfn.XLOOKUP($A239,CSV!$A:$A,CSV!H:H,""),
_xlpm.MacVal,_xlfn.XLOOKUP($A239,Output_Mac!$A:$A,Output_Mac!H:H,""),
_xlpm.MyAuditVal,_xlfn.XLOOKUP($A239,My_Audit!$A:$A,My_Audit!G:G,""),
_xlfn.IFS(_xlpm.MyAuditVal&lt;&gt;"",_xlpm.MyAuditVal,_xlpm.MacVal&lt;&gt;"",_xlpm.MacVal,_xlpm.CSVVal&lt;&gt;"",_xlpm.CSVVal
)),"")</f>
        <v/>
      </c>
      <c r="I239" s="40" t="str">
        <f>_xlfn.XLOOKUP(A239,Output_Mac!A:A,Output_Mac!I:I,"")</f>
        <v/>
      </c>
      <c r="J239" s="40" t="str" cm="1">
        <f t="array" ref="J239">IFERROR(_xlfn.LET(
_xlpm.CSVVal,_xlfn.XLOOKUP($A239,CSV!$A:$A,CSV!I:I,""),
_xlpm.MacVal,_xlfn.XLOOKUP($A239,Output_Mac!$A:$A,Output_Mac!J:J,""),
_xlpm.MyAuditVal,_xlfn.XLOOKUP($A239,My_Audit!$A:$A,My_Audit!I:I,""),
_xlfn.IFS(_xlpm.MyAuditVal&lt;&gt;"",UPPER(_xlpm.MyAuditVal),_xlpm.MacVal&lt;&gt;"",_xlpm.MacVal,_xlpm.CSVVal&lt;&gt;"",_xlpm.CSVVal
)),"")</f>
        <v/>
      </c>
      <c r="K239" s="40" t="str" cm="1">
        <f t="array" ref="K239">IFERROR(_xlfn.LET(
_xlpm.CSVVal,_xlfn.XLOOKUP($A239,CSV!$A:$A,CSV!K:K,""),
_xlpm.MacVal,_xlfn.XLOOKUP($A239,Output_Mac!$A:$A,Output_Mac!K:K,""),
_xlpm.MyAuditVal,_xlfn.XLOOKUP($A239,My_Audit!$A:$A,My_Audit!J:J,""),
_xlfn.IFS(_xlpm.MyAuditVal&lt;&gt;"",UPPER(_xlpm.MyAuditVal),_xlpm.MacVal&lt;&gt;"",_xlpm.MacVal,_xlpm.CSVVal&lt;&gt;"",_xlpm.CSVVal
)),"")</f>
        <v/>
      </c>
      <c r="L239" s="40" t="str" cm="1">
        <f t="array" ref="L239">IFERROR(_xlfn.LET(
_xlpm.CSVVal,_xlfn.XLOOKUP($A239,CSV!$A:$A,CSV!P:P,""),
_xlpm.MacVal,_xlfn.XLOOKUP($A239,Output_Mac!$A:$A,Output_Mac!L:L,""),
_xlpm.MyAuditVal,_xlfn.XLOOKUP($A239,My_Audit!$A:$A,My_Audit!K:K,""),
_xlfn.IFS(_xlpm.MyAuditVal&lt;&gt;"",UPPER(_xlpm.MyAuditVal),_xlpm.MacVal&lt;&gt;"",_xlpm.MacVal,_xlpm.CSVVal&lt;&gt;"",_xlpm.CSVVal
)),"")</f>
        <v/>
      </c>
      <c r="M239" s="40" t="str" cm="1">
        <f t="array" ref="M239">IFERROR(_xlfn.LET(
_xlpm.CSVVal,_xlfn.XLOOKUP($A239,CSV!$A:$A,CSV!Q:Q,""),
_xlpm.MacVal,_xlfn.XLOOKUP($A239,Output_Mac!$A:$A,Output_Mac!M:M,""),
_xlpm.MyAuditVal,_xlfn.XLOOKUP($A239,My_Audit!$A:$A,My_Audit!L:L,""),
_xlfn.IFS(_xlpm.MyAuditVal&lt;&gt;"",UPPER(_xlpm.MyAuditVal),_xlpm.MacVal&lt;&gt;"",_xlpm.MacVal,_xlpm.CSVVal&lt;&gt;"",_xlpm.CSVVal
)),"")</f>
        <v/>
      </c>
      <c r="N239" s="40"/>
      <c r="O239" s="40" t="str">
        <f>_xlfn.LET(
    _xlpm.CSVVal, _xlfn.XLOOKUP($A239, CSV!$A:$A, CSV!AA:AA, ""),
    _xlpm.MacVal, _xlfn.XLOOKUP($A239, Output_Mac!$A:$A, Output_Mac!S:S, ""),
    _xlpm.MyAuditVal, _xlfn.XLOOKUP($A239, My_Audit!$A:$A, My_Audit!P:P, ""),
    _xlfn.TEXTJOIN(", ", TRUE, _xlpm.MyAuditVal, _xlpm.MacVal, _xlpm.CSVVal)
)</f>
        <v/>
      </c>
      <c r="P239" s="40" t="str" cm="1">
        <f t="array" ref="P239">IFERROR(_xlfn.LET(
_xlpm.CSVVal,_xlfn.XLOOKUP($A239,CSV!$A:$A,CSV!AB:AB,""),
_xlpm.MacVal,_xlfn.XLOOKUP($A239,Output_Mac!$A:$A,Output_Mac!T:T,""),
_xlpm.MyAuditVal,_xlfn.XLOOKUP($A239,My_Audit!$A:$A,My_Audit!Q:Q,""),
_xlfn.IFS(_xlpm.MyAuditVal&lt;&gt;"",UPPER(_xlpm.MyAuditVal),_xlpm.MacVal&lt;&gt;"",_xlpm.MacVal,_xlpm.CSVVal&lt;&gt;"",_xlpm.CSVVal
)),"No")</f>
        <v>No</v>
      </c>
      <c r="Q239" s="40" t="str" cm="1">
        <f t="array" ref="Q239">IFERROR(_xlfn.LET(
_xlpm.CSVVal,_xlfn.XLOOKUP($A239,CSV!$A:$A,CSV!AC:AC,""),
_xlpm.MacVal,_xlfn.XLOOKUP($A239,Output_Mac!$A:$A,Output_Mac!U:U,""),
_xlpm.MyAuditVal,_xlfn.XLOOKUP($A239,My_Audit!$A:$A,My_Audit!R:R,""),
_xlfn.IFS(_xlpm.MyAuditVal&lt;&gt;"",UPPER(_xlpm.MyAuditVal),_xlpm.MacVal&lt;&gt;"",_xlpm.MacVal,_xlpm.CSVVal&lt;&gt;"",_xlpm.CSVVal
)),"")</f>
        <v/>
      </c>
      <c r="R239" s="40"/>
      <c r="S239" s="40"/>
      <c r="T239" s="40"/>
      <c r="U239" s="40"/>
      <c r="V239" s="40"/>
      <c r="W239" s="40"/>
      <c r="X239" s="41" t="str">
        <f>_xlfn.LET(
    _xlpm.MacVal, _xlfn.XLOOKUP($A239, Output_Mac!$A:$A, Output_Mac!AB:AB, ""),
    _xlpm.MyAuditVal, _xlfn.XLOOKUP($A239, My_Audit!$A:$A, My_Audit!N:N, ""),
    _xlfn.TEXTJOIN(", ", TRUE, _xlpm.MyAuditVal, _xlpm.MacVal)
)</f>
        <v/>
      </c>
    </row>
    <row r="240" spans="1:24">
      <c r="A240" s="40" t="str">
        <f>_xlfn.TEXTJOIN("",TRUE,Input!$B$2,ROW(My_Audit!A239))</f>
        <v>X239</v>
      </c>
      <c r="B240" s="40" t="str">
        <f>_xlfn.TEXTJOIN("-",TRUE,"ITD",Input!$A$2,A240)</f>
        <v>ITD-X239</v>
      </c>
      <c r="C240" s="40" t="str" cm="1">
        <f t="array" ref="C240">IFERROR(_xlfn.LET(
_xlpm.CSVVal,_xlfn.XLOOKUP($A240,CSV!$A:$A,CSV!B:B,""),
_xlpm.MacVal,_xlfn.XLOOKUP($A240,Output_Mac!$A:$A,Output_Mac!B:B,""),
_xlpm.MyAuditVal,_xlfn.XLOOKUP($A240,My_Audit!$A:$A,My_Audit!B:B,""),
_xlfn.IFS(_xlpm.MyAuditVal&lt;&gt;"",UPPER(_xlpm.MyAuditVal),_xlpm.MacVal&lt;&gt;"",_xlpm.MacVal,_xlpm.CSVVal&lt;&gt;"",_xlpm.CSVVal
)),"")</f>
        <v/>
      </c>
      <c r="D240" s="40" t="str" cm="1">
        <f t="array" ref="D240">IFERROR(_xlfn.LET(
_xlpm.CSVVal,_xlfn.XLOOKUP($A240,CSV!$A:$A,CSV!D:D,""),
_xlpm.MacVal,_xlfn.XLOOKUP($A240,Output_Mac!$A:$A,Output_Mac!C:C,""),
_xlpm.MyAuditVal,_xlfn.XLOOKUP($A240,My_Audit!$A:$A,My_Audit!C:C,""),
_xlfn.IFS(_xlpm.MyAuditVal&lt;&gt;"",_xlpm.MyAuditVal,_xlpm.MacVal&lt;&gt;"",_xlpm.MacVal,_xlpm.CSVVal&lt;&gt;"",_xlpm.CSVVal
)),"")</f>
        <v/>
      </c>
      <c r="E240" s="40">
        <f>_xlfn.XLOOKUP(A240,My_Audit!A:A,My_Audit!D:D,"")</f>
        <v>0</v>
      </c>
      <c r="F240" s="40" t="str" cm="1">
        <f t="array" ref="F240">IFERROR(_xlfn.LET(
_xlpm.CSVVal,_xlfn.XLOOKUP($A240,CSV!$A:$A,CSV!F:F,""),
_xlpm.MacVal,_xlfn.XLOOKUP($A240,Output_Mac!$A:$A,Output_Mac!E:E,""),
_xlpm.MyAuditVal,_xlfn.XLOOKUP($A240,My_Audit!$A:$A,My_Audit!E:E,""),
_xlfn.IFS(_xlpm.MyAuditVal&lt;&gt;"",_xlpm.MyAuditVal,_xlpm.MacVal&lt;&gt;"",_xlpm.MacVal,_xlpm.CSVVal&lt;&gt;"",_xlpm.CSVVal
)),"")</f>
        <v/>
      </c>
      <c r="G240" s="40" t="str" cm="1">
        <f t="array" ref="G240">IFERROR(_xlfn.LET(
_xlpm.CSVVal,_xlfn.XLOOKUP($A240,CSV!$A:$A,CSV!G:G,""),
_xlpm.MacVal,_xlfn.XLOOKUP($A240,Output_Mac!$A:$A,Output_Mac!F:F,""),
_xlpm.MyAuditVal,_xlfn.XLOOKUP($A240,My_Audit!$A:$A,My_Audit!F:F,""),
_xlfn.IFS(_xlpm.MyAuditVal&lt;&gt;"",_xlpm.MyAuditVal,_xlpm.MacVal&lt;&gt;"",_xlpm.MacVal,_xlpm.CSVVal&lt;&gt;"",PROPER(_xlpm.CSVVal)
)),"")</f>
        <v/>
      </c>
      <c r="H240" s="40" t="str" cm="1">
        <f t="array" ref="H240">IFERROR(_xlfn.LET(
_xlpm.CSVVal,_xlfn.XLOOKUP($A240,CSV!$A:$A,CSV!H:H,""),
_xlpm.MacVal,_xlfn.XLOOKUP($A240,Output_Mac!$A:$A,Output_Mac!H:H,""),
_xlpm.MyAuditVal,_xlfn.XLOOKUP($A240,My_Audit!$A:$A,My_Audit!G:G,""),
_xlfn.IFS(_xlpm.MyAuditVal&lt;&gt;"",_xlpm.MyAuditVal,_xlpm.MacVal&lt;&gt;"",_xlpm.MacVal,_xlpm.CSVVal&lt;&gt;"",_xlpm.CSVVal
)),"")</f>
        <v/>
      </c>
      <c r="I240" s="40" t="str">
        <f>_xlfn.XLOOKUP(A240,Output_Mac!A:A,Output_Mac!I:I,"")</f>
        <v/>
      </c>
      <c r="J240" s="40" t="str" cm="1">
        <f t="array" ref="J240">IFERROR(_xlfn.LET(
_xlpm.CSVVal,_xlfn.XLOOKUP($A240,CSV!$A:$A,CSV!I:I,""),
_xlpm.MacVal,_xlfn.XLOOKUP($A240,Output_Mac!$A:$A,Output_Mac!J:J,""),
_xlpm.MyAuditVal,_xlfn.XLOOKUP($A240,My_Audit!$A:$A,My_Audit!I:I,""),
_xlfn.IFS(_xlpm.MyAuditVal&lt;&gt;"",UPPER(_xlpm.MyAuditVal),_xlpm.MacVal&lt;&gt;"",_xlpm.MacVal,_xlpm.CSVVal&lt;&gt;"",_xlpm.CSVVal
)),"")</f>
        <v/>
      </c>
      <c r="K240" s="40" t="str" cm="1">
        <f t="array" ref="K240">IFERROR(_xlfn.LET(
_xlpm.CSVVal,_xlfn.XLOOKUP($A240,CSV!$A:$A,CSV!K:K,""),
_xlpm.MacVal,_xlfn.XLOOKUP($A240,Output_Mac!$A:$A,Output_Mac!K:K,""),
_xlpm.MyAuditVal,_xlfn.XLOOKUP($A240,My_Audit!$A:$A,My_Audit!J:J,""),
_xlfn.IFS(_xlpm.MyAuditVal&lt;&gt;"",UPPER(_xlpm.MyAuditVal),_xlpm.MacVal&lt;&gt;"",_xlpm.MacVal,_xlpm.CSVVal&lt;&gt;"",_xlpm.CSVVal
)),"")</f>
        <v/>
      </c>
      <c r="L240" s="40" t="str" cm="1">
        <f t="array" ref="L240">IFERROR(_xlfn.LET(
_xlpm.CSVVal,_xlfn.XLOOKUP($A240,CSV!$A:$A,CSV!P:P,""),
_xlpm.MacVal,_xlfn.XLOOKUP($A240,Output_Mac!$A:$A,Output_Mac!L:L,""),
_xlpm.MyAuditVal,_xlfn.XLOOKUP($A240,My_Audit!$A:$A,My_Audit!K:K,""),
_xlfn.IFS(_xlpm.MyAuditVal&lt;&gt;"",UPPER(_xlpm.MyAuditVal),_xlpm.MacVal&lt;&gt;"",_xlpm.MacVal,_xlpm.CSVVal&lt;&gt;"",_xlpm.CSVVal
)),"")</f>
        <v/>
      </c>
      <c r="M240" s="40" t="str" cm="1">
        <f t="array" ref="M240">IFERROR(_xlfn.LET(
_xlpm.CSVVal,_xlfn.XLOOKUP($A240,CSV!$A:$A,CSV!Q:Q,""),
_xlpm.MacVal,_xlfn.XLOOKUP($A240,Output_Mac!$A:$A,Output_Mac!M:M,""),
_xlpm.MyAuditVal,_xlfn.XLOOKUP($A240,My_Audit!$A:$A,My_Audit!L:L,""),
_xlfn.IFS(_xlpm.MyAuditVal&lt;&gt;"",UPPER(_xlpm.MyAuditVal),_xlpm.MacVal&lt;&gt;"",_xlpm.MacVal,_xlpm.CSVVal&lt;&gt;"",_xlpm.CSVVal
)),"")</f>
        <v/>
      </c>
      <c r="N240" s="40"/>
      <c r="O240" s="40" t="str">
        <f>_xlfn.LET(
    _xlpm.CSVVal, _xlfn.XLOOKUP($A240, CSV!$A:$A, CSV!AA:AA, ""),
    _xlpm.MacVal, _xlfn.XLOOKUP($A240, Output_Mac!$A:$A, Output_Mac!S:S, ""),
    _xlpm.MyAuditVal, _xlfn.XLOOKUP($A240, My_Audit!$A:$A, My_Audit!P:P, ""),
    _xlfn.TEXTJOIN(", ", TRUE, _xlpm.MyAuditVal, _xlpm.MacVal, _xlpm.CSVVal)
)</f>
        <v/>
      </c>
      <c r="P240" s="40" t="str" cm="1">
        <f t="array" ref="P240">IFERROR(_xlfn.LET(
_xlpm.CSVVal,_xlfn.XLOOKUP($A240,CSV!$A:$A,CSV!AB:AB,""),
_xlpm.MacVal,_xlfn.XLOOKUP($A240,Output_Mac!$A:$A,Output_Mac!T:T,""),
_xlpm.MyAuditVal,_xlfn.XLOOKUP($A240,My_Audit!$A:$A,My_Audit!Q:Q,""),
_xlfn.IFS(_xlpm.MyAuditVal&lt;&gt;"",UPPER(_xlpm.MyAuditVal),_xlpm.MacVal&lt;&gt;"",_xlpm.MacVal,_xlpm.CSVVal&lt;&gt;"",_xlpm.CSVVal
)),"No")</f>
        <v>No</v>
      </c>
      <c r="Q240" s="40" t="str" cm="1">
        <f t="array" ref="Q240">IFERROR(_xlfn.LET(
_xlpm.CSVVal,_xlfn.XLOOKUP($A240,CSV!$A:$A,CSV!AC:AC,""),
_xlpm.MacVal,_xlfn.XLOOKUP($A240,Output_Mac!$A:$A,Output_Mac!U:U,""),
_xlpm.MyAuditVal,_xlfn.XLOOKUP($A240,My_Audit!$A:$A,My_Audit!R:R,""),
_xlfn.IFS(_xlpm.MyAuditVal&lt;&gt;"",UPPER(_xlpm.MyAuditVal),_xlpm.MacVal&lt;&gt;"",_xlpm.MacVal,_xlpm.CSVVal&lt;&gt;"",_xlpm.CSVVal
)),"")</f>
        <v/>
      </c>
      <c r="R240" s="40"/>
      <c r="S240" s="40"/>
      <c r="T240" s="40"/>
      <c r="U240" s="40"/>
      <c r="V240" s="40"/>
      <c r="W240" s="40"/>
      <c r="X240" s="41" t="str">
        <f>_xlfn.LET(
    _xlpm.MacVal, _xlfn.XLOOKUP($A240, Output_Mac!$A:$A, Output_Mac!AB:AB, ""),
    _xlpm.MyAuditVal, _xlfn.XLOOKUP($A240, My_Audit!$A:$A, My_Audit!N:N, ""),
    _xlfn.TEXTJOIN(", ", TRUE, _xlpm.MyAuditVal, _xlpm.MacVal)
)</f>
        <v/>
      </c>
    </row>
    <row r="241" spans="1:24">
      <c r="A241" s="40" t="str">
        <f>_xlfn.TEXTJOIN("",TRUE,Input!$B$2,ROW(My_Audit!A240))</f>
        <v>X240</v>
      </c>
      <c r="B241" s="40" t="str">
        <f>_xlfn.TEXTJOIN("-",TRUE,"ITD",Input!$A$2,A241)</f>
        <v>ITD-X240</v>
      </c>
      <c r="C241" s="40" t="str" cm="1">
        <f t="array" ref="C241">IFERROR(_xlfn.LET(
_xlpm.CSVVal,_xlfn.XLOOKUP($A241,CSV!$A:$A,CSV!B:B,""),
_xlpm.MacVal,_xlfn.XLOOKUP($A241,Output_Mac!$A:$A,Output_Mac!B:B,""),
_xlpm.MyAuditVal,_xlfn.XLOOKUP($A241,My_Audit!$A:$A,My_Audit!B:B,""),
_xlfn.IFS(_xlpm.MyAuditVal&lt;&gt;"",UPPER(_xlpm.MyAuditVal),_xlpm.MacVal&lt;&gt;"",_xlpm.MacVal,_xlpm.CSVVal&lt;&gt;"",_xlpm.CSVVal
)),"")</f>
        <v/>
      </c>
      <c r="D241" s="40" t="str" cm="1">
        <f t="array" ref="D241">IFERROR(_xlfn.LET(
_xlpm.CSVVal,_xlfn.XLOOKUP($A241,CSV!$A:$A,CSV!D:D,""),
_xlpm.MacVal,_xlfn.XLOOKUP($A241,Output_Mac!$A:$A,Output_Mac!C:C,""),
_xlpm.MyAuditVal,_xlfn.XLOOKUP($A241,My_Audit!$A:$A,My_Audit!C:C,""),
_xlfn.IFS(_xlpm.MyAuditVal&lt;&gt;"",_xlpm.MyAuditVal,_xlpm.MacVal&lt;&gt;"",_xlpm.MacVal,_xlpm.CSVVal&lt;&gt;"",_xlpm.CSVVal
)),"")</f>
        <v/>
      </c>
      <c r="E241" s="40">
        <f>_xlfn.XLOOKUP(A241,My_Audit!A:A,My_Audit!D:D,"")</f>
        <v>0</v>
      </c>
      <c r="F241" s="40" t="str" cm="1">
        <f t="array" ref="F241">IFERROR(_xlfn.LET(
_xlpm.CSVVal,_xlfn.XLOOKUP($A241,CSV!$A:$A,CSV!F:F,""),
_xlpm.MacVal,_xlfn.XLOOKUP($A241,Output_Mac!$A:$A,Output_Mac!E:E,""),
_xlpm.MyAuditVal,_xlfn.XLOOKUP($A241,My_Audit!$A:$A,My_Audit!E:E,""),
_xlfn.IFS(_xlpm.MyAuditVal&lt;&gt;"",_xlpm.MyAuditVal,_xlpm.MacVal&lt;&gt;"",_xlpm.MacVal,_xlpm.CSVVal&lt;&gt;"",_xlpm.CSVVal
)),"")</f>
        <v/>
      </c>
      <c r="G241" s="40" t="str" cm="1">
        <f t="array" ref="G241">IFERROR(_xlfn.LET(
_xlpm.CSVVal,_xlfn.XLOOKUP($A241,CSV!$A:$A,CSV!G:G,""),
_xlpm.MacVal,_xlfn.XLOOKUP($A241,Output_Mac!$A:$A,Output_Mac!F:F,""),
_xlpm.MyAuditVal,_xlfn.XLOOKUP($A241,My_Audit!$A:$A,My_Audit!F:F,""),
_xlfn.IFS(_xlpm.MyAuditVal&lt;&gt;"",_xlpm.MyAuditVal,_xlpm.MacVal&lt;&gt;"",_xlpm.MacVal,_xlpm.CSVVal&lt;&gt;"",PROPER(_xlpm.CSVVal)
)),"")</f>
        <v/>
      </c>
      <c r="H241" s="40" t="str" cm="1">
        <f t="array" ref="H241">IFERROR(_xlfn.LET(
_xlpm.CSVVal,_xlfn.XLOOKUP($A241,CSV!$A:$A,CSV!H:H,""),
_xlpm.MacVal,_xlfn.XLOOKUP($A241,Output_Mac!$A:$A,Output_Mac!H:H,""),
_xlpm.MyAuditVal,_xlfn.XLOOKUP($A241,My_Audit!$A:$A,My_Audit!G:G,""),
_xlfn.IFS(_xlpm.MyAuditVal&lt;&gt;"",_xlpm.MyAuditVal,_xlpm.MacVal&lt;&gt;"",_xlpm.MacVal,_xlpm.CSVVal&lt;&gt;"",_xlpm.CSVVal
)),"")</f>
        <v/>
      </c>
      <c r="I241" s="40" t="str">
        <f>_xlfn.XLOOKUP(A241,Output_Mac!A:A,Output_Mac!I:I,"")</f>
        <v/>
      </c>
      <c r="J241" s="40" t="str" cm="1">
        <f t="array" ref="J241">IFERROR(_xlfn.LET(
_xlpm.CSVVal,_xlfn.XLOOKUP($A241,CSV!$A:$A,CSV!I:I,""),
_xlpm.MacVal,_xlfn.XLOOKUP($A241,Output_Mac!$A:$A,Output_Mac!J:J,""),
_xlpm.MyAuditVal,_xlfn.XLOOKUP($A241,My_Audit!$A:$A,My_Audit!I:I,""),
_xlfn.IFS(_xlpm.MyAuditVal&lt;&gt;"",UPPER(_xlpm.MyAuditVal),_xlpm.MacVal&lt;&gt;"",_xlpm.MacVal,_xlpm.CSVVal&lt;&gt;"",_xlpm.CSVVal
)),"")</f>
        <v/>
      </c>
      <c r="K241" s="40" t="str" cm="1">
        <f t="array" ref="K241">IFERROR(_xlfn.LET(
_xlpm.CSVVal,_xlfn.XLOOKUP($A241,CSV!$A:$A,CSV!K:K,""),
_xlpm.MacVal,_xlfn.XLOOKUP($A241,Output_Mac!$A:$A,Output_Mac!K:K,""),
_xlpm.MyAuditVal,_xlfn.XLOOKUP($A241,My_Audit!$A:$A,My_Audit!J:J,""),
_xlfn.IFS(_xlpm.MyAuditVal&lt;&gt;"",UPPER(_xlpm.MyAuditVal),_xlpm.MacVal&lt;&gt;"",_xlpm.MacVal,_xlpm.CSVVal&lt;&gt;"",_xlpm.CSVVal
)),"")</f>
        <v/>
      </c>
      <c r="L241" s="40" t="str" cm="1">
        <f t="array" ref="L241">IFERROR(_xlfn.LET(
_xlpm.CSVVal,_xlfn.XLOOKUP($A241,CSV!$A:$A,CSV!P:P,""),
_xlpm.MacVal,_xlfn.XLOOKUP($A241,Output_Mac!$A:$A,Output_Mac!L:L,""),
_xlpm.MyAuditVal,_xlfn.XLOOKUP($A241,My_Audit!$A:$A,My_Audit!K:K,""),
_xlfn.IFS(_xlpm.MyAuditVal&lt;&gt;"",UPPER(_xlpm.MyAuditVal),_xlpm.MacVal&lt;&gt;"",_xlpm.MacVal,_xlpm.CSVVal&lt;&gt;"",_xlpm.CSVVal
)),"")</f>
        <v/>
      </c>
      <c r="M241" s="40" t="str" cm="1">
        <f t="array" ref="M241">IFERROR(_xlfn.LET(
_xlpm.CSVVal,_xlfn.XLOOKUP($A241,CSV!$A:$A,CSV!Q:Q,""),
_xlpm.MacVal,_xlfn.XLOOKUP($A241,Output_Mac!$A:$A,Output_Mac!M:M,""),
_xlpm.MyAuditVal,_xlfn.XLOOKUP($A241,My_Audit!$A:$A,My_Audit!L:L,""),
_xlfn.IFS(_xlpm.MyAuditVal&lt;&gt;"",UPPER(_xlpm.MyAuditVal),_xlpm.MacVal&lt;&gt;"",_xlpm.MacVal,_xlpm.CSVVal&lt;&gt;"",_xlpm.CSVVal
)),"")</f>
        <v/>
      </c>
      <c r="N241" s="40"/>
      <c r="O241" s="40" t="str">
        <f>_xlfn.LET(
    _xlpm.CSVVal, _xlfn.XLOOKUP($A241, CSV!$A:$A, CSV!AA:AA, ""),
    _xlpm.MacVal, _xlfn.XLOOKUP($A241, Output_Mac!$A:$A, Output_Mac!S:S, ""),
    _xlpm.MyAuditVal, _xlfn.XLOOKUP($A241, My_Audit!$A:$A, My_Audit!P:P, ""),
    _xlfn.TEXTJOIN(", ", TRUE, _xlpm.MyAuditVal, _xlpm.MacVal, _xlpm.CSVVal)
)</f>
        <v/>
      </c>
      <c r="P241" s="40" t="str" cm="1">
        <f t="array" ref="P241">IFERROR(_xlfn.LET(
_xlpm.CSVVal,_xlfn.XLOOKUP($A241,CSV!$A:$A,CSV!AB:AB,""),
_xlpm.MacVal,_xlfn.XLOOKUP($A241,Output_Mac!$A:$A,Output_Mac!T:T,""),
_xlpm.MyAuditVal,_xlfn.XLOOKUP($A241,My_Audit!$A:$A,My_Audit!Q:Q,""),
_xlfn.IFS(_xlpm.MyAuditVal&lt;&gt;"",UPPER(_xlpm.MyAuditVal),_xlpm.MacVal&lt;&gt;"",_xlpm.MacVal,_xlpm.CSVVal&lt;&gt;"",_xlpm.CSVVal
)),"No")</f>
        <v>No</v>
      </c>
      <c r="Q241" s="40" t="str" cm="1">
        <f t="array" ref="Q241">IFERROR(_xlfn.LET(
_xlpm.CSVVal,_xlfn.XLOOKUP($A241,CSV!$A:$A,CSV!AC:AC,""),
_xlpm.MacVal,_xlfn.XLOOKUP($A241,Output_Mac!$A:$A,Output_Mac!U:U,""),
_xlpm.MyAuditVal,_xlfn.XLOOKUP($A241,My_Audit!$A:$A,My_Audit!R:R,""),
_xlfn.IFS(_xlpm.MyAuditVal&lt;&gt;"",UPPER(_xlpm.MyAuditVal),_xlpm.MacVal&lt;&gt;"",_xlpm.MacVal,_xlpm.CSVVal&lt;&gt;"",_xlpm.CSVVal
)),"")</f>
        <v/>
      </c>
      <c r="R241" s="40"/>
      <c r="S241" s="40"/>
      <c r="T241" s="40"/>
      <c r="U241" s="40"/>
      <c r="V241" s="40"/>
      <c r="W241" s="40"/>
      <c r="X241" s="41" t="str">
        <f>_xlfn.LET(
    _xlpm.MacVal, _xlfn.XLOOKUP($A241, Output_Mac!$A:$A, Output_Mac!AB:AB, ""),
    _xlpm.MyAuditVal, _xlfn.XLOOKUP($A241, My_Audit!$A:$A, My_Audit!N:N, ""),
    _xlfn.TEXTJOIN(", ", TRUE, _xlpm.MyAuditVal, _xlpm.MacVal)
)</f>
        <v/>
      </c>
    </row>
    <row r="242" spans="1:24">
      <c r="A242" s="40" t="str">
        <f>_xlfn.TEXTJOIN("",TRUE,Input!$B$2,ROW(My_Audit!A241))</f>
        <v>X241</v>
      </c>
      <c r="B242" s="40" t="str">
        <f>_xlfn.TEXTJOIN("-",TRUE,"ITD",Input!$A$2,A242)</f>
        <v>ITD-X241</v>
      </c>
      <c r="C242" s="40" t="str" cm="1">
        <f t="array" ref="C242">IFERROR(_xlfn.LET(
_xlpm.CSVVal,_xlfn.XLOOKUP($A242,CSV!$A:$A,CSV!B:B,""),
_xlpm.MacVal,_xlfn.XLOOKUP($A242,Output_Mac!$A:$A,Output_Mac!B:B,""),
_xlpm.MyAuditVal,_xlfn.XLOOKUP($A242,My_Audit!$A:$A,My_Audit!B:B,""),
_xlfn.IFS(_xlpm.MyAuditVal&lt;&gt;"",UPPER(_xlpm.MyAuditVal),_xlpm.MacVal&lt;&gt;"",_xlpm.MacVal,_xlpm.CSVVal&lt;&gt;"",_xlpm.CSVVal
)),"")</f>
        <v/>
      </c>
      <c r="D242" s="40" t="str" cm="1">
        <f t="array" ref="D242">IFERROR(_xlfn.LET(
_xlpm.CSVVal,_xlfn.XLOOKUP($A242,CSV!$A:$A,CSV!D:D,""),
_xlpm.MacVal,_xlfn.XLOOKUP($A242,Output_Mac!$A:$A,Output_Mac!C:C,""),
_xlpm.MyAuditVal,_xlfn.XLOOKUP($A242,My_Audit!$A:$A,My_Audit!C:C,""),
_xlfn.IFS(_xlpm.MyAuditVal&lt;&gt;"",_xlpm.MyAuditVal,_xlpm.MacVal&lt;&gt;"",_xlpm.MacVal,_xlpm.CSVVal&lt;&gt;"",_xlpm.CSVVal
)),"")</f>
        <v/>
      </c>
      <c r="E242" s="40">
        <f>_xlfn.XLOOKUP(A242,My_Audit!A:A,My_Audit!D:D,"")</f>
        <v>0</v>
      </c>
      <c r="F242" s="40" t="str" cm="1">
        <f t="array" ref="F242">IFERROR(_xlfn.LET(
_xlpm.CSVVal,_xlfn.XLOOKUP($A242,CSV!$A:$A,CSV!F:F,""),
_xlpm.MacVal,_xlfn.XLOOKUP($A242,Output_Mac!$A:$A,Output_Mac!E:E,""),
_xlpm.MyAuditVal,_xlfn.XLOOKUP($A242,My_Audit!$A:$A,My_Audit!E:E,""),
_xlfn.IFS(_xlpm.MyAuditVal&lt;&gt;"",_xlpm.MyAuditVal,_xlpm.MacVal&lt;&gt;"",_xlpm.MacVal,_xlpm.CSVVal&lt;&gt;"",_xlpm.CSVVal
)),"")</f>
        <v/>
      </c>
      <c r="G242" s="40" t="str" cm="1">
        <f t="array" ref="G242">IFERROR(_xlfn.LET(
_xlpm.CSVVal,_xlfn.XLOOKUP($A242,CSV!$A:$A,CSV!G:G,""),
_xlpm.MacVal,_xlfn.XLOOKUP($A242,Output_Mac!$A:$A,Output_Mac!F:F,""),
_xlpm.MyAuditVal,_xlfn.XLOOKUP($A242,My_Audit!$A:$A,My_Audit!F:F,""),
_xlfn.IFS(_xlpm.MyAuditVal&lt;&gt;"",_xlpm.MyAuditVal,_xlpm.MacVal&lt;&gt;"",_xlpm.MacVal,_xlpm.CSVVal&lt;&gt;"",PROPER(_xlpm.CSVVal)
)),"")</f>
        <v/>
      </c>
      <c r="H242" s="40" t="str" cm="1">
        <f t="array" ref="H242">IFERROR(_xlfn.LET(
_xlpm.CSVVal,_xlfn.XLOOKUP($A242,CSV!$A:$A,CSV!H:H,""),
_xlpm.MacVal,_xlfn.XLOOKUP($A242,Output_Mac!$A:$A,Output_Mac!H:H,""),
_xlpm.MyAuditVal,_xlfn.XLOOKUP($A242,My_Audit!$A:$A,My_Audit!G:G,""),
_xlfn.IFS(_xlpm.MyAuditVal&lt;&gt;"",_xlpm.MyAuditVal,_xlpm.MacVal&lt;&gt;"",_xlpm.MacVal,_xlpm.CSVVal&lt;&gt;"",_xlpm.CSVVal
)),"")</f>
        <v/>
      </c>
      <c r="I242" s="40" t="str">
        <f>_xlfn.XLOOKUP(A242,Output_Mac!A:A,Output_Mac!I:I,"")</f>
        <v/>
      </c>
      <c r="J242" s="40" t="str" cm="1">
        <f t="array" ref="J242">IFERROR(_xlfn.LET(
_xlpm.CSVVal,_xlfn.XLOOKUP($A242,CSV!$A:$A,CSV!I:I,""),
_xlpm.MacVal,_xlfn.XLOOKUP($A242,Output_Mac!$A:$A,Output_Mac!J:J,""),
_xlpm.MyAuditVal,_xlfn.XLOOKUP($A242,My_Audit!$A:$A,My_Audit!I:I,""),
_xlfn.IFS(_xlpm.MyAuditVal&lt;&gt;"",UPPER(_xlpm.MyAuditVal),_xlpm.MacVal&lt;&gt;"",_xlpm.MacVal,_xlpm.CSVVal&lt;&gt;"",_xlpm.CSVVal
)),"")</f>
        <v/>
      </c>
      <c r="K242" s="40" t="str" cm="1">
        <f t="array" ref="K242">IFERROR(_xlfn.LET(
_xlpm.CSVVal,_xlfn.XLOOKUP($A242,CSV!$A:$A,CSV!K:K,""),
_xlpm.MacVal,_xlfn.XLOOKUP($A242,Output_Mac!$A:$A,Output_Mac!K:K,""),
_xlpm.MyAuditVal,_xlfn.XLOOKUP($A242,My_Audit!$A:$A,My_Audit!J:J,""),
_xlfn.IFS(_xlpm.MyAuditVal&lt;&gt;"",UPPER(_xlpm.MyAuditVal),_xlpm.MacVal&lt;&gt;"",_xlpm.MacVal,_xlpm.CSVVal&lt;&gt;"",_xlpm.CSVVal
)),"")</f>
        <v/>
      </c>
      <c r="L242" s="40" t="str" cm="1">
        <f t="array" ref="L242">IFERROR(_xlfn.LET(
_xlpm.CSVVal,_xlfn.XLOOKUP($A242,CSV!$A:$A,CSV!P:P,""),
_xlpm.MacVal,_xlfn.XLOOKUP($A242,Output_Mac!$A:$A,Output_Mac!L:L,""),
_xlpm.MyAuditVal,_xlfn.XLOOKUP($A242,My_Audit!$A:$A,My_Audit!K:K,""),
_xlfn.IFS(_xlpm.MyAuditVal&lt;&gt;"",UPPER(_xlpm.MyAuditVal),_xlpm.MacVal&lt;&gt;"",_xlpm.MacVal,_xlpm.CSVVal&lt;&gt;"",_xlpm.CSVVal
)),"")</f>
        <v/>
      </c>
      <c r="M242" s="40" t="str" cm="1">
        <f t="array" ref="M242">IFERROR(_xlfn.LET(
_xlpm.CSVVal,_xlfn.XLOOKUP($A242,CSV!$A:$A,CSV!Q:Q,""),
_xlpm.MacVal,_xlfn.XLOOKUP($A242,Output_Mac!$A:$A,Output_Mac!M:M,""),
_xlpm.MyAuditVal,_xlfn.XLOOKUP($A242,My_Audit!$A:$A,My_Audit!L:L,""),
_xlfn.IFS(_xlpm.MyAuditVal&lt;&gt;"",UPPER(_xlpm.MyAuditVal),_xlpm.MacVal&lt;&gt;"",_xlpm.MacVal,_xlpm.CSVVal&lt;&gt;"",_xlpm.CSVVal
)),"")</f>
        <v/>
      </c>
      <c r="N242" s="40"/>
      <c r="O242" s="40" t="str">
        <f>_xlfn.LET(
    _xlpm.CSVVal, _xlfn.XLOOKUP($A242, CSV!$A:$A, CSV!AA:AA, ""),
    _xlpm.MacVal, _xlfn.XLOOKUP($A242, Output_Mac!$A:$A, Output_Mac!S:S, ""),
    _xlpm.MyAuditVal, _xlfn.XLOOKUP($A242, My_Audit!$A:$A, My_Audit!P:P, ""),
    _xlfn.TEXTJOIN(", ", TRUE, _xlpm.MyAuditVal, _xlpm.MacVal, _xlpm.CSVVal)
)</f>
        <v/>
      </c>
      <c r="P242" s="40" t="str" cm="1">
        <f t="array" ref="P242">IFERROR(_xlfn.LET(
_xlpm.CSVVal,_xlfn.XLOOKUP($A242,CSV!$A:$A,CSV!AB:AB,""),
_xlpm.MacVal,_xlfn.XLOOKUP($A242,Output_Mac!$A:$A,Output_Mac!T:T,""),
_xlpm.MyAuditVal,_xlfn.XLOOKUP($A242,My_Audit!$A:$A,My_Audit!Q:Q,""),
_xlfn.IFS(_xlpm.MyAuditVal&lt;&gt;"",UPPER(_xlpm.MyAuditVal),_xlpm.MacVal&lt;&gt;"",_xlpm.MacVal,_xlpm.CSVVal&lt;&gt;"",_xlpm.CSVVal
)),"No")</f>
        <v>No</v>
      </c>
      <c r="Q242" s="40" t="str" cm="1">
        <f t="array" ref="Q242">IFERROR(_xlfn.LET(
_xlpm.CSVVal,_xlfn.XLOOKUP($A242,CSV!$A:$A,CSV!AC:AC,""),
_xlpm.MacVal,_xlfn.XLOOKUP($A242,Output_Mac!$A:$A,Output_Mac!U:U,""),
_xlpm.MyAuditVal,_xlfn.XLOOKUP($A242,My_Audit!$A:$A,My_Audit!R:R,""),
_xlfn.IFS(_xlpm.MyAuditVal&lt;&gt;"",UPPER(_xlpm.MyAuditVal),_xlpm.MacVal&lt;&gt;"",_xlpm.MacVal,_xlpm.CSVVal&lt;&gt;"",_xlpm.CSVVal
)),"")</f>
        <v/>
      </c>
      <c r="R242" s="40"/>
      <c r="S242" s="40"/>
      <c r="T242" s="40"/>
      <c r="U242" s="40"/>
      <c r="V242" s="40"/>
      <c r="W242" s="40"/>
      <c r="X242" s="41" t="str">
        <f>_xlfn.LET(
    _xlpm.MacVal, _xlfn.XLOOKUP($A242, Output_Mac!$A:$A, Output_Mac!AB:AB, ""),
    _xlpm.MyAuditVal, _xlfn.XLOOKUP($A242, My_Audit!$A:$A, My_Audit!N:N, ""),
    _xlfn.TEXTJOIN(", ", TRUE, _xlpm.MyAuditVal, _xlpm.MacVal)
)</f>
        <v/>
      </c>
    </row>
    <row r="243" spans="1:24">
      <c r="A243" s="40" t="str">
        <f>_xlfn.TEXTJOIN("",TRUE,Input!$B$2,ROW(My_Audit!A242))</f>
        <v>X242</v>
      </c>
      <c r="B243" s="40" t="str">
        <f>_xlfn.TEXTJOIN("-",TRUE,"ITD",Input!$A$2,A243)</f>
        <v>ITD-X242</v>
      </c>
      <c r="C243" s="40" t="str" cm="1">
        <f t="array" ref="C243">IFERROR(_xlfn.LET(
_xlpm.CSVVal,_xlfn.XLOOKUP($A243,CSV!$A:$A,CSV!B:B,""),
_xlpm.MacVal,_xlfn.XLOOKUP($A243,Output_Mac!$A:$A,Output_Mac!B:B,""),
_xlpm.MyAuditVal,_xlfn.XLOOKUP($A243,My_Audit!$A:$A,My_Audit!B:B,""),
_xlfn.IFS(_xlpm.MyAuditVal&lt;&gt;"",UPPER(_xlpm.MyAuditVal),_xlpm.MacVal&lt;&gt;"",_xlpm.MacVal,_xlpm.CSVVal&lt;&gt;"",_xlpm.CSVVal
)),"")</f>
        <v/>
      </c>
      <c r="D243" s="40" t="str" cm="1">
        <f t="array" ref="D243">IFERROR(_xlfn.LET(
_xlpm.CSVVal,_xlfn.XLOOKUP($A243,CSV!$A:$A,CSV!D:D,""),
_xlpm.MacVal,_xlfn.XLOOKUP($A243,Output_Mac!$A:$A,Output_Mac!C:C,""),
_xlpm.MyAuditVal,_xlfn.XLOOKUP($A243,My_Audit!$A:$A,My_Audit!C:C,""),
_xlfn.IFS(_xlpm.MyAuditVal&lt;&gt;"",_xlpm.MyAuditVal,_xlpm.MacVal&lt;&gt;"",_xlpm.MacVal,_xlpm.CSVVal&lt;&gt;"",_xlpm.CSVVal
)),"")</f>
        <v/>
      </c>
      <c r="E243" s="40">
        <f>_xlfn.XLOOKUP(A243,My_Audit!A:A,My_Audit!D:D,"")</f>
        <v>0</v>
      </c>
      <c r="F243" s="40" t="str" cm="1">
        <f t="array" ref="F243">IFERROR(_xlfn.LET(
_xlpm.CSVVal,_xlfn.XLOOKUP($A243,CSV!$A:$A,CSV!F:F,""),
_xlpm.MacVal,_xlfn.XLOOKUP($A243,Output_Mac!$A:$A,Output_Mac!E:E,""),
_xlpm.MyAuditVal,_xlfn.XLOOKUP($A243,My_Audit!$A:$A,My_Audit!E:E,""),
_xlfn.IFS(_xlpm.MyAuditVal&lt;&gt;"",_xlpm.MyAuditVal,_xlpm.MacVal&lt;&gt;"",_xlpm.MacVal,_xlpm.CSVVal&lt;&gt;"",_xlpm.CSVVal
)),"")</f>
        <v/>
      </c>
      <c r="G243" s="40" t="str" cm="1">
        <f t="array" ref="G243">IFERROR(_xlfn.LET(
_xlpm.CSVVal,_xlfn.XLOOKUP($A243,CSV!$A:$A,CSV!G:G,""),
_xlpm.MacVal,_xlfn.XLOOKUP($A243,Output_Mac!$A:$A,Output_Mac!F:F,""),
_xlpm.MyAuditVal,_xlfn.XLOOKUP($A243,My_Audit!$A:$A,My_Audit!F:F,""),
_xlfn.IFS(_xlpm.MyAuditVal&lt;&gt;"",_xlpm.MyAuditVal,_xlpm.MacVal&lt;&gt;"",_xlpm.MacVal,_xlpm.CSVVal&lt;&gt;"",PROPER(_xlpm.CSVVal)
)),"")</f>
        <v/>
      </c>
      <c r="H243" s="40" t="str" cm="1">
        <f t="array" ref="H243">IFERROR(_xlfn.LET(
_xlpm.CSVVal,_xlfn.XLOOKUP($A243,CSV!$A:$A,CSV!H:H,""),
_xlpm.MacVal,_xlfn.XLOOKUP($A243,Output_Mac!$A:$A,Output_Mac!H:H,""),
_xlpm.MyAuditVal,_xlfn.XLOOKUP($A243,My_Audit!$A:$A,My_Audit!G:G,""),
_xlfn.IFS(_xlpm.MyAuditVal&lt;&gt;"",_xlpm.MyAuditVal,_xlpm.MacVal&lt;&gt;"",_xlpm.MacVal,_xlpm.CSVVal&lt;&gt;"",_xlpm.CSVVal
)),"")</f>
        <v/>
      </c>
      <c r="I243" s="40" t="str">
        <f>_xlfn.XLOOKUP(A243,Output_Mac!A:A,Output_Mac!I:I,"")</f>
        <v/>
      </c>
      <c r="J243" s="40" t="str" cm="1">
        <f t="array" ref="J243">IFERROR(_xlfn.LET(
_xlpm.CSVVal,_xlfn.XLOOKUP($A243,CSV!$A:$A,CSV!I:I,""),
_xlpm.MacVal,_xlfn.XLOOKUP($A243,Output_Mac!$A:$A,Output_Mac!J:J,""),
_xlpm.MyAuditVal,_xlfn.XLOOKUP($A243,My_Audit!$A:$A,My_Audit!I:I,""),
_xlfn.IFS(_xlpm.MyAuditVal&lt;&gt;"",UPPER(_xlpm.MyAuditVal),_xlpm.MacVal&lt;&gt;"",_xlpm.MacVal,_xlpm.CSVVal&lt;&gt;"",_xlpm.CSVVal
)),"")</f>
        <v/>
      </c>
      <c r="K243" s="40" t="str" cm="1">
        <f t="array" ref="K243">IFERROR(_xlfn.LET(
_xlpm.CSVVal,_xlfn.XLOOKUP($A243,CSV!$A:$A,CSV!K:K,""),
_xlpm.MacVal,_xlfn.XLOOKUP($A243,Output_Mac!$A:$A,Output_Mac!K:K,""),
_xlpm.MyAuditVal,_xlfn.XLOOKUP($A243,My_Audit!$A:$A,My_Audit!J:J,""),
_xlfn.IFS(_xlpm.MyAuditVal&lt;&gt;"",UPPER(_xlpm.MyAuditVal),_xlpm.MacVal&lt;&gt;"",_xlpm.MacVal,_xlpm.CSVVal&lt;&gt;"",_xlpm.CSVVal
)),"")</f>
        <v/>
      </c>
      <c r="L243" s="40" t="str" cm="1">
        <f t="array" ref="L243">IFERROR(_xlfn.LET(
_xlpm.CSVVal,_xlfn.XLOOKUP($A243,CSV!$A:$A,CSV!P:P,""),
_xlpm.MacVal,_xlfn.XLOOKUP($A243,Output_Mac!$A:$A,Output_Mac!L:L,""),
_xlpm.MyAuditVal,_xlfn.XLOOKUP($A243,My_Audit!$A:$A,My_Audit!K:K,""),
_xlfn.IFS(_xlpm.MyAuditVal&lt;&gt;"",UPPER(_xlpm.MyAuditVal),_xlpm.MacVal&lt;&gt;"",_xlpm.MacVal,_xlpm.CSVVal&lt;&gt;"",_xlpm.CSVVal
)),"")</f>
        <v/>
      </c>
      <c r="M243" s="40" t="str" cm="1">
        <f t="array" ref="M243">IFERROR(_xlfn.LET(
_xlpm.CSVVal,_xlfn.XLOOKUP($A243,CSV!$A:$A,CSV!Q:Q,""),
_xlpm.MacVal,_xlfn.XLOOKUP($A243,Output_Mac!$A:$A,Output_Mac!M:M,""),
_xlpm.MyAuditVal,_xlfn.XLOOKUP($A243,My_Audit!$A:$A,My_Audit!L:L,""),
_xlfn.IFS(_xlpm.MyAuditVal&lt;&gt;"",UPPER(_xlpm.MyAuditVal),_xlpm.MacVal&lt;&gt;"",_xlpm.MacVal,_xlpm.CSVVal&lt;&gt;"",_xlpm.CSVVal
)),"")</f>
        <v/>
      </c>
      <c r="N243" s="40"/>
      <c r="O243" s="40" t="str">
        <f>_xlfn.LET(
    _xlpm.CSVVal, _xlfn.XLOOKUP($A243, CSV!$A:$A, CSV!AA:AA, ""),
    _xlpm.MacVal, _xlfn.XLOOKUP($A243, Output_Mac!$A:$A, Output_Mac!S:S, ""),
    _xlpm.MyAuditVal, _xlfn.XLOOKUP($A243, My_Audit!$A:$A, My_Audit!P:P, ""),
    _xlfn.TEXTJOIN(", ", TRUE, _xlpm.MyAuditVal, _xlpm.MacVal, _xlpm.CSVVal)
)</f>
        <v/>
      </c>
      <c r="P243" s="40" t="str" cm="1">
        <f t="array" ref="P243">IFERROR(_xlfn.LET(
_xlpm.CSVVal,_xlfn.XLOOKUP($A243,CSV!$A:$A,CSV!AB:AB,""),
_xlpm.MacVal,_xlfn.XLOOKUP($A243,Output_Mac!$A:$A,Output_Mac!T:T,""),
_xlpm.MyAuditVal,_xlfn.XLOOKUP($A243,My_Audit!$A:$A,My_Audit!Q:Q,""),
_xlfn.IFS(_xlpm.MyAuditVal&lt;&gt;"",UPPER(_xlpm.MyAuditVal),_xlpm.MacVal&lt;&gt;"",_xlpm.MacVal,_xlpm.CSVVal&lt;&gt;"",_xlpm.CSVVal
)),"No")</f>
        <v>No</v>
      </c>
      <c r="Q243" s="40" t="str" cm="1">
        <f t="array" ref="Q243">IFERROR(_xlfn.LET(
_xlpm.CSVVal,_xlfn.XLOOKUP($A243,CSV!$A:$A,CSV!AC:AC,""),
_xlpm.MacVal,_xlfn.XLOOKUP($A243,Output_Mac!$A:$A,Output_Mac!U:U,""),
_xlpm.MyAuditVal,_xlfn.XLOOKUP($A243,My_Audit!$A:$A,My_Audit!R:R,""),
_xlfn.IFS(_xlpm.MyAuditVal&lt;&gt;"",UPPER(_xlpm.MyAuditVal),_xlpm.MacVal&lt;&gt;"",_xlpm.MacVal,_xlpm.CSVVal&lt;&gt;"",_xlpm.CSVVal
)),"")</f>
        <v/>
      </c>
      <c r="R243" s="40"/>
      <c r="S243" s="40"/>
      <c r="T243" s="40"/>
      <c r="U243" s="40"/>
      <c r="V243" s="40"/>
      <c r="W243" s="40"/>
      <c r="X243" s="41" t="str">
        <f>_xlfn.LET(
    _xlpm.MacVal, _xlfn.XLOOKUP($A243, Output_Mac!$A:$A, Output_Mac!AB:AB, ""),
    _xlpm.MyAuditVal, _xlfn.XLOOKUP($A243, My_Audit!$A:$A, My_Audit!N:N, ""),
    _xlfn.TEXTJOIN(", ", TRUE, _xlpm.MyAuditVal, _xlpm.MacVal)
)</f>
        <v/>
      </c>
    </row>
    <row r="244" spans="1:24">
      <c r="A244" s="40" t="str">
        <f>_xlfn.TEXTJOIN("",TRUE,Input!$B$2,ROW(My_Audit!A243))</f>
        <v>X243</v>
      </c>
      <c r="B244" s="40" t="str">
        <f>_xlfn.TEXTJOIN("-",TRUE,"ITD",Input!$A$2,A244)</f>
        <v>ITD-X243</v>
      </c>
      <c r="C244" s="40" t="str" cm="1">
        <f t="array" ref="C244">IFERROR(_xlfn.LET(
_xlpm.CSVVal,_xlfn.XLOOKUP($A244,CSV!$A:$A,CSV!B:B,""),
_xlpm.MacVal,_xlfn.XLOOKUP($A244,Output_Mac!$A:$A,Output_Mac!B:B,""),
_xlpm.MyAuditVal,_xlfn.XLOOKUP($A244,My_Audit!$A:$A,My_Audit!B:B,""),
_xlfn.IFS(_xlpm.MyAuditVal&lt;&gt;"",UPPER(_xlpm.MyAuditVal),_xlpm.MacVal&lt;&gt;"",_xlpm.MacVal,_xlpm.CSVVal&lt;&gt;"",_xlpm.CSVVal
)),"")</f>
        <v/>
      </c>
      <c r="D244" s="40" t="str" cm="1">
        <f t="array" ref="D244">IFERROR(_xlfn.LET(
_xlpm.CSVVal,_xlfn.XLOOKUP($A244,CSV!$A:$A,CSV!D:D,""),
_xlpm.MacVal,_xlfn.XLOOKUP($A244,Output_Mac!$A:$A,Output_Mac!C:C,""),
_xlpm.MyAuditVal,_xlfn.XLOOKUP($A244,My_Audit!$A:$A,My_Audit!C:C,""),
_xlfn.IFS(_xlpm.MyAuditVal&lt;&gt;"",_xlpm.MyAuditVal,_xlpm.MacVal&lt;&gt;"",_xlpm.MacVal,_xlpm.CSVVal&lt;&gt;"",_xlpm.CSVVal
)),"")</f>
        <v/>
      </c>
      <c r="E244" s="40">
        <f>_xlfn.XLOOKUP(A244,My_Audit!A:A,My_Audit!D:D,"")</f>
        <v>0</v>
      </c>
      <c r="F244" s="40" t="str" cm="1">
        <f t="array" ref="F244">IFERROR(_xlfn.LET(
_xlpm.CSVVal,_xlfn.XLOOKUP($A244,CSV!$A:$A,CSV!F:F,""),
_xlpm.MacVal,_xlfn.XLOOKUP($A244,Output_Mac!$A:$A,Output_Mac!E:E,""),
_xlpm.MyAuditVal,_xlfn.XLOOKUP($A244,My_Audit!$A:$A,My_Audit!E:E,""),
_xlfn.IFS(_xlpm.MyAuditVal&lt;&gt;"",_xlpm.MyAuditVal,_xlpm.MacVal&lt;&gt;"",_xlpm.MacVal,_xlpm.CSVVal&lt;&gt;"",_xlpm.CSVVal
)),"")</f>
        <v/>
      </c>
      <c r="G244" s="40" t="str" cm="1">
        <f t="array" ref="G244">IFERROR(_xlfn.LET(
_xlpm.CSVVal,_xlfn.XLOOKUP($A244,CSV!$A:$A,CSV!G:G,""),
_xlpm.MacVal,_xlfn.XLOOKUP($A244,Output_Mac!$A:$A,Output_Mac!F:F,""),
_xlpm.MyAuditVal,_xlfn.XLOOKUP($A244,My_Audit!$A:$A,My_Audit!F:F,""),
_xlfn.IFS(_xlpm.MyAuditVal&lt;&gt;"",_xlpm.MyAuditVal,_xlpm.MacVal&lt;&gt;"",_xlpm.MacVal,_xlpm.CSVVal&lt;&gt;"",PROPER(_xlpm.CSVVal)
)),"")</f>
        <v/>
      </c>
      <c r="H244" s="40" t="str" cm="1">
        <f t="array" ref="H244">IFERROR(_xlfn.LET(
_xlpm.CSVVal,_xlfn.XLOOKUP($A244,CSV!$A:$A,CSV!H:H,""),
_xlpm.MacVal,_xlfn.XLOOKUP($A244,Output_Mac!$A:$A,Output_Mac!H:H,""),
_xlpm.MyAuditVal,_xlfn.XLOOKUP($A244,My_Audit!$A:$A,My_Audit!G:G,""),
_xlfn.IFS(_xlpm.MyAuditVal&lt;&gt;"",_xlpm.MyAuditVal,_xlpm.MacVal&lt;&gt;"",_xlpm.MacVal,_xlpm.CSVVal&lt;&gt;"",_xlpm.CSVVal
)),"")</f>
        <v/>
      </c>
      <c r="I244" s="40" t="str">
        <f>_xlfn.XLOOKUP(A244,Output_Mac!A:A,Output_Mac!I:I,"")</f>
        <v/>
      </c>
      <c r="J244" s="40" t="str" cm="1">
        <f t="array" ref="J244">IFERROR(_xlfn.LET(
_xlpm.CSVVal,_xlfn.XLOOKUP($A244,CSV!$A:$A,CSV!I:I,""),
_xlpm.MacVal,_xlfn.XLOOKUP($A244,Output_Mac!$A:$A,Output_Mac!J:J,""),
_xlpm.MyAuditVal,_xlfn.XLOOKUP($A244,My_Audit!$A:$A,My_Audit!I:I,""),
_xlfn.IFS(_xlpm.MyAuditVal&lt;&gt;"",UPPER(_xlpm.MyAuditVal),_xlpm.MacVal&lt;&gt;"",_xlpm.MacVal,_xlpm.CSVVal&lt;&gt;"",_xlpm.CSVVal
)),"")</f>
        <v/>
      </c>
      <c r="K244" s="40" t="str" cm="1">
        <f t="array" ref="K244">IFERROR(_xlfn.LET(
_xlpm.CSVVal,_xlfn.XLOOKUP($A244,CSV!$A:$A,CSV!K:K,""),
_xlpm.MacVal,_xlfn.XLOOKUP($A244,Output_Mac!$A:$A,Output_Mac!K:K,""),
_xlpm.MyAuditVal,_xlfn.XLOOKUP($A244,My_Audit!$A:$A,My_Audit!J:J,""),
_xlfn.IFS(_xlpm.MyAuditVal&lt;&gt;"",UPPER(_xlpm.MyAuditVal),_xlpm.MacVal&lt;&gt;"",_xlpm.MacVal,_xlpm.CSVVal&lt;&gt;"",_xlpm.CSVVal
)),"")</f>
        <v/>
      </c>
      <c r="L244" s="40" t="str" cm="1">
        <f t="array" ref="L244">IFERROR(_xlfn.LET(
_xlpm.CSVVal,_xlfn.XLOOKUP($A244,CSV!$A:$A,CSV!P:P,""),
_xlpm.MacVal,_xlfn.XLOOKUP($A244,Output_Mac!$A:$A,Output_Mac!L:L,""),
_xlpm.MyAuditVal,_xlfn.XLOOKUP($A244,My_Audit!$A:$A,My_Audit!K:K,""),
_xlfn.IFS(_xlpm.MyAuditVal&lt;&gt;"",UPPER(_xlpm.MyAuditVal),_xlpm.MacVal&lt;&gt;"",_xlpm.MacVal,_xlpm.CSVVal&lt;&gt;"",_xlpm.CSVVal
)),"")</f>
        <v/>
      </c>
      <c r="M244" s="40" t="str" cm="1">
        <f t="array" ref="M244">IFERROR(_xlfn.LET(
_xlpm.CSVVal,_xlfn.XLOOKUP($A244,CSV!$A:$A,CSV!Q:Q,""),
_xlpm.MacVal,_xlfn.XLOOKUP($A244,Output_Mac!$A:$A,Output_Mac!M:M,""),
_xlpm.MyAuditVal,_xlfn.XLOOKUP($A244,My_Audit!$A:$A,My_Audit!L:L,""),
_xlfn.IFS(_xlpm.MyAuditVal&lt;&gt;"",UPPER(_xlpm.MyAuditVal),_xlpm.MacVal&lt;&gt;"",_xlpm.MacVal,_xlpm.CSVVal&lt;&gt;"",_xlpm.CSVVal
)),"")</f>
        <v/>
      </c>
      <c r="N244" s="40"/>
      <c r="O244" s="40" t="str">
        <f>_xlfn.LET(
    _xlpm.CSVVal, _xlfn.XLOOKUP($A244, CSV!$A:$A, CSV!AA:AA, ""),
    _xlpm.MacVal, _xlfn.XLOOKUP($A244, Output_Mac!$A:$A, Output_Mac!S:S, ""),
    _xlpm.MyAuditVal, _xlfn.XLOOKUP($A244, My_Audit!$A:$A, My_Audit!P:P, ""),
    _xlfn.TEXTJOIN(", ", TRUE, _xlpm.MyAuditVal, _xlpm.MacVal, _xlpm.CSVVal)
)</f>
        <v/>
      </c>
      <c r="P244" s="40" t="str" cm="1">
        <f t="array" ref="P244">IFERROR(_xlfn.LET(
_xlpm.CSVVal,_xlfn.XLOOKUP($A244,CSV!$A:$A,CSV!AB:AB,""),
_xlpm.MacVal,_xlfn.XLOOKUP($A244,Output_Mac!$A:$A,Output_Mac!T:T,""),
_xlpm.MyAuditVal,_xlfn.XLOOKUP($A244,My_Audit!$A:$A,My_Audit!Q:Q,""),
_xlfn.IFS(_xlpm.MyAuditVal&lt;&gt;"",UPPER(_xlpm.MyAuditVal),_xlpm.MacVal&lt;&gt;"",_xlpm.MacVal,_xlpm.CSVVal&lt;&gt;"",_xlpm.CSVVal
)),"No")</f>
        <v>No</v>
      </c>
      <c r="Q244" s="40" t="str" cm="1">
        <f t="array" ref="Q244">IFERROR(_xlfn.LET(
_xlpm.CSVVal,_xlfn.XLOOKUP($A244,CSV!$A:$A,CSV!AC:AC,""),
_xlpm.MacVal,_xlfn.XLOOKUP($A244,Output_Mac!$A:$A,Output_Mac!U:U,""),
_xlpm.MyAuditVal,_xlfn.XLOOKUP($A244,My_Audit!$A:$A,My_Audit!R:R,""),
_xlfn.IFS(_xlpm.MyAuditVal&lt;&gt;"",UPPER(_xlpm.MyAuditVal),_xlpm.MacVal&lt;&gt;"",_xlpm.MacVal,_xlpm.CSVVal&lt;&gt;"",_xlpm.CSVVal
)),"")</f>
        <v/>
      </c>
      <c r="R244" s="40"/>
      <c r="S244" s="40"/>
      <c r="T244" s="40"/>
      <c r="U244" s="40"/>
      <c r="V244" s="40"/>
      <c r="W244" s="40"/>
      <c r="X244" s="41" t="str">
        <f>_xlfn.LET(
    _xlpm.MacVal, _xlfn.XLOOKUP($A244, Output_Mac!$A:$A, Output_Mac!AB:AB, ""),
    _xlpm.MyAuditVal, _xlfn.XLOOKUP($A244, My_Audit!$A:$A, My_Audit!N:N, ""),
    _xlfn.TEXTJOIN(", ", TRUE, _xlpm.MyAuditVal, _xlpm.MacVal)
)</f>
        <v/>
      </c>
    </row>
    <row r="245" spans="1:24">
      <c r="A245" s="40" t="str">
        <f>_xlfn.TEXTJOIN("",TRUE,Input!$B$2,ROW(My_Audit!A244))</f>
        <v>X244</v>
      </c>
      <c r="B245" s="40" t="str">
        <f>_xlfn.TEXTJOIN("-",TRUE,"ITD",Input!$A$2,A245)</f>
        <v>ITD-X244</v>
      </c>
      <c r="C245" s="40" t="str" cm="1">
        <f t="array" ref="C245">IFERROR(_xlfn.LET(
_xlpm.CSVVal,_xlfn.XLOOKUP($A245,CSV!$A:$A,CSV!B:B,""),
_xlpm.MacVal,_xlfn.XLOOKUP($A245,Output_Mac!$A:$A,Output_Mac!B:B,""),
_xlpm.MyAuditVal,_xlfn.XLOOKUP($A245,My_Audit!$A:$A,My_Audit!B:B,""),
_xlfn.IFS(_xlpm.MyAuditVal&lt;&gt;"",UPPER(_xlpm.MyAuditVal),_xlpm.MacVal&lt;&gt;"",_xlpm.MacVal,_xlpm.CSVVal&lt;&gt;"",_xlpm.CSVVal
)),"")</f>
        <v/>
      </c>
      <c r="D245" s="40" t="str" cm="1">
        <f t="array" ref="D245">IFERROR(_xlfn.LET(
_xlpm.CSVVal,_xlfn.XLOOKUP($A245,CSV!$A:$A,CSV!D:D,""),
_xlpm.MacVal,_xlfn.XLOOKUP($A245,Output_Mac!$A:$A,Output_Mac!C:C,""),
_xlpm.MyAuditVal,_xlfn.XLOOKUP($A245,My_Audit!$A:$A,My_Audit!C:C,""),
_xlfn.IFS(_xlpm.MyAuditVal&lt;&gt;"",_xlpm.MyAuditVal,_xlpm.MacVal&lt;&gt;"",_xlpm.MacVal,_xlpm.CSVVal&lt;&gt;"",_xlpm.CSVVal
)),"")</f>
        <v/>
      </c>
      <c r="E245" s="40">
        <f>_xlfn.XLOOKUP(A245,My_Audit!A:A,My_Audit!D:D,"")</f>
        <v>0</v>
      </c>
      <c r="F245" s="40" t="str" cm="1">
        <f t="array" ref="F245">IFERROR(_xlfn.LET(
_xlpm.CSVVal,_xlfn.XLOOKUP($A245,CSV!$A:$A,CSV!F:F,""),
_xlpm.MacVal,_xlfn.XLOOKUP($A245,Output_Mac!$A:$A,Output_Mac!E:E,""),
_xlpm.MyAuditVal,_xlfn.XLOOKUP($A245,My_Audit!$A:$A,My_Audit!E:E,""),
_xlfn.IFS(_xlpm.MyAuditVal&lt;&gt;"",_xlpm.MyAuditVal,_xlpm.MacVal&lt;&gt;"",_xlpm.MacVal,_xlpm.CSVVal&lt;&gt;"",_xlpm.CSVVal
)),"")</f>
        <v/>
      </c>
      <c r="G245" s="40" t="str" cm="1">
        <f t="array" ref="G245">IFERROR(_xlfn.LET(
_xlpm.CSVVal,_xlfn.XLOOKUP($A245,CSV!$A:$A,CSV!G:G,""),
_xlpm.MacVal,_xlfn.XLOOKUP($A245,Output_Mac!$A:$A,Output_Mac!F:F,""),
_xlpm.MyAuditVal,_xlfn.XLOOKUP($A245,My_Audit!$A:$A,My_Audit!F:F,""),
_xlfn.IFS(_xlpm.MyAuditVal&lt;&gt;"",_xlpm.MyAuditVal,_xlpm.MacVal&lt;&gt;"",_xlpm.MacVal,_xlpm.CSVVal&lt;&gt;"",PROPER(_xlpm.CSVVal)
)),"")</f>
        <v/>
      </c>
      <c r="H245" s="40" t="str" cm="1">
        <f t="array" ref="H245">IFERROR(_xlfn.LET(
_xlpm.CSVVal,_xlfn.XLOOKUP($A245,CSV!$A:$A,CSV!H:H,""),
_xlpm.MacVal,_xlfn.XLOOKUP($A245,Output_Mac!$A:$A,Output_Mac!H:H,""),
_xlpm.MyAuditVal,_xlfn.XLOOKUP($A245,My_Audit!$A:$A,My_Audit!G:G,""),
_xlfn.IFS(_xlpm.MyAuditVal&lt;&gt;"",_xlpm.MyAuditVal,_xlpm.MacVal&lt;&gt;"",_xlpm.MacVal,_xlpm.CSVVal&lt;&gt;"",_xlpm.CSVVal
)),"")</f>
        <v/>
      </c>
      <c r="I245" s="40" t="str">
        <f>_xlfn.XLOOKUP(A245,Output_Mac!A:A,Output_Mac!I:I,"")</f>
        <v/>
      </c>
      <c r="J245" s="40" t="str" cm="1">
        <f t="array" ref="J245">IFERROR(_xlfn.LET(
_xlpm.CSVVal,_xlfn.XLOOKUP($A245,CSV!$A:$A,CSV!I:I,""),
_xlpm.MacVal,_xlfn.XLOOKUP($A245,Output_Mac!$A:$A,Output_Mac!J:J,""),
_xlpm.MyAuditVal,_xlfn.XLOOKUP($A245,My_Audit!$A:$A,My_Audit!I:I,""),
_xlfn.IFS(_xlpm.MyAuditVal&lt;&gt;"",UPPER(_xlpm.MyAuditVal),_xlpm.MacVal&lt;&gt;"",_xlpm.MacVal,_xlpm.CSVVal&lt;&gt;"",_xlpm.CSVVal
)),"")</f>
        <v/>
      </c>
      <c r="K245" s="40" t="str" cm="1">
        <f t="array" ref="K245">IFERROR(_xlfn.LET(
_xlpm.CSVVal,_xlfn.XLOOKUP($A245,CSV!$A:$A,CSV!K:K,""),
_xlpm.MacVal,_xlfn.XLOOKUP($A245,Output_Mac!$A:$A,Output_Mac!K:K,""),
_xlpm.MyAuditVal,_xlfn.XLOOKUP($A245,My_Audit!$A:$A,My_Audit!J:J,""),
_xlfn.IFS(_xlpm.MyAuditVal&lt;&gt;"",UPPER(_xlpm.MyAuditVal),_xlpm.MacVal&lt;&gt;"",_xlpm.MacVal,_xlpm.CSVVal&lt;&gt;"",_xlpm.CSVVal
)),"")</f>
        <v/>
      </c>
      <c r="L245" s="40" t="str" cm="1">
        <f t="array" ref="L245">IFERROR(_xlfn.LET(
_xlpm.CSVVal,_xlfn.XLOOKUP($A245,CSV!$A:$A,CSV!P:P,""),
_xlpm.MacVal,_xlfn.XLOOKUP($A245,Output_Mac!$A:$A,Output_Mac!L:L,""),
_xlpm.MyAuditVal,_xlfn.XLOOKUP($A245,My_Audit!$A:$A,My_Audit!K:K,""),
_xlfn.IFS(_xlpm.MyAuditVal&lt;&gt;"",UPPER(_xlpm.MyAuditVal),_xlpm.MacVal&lt;&gt;"",_xlpm.MacVal,_xlpm.CSVVal&lt;&gt;"",_xlpm.CSVVal
)),"")</f>
        <v/>
      </c>
      <c r="M245" s="40" t="str" cm="1">
        <f t="array" ref="M245">IFERROR(_xlfn.LET(
_xlpm.CSVVal,_xlfn.XLOOKUP($A245,CSV!$A:$A,CSV!Q:Q,""),
_xlpm.MacVal,_xlfn.XLOOKUP($A245,Output_Mac!$A:$A,Output_Mac!M:M,""),
_xlpm.MyAuditVal,_xlfn.XLOOKUP($A245,My_Audit!$A:$A,My_Audit!L:L,""),
_xlfn.IFS(_xlpm.MyAuditVal&lt;&gt;"",UPPER(_xlpm.MyAuditVal),_xlpm.MacVal&lt;&gt;"",_xlpm.MacVal,_xlpm.CSVVal&lt;&gt;"",_xlpm.CSVVal
)),"")</f>
        <v/>
      </c>
      <c r="N245" s="40"/>
      <c r="O245" s="40" t="str">
        <f>_xlfn.LET(
    _xlpm.CSVVal, _xlfn.XLOOKUP($A245, CSV!$A:$A, CSV!AA:AA, ""),
    _xlpm.MacVal, _xlfn.XLOOKUP($A245, Output_Mac!$A:$A, Output_Mac!S:S, ""),
    _xlpm.MyAuditVal, _xlfn.XLOOKUP($A245, My_Audit!$A:$A, My_Audit!P:P, ""),
    _xlfn.TEXTJOIN(", ", TRUE, _xlpm.MyAuditVal, _xlpm.MacVal, _xlpm.CSVVal)
)</f>
        <v/>
      </c>
      <c r="P245" s="40" t="str" cm="1">
        <f t="array" ref="P245">IFERROR(_xlfn.LET(
_xlpm.CSVVal,_xlfn.XLOOKUP($A245,CSV!$A:$A,CSV!AB:AB,""),
_xlpm.MacVal,_xlfn.XLOOKUP($A245,Output_Mac!$A:$A,Output_Mac!T:T,""),
_xlpm.MyAuditVal,_xlfn.XLOOKUP($A245,My_Audit!$A:$A,My_Audit!Q:Q,""),
_xlfn.IFS(_xlpm.MyAuditVal&lt;&gt;"",UPPER(_xlpm.MyAuditVal),_xlpm.MacVal&lt;&gt;"",_xlpm.MacVal,_xlpm.CSVVal&lt;&gt;"",_xlpm.CSVVal
)),"No")</f>
        <v>No</v>
      </c>
      <c r="Q245" s="40" t="str" cm="1">
        <f t="array" ref="Q245">IFERROR(_xlfn.LET(
_xlpm.CSVVal,_xlfn.XLOOKUP($A245,CSV!$A:$A,CSV!AC:AC,""),
_xlpm.MacVal,_xlfn.XLOOKUP($A245,Output_Mac!$A:$A,Output_Mac!U:U,""),
_xlpm.MyAuditVal,_xlfn.XLOOKUP($A245,My_Audit!$A:$A,My_Audit!R:R,""),
_xlfn.IFS(_xlpm.MyAuditVal&lt;&gt;"",UPPER(_xlpm.MyAuditVal),_xlpm.MacVal&lt;&gt;"",_xlpm.MacVal,_xlpm.CSVVal&lt;&gt;"",_xlpm.CSVVal
)),"")</f>
        <v/>
      </c>
      <c r="R245" s="40"/>
      <c r="S245" s="40"/>
      <c r="T245" s="40"/>
      <c r="U245" s="40"/>
      <c r="V245" s="40"/>
      <c r="W245" s="40"/>
      <c r="X245" s="41" t="str">
        <f>_xlfn.LET(
    _xlpm.MacVal, _xlfn.XLOOKUP($A245, Output_Mac!$A:$A, Output_Mac!AB:AB, ""),
    _xlpm.MyAuditVal, _xlfn.XLOOKUP($A245, My_Audit!$A:$A, My_Audit!N:N, ""),
    _xlfn.TEXTJOIN(", ", TRUE, _xlpm.MyAuditVal, _xlpm.MacVal)
)</f>
        <v/>
      </c>
    </row>
    <row r="246" spans="1:24">
      <c r="A246" s="40" t="str">
        <f>_xlfn.TEXTJOIN("",TRUE,Input!$B$2,ROW(My_Audit!A245))</f>
        <v>X245</v>
      </c>
      <c r="B246" s="40" t="str">
        <f>_xlfn.TEXTJOIN("-",TRUE,"ITD",Input!$A$2,A246)</f>
        <v>ITD-X245</v>
      </c>
      <c r="C246" s="40" t="str" cm="1">
        <f t="array" ref="C246">IFERROR(_xlfn.LET(
_xlpm.CSVVal,_xlfn.XLOOKUP($A246,CSV!$A:$A,CSV!B:B,""),
_xlpm.MacVal,_xlfn.XLOOKUP($A246,Output_Mac!$A:$A,Output_Mac!B:B,""),
_xlpm.MyAuditVal,_xlfn.XLOOKUP($A246,My_Audit!$A:$A,My_Audit!B:B,""),
_xlfn.IFS(_xlpm.MyAuditVal&lt;&gt;"",UPPER(_xlpm.MyAuditVal),_xlpm.MacVal&lt;&gt;"",_xlpm.MacVal,_xlpm.CSVVal&lt;&gt;"",_xlpm.CSVVal
)),"")</f>
        <v/>
      </c>
      <c r="D246" s="40" t="str" cm="1">
        <f t="array" ref="D246">IFERROR(_xlfn.LET(
_xlpm.CSVVal,_xlfn.XLOOKUP($A246,CSV!$A:$A,CSV!D:D,""),
_xlpm.MacVal,_xlfn.XLOOKUP($A246,Output_Mac!$A:$A,Output_Mac!C:C,""),
_xlpm.MyAuditVal,_xlfn.XLOOKUP($A246,My_Audit!$A:$A,My_Audit!C:C,""),
_xlfn.IFS(_xlpm.MyAuditVal&lt;&gt;"",_xlpm.MyAuditVal,_xlpm.MacVal&lt;&gt;"",_xlpm.MacVal,_xlpm.CSVVal&lt;&gt;"",_xlpm.CSVVal
)),"")</f>
        <v/>
      </c>
      <c r="E246" s="40">
        <f>_xlfn.XLOOKUP(A246,My_Audit!A:A,My_Audit!D:D,"")</f>
        <v>0</v>
      </c>
      <c r="F246" s="40" t="str" cm="1">
        <f t="array" ref="F246">IFERROR(_xlfn.LET(
_xlpm.CSVVal,_xlfn.XLOOKUP($A246,CSV!$A:$A,CSV!F:F,""),
_xlpm.MacVal,_xlfn.XLOOKUP($A246,Output_Mac!$A:$A,Output_Mac!E:E,""),
_xlpm.MyAuditVal,_xlfn.XLOOKUP($A246,My_Audit!$A:$A,My_Audit!E:E,""),
_xlfn.IFS(_xlpm.MyAuditVal&lt;&gt;"",_xlpm.MyAuditVal,_xlpm.MacVal&lt;&gt;"",_xlpm.MacVal,_xlpm.CSVVal&lt;&gt;"",_xlpm.CSVVal
)),"")</f>
        <v/>
      </c>
      <c r="G246" s="40" t="str" cm="1">
        <f t="array" ref="G246">IFERROR(_xlfn.LET(
_xlpm.CSVVal,_xlfn.XLOOKUP($A246,CSV!$A:$A,CSV!G:G,""),
_xlpm.MacVal,_xlfn.XLOOKUP($A246,Output_Mac!$A:$A,Output_Mac!F:F,""),
_xlpm.MyAuditVal,_xlfn.XLOOKUP($A246,My_Audit!$A:$A,My_Audit!F:F,""),
_xlfn.IFS(_xlpm.MyAuditVal&lt;&gt;"",_xlpm.MyAuditVal,_xlpm.MacVal&lt;&gt;"",_xlpm.MacVal,_xlpm.CSVVal&lt;&gt;"",PROPER(_xlpm.CSVVal)
)),"")</f>
        <v/>
      </c>
      <c r="H246" s="40" t="str" cm="1">
        <f t="array" ref="H246">IFERROR(_xlfn.LET(
_xlpm.CSVVal,_xlfn.XLOOKUP($A246,CSV!$A:$A,CSV!H:H,""),
_xlpm.MacVal,_xlfn.XLOOKUP($A246,Output_Mac!$A:$A,Output_Mac!H:H,""),
_xlpm.MyAuditVal,_xlfn.XLOOKUP($A246,My_Audit!$A:$A,My_Audit!G:G,""),
_xlfn.IFS(_xlpm.MyAuditVal&lt;&gt;"",_xlpm.MyAuditVal,_xlpm.MacVal&lt;&gt;"",_xlpm.MacVal,_xlpm.CSVVal&lt;&gt;"",_xlpm.CSVVal
)),"")</f>
        <v/>
      </c>
      <c r="I246" s="40" t="str">
        <f>_xlfn.XLOOKUP(A246,Output_Mac!A:A,Output_Mac!I:I,"")</f>
        <v/>
      </c>
      <c r="J246" s="40" t="str" cm="1">
        <f t="array" ref="J246">IFERROR(_xlfn.LET(
_xlpm.CSVVal,_xlfn.XLOOKUP($A246,CSV!$A:$A,CSV!I:I,""),
_xlpm.MacVal,_xlfn.XLOOKUP($A246,Output_Mac!$A:$A,Output_Mac!J:J,""),
_xlpm.MyAuditVal,_xlfn.XLOOKUP($A246,My_Audit!$A:$A,My_Audit!I:I,""),
_xlfn.IFS(_xlpm.MyAuditVal&lt;&gt;"",UPPER(_xlpm.MyAuditVal),_xlpm.MacVal&lt;&gt;"",_xlpm.MacVal,_xlpm.CSVVal&lt;&gt;"",_xlpm.CSVVal
)),"")</f>
        <v/>
      </c>
      <c r="K246" s="40" t="str" cm="1">
        <f t="array" ref="K246">IFERROR(_xlfn.LET(
_xlpm.CSVVal,_xlfn.XLOOKUP($A246,CSV!$A:$A,CSV!K:K,""),
_xlpm.MacVal,_xlfn.XLOOKUP($A246,Output_Mac!$A:$A,Output_Mac!K:K,""),
_xlpm.MyAuditVal,_xlfn.XLOOKUP($A246,My_Audit!$A:$A,My_Audit!J:J,""),
_xlfn.IFS(_xlpm.MyAuditVal&lt;&gt;"",UPPER(_xlpm.MyAuditVal),_xlpm.MacVal&lt;&gt;"",_xlpm.MacVal,_xlpm.CSVVal&lt;&gt;"",_xlpm.CSVVal
)),"")</f>
        <v/>
      </c>
      <c r="L246" s="40" t="str" cm="1">
        <f t="array" ref="L246">IFERROR(_xlfn.LET(
_xlpm.CSVVal,_xlfn.XLOOKUP($A246,CSV!$A:$A,CSV!P:P,""),
_xlpm.MacVal,_xlfn.XLOOKUP($A246,Output_Mac!$A:$A,Output_Mac!L:L,""),
_xlpm.MyAuditVal,_xlfn.XLOOKUP($A246,My_Audit!$A:$A,My_Audit!K:K,""),
_xlfn.IFS(_xlpm.MyAuditVal&lt;&gt;"",UPPER(_xlpm.MyAuditVal),_xlpm.MacVal&lt;&gt;"",_xlpm.MacVal,_xlpm.CSVVal&lt;&gt;"",_xlpm.CSVVal
)),"")</f>
        <v/>
      </c>
      <c r="M246" s="40" t="str" cm="1">
        <f t="array" ref="M246">IFERROR(_xlfn.LET(
_xlpm.CSVVal,_xlfn.XLOOKUP($A246,CSV!$A:$A,CSV!Q:Q,""),
_xlpm.MacVal,_xlfn.XLOOKUP($A246,Output_Mac!$A:$A,Output_Mac!M:M,""),
_xlpm.MyAuditVal,_xlfn.XLOOKUP($A246,My_Audit!$A:$A,My_Audit!L:L,""),
_xlfn.IFS(_xlpm.MyAuditVal&lt;&gt;"",UPPER(_xlpm.MyAuditVal),_xlpm.MacVal&lt;&gt;"",_xlpm.MacVal,_xlpm.CSVVal&lt;&gt;"",_xlpm.CSVVal
)),"")</f>
        <v/>
      </c>
      <c r="N246" s="40"/>
      <c r="O246" s="40" t="str">
        <f>_xlfn.LET(
    _xlpm.CSVVal, _xlfn.XLOOKUP($A246, CSV!$A:$A, CSV!AA:AA, ""),
    _xlpm.MacVal, _xlfn.XLOOKUP($A246, Output_Mac!$A:$A, Output_Mac!S:S, ""),
    _xlpm.MyAuditVal, _xlfn.XLOOKUP($A246, My_Audit!$A:$A, My_Audit!P:P, ""),
    _xlfn.TEXTJOIN(", ", TRUE, _xlpm.MyAuditVal, _xlpm.MacVal, _xlpm.CSVVal)
)</f>
        <v/>
      </c>
      <c r="P246" s="40" t="str" cm="1">
        <f t="array" ref="P246">IFERROR(_xlfn.LET(
_xlpm.CSVVal,_xlfn.XLOOKUP($A246,CSV!$A:$A,CSV!AB:AB,""),
_xlpm.MacVal,_xlfn.XLOOKUP($A246,Output_Mac!$A:$A,Output_Mac!T:T,""),
_xlpm.MyAuditVal,_xlfn.XLOOKUP($A246,My_Audit!$A:$A,My_Audit!Q:Q,""),
_xlfn.IFS(_xlpm.MyAuditVal&lt;&gt;"",UPPER(_xlpm.MyAuditVal),_xlpm.MacVal&lt;&gt;"",_xlpm.MacVal,_xlpm.CSVVal&lt;&gt;"",_xlpm.CSVVal
)),"No")</f>
        <v>No</v>
      </c>
      <c r="Q246" s="40" t="str" cm="1">
        <f t="array" ref="Q246">IFERROR(_xlfn.LET(
_xlpm.CSVVal,_xlfn.XLOOKUP($A246,CSV!$A:$A,CSV!AC:AC,""),
_xlpm.MacVal,_xlfn.XLOOKUP($A246,Output_Mac!$A:$A,Output_Mac!U:U,""),
_xlpm.MyAuditVal,_xlfn.XLOOKUP($A246,My_Audit!$A:$A,My_Audit!R:R,""),
_xlfn.IFS(_xlpm.MyAuditVal&lt;&gt;"",UPPER(_xlpm.MyAuditVal),_xlpm.MacVal&lt;&gt;"",_xlpm.MacVal,_xlpm.CSVVal&lt;&gt;"",_xlpm.CSVVal
)),"")</f>
        <v/>
      </c>
      <c r="R246" s="40"/>
      <c r="S246" s="40"/>
      <c r="T246" s="40"/>
      <c r="U246" s="40"/>
      <c r="V246" s="40"/>
      <c r="W246" s="40"/>
      <c r="X246" s="41" t="str">
        <f>_xlfn.LET(
    _xlpm.MacVal, _xlfn.XLOOKUP($A246, Output_Mac!$A:$A, Output_Mac!AB:AB, ""),
    _xlpm.MyAuditVal, _xlfn.XLOOKUP($A246, My_Audit!$A:$A, My_Audit!N:N, ""),
    _xlfn.TEXTJOIN(", ", TRUE, _xlpm.MyAuditVal, _xlpm.MacVal)
)</f>
        <v/>
      </c>
    </row>
    <row r="247" spans="1:24">
      <c r="A247" s="40" t="str">
        <f>_xlfn.TEXTJOIN("",TRUE,Input!$B$2,ROW(My_Audit!A246))</f>
        <v>X246</v>
      </c>
      <c r="B247" s="40" t="str">
        <f>_xlfn.TEXTJOIN("-",TRUE,"ITD",Input!$A$2,A247)</f>
        <v>ITD-X246</v>
      </c>
      <c r="C247" s="40" t="str" cm="1">
        <f t="array" ref="C247">IFERROR(_xlfn.LET(
_xlpm.CSVVal,_xlfn.XLOOKUP($A247,CSV!$A:$A,CSV!B:B,""),
_xlpm.MacVal,_xlfn.XLOOKUP($A247,Output_Mac!$A:$A,Output_Mac!B:B,""),
_xlpm.MyAuditVal,_xlfn.XLOOKUP($A247,My_Audit!$A:$A,My_Audit!B:B,""),
_xlfn.IFS(_xlpm.MyAuditVal&lt;&gt;"",UPPER(_xlpm.MyAuditVal),_xlpm.MacVal&lt;&gt;"",_xlpm.MacVal,_xlpm.CSVVal&lt;&gt;"",_xlpm.CSVVal
)),"")</f>
        <v/>
      </c>
      <c r="D247" s="40" t="str" cm="1">
        <f t="array" ref="D247">IFERROR(_xlfn.LET(
_xlpm.CSVVal,_xlfn.XLOOKUP($A247,CSV!$A:$A,CSV!D:D,""),
_xlpm.MacVal,_xlfn.XLOOKUP($A247,Output_Mac!$A:$A,Output_Mac!C:C,""),
_xlpm.MyAuditVal,_xlfn.XLOOKUP($A247,My_Audit!$A:$A,My_Audit!C:C,""),
_xlfn.IFS(_xlpm.MyAuditVal&lt;&gt;"",_xlpm.MyAuditVal,_xlpm.MacVal&lt;&gt;"",_xlpm.MacVal,_xlpm.CSVVal&lt;&gt;"",_xlpm.CSVVal
)),"")</f>
        <v/>
      </c>
      <c r="E247" s="40">
        <f>_xlfn.XLOOKUP(A247,My_Audit!A:A,My_Audit!D:D,"")</f>
        <v>0</v>
      </c>
      <c r="F247" s="40" t="str" cm="1">
        <f t="array" ref="F247">IFERROR(_xlfn.LET(
_xlpm.CSVVal,_xlfn.XLOOKUP($A247,CSV!$A:$A,CSV!F:F,""),
_xlpm.MacVal,_xlfn.XLOOKUP($A247,Output_Mac!$A:$A,Output_Mac!E:E,""),
_xlpm.MyAuditVal,_xlfn.XLOOKUP($A247,My_Audit!$A:$A,My_Audit!E:E,""),
_xlfn.IFS(_xlpm.MyAuditVal&lt;&gt;"",_xlpm.MyAuditVal,_xlpm.MacVal&lt;&gt;"",_xlpm.MacVal,_xlpm.CSVVal&lt;&gt;"",_xlpm.CSVVal
)),"")</f>
        <v/>
      </c>
      <c r="G247" s="40" t="str" cm="1">
        <f t="array" ref="G247">IFERROR(_xlfn.LET(
_xlpm.CSVVal,_xlfn.XLOOKUP($A247,CSV!$A:$A,CSV!G:G,""),
_xlpm.MacVal,_xlfn.XLOOKUP($A247,Output_Mac!$A:$A,Output_Mac!F:F,""),
_xlpm.MyAuditVal,_xlfn.XLOOKUP($A247,My_Audit!$A:$A,My_Audit!F:F,""),
_xlfn.IFS(_xlpm.MyAuditVal&lt;&gt;"",_xlpm.MyAuditVal,_xlpm.MacVal&lt;&gt;"",_xlpm.MacVal,_xlpm.CSVVal&lt;&gt;"",PROPER(_xlpm.CSVVal)
)),"")</f>
        <v/>
      </c>
      <c r="H247" s="40" t="str" cm="1">
        <f t="array" ref="H247">IFERROR(_xlfn.LET(
_xlpm.CSVVal,_xlfn.XLOOKUP($A247,CSV!$A:$A,CSV!H:H,""),
_xlpm.MacVal,_xlfn.XLOOKUP($A247,Output_Mac!$A:$A,Output_Mac!H:H,""),
_xlpm.MyAuditVal,_xlfn.XLOOKUP($A247,My_Audit!$A:$A,My_Audit!G:G,""),
_xlfn.IFS(_xlpm.MyAuditVal&lt;&gt;"",_xlpm.MyAuditVal,_xlpm.MacVal&lt;&gt;"",_xlpm.MacVal,_xlpm.CSVVal&lt;&gt;"",_xlpm.CSVVal
)),"")</f>
        <v/>
      </c>
      <c r="I247" s="40" t="str">
        <f>_xlfn.XLOOKUP(A247,Output_Mac!A:A,Output_Mac!I:I,"")</f>
        <v/>
      </c>
      <c r="J247" s="40" t="str" cm="1">
        <f t="array" ref="J247">IFERROR(_xlfn.LET(
_xlpm.CSVVal,_xlfn.XLOOKUP($A247,CSV!$A:$A,CSV!I:I,""),
_xlpm.MacVal,_xlfn.XLOOKUP($A247,Output_Mac!$A:$A,Output_Mac!J:J,""),
_xlpm.MyAuditVal,_xlfn.XLOOKUP($A247,My_Audit!$A:$A,My_Audit!I:I,""),
_xlfn.IFS(_xlpm.MyAuditVal&lt;&gt;"",UPPER(_xlpm.MyAuditVal),_xlpm.MacVal&lt;&gt;"",_xlpm.MacVal,_xlpm.CSVVal&lt;&gt;"",_xlpm.CSVVal
)),"")</f>
        <v/>
      </c>
      <c r="K247" s="40" t="str" cm="1">
        <f t="array" ref="K247">IFERROR(_xlfn.LET(
_xlpm.CSVVal,_xlfn.XLOOKUP($A247,CSV!$A:$A,CSV!K:K,""),
_xlpm.MacVal,_xlfn.XLOOKUP($A247,Output_Mac!$A:$A,Output_Mac!K:K,""),
_xlpm.MyAuditVal,_xlfn.XLOOKUP($A247,My_Audit!$A:$A,My_Audit!J:J,""),
_xlfn.IFS(_xlpm.MyAuditVal&lt;&gt;"",UPPER(_xlpm.MyAuditVal),_xlpm.MacVal&lt;&gt;"",_xlpm.MacVal,_xlpm.CSVVal&lt;&gt;"",_xlpm.CSVVal
)),"")</f>
        <v/>
      </c>
      <c r="L247" s="40" t="str" cm="1">
        <f t="array" ref="L247">IFERROR(_xlfn.LET(
_xlpm.CSVVal,_xlfn.XLOOKUP($A247,CSV!$A:$A,CSV!P:P,""),
_xlpm.MacVal,_xlfn.XLOOKUP($A247,Output_Mac!$A:$A,Output_Mac!L:L,""),
_xlpm.MyAuditVal,_xlfn.XLOOKUP($A247,My_Audit!$A:$A,My_Audit!K:K,""),
_xlfn.IFS(_xlpm.MyAuditVal&lt;&gt;"",UPPER(_xlpm.MyAuditVal),_xlpm.MacVal&lt;&gt;"",_xlpm.MacVal,_xlpm.CSVVal&lt;&gt;"",_xlpm.CSVVal
)),"")</f>
        <v/>
      </c>
      <c r="M247" s="40" t="str" cm="1">
        <f t="array" ref="M247">IFERROR(_xlfn.LET(
_xlpm.CSVVal,_xlfn.XLOOKUP($A247,CSV!$A:$A,CSV!Q:Q,""),
_xlpm.MacVal,_xlfn.XLOOKUP($A247,Output_Mac!$A:$A,Output_Mac!M:M,""),
_xlpm.MyAuditVal,_xlfn.XLOOKUP($A247,My_Audit!$A:$A,My_Audit!L:L,""),
_xlfn.IFS(_xlpm.MyAuditVal&lt;&gt;"",UPPER(_xlpm.MyAuditVal),_xlpm.MacVal&lt;&gt;"",_xlpm.MacVal,_xlpm.CSVVal&lt;&gt;"",_xlpm.CSVVal
)),"")</f>
        <v/>
      </c>
      <c r="N247" s="40"/>
      <c r="O247" s="40" t="str">
        <f>_xlfn.LET(
    _xlpm.CSVVal, _xlfn.XLOOKUP($A247, CSV!$A:$A, CSV!AA:AA, ""),
    _xlpm.MacVal, _xlfn.XLOOKUP($A247, Output_Mac!$A:$A, Output_Mac!S:S, ""),
    _xlpm.MyAuditVal, _xlfn.XLOOKUP($A247, My_Audit!$A:$A, My_Audit!P:P, ""),
    _xlfn.TEXTJOIN(", ", TRUE, _xlpm.MyAuditVal, _xlpm.MacVal, _xlpm.CSVVal)
)</f>
        <v/>
      </c>
      <c r="P247" s="40" t="str" cm="1">
        <f t="array" ref="P247">IFERROR(_xlfn.LET(
_xlpm.CSVVal,_xlfn.XLOOKUP($A247,CSV!$A:$A,CSV!AB:AB,""),
_xlpm.MacVal,_xlfn.XLOOKUP($A247,Output_Mac!$A:$A,Output_Mac!T:T,""),
_xlpm.MyAuditVal,_xlfn.XLOOKUP($A247,My_Audit!$A:$A,My_Audit!Q:Q,""),
_xlfn.IFS(_xlpm.MyAuditVal&lt;&gt;"",UPPER(_xlpm.MyAuditVal),_xlpm.MacVal&lt;&gt;"",_xlpm.MacVal,_xlpm.CSVVal&lt;&gt;"",_xlpm.CSVVal
)),"No")</f>
        <v>No</v>
      </c>
      <c r="Q247" s="40" t="str" cm="1">
        <f t="array" ref="Q247">IFERROR(_xlfn.LET(
_xlpm.CSVVal,_xlfn.XLOOKUP($A247,CSV!$A:$A,CSV!AC:AC,""),
_xlpm.MacVal,_xlfn.XLOOKUP($A247,Output_Mac!$A:$A,Output_Mac!U:U,""),
_xlpm.MyAuditVal,_xlfn.XLOOKUP($A247,My_Audit!$A:$A,My_Audit!R:R,""),
_xlfn.IFS(_xlpm.MyAuditVal&lt;&gt;"",UPPER(_xlpm.MyAuditVal),_xlpm.MacVal&lt;&gt;"",_xlpm.MacVal,_xlpm.CSVVal&lt;&gt;"",_xlpm.CSVVal
)),"")</f>
        <v/>
      </c>
      <c r="R247" s="40"/>
      <c r="S247" s="40"/>
      <c r="T247" s="40"/>
      <c r="U247" s="40"/>
      <c r="V247" s="40"/>
      <c r="W247" s="40"/>
      <c r="X247" s="41" t="str">
        <f>_xlfn.LET(
    _xlpm.MacVal, _xlfn.XLOOKUP($A247, Output_Mac!$A:$A, Output_Mac!AB:AB, ""),
    _xlpm.MyAuditVal, _xlfn.XLOOKUP($A247, My_Audit!$A:$A, My_Audit!N:N, ""),
    _xlfn.TEXTJOIN(", ", TRUE, _xlpm.MyAuditVal, _xlpm.MacVal)
)</f>
        <v/>
      </c>
    </row>
    <row r="248" spans="1:24">
      <c r="A248" s="40" t="str">
        <f>_xlfn.TEXTJOIN("",TRUE,Input!$B$2,ROW(My_Audit!A247))</f>
        <v>X247</v>
      </c>
      <c r="B248" s="40" t="str">
        <f>_xlfn.TEXTJOIN("-",TRUE,"ITD",Input!$A$2,A248)</f>
        <v>ITD-X247</v>
      </c>
      <c r="C248" s="40" t="str" cm="1">
        <f t="array" ref="C248">IFERROR(_xlfn.LET(
_xlpm.CSVVal,_xlfn.XLOOKUP($A248,CSV!$A:$A,CSV!B:B,""),
_xlpm.MacVal,_xlfn.XLOOKUP($A248,Output_Mac!$A:$A,Output_Mac!B:B,""),
_xlpm.MyAuditVal,_xlfn.XLOOKUP($A248,My_Audit!$A:$A,My_Audit!B:B,""),
_xlfn.IFS(_xlpm.MyAuditVal&lt;&gt;"",UPPER(_xlpm.MyAuditVal),_xlpm.MacVal&lt;&gt;"",_xlpm.MacVal,_xlpm.CSVVal&lt;&gt;"",_xlpm.CSVVal
)),"")</f>
        <v/>
      </c>
      <c r="D248" s="40" t="str" cm="1">
        <f t="array" ref="D248">IFERROR(_xlfn.LET(
_xlpm.CSVVal,_xlfn.XLOOKUP($A248,CSV!$A:$A,CSV!D:D,""),
_xlpm.MacVal,_xlfn.XLOOKUP($A248,Output_Mac!$A:$A,Output_Mac!C:C,""),
_xlpm.MyAuditVal,_xlfn.XLOOKUP($A248,My_Audit!$A:$A,My_Audit!C:C,""),
_xlfn.IFS(_xlpm.MyAuditVal&lt;&gt;"",_xlpm.MyAuditVal,_xlpm.MacVal&lt;&gt;"",_xlpm.MacVal,_xlpm.CSVVal&lt;&gt;"",_xlpm.CSVVal
)),"")</f>
        <v/>
      </c>
      <c r="E248" s="40">
        <f>_xlfn.XLOOKUP(A248,My_Audit!A:A,My_Audit!D:D,"")</f>
        <v>0</v>
      </c>
      <c r="F248" s="40" t="str" cm="1">
        <f t="array" ref="F248">IFERROR(_xlfn.LET(
_xlpm.CSVVal,_xlfn.XLOOKUP($A248,CSV!$A:$A,CSV!F:F,""),
_xlpm.MacVal,_xlfn.XLOOKUP($A248,Output_Mac!$A:$A,Output_Mac!E:E,""),
_xlpm.MyAuditVal,_xlfn.XLOOKUP($A248,My_Audit!$A:$A,My_Audit!E:E,""),
_xlfn.IFS(_xlpm.MyAuditVal&lt;&gt;"",_xlpm.MyAuditVal,_xlpm.MacVal&lt;&gt;"",_xlpm.MacVal,_xlpm.CSVVal&lt;&gt;"",_xlpm.CSVVal
)),"")</f>
        <v/>
      </c>
      <c r="G248" s="40" t="str" cm="1">
        <f t="array" ref="G248">IFERROR(_xlfn.LET(
_xlpm.CSVVal,_xlfn.XLOOKUP($A248,CSV!$A:$A,CSV!G:G,""),
_xlpm.MacVal,_xlfn.XLOOKUP($A248,Output_Mac!$A:$A,Output_Mac!F:F,""),
_xlpm.MyAuditVal,_xlfn.XLOOKUP($A248,My_Audit!$A:$A,My_Audit!F:F,""),
_xlfn.IFS(_xlpm.MyAuditVal&lt;&gt;"",_xlpm.MyAuditVal,_xlpm.MacVal&lt;&gt;"",_xlpm.MacVal,_xlpm.CSVVal&lt;&gt;"",PROPER(_xlpm.CSVVal)
)),"")</f>
        <v/>
      </c>
      <c r="H248" s="40" t="str" cm="1">
        <f t="array" ref="H248">IFERROR(_xlfn.LET(
_xlpm.CSVVal,_xlfn.XLOOKUP($A248,CSV!$A:$A,CSV!H:H,""),
_xlpm.MacVal,_xlfn.XLOOKUP($A248,Output_Mac!$A:$A,Output_Mac!H:H,""),
_xlpm.MyAuditVal,_xlfn.XLOOKUP($A248,My_Audit!$A:$A,My_Audit!G:G,""),
_xlfn.IFS(_xlpm.MyAuditVal&lt;&gt;"",_xlpm.MyAuditVal,_xlpm.MacVal&lt;&gt;"",_xlpm.MacVal,_xlpm.CSVVal&lt;&gt;"",_xlpm.CSVVal
)),"")</f>
        <v/>
      </c>
      <c r="I248" s="40" t="str">
        <f>_xlfn.XLOOKUP(A248,Output_Mac!A:A,Output_Mac!I:I,"")</f>
        <v/>
      </c>
      <c r="J248" s="40" t="str" cm="1">
        <f t="array" ref="J248">IFERROR(_xlfn.LET(
_xlpm.CSVVal,_xlfn.XLOOKUP($A248,CSV!$A:$A,CSV!I:I,""),
_xlpm.MacVal,_xlfn.XLOOKUP($A248,Output_Mac!$A:$A,Output_Mac!J:J,""),
_xlpm.MyAuditVal,_xlfn.XLOOKUP($A248,My_Audit!$A:$A,My_Audit!I:I,""),
_xlfn.IFS(_xlpm.MyAuditVal&lt;&gt;"",UPPER(_xlpm.MyAuditVal),_xlpm.MacVal&lt;&gt;"",_xlpm.MacVal,_xlpm.CSVVal&lt;&gt;"",_xlpm.CSVVal
)),"")</f>
        <v/>
      </c>
      <c r="K248" s="40" t="str" cm="1">
        <f t="array" ref="K248">IFERROR(_xlfn.LET(
_xlpm.CSVVal,_xlfn.XLOOKUP($A248,CSV!$A:$A,CSV!K:K,""),
_xlpm.MacVal,_xlfn.XLOOKUP($A248,Output_Mac!$A:$A,Output_Mac!K:K,""),
_xlpm.MyAuditVal,_xlfn.XLOOKUP($A248,My_Audit!$A:$A,My_Audit!J:J,""),
_xlfn.IFS(_xlpm.MyAuditVal&lt;&gt;"",UPPER(_xlpm.MyAuditVal),_xlpm.MacVal&lt;&gt;"",_xlpm.MacVal,_xlpm.CSVVal&lt;&gt;"",_xlpm.CSVVal
)),"")</f>
        <v/>
      </c>
      <c r="L248" s="40" t="str" cm="1">
        <f t="array" ref="L248">IFERROR(_xlfn.LET(
_xlpm.CSVVal,_xlfn.XLOOKUP($A248,CSV!$A:$A,CSV!P:P,""),
_xlpm.MacVal,_xlfn.XLOOKUP($A248,Output_Mac!$A:$A,Output_Mac!L:L,""),
_xlpm.MyAuditVal,_xlfn.XLOOKUP($A248,My_Audit!$A:$A,My_Audit!K:K,""),
_xlfn.IFS(_xlpm.MyAuditVal&lt;&gt;"",UPPER(_xlpm.MyAuditVal),_xlpm.MacVal&lt;&gt;"",_xlpm.MacVal,_xlpm.CSVVal&lt;&gt;"",_xlpm.CSVVal
)),"")</f>
        <v/>
      </c>
      <c r="M248" s="40" t="str" cm="1">
        <f t="array" ref="M248">IFERROR(_xlfn.LET(
_xlpm.CSVVal,_xlfn.XLOOKUP($A248,CSV!$A:$A,CSV!Q:Q,""),
_xlpm.MacVal,_xlfn.XLOOKUP($A248,Output_Mac!$A:$A,Output_Mac!M:M,""),
_xlpm.MyAuditVal,_xlfn.XLOOKUP($A248,My_Audit!$A:$A,My_Audit!L:L,""),
_xlfn.IFS(_xlpm.MyAuditVal&lt;&gt;"",UPPER(_xlpm.MyAuditVal),_xlpm.MacVal&lt;&gt;"",_xlpm.MacVal,_xlpm.CSVVal&lt;&gt;"",_xlpm.CSVVal
)),"")</f>
        <v/>
      </c>
      <c r="N248" s="40"/>
      <c r="O248" s="40" t="str">
        <f>_xlfn.LET(
    _xlpm.CSVVal, _xlfn.XLOOKUP($A248, CSV!$A:$A, CSV!AA:AA, ""),
    _xlpm.MacVal, _xlfn.XLOOKUP($A248, Output_Mac!$A:$A, Output_Mac!S:S, ""),
    _xlpm.MyAuditVal, _xlfn.XLOOKUP($A248, My_Audit!$A:$A, My_Audit!P:P, ""),
    _xlfn.TEXTJOIN(", ", TRUE, _xlpm.MyAuditVal, _xlpm.MacVal, _xlpm.CSVVal)
)</f>
        <v/>
      </c>
      <c r="P248" s="40" t="str" cm="1">
        <f t="array" ref="P248">IFERROR(_xlfn.LET(
_xlpm.CSVVal,_xlfn.XLOOKUP($A248,CSV!$A:$A,CSV!AB:AB,""),
_xlpm.MacVal,_xlfn.XLOOKUP($A248,Output_Mac!$A:$A,Output_Mac!T:T,""),
_xlpm.MyAuditVal,_xlfn.XLOOKUP($A248,My_Audit!$A:$A,My_Audit!Q:Q,""),
_xlfn.IFS(_xlpm.MyAuditVal&lt;&gt;"",UPPER(_xlpm.MyAuditVal),_xlpm.MacVal&lt;&gt;"",_xlpm.MacVal,_xlpm.CSVVal&lt;&gt;"",_xlpm.CSVVal
)),"No")</f>
        <v>No</v>
      </c>
      <c r="Q248" s="40" t="str" cm="1">
        <f t="array" ref="Q248">IFERROR(_xlfn.LET(
_xlpm.CSVVal,_xlfn.XLOOKUP($A248,CSV!$A:$A,CSV!AC:AC,""),
_xlpm.MacVal,_xlfn.XLOOKUP($A248,Output_Mac!$A:$A,Output_Mac!U:U,""),
_xlpm.MyAuditVal,_xlfn.XLOOKUP($A248,My_Audit!$A:$A,My_Audit!R:R,""),
_xlfn.IFS(_xlpm.MyAuditVal&lt;&gt;"",UPPER(_xlpm.MyAuditVal),_xlpm.MacVal&lt;&gt;"",_xlpm.MacVal,_xlpm.CSVVal&lt;&gt;"",_xlpm.CSVVal
)),"")</f>
        <v/>
      </c>
      <c r="R248" s="40"/>
      <c r="S248" s="40"/>
      <c r="T248" s="40"/>
      <c r="U248" s="40"/>
      <c r="V248" s="40"/>
      <c r="W248" s="40"/>
      <c r="X248" s="41" t="str">
        <f>_xlfn.LET(
    _xlpm.MacVal, _xlfn.XLOOKUP($A248, Output_Mac!$A:$A, Output_Mac!AB:AB, ""),
    _xlpm.MyAuditVal, _xlfn.XLOOKUP($A248, My_Audit!$A:$A, My_Audit!N:N, ""),
    _xlfn.TEXTJOIN(", ", TRUE, _xlpm.MyAuditVal, _xlpm.MacVal)
)</f>
        <v/>
      </c>
    </row>
    <row r="249" spans="1:24">
      <c r="A249" s="40" t="str">
        <f>_xlfn.TEXTJOIN("",TRUE,Input!$B$2,ROW(My_Audit!A248))</f>
        <v>X248</v>
      </c>
      <c r="B249" s="40" t="str">
        <f>_xlfn.TEXTJOIN("-",TRUE,"ITD",Input!$A$2,A249)</f>
        <v>ITD-X248</v>
      </c>
      <c r="C249" s="40" t="str" cm="1">
        <f t="array" ref="C249">IFERROR(_xlfn.LET(
_xlpm.CSVVal,_xlfn.XLOOKUP($A249,CSV!$A:$A,CSV!B:B,""),
_xlpm.MacVal,_xlfn.XLOOKUP($A249,Output_Mac!$A:$A,Output_Mac!B:B,""),
_xlpm.MyAuditVal,_xlfn.XLOOKUP($A249,My_Audit!$A:$A,My_Audit!B:B,""),
_xlfn.IFS(_xlpm.MyAuditVal&lt;&gt;"",UPPER(_xlpm.MyAuditVal),_xlpm.MacVal&lt;&gt;"",_xlpm.MacVal,_xlpm.CSVVal&lt;&gt;"",_xlpm.CSVVal
)),"")</f>
        <v/>
      </c>
      <c r="D249" s="40" t="str" cm="1">
        <f t="array" ref="D249">IFERROR(_xlfn.LET(
_xlpm.CSVVal,_xlfn.XLOOKUP($A249,CSV!$A:$A,CSV!D:D,""),
_xlpm.MacVal,_xlfn.XLOOKUP($A249,Output_Mac!$A:$A,Output_Mac!C:C,""),
_xlpm.MyAuditVal,_xlfn.XLOOKUP($A249,My_Audit!$A:$A,My_Audit!C:C,""),
_xlfn.IFS(_xlpm.MyAuditVal&lt;&gt;"",_xlpm.MyAuditVal,_xlpm.MacVal&lt;&gt;"",_xlpm.MacVal,_xlpm.CSVVal&lt;&gt;"",_xlpm.CSVVal
)),"")</f>
        <v/>
      </c>
      <c r="E249" s="40">
        <f>_xlfn.XLOOKUP(A249,My_Audit!A:A,My_Audit!D:D,"")</f>
        <v>0</v>
      </c>
      <c r="F249" s="40" t="str" cm="1">
        <f t="array" ref="F249">IFERROR(_xlfn.LET(
_xlpm.CSVVal,_xlfn.XLOOKUP($A249,CSV!$A:$A,CSV!F:F,""),
_xlpm.MacVal,_xlfn.XLOOKUP($A249,Output_Mac!$A:$A,Output_Mac!E:E,""),
_xlpm.MyAuditVal,_xlfn.XLOOKUP($A249,My_Audit!$A:$A,My_Audit!E:E,""),
_xlfn.IFS(_xlpm.MyAuditVal&lt;&gt;"",_xlpm.MyAuditVal,_xlpm.MacVal&lt;&gt;"",_xlpm.MacVal,_xlpm.CSVVal&lt;&gt;"",_xlpm.CSVVal
)),"")</f>
        <v/>
      </c>
      <c r="G249" s="40" t="str" cm="1">
        <f t="array" ref="G249">IFERROR(_xlfn.LET(
_xlpm.CSVVal,_xlfn.XLOOKUP($A249,CSV!$A:$A,CSV!G:G,""),
_xlpm.MacVal,_xlfn.XLOOKUP($A249,Output_Mac!$A:$A,Output_Mac!F:F,""),
_xlpm.MyAuditVal,_xlfn.XLOOKUP($A249,My_Audit!$A:$A,My_Audit!F:F,""),
_xlfn.IFS(_xlpm.MyAuditVal&lt;&gt;"",_xlpm.MyAuditVal,_xlpm.MacVal&lt;&gt;"",_xlpm.MacVal,_xlpm.CSVVal&lt;&gt;"",PROPER(_xlpm.CSVVal)
)),"")</f>
        <v/>
      </c>
      <c r="H249" s="40" t="str" cm="1">
        <f t="array" ref="H249">IFERROR(_xlfn.LET(
_xlpm.CSVVal,_xlfn.XLOOKUP($A249,CSV!$A:$A,CSV!H:H,""),
_xlpm.MacVal,_xlfn.XLOOKUP($A249,Output_Mac!$A:$A,Output_Mac!H:H,""),
_xlpm.MyAuditVal,_xlfn.XLOOKUP($A249,My_Audit!$A:$A,My_Audit!G:G,""),
_xlfn.IFS(_xlpm.MyAuditVal&lt;&gt;"",_xlpm.MyAuditVal,_xlpm.MacVal&lt;&gt;"",_xlpm.MacVal,_xlpm.CSVVal&lt;&gt;"",_xlpm.CSVVal
)),"")</f>
        <v/>
      </c>
      <c r="I249" s="40" t="str">
        <f>_xlfn.XLOOKUP(A249,Output_Mac!A:A,Output_Mac!I:I,"")</f>
        <v/>
      </c>
      <c r="J249" s="40" t="str" cm="1">
        <f t="array" ref="J249">IFERROR(_xlfn.LET(
_xlpm.CSVVal,_xlfn.XLOOKUP($A249,CSV!$A:$A,CSV!I:I,""),
_xlpm.MacVal,_xlfn.XLOOKUP($A249,Output_Mac!$A:$A,Output_Mac!J:J,""),
_xlpm.MyAuditVal,_xlfn.XLOOKUP($A249,My_Audit!$A:$A,My_Audit!I:I,""),
_xlfn.IFS(_xlpm.MyAuditVal&lt;&gt;"",UPPER(_xlpm.MyAuditVal),_xlpm.MacVal&lt;&gt;"",_xlpm.MacVal,_xlpm.CSVVal&lt;&gt;"",_xlpm.CSVVal
)),"")</f>
        <v/>
      </c>
      <c r="K249" s="40" t="str" cm="1">
        <f t="array" ref="K249">IFERROR(_xlfn.LET(
_xlpm.CSVVal,_xlfn.XLOOKUP($A249,CSV!$A:$A,CSV!K:K,""),
_xlpm.MacVal,_xlfn.XLOOKUP($A249,Output_Mac!$A:$A,Output_Mac!K:K,""),
_xlpm.MyAuditVal,_xlfn.XLOOKUP($A249,My_Audit!$A:$A,My_Audit!J:J,""),
_xlfn.IFS(_xlpm.MyAuditVal&lt;&gt;"",UPPER(_xlpm.MyAuditVal),_xlpm.MacVal&lt;&gt;"",_xlpm.MacVal,_xlpm.CSVVal&lt;&gt;"",_xlpm.CSVVal
)),"")</f>
        <v/>
      </c>
      <c r="L249" s="40" t="str" cm="1">
        <f t="array" ref="L249">IFERROR(_xlfn.LET(
_xlpm.CSVVal,_xlfn.XLOOKUP($A249,CSV!$A:$A,CSV!P:P,""),
_xlpm.MacVal,_xlfn.XLOOKUP($A249,Output_Mac!$A:$A,Output_Mac!L:L,""),
_xlpm.MyAuditVal,_xlfn.XLOOKUP($A249,My_Audit!$A:$A,My_Audit!K:K,""),
_xlfn.IFS(_xlpm.MyAuditVal&lt;&gt;"",UPPER(_xlpm.MyAuditVal),_xlpm.MacVal&lt;&gt;"",_xlpm.MacVal,_xlpm.CSVVal&lt;&gt;"",_xlpm.CSVVal
)),"")</f>
        <v/>
      </c>
      <c r="M249" s="40" t="str" cm="1">
        <f t="array" ref="M249">IFERROR(_xlfn.LET(
_xlpm.CSVVal,_xlfn.XLOOKUP($A249,CSV!$A:$A,CSV!Q:Q,""),
_xlpm.MacVal,_xlfn.XLOOKUP($A249,Output_Mac!$A:$A,Output_Mac!M:M,""),
_xlpm.MyAuditVal,_xlfn.XLOOKUP($A249,My_Audit!$A:$A,My_Audit!L:L,""),
_xlfn.IFS(_xlpm.MyAuditVal&lt;&gt;"",UPPER(_xlpm.MyAuditVal),_xlpm.MacVal&lt;&gt;"",_xlpm.MacVal,_xlpm.CSVVal&lt;&gt;"",_xlpm.CSVVal
)),"")</f>
        <v/>
      </c>
      <c r="N249" s="40"/>
      <c r="O249" s="40" t="str">
        <f>_xlfn.LET(
    _xlpm.CSVVal, _xlfn.XLOOKUP($A249, CSV!$A:$A, CSV!AA:AA, ""),
    _xlpm.MacVal, _xlfn.XLOOKUP($A249, Output_Mac!$A:$A, Output_Mac!S:S, ""),
    _xlpm.MyAuditVal, _xlfn.XLOOKUP($A249, My_Audit!$A:$A, My_Audit!P:P, ""),
    _xlfn.TEXTJOIN(", ", TRUE, _xlpm.MyAuditVal, _xlpm.MacVal, _xlpm.CSVVal)
)</f>
        <v/>
      </c>
      <c r="P249" s="40" t="str" cm="1">
        <f t="array" ref="P249">IFERROR(_xlfn.LET(
_xlpm.CSVVal,_xlfn.XLOOKUP($A249,CSV!$A:$A,CSV!AB:AB,""),
_xlpm.MacVal,_xlfn.XLOOKUP($A249,Output_Mac!$A:$A,Output_Mac!T:T,""),
_xlpm.MyAuditVal,_xlfn.XLOOKUP($A249,My_Audit!$A:$A,My_Audit!Q:Q,""),
_xlfn.IFS(_xlpm.MyAuditVal&lt;&gt;"",UPPER(_xlpm.MyAuditVal),_xlpm.MacVal&lt;&gt;"",_xlpm.MacVal,_xlpm.CSVVal&lt;&gt;"",_xlpm.CSVVal
)),"No")</f>
        <v>No</v>
      </c>
      <c r="Q249" s="40" t="str" cm="1">
        <f t="array" ref="Q249">IFERROR(_xlfn.LET(
_xlpm.CSVVal,_xlfn.XLOOKUP($A249,CSV!$A:$A,CSV!AC:AC,""),
_xlpm.MacVal,_xlfn.XLOOKUP($A249,Output_Mac!$A:$A,Output_Mac!U:U,""),
_xlpm.MyAuditVal,_xlfn.XLOOKUP($A249,My_Audit!$A:$A,My_Audit!R:R,""),
_xlfn.IFS(_xlpm.MyAuditVal&lt;&gt;"",UPPER(_xlpm.MyAuditVal),_xlpm.MacVal&lt;&gt;"",_xlpm.MacVal,_xlpm.CSVVal&lt;&gt;"",_xlpm.CSVVal
)),"")</f>
        <v/>
      </c>
      <c r="R249" s="40"/>
      <c r="S249" s="40"/>
      <c r="T249" s="40"/>
      <c r="U249" s="40"/>
      <c r="V249" s="40"/>
      <c r="W249" s="40"/>
      <c r="X249" s="41" t="str">
        <f>_xlfn.LET(
    _xlpm.MacVal, _xlfn.XLOOKUP($A249, Output_Mac!$A:$A, Output_Mac!AB:AB, ""),
    _xlpm.MyAuditVal, _xlfn.XLOOKUP($A249, My_Audit!$A:$A, My_Audit!N:N, ""),
    _xlfn.TEXTJOIN(", ", TRUE, _xlpm.MyAuditVal, _xlpm.MacVal)
)</f>
        <v/>
      </c>
    </row>
    <row r="250" spans="1:24">
      <c r="A250" s="40" t="str">
        <f>_xlfn.TEXTJOIN("",TRUE,Input!$B$2,ROW(My_Audit!A249))</f>
        <v>X249</v>
      </c>
      <c r="B250" s="40" t="str">
        <f>_xlfn.TEXTJOIN("-",TRUE,"ITD",Input!$A$2,A250)</f>
        <v>ITD-X249</v>
      </c>
      <c r="C250" s="40" t="str" cm="1">
        <f t="array" ref="C250">IFERROR(_xlfn.LET(
_xlpm.CSVVal,_xlfn.XLOOKUP($A250,CSV!$A:$A,CSV!B:B,""),
_xlpm.MacVal,_xlfn.XLOOKUP($A250,Output_Mac!$A:$A,Output_Mac!B:B,""),
_xlpm.MyAuditVal,_xlfn.XLOOKUP($A250,My_Audit!$A:$A,My_Audit!B:B,""),
_xlfn.IFS(_xlpm.MyAuditVal&lt;&gt;"",UPPER(_xlpm.MyAuditVal),_xlpm.MacVal&lt;&gt;"",_xlpm.MacVal,_xlpm.CSVVal&lt;&gt;"",_xlpm.CSVVal
)),"")</f>
        <v/>
      </c>
      <c r="D250" s="40" t="str" cm="1">
        <f t="array" ref="D250">IFERROR(_xlfn.LET(
_xlpm.CSVVal,_xlfn.XLOOKUP($A250,CSV!$A:$A,CSV!D:D,""),
_xlpm.MacVal,_xlfn.XLOOKUP($A250,Output_Mac!$A:$A,Output_Mac!C:C,""),
_xlpm.MyAuditVal,_xlfn.XLOOKUP($A250,My_Audit!$A:$A,My_Audit!C:C,""),
_xlfn.IFS(_xlpm.MyAuditVal&lt;&gt;"",_xlpm.MyAuditVal,_xlpm.MacVal&lt;&gt;"",_xlpm.MacVal,_xlpm.CSVVal&lt;&gt;"",_xlpm.CSVVal
)),"")</f>
        <v/>
      </c>
      <c r="E250" s="40">
        <f>_xlfn.XLOOKUP(A250,My_Audit!A:A,My_Audit!D:D,"")</f>
        <v>0</v>
      </c>
      <c r="F250" s="40" t="str" cm="1">
        <f t="array" ref="F250">IFERROR(_xlfn.LET(
_xlpm.CSVVal,_xlfn.XLOOKUP($A250,CSV!$A:$A,CSV!F:F,""),
_xlpm.MacVal,_xlfn.XLOOKUP($A250,Output_Mac!$A:$A,Output_Mac!E:E,""),
_xlpm.MyAuditVal,_xlfn.XLOOKUP($A250,My_Audit!$A:$A,My_Audit!E:E,""),
_xlfn.IFS(_xlpm.MyAuditVal&lt;&gt;"",_xlpm.MyAuditVal,_xlpm.MacVal&lt;&gt;"",_xlpm.MacVal,_xlpm.CSVVal&lt;&gt;"",_xlpm.CSVVal
)),"")</f>
        <v/>
      </c>
      <c r="G250" s="40" t="str" cm="1">
        <f t="array" ref="G250">IFERROR(_xlfn.LET(
_xlpm.CSVVal,_xlfn.XLOOKUP($A250,CSV!$A:$A,CSV!G:G,""),
_xlpm.MacVal,_xlfn.XLOOKUP($A250,Output_Mac!$A:$A,Output_Mac!F:F,""),
_xlpm.MyAuditVal,_xlfn.XLOOKUP($A250,My_Audit!$A:$A,My_Audit!F:F,""),
_xlfn.IFS(_xlpm.MyAuditVal&lt;&gt;"",_xlpm.MyAuditVal,_xlpm.MacVal&lt;&gt;"",_xlpm.MacVal,_xlpm.CSVVal&lt;&gt;"",PROPER(_xlpm.CSVVal)
)),"")</f>
        <v/>
      </c>
      <c r="H250" s="40" t="str" cm="1">
        <f t="array" ref="H250">IFERROR(_xlfn.LET(
_xlpm.CSVVal,_xlfn.XLOOKUP($A250,CSV!$A:$A,CSV!H:H,""),
_xlpm.MacVal,_xlfn.XLOOKUP($A250,Output_Mac!$A:$A,Output_Mac!H:H,""),
_xlpm.MyAuditVal,_xlfn.XLOOKUP($A250,My_Audit!$A:$A,My_Audit!G:G,""),
_xlfn.IFS(_xlpm.MyAuditVal&lt;&gt;"",_xlpm.MyAuditVal,_xlpm.MacVal&lt;&gt;"",_xlpm.MacVal,_xlpm.CSVVal&lt;&gt;"",_xlpm.CSVVal
)),"")</f>
        <v/>
      </c>
      <c r="I250" s="40" t="str">
        <f>_xlfn.XLOOKUP(A250,Output_Mac!A:A,Output_Mac!I:I,"")</f>
        <v/>
      </c>
      <c r="J250" s="40" t="str" cm="1">
        <f t="array" ref="J250">IFERROR(_xlfn.LET(
_xlpm.CSVVal,_xlfn.XLOOKUP($A250,CSV!$A:$A,CSV!I:I,""),
_xlpm.MacVal,_xlfn.XLOOKUP($A250,Output_Mac!$A:$A,Output_Mac!J:J,""),
_xlpm.MyAuditVal,_xlfn.XLOOKUP($A250,My_Audit!$A:$A,My_Audit!I:I,""),
_xlfn.IFS(_xlpm.MyAuditVal&lt;&gt;"",UPPER(_xlpm.MyAuditVal),_xlpm.MacVal&lt;&gt;"",_xlpm.MacVal,_xlpm.CSVVal&lt;&gt;"",_xlpm.CSVVal
)),"")</f>
        <v/>
      </c>
      <c r="K250" s="40" t="str" cm="1">
        <f t="array" ref="K250">IFERROR(_xlfn.LET(
_xlpm.CSVVal,_xlfn.XLOOKUP($A250,CSV!$A:$A,CSV!K:K,""),
_xlpm.MacVal,_xlfn.XLOOKUP($A250,Output_Mac!$A:$A,Output_Mac!K:K,""),
_xlpm.MyAuditVal,_xlfn.XLOOKUP($A250,My_Audit!$A:$A,My_Audit!J:J,""),
_xlfn.IFS(_xlpm.MyAuditVal&lt;&gt;"",UPPER(_xlpm.MyAuditVal),_xlpm.MacVal&lt;&gt;"",_xlpm.MacVal,_xlpm.CSVVal&lt;&gt;"",_xlpm.CSVVal
)),"")</f>
        <v/>
      </c>
      <c r="L250" s="40" t="str" cm="1">
        <f t="array" ref="L250">IFERROR(_xlfn.LET(
_xlpm.CSVVal,_xlfn.XLOOKUP($A250,CSV!$A:$A,CSV!P:P,""),
_xlpm.MacVal,_xlfn.XLOOKUP($A250,Output_Mac!$A:$A,Output_Mac!L:L,""),
_xlpm.MyAuditVal,_xlfn.XLOOKUP($A250,My_Audit!$A:$A,My_Audit!K:K,""),
_xlfn.IFS(_xlpm.MyAuditVal&lt;&gt;"",UPPER(_xlpm.MyAuditVal),_xlpm.MacVal&lt;&gt;"",_xlpm.MacVal,_xlpm.CSVVal&lt;&gt;"",_xlpm.CSVVal
)),"")</f>
        <v/>
      </c>
      <c r="M250" s="40" t="str" cm="1">
        <f t="array" ref="M250">IFERROR(_xlfn.LET(
_xlpm.CSVVal,_xlfn.XLOOKUP($A250,CSV!$A:$A,CSV!Q:Q,""),
_xlpm.MacVal,_xlfn.XLOOKUP($A250,Output_Mac!$A:$A,Output_Mac!M:M,""),
_xlpm.MyAuditVal,_xlfn.XLOOKUP($A250,My_Audit!$A:$A,My_Audit!L:L,""),
_xlfn.IFS(_xlpm.MyAuditVal&lt;&gt;"",UPPER(_xlpm.MyAuditVal),_xlpm.MacVal&lt;&gt;"",_xlpm.MacVal,_xlpm.CSVVal&lt;&gt;"",_xlpm.CSVVal
)),"")</f>
        <v/>
      </c>
      <c r="N250" s="40"/>
      <c r="O250" s="40" t="str">
        <f>_xlfn.LET(
    _xlpm.CSVVal, _xlfn.XLOOKUP($A250, CSV!$A:$A, CSV!AA:AA, ""),
    _xlpm.MacVal, _xlfn.XLOOKUP($A250, Output_Mac!$A:$A, Output_Mac!S:S, ""),
    _xlpm.MyAuditVal, _xlfn.XLOOKUP($A250, My_Audit!$A:$A, My_Audit!P:P, ""),
    _xlfn.TEXTJOIN(", ", TRUE, _xlpm.MyAuditVal, _xlpm.MacVal, _xlpm.CSVVal)
)</f>
        <v/>
      </c>
      <c r="P250" s="40" t="str" cm="1">
        <f t="array" ref="P250">IFERROR(_xlfn.LET(
_xlpm.CSVVal,_xlfn.XLOOKUP($A250,CSV!$A:$A,CSV!AB:AB,""),
_xlpm.MacVal,_xlfn.XLOOKUP($A250,Output_Mac!$A:$A,Output_Mac!T:T,""),
_xlpm.MyAuditVal,_xlfn.XLOOKUP($A250,My_Audit!$A:$A,My_Audit!Q:Q,""),
_xlfn.IFS(_xlpm.MyAuditVal&lt;&gt;"",UPPER(_xlpm.MyAuditVal),_xlpm.MacVal&lt;&gt;"",_xlpm.MacVal,_xlpm.CSVVal&lt;&gt;"",_xlpm.CSVVal
)),"No")</f>
        <v>No</v>
      </c>
      <c r="Q250" s="40" t="str" cm="1">
        <f t="array" ref="Q250">IFERROR(_xlfn.LET(
_xlpm.CSVVal,_xlfn.XLOOKUP($A250,CSV!$A:$A,CSV!AC:AC,""),
_xlpm.MacVal,_xlfn.XLOOKUP($A250,Output_Mac!$A:$A,Output_Mac!U:U,""),
_xlpm.MyAuditVal,_xlfn.XLOOKUP($A250,My_Audit!$A:$A,My_Audit!R:R,""),
_xlfn.IFS(_xlpm.MyAuditVal&lt;&gt;"",UPPER(_xlpm.MyAuditVal),_xlpm.MacVal&lt;&gt;"",_xlpm.MacVal,_xlpm.CSVVal&lt;&gt;"",_xlpm.CSVVal
)),"")</f>
        <v/>
      </c>
      <c r="R250" s="40"/>
      <c r="S250" s="40"/>
      <c r="T250" s="40"/>
      <c r="U250" s="40"/>
      <c r="V250" s="40"/>
      <c r="W250" s="40"/>
      <c r="X250" s="41" t="str">
        <f>_xlfn.LET(
    _xlpm.MacVal, _xlfn.XLOOKUP($A250, Output_Mac!$A:$A, Output_Mac!AB:AB, ""),
    _xlpm.MyAuditVal, _xlfn.XLOOKUP($A250, My_Audit!$A:$A, My_Audit!N:N, ""),
    _xlfn.TEXTJOIN(", ", TRUE, _xlpm.MyAuditVal, _xlpm.MacVal)
)</f>
        <v/>
      </c>
    </row>
    <row r="251" spans="1:24">
      <c r="A251" s="40" t="str">
        <f>_xlfn.TEXTJOIN("",TRUE,Input!$B$2,ROW(My_Audit!A250))</f>
        <v>X250</v>
      </c>
      <c r="B251" s="40" t="str">
        <f>_xlfn.TEXTJOIN("-",TRUE,"ITD",Input!$A$2,A251)</f>
        <v>ITD-X250</v>
      </c>
      <c r="C251" s="40" t="str" cm="1">
        <f t="array" ref="C251">IFERROR(_xlfn.LET(
_xlpm.CSVVal,_xlfn.XLOOKUP($A251,CSV!$A:$A,CSV!B:B,""),
_xlpm.MacVal,_xlfn.XLOOKUP($A251,Output_Mac!$A:$A,Output_Mac!B:B,""),
_xlpm.MyAuditVal,_xlfn.XLOOKUP($A251,My_Audit!$A:$A,My_Audit!B:B,""),
_xlfn.IFS(_xlpm.MyAuditVal&lt;&gt;"",UPPER(_xlpm.MyAuditVal),_xlpm.MacVal&lt;&gt;"",_xlpm.MacVal,_xlpm.CSVVal&lt;&gt;"",_xlpm.CSVVal
)),"")</f>
        <v/>
      </c>
      <c r="D251" s="40" t="str" cm="1">
        <f t="array" ref="D251">IFERROR(_xlfn.LET(
_xlpm.CSVVal,_xlfn.XLOOKUP($A251,CSV!$A:$A,CSV!D:D,""),
_xlpm.MacVal,_xlfn.XLOOKUP($A251,Output_Mac!$A:$A,Output_Mac!C:C,""),
_xlpm.MyAuditVal,_xlfn.XLOOKUP($A251,My_Audit!$A:$A,My_Audit!C:C,""),
_xlfn.IFS(_xlpm.MyAuditVal&lt;&gt;"",_xlpm.MyAuditVal,_xlpm.MacVal&lt;&gt;"",_xlpm.MacVal,_xlpm.CSVVal&lt;&gt;"",_xlpm.CSVVal
)),"")</f>
        <v/>
      </c>
      <c r="E251" s="40">
        <f>_xlfn.XLOOKUP(A251,My_Audit!A:A,My_Audit!D:D,"")</f>
        <v>0</v>
      </c>
      <c r="F251" s="40" t="str" cm="1">
        <f t="array" ref="F251">IFERROR(_xlfn.LET(
_xlpm.CSVVal,_xlfn.XLOOKUP($A251,CSV!$A:$A,CSV!F:F,""),
_xlpm.MacVal,_xlfn.XLOOKUP($A251,Output_Mac!$A:$A,Output_Mac!E:E,""),
_xlpm.MyAuditVal,_xlfn.XLOOKUP($A251,My_Audit!$A:$A,My_Audit!E:E,""),
_xlfn.IFS(_xlpm.MyAuditVal&lt;&gt;"",_xlpm.MyAuditVal,_xlpm.MacVal&lt;&gt;"",_xlpm.MacVal,_xlpm.CSVVal&lt;&gt;"",_xlpm.CSVVal
)),"")</f>
        <v/>
      </c>
      <c r="G251" s="40" t="str" cm="1">
        <f t="array" ref="G251">IFERROR(_xlfn.LET(
_xlpm.CSVVal,_xlfn.XLOOKUP($A251,CSV!$A:$A,CSV!G:G,""),
_xlpm.MacVal,_xlfn.XLOOKUP($A251,Output_Mac!$A:$A,Output_Mac!F:F,""),
_xlpm.MyAuditVal,_xlfn.XLOOKUP($A251,My_Audit!$A:$A,My_Audit!F:F,""),
_xlfn.IFS(_xlpm.MyAuditVal&lt;&gt;"",_xlpm.MyAuditVal,_xlpm.MacVal&lt;&gt;"",_xlpm.MacVal,_xlpm.CSVVal&lt;&gt;"",PROPER(_xlpm.CSVVal)
)),"")</f>
        <v/>
      </c>
      <c r="H251" s="40" t="str" cm="1">
        <f t="array" ref="H251">IFERROR(_xlfn.LET(
_xlpm.CSVVal,_xlfn.XLOOKUP($A251,CSV!$A:$A,CSV!H:H,""),
_xlpm.MacVal,_xlfn.XLOOKUP($A251,Output_Mac!$A:$A,Output_Mac!H:H,""),
_xlpm.MyAuditVal,_xlfn.XLOOKUP($A251,My_Audit!$A:$A,My_Audit!G:G,""),
_xlfn.IFS(_xlpm.MyAuditVal&lt;&gt;"",_xlpm.MyAuditVal,_xlpm.MacVal&lt;&gt;"",_xlpm.MacVal,_xlpm.CSVVal&lt;&gt;"",_xlpm.CSVVal
)),"")</f>
        <v/>
      </c>
      <c r="I251" s="40" t="str">
        <f>_xlfn.XLOOKUP(A251,Output_Mac!A:A,Output_Mac!I:I,"")</f>
        <v/>
      </c>
      <c r="J251" s="40" t="str" cm="1">
        <f t="array" ref="J251">IFERROR(_xlfn.LET(
_xlpm.CSVVal,_xlfn.XLOOKUP($A251,CSV!$A:$A,CSV!I:I,""),
_xlpm.MacVal,_xlfn.XLOOKUP($A251,Output_Mac!$A:$A,Output_Mac!J:J,""),
_xlpm.MyAuditVal,_xlfn.XLOOKUP($A251,My_Audit!$A:$A,My_Audit!I:I,""),
_xlfn.IFS(_xlpm.MyAuditVal&lt;&gt;"",UPPER(_xlpm.MyAuditVal),_xlpm.MacVal&lt;&gt;"",_xlpm.MacVal,_xlpm.CSVVal&lt;&gt;"",_xlpm.CSVVal
)),"")</f>
        <v/>
      </c>
      <c r="K251" s="40" t="str" cm="1">
        <f t="array" ref="K251">IFERROR(_xlfn.LET(
_xlpm.CSVVal,_xlfn.XLOOKUP($A251,CSV!$A:$A,CSV!K:K,""),
_xlpm.MacVal,_xlfn.XLOOKUP($A251,Output_Mac!$A:$A,Output_Mac!K:K,""),
_xlpm.MyAuditVal,_xlfn.XLOOKUP($A251,My_Audit!$A:$A,My_Audit!J:J,""),
_xlfn.IFS(_xlpm.MyAuditVal&lt;&gt;"",UPPER(_xlpm.MyAuditVal),_xlpm.MacVal&lt;&gt;"",_xlpm.MacVal,_xlpm.CSVVal&lt;&gt;"",_xlpm.CSVVal
)),"")</f>
        <v/>
      </c>
      <c r="L251" s="40" t="str" cm="1">
        <f t="array" ref="L251">IFERROR(_xlfn.LET(
_xlpm.CSVVal,_xlfn.XLOOKUP($A251,CSV!$A:$A,CSV!P:P,""),
_xlpm.MacVal,_xlfn.XLOOKUP($A251,Output_Mac!$A:$A,Output_Mac!L:L,""),
_xlpm.MyAuditVal,_xlfn.XLOOKUP($A251,My_Audit!$A:$A,My_Audit!K:K,""),
_xlfn.IFS(_xlpm.MyAuditVal&lt;&gt;"",UPPER(_xlpm.MyAuditVal),_xlpm.MacVal&lt;&gt;"",_xlpm.MacVal,_xlpm.CSVVal&lt;&gt;"",_xlpm.CSVVal
)),"")</f>
        <v/>
      </c>
      <c r="M251" s="40" t="str" cm="1">
        <f t="array" ref="M251">IFERROR(_xlfn.LET(
_xlpm.CSVVal,_xlfn.XLOOKUP($A251,CSV!$A:$A,CSV!Q:Q,""),
_xlpm.MacVal,_xlfn.XLOOKUP($A251,Output_Mac!$A:$A,Output_Mac!M:M,""),
_xlpm.MyAuditVal,_xlfn.XLOOKUP($A251,My_Audit!$A:$A,My_Audit!L:L,""),
_xlfn.IFS(_xlpm.MyAuditVal&lt;&gt;"",UPPER(_xlpm.MyAuditVal),_xlpm.MacVal&lt;&gt;"",_xlpm.MacVal,_xlpm.CSVVal&lt;&gt;"",_xlpm.CSVVal
)),"")</f>
        <v/>
      </c>
      <c r="N251" s="40"/>
      <c r="O251" s="40" t="str">
        <f>_xlfn.LET(
    _xlpm.CSVVal, _xlfn.XLOOKUP($A251, CSV!$A:$A, CSV!AA:AA, ""),
    _xlpm.MacVal, _xlfn.XLOOKUP($A251, Output_Mac!$A:$A, Output_Mac!S:S, ""),
    _xlpm.MyAuditVal, _xlfn.XLOOKUP($A251, My_Audit!$A:$A, My_Audit!P:P, ""),
    _xlfn.TEXTJOIN(", ", TRUE, _xlpm.MyAuditVal, _xlpm.MacVal, _xlpm.CSVVal)
)</f>
        <v/>
      </c>
      <c r="P251" s="40" t="str" cm="1">
        <f t="array" ref="P251">IFERROR(_xlfn.LET(
_xlpm.CSVVal,_xlfn.XLOOKUP($A251,CSV!$A:$A,CSV!AB:AB,""),
_xlpm.MacVal,_xlfn.XLOOKUP($A251,Output_Mac!$A:$A,Output_Mac!T:T,""),
_xlpm.MyAuditVal,_xlfn.XLOOKUP($A251,My_Audit!$A:$A,My_Audit!Q:Q,""),
_xlfn.IFS(_xlpm.MyAuditVal&lt;&gt;"",UPPER(_xlpm.MyAuditVal),_xlpm.MacVal&lt;&gt;"",_xlpm.MacVal,_xlpm.CSVVal&lt;&gt;"",_xlpm.CSVVal
)),"No")</f>
        <v>No</v>
      </c>
      <c r="Q251" s="40" t="str" cm="1">
        <f t="array" ref="Q251">IFERROR(_xlfn.LET(
_xlpm.CSVVal,_xlfn.XLOOKUP($A251,CSV!$A:$A,CSV!AC:AC,""),
_xlpm.MacVal,_xlfn.XLOOKUP($A251,Output_Mac!$A:$A,Output_Mac!U:U,""),
_xlpm.MyAuditVal,_xlfn.XLOOKUP($A251,My_Audit!$A:$A,My_Audit!R:R,""),
_xlfn.IFS(_xlpm.MyAuditVal&lt;&gt;"",UPPER(_xlpm.MyAuditVal),_xlpm.MacVal&lt;&gt;"",_xlpm.MacVal,_xlpm.CSVVal&lt;&gt;"",_xlpm.CSVVal
)),"")</f>
        <v/>
      </c>
      <c r="R251" s="40"/>
      <c r="S251" s="40"/>
      <c r="T251" s="40"/>
      <c r="U251" s="40"/>
      <c r="V251" s="40"/>
      <c r="W251" s="40"/>
      <c r="X251" s="41" t="str">
        <f>_xlfn.LET(
    _xlpm.MacVal, _xlfn.XLOOKUP($A251, Output_Mac!$A:$A, Output_Mac!AB:AB, ""),
    _xlpm.MyAuditVal, _xlfn.XLOOKUP($A251, My_Audit!$A:$A, My_Audit!N:N, ""),
    _xlfn.TEXTJOIN(", ", TRUE, _xlpm.MyAuditVal, _xlpm.MacVal)
)</f>
        <v/>
      </c>
    </row>
    <row r="252" spans="1:24">
      <c r="A252" s="40" t="str">
        <f>_xlfn.TEXTJOIN("",TRUE,Input!$B$2,ROW(My_Audit!A251))</f>
        <v>X251</v>
      </c>
      <c r="B252" s="40" t="str">
        <f>_xlfn.TEXTJOIN("-",TRUE,"ITD",Input!$A$2,A252)</f>
        <v>ITD-X251</v>
      </c>
      <c r="C252" s="40" t="str" cm="1">
        <f t="array" ref="C252">IFERROR(_xlfn.LET(
_xlpm.CSVVal,_xlfn.XLOOKUP($A252,CSV!$A:$A,CSV!B:B,""),
_xlpm.MacVal,_xlfn.XLOOKUP($A252,Output_Mac!$A:$A,Output_Mac!B:B,""),
_xlpm.MyAuditVal,_xlfn.XLOOKUP($A252,My_Audit!$A:$A,My_Audit!B:B,""),
_xlfn.IFS(_xlpm.MyAuditVal&lt;&gt;"",UPPER(_xlpm.MyAuditVal),_xlpm.MacVal&lt;&gt;"",_xlpm.MacVal,_xlpm.CSVVal&lt;&gt;"",_xlpm.CSVVal
)),"")</f>
        <v/>
      </c>
      <c r="D252" s="40" t="str" cm="1">
        <f t="array" ref="D252">IFERROR(_xlfn.LET(
_xlpm.CSVVal,_xlfn.XLOOKUP($A252,CSV!$A:$A,CSV!D:D,""),
_xlpm.MacVal,_xlfn.XLOOKUP($A252,Output_Mac!$A:$A,Output_Mac!C:C,""),
_xlpm.MyAuditVal,_xlfn.XLOOKUP($A252,My_Audit!$A:$A,My_Audit!C:C,""),
_xlfn.IFS(_xlpm.MyAuditVal&lt;&gt;"",_xlpm.MyAuditVal,_xlpm.MacVal&lt;&gt;"",_xlpm.MacVal,_xlpm.CSVVal&lt;&gt;"",_xlpm.CSVVal
)),"")</f>
        <v/>
      </c>
      <c r="E252" s="40">
        <f>_xlfn.XLOOKUP(A252,My_Audit!A:A,My_Audit!D:D,"")</f>
        <v>0</v>
      </c>
      <c r="F252" s="40" t="str" cm="1">
        <f t="array" ref="F252">IFERROR(_xlfn.LET(
_xlpm.CSVVal,_xlfn.XLOOKUP($A252,CSV!$A:$A,CSV!F:F,""),
_xlpm.MacVal,_xlfn.XLOOKUP($A252,Output_Mac!$A:$A,Output_Mac!E:E,""),
_xlpm.MyAuditVal,_xlfn.XLOOKUP($A252,My_Audit!$A:$A,My_Audit!E:E,""),
_xlfn.IFS(_xlpm.MyAuditVal&lt;&gt;"",_xlpm.MyAuditVal,_xlpm.MacVal&lt;&gt;"",_xlpm.MacVal,_xlpm.CSVVal&lt;&gt;"",_xlpm.CSVVal
)),"")</f>
        <v/>
      </c>
      <c r="G252" s="40" t="str" cm="1">
        <f t="array" ref="G252">IFERROR(_xlfn.LET(
_xlpm.CSVVal,_xlfn.XLOOKUP($A252,CSV!$A:$A,CSV!G:G,""),
_xlpm.MacVal,_xlfn.XLOOKUP($A252,Output_Mac!$A:$A,Output_Mac!F:F,""),
_xlpm.MyAuditVal,_xlfn.XLOOKUP($A252,My_Audit!$A:$A,My_Audit!F:F,""),
_xlfn.IFS(_xlpm.MyAuditVal&lt;&gt;"",_xlpm.MyAuditVal,_xlpm.MacVal&lt;&gt;"",_xlpm.MacVal,_xlpm.CSVVal&lt;&gt;"",PROPER(_xlpm.CSVVal)
)),"")</f>
        <v/>
      </c>
      <c r="H252" s="40" t="str" cm="1">
        <f t="array" ref="H252">IFERROR(_xlfn.LET(
_xlpm.CSVVal,_xlfn.XLOOKUP($A252,CSV!$A:$A,CSV!H:H,""),
_xlpm.MacVal,_xlfn.XLOOKUP($A252,Output_Mac!$A:$A,Output_Mac!H:H,""),
_xlpm.MyAuditVal,_xlfn.XLOOKUP($A252,My_Audit!$A:$A,My_Audit!G:G,""),
_xlfn.IFS(_xlpm.MyAuditVal&lt;&gt;"",_xlpm.MyAuditVal,_xlpm.MacVal&lt;&gt;"",_xlpm.MacVal,_xlpm.CSVVal&lt;&gt;"",_xlpm.CSVVal
)),"")</f>
        <v/>
      </c>
      <c r="I252" s="40" t="str">
        <f>_xlfn.XLOOKUP(A252,Output_Mac!A:A,Output_Mac!I:I,"")</f>
        <v/>
      </c>
      <c r="J252" s="40" t="str" cm="1">
        <f t="array" ref="J252">IFERROR(_xlfn.LET(
_xlpm.CSVVal,_xlfn.XLOOKUP($A252,CSV!$A:$A,CSV!I:I,""),
_xlpm.MacVal,_xlfn.XLOOKUP($A252,Output_Mac!$A:$A,Output_Mac!J:J,""),
_xlpm.MyAuditVal,_xlfn.XLOOKUP($A252,My_Audit!$A:$A,My_Audit!I:I,""),
_xlfn.IFS(_xlpm.MyAuditVal&lt;&gt;"",UPPER(_xlpm.MyAuditVal),_xlpm.MacVal&lt;&gt;"",_xlpm.MacVal,_xlpm.CSVVal&lt;&gt;"",_xlpm.CSVVal
)),"")</f>
        <v/>
      </c>
      <c r="K252" s="40" t="str" cm="1">
        <f t="array" ref="K252">IFERROR(_xlfn.LET(
_xlpm.CSVVal,_xlfn.XLOOKUP($A252,CSV!$A:$A,CSV!K:K,""),
_xlpm.MacVal,_xlfn.XLOOKUP($A252,Output_Mac!$A:$A,Output_Mac!K:K,""),
_xlpm.MyAuditVal,_xlfn.XLOOKUP($A252,My_Audit!$A:$A,My_Audit!J:J,""),
_xlfn.IFS(_xlpm.MyAuditVal&lt;&gt;"",UPPER(_xlpm.MyAuditVal),_xlpm.MacVal&lt;&gt;"",_xlpm.MacVal,_xlpm.CSVVal&lt;&gt;"",_xlpm.CSVVal
)),"")</f>
        <v/>
      </c>
      <c r="L252" s="40" t="str" cm="1">
        <f t="array" ref="L252">IFERROR(_xlfn.LET(
_xlpm.CSVVal,_xlfn.XLOOKUP($A252,CSV!$A:$A,CSV!P:P,""),
_xlpm.MacVal,_xlfn.XLOOKUP($A252,Output_Mac!$A:$A,Output_Mac!L:L,""),
_xlpm.MyAuditVal,_xlfn.XLOOKUP($A252,My_Audit!$A:$A,My_Audit!K:K,""),
_xlfn.IFS(_xlpm.MyAuditVal&lt;&gt;"",UPPER(_xlpm.MyAuditVal),_xlpm.MacVal&lt;&gt;"",_xlpm.MacVal,_xlpm.CSVVal&lt;&gt;"",_xlpm.CSVVal
)),"")</f>
        <v/>
      </c>
      <c r="M252" s="40" t="str" cm="1">
        <f t="array" ref="M252">IFERROR(_xlfn.LET(
_xlpm.CSVVal,_xlfn.XLOOKUP($A252,CSV!$A:$A,CSV!Q:Q,""),
_xlpm.MacVal,_xlfn.XLOOKUP($A252,Output_Mac!$A:$A,Output_Mac!M:M,""),
_xlpm.MyAuditVal,_xlfn.XLOOKUP($A252,My_Audit!$A:$A,My_Audit!L:L,""),
_xlfn.IFS(_xlpm.MyAuditVal&lt;&gt;"",UPPER(_xlpm.MyAuditVal),_xlpm.MacVal&lt;&gt;"",_xlpm.MacVal,_xlpm.CSVVal&lt;&gt;"",_xlpm.CSVVal
)),"")</f>
        <v/>
      </c>
      <c r="N252" s="40"/>
      <c r="O252" s="40" t="str">
        <f>_xlfn.LET(
    _xlpm.CSVVal, _xlfn.XLOOKUP($A252, CSV!$A:$A, CSV!AA:AA, ""),
    _xlpm.MacVal, _xlfn.XLOOKUP($A252, Output_Mac!$A:$A, Output_Mac!S:S, ""),
    _xlpm.MyAuditVal, _xlfn.XLOOKUP($A252, My_Audit!$A:$A, My_Audit!P:P, ""),
    _xlfn.TEXTJOIN(", ", TRUE, _xlpm.MyAuditVal, _xlpm.MacVal, _xlpm.CSVVal)
)</f>
        <v/>
      </c>
      <c r="P252" s="40" t="str" cm="1">
        <f t="array" ref="P252">IFERROR(_xlfn.LET(
_xlpm.CSVVal,_xlfn.XLOOKUP($A252,CSV!$A:$A,CSV!AB:AB,""),
_xlpm.MacVal,_xlfn.XLOOKUP($A252,Output_Mac!$A:$A,Output_Mac!T:T,""),
_xlpm.MyAuditVal,_xlfn.XLOOKUP($A252,My_Audit!$A:$A,My_Audit!Q:Q,""),
_xlfn.IFS(_xlpm.MyAuditVal&lt;&gt;"",UPPER(_xlpm.MyAuditVal),_xlpm.MacVal&lt;&gt;"",_xlpm.MacVal,_xlpm.CSVVal&lt;&gt;"",_xlpm.CSVVal
)),"No")</f>
        <v>No</v>
      </c>
      <c r="Q252" s="40" t="str" cm="1">
        <f t="array" ref="Q252">IFERROR(_xlfn.LET(
_xlpm.CSVVal,_xlfn.XLOOKUP($A252,CSV!$A:$A,CSV!AC:AC,""),
_xlpm.MacVal,_xlfn.XLOOKUP($A252,Output_Mac!$A:$A,Output_Mac!U:U,""),
_xlpm.MyAuditVal,_xlfn.XLOOKUP($A252,My_Audit!$A:$A,My_Audit!R:R,""),
_xlfn.IFS(_xlpm.MyAuditVal&lt;&gt;"",UPPER(_xlpm.MyAuditVal),_xlpm.MacVal&lt;&gt;"",_xlpm.MacVal,_xlpm.CSVVal&lt;&gt;"",_xlpm.CSVVal
)),"")</f>
        <v/>
      </c>
      <c r="R252" s="40"/>
      <c r="S252" s="40"/>
      <c r="T252" s="40"/>
      <c r="U252" s="40"/>
      <c r="V252" s="40"/>
      <c r="W252" s="40"/>
      <c r="X252" s="41" t="str">
        <f>_xlfn.LET(
    _xlpm.MacVal, _xlfn.XLOOKUP($A252, Output_Mac!$A:$A, Output_Mac!AB:AB, ""),
    _xlpm.MyAuditVal, _xlfn.XLOOKUP($A252, My_Audit!$A:$A, My_Audit!N:N, ""),
    _xlfn.TEXTJOIN(", ", TRUE, _xlpm.MyAuditVal, _xlpm.MacVal)
)</f>
        <v/>
      </c>
    </row>
    <row r="253" spans="1:24">
      <c r="A253" s="40" t="str">
        <f>_xlfn.TEXTJOIN("",TRUE,Input!$B$2,ROW(My_Audit!A252))</f>
        <v>X252</v>
      </c>
      <c r="B253" s="40" t="str">
        <f>_xlfn.TEXTJOIN("-",TRUE,"ITD",Input!$A$2,A253)</f>
        <v>ITD-X252</v>
      </c>
      <c r="C253" s="40" t="str" cm="1">
        <f t="array" ref="C253">IFERROR(_xlfn.LET(
_xlpm.CSVVal,_xlfn.XLOOKUP($A253,CSV!$A:$A,CSV!B:B,""),
_xlpm.MacVal,_xlfn.XLOOKUP($A253,Output_Mac!$A:$A,Output_Mac!B:B,""),
_xlpm.MyAuditVal,_xlfn.XLOOKUP($A253,My_Audit!$A:$A,My_Audit!B:B,""),
_xlfn.IFS(_xlpm.MyAuditVal&lt;&gt;"",UPPER(_xlpm.MyAuditVal),_xlpm.MacVal&lt;&gt;"",_xlpm.MacVal,_xlpm.CSVVal&lt;&gt;"",_xlpm.CSVVal
)),"")</f>
        <v/>
      </c>
      <c r="D253" s="40" t="str" cm="1">
        <f t="array" ref="D253">IFERROR(_xlfn.LET(
_xlpm.CSVVal,_xlfn.XLOOKUP($A253,CSV!$A:$A,CSV!D:D,""),
_xlpm.MacVal,_xlfn.XLOOKUP($A253,Output_Mac!$A:$A,Output_Mac!C:C,""),
_xlpm.MyAuditVal,_xlfn.XLOOKUP($A253,My_Audit!$A:$A,My_Audit!C:C,""),
_xlfn.IFS(_xlpm.MyAuditVal&lt;&gt;"",_xlpm.MyAuditVal,_xlpm.MacVal&lt;&gt;"",_xlpm.MacVal,_xlpm.CSVVal&lt;&gt;"",_xlpm.CSVVal
)),"")</f>
        <v/>
      </c>
      <c r="E253" s="40">
        <f>_xlfn.XLOOKUP(A253,My_Audit!A:A,My_Audit!D:D,"")</f>
        <v>0</v>
      </c>
      <c r="F253" s="40" t="str" cm="1">
        <f t="array" ref="F253">IFERROR(_xlfn.LET(
_xlpm.CSVVal,_xlfn.XLOOKUP($A253,CSV!$A:$A,CSV!F:F,""),
_xlpm.MacVal,_xlfn.XLOOKUP($A253,Output_Mac!$A:$A,Output_Mac!E:E,""),
_xlpm.MyAuditVal,_xlfn.XLOOKUP($A253,My_Audit!$A:$A,My_Audit!E:E,""),
_xlfn.IFS(_xlpm.MyAuditVal&lt;&gt;"",_xlpm.MyAuditVal,_xlpm.MacVal&lt;&gt;"",_xlpm.MacVal,_xlpm.CSVVal&lt;&gt;"",_xlpm.CSVVal
)),"")</f>
        <v/>
      </c>
      <c r="G253" s="40" t="str" cm="1">
        <f t="array" ref="G253">IFERROR(_xlfn.LET(
_xlpm.CSVVal,_xlfn.XLOOKUP($A253,CSV!$A:$A,CSV!G:G,""),
_xlpm.MacVal,_xlfn.XLOOKUP($A253,Output_Mac!$A:$A,Output_Mac!F:F,""),
_xlpm.MyAuditVal,_xlfn.XLOOKUP($A253,My_Audit!$A:$A,My_Audit!F:F,""),
_xlfn.IFS(_xlpm.MyAuditVal&lt;&gt;"",_xlpm.MyAuditVal,_xlpm.MacVal&lt;&gt;"",_xlpm.MacVal,_xlpm.CSVVal&lt;&gt;"",PROPER(_xlpm.CSVVal)
)),"")</f>
        <v/>
      </c>
      <c r="H253" s="40" t="str" cm="1">
        <f t="array" ref="H253">IFERROR(_xlfn.LET(
_xlpm.CSVVal,_xlfn.XLOOKUP($A253,CSV!$A:$A,CSV!H:H,""),
_xlpm.MacVal,_xlfn.XLOOKUP($A253,Output_Mac!$A:$A,Output_Mac!H:H,""),
_xlpm.MyAuditVal,_xlfn.XLOOKUP($A253,My_Audit!$A:$A,My_Audit!G:G,""),
_xlfn.IFS(_xlpm.MyAuditVal&lt;&gt;"",_xlpm.MyAuditVal,_xlpm.MacVal&lt;&gt;"",_xlpm.MacVal,_xlpm.CSVVal&lt;&gt;"",_xlpm.CSVVal
)),"")</f>
        <v/>
      </c>
      <c r="I253" s="40" t="str">
        <f>_xlfn.XLOOKUP(A253,Output_Mac!A:A,Output_Mac!I:I,"")</f>
        <v/>
      </c>
      <c r="J253" s="40" t="str" cm="1">
        <f t="array" ref="J253">IFERROR(_xlfn.LET(
_xlpm.CSVVal,_xlfn.XLOOKUP($A253,CSV!$A:$A,CSV!I:I,""),
_xlpm.MacVal,_xlfn.XLOOKUP($A253,Output_Mac!$A:$A,Output_Mac!J:J,""),
_xlpm.MyAuditVal,_xlfn.XLOOKUP($A253,My_Audit!$A:$A,My_Audit!I:I,""),
_xlfn.IFS(_xlpm.MyAuditVal&lt;&gt;"",UPPER(_xlpm.MyAuditVal),_xlpm.MacVal&lt;&gt;"",_xlpm.MacVal,_xlpm.CSVVal&lt;&gt;"",_xlpm.CSVVal
)),"")</f>
        <v/>
      </c>
      <c r="K253" s="40" t="str" cm="1">
        <f t="array" ref="K253">IFERROR(_xlfn.LET(
_xlpm.CSVVal,_xlfn.XLOOKUP($A253,CSV!$A:$A,CSV!K:K,""),
_xlpm.MacVal,_xlfn.XLOOKUP($A253,Output_Mac!$A:$A,Output_Mac!K:K,""),
_xlpm.MyAuditVal,_xlfn.XLOOKUP($A253,My_Audit!$A:$A,My_Audit!J:J,""),
_xlfn.IFS(_xlpm.MyAuditVal&lt;&gt;"",UPPER(_xlpm.MyAuditVal),_xlpm.MacVal&lt;&gt;"",_xlpm.MacVal,_xlpm.CSVVal&lt;&gt;"",_xlpm.CSVVal
)),"")</f>
        <v/>
      </c>
      <c r="L253" s="40" t="str" cm="1">
        <f t="array" ref="L253">IFERROR(_xlfn.LET(
_xlpm.CSVVal,_xlfn.XLOOKUP($A253,CSV!$A:$A,CSV!P:P,""),
_xlpm.MacVal,_xlfn.XLOOKUP($A253,Output_Mac!$A:$A,Output_Mac!L:L,""),
_xlpm.MyAuditVal,_xlfn.XLOOKUP($A253,My_Audit!$A:$A,My_Audit!K:K,""),
_xlfn.IFS(_xlpm.MyAuditVal&lt;&gt;"",UPPER(_xlpm.MyAuditVal),_xlpm.MacVal&lt;&gt;"",_xlpm.MacVal,_xlpm.CSVVal&lt;&gt;"",_xlpm.CSVVal
)),"")</f>
        <v/>
      </c>
      <c r="M253" s="40" t="str" cm="1">
        <f t="array" ref="M253">IFERROR(_xlfn.LET(
_xlpm.CSVVal,_xlfn.XLOOKUP($A253,CSV!$A:$A,CSV!Q:Q,""),
_xlpm.MacVal,_xlfn.XLOOKUP($A253,Output_Mac!$A:$A,Output_Mac!M:M,""),
_xlpm.MyAuditVal,_xlfn.XLOOKUP($A253,My_Audit!$A:$A,My_Audit!L:L,""),
_xlfn.IFS(_xlpm.MyAuditVal&lt;&gt;"",UPPER(_xlpm.MyAuditVal),_xlpm.MacVal&lt;&gt;"",_xlpm.MacVal,_xlpm.CSVVal&lt;&gt;"",_xlpm.CSVVal
)),"")</f>
        <v/>
      </c>
      <c r="N253" s="40"/>
      <c r="O253" s="40" t="str">
        <f>_xlfn.LET(
    _xlpm.CSVVal, _xlfn.XLOOKUP($A253, CSV!$A:$A, CSV!AA:AA, ""),
    _xlpm.MacVal, _xlfn.XLOOKUP($A253, Output_Mac!$A:$A, Output_Mac!S:S, ""),
    _xlpm.MyAuditVal, _xlfn.XLOOKUP($A253, My_Audit!$A:$A, My_Audit!P:P, ""),
    _xlfn.TEXTJOIN(", ", TRUE, _xlpm.MyAuditVal, _xlpm.MacVal, _xlpm.CSVVal)
)</f>
        <v/>
      </c>
      <c r="P253" s="40" t="str" cm="1">
        <f t="array" ref="P253">IFERROR(_xlfn.LET(
_xlpm.CSVVal,_xlfn.XLOOKUP($A253,CSV!$A:$A,CSV!AB:AB,""),
_xlpm.MacVal,_xlfn.XLOOKUP($A253,Output_Mac!$A:$A,Output_Mac!T:T,""),
_xlpm.MyAuditVal,_xlfn.XLOOKUP($A253,My_Audit!$A:$A,My_Audit!Q:Q,""),
_xlfn.IFS(_xlpm.MyAuditVal&lt;&gt;"",UPPER(_xlpm.MyAuditVal),_xlpm.MacVal&lt;&gt;"",_xlpm.MacVal,_xlpm.CSVVal&lt;&gt;"",_xlpm.CSVVal
)),"No")</f>
        <v>No</v>
      </c>
      <c r="Q253" s="40" t="str" cm="1">
        <f t="array" ref="Q253">IFERROR(_xlfn.LET(
_xlpm.CSVVal,_xlfn.XLOOKUP($A253,CSV!$A:$A,CSV!AC:AC,""),
_xlpm.MacVal,_xlfn.XLOOKUP($A253,Output_Mac!$A:$A,Output_Mac!U:U,""),
_xlpm.MyAuditVal,_xlfn.XLOOKUP($A253,My_Audit!$A:$A,My_Audit!R:R,""),
_xlfn.IFS(_xlpm.MyAuditVal&lt;&gt;"",UPPER(_xlpm.MyAuditVal),_xlpm.MacVal&lt;&gt;"",_xlpm.MacVal,_xlpm.CSVVal&lt;&gt;"",_xlpm.CSVVal
)),"")</f>
        <v/>
      </c>
      <c r="R253" s="40"/>
      <c r="S253" s="40"/>
      <c r="T253" s="40"/>
      <c r="U253" s="40"/>
      <c r="V253" s="40"/>
      <c r="W253" s="40"/>
      <c r="X253" s="41" t="str">
        <f>_xlfn.LET(
    _xlpm.MacVal, _xlfn.XLOOKUP($A253, Output_Mac!$A:$A, Output_Mac!AB:AB, ""),
    _xlpm.MyAuditVal, _xlfn.XLOOKUP($A253, My_Audit!$A:$A, My_Audit!N:N, ""),
    _xlfn.TEXTJOIN(", ", TRUE, _xlpm.MyAuditVal, _xlpm.MacVal)
)</f>
        <v/>
      </c>
    </row>
    <row r="254" spans="1:24">
      <c r="A254" s="40" t="str">
        <f>_xlfn.TEXTJOIN("",TRUE,Input!$B$2,ROW(My_Audit!A253))</f>
        <v>X253</v>
      </c>
      <c r="B254" s="40" t="str">
        <f>_xlfn.TEXTJOIN("-",TRUE,"ITD",Input!$A$2,A254)</f>
        <v>ITD-X253</v>
      </c>
      <c r="C254" s="40" t="str" cm="1">
        <f t="array" ref="C254">IFERROR(_xlfn.LET(
_xlpm.CSVVal,_xlfn.XLOOKUP($A254,CSV!$A:$A,CSV!B:B,""),
_xlpm.MacVal,_xlfn.XLOOKUP($A254,Output_Mac!$A:$A,Output_Mac!B:B,""),
_xlpm.MyAuditVal,_xlfn.XLOOKUP($A254,My_Audit!$A:$A,My_Audit!B:B,""),
_xlfn.IFS(_xlpm.MyAuditVal&lt;&gt;"",UPPER(_xlpm.MyAuditVal),_xlpm.MacVal&lt;&gt;"",_xlpm.MacVal,_xlpm.CSVVal&lt;&gt;"",_xlpm.CSVVal
)),"")</f>
        <v/>
      </c>
      <c r="D254" s="40" t="str" cm="1">
        <f t="array" ref="D254">IFERROR(_xlfn.LET(
_xlpm.CSVVal,_xlfn.XLOOKUP($A254,CSV!$A:$A,CSV!D:D,""),
_xlpm.MacVal,_xlfn.XLOOKUP($A254,Output_Mac!$A:$A,Output_Mac!C:C,""),
_xlpm.MyAuditVal,_xlfn.XLOOKUP($A254,My_Audit!$A:$A,My_Audit!C:C,""),
_xlfn.IFS(_xlpm.MyAuditVal&lt;&gt;"",_xlpm.MyAuditVal,_xlpm.MacVal&lt;&gt;"",_xlpm.MacVal,_xlpm.CSVVal&lt;&gt;"",_xlpm.CSVVal
)),"")</f>
        <v/>
      </c>
      <c r="E254" s="40">
        <f>_xlfn.XLOOKUP(A254,My_Audit!A:A,My_Audit!D:D,"")</f>
        <v>0</v>
      </c>
      <c r="F254" s="40" t="str" cm="1">
        <f t="array" ref="F254">IFERROR(_xlfn.LET(
_xlpm.CSVVal,_xlfn.XLOOKUP($A254,CSV!$A:$A,CSV!F:F,""),
_xlpm.MacVal,_xlfn.XLOOKUP($A254,Output_Mac!$A:$A,Output_Mac!E:E,""),
_xlpm.MyAuditVal,_xlfn.XLOOKUP($A254,My_Audit!$A:$A,My_Audit!E:E,""),
_xlfn.IFS(_xlpm.MyAuditVal&lt;&gt;"",_xlpm.MyAuditVal,_xlpm.MacVal&lt;&gt;"",_xlpm.MacVal,_xlpm.CSVVal&lt;&gt;"",_xlpm.CSVVal
)),"")</f>
        <v/>
      </c>
      <c r="G254" s="40" t="str" cm="1">
        <f t="array" ref="G254">IFERROR(_xlfn.LET(
_xlpm.CSVVal,_xlfn.XLOOKUP($A254,CSV!$A:$A,CSV!G:G,""),
_xlpm.MacVal,_xlfn.XLOOKUP($A254,Output_Mac!$A:$A,Output_Mac!F:F,""),
_xlpm.MyAuditVal,_xlfn.XLOOKUP($A254,My_Audit!$A:$A,My_Audit!F:F,""),
_xlfn.IFS(_xlpm.MyAuditVal&lt;&gt;"",_xlpm.MyAuditVal,_xlpm.MacVal&lt;&gt;"",_xlpm.MacVal,_xlpm.CSVVal&lt;&gt;"",PROPER(_xlpm.CSVVal)
)),"")</f>
        <v/>
      </c>
      <c r="H254" s="40" t="str" cm="1">
        <f t="array" ref="H254">IFERROR(_xlfn.LET(
_xlpm.CSVVal,_xlfn.XLOOKUP($A254,CSV!$A:$A,CSV!H:H,""),
_xlpm.MacVal,_xlfn.XLOOKUP($A254,Output_Mac!$A:$A,Output_Mac!H:H,""),
_xlpm.MyAuditVal,_xlfn.XLOOKUP($A254,My_Audit!$A:$A,My_Audit!G:G,""),
_xlfn.IFS(_xlpm.MyAuditVal&lt;&gt;"",_xlpm.MyAuditVal,_xlpm.MacVal&lt;&gt;"",_xlpm.MacVal,_xlpm.CSVVal&lt;&gt;"",_xlpm.CSVVal
)),"")</f>
        <v/>
      </c>
      <c r="I254" s="40" t="str">
        <f>_xlfn.XLOOKUP(A254,Output_Mac!A:A,Output_Mac!I:I,"")</f>
        <v/>
      </c>
      <c r="J254" s="40" t="str" cm="1">
        <f t="array" ref="J254">IFERROR(_xlfn.LET(
_xlpm.CSVVal,_xlfn.XLOOKUP($A254,CSV!$A:$A,CSV!I:I,""),
_xlpm.MacVal,_xlfn.XLOOKUP($A254,Output_Mac!$A:$A,Output_Mac!J:J,""),
_xlpm.MyAuditVal,_xlfn.XLOOKUP($A254,My_Audit!$A:$A,My_Audit!I:I,""),
_xlfn.IFS(_xlpm.MyAuditVal&lt;&gt;"",UPPER(_xlpm.MyAuditVal),_xlpm.MacVal&lt;&gt;"",_xlpm.MacVal,_xlpm.CSVVal&lt;&gt;"",_xlpm.CSVVal
)),"")</f>
        <v/>
      </c>
      <c r="K254" s="40" t="str" cm="1">
        <f t="array" ref="K254">IFERROR(_xlfn.LET(
_xlpm.CSVVal,_xlfn.XLOOKUP($A254,CSV!$A:$A,CSV!K:K,""),
_xlpm.MacVal,_xlfn.XLOOKUP($A254,Output_Mac!$A:$A,Output_Mac!K:K,""),
_xlpm.MyAuditVal,_xlfn.XLOOKUP($A254,My_Audit!$A:$A,My_Audit!J:J,""),
_xlfn.IFS(_xlpm.MyAuditVal&lt;&gt;"",UPPER(_xlpm.MyAuditVal),_xlpm.MacVal&lt;&gt;"",_xlpm.MacVal,_xlpm.CSVVal&lt;&gt;"",_xlpm.CSVVal
)),"")</f>
        <v/>
      </c>
      <c r="L254" s="40" t="str" cm="1">
        <f t="array" ref="L254">IFERROR(_xlfn.LET(
_xlpm.CSVVal,_xlfn.XLOOKUP($A254,CSV!$A:$A,CSV!P:P,""),
_xlpm.MacVal,_xlfn.XLOOKUP($A254,Output_Mac!$A:$A,Output_Mac!L:L,""),
_xlpm.MyAuditVal,_xlfn.XLOOKUP($A254,My_Audit!$A:$A,My_Audit!K:K,""),
_xlfn.IFS(_xlpm.MyAuditVal&lt;&gt;"",UPPER(_xlpm.MyAuditVal),_xlpm.MacVal&lt;&gt;"",_xlpm.MacVal,_xlpm.CSVVal&lt;&gt;"",_xlpm.CSVVal
)),"")</f>
        <v/>
      </c>
      <c r="M254" s="40" t="str" cm="1">
        <f t="array" ref="M254">IFERROR(_xlfn.LET(
_xlpm.CSVVal,_xlfn.XLOOKUP($A254,CSV!$A:$A,CSV!Q:Q,""),
_xlpm.MacVal,_xlfn.XLOOKUP($A254,Output_Mac!$A:$A,Output_Mac!M:M,""),
_xlpm.MyAuditVal,_xlfn.XLOOKUP($A254,My_Audit!$A:$A,My_Audit!L:L,""),
_xlfn.IFS(_xlpm.MyAuditVal&lt;&gt;"",UPPER(_xlpm.MyAuditVal),_xlpm.MacVal&lt;&gt;"",_xlpm.MacVal,_xlpm.CSVVal&lt;&gt;"",_xlpm.CSVVal
)),"")</f>
        <v/>
      </c>
      <c r="N254" s="40"/>
      <c r="O254" s="40" t="str">
        <f>_xlfn.LET(
    _xlpm.CSVVal, _xlfn.XLOOKUP($A254, CSV!$A:$A, CSV!AA:AA, ""),
    _xlpm.MacVal, _xlfn.XLOOKUP($A254, Output_Mac!$A:$A, Output_Mac!S:S, ""),
    _xlpm.MyAuditVal, _xlfn.XLOOKUP($A254, My_Audit!$A:$A, My_Audit!P:P, ""),
    _xlfn.TEXTJOIN(", ", TRUE, _xlpm.MyAuditVal, _xlpm.MacVal, _xlpm.CSVVal)
)</f>
        <v/>
      </c>
      <c r="P254" s="40" t="str" cm="1">
        <f t="array" ref="P254">IFERROR(_xlfn.LET(
_xlpm.CSVVal,_xlfn.XLOOKUP($A254,CSV!$A:$A,CSV!AB:AB,""),
_xlpm.MacVal,_xlfn.XLOOKUP($A254,Output_Mac!$A:$A,Output_Mac!T:T,""),
_xlpm.MyAuditVal,_xlfn.XLOOKUP($A254,My_Audit!$A:$A,My_Audit!Q:Q,""),
_xlfn.IFS(_xlpm.MyAuditVal&lt;&gt;"",UPPER(_xlpm.MyAuditVal),_xlpm.MacVal&lt;&gt;"",_xlpm.MacVal,_xlpm.CSVVal&lt;&gt;"",_xlpm.CSVVal
)),"No")</f>
        <v>No</v>
      </c>
      <c r="Q254" s="40" t="str" cm="1">
        <f t="array" ref="Q254">IFERROR(_xlfn.LET(
_xlpm.CSVVal,_xlfn.XLOOKUP($A254,CSV!$A:$A,CSV!AC:AC,""),
_xlpm.MacVal,_xlfn.XLOOKUP($A254,Output_Mac!$A:$A,Output_Mac!U:U,""),
_xlpm.MyAuditVal,_xlfn.XLOOKUP($A254,My_Audit!$A:$A,My_Audit!R:R,""),
_xlfn.IFS(_xlpm.MyAuditVal&lt;&gt;"",UPPER(_xlpm.MyAuditVal),_xlpm.MacVal&lt;&gt;"",_xlpm.MacVal,_xlpm.CSVVal&lt;&gt;"",_xlpm.CSVVal
)),"")</f>
        <v/>
      </c>
      <c r="R254" s="40"/>
      <c r="S254" s="40"/>
      <c r="T254" s="40"/>
      <c r="U254" s="40"/>
      <c r="V254" s="40"/>
      <c r="W254" s="40"/>
      <c r="X254" s="41" t="str">
        <f>_xlfn.LET(
    _xlpm.MacVal, _xlfn.XLOOKUP($A254, Output_Mac!$A:$A, Output_Mac!AB:AB, ""),
    _xlpm.MyAuditVal, _xlfn.XLOOKUP($A254, My_Audit!$A:$A, My_Audit!N:N, ""),
    _xlfn.TEXTJOIN(", ", TRUE, _xlpm.MyAuditVal, _xlpm.MacVal)
)</f>
        <v/>
      </c>
    </row>
    <row r="255" spans="1:24">
      <c r="A255" s="40" t="str">
        <f>_xlfn.TEXTJOIN("",TRUE,Input!$B$2,ROW(My_Audit!A254))</f>
        <v>X254</v>
      </c>
      <c r="B255" s="40" t="str">
        <f>_xlfn.TEXTJOIN("-",TRUE,"ITD",Input!$A$2,A255)</f>
        <v>ITD-X254</v>
      </c>
      <c r="C255" s="40" t="str" cm="1">
        <f t="array" ref="C255">IFERROR(_xlfn.LET(
_xlpm.CSVVal,_xlfn.XLOOKUP($A255,CSV!$A:$A,CSV!B:B,""),
_xlpm.MacVal,_xlfn.XLOOKUP($A255,Output_Mac!$A:$A,Output_Mac!B:B,""),
_xlpm.MyAuditVal,_xlfn.XLOOKUP($A255,My_Audit!$A:$A,My_Audit!B:B,""),
_xlfn.IFS(_xlpm.MyAuditVal&lt;&gt;"",UPPER(_xlpm.MyAuditVal),_xlpm.MacVal&lt;&gt;"",_xlpm.MacVal,_xlpm.CSVVal&lt;&gt;"",_xlpm.CSVVal
)),"")</f>
        <v/>
      </c>
      <c r="D255" s="40" t="str" cm="1">
        <f t="array" ref="D255">IFERROR(_xlfn.LET(
_xlpm.CSVVal,_xlfn.XLOOKUP($A255,CSV!$A:$A,CSV!D:D,""),
_xlpm.MacVal,_xlfn.XLOOKUP($A255,Output_Mac!$A:$A,Output_Mac!C:C,""),
_xlpm.MyAuditVal,_xlfn.XLOOKUP($A255,My_Audit!$A:$A,My_Audit!C:C,""),
_xlfn.IFS(_xlpm.MyAuditVal&lt;&gt;"",_xlpm.MyAuditVal,_xlpm.MacVal&lt;&gt;"",_xlpm.MacVal,_xlpm.CSVVal&lt;&gt;"",_xlpm.CSVVal
)),"")</f>
        <v/>
      </c>
      <c r="E255" s="40">
        <f>_xlfn.XLOOKUP(A255,My_Audit!A:A,My_Audit!D:D,"")</f>
        <v>0</v>
      </c>
      <c r="F255" s="40" t="str" cm="1">
        <f t="array" ref="F255">IFERROR(_xlfn.LET(
_xlpm.CSVVal,_xlfn.XLOOKUP($A255,CSV!$A:$A,CSV!F:F,""),
_xlpm.MacVal,_xlfn.XLOOKUP($A255,Output_Mac!$A:$A,Output_Mac!E:E,""),
_xlpm.MyAuditVal,_xlfn.XLOOKUP($A255,My_Audit!$A:$A,My_Audit!E:E,""),
_xlfn.IFS(_xlpm.MyAuditVal&lt;&gt;"",_xlpm.MyAuditVal,_xlpm.MacVal&lt;&gt;"",_xlpm.MacVal,_xlpm.CSVVal&lt;&gt;"",_xlpm.CSVVal
)),"")</f>
        <v/>
      </c>
      <c r="G255" s="40" t="str" cm="1">
        <f t="array" ref="G255">IFERROR(_xlfn.LET(
_xlpm.CSVVal,_xlfn.XLOOKUP($A255,CSV!$A:$A,CSV!G:G,""),
_xlpm.MacVal,_xlfn.XLOOKUP($A255,Output_Mac!$A:$A,Output_Mac!F:F,""),
_xlpm.MyAuditVal,_xlfn.XLOOKUP($A255,My_Audit!$A:$A,My_Audit!F:F,""),
_xlfn.IFS(_xlpm.MyAuditVal&lt;&gt;"",_xlpm.MyAuditVal,_xlpm.MacVal&lt;&gt;"",_xlpm.MacVal,_xlpm.CSVVal&lt;&gt;"",PROPER(_xlpm.CSVVal)
)),"")</f>
        <v/>
      </c>
      <c r="H255" s="40" t="str" cm="1">
        <f t="array" ref="H255">IFERROR(_xlfn.LET(
_xlpm.CSVVal,_xlfn.XLOOKUP($A255,CSV!$A:$A,CSV!H:H,""),
_xlpm.MacVal,_xlfn.XLOOKUP($A255,Output_Mac!$A:$A,Output_Mac!H:H,""),
_xlpm.MyAuditVal,_xlfn.XLOOKUP($A255,My_Audit!$A:$A,My_Audit!G:G,""),
_xlfn.IFS(_xlpm.MyAuditVal&lt;&gt;"",_xlpm.MyAuditVal,_xlpm.MacVal&lt;&gt;"",_xlpm.MacVal,_xlpm.CSVVal&lt;&gt;"",_xlpm.CSVVal
)),"")</f>
        <v/>
      </c>
      <c r="I255" s="40" t="str">
        <f>_xlfn.XLOOKUP(A255,Output_Mac!A:A,Output_Mac!I:I,"")</f>
        <v/>
      </c>
      <c r="J255" s="40" t="str" cm="1">
        <f t="array" ref="J255">IFERROR(_xlfn.LET(
_xlpm.CSVVal,_xlfn.XLOOKUP($A255,CSV!$A:$A,CSV!I:I,""),
_xlpm.MacVal,_xlfn.XLOOKUP($A255,Output_Mac!$A:$A,Output_Mac!J:J,""),
_xlpm.MyAuditVal,_xlfn.XLOOKUP($A255,My_Audit!$A:$A,My_Audit!I:I,""),
_xlfn.IFS(_xlpm.MyAuditVal&lt;&gt;"",UPPER(_xlpm.MyAuditVal),_xlpm.MacVal&lt;&gt;"",_xlpm.MacVal,_xlpm.CSVVal&lt;&gt;"",_xlpm.CSVVal
)),"")</f>
        <v/>
      </c>
      <c r="K255" s="40" t="str" cm="1">
        <f t="array" ref="K255">IFERROR(_xlfn.LET(
_xlpm.CSVVal,_xlfn.XLOOKUP($A255,CSV!$A:$A,CSV!K:K,""),
_xlpm.MacVal,_xlfn.XLOOKUP($A255,Output_Mac!$A:$A,Output_Mac!K:K,""),
_xlpm.MyAuditVal,_xlfn.XLOOKUP($A255,My_Audit!$A:$A,My_Audit!J:J,""),
_xlfn.IFS(_xlpm.MyAuditVal&lt;&gt;"",UPPER(_xlpm.MyAuditVal),_xlpm.MacVal&lt;&gt;"",_xlpm.MacVal,_xlpm.CSVVal&lt;&gt;"",_xlpm.CSVVal
)),"")</f>
        <v/>
      </c>
      <c r="L255" s="40" t="str" cm="1">
        <f t="array" ref="L255">IFERROR(_xlfn.LET(
_xlpm.CSVVal,_xlfn.XLOOKUP($A255,CSV!$A:$A,CSV!P:P,""),
_xlpm.MacVal,_xlfn.XLOOKUP($A255,Output_Mac!$A:$A,Output_Mac!L:L,""),
_xlpm.MyAuditVal,_xlfn.XLOOKUP($A255,My_Audit!$A:$A,My_Audit!K:K,""),
_xlfn.IFS(_xlpm.MyAuditVal&lt;&gt;"",UPPER(_xlpm.MyAuditVal),_xlpm.MacVal&lt;&gt;"",_xlpm.MacVal,_xlpm.CSVVal&lt;&gt;"",_xlpm.CSVVal
)),"")</f>
        <v/>
      </c>
      <c r="M255" s="40" t="str" cm="1">
        <f t="array" ref="M255">IFERROR(_xlfn.LET(
_xlpm.CSVVal,_xlfn.XLOOKUP($A255,CSV!$A:$A,CSV!Q:Q,""),
_xlpm.MacVal,_xlfn.XLOOKUP($A255,Output_Mac!$A:$A,Output_Mac!M:M,""),
_xlpm.MyAuditVal,_xlfn.XLOOKUP($A255,My_Audit!$A:$A,My_Audit!L:L,""),
_xlfn.IFS(_xlpm.MyAuditVal&lt;&gt;"",UPPER(_xlpm.MyAuditVal),_xlpm.MacVal&lt;&gt;"",_xlpm.MacVal,_xlpm.CSVVal&lt;&gt;"",_xlpm.CSVVal
)),"")</f>
        <v/>
      </c>
      <c r="N255" s="40"/>
      <c r="O255" s="40" t="str">
        <f>_xlfn.LET(
    _xlpm.CSVVal, _xlfn.XLOOKUP($A255, CSV!$A:$A, CSV!AA:AA, ""),
    _xlpm.MacVal, _xlfn.XLOOKUP($A255, Output_Mac!$A:$A, Output_Mac!S:S, ""),
    _xlpm.MyAuditVal, _xlfn.XLOOKUP($A255, My_Audit!$A:$A, My_Audit!P:P, ""),
    _xlfn.TEXTJOIN(", ", TRUE, _xlpm.MyAuditVal, _xlpm.MacVal, _xlpm.CSVVal)
)</f>
        <v/>
      </c>
      <c r="P255" s="40" t="str" cm="1">
        <f t="array" ref="P255">IFERROR(_xlfn.LET(
_xlpm.CSVVal,_xlfn.XLOOKUP($A255,CSV!$A:$A,CSV!AB:AB,""),
_xlpm.MacVal,_xlfn.XLOOKUP($A255,Output_Mac!$A:$A,Output_Mac!T:T,""),
_xlpm.MyAuditVal,_xlfn.XLOOKUP($A255,My_Audit!$A:$A,My_Audit!Q:Q,""),
_xlfn.IFS(_xlpm.MyAuditVal&lt;&gt;"",UPPER(_xlpm.MyAuditVal),_xlpm.MacVal&lt;&gt;"",_xlpm.MacVal,_xlpm.CSVVal&lt;&gt;"",_xlpm.CSVVal
)),"No")</f>
        <v>No</v>
      </c>
      <c r="Q255" s="40" t="str" cm="1">
        <f t="array" ref="Q255">IFERROR(_xlfn.LET(
_xlpm.CSVVal,_xlfn.XLOOKUP($A255,CSV!$A:$A,CSV!AC:AC,""),
_xlpm.MacVal,_xlfn.XLOOKUP($A255,Output_Mac!$A:$A,Output_Mac!U:U,""),
_xlpm.MyAuditVal,_xlfn.XLOOKUP($A255,My_Audit!$A:$A,My_Audit!R:R,""),
_xlfn.IFS(_xlpm.MyAuditVal&lt;&gt;"",UPPER(_xlpm.MyAuditVal),_xlpm.MacVal&lt;&gt;"",_xlpm.MacVal,_xlpm.CSVVal&lt;&gt;"",_xlpm.CSVVal
)),"")</f>
        <v/>
      </c>
      <c r="R255" s="40"/>
      <c r="S255" s="40"/>
      <c r="T255" s="40"/>
      <c r="U255" s="40"/>
      <c r="V255" s="40"/>
      <c r="W255" s="40"/>
      <c r="X255" s="41" t="str">
        <f>_xlfn.LET(
    _xlpm.MacVal, _xlfn.XLOOKUP($A255, Output_Mac!$A:$A, Output_Mac!AB:AB, ""),
    _xlpm.MyAuditVal, _xlfn.XLOOKUP($A255, My_Audit!$A:$A, My_Audit!N:N, ""),
    _xlfn.TEXTJOIN(", ", TRUE, _xlpm.MyAuditVal, _xlpm.MacVal)
)</f>
        <v/>
      </c>
    </row>
    <row r="256" spans="1:24">
      <c r="A256" s="40" t="str">
        <f>_xlfn.TEXTJOIN("",TRUE,Input!$B$2,ROW(My_Audit!A255))</f>
        <v>X255</v>
      </c>
      <c r="B256" s="40" t="str">
        <f>_xlfn.TEXTJOIN("-",TRUE,"ITD",Input!$A$2,A256)</f>
        <v>ITD-X255</v>
      </c>
      <c r="C256" s="40" t="str" cm="1">
        <f t="array" ref="C256">IFERROR(_xlfn.LET(
_xlpm.CSVVal,_xlfn.XLOOKUP($A256,CSV!$A:$A,CSV!B:B,""),
_xlpm.MacVal,_xlfn.XLOOKUP($A256,Output_Mac!$A:$A,Output_Mac!B:B,""),
_xlpm.MyAuditVal,_xlfn.XLOOKUP($A256,My_Audit!$A:$A,My_Audit!B:B,""),
_xlfn.IFS(_xlpm.MyAuditVal&lt;&gt;"",UPPER(_xlpm.MyAuditVal),_xlpm.MacVal&lt;&gt;"",_xlpm.MacVal,_xlpm.CSVVal&lt;&gt;"",_xlpm.CSVVal
)),"")</f>
        <v/>
      </c>
      <c r="D256" s="40" t="str" cm="1">
        <f t="array" ref="D256">IFERROR(_xlfn.LET(
_xlpm.CSVVal,_xlfn.XLOOKUP($A256,CSV!$A:$A,CSV!D:D,""),
_xlpm.MacVal,_xlfn.XLOOKUP($A256,Output_Mac!$A:$A,Output_Mac!C:C,""),
_xlpm.MyAuditVal,_xlfn.XLOOKUP($A256,My_Audit!$A:$A,My_Audit!C:C,""),
_xlfn.IFS(_xlpm.MyAuditVal&lt;&gt;"",_xlpm.MyAuditVal,_xlpm.MacVal&lt;&gt;"",_xlpm.MacVal,_xlpm.CSVVal&lt;&gt;"",_xlpm.CSVVal
)),"")</f>
        <v/>
      </c>
      <c r="E256" s="40">
        <f>_xlfn.XLOOKUP(A256,My_Audit!A:A,My_Audit!D:D,"")</f>
        <v>0</v>
      </c>
      <c r="F256" s="40" t="str" cm="1">
        <f t="array" ref="F256">IFERROR(_xlfn.LET(
_xlpm.CSVVal,_xlfn.XLOOKUP($A256,CSV!$A:$A,CSV!F:F,""),
_xlpm.MacVal,_xlfn.XLOOKUP($A256,Output_Mac!$A:$A,Output_Mac!E:E,""),
_xlpm.MyAuditVal,_xlfn.XLOOKUP($A256,My_Audit!$A:$A,My_Audit!E:E,""),
_xlfn.IFS(_xlpm.MyAuditVal&lt;&gt;"",_xlpm.MyAuditVal,_xlpm.MacVal&lt;&gt;"",_xlpm.MacVal,_xlpm.CSVVal&lt;&gt;"",_xlpm.CSVVal
)),"")</f>
        <v/>
      </c>
      <c r="G256" s="40" t="str" cm="1">
        <f t="array" ref="G256">IFERROR(_xlfn.LET(
_xlpm.CSVVal,_xlfn.XLOOKUP($A256,CSV!$A:$A,CSV!G:G,""),
_xlpm.MacVal,_xlfn.XLOOKUP($A256,Output_Mac!$A:$A,Output_Mac!F:F,""),
_xlpm.MyAuditVal,_xlfn.XLOOKUP($A256,My_Audit!$A:$A,My_Audit!F:F,""),
_xlfn.IFS(_xlpm.MyAuditVal&lt;&gt;"",_xlpm.MyAuditVal,_xlpm.MacVal&lt;&gt;"",_xlpm.MacVal,_xlpm.CSVVal&lt;&gt;"",PROPER(_xlpm.CSVVal)
)),"")</f>
        <v/>
      </c>
      <c r="H256" s="40" t="str" cm="1">
        <f t="array" ref="H256">IFERROR(_xlfn.LET(
_xlpm.CSVVal,_xlfn.XLOOKUP($A256,CSV!$A:$A,CSV!H:H,""),
_xlpm.MacVal,_xlfn.XLOOKUP($A256,Output_Mac!$A:$A,Output_Mac!H:H,""),
_xlpm.MyAuditVal,_xlfn.XLOOKUP($A256,My_Audit!$A:$A,My_Audit!G:G,""),
_xlfn.IFS(_xlpm.MyAuditVal&lt;&gt;"",_xlpm.MyAuditVal,_xlpm.MacVal&lt;&gt;"",_xlpm.MacVal,_xlpm.CSVVal&lt;&gt;"",_xlpm.CSVVal
)),"")</f>
        <v/>
      </c>
      <c r="I256" s="40" t="str">
        <f>_xlfn.XLOOKUP(A256,Output_Mac!A:A,Output_Mac!I:I,"")</f>
        <v/>
      </c>
      <c r="J256" s="40" t="str" cm="1">
        <f t="array" ref="J256">IFERROR(_xlfn.LET(
_xlpm.CSVVal,_xlfn.XLOOKUP($A256,CSV!$A:$A,CSV!I:I,""),
_xlpm.MacVal,_xlfn.XLOOKUP($A256,Output_Mac!$A:$A,Output_Mac!J:J,""),
_xlpm.MyAuditVal,_xlfn.XLOOKUP($A256,My_Audit!$A:$A,My_Audit!I:I,""),
_xlfn.IFS(_xlpm.MyAuditVal&lt;&gt;"",UPPER(_xlpm.MyAuditVal),_xlpm.MacVal&lt;&gt;"",_xlpm.MacVal,_xlpm.CSVVal&lt;&gt;"",_xlpm.CSVVal
)),"")</f>
        <v/>
      </c>
      <c r="K256" s="40" t="str" cm="1">
        <f t="array" ref="K256">IFERROR(_xlfn.LET(
_xlpm.CSVVal,_xlfn.XLOOKUP($A256,CSV!$A:$A,CSV!K:K,""),
_xlpm.MacVal,_xlfn.XLOOKUP($A256,Output_Mac!$A:$A,Output_Mac!K:K,""),
_xlpm.MyAuditVal,_xlfn.XLOOKUP($A256,My_Audit!$A:$A,My_Audit!J:J,""),
_xlfn.IFS(_xlpm.MyAuditVal&lt;&gt;"",UPPER(_xlpm.MyAuditVal),_xlpm.MacVal&lt;&gt;"",_xlpm.MacVal,_xlpm.CSVVal&lt;&gt;"",_xlpm.CSVVal
)),"")</f>
        <v/>
      </c>
      <c r="L256" s="40" t="str" cm="1">
        <f t="array" ref="L256">IFERROR(_xlfn.LET(
_xlpm.CSVVal,_xlfn.XLOOKUP($A256,CSV!$A:$A,CSV!P:P,""),
_xlpm.MacVal,_xlfn.XLOOKUP($A256,Output_Mac!$A:$A,Output_Mac!L:L,""),
_xlpm.MyAuditVal,_xlfn.XLOOKUP($A256,My_Audit!$A:$A,My_Audit!K:K,""),
_xlfn.IFS(_xlpm.MyAuditVal&lt;&gt;"",UPPER(_xlpm.MyAuditVal),_xlpm.MacVal&lt;&gt;"",_xlpm.MacVal,_xlpm.CSVVal&lt;&gt;"",_xlpm.CSVVal
)),"")</f>
        <v/>
      </c>
      <c r="M256" s="40" t="str" cm="1">
        <f t="array" ref="M256">IFERROR(_xlfn.LET(
_xlpm.CSVVal,_xlfn.XLOOKUP($A256,CSV!$A:$A,CSV!Q:Q,""),
_xlpm.MacVal,_xlfn.XLOOKUP($A256,Output_Mac!$A:$A,Output_Mac!M:M,""),
_xlpm.MyAuditVal,_xlfn.XLOOKUP($A256,My_Audit!$A:$A,My_Audit!L:L,""),
_xlfn.IFS(_xlpm.MyAuditVal&lt;&gt;"",UPPER(_xlpm.MyAuditVal),_xlpm.MacVal&lt;&gt;"",_xlpm.MacVal,_xlpm.CSVVal&lt;&gt;"",_xlpm.CSVVal
)),"")</f>
        <v/>
      </c>
      <c r="N256" s="40"/>
      <c r="O256" s="40" t="str">
        <f>_xlfn.LET(
    _xlpm.CSVVal, _xlfn.XLOOKUP($A256, CSV!$A:$A, CSV!AA:AA, ""),
    _xlpm.MacVal, _xlfn.XLOOKUP($A256, Output_Mac!$A:$A, Output_Mac!S:S, ""),
    _xlpm.MyAuditVal, _xlfn.XLOOKUP($A256, My_Audit!$A:$A, My_Audit!P:P, ""),
    _xlfn.TEXTJOIN(", ", TRUE, _xlpm.MyAuditVal, _xlpm.MacVal, _xlpm.CSVVal)
)</f>
        <v/>
      </c>
      <c r="P256" s="40" t="str" cm="1">
        <f t="array" ref="P256">IFERROR(_xlfn.LET(
_xlpm.CSVVal,_xlfn.XLOOKUP($A256,CSV!$A:$A,CSV!AB:AB,""),
_xlpm.MacVal,_xlfn.XLOOKUP($A256,Output_Mac!$A:$A,Output_Mac!T:T,""),
_xlpm.MyAuditVal,_xlfn.XLOOKUP($A256,My_Audit!$A:$A,My_Audit!Q:Q,""),
_xlfn.IFS(_xlpm.MyAuditVal&lt;&gt;"",UPPER(_xlpm.MyAuditVal),_xlpm.MacVal&lt;&gt;"",_xlpm.MacVal,_xlpm.CSVVal&lt;&gt;"",_xlpm.CSVVal
)),"No")</f>
        <v>No</v>
      </c>
      <c r="Q256" s="40" t="str" cm="1">
        <f t="array" ref="Q256">IFERROR(_xlfn.LET(
_xlpm.CSVVal,_xlfn.XLOOKUP($A256,CSV!$A:$A,CSV!AC:AC,""),
_xlpm.MacVal,_xlfn.XLOOKUP($A256,Output_Mac!$A:$A,Output_Mac!U:U,""),
_xlpm.MyAuditVal,_xlfn.XLOOKUP($A256,My_Audit!$A:$A,My_Audit!R:R,""),
_xlfn.IFS(_xlpm.MyAuditVal&lt;&gt;"",UPPER(_xlpm.MyAuditVal),_xlpm.MacVal&lt;&gt;"",_xlpm.MacVal,_xlpm.CSVVal&lt;&gt;"",_xlpm.CSVVal
)),"")</f>
        <v/>
      </c>
      <c r="R256" s="40"/>
      <c r="S256" s="40"/>
      <c r="T256" s="40"/>
      <c r="U256" s="40"/>
      <c r="V256" s="40"/>
      <c r="W256" s="40"/>
      <c r="X256" s="41" t="str">
        <f>_xlfn.LET(
    _xlpm.MacVal, _xlfn.XLOOKUP($A256, Output_Mac!$A:$A, Output_Mac!AB:AB, ""),
    _xlpm.MyAuditVal, _xlfn.XLOOKUP($A256, My_Audit!$A:$A, My_Audit!N:N, ""),
    _xlfn.TEXTJOIN(", ", TRUE, _xlpm.MyAuditVal, _xlpm.MacVal)
)</f>
        <v/>
      </c>
    </row>
    <row r="257" spans="1:24">
      <c r="A257" s="40" t="str">
        <f>_xlfn.TEXTJOIN("",TRUE,Input!$B$2,ROW(My_Audit!A256))</f>
        <v>X256</v>
      </c>
      <c r="B257" s="40" t="str">
        <f>_xlfn.TEXTJOIN("-",TRUE,"ITD",Input!$A$2,A257)</f>
        <v>ITD-X256</v>
      </c>
      <c r="C257" s="40" t="str" cm="1">
        <f t="array" ref="C257">IFERROR(_xlfn.LET(
_xlpm.CSVVal,_xlfn.XLOOKUP($A257,CSV!$A:$A,CSV!B:B,""),
_xlpm.MacVal,_xlfn.XLOOKUP($A257,Output_Mac!$A:$A,Output_Mac!B:B,""),
_xlpm.MyAuditVal,_xlfn.XLOOKUP($A257,My_Audit!$A:$A,My_Audit!B:B,""),
_xlfn.IFS(_xlpm.MyAuditVal&lt;&gt;"",UPPER(_xlpm.MyAuditVal),_xlpm.MacVal&lt;&gt;"",_xlpm.MacVal,_xlpm.CSVVal&lt;&gt;"",_xlpm.CSVVal
)),"")</f>
        <v/>
      </c>
      <c r="D257" s="40" t="str" cm="1">
        <f t="array" ref="D257">IFERROR(_xlfn.LET(
_xlpm.CSVVal,_xlfn.XLOOKUP($A257,CSV!$A:$A,CSV!D:D,""),
_xlpm.MacVal,_xlfn.XLOOKUP($A257,Output_Mac!$A:$A,Output_Mac!C:C,""),
_xlpm.MyAuditVal,_xlfn.XLOOKUP($A257,My_Audit!$A:$A,My_Audit!C:C,""),
_xlfn.IFS(_xlpm.MyAuditVal&lt;&gt;"",_xlpm.MyAuditVal,_xlpm.MacVal&lt;&gt;"",_xlpm.MacVal,_xlpm.CSVVal&lt;&gt;"",_xlpm.CSVVal
)),"")</f>
        <v/>
      </c>
      <c r="E257" s="40">
        <f>_xlfn.XLOOKUP(A257,My_Audit!A:A,My_Audit!D:D,"")</f>
        <v>0</v>
      </c>
      <c r="F257" s="40" t="str" cm="1">
        <f t="array" ref="F257">IFERROR(_xlfn.LET(
_xlpm.CSVVal,_xlfn.XLOOKUP($A257,CSV!$A:$A,CSV!F:F,""),
_xlpm.MacVal,_xlfn.XLOOKUP($A257,Output_Mac!$A:$A,Output_Mac!E:E,""),
_xlpm.MyAuditVal,_xlfn.XLOOKUP($A257,My_Audit!$A:$A,My_Audit!E:E,""),
_xlfn.IFS(_xlpm.MyAuditVal&lt;&gt;"",_xlpm.MyAuditVal,_xlpm.MacVal&lt;&gt;"",_xlpm.MacVal,_xlpm.CSVVal&lt;&gt;"",_xlpm.CSVVal
)),"")</f>
        <v/>
      </c>
      <c r="G257" s="40" t="str" cm="1">
        <f t="array" ref="G257">IFERROR(_xlfn.LET(
_xlpm.CSVVal,_xlfn.XLOOKUP($A257,CSV!$A:$A,CSV!G:G,""),
_xlpm.MacVal,_xlfn.XLOOKUP($A257,Output_Mac!$A:$A,Output_Mac!F:F,""),
_xlpm.MyAuditVal,_xlfn.XLOOKUP($A257,My_Audit!$A:$A,My_Audit!F:F,""),
_xlfn.IFS(_xlpm.MyAuditVal&lt;&gt;"",_xlpm.MyAuditVal,_xlpm.MacVal&lt;&gt;"",_xlpm.MacVal,_xlpm.CSVVal&lt;&gt;"",PROPER(_xlpm.CSVVal)
)),"")</f>
        <v/>
      </c>
      <c r="H257" s="40" t="str" cm="1">
        <f t="array" ref="H257">IFERROR(_xlfn.LET(
_xlpm.CSVVal,_xlfn.XLOOKUP($A257,CSV!$A:$A,CSV!H:H,""),
_xlpm.MacVal,_xlfn.XLOOKUP($A257,Output_Mac!$A:$A,Output_Mac!H:H,""),
_xlpm.MyAuditVal,_xlfn.XLOOKUP($A257,My_Audit!$A:$A,My_Audit!G:G,""),
_xlfn.IFS(_xlpm.MyAuditVal&lt;&gt;"",_xlpm.MyAuditVal,_xlpm.MacVal&lt;&gt;"",_xlpm.MacVal,_xlpm.CSVVal&lt;&gt;"",_xlpm.CSVVal
)),"")</f>
        <v/>
      </c>
      <c r="I257" s="40" t="str">
        <f>_xlfn.XLOOKUP(A257,Output_Mac!A:A,Output_Mac!I:I,"")</f>
        <v/>
      </c>
      <c r="J257" s="40" t="str" cm="1">
        <f t="array" ref="J257">IFERROR(_xlfn.LET(
_xlpm.CSVVal,_xlfn.XLOOKUP($A257,CSV!$A:$A,CSV!I:I,""),
_xlpm.MacVal,_xlfn.XLOOKUP($A257,Output_Mac!$A:$A,Output_Mac!J:J,""),
_xlpm.MyAuditVal,_xlfn.XLOOKUP($A257,My_Audit!$A:$A,My_Audit!I:I,""),
_xlfn.IFS(_xlpm.MyAuditVal&lt;&gt;"",UPPER(_xlpm.MyAuditVal),_xlpm.MacVal&lt;&gt;"",_xlpm.MacVal,_xlpm.CSVVal&lt;&gt;"",_xlpm.CSVVal
)),"")</f>
        <v/>
      </c>
      <c r="K257" s="40" t="str" cm="1">
        <f t="array" ref="K257">IFERROR(_xlfn.LET(
_xlpm.CSVVal,_xlfn.XLOOKUP($A257,CSV!$A:$A,CSV!K:K,""),
_xlpm.MacVal,_xlfn.XLOOKUP($A257,Output_Mac!$A:$A,Output_Mac!K:K,""),
_xlpm.MyAuditVal,_xlfn.XLOOKUP($A257,My_Audit!$A:$A,My_Audit!J:J,""),
_xlfn.IFS(_xlpm.MyAuditVal&lt;&gt;"",UPPER(_xlpm.MyAuditVal),_xlpm.MacVal&lt;&gt;"",_xlpm.MacVal,_xlpm.CSVVal&lt;&gt;"",_xlpm.CSVVal
)),"")</f>
        <v/>
      </c>
      <c r="L257" s="40" t="str" cm="1">
        <f t="array" ref="L257">IFERROR(_xlfn.LET(
_xlpm.CSVVal,_xlfn.XLOOKUP($A257,CSV!$A:$A,CSV!P:P,""),
_xlpm.MacVal,_xlfn.XLOOKUP($A257,Output_Mac!$A:$A,Output_Mac!L:L,""),
_xlpm.MyAuditVal,_xlfn.XLOOKUP($A257,My_Audit!$A:$A,My_Audit!K:K,""),
_xlfn.IFS(_xlpm.MyAuditVal&lt;&gt;"",UPPER(_xlpm.MyAuditVal),_xlpm.MacVal&lt;&gt;"",_xlpm.MacVal,_xlpm.CSVVal&lt;&gt;"",_xlpm.CSVVal
)),"")</f>
        <v/>
      </c>
      <c r="M257" s="40" t="str" cm="1">
        <f t="array" ref="M257">IFERROR(_xlfn.LET(
_xlpm.CSVVal,_xlfn.XLOOKUP($A257,CSV!$A:$A,CSV!Q:Q,""),
_xlpm.MacVal,_xlfn.XLOOKUP($A257,Output_Mac!$A:$A,Output_Mac!M:M,""),
_xlpm.MyAuditVal,_xlfn.XLOOKUP($A257,My_Audit!$A:$A,My_Audit!L:L,""),
_xlfn.IFS(_xlpm.MyAuditVal&lt;&gt;"",UPPER(_xlpm.MyAuditVal),_xlpm.MacVal&lt;&gt;"",_xlpm.MacVal,_xlpm.CSVVal&lt;&gt;"",_xlpm.CSVVal
)),"")</f>
        <v/>
      </c>
      <c r="N257" s="40"/>
      <c r="O257" s="40" t="str">
        <f>_xlfn.LET(
    _xlpm.CSVVal, _xlfn.XLOOKUP($A257, CSV!$A:$A, CSV!AA:AA, ""),
    _xlpm.MacVal, _xlfn.XLOOKUP($A257, Output_Mac!$A:$A, Output_Mac!S:S, ""),
    _xlpm.MyAuditVal, _xlfn.XLOOKUP($A257, My_Audit!$A:$A, My_Audit!P:P, ""),
    _xlfn.TEXTJOIN(", ", TRUE, _xlpm.MyAuditVal, _xlpm.MacVal, _xlpm.CSVVal)
)</f>
        <v/>
      </c>
      <c r="P257" s="40" t="str" cm="1">
        <f t="array" ref="P257">IFERROR(_xlfn.LET(
_xlpm.CSVVal,_xlfn.XLOOKUP($A257,CSV!$A:$A,CSV!AB:AB,""),
_xlpm.MacVal,_xlfn.XLOOKUP($A257,Output_Mac!$A:$A,Output_Mac!T:T,""),
_xlpm.MyAuditVal,_xlfn.XLOOKUP($A257,My_Audit!$A:$A,My_Audit!Q:Q,""),
_xlfn.IFS(_xlpm.MyAuditVal&lt;&gt;"",UPPER(_xlpm.MyAuditVal),_xlpm.MacVal&lt;&gt;"",_xlpm.MacVal,_xlpm.CSVVal&lt;&gt;"",_xlpm.CSVVal
)),"No")</f>
        <v>No</v>
      </c>
      <c r="Q257" s="40" t="str" cm="1">
        <f t="array" ref="Q257">IFERROR(_xlfn.LET(
_xlpm.CSVVal,_xlfn.XLOOKUP($A257,CSV!$A:$A,CSV!AC:AC,""),
_xlpm.MacVal,_xlfn.XLOOKUP($A257,Output_Mac!$A:$A,Output_Mac!U:U,""),
_xlpm.MyAuditVal,_xlfn.XLOOKUP($A257,My_Audit!$A:$A,My_Audit!R:R,""),
_xlfn.IFS(_xlpm.MyAuditVal&lt;&gt;"",UPPER(_xlpm.MyAuditVal),_xlpm.MacVal&lt;&gt;"",_xlpm.MacVal,_xlpm.CSVVal&lt;&gt;"",_xlpm.CSVVal
)),"")</f>
        <v/>
      </c>
      <c r="R257" s="40"/>
      <c r="S257" s="40"/>
      <c r="T257" s="40"/>
      <c r="U257" s="40"/>
      <c r="V257" s="40"/>
      <c r="W257" s="40"/>
      <c r="X257" s="41" t="str">
        <f>_xlfn.LET(
    _xlpm.MacVal, _xlfn.XLOOKUP($A257, Output_Mac!$A:$A, Output_Mac!AB:AB, ""),
    _xlpm.MyAuditVal, _xlfn.XLOOKUP($A257, My_Audit!$A:$A, My_Audit!N:N, ""),
    _xlfn.TEXTJOIN(", ", TRUE, _xlpm.MyAuditVal, _xlpm.MacVal)
)</f>
        <v/>
      </c>
    </row>
    <row r="258" spans="1:24">
      <c r="A258" s="40" t="str">
        <f>_xlfn.TEXTJOIN("",TRUE,Input!$B$2,ROW(My_Audit!A257))</f>
        <v>X257</v>
      </c>
      <c r="B258" s="40" t="str">
        <f>_xlfn.TEXTJOIN("-",TRUE,"ITD",Input!$A$2,A258)</f>
        <v>ITD-X257</v>
      </c>
      <c r="C258" s="40" t="str" cm="1">
        <f t="array" ref="C258">IFERROR(_xlfn.LET(
_xlpm.CSVVal,_xlfn.XLOOKUP($A258,CSV!$A:$A,CSV!B:B,""),
_xlpm.MacVal,_xlfn.XLOOKUP($A258,Output_Mac!$A:$A,Output_Mac!B:B,""),
_xlpm.MyAuditVal,_xlfn.XLOOKUP($A258,My_Audit!$A:$A,My_Audit!B:B,""),
_xlfn.IFS(_xlpm.MyAuditVal&lt;&gt;"",UPPER(_xlpm.MyAuditVal),_xlpm.MacVal&lt;&gt;"",_xlpm.MacVal,_xlpm.CSVVal&lt;&gt;"",_xlpm.CSVVal
)),"")</f>
        <v/>
      </c>
      <c r="D258" s="40" t="str" cm="1">
        <f t="array" ref="D258">IFERROR(_xlfn.LET(
_xlpm.CSVVal,_xlfn.XLOOKUP($A258,CSV!$A:$A,CSV!D:D,""),
_xlpm.MacVal,_xlfn.XLOOKUP($A258,Output_Mac!$A:$A,Output_Mac!C:C,""),
_xlpm.MyAuditVal,_xlfn.XLOOKUP($A258,My_Audit!$A:$A,My_Audit!C:C,""),
_xlfn.IFS(_xlpm.MyAuditVal&lt;&gt;"",_xlpm.MyAuditVal,_xlpm.MacVal&lt;&gt;"",_xlpm.MacVal,_xlpm.CSVVal&lt;&gt;"",_xlpm.CSVVal
)),"")</f>
        <v/>
      </c>
      <c r="E258" s="40">
        <f>_xlfn.XLOOKUP(A258,My_Audit!A:A,My_Audit!D:D,"")</f>
        <v>0</v>
      </c>
      <c r="F258" s="40" t="str" cm="1">
        <f t="array" ref="F258">IFERROR(_xlfn.LET(
_xlpm.CSVVal,_xlfn.XLOOKUP($A258,CSV!$A:$A,CSV!F:F,""),
_xlpm.MacVal,_xlfn.XLOOKUP($A258,Output_Mac!$A:$A,Output_Mac!E:E,""),
_xlpm.MyAuditVal,_xlfn.XLOOKUP($A258,My_Audit!$A:$A,My_Audit!E:E,""),
_xlfn.IFS(_xlpm.MyAuditVal&lt;&gt;"",_xlpm.MyAuditVal,_xlpm.MacVal&lt;&gt;"",_xlpm.MacVal,_xlpm.CSVVal&lt;&gt;"",_xlpm.CSVVal
)),"")</f>
        <v/>
      </c>
      <c r="G258" s="40" t="str" cm="1">
        <f t="array" ref="G258">IFERROR(_xlfn.LET(
_xlpm.CSVVal,_xlfn.XLOOKUP($A258,CSV!$A:$A,CSV!G:G,""),
_xlpm.MacVal,_xlfn.XLOOKUP($A258,Output_Mac!$A:$A,Output_Mac!F:F,""),
_xlpm.MyAuditVal,_xlfn.XLOOKUP($A258,My_Audit!$A:$A,My_Audit!F:F,""),
_xlfn.IFS(_xlpm.MyAuditVal&lt;&gt;"",_xlpm.MyAuditVal,_xlpm.MacVal&lt;&gt;"",_xlpm.MacVal,_xlpm.CSVVal&lt;&gt;"",PROPER(_xlpm.CSVVal)
)),"")</f>
        <v/>
      </c>
      <c r="H258" s="40" t="str" cm="1">
        <f t="array" ref="H258">IFERROR(_xlfn.LET(
_xlpm.CSVVal,_xlfn.XLOOKUP($A258,CSV!$A:$A,CSV!H:H,""),
_xlpm.MacVal,_xlfn.XLOOKUP($A258,Output_Mac!$A:$A,Output_Mac!H:H,""),
_xlpm.MyAuditVal,_xlfn.XLOOKUP($A258,My_Audit!$A:$A,My_Audit!G:G,""),
_xlfn.IFS(_xlpm.MyAuditVal&lt;&gt;"",_xlpm.MyAuditVal,_xlpm.MacVal&lt;&gt;"",_xlpm.MacVal,_xlpm.CSVVal&lt;&gt;"",_xlpm.CSVVal
)),"")</f>
        <v/>
      </c>
      <c r="I258" s="40" t="str">
        <f>_xlfn.XLOOKUP(A258,Output_Mac!A:A,Output_Mac!I:I,"")</f>
        <v/>
      </c>
      <c r="J258" s="40" t="str" cm="1">
        <f t="array" ref="J258">IFERROR(_xlfn.LET(
_xlpm.CSVVal,_xlfn.XLOOKUP($A258,CSV!$A:$A,CSV!I:I,""),
_xlpm.MacVal,_xlfn.XLOOKUP($A258,Output_Mac!$A:$A,Output_Mac!J:J,""),
_xlpm.MyAuditVal,_xlfn.XLOOKUP($A258,My_Audit!$A:$A,My_Audit!I:I,""),
_xlfn.IFS(_xlpm.MyAuditVal&lt;&gt;"",UPPER(_xlpm.MyAuditVal),_xlpm.MacVal&lt;&gt;"",_xlpm.MacVal,_xlpm.CSVVal&lt;&gt;"",_xlpm.CSVVal
)),"")</f>
        <v/>
      </c>
      <c r="K258" s="40" t="str" cm="1">
        <f t="array" ref="K258">IFERROR(_xlfn.LET(
_xlpm.CSVVal,_xlfn.XLOOKUP($A258,CSV!$A:$A,CSV!K:K,""),
_xlpm.MacVal,_xlfn.XLOOKUP($A258,Output_Mac!$A:$A,Output_Mac!K:K,""),
_xlpm.MyAuditVal,_xlfn.XLOOKUP($A258,My_Audit!$A:$A,My_Audit!J:J,""),
_xlfn.IFS(_xlpm.MyAuditVal&lt;&gt;"",UPPER(_xlpm.MyAuditVal),_xlpm.MacVal&lt;&gt;"",_xlpm.MacVal,_xlpm.CSVVal&lt;&gt;"",_xlpm.CSVVal
)),"")</f>
        <v/>
      </c>
      <c r="L258" s="40" t="str" cm="1">
        <f t="array" ref="L258">IFERROR(_xlfn.LET(
_xlpm.CSVVal,_xlfn.XLOOKUP($A258,CSV!$A:$A,CSV!P:P,""),
_xlpm.MacVal,_xlfn.XLOOKUP($A258,Output_Mac!$A:$A,Output_Mac!L:L,""),
_xlpm.MyAuditVal,_xlfn.XLOOKUP($A258,My_Audit!$A:$A,My_Audit!K:K,""),
_xlfn.IFS(_xlpm.MyAuditVal&lt;&gt;"",UPPER(_xlpm.MyAuditVal),_xlpm.MacVal&lt;&gt;"",_xlpm.MacVal,_xlpm.CSVVal&lt;&gt;"",_xlpm.CSVVal
)),"")</f>
        <v/>
      </c>
      <c r="M258" s="40" t="str" cm="1">
        <f t="array" ref="M258">IFERROR(_xlfn.LET(
_xlpm.CSVVal,_xlfn.XLOOKUP($A258,CSV!$A:$A,CSV!Q:Q,""),
_xlpm.MacVal,_xlfn.XLOOKUP($A258,Output_Mac!$A:$A,Output_Mac!M:M,""),
_xlpm.MyAuditVal,_xlfn.XLOOKUP($A258,My_Audit!$A:$A,My_Audit!L:L,""),
_xlfn.IFS(_xlpm.MyAuditVal&lt;&gt;"",UPPER(_xlpm.MyAuditVal),_xlpm.MacVal&lt;&gt;"",_xlpm.MacVal,_xlpm.CSVVal&lt;&gt;"",_xlpm.CSVVal
)),"")</f>
        <v/>
      </c>
      <c r="N258" s="40"/>
      <c r="O258" s="40" t="str">
        <f>_xlfn.LET(
    _xlpm.CSVVal, _xlfn.XLOOKUP($A258, CSV!$A:$A, CSV!AA:AA, ""),
    _xlpm.MacVal, _xlfn.XLOOKUP($A258, Output_Mac!$A:$A, Output_Mac!S:S, ""),
    _xlpm.MyAuditVal, _xlfn.XLOOKUP($A258, My_Audit!$A:$A, My_Audit!P:P, ""),
    _xlfn.TEXTJOIN(", ", TRUE, _xlpm.MyAuditVal, _xlpm.MacVal, _xlpm.CSVVal)
)</f>
        <v/>
      </c>
      <c r="P258" s="40" t="str" cm="1">
        <f t="array" ref="P258">IFERROR(_xlfn.LET(
_xlpm.CSVVal,_xlfn.XLOOKUP($A258,CSV!$A:$A,CSV!AB:AB,""),
_xlpm.MacVal,_xlfn.XLOOKUP($A258,Output_Mac!$A:$A,Output_Mac!T:T,""),
_xlpm.MyAuditVal,_xlfn.XLOOKUP($A258,My_Audit!$A:$A,My_Audit!Q:Q,""),
_xlfn.IFS(_xlpm.MyAuditVal&lt;&gt;"",UPPER(_xlpm.MyAuditVal),_xlpm.MacVal&lt;&gt;"",_xlpm.MacVal,_xlpm.CSVVal&lt;&gt;"",_xlpm.CSVVal
)),"No")</f>
        <v>No</v>
      </c>
      <c r="Q258" s="40" t="str" cm="1">
        <f t="array" ref="Q258">IFERROR(_xlfn.LET(
_xlpm.CSVVal,_xlfn.XLOOKUP($A258,CSV!$A:$A,CSV!AC:AC,""),
_xlpm.MacVal,_xlfn.XLOOKUP($A258,Output_Mac!$A:$A,Output_Mac!U:U,""),
_xlpm.MyAuditVal,_xlfn.XLOOKUP($A258,My_Audit!$A:$A,My_Audit!R:R,""),
_xlfn.IFS(_xlpm.MyAuditVal&lt;&gt;"",UPPER(_xlpm.MyAuditVal),_xlpm.MacVal&lt;&gt;"",_xlpm.MacVal,_xlpm.CSVVal&lt;&gt;"",_xlpm.CSVVal
)),"")</f>
        <v/>
      </c>
      <c r="R258" s="40"/>
      <c r="S258" s="40"/>
      <c r="T258" s="40"/>
      <c r="U258" s="40"/>
      <c r="V258" s="40"/>
      <c r="W258" s="40"/>
      <c r="X258" s="41" t="str">
        <f>_xlfn.LET(
    _xlpm.MacVal, _xlfn.XLOOKUP($A258, Output_Mac!$A:$A, Output_Mac!AB:AB, ""),
    _xlpm.MyAuditVal, _xlfn.XLOOKUP($A258, My_Audit!$A:$A, My_Audit!N:N, ""),
    _xlfn.TEXTJOIN(", ", TRUE, _xlpm.MyAuditVal, _xlpm.MacVal)
)</f>
        <v/>
      </c>
    </row>
    <row r="259" spans="1:24">
      <c r="A259" s="40" t="str">
        <f>_xlfn.TEXTJOIN("",TRUE,Input!$B$2,ROW(My_Audit!A258))</f>
        <v>X258</v>
      </c>
      <c r="B259" s="40" t="str">
        <f>_xlfn.TEXTJOIN("-",TRUE,"ITD",Input!$A$2,A259)</f>
        <v>ITD-X258</v>
      </c>
      <c r="C259" s="40" t="str" cm="1">
        <f t="array" ref="C259">IFERROR(_xlfn.LET(
_xlpm.CSVVal,_xlfn.XLOOKUP($A259,CSV!$A:$A,CSV!B:B,""),
_xlpm.MacVal,_xlfn.XLOOKUP($A259,Output_Mac!$A:$A,Output_Mac!B:B,""),
_xlpm.MyAuditVal,_xlfn.XLOOKUP($A259,My_Audit!$A:$A,My_Audit!B:B,""),
_xlfn.IFS(_xlpm.MyAuditVal&lt;&gt;"",UPPER(_xlpm.MyAuditVal),_xlpm.MacVal&lt;&gt;"",_xlpm.MacVal,_xlpm.CSVVal&lt;&gt;"",_xlpm.CSVVal
)),"")</f>
        <v/>
      </c>
      <c r="D259" s="40" t="str" cm="1">
        <f t="array" ref="D259">IFERROR(_xlfn.LET(
_xlpm.CSVVal,_xlfn.XLOOKUP($A259,CSV!$A:$A,CSV!D:D,""),
_xlpm.MacVal,_xlfn.XLOOKUP($A259,Output_Mac!$A:$A,Output_Mac!C:C,""),
_xlpm.MyAuditVal,_xlfn.XLOOKUP($A259,My_Audit!$A:$A,My_Audit!C:C,""),
_xlfn.IFS(_xlpm.MyAuditVal&lt;&gt;"",_xlpm.MyAuditVal,_xlpm.MacVal&lt;&gt;"",_xlpm.MacVal,_xlpm.CSVVal&lt;&gt;"",_xlpm.CSVVal
)),"")</f>
        <v/>
      </c>
      <c r="E259" s="40">
        <f>_xlfn.XLOOKUP(A259,My_Audit!A:A,My_Audit!D:D,"")</f>
        <v>0</v>
      </c>
      <c r="F259" s="40" t="str" cm="1">
        <f t="array" ref="F259">IFERROR(_xlfn.LET(
_xlpm.CSVVal,_xlfn.XLOOKUP($A259,CSV!$A:$A,CSV!F:F,""),
_xlpm.MacVal,_xlfn.XLOOKUP($A259,Output_Mac!$A:$A,Output_Mac!E:E,""),
_xlpm.MyAuditVal,_xlfn.XLOOKUP($A259,My_Audit!$A:$A,My_Audit!E:E,""),
_xlfn.IFS(_xlpm.MyAuditVal&lt;&gt;"",_xlpm.MyAuditVal,_xlpm.MacVal&lt;&gt;"",_xlpm.MacVal,_xlpm.CSVVal&lt;&gt;"",_xlpm.CSVVal
)),"")</f>
        <v/>
      </c>
      <c r="G259" s="40" t="str" cm="1">
        <f t="array" ref="G259">IFERROR(_xlfn.LET(
_xlpm.CSVVal,_xlfn.XLOOKUP($A259,CSV!$A:$A,CSV!G:G,""),
_xlpm.MacVal,_xlfn.XLOOKUP($A259,Output_Mac!$A:$A,Output_Mac!F:F,""),
_xlpm.MyAuditVal,_xlfn.XLOOKUP($A259,My_Audit!$A:$A,My_Audit!F:F,""),
_xlfn.IFS(_xlpm.MyAuditVal&lt;&gt;"",_xlpm.MyAuditVal,_xlpm.MacVal&lt;&gt;"",_xlpm.MacVal,_xlpm.CSVVal&lt;&gt;"",PROPER(_xlpm.CSVVal)
)),"")</f>
        <v/>
      </c>
      <c r="H259" s="40" t="str" cm="1">
        <f t="array" ref="H259">IFERROR(_xlfn.LET(
_xlpm.CSVVal,_xlfn.XLOOKUP($A259,CSV!$A:$A,CSV!H:H,""),
_xlpm.MacVal,_xlfn.XLOOKUP($A259,Output_Mac!$A:$A,Output_Mac!H:H,""),
_xlpm.MyAuditVal,_xlfn.XLOOKUP($A259,My_Audit!$A:$A,My_Audit!G:G,""),
_xlfn.IFS(_xlpm.MyAuditVal&lt;&gt;"",_xlpm.MyAuditVal,_xlpm.MacVal&lt;&gt;"",_xlpm.MacVal,_xlpm.CSVVal&lt;&gt;"",_xlpm.CSVVal
)),"")</f>
        <v/>
      </c>
      <c r="I259" s="40" t="str">
        <f>_xlfn.XLOOKUP(A259,Output_Mac!A:A,Output_Mac!I:I,"")</f>
        <v/>
      </c>
      <c r="J259" s="40" t="str" cm="1">
        <f t="array" ref="J259">IFERROR(_xlfn.LET(
_xlpm.CSVVal,_xlfn.XLOOKUP($A259,CSV!$A:$A,CSV!I:I,""),
_xlpm.MacVal,_xlfn.XLOOKUP($A259,Output_Mac!$A:$A,Output_Mac!J:J,""),
_xlpm.MyAuditVal,_xlfn.XLOOKUP($A259,My_Audit!$A:$A,My_Audit!I:I,""),
_xlfn.IFS(_xlpm.MyAuditVal&lt;&gt;"",UPPER(_xlpm.MyAuditVal),_xlpm.MacVal&lt;&gt;"",_xlpm.MacVal,_xlpm.CSVVal&lt;&gt;"",_xlpm.CSVVal
)),"")</f>
        <v/>
      </c>
      <c r="K259" s="40" t="str" cm="1">
        <f t="array" ref="K259">IFERROR(_xlfn.LET(
_xlpm.CSVVal,_xlfn.XLOOKUP($A259,CSV!$A:$A,CSV!K:K,""),
_xlpm.MacVal,_xlfn.XLOOKUP($A259,Output_Mac!$A:$A,Output_Mac!K:K,""),
_xlpm.MyAuditVal,_xlfn.XLOOKUP($A259,My_Audit!$A:$A,My_Audit!J:J,""),
_xlfn.IFS(_xlpm.MyAuditVal&lt;&gt;"",UPPER(_xlpm.MyAuditVal),_xlpm.MacVal&lt;&gt;"",_xlpm.MacVal,_xlpm.CSVVal&lt;&gt;"",_xlpm.CSVVal
)),"")</f>
        <v/>
      </c>
      <c r="L259" s="40" t="str" cm="1">
        <f t="array" ref="L259">IFERROR(_xlfn.LET(
_xlpm.CSVVal,_xlfn.XLOOKUP($A259,CSV!$A:$A,CSV!P:P,""),
_xlpm.MacVal,_xlfn.XLOOKUP($A259,Output_Mac!$A:$A,Output_Mac!L:L,""),
_xlpm.MyAuditVal,_xlfn.XLOOKUP($A259,My_Audit!$A:$A,My_Audit!K:K,""),
_xlfn.IFS(_xlpm.MyAuditVal&lt;&gt;"",UPPER(_xlpm.MyAuditVal),_xlpm.MacVal&lt;&gt;"",_xlpm.MacVal,_xlpm.CSVVal&lt;&gt;"",_xlpm.CSVVal
)),"")</f>
        <v/>
      </c>
      <c r="M259" s="40" t="str" cm="1">
        <f t="array" ref="M259">IFERROR(_xlfn.LET(
_xlpm.CSVVal,_xlfn.XLOOKUP($A259,CSV!$A:$A,CSV!Q:Q,""),
_xlpm.MacVal,_xlfn.XLOOKUP($A259,Output_Mac!$A:$A,Output_Mac!M:M,""),
_xlpm.MyAuditVal,_xlfn.XLOOKUP($A259,My_Audit!$A:$A,My_Audit!L:L,""),
_xlfn.IFS(_xlpm.MyAuditVal&lt;&gt;"",UPPER(_xlpm.MyAuditVal),_xlpm.MacVal&lt;&gt;"",_xlpm.MacVal,_xlpm.CSVVal&lt;&gt;"",_xlpm.CSVVal
)),"")</f>
        <v/>
      </c>
      <c r="N259" s="40"/>
      <c r="O259" s="40" t="str">
        <f>_xlfn.LET(
    _xlpm.CSVVal, _xlfn.XLOOKUP($A259, CSV!$A:$A, CSV!AA:AA, ""),
    _xlpm.MacVal, _xlfn.XLOOKUP($A259, Output_Mac!$A:$A, Output_Mac!S:S, ""),
    _xlpm.MyAuditVal, _xlfn.XLOOKUP($A259, My_Audit!$A:$A, My_Audit!P:P, ""),
    _xlfn.TEXTJOIN(", ", TRUE, _xlpm.MyAuditVal, _xlpm.MacVal, _xlpm.CSVVal)
)</f>
        <v/>
      </c>
      <c r="P259" s="40" t="str" cm="1">
        <f t="array" ref="P259">IFERROR(_xlfn.LET(
_xlpm.CSVVal,_xlfn.XLOOKUP($A259,CSV!$A:$A,CSV!AB:AB,""),
_xlpm.MacVal,_xlfn.XLOOKUP($A259,Output_Mac!$A:$A,Output_Mac!T:T,""),
_xlpm.MyAuditVal,_xlfn.XLOOKUP($A259,My_Audit!$A:$A,My_Audit!Q:Q,""),
_xlfn.IFS(_xlpm.MyAuditVal&lt;&gt;"",UPPER(_xlpm.MyAuditVal),_xlpm.MacVal&lt;&gt;"",_xlpm.MacVal,_xlpm.CSVVal&lt;&gt;"",_xlpm.CSVVal
)),"No")</f>
        <v>No</v>
      </c>
      <c r="Q259" s="40" t="str" cm="1">
        <f t="array" ref="Q259">IFERROR(_xlfn.LET(
_xlpm.CSVVal,_xlfn.XLOOKUP($A259,CSV!$A:$A,CSV!AC:AC,""),
_xlpm.MacVal,_xlfn.XLOOKUP($A259,Output_Mac!$A:$A,Output_Mac!U:U,""),
_xlpm.MyAuditVal,_xlfn.XLOOKUP($A259,My_Audit!$A:$A,My_Audit!R:R,""),
_xlfn.IFS(_xlpm.MyAuditVal&lt;&gt;"",UPPER(_xlpm.MyAuditVal),_xlpm.MacVal&lt;&gt;"",_xlpm.MacVal,_xlpm.CSVVal&lt;&gt;"",_xlpm.CSVVal
)),"")</f>
        <v/>
      </c>
      <c r="R259" s="40"/>
      <c r="S259" s="40"/>
      <c r="T259" s="40"/>
      <c r="U259" s="40"/>
      <c r="V259" s="40"/>
      <c r="W259" s="40"/>
      <c r="X259" s="41" t="str">
        <f>_xlfn.LET(
    _xlpm.MacVal, _xlfn.XLOOKUP($A259, Output_Mac!$A:$A, Output_Mac!AB:AB, ""),
    _xlpm.MyAuditVal, _xlfn.XLOOKUP($A259, My_Audit!$A:$A, My_Audit!N:N, ""),
    _xlfn.TEXTJOIN(", ", TRUE, _xlpm.MyAuditVal, _xlpm.MacVal)
)</f>
        <v/>
      </c>
    </row>
    <row r="260" spans="1:24">
      <c r="A260" s="40" t="str">
        <f>_xlfn.TEXTJOIN("",TRUE,Input!$B$2,ROW(My_Audit!A259))</f>
        <v>X259</v>
      </c>
      <c r="B260" s="40" t="str">
        <f>_xlfn.TEXTJOIN("-",TRUE,"ITD",Input!$A$2,A260)</f>
        <v>ITD-X259</v>
      </c>
      <c r="C260" s="40" t="str" cm="1">
        <f t="array" ref="C260">IFERROR(_xlfn.LET(
_xlpm.CSVVal,_xlfn.XLOOKUP($A260,CSV!$A:$A,CSV!B:B,""),
_xlpm.MacVal,_xlfn.XLOOKUP($A260,Output_Mac!$A:$A,Output_Mac!B:B,""),
_xlpm.MyAuditVal,_xlfn.XLOOKUP($A260,My_Audit!$A:$A,My_Audit!B:B,""),
_xlfn.IFS(_xlpm.MyAuditVal&lt;&gt;"",UPPER(_xlpm.MyAuditVal),_xlpm.MacVal&lt;&gt;"",_xlpm.MacVal,_xlpm.CSVVal&lt;&gt;"",_xlpm.CSVVal
)),"")</f>
        <v/>
      </c>
      <c r="D260" s="40" t="str" cm="1">
        <f t="array" ref="D260">IFERROR(_xlfn.LET(
_xlpm.CSVVal,_xlfn.XLOOKUP($A260,CSV!$A:$A,CSV!D:D,""),
_xlpm.MacVal,_xlfn.XLOOKUP($A260,Output_Mac!$A:$A,Output_Mac!C:C,""),
_xlpm.MyAuditVal,_xlfn.XLOOKUP($A260,My_Audit!$A:$A,My_Audit!C:C,""),
_xlfn.IFS(_xlpm.MyAuditVal&lt;&gt;"",_xlpm.MyAuditVal,_xlpm.MacVal&lt;&gt;"",_xlpm.MacVal,_xlpm.CSVVal&lt;&gt;"",_xlpm.CSVVal
)),"")</f>
        <v/>
      </c>
      <c r="E260" s="40">
        <f>_xlfn.XLOOKUP(A260,My_Audit!A:A,My_Audit!D:D,"")</f>
        <v>0</v>
      </c>
      <c r="F260" s="40" t="str" cm="1">
        <f t="array" ref="F260">IFERROR(_xlfn.LET(
_xlpm.CSVVal,_xlfn.XLOOKUP($A260,CSV!$A:$A,CSV!F:F,""),
_xlpm.MacVal,_xlfn.XLOOKUP($A260,Output_Mac!$A:$A,Output_Mac!E:E,""),
_xlpm.MyAuditVal,_xlfn.XLOOKUP($A260,My_Audit!$A:$A,My_Audit!E:E,""),
_xlfn.IFS(_xlpm.MyAuditVal&lt;&gt;"",_xlpm.MyAuditVal,_xlpm.MacVal&lt;&gt;"",_xlpm.MacVal,_xlpm.CSVVal&lt;&gt;"",_xlpm.CSVVal
)),"")</f>
        <v/>
      </c>
      <c r="G260" s="40" t="str" cm="1">
        <f t="array" ref="G260">IFERROR(_xlfn.LET(
_xlpm.CSVVal,_xlfn.XLOOKUP($A260,CSV!$A:$A,CSV!G:G,""),
_xlpm.MacVal,_xlfn.XLOOKUP($A260,Output_Mac!$A:$A,Output_Mac!F:F,""),
_xlpm.MyAuditVal,_xlfn.XLOOKUP($A260,My_Audit!$A:$A,My_Audit!F:F,""),
_xlfn.IFS(_xlpm.MyAuditVal&lt;&gt;"",_xlpm.MyAuditVal,_xlpm.MacVal&lt;&gt;"",_xlpm.MacVal,_xlpm.CSVVal&lt;&gt;"",PROPER(_xlpm.CSVVal)
)),"")</f>
        <v/>
      </c>
      <c r="H260" s="40" t="str" cm="1">
        <f t="array" ref="H260">IFERROR(_xlfn.LET(
_xlpm.CSVVal,_xlfn.XLOOKUP($A260,CSV!$A:$A,CSV!H:H,""),
_xlpm.MacVal,_xlfn.XLOOKUP($A260,Output_Mac!$A:$A,Output_Mac!H:H,""),
_xlpm.MyAuditVal,_xlfn.XLOOKUP($A260,My_Audit!$A:$A,My_Audit!G:G,""),
_xlfn.IFS(_xlpm.MyAuditVal&lt;&gt;"",_xlpm.MyAuditVal,_xlpm.MacVal&lt;&gt;"",_xlpm.MacVal,_xlpm.CSVVal&lt;&gt;"",_xlpm.CSVVal
)),"")</f>
        <v/>
      </c>
      <c r="I260" s="40" t="str">
        <f>_xlfn.XLOOKUP(A260,Output_Mac!A:A,Output_Mac!I:I,"")</f>
        <v/>
      </c>
      <c r="J260" s="40" t="str" cm="1">
        <f t="array" ref="J260">IFERROR(_xlfn.LET(
_xlpm.CSVVal,_xlfn.XLOOKUP($A260,CSV!$A:$A,CSV!I:I,""),
_xlpm.MacVal,_xlfn.XLOOKUP($A260,Output_Mac!$A:$A,Output_Mac!J:J,""),
_xlpm.MyAuditVal,_xlfn.XLOOKUP($A260,My_Audit!$A:$A,My_Audit!I:I,""),
_xlfn.IFS(_xlpm.MyAuditVal&lt;&gt;"",UPPER(_xlpm.MyAuditVal),_xlpm.MacVal&lt;&gt;"",_xlpm.MacVal,_xlpm.CSVVal&lt;&gt;"",_xlpm.CSVVal
)),"")</f>
        <v/>
      </c>
      <c r="K260" s="40" t="str" cm="1">
        <f t="array" ref="K260">IFERROR(_xlfn.LET(
_xlpm.CSVVal,_xlfn.XLOOKUP($A260,CSV!$A:$A,CSV!K:K,""),
_xlpm.MacVal,_xlfn.XLOOKUP($A260,Output_Mac!$A:$A,Output_Mac!K:K,""),
_xlpm.MyAuditVal,_xlfn.XLOOKUP($A260,My_Audit!$A:$A,My_Audit!J:J,""),
_xlfn.IFS(_xlpm.MyAuditVal&lt;&gt;"",UPPER(_xlpm.MyAuditVal),_xlpm.MacVal&lt;&gt;"",_xlpm.MacVal,_xlpm.CSVVal&lt;&gt;"",_xlpm.CSVVal
)),"")</f>
        <v/>
      </c>
      <c r="L260" s="40" t="str" cm="1">
        <f t="array" ref="L260">IFERROR(_xlfn.LET(
_xlpm.CSVVal,_xlfn.XLOOKUP($A260,CSV!$A:$A,CSV!P:P,""),
_xlpm.MacVal,_xlfn.XLOOKUP($A260,Output_Mac!$A:$A,Output_Mac!L:L,""),
_xlpm.MyAuditVal,_xlfn.XLOOKUP($A260,My_Audit!$A:$A,My_Audit!K:K,""),
_xlfn.IFS(_xlpm.MyAuditVal&lt;&gt;"",UPPER(_xlpm.MyAuditVal),_xlpm.MacVal&lt;&gt;"",_xlpm.MacVal,_xlpm.CSVVal&lt;&gt;"",_xlpm.CSVVal
)),"")</f>
        <v/>
      </c>
      <c r="M260" s="40" t="str" cm="1">
        <f t="array" ref="M260">IFERROR(_xlfn.LET(
_xlpm.CSVVal,_xlfn.XLOOKUP($A260,CSV!$A:$A,CSV!Q:Q,""),
_xlpm.MacVal,_xlfn.XLOOKUP($A260,Output_Mac!$A:$A,Output_Mac!M:M,""),
_xlpm.MyAuditVal,_xlfn.XLOOKUP($A260,My_Audit!$A:$A,My_Audit!L:L,""),
_xlfn.IFS(_xlpm.MyAuditVal&lt;&gt;"",UPPER(_xlpm.MyAuditVal),_xlpm.MacVal&lt;&gt;"",_xlpm.MacVal,_xlpm.CSVVal&lt;&gt;"",_xlpm.CSVVal
)),"")</f>
        <v/>
      </c>
      <c r="N260" s="40"/>
      <c r="O260" s="40" t="str">
        <f>_xlfn.LET(
    _xlpm.CSVVal, _xlfn.XLOOKUP($A260, CSV!$A:$A, CSV!AA:AA, ""),
    _xlpm.MacVal, _xlfn.XLOOKUP($A260, Output_Mac!$A:$A, Output_Mac!S:S, ""),
    _xlpm.MyAuditVal, _xlfn.XLOOKUP($A260, My_Audit!$A:$A, My_Audit!P:P, ""),
    _xlfn.TEXTJOIN(", ", TRUE, _xlpm.MyAuditVal, _xlpm.MacVal, _xlpm.CSVVal)
)</f>
        <v/>
      </c>
      <c r="P260" s="40" t="str" cm="1">
        <f t="array" ref="P260">IFERROR(_xlfn.LET(
_xlpm.CSVVal,_xlfn.XLOOKUP($A260,CSV!$A:$A,CSV!AB:AB,""),
_xlpm.MacVal,_xlfn.XLOOKUP($A260,Output_Mac!$A:$A,Output_Mac!T:T,""),
_xlpm.MyAuditVal,_xlfn.XLOOKUP($A260,My_Audit!$A:$A,My_Audit!Q:Q,""),
_xlfn.IFS(_xlpm.MyAuditVal&lt;&gt;"",UPPER(_xlpm.MyAuditVal),_xlpm.MacVal&lt;&gt;"",_xlpm.MacVal,_xlpm.CSVVal&lt;&gt;"",_xlpm.CSVVal
)),"No")</f>
        <v>No</v>
      </c>
      <c r="Q260" s="40" t="str" cm="1">
        <f t="array" ref="Q260">IFERROR(_xlfn.LET(
_xlpm.CSVVal,_xlfn.XLOOKUP($A260,CSV!$A:$A,CSV!AC:AC,""),
_xlpm.MacVal,_xlfn.XLOOKUP($A260,Output_Mac!$A:$A,Output_Mac!U:U,""),
_xlpm.MyAuditVal,_xlfn.XLOOKUP($A260,My_Audit!$A:$A,My_Audit!R:R,""),
_xlfn.IFS(_xlpm.MyAuditVal&lt;&gt;"",UPPER(_xlpm.MyAuditVal),_xlpm.MacVal&lt;&gt;"",_xlpm.MacVal,_xlpm.CSVVal&lt;&gt;"",_xlpm.CSVVal
)),"")</f>
        <v/>
      </c>
      <c r="R260" s="40"/>
      <c r="S260" s="40"/>
      <c r="T260" s="40"/>
      <c r="U260" s="40"/>
      <c r="V260" s="40"/>
      <c r="W260" s="40"/>
      <c r="X260" s="41" t="str">
        <f>_xlfn.LET(
    _xlpm.MacVal, _xlfn.XLOOKUP($A260, Output_Mac!$A:$A, Output_Mac!AB:AB, ""),
    _xlpm.MyAuditVal, _xlfn.XLOOKUP($A260, My_Audit!$A:$A, My_Audit!N:N, ""),
    _xlfn.TEXTJOIN(", ", TRUE, _xlpm.MyAuditVal, _xlpm.MacVal)
)</f>
        <v/>
      </c>
    </row>
    <row r="261" spans="1:24">
      <c r="A261" s="40" t="str">
        <f>_xlfn.TEXTJOIN("",TRUE,Input!$B$2,ROW(My_Audit!A260))</f>
        <v>X260</v>
      </c>
      <c r="B261" s="40" t="str">
        <f>_xlfn.TEXTJOIN("-",TRUE,"ITD",Input!$A$2,A261)</f>
        <v>ITD-X260</v>
      </c>
      <c r="C261" s="40" t="str" cm="1">
        <f t="array" ref="C261">IFERROR(_xlfn.LET(
_xlpm.CSVVal,_xlfn.XLOOKUP($A261,CSV!$A:$A,CSV!B:B,""),
_xlpm.MacVal,_xlfn.XLOOKUP($A261,Output_Mac!$A:$A,Output_Mac!B:B,""),
_xlpm.MyAuditVal,_xlfn.XLOOKUP($A261,My_Audit!$A:$A,My_Audit!B:B,""),
_xlfn.IFS(_xlpm.MyAuditVal&lt;&gt;"",UPPER(_xlpm.MyAuditVal),_xlpm.MacVal&lt;&gt;"",_xlpm.MacVal,_xlpm.CSVVal&lt;&gt;"",_xlpm.CSVVal
)),"")</f>
        <v/>
      </c>
      <c r="D261" s="40" t="str" cm="1">
        <f t="array" ref="D261">IFERROR(_xlfn.LET(
_xlpm.CSVVal,_xlfn.XLOOKUP($A261,CSV!$A:$A,CSV!D:D,""),
_xlpm.MacVal,_xlfn.XLOOKUP($A261,Output_Mac!$A:$A,Output_Mac!C:C,""),
_xlpm.MyAuditVal,_xlfn.XLOOKUP($A261,My_Audit!$A:$A,My_Audit!C:C,""),
_xlfn.IFS(_xlpm.MyAuditVal&lt;&gt;"",_xlpm.MyAuditVal,_xlpm.MacVal&lt;&gt;"",_xlpm.MacVal,_xlpm.CSVVal&lt;&gt;"",_xlpm.CSVVal
)),"")</f>
        <v/>
      </c>
      <c r="E261" s="40">
        <f>_xlfn.XLOOKUP(A261,My_Audit!A:A,My_Audit!D:D,"")</f>
        <v>0</v>
      </c>
      <c r="F261" s="40" t="str" cm="1">
        <f t="array" ref="F261">IFERROR(_xlfn.LET(
_xlpm.CSVVal,_xlfn.XLOOKUP($A261,CSV!$A:$A,CSV!F:F,""),
_xlpm.MacVal,_xlfn.XLOOKUP($A261,Output_Mac!$A:$A,Output_Mac!E:E,""),
_xlpm.MyAuditVal,_xlfn.XLOOKUP($A261,My_Audit!$A:$A,My_Audit!E:E,""),
_xlfn.IFS(_xlpm.MyAuditVal&lt;&gt;"",_xlpm.MyAuditVal,_xlpm.MacVal&lt;&gt;"",_xlpm.MacVal,_xlpm.CSVVal&lt;&gt;"",_xlpm.CSVVal
)),"")</f>
        <v/>
      </c>
      <c r="G261" s="40" t="str" cm="1">
        <f t="array" ref="G261">IFERROR(_xlfn.LET(
_xlpm.CSVVal,_xlfn.XLOOKUP($A261,CSV!$A:$A,CSV!G:G,""),
_xlpm.MacVal,_xlfn.XLOOKUP($A261,Output_Mac!$A:$A,Output_Mac!F:F,""),
_xlpm.MyAuditVal,_xlfn.XLOOKUP($A261,My_Audit!$A:$A,My_Audit!F:F,""),
_xlfn.IFS(_xlpm.MyAuditVal&lt;&gt;"",_xlpm.MyAuditVal,_xlpm.MacVal&lt;&gt;"",_xlpm.MacVal,_xlpm.CSVVal&lt;&gt;"",PROPER(_xlpm.CSVVal)
)),"")</f>
        <v/>
      </c>
      <c r="H261" s="40" t="str" cm="1">
        <f t="array" ref="H261">IFERROR(_xlfn.LET(
_xlpm.CSVVal,_xlfn.XLOOKUP($A261,CSV!$A:$A,CSV!H:H,""),
_xlpm.MacVal,_xlfn.XLOOKUP($A261,Output_Mac!$A:$A,Output_Mac!H:H,""),
_xlpm.MyAuditVal,_xlfn.XLOOKUP($A261,My_Audit!$A:$A,My_Audit!G:G,""),
_xlfn.IFS(_xlpm.MyAuditVal&lt;&gt;"",_xlpm.MyAuditVal,_xlpm.MacVal&lt;&gt;"",_xlpm.MacVal,_xlpm.CSVVal&lt;&gt;"",_xlpm.CSVVal
)),"")</f>
        <v/>
      </c>
      <c r="I261" s="40" t="str">
        <f>_xlfn.XLOOKUP(A261,Output_Mac!A:A,Output_Mac!I:I,"")</f>
        <v/>
      </c>
      <c r="J261" s="40" t="str" cm="1">
        <f t="array" ref="J261">IFERROR(_xlfn.LET(
_xlpm.CSVVal,_xlfn.XLOOKUP($A261,CSV!$A:$A,CSV!I:I,""),
_xlpm.MacVal,_xlfn.XLOOKUP($A261,Output_Mac!$A:$A,Output_Mac!J:J,""),
_xlpm.MyAuditVal,_xlfn.XLOOKUP($A261,My_Audit!$A:$A,My_Audit!I:I,""),
_xlfn.IFS(_xlpm.MyAuditVal&lt;&gt;"",UPPER(_xlpm.MyAuditVal),_xlpm.MacVal&lt;&gt;"",_xlpm.MacVal,_xlpm.CSVVal&lt;&gt;"",_xlpm.CSVVal
)),"")</f>
        <v/>
      </c>
      <c r="K261" s="40" t="str" cm="1">
        <f t="array" ref="K261">IFERROR(_xlfn.LET(
_xlpm.CSVVal,_xlfn.XLOOKUP($A261,CSV!$A:$A,CSV!K:K,""),
_xlpm.MacVal,_xlfn.XLOOKUP($A261,Output_Mac!$A:$A,Output_Mac!K:K,""),
_xlpm.MyAuditVal,_xlfn.XLOOKUP($A261,My_Audit!$A:$A,My_Audit!J:J,""),
_xlfn.IFS(_xlpm.MyAuditVal&lt;&gt;"",UPPER(_xlpm.MyAuditVal),_xlpm.MacVal&lt;&gt;"",_xlpm.MacVal,_xlpm.CSVVal&lt;&gt;"",_xlpm.CSVVal
)),"")</f>
        <v/>
      </c>
      <c r="L261" s="40" t="str" cm="1">
        <f t="array" ref="L261">IFERROR(_xlfn.LET(
_xlpm.CSVVal,_xlfn.XLOOKUP($A261,CSV!$A:$A,CSV!P:P,""),
_xlpm.MacVal,_xlfn.XLOOKUP($A261,Output_Mac!$A:$A,Output_Mac!L:L,""),
_xlpm.MyAuditVal,_xlfn.XLOOKUP($A261,My_Audit!$A:$A,My_Audit!K:K,""),
_xlfn.IFS(_xlpm.MyAuditVal&lt;&gt;"",UPPER(_xlpm.MyAuditVal),_xlpm.MacVal&lt;&gt;"",_xlpm.MacVal,_xlpm.CSVVal&lt;&gt;"",_xlpm.CSVVal
)),"")</f>
        <v/>
      </c>
      <c r="M261" s="40" t="str" cm="1">
        <f t="array" ref="M261">IFERROR(_xlfn.LET(
_xlpm.CSVVal,_xlfn.XLOOKUP($A261,CSV!$A:$A,CSV!Q:Q,""),
_xlpm.MacVal,_xlfn.XLOOKUP($A261,Output_Mac!$A:$A,Output_Mac!M:M,""),
_xlpm.MyAuditVal,_xlfn.XLOOKUP($A261,My_Audit!$A:$A,My_Audit!L:L,""),
_xlfn.IFS(_xlpm.MyAuditVal&lt;&gt;"",UPPER(_xlpm.MyAuditVal),_xlpm.MacVal&lt;&gt;"",_xlpm.MacVal,_xlpm.CSVVal&lt;&gt;"",_xlpm.CSVVal
)),"")</f>
        <v/>
      </c>
      <c r="N261" s="40"/>
      <c r="O261" s="40" t="str">
        <f>_xlfn.LET(
    _xlpm.CSVVal, _xlfn.XLOOKUP($A261, CSV!$A:$A, CSV!AA:AA, ""),
    _xlpm.MacVal, _xlfn.XLOOKUP($A261, Output_Mac!$A:$A, Output_Mac!S:S, ""),
    _xlpm.MyAuditVal, _xlfn.XLOOKUP($A261, My_Audit!$A:$A, My_Audit!P:P, ""),
    _xlfn.TEXTJOIN(", ", TRUE, _xlpm.MyAuditVal, _xlpm.MacVal, _xlpm.CSVVal)
)</f>
        <v/>
      </c>
      <c r="P261" s="40" t="str" cm="1">
        <f t="array" ref="P261">IFERROR(_xlfn.LET(
_xlpm.CSVVal,_xlfn.XLOOKUP($A261,CSV!$A:$A,CSV!AB:AB,""),
_xlpm.MacVal,_xlfn.XLOOKUP($A261,Output_Mac!$A:$A,Output_Mac!T:T,""),
_xlpm.MyAuditVal,_xlfn.XLOOKUP($A261,My_Audit!$A:$A,My_Audit!Q:Q,""),
_xlfn.IFS(_xlpm.MyAuditVal&lt;&gt;"",UPPER(_xlpm.MyAuditVal),_xlpm.MacVal&lt;&gt;"",_xlpm.MacVal,_xlpm.CSVVal&lt;&gt;"",_xlpm.CSVVal
)),"No")</f>
        <v>No</v>
      </c>
      <c r="Q261" s="40" t="str" cm="1">
        <f t="array" ref="Q261">IFERROR(_xlfn.LET(
_xlpm.CSVVal,_xlfn.XLOOKUP($A261,CSV!$A:$A,CSV!AC:AC,""),
_xlpm.MacVal,_xlfn.XLOOKUP($A261,Output_Mac!$A:$A,Output_Mac!U:U,""),
_xlpm.MyAuditVal,_xlfn.XLOOKUP($A261,My_Audit!$A:$A,My_Audit!R:R,""),
_xlfn.IFS(_xlpm.MyAuditVal&lt;&gt;"",UPPER(_xlpm.MyAuditVal),_xlpm.MacVal&lt;&gt;"",_xlpm.MacVal,_xlpm.CSVVal&lt;&gt;"",_xlpm.CSVVal
)),"")</f>
        <v/>
      </c>
      <c r="R261" s="40"/>
      <c r="S261" s="40"/>
      <c r="T261" s="40"/>
      <c r="U261" s="40"/>
      <c r="V261" s="40"/>
      <c r="W261" s="40"/>
      <c r="X261" s="41" t="str">
        <f>_xlfn.LET(
    _xlpm.MacVal, _xlfn.XLOOKUP($A261, Output_Mac!$A:$A, Output_Mac!AB:AB, ""),
    _xlpm.MyAuditVal, _xlfn.XLOOKUP($A261, My_Audit!$A:$A, My_Audit!N:N, ""),
    _xlfn.TEXTJOIN(", ", TRUE, _xlpm.MyAuditVal, _xlpm.MacVal)
)</f>
        <v/>
      </c>
    </row>
    <row r="262" spans="1:24">
      <c r="A262" s="40" t="str">
        <f>_xlfn.TEXTJOIN("",TRUE,Input!$B$2,ROW(My_Audit!A261))</f>
        <v>X261</v>
      </c>
      <c r="B262" s="40" t="str">
        <f>_xlfn.TEXTJOIN("-",TRUE,"ITD",Input!$A$2,A262)</f>
        <v>ITD-X261</v>
      </c>
      <c r="C262" s="40" t="str" cm="1">
        <f t="array" ref="C262">IFERROR(_xlfn.LET(
_xlpm.CSVVal,_xlfn.XLOOKUP($A262,CSV!$A:$A,CSV!B:B,""),
_xlpm.MacVal,_xlfn.XLOOKUP($A262,Output_Mac!$A:$A,Output_Mac!B:B,""),
_xlpm.MyAuditVal,_xlfn.XLOOKUP($A262,My_Audit!$A:$A,My_Audit!B:B,""),
_xlfn.IFS(_xlpm.MyAuditVal&lt;&gt;"",UPPER(_xlpm.MyAuditVal),_xlpm.MacVal&lt;&gt;"",_xlpm.MacVal,_xlpm.CSVVal&lt;&gt;"",_xlpm.CSVVal
)),"")</f>
        <v/>
      </c>
      <c r="D262" s="40" t="str" cm="1">
        <f t="array" ref="D262">IFERROR(_xlfn.LET(
_xlpm.CSVVal,_xlfn.XLOOKUP($A262,CSV!$A:$A,CSV!D:D,""),
_xlpm.MacVal,_xlfn.XLOOKUP($A262,Output_Mac!$A:$A,Output_Mac!C:C,""),
_xlpm.MyAuditVal,_xlfn.XLOOKUP($A262,My_Audit!$A:$A,My_Audit!C:C,""),
_xlfn.IFS(_xlpm.MyAuditVal&lt;&gt;"",_xlpm.MyAuditVal,_xlpm.MacVal&lt;&gt;"",_xlpm.MacVal,_xlpm.CSVVal&lt;&gt;"",_xlpm.CSVVal
)),"")</f>
        <v/>
      </c>
      <c r="E262" s="40">
        <f>_xlfn.XLOOKUP(A262,My_Audit!A:A,My_Audit!D:D,"")</f>
        <v>0</v>
      </c>
      <c r="F262" s="40" t="str" cm="1">
        <f t="array" ref="F262">IFERROR(_xlfn.LET(
_xlpm.CSVVal,_xlfn.XLOOKUP($A262,CSV!$A:$A,CSV!F:F,""),
_xlpm.MacVal,_xlfn.XLOOKUP($A262,Output_Mac!$A:$A,Output_Mac!E:E,""),
_xlpm.MyAuditVal,_xlfn.XLOOKUP($A262,My_Audit!$A:$A,My_Audit!E:E,""),
_xlfn.IFS(_xlpm.MyAuditVal&lt;&gt;"",_xlpm.MyAuditVal,_xlpm.MacVal&lt;&gt;"",_xlpm.MacVal,_xlpm.CSVVal&lt;&gt;"",_xlpm.CSVVal
)),"")</f>
        <v/>
      </c>
      <c r="G262" s="40" t="str" cm="1">
        <f t="array" ref="G262">IFERROR(_xlfn.LET(
_xlpm.CSVVal,_xlfn.XLOOKUP($A262,CSV!$A:$A,CSV!G:G,""),
_xlpm.MacVal,_xlfn.XLOOKUP($A262,Output_Mac!$A:$A,Output_Mac!F:F,""),
_xlpm.MyAuditVal,_xlfn.XLOOKUP($A262,My_Audit!$A:$A,My_Audit!F:F,""),
_xlfn.IFS(_xlpm.MyAuditVal&lt;&gt;"",_xlpm.MyAuditVal,_xlpm.MacVal&lt;&gt;"",_xlpm.MacVal,_xlpm.CSVVal&lt;&gt;"",PROPER(_xlpm.CSVVal)
)),"")</f>
        <v/>
      </c>
      <c r="H262" s="40" t="str" cm="1">
        <f t="array" ref="H262">IFERROR(_xlfn.LET(
_xlpm.CSVVal,_xlfn.XLOOKUP($A262,CSV!$A:$A,CSV!H:H,""),
_xlpm.MacVal,_xlfn.XLOOKUP($A262,Output_Mac!$A:$A,Output_Mac!H:H,""),
_xlpm.MyAuditVal,_xlfn.XLOOKUP($A262,My_Audit!$A:$A,My_Audit!G:G,""),
_xlfn.IFS(_xlpm.MyAuditVal&lt;&gt;"",_xlpm.MyAuditVal,_xlpm.MacVal&lt;&gt;"",_xlpm.MacVal,_xlpm.CSVVal&lt;&gt;"",_xlpm.CSVVal
)),"")</f>
        <v/>
      </c>
      <c r="I262" s="40" t="str">
        <f>_xlfn.XLOOKUP(A262,Output_Mac!A:A,Output_Mac!I:I,"")</f>
        <v/>
      </c>
      <c r="J262" s="40" t="str" cm="1">
        <f t="array" ref="J262">IFERROR(_xlfn.LET(
_xlpm.CSVVal,_xlfn.XLOOKUP($A262,CSV!$A:$A,CSV!I:I,""),
_xlpm.MacVal,_xlfn.XLOOKUP($A262,Output_Mac!$A:$A,Output_Mac!J:J,""),
_xlpm.MyAuditVal,_xlfn.XLOOKUP($A262,My_Audit!$A:$A,My_Audit!I:I,""),
_xlfn.IFS(_xlpm.MyAuditVal&lt;&gt;"",UPPER(_xlpm.MyAuditVal),_xlpm.MacVal&lt;&gt;"",_xlpm.MacVal,_xlpm.CSVVal&lt;&gt;"",_xlpm.CSVVal
)),"")</f>
        <v/>
      </c>
      <c r="K262" s="40" t="str" cm="1">
        <f t="array" ref="K262">IFERROR(_xlfn.LET(
_xlpm.CSVVal,_xlfn.XLOOKUP($A262,CSV!$A:$A,CSV!K:K,""),
_xlpm.MacVal,_xlfn.XLOOKUP($A262,Output_Mac!$A:$A,Output_Mac!K:K,""),
_xlpm.MyAuditVal,_xlfn.XLOOKUP($A262,My_Audit!$A:$A,My_Audit!J:J,""),
_xlfn.IFS(_xlpm.MyAuditVal&lt;&gt;"",UPPER(_xlpm.MyAuditVal),_xlpm.MacVal&lt;&gt;"",_xlpm.MacVal,_xlpm.CSVVal&lt;&gt;"",_xlpm.CSVVal
)),"")</f>
        <v/>
      </c>
      <c r="L262" s="40" t="str" cm="1">
        <f t="array" ref="L262">IFERROR(_xlfn.LET(
_xlpm.CSVVal,_xlfn.XLOOKUP($A262,CSV!$A:$A,CSV!P:P,""),
_xlpm.MacVal,_xlfn.XLOOKUP($A262,Output_Mac!$A:$A,Output_Mac!L:L,""),
_xlpm.MyAuditVal,_xlfn.XLOOKUP($A262,My_Audit!$A:$A,My_Audit!K:K,""),
_xlfn.IFS(_xlpm.MyAuditVal&lt;&gt;"",UPPER(_xlpm.MyAuditVal),_xlpm.MacVal&lt;&gt;"",_xlpm.MacVal,_xlpm.CSVVal&lt;&gt;"",_xlpm.CSVVal
)),"")</f>
        <v/>
      </c>
      <c r="M262" s="40" t="str" cm="1">
        <f t="array" ref="M262">IFERROR(_xlfn.LET(
_xlpm.CSVVal,_xlfn.XLOOKUP($A262,CSV!$A:$A,CSV!Q:Q,""),
_xlpm.MacVal,_xlfn.XLOOKUP($A262,Output_Mac!$A:$A,Output_Mac!M:M,""),
_xlpm.MyAuditVal,_xlfn.XLOOKUP($A262,My_Audit!$A:$A,My_Audit!L:L,""),
_xlfn.IFS(_xlpm.MyAuditVal&lt;&gt;"",UPPER(_xlpm.MyAuditVal),_xlpm.MacVal&lt;&gt;"",_xlpm.MacVal,_xlpm.CSVVal&lt;&gt;"",_xlpm.CSVVal
)),"")</f>
        <v/>
      </c>
      <c r="N262" s="40"/>
      <c r="O262" s="40" t="str">
        <f>_xlfn.LET(
    _xlpm.CSVVal, _xlfn.XLOOKUP($A262, CSV!$A:$A, CSV!AA:AA, ""),
    _xlpm.MacVal, _xlfn.XLOOKUP($A262, Output_Mac!$A:$A, Output_Mac!S:S, ""),
    _xlpm.MyAuditVal, _xlfn.XLOOKUP($A262, My_Audit!$A:$A, My_Audit!P:P, ""),
    _xlfn.TEXTJOIN(", ", TRUE, _xlpm.MyAuditVal, _xlpm.MacVal, _xlpm.CSVVal)
)</f>
        <v/>
      </c>
      <c r="P262" s="40" t="str" cm="1">
        <f t="array" ref="P262">IFERROR(_xlfn.LET(
_xlpm.CSVVal,_xlfn.XLOOKUP($A262,CSV!$A:$A,CSV!AB:AB,""),
_xlpm.MacVal,_xlfn.XLOOKUP($A262,Output_Mac!$A:$A,Output_Mac!T:T,""),
_xlpm.MyAuditVal,_xlfn.XLOOKUP($A262,My_Audit!$A:$A,My_Audit!Q:Q,""),
_xlfn.IFS(_xlpm.MyAuditVal&lt;&gt;"",UPPER(_xlpm.MyAuditVal),_xlpm.MacVal&lt;&gt;"",_xlpm.MacVal,_xlpm.CSVVal&lt;&gt;"",_xlpm.CSVVal
)),"No")</f>
        <v>No</v>
      </c>
      <c r="Q262" s="40" t="str" cm="1">
        <f t="array" ref="Q262">IFERROR(_xlfn.LET(
_xlpm.CSVVal,_xlfn.XLOOKUP($A262,CSV!$A:$A,CSV!AC:AC,""),
_xlpm.MacVal,_xlfn.XLOOKUP($A262,Output_Mac!$A:$A,Output_Mac!U:U,""),
_xlpm.MyAuditVal,_xlfn.XLOOKUP($A262,My_Audit!$A:$A,My_Audit!R:R,""),
_xlfn.IFS(_xlpm.MyAuditVal&lt;&gt;"",UPPER(_xlpm.MyAuditVal),_xlpm.MacVal&lt;&gt;"",_xlpm.MacVal,_xlpm.CSVVal&lt;&gt;"",_xlpm.CSVVal
)),"")</f>
        <v/>
      </c>
      <c r="R262" s="40"/>
      <c r="S262" s="40"/>
      <c r="T262" s="40"/>
      <c r="U262" s="40"/>
      <c r="V262" s="40"/>
      <c r="W262" s="40"/>
      <c r="X262" s="41" t="str">
        <f>_xlfn.LET(
    _xlpm.MacVal, _xlfn.XLOOKUP($A262, Output_Mac!$A:$A, Output_Mac!AB:AB, ""),
    _xlpm.MyAuditVal, _xlfn.XLOOKUP($A262, My_Audit!$A:$A, My_Audit!N:N, ""),
    _xlfn.TEXTJOIN(", ", TRUE, _xlpm.MyAuditVal, _xlpm.MacVal)
)</f>
        <v/>
      </c>
    </row>
    <row r="263" spans="1:24">
      <c r="A263" s="40" t="str">
        <f>_xlfn.TEXTJOIN("",TRUE,Input!$B$2,ROW(My_Audit!A262))</f>
        <v>X262</v>
      </c>
      <c r="B263" s="40" t="str">
        <f>_xlfn.TEXTJOIN("-",TRUE,"ITD",Input!$A$2,A263)</f>
        <v>ITD-X262</v>
      </c>
      <c r="C263" s="40" t="str" cm="1">
        <f t="array" ref="C263">IFERROR(_xlfn.LET(
_xlpm.CSVVal,_xlfn.XLOOKUP($A263,CSV!$A:$A,CSV!B:B,""),
_xlpm.MacVal,_xlfn.XLOOKUP($A263,Output_Mac!$A:$A,Output_Mac!B:B,""),
_xlpm.MyAuditVal,_xlfn.XLOOKUP($A263,My_Audit!$A:$A,My_Audit!B:B,""),
_xlfn.IFS(_xlpm.MyAuditVal&lt;&gt;"",UPPER(_xlpm.MyAuditVal),_xlpm.MacVal&lt;&gt;"",_xlpm.MacVal,_xlpm.CSVVal&lt;&gt;"",_xlpm.CSVVal
)),"")</f>
        <v/>
      </c>
      <c r="D263" s="40" t="str" cm="1">
        <f t="array" ref="D263">IFERROR(_xlfn.LET(
_xlpm.CSVVal,_xlfn.XLOOKUP($A263,CSV!$A:$A,CSV!D:D,""),
_xlpm.MacVal,_xlfn.XLOOKUP($A263,Output_Mac!$A:$A,Output_Mac!C:C,""),
_xlpm.MyAuditVal,_xlfn.XLOOKUP($A263,My_Audit!$A:$A,My_Audit!C:C,""),
_xlfn.IFS(_xlpm.MyAuditVal&lt;&gt;"",_xlpm.MyAuditVal,_xlpm.MacVal&lt;&gt;"",_xlpm.MacVal,_xlpm.CSVVal&lt;&gt;"",_xlpm.CSVVal
)),"")</f>
        <v/>
      </c>
      <c r="E263" s="40">
        <f>_xlfn.XLOOKUP(A263,My_Audit!A:A,My_Audit!D:D,"")</f>
        <v>0</v>
      </c>
      <c r="F263" s="40" t="str" cm="1">
        <f t="array" ref="F263">IFERROR(_xlfn.LET(
_xlpm.CSVVal,_xlfn.XLOOKUP($A263,CSV!$A:$A,CSV!F:F,""),
_xlpm.MacVal,_xlfn.XLOOKUP($A263,Output_Mac!$A:$A,Output_Mac!E:E,""),
_xlpm.MyAuditVal,_xlfn.XLOOKUP($A263,My_Audit!$A:$A,My_Audit!E:E,""),
_xlfn.IFS(_xlpm.MyAuditVal&lt;&gt;"",_xlpm.MyAuditVal,_xlpm.MacVal&lt;&gt;"",_xlpm.MacVal,_xlpm.CSVVal&lt;&gt;"",_xlpm.CSVVal
)),"")</f>
        <v/>
      </c>
      <c r="G263" s="40" t="str" cm="1">
        <f t="array" ref="G263">IFERROR(_xlfn.LET(
_xlpm.CSVVal,_xlfn.XLOOKUP($A263,CSV!$A:$A,CSV!G:G,""),
_xlpm.MacVal,_xlfn.XLOOKUP($A263,Output_Mac!$A:$A,Output_Mac!F:F,""),
_xlpm.MyAuditVal,_xlfn.XLOOKUP($A263,My_Audit!$A:$A,My_Audit!F:F,""),
_xlfn.IFS(_xlpm.MyAuditVal&lt;&gt;"",_xlpm.MyAuditVal,_xlpm.MacVal&lt;&gt;"",_xlpm.MacVal,_xlpm.CSVVal&lt;&gt;"",PROPER(_xlpm.CSVVal)
)),"")</f>
        <v/>
      </c>
      <c r="H263" s="40" t="str" cm="1">
        <f t="array" ref="H263">IFERROR(_xlfn.LET(
_xlpm.CSVVal,_xlfn.XLOOKUP($A263,CSV!$A:$A,CSV!H:H,""),
_xlpm.MacVal,_xlfn.XLOOKUP($A263,Output_Mac!$A:$A,Output_Mac!H:H,""),
_xlpm.MyAuditVal,_xlfn.XLOOKUP($A263,My_Audit!$A:$A,My_Audit!G:G,""),
_xlfn.IFS(_xlpm.MyAuditVal&lt;&gt;"",_xlpm.MyAuditVal,_xlpm.MacVal&lt;&gt;"",_xlpm.MacVal,_xlpm.CSVVal&lt;&gt;"",_xlpm.CSVVal
)),"")</f>
        <v/>
      </c>
      <c r="I263" s="40" t="str">
        <f>_xlfn.XLOOKUP(A263,Output_Mac!A:A,Output_Mac!I:I,"")</f>
        <v/>
      </c>
      <c r="J263" s="40" t="str" cm="1">
        <f t="array" ref="J263">IFERROR(_xlfn.LET(
_xlpm.CSVVal,_xlfn.XLOOKUP($A263,CSV!$A:$A,CSV!I:I,""),
_xlpm.MacVal,_xlfn.XLOOKUP($A263,Output_Mac!$A:$A,Output_Mac!J:J,""),
_xlpm.MyAuditVal,_xlfn.XLOOKUP($A263,My_Audit!$A:$A,My_Audit!I:I,""),
_xlfn.IFS(_xlpm.MyAuditVal&lt;&gt;"",UPPER(_xlpm.MyAuditVal),_xlpm.MacVal&lt;&gt;"",_xlpm.MacVal,_xlpm.CSVVal&lt;&gt;"",_xlpm.CSVVal
)),"")</f>
        <v/>
      </c>
      <c r="K263" s="40" t="str" cm="1">
        <f t="array" ref="K263">IFERROR(_xlfn.LET(
_xlpm.CSVVal,_xlfn.XLOOKUP($A263,CSV!$A:$A,CSV!K:K,""),
_xlpm.MacVal,_xlfn.XLOOKUP($A263,Output_Mac!$A:$A,Output_Mac!K:K,""),
_xlpm.MyAuditVal,_xlfn.XLOOKUP($A263,My_Audit!$A:$A,My_Audit!J:J,""),
_xlfn.IFS(_xlpm.MyAuditVal&lt;&gt;"",UPPER(_xlpm.MyAuditVal),_xlpm.MacVal&lt;&gt;"",_xlpm.MacVal,_xlpm.CSVVal&lt;&gt;"",_xlpm.CSVVal
)),"")</f>
        <v/>
      </c>
      <c r="L263" s="40" t="str" cm="1">
        <f t="array" ref="L263">IFERROR(_xlfn.LET(
_xlpm.CSVVal,_xlfn.XLOOKUP($A263,CSV!$A:$A,CSV!P:P,""),
_xlpm.MacVal,_xlfn.XLOOKUP($A263,Output_Mac!$A:$A,Output_Mac!L:L,""),
_xlpm.MyAuditVal,_xlfn.XLOOKUP($A263,My_Audit!$A:$A,My_Audit!K:K,""),
_xlfn.IFS(_xlpm.MyAuditVal&lt;&gt;"",UPPER(_xlpm.MyAuditVal),_xlpm.MacVal&lt;&gt;"",_xlpm.MacVal,_xlpm.CSVVal&lt;&gt;"",_xlpm.CSVVal
)),"")</f>
        <v/>
      </c>
      <c r="M263" s="40" t="str" cm="1">
        <f t="array" ref="M263">IFERROR(_xlfn.LET(
_xlpm.CSVVal,_xlfn.XLOOKUP($A263,CSV!$A:$A,CSV!Q:Q,""),
_xlpm.MacVal,_xlfn.XLOOKUP($A263,Output_Mac!$A:$A,Output_Mac!M:M,""),
_xlpm.MyAuditVal,_xlfn.XLOOKUP($A263,My_Audit!$A:$A,My_Audit!L:L,""),
_xlfn.IFS(_xlpm.MyAuditVal&lt;&gt;"",UPPER(_xlpm.MyAuditVal),_xlpm.MacVal&lt;&gt;"",_xlpm.MacVal,_xlpm.CSVVal&lt;&gt;"",_xlpm.CSVVal
)),"")</f>
        <v/>
      </c>
      <c r="N263" s="40"/>
      <c r="O263" s="40" t="str">
        <f>_xlfn.LET(
    _xlpm.CSVVal, _xlfn.XLOOKUP($A263, CSV!$A:$A, CSV!AA:AA, ""),
    _xlpm.MacVal, _xlfn.XLOOKUP($A263, Output_Mac!$A:$A, Output_Mac!S:S, ""),
    _xlpm.MyAuditVal, _xlfn.XLOOKUP($A263, My_Audit!$A:$A, My_Audit!P:P, ""),
    _xlfn.TEXTJOIN(", ", TRUE, _xlpm.MyAuditVal, _xlpm.MacVal, _xlpm.CSVVal)
)</f>
        <v/>
      </c>
      <c r="P263" s="40" t="str" cm="1">
        <f t="array" ref="P263">IFERROR(_xlfn.LET(
_xlpm.CSVVal,_xlfn.XLOOKUP($A263,CSV!$A:$A,CSV!AB:AB,""),
_xlpm.MacVal,_xlfn.XLOOKUP($A263,Output_Mac!$A:$A,Output_Mac!T:T,""),
_xlpm.MyAuditVal,_xlfn.XLOOKUP($A263,My_Audit!$A:$A,My_Audit!Q:Q,""),
_xlfn.IFS(_xlpm.MyAuditVal&lt;&gt;"",UPPER(_xlpm.MyAuditVal),_xlpm.MacVal&lt;&gt;"",_xlpm.MacVal,_xlpm.CSVVal&lt;&gt;"",_xlpm.CSVVal
)),"No")</f>
        <v>No</v>
      </c>
      <c r="Q263" s="40" t="str" cm="1">
        <f t="array" ref="Q263">IFERROR(_xlfn.LET(
_xlpm.CSVVal,_xlfn.XLOOKUP($A263,CSV!$A:$A,CSV!AC:AC,""),
_xlpm.MacVal,_xlfn.XLOOKUP($A263,Output_Mac!$A:$A,Output_Mac!U:U,""),
_xlpm.MyAuditVal,_xlfn.XLOOKUP($A263,My_Audit!$A:$A,My_Audit!R:R,""),
_xlfn.IFS(_xlpm.MyAuditVal&lt;&gt;"",UPPER(_xlpm.MyAuditVal),_xlpm.MacVal&lt;&gt;"",_xlpm.MacVal,_xlpm.CSVVal&lt;&gt;"",_xlpm.CSVVal
)),"")</f>
        <v/>
      </c>
      <c r="R263" s="40"/>
      <c r="S263" s="40"/>
      <c r="T263" s="40"/>
      <c r="U263" s="40"/>
      <c r="V263" s="40"/>
      <c r="W263" s="40"/>
      <c r="X263" s="41" t="str">
        <f>_xlfn.LET(
    _xlpm.MacVal, _xlfn.XLOOKUP($A263, Output_Mac!$A:$A, Output_Mac!AB:AB, ""),
    _xlpm.MyAuditVal, _xlfn.XLOOKUP($A263, My_Audit!$A:$A, My_Audit!N:N, ""),
    _xlfn.TEXTJOIN(", ", TRUE, _xlpm.MyAuditVal, _xlpm.MacVal)
)</f>
        <v/>
      </c>
    </row>
    <row r="264" spans="1:24">
      <c r="A264" s="40" t="str">
        <f>_xlfn.TEXTJOIN("",TRUE,Input!$B$2,ROW(My_Audit!A263))</f>
        <v>X263</v>
      </c>
      <c r="B264" s="40" t="str">
        <f>_xlfn.TEXTJOIN("-",TRUE,"ITD",Input!$A$2,A264)</f>
        <v>ITD-X263</v>
      </c>
      <c r="C264" s="40" t="str" cm="1">
        <f t="array" ref="C264">IFERROR(_xlfn.LET(
_xlpm.CSVVal,_xlfn.XLOOKUP($A264,CSV!$A:$A,CSV!B:B,""),
_xlpm.MacVal,_xlfn.XLOOKUP($A264,Output_Mac!$A:$A,Output_Mac!B:B,""),
_xlpm.MyAuditVal,_xlfn.XLOOKUP($A264,My_Audit!$A:$A,My_Audit!B:B,""),
_xlfn.IFS(_xlpm.MyAuditVal&lt;&gt;"",UPPER(_xlpm.MyAuditVal),_xlpm.MacVal&lt;&gt;"",_xlpm.MacVal,_xlpm.CSVVal&lt;&gt;"",_xlpm.CSVVal
)),"")</f>
        <v/>
      </c>
      <c r="D264" s="40" t="str" cm="1">
        <f t="array" ref="D264">IFERROR(_xlfn.LET(
_xlpm.CSVVal,_xlfn.XLOOKUP($A264,CSV!$A:$A,CSV!D:D,""),
_xlpm.MacVal,_xlfn.XLOOKUP($A264,Output_Mac!$A:$A,Output_Mac!C:C,""),
_xlpm.MyAuditVal,_xlfn.XLOOKUP($A264,My_Audit!$A:$A,My_Audit!C:C,""),
_xlfn.IFS(_xlpm.MyAuditVal&lt;&gt;"",_xlpm.MyAuditVal,_xlpm.MacVal&lt;&gt;"",_xlpm.MacVal,_xlpm.CSVVal&lt;&gt;"",_xlpm.CSVVal
)),"")</f>
        <v/>
      </c>
      <c r="E264" s="40">
        <f>_xlfn.XLOOKUP(A264,My_Audit!A:A,My_Audit!D:D,"")</f>
        <v>0</v>
      </c>
      <c r="F264" s="40" t="str" cm="1">
        <f t="array" ref="F264">IFERROR(_xlfn.LET(
_xlpm.CSVVal,_xlfn.XLOOKUP($A264,CSV!$A:$A,CSV!F:F,""),
_xlpm.MacVal,_xlfn.XLOOKUP($A264,Output_Mac!$A:$A,Output_Mac!E:E,""),
_xlpm.MyAuditVal,_xlfn.XLOOKUP($A264,My_Audit!$A:$A,My_Audit!E:E,""),
_xlfn.IFS(_xlpm.MyAuditVal&lt;&gt;"",_xlpm.MyAuditVal,_xlpm.MacVal&lt;&gt;"",_xlpm.MacVal,_xlpm.CSVVal&lt;&gt;"",_xlpm.CSVVal
)),"")</f>
        <v/>
      </c>
      <c r="G264" s="40" t="str" cm="1">
        <f t="array" ref="G264">IFERROR(_xlfn.LET(
_xlpm.CSVVal,_xlfn.XLOOKUP($A264,CSV!$A:$A,CSV!G:G,""),
_xlpm.MacVal,_xlfn.XLOOKUP($A264,Output_Mac!$A:$A,Output_Mac!F:F,""),
_xlpm.MyAuditVal,_xlfn.XLOOKUP($A264,My_Audit!$A:$A,My_Audit!F:F,""),
_xlfn.IFS(_xlpm.MyAuditVal&lt;&gt;"",_xlpm.MyAuditVal,_xlpm.MacVal&lt;&gt;"",_xlpm.MacVal,_xlpm.CSVVal&lt;&gt;"",PROPER(_xlpm.CSVVal)
)),"")</f>
        <v/>
      </c>
      <c r="H264" s="40" t="str" cm="1">
        <f t="array" ref="H264">IFERROR(_xlfn.LET(
_xlpm.CSVVal,_xlfn.XLOOKUP($A264,CSV!$A:$A,CSV!H:H,""),
_xlpm.MacVal,_xlfn.XLOOKUP($A264,Output_Mac!$A:$A,Output_Mac!H:H,""),
_xlpm.MyAuditVal,_xlfn.XLOOKUP($A264,My_Audit!$A:$A,My_Audit!G:G,""),
_xlfn.IFS(_xlpm.MyAuditVal&lt;&gt;"",_xlpm.MyAuditVal,_xlpm.MacVal&lt;&gt;"",_xlpm.MacVal,_xlpm.CSVVal&lt;&gt;"",_xlpm.CSVVal
)),"")</f>
        <v/>
      </c>
      <c r="I264" s="40" t="str">
        <f>_xlfn.XLOOKUP(A264,Output_Mac!A:A,Output_Mac!I:I,"")</f>
        <v/>
      </c>
      <c r="J264" s="40" t="str" cm="1">
        <f t="array" ref="J264">IFERROR(_xlfn.LET(
_xlpm.CSVVal,_xlfn.XLOOKUP($A264,CSV!$A:$A,CSV!I:I,""),
_xlpm.MacVal,_xlfn.XLOOKUP($A264,Output_Mac!$A:$A,Output_Mac!J:J,""),
_xlpm.MyAuditVal,_xlfn.XLOOKUP($A264,My_Audit!$A:$A,My_Audit!I:I,""),
_xlfn.IFS(_xlpm.MyAuditVal&lt;&gt;"",UPPER(_xlpm.MyAuditVal),_xlpm.MacVal&lt;&gt;"",_xlpm.MacVal,_xlpm.CSVVal&lt;&gt;"",_xlpm.CSVVal
)),"")</f>
        <v/>
      </c>
      <c r="K264" s="40" t="str" cm="1">
        <f t="array" ref="K264">IFERROR(_xlfn.LET(
_xlpm.CSVVal,_xlfn.XLOOKUP($A264,CSV!$A:$A,CSV!K:K,""),
_xlpm.MacVal,_xlfn.XLOOKUP($A264,Output_Mac!$A:$A,Output_Mac!K:K,""),
_xlpm.MyAuditVal,_xlfn.XLOOKUP($A264,My_Audit!$A:$A,My_Audit!J:J,""),
_xlfn.IFS(_xlpm.MyAuditVal&lt;&gt;"",UPPER(_xlpm.MyAuditVal),_xlpm.MacVal&lt;&gt;"",_xlpm.MacVal,_xlpm.CSVVal&lt;&gt;"",_xlpm.CSVVal
)),"")</f>
        <v/>
      </c>
      <c r="L264" s="40" t="str" cm="1">
        <f t="array" ref="L264">IFERROR(_xlfn.LET(
_xlpm.CSVVal,_xlfn.XLOOKUP($A264,CSV!$A:$A,CSV!P:P,""),
_xlpm.MacVal,_xlfn.XLOOKUP($A264,Output_Mac!$A:$A,Output_Mac!L:L,""),
_xlpm.MyAuditVal,_xlfn.XLOOKUP($A264,My_Audit!$A:$A,My_Audit!K:K,""),
_xlfn.IFS(_xlpm.MyAuditVal&lt;&gt;"",UPPER(_xlpm.MyAuditVal),_xlpm.MacVal&lt;&gt;"",_xlpm.MacVal,_xlpm.CSVVal&lt;&gt;"",_xlpm.CSVVal
)),"")</f>
        <v/>
      </c>
      <c r="M264" s="40" t="str" cm="1">
        <f t="array" ref="M264">IFERROR(_xlfn.LET(
_xlpm.CSVVal,_xlfn.XLOOKUP($A264,CSV!$A:$A,CSV!Q:Q,""),
_xlpm.MacVal,_xlfn.XLOOKUP($A264,Output_Mac!$A:$A,Output_Mac!M:M,""),
_xlpm.MyAuditVal,_xlfn.XLOOKUP($A264,My_Audit!$A:$A,My_Audit!L:L,""),
_xlfn.IFS(_xlpm.MyAuditVal&lt;&gt;"",UPPER(_xlpm.MyAuditVal),_xlpm.MacVal&lt;&gt;"",_xlpm.MacVal,_xlpm.CSVVal&lt;&gt;"",_xlpm.CSVVal
)),"")</f>
        <v/>
      </c>
      <c r="N264" s="40"/>
      <c r="O264" s="40" t="str">
        <f>_xlfn.LET(
    _xlpm.CSVVal, _xlfn.XLOOKUP($A264, CSV!$A:$A, CSV!AA:AA, ""),
    _xlpm.MacVal, _xlfn.XLOOKUP($A264, Output_Mac!$A:$A, Output_Mac!S:S, ""),
    _xlpm.MyAuditVal, _xlfn.XLOOKUP($A264, My_Audit!$A:$A, My_Audit!P:P, ""),
    _xlfn.TEXTJOIN(", ", TRUE, _xlpm.MyAuditVal, _xlpm.MacVal, _xlpm.CSVVal)
)</f>
        <v/>
      </c>
      <c r="P264" s="40" t="str" cm="1">
        <f t="array" ref="P264">IFERROR(_xlfn.LET(
_xlpm.CSVVal,_xlfn.XLOOKUP($A264,CSV!$A:$A,CSV!AB:AB,""),
_xlpm.MacVal,_xlfn.XLOOKUP($A264,Output_Mac!$A:$A,Output_Mac!T:T,""),
_xlpm.MyAuditVal,_xlfn.XLOOKUP($A264,My_Audit!$A:$A,My_Audit!Q:Q,""),
_xlfn.IFS(_xlpm.MyAuditVal&lt;&gt;"",UPPER(_xlpm.MyAuditVal),_xlpm.MacVal&lt;&gt;"",_xlpm.MacVal,_xlpm.CSVVal&lt;&gt;"",_xlpm.CSVVal
)),"No")</f>
        <v>No</v>
      </c>
      <c r="Q264" s="40" t="str" cm="1">
        <f t="array" ref="Q264">IFERROR(_xlfn.LET(
_xlpm.CSVVal,_xlfn.XLOOKUP($A264,CSV!$A:$A,CSV!AC:AC,""),
_xlpm.MacVal,_xlfn.XLOOKUP($A264,Output_Mac!$A:$A,Output_Mac!U:U,""),
_xlpm.MyAuditVal,_xlfn.XLOOKUP($A264,My_Audit!$A:$A,My_Audit!R:R,""),
_xlfn.IFS(_xlpm.MyAuditVal&lt;&gt;"",UPPER(_xlpm.MyAuditVal),_xlpm.MacVal&lt;&gt;"",_xlpm.MacVal,_xlpm.CSVVal&lt;&gt;"",_xlpm.CSVVal
)),"")</f>
        <v/>
      </c>
      <c r="R264" s="40"/>
      <c r="S264" s="40"/>
      <c r="T264" s="40"/>
      <c r="U264" s="40"/>
      <c r="V264" s="40"/>
      <c r="W264" s="40"/>
      <c r="X264" s="41" t="str">
        <f>_xlfn.LET(
    _xlpm.MacVal, _xlfn.XLOOKUP($A264, Output_Mac!$A:$A, Output_Mac!AB:AB, ""),
    _xlpm.MyAuditVal, _xlfn.XLOOKUP($A264, My_Audit!$A:$A, My_Audit!N:N, ""),
    _xlfn.TEXTJOIN(", ", TRUE, _xlpm.MyAuditVal, _xlpm.MacVal)
)</f>
        <v/>
      </c>
    </row>
    <row r="265" spans="1:24">
      <c r="A265" s="40" t="str">
        <f>_xlfn.TEXTJOIN("",TRUE,Input!$B$2,ROW(My_Audit!A264))</f>
        <v>X264</v>
      </c>
      <c r="B265" s="40" t="str">
        <f>_xlfn.TEXTJOIN("-",TRUE,"ITD",Input!$A$2,A265)</f>
        <v>ITD-X264</v>
      </c>
      <c r="C265" s="40" t="str" cm="1">
        <f t="array" ref="C265">IFERROR(_xlfn.LET(
_xlpm.CSVVal,_xlfn.XLOOKUP($A265,CSV!$A:$A,CSV!B:B,""),
_xlpm.MacVal,_xlfn.XLOOKUP($A265,Output_Mac!$A:$A,Output_Mac!B:B,""),
_xlpm.MyAuditVal,_xlfn.XLOOKUP($A265,My_Audit!$A:$A,My_Audit!B:B,""),
_xlfn.IFS(_xlpm.MyAuditVal&lt;&gt;"",UPPER(_xlpm.MyAuditVal),_xlpm.MacVal&lt;&gt;"",_xlpm.MacVal,_xlpm.CSVVal&lt;&gt;"",_xlpm.CSVVal
)),"")</f>
        <v/>
      </c>
      <c r="D265" s="40" t="str" cm="1">
        <f t="array" ref="D265">IFERROR(_xlfn.LET(
_xlpm.CSVVal,_xlfn.XLOOKUP($A265,CSV!$A:$A,CSV!D:D,""),
_xlpm.MacVal,_xlfn.XLOOKUP($A265,Output_Mac!$A:$A,Output_Mac!C:C,""),
_xlpm.MyAuditVal,_xlfn.XLOOKUP($A265,My_Audit!$A:$A,My_Audit!C:C,""),
_xlfn.IFS(_xlpm.MyAuditVal&lt;&gt;"",_xlpm.MyAuditVal,_xlpm.MacVal&lt;&gt;"",_xlpm.MacVal,_xlpm.CSVVal&lt;&gt;"",_xlpm.CSVVal
)),"")</f>
        <v/>
      </c>
      <c r="E265" s="40">
        <f>_xlfn.XLOOKUP(A265,My_Audit!A:A,My_Audit!D:D,"")</f>
        <v>0</v>
      </c>
      <c r="F265" s="40" t="str" cm="1">
        <f t="array" ref="F265">IFERROR(_xlfn.LET(
_xlpm.CSVVal,_xlfn.XLOOKUP($A265,CSV!$A:$A,CSV!F:F,""),
_xlpm.MacVal,_xlfn.XLOOKUP($A265,Output_Mac!$A:$A,Output_Mac!E:E,""),
_xlpm.MyAuditVal,_xlfn.XLOOKUP($A265,My_Audit!$A:$A,My_Audit!E:E,""),
_xlfn.IFS(_xlpm.MyAuditVal&lt;&gt;"",_xlpm.MyAuditVal,_xlpm.MacVal&lt;&gt;"",_xlpm.MacVal,_xlpm.CSVVal&lt;&gt;"",_xlpm.CSVVal
)),"")</f>
        <v/>
      </c>
      <c r="G265" s="40" t="str" cm="1">
        <f t="array" ref="G265">IFERROR(_xlfn.LET(
_xlpm.CSVVal,_xlfn.XLOOKUP($A265,CSV!$A:$A,CSV!G:G,""),
_xlpm.MacVal,_xlfn.XLOOKUP($A265,Output_Mac!$A:$A,Output_Mac!F:F,""),
_xlpm.MyAuditVal,_xlfn.XLOOKUP($A265,My_Audit!$A:$A,My_Audit!F:F,""),
_xlfn.IFS(_xlpm.MyAuditVal&lt;&gt;"",_xlpm.MyAuditVal,_xlpm.MacVal&lt;&gt;"",_xlpm.MacVal,_xlpm.CSVVal&lt;&gt;"",PROPER(_xlpm.CSVVal)
)),"")</f>
        <v/>
      </c>
      <c r="H265" s="40" t="str" cm="1">
        <f t="array" ref="H265">IFERROR(_xlfn.LET(
_xlpm.CSVVal,_xlfn.XLOOKUP($A265,CSV!$A:$A,CSV!H:H,""),
_xlpm.MacVal,_xlfn.XLOOKUP($A265,Output_Mac!$A:$A,Output_Mac!H:H,""),
_xlpm.MyAuditVal,_xlfn.XLOOKUP($A265,My_Audit!$A:$A,My_Audit!G:G,""),
_xlfn.IFS(_xlpm.MyAuditVal&lt;&gt;"",_xlpm.MyAuditVal,_xlpm.MacVal&lt;&gt;"",_xlpm.MacVal,_xlpm.CSVVal&lt;&gt;"",_xlpm.CSVVal
)),"")</f>
        <v/>
      </c>
      <c r="I265" s="40" t="str">
        <f>_xlfn.XLOOKUP(A265,Output_Mac!A:A,Output_Mac!I:I,"")</f>
        <v/>
      </c>
      <c r="J265" s="40" t="str" cm="1">
        <f t="array" ref="J265">IFERROR(_xlfn.LET(
_xlpm.CSVVal,_xlfn.XLOOKUP($A265,CSV!$A:$A,CSV!I:I,""),
_xlpm.MacVal,_xlfn.XLOOKUP($A265,Output_Mac!$A:$A,Output_Mac!J:J,""),
_xlpm.MyAuditVal,_xlfn.XLOOKUP($A265,My_Audit!$A:$A,My_Audit!I:I,""),
_xlfn.IFS(_xlpm.MyAuditVal&lt;&gt;"",UPPER(_xlpm.MyAuditVal),_xlpm.MacVal&lt;&gt;"",_xlpm.MacVal,_xlpm.CSVVal&lt;&gt;"",_xlpm.CSVVal
)),"")</f>
        <v/>
      </c>
      <c r="K265" s="40" t="str" cm="1">
        <f t="array" ref="K265">IFERROR(_xlfn.LET(
_xlpm.CSVVal,_xlfn.XLOOKUP($A265,CSV!$A:$A,CSV!K:K,""),
_xlpm.MacVal,_xlfn.XLOOKUP($A265,Output_Mac!$A:$A,Output_Mac!K:K,""),
_xlpm.MyAuditVal,_xlfn.XLOOKUP($A265,My_Audit!$A:$A,My_Audit!J:J,""),
_xlfn.IFS(_xlpm.MyAuditVal&lt;&gt;"",UPPER(_xlpm.MyAuditVal),_xlpm.MacVal&lt;&gt;"",_xlpm.MacVal,_xlpm.CSVVal&lt;&gt;"",_xlpm.CSVVal
)),"")</f>
        <v/>
      </c>
      <c r="L265" s="40" t="str" cm="1">
        <f t="array" ref="L265">IFERROR(_xlfn.LET(
_xlpm.CSVVal,_xlfn.XLOOKUP($A265,CSV!$A:$A,CSV!P:P,""),
_xlpm.MacVal,_xlfn.XLOOKUP($A265,Output_Mac!$A:$A,Output_Mac!L:L,""),
_xlpm.MyAuditVal,_xlfn.XLOOKUP($A265,My_Audit!$A:$A,My_Audit!K:K,""),
_xlfn.IFS(_xlpm.MyAuditVal&lt;&gt;"",UPPER(_xlpm.MyAuditVal),_xlpm.MacVal&lt;&gt;"",_xlpm.MacVal,_xlpm.CSVVal&lt;&gt;"",_xlpm.CSVVal
)),"")</f>
        <v/>
      </c>
      <c r="M265" s="40" t="str" cm="1">
        <f t="array" ref="M265">IFERROR(_xlfn.LET(
_xlpm.CSVVal,_xlfn.XLOOKUP($A265,CSV!$A:$A,CSV!Q:Q,""),
_xlpm.MacVal,_xlfn.XLOOKUP($A265,Output_Mac!$A:$A,Output_Mac!M:M,""),
_xlpm.MyAuditVal,_xlfn.XLOOKUP($A265,My_Audit!$A:$A,My_Audit!L:L,""),
_xlfn.IFS(_xlpm.MyAuditVal&lt;&gt;"",UPPER(_xlpm.MyAuditVal),_xlpm.MacVal&lt;&gt;"",_xlpm.MacVal,_xlpm.CSVVal&lt;&gt;"",_xlpm.CSVVal
)),"")</f>
        <v/>
      </c>
      <c r="N265" s="40"/>
      <c r="O265" s="40" t="str">
        <f>_xlfn.LET(
    _xlpm.CSVVal, _xlfn.XLOOKUP($A265, CSV!$A:$A, CSV!AA:AA, ""),
    _xlpm.MacVal, _xlfn.XLOOKUP($A265, Output_Mac!$A:$A, Output_Mac!S:S, ""),
    _xlpm.MyAuditVal, _xlfn.XLOOKUP($A265, My_Audit!$A:$A, My_Audit!P:P, ""),
    _xlfn.TEXTJOIN(", ", TRUE, _xlpm.MyAuditVal, _xlpm.MacVal, _xlpm.CSVVal)
)</f>
        <v/>
      </c>
      <c r="P265" s="40" t="str" cm="1">
        <f t="array" ref="P265">IFERROR(_xlfn.LET(
_xlpm.CSVVal,_xlfn.XLOOKUP($A265,CSV!$A:$A,CSV!AB:AB,""),
_xlpm.MacVal,_xlfn.XLOOKUP($A265,Output_Mac!$A:$A,Output_Mac!T:T,""),
_xlpm.MyAuditVal,_xlfn.XLOOKUP($A265,My_Audit!$A:$A,My_Audit!Q:Q,""),
_xlfn.IFS(_xlpm.MyAuditVal&lt;&gt;"",UPPER(_xlpm.MyAuditVal),_xlpm.MacVal&lt;&gt;"",_xlpm.MacVal,_xlpm.CSVVal&lt;&gt;"",_xlpm.CSVVal
)),"No")</f>
        <v>No</v>
      </c>
      <c r="Q265" s="40" t="str" cm="1">
        <f t="array" ref="Q265">IFERROR(_xlfn.LET(
_xlpm.CSVVal,_xlfn.XLOOKUP($A265,CSV!$A:$A,CSV!AC:AC,""),
_xlpm.MacVal,_xlfn.XLOOKUP($A265,Output_Mac!$A:$A,Output_Mac!U:U,""),
_xlpm.MyAuditVal,_xlfn.XLOOKUP($A265,My_Audit!$A:$A,My_Audit!R:R,""),
_xlfn.IFS(_xlpm.MyAuditVal&lt;&gt;"",UPPER(_xlpm.MyAuditVal),_xlpm.MacVal&lt;&gt;"",_xlpm.MacVal,_xlpm.CSVVal&lt;&gt;"",_xlpm.CSVVal
)),"")</f>
        <v/>
      </c>
      <c r="R265" s="40"/>
      <c r="S265" s="40"/>
      <c r="T265" s="40"/>
      <c r="U265" s="40"/>
      <c r="V265" s="40"/>
      <c r="W265" s="40"/>
      <c r="X265" s="41" t="str">
        <f>_xlfn.LET(
    _xlpm.MacVal, _xlfn.XLOOKUP($A265, Output_Mac!$A:$A, Output_Mac!AB:AB, ""),
    _xlpm.MyAuditVal, _xlfn.XLOOKUP($A265, My_Audit!$A:$A, My_Audit!N:N, ""),
    _xlfn.TEXTJOIN(", ", TRUE, _xlpm.MyAuditVal, _xlpm.MacVal)
)</f>
        <v/>
      </c>
    </row>
    <row r="266" spans="1:24">
      <c r="A266" s="40" t="str">
        <f>_xlfn.TEXTJOIN("",TRUE,Input!$B$2,ROW(My_Audit!A265))</f>
        <v>X265</v>
      </c>
      <c r="B266" s="40" t="str">
        <f>_xlfn.TEXTJOIN("-",TRUE,"ITD",Input!$A$2,A266)</f>
        <v>ITD-X265</v>
      </c>
      <c r="C266" s="40" t="str" cm="1">
        <f t="array" ref="C266">IFERROR(_xlfn.LET(
_xlpm.CSVVal,_xlfn.XLOOKUP($A266,CSV!$A:$A,CSV!B:B,""),
_xlpm.MacVal,_xlfn.XLOOKUP($A266,Output_Mac!$A:$A,Output_Mac!B:B,""),
_xlpm.MyAuditVal,_xlfn.XLOOKUP($A266,My_Audit!$A:$A,My_Audit!B:B,""),
_xlfn.IFS(_xlpm.MyAuditVal&lt;&gt;"",UPPER(_xlpm.MyAuditVal),_xlpm.MacVal&lt;&gt;"",_xlpm.MacVal,_xlpm.CSVVal&lt;&gt;"",_xlpm.CSVVal
)),"")</f>
        <v/>
      </c>
      <c r="D266" s="40" t="str" cm="1">
        <f t="array" ref="D266">IFERROR(_xlfn.LET(
_xlpm.CSVVal,_xlfn.XLOOKUP($A266,CSV!$A:$A,CSV!D:D,""),
_xlpm.MacVal,_xlfn.XLOOKUP($A266,Output_Mac!$A:$A,Output_Mac!C:C,""),
_xlpm.MyAuditVal,_xlfn.XLOOKUP($A266,My_Audit!$A:$A,My_Audit!C:C,""),
_xlfn.IFS(_xlpm.MyAuditVal&lt;&gt;"",_xlpm.MyAuditVal,_xlpm.MacVal&lt;&gt;"",_xlpm.MacVal,_xlpm.CSVVal&lt;&gt;"",_xlpm.CSVVal
)),"")</f>
        <v/>
      </c>
      <c r="E266" s="40">
        <f>_xlfn.XLOOKUP(A266,My_Audit!A:A,My_Audit!D:D,"")</f>
        <v>0</v>
      </c>
      <c r="F266" s="40" t="str" cm="1">
        <f t="array" ref="F266">IFERROR(_xlfn.LET(
_xlpm.CSVVal,_xlfn.XLOOKUP($A266,CSV!$A:$A,CSV!F:F,""),
_xlpm.MacVal,_xlfn.XLOOKUP($A266,Output_Mac!$A:$A,Output_Mac!E:E,""),
_xlpm.MyAuditVal,_xlfn.XLOOKUP($A266,My_Audit!$A:$A,My_Audit!E:E,""),
_xlfn.IFS(_xlpm.MyAuditVal&lt;&gt;"",_xlpm.MyAuditVal,_xlpm.MacVal&lt;&gt;"",_xlpm.MacVal,_xlpm.CSVVal&lt;&gt;"",_xlpm.CSVVal
)),"")</f>
        <v/>
      </c>
      <c r="G266" s="40" t="str" cm="1">
        <f t="array" ref="G266">IFERROR(_xlfn.LET(
_xlpm.CSVVal,_xlfn.XLOOKUP($A266,CSV!$A:$A,CSV!G:G,""),
_xlpm.MacVal,_xlfn.XLOOKUP($A266,Output_Mac!$A:$A,Output_Mac!F:F,""),
_xlpm.MyAuditVal,_xlfn.XLOOKUP($A266,My_Audit!$A:$A,My_Audit!F:F,""),
_xlfn.IFS(_xlpm.MyAuditVal&lt;&gt;"",_xlpm.MyAuditVal,_xlpm.MacVal&lt;&gt;"",_xlpm.MacVal,_xlpm.CSVVal&lt;&gt;"",PROPER(_xlpm.CSVVal)
)),"")</f>
        <v/>
      </c>
      <c r="H266" s="40" t="str" cm="1">
        <f t="array" ref="H266">IFERROR(_xlfn.LET(
_xlpm.CSVVal,_xlfn.XLOOKUP($A266,CSV!$A:$A,CSV!H:H,""),
_xlpm.MacVal,_xlfn.XLOOKUP($A266,Output_Mac!$A:$A,Output_Mac!H:H,""),
_xlpm.MyAuditVal,_xlfn.XLOOKUP($A266,My_Audit!$A:$A,My_Audit!G:G,""),
_xlfn.IFS(_xlpm.MyAuditVal&lt;&gt;"",_xlpm.MyAuditVal,_xlpm.MacVal&lt;&gt;"",_xlpm.MacVal,_xlpm.CSVVal&lt;&gt;"",_xlpm.CSVVal
)),"")</f>
        <v/>
      </c>
      <c r="I266" s="40" t="str">
        <f>_xlfn.XLOOKUP(A266,Output_Mac!A:A,Output_Mac!I:I,"")</f>
        <v/>
      </c>
      <c r="J266" s="40" t="str" cm="1">
        <f t="array" ref="J266">IFERROR(_xlfn.LET(
_xlpm.CSVVal,_xlfn.XLOOKUP($A266,CSV!$A:$A,CSV!I:I,""),
_xlpm.MacVal,_xlfn.XLOOKUP($A266,Output_Mac!$A:$A,Output_Mac!J:J,""),
_xlpm.MyAuditVal,_xlfn.XLOOKUP($A266,My_Audit!$A:$A,My_Audit!I:I,""),
_xlfn.IFS(_xlpm.MyAuditVal&lt;&gt;"",UPPER(_xlpm.MyAuditVal),_xlpm.MacVal&lt;&gt;"",_xlpm.MacVal,_xlpm.CSVVal&lt;&gt;"",_xlpm.CSVVal
)),"")</f>
        <v/>
      </c>
      <c r="K266" s="40" t="str" cm="1">
        <f t="array" ref="K266">IFERROR(_xlfn.LET(
_xlpm.CSVVal,_xlfn.XLOOKUP($A266,CSV!$A:$A,CSV!K:K,""),
_xlpm.MacVal,_xlfn.XLOOKUP($A266,Output_Mac!$A:$A,Output_Mac!K:K,""),
_xlpm.MyAuditVal,_xlfn.XLOOKUP($A266,My_Audit!$A:$A,My_Audit!J:J,""),
_xlfn.IFS(_xlpm.MyAuditVal&lt;&gt;"",UPPER(_xlpm.MyAuditVal),_xlpm.MacVal&lt;&gt;"",_xlpm.MacVal,_xlpm.CSVVal&lt;&gt;"",_xlpm.CSVVal
)),"")</f>
        <v/>
      </c>
      <c r="L266" s="40" t="str" cm="1">
        <f t="array" ref="L266">IFERROR(_xlfn.LET(
_xlpm.CSVVal,_xlfn.XLOOKUP($A266,CSV!$A:$A,CSV!P:P,""),
_xlpm.MacVal,_xlfn.XLOOKUP($A266,Output_Mac!$A:$A,Output_Mac!L:L,""),
_xlpm.MyAuditVal,_xlfn.XLOOKUP($A266,My_Audit!$A:$A,My_Audit!K:K,""),
_xlfn.IFS(_xlpm.MyAuditVal&lt;&gt;"",UPPER(_xlpm.MyAuditVal),_xlpm.MacVal&lt;&gt;"",_xlpm.MacVal,_xlpm.CSVVal&lt;&gt;"",_xlpm.CSVVal
)),"")</f>
        <v/>
      </c>
      <c r="M266" s="40" t="str" cm="1">
        <f t="array" ref="M266">IFERROR(_xlfn.LET(
_xlpm.CSVVal,_xlfn.XLOOKUP($A266,CSV!$A:$A,CSV!Q:Q,""),
_xlpm.MacVal,_xlfn.XLOOKUP($A266,Output_Mac!$A:$A,Output_Mac!M:M,""),
_xlpm.MyAuditVal,_xlfn.XLOOKUP($A266,My_Audit!$A:$A,My_Audit!L:L,""),
_xlfn.IFS(_xlpm.MyAuditVal&lt;&gt;"",UPPER(_xlpm.MyAuditVal),_xlpm.MacVal&lt;&gt;"",_xlpm.MacVal,_xlpm.CSVVal&lt;&gt;"",_xlpm.CSVVal
)),"")</f>
        <v/>
      </c>
      <c r="N266" s="40"/>
      <c r="O266" s="40" t="str">
        <f>_xlfn.LET(
    _xlpm.CSVVal, _xlfn.XLOOKUP($A266, CSV!$A:$A, CSV!AA:AA, ""),
    _xlpm.MacVal, _xlfn.XLOOKUP($A266, Output_Mac!$A:$A, Output_Mac!S:S, ""),
    _xlpm.MyAuditVal, _xlfn.XLOOKUP($A266, My_Audit!$A:$A, My_Audit!P:P, ""),
    _xlfn.TEXTJOIN(", ", TRUE, _xlpm.MyAuditVal, _xlpm.MacVal, _xlpm.CSVVal)
)</f>
        <v/>
      </c>
      <c r="P266" s="40" t="str" cm="1">
        <f t="array" ref="P266">IFERROR(_xlfn.LET(
_xlpm.CSVVal,_xlfn.XLOOKUP($A266,CSV!$A:$A,CSV!AB:AB,""),
_xlpm.MacVal,_xlfn.XLOOKUP($A266,Output_Mac!$A:$A,Output_Mac!T:T,""),
_xlpm.MyAuditVal,_xlfn.XLOOKUP($A266,My_Audit!$A:$A,My_Audit!Q:Q,""),
_xlfn.IFS(_xlpm.MyAuditVal&lt;&gt;"",UPPER(_xlpm.MyAuditVal),_xlpm.MacVal&lt;&gt;"",_xlpm.MacVal,_xlpm.CSVVal&lt;&gt;"",_xlpm.CSVVal
)),"No")</f>
        <v>No</v>
      </c>
      <c r="Q266" s="40" t="str" cm="1">
        <f t="array" ref="Q266">IFERROR(_xlfn.LET(
_xlpm.CSVVal,_xlfn.XLOOKUP($A266,CSV!$A:$A,CSV!AC:AC,""),
_xlpm.MacVal,_xlfn.XLOOKUP($A266,Output_Mac!$A:$A,Output_Mac!U:U,""),
_xlpm.MyAuditVal,_xlfn.XLOOKUP($A266,My_Audit!$A:$A,My_Audit!R:R,""),
_xlfn.IFS(_xlpm.MyAuditVal&lt;&gt;"",UPPER(_xlpm.MyAuditVal),_xlpm.MacVal&lt;&gt;"",_xlpm.MacVal,_xlpm.CSVVal&lt;&gt;"",_xlpm.CSVVal
)),"")</f>
        <v/>
      </c>
      <c r="R266" s="40"/>
      <c r="S266" s="40"/>
      <c r="T266" s="40"/>
      <c r="U266" s="40"/>
      <c r="V266" s="40"/>
      <c r="W266" s="40"/>
      <c r="X266" s="41" t="str">
        <f>_xlfn.LET(
    _xlpm.MacVal, _xlfn.XLOOKUP($A266, Output_Mac!$A:$A, Output_Mac!AB:AB, ""),
    _xlpm.MyAuditVal, _xlfn.XLOOKUP($A266, My_Audit!$A:$A, My_Audit!N:N, ""),
    _xlfn.TEXTJOIN(", ", TRUE, _xlpm.MyAuditVal, _xlpm.MacVal)
)</f>
        <v/>
      </c>
    </row>
    <row r="267" spans="1:24">
      <c r="A267" s="40" t="str">
        <f>_xlfn.TEXTJOIN("",TRUE,Input!$B$2,ROW(My_Audit!A266))</f>
        <v>X266</v>
      </c>
      <c r="B267" s="40" t="str">
        <f>_xlfn.TEXTJOIN("-",TRUE,"ITD",Input!$A$2,A267)</f>
        <v>ITD-X266</v>
      </c>
      <c r="C267" s="40" t="str" cm="1">
        <f t="array" ref="C267">IFERROR(_xlfn.LET(
_xlpm.CSVVal,_xlfn.XLOOKUP($A267,CSV!$A:$A,CSV!B:B,""),
_xlpm.MacVal,_xlfn.XLOOKUP($A267,Output_Mac!$A:$A,Output_Mac!B:B,""),
_xlpm.MyAuditVal,_xlfn.XLOOKUP($A267,My_Audit!$A:$A,My_Audit!B:B,""),
_xlfn.IFS(_xlpm.MyAuditVal&lt;&gt;"",UPPER(_xlpm.MyAuditVal),_xlpm.MacVal&lt;&gt;"",_xlpm.MacVal,_xlpm.CSVVal&lt;&gt;"",_xlpm.CSVVal
)),"")</f>
        <v/>
      </c>
      <c r="D267" s="40" t="str" cm="1">
        <f t="array" ref="D267">IFERROR(_xlfn.LET(
_xlpm.CSVVal,_xlfn.XLOOKUP($A267,CSV!$A:$A,CSV!D:D,""),
_xlpm.MacVal,_xlfn.XLOOKUP($A267,Output_Mac!$A:$A,Output_Mac!C:C,""),
_xlpm.MyAuditVal,_xlfn.XLOOKUP($A267,My_Audit!$A:$A,My_Audit!C:C,""),
_xlfn.IFS(_xlpm.MyAuditVal&lt;&gt;"",_xlpm.MyAuditVal,_xlpm.MacVal&lt;&gt;"",_xlpm.MacVal,_xlpm.CSVVal&lt;&gt;"",_xlpm.CSVVal
)),"")</f>
        <v/>
      </c>
      <c r="E267" s="40">
        <f>_xlfn.XLOOKUP(A267,My_Audit!A:A,My_Audit!D:D,"")</f>
        <v>0</v>
      </c>
      <c r="F267" s="40" t="str" cm="1">
        <f t="array" ref="F267">IFERROR(_xlfn.LET(
_xlpm.CSVVal,_xlfn.XLOOKUP($A267,CSV!$A:$A,CSV!F:F,""),
_xlpm.MacVal,_xlfn.XLOOKUP($A267,Output_Mac!$A:$A,Output_Mac!E:E,""),
_xlpm.MyAuditVal,_xlfn.XLOOKUP($A267,My_Audit!$A:$A,My_Audit!E:E,""),
_xlfn.IFS(_xlpm.MyAuditVal&lt;&gt;"",_xlpm.MyAuditVal,_xlpm.MacVal&lt;&gt;"",_xlpm.MacVal,_xlpm.CSVVal&lt;&gt;"",_xlpm.CSVVal
)),"")</f>
        <v/>
      </c>
      <c r="G267" s="40" t="str" cm="1">
        <f t="array" ref="G267">IFERROR(_xlfn.LET(
_xlpm.CSVVal,_xlfn.XLOOKUP($A267,CSV!$A:$A,CSV!G:G,""),
_xlpm.MacVal,_xlfn.XLOOKUP($A267,Output_Mac!$A:$A,Output_Mac!F:F,""),
_xlpm.MyAuditVal,_xlfn.XLOOKUP($A267,My_Audit!$A:$A,My_Audit!F:F,""),
_xlfn.IFS(_xlpm.MyAuditVal&lt;&gt;"",_xlpm.MyAuditVal,_xlpm.MacVal&lt;&gt;"",_xlpm.MacVal,_xlpm.CSVVal&lt;&gt;"",PROPER(_xlpm.CSVVal)
)),"")</f>
        <v/>
      </c>
      <c r="H267" s="40" t="str" cm="1">
        <f t="array" ref="H267">IFERROR(_xlfn.LET(
_xlpm.CSVVal,_xlfn.XLOOKUP($A267,CSV!$A:$A,CSV!H:H,""),
_xlpm.MacVal,_xlfn.XLOOKUP($A267,Output_Mac!$A:$A,Output_Mac!H:H,""),
_xlpm.MyAuditVal,_xlfn.XLOOKUP($A267,My_Audit!$A:$A,My_Audit!G:G,""),
_xlfn.IFS(_xlpm.MyAuditVal&lt;&gt;"",_xlpm.MyAuditVal,_xlpm.MacVal&lt;&gt;"",_xlpm.MacVal,_xlpm.CSVVal&lt;&gt;"",_xlpm.CSVVal
)),"")</f>
        <v/>
      </c>
      <c r="I267" s="40" t="str">
        <f>_xlfn.XLOOKUP(A267,Output_Mac!A:A,Output_Mac!I:I,"")</f>
        <v/>
      </c>
      <c r="J267" s="40" t="str" cm="1">
        <f t="array" ref="J267">IFERROR(_xlfn.LET(
_xlpm.CSVVal,_xlfn.XLOOKUP($A267,CSV!$A:$A,CSV!I:I,""),
_xlpm.MacVal,_xlfn.XLOOKUP($A267,Output_Mac!$A:$A,Output_Mac!J:J,""),
_xlpm.MyAuditVal,_xlfn.XLOOKUP($A267,My_Audit!$A:$A,My_Audit!I:I,""),
_xlfn.IFS(_xlpm.MyAuditVal&lt;&gt;"",UPPER(_xlpm.MyAuditVal),_xlpm.MacVal&lt;&gt;"",_xlpm.MacVal,_xlpm.CSVVal&lt;&gt;"",_xlpm.CSVVal
)),"")</f>
        <v/>
      </c>
      <c r="K267" s="40" t="str" cm="1">
        <f t="array" ref="K267">IFERROR(_xlfn.LET(
_xlpm.CSVVal,_xlfn.XLOOKUP($A267,CSV!$A:$A,CSV!K:K,""),
_xlpm.MacVal,_xlfn.XLOOKUP($A267,Output_Mac!$A:$A,Output_Mac!K:K,""),
_xlpm.MyAuditVal,_xlfn.XLOOKUP($A267,My_Audit!$A:$A,My_Audit!J:J,""),
_xlfn.IFS(_xlpm.MyAuditVal&lt;&gt;"",UPPER(_xlpm.MyAuditVal),_xlpm.MacVal&lt;&gt;"",_xlpm.MacVal,_xlpm.CSVVal&lt;&gt;"",_xlpm.CSVVal
)),"")</f>
        <v/>
      </c>
      <c r="L267" s="40" t="str" cm="1">
        <f t="array" ref="L267">IFERROR(_xlfn.LET(
_xlpm.CSVVal,_xlfn.XLOOKUP($A267,CSV!$A:$A,CSV!P:P,""),
_xlpm.MacVal,_xlfn.XLOOKUP($A267,Output_Mac!$A:$A,Output_Mac!L:L,""),
_xlpm.MyAuditVal,_xlfn.XLOOKUP($A267,My_Audit!$A:$A,My_Audit!K:K,""),
_xlfn.IFS(_xlpm.MyAuditVal&lt;&gt;"",UPPER(_xlpm.MyAuditVal),_xlpm.MacVal&lt;&gt;"",_xlpm.MacVal,_xlpm.CSVVal&lt;&gt;"",_xlpm.CSVVal
)),"")</f>
        <v/>
      </c>
      <c r="M267" s="40" t="str" cm="1">
        <f t="array" ref="M267">IFERROR(_xlfn.LET(
_xlpm.CSVVal,_xlfn.XLOOKUP($A267,CSV!$A:$A,CSV!Q:Q,""),
_xlpm.MacVal,_xlfn.XLOOKUP($A267,Output_Mac!$A:$A,Output_Mac!M:M,""),
_xlpm.MyAuditVal,_xlfn.XLOOKUP($A267,My_Audit!$A:$A,My_Audit!L:L,""),
_xlfn.IFS(_xlpm.MyAuditVal&lt;&gt;"",UPPER(_xlpm.MyAuditVal),_xlpm.MacVal&lt;&gt;"",_xlpm.MacVal,_xlpm.CSVVal&lt;&gt;"",_xlpm.CSVVal
)),"")</f>
        <v/>
      </c>
      <c r="N267" s="40"/>
      <c r="O267" s="40" t="str">
        <f>_xlfn.LET(
    _xlpm.CSVVal, _xlfn.XLOOKUP($A267, CSV!$A:$A, CSV!AA:AA, ""),
    _xlpm.MacVal, _xlfn.XLOOKUP($A267, Output_Mac!$A:$A, Output_Mac!S:S, ""),
    _xlpm.MyAuditVal, _xlfn.XLOOKUP($A267, My_Audit!$A:$A, My_Audit!P:P, ""),
    _xlfn.TEXTJOIN(", ", TRUE, _xlpm.MyAuditVal, _xlpm.MacVal, _xlpm.CSVVal)
)</f>
        <v/>
      </c>
      <c r="P267" s="40" t="str" cm="1">
        <f t="array" ref="P267">IFERROR(_xlfn.LET(
_xlpm.CSVVal,_xlfn.XLOOKUP($A267,CSV!$A:$A,CSV!AB:AB,""),
_xlpm.MacVal,_xlfn.XLOOKUP($A267,Output_Mac!$A:$A,Output_Mac!T:T,""),
_xlpm.MyAuditVal,_xlfn.XLOOKUP($A267,My_Audit!$A:$A,My_Audit!Q:Q,""),
_xlfn.IFS(_xlpm.MyAuditVal&lt;&gt;"",UPPER(_xlpm.MyAuditVal),_xlpm.MacVal&lt;&gt;"",_xlpm.MacVal,_xlpm.CSVVal&lt;&gt;"",_xlpm.CSVVal
)),"No")</f>
        <v>No</v>
      </c>
      <c r="Q267" s="40" t="str" cm="1">
        <f t="array" ref="Q267">IFERROR(_xlfn.LET(
_xlpm.CSVVal,_xlfn.XLOOKUP($A267,CSV!$A:$A,CSV!AC:AC,""),
_xlpm.MacVal,_xlfn.XLOOKUP($A267,Output_Mac!$A:$A,Output_Mac!U:U,""),
_xlpm.MyAuditVal,_xlfn.XLOOKUP($A267,My_Audit!$A:$A,My_Audit!R:R,""),
_xlfn.IFS(_xlpm.MyAuditVal&lt;&gt;"",UPPER(_xlpm.MyAuditVal),_xlpm.MacVal&lt;&gt;"",_xlpm.MacVal,_xlpm.CSVVal&lt;&gt;"",_xlpm.CSVVal
)),"")</f>
        <v/>
      </c>
      <c r="R267" s="40"/>
      <c r="S267" s="40"/>
      <c r="T267" s="40"/>
      <c r="U267" s="40"/>
      <c r="V267" s="40"/>
      <c r="W267" s="40"/>
      <c r="X267" s="41" t="str">
        <f>_xlfn.LET(
    _xlpm.MacVal, _xlfn.XLOOKUP($A267, Output_Mac!$A:$A, Output_Mac!AB:AB, ""),
    _xlpm.MyAuditVal, _xlfn.XLOOKUP($A267, My_Audit!$A:$A, My_Audit!N:N, ""),
    _xlfn.TEXTJOIN(", ", TRUE, _xlpm.MyAuditVal, _xlpm.MacVal)
)</f>
        <v/>
      </c>
    </row>
    <row r="268" spans="1:24">
      <c r="A268" s="40" t="str">
        <f>_xlfn.TEXTJOIN("",TRUE,Input!$B$2,ROW(My_Audit!A267))</f>
        <v>X267</v>
      </c>
      <c r="B268" s="40" t="str">
        <f>_xlfn.TEXTJOIN("-",TRUE,"ITD",Input!$A$2,A268)</f>
        <v>ITD-X267</v>
      </c>
      <c r="C268" s="40" t="str" cm="1">
        <f t="array" ref="C268">IFERROR(_xlfn.LET(
_xlpm.CSVVal,_xlfn.XLOOKUP($A268,CSV!$A:$A,CSV!B:B,""),
_xlpm.MacVal,_xlfn.XLOOKUP($A268,Output_Mac!$A:$A,Output_Mac!B:B,""),
_xlpm.MyAuditVal,_xlfn.XLOOKUP($A268,My_Audit!$A:$A,My_Audit!B:B,""),
_xlfn.IFS(_xlpm.MyAuditVal&lt;&gt;"",UPPER(_xlpm.MyAuditVal),_xlpm.MacVal&lt;&gt;"",_xlpm.MacVal,_xlpm.CSVVal&lt;&gt;"",_xlpm.CSVVal
)),"")</f>
        <v/>
      </c>
      <c r="D268" s="40" t="str" cm="1">
        <f t="array" ref="D268">IFERROR(_xlfn.LET(
_xlpm.CSVVal,_xlfn.XLOOKUP($A268,CSV!$A:$A,CSV!D:D,""),
_xlpm.MacVal,_xlfn.XLOOKUP($A268,Output_Mac!$A:$A,Output_Mac!C:C,""),
_xlpm.MyAuditVal,_xlfn.XLOOKUP($A268,My_Audit!$A:$A,My_Audit!C:C,""),
_xlfn.IFS(_xlpm.MyAuditVal&lt;&gt;"",_xlpm.MyAuditVal,_xlpm.MacVal&lt;&gt;"",_xlpm.MacVal,_xlpm.CSVVal&lt;&gt;"",_xlpm.CSVVal
)),"")</f>
        <v/>
      </c>
      <c r="E268" s="40">
        <f>_xlfn.XLOOKUP(A268,My_Audit!A:A,My_Audit!D:D,"")</f>
        <v>0</v>
      </c>
      <c r="F268" s="40" t="str" cm="1">
        <f t="array" ref="F268">IFERROR(_xlfn.LET(
_xlpm.CSVVal,_xlfn.XLOOKUP($A268,CSV!$A:$A,CSV!F:F,""),
_xlpm.MacVal,_xlfn.XLOOKUP($A268,Output_Mac!$A:$A,Output_Mac!E:E,""),
_xlpm.MyAuditVal,_xlfn.XLOOKUP($A268,My_Audit!$A:$A,My_Audit!E:E,""),
_xlfn.IFS(_xlpm.MyAuditVal&lt;&gt;"",_xlpm.MyAuditVal,_xlpm.MacVal&lt;&gt;"",_xlpm.MacVal,_xlpm.CSVVal&lt;&gt;"",_xlpm.CSVVal
)),"")</f>
        <v/>
      </c>
      <c r="G268" s="40" t="str" cm="1">
        <f t="array" ref="G268">IFERROR(_xlfn.LET(
_xlpm.CSVVal,_xlfn.XLOOKUP($A268,CSV!$A:$A,CSV!G:G,""),
_xlpm.MacVal,_xlfn.XLOOKUP($A268,Output_Mac!$A:$A,Output_Mac!F:F,""),
_xlpm.MyAuditVal,_xlfn.XLOOKUP($A268,My_Audit!$A:$A,My_Audit!F:F,""),
_xlfn.IFS(_xlpm.MyAuditVal&lt;&gt;"",_xlpm.MyAuditVal,_xlpm.MacVal&lt;&gt;"",_xlpm.MacVal,_xlpm.CSVVal&lt;&gt;"",PROPER(_xlpm.CSVVal)
)),"")</f>
        <v/>
      </c>
      <c r="H268" s="40" t="str" cm="1">
        <f t="array" ref="H268">IFERROR(_xlfn.LET(
_xlpm.CSVVal,_xlfn.XLOOKUP($A268,CSV!$A:$A,CSV!H:H,""),
_xlpm.MacVal,_xlfn.XLOOKUP($A268,Output_Mac!$A:$A,Output_Mac!H:H,""),
_xlpm.MyAuditVal,_xlfn.XLOOKUP($A268,My_Audit!$A:$A,My_Audit!G:G,""),
_xlfn.IFS(_xlpm.MyAuditVal&lt;&gt;"",_xlpm.MyAuditVal,_xlpm.MacVal&lt;&gt;"",_xlpm.MacVal,_xlpm.CSVVal&lt;&gt;"",_xlpm.CSVVal
)),"")</f>
        <v/>
      </c>
      <c r="I268" s="40" t="str">
        <f>_xlfn.XLOOKUP(A268,Output_Mac!A:A,Output_Mac!I:I,"")</f>
        <v/>
      </c>
      <c r="J268" s="40" t="str" cm="1">
        <f t="array" ref="J268">IFERROR(_xlfn.LET(
_xlpm.CSVVal,_xlfn.XLOOKUP($A268,CSV!$A:$A,CSV!I:I,""),
_xlpm.MacVal,_xlfn.XLOOKUP($A268,Output_Mac!$A:$A,Output_Mac!J:J,""),
_xlpm.MyAuditVal,_xlfn.XLOOKUP($A268,My_Audit!$A:$A,My_Audit!I:I,""),
_xlfn.IFS(_xlpm.MyAuditVal&lt;&gt;"",UPPER(_xlpm.MyAuditVal),_xlpm.MacVal&lt;&gt;"",_xlpm.MacVal,_xlpm.CSVVal&lt;&gt;"",_xlpm.CSVVal
)),"")</f>
        <v/>
      </c>
      <c r="K268" s="40" t="str" cm="1">
        <f t="array" ref="K268">IFERROR(_xlfn.LET(
_xlpm.CSVVal,_xlfn.XLOOKUP($A268,CSV!$A:$A,CSV!K:K,""),
_xlpm.MacVal,_xlfn.XLOOKUP($A268,Output_Mac!$A:$A,Output_Mac!K:K,""),
_xlpm.MyAuditVal,_xlfn.XLOOKUP($A268,My_Audit!$A:$A,My_Audit!J:J,""),
_xlfn.IFS(_xlpm.MyAuditVal&lt;&gt;"",UPPER(_xlpm.MyAuditVal),_xlpm.MacVal&lt;&gt;"",_xlpm.MacVal,_xlpm.CSVVal&lt;&gt;"",_xlpm.CSVVal
)),"")</f>
        <v/>
      </c>
      <c r="L268" s="40" t="str" cm="1">
        <f t="array" ref="L268">IFERROR(_xlfn.LET(
_xlpm.CSVVal,_xlfn.XLOOKUP($A268,CSV!$A:$A,CSV!P:P,""),
_xlpm.MacVal,_xlfn.XLOOKUP($A268,Output_Mac!$A:$A,Output_Mac!L:L,""),
_xlpm.MyAuditVal,_xlfn.XLOOKUP($A268,My_Audit!$A:$A,My_Audit!K:K,""),
_xlfn.IFS(_xlpm.MyAuditVal&lt;&gt;"",UPPER(_xlpm.MyAuditVal),_xlpm.MacVal&lt;&gt;"",_xlpm.MacVal,_xlpm.CSVVal&lt;&gt;"",_xlpm.CSVVal
)),"")</f>
        <v/>
      </c>
      <c r="M268" s="40" t="str" cm="1">
        <f t="array" ref="M268">IFERROR(_xlfn.LET(
_xlpm.CSVVal,_xlfn.XLOOKUP($A268,CSV!$A:$A,CSV!Q:Q,""),
_xlpm.MacVal,_xlfn.XLOOKUP($A268,Output_Mac!$A:$A,Output_Mac!M:M,""),
_xlpm.MyAuditVal,_xlfn.XLOOKUP($A268,My_Audit!$A:$A,My_Audit!L:L,""),
_xlfn.IFS(_xlpm.MyAuditVal&lt;&gt;"",UPPER(_xlpm.MyAuditVal),_xlpm.MacVal&lt;&gt;"",_xlpm.MacVal,_xlpm.CSVVal&lt;&gt;"",_xlpm.CSVVal
)),"")</f>
        <v/>
      </c>
      <c r="N268" s="40"/>
      <c r="O268" s="40" t="str">
        <f>_xlfn.LET(
    _xlpm.CSVVal, _xlfn.XLOOKUP($A268, CSV!$A:$A, CSV!AA:AA, ""),
    _xlpm.MacVal, _xlfn.XLOOKUP($A268, Output_Mac!$A:$A, Output_Mac!S:S, ""),
    _xlpm.MyAuditVal, _xlfn.XLOOKUP($A268, My_Audit!$A:$A, My_Audit!P:P, ""),
    _xlfn.TEXTJOIN(", ", TRUE, _xlpm.MyAuditVal, _xlpm.MacVal, _xlpm.CSVVal)
)</f>
        <v/>
      </c>
      <c r="P268" s="40" t="str" cm="1">
        <f t="array" ref="P268">IFERROR(_xlfn.LET(
_xlpm.CSVVal,_xlfn.XLOOKUP($A268,CSV!$A:$A,CSV!AB:AB,""),
_xlpm.MacVal,_xlfn.XLOOKUP($A268,Output_Mac!$A:$A,Output_Mac!T:T,""),
_xlpm.MyAuditVal,_xlfn.XLOOKUP($A268,My_Audit!$A:$A,My_Audit!Q:Q,""),
_xlfn.IFS(_xlpm.MyAuditVal&lt;&gt;"",UPPER(_xlpm.MyAuditVal),_xlpm.MacVal&lt;&gt;"",_xlpm.MacVal,_xlpm.CSVVal&lt;&gt;"",_xlpm.CSVVal
)),"No")</f>
        <v>No</v>
      </c>
      <c r="Q268" s="40" t="str" cm="1">
        <f t="array" ref="Q268">IFERROR(_xlfn.LET(
_xlpm.CSVVal,_xlfn.XLOOKUP($A268,CSV!$A:$A,CSV!AC:AC,""),
_xlpm.MacVal,_xlfn.XLOOKUP($A268,Output_Mac!$A:$A,Output_Mac!U:U,""),
_xlpm.MyAuditVal,_xlfn.XLOOKUP($A268,My_Audit!$A:$A,My_Audit!R:R,""),
_xlfn.IFS(_xlpm.MyAuditVal&lt;&gt;"",UPPER(_xlpm.MyAuditVal),_xlpm.MacVal&lt;&gt;"",_xlpm.MacVal,_xlpm.CSVVal&lt;&gt;"",_xlpm.CSVVal
)),"")</f>
        <v/>
      </c>
      <c r="R268" s="40"/>
      <c r="S268" s="40"/>
      <c r="T268" s="40"/>
      <c r="U268" s="40"/>
      <c r="V268" s="40"/>
      <c r="W268" s="40"/>
      <c r="X268" s="41" t="str">
        <f>_xlfn.LET(
    _xlpm.MacVal, _xlfn.XLOOKUP($A268, Output_Mac!$A:$A, Output_Mac!AB:AB, ""),
    _xlpm.MyAuditVal, _xlfn.XLOOKUP($A268, My_Audit!$A:$A, My_Audit!N:N, ""),
    _xlfn.TEXTJOIN(", ", TRUE, _xlpm.MyAuditVal, _xlpm.MacVal)
)</f>
        <v/>
      </c>
    </row>
    <row r="269" spans="1:24">
      <c r="A269" s="40" t="str">
        <f>_xlfn.TEXTJOIN("",TRUE,Input!$B$2,ROW(My_Audit!A268))</f>
        <v>X268</v>
      </c>
      <c r="B269" s="40" t="str">
        <f>_xlfn.TEXTJOIN("-",TRUE,"ITD",Input!$A$2,A269)</f>
        <v>ITD-X268</v>
      </c>
      <c r="C269" s="40" t="str" cm="1">
        <f t="array" ref="C269">IFERROR(_xlfn.LET(
_xlpm.CSVVal,_xlfn.XLOOKUP($A269,CSV!$A:$A,CSV!B:B,""),
_xlpm.MacVal,_xlfn.XLOOKUP($A269,Output_Mac!$A:$A,Output_Mac!B:B,""),
_xlpm.MyAuditVal,_xlfn.XLOOKUP($A269,My_Audit!$A:$A,My_Audit!B:B,""),
_xlfn.IFS(_xlpm.MyAuditVal&lt;&gt;"",UPPER(_xlpm.MyAuditVal),_xlpm.MacVal&lt;&gt;"",_xlpm.MacVal,_xlpm.CSVVal&lt;&gt;"",_xlpm.CSVVal
)),"")</f>
        <v/>
      </c>
      <c r="D269" s="40" t="str" cm="1">
        <f t="array" ref="D269">IFERROR(_xlfn.LET(
_xlpm.CSVVal,_xlfn.XLOOKUP($A269,CSV!$A:$A,CSV!D:D,""),
_xlpm.MacVal,_xlfn.XLOOKUP($A269,Output_Mac!$A:$A,Output_Mac!C:C,""),
_xlpm.MyAuditVal,_xlfn.XLOOKUP($A269,My_Audit!$A:$A,My_Audit!C:C,""),
_xlfn.IFS(_xlpm.MyAuditVal&lt;&gt;"",_xlpm.MyAuditVal,_xlpm.MacVal&lt;&gt;"",_xlpm.MacVal,_xlpm.CSVVal&lt;&gt;"",_xlpm.CSVVal
)),"")</f>
        <v/>
      </c>
      <c r="E269" s="40">
        <f>_xlfn.XLOOKUP(A269,My_Audit!A:A,My_Audit!D:D,"")</f>
        <v>0</v>
      </c>
      <c r="F269" s="40" t="str" cm="1">
        <f t="array" ref="F269">IFERROR(_xlfn.LET(
_xlpm.CSVVal,_xlfn.XLOOKUP($A269,CSV!$A:$A,CSV!F:F,""),
_xlpm.MacVal,_xlfn.XLOOKUP($A269,Output_Mac!$A:$A,Output_Mac!E:E,""),
_xlpm.MyAuditVal,_xlfn.XLOOKUP($A269,My_Audit!$A:$A,My_Audit!E:E,""),
_xlfn.IFS(_xlpm.MyAuditVal&lt;&gt;"",_xlpm.MyAuditVal,_xlpm.MacVal&lt;&gt;"",_xlpm.MacVal,_xlpm.CSVVal&lt;&gt;"",_xlpm.CSVVal
)),"")</f>
        <v/>
      </c>
      <c r="G269" s="40" t="str" cm="1">
        <f t="array" ref="G269">IFERROR(_xlfn.LET(
_xlpm.CSVVal,_xlfn.XLOOKUP($A269,CSV!$A:$A,CSV!G:G,""),
_xlpm.MacVal,_xlfn.XLOOKUP($A269,Output_Mac!$A:$A,Output_Mac!F:F,""),
_xlpm.MyAuditVal,_xlfn.XLOOKUP($A269,My_Audit!$A:$A,My_Audit!F:F,""),
_xlfn.IFS(_xlpm.MyAuditVal&lt;&gt;"",_xlpm.MyAuditVal,_xlpm.MacVal&lt;&gt;"",_xlpm.MacVal,_xlpm.CSVVal&lt;&gt;"",PROPER(_xlpm.CSVVal)
)),"")</f>
        <v/>
      </c>
      <c r="H269" s="40" t="str" cm="1">
        <f t="array" ref="H269">IFERROR(_xlfn.LET(
_xlpm.CSVVal,_xlfn.XLOOKUP($A269,CSV!$A:$A,CSV!H:H,""),
_xlpm.MacVal,_xlfn.XLOOKUP($A269,Output_Mac!$A:$A,Output_Mac!H:H,""),
_xlpm.MyAuditVal,_xlfn.XLOOKUP($A269,My_Audit!$A:$A,My_Audit!G:G,""),
_xlfn.IFS(_xlpm.MyAuditVal&lt;&gt;"",_xlpm.MyAuditVal,_xlpm.MacVal&lt;&gt;"",_xlpm.MacVal,_xlpm.CSVVal&lt;&gt;"",_xlpm.CSVVal
)),"")</f>
        <v/>
      </c>
      <c r="I269" s="40" t="str">
        <f>_xlfn.XLOOKUP(A269,Output_Mac!A:A,Output_Mac!I:I,"")</f>
        <v/>
      </c>
      <c r="J269" s="40" t="str" cm="1">
        <f t="array" ref="J269">IFERROR(_xlfn.LET(
_xlpm.CSVVal,_xlfn.XLOOKUP($A269,CSV!$A:$A,CSV!I:I,""),
_xlpm.MacVal,_xlfn.XLOOKUP($A269,Output_Mac!$A:$A,Output_Mac!J:J,""),
_xlpm.MyAuditVal,_xlfn.XLOOKUP($A269,My_Audit!$A:$A,My_Audit!I:I,""),
_xlfn.IFS(_xlpm.MyAuditVal&lt;&gt;"",UPPER(_xlpm.MyAuditVal),_xlpm.MacVal&lt;&gt;"",_xlpm.MacVal,_xlpm.CSVVal&lt;&gt;"",_xlpm.CSVVal
)),"")</f>
        <v/>
      </c>
      <c r="K269" s="40" t="str" cm="1">
        <f t="array" ref="K269">IFERROR(_xlfn.LET(
_xlpm.CSVVal,_xlfn.XLOOKUP($A269,CSV!$A:$A,CSV!K:K,""),
_xlpm.MacVal,_xlfn.XLOOKUP($A269,Output_Mac!$A:$A,Output_Mac!K:K,""),
_xlpm.MyAuditVal,_xlfn.XLOOKUP($A269,My_Audit!$A:$A,My_Audit!J:J,""),
_xlfn.IFS(_xlpm.MyAuditVal&lt;&gt;"",UPPER(_xlpm.MyAuditVal),_xlpm.MacVal&lt;&gt;"",_xlpm.MacVal,_xlpm.CSVVal&lt;&gt;"",_xlpm.CSVVal
)),"")</f>
        <v/>
      </c>
      <c r="L269" s="40" t="str" cm="1">
        <f t="array" ref="L269">IFERROR(_xlfn.LET(
_xlpm.CSVVal,_xlfn.XLOOKUP($A269,CSV!$A:$A,CSV!P:P,""),
_xlpm.MacVal,_xlfn.XLOOKUP($A269,Output_Mac!$A:$A,Output_Mac!L:L,""),
_xlpm.MyAuditVal,_xlfn.XLOOKUP($A269,My_Audit!$A:$A,My_Audit!K:K,""),
_xlfn.IFS(_xlpm.MyAuditVal&lt;&gt;"",UPPER(_xlpm.MyAuditVal),_xlpm.MacVal&lt;&gt;"",_xlpm.MacVal,_xlpm.CSVVal&lt;&gt;"",_xlpm.CSVVal
)),"")</f>
        <v/>
      </c>
      <c r="M269" s="40" t="str" cm="1">
        <f t="array" ref="M269">IFERROR(_xlfn.LET(
_xlpm.CSVVal,_xlfn.XLOOKUP($A269,CSV!$A:$A,CSV!Q:Q,""),
_xlpm.MacVal,_xlfn.XLOOKUP($A269,Output_Mac!$A:$A,Output_Mac!M:M,""),
_xlpm.MyAuditVal,_xlfn.XLOOKUP($A269,My_Audit!$A:$A,My_Audit!L:L,""),
_xlfn.IFS(_xlpm.MyAuditVal&lt;&gt;"",UPPER(_xlpm.MyAuditVal),_xlpm.MacVal&lt;&gt;"",_xlpm.MacVal,_xlpm.CSVVal&lt;&gt;"",_xlpm.CSVVal
)),"")</f>
        <v/>
      </c>
      <c r="N269" s="40"/>
      <c r="O269" s="40" t="str">
        <f>_xlfn.LET(
    _xlpm.CSVVal, _xlfn.XLOOKUP($A269, CSV!$A:$A, CSV!AA:AA, ""),
    _xlpm.MacVal, _xlfn.XLOOKUP($A269, Output_Mac!$A:$A, Output_Mac!S:S, ""),
    _xlpm.MyAuditVal, _xlfn.XLOOKUP($A269, My_Audit!$A:$A, My_Audit!P:P, ""),
    _xlfn.TEXTJOIN(", ", TRUE, _xlpm.MyAuditVal, _xlpm.MacVal, _xlpm.CSVVal)
)</f>
        <v/>
      </c>
      <c r="P269" s="40" t="str" cm="1">
        <f t="array" ref="P269">IFERROR(_xlfn.LET(
_xlpm.CSVVal,_xlfn.XLOOKUP($A269,CSV!$A:$A,CSV!AB:AB,""),
_xlpm.MacVal,_xlfn.XLOOKUP($A269,Output_Mac!$A:$A,Output_Mac!T:T,""),
_xlpm.MyAuditVal,_xlfn.XLOOKUP($A269,My_Audit!$A:$A,My_Audit!Q:Q,""),
_xlfn.IFS(_xlpm.MyAuditVal&lt;&gt;"",UPPER(_xlpm.MyAuditVal),_xlpm.MacVal&lt;&gt;"",_xlpm.MacVal,_xlpm.CSVVal&lt;&gt;"",_xlpm.CSVVal
)),"No")</f>
        <v>No</v>
      </c>
      <c r="Q269" s="40" t="str" cm="1">
        <f t="array" ref="Q269">IFERROR(_xlfn.LET(
_xlpm.CSVVal,_xlfn.XLOOKUP($A269,CSV!$A:$A,CSV!AC:AC,""),
_xlpm.MacVal,_xlfn.XLOOKUP($A269,Output_Mac!$A:$A,Output_Mac!U:U,""),
_xlpm.MyAuditVal,_xlfn.XLOOKUP($A269,My_Audit!$A:$A,My_Audit!R:R,""),
_xlfn.IFS(_xlpm.MyAuditVal&lt;&gt;"",UPPER(_xlpm.MyAuditVal),_xlpm.MacVal&lt;&gt;"",_xlpm.MacVal,_xlpm.CSVVal&lt;&gt;"",_xlpm.CSVVal
)),"")</f>
        <v/>
      </c>
      <c r="R269" s="40"/>
      <c r="S269" s="40"/>
      <c r="T269" s="40"/>
      <c r="U269" s="40"/>
      <c r="V269" s="40"/>
      <c r="W269" s="40"/>
      <c r="X269" s="41" t="str">
        <f>_xlfn.LET(
    _xlpm.MacVal, _xlfn.XLOOKUP($A269, Output_Mac!$A:$A, Output_Mac!AB:AB, ""),
    _xlpm.MyAuditVal, _xlfn.XLOOKUP($A269, My_Audit!$A:$A, My_Audit!N:N, ""),
    _xlfn.TEXTJOIN(", ", TRUE, _xlpm.MyAuditVal, _xlpm.MacVal)
)</f>
        <v/>
      </c>
    </row>
    <row r="270" spans="1:24">
      <c r="A270" s="40" t="str">
        <f>_xlfn.TEXTJOIN("",TRUE,Input!$B$2,ROW(My_Audit!A269))</f>
        <v>X269</v>
      </c>
      <c r="B270" s="40" t="str">
        <f>_xlfn.TEXTJOIN("-",TRUE,"ITD",Input!$A$2,A270)</f>
        <v>ITD-X269</v>
      </c>
      <c r="C270" s="40" t="str" cm="1">
        <f t="array" ref="C270">IFERROR(_xlfn.LET(
_xlpm.CSVVal,_xlfn.XLOOKUP($A270,CSV!$A:$A,CSV!B:B,""),
_xlpm.MacVal,_xlfn.XLOOKUP($A270,Output_Mac!$A:$A,Output_Mac!B:B,""),
_xlpm.MyAuditVal,_xlfn.XLOOKUP($A270,My_Audit!$A:$A,My_Audit!B:B,""),
_xlfn.IFS(_xlpm.MyAuditVal&lt;&gt;"",UPPER(_xlpm.MyAuditVal),_xlpm.MacVal&lt;&gt;"",_xlpm.MacVal,_xlpm.CSVVal&lt;&gt;"",_xlpm.CSVVal
)),"")</f>
        <v/>
      </c>
      <c r="D270" s="40" t="str" cm="1">
        <f t="array" ref="D270">IFERROR(_xlfn.LET(
_xlpm.CSVVal,_xlfn.XLOOKUP($A270,CSV!$A:$A,CSV!D:D,""),
_xlpm.MacVal,_xlfn.XLOOKUP($A270,Output_Mac!$A:$A,Output_Mac!C:C,""),
_xlpm.MyAuditVal,_xlfn.XLOOKUP($A270,My_Audit!$A:$A,My_Audit!C:C,""),
_xlfn.IFS(_xlpm.MyAuditVal&lt;&gt;"",_xlpm.MyAuditVal,_xlpm.MacVal&lt;&gt;"",_xlpm.MacVal,_xlpm.CSVVal&lt;&gt;"",_xlpm.CSVVal
)),"")</f>
        <v/>
      </c>
      <c r="E270" s="40">
        <f>_xlfn.XLOOKUP(A270,My_Audit!A:A,My_Audit!D:D,"")</f>
        <v>0</v>
      </c>
      <c r="F270" s="40" t="str" cm="1">
        <f t="array" ref="F270">IFERROR(_xlfn.LET(
_xlpm.CSVVal,_xlfn.XLOOKUP($A270,CSV!$A:$A,CSV!F:F,""),
_xlpm.MacVal,_xlfn.XLOOKUP($A270,Output_Mac!$A:$A,Output_Mac!E:E,""),
_xlpm.MyAuditVal,_xlfn.XLOOKUP($A270,My_Audit!$A:$A,My_Audit!E:E,""),
_xlfn.IFS(_xlpm.MyAuditVal&lt;&gt;"",_xlpm.MyAuditVal,_xlpm.MacVal&lt;&gt;"",_xlpm.MacVal,_xlpm.CSVVal&lt;&gt;"",_xlpm.CSVVal
)),"")</f>
        <v/>
      </c>
      <c r="G270" s="40" t="str" cm="1">
        <f t="array" ref="G270">IFERROR(_xlfn.LET(
_xlpm.CSVVal,_xlfn.XLOOKUP($A270,CSV!$A:$A,CSV!G:G,""),
_xlpm.MacVal,_xlfn.XLOOKUP($A270,Output_Mac!$A:$A,Output_Mac!F:F,""),
_xlpm.MyAuditVal,_xlfn.XLOOKUP($A270,My_Audit!$A:$A,My_Audit!F:F,""),
_xlfn.IFS(_xlpm.MyAuditVal&lt;&gt;"",_xlpm.MyAuditVal,_xlpm.MacVal&lt;&gt;"",_xlpm.MacVal,_xlpm.CSVVal&lt;&gt;"",PROPER(_xlpm.CSVVal)
)),"")</f>
        <v/>
      </c>
      <c r="H270" s="40" t="str" cm="1">
        <f t="array" ref="H270">IFERROR(_xlfn.LET(
_xlpm.CSVVal,_xlfn.XLOOKUP($A270,CSV!$A:$A,CSV!H:H,""),
_xlpm.MacVal,_xlfn.XLOOKUP($A270,Output_Mac!$A:$A,Output_Mac!H:H,""),
_xlpm.MyAuditVal,_xlfn.XLOOKUP($A270,My_Audit!$A:$A,My_Audit!G:G,""),
_xlfn.IFS(_xlpm.MyAuditVal&lt;&gt;"",_xlpm.MyAuditVal,_xlpm.MacVal&lt;&gt;"",_xlpm.MacVal,_xlpm.CSVVal&lt;&gt;"",_xlpm.CSVVal
)),"")</f>
        <v/>
      </c>
      <c r="I270" s="40" t="str">
        <f>_xlfn.XLOOKUP(A270,Output_Mac!A:A,Output_Mac!I:I,"")</f>
        <v/>
      </c>
      <c r="J270" s="40" t="str" cm="1">
        <f t="array" ref="J270">IFERROR(_xlfn.LET(
_xlpm.CSVVal,_xlfn.XLOOKUP($A270,CSV!$A:$A,CSV!I:I,""),
_xlpm.MacVal,_xlfn.XLOOKUP($A270,Output_Mac!$A:$A,Output_Mac!J:J,""),
_xlpm.MyAuditVal,_xlfn.XLOOKUP($A270,My_Audit!$A:$A,My_Audit!I:I,""),
_xlfn.IFS(_xlpm.MyAuditVal&lt;&gt;"",UPPER(_xlpm.MyAuditVal),_xlpm.MacVal&lt;&gt;"",_xlpm.MacVal,_xlpm.CSVVal&lt;&gt;"",_xlpm.CSVVal
)),"")</f>
        <v/>
      </c>
      <c r="K270" s="40" t="str" cm="1">
        <f t="array" ref="K270">IFERROR(_xlfn.LET(
_xlpm.CSVVal,_xlfn.XLOOKUP($A270,CSV!$A:$A,CSV!K:K,""),
_xlpm.MacVal,_xlfn.XLOOKUP($A270,Output_Mac!$A:$A,Output_Mac!K:K,""),
_xlpm.MyAuditVal,_xlfn.XLOOKUP($A270,My_Audit!$A:$A,My_Audit!J:J,""),
_xlfn.IFS(_xlpm.MyAuditVal&lt;&gt;"",UPPER(_xlpm.MyAuditVal),_xlpm.MacVal&lt;&gt;"",_xlpm.MacVal,_xlpm.CSVVal&lt;&gt;"",_xlpm.CSVVal
)),"")</f>
        <v/>
      </c>
      <c r="L270" s="40" t="str" cm="1">
        <f t="array" ref="L270">IFERROR(_xlfn.LET(
_xlpm.CSVVal,_xlfn.XLOOKUP($A270,CSV!$A:$A,CSV!P:P,""),
_xlpm.MacVal,_xlfn.XLOOKUP($A270,Output_Mac!$A:$A,Output_Mac!L:L,""),
_xlpm.MyAuditVal,_xlfn.XLOOKUP($A270,My_Audit!$A:$A,My_Audit!K:K,""),
_xlfn.IFS(_xlpm.MyAuditVal&lt;&gt;"",UPPER(_xlpm.MyAuditVal),_xlpm.MacVal&lt;&gt;"",_xlpm.MacVal,_xlpm.CSVVal&lt;&gt;"",_xlpm.CSVVal
)),"")</f>
        <v/>
      </c>
      <c r="M270" s="40" t="str" cm="1">
        <f t="array" ref="M270">IFERROR(_xlfn.LET(
_xlpm.CSVVal,_xlfn.XLOOKUP($A270,CSV!$A:$A,CSV!Q:Q,""),
_xlpm.MacVal,_xlfn.XLOOKUP($A270,Output_Mac!$A:$A,Output_Mac!M:M,""),
_xlpm.MyAuditVal,_xlfn.XLOOKUP($A270,My_Audit!$A:$A,My_Audit!L:L,""),
_xlfn.IFS(_xlpm.MyAuditVal&lt;&gt;"",UPPER(_xlpm.MyAuditVal),_xlpm.MacVal&lt;&gt;"",_xlpm.MacVal,_xlpm.CSVVal&lt;&gt;"",_xlpm.CSVVal
)),"")</f>
        <v/>
      </c>
      <c r="N270" s="40"/>
      <c r="O270" s="40" t="str">
        <f>_xlfn.LET(
    _xlpm.CSVVal, _xlfn.XLOOKUP($A270, CSV!$A:$A, CSV!AA:AA, ""),
    _xlpm.MacVal, _xlfn.XLOOKUP($A270, Output_Mac!$A:$A, Output_Mac!S:S, ""),
    _xlpm.MyAuditVal, _xlfn.XLOOKUP($A270, My_Audit!$A:$A, My_Audit!P:P, ""),
    _xlfn.TEXTJOIN(", ", TRUE, _xlpm.MyAuditVal, _xlpm.MacVal, _xlpm.CSVVal)
)</f>
        <v/>
      </c>
      <c r="P270" s="40" t="str" cm="1">
        <f t="array" ref="P270">IFERROR(_xlfn.LET(
_xlpm.CSVVal,_xlfn.XLOOKUP($A270,CSV!$A:$A,CSV!AB:AB,""),
_xlpm.MacVal,_xlfn.XLOOKUP($A270,Output_Mac!$A:$A,Output_Mac!T:T,""),
_xlpm.MyAuditVal,_xlfn.XLOOKUP($A270,My_Audit!$A:$A,My_Audit!Q:Q,""),
_xlfn.IFS(_xlpm.MyAuditVal&lt;&gt;"",UPPER(_xlpm.MyAuditVal),_xlpm.MacVal&lt;&gt;"",_xlpm.MacVal,_xlpm.CSVVal&lt;&gt;"",_xlpm.CSVVal
)),"No")</f>
        <v>No</v>
      </c>
      <c r="Q270" s="40" t="str" cm="1">
        <f t="array" ref="Q270">IFERROR(_xlfn.LET(
_xlpm.CSVVal,_xlfn.XLOOKUP($A270,CSV!$A:$A,CSV!AC:AC,""),
_xlpm.MacVal,_xlfn.XLOOKUP($A270,Output_Mac!$A:$A,Output_Mac!U:U,""),
_xlpm.MyAuditVal,_xlfn.XLOOKUP($A270,My_Audit!$A:$A,My_Audit!R:R,""),
_xlfn.IFS(_xlpm.MyAuditVal&lt;&gt;"",UPPER(_xlpm.MyAuditVal),_xlpm.MacVal&lt;&gt;"",_xlpm.MacVal,_xlpm.CSVVal&lt;&gt;"",_xlpm.CSVVal
)),"")</f>
        <v/>
      </c>
      <c r="R270" s="40"/>
      <c r="S270" s="40"/>
      <c r="T270" s="40"/>
      <c r="U270" s="40"/>
      <c r="V270" s="40"/>
      <c r="W270" s="40"/>
      <c r="X270" s="41" t="str">
        <f>_xlfn.LET(
    _xlpm.MacVal, _xlfn.XLOOKUP($A270, Output_Mac!$A:$A, Output_Mac!AB:AB, ""),
    _xlpm.MyAuditVal, _xlfn.XLOOKUP($A270, My_Audit!$A:$A, My_Audit!N:N, ""),
    _xlfn.TEXTJOIN(", ", TRUE, _xlpm.MyAuditVal, _xlpm.MacVal)
)</f>
        <v/>
      </c>
    </row>
    <row r="271" spans="1:24">
      <c r="A271" s="40" t="str">
        <f>_xlfn.TEXTJOIN("",TRUE,Input!$B$2,ROW(My_Audit!A270))</f>
        <v>X270</v>
      </c>
      <c r="B271" s="40" t="str">
        <f>_xlfn.TEXTJOIN("-",TRUE,"ITD",Input!$A$2,A271)</f>
        <v>ITD-X270</v>
      </c>
      <c r="C271" s="40" t="str" cm="1">
        <f t="array" ref="C271">IFERROR(_xlfn.LET(
_xlpm.CSVVal,_xlfn.XLOOKUP($A271,CSV!$A:$A,CSV!B:B,""),
_xlpm.MacVal,_xlfn.XLOOKUP($A271,Output_Mac!$A:$A,Output_Mac!B:B,""),
_xlpm.MyAuditVal,_xlfn.XLOOKUP($A271,My_Audit!$A:$A,My_Audit!B:B,""),
_xlfn.IFS(_xlpm.MyAuditVal&lt;&gt;"",UPPER(_xlpm.MyAuditVal),_xlpm.MacVal&lt;&gt;"",_xlpm.MacVal,_xlpm.CSVVal&lt;&gt;"",_xlpm.CSVVal
)),"")</f>
        <v/>
      </c>
      <c r="D271" s="40" t="str" cm="1">
        <f t="array" ref="D271">IFERROR(_xlfn.LET(
_xlpm.CSVVal,_xlfn.XLOOKUP($A271,CSV!$A:$A,CSV!D:D,""),
_xlpm.MacVal,_xlfn.XLOOKUP($A271,Output_Mac!$A:$A,Output_Mac!C:C,""),
_xlpm.MyAuditVal,_xlfn.XLOOKUP($A271,My_Audit!$A:$A,My_Audit!C:C,""),
_xlfn.IFS(_xlpm.MyAuditVal&lt;&gt;"",_xlpm.MyAuditVal,_xlpm.MacVal&lt;&gt;"",_xlpm.MacVal,_xlpm.CSVVal&lt;&gt;"",_xlpm.CSVVal
)),"")</f>
        <v/>
      </c>
      <c r="E271" s="40">
        <f>_xlfn.XLOOKUP(A271,My_Audit!A:A,My_Audit!D:D,"")</f>
        <v>0</v>
      </c>
      <c r="F271" s="40" t="str" cm="1">
        <f t="array" ref="F271">IFERROR(_xlfn.LET(
_xlpm.CSVVal,_xlfn.XLOOKUP($A271,CSV!$A:$A,CSV!F:F,""),
_xlpm.MacVal,_xlfn.XLOOKUP($A271,Output_Mac!$A:$A,Output_Mac!E:E,""),
_xlpm.MyAuditVal,_xlfn.XLOOKUP($A271,My_Audit!$A:$A,My_Audit!E:E,""),
_xlfn.IFS(_xlpm.MyAuditVal&lt;&gt;"",_xlpm.MyAuditVal,_xlpm.MacVal&lt;&gt;"",_xlpm.MacVal,_xlpm.CSVVal&lt;&gt;"",_xlpm.CSVVal
)),"")</f>
        <v/>
      </c>
      <c r="G271" s="40" t="str" cm="1">
        <f t="array" ref="G271">IFERROR(_xlfn.LET(
_xlpm.CSVVal,_xlfn.XLOOKUP($A271,CSV!$A:$A,CSV!G:G,""),
_xlpm.MacVal,_xlfn.XLOOKUP($A271,Output_Mac!$A:$A,Output_Mac!F:F,""),
_xlpm.MyAuditVal,_xlfn.XLOOKUP($A271,My_Audit!$A:$A,My_Audit!F:F,""),
_xlfn.IFS(_xlpm.MyAuditVal&lt;&gt;"",_xlpm.MyAuditVal,_xlpm.MacVal&lt;&gt;"",_xlpm.MacVal,_xlpm.CSVVal&lt;&gt;"",PROPER(_xlpm.CSVVal)
)),"")</f>
        <v/>
      </c>
      <c r="H271" s="40" t="str" cm="1">
        <f t="array" ref="H271">IFERROR(_xlfn.LET(
_xlpm.CSVVal,_xlfn.XLOOKUP($A271,CSV!$A:$A,CSV!H:H,""),
_xlpm.MacVal,_xlfn.XLOOKUP($A271,Output_Mac!$A:$A,Output_Mac!H:H,""),
_xlpm.MyAuditVal,_xlfn.XLOOKUP($A271,My_Audit!$A:$A,My_Audit!G:G,""),
_xlfn.IFS(_xlpm.MyAuditVal&lt;&gt;"",_xlpm.MyAuditVal,_xlpm.MacVal&lt;&gt;"",_xlpm.MacVal,_xlpm.CSVVal&lt;&gt;"",_xlpm.CSVVal
)),"")</f>
        <v/>
      </c>
      <c r="I271" s="40" t="str">
        <f>_xlfn.XLOOKUP(A271,Output_Mac!A:A,Output_Mac!I:I,"")</f>
        <v/>
      </c>
      <c r="J271" s="40" t="str" cm="1">
        <f t="array" ref="J271">IFERROR(_xlfn.LET(
_xlpm.CSVVal,_xlfn.XLOOKUP($A271,CSV!$A:$A,CSV!I:I,""),
_xlpm.MacVal,_xlfn.XLOOKUP($A271,Output_Mac!$A:$A,Output_Mac!J:J,""),
_xlpm.MyAuditVal,_xlfn.XLOOKUP($A271,My_Audit!$A:$A,My_Audit!I:I,""),
_xlfn.IFS(_xlpm.MyAuditVal&lt;&gt;"",UPPER(_xlpm.MyAuditVal),_xlpm.MacVal&lt;&gt;"",_xlpm.MacVal,_xlpm.CSVVal&lt;&gt;"",_xlpm.CSVVal
)),"")</f>
        <v/>
      </c>
      <c r="K271" s="40" t="str" cm="1">
        <f t="array" ref="K271">IFERROR(_xlfn.LET(
_xlpm.CSVVal,_xlfn.XLOOKUP($A271,CSV!$A:$A,CSV!K:K,""),
_xlpm.MacVal,_xlfn.XLOOKUP($A271,Output_Mac!$A:$A,Output_Mac!K:K,""),
_xlpm.MyAuditVal,_xlfn.XLOOKUP($A271,My_Audit!$A:$A,My_Audit!J:J,""),
_xlfn.IFS(_xlpm.MyAuditVal&lt;&gt;"",UPPER(_xlpm.MyAuditVal),_xlpm.MacVal&lt;&gt;"",_xlpm.MacVal,_xlpm.CSVVal&lt;&gt;"",_xlpm.CSVVal
)),"")</f>
        <v/>
      </c>
      <c r="L271" s="40" t="str" cm="1">
        <f t="array" ref="L271">IFERROR(_xlfn.LET(
_xlpm.CSVVal,_xlfn.XLOOKUP($A271,CSV!$A:$A,CSV!P:P,""),
_xlpm.MacVal,_xlfn.XLOOKUP($A271,Output_Mac!$A:$A,Output_Mac!L:L,""),
_xlpm.MyAuditVal,_xlfn.XLOOKUP($A271,My_Audit!$A:$A,My_Audit!K:K,""),
_xlfn.IFS(_xlpm.MyAuditVal&lt;&gt;"",UPPER(_xlpm.MyAuditVal),_xlpm.MacVal&lt;&gt;"",_xlpm.MacVal,_xlpm.CSVVal&lt;&gt;"",_xlpm.CSVVal
)),"")</f>
        <v/>
      </c>
      <c r="M271" s="40" t="str" cm="1">
        <f t="array" ref="M271">IFERROR(_xlfn.LET(
_xlpm.CSVVal,_xlfn.XLOOKUP($A271,CSV!$A:$A,CSV!Q:Q,""),
_xlpm.MacVal,_xlfn.XLOOKUP($A271,Output_Mac!$A:$A,Output_Mac!M:M,""),
_xlpm.MyAuditVal,_xlfn.XLOOKUP($A271,My_Audit!$A:$A,My_Audit!L:L,""),
_xlfn.IFS(_xlpm.MyAuditVal&lt;&gt;"",UPPER(_xlpm.MyAuditVal),_xlpm.MacVal&lt;&gt;"",_xlpm.MacVal,_xlpm.CSVVal&lt;&gt;"",_xlpm.CSVVal
)),"")</f>
        <v/>
      </c>
      <c r="N271" s="40"/>
      <c r="O271" s="40" t="str">
        <f>_xlfn.LET(
    _xlpm.CSVVal, _xlfn.XLOOKUP($A271, CSV!$A:$A, CSV!AA:AA, ""),
    _xlpm.MacVal, _xlfn.XLOOKUP($A271, Output_Mac!$A:$A, Output_Mac!S:S, ""),
    _xlpm.MyAuditVal, _xlfn.XLOOKUP($A271, My_Audit!$A:$A, My_Audit!P:P, ""),
    _xlfn.TEXTJOIN(", ", TRUE, _xlpm.MyAuditVal, _xlpm.MacVal, _xlpm.CSVVal)
)</f>
        <v/>
      </c>
      <c r="P271" s="40" t="str" cm="1">
        <f t="array" ref="P271">IFERROR(_xlfn.LET(
_xlpm.CSVVal,_xlfn.XLOOKUP($A271,CSV!$A:$A,CSV!AB:AB,""),
_xlpm.MacVal,_xlfn.XLOOKUP($A271,Output_Mac!$A:$A,Output_Mac!T:T,""),
_xlpm.MyAuditVal,_xlfn.XLOOKUP($A271,My_Audit!$A:$A,My_Audit!Q:Q,""),
_xlfn.IFS(_xlpm.MyAuditVal&lt;&gt;"",UPPER(_xlpm.MyAuditVal),_xlpm.MacVal&lt;&gt;"",_xlpm.MacVal,_xlpm.CSVVal&lt;&gt;"",_xlpm.CSVVal
)),"No")</f>
        <v>No</v>
      </c>
      <c r="Q271" s="40" t="str" cm="1">
        <f t="array" ref="Q271">IFERROR(_xlfn.LET(
_xlpm.CSVVal,_xlfn.XLOOKUP($A271,CSV!$A:$A,CSV!AC:AC,""),
_xlpm.MacVal,_xlfn.XLOOKUP($A271,Output_Mac!$A:$A,Output_Mac!U:U,""),
_xlpm.MyAuditVal,_xlfn.XLOOKUP($A271,My_Audit!$A:$A,My_Audit!R:R,""),
_xlfn.IFS(_xlpm.MyAuditVal&lt;&gt;"",UPPER(_xlpm.MyAuditVal),_xlpm.MacVal&lt;&gt;"",_xlpm.MacVal,_xlpm.CSVVal&lt;&gt;"",_xlpm.CSVVal
)),"")</f>
        <v/>
      </c>
      <c r="R271" s="40"/>
      <c r="S271" s="40"/>
      <c r="T271" s="40"/>
      <c r="U271" s="40"/>
      <c r="V271" s="40"/>
      <c r="W271" s="40"/>
      <c r="X271" s="41" t="str">
        <f>_xlfn.LET(
    _xlpm.MacVal, _xlfn.XLOOKUP($A271, Output_Mac!$A:$A, Output_Mac!AB:AB, ""),
    _xlpm.MyAuditVal, _xlfn.XLOOKUP($A271, My_Audit!$A:$A, My_Audit!N:N, ""),
    _xlfn.TEXTJOIN(", ", TRUE, _xlpm.MyAuditVal, _xlpm.MacVal)
)</f>
        <v/>
      </c>
    </row>
    <row r="272" spans="1:24">
      <c r="A272" s="40" t="str">
        <f>_xlfn.TEXTJOIN("",TRUE,Input!$B$2,ROW(My_Audit!A271))</f>
        <v>X271</v>
      </c>
      <c r="B272" s="40" t="str">
        <f>_xlfn.TEXTJOIN("-",TRUE,"ITD",Input!$A$2,A272)</f>
        <v>ITD-X271</v>
      </c>
      <c r="C272" s="40" t="str" cm="1">
        <f t="array" ref="C272">IFERROR(_xlfn.LET(
_xlpm.CSVVal,_xlfn.XLOOKUP($A272,CSV!$A:$A,CSV!B:B,""),
_xlpm.MacVal,_xlfn.XLOOKUP($A272,Output_Mac!$A:$A,Output_Mac!B:B,""),
_xlpm.MyAuditVal,_xlfn.XLOOKUP($A272,My_Audit!$A:$A,My_Audit!B:B,""),
_xlfn.IFS(_xlpm.MyAuditVal&lt;&gt;"",UPPER(_xlpm.MyAuditVal),_xlpm.MacVal&lt;&gt;"",_xlpm.MacVal,_xlpm.CSVVal&lt;&gt;"",_xlpm.CSVVal
)),"")</f>
        <v/>
      </c>
      <c r="D272" s="40" t="str" cm="1">
        <f t="array" ref="D272">IFERROR(_xlfn.LET(
_xlpm.CSVVal,_xlfn.XLOOKUP($A272,CSV!$A:$A,CSV!D:D,""),
_xlpm.MacVal,_xlfn.XLOOKUP($A272,Output_Mac!$A:$A,Output_Mac!C:C,""),
_xlpm.MyAuditVal,_xlfn.XLOOKUP($A272,My_Audit!$A:$A,My_Audit!C:C,""),
_xlfn.IFS(_xlpm.MyAuditVal&lt;&gt;"",_xlpm.MyAuditVal,_xlpm.MacVal&lt;&gt;"",_xlpm.MacVal,_xlpm.CSVVal&lt;&gt;"",_xlpm.CSVVal
)),"")</f>
        <v/>
      </c>
      <c r="E272" s="40">
        <f>_xlfn.XLOOKUP(A272,My_Audit!A:A,My_Audit!D:D,"")</f>
        <v>0</v>
      </c>
      <c r="F272" s="40" t="str" cm="1">
        <f t="array" ref="F272">IFERROR(_xlfn.LET(
_xlpm.CSVVal,_xlfn.XLOOKUP($A272,CSV!$A:$A,CSV!F:F,""),
_xlpm.MacVal,_xlfn.XLOOKUP($A272,Output_Mac!$A:$A,Output_Mac!E:E,""),
_xlpm.MyAuditVal,_xlfn.XLOOKUP($A272,My_Audit!$A:$A,My_Audit!E:E,""),
_xlfn.IFS(_xlpm.MyAuditVal&lt;&gt;"",_xlpm.MyAuditVal,_xlpm.MacVal&lt;&gt;"",_xlpm.MacVal,_xlpm.CSVVal&lt;&gt;"",_xlpm.CSVVal
)),"")</f>
        <v/>
      </c>
      <c r="G272" s="40" t="str" cm="1">
        <f t="array" ref="G272">IFERROR(_xlfn.LET(
_xlpm.CSVVal,_xlfn.XLOOKUP($A272,CSV!$A:$A,CSV!G:G,""),
_xlpm.MacVal,_xlfn.XLOOKUP($A272,Output_Mac!$A:$A,Output_Mac!F:F,""),
_xlpm.MyAuditVal,_xlfn.XLOOKUP($A272,My_Audit!$A:$A,My_Audit!F:F,""),
_xlfn.IFS(_xlpm.MyAuditVal&lt;&gt;"",_xlpm.MyAuditVal,_xlpm.MacVal&lt;&gt;"",_xlpm.MacVal,_xlpm.CSVVal&lt;&gt;"",PROPER(_xlpm.CSVVal)
)),"")</f>
        <v/>
      </c>
      <c r="H272" s="40" t="str" cm="1">
        <f t="array" ref="H272">IFERROR(_xlfn.LET(
_xlpm.CSVVal,_xlfn.XLOOKUP($A272,CSV!$A:$A,CSV!H:H,""),
_xlpm.MacVal,_xlfn.XLOOKUP($A272,Output_Mac!$A:$A,Output_Mac!H:H,""),
_xlpm.MyAuditVal,_xlfn.XLOOKUP($A272,My_Audit!$A:$A,My_Audit!G:G,""),
_xlfn.IFS(_xlpm.MyAuditVal&lt;&gt;"",_xlpm.MyAuditVal,_xlpm.MacVal&lt;&gt;"",_xlpm.MacVal,_xlpm.CSVVal&lt;&gt;"",_xlpm.CSVVal
)),"")</f>
        <v/>
      </c>
      <c r="I272" s="40" t="str">
        <f>_xlfn.XLOOKUP(A272,Output_Mac!A:A,Output_Mac!I:I,"")</f>
        <v/>
      </c>
      <c r="J272" s="40" t="str" cm="1">
        <f t="array" ref="J272">IFERROR(_xlfn.LET(
_xlpm.CSVVal,_xlfn.XLOOKUP($A272,CSV!$A:$A,CSV!I:I,""),
_xlpm.MacVal,_xlfn.XLOOKUP($A272,Output_Mac!$A:$A,Output_Mac!J:J,""),
_xlpm.MyAuditVal,_xlfn.XLOOKUP($A272,My_Audit!$A:$A,My_Audit!I:I,""),
_xlfn.IFS(_xlpm.MyAuditVal&lt;&gt;"",UPPER(_xlpm.MyAuditVal),_xlpm.MacVal&lt;&gt;"",_xlpm.MacVal,_xlpm.CSVVal&lt;&gt;"",_xlpm.CSVVal
)),"")</f>
        <v/>
      </c>
      <c r="K272" s="40" t="str" cm="1">
        <f t="array" ref="K272">IFERROR(_xlfn.LET(
_xlpm.CSVVal,_xlfn.XLOOKUP($A272,CSV!$A:$A,CSV!K:K,""),
_xlpm.MacVal,_xlfn.XLOOKUP($A272,Output_Mac!$A:$A,Output_Mac!K:K,""),
_xlpm.MyAuditVal,_xlfn.XLOOKUP($A272,My_Audit!$A:$A,My_Audit!J:J,""),
_xlfn.IFS(_xlpm.MyAuditVal&lt;&gt;"",UPPER(_xlpm.MyAuditVal),_xlpm.MacVal&lt;&gt;"",_xlpm.MacVal,_xlpm.CSVVal&lt;&gt;"",_xlpm.CSVVal
)),"")</f>
        <v/>
      </c>
      <c r="L272" s="40" t="str" cm="1">
        <f t="array" ref="L272">IFERROR(_xlfn.LET(
_xlpm.CSVVal,_xlfn.XLOOKUP($A272,CSV!$A:$A,CSV!P:P,""),
_xlpm.MacVal,_xlfn.XLOOKUP($A272,Output_Mac!$A:$A,Output_Mac!L:L,""),
_xlpm.MyAuditVal,_xlfn.XLOOKUP($A272,My_Audit!$A:$A,My_Audit!K:K,""),
_xlfn.IFS(_xlpm.MyAuditVal&lt;&gt;"",UPPER(_xlpm.MyAuditVal),_xlpm.MacVal&lt;&gt;"",_xlpm.MacVal,_xlpm.CSVVal&lt;&gt;"",_xlpm.CSVVal
)),"")</f>
        <v/>
      </c>
      <c r="M272" s="40" t="str" cm="1">
        <f t="array" ref="M272">IFERROR(_xlfn.LET(
_xlpm.CSVVal,_xlfn.XLOOKUP($A272,CSV!$A:$A,CSV!Q:Q,""),
_xlpm.MacVal,_xlfn.XLOOKUP($A272,Output_Mac!$A:$A,Output_Mac!M:M,""),
_xlpm.MyAuditVal,_xlfn.XLOOKUP($A272,My_Audit!$A:$A,My_Audit!L:L,""),
_xlfn.IFS(_xlpm.MyAuditVal&lt;&gt;"",UPPER(_xlpm.MyAuditVal),_xlpm.MacVal&lt;&gt;"",_xlpm.MacVal,_xlpm.CSVVal&lt;&gt;"",_xlpm.CSVVal
)),"")</f>
        <v/>
      </c>
      <c r="N272" s="40"/>
      <c r="O272" s="40" t="str">
        <f>_xlfn.LET(
    _xlpm.CSVVal, _xlfn.XLOOKUP($A272, CSV!$A:$A, CSV!AA:AA, ""),
    _xlpm.MacVal, _xlfn.XLOOKUP($A272, Output_Mac!$A:$A, Output_Mac!S:S, ""),
    _xlpm.MyAuditVal, _xlfn.XLOOKUP($A272, My_Audit!$A:$A, My_Audit!P:P, ""),
    _xlfn.TEXTJOIN(", ", TRUE, _xlpm.MyAuditVal, _xlpm.MacVal, _xlpm.CSVVal)
)</f>
        <v/>
      </c>
      <c r="P272" s="40" t="str" cm="1">
        <f t="array" ref="P272">IFERROR(_xlfn.LET(
_xlpm.CSVVal,_xlfn.XLOOKUP($A272,CSV!$A:$A,CSV!AB:AB,""),
_xlpm.MacVal,_xlfn.XLOOKUP($A272,Output_Mac!$A:$A,Output_Mac!T:T,""),
_xlpm.MyAuditVal,_xlfn.XLOOKUP($A272,My_Audit!$A:$A,My_Audit!Q:Q,""),
_xlfn.IFS(_xlpm.MyAuditVal&lt;&gt;"",UPPER(_xlpm.MyAuditVal),_xlpm.MacVal&lt;&gt;"",_xlpm.MacVal,_xlpm.CSVVal&lt;&gt;"",_xlpm.CSVVal
)),"No")</f>
        <v>No</v>
      </c>
      <c r="Q272" s="40" t="str" cm="1">
        <f t="array" ref="Q272">IFERROR(_xlfn.LET(
_xlpm.CSVVal,_xlfn.XLOOKUP($A272,CSV!$A:$A,CSV!AC:AC,""),
_xlpm.MacVal,_xlfn.XLOOKUP($A272,Output_Mac!$A:$A,Output_Mac!U:U,""),
_xlpm.MyAuditVal,_xlfn.XLOOKUP($A272,My_Audit!$A:$A,My_Audit!R:R,""),
_xlfn.IFS(_xlpm.MyAuditVal&lt;&gt;"",UPPER(_xlpm.MyAuditVal),_xlpm.MacVal&lt;&gt;"",_xlpm.MacVal,_xlpm.CSVVal&lt;&gt;"",_xlpm.CSVVal
)),"")</f>
        <v/>
      </c>
      <c r="R272" s="40"/>
      <c r="S272" s="40"/>
      <c r="T272" s="40"/>
      <c r="U272" s="40"/>
      <c r="V272" s="40"/>
      <c r="W272" s="40"/>
      <c r="X272" s="41" t="str">
        <f>_xlfn.LET(
    _xlpm.MacVal, _xlfn.XLOOKUP($A272, Output_Mac!$A:$A, Output_Mac!AB:AB, ""),
    _xlpm.MyAuditVal, _xlfn.XLOOKUP($A272, My_Audit!$A:$A, My_Audit!N:N, ""),
    _xlfn.TEXTJOIN(", ", TRUE, _xlpm.MyAuditVal, _xlpm.MacVal)
)</f>
        <v/>
      </c>
    </row>
    <row r="273" spans="1:24">
      <c r="A273" s="40" t="str">
        <f>_xlfn.TEXTJOIN("",TRUE,Input!$B$2,ROW(My_Audit!A272))</f>
        <v>X272</v>
      </c>
      <c r="B273" s="40" t="str">
        <f>_xlfn.TEXTJOIN("-",TRUE,"ITD",Input!$A$2,A273)</f>
        <v>ITD-X272</v>
      </c>
      <c r="C273" s="40" t="str" cm="1">
        <f t="array" ref="C273">IFERROR(_xlfn.LET(
_xlpm.CSVVal,_xlfn.XLOOKUP($A273,CSV!$A:$A,CSV!B:B,""),
_xlpm.MacVal,_xlfn.XLOOKUP($A273,Output_Mac!$A:$A,Output_Mac!B:B,""),
_xlpm.MyAuditVal,_xlfn.XLOOKUP($A273,My_Audit!$A:$A,My_Audit!B:B,""),
_xlfn.IFS(_xlpm.MyAuditVal&lt;&gt;"",UPPER(_xlpm.MyAuditVal),_xlpm.MacVal&lt;&gt;"",_xlpm.MacVal,_xlpm.CSVVal&lt;&gt;"",_xlpm.CSVVal
)),"")</f>
        <v/>
      </c>
      <c r="D273" s="40" t="str" cm="1">
        <f t="array" ref="D273">IFERROR(_xlfn.LET(
_xlpm.CSVVal,_xlfn.XLOOKUP($A273,CSV!$A:$A,CSV!D:D,""),
_xlpm.MacVal,_xlfn.XLOOKUP($A273,Output_Mac!$A:$A,Output_Mac!C:C,""),
_xlpm.MyAuditVal,_xlfn.XLOOKUP($A273,My_Audit!$A:$A,My_Audit!C:C,""),
_xlfn.IFS(_xlpm.MyAuditVal&lt;&gt;"",_xlpm.MyAuditVal,_xlpm.MacVal&lt;&gt;"",_xlpm.MacVal,_xlpm.CSVVal&lt;&gt;"",_xlpm.CSVVal
)),"")</f>
        <v/>
      </c>
      <c r="E273" s="40">
        <f>_xlfn.XLOOKUP(A273,My_Audit!A:A,My_Audit!D:D,"")</f>
        <v>0</v>
      </c>
      <c r="F273" s="40" t="str" cm="1">
        <f t="array" ref="F273">IFERROR(_xlfn.LET(
_xlpm.CSVVal,_xlfn.XLOOKUP($A273,CSV!$A:$A,CSV!F:F,""),
_xlpm.MacVal,_xlfn.XLOOKUP($A273,Output_Mac!$A:$A,Output_Mac!E:E,""),
_xlpm.MyAuditVal,_xlfn.XLOOKUP($A273,My_Audit!$A:$A,My_Audit!E:E,""),
_xlfn.IFS(_xlpm.MyAuditVal&lt;&gt;"",_xlpm.MyAuditVal,_xlpm.MacVal&lt;&gt;"",_xlpm.MacVal,_xlpm.CSVVal&lt;&gt;"",_xlpm.CSVVal
)),"")</f>
        <v/>
      </c>
      <c r="G273" s="40" t="str" cm="1">
        <f t="array" ref="G273">IFERROR(_xlfn.LET(
_xlpm.CSVVal,_xlfn.XLOOKUP($A273,CSV!$A:$A,CSV!G:G,""),
_xlpm.MacVal,_xlfn.XLOOKUP($A273,Output_Mac!$A:$A,Output_Mac!F:F,""),
_xlpm.MyAuditVal,_xlfn.XLOOKUP($A273,My_Audit!$A:$A,My_Audit!F:F,""),
_xlfn.IFS(_xlpm.MyAuditVal&lt;&gt;"",_xlpm.MyAuditVal,_xlpm.MacVal&lt;&gt;"",_xlpm.MacVal,_xlpm.CSVVal&lt;&gt;"",PROPER(_xlpm.CSVVal)
)),"")</f>
        <v/>
      </c>
      <c r="H273" s="40" t="str" cm="1">
        <f t="array" ref="H273">IFERROR(_xlfn.LET(
_xlpm.CSVVal,_xlfn.XLOOKUP($A273,CSV!$A:$A,CSV!H:H,""),
_xlpm.MacVal,_xlfn.XLOOKUP($A273,Output_Mac!$A:$A,Output_Mac!H:H,""),
_xlpm.MyAuditVal,_xlfn.XLOOKUP($A273,My_Audit!$A:$A,My_Audit!G:G,""),
_xlfn.IFS(_xlpm.MyAuditVal&lt;&gt;"",_xlpm.MyAuditVal,_xlpm.MacVal&lt;&gt;"",_xlpm.MacVal,_xlpm.CSVVal&lt;&gt;"",_xlpm.CSVVal
)),"")</f>
        <v/>
      </c>
      <c r="I273" s="40" t="str">
        <f>_xlfn.XLOOKUP(A273,Output_Mac!A:A,Output_Mac!I:I,"")</f>
        <v/>
      </c>
      <c r="J273" s="40" t="str" cm="1">
        <f t="array" ref="J273">IFERROR(_xlfn.LET(
_xlpm.CSVVal,_xlfn.XLOOKUP($A273,CSV!$A:$A,CSV!I:I,""),
_xlpm.MacVal,_xlfn.XLOOKUP($A273,Output_Mac!$A:$A,Output_Mac!J:J,""),
_xlpm.MyAuditVal,_xlfn.XLOOKUP($A273,My_Audit!$A:$A,My_Audit!I:I,""),
_xlfn.IFS(_xlpm.MyAuditVal&lt;&gt;"",UPPER(_xlpm.MyAuditVal),_xlpm.MacVal&lt;&gt;"",_xlpm.MacVal,_xlpm.CSVVal&lt;&gt;"",_xlpm.CSVVal
)),"")</f>
        <v/>
      </c>
      <c r="K273" s="40" t="str" cm="1">
        <f t="array" ref="K273">IFERROR(_xlfn.LET(
_xlpm.CSVVal,_xlfn.XLOOKUP($A273,CSV!$A:$A,CSV!K:K,""),
_xlpm.MacVal,_xlfn.XLOOKUP($A273,Output_Mac!$A:$A,Output_Mac!K:K,""),
_xlpm.MyAuditVal,_xlfn.XLOOKUP($A273,My_Audit!$A:$A,My_Audit!J:J,""),
_xlfn.IFS(_xlpm.MyAuditVal&lt;&gt;"",UPPER(_xlpm.MyAuditVal),_xlpm.MacVal&lt;&gt;"",_xlpm.MacVal,_xlpm.CSVVal&lt;&gt;"",_xlpm.CSVVal
)),"")</f>
        <v/>
      </c>
      <c r="L273" s="40" t="str" cm="1">
        <f t="array" ref="L273">IFERROR(_xlfn.LET(
_xlpm.CSVVal,_xlfn.XLOOKUP($A273,CSV!$A:$A,CSV!P:P,""),
_xlpm.MacVal,_xlfn.XLOOKUP($A273,Output_Mac!$A:$A,Output_Mac!L:L,""),
_xlpm.MyAuditVal,_xlfn.XLOOKUP($A273,My_Audit!$A:$A,My_Audit!K:K,""),
_xlfn.IFS(_xlpm.MyAuditVal&lt;&gt;"",UPPER(_xlpm.MyAuditVal),_xlpm.MacVal&lt;&gt;"",_xlpm.MacVal,_xlpm.CSVVal&lt;&gt;"",_xlpm.CSVVal
)),"")</f>
        <v/>
      </c>
      <c r="M273" s="40" t="str" cm="1">
        <f t="array" ref="M273">IFERROR(_xlfn.LET(
_xlpm.CSVVal,_xlfn.XLOOKUP($A273,CSV!$A:$A,CSV!Q:Q,""),
_xlpm.MacVal,_xlfn.XLOOKUP($A273,Output_Mac!$A:$A,Output_Mac!M:M,""),
_xlpm.MyAuditVal,_xlfn.XLOOKUP($A273,My_Audit!$A:$A,My_Audit!L:L,""),
_xlfn.IFS(_xlpm.MyAuditVal&lt;&gt;"",UPPER(_xlpm.MyAuditVal),_xlpm.MacVal&lt;&gt;"",_xlpm.MacVal,_xlpm.CSVVal&lt;&gt;"",_xlpm.CSVVal
)),"")</f>
        <v/>
      </c>
      <c r="N273" s="40"/>
      <c r="O273" s="40" t="str">
        <f>_xlfn.LET(
    _xlpm.CSVVal, _xlfn.XLOOKUP($A273, CSV!$A:$A, CSV!AA:AA, ""),
    _xlpm.MacVal, _xlfn.XLOOKUP($A273, Output_Mac!$A:$A, Output_Mac!S:S, ""),
    _xlpm.MyAuditVal, _xlfn.XLOOKUP($A273, My_Audit!$A:$A, My_Audit!P:P, ""),
    _xlfn.TEXTJOIN(", ", TRUE, _xlpm.MyAuditVal, _xlpm.MacVal, _xlpm.CSVVal)
)</f>
        <v/>
      </c>
      <c r="P273" s="40" t="str" cm="1">
        <f t="array" ref="P273">IFERROR(_xlfn.LET(
_xlpm.CSVVal,_xlfn.XLOOKUP($A273,CSV!$A:$A,CSV!AB:AB,""),
_xlpm.MacVal,_xlfn.XLOOKUP($A273,Output_Mac!$A:$A,Output_Mac!T:T,""),
_xlpm.MyAuditVal,_xlfn.XLOOKUP($A273,My_Audit!$A:$A,My_Audit!Q:Q,""),
_xlfn.IFS(_xlpm.MyAuditVal&lt;&gt;"",UPPER(_xlpm.MyAuditVal),_xlpm.MacVal&lt;&gt;"",_xlpm.MacVal,_xlpm.CSVVal&lt;&gt;"",_xlpm.CSVVal
)),"No")</f>
        <v>No</v>
      </c>
      <c r="Q273" s="40" t="str" cm="1">
        <f t="array" ref="Q273">IFERROR(_xlfn.LET(
_xlpm.CSVVal,_xlfn.XLOOKUP($A273,CSV!$A:$A,CSV!AC:AC,""),
_xlpm.MacVal,_xlfn.XLOOKUP($A273,Output_Mac!$A:$A,Output_Mac!U:U,""),
_xlpm.MyAuditVal,_xlfn.XLOOKUP($A273,My_Audit!$A:$A,My_Audit!R:R,""),
_xlfn.IFS(_xlpm.MyAuditVal&lt;&gt;"",UPPER(_xlpm.MyAuditVal),_xlpm.MacVal&lt;&gt;"",_xlpm.MacVal,_xlpm.CSVVal&lt;&gt;"",_xlpm.CSVVal
)),"")</f>
        <v/>
      </c>
      <c r="R273" s="40"/>
      <c r="S273" s="40"/>
      <c r="T273" s="40"/>
      <c r="U273" s="40"/>
      <c r="V273" s="40"/>
      <c r="W273" s="40"/>
      <c r="X273" s="41" t="str">
        <f>_xlfn.LET(
    _xlpm.MacVal, _xlfn.XLOOKUP($A273, Output_Mac!$A:$A, Output_Mac!AB:AB, ""),
    _xlpm.MyAuditVal, _xlfn.XLOOKUP($A273, My_Audit!$A:$A, My_Audit!N:N, ""),
    _xlfn.TEXTJOIN(", ", TRUE, _xlpm.MyAuditVal, _xlpm.MacVal)
)</f>
        <v/>
      </c>
    </row>
    <row r="274" spans="1:24">
      <c r="A274" s="40" t="str">
        <f>_xlfn.TEXTJOIN("",TRUE,Input!$B$2,ROW(My_Audit!A273))</f>
        <v>X273</v>
      </c>
      <c r="B274" s="40" t="str">
        <f>_xlfn.TEXTJOIN("-",TRUE,"ITD",Input!$A$2,A274)</f>
        <v>ITD-X273</v>
      </c>
      <c r="C274" s="40" t="str" cm="1">
        <f t="array" ref="C274">IFERROR(_xlfn.LET(
_xlpm.CSVVal,_xlfn.XLOOKUP($A274,CSV!$A:$A,CSV!B:B,""),
_xlpm.MacVal,_xlfn.XLOOKUP($A274,Output_Mac!$A:$A,Output_Mac!B:B,""),
_xlpm.MyAuditVal,_xlfn.XLOOKUP($A274,My_Audit!$A:$A,My_Audit!B:B,""),
_xlfn.IFS(_xlpm.MyAuditVal&lt;&gt;"",UPPER(_xlpm.MyAuditVal),_xlpm.MacVal&lt;&gt;"",_xlpm.MacVal,_xlpm.CSVVal&lt;&gt;"",_xlpm.CSVVal
)),"")</f>
        <v/>
      </c>
      <c r="D274" s="40" t="str" cm="1">
        <f t="array" ref="D274">IFERROR(_xlfn.LET(
_xlpm.CSVVal,_xlfn.XLOOKUP($A274,CSV!$A:$A,CSV!D:D,""),
_xlpm.MacVal,_xlfn.XLOOKUP($A274,Output_Mac!$A:$A,Output_Mac!C:C,""),
_xlpm.MyAuditVal,_xlfn.XLOOKUP($A274,My_Audit!$A:$A,My_Audit!C:C,""),
_xlfn.IFS(_xlpm.MyAuditVal&lt;&gt;"",_xlpm.MyAuditVal,_xlpm.MacVal&lt;&gt;"",_xlpm.MacVal,_xlpm.CSVVal&lt;&gt;"",_xlpm.CSVVal
)),"")</f>
        <v/>
      </c>
      <c r="E274" s="40">
        <f>_xlfn.XLOOKUP(A274,My_Audit!A:A,My_Audit!D:D,"")</f>
        <v>0</v>
      </c>
      <c r="F274" s="40" t="str" cm="1">
        <f t="array" ref="F274">IFERROR(_xlfn.LET(
_xlpm.CSVVal,_xlfn.XLOOKUP($A274,CSV!$A:$A,CSV!F:F,""),
_xlpm.MacVal,_xlfn.XLOOKUP($A274,Output_Mac!$A:$A,Output_Mac!E:E,""),
_xlpm.MyAuditVal,_xlfn.XLOOKUP($A274,My_Audit!$A:$A,My_Audit!E:E,""),
_xlfn.IFS(_xlpm.MyAuditVal&lt;&gt;"",_xlpm.MyAuditVal,_xlpm.MacVal&lt;&gt;"",_xlpm.MacVal,_xlpm.CSVVal&lt;&gt;"",_xlpm.CSVVal
)),"")</f>
        <v/>
      </c>
      <c r="G274" s="40" t="str" cm="1">
        <f t="array" ref="G274">IFERROR(_xlfn.LET(
_xlpm.CSVVal,_xlfn.XLOOKUP($A274,CSV!$A:$A,CSV!G:G,""),
_xlpm.MacVal,_xlfn.XLOOKUP($A274,Output_Mac!$A:$A,Output_Mac!F:F,""),
_xlpm.MyAuditVal,_xlfn.XLOOKUP($A274,My_Audit!$A:$A,My_Audit!F:F,""),
_xlfn.IFS(_xlpm.MyAuditVal&lt;&gt;"",_xlpm.MyAuditVal,_xlpm.MacVal&lt;&gt;"",_xlpm.MacVal,_xlpm.CSVVal&lt;&gt;"",PROPER(_xlpm.CSVVal)
)),"")</f>
        <v/>
      </c>
      <c r="H274" s="40" t="str" cm="1">
        <f t="array" ref="H274">IFERROR(_xlfn.LET(
_xlpm.CSVVal,_xlfn.XLOOKUP($A274,CSV!$A:$A,CSV!H:H,""),
_xlpm.MacVal,_xlfn.XLOOKUP($A274,Output_Mac!$A:$A,Output_Mac!H:H,""),
_xlpm.MyAuditVal,_xlfn.XLOOKUP($A274,My_Audit!$A:$A,My_Audit!G:G,""),
_xlfn.IFS(_xlpm.MyAuditVal&lt;&gt;"",_xlpm.MyAuditVal,_xlpm.MacVal&lt;&gt;"",_xlpm.MacVal,_xlpm.CSVVal&lt;&gt;"",_xlpm.CSVVal
)),"")</f>
        <v/>
      </c>
      <c r="I274" s="40" t="str">
        <f>_xlfn.XLOOKUP(A274,Output_Mac!A:A,Output_Mac!I:I,"")</f>
        <v/>
      </c>
      <c r="J274" s="40" t="str" cm="1">
        <f t="array" ref="J274">IFERROR(_xlfn.LET(
_xlpm.CSVVal,_xlfn.XLOOKUP($A274,CSV!$A:$A,CSV!I:I,""),
_xlpm.MacVal,_xlfn.XLOOKUP($A274,Output_Mac!$A:$A,Output_Mac!J:J,""),
_xlpm.MyAuditVal,_xlfn.XLOOKUP($A274,My_Audit!$A:$A,My_Audit!I:I,""),
_xlfn.IFS(_xlpm.MyAuditVal&lt;&gt;"",UPPER(_xlpm.MyAuditVal),_xlpm.MacVal&lt;&gt;"",_xlpm.MacVal,_xlpm.CSVVal&lt;&gt;"",_xlpm.CSVVal
)),"")</f>
        <v/>
      </c>
      <c r="K274" s="40" t="str" cm="1">
        <f t="array" ref="K274">IFERROR(_xlfn.LET(
_xlpm.CSVVal,_xlfn.XLOOKUP($A274,CSV!$A:$A,CSV!K:K,""),
_xlpm.MacVal,_xlfn.XLOOKUP($A274,Output_Mac!$A:$A,Output_Mac!K:K,""),
_xlpm.MyAuditVal,_xlfn.XLOOKUP($A274,My_Audit!$A:$A,My_Audit!J:J,""),
_xlfn.IFS(_xlpm.MyAuditVal&lt;&gt;"",UPPER(_xlpm.MyAuditVal),_xlpm.MacVal&lt;&gt;"",_xlpm.MacVal,_xlpm.CSVVal&lt;&gt;"",_xlpm.CSVVal
)),"")</f>
        <v/>
      </c>
      <c r="L274" s="40" t="str" cm="1">
        <f t="array" ref="L274">IFERROR(_xlfn.LET(
_xlpm.CSVVal,_xlfn.XLOOKUP($A274,CSV!$A:$A,CSV!P:P,""),
_xlpm.MacVal,_xlfn.XLOOKUP($A274,Output_Mac!$A:$A,Output_Mac!L:L,""),
_xlpm.MyAuditVal,_xlfn.XLOOKUP($A274,My_Audit!$A:$A,My_Audit!K:K,""),
_xlfn.IFS(_xlpm.MyAuditVal&lt;&gt;"",UPPER(_xlpm.MyAuditVal),_xlpm.MacVal&lt;&gt;"",_xlpm.MacVal,_xlpm.CSVVal&lt;&gt;"",_xlpm.CSVVal
)),"")</f>
        <v/>
      </c>
      <c r="M274" s="40" t="str" cm="1">
        <f t="array" ref="M274">IFERROR(_xlfn.LET(
_xlpm.CSVVal,_xlfn.XLOOKUP($A274,CSV!$A:$A,CSV!Q:Q,""),
_xlpm.MacVal,_xlfn.XLOOKUP($A274,Output_Mac!$A:$A,Output_Mac!M:M,""),
_xlpm.MyAuditVal,_xlfn.XLOOKUP($A274,My_Audit!$A:$A,My_Audit!L:L,""),
_xlfn.IFS(_xlpm.MyAuditVal&lt;&gt;"",UPPER(_xlpm.MyAuditVal),_xlpm.MacVal&lt;&gt;"",_xlpm.MacVal,_xlpm.CSVVal&lt;&gt;"",_xlpm.CSVVal
)),"")</f>
        <v/>
      </c>
      <c r="N274" s="40"/>
      <c r="O274" s="40" t="str">
        <f>_xlfn.LET(
    _xlpm.CSVVal, _xlfn.XLOOKUP($A274, CSV!$A:$A, CSV!AA:AA, ""),
    _xlpm.MacVal, _xlfn.XLOOKUP($A274, Output_Mac!$A:$A, Output_Mac!S:S, ""),
    _xlpm.MyAuditVal, _xlfn.XLOOKUP($A274, My_Audit!$A:$A, My_Audit!P:P, ""),
    _xlfn.TEXTJOIN(", ", TRUE, _xlpm.MyAuditVal, _xlpm.MacVal, _xlpm.CSVVal)
)</f>
        <v/>
      </c>
      <c r="P274" s="40" t="str" cm="1">
        <f t="array" ref="P274">IFERROR(_xlfn.LET(
_xlpm.CSVVal,_xlfn.XLOOKUP($A274,CSV!$A:$A,CSV!AB:AB,""),
_xlpm.MacVal,_xlfn.XLOOKUP($A274,Output_Mac!$A:$A,Output_Mac!T:T,""),
_xlpm.MyAuditVal,_xlfn.XLOOKUP($A274,My_Audit!$A:$A,My_Audit!Q:Q,""),
_xlfn.IFS(_xlpm.MyAuditVal&lt;&gt;"",UPPER(_xlpm.MyAuditVal),_xlpm.MacVal&lt;&gt;"",_xlpm.MacVal,_xlpm.CSVVal&lt;&gt;"",_xlpm.CSVVal
)),"No")</f>
        <v>No</v>
      </c>
      <c r="Q274" s="40" t="str" cm="1">
        <f t="array" ref="Q274">IFERROR(_xlfn.LET(
_xlpm.CSVVal,_xlfn.XLOOKUP($A274,CSV!$A:$A,CSV!AC:AC,""),
_xlpm.MacVal,_xlfn.XLOOKUP($A274,Output_Mac!$A:$A,Output_Mac!U:U,""),
_xlpm.MyAuditVal,_xlfn.XLOOKUP($A274,My_Audit!$A:$A,My_Audit!R:R,""),
_xlfn.IFS(_xlpm.MyAuditVal&lt;&gt;"",UPPER(_xlpm.MyAuditVal),_xlpm.MacVal&lt;&gt;"",_xlpm.MacVal,_xlpm.CSVVal&lt;&gt;"",_xlpm.CSVVal
)),"")</f>
        <v/>
      </c>
      <c r="R274" s="40"/>
      <c r="S274" s="40"/>
      <c r="T274" s="40"/>
      <c r="U274" s="40"/>
      <c r="V274" s="40"/>
      <c r="W274" s="40"/>
      <c r="X274" s="41" t="str">
        <f>_xlfn.LET(
    _xlpm.MacVal, _xlfn.XLOOKUP($A274, Output_Mac!$A:$A, Output_Mac!AB:AB, ""),
    _xlpm.MyAuditVal, _xlfn.XLOOKUP($A274, My_Audit!$A:$A, My_Audit!N:N, ""),
    _xlfn.TEXTJOIN(", ", TRUE, _xlpm.MyAuditVal, _xlpm.MacVal)
)</f>
        <v/>
      </c>
    </row>
    <row r="275" spans="1:24">
      <c r="A275" s="40" t="str">
        <f>_xlfn.TEXTJOIN("",TRUE,Input!$B$2,ROW(My_Audit!A274))</f>
        <v>X274</v>
      </c>
      <c r="B275" s="40" t="str">
        <f>_xlfn.TEXTJOIN("-",TRUE,"ITD",Input!$A$2,A275)</f>
        <v>ITD-X274</v>
      </c>
      <c r="C275" s="40" t="str" cm="1">
        <f t="array" ref="C275">IFERROR(_xlfn.LET(
_xlpm.CSVVal,_xlfn.XLOOKUP($A275,CSV!$A:$A,CSV!B:B,""),
_xlpm.MacVal,_xlfn.XLOOKUP($A275,Output_Mac!$A:$A,Output_Mac!B:B,""),
_xlpm.MyAuditVal,_xlfn.XLOOKUP($A275,My_Audit!$A:$A,My_Audit!B:B,""),
_xlfn.IFS(_xlpm.MyAuditVal&lt;&gt;"",UPPER(_xlpm.MyAuditVal),_xlpm.MacVal&lt;&gt;"",_xlpm.MacVal,_xlpm.CSVVal&lt;&gt;"",_xlpm.CSVVal
)),"")</f>
        <v/>
      </c>
      <c r="D275" s="40" t="str" cm="1">
        <f t="array" ref="D275">IFERROR(_xlfn.LET(
_xlpm.CSVVal,_xlfn.XLOOKUP($A275,CSV!$A:$A,CSV!D:D,""),
_xlpm.MacVal,_xlfn.XLOOKUP($A275,Output_Mac!$A:$A,Output_Mac!C:C,""),
_xlpm.MyAuditVal,_xlfn.XLOOKUP($A275,My_Audit!$A:$A,My_Audit!C:C,""),
_xlfn.IFS(_xlpm.MyAuditVal&lt;&gt;"",_xlpm.MyAuditVal,_xlpm.MacVal&lt;&gt;"",_xlpm.MacVal,_xlpm.CSVVal&lt;&gt;"",_xlpm.CSVVal
)),"")</f>
        <v/>
      </c>
      <c r="E275" s="40">
        <f>_xlfn.XLOOKUP(A275,My_Audit!A:A,My_Audit!D:D,"")</f>
        <v>0</v>
      </c>
      <c r="F275" s="40" t="str" cm="1">
        <f t="array" ref="F275">IFERROR(_xlfn.LET(
_xlpm.CSVVal,_xlfn.XLOOKUP($A275,CSV!$A:$A,CSV!F:F,""),
_xlpm.MacVal,_xlfn.XLOOKUP($A275,Output_Mac!$A:$A,Output_Mac!E:E,""),
_xlpm.MyAuditVal,_xlfn.XLOOKUP($A275,My_Audit!$A:$A,My_Audit!E:E,""),
_xlfn.IFS(_xlpm.MyAuditVal&lt;&gt;"",_xlpm.MyAuditVal,_xlpm.MacVal&lt;&gt;"",_xlpm.MacVal,_xlpm.CSVVal&lt;&gt;"",_xlpm.CSVVal
)),"")</f>
        <v/>
      </c>
      <c r="G275" s="40" t="str" cm="1">
        <f t="array" ref="G275">IFERROR(_xlfn.LET(
_xlpm.CSVVal,_xlfn.XLOOKUP($A275,CSV!$A:$A,CSV!G:G,""),
_xlpm.MacVal,_xlfn.XLOOKUP($A275,Output_Mac!$A:$A,Output_Mac!F:F,""),
_xlpm.MyAuditVal,_xlfn.XLOOKUP($A275,My_Audit!$A:$A,My_Audit!F:F,""),
_xlfn.IFS(_xlpm.MyAuditVal&lt;&gt;"",_xlpm.MyAuditVal,_xlpm.MacVal&lt;&gt;"",_xlpm.MacVal,_xlpm.CSVVal&lt;&gt;"",PROPER(_xlpm.CSVVal)
)),"")</f>
        <v/>
      </c>
      <c r="H275" s="40" t="str" cm="1">
        <f t="array" ref="H275">IFERROR(_xlfn.LET(
_xlpm.CSVVal,_xlfn.XLOOKUP($A275,CSV!$A:$A,CSV!H:H,""),
_xlpm.MacVal,_xlfn.XLOOKUP($A275,Output_Mac!$A:$A,Output_Mac!H:H,""),
_xlpm.MyAuditVal,_xlfn.XLOOKUP($A275,My_Audit!$A:$A,My_Audit!G:G,""),
_xlfn.IFS(_xlpm.MyAuditVal&lt;&gt;"",_xlpm.MyAuditVal,_xlpm.MacVal&lt;&gt;"",_xlpm.MacVal,_xlpm.CSVVal&lt;&gt;"",_xlpm.CSVVal
)),"")</f>
        <v/>
      </c>
      <c r="I275" s="40" t="str">
        <f>_xlfn.XLOOKUP(A275,Output_Mac!A:A,Output_Mac!I:I,"")</f>
        <v/>
      </c>
      <c r="J275" s="40" t="str" cm="1">
        <f t="array" ref="J275">IFERROR(_xlfn.LET(
_xlpm.CSVVal,_xlfn.XLOOKUP($A275,CSV!$A:$A,CSV!I:I,""),
_xlpm.MacVal,_xlfn.XLOOKUP($A275,Output_Mac!$A:$A,Output_Mac!J:J,""),
_xlpm.MyAuditVal,_xlfn.XLOOKUP($A275,My_Audit!$A:$A,My_Audit!I:I,""),
_xlfn.IFS(_xlpm.MyAuditVal&lt;&gt;"",UPPER(_xlpm.MyAuditVal),_xlpm.MacVal&lt;&gt;"",_xlpm.MacVal,_xlpm.CSVVal&lt;&gt;"",_xlpm.CSVVal
)),"")</f>
        <v/>
      </c>
      <c r="K275" s="40" t="str" cm="1">
        <f t="array" ref="K275">IFERROR(_xlfn.LET(
_xlpm.CSVVal,_xlfn.XLOOKUP($A275,CSV!$A:$A,CSV!K:K,""),
_xlpm.MacVal,_xlfn.XLOOKUP($A275,Output_Mac!$A:$A,Output_Mac!K:K,""),
_xlpm.MyAuditVal,_xlfn.XLOOKUP($A275,My_Audit!$A:$A,My_Audit!J:J,""),
_xlfn.IFS(_xlpm.MyAuditVal&lt;&gt;"",UPPER(_xlpm.MyAuditVal),_xlpm.MacVal&lt;&gt;"",_xlpm.MacVal,_xlpm.CSVVal&lt;&gt;"",_xlpm.CSVVal
)),"")</f>
        <v/>
      </c>
      <c r="L275" s="40" t="str" cm="1">
        <f t="array" ref="L275">IFERROR(_xlfn.LET(
_xlpm.CSVVal,_xlfn.XLOOKUP($A275,CSV!$A:$A,CSV!P:P,""),
_xlpm.MacVal,_xlfn.XLOOKUP($A275,Output_Mac!$A:$A,Output_Mac!L:L,""),
_xlpm.MyAuditVal,_xlfn.XLOOKUP($A275,My_Audit!$A:$A,My_Audit!K:K,""),
_xlfn.IFS(_xlpm.MyAuditVal&lt;&gt;"",UPPER(_xlpm.MyAuditVal),_xlpm.MacVal&lt;&gt;"",_xlpm.MacVal,_xlpm.CSVVal&lt;&gt;"",_xlpm.CSVVal
)),"")</f>
        <v/>
      </c>
      <c r="M275" s="40" t="str" cm="1">
        <f t="array" ref="M275">IFERROR(_xlfn.LET(
_xlpm.CSVVal,_xlfn.XLOOKUP($A275,CSV!$A:$A,CSV!Q:Q,""),
_xlpm.MacVal,_xlfn.XLOOKUP($A275,Output_Mac!$A:$A,Output_Mac!M:M,""),
_xlpm.MyAuditVal,_xlfn.XLOOKUP($A275,My_Audit!$A:$A,My_Audit!L:L,""),
_xlfn.IFS(_xlpm.MyAuditVal&lt;&gt;"",UPPER(_xlpm.MyAuditVal),_xlpm.MacVal&lt;&gt;"",_xlpm.MacVal,_xlpm.CSVVal&lt;&gt;"",_xlpm.CSVVal
)),"")</f>
        <v/>
      </c>
      <c r="N275" s="40"/>
      <c r="O275" s="40" t="str">
        <f>_xlfn.LET(
    _xlpm.CSVVal, _xlfn.XLOOKUP($A275, CSV!$A:$A, CSV!AA:AA, ""),
    _xlpm.MacVal, _xlfn.XLOOKUP($A275, Output_Mac!$A:$A, Output_Mac!S:S, ""),
    _xlpm.MyAuditVal, _xlfn.XLOOKUP($A275, My_Audit!$A:$A, My_Audit!P:P, ""),
    _xlfn.TEXTJOIN(", ", TRUE, _xlpm.MyAuditVal, _xlpm.MacVal, _xlpm.CSVVal)
)</f>
        <v/>
      </c>
      <c r="P275" s="40" t="str" cm="1">
        <f t="array" ref="P275">IFERROR(_xlfn.LET(
_xlpm.CSVVal,_xlfn.XLOOKUP($A275,CSV!$A:$A,CSV!AB:AB,""),
_xlpm.MacVal,_xlfn.XLOOKUP($A275,Output_Mac!$A:$A,Output_Mac!T:T,""),
_xlpm.MyAuditVal,_xlfn.XLOOKUP($A275,My_Audit!$A:$A,My_Audit!Q:Q,""),
_xlfn.IFS(_xlpm.MyAuditVal&lt;&gt;"",UPPER(_xlpm.MyAuditVal),_xlpm.MacVal&lt;&gt;"",_xlpm.MacVal,_xlpm.CSVVal&lt;&gt;"",_xlpm.CSVVal
)),"No")</f>
        <v>No</v>
      </c>
      <c r="Q275" s="40" t="str" cm="1">
        <f t="array" ref="Q275">IFERROR(_xlfn.LET(
_xlpm.CSVVal,_xlfn.XLOOKUP($A275,CSV!$A:$A,CSV!AC:AC,""),
_xlpm.MacVal,_xlfn.XLOOKUP($A275,Output_Mac!$A:$A,Output_Mac!U:U,""),
_xlpm.MyAuditVal,_xlfn.XLOOKUP($A275,My_Audit!$A:$A,My_Audit!R:R,""),
_xlfn.IFS(_xlpm.MyAuditVal&lt;&gt;"",UPPER(_xlpm.MyAuditVal),_xlpm.MacVal&lt;&gt;"",_xlpm.MacVal,_xlpm.CSVVal&lt;&gt;"",_xlpm.CSVVal
)),"")</f>
        <v/>
      </c>
      <c r="R275" s="40"/>
      <c r="S275" s="40"/>
      <c r="T275" s="40"/>
      <c r="U275" s="40"/>
      <c r="V275" s="40"/>
      <c r="W275" s="40"/>
      <c r="X275" s="41" t="str">
        <f>_xlfn.LET(
    _xlpm.MacVal, _xlfn.XLOOKUP($A275, Output_Mac!$A:$A, Output_Mac!AB:AB, ""),
    _xlpm.MyAuditVal, _xlfn.XLOOKUP($A275, My_Audit!$A:$A, My_Audit!N:N, ""),
    _xlfn.TEXTJOIN(", ", TRUE, _xlpm.MyAuditVal, _xlpm.MacVal)
)</f>
        <v/>
      </c>
    </row>
    <row r="276" spans="1:24">
      <c r="A276" s="40" t="str">
        <f>_xlfn.TEXTJOIN("",TRUE,Input!$B$2,ROW(My_Audit!A275))</f>
        <v>X275</v>
      </c>
      <c r="B276" s="40" t="str">
        <f>_xlfn.TEXTJOIN("-",TRUE,"ITD",Input!$A$2,A276)</f>
        <v>ITD-X275</v>
      </c>
      <c r="C276" s="40" t="str" cm="1">
        <f t="array" ref="C276">IFERROR(_xlfn.LET(
_xlpm.CSVVal,_xlfn.XLOOKUP($A276,CSV!$A:$A,CSV!B:B,""),
_xlpm.MacVal,_xlfn.XLOOKUP($A276,Output_Mac!$A:$A,Output_Mac!B:B,""),
_xlpm.MyAuditVal,_xlfn.XLOOKUP($A276,My_Audit!$A:$A,My_Audit!B:B,""),
_xlfn.IFS(_xlpm.MyAuditVal&lt;&gt;"",UPPER(_xlpm.MyAuditVal),_xlpm.MacVal&lt;&gt;"",_xlpm.MacVal,_xlpm.CSVVal&lt;&gt;"",_xlpm.CSVVal
)),"")</f>
        <v/>
      </c>
      <c r="D276" s="40" t="str" cm="1">
        <f t="array" ref="D276">IFERROR(_xlfn.LET(
_xlpm.CSVVal,_xlfn.XLOOKUP($A276,CSV!$A:$A,CSV!D:D,""),
_xlpm.MacVal,_xlfn.XLOOKUP($A276,Output_Mac!$A:$A,Output_Mac!C:C,""),
_xlpm.MyAuditVal,_xlfn.XLOOKUP($A276,My_Audit!$A:$A,My_Audit!C:C,""),
_xlfn.IFS(_xlpm.MyAuditVal&lt;&gt;"",_xlpm.MyAuditVal,_xlpm.MacVal&lt;&gt;"",_xlpm.MacVal,_xlpm.CSVVal&lt;&gt;"",_xlpm.CSVVal
)),"")</f>
        <v/>
      </c>
      <c r="E276" s="40">
        <f>_xlfn.XLOOKUP(A276,My_Audit!A:A,My_Audit!D:D,"")</f>
        <v>0</v>
      </c>
      <c r="F276" s="40" t="str" cm="1">
        <f t="array" ref="F276">IFERROR(_xlfn.LET(
_xlpm.CSVVal,_xlfn.XLOOKUP($A276,CSV!$A:$A,CSV!F:F,""),
_xlpm.MacVal,_xlfn.XLOOKUP($A276,Output_Mac!$A:$A,Output_Mac!E:E,""),
_xlpm.MyAuditVal,_xlfn.XLOOKUP($A276,My_Audit!$A:$A,My_Audit!E:E,""),
_xlfn.IFS(_xlpm.MyAuditVal&lt;&gt;"",_xlpm.MyAuditVal,_xlpm.MacVal&lt;&gt;"",_xlpm.MacVal,_xlpm.CSVVal&lt;&gt;"",_xlpm.CSVVal
)),"")</f>
        <v/>
      </c>
      <c r="G276" s="40" t="str" cm="1">
        <f t="array" ref="G276">IFERROR(_xlfn.LET(
_xlpm.CSVVal,_xlfn.XLOOKUP($A276,CSV!$A:$A,CSV!G:G,""),
_xlpm.MacVal,_xlfn.XLOOKUP($A276,Output_Mac!$A:$A,Output_Mac!F:F,""),
_xlpm.MyAuditVal,_xlfn.XLOOKUP($A276,My_Audit!$A:$A,My_Audit!F:F,""),
_xlfn.IFS(_xlpm.MyAuditVal&lt;&gt;"",_xlpm.MyAuditVal,_xlpm.MacVal&lt;&gt;"",_xlpm.MacVal,_xlpm.CSVVal&lt;&gt;"",PROPER(_xlpm.CSVVal)
)),"")</f>
        <v/>
      </c>
      <c r="H276" s="40" t="str" cm="1">
        <f t="array" ref="H276">IFERROR(_xlfn.LET(
_xlpm.CSVVal,_xlfn.XLOOKUP($A276,CSV!$A:$A,CSV!H:H,""),
_xlpm.MacVal,_xlfn.XLOOKUP($A276,Output_Mac!$A:$A,Output_Mac!H:H,""),
_xlpm.MyAuditVal,_xlfn.XLOOKUP($A276,My_Audit!$A:$A,My_Audit!G:G,""),
_xlfn.IFS(_xlpm.MyAuditVal&lt;&gt;"",_xlpm.MyAuditVal,_xlpm.MacVal&lt;&gt;"",_xlpm.MacVal,_xlpm.CSVVal&lt;&gt;"",_xlpm.CSVVal
)),"")</f>
        <v/>
      </c>
      <c r="I276" s="40" t="str">
        <f>_xlfn.XLOOKUP(A276,Output_Mac!A:A,Output_Mac!I:I,"")</f>
        <v/>
      </c>
      <c r="J276" s="40" t="str" cm="1">
        <f t="array" ref="J276">IFERROR(_xlfn.LET(
_xlpm.CSVVal,_xlfn.XLOOKUP($A276,CSV!$A:$A,CSV!I:I,""),
_xlpm.MacVal,_xlfn.XLOOKUP($A276,Output_Mac!$A:$A,Output_Mac!J:J,""),
_xlpm.MyAuditVal,_xlfn.XLOOKUP($A276,My_Audit!$A:$A,My_Audit!I:I,""),
_xlfn.IFS(_xlpm.MyAuditVal&lt;&gt;"",UPPER(_xlpm.MyAuditVal),_xlpm.MacVal&lt;&gt;"",_xlpm.MacVal,_xlpm.CSVVal&lt;&gt;"",_xlpm.CSVVal
)),"")</f>
        <v/>
      </c>
      <c r="K276" s="40" t="str" cm="1">
        <f t="array" ref="K276">IFERROR(_xlfn.LET(
_xlpm.CSVVal,_xlfn.XLOOKUP($A276,CSV!$A:$A,CSV!K:K,""),
_xlpm.MacVal,_xlfn.XLOOKUP($A276,Output_Mac!$A:$A,Output_Mac!K:K,""),
_xlpm.MyAuditVal,_xlfn.XLOOKUP($A276,My_Audit!$A:$A,My_Audit!J:J,""),
_xlfn.IFS(_xlpm.MyAuditVal&lt;&gt;"",UPPER(_xlpm.MyAuditVal),_xlpm.MacVal&lt;&gt;"",_xlpm.MacVal,_xlpm.CSVVal&lt;&gt;"",_xlpm.CSVVal
)),"")</f>
        <v/>
      </c>
      <c r="L276" s="40" t="str" cm="1">
        <f t="array" ref="L276">IFERROR(_xlfn.LET(
_xlpm.CSVVal,_xlfn.XLOOKUP($A276,CSV!$A:$A,CSV!P:P,""),
_xlpm.MacVal,_xlfn.XLOOKUP($A276,Output_Mac!$A:$A,Output_Mac!L:L,""),
_xlpm.MyAuditVal,_xlfn.XLOOKUP($A276,My_Audit!$A:$A,My_Audit!K:K,""),
_xlfn.IFS(_xlpm.MyAuditVal&lt;&gt;"",UPPER(_xlpm.MyAuditVal),_xlpm.MacVal&lt;&gt;"",_xlpm.MacVal,_xlpm.CSVVal&lt;&gt;"",_xlpm.CSVVal
)),"")</f>
        <v/>
      </c>
      <c r="M276" s="40" t="str" cm="1">
        <f t="array" ref="M276">IFERROR(_xlfn.LET(
_xlpm.CSVVal,_xlfn.XLOOKUP($A276,CSV!$A:$A,CSV!Q:Q,""),
_xlpm.MacVal,_xlfn.XLOOKUP($A276,Output_Mac!$A:$A,Output_Mac!M:M,""),
_xlpm.MyAuditVal,_xlfn.XLOOKUP($A276,My_Audit!$A:$A,My_Audit!L:L,""),
_xlfn.IFS(_xlpm.MyAuditVal&lt;&gt;"",UPPER(_xlpm.MyAuditVal),_xlpm.MacVal&lt;&gt;"",_xlpm.MacVal,_xlpm.CSVVal&lt;&gt;"",_xlpm.CSVVal
)),"")</f>
        <v/>
      </c>
      <c r="N276" s="40"/>
      <c r="O276" s="40" t="str">
        <f>_xlfn.LET(
    _xlpm.CSVVal, _xlfn.XLOOKUP($A276, CSV!$A:$A, CSV!AA:AA, ""),
    _xlpm.MacVal, _xlfn.XLOOKUP($A276, Output_Mac!$A:$A, Output_Mac!S:S, ""),
    _xlpm.MyAuditVal, _xlfn.XLOOKUP($A276, My_Audit!$A:$A, My_Audit!P:P, ""),
    _xlfn.TEXTJOIN(", ", TRUE, _xlpm.MyAuditVal, _xlpm.MacVal, _xlpm.CSVVal)
)</f>
        <v/>
      </c>
      <c r="P276" s="40" t="str" cm="1">
        <f t="array" ref="P276">IFERROR(_xlfn.LET(
_xlpm.CSVVal,_xlfn.XLOOKUP($A276,CSV!$A:$A,CSV!AB:AB,""),
_xlpm.MacVal,_xlfn.XLOOKUP($A276,Output_Mac!$A:$A,Output_Mac!T:T,""),
_xlpm.MyAuditVal,_xlfn.XLOOKUP($A276,My_Audit!$A:$A,My_Audit!Q:Q,""),
_xlfn.IFS(_xlpm.MyAuditVal&lt;&gt;"",UPPER(_xlpm.MyAuditVal),_xlpm.MacVal&lt;&gt;"",_xlpm.MacVal,_xlpm.CSVVal&lt;&gt;"",_xlpm.CSVVal
)),"No")</f>
        <v>No</v>
      </c>
      <c r="Q276" s="40" t="str" cm="1">
        <f t="array" ref="Q276">IFERROR(_xlfn.LET(
_xlpm.CSVVal,_xlfn.XLOOKUP($A276,CSV!$A:$A,CSV!AC:AC,""),
_xlpm.MacVal,_xlfn.XLOOKUP($A276,Output_Mac!$A:$A,Output_Mac!U:U,""),
_xlpm.MyAuditVal,_xlfn.XLOOKUP($A276,My_Audit!$A:$A,My_Audit!R:R,""),
_xlfn.IFS(_xlpm.MyAuditVal&lt;&gt;"",UPPER(_xlpm.MyAuditVal),_xlpm.MacVal&lt;&gt;"",_xlpm.MacVal,_xlpm.CSVVal&lt;&gt;"",_xlpm.CSVVal
)),"")</f>
        <v/>
      </c>
      <c r="R276" s="40"/>
      <c r="S276" s="40"/>
      <c r="T276" s="40"/>
      <c r="U276" s="40"/>
      <c r="V276" s="40"/>
      <c r="W276" s="40"/>
      <c r="X276" s="41" t="str">
        <f>_xlfn.LET(
    _xlpm.MacVal, _xlfn.XLOOKUP($A276, Output_Mac!$A:$A, Output_Mac!AB:AB, ""),
    _xlpm.MyAuditVal, _xlfn.XLOOKUP($A276, My_Audit!$A:$A, My_Audit!N:N, ""),
    _xlfn.TEXTJOIN(", ", TRUE, _xlpm.MyAuditVal, _xlpm.MacVal)
)</f>
        <v/>
      </c>
    </row>
    <row r="277" spans="1:24">
      <c r="A277" s="40" t="str">
        <f>_xlfn.TEXTJOIN("",TRUE,Input!$B$2,ROW(My_Audit!A276))</f>
        <v>X276</v>
      </c>
      <c r="B277" s="40" t="str">
        <f>_xlfn.TEXTJOIN("-",TRUE,"ITD",Input!$A$2,A277)</f>
        <v>ITD-X276</v>
      </c>
      <c r="C277" s="40" t="str" cm="1">
        <f t="array" ref="C277">IFERROR(_xlfn.LET(
_xlpm.CSVVal,_xlfn.XLOOKUP($A277,CSV!$A:$A,CSV!B:B,""),
_xlpm.MacVal,_xlfn.XLOOKUP($A277,Output_Mac!$A:$A,Output_Mac!B:B,""),
_xlpm.MyAuditVal,_xlfn.XLOOKUP($A277,My_Audit!$A:$A,My_Audit!B:B,""),
_xlfn.IFS(_xlpm.MyAuditVal&lt;&gt;"",UPPER(_xlpm.MyAuditVal),_xlpm.MacVal&lt;&gt;"",_xlpm.MacVal,_xlpm.CSVVal&lt;&gt;"",_xlpm.CSVVal
)),"")</f>
        <v/>
      </c>
      <c r="D277" s="40" t="str" cm="1">
        <f t="array" ref="D277">IFERROR(_xlfn.LET(
_xlpm.CSVVal,_xlfn.XLOOKUP($A277,CSV!$A:$A,CSV!D:D,""),
_xlpm.MacVal,_xlfn.XLOOKUP($A277,Output_Mac!$A:$A,Output_Mac!C:C,""),
_xlpm.MyAuditVal,_xlfn.XLOOKUP($A277,My_Audit!$A:$A,My_Audit!C:C,""),
_xlfn.IFS(_xlpm.MyAuditVal&lt;&gt;"",_xlpm.MyAuditVal,_xlpm.MacVal&lt;&gt;"",_xlpm.MacVal,_xlpm.CSVVal&lt;&gt;"",_xlpm.CSVVal
)),"")</f>
        <v/>
      </c>
      <c r="E277" s="40">
        <f>_xlfn.XLOOKUP(A277,My_Audit!A:A,My_Audit!D:D,"")</f>
        <v>0</v>
      </c>
      <c r="F277" s="40" t="str" cm="1">
        <f t="array" ref="F277">IFERROR(_xlfn.LET(
_xlpm.CSVVal,_xlfn.XLOOKUP($A277,CSV!$A:$A,CSV!F:F,""),
_xlpm.MacVal,_xlfn.XLOOKUP($A277,Output_Mac!$A:$A,Output_Mac!E:E,""),
_xlpm.MyAuditVal,_xlfn.XLOOKUP($A277,My_Audit!$A:$A,My_Audit!E:E,""),
_xlfn.IFS(_xlpm.MyAuditVal&lt;&gt;"",_xlpm.MyAuditVal,_xlpm.MacVal&lt;&gt;"",_xlpm.MacVal,_xlpm.CSVVal&lt;&gt;"",_xlpm.CSVVal
)),"")</f>
        <v/>
      </c>
      <c r="G277" s="40" t="str" cm="1">
        <f t="array" ref="G277">IFERROR(_xlfn.LET(
_xlpm.CSVVal,_xlfn.XLOOKUP($A277,CSV!$A:$A,CSV!G:G,""),
_xlpm.MacVal,_xlfn.XLOOKUP($A277,Output_Mac!$A:$A,Output_Mac!F:F,""),
_xlpm.MyAuditVal,_xlfn.XLOOKUP($A277,My_Audit!$A:$A,My_Audit!F:F,""),
_xlfn.IFS(_xlpm.MyAuditVal&lt;&gt;"",_xlpm.MyAuditVal,_xlpm.MacVal&lt;&gt;"",_xlpm.MacVal,_xlpm.CSVVal&lt;&gt;"",PROPER(_xlpm.CSVVal)
)),"")</f>
        <v/>
      </c>
      <c r="H277" s="40" t="str" cm="1">
        <f t="array" ref="H277">IFERROR(_xlfn.LET(
_xlpm.CSVVal,_xlfn.XLOOKUP($A277,CSV!$A:$A,CSV!H:H,""),
_xlpm.MacVal,_xlfn.XLOOKUP($A277,Output_Mac!$A:$A,Output_Mac!H:H,""),
_xlpm.MyAuditVal,_xlfn.XLOOKUP($A277,My_Audit!$A:$A,My_Audit!G:G,""),
_xlfn.IFS(_xlpm.MyAuditVal&lt;&gt;"",_xlpm.MyAuditVal,_xlpm.MacVal&lt;&gt;"",_xlpm.MacVal,_xlpm.CSVVal&lt;&gt;"",_xlpm.CSVVal
)),"")</f>
        <v/>
      </c>
      <c r="I277" s="40" t="str">
        <f>_xlfn.XLOOKUP(A277,Output_Mac!A:A,Output_Mac!I:I,"")</f>
        <v/>
      </c>
      <c r="J277" s="40" t="str" cm="1">
        <f t="array" ref="J277">IFERROR(_xlfn.LET(
_xlpm.CSVVal,_xlfn.XLOOKUP($A277,CSV!$A:$A,CSV!I:I,""),
_xlpm.MacVal,_xlfn.XLOOKUP($A277,Output_Mac!$A:$A,Output_Mac!J:J,""),
_xlpm.MyAuditVal,_xlfn.XLOOKUP($A277,My_Audit!$A:$A,My_Audit!I:I,""),
_xlfn.IFS(_xlpm.MyAuditVal&lt;&gt;"",UPPER(_xlpm.MyAuditVal),_xlpm.MacVal&lt;&gt;"",_xlpm.MacVal,_xlpm.CSVVal&lt;&gt;"",_xlpm.CSVVal
)),"")</f>
        <v/>
      </c>
      <c r="K277" s="40" t="str" cm="1">
        <f t="array" ref="K277">IFERROR(_xlfn.LET(
_xlpm.CSVVal,_xlfn.XLOOKUP($A277,CSV!$A:$A,CSV!K:K,""),
_xlpm.MacVal,_xlfn.XLOOKUP($A277,Output_Mac!$A:$A,Output_Mac!K:K,""),
_xlpm.MyAuditVal,_xlfn.XLOOKUP($A277,My_Audit!$A:$A,My_Audit!J:J,""),
_xlfn.IFS(_xlpm.MyAuditVal&lt;&gt;"",UPPER(_xlpm.MyAuditVal),_xlpm.MacVal&lt;&gt;"",_xlpm.MacVal,_xlpm.CSVVal&lt;&gt;"",_xlpm.CSVVal
)),"")</f>
        <v/>
      </c>
      <c r="L277" s="40" t="str" cm="1">
        <f t="array" ref="L277">IFERROR(_xlfn.LET(
_xlpm.CSVVal,_xlfn.XLOOKUP($A277,CSV!$A:$A,CSV!P:P,""),
_xlpm.MacVal,_xlfn.XLOOKUP($A277,Output_Mac!$A:$A,Output_Mac!L:L,""),
_xlpm.MyAuditVal,_xlfn.XLOOKUP($A277,My_Audit!$A:$A,My_Audit!K:K,""),
_xlfn.IFS(_xlpm.MyAuditVal&lt;&gt;"",UPPER(_xlpm.MyAuditVal),_xlpm.MacVal&lt;&gt;"",_xlpm.MacVal,_xlpm.CSVVal&lt;&gt;"",_xlpm.CSVVal
)),"")</f>
        <v/>
      </c>
      <c r="M277" s="40" t="str" cm="1">
        <f t="array" ref="M277">IFERROR(_xlfn.LET(
_xlpm.CSVVal,_xlfn.XLOOKUP($A277,CSV!$A:$A,CSV!Q:Q,""),
_xlpm.MacVal,_xlfn.XLOOKUP($A277,Output_Mac!$A:$A,Output_Mac!M:M,""),
_xlpm.MyAuditVal,_xlfn.XLOOKUP($A277,My_Audit!$A:$A,My_Audit!L:L,""),
_xlfn.IFS(_xlpm.MyAuditVal&lt;&gt;"",UPPER(_xlpm.MyAuditVal),_xlpm.MacVal&lt;&gt;"",_xlpm.MacVal,_xlpm.CSVVal&lt;&gt;"",_xlpm.CSVVal
)),"")</f>
        <v/>
      </c>
      <c r="N277" s="40"/>
      <c r="O277" s="40" t="str">
        <f>_xlfn.LET(
    _xlpm.CSVVal, _xlfn.XLOOKUP($A277, CSV!$A:$A, CSV!AA:AA, ""),
    _xlpm.MacVal, _xlfn.XLOOKUP($A277, Output_Mac!$A:$A, Output_Mac!S:S, ""),
    _xlpm.MyAuditVal, _xlfn.XLOOKUP($A277, My_Audit!$A:$A, My_Audit!P:P, ""),
    _xlfn.TEXTJOIN(", ", TRUE, _xlpm.MyAuditVal, _xlpm.MacVal, _xlpm.CSVVal)
)</f>
        <v/>
      </c>
      <c r="P277" s="40" t="str" cm="1">
        <f t="array" ref="P277">IFERROR(_xlfn.LET(
_xlpm.CSVVal,_xlfn.XLOOKUP($A277,CSV!$A:$A,CSV!AB:AB,""),
_xlpm.MacVal,_xlfn.XLOOKUP($A277,Output_Mac!$A:$A,Output_Mac!T:T,""),
_xlpm.MyAuditVal,_xlfn.XLOOKUP($A277,My_Audit!$A:$A,My_Audit!Q:Q,""),
_xlfn.IFS(_xlpm.MyAuditVal&lt;&gt;"",UPPER(_xlpm.MyAuditVal),_xlpm.MacVal&lt;&gt;"",_xlpm.MacVal,_xlpm.CSVVal&lt;&gt;"",_xlpm.CSVVal
)),"No")</f>
        <v>No</v>
      </c>
      <c r="Q277" s="40" t="str" cm="1">
        <f t="array" ref="Q277">IFERROR(_xlfn.LET(
_xlpm.CSVVal,_xlfn.XLOOKUP($A277,CSV!$A:$A,CSV!AC:AC,""),
_xlpm.MacVal,_xlfn.XLOOKUP($A277,Output_Mac!$A:$A,Output_Mac!U:U,""),
_xlpm.MyAuditVal,_xlfn.XLOOKUP($A277,My_Audit!$A:$A,My_Audit!R:R,""),
_xlfn.IFS(_xlpm.MyAuditVal&lt;&gt;"",UPPER(_xlpm.MyAuditVal),_xlpm.MacVal&lt;&gt;"",_xlpm.MacVal,_xlpm.CSVVal&lt;&gt;"",_xlpm.CSVVal
)),"")</f>
        <v/>
      </c>
      <c r="R277" s="40"/>
      <c r="S277" s="40"/>
      <c r="T277" s="40"/>
      <c r="U277" s="40"/>
      <c r="V277" s="40"/>
      <c r="W277" s="40"/>
      <c r="X277" s="41" t="str">
        <f>_xlfn.LET(
    _xlpm.MacVal, _xlfn.XLOOKUP($A277, Output_Mac!$A:$A, Output_Mac!AB:AB, ""),
    _xlpm.MyAuditVal, _xlfn.XLOOKUP($A277, My_Audit!$A:$A, My_Audit!N:N, ""),
    _xlfn.TEXTJOIN(", ", TRUE, _xlpm.MyAuditVal, _xlpm.MacVal)
)</f>
        <v/>
      </c>
    </row>
    <row r="278" spans="1:24">
      <c r="A278" s="40" t="str">
        <f>_xlfn.TEXTJOIN("",TRUE,Input!$B$2,ROW(My_Audit!A277))</f>
        <v>X277</v>
      </c>
      <c r="B278" s="40" t="str">
        <f>_xlfn.TEXTJOIN("-",TRUE,"ITD",Input!$A$2,A278)</f>
        <v>ITD-X277</v>
      </c>
      <c r="C278" s="40" t="str" cm="1">
        <f t="array" ref="C278">IFERROR(_xlfn.LET(
_xlpm.CSVVal,_xlfn.XLOOKUP($A278,CSV!$A:$A,CSV!B:B,""),
_xlpm.MacVal,_xlfn.XLOOKUP($A278,Output_Mac!$A:$A,Output_Mac!B:B,""),
_xlpm.MyAuditVal,_xlfn.XLOOKUP($A278,My_Audit!$A:$A,My_Audit!B:B,""),
_xlfn.IFS(_xlpm.MyAuditVal&lt;&gt;"",UPPER(_xlpm.MyAuditVal),_xlpm.MacVal&lt;&gt;"",_xlpm.MacVal,_xlpm.CSVVal&lt;&gt;"",_xlpm.CSVVal
)),"")</f>
        <v/>
      </c>
      <c r="D278" s="40" t="str" cm="1">
        <f t="array" ref="D278">IFERROR(_xlfn.LET(
_xlpm.CSVVal,_xlfn.XLOOKUP($A278,CSV!$A:$A,CSV!D:D,""),
_xlpm.MacVal,_xlfn.XLOOKUP($A278,Output_Mac!$A:$A,Output_Mac!C:C,""),
_xlpm.MyAuditVal,_xlfn.XLOOKUP($A278,My_Audit!$A:$A,My_Audit!C:C,""),
_xlfn.IFS(_xlpm.MyAuditVal&lt;&gt;"",_xlpm.MyAuditVal,_xlpm.MacVal&lt;&gt;"",_xlpm.MacVal,_xlpm.CSVVal&lt;&gt;"",_xlpm.CSVVal
)),"")</f>
        <v/>
      </c>
      <c r="E278" s="40">
        <f>_xlfn.XLOOKUP(A278,My_Audit!A:A,My_Audit!D:D,"")</f>
        <v>0</v>
      </c>
      <c r="F278" s="40" t="str" cm="1">
        <f t="array" ref="F278">IFERROR(_xlfn.LET(
_xlpm.CSVVal,_xlfn.XLOOKUP($A278,CSV!$A:$A,CSV!F:F,""),
_xlpm.MacVal,_xlfn.XLOOKUP($A278,Output_Mac!$A:$A,Output_Mac!E:E,""),
_xlpm.MyAuditVal,_xlfn.XLOOKUP($A278,My_Audit!$A:$A,My_Audit!E:E,""),
_xlfn.IFS(_xlpm.MyAuditVal&lt;&gt;"",_xlpm.MyAuditVal,_xlpm.MacVal&lt;&gt;"",_xlpm.MacVal,_xlpm.CSVVal&lt;&gt;"",_xlpm.CSVVal
)),"")</f>
        <v/>
      </c>
      <c r="G278" s="40" t="str" cm="1">
        <f t="array" ref="G278">IFERROR(_xlfn.LET(
_xlpm.CSVVal,_xlfn.XLOOKUP($A278,CSV!$A:$A,CSV!G:G,""),
_xlpm.MacVal,_xlfn.XLOOKUP($A278,Output_Mac!$A:$A,Output_Mac!F:F,""),
_xlpm.MyAuditVal,_xlfn.XLOOKUP($A278,My_Audit!$A:$A,My_Audit!F:F,""),
_xlfn.IFS(_xlpm.MyAuditVal&lt;&gt;"",_xlpm.MyAuditVal,_xlpm.MacVal&lt;&gt;"",_xlpm.MacVal,_xlpm.CSVVal&lt;&gt;"",PROPER(_xlpm.CSVVal)
)),"")</f>
        <v/>
      </c>
      <c r="H278" s="40" t="str" cm="1">
        <f t="array" ref="H278">IFERROR(_xlfn.LET(
_xlpm.CSVVal,_xlfn.XLOOKUP($A278,CSV!$A:$A,CSV!H:H,""),
_xlpm.MacVal,_xlfn.XLOOKUP($A278,Output_Mac!$A:$A,Output_Mac!H:H,""),
_xlpm.MyAuditVal,_xlfn.XLOOKUP($A278,My_Audit!$A:$A,My_Audit!G:G,""),
_xlfn.IFS(_xlpm.MyAuditVal&lt;&gt;"",_xlpm.MyAuditVal,_xlpm.MacVal&lt;&gt;"",_xlpm.MacVal,_xlpm.CSVVal&lt;&gt;"",_xlpm.CSVVal
)),"")</f>
        <v/>
      </c>
      <c r="I278" s="40" t="str">
        <f>_xlfn.XLOOKUP(A278,Output_Mac!A:A,Output_Mac!I:I,"")</f>
        <v/>
      </c>
      <c r="J278" s="40" t="str" cm="1">
        <f t="array" ref="J278">IFERROR(_xlfn.LET(
_xlpm.CSVVal,_xlfn.XLOOKUP($A278,CSV!$A:$A,CSV!I:I,""),
_xlpm.MacVal,_xlfn.XLOOKUP($A278,Output_Mac!$A:$A,Output_Mac!J:J,""),
_xlpm.MyAuditVal,_xlfn.XLOOKUP($A278,My_Audit!$A:$A,My_Audit!I:I,""),
_xlfn.IFS(_xlpm.MyAuditVal&lt;&gt;"",UPPER(_xlpm.MyAuditVal),_xlpm.MacVal&lt;&gt;"",_xlpm.MacVal,_xlpm.CSVVal&lt;&gt;"",_xlpm.CSVVal
)),"")</f>
        <v/>
      </c>
      <c r="K278" s="40" t="str" cm="1">
        <f t="array" ref="K278">IFERROR(_xlfn.LET(
_xlpm.CSVVal,_xlfn.XLOOKUP($A278,CSV!$A:$A,CSV!K:K,""),
_xlpm.MacVal,_xlfn.XLOOKUP($A278,Output_Mac!$A:$A,Output_Mac!K:K,""),
_xlpm.MyAuditVal,_xlfn.XLOOKUP($A278,My_Audit!$A:$A,My_Audit!J:J,""),
_xlfn.IFS(_xlpm.MyAuditVal&lt;&gt;"",UPPER(_xlpm.MyAuditVal),_xlpm.MacVal&lt;&gt;"",_xlpm.MacVal,_xlpm.CSVVal&lt;&gt;"",_xlpm.CSVVal
)),"")</f>
        <v/>
      </c>
      <c r="L278" s="40" t="str" cm="1">
        <f t="array" ref="L278">IFERROR(_xlfn.LET(
_xlpm.CSVVal,_xlfn.XLOOKUP($A278,CSV!$A:$A,CSV!P:P,""),
_xlpm.MacVal,_xlfn.XLOOKUP($A278,Output_Mac!$A:$A,Output_Mac!L:L,""),
_xlpm.MyAuditVal,_xlfn.XLOOKUP($A278,My_Audit!$A:$A,My_Audit!K:K,""),
_xlfn.IFS(_xlpm.MyAuditVal&lt;&gt;"",UPPER(_xlpm.MyAuditVal),_xlpm.MacVal&lt;&gt;"",_xlpm.MacVal,_xlpm.CSVVal&lt;&gt;"",_xlpm.CSVVal
)),"")</f>
        <v/>
      </c>
      <c r="M278" s="40" t="str" cm="1">
        <f t="array" ref="M278">IFERROR(_xlfn.LET(
_xlpm.CSVVal,_xlfn.XLOOKUP($A278,CSV!$A:$A,CSV!Q:Q,""),
_xlpm.MacVal,_xlfn.XLOOKUP($A278,Output_Mac!$A:$A,Output_Mac!M:M,""),
_xlpm.MyAuditVal,_xlfn.XLOOKUP($A278,My_Audit!$A:$A,My_Audit!L:L,""),
_xlfn.IFS(_xlpm.MyAuditVal&lt;&gt;"",UPPER(_xlpm.MyAuditVal),_xlpm.MacVal&lt;&gt;"",_xlpm.MacVal,_xlpm.CSVVal&lt;&gt;"",_xlpm.CSVVal
)),"")</f>
        <v/>
      </c>
      <c r="N278" s="40"/>
      <c r="O278" s="40" t="str">
        <f>_xlfn.LET(
    _xlpm.CSVVal, _xlfn.XLOOKUP($A278, CSV!$A:$A, CSV!AA:AA, ""),
    _xlpm.MacVal, _xlfn.XLOOKUP($A278, Output_Mac!$A:$A, Output_Mac!S:S, ""),
    _xlpm.MyAuditVal, _xlfn.XLOOKUP($A278, My_Audit!$A:$A, My_Audit!P:P, ""),
    _xlfn.TEXTJOIN(", ", TRUE, _xlpm.MyAuditVal, _xlpm.MacVal, _xlpm.CSVVal)
)</f>
        <v/>
      </c>
      <c r="P278" s="40" t="str" cm="1">
        <f t="array" ref="P278">IFERROR(_xlfn.LET(
_xlpm.CSVVal,_xlfn.XLOOKUP($A278,CSV!$A:$A,CSV!AB:AB,""),
_xlpm.MacVal,_xlfn.XLOOKUP($A278,Output_Mac!$A:$A,Output_Mac!T:T,""),
_xlpm.MyAuditVal,_xlfn.XLOOKUP($A278,My_Audit!$A:$A,My_Audit!Q:Q,""),
_xlfn.IFS(_xlpm.MyAuditVal&lt;&gt;"",UPPER(_xlpm.MyAuditVal),_xlpm.MacVal&lt;&gt;"",_xlpm.MacVal,_xlpm.CSVVal&lt;&gt;"",_xlpm.CSVVal
)),"No")</f>
        <v>No</v>
      </c>
      <c r="Q278" s="40" t="str" cm="1">
        <f t="array" ref="Q278">IFERROR(_xlfn.LET(
_xlpm.CSVVal,_xlfn.XLOOKUP($A278,CSV!$A:$A,CSV!AC:AC,""),
_xlpm.MacVal,_xlfn.XLOOKUP($A278,Output_Mac!$A:$A,Output_Mac!U:U,""),
_xlpm.MyAuditVal,_xlfn.XLOOKUP($A278,My_Audit!$A:$A,My_Audit!R:R,""),
_xlfn.IFS(_xlpm.MyAuditVal&lt;&gt;"",UPPER(_xlpm.MyAuditVal),_xlpm.MacVal&lt;&gt;"",_xlpm.MacVal,_xlpm.CSVVal&lt;&gt;"",_xlpm.CSVVal
)),"")</f>
        <v/>
      </c>
      <c r="R278" s="40"/>
      <c r="S278" s="40"/>
      <c r="T278" s="40"/>
      <c r="U278" s="40"/>
      <c r="V278" s="40"/>
      <c r="W278" s="40"/>
      <c r="X278" s="41" t="str">
        <f>_xlfn.LET(
    _xlpm.MacVal, _xlfn.XLOOKUP($A278, Output_Mac!$A:$A, Output_Mac!AB:AB, ""),
    _xlpm.MyAuditVal, _xlfn.XLOOKUP($A278, My_Audit!$A:$A, My_Audit!N:N, ""),
    _xlfn.TEXTJOIN(", ", TRUE, _xlpm.MyAuditVal, _xlpm.MacVal)
)</f>
        <v/>
      </c>
    </row>
    <row r="279" spans="1:24">
      <c r="A279" s="40" t="str">
        <f>_xlfn.TEXTJOIN("",TRUE,Input!$B$2,ROW(My_Audit!A278))</f>
        <v>X278</v>
      </c>
      <c r="B279" s="40" t="str">
        <f>_xlfn.TEXTJOIN("-",TRUE,"ITD",Input!$A$2,A279)</f>
        <v>ITD-X278</v>
      </c>
      <c r="C279" s="40" t="str" cm="1">
        <f t="array" ref="C279">IFERROR(_xlfn.LET(
_xlpm.CSVVal,_xlfn.XLOOKUP($A279,CSV!$A:$A,CSV!B:B,""),
_xlpm.MacVal,_xlfn.XLOOKUP($A279,Output_Mac!$A:$A,Output_Mac!B:B,""),
_xlpm.MyAuditVal,_xlfn.XLOOKUP($A279,My_Audit!$A:$A,My_Audit!B:B,""),
_xlfn.IFS(_xlpm.MyAuditVal&lt;&gt;"",UPPER(_xlpm.MyAuditVal),_xlpm.MacVal&lt;&gt;"",_xlpm.MacVal,_xlpm.CSVVal&lt;&gt;"",_xlpm.CSVVal
)),"")</f>
        <v/>
      </c>
      <c r="D279" s="40" t="str" cm="1">
        <f t="array" ref="D279">IFERROR(_xlfn.LET(
_xlpm.CSVVal,_xlfn.XLOOKUP($A279,CSV!$A:$A,CSV!D:D,""),
_xlpm.MacVal,_xlfn.XLOOKUP($A279,Output_Mac!$A:$A,Output_Mac!C:C,""),
_xlpm.MyAuditVal,_xlfn.XLOOKUP($A279,My_Audit!$A:$A,My_Audit!C:C,""),
_xlfn.IFS(_xlpm.MyAuditVal&lt;&gt;"",_xlpm.MyAuditVal,_xlpm.MacVal&lt;&gt;"",_xlpm.MacVal,_xlpm.CSVVal&lt;&gt;"",_xlpm.CSVVal
)),"")</f>
        <v/>
      </c>
      <c r="E279" s="40">
        <f>_xlfn.XLOOKUP(A279,My_Audit!A:A,My_Audit!D:D,"")</f>
        <v>0</v>
      </c>
      <c r="F279" s="40" t="str" cm="1">
        <f t="array" ref="F279">IFERROR(_xlfn.LET(
_xlpm.CSVVal,_xlfn.XLOOKUP($A279,CSV!$A:$A,CSV!F:F,""),
_xlpm.MacVal,_xlfn.XLOOKUP($A279,Output_Mac!$A:$A,Output_Mac!E:E,""),
_xlpm.MyAuditVal,_xlfn.XLOOKUP($A279,My_Audit!$A:$A,My_Audit!E:E,""),
_xlfn.IFS(_xlpm.MyAuditVal&lt;&gt;"",_xlpm.MyAuditVal,_xlpm.MacVal&lt;&gt;"",_xlpm.MacVal,_xlpm.CSVVal&lt;&gt;"",_xlpm.CSVVal
)),"")</f>
        <v/>
      </c>
      <c r="G279" s="40" t="str" cm="1">
        <f t="array" ref="G279">IFERROR(_xlfn.LET(
_xlpm.CSVVal,_xlfn.XLOOKUP($A279,CSV!$A:$A,CSV!G:G,""),
_xlpm.MacVal,_xlfn.XLOOKUP($A279,Output_Mac!$A:$A,Output_Mac!F:F,""),
_xlpm.MyAuditVal,_xlfn.XLOOKUP($A279,My_Audit!$A:$A,My_Audit!F:F,""),
_xlfn.IFS(_xlpm.MyAuditVal&lt;&gt;"",_xlpm.MyAuditVal,_xlpm.MacVal&lt;&gt;"",_xlpm.MacVal,_xlpm.CSVVal&lt;&gt;"",PROPER(_xlpm.CSVVal)
)),"")</f>
        <v/>
      </c>
      <c r="H279" s="40" t="str" cm="1">
        <f t="array" ref="H279">IFERROR(_xlfn.LET(
_xlpm.CSVVal,_xlfn.XLOOKUP($A279,CSV!$A:$A,CSV!H:H,""),
_xlpm.MacVal,_xlfn.XLOOKUP($A279,Output_Mac!$A:$A,Output_Mac!H:H,""),
_xlpm.MyAuditVal,_xlfn.XLOOKUP($A279,My_Audit!$A:$A,My_Audit!G:G,""),
_xlfn.IFS(_xlpm.MyAuditVal&lt;&gt;"",_xlpm.MyAuditVal,_xlpm.MacVal&lt;&gt;"",_xlpm.MacVal,_xlpm.CSVVal&lt;&gt;"",_xlpm.CSVVal
)),"")</f>
        <v/>
      </c>
      <c r="I279" s="40" t="str">
        <f>_xlfn.XLOOKUP(A279,Output_Mac!A:A,Output_Mac!I:I,"")</f>
        <v/>
      </c>
      <c r="J279" s="40" t="str" cm="1">
        <f t="array" ref="J279">IFERROR(_xlfn.LET(
_xlpm.CSVVal,_xlfn.XLOOKUP($A279,CSV!$A:$A,CSV!I:I,""),
_xlpm.MacVal,_xlfn.XLOOKUP($A279,Output_Mac!$A:$A,Output_Mac!J:J,""),
_xlpm.MyAuditVal,_xlfn.XLOOKUP($A279,My_Audit!$A:$A,My_Audit!I:I,""),
_xlfn.IFS(_xlpm.MyAuditVal&lt;&gt;"",UPPER(_xlpm.MyAuditVal),_xlpm.MacVal&lt;&gt;"",_xlpm.MacVal,_xlpm.CSVVal&lt;&gt;"",_xlpm.CSVVal
)),"")</f>
        <v/>
      </c>
      <c r="K279" s="40" t="str" cm="1">
        <f t="array" ref="K279">IFERROR(_xlfn.LET(
_xlpm.CSVVal,_xlfn.XLOOKUP($A279,CSV!$A:$A,CSV!K:K,""),
_xlpm.MacVal,_xlfn.XLOOKUP($A279,Output_Mac!$A:$A,Output_Mac!K:K,""),
_xlpm.MyAuditVal,_xlfn.XLOOKUP($A279,My_Audit!$A:$A,My_Audit!J:J,""),
_xlfn.IFS(_xlpm.MyAuditVal&lt;&gt;"",UPPER(_xlpm.MyAuditVal),_xlpm.MacVal&lt;&gt;"",_xlpm.MacVal,_xlpm.CSVVal&lt;&gt;"",_xlpm.CSVVal
)),"")</f>
        <v/>
      </c>
      <c r="L279" s="40" t="str" cm="1">
        <f t="array" ref="L279">IFERROR(_xlfn.LET(
_xlpm.CSVVal,_xlfn.XLOOKUP($A279,CSV!$A:$A,CSV!P:P,""),
_xlpm.MacVal,_xlfn.XLOOKUP($A279,Output_Mac!$A:$A,Output_Mac!L:L,""),
_xlpm.MyAuditVal,_xlfn.XLOOKUP($A279,My_Audit!$A:$A,My_Audit!K:K,""),
_xlfn.IFS(_xlpm.MyAuditVal&lt;&gt;"",UPPER(_xlpm.MyAuditVal),_xlpm.MacVal&lt;&gt;"",_xlpm.MacVal,_xlpm.CSVVal&lt;&gt;"",_xlpm.CSVVal
)),"")</f>
        <v/>
      </c>
      <c r="M279" s="40" t="str" cm="1">
        <f t="array" ref="M279">IFERROR(_xlfn.LET(
_xlpm.CSVVal,_xlfn.XLOOKUP($A279,CSV!$A:$A,CSV!Q:Q,""),
_xlpm.MacVal,_xlfn.XLOOKUP($A279,Output_Mac!$A:$A,Output_Mac!M:M,""),
_xlpm.MyAuditVal,_xlfn.XLOOKUP($A279,My_Audit!$A:$A,My_Audit!L:L,""),
_xlfn.IFS(_xlpm.MyAuditVal&lt;&gt;"",UPPER(_xlpm.MyAuditVal),_xlpm.MacVal&lt;&gt;"",_xlpm.MacVal,_xlpm.CSVVal&lt;&gt;"",_xlpm.CSVVal
)),"")</f>
        <v/>
      </c>
      <c r="N279" s="40"/>
      <c r="O279" s="40" t="str">
        <f>_xlfn.LET(
    _xlpm.CSVVal, _xlfn.XLOOKUP($A279, CSV!$A:$A, CSV!AA:AA, ""),
    _xlpm.MacVal, _xlfn.XLOOKUP($A279, Output_Mac!$A:$A, Output_Mac!S:S, ""),
    _xlpm.MyAuditVal, _xlfn.XLOOKUP($A279, My_Audit!$A:$A, My_Audit!P:P, ""),
    _xlfn.TEXTJOIN(", ", TRUE, _xlpm.MyAuditVal, _xlpm.MacVal, _xlpm.CSVVal)
)</f>
        <v/>
      </c>
      <c r="P279" s="40" t="str" cm="1">
        <f t="array" ref="P279">IFERROR(_xlfn.LET(
_xlpm.CSVVal,_xlfn.XLOOKUP($A279,CSV!$A:$A,CSV!AB:AB,""),
_xlpm.MacVal,_xlfn.XLOOKUP($A279,Output_Mac!$A:$A,Output_Mac!T:T,""),
_xlpm.MyAuditVal,_xlfn.XLOOKUP($A279,My_Audit!$A:$A,My_Audit!Q:Q,""),
_xlfn.IFS(_xlpm.MyAuditVal&lt;&gt;"",UPPER(_xlpm.MyAuditVal),_xlpm.MacVal&lt;&gt;"",_xlpm.MacVal,_xlpm.CSVVal&lt;&gt;"",_xlpm.CSVVal
)),"No")</f>
        <v>No</v>
      </c>
      <c r="Q279" s="40" t="str" cm="1">
        <f t="array" ref="Q279">IFERROR(_xlfn.LET(
_xlpm.CSVVal,_xlfn.XLOOKUP($A279,CSV!$A:$A,CSV!AC:AC,""),
_xlpm.MacVal,_xlfn.XLOOKUP($A279,Output_Mac!$A:$A,Output_Mac!U:U,""),
_xlpm.MyAuditVal,_xlfn.XLOOKUP($A279,My_Audit!$A:$A,My_Audit!R:R,""),
_xlfn.IFS(_xlpm.MyAuditVal&lt;&gt;"",UPPER(_xlpm.MyAuditVal),_xlpm.MacVal&lt;&gt;"",_xlpm.MacVal,_xlpm.CSVVal&lt;&gt;"",_xlpm.CSVVal
)),"")</f>
        <v/>
      </c>
      <c r="R279" s="40"/>
      <c r="S279" s="40"/>
      <c r="T279" s="40"/>
      <c r="U279" s="40"/>
      <c r="V279" s="40"/>
      <c r="W279" s="40"/>
      <c r="X279" s="41" t="str">
        <f>_xlfn.LET(
    _xlpm.MacVal, _xlfn.XLOOKUP($A279, Output_Mac!$A:$A, Output_Mac!AB:AB, ""),
    _xlpm.MyAuditVal, _xlfn.XLOOKUP($A279, My_Audit!$A:$A, My_Audit!N:N, ""),
    _xlfn.TEXTJOIN(", ", TRUE, _xlpm.MyAuditVal, _xlpm.MacVal)
)</f>
        <v/>
      </c>
    </row>
    <row r="280" spans="1:24">
      <c r="A280" s="40" t="str">
        <f>_xlfn.TEXTJOIN("",TRUE,Input!$B$2,ROW(My_Audit!A279))</f>
        <v>X279</v>
      </c>
      <c r="B280" s="40" t="str">
        <f>_xlfn.TEXTJOIN("-",TRUE,"ITD",Input!$A$2,A280)</f>
        <v>ITD-X279</v>
      </c>
      <c r="C280" s="40" t="str" cm="1">
        <f t="array" ref="C280">IFERROR(_xlfn.LET(
_xlpm.CSVVal,_xlfn.XLOOKUP($A280,CSV!$A:$A,CSV!B:B,""),
_xlpm.MacVal,_xlfn.XLOOKUP($A280,Output_Mac!$A:$A,Output_Mac!B:B,""),
_xlpm.MyAuditVal,_xlfn.XLOOKUP($A280,My_Audit!$A:$A,My_Audit!B:B,""),
_xlfn.IFS(_xlpm.MyAuditVal&lt;&gt;"",UPPER(_xlpm.MyAuditVal),_xlpm.MacVal&lt;&gt;"",_xlpm.MacVal,_xlpm.CSVVal&lt;&gt;"",_xlpm.CSVVal
)),"")</f>
        <v/>
      </c>
      <c r="D280" s="40" t="str" cm="1">
        <f t="array" ref="D280">IFERROR(_xlfn.LET(
_xlpm.CSVVal,_xlfn.XLOOKUP($A280,CSV!$A:$A,CSV!D:D,""),
_xlpm.MacVal,_xlfn.XLOOKUP($A280,Output_Mac!$A:$A,Output_Mac!C:C,""),
_xlpm.MyAuditVal,_xlfn.XLOOKUP($A280,My_Audit!$A:$A,My_Audit!C:C,""),
_xlfn.IFS(_xlpm.MyAuditVal&lt;&gt;"",_xlpm.MyAuditVal,_xlpm.MacVal&lt;&gt;"",_xlpm.MacVal,_xlpm.CSVVal&lt;&gt;"",_xlpm.CSVVal
)),"")</f>
        <v/>
      </c>
      <c r="E280" s="40">
        <f>_xlfn.XLOOKUP(A280,My_Audit!A:A,My_Audit!D:D,"")</f>
        <v>0</v>
      </c>
      <c r="F280" s="40" t="str" cm="1">
        <f t="array" ref="F280">IFERROR(_xlfn.LET(
_xlpm.CSVVal,_xlfn.XLOOKUP($A280,CSV!$A:$A,CSV!F:F,""),
_xlpm.MacVal,_xlfn.XLOOKUP($A280,Output_Mac!$A:$A,Output_Mac!E:E,""),
_xlpm.MyAuditVal,_xlfn.XLOOKUP($A280,My_Audit!$A:$A,My_Audit!E:E,""),
_xlfn.IFS(_xlpm.MyAuditVal&lt;&gt;"",_xlpm.MyAuditVal,_xlpm.MacVal&lt;&gt;"",_xlpm.MacVal,_xlpm.CSVVal&lt;&gt;"",_xlpm.CSVVal
)),"")</f>
        <v/>
      </c>
      <c r="G280" s="40" t="str" cm="1">
        <f t="array" ref="G280">IFERROR(_xlfn.LET(
_xlpm.CSVVal,_xlfn.XLOOKUP($A280,CSV!$A:$A,CSV!G:G,""),
_xlpm.MacVal,_xlfn.XLOOKUP($A280,Output_Mac!$A:$A,Output_Mac!F:F,""),
_xlpm.MyAuditVal,_xlfn.XLOOKUP($A280,My_Audit!$A:$A,My_Audit!F:F,""),
_xlfn.IFS(_xlpm.MyAuditVal&lt;&gt;"",_xlpm.MyAuditVal,_xlpm.MacVal&lt;&gt;"",_xlpm.MacVal,_xlpm.CSVVal&lt;&gt;"",PROPER(_xlpm.CSVVal)
)),"")</f>
        <v/>
      </c>
      <c r="H280" s="40" t="str" cm="1">
        <f t="array" ref="H280">IFERROR(_xlfn.LET(
_xlpm.CSVVal,_xlfn.XLOOKUP($A280,CSV!$A:$A,CSV!H:H,""),
_xlpm.MacVal,_xlfn.XLOOKUP($A280,Output_Mac!$A:$A,Output_Mac!H:H,""),
_xlpm.MyAuditVal,_xlfn.XLOOKUP($A280,My_Audit!$A:$A,My_Audit!G:G,""),
_xlfn.IFS(_xlpm.MyAuditVal&lt;&gt;"",_xlpm.MyAuditVal,_xlpm.MacVal&lt;&gt;"",_xlpm.MacVal,_xlpm.CSVVal&lt;&gt;"",_xlpm.CSVVal
)),"")</f>
        <v/>
      </c>
      <c r="I280" s="40" t="str">
        <f>_xlfn.XLOOKUP(A280,Output_Mac!A:A,Output_Mac!I:I,"")</f>
        <v/>
      </c>
      <c r="J280" s="40" t="str" cm="1">
        <f t="array" ref="J280">IFERROR(_xlfn.LET(
_xlpm.CSVVal,_xlfn.XLOOKUP($A280,CSV!$A:$A,CSV!I:I,""),
_xlpm.MacVal,_xlfn.XLOOKUP($A280,Output_Mac!$A:$A,Output_Mac!J:J,""),
_xlpm.MyAuditVal,_xlfn.XLOOKUP($A280,My_Audit!$A:$A,My_Audit!I:I,""),
_xlfn.IFS(_xlpm.MyAuditVal&lt;&gt;"",UPPER(_xlpm.MyAuditVal),_xlpm.MacVal&lt;&gt;"",_xlpm.MacVal,_xlpm.CSVVal&lt;&gt;"",_xlpm.CSVVal
)),"")</f>
        <v/>
      </c>
      <c r="K280" s="40" t="str" cm="1">
        <f t="array" ref="K280">IFERROR(_xlfn.LET(
_xlpm.CSVVal,_xlfn.XLOOKUP($A280,CSV!$A:$A,CSV!K:K,""),
_xlpm.MacVal,_xlfn.XLOOKUP($A280,Output_Mac!$A:$A,Output_Mac!K:K,""),
_xlpm.MyAuditVal,_xlfn.XLOOKUP($A280,My_Audit!$A:$A,My_Audit!J:J,""),
_xlfn.IFS(_xlpm.MyAuditVal&lt;&gt;"",UPPER(_xlpm.MyAuditVal),_xlpm.MacVal&lt;&gt;"",_xlpm.MacVal,_xlpm.CSVVal&lt;&gt;"",_xlpm.CSVVal
)),"")</f>
        <v/>
      </c>
      <c r="L280" s="40" t="str" cm="1">
        <f t="array" ref="L280">IFERROR(_xlfn.LET(
_xlpm.CSVVal,_xlfn.XLOOKUP($A280,CSV!$A:$A,CSV!P:P,""),
_xlpm.MacVal,_xlfn.XLOOKUP($A280,Output_Mac!$A:$A,Output_Mac!L:L,""),
_xlpm.MyAuditVal,_xlfn.XLOOKUP($A280,My_Audit!$A:$A,My_Audit!K:K,""),
_xlfn.IFS(_xlpm.MyAuditVal&lt;&gt;"",UPPER(_xlpm.MyAuditVal),_xlpm.MacVal&lt;&gt;"",_xlpm.MacVal,_xlpm.CSVVal&lt;&gt;"",_xlpm.CSVVal
)),"")</f>
        <v/>
      </c>
      <c r="M280" s="40" t="str" cm="1">
        <f t="array" ref="M280">IFERROR(_xlfn.LET(
_xlpm.CSVVal,_xlfn.XLOOKUP($A280,CSV!$A:$A,CSV!Q:Q,""),
_xlpm.MacVal,_xlfn.XLOOKUP($A280,Output_Mac!$A:$A,Output_Mac!M:M,""),
_xlpm.MyAuditVal,_xlfn.XLOOKUP($A280,My_Audit!$A:$A,My_Audit!L:L,""),
_xlfn.IFS(_xlpm.MyAuditVal&lt;&gt;"",UPPER(_xlpm.MyAuditVal),_xlpm.MacVal&lt;&gt;"",_xlpm.MacVal,_xlpm.CSVVal&lt;&gt;"",_xlpm.CSVVal
)),"")</f>
        <v/>
      </c>
      <c r="N280" s="40"/>
      <c r="O280" s="40" t="str">
        <f>_xlfn.LET(
    _xlpm.CSVVal, _xlfn.XLOOKUP($A280, CSV!$A:$A, CSV!AA:AA, ""),
    _xlpm.MacVal, _xlfn.XLOOKUP($A280, Output_Mac!$A:$A, Output_Mac!S:S, ""),
    _xlpm.MyAuditVal, _xlfn.XLOOKUP($A280, My_Audit!$A:$A, My_Audit!P:P, ""),
    _xlfn.TEXTJOIN(", ", TRUE, _xlpm.MyAuditVal, _xlpm.MacVal, _xlpm.CSVVal)
)</f>
        <v/>
      </c>
      <c r="P280" s="40" t="str" cm="1">
        <f t="array" ref="P280">IFERROR(_xlfn.LET(
_xlpm.CSVVal,_xlfn.XLOOKUP($A280,CSV!$A:$A,CSV!AB:AB,""),
_xlpm.MacVal,_xlfn.XLOOKUP($A280,Output_Mac!$A:$A,Output_Mac!T:T,""),
_xlpm.MyAuditVal,_xlfn.XLOOKUP($A280,My_Audit!$A:$A,My_Audit!Q:Q,""),
_xlfn.IFS(_xlpm.MyAuditVal&lt;&gt;"",UPPER(_xlpm.MyAuditVal),_xlpm.MacVal&lt;&gt;"",_xlpm.MacVal,_xlpm.CSVVal&lt;&gt;"",_xlpm.CSVVal
)),"No")</f>
        <v>No</v>
      </c>
      <c r="Q280" s="40" t="str" cm="1">
        <f t="array" ref="Q280">IFERROR(_xlfn.LET(
_xlpm.CSVVal,_xlfn.XLOOKUP($A280,CSV!$A:$A,CSV!AC:AC,""),
_xlpm.MacVal,_xlfn.XLOOKUP($A280,Output_Mac!$A:$A,Output_Mac!U:U,""),
_xlpm.MyAuditVal,_xlfn.XLOOKUP($A280,My_Audit!$A:$A,My_Audit!R:R,""),
_xlfn.IFS(_xlpm.MyAuditVal&lt;&gt;"",UPPER(_xlpm.MyAuditVal),_xlpm.MacVal&lt;&gt;"",_xlpm.MacVal,_xlpm.CSVVal&lt;&gt;"",_xlpm.CSVVal
)),"")</f>
        <v/>
      </c>
      <c r="R280" s="40"/>
      <c r="S280" s="40"/>
      <c r="T280" s="40"/>
      <c r="U280" s="40"/>
      <c r="V280" s="40"/>
      <c r="W280" s="40"/>
      <c r="X280" s="41" t="str">
        <f>_xlfn.LET(
    _xlpm.MacVal, _xlfn.XLOOKUP($A280, Output_Mac!$A:$A, Output_Mac!AB:AB, ""),
    _xlpm.MyAuditVal, _xlfn.XLOOKUP($A280, My_Audit!$A:$A, My_Audit!N:N, ""),
    _xlfn.TEXTJOIN(", ", TRUE, _xlpm.MyAuditVal, _xlpm.MacVal)
)</f>
        <v/>
      </c>
    </row>
    <row r="281" spans="1:24">
      <c r="A281" s="40" t="str">
        <f>_xlfn.TEXTJOIN("",TRUE,Input!$B$2,ROW(My_Audit!A280))</f>
        <v>X280</v>
      </c>
      <c r="B281" s="40" t="str">
        <f>_xlfn.TEXTJOIN("-",TRUE,"ITD",Input!$A$2,A281)</f>
        <v>ITD-X280</v>
      </c>
      <c r="C281" s="40" t="str" cm="1">
        <f t="array" ref="C281">IFERROR(_xlfn.LET(
_xlpm.CSVVal,_xlfn.XLOOKUP($A281,CSV!$A:$A,CSV!B:B,""),
_xlpm.MacVal,_xlfn.XLOOKUP($A281,Output_Mac!$A:$A,Output_Mac!B:B,""),
_xlpm.MyAuditVal,_xlfn.XLOOKUP($A281,My_Audit!$A:$A,My_Audit!B:B,""),
_xlfn.IFS(_xlpm.MyAuditVal&lt;&gt;"",UPPER(_xlpm.MyAuditVal),_xlpm.MacVal&lt;&gt;"",_xlpm.MacVal,_xlpm.CSVVal&lt;&gt;"",_xlpm.CSVVal
)),"")</f>
        <v/>
      </c>
      <c r="D281" s="40" t="str" cm="1">
        <f t="array" ref="D281">IFERROR(_xlfn.LET(
_xlpm.CSVVal,_xlfn.XLOOKUP($A281,CSV!$A:$A,CSV!D:D,""),
_xlpm.MacVal,_xlfn.XLOOKUP($A281,Output_Mac!$A:$A,Output_Mac!C:C,""),
_xlpm.MyAuditVal,_xlfn.XLOOKUP($A281,My_Audit!$A:$A,My_Audit!C:C,""),
_xlfn.IFS(_xlpm.MyAuditVal&lt;&gt;"",_xlpm.MyAuditVal,_xlpm.MacVal&lt;&gt;"",_xlpm.MacVal,_xlpm.CSVVal&lt;&gt;"",_xlpm.CSVVal
)),"")</f>
        <v/>
      </c>
      <c r="E281" s="40">
        <f>_xlfn.XLOOKUP(A281,My_Audit!A:A,My_Audit!D:D,"")</f>
        <v>0</v>
      </c>
      <c r="F281" s="40" t="str" cm="1">
        <f t="array" ref="F281">IFERROR(_xlfn.LET(
_xlpm.CSVVal,_xlfn.XLOOKUP($A281,CSV!$A:$A,CSV!F:F,""),
_xlpm.MacVal,_xlfn.XLOOKUP($A281,Output_Mac!$A:$A,Output_Mac!E:E,""),
_xlpm.MyAuditVal,_xlfn.XLOOKUP($A281,My_Audit!$A:$A,My_Audit!E:E,""),
_xlfn.IFS(_xlpm.MyAuditVal&lt;&gt;"",_xlpm.MyAuditVal,_xlpm.MacVal&lt;&gt;"",_xlpm.MacVal,_xlpm.CSVVal&lt;&gt;"",_xlpm.CSVVal
)),"")</f>
        <v/>
      </c>
      <c r="G281" s="40" t="str" cm="1">
        <f t="array" ref="G281">IFERROR(_xlfn.LET(
_xlpm.CSVVal,_xlfn.XLOOKUP($A281,CSV!$A:$A,CSV!G:G,""),
_xlpm.MacVal,_xlfn.XLOOKUP($A281,Output_Mac!$A:$A,Output_Mac!F:F,""),
_xlpm.MyAuditVal,_xlfn.XLOOKUP($A281,My_Audit!$A:$A,My_Audit!F:F,""),
_xlfn.IFS(_xlpm.MyAuditVal&lt;&gt;"",_xlpm.MyAuditVal,_xlpm.MacVal&lt;&gt;"",_xlpm.MacVal,_xlpm.CSVVal&lt;&gt;"",PROPER(_xlpm.CSVVal)
)),"")</f>
        <v/>
      </c>
      <c r="H281" s="40" t="str" cm="1">
        <f t="array" ref="H281">IFERROR(_xlfn.LET(
_xlpm.CSVVal,_xlfn.XLOOKUP($A281,CSV!$A:$A,CSV!H:H,""),
_xlpm.MacVal,_xlfn.XLOOKUP($A281,Output_Mac!$A:$A,Output_Mac!H:H,""),
_xlpm.MyAuditVal,_xlfn.XLOOKUP($A281,My_Audit!$A:$A,My_Audit!G:G,""),
_xlfn.IFS(_xlpm.MyAuditVal&lt;&gt;"",_xlpm.MyAuditVal,_xlpm.MacVal&lt;&gt;"",_xlpm.MacVal,_xlpm.CSVVal&lt;&gt;"",_xlpm.CSVVal
)),"")</f>
        <v/>
      </c>
      <c r="I281" s="40" t="str">
        <f>_xlfn.XLOOKUP(A281,Output_Mac!A:A,Output_Mac!I:I,"")</f>
        <v/>
      </c>
      <c r="J281" s="40" t="str" cm="1">
        <f t="array" ref="J281">IFERROR(_xlfn.LET(
_xlpm.CSVVal,_xlfn.XLOOKUP($A281,CSV!$A:$A,CSV!I:I,""),
_xlpm.MacVal,_xlfn.XLOOKUP($A281,Output_Mac!$A:$A,Output_Mac!J:J,""),
_xlpm.MyAuditVal,_xlfn.XLOOKUP($A281,My_Audit!$A:$A,My_Audit!I:I,""),
_xlfn.IFS(_xlpm.MyAuditVal&lt;&gt;"",UPPER(_xlpm.MyAuditVal),_xlpm.MacVal&lt;&gt;"",_xlpm.MacVal,_xlpm.CSVVal&lt;&gt;"",_xlpm.CSVVal
)),"")</f>
        <v/>
      </c>
      <c r="K281" s="40" t="str" cm="1">
        <f t="array" ref="K281">IFERROR(_xlfn.LET(
_xlpm.CSVVal,_xlfn.XLOOKUP($A281,CSV!$A:$A,CSV!K:K,""),
_xlpm.MacVal,_xlfn.XLOOKUP($A281,Output_Mac!$A:$A,Output_Mac!K:K,""),
_xlpm.MyAuditVal,_xlfn.XLOOKUP($A281,My_Audit!$A:$A,My_Audit!J:J,""),
_xlfn.IFS(_xlpm.MyAuditVal&lt;&gt;"",UPPER(_xlpm.MyAuditVal),_xlpm.MacVal&lt;&gt;"",_xlpm.MacVal,_xlpm.CSVVal&lt;&gt;"",_xlpm.CSVVal
)),"")</f>
        <v/>
      </c>
      <c r="L281" s="40" t="str" cm="1">
        <f t="array" ref="L281">IFERROR(_xlfn.LET(
_xlpm.CSVVal,_xlfn.XLOOKUP($A281,CSV!$A:$A,CSV!P:P,""),
_xlpm.MacVal,_xlfn.XLOOKUP($A281,Output_Mac!$A:$A,Output_Mac!L:L,""),
_xlpm.MyAuditVal,_xlfn.XLOOKUP($A281,My_Audit!$A:$A,My_Audit!K:K,""),
_xlfn.IFS(_xlpm.MyAuditVal&lt;&gt;"",UPPER(_xlpm.MyAuditVal),_xlpm.MacVal&lt;&gt;"",_xlpm.MacVal,_xlpm.CSVVal&lt;&gt;"",_xlpm.CSVVal
)),"")</f>
        <v/>
      </c>
      <c r="M281" s="40" t="str" cm="1">
        <f t="array" ref="M281">IFERROR(_xlfn.LET(
_xlpm.CSVVal,_xlfn.XLOOKUP($A281,CSV!$A:$A,CSV!Q:Q,""),
_xlpm.MacVal,_xlfn.XLOOKUP($A281,Output_Mac!$A:$A,Output_Mac!M:M,""),
_xlpm.MyAuditVal,_xlfn.XLOOKUP($A281,My_Audit!$A:$A,My_Audit!L:L,""),
_xlfn.IFS(_xlpm.MyAuditVal&lt;&gt;"",UPPER(_xlpm.MyAuditVal),_xlpm.MacVal&lt;&gt;"",_xlpm.MacVal,_xlpm.CSVVal&lt;&gt;"",_xlpm.CSVVal
)),"")</f>
        <v/>
      </c>
      <c r="N281" s="40"/>
      <c r="O281" s="40" t="str">
        <f>_xlfn.LET(
    _xlpm.CSVVal, _xlfn.XLOOKUP($A281, CSV!$A:$A, CSV!AA:AA, ""),
    _xlpm.MacVal, _xlfn.XLOOKUP($A281, Output_Mac!$A:$A, Output_Mac!S:S, ""),
    _xlpm.MyAuditVal, _xlfn.XLOOKUP($A281, My_Audit!$A:$A, My_Audit!P:P, ""),
    _xlfn.TEXTJOIN(", ", TRUE, _xlpm.MyAuditVal, _xlpm.MacVal, _xlpm.CSVVal)
)</f>
        <v/>
      </c>
      <c r="P281" s="40" t="str" cm="1">
        <f t="array" ref="P281">IFERROR(_xlfn.LET(
_xlpm.CSVVal,_xlfn.XLOOKUP($A281,CSV!$A:$A,CSV!AB:AB,""),
_xlpm.MacVal,_xlfn.XLOOKUP($A281,Output_Mac!$A:$A,Output_Mac!T:T,""),
_xlpm.MyAuditVal,_xlfn.XLOOKUP($A281,My_Audit!$A:$A,My_Audit!Q:Q,""),
_xlfn.IFS(_xlpm.MyAuditVal&lt;&gt;"",UPPER(_xlpm.MyAuditVal),_xlpm.MacVal&lt;&gt;"",_xlpm.MacVal,_xlpm.CSVVal&lt;&gt;"",_xlpm.CSVVal
)),"No")</f>
        <v>No</v>
      </c>
      <c r="Q281" s="40" t="str" cm="1">
        <f t="array" ref="Q281">IFERROR(_xlfn.LET(
_xlpm.CSVVal,_xlfn.XLOOKUP($A281,CSV!$A:$A,CSV!AC:AC,""),
_xlpm.MacVal,_xlfn.XLOOKUP($A281,Output_Mac!$A:$A,Output_Mac!U:U,""),
_xlpm.MyAuditVal,_xlfn.XLOOKUP($A281,My_Audit!$A:$A,My_Audit!R:R,""),
_xlfn.IFS(_xlpm.MyAuditVal&lt;&gt;"",UPPER(_xlpm.MyAuditVal),_xlpm.MacVal&lt;&gt;"",_xlpm.MacVal,_xlpm.CSVVal&lt;&gt;"",_xlpm.CSVVal
)),"")</f>
        <v/>
      </c>
      <c r="R281" s="40"/>
      <c r="S281" s="40"/>
      <c r="T281" s="40"/>
      <c r="U281" s="40"/>
      <c r="V281" s="40"/>
      <c r="W281" s="40"/>
      <c r="X281" s="41" t="str">
        <f>_xlfn.LET(
    _xlpm.MacVal, _xlfn.XLOOKUP($A281, Output_Mac!$A:$A, Output_Mac!AB:AB, ""),
    _xlpm.MyAuditVal, _xlfn.XLOOKUP($A281, My_Audit!$A:$A, My_Audit!N:N, ""),
    _xlfn.TEXTJOIN(", ", TRUE, _xlpm.MyAuditVal, _xlpm.MacVal)
)</f>
        <v/>
      </c>
    </row>
    <row r="282" spans="1:24">
      <c r="A282" s="40" t="str">
        <f>_xlfn.TEXTJOIN("",TRUE,Input!$B$2,ROW(My_Audit!A281))</f>
        <v>X281</v>
      </c>
      <c r="B282" s="40" t="str">
        <f>_xlfn.TEXTJOIN("-",TRUE,"ITD",Input!$A$2,A282)</f>
        <v>ITD-X281</v>
      </c>
      <c r="C282" s="40" t="str" cm="1">
        <f t="array" ref="C282">IFERROR(_xlfn.LET(
_xlpm.CSVVal,_xlfn.XLOOKUP($A282,CSV!$A:$A,CSV!B:B,""),
_xlpm.MacVal,_xlfn.XLOOKUP($A282,Output_Mac!$A:$A,Output_Mac!B:B,""),
_xlpm.MyAuditVal,_xlfn.XLOOKUP($A282,My_Audit!$A:$A,My_Audit!B:B,""),
_xlfn.IFS(_xlpm.MyAuditVal&lt;&gt;"",UPPER(_xlpm.MyAuditVal),_xlpm.MacVal&lt;&gt;"",_xlpm.MacVal,_xlpm.CSVVal&lt;&gt;"",_xlpm.CSVVal
)),"")</f>
        <v/>
      </c>
      <c r="D282" s="40" t="str" cm="1">
        <f t="array" ref="D282">IFERROR(_xlfn.LET(
_xlpm.CSVVal,_xlfn.XLOOKUP($A282,CSV!$A:$A,CSV!D:D,""),
_xlpm.MacVal,_xlfn.XLOOKUP($A282,Output_Mac!$A:$A,Output_Mac!C:C,""),
_xlpm.MyAuditVal,_xlfn.XLOOKUP($A282,My_Audit!$A:$A,My_Audit!C:C,""),
_xlfn.IFS(_xlpm.MyAuditVal&lt;&gt;"",_xlpm.MyAuditVal,_xlpm.MacVal&lt;&gt;"",_xlpm.MacVal,_xlpm.CSVVal&lt;&gt;"",_xlpm.CSVVal
)),"")</f>
        <v/>
      </c>
      <c r="E282" s="40">
        <f>_xlfn.XLOOKUP(A282,My_Audit!A:A,My_Audit!D:D,"")</f>
        <v>0</v>
      </c>
      <c r="F282" s="40" t="str" cm="1">
        <f t="array" ref="F282">IFERROR(_xlfn.LET(
_xlpm.CSVVal,_xlfn.XLOOKUP($A282,CSV!$A:$A,CSV!F:F,""),
_xlpm.MacVal,_xlfn.XLOOKUP($A282,Output_Mac!$A:$A,Output_Mac!E:E,""),
_xlpm.MyAuditVal,_xlfn.XLOOKUP($A282,My_Audit!$A:$A,My_Audit!E:E,""),
_xlfn.IFS(_xlpm.MyAuditVal&lt;&gt;"",_xlpm.MyAuditVal,_xlpm.MacVal&lt;&gt;"",_xlpm.MacVal,_xlpm.CSVVal&lt;&gt;"",_xlpm.CSVVal
)),"")</f>
        <v/>
      </c>
      <c r="G282" s="40" t="str" cm="1">
        <f t="array" ref="G282">IFERROR(_xlfn.LET(
_xlpm.CSVVal,_xlfn.XLOOKUP($A282,CSV!$A:$A,CSV!G:G,""),
_xlpm.MacVal,_xlfn.XLOOKUP($A282,Output_Mac!$A:$A,Output_Mac!F:F,""),
_xlpm.MyAuditVal,_xlfn.XLOOKUP($A282,My_Audit!$A:$A,My_Audit!F:F,""),
_xlfn.IFS(_xlpm.MyAuditVal&lt;&gt;"",_xlpm.MyAuditVal,_xlpm.MacVal&lt;&gt;"",_xlpm.MacVal,_xlpm.CSVVal&lt;&gt;"",PROPER(_xlpm.CSVVal)
)),"")</f>
        <v/>
      </c>
      <c r="H282" s="40" t="str" cm="1">
        <f t="array" ref="H282">IFERROR(_xlfn.LET(
_xlpm.CSVVal,_xlfn.XLOOKUP($A282,CSV!$A:$A,CSV!H:H,""),
_xlpm.MacVal,_xlfn.XLOOKUP($A282,Output_Mac!$A:$A,Output_Mac!H:H,""),
_xlpm.MyAuditVal,_xlfn.XLOOKUP($A282,My_Audit!$A:$A,My_Audit!G:G,""),
_xlfn.IFS(_xlpm.MyAuditVal&lt;&gt;"",_xlpm.MyAuditVal,_xlpm.MacVal&lt;&gt;"",_xlpm.MacVal,_xlpm.CSVVal&lt;&gt;"",_xlpm.CSVVal
)),"")</f>
        <v/>
      </c>
      <c r="I282" s="40" t="str">
        <f>_xlfn.XLOOKUP(A282,Output_Mac!A:A,Output_Mac!I:I,"")</f>
        <v/>
      </c>
      <c r="J282" s="40" t="str" cm="1">
        <f t="array" ref="J282">IFERROR(_xlfn.LET(
_xlpm.CSVVal,_xlfn.XLOOKUP($A282,CSV!$A:$A,CSV!I:I,""),
_xlpm.MacVal,_xlfn.XLOOKUP($A282,Output_Mac!$A:$A,Output_Mac!J:J,""),
_xlpm.MyAuditVal,_xlfn.XLOOKUP($A282,My_Audit!$A:$A,My_Audit!I:I,""),
_xlfn.IFS(_xlpm.MyAuditVal&lt;&gt;"",UPPER(_xlpm.MyAuditVal),_xlpm.MacVal&lt;&gt;"",_xlpm.MacVal,_xlpm.CSVVal&lt;&gt;"",_xlpm.CSVVal
)),"")</f>
        <v/>
      </c>
      <c r="K282" s="40" t="str" cm="1">
        <f t="array" ref="K282">IFERROR(_xlfn.LET(
_xlpm.CSVVal,_xlfn.XLOOKUP($A282,CSV!$A:$A,CSV!K:K,""),
_xlpm.MacVal,_xlfn.XLOOKUP($A282,Output_Mac!$A:$A,Output_Mac!K:K,""),
_xlpm.MyAuditVal,_xlfn.XLOOKUP($A282,My_Audit!$A:$A,My_Audit!J:J,""),
_xlfn.IFS(_xlpm.MyAuditVal&lt;&gt;"",UPPER(_xlpm.MyAuditVal),_xlpm.MacVal&lt;&gt;"",_xlpm.MacVal,_xlpm.CSVVal&lt;&gt;"",_xlpm.CSVVal
)),"")</f>
        <v/>
      </c>
      <c r="L282" s="40" t="str" cm="1">
        <f t="array" ref="L282">IFERROR(_xlfn.LET(
_xlpm.CSVVal,_xlfn.XLOOKUP($A282,CSV!$A:$A,CSV!P:P,""),
_xlpm.MacVal,_xlfn.XLOOKUP($A282,Output_Mac!$A:$A,Output_Mac!L:L,""),
_xlpm.MyAuditVal,_xlfn.XLOOKUP($A282,My_Audit!$A:$A,My_Audit!K:K,""),
_xlfn.IFS(_xlpm.MyAuditVal&lt;&gt;"",UPPER(_xlpm.MyAuditVal),_xlpm.MacVal&lt;&gt;"",_xlpm.MacVal,_xlpm.CSVVal&lt;&gt;"",_xlpm.CSVVal
)),"")</f>
        <v/>
      </c>
      <c r="M282" s="40" t="str" cm="1">
        <f t="array" ref="M282">IFERROR(_xlfn.LET(
_xlpm.CSVVal,_xlfn.XLOOKUP($A282,CSV!$A:$A,CSV!Q:Q,""),
_xlpm.MacVal,_xlfn.XLOOKUP($A282,Output_Mac!$A:$A,Output_Mac!M:M,""),
_xlpm.MyAuditVal,_xlfn.XLOOKUP($A282,My_Audit!$A:$A,My_Audit!L:L,""),
_xlfn.IFS(_xlpm.MyAuditVal&lt;&gt;"",UPPER(_xlpm.MyAuditVal),_xlpm.MacVal&lt;&gt;"",_xlpm.MacVal,_xlpm.CSVVal&lt;&gt;"",_xlpm.CSVVal
)),"")</f>
        <v/>
      </c>
      <c r="N282" s="40"/>
      <c r="O282" s="40" t="str">
        <f>_xlfn.LET(
    _xlpm.CSVVal, _xlfn.XLOOKUP($A282, CSV!$A:$A, CSV!AA:AA, ""),
    _xlpm.MacVal, _xlfn.XLOOKUP($A282, Output_Mac!$A:$A, Output_Mac!S:S, ""),
    _xlpm.MyAuditVal, _xlfn.XLOOKUP($A282, My_Audit!$A:$A, My_Audit!P:P, ""),
    _xlfn.TEXTJOIN(", ", TRUE, _xlpm.MyAuditVal, _xlpm.MacVal, _xlpm.CSVVal)
)</f>
        <v/>
      </c>
      <c r="P282" s="40" t="str" cm="1">
        <f t="array" ref="P282">IFERROR(_xlfn.LET(
_xlpm.CSVVal,_xlfn.XLOOKUP($A282,CSV!$A:$A,CSV!AB:AB,""),
_xlpm.MacVal,_xlfn.XLOOKUP($A282,Output_Mac!$A:$A,Output_Mac!T:T,""),
_xlpm.MyAuditVal,_xlfn.XLOOKUP($A282,My_Audit!$A:$A,My_Audit!Q:Q,""),
_xlfn.IFS(_xlpm.MyAuditVal&lt;&gt;"",UPPER(_xlpm.MyAuditVal),_xlpm.MacVal&lt;&gt;"",_xlpm.MacVal,_xlpm.CSVVal&lt;&gt;"",_xlpm.CSVVal
)),"No")</f>
        <v>No</v>
      </c>
      <c r="Q282" s="40" t="str" cm="1">
        <f t="array" ref="Q282">IFERROR(_xlfn.LET(
_xlpm.CSVVal,_xlfn.XLOOKUP($A282,CSV!$A:$A,CSV!AC:AC,""),
_xlpm.MacVal,_xlfn.XLOOKUP($A282,Output_Mac!$A:$A,Output_Mac!U:U,""),
_xlpm.MyAuditVal,_xlfn.XLOOKUP($A282,My_Audit!$A:$A,My_Audit!R:R,""),
_xlfn.IFS(_xlpm.MyAuditVal&lt;&gt;"",UPPER(_xlpm.MyAuditVal),_xlpm.MacVal&lt;&gt;"",_xlpm.MacVal,_xlpm.CSVVal&lt;&gt;"",_xlpm.CSVVal
)),"")</f>
        <v/>
      </c>
      <c r="R282" s="40"/>
      <c r="S282" s="40"/>
      <c r="T282" s="40"/>
      <c r="U282" s="40"/>
      <c r="V282" s="40"/>
      <c r="W282" s="40"/>
      <c r="X282" s="41" t="str">
        <f>_xlfn.LET(
    _xlpm.MacVal, _xlfn.XLOOKUP($A282, Output_Mac!$A:$A, Output_Mac!AB:AB, ""),
    _xlpm.MyAuditVal, _xlfn.XLOOKUP($A282, My_Audit!$A:$A, My_Audit!N:N, ""),
    _xlfn.TEXTJOIN(", ", TRUE, _xlpm.MyAuditVal, _xlpm.MacVal)
)</f>
        <v/>
      </c>
    </row>
    <row r="283" spans="1:24">
      <c r="A283" s="40" t="str">
        <f>_xlfn.TEXTJOIN("",TRUE,Input!$B$2,ROW(My_Audit!A282))</f>
        <v>X282</v>
      </c>
      <c r="B283" s="40" t="str">
        <f>_xlfn.TEXTJOIN("-",TRUE,"ITD",Input!$A$2,A283)</f>
        <v>ITD-X282</v>
      </c>
      <c r="C283" s="40" t="str" cm="1">
        <f t="array" ref="C283">IFERROR(_xlfn.LET(
_xlpm.CSVVal,_xlfn.XLOOKUP($A283,CSV!$A:$A,CSV!B:B,""),
_xlpm.MacVal,_xlfn.XLOOKUP($A283,Output_Mac!$A:$A,Output_Mac!B:B,""),
_xlpm.MyAuditVal,_xlfn.XLOOKUP($A283,My_Audit!$A:$A,My_Audit!B:B,""),
_xlfn.IFS(_xlpm.MyAuditVal&lt;&gt;"",UPPER(_xlpm.MyAuditVal),_xlpm.MacVal&lt;&gt;"",_xlpm.MacVal,_xlpm.CSVVal&lt;&gt;"",_xlpm.CSVVal
)),"")</f>
        <v/>
      </c>
      <c r="D283" s="40" t="str" cm="1">
        <f t="array" ref="D283">IFERROR(_xlfn.LET(
_xlpm.CSVVal,_xlfn.XLOOKUP($A283,CSV!$A:$A,CSV!D:D,""),
_xlpm.MacVal,_xlfn.XLOOKUP($A283,Output_Mac!$A:$A,Output_Mac!C:C,""),
_xlpm.MyAuditVal,_xlfn.XLOOKUP($A283,My_Audit!$A:$A,My_Audit!C:C,""),
_xlfn.IFS(_xlpm.MyAuditVal&lt;&gt;"",_xlpm.MyAuditVal,_xlpm.MacVal&lt;&gt;"",_xlpm.MacVal,_xlpm.CSVVal&lt;&gt;"",_xlpm.CSVVal
)),"")</f>
        <v/>
      </c>
      <c r="E283" s="40">
        <f>_xlfn.XLOOKUP(A283,My_Audit!A:A,My_Audit!D:D,"")</f>
        <v>0</v>
      </c>
      <c r="F283" s="40" t="str" cm="1">
        <f t="array" ref="F283">IFERROR(_xlfn.LET(
_xlpm.CSVVal,_xlfn.XLOOKUP($A283,CSV!$A:$A,CSV!F:F,""),
_xlpm.MacVal,_xlfn.XLOOKUP($A283,Output_Mac!$A:$A,Output_Mac!E:E,""),
_xlpm.MyAuditVal,_xlfn.XLOOKUP($A283,My_Audit!$A:$A,My_Audit!E:E,""),
_xlfn.IFS(_xlpm.MyAuditVal&lt;&gt;"",_xlpm.MyAuditVal,_xlpm.MacVal&lt;&gt;"",_xlpm.MacVal,_xlpm.CSVVal&lt;&gt;"",_xlpm.CSVVal
)),"")</f>
        <v/>
      </c>
      <c r="G283" s="40" t="str" cm="1">
        <f t="array" ref="G283">IFERROR(_xlfn.LET(
_xlpm.CSVVal,_xlfn.XLOOKUP($A283,CSV!$A:$A,CSV!G:G,""),
_xlpm.MacVal,_xlfn.XLOOKUP($A283,Output_Mac!$A:$A,Output_Mac!F:F,""),
_xlpm.MyAuditVal,_xlfn.XLOOKUP($A283,My_Audit!$A:$A,My_Audit!F:F,""),
_xlfn.IFS(_xlpm.MyAuditVal&lt;&gt;"",_xlpm.MyAuditVal,_xlpm.MacVal&lt;&gt;"",_xlpm.MacVal,_xlpm.CSVVal&lt;&gt;"",PROPER(_xlpm.CSVVal)
)),"")</f>
        <v/>
      </c>
      <c r="H283" s="40" t="str" cm="1">
        <f t="array" ref="H283">IFERROR(_xlfn.LET(
_xlpm.CSVVal,_xlfn.XLOOKUP($A283,CSV!$A:$A,CSV!H:H,""),
_xlpm.MacVal,_xlfn.XLOOKUP($A283,Output_Mac!$A:$A,Output_Mac!H:H,""),
_xlpm.MyAuditVal,_xlfn.XLOOKUP($A283,My_Audit!$A:$A,My_Audit!G:G,""),
_xlfn.IFS(_xlpm.MyAuditVal&lt;&gt;"",_xlpm.MyAuditVal,_xlpm.MacVal&lt;&gt;"",_xlpm.MacVal,_xlpm.CSVVal&lt;&gt;"",_xlpm.CSVVal
)),"")</f>
        <v/>
      </c>
      <c r="I283" s="40" t="str">
        <f>_xlfn.XLOOKUP(A283,Output_Mac!A:A,Output_Mac!I:I,"")</f>
        <v/>
      </c>
      <c r="J283" s="40" t="str" cm="1">
        <f t="array" ref="J283">IFERROR(_xlfn.LET(
_xlpm.CSVVal,_xlfn.XLOOKUP($A283,CSV!$A:$A,CSV!I:I,""),
_xlpm.MacVal,_xlfn.XLOOKUP($A283,Output_Mac!$A:$A,Output_Mac!J:J,""),
_xlpm.MyAuditVal,_xlfn.XLOOKUP($A283,My_Audit!$A:$A,My_Audit!I:I,""),
_xlfn.IFS(_xlpm.MyAuditVal&lt;&gt;"",UPPER(_xlpm.MyAuditVal),_xlpm.MacVal&lt;&gt;"",_xlpm.MacVal,_xlpm.CSVVal&lt;&gt;"",_xlpm.CSVVal
)),"")</f>
        <v/>
      </c>
      <c r="K283" s="40" t="str" cm="1">
        <f t="array" ref="K283">IFERROR(_xlfn.LET(
_xlpm.CSVVal,_xlfn.XLOOKUP($A283,CSV!$A:$A,CSV!K:K,""),
_xlpm.MacVal,_xlfn.XLOOKUP($A283,Output_Mac!$A:$A,Output_Mac!K:K,""),
_xlpm.MyAuditVal,_xlfn.XLOOKUP($A283,My_Audit!$A:$A,My_Audit!J:J,""),
_xlfn.IFS(_xlpm.MyAuditVal&lt;&gt;"",UPPER(_xlpm.MyAuditVal),_xlpm.MacVal&lt;&gt;"",_xlpm.MacVal,_xlpm.CSVVal&lt;&gt;"",_xlpm.CSVVal
)),"")</f>
        <v/>
      </c>
      <c r="L283" s="40" t="str" cm="1">
        <f t="array" ref="L283">IFERROR(_xlfn.LET(
_xlpm.CSVVal,_xlfn.XLOOKUP($A283,CSV!$A:$A,CSV!P:P,""),
_xlpm.MacVal,_xlfn.XLOOKUP($A283,Output_Mac!$A:$A,Output_Mac!L:L,""),
_xlpm.MyAuditVal,_xlfn.XLOOKUP($A283,My_Audit!$A:$A,My_Audit!K:K,""),
_xlfn.IFS(_xlpm.MyAuditVal&lt;&gt;"",UPPER(_xlpm.MyAuditVal),_xlpm.MacVal&lt;&gt;"",_xlpm.MacVal,_xlpm.CSVVal&lt;&gt;"",_xlpm.CSVVal
)),"")</f>
        <v/>
      </c>
      <c r="M283" s="40" t="str" cm="1">
        <f t="array" ref="M283">IFERROR(_xlfn.LET(
_xlpm.CSVVal,_xlfn.XLOOKUP($A283,CSV!$A:$A,CSV!Q:Q,""),
_xlpm.MacVal,_xlfn.XLOOKUP($A283,Output_Mac!$A:$A,Output_Mac!M:M,""),
_xlpm.MyAuditVal,_xlfn.XLOOKUP($A283,My_Audit!$A:$A,My_Audit!L:L,""),
_xlfn.IFS(_xlpm.MyAuditVal&lt;&gt;"",UPPER(_xlpm.MyAuditVal),_xlpm.MacVal&lt;&gt;"",_xlpm.MacVal,_xlpm.CSVVal&lt;&gt;"",_xlpm.CSVVal
)),"")</f>
        <v/>
      </c>
      <c r="N283" s="40"/>
      <c r="O283" s="40" t="str">
        <f>_xlfn.LET(
    _xlpm.CSVVal, _xlfn.XLOOKUP($A283, CSV!$A:$A, CSV!AA:AA, ""),
    _xlpm.MacVal, _xlfn.XLOOKUP($A283, Output_Mac!$A:$A, Output_Mac!S:S, ""),
    _xlpm.MyAuditVal, _xlfn.XLOOKUP($A283, My_Audit!$A:$A, My_Audit!P:P, ""),
    _xlfn.TEXTJOIN(", ", TRUE, _xlpm.MyAuditVal, _xlpm.MacVal, _xlpm.CSVVal)
)</f>
        <v/>
      </c>
      <c r="P283" s="40" t="str" cm="1">
        <f t="array" ref="P283">IFERROR(_xlfn.LET(
_xlpm.CSVVal,_xlfn.XLOOKUP($A283,CSV!$A:$A,CSV!AB:AB,""),
_xlpm.MacVal,_xlfn.XLOOKUP($A283,Output_Mac!$A:$A,Output_Mac!T:T,""),
_xlpm.MyAuditVal,_xlfn.XLOOKUP($A283,My_Audit!$A:$A,My_Audit!Q:Q,""),
_xlfn.IFS(_xlpm.MyAuditVal&lt;&gt;"",UPPER(_xlpm.MyAuditVal),_xlpm.MacVal&lt;&gt;"",_xlpm.MacVal,_xlpm.CSVVal&lt;&gt;"",_xlpm.CSVVal
)),"No")</f>
        <v>No</v>
      </c>
      <c r="Q283" s="40" t="str" cm="1">
        <f t="array" ref="Q283">IFERROR(_xlfn.LET(
_xlpm.CSVVal,_xlfn.XLOOKUP($A283,CSV!$A:$A,CSV!AC:AC,""),
_xlpm.MacVal,_xlfn.XLOOKUP($A283,Output_Mac!$A:$A,Output_Mac!U:U,""),
_xlpm.MyAuditVal,_xlfn.XLOOKUP($A283,My_Audit!$A:$A,My_Audit!R:R,""),
_xlfn.IFS(_xlpm.MyAuditVal&lt;&gt;"",UPPER(_xlpm.MyAuditVal),_xlpm.MacVal&lt;&gt;"",_xlpm.MacVal,_xlpm.CSVVal&lt;&gt;"",_xlpm.CSVVal
)),"")</f>
        <v/>
      </c>
      <c r="R283" s="40"/>
      <c r="S283" s="40"/>
      <c r="T283" s="40"/>
      <c r="U283" s="40"/>
      <c r="V283" s="40"/>
      <c r="W283" s="40"/>
      <c r="X283" s="41" t="str">
        <f>_xlfn.LET(
    _xlpm.MacVal, _xlfn.XLOOKUP($A283, Output_Mac!$A:$A, Output_Mac!AB:AB, ""),
    _xlpm.MyAuditVal, _xlfn.XLOOKUP($A283, My_Audit!$A:$A, My_Audit!N:N, ""),
    _xlfn.TEXTJOIN(", ", TRUE, _xlpm.MyAuditVal, _xlpm.MacVal)
)</f>
        <v/>
      </c>
    </row>
    <row r="284" spans="1:24">
      <c r="A284" s="40" t="str">
        <f>_xlfn.TEXTJOIN("",TRUE,Input!$B$2,ROW(My_Audit!A283))</f>
        <v>X283</v>
      </c>
      <c r="B284" s="40" t="str">
        <f>_xlfn.TEXTJOIN("-",TRUE,"ITD",Input!$A$2,A284)</f>
        <v>ITD-X283</v>
      </c>
      <c r="C284" s="40" t="str" cm="1">
        <f t="array" ref="C284">IFERROR(_xlfn.LET(
_xlpm.CSVVal,_xlfn.XLOOKUP($A284,CSV!$A:$A,CSV!B:B,""),
_xlpm.MacVal,_xlfn.XLOOKUP($A284,Output_Mac!$A:$A,Output_Mac!B:B,""),
_xlpm.MyAuditVal,_xlfn.XLOOKUP($A284,My_Audit!$A:$A,My_Audit!B:B,""),
_xlfn.IFS(_xlpm.MyAuditVal&lt;&gt;"",UPPER(_xlpm.MyAuditVal),_xlpm.MacVal&lt;&gt;"",_xlpm.MacVal,_xlpm.CSVVal&lt;&gt;"",_xlpm.CSVVal
)),"")</f>
        <v/>
      </c>
      <c r="D284" s="40" t="str" cm="1">
        <f t="array" ref="D284">IFERROR(_xlfn.LET(
_xlpm.CSVVal,_xlfn.XLOOKUP($A284,CSV!$A:$A,CSV!D:D,""),
_xlpm.MacVal,_xlfn.XLOOKUP($A284,Output_Mac!$A:$A,Output_Mac!C:C,""),
_xlpm.MyAuditVal,_xlfn.XLOOKUP($A284,My_Audit!$A:$A,My_Audit!C:C,""),
_xlfn.IFS(_xlpm.MyAuditVal&lt;&gt;"",_xlpm.MyAuditVal,_xlpm.MacVal&lt;&gt;"",_xlpm.MacVal,_xlpm.CSVVal&lt;&gt;"",_xlpm.CSVVal
)),"")</f>
        <v/>
      </c>
      <c r="E284" s="40">
        <f>_xlfn.XLOOKUP(A284,My_Audit!A:A,My_Audit!D:D,"")</f>
        <v>0</v>
      </c>
      <c r="F284" s="40" t="str" cm="1">
        <f t="array" ref="F284">IFERROR(_xlfn.LET(
_xlpm.CSVVal,_xlfn.XLOOKUP($A284,CSV!$A:$A,CSV!F:F,""),
_xlpm.MacVal,_xlfn.XLOOKUP($A284,Output_Mac!$A:$A,Output_Mac!E:E,""),
_xlpm.MyAuditVal,_xlfn.XLOOKUP($A284,My_Audit!$A:$A,My_Audit!E:E,""),
_xlfn.IFS(_xlpm.MyAuditVal&lt;&gt;"",_xlpm.MyAuditVal,_xlpm.MacVal&lt;&gt;"",_xlpm.MacVal,_xlpm.CSVVal&lt;&gt;"",_xlpm.CSVVal
)),"")</f>
        <v/>
      </c>
      <c r="G284" s="40" t="str" cm="1">
        <f t="array" ref="G284">IFERROR(_xlfn.LET(
_xlpm.CSVVal,_xlfn.XLOOKUP($A284,CSV!$A:$A,CSV!G:G,""),
_xlpm.MacVal,_xlfn.XLOOKUP($A284,Output_Mac!$A:$A,Output_Mac!F:F,""),
_xlpm.MyAuditVal,_xlfn.XLOOKUP($A284,My_Audit!$A:$A,My_Audit!F:F,""),
_xlfn.IFS(_xlpm.MyAuditVal&lt;&gt;"",_xlpm.MyAuditVal,_xlpm.MacVal&lt;&gt;"",_xlpm.MacVal,_xlpm.CSVVal&lt;&gt;"",PROPER(_xlpm.CSVVal)
)),"")</f>
        <v/>
      </c>
      <c r="H284" s="40" t="str" cm="1">
        <f t="array" ref="H284">IFERROR(_xlfn.LET(
_xlpm.CSVVal,_xlfn.XLOOKUP($A284,CSV!$A:$A,CSV!H:H,""),
_xlpm.MacVal,_xlfn.XLOOKUP($A284,Output_Mac!$A:$A,Output_Mac!H:H,""),
_xlpm.MyAuditVal,_xlfn.XLOOKUP($A284,My_Audit!$A:$A,My_Audit!G:G,""),
_xlfn.IFS(_xlpm.MyAuditVal&lt;&gt;"",_xlpm.MyAuditVal,_xlpm.MacVal&lt;&gt;"",_xlpm.MacVal,_xlpm.CSVVal&lt;&gt;"",_xlpm.CSVVal
)),"")</f>
        <v/>
      </c>
      <c r="I284" s="40" t="str">
        <f>_xlfn.XLOOKUP(A284,Output_Mac!A:A,Output_Mac!I:I,"")</f>
        <v/>
      </c>
      <c r="J284" s="40" t="str" cm="1">
        <f t="array" ref="J284">IFERROR(_xlfn.LET(
_xlpm.CSVVal,_xlfn.XLOOKUP($A284,CSV!$A:$A,CSV!I:I,""),
_xlpm.MacVal,_xlfn.XLOOKUP($A284,Output_Mac!$A:$A,Output_Mac!J:J,""),
_xlpm.MyAuditVal,_xlfn.XLOOKUP($A284,My_Audit!$A:$A,My_Audit!I:I,""),
_xlfn.IFS(_xlpm.MyAuditVal&lt;&gt;"",UPPER(_xlpm.MyAuditVal),_xlpm.MacVal&lt;&gt;"",_xlpm.MacVal,_xlpm.CSVVal&lt;&gt;"",_xlpm.CSVVal
)),"")</f>
        <v/>
      </c>
      <c r="K284" s="40" t="str" cm="1">
        <f t="array" ref="K284">IFERROR(_xlfn.LET(
_xlpm.CSVVal,_xlfn.XLOOKUP($A284,CSV!$A:$A,CSV!K:K,""),
_xlpm.MacVal,_xlfn.XLOOKUP($A284,Output_Mac!$A:$A,Output_Mac!K:K,""),
_xlpm.MyAuditVal,_xlfn.XLOOKUP($A284,My_Audit!$A:$A,My_Audit!J:J,""),
_xlfn.IFS(_xlpm.MyAuditVal&lt;&gt;"",UPPER(_xlpm.MyAuditVal),_xlpm.MacVal&lt;&gt;"",_xlpm.MacVal,_xlpm.CSVVal&lt;&gt;"",_xlpm.CSVVal
)),"")</f>
        <v/>
      </c>
      <c r="L284" s="40" t="str" cm="1">
        <f t="array" ref="L284">IFERROR(_xlfn.LET(
_xlpm.CSVVal,_xlfn.XLOOKUP($A284,CSV!$A:$A,CSV!P:P,""),
_xlpm.MacVal,_xlfn.XLOOKUP($A284,Output_Mac!$A:$A,Output_Mac!L:L,""),
_xlpm.MyAuditVal,_xlfn.XLOOKUP($A284,My_Audit!$A:$A,My_Audit!K:K,""),
_xlfn.IFS(_xlpm.MyAuditVal&lt;&gt;"",UPPER(_xlpm.MyAuditVal),_xlpm.MacVal&lt;&gt;"",_xlpm.MacVal,_xlpm.CSVVal&lt;&gt;"",_xlpm.CSVVal
)),"")</f>
        <v/>
      </c>
      <c r="M284" s="40" t="str" cm="1">
        <f t="array" ref="M284">IFERROR(_xlfn.LET(
_xlpm.CSVVal,_xlfn.XLOOKUP($A284,CSV!$A:$A,CSV!Q:Q,""),
_xlpm.MacVal,_xlfn.XLOOKUP($A284,Output_Mac!$A:$A,Output_Mac!M:M,""),
_xlpm.MyAuditVal,_xlfn.XLOOKUP($A284,My_Audit!$A:$A,My_Audit!L:L,""),
_xlfn.IFS(_xlpm.MyAuditVal&lt;&gt;"",UPPER(_xlpm.MyAuditVal),_xlpm.MacVal&lt;&gt;"",_xlpm.MacVal,_xlpm.CSVVal&lt;&gt;"",_xlpm.CSVVal
)),"")</f>
        <v/>
      </c>
      <c r="N284" s="40"/>
      <c r="O284" s="40" t="str">
        <f>_xlfn.LET(
    _xlpm.CSVVal, _xlfn.XLOOKUP($A284, CSV!$A:$A, CSV!AA:AA, ""),
    _xlpm.MacVal, _xlfn.XLOOKUP($A284, Output_Mac!$A:$A, Output_Mac!S:S, ""),
    _xlpm.MyAuditVal, _xlfn.XLOOKUP($A284, My_Audit!$A:$A, My_Audit!P:P, ""),
    _xlfn.TEXTJOIN(", ", TRUE, _xlpm.MyAuditVal, _xlpm.MacVal, _xlpm.CSVVal)
)</f>
        <v/>
      </c>
      <c r="P284" s="40" t="str" cm="1">
        <f t="array" ref="P284">IFERROR(_xlfn.LET(
_xlpm.CSVVal,_xlfn.XLOOKUP($A284,CSV!$A:$A,CSV!AB:AB,""),
_xlpm.MacVal,_xlfn.XLOOKUP($A284,Output_Mac!$A:$A,Output_Mac!T:T,""),
_xlpm.MyAuditVal,_xlfn.XLOOKUP($A284,My_Audit!$A:$A,My_Audit!Q:Q,""),
_xlfn.IFS(_xlpm.MyAuditVal&lt;&gt;"",UPPER(_xlpm.MyAuditVal),_xlpm.MacVal&lt;&gt;"",_xlpm.MacVal,_xlpm.CSVVal&lt;&gt;"",_xlpm.CSVVal
)),"No")</f>
        <v>No</v>
      </c>
      <c r="Q284" s="40" t="str" cm="1">
        <f t="array" ref="Q284">IFERROR(_xlfn.LET(
_xlpm.CSVVal,_xlfn.XLOOKUP($A284,CSV!$A:$A,CSV!AC:AC,""),
_xlpm.MacVal,_xlfn.XLOOKUP($A284,Output_Mac!$A:$A,Output_Mac!U:U,""),
_xlpm.MyAuditVal,_xlfn.XLOOKUP($A284,My_Audit!$A:$A,My_Audit!R:R,""),
_xlfn.IFS(_xlpm.MyAuditVal&lt;&gt;"",UPPER(_xlpm.MyAuditVal),_xlpm.MacVal&lt;&gt;"",_xlpm.MacVal,_xlpm.CSVVal&lt;&gt;"",_xlpm.CSVVal
)),"")</f>
        <v/>
      </c>
      <c r="R284" s="40"/>
      <c r="S284" s="40"/>
      <c r="T284" s="40"/>
      <c r="U284" s="40"/>
      <c r="V284" s="40"/>
      <c r="W284" s="40"/>
      <c r="X284" s="41" t="str">
        <f>_xlfn.LET(
    _xlpm.MacVal, _xlfn.XLOOKUP($A284, Output_Mac!$A:$A, Output_Mac!AB:AB, ""),
    _xlpm.MyAuditVal, _xlfn.XLOOKUP($A284, My_Audit!$A:$A, My_Audit!N:N, ""),
    _xlfn.TEXTJOIN(", ", TRUE, _xlpm.MyAuditVal, _xlpm.MacVal)
)</f>
        <v/>
      </c>
    </row>
    <row r="285" spans="1:24">
      <c r="A285" s="40" t="str">
        <f>_xlfn.TEXTJOIN("",TRUE,Input!$B$2,ROW(My_Audit!A284))</f>
        <v>X284</v>
      </c>
      <c r="B285" s="40" t="str">
        <f>_xlfn.TEXTJOIN("-",TRUE,"ITD",Input!$A$2,A285)</f>
        <v>ITD-X284</v>
      </c>
      <c r="C285" s="40" t="str" cm="1">
        <f t="array" ref="C285">IFERROR(_xlfn.LET(
_xlpm.CSVVal,_xlfn.XLOOKUP($A285,CSV!$A:$A,CSV!B:B,""),
_xlpm.MacVal,_xlfn.XLOOKUP($A285,Output_Mac!$A:$A,Output_Mac!B:B,""),
_xlpm.MyAuditVal,_xlfn.XLOOKUP($A285,My_Audit!$A:$A,My_Audit!B:B,""),
_xlfn.IFS(_xlpm.MyAuditVal&lt;&gt;"",UPPER(_xlpm.MyAuditVal),_xlpm.MacVal&lt;&gt;"",_xlpm.MacVal,_xlpm.CSVVal&lt;&gt;"",_xlpm.CSVVal
)),"")</f>
        <v/>
      </c>
      <c r="D285" s="40" t="str" cm="1">
        <f t="array" ref="D285">IFERROR(_xlfn.LET(
_xlpm.CSVVal,_xlfn.XLOOKUP($A285,CSV!$A:$A,CSV!D:D,""),
_xlpm.MacVal,_xlfn.XLOOKUP($A285,Output_Mac!$A:$A,Output_Mac!C:C,""),
_xlpm.MyAuditVal,_xlfn.XLOOKUP($A285,My_Audit!$A:$A,My_Audit!C:C,""),
_xlfn.IFS(_xlpm.MyAuditVal&lt;&gt;"",_xlpm.MyAuditVal,_xlpm.MacVal&lt;&gt;"",_xlpm.MacVal,_xlpm.CSVVal&lt;&gt;"",_xlpm.CSVVal
)),"")</f>
        <v/>
      </c>
      <c r="E285" s="40">
        <f>_xlfn.XLOOKUP(A285,My_Audit!A:A,My_Audit!D:D,"")</f>
        <v>0</v>
      </c>
      <c r="F285" s="40" t="str" cm="1">
        <f t="array" ref="F285">IFERROR(_xlfn.LET(
_xlpm.CSVVal,_xlfn.XLOOKUP($A285,CSV!$A:$A,CSV!F:F,""),
_xlpm.MacVal,_xlfn.XLOOKUP($A285,Output_Mac!$A:$A,Output_Mac!E:E,""),
_xlpm.MyAuditVal,_xlfn.XLOOKUP($A285,My_Audit!$A:$A,My_Audit!E:E,""),
_xlfn.IFS(_xlpm.MyAuditVal&lt;&gt;"",_xlpm.MyAuditVal,_xlpm.MacVal&lt;&gt;"",_xlpm.MacVal,_xlpm.CSVVal&lt;&gt;"",_xlpm.CSVVal
)),"")</f>
        <v/>
      </c>
      <c r="G285" s="40" t="str" cm="1">
        <f t="array" ref="G285">IFERROR(_xlfn.LET(
_xlpm.CSVVal,_xlfn.XLOOKUP($A285,CSV!$A:$A,CSV!G:G,""),
_xlpm.MacVal,_xlfn.XLOOKUP($A285,Output_Mac!$A:$A,Output_Mac!F:F,""),
_xlpm.MyAuditVal,_xlfn.XLOOKUP($A285,My_Audit!$A:$A,My_Audit!F:F,""),
_xlfn.IFS(_xlpm.MyAuditVal&lt;&gt;"",_xlpm.MyAuditVal,_xlpm.MacVal&lt;&gt;"",_xlpm.MacVal,_xlpm.CSVVal&lt;&gt;"",PROPER(_xlpm.CSVVal)
)),"")</f>
        <v/>
      </c>
      <c r="H285" s="40" t="str" cm="1">
        <f t="array" ref="H285">IFERROR(_xlfn.LET(
_xlpm.CSVVal,_xlfn.XLOOKUP($A285,CSV!$A:$A,CSV!H:H,""),
_xlpm.MacVal,_xlfn.XLOOKUP($A285,Output_Mac!$A:$A,Output_Mac!H:H,""),
_xlpm.MyAuditVal,_xlfn.XLOOKUP($A285,My_Audit!$A:$A,My_Audit!G:G,""),
_xlfn.IFS(_xlpm.MyAuditVal&lt;&gt;"",_xlpm.MyAuditVal,_xlpm.MacVal&lt;&gt;"",_xlpm.MacVal,_xlpm.CSVVal&lt;&gt;"",_xlpm.CSVVal
)),"")</f>
        <v/>
      </c>
      <c r="I285" s="40" t="str">
        <f>_xlfn.XLOOKUP(A285,Output_Mac!A:A,Output_Mac!I:I,"")</f>
        <v/>
      </c>
      <c r="J285" s="40" t="str" cm="1">
        <f t="array" ref="J285">IFERROR(_xlfn.LET(
_xlpm.CSVVal,_xlfn.XLOOKUP($A285,CSV!$A:$A,CSV!I:I,""),
_xlpm.MacVal,_xlfn.XLOOKUP($A285,Output_Mac!$A:$A,Output_Mac!J:J,""),
_xlpm.MyAuditVal,_xlfn.XLOOKUP($A285,My_Audit!$A:$A,My_Audit!I:I,""),
_xlfn.IFS(_xlpm.MyAuditVal&lt;&gt;"",UPPER(_xlpm.MyAuditVal),_xlpm.MacVal&lt;&gt;"",_xlpm.MacVal,_xlpm.CSVVal&lt;&gt;"",_xlpm.CSVVal
)),"")</f>
        <v/>
      </c>
      <c r="K285" s="40" t="str" cm="1">
        <f t="array" ref="K285">IFERROR(_xlfn.LET(
_xlpm.CSVVal,_xlfn.XLOOKUP($A285,CSV!$A:$A,CSV!K:K,""),
_xlpm.MacVal,_xlfn.XLOOKUP($A285,Output_Mac!$A:$A,Output_Mac!K:K,""),
_xlpm.MyAuditVal,_xlfn.XLOOKUP($A285,My_Audit!$A:$A,My_Audit!J:J,""),
_xlfn.IFS(_xlpm.MyAuditVal&lt;&gt;"",UPPER(_xlpm.MyAuditVal),_xlpm.MacVal&lt;&gt;"",_xlpm.MacVal,_xlpm.CSVVal&lt;&gt;"",_xlpm.CSVVal
)),"")</f>
        <v/>
      </c>
      <c r="L285" s="40" t="str" cm="1">
        <f t="array" ref="L285">IFERROR(_xlfn.LET(
_xlpm.CSVVal,_xlfn.XLOOKUP($A285,CSV!$A:$A,CSV!P:P,""),
_xlpm.MacVal,_xlfn.XLOOKUP($A285,Output_Mac!$A:$A,Output_Mac!L:L,""),
_xlpm.MyAuditVal,_xlfn.XLOOKUP($A285,My_Audit!$A:$A,My_Audit!K:K,""),
_xlfn.IFS(_xlpm.MyAuditVal&lt;&gt;"",UPPER(_xlpm.MyAuditVal),_xlpm.MacVal&lt;&gt;"",_xlpm.MacVal,_xlpm.CSVVal&lt;&gt;"",_xlpm.CSVVal
)),"")</f>
        <v/>
      </c>
      <c r="M285" s="40" t="str" cm="1">
        <f t="array" ref="M285">IFERROR(_xlfn.LET(
_xlpm.CSVVal,_xlfn.XLOOKUP($A285,CSV!$A:$A,CSV!Q:Q,""),
_xlpm.MacVal,_xlfn.XLOOKUP($A285,Output_Mac!$A:$A,Output_Mac!M:M,""),
_xlpm.MyAuditVal,_xlfn.XLOOKUP($A285,My_Audit!$A:$A,My_Audit!L:L,""),
_xlfn.IFS(_xlpm.MyAuditVal&lt;&gt;"",UPPER(_xlpm.MyAuditVal),_xlpm.MacVal&lt;&gt;"",_xlpm.MacVal,_xlpm.CSVVal&lt;&gt;"",_xlpm.CSVVal
)),"")</f>
        <v/>
      </c>
      <c r="N285" s="40"/>
      <c r="O285" s="40" t="str">
        <f>_xlfn.LET(
    _xlpm.CSVVal, _xlfn.XLOOKUP($A285, CSV!$A:$A, CSV!AA:AA, ""),
    _xlpm.MacVal, _xlfn.XLOOKUP($A285, Output_Mac!$A:$A, Output_Mac!S:S, ""),
    _xlpm.MyAuditVal, _xlfn.XLOOKUP($A285, My_Audit!$A:$A, My_Audit!P:P, ""),
    _xlfn.TEXTJOIN(", ", TRUE, _xlpm.MyAuditVal, _xlpm.MacVal, _xlpm.CSVVal)
)</f>
        <v/>
      </c>
      <c r="P285" s="40" t="str" cm="1">
        <f t="array" ref="P285">IFERROR(_xlfn.LET(
_xlpm.CSVVal,_xlfn.XLOOKUP($A285,CSV!$A:$A,CSV!AB:AB,""),
_xlpm.MacVal,_xlfn.XLOOKUP($A285,Output_Mac!$A:$A,Output_Mac!T:T,""),
_xlpm.MyAuditVal,_xlfn.XLOOKUP($A285,My_Audit!$A:$A,My_Audit!Q:Q,""),
_xlfn.IFS(_xlpm.MyAuditVal&lt;&gt;"",UPPER(_xlpm.MyAuditVal),_xlpm.MacVal&lt;&gt;"",_xlpm.MacVal,_xlpm.CSVVal&lt;&gt;"",_xlpm.CSVVal
)),"No")</f>
        <v>No</v>
      </c>
      <c r="Q285" s="40" t="str" cm="1">
        <f t="array" ref="Q285">IFERROR(_xlfn.LET(
_xlpm.CSVVal,_xlfn.XLOOKUP($A285,CSV!$A:$A,CSV!AC:AC,""),
_xlpm.MacVal,_xlfn.XLOOKUP($A285,Output_Mac!$A:$A,Output_Mac!U:U,""),
_xlpm.MyAuditVal,_xlfn.XLOOKUP($A285,My_Audit!$A:$A,My_Audit!R:R,""),
_xlfn.IFS(_xlpm.MyAuditVal&lt;&gt;"",UPPER(_xlpm.MyAuditVal),_xlpm.MacVal&lt;&gt;"",_xlpm.MacVal,_xlpm.CSVVal&lt;&gt;"",_xlpm.CSVVal
)),"")</f>
        <v/>
      </c>
      <c r="R285" s="40"/>
      <c r="S285" s="40"/>
      <c r="T285" s="40"/>
      <c r="U285" s="40"/>
      <c r="V285" s="40"/>
      <c r="W285" s="40"/>
      <c r="X285" s="41" t="str">
        <f>_xlfn.LET(
    _xlpm.MacVal, _xlfn.XLOOKUP($A285, Output_Mac!$A:$A, Output_Mac!AB:AB, ""),
    _xlpm.MyAuditVal, _xlfn.XLOOKUP($A285, My_Audit!$A:$A, My_Audit!N:N, ""),
    _xlfn.TEXTJOIN(", ", TRUE, _xlpm.MyAuditVal, _xlpm.MacVal)
)</f>
        <v/>
      </c>
    </row>
    <row r="286" spans="1:24">
      <c r="A286" s="40" t="str">
        <f>_xlfn.TEXTJOIN("",TRUE,Input!$B$2,ROW(My_Audit!A285))</f>
        <v>X285</v>
      </c>
      <c r="B286" s="40" t="str">
        <f>_xlfn.TEXTJOIN("-",TRUE,"ITD",Input!$A$2,A286)</f>
        <v>ITD-X285</v>
      </c>
      <c r="C286" s="40" t="str" cm="1">
        <f t="array" ref="C286">IFERROR(_xlfn.LET(
_xlpm.CSVVal,_xlfn.XLOOKUP($A286,CSV!$A:$A,CSV!B:B,""),
_xlpm.MacVal,_xlfn.XLOOKUP($A286,Output_Mac!$A:$A,Output_Mac!B:B,""),
_xlpm.MyAuditVal,_xlfn.XLOOKUP($A286,My_Audit!$A:$A,My_Audit!B:B,""),
_xlfn.IFS(_xlpm.MyAuditVal&lt;&gt;"",UPPER(_xlpm.MyAuditVal),_xlpm.MacVal&lt;&gt;"",_xlpm.MacVal,_xlpm.CSVVal&lt;&gt;"",_xlpm.CSVVal
)),"")</f>
        <v/>
      </c>
      <c r="D286" s="40" t="str" cm="1">
        <f t="array" ref="D286">IFERROR(_xlfn.LET(
_xlpm.CSVVal,_xlfn.XLOOKUP($A286,CSV!$A:$A,CSV!D:D,""),
_xlpm.MacVal,_xlfn.XLOOKUP($A286,Output_Mac!$A:$A,Output_Mac!C:C,""),
_xlpm.MyAuditVal,_xlfn.XLOOKUP($A286,My_Audit!$A:$A,My_Audit!C:C,""),
_xlfn.IFS(_xlpm.MyAuditVal&lt;&gt;"",_xlpm.MyAuditVal,_xlpm.MacVal&lt;&gt;"",_xlpm.MacVal,_xlpm.CSVVal&lt;&gt;"",_xlpm.CSVVal
)),"")</f>
        <v/>
      </c>
      <c r="E286" s="40">
        <f>_xlfn.XLOOKUP(A286,My_Audit!A:A,My_Audit!D:D,"")</f>
        <v>0</v>
      </c>
      <c r="F286" s="40" t="str" cm="1">
        <f t="array" ref="F286">IFERROR(_xlfn.LET(
_xlpm.CSVVal,_xlfn.XLOOKUP($A286,CSV!$A:$A,CSV!F:F,""),
_xlpm.MacVal,_xlfn.XLOOKUP($A286,Output_Mac!$A:$A,Output_Mac!E:E,""),
_xlpm.MyAuditVal,_xlfn.XLOOKUP($A286,My_Audit!$A:$A,My_Audit!E:E,""),
_xlfn.IFS(_xlpm.MyAuditVal&lt;&gt;"",_xlpm.MyAuditVal,_xlpm.MacVal&lt;&gt;"",_xlpm.MacVal,_xlpm.CSVVal&lt;&gt;"",_xlpm.CSVVal
)),"")</f>
        <v/>
      </c>
      <c r="G286" s="40" t="str" cm="1">
        <f t="array" ref="G286">IFERROR(_xlfn.LET(
_xlpm.CSVVal,_xlfn.XLOOKUP($A286,CSV!$A:$A,CSV!G:G,""),
_xlpm.MacVal,_xlfn.XLOOKUP($A286,Output_Mac!$A:$A,Output_Mac!F:F,""),
_xlpm.MyAuditVal,_xlfn.XLOOKUP($A286,My_Audit!$A:$A,My_Audit!F:F,""),
_xlfn.IFS(_xlpm.MyAuditVal&lt;&gt;"",_xlpm.MyAuditVal,_xlpm.MacVal&lt;&gt;"",_xlpm.MacVal,_xlpm.CSVVal&lt;&gt;"",PROPER(_xlpm.CSVVal)
)),"")</f>
        <v/>
      </c>
      <c r="H286" s="40" t="str" cm="1">
        <f t="array" ref="H286">IFERROR(_xlfn.LET(
_xlpm.CSVVal,_xlfn.XLOOKUP($A286,CSV!$A:$A,CSV!H:H,""),
_xlpm.MacVal,_xlfn.XLOOKUP($A286,Output_Mac!$A:$A,Output_Mac!H:H,""),
_xlpm.MyAuditVal,_xlfn.XLOOKUP($A286,My_Audit!$A:$A,My_Audit!G:G,""),
_xlfn.IFS(_xlpm.MyAuditVal&lt;&gt;"",_xlpm.MyAuditVal,_xlpm.MacVal&lt;&gt;"",_xlpm.MacVal,_xlpm.CSVVal&lt;&gt;"",_xlpm.CSVVal
)),"")</f>
        <v/>
      </c>
      <c r="I286" s="40" t="str">
        <f>_xlfn.XLOOKUP(A286,Output_Mac!A:A,Output_Mac!I:I,"")</f>
        <v/>
      </c>
      <c r="J286" s="40" t="str" cm="1">
        <f t="array" ref="J286">IFERROR(_xlfn.LET(
_xlpm.CSVVal,_xlfn.XLOOKUP($A286,CSV!$A:$A,CSV!I:I,""),
_xlpm.MacVal,_xlfn.XLOOKUP($A286,Output_Mac!$A:$A,Output_Mac!J:J,""),
_xlpm.MyAuditVal,_xlfn.XLOOKUP($A286,My_Audit!$A:$A,My_Audit!I:I,""),
_xlfn.IFS(_xlpm.MyAuditVal&lt;&gt;"",UPPER(_xlpm.MyAuditVal),_xlpm.MacVal&lt;&gt;"",_xlpm.MacVal,_xlpm.CSVVal&lt;&gt;"",_xlpm.CSVVal
)),"")</f>
        <v/>
      </c>
      <c r="K286" s="40" t="str" cm="1">
        <f t="array" ref="K286">IFERROR(_xlfn.LET(
_xlpm.CSVVal,_xlfn.XLOOKUP($A286,CSV!$A:$A,CSV!K:K,""),
_xlpm.MacVal,_xlfn.XLOOKUP($A286,Output_Mac!$A:$A,Output_Mac!K:K,""),
_xlpm.MyAuditVal,_xlfn.XLOOKUP($A286,My_Audit!$A:$A,My_Audit!J:J,""),
_xlfn.IFS(_xlpm.MyAuditVal&lt;&gt;"",UPPER(_xlpm.MyAuditVal),_xlpm.MacVal&lt;&gt;"",_xlpm.MacVal,_xlpm.CSVVal&lt;&gt;"",_xlpm.CSVVal
)),"")</f>
        <v/>
      </c>
      <c r="L286" s="40" t="str" cm="1">
        <f t="array" ref="L286">IFERROR(_xlfn.LET(
_xlpm.CSVVal,_xlfn.XLOOKUP($A286,CSV!$A:$A,CSV!P:P,""),
_xlpm.MacVal,_xlfn.XLOOKUP($A286,Output_Mac!$A:$A,Output_Mac!L:L,""),
_xlpm.MyAuditVal,_xlfn.XLOOKUP($A286,My_Audit!$A:$A,My_Audit!K:K,""),
_xlfn.IFS(_xlpm.MyAuditVal&lt;&gt;"",UPPER(_xlpm.MyAuditVal),_xlpm.MacVal&lt;&gt;"",_xlpm.MacVal,_xlpm.CSVVal&lt;&gt;"",_xlpm.CSVVal
)),"")</f>
        <v/>
      </c>
      <c r="M286" s="40" t="str" cm="1">
        <f t="array" ref="M286">IFERROR(_xlfn.LET(
_xlpm.CSVVal,_xlfn.XLOOKUP($A286,CSV!$A:$A,CSV!Q:Q,""),
_xlpm.MacVal,_xlfn.XLOOKUP($A286,Output_Mac!$A:$A,Output_Mac!M:M,""),
_xlpm.MyAuditVal,_xlfn.XLOOKUP($A286,My_Audit!$A:$A,My_Audit!L:L,""),
_xlfn.IFS(_xlpm.MyAuditVal&lt;&gt;"",UPPER(_xlpm.MyAuditVal),_xlpm.MacVal&lt;&gt;"",_xlpm.MacVal,_xlpm.CSVVal&lt;&gt;"",_xlpm.CSVVal
)),"")</f>
        <v/>
      </c>
      <c r="N286" s="40"/>
      <c r="O286" s="40" t="str">
        <f>_xlfn.LET(
    _xlpm.CSVVal, _xlfn.XLOOKUP($A286, CSV!$A:$A, CSV!AA:AA, ""),
    _xlpm.MacVal, _xlfn.XLOOKUP($A286, Output_Mac!$A:$A, Output_Mac!S:S, ""),
    _xlpm.MyAuditVal, _xlfn.XLOOKUP($A286, My_Audit!$A:$A, My_Audit!P:P, ""),
    _xlfn.TEXTJOIN(", ", TRUE, _xlpm.MyAuditVal, _xlpm.MacVal, _xlpm.CSVVal)
)</f>
        <v/>
      </c>
      <c r="P286" s="40" t="str" cm="1">
        <f t="array" ref="P286">IFERROR(_xlfn.LET(
_xlpm.CSVVal,_xlfn.XLOOKUP($A286,CSV!$A:$A,CSV!AB:AB,""),
_xlpm.MacVal,_xlfn.XLOOKUP($A286,Output_Mac!$A:$A,Output_Mac!T:T,""),
_xlpm.MyAuditVal,_xlfn.XLOOKUP($A286,My_Audit!$A:$A,My_Audit!Q:Q,""),
_xlfn.IFS(_xlpm.MyAuditVal&lt;&gt;"",UPPER(_xlpm.MyAuditVal),_xlpm.MacVal&lt;&gt;"",_xlpm.MacVal,_xlpm.CSVVal&lt;&gt;"",_xlpm.CSVVal
)),"No")</f>
        <v>No</v>
      </c>
      <c r="Q286" s="40" t="str" cm="1">
        <f t="array" ref="Q286">IFERROR(_xlfn.LET(
_xlpm.CSVVal,_xlfn.XLOOKUP($A286,CSV!$A:$A,CSV!AC:AC,""),
_xlpm.MacVal,_xlfn.XLOOKUP($A286,Output_Mac!$A:$A,Output_Mac!U:U,""),
_xlpm.MyAuditVal,_xlfn.XLOOKUP($A286,My_Audit!$A:$A,My_Audit!R:R,""),
_xlfn.IFS(_xlpm.MyAuditVal&lt;&gt;"",UPPER(_xlpm.MyAuditVal),_xlpm.MacVal&lt;&gt;"",_xlpm.MacVal,_xlpm.CSVVal&lt;&gt;"",_xlpm.CSVVal
)),"")</f>
        <v/>
      </c>
      <c r="R286" s="40"/>
      <c r="S286" s="40"/>
      <c r="T286" s="40"/>
      <c r="U286" s="40"/>
      <c r="V286" s="40"/>
      <c r="W286" s="40"/>
      <c r="X286" s="41" t="str">
        <f>_xlfn.LET(
    _xlpm.MacVal, _xlfn.XLOOKUP($A286, Output_Mac!$A:$A, Output_Mac!AB:AB, ""),
    _xlpm.MyAuditVal, _xlfn.XLOOKUP($A286, My_Audit!$A:$A, My_Audit!N:N, ""),
    _xlfn.TEXTJOIN(", ", TRUE, _xlpm.MyAuditVal, _xlpm.MacVal)
)</f>
        <v/>
      </c>
    </row>
    <row r="287" spans="1:24">
      <c r="A287" s="40" t="str">
        <f>_xlfn.TEXTJOIN("",TRUE,Input!$B$2,ROW(My_Audit!A286))</f>
        <v>X286</v>
      </c>
      <c r="B287" s="40" t="str">
        <f>_xlfn.TEXTJOIN("-",TRUE,"ITD",Input!$A$2,A287)</f>
        <v>ITD-X286</v>
      </c>
      <c r="C287" s="40" t="str" cm="1">
        <f t="array" ref="C287">IFERROR(_xlfn.LET(
_xlpm.CSVVal,_xlfn.XLOOKUP($A287,CSV!$A:$A,CSV!B:B,""),
_xlpm.MacVal,_xlfn.XLOOKUP($A287,Output_Mac!$A:$A,Output_Mac!B:B,""),
_xlpm.MyAuditVal,_xlfn.XLOOKUP($A287,My_Audit!$A:$A,My_Audit!B:B,""),
_xlfn.IFS(_xlpm.MyAuditVal&lt;&gt;"",UPPER(_xlpm.MyAuditVal),_xlpm.MacVal&lt;&gt;"",_xlpm.MacVal,_xlpm.CSVVal&lt;&gt;"",_xlpm.CSVVal
)),"")</f>
        <v/>
      </c>
      <c r="D287" s="40" t="str" cm="1">
        <f t="array" ref="D287">IFERROR(_xlfn.LET(
_xlpm.CSVVal,_xlfn.XLOOKUP($A287,CSV!$A:$A,CSV!D:D,""),
_xlpm.MacVal,_xlfn.XLOOKUP($A287,Output_Mac!$A:$A,Output_Mac!C:C,""),
_xlpm.MyAuditVal,_xlfn.XLOOKUP($A287,My_Audit!$A:$A,My_Audit!C:C,""),
_xlfn.IFS(_xlpm.MyAuditVal&lt;&gt;"",_xlpm.MyAuditVal,_xlpm.MacVal&lt;&gt;"",_xlpm.MacVal,_xlpm.CSVVal&lt;&gt;"",_xlpm.CSVVal
)),"")</f>
        <v/>
      </c>
      <c r="E287" s="40">
        <f>_xlfn.XLOOKUP(A287,My_Audit!A:A,My_Audit!D:D,"")</f>
        <v>0</v>
      </c>
      <c r="F287" s="40" t="str" cm="1">
        <f t="array" ref="F287">IFERROR(_xlfn.LET(
_xlpm.CSVVal,_xlfn.XLOOKUP($A287,CSV!$A:$A,CSV!F:F,""),
_xlpm.MacVal,_xlfn.XLOOKUP($A287,Output_Mac!$A:$A,Output_Mac!E:E,""),
_xlpm.MyAuditVal,_xlfn.XLOOKUP($A287,My_Audit!$A:$A,My_Audit!E:E,""),
_xlfn.IFS(_xlpm.MyAuditVal&lt;&gt;"",_xlpm.MyAuditVal,_xlpm.MacVal&lt;&gt;"",_xlpm.MacVal,_xlpm.CSVVal&lt;&gt;"",_xlpm.CSVVal
)),"")</f>
        <v/>
      </c>
      <c r="G287" s="40" t="str" cm="1">
        <f t="array" ref="G287">IFERROR(_xlfn.LET(
_xlpm.CSVVal,_xlfn.XLOOKUP($A287,CSV!$A:$A,CSV!G:G,""),
_xlpm.MacVal,_xlfn.XLOOKUP($A287,Output_Mac!$A:$A,Output_Mac!F:F,""),
_xlpm.MyAuditVal,_xlfn.XLOOKUP($A287,My_Audit!$A:$A,My_Audit!F:F,""),
_xlfn.IFS(_xlpm.MyAuditVal&lt;&gt;"",_xlpm.MyAuditVal,_xlpm.MacVal&lt;&gt;"",_xlpm.MacVal,_xlpm.CSVVal&lt;&gt;"",PROPER(_xlpm.CSVVal)
)),"")</f>
        <v/>
      </c>
      <c r="H287" s="40" t="str" cm="1">
        <f t="array" ref="H287">IFERROR(_xlfn.LET(
_xlpm.CSVVal,_xlfn.XLOOKUP($A287,CSV!$A:$A,CSV!H:H,""),
_xlpm.MacVal,_xlfn.XLOOKUP($A287,Output_Mac!$A:$A,Output_Mac!H:H,""),
_xlpm.MyAuditVal,_xlfn.XLOOKUP($A287,My_Audit!$A:$A,My_Audit!G:G,""),
_xlfn.IFS(_xlpm.MyAuditVal&lt;&gt;"",_xlpm.MyAuditVal,_xlpm.MacVal&lt;&gt;"",_xlpm.MacVal,_xlpm.CSVVal&lt;&gt;"",_xlpm.CSVVal
)),"")</f>
        <v/>
      </c>
      <c r="I287" s="40" t="str">
        <f>_xlfn.XLOOKUP(A287,Output_Mac!A:A,Output_Mac!I:I,"")</f>
        <v/>
      </c>
      <c r="J287" s="40" t="str" cm="1">
        <f t="array" ref="J287">IFERROR(_xlfn.LET(
_xlpm.CSVVal,_xlfn.XLOOKUP($A287,CSV!$A:$A,CSV!I:I,""),
_xlpm.MacVal,_xlfn.XLOOKUP($A287,Output_Mac!$A:$A,Output_Mac!J:J,""),
_xlpm.MyAuditVal,_xlfn.XLOOKUP($A287,My_Audit!$A:$A,My_Audit!I:I,""),
_xlfn.IFS(_xlpm.MyAuditVal&lt;&gt;"",UPPER(_xlpm.MyAuditVal),_xlpm.MacVal&lt;&gt;"",_xlpm.MacVal,_xlpm.CSVVal&lt;&gt;"",_xlpm.CSVVal
)),"")</f>
        <v/>
      </c>
      <c r="K287" s="40" t="str" cm="1">
        <f t="array" ref="K287">IFERROR(_xlfn.LET(
_xlpm.CSVVal,_xlfn.XLOOKUP($A287,CSV!$A:$A,CSV!K:K,""),
_xlpm.MacVal,_xlfn.XLOOKUP($A287,Output_Mac!$A:$A,Output_Mac!K:K,""),
_xlpm.MyAuditVal,_xlfn.XLOOKUP($A287,My_Audit!$A:$A,My_Audit!J:J,""),
_xlfn.IFS(_xlpm.MyAuditVal&lt;&gt;"",UPPER(_xlpm.MyAuditVal),_xlpm.MacVal&lt;&gt;"",_xlpm.MacVal,_xlpm.CSVVal&lt;&gt;"",_xlpm.CSVVal
)),"")</f>
        <v/>
      </c>
      <c r="L287" s="40" t="str" cm="1">
        <f t="array" ref="L287">IFERROR(_xlfn.LET(
_xlpm.CSVVal,_xlfn.XLOOKUP($A287,CSV!$A:$A,CSV!P:P,""),
_xlpm.MacVal,_xlfn.XLOOKUP($A287,Output_Mac!$A:$A,Output_Mac!L:L,""),
_xlpm.MyAuditVal,_xlfn.XLOOKUP($A287,My_Audit!$A:$A,My_Audit!K:K,""),
_xlfn.IFS(_xlpm.MyAuditVal&lt;&gt;"",UPPER(_xlpm.MyAuditVal),_xlpm.MacVal&lt;&gt;"",_xlpm.MacVal,_xlpm.CSVVal&lt;&gt;"",_xlpm.CSVVal
)),"")</f>
        <v/>
      </c>
      <c r="M287" s="40" t="str" cm="1">
        <f t="array" ref="M287">IFERROR(_xlfn.LET(
_xlpm.CSVVal,_xlfn.XLOOKUP($A287,CSV!$A:$A,CSV!Q:Q,""),
_xlpm.MacVal,_xlfn.XLOOKUP($A287,Output_Mac!$A:$A,Output_Mac!M:M,""),
_xlpm.MyAuditVal,_xlfn.XLOOKUP($A287,My_Audit!$A:$A,My_Audit!L:L,""),
_xlfn.IFS(_xlpm.MyAuditVal&lt;&gt;"",UPPER(_xlpm.MyAuditVal),_xlpm.MacVal&lt;&gt;"",_xlpm.MacVal,_xlpm.CSVVal&lt;&gt;"",_xlpm.CSVVal
)),"")</f>
        <v/>
      </c>
      <c r="N287" s="40"/>
      <c r="O287" s="40" t="str">
        <f>_xlfn.LET(
    _xlpm.CSVVal, _xlfn.XLOOKUP($A287, CSV!$A:$A, CSV!AA:AA, ""),
    _xlpm.MacVal, _xlfn.XLOOKUP($A287, Output_Mac!$A:$A, Output_Mac!S:S, ""),
    _xlpm.MyAuditVal, _xlfn.XLOOKUP($A287, My_Audit!$A:$A, My_Audit!P:P, ""),
    _xlfn.TEXTJOIN(", ", TRUE, _xlpm.MyAuditVal, _xlpm.MacVal, _xlpm.CSVVal)
)</f>
        <v/>
      </c>
      <c r="P287" s="40" t="str" cm="1">
        <f t="array" ref="P287">IFERROR(_xlfn.LET(
_xlpm.CSVVal,_xlfn.XLOOKUP($A287,CSV!$A:$A,CSV!AB:AB,""),
_xlpm.MacVal,_xlfn.XLOOKUP($A287,Output_Mac!$A:$A,Output_Mac!T:T,""),
_xlpm.MyAuditVal,_xlfn.XLOOKUP($A287,My_Audit!$A:$A,My_Audit!Q:Q,""),
_xlfn.IFS(_xlpm.MyAuditVal&lt;&gt;"",UPPER(_xlpm.MyAuditVal),_xlpm.MacVal&lt;&gt;"",_xlpm.MacVal,_xlpm.CSVVal&lt;&gt;"",_xlpm.CSVVal
)),"No")</f>
        <v>No</v>
      </c>
      <c r="Q287" s="40" t="str" cm="1">
        <f t="array" ref="Q287">IFERROR(_xlfn.LET(
_xlpm.CSVVal,_xlfn.XLOOKUP($A287,CSV!$A:$A,CSV!AC:AC,""),
_xlpm.MacVal,_xlfn.XLOOKUP($A287,Output_Mac!$A:$A,Output_Mac!U:U,""),
_xlpm.MyAuditVal,_xlfn.XLOOKUP($A287,My_Audit!$A:$A,My_Audit!R:R,""),
_xlfn.IFS(_xlpm.MyAuditVal&lt;&gt;"",UPPER(_xlpm.MyAuditVal),_xlpm.MacVal&lt;&gt;"",_xlpm.MacVal,_xlpm.CSVVal&lt;&gt;"",_xlpm.CSVVal
)),"")</f>
        <v/>
      </c>
      <c r="R287" s="40"/>
      <c r="S287" s="40"/>
      <c r="T287" s="40"/>
      <c r="U287" s="40"/>
      <c r="V287" s="40"/>
      <c r="W287" s="40"/>
      <c r="X287" s="41" t="str">
        <f>_xlfn.LET(
    _xlpm.MacVal, _xlfn.XLOOKUP($A287, Output_Mac!$A:$A, Output_Mac!AB:AB, ""),
    _xlpm.MyAuditVal, _xlfn.XLOOKUP($A287, My_Audit!$A:$A, My_Audit!N:N, ""),
    _xlfn.TEXTJOIN(", ", TRUE, _xlpm.MyAuditVal, _xlpm.MacVal)
)</f>
        <v/>
      </c>
    </row>
    <row r="288" spans="1:24">
      <c r="A288" s="40" t="str">
        <f>_xlfn.TEXTJOIN("",TRUE,Input!$B$2,ROW(My_Audit!A287))</f>
        <v>X287</v>
      </c>
      <c r="B288" s="40" t="str">
        <f>_xlfn.TEXTJOIN("-",TRUE,"ITD",Input!$A$2,A288)</f>
        <v>ITD-X287</v>
      </c>
      <c r="C288" s="40" t="str" cm="1">
        <f t="array" ref="C288">IFERROR(_xlfn.LET(
_xlpm.CSVVal,_xlfn.XLOOKUP($A288,CSV!$A:$A,CSV!B:B,""),
_xlpm.MacVal,_xlfn.XLOOKUP($A288,Output_Mac!$A:$A,Output_Mac!B:B,""),
_xlpm.MyAuditVal,_xlfn.XLOOKUP($A288,My_Audit!$A:$A,My_Audit!B:B,""),
_xlfn.IFS(_xlpm.MyAuditVal&lt;&gt;"",UPPER(_xlpm.MyAuditVal),_xlpm.MacVal&lt;&gt;"",_xlpm.MacVal,_xlpm.CSVVal&lt;&gt;"",_xlpm.CSVVal
)),"")</f>
        <v/>
      </c>
      <c r="D288" s="40" t="str" cm="1">
        <f t="array" ref="D288">IFERROR(_xlfn.LET(
_xlpm.CSVVal,_xlfn.XLOOKUP($A288,CSV!$A:$A,CSV!D:D,""),
_xlpm.MacVal,_xlfn.XLOOKUP($A288,Output_Mac!$A:$A,Output_Mac!C:C,""),
_xlpm.MyAuditVal,_xlfn.XLOOKUP($A288,My_Audit!$A:$A,My_Audit!C:C,""),
_xlfn.IFS(_xlpm.MyAuditVal&lt;&gt;"",_xlpm.MyAuditVal,_xlpm.MacVal&lt;&gt;"",_xlpm.MacVal,_xlpm.CSVVal&lt;&gt;"",_xlpm.CSVVal
)),"")</f>
        <v/>
      </c>
      <c r="E288" s="40">
        <f>_xlfn.XLOOKUP(A288,My_Audit!A:A,My_Audit!D:D,"")</f>
        <v>0</v>
      </c>
      <c r="F288" s="40" t="str" cm="1">
        <f t="array" ref="F288">IFERROR(_xlfn.LET(
_xlpm.CSVVal,_xlfn.XLOOKUP($A288,CSV!$A:$A,CSV!F:F,""),
_xlpm.MacVal,_xlfn.XLOOKUP($A288,Output_Mac!$A:$A,Output_Mac!E:E,""),
_xlpm.MyAuditVal,_xlfn.XLOOKUP($A288,My_Audit!$A:$A,My_Audit!E:E,""),
_xlfn.IFS(_xlpm.MyAuditVal&lt;&gt;"",_xlpm.MyAuditVal,_xlpm.MacVal&lt;&gt;"",_xlpm.MacVal,_xlpm.CSVVal&lt;&gt;"",_xlpm.CSVVal
)),"")</f>
        <v/>
      </c>
      <c r="G288" s="40" t="str" cm="1">
        <f t="array" ref="G288">IFERROR(_xlfn.LET(
_xlpm.CSVVal,_xlfn.XLOOKUP($A288,CSV!$A:$A,CSV!G:G,""),
_xlpm.MacVal,_xlfn.XLOOKUP($A288,Output_Mac!$A:$A,Output_Mac!F:F,""),
_xlpm.MyAuditVal,_xlfn.XLOOKUP($A288,My_Audit!$A:$A,My_Audit!F:F,""),
_xlfn.IFS(_xlpm.MyAuditVal&lt;&gt;"",_xlpm.MyAuditVal,_xlpm.MacVal&lt;&gt;"",_xlpm.MacVal,_xlpm.CSVVal&lt;&gt;"",PROPER(_xlpm.CSVVal)
)),"")</f>
        <v/>
      </c>
      <c r="H288" s="40" t="str" cm="1">
        <f t="array" ref="H288">IFERROR(_xlfn.LET(
_xlpm.CSVVal,_xlfn.XLOOKUP($A288,CSV!$A:$A,CSV!H:H,""),
_xlpm.MacVal,_xlfn.XLOOKUP($A288,Output_Mac!$A:$A,Output_Mac!H:H,""),
_xlpm.MyAuditVal,_xlfn.XLOOKUP($A288,My_Audit!$A:$A,My_Audit!G:G,""),
_xlfn.IFS(_xlpm.MyAuditVal&lt;&gt;"",_xlpm.MyAuditVal,_xlpm.MacVal&lt;&gt;"",_xlpm.MacVal,_xlpm.CSVVal&lt;&gt;"",_xlpm.CSVVal
)),"")</f>
        <v/>
      </c>
      <c r="I288" s="40" t="str">
        <f>_xlfn.XLOOKUP(A288,Output_Mac!A:A,Output_Mac!I:I,"")</f>
        <v/>
      </c>
      <c r="J288" s="40" t="str" cm="1">
        <f t="array" ref="J288">IFERROR(_xlfn.LET(
_xlpm.CSVVal,_xlfn.XLOOKUP($A288,CSV!$A:$A,CSV!I:I,""),
_xlpm.MacVal,_xlfn.XLOOKUP($A288,Output_Mac!$A:$A,Output_Mac!J:J,""),
_xlpm.MyAuditVal,_xlfn.XLOOKUP($A288,My_Audit!$A:$A,My_Audit!I:I,""),
_xlfn.IFS(_xlpm.MyAuditVal&lt;&gt;"",UPPER(_xlpm.MyAuditVal),_xlpm.MacVal&lt;&gt;"",_xlpm.MacVal,_xlpm.CSVVal&lt;&gt;"",_xlpm.CSVVal
)),"")</f>
        <v/>
      </c>
      <c r="K288" s="40" t="str" cm="1">
        <f t="array" ref="K288">IFERROR(_xlfn.LET(
_xlpm.CSVVal,_xlfn.XLOOKUP($A288,CSV!$A:$A,CSV!K:K,""),
_xlpm.MacVal,_xlfn.XLOOKUP($A288,Output_Mac!$A:$A,Output_Mac!K:K,""),
_xlpm.MyAuditVal,_xlfn.XLOOKUP($A288,My_Audit!$A:$A,My_Audit!J:J,""),
_xlfn.IFS(_xlpm.MyAuditVal&lt;&gt;"",UPPER(_xlpm.MyAuditVal),_xlpm.MacVal&lt;&gt;"",_xlpm.MacVal,_xlpm.CSVVal&lt;&gt;"",_xlpm.CSVVal
)),"")</f>
        <v/>
      </c>
      <c r="L288" s="40" t="str" cm="1">
        <f t="array" ref="L288">IFERROR(_xlfn.LET(
_xlpm.CSVVal,_xlfn.XLOOKUP($A288,CSV!$A:$A,CSV!P:P,""),
_xlpm.MacVal,_xlfn.XLOOKUP($A288,Output_Mac!$A:$A,Output_Mac!L:L,""),
_xlpm.MyAuditVal,_xlfn.XLOOKUP($A288,My_Audit!$A:$A,My_Audit!K:K,""),
_xlfn.IFS(_xlpm.MyAuditVal&lt;&gt;"",UPPER(_xlpm.MyAuditVal),_xlpm.MacVal&lt;&gt;"",_xlpm.MacVal,_xlpm.CSVVal&lt;&gt;"",_xlpm.CSVVal
)),"")</f>
        <v/>
      </c>
      <c r="M288" s="40" t="str" cm="1">
        <f t="array" ref="M288">IFERROR(_xlfn.LET(
_xlpm.CSVVal,_xlfn.XLOOKUP($A288,CSV!$A:$A,CSV!Q:Q,""),
_xlpm.MacVal,_xlfn.XLOOKUP($A288,Output_Mac!$A:$A,Output_Mac!M:M,""),
_xlpm.MyAuditVal,_xlfn.XLOOKUP($A288,My_Audit!$A:$A,My_Audit!L:L,""),
_xlfn.IFS(_xlpm.MyAuditVal&lt;&gt;"",UPPER(_xlpm.MyAuditVal),_xlpm.MacVal&lt;&gt;"",_xlpm.MacVal,_xlpm.CSVVal&lt;&gt;"",_xlpm.CSVVal
)),"")</f>
        <v/>
      </c>
      <c r="N288" s="40"/>
      <c r="O288" s="40" t="str">
        <f>_xlfn.LET(
    _xlpm.CSVVal, _xlfn.XLOOKUP($A288, CSV!$A:$A, CSV!AA:AA, ""),
    _xlpm.MacVal, _xlfn.XLOOKUP($A288, Output_Mac!$A:$A, Output_Mac!S:S, ""),
    _xlpm.MyAuditVal, _xlfn.XLOOKUP($A288, My_Audit!$A:$A, My_Audit!P:P, ""),
    _xlfn.TEXTJOIN(", ", TRUE, _xlpm.MyAuditVal, _xlpm.MacVal, _xlpm.CSVVal)
)</f>
        <v/>
      </c>
      <c r="P288" s="40" t="str" cm="1">
        <f t="array" ref="P288">IFERROR(_xlfn.LET(
_xlpm.CSVVal,_xlfn.XLOOKUP($A288,CSV!$A:$A,CSV!AB:AB,""),
_xlpm.MacVal,_xlfn.XLOOKUP($A288,Output_Mac!$A:$A,Output_Mac!T:T,""),
_xlpm.MyAuditVal,_xlfn.XLOOKUP($A288,My_Audit!$A:$A,My_Audit!Q:Q,""),
_xlfn.IFS(_xlpm.MyAuditVal&lt;&gt;"",UPPER(_xlpm.MyAuditVal),_xlpm.MacVal&lt;&gt;"",_xlpm.MacVal,_xlpm.CSVVal&lt;&gt;"",_xlpm.CSVVal
)),"No")</f>
        <v>No</v>
      </c>
      <c r="Q288" s="40" t="str" cm="1">
        <f t="array" ref="Q288">IFERROR(_xlfn.LET(
_xlpm.CSVVal,_xlfn.XLOOKUP($A288,CSV!$A:$A,CSV!AC:AC,""),
_xlpm.MacVal,_xlfn.XLOOKUP($A288,Output_Mac!$A:$A,Output_Mac!U:U,""),
_xlpm.MyAuditVal,_xlfn.XLOOKUP($A288,My_Audit!$A:$A,My_Audit!R:R,""),
_xlfn.IFS(_xlpm.MyAuditVal&lt;&gt;"",UPPER(_xlpm.MyAuditVal),_xlpm.MacVal&lt;&gt;"",_xlpm.MacVal,_xlpm.CSVVal&lt;&gt;"",_xlpm.CSVVal
)),"")</f>
        <v/>
      </c>
      <c r="R288" s="40"/>
      <c r="S288" s="40"/>
      <c r="T288" s="40"/>
      <c r="U288" s="40"/>
      <c r="V288" s="40"/>
      <c r="W288" s="40"/>
      <c r="X288" s="41" t="str">
        <f>_xlfn.LET(
    _xlpm.MacVal, _xlfn.XLOOKUP($A288, Output_Mac!$A:$A, Output_Mac!AB:AB, ""),
    _xlpm.MyAuditVal, _xlfn.XLOOKUP($A288, My_Audit!$A:$A, My_Audit!N:N, ""),
    _xlfn.TEXTJOIN(", ", TRUE, _xlpm.MyAuditVal, _xlpm.MacVal)
)</f>
        <v/>
      </c>
    </row>
    <row r="289" spans="1:24">
      <c r="A289" s="40" t="str">
        <f>_xlfn.TEXTJOIN("",TRUE,Input!$B$2,ROW(My_Audit!A288))</f>
        <v>X288</v>
      </c>
      <c r="B289" s="40" t="str">
        <f>_xlfn.TEXTJOIN("-",TRUE,"ITD",Input!$A$2,A289)</f>
        <v>ITD-X288</v>
      </c>
      <c r="C289" s="40" t="str" cm="1">
        <f t="array" ref="C289">IFERROR(_xlfn.LET(
_xlpm.CSVVal,_xlfn.XLOOKUP($A289,CSV!$A:$A,CSV!B:B,""),
_xlpm.MacVal,_xlfn.XLOOKUP($A289,Output_Mac!$A:$A,Output_Mac!B:B,""),
_xlpm.MyAuditVal,_xlfn.XLOOKUP($A289,My_Audit!$A:$A,My_Audit!B:B,""),
_xlfn.IFS(_xlpm.MyAuditVal&lt;&gt;"",UPPER(_xlpm.MyAuditVal),_xlpm.MacVal&lt;&gt;"",_xlpm.MacVal,_xlpm.CSVVal&lt;&gt;"",_xlpm.CSVVal
)),"")</f>
        <v/>
      </c>
      <c r="D289" s="40" t="str" cm="1">
        <f t="array" ref="D289">IFERROR(_xlfn.LET(
_xlpm.CSVVal,_xlfn.XLOOKUP($A289,CSV!$A:$A,CSV!D:D,""),
_xlpm.MacVal,_xlfn.XLOOKUP($A289,Output_Mac!$A:$A,Output_Mac!C:C,""),
_xlpm.MyAuditVal,_xlfn.XLOOKUP($A289,My_Audit!$A:$A,My_Audit!C:C,""),
_xlfn.IFS(_xlpm.MyAuditVal&lt;&gt;"",_xlpm.MyAuditVal,_xlpm.MacVal&lt;&gt;"",_xlpm.MacVal,_xlpm.CSVVal&lt;&gt;"",_xlpm.CSVVal
)),"")</f>
        <v/>
      </c>
      <c r="E289" s="40">
        <f>_xlfn.XLOOKUP(A289,My_Audit!A:A,My_Audit!D:D,"")</f>
        <v>0</v>
      </c>
      <c r="F289" s="40" t="str" cm="1">
        <f t="array" ref="F289">IFERROR(_xlfn.LET(
_xlpm.CSVVal,_xlfn.XLOOKUP($A289,CSV!$A:$A,CSV!F:F,""),
_xlpm.MacVal,_xlfn.XLOOKUP($A289,Output_Mac!$A:$A,Output_Mac!E:E,""),
_xlpm.MyAuditVal,_xlfn.XLOOKUP($A289,My_Audit!$A:$A,My_Audit!E:E,""),
_xlfn.IFS(_xlpm.MyAuditVal&lt;&gt;"",_xlpm.MyAuditVal,_xlpm.MacVal&lt;&gt;"",_xlpm.MacVal,_xlpm.CSVVal&lt;&gt;"",_xlpm.CSVVal
)),"")</f>
        <v/>
      </c>
      <c r="G289" s="40" t="str" cm="1">
        <f t="array" ref="G289">IFERROR(_xlfn.LET(
_xlpm.CSVVal,_xlfn.XLOOKUP($A289,CSV!$A:$A,CSV!G:G,""),
_xlpm.MacVal,_xlfn.XLOOKUP($A289,Output_Mac!$A:$A,Output_Mac!F:F,""),
_xlpm.MyAuditVal,_xlfn.XLOOKUP($A289,My_Audit!$A:$A,My_Audit!F:F,""),
_xlfn.IFS(_xlpm.MyAuditVal&lt;&gt;"",_xlpm.MyAuditVal,_xlpm.MacVal&lt;&gt;"",_xlpm.MacVal,_xlpm.CSVVal&lt;&gt;"",PROPER(_xlpm.CSVVal)
)),"")</f>
        <v/>
      </c>
      <c r="H289" s="40" t="str" cm="1">
        <f t="array" ref="H289">IFERROR(_xlfn.LET(
_xlpm.CSVVal,_xlfn.XLOOKUP($A289,CSV!$A:$A,CSV!H:H,""),
_xlpm.MacVal,_xlfn.XLOOKUP($A289,Output_Mac!$A:$A,Output_Mac!H:H,""),
_xlpm.MyAuditVal,_xlfn.XLOOKUP($A289,My_Audit!$A:$A,My_Audit!G:G,""),
_xlfn.IFS(_xlpm.MyAuditVal&lt;&gt;"",_xlpm.MyAuditVal,_xlpm.MacVal&lt;&gt;"",_xlpm.MacVal,_xlpm.CSVVal&lt;&gt;"",_xlpm.CSVVal
)),"")</f>
        <v/>
      </c>
      <c r="I289" s="40" t="str">
        <f>_xlfn.XLOOKUP(A289,Output_Mac!A:A,Output_Mac!I:I,"")</f>
        <v/>
      </c>
      <c r="J289" s="40" t="str" cm="1">
        <f t="array" ref="J289">IFERROR(_xlfn.LET(
_xlpm.CSVVal,_xlfn.XLOOKUP($A289,CSV!$A:$A,CSV!I:I,""),
_xlpm.MacVal,_xlfn.XLOOKUP($A289,Output_Mac!$A:$A,Output_Mac!J:J,""),
_xlpm.MyAuditVal,_xlfn.XLOOKUP($A289,My_Audit!$A:$A,My_Audit!I:I,""),
_xlfn.IFS(_xlpm.MyAuditVal&lt;&gt;"",UPPER(_xlpm.MyAuditVal),_xlpm.MacVal&lt;&gt;"",_xlpm.MacVal,_xlpm.CSVVal&lt;&gt;"",_xlpm.CSVVal
)),"")</f>
        <v/>
      </c>
      <c r="K289" s="40" t="str" cm="1">
        <f t="array" ref="K289">IFERROR(_xlfn.LET(
_xlpm.CSVVal,_xlfn.XLOOKUP($A289,CSV!$A:$A,CSV!K:K,""),
_xlpm.MacVal,_xlfn.XLOOKUP($A289,Output_Mac!$A:$A,Output_Mac!K:K,""),
_xlpm.MyAuditVal,_xlfn.XLOOKUP($A289,My_Audit!$A:$A,My_Audit!J:J,""),
_xlfn.IFS(_xlpm.MyAuditVal&lt;&gt;"",UPPER(_xlpm.MyAuditVal),_xlpm.MacVal&lt;&gt;"",_xlpm.MacVal,_xlpm.CSVVal&lt;&gt;"",_xlpm.CSVVal
)),"")</f>
        <v/>
      </c>
      <c r="L289" s="40" t="str" cm="1">
        <f t="array" ref="L289">IFERROR(_xlfn.LET(
_xlpm.CSVVal,_xlfn.XLOOKUP($A289,CSV!$A:$A,CSV!P:P,""),
_xlpm.MacVal,_xlfn.XLOOKUP($A289,Output_Mac!$A:$A,Output_Mac!L:L,""),
_xlpm.MyAuditVal,_xlfn.XLOOKUP($A289,My_Audit!$A:$A,My_Audit!K:K,""),
_xlfn.IFS(_xlpm.MyAuditVal&lt;&gt;"",UPPER(_xlpm.MyAuditVal),_xlpm.MacVal&lt;&gt;"",_xlpm.MacVal,_xlpm.CSVVal&lt;&gt;"",_xlpm.CSVVal
)),"")</f>
        <v/>
      </c>
      <c r="M289" s="40" t="str" cm="1">
        <f t="array" ref="M289">IFERROR(_xlfn.LET(
_xlpm.CSVVal,_xlfn.XLOOKUP($A289,CSV!$A:$A,CSV!Q:Q,""),
_xlpm.MacVal,_xlfn.XLOOKUP($A289,Output_Mac!$A:$A,Output_Mac!M:M,""),
_xlpm.MyAuditVal,_xlfn.XLOOKUP($A289,My_Audit!$A:$A,My_Audit!L:L,""),
_xlfn.IFS(_xlpm.MyAuditVal&lt;&gt;"",UPPER(_xlpm.MyAuditVal),_xlpm.MacVal&lt;&gt;"",_xlpm.MacVal,_xlpm.CSVVal&lt;&gt;"",_xlpm.CSVVal
)),"")</f>
        <v/>
      </c>
      <c r="N289" s="40"/>
      <c r="O289" s="40" t="str">
        <f>_xlfn.LET(
    _xlpm.CSVVal, _xlfn.XLOOKUP($A289, CSV!$A:$A, CSV!AA:AA, ""),
    _xlpm.MacVal, _xlfn.XLOOKUP($A289, Output_Mac!$A:$A, Output_Mac!S:S, ""),
    _xlpm.MyAuditVal, _xlfn.XLOOKUP($A289, My_Audit!$A:$A, My_Audit!P:P, ""),
    _xlfn.TEXTJOIN(", ", TRUE, _xlpm.MyAuditVal, _xlpm.MacVal, _xlpm.CSVVal)
)</f>
        <v/>
      </c>
      <c r="P289" s="40" t="str" cm="1">
        <f t="array" ref="P289">IFERROR(_xlfn.LET(
_xlpm.CSVVal,_xlfn.XLOOKUP($A289,CSV!$A:$A,CSV!AB:AB,""),
_xlpm.MacVal,_xlfn.XLOOKUP($A289,Output_Mac!$A:$A,Output_Mac!T:T,""),
_xlpm.MyAuditVal,_xlfn.XLOOKUP($A289,My_Audit!$A:$A,My_Audit!Q:Q,""),
_xlfn.IFS(_xlpm.MyAuditVal&lt;&gt;"",UPPER(_xlpm.MyAuditVal),_xlpm.MacVal&lt;&gt;"",_xlpm.MacVal,_xlpm.CSVVal&lt;&gt;"",_xlpm.CSVVal
)),"No")</f>
        <v>No</v>
      </c>
      <c r="Q289" s="40" t="str" cm="1">
        <f t="array" ref="Q289">IFERROR(_xlfn.LET(
_xlpm.CSVVal,_xlfn.XLOOKUP($A289,CSV!$A:$A,CSV!AC:AC,""),
_xlpm.MacVal,_xlfn.XLOOKUP($A289,Output_Mac!$A:$A,Output_Mac!U:U,""),
_xlpm.MyAuditVal,_xlfn.XLOOKUP($A289,My_Audit!$A:$A,My_Audit!R:R,""),
_xlfn.IFS(_xlpm.MyAuditVal&lt;&gt;"",UPPER(_xlpm.MyAuditVal),_xlpm.MacVal&lt;&gt;"",_xlpm.MacVal,_xlpm.CSVVal&lt;&gt;"",_xlpm.CSVVal
)),"")</f>
        <v/>
      </c>
      <c r="R289" s="40"/>
      <c r="S289" s="40"/>
      <c r="T289" s="40"/>
      <c r="U289" s="40"/>
      <c r="V289" s="40"/>
      <c r="W289" s="40"/>
      <c r="X289" s="41" t="str">
        <f>_xlfn.LET(
    _xlpm.MacVal, _xlfn.XLOOKUP($A289, Output_Mac!$A:$A, Output_Mac!AB:AB, ""),
    _xlpm.MyAuditVal, _xlfn.XLOOKUP($A289, My_Audit!$A:$A, My_Audit!N:N, ""),
    _xlfn.TEXTJOIN(", ", TRUE, _xlpm.MyAuditVal, _xlpm.MacVal)
)</f>
        <v/>
      </c>
    </row>
    <row r="290" spans="1:24">
      <c r="A290" s="40" t="str">
        <f>_xlfn.TEXTJOIN("",TRUE,Input!$B$2,ROW(My_Audit!A289))</f>
        <v>X289</v>
      </c>
      <c r="B290" s="40" t="str">
        <f>_xlfn.TEXTJOIN("-",TRUE,"ITD",Input!$A$2,A290)</f>
        <v>ITD-X289</v>
      </c>
      <c r="C290" s="40" t="str" cm="1">
        <f t="array" ref="C290">IFERROR(_xlfn.LET(
_xlpm.CSVVal,_xlfn.XLOOKUP($A290,CSV!$A:$A,CSV!B:B,""),
_xlpm.MacVal,_xlfn.XLOOKUP($A290,Output_Mac!$A:$A,Output_Mac!B:B,""),
_xlpm.MyAuditVal,_xlfn.XLOOKUP($A290,My_Audit!$A:$A,My_Audit!B:B,""),
_xlfn.IFS(_xlpm.MyAuditVal&lt;&gt;"",UPPER(_xlpm.MyAuditVal),_xlpm.MacVal&lt;&gt;"",_xlpm.MacVal,_xlpm.CSVVal&lt;&gt;"",_xlpm.CSVVal
)),"")</f>
        <v/>
      </c>
      <c r="D290" s="40" t="str" cm="1">
        <f t="array" ref="D290">IFERROR(_xlfn.LET(
_xlpm.CSVVal,_xlfn.XLOOKUP($A290,CSV!$A:$A,CSV!D:D,""),
_xlpm.MacVal,_xlfn.XLOOKUP($A290,Output_Mac!$A:$A,Output_Mac!C:C,""),
_xlpm.MyAuditVal,_xlfn.XLOOKUP($A290,My_Audit!$A:$A,My_Audit!C:C,""),
_xlfn.IFS(_xlpm.MyAuditVal&lt;&gt;"",_xlpm.MyAuditVal,_xlpm.MacVal&lt;&gt;"",_xlpm.MacVal,_xlpm.CSVVal&lt;&gt;"",_xlpm.CSVVal
)),"")</f>
        <v/>
      </c>
      <c r="E290" s="40">
        <f>_xlfn.XLOOKUP(A290,My_Audit!A:A,My_Audit!D:D,"")</f>
        <v>0</v>
      </c>
      <c r="F290" s="40" t="str" cm="1">
        <f t="array" ref="F290">IFERROR(_xlfn.LET(
_xlpm.CSVVal,_xlfn.XLOOKUP($A290,CSV!$A:$A,CSV!F:F,""),
_xlpm.MacVal,_xlfn.XLOOKUP($A290,Output_Mac!$A:$A,Output_Mac!E:E,""),
_xlpm.MyAuditVal,_xlfn.XLOOKUP($A290,My_Audit!$A:$A,My_Audit!E:E,""),
_xlfn.IFS(_xlpm.MyAuditVal&lt;&gt;"",_xlpm.MyAuditVal,_xlpm.MacVal&lt;&gt;"",_xlpm.MacVal,_xlpm.CSVVal&lt;&gt;"",_xlpm.CSVVal
)),"")</f>
        <v/>
      </c>
      <c r="G290" s="40" t="str" cm="1">
        <f t="array" ref="G290">IFERROR(_xlfn.LET(
_xlpm.CSVVal,_xlfn.XLOOKUP($A290,CSV!$A:$A,CSV!G:G,""),
_xlpm.MacVal,_xlfn.XLOOKUP($A290,Output_Mac!$A:$A,Output_Mac!F:F,""),
_xlpm.MyAuditVal,_xlfn.XLOOKUP($A290,My_Audit!$A:$A,My_Audit!F:F,""),
_xlfn.IFS(_xlpm.MyAuditVal&lt;&gt;"",_xlpm.MyAuditVal,_xlpm.MacVal&lt;&gt;"",_xlpm.MacVal,_xlpm.CSVVal&lt;&gt;"",PROPER(_xlpm.CSVVal)
)),"")</f>
        <v/>
      </c>
      <c r="H290" s="40" t="str" cm="1">
        <f t="array" ref="H290">IFERROR(_xlfn.LET(
_xlpm.CSVVal,_xlfn.XLOOKUP($A290,CSV!$A:$A,CSV!H:H,""),
_xlpm.MacVal,_xlfn.XLOOKUP($A290,Output_Mac!$A:$A,Output_Mac!H:H,""),
_xlpm.MyAuditVal,_xlfn.XLOOKUP($A290,My_Audit!$A:$A,My_Audit!G:G,""),
_xlfn.IFS(_xlpm.MyAuditVal&lt;&gt;"",_xlpm.MyAuditVal,_xlpm.MacVal&lt;&gt;"",_xlpm.MacVal,_xlpm.CSVVal&lt;&gt;"",_xlpm.CSVVal
)),"")</f>
        <v/>
      </c>
      <c r="I290" s="40" t="str">
        <f>_xlfn.XLOOKUP(A290,Output_Mac!A:A,Output_Mac!I:I,"")</f>
        <v/>
      </c>
      <c r="J290" s="40" t="str" cm="1">
        <f t="array" ref="J290">IFERROR(_xlfn.LET(
_xlpm.CSVVal,_xlfn.XLOOKUP($A290,CSV!$A:$A,CSV!I:I,""),
_xlpm.MacVal,_xlfn.XLOOKUP($A290,Output_Mac!$A:$A,Output_Mac!J:J,""),
_xlpm.MyAuditVal,_xlfn.XLOOKUP($A290,My_Audit!$A:$A,My_Audit!I:I,""),
_xlfn.IFS(_xlpm.MyAuditVal&lt;&gt;"",UPPER(_xlpm.MyAuditVal),_xlpm.MacVal&lt;&gt;"",_xlpm.MacVal,_xlpm.CSVVal&lt;&gt;"",_xlpm.CSVVal
)),"")</f>
        <v/>
      </c>
      <c r="K290" s="40" t="str" cm="1">
        <f t="array" ref="K290">IFERROR(_xlfn.LET(
_xlpm.CSVVal,_xlfn.XLOOKUP($A290,CSV!$A:$A,CSV!K:K,""),
_xlpm.MacVal,_xlfn.XLOOKUP($A290,Output_Mac!$A:$A,Output_Mac!K:K,""),
_xlpm.MyAuditVal,_xlfn.XLOOKUP($A290,My_Audit!$A:$A,My_Audit!J:J,""),
_xlfn.IFS(_xlpm.MyAuditVal&lt;&gt;"",UPPER(_xlpm.MyAuditVal),_xlpm.MacVal&lt;&gt;"",_xlpm.MacVal,_xlpm.CSVVal&lt;&gt;"",_xlpm.CSVVal
)),"")</f>
        <v/>
      </c>
      <c r="L290" s="40" t="str" cm="1">
        <f t="array" ref="L290">IFERROR(_xlfn.LET(
_xlpm.CSVVal,_xlfn.XLOOKUP($A290,CSV!$A:$A,CSV!P:P,""),
_xlpm.MacVal,_xlfn.XLOOKUP($A290,Output_Mac!$A:$A,Output_Mac!L:L,""),
_xlpm.MyAuditVal,_xlfn.XLOOKUP($A290,My_Audit!$A:$A,My_Audit!K:K,""),
_xlfn.IFS(_xlpm.MyAuditVal&lt;&gt;"",UPPER(_xlpm.MyAuditVal),_xlpm.MacVal&lt;&gt;"",_xlpm.MacVal,_xlpm.CSVVal&lt;&gt;"",_xlpm.CSVVal
)),"")</f>
        <v/>
      </c>
      <c r="M290" s="40" t="str" cm="1">
        <f t="array" ref="M290">IFERROR(_xlfn.LET(
_xlpm.CSVVal,_xlfn.XLOOKUP($A290,CSV!$A:$A,CSV!Q:Q,""),
_xlpm.MacVal,_xlfn.XLOOKUP($A290,Output_Mac!$A:$A,Output_Mac!M:M,""),
_xlpm.MyAuditVal,_xlfn.XLOOKUP($A290,My_Audit!$A:$A,My_Audit!L:L,""),
_xlfn.IFS(_xlpm.MyAuditVal&lt;&gt;"",UPPER(_xlpm.MyAuditVal),_xlpm.MacVal&lt;&gt;"",_xlpm.MacVal,_xlpm.CSVVal&lt;&gt;"",_xlpm.CSVVal
)),"")</f>
        <v/>
      </c>
      <c r="N290" s="40"/>
      <c r="O290" s="40" t="str">
        <f>_xlfn.LET(
    _xlpm.CSVVal, _xlfn.XLOOKUP($A290, CSV!$A:$A, CSV!AA:AA, ""),
    _xlpm.MacVal, _xlfn.XLOOKUP($A290, Output_Mac!$A:$A, Output_Mac!S:S, ""),
    _xlpm.MyAuditVal, _xlfn.XLOOKUP($A290, My_Audit!$A:$A, My_Audit!P:P, ""),
    _xlfn.TEXTJOIN(", ", TRUE, _xlpm.MyAuditVal, _xlpm.MacVal, _xlpm.CSVVal)
)</f>
        <v/>
      </c>
      <c r="P290" s="40" t="str" cm="1">
        <f t="array" ref="P290">IFERROR(_xlfn.LET(
_xlpm.CSVVal,_xlfn.XLOOKUP($A290,CSV!$A:$A,CSV!AB:AB,""),
_xlpm.MacVal,_xlfn.XLOOKUP($A290,Output_Mac!$A:$A,Output_Mac!T:T,""),
_xlpm.MyAuditVal,_xlfn.XLOOKUP($A290,My_Audit!$A:$A,My_Audit!Q:Q,""),
_xlfn.IFS(_xlpm.MyAuditVal&lt;&gt;"",UPPER(_xlpm.MyAuditVal),_xlpm.MacVal&lt;&gt;"",_xlpm.MacVal,_xlpm.CSVVal&lt;&gt;"",_xlpm.CSVVal
)),"No")</f>
        <v>No</v>
      </c>
      <c r="Q290" s="40" t="str" cm="1">
        <f t="array" ref="Q290">IFERROR(_xlfn.LET(
_xlpm.CSVVal,_xlfn.XLOOKUP($A290,CSV!$A:$A,CSV!AC:AC,""),
_xlpm.MacVal,_xlfn.XLOOKUP($A290,Output_Mac!$A:$A,Output_Mac!U:U,""),
_xlpm.MyAuditVal,_xlfn.XLOOKUP($A290,My_Audit!$A:$A,My_Audit!R:R,""),
_xlfn.IFS(_xlpm.MyAuditVal&lt;&gt;"",UPPER(_xlpm.MyAuditVal),_xlpm.MacVal&lt;&gt;"",_xlpm.MacVal,_xlpm.CSVVal&lt;&gt;"",_xlpm.CSVVal
)),"")</f>
        <v/>
      </c>
      <c r="R290" s="40"/>
      <c r="S290" s="40"/>
      <c r="T290" s="40"/>
      <c r="U290" s="40"/>
      <c r="V290" s="40"/>
      <c r="W290" s="40"/>
      <c r="X290" s="41" t="str">
        <f>_xlfn.LET(
    _xlpm.MacVal, _xlfn.XLOOKUP($A290, Output_Mac!$A:$A, Output_Mac!AB:AB, ""),
    _xlpm.MyAuditVal, _xlfn.XLOOKUP($A290, My_Audit!$A:$A, My_Audit!N:N, ""),
    _xlfn.TEXTJOIN(", ", TRUE, _xlpm.MyAuditVal, _xlpm.MacVal)
)</f>
        <v/>
      </c>
    </row>
    <row r="291" spans="1:24">
      <c r="A291" s="40" t="str">
        <f>_xlfn.TEXTJOIN("",TRUE,Input!$B$2,ROW(My_Audit!A290))</f>
        <v>X290</v>
      </c>
      <c r="B291" s="40" t="str">
        <f>_xlfn.TEXTJOIN("-",TRUE,"ITD",Input!$A$2,A291)</f>
        <v>ITD-X290</v>
      </c>
      <c r="C291" s="40" t="str" cm="1">
        <f t="array" ref="C291">IFERROR(_xlfn.LET(
_xlpm.CSVVal,_xlfn.XLOOKUP($A291,CSV!$A:$A,CSV!B:B,""),
_xlpm.MacVal,_xlfn.XLOOKUP($A291,Output_Mac!$A:$A,Output_Mac!B:B,""),
_xlpm.MyAuditVal,_xlfn.XLOOKUP($A291,My_Audit!$A:$A,My_Audit!B:B,""),
_xlfn.IFS(_xlpm.MyAuditVal&lt;&gt;"",UPPER(_xlpm.MyAuditVal),_xlpm.MacVal&lt;&gt;"",_xlpm.MacVal,_xlpm.CSVVal&lt;&gt;"",_xlpm.CSVVal
)),"")</f>
        <v/>
      </c>
      <c r="D291" s="40" t="str" cm="1">
        <f t="array" ref="D291">IFERROR(_xlfn.LET(
_xlpm.CSVVal,_xlfn.XLOOKUP($A291,CSV!$A:$A,CSV!D:D,""),
_xlpm.MacVal,_xlfn.XLOOKUP($A291,Output_Mac!$A:$A,Output_Mac!C:C,""),
_xlpm.MyAuditVal,_xlfn.XLOOKUP($A291,My_Audit!$A:$A,My_Audit!C:C,""),
_xlfn.IFS(_xlpm.MyAuditVal&lt;&gt;"",_xlpm.MyAuditVal,_xlpm.MacVal&lt;&gt;"",_xlpm.MacVal,_xlpm.CSVVal&lt;&gt;"",_xlpm.CSVVal
)),"")</f>
        <v/>
      </c>
      <c r="E291" s="40">
        <f>_xlfn.XLOOKUP(A291,My_Audit!A:A,My_Audit!D:D,"")</f>
        <v>0</v>
      </c>
      <c r="F291" s="40" t="str" cm="1">
        <f t="array" ref="F291">IFERROR(_xlfn.LET(
_xlpm.CSVVal,_xlfn.XLOOKUP($A291,CSV!$A:$A,CSV!F:F,""),
_xlpm.MacVal,_xlfn.XLOOKUP($A291,Output_Mac!$A:$A,Output_Mac!E:E,""),
_xlpm.MyAuditVal,_xlfn.XLOOKUP($A291,My_Audit!$A:$A,My_Audit!E:E,""),
_xlfn.IFS(_xlpm.MyAuditVal&lt;&gt;"",_xlpm.MyAuditVal,_xlpm.MacVal&lt;&gt;"",_xlpm.MacVal,_xlpm.CSVVal&lt;&gt;"",_xlpm.CSVVal
)),"")</f>
        <v/>
      </c>
      <c r="G291" s="40" t="str" cm="1">
        <f t="array" ref="G291">IFERROR(_xlfn.LET(
_xlpm.CSVVal,_xlfn.XLOOKUP($A291,CSV!$A:$A,CSV!G:G,""),
_xlpm.MacVal,_xlfn.XLOOKUP($A291,Output_Mac!$A:$A,Output_Mac!F:F,""),
_xlpm.MyAuditVal,_xlfn.XLOOKUP($A291,My_Audit!$A:$A,My_Audit!F:F,""),
_xlfn.IFS(_xlpm.MyAuditVal&lt;&gt;"",_xlpm.MyAuditVal,_xlpm.MacVal&lt;&gt;"",_xlpm.MacVal,_xlpm.CSVVal&lt;&gt;"",PROPER(_xlpm.CSVVal)
)),"")</f>
        <v/>
      </c>
      <c r="H291" s="40" t="str" cm="1">
        <f t="array" ref="H291">IFERROR(_xlfn.LET(
_xlpm.CSVVal,_xlfn.XLOOKUP($A291,CSV!$A:$A,CSV!H:H,""),
_xlpm.MacVal,_xlfn.XLOOKUP($A291,Output_Mac!$A:$A,Output_Mac!H:H,""),
_xlpm.MyAuditVal,_xlfn.XLOOKUP($A291,My_Audit!$A:$A,My_Audit!G:G,""),
_xlfn.IFS(_xlpm.MyAuditVal&lt;&gt;"",_xlpm.MyAuditVal,_xlpm.MacVal&lt;&gt;"",_xlpm.MacVal,_xlpm.CSVVal&lt;&gt;"",_xlpm.CSVVal
)),"")</f>
        <v/>
      </c>
      <c r="I291" s="40" t="str">
        <f>_xlfn.XLOOKUP(A291,Output_Mac!A:A,Output_Mac!I:I,"")</f>
        <v/>
      </c>
      <c r="J291" s="40" t="str" cm="1">
        <f t="array" ref="J291">IFERROR(_xlfn.LET(
_xlpm.CSVVal,_xlfn.XLOOKUP($A291,CSV!$A:$A,CSV!I:I,""),
_xlpm.MacVal,_xlfn.XLOOKUP($A291,Output_Mac!$A:$A,Output_Mac!J:J,""),
_xlpm.MyAuditVal,_xlfn.XLOOKUP($A291,My_Audit!$A:$A,My_Audit!I:I,""),
_xlfn.IFS(_xlpm.MyAuditVal&lt;&gt;"",UPPER(_xlpm.MyAuditVal),_xlpm.MacVal&lt;&gt;"",_xlpm.MacVal,_xlpm.CSVVal&lt;&gt;"",_xlpm.CSVVal
)),"")</f>
        <v/>
      </c>
      <c r="K291" s="40" t="str" cm="1">
        <f t="array" ref="K291">IFERROR(_xlfn.LET(
_xlpm.CSVVal,_xlfn.XLOOKUP($A291,CSV!$A:$A,CSV!K:K,""),
_xlpm.MacVal,_xlfn.XLOOKUP($A291,Output_Mac!$A:$A,Output_Mac!K:K,""),
_xlpm.MyAuditVal,_xlfn.XLOOKUP($A291,My_Audit!$A:$A,My_Audit!J:J,""),
_xlfn.IFS(_xlpm.MyAuditVal&lt;&gt;"",UPPER(_xlpm.MyAuditVal),_xlpm.MacVal&lt;&gt;"",_xlpm.MacVal,_xlpm.CSVVal&lt;&gt;"",_xlpm.CSVVal
)),"")</f>
        <v/>
      </c>
      <c r="L291" s="40" t="str" cm="1">
        <f t="array" ref="L291">IFERROR(_xlfn.LET(
_xlpm.CSVVal,_xlfn.XLOOKUP($A291,CSV!$A:$A,CSV!P:P,""),
_xlpm.MacVal,_xlfn.XLOOKUP($A291,Output_Mac!$A:$A,Output_Mac!L:L,""),
_xlpm.MyAuditVal,_xlfn.XLOOKUP($A291,My_Audit!$A:$A,My_Audit!K:K,""),
_xlfn.IFS(_xlpm.MyAuditVal&lt;&gt;"",UPPER(_xlpm.MyAuditVal),_xlpm.MacVal&lt;&gt;"",_xlpm.MacVal,_xlpm.CSVVal&lt;&gt;"",_xlpm.CSVVal
)),"")</f>
        <v/>
      </c>
      <c r="M291" s="40" t="str" cm="1">
        <f t="array" ref="M291">IFERROR(_xlfn.LET(
_xlpm.CSVVal,_xlfn.XLOOKUP($A291,CSV!$A:$A,CSV!Q:Q,""),
_xlpm.MacVal,_xlfn.XLOOKUP($A291,Output_Mac!$A:$A,Output_Mac!M:M,""),
_xlpm.MyAuditVal,_xlfn.XLOOKUP($A291,My_Audit!$A:$A,My_Audit!L:L,""),
_xlfn.IFS(_xlpm.MyAuditVal&lt;&gt;"",UPPER(_xlpm.MyAuditVal),_xlpm.MacVal&lt;&gt;"",_xlpm.MacVal,_xlpm.CSVVal&lt;&gt;"",_xlpm.CSVVal
)),"")</f>
        <v/>
      </c>
      <c r="N291" s="40"/>
      <c r="O291" s="40" t="str">
        <f>_xlfn.LET(
    _xlpm.CSVVal, _xlfn.XLOOKUP($A291, CSV!$A:$A, CSV!AA:AA, ""),
    _xlpm.MacVal, _xlfn.XLOOKUP($A291, Output_Mac!$A:$A, Output_Mac!S:S, ""),
    _xlpm.MyAuditVal, _xlfn.XLOOKUP($A291, My_Audit!$A:$A, My_Audit!P:P, ""),
    _xlfn.TEXTJOIN(", ", TRUE, _xlpm.MyAuditVal, _xlpm.MacVal, _xlpm.CSVVal)
)</f>
        <v/>
      </c>
      <c r="P291" s="40" t="str" cm="1">
        <f t="array" ref="P291">IFERROR(_xlfn.LET(
_xlpm.CSVVal,_xlfn.XLOOKUP($A291,CSV!$A:$A,CSV!AB:AB,""),
_xlpm.MacVal,_xlfn.XLOOKUP($A291,Output_Mac!$A:$A,Output_Mac!T:T,""),
_xlpm.MyAuditVal,_xlfn.XLOOKUP($A291,My_Audit!$A:$A,My_Audit!Q:Q,""),
_xlfn.IFS(_xlpm.MyAuditVal&lt;&gt;"",UPPER(_xlpm.MyAuditVal),_xlpm.MacVal&lt;&gt;"",_xlpm.MacVal,_xlpm.CSVVal&lt;&gt;"",_xlpm.CSVVal
)),"No")</f>
        <v>No</v>
      </c>
      <c r="Q291" s="40" t="str" cm="1">
        <f t="array" ref="Q291">IFERROR(_xlfn.LET(
_xlpm.CSVVal,_xlfn.XLOOKUP($A291,CSV!$A:$A,CSV!AC:AC,""),
_xlpm.MacVal,_xlfn.XLOOKUP($A291,Output_Mac!$A:$A,Output_Mac!U:U,""),
_xlpm.MyAuditVal,_xlfn.XLOOKUP($A291,My_Audit!$A:$A,My_Audit!R:R,""),
_xlfn.IFS(_xlpm.MyAuditVal&lt;&gt;"",UPPER(_xlpm.MyAuditVal),_xlpm.MacVal&lt;&gt;"",_xlpm.MacVal,_xlpm.CSVVal&lt;&gt;"",_xlpm.CSVVal
)),"")</f>
        <v/>
      </c>
      <c r="R291" s="40"/>
      <c r="S291" s="40"/>
      <c r="T291" s="40"/>
      <c r="U291" s="40"/>
      <c r="V291" s="40"/>
      <c r="W291" s="40"/>
      <c r="X291" s="41" t="str">
        <f>_xlfn.LET(
    _xlpm.MacVal, _xlfn.XLOOKUP($A291, Output_Mac!$A:$A, Output_Mac!AB:AB, ""),
    _xlpm.MyAuditVal, _xlfn.XLOOKUP($A291, My_Audit!$A:$A, My_Audit!N:N, ""),
    _xlfn.TEXTJOIN(", ", TRUE, _xlpm.MyAuditVal, _xlpm.MacVal)
)</f>
        <v/>
      </c>
    </row>
    <row r="292" spans="1:24">
      <c r="A292" s="40" t="str">
        <f>_xlfn.TEXTJOIN("",TRUE,Input!$B$2,ROW(My_Audit!A291))</f>
        <v>X291</v>
      </c>
      <c r="B292" s="40" t="str">
        <f>_xlfn.TEXTJOIN("-",TRUE,"ITD",Input!$A$2,A292)</f>
        <v>ITD-X291</v>
      </c>
      <c r="C292" s="40" t="str" cm="1">
        <f t="array" ref="C292">IFERROR(_xlfn.LET(
_xlpm.CSVVal,_xlfn.XLOOKUP($A292,CSV!$A:$A,CSV!B:B,""),
_xlpm.MacVal,_xlfn.XLOOKUP($A292,Output_Mac!$A:$A,Output_Mac!B:B,""),
_xlpm.MyAuditVal,_xlfn.XLOOKUP($A292,My_Audit!$A:$A,My_Audit!B:B,""),
_xlfn.IFS(_xlpm.MyAuditVal&lt;&gt;"",UPPER(_xlpm.MyAuditVal),_xlpm.MacVal&lt;&gt;"",_xlpm.MacVal,_xlpm.CSVVal&lt;&gt;"",_xlpm.CSVVal
)),"")</f>
        <v/>
      </c>
      <c r="D292" s="40" t="str" cm="1">
        <f t="array" ref="D292">IFERROR(_xlfn.LET(
_xlpm.CSVVal,_xlfn.XLOOKUP($A292,CSV!$A:$A,CSV!D:D,""),
_xlpm.MacVal,_xlfn.XLOOKUP($A292,Output_Mac!$A:$A,Output_Mac!C:C,""),
_xlpm.MyAuditVal,_xlfn.XLOOKUP($A292,My_Audit!$A:$A,My_Audit!C:C,""),
_xlfn.IFS(_xlpm.MyAuditVal&lt;&gt;"",_xlpm.MyAuditVal,_xlpm.MacVal&lt;&gt;"",_xlpm.MacVal,_xlpm.CSVVal&lt;&gt;"",_xlpm.CSVVal
)),"")</f>
        <v/>
      </c>
      <c r="E292" s="40">
        <f>_xlfn.XLOOKUP(A292,My_Audit!A:A,My_Audit!D:D,"")</f>
        <v>0</v>
      </c>
      <c r="F292" s="40" t="str" cm="1">
        <f t="array" ref="F292">IFERROR(_xlfn.LET(
_xlpm.CSVVal,_xlfn.XLOOKUP($A292,CSV!$A:$A,CSV!F:F,""),
_xlpm.MacVal,_xlfn.XLOOKUP($A292,Output_Mac!$A:$A,Output_Mac!E:E,""),
_xlpm.MyAuditVal,_xlfn.XLOOKUP($A292,My_Audit!$A:$A,My_Audit!E:E,""),
_xlfn.IFS(_xlpm.MyAuditVal&lt;&gt;"",_xlpm.MyAuditVal,_xlpm.MacVal&lt;&gt;"",_xlpm.MacVal,_xlpm.CSVVal&lt;&gt;"",_xlpm.CSVVal
)),"")</f>
        <v/>
      </c>
      <c r="G292" s="40" t="str" cm="1">
        <f t="array" ref="G292">IFERROR(_xlfn.LET(
_xlpm.CSVVal,_xlfn.XLOOKUP($A292,CSV!$A:$A,CSV!G:G,""),
_xlpm.MacVal,_xlfn.XLOOKUP($A292,Output_Mac!$A:$A,Output_Mac!F:F,""),
_xlpm.MyAuditVal,_xlfn.XLOOKUP($A292,My_Audit!$A:$A,My_Audit!F:F,""),
_xlfn.IFS(_xlpm.MyAuditVal&lt;&gt;"",_xlpm.MyAuditVal,_xlpm.MacVal&lt;&gt;"",_xlpm.MacVal,_xlpm.CSVVal&lt;&gt;"",PROPER(_xlpm.CSVVal)
)),"")</f>
        <v/>
      </c>
      <c r="H292" s="40" t="str" cm="1">
        <f t="array" ref="H292">IFERROR(_xlfn.LET(
_xlpm.CSVVal,_xlfn.XLOOKUP($A292,CSV!$A:$A,CSV!H:H,""),
_xlpm.MacVal,_xlfn.XLOOKUP($A292,Output_Mac!$A:$A,Output_Mac!H:H,""),
_xlpm.MyAuditVal,_xlfn.XLOOKUP($A292,My_Audit!$A:$A,My_Audit!G:G,""),
_xlfn.IFS(_xlpm.MyAuditVal&lt;&gt;"",_xlpm.MyAuditVal,_xlpm.MacVal&lt;&gt;"",_xlpm.MacVal,_xlpm.CSVVal&lt;&gt;"",_xlpm.CSVVal
)),"")</f>
        <v/>
      </c>
      <c r="I292" s="40" t="str">
        <f>_xlfn.XLOOKUP(A292,Output_Mac!A:A,Output_Mac!I:I,"")</f>
        <v/>
      </c>
      <c r="J292" s="40" t="str" cm="1">
        <f t="array" ref="J292">IFERROR(_xlfn.LET(
_xlpm.CSVVal,_xlfn.XLOOKUP($A292,CSV!$A:$A,CSV!I:I,""),
_xlpm.MacVal,_xlfn.XLOOKUP($A292,Output_Mac!$A:$A,Output_Mac!J:J,""),
_xlpm.MyAuditVal,_xlfn.XLOOKUP($A292,My_Audit!$A:$A,My_Audit!I:I,""),
_xlfn.IFS(_xlpm.MyAuditVal&lt;&gt;"",UPPER(_xlpm.MyAuditVal),_xlpm.MacVal&lt;&gt;"",_xlpm.MacVal,_xlpm.CSVVal&lt;&gt;"",_xlpm.CSVVal
)),"")</f>
        <v/>
      </c>
      <c r="K292" s="40" t="str" cm="1">
        <f t="array" ref="K292">IFERROR(_xlfn.LET(
_xlpm.CSVVal,_xlfn.XLOOKUP($A292,CSV!$A:$A,CSV!K:K,""),
_xlpm.MacVal,_xlfn.XLOOKUP($A292,Output_Mac!$A:$A,Output_Mac!K:K,""),
_xlpm.MyAuditVal,_xlfn.XLOOKUP($A292,My_Audit!$A:$A,My_Audit!J:J,""),
_xlfn.IFS(_xlpm.MyAuditVal&lt;&gt;"",UPPER(_xlpm.MyAuditVal),_xlpm.MacVal&lt;&gt;"",_xlpm.MacVal,_xlpm.CSVVal&lt;&gt;"",_xlpm.CSVVal
)),"")</f>
        <v/>
      </c>
      <c r="L292" s="40" t="str" cm="1">
        <f t="array" ref="L292">IFERROR(_xlfn.LET(
_xlpm.CSVVal,_xlfn.XLOOKUP($A292,CSV!$A:$A,CSV!P:P,""),
_xlpm.MacVal,_xlfn.XLOOKUP($A292,Output_Mac!$A:$A,Output_Mac!L:L,""),
_xlpm.MyAuditVal,_xlfn.XLOOKUP($A292,My_Audit!$A:$A,My_Audit!K:K,""),
_xlfn.IFS(_xlpm.MyAuditVal&lt;&gt;"",UPPER(_xlpm.MyAuditVal),_xlpm.MacVal&lt;&gt;"",_xlpm.MacVal,_xlpm.CSVVal&lt;&gt;"",_xlpm.CSVVal
)),"")</f>
        <v/>
      </c>
      <c r="M292" s="40" t="str" cm="1">
        <f t="array" ref="M292">IFERROR(_xlfn.LET(
_xlpm.CSVVal,_xlfn.XLOOKUP($A292,CSV!$A:$A,CSV!Q:Q,""),
_xlpm.MacVal,_xlfn.XLOOKUP($A292,Output_Mac!$A:$A,Output_Mac!M:M,""),
_xlpm.MyAuditVal,_xlfn.XLOOKUP($A292,My_Audit!$A:$A,My_Audit!L:L,""),
_xlfn.IFS(_xlpm.MyAuditVal&lt;&gt;"",UPPER(_xlpm.MyAuditVal),_xlpm.MacVal&lt;&gt;"",_xlpm.MacVal,_xlpm.CSVVal&lt;&gt;"",_xlpm.CSVVal
)),"")</f>
        <v/>
      </c>
      <c r="N292" s="40"/>
      <c r="O292" s="40" t="str">
        <f>_xlfn.LET(
    _xlpm.CSVVal, _xlfn.XLOOKUP($A292, CSV!$A:$A, CSV!AA:AA, ""),
    _xlpm.MacVal, _xlfn.XLOOKUP($A292, Output_Mac!$A:$A, Output_Mac!S:S, ""),
    _xlpm.MyAuditVal, _xlfn.XLOOKUP($A292, My_Audit!$A:$A, My_Audit!P:P, ""),
    _xlfn.TEXTJOIN(", ", TRUE, _xlpm.MyAuditVal, _xlpm.MacVal, _xlpm.CSVVal)
)</f>
        <v/>
      </c>
      <c r="P292" s="40" t="str" cm="1">
        <f t="array" ref="P292">IFERROR(_xlfn.LET(
_xlpm.CSVVal,_xlfn.XLOOKUP($A292,CSV!$A:$A,CSV!AB:AB,""),
_xlpm.MacVal,_xlfn.XLOOKUP($A292,Output_Mac!$A:$A,Output_Mac!T:T,""),
_xlpm.MyAuditVal,_xlfn.XLOOKUP($A292,My_Audit!$A:$A,My_Audit!Q:Q,""),
_xlfn.IFS(_xlpm.MyAuditVal&lt;&gt;"",UPPER(_xlpm.MyAuditVal),_xlpm.MacVal&lt;&gt;"",_xlpm.MacVal,_xlpm.CSVVal&lt;&gt;"",_xlpm.CSVVal
)),"No")</f>
        <v>No</v>
      </c>
      <c r="Q292" s="40" t="str" cm="1">
        <f t="array" ref="Q292">IFERROR(_xlfn.LET(
_xlpm.CSVVal,_xlfn.XLOOKUP($A292,CSV!$A:$A,CSV!AC:AC,""),
_xlpm.MacVal,_xlfn.XLOOKUP($A292,Output_Mac!$A:$A,Output_Mac!U:U,""),
_xlpm.MyAuditVal,_xlfn.XLOOKUP($A292,My_Audit!$A:$A,My_Audit!R:R,""),
_xlfn.IFS(_xlpm.MyAuditVal&lt;&gt;"",UPPER(_xlpm.MyAuditVal),_xlpm.MacVal&lt;&gt;"",_xlpm.MacVal,_xlpm.CSVVal&lt;&gt;"",_xlpm.CSVVal
)),"")</f>
        <v/>
      </c>
      <c r="R292" s="40"/>
      <c r="S292" s="40"/>
      <c r="T292" s="40"/>
      <c r="U292" s="40"/>
      <c r="V292" s="40"/>
      <c r="W292" s="40"/>
      <c r="X292" s="41" t="str">
        <f>_xlfn.LET(
    _xlpm.MacVal, _xlfn.XLOOKUP($A292, Output_Mac!$A:$A, Output_Mac!AB:AB, ""),
    _xlpm.MyAuditVal, _xlfn.XLOOKUP($A292, My_Audit!$A:$A, My_Audit!N:N, ""),
    _xlfn.TEXTJOIN(", ", TRUE, _xlpm.MyAuditVal, _xlpm.MacVal)
)</f>
        <v/>
      </c>
    </row>
    <row r="293" spans="1:24">
      <c r="A293" s="40" t="str">
        <f>_xlfn.TEXTJOIN("",TRUE,Input!$B$2,ROW(My_Audit!A292))</f>
        <v>X292</v>
      </c>
      <c r="B293" s="40" t="str">
        <f>_xlfn.TEXTJOIN("-",TRUE,"ITD",Input!$A$2,A293)</f>
        <v>ITD-X292</v>
      </c>
      <c r="C293" s="40" t="str" cm="1">
        <f t="array" ref="C293">IFERROR(_xlfn.LET(
_xlpm.CSVVal,_xlfn.XLOOKUP($A293,CSV!$A:$A,CSV!B:B,""),
_xlpm.MacVal,_xlfn.XLOOKUP($A293,Output_Mac!$A:$A,Output_Mac!B:B,""),
_xlpm.MyAuditVal,_xlfn.XLOOKUP($A293,My_Audit!$A:$A,My_Audit!B:B,""),
_xlfn.IFS(_xlpm.MyAuditVal&lt;&gt;"",UPPER(_xlpm.MyAuditVal),_xlpm.MacVal&lt;&gt;"",_xlpm.MacVal,_xlpm.CSVVal&lt;&gt;"",_xlpm.CSVVal
)),"")</f>
        <v/>
      </c>
      <c r="D293" s="40" t="str" cm="1">
        <f t="array" ref="D293">IFERROR(_xlfn.LET(
_xlpm.CSVVal,_xlfn.XLOOKUP($A293,CSV!$A:$A,CSV!D:D,""),
_xlpm.MacVal,_xlfn.XLOOKUP($A293,Output_Mac!$A:$A,Output_Mac!C:C,""),
_xlpm.MyAuditVal,_xlfn.XLOOKUP($A293,My_Audit!$A:$A,My_Audit!C:C,""),
_xlfn.IFS(_xlpm.MyAuditVal&lt;&gt;"",_xlpm.MyAuditVal,_xlpm.MacVal&lt;&gt;"",_xlpm.MacVal,_xlpm.CSVVal&lt;&gt;"",_xlpm.CSVVal
)),"")</f>
        <v/>
      </c>
      <c r="E293" s="40">
        <f>_xlfn.XLOOKUP(A293,My_Audit!A:A,My_Audit!D:D,"")</f>
        <v>0</v>
      </c>
      <c r="F293" s="40" t="str" cm="1">
        <f t="array" ref="F293">IFERROR(_xlfn.LET(
_xlpm.CSVVal,_xlfn.XLOOKUP($A293,CSV!$A:$A,CSV!F:F,""),
_xlpm.MacVal,_xlfn.XLOOKUP($A293,Output_Mac!$A:$A,Output_Mac!E:E,""),
_xlpm.MyAuditVal,_xlfn.XLOOKUP($A293,My_Audit!$A:$A,My_Audit!E:E,""),
_xlfn.IFS(_xlpm.MyAuditVal&lt;&gt;"",_xlpm.MyAuditVal,_xlpm.MacVal&lt;&gt;"",_xlpm.MacVal,_xlpm.CSVVal&lt;&gt;"",_xlpm.CSVVal
)),"")</f>
        <v/>
      </c>
      <c r="G293" s="40" t="str" cm="1">
        <f t="array" ref="G293">IFERROR(_xlfn.LET(
_xlpm.CSVVal,_xlfn.XLOOKUP($A293,CSV!$A:$A,CSV!G:G,""),
_xlpm.MacVal,_xlfn.XLOOKUP($A293,Output_Mac!$A:$A,Output_Mac!F:F,""),
_xlpm.MyAuditVal,_xlfn.XLOOKUP($A293,My_Audit!$A:$A,My_Audit!F:F,""),
_xlfn.IFS(_xlpm.MyAuditVal&lt;&gt;"",_xlpm.MyAuditVal,_xlpm.MacVal&lt;&gt;"",_xlpm.MacVal,_xlpm.CSVVal&lt;&gt;"",PROPER(_xlpm.CSVVal)
)),"")</f>
        <v/>
      </c>
      <c r="H293" s="40" t="str" cm="1">
        <f t="array" ref="H293">IFERROR(_xlfn.LET(
_xlpm.CSVVal,_xlfn.XLOOKUP($A293,CSV!$A:$A,CSV!H:H,""),
_xlpm.MacVal,_xlfn.XLOOKUP($A293,Output_Mac!$A:$A,Output_Mac!H:H,""),
_xlpm.MyAuditVal,_xlfn.XLOOKUP($A293,My_Audit!$A:$A,My_Audit!G:G,""),
_xlfn.IFS(_xlpm.MyAuditVal&lt;&gt;"",_xlpm.MyAuditVal,_xlpm.MacVal&lt;&gt;"",_xlpm.MacVal,_xlpm.CSVVal&lt;&gt;"",_xlpm.CSVVal
)),"")</f>
        <v/>
      </c>
      <c r="I293" s="40" t="str">
        <f>_xlfn.XLOOKUP(A293,Output_Mac!A:A,Output_Mac!I:I,"")</f>
        <v/>
      </c>
      <c r="J293" s="40" t="str" cm="1">
        <f t="array" ref="J293">IFERROR(_xlfn.LET(
_xlpm.CSVVal,_xlfn.XLOOKUP($A293,CSV!$A:$A,CSV!I:I,""),
_xlpm.MacVal,_xlfn.XLOOKUP($A293,Output_Mac!$A:$A,Output_Mac!J:J,""),
_xlpm.MyAuditVal,_xlfn.XLOOKUP($A293,My_Audit!$A:$A,My_Audit!I:I,""),
_xlfn.IFS(_xlpm.MyAuditVal&lt;&gt;"",UPPER(_xlpm.MyAuditVal),_xlpm.MacVal&lt;&gt;"",_xlpm.MacVal,_xlpm.CSVVal&lt;&gt;"",_xlpm.CSVVal
)),"")</f>
        <v/>
      </c>
      <c r="K293" s="40" t="str" cm="1">
        <f t="array" ref="K293">IFERROR(_xlfn.LET(
_xlpm.CSVVal,_xlfn.XLOOKUP($A293,CSV!$A:$A,CSV!K:K,""),
_xlpm.MacVal,_xlfn.XLOOKUP($A293,Output_Mac!$A:$A,Output_Mac!K:K,""),
_xlpm.MyAuditVal,_xlfn.XLOOKUP($A293,My_Audit!$A:$A,My_Audit!J:J,""),
_xlfn.IFS(_xlpm.MyAuditVal&lt;&gt;"",UPPER(_xlpm.MyAuditVal),_xlpm.MacVal&lt;&gt;"",_xlpm.MacVal,_xlpm.CSVVal&lt;&gt;"",_xlpm.CSVVal
)),"")</f>
        <v/>
      </c>
      <c r="L293" s="40" t="str" cm="1">
        <f t="array" ref="L293">IFERROR(_xlfn.LET(
_xlpm.CSVVal,_xlfn.XLOOKUP($A293,CSV!$A:$A,CSV!P:P,""),
_xlpm.MacVal,_xlfn.XLOOKUP($A293,Output_Mac!$A:$A,Output_Mac!L:L,""),
_xlpm.MyAuditVal,_xlfn.XLOOKUP($A293,My_Audit!$A:$A,My_Audit!K:K,""),
_xlfn.IFS(_xlpm.MyAuditVal&lt;&gt;"",UPPER(_xlpm.MyAuditVal),_xlpm.MacVal&lt;&gt;"",_xlpm.MacVal,_xlpm.CSVVal&lt;&gt;"",_xlpm.CSVVal
)),"")</f>
        <v/>
      </c>
      <c r="M293" s="40" t="str" cm="1">
        <f t="array" ref="M293">IFERROR(_xlfn.LET(
_xlpm.CSVVal,_xlfn.XLOOKUP($A293,CSV!$A:$A,CSV!Q:Q,""),
_xlpm.MacVal,_xlfn.XLOOKUP($A293,Output_Mac!$A:$A,Output_Mac!M:M,""),
_xlpm.MyAuditVal,_xlfn.XLOOKUP($A293,My_Audit!$A:$A,My_Audit!L:L,""),
_xlfn.IFS(_xlpm.MyAuditVal&lt;&gt;"",UPPER(_xlpm.MyAuditVal),_xlpm.MacVal&lt;&gt;"",_xlpm.MacVal,_xlpm.CSVVal&lt;&gt;"",_xlpm.CSVVal
)),"")</f>
        <v/>
      </c>
      <c r="N293" s="40"/>
      <c r="O293" s="40" t="str">
        <f>_xlfn.LET(
    _xlpm.CSVVal, _xlfn.XLOOKUP($A293, CSV!$A:$A, CSV!AA:AA, ""),
    _xlpm.MacVal, _xlfn.XLOOKUP($A293, Output_Mac!$A:$A, Output_Mac!S:S, ""),
    _xlpm.MyAuditVal, _xlfn.XLOOKUP($A293, My_Audit!$A:$A, My_Audit!P:P, ""),
    _xlfn.TEXTJOIN(", ", TRUE, _xlpm.MyAuditVal, _xlpm.MacVal, _xlpm.CSVVal)
)</f>
        <v/>
      </c>
      <c r="P293" s="40" t="str" cm="1">
        <f t="array" ref="P293">IFERROR(_xlfn.LET(
_xlpm.CSVVal,_xlfn.XLOOKUP($A293,CSV!$A:$A,CSV!AB:AB,""),
_xlpm.MacVal,_xlfn.XLOOKUP($A293,Output_Mac!$A:$A,Output_Mac!T:T,""),
_xlpm.MyAuditVal,_xlfn.XLOOKUP($A293,My_Audit!$A:$A,My_Audit!Q:Q,""),
_xlfn.IFS(_xlpm.MyAuditVal&lt;&gt;"",UPPER(_xlpm.MyAuditVal),_xlpm.MacVal&lt;&gt;"",_xlpm.MacVal,_xlpm.CSVVal&lt;&gt;"",_xlpm.CSVVal
)),"No")</f>
        <v>No</v>
      </c>
      <c r="Q293" s="40" t="str" cm="1">
        <f t="array" ref="Q293">IFERROR(_xlfn.LET(
_xlpm.CSVVal,_xlfn.XLOOKUP($A293,CSV!$A:$A,CSV!AC:AC,""),
_xlpm.MacVal,_xlfn.XLOOKUP($A293,Output_Mac!$A:$A,Output_Mac!U:U,""),
_xlpm.MyAuditVal,_xlfn.XLOOKUP($A293,My_Audit!$A:$A,My_Audit!R:R,""),
_xlfn.IFS(_xlpm.MyAuditVal&lt;&gt;"",UPPER(_xlpm.MyAuditVal),_xlpm.MacVal&lt;&gt;"",_xlpm.MacVal,_xlpm.CSVVal&lt;&gt;"",_xlpm.CSVVal
)),"")</f>
        <v/>
      </c>
      <c r="R293" s="40"/>
      <c r="S293" s="40"/>
      <c r="T293" s="40"/>
      <c r="U293" s="40"/>
      <c r="V293" s="40"/>
      <c r="W293" s="40"/>
      <c r="X293" s="41" t="str">
        <f>_xlfn.LET(
    _xlpm.MacVal, _xlfn.XLOOKUP($A293, Output_Mac!$A:$A, Output_Mac!AB:AB, ""),
    _xlpm.MyAuditVal, _xlfn.XLOOKUP($A293, My_Audit!$A:$A, My_Audit!N:N, ""),
    _xlfn.TEXTJOIN(", ", TRUE, _xlpm.MyAuditVal, _xlpm.MacVal)
)</f>
        <v/>
      </c>
    </row>
    <row r="294" spans="1:24">
      <c r="A294" s="40" t="str">
        <f>_xlfn.TEXTJOIN("",TRUE,Input!$B$2,ROW(My_Audit!A293))</f>
        <v>X293</v>
      </c>
      <c r="B294" s="40" t="str">
        <f>_xlfn.TEXTJOIN("-",TRUE,"ITD",Input!$A$2,A294)</f>
        <v>ITD-X293</v>
      </c>
      <c r="C294" s="40" t="str" cm="1">
        <f t="array" ref="C294">IFERROR(_xlfn.LET(
_xlpm.CSVVal,_xlfn.XLOOKUP($A294,CSV!$A:$A,CSV!B:B,""),
_xlpm.MacVal,_xlfn.XLOOKUP($A294,Output_Mac!$A:$A,Output_Mac!B:B,""),
_xlpm.MyAuditVal,_xlfn.XLOOKUP($A294,My_Audit!$A:$A,My_Audit!B:B,""),
_xlfn.IFS(_xlpm.MyAuditVal&lt;&gt;"",UPPER(_xlpm.MyAuditVal),_xlpm.MacVal&lt;&gt;"",_xlpm.MacVal,_xlpm.CSVVal&lt;&gt;"",_xlpm.CSVVal
)),"")</f>
        <v/>
      </c>
      <c r="D294" s="40" t="str" cm="1">
        <f t="array" ref="D294">IFERROR(_xlfn.LET(
_xlpm.CSVVal,_xlfn.XLOOKUP($A294,CSV!$A:$A,CSV!D:D,""),
_xlpm.MacVal,_xlfn.XLOOKUP($A294,Output_Mac!$A:$A,Output_Mac!C:C,""),
_xlpm.MyAuditVal,_xlfn.XLOOKUP($A294,My_Audit!$A:$A,My_Audit!C:C,""),
_xlfn.IFS(_xlpm.MyAuditVal&lt;&gt;"",_xlpm.MyAuditVal,_xlpm.MacVal&lt;&gt;"",_xlpm.MacVal,_xlpm.CSVVal&lt;&gt;"",_xlpm.CSVVal
)),"")</f>
        <v/>
      </c>
      <c r="E294" s="40">
        <f>_xlfn.XLOOKUP(A294,My_Audit!A:A,My_Audit!D:D,"")</f>
        <v>0</v>
      </c>
      <c r="F294" s="40" t="str" cm="1">
        <f t="array" ref="F294">IFERROR(_xlfn.LET(
_xlpm.CSVVal,_xlfn.XLOOKUP($A294,CSV!$A:$A,CSV!F:F,""),
_xlpm.MacVal,_xlfn.XLOOKUP($A294,Output_Mac!$A:$A,Output_Mac!E:E,""),
_xlpm.MyAuditVal,_xlfn.XLOOKUP($A294,My_Audit!$A:$A,My_Audit!E:E,""),
_xlfn.IFS(_xlpm.MyAuditVal&lt;&gt;"",_xlpm.MyAuditVal,_xlpm.MacVal&lt;&gt;"",_xlpm.MacVal,_xlpm.CSVVal&lt;&gt;"",_xlpm.CSVVal
)),"")</f>
        <v/>
      </c>
      <c r="G294" s="40" t="str" cm="1">
        <f t="array" ref="G294">IFERROR(_xlfn.LET(
_xlpm.CSVVal,_xlfn.XLOOKUP($A294,CSV!$A:$A,CSV!G:G,""),
_xlpm.MacVal,_xlfn.XLOOKUP($A294,Output_Mac!$A:$A,Output_Mac!F:F,""),
_xlpm.MyAuditVal,_xlfn.XLOOKUP($A294,My_Audit!$A:$A,My_Audit!F:F,""),
_xlfn.IFS(_xlpm.MyAuditVal&lt;&gt;"",_xlpm.MyAuditVal,_xlpm.MacVal&lt;&gt;"",_xlpm.MacVal,_xlpm.CSVVal&lt;&gt;"",PROPER(_xlpm.CSVVal)
)),"")</f>
        <v/>
      </c>
      <c r="H294" s="40" t="str" cm="1">
        <f t="array" ref="H294">IFERROR(_xlfn.LET(
_xlpm.CSVVal,_xlfn.XLOOKUP($A294,CSV!$A:$A,CSV!H:H,""),
_xlpm.MacVal,_xlfn.XLOOKUP($A294,Output_Mac!$A:$A,Output_Mac!H:H,""),
_xlpm.MyAuditVal,_xlfn.XLOOKUP($A294,My_Audit!$A:$A,My_Audit!G:G,""),
_xlfn.IFS(_xlpm.MyAuditVal&lt;&gt;"",_xlpm.MyAuditVal,_xlpm.MacVal&lt;&gt;"",_xlpm.MacVal,_xlpm.CSVVal&lt;&gt;"",_xlpm.CSVVal
)),"")</f>
        <v/>
      </c>
      <c r="I294" s="40" t="str">
        <f>_xlfn.XLOOKUP(A294,Output_Mac!A:A,Output_Mac!I:I,"")</f>
        <v/>
      </c>
      <c r="J294" s="40" t="str" cm="1">
        <f t="array" ref="J294">IFERROR(_xlfn.LET(
_xlpm.CSVVal,_xlfn.XLOOKUP($A294,CSV!$A:$A,CSV!I:I,""),
_xlpm.MacVal,_xlfn.XLOOKUP($A294,Output_Mac!$A:$A,Output_Mac!J:J,""),
_xlpm.MyAuditVal,_xlfn.XLOOKUP($A294,My_Audit!$A:$A,My_Audit!I:I,""),
_xlfn.IFS(_xlpm.MyAuditVal&lt;&gt;"",UPPER(_xlpm.MyAuditVal),_xlpm.MacVal&lt;&gt;"",_xlpm.MacVal,_xlpm.CSVVal&lt;&gt;"",_xlpm.CSVVal
)),"")</f>
        <v/>
      </c>
      <c r="K294" s="40" t="str" cm="1">
        <f t="array" ref="K294">IFERROR(_xlfn.LET(
_xlpm.CSVVal,_xlfn.XLOOKUP($A294,CSV!$A:$A,CSV!K:K,""),
_xlpm.MacVal,_xlfn.XLOOKUP($A294,Output_Mac!$A:$A,Output_Mac!K:K,""),
_xlpm.MyAuditVal,_xlfn.XLOOKUP($A294,My_Audit!$A:$A,My_Audit!J:J,""),
_xlfn.IFS(_xlpm.MyAuditVal&lt;&gt;"",UPPER(_xlpm.MyAuditVal),_xlpm.MacVal&lt;&gt;"",_xlpm.MacVal,_xlpm.CSVVal&lt;&gt;"",_xlpm.CSVVal
)),"")</f>
        <v/>
      </c>
      <c r="L294" s="40" t="str" cm="1">
        <f t="array" ref="L294">IFERROR(_xlfn.LET(
_xlpm.CSVVal,_xlfn.XLOOKUP($A294,CSV!$A:$A,CSV!P:P,""),
_xlpm.MacVal,_xlfn.XLOOKUP($A294,Output_Mac!$A:$A,Output_Mac!L:L,""),
_xlpm.MyAuditVal,_xlfn.XLOOKUP($A294,My_Audit!$A:$A,My_Audit!K:K,""),
_xlfn.IFS(_xlpm.MyAuditVal&lt;&gt;"",UPPER(_xlpm.MyAuditVal),_xlpm.MacVal&lt;&gt;"",_xlpm.MacVal,_xlpm.CSVVal&lt;&gt;"",_xlpm.CSVVal
)),"")</f>
        <v/>
      </c>
      <c r="M294" s="40" t="str" cm="1">
        <f t="array" ref="M294">IFERROR(_xlfn.LET(
_xlpm.CSVVal,_xlfn.XLOOKUP($A294,CSV!$A:$A,CSV!Q:Q,""),
_xlpm.MacVal,_xlfn.XLOOKUP($A294,Output_Mac!$A:$A,Output_Mac!M:M,""),
_xlpm.MyAuditVal,_xlfn.XLOOKUP($A294,My_Audit!$A:$A,My_Audit!L:L,""),
_xlfn.IFS(_xlpm.MyAuditVal&lt;&gt;"",UPPER(_xlpm.MyAuditVal),_xlpm.MacVal&lt;&gt;"",_xlpm.MacVal,_xlpm.CSVVal&lt;&gt;"",_xlpm.CSVVal
)),"")</f>
        <v/>
      </c>
      <c r="N294" s="40"/>
      <c r="O294" s="40" t="str">
        <f>_xlfn.LET(
    _xlpm.CSVVal, _xlfn.XLOOKUP($A294, CSV!$A:$A, CSV!AA:AA, ""),
    _xlpm.MacVal, _xlfn.XLOOKUP($A294, Output_Mac!$A:$A, Output_Mac!S:S, ""),
    _xlpm.MyAuditVal, _xlfn.XLOOKUP($A294, My_Audit!$A:$A, My_Audit!P:P, ""),
    _xlfn.TEXTJOIN(", ", TRUE, _xlpm.MyAuditVal, _xlpm.MacVal, _xlpm.CSVVal)
)</f>
        <v/>
      </c>
      <c r="P294" s="40" t="str" cm="1">
        <f t="array" ref="P294">IFERROR(_xlfn.LET(
_xlpm.CSVVal,_xlfn.XLOOKUP($A294,CSV!$A:$A,CSV!AB:AB,""),
_xlpm.MacVal,_xlfn.XLOOKUP($A294,Output_Mac!$A:$A,Output_Mac!T:T,""),
_xlpm.MyAuditVal,_xlfn.XLOOKUP($A294,My_Audit!$A:$A,My_Audit!Q:Q,""),
_xlfn.IFS(_xlpm.MyAuditVal&lt;&gt;"",UPPER(_xlpm.MyAuditVal),_xlpm.MacVal&lt;&gt;"",_xlpm.MacVal,_xlpm.CSVVal&lt;&gt;"",_xlpm.CSVVal
)),"No")</f>
        <v>No</v>
      </c>
      <c r="Q294" s="40" t="str" cm="1">
        <f t="array" ref="Q294">IFERROR(_xlfn.LET(
_xlpm.CSVVal,_xlfn.XLOOKUP($A294,CSV!$A:$A,CSV!AC:AC,""),
_xlpm.MacVal,_xlfn.XLOOKUP($A294,Output_Mac!$A:$A,Output_Mac!U:U,""),
_xlpm.MyAuditVal,_xlfn.XLOOKUP($A294,My_Audit!$A:$A,My_Audit!R:R,""),
_xlfn.IFS(_xlpm.MyAuditVal&lt;&gt;"",UPPER(_xlpm.MyAuditVal),_xlpm.MacVal&lt;&gt;"",_xlpm.MacVal,_xlpm.CSVVal&lt;&gt;"",_xlpm.CSVVal
)),"")</f>
        <v/>
      </c>
      <c r="R294" s="40"/>
      <c r="S294" s="40"/>
      <c r="T294" s="40"/>
      <c r="U294" s="40"/>
      <c r="V294" s="40"/>
      <c r="W294" s="40"/>
      <c r="X294" s="41" t="str">
        <f>_xlfn.LET(
    _xlpm.MacVal, _xlfn.XLOOKUP($A294, Output_Mac!$A:$A, Output_Mac!AB:AB, ""),
    _xlpm.MyAuditVal, _xlfn.XLOOKUP($A294, My_Audit!$A:$A, My_Audit!N:N, ""),
    _xlfn.TEXTJOIN(", ", TRUE, _xlpm.MyAuditVal, _xlpm.MacVal)
)</f>
        <v/>
      </c>
    </row>
    <row r="295" spans="1:24">
      <c r="A295" s="40" t="str">
        <f>_xlfn.TEXTJOIN("",TRUE,Input!$B$2,ROW(My_Audit!A294))</f>
        <v>X294</v>
      </c>
      <c r="B295" s="40" t="str">
        <f>_xlfn.TEXTJOIN("-",TRUE,"ITD",Input!$A$2,A295)</f>
        <v>ITD-X294</v>
      </c>
      <c r="C295" s="40" t="str" cm="1">
        <f t="array" ref="C295">IFERROR(_xlfn.LET(
_xlpm.CSVVal,_xlfn.XLOOKUP($A295,CSV!$A:$A,CSV!B:B,""),
_xlpm.MacVal,_xlfn.XLOOKUP($A295,Output_Mac!$A:$A,Output_Mac!B:B,""),
_xlpm.MyAuditVal,_xlfn.XLOOKUP($A295,My_Audit!$A:$A,My_Audit!B:B,""),
_xlfn.IFS(_xlpm.MyAuditVal&lt;&gt;"",UPPER(_xlpm.MyAuditVal),_xlpm.MacVal&lt;&gt;"",_xlpm.MacVal,_xlpm.CSVVal&lt;&gt;"",_xlpm.CSVVal
)),"")</f>
        <v/>
      </c>
      <c r="D295" s="40" t="str" cm="1">
        <f t="array" ref="D295">IFERROR(_xlfn.LET(
_xlpm.CSVVal,_xlfn.XLOOKUP($A295,CSV!$A:$A,CSV!D:D,""),
_xlpm.MacVal,_xlfn.XLOOKUP($A295,Output_Mac!$A:$A,Output_Mac!C:C,""),
_xlpm.MyAuditVal,_xlfn.XLOOKUP($A295,My_Audit!$A:$A,My_Audit!C:C,""),
_xlfn.IFS(_xlpm.MyAuditVal&lt;&gt;"",_xlpm.MyAuditVal,_xlpm.MacVal&lt;&gt;"",_xlpm.MacVal,_xlpm.CSVVal&lt;&gt;"",_xlpm.CSVVal
)),"")</f>
        <v/>
      </c>
      <c r="E295" s="40">
        <f>_xlfn.XLOOKUP(A295,My_Audit!A:A,My_Audit!D:D,"")</f>
        <v>0</v>
      </c>
      <c r="F295" s="40" t="str" cm="1">
        <f t="array" ref="F295">IFERROR(_xlfn.LET(
_xlpm.CSVVal,_xlfn.XLOOKUP($A295,CSV!$A:$A,CSV!F:F,""),
_xlpm.MacVal,_xlfn.XLOOKUP($A295,Output_Mac!$A:$A,Output_Mac!E:E,""),
_xlpm.MyAuditVal,_xlfn.XLOOKUP($A295,My_Audit!$A:$A,My_Audit!E:E,""),
_xlfn.IFS(_xlpm.MyAuditVal&lt;&gt;"",_xlpm.MyAuditVal,_xlpm.MacVal&lt;&gt;"",_xlpm.MacVal,_xlpm.CSVVal&lt;&gt;"",_xlpm.CSVVal
)),"")</f>
        <v/>
      </c>
      <c r="G295" s="40" t="str" cm="1">
        <f t="array" ref="G295">IFERROR(_xlfn.LET(
_xlpm.CSVVal,_xlfn.XLOOKUP($A295,CSV!$A:$A,CSV!G:G,""),
_xlpm.MacVal,_xlfn.XLOOKUP($A295,Output_Mac!$A:$A,Output_Mac!F:F,""),
_xlpm.MyAuditVal,_xlfn.XLOOKUP($A295,My_Audit!$A:$A,My_Audit!F:F,""),
_xlfn.IFS(_xlpm.MyAuditVal&lt;&gt;"",_xlpm.MyAuditVal,_xlpm.MacVal&lt;&gt;"",_xlpm.MacVal,_xlpm.CSVVal&lt;&gt;"",PROPER(_xlpm.CSVVal)
)),"")</f>
        <v/>
      </c>
      <c r="H295" s="40" t="str" cm="1">
        <f t="array" ref="H295">IFERROR(_xlfn.LET(
_xlpm.CSVVal,_xlfn.XLOOKUP($A295,CSV!$A:$A,CSV!H:H,""),
_xlpm.MacVal,_xlfn.XLOOKUP($A295,Output_Mac!$A:$A,Output_Mac!H:H,""),
_xlpm.MyAuditVal,_xlfn.XLOOKUP($A295,My_Audit!$A:$A,My_Audit!G:G,""),
_xlfn.IFS(_xlpm.MyAuditVal&lt;&gt;"",_xlpm.MyAuditVal,_xlpm.MacVal&lt;&gt;"",_xlpm.MacVal,_xlpm.CSVVal&lt;&gt;"",_xlpm.CSVVal
)),"")</f>
        <v/>
      </c>
      <c r="I295" s="40" t="str">
        <f>_xlfn.XLOOKUP(A295,Output_Mac!A:A,Output_Mac!I:I,"")</f>
        <v/>
      </c>
      <c r="J295" s="40" t="str" cm="1">
        <f t="array" ref="J295">IFERROR(_xlfn.LET(
_xlpm.CSVVal,_xlfn.XLOOKUP($A295,CSV!$A:$A,CSV!I:I,""),
_xlpm.MacVal,_xlfn.XLOOKUP($A295,Output_Mac!$A:$A,Output_Mac!J:J,""),
_xlpm.MyAuditVal,_xlfn.XLOOKUP($A295,My_Audit!$A:$A,My_Audit!I:I,""),
_xlfn.IFS(_xlpm.MyAuditVal&lt;&gt;"",UPPER(_xlpm.MyAuditVal),_xlpm.MacVal&lt;&gt;"",_xlpm.MacVal,_xlpm.CSVVal&lt;&gt;"",_xlpm.CSVVal
)),"")</f>
        <v/>
      </c>
      <c r="K295" s="40" t="str" cm="1">
        <f t="array" ref="K295">IFERROR(_xlfn.LET(
_xlpm.CSVVal,_xlfn.XLOOKUP($A295,CSV!$A:$A,CSV!K:K,""),
_xlpm.MacVal,_xlfn.XLOOKUP($A295,Output_Mac!$A:$A,Output_Mac!K:K,""),
_xlpm.MyAuditVal,_xlfn.XLOOKUP($A295,My_Audit!$A:$A,My_Audit!J:J,""),
_xlfn.IFS(_xlpm.MyAuditVal&lt;&gt;"",UPPER(_xlpm.MyAuditVal),_xlpm.MacVal&lt;&gt;"",_xlpm.MacVal,_xlpm.CSVVal&lt;&gt;"",_xlpm.CSVVal
)),"")</f>
        <v/>
      </c>
      <c r="L295" s="40" t="str" cm="1">
        <f t="array" ref="L295">IFERROR(_xlfn.LET(
_xlpm.CSVVal,_xlfn.XLOOKUP($A295,CSV!$A:$A,CSV!P:P,""),
_xlpm.MacVal,_xlfn.XLOOKUP($A295,Output_Mac!$A:$A,Output_Mac!L:L,""),
_xlpm.MyAuditVal,_xlfn.XLOOKUP($A295,My_Audit!$A:$A,My_Audit!K:K,""),
_xlfn.IFS(_xlpm.MyAuditVal&lt;&gt;"",UPPER(_xlpm.MyAuditVal),_xlpm.MacVal&lt;&gt;"",_xlpm.MacVal,_xlpm.CSVVal&lt;&gt;"",_xlpm.CSVVal
)),"")</f>
        <v/>
      </c>
      <c r="M295" s="40" t="str" cm="1">
        <f t="array" ref="M295">IFERROR(_xlfn.LET(
_xlpm.CSVVal,_xlfn.XLOOKUP($A295,CSV!$A:$A,CSV!Q:Q,""),
_xlpm.MacVal,_xlfn.XLOOKUP($A295,Output_Mac!$A:$A,Output_Mac!M:M,""),
_xlpm.MyAuditVal,_xlfn.XLOOKUP($A295,My_Audit!$A:$A,My_Audit!L:L,""),
_xlfn.IFS(_xlpm.MyAuditVal&lt;&gt;"",UPPER(_xlpm.MyAuditVal),_xlpm.MacVal&lt;&gt;"",_xlpm.MacVal,_xlpm.CSVVal&lt;&gt;"",_xlpm.CSVVal
)),"")</f>
        <v/>
      </c>
      <c r="N295" s="40"/>
      <c r="O295" s="40" t="str">
        <f>_xlfn.LET(
    _xlpm.CSVVal, _xlfn.XLOOKUP($A295, CSV!$A:$A, CSV!AA:AA, ""),
    _xlpm.MacVal, _xlfn.XLOOKUP($A295, Output_Mac!$A:$A, Output_Mac!S:S, ""),
    _xlpm.MyAuditVal, _xlfn.XLOOKUP($A295, My_Audit!$A:$A, My_Audit!P:P, ""),
    _xlfn.TEXTJOIN(", ", TRUE, _xlpm.MyAuditVal, _xlpm.MacVal, _xlpm.CSVVal)
)</f>
        <v/>
      </c>
      <c r="P295" s="40" t="str" cm="1">
        <f t="array" ref="P295">IFERROR(_xlfn.LET(
_xlpm.CSVVal,_xlfn.XLOOKUP($A295,CSV!$A:$A,CSV!AB:AB,""),
_xlpm.MacVal,_xlfn.XLOOKUP($A295,Output_Mac!$A:$A,Output_Mac!T:T,""),
_xlpm.MyAuditVal,_xlfn.XLOOKUP($A295,My_Audit!$A:$A,My_Audit!Q:Q,""),
_xlfn.IFS(_xlpm.MyAuditVal&lt;&gt;"",UPPER(_xlpm.MyAuditVal),_xlpm.MacVal&lt;&gt;"",_xlpm.MacVal,_xlpm.CSVVal&lt;&gt;"",_xlpm.CSVVal
)),"No")</f>
        <v>No</v>
      </c>
      <c r="Q295" s="40" t="str" cm="1">
        <f t="array" ref="Q295">IFERROR(_xlfn.LET(
_xlpm.CSVVal,_xlfn.XLOOKUP($A295,CSV!$A:$A,CSV!AC:AC,""),
_xlpm.MacVal,_xlfn.XLOOKUP($A295,Output_Mac!$A:$A,Output_Mac!U:U,""),
_xlpm.MyAuditVal,_xlfn.XLOOKUP($A295,My_Audit!$A:$A,My_Audit!R:R,""),
_xlfn.IFS(_xlpm.MyAuditVal&lt;&gt;"",UPPER(_xlpm.MyAuditVal),_xlpm.MacVal&lt;&gt;"",_xlpm.MacVal,_xlpm.CSVVal&lt;&gt;"",_xlpm.CSVVal
)),"")</f>
        <v/>
      </c>
      <c r="R295" s="40"/>
      <c r="S295" s="40"/>
      <c r="T295" s="40"/>
      <c r="U295" s="40"/>
      <c r="V295" s="40"/>
      <c r="W295" s="40"/>
      <c r="X295" s="41" t="str">
        <f>_xlfn.LET(
    _xlpm.MacVal, _xlfn.XLOOKUP($A295, Output_Mac!$A:$A, Output_Mac!AB:AB, ""),
    _xlpm.MyAuditVal, _xlfn.XLOOKUP($A295, My_Audit!$A:$A, My_Audit!N:N, ""),
    _xlfn.TEXTJOIN(", ", TRUE, _xlpm.MyAuditVal, _xlpm.MacVal)
)</f>
        <v/>
      </c>
    </row>
    <row r="296" spans="1:24">
      <c r="A296" s="40" t="str">
        <f>_xlfn.TEXTJOIN("",TRUE,Input!$B$2,ROW(My_Audit!A295))</f>
        <v>X295</v>
      </c>
      <c r="B296" s="40" t="str">
        <f>_xlfn.TEXTJOIN("-",TRUE,"ITD",Input!$A$2,A296)</f>
        <v>ITD-X295</v>
      </c>
      <c r="C296" s="40" t="str" cm="1">
        <f t="array" ref="C296">IFERROR(_xlfn.LET(
_xlpm.CSVVal,_xlfn.XLOOKUP($A296,CSV!$A:$A,CSV!B:B,""),
_xlpm.MacVal,_xlfn.XLOOKUP($A296,Output_Mac!$A:$A,Output_Mac!B:B,""),
_xlpm.MyAuditVal,_xlfn.XLOOKUP($A296,My_Audit!$A:$A,My_Audit!B:B,""),
_xlfn.IFS(_xlpm.MyAuditVal&lt;&gt;"",UPPER(_xlpm.MyAuditVal),_xlpm.MacVal&lt;&gt;"",_xlpm.MacVal,_xlpm.CSVVal&lt;&gt;"",_xlpm.CSVVal
)),"")</f>
        <v/>
      </c>
      <c r="D296" s="40" t="str" cm="1">
        <f t="array" ref="D296">IFERROR(_xlfn.LET(
_xlpm.CSVVal,_xlfn.XLOOKUP($A296,CSV!$A:$A,CSV!D:D,""),
_xlpm.MacVal,_xlfn.XLOOKUP($A296,Output_Mac!$A:$A,Output_Mac!C:C,""),
_xlpm.MyAuditVal,_xlfn.XLOOKUP($A296,My_Audit!$A:$A,My_Audit!C:C,""),
_xlfn.IFS(_xlpm.MyAuditVal&lt;&gt;"",_xlpm.MyAuditVal,_xlpm.MacVal&lt;&gt;"",_xlpm.MacVal,_xlpm.CSVVal&lt;&gt;"",_xlpm.CSVVal
)),"")</f>
        <v/>
      </c>
      <c r="E296" s="40">
        <f>_xlfn.XLOOKUP(A296,My_Audit!A:A,My_Audit!D:D,"")</f>
        <v>0</v>
      </c>
      <c r="F296" s="40" t="str" cm="1">
        <f t="array" ref="F296">IFERROR(_xlfn.LET(
_xlpm.CSVVal,_xlfn.XLOOKUP($A296,CSV!$A:$A,CSV!F:F,""),
_xlpm.MacVal,_xlfn.XLOOKUP($A296,Output_Mac!$A:$A,Output_Mac!E:E,""),
_xlpm.MyAuditVal,_xlfn.XLOOKUP($A296,My_Audit!$A:$A,My_Audit!E:E,""),
_xlfn.IFS(_xlpm.MyAuditVal&lt;&gt;"",_xlpm.MyAuditVal,_xlpm.MacVal&lt;&gt;"",_xlpm.MacVal,_xlpm.CSVVal&lt;&gt;"",_xlpm.CSVVal
)),"")</f>
        <v/>
      </c>
      <c r="G296" s="40" t="str" cm="1">
        <f t="array" ref="G296">IFERROR(_xlfn.LET(
_xlpm.CSVVal,_xlfn.XLOOKUP($A296,CSV!$A:$A,CSV!G:G,""),
_xlpm.MacVal,_xlfn.XLOOKUP($A296,Output_Mac!$A:$A,Output_Mac!F:F,""),
_xlpm.MyAuditVal,_xlfn.XLOOKUP($A296,My_Audit!$A:$A,My_Audit!F:F,""),
_xlfn.IFS(_xlpm.MyAuditVal&lt;&gt;"",_xlpm.MyAuditVal,_xlpm.MacVal&lt;&gt;"",_xlpm.MacVal,_xlpm.CSVVal&lt;&gt;"",PROPER(_xlpm.CSVVal)
)),"")</f>
        <v/>
      </c>
      <c r="H296" s="40" t="str" cm="1">
        <f t="array" ref="H296">IFERROR(_xlfn.LET(
_xlpm.CSVVal,_xlfn.XLOOKUP($A296,CSV!$A:$A,CSV!H:H,""),
_xlpm.MacVal,_xlfn.XLOOKUP($A296,Output_Mac!$A:$A,Output_Mac!H:H,""),
_xlpm.MyAuditVal,_xlfn.XLOOKUP($A296,My_Audit!$A:$A,My_Audit!G:G,""),
_xlfn.IFS(_xlpm.MyAuditVal&lt;&gt;"",_xlpm.MyAuditVal,_xlpm.MacVal&lt;&gt;"",_xlpm.MacVal,_xlpm.CSVVal&lt;&gt;"",_xlpm.CSVVal
)),"")</f>
        <v/>
      </c>
      <c r="I296" s="40" t="str">
        <f>_xlfn.XLOOKUP(A296,Output_Mac!A:A,Output_Mac!I:I,"")</f>
        <v/>
      </c>
      <c r="J296" s="40" t="str" cm="1">
        <f t="array" ref="J296">IFERROR(_xlfn.LET(
_xlpm.CSVVal,_xlfn.XLOOKUP($A296,CSV!$A:$A,CSV!I:I,""),
_xlpm.MacVal,_xlfn.XLOOKUP($A296,Output_Mac!$A:$A,Output_Mac!J:J,""),
_xlpm.MyAuditVal,_xlfn.XLOOKUP($A296,My_Audit!$A:$A,My_Audit!I:I,""),
_xlfn.IFS(_xlpm.MyAuditVal&lt;&gt;"",UPPER(_xlpm.MyAuditVal),_xlpm.MacVal&lt;&gt;"",_xlpm.MacVal,_xlpm.CSVVal&lt;&gt;"",_xlpm.CSVVal
)),"")</f>
        <v/>
      </c>
      <c r="K296" s="40" t="str" cm="1">
        <f t="array" ref="K296">IFERROR(_xlfn.LET(
_xlpm.CSVVal,_xlfn.XLOOKUP($A296,CSV!$A:$A,CSV!K:K,""),
_xlpm.MacVal,_xlfn.XLOOKUP($A296,Output_Mac!$A:$A,Output_Mac!K:K,""),
_xlpm.MyAuditVal,_xlfn.XLOOKUP($A296,My_Audit!$A:$A,My_Audit!J:J,""),
_xlfn.IFS(_xlpm.MyAuditVal&lt;&gt;"",UPPER(_xlpm.MyAuditVal),_xlpm.MacVal&lt;&gt;"",_xlpm.MacVal,_xlpm.CSVVal&lt;&gt;"",_xlpm.CSVVal
)),"")</f>
        <v/>
      </c>
      <c r="L296" s="40" t="str" cm="1">
        <f t="array" ref="L296">IFERROR(_xlfn.LET(
_xlpm.CSVVal,_xlfn.XLOOKUP($A296,CSV!$A:$A,CSV!P:P,""),
_xlpm.MacVal,_xlfn.XLOOKUP($A296,Output_Mac!$A:$A,Output_Mac!L:L,""),
_xlpm.MyAuditVal,_xlfn.XLOOKUP($A296,My_Audit!$A:$A,My_Audit!K:K,""),
_xlfn.IFS(_xlpm.MyAuditVal&lt;&gt;"",UPPER(_xlpm.MyAuditVal),_xlpm.MacVal&lt;&gt;"",_xlpm.MacVal,_xlpm.CSVVal&lt;&gt;"",_xlpm.CSVVal
)),"")</f>
        <v/>
      </c>
      <c r="M296" s="40" t="str" cm="1">
        <f t="array" ref="M296">IFERROR(_xlfn.LET(
_xlpm.CSVVal,_xlfn.XLOOKUP($A296,CSV!$A:$A,CSV!Q:Q,""),
_xlpm.MacVal,_xlfn.XLOOKUP($A296,Output_Mac!$A:$A,Output_Mac!M:M,""),
_xlpm.MyAuditVal,_xlfn.XLOOKUP($A296,My_Audit!$A:$A,My_Audit!L:L,""),
_xlfn.IFS(_xlpm.MyAuditVal&lt;&gt;"",UPPER(_xlpm.MyAuditVal),_xlpm.MacVal&lt;&gt;"",_xlpm.MacVal,_xlpm.CSVVal&lt;&gt;"",_xlpm.CSVVal
)),"")</f>
        <v/>
      </c>
      <c r="N296" s="40"/>
      <c r="O296" s="40" t="str">
        <f>_xlfn.LET(
    _xlpm.CSVVal, _xlfn.XLOOKUP($A296, CSV!$A:$A, CSV!AA:AA, ""),
    _xlpm.MacVal, _xlfn.XLOOKUP($A296, Output_Mac!$A:$A, Output_Mac!S:S, ""),
    _xlpm.MyAuditVal, _xlfn.XLOOKUP($A296, My_Audit!$A:$A, My_Audit!P:P, ""),
    _xlfn.TEXTJOIN(", ", TRUE, _xlpm.MyAuditVal, _xlpm.MacVal, _xlpm.CSVVal)
)</f>
        <v/>
      </c>
      <c r="P296" s="40" t="str" cm="1">
        <f t="array" ref="P296">IFERROR(_xlfn.LET(
_xlpm.CSVVal,_xlfn.XLOOKUP($A296,CSV!$A:$A,CSV!AB:AB,""),
_xlpm.MacVal,_xlfn.XLOOKUP($A296,Output_Mac!$A:$A,Output_Mac!T:T,""),
_xlpm.MyAuditVal,_xlfn.XLOOKUP($A296,My_Audit!$A:$A,My_Audit!Q:Q,""),
_xlfn.IFS(_xlpm.MyAuditVal&lt;&gt;"",UPPER(_xlpm.MyAuditVal),_xlpm.MacVal&lt;&gt;"",_xlpm.MacVal,_xlpm.CSVVal&lt;&gt;"",_xlpm.CSVVal
)),"No")</f>
        <v>No</v>
      </c>
      <c r="Q296" s="40" t="str" cm="1">
        <f t="array" ref="Q296">IFERROR(_xlfn.LET(
_xlpm.CSVVal,_xlfn.XLOOKUP($A296,CSV!$A:$A,CSV!AC:AC,""),
_xlpm.MacVal,_xlfn.XLOOKUP($A296,Output_Mac!$A:$A,Output_Mac!U:U,""),
_xlpm.MyAuditVal,_xlfn.XLOOKUP($A296,My_Audit!$A:$A,My_Audit!R:R,""),
_xlfn.IFS(_xlpm.MyAuditVal&lt;&gt;"",UPPER(_xlpm.MyAuditVal),_xlpm.MacVal&lt;&gt;"",_xlpm.MacVal,_xlpm.CSVVal&lt;&gt;"",_xlpm.CSVVal
)),"")</f>
        <v/>
      </c>
      <c r="R296" s="40"/>
      <c r="S296" s="40"/>
      <c r="T296" s="40"/>
      <c r="U296" s="40"/>
      <c r="V296" s="40"/>
      <c r="W296" s="40"/>
      <c r="X296" s="41" t="str">
        <f>_xlfn.LET(
    _xlpm.MacVal, _xlfn.XLOOKUP($A296, Output_Mac!$A:$A, Output_Mac!AB:AB, ""),
    _xlpm.MyAuditVal, _xlfn.XLOOKUP($A296, My_Audit!$A:$A, My_Audit!N:N, ""),
    _xlfn.TEXTJOIN(", ", TRUE, _xlpm.MyAuditVal, _xlpm.MacVal)
)</f>
        <v/>
      </c>
    </row>
    <row r="297" spans="1:24">
      <c r="A297" s="40" t="str">
        <f>_xlfn.TEXTJOIN("",TRUE,Input!$B$2,ROW(My_Audit!A296))</f>
        <v>X296</v>
      </c>
      <c r="B297" s="40" t="str">
        <f>_xlfn.TEXTJOIN("-",TRUE,"ITD",Input!$A$2,A297)</f>
        <v>ITD-X296</v>
      </c>
      <c r="C297" s="40" t="str" cm="1">
        <f t="array" ref="C297">IFERROR(_xlfn.LET(
_xlpm.CSVVal,_xlfn.XLOOKUP($A297,CSV!$A:$A,CSV!B:B,""),
_xlpm.MacVal,_xlfn.XLOOKUP($A297,Output_Mac!$A:$A,Output_Mac!B:B,""),
_xlpm.MyAuditVal,_xlfn.XLOOKUP($A297,My_Audit!$A:$A,My_Audit!B:B,""),
_xlfn.IFS(_xlpm.MyAuditVal&lt;&gt;"",UPPER(_xlpm.MyAuditVal),_xlpm.MacVal&lt;&gt;"",_xlpm.MacVal,_xlpm.CSVVal&lt;&gt;"",_xlpm.CSVVal
)),"")</f>
        <v/>
      </c>
      <c r="D297" s="40" t="str" cm="1">
        <f t="array" ref="D297">IFERROR(_xlfn.LET(
_xlpm.CSVVal,_xlfn.XLOOKUP($A297,CSV!$A:$A,CSV!D:D,""),
_xlpm.MacVal,_xlfn.XLOOKUP($A297,Output_Mac!$A:$A,Output_Mac!C:C,""),
_xlpm.MyAuditVal,_xlfn.XLOOKUP($A297,My_Audit!$A:$A,My_Audit!C:C,""),
_xlfn.IFS(_xlpm.MyAuditVal&lt;&gt;"",_xlpm.MyAuditVal,_xlpm.MacVal&lt;&gt;"",_xlpm.MacVal,_xlpm.CSVVal&lt;&gt;"",_xlpm.CSVVal
)),"")</f>
        <v/>
      </c>
      <c r="E297" s="40">
        <f>_xlfn.XLOOKUP(A297,My_Audit!A:A,My_Audit!D:D,"")</f>
        <v>0</v>
      </c>
      <c r="F297" s="40" t="str" cm="1">
        <f t="array" ref="F297">IFERROR(_xlfn.LET(
_xlpm.CSVVal,_xlfn.XLOOKUP($A297,CSV!$A:$A,CSV!F:F,""),
_xlpm.MacVal,_xlfn.XLOOKUP($A297,Output_Mac!$A:$A,Output_Mac!E:E,""),
_xlpm.MyAuditVal,_xlfn.XLOOKUP($A297,My_Audit!$A:$A,My_Audit!E:E,""),
_xlfn.IFS(_xlpm.MyAuditVal&lt;&gt;"",_xlpm.MyAuditVal,_xlpm.MacVal&lt;&gt;"",_xlpm.MacVal,_xlpm.CSVVal&lt;&gt;"",_xlpm.CSVVal
)),"")</f>
        <v/>
      </c>
      <c r="G297" s="40" t="str" cm="1">
        <f t="array" ref="G297">IFERROR(_xlfn.LET(
_xlpm.CSVVal,_xlfn.XLOOKUP($A297,CSV!$A:$A,CSV!G:G,""),
_xlpm.MacVal,_xlfn.XLOOKUP($A297,Output_Mac!$A:$A,Output_Mac!F:F,""),
_xlpm.MyAuditVal,_xlfn.XLOOKUP($A297,My_Audit!$A:$A,My_Audit!F:F,""),
_xlfn.IFS(_xlpm.MyAuditVal&lt;&gt;"",_xlpm.MyAuditVal,_xlpm.MacVal&lt;&gt;"",_xlpm.MacVal,_xlpm.CSVVal&lt;&gt;"",PROPER(_xlpm.CSVVal)
)),"")</f>
        <v/>
      </c>
      <c r="H297" s="40" t="str" cm="1">
        <f t="array" ref="H297">IFERROR(_xlfn.LET(
_xlpm.CSVVal,_xlfn.XLOOKUP($A297,CSV!$A:$A,CSV!H:H,""),
_xlpm.MacVal,_xlfn.XLOOKUP($A297,Output_Mac!$A:$A,Output_Mac!H:H,""),
_xlpm.MyAuditVal,_xlfn.XLOOKUP($A297,My_Audit!$A:$A,My_Audit!G:G,""),
_xlfn.IFS(_xlpm.MyAuditVal&lt;&gt;"",_xlpm.MyAuditVal,_xlpm.MacVal&lt;&gt;"",_xlpm.MacVal,_xlpm.CSVVal&lt;&gt;"",_xlpm.CSVVal
)),"")</f>
        <v/>
      </c>
      <c r="I297" s="40" t="str">
        <f>_xlfn.XLOOKUP(A297,Output_Mac!A:A,Output_Mac!I:I,"")</f>
        <v/>
      </c>
      <c r="J297" s="40" t="str" cm="1">
        <f t="array" ref="J297">IFERROR(_xlfn.LET(
_xlpm.CSVVal,_xlfn.XLOOKUP($A297,CSV!$A:$A,CSV!I:I,""),
_xlpm.MacVal,_xlfn.XLOOKUP($A297,Output_Mac!$A:$A,Output_Mac!J:J,""),
_xlpm.MyAuditVal,_xlfn.XLOOKUP($A297,My_Audit!$A:$A,My_Audit!I:I,""),
_xlfn.IFS(_xlpm.MyAuditVal&lt;&gt;"",UPPER(_xlpm.MyAuditVal),_xlpm.MacVal&lt;&gt;"",_xlpm.MacVal,_xlpm.CSVVal&lt;&gt;"",_xlpm.CSVVal
)),"")</f>
        <v/>
      </c>
      <c r="K297" s="40" t="str" cm="1">
        <f t="array" ref="K297">IFERROR(_xlfn.LET(
_xlpm.CSVVal,_xlfn.XLOOKUP($A297,CSV!$A:$A,CSV!K:K,""),
_xlpm.MacVal,_xlfn.XLOOKUP($A297,Output_Mac!$A:$A,Output_Mac!K:K,""),
_xlpm.MyAuditVal,_xlfn.XLOOKUP($A297,My_Audit!$A:$A,My_Audit!J:J,""),
_xlfn.IFS(_xlpm.MyAuditVal&lt;&gt;"",UPPER(_xlpm.MyAuditVal),_xlpm.MacVal&lt;&gt;"",_xlpm.MacVal,_xlpm.CSVVal&lt;&gt;"",_xlpm.CSVVal
)),"")</f>
        <v/>
      </c>
      <c r="L297" s="40" t="str" cm="1">
        <f t="array" ref="L297">IFERROR(_xlfn.LET(
_xlpm.CSVVal,_xlfn.XLOOKUP($A297,CSV!$A:$A,CSV!P:P,""),
_xlpm.MacVal,_xlfn.XLOOKUP($A297,Output_Mac!$A:$A,Output_Mac!L:L,""),
_xlpm.MyAuditVal,_xlfn.XLOOKUP($A297,My_Audit!$A:$A,My_Audit!K:K,""),
_xlfn.IFS(_xlpm.MyAuditVal&lt;&gt;"",UPPER(_xlpm.MyAuditVal),_xlpm.MacVal&lt;&gt;"",_xlpm.MacVal,_xlpm.CSVVal&lt;&gt;"",_xlpm.CSVVal
)),"")</f>
        <v/>
      </c>
      <c r="M297" s="40" t="str" cm="1">
        <f t="array" ref="M297">IFERROR(_xlfn.LET(
_xlpm.CSVVal,_xlfn.XLOOKUP($A297,CSV!$A:$A,CSV!Q:Q,""),
_xlpm.MacVal,_xlfn.XLOOKUP($A297,Output_Mac!$A:$A,Output_Mac!M:M,""),
_xlpm.MyAuditVal,_xlfn.XLOOKUP($A297,My_Audit!$A:$A,My_Audit!L:L,""),
_xlfn.IFS(_xlpm.MyAuditVal&lt;&gt;"",UPPER(_xlpm.MyAuditVal),_xlpm.MacVal&lt;&gt;"",_xlpm.MacVal,_xlpm.CSVVal&lt;&gt;"",_xlpm.CSVVal
)),"")</f>
        <v/>
      </c>
      <c r="N297" s="40"/>
      <c r="O297" s="40" t="str">
        <f>_xlfn.LET(
    _xlpm.CSVVal, _xlfn.XLOOKUP($A297, CSV!$A:$A, CSV!AA:AA, ""),
    _xlpm.MacVal, _xlfn.XLOOKUP($A297, Output_Mac!$A:$A, Output_Mac!S:S, ""),
    _xlpm.MyAuditVal, _xlfn.XLOOKUP($A297, My_Audit!$A:$A, My_Audit!P:P, ""),
    _xlfn.TEXTJOIN(", ", TRUE, _xlpm.MyAuditVal, _xlpm.MacVal, _xlpm.CSVVal)
)</f>
        <v/>
      </c>
      <c r="P297" s="40" t="str" cm="1">
        <f t="array" ref="P297">IFERROR(_xlfn.LET(
_xlpm.CSVVal,_xlfn.XLOOKUP($A297,CSV!$A:$A,CSV!AB:AB,""),
_xlpm.MacVal,_xlfn.XLOOKUP($A297,Output_Mac!$A:$A,Output_Mac!T:T,""),
_xlpm.MyAuditVal,_xlfn.XLOOKUP($A297,My_Audit!$A:$A,My_Audit!Q:Q,""),
_xlfn.IFS(_xlpm.MyAuditVal&lt;&gt;"",UPPER(_xlpm.MyAuditVal),_xlpm.MacVal&lt;&gt;"",_xlpm.MacVal,_xlpm.CSVVal&lt;&gt;"",_xlpm.CSVVal
)),"No")</f>
        <v>No</v>
      </c>
      <c r="Q297" s="40" t="str" cm="1">
        <f t="array" ref="Q297">IFERROR(_xlfn.LET(
_xlpm.CSVVal,_xlfn.XLOOKUP($A297,CSV!$A:$A,CSV!AC:AC,""),
_xlpm.MacVal,_xlfn.XLOOKUP($A297,Output_Mac!$A:$A,Output_Mac!U:U,""),
_xlpm.MyAuditVal,_xlfn.XLOOKUP($A297,My_Audit!$A:$A,My_Audit!R:R,""),
_xlfn.IFS(_xlpm.MyAuditVal&lt;&gt;"",UPPER(_xlpm.MyAuditVal),_xlpm.MacVal&lt;&gt;"",_xlpm.MacVal,_xlpm.CSVVal&lt;&gt;"",_xlpm.CSVVal
)),"")</f>
        <v/>
      </c>
      <c r="R297" s="40"/>
      <c r="S297" s="40"/>
      <c r="T297" s="40"/>
      <c r="U297" s="40"/>
      <c r="V297" s="40"/>
      <c r="W297" s="40"/>
      <c r="X297" s="41" t="str">
        <f>_xlfn.LET(
    _xlpm.MacVal, _xlfn.XLOOKUP($A297, Output_Mac!$A:$A, Output_Mac!AB:AB, ""),
    _xlpm.MyAuditVal, _xlfn.XLOOKUP($A297, My_Audit!$A:$A, My_Audit!N:N, ""),
    _xlfn.TEXTJOIN(", ", TRUE, _xlpm.MyAuditVal, _xlpm.MacVal)
)</f>
        <v/>
      </c>
    </row>
    <row r="298" spans="1:24">
      <c r="A298" s="40" t="str">
        <f>_xlfn.TEXTJOIN("",TRUE,Input!$B$2,ROW(My_Audit!A297))</f>
        <v>X297</v>
      </c>
      <c r="B298" s="40" t="str">
        <f>_xlfn.TEXTJOIN("-",TRUE,"ITD",Input!$A$2,A298)</f>
        <v>ITD-X297</v>
      </c>
      <c r="C298" s="40" t="str" cm="1">
        <f t="array" ref="C298">IFERROR(_xlfn.LET(
_xlpm.CSVVal,_xlfn.XLOOKUP($A298,CSV!$A:$A,CSV!B:B,""),
_xlpm.MacVal,_xlfn.XLOOKUP($A298,Output_Mac!$A:$A,Output_Mac!B:B,""),
_xlpm.MyAuditVal,_xlfn.XLOOKUP($A298,My_Audit!$A:$A,My_Audit!B:B,""),
_xlfn.IFS(_xlpm.MyAuditVal&lt;&gt;"",UPPER(_xlpm.MyAuditVal),_xlpm.MacVal&lt;&gt;"",_xlpm.MacVal,_xlpm.CSVVal&lt;&gt;"",_xlpm.CSVVal
)),"")</f>
        <v/>
      </c>
      <c r="D298" s="40" t="str" cm="1">
        <f t="array" ref="D298">IFERROR(_xlfn.LET(
_xlpm.CSVVal,_xlfn.XLOOKUP($A298,CSV!$A:$A,CSV!D:D,""),
_xlpm.MacVal,_xlfn.XLOOKUP($A298,Output_Mac!$A:$A,Output_Mac!C:C,""),
_xlpm.MyAuditVal,_xlfn.XLOOKUP($A298,My_Audit!$A:$A,My_Audit!C:C,""),
_xlfn.IFS(_xlpm.MyAuditVal&lt;&gt;"",_xlpm.MyAuditVal,_xlpm.MacVal&lt;&gt;"",_xlpm.MacVal,_xlpm.CSVVal&lt;&gt;"",_xlpm.CSVVal
)),"")</f>
        <v/>
      </c>
      <c r="E298" s="40">
        <f>_xlfn.XLOOKUP(A298,My_Audit!A:A,My_Audit!D:D,"")</f>
        <v>0</v>
      </c>
      <c r="F298" s="40" t="str" cm="1">
        <f t="array" ref="F298">IFERROR(_xlfn.LET(
_xlpm.CSVVal,_xlfn.XLOOKUP($A298,CSV!$A:$A,CSV!F:F,""),
_xlpm.MacVal,_xlfn.XLOOKUP($A298,Output_Mac!$A:$A,Output_Mac!E:E,""),
_xlpm.MyAuditVal,_xlfn.XLOOKUP($A298,My_Audit!$A:$A,My_Audit!E:E,""),
_xlfn.IFS(_xlpm.MyAuditVal&lt;&gt;"",_xlpm.MyAuditVal,_xlpm.MacVal&lt;&gt;"",_xlpm.MacVal,_xlpm.CSVVal&lt;&gt;"",_xlpm.CSVVal
)),"")</f>
        <v/>
      </c>
      <c r="G298" s="40" t="str" cm="1">
        <f t="array" ref="G298">IFERROR(_xlfn.LET(
_xlpm.CSVVal,_xlfn.XLOOKUP($A298,CSV!$A:$A,CSV!G:G,""),
_xlpm.MacVal,_xlfn.XLOOKUP($A298,Output_Mac!$A:$A,Output_Mac!F:F,""),
_xlpm.MyAuditVal,_xlfn.XLOOKUP($A298,My_Audit!$A:$A,My_Audit!F:F,""),
_xlfn.IFS(_xlpm.MyAuditVal&lt;&gt;"",_xlpm.MyAuditVal,_xlpm.MacVal&lt;&gt;"",_xlpm.MacVal,_xlpm.CSVVal&lt;&gt;"",PROPER(_xlpm.CSVVal)
)),"")</f>
        <v/>
      </c>
      <c r="H298" s="40" t="str" cm="1">
        <f t="array" ref="H298">IFERROR(_xlfn.LET(
_xlpm.CSVVal,_xlfn.XLOOKUP($A298,CSV!$A:$A,CSV!H:H,""),
_xlpm.MacVal,_xlfn.XLOOKUP($A298,Output_Mac!$A:$A,Output_Mac!H:H,""),
_xlpm.MyAuditVal,_xlfn.XLOOKUP($A298,My_Audit!$A:$A,My_Audit!G:G,""),
_xlfn.IFS(_xlpm.MyAuditVal&lt;&gt;"",_xlpm.MyAuditVal,_xlpm.MacVal&lt;&gt;"",_xlpm.MacVal,_xlpm.CSVVal&lt;&gt;"",_xlpm.CSVVal
)),"")</f>
        <v/>
      </c>
      <c r="I298" s="40" t="str">
        <f>_xlfn.XLOOKUP(A298,Output_Mac!A:A,Output_Mac!I:I,"")</f>
        <v/>
      </c>
      <c r="J298" s="40" t="str" cm="1">
        <f t="array" ref="J298">IFERROR(_xlfn.LET(
_xlpm.CSVVal,_xlfn.XLOOKUP($A298,CSV!$A:$A,CSV!I:I,""),
_xlpm.MacVal,_xlfn.XLOOKUP($A298,Output_Mac!$A:$A,Output_Mac!J:J,""),
_xlpm.MyAuditVal,_xlfn.XLOOKUP($A298,My_Audit!$A:$A,My_Audit!I:I,""),
_xlfn.IFS(_xlpm.MyAuditVal&lt;&gt;"",UPPER(_xlpm.MyAuditVal),_xlpm.MacVal&lt;&gt;"",_xlpm.MacVal,_xlpm.CSVVal&lt;&gt;"",_xlpm.CSVVal
)),"")</f>
        <v/>
      </c>
      <c r="K298" s="40" t="str" cm="1">
        <f t="array" ref="K298">IFERROR(_xlfn.LET(
_xlpm.CSVVal,_xlfn.XLOOKUP($A298,CSV!$A:$A,CSV!K:K,""),
_xlpm.MacVal,_xlfn.XLOOKUP($A298,Output_Mac!$A:$A,Output_Mac!K:K,""),
_xlpm.MyAuditVal,_xlfn.XLOOKUP($A298,My_Audit!$A:$A,My_Audit!J:J,""),
_xlfn.IFS(_xlpm.MyAuditVal&lt;&gt;"",UPPER(_xlpm.MyAuditVal),_xlpm.MacVal&lt;&gt;"",_xlpm.MacVal,_xlpm.CSVVal&lt;&gt;"",_xlpm.CSVVal
)),"")</f>
        <v/>
      </c>
      <c r="L298" s="40" t="str" cm="1">
        <f t="array" ref="L298">IFERROR(_xlfn.LET(
_xlpm.CSVVal,_xlfn.XLOOKUP($A298,CSV!$A:$A,CSV!P:P,""),
_xlpm.MacVal,_xlfn.XLOOKUP($A298,Output_Mac!$A:$A,Output_Mac!L:L,""),
_xlpm.MyAuditVal,_xlfn.XLOOKUP($A298,My_Audit!$A:$A,My_Audit!K:K,""),
_xlfn.IFS(_xlpm.MyAuditVal&lt;&gt;"",UPPER(_xlpm.MyAuditVal),_xlpm.MacVal&lt;&gt;"",_xlpm.MacVal,_xlpm.CSVVal&lt;&gt;"",_xlpm.CSVVal
)),"")</f>
        <v/>
      </c>
      <c r="M298" s="40" t="str" cm="1">
        <f t="array" ref="M298">IFERROR(_xlfn.LET(
_xlpm.CSVVal,_xlfn.XLOOKUP($A298,CSV!$A:$A,CSV!Q:Q,""),
_xlpm.MacVal,_xlfn.XLOOKUP($A298,Output_Mac!$A:$A,Output_Mac!M:M,""),
_xlpm.MyAuditVal,_xlfn.XLOOKUP($A298,My_Audit!$A:$A,My_Audit!L:L,""),
_xlfn.IFS(_xlpm.MyAuditVal&lt;&gt;"",UPPER(_xlpm.MyAuditVal),_xlpm.MacVal&lt;&gt;"",_xlpm.MacVal,_xlpm.CSVVal&lt;&gt;"",_xlpm.CSVVal
)),"")</f>
        <v/>
      </c>
      <c r="N298" s="40"/>
      <c r="O298" s="40" t="str">
        <f>_xlfn.LET(
    _xlpm.CSVVal, _xlfn.XLOOKUP($A298, CSV!$A:$A, CSV!AA:AA, ""),
    _xlpm.MacVal, _xlfn.XLOOKUP($A298, Output_Mac!$A:$A, Output_Mac!S:S, ""),
    _xlpm.MyAuditVal, _xlfn.XLOOKUP($A298, My_Audit!$A:$A, My_Audit!P:P, ""),
    _xlfn.TEXTJOIN(", ", TRUE, _xlpm.MyAuditVal, _xlpm.MacVal, _xlpm.CSVVal)
)</f>
        <v/>
      </c>
      <c r="P298" s="40" t="str" cm="1">
        <f t="array" ref="P298">IFERROR(_xlfn.LET(
_xlpm.CSVVal,_xlfn.XLOOKUP($A298,CSV!$A:$A,CSV!AB:AB,""),
_xlpm.MacVal,_xlfn.XLOOKUP($A298,Output_Mac!$A:$A,Output_Mac!T:T,""),
_xlpm.MyAuditVal,_xlfn.XLOOKUP($A298,My_Audit!$A:$A,My_Audit!Q:Q,""),
_xlfn.IFS(_xlpm.MyAuditVal&lt;&gt;"",UPPER(_xlpm.MyAuditVal),_xlpm.MacVal&lt;&gt;"",_xlpm.MacVal,_xlpm.CSVVal&lt;&gt;"",_xlpm.CSVVal
)),"No")</f>
        <v>No</v>
      </c>
      <c r="Q298" s="40" t="str" cm="1">
        <f t="array" ref="Q298">IFERROR(_xlfn.LET(
_xlpm.CSVVal,_xlfn.XLOOKUP($A298,CSV!$A:$A,CSV!AC:AC,""),
_xlpm.MacVal,_xlfn.XLOOKUP($A298,Output_Mac!$A:$A,Output_Mac!U:U,""),
_xlpm.MyAuditVal,_xlfn.XLOOKUP($A298,My_Audit!$A:$A,My_Audit!R:R,""),
_xlfn.IFS(_xlpm.MyAuditVal&lt;&gt;"",UPPER(_xlpm.MyAuditVal),_xlpm.MacVal&lt;&gt;"",_xlpm.MacVal,_xlpm.CSVVal&lt;&gt;"",_xlpm.CSVVal
)),"")</f>
        <v/>
      </c>
      <c r="R298" s="40"/>
      <c r="S298" s="40"/>
      <c r="T298" s="40"/>
      <c r="U298" s="40"/>
      <c r="V298" s="40"/>
      <c r="W298" s="40"/>
      <c r="X298" s="41" t="str">
        <f>_xlfn.LET(
    _xlpm.MacVal, _xlfn.XLOOKUP($A298, Output_Mac!$A:$A, Output_Mac!AB:AB, ""),
    _xlpm.MyAuditVal, _xlfn.XLOOKUP($A298, My_Audit!$A:$A, My_Audit!N:N, ""),
    _xlfn.TEXTJOIN(", ", TRUE, _xlpm.MyAuditVal, _xlpm.MacVal)
)</f>
        <v/>
      </c>
    </row>
    <row r="299" spans="1:24">
      <c r="A299" s="40" t="str">
        <f>_xlfn.TEXTJOIN("",TRUE,Input!$B$2,ROW(My_Audit!A298))</f>
        <v>X298</v>
      </c>
      <c r="B299" s="40" t="str">
        <f>_xlfn.TEXTJOIN("-",TRUE,"ITD",Input!$A$2,A299)</f>
        <v>ITD-X298</v>
      </c>
      <c r="C299" s="40" t="str" cm="1">
        <f t="array" ref="C299">IFERROR(_xlfn.LET(
_xlpm.CSVVal,_xlfn.XLOOKUP($A299,CSV!$A:$A,CSV!B:B,""),
_xlpm.MacVal,_xlfn.XLOOKUP($A299,Output_Mac!$A:$A,Output_Mac!B:B,""),
_xlpm.MyAuditVal,_xlfn.XLOOKUP($A299,My_Audit!$A:$A,My_Audit!B:B,""),
_xlfn.IFS(_xlpm.MyAuditVal&lt;&gt;"",UPPER(_xlpm.MyAuditVal),_xlpm.MacVal&lt;&gt;"",_xlpm.MacVal,_xlpm.CSVVal&lt;&gt;"",_xlpm.CSVVal
)),"")</f>
        <v/>
      </c>
      <c r="D299" s="40" t="str" cm="1">
        <f t="array" ref="D299">IFERROR(_xlfn.LET(
_xlpm.CSVVal,_xlfn.XLOOKUP($A299,CSV!$A:$A,CSV!D:D,""),
_xlpm.MacVal,_xlfn.XLOOKUP($A299,Output_Mac!$A:$A,Output_Mac!C:C,""),
_xlpm.MyAuditVal,_xlfn.XLOOKUP($A299,My_Audit!$A:$A,My_Audit!C:C,""),
_xlfn.IFS(_xlpm.MyAuditVal&lt;&gt;"",_xlpm.MyAuditVal,_xlpm.MacVal&lt;&gt;"",_xlpm.MacVal,_xlpm.CSVVal&lt;&gt;"",_xlpm.CSVVal
)),"")</f>
        <v/>
      </c>
      <c r="E299" s="40">
        <f>_xlfn.XLOOKUP(A299,My_Audit!A:A,My_Audit!D:D,"")</f>
        <v>0</v>
      </c>
      <c r="F299" s="40" t="str" cm="1">
        <f t="array" ref="F299">IFERROR(_xlfn.LET(
_xlpm.CSVVal,_xlfn.XLOOKUP($A299,CSV!$A:$A,CSV!F:F,""),
_xlpm.MacVal,_xlfn.XLOOKUP($A299,Output_Mac!$A:$A,Output_Mac!E:E,""),
_xlpm.MyAuditVal,_xlfn.XLOOKUP($A299,My_Audit!$A:$A,My_Audit!E:E,""),
_xlfn.IFS(_xlpm.MyAuditVal&lt;&gt;"",_xlpm.MyAuditVal,_xlpm.MacVal&lt;&gt;"",_xlpm.MacVal,_xlpm.CSVVal&lt;&gt;"",_xlpm.CSVVal
)),"")</f>
        <v/>
      </c>
      <c r="G299" s="40" t="str" cm="1">
        <f t="array" ref="G299">IFERROR(_xlfn.LET(
_xlpm.CSVVal,_xlfn.XLOOKUP($A299,CSV!$A:$A,CSV!G:G,""),
_xlpm.MacVal,_xlfn.XLOOKUP($A299,Output_Mac!$A:$A,Output_Mac!F:F,""),
_xlpm.MyAuditVal,_xlfn.XLOOKUP($A299,My_Audit!$A:$A,My_Audit!F:F,""),
_xlfn.IFS(_xlpm.MyAuditVal&lt;&gt;"",_xlpm.MyAuditVal,_xlpm.MacVal&lt;&gt;"",_xlpm.MacVal,_xlpm.CSVVal&lt;&gt;"",PROPER(_xlpm.CSVVal)
)),"")</f>
        <v/>
      </c>
      <c r="H299" s="40" t="str" cm="1">
        <f t="array" ref="H299">IFERROR(_xlfn.LET(
_xlpm.CSVVal,_xlfn.XLOOKUP($A299,CSV!$A:$A,CSV!H:H,""),
_xlpm.MacVal,_xlfn.XLOOKUP($A299,Output_Mac!$A:$A,Output_Mac!H:H,""),
_xlpm.MyAuditVal,_xlfn.XLOOKUP($A299,My_Audit!$A:$A,My_Audit!G:G,""),
_xlfn.IFS(_xlpm.MyAuditVal&lt;&gt;"",_xlpm.MyAuditVal,_xlpm.MacVal&lt;&gt;"",_xlpm.MacVal,_xlpm.CSVVal&lt;&gt;"",_xlpm.CSVVal
)),"")</f>
        <v/>
      </c>
      <c r="I299" s="40" t="str">
        <f>_xlfn.XLOOKUP(A299,Output_Mac!A:A,Output_Mac!I:I,"")</f>
        <v/>
      </c>
      <c r="J299" s="40" t="str" cm="1">
        <f t="array" ref="J299">IFERROR(_xlfn.LET(
_xlpm.CSVVal,_xlfn.XLOOKUP($A299,CSV!$A:$A,CSV!I:I,""),
_xlpm.MacVal,_xlfn.XLOOKUP($A299,Output_Mac!$A:$A,Output_Mac!J:J,""),
_xlpm.MyAuditVal,_xlfn.XLOOKUP($A299,My_Audit!$A:$A,My_Audit!I:I,""),
_xlfn.IFS(_xlpm.MyAuditVal&lt;&gt;"",UPPER(_xlpm.MyAuditVal),_xlpm.MacVal&lt;&gt;"",_xlpm.MacVal,_xlpm.CSVVal&lt;&gt;"",_xlpm.CSVVal
)),"")</f>
        <v/>
      </c>
      <c r="K299" s="40" t="str" cm="1">
        <f t="array" ref="K299">IFERROR(_xlfn.LET(
_xlpm.CSVVal,_xlfn.XLOOKUP($A299,CSV!$A:$A,CSV!K:K,""),
_xlpm.MacVal,_xlfn.XLOOKUP($A299,Output_Mac!$A:$A,Output_Mac!K:K,""),
_xlpm.MyAuditVal,_xlfn.XLOOKUP($A299,My_Audit!$A:$A,My_Audit!J:J,""),
_xlfn.IFS(_xlpm.MyAuditVal&lt;&gt;"",UPPER(_xlpm.MyAuditVal),_xlpm.MacVal&lt;&gt;"",_xlpm.MacVal,_xlpm.CSVVal&lt;&gt;"",_xlpm.CSVVal
)),"")</f>
        <v/>
      </c>
      <c r="L299" s="40" t="str" cm="1">
        <f t="array" ref="L299">IFERROR(_xlfn.LET(
_xlpm.CSVVal,_xlfn.XLOOKUP($A299,CSV!$A:$A,CSV!P:P,""),
_xlpm.MacVal,_xlfn.XLOOKUP($A299,Output_Mac!$A:$A,Output_Mac!L:L,""),
_xlpm.MyAuditVal,_xlfn.XLOOKUP($A299,My_Audit!$A:$A,My_Audit!K:K,""),
_xlfn.IFS(_xlpm.MyAuditVal&lt;&gt;"",UPPER(_xlpm.MyAuditVal),_xlpm.MacVal&lt;&gt;"",_xlpm.MacVal,_xlpm.CSVVal&lt;&gt;"",_xlpm.CSVVal
)),"")</f>
        <v/>
      </c>
      <c r="M299" s="40" t="str" cm="1">
        <f t="array" ref="M299">IFERROR(_xlfn.LET(
_xlpm.CSVVal,_xlfn.XLOOKUP($A299,CSV!$A:$A,CSV!Q:Q,""),
_xlpm.MacVal,_xlfn.XLOOKUP($A299,Output_Mac!$A:$A,Output_Mac!M:M,""),
_xlpm.MyAuditVal,_xlfn.XLOOKUP($A299,My_Audit!$A:$A,My_Audit!L:L,""),
_xlfn.IFS(_xlpm.MyAuditVal&lt;&gt;"",UPPER(_xlpm.MyAuditVal),_xlpm.MacVal&lt;&gt;"",_xlpm.MacVal,_xlpm.CSVVal&lt;&gt;"",_xlpm.CSVVal
)),"")</f>
        <v/>
      </c>
      <c r="N299" s="40"/>
      <c r="O299" s="40" t="str">
        <f>_xlfn.LET(
    _xlpm.CSVVal, _xlfn.XLOOKUP($A299, CSV!$A:$A, CSV!AA:AA, ""),
    _xlpm.MacVal, _xlfn.XLOOKUP($A299, Output_Mac!$A:$A, Output_Mac!S:S, ""),
    _xlpm.MyAuditVal, _xlfn.XLOOKUP($A299, My_Audit!$A:$A, My_Audit!P:P, ""),
    _xlfn.TEXTJOIN(", ", TRUE, _xlpm.MyAuditVal, _xlpm.MacVal, _xlpm.CSVVal)
)</f>
        <v/>
      </c>
      <c r="P299" s="40" t="str" cm="1">
        <f t="array" ref="P299">IFERROR(_xlfn.LET(
_xlpm.CSVVal,_xlfn.XLOOKUP($A299,CSV!$A:$A,CSV!AB:AB,""),
_xlpm.MacVal,_xlfn.XLOOKUP($A299,Output_Mac!$A:$A,Output_Mac!T:T,""),
_xlpm.MyAuditVal,_xlfn.XLOOKUP($A299,My_Audit!$A:$A,My_Audit!Q:Q,""),
_xlfn.IFS(_xlpm.MyAuditVal&lt;&gt;"",UPPER(_xlpm.MyAuditVal),_xlpm.MacVal&lt;&gt;"",_xlpm.MacVal,_xlpm.CSVVal&lt;&gt;"",_xlpm.CSVVal
)),"No")</f>
        <v>No</v>
      </c>
      <c r="Q299" s="40" t="str" cm="1">
        <f t="array" ref="Q299">IFERROR(_xlfn.LET(
_xlpm.CSVVal,_xlfn.XLOOKUP($A299,CSV!$A:$A,CSV!AC:AC,""),
_xlpm.MacVal,_xlfn.XLOOKUP($A299,Output_Mac!$A:$A,Output_Mac!U:U,""),
_xlpm.MyAuditVal,_xlfn.XLOOKUP($A299,My_Audit!$A:$A,My_Audit!R:R,""),
_xlfn.IFS(_xlpm.MyAuditVal&lt;&gt;"",UPPER(_xlpm.MyAuditVal),_xlpm.MacVal&lt;&gt;"",_xlpm.MacVal,_xlpm.CSVVal&lt;&gt;"",_xlpm.CSVVal
)),"")</f>
        <v/>
      </c>
      <c r="R299" s="40"/>
      <c r="S299" s="40"/>
      <c r="T299" s="40"/>
      <c r="U299" s="40"/>
      <c r="V299" s="40"/>
      <c r="W299" s="40"/>
      <c r="X299" s="41" t="str">
        <f>_xlfn.LET(
    _xlpm.MacVal, _xlfn.XLOOKUP($A299, Output_Mac!$A:$A, Output_Mac!AB:AB, ""),
    _xlpm.MyAuditVal, _xlfn.XLOOKUP($A299, My_Audit!$A:$A, My_Audit!N:N, ""),
    _xlfn.TEXTJOIN(", ", TRUE, _xlpm.MyAuditVal, _xlpm.MacVal)
)</f>
        <v/>
      </c>
    </row>
    <row r="300" spans="1:24">
      <c r="A300" s="40" t="str">
        <f>_xlfn.TEXTJOIN("",TRUE,Input!$B$2,ROW(My_Audit!A299))</f>
        <v>X299</v>
      </c>
      <c r="B300" s="40" t="str">
        <f>_xlfn.TEXTJOIN("-",TRUE,"ITD",Input!$A$2,A300)</f>
        <v>ITD-X299</v>
      </c>
      <c r="C300" s="40" t="str" cm="1">
        <f t="array" ref="C300">IFERROR(_xlfn.LET(
_xlpm.CSVVal,_xlfn.XLOOKUP($A300,CSV!$A:$A,CSV!B:B,""),
_xlpm.MacVal,_xlfn.XLOOKUP($A300,Output_Mac!$A:$A,Output_Mac!B:B,""),
_xlpm.MyAuditVal,_xlfn.XLOOKUP($A300,My_Audit!$A:$A,My_Audit!B:B,""),
_xlfn.IFS(_xlpm.MyAuditVal&lt;&gt;"",UPPER(_xlpm.MyAuditVal),_xlpm.MacVal&lt;&gt;"",_xlpm.MacVal,_xlpm.CSVVal&lt;&gt;"",_xlpm.CSVVal
)),"")</f>
        <v/>
      </c>
      <c r="D300" s="40" t="str" cm="1">
        <f t="array" ref="D300">IFERROR(_xlfn.LET(
_xlpm.CSVVal,_xlfn.XLOOKUP($A300,CSV!$A:$A,CSV!D:D,""),
_xlpm.MacVal,_xlfn.XLOOKUP($A300,Output_Mac!$A:$A,Output_Mac!C:C,""),
_xlpm.MyAuditVal,_xlfn.XLOOKUP($A300,My_Audit!$A:$A,My_Audit!C:C,""),
_xlfn.IFS(_xlpm.MyAuditVal&lt;&gt;"",_xlpm.MyAuditVal,_xlpm.MacVal&lt;&gt;"",_xlpm.MacVal,_xlpm.CSVVal&lt;&gt;"",_xlpm.CSVVal
)),"")</f>
        <v/>
      </c>
      <c r="E300" s="40">
        <f>_xlfn.XLOOKUP(A300,My_Audit!A:A,My_Audit!D:D,"")</f>
        <v>0</v>
      </c>
      <c r="F300" s="40" t="str" cm="1">
        <f t="array" ref="F300">IFERROR(_xlfn.LET(
_xlpm.CSVVal,_xlfn.XLOOKUP($A300,CSV!$A:$A,CSV!F:F,""),
_xlpm.MacVal,_xlfn.XLOOKUP($A300,Output_Mac!$A:$A,Output_Mac!E:E,""),
_xlpm.MyAuditVal,_xlfn.XLOOKUP($A300,My_Audit!$A:$A,My_Audit!E:E,""),
_xlfn.IFS(_xlpm.MyAuditVal&lt;&gt;"",_xlpm.MyAuditVal,_xlpm.MacVal&lt;&gt;"",_xlpm.MacVal,_xlpm.CSVVal&lt;&gt;"",_xlpm.CSVVal
)),"")</f>
        <v/>
      </c>
      <c r="G300" s="40" t="str" cm="1">
        <f t="array" ref="G300">IFERROR(_xlfn.LET(
_xlpm.CSVVal,_xlfn.XLOOKUP($A300,CSV!$A:$A,CSV!G:G,""),
_xlpm.MacVal,_xlfn.XLOOKUP($A300,Output_Mac!$A:$A,Output_Mac!F:F,""),
_xlpm.MyAuditVal,_xlfn.XLOOKUP($A300,My_Audit!$A:$A,My_Audit!F:F,""),
_xlfn.IFS(_xlpm.MyAuditVal&lt;&gt;"",_xlpm.MyAuditVal,_xlpm.MacVal&lt;&gt;"",_xlpm.MacVal,_xlpm.CSVVal&lt;&gt;"",PROPER(_xlpm.CSVVal)
)),"")</f>
        <v/>
      </c>
      <c r="H300" s="40" t="str" cm="1">
        <f t="array" ref="H300">IFERROR(_xlfn.LET(
_xlpm.CSVVal,_xlfn.XLOOKUP($A300,CSV!$A:$A,CSV!H:H,""),
_xlpm.MacVal,_xlfn.XLOOKUP($A300,Output_Mac!$A:$A,Output_Mac!H:H,""),
_xlpm.MyAuditVal,_xlfn.XLOOKUP($A300,My_Audit!$A:$A,My_Audit!G:G,""),
_xlfn.IFS(_xlpm.MyAuditVal&lt;&gt;"",_xlpm.MyAuditVal,_xlpm.MacVal&lt;&gt;"",_xlpm.MacVal,_xlpm.CSVVal&lt;&gt;"",_xlpm.CSVVal
)),"")</f>
        <v/>
      </c>
      <c r="I300" s="40" t="str">
        <f>_xlfn.XLOOKUP(A300,Output_Mac!A:A,Output_Mac!I:I,"")</f>
        <v/>
      </c>
      <c r="J300" s="40" t="str" cm="1">
        <f t="array" ref="J300">IFERROR(_xlfn.LET(
_xlpm.CSVVal,_xlfn.XLOOKUP($A300,CSV!$A:$A,CSV!I:I,""),
_xlpm.MacVal,_xlfn.XLOOKUP($A300,Output_Mac!$A:$A,Output_Mac!J:J,""),
_xlpm.MyAuditVal,_xlfn.XLOOKUP($A300,My_Audit!$A:$A,My_Audit!I:I,""),
_xlfn.IFS(_xlpm.MyAuditVal&lt;&gt;"",UPPER(_xlpm.MyAuditVal),_xlpm.MacVal&lt;&gt;"",_xlpm.MacVal,_xlpm.CSVVal&lt;&gt;"",_xlpm.CSVVal
)),"")</f>
        <v/>
      </c>
      <c r="K300" s="40" t="str" cm="1">
        <f t="array" ref="K300">IFERROR(_xlfn.LET(
_xlpm.CSVVal,_xlfn.XLOOKUP($A300,CSV!$A:$A,CSV!K:K,""),
_xlpm.MacVal,_xlfn.XLOOKUP($A300,Output_Mac!$A:$A,Output_Mac!K:K,""),
_xlpm.MyAuditVal,_xlfn.XLOOKUP($A300,My_Audit!$A:$A,My_Audit!J:J,""),
_xlfn.IFS(_xlpm.MyAuditVal&lt;&gt;"",UPPER(_xlpm.MyAuditVal),_xlpm.MacVal&lt;&gt;"",_xlpm.MacVal,_xlpm.CSVVal&lt;&gt;"",_xlpm.CSVVal
)),"")</f>
        <v/>
      </c>
      <c r="L300" s="40" t="str" cm="1">
        <f t="array" ref="L300">IFERROR(_xlfn.LET(
_xlpm.CSVVal,_xlfn.XLOOKUP($A300,CSV!$A:$A,CSV!P:P,""),
_xlpm.MacVal,_xlfn.XLOOKUP($A300,Output_Mac!$A:$A,Output_Mac!L:L,""),
_xlpm.MyAuditVal,_xlfn.XLOOKUP($A300,My_Audit!$A:$A,My_Audit!K:K,""),
_xlfn.IFS(_xlpm.MyAuditVal&lt;&gt;"",UPPER(_xlpm.MyAuditVal),_xlpm.MacVal&lt;&gt;"",_xlpm.MacVal,_xlpm.CSVVal&lt;&gt;"",_xlpm.CSVVal
)),"")</f>
        <v/>
      </c>
      <c r="M300" s="40" t="str" cm="1">
        <f t="array" ref="M300">IFERROR(_xlfn.LET(
_xlpm.CSVVal,_xlfn.XLOOKUP($A300,CSV!$A:$A,CSV!Q:Q,""),
_xlpm.MacVal,_xlfn.XLOOKUP($A300,Output_Mac!$A:$A,Output_Mac!M:M,""),
_xlpm.MyAuditVal,_xlfn.XLOOKUP($A300,My_Audit!$A:$A,My_Audit!L:L,""),
_xlfn.IFS(_xlpm.MyAuditVal&lt;&gt;"",UPPER(_xlpm.MyAuditVal),_xlpm.MacVal&lt;&gt;"",_xlpm.MacVal,_xlpm.CSVVal&lt;&gt;"",_xlpm.CSVVal
)),"")</f>
        <v/>
      </c>
      <c r="N300" s="40"/>
      <c r="O300" s="40" t="str">
        <f>_xlfn.LET(
    _xlpm.CSVVal, _xlfn.XLOOKUP($A300, CSV!$A:$A, CSV!AA:AA, ""),
    _xlpm.MacVal, _xlfn.XLOOKUP($A300, Output_Mac!$A:$A, Output_Mac!S:S, ""),
    _xlpm.MyAuditVal, _xlfn.XLOOKUP($A300, My_Audit!$A:$A, My_Audit!P:P, ""),
    _xlfn.TEXTJOIN(", ", TRUE, _xlpm.MyAuditVal, _xlpm.MacVal, _xlpm.CSVVal)
)</f>
        <v/>
      </c>
      <c r="P300" s="40" t="str" cm="1">
        <f t="array" ref="P300">IFERROR(_xlfn.LET(
_xlpm.CSVVal,_xlfn.XLOOKUP($A300,CSV!$A:$A,CSV!AB:AB,""),
_xlpm.MacVal,_xlfn.XLOOKUP($A300,Output_Mac!$A:$A,Output_Mac!T:T,""),
_xlpm.MyAuditVal,_xlfn.XLOOKUP($A300,My_Audit!$A:$A,My_Audit!Q:Q,""),
_xlfn.IFS(_xlpm.MyAuditVal&lt;&gt;"",UPPER(_xlpm.MyAuditVal),_xlpm.MacVal&lt;&gt;"",_xlpm.MacVal,_xlpm.CSVVal&lt;&gt;"",_xlpm.CSVVal
)),"No")</f>
        <v>No</v>
      </c>
      <c r="Q300" s="40" t="str" cm="1">
        <f t="array" ref="Q300">IFERROR(_xlfn.LET(
_xlpm.CSVVal,_xlfn.XLOOKUP($A300,CSV!$A:$A,CSV!AC:AC,""),
_xlpm.MacVal,_xlfn.XLOOKUP($A300,Output_Mac!$A:$A,Output_Mac!U:U,""),
_xlpm.MyAuditVal,_xlfn.XLOOKUP($A300,My_Audit!$A:$A,My_Audit!R:R,""),
_xlfn.IFS(_xlpm.MyAuditVal&lt;&gt;"",UPPER(_xlpm.MyAuditVal),_xlpm.MacVal&lt;&gt;"",_xlpm.MacVal,_xlpm.CSVVal&lt;&gt;"",_xlpm.CSVVal
)),"")</f>
        <v/>
      </c>
      <c r="R300" s="40"/>
      <c r="S300" s="40"/>
      <c r="T300" s="40"/>
      <c r="U300" s="40"/>
      <c r="V300" s="40"/>
      <c r="W300" s="40"/>
      <c r="X300" s="41" t="str">
        <f>_xlfn.LET(
    _xlpm.MacVal, _xlfn.XLOOKUP($A300, Output_Mac!$A:$A, Output_Mac!AB:AB, ""),
    _xlpm.MyAuditVal, _xlfn.XLOOKUP($A300, My_Audit!$A:$A, My_Audit!N:N, ""),
    _xlfn.TEXTJOIN(", ", TRUE, _xlpm.MyAuditVal, _xlpm.MacVal)
)</f>
        <v/>
      </c>
    </row>
    <row r="301" spans="1:24">
      <c r="A301" s="40" t="str">
        <f>_xlfn.TEXTJOIN("",TRUE,Input!$B$2,ROW(My_Audit!A300))</f>
        <v>X300</v>
      </c>
      <c r="B301" s="40" t="str">
        <f>_xlfn.TEXTJOIN("-",TRUE,"ITD",Input!$A$2,A301)</f>
        <v>ITD-X300</v>
      </c>
      <c r="C301" s="40" t="str" cm="1">
        <f t="array" ref="C301">IFERROR(_xlfn.LET(
_xlpm.CSVVal,_xlfn.XLOOKUP($A301,CSV!$A:$A,CSV!B:B,""),
_xlpm.MacVal,_xlfn.XLOOKUP($A301,Output_Mac!$A:$A,Output_Mac!B:B,""),
_xlpm.MyAuditVal,_xlfn.XLOOKUP($A301,My_Audit!$A:$A,My_Audit!B:B,""),
_xlfn.IFS(_xlpm.MyAuditVal&lt;&gt;"",UPPER(_xlpm.MyAuditVal),_xlpm.MacVal&lt;&gt;"",_xlpm.MacVal,_xlpm.CSVVal&lt;&gt;"",_xlpm.CSVVal
)),"")</f>
        <v/>
      </c>
      <c r="D301" s="40" t="str" cm="1">
        <f t="array" ref="D301">IFERROR(_xlfn.LET(
_xlpm.CSVVal,_xlfn.XLOOKUP($A301,CSV!$A:$A,CSV!D:D,""),
_xlpm.MacVal,_xlfn.XLOOKUP($A301,Output_Mac!$A:$A,Output_Mac!C:C,""),
_xlpm.MyAuditVal,_xlfn.XLOOKUP($A301,My_Audit!$A:$A,My_Audit!C:C,""),
_xlfn.IFS(_xlpm.MyAuditVal&lt;&gt;"",_xlpm.MyAuditVal,_xlpm.MacVal&lt;&gt;"",_xlpm.MacVal,_xlpm.CSVVal&lt;&gt;"",_xlpm.CSVVal
)),"")</f>
        <v/>
      </c>
      <c r="E301" s="40">
        <f>_xlfn.XLOOKUP(A301,My_Audit!A:A,My_Audit!D:D,"")</f>
        <v>0</v>
      </c>
      <c r="F301" s="40" t="str" cm="1">
        <f t="array" ref="F301">IFERROR(_xlfn.LET(
_xlpm.CSVVal,_xlfn.XLOOKUP($A301,CSV!$A:$A,CSV!F:F,""),
_xlpm.MacVal,_xlfn.XLOOKUP($A301,Output_Mac!$A:$A,Output_Mac!E:E,""),
_xlpm.MyAuditVal,_xlfn.XLOOKUP($A301,My_Audit!$A:$A,My_Audit!E:E,""),
_xlfn.IFS(_xlpm.MyAuditVal&lt;&gt;"",_xlpm.MyAuditVal,_xlpm.MacVal&lt;&gt;"",_xlpm.MacVal,_xlpm.CSVVal&lt;&gt;"",_xlpm.CSVVal
)),"")</f>
        <v/>
      </c>
      <c r="G301" s="40" t="str" cm="1">
        <f t="array" ref="G301">IFERROR(_xlfn.LET(
_xlpm.CSVVal,_xlfn.XLOOKUP($A301,CSV!$A:$A,CSV!G:G,""),
_xlpm.MacVal,_xlfn.XLOOKUP($A301,Output_Mac!$A:$A,Output_Mac!F:F,""),
_xlpm.MyAuditVal,_xlfn.XLOOKUP($A301,My_Audit!$A:$A,My_Audit!F:F,""),
_xlfn.IFS(_xlpm.MyAuditVal&lt;&gt;"",_xlpm.MyAuditVal,_xlpm.MacVal&lt;&gt;"",_xlpm.MacVal,_xlpm.CSVVal&lt;&gt;"",PROPER(_xlpm.CSVVal)
)),"")</f>
        <v/>
      </c>
      <c r="H301" s="40" t="str" cm="1">
        <f t="array" ref="H301">IFERROR(_xlfn.LET(
_xlpm.CSVVal,_xlfn.XLOOKUP($A301,CSV!$A:$A,CSV!H:H,""),
_xlpm.MacVal,_xlfn.XLOOKUP($A301,Output_Mac!$A:$A,Output_Mac!H:H,""),
_xlpm.MyAuditVal,_xlfn.XLOOKUP($A301,My_Audit!$A:$A,My_Audit!G:G,""),
_xlfn.IFS(_xlpm.MyAuditVal&lt;&gt;"",_xlpm.MyAuditVal,_xlpm.MacVal&lt;&gt;"",_xlpm.MacVal,_xlpm.CSVVal&lt;&gt;"",_xlpm.CSVVal
)),"")</f>
        <v/>
      </c>
      <c r="I301" s="40" t="str">
        <f>_xlfn.XLOOKUP(A301,Output_Mac!A:A,Output_Mac!I:I,"")</f>
        <v/>
      </c>
      <c r="J301" s="40" t="str" cm="1">
        <f t="array" ref="J301">IFERROR(_xlfn.LET(
_xlpm.CSVVal,_xlfn.XLOOKUP($A301,CSV!$A:$A,CSV!I:I,""),
_xlpm.MacVal,_xlfn.XLOOKUP($A301,Output_Mac!$A:$A,Output_Mac!J:J,""),
_xlpm.MyAuditVal,_xlfn.XLOOKUP($A301,My_Audit!$A:$A,My_Audit!I:I,""),
_xlfn.IFS(_xlpm.MyAuditVal&lt;&gt;"",UPPER(_xlpm.MyAuditVal),_xlpm.MacVal&lt;&gt;"",_xlpm.MacVal,_xlpm.CSVVal&lt;&gt;"",_xlpm.CSVVal
)),"")</f>
        <v/>
      </c>
      <c r="K301" s="40" t="str" cm="1">
        <f t="array" ref="K301">IFERROR(_xlfn.LET(
_xlpm.CSVVal,_xlfn.XLOOKUP($A301,CSV!$A:$A,CSV!K:K,""),
_xlpm.MacVal,_xlfn.XLOOKUP($A301,Output_Mac!$A:$A,Output_Mac!K:K,""),
_xlpm.MyAuditVal,_xlfn.XLOOKUP($A301,My_Audit!$A:$A,My_Audit!J:J,""),
_xlfn.IFS(_xlpm.MyAuditVal&lt;&gt;"",UPPER(_xlpm.MyAuditVal),_xlpm.MacVal&lt;&gt;"",_xlpm.MacVal,_xlpm.CSVVal&lt;&gt;"",_xlpm.CSVVal
)),"")</f>
        <v/>
      </c>
      <c r="L301" s="40" t="str" cm="1">
        <f t="array" ref="L301">IFERROR(_xlfn.LET(
_xlpm.CSVVal,_xlfn.XLOOKUP($A301,CSV!$A:$A,CSV!P:P,""),
_xlpm.MacVal,_xlfn.XLOOKUP($A301,Output_Mac!$A:$A,Output_Mac!L:L,""),
_xlpm.MyAuditVal,_xlfn.XLOOKUP($A301,My_Audit!$A:$A,My_Audit!K:K,""),
_xlfn.IFS(_xlpm.MyAuditVal&lt;&gt;"",UPPER(_xlpm.MyAuditVal),_xlpm.MacVal&lt;&gt;"",_xlpm.MacVal,_xlpm.CSVVal&lt;&gt;"",_xlpm.CSVVal
)),"")</f>
        <v/>
      </c>
      <c r="M301" s="40" t="str" cm="1">
        <f t="array" ref="M301">IFERROR(_xlfn.LET(
_xlpm.CSVVal,_xlfn.XLOOKUP($A301,CSV!$A:$A,CSV!Q:Q,""),
_xlpm.MacVal,_xlfn.XLOOKUP($A301,Output_Mac!$A:$A,Output_Mac!M:M,""),
_xlpm.MyAuditVal,_xlfn.XLOOKUP($A301,My_Audit!$A:$A,My_Audit!L:L,""),
_xlfn.IFS(_xlpm.MyAuditVal&lt;&gt;"",UPPER(_xlpm.MyAuditVal),_xlpm.MacVal&lt;&gt;"",_xlpm.MacVal,_xlpm.CSVVal&lt;&gt;"",_xlpm.CSVVal
)),"")</f>
        <v/>
      </c>
      <c r="N301" s="40"/>
      <c r="O301" s="40" t="str">
        <f>_xlfn.LET(
    _xlpm.CSVVal, _xlfn.XLOOKUP($A301, CSV!$A:$A, CSV!AA:AA, ""),
    _xlpm.MacVal, _xlfn.XLOOKUP($A301, Output_Mac!$A:$A, Output_Mac!S:S, ""),
    _xlpm.MyAuditVal, _xlfn.XLOOKUP($A301, My_Audit!$A:$A, My_Audit!P:P, ""),
    _xlfn.TEXTJOIN(", ", TRUE, _xlpm.MyAuditVal, _xlpm.MacVal, _xlpm.CSVVal)
)</f>
        <v/>
      </c>
      <c r="P301" s="40" t="str" cm="1">
        <f t="array" ref="P301">IFERROR(_xlfn.LET(
_xlpm.CSVVal,_xlfn.XLOOKUP($A301,CSV!$A:$A,CSV!AB:AB,""),
_xlpm.MacVal,_xlfn.XLOOKUP($A301,Output_Mac!$A:$A,Output_Mac!T:T,""),
_xlpm.MyAuditVal,_xlfn.XLOOKUP($A301,My_Audit!$A:$A,My_Audit!Q:Q,""),
_xlfn.IFS(_xlpm.MyAuditVal&lt;&gt;"",UPPER(_xlpm.MyAuditVal),_xlpm.MacVal&lt;&gt;"",_xlpm.MacVal,_xlpm.CSVVal&lt;&gt;"",_xlpm.CSVVal
)),"No")</f>
        <v>No</v>
      </c>
      <c r="Q301" s="40" t="str" cm="1">
        <f t="array" ref="Q301">IFERROR(_xlfn.LET(
_xlpm.CSVVal,_xlfn.XLOOKUP($A301,CSV!$A:$A,CSV!AC:AC,""),
_xlpm.MacVal,_xlfn.XLOOKUP($A301,Output_Mac!$A:$A,Output_Mac!U:U,""),
_xlpm.MyAuditVal,_xlfn.XLOOKUP($A301,My_Audit!$A:$A,My_Audit!R:R,""),
_xlfn.IFS(_xlpm.MyAuditVal&lt;&gt;"",UPPER(_xlpm.MyAuditVal),_xlpm.MacVal&lt;&gt;"",_xlpm.MacVal,_xlpm.CSVVal&lt;&gt;"",_xlpm.CSVVal
)),"")</f>
        <v/>
      </c>
      <c r="R301" s="40"/>
      <c r="S301" s="40"/>
      <c r="T301" s="40"/>
      <c r="U301" s="40"/>
      <c r="V301" s="40"/>
      <c r="W301" s="40"/>
      <c r="X301" s="41" t="str">
        <f>_xlfn.LET(
    _xlpm.MacVal, _xlfn.XLOOKUP($A301, Output_Mac!$A:$A, Output_Mac!AB:AB, ""),
    _xlpm.MyAuditVal, _xlfn.XLOOKUP($A301, My_Audit!$A:$A, My_Audit!N:N, ""),
    _xlfn.TEXTJOIN(", ", TRUE, _xlpm.MyAuditVal, _xlpm.MacVal)
)</f>
        <v/>
      </c>
    </row>
    <row r="302" spans="1:24">
      <c r="A302" s="40" t="str">
        <f>_xlfn.TEXTJOIN("",TRUE,Input!$B$2,ROW(My_Audit!A301))</f>
        <v>X301</v>
      </c>
      <c r="B302" s="40" t="str">
        <f>_xlfn.TEXTJOIN("-",TRUE,"ITD",Input!$A$2,A302)</f>
        <v>ITD-X301</v>
      </c>
      <c r="C302" s="40" t="str" cm="1">
        <f t="array" ref="C302">IFERROR(_xlfn.LET(
_xlpm.CSVVal,_xlfn.XLOOKUP($A302,CSV!$A:$A,CSV!B:B,""),
_xlpm.MacVal,_xlfn.XLOOKUP($A302,Output_Mac!$A:$A,Output_Mac!B:B,""),
_xlpm.MyAuditVal,_xlfn.XLOOKUP($A302,My_Audit!$A:$A,My_Audit!B:B,""),
_xlfn.IFS(_xlpm.MyAuditVal&lt;&gt;"",UPPER(_xlpm.MyAuditVal),_xlpm.MacVal&lt;&gt;"",_xlpm.MacVal,_xlpm.CSVVal&lt;&gt;"",_xlpm.CSVVal
)),"")</f>
        <v/>
      </c>
      <c r="D302" s="40" t="str" cm="1">
        <f t="array" ref="D302">IFERROR(_xlfn.LET(
_xlpm.CSVVal,_xlfn.XLOOKUP($A302,CSV!$A:$A,CSV!D:D,""),
_xlpm.MacVal,_xlfn.XLOOKUP($A302,Output_Mac!$A:$A,Output_Mac!C:C,""),
_xlpm.MyAuditVal,_xlfn.XLOOKUP($A302,My_Audit!$A:$A,My_Audit!C:C,""),
_xlfn.IFS(_xlpm.MyAuditVal&lt;&gt;"",_xlpm.MyAuditVal,_xlpm.MacVal&lt;&gt;"",_xlpm.MacVal,_xlpm.CSVVal&lt;&gt;"",_xlpm.CSVVal
)),"")</f>
        <v/>
      </c>
      <c r="E302" s="40">
        <f>_xlfn.XLOOKUP(A302,My_Audit!A:A,My_Audit!D:D,"")</f>
        <v>0</v>
      </c>
      <c r="F302" s="40" t="str" cm="1">
        <f t="array" ref="F302">IFERROR(_xlfn.LET(
_xlpm.CSVVal,_xlfn.XLOOKUP($A302,CSV!$A:$A,CSV!F:F,""),
_xlpm.MacVal,_xlfn.XLOOKUP($A302,Output_Mac!$A:$A,Output_Mac!E:E,""),
_xlpm.MyAuditVal,_xlfn.XLOOKUP($A302,My_Audit!$A:$A,My_Audit!E:E,""),
_xlfn.IFS(_xlpm.MyAuditVal&lt;&gt;"",_xlpm.MyAuditVal,_xlpm.MacVal&lt;&gt;"",_xlpm.MacVal,_xlpm.CSVVal&lt;&gt;"",_xlpm.CSVVal
)),"")</f>
        <v/>
      </c>
      <c r="G302" s="40" t="str" cm="1">
        <f t="array" ref="G302">IFERROR(_xlfn.LET(
_xlpm.CSVVal,_xlfn.XLOOKUP($A302,CSV!$A:$A,CSV!G:G,""),
_xlpm.MacVal,_xlfn.XLOOKUP($A302,Output_Mac!$A:$A,Output_Mac!F:F,""),
_xlpm.MyAuditVal,_xlfn.XLOOKUP($A302,My_Audit!$A:$A,My_Audit!F:F,""),
_xlfn.IFS(_xlpm.MyAuditVal&lt;&gt;"",_xlpm.MyAuditVal,_xlpm.MacVal&lt;&gt;"",_xlpm.MacVal,_xlpm.CSVVal&lt;&gt;"",PROPER(_xlpm.CSVVal)
)),"")</f>
        <v/>
      </c>
      <c r="H302" s="40" t="str" cm="1">
        <f t="array" ref="H302">IFERROR(_xlfn.LET(
_xlpm.CSVVal,_xlfn.XLOOKUP($A302,CSV!$A:$A,CSV!H:H,""),
_xlpm.MacVal,_xlfn.XLOOKUP($A302,Output_Mac!$A:$A,Output_Mac!H:H,""),
_xlpm.MyAuditVal,_xlfn.XLOOKUP($A302,My_Audit!$A:$A,My_Audit!G:G,""),
_xlfn.IFS(_xlpm.MyAuditVal&lt;&gt;"",_xlpm.MyAuditVal,_xlpm.MacVal&lt;&gt;"",_xlpm.MacVal,_xlpm.CSVVal&lt;&gt;"",_xlpm.CSVVal
)),"")</f>
        <v/>
      </c>
      <c r="I302" s="40" t="str">
        <f>_xlfn.XLOOKUP(A302,Output_Mac!A:A,Output_Mac!I:I,"")</f>
        <v/>
      </c>
      <c r="J302" s="40" t="str" cm="1">
        <f t="array" ref="J302">IFERROR(_xlfn.LET(
_xlpm.CSVVal,_xlfn.XLOOKUP($A302,CSV!$A:$A,CSV!I:I,""),
_xlpm.MacVal,_xlfn.XLOOKUP($A302,Output_Mac!$A:$A,Output_Mac!J:J,""),
_xlpm.MyAuditVal,_xlfn.XLOOKUP($A302,My_Audit!$A:$A,My_Audit!I:I,""),
_xlfn.IFS(_xlpm.MyAuditVal&lt;&gt;"",UPPER(_xlpm.MyAuditVal),_xlpm.MacVal&lt;&gt;"",_xlpm.MacVal,_xlpm.CSVVal&lt;&gt;"",_xlpm.CSVVal
)),"")</f>
        <v/>
      </c>
      <c r="K302" s="40" t="str" cm="1">
        <f t="array" ref="K302">IFERROR(_xlfn.LET(
_xlpm.CSVVal,_xlfn.XLOOKUP($A302,CSV!$A:$A,CSV!K:K,""),
_xlpm.MacVal,_xlfn.XLOOKUP($A302,Output_Mac!$A:$A,Output_Mac!K:K,""),
_xlpm.MyAuditVal,_xlfn.XLOOKUP($A302,My_Audit!$A:$A,My_Audit!J:J,""),
_xlfn.IFS(_xlpm.MyAuditVal&lt;&gt;"",UPPER(_xlpm.MyAuditVal),_xlpm.MacVal&lt;&gt;"",_xlpm.MacVal,_xlpm.CSVVal&lt;&gt;"",_xlpm.CSVVal
)),"")</f>
        <v/>
      </c>
      <c r="L302" s="40" t="str" cm="1">
        <f t="array" ref="L302">IFERROR(_xlfn.LET(
_xlpm.CSVVal,_xlfn.XLOOKUP($A302,CSV!$A:$A,CSV!P:P,""),
_xlpm.MacVal,_xlfn.XLOOKUP($A302,Output_Mac!$A:$A,Output_Mac!L:L,""),
_xlpm.MyAuditVal,_xlfn.XLOOKUP($A302,My_Audit!$A:$A,My_Audit!K:K,""),
_xlfn.IFS(_xlpm.MyAuditVal&lt;&gt;"",UPPER(_xlpm.MyAuditVal),_xlpm.MacVal&lt;&gt;"",_xlpm.MacVal,_xlpm.CSVVal&lt;&gt;"",_xlpm.CSVVal
)),"")</f>
        <v/>
      </c>
      <c r="M302" s="40" t="str" cm="1">
        <f t="array" ref="M302">IFERROR(_xlfn.LET(
_xlpm.CSVVal,_xlfn.XLOOKUP($A302,CSV!$A:$A,CSV!Q:Q,""),
_xlpm.MacVal,_xlfn.XLOOKUP($A302,Output_Mac!$A:$A,Output_Mac!M:M,""),
_xlpm.MyAuditVal,_xlfn.XLOOKUP($A302,My_Audit!$A:$A,My_Audit!L:L,""),
_xlfn.IFS(_xlpm.MyAuditVal&lt;&gt;"",UPPER(_xlpm.MyAuditVal),_xlpm.MacVal&lt;&gt;"",_xlpm.MacVal,_xlpm.CSVVal&lt;&gt;"",_xlpm.CSVVal
)),"")</f>
        <v/>
      </c>
      <c r="N302" s="40"/>
      <c r="O302" s="40" t="str">
        <f>_xlfn.LET(
    _xlpm.CSVVal, _xlfn.XLOOKUP($A302, CSV!$A:$A, CSV!AA:AA, ""),
    _xlpm.MacVal, _xlfn.XLOOKUP($A302, Output_Mac!$A:$A, Output_Mac!S:S, ""),
    _xlpm.MyAuditVal, _xlfn.XLOOKUP($A302, My_Audit!$A:$A, My_Audit!P:P, ""),
    _xlfn.TEXTJOIN(", ", TRUE, _xlpm.MyAuditVal, _xlpm.MacVal, _xlpm.CSVVal)
)</f>
        <v/>
      </c>
      <c r="P302" s="40" t="str" cm="1">
        <f t="array" ref="P302">IFERROR(_xlfn.LET(
_xlpm.CSVVal,_xlfn.XLOOKUP($A302,CSV!$A:$A,CSV!AB:AB,""),
_xlpm.MacVal,_xlfn.XLOOKUP($A302,Output_Mac!$A:$A,Output_Mac!T:T,""),
_xlpm.MyAuditVal,_xlfn.XLOOKUP($A302,My_Audit!$A:$A,My_Audit!Q:Q,""),
_xlfn.IFS(_xlpm.MyAuditVal&lt;&gt;"",UPPER(_xlpm.MyAuditVal),_xlpm.MacVal&lt;&gt;"",_xlpm.MacVal,_xlpm.CSVVal&lt;&gt;"",_xlpm.CSVVal
)),"No")</f>
        <v>No</v>
      </c>
      <c r="Q302" s="40" t="str" cm="1">
        <f t="array" ref="Q302">IFERROR(_xlfn.LET(
_xlpm.CSVVal,_xlfn.XLOOKUP($A302,CSV!$A:$A,CSV!AC:AC,""),
_xlpm.MacVal,_xlfn.XLOOKUP($A302,Output_Mac!$A:$A,Output_Mac!U:U,""),
_xlpm.MyAuditVal,_xlfn.XLOOKUP($A302,My_Audit!$A:$A,My_Audit!R:R,""),
_xlfn.IFS(_xlpm.MyAuditVal&lt;&gt;"",UPPER(_xlpm.MyAuditVal),_xlpm.MacVal&lt;&gt;"",_xlpm.MacVal,_xlpm.CSVVal&lt;&gt;"",_xlpm.CSVVal
)),"")</f>
        <v/>
      </c>
      <c r="R302" s="40"/>
      <c r="S302" s="40"/>
      <c r="T302" s="40"/>
      <c r="U302" s="40"/>
      <c r="V302" s="40"/>
      <c r="W302" s="40"/>
      <c r="X302" s="41" t="str">
        <f>_xlfn.LET(
    _xlpm.MacVal, _xlfn.XLOOKUP($A302, Output_Mac!$A:$A, Output_Mac!AB:AB, ""),
    _xlpm.MyAuditVal, _xlfn.XLOOKUP($A302, My_Audit!$A:$A, My_Audit!N:N, ""),
    _xlfn.TEXTJOIN(", ", TRUE, _xlpm.MyAuditVal, _xlpm.MacVal)
)</f>
        <v/>
      </c>
    </row>
    <row r="303" spans="1:24">
      <c r="A303" s="40" t="str">
        <f>_xlfn.TEXTJOIN("",TRUE,Input!$B$2,ROW(My_Audit!A302))</f>
        <v>X302</v>
      </c>
      <c r="B303" s="40" t="str">
        <f>_xlfn.TEXTJOIN("-",TRUE,"ITD",Input!$A$2,A303)</f>
        <v>ITD-X302</v>
      </c>
      <c r="C303" s="40" t="str" cm="1">
        <f t="array" ref="C303">IFERROR(_xlfn.LET(
_xlpm.CSVVal,_xlfn.XLOOKUP($A303,CSV!$A:$A,CSV!B:B,""),
_xlpm.MacVal,_xlfn.XLOOKUP($A303,Output_Mac!$A:$A,Output_Mac!B:B,""),
_xlpm.MyAuditVal,_xlfn.XLOOKUP($A303,My_Audit!$A:$A,My_Audit!B:B,""),
_xlfn.IFS(_xlpm.MyAuditVal&lt;&gt;"",UPPER(_xlpm.MyAuditVal),_xlpm.MacVal&lt;&gt;"",_xlpm.MacVal,_xlpm.CSVVal&lt;&gt;"",_xlpm.CSVVal
)),"")</f>
        <v/>
      </c>
      <c r="D303" s="40" t="str" cm="1">
        <f t="array" ref="D303">IFERROR(_xlfn.LET(
_xlpm.CSVVal,_xlfn.XLOOKUP($A303,CSV!$A:$A,CSV!D:D,""),
_xlpm.MacVal,_xlfn.XLOOKUP($A303,Output_Mac!$A:$A,Output_Mac!C:C,""),
_xlpm.MyAuditVal,_xlfn.XLOOKUP($A303,My_Audit!$A:$A,My_Audit!C:C,""),
_xlfn.IFS(_xlpm.MyAuditVal&lt;&gt;"",_xlpm.MyAuditVal,_xlpm.MacVal&lt;&gt;"",_xlpm.MacVal,_xlpm.CSVVal&lt;&gt;"",_xlpm.CSVVal
)),"")</f>
        <v/>
      </c>
      <c r="E303" s="40">
        <f>_xlfn.XLOOKUP(A303,My_Audit!A:A,My_Audit!D:D,"")</f>
        <v>0</v>
      </c>
      <c r="F303" s="40" t="str" cm="1">
        <f t="array" ref="F303">IFERROR(_xlfn.LET(
_xlpm.CSVVal,_xlfn.XLOOKUP($A303,CSV!$A:$A,CSV!F:F,""),
_xlpm.MacVal,_xlfn.XLOOKUP($A303,Output_Mac!$A:$A,Output_Mac!E:E,""),
_xlpm.MyAuditVal,_xlfn.XLOOKUP($A303,My_Audit!$A:$A,My_Audit!E:E,""),
_xlfn.IFS(_xlpm.MyAuditVal&lt;&gt;"",_xlpm.MyAuditVal,_xlpm.MacVal&lt;&gt;"",_xlpm.MacVal,_xlpm.CSVVal&lt;&gt;"",_xlpm.CSVVal
)),"")</f>
        <v/>
      </c>
      <c r="G303" s="40" t="str" cm="1">
        <f t="array" ref="G303">IFERROR(_xlfn.LET(
_xlpm.CSVVal,_xlfn.XLOOKUP($A303,CSV!$A:$A,CSV!G:G,""),
_xlpm.MacVal,_xlfn.XLOOKUP($A303,Output_Mac!$A:$A,Output_Mac!F:F,""),
_xlpm.MyAuditVal,_xlfn.XLOOKUP($A303,My_Audit!$A:$A,My_Audit!F:F,""),
_xlfn.IFS(_xlpm.MyAuditVal&lt;&gt;"",_xlpm.MyAuditVal,_xlpm.MacVal&lt;&gt;"",_xlpm.MacVal,_xlpm.CSVVal&lt;&gt;"",PROPER(_xlpm.CSVVal)
)),"")</f>
        <v/>
      </c>
      <c r="H303" s="40" t="str" cm="1">
        <f t="array" ref="H303">IFERROR(_xlfn.LET(
_xlpm.CSVVal,_xlfn.XLOOKUP($A303,CSV!$A:$A,CSV!H:H,""),
_xlpm.MacVal,_xlfn.XLOOKUP($A303,Output_Mac!$A:$A,Output_Mac!H:H,""),
_xlpm.MyAuditVal,_xlfn.XLOOKUP($A303,My_Audit!$A:$A,My_Audit!G:G,""),
_xlfn.IFS(_xlpm.MyAuditVal&lt;&gt;"",_xlpm.MyAuditVal,_xlpm.MacVal&lt;&gt;"",_xlpm.MacVal,_xlpm.CSVVal&lt;&gt;"",_xlpm.CSVVal
)),"")</f>
        <v/>
      </c>
      <c r="I303" s="40" t="str">
        <f>_xlfn.XLOOKUP(A303,Output_Mac!A:A,Output_Mac!I:I,"")</f>
        <v/>
      </c>
      <c r="J303" s="40" t="str" cm="1">
        <f t="array" ref="J303">IFERROR(_xlfn.LET(
_xlpm.CSVVal,_xlfn.XLOOKUP($A303,CSV!$A:$A,CSV!I:I,""),
_xlpm.MacVal,_xlfn.XLOOKUP($A303,Output_Mac!$A:$A,Output_Mac!J:J,""),
_xlpm.MyAuditVal,_xlfn.XLOOKUP($A303,My_Audit!$A:$A,My_Audit!I:I,""),
_xlfn.IFS(_xlpm.MyAuditVal&lt;&gt;"",UPPER(_xlpm.MyAuditVal),_xlpm.MacVal&lt;&gt;"",_xlpm.MacVal,_xlpm.CSVVal&lt;&gt;"",_xlpm.CSVVal
)),"")</f>
        <v/>
      </c>
      <c r="K303" s="40" t="str" cm="1">
        <f t="array" ref="K303">IFERROR(_xlfn.LET(
_xlpm.CSVVal,_xlfn.XLOOKUP($A303,CSV!$A:$A,CSV!K:K,""),
_xlpm.MacVal,_xlfn.XLOOKUP($A303,Output_Mac!$A:$A,Output_Mac!K:K,""),
_xlpm.MyAuditVal,_xlfn.XLOOKUP($A303,My_Audit!$A:$A,My_Audit!J:J,""),
_xlfn.IFS(_xlpm.MyAuditVal&lt;&gt;"",UPPER(_xlpm.MyAuditVal),_xlpm.MacVal&lt;&gt;"",_xlpm.MacVal,_xlpm.CSVVal&lt;&gt;"",_xlpm.CSVVal
)),"")</f>
        <v/>
      </c>
      <c r="L303" s="40" t="str" cm="1">
        <f t="array" ref="L303">IFERROR(_xlfn.LET(
_xlpm.CSVVal,_xlfn.XLOOKUP($A303,CSV!$A:$A,CSV!P:P,""),
_xlpm.MacVal,_xlfn.XLOOKUP($A303,Output_Mac!$A:$A,Output_Mac!L:L,""),
_xlpm.MyAuditVal,_xlfn.XLOOKUP($A303,My_Audit!$A:$A,My_Audit!K:K,""),
_xlfn.IFS(_xlpm.MyAuditVal&lt;&gt;"",UPPER(_xlpm.MyAuditVal),_xlpm.MacVal&lt;&gt;"",_xlpm.MacVal,_xlpm.CSVVal&lt;&gt;"",_xlpm.CSVVal
)),"")</f>
        <v/>
      </c>
      <c r="M303" s="40" t="str" cm="1">
        <f t="array" ref="M303">IFERROR(_xlfn.LET(
_xlpm.CSVVal,_xlfn.XLOOKUP($A303,CSV!$A:$A,CSV!Q:Q,""),
_xlpm.MacVal,_xlfn.XLOOKUP($A303,Output_Mac!$A:$A,Output_Mac!M:M,""),
_xlpm.MyAuditVal,_xlfn.XLOOKUP($A303,My_Audit!$A:$A,My_Audit!L:L,""),
_xlfn.IFS(_xlpm.MyAuditVal&lt;&gt;"",UPPER(_xlpm.MyAuditVal),_xlpm.MacVal&lt;&gt;"",_xlpm.MacVal,_xlpm.CSVVal&lt;&gt;"",_xlpm.CSVVal
)),"")</f>
        <v/>
      </c>
      <c r="N303" s="40"/>
      <c r="O303" s="40" t="str">
        <f>_xlfn.LET(
    _xlpm.CSVVal, _xlfn.XLOOKUP($A303, CSV!$A:$A, CSV!AA:AA, ""),
    _xlpm.MacVal, _xlfn.XLOOKUP($A303, Output_Mac!$A:$A, Output_Mac!S:S, ""),
    _xlpm.MyAuditVal, _xlfn.XLOOKUP($A303, My_Audit!$A:$A, My_Audit!P:P, ""),
    _xlfn.TEXTJOIN(", ", TRUE, _xlpm.MyAuditVal, _xlpm.MacVal, _xlpm.CSVVal)
)</f>
        <v/>
      </c>
      <c r="P303" s="40" t="str" cm="1">
        <f t="array" ref="P303">IFERROR(_xlfn.LET(
_xlpm.CSVVal,_xlfn.XLOOKUP($A303,CSV!$A:$A,CSV!AB:AB,""),
_xlpm.MacVal,_xlfn.XLOOKUP($A303,Output_Mac!$A:$A,Output_Mac!T:T,""),
_xlpm.MyAuditVal,_xlfn.XLOOKUP($A303,My_Audit!$A:$A,My_Audit!Q:Q,""),
_xlfn.IFS(_xlpm.MyAuditVal&lt;&gt;"",UPPER(_xlpm.MyAuditVal),_xlpm.MacVal&lt;&gt;"",_xlpm.MacVal,_xlpm.CSVVal&lt;&gt;"",_xlpm.CSVVal
)),"No")</f>
        <v>No</v>
      </c>
      <c r="Q303" s="40" t="str" cm="1">
        <f t="array" ref="Q303">IFERROR(_xlfn.LET(
_xlpm.CSVVal,_xlfn.XLOOKUP($A303,CSV!$A:$A,CSV!AC:AC,""),
_xlpm.MacVal,_xlfn.XLOOKUP($A303,Output_Mac!$A:$A,Output_Mac!U:U,""),
_xlpm.MyAuditVal,_xlfn.XLOOKUP($A303,My_Audit!$A:$A,My_Audit!R:R,""),
_xlfn.IFS(_xlpm.MyAuditVal&lt;&gt;"",UPPER(_xlpm.MyAuditVal),_xlpm.MacVal&lt;&gt;"",_xlpm.MacVal,_xlpm.CSVVal&lt;&gt;"",_xlpm.CSVVal
)),"")</f>
        <v/>
      </c>
      <c r="R303" s="40"/>
      <c r="S303" s="40"/>
      <c r="T303" s="40"/>
      <c r="U303" s="40"/>
      <c r="V303" s="40"/>
      <c r="W303" s="40"/>
      <c r="X303" s="41" t="str">
        <f>_xlfn.LET(
    _xlpm.MacVal, _xlfn.XLOOKUP($A303, Output_Mac!$A:$A, Output_Mac!AB:AB, ""),
    _xlpm.MyAuditVal, _xlfn.XLOOKUP($A303, My_Audit!$A:$A, My_Audit!N:N, ""),
    _xlfn.TEXTJOIN(", ", TRUE, _xlpm.MyAuditVal, _xlpm.MacVal)
)</f>
        <v/>
      </c>
    </row>
    <row r="304" spans="1:24">
      <c r="A304" s="40" t="str">
        <f>_xlfn.TEXTJOIN("",TRUE,Input!$B$2,ROW(My_Audit!A303))</f>
        <v>X303</v>
      </c>
      <c r="B304" s="40" t="str">
        <f>_xlfn.TEXTJOIN("-",TRUE,"ITD",Input!$A$2,A304)</f>
        <v>ITD-X303</v>
      </c>
      <c r="C304" s="40" t="str" cm="1">
        <f t="array" ref="C304">IFERROR(_xlfn.LET(
_xlpm.CSVVal,_xlfn.XLOOKUP($A304,CSV!$A:$A,CSV!B:B,""),
_xlpm.MacVal,_xlfn.XLOOKUP($A304,Output_Mac!$A:$A,Output_Mac!B:B,""),
_xlpm.MyAuditVal,_xlfn.XLOOKUP($A304,My_Audit!$A:$A,My_Audit!B:B,""),
_xlfn.IFS(_xlpm.MyAuditVal&lt;&gt;"",UPPER(_xlpm.MyAuditVal),_xlpm.MacVal&lt;&gt;"",_xlpm.MacVal,_xlpm.CSVVal&lt;&gt;"",_xlpm.CSVVal
)),"")</f>
        <v/>
      </c>
      <c r="D304" s="40" t="str" cm="1">
        <f t="array" ref="D304">IFERROR(_xlfn.LET(
_xlpm.CSVVal,_xlfn.XLOOKUP($A304,CSV!$A:$A,CSV!D:D,""),
_xlpm.MacVal,_xlfn.XLOOKUP($A304,Output_Mac!$A:$A,Output_Mac!C:C,""),
_xlpm.MyAuditVal,_xlfn.XLOOKUP($A304,My_Audit!$A:$A,My_Audit!C:C,""),
_xlfn.IFS(_xlpm.MyAuditVal&lt;&gt;"",_xlpm.MyAuditVal,_xlpm.MacVal&lt;&gt;"",_xlpm.MacVal,_xlpm.CSVVal&lt;&gt;"",_xlpm.CSVVal
)),"")</f>
        <v/>
      </c>
      <c r="E304" s="40">
        <f>_xlfn.XLOOKUP(A304,My_Audit!A:A,My_Audit!D:D,"")</f>
        <v>0</v>
      </c>
      <c r="F304" s="40" t="str" cm="1">
        <f t="array" ref="F304">IFERROR(_xlfn.LET(
_xlpm.CSVVal,_xlfn.XLOOKUP($A304,CSV!$A:$A,CSV!F:F,""),
_xlpm.MacVal,_xlfn.XLOOKUP($A304,Output_Mac!$A:$A,Output_Mac!E:E,""),
_xlpm.MyAuditVal,_xlfn.XLOOKUP($A304,My_Audit!$A:$A,My_Audit!E:E,""),
_xlfn.IFS(_xlpm.MyAuditVal&lt;&gt;"",_xlpm.MyAuditVal,_xlpm.MacVal&lt;&gt;"",_xlpm.MacVal,_xlpm.CSVVal&lt;&gt;"",_xlpm.CSVVal
)),"")</f>
        <v/>
      </c>
      <c r="G304" s="40" t="str" cm="1">
        <f t="array" ref="G304">IFERROR(_xlfn.LET(
_xlpm.CSVVal,_xlfn.XLOOKUP($A304,CSV!$A:$A,CSV!G:G,""),
_xlpm.MacVal,_xlfn.XLOOKUP($A304,Output_Mac!$A:$A,Output_Mac!F:F,""),
_xlpm.MyAuditVal,_xlfn.XLOOKUP($A304,My_Audit!$A:$A,My_Audit!F:F,""),
_xlfn.IFS(_xlpm.MyAuditVal&lt;&gt;"",_xlpm.MyAuditVal,_xlpm.MacVal&lt;&gt;"",_xlpm.MacVal,_xlpm.CSVVal&lt;&gt;"",PROPER(_xlpm.CSVVal)
)),"")</f>
        <v/>
      </c>
      <c r="H304" s="40" t="str" cm="1">
        <f t="array" ref="H304">IFERROR(_xlfn.LET(
_xlpm.CSVVal,_xlfn.XLOOKUP($A304,CSV!$A:$A,CSV!H:H,""),
_xlpm.MacVal,_xlfn.XLOOKUP($A304,Output_Mac!$A:$A,Output_Mac!H:H,""),
_xlpm.MyAuditVal,_xlfn.XLOOKUP($A304,My_Audit!$A:$A,My_Audit!G:G,""),
_xlfn.IFS(_xlpm.MyAuditVal&lt;&gt;"",_xlpm.MyAuditVal,_xlpm.MacVal&lt;&gt;"",_xlpm.MacVal,_xlpm.CSVVal&lt;&gt;"",_xlpm.CSVVal
)),"")</f>
        <v/>
      </c>
      <c r="I304" s="40" t="str">
        <f>_xlfn.XLOOKUP(A304,Output_Mac!A:A,Output_Mac!I:I,"")</f>
        <v/>
      </c>
      <c r="J304" s="40" t="str" cm="1">
        <f t="array" ref="J304">IFERROR(_xlfn.LET(
_xlpm.CSVVal,_xlfn.XLOOKUP($A304,CSV!$A:$A,CSV!I:I,""),
_xlpm.MacVal,_xlfn.XLOOKUP($A304,Output_Mac!$A:$A,Output_Mac!J:J,""),
_xlpm.MyAuditVal,_xlfn.XLOOKUP($A304,My_Audit!$A:$A,My_Audit!I:I,""),
_xlfn.IFS(_xlpm.MyAuditVal&lt;&gt;"",UPPER(_xlpm.MyAuditVal),_xlpm.MacVal&lt;&gt;"",_xlpm.MacVal,_xlpm.CSVVal&lt;&gt;"",_xlpm.CSVVal
)),"")</f>
        <v/>
      </c>
      <c r="K304" s="40" t="str" cm="1">
        <f t="array" ref="K304">IFERROR(_xlfn.LET(
_xlpm.CSVVal,_xlfn.XLOOKUP($A304,CSV!$A:$A,CSV!K:K,""),
_xlpm.MacVal,_xlfn.XLOOKUP($A304,Output_Mac!$A:$A,Output_Mac!K:K,""),
_xlpm.MyAuditVal,_xlfn.XLOOKUP($A304,My_Audit!$A:$A,My_Audit!J:J,""),
_xlfn.IFS(_xlpm.MyAuditVal&lt;&gt;"",UPPER(_xlpm.MyAuditVal),_xlpm.MacVal&lt;&gt;"",_xlpm.MacVal,_xlpm.CSVVal&lt;&gt;"",_xlpm.CSVVal
)),"")</f>
        <v/>
      </c>
      <c r="L304" s="40" t="str" cm="1">
        <f t="array" ref="L304">IFERROR(_xlfn.LET(
_xlpm.CSVVal,_xlfn.XLOOKUP($A304,CSV!$A:$A,CSV!P:P,""),
_xlpm.MacVal,_xlfn.XLOOKUP($A304,Output_Mac!$A:$A,Output_Mac!L:L,""),
_xlpm.MyAuditVal,_xlfn.XLOOKUP($A304,My_Audit!$A:$A,My_Audit!K:K,""),
_xlfn.IFS(_xlpm.MyAuditVal&lt;&gt;"",UPPER(_xlpm.MyAuditVal),_xlpm.MacVal&lt;&gt;"",_xlpm.MacVal,_xlpm.CSVVal&lt;&gt;"",_xlpm.CSVVal
)),"")</f>
        <v/>
      </c>
      <c r="M304" s="40" t="str" cm="1">
        <f t="array" ref="M304">IFERROR(_xlfn.LET(
_xlpm.CSVVal,_xlfn.XLOOKUP($A304,CSV!$A:$A,CSV!Q:Q,""),
_xlpm.MacVal,_xlfn.XLOOKUP($A304,Output_Mac!$A:$A,Output_Mac!M:M,""),
_xlpm.MyAuditVal,_xlfn.XLOOKUP($A304,My_Audit!$A:$A,My_Audit!L:L,""),
_xlfn.IFS(_xlpm.MyAuditVal&lt;&gt;"",UPPER(_xlpm.MyAuditVal),_xlpm.MacVal&lt;&gt;"",_xlpm.MacVal,_xlpm.CSVVal&lt;&gt;"",_xlpm.CSVVal
)),"")</f>
        <v/>
      </c>
      <c r="N304" s="40"/>
      <c r="O304" s="40" t="str">
        <f>_xlfn.LET(
    _xlpm.CSVVal, _xlfn.XLOOKUP($A304, CSV!$A:$A, CSV!AA:AA, ""),
    _xlpm.MacVal, _xlfn.XLOOKUP($A304, Output_Mac!$A:$A, Output_Mac!S:S, ""),
    _xlpm.MyAuditVal, _xlfn.XLOOKUP($A304, My_Audit!$A:$A, My_Audit!P:P, ""),
    _xlfn.TEXTJOIN(", ", TRUE, _xlpm.MyAuditVal, _xlpm.MacVal, _xlpm.CSVVal)
)</f>
        <v/>
      </c>
      <c r="P304" s="40" t="str" cm="1">
        <f t="array" ref="P304">IFERROR(_xlfn.LET(
_xlpm.CSVVal,_xlfn.XLOOKUP($A304,CSV!$A:$A,CSV!AB:AB,""),
_xlpm.MacVal,_xlfn.XLOOKUP($A304,Output_Mac!$A:$A,Output_Mac!T:T,""),
_xlpm.MyAuditVal,_xlfn.XLOOKUP($A304,My_Audit!$A:$A,My_Audit!Q:Q,""),
_xlfn.IFS(_xlpm.MyAuditVal&lt;&gt;"",UPPER(_xlpm.MyAuditVal),_xlpm.MacVal&lt;&gt;"",_xlpm.MacVal,_xlpm.CSVVal&lt;&gt;"",_xlpm.CSVVal
)),"No")</f>
        <v>No</v>
      </c>
      <c r="Q304" s="40" t="str" cm="1">
        <f t="array" ref="Q304">IFERROR(_xlfn.LET(
_xlpm.CSVVal,_xlfn.XLOOKUP($A304,CSV!$A:$A,CSV!AC:AC,""),
_xlpm.MacVal,_xlfn.XLOOKUP($A304,Output_Mac!$A:$A,Output_Mac!U:U,""),
_xlpm.MyAuditVal,_xlfn.XLOOKUP($A304,My_Audit!$A:$A,My_Audit!R:R,""),
_xlfn.IFS(_xlpm.MyAuditVal&lt;&gt;"",UPPER(_xlpm.MyAuditVal),_xlpm.MacVal&lt;&gt;"",_xlpm.MacVal,_xlpm.CSVVal&lt;&gt;"",_xlpm.CSVVal
)),"")</f>
        <v/>
      </c>
      <c r="R304" s="40"/>
      <c r="S304" s="40"/>
      <c r="T304" s="40"/>
      <c r="U304" s="40"/>
      <c r="V304" s="40"/>
      <c r="W304" s="40"/>
      <c r="X304" s="41" t="str">
        <f>_xlfn.LET(
    _xlpm.MacVal, _xlfn.XLOOKUP($A304, Output_Mac!$A:$A, Output_Mac!AB:AB, ""),
    _xlpm.MyAuditVal, _xlfn.XLOOKUP($A304, My_Audit!$A:$A, My_Audit!N:N, ""),
    _xlfn.TEXTJOIN(", ", TRUE, _xlpm.MyAuditVal, _xlpm.MacVal)
)</f>
        <v/>
      </c>
    </row>
    <row r="305" spans="1:24">
      <c r="A305" s="40" t="str">
        <f>_xlfn.TEXTJOIN("",TRUE,Input!$B$2,ROW(My_Audit!A304))</f>
        <v>X304</v>
      </c>
      <c r="B305" s="40" t="str">
        <f>_xlfn.TEXTJOIN("-",TRUE,"ITD",Input!$A$2,A305)</f>
        <v>ITD-X304</v>
      </c>
      <c r="C305" s="40" t="str" cm="1">
        <f t="array" ref="C305">IFERROR(_xlfn.LET(
_xlpm.CSVVal,_xlfn.XLOOKUP($A305,CSV!$A:$A,CSV!B:B,""),
_xlpm.MacVal,_xlfn.XLOOKUP($A305,Output_Mac!$A:$A,Output_Mac!B:B,""),
_xlpm.MyAuditVal,_xlfn.XLOOKUP($A305,My_Audit!$A:$A,My_Audit!B:B,""),
_xlfn.IFS(_xlpm.MyAuditVal&lt;&gt;"",UPPER(_xlpm.MyAuditVal),_xlpm.MacVal&lt;&gt;"",_xlpm.MacVal,_xlpm.CSVVal&lt;&gt;"",_xlpm.CSVVal
)),"")</f>
        <v/>
      </c>
      <c r="D305" s="40" t="str" cm="1">
        <f t="array" ref="D305">IFERROR(_xlfn.LET(
_xlpm.CSVVal,_xlfn.XLOOKUP($A305,CSV!$A:$A,CSV!D:D,""),
_xlpm.MacVal,_xlfn.XLOOKUP($A305,Output_Mac!$A:$A,Output_Mac!C:C,""),
_xlpm.MyAuditVal,_xlfn.XLOOKUP($A305,My_Audit!$A:$A,My_Audit!C:C,""),
_xlfn.IFS(_xlpm.MyAuditVal&lt;&gt;"",_xlpm.MyAuditVal,_xlpm.MacVal&lt;&gt;"",_xlpm.MacVal,_xlpm.CSVVal&lt;&gt;"",_xlpm.CSVVal
)),"")</f>
        <v/>
      </c>
      <c r="E305" s="40">
        <f>_xlfn.XLOOKUP(A305,My_Audit!A:A,My_Audit!D:D,"")</f>
        <v>0</v>
      </c>
      <c r="F305" s="40" t="str" cm="1">
        <f t="array" ref="F305">IFERROR(_xlfn.LET(
_xlpm.CSVVal,_xlfn.XLOOKUP($A305,CSV!$A:$A,CSV!F:F,""),
_xlpm.MacVal,_xlfn.XLOOKUP($A305,Output_Mac!$A:$A,Output_Mac!E:E,""),
_xlpm.MyAuditVal,_xlfn.XLOOKUP($A305,My_Audit!$A:$A,My_Audit!E:E,""),
_xlfn.IFS(_xlpm.MyAuditVal&lt;&gt;"",_xlpm.MyAuditVal,_xlpm.MacVal&lt;&gt;"",_xlpm.MacVal,_xlpm.CSVVal&lt;&gt;"",_xlpm.CSVVal
)),"")</f>
        <v/>
      </c>
      <c r="G305" s="40" t="str" cm="1">
        <f t="array" ref="G305">IFERROR(_xlfn.LET(
_xlpm.CSVVal,_xlfn.XLOOKUP($A305,CSV!$A:$A,CSV!G:G,""),
_xlpm.MacVal,_xlfn.XLOOKUP($A305,Output_Mac!$A:$A,Output_Mac!F:F,""),
_xlpm.MyAuditVal,_xlfn.XLOOKUP($A305,My_Audit!$A:$A,My_Audit!F:F,""),
_xlfn.IFS(_xlpm.MyAuditVal&lt;&gt;"",_xlpm.MyAuditVal,_xlpm.MacVal&lt;&gt;"",_xlpm.MacVal,_xlpm.CSVVal&lt;&gt;"",PROPER(_xlpm.CSVVal)
)),"")</f>
        <v/>
      </c>
      <c r="H305" s="40" t="str" cm="1">
        <f t="array" ref="H305">IFERROR(_xlfn.LET(
_xlpm.CSVVal,_xlfn.XLOOKUP($A305,CSV!$A:$A,CSV!H:H,""),
_xlpm.MacVal,_xlfn.XLOOKUP($A305,Output_Mac!$A:$A,Output_Mac!H:H,""),
_xlpm.MyAuditVal,_xlfn.XLOOKUP($A305,My_Audit!$A:$A,My_Audit!G:G,""),
_xlfn.IFS(_xlpm.MyAuditVal&lt;&gt;"",_xlpm.MyAuditVal,_xlpm.MacVal&lt;&gt;"",_xlpm.MacVal,_xlpm.CSVVal&lt;&gt;"",_xlpm.CSVVal
)),"")</f>
        <v/>
      </c>
      <c r="I305" s="40" t="str">
        <f>_xlfn.XLOOKUP(A305,Output_Mac!A:A,Output_Mac!I:I,"")</f>
        <v/>
      </c>
      <c r="J305" s="40" t="str" cm="1">
        <f t="array" ref="J305">IFERROR(_xlfn.LET(
_xlpm.CSVVal,_xlfn.XLOOKUP($A305,CSV!$A:$A,CSV!I:I,""),
_xlpm.MacVal,_xlfn.XLOOKUP($A305,Output_Mac!$A:$A,Output_Mac!J:J,""),
_xlpm.MyAuditVal,_xlfn.XLOOKUP($A305,My_Audit!$A:$A,My_Audit!I:I,""),
_xlfn.IFS(_xlpm.MyAuditVal&lt;&gt;"",UPPER(_xlpm.MyAuditVal),_xlpm.MacVal&lt;&gt;"",_xlpm.MacVal,_xlpm.CSVVal&lt;&gt;"",_xlpm.CSVVal
)),"")</f>
        <v/>
      </c>
      <c r="K305" s="40" t="str" cm="1">
        <f t="array" ref="K305">IFERROR(_xlfn.LET(
_xlpm.CSVVal,_xlfn.XLOOKUP($A305,CSV!$A:$A,CSV!K:K,""),
_xlpm.MacVal,_xlfn.XLOOKUP($A305,Output_Mac!$A:$A,Output_Mac!K:K,""),
_xlpm.MyAuditVal,_xlfn.XLOOKUP($A305,My_Audit!$A:$A,My_Audit!J:J,""),
_xlfn.IFS(_xlpm.MyAuditVal&lt;&gt;"",UPPER(_xlpm.MyAuditVal),_xlpm.MacVal&lt;&gt;"",_xlpm.MacVal,_xlpm.CSVVal&lt;&gt;"",_xlpm.CSVVal
)),"")</f>
        <v/>
      </c>
      <c r="L305" s="40" t="str" cm="1">
        <f t="array" ref="L305">IFERROR(_xlfn.LET(
_xlpm.CSVVal,_xlfn.XLOOKUP($A305,CSV!$A:$A,CSV!P:P,""),
_xlpm.MacVal,_xlfn.XLOOKUP($A305,Output_Mac!$A:$A,Output_Mac!L:L,""),
_xlpm.MyAuditVal,_xlfn.XLOOKUP($A305,My_Audit!$A:$A,My_Audit!K:K,""),
_xlfn.IFS(_xlpm.MyAuditVal&lt;&gt;"",UPPER(_xlpm.MyAuditVal),_xlpm.MacVal&lt;&gt;"",_xlpm.MacVal,_xlpm.CSVVal&lt;&gt;"",_xlpm.CSVVal
)),"")</f>
        <v/>
      </c>
      <c r="M305" s="40" t="str" cm="1">
        <f t="array" ref="M305">IFERROR(_xlfn.LET(
_xlpm.CSVVal,_xlfn.XLOOKUP($A305,CSV!$A:$A,CSV!Q:Q,""),
_xlpm.MacVal,_xlfn.XLOOKUP($A305,Output_Mac!$A:$A,Output_Mac!M:M,""),
_xlpm.MyAuditVal,_xlfn.XLOOKUP($A305,My_Audit!$A:$A,My_Audit!L:L,""),
_xlfn.IFS(_xlpm.MyAuditVal&lt;&gt;"",UPPER(_xlpm.MyAuditVal),_xlpm.MacVal&lt;&gt;"",_xlpm.MacVal,_xlpm.CSVVal&lt;&gt;"",_xlpm.CSVVal
)),"")</f>
        <v/>
      </c>
      <c r="N305" s="40"/>
      <c r="O305" s="40" t="str">
        <f>_xlfn.LET(
    _xlpm.CSVVal, _xlfn.XLOOKUP($A305, CSV!$A:$A, CSV!AA:AA, ""),
    _xlpm.MacVal, _xlfn.XLOOKUP($A305, Output_Mac!$A:$A, Output_Mac!S:S, ""),
    _xlpm.MyAuditVal, _xlfn.XLOOKUP($A305, My_Audit!$A:$A, My_Audit!P:P, ""),
    _xlfn.TEXTJOIN(", ", TRUE, _xlpm.MyAuditVal, _xlpm.MacVal, _xlpm.CSVVal)
)</f>
        <v/>
      </c>
      <c r="P305" s="40" t="str" cm="1">
        <f t="array" ref="P305">IFERROR(_xlfn.LET(
_xlpm.CSVVal,_xlfn.XLOOKUP($A305,CSV!$A:$A,CSV!AB:AB,""),
_xlpm.MacVal,_xlfn.XLOOKUP($A305,Output_Mac!$A:$A,Output_Mac!T:T,""),
_xlpm.MyAuditVal,_xlfn.XLOOKUP($A305,My_Audit!$A:$A,My_Audit!Q:Q,""),
_xlfn.IFS(_xlpm.MyAuditVal&lt;&gt;"",UPPER(_xlpm.MyAuditVal),_xlpm.MacVal&lt;&gt;"",_xlpm.MacVal,_xlpm.CSVVal&lt;&gt;"",_xlpm.CSVVal
)),"No")</f>
        <v>No</v>
      </c>
      <c r="Q305" s="40" t="str" cm="1">
        <f t="array" ref="Q305">IFERROR(_xlfn.LET(
_xlpm.CSVVal,_xlfn.XLOOKUP($A305,CSV!$A:$A,CSV!AC:AC,""),
_xlpm.MacVal,_xlfn.XLOOKUP($A305,Output_Mac!$A:$A,Output_Mac!U:U,""),
_xlpm.MyAuditVal,_xlfn.XLOOKUP($A305,My_Audit!$A:$A,My_Audit!R:R,""),
_xlfn.IFS(_xlpm.MyAuditVal&lt;&gt;"",UPPER(_xlpm.MyAuditVal),_xlpm.MacVal&lt;&gt;"",_xlpm.MacVal,_xlpm.CSVVal&lt;&gt;"",_xlpm.CSVVal
)),"")</f>
        <v/>
      </c>
      <c r="R305" s="40"/>
      <c r="S305" s="40"/>
      <c r="T305" s="40"/>
      <c r="U305" s="40"/>
      <c r="V305" s="40"/>
      <c r="W305" s="40"/>
      <c r="X305" s="41" t="str">
        <f>_xlfn.LET(
    _xlpm.MacVal, _xlfn.XLOOKUP($A305, Output_Mac!$A:$A, Output_Mac!AB:AB, ""),
    _xlpm.MyAuditVal, _xlfn.XLOOKUP($A305, My_Audit!$A:$A, My_Audit!N:N, ""),
    _xlfn.TEXTJOIN(", ", TRUE, _xlpm.MyAuditVal, _xlpm.MacVal)
)</f>
        <v/>
      </c>
    </row>
    <row r="306" spans="1:24">
      <c r="A306" s="40" t="str">
        <f>_xlfn.TEXTJOIN("",TRUE,Input!$B$2,ROW(My_Audit!A305))</f>
        <v>X305</v>
      </c>
      <c r="B306" s="40" t="str">
        <f>_xlfn.TEXTJOIN("-",TRUE,"ITD",Input!$A$2,A306)</f>
        <v>ITD-X305</v>
      </c>
      <c r="C306" s="40" t="str" cm="1">
        <f t="array" ref="C306">IFERROR(_xlfn.LET(
_xlpm.CSVVal,_xlfn.XLOOKUP($A306,CSV!$A:$A,CSV!B:B,""),
_xlpm.MacVal,_xlfn.XLOOKUP($A306,Output_Mac!$A:$A,Output_Mac!B:B,""),
_xlpm.MyAuditVal,_xlfn.XLOOKUP($A306,My_Audit!$A:$A,My_Audit!B:B,""),
_xlfn.IFS(_xlpm.MyAuditVal&lt;&gt;"",UPPER(_xlpm.MyAuditVal),_xlpm.MacVal&lt;&gt;"",_xlpm.MacVal,_xlpm.CSVVal&lt;&gt;"",_xlpm.CSVVal
)),"")</f>
        <v/>
      </c>
      <c r="D306" s="40" t="str" cm="1">
        <f t="array" ref="D306">IFERROR(_xlfn.LET(
_xlpm.CSVVal,_xlfn.XLOOKUP($A306,CSV!$A:$A,CSV!D:D,""),
_xlpm.MacVal,_xlfn.XLOOKUP($A306,Output_Mac!$A:$A,Output_Mac!C:C,""),
_xlpm.MyAuditVal,_xlfn.XLOOKUP($A306,My_Audit!$A:$A,My_Audit!C:C,""),
_xlfn.IFS(_xlpm.MyAuditVal&lt;&gt;"",_xlpm.MyAuditVal,_xlpm.MacVal&lt;&gt;"",_xlpm.MacVal,_xlpm.CSVVal&lt;&gt;"",_xlpm.CSVVal
)),"")</f>
        <v/>
      </c>
      <c r="E306" s="40">
        <f>_xlfn.XLOOKUP(A306,My_Audit!A:A,My_Audit!D:D,"")</f>
        <v>0</v>
      </c>
      <c r="F306" s="40" t="str" cm="1">
        <f t="array" ref="F306">IFERROR(_xlfn.LET(
_xlpm.CSVVal,_xlfn.XLOOKUP($A306,CSV!$A:$A,CSV!F:F,""),
_xlpm.MacVal,_xlfn.XLOOKUP($A306,Output_Mac!$A:$A,Output_Mac!E:E,""),
_xlpm.MyAuditVal,_xlfn.XLOOKUP($A306,My_Audit!$A:$A,My_Audit!E:E,""),
_xlfn.IFS(_xlpm.MyAuditVal&lt;&gt;"",_xlpm.MyAuditVal,_xlpm.MacVal&lt;&gt;"",_xlpm.MacVal,_xlpm.CSVVal&lt;&gt;"",_xlpm.CSVVal
)),"")</f>
        <v/>
      </c>
      <c r="G306" s="40" t="str" cm="1">
        <f t="array" ref="G306">IFERROR(_xlfn.LET(
_xlpm.CSVVal,_xlfn.XLOOKUP($A306,CSV!$A:$A,CSV!G:G,""),
_xlpm.MacVal,_xlfn.XLOOKUP($A306,Output_Mac!$A:$A,Output_Mac!F:F,""),
_xlpm.MyAuditVal,_xlfn.XLOOKUP($A306,My_Audit!$A:$A,My_Audit!F:F,""),
_xlfn.IFS(_xlpm.MyAuditVal&lt;&gt;"",_xlpm.MyAuditVal,_xlpm.MacVal&lt;&gt;"",_xlpm.MacVal,_xlpm.CSVVal&lt;&gt;"",PROPER(_xlpm.CSVVal)
)),"")</f>
        <v/>
      </c>
      <c r="H306" s="40" t="str" cm="1">
        <f t="array" ref="H306">IFERROR(_xlfn.LET(
_xlpm.CSVVal,_xlfn.XLOOKUP($A306,CSV!$A:$A,CSV!H:H,""),
_xlpm.MacVal,_xlfn.XLOOKUP($A306,Output_Mac!$A:$A,Output_Mac!H:H,""),
_xlpm.MyAuditVal,_xlfn.XLOOKUP($A306,My_Audit!$A:$A,My_Audit!G:G,""),
_xlfn.IFS(_xlpm.MyAuditVal&lt;&gt;"",_xlpm.MyAuditVal,_xlpm.MacVal&lt;&gt;"",_xlpm.MacVal,_xlpm.CSVVal&lt;&gt;"",_xlpm.CSVVal
)),"")</f>
        <v/>
      </c>
      <c r="I306" s="40" t="str">
        <f>_xlfn.XLOOKUP(A306,Output_Mac!A:A,Output_Mac!I:I,"")</f>
        <v/>
      </c>
      <c r="J306" s="40" t="str" cm="1">
        <f t="array" ref="J306">IFERROR(_xlfn.LET(
_xlpm.CSVVal,_xlfn.XLOOKUP($A306,CSV!$A:$A,CSV!I:I,""),
_xlpm.MacVal,_xlfn.XLOOKUP($A306,Output_Mac!$A:$A,Output_Mac!J:J,""),
_xlpm.MyAuditVal,_xlfn.XLOOKUP($A306,My_Audit!$A:$A,My_Audit!I:I,""),
_xlfn.IFS(_xlpm.MyAuditVal&lt;&gt;"",UPPER(_xlpm.MyAuditVal),_xlpm.MacVal&lt;&gt;"",_xlpm.MacVal,_xlpm.CSVVal&lt;&gt;"",_xlpm.CSVVal
)),"")</f>
        <v/>
      </c>
      <c r="K306" s="40" t="str" cm="1">
        <f t="array" ref="K306">IFERROR(_xlfn.LET(
_xlpm.CSVVal,_xlfn.XLOOKUP($A306,CSV!$A:$A,CSV!K:K,""),
_xlpm.MacVal,_xlfn.XLOOKUP($A306,Output_Mac!$A:$A,Output_Mac!K:K,""),
_xlpm.MyAuditVal,_xlfn.XLOOKUP($A306,My_Audit!$A:$A,My_Audit!J:J,""),
_xlfn.IFS(_xlpm.MyAuditVal&lt;&gt;"",UPPER(_xlpm.MyAuditVal),_xlpm.MacVal&lt;&gt;"",_xlpm.MacVal,_xlpm.CSVVal&lt;&gt;"",_xlpm.CSVVal
)),"")</f>
        <v/>
      </c>
      <c r="L306" s="40" t="str" cm="1">
        <f t="array" ref="L306">IFERROR(_xlfn.LET(
_xlpm.CSVVal,_xlfn.XLOOKUP($A306,CSV!$A:$A,CSV!P:P,""),
_xlpm.MacVal,_xlfn.XLOOKUP($A306,Output_Mac!$A:$A,Output_Mac!L:L,""),
_xlpm.MyAuditVal,_xlfn.XLOOKUP($A306,My_Audit!$A:$A,My_Audit!K:K,""),
_xlfn.IFS(_xlpm.MyAuditVal&lt;&gt;"",UPPER(_xlpm.MyAuditVal),_xlpm.MacVal&lt;&gt;"",_xlpm.MacVal,_xlpm.CSVVal&lt;&gt;"",_xlpm.CSVVal
)),"")</f>
        <v/>
      </c>
      <c r="M306" s="40" t="str" cm="1">
        <f t="array" ref="M306">IFERROR(_xlfn.LET(
_xlpm.CSVVal,_xlfn.XLOOKUP($A306,CSV!$A:$A,CSV!Q:Q,""),
_xlpm.MacVal,_xlfn.XLOOKUP($A306,Output_Mac!$A:$A,Output_Mac!M:M,""),
_xlpm.MyAuditVal,_xlfn.XLOOKUP($A306,My_Audit!$A:$A,My_Audit!L:L,""),
_xlfn.IFS(_xlpm.MyAuditVal&lt;&gt;"",UPPER(_xlpm.MyAuditVal),_xlpm.MacVal&lt;&gt;"",_xlpm.MacVal,_xlpm.CSVVal&lt;&gt;"",_xlpm.CSVVal
)),"")</f>
        <v/>
      </c>
      <c r="N306" s="40"/>
      <c r="O306" s="40" t="str">
        <f>_xlfn.LET(
    _xlpm.CSVVal, _xlfn.XLOOKUP($A306, CSV!$A:$A, CSV!AA:AA, ""),
    _xlpm.MacVal, _xlfn.XLOOKUP($A306, Output_Mac!$A:$A, Output_Mac!S:S, ""),
    _xlpm.MyAuditVal, _xlfn.XLOOKUP($A306, My_Audit!$A:$A, My_Audit!P:P, ""),
    _xlfn.TEXTJOIN(", ", TRUE, _xlpm.MyAuditVal, _xlpm.MacVal, _xlpm.CSVVal)
)</f>
        <v/>
      </c>
      <c r="P306" s="40" t="str" cm="1">
        <f t="array" ref="P306">IFERROR(_xlfn.LET(
_xlpm.CSVVal,_xlfn.XLOOKUP($A306,CSV!$A:$A,CSV!AB:AB,""),
_xlpm.MacVal,_xlfn.XLOOKUP($A306,Output_Mac!$A:$A,Output_Mac!T:T,""),
_xlpm.MyAuditVal,_xlfn.XLOOKUP($A306,My_Audit!$A:$A,My_Audit!Q:Q,""),
_xlfn.IFS(_xlpm.MyAuditVal&lt;&gt;"",UPPER(_xlpm.MyAuditVal),_xlpm.MacVal&lt;&gt;"",_xlpm.MacVal,_xlpm.CSVVal&lt;&gt;"",_xlpm.CSVVal
)),"No")</f>
        <v>No</v>
      </c>
      <c r="Q306" s="40" t="str" cm="1">
        <f t="array" ref="Q306">IFERROR(_xlfn.LET(
_xlpm.CSVVal,_xlfn.XLOOKUP($A306,CSV!$A:$A,CSV!AC:AC,""),
_xlpm.MacVal,_xlfn.XLOOKUP($A306,Output_Mac!$A:$A,Output_Mac!U:U,""),
_xlpm.MyAuditVal,_xlfn.XLOOKUP($A306,My_Audit!$A:$A,My_Audit!R:R,""),
_xlfn.IFS(_xlpm.MyAuditVal&lt;&gt;"",UPPER(_xlpm.MyAuditVal),_xlpm.MacVal&lt;&gt;"",_xlpm.MacVal,_xlpm.CSVVal&lt;&gt;"",_xlpm.CSVVal
)),"")</f>
        <v/>
      </c>
      <c r="R306" s="40"/>
      <c r="S306" s="40"/>
      <c r="T306" s="40"/>
      <c r="U306" s="40"/>
      <c r="V306" s="40"/>
      <c r="W306" s="40"/>
      <c r="X306" s="41" t="str">
        <f>_xlfn.LET(
    _xlpm.MacVal, _xlfn.XLOOKUP($A306, Output_Mac!$A:$A, Output_Mac!AB:AB, ""),
    _xlpm.MyAuditVal, _xlfn.XLOOKUP($A306, My_Audit!$A:$A, My_Audit!N:N, ""),
    _xlfn.TEXTJOIN(", ", TRUE, _xlpm.MyAuditVal, _xlpm.MacVal)
)</f>
        <v/>
      </c>
    </row>
    <row r="307" spans="1:24">
      <c r="A307" s="40" t="str">
        <f>_xlfn.TEXTJOIN("",TRUE,Input!$B$2,ROW(My_Audit!A306))</f>
        <v>X306</v>
      </c>
      <c r="B307" s="40" t="str">
        <f>_xlfn.TEXTJOIN("-",TRUE,"ITD",Input!$A$2,A307)</f>
        <v>ITD-X306</v>
      </c>
      <c r="C307" s="40" t="str" cm="1">
        <f t="array" ref="C307">IFERROR(_xlfn.LET(
_xlpm.CSVVal,_xlfn.XLOOKUP($A307,CSV!$A:$A,CSV!B:B,""),
_xlpm.MacVal,_xlfn.XLOOKUP($A307,Output_Mac!$A:$A,Output_Mac!B:B,""),
_xlpm.MyAuditVal,_xlfn.XLOOKUP($A307,My_Audit!$A:$A,My_Audit!B:B,""),
_xlfn.IFS(_xlpm.MyAuditVal&lt;&gt;"",UPPER(_xlpm.MyAuditVal),_xlpm.MacVal&lt;&gt;"",_xlpm.MacVal,_xlpm.CSVVal&lt;&gt;"",_xlpm.CSVVal
)),"")</f>
        <v/>
      </c>
      <c r="D307" s="40" t="str" cm="1">
        <f t="array" ref="D307">IFERROR(_xlfn.LET(
_xlpm.CSVVal,_xlfn.XLOOKUP($A307,CSV!$A:$A,CSV!D:D,""),
_xlpm.MacVal,_xlfn.XLOOKUP($A307,Output_Mac!$A:$A,Output_Mac!C:C,""),
_xlpm.MyAuditVal,_xlfn.XLOOKUP($A307,My_Audit!$A:$A,My_Audit!C:C,""),
_xlfn.IFS(_xlpm.MyAuditVal&lt;&gt;"",_xlpm.MyAuditVal,_xlpm.MacVal&lt;&gt;"",_xlpm.MacVal,_xlpm.CSVVal&lt;&gt;"",_xlpm.CSVVal
)),"")</f>
        <v/>
      </c>
      <c r="E307" s="40">
        <f>_xlfn.XLOOKUP(A307,My_Audit!A:A,My_Audit!D:D,"")</f>
        <v>0</v>
      </c>
      <c r="F307" s="40" t="str" cm="1">
        <f t="array" ref="F307">IFERROR(_xlfn.LET(
_xlpm.CSVVal,_xlfn.XLOOKUP($A307,CSV!$A:$A,CSV!F:F,""),
_xlpm.MacVal,_xlfn.XLOOKUP($A307,Output_Mac!$A:$A,Output_Mac!E:E,""),
_xlpm.MyAuditVal,_xlfn.XLOOKUP($A307,My_Audit!$A:$A,My_Audit!E:E,""),
_xlfn.IFS(_xlpm.MyAuditVal&lt;&gt;"",_xlpm.MyAuditVal,_xlpm.MacVal&lt;&gt;"",_xlpm.MacVal,_xlpm.CSVVal&lt;&gt;"",_xlpm.CSVVal
)),"")</f>
        <v/>
      </c>
      <c r="G307" s="40" t="str" cm="1">
        <f t="array" ref="G307">IFERROR(_xlfn.LET(
_xlpm.CSVVal,_xlfn.XLOOKUP($A307,CSV!$A:$A,CSV!G:G,""),
_xlpm.MacVal,_xlfn.XLOOKUP($A307,Output_Mac!$A:$A,Output_Mac!F:F,""),
_xlpm.MyAuditVal,_xlfn.XLOOKUP($A307,My_Audit!$A:$A,My_Audit!F:F,""),
_xlfn.IFS(_xlpm.MyAuditVal&lt;&gt;"",_xlpm.MyAuditVal,_xlpm.MacVal&lt;&gt;"",_xlpm.MacVal,_xlpm.CSVVal&lt;&gt;"",PROPER(_xlpm.CSVVal)
)),"")</f>
        <v/>
      </c>
      <c r="H307" s="40" t="str" cm="1">
        <f t="array" ref="H307">IFERROR(_xlfn.LET(
_xlpm.CSVVal,_xlfn.XLOOKUP($A307,CSV!$A:$A,CSV!H:H,""),
_xlpm.MacVal,_xlfn.XLOOKUP($A307,Output_Mac!$A:$A,Output_Mac!H:H,""),
_xlpm.MyAuditVal,_xlfn.XLOOKUP($A307,My_Audit!$A:$A,My_Audit!G:G,""),
_xlfn.IFS(_xlpm.MyAuditVal&lt;&gt;"",_xlpm.MyAuditVal,_xlpm.MacVal&lt;&gt;"",_xlpm.MacVal,_xlpm.CSVVal&lt;&gt;"",_xlpm.CSVVal
)),"")</f>
        <v/>
      </c>
      <c r="I307" s="40" t="str">
        <f>_xlfn.XLOOKUP(A307,Output_Mac!A:A,Output_Mac!I:I,"")</f>
        <v/>
      </c>
      <c r="J307" s="40" t="str" cm="1">
        <f t="array" ref="J307">IFERROR(_xlfn.LET(
_xlpm.CSVVal,_xlfn.XLOOKUP($A307,CSV!$A:$A,CSV!I:I,""),
_xlpm.MacVal,_xlfn.XLOOKUP($A307,Output_Mac!$A:$A,Output_Mac!J:J,""),
_xlpm.MyAuditVal,_xlfn.XLOOKUP($A307,My_Audit!$A:$A,My_Audit!I:I,""),
_xlfn.IFS(_xlpm.MyAuditVal&lt;&gt;"",UPPER(_xlpm.MyAuditVal),_xlpm.MacVal&lt;&gt;"",_xlpm.MacVal,_xlpm.CSVVal&lt;&gt;"",_xlpm.CSVVal
)),"")</f>
        <v/>
      </c>
      <c r="K307" s="40" t="str" cm="1">
        <f t="array" ref="K307">IFERROR(_xlfn.LET(
_xlpm.CSVVal,_xlfn.XLOOKUP($A307,CSV!$A:$A,CSV!K:K,""),
_xlpm.MacVal,_xlfn.XLOOKUP($A307,Output_Mac!$A:$A,Output_Mac!K:K,""),
_xlpm.MyAuditVal,_xlfn.XLOOKUP($A307,My_Audit!$A:$A,My_Audit!J:J,""),
_xlfn.IFS(_xlpm.MyAuditVal&lt;&gt;"",UPPER(_xlpm.MyAuditVal),_xlpm.MacVal&lt;&gt;"",_xlpm.MacVal,_xlpm.CSVVal&lt;&gt;"",_xlpm.CSVVal
)),"")</f>
        <v/>
      </c>
      <c r="L307" s="40" t="str" cm="1">
        <f t="array" ref="L307">IFERROR(_xlfn.LET(
_xlpm.CSVVal,_xlfn.XLOOKUP($A307,CSV!$A:$A,CSV!P:P,""),
_xlpm.MacVal,_xlfn.XLOOKUP($A307,Output_Mac!$A:$A,Output_Mac!L:L,""),
_xlpm.MyAuditVal,_xlfn.XLOOKUP($A307,My_Audit!$A:$A,My_Audit!K:K,""),
_xlfn.IFS(_xlpm.MyAuditVal&lt;&gt;"",UPPER(_xlpm.MyAuditVal),_xlpm.MacVal&lt;&gt;"",_xlpm.MacVal,_xlpm.CSVVal&lt;&gt;"",_xlpm.CSVVal
)),"")</f>
        <v/>
      </c>
      <c r="M307" s="40" t="str" cm="1">
        <f t="array" ref="M307">IFERROR(_xlfn.LET(
_xlpm.CSVVal,_xlfn.XLOOKUP($A307,CSV!$A:$A,CSV!Q:Q,""),
_xlpm.MacVal,_xlfn.XLOOKUP($A307,Output_Mac!$A:$A,Output_Mac!M:M,""),
_xlpm.MyAuditVal,_xlfn.XLOOKUP($A307,My_Audit!$A:$A,My_Audit!L:L,""),
_xlfn.IFS(_xlpm.MyAuditVal&lt;&gt;"",UPPER(_xlpm.MyAuditVal),_xlpm.MacVal&lt;&gt;"",_xlpm.MacVal,_xlpm.CSVVal&lt;&gt;"",_xlpm.CSVVal
)),"")</f>
        <v/>
      </c>
      <c r="N307" s="40"/>
      <c r="O307" s="40" t="str">
        <f>_xlfn.LET(
    _xlpm.CSVVal, _xlfn.XLOOKUP($A307, CSV!$A:$A, CSV!AA:AA, ""),
    _xlpm.MacVal, _xlfn.XLOOKUP($A307, Output_Mac!$A:$A, Output_Mac!S:S, ""),
    _xlpm.MyAuditVal, _xlfn.XLOOKUP($A307, My_Audit!$A:$A, My_Audit!P:P, ""),
    _xlfn.TEXTJOIN(", ", TRUE, _xlpm.MyAuditVal, _xlpm.MacVal, _xlpm.CSVVal)
)</f>
        <v/>
      </c>
      <c r="P307" s="40" t="str" cm="1">
        <f t="array" ref="P307">IFERROR(_xlfn.LET(
_xlpm.CSVVal,_xlfn.XLOOKUP($A307,CSV!$A:$A,CSV!AB:AB,""),
_xlpm.MacVal,_xlfn.XLOOKUP($A307,Output_Mac!$A:$A,Output_Mac!T:T,""),
_xlpm.MyAuditVal,_xlfn.XLOOKUP($A307,My_Audit!$A:$A,My_Audit!Q:Q,""),
_xlfn.IFS(_xlpm.MyAuditVal&lt;&gt;"",UPPER(_xlpm.MyAuditVal),_xlpm.MacVal&lt;&gt;"",_xlpm.MacVal,_xlpm.CSVVal&lt;&gt;"",_xlpm.CSVVal
)),"No")</f>
        <v>No</v>
      </c>
      <c r="Q307" s="40" t="str" cm="1">
        <f t="array" ref="Q307">IFERROR(_xlfn.LET(
_xlpm.CSVVal,_xlfn.XLOOKUP($A307,CSV!$A:$A,CSV!AC:AC,""),
_xlpm.MacVal,_xlfn.XLOOKUP($A307,Output_Mac!$A:$A,Output_Mac!U:U,""),
_xlpm.MyAuditVal,_xlfn.XLOOKUP($A307,My_Audit!$A:$A,My_Audit!R:R,""),
_xlfn.IFS(_xlpm.MyAuditVal&lt;&gt;"",UPPER(_xlpm.MyAuditVal),_xlpm.MacVal&lt;&gt;"",_xlpm.MacVal,_xlpm.CSVVal&lt;&gt;"",_xlpm.CSVVal
)),"")</f>
        <v/>
      </c>
      <c r="R307" s="40"/>
      <c r="S307" s="40"/>
      <c r="T307" s="40"/>
      <c r="U307" s="40"/>
      <c r="V307" s="40"/>
      <c r="W307" s="40"/>
      <c r="X307" s="41" t="str">
        <f>_xlfn.LET(
    _xlpm.MacVal, _xlfn.XLOOKUP($A307, Output_Mac!$A:$A, Output_Mac!AB:AB, ""),
    _xlpm.MyAuditVal, _xlfn.XLOOKUP($A307, My_Audit!$A:$A, My_Audit!N:N, ""),
    _xlfn.TEXTJOIN(", ", TRUE, _xlpm.MyAuditVal, _xlpm.MacVal)
)</f>
        <v/>
      </c>
    </row>
    <row r="308" spans="1:24">
      <c r="A308" s="40" t="str">
        <f>_xlfn.TEXTJOIN("",TRUE,Input!$B$2,ROW(My_Audit!A307))</f>
        <v>X307</v>
      </c>
      <c r="B308" s="40" t="str">
        <f>_xlfn.TEXTJOIN("-",TRUE,"ITD",Input!$A$2,A308)</f>
        <v>ITD-X307</v>
      </c>
      <c r="C308" s="40" t="str" cm="1">
        <f t="array" ref="C308">IFERROR(_xlfn.LET(
_xlpm.CSVVal,_xlfn.XLOOKUP($A308,CSV!$A:$A,CSV!B:B,""),
_xlpm.MacVal,_xlfn.XLOOKUP($A308,Output_Mac!$A:$A,Output_Mac!B:B,""),
_xlpm.MyAuditVal,_xlfn.XLOOKUP($A308,My_Audit!$A:$A,My_Audit!B:B,""),
_xlfn.IFS(_xlpm.MyAuditVal&lt;&gt;"",UPPER(_xlpm.MyAuditVal),_xlpm.MacVal&lt;&gt;"",_xlpm.MacVal,_xlpm.CSVVal&lt;&gt;"",_xlpm.CSVVal
)),"")</f>
        <v/>
      </c>
      <c r="D308" s="40" t="str" cm="1">
        <f t="array" ref="D308">IFERROR(_xlfn.LET(
_xlpm.CSVVal,_xlfn.XLOOKUP($A308,CSV!$A:$A,CSV!D:D,""),
_xlpm.MacVal,_xlfn.XLOOKUP($A308,Output_Mac!$A:$A,Output_Mac!C:C,""),
_xlpm.MyAuditVal,_xlfn.XLOOKUP($A308,My_Audit!$A:$A,My_Audit!C:C,""),
_xlfn.IFS(_xlpm.MyAuditVal&lt;&gt;"",_xlpm.MyAuditVal,_xlpm.MacVal&lt;&gt;"",_xlpm.MacVal,_xlpm.CSVVal&lt;&gt;"",_xlpm.CSVVal
)),"")</f>
        <v/>
      </c>
      <c r="E308" s="40">
        <f>_xlfn.XLOOKUP(A308,My_Audit!A:A,My_Audit!D:D,"")</f>
        <v>0</v>
      </c>
      <c r="F308" s="40" t="str" cm="1">
        <f t="array" ref="F308">IFERROR(_xlfn.LET(
_xlpm.CSVVal,_xlfn.XLOOKUP($A308,CSV!$A:$A,CSV!F:F,""),
_xlpm.MacVal,_xlfn.XLOOKUP($A308,Output_Mac!$A:$A,Output_Mac!E:E,""),
_xlpm.MyAuditVal,_xlfn.XLOOKUP($A308,My_Audit!$A:$A,My_Audit!E:E,""),
_xlfn.IFS(_xlpm.MyAuditVal&lt;&gt;"",_xlpm.MyAuditVal,_xlpm.MacVal&lt;&gt;"",_xlpm.MacVal,_xlpm.CSVVal&lt;&gt;"",_xlpm.CSVVal
)),"")</f>
        <v/>
      </c>
      <c r="G308" s="40" t="str" cm="1">
        <f t="array" ref="G308">IFERROR(_xlfn.LET(
_xlpm.CSVVal,_xlfn.XLOOKUP($A308,CSV!$A:$A,CSV!G:G,""),
_xlpm.MacVal,_xlfn.XLOOKUP($A308,Output_Mac!$A:$A,Output_Mac!F:F,""),
_xlpm.MyAuditVal,_xlfn.XLOOKUP($A308,My_Audit!$A:$A,My_Audit!F:F,""),
_xlfn.IFS(_xlpm.MyAuditVal&lt;&gt;"",_xlpm.MyAuditVal,_xlpm.MacVal&lt;&gt;"",_xlpm.MacVal,_xlpm.CSVVal&lt;&gt;"",PROPER(_xlpm.CSVVal)
)),"")</f>
        <v/>
      </c>
      <c r="H308" s="40" t="str" cm="1">
        <f t="array" ref="H308">IFERROR(_xlfn.LET(
_xlpm.CSVVal,_xlfn.XLOOKUP($A308,CSV!$A:$A,CSV!H:H,""),
_xlpm.MacVal,_xlfn.XLOOKUP($A308,Output_Mac!$A:$A,Output_Mac!H:H,""),
_xlpm.MyAuditVal,_xlfn.XLOOKUP($A308,My_Audit!$A:$A,My_Audit!G:G,""),
_xlfn.IFS(_xlpm.MyAuditVal&lt;&gt;"",_xlpm.MyAuditVal,_xlpm.MacVal&lt;&gt;"",_xlpm.MacVal,_xlpm.CSVVal&lt;&gt;"",_xlpm.CSVVal
)),"")</f>
        <v/>
      </c>
      <c r="I308" s="40" t="str">
        <f>_xlfn.XLOOKUP(A308,Output_Mac!A:A,Output_Mac!I:I,"")</f>
        <v/>
      </c>
      <c r="J308" s="40" t="str" cm="1">
        <f t="array" ref="J308">IFERROR(_xlfn.LET(
_xlpm.CSVVal,_xlfn.XLOOKUP($A308,CSV!$A:$A,CSV!I:I,""),
_xlpm.MacVal,_xlfn.XLOOKUP($A308,Output_Mac!$A:$A,Output_Mac!J:J,""),
_xlpm.MyAuditVal,_xlfn.XLOOKUP($A308,My_Audit!$A:$A,My_Audit!I:I,""),
_xlfn.IFS(_xlpm.MyAuditVal&lt;&gt;"",UPPER(_xlpm.MyAuditVal),_xlpm.MacVal&lt;&gt;"",_xlpm.MacVal,_xlpm.CSVVal&lt;&gt;"",_xlpm.CSVVal
)),"")</f>
        <v/>
      </c>
      <c r="K308" s="40" t="str" cm="1">
        <f t="array" ref="K308">IFERROR(_xlfn.LET(
_xlpm.CSVVal,_xlfn.XLOOKUP($A308,CSV!$A:$A,CSV!K:K,""),
_xlpm.MacVal,_xlfn.XLOOKUP($A308,Output_Mac!$A:$A,Output_Mac!K:K,""),
_xlpm.MyAuditVal,_xlfn.XLOOKUP($A308,My_Audit!$A:$A,My_Audit!J:J,""),
_xlfn.IFS(_xlpm.MyAuditVal&lt;&gt;"",UPPER(_xlpm.MyAuditVal),_xlpm.MacVal&lt;&gt;"",_xlpm.MacVal,_xlpm.CSVVal&lt;&gt;"",_xlpm.CSVVal
)),"")</f>
        <v/>
      </c>
      <c r="L308" s="40" t="str" cm="1">
        <f t="array" ref="L308">IFERROR(_xlfn.LET(
_xlpm.CSVVal,_xlfn.XLOOKUP($A308,CSV!$A:$A,CSV!P:P,""),
_xlpm.MacVal,_xlfn.XLOOKUP($A308,Output_Mac!$A:$A,Output_Mac!L:L,""),
_xlpm.MyAuditVal,_xlfn.XLOOKUP($A308,My_Audit!$A:$A,My_Audit!K:K,""),
_xlfn.IFS(_xlpm.MyAuditVal&lt;&gt;"",UPPER(_xlpm.MyAuditVal),_xlpm.MacVal&lt;&gt;"",_xlpm.MacVal,_xlpm.CSVVal&lt;&gt;"",_xlpm.CSVVal
)),"")</f>
        <v/>
      </c>
      <c r="M308" s="40" t="str" cm="1">
        <f t="array" ref="M308">IFERROR(_xlfn.LET(
_xlpm.CSVVal,_xlfn.XLOOKUP($A308,CSV!$A:$A,CSV!Q:Q,""),
_xlpm.MacVal,_xlfn.XLOOKUP($A308,Output_Mac!$A:$A,Output_Mac!M:M,""),
_xlpm.MyAuditVal,_xlfn.XLOOKUP($A308,My_Audit!$A:$A,My_Audit!L:L,""),
_xlfn.IFS(_xlpm.MyAuditVal&lt;&gt;"",UPPER(_xlpm.MyAuditVal),_xlpm.MacVal&lt;&gt;"",_xlpm.MacVal,_xlpm.CSVVal&lt;&gt;"",_xlpm.CSVVal
)),"")</f>
        <v/>
      </c>
      <c r="N308" s="40"/>
      <c r="O308" s="40" t="str">
        <f>_xlfn.LET(
    _xlpm.CSVVal, _xlfn.XLOOKUP($A308, CSV!$A:$A, CSV!AA:AA, ""),
    _xlpm.MacVal, _xlfn.XLOOKUP($A308, Output_Mac!$A:$A, Output_Mac!S:S, ""),
    _xlpm.MyAuditVal, _xlfn.XLOOKUP($A308, My_Audit!$A:$A, My_Audit!P:P, ""),
    _xlfn.TEXTJOIN(", ", TRUE, _xlpm.MyAuditVal, _xlpm.MacVal, _xlpm.CSVVal)
)</f>
        <v/>
      </c>
      <c r="P308" s="40" t="str" cm="1">
        <f t="array" ref="P308">IFERROR(_xlfn.LET(
_xlpm.CSVVal,_xlfn.XLOOKUP($A308,CSV!$A:$A,CSV!AB:AB,""),
_xlpm.MacVal,_xlfn.XLOOKUP($A308,Output_Mac!$A:$A,Output_Mac!T:T,""),
_xlpm.MyAuditVal,_xlfn.XLOOKUP($A308,My_Audit!$A:$A,My_Audit!Q:Q,""),
_xlfn.IFS(_xlpm.MyAuditVal&lt;&gt;"",UPPER(_xlpm.MyAuditVal),_xlpm.MacVal&lt;&gt;"",_xlpm.MacVal,_xlpm.CSVVal&lt;&gt;"",_xlpm.CSVVal
)),"No")</f>
        <v>No</v>
      </c>
      <c r="Q308" s="40" t="str" cm="1">
        <f t="array" ref="Q308">IFERROR(_xlfn.LET(
_xlpm.CSVVal,_xlfn.XLOOKUP($A308,CSV!$A:$A,CSV!AC:AC,""),
_xlpm.MacVal,_xlfn.XLOOKUP($A308,Output_Mac!$A:$A,Output_Mac!U:U,""),
_xlpm.MyAuditVal,_xlfn.XLOOKUP($A308,My_Audit!$A:$A,My_Audit!R:R,""),
_xlfn.IFS(_xlpm.MyAuditVal&lt;&gt;"",UPPER(_xlpm.MyAuditVal),_xlpm.MacVal&lt;&gt;"",_xlpm.MacVal,_xlpm.CSVVal&lt;&gt;"",_xlpm.CSVVal
)),"")</f>
        <v/>
      </c>
      <c r="R308" s="40"/>
      <c r="S308" s="40"/>
      <c r="T308" s="40"/>
      <c r="U308" s="40"/>
      <c r="V308" s="40"/>
      <c r="W308" s="40"/>
      <c r="X308" s="41" t="str">
        <f>_xlfn.LET(
    _xlpm.MacVal, _xlfn.XLOOKUP($A308, Output_Mac!$A:$A, Output_Mac!AB:AB, ""),
    _xlpm.MyAuditVal, _xlfn.XLOOKUP($A308, My_Audit!$A:$A, My_Audit!N:N, ""),
    _xlfn.TEXTJOIN(", ", TRUE, _xlpm.MyAuditVal, _xlpm.MacVal)
)</f>
        <v/>
      </c>
    </row>
    <row r="309" spans="1:24">
      <c r="A309" s="40" t="str">
        <f>_xlfn.TEXTJOIN("",TRUE,Input!$B$2,ROW(My_Audit!A308))</f>
        <v>X308</v>
      </c>
      <c r="B309" s="40" t="str">
        <f>_xlfn.TEXTJOIN("-",TRUE,"ITD",Input!$A$2,A309)</f>
        <v>ITD-X308</v>
      </c>
      <c r="C309" s="40" t="str" cm="1">
        <f t="array" ref="C309">IFERROR(_xlfn.LET(
_xlpm.CSVVal,_xlfn.XLOOKUP($A309,CSV!$A:$A,CSV!B:B,""),
_xlpm.MacVal,_xlfn.XLOOKUP($A309,Output_Mac!$A:$A,Output_Mac!B:B,""),
_xlpm.MyAuditVal,_xlfn.XLOOKUP($A309,My_Audit!$A:$A,My_Audit!B:B,""),
_xlfn.IFS(_xlpm.MyAuditVal&lt;&gt;"",UPPER(_xlpm.MyAuditVal),_xlpm.MacVal&lt;&gt;"",_xlpm.MacVal,_xlpm.CSVVal&lt;&gt;"",_xlpm.CSVVal
)),"")</f>
        <v/>
      </c>
      <c r="D309" s="40" t="str" cm="1">
        <f t="array" ref="D309">IFERROR(_xlfn.LET(
_xlpm.CSVVal,_xlfn.XLOOKUP($A309,CSV!$A:$A,CSV!D:D,""),
_xlpm.MacVal,_xlfn.XLOOKUP($A309,Output_Mac!$A:$A,Output_Mac!C:C,""),
_xlpm.MyAuditVal,_xlfn.XLOOKUP($A309,My_Audit!$A:$A,My_Audit!C:C,""),
_xlfn.IFS(_xlpm.MyAuditVal&lt;&gt;"",_xlpm.MyAuditVal,_xlpm.MacVal&lt;&gt;"",_xlpm.MacVal,_xlpm.CSVVal&lt;&gt;"",_xlpm.CSVVal
)),"")</f>
        <v/>
      </c>
      <c r="E309" s="40">
        <f>_xlfn.XLOOKUP(A309,My_Audit!A:A,My_Audit!D:D,"")</f>
        <v>0</v>
      </c>
      <c r="F309" s="40" t="str" cm="1">
        <f t="array" ref="F309">IFERROR(_xlfn.LET(
_xlpm.CSVVal,_xlfn.XLOOKUP($A309,CSV!$A:$A,CSV!F:F,""),
_xlpm.MacVal,_xlfn.XLOOKUP($A309,Output_Mac!$A:$A,Output_Mac!E:E,""),
_xlpm.MyAuditVal,_xlfn.XLOOKUP($A309,My_Audit!$A:$A,My_Audit!E:E,""),
_xlfn.IFS(_xlpm.MyAuditVal&lt;&gt;"",_xlpm.MyAuditVal,_xlpm.MacVal&lt;&gt;"",_xlpm.MacVal,_xlpm.CSVVal&lt;&gt;"",_xlpm.CSVVal
)),"")</f>
        <v/>
      </c>
      <c r="G309" s="40" t="str" cm="1">
        <f t="array" ref="G309">IFERROR(_xlfn.LET(
_xlpm.CSVVal,_xlfn.XLOOKUP($A309,CSV!$A:$A,CSV!G:G,""),
_xlpm.MacVal,_xlfn.XLOOKUP($A309,Output_Mac!$A:$A,Output_Mac!F:F,""),
_xlpm.MyAuditVal,_xlfn.XLOOKUP($A309,My_Audit!$A:$A,My_Audit!F:F,""),
_xlfn.IFS(_xlpm.MyAuditVal&lt;&gt;"",_xlpm.MyAuditVal,_xlpm.MacVal&lt;&gt;"",_xlpm.MacVal,_xlpm.CSVVal&lt;&gt;"",PROPER(_xlpm.CSVVal)
)),"")</f>
        <v/>
      </c>
      <c r="H309" s="40" t="str" cm="1">
        <f t="array" ref="H309">IFERROR(_xlfn.LET(
_xlpm.CSVVal,_xlfn.XLOOKUP($A309,CSV!$A:$A,CSV!H:H,""),
_xlpm.MacVal,_xlfn.XLOOKUP($A309,Output_Mac!$A:$A,Output_Mac!H:H,""),
_xlpm.MyAuditVal,_xlfn.XLOOKUP($A309,My_Audit!$A:$A,My_Audit!G:G,""),
_xlfn.IFS(_xlpm.MyAuditVal&lt;&gt;"",_xlpm.MyAuditVal,_xlpm.MacVal&lt;&gt;"",_xlpm.MacVal,_xlpm.CSVVal&lt;&gt;"",_xlpm.CSVVal
)),"")</f>
        <v/>
      </c>
      <c r="I309" s="40" t="str">
        <f>_xlfn.XLOOKUP(A309,Output_Mac!A:A,Output_Mac!I:I,"")</f>
        <v/>
      </c>
      <c r="J309" s="40" t="str" cm="1">
        <f t="array" ref="J309">IFERROR(_xlfn.LET(
_xlpm.CSVVal,_xlfn.XLOOKUP($A309,CSV!$A:$A,CSV!I:I,""),
_xlpm.MacVal,_xlfn.XLOOKUP($A309,Output_Mac!$A:$A,Output_Mac!J:J,""),
_xlpm.MyAuditVal,_xlfn.XLOOKUP($A309,My_Audit!$A:$A,My_Audit!I:I,""),
_xlfn.IFS(_xlpm.MyAuditVal&lt;&gt;"",UPPER(_xlpm.MyAuditVal),_xlpm.MacVal&lt;&gt;"",_xlpm.MacVal,_xlpm.CSVVal&lt;&gt;"",_xlpm.CSVVal
)),"")</f>
        <v/>
      </c>
      <c r="K309" s="40" t="str" cm="1">
        <f t="array" ref="K309">IFERROR(_xlfn.LET(
_xlpm.CSVVal,_xlfn.XLOOKUP($A309,CSV!$A:$A,CSV!K:K,""),
_xlpm.MacVal,_xlfn.XLOOKUP($A309,Output_Mac!$A:$A,Output_Mac!K:K,""),
_xlpm.MyAuditVal,_xlfn.XLOOKUP($A309,My_Audit!$A:$A,My_Audit!J:J,""),
_xlfn.IFS(_xlpm.MyAuditVal&lt;&gt;"",UPPER(_xlpm.MyAuditVal),_xlpm.MacVal&lt;&gt;"",_xlpm.MacVal,_xlpm.CSVVal&lt;&gt;"",_xlpm.CSVVal
)),"")</f>
        <v/>
      </c>
      <c r="L309" s="40" t="str" cm="1">
        <f t="array" ref="L309">IFERROR(_xlfn.LET(
_xlpm.CSVVal,_xlfn.XLOOKUP($A309,CSV!$A:$A,CSV!P:P,""),
_xlpm.MacVal,_xlfn.XLOOKUP($A309,Output_Mac!$A:$A,Output_Mac!L:L,""),
_xlpm.MyAuditVal,_xlfn.XLOOKUP($A309,My_Audit!$A:$A,My_Audit!K:K,""),
_xlfn.IFS(_xlpm.MyAuditVal&lt;&gt;"",UPPER(_xlpm.MyAuditVal),_xlpm.MacVal&lt;&gt;"",_xlpm.MacVal,_xlpm.CSVVal&lt;&gt;"",_xlpm.CSVVal
)),"")</f>
        <v/>
      </c>
      <c r="M309" s="40" t="str" cm="1">
        <f t="array" ref="M309">IFERROR(_xlfn.LET(
_xlpm.CSVVal,_xlfn.XLOOKUP($A309,CSV!$A:$A,CSV!Q:Q,""),
_xlpm.MacVal,_xlfn.XLOOKUP($A309,Output_Mac!$A:$A,Output_Mac!M:M,""),
_xlpm.MyAuditVal,_xlfn.XLOOKUP($A309,My_Audit!$A:$A,My_Audit!L:L,""),
_xlfn.IFS(_xlpm.MyAuditVal&lt;&gt;"",UPPER(_xlpm.MyAuditVal),_xlpm.MacVal&lt;&gt;"",_xlpm.MacVal,_xlpm.CSVVal&lt;&gt;"",_xlpm.CSVVal
)),"")</f>
        <v/>
      </c>
      <c r="N309" s="40"/>
      <c r="O309" s="40" t="str">
        <f>_xlfn.LET(
    _xlpm.CSVVal, _xlfn.XLOOKUP($A309, CSV!$A:$A, CSV!AA:AA, ""),
    _xlpm.MacVal, _xlfn.XLOOKUP($A309, Output_Mac!$A:$A, Output_Mac!S:S, ""),
    _xlpm.MyAuditVal, _xlfn.XLOOKUP($A309, My_Audit!$A:$A, My_Audit!P:P, ""),
    _xlfn.TEXTJOIN(", ", TRUE, _xlpm.MyAuditVal, _xlpm.MacVal, _xlpm.CSVVal)
)</f>
        <v/>
      </c>
      <c r="P309" s="40" t="str" cm="1">
        <f t="array" ref="P309">IFERROR(_xlfn.LET(
_xlpm.CSVVal,_xlfn.XLOOKUP($A309,CSV!$A:$A,CSV!AB:AB,""),
_xlpm.MacVal,_xlfn.XLOOKUP($A309,Output_Mac!$A:$A,Output_Mac!T:T,""),
_xlpm.MyAuditVal,_xlfn.XLOOKUP($A309,My_Audit!$A:$A,My_Audit!Q:Q,""),
_xlfn.IFS(_xlpm.MyAuditVal&lt;&gt;"",UPPER(_xlpm.MyAuditVal),_xlpm.MacVal&lt;&gt;"",_xlpm.MacVal,_xlpm.CSVVal&lt;&gt;"",_xlpm.CSVVal
)),"No")</f>
        <v>No</v>
      </c>
      <c r="Q309" s="40" t="str" cm="1">
        <f t="array" ref="Q309">IFERROR(_xlfn.LET(
_xlpm.CSVVal,_xlfn.XLOOKUP($A309,CSV!$A:$A,CSV!AC:AC,""),
_xlpm.MacVal,_xlfn.XLOOKUP($A309,Output_Mac!$A:$A,Output_Mac!U:U,""),
_xlpm.MyAuditVal,_xlfn.XLOOKUP($A309,My_Audit!$A:$A,My_Audit!R:R,""),
_xlfn.IFS(_xlpm.MyAuditVal&lt;&gt;"",UPPER(_xlpm.MyAuditVal),_xlpm.MacVal&lt;&gt;"",_xlpm.MacVal,_xlpm.CSVVal&lt;&gt;"",_xlpm.CSVVal
)),"")</f>
        <v/>
      </c>
      <c r="R309" s="40"/>
      <c r="S309" s="40"/>
      <c r="T309" s="40"/>
      <c r="U309" s="40"/>
      <c r="V309" s="40"/>
      <c r="W309" s="40"/>
      <c r="X309" s="41" t="str">
        <f>_xlfn.LET(
    _xlpm.MacVal, _xlfn.XLOOKUP($A309, Output_Mac!$A:$A, Output_Mac!AB:AB, ""),
    _xlpm.MyAuditVal, _xlfn.XLOOKUP($A309, My_Audit!$A:$A, My_Audit!N:N, ""),
    _xlfn.TEXTJOIN(", ", TRUE, _xlpm.MyAuditVal, _xlpm.MacVal)
)</f>
        <v/>
      </c>
    </row>
    <row r="310" spans="1:24">
      <c r="A310" s="40" t="str">
        <f>_xlfn.TEXTJOIN("",TRUE,Input!$B$2,ROW(My_Audit!A309))</f>
        <v>X309</v>
      </c>
      <c r="B310" s="40" t="str">
        <f>_xlfn.TEXTJOIN("-",TRUE,"ITD",Input!$A$2,A310)</f>
        <v>ITD-X309</v>
      </c>
      <c r="C310" s="40" t="str" cm="1">
        <f t="array" ref="C310">IFERROR(_xlfn.LET(
_xlpm.CSVVal,_xlfn.XLOOKUP($A310,CSV!$A:$A,CSV!B:B,""),
_xlpm.MacVal,_xlfn.XLOOKUP($A310,Output_Mac!$A:$A,Output_Mac!B:B,""),
_xlpm.MyAuditVal,_xlfn.XLOOKUP($A310,My_Audit!$A:$A,My_Audit!B:B,""),
_xlfn.IFS(_xlpm.MyAuditVal&lt;&gt;"",UPPER(_xlpm.MyAuditVal),_xlpm.MacVal&lt;&gt;"",_xlpm.MacVal,_xlpm.CSVVal&lt;&gt;"",_xlpm.CSVVal
)),"")</f>
        <v/>
      </c>
      <c r="D310" s="40" t="str" cm="1">
        <f t="array" ref="D310">IFERROR(_xlfn.LET(
_xlpm.CSVVal,_xlfn.XLOOKUP($A310,CSV!$A:$A,CSV!D:D,""),
_xlpm.MacVal,_xlfn.XLOOKUP($A310,Output_Mac!$A:$A,Output_Mac!C:C,""),
_xlpm.MyAuditVal,_xlfn.XLOOKUP($A310,My_Audit!$A:$A,My_Audit!C:C,""),
_xlfn.IFS(_xlpm.MyAuditVal&lt;&gt;"",_xlpm.MyAuditVal,_xlpm.MacVal&lt;&gt;"",_xlpm.MacVal,_xlpm.CSVVal&lt;&gt;"",_xlpm.CSVVal
)),"")</f>
        <v/>
      </c>
      <c r="E310" s="40">
        <f>_xlfn.XLOOKUP(A310,My_Audit!A:A,My_Audit!D:D,"")</f>
        <v>0</v>
      </c>
      <c r="F310" s="40" t="str" cm="1">
        <f t="array" ref="F310">IFERROR(_xlfn.LET(
_xlpm.CSVVal,_xlfn.XLOOKUP($A310,CSV!$A:$A,CSV!F:F,""),
_xlpm.MacVal,_xlfn.XLOOKUP($A310,Output_Mac!$A:$A,Output_Mac!E:E,""),
_xlpm.MyAuditVal,_xlfn.XLOOKUP($A310,My_Audit!$A:$A,My_Audit!E:E,""),
_xlfn.IFS(_xlpm.MyAuditVal&lt;&gt;"",_xlpm.MyAuditVal,_xlpm.MacVal&lt;&gt;"",_xlpm.MacVal,_xlpm.CSVVal&lt;&gt;"",_xlpm.CSVVal
)),"")</f>
        <v/>
      </c>
      <c r="G310" s="40" t="str" cm="1">
        <f t="array" ref="G310">IFERROR(_xlfn.LET(
_xlpm.CSVVal,_xlfn.XLOOKUP($A310,CSV!$A:$A,CSV!G:G,""),
_xlpm.MacVal,_xlfn.XLOOKUP($A310,Output_Mac!$A:$A,Output_Mac!F:F,""),
_xlpm.MyAuditVal,_xlfn.XLOOKUP($A310,My_Audit!$A:$A,My_Audit!F:F,""),
_xlfn.IFS(_xlpm.MyAuditVal&lt;&gt;"",_xlpm.MyAuditVal,_xlpm.MacVal&lt;&gt;"",_xlpm.MacVal,_xlpm.CSVVal&lt;&gt;"",PROPER(_xlpm.CSVVal)
)),"")</f>
        <v/>
      </c>
      <c r="H310" s="40" t="str" cm="1">
        <f t="array" ref="H310">IFERROR(_xlfn.LET(
_xlpm.CSVVal,_xlfn.XLOOKUP($A310,CSV!$A:$A,CSV!H:H,""),
_xlpm.MacVal,_xlfn.XLOOKUP($A310,Output_Mac!$A:$A,Output_Mac!H:H,""),
_xlpm.MyAuditVal,_xlfn.XLOOKUP($A310,My_Audit!$A:$A,My_Audit!G:G,""),
_xlfn.IFS(_xlpm.MyAuditVal&lt;&gt;"",_xlpm.MyAuditVal,_xlpm.MacVal&lt;&gt;"",_xlpm.MacVal,_xlpm.CSVVal&lt;&gt;"",_xlpm.CSVVal
)),"")</f>
        <v/>
      </c>
      <c r="I310" s="40" t="str">
        <f>_xlfn.XLOOKUP(A310,Output_Mac!A:A,Output_Mac!I:I,"")</f>
        <v/>
      </c>
      <c r="J310" s="40" t="str" cm="1">
        <f t="array" ref="J310">IFERROR(_xlfn.LET(
_xlpm.CSVVal,_xlfn.XLOOKUP($A310,CSV!$A:$A,CSV!I:I,""),
_xlpm.MacVal,_xlfn.XLOOKUP($A310,Output_Mac!$A:$A,Output_Mac!J:J,""),
_xlpm.MyAuditVal,_xlfn.XLOOKUP($A310,My_Audit!$A:$A,My_Audit!I:I,""),
_xlfn.IFS(_xlpm.MyAuditVal&lt;&gt;"",UPPER(_xlpm.MyAuditVal),_xlpm.MacVal&lt;&gt;"",_xlpm.MacVal,_xlpm.CSVVal&lt;&gt;"",_xlpm.CSVVal
)),"")</f>
        <v/>
      </c>
      <c r="K310" s="40" t="str" cm="1">
        <f t="array" ref="K310">IFERROR(_xlfn.LET(
_xlpm.CSVVal,_xlfn.XLOOKUP($A310,CSV!$A:$A,CSV!K:K,""),
_xlpm.MacVal,_xlfn.XLOOKUP($A310,Output_Mac!$A:$A,Output_Mac!K:K,""),
_xlpm.MyAuditVal,_xlfn.XLOOKUP($A310,My_Audit!$A:$A,My_Audit!J:J,""),
_xlfn.IFS(_xlpm.MyAuditVal&lt;&gt;"",UPPER(_xlpm.MyAuditVal),_xlpm.MacVal&lt;&gt;"",_xlpm.MacVal,_xlpm.CSVVal&lt;&gt;"",_xlpm.CSVVal
)),"")</f>
        <v/>
      </c>
      <c r="L310" s="40" t="str" cm="1">
        <f t="array" ref="L310">IFERROR(_xlfn.LET(
_xlpm.CSVVal,_xlfn.XLOOKUP($A310,CSV!$A:$A,CSV!P:P,""),
_xlpm.MacVal,_xlfn.XLOOKUP($A310,Output_Mac!$A:$A,Output_Mac!L:L,""),
_xlpm.MyAuditVal,_xlfn.XLOOKUP($A310,My_Audit!$A:$A,My_Audit!K:K,""),
_xlfn.IFS(_xlpm.MyAuditVal&lt;&gt;"",UPPER(_xlpm.MyAuditVal),_xlpm.MacVal&lt;&gt;"",_xlpm.MacVal,_xlpm.CSVVal&lt;&gt;"",_xlpm.CSVVal
)),"")</f>
        <v/>
      </c>
      <c r="M310" s="40" t="str" cm="1">
        <f t="array" ref="M310">IFERROR(_xlfn.LET(
_xlpm.CSVVal,_xlfn.XLOOKUP($A310,CSV!$A:$A,CSV!Q:Q,""),
_xlpm.MacVal,_xlfn.XLOOKUP($A310,Output_Mac!$A:$A,Output_Mac!M:M,""),
_xlpm.MyAuditVal,_xlfn.XLOOKUP($A310,My_Audit!$A:$A,My_Audit!L:L,""),
_xlfn.IFS(_xlpm.MyAuditVal&lt;&gt;"",UPPER(_xlpm.MyAuditVal),_xlpm.MacVal&lt;&gt;"",_xlpm.MacVal,_xlpm.CSVVal&lt;&gt;"",_xlpm.CSVVal
)),"")</f>
        <v/>
      </c>
      <c r="N310" s="40"/>
      <c r="O310" s="40" t="str">
        <f>_xlfn.LET(
    _xlpm.CSVVal, _xlfn.XLOOKUP($A310, CSV!$A:$A, CSV!AA:AA, ""),
    _xlpm.MacVal, _xlfn.XLOOKUP($A310, Output_Mac!$A:$A, Output_Mac!S:S, ""),
    _xlpm.MyAuditVal, _xlfn.XLOOKUP($A310, My_Audit!$A:$A, My_Audit!P:P, ""),
    _xlfn.TEXTJOIN(", ", TRUE, _xlpm.MyAuditVal, _xlpm.MacVal, _xlpm.CSVVal)
)</f>
        <v/>
      </c>
      <c r="P310" s="40" t="str" cm="1">
        <f t="array" ref="P310">IFERROR(_xlfn.LET(
_xlpm.CSVVal,_xlfn.XLOOKUP($A310,CSV!$A:$A,CSV!AB:AB,""),
_xlpm.MacVal,_xlfn.XLOOKUP($A310,Output_Mac!$A:$A,Output_Mac!T:T,""),
_xlpm.MyAuditVal,_xlfn.XLOOKUP($A310,My_Audit!$A:$A,My_Audit!Q:Q,""),
_xlfn.IFS(_xlpm.MyAuditVal&lt;&gt;"",UPPER(_xlpm.MyAuditVal),_xlpm.MacVal&lt;&gt;"",_xlpm.MacVal,_xlpm.CSVVal&lt;&gt;"",_xlpm.CSVVal
)),"No")</f>
        <v>No</v>
      </c>
      <c r="Q310" s="40" t="str" cm="1">
        <f t="array" ref="Q310">IFERROR(_xlfn.LET(
_xlpm.CSVVal,_xlfn.XLOOKUP($A310,CSV!$A:$A,CSV!AC:AC,""),
_xlpm.MacVal,_xlfn.XLOOKUP($A310,Output_Mac!$A:$A,Output_Mac!U:U,""),
_xlpm.MyAuditVal,_xlfn.XLOOKUP($A310,My_Audit!$A:$A,My_Audit!R:R,""),
_xlfn.IFS(_xlpm.MyAuditVal&lt;&gt;"",UPPER(_xlpm.MyAuditVal),_xlpm.MacVal&lt;&gt;"",_xlpm.MacVal,_xlpm.CSVVal&lt;&gt;"",_xlpm.CSVVal
)),"")</f>
        <v/>
      </c>
      <c r="R310" s="40"/>
      <c r="S310" s="40"/>
      <c r="T310" s="40"/>
      <c r="U310" s="40"/>
      <c r="V310" s="40"/>
      <c r="W310" s="40"/>
      <c r="X310" s="41" t="str">
        <f>_xlfn.LET(
    _xlpm.MacVal, _xlfn.XLOOKUP($A310, Output_Mac!$A:$A, Output_Mac!AB:AB, ""),
    _xlpm.MyAuditVal, _xlfn.XLOOKUP($A310, My_Audit!$A:$A, My_Audit!N:N, ""),
    _xlfn.TEXTJOIN(", ", TRUE, _xlpm.MyAuditVal, _xlpm.MacVal)
)</f>
        <v/>
      </c>
    </row>
    <row r="311" spans="1:24">
      <c r="A311" s="40" t="str">
        <f>_xlfn.TEXTJOIN("",TRUE,Input!$B$2,ROW(My_Audit!A310))</f>
        <v>X310</v>
      </c>
      <c r="B311" s="40" t="str">
        <f>_xlfn.TEXTJOIN("-",TRUE,"ITD",Input!$A$2,A311)</f>
        <v>ITD-X310</v>
      </c>
      <c r="C311" s="40" t="str" cm="1">
        <f t="array" ref="C311">IFERROR(_xlfn.LET(
_xlpm.CSVVal,_xlfn.XLOOKUP($A311,CSV!$A:$A,CSV!B:B,""),
_xlpm.MacVal,_xlfn.XLOOKUP($A311,Output_Mac!$A:$A,Output_Mac!B:B,""),
_xlpm.MyAuditVal,_xlfn.XLOOKUP($A311,My_Audit!$A:$A,My_Audit!B:B,""),
_xlfn.IFS(_xlpm.MyAuditVal&lt;&gt;"",UPPER(_xlpm.MyAuditVal),_xlpm.MacVal&lt;&gt;"",_xlpm.MacVal,_xlpm.CSVVal&lt;&gt;"",_xlpm.CSVVal
)),"")</f>
        <v/>
      </c>
      <c r="D311" s="40" t="str" cm="1">
        <f t="array" ref="D311">IFERROR(_xlfn.LET(
_xlpm.CSVVal,_xlfn.XLOOKUP($A311,CSV!$A:$A,CSV!D:D,""),
_xlpm.MacVal,_xlfn.XLOOKUP($A311,Output_Mac!$A:$A,Output_Mac!C:C,""),
_xlpm.MyAuditVal,_xlfn.XLOOKUP($A311,My_Audit!$A:$A,My_Audit!C:C,""),
_xlfn.IFS(_xlpm.MyAuditVal&lt;&gt;"",_xlpm.MyAuditVal,_xlpm.MacVal&lt;&gt;"",_xlpm.MacVal,_xlpm.CSVVal&lt;&gt;"",_xlpm.CSVVal
)),"")</f>
        <v/>
      </c>
      <c r="E311" s="40">
        <f>_xlfn.XLOOKUP(A311,My_Audit!A:A,My_Audit!D:D,"")</f>
        <v>0</v>
      </c>
      <c r="F311" s="40" t="str" cm="1">
        <f t="array" ref="F311">IFERROR(_xlfn.LET(
_xlpm.CSVVal,_xlfn.XLOOKUP($A311,CSV!$A:$A,CSV!F:F,""),
_xlpm.MacVal,_xlfn.XLOOKUP($A311,Output_Mac!$A:$A,Output_Mac!E:E,""),
_xlpm.MyAuditVal,_xlfn.XLOOKUP($A311,My_Audit!$A:$A,My_Audit!E:E,""),
_xlfn.IFS(_xlpm.MyAuditVal&lt;&gt;"",_xlpm.MyAuditVal,_xlpm.MacVal&lt;&gt;"",_xlpm.MacVal,_xlpm.CSVVal&lt;&gt;"",_xlpm.CSVVal
)),"")</f>
        <v/>
      </c>
      <c r="G311" s="40" t="str" cm="1">
        <f t="array" ref="G311">IFERROR(_xlfn.LET(
_xlpm.CSVVal,_xlfn.XLOOKUP($A311,CSV!$A:$A,CSV!G:G,""),
_xlpm.MacVal,_xlfn.XLOOKUP($A311,Output_Mac!$A:$A,Output_Mac!F:F,""),
_xlpm.MyAuditVal,_xlfn.XLOOKUP($A311,My_Audit!$A:$A,My_Audit!F:F,""),
_xlfn.IFS(_xlpm.MyAuditVal&lt;&gt;"",_xlpm.MyAuditVal,_xlpm.MacVal&lt;&gt;"",_xlpm.MacVal,_xlpm.CSVVal&lt;&gt;"",PROPER(_xlpm.CSVVal)
)),"")</f>
        <v/>
      </c>
      <c r="H311" s="40" t="str" cm="1">
        <f t="array" ref="H311">IFERROR(_xlfn.LET(
_xlpm.CSVVal,_xlfn.XLOOKUP($A311,CSV!$A:$A,CSV!H:H,""),
_xlpm.MacVal,_xlfn.XLOOKUP($A311,Output_Mac!$A:$A,Output_Mac!H:H,""),
_xlpm.MyAuditVal,_xlfn.XLOOKUP($A311,My_Audit!$A:$A,My_Audit!G:G,""),
_xlfn.IFS(_xlpm.MyAuditVal&lt;&gt;"",_xlpm.MyAuditVal,_xlpm.MacVal&lt;&gt;"",_xlpm.MacVal,_xlpm.CSVVal&lt;&gt;"",_xlpm.CSVVal
)),"")</f>
        <v/>
      </c>
      <c r="I311" s="40" t="str">
        <f>_xlfn.XLOOKUP(A311,Output_Mac!A:A,Output_Mac!I:I,"")</f>
        <v/>
      </c>
      <c r="J311" s="40" t="str" cm="1">
        <f t="array" ref="J311">IFERROR(_xlfn.LET(
_xlpm.CSVVal,_xlfn.XLOOKUP($A311,CSV!$A:$A,CSV!I:I,""),
_xlpm.MacVal,_xlfn.XLOOKUP($A311,Output_Mac!$A:$A,Output_Mac!J:J,""),
_xlpm.MyAuditVal,_xlfn.XLOOKUP($A311,My_Audit!$A:$A,My_Audit!I:I,""),
_xlfn.IFS(_xlpm.MyAuditVal&lt;&gt;"",UPPER(_xlpm.MyAuditVal),_xlpm.MacVal&lt;&gt;"",_xlpm.MacVal,_xlpm.CSVVal&lt;&gt;"",_xlpm.CSVVal
)),"")</f>
        <v/>
      </c>
      <c r="K311" s="40" t="str" cm="1">
        <f t="array" ref="K311">IFERROR(_xlfn.LET(
_xlpm.CSVVal,_xlfn.XLOOKUP($A311,CSV!$A:$A,CSV!K:K,""),
_xlpm.MacVal,_xlfn.XLOOKUP($A311,Output_Mac!$A:$A,Output_Mac!K:K,""),
_xlpm.MyAuditVal,_xlfn.XLOOKUP($A311,My_Audit!$A:$A,My_Audit!J:J,""),
_xlfn.IFS(_xlpm.MyAuditVal&lt;&gt;"",UPPER(_xlpm.MyAuditVal),_xlpm.MacVal&lt;&gt;"",_xlpm.MacVal,_xlpm.CSVVal&lt;&gt;"",_xlpm.CSVVal
)),"")</f>
        <v/>
      </c>
      <c r="L311" s="40" t="str" cm="1">
        <f t="array" ref="L311">IFERROR(_xlfn.LET(
_xlpm.CSVVal,_xlfn.XLOOKUP($A311,CSV!$A:$A,CSV!P:P,""),
_xlpm.MacVal,_xlfn.XLOOKUP($A311,Output_Mac!$A:$A,Output_Mac!L:L,""),
_xlpm.MyAuditVal,_xlfn.XLOOKUP($A311,My_Audit!$A:$A,My_Audit!K:K,""),
_xlfn.IFS(_xlpm.MyAuditVal&lt;&gt;"",UPPER(_xlpm.MyAuditVal),_xlpm.MacVal&lt;&gt;"",_xlpm.MacVal,_xlpm.CSVVal&lt;&gt;"",_xlpm.CSVVal
)),"")</f>
        <v/>
      </c>
      <c r="M311" s="40" t="str" cm="1">
        <f t="array" ref="M311">IFERROR(_xlfn.LET(
_xlpm.CSVVal,_xlfn.XLOOKUP($A311,CSV!$A:$A,CSV!Q:Q,""),
_xlpm.MacVal,_xlfn.XLOOKUP($A311,Output_Mac!$A:$A,Output_Mac!M:M,""),
_xlpm.MyAuditVal,_xlfn.XLOOKUP($A311,My_Audit!$A:$A,My_Audit!L:L,""),
_xlfn.IFS(_xlpm.MyAuditVal&lt;&gt;"",UPPER(_xlpm.MyAuditVal),_xlpm.MacVal&lt;&gt;"",_xlpm.MacVal,_xlpm.CSVVal&lt;&gt;"",_xlpm.CSVVal
)),"")</f>
        <v/>
      </c>
      <c r="N311" s="40"/>
      <c r="O311" s="40" t="str">
        <f>_xlfn.LET(
    _xlpm.CSVVal, _xlfn.XLOOKUP($A311, CSV!$A:$A, CSV!AA:AA, ""),
    _xlpm.MacVal, _xlfn.XLOOKUP($A311, Output_Mac!$A:$A, Output_Mac!S:S, ""),
    _xlpm.MyAuditVal, _xlfn.XLOOKUP($A311, My_Audit!$A:$A, My_Audit!P:P, ""),
    _xlfn.TEXTJOIN(", ", TRUE, _xlpm.MyAuditVal, _xlpm.MacVal, _xlpm.CSVVal)
)</f>
        <v/>
      </c>
      <c r="P311" s="40" t="str" cm="1">
        <f t="array" ref="P311">IFERROR(_xlfn.LET(
_xlpm.CSVVal,_xlfn.XLOOKUP($A311,CSV!$A:$A,CSV!AB:AB,""),
_xlpm.MacVal,_xlfn.XLOOKUP($A311,Output_Mac!$A:$A,Output_Mac!T:T,""),
_xlpm.MyAuditVal,_xlfn.XLOOKUP($A311,My_Audit!$A:$A,My_Audit!Q:Q,""),
_xlfn.IFS(_xlpm.MyAuditVal&lt;&gt;"",UPPER(_xlpm.MyAuditVal),_xlpm.MacVal&lt;&gt;"",_xlpm.MacVal,_xlpm.CSVVal&lt;&gt;"",_xlpm.CSVVal
)),"No")</f>
        <v>No</v>
      </c>
      <c r="Q311" s="40" t="str" cm="1">
        <f t="array" ref="Q311">IFERROR(_xlfn.LET(
_xlpm.CSVVal,_xlfn.XLOOKUP($A311,CSV!$A:$A,CSV!AC:AC,""),
_xlpm.MacVal,_xlfn.XLOOKUP($A311,Output_Mac!$A:$A,Output_Mac!U:U,""),
_xlpm.MyAuditVal,_xlfn.XLOOKUP($A311,My_Audit!$A:$A,My_Audit!R:R,""),
_xlfn.IFS(_xlpm.MyAuditVal&lt;&gt;"",UPPER(_xlpm.MyAuditVal),_xlpm.MacVal&lt;&gt;"",_xlpm.MacVal,_xlpm.CSVVal&lt;&gt;"",_xlpm.CSVVal
)),"")</f>
        <v/>
      </c>
      <c r="R311" s="40"/>
      <c r="S311" s="40"/>
      <c r="T311" s="40"/>
      <c r="U311" s="40"/>
      <c r="V311" s="40"/>
      <c r="W311" s="40"/>
      <c r="X311" s="41" t="str">
        <f>_xlfn.LET(
    _xlpm.MacVal, _xlfn.XLOOKUP($A311, Output_Mac!$A:$A, Output_Mac!AB:AB, ""),
    _xlpm.MyAuditVal, _xlfn.XLOOKUP($A311, My_Audit!$A:$A, My_Audit!N:N, ""),
    _xlfn.TEXTJOIN(", ", TRUE, _xlpm.MyAuditVal, _xlpm.MacVal)
)</f>
        <v/>
      </c>
    </row>
    <row r="312" spans="1:24">
      <c r="A312" s="40" t="str">
        <f>_xlfn.TEXTJOIN("",TRUE,Input!$B$2,ROW(My_Audit!A311))</f>
        <v>X311</v>
      </c>
      <c r="B312" s="40" t="str">
        <f>_xlfn.TEXTJOIN("-",TRUE,"ITD",Input!$A$2,A312)</f>
        <v>ITD-X311</v>
      </c>
      <c r="C312" s="40" t="str" cm="1">
        <f t="array" ref="C312">IFERROR(_xlfn.LET(
_xlpm.CSVVal,_xlfn.XLOOKUP($A312,CSV!$A:$A,CSV!B:B,""),
_xlpm.MacVal,_xlfn.XLOOKUP($A312,Output_Mac!$A:$A,Output_Mac!B:B,""),
_xlpm.MyAuditVal,_xlfn.XLOOKUP($A312,My_Audit!$A:$A,My_Audit!B:B,""),
_xlfn.IFS(_xlpm.MyAuditVal&lt;&gt;"",UPPER(_xlpm.MyAuditVal),_xlpm.MacVal&lt;&gt;"",_xlpm.MacVal,_xlpm.CSVVal&lt;&gt;"",_xlpm.CSVVal
)),"")</f>
        <v/>
      </c>
      <c r="D312" s="40" t="str" cm="1">
        <f t="array" ref="D312">IFERROR(_xlfn.LET(
_xlpm.CSVVal,_xlfn.XLOOKUP($A312,CSV!$A:$A,CSV!D:D,""),
_xlpm.MacVal,_xlfn.XLOOKUP($A312,Output_Mac!$A:$A,Output_Mac!C:C,""),
_xlpm.MyAuditVal,_xlfn.XLOOKUP($A312,My_Audit!$A:$A,My_Audit!C:C,""),
_xlfn.IFS(_xlpm.MyAuditVal&lt;&gt;"",_xlpm.MyAuditVal,_xlpm.MacVal&lt;&gt;"",_xlpm.MacVal,_xlpm.CSVVal&lt;&gt;"",_xlpm.CSVVal
)),"")</f>
        <v/>
      </c>
      <c r="E312" s="40">
        <f>_xlfn.XLOOKUP(A312,My_Audit!A:A,My_Audit!D:D,"")</f>
        <v>0</v>
      </c>
      <c r="F312" s="40" t="str" cm="1">
        <f t="array" ref="F312">IFERROR(_xlfn.LET(
_xlpm.CSVVal,_xlfn.XLOOKUP($A312,CSV!$A:$A,CSV!F:F,""),
_xlpm.MacVal,_xlfn.XLOOKUP($A312,Output_Mac!$A:$A,Output_Mac!E:E,""),
_xlpm.MyAuditVal,_xlfn.XLOOKUP($A312,My_Audit!$A:$A,My_Audit!E:E,""),
_xlfn.IFS(_xlpm.MyAuditVal&lt;&gt;"",_xlpm.MyAuditVal,_xlpm.MacVal&lt;&gt;"",_xlpm.MacVal,_xlpm.CSVVal&lt;&gt;"",_xlpm.CSVVal
)),"")</f>
        <v/>
      </c>
      <c r="G312" s="40" t="str" cm="1">
        <f t="array" ref="G312">IFERROR(_xlfn.LET(
_xlpm.CSVVal,_xlfn.XLOOKUP($A312,CSV!$A:$A,CSV!G:G,""),
_xlpm.MacVal,_xlfn.XLOOKUP($A312,Output_Mac!$A:$A,Output_Mac!F:F,""),
_xlpm.MyAuditVal,_xlfn.XLOOKUP($A312,My_Audit!$A:$A,My_Audit!F:F,""),
_xlfn.IFS(_xlpm.MyAuditVal&lt;&gt;"",_xlpm.MyAuditVal,_xlpm.MacVal&lt;&gt;"",_xlpm.MacVal,_xlpm.CSVVal&lt;&gt;"",PROPER(_xlpm.CSVVal)
)),"")</f>
        <v/>
      </c>
      <c r="H312" s="40" t="str" cm="1">
        <f t="array" ref="H312">IFERROR(_xlfn.LET(
_xlpm.CSVVal,_xlfn.XLOOKUP($A312,CSV!$A:$A,CSV!H:H,""),
_xlpm.MacVal,_xlfn.XLOOKUP($A312,Output_Mac!$A:$A,Output_Mac!H:H,""),
_xlpm.MyAuditVal,_xlfn.XLOOKUP($A312,My_Audit!$A:$A,My_Audit!G:G,""),
_xlfn.IFS(_xlpm.MyAuditVal&lt;&gt;"",_xlpm.MyAuditVal,_xlpm.MacVal&lt;&gt;"",_xlpm.MacVal,_xlpm.CSVVal&lt;&gt;"",_xlpm.CSVVal
)),"")</f>
        <v/>
      </c>
      <c r="I312" s="40" t="str">
        <f>_xlfn.XLOOKUP(A312,Output_Mac!A:A,Output_Mac!I:I,"")</f>
        <v/>
      </c>
      <c r="J312" s="40" t="str" cm="1">
        <f t="array" ref="J312">IFERROR(_xlfn.LET(
_xlpm.CSVVal,_xlfn.XLOOKUP($A312,CSV!$A:$A,CSV!I:I,""),
_xlpm.MacVal,_xlfn.XLOOKUP($A312,Output_Mac!$A:$A,Output_Mac!J:J,""),
_xlpm.MyAuditVal,_xlfn.XLOOKUP($A312,My_Audit!$A:$A,My_Audit!I:I,""),
_xlfn.IFS(_xlpm.MyAuditVal&lt;&gt;"",UPPER(_xlpm.MyAuditVal),_xlpm.MacVal&lt;&gt;"",_xlpm.MacVal,_xlpm.CSVVal&lt;&gt;"",_xlpm.CSVVal
)),"")</f>
        <v/>
      </c>
      <c r="K312" s="40" t="str" cm="1">
        <f t="array" ref="K312">IFERROR(_xlfn.LET(
_xlpm.CSVVal,_xlfn.XLOOKUP($A312,CSV!$A:$A,CSV!K:K,""),
_xlpm.MacVal,_xlfn.XLOOKUP($A312,Output_Mac!$A:$A,Output_Mac!K:K,""),
_xlpm.MyAuditVal,_xlfn.XLOOKUP($A312,My_Audit!$A:$A,My_Audit!J:J,""),
_xlfn.IFS(_xlpm.MyAuditVal&lt;&gt;"",UPPER(_xlpm.MyAuditVal),_xlpm.MacVal&lt;&gt;"",_xlpm.MacVal,_xlpm.CSVVal&lt;&gt;"",_xlpm.CSVVal
)),"")</f>
        <v/>
      </c>
      <c r="L312" s="40" t="str" cm="1">
        <f t="array" ref="L312">IFERROR(_xlfn.LET(
_xlpm.CSVVal,_xlfn.XLOOKUP($A312,CSV!$A:$A,CSV!P:P,""),
_xlpm.MacVal,_xlfn.XLOOKUP($A312,Output_Mac!$A:$A,Output_Mac!L:L,""),
_xlpm.MyAuditVal,_xlfn.XLOOKUP($A312,My_Audit!$A:$A,My_Audit!K:K,""),
_xlfn.IFS(_xlpm.MyAuditVal&lt;&gt;"",UPPER(_xlpm.MyAuditVal),_xlpm.MacVal&lt;&gt;"",_xlpm.MacVal,_xlpm.CSVVal&lt;&gt;"",_xlpm.CSVVal
)),"")</f>
        <v/>
      </c>
      <c r="M312" s="40" t="str" cm="1">
        <f t="array" ref="M312">IFERROR(_xlfn.LET(
_xlpm.CSVVal,_xlfn.XLOOKUP($A312,CSV!$A:$A,CSV!Q:Q,""),
_xlpm.MacVal,_xlfn.XLOOKUP($A312,Output_Mac!$A:$A,Output_Mac!M:M,""),
_xlpm.MyAuditVal,_xlfn.XLOOKUP($A312,My_Audit!$A:$A,My_Audit!L:L,""),
_xlfn.IFS(_xlpm.MyAuditVal&lt;&gt;"",UPPER(_xlpm.MyAuditVal),_xlpm.MacVal&lt;&gt;"",_xlpm.MacVal,_xlpm.CSVVal&lt;&gt;"",_xlpm.CSVVal
)),"")</f>
        <v/>
      </c>
      <c r="N312" s="40"/>
      <c r="O312" s="40" t="str">
        <f>_xlfn.LET(
    _xlpm.CSVVal, _xlfn.XLOOKUP($A312, CSV!$A:$A, CSV!AA:AA, ""),
    _xlpm.MacVal, _xlfn.XLOOKUP($A312, Output_Mac!$A:$A, Output_Mac!S:S, ""),
    _xlpm.MyAuditVal, _xlfn.XLOOKUP($A312, My_Audit!$A:$A, My_Audit!P:P, ""),
    _xlfn.TEXTJOIN(", ", TRUE, _xlpm.MyAuditVal, _xlpm.MacVal, _xlpm.CSVVal)
)</f>
        <v/>
      </c>
      <c r="P312" s="40" t="str" cm="1">
        <f t="array" ref="P312">IFERROR(_xlfn.LET(
_xlpm.CSVVal,_xlfn.XLOOKUP($A312,CSV!$A:$A,CSV!AB:AB,""),
_xlpm.MacVal,_xlfn.XLOOKUP($A312,Output_Mac!$A:$A,Output_Mac!T:T,""),
_xlpm.MyAuditVal,_xlfn.XLOOKUP($A312,My_Audit!$A:$A,My_Audit!Q:Q,""),
_xlfn.IFS(_xlpm.MyAuditVal&lt;&gt;"",UPPER(_xlpm.MyAuditVal),_xlpm.MacVal&lt;&gt;"",_xlpm.MacVal,_xlpm.CSVVal&lt;&gt;"",_xlpm.CSVVal
)),"No")</f>
        <v>No</v>
      </c>
      <c r="Q312" s="40" t="str" cm="1">
        <f t="array" ref="Q312">IFERROR(_xlfn.LET(
_xlpm.CSVVal,_xlfn.XLOOKUP($A312,CSV!$A:$A,CSV!AC:AC,""),
_xlpm.MacVal,_xlfn.XLOOKUP($A312,Output_Mac!$A:$A,Output_Mac!U:U,""),
_xlpm.MyAuditVal,_xlfn.XLOOKUP($A312,My_Audit!$A:$A,My_Audit!R:R,""),
_xlfn.IFS(_xlpm.MyAuditVal&lt;&gt;"",UPPER(_xlpm.MyAuditVal),_xlpm.MacVal&lt;&gt;"",_xlpm.MacVal,_xlpm.CSVVal&lt;&gt;"",_xlpm.CSVVal
)),"")</f>
        <v/>
      </c>
      <c r="R312" s="40"/>
      <c r="S312" s="40"/>
      <c r="T312" s="40"/>
      <c r="U312" s="40"/>
      <c r="V312" s="40"/>
      <c r="W312" s="40"/>
      <c r="X312" s="41" t="str">
        <f>_xlfn.LET(
    _xlpm.MacVal, _xlfn.XLOOKUP($A312, Output_Mac!$A:$A, Output_Mac!AB:AB, ""),
    _xlpm.MyAuditVal, _xlfn.XLOOKUP($A312, My_Audit!$A:$A, My_Audit!N:N, ""),
    _xlfn.TEXTJOIN(", ", TRUE, _xlpm.MyAuditVal, _xlpm.MacVal)
)</f>
        <v/>
      </c>
    </row>
    <row r="313" spans="1:24">
      <c r="A313" s="40" t="str">
        <f>_xlfn.TEXTJOIN("",TRUE,Input!$B$2,ROW(My_Audit!A312))</f>
        <v>X312</v>
      </c>
      <c r="B313" s="40" t="str">
        <f>_xlfn.TEXTJOIN("-",TRUE,"ITD",Input!$A$2,A313)</f>
        <v>ITD-X312</v>
      </c>
      <c r="C313" s="40" t="str" cm="1">
        <f t="array" ref="C313">IFERROR(_xlfn.LET(
_xlpm.CSVVal,_xlfn.XLOOKUP($A313,CSV!$A:$A,CSV!B:B,""),
_xlpm.MacVal,_xlfn.XLOOKUP($A313,Output_Mac!$A:$A,Output_Mac!B:B,""),
_xlpm.MyAuditVal,_xlfn.XLOOKUP($A313,My_Audit!$A:$A,My_Audit!B:B,""),
_xlfn.IFS(_xlpm.MyAuditVal&lt;&gt;"",UPPER(_xlpm.MyAuditVal),_xlpm.MacVal&lt;&gt;"",_xlpm.MacVal,_xlpm.CSVVal&lt;&gt;"",_xlpm.CSVVal
)),"")</f>
        <v/>
      </c>
      <c r="D313" s="40" t="str" cm="1">
        <f t="array" ref="D313">IFERROR(_xlfn.LET(
_xlpm.CSVVal,_xlfn.XLOOKUP($A313,CSV!$A:$A,CSV!D:D,""),
_xlpm.MacVal,_xlfn.XLOOKUP($A313,Output_Mac!$A:$A,Output_Mac!C:C,""),
_xlpm.MyAuditVal,_xlfn.XLOOKUP($A313,My_Audit!$A:$A,My_Audit!C:C,""),
_xlfn.IFS(_xlpm.MyAuditVal&lt;&gt;"",_xlpm.MyAuditVal,_xlpm.MacVal&lt;&gt;"",_xlpm.MacVal,_xlpm.CSVVal&lt;&gt;"",_xlpm.CSVVal
)),"")</f>
        <v/>
      </c>
      <c r="E313" s="40">
        <f>_xlfn.XLOOKUP(A313,My_Audit!A:A,My_Audit!D:D,"")</f>
        <v>0</v>
      </c>
      <c r="F313" s="40" t="str" cm="1">
        <f t="array" ref="F313">IFERROR(_xlfn.LET(
_xlpm.CSVVal,_xlfn.XLOOKUP($A313,CSV!$A:$A,CSV!F:F,""),
_xlpm.MacVal,_xlfn.XLOOKUP($A313,Output_Mac!$A:$A,Output_Mac!E:E,""),
_xlpm.MyAuditVal,_xlfn.XLOOKUP($A313,My_Audit!$A:$A,My_Audit!E:E,""),
_xlfn.IFS(_xlpm.MyAuditVal&lt;&gt;"",_xlpm.MyAuditVal,_xlpm.MacVal&lt;&gt;"",_xlpm.MacVal,_xlpm.CSVVal&lt;&gt;"",_xlpm.CSVVal
)),"")</f>
        <v/>
      </c>
      <c r="G313" s="40" t="str" cm="1">
        <f t="array" ref="G313">IFERROR(_xlfn.LET(
_xlpm.CSVVal,_xlfn.XLOOKUP($A313,CSV!$A:$A,CSV!G:G,""),
_xlpm.MacVal,_xlfn.XLOOKUP($A313,Output_Mac!$A:$A,Output_Mac!F:F,""),
_xlpm.MyAuditVal,_xlfn.XLOOKUP($A313,My_Audit!$A:$A,My_Audit!F:F,""),
_xlfn.IFS(_xlpm.MyAuditVal&lt;&gt;"",_xlpm.MyAuditVal,_xlpm.MacVal&lt;&gt;"",_xlpm.MacVal,_xlpm.CSVVal&lt;&gt;"",PROPER(_xlpm.CSVVal)
)),"")</f>
        <v/>
      </c>
      <c r="H313" s="40" t="str" cm="1">
        <f t="array" ref="H313">IFERROR(_xlfn.LET(
_xlpm.CSVVal,_xlfn.XLOOKUP($A313,CSV!$A:$A,CSV!H:H,""),
_xlpm.MacVal,_xlfn.XLOOKUP($A313,Output_Mac!$A:$A,Output_Mac!H:H,""),
_xlpm.MyAuditVal,_xlfn.XLOOKUP($A313,My_Audit!$A:$A,My_Audit!G:G,""),
_xlfn.IFS(_xlpm.MyAuditVal&lt;&gt;"",_xlpm.MyAuditVal,_xlpm.MacVal&lt;&gt;"",_xlpm.MacVal,_xlpm.CSVVal&lt;&gt;"",_xlpm.CSVVal
)),"")</f>
        <v/>
      </c>
      <c r="I313" s="40" t="str">
        <f>_xlfn.XLOOKUP(A313,Output_Mac!A:A,Output_Mac!I:I,"")</f>
        <v/>
      </c>
      <c r="J313" s="40" t="str" cm="1">
        <f t="array" ref="J313">IFERROR(_xlfn.LET(
_xlpm.CSVVal,_xlfn.XLOOKUP($A313,CSV!$A:$A,CSV!I:I,""),
_xlpm.MacVal,_xlfn.XLOOKUP($A313,Output_Mac!$A:$A,Output_Mac!J:J,""),
_xlpm.MyAuditVal,_xlfn.XLOOKUP($A313,My_Audit!$A:$A,My_Audit!I:I,""),
_xlfn.IFS(_xlpm.MyAuditVal&lt;&gt;"",UPPER(_xlpm.MyAuditVal),_xlpm.MacVal&lt;&gt;"",_xlpm.MacVal,_xlpm.CSVVal&lt;&gt;"",_xlpm.CSVVal
)),"")</f>
        <v/>
      </c>
      <c r="K313" s="40" t="str" cm="1">
        <f t="array" ref="K313">IFERROR(_xlfn.LET(
_xlpm.CSVVal,_xlfn.XLOOKUP($A313,CSV!$A:$A,CSV!K:K,""),
_xlpm.MacVal,_xlfn.XLOOKUP($A313,Output_Mac!$A:$A,Output_Mac!K:K,""),
_xlpm.MyAuditVal,_xlfn.XLOOKUP($A313,My_Audit!$A:$A,My_Audit!J:J,""),
_xlfn.IFS(_xlpm.MyAuditVal&lt;&gt;"",UPPER(_xlpm.MyAuditVal),_xlpm.MacVal&lt;&gt;"",_xlpm.MacVal,_xlpm.CSVVal&lt;&gt;"",_xlpm.CSVVal
)),"")</f>
        <v/>
      </c>
      <c r="L313" s="40" t="str" cm="1">
        <f t="array" ref="L313">IFERROR(_xlfn.LET(
_xlpm.CSVVal,_xlfn.XLOOKUP($A313,CSV!$A:$A,CSV!P:P,""),
_xlpm.MacVal,_xlfn.XLOOKUP($A313,Output_Mac!$A:$A,Output_Mac!L:L,""),
_xlpm.MyAuditVal,_xlfn.XLOOKUP($A313,My_Audit!$A:$A,My_Audit!K:K,""),
_xlfn.IFS(_xlpm.MyAuditVal&lt;&gt;"",UPPER(_xlpm.MyAuditVal),_xlpm.MacVal&lt;&gt;"",_xlpm.MacVal,_xlpm.CSVVal&lt;&gt;"",_xlpm.CSVVal
)),"")</f>
        <v/>
      </c>
      <c r="M313" s="40" t="str" cm="1">
        <f t="array" ref="M313">IFERROR(_xlfn.LET(
_xlpm.CSVVal,_xlfn.XLOOKUP($A313,CSV!$A:$A,CSV!Q:Q,""),
_xlpm.MacVal,_xlfn.XLOOKUP($A313,Output_Mac!$A:$A,Output_Mac!M:M,""),
_xlpm.MyAuditVal,_xlfn.XLOOKUP($A313,My_Audit!$A:$A,My_Audit!L:L,""),
_xlfn.IFS(_xlpm.MyAuditVal&lt;&gt;"",UPPER(_xlpm.MyAuditVal),_xlpm.MacVal&lt;&gt;"",_xlpm.MacVal,_xlpm.CSVVal&lt;&gt;"",_xlpm.CSVVal
)),"")</f>
        <v/>
      </c>
      <c r="N313" s="40"/>
      <c r="O313" s="40" t="str">
        <f>_xlfn.LET(
    _xlpm.CSVVal, _xlfn.XLOOKUP($A313, CSV!$A:$A, CSV!AA:AA, ""),
    _xlpm.MacVal, _xlfn.XLOOKUP($A313, Output_Mac!$A:$A, Output_Mac!S:S, ""),
    _xlpm.MyAuditVal, _xlfn.XLOOKUP($A313, My_Audit!$A:$A, My_Audit!P:P, ""),
    _xlfn.TEXTJOIN(", ", TRUE, _xlpm.MyAuditVal, _xlpm.MacVal, _xlpm.CSVVal)
)</f>
        <v/>
      </c>
      <c r="P313" s="40" t="str" cm="1">
        <f t="array" ref="P313">IFERROR(_xlfn.LET(
_xlpm.CSVVal,_xlfn.XLOOKUP($A313,CSV!$A:$A,CSV!AB:AB,""),
_xlpm.MacVal,_xlfn.XLOOKUP($A313,Output_Mac!$A:$A,Output_Mac!T:T,""),
_xlpm.MyAuditVal,_xlfn.XLOOKUP($A313,My_Audit!$A:$A,My_Audit!Q:Q,""),
_xlfn.IFS(_xlpm.MyAuditVal&lt;&gt;"",UPPER(_xlpm.MyAuditVal),_xlpm.MacVal&lt;&gt;"",_xlpm.MacVal,_xlpm.CSVVal&lt;&gt;"",_xlpm.CSVVal
)),"No")</f>
        <v>No</v>
      </c>
      <c r="Q313" s="40" t="str" cm="1">
        <f t="array" ref="Q313">IFERROR(_xlfn.LET(
_xlpm.CSVVal,_xlfn.XLOOKUP($A313,CSV!$A:$A,CSV!AC:AC,""),
_xlpm.MacVal,_xlfn.XLOOKUP($A313,Output_Mac!$A:$A,Output_Mac!U:U,""),
_xlpm.MyAuditVal,_xlfn.XLOOKUP($A313,My_Audit!$A:$A,My_Audit!R:R,""),
_xlfn.IFS(_xlpm.MyAuditVal&lt;&gt;"",UPPER(_xlpm.MyAuditVal),_xlpm.MacVal&lt;&gt;"",_xlpm.MacVal,_xlpm.CSVVal&lt;&gt;"",_xlpm.CSVVal
)),"")</f>
        <v/>
      </c>
      <c r="R313" s="40"/>
      <c r="S313" s="40"/>
      <c r="T313" s="40"/>
      <c r="U313" s="40"/>
      <c r="V313" s="40"/>
      <c r="W313" s="40"/>
      <c r="X313" s="41" t="str">
        <f>_xlfn.LET(
    _xlpm.MacVal, _xlfn.XLOOKUP($A313, Output_Mac!$A:$A, Output_Mac!AB:AB, ""),
    _xlpm.MyAuditVal, _xlfn.XLOOKUP($A313, My_Audit!$A:$A, My_Audit!N:N, ""),
    _xlfn.TEXTJOIN(", ", TRUE, _xlpm.MyAuditVal, _xlpm.MacVal)
)</f>
        <v/>
      </c>
    </row>
    <row r="314" spans="1:24">
      <c r="A314" s="40" t="str">
        <f>_xlfn.TEXTJOIN("",TRUE,Input!$B$2,ROW(My_Audit!A313))</f>
        <v>X313</v>
      </c>
      <c r="B314" s="40" t="str">
        <f>_xlfn.TEXTJOIN("-",TRUE,"ITD",Input!$A$2,A314)</f>
        <v>ITD-X313</v>
      </c>
      <c r="C314" s="40" t="str" cm="1">
        <f t="array" ref="C314">IFERROR(_xlfn.LET(
_xlpm.CSVVal,_xlfn.XLOOKUP($A314,CSV!$A:$A,CSV!B:B,""),
_xlpm.MacVal,_xlfn.XLOOKUP($A314,Output_Mac!$A:$A,Output_Mac!B:B,""),
_xlpm.MyAuditVal,_xlfn.XLOOKUP($A314,My_Audit!$A:$A,My_Audit!B:B,""),
_xlfn.IFS(_xlpm.MyAuditVal&lt;&gt;"",UPPER(_xlpm.MyAuditVal),_xlpm.MacVal&lt;&gt;"",_xlpm.MacVal,_xlpm.CSVVal&lt;&gt;"",_xlpm.CSVVal
)),"")</f>
        <v/>
      </c>
      <c r="D314" s="40" t="str" cm="1">
        <f t="array" ref="D314">IFERROR(_xlfn.LET(
_xlpm.CSVVal,_xlfn.XLOOKUP($A314,CSV!$A:$A,CSV!D:D,""),
_xlpm.MacVal,_xlfn.XLOOKUP($A314,Output_Mac!$A:$A,Output_Mac!C:C,""),
_xlpm.MyAuditVal,_xlfn.XLOOKUP($A314,My_Audit!$A:$A,My_Audit!C:C,""),
_xlfn.IFS(_xlpm.MyAuditVal&lt;&gt;"",_xlpm.MyAuditVal,_xlpm.MacVal&lt;&gt;"",_xlpm.MacVal,_xlpm.CSVVal&lt;&gt;"",_xlpm.CSVVal
)),"")</f>
        <v/>
      </c>
      <c r="E314" s="40">
        <f>_xlfn.XLOOKUP(A314,My_Audit!A:A,My_Audit!D:D,"")</f>
        <v>0</v>
      </c>
      <c r="F314" s="40" t="str" cm="1">
        <f t="array" ref="F314">IFERROR(_xlfn.LET(
_xlpm.CSVVal,_xlfn.XLOOKUP($A314,CSV!$A:$A,CSV!F:F,""),
_xlpm.MacVal,_xlfn.XLOOKUP($A314,Output_Mac!$A:$A,Output_Mac!E:E,""),
_xlpm.MyAuditVal,_xlfn.XLOOKUP($A314,My_Audit!$A:$A,My_Audit!E:E,""),
_xlfn.IFS(_xlpm.MyAuditVal&lt;&gt;"",_xlpm.MyAuditVal,_xlpm.MacVal&lt;&gt;"",_xlpm.MacVal,_xlpm.CSVVal&lt;&gt;"",_xlpm.CSVVal
)),"")</f>
        <v/>
      </c>
      <c r="G314" s="40" t="str" cm="1">
        <f t="array" ref="G314">IFERROR(_xlfn.LET(
_xlpm.CSVVal,_xlfn.XLOOKUP($A314,CSV!$A:$A,CSV!G:G,""),
_xlpm.MacVal,_xlfn.XLOOKUP($A314,Output_Mac!$A:$A,Output_Mac!F:F,""),
_xlpm.MyAuditVal,_xlfn.XLOOKUP($A314,My_Audit!$A:$A,My_Audit!F:F,""),
_xlfn.IFS(_xlpm.MyAuditVal&lt;&gt;"",_xlpm.MyAuditVal,_xlpm.MacVal&lt;&gt;"",_xlpm.MacVal,_xlpm.CSVVal&lt;&gt;"",PROPER(_xlpm.CSVVal)
)),"")</f>
        <v/>
      </c>
      <c r="H314" s="40" t="str" cm="1">
        <f t="array" ref="H314">IFERROR(_xlfn.LET(
_xlpm.CSVVal,_xlfn.XLOOKUP($A314,CSV!$A:$A,CSV!H:H,""),
_xlpm.MacVal,_xlfn.XLOOKUP($A314,Output_Mac!$A:$A,Output_Mac!H:H,""),
_xlpm.MyAuditVal,_xlfn.XLOOKUP($A314,My_Audit!$A:$A,My_Audit!G:G,""),
_xlfn.IFS(_xlpm.MyAuditVal&lt;&gt;"",_xlpm.MyAuditVal,_xlpm.MacVal&lt;&gt;"",_xlpm.MacVal,_xlpm.CSVVal&lt;&gt;"",_xlpm.CSVVal
)),"")</f>
        <v/>
      </c>
      <c r="I314" s="40" t="str">
        <f>_xlfn.XLOOKUP(A314,Output_Mac!A:A,Output_Mac!I:I,"")</f>
        <v/>
      </c>
      <c r="J314" s="40" t="str" cm="1">
        <f t="array" ref="J314">IFERROR(_xlfn.LET(
_xlpm.CSVVal,_xlfn.XLOOKUP($A314,CSV!$A:$A,CSV!I:I,""),
_xlpm.MacVal,_xlfn.XLOOKUP($A314,Output_Mac!$A:$A,Output_Mac!J:J,""),
_xlpm.MyAuditVal,_xlfn.XLOOKUP($A314,My_Audit!$A:$A,My_Audit!I:I,""),
_xlfn.IFS(_xlpm.MyAuditVal&lt;&gt;"",UPPER(_xlpm.MyAuditVal),_xlpm.MacVal&lt;&gt;"",_xlpm.MacVal,_xlpm.CSVVal&lt;&gt;"",_xlpm.CSVVal
)),"")</f>
        <v/>
      </c>
      <c r="K314" s="40" t="str" cm="1">
        <f t="array" ref="K314">IFERROR(_xlfn.LET(
_xlpm.CSVVal,_xlfn.XLOOKUP($A314,CSV!$A:$A,CSV!K:K,""),
_xlpm.MacVal,_xlfn.XLOOKUP($A314,Output_Mac!$A:$A,Output_Mac!K:K,""),
_xlpm.MyAuditVal,_xlfn.XLOOKUP($A314,My_Audit!$A:$A,My_Audit!J:J,""),
_xlfn.IFS(_xlpm.MyAuditVal&lt;&gt;"",UPPER(_xlpm.MyAuditVal),_xlpm.MacVal&lt;&gt;"",_xlpm.MacVal,_xlpm.CSVVal&lt;&gt;"",_xlpm.CSVVal
)),"")</f>
        <v/>
      </c>
      <c r="L314" s="40" t="str" cm="1">
        <f t="array" ref="L314">IFERROR(_xlfn.LET(
_xlpm.CSVVal,_xlfn.XLOOKUP($A314,CSV!$A:$A,CSV!P:P,""),
_xlpm.MacVal,_xlfn.XLOOKUP($A314,Output_Mac!$A:$A,Output_Mac!L:L,""),
_xlpm.MyAuditVal,_xlfn.XLOOKUP($A314,My_Audit!$A:$A,My_Audit!K:K,""),
_xlfn.IFS(_xlpm.MyAuditVal&lt;&gt;"",UPPER(_xlpm.MyAuditVal),_xlpm.MacVal&lt;&gt;"",_xlpm.MacVal,_xlpm.CSVVal&lt;&gt;"",_xlpm.CSVVal
)),"")</f>
        <v/>
      </c>
      <c r="M314" s="40" t="str" cm="1">
        <f t="array" ref="M314">IFERROR(_xlfn.LET(
_xlpm.CSVVal,_xlfn.XLOOKUP($A314,CSV!$A:$A,CSV!Q:Q,""),
_xlpm.MacVal,_xlfn.XLOOKUP($A314,Output_Mac!$A:$A,Output_Mac!M:M,""),
_xlpm.MyAuditVal,_xlfn.XLOOKUP($A314,My_Audit!$A:$A,My_Audit!L:L,""),
_xlfn.IFS(_xlpm.MyAuditVal&lt;&gt;"",UPPER(_xlpm.MyAuditVal),_xlpm.MacVal&lt;&gt;"",_xlpm.MacVal,_xlpm.CSVVal&lt;&gt;"",_xlpm.CSVVal
)),"")</f>
        <v/>
      </c>
      <c r="N314" s="40"/>
      <c r="O314" s="40" t="str">
        <f>_xlfn.LET(
    _xlpm.CSVVal, _xlfn.XLOOKUP($A314, CSV!$A:$A, CSV!AA:AA, ""),
    _xlpm.MacVal, _xlfn.XLOOKUP($A314, Output_Mac!$A:$A, Output_Mac!S:S, ""),
    _xlpm.MyAuditVal, _xlfn.XLOOKUP($A314, My_Audit!$A:$A, My_Audit!P:P, ""),
    _xlfn.TEXTJOIN(", ", TRUE, _xlpm.MyAuditVal, _xlpm.MacVal, _xlpm.CSVVal)
)</f>
        <v/>
      </c>
      <c r="P314" s="40" t="str" cm="1">
        <f t="array" ref="P314">IFERROR(_xlfn.LET(
_xlpm.CSVVal,_xlfn.XLOOKUP($A314,CSV!$A:$A,CSV!AB:AB,""),
_xlpm.MacVal,_xlfn.XLOOKUP($A314,Output_Mac!$A:$A,Output_Mac!T:T,""),
_xlpm.MyAuditVal,_xlfn.XLOOKUP($A314,My_Audit!$A:$A,My_Audit!Q:Q,""),
_xlfn.IFS(_xlpm.MyAuditVal&lt;&gt;"",UPPER(_xlpm.MyAuditVal),_xlpm.MacVal&lt;&gt;"",_xlpm.MacVal,_xlpm.CSVVal&lt;&gt;"",_xlpm.CSVVal
)),"No")</f>
        <v>No</v>
      </c>
      <c r="Q314" s="40" t="str" cm="1">
        <f t="array" ref="Q314">IFERROR(_xlfn.LET(
_xlpm.CSVVal,_xlfn.XLOOKUP($A314,CSV!$A:$A,CSV!AC:AC,""),
_xlpm.MacVal,_xlfn.XLOOKUP($A314,Output_Mac!$A:$A,Output_Mac!U:U,""),
_xlpm.MyAuditVal,_xlfn.XLOOKUP($A314,My_Audit!$A:$A,My_Audit!R:R,""),
_xlfn.IFS(_xlpm.MyAuditVal&lt;&gt;"",UPPER(_xlpm.MyAuditVal),_xlpm.MacVal&lt;&gt;"",_xlpm.MacVal,_xlpm.CSVVal&lt;&gt;"",_xlpm.CSVVal
)),"")</f>
        <v/>
      </c>
      <c r="R314" s="40"/>
      <c r="S314" s="40"/>
      <c r="T314" s="40"/>
      <c r="U314" s="40"/>
      <c r="V314" s="40"/>
      <c r="W314" s="40"/>
      <c r="X314" s="41" t="str">
        <f>_xlfn.LET(
    _xlpm.MacVal, _xlfn.XLOOKUP($A314, Output_Mac!$A:$A, Output_Mac!AB:AB, ""),
    _xlpm.MyAuditVal, _xlfn.XLOOKUP($A314, My_Audit!$A:$A, My_Audit!N:N, ""),
    _xlfn.TEXTJOIN(", ", TRUE, _xlpm.MyAuditVal, _xlpm.MacVal)
)</f>
        <v/>
      </c>
    </row>
    <row r="315" spans="1:24">
      <c r="A315" s="40" t="str">
        <f>_xlfn.TEXTJOIN("",TRUE,Input!$B$2,ROW(My_Audit!A314))</f>
        <v>X314</v>
      </c>
      <c r="B315" s="40" t="str">
        <f>_xlfn.TEXTJOIN("-",TRUE,"ITD",Input!$A$2,A315)</f>
        <v>ITD-X314</v>
      </c>
      <c r="C315" s="40" t="str" cm="1">
        <f t="array" ref="C315">IFERROR(_xlfn.LET(
_xlpm.CSVVal,_xlfn.XLOOKUP($A315,CSV!$A:$A,CSV!B:B,""),
_xlpm.MacVal,_xlfn.XLOOKUP($A315,Output_Mac!$A:$A,Output_Mac!B:B,""),
_xlpm.MyAuditVal,_xlfn.XLOOKUP($A315,My_Audit!$A:$A,My_Audit!B:B,""),
_xlfn.IFS(_xlpm.MyAuditVal&lt;&gt;"",UPPER(_xlpm.MyAuditVal),_xlpm.MacVal&lt;&gt;"",_xlpm.MacVal,_xlpm.CSVVal&lt;&gt;"",_xlpm.CSVVal
)),"")</f>
        <v/>
      </c>
      <c r="D315" s="40" t="str" cm="1">
        <f t="array" ref="D315">IFERROR(_xlfn.LET(
_xlpm.CSVVal,_xlfn.XLOOKUP($A315,CSV!$A:$A,CSV!D:D,""),
_xlpm.MacVal,_xlfn.XLOOKUP($A315,Output_Mac!$A:$A,Output_Mac!C:C,""),
_xlpm.MyAuditVal,_xlfn.XLOOKUP($A315,My_Audit!$A:$A,My_Audit!C:C,""),
_xlfn.IFS(_xlpm.MyAuditVal&lt;&gt;"",_xlpm.MyAuditVal,_xlpm.MacVal&lt;&gt;"",_xlpm.MacVal,_xlpm.CSVVal&lt;&gt;"",_xlpm.CSVVal
)),"")</f>
        <v/>
      </c>
      <c r="E315" s="40">
        <f>_xlfn.XLOOKUP(A315,My_Audit!A:A,My_Audit!D:D,"")</f>
        <v>0</v>
      </c>
      <c r="F315" s="40" t="str" cm="1">
        <f t="array" ref="F315">IFERROR(_xlfn.LET(
_xlpm.CSVVal,_xlfn.XLOOKUP($A315,CSV!$A:$A,CSV!F:F,""),
_xlpm.MacVal,_xlfn.XLOOKUP($A315,Output_Mac!$A:$A,Output_Mac!E:E,""),
_xlpm.MyAuditVal,_xlfn.XLOOKUP($A315,My_Audit!$A:$A,My_Audit!E:E,""),
_xlfn.IFS(_xlpm.MyAuditVal&lt;&gt;"",_xlpm.MyAuditVal,_xlpm.MacVal&lt;&gt;"",_xlpm.MacVal,_xlpm.CSVVal&lt;&gt;"",_xlpm.CSVVal
)),"")</f>
        <v/>
      </c>
      <c r="G315" s="40" t="str" cm="1">
        <f t="array" ref="G315">IFERROR(_xlfn.LET(
_xlpm.CSVVal,_xlfn.XLOOKUP($A315,CSV!$A:$A,CSV!G:G,""),
_xlpm.MacVal,_xlfn.XLOOKUP($A315,Output_Mac!$A:$A,Output_Mac!F:F,""),
_xlpm.MyAuditVal,_xlfn.XLOOKUP($A315,My_Audit!$A:$A,My_Audit!F:F,""),
_xlfn.IFS(_xlpm.MyAuditVal&lt;&gt;"",_xlpm.MyAuditVal,_xlpm.MacVal&lt;&gt;"",_xlpm.MacVal,_xlpm.CSVVal&lt;&gt;"",PROPER(_xlpm.CSVVal)
)),"")</f>
        <v/>
      </c>
      <c r="H315" s="40" t="str" cm="1">
        <f t="array" ref="H315">IFERROR(_xlfn.LET(
_xlpm.CSVVal,_xlfn.XLOOKUP($A315,CSV!$A:$A,CSV!H:H,""),
_xlpm.MacVal,_xlfn.XLOOKUP($A315,Output_Mac!$A:$A,Output_Mac!H:H,""),
_xlpm.MyAuditVal,_xlfn.XLOOKUP($A315,My_Audit!$A:$A,My_Audit!G:G,""),
_xlfn.IFS(_xlpm.MyAuditVal&lt;&gt;"",_xlpm.MyAuditVal,_xlpm.MacVal&lt;&gt;"",_xlpm.MacVal,_xlpm.CSVVal&lt;&gt;"",_xlpm.CSVVal
)),"")</f>
        <v/>
      </c>
      <c r="I315" s="40" t="str">
        <f>_xlfn.XLOOKUP(A315,Output_Mac!A:A,Output_Mac!I:I,"")</f>
        <v/>
      </c>
      <c r="J315" s="40" t="str" cm="1">
        <f t="array" ref="J315">IFERROR(_xlfn.LET(
_xlpm.CSVVal,_xlfn.XLOOKUP($A315,CSV!$A:$A,CSV!I:I,""),
_xlpm.MacVal,_xlfn.XLOOKUP($A315,Output_Mac!$A:$A,Output_Mac!J:J,""),
_xlpm.MyAuditVal,_xlfn.XLOOKUP($A315,My_Audit!$A:$A,My_Audit!I:I,""),
_xlfn.IFS(_xlpm.MyAuditVal&lt;&gt;"",UPPER(_xlpm.MyAuditVal),_xlpm.MacVal&lt;&gt;"",_xlpm.MacVal,_xlpm.CSVVal&lt;&gt;"",_xlpm.CSVVal
)),"")</f>
        <v/>
      </c>
      <c r="K315" s="40" t="str" cm="1">
        <f t="array" ref="K315">IFERROR(_xlfn.LET(
_xlpm.CSVVal,_xlfn.XLOOKUP($A315,CSV!$A:$A,CSV!K:K,""),
_xlpm.MacVal,_xlfn.XLOOKUP($A315,Output_Mac!$A:$A,Output_Mac!K:K,""),
_xlpm.MyAuditVal,_xlfn.XLOOKUP($A315,My_Audit!$A:$A,My_Audit!J:J,""),
_xlfn.IFS(_xlpm.MyAuditVal&lt;&gt;"",UPPER(_xlpm.MyAuditVal),_xlpm.MacVal&lt;&gt;"",_xlpm.MacVal,_xlpm.CSVVal&lt;&gt;"",_xlpm.CSVVal
)),"")</f>
        <v/>
      </c>
      <c r="L315" s="40" t="str" cm="1">
        <f t="array" ref="L315">IFERROR(_xlfn.LET(
_xlpm.CSVVal,_xlfn.XLOOKUP($A315,CSV!$A:$A,CSV!P:P,""),
_xlpm.MacVal,_xlfn.XLOOKUP($A315,Output_Mac!$A:$A,Output_Mac!L:L,""),
_xlpm.MyAuditVal,_xlfn.XLOOKUP($A315,My_Audit!$A:$A,My_Audit!K:K,""),
_xlfn.IFS(_xlpm.MyAuditVal&lt;&gt;"",UPPER(_xlpm.MyAuditVal),_xlpm.MacVal&lt;&gt;"",_xlpm.MacVal,_xlpm.CSVVal&lt;&gt;"",_xlpm.CSVVal
)),"")</f>
        <v/>
      </c>
      <c r="M315" s="40" t="str" cm="1">
        <f t="array" ref="M315">IFERROR(_xlfn.LET(
_xlpm.CSVVal,_xlfn.XLOOKUP($A315,CSV!$A:$A,CSV!Q:Q,""),
_xlpm.MacVal,_xlfn.XLOOKUP($A315,Output_Mac!$A:$A,Output_Mac!M:M,""),
_xlpm.MyAuditVal,_xlfn.XLOOKUP($A315,My_Audit!$A:$A,My_Audit!L:L,""),
_xlfn.IFS(_xlpm.MyAuditVal&lt;&gt;"",UPPER(_xlpm.MyAuditVal),_xlpm.MacVal&lt;&gt;"",_xlpm.MacVal,_xlpm.CSVVal&lt;&gt;"",_xlpm.CSVVal
)),"")</f>
        <v/>
      </c>
      <c r="N315" s="40"/>
      <c r="O315" s="40" t="str">
        <f>_xlfn.LET(
    _xlpm.CSVVal, _xlfn.XLOOKUP($A315, CSV!$A:$A, CSV!AA:AA, ""),
    _xlpm.MacVal, _xlfn.XLOOKUP($A315, Output_Mac!$A:$A, Output_Mac!S:S, ""),
    _xlpm.MyAuditVal, _xlfn.XLOOKUP($A315, My_Audit!$A:$A, My_Audit!P:P, ""),
    _xlfn.TEXTJOIN(", ", TRUE, _xlpm.MyAuditVal, _xlpm.MacVal, _xlpm.CSVVal)
)</f>
        <v/>
      </c>
      <c r="P315" s="40" t="str" cm="1">
        <f t="array" ref="P315">IFERROR(_xlfn.LET(
_xlpm.CSVVal,_xlfn.XLOOKUP($A315,CSV!$A:$A,CSV!AB:AB,""),
_xlpm.MacVal,_xlfn.XLOOKUP($A315,Output_Mac!$A:$A,Output_Mac!T:T,""),
_xlpm.MyAuditVal,_xlfn.XLOOKUP($A315,My_Audit!$A:$A,My_Audit!Q:Q,""),
_xlfn.IFS(_xlpm.MyAuditVal&lt;&gt;"",UPPER(_xlpm.MyAuditVal),_xlpm.MacVal&lt;&gt;"",_xlpm.MacVal,_xlpm.CSVVal&lt;&gt;"",_xlpm.CSVVal
)),"No")</f>
        <v>No</v>
      </c>
      <c r="Q315" s="40" t="str" cm="1">
        <f t="array" ref="Q315">IFERROR(_xlfn.LET(
_xlpm.CSVVal,_xlfn.XLOOKUP($A315,CSV!$A:$A,CSV!AC:AC,""),
_xlpm.MacVal,_xlfn.XLOOKUP($A315,Output_Mac!$A:$A,Output_Mac!U:U,""),
_xlpm.MyAuditVal,_xlfn.XLOOKUP($A315,My_Audit!$A:$A,My_Audit!R:R,""),
_xlfn.IFS(_xlpm.MyAuditVal&lt;&gt;"",UPPER(_xlpm.MyAuditVal),_xlpm.MacVal&lt;&gt;"",_xlpm.MacVal,_xlpm.CSVVal&lt;&gt;"",_xlpm.CSVVal
)),"")</f>
        <v/>
      </c>
      <c r="R315" s="40"/>
      <c r="S315" s="40"/>
      <c r="T315" s="40"/>
      <c r="U315" s="40"/>
      <c r="V315" s="40"/>
      <c r="W315" s="40"/>
      <c r="X315" s="41" t="str">
        <f>_xlfn.LET(
    _xlpm.MacVal, _xlfn.XLOOKUP($A315, Output_Mac!$A:$A, Output_Mac!AB:AB, ""),
    _xlpm.MyAuditVal, _xlfn.XLOOKUP($A315, My_Audit!$A:$A, My_Audit!N:N, ""),
    _xlfn.TEXTJOIN(", ", TRUE, _xlpm.MyAuditVal, _xlpm.MacVal)
)</f>
        <v/>
      </c>
    </row>
    <row r="316" spans="1:24">
      <c r="A316" s="40" t="str">
        <f>_xlfn.TEXTJOIN("",TRUE,Input!$B$2,ROW(My_Audit!A315))</f>
        <v>X315</v>
      </c>
      <c r="B316" s="40" t="str">
        <f>_xlfn.TEXTJOIN("-",TRUE,"ITD",Input!$A$2,A316)</f>
        <v>ITD-X315</v>
      </c>
      <c r="C316" s="40" t="str" cm="1">
        <f t="array" ref="C316">IFERROR(_xlfn.LET(
_xlpm.CSVVal,_xlfn.XLOOKUP($A316,CSV!$A:$A,CSV!B:B,""),
_xlpm.MacVal,_xlfn.XLOOKUP($A316,Output_Mac!$A:$A,Output_Mac!B:B,""),
_xlpm.MyAuditVal,_xlfn.XLOOKUP($A316,My_Audit!$A:$A,My_Audit!B:B,""),
_xlfn.IFS(_xlpm.MyAuditVal&lt;&gt;"",UPPER(_xlpm.MyAuditVal),_xlpm.MacVal&lt;&gt;"",_xlpm.MacVal,_xlpm.CSVVal&lt;&gt;"",_xlpm.CSVVal
)),"")</f>
        <v/>
      </c>
      <c r="D316" s="40" t="str" cm="1">
        <f t="array" ref="D316">IFERROR(_xlfn.LET(
_xlpm.CSVVal,_xlfn.XLOOKUP($A316,CSV!$A:$A,CSV!D:D,""),
_xlpm.MacVal,_xlfn.XLOOKUP($A316,Output_Mac!$A:$A,Output_Mac!C:C,""),
_xlpm.MyAuditVal,_xlfn.XLOOKUP($A316,My_Audit!$A:$A,My_Audit!C:C,""),
_xlfn.IFS(_xlpm.MyAuditVal&lt;&gt;"",_xlpm.MyAuditVal,_xlpm.MacVal&lt;&gt;"",_xlpm.MacVal,_xlpm.CSVVal&lt;&gt;"",_xlpm.CSVVal
)),"")</f>
        <v/>
      </c>
      <c r="E316" s="40">
        <f>_xlfn.XLOOKUP(A316,My_Audit!A:A,My_Audit!D:D,"")</f>
        <v>0</v>
      </c>
      <c r="F316" s="40" t="str" cm="1">
        <f t="array" ref="F316">IFERROR(_xlfn.LET(
_xlpm.CSVVal,_xlfn.XLOOKUP($A316,CSV!$A:$A,CSV!F:F,""),
_xlpm.MacVal,_xlfn.XLOOKUP($A316,Output_Mac!$A:$A,Output_Mac!E:E,""),
_xlpm.MyAuditVal,_xlfn.XLOOKUP($A316,My_Audit!$A:$A,My_Audit!E:E,""),
_xlfn.IFS(_xlpm.MyAuditVal&lt;&gt;"",_xlpm.MyAuditVal,_xlpm.MacVal&lt;&gt;"",_xlpm.MacVal,_xlpm.CSVVal&lt;&gt;"",_xlpm.CSVVal
)),"")</f>
        <v/>
      </c>
      <c r="G316" s="40" t="str" cm="1">
        <f t="array" ref="G316">IFERROR(_xlfn.LET(
_xlpm.CSVVal,_xlfn.XLOOKUP($A316,CSV!$A:$A,CSV!G:G,""),
_xlpm.MacVal,_xlfn.XLOOKUP($A316,Output_Mac!$A:$A,Output_Mac!F:F,""),
_xlpm.MyAuditVal,_xlfn.XLOOKUP($A316,My_Audit!$A:$A,My_Audit!F:F,""),
_xlfn.IFS(_xlpm.MyAuditVal&lt;&gt;"",_xlpm.MyAuditVal,_xlpm.MacVal&lt;&gt;"",_xlpm.MacVal,_xlpm.CSVVal&lt;&gt;"",PROPER(_xlpm.CSVVal)
)),"")</f>
        <v/>
      </c>
      <c r="H316" s="40" t="str" cm="1">
        <f t="array" ref="H316">IFERROR(_xlfn.LET(
_xlpm.CSVVal,_xlfn.XLOOKUP($A316,CSV!$A:$A,CSV!H:H,""),
_xlpm.MacVal,_xlfn.XLOOKUP($A316,Output_Mac!$A:$A,Output_Mac!H:H,""),
_xlpm.MyAuditVal,_xlfn.XLOOKUP($A316,My_Audit!$A:$A,My_Audit!G:G,""),
_xlfn.IFS(_xlpm.MyAuditVal&lt;&gt;"",_xlpm.MyAuditVal,_xlpm.MacVal&lt;&gt;"",_xlpm.MacVal,_xlpm.CSVVal&lt;&gt;"",_xlpm.CSVVal
)),"")</f>
        <v/>
      </c>
      <c r="I316" s="40" t="str">
        <f>_xlfn.XLOOKUP(A316,Output_Mac!A:A,Output_Mac!I:I,"")</f>
        <v/>
      </c>
      <c r="J316" s="40" t="str" cm="1">
        <f t="array" ref="J316">IFERROR(_xlfn.LET(
_xlpm.CSVVal,_xlfn.XLOOKUP($A316,CSV!$A:$A,CSV!I:I,""),
_xlpm.MacVal,_xlfn.XLOOKUP($A316,Output_Mac!$A:$A,Output_Mac!J:J,""),
_xlpm.MyAuditVal,_xlfn.XLOOKUP($A316,My_Audit!$A:$A,My_Audit!I:I,""),
_xlfn.IFS(_xlpm.MyAuditVal&lt;&gt;"",UPPER(_xlpm.MyAuditVal),_xlpm.MacVal&lt;&gt;"",_xlpm.MacVal,_xlpm.CSVVal&lt;&gt;"",_xlpm.CSVVal
)),"")</f>
        <v/>
      </c>
      <c r="K316" s="40" t="str" cm="1">
        <f t="array" ref="K316">IFERROR(_xlfn.LET(
_xlpm.CSVVal,_xlfn.XLOOKUP($A316,CSV!$A:$A,CSV!K:K,""),
_xlpm.MacVal,_xlfn.XLOOKUP($A316,Output_Mac!$A:$A,Output_Mac!K:K,""),
_xlpm.MyAuditVal,_xlfn.XLOOKUP($A316,My_Audit!$A:$A,My_Audit!J:J,""),
_xlfn.IFS(_xlpm.MyAuditVal&lt;&gt;"",UPPER(_xlpm.MyAuditVal),_xlpm.MacVal&lt;&gt;"",_xlpm.MacVal,_xlpm.CSVVal&lt;&gt;"",_xlpm.CSVVal
)),"")</f>
        <v/>
      </c>
      <c r="L316" s="40" t="str" cm="1">
        <f t="array" ref="L316">IFERROR(_xlfn.LET(
_xlpm.CSVVal,_xlfn.XLOOKUP($A316,CSV!$A:$A,CSV!P:P,""),
_xlpm.MacVal,_xlfn.XLOOKUP($A316,Output_Mac!$A:$A,Output_Mac!L:L,""),
_xlpm.MyAuditVal,_xlfn.XLOOKUP($A316,My_Audit!$A:$A,My_Audit!K:K,""),
_xlfn.IFS(_xlpm.MyAuditVal&lt;&gt;"",UPPER(_xlpm.MyAuditVal),_xlpm.MacVal&lt;&gt;"",_xlpm.MacVal,_xlpm.CSVVal&lt;&gt;"",_xlpm.CSVVal
)),"")</f>
        <v/>
      </c>
      <c r="M316" s="40" t="str" cm="1">
        <f t="array" ref="M316">IFERROR(_xlfn.LET(
_xlpm.CSVVal,_xlfn.XLOOKUP($A316,CSV!$A:$A,CSV!Q:Q,""),
_xlpm.MacVal,_xlfn.XLOOKUP($A316,Output_Mac!$A:$A,Output_Mac!M:M,""),
_xlpm.MyAuditVal,_xlfn.XLOOKUP($A316,My_Audit!$A:$A,My_Audit!L:L,""),
_xlfn.IFS(_xlpm.MyAuditVal&lt;&gt;"",UPPER(_xlpm.MyAuditVal),_xlpm.MacVal&lt;&gt;"",_xlpm.MacVal,_xlpm.CSVVal&lt;&gt;"",_xlpm.CSVVal
)),"")</f>
        <v/>
      </c>
      <c r="N316" s="40"/>
      <c r="O316" s="40" t="str">
        <f>_xlfn.LET(
    _xlpm.CSVVal, _xlfn.XLOOKUP($A316, CSV!$A:$A, CSV!AA:AA, ""),
    _xlpm.MacVal, _xlfn.XLOOKUP($A316, Output_Mac!$A:$A, Output_Mac!S:S, ""),
    _xlpm.MyAuditVal, _xlfn.XLOOKUP($A316, My_Audit!$A:$A, My_Audit!P:P, ""),
    _xlfn.TEXTJOIN(", ", TRUE, _xlpm.MyAuditVal, _xlpm.MacVal, _xlpm.CSVVal)
)</f>
        <v/>
      </c>
      <c r="P316" s="40" t="str" cm="1">
        <f t="array" ref="P316">IFERROR(_xlfn.LET(
_xlpm.CSVVal,_xlfn.XLOOKUP($A316,CSV!$A:$A,CSV!AB:AB,""),
_xlpm.MacVal,_xlfn.XLOOKUP($A316,Output_Mac!$A:$A,Output_Mac!T:T,""),
_xlpm.MyAuditVal,_xlfn.XLOOKUP($A316,My_Audit!$A:$A,My_Audit!Q:Q,""),
_xlfn.IFS(_xlpm.MyAuditVal&lt;&gt;"",UPPER(_xlpm.MyAuditVal),_xlpm.MacVal&lt;&gt;"",_xlpm.MacVal,_xlpm.CSVVal&lt;&gt;"",_xlpm.CSVVal
)),"No")</f>
        <v>No</v>
      </c>
      <c r="Q316" s="40" t="str" cm="1">
        <f t="array" ref="Q316">IFERROR(_xlfn.LET(
_xlpm.CSVVal,_xlfn.XLOOKUP($A316,CSV!$A:$A,CSV!AC:AC,""),
_xlpm.MacVal,_xlfn.XLOOKUP($A316,Output_Mac!$A:$A,Output_Mac!U:U,""),
_xlpm.MyAuditVal,_xlfn.XLOOKUP($A316,My_Audit!$A:$A,My_Audit!R:R,""),
_xlfn.IFS(_xlpm.MyAuditVal&lt;&gt;"",UPPER(_xlpm.MyAuditVal),_xlpm.MacVal&lt;&gt;"",_xlpm.MacVal,_xlpm.CSVVal&lt;&gt;"",_xlpm.CSVVal
)),"")</f>
        <v/>
      </c>
      <c r="R316" s="40"/>
      <c r="S316" s="40"/>
      <c r="T316" s="40"/>
      <c r="U316" s="40"/>
      <c r="V316" s="40"/>
      <c r="W316" s="40"/>
      <c r="X316" s="41" t="str">
        <f>_xlfn.LET(
    _xlpm.MacVal, _xlfn.XLOOKUP($A316, Output_Mac!$A:$A, Output_Mac!AB:AB, ""),
    _xlpm.MyAuditVal, _xlfn.XLOOKUP($A316, My_Audit!$A:$A, My_Audit!N:N, ""),
    _xlfn.TEXTJOIN(", ", TRUE, _xlpm.MyAuditVal, _xlpm.MacVal)
)</f>
        <v/>
      </c>
    </row>
    <row r="317" spans="1:24">
      <c r="A317" s="40" t="str">
        <f>_xlfn.TEXTJOIN("",TRUE,Input!$B$2,ROW(My_Audit!A316))</f>
        <v>X316</v>
      </c>
      <c r="B317" s="40" t="str">
        <f>_xlfn.TEXTJOIN("-",TRUE,"ITD",Input!$A$2,A317)</f>
        <v>ITD-X316</v>
      </c>
      <c r="C317" s="40" t="str" cm="1">
        <f t="array" ref="C317">IFERROR(_xlfn.LET(
_xlpm.CSVVal,_xlfn.XLOOKUP($A317,CSV!$A:$A,CSV!B:B,""),
_xlpm.MacVal,_xlfn.XLOOKUP($A317,Output_Mac!$A:$A,Output_Mac!B:B,""),
_xlpm.MyAuditVal,_xlfn.XLOOKUP($A317,My_Audit!$A:$A,My_Audit!B:B,""),
_xlfn.IFS(_xlpm.MyAuditVal&lt;&gt;"",UPPER(_xlpm.MyAuditVal),_xlpm.MacVal&lt;&gt;"",_xlpm.MacVal,_xlpm.CSVVal&lt;&gt;"",_xlpm.CSVVal
)),"")</f>
        <v/>
      </c>
      <c r="D317" s="40" t="str" cm="1">
        <f t="array" ref="D317">IFERROR(_xlfn.LET(
_xlpm.CSVVal,_xlfn.XLOOKUP($A317,CSV!$A:$A,CSV!D:D,""),
_xlpm.MacVal,_xlfn.XLOOKUP($A317,Output_Mac!$A:$A,Output_Mac!C:C,""),
_xlpm.MyAuditVal,_xlfn.XLOOKUP($A317,My_Audit!$A:$A,My_Audit!C:C,""),
_xlfn.IFS(_xlpm.MyAuditVal&lt;&gt;"",_xlpm.MyAuditVal,_xlpm.MacVal&lt;&gt;"",_xlpm.MacVal,_xlpm.CSVVal&lt;&gt;"",_xlpm.CSVVal
)),"")</f>
        <v/>
      </c>
      <c r="E317" s="40">
        <f>_xlfn.XLOOKUP(A317,My_Audit!A:A,My_Audit!D:D,"")</f>
        <v>0</v>
      </c>
      <c r="F317" s="40" t="str" cm="1">
        <f t="array" ref="F317">IFERROR(_xlfn.LET(
_xlpm.CSVVal,_xlfn.XLOOKUP($A317,CSV!$A:$A,CSV!F:F,""),
_xlpm.MacVal,_xlfn.XLOOKUP($A317,Output_Mac!$A:$A,Output_Mac!E:E,""),
_xlpm.MyAuditVal,_xlfn.XLOOKUP($A317,My_Audit!$A:$A,My_Audit!E:E,""),
_xlfn.IFS(_xlpm.MyAuditVal&lt;&gt;"",_xlpm.MyAuditVal,_xlpm.MacVal&lt;&gt;"",_xlpm.MacVal,_xlpm.CSVVal&lt;&gt;"",_xlpm.CSVVal
)),"")</f>
        <v/>
      </c>
      <c r="G317" s="40" t="str" cm="1">
        <f t="array" ref="G317">IFERROR(_xlfn.LET(
_xlpm.CSVVal,_xlfn.XLOOKUP($A317,CSV!$A:$A,CSV!G:G,""),
_xlpm.MacVal,_xlfn.XLOOKUP($A317,Output_Mac!$A:$A,Output_Mac!F:F,""),
_xlpm.MyAuditVal,_xlfn.XLOOKUP($A317,My_Audit!$A:$A,My_Audit!F:F,""),
_xlfn.IFS(_xlpm.MyAuditVal&lt;&gt;"",_xlpm.MyAuditVal,_xlpm.MacVal&lt;&gt;"",_xlpm.MacVal,_xlpm.CSVVal&lt;&gt;"",PROPER(_xlpm.CSVVal)
)),"")</f>
        <v/>
      </c>
      <c r="H317" s="40" t="str" cm="1">
        <f t="array" ref="H317">IFERROR(_xlfn.LET(
_xlpm.CSVVal,_xlfn.XLOOKUP($A317,CSV!$A:$A,CSV!H:H,""),
_xlpm.MacVal,_xlfn.XLOOKUP($A317,Output_Mac!$A:$A,Output_Mac!H:H,""),
_xlpm.MyAuditVal,_xlfn.XLOOKUP($A317,My_Audit!$A:$A,My_Audit!G:G,""),
_xlfn.IFS(_xlpm.MyAuditVal&lt;&gt;"",_xlpm.MyAuditVal,_xlpm.MacVal&lt;&gt;"",_xlpm.MacVal,_xlpm.CSVVal&lt;&gt;"",_xlpm.CSVVal
)),"")</f>
        <v/>
      </c>
      <c r="I317" s="40" t="str">
        <f>_xlfn.XLOOKUP(A317,Output_Mac!A:A,Output_Mac!I:I,"")</f>
        <v/>
      </c>
      <c r="J317" s="40" t="str" cm="1">
        <f t="array" ref="J317">IFERROR(_xlfn.LET(
_xlpm.CSVVal,_xlfn.XLOOKUP($A317,CSV!$A:$A,CSV!I:I,""),
_xlpm.MacVal,_xlfn.XLOOKUP($A317,Output_Mac!$A:$A,Output_Mac!J:J,""),
_xlpm.MyAuditVal,_xlfn.XLOOKUP($A317,My_Audit!$A:$A,My_Audit!I:I,""),
_xlfn.IFS(_xlpm.MyAuditVal&lt;&gt;"",UPPER(_xlpm.MyAuditVal),_xlpm.MacVal&lt;&gt;"",_xlpm.MacVal,_xlpm.CSVVal&lt;&gt;"",_xlpm.CSVVal
)),"")</f>
        <v/>
      </c>
      <c r="K317" s="40" t="str" cm="1">
        <f t="array" ref="K317">IFERROR(_xlfn.LET(
_xlpm.CSVVal,_xlfn.XLOOKUP($A317,CSV!$A:$A,CSV!K:K,""),
_xlpm.MacVal,_xlfn.XLOOKUP($A317,Output_Mac!$A:$A,Output_Mac!K:K,""),
_xlpm.MyAuditVal,_xlfn.XLOOKUP($A317,My_Audit!$A:$A,My_Audit!J:J,""),
_xlfn.IFS(_xlpm.MyAuditVal&lt;&gt;"",UPPER(_xlpm.MyAuditVal),_xlpm.MacVal&lt;&gt;"",_xlpm.MacVal,_xlpm.CSVVal&lt;&gt;"",_xlpm.CSVVal
)),"")</f>
        <v/>
      </c>
      <c r="L317" s="40" t="str" cm="1">
        <f t="array" ref="L317">IFERROR(_xlfn.LET(
_xlpm.CSVVal,_xlfn.XLOOKUP($A317,CSV!$A:$A,CSV!P:P,""),
_xlpm.MacVal,_xlfn.XLOOKUP($A317,Output_Mac!$A:$A,Output_Mac!L:L,""),
_xlpm.MyAuditVal,_xlfn.XLOOKUP($A317,My_Audit!$A:$A,My_Audit!K:K,""),
_xlfn.IFS(_xlpm.MyAuditVal&lt;&gt;"",UPPER(_xlpm.MyAuditVal),_xlpm.MacVal&lt;&gt;"",_xlpm.MacVal,_xlpm.CSVVal&lt;&gt;"",_xlpm.CSVVal
)),"")</f>
        <v/>
      </c>
      <c r="M317" s="40" t="str" cm="1">
        <f t="array" ref="M317">IFERROR(_xlfn.LET(
_xlpm.CSVVal,_xlfn.XLOOKUP($A317,CSV!$A:$A,CSV!Q:Q,""),
_xlpm.MacVal,_xlfn.XLOOKUP($A317,Output_Mac!$A:$A,Output_Mac!M:M,""),
_xlpm.MyAuditVal,_xlfn.XLOOKUP($A317,My_Audit!$A:$A,My_Audit!L:L,""),
_xlfn.IFS(_xlpm.MyAuditVal&lt;&gt;"",UPPER(_xlpm.MyAuditVal),_xlpm.MacVal&lt;&gt;"",_xlpm.MacVal,_xlpm.CSVVal&lt;&gt;"",_xlpm.CSVVal
)),"")</f>
        <v/>
      </c>
      <c r="N317" s="40"/>
      <c r="O317" s="40" t="str">
        <f>_xlfn.LET(
    _xlpm.CSVVal, _xlfn.XLOOKUP($A317, CSV!$A:$A, CSV!AA:AA, ""),
    _xlpm.MacVal, _xlfn.XLOOKUP($A317, Output_Mac!$A:$A, Output_Mac!S:S, ""),
    _xlpm.MyAuditVal, _xlfn.XLOOKUP($A317, My_Audit!$A:$A, My_Audit!P:P, ""),
    _xlfn.TEXTJOIN(", ", TRUE, _xlpm.MyAuditVal, _xlpm.MacVal, _xlpm.CSVVal)
)</f>
        <v/>
      </c>
      <c r="P317" s="40" t="str" cm="1">
        <f t="array" ref="P317">IFERROR(_xlfn.LET(
_xlpm.CSVVal,_xlfn.XLOOKUP($A317,CSV!$A:$A,CSV!AB:AB,""),
_xlpm.MacVal,_xlfn.XLOOKUP($A317,Output_Mac!$A:$A,Output_Mac!T:T,""),
_xlpm.MyAuditVal,_xlfn.XLOOKUP($A317,My_Audit!$A:$A,My_Audit!Q:Q,""),
_xlfn.IFS(_xlpm.MyAuditVal&lt;&gt;"",UPPER(_xlpm.MyAuditVal),_xlpm.MacVal&lt;&gt;"",_xlpm.MacVal,_xlpm.CSVVal&lt;&gt;"",_xlpm.CSVVal
)),"No")</f>
        <v>No</v>
      </c>
      <c r="Q317" s="40" t="str" cm="1">
        <f t="array" ref="Q317">IFERROR(_xlfn.LET(
_xlpm.CSVVal,_xlfn.XLOOKUP($A317,CSV!$A:$A,CSV!AC:AC,""),
_xlpm.MacVal,_xlfn.XLOOKUP($A317,Output_Mac!$A:$A,Output_Mac!U:U,""),
_xlpm.MyAuditVal,_xlfn.XLOOKUP($A317,My_Audit!$A:$A,My_Audit!R:R,""),
_xlfn.IFS(_xlpm.MyAuditVal&lt;&gt;"",UPPER(_xlpm.MyAuditVal),_xlpm.MacVal&lt;&gt;"",_xlpm.MacVal,_xlpm.CSVVal&lt;&gt;"",_xlpm.CSVVal
)),"")</f>
        <v/>
      </c>
      <c r="R317" s="40"/>
      <c r="S317" s="40"/>
      <c r="T317" s="40"/>
      <c r="U317" s="40"/>
      <c r="V317" s="40"/>
      <c r="W317" s="40"/>
      <c r="X317" s="41" t="str">
        <f>_xlfn.LET(
    _xlpm.MacVal, _xlfn.XLOOKUP($A317, Output_Mac!$A:$A, Output_Mac!AB:AB, ""),
    _xlpm.MyAuditVal, _xlfn.XLOOKUP($A317, My_Audit!$A:$A, My_Audit!N:N, ""),
    _xlfn.TEXTJOIN(", ", TRUE, _xlpm.MyAuditVal, _xlpm.MacVal)
)</f>
        <v/>
      </c>
    </row>
    <row r="318" spans="1:24">
      <c r="A318" s="40" t="str">
        <f>_xlfn.TEXTJOIN("",TRUE,Input!$B$2,ROW(My_Audit!A317))</f>
        <v>X317</v>
      </c>
      <c r="B318" s="40" t="str">
        <f>_xlfn.TEXTJOIN("-",TRUE,"ITD",Input!$A$2,A318)</f>
        <v>ITD-X317</v>
      </c>
      <c r="C318" s="40" t="str" cm="1">
        <f t="array" ref="C318">IFERROR(_xlfn.LET(
_xlpm.CSVVal,_xlfn.XLOOKUP($A318,CSV!$A:$A,CSV!B:B,""),
_xlpm.MacVal,_xlfn.XLOOKUP($A318,Output_Mac!$A:$A,Output_Mac!B:B,""),
_xlpm.MyAuditVal,_xlfn.XLOOKUP($A318,My_Audit!$A:$A,My_Audit!B:B,""),
_xlfn.IFS(_xlpm.MyAuditVal&lt;&gt;"",UPPER(_xlpm.MyAuditVal),_xlpm.MacVal&lt;&gt;"",_xlpm.MacVal,_xlpm.CSVVal&lt;&gt;"",_xlpm.CSVVal
)),"")</f>
        <v/>
      </c>
      <c r="D318" s="40" t="str" cm="1">
        <f t="array" ref="D318">IFERROR(_xlfn.LET(
_xlpm.CSVVal,_xlfn.XLOOKUP($A318,CSV!$A:$A,CSV!D:D,""),
_xlpm.MacVal,_xlfn.XLOOKUP($A318,Output_Mac!$A:$A,Output_Mac!C:C,""),
_xlpm.MyAuditVal,_xlfn.XLOOKUP($A318,My_Audit!$A:$A,My_Audit!C:C,""),
_xlfn.IFS(_xlpm.MyAuditVal&lt;&gt;"",_xlpm.MyAuditVal,_xlpm.MacVal&lt;&gt;"",_xlpm.MacVal,_xlpm.CSVVal&lt;&gt;"",_xlpm.CSVVal
)),"")</f>
        <v/>
      </c>
      <c r="E318" s="40">
        <f>_xlfn.XLOOKUP(A318,My_Audit!A:A,My_Audit!D:D,"")</f>
        <v>0</v>
      </c>
      <c r="F318" s="40" t="str" cm="1">
        <f t="array" ref="F318">IFERROR(_xlfn.LET(
_xlpm.CSVVal,_xlfn.XLOOKUP($A318,CSV!$A:$A,CSV!F:F,""),
_xlpm.MacVal,_xlfn.XLOOKUP($A318,Output_Mac!$A:$A,Output_Mac!E:E,""),
_xlpm.MyAuditVal,_xlfn.XLOOKUP($A318,My_Audit!$A:$A,My_Audit!E:E,""),
_xlfn.IFS(_xlpm.MyAuditVal&lt;&gt;"",_xlpm.MyAuditVal,_xlpm.MacVal&lt;&gt;"",_xlpm.MacVal,_xlpm.CSVVal&lt;&gt;"",_xlpm.CSVVal
)),"")</f>
        <v/>
      </c>
      <c r="G318" s="40" t="str" cm="1">
        <f t="array" ref="G318">IFERROR(_xlfn.LET(
_xlpm.CSVVal,_xlfn.XLOOKUP($A318,CSV!$A:$A,CSV!G:G,""),
_xlpm.MacVal,_xlfn.XLOOKUP($A318,Output_Mac!$A:$A,Output_Mac!F:F,""),
_xlpm.MyAuditVal,_xlfn.XLOOKUP($A318,My_Audit!$A:$A,My_Audit!F:F,""),
_xlfn.IFS(_xlpm.MyAuditVal&lt;&gt;"",_xlpm.MyAuditVal,_xlpm.MacVal&lt;&gt;"",_xlpm.MacVal,_xlpm.CSVVal&lt;&gt;"",PROPER(_xlpm.CSVVal)
)),"")</f>
        <v/>
      </c>
      <c r="H318" s="40" t="str" cm="1">
        <f t="array" ref="H318">IFERROR(_xlfn.LET(
_xlpm.CSVVal,_xlfn.XLOOKUP($A318,CSV!$A:$A,CSV!H:H,""),
_xlpm.MacVal,_xlfn.XLOOKUP($A318,Output_Mac!$A:$A,Output_Mac!H:H,""),
_xlpm.MyAuditVal,_xlfn.XLOOKUP($A318,My_Audit!$A:$A,My_Audit!G:G,""),
_xlfn.IFS(_xlpm.MyAuditVal&lt;&gt;"",_xlpm.MyAuditVal,_xlpm.MacVal&lt;&gt;"",_xlpm.MacVal,_xlpm.CSVVal&lt;&gt;"",_xlpm.CSVVal
)),"")</f>
        <v/>
      </c>
      <c r="I318" s="40" t="str">
        <f>_xlfn.XLOOKUP(A318,Output_Mac!A:A,Output_Mac!I:I,"")</f>
        <v/>
      </c>
      <c r="J318" s="40" t="str" cm="1">
        <f t="array" ref="J318">IFERROR(_xlfn.LET(
_xlpm.CSVVal,_xlfn.XLOOKUP($A318,CSV!$A:$A,CSV!I:I,""),
_xlpm.MacVal,_xlfn.XLOOKUP($A318,Output_Mac!$A:$A,Output_Mac!J:J,""),
_xlpm.MyAuditVal,_xlfn.XLOOKUP($A318,My_Audit!$A:$A,My_Audit!I:I,""),
_xlfn.IFS(_xlpm.MyAuditVal&lt;&gt;"",UPPER(_xlpm.MyAuditVal),_xlpm.MacVal&lt;&gt;"",_xlpm.MacVal,_xlpm.CSVVal&lt;&gt;"",_xlpm.CSVVal
)),"")</f>
        <v/>
      </c>
      <c r="K318" s="40" t="str" cm="1">
        <f t="array" ref="K318">IFERROR(_xlfn.LET(
_xlpm.CSVVal,_xlfn.XLOOKUP($A318,CSV!$A:$A,CSV!K:K,""),
_xlpm.MacVal,_xlfn.XLOOKUP($A318,Output_Mac!$A:$A,Output_Mac!K:K,""),
_xlpm.MyAuditVal,_xlfn.XLOOKUP($A318,My_Audit!$A:$A,My_Audit!J:J,""),
_xlfn.IFS(_xlpm.MyAuditVal&lt;&gt;"",UPPER(_xlpm.MyAuditVal),_xlpm.MacVal&lt;&gt;"",_xlpm.MacVal,_xlpm.CSVVal&lt;&gt;"",_xlpm.CSVVal
)),"")</f>
        <v/>
      </c>
      <c r="L318" s="40" t="str" cm="1">
        <f t="array" ref="L318">IFERROR(_xlfn.LET(
_xlpm.CSVVal,_xlfn.XLOOKUP($A318,CSV!$A:$A,CSV!P:P,""),
_xlpm.MacVal,_xlfn.XLOOKUP($A318,Output_Mac!$A:$A,Output_Mac!L:L,""),
_xlpm.MyAuditVal,_xlfn.XLOOKUP($A318,My_Audit!$A:$A,My_Audit!K:K,""),
_xlfn.IFS(_xlpm.MyAuditVal&lt;&gt;"",UPPER(_xlpm.MyAuditVal),_xlpm.MacVal&lt;&gt;"",_xlpm.MacVal,_xlpm.CSVVal&lt;&gt;"",_xlpm.CSVVal
)),"")</f>
        <v/>
      </c>
      <c r="M318" s="40" t="str" cm="1">
        <f t="array" ref="M318">IFERROR(_xlfn.LET(
_xlpm.CSVVal,_xlfn.XLOOKUP($A318,CSV!$A:$A,CSV!Q:Q,""),
_xlpm.MacVal,_xlfn.XLOOKUP($A318,Output_Mac!$A:$A,Output_Mac!M:M,""),
_xlpm.MyAuditVal,_xlfn.XLOOKUP($A318,My_Audit!$A:$A,My_Audit!L:L,""),
_xlfn.IFS(_xlpm.MyAuditVal&lt;&gt;"",UPPER(_xlpm.MyAuditVal),_xlpm.MacVal&lt;&gt;"",_xlpm.MacVal,_xlpm.CSVVal&lt;&gt;"",_xlpm.CSVVal
)),"")</f>
        <v/>
      </c>
      <c r="N318" s="40"/>
      <c r="O318" s="40" t="str">
        <f>_xlfn.LET(
    _xlpm.CSVVal, _xlfn.XLOOKUP($A318, CSV!$A:$A, CSV!AA:AA, ""),
    _xlpm.MacVal, _xlfn.XLOOKUP($A318, Output_Mac!$A:$A, Output_Mac!S:S, ""),
    _xlpm.MyAuditVal, _xlfn.XLOOKUP($A318, My_Audit!$A:$A, My_Audit!P:P, ""),
    _xlfn.TEXTJOIN(", ", TRUE, _xlpm.MyAuditVal, _xlpm.MacVal, _xlpm.CSVVal)
)</f>
        <v/>
      </c>
      <c r="P318" s="40" t="str" cm="1">
        <f t="array" ref="P318">IFERROR(_xlfn.LET(
_xlpm.CSVVal,_xlfn.XLOOKUP($A318,CSV!$A:$A,CSV!AB:AB,""),
_xlpm.MacVal,_xlfn.XLOOKUP($A318,Output_Mac!$A:$A,Output_Mac!T:T,""),
_xlpm.MyAuditVal,_xlfn.XLOOKUP($A318,My_Audit!$A:$A,My_Audit!Q:Q,""),
_xlfn.IFS(_xlpm.MyAuditVal&lt;&gt;"",UPPER(_xlpm.MyAuditVal),_xlpm.MacVal&lt;&gt;"",_xlpm.MacVal,_xlpm.CSVVal&lt;&gt;"",_xlpm.CSVVal
)),"No")</f>
        <v>No</v>
      </c>
      <c r="Q318" s="40" t="str" cm="1">
        <f t="array" ref="Q318">IFERROR(_xlfn.LET(
_xlpm.CSVVal,_xlfn.XLOOKUP($A318,CSV!$A:$A,CSV!AC:AC,""),
_xlpm.MacVal,_xlfn.XLOOKUP($A318,Output_Mac!$A:$A,Output_Mac!U:U,""),
_xlpm.MyAuditVal,_xlfn.XLOOKUP($A318,My_Audit!$A:$A,My_Audit!R:R,""),
_xlfn.IFS(_xlpm.MyAuditVal&lt;&gt;"",UPPER(_xlpm.MyAuditVal),_xlpm.MacVal&lt;&gt;"",_xlpm.MacVal,_xlpm.CSVVal&lt;&gt;"",_xlpm.CSVVal
)),"")</f>
        <v/>
      </c>
      <c r="R318" s="40"/>
      <c r="S318" s="40"/>
      <c r="T318" s="40"/>
      <c r="U318" s="40"/>
      <c r="V318" s="40"/>
      <c r="W318" s="40"/>
      <c r="X318" s="41" t="str">
        <f>_xlfn.LET(
    _xlpm.MacVal, _xlfn.XLOOKUP($A318, Output_Mac!$A:$A, Output_Mac!AB:AB, ""),
    _xlpm.MyAuditVal, _xlfn.XLOOKUP($A318, My_Audit!$A:$A, My_Audit!N:N, ""),
    _xlfn.TEXTJOIN(", ", TRUE, _xlpm.MyAuditVal, _xlpm.MacVal)
)</f>
        <v/>
      </c>
    </row>
    <row r="319" spans="1:24">
      <c r="A319" s="40" t="str">
        <f>_xlfn.TEXTJOIN("",TRUE,Input!$B$2,ROW(My_Audit!A318))</f>
        <v>X318</v>
      </c>
      <c r="B319" s="40" t="str">
        <f>_xlfn.TEXTJOIN("-",TRUE,"ITD",Input!$A$2,A319)</f>
        <v>ITD-X318</v>
      </c>
      <c r="C319" s="40" t="str" cm="1">
        <f t="array" ref="C319">IFERROR(_xlfn.LET(
_xlpm.CSVVal,_xlfn.XLOOKUP($A319,CSV!$A:$A,CSV!B:B,""),
_xlpm.MacVal,_xlfn.XLOOKUP($A319,Output_Mac!$A:$A,Output_Mac!B:B,""),
_xlpm.MyAuditVal,_xlfn.XLOOKUP($A319,My_Audit!$A:$A,My_Audit!B:B,""),
_xlfn.IFS(_xlpm.MyAuditVal&lt;&gt;"",UPPER(_xlpm.MyAuditVal),_xlpm.MacVal&lt;&gt;"",_xlpm.MacVal,_xlpm.CSVVal&lt;&gt;"",_xlpm.CSVVal
)),"")</f>
        <v/>
      </c>
      <c r="D319" s="40" t="str" cm="1">
        <f t="array" ref="D319">IFERROR(_xlfn.LET(
_xlpm.CSVVal,_xlfn.XLOOKUP($A319,CSV!$A:$A,CSV!D:D,""),
_xlpm.MacVal,_xlfn.XLOOKUP($A319,Output_Mac!$A:$A,Output_Mac!C:C,""),
_xlpm.MyAuditVal,_xlfn.XLOOKUP($A319,My_Audit!$A:$A,My_Audit!C:C,""),
_xlfn.IFS(_xlpm.MyAuditVal&lt;&gt;"",_xlpm.MyAuditVal,_xlpm.MacVal&lt;&gt;"",_xlpm.MacVal,_xlpm.CSVVal&lt;&gt;"",_xlpm.CSVVal
)),"")</f>
        <v/>
      </c>
      <c r="E319" s="40">
        <f>_xlfn.XLOOKUP(A319,My_Audit!A:A,My_Audit!D:D,"")</f>
        <v>0</v>
      </c>
      <c r="F319" s="40" t="str" cm="1">
        <f t="array" ref="F319">IFERROR(_xlfn.LET(
_xlpm.CSVVal,_xlfn.XLOOKUP($A319,CSV!$A:$A,CSV!F:F,""),
_xlpm.MacVal,_xlfn.XLOOKUP($A319,Output_Mac!$A:$A,Output_Mac!E:E,""),
_xlpm.MyAuditVal,_xlfn.XLOOKUP($A319,My_Audit!$A:$A,My_Audit!E:E,""),
_xlfn.IFS(_xlpm.MyAuditVal&lt;&gt;"",_xlpm.MyAuditVal,_xlpm.MacVal&lt;&gt;"",_xlpm.MacVal,_xlpm.CSVVal&lt;&gt;"",_xlpm.CSVVal
)),"")</f>
        <v/>
      </c>
      <c r="G319" s="40" t="str" cm="1">
        <f t="array" ref="G319">IFERROR(_xlfn.LET(
_xlpm.CSVVal,_xlfn.XLOOKUP($A319,CSV!$A:$A,CSV!G:G,""),
_xlpm.MacVal,_xlfn.XLOOKUP($A319,Output_Mac!$A:$A,Output_Mac!F:F,""),
_xlpm.MyAuditVal,_xlfn.XLOOKUP($A319,My_Audit!$A:$A,My_Audit!F:F,""),
_xlfn.IFS(_xlpm.MyAuditVal&lt;&gt;"",_xlpm.MyAuditVal,_xlpm.MacVal&lt;&gt;"",_xlpm.MacVal,_xlpm.CSVVal&lt;&gt;"",PROPER(_xlpm.CSVVal)
)),"")</f>
        <v/>
      </c>
      <c r="H319" s="40" t="str" cm="1">
        <f t="array" ref="H319">IFERROR(_xlfn.LET(
_xlpm.CSVVal,_xlfn.XLOOKUP($A319,CSV!$A:$A,CSV!H:H,""),
_xlpm.MacVal,_xlfn.XLOOKUP($A319,Output_Mac!$A:$A,Output_Mac!H:H,""),
_xlpm.MyAuditVal,_xlfn.XLOOKUP($A319,My_Audit!$A:$A,My_Audit!G:G,""),
_xlfn.IFS(_xlpm.MyAuditVal&lt;&gt;"",_xlpm.MyAuditVal,_xlpm.MacVal&lt;&gt;"",_xlpm.MacVal,_xlpm.CSVVal&lt;&gt;"",_xlpm.CSVVal
)),"")</f>
        <v/>
      </c>
      <c r="I319" s="40" t="str">
        <f>_xlfn.XLOOKUP(A319,Output_Mac!A:A,Output_Mac!I:I,"")</f>
        <v/>
      </c>
      <c r="J319" s="40" t="str" cm="1">
        <f t="array" ref="J319">IFERROR(_xlfn.LET(
_xlpm.CSVVal,_xlfn.XLOOKUP($A319,CSV!$A:$A,CSV!I:I,""),
_xlpm.MacVal,_xlfn.XLOOKUP($A319,Output_Mac!$A:$A,Output_Mac!J:J,""),
_xlpm.MyAuditVal,_xlfn.XLOOKUP($A319,My_Audit!$A:$A,My_Audit!I:I,""),
_xlfn.IFS(_xlpm.MyAuditVal&lt;&gt;"",UPPER(_xlpm.MyAuditVal),_xlpm.MacVal&lt;&gt;"",_xlpm.MacVal,_xlpm.CSVVal&lt;&gt;"",_xlpm.CSVVal
)),"")</f>
        <v/>
      </c>
      <c r="K319" s="40" t="str" cm="1">
        <f t="array" ref="K319">IFERROR(_xlfn.LET(
_xlpm.CSVVal,_xlfn.XLOOKUP($A319,CSV!$A:$A,CSV!K:K,""),
_xlpm.MacVal,_xlfn.XLOOKUP($A319,Output_Mac!$A:$A,Output_Mac!K:K,""),
_xlpm.MyAuditVal,_xlfn.XLOOKUP($A319,My_Audit!$A:$A,My_Audit!J:J,""),
_xlfn.IFS(_xlpm.MyAuditVal&lt;&gt;"",UPPER(_xlpm.MyAuditVal),_xlpm.MacVal&lt;&gt;"",_xlpm.MacVal,_xlpm.CSVVal&lt;&gt;"",_xlpm.CSVVal
)),"")</f>
        <v/>
      </c>
      <c r="L319" s="40" t="str" cm="1">
        <f t="array" ref="L319">IFERROR(_xlfn.LET(
_xlpm.CSVVal,_xlfn.XLOOKUP($A319,CSV!$A:$A,CSV!P:P,""),
_xlpm.MacVal,_xlfn.XLOOKUP($A319,Output_Mac!$A:$A,Output_Mac!L:L,""),
_xlpm.MyAuditVal,_xlfn.XLOOKUP($A319,My_Audit!$A:$A,My_Audit!K:K,""),
_xlfn.IFS(_xlpm.MyAuditVal&lt;&gt;"",UPPER(_xlpm.MyAuditVal),_xlpm.MacVal&lt;&gt;"",_xlpm.MacVal,_xlpm.CSVVal&lt;&gt;"",_xlpm.CSVVal
)),"")</f>
        <v/>
      </c>
      <c r="M319" s="40" t="str" cm="1">
        <f t="array" ref="M319">IFERROR(_xlfn.LET(
_xlpm.CSVVal,_xlfn.XLOOKUP($A319,CSV!$A:$A,CSV!Q:Q,""),
_xlpm.MacVal,_xlfn.XLOOKUP($A319,Output_Mac!$A:$A,Output_Mac!M:M,""),
_xlpm.MyAuditVal,_xlfn.XLOOKUP($A319,My_Audit!$A:$A,My_Audit!L:L,""),
_xlfn.IFS(_xlpm.MyAuditVal&lt;&gt;"",UPPER(_xlpm.MyAuditVal),_xlpm.MacVal&lt;&gt;"",_xlpm.MacVal,_xlpm.CSVVal&lt;&gt;"",_xlpm.CSVVal
)),"")</f>
        <v/>
      </c>
      <c r="N319" s="40"/>
      <c r="O319" s="40" t="str">
        <f>_xlfn.LET(
    _xlpm.CSVVal, _xlfn.XLOOKUP($A319, CSV!$A:$A, CSV!AA:AA, ""),
    _xlpm.MacVal, _xlfn.XLOOKUP($A319, Output_Mac!$A:$A, Output_Mac!S:S, ""),
    _xlpm.MyAuditVal, _xlfn.XLOOKUP($A319, My_Audit!$A:$A, My_Audit!P:P, ""),
    _xlfn.TEXTJOIN(", ", TRUE, _xlpm.MyAuditVal, _xlpm.MacVal, _xlpm.CSVVal)
)</f>
        <v/>
      </c>
      <c r="P319" s="40" t="str" cm="1">
        <f t="array" ref="P319">IFERROR(_xlfn.LET(
_xlpm.CSVVal,_xlfn.XLOOKUP($A319,CSV!$A:$A,CSV!AB:AB,""),
_xlpm.MacVal,_xlfn.XLOOKUP($A319,Output_Mac!$A:$A,Output_Mac!T:T,""),
_xlpm.MyAuditVal,_xlfn.XLOOKUP($A319,My_Audit!$A:$A,My_Audit!Q:Q,""),
_xlfn.IFS(_xlpm.MyAuditVal&lt;&gt;"",UPPER(_xlpm.MyAuditVal),_xlpm.MacVal&lt;&gt;"",_xlpm.MacVal,_xlpm.CSVVal&lt;&gt;"",_xlpm.CSVVal
)),"No")</f>
        <v>No</v>
      </c>
      <c r="Q319" s="40" t="str" cm="1">
        <f t="array" ref="Q319">IFERROR(_xlfn.LET(
_xlpm.CSVVal,_xlfn.XLOOKUP($A319,CSV!$A:$A,CSV!AC:AC,""),
_xlpm.MacVal,_xlfn.XLOOKUP($A319,Output_Mac!$A:$A,Output_Mac!U:U,""),
_xlpm.MyAuditVal,_xlfn.XLOOKUP($A319,My_Audit!$A:$A,My_Audit!R:R,""),
_xlfn.IFS(_xlpm.MyAuditVal&lt;&gt;"",UPPER(_xlpm.MyAuditVal),_xlpm.MacVal&lt;&gt;"",_xlpm.MacVal,_xlpm.CSVVal&lt;&gt;"",_xlpm.CSVVal
)),"")</f>
        <v/>
      </c>
      <c r="R319" s="40"/>
      <c r="S319" s="40"/>
      <c r="T319" s="40"/>
      <c r="U319" s="40"/>
      <c r="V319" s="40"/>
      <c r="W319" s="40"/>
      <c r="X319" s="41" t="str">
        <f>_xlfn.LET(
    _xlpm.MacVal, _xlfn.XLOOKUP($A319, Output_Mac!$A:$A, Output_Mac!AB:AB, ""),
    _xlpm.MyAuditVal, _xlfn.XLOOKUP($A319, My_Audit!$A:$A, My_Audit!N:N, ""),
    _xlfn.TEXTJOIN(", ", TRUE, _xlpm.MyAuditVal, _xlpm.MacVal)
)</f>
        <v/>
      </c>
    </row>
    <row r="320" spans="1:24">
      <c r="A320" s="40" t="str">
        <f>_xlfn.TEXTJOIN("",TRUE,Input!$B$2,ROW(My_Audit!A319))</f>
        <v>X319</v>
      </c>
      <c r="B320" s="40" t="str">
        <f>_xlfn.TEXTJOIN("-",TRUE,"ITD",Input!$A$2,A320)</f>
        <v>ITD-X319</v>
      </c>
      <c r="C320" s="40" t="str" cm="1">
        <f t="array" ref="C320">IFERROR(_xlfn.LET(
_xlpm.CSVVal,_xlfn.XLOOKUP($A320,CSV!$A:$A,CSV!B:B,""),
_xlpm.MacVal,_xlfn.XLOOKUP($A320,Output_Mac!$A:$A,Output_Mac!B:B,""),
_xlpm.MyAuditVal,_xlfn.XLOOKUP($A320,My_Audit!$A:$A,My_Audit!B:B,""),
_xlfn.IFS(_xlpm.MyAuditVal&lt;&gt;"",UPPER(_xlpm.MyAuditVal),_xlpm.MacVal&lt;&gt;"",_xlpm.MacVal,_xlpm.CSVVal&lt;&gt;"",_xlpm.CSVVal
)),"")</f>
        <v/>
      </c>
      <c r="D320" s="40" t="str" cm="1">
        <f t="array" ref="D320">IFERROR(_xlfn.LET(
_xlpm.CSVVal,_xlfn.XLOOKUP($A320,CSV!$A:$A,CSV!D:D,""),
_xlpm.MacVal,_xlfn.XLOOKUP($A320,Output_Mac!$A:$A,Output_Mac!C:C,""),
_xlpm.MyAuditVal,_xlfn.XLOOKUP($A320,My_Audit!$A:$A,My_Audit!C:C,""),
_xlfn.IFS(_xlpm.MyAuditVal&lt;&gt;"",_xlpm.MyAuditVal,_xlpm.MacVal&lt;&gt;"",_xlpm.MacVal,_xlpm.CSVVal&lt;&gt;"",_xlpm.CSVVal
)),"")</f>
        <v/>
      </c>
      <c r="E320" s="40">
        <f>_xlfn.XLOOKUP(A320,My_Audit!A:A,My_Audit!D:D,"")</f>
        <v>0</v>
      </c>
      <c r="F320" s="40" t="str" cm="1">
        <f t="array" ref="F320">IFERROR(_xlfn.LET(
_xlpm.CSVVal,_xlfn.XLOOKUP($A320,CSV!$A:$A,CSV!F:F,""),
_xlpm.MacVal,_xlfn.XLOOKUP($A320,Output_Mac!$A:$A,Output_Mac!E:E,""),
_xlpm.MyAuditVal,_xlfn.XLOOKUP($A320,My_Audit!$A:$A,My_Audit!E:E,""),
_xlfn.IFS(_xlpm.MyAuditVal&lt;&gt;"",_xlpm.MyAuditVal,_xlpm.MacVal&lt;&gt;"",_xlpm.MacVal,_xlpm.CSVVal&lt;&gt;"",_xlpm.CSVVal
)),"")</f>
        <v/>
      </c>
      <c r="G320" s="40" t="str" cm="1">
        <f t="array" ref="G320">IFERROR(_xlfn.LET(
_xlpm.CSVVal,_xlfn.XLOOKUP($A320,CSV!$A:$A,CSV!G:G,""),
_xlpm.MacVal,_xlfn.XLOOKUP($A320,Output_Mac!$A:$A,Output_Mac!F:F,""),
_xlpm.MyAuditVal,_xlfn.XLOOKUP($A320,My_Audit!$A:$A,My_Audit!F:F,""),
_xlfn.IFS(_xlpm.MyAuditVal&lt;&gt;"",_xlpm.MyAuditVal,_xlpm.MacVal&lt;&gt;"",_xlpm.MacVal,_xlpm.CSVVal&lt;&gt;"",PROPER(_xlpm.CSVVal)
)),"")</f>
        <v/>
      </c>
      <c r="H320" s="40" t="str" cm="1">
        <f t="array" ref="H320">IFERROR(_xlfn.LET(
_xlpm.CSVVal,_xlfn.XLOOKUP($A320,CSV!$A:$A,CSV!H:H,""),
_xlpm.MacVal,_xlfn.XLOOKUP($A320,Output_Mac!$A:$A,Output_Mac!H:H,""),
_xlpm.MyAuditVal,_xlfn.XLOOKUP($A320,My_Audit!$A:$A,My_Audit!G:G,""),
_xlfn.IFS(_xlpm.MyAuditVal&lt;&gt;"",_xlpm.MyAuditVal,_xlpm.MacVal&lt;&gt;"",_xlpm.MacVal,_xlpm.CSVVal&lt;&gt;"",_xlpm.CSVVal
)),"")</f>
        <v/>
      </c>
      <c r="I320" s="40" t="str">
        <f>_xlfn.XLOOKUP(A320,Output_Mac!A:A,Output_Mac!I:I,"")</f>
        <v/>
      </c>
      <c r="J320" s="40" t="str" cm="1">
        <f t="array" ref="J320">IFERROR(_xlfn.LET(
_xlpm.CSVVal,_xlfn.XLOOKUP($A320,CSV!$A:$A,CSV!I:I,""),
_xlpm.MacVal,_xlfn.XLOOKUP($A320,Output_Mac!$A:$A,Output_Mac!J:J,""),
_xlpm.MyAuditVal,_xlfn.XLOOKUP($A320,My_Audit!$A:$A,My_Audit!I:I,""),
_xlfn.IFS(_xlpm.MyAuditVal&lt;&gt;"",UPPER(_xlpm.MyAuditVal),_xlpm.MacVal&lt;&gt;"",_xlpm.MacVal,_xlpm.CSVVal&lt;&gt;"",_xlpm.CSVVal
)),"")</f>
        <v/>
      </c>
      <c r="K320" s="40" t="str" cm="1">
        <f t="array" ref="K320">IFERROR(_xlfn.LET(
_xlpm.CSVVal,_xlfn.XLOOKUP($A320,CSV!$A:$A,CSV!K:K,""),
_xlpm.MacVal,_xlfn.XLOOKUP($A320,Output_Mac!$A:$A,Output_Mac!K:K,""),
_xlpm.MyAuditVal,_xlfn.XLOOKUP($A320,My_Audit!$A:$A,My_Audit!J:J,""),
_xlfn.IFS(_xlpm.MyAuditVal&lt;&gt;"",UPPER(_xlpm.MyAuditVal),_xlpm.MacVal&lt;&gt;"",_xlpm.MacVal,_xlpm.CSVVal&lt;&gt;"",_xlpm.CSVVal
)),"")</f>
        <v/>
      </c>
      <c r="L320" s="40" t="str" cm="1">
        <f t="array" ref="L320">IFERROR(_xlfn.LET(
_xlpm.CSVVal,_xlfn.XLOOKUP($A320,CSV!$A:$A,CSV!P:P,""),
_xlpm.MacVal,_xlfn.XLOOKUP($A320,Output_Mac!$A:$A,Output_Mac!L:L,""),
_xlpm.MyAuditVal,_xlfn.XLOOKUP($A320,My_Audit!$A:$A,My_Audit!K:K,""),
_xlfn.IFS(_xlpm.MyAuditVal&lt;&gt;"",UPPER(_xlpm.MyAuditVal),_xlpm.MacVal&lt;&gt;"",_xlpm.MacVal,_xlpm.CSVVal&lt;&gt;"",_xlpm.CSVVal
)),"")</f>
        <v/>
      </c>
      <c r="M320" s="40" t="str" cm="1">
        <f t="array" ref="M320">IFERROR(_xlfn.LET(
_xlpm.CSVVal,_xlfn.XLOOKUP($A320,CSV!$A:$A,CSV!Q:Q,""),
_xlpm.MacVal,_xlfn.XLOOKUP($A320,Output_Mac!$A:$A,Output_Mac!M:M,""),
_xlpm.MyAuditVal,_xlfn.XLOOKUP($A320,My_Audit!$A:$A,My_Audit!L:L,""),
_xlfn.IFS(_xlpm.MyAuditVal&lt;&gt;"",UPPER(_xlpm.MyAuditVal),_xlpm.MacVal&lt;&gt;"",_xlpm.MacVal,_xlpm.CSVVal&lt;&gt;"",_xlpm.CSVVal
)),"")</f>
        <v/>
      </c>
      <c r="N320" s="40"/>
      <c r="O320" s="40" t="str">
        <f>_xlfn.LET(
    _xlpm.CSVVal, _xlfn.XLOOKUP($A320, CSV!$A:$A, CSV!AA:AA, ""),
    _xlpm.MacVal, _xlfn.XLOOKUP($A320, Output_Mac!$A:$A, Output_Mac!S:S, ""),
    _xlpm.MyAuditVal, _xlfn.XLOOKUP($A320, My_Audit!$A:$A, My_Audit!P:P, ""),
    _xlfn.TEXTJOIN(", ", TRUE, _xlpm.MyAuditVal, _xlpm.MacVal, _xlpm.CSVVal)
)</f>
        <v/>
      </c>
      <c r="P320" s="40" t="str" cm="1">
        <f t="array" ref="P320">IFERROR(_xlfn.LET(
_xlpm.CSVVal,_xlfn.XLOOKUP($A320,CSV!$A:$A,CSV!AB:AB,""),
_xlpm.MacVal,_xlfn.XLOOKUP($A320,Output_Mac!$A:$A,Output_Mac!T:T,""),
_xlpm.MyAuditVal,_xlfn.XLOOKUP($A320,My_Audit!$A:$A,My_Audit!Q:Q,""),
_xlfn.IFS(_xlpm.MyAuditVal&lt;&gt;"",UPPER(_xlpm.MyAuditVal),_xlpm.MacVal&lt;&gt;"",_xlpm.MacVal,_xlpm.CSVVal&lt;&gt;"",_xlpm.CSVVal
)),"No")</f>
        <v>No</v>
      </c>
      <c r="Q320" s="40" t="str" cm="1">
        <f t="array" ref="Q320">IFERROR(_xlfn.LET(
_xlpm.CSVVal,_xlfn.XLOOKUP($A320,CSV!$A:$A,CSV!AC:AC,""),
_xlpm.MacVal,_xlfn.XLOOKUP($A320,Output_Mac!$A:$A,Output_Mac!U:U,""),
_xlpm.MyAuditVal,_xlfn.XLOOKUP($A320,My_Audit!$A:$A,My_Audit!R:R,""),
_xlfn.IFS(_xlpm.MyAuditVal&lt;&gt;"",UPPER(_xlpm.MyAuditVal),_xlpm.MacVal&lt;&gt;"",_xlpm.MacVal,_xlpm.CSVVal&lt;&gt;"",_xlpm.CSVVal
)),"")</f>
        <v/>
      </c>
      <c r="R320" s="40"/>
      <c r="S320" s="40"/>
      <c r="T320" s="40"/>
      <c r="U320" s="40"/>
      <c r="V320" s="40"/>
      <c r="W320" s="40"/>
      <c r="X320" s="41" t="str">
        <f>_xlfn.LET(
    _xlpm.MacVal, _xlfn.XLOOKUP($A320, Output_Mac!$A:$A, Output_Mac!AB:AB, ""),
    _xlpm.MyAuditVal, _xlfn.XLOOKUP($A320, My_Audit!$A:$A, My_Audit!N:N, ""),
    _xlfn.TEXTJOIN(", ", TRUE, _xlpm.MyAuditVal, _xlpm.MacVal)
)</f>
        <v/>
      </c>
    </row>
    <row r="321" spans="1:24">
      <c r="A321" s="40" t="str">
        <f>_xlfn.TEXTJOIN("",TRUE,Input!$B$2,ROW(My_Audit!A320))</f>
        <v>X320</v>
      </c>
      <c r="B321" s="40" t="str">
        <f>_xlfn.TEXTJOIN("-",TRUE,"ITD",Input!$A$2,A321)</f>
        <v>ITD-X320</v>
      </c>
      <c r="C321" s="40" t="str" cm="1">
        <f t="array" ref="C321">IFERROR(_xlfn.LET(
_xlpm.CSVVal,_xlfn.XLOOKUP($A321,CSV!$A:$A,CSV!B:B,""),
_xlpm.MacVal,_xlfn.XLOOKUP($A321,Output_Mac!$A:$A,Output_Mac!B:B,""),
_xlpm.MyAuditVal,_xlfn.XLOOKUP($A321,My_Audit!$A:$A,My_Audit!B:B,""),
_xlfn.IFS(_xlpm.MyAuditVal&lt;&gt;"",UPPER(_xlpm.MyAuditVal),_xlpm.MacVal&lt;&gt;"",_xlpm.MacVal,_xlpm.CSVVal&lt;&gt;"",_xlpm.CSVVal
)),"")</f>
        <v/>
      </c>
      <c r="D321" s="40" t="str" cm="1">
        <f t="array" ref="D321">IFERROR(_xlfn.LET(
_xlpm.CSVVal,_xlfn.XLOOKUP($A321,CSV!$A:$A,CSV!D:D,""),
_xlpm.MacVal,_xlfn.XLOOKUP($A321,Output_Mac!$A:$A,Output_Mac!C:C,""),
_xlpm.MyAuditVal,_xlfn.XLOOKUP($A321,My_Audit!$A:$A,My_Audit!C:C,""),
_xlfn.IFS(_xlpm.MyAuditVal&lt;&gt;"",_xlpm.MyAuditVal,_xlpm.MacVal&lt;&gt;"",_xlpm.MacVal,_xlpm.CSVVal&lt;&gt;"",_xlpm.CSVVal
)),"")</f>
        <v/>
      </c>
      <c r="E321" s="40">
        <f>_xlfn.XLOOKUP(A321,My_Audit!A:A,My_Audit!D:D,"")</f>
        <v>0</v>
      </c>
      <c r="F321" s="40" t="str" cm="1">
        <f t="array" ref="F321">IFERROR(_xlfn.LET(
_xlpm.CSVVal,_xlfn.XLOOKUP($A321,CSV!$A:$A,CSV!F:F,""),
_xlpm.MacVal,_xlfn.XLOOKUP($A321,Output_Mac!$A:$A,Output_Mac!E:E,""),
_xlpm.MyAuditVal,_xlfn.XLOOKUP($A321,My_Audit!$A:$A,My_Audit!E:E,""),
_xlfn.IFS(_xlpm.MyAuditVal&lt;&gt;"",_xlpm.MyAuditVal,_xlpm.MacVal&lt;&gt;"",_xlpm.MacVal,_xlpm.CSVVal&lt;&gt;"",_xlpm.CSVVal
)),"")</f>
        <v/>
      </c>
      <c r="G321" s="40" t="str" cm="1">
        <f t="array" ref="G321">IFERROR(_xlfn.LET(
_xlpm.CSVVal,_xlfn.XLOOKUP($A321,CSV!$A:$A,CSV!G:G,""),
_xlpm.MacVal,_xlfn.XLOOKUP($A321,Output_Mac!$A:$A,Output_Mac!F:F,""),
_xlpm.MyAuditVal,_xlfn.XLOOKUP($A321,My_Audit!$A:$A,My_Audit!F:F,""),
_xlfn.IFS(_xlpm.MyAuditVal&lt;&gt;"",_xlpm.MyAuditVal,_xlpm.MacVal&lt;&gt;"",_xlpm.MacVal,_xlpm.CSVVal&lt;&gt;"",PROPER(_xlpm.CSVVal)
)),"")</f>
        <v/>
      </c>
      <c r="H321" s="40" t="str" cm="1">
        <f t="array" ref="H321">IFERROR(_xlfn.LET(
_xlpm.CSVVal,_xlfn.XLOOKUP($A321,CSV!$A:$A,CSV!H:H,""),
_xlpm.MacVal,_xlfn.XLOOKUP($A321,Output_Mac!$A:$A,Output_Mac!H:H,""),
_xlpm.MyAuditVal,_xlfn.XLOOKUP($A321,My_Audit!$A:$A,My_Audit!G:G,""),
_xlfn.IFS(_xlpm.MyAuditVal&lt;&gt;"",_xlpm.MyAuditVal,_xlpm.MacVal&lt;&gt;"",_xlpm.MacVal,_xlpm.CSVVal&lt;&gt;"",_xlpm.CSVVal
)),"")</f>
        <v/>
      </c>
      <c r="I321" s="40" t="str">
        <f>_xlfn.XLOOKUP(A321,Output_Mac!A:A,Output_Mac!I:I,"")</f>
        <v/>
      </c>
      <c r="J321" s="40" t="str" cm="1">
        <f t="array" ref="J321">IFERROR(_xlfn.LET(
_xlpm.CSVVal,_xlfn.XLOOKUP($A321,CSV!$A:$A,CSV!I:I,""),
_xlpm.MacVal,_xlfn.XLOOKUP($A321,Output_Mac!$A:$A,Output_Mac!J:J,""),
_xlpm.MyAuditVal,_xlfn.XLOOKUP($A321,My_Audit!$A:$A,My_Audit!I:I,""),
_xlfn.IFS(_xlpm.MyAuditVal&lt;&gt;"",UPPER(_xlpm.MyAuditVal),_xlpm.MacVal&lt;&gt;"",_xlpm.MacVal,_xlpm.CSVVal&lt;&gt;"",_xlpm.CSVVal
)),"")</f>
        <v/>
      </c>
      <c r="K321" s="40" t="str" cm="1">
        <f t="array" ref="K321">IFERROR(_xlfn.LET(
_xlpm.CSVVal,_xlfn.XLOOKUP($A321,CSV!$A:$A,CSV!K:K,""),
_xlpm.MacVal,_xlfn.XLOOKUP($A321,Output_Mac!$A:$A,Output_Mac!K:K,""),
_xlpm.MyAuditVal,_xlfn.XLOOKUP($A321,My_Audit!$A:$A,My_Audit!J:J,""),
_xlfn.IFS(_xlpm.MyAuditVal&lt;&gt;"",UPPER(_xlpm.MyAuditVal),_xlpm.MacVal&lt;&gt;"",_xlpm.MacVal,_xlpm.CSVVal&lt;&gt;"",_xlpm.CSVVal
)),"")</f>
        <v/>
      </c>
      <c r="L321" s="40" t="str" cm="1">
        <f t="array" ref="L321">IFERROR(_xlfn.LET(
_xlpm.CSVVal,_xlfn.XLOOKUP($A321,CSV!$A:$A,CSV!P:P,""),
_xlpm.MacVal,_xlfn.XLOOKUP($A321,Output_Mac!$A:$A,Output_Mac!L:L,""),
_xlpm.MyAuditVal,_xlfn.XLOOKUP($A321,My_Audit!$A:$A,My_Audit!K:K,""),
_xlfn.IFS(_xlpm.MyAuditVal&lt;&gt;"",UPPER(_xlpm.MyAuditVal),_xlpm.MacVal&lt;&gt;"",_xlpm.MacVal,_xlpm.CSVVal&lt;&gt;"",_xlpm.CSVVal
)),"")</f>
        <v/>
      </c>
      <c r="M321" s="40" t="str" cm="1">
        <f t="array" ref="M321">IFERROR(_xlfn.LET(
_xlpm.CSVVal,_xlfn.XLOOKUP($A321,CSV!$A:$A,CSV!Q:Q,""),
_xlpm.MacVal,_xlfn.XLOOKUP($A321,Output_Mac!$A:$A,Output_Mac!M:M,""),
_xlpm.MyAuditVal,_xlfn.XLOOKUP($A321,My_Audit!$A:$A,My_Audit!L:L,""),
_xlfn.IFS(_xlpm.MyAuditVal&lt;&gt;"",UPPER(_xlpm.MyAuditVal),_xlpm.MacVal&lt;&gt;"",_xlpm.MacVal,_xlpm.CSVVal&lt;&gt;"",_xlpm.CSVVal
)),"")</f>
        <v/>
      </c>
      <c r="N321" s="40"/>
      <c r="O321" s="40" t="str">
        <f>_xlfn.LET(
    _xlpm.CSVVal, _xlfn.XLOOKUP($A321, CSV!$A:$A, CSV!AA:AA, ""),
    _xlpm.MacVal, _xlfn.XLOOKUP($A321, Output_Mac!$A:$A, Output_Mac!S:S, ""),
    _xlpm.MyAuditVal, _xlfn.XLOOKUP($A321, My_Audit!$A:$A, My_Audit!P:P, ""),
    _xlfn.TEXTJOIN(", ", TRUE, _xlpm.MyAuditVal, _xlpm.MacVal, _xlpm.CSVVal)
)</f>
        <v/>
      </c>
      <c r="P321" s="40" t="str" cm="1">
        <f t="array" ref="P321">IFERROR(_xlfn.LET(
_xlpm.CSVVal,_xlfn.XLOOKUP($A321,CSV!$A:$A,CSV!AB:AB,""),
_xlpm.MacVal,_xlfn.XLOOKUP($A321,Output_Mac!$A:$A,Output_Mac!T:T,""),
_xlpm.MyAuditVal,_xlfn.XLOOKUP($A321,My_Audit!$A:$A,My_Audit!Q:Q,""),
_xlfn.IFS(_xlpm.MyAuditVal&lt;&gt;"",UPPER(_xlpm.MyAuditVal),_xlpm.MacVal&lt;&gt;"",_xlpm.MacVal,_xlpm.CSVVal&lt;&gt;"",_xlpm.CSVVal
)),"No")</f>
        <v>No</v>
      </c>
      <c r="Q321" s="40" t="str" cm="1">
        <f t="array" ref="Q321">IFERROR(_xlfn.LET(
_xlpm.CSVVal,_xlfn.XLOOKUP($A321,CSV!$A:$A,CSV!AC:AC,""),
_xlpm.MacVal,_xlfn.XLOOKUP($A321,Output_Mac!$A:$A,Output_Mac!U:U,""),
_xlpm.MyAuditVal,_xlfn.XLOOKUP($A321,My_Audit!$A:$A,My_Audit!R:R,""),
_xlfn.IFS(_xlpm.MyAuditVal&lt;&gt;"",UPPER(_xlpm.MyAuditVal),_xlpm.MacVal&lt;&gt;"",_xlpm.MacVal,_xlpm.CSVVal&lt;&gt;"",_xlpm.CSVVal
)),"")</f>
        <v/>
      </c>
      <c r="R321" s="40"/>
      <c r="S321" s="40"/>
      <c r="T321" s="40"/>
      <c r="U321" s="40"/>
      <c r="V321" s="40"/>
      <c r="W321" s="40"/>
      <c r="X321" s="41" t="str">
        <f>_xlfn.LET(
    _xlpm.MacVal, _xlfn.XLOOKUP($A321, Output_Mac!$A:$A, Output_Mac!AB:AB, ""),
    _xlpm.MyAuditVal, _xlfn.XLOOKUP($A321, My_Audit!$A:$A, My_Audit!N:N, ""),
    _xlfn.TEXTJOIN(", ", TRUE, _xlpm.MyAuditVal, _xlpm.MacVal)
)</f>
        <v/>
      </c>
    </row>
    <row r="322" spans="1:24">
      <c r="A322" s="40" t="str">
        <f>_xlfn.TEXTJOIN("",TRUE,Input!$B$2,ROW(My_Audit!A321))</f>
        <v>X321</v>
      </c>
      <c r="B322" s="40" t="str">
        <f>_xlfn.TEXTJOIN("-",TRUE,"ITD",Input!$A$2,A322)</f>
        <v>ITD-X321</v>
      </c>
      <c r="C322" s="40" t="str" cm="1">
        <f t="array" ref="C322">IFERROR(_xlfn.LET(
_xlpm.CSVVal,_xlfn.XLOOKUP($A322,CSV!$A:$A,CSV!B:B,""),
_xlpm.MacVal,_xlfn.XLOOKUP($A322,Output_Mac!$A:$A,Output_Mac!B:B,""),
_xlpm.MyAuditVal,_xlfn.XLOOKUP($A322,My_Audit!$A:$A,My_Audit!B:B,""),
_xlfn.IFS(_xlpm.MyAuditVal&lt;&gt;"",UPPER(_xlpm.MyAuditVal),_xlpm.MacVal&lt;&gt;"",_xlpm.MacVal,_xlpm.CSVVal&lt;&gt;"",_xlpm.CSVVal
)),"")</f>
        <v/>
      </c>
      <c r="D322" s="40" t="str" cm="1">
        <f t="array" ref="D322">IFERROR(_xlfn.LET(
_xlpm.CSVVal,_xlfn.XLOOKUP($A322,CSV!$A:$A,CSV!D:D,""),
_xlpm.MacVal,_xlfn.XLOOKUP($A322,Output_Mac!$A:$A,Output_Mac!C:C,""),
_xlpm.MyAuditVal,_xlfn.XLOOKUP($A322,My_Audit!$A:$A,My_Audit!C:C,""),
_xlfn.IFS(_xlpm.MyAuditVal&lt;&gt;"",_xlpm.MyAuditVal,_xlpm.MacVal&lt;&gt;"",_xlpm.MacVal,_xlpm.CSVVal&lt;&gt;"",_xlpm.CSVVal
)),"")</f>
        <v/>
      </c>
      <c r="E322" s="40">
        <f>_xlfn.XLOOKUP(A322,My_Audit!A:A,My_Audit!D:D,"")</f>
        <v>0</v>
      </c>
      <c r="F322" s="40" t="str" cm="1">
        <f t="array" ref="F322">IFERROR(_xlfn.LET(
_xlpm.CSVVal,_xlfn.XLOOKUP($A322,CSV!$A:$A,CSV!F:F,""),
_xlpm.MacVal,_xlfn.XLOOKUP($A322,Output_Mac!$A:$A,Output_Mac!E:E,""),
_xlpm.MyAuditVal,_xlfn.XLOOKUP($A322,My_Audit!$A:$A,My_Audit!E:E,""),
_xlfn.IFS(_xlpm.MyAuditVal&lt;&gt;"",_xlpm.MyAuditVal,_xlpm.MacVal&lt;&gt;"",_xlpm.MacVal,_xlpm.CSVVal&lt;&gt;"",_xlpm.CSVVal
)),"")</f>
        <v/>
      </c>
      <c r="G322" s="40" t="str" cm="1">
        <f t="array" ref="G322">IFERROR(_xlfn.LET(
_xlpm.CSVVal,_xlfn.XLOOKUP($A322,CSV!$A:$A,CSV!G:G,""),
_xlpm.MacVal,_xlfn.XLOOKUP($A322,Output_Mac!$A:$A,Output_Mac!F:F,""),
_xlpm.MyAuditVal,_xlfn.XLOOKUP($A322,My_Audit!$A:$A,My_Audit!F:F,""),
_xlfn.IFS(_xlpm.MyAuditVal&lt;&gt;"",_xlpm.MyAuditVal,_xlpm.MacVal&lt;&gt;"",_xlpm.MacVal,_xlpm.CSVVal&lt;&gt;"",PROPER(_xlpm.CSVVal)
)),"")</f>
        <v/>
      </c>
      <c r="H322" s="40" t="str" cm="1">
        <f t="array" ref="H322">IFERROR(_xlfn.LET(
_xlpm.CSVVal,_xlfn.XLOOKUP($A322,CSV!$A:$A,CSV!H:H,""),
_xlpm.MacVal,_xlfn.XLOOKUP($A322,Output_Mac!$A:$A,Output_Mac!H:H,""),
_xlpm.MyAuditVal,_xlfn.XLOOKUP($A322,My_Audit!$A:$A,My_Audit!G:G,""),
_xlfn.IFS(_xlpm.MyAuditVal&lt;&gt;"",_xlpm.MyAuditVal,_xlpm.MacVal&lt;&gt;"",_xlpm.MacVal,_xlpm.CSVVal&lt;&gt;"",_xlpm.CSVVal
)),"")</f>
        <v/>
      </c>
      <c r="I322" s="40" t="str">
        <f>_xlfn.XLOOKUP(A322,Output_Mac!A:A,Output_Mac!I:I,"")</f>
        <v/>
      </c>
      <c r="J322" s="40" t="str" cm="1">
        <f t="array" ref="J322">IFERROR(_xlfn.LET(
_xlpm.CSVVal,_xlfn.XLOOKUP($A322,CSV!$A:$A,CSV!I:I,""),
_xlpm.MacVal,_xlfn.XLOOKUP($A322,Output_Mac!$A:$A,Output_Mac!J:J,""),
_xlpm.MyAuditVal,_xlfn.XLOOKUP($A322,My_Audit!$A:$A,My_Audit!I:I,""),
_xlfn.IFS(_xlpm.MyAuditVal&lt;&gt;"",UPPER(_xlpm.MyAuditVal),_xlpm.MacVal&lt;&gt;"",_xlpm.MacVal,_xlpm.CSVVal&lt;&gt;"",_xlpm.CSVVal
)),"")</f>
        <v/>
      </c>
      <c r="K322" s="40" t="str" cm="1">
        <f t="array" ref="K322">IFERROR(_xlfn.LET(
_xlpm.CSVVal,_xlfn.XLOOKUP($A322,CSV!$A:$A,CSV!K:K,""),
_xlpm.MacVal,_xlfn.XLOOKUP($A322,Output_Mac!$A:$A,Output_Mac!K:K,""),
_xlpm.MyAuditVal,_xlfn.XLOOKUP($A322,My_Audit!$A:$A,My_Audit!J:J,""),
_xlfn.IFS(_xlpm.MyAuditVal&lt;&gt;"",UPPER(_xlpm.MyAuditVal),_xlpm.MacVal&lt;&gt;"",_xlpm.MacVal,_xlpm.CSVVal&lt;&gt;"",_xlpm.CSVVal
)),"")</f>
        <v/>
      </c>
      <c r="L322" s="40" t="str" cm="1">
        <f t="array" ref="L322">IFERROR(_xlfn.LET(
_xlpm.CSVVal,_xlfn.XLOOKUP($A322,CSV!$A:$A,CSV!P:P,""),
_xlpm.MacVal,_xlfn.XLOOKUP($A322,Output_Mac!$A:$A,Output_Mac!L:L,""),
_xlpm.MyAuditVal,_xlfn.XLOOKUP($A322,My_Audit!$A:$A,My_Audit!K:K,""),
_xlfn.IFS(_xlpm.MyAuditVal&lt;&gt;"",UPPER(_xlpm.MyAuditVal),_xlpm.MacVal&lt;&gt;"",_xlpm.MacVal,_xlpm.CSVVal&lt;&gt;"",_xlpm.CSVVal
)),"")</f>
        <v/>
      </c>
      <c r="M322" s="40" t="str" cm="1">
        <f t="array" ref="M322">IFERROR(_xlfn.LET(
_xlpm.CSVVal,_xlfn.XLOOKUP($A322,CSV!$A:$A,CSV!Q:Q,""),
_xlpm.MacVal,_xlfn.XLOOKUP($A322,Output_Mac!$A:$A,Output_Mac!M:M,""),
_xlpm.MyAuditVal,_xlfn.XLOOKUP($A322,My_Audit!$A:$A,My_Audit!L:L,""),
_xlfn.IFS(_xlpm.MyAuditVal&lt;&gt;"",UPPER(_xlpm.MyAuditVal),_xlpm.MacVal&lt;&gt;"",_xlpm.MacVal,_xlpm.CSVVal&lt;&gt;"",_xlpm.CSVVal
)),"")</f>
        <v/>
      </c>
      <c r="N322" s="40"/>
      <c r="O322" s="40" t="str">
        <f>_xlfn.LET(
    _xlpm.CSVVal, _xlfn.XLOOKUP($A322, CSV!$A:$A, CSV!AA:AA, ""),
    _xlpm.MacVal, _xlfn.XLOOKUP($A322, Output_Mac!$A:$A, Output_Mac!S:S, ""),
    _xlpm.MyAuditVal, _xlfn.XLOOKUP($A322, My_Audit!$A:$A, My_Audit!P:P, ""),
    _xlfn.TEXTJOIN(", ", TRUE, _xlpm.MyAuditVal, _xlpm.MacVal, _xlpm.CSVVal)
)</f>
        <v/>
      </c>
      <c r="P322" s="40" t="str" cm="1">
        <f t="array" ref="P322">IFERROR(_xlfn.LET(
_xlpm.CSVVal,_xlfn.XLOOKUP($A322,CSV!$A:$A,CSV!AB:AB,""),
_xlpm.MacVal,_xlfn.XLOOKUP($A322,Output_Mac!$A:$A,Output_Mac!T:T,""),
_xlpm.MyAuditVal,_xlfn.XLOOKUP($A322,My_Audit!$A:$A,My_Audit!Q:Q,""),
_xlfn.IFS(_xlpm.MyAuditVal&lt;&gt;"",UPPER(_xlpm.MyAuditVal),_xlpm.MacVal&lt;&gt;"",_xlpm.MacVal,_xlpm.CSVVal&lt;&gt;"",_xlpm.CSVVal
)),"No")</f>
        <v>No</v>
      </c>
      <c r="Q322" s="40" t="str" cm="1">
        <f t="array" ref="Q322">IFERROR(_xlfn.LET(
_xlpm.CSVVal,_xlfn.XLOOKUP($A322,CSV!$A:$A,CSV!AC:AC,""),
_xlpm.MacVal,_xlfn.XLOOKUP($A322,Output_Mac!$A:$A,Output_Mac!U:U,""),
_xlpm.MyAuditVal,_xlfn.XLOOKUP($A322,My_Audit!$A:$A,My_Audit!R:R,""),
_xlfn.IFS(_xlpm.MyAuditVal&lt;&gt;"",UPPER(_xlpm.MyAuditVal),_xlpm.MacVal&lt;&gt;"",_xlpm.MacVal,_xlpm.CSVVal&lt;&gt;"",_xlpm.CSVVal
)),"")</f>
        <v/>
      </c>
      <c r="R322" s="40"/>
      <c r="S322" s="40"/>
      <c r="T322" s="40"/>
      <c r="U322" s="40"/>
      <c r="V322" s="40"/>
      <c r="W322" s="40"/>
      <c r="X322" s="41" t="str">
        <f>_xlfn.LET(
    _xlpm.MacVal, _xlfn.XLOOKUP($A322, Output_Mac!$A:$A, Output_Mac!AB:AB, ""),
    _xlpm.MyAuditVal, _xlfn.XLOOKUP($A322, My_Audit!$A:$A, My_Audit!N:N, ""),
    _xlfn.TEXTJOIN(", ", TRUE, _xlpm.MyAuditVal, _xlpm.MacVal)
)</f>
        <v/>
      </c>
    </row>
    <row r="323" spans="1:24">
      <c r="A323" s="40" t="str">
        <f>_xlfn.TEXTJOIN("",TRUE,Input!$B$2,ROW(My_Audit!A322))</f>
        <v>X322</v>
      </c>
      <c r="B323" s="40" t="str">
        <f>_xlfn.TEXTJOIN("-",TRUE,"ITD",Input!$A$2,A323)</f>
        <v>ITD-X322</v>
      </c>
      <c r="C323" s="40" t="str" cm="1">
        <f t="array" ref="C323">IFERROR(_xlfn.LET(
_xlpm.CSVVal,_xlfn.XLOOKUP($A323,CSV!$A:$A,CSV!B:B,""),
_xlpm.MacVal,_xlfn.XLOOKUP($A323,Output_Mac!$A:$A,Output_Mac!B:B,""),
_xlpm.MyAuditVal,_xlfn.XLOOKUP($A323,My_Audit!$A:$A,My_Audit!B:B,""),
_xlfn.IFS(_xlpm.MyAuditVal&lt;&gt;"",UPPER(_xlpm.MyAuditVal),_xlpm.MacVal&lt;&gt;"",_xlpm.MacVal,_xlpm.CSVVal&lt;&gt;"",_xlpm.CSVVal
)),"")</f>
        <v/>
      </c>
      <c r="D323" s="40" t="str" cm="1">
        <f t="array" ref="D323">IFERROR(_xlfn.LET(
_xlpm.CSVVal,_xlfn.XLOOKUP($A323,CSV!$A:$A,CSV!D:D,""),
_xlpm.MacVal,_xlfn.XLOOKUP($A323,Output_Mac!$A:$A,Output_Mac!C:C,""),
_xlpm.MyAuditVal,_xlfn.XLOOKUP($A323,My_Audit!$A:$A,My_Audit!C:C,""),
_xlfn.IFS(_xlpm.MyAuditVal&lt;&gt;"",_xlpm.MyAuditVal,_xlpm.MacVal&lt;&gt;"",_xlpm.MacVal,_xlpm.CSVVal&lt;&gt;"",_xlpm.CSVVal
)),"")</f>
        <v/>
      </c>
      <c r="E323" s="40">
        <f>_xlfn.XLOOKUP(A323,My_Audit!A:A,My_Audit!D:D,"")</f>
        <v>0</v>
      </c>
      <c r="F323" s="40" t="str" cm="1">
        <f t="array" ref="F323">IFERROR(_xlfn.LET(
_xlpm.CSVVal,_xlfn.XLOOKUP($A323,CSV!$A:$A,CSV!F:F,""),
_xlpm.MacVal,_xlfn.XLOOKUP($A323,Output_Mac!$A:$A,Output_Mac!E:E,""),
_xlpm.MyAuditVal,_xlfn.XLOOKUP($A323,My_Audit!$A:$A,My_Audit!E:E,""),
_xlfn.IFS(_xlpm.MyAuditVal&lt;&gt;"",_xlpm.MyAuditVal,_xlpm.MacVal&lt;&gt;"",_xlpm.MacVal,_xlpm.CSVVal&lt;&gt;"",_xlpm.CSVVal
)),"")</f>
        <v/>
      </c>
      <c r="G323" s="40" t="str" cm="1">
        <f t="array" ref="G323">IFERROR(_xlfn.LET(
_xlpm.CSVVal,_xlfn.XLOOKUP($A323,CSV!$A:$A,CSV!G:G,""),
_xlpm.MacVal,_xlfn.XLOOKUP($A323,Output_Mac!$A:$A,Output_Mac!F:F,""),
_xlpm.MyAuditVal,_xlfn.XLOOKUP($A323,My_Audit!$A:$A,My_Audit!F:F,""),
_xlfn.IFS(_xlpm.MyAuditVal&lt;&gt;"",_xlpm.MyAuditVal,_xlpm.MacVal&lt;&gt;"",_xlpm.MacVal,_xlpm.CSVVal&lt;&gt;"",PROPER(_xlpm.CSVVal)
)),"")</f>
        <v/>
      </c>
      <c r="H323" s="40" t="str" cm="1">
        <f t="array" ref="H323">IFERROR(_xlfn.LET(
_xlpm.CSVVal,_xlfn.XLOOKUP($A323,CSV!$A:$A,CSV!H:H,""),
_xlpm.MacVal,_xlfn.XLOOKUP($A323,Output_Mac!$A:$A,Output_Mac!H:H,""),
_xlpm.MyAuditVal,_xlfn.XLOOKUP($A323,My_Audit!$A:$A,My_Audit!G:G,""),
_xlfn.IFS(_xlpm.MyAuditVal&lt;&gt;"",_xlpm.MyAuditVal,_xlpm.MacVal&lt;&gt;"",_xlpm.MacVal,_xlpm.CSVVal&lt;&gt;"",_xlpm.CSVVal
)),"")</f>
        <v/>
      </c>
      <c r="I323" s="40" t="str">
        <f>_xlfn.XLOOKUP(A323,Output_Mac!A:A,Output_Mac!I:I,"")</f>
        <v/>
      </c>
      <c r="J323" s="40" t="str" cm="1">
        <f t="array" ref="J323">IFERROR(_xlfn.LET(
_xlpm.CSVVal,_xlfn.XLOOKUP($A323,CSV!$A:$A,CSV!I:I,""),
_xlpm.MacVal,_xlfn.XLOOKUP($A323,Output_Mac!$A:$A,Output_Mac!J:J,""),
_xlpm.MyAuditVal,_xlfn.XLOOKUP($A323,My_Audit!$A:$A,My_Audit!I:I,""),
_xlfn.IFS(_xlpm.MyAuditVal&lt;&gt;"",UPPER(_xlpm.MyAuditVal),_xlpm.MacVal&lt;&gt;"",_xlpm.MacVal,_xlpm.CSVVal&lt;&gt;"",_xlpm.CSVVal
)),"")</f>
        <v/>
      </c>
      <c r="K323" s="40" t="str" cm="1">
        <f t="array" ref="K323">IFERROR(_xlfn.LET(
_xlpm.CSVVal,_xlfn.XLOOKUP($A323,CSV!$A:$A,CSV!K:K,""),
_xlpm.MacVal,_xlfn.XLOOKUP($A323,Output_Mac!$A:$A,Output_Mac!K:K,""),
_xlpm.MyAuditVal,_xlfn.XLOOKUP($A323,My_Audit!$A:$A,My_Audit!J:J,""),
_xlfn.IFS(_xlpm.MyAuditVal&lt;&gt;"",UPPER(_xlpm.MyAuditVal),_xlpm.MacVal&lt;&gt;"",_xlpm.MacVal,_xlpm.CSVVal&lt;&gt;"",_xlpm.CSVVal
)),"")</f>
        <v/>
      </c>
      <c r="L323" s="40" t="str" cm="1">
        <f t="array" ref="L323">IFERROR(_xlfn.LET(
_xlpm.CSVVal,_xlfn.XLOOKUP($A323,CSV!$A:$A,CSV!P:P,""),
_xlpm.MacVal,_xlfn.XLOOKUP($A323,Output_Mac!$A:$A,Output_Mac!L:L,""),
_xlpm.MyAuditVal,_xlfn.XLOOKUP($A323,My_Audit!$A:$A,My_Audit!K:K,""),
_xlfn.IFS(_xlpm.MyAuditVal&lt;&gt;"",UPPER(_xlpm.MyAuditVal),_xlpm.MacVal&lt;&gt;"",_xlpm.MacVal,_xlpm.CSVVal&lt;&gt;"",_xlpm.CSVVal
)),"")</f>
        <v/>
      </c>
      <c r="M323" s="40" t="str" cm="1">
        <f t="array" ref="M323">IFERROR(_xlfn.LET(
_xlpm.CSVVal,_xlfn.XLOOKUP($A323,CSV!$A:$A,CSV!Q:Q,""),
_xlpm.MacVal,_xlfn.XLOOKUP($A323,Output_Mac!$A:$A,Output_Mac!M:M,""),
_xlpm.MyAuditVal,_xlfn.XLOOKUP($A323,My_Audit!$A:$A,My_Audit!L:L,""),
_xlfn.IFS(_xlpm.MyAuditVal&lt;&gt;"",UPPER(_xlpm.MyAuditVal),_xlpm.MacVal&lt;&gt;"",_xlpm.MacVal,_xlpm.CSVVal&lt;&gt;"",_xlpm.CSVVal
)),"")</f>
        <v/>
      </c>
      <c r="N323" s="40"/>
      <c r="O323" s="40" t="str">
        <f>_xlfn.LET(
    _xlpm.CSVVal, _xlfn.XLOOKUP($A323, CSV!$A:$A, CSV!AA:AA, ""),
    _xlpm.MacVal, _xlfn.XLOOKUP($A323, Output_Mac!$A:$A, Output_Mac!S:S, ""),
    _xlpm.MyAuditVal, _xlfn.XLOOKUP($A323, My_Audit!$A:$A, My_Audit!P:P, ""),
    _xlfn.TEXTJOIN(", ", TRUE, _xlpm.MyAuditVal, _xlpm.MacVal, _xlpm.CSVVal)
)</f>
        <v/>
      </c>
      <c r="P323" s="40" t="str" cm="1">
        <f t="array" ref="P323">IFERROR(_xlfn.LET(
_xlpm.CSVVal,_xlfn.XLOOKUP($A323,CSV!$A:$A,CSV!AB:AB,""),
_xlpm.MacVal,_xlfn.XLOOKUP($A323,Output_Mac!$A:$A,Output_Mac!T:T,""),
_xlpm.MyAuditVal,_xlfn.XLOOKUP($A323,My_Audit!$A:$A,My_Audit!Q:Q,""),
_xlfn.IFS(_xlpm.MyAuditVal&lt;&gt;"",UPPER(_xlpm.MyAuditVal),_xlpm.MacVal&lt;&gt;"",_xlpm.MacVal,_xlpm.CSVVal&lt;&gt;"",_xlpm.CSVVal
)),"No")</f>
        <v>No</v>
      </c>
      <c r="Q323" s="40" t="str" cm="1">
        <f t="array" ref="Q323">IFERROR(_xlfn.LET(
_xlpm.CSVVal,_xlfn.XLOOKUP($A323,CSV!$A:$A,CSV!AC:AC,""),
_xlpm.MacVal,_xlfn.XLOOKUP($A323,Output_Mac!$A:$A,Output_Mac!U:U,""),
_xlpm.MyAuditVal,_xlfn.XLOOKUP($A323,My_Audit!$A:$A,My_Audit!R:R,""),
_xlfn.IFS(_xlpm.MyAuditVal&lt;&gt;"",UPPER(_xlpm.MyAuditVal),_xlpm.MacVal&lt;&gt;"",_xlpm.MacVal,_xlpm.CSVVal&lt;&gt;"",_xlpm.CSVVal
)),"")</f>
        <v/>
      </c>
      <c r="R323" s="40"/>
      <c r="S323" s="40"/>
      <c r="T323" s="40"/>
      <c r="U323" s="40"/>
      <c r="V323" s="40"/>
      <c r="W323" s="40"/>
      <c r="X323" s="41" t="str">
        <f>_xlfn.LET(
    _xlpm.MacVal, _xlfn.XLOOKUP($A323, Output_Mac!$A:$A, Output_Mac!AB:AB, ""),
    _xlpm.MyAuditVal, _xlfn.XLOOKUP($A323, My_Audit!$A:$A, My_Audit!N:N, ""),
    _xlfn.TEXTJOIN(", ", TRUE, _xlpm.MyAuditVal, _xlpm.MacVal)
)</f>
        <v/>
      </c>
    </row>
    <row r="324" spans="1:24">
      <c r="A324" s="40" t="str">
        <f>_xlfn.TEXTJOIN("",TRUE,Input!$B$2,ROW(My_Audit!A323))</f>
        <v>X323</v>
      </c>
      <c r="B324" s="40" t="str">
        <f>_xlfn.TEXTJOIN("-",TRUE,"ITD",Input!$A$2,A324)</f>
        <v>ITD-X323</v>
      </c>
      <c r="C324" s="40" t="str" cm="1">
        <f t="array" ref="C324">IFERROR(_xlfn.LET(
_xlpm.CSVVal,_xlfn.XLOOKUP($A324,CSV!$A:$A,CSV!B:B,""),
_xlpm.MacVal,_xlfn.XLOOKUP($A324,Output_Mac!$A:$A,Output_Mac!B:B,""),
_xlpm.MyAuditVal,_xlfn.XLOOKUP($A324,My_Audit!$A:$A,My_Audit!B:B,""),
_xlfn.IFS(_xlpm.MyAuditVal&lt;&gt;"",UPPER(_xlpm.MyAuditVal),_xlpm.MacVal&lt;&gt;"",_xlpm.MacVal,_xlpm.CSVVal&lt;&gt;"",_xlpm.CSVVal
)),"")</f>
        <v/>
      </c>
      <c r="D324" s="40" t="str" cm="1">
        <f t="array" ref="D324">IFERROR(_xlfn.LET(
_xlpm.CSVVal,_xlfn.XLOOKUP($A324,CSV!$A:$A,CSV!D:D,""),
_xlpm.MacVal,_xlfn.XLOOKUP($A324,Output_Mac!$A:$A,Output_Mac!C:C,""),
_xlpm.MyAuditVal,_xlfn.XLOOKUP($A324,My_Audit!$A:$A,My_Audit!C:C,""),
_xlfn.IFS(_xlpm.MyAuditVal&lt;&gt;"",_xlpm.MyAuditVal,_xlpm.MacVal&lt;&gt;"",_xlpm.MacVal,_xlpm.CSVVal&lt;&gt;"",_xlpm.CSVVal
)),"")</f>
        <v/>
      </c>
      <c r="E324" s="40">
        <f>_xlfn.XLOOKUP(A324,My_Audit!A:A,My_Audit!D:D,"")</f>
        <v>0</v>
      </c>
      <c r="F324" s="40" t="str" cm="1">
        <f t="array" ref="F324">IFERROR(_xlfn.LET(
_xlpm.CSVVal,_xlfn.XLOOKUP($A324,CSV!$A:$A,CSV!F:F,""),
_xlpm.MacVal,_xlfn.XLOOKUP($A324,Output_Mac!$A:$A,Output_Mac!E:E,""),
_xlpm.MyAuditVal,_xlfn.XLOOKUP($A324,My_Audit!$A:$A,My_Audit!E:E,""),
_xlfn.IFS(_xlpm.MyAuditVal&lt;&gt;"",_xlpm.MyAuditVal,_xlpm.MacVal&lt;&gt;"",_xlpm.MacVal,_xlpm.CSVVal&lt;&gt;"",_xlpm.CSVVal
)),"")</f>
        <v/>
      </c>
      <c r="G324" s="40" t="str" cm="1">
        <f t="array" ref="G324">IFERROR(_xlfn.LET(
_xlpm.CSVVal,_xlfn.XLOOKUP($A324,CSV!$A:$A,CSV!G:G,""),
_xlpm.MacVal,_xlfn.XLOOKUP($A324,Output_Mac!$A:$A,Output_Mac!F:F,""),
_xlpm.MyAuditVal,_xlfn.XLOOKUP($A324,My_Audit!$A:$A,My_Audit!F:F,""),
_xlfn.IFS(_xlpm.MyAuditVal&lt;&gt;"",_xlpm.MyAuditVal,_xlpm.MacVal&lt;&gt;"",_xlpm.MacVal,_xlpm.CSVVal&lt;&gt;"",PROPER(_xlpm.CSVVal)
)),"")</f>
        <v/>
      </c>
      <c r="H324" s="40" t="str" cm="1">
        <f t="array" ref="H324">IFERROR(_xlfn.LET(
_xlpm.CSVVal,_xlfn.XLOOKUP($A324,CSV!$A:$A,CSV!H:H,""),
_xlpm.MacVal,_xlfn.XLOOKUP($A324,Output_Mac!$A:$A,Output_Mac!H:H,""),
_xlpm.MyAuditVal,_xlfn.XLOOKUP($A324,My_Audit!$A:$A,My_Audit!G:G,""),
_xlfn.IFS(_xlpm.MyAuditVal&lt;&gt;"",_xlpm.MyAuditVal,_xlpm.MacVal&lt;&gt;"",_xlpm.MacVal,_xlpm.CSVVal&lt;&gt;"",_xlpm.CSVVal
)),"")</f>
        <v/>
      </c>
      <c r="I324" s="40" t="str">
        <f>_xlfn.XLOOKUP(A324,Output_Mac!A:A,Output_Mac!I:I,"")</f>
        <v/>
      </c>
      <c r="J324" s="40" t="str" cm="1">
        <f t="array" ref="J324">IFERROR(_xlfn.LET(
_xlpm.CSVVal,_xlfn.XLOOKUP($A324,CSV!$A:$A,CSV!I:I,""),
_xlpm.MacVal,_xlfn.XLOOKUP($A324,Output_Mac!$A:$A,Output_Mac!J:J,""),
_xlpm.MyAuditVal,_xlfn.XLOOKUP($A324,My_Audit!$A:$A,My_Audit!I:I,""),
_xlfn.IFS(_xlpm.MyAuditVal&lt;&gt;"",UPPER(_xlpm.MyAuditVal),_xlpm.MacVal&lt;&gt;"",_xlpm.MacVal,_xlpm.CSVVal&lt;&gt;"",_xlpm.CSVVal
)),"")</f>
        <v/>
      </c>
      <c r="K324" s="40" t="str" cm="1">
        <f t="array" ref="K324">IFERROR(_xlfn.LET(
_xlpm.CSVVal,_xlfn.XLOOKUP($A324,CSV!$A:$A,CSV!K:K,""),
_xlpm.MacVal,_xlfn.XLOOKUP($A324,Output_Mac!$A:$A,Output_Mac!K:K,""),
_xlpm.MyAuditVal,_xlfn.XLOOKUP($A324,My_Audit!$A:$A,My_Audit!J:J,""),
_xlfn.IFS(_xlpm.MyAuditVal&lt;&gt;"",UPPER(_xlpm.MyAuditVal),_xlpm.MacVal&lt;&gt;"",_xlpm.MacVal,_xlpm.CSVVal&lt;&gt;"",_xlpm.CSVVal
)),"")</f>
        <v/>
      </c>
      <c r="L324" s="40" t="str" cm="1">
        <f t="array" ref="L324">IFERROR(_xlfn.LET(
_xlpm.CSVVal,_xlfn.XLOOKUP($A324,CSV!$A:$A,CSV!P:P,""),
_xlpm.MacVal,_xlfn.XLOOKUP($A324,Output_Mac!$A:$A,Output_Mac!L:L,""),
_xlpm.MyAuditVal,_xlfn.XLOOKUP($A324,My_Audit!$A:$A,My_Audit!K:K,""),
_xlfn.IFS(_xlpm.MyAuditVal&lt;&gt;"",UPPER(_xlpm.MyAuditVal),_xlpm.MacVal&lt;&gt;"",_xlpm.MacVal,_xlpm.CSVVal&lt;&gt;"",_xlpm.CSVVal
)),"")</f>
        <v/>
      </c>
      <c r="M324" s="40" t="str" cm="1">
        <f t="array" ref="M324">IFERROR(_xlfn.LET(
_xlpm.CSVVal,_xlfn.XLOOKUP($A324,CSV!$A:$A,CSV!Q:Q,""),
_xlpm.MacVal,_xlfn.XLOOKUP($A324,Output_Mac!$A:$A,Output_Mac!M:M,""),
_xlpm.MyAuditVal,_xlfn.XLOOKUP($A324,My_Audit!$A:$A,My_Audit!L:L,""),
_xlfn.IFS(_xlpm.MyAuditVal&lt;&gt;"",UPPER(_xlpm.MyAuditVal),_xlpm.MacVal&lt;&gt;"",_xlpm.MacVal,_xlpm.CSVVal&lt;&gt;"",_xlpm.CSVVal
)),"")</f>
        <v/>
      </c>
      <c r="N324" s="40"/>
      <c r="O324" s="40" t="str">
        <f>_xlfn.LET(
    _xlpm.CSVVal, _xlfn.XLOOKUP($A324, CSV!$A:$A, CSV!AA:AA, ""),
    _xlpm.MacVal, _xlfn.XLOOKUP($A324, Output_Mac!$A:$A, Output_Mac!S:S, ""),
    _xlpm.MyAuditVal, _xlfn.XLOOKUP($A324, My_Audit!$A:$A, My_Audit!P:P, ""),
    _xlfn.TEXTJOIN(", ", TRUE, _xlpm.MyAuditVal, _xlpm.MacVal, _xlpm.CSVVal)
)</f>
        <v/>
      </c>
      <c r="P324" s="40" t="str" cm="1">
        <f t="array" ref="P324">IFERROR(_xlfn.LET(
_xlpm.CSVVal,_xlfn.XLOOKUP($A324,CSV!$A:$A,CSV!AB:AB,""),
_xlpm.MacVal,_xlfn.XLOOKUP($A324,Output_Mac!$A:$A,Output_Mac!T:T,""),
_xlpm.MyAuditVal,_xlfn.XLOOKUP($A324,My_Audit!$A:$A,My_Audit!Q:Q,""),
_xlfn.IFS(_xlpm.MyAuditVal&lt;&gt;"",UPPER(_xlpm.MyAuditVal),_xlpm.MacVal&lt;&gt;"",_xlpm.MacVal,_xlpm.CSVVal&lt;&gt;"",_xlpm.CSVVal
)),"No")</f>
        <v>No</v>
      </c>
      <c r="Q324" s="40" t="str" cm="1">
        <f t="array" ref="Q324">IFERROR(_xlfn.LET(
_xlpm.CSVVal,_xlfn.XLOOKUP($A324,CSV!$A:$A,CSV!AC:AC,""),
_xlpm.MacVal,_xlfn.XLOOKUP($A324,Output_Mac!$A:$A,Output_Mac!U:U,""),
_xlpm.MyAuditVal,_xlfn.XLOOKUP($A324,My_Audit!$A:$A,My_Audit!R:R,""),
_xlfn.IFS(_xlpm.MyAuditVal&lt;&gt;"",UPPER(_xlpm.MyAuditVal),_xlpm.MacVal&lt;&gt;"",_xlpm.MacVal,_xlpm.CSVVal&lt;&gt;"",_xlpm.CSVVal
)),"")</f>
        <v/>
      </c>
      <c r="R324" s="40"/>
      <c r="S324" s="40"/>
      <c r="T324" s="40"/>
      <c r="U324" s="40"/>
      <c r="V324" s="40"/>
      <c r="W324" s="40"/>
      <c r="X324" s="41" t="str">
        <f>_xlfn.LET(
    _xlpm.MacVal, _xlfn.XLOOKUP($A324, Output_Mac!$A:$A, Output_Mac!AB:AB, ""),
    _xlpm.MyAuditVal, _xlfn.XLOOKUP($A324, My_Audit!$A:$A, My_Audit!N:N, ""),
    _xlfn.TEXTJOIN(", ", TRUE, _xlpm.MyAuditVal, _xlpm.MacVal)
)</f>
        <v/>
      </c>
    </row>
    <row r="325" spans="1:24">
      <c r="A325" s="40" t="str">
        <f>_xlfn.TEXTJOIN("",TRUE,Input!$B$2,ROW(My_Audit!A324))</f>
        <v>X324</v>
      </c>
      <c r="B325" s="40" t="str">
        <f>_xlfn.TEXTJOIN("-",TRUE,"ITD",Input!$A$2,A325)</f>
        <v>ITD-X324</v>
      </c>
      <c r="C325" s="40" t="str" cm="1">
        <f t="array" ref="C325">IFERROR(_xlfn.LET(
_xlpm.CSVVal,_xlfn.XLOOKUP($A325,CSV!$A:$A,CSV!B:B,""),
_xlpm.MacVal,_xlfn.XLOOKUP($A325,Output_Mac!$A:$A,Output_Mac!B:B,""),
_xlpm.MyAuditVal,_xlfn.XLOOKUP($A325,My_Audit!$A:$A,My_Audit!B:B,""),
_xlfn.IFS(_xlpm.MyAuditVal&lt;&gt;"",UPPER(_xlpm.MyAuditVal),_xlpm.MacVal&lt;&gt;"",_xlpm.MacVal,_xlpm.CSVVal&lt;&gt;"",_xlpm.CSVVal
)),"")</f>
        <v/>
      </c>
      <c r="D325" s="40" t="str" cm="1">
        <f t="array" ref="D325">IFERROR(_xlfn.LET(
_xlpm.CSVVal,_xlfn.XLOOKUP($A325,CSV!$A:$A,CSV!D:D,""),
_xlpm.MacVal,_xlfn.XLOOKUP($A325,Output_Mac!$A:$A,Output_Mac!C:C,""),
_xlpm.MyAuditVal,_xlfn.XLOOKUP($A325,My_Audit!$A:$A,My_Audit!C:C,""),
_xlfn.IFS(_xlpm.MyAuditVal&lt;&gt;"",_xlpm.MyAuditVal,_xlpm.MacVal&lt;&gt;"",_xlpm.MacVal,_xlpm.CSVVal&lt;&gt;"",_xlpm.CSVVal
)),"")</f>
        <v/>
      </c>
      <c r="E325" s="40">
        <f>_xlfn.XLOOKUP(A325,My_Audit!A:A,My_Audit!D:D,"")</f>
        <v>0</v>
      </c>
      <c r="F325" s="40" t="str" cm="1">
        <f t="array" ref="F325">IFERROR(_xlfn.LET(
_xlpm.CSVVal,_xlfn.XLOOKUP($A325,CSV!$A:$A,CSV!F:F,""),
_xlpm.MacVal,_xlfn.XLOOKUP($A325,Output_Mac!$A:$A,Output_Mac!E:E,""),
_xlpm.MyAuditVal,_xlfn.XLOOKUP($A325,My_Audit!$A:$A,My_Audit!E:E,""),
_xlfn.IFS(_xlpm.MyAuditVal&lt;&gt;"",_xlpm.MyAuditVal,_xlpm.MacVal&lt;&gt;"",_xlpm.MacVal,_xlpm.CSVVal&lt;&gt;"",_xlpm.CSVVal
)),"")</f>
        <v/>
      </c>
      <c r="G325" s="40" t="str" cm="1">
        <f t="array" ref="G325">IFERROR(_xlfn.LET(
_xlpm.CSVVal,_xlfn.XLOOKUP($A325,CSV!$A:$A,CSV!G:G,""),
_xlpm.MacVal,_xlfn.XLOOKUP($A325,Output_Mac!$A:$A,Output_Mac!F:F,""),
_xlpm.MyAuditVal,_xlfn.XLOOKUP($A325,My_Audit!$A:$A,My_Audit!F:F,""),
_xlfn.IFS(_xlpm.MyAuditVal&lt;&gt;"",_xlpm.MyAuditVal,_xlpm.MacVal&lt;&gt;"",_xlpm.MacVal,_xlpm.CSVVal&lt;&gt;"",PROPER(_xlpm.CSVVal)
)),"")</f>
        <v/>
      </c>
      <c r="H325" s="40" t="str" cm="1">
        <f t="array" ref="H325">IFERROR(_xlfn.LET(
_xlpm.CSVVal,_xlfn.XLOOKUP($A325,CSV!$A:$A,CSV!H:H,""),
_xlpm.MacVal,_xlfn.XLOOKUP($A325,Output_Mac!$A:$A,Output_Mac!H:H,""),
_xlpm.MyAuditVal,_xlfn.XLOOKUP($A325,My_Audit!$A:$A,My_Audit!G:G,""),
_xlfn.IFS(_xlpm.MyAuditVal&lt;&gt;"",_xlpm.MyAuditVal,_xlpm.MacVal&lt;&gt;"",_xlpm.MacVal,_xlpm.CSVVal&lt;&gt;"",_xlpm.CSVVal
)),"")</f>
        <v/>
      </c>
      <c r="I325" s="40" t="str">
        <f>_xlfn.XLOOKUP(A325,Output_Mac!A:A,Output_Mac!I:I,"")</f>
        <v/>
      </c>
      <c r="J325" s="40" t="str" cm="1">
        <f t="array" ref="J325">IFERROR(_xlfn.LET(
_xlpm.CSVVal,_xlfn.XLOOKUP($A325,CSV!$A:$A,CSV!I:I,""),
_xlpm.MacVal,_xlfn.XLOOKUP($A325,Output_Mac!$A:$A,Output_Mac!J:J,""),
_xlpm.MyAuditVal,_xlfn.XLOOKUP($A325,My_Audit!$A:$A,My_Audit!I:I,""),
_xlfn.IFS(_xlpm.MyAuditVal&lt;&gt;"",UPPER(_xlpm.MyAuditVal),_xlpm.MacVal&lt;&gt;"",_xlpm.MacVal,_xlpm.CSVVal&lt;&gt;"",_xlpm.CSVVal
)),"")</f>
        <v/>
      </c>
      <c r="K325" s="40" t="str" cm="1">
        <f t="array" ref="K325">IFERROR(_xlfn.LET(
_xlpm.CSVVal,_xlfn.XLOOKUP($A325,CSV!$A:$A,CSV!K:K,""),
_xlpm.MacVal,_xlfn.XLOOKUP($A325,Output_Mac!$A:$A,Output_Mac!K:K,""),
_xlpm.MyAuditVal,_xlfn.XLOOKUP($A325,My_Audit!$A:$A,My_Audit!J:J,""),
_xlfn.IFS(_xlpm.MyAuditVal&lt;&gt;"",UPPER(_xlpm.MyAuditVal),_xlpm.MacVal&lt;&gt;"",_xlpm.MacVal,_xlpm.CSVVal&lt;&gt;"",_xlpm.CSVVal
)),"")</f>
        <v/>
      </c>
      <c r="L325" s="40" t="str" cm="1">
        <f t="array" ref="L325">IFERROR(_xlfn.LET(
_xlpm.CSVVal,_xlfn.XLOOKUP($A325,CSV!$A:$A,CSV!P:P,""),
_xlpm.MacVal,_xlfn.XLOOKUP($A325,Output_Mac!$A:$A,Output_Mac!L:L,""),
_xlpm.MyAuditVal,_xlfn.XLOOKUP($A325,My_Audit!$A:$A,My_Audit!K:K,""),
_xlfn.IFS(_xlpm.MyAuditVal&lt;&gt;"",UPPER(_xlpm.MyAuditVal),_xlpm.MacVal&lt;&gt;"",_xlpm.MacVal,_xlpm.CSVVal&lt;&gt;"",_xlpm.CSVVal
)),"")</f>
        <v/>
      </c>
      <c r="M325" s="40" t="str" cm="1">
        <f t="array" ref="M325">IFERROR(_xlfn.LET(
_xlpm.CSVVal,_xlfn.XLOOKUP($A325,CSV!$A:$A,CSV!Q:Q,""),
_xlpm.MacVal,_xlfn.XLOOKUP($A325,Output_Mac!$A:$A,Output_Mac!M:M,""),
_xlpm.MyAuditVal,_xlfn.XLOOKUP($A325,My_Audit!$A:$A,My_Audit!L:L,""),
_xlfn.IFS(_xlpm.MyAuditVal&lt;&gt;"",UPPER(_xlpm.MyAuditVal),_xlpm.MacVal&lt;&gt;"",_xlpm.MacVal,_xlpm.CSVVal&lt;&gt;"",_xlpm.CSVVal
)),"")</f>
        <v/>
      </c>
      <c r="N325" s="40"/>
      <c r="O325" s="40" t="str">
        <f>_xlfn.LET(
    _xlpm.CSVVal, _xlfn.XLOOKUP($A325, CSV!$A:$A, CSV!AA:AA, ""),
    _xlpm.MacVal, _xlfn.XLOOKUP($A325, Output_Mac!$A:$A, Output_Mac!S:S, ""),
    _xlpm.MyAuditVal, _xlfn.XLOOKUP($A325, My_Audit!$A:$A, My_Audit!P:P, ""),
    _xlfn.TEXTJOIN(", ", TRUE, _xlpm.MyAuditVal, _xlpm.MacVal, _xlpm.CSVVal)
)</f>
        <v/>
      </c>
      <c r="P325" s="40" t="str" cm="1">
        <f t="array" ref="P325">IFERROR(_xlfn.LET(
_xlpm.CSVVal,_xlfn.XLOOKUP($A325,CSV!$A:$A,CSV!AB:AB,""),
_xlpm.MacVal,_xlfn.XLOOKUP($A325,Output_Mac!$A:$A,Output_Mac!T:T,""),
_xlpm.MyAuditVal,_xlfn.XLOOKUP($A325,My_Audit!$A:$A,My_Audit!Q:Q,""),
_xlfn.IFS(_xlpm.MyAuditVal&lt;&gt;"",UPPER(_xlpm.MyAuditVal),_xlpm.MacVal&lt;&gt;"",_xlpm.MacVal,_xlpm.CSVVal&lt;&gt;"",_xlpm.CSVVal
)),"No")</f>
        <v>No</v>
      </c>
      <c r="Q325" s="40" t="str" cm="1">
        <f t="array" ref="Q325">IFERROR(_xlfn.LET(
_xlpm.CSVVal,_xlfn.XLOOKUP($A325,CSV!$A:$A,CSV!AC:AC,""),
_xlpm.MacVal,_xlfn.XLOOKUP($A325,Output_Mac!$A:$A,Output_Mac!U:U,""),
_xlpm.MyAuditVal,_xlfn.XLOOKUP($A325,My_Audit!$A:$A,My_Audit!R:R,""),
_xlfn.IFS(_xlpm.MyAuditVal&lt;&gt;"",UPPER(_xlpm.MyAuditVal),_xlpm.MacVal&lt;&gt;"",_xlpm.MacVal,_xlpm.CSVVal&lt;&gt;"",_xlpm.CSVVal
)),"")</f>
        <v/>
      </c>
      <c r="R325" s="40"/>
      <c r="S325" s="40"/>
      <c r="T325" s="40"/>
      <c r="U325" s="40"/>
      <c r="V325" s="40"/>
      <c r="W325" s="40"/>
      <c r="X325" s="41" t="str">
        <f>_xlfn.LET(
    _xlpm.MacVal, _xlfn.XLOOKUP($A325, Output_Mac!$A:$A, Output_Mac!AB:AB, ""),
    _xlpm.MyAuditVal, _xlfn.XLOOKUP($A325, My_Audit!$A:$A, My_Audit!N:N, ""),
    _xlfn.TEXTJOIN(", ", TRUE, _xlpm.MyAuditVal, _xlpm.MacVal)
)</f>
        <v/>
      </c>
    </row>
    <row r="326" spans="1:24">
      <c r="A326" s="40" t="str">
        <f>_xlfn.TEXTJOIN("",TRUE,Input!$B$2,ROW(My_Audit!A325))</f>
        <v>X325</v>
      </c>
      <c r="B326" s="40" t="str">
        <f>_xlfn.TEXTJOIN("-",TRUE,"ITD",Input!$A$2,A326)</f>
        <v>ITD-X325</v>
      </c>
      <c r="C326" s="40" t="str" cm="1">
        <f t="array" ref="C326">IFERROR(_xlfn.LET(
_xlpm.CSVVal,_xlfn.XLOOKUP($A326,CSV!$A:$A,CSV!B:B,""),
_xlpm.MacVal,_xlfn.XLOOKUP($A326,Output_Mac!$A:$A,Output_Mac!B:B,""),
_xlpm.MyAuditVal,_xlfn.XLOOKUP($A326,My_Audit!$A:$A,My_Audit!B:B,""),
_xlfn.IFS(_xlpm.MyAuditVal&lt;&gt;"",UPPER(_xlpm.MyAuditVal),_xlpm.MacVal&lt;&gt;"",_xlpm.MacVal,_xlpm.CSVVal&lt;&gt;"",_xlpm.CSVVal
)),"")</f>
        <v/>
      </c>
      <c r="D326" s="40" t="str" cm="1">
        <f t="array" ref="D326">IFERROR(_xlfn.LET(
_xlpm.CSVVal,_xlfn.XLOOKUP($A326,CSV!$A:$A,CSV!D:D,""),
_xlpm.MacVal,_xlfn.XLOOKUP($A326,Output_Mac!$A:$A,Output_Mac!C:C,""),
_xlpm.MyAuditVal,_xlfn.XLOOKUP($A326,My_Audit!$A:$A,My_Audit!C:C,""),
_xlfn.IFS(_xlpm.MyAuditVal&lt;&gt;"",_xlpm.MyAuditVal,_xlpm.MacVal&lt;&gt;"",_xlpm.MacVal,_xlpm.CSVVal&lt;&gt;"",_xlpm.CSVVal
)),"")</f>
        <v/>
      </c>
      <c r="E326" s="40">
        <f>_xlfn.XLOOKUP(A326,My_Audit!A:A,My_Audit!D:D,"")</f>
        <v>0</v>
      </c>
      <c r="F326" s="40" t="str" cm="1">
        <f t="array" ref="F326">IFERROR(_xlfn.LET(
_xlpm.CSVVal,_xlfn.XLOOKUP($A326,CSV!$A:$A,CSV!F:F,""),
_xlpm.MacVal,_xlfn.XLOOKUP($A326,Output_Mac!$A:$A,Output_Mac!E:E,""),
_xlpm.MyAuditVal,_xlfn.XLOOKUP($A326,My_Audit!$A:$A,My_Audit!E:E,""),
_xlfn.IFS(_xlpm.MyAuditVal&lt;&gt;"",_xlpm.MyAuditVal,_xlpm.MacVal&lt;&gt;"",_xlpm.MacVal,_xlpm.CSVVal&lt;&gt;"",_xlpm.CSVVal
)),"")</f>
        <v/>
      </c>
      <c r="G326" s="40" t="str" cm="1">
        <f t="array" ref="G326">IFERROR(_xlfn.LET(
_xlpm.CSVVal,_xlfn.XLOOKUP($A326,CSV!$A:$A,CSV!G:G,""),
_xlpm.MacVal,_xlfn.XLOOKUP($A326,Output_Mac!$A:$A,Output_Mac!F:F,""),
_xlpm.MyAuditVal,_xlfn.XLOOKUP($A326,My_Audit!$A:$A,My_Audit!F:F,""),
_xlfn.IFS(_xlpm.MyAuditVal&lt;&gt;"",_xlpm.MyAuditVal,_xlpm.MacVal&lt;&gt;"",_xlpm.MacVal,_xlpm.CSVVal&lt;&gt;"",PROPER(_xlpm.CSVVal)
)),"")</f>
        <v/>
      </c>
      <c r="H326" s="40" t="str" cm="1">
        <f t="array" ref="H326">IFERROR(_xlfn.LET(
_xlpm.CSVVal,_xlfn.XLOOKUP($A326,CSV!$A:$A,CSV!H:H,""),
_xlpm.MacVal,_xlfn.XLOOKUP($A326,Output_Mac!$A:$A,Output_Mac!H:H,""),
_xlpm.MyAuditVal,_xlfn.XLOOKUP($A326,My_Audit!$A:$A,My_Audit!G:G,""),
_xlfn.IFS(_xlpm.MyAuditVal&lt;&gt;"",_xlpm.MyAuditVal,_xlpm.MacVal&lt;&gt;"",_xlpm.MacVal,_xlpm.CSVVal&lt;&gt;"",_xlpm.CSVVal
)),"")</f>
        <v/>
      </c>
      <c r="I326" s="40" t="str">
        <f>_xlfn.XLOOKUP(A326,Output_Mac!A:A,Output_Mac!I:I,"")</f>
        <v/>
      </c>
      <c r="J326" s="40" t="str" cm="1">
        <f t="array" ref="J326">IFERROR(_xlfn.LET(
_xlpm.CSVVal,_xlfn.XLOOKUP($A326,CSV!$A:$A,CSV!I:I,""),
_xlpm.MacVal,_xlfn.XLOOKUP($A326,Output_Mac!$A:$A,Output_Mac!J:J,""),
_xlpm.MyAuditVal,_xlfn.XLOOKUP($A326,My_Audit!$A:$A,My_Audit!I:I,""),
_xlfn.IFS(_xlpm.MyAuditVal&lt;&gt;"",UPPER(_xlpm.MyAuditVal),_xlpm.MacVal&lt;&gt;"",_xlpm.MacVal,_xlpm.CSVVal&lt;&gt;"",_xlpm.CSVVal
)),"")</f>
        <v/>
      </c>
      <c r="K326" s="40" t="str" cm="1">
        <f t="array" ref="K326">IFERROR(_xlfn.LET(
_xlpm.CSVVal,_xlfn.XLOOKUP($A326,CSV!$A:$A,CSV!K:K,""),
_xlpm.MacVal,_xlfn.XLOOKUP($A326,Output_Mac!$A:$A,Output_Mac!K:K,""),
_xlpm.MyAuditVal,_xlfn.XLOOKUP($A326,My_Audit!$A:$A,My_Audit!J:J,""),
_xlfn.IFS(_xlpm.MyAuditVal&lt;&gt;"",UPPER(_xlpm.MyAuditVal),_xlpm.MacVal&lt;&gt;"",_xlpm.MacVal,_xlpm.CSVVal&lt;&gt;"",_xlpm.CSVVal
)),"")</f>
        <v/>
      </c>
      <c r="L326" s="40" t="str" cm="1">
        <f t="array" ref="L326">IFERROR(_xlfn.LET(
_xlpm.CSVVal,_xlfn.XLOOKUP($A326,CSV!$A:$A,CSV!P:P,""),
_xlpm.MacVal,_xlfn.XLOOKUP($A326,Output_Mac!$A:$A,Output_Mac!L:L,""),
_xlpm.MyAuditVal,_xlfn.XLOOKUP($A326,My_Audit!$A:$A,My_Audit!K:K,""),
_xlfn.IFS(_xlpm.MyAuditVal&lt;&gt;"",UPPER(_xlpm.MyAuditVal),_xlpm.MacVal&lt;&gt;"",_xlpm.MacVal,_xlpm.CSVVal&lt;&gt;"",_xlpm.CSVVal
)),"")</f>
        <v/>
      </c>
      <c r="M326" s="40" t="str" cm="1">
        <f t="array" ref="M326">IFERROR(_xlfn.LET(
_xlpm.CSVVal,_xlfn.XLOOKUP($A326,CSV!$A:$A,CSV!Q:Q,""),
_xlpm.MacVal,_xlfn.XLOOKUP($A326,Output_Mac!$A:$A,Output_Mac!M:M,""),
_xlpm.MyAuditVal,_xlfn.XLOOKUP($A326,My_Audit!$A:$A,My_Audit!L:L,""),
_xlfn.IFS(_xlpm.MyAuditVal&lt;&gt;"",UPPER(_xlpm.MyAuditVal),_xlpm.MacVal&lt;&gt;"",_xlpm.MacVal,_xlpm.CSVVal&lt;&gt;"",_xlpm.CSVVal
)),"")</f>
        <v/>
      </c>
      <c r="N326" s="40"/>
      <c r="O326" s="40" t="str">
        <f>_xlfn.LET(
    _xlpm.CSVVal, _xlfn.XLOOKUP($A326, CSV!$A:$A, CSV!AA:AA, ""),
    _xlpm.MacVal, _xlfn.XLOOKUP($A326, Output_Mac!$A:$A, Output_Mac!S:S, ""),
    _xlpm.MyAuditVal, _xlfn.XLOOKUP($A326, My_Audit!$A:$A, My_Audit!P:P, ""),
    _xlfn.TEXTJOIN(", ", TRUE, _xlpm.MyAuditVal, _xlpm.MacVal, _xlpm.CSVVal)
)</f>
        <v/>
      </c>
      <c r="P326" s="40" t="str" cm="1">
        <f t="array" ref="P326">IFERROR(_xlfn.LET(
_xlpm.CSVVal,_xlfn.XLOOKUP($A326,CSV!$A:$A,CSV!AB:AB,""),
_xlpm.MacVal,_xlfn.XLOOKUP($A326,Output_Mac!$A:$A,Output_Mac!T:T,""),
_xlpm.MyAuditVal,_xlfn.XLOOKUP($A326,My_Audit!$A:$A,My_Audit!Q:Q,""),
_xlfn.IFS(_xlpm.MyAuditVal&lt;&gt;"",UPPER(_xlpm.MyAuditVal),_xlpm.MacVal&lt;&gt;"",_xlpm.MacVal,_xlpm.CSVVal&lt;&gt;"",_xlpm.CSVVal
)),"No")</f>
        <v>No</v>
      </c>
      <c r="Q326" s="40" t="str" cm="1">
        <f t="array" ref="Q326">IFERROR(_xlfn.LET(
_xlpm.CSVVal,_xlfn.XLOOKUP($A326,CSV!$A:$A,CSV!AC:AC,""),
_xlpm.MacVal,_xlfn.XLOOKUP($A326,Output_Mac!$A:$A,Output_Mac!U:U,""),
_xlpm.MyAuditVal,_xlfn.XLOOKUP($A326,My_Audit!$A:$A,My_Audit!R:R,""),
_xlfn.IFS(_xlpm.MyAuditVal&lt;&gt;"",UPPER(_xlpm.MyAuditVal),_xlpm.MacVal&lt;&gt;"",_xlpm.MacVal,_xlpm.CSVVal&lt;&gt;"",_xlpm.CSVVal
)),"")</f>
        <v/>
      </c>
      <c r="R326" s="40"/>
      <c r="S326" s="40"/>
      <c r="T326" s="40"/>
      <c r="U326" s="40"/>
      <c r="V326" s="40"/>
      <c r="W326" s="40"/>
      <c r="X326" s="41" t="str">
        <f>_xlfn.LET(
    _xlpm.MacVal, _xlfn.XLOOKUP($A326, Output_Mac!$A:$A, Output_Mac!AB:AB, ""),
    _xlpm.MyAuditVal, _xlfn.XLOOKUP($A326, My_Audit!$A:$A, My_Audit!N:N, ""),
    _xlfn.TEXTJOIN(", ", TRUE, _xlpm.MyAuditVal, _xlpm.MacVal)
)</f>
        <v/>
      </c>
    </row>
    <row r="327" spans="1:24">
      <c r="A327" s="40" t="str">
        <f>_xlfn.TEXTJOIN("",TRUE,Input!$B$2,ROW(My_Audit!A326))</f>
        <v>X326</v>
      </c>
      <c r="B327" s="40" t="str">
        <f>_xlfn.TEXTJOIN("-",TRUE,"ITD",Input!$A$2,A327)</f>
        <v>ITD-X326</v>
      </c>
      <c r="C327" s="40" t="str" cm="1">
        <f t="array" ref="C327">IFERROR(_xlfn.LET(
_xlpm.CSVVal,_xlfn.XLOOKUP($A327,CSV!$A:$A,CSV!B:B,""),
_xlpm.MacVal,_xlfn.XLOOKUP($A327,Output_Mac!$A:$A,Output_Mac!B:B,""),
_xlpm.MyAuditVal,_xlfn.XLOOKUP($A327,My_Audit!$A:$A,My_Audit!B:B,""),
_xlfn.IFS(_xlpm.MyAuditVal&lt;&gt;"",UPPER(_xlpm.MyAuditVal),_xlpm.MacVal&lt;&gt;"",_xlpm.MacVal,_xlpm.CSVVal&lt;&gt;"",_xlpm.CSVVal
)),"")</f>
        <v/>
      </c>
      <c r="D327" s="40" t="str" cm="1">
        <f t="array" ref="D327">IFERROR(_xlfn.LET(
_xlpm.CSVVal,_xlfn.XLOOKUP($A327,CSV!$A:$A,CSV!D:D,""),
_xlpm.MacVal,_xlfn.XLOOKUP($A327,Output_Mac!$A:$A,Output_Mac!C:C,""),
_xlpm.MyAuditVal,_xlfn.XLOOKUP($A327,My_Audit!$A:$A,My_Audit!C:C,""),
_xlfn.IFS(_xlpm.MyAuditVal&lt;&gt;"",_xlpm.MyAuditVal,_xlpm.MacVal&lt;&gt;"",_xlpm.MacVal,_xlpm.CSVVal&lt;&gt;"",_xlpm.CSVVal
)),"")</f>
        <v/>
      </c>
      <c r="E327" s="40">
        <f>_xlfn.XLOOKUP(A327,My_Audit!A:A,My_Audit!D:D,"")</f>
        <v>0</v>
      </c>
      <c r="F327" s="40" t="str" cm="1">
        <f t="array" ref="F327">IFERROR(_xlfn.LET(
_xlpm.CSVVal,_xlfn.XLOOKUP($A327,CSV!$A:$A,CSV!F:F,""),
_xlpm.MacVal,_xlfn.XLOOKUP($A327,Output_Mac!$A:$A,Output_Mac!E:E,""),
_xlpm.MyAuditVal,_xlfn.XLOOKUP($A327,My_Audit!$A:$A,My_Audit!E:E,""),
_xlfn.IFS(_xlpm.MyAuditVal&lt;&gt;"",_xlpm.MyAuditVal,_xlpm.MacVal&lt;&gt;"",_xlpm.MacVal,_xlpm.CSVVal&lt;&gt;"",_xlpm.CSVVal
)),"")</f>
        <v/>
      </c>
      <c r="G327" s="40" t="str" cm="1">
        <f t="array" ref="G327">IFERROR(_xlfn.LET(
_xlpm.CSVVal,_xlfn.XLOOKUP($A327,CSV!$A:$A,CSV!G:G,""),
_xlpm.MacVal,_xlfn.XLOOKUP($A327,Output_Mac!$A:$A,Output_Mac!F:F,""),
_xlpm.MyAuditVal,_xlfn.XLOOKUP($A327,My_Audit!$A:$A,My_Audit!F:F,""),
_xlfn.IFS(_xlpm.MyAuditVal&lt;&gt;"",_xlpm.MyAuditVal,_xlpm.MacVal&lt;&gt;"",_xlpm.MacVal,_xlpm.CSVVal&lt;&gt;"",PROPER(_xlpm.CSVVal)
)),"")</f>
        <v/>
      </c>
      <c r="H327" s="40" t="str" cm="1">
        <f t="array" ref="H327">IFERROR(_xlfn.LET(
_xlpm.CSVVal,_xlfn.XLOOKUP($A327,CSV!$A:$A,CSV!H:H,""),
_xlpm.MacVal,_xlfn.XLOOKUP($A327,Output_Mac!$A:$A,Output_Mac!H:H,""),
_xlpm.MyAuditVal,_xlfn.XLOOKUP($A327,My_Audit!$A:$A,My_Audit!G:G,""),
_xlfn.IFS(_xlpm.MyAuditVal&lt;&gt;"",_xlpm.MyAuditVal,_xlpm.MacVal&lt;&gt;"",_xlpm.MacVal,_xlpm.CSVVal&lt;&gt;"",_xlpm.CSVVal
)),"")</f>
        <v/>
      </c>
      <c r="I327" s="40" t="str">
        <f>_xlfn.XLOOKUP(A327,Output_Mac!A:A,Output_Mac!I:I,"")</f>
        <v/>
      </c>
      <c r="J327" s="40" t="str" cm="1">
        <f t="array" ref="J327">IFERROR(_xlfn.LET(
_xlpm.CSVVal,_xlfn.XLOOKUP($A327,CSV!$A:$A,CSV!I:I,""),
_xlpm.MacVal,_xlfn.XLOOKUP($A327,Output_Mac!$A:$A,Output_Mac!J:J,""),
_xlpm.MyAuditVal,_xlfn.XLOOKUP($A327,My_Audit!$A:$A,My_Audit!I:I,""),
_xlfn.IFS(_xlpm.MyAuditVal&lt;&gt;"",UPPER(_xlpm.MyAuditVal),_xlpm.MacVal&lt;&gt;"",_xlpm.MacVal,_xlpm.CSVVal&lt;&gt;"",_xlpm.CSVVal
)),"")</f>
        <v/>
      </c>
      <c r="K327" s="40" t="str" cm="1">
        <f t="array" ref="K327">IFERROR(_xlfn.LET(
_xlpm.CSVVal,_xlfn.XLOOKUP($A327,CSV!$A:$A,CSV!K:K,""),
_xlpm.MacVal,_xlfn.XLOOKUP($A327,Output_Mac!$A:$A,Output_Mac!K:K,""),
_xlpm.MyAuditVal,_xlfn.XLOOKUP($A327,My_Audit!$A:$A,My_Audit!J:J,""),
_xlfn.IFS(_xlpm.MyAuditVal&lt;&gt;"",UPPER(_xlpm.MyAuditVal),_xlpm.MacVal&lt;&gt;"",_xlpm.MacVal,_xlpm.CSVVal&lt;&gt;"",_xlpm.CSVVal
)),"")</f>
        <v/>
      </c>
      <c r="L327" s="40" t="str" cm="1">
        <f t="array" ref="L327">IFERROR(_xlfn.LET(
_xlpm.CSVVal,_xlfn.XLOOKUP($A327,CSV!$A:$A,CSV!P:P,""),
_xlpm.MacVal,_xlfn.XLOOKUP($A327,Output_Mac!$A:$A,Output_Mac!L:L,""),
_xlpm.MyAuditVal,_xlfn.XLOOKUP($A327,My_Audit!$A:$A,My_Audit!K:K,""),
_xlfn.IFS(_xlpm.MyAuditVal&lt;&gt;"",UPPER(_xlpm.MyAuditVal),_xlpm.MacVal&lt;&gt;"",_xlpm.MacVal,_xlpm.CSVVal&lt;&gt;"",_xlpm.CSVVal
)),"")</f>
        <v/>
      </c>
      <c r="M327" s="40" t="str" cm="1">
        <f t="array" ref="M327">IFERROR(_xlfn.LET(
_xlpm.CSVVal,_xlfn.XLOOKUP($A327,CSV!$A:$A,CSV!Q:Q,""),
_xlpm.MacVal,_xlfn.XLOOKUP($A327,Output_Mac!$A:$A,Output_Mac!M:M,""),
_xlpm.MyAuditVal,_xlfn.XLOOKUP($A327,My_Audit!$A:$A,My_Audit!L:L,""),
_xlfn.IFS(_xlpm.MyAuditVal&lt;&gt;"",UPPER(_xlpm.MyAuditVal),_xlpm.MacVal&lt;&gt;"",_xlpm.MacVal,_xlpm.CSVVal&lt;&gt;"",_xlpm.CSVVal
)),"")</f>
        <v/>
      </c>
      <c r="N327" s="40"/>
      <c r="O327" s="40" t="str">
        <f>_xlfn.LET(
    _xlpm.CSVVal, _xlfn.XLOOKUP($A327, CSV!$A:$A, CSV!AA:AA, ""),
    _xlpm.MacVal, _xlfn.XLOOKUP($A327, Output_Mac!$A:$A, Output_Mac!S:S, ""),
    _xlpm.MyAuditVal, _xlfn.XLOOKUP($A327, My_Audit!$A:$A, My_Audit!P:P, ""),
    _xlfn.TEXTJOIN(", ", TRUE, _xlpm.MyAuditVal, _xlpm.MacVal, _xlpm.CSVVal)
)</f>
        <v/>
      </c>
      <c r="P327" s="40" t="str" cm="1">
        <f t="array" ref="P327">IFERROR(_xlfn.LET(
_xlpm.CSVVal,_xlfn.XLOOKUP($A327,CSV!$A:$A,CSV!AB:AB,""),
_xlpm.MacVal,_xlfn.XLOOKUP($A327,Output_Mac!$A:$A,Output_Mac!T:T,""),
_xlpm.MyAuditVal,_xlfn.XLOOKUP($A327,My_Audit!$A:$A,My_Audit!Q:Q,""),
_xlfn.IFS(_xlpm.MyAuditVal&lt;&gt;"",UPPER(_xlpm.MyAuditVal),_xlpm.MacVal&lt;&gt;"",_xlpm.MacVal,_xlpm.CSVVal&lt;&gt;"",_xlpm.CSVVal
)),"No")</f>
        <v>No</v>
      </c>
      <c r="Q327" s="40" t="str" cm="1">
        <f t="array" ref="Q327">IFERROR(_xlfn.LET(
_xlpm.CSVVal,_xlfn.XLOOKUP($A327,CSV!$A:$A,CSV!AC:AC,""),
_xlpm.MacVal,_xlfn.XLOOKUP($A327,Output_Mac!$A:$A,Output_Mac!U:U,""),
_xlpm.MyAuditVal,_xlfn.XLOOKUP($A327,My_Audit!$A:$A,My_Audit!R:R,""),
_xlfn.IFS(_xlpm.MyAuditVal&lt;&gt;"",UPPER(_xlpm.MyAuditVal),_xlpm.MacVal&lt;&gt;"",_xlpm.MacVal,_xlpm.CSVVal&lt;&gt;"",_xlpm.CSVVal
)),"")</f>
        <v/>
      </c>
      <c r="R327" s="40"/>
      <c r="S327" s="40"/>
      <c r="T327" s="40"/>
      <c r="U327" s="40"/>
      <c r="V327" s="40"/>
      <c r="W327" s="40"/>
      <c r="X327" s="41" t="str">
        <f>_xlfn.LET(
    _xlpm.MacVal, _xlfn.XLOOKUP($A327, Output_Mac!$A:$A, Output_Mac!AB:AB, ""),
    _xlpm.MyAuditVal, _xlfn.XLOOKUP($A327, My_Audit!$A:$A, My_Audit!N:N, ""),
    _xlfn.TEXTJOIN(", ", TRUE, _xlpm.MyAuditVal, _xlpm.MacVal)
)</f>
        <v/>
      </c>
    </row>
    <row r="328" spans="1:24">
      <c r="A328" s="40" t="str">
        <f>_xlfn.TEXTJOIN("",TRUE,Input!$B$2,ROW(My_Audit!A327))</f>
        <v>X327</v>
      </c>
      <c r="B328" s="40" t="str">
        <f>_xlfn.TEXTJOIN("-",TRUE,"ITD",Input!$A$2,A328)</f>
        <v>ITD-X327</v>
      </c>
      <c r="C328" s="40" t="str" cm="1">
        <f t="array" ref="C328">IFERROR(_xlfn.LET(
_xlpm.CSVVal,_xlfn.XLOOKUP($A328,CSV!$A:$A,CSV!B:B,""),
_xlpm.MacVal,_xlfn.XLOOKUP($A328,Output_Mac!$A:$A,Output_Mac!B:B,""),
_xlpm.MyAuditVal,_xlfn.XLOOKUP($A328,My_Audit!$A:$A,My_Audit!B:B,""),
_xlfn.IFS(_xlpm.MyAuditVal&lt;&gt;"",UPPER(_xlpm.MyAuditVal),_xlpm.MacVal&lt;&gt;"",_xlpm.MacVal,_xlpm.CSVVal&lt;&gt;"",_xlpm.CSVVal
)),"")</f>
        <v/>
      </c>
      <c r="D328" s="40" t="str" cm="1">
        <f t="array" ref="D328">IFERROR(_xlfn.LET(
_xlpm.CSVVal,_xlfn.XLOOKUP($A328,CSV!$A:$A,CSV!D:D,""),
_xlpm.MacVal,_xlfn.XLOOKUP($A328,Output_Mac!$A:$A,Output_Mac!C:C,""),
_xlpm.MyAuditVal,_xlfn.XLOOKUP($A328,My_Audit!$A:$A,My_Audit!C:C,""),
_xlfn.IFS(_xlpm.MyAuditVal&lt;&gt;"",_xlpm.MyAuditVal,_xlpm.MacVal&lt;&gt;"",_xlpm.MacVal,_xlpm.CSVVal&lt;&gt;"",_xlpm.CSVVal
)),"")</f>
        <v/>
      </c>
      <c r="E328" s="40">
        <f>_xlfn.XLOOKUP(A328,My_Audit!A:A,My_Audit!D:D,"")</f>
        <v>0</v>
      </c>
      <c r="F328" s="40" t="str" cm="1">
        <f t="array" ref="F328">IFERROR(_xlfn.LET(
_xlpm.CSVVal,_xlfn.XLOOKUP($A328,CSV!$A:$A,CSV!F:F,""),
_xlpm.MacVal,_xlfn.XLOOKUP($A328,Output_Mac!$A:$A,Output_Mac!E:E,""),
_xlpm.MyAuditVal,_xlfn.XLOOKUP($A328,My_Audit!$A:$A,My_Audit!E:E,""),
_xlfn.IFS(_xlpm.MyAuditVal&lt;&gt;"",_xlpm.MyAuditVal,_xlpm.MacVal&lt;&gt;"",_xlpm.MacVal,_xlpm.CSVVal&lt;&gt;"",_xlpm.CSVVal
)),"")</f>
        <v/>
      </c>
      <c r="G328" s="40" t="str" cm="1">
        <f t="array" ref="G328">IFERROR(_xlfn.LET(
_xlpm.CSVVal,_xlfn.XLOOKUP($A328,CSV!$A:$A,CSV!G:G,""),
_xlpm.MacVal,_xlfn.XLOOKUP($A328,Output_Mac!$A:$A,Output_Mac!F:F,""),
_xlpm.MyAuditVal,_xlfn.XLOOKUP($A328,My_Audit!$A:$A,My_Audit!F:F,""),
_xlfn.IFS(_xlpm.MyAuditVal&lt;&gt;"",_xlpm.MyAuditVal,_xlpm.MacVal&lt;&gt;"",_xlpm.MacVal,_xlpm.CSVVal&lt;&gt;"",PROPER(_xlpm.CSVVal)
)),"")</f>
        <v/>
      </c>
      <c r="H328" s="40" t="str" cm="1">
        <f t="array" ref="H328">IFERROR(_xlfn.LET(
_xlpm.CSVVal,_xlfn.XLOOKUP($A328,CSV!$A:$A,CSV!H:H,""),
_xlpm.MacVal,_xlfn.XLOOKUP($A328,Output_Mac!$A:$A,Output_Mac!H:H,""),
_xlpm.MyAuditVal,_xlfn.XLOOKUP($A328,My_Audit!$A:$A,My_Audit!G:G,""),
_xlfn.IFS(_xlpm.MyAuditVal&lt;&gt;"",_xlpm.MyAuditVal,_xlpm.MacVal&lt;&gt;"",_xlpm.MacVal,_xlpm.CSVVal&lt;&gt;"",_xlpm.CSVVal
)),"")</f>
        <v/>
      </c>
      <c r="I328" s="40" t="str">
        <f>_xlfn.XLOOKUP(A328,Output_Mac!A:A,Output_Mac!I:I,"")</f>
        <v/>
      </c>
      <c r="J328" s="40" t="str" cm="1">
        <f t="array" ref="J328">IFERROR(_xlfn.LET(
_xlpm.CSVVal,_xlfn.XLOOKUP($A328,CSV!$A:$A,CSV!I:I,""),
_xlpm.MacVal,_xlfn.XLOOKUP($A328,Output_Mac!$A:$A,Output_Mac!J:J,""),
_xlpm.MyAuditVal,_xlfn.XLOOKUP($A328,My_Audit!$A:$A,My_Audit!I:I,""),
_xlfn.IFS(_xlpm.MyAuditVal&lt;&gt;"",UPPER(_xlpm.MyAuditVal),_xlpm.MacVal&lt;&gt;"",_xlpm.MacVal,_xlpm.CSVVal&lt;&gt;"",_xlpm.CSVVal
)),"")</f>
        <v/>
      </c>
      <c r="K328" s="40" t="str" cm="1">
        <f t="array" ref="K328">IFERROR(_xlfn.LET(
_xlpm.CSVVal,_xlfn.XLOOKUP($A328,CSV!$A:$A,CSV!K:K,""),
_xlpm.MacVal,_xlfn.XLOOKUP($A328,Output_Mac!$A:$A,Output_Mac!K:K,""),
_xlpm.MyAuditVal,_xlfn.XLOOKUP($A328,My_Audit!$A:$A,My_Audit!J:J,""),
_xlfn.IFS(_xlpm.MyAuditVal&lt;&gt;"",UPPER(_xlpm.MyAuditVal),_xlpm.MacVal&lt;&gt;"",_xlpm.MacVal,_xlpm.CSVVal&lt;&gt;"",_xlpm.CSVVal
)),"")</f>
        <v/>
      </c>
      <c r="L328" s="40" t="str" cm="1">
        <f t="array" ref="L328">IFERROR(_xlfn.LET(
_xlpm.CSVVal,_xlfn.XLOOKUP($A328,CSV!$A:$A,CSV!P:P,""),
_xlpm.MacVal,_xlfn.XLOOKUP($A328,Output_Mac!$A:$A,Output_Mac!L:L,""),
_xlpm.MyAuditVal,_xlfn.XLOOKUP($A328,My_Audit!$A:$A,My_Audit!K:K,""),
_xlfn.IFS(_xlpm.MyAuditVal&lt;&gt;"",UPPER(_xlpm.MyAuditVal),_xlpm.MacVal&lt;&gt;"",_xlpm.MacVal,_xlpm.CSVVal&lt;&gt;"",_xlpm.CSVVal
)),"")</f>
        <v/>
      </c>
      <c r="M328" s="40" t="str" cm="1">
        <f t="array" ref="M328">IFERROR(_xlfn.LET(
_xlpm.CSVVal,_xlfn.XLOOKUP($A328,CSV!$A:$A,CSV!Q:Q,""),
_xlpm.MacVal,_xlfn.XLOOKUP($A328,Output_Mac!$A:$A,Output_Mac!M:M,""),
_xlpm.MyAuditVal,_xlfn.XLOOKUP($A328,My_Audit!$A:$A,My_Audit!L:L,""),
_xlfn.IFS(_xlpm.MyAuditVal&lt;&gt;"",UPPER(_xlpm.MyAuditVal),_xlpm.MacVal&lt;&gt;"",_xlpm.MacVal,_xlpm.CSVVal&lt;&gt;"",_xlpm.CSVVal
)),"")</f>
        <v/>
      </c>
      <c r="N328" s="40"/>
      <c r="O328" s="40" t="str">
        <f>_xlfn.LET(
    _xlpm.CSVVal, _xlfn.XLOOKUP($A328, CSV!$A:$A, CSV!AA:AA, ""),
    _xlpm.MacVal, _xlfn.XLOOKUP($A328, Output_Mac!$A:$A, Output_Mac!S:S, ""),
    _xlpm.MyAuditVal, _xlfn.XLOOKUP($A328, My_Audit!$A:$A, My_Audit!P:P, ""),
    _xlfn.TEXTJOIN(", ", TRUE, _xlpm.MyAuditVal, _xlpm.MacVal, _xlpm.CSVVal)
)</f>
        <v/>
      </c>
      <c r="P328" s="40" t="str" cm="1">
        <f t="array" ref="P328">IFERROR(_xlfn.LET(
_xlpm.CSVVal,_xlfn.XLOOKUP($A328,CSV!$A:$A,CSV!AB:AB,""),
_xlpm.MacVal,_xlfn.XLOOKUP($A328,Output_Mac!$A:$A,Output_Mac!T:T,""),
_xlpm.MyAuditVal,_xlfn.XLOOKUP($A328,My_Audit!$A:$A,My_Audit!Q:Q,""),
_xlfn.IFS(_xlpm.MyAuditVal&lt;&gt;"",UPPER(_xlpm.MyAuditVal),_xlpm.MacVal&lt;&gt;"",_xlpm.MacVal,_xlpm.CSVVal&lt;&gt;"",_xlpm.CSVVal
)),"No")</f>
        <v>No</v>
      </c>
      <c r="Q328" s="40" t="str" cm="1">
        <f t="array" ref="Q328">IFERROR(_xlfn.LET(
_xlpm.CSVVal,_xlfn.XLOOKUP($A328,CSV!$A:$A,CSV!AC:AC,""),
_xlpm.MacVal,_xlfn.XLOOKUP($A328,Output_Mac!$A:$A,Output_Mac!U:U,""),
_xlpm.MyAuditVal,_xlfn.XLOOKUP($A328,My_Audit!$A:$A,My_Audit!R:R,""),
_xlfn.IFS(_xlpm.MyAuditVal&lt;&gt;"",UPPER(_xlpm.MyAuditVal),_xlpm.MacVal&lt;&gt;"",_xlpm.MacVal,_xlpm.CSVVal&lt;&gt;"",_xlpm.CSVVal
)),"")</f>
        <v/>
      </c>
      <c r="R328" s="40"/>
      <c r="S328" s="40"/>
      <c r="T328" s="40"/>
      <c r="U328" s="40"/>
      <c r="V328" s="40"/>
      <c r="W328" s="40"/>
      <c r="X328" s="41" t="str">
        <f>_xlfn.LET(
    _xlpm.MacVal, _xlfn.XLOOKUP($A328, Output_Mac!$A:$A, Output_Mac!AB:AB, ""),
    _xlpm.MyAuditVal, _xlfn.XLOOKUP($A328, My_Audit!$A:$A, My_Audit!N:N, ""),
    _xlfn.TEXTJOIN(", ", TRUE, _xlpm.MyAuditVal, _xlpm.MacVal)
)</f>
        <v/>
      </c>
    </row>
    <row r="329" spans="1:24">
      <c r="A329" s="40" t="str">
        <f>_xlfn.TEXTJOIN("",TRUE,Input!$B$2,ROW(My_Audit!A328))</f>
        <v>X328</v>
      </c>
      <c r="B329" s="40" t="str">
        <f>_xlfn.TEXTJOIN("-",TRUE,"ITD",Input!$A$2,A329)</f>
        <v>ITD-X328</v>
      </c>
      <c r="C329" s="40" t="str" cm="1">
        <f t="array" ref="C329">IFERROR(_xlfn.LET(
_xlpm.CSVVal,_xlfn.XLOOKUP($A329,CSV!$A:$A,CSV!B:B,""),
_xlpm.MacVal,_xlfn.XLOOKUP($A329,Output_Mac!$A:$A,Output_Mac!B:B,""),
_xlpm.MyAuditVal,_xlfn.XLOOKUP($A329,My_Audit!$A:$A,My_Audit!B:B,""),
_xlfn.IFS(_xlpm.MyAuditVal&lt;&gt;"",UPPER(_xlpm.MyAuditVal),_xlpm.MacVal&lt;&gt;"",_xlpm.MacVal,_xlpm.CSVVal&lt;&gt;"",_xlpm.CSVVal
)),"")</f>
        <v/>
      </c>
      <c r="D329" s="40" t="str" cm="1">
        <f t="array" ref="D329">IFERROR(_xlfn.LET(
_xlpm.CSVVal,_xlfn.XLOOKUP($A329,CSV!$A:$A,CSV!D:D,""),
_xlpm.MacVal,_xlfn.XLOOKUP($A329,Output_Mac!$A:$A,Output_Mac!C:C,""),
_xlpm.MyAuditVal,_xlfn.XLOOKUP($A329,My_Audit!$A:$A,My_Audit!C:C,""),
_xlfn.IFS(_xlpm.MyAuditVal&lt;&gt;"",_xlpm.MyAuditVal,_xlpm.MacVal&lt;&gt;"",_xlpm.MacVal,_xlpm.CSVVal&lt;&gt;"",_xlpm.CSVVal
)),"")</f>
        <v/>
      </c>
      <c r="E329" s="40">
        <f>_xlfn.XLOOKUP(A329,My_Audit!A:A,My_Audit!D:D,"")</f>
        <v>0</v>
      </c>
      <c r="F329" s="40" t="str" cm="1">
        <f t="array" ref="F329">IFERROR(_xlfn.LET(
_xlpm.CSVVal,_xlfn.XLOOKUP($A329,CSV!$A:$A,CSV!F:F,""),
_xlpm.MacVal,_xlfn.XLOOKUP($A329,Output_Mac!$A:$A,Output_Mac!E:E,""),
_xlpm.MyAuditVal,_xlfn.XLOOKUP($A329,My_Audit!$A:$A,My_Audit!E:E,""),
_xlfn.IFS(_xlpm.MyAuditVal&lt;&gt;"",_xlpm.MyAuditVal,_xlpm.MacVal&lt;&gt;"",_xlpm.MacVal,_xlpm.CSVVal&lt;&gt;"",_xlpm.CSVVal
)),"")</f>
        <v/>
      </c>
      <c r="G329" s="40" t="str" cm="1">
        <f t="array" ref="G329">IFERROR(_xlfn.LET(
_xlpm.CSVVal,_xlfn.XLOOKUP($A329,CSV!$A:$A,CSV!G:G,""),
_xlpm.MacVal,_xlfn.XLOOKUP($A329,Output_Mac!$A:$A,Output_Mac!F:F,""),
_xlpm.MyAuditVal,_xlfn.XLOOKUP($A329,My_Audit!$A:$A,My_Audit!F:F,""),
_xlfn.IFS(_xlpm.MyAuditVal&lt;&gt;"",_xlpm.MyAuditVal,_xlpm.MacVal&lt;&gt;"",_xlpm.MacVal,_xlpm.CSVVal&lt;&gt;"",PROPER(_xlpm.CSVVal)
)),"")</f>
        <v/>
      </c>
      <c r="H329" s="40" t="str" cm="1">
        <f t="array" ref="H329">IFERROR(_xlfn.LET(
_xlpm.CSVVal,_xlfn.XLOOKUP($A329,CSV!$A:$A,CSV!H:H,""),
_xlpm.MacVal,_xlfn.XLOOKUP($A329,Output_Mac!$A:$A,Output_Mac!H:H,""),
_xlpm.MyAuditVal,_xlfn.XLOOKUP($A329,My_Audit!$A:$A,My_Audit!G:G,""),
_xlfn.IFS(_xlpm.MyAuditVal&lt;&gt;"",_xlpm.MyAuditVal,_xlpm.MacVal&lt;&gt;"",_xlpm.MacVal,_xlpm.CSVVal&lt;&gt;"",_xlpm.CSVVal
)),"")</f>
        <v/>
      </c>
      <c r="I329" s="40" t="str">
        <f>_xlfn.XLOOKUP(A329,Output_Mac!A:A,Output_Mac!I:I,"")</f>
        <v/>
      </c>
      <c r="J329" s="40" t="str" cm="1">
        <f t="array" ref="J329">IFERROR(_xlfn.LET(
_xlpm.CSVVal,_xlfn.XLOOKUP($A329,CSV!$A:$A,CSV!I:I,""),
_xlpm.MacVal,_xlfn.XLOOKUP($A329,Output_Mac!$A:$A,Output_Mac!J:J,""),
_xlpm.MyAuditVal,_xlfn.XLOOKUP($A329,My_Audit!$A:$A,My_Audit!I:I,""),
_xlfn.IFS(_xlpm.MyAuditVal&lt;&gt;"",UPPER(_xlpm.MyAuditVal),_xlpm.MacVal&lt;&gt;"",_xlpm.MacVal,_xlpm.CSVVal&lt;&gt;"",_xlpm.CSVVal
)),"")</f>
        <v/>
      </c>
      <c r="K329" s="40" t="str" cm="1">
        <f t="array" ref="K329">IFERROR(_xlfn.LET(
_xlpm.CSVVal,_xlfn.XLOOKUP($A329,CSV!$A:$A,CSV!K:K,""),
_xlpm.MacVal,_xlfn.XLOOKUP($A329,Output_Mac!$A:$A,Output_Mac!K:K,""),
_xlpm.MyAuditVal,_xlfn.XLOOKUP($A329,My_Audit!$A:$A,My_Audit!J:J,""),
_xlfn.IFS(_xlpm.MyAuditVal&lt;&gt;"",UPPER(_xlpm.MyAuditVal),_xlpm.MacVal&lt;&gt;"",_xlpm.MacVal,_xlpm.CSVVal&lt;&gt;"",_xlpm.CSVVal
)),"")</f>
        <v/>
      </c>
      <c r="L329" s="40" t="str" cm="1">
        <f t="array" ref="L329">IFERROR(_xlfn.LET(
_xlpm.CSVVal,_xlfn.XLOOKUP($A329,CSV!$A:$A,CSV!P:P,""),
_xlpm.MacVal,_xlfn.XLOOKUP($A329,Output_Mac!$A:$A,Output_Mac!L:L,""),
_xlpm.MyAuditVal,_xlfn.XLOOKUP($A329,My_Audit!$A:$A,My_Audit!K:K,""),
_xlfn.IFS(_xlpm.MyAuditVal&lt;&gt;"",UPPER(_xlpm.MyAuditVal),_xlpm.MacVal&lt;&gt;"",_xlpm.MacVal,_xlpm.CSVVal&lt;&gt;"",_xlpm.CSVVal
)),"")</f>
        <v/>
      </c>
      <c r="M329" s="40" t="str" cm="1">
        <f t="array" ref="M329">IFERROR(_xlfn.LET(
_xlpm.CSVVal,_xlfn.XLOOKUP($A329,CSV!$A:$A,CSV!Q:Q,""),
_xlpm.MacVal,_xlfn.XLOOKUP($A329,Output_Mac!$A:$A,Output_Mac!M:M,""),
_xlpm.MyAuditVal,_xlfn.XLOOKUP($A329,My_Audit!$A:$A,My_Audit!L:L,""),
_xlfn.IFS(_xlpm.MyAuditVal&lt;&gt;"",UPPER(_xlpm.MyAuditVal),_xlpm.MacVal&lt;&gt;"",_xlpm.MacVal,_xlpm.CSVVal&lt;&gt;"",_xlpm.CSVVal
)),"")</f>
        <v/>
      </c>
      <c r="N329" s="40"/>
      <c r="O329" s="40" t="str">
        <f>_xlfn.LET(
    _xlpm.CSVVal, _xlfn.XLOOKUP($A329, CSV!$A:$A, CSV!AA:AA, ""),
    _xlpm.MacVal, _xlfn.XLOOKUP($A329, Output_Mac!$A:$A, Output_Mac!S:S, ""),
    _xlpm.MyAuditVal, _xlfn.XLOOKUP($A329, My_Audit!$A:$A, My_Audit!P:P, ""),
    _xlfn.TEXTJOIN(", ", TRUE, _xlpm.MyAuditVal, _xlpm.MacVal, _xlpm.CSVVal)
)</f>
        <v/>
      </c>
      <c r="P329" s="40" t="str" cm="1">
        <f t="array" ref="P329">IFERROR(_xlfn.LET(
_xlpm.CSVVal,_xlfn.XLOOKUP($A329,CSV!$A:$A,CSV!AB:AB,""),
_xlpm.MacVal,_xlfn.XLOOKUP($A329,Output_Mac!$A:$A,Output_Mac!T:T,""),
_xlpm.MyAuditVal,_xlfn.XLOOKUP($A329,My_Audit!$A:$A,My_Audit!Q:Q,""),
_xlfn.IFS(_xlpm.MyAuditVal&lt;&gt;"",UPPER(_xlpm.MyAuditVal),_xlpm.MacVal&lt;&gt;"",_xlpm.MacVal,_xlpm.CSVVal&lt;&gt;"",_xlpm.CSVVal
)),"No")</f>
        <v>No</v>
      </c>
      <c r="Q329" s="40" t="str" cm="1">
        <f t="array" ref="Q329">IFERROR(_xlfn.LET(
_xlpm.CSVVal,_xlfn.XLOOKUP($A329,CSV!$A:$A,CSV!AC:AC,""),
_xlpm.MacVal,_xlfn.XLOOKUP($A329,Output_Mac!$A:$A,Output_Mac!U:U,""),
_xlpm.MyAuditVal,_xlfn.XLOOKUP($A329,My_Audit!$A:$A,My_Audit!R:R,""),
_xlfn.IFS(_xlpm.MyAuditVal&lt;&gt;"",UPPER(_xlpm.MyAuditVal),_xlpm.MacVal&lt;&gt;"",_xlpm.MacVal,_xlpm.CSVVal&lt;&gt;"",_xlpm.CSVVal
)),"")</f>
        <v/>
      </c>
      <c r="R329" s="40"/>
      <c r="S329" s="40"/>
      <c r="T329" s="40"/>
      <c r="U329" s="40"/>
      <c r="V329" s="40"/>
      <c r="W329" s="40"/>
      <c r="X329" s="41" t="str">
        <f>_xlfn.LET(
    _xlpm.MacVal, _xlfn.XLOOKUP($A329, Output_Mac!$A:$A, Output_Mac!AB:AB, ""),
    _xlpm.MyAuditVal, _xlfn.XLOOKUP($A329, My_Audit!$A:$A, My_Audit!N:N, ""),
    _xlfn.TEXTJOIN(", ", TRUE, _xlpm.MyAuditVal, _xlpm.MacVal)
)</f>
        <v/>
      </c>
    </row>
    <row r="330" spans="1:24">
      <c r="A330" s="40" t="str">
        <f>_xlfn.TEXTJOIN("",TRUE,Input!$B$2,ROW(My_Audit!A329))</f>
        <v>X329</v>
      </c>
      <c r="B330" s="40" t="str">
        <f>_xlfn.TEXTJOIN("-",TRUE,"ITD",Input!$A$2,A330)</f>
        <v>ITD-X329</v>
      </c>
      <c r="C330" s="40" t="str" cm="1">
        <f t="array" ref="C330">IFERROR(_xlfn.LET(
_xlpm.CSVVal,_xlfn.XLOOKUP($A330,CSV!$A:$A,CSV!B:B,""),
_xlpm.MacVal,_xlfn.XLOOKUP($A330,Output_Mac!$A:$A,Output_Mac!B:B,""),
_xlpm.MyAuditVal,_xlfn.XLOOKUP($A330,My_Audit!$A:$A,My_Audit!B:B,""),
_xlfn.IFS(_xlpm.MyAuditVal&lt;&gt;"",UPPER(_xlpm.MyAuditVal),_xlpm.MacVal&lt;&gt;"",_xlpm.MacVal,_xlpm.CSVVal&lt;&gt;"",_xlpm.CSVVal
)),"")</f>
        <v/>
      </c>
      <c r="D330" s="40" t="str" cm="1">
        <f t="array" ref="D330">IFERROR(_xlfn.LET(
_xlpm.CSVVal,_xlfn.XLOOKUP($A330,CSV!$A:$A,CSV!D:D,""),
_xlpm.MacVal,_xlfn.XLOOKUP($A330,Output_Mac!$A:$A,Output_Mac!C:C,""),
_xlpm.MyAuditVal,_xlfn.XLOOKUP($A330,My_Audit!$A:$A,My_Audit!C:C,""),
_xlfn.IFS(_xlpm.MyAuditVal&lt;&gt;"",_xlpm.MyAuditVal,_xlpm.MacVal&lt;&gt;"",_xlpm.MacVal,_xlpm.CSVVal&lt;&gt;"",_xlpm.CSVVal
)),"")</f>
        <v/>
      </c>
      <c r="E330" s="40">
        <f>_xlfn.XLOOKUP(A330,My_Audit!A:A,My_Audit!D:D,"")</f>
        <v>0</v>
      </c>
      <c r="F330" s="40" t="str" cm="1">
        <f t="array" ref="F330">IFERROR(_xlfn.LET(
_xlpm.CSVVal,_xlfn.XLOOKUP($A330,CSV!$A:$A,CSV!F:F,""),
_xlpm.MacVal,_xlfn.XLOOKUP($A330,Output_Mac!$A:$A,Output_Mac!E:E,""),
_xlpm.MyAuditVal,_xlfn.XLOOKUP($A330,My_Audit!$A:$A,My_Audit!E:E,""),
_xlfn.IFS(_xlpm.MyAuditVal&lt;&gt;"",_xlpm.MyAuditVal,_xlpm.MacVal&lt;&gt;"",_xlpm.MacVal,_xlpm.CSVVal&lt;&gt;"",_xlpm.CSVVal
)),"")</f>
        <v/>
      </c>
      <c r="G330" s="40" t="str" cm="1">
        <f t="array" ref="G330">IFERROR(_xlfn.LET(
_xlpm.CSVVal,_xlfn.XLOOKUP($A330,CSV!$A:$A,CSV!G:G,""),
_xlpm.MacVal,_xlfn.XLOOKUP($A330,Output_Mac!$A:$A,Output_Mac!F:F,""),
_xlpm.MyAuditVal,_xlfn.XLOOKUP($A330,My_Audit!$A:$A,My_Audit!F:F,""),
_xlfn.IFS(_xlpm.MyAuditVal&lt;&gt;"",_xlpm.MyAuditVal,_xlpm.MacVal&lt;&gt;"",_xlpm.MacVal,_xlpm.CSVVal&lt;&gt;"",PROPER(_xlpm.CSVVal)
)),"")</f>
        <v/>
      </c>
      <c r="H330" s="40" t="str" cm="1">
        <f t="array" ref="H330">IFERROR(_xlfn.LET(
_xlpm.CSVVal,_xlfn.XLOOKUP($A330,CSV!$A:$A,CSV!H:H,""),
_xlpm.MacVal,_xlfn.XLOOKUP($A330,Output_Mac!$A:$A,Output_Mac!H:H,""),
_xlpm.MyAuditVal,_xlfn.XLOOKUP($A330,My_Audit!$A:$A,My_Audit!G:G,""),
_xlfn.IFS(_xlpm.MyAuditVal&lt;&gt;"",_xlpm.MyAuditVal,_xlpm.MacVal&lt;&gt;"",_xlpm.MacVal,_xlpm.CSVVal&lt;&gt;"",_xlpm.CSVVal
)),"")</f>
        <v/>
      </c>
      <c r="I330" s="40" t="str">
        <f>_xlfn.XLOOKUP(A330,Output_Mac!A:A,Output_Mac!I:I,"")</f>
        <v/>
      </c>
      <c r="J330" s="40" t="str" cm="1">
        <f t="array" ref="J330">IFERROR(_xlfn.LET(
_xlpm.CSVVal,_xlfn.XLOOKUP($A330,CSV!$A:$A,CSV!I:I,""),
_xlpm.MacVal,_xlfn.XLOOKUP($A330,Output_Mac!$A:$A,Output_Mac!J:J,""),
_xlpm.MyAuditVal,_xlfn.XLOOKUP($A330,My_Audit!$A:$A,My_Audit!I:I,""),
_xlfn.IFS(_xlpm.MyAuditVal&lt;&gt;"",UPPER(_xlpm.MyAuditVal),_xlpm.MacVal&lt;&gt;"",_xlpm.MacVal,_xlpm.CSVVal&lt;&gt;"",_xlpm.CSVVal
)),"")</f>
        <v/>
      </c>
      <c r="K330" s="40" t="str" cm="1">
        <f t="array" ref="K330">IFERROR(_xlfn.LET(
_xlpm.CSVVal,_xlfn.XLOOKUP($A330,CSV!$A:$A,CSV!K:K,""),
_xlpm.MacVal,_xlfn.XLOOKUP($A330,Output_Mac!$A:$A,Output_Mac!K:K,""),
_xlpm.MyAuditVal,_xlfn.XLOOKUP($A330,My_Audit!$A:$A,My_Audit!J:J,""),
_xlfn.IFS(_xlpm.MyAuditVal&lt;&gt;"",UPPER(_xlpm.MyAuditVal),_xlpm.MacVal&lt;&gt;"",_xlpm.MacVal,_xlpm.CSVVal&lt;&gt;"",_xlpm.CSVVal
)),"")</f>
        <v/>
      </c>
      <c r="L330" s="40" t="str" cm="1">
        <f t="array" ref="L330">IFERROR(_xlfn.LET(
_xlpm.CSVVal,_xlfn.XLOOKUP($A330,CSV!$A:$A,CSV!P:P,""),
_xlpm.MacVal,_xlfn.XLOOKUP($A330,Output_Mac!$A:$A,Output_Mac!L:L,""),
_xlpm.MyAuditVal,_xlfn.XLOOKUP($A330,My_Audit!$A:$A,My_Audit!K:K,""),
_xlfn.IFS(_xlpm.MyAuditVal&lt;&gt;"",UPPER(_xlpm.MyAuditVal),_xlpm.MacVal&lt;&gt;"",_xlpm.MacVal,_xlpm.CSVVal&lt;&gt;"",_xlpm.CSVVal
)),"")</f>
        <v/>
      </c>
      <c r="M330" s="40" t="str" cm="1">
        <f t="array" ref="M330">IFERROR(_xlfn.LET(
_xlpm.CSVVal,_xlfn.XLOOKUP($A330,CSV!$A:$A,CSV!Q:Q,""),
_xlpm.MacVal,_xlfn.XLOOKUP($A330,Output_Mac!$A:$A,Output_Mac!M:M,""),
_xlpm.MyAuditVal,_xlfn.XLOOKUP($A330,My_Audit!$A:$A,My_Audit!L:L,""),
_xlfn.IFS(_xlpm.MyAuditVal&lt;&gt;"",UPPER(_xlpm.MyAuditVal),_xlpm.MacVal&lt;&gt;"",_xlpm.MacVal,_xlpm.CSVVal&lt;&gt;"",_xlpm.CSVVal
)),"")</f>
        <v/>
      </c>
      <c r="N330" s="40"/>
      <c r="O330" s="40" t="str">
        <f>_xlfn.LET(
    _xlpm.CSVVal, _xlfn.XLOOKUP($A330, CSV!$A:$A, CSV!AA:AA, ""),
    _xlpm.MacVal, _xlfn.XLOOKUP($A330, Output_Mac!$A:$A, Output_Mac!S:S, ""),
    _xlpm.MyAuditVal, _xlfn.XLOOKUP($A330, My_Audit!$A:$A, My_Audit!P:P, ""),
    _xlfn.TEXTJOIN(", ", TRUE, _xlpm.MyAuditVal, _xlpm.MacVal, _xlpm.CSVVal)
)</f>
        <v/>
      </c>
      <c r="P330" s="40" t="str" cm="1">
        <f t="array" ref="P330">IFERROR(_xlfn.LET(
_xlpm.CSVVal,_xlfn.XLOOKUP($A330,CSV!$A:$A,CSV!AB:AB,""),
_xlpm.MacVal,_xlfn.XLOOKUP($A330,Output_Mac!$A:$A,Output_Mac!T:T,""),
_xlpm.MyAuditVal,_xlfn.XLOOKUP($A330,My_Audit!$A:$A,My_Audit!Q:Q,""),
_xlfn.IFS(_xlpm.MyAuditVal&lt;&gt;"",UPPER(_xlpm.MyAuditVal),_xlpm.MacVal&lt;&gt;"",_xlpm.MacVal,_xlpm.CSVVal&lt;&gt;"",_xlpm.CSVVal
)),"No")</f>
        <v>No</v>
      </c>
      <c r="Q330" s="40" t="str" cm="1">
        <f t="array" ref="Q330">IFERROR(_xlfn.LET(
_xlpm.CSVVal,_xlfn.XLOOKUP($A330,CSV!$A:$A,CSV!AC:AC,""),
_xlpm.MacVal,_xlfn.XLOOKUP($A330,Output_Mac!$A:$A,Output_Mac!U:U,""),
_xlpm.MyAuditVal,_xlfn.XLOOKUP($A330,My_Audit!$A:$A,My_Audit!R:R,""),
_xlfn.IFS(_xlpm.MyAuditVal&lt;&gt;"",UPPER(_xlpm.MyAuditVal),_xlpm.MacVal&lt;&gt;"",_xlpm.MacVal,_xlpm.CSVVal&lt;&gt;"",_xlpm.CSVVal
)),"")</f>
        <v/>
      </c>
      <c r="R330" s="40"/>
      <c r="S330" s="40"/>
      <c r="T330" s="40"/>
      <c r="U330" s="40"/>
      <c r="V330" s="40"/>
      <c r="W330" s="40"/>
      <c r="X330" s="41" t="str">
        <f>_xlfn.LET(
    _xlpm.MacVal, _xlfn.XLOOKUP($A330, Output_Mac!$A:$A, Output_Mac!AB:AB, ""),
    _xlpm.MyAuditVal, _xlfn.XLOOKUP($A330, My_Audit!$A:$A, My_Audit!N:N, ""),
    _xlfn.TEXTJOIN(", ", TRUE, _xlpm.MyAuditVal, _xlpm.MacVal)
)</f>
        <v/>
      </c>
    </row>
    <row r="331" spans="1:24">
      <c r="A331" s="40" t="str">
        <f>_xlfn.TEXTJOIN("",TRUE,Input!$B$2,ROW(My_Audit!A330))</f>
        <v>X330</v>
      </c>
      <c r="B331" s="40" t="str">
        <f>_xlfn.TEXTJOIN("-",TRUE,"ITD",Input!$A$2,A331)</f>
        <v>ITD-X330</v>
      </c>
      <c r="C331" s="40" t="str" cm="1">
        <f t="array" ref="C331">IFERROR(_xlfn.LET(
_xlpm.CSVVal,_xlfn.XLOOKUP($A331,CSV!$A:$A,CSV!B:B,""),
_xlpm.MacVal,_xlfn.XLOOKUP($A331,Output_Mac!$A:$A,Output_Mac!B:B,""),
_xlpm.MyAuditVal,_xlfn.XLOOKUP($A331,My_Audit!$A:$A,My_Audit!B:B,""),
_xlfn.IFS(_xlpm.MyAuditVal&lt;&gt;"",UPPER(_xlpm.MyAuditVal),_xlpm.MacVal&lt;&gt;"",_xlpm.MacVal,_xlpm.CSVVal&lt;&gt;"",_xlpm.CSVVal
)),"")</f>
        <v/>
      </c>
      <c r="D331" s="40" t="str" cm="1">
        <f t="array" ref="D331">IFERROR(_xlfn.LET(
_xlpm.CSVVal,_xlfn.XLOOKUP($A331,CSV!$A:$A,CSV!D:D,""),
_xlpm.MacVal,_xlfn.XLOOKUP($A331,Output_Mac!$A:$A,Output_Mac!C:C,""),
_xlpm.MyAuditVal,_xlfn.XLOOKUP($A331,My_Audit!$A:$A,My_Audit!C:C,""),
_xlfn.IFS(_xlpm.MyAuditVal&lt;&gt;"",_xlpm.MyAuditVal,_xlpm.MacVal&lt;&gt;"",_xlpm.MacVal,_xlpm.CSVVal&lt;&gt;"",_xlpm.CSVVal
)),"")</f>
        <v/>
      </c>
      <c r="E331" s="40">
        <f>_xlfn.XLOOKUP(A331,My_Audit!A:A,My_Audit!D:D,"")</f>
        <v>0</v>
      </c>
      <c r="F331" s="40" t="str" cm="1">
        <f t="array" ref="F331">IFERROR(_xlfn.LET(
_xlpm.CSVVal,_xlfn.XLOOKUP($A331,CSV!$A:$A,CSV!F:F,""),
_xlpm.MacVal,_xlfn.XLOOKUP($A331,Output_Mac!$A:$A,Output_Mac!E:E,""),
_xlpm.MyAuditVal,_xlfn.XLOOKUP($A331,My_Audit!$A:$A,My_Audit!E:E,""),
_xlfn.IFS(_xlpm.MyAuditVal&lt;&gt;"",_xlpm.MyAuditVal,_xlpm.MacVal&lt;&gt;"",_xlpm.MacVal,_xlpm.CSVVal&lt;&gt;"",_xlpm.CSVVal
)),"")</f>
        <v/>
      </c>
      <c r="G331" s="40" t="str" cm="1">
        <f t="array" ref="G331">IFERROR(_xlfn.LET(
_xlpm.CSVVal,_xlfn.XLOOKUP($A331,CSV!$A:$A,CSV!G:G,""),
_xlpm.MacVal,_xlfn.XLOOKUP($A331,Output_Mac!$A:$A,Output_Mac!F:F,""),
_xlpm.MyAuditVal,_xlfn.XLOOKUP($A331,My_Audit!$A:$A,My_Audit!F:F,""),
_xlfn.IFS(_xlpm.MyAuditVal&lt;&gt;"",_xlpm.MyAuditVal,_xlpm.MacVal&lt;&gt;"",_xlpm.MacVal,_xlpm.CSVVal&lt;&gt;"",PROPER(_xlpm.CSVVal)
)),"")</f>
        <v/>
      </c>
      <c r="H331" s="40" t="str" cm="1">
        <f t="array" ref="H331">IFERROR(_xlfn.LET(
_xlpm.CSVVal,_xlfn.XLOOKUP($A331,CSV!$A:$A,CSV!H:H,""),
_xlpm.MacVal,_xlfn.XLOOKUP($A331,Output_Mac!$A:$A,Output_Mac!H:H,""),
_xlpm.MyAuditVal,_xlfn.XLOOKUP($A331,My_Audit!$A:$A,My_Audit!G:G,""),
_xlfn.IFS(_xlpm.MyAuditVal&lt;&gt;"",_xlpm.MyAuditVal,_xlpm.MacVal&lt;&gt;"",_xlpm.MacVal,_xlpm.CSVVal&lt;&gt;"",_xlpm.CSVVal
)),"")</f>
        <v/>
      </c>
      <c r="I331" s="40" t="str">
        <f>_xlfn.XLOOKUP(A331,Output_Mac!A:A,Output_Mac!I:I,"")</f>
        <v/>
      </c>
      <c r="J331" s="40" t="str" cm="1">
        <f t="array" ref="J331">IFERROR(_xlfn.LET(
_xlpm.CSVVal,_xlfn.XLOOKUP($A331,CSV!$A:$A,CSV!I:I,""),
_xlpm.MacVal,_xlfn.XLOOKUP($A331,Output_Mac!$A:$A,Output_Mac!J:J,""),
_xlpm.MyAuditVal,_xlfn.XLOOKUP($A331,My_Audit!$A:$A,My_Audit!I:I,""),
_xlfn.IFS(_xlpm.MyAuditVal&lt;&gt;"",UPPER(_xlpm.MyAuditVal),_xlpm.MacVal&lt;&gt;"",_xlpm.MacVal,_xlpm.CSVVal&lt;&gt;"",_xlpm.CSVVal
)),"")</f>
        <v/>
      </c>
      <c r="K331" s="40" t="str" cm="1">
        <f t="array" ref="K331">IFERROR(_xlfn.LET(
_xlpm.CSVVal,_xlfn.XLOOKUP($A331,CSV!$A:$A,CSV!K:K,""),
_xlpm.MacVal,_xlfn.XLOOKUP($A331,Output_Mac!$A:$A,Output_Mac!K:K,""),
_xlpm.MyAuditVal,_xlfn.XLOOKUP($A331,My_Audit!$A:$A,My_Audit!J:J,""),
_xlfn.IFS(_xlpm.MyAuditVal&lt;&gt;"",UPPER(_xlpm.MyAuditVal),_xlpm.MacVal&lt;&gt;"",_xlpm.MacVal,_xlpm.CSVVal&lt;&gt;"",_xlpm.CSVVal
)),"")</f>
        <v/>
      </c>
      <c r="L331" s="40" t="str" cm="1">
        <f t="array" ref="L331">IFERROR(_xlfn.LET(
_xlpm.CSVVal,_xlfn.XLOOKUP($A331,CSV!$A:$A,CSV!P:P,""),
_xlpm.MacVal,_xlfn.XLOOKUP($A331,Output_Mac!$A:$A,Output_Mac!L:L,""),
_xlpm.MyAuditVal,_xlfn.XLOOKUP($A331,My_Audit!$A:$A,My_Audit!K:K,""),
_xlfn.IFS(_xlpm.MyAuditVal&lt;&gt;"",UPPER(_xlpm.MyAuditVal),_xlpm.MacVal&lt;&gt;"",_xlpm.MacVal,_xlpm.CSVVal&lt;&gt;"",_xlpm.CSVVal
)),"")</f>
        <v/>
      </c>
      <c r="M331" s="40" t="str" cm="1">
        <f t="array" ref="M331">IFERROR(_xlfn.LET(
_xlpm.CSVVal,_xlfn.XLOOKUP($A331,CSV!$A:$A,CSV!Q:Q,""),
_xlpm.MacVal,_xlfn.XLOOKUP($A331,Output_Mac!$A:$A,Output_Mac!M:M,""),
_xlpm.MyAuditVal,_xlfn.XLOOKUP($A331,My_Audit!$A:$A,My_Audit!L:L,""),
_xlfn.IFS(_xlpm.MyAuditVal&lt;&gt;"",UPPER(_xlpm.MyAuditVal),_xlpm.MacVal&lt;&gt;"",_xlpm.MacVal,_xlpm.CSVVal&lt;&gt;"",_xlpm.CSVVal
)),"")</f>
        <v/>
      </c>
      <c r="N331" s="40"/>
      <c r="O331" s="40" t="str">
        <f>_xlfn.LET(
    _xlpm.CSVVal, _xlfn.XLOOKUP($A331, CSV!$A:$A, CSV!AA:AA, ""),
    _xlpm.MacVal, _xlfn.XLOOKUP($A331, Output_Mac!$A:$A, Output_Mac!S:S, ""),
    _xlpm.MyAuditVal, _xlfn.XLOOKUP($A331, My_Audit!$A:$A, My_Audit!P:P, ""),
    _xlfn.TEXTJOIN(", ", TRUE, _xlpm.MyAuditVal, _xlpm.MacVal, _xlpm.CSVVal)
)</f>
        <v/>
      </c>
      <c r="P331" s="40" t="str" cm="1">
        <f t="array" ref="P331">IFERROR(_xlfn.LET(
_xlpm.CSVVal,_xlfn.XLOOKUP($A331,CSV!$A:$A,CSV!AB:AB,""),
_xlpm.MacVal,_xlfn.XLOOKUP($A331,Output_Mac!$A:$A,Output_Mac!T:T,""),
_xlpm.MyAuditVal,_xlfn.XLOOKUP($A331,My_Audit!$A:$A,My_Audit!Q:Q,""),
_xlfn.IFS(_xlpm.MyAuditVal&lt;&gt;"",UPPER(_xlpm.MyAuditVal),_xlpm.MacVal&lt;&gt;"",_xlpm.MacVal,_xlpm.CSVVal&lt;&gt;"",_xlpm.CSVVal
)),"No")</f>
        <v>No</v>
      </c>
      <c r="Q331" s="40" t="str" cm="1">
        <f t="array" ref="Q331">IFERROR(_xlfn.LET(
_xlpm.CSVVal,_xlfn.XLOOKUP($A331,CSV!$A:$A,CSV!AC:AC,""),
_xlpm.MacVal,_xlfn.XLOOKUP($A331,Output_Mac!$A:$A,Output_Mac!U:U,""),
_xlpm.MyAuditVal,_xlfn.XLOOKUP($A331,My_Audit!$A:$A,My_Audit!R:R,""),
_xlfn.IFS(_xlpm.MyAuditVal&lt;&gt;"",UPPER(_xlpm.MyAuditVal),_xlpm.MacVal&lt;&gt;"",_xlpm.MacVal,_xlpm.CSVVal&lt;&gt;"",_xlpm.CSVVal
)),"")</f>
        <v/>
      </c>
      <c r="R331" s="40"/>
      <c r="S331" s="40"/>
      <c r="T331" s="40"/>
      <c r="U331" s="40"/>
      <c r="V331" s="40"/>
      <c r="W331" s="40"/>
      <c r="X331" s="41" t="str">
        <f>_xlfn.LET(
    _xlpm.MacVal, _xlfn.XLOOKUP($A331, Output_Mac!$A:$A, Output_Mac!AB:AB, ""),
    _xlpm.MyAuditVal, _xlfn.XLOOKUP($A331, My_Audit!$A:$A, My_Audit!N:N, ""),
    _xlfn.TEXTJOIN(", ", TRUE, _xlpm.MyAuditVal, _xlpm.MacVal)
)</f>
        <v/>
      </c>
    </row>
    <row r="332" spans="1:24">
      <c r="A332" s="40" t="str">
        <f>_xlfn.TEXTJOIN("",TRUE,Input!$B$2,ROW(My_Audit!A331))</f>
        <v>X331</v>
      </c>
      <c r="B332" s="40" t="str">
        <f>_xlfn.TEXTJOIN("-",TRUE,"ITD",Input!$A$2,A332)</f>
        <v>ITD-X331</v>
      </c>
      <c r="C332" s="40" t="str" cm="1">
        <f t="array" ref="C332">IFERROR(_xlfn.LET(
_xlpm.CSVVal,_xlfn.XLOOKUP($A332,CSV!$A:$A,CSV!B:B,""),
_xlpm.MacVal,_xlfn.XLOOKUP($A332,Output_Mac!$A:$A,Output_Mac!B:B,""),
_xlpm.MyAuditVal,_xlfn.XLOOKUP($A332,My_Audit!$A:$A,My_Audit!B:B,""),
_xlfn.IFS(_xlpm.MyAuditVal&lt;&gt;"",UPPER(_xlpm.MyAuditVal),_xlpm.MacVal&lt;&gt;"",_xlpm.MacVal,_xlpm.CSVVal&lt;&gt;"",_xlpm.CSVVal
)),"")</f>
        <v/>
      </c>
      <c r="D332" s="40" t="str" cm="1">
        <f t="array" ref="D332">IFERROR(_xlfn.LET(
_xlpm.CSVVal,_xlfn.XLOOKUP($A332,CSV!$A:$A,CSV!D:D,""),
_xlpm.MacVal,_xlfn.XLOOKUP($A332,Output_Mac!$A:$A,Output_Mac!C:C,""),
_xlpm.MyAuditVal,_xlfn.XLOOKUP($A332,My_Audit!$A:$A,My_Audit!C:C,""),
_xlfn.IFS(_xlpm.MyAuditVal&lt;&gt;"",_xlpm.MyAuditVal,_xlpm.MacVal&lt;&gt;"",_xlpm.MacVal,_xlpm.CSVVal&lt;&gt;"",_xlpm.CSVVal
)),"")</f>
        <v/>
      </c>
      <c r="E332" s="40">
        <f>_xlfn.XLOOKUP(A332,My_Audit!A:A,My_Audit!D:D,"")</f>
        <v>0</v>
      </c>
      <c r="F332" s="40" t="str" cm="1">
        <f t="array" ref="F332">IFERROR(_xlfn.LET(
_xlpm.CSVVal,_xlfn.XLOOKUP($A332,CSV!$A:$A,CSV!F:F,""),
_xlpm.MacVal,_xlfn.XLOOKUP($A332,Output_Mac!$A:$A,Output_Mac!E:E,""),
_xlpm.MyAuditVal,_xlfn.XLOOKUP($A332,My_Audit!$A:$A,My_Audit!E:E,""),
_xlfn.IFS(_xlpm.MyAuditVal&lt;&gt;"",_xlpm.MyAuditVal,_xlpm.MacVal&lt;&gt;"",_xlpm.MacVal,_xlpm.CSVVal&lt;&gt;"",_xlpm.CSVVal
)),"")</f>
        <v/>
      </c>
      <c r="G332" s="40" t="str" cm="1">
        <f t="array" ref="G332">IFERROR(_xlfn.LET(
_xlpm.CSVVal,_xlfn.XLOOKUP($A332,CSV!$A:$A,CSV!G:G,""),
_xlpm.MacVal,_xlfn.XLOOKUP($A332,Output_Mac!$A:$A,Output_Mac!F:F,""),
_xlpm.MyAuditVal,_xlfn.XLOOKUP($A332,My_Audit!$A:$A,My_Audit!F:F,""),
_xlfn.IFS(_xlpm.MyAuditVal&lt;&gt;"",_xlpm.MyAuditVal,_xlpm.MacVal&lt;&gt;"",_xlpm.MacVal,_xlpm.CSVVal&lt;&gt;"",PROPER(_xlpm.CSVVal)
)),"")</f>
        <v/>
      </c>
      <c r="H332" s="40" t="str" cm="1">
        <f t="array" ref="H332">IFERROR(_xlfn.LET(
_xlpm.CSVVal,_xlfn.XLOOKUP($A332,CSV!$A:$A,CSV!H:H,""),
_xlpm.MacVal,_xlfn.XLOOKUP($A332,Output_Mac!$A:$A,Output_Mac!H:H,""),
_xlpm.MyAuditVal,_xlfn.XLOOKUP($A332,My_Audit!$A:$A,My_Audit!G:G,""),
_xlfn.IFS(_xlpm.MyAuditVal&lt;&gt;"",_xlpm.MyAuditVal,_xlpm.MacVal&lt;&gt;"",_xlpm.MacVal,_xlpm.CSVVal&lt;&gt;"",_xlpm.CSVVal
)),"")</f>
        <v/>
      </c>
      <c r="I332" s="40" t="str">
        <f>_xlfn.XLOOKUP(A332,Output_Mac!A:A,Output_Mac!I:I,"")</f>
        <v/>
      </c>
      <c r="J332" s="40" t="str" cm="1">
        <f t="array" ref="J332">IFERROR(_xlfn.LET(
_xlpm.CSVVal,_xlfn.XLOOKUP($A332,CSV!$A:$A,CSV!I:I,""),
_xlpm.MacVal,_xlfn.XLOOKUP($A332,Output_Mac!$A:$A,Output_Mac!J:J,""),
_xlpm.MyAuditVal,_xlfn.XLOOKUP($A332,My_Audit!$A:$A,My_Audit!I:I,""),
_xlfn.IFS(_xlpm.MyAuditVal&lt;&gt;"",UPPER(_xlpm.MyAuditVal),_xlpm.MacVal&lt;&gt;"",_xlpm.MacVal,_xlpm.CSVVal&lt;&gt;"",_xlpm.CSVVal
)),"")</f>
        <v/>
      </c>
      <c r="K332" s="40" t="str" cm="1">
        <f t="array" ref="K332">IFERROR(_xlfn.LET(
_xlpm.CSVVal,_xlfn.XLOOKUP($A332,CSV!$A:$A,CSV!K:K,""),
_xlpm.MacVal,_xlfn.XLOOKUP($A332,Output_Mac!$A:$A,Output_Mac!K:K,""),
_xlpm.MyAuditVal,_xlfn.XLOOKUP($A332,My_Audit!$A:$A,My_Audit!J:J,""),
_xlfn.IFS(_xlpm.MyAuditVal&lt;&gt;"",UPPER(_xlpm.MyAuditVal),_xlpm.MacVal&lt;&gt;"",_xlpm.MacVal,_xlpm.CSVVal&lt;&gt;"",_xlpm.CSVVal
)),"")</f>
        <v/>
      </c>
      <c r="L332" s="40" t="str" cm="1">
        <f t="array" ref="L332">IFERROR(_xlfn.LET(
_xlpm.CSVVal,_xlfn.XLOOKUP($A332,CSV!$A:$A,CSV!P:P,""),
_xlpm.MacVal,_xlfn.XLOOKUP($A332,Output_Mac!$A:$A,Output_Mac!L:L,""),
_xlpm.MyAuditVal,_xlfn.XLOOKUP($A332,My_Audit!$A:$A,My_Audit!K:K,""),
_xlfn.IFS(_xlpm.MyAuditVal&lt;&gt;"",UPPER(_xlpm.MyAuditVal),_xlpm.MacVal&lt;&gt;"",_xlpm.MacVal,_xlpm.CSVVal&lt;&gt;"",_xlpm.CSVVal
)),"")</f>
        <v/>
      </c>
      <c r="M332" s="40" t="str" cm="1">
        <f t="array" ref="M332">IFERROR(_xlfn.LET(
_xlpm.CSVVal,_xlfn.XLOOKUP($A332,CSV!$A:$A,CSV!Q:Q,""),
_xlpm.MacVal,_xlfn.XLOOKUP($A332,Output_Mac!$A:$A,Output_Mac!M:M,""),
_xlpm.MyAuditVal,_xlfn.XLOOKUP($A332,My_Audit!$A:$A,My_Audit!L:L,""),
_xlfn.IFS(_xlpm.MyAuditVal&lt;&gt;"",UPPER(_xlpm.MyAuditVal),_xlpm.MacVal&lt;&gt;"",_xlpm.MacVal,_xlpm.CSVVal&lt;&gt;"",_xlpm.CSVVal
)),"")</f>
        <v/>
      </c>
      <c r="N332" s="40"/>
      <c r="O332" s="40" t="str">
        <f>_xlfn.LET(
    _xlpm.CSVVal, _xlfn.XLOOKUP($A332, CSV!$A:$A, CSV!AA:AA, ""),
    _xlpm.MacVal, _xlfn.XLOOKUP($A332, Output_Mac!$A:$A, Output_Mac!S:S, ""),
    _xlpm.MyAuditVal, _xlfn.XLOOKUP($A332, My_Audit!$A:$A, My_Audit!P:P, ""),
    _xlfn.TEXTJOIN(", ", TRUE, _xlpm.MyAuditVal, _xlpm.MacVal, _xlpm.CSVVal)
)</f>
        <v/>
      </c>
      <c r="P332" s="40" t="str" cm="1">
        <f t="array" ref="P332">IFERROR(_xlfn.LET(
_xlpm.CSVVal,_xlfn.XLOOKUP($A332,CSV!$A:$A,CSV!AB:AB,""),
_xlpm.MacVal,_xlfn.XLOOKUP($A332,Output_Mac!$A:$A,Output_Mac!T:T,""),
_xlpm.MyAuditVal,_xlfn.XLOOKUP($A332,My_Audit!$A:$A,My_Audit!Q:Q,""),
_xlfn.IFS(_xlpm.MyAuditVal&lt;&gt;"",UPPER(_xlpm.MyAuditVal),_xlpm.MacVal&lt;&gt;"",_xlpm.MacVal,_xlpm.CSVVal&lt;&gt;"",_xlpm.CSVVal
)),"No")</f>
        <v>No</v>
      </c>
      <c r="Q332" s="40" t="str" cm="1">
        <f t="array" ref="Q332">IFERROR(_xlfn.LET(
_xlpm.CSVVal,_xlfn.XLOOKUP($A332,CSV!$A:$A,CSV!AC:AC,""),
_xlpm.MacVal,_xlfn.XLOOKUP($A332,Output_Mac!$A:$A,Output_Mac!U:U,""),
_xlpm.MyAuditVal,_xlfn.XLOOKUP($A332,My_Audit!$A:$A,My_Audit!R:R,""),
_xlfn.IFS(_xlpm.MyAuditVal&lt;&gt;"",UPPER(_xlpm.MyAuditVal),_xlpm.MacVal&lt;&gt;"",_xlpm.MacVal,_xlpm.CSVVal&lt;&gt;"",_xlpm.CSVVal
)),"")</f>
        <v/>
      </c>
      <c r="R332" s="40"/>
      <c r="S332" s="40"/>
      <c r="T332" s="40"/>
      <c r="U332" s="40"/>
      <c r="V332" s="40"/>
      <c r="W332" s="40"/>
      <c r="X332" s="41" t="str">
        <f>_xlfn.LET(
    _xlpm.MacVal, _xlfn.XLOOKUP($A332, Output_Mac!$A:$A, Output_Mac!AB:AB, ""),
    _xlpm.MyAuditVal, _xlfn.XLOOKUP($A332, My_Audit!$A:$A, My_Audit!N:N, ""),
    _xlfn.TEXTJOIN(", ", TRUE, _xlpm.MyAuditVal, _xlpm.MacVal)
)</f>
        <v/>
      </c>
    </row>
    <row r="333" spans="1:24">
      <c r="A333" s="40" t="str">
        <f>_xlfn.TEXTJOIN("",TRUE,Input!$B$2,ROW(My_Audit!A332))</f>
        <v>X332</v>
      </c>
      <c r="B333" s="40" t="str">
        <f>_xlfn.TEXTJOIN("-",TRUE,"ITD",Input!$A$2,A333)</f>
        <v>ITD-X332</v>
      </c>
      <c r="C333" s="40" t="str" cm="1">
        <f t="array" ref="C333">IFERROR(_xlfn.LET(
_xlpm.CSVVal,_xlfn.XLOOKUP($A333,CSV!$A:$A,CSV!B:B,""),
_xlpm.MacVal,_xlfn.XLOOKUP($A333,Output_Mac!$A:$A,Output_Mac!B:B,""),
_xlpm.MyAuditVal,_xlfn.XLOOKUP($A333,My_Audit!$A:$A,My_Audit!B:B,""),
_xlfn.IFS(_xlpm.MyAuditVal&lt;&gt;"",UPPER(_xlpm.MyAuditVal),_xlpm.MacVal&lt;&gt;"",_xlpm.MacVal,_xlpm.CSVVal&lt;&gt;"",_xlpm.CSVVal
)),"")</f>
        <v/>
      </c>
      <c r="D333" s="40" t="str" cm="1">
        <f t="array" ref="D333">IFERROR(_xlfn.LET(
_xlpm.CSVVal,_xlfn.XLOOKUP($A333,CSV!$A:$A,CSV!D:D,""),
_xlpm.MacVal,_xlfn.XLOOKUP($A333,Output_Mac!$A:$A,Output_Mac!C:C,""),
_xlpm.MyAuditVal,_xlfn.XLOOKUP($A333,My_Audit!$A:$A,My_Audit!C:C,""),
_xlfn.IFS(_xlpm.MyAuditVal&lt;&gt;"",_xlpm.MyAuditVal,_xlpm.MacVal&lt;&gt;"",_xlpm.MacVal,_xlpm.CSVVal&lt;&gt;"",_xlpm.CSVVal
)),"")</f>
        <v/>
      </c>
      <c r="E333" s="40">
        <f>_xlfn.XLOOKUP(A333,My_Audit!A:A,My_Audit!D:D,"")</f>
        <v>0</v>
      </c>
      <c r="F333" s="40" t="str" cm="1">
        <f t="array" ref="F333">IFERROR(_xlfn.LET(
_xlpm.CSVVal,_xlfn.XLOOKUP($A333,CSV!$A:$A,CSV!F:F,""),
_xlpm.MacVal,_xlfn.XLOOKUP($A333,Output_Mac!$A:$A,Output_Mac!E:E,""),
_xlpm.MyAuditVal,_xlfn.XLOOKUP($A333,My_Audit!$A:$A,My_Audit!E:E,""),
_xlfn.IFS(_xlpm.MyAuditVal&lt;&gt;"",_xlpm.MyAuditVal,_xlpm.MacVal&lt;&gt;"",_xlpm.MacVal,_xlpm.CSVVal&lt;&gt;"",_xlpm.CSVVal
)),"")</f>
        <v/>
      </c>
      <c r="G333" s="40" t="str" cm="1">
        <f t="array" ref="G333">IFERROR(_xlfn.LET(
_xlpm.CSVVal,_xlfn.XLOOKUP($A333,CSV!$A:$A,CSV!G:G,""),
_xlpm.MacVal,_xlfn.XLOOKUP($A333,Output_Mac!$A:$A,Output_Mac!F:F,""),
_xlpm.MyAuditVal,_xlfn.XLOOKUP($A333,My_Audit!$A:$A,My_Audit!F:F,""),
_xlfn.IFS(_xlpm.MyAuditVal&lt;&gt;"",_xlpm.MyAuditVal,_xlpm.MacVal&lt;&gt;"",_xlpm.MacVal,_xlpm.CSVVal&lt;&gt;"",PROPER(_xlpm.CSVVal)
)),"")</f>
        <v/>
      </c>
      <c r="H333" s="40" t="str" cm="1">
        <f t="array" ref="H333">IFERROR(_xlfn.LET(
_xlpm.CSVVal,_xlfn.XLOOKUP($A333,CSV!$A:$A,CSV!H:H,""),
_xlpm.MacVal,_xlfn.XLOOKUP($A333,Output_Mac!$A:$A,Output_Mac!H:H,""),
_xlpm.MyAuditVal,_xlfn.XLOOKUP($A333,My_Audit!$A:$A,My_Audit!G:G,""),
_xlfn.IFS(_xlpm.MyAuditVal&lt;&gt;"",_xlpm.MyAuditVal,_xlpm.MacVal&lt;&gt;"",_xlpm.MacVal,_xlpm.CSVVal&lt;&gt;"",_xlpm.CSVVal
)),"")</f>
        <v/>
      </c>
      <c r="I333" s="40" t="str">
        <f>_xlfn.XLOOKUP(A333,Output_Mac!A:A,Output_Mac!I:I,"")</f>
        <v/>
      </c>
      <c r="J333" s="40" t="str" cm="1">
        <f t="array" ref="J333">IFERROR(_xlfn.LET(
_xlpm.CSVVal,_xlfn.XLOOKUP($A333,CSV!$A:$A,CSV!I:I,""),
_xlpm.MacVal,_xlfn.XLOOKUP($A333,Output_Mac!$A:$A,Output_Mac!J:J,""),
_xlpm.MyAuditVal,_xlfn.XLOOKUP($A333,My_Audit!$A:$A,My_Audit!I:I,""),
_xlfn.IFS(_xlpm.MyAuditVal&lt;&gt;"",UPPER(_xlpm.MyAuditVal),_xlpm.MacVal&lt;&gt;"",_xlpm.MacVal,_xlpm.CSVVal&lt;&gt;"",_xlpm.CSVVal
)),"")</f>
        <v/>
      </c>
      <c r="K333" s="40" t="str" cm="1">
        <f t="array" ref="K333">IFERROR(_xlfn.LET(
_xlpm.CSVVal,_xlfn.XLOOKUP($A333,CSV!$A:$A,CSV!K:K,""),
_xlpm.MacVal,_xlfn.XLOOKUP($A333,Output_Mac!$A:$A,Output_Mac!K:K,""),
_xlpm.MyAuditVal,_xlfn.XLOOKUP($A333,My_Audit!$A:$A,My_Audit!J:J,""),
_xlfn.IFS(_xlpm.MyAuditVal&lt;&gt;"",UPPER(_xlpm.MyAuditVal),_xlpm.MacVal&lt;&gt;"",_xlpm.MacVal,_xlpm.CSVVal&lt;&gt;"",_xlpm.CSVVal
)),"")</f>
        <v/>
      </c>
      <c r="L333" s="40" t="str" cm="1">
        <f t="array" ref="L333">IFERROR(_xlfn.LET(
_xlpm.CSVVal,_xlfn.XLOOKUP($A333,CSV!$A:$A,CSV!P:P,""),
_xlpm.MacVal,_xlfn.XLOOKUP($A333,Output_Mac!$A:$A,Output_Mac!L:L,""),
_xlpm.MyAuditVal,_xlfn.XLOOKUP($A333,My_Audit!$A:$A,My_Audit!K:K,""),
_xlfn.IFS(_xlpm.MyAuditVal&lt;&gt;"",UPPER(_xlpm.MyAuditVal),_xlpm.MacVal&lt;&gt;"",_xlpm.MacVal,_xlpm.CSVVal&lt;&gt;"",_xlpm.CSVVal
)),"")</f>
        <v/>
      </c>
      <c r="M333" s="40" t="str" cm="1">
        <f t="array" ref="M333">IFERROR(_xlfn.LET(
_xlpm.CSVVal,_xlfn.XLOOKUP($A333,CSV!$A:$A,CSV!Q:Q,""),
_xlpm.MacVal,_xlfn.XLOOKUP($A333,Output_Mac!$A:$A,Output_Mac!M:M,""),
_xlpm.MyAuditVal,_xlfn.XLOOKUP($A333,My_Audit!$A:$A,My_Audit!L:L,""),
_xlfn.IFS(_xlpm.MyAuditVal&lt;&gt;"",UPPER(_xlpm.MyAuditVal),_xlpm.MacVal&lt;&gt;"",_xlpm.MacVal,_xlpm.CSVVal&lt;&gt;"",_xlpm.CSVVal
)),"")</f>
        <v/>
      </c>
      <c r="N333" s="40"/>
      <c r="O333" s="40" t="str">
        <f>_xlfn.LET(
    _xlpm.CSVVal, _xlfn.XLOOKUP($A333, CSV!$A:$A, CSV!AA:AA, ""),
    _xlpm.MacVal, _xlfn.XLOOKUP($A333, Output_Mac!$A:$A, Output_Mac!S:S, ""),
    _xlpm.MyAuditVal, _xlfn.XLOOKUP($A333, My_Audit!$A:$A, My_Audit!P:P, ""),
    _xlfn.TEXTJOIN(", ", TRUE, _xlpm.MyAuditVal, _xlpm.MacVal, _xlpm.CSVVal)
)</f>
        <v/>
      </c>
      <c r="P333" s="40" t="str" cm="1">
        <f t="array" ref="P333">IFERROR(_xlfn.LET(
_xlpm.CSVVal,_xlfn.XLOOKUP($A333,CSV!$A:$A,CSV!AB:AB,""),
_xlpm.MacVal,_xlfn.XLOOKUP($A333,Output_Mac!$A:$A,Output_Mac!T:T,""),
_xlpm.MyAuditVal,_xlfn.XLOOKUP($A333,My_Audit!$A:$A,My_Audit!Q:Q,""),
_xlfn.IFS(_xlpm.MyAuditVal&lt;&gt;"",UPPER(_xlpm.MyAuditVal),_xlpm.MacVal&lt;&gt;"",_xlpm.MacVal,_xlpm.CSVVal&lt;&gt;"",_xlpm.CSVVal
)),"No")</f>
        <v>No</v>
      </c>
      <c r="Q333" s="40" t="str" cm="1">
        <f t="array" ref="Q333">IFERROR(_xlfn.LET(
_xlpm.CSVVal,_xlfn.XLOOKUP($A333,CSV!$A:$A,CSV!AC:AC,""),
_xlpm.MacVal,_xlfn.XLOOKUP($A333,Output_Mac!$A:$A,Output_Mac!U:U,""),
_xlpm.MyAuditVal,_xlfn.XLOOKUP($A333,My_Audit!$A:$A,My_Audit!R:R,""),
_xlfn.IFS(_xlpm.MyAuditVal&lt;&gt;"",UPPER(_xlpm.MyAuditVal),_xlpm.MacVal&lt;&gt;"",_xlpm.MacVal,_xlpm.CSVVal&lt;&gt;"",_xlpm.CSVVal
)),"")</f>
        <v/>
      </c>
      <c r="R333" s="40"/>
      <c r="S333" s="40"/>
      <c r="T333" s="40"/>
      <c r="U333" s="40"/>
      <c r="V333" s="40"/>
      <c r="W333" s="40"/>
      <c r="X333" s="41" t="str">
        <f>_xlfn.LET(
    _xlpm.MacVal, _xlfn.XLOOKUP($A333, Output_Mac!$A:$A, Output_Mac!AB:AB, ""),
    _xlpm.MyAuditVal, _xlfn.XLOOKUP($A333, My_Audit!$A:$A, My_Audit!N:N, ""),
    _xlfn.TEXTJOIN(", ", TRUE, _xlpm.MyAuditVal, _xlpm.MacVal)
)</f>
        <v/>
      </c>
    </row>
    <row r="334" spans="1:24">
      <c r="A334" s="40" t="str">
        <f>_xlfn.TEXTJOIN("",TRUE,Input!$B$2,ROW(My_Audit!A333))</f>
        <v>X333</v>
      </c>
      <c r="B334" s="40" t="str">
        <f>_xlfn.TEXTJOIN("-",TRUE,"ITD",Input!$A$2,A334)</f>
        <v>ITD-X333</v>
      </c>
      <c r="C334" s="40" t="str" cm="1">
        <f t="array" ref="C334">IFERROR(_xlfn.LET(
_xlpm.CSVVal,_xlfn.XLOOKUP($A334,CSV!$A:$A,CSV!B:B,""),
_xlpm.MacVal,_xlfn.XLOOKUP($A334,Output_Mac!$A:$A,Output_Mac!B:B,""),
_xlpm.MyAuditVal,_xlfn.XLOOKUP($A334,My_Audit!$A:$A,My_Audit!B:B,""),
_xlfn.IFS(_xlpm.MyAuditVal&lt;&gt;"",UPPER(_xlpm.MyAuditVal),_xlpm.MacVal&lt;&gt;"",_xlpm.MacVal,_xlpm.CSVVal&lt;&gt;"",_xlpm.CSVVal
)),"")</f>
        <v/>
      </c>
      <c r="D334" s="40" t="str" cm="1">
        <f t="array" ref="D334">IFERROR(_xlfn.LET(
_xlpm.CSVVal,_xlfn.XLOOKUP($A334,CSV!$A:$A,CSV!D:D,""),
_xlpm.MacVal,_xlfn.XLOOKUP($A334,Output_Mac!$A:$A,Output_Mac!C:C,""),
_xlpm.MyAuditVal,_xlfn.XLOOKUP($A334,My_Audit!$A:$A,My_Audit!C:C,""),
_xlfn.IFS(_xlpm.MyAuditVal&lt;&gt;"",_xlpm.MyAuditVal,_xlpm.MacVal&lt;&gt;"",_xlpm.MacVal,_xlpm.CSVVal&lt;&gt;"",_xlpm.CSVVal
)),"")</f>
        <v/>
      </c>
      <c r="E334" s="40">
        <f>_xlfn.XLOOKUP(A334,My_Audit!A:A,My_Audit!D:D,"")</f>
        <v>0</v>
      </c>
      <c r="F334" s="40" t="str" cm="1">
        <f t="array" ref="F334">IFERROR(_xlfn.LET(
_xlpm.CSVVal,_xlfn.XLOOKUP($A334,CSV!$A:$A,CSV!F:F,""),
_xlpm.MacVal,_xlfn.XLOOKUP($A334,Output_Mac!$A:$A,Output_Mac!E:E,""),
_xlpm.MyAuditVal,_xlfn.XLOOKUP($A334,My_Audit!$A:$A,My_Audit!E:E,""),
_xlfn.IFS(_xlpm.MyAuditVal&lt;&gt;"",_xlpm.MyAuditVal,_xlpm.MacVal&lt;&gt;"",_xlpm.MacVal,_xlpm.CSVVal&lt;&gt;"",_xlpm.CSVVal
)),"")</f>
        <v/>
      </c>
      <c r="G334" s="40" t="str" cm="1">
        <f t="array" ref="G334">IFERROR(_xlfn.LET(
_xlpm.CSVVal,_xlfn.XLOOKUP($A334,CSV!$A:$A,CSV!G:G,""),
_xlpm.MacVal,_xlfn.XLOOKUP($A334,Output_Mac!$A:$A,Output_Mac!F:F,""),
_xlpm.MyAuditVal,_xlfn.XLOOKUP($A334,My_Audit!$A:$A,My_Audit!F:F,""),
_xlfn.IFS(_xlpm.MyAuditVal&lt;&gt;"",_xlpm.MyAuditVal,_xlpm.MacVal&lt;&gt;"",_xlpm.MacVal,_xlpm.CSVVal&lt;&gt;"",PROPER(_xlpm.CSVVal)
)),"")</f>
        <v/>
      </c>
      <c r="H334" s="40" t="str" cm="1">
        <f t="array" ref="H334">IFERROR(_xlfn.LET(
_xlpm.CSVVal,_xlfn.XLOOKUP($A334,CSV!$A:$A,CSV!H:H,""),
_xlpm.MacVal,_xlfn.XLOOKUP($A334,Output_Mac!$A:$A,Output_Mac!H:H,""),
_xlpm.MyAuditVal,_xlfn.XLOOKUP($A334,My_Audit!$A:$A,My_Audit!G:G,""),
_xlfn.IFS(_xlpm.MyAuditVal&lt;&gt;"",_xlpm.MyAuditVal,_xlpm.MacVal&lt;&gt;"",_xlpm.MacVal,_xlpm.CSVVal&lt;&gt;"",_xlpm.CSVVal
)),"")</f>
        <v/>
      </c>
      <c r="I334" s="40" t="str">
        <f>_xlfn.XLOOKUP(A334,Output_Mac!A:A,Output_Mac!I:I,"")</f>
        <v/>
      </c>
      <c r="J334" s="40" t="str" cm="1">
        <f t="array" ref="J334">IFERROR(_xlfn.LET(
_xlpm.CSVVal,_xlfn.XLOOKUP($A334,CSV!$A:$A,CSV!I:I,""),
_xlpm.MacVal,_xlfn.XLOOKUP($A334,Output_Mac!$A:$A,Output_Mac!J:J,""),
_xlpm.MyAuditVal,_xlfn.XLOOKUP($A334,My_Audit!$A:$A,My_Audit!I:I,""),
_xlfn.IFS(_xlpm.MyAuditVal&lt;&gt;"",UPPER(_xlpm.MyAuditVal),_xlpm.MacVal&lt;&gt;"",_xlpm.MacVal,_xlpm.CSVVal&lt;&gt;"",_xlpm.CSVVal
)),"")</f>
        <v/>
      </c>
      <c r="K334" s="40" t="str" cm="1">
        <f t="array" ref="K334">IFERROR(_xlfn.LET(
_xlpm.CSVVal,_xlfn.XLOOKUP($A334,CSV!$A:$A,CSV!K:K,""),
_xlpm.MacVal,_xlfn.XLOOKUP($A334,Output_Mac!$A:$A,Output_Mac!K:K,""),
_xlpm.MyAuditVal,_xlfn.XLOOKUP($A334,My_Audit!$A:$A,My_Audit!J:J,""),
_xlfn.IFS(_xlpm.MyAuditVal&lt;&gt;"",UPPER(_xlpm.MyAuditVal),_xlpm.MacVal&lt;&gt;"",_xlpm.MacVal,_xlpm.CSVVal&lt;&gt;"",_xlpm.CSVVal
)),"")</f>
        <v/>
      </c>
      <c r="L334" s="40" t="str" cm="1">
        <f t="array" ref="L334">IFERROR(_xlfn.LET(
_xlpm.CSVVal,_xlfn.XLOOKUP($A334,CSV!$A:$A,CSV!P:P,""),
_xlpm.MacVal,_xlfn.XLOOKUP($A334,Output_Mac!$A:$A,Output_Mac!L:L,""),
_xlpm.MyAuditVal,_xlfn.XLOOKUP($A334,My_Audit!$A:$A,My_Audit!K:K,""),
_xlfn.IFS(_xlpm.MyAuditVal&lt;&gt;"",UPPER(_xlpm.MyAuditVal),_xlpm.MacVal&lt;&gt;"",_xlpm.MacVal,_xlpm.CSVVal&lt;&gt;"",_xlpm.CSVVal
)),"")</f>
        <v/>
      </c>
      <c r="M334" s="40" t="str" cm="1">
        <f t="array" ref="M334">IFERROR(_xlfn.LET(
_xlpm.CSVVal,_xlfn.XLOOKUP($A334,CSV!$A:$A,CSV!Q:Q,""),
_xlpm.MacVal,_xlfn.XLOOKUP($A334,Output_Mac!$A:$A,Output_Mac!M:M,""),
_xlpm.MyAuditVal,_xlfn.XLOOKUP($A334,My_Audit!$A:$A,My_Audit!L:L,""),
_xlfn.IFS(_xlpm.MyAuditVal&lt;&gt;"",UPPER(_xlpm.MyAuditVal),_xlpm.MacVal&lt;&gt;"",_xlpm.MacVal,_xlpm.CSVVal&lt;&gt;"",_xlpm.CSVVal
)),"")</f>
        <v/>
      </c>
      <c r="N334" s="40"/>
      <c r="O334" s="40" t="str">
        <f>_xlfn.LET(
    _xlpm.CSVVal, _xlfn.XLOOKUP($A334, CSV!$A:$A, CSV!AA:AA, ""),
    _xlpm.MacVal, _xlfn.XLOOKUP($A334, Output_Mac!$A:$A, Output_Mac!S:S, ""),
    _xlpm.MyAuditVal, _xlfn.XLOOKUP($A334, My_Audit!$A:$A, My_Audit!P:P, ""),
    _xlfn.TEXTJOIN(", ", TRUE, _xlpm.MyAuditVal, _xlpm.MacVal, _xlpm.CSVVal)
)</f>
        <v/>
      </c>
      <c r="P334" s="40" t="str" cm="1">
        <f t="array" ref="P334">IFERROR(_xlfn.LET(
_xlpm.CSVVal,_xlfn.XLOOKUP($A334,CSV!$A:$A,CSV!AB:AB,""),
_xlpm.MacVal,_xlfn.XLOOKUP($A334,Output_Mac!$A:$A,Output_Mac!T:T,""),
_xlpm.MyAuditVal,_xlfn.XLOOKUP($A334,My_Audit!$A:$A,My_Audit!Q:Q,""),
_xlfn.IFS(_xlpm.MyAuditVal&lt;&gt;"",UPPER(_xlpm.MyAuditVal),_xlpm.MacVal&lt;&gt;"",_xlpm.MacVal,_xlpm.CSVVal&lt;&gt;"",_xlpm.CSVVal
)),"No")</f>
        <v>No</v>
      </c>
      <c r="Q334" s="40" t="str" cm="1">
        <f t="array" ref="Q334">IFERROR(_xlfn.LET(
_xlpm.CSVVal,_xlfn.XLOOKUP($A334,CSV!$A:$A,CSV!AC:AC,""),
_xlpm.MacVal,_xlfn.XLOOKUP($A334,Output_Mac!$A:$A,Output_Mac!U:U,""),
_xlpm.MyAuditVal,_xlfn.XLOOKUP($A334,My_Audit!$A:$A,My_Audit!R:R,""),
_xlfn.IFS(_xlpm.MyAuditVal&lt;&gt;"",UPPER(_xlpm.MyAuditVal),_xlpm.MacVal&lt;&gt;"",_xlpm.MacVal,_xlpm.CSVVal&lt;&gt;"",_xlpm.CSVVal
)),"")</f>
        <v/>
      </c>
      <c r="R334" s="40"/>
      <c r="S334" s="40"/>
      <c r="T334" s="40"/>
      <c r="U334" s="40"/>
      <c r="V334" s="40"/>
      <c r="W334" s="40"/>
      <c r="X334" s="41" t="str">
        <f>_xlfn.LET(
    _xlpm.MacVal, _xlfn.XLOOKUP($A334, Output_Mac!$A:$A, Output_Mac!AB:AB, ""),
    _xlpm.MyAuditVal, _xlfn.XLOOKUP($A334, My_Audit!$A:$A, My_Audit!N:N, ""),
    _xlfn.TEXTJOIN(", ", TRUE, _xlpm.MyAuditVal, _xlpm.MacVal)
)</f>
        <v/>
      </c>
    </row>
    <row r="335" spans="1:24">
      <c r="A335" s="40" t="str">
        <f>_xlfn.TEXTJOIN("",TRUE,Input!$B$2,ROW(My_Audit!A334))</f>
        <v>X334</v>
      </c>
      <c r="B335" s="40" t="str">
        <f>_xlfn.TEXTJOIN("-",TRUE,"ITD",Input!$A$2,A335)</f>
        <v>ITD-X334</v>
      </c>
      <c r="C335" s="40" t="str" cm="1">
        <f t="array" ref="C335">IFERROR(_xlfn.LET(
_xlpm.CSVVal,_xlfn.XLOOKUP($A335,CSV!$A:$A,CSV!B:B,""),
_xlpm.MacVal,_xlfn.XLOOKUP($A335,Output_Mac!$A:$A,Output_Mac!B:B,""),
_xlpm.MyAuditVal,_xlfn.XLOOKUP($A335,My_Audit!$A:$A,My_Audit!B:B,""),
_xlfn.IFS(_xlpm.MyAuditVal&lt;&gt;"",UPPER(_xlpm.MyAuditVal),_xlpm.MacVal&lt;&gt;"",_xlpm.MacVal,_xlpm.CSVVal&lt;&gt;"",_xlpm.CSVVal
)),"")</f>
        <v/>
      </c>
      <c r="D335" s="40" t="str" cm="1">
        <f t="array" ref="D335">IFERROR(_xlfn.LET(
_xlpm.CSVVal,_xlfn.XLOOKUP($A335,CSV!$A:$A,CSV!D:D,""),
_xlpm.MacVal,_xlfn.XLOOKUP($A335,Output_Mac!$A:$A,Output_Mac!C:C,""),
_xlpm.MyAuditVal,_xlfn.XLOOKUP($A335,My_Audit!$A:$A,My_Audit!C:C,""),
_xlfn.IFS(_xlpm.MyAuditVal&lt;&gt;"",_xlpm.MyAuditVal,_xlpm.MacVal&lt;&gt;"",_xlpm.MacVal,_xlpm.CSVVal&lt;&gt;"",_xlpm.CSVVal
)),"")</f>
        <v/>
      </c>
      <c r="E335" s="40">
        <f>_xlfn.XLOOKUP(A335,My_Audit!A:A,My_Audit!D:D,"")</f>
        <v>0</v>
      </c>
      <c r="F335" s="40" t="str" cm="1">
        <f t="array" ref="F335">IFERROR(_xlfn.LET(
_xlpm.CSVVal,_xlfn.XLOOKUP($A335,CSV!$A:$A,CSV!F:F,""),
_xlpm.MacVal,_xlfn.XLOOKUP($A335,Output_Mac!$A:$A,Output_Mac!E:E,""),
_xlpm.MyAuditVal,_xlfn.XLOOKUP($A335,My_Audit!$A:$A,My_Audit!E:E,""),
_xlfn.IFS(_xlpm.MyAuditVal&lt;&gt;"",_xlpm.MyAuditVal,_xlpm.MacVal&lt;&gt;"",_xlpm.MacVal,_xlpm.CSVVal&lt;&gt;"",_xlpm.CSVVal
)),"")</f>
        <v/>
      </c>
      <c r="G335" s="40" t="str" cm="1">
        <f t="array" ref="G335">IFERROR(_xlfn.LET(
_xlpm.CSVVal,_xlfn.XLOOKUP($A335,CSV!$A:$A,CSV!G:G,""),
_xlpm.MacVal,_xlfn.XLOOKUP($A335,Output_Mac!$A:$A,Output_Mac!F:F,""),
_xlpm.MyAuditVal,_xlfn.XLOOKUP($A335,My_Audit!$A:$A,My_Audit!F:F,""),
_xlfn.IFS(_xlpm.MyAuditVal&lt;&gt;"",_xlpm.MyAuditVal,_xlpm.MacVal&lt;&gt;"",_xlpm.MacVal,_xlpm.CSVVal&lt;&gt;"",PROPER(_xlpm.CSVVal)
)),"")</f>
        <v/>
      </c>
      <c r="H335" s="40" t="str" cm="1">
        <f t="array" ref="H335">IFERROR(_xlfn.LET(
_xlpm.CSVVal,_xlfn.XLOOKUP($A335,CSV!$A:$A,CSV!H:H,""),
_xlpm.MacVal,_xlfn.XLOOKUP($A335,Output_Mac!$A:$A,Output_Mac!H:H,""),
_xlpm.MyAuditVal,_xlfn.XLOOKUP($A335,My_Audit!$A:$A,My_Audit!G:G,""),
_xlfn.IFS(_xlpm.MyAuditVal&lt;&gt;"",_xlpm.MyAuditVal,_xlpm.MacVal&lt;&gt;"",_xlpm.MacVal,_xlpm.CSVVal&lt;&gt;"",_xlpm.CSVVal
)),"")</f>
        <v/>
      </c>
      <c r="I335" s="40" t="str">
        <f>_xlfn.XLOOKUP(A335,Output_Mac!A:A,Output_Mac!I:I,"")</f>
        <v/>
      </c>
      <c r="J335" s="40" t="str" cm="1">
        <f t="array" ref="J335">IFERROR(_xlfn.LET(
_xlpm.CSVVal,_xlfn.XLOOKUP($A335,CSV!$A:$A,CSV!I:I,""),
_xlpm.MacVal,_xlfn.XLOOKUP($A335,Output_Mac!$A:$A,Output_Mac!J:J,""),
_xlpm.MyAuditVal,_xlfn.XLOOKUP($A335,My_Audit!$A:$A,My_Audit!I:I,""),
_xlfn.IFS(_xlpm.MyAuditVal&lt;&gt;"",UPPER(_xlpm.MyAuditVal),_xlpm.MacVal&lt;&gt;"",_xlpm.MacVal,_xlpm.CSVVal&lt;&gt;"",_xlpm.CSVVal
)),"")</f>
        <v/>
      </c>
      <c r="K335" s="40" t="str" cm="1">
        <f t="array" ref="K335">IFERROR(_xlfn.LET(
_xlpm.CSVVal,_xlfn.XLOOKUP($A335,CSV!$A:$A,CSV!K:K,""),
_xlpm.MacVal,_xlfn.XLOOKUP($A335,Output_Mac!$A:$A,Output_Mac!K:K,""),
_xlpm.MyAuditVal,_xlfn.XLOOKUP($A335,My_Audit!$A:$A,My_Audit!J:J,""),
_xlfn.IFS(_xlpm.MyAuditVal&lt;&gt;"",UPPER(_xlpm.MyAuditVal),_xlpm.MacVal&lt;&gt;"",_xlpm.MacVal,_xlpm.CSVVal&lt;&gt;"",_xlpm.CSVVal
)),"")</f>
        <v/>
      </c>
      <c r="L335" s="40" t="str" cm="1">
        <f t="array" ref="L335">IFERROR(_xlfn.LET(
_xlpm.CSVVal,_xlfn.XLOOKUP($A335,CSV!$A:$A,CSV!P:P,""),
_xlpm.MacVal,_xlfn.XLOOKUP($A335,Output_Mac!$A:$A,Output_Mac!L:L,""),
_xlpm.MyAuditVal,_xlfn.XLOOKUP($A335,My_Audit!$A:$A,My_Audit!K:K,""),
_xlfn.IFS(_xlpm.MyAuditVal&lt;&gt;"",UPPER(_xlpm.MyAuditVal),_xlpm.MacVal&lt;&gt;"",_xlpm.MacVal,_xlpm.CSVVal&lt;&gt;"",_xlpm.CSVVal
)),"")</f>
        <v/>
      </c>
      <c r="M335" s="40" t="str" cm="1">
        <f t="array" ref="M335">IFERROR(_xlfn.LET(
_xlpm.CSVVal,_xlfn.XLOOKUP($A335,CSV!$A:$A,CSV!Q:Q,""),
_xlpm.MacVal,_xlfn.XLOOKUP($A335,Output_Mac!$A:$A,Output_Mac!M:M,""),
_xlpm.MyAuditVal,_xlfn.XLOOKUP($A335,My_Audit!$A:$A,My_Audit!L:L,""),
_xlfn.IFS(_xlpm.MyAuditVal&lt;&gt;"",UPPER(_xlpm.MyAuditVal),_xlpm.MacVal&lt;&gt;"",_xlpm.MacVal,_xlpm.CSVVal&lt;&gt;"",_xlpm.CSVVal
)),"")</f>
        <v/>
      </c>
      <c r="N335" s="40"/>
      <c r="O335" s="40" t="str">
        <f>_xlfn.LET(
    _xlpm.CSVVal, _xlfn.XLOOKUP($A335, CSV!$A:$A, CSV!AA:AA, ""),
    _xlpm.MacVal, _xlfn.XLOOKUP($A335, Output_Mac!$A:$A, Output_Mac!S:S, ""),
    _xlpm.MyAuditVal, _xlfn.XLOOKUP($A335, My_Audit!$A:$A, My_Audit!P:P, ""),
    _xlfn.TEXTJOIN(", ", TRUE, _xlpm.MyAuditVal, _xlpm.MacVal, _xlpm.CSVVal)
)</f>
        <v/>
      </c>
      <c r="P335" s="40" t="str" cm="1">
        <f t="array" ref="P335">IFERROR(_xlfn.LET(
_xlpm.CSVVal,_xlfn.XLOOKUP($A335,CSV!$A:$A,CSV!AB:AB,""),
_xlpm.MacVal,_xlfn.XLOOKUP($A335,Output_Mac!$A:$A,Output_Mac!T:T,""),
_xlpm.MyAuditVal,_xlfn.XLOOKUP($A335,My_Audit!$A:$A,My_Audit!Q:Q,""),
_xlfn.IFS(_xlpm.MyAuditVal&lt;&gt;"",UPPER(_xlpm.MyAuditVal),_xlpm.MacVal&lt;&gt;"",_xlpm.MacVal,_xlpm.CSVVal&lt;&gt;"",_xlpm.CSVVal
)),"No")</f>
        <v>No</v>
      </c>
      <c r="Q335" s="40" t="str" cm="1">
        <f t="array" ref="Q335">IFERROR(_xlfn.LET(
_xlpm.CSVVal,_xlfn.XLOOKUP($A335,CSV!$A:$A,CSV!AC:AC,""),
_xlpm.MacVal,_xlfn.XLOOKUP($A335,Output_Mac!$A:$A,Output_Mac!U:U,""),
_xlpm.MyAuditVal,_xlfn.XLOOKUP($A335,My_Audit!$A:$A,My_Audit!R:R,""),
_xlfn.IFS(_xlpm.MyAuditVal&lt;&gt;"",UPPER(_xlpm.MyAuditVal),_xlpm.MacVal&lt;&gt;"",_xlpm.MacVal,_xlpm.CSVVal&lt;&gt;"",_xlpm.CSVVal
)),"")</f>
        <v/>
      </c>
      <c r="R335" s="40"/>
      <c r="S335" s="40"/>
      <c r="T335" s="40"/>
      <c r="U335" s="40"/>
      <c r="V335" s="40"/>
      <c r="W335" s="40"/>
      <c r="X335" s="41" t="str">
        <f>_xlfn.LET(
    _xlpm.MacVal, _xlfn.XLOOKUP($A335, Output_Mac!$A:$A, Output_Mac!AB:AB, ""),
    _xlpm.MyAuditVal, _xlfn.XLOOKUP($A335, My_Audit!$A:$A, My_Audit!N:N, ""),
    _xlfn.TEXTJOIN(", ", TRUE, _xlpm.MyAuditVal, _xlpm.MacVal)
)</f>
        <v/>
      </c>
    </row>
    <row r="336" spans="1:24">
      <c r="A336" s="40" t="str">
        <f>_xlfn.TEXTJOIN("",TRUE,Input!$B$2,ROW(My_Audit!A335))</f>
        <v>X335</v>
      </c>
      <c r="B336" s="40" t="str">
        <f>_xlfn.TEXTJOIN("-",TRUE,"ITD",Input!$A$2,A336)</f>
        <v>ITD-X335</v>
      </c>
      <c r="C336" s="40" t="str" cm="1">
        <f t="array" ref="C336">IFERROR(_xlfn.LET(
_xlpm.CSVVal,_xlfn.XLOOKUP($A336,CSV!$A:$A,CSV!B:B,""),
_xlpm.MacVal,_xlfn.XLOOKUP($A336,Output_Mac!$A:$A,Output_Mac!B:B,""),
_xlpm.MyAuditVal,_xlfn.XLOOKUP($A336,My_Audit!$A:$A,My_Audit!B:B,""),
_xlfn.IFS(_xlpm.MyAuditVal&lt;&gt;"",UPPER(_xlpm.MyAuditVal),_xlpm.MacVal&lt;&gt;"",_xlpm.MacVal,_xlpm.CSVVal&lt;&gt;"",_xlpm.CSVVal
)),"")</f>
        <v/>
      </c>
      <c r="D336" s="40" t="str" cm="1">
        <f t="array" ref="D336">IFERROR(_xlfn.LET(
_xlpm.CSVVal,_xlfn.XLOOKUP($A336,CSV!$A:$A,CSV!D:D,""),
_xlpm.MacVal,_xlfn.XLOOKUP($A336,Output_Mac!$A:$A,Output_Mac!C:C,""),
_xlpm.MyAuditVal,_xlfn.XLOOKUP($A336,My_Audit!$A:$A,My_Audit!C:C,""),
_xlfn.IFS(_xlpm.MyAuditVal&lt;&gt;"",_xlpm.MyAuditVal,_xlpm.MacVal&lt;&gt;"",_xlpm.MacVal,_xlpm.CSVVal&lt;&gt;"",_xlpm.CSVVal
)),"")</f>
        <v/>
      </c>
      <c r="E336" s="40">
        <f>_xlfn.XLOOKUP(A336,My_Audit!A:A,My_Audit!D:D,"")</f>
        <v>0</v>
      </c>
      <c r="F336" s="40" t="str" cm="1">
        <f t="array" ref="F336">IFERROR(_xlfn.LET(
_xlpm.CSVVal,_xlfn.XLOOKUP($A336,CSV!$A:$A,CSV!F:F,""),
_xlpm.MacVal,_xlfn.XLOOKUP($A336,Output_Mac!$A:$A,Output_Mac!E:E,""),
_xlpm.MyAuditVal,_xlfn.XLOOKUP($A336,My_Audit!$A:$A,My_Audit!E:E,""),
_xlfn.IFS(_xlpm.MyAuditVal&lt;&gt;"",_xlpm.MyAuditVal,_xlpm.MacVal&lt;&gt;"",_xlpm.MacVal,_xlpm.CSVVal&lt;&gt;"",_xlpm.CSVVal
)),"")</f>
        <v/>
      </c>
      <c r="G336" s="40" t="str" cm="1">
        <f t="array" ref="G336">IFERROR(_xlfn.LET(
_xlpm.CSVVal,_xlfn.XLOOKUP($A336,CSV!$A:$A,CSV!G:G,""),
_xlpm.MacVal,_xlfn.XLOOKUP($A336,Output_Mac!$A:$A,Output_Mac!F:F,""),
_xlpm.MyAuditVal,_xlfn.XLOOKUP($A336,My_Audit!$A:$A,My_Audit!F:F,""),
_xlfn.IFS(_xlpm.MyAuditVal&lt;&gt;"",_xlpm.MyAuditVal,_xlpm.MacVal&lt;&gt;"",_xlpm.MacVal,_xlpm.CSVVal&lt;&gt;"",PROPER(_xlpm.CSVVal)
)),"")</f>
        <v/>
      </c>
      <c r="H336" s="40" t="str" cm="1">
        <f t="array" ref="H336">IFERROR(_xlfn.LET(
_xlpm.CSVVal,_xlfn.XLOOKUP($A336,CSV!$A:$A,CSV!H:H,""),
_xlpm.MacVal,_xlfn.XLOOKUP($A336,Output_Mac!$A:$A,Output_Mac!H:H,""),
_xlpm.MyAuditVal,_xlfn.XLOOKUP($A336,My_Audit!$A:$A,My_Audit!G:G,""),
_xlfn.IFS(_xlpm.MyAuditVal&lt;&gt;"",_xlpm.MyAuditVal,_xlpm.MacVal&lt;&gt;"",_xlpm.MacVal,_xlpm.CSVVal&lt;&gt;"",_xlpm.CSVVal
)),"")</f>
        <v/>
      </c>
      <c r="I336" s="40" t="str">
        <f>_xlfn.XLOOKUP(A336,Output_Mac!A:A,Output_Mac!I:I,"")</f>
        <v/>
      </c>
      <c r="J336" s="40" t="str" cm="1">
        <f t="array" ref="J336">IFERROR(_xlfn.LET(
_xlpm.CSVVal,_xlfn.XLOOKUP($A336,CSV!$A:$A,CSV!I:I,""),
_xlpm.MacVal,_xlfn.XLOOKUP($A336,Output_Mac!$A:$A,Output_Mac!J:J,""),
_xlpm.MyAuditVal,_xlfn.XLOOKUP($A336,My_Audit!$A:$A,My_Audit!I:I,""),
_xlfn.IFS(_xlpm.MyAuditVal&lt;&gt;"",UPPER(_xlpm.MyAuditVal),_xlpm.MacVal&lt;&gt;"",_xlpm.MacVal,_xlpm.CSVVal&lt;&gt;"",_xlpm.CSVVal
)),"")</f>
        <v/>
      </c>
      <c r="K336" s="40" t="str" cm="1">
        <f t="array" ref="K336">IFERROR(_xlfn.LET(
_xlpm.CSVVal,_xlfn.XLOOKUP($A336,CSV!$A:$A,CSV!K:K,""),
_xlpm.MacVal,_xlfn.XLOOKUP($A336,Output_Mac!$A:$A,Output_Mac!K:K,""),
_xlpm.MyAuditVal,_xlfn.XLOOKUP($A336,My_Audit!$A:$A,My_Audit!J:J,""),
_xlfn.IFS(_xlpm.MyAuditVal&lt;&gt;"",UPPER(_xlpm.MyAuditVal),_xlpm.MacVal&lt;&gt;"",_xlpm.MacVal,_xlpm.CSVVal&lt;&gt;"",_xlpm.CSVVal
)),"")</f>
        <v/>
      </c>
      <c r="L336" s="40" t="str" cm="1">
        <f t="array" ref="L336">IFERROR(_xlfn.LET(
_xlpm.CSVVal,_xlfn.XLOOKUP($A336,CSV!$A:$A,CSV!P:P,""),
_xlpm.MacVal,_xlfn.XLOOKUP($A336,Output_Mac!$A:$A,Output_Mac!L:L,""),
_xlpm.MyAuditVal,_xlfn.XLOOKUP($A336,My_Audit!$A:$A,My_Audit!K:K,""),
_xlfn.IFS(_xlpm.MyAuditVal&lt;&gt;"",UPPER(_xlpm.MyAuditVal),_xlpm.MacVal&lt;&gt;"",_xlpm.MacVal,_xlpm.CSVVal&lt;&gt;"",_xlpm.CSVVal
)),"")</f>
        <v/>
      </c>
      <c r="M336" s="40" t="str" cm="1">
        <f t="array" ref="M336">IFERROR(_xlfn.LET(
_xlpm.CSVVal,_xlfn.XLOOKUP($A336,CSV!$A:$A,CSV!Q:Q,""),
_xlpm.MacVal,_xlfn.XLOOKUP($A336,Output_Mac!$A:$A,Output_Mac!M:M,""),
_xlpm.MyAuditVal,_xlfn.XLOOKUP($A336,My_Audit!$A:$A,My_Audit!L:L,""),
_xlfn.IFS(_xlpm.MyAuditVal&lt;&gt;"",UPPER(_xlpm.MyAuditVal),_xlpm.MacVal&lt;&gt;"",_xlpm.MacVal,_xlpm.CSVVal&lt;&gt;"",_xlpm.CSVVal
)),"")</f>
        <v/>
      </c>
      <c r="N336" s="40"/>
      <c r="O336" s="40" t="str">
        <f>_xlfn.LET(
    _xlpm.CSVVal, _xlfn.XLOOKUP($A336, CSV!$A:$A, CSV!AA:AA, ""),
    _xlpm.MacVal, _xlfn.XLOOKUP($A336, Output_Mac!$A:$A, Output_Mac!S:S, ""),
    _xlpm.MyAuditVal, _xlfn.XLOOKUP($A336, My_Audit!$A:$A, My_Audit!P:P, ""),
    _xlfn.TEXTJOIN(", ", TRUE, _xlpm.MyAuditVal, _xlpm.MacVal, _xlpm.CSVVal)
)</f>
        <v/>
      </c>
      <c r="P336" s="40" t="str" cm="1">
        <f t="array" ref="P336">IFERROR(_xlfn.LET(
_xlpm.CSVVal,_xlfn.XLOOKUP($A336,CSV!$A:$A,CSV!AB:AB,""),
_xlpm.MacVal,_xlfn.XLOOKUP($A336,Output_Mac!$A:$A,Output_Mac!T:T,""),
_xlpm.MyAuditVal,_xlfn.XLOOKUP($A336,My_Audit!$A:$A,My_Audit!Q:Q,""),
_xlfn.IFS(_xlpm.MyAuditVal&lt;&gt;"",UPPER(_xlpm.MyAuditVal),_xlpm.MacVal&lt;&gt;"",_xlpm.MacVal,_xlpm.CSVVal&lt;&gt;"",_xlpm.CSVVal
)),"No")</f>
        <v>No</v>
      </c>
      <c r="Q336" s="40" t="str" cm="1">
        <f t="array" ref="Q336">IFERROR(_xlfn.LET(
_xlpm.CSVVal,_xlfn.XLOOKUP($A336,CSV!$A:$A,CSV!AC:AC,""),
_xlpm.MacVal,_xlfn.XLOOKUP($A336,Output_Mac!$A:$A,Output_Mac!U:U,""),
_xlpm.MyAuditVal,_xlfn.XLOOKUP($A336,My_Audit!$A:$A,My_Audit!R:R,""),
_xlfn.IFS(_xlpm.MyAuditVal&lt;&gt;"",UPPER(_xlpm.MyAuditVal),_xlpm.MacVal&lt;&gt;"",_xlpm.MacVal,_xlpm.CSVVal&lt;&gt;"",_xlpm.CSVVal
)),"")</f>
        <v/>
      </c>
      <c r="R336" s="40"/>
      <c r="S336" s="40"/>
      <c r="T336" s="40"/>
      <c r="U336" s="40"/>
      <c r="V336" s="40"/>
      <c r="W336" s="40"/>
      <c r="X336" s="41" t="str">
        <f>_xlfn.LET(
    _xlpm.MacVal, _xlfn.XLOOKUP($A336, Output_Mac!$A:$A, Output_Mac!AB:AB, ""),
    _xlpm.MyAuditVal, _xlfn.XLOOKUP($A336, My_Audit!$A:$A, My_Audit!N:N, ""),
    _xlfn.TEXTJOIN(", ", TRUE, _xlpm.MyAuditVal, _xlpm.MacVal)
)</f>
        <v/>
      </c>
    </row>
    <row r="337" spans="1:24">
      <c r="A337" s="40" t="str">
        <f>_xlfn.TEXTJOIN("",TRUE,Input!$B$2,ROW(My_Audit!A336))</f>
        <v>X336</v>
      </c>
      <c r="B337" s="40" t="str">
        <f>_xlfn.TEXTJOIN("-",TRUE,"ITD",Input!$A$2,A337)</f>
        <v>ITD-X336</v>
      </c>
      <c r="C337" s="40" t="str" cm="1">
        <f t="array" ref="C337">IFERROR(_xlfn.LET(
_xlpm.CSVVal,_xlfn.XLOOKUP($A337,CSV!$A:$A,CSV!B:B,""),
_xlpm.MacVal,_xlfn.XLOOKUP($A337,Output_Mac!$A:$A,Output_Mac!B:B,""),
_xlpm.MyAuditVal,_xlfn.XLOOKUP($A337,My_Audit!$A:$A,My_Audit!B:B,""),
_xlfn.IFS(_xlpm.MyAuditVal&lt;&gt;"",UPPER(_xlpm.MyAuditVal),_xlpm.MacVal&lt;&gt;"",_xlpm.MacVal,_xlpm.CSVVal&lt;&gt;"",_xlpm.CSVVal
)),"")</f>
        <v/>
      </c>
      <c r="D337" s="40" t="str" cm="1">
        <f t="array" ref="D337">IFERROR(_xlfn.LET(
_xlpm.CSVVal,_xlfn.XLOOKUP($A337,CSV!$A:$A,CSV!D:D,""),
_xlpm.MacVal,_xlfn.XLOOKUP($A337,Output_Mac!$A:$A,Output_Mac!C:C,""),
_xlpm.MyAuditVal,_xlfn.XLOOKUP($A337,My_Audit!$A:$A,My_Audit!C:C,""),
_xlfn.IFS(_xlpm.MyAuditVal&lt;&gt;"",_xlpm.MyAuditVal,_xlpm.MacVal&lt;&gt;"",_xlpm.MacVal,_xlpm.CSVVal&lt;&gt;"",_xlpm.CSVVal
)),"")</f>
        <v/>
      </c>
      <c r="E337" s="40">
        <f>_xlfn.XLOOKUP(A337,My_Audit!A:A,My_Audit!D:D,"")</f>
        <v>0</v>
      </c>
      <c r="F337" s="40" t="str" cm="1">
        <f t="array" ref="F337">IFERROR(_xlfn.LET(
_xlpm.CSVVal,_xlfn.XLOOKUP($A337,CSV!$A:$A,CSV!F:F,""),
_xlpm.MacVal,_xlfn.XLOOKUP($A337,Output_Mac!$A:$A,Output_Mac!E:E,""),
_xlpm.MyAuditVal,_xlfn.XLOOKUP($A337,My_Audit!$A:$A,My_Audit!E:E,""),
_xlfn.IFS(_xlpm.MyAuditVal&lt;&gt;"",_xlpm.MyAuditVal,_xlpm.MacVal&lt;&gt;"",_xlpm.MacVal,_xlpm.CSVVal&lt;&gt;"",_xlpm.CSVVal
)),"")</f>
        <v/>
      </c>
      <c r="G337" s="40" t="str" cm="1">
        <f t="array" ref="G337">IFERROR(_xlfn.LET(
_xlpm.CSVVal,_xlfn.XLOOKUP($A337,CSV!$A:$A,CSV!G:G,""),
_xlpm.MacVal,_xlfn.XLOOKUP($A337,Output_Mac!$A:$A,Output_Mac!F:F,""),
_xlpm.MyAuditVal,_xlfn.XLOOKUP($A337,My_Audit!$A:$A,My_Audit!F:F,""),
_xlfn.IFS(_xlpm.MyAuditVal&lt;&gt;"",_xlpm.MyAuditVal,_xlpm.MacVal&lt;&gt;"",_xlpm.MacVal,_xlpm.CSVVal&lt;&gt;"",PROPER(_xlpm.CSVVal)
)),"")</f>
        <v/>
      </c>
      <c r="H337" s="40" t="str" cm="1">
        <f t="array" ref="H337">IFERROR(_xlfn.LET(
_xlpm.CSVVal,_xlfn.XLOOKUP($A337,CSV!$A:$A,CSV!H:H,""),
_xlpm.MacVal,_xlfn.XLOOKUP($A337,Output_Mac!$A:$A,Output_Mac!H:H,""),
_xlpm.MyAuditVal,_xlfn.XLOOKUP($A337,My_Audit!$A:$A,My_Audit!G:G,""),
_xlfn.IFS(_xlpm.MyAuditVal&lt;&gt;"",_xlpm.MyAuditVal,_xlpm.MacVal&lt;&gt;"",_xlpm.MacVal,_xlpm.CSVVal&lt;&gt;"",_xlpm.CSVVal
)),"")</f>
        <v/>
      </c>
      <c r="I337" s="40" t="str">
        <f>_xlfn.XLOOKUP(A337,Output_Mac!A:A,Output_Mac!I:I,"")</f>
        <v/>
      </c>
      <c r="J337" s="40" t="str" cm="1">
        <f t="array" ref="J337">IFERROR(_xlfn.LET(
_xlpm.CSVVal,_xlfn.XLOOKUP($A337,CSV!$A:$A,CSV!I:I,""),
_xlpm.MacVal,_xlfn.XLOOKUP($A337,Output_Mac!$A:$A,Output_Mac!J:J,""),
_xlpm.MyAuditVal,_xlfn.XLOOKUP($A337,My_Audit!$A:$A,My_Audit!I:I,""),
_xlfn.IFS(_xlpm.MyAuditVal&lt;&gt;"",UPPER(_xlpm.MyAuditVal),_xlpm.MacVal&lt;&gt;"",_xlpm.MacVal,_xlpm.CSVVal&lt;&gt;"",_xlpm.CSVVal
)),"")</f>
        <v/>
      </c>
      <c r="K337" s="40" t="str" cm="1">
        <f t="array" ref="K337">IFERROR(_xlfn.LET(
_xlpm.CSVVal,_xlfn.XLOOKUP($A337,CSV!$A:$A,CSV!K:K,""),
_xlpm.MacVal,_xlfn.XLOOKUP($A337,Output_Mac!$A:$A,Output_Mac!K:K,""),
_xlpm.MyAuditVal,_xlfn.XLOOKUP($A337,My_Audit!$A:$A,My_Audit!J:J,""),
_xlfn.IFS(_xlpm.MyAuditVal&lt;&gt;"",UPPER(_xlpm.MyAuditVal),_xlpm.MacVal&lt;&gt;"",_xlpm.MacVal,_xlpm.CSVVal&lt;&gt;"",_xlpm.CSVVal
)),"")</f>
        <v/>
      </c>
      <c r="L337" s="40" t="str" cm="1">
        <f t="array" ref="L337">IFERROR(_xlfn.LET(
_xlpm.CSVVal,_xlfn.XLOOKUP($A337,CSV!$A:$A,CSV!P:P,""),
_xlpm.MacVal,_xlfn.XLOOKUP($A337,Output_Mac!$A:$A,Output_Mac!L:L,""),
_xlpm.MyAuditVal,_xlfn.XLOOKUP($A337,My_Audit!$A:$A,My_Audit!K:K,""),
_xlfn.IFS(_xlpm.MyAuditVal&lt;&gt;"",UPPER(_xlpm.MyAuditVal),_xlpm.MacVal&lt;&gt;"",_xlpm.MacVal,_xlpm.CSVVal&lt;&gt;"",_xlpm.CSVVal
)),"")</f>
        <v/>
      </c>
      <c r="M337" s="40" t="str" cm="1">
        <f t="array" ref="M337">IFERROR(_xlfn.LET(
_xlpm.CSVVal,_xlfn.XLOOKUP($A337,CSV!$A:$A,CSV!Q:Q,""),
_xlpm.MacVal,_xlfn.XLOOKUP($A337,Output_Mac!$A:$A,Output_Mac!M:M,""),
_xlpm.MyAuditVal,_xlfn.XLOOKUP($A337,My_Audit!$A:$A,My_Audit!L:L,""),
_xlfn.IFS(_xlpm.MyAuditVal&lt;&gt;"",UPPER(_xlpm.MyAuditVal),_xlpm.MacVal&lt;&gt;"",_xlpm.MacVal,_xlpm.CSVVal&lt;&gt;"",_xlpm.CSVVal
)),"")</f>
        <v/>
      </c>
      <c r="N337" s="40"/>
      <c r="O337" s="40" t="str">
        <f>_xlfn.LET(
    _xlpm.CSVVal, _xlfn.XLOOKUP($A337, CSV!$A:$A, CSV!AA:AA, ""),
    _xlpm.MacVal, _xlfn.XLOOKUP($A337, Output_Mac!$A:$A, Output_Mac!S:S, ""),
    _xlpm.MyAuditVal, _xlfn.XLOOKUP($A337, My_Audit!$A:$A, My_Audit!P:P, ""),
    _xlfn.TEXTJOIN(", ", TRUE, _xlpm.MyAuditVal, _xlpm.MacVal, _xlpm.CSVVal)
)</f>
        <v/>
      </c>
      <c r="P337" s="40" t="str" cm="1">
        <f t="array" ref="P337">IFERROR(_xlfn.LET(
_xlpm.CSVVal,_xlfn.XLOOKUP($A337,CSV!$A:$A,CSV!AB:AB,""),
_xlpm.MacVal,_xlfn.XLOOKUP($A337,Output_Mac!$A:$A,Output_Mac!T:T,""),
_xlpm.MyAuditVal,_xlfn.XLOOKUP($A337,My_Audit!$A:$A,My_Audit!Q:Q,""),
_xlfn.IFS(_xlpm.MyAuditVal&lt;&gt;"",UPPER(_xlpm.MyAuditVal),_xlpm.MacVal&lt;&gt;"",_xlpm.MacVal,_xlpm.CSVVal&lt;&gt;"",_xlpm.CSVVal
)),"No")</f>
        <v>No</v>
      </c>
      <c r="Q337" s="40" t="str" cm="1">
        <f t="array" ref="Q337">IFERROR(_xlfn.LET(
_xlpm.CSVVal,_xlfn.XLOOKUP($A337,CSV!$A:$A,CSV!AC:AC,""),
_xlpm.MacVal,_xlfn.XLOOKUP($A337,Output_Mac!$A:$A,Output_Mac!U:U,""),
_xlpm.MyAuditVal,_xlfn.XLOOKUP($A337,My_Audit!$A:$A,My_Audit!R:R,""),
_xlfn.IFS(_xlpm.MyAuditVal&lt;&gt;"",UPPER(_xlpm.MyAuditVal),_xlpm.MacVal&lt;&gt;"",_xlpm.MacVal,_xlpm.CSVVal&lt;&gt;"",_xlpm.CSVVal
)),"")</f>
        <v/>
      </c>
      <c r="R337" s="40"/>
      <c r="S337" s="40"/>
      <c r="T337" s="40"/>
      <c r="U337" s="40"/>
      <c r="V337" s="40"/>
      <c r="W337" s="40"/>
      <c r="X337" s="41" t="str">
        <f>_xlfn.LET(
    _xlpm.MacVal, _xlfn.XLOOKUP($A337, Output_Mac!$A:$A, Output_Mac!AB:AB, ""),
    _xlpm.MyAuditVal, _xlfn.XLOOKUP($A337, My_Audit!$A:$A, My_Audit!N:N, ""),
    _xlfn.TEXTJOIN(", ", TRUE, _xlpm.MyAuditVal, _xlpm.MacVal)
)</f>
        <v/>
      </c>
    </row>
    <row r="338" spans="1:24">
      <c r="A338" s="40" t="str">
        <f>_xlfn.TEXTJOIN("",TRUE,Input!$B$2,ROW(My_Audit!A337))</f>
        <v>X337</v>
      </c>
      <c r="B338" s="40" t="str">
        <f>_xlfn.TEXTJOIN("-",TRUE,"ITD",Input!$A$2,A338)</f>
        <v>ITD-X337</v>
      </c>
      <c r="C338" s="40" t="str" cm="1">
        <f t="array" ref="C338">IFERROR(_xlfn.LET(
_xlpm.CSVVal,_xlfn.XLOOKUP($A338,CSV!$A:$A,CSV!B:B,""),
_xlpm.MacVal,_xlfn.XLOOKUP($A338,Output_Mac!$A:$A,Output_Mac!B:B,""),
_xlpm.MyAuditVal,_xlfn.XLOOKUP($A338,My_Audit!$A:$A,My_Audit!B:B,""),
_xlfn.IFS(_xlpm.MyAuditVal&lt;&gt;"",UPPER(_xlpm.MyAuditVal),_xlpm.MacVal&lt;&gt;"",_xlpm.MacVal,_xlpm.CSVVal&lt;&gt;"",_xlpm.CSVVal
)),"")</f>
        <v/>
      </c>
      <c r="D338" s="40" t="str" cm="1">
        <f t="array" ref="D338">IFERROR(_xlfn.LET(
_xlpm.CSVVal,_xlfn.XLOOKUP($A338,CSV!$A:$A,CSV!D:D,""),
_xlpm.MacVal,_xlfn.XLOOKUP($A338,Output_Mac!$A:$A,Output_Mac!C:C,""),
_xlpm.MyAuditVal,_xlfn.XLOOKUP($A338,My_Audit!$A:$A,My_Audit!C:C,""),
_xlfn.IFS(_xlpm.MyAuditVal&lt;&gt;"",_xlpm.MyAuditVal,_xlpm.MacVal&lt;&gt;"",_xlpm.MacVal,_xlpm.CSVVal&lt;&gt;"",_xlpm.CSVVal
)),"")</f>
        <v/>
      </c>
      <c r="E338" s="40">
        <f>_xlfn.XLOOKUP(A338,My_Audit!A:A,My_Audit!D:D,"")</f>
        <v>0</v>
      </c>
      <c r="F338" s="40" t="str" cm="1">
        <f t="array" ref="F338">IFERROR(_xlfn.LET(
_xlpm.CSVVal,_xlfn.XLOOKUP($A338,CSV!$A:$A,CSV!F:F,""),
_xlpm.MacVal,_xlfn.XLOOKUP($A338,Output_Mac!$A:$A,Output_Mac!E:E,""),
_xlpm.MyAuditVal,_xlfn.XLOOKUP($A338,My_Audit!$A:$A,My_Audit!E:E,""),
_xlfn.IFS(_xlpm.MyAuditVal&lt;&gt;"",_xlpm.MyAuditVal,_xlpm.MacVal&lt;&gt;"",_xlpm.MacVal,_xlpm.CSVVal&lt;&gt;"",_xlpm.CSVVal
)),"")</f>
        <v/>
      </c>
      <c r="G338" s="40" t="str" cm="1">
        <f t="array" ref="G338">IFERROR(_xlfn.LET(
_xlpm.CSVVal,_xlfn.XLOOKUP($A338,CSV!$A:$A,CSV!G:G,""),
_xlpm.MacVal,_xlfn.XLOOKUP($A338,Output_Mac!$A:$A,Output_Mac!F:F,""),
_xlpm.MyAuditVal,_xlfn.XLOOKUP($A338,My_Audit!$A:$A,My_Audit!F:F,""),
_xlfn.IFS(_xlpm.MyAuditVal&lt;&gt;"",_xlpm.MyAuditVal,_xlpm.MacVal&lt;&gt;"",_xlpm.MacVal,_xlpm.CSVVal&lt;&gt;"",PROPER(_xlpm.CSVVal)
)),"")</f>
        <v/>
      </c>
      <c r="H338" s="40" t="str" cm="1">
        <f t="array" ref="H338">IFERROR(_xlfn.LET(
_xlpm.CSVVal,_xlfn.XLOOKUP($A338,CSV!$A:$A,CSV!H:H,""),
_xlpm.MacVal,_xlfn.XLOOKUP($A338,Output_Mac!$A:$A,Output_Mac!H:H,""),
_xlpm.MyAuditVal,_xlfn.XLOOKUP($A338,My_Audit!$A:$A,My_Audit!G:G,""),
_xlfn.IFS(_xlpm.MyAuditVal&lt;&gt;"",_xlpm.MyAuditVal,_xlpm.MacVal&lt;&gt;"",_xlpm.MacVal,_xlpm.CSVVal&lt;&gt;"",_xlpm.CSVVal
)),"")</f>
        <v/>
      </c>
      <c r="I338" s="40" t="str">
        <f>_xlfn.XLOOKUP(A338,Output_Mac!A:A,Output_Mac!I:I,"")</f>
        <v/>
      </c>
      <c r="J338" s="40" t="str" cm="1">
        <f t="array" ref="J338">IFERROR(_xlfn.LET(
_xlpm.CSVVal,_xlfn.XLOOKUP($A338,CSV!$A:$A,CSV!I:I,""),
_xlpm.MacVal,_xlfn.XLOOKUP($A338,Output_Mac!$A:$A,Output_Mac!J:J,""),
_xlpm.MyAuditVal,_xlfn.XLOOKUP($A338,My_Audit!$A:$A,My_Audit!I:I,""),
_xlfn.IFS(_xlpm.MyAuditVal&lt;&gt;"",UPPER(_xlpm.MyAuditVal),_xlpm.MacVal&lt;&gt;"",_xlpm.MacVal,_xlpm.CSVVal&lt;&gt;"",_xlpm.CSVVal
)),"")</f>
        <v/>
      </c>
      <c r="K338" s="40" t="str" cm="1">
        <f t="array" ref="K338">IFERROR(_xlfn.LET(
_xlpm.CSVVal,_xlfn.XLOOKUP($A338,CSV!$A:$A,CSV!K:K,""),
_xlpm.MacVal,_xlfn.XLOOKUP($A338,Output_Mac!$A:$A,Output_Mac!K:K,""),
_xlpm.MyAuditVal,_xlfn.XLOOKUP($A338,My_Audit!$A:$A,My_Audit!J:J,""),
_xlfn.IFS(_xlpm.MyAuditVal&lt;&gt;"",UPPER(_xlpm.MyAuditVal),_xlpm.MacVal&lt;&gt;"",_xlpm.MacVal,_xlpm.CSVVal&lt;&gt;"",_xlpm.CSVVal
)),"")</f>
        <v/>
      </c>
      <c r="L338" s="40" t="str" cm="1">
        <f t="array" ref="L338">IFERROR(_xlfn.LET(
_xlpm.CSVVal,_xlfn.XLOOKUP($A338,CSV!$A:$A,CSV!P:P,""),
_xlpm.MacVal,_xlfn.XLOOKUP($A338,Output_Mac!$A:$A,Output_Mac!L:L,""),
_xlpm.MyAuditVal,_xlfn.XLOOKUP($A338,My_Audit!$A:$A,My_Audit!K:K,""),
_xlfn.IFS(_xlpm.MyAuditVal&lt;&gt;"",UPPER(_xlpm.MyAuditVal),_xlpm.MacVal&lt;&gt;"",_xlpm.MacVal,_xlpm.CSVVal&lt;&gt;"",_xlpm.CSVVal
)),"")</f>
        <v/>
      </c>
      <c r="M338" s="40" t="str" cm="1">
        <f t="array" ref="M338">IFERROR(_xlfn.LET(
_xlpm.CSVVal,_xlfn.XLOOKUP($A338,CSV!$A:$A,CSV!Q:Q,""),
_xlpm.MacVal,_xlfn.XLOOKUP($A338,Output_Mac!$A:$A,Output_Mac!M:M,""),
_xlpm.MyAuditVal,_xlfn.XLOOKUP($A338,My_Audit!$A:$A,My_Audit!L:L,""),
_xlfn.IFS(_xlpm.MyAuditVal&lt;&gt;"",UPPER(_xlpm.MyAuditVal),_xlpm.MacVal&lt;&gt;"",_xlpm.MacVal,_xlpm.CSVVal&lt;&gt;"",_xlpm.CSVVal
)),"")</f>
        <v/>
      </c>
      <c r="N338" s="40"/>
      <c r="O338" s="40" t="str">
        <f>_xlfn.LET(
    _xlpm.CSVVal, _xlfn.XLOOKUP($A338, CSV!$A:$A, CSV!AA:AA, ""),
    _xlpm.MacVal, _xlfn.XLOOKUP($A338, Output_Mac!$A:$A, Output_Mac!S:S, ""),
    _xlpm.MyAuditVal, _xlfn.XLOOKUP($A338, My_Audit!$A:$A, My_Audit!P:P, ""),
    _xlfn.TEXTJOIN(", ", TRUE, _xlpm.MyAuditVal, _xlpm.MacVal, _xlpm.CSVVal)
)</f>
        <v/>
      </c>
      <c r="P338" s="40" t="str" cm="1">
        <f t="array" ref="P338">IFERROR(_xlfn.LET(
_xlpm.CSVVal,_xlfn.XLOOKUP($A338,CSV!$A:$A,CSV!AB:AB,""),
_xlpm.MacVal,_xlfn.XLOOKUP($A338,Output_Mac!$A:$A,Output_Mac!T:T,""),
_xlpm.MyAuditVal,_xlfn.XLOOKUP($A338,My_Audit!$A:$A,My_Audit!Q:Q,""),
_xlfn.IFS(_xlpm.MyAuditVal&lt;&gt;"",UPPER(_xlpm.MyAuditVal),_xlpm.MacVal&lt;&gt;"",_xlpm.MacVal,_xlpm.CSVVal&lt;&gt;"",_xlpm.CSVVal
)),"No")</f>
        <v>No</v>
      </c>
      <c r="Q338" s="40" t="str" cm="1">
        <f t="array" ref="Q338">IFERROR(_xlfn.LET(
_xlpm.CSVVal,_xlfn.XLOOKUP($A338,CSV!$A:$A,CSV!AC:AC,""),
_xlpm.MacVal,_xlfn.XLOOKUP($A338,Output_Mac!$A:$A,Output_Mac!U:U,""),
_xlpm.MyAuditVal,_xlfn.XLOOKUP($A338,My_Audit!$A:$A,My_Audit!R:R,""),
_xlfn.IFS(_xlpm.MyAuditVal&lt;&gt;"",UPPER(_xlpm.MyAuditVal),_xlpm.MacVal&lt;&gt;"",_xlpm.MacVal,_xlpm.CSVVal&lt;&gt;"",_xlpm.CSVVal
)),"")</f>
        <v/>
      </c>
      <c r="R338" s="40"/>
      <c r="S338" s="40"/>
      <c r="T338" s="40"/>
      <c r="U338" s="40"/>
      <c r="V338" s="40"/>
      <c r="W338" s="40"/>
      <c r="X338" s="41" t="str">
        <f>_xlfn.LET(
    _xlpm.MacVal, _xlfn.XLOOKUP($A338, Output_Mac!$A:$A, Output_Mac!AB:AB, ""),
    _xlpm.MyAuditVal, _xlfn.XLOOKUP($A338, My_Audit!$A:$A, My_Audit!N:N, ""),
    _xlfn.TEXTJOIN(", ", TRUE, _xlpm.MyAuditVal, _xlpm.MacVal)
)</f>
        <v/>
      </c>
    </row>
    <row r="339" spans="1:24">
      <c r="A339" s="40" t="str">
        <f>_xlfn.TEXTJOIN("",TRUE,Input!$B$2,ROW(My_Audit!A338))</f>
        <v>X338</v>
      </c>
      <c r="B339" s="40" t="str">
        <f>_xlfn.TEXTJOIN("-",TRUE,"ITD",Input!$A$2,A339)</f>
        <v>ITD-X338</v>
      </c>
      <c r="C339" s="40" t="str" cm="1">
        <f t="array" ref="C339">IFERROR(_xlfn.LET(
_xlpm.CSVVal,_xlfn.XLOOKUP($A339,CSV!$A:$A,CSV!B:B,""),
_xlpm.MacVal,_xlfn.XLOOKUP($A339,Output_Mac!$A:$A,Output_Mac!B:B,""),
_xlpm.MyAuditVal,_xlfn.XLOOKUP($A339,My_Audit!$A:$A,My_Audit!B:B,""),
_xlfn.IFS(_xlpm.MyAuditVal&lt;&gt;"",UPPER(_xlpm.MyAuditVal),_xlpm.MacVal&lt;&gt;"",_xlpm.MacVal,_xlpm.CSVVal&lt;&gt;"",_xlpm.CSVVal
)),"")</f>
        <v/>
      </c>
      <c r="D339" s="40" t="str" cm="1">
        <f t="array" ref="D339">IFERROR(_xlfn.LET(
_xlpm.CSVVal,_xlfn.XLOOKUP($A339,CSV!$A:$A,CSV!D:D,""),
_xlpm.MacVal,_xlfn.XLOOKUP($A339,Output_Mac!$A:$A,Output_Mac!C:C,""),
_xlpm.MyAuditVal,_xlfn.XLOOKUP($A339,My_Audit!$A:$A,My_Audit!C:C,""),
_xlfn.IFS(_xlpm.MyAuditVal&lt;&gt;"",_xlpm.MyAuditVal,_xlpm.MacVal&lt;&gt;"",_xlpm.MacVal,_xlpm.CSVVal&lt;&gt;"",_xlpm.CSVVal
)),"")</f>
        <v/>
      </c>
      <c r="E339" s="40">
        <f>_xlfn.XLOOKUP(A339,My_Audit!A:A,My_Audit!D:D,"")</f>
        <v>0</v>
      </c>
      <c r="F339" s="40" t="str" cm="1">
        <f t="array" ref="F339">IFERROR(_xlfn.LET(
_xlpm.CSVVal,_xlfn.XLOOKUP($A339,CSV!$A:$A,CSV!F:F,""),
_xlpm.MacVal,_xlfn.XLOOKUP($A339,Output_Mac!$A:$A,Output_Mac!E:E,""),
_xlpm.MyAuditVal,_xlfn.XLOOKUP($A339,My_Audit!$A:$A,My_Audit!E:E,""),
_xlfn.IFS(_xlpm.MyAuditVal&lt;&gt;"",_xlpm.MyAuditVal,_xlpm.MacVal&lt;&gt;"",_xlpm.MacVal,_xlpm.CSVVal&lt;&gt;"",_xlpm.CSVVal
)),"")</f>
        <v/>
      </c>
      <c r="G339" s="40" t="str" cm="1">
        <f t="array" ref="G339">IFERROR(_xlfn.LET(
_xlpm.CSVVal,_xlfn.XLOOKUP($A339,CSV!$A:$A,CSV!G:G,""),
_xlpm.MacVal,_xlfn.XLOOKUP($A339,Output_Mac!$A:$A,Output_Mac!F:F,""),
_xlpm.MyAuditVal,_xlfn.XLOOKUP($A339,My_Audit!$A:$A,My_Audit!F:F,""),
_xlfn.IFS(_xlpm.MyAuditVal&lt;&gt;"",_xlpm.MyAuditVal,_xlpm.MacVal&lt;&gt;"",_xlpm.MacVal,_xlpm.CSVVal&lt;&gt;"",PROPER(_xlpm.CSVVal)
)),"")</f>
        <v/>
      </c>
      <c r="H339" s="40" t="str" cm="1">
        <f t="array" ref="H339">IFERROR(_xlfn.LET(
_xlpm.CSVVal,_xlfn.XLOOKUP($A339,CSV!$A:$A,CSV!H:H,""),
_xlpm.MacVal,_xlfn.XLOOKUP($A339,Output_Mac!$A:$A,Output_Mac!H:H,""),
_xlpm.MyAuditVal,_xlfn.XLOOKUP($A339,My_Audit!$A:$A,My_Audit!G:G,""),
_xlfn.IFS(_xlpm.MyAuditVal&lt;&gt;"",_xlpm.MyAuditVal,_xlpm.MacVal&lt;&gt;"",_xlpm.MacVal,_xlpm.CSVVal&lt;&gt;"",_xlpm.CSVVal
)),"")</f>
        <v/>
      </c>
      <c r="I339" s="40" t="str">
        <f>_xlfn.XLOOKUP(A339,Output_Mac!A:A,Output_Mac!I:I,"")</f>
        <v/>
      </c>
      <c r="J339" s="40" t="str" cm="1">
        <f t="array" ref="J339">IFERROR(_xlfn.LET(
_xlpm.CSVVal,_xlfn.XLOOKUP($A339,CSV!$A:$A,CSV!I:I,""),
_xlpm.MacVal,_xlfn.XLOOKUP($A339,Output_Mac!$A:$A,Output_Mac!J:J,""),
_xlpm.MyAuditVal,_xlfn.XLOOKUP($A339,My_Audit!$A:$A,My_Audit!I:I,""),
_xlfn.IFS(_xlpm.MyAuditVal&lt;&gt;"",UPPER(_xlpm.MyAuditVal),_xlpm.MacVal&lt;&gt;"",_xlpm.MacVal,_xlpm.CSVVal&lt;&gt;"",_xlpm.CSVVal
)),"")</f>
        <v/>
      </c>
      <c r="K339" s="40" t="str" cm="1">
        <f t="array" ref="K339">IFERROR(_xlfn.LET(
_xlpm.CSVVal,_xlfn.XLOOKUP($A339,CSV!$A:$A,CSV!K:K,""),
_xlpm.MacVal,_xlfn.XLOOKUP($A339,Output_Mac!$A:$A,Output_Mac!K:K,""),
_xlpm.MyAuditVal,_xlfn.XLOOKUP($A339,My_Audit!$A:$A,My_Audit!J:J,""),
_xlfn.IFS(_xlpm.MyAuditVal&lt;&gt;"",UPPER(_xlpm.MyAuditVal),_xlpm.MacVal&lt;&gt;"",_xlpm.MacVal,_xlpm.CSVVal&lt;&gt;"",_xlpm.CSVVal
)),"")</f>
        <v/>
      </c>
      <c r="L339" s="40" t="str" cm="1">
        <f t="array" ref="L339">IFERROR(_xlfn.LET(
_xlpm.CSVVal,_xlfn.XLOOKUP($A339,CSV!$A:$A,CSV!P:P,""),
_xlpm.MacVal,_xlfn.XLOOKUP($A339,Output_Mac!$A:$A,Output_Mac!L:L,""),
_xlpm.MyAuditVal,_xlfn.XLOOKUP($A339,My_Audit!$A:$A,My_Audit!K:K,""),
_xlfn.IFS(_xlpm.MyAuditVal&lt;&gt;"",UPPER(_xlpm.MyAuditVal),_xlpm.MacVal&lt;&gt;"",_xlpm.MacVal,_xlpm.CSVVal&lt;&gt;"",_xlpm.CSVVal
)),"")</f>
        <v/>
      </c>
      <c r="M339" s="40" t="str" cm="1">
        <f t="array" ref="M339">IFERROR(_xlfn.LET(
_xlpm.CSVVal,_xlfn.XLOOKUP($A339,CSV!$A:$A,CSV!Q:Q,""),
_xlpm.MacVal,_xlfn.XLOOKUP($A339,Output_Mac!$A:$A,Output_Mac!M:M,""),
_xlpm.MyAuditVal,_xlfn.XLOOKUP($A339,My_Audit!$A:$A,My_Audit!L:L,""),
_xlfn.IFS(_xlpm.MyAuditVal&lt;&gt;"",UPPER(_xlpm.MyAuditVal),_xlpm.MacVal&lt;&gt;"",_xlpm.MacVal,_xlpm.CSVVal&lt;&gt;"",_xlpm.CSVVal
)),"")</f>
        <v/>
      </c>
      <c r="N339" s="40"/>
      <c r="O339" s="40" t="str">
        <f>_xlfn.LET(
    _xlpm.CSVVal, _xlfn.XLOOKUP($A339, CSV!$A:$A, CSV!AA:AA, ""),
    _xlpm.MacVal, _xlfn.XLOOKUP($A339, Output_Mac!$A:$A, Output_Mac!S:S, ""),
    _xlpm.MyAuditVal, _xlfn.XLOOKUP($A339, My_Audit!$A:$A, My_Audit!P:P, ""),
    _xlfn.TEXTJOIN(", ", TRUE, _xlpm.MyAuditVal, _xlpm.MacVal, _xlpm.CSVVal)
)</f>
        <v/>
      </c>
      <c r="P339" s="40" t="str" cm="1">
        <f t="array" ref="P339">IFERROR(_xlfn.LET(
_xlpm.CSVVal,_xlfn.XLOOKUP($A339,CSV!$A:$A,CSV!AB:AB,""),
_xlpm.MacVal,_xlfn.XLOOKUP($A339,Output_Mac!$A:$A,Output_Mac!T:T,""),
_xlpm.MyAuditVal,_xlfn.XLOOKUP($A339,My_Audit!$A:$A,My_Audit!Q:Q,""),
_xlfn.IFS(_xlpm.MyAuditVal&lt;&gt;"",UPPER(_xlpm.MyAuditVal),_xlpm.MacVal&lt;&gt;"",_xlpm.MacVal,_xlpm.CSVVal&lt;&gt;"",_xlpm.CSVVal
)),"No")</f>
        <v>No</v>
      </c>
      <c r="Q339" s="40" t="str" cm="1">
        <f t="array" ref="Q339">IFERROR(_xlfn.LET(
_xlpm.CSVVal,_xlfn.XLOOKUP($A339,CSV!$A:$A,CSV!AC:AC,""),
_xlpm.MacVal,_xlfn.XLOOKUP($A339,Output_Mac!$A:$A,Output_Mac!U:U,""),
_xlpm.MyAuditVal,_xlfn.XLOOKUP($A339,My_Audit!$A:$A,My_Audit!R:R,""),
_xlfn.IFS(_xlpm.MyAuditVal&lt;&gt;"",UPPER(_xlpm.MyAuditVal),_xlpm.MacVal&lt;&gt;"",_xlpm.MacVal,_xlpm.CSVVal&lt;&gt;"",_xlpm.CSVVal
)),"")</f>
        <v/>
      </c>
      <c r="R339" s="40"/>
      <c r="S339" s="40"/>
      <c r="T339" s="40"/>
      <c r="U339" s="40"/>
      <c r="V339" s="40"/>
      <c r="W339" s="40"/>
      <c r="X339" s="41" t="str">
        <f>_xlfn.LET(
    _xlpm.MacVal, _xlfn.XLOOKUP($A339, Output_Mac!$A:$A, Output_Mac!AB:AB, ""),
    _xlpm.MyAuditVal, _xlfn.XLOOKUP($A339, My_Audit!$A:$A, My_Audit!N:N, ""),
    _xlfn.TEXTJOIN(", ", TRUE, _xlpm.MyAuditVal, _xlpm.MacVal)
)</f>
        <v/>
      </c>
    </row>
    <row r="340" spans="1:24">
      <c r="A340" s="40" t="str">
        <f>_xlfn.TEXTJOIN("",TRUE,Input!$B$2,ROW(My_Audit!A339))</f>
        <v>X339</v>
      </c>
      <c r="B340" s="40" t="str">
        <f>_xlfn.TEXTJOIN("-",TRUE,"ITD",Input!$A$2,A340)</f>
        <v>ITD-X339</v>
      </c>
      <c r="C340" s="40" t="str" cm="1">
        <f t="array" ref="C340">IFERROR(_xlfn.LET(
_xlpm.CSVVal,_xlfn.XLOOKUP($A340,CSV!$A:$A,CSV!B:B,""),
_xlpm.MacVal,_xlfn.XLOOKUP($A340,Output_Mac!$A:$A,Output_Mac!B:B,""),
_xlpm.MyAuditVal,_xlfn.XLOOKUP($A340,My_Audit!$A:$A,My_Audit!B:B,""),
_xlfn.IFS(_xlpm.MyAuditVal&lt;&gt;"",UPPER(_xlpm.MyAuditVal),_xlpm.MacVal&lt;&gt;"",_xlpm.MacVal,_xlpm.CSVVal&lt;&gt;"",_xlpm.CSVVal
)),"")</f>
        <v/>
      </c>
      <c r="D340" s="40" t="str" cm="1">
        <f t="array" ref="D340">IFERROR(_xlfn.LET(
_xlpm.CSVVal,_xlfn.XLOOKUP($A340,CSV!$A:$A,CSV!D:D,""),
_xlpm.MacVal,_xlfn.XLOOKUP($A340,Output_Mac!$A:$A,Output_Mac!C:C,""),
_xlpm.MyAuditVal,_xlfn.XLOOKUP($A340,My_Audit!$A:$A,My_Audit!C:C,""),
_xlfn.IFS(_xlpm.MyAuditVal&lt;&gt;"",_xlpm.MyAuditVal,_xlpm.MacVal&lt;&gt;"",_xlpm.MacVal,_xlpm.CSVVal&lt;&gt;"",_xlpm.CSVVal
)),"")</f>
        <v/>
      </c>
      <c r="E340" s="40">
        <f>_xlfn.XLOOKUP(A340,My_Audit!A:A,My_Audit!D:D,"")</f>
        <v>0</v>
      </c>
      <c r="F340" s="40" t="str" cm="1">
        <f t="array" ref="F340">IFERROR(_xlfn.LET(
_xlpm.CSVVal,_xlfn.XLOOKUP($A340,CSV!$A:$A,CSV!F:F,""),
_xlpm.MacVal,_xlfn.XLOOKUP($A340,Output_Mac!$A:$A,Output_Mac!E:E,""),
_xlpm.MyAuditVal,_xlfn.XLOOKUP($A340,My_Audit!$A:$A,My_Audit!E:E,""),
_xlfn.IFS(_xlpm.MyAuditVal&lt;&gt;"",_xlpm.MyAuditVal,_xlpm.MacVal&lt;&gt;"",_xlpm.MacVal,_xlpm.CSVVal&lt;&gt;"",_xlpm.CSVVal
)),"")</f>
        <v/>
      </c>
      <c r="G340" s="40" t="str" cm="1">
        <f t="array" ref="G340">IFERROR(_xlfn.LET(
_xlpm.CSVVal,_xlfn.XLOOKUP($A340,CSV!$A:$A,CSV!G:G,""),
_xlpm.MacVal,_xlfn.XLOOKUP($A340,Output_Mac!$A:$A,Output_Mac!F:F,""),
_xlpm.MyAuditVal,_xlfn.XLOOKUP($A340,My_Audit!$A:$A,My_Audit!F:F,""),
_xlfn.IFS(_xlpm.MyAuditVal&lt;&gt;"",_xlpm.MyAuditVal,_xlpm.MacVal&lt;&gt;"",_xlpm.MacVal,_xlpm.CSVVal&lt;&gt;"",PROPER(_xlpm.CSVVal)
)),"")</f>
        <v/>
      </c>
      <c r="H340" s="40" t="str" cm="1">
        <f t="array" ref="H340">IFERROR(_xlfn.LET(
_xlpm.CSVVal,_xlfn.XLOOKUP($A340,CSV!$A:$A,CSV!H:H,""),
_xlpm.MacVal,_xlfn.XLOOKUP($A340,Output_Mac!$A:$A,Output_Mac!H:H,""),
_xlpm.MyAuditVal,_xlfn.XLOOKUP($A340,My_Audit!$A:$A,My_Audit!G:G,""),
_xlfn.IFS(_xlpm.MyAuditVal&lt;&gt;"",_xlpm.MyAuditVal,_xlpm.MacVal&lt;&gt;"",_xlpm.MacVal,_xlpm.CSVVal&lt;&gt;"",_xlpm.CSVVal
)),"")</f>
        <v/>
      </c>
      <c r="I340" s="40" t="str">
        <f>_xlfn.XLOOKUP(A340,Output_Mac!A:A,Output_Mac!I:I,"")</f>
        <v/>
      </c>
      <c r="J340" s="40" t="str" cm="1">
        <f t="array" ref="J340">IFERROR(_xlfn.LET(
_xlpm.CSVVal,_xlfn.XLOOKUP($A340,CSV!$A:$A,CSV!I:I,""),
_xlpm.MacVal,_xlfn.XLOOKUP($A340,Output_Mac!$A:$A,Output_Mac!J:J,""),
_xlpm.MyAuditVal,_xlfn.XLOOKUP($A340,My_Audit!$A:$A,My_Audit!I:I,""),
_xlfn.IFS(_xlpm.MyAuditVal&lt;&gt;"",UPPER(_xlpm.MyAuditVal),_xlpm.MacVal&lt;&gt;"",_xlpm.MacVal,_xlpm.CSVVal&lt;&gt;"",_xlpm.CSVVal
)),"")</f>
        <v/>
      </c>
      <c r="K340" s="40" t="str" cm="1">
        <f t="array" ref="K340">IFERROR(_xlfn.LET(
_xlpm.CSVVal,_xlfn.XLOOKUP($A340,CSV!$A:$A,CSV!K:K,""),
_xlpm.MacVal,_xlfn.XLOOKUP($A340,Output_Mac!$A:$A,Output_Mac!K:K,""),
_xlpm.MyAuditVal,_xlfn.XLOOKUP($A340,My_Audit!$A:$A,My_Audit!J:J,""),
_xlfn.IFS(_xlpm.MyAuditVal&lt;&gt;"",UPPER(_xlpm.MyAuditVal),_xlpm.MacVal&lt;&gt;"",_xlpm.MacVal,_xlpm.CSVVal&lt;&gt;"",_xlpm.CSVVal
)),"")</f>
        <v/>
      </c>
      <c r="L340" s="40" t="str" cm="1">
        <f t="array" ref="L340">IFERROR(_xlfn.LET(
_xlpm.CSVVal,_xlfn.XLOOKUP($A340,CSV!$A:$A,CSV!P:P,""),
_xlpm.MacVal,_xlfn.XLOOKUP($A340,Output_Mac!$A:$A,Output_Mac!L:L,""),
_xlpm.MyAuditVal,_xlfn.XLOOKUP($A340,My_Audit!$A:$A,My_Audit!K:K,""),
_xlfn.IFS(_xlpm.MyAuditVal&lt;&gt;"",UPPER(_xlpm.MyAuditVal),_xlpm.MacVal&lt;&gt;"",_xlpm.MacVal,_xlpm.CSVVal&lt;&gt;"",_xlpm.CSVVal
)),"")</f>
        <v/>
      </c>
      <c r="M340" s="40" t="str" cm="1">
        <f t="array" ref="M340">IFERROR(_xlfn.LET(
_xlpm.CSVVal,_xlfn.XLOOKUP($A340,CSV!$A:$A,CSV!Q:Q,""),
_xlpm.MacVal,_xlfn.XLOOKUP($A340,Output_Mac!$A:$A,Output_Mac!M:M,""),
_xlpm.MyAuditVal,_xlfn.XLOOKUP($A340,My_Audit!$A:$A,My_Audit!L:L,""),
_xlfn.IFS(_xlpm.MyAuditVal&lt;&gt;"",UPPER(_xlpm.MyAuditVal),_xlpm.MacVal&lt;&gt;"",_xlpm.MacVal,_xlpm.CSVVal&lt;&gt;"",_xlpm.CSVVal
)),"")</f>
        <v/>
      </c>
      <c r="N340" s="40"/>
      <c r="O340" s="40" t="str">
        <f>_xlfn.LET(
    _xlpm.CSVVal, _xlfn.XLOOKUP($A340, CSV!$A:$A, CSV!AA:AA, ""),
    _xlpm.MacVal, _xlfn.XLOOKUP($A340, Output_Mac!$A:$A, Output_Mac!S:S, ""),
    _xlpm.MyAuditVal, _xlfn.XLOOKUP($A340, My_Audit!$A:$A, My_Audit!P:P, ""),
    _xlfn.TEXTJOIN(", ", TRUE, _xlpm.MyAuditVal, _xlpm.MacVal, _xlpm.CSVVal)
)</f>
        <v/>
      </c>
      <c r="P340" s="40" t="str" cm="1">
        <f t="array" ref="P340">IFERROR(_xlfn.LET(
_xlpm.CSVVal,_xlfn.XLOOKUP($A340,CSV!$A:$A,CSV!AB:AB,""),
_xlpm.MacVal,_xlfn.XLOOKUP($A340,Output_Mac!$A:$A,Output_Mac!T:T,""),
_xlpm.MyAuditVal,_xlfn.XLOOKUP($A340,My_Audit!$A:$A,My_Audit!Q:Q,""),
_xlfn.IFS(_xlpm.MyAuditVal&lt;&gt;"",UPPER(_xlpm.MyAuditVal),_xlpm.MacVal&lt;&gt;"",_xlpm.MacVal,_xlpm.CSVVal&lt;&gt;"",_xlpm.CSVVal
)),"No")</f>
        <v>No</v>
      </c>
      <c r="Q340" s="40" t="str" cm="1">
        <f t="array" ref="Q340">IFERROR(_xlfn.LET(
_xlpm.CSVVal,_xlfn.XLOOKUP($A340,CSV!$A:$A,CSV!AC:AC,""),
_xlpm.MacVal,_xlfn.XLOOKUP($A340,Output_Mac!$A:$A,Output_Mac!U:U,""),
_xlpm.MyAuditVal,_xlfn.XLOOKUP($A340,My_Audit!$A:$A,My_Audit!R:R,""),
_xlfn.IFS(_xlpm.MyAuditVal&lt;&gt;"",UPPER(_xlpm.MyAuditVal),_xlpm.MacVal&lt;&gt;"",_xlpm.MacVal,_xlpm.CSVVal&lt;&gt;"",_xlpm.CSVVal
)),"")</f>
        <v/>
      </c>
      <c r="R340" s="40"/>
      <c r="S340" s="40"/>
      <c r="T340" s="40"/>
      <c r="U340" s="40"/>
      <c r="V340" s="40"/>
      <c r="W340" s="40"/>
      <c r="X340" s="41" t="str">
        <f>_xlfn.LET(
    _xlpm.MacVal, _xlfn.XLOOKUP($A340, Output_Mac!$A:$A, Output_Mac!AB:AB, ""),
    _xlpm.MyAuditVal, _xlfn.XLOOKUP($A340, My_Audit!$A:$A, My_Audit!N:N, ""),
    _xlfn.TEXTJOIN(", ", TRUE, _xlpm.MyAuditVal, _xlpm.MacVal)
)</f>
        <v/>
      </c>
    </row>
    <row r="341" spans="1:24">
      <c r="A341" s="40" t="str">
        <f>_xlfn.TEXTJOIN("",TRUE,Input!$B$2,ROW(My_Audit!A340))</f>
        <v>X340</v>
      </c>
      <c r="B341" s="40" t="str">
        <f>_xlfn.TEXTJOIN("-",TRUE,"ITD",Input!$A$2,A341)</f>
        <v>ITD-X340</v>
      </c>
      <c r="C341" s="40" t="str" cm="1">
        <f t="array" ref="C341">IFERROR(_xlfn.LET(
_xlpm.CSVVal,_xlfn.XLOOKUP($A341,CSV!$A:$A,CSV!B:B,""),
_xlpm.MacVal,_xlfn.XLOOKUP($A341,Output_Mac!$A:$A,Output_Mac!B:B,""),
_xlpm.MyAuditVal,_xlfn.XLOOKUP($A341,My_Audit!$A:$A,My_Audit!B:B,""),
_xlfn.IFS(_xlpm.MyAuditVal&lt;&gt;"",UPPER(_xlpm.MyAuditVal),_xlpm.MacVal&lt;&gt;"",_xlpm.MacVal,_xlpm.CSVVal&lt;&gt;"",_xlpm.CSVVal
)),"")</f>
        <v/>
      </c>
      <c r="D341" s="40" t="str" cm="1">
        <f t="array" ref="D341">IFERROR(_xlfn.LET(
_xlpm.CSVVal,_xlfn.XLOOKUP($A341,CSV!$A:$A,CSV!D:D,""),
_xlpm.MacVal,_xlfn.XLOOKUP($A341,Output_Mac!$A:$A,Output_Mac!C:C,""),
_xlpm.MyAuditVal,_xlfn.XLOOKUP($A341,My_Audit!$A:$A,My_Audit!C:C,""),
_xlfn.IFS(_xlpm.MyAuditVal&lt;&gt;"",_xlpm.MyAuditVal,_xlpm.MacVal&lt;&gt;"",_xlpm.MacVal,_xlpm.CSVVal&lt;&gt;"",_xlpm.CSVVal
)),"")</f>
        <v/>
      </c>
      <c r="E341" s="40">
        <f>_xlfn.XLOOKUP(A341,My_Audit!A:A,My_Audit!D:D,"")</f>
        <v>0</v>
      </c>
      <c r="F341" s="40" t="str" cm="1">
        <f t="array" ref="F341">IFERROR(_xlfn.LET(
_xlpm.CSVVal,_xlfn.XLOOKUP($A341,CSV!$A:$A,CSV!F:F,""),
_xlpm.MacVal,_xlfn.XLOOKUP($A341,Output_Mac!$A:$A,Output_Mac!E:E,""),
_xlpm.MyAuditVal,_xlfn.XLOOKUP($A341,My_Audit!$A:$A,My_Audit!E:E,""),
_xlfn.IFS(_xlpm.MyAuditVal&lt;&gt;"",_xlpm.MyAuditVal,_xlpm.MacVal&lt;&gt;"",_xlpm.MacVal,_xlpm.CSVVal&lt;&gt;"",_xlpm.CSVVal
)),"")</f>
        <v/>
      </c>
      <c r="G341" s="40" t="str" cm="1">
        <f t="array" ref="G341">IFERROR(_xlfn.LET(
_xlpm.CSVVal,_xlfn.XLOOKUP($A341,CSV!$A:$A,CSV!G:G,""),
_xlpm.MacVal,_xlfn.XLOOKUP($A341,Output_Mac!$A:$A,Output_Mac!F:F,""),
_xlpm.MyAuditVal,_xlfn.XLOOKUP($A341,My_Audit!$A:$A,My_Audit!F:F,""),
_xlfn.IFS(_xlpm.MyAuditVal&lt;&gt;"",_xlpm.MyAuditVal,_xlpm.MacVal&lt;&gt;"",_xlpm.MacVal,_xlpm.CSVVal&lt;&gt;"",PROPER(_xlpm.CSVVal)
)),"")</f>
        <v/>
      </c>
      <c r="H341" s="40" t="str" cm="1">
        <f t="array" ref="H341">IFERROR(_xlfn.LET(
_xlpm.CSVVal,_xlfn.XLOOKUP($A341,CSV!$A:$A,CSV!H:H,""),
_xlpm.MacVal,_xlfn.XLOOKUP($A341,Output_Mac!$A:$A,Output_Mac!H:H,""),
_xlpm.MyAuditVal,_xlfn.XLOOKUP($A341,My_Audit!$A:$A,My_Audit!G:G,""),
_xlfn.IFS(_xlpm.MyAuditVal&lt;&gt;"",_xlpm.MyAuditVal,_xlpm.MacVal&lt;&gt;"",_xlpm.MacVal,_xlpm.CSVVal&lt;&gt;"",_xlpm.CSVVal
)),"")</f>
        <v/>
      </c>
      <c r="I341" s="40" t="str">
        <f>_xlfn.XLOOKUP(A341,Output_Mac!A:A,Output_Mac!I:I,"")</f>
        <v/>
      </c>
      <c r="J341" s="40" t="str" cm="1">
        <f t="array" ref="J341">IFERROR(_xlfn.LET(
_xlpm.CSVVal,_xlfn.XLOOKUP($A341,CSV!$A:$A,CSV!I:I,""),
_xlpm.MacVal,_xlfn.XLOOKUP($A341,Output_Mac!$A:$A,Output_Mac!J:J,""),
_xlpm.MyAuditVal,_xlfn.XLOOKUP($A341,My_Audit!$A:$A,My_Audit!I:I,""),
_xlfn.IFS(_xlpm.MyAuditVal&lt;&gt;"",UPPER(_xlpm.MyAuditVal),_xlpm.MacVal&lt;&gt;"",_xlpm.MacVal,_xlpm.CSVVal&lt;&gt;"",_xlpm.CSVVal
)),"")</f>
        <v/>
      </c>
      <c r="K341" s="40" t="str" cm="1">
        <f t="array" ref="K341">IFERROR(_xlfn.LET(
_xlpm.CSVVal,_xlfn.XLOOKUP($A341,CSV!$A:$A,CSV!K:K,""),
_xlpm.MacVal,_xlfn.XLOOKUP($A341,Output_Mac!$A:$A,Output_Mac!K:K,""),
_xlpm.MyAuditVal,_xlfn.XLOOKUP($A341,My_Audit!$A:$A,My_Audit!J:J,""),
_xlfn.IFS(_xlpm.MyAuditVal&lt;&gt;"",UPPER(_xlpm.MyAuditVal),_xlpm.MacVal&lt;&gt;"",_xlpm.MacVal,_xlpm.CSVVal&lt;&gt;"",_xlpm.CSVVal
)),"")</f>
        <v/>
      </c>
      <c r="L341" s="40" t="str" cm="1">
        <f t="array" ref="L341">IFERROR(_xlfn.LET(
_xlpm.CSVVal,_xlfn.XLOOKUP($A341,CSV!$A:$A,CSV!P:P,""),
_xlpm.MacVal,_xlfn.XLOOKUP($A341,Output_Mac!$A:$A,Output_Mac!L:L,""),
_xlpm.MyAuditVal,_xlfn.XLOOKUP($A341,My_Audit!$A:$A,My_Audit!K:K,""),
_xlfn.IFS(_xlpm.MyAuditVal&lt;&gt;"",UPPER(_xlpm.MyAuditVal),_xlpm.MacVal&lt;&gt;"",_xlpm.MacVal,_xlpm.CSVVal&lt;&gt;"",_xlpm.CSVVal
)),"")</f>
        <v/>
      </c>
      <c r="M341" s="40" t="str" cm="1">
        <f t="array" ref="M341">IFERROR(_xlfn.LET(
_xlpm.CSVVal,_xlfn.XLOOKUP($A341,CSV!$A:$A,CSV!Q:Q,""),
_xlpm.MacVal,_xlfn.XLOOKUP($A341,Output_Mac!$A:$A,Output_Mac!M:M,""),
_xlpm.MyAuditVal,_xlfn.XLOOKUP($A341,My_Audit!$A:$A,My_Audit!L:L,""),
_xlfn.IFS(_xlpm.MyAuditVal&lt;&gt;"",UPPER(_xlpm.MyAuditVal),_xlpm.MacVal&lt;&gt;"",_xlpm.MacVal,_xlpm.CSVVal&lt;&gt;"",_xlpm.CSVVal
)),"")</f>
        <v/>
      </c>
      <c r="N341" s="40"/>
      <c r="O341" s="40" t="str">
        <f>_xlfn.LET(
    _xlpm.CSVVal, _xlfn.XLOOKUP($A341, CSV!$A:$A, CSV!AA:AA, ""),
    _xlpm.MacVal, _xlfn.XLOOKUP($A341, Output_Mac!$A:$A, Output_Mac!S:S, ""),
    _xlpm.MyAuditVal, _xlfn.XLOOKUP($A341, My_Audit!$A:$A, My_Audit!P:P, ""),
    _xlfn.TEXTJOIN(", ", TRUE, _xlpm.MyAuditVal, _xlpm.MacVal, _xlpm.CSVVal)
)</f>
        <v/>
      </c>
      <c r="P341" s="40" t="str" cm="1">
        <f t="array" ref="P341">IFERROR(_xlfn.LET(
_xlpm.CSVVal,_xlfn.XLOOKUP($A341,CSV!$A:$A,CSV!AB:AB,""),
_xlpm.MacVal,_xlfn.XLOOKUP($A341,Output_Mac!$A:$A,Output_Mac!T:T,""),
_xlpm.MyAuditVal,_xlfn.XLOOKUP($A341,My_Audit!$A:$A,My_Audit!Q:Q,""),
_xlfn.IFS(_xlpm.MyAuditVal&lt;&gt;"",UPPER(_xlpm.MyAuditVal),_xlpm.MacVal&lt;&gt;"",_xlpm.MacVal,_xlpm.CSVVal&lt;&gt;"",_xlpm.CSVVal
)),"No")</f>
        <v>No</v>
      </c>
      <c r="Q341" s="40" t="str" cm="1">
        <f t="array" ref="Q341">IFERROR(_xlfn.LET(
_xlpm.CSVVal,_xlfn.XLOOKUP($A341,CSV!$A:$A,CSV!AC:AC,""),
_xlpm.MacVal,_xlfn.XLOOKUP($A341,Output_Mac!$A:$A,Output_Mac!U:U,""),
_xlpm.MyAuditVal,_xlfn.XLOOKUP($A341,My_Audit!$A:$A,My_Audit!R:R,""),
_xlfn.IFS(_xlpm.MyAuditVal&lt;&gt;"",UPPER(_xlpm.MyAuditVal),_xlpm.MacVal&lt;&gt;"",_xlpm.MacVal,_xlpm.CSVVal&lt;&gt;"",_xlpm.CSVVal
)),"")</f>
        <v/>
      </c>
      <c r="R341" s="40"/>
      <c r="S341" s="40"/>
      <c r="T341" s="40"/>
      <c r="U341" s="40"/>
      <c r="V341" s="40"/>
      <c r="W341" s="40"/>
      <c r="X341" s="41" t="str">
        <f>_xlfn.LET(
    _xlpm.MacVal, _xlfn.XLOOKUP($A341, Output_Mac!$A:$A, Output_Mac!AB:AB, ""),
    _xlpm.MyAuditVal, _xlfn.XLOOKUP($A341, My_Audit!$A:$A, My_Audit!N:N, ""),
    _xlfn.TEXTJOIN(", ", TRUE, _xlpm.MyAuditVal, _xlpm.MacVal)
)</f>
        <v/>
      </c>
    </row>
    <row r="342" spans="1:24">
      <c r="A342" s="40" t="str">
        <f>_xlfn.TEXTJOIN("",TRUE,Input!$B$2,ROW(My_Audit!A341))</f>
        <v>X341</v>
      </c>
      <c r="B342" s="40" t="str">
        <f>_xlfn.TEXTJOIN("-",TRUE,"ITD",Input!$A$2,A342)</f>
        <v>ITD-X341</v>
      </c>
      <c r="C342" s="40" t="str" cm="1">
        <f t="array" ref="C342">IFERROR(_xlfn.LET(
_xlpm.CSVVal,_xlfn.XLOOKUP($A342,CSV!$A:$A,CSV!B:B,""),
_xlpm.MacVal,_xlfn.XLOOKUP($A342,Output_Mac!$A:$A,Output_Mac!B:B,""),
_xlpm.MyAuditVal,_xlfn.XLOOKUP($A342,My_Audit!$A:$A,My_Audit!B:B,""),
_xlfn.IFS(_xlpm.MyAuditVal&lt;&gt;"",UPPER(_xlpm.MyAuditVal),_xlpm.MacVal&lt;&gt;"",_xlpm.MacVal,_xlpm.CSVVal&lt;&gt;"",_xlpm.CSVVal
)),"")</f>
        <v/>
      </c>
      <c r="D342" s="40" t="str" cm="1">
        <f t="array" ref="D342">IFERROR(_xlfn.LET(
_xlpm.CSVVal,_xlfn.XLOOKUP($A342,CSV!$A:$A,CSV!D:D,""),
_xlpm.MacVal,_xlfn.XLOOKUP($A342,Output_Mac!$A:$A,Output_Mac!C:C,""),
_xlpm.MyAuditVal,_xlfn.XLOOKUP($A342,My_Audit!$A:$A,My_Audit!C:C,""),
_xlfn.IFS(_xlpm.MyAuditVal&lt;&gt;"",_xlpm.MyAuditVal,_xlpm.MacVal&lt;&gt;"",_xlpm.MacVal,_xlpm.CSVVal&lt;&gt;"",_xlpm.CSVVal
)),"")</f>
        <v/>
      </c>
      <c r="E342" s="40">
        <f>_xlfn.XLOOKUP(A342,My_Audit!A:A,My_Audit!D:D,"")</f>
        <v>0</v>
      </c>
      <c r="F342" s="40" t="str" cm="1">
        <f t="array" ref="F342">IFERROR(_xlfn.LET(
_xlpm.CSVVal,_xlfn.XLOOKUP($A342,CSV!$A:$A,CSV!F:F,""),
_xlpm.MacVal,_xlfn.XLOOKUP($A342,Output_Mac!$A:$A,Output_Mac!E:E,""),
_xlpm.MyAuditVal,_xlfn.XLOOKUP($A342,My_Audit!$A:$A,My_Audit!E:E,""),
_xlfn.IFS(_xlpm.MyAuditVal&lt;&gt;"",_xlpm.MyAuditVal,_xlpm.MacVal&lt;&gt;"",_xlpm.MacVal,_xlpm.CSVVal&lt;&gt;"",_xlpm.CSVVal
)),"")</f>
        <v/>
      </c>
      <c r="G342" s="40" t="str" cm="1">
        <f t="array" ref="G342">IFERROR(_xlfn.LET(
_xlpm.CSVVal,_xlfn.XLOOKUP($A342,CSV!$A:$A,CSV!G:G,""),
_xlpm.MacVal,_xlfn.XLOOKUP($A342,Output_Mac!$A:$A,Output_Mac!F:F,""),
_xlpm.MyAuditVal,_xlfn.XLOOKUP($A342,My_Audit!$A:$A,My_Audit!F:F,""),
_xlfn.IFS(_xlpm.MyAuditVal&lt;&gt;"",_xlpm.MyAuditVal,_xlpm.MacVal&lt;&gt;"",_xlpm.MacVal,_xlpm.CSVVal&lt;&gt;"",PROPER(_xlpm.CSVVal)
)),"")</f>
        <v/>
      </c>
      <c r="H342" s="40" t="str" cm="1">
        <f t="array" ref="H342">IFERROR(_xlfn.LET(
_xlpm.CSVVal,_xlfn.XLOOKUP($A342,CSV!$A:$A,CSV!H:H,""),
_xlpm.MacVal,_xlfn.XLOOKUP($A342,Output_Mac!$A:$A,Output_Mac!H:H,""),
_xlpm.MyAuditVal,_xlfn.XLOOKUP($A342,My_Audit!$A:$A,My_Audit!G:G,""),
_xlfn.IFS(_xlpm.MyAuditVal&lt;&gt;"",_xlpm.MyAuditVal,_xlpm.MacVal&lt;&gt;"",_xlpm.MacVal,_xlpm.CSVVal&lt;&gt;"",_xlpm.CSVVal
)),"")</f>
        <v/>
      </c>
      <c r="I342" s="40" t="str">
        <f>_xlfn.XLOOKUP(A342,Output_Mac!A:A,Output_Mac!I:I,"")</f>
        <v/>
      </c>
      <c r="J342" s="40" t="str" cm="1">
        <f t="array" ref="J342">IFERROR(_xlfn.LET(
_xlpm.CSVVal,_xlfn.XLOOKUP($A342,CSV!$A:$A,CSV!I:I,""),
_xlpm.MacVal,_xlfn.XLOOKUP($A342,Output_Mac!$A:$A,Output_Mac!J:J,""),
_xlpm.MyAuditVal,_xlfn.XLOOKUP($A342,My_Audit!$A:$A,My_Audit!I:I,""),
_xlfn.IFS(_xlpm.MyAuditVal&lt;&gt;"",UPPER(_xlpm.MyAuditVal),_xlpm.MacVal&lt;&gt;"",_xlpm.MacVal,_xlpm.CSVVal&lt;&gt;"",_xlpm.CSVVal
)),"")</f>
        <v/>
      </c>
      <c r="K342" s="40" t="str" cm="1">
        <f t="array" ref="K342">IFERROR(_xlfn.LET(
_xlpm.CSVVal,_xlfn.XLOOKUP($A342,CSV!$A:$A,CSV!K:K,""),
_xlpm.MacVal,_xlfn.XLOOKUP($A342,Output_Mac!$A:$A,Output_Mac!K:K,""),
_xlpm.MyAuditVal,_xlfn.XLOOKUP($A342,My_Audit!$A:$A,My_Audit!J:J,""),
_xlfn.IFS(_xlpm.MyAuditVal&lt;&gt;"",UPPER(_xlpm.MyAuditVal),_xlpm.MacVal&lt;&gt;"",_xlpm.MacVal,_xlpm.CSVVal&lt;&gt;"",_xlpm.CSVVal
)),"")</f>
        <v/>
      </c>
      <c r="L342" s="40" t="str" cm="1">
        <f t="array" ref="L342">IFERROR(_xlfn.LET(
_xlpm.CSVVal,_xlfn.XLOOKUP($A342,CSV!$A:$A,CSV!P:P,""),
_xlpm.MacVal,_xlfn.XLOOKUP($A342,Output_Mac!$A:$A,Output_Mac!L:L,""),
_xlpm.MyAuditVal,_xlfn.XLOOKUP($A342,My_Audit!$A:$A,My_Audit!K:K,""),
_xlfn.IFS(_xlpm.MyAuditVal&lt;&gt;"",UPPER(_xlpm.MyAuditVal),_xlpm.MacVal&lt;&gt;"",_xlpm.MacVal,_xlpm.CSVVal&lt;&gt;"",_xlpm.CSVVal
)),"")</f>
        <v/>
      </c>
      <c r="M342" s="40" t="str" cm="1">
        <f t="array" ref="M342">IFERROR(_xlfn.LET(
_xlpm.CSVVal,_xlfn.XLOOKUP($A342,CSV!$A:$A,CSV!Q:Q,""),
_xlpm.MacVal,_xlfn.XLOOKUP($A342,Output_Mac!$A:$A,Output_Mac!M:M,""),
_xlpm.MyAuditVal,_xlfn.XLOOKUP($A342,My_Audit!$A:$A,My_Audit!L:L,""),
_xlfn.IFS(_xlpm.MyAuditVal&lt;&gt;"",UPPER(_xlpm.MyAuditVal),_xlpm.MacVal&lt;&gt;"",_xlpm.MacVal,_xlpm.CSVVal&lt;&gt;"",_xlpm.CSVVal
)),"")</f>
        <v/>
      </c>
      <c r="N342" s="40"/>
      <c r="O342" s="40" t="str">
        <f>_xlfn.LET(
    _xlpm.CSVVal, _xlfn.XLOOKUP($A342, CSV!$A:$A, CSV!AA:AA, ""),
    _xlpm.MacVal, _xlfn.XLOOKUP($A342, Output_Mac!$A:$A, Output_Mac!S:S, ""),
    _xlpm.MyAuditVal, _xlfn.XLOOKUP($A342, My_Audit!$A:$A, My_Audit!P:P, ""),
    _xlfn.TEXTJOIN(", ", TRUE, _xlpm.MyAuditVal, _xlpm.MacVal, _xlpm.CSVVal)
)</f>
        <v/>
      </c>
      <c r="P342" s="40" t="str" cm="1">
        <f t="array" ref="P342">IFERROR(_xlfn.LET(
_xlpm.CSVVal,_xlfn.XLOOKUP($A342,CSV!$A:$A,CSV!AB:AB,""),
_xlpm.MacVal,_xlfn.XLOOKUP($A342,Output_Mac!$A:$A,Output_Mac!T:T,""),
_xlpm.MyAuditVal,_xlfn.XLOOKUP($A342,My_Audit!$A:$A,My_Audit!Q:Q,""),
_xlfn.IFS(_xlpm.MyAuditVal&lt;&gt;"",UPPER(_xlpm.MyAuditVal),_xlpm.MacVal&lt;&gt;"",_xlpm.MacVal,_xlpm.CSVVal&lt;&gt;"",_xlpm.CSVVal
)),"No")</f>
        <v>No</v>
      </c>
      <c r="Q342" s="40" t="str" cm="1">
        <f t="array" ref="Q342">IFERROR(_xlfn.LET(
_xlpm.CSVVal,_xlfn.XLOOKUP($A342,CSV!$A:$A,CSV!AC:AC,""),
_xlpm.MacVal,_xlfn.XLOOKUP($A342,Output_Mac!$A:$A,Output_Mac!U:U,""),
_xlpm.MyAuditVal,_xlfn.XLOOKUP($A342,My_Audit!$A:$A,My_Audit!R:R,""),
_xlfn.IFS(_xlpm.MyAuditVal&lt;&gt;"",UPPER(_xlpm.MyAuditVal),_xlpm.MacVal&lt;&gt;"",_xlpm.MacVal,_xlpm.CSVVal&lt;&gt;"",_xlpm.CSVVal
)),"")</f>
        <v/>
      </c>
      <c r="R342" s="40"/>
      <c r="S342" s="40"/>
      <c r="T342" s="40"/>
      <c r="U342" s="40"/>
      <c r="V342" s="40"/>
      <c r="W342" s="40"/>
      <c r="X342" s="41" t="str">
        <f>_xlfn.LET(
    _xlpm.MacVal, _xlfn.XLOOKUP($A342, Output_Mac!$A:$A, Output_Mac!AB:AB, ""),
    _xlpm.MyAuditVal, _xlfn.XLOOKUP($A342, My_Audit!$A:$A, My_Audit!N:N, ""),
    _xlfn.TEXTJOIN(", ", TRUE, _xlpm.MyAuditVal, _xlpm.MacVal)
)</f>
        <v/>
      </c>
    </row>
    <row r="343" spans="1:24">
      <c r="A343" s="40" t="str">
        <f>_xlfn.TEXTJOIN("",TRUE,Input!$B$2,ROW(My_Audit!A342))</f>
        <v>X342</v>
      </c>
      <c r="B343" s="40" t="str">
        <f>_xlfn.TEXTJOIN("-",TRUE,"ITD",Input!$A$2,A343)</f>
        <v>ITD-X342</v>
      </c>
      <c r="C343" s="40" t="str" cm="1">
        <f t="array" ref="C343">IFERROR(_xlfn.LET(
_xlpm.CSVVal,_xlfn.XLOOKUP($A343,CSV!$A:$A,CSV!B:B,""),
_xlpm.MacVal,_xlfn.XLOOKUP($A343,Output_Mac!$A:$A,Output_Mac!B:B,""),
_xlpm.MyAuditVal,_xlfn.XLOOKUP($A343,My_Audit!$A:$A,My_Audit!B:B,""),
_xlfn.IFS(_xlpm.MyAuditVal&lt;&gt;"",UPPER(_xlpm.MyAuditVal),_xlpm.MacVal&lt;&gt;"",_xlpm.MacVal,_xlpm.CSVVal&lt;&gt;"",_xlpm.CSVVal
)),"")</f>
        <v/>
      </c>
      <c r="D343" s="40" t="str" cm="1">
        <f t="array" ref="D343">IFERROR(_xlfn.LET(
_xlpm.CSVVal,_xlfn.XLOOKUP($A343,CSV!$A:$A,CSV!D:D,""),
_xlpm.MacVal,_xlfn.XLOOKUP($A343,Output_Mac!$A:$A,Output_Mac!C:C,""),
_xlpm.MyAuditVal,_xlfn.XLOOKUP($A343,My_Audit!$A:$A,My_Audit!C:C,""),
_xlfn.IFS(_xlpm.MyAuditVal&lt;&gt;"",_xlpm.MyAuditVal,_xlpm.MacVal&lt;&gt;"",_xlpm.MacVal,_xlpm.CSVVal&lt;&gt;"",_xlpm.CSVVal
)),"")</f>
        <v/>
      </c>
      <c r="E343" s="40">
        <f>_xlfn.XLOOKUP(A343,My_Audit!A:A,My_Audit!D:D,"")</f>
        <v>0</v>
      </c>
      <c r="F343" s="40" t="str" cm="1">
        <f t="array" ref="F343">IFERROR(_xlfn.LET(
_xlpm.CSVVal,_xlfn.XLOOKUP($A343,CSV!$A:$A,CSV!F:F,""),
_xlpm.MacVal,_xlfn.XLOOKUP($A343,Output_Mac!$A:$A,Output_Mac!E:E,""),
_xlpm.MyAuditVal,_xlfn.XLOOKUP($A343,My_Audit!$A:$A,My_Audit!E:E,""),
_xlfn.IFS(_xlpm.MyAuditVal&lt;&gt;"",_xlpm.MyAuditVal,_xlpm.MacVal&lt;&gt;"",_xlpm.MacVal,_xlpm.CSVVal&lt;&gt;"",_xlpm.CSVVal
)),"")</f>
        <v/>
      </c>
      <c r="G343" s="40" t="str" cm="1">
        <f t="array" ref="G343">IFERROR(_xlfn.LET(
_xlpm.CSVVal,_xlfn.XLOOKUP($A343,CSV!$A:$A,CSV!G:G,""),
_xlpm.MacVal,_xlfn.XLOOKUP($A343,Output_Mac!$A:$A,Output_Mac!F:F,""),
_xlpm.MyAuditVal,_xlfn.XLOOKUP($A343,My_Audit!$A:$A,My_Audit!F:F,""),
_xlfn.IFS(_xlpm.MyAuditVal&lt;&gt;"",_xlpm.MyAuditVal,_xlpm.MacVal&lt;&gt;"",_xlpm.MacVal,_xlpm.CSVVal&lt;&gt;"",PROPER(_xlpm.CSVVal)
)),"")</f>
        <v/>
      </c>
      <c r="H343" s="40" t="str" cm="1">
        <f t="array" ref="H343">IFERROR(_xlfn.LET(
_xlpm.CSVVal,_xlfn.XLOOKUP($A343,CSV!$A:$A,CSV!H:H,""),
_xlpm.MacVal,_xlfn.XLOOKUP($A343,Output_Mac!$A:$A,Output_Mac!H:H,""),
_xlpm.MyAuditVal,_xlfn.XLOOKUP($A343,My_Audit!$A:$A,My_Audit!G:G,""),
_xlfn.IFS(_xlpm.MyAuditVal&lt;&gt;"",_xlpm.MyAuditVal,_xlpm.MacVal&lt;&gt;"",_xlpm.MacVal,_xlpm.CSVVal&lt;&gt;"",_xlpm.CSVVal
)),"")</f>
        <v/>
      </c>
      <c r="I343" s="40" t="str">
        <f>_xlfn.XLOOKUP(A343,Output_Mac!A:A,Output_Mac!I:I,"")</f>
        <v/>
      </c>
      <c r="J343" s="40" t="str" cm="1">
        <f t="array" ref="J343">IFERROR(_xlfn.LET(
_xlpm.CSVVal,_xlfn.XLOOKUP($A343,CSV!$A:$A,CSV!I:I,""),
_xlpm.MacVal,_xlfn.XLOOKUP($A343,Output_Mac!$A:$A,Output_Mac!J:J,""),
_xlpm.MyAuditVal,_xlfn.XLOOKUP($A343,My_Audit!$A:$A,My_Audit!I:I,""),
_xlfn.IFS(_xlpm.MyAuditVal&lt;&gt;"",UPPER(_xlpm.MyAuditVal),_xlpm.MacVal&lt;&gt;"",_xlpm.MacVal,_xlpm.CSVVal&lt;&gt;"",_xlpm.CSVVal
)),"")</f>
        <v/>
      </c>
      <c r="K343" s="40" t="str" cm="1">
        <f t="array" ref="K343">IFERROR(_xlfn.LET(
_xlpm.CSVVal,_xlfn.XLOOKUP($A343,CSV!$A:$A,CSV!K:K,""),
_xlpm.MacVal,_xlfn.XLOOKUP($A343,Output_Mac!$A:$A,Output_Mac!K:K,""),
_xlpm.MyAuditVal,_xlfn.XLOOKUP($A343,My_Audit!$A:$A,My_Audit!J:J,""),
_xlfn.IFS(_xlpm.MyAuditVal&lt;&gt;"",UPPER(_xlpm.MyAuditVal),_xlpm.MacVal&lt;&gt;"",_xlpm.MacVal,_xlpm.CSVVal&lt;&gt;"",_xlpm.CSVVal
)),"")</f>
        <v/>
      </c>
      <c r="L343" s="40" t="str" cm="1">
        <f t="array" ref="L343">IFERROR(_xlfn.LET(
_xlpm.CSVVal,_xlfn.XLOOKUP($A343,CSV!$A:$A,CSV!P:P,""),
_xlpm.MacVal,_xlfn.XLOOKUP($A343,Output_Mac!$A:$A,Output_Mac!L:L,""),
_xlpm.MyAuditVal,_xlfn.XLOOKUP($A343,My_Audit!$A:$A,My_Audit!K:K,""),
_xlfn.IFS(_xlpm.MyAuditVal&lt;&gt;"",UPPER(_xlpm.MyAuditVal),_xlpm.MacVal&lt;&gt;"",_xlpm.MacVal,_xlpm.CSVVal&lt;&gt;"",_xlpm.CSVVal
)),"")</f>
        <v/>
      </c>
      <c r="M343" s="40" t="str" cm="1">
        <f t="array" ref="M343">IFERROR(_xlfn.LET(
_xlpm.CSVVal,_xlfn.XLOOKUP($A343,CSV!$A:$A,CSV!Q:Q,""),
_xlpm.MacVal,_xlfn.XLOOKUP($A343,Output_Mac!$A:$A,Output_Mac!M:M,""),
_xlpm.MyAuditVal,_xlfn.XLOOKUP($A343,My_Audit!$A:$A,My_Audit!L:L,""),
_xlfn.IFS(_xlpm.MyAuditVal&lt;&gt;"",UPPER(_xlpm.MyAuditVal),_xlpm.MacVal&lt;&gt;"",_xlpm.MacVal,_xlpm.CSVVal&lt;&gt;"",_xlpm.CSVVal
)),"")</f>
        <v/>
      </c>
      <c r="N343" s="40"/>
      <c r="O343" s="40" t="str">
        <f>_xlfn.LET(
    _xlpm.CSVVal, _xlfn.XLOOKUP($A343, CSV!$A:$A, CSV!AA:AA, ""),
    _xlpm.MacVal, _xlfn.XLOOKUP($A343, Output_Mac!$A:$A, Output_Mac!S:S, ""),
    _xlpm.MyAuditVal, _xlfn.XLOOKUP($A343, My_Audit!$A:$A, My_Audit!P:P, ""),
    _xlfn.TEXTJOIN(", ", TRUE, _xlpm.MyAuditVal, _xlpm.MacVal, _xlpm.CSVVal)
)</f>
        <v/>
      </c>
      <c r="P343" s="40" t="str" cm="1">
        <f t="array" ref="P343">IFERROR(_xlfn.LET(
_xlpm.CSVVal,_xlfn.XLOOKUP($A343,CSV!$A:$A,CSV!AB:AB,""),
_xlpm.MacVal,_xlfn.XLOOKUP($A343,Output_Mac!$A:$A,Output_Mac!T:T,""),
_xlpm.MyAuditVal,_xlfn.XLOOKUP($A343,My_Audit!$A:$A,My_Audit!Q:Q,""),
_xlfn.IFS(_xlpm.MyAuditVal&lt;&gt;"",UPPER(_xlpm.MyAuditVal),_xlpm.MacVal&lt;&gt;"",_xlpm.MacVal,_xlpm.CSVVal&lt;&gt;"",_xlpm.CSVVal
)),"No")</f>
        <v>No</v>
      </c>
      <c r="Q343" s="40" t="str" cm="1">
        <f t="array" ref="Q343">IFERROR(_xlfn.LET(
_xlpm.CSVVal,_xlfn.XLOOKUP($A343,CSV!$A:$A,CSV!AC:AC,""),
_xlpm.MacVal,_xlfn.XLOOKUP($A343,Output_Mac!$A:$A,Output_Mac!U:U,""),
_xlpm.MyAuditVal,_xlfn.XLOOKUP($A343,My_Audit!$A:$A,My_Audit!R:R,""),
_xlfn.IFS(_xlpm.MyAuditVal&lt;&gt;"",UPPER(_xlpm.MyAuditVal),_xlpm.MacVal&lt;&gt;"",_xlpm.MacVal,_xlpm.CSVVal&lt;&gt;"",_xlpm.CSVVal
)),"")</f>
        <v/>
      </c>
      <c r="R343" s="40"/>
      <c r="S343" s="40"/>
      <c r="T343" s="40"/>
      <c r="U343" s="40"/>
      <c r="V343" s="40"/>
      <c r="W343" s="40"/>
      <c r="X343" s="41" t="str">
        <f>_xlfn.LET(
    _xlpm.MacVal, _xlfn.XLOOKUP($A343, Output_Mac!$A:$A, Output_Mac!AB:AB, ""),
    _xlpm.MyAuditVal, _xlfn.XLOOKUP($A343, My_Audit!$A:$A, My_Audit!N:N, ""),
    _xlfn.TEXTJOIN(", ", TRUE, _xlpm.MyAuditVal, _xlpm.MacVal)
)</f>
        <v/>
      </c>
    </row>
    <row r="344" spans="1:24">
      <c r="A344" s="40" t="str">
        <f>_xlfn.TEXTJOIN("",TRUE,Input!$B$2,ROW(My_Audit!A343))</f>
        <v>X343</v>
      </c>
      <c r="B344" s="40" t="str">
        <f>_xlfn.TEXTJOIN("-",TRUE,"ITD",Input!$A$2,A344)</f>
        <v>ITD-X343</v>
      </c>
      <c r="C344" s="40" t="str" cm="1">
        <f t="array" ref="C344">IFERROR(_xlfn.LET(
_xlpm.CSVVal,_xlfn.XLOOKUP($A344,CSV!$A:$A,CSV!B:B,""),
_xlpm.MacVal,_xlfn.XLOOKUP($A344,Output_Mac!$A:$A,Output_Mac!B:B,""),
_xlpm.MyAuditVal,_xlfn.XLOOKUP($A344,My_Audit!$A:$A,My_Audit!B:B,""),
_xlfn.IFS(_xlpm.MyAuditVal&lt;&gt;"",UPPER(_xlpm.MyAuditVal),_xlpm.MacVal&lt;&gt;"",_xlpm.MacVal,_xlpm.CSVVal&lt;&gt;"",_xlpm.CSVVal
)),"")</f>
        <v/>
      </c>
      <c r="D344" s="40" t="str" cm="1">
        <f t="array" ref="D344">IFERROR(_xlfn.LET(
_xlpm.CSVVal,_xlfn.XLOOKUP($A344,CSV!$A:$A,CSV!D:D,""),
_xlpm.MacVal,_xlfn.XLOOKUP($A344,Output_Mac!$A:$A,Output_Mac!C:C,""),
_xlpm.MyAuditVal,_xlfn.XLOOKUP($A344,My_Audit!$A:$A,My_Audit!C:C,""),
_xlfn.IFS(_xlpm.MyAuditVal&lt;&gt;"",_xlpm.MyAuditVal,_xlpm.MacVal&lt;&gt;"",_xlpm.MacVal,_xlpm.CSVVal&lt;&gt;"",_xlpm.CSVVal
)),"")</f>
        <v/>
      </c>
      <c r="E344" s="40">
        <f>_xlfn.XLOOKUP(A344,My_Audit!A:A,My_Audit!D:D,"")</f>
        <v>0</v>
      </c>
      <c r="F344" s="40" t="str" cm="1">
        <f t="array" ref="F344">IFERROR(_xlfn.LET(
_xlpm.CSVVal,_xlfn.XLOOKUP($A344,CSV!$A:$A,CSV!F:F,""),
_xlpm.MacVal,_xlfn.XLOOKUP($A344,Output_Mac!$A:$A,Output_Mac!E:E,""),
_xlpm.MyAuditVal,_xlfn.XLOOKUP($A344,My_Audit!$A:$A,My_Audit!E:E,""),
_xlfn.IFS(_xlpm.MyAuditVal&lt;&gt;"",_xlpm.MyAuditVal,_xlpm.MacVal&lt;&gt;"",_xlpm.MacVal,_xlpm.CSVVal&lt;&gt;"",_xlpm.CSVVal
)),"")</f>
        <v/>
      </c>
      <c r="G344" s="40" t="str" cm="1">
        <f t="array" ref="G344">IFERROR(_xlfn.LET(
_xlpm.CSVVal,_xlfn.XLOOKUP($A344,CSV!$A:$A,CSV!G:G,""),
_xlpm.MacVal,_xlfn.XLOOKUP($A344,Output_Mac!$A:$A,Output_Mac!F:F,""),
_xlpm.MyAuditVal,_xlfn.XLOOKUP($A344,My_Audit!$A:$A,My_Audit!F:F,""),
_xlfn.IFS(_xlpm.MyAuditVal&lt;&gt;"",_xlpm.MyAuditVal,_xlpm.MacVal&lt;&gt;"",_xlpm.MacVal,_xlpm.CSVVal&lt;&gt;"",PROPER(_xlpm.CSVVal)
)),"")</f>
        <v/>
      </c>
      <c r="H344" s="40" t="str" cm="1">
        <f t="array" ref="H344">IFERROR(_xlfn.LET(
_xlpm.CSVVal,_xlfn.XLOOKUP($A344,CSV!$A:$A,CSV!H:H,""),
_xlpm.MacVal,_xlfn.XLOOKUP($A344,Output_Mac!$A:$A,Output_Mac!H:H,""),
_xlpm.MyAuditVal,_xlfn.XLOOKUP($A344,My_Audit!$A:$A,My_Audit!G:G,""),
_xlfn.IFS(_xlpm.MyAuditVal&lt;&gt;"",_xlpm.MyAuditVal,_xlpm.MacVal&lt;&gt;"",_xlpm.MacVal,_xlpm.CSVVal&lt;&gt;"",_xlpm.CSVVal
)),"")</f>
        <v/>
      </c>
      <c r="I344" s="40" t="str">
        <f>_xlfn.XLOOKUP(A344,Output_Mac!A:A,Output_Mac!I:I,"")</f>
        <v/>
      </c>
      <c r="J344" s="40" t="str" cm="1">
        <f t="array" ref="J344">IFERROR(_xlfn.LET(
_xlpm.CSVVal,_xlfn.XLOOKUP($A344,CSV!$A:$A,CSV!I:I,""),
_xlpm.MacVal,_xlfn.XLOOKUP($A344,Output_Mac!$A:$A,Output_Mac!J:J,""),
_xlpm.MyAuditVal,_xlfn.XLOOKUP($A344,My_Audit!$A:$A,My_Audit!I:I,""),
_xlfn.IFS(_xlpm.MyAuditVal&lt;&gt;"",UPPER(_xlpm.MyAuditVal),_xlpm.MacVal&lt;&gt;"",_xlpm.MacVal,_xlpm.CSVVal&lt;&gt;"",_xlpm.CSVVal
)),"")</f>
        <v/>
      </c>
      <c r="K344" s="40" t="str" cm="1">
        <f t="array" ref="K344">IFERROR(_xlfn.LET(
_xlpm.CSVVal,_xlfn.XLOOKUP($A344,CSV!$A:$A,CSV!K:K,""),
_xlpm.MacVal,_xlfn.XLOOKUP($A344,Output_Mac!$A:$A,Output_Mac!K:K,""),
_xlpm.MyAuditVal,_xlfn.XLOOKUP($A344,My_Audit!$A:$A,My_Audit!J:J,""),
_xlfn.IFS(_xlpm.MyAuditVal&lt;&gt;"",UPPER(_xlpm.MyAuditVal),_xlpm.MacVal&lt;&gt;"",_xlpm.MacVal,_xlpm.CSVVal&lt;&gt;"",_xlpm.CSVVal
)),"")</f>
        <v/>
      </c>
      <c r="L344" s="40" t="str" cm="1">
        <f t="array" ref="L344">IFERROR(_xlfn.LET(
_xlpm.CSVVal,_xlfn.XLOOKUP($A344,CSV!$A:$A,CSV!P:P,""),
_xlpm.MacVal,_xlfn.XLOOKUP($A344,Output_Mac!$A:$A,Output_Mac!L:L,""),
_xlpm.MyAuditVal,_xlfn.XLOOKUP($A344,My_Audit!$A:$A,My_Audit!K:K,""),
_xlfn.IFS(_xlpm.MyAuditVal&lt;&gt;"",UPPER(_xlpm.MyAuditVal),_xlpm.MacVal&lt;&gt;"",_xlpm.MacVal,_xlpm.CSVVal&lt;&gt;"",_xlpm.CSVVal
)),"")</f>
        <v/>
      </c>
      <c r="M344" s="40" t="str" cm="1">
        <f t="array" ref="M344">IFERROR(_xlfn.LET(
_xlpm.CSVVal,_xlfn.XLOOKUP($A344,CSV!$A:$A,CSV!Q:Q,""),
_xlpm.MacVal,_xlfn.XLOOKUP($A344,Output_Mac!$A:$A,Output_Mac!M:M,""),
_xlpm.MyAuditVal,_xlfn.XLOOKUP($A344,My_Audit!$A:$A,My_Audit!L:L,""),
_xlfn.IFS(_xlpm.MyAuditVal&lt;&gt;"",UPPER(_xlpm.MyAuditVal),_xlpm.MacVal&lt;&gt;"",_xlpm.MacVal,_xlpm.CSVVal&lt;&gt;"",_xlpm.CSVVal
)),"")</f>
        <v/>
      </c>
      <c r="N344" s="40"/>
      <c r="O344" s="40" t="str">
        <f>_xlfn.LET(
    _xlpm.CSVVal, _xlfn.XLOOKUP($A344, CSV!$A:$A, CSV!AA:AA, ""),
    _xlpm.MacVal, _xlfn.XLOOKUP($A344, Output_Mac!$A:$A, Output_Mac!S:S, ""),
    _xlpm.MyAuditVal, _xlfn.XLOOKUP($A344, My_Audit!$A:$A, My_Audit!P:P, ""),
    _xlfn.TEXTJOIN(", ", TRUE, _xlpm.MyAuditVal, _xlpm.MacVal, _xlpm.CSVVal)
)</f>
        <v/>
      </c>
      <c r="P344" s="40" t="str" cm="1">
        <f t="array" ref="P344">IFERROR(_xlfn.LET(
_xlpm.CSVVal,_xlfn.XLOOKUP($A344,CSV!$A:$A,CSV!AB:AB,""),
_xlpm.MacVal,_xlfn.XLOOKUP($A344,Output_Mac!$A:$A,Output_Mac!T:T,""),
_xlpm.MyAuditVal,_xlfn.XLOOKUP($A344,My_Audit!$A:$A,My_Audit!Q:Q,""),
_xlfn.IFS(_xlpm.MyAuditVal&lt;&gt;"",UPPER(_xlpm.MyAuditVal),_xlpm.MacVal&lt;&gt;"",_xlpm.MacVal,_xlpm.CSVVal&lt;&gt;"",_xlpm.CSVVal
)),"No")</f>
        <v>No</v>
      </c>
      <c r="Q344" s="40" t="str" cm="1">
        <f t="array" ref="Q344">IFERROR(_xlfn.LET(
_xlpm.CSVVal,_xlfn.XLOOKUP($A344,CSV!$A:$A,CSV!AC:AC,""),
_xlpm.MacVal,_xlfn.XLOOKUP($A344,Output_Mac!$A:$A,Output_Mac!U:U,""),
_xlpm.MyAuditVal,_xlfn.XLOOKUP($A344,My_Audit!$A:$A,My_Audit!R:R,""),
_xlfn.IFS(_xlpm.MyAuditVal&lt;&gt;"",UPPER(_xlpm.MyAuditVal),_xlpm.MacVal&lt;&gt;"",_xlpm.MacVal,_xlpm.CSVVal&lt;&gt;"",_xlpm.CSVVal
)),"")</f>
        <v/>
      </c>
      <c r="R344" s="40"/>
      <c r="S344" s="40"/>
      <c r="T344" s="40"/>
      <c r="U344" s="40"/>
      <c r="V344" s="40"/>
      <c r="W344" s="40"/>
      <c r="X344" s="41" t="str">
        <f>_xlfn.LET(
    _xlpm.MacVal, _xlfn.XLOOKUP($A344, Output_Mac!$A:$A, Output_Mac!AB:AB, ""),
    _xlpm.MyAuditVal, _xlfn.XLOOKUP($A344, My_Audit!$A:$A, My_Audit!N:N, ""),
    _xlfn.TEXTJOIN(", ", TRUE, _xlpm.MyAuditVal, _xlpm.MacVal)
)</f>
        <v/>
      </c>
    </row>
    <row r="345" spans="1:24">
      <c r="A345" s="40" t="str">
        <f>_xlfn.TEXTJOIN("",TRUE,Input!$B$2,ROW(My_Audit!A344))</f>
        <v>X344</v>
      </c>
      <c r="B345" s="40" t="str">
        <f>_xlfn.TEXTJOIN("-",TRUE,"ITD",Input!$A$2,A345)</f>
        <v>ITD-X344</v>
      </c>
      <c r="C345" s="40" t="str" cm="1">
        <f t="array" ref="C345">IFERROR(_xlfn.LET(
_xlpm.CSVVal,_xlfn.XLOOKUP($A345,CSV!$A:$A,CSV!B:B,""),
_xlpm.MacVal,_xlfn.XLOOKUP($A345,Output_Mac!$A:$A,Output_Mac!B:B,""),
_xlpm.MyAuditVal,_xlfn.XLOOKUP($A345,My_Audit!$A:$A,My_Audit!B:B,""),
_xlfn.IFS(_xlpm.MyAuditVal&lt;&gt;"",UPPER(_xlpm.MyAuditVal),_xlpm.MacVal&lt;&gt;"",_xlpm.MacVal,_xlpm.CSVVal&lt;&gt;"",_xlpm.CSVVal
)),"")</f>
        <v/>
      </c>
      <c r="D345" s="40" t="str" cm="1">
        <f t="array" ref="D345">IFERROR(_xlfn.LET(
_xlpm.CSVVal,_xlfn.XLOOKUP($A345,CSV!$A:$A,CSV!D:D,""),
_xlpm.MacVal,_xlfn.XLOOKUP($A345,Output_Mac!$A:$A,Output_Mac!C:C,""),
_xlpm.MyAuditVal,_xlfn.XLOOKUP($A345,My_Audit!$A:$A,My_Audit!C:C,""),
_xlfn.IFS(_xlpm.MyAuditVal&lt;&gt;"",_xlpm.MyAuditVal,_xlpm.MacVal&lt;&gt;"",_xlpm.MacVal,_xlpm.CSVVal&lt;&gt;"",_xlpm.CSVVal
)),"")</f>
        <v/>
      </c>
      <c r="E345" s="40">
        <f>_xlfn.XLOOKUP(A345,My_Audit!A:A,My_Audit!D:D,"")</f>
        <v>0</v>
      </c>
      <c r="F345" s="40" t="str" cm="1">
        <f t="array" ref="F345">IFERROR(_xlfn.LET(
_xlpm.CSVVal,_xlfn.XLOOKUP($A345,CSV!$A:$A,CSV!F:F,""),
_xlpm.MacVal,_xlfn.XLOOKUP($A345,Output_Mac!$A:$A,Output_Mac!E:E,""),
_xlpm.MyAuditVal,_xlfn.XLOOKUP($A345,My_Audit!$A:$A,My_Audit!E:E,""),
_xlfn.IFS(_xlpm.MyAuditVal&lt;&gt;"",_xlpm.MyAuditVal,_xlpm.MacVal&lt;&gt;"",_xlpm.MacVal,_xlpm.CSVVal&lt;&gt;"",_xlpm.CSVVal
)),"")</f>
        <v/>
      </c>
      <c r="G345" s="40" t="str" cm="1">
        <f t="array" ref="G345">IFERROR(_xlfn.LET(
_xlpm.CSVVal,_xlfn.XLOOKUP($A345,CSV!$A:$A,CSV!G:G,""),
_xlpm.MacVal,_xlfn.XLOOKUP($A345,Output_Mac!$A:$A,Output_Mac!F:F,""),
_xlpm.MyAuditVal,_xlfn.XLOOKUP($A345,My_Audit!$A:$A,My_Audit!F:F,""),
_xlfn.IFS(_xlpm.MyAuditVal&lt;&gt;"",_xlpm.MyAuditVal,_xlpm.MacVal&lt;&gt;"",_xlpm.MacVal,_xlpm.CSVVal&lt;&gt;"",PROPER(_xlpm.CSVVal)
)),"")</f>
        <v/>
      </c>
      <c r="H345" s="40" t="str" cm="1">
        <f t="array" ref="H345">IFERROR(_xlfn.LET(
_xlpm.CSVVal,_xlfn.XLOOKUP($A345,CSV!$A:$A,CSV!H:H,""),
_xlpm.MacVal,_xlfn.XLOOKUP($A345,Output_Mac!$A:$A,Output_Mac!H:H,""),
_xlpm.MyAuditVal,_xlfn.XLOOKUP($A345,My_Audit!$A:$A,My_Audit!G:G,""),
_xlfn.IFS(_xlpm.MyAuditVal&lt;&gt;"",_xlpm.MyAuditVal,_xlpm.MacVal&lt;&gt;"",_xlpm.MacVal,_xlpm.CSVVal&lt;&gt;"",_xlpm.CSVVal
)),"")</f>
        <v/>
      </c>
      <c r="I345" s="40" t="str">
        <f>_xlfn.XLOOKUP(A345,Output_Mac!A:A,Output_Mac!I:I,"")</f>
        <v/>
      </c>
      <c r="J345" s="40" t="str" cm="1">
        <f t="array" ref="J345">IFERROR(_xlfn.LET(
_xlpm.CSVVal,_xlfn.XLOOKUP($A345,CSV!$A:$A,CSV!I:I,""),
_xlpm.MacVal,_xlfn.XLOOKUP($A345,Output_Mac!$A:$A,Output_Mac!J:J,""),
_xlpm.MyAuditVal,_xlfn.XLOOKUP($A345,My_Audit!$A:$A,My_Audit!I:I,""),
_xlfn.IFS(_xlpm.MyAuditVal&lt;&gt;"",UPPER(_xlpm.MyAuditVal),_xlpm.MacVal&lt;&gt;"",_xlpm.MacVal,_xlpm.CSVVal&lt;&gt;"",_xlpm.CSVVal
)),"")</f>
        <v/>
      </c>
      <c r="K345" s="40" t="str" cm="1">
        <f t="array" ref="K345">IFERROR(_xlfn.LET(
_xlpm.CSVVal,_xlfn.XLOOKUP($A345,CSV!$A:$A,CSV!K:K,""),
_xlpm.MacVal,_xlfn.XLOOKUP($A345,Output_Mac!$A:$A,Output_Mac!K:K,""),
_xlpm.MyAuditVal,_xlfn.XLOOKUP($A345,My_Audit!$A:$A,My_Audit!J:J,""),
_xlfn.IFS(_xlpm.MyAuditVal&lt;&gt;"",UPPER(_xlpm.MyAuditVal),_xlpm.MacVal&lt;&gt;"",_xlpm.MacVal,_xlpm.CSVVal&lt;&gt;"",_xlpm.CSVVal
)),"")</f>
        <v/>
      </c>
      <c r="L345" s="40" t="str" cm="1">
        <f t="array" ref="L345">IFERROR(_xlfn.LET(
_xlpm.CSVVal,_xlfn.XLOOKUP($A345,CSV!$A:$A,CSV!P:P,""),
_xlpm.MacVal,_xlfn.XLOOKUP($A345,Output_Mac!$A:$A,Output_Mac!L:L,""),
_xlpm.MyAuditVal,_xlfn.XLOOKUP($A345,My_Audit!$A:$A,My_Audit!K:K,""),
_xlfn.IFS(_xlpm.MyAuditVal&lt;&gt;"",UPPER(_xlpm.MyAuditVal),_xlpm.MacVal&lt;&gt;"",_xlpm.MacVal,_xlpm.CSVVal&lt;&gt;"",_xlpm.CSVVal
)),"")</f>
        <v/>
      </c>
      <c r="M345" s="40" t="str" cm="1">
        <f t="array" ref="M345">IFERROR(_xlfn.LET(
_xlpm.CSVVal,_xlfn.XLOOKUP($A345,CSV!$A:$A,CSV!Q:Q,""),
_xlpm.MacVal,_xlfn.XLOOKUP($A345,Output_Mac!$A:$A,Output_Mac!M:M,""),
_xlpm.MyAuditVal,_xlfn.XLOOKUP($A345,My_Audit!$A:$A,My_Audit!L:L,""),
_xlfn.IFS(_xlpm.MyAuditVal&lt;&gt;"",UPPER(_xlpm.MyAuditVal),_xlpm.MacVal&lt;&gt;"",_xlpm.MacVal,_xlpm.CSVVal&lt;&gt;"",_xlpm.CSVVal
)),"")</f>
        <v/>
      </c>
      <c r="N345" s="40"/>
      <c r="O345" s="40" t="str">
        <f>_xlfn.LET(
    _xlpm.CSVVal, _xlfn.XLOOKUP($A345, CSV!$A:$A, CSV!AA:AA, ""),
    _xlpm.MacVal, _xlfn.XLOOKUP($A345, Output_Mac!$A:$A, Output_Mac!S:S, ""),
    _xlpm.MyAuditVal, _xlfn.XLOOKUP($A345, My_Audit!$A:$A, My_Audit!P:P, ""),
    _xlfn.TEXTJOIN(", ", TRUE, _xlpm.MyAuditVal, _xlpm.MacVal, _xlpm.CSVVal)
)</f>
        <v/>
      </c>
      <c r="P345" s="40" t="str" cm="1">
        <f t="array" ref="P345">IFERROR(_xlfn.LET(
_xlpm.CSVVal,_xlfn.XLOOKUP($A345,CSV!$A:$A,CSV!AB:AB,""),
_xlpm.MacVal,_xlfn.XLOOKUP($A345,Output_Mac!$A:$A,Output_Mac!T:T,""),
_xlpm.MyAuditVal,_xlfn.XLOOKUP($A345,My_Audit!$A:$A,My_Audit!Q:Q,""),
_xlfn.IFS(_xlpm.MyAuditVal&lt;&gt;"",UPPER(_xlpm.MyAuditVal),_xlpm.MacVal&lt;&gt;"",_xlpm.MacVal,_xlpm.CSVVal&lt;&gt;"",_xlpm.CSVVal
)),"No")</f>
        <v>No</v>
      </c>
      <c r="Q345" s="40" t="str" cm="1">
        <f t="array" ref="Q345">IFERROR(_xlfn.LET(
_xlpm.CSVVal,_xlfn.XLOOKUP($A345,CSV!$A:$A,CSV!AC:AC,""),
_xlpm.MacVal,_xlfn.XLOOKUP($A345,Output_Mac!$A:$A,Output_Mac!U:U,""),
_xlpm.MyAuditVal,_xlfn.XLOOKUP($A345,My_Audit!$A:$A,My_Audit!R:R,""),
_xlfn.IFS(_xlpm.MyAuditVal&lt;&gt;"",UPPER(_xlpm.MyAuditVal),_xlpm.MacVal&lt;&gt;"",_xlpm.MacVal,_xlpm.CSVVal&lt;&gt;"",_xlpm.CSVVal
)),"")</f>
        <v/>
      </c>
      <c r="R345" s="40"/>
      <c r="S345" s="40"/>
      <c r="T345" s="40"/>
      <c r="U345" s="40"/>
      <c r="V345" s="40"/>
      <c r="W345" s="40"/>
      <c r="X345" s="41" t="str">
        <f>_xlfn.LET(
    _xlpm.MacVal, _xlfn.XLOOKUP($A345, Output_Mac!$A:$A, Output_Mac!AB:AB, ""),
    _xlpm.MyAuditVal, _xlfn.XLOOKUP($A345, My_Audit!$A:$A, My_Audit!N:N, ""),
    _xlfn.TEXTJOIN(", ", TRUE, _xlpm.MyAuditVal, _xlpm.MacVal)
)</f>
        <v/>
      </c>
    </row>
    <row r="346" spans="1:24">
      <c r="A346" s="40" t="str">
        <f>_xlfn.TEXTJOIN("",TRUE,Input!$B$2,ROW(My_Audit!A345))</f>
        <v>X345</v>
      </c>
      <c r="B346" s="40" t="str">
        <f>_xlfn.TEXTJOIN("-",TRUE,"ITD",Input!$A$2,A346)</f>
        <v>ITD-X345</v>
      </c>
      <c r="C346" s="40" t="str" cm="1">
        <f t="array" ref="C346">IFERROR(_xlfn.LET(
_xlpm.CSVVal,_xlfn.XLOOKUP($A346,CSV!$A:$A,CSV!B:B,""),
_xlpm.MacVal,_xlfn.XLOOKUP($A346,Output_Mac!$A:$A,Output_Mac!B:B,""),
_xlpm.MyAuditVal,_xlfn.XLOOKUP($A346,My_Audit!$A:$A,My_Audit!B:B,""),
_xlfn.IFS(_xlpm.MyAuditVal&lt;&gt;"",UPPER(_xlpm.MyAuditVal),_xlpm.MacVal&lt;&gt;"",_xlpm.MacVal,_xlpm.CSVVal&lt;&gt;"",_xlpm.CSVVal
)),"")</f>
        <v/>
      </c>
      <c r="D346" s="40" t="str" cm="1">
        <f t="array" ref="D346">IFERROR(_xlfn.LET(
_xlpm.CSVVal,_xlfn.XLOOKUP($A346,CSV!$A:$A,CSV!D:D,""),
_xlpm.MacVal,_xlfn.XLOOKUP($A346,Output_Mac!$A:$A,Output_Mac!C:C,""),
_xlpm.MyAuditVal,_xlfn.XLOOKUP($A346,My_Audit!$A:$A,My_Audit!C:C,""),
_xlfn.IFS(_xlpm.MyAuditVal&lt;&gt;"",_xlpm.MyAuditVal,_xlpm.MacVal&lt;&gt;"",_xlpm.MacVal,_xlpm.CSVVal&lt;&gt;"",_xlpm.CSVVal
)),"")</f>
        <v/>
      </c>
      <c r="E346" s="40">
        <f>_xlfn.XLOOKUP(A346,My_Audit!A:A,My_Audit!D:D,"")</f>
        <v>0</v>
      </c>
      <c r="F346" s="40" t="str" cm="1">
        <f t="array" ref="F346">IFERROR(_xlfn.LET(
_xlpm.CSVVal,_xlfn.XLOOKUP($A346,CSV!$A:$A,CSV!F:F,""),
_xlpm.MacVal,_xlfn.XLOOKUP($A346,Output_Mac!$A:$A,Output_Mac!E:E,""),
_xlpm.MyAuditVal,_xlfn.XLOOKUP($A346,My_Audit!$A:$A,My_Audit!E:E,""),
_xlfn.IFS(_xlpm.MyAuditVal&lt;&gt;"",_xlpm.MyAuditVal,_xlpm.MacVal&lt;&gt;"",_xlpm.MacVal,_xlpm.CSVVal&lt;&gt;"",_xlpm.CSVVal
)),"")</f>
        <v/>
      </c>
      <c r="G346" s="40" t="str" cm="1">
        <f t="array" ref="G346">IFERROR(_xlfn.LET(
_xlpm.CSVVal,_xlfn.XLOOKUP($A346,CSV!$A:$A,CSV!G:G,""),
_xlpm.MacVal,_xlfn.XLOOKUP($A346,Output_Mac!$A:$A,Output_Mac!F:F,""),
_xlpm.MyAuditVal,_xlfn.XLOOKUP($A346,My_Audit!$A:$A,My_Audit!F:F,""),
_xlfn.IFS(_xlpm.MyAuditVal&lt;&gt;"",_xlpm.MyAuditVal,_xlpm.MacVal&lt;&gt;"",_xlpm.MacVal,_xlpm.CSVVal&lt;&gt;"",PROPER(_xlpm.CSVVal)
)),"")</f>
        <v/>
      </c>
      <c r="H346" s="40" t="str" cm="1">
        <f t="array" ref="H346">IFERROR(_xlfn.LET(
_xlpm.CSVVal,_xlfn.XLOOKUP($A346,CSV!$A:$A,CSV!H:H,""),
_xlpm.MacVal,_xlfn.XLOOKUP($A346,Output_Mac!$A:$A,Output_Mac!H:H,""),
_xlpm.MyAuditVal,_xlfn.XLOOKUP($A346,My_Audit!$A:$A,My_Audit!G:G,""),
_xlfn.IFS(_xlpm.MyAuditVal&lt;&gt;"",_xlpm.MyAuditVal,_xlpm.MacVal&lt;&gt;"",_xlpm.MacVal,_xlpm.CSVVal&lt;&gt;"",_xlpm.CSVVal
)),"")</f>
        <v/>
      </c>
      <c r="I346" s="40" t="str">
        <f>_xlfn.XLOOKUP(A346,Output_Mac!A:A,Output_Mac!I:I,"")</f>
        <v/>
      </c>
      <c r="J346" s="40" t="str" cm="1">
        <f t="array" ref="J346">IFERROR(_xlfn.LET(
_xlpm.CSVVal,_xlfn.XLOOKUP($A346,CSV!$A:$A,CSV!I:I,""),
_xlpm.MacVal,_xlfn.XLOOKUP($A346,Output_Mac!$A:$A,Output_Mac!J:J,""),
_xlpm.MyAuditVal,_xlfn.XLOOKUP($A346,My_Audit!$A:$A,My_Audit!I:I,""),
_xlfn.IFS(_xlpm.MyAuditVal&lt;&gt;"",UPPER(_xlpm.MyAuditVal),_xlpm.MacVal&lt;&gt;"",_xlpm.MacVal,_xlpm.CSVVal&lt;&gt;"",_xlpm.CSVVal
)),"")</f>
        <v/>
      </c>
      <c r="K346" s="40" t="str" cm="1">
        <f t="array" ref="K346">IFERROR(_xlfn.LET(
_xlpm.CSVVal,_xlfn.XLOOKUP($A346,CSV!$A:$A,CSV!K:K,""),
_xlpm.MacVal,_xlfn.XLOOKUP($A346,Output_Mac!$A:$A,Output_Mac!K:K,""),
_xlpm.MyAuditVal,_xlfn.XLOOKUP($A346,My_Audit!$A:$A,My_Audit!J:J,""),
_xlfn.IFS(_xlpm.MyAuditVal&lt;&gt;"",UPPER(_xlpm.MyAuditVal),_xlpm.MacVal&lt;&gt;"",_xlpm.MacVal,_xlpm.CSVVal&lt;&gt;"",_xlpm.CSVVal
)),"")</f>
        <v/>
      </c>
      <c r="L346" s="40" t="str" cm="1">
        <f t="array" ref="L346">IFERROR(_xlfn.LET(
_xlpm.CSVVal,_xlfn.XLOOKUP($A346,CSV!$A:$A,CSV!P:P,""),
_xlpm.MacVal,_xlfn.XLOOKUP($A346,Output_Mac!$A:$A,Output_Mac!L:L,""),
_xlpm.MyAuditVal,_xlfn.XLOOKUP($A346,My_Audit!$A:$A,My_Audit!K:K,""),
_xlfn.IFS(_xlpm.MyAuditVal&lt;&gt;"",UPPER(_xlpm.MyAuditVal),_xlpm.MacVal&lt;&gt;"",_xlpm.MacVal,_xlpm.CSVVal&lt;&gt;"",_xlpm.CSVVal
)),"")</f>
        <v/>
      </c>
      <c r="M346" s="40" t="str" cm="1">
        <f t="array" ref="M346">IFERROR(_xlfn.LET(
_xlpm.CSVVal,_xlfn.XLOOKUP($A346,CSV!$A:$A,CSV!Q:Q,""),
_xlpm.MacVal,_xlfn.XLOOKUP($A346,Output_Mac!$A:$A,Output_Mac!M:M,""),
_xlpm.MyAuditVal,_xlfn.XLOOKUP($A346,My_Audit!$A:$A,My_Audit!L:L,""),
_xlfn.IFS(_xlpm.MyAuditVal&lt;&gt;"",UPPER(_xlpm.MyAuditVal),_xlpm.MacVal&lt;&gt;"",_xlpm.MacVal,_xlpm.CSVVal&lt;&gt;"",_xlpm.CSVVal
)),"")</f>
        <v/>
      </c>
      <c r="N346" s="40"/>
      <c r="O346" s="40" t="str">
        <f>_xlfn.LET(
    _xlpm.CSVVal, _xlfn.XLOOKUP($A346, CSV!$A:$A, CSV!AA:AA, ""),
    _xlpm.MacVal, _xlfn.XLOOKUP($A346, Output_Mac!$A:$A, Output_Mac!S:S, ""),
    _xlpm.MyAuditVal, _xlfn.XLOOKUP($A346, My_Audit!$A:$A, My_Audit!P:P, ""),
    _xlfn.TEXTJOIN(", ", TRUE, _xlpm.MyAuditVal, _xlpm.MacVal, _xlpm.CSVVal)
)</f>
        <v/>
      </c>
      <c r="P346" s="40" t="str" cm="1">
        <f t="array" ref="P346">IFERROR(_xlfn.LET(
_xlpm.CSVVal,_xlfn.XLOOKUP($A346,CSV!$A:$A,CSV!AB:AB,""),
_xlpm.MacVal,_xlfn.XLOOKUP($A346,Output_Mac!$A:$A,Output_Mac!T:T,""),
_xlpm.MyAuditVal,_xlfn.XLOOKUP($A346,My_Audit!$A:$A,My_Audit!Q:Q,""),
_xlfn.IFS(_xlpm.MyAuditVal&lt;&gt;"",UPPER(_xlpm.MyAuditVal),_xlpm.MacVal&lt;&gt;"",_xlpm.MacVal,_xlpm.CSVVal&lt;&gt;"",_xlpm.CSVVal
)),"No")</f>
        <v>No</v>
      </c>
      <c r="Q346" s="40" t="str" cm="1">
        <f t="array" ref="Q346">IFERROR(_xlfn.LET(
_xlpm.CSVVal,_xlfn.XLOOKUP($A346,CSV!$A:$A,CSV!AC:AC,""),
_xlpm.MacVal,_xlfn.XLOOKUP($A346,Output_Mac!$A:$A,Output_Mac!U:U,""),
_xlpm.MyAuditVal,_xlfn.XLOOKUP($A346,My_Audit!$A:$A,My_Audit!R:R,""),
_xlfn.IFS(_xlpm.MyAuditVal&lt;&gt;"",UPPER(_xlpm.MyAuditVal),_xlpm.MacVal&lt;&gt;"",_xlpm.MacVal,_xlpm.CSVVal&lt;&gt;"",_xlpm.CSVVal
)),"")</f>
        <v/>
      </c>
      <c r="R346" s="40"/>
      <c r="S346" s="40"/>
      <c r="T346" s="40"/>
      <c r="U346" s="40"/>
      <c r="V346" s="40"/>
      <c r="W346" s="40"/>
      <c r="X346" s="41" t="str">
        <f>_xlfn.LET(
    _xlpm.MacVal, _xlfn.XLOOKUP($A346, Output_Mac!$A:$A, Output_Mac!AB:AB, ""),
    _xlpm.MyAuditVal, _xlfn.XLOOKUP($A346, My_Audit!$A:$A, My_Audit!N:N, ""),
    _xlfn.TEXTJOIN(", ", TRUE, _xlpm.MyAuditVal, _xlpm.MacVal)
)</f>
        <v/>
      </c>
    </row>
    <row r="347" spans="1:24">
      <c r="A347" s="40" t="str">
        <f>_xlfn.TEXTJOIN("",TRUE,Input!$B$2,ROW(My_Audit!A346))</f>
        <v>X346</v>
      </c>
      <c r="B347" s="40" t="str">
        <f>_xlfn.TEXTJOIN("-",TRUE,"ITD",Input!$A$2,A347)</f>
        <v>ITD-X346</v>
      </c>
      <c r="C347" s="40" t="str" cm="1">
        <f t="array" ref="C347">IFERROR(_xlfn.LET(
_xlpm.CSVVal,_xlfn.XLOOKUP($A347,CSV!$A:$A,CSV!B:B,""),
_xlpm.MacVal,_xlfn.XLOOKUP($A347,Output_Mac!$A:$A,Output_Mac!B:B,""),
_xlpm.MyAuditVal,_xlfn.XLOOKUP($A347,My_Audit!$A:$A,My_Audit!B:B,""),
_xlfn.IFS(_xlpm.MyAuditVal&lt;&gt;"",UPPER(_xlpm.MyAuditVal),_xlpm.MacVal&lt;&gt;"",_xlpm.MacVal,_xlpm.CSVVal&lt;&gt;"",_xlpm.CSVVal
)),"")</f>
        <v/>
      </c>
      <c r="D347" s="40" t="str" cm="1">
        <f t="array" ref="D347">IFERROR(_xlfn.LET(
_xlpm.CSVVal,_xlfn.XLOOKUP($A347,CSV!$A:$A,CSV!D:D,""),
_xlpm.MacVal,_xlfn.XLOOKUP($A347,Output_Mac!$A:$A,Output_Mac!C:C,""),
_xlpm.MyAuditVal,_xlfn.XLOOKUP($A347,My_Audit!$A:$A,My_Audit!C:C,""),
_xlfn.IFS(_xlpm.MyAuditVal&lt;&gt;"",_xlpm.MyAuditVal,_xlpm.MacVal&lt;&gt;"",_xlpm.MacVal,_xlpm.CSVVal&lt;&gt;"",_xlpm.CSVVal
)),"")</f>
        <v/>
      </c>
      <c r="E347" s="40">
        <f>_xlfn.XLOOKUP(A347,My_Audit!A:A,My_Audit!D:D,"")</f>
        <v>0</v>
      </c>
      <c r="F347" s="40" t="str" cm="1">
        <f t="array" ref="F347">IFERROR(_xlfn.LET(
_xlpm.CSVVal,_xlfn.XLOOKUP($A347,CSV!$A:$A,CSV!F:F,""),
_xlpm.MacVal,_xlfn.XLOOKUP($A347,Output_Mac!$A:$A,Output_Mac!E:E,""),
_xlpm.MyAuditVal,_xlfn.XLOOKUP($A347,My_Audit!$A:$A,My_Audit!E:E,""),
_xlfn.IFS(_xlpm.MyAuditVal&lt;&gt;"",_xlpm.MyAuditVal,_xlpm.MacVal&lt;&gt;"",_xlpm.MacVal,_xlpm.CSVVal&lt;&gt;"",_xlpm.CSVVal
)),"")</f>
        <v/>
      </c>
      <c r="G347" s="40" t="str" cm="1">
        <f t="array" ref="G347">IFERROR(_xlfn.LET(
_xlpm.CSVVal,_xlfn.XLOOKUP($A347,CSV!$A:$A,CSV!G:G,""),
_xlpm.MacVal,_xlfn.XLOOKUP($A347,Output_Mac!$A:$A,Output_Mac!F:F,""),
_xlpm.MyAuditVal,_xlfn.XLOOKUP($A347,My_Audit!$A:$A,My_Audit!F:F,""),
_xlfn.IFS(_xlpm.MyAuditVal&lt;&gt;"",_xlpm.MyAuditVal,_xlpm.MacVal&lt;&gt;"",_xlpm.MacVal,_xlpm.CSVVal&lt;&gt;"",PROPER(_xlpm.CSVVal)
)),"")</f>
        <v/>
      </c>
      <c r="H347" s="40" t="str" cm="1">
        <f t="array" ref="H347">IFERROR(_xlfn.LET(
_xlpm.CSVVal,_xlfn.XLOOKUP($A347,CSV!$A:$A,CSV!H:H,""),
_xlpm.MacVal,_xlfn.XLOOKUP($A347,Output_Mac!$A:$A,Output_Mac!H:H,""),
_xlpm.MyAuditVal,_xlfn.XLOOKUP($A347,My_Audit!$A:$A,My_Audit!G:G,""),
_xlfn.IFS(_xlpm.MyAuditVal&lt;&gt;"",_xlpm.MyAuditVal,_xlpm.MacVal&lt;&gt;"",_xlpm.MacVal,_xlpm.CSVVal&lt;&gt;"",_xlpm.CSVVal
)),"")</f>
        <v/>
      </c>
      <c r="I347" s="40" t="str">
        <f>_xlfn.XLOOKUP(A347,Output_Mac!A:A,Output_Mac!I:I,"")</f>
        <v/>
      </c>
      <c r="J347" s="40" t="str" cm="1">
        <f t="array" ref="J347">IFERROR(_xlfn.LET(
_xlpm.CSVVal,_xlfn.XLOOKUP($A347,CSV!$A:$A,CSV!I:I,""),
_xlpm.MacVal,_xlfn.XLOOKUP($A347,Output_Mac!$A:$A,Output_Mac!J:J,""),
_xlpm.MyAuditVal,_xlfn.XLOOKUP($A347,My_Audit!$A:$A,My_Audit!I:I,""),
_xlfn.IFS(_xlpm.MyAuditVal&lt;&gt;"",UPPER(_xlpm.MyAuditVal),_xlpm.MacVal&lt;&gt;"",_xlpm.MacVal,_xlpm.CSVVal&lt;&gt;"",_xlpm.CSVVal
)),"")</f>
        <v/>
      </c>
      <c r="K347" s="40" t="str" cm="1">
        <f t="array" ref="K347">IFERROR(_xlfn.LET(
_xlpm.CSVVal,_xlfn.XLOOKUP($A347,CSV!$A:$A,CSV!K:K,""),
_xlpm.MacVal,_xlfn.XLOOKUP($A347,Output_Mac!$A:$A,Output_Mac!K:K,""),
_xlpm.MyAuditVal,_xlfn.XLOOKUP($A347,My_Audit!$A:$A,My_Audit!J:J,""),
_xlfn.IFS(_xlpm.MyAuditVal&lt;&gt;"",UPPER(_xlpm.MyAuditVal),_xlpm.MacVal&lt;&gt;"",_xlpm.MacVal,_xlpm.CSVVal&lt;&gt;"",_xlpm.CSVVal
)),"")</f>
        <v/>
      </c>
      <c r="L347" s="40" t="str" cm="1">
        <f t="array" ref="L347">IFERROR(_xlfn.LET(
_xlpm.CSVVal,_xlfn.XLOOKUP($A347,CSV!$A:$A,CSV!P:P,""),
_xlpm.MacVal,_xlfn.XLOOKUP($A347,Output_Mac!$A:$A,Output_Mac!L:L,""),
_xlpm.MyAuditVal,_xlfn.XLOOKUP($A347,My_Audit!$A:$A,My_Audit!K:K,""),
_xlfn.IFS(_xlpm.MyAuditVal&lt;&gt;"",UPPER(_xlpm.MyAuditVal),_xlpm.MacVal&lt;&gt;"",_xlpm.MacVal,_xlpm.CSVVal&lt;&gt;"",_xlpm.CSVVal
)),"")</f>
        <v/>
      </c>
      <c r="M347" s="40" t="str" cm="1">
        <f t="array" ref="M347">IFERROR(_xlfn.LET(
_xlpm.CSVVal,_xlfn.XLOOKUP($A347,CSV!$A:$A,CSV!Q:Q,""),
_xlpm.MacVal,_xlfn.XLOOKUP($A347,Output_Mac!$A:$A,Output_Mac!M:M,""),
_xlpm.MyAuditVal,_xlfn.XLOOKUP($A347,My_Audit!$A:$A,My_Audit!L:L,""),
_xlfn.IFS(_xlpm.MyAuditVal&lt;&gt;"",UPPER(_xlpm.MyAuditVal),_xlpm.MacVal&lt;&gt;"",_xlpm.MacVal,_xlpm.CSVVal&lt;&gt;"",_xlpm.CSVVal
)),"")</f>
        <v/>
      </c>
      <c r="N347" s="40"/>
      <c r="O347" s="40" t="str">
        <f>_xlfn.LET(
    _xlpm.CSVVal, _xlfn.XLOOKUP($A347, CSV!$A:$A, CSV!AA:AA, ""),
    _xlpm.MacVal, _xlfn.XLOOKUP($A347, Output_Mac!$A:$A, Output_Mac!S:S, ""),
    _xlpm.MyAuditVal, _xlfn.XLOOKUP($A347, My_Audit!$A:$A, My_Audit!P:P, ""),
    _xlfn.TEXTJOIN(", ", TRUE, _xlpm.MyAuditVal, _xlpm.MacVal, _xlpm.CSVVal)
)</f>
        <v/>
      </c>
      <c r="P347" s="40" t="str" cm="1">
        <f t="array" ref="P347">IFERROR(_xlfn.LET(
_xlpm.CSVVal,_xlfn.XLOOKUP($A347,CSV!$A:$A,CSV!AB:AB,""),
_xlpm.MacVal,_xlfn.XLOOKUP($A347,Output_Mac!$A:$A,Output_Mac!T:T,""),
_xlpm.MyAuditVal,_xlfn.XLOOKUP($A347,My_Audit!$A:$A,My_Audit!Q:Q,""),
_xlfn.IFS(_xlpm.MyAuditVal&lt;&gt;"",UPPER(_xlpm.MyAuditVal),_xlpm.MacVal&lt;&gt;"",_xlpm.MacVal,_xlpm.CSVVal&lt;&gt;"",_xlpm.CSVVal
)),"No")</f>
        <v>No</v>
      </c>
      <c r="Q347" s="40" t="str" cm="1">
        <f t="array" ref="Q347">IFERROR(_xlfn.LET(
_xlpm.CSVVal,_xlfn.XLOOKUP($A347,CSV!$A:$A,CSV!AC:AC,""),
_xlpm.MacVal,_xlfn.XLOOKUP($A347,Output_Mac!$A:$A,Output_Mac!U:U,""),
_xlpm.MyAuditVal,_xlfn.XLOOKUP($A347,My_Audit!$A:$A,My_Audit!R:R,""),
_xlfn.IFS(_xlpm.MyAuditVal&lt;&gt;"",UPPER(_xlpm.MyAuditVal),_xlpm.MacVal&lt;&gt;"",_xlpm.MacVal,_xlpm.CSVVal&lt;&gt;"",_xlpm.CSVVal
)),"")</f>
        <v/>
      </c>
      <c r="R347" s="40"/>
      <c r="S347" s="40"/>
      <c r="T347" s="40"/>
      <c r="U347" s="40"/>
      <c r="V347" s="40"/>
      <c r="W347" s="40"/>
      <c r="X347" s="41" t="str">
        <f>_xlfn.LET(
    _xlpm.MacVal, _xlfn.XLOOKUP($A347, Output_Mac!$A:$A, Output_Mac!AB:AB, ""),
    _xlpm.MyAuditVal, _xlfn.XLOOKUP($A347, My_Audit!$A:$A, My_Audit!N:N, ""),
    _xlfn.TEXTJOIN(", ", TRUE, _xlpm.MyAuditVal, _xlpm.MacVal)
)</f>
        <v/>
      </c>
    </row>
    <row r="348" spans="1:24">
      <c r="A348" s="40" t="str">
        <f>_xlfn.TEXTJOIN("",TRUE,Input!$B$2,ROW(My_Audit!A347))</f>
        <v>X347</v>
      </c>
      <c r="B348" s="40" t="str">
        <f>_xlfn.TEXTJOIN("-",TRUE,"ITD",Input!$A$2,A348)</f>
        <v>ITD-X347</v>
      </c>
      <c r="C348" s="40" t="str" cm="1">
        <f t="array" ref="C348">IFERROR(_xlfn.LET(
_xlpm.CSVVal,_xlfn.XLOOKUP($A348,CSV!$A:$A,CSV!B:B,""),
_xlpm.MacVal,_xlfn.XLOOKUP($A348,Output_Mac!$A:$A,Output_Mac!B:B,""),
_xlpm.MyAuditVal,_xlfn.XLOOKUP($A348,My_Audit!$A:$A,My_Audit!B:B,""),
_xlfn.IFS(_xlpm.MyAuditVal&lt;&gt;"",UPPER(_xlpm.MyAuditVal),_xlpm.MacVal&lt;&gt;"",_xlpm.MacVal,_xlpm.CSVVal&lt;&gt;"",_xlpm.CSVVal
)),"")</f>
        <v/>
      </c>
      <c r="D348" s="40" t="str" cm="1">
        <f t="array" ref="D348">IFERROR(_xlfn.LET(
_xlpm.CSVVal,_xlfn.XLOOKUP($A348,CSV!$A:$A,CSV!D:D,""),
_xlpm.MacVal,_xlfn.XLOOKUP($A348,Output_Mac!$A:$A,Output_Mac!C:C,""),
_xlpm.MyAuditVal,_xlfn.XLOOKUP($A348,My_Audit!$A:$A,My_Audit!C:C,""),
_xlfn.IFS(_xlpm.MyAuditVal&lt;&gt;"",_xlpm.MyAuditVal,_xlpm.MacVal&lt;&gt;"",_xlpm.MacVal,_xlpm.CSVVal&lt;&gt;"",_xlpm.CSVVal
)),"")</f>
        <v/>
      </c>
      <c r="E348" s="40">
        <f>_xlfn.XLOOKUP(A348,My_Audit!A:A,My_Audit!D:D,"")</f>
        <v>0</v>
      </c>
      <c r="F348" s="40" t="str" cm="1">
        <f t="array" ref="F348">IFERROR(_xlfn.LET(
_xlpm.CSVVal,_xlfn.XLOOKUP($A348,CSV!$A:$A,CSV!F:F,""),
_xlpm.MacVal,_xlfn.XLOOKUP($A348,Output_Mac!$A:$A,Output_Mac!E:E,""),
_xlpm.MyAuditVal,_xlfn.XLOOKUP($A348,My_Audit!$A:$A,My_Audit!E:E,""),
_xlfn.IFS(_xlpm.MyAuditVal&lt;&gt;"",_xlpm.MyAuditVal,_xlpm.MacVal&lt;&gt;"",_xlpm.MacVal,_xlpm.CSVVal&lt;&gt;"",_xlpm.CSVVal
)),"")</f>
        <v/>
      </c>
      <c r="G348" s="40" t="str" cm="1">
        <f t="array" ref="G348">IFERROR(_xlfn.LET(
_xlpm.CSVVal,_xlfn.XLOOKUP($A348,CSV!$A:$A,CSV!G:G,""),
_xlpm.MacVal,_xlfn.XLOOKUP($A348,Output_Mac!$A:$A,Output_Mac!F:F,""),
_xlpm.MyAuditVal,_xlfn.XLOOKUP($A348,My_Audit!$A:$A,My_Audit!F:F,""),
_xlfn.IFS(_xlpm.MyAuditVal&lt;&gt;"",_xlpm.MyAuditVal,_xlpm.MacVal&lt;&gt;"",_xlpm.MacVal,_xlpm.CSVVal&lt;&gt;"",PROPER(_xlpm.CSVVal)
)),"")</f>
        <v/>
      </c>
      <c r="H348" s="40" t="str" cm="1">
        <f t="array" ref="H348">IFERROR(_xlfn.LET(
_xlpm.CSVVal,_xlfn.XLOOKUP($A348,CSV!$A:$A,CSV!H:H,""),
_xlpm.MacVal,_xlfn.XLOOKUP($A348,Output_Mac!$A:$A,Output_Mac!H:H,""),
_xlpm.MyAuditVal,_xlfn.XLOOKUP($A348,My_Audit!$A:$A,My_Audit!G:G,""),
_xlfn.IFS(_xlpm.MyAuditVal&lt;&gt;"",_xlpm.MyAuditVal,_xlpm.MacVal&lt;&gt;"",_xlpm.MacVal,_xlpm.CSVVal&lt;&gt;"",_xlpm.CSVVal
)),"")</f>
        <v/>
      </c>
      <c r="I348" s="40" t="str">
        <f>_xlfn.XLOOKUP(A348,Output_Mac!A:A,Output_Mac!I:I,"")</f>
        <v/>
      </c>
      <c r="J348" s="40" t="str" cm="1">
        <f t="array" ref="J348">IFERROR(_xlfn.LET(
_xlpm.CSVVal,_xlfn.XLOOKUP($A348,CSV!$A:$A,CSV!I:I,""),
_xlpm.MacVal,_xlfn.XLOOKUP($A348,Output_Mac!$A:$A,Output_Mac!J:J,""),
_xlpm.MyAuditVal,_xlfn.XLOOKUP($A348,My_Audit!$A:$A,My_Audit!I:I,""),
_xlfn.IFS(_xlpm.MyAuditVal&lt;&gt;"",UPPER(_xlpm.MyAuditVal),_xlpm.MacVal&lt;&gt;"",_xlpm.MacVal,_xlpm.CSVVal&lt;&gt;"",_xlpm.CSVVal
)),"")</f>
        <v/>
      </c>
      <c r="K348" s="40" t="str" cm="1">
        <f t="array" ref="K348">IFERROR(_xlfn.LET(
_xlpm.CSVVal,_xlfn.XLOOKUP($A348,CSV!$A:$A,CSV!K:K,""),
_xlpm.MacVal,_xlfn.XLOOKUP($A348,Output_Mac!$A:$A,Output_Mac!K:K,""),
_xlpm.MyAuditVal,_xlfn.XLOOKUP($A348,My_Audit!$A:$A,My_Audit!J:J,""),
_xlfn.IFS(_xlpm.MyAuditVal&lt;&gt;"",UPPER(_xlpm.MyAuditVal),_xlpm.MacVal&lt;&gt;"",_xlpm.MacVal,_xlpm.CSVVal&lt;&gt;"",_xlpm.CSVVal
)),"")</f>
        <v/>
      </c>
      <c r="L348" s="40" t="str" cm="1">
        <f t="array" ref="L348">IFERROR(_xlfn.LET(
_xlpm.CSVVal,_xlfn.XLOOKUP($A348,CSV!$A:$A,CSV!P:P,""),
_xlpm.MacVal,_xlfn.XLOOKUP($A348,Output_Mac!$A:$A,Output_Mac!L:L,""),
_xlpm.MyAuditVal,_xlfn.XLOOKUP($A348,My_Audit!$A:$A,My_Audit!K:K,""),
_xlfn.IFS(_xlpm.MyAuditVal&lt;&gt;"",UPPER(_xlpm.MyAuditVal),_xlpm.MacVal&lt;&gt;"",_xlpm.MacVal,_xlpm.CSVVal&lt;&gt;"",_xlpm.CSVVal
)),"")</f>
        <v/>
      </c>
      <c r="M348" s="40" t="str" cm="1">
        <f t="array" ref="M348">IFERROR(_xlfn.LET(
_xlpm.CSVVal,_xlfn.XLOOKUP($A348,CSV!$A:$A,CSV!Q:Q,""),
_xlpm.MacVal,_xlfn.XLOOKUP($A348,Output_Mac!$A:$A,Output_Mac!M:M,""),
_xlpm.MyAuditVal,_xlfn.XLOOKUP($A348,My_Audit!$A:$A,My_Audit!L:L,""),
_xlfn.IFS(_xlpm.MyAuditVal&lt;&gt;"",UPPER(_xlpm.MyAuditVal),_xlpm.MacVal&lt;&gt;"",_xlpm.MacVal,_xlpm.CSVVal&lt;&gt;"",_xlpm.CSVVal
)),"")</f>
        <v/>
      </c>
      <c r="N348" s="40"/>
      <c r="O348" s="40" t="str">
        <f>_xlfn.LET(
    _xlpm.CSVVal, _xlfn.XLOOKUP($A348, CSV!$A:$A, CSV!AA:AA, ""),
    _xlpm.MacVal, _xlfn.XLOOKUP($A348, Output_Mac!$A:$A, Output_Mac!S:S, ""),
    _xlpm.MyAuditVal, _xlfn.XLOOKUP($A348, My_Audit!$A:$A, My_Audit!P:P, ""),
    _xlfn.TEXTJOIN(", ", TRUE, _xlpm.MyAuditVal, _xlpm.MacVal, _xlpm.CSVVal)
)</f>
        <v/>
      </c>
      <c r="P348" s="40" t="str" cm="1">
        <f t="array" ref="P348">IFERROR(_xlfn.LET(
_xlpm.CSVVal,_xlfn.XLOOKUP($A348,CSV!$A:$A,CSV!AB:AB,""),
_xlpm.MacVal,_xlfn.XLOOKUP($A348,Output_Mac!$A:$A,Output_Mac!T:T,""),
_xlpm.MyAuditVal,_xlfn.XLOOKUP($A348,My_Audit!$A:$A,My_Audit!Q:Q,""),
_xlfn.IFS(_xlpm.MyAuditVal&lt;&gt;"",UPPER(_xlpm.MyAuditVal),_xlpm.MacVal&lt;&gt;"",_xlpm.MacVal,_xlpm.CSVVal&lt;&gt;"",_xlpm.CSVVal
)),"No")</f>
        <v>No</v>
      </c>
      <c r="Q348" s="40" t="str" cm="1">
        <f t="array" ref="Q348">IFERROR(_xlfn.LET(
_xlpm.CSVVal,_xlfn.XLOOKUP($A348,CSV!$A:$A,CSV!AC:AC,""),
_xlpm.MacVal,_xlfn.XLOOKUP($A348,Output_Mac!$A:$A,Output_Mac!U:U,""),
_xlpm.MyAuditVal,_xlfn.XLOOKUP($A348,My_Audit!$A:$A,My_Audit!R:R,""),
_xlfn.IFS(_xlpm.MyAuditVal&lt;&gt;"",UPPER(_xlpm.MyAuditVal),_xlpm.MacVal&lt;&gt;"",_xlpm.MacVal,_xlpm.CSVVal&lt;&gt;"",_xlpm.CSVVal
)),"")</f>
        <v/>
      </c>
      <c r="R348" s="40"/>
      <c r="S348" s="40"/>
      <c r="T348" s="40"/>
      <c r="U348" s="40"/>
      <c r="V348" s="40"/>
      <c r="W348" s="40"/>
      <c r="X348" s="41" t="str">
        <f>_xlfn.LET(
    _xlpm.MacVal, _xlfn.XLOOKUP($A348, Output_Mac!$A:$A, Output_Mac!AB:AB, ""),
    _xlpm.MyAuditVal, _xlfn.XLOOKUP($A348, My_Audit!$A:$A, My_Audit!N:N, ""),
    _xlfn.TEXTJOIN(", ", TRUE, _xlpm.MyAuditVal, _xlpm.MacVal)
)</f>
        <v/>
      </c>
    </row>
    <row r="349" spans="1:24">
      <c r="A349" s="40" t="str">
        <f>_xlfn.TEXTJOIN("",TRUE,Input!$B$2,ROW(My_Audit!A348))</f>
        <v>X348</v>
      </c>
      <c r="B349" s="40" t="str">
        <f>_xlfn.TEXTJOIN("-",TRUE,"ITD",Input!$A$2,A349)</f>
        <v>ITD-X348</v>
      </c>
      <c r="C349" s="40" t="str" cm="1">
        <f t="array" ref="C349">IFERROR(_xlfn.LET(
_xlpm.CSVVal,_xlfn.XLOOKUP($A349,CSV!$A:$A,CSV!B:B,""),
_xlpm.MacVal,_xlfn.XLOOKUP($A349,Output_Mac!$A:$A,Output_Mac!B:B,""),
_xlpm.MyAuditVal,_xlfn.XLOOKUP($A349,My_Audit!$A:$A,My_Audit!B:B,""),
_xlfn.IFS(_xlpm.MyAuditVal&lt;&gt;"",UPPER(_xlpm.MyAuditVal),_xlpm.MacVal&lt;&gt;"",_xlpm.MacVal,_xlpm.CSVVal&lt;&gt;"",_xlpm.CSVVal
)),"")</f>
        <v/>
      </c>
      <c r="D349" s="40" t="str" cm="1">
        <f t="array" ref="D349">IFERROR(_xlfn.LET(
_xlpm.CSVVal,_xlfn.XLOOKUP($A349,CSV!$A:$A,CSV!D:D,""),
_xlpm.MacVal,_xlfn.XLOOKUP($A349,Output_Mac!$A:$A,Output_Mac!C:C,""),
_xlpm.MyAuditVal,_xlfn.XLOOKUP($A349,My_Audit!$A:$A,My_Audit!C:C,""),
_xlfn.IFS(_xlpm.MyAuditVal&lt;&gt;"",_xlpm.MyAuditVal,_xlpm.MacVal&lt;&gt;"",_xlpm.MacVal,_xlpm.CSVVal&lt;&gt;"",_xlpm.CSVVal
)),"")</f>
        <v/>
      </c>
      <c r="E349" s="40">
        <f>_xlfn.XLOOKUP(A349,My_Audit!A:A,My_Audit!D:D,"")</f>
        <v>0</v>
      </c>
      <c r="F349" s="40" t="str" cm="1">
        <f t="array" ref="F349">IFERROR(_xlfn.LET(
_xlpm.CSVVal,_xlfn.XLOOKUP($A349,CSV!$A:$A,CSV!F:F,""),
_xlpm.MacVal,_xlfn.XLOOKUP($A349,Output_Mac!$A:$A,Output_Mac!E:E,""),
_xlpm.MyAuditVal,_xlfn.XLOOKUP($A349,My_Audit!$A:$A,My_Audit!E:E,""),
_xlfn.IFS(_xlpm.MyAuditVal&lt;&gt;"",_xlpm.MyAuditVal,_xlpm.MacVal&lt;&gt;"",_xlpm.MacVal,_xlpm.CSVVal&lt;&gt;"",_xlpm.CSVVal
)),"")</f>
        <v/>
      </c>
      <c r="G349" s="40" t="str" cm="1">
        <f t="array" ref="G349">IFERROR(_xlfn.LET(
_xlpm.CSVVal,_xlfn.XLOOKUP($A349,CSV!$A:$A,CSV!G:G,""),
_xlpm.MacVal,_xlfn.XLOOKUP($A349,Output_Mac!$A:$A,Output_Mac!F:F,""),
_xlpm.MyAuditVal,_xlfn.XLOOKUP($A349,My_Audit!$A:$A,My_Audit!F:F,""),
_xlfn.IFS(_xlpm.MyAuditVal&lt;&gt;"",_xlpm.MyAuditVal,_xlpm.MacVal&lt;&gt;"",_xlpm.MacVal,_xlpm.CSVVal&lt;&gt;"",PROPER(_xlpm.CSVVal)
)),"")</f>
        <v/>
      </c>
      <c r="H349" s="40" t="str" cm="1">
        <f t="array" ref="H349">IFERROR(_xlfn.LET(
_xlpm.CSVVal,_xlfn.XLOOKUP($A349,CSV!$A:$A,CSV!H:H,""),
_xlpm.MacVal,_xlfn.XLOOKUP($A349,Output_Mac!$A:$A,Output_Mac!H:H,""),
_xlpm.MyAuditVal,_xlfn.XLOOKUP($A349,My_Audit!$A:$A,My_Audit!G:G,""),
_xlfn.IFS(_xlpm.MyAuditVal&lt;&gt;"",_xlpm.MyAuditVal,_xlpm.MacVal&lt;&gt;"",_xlpm.MacVal,_xlpm.CSVVal&lt;&gt;"",_xlpm.CSVVal
)),"")</f>
        <v/>
      </c>
      <c r="I349" s="40" t="str">
        <f>_xlfn.XLOOKUP(A349,Output_Mac!A:A,Output_Mac!I:I,"")</f>
        <v/>
      </c>
      <c r="J349" s="40" t="str" cm="1">
        <f t="array" ref="J349">IFERROR(_xlfn.LET(
_xlpm.CSVVal,_xlfn.XLOOKUP($A349,CSV!$A:$A,CSV!I:I,""),
_xlpm.MacVal,_xlfn.XLOOKUP($A349,Output_Mac!$A:$A,Output_Mac!J:J,""),
_xlpm.MyAuditVal,_xlfn.XLOOKUP($A349,My_Audit!$A:$A,My_Audit!I:I,""),
_xlfn.IFS(_xlpm.MyAuditVal&lt;&gt;"",UPPER(_xlpm.MyAuditVal),_xlpm.MacVal&lt;&gt;"",_xlpm.MacVal,_xlpm.CSVVal&lt;&gt;"",_xlpm.CSVVal
)),"")</f>
        <v/>
      </c>
      <c r="K349" s="40" t="str" cm="1">
        <f t="array" ref="K349">IFERROR(_xlfn.LET(
_xlpm.CSVVal,_xlfn.XLOOKUP($A349,CSV!$A:$A,CSV!K:K,""),
_xlpm.MacVal,_xlfn.XLOOKUP($A349,Output_Mac!$A:$A,Output_Mac!K:K,""),
_xlpm.MyAuditVal,_xlfn.XLOOKUP($A349,My_Audit!$A:$A,My_Audit!J:J,""),
_xlfn.IFS(_xlpm.MyAuditVal&lt;&gt;"",UPPER(_xlpm.MyAuditVal),_xlpm.MacVal&lt;&gt;"",_xlpm.MacVal,_xlpm.CSVVal&lt;&gt;"",_xlpm.CSVVal
)),"")</f>
        <v/>
      </c>
      <c r="L349" s="40" t="str" cm="1">
        <f t="array" ref="L349">IFERROR(_xlfn.LET(
_xlpm.CSVVal,_xlfn.XLOOKUP($A349,CSV!$A:$A,CSV!P:P,""),
_xlpm.MacVal,_xlfn.XLOOKUP($A349,Output_Mac!$A:$A,Output_Mac!L:L,""),
_xlpm.MyAuditVal,_xlfn.XLOOKUP($A349,My_Audit!$A:$A,My_Audit!K:K,""),
_xlfn.IFS(_xlpm.MyAuditVal&lt;&gt;"",UPPER(_xlpm.MyAuditVal),_xlpm.MacVal&lt;&gt;"",_xlpm.MacVal,_xlpm.CSVVal&lt;&gt;"",_xlpm.CSVVal
)),"")</f>
        <v/>
      </c>
      <c r="M349" s="40" t="str" cm="1">
        <f t="array" ref="M349">IFERROR(_xlfn.LET(
_xlpm.CSVVal,_xlfn.XLOOKUP($A349,CSV!$A:$A,CSV!Q:Q,""),
_xlpm.MacVal,_xlfn.XLOOKUP($A349,Output_Mac!$A:$A,Output_Mac!M:M,""),
_xlpm.MyAuditVal,_xlfn.XLOOKUP($A349,My_Audit!$A:$A,My_Audit!L:L,""),
_xlfn.IFS(_xlpm.MyAuditVal&lt;&gt;"",UPPER(_xlpm.MyAuditVal),_xlpm.MacVal&lt;&gt;"",_xlpm.MacVal,_xlpm.CSVVal&lt;&gt;"",_xlpm.CSVVal
)),"")</f>
        <v/>
      </c>
      <c r="N349" s="40"/>
      <c r="O349" s="40" t="str">
        <f>_xlfn.LET(
    _xlpm.CSVVal, _xlfn.XLOOKUP($A349, CSV!$A:$A, CSV!AA:AA, ""),
    _xlpm.MacVal, _xlfn.XLOOKUP($A349, Output_Mac!$A:$A, Output_Mac!S:S, ""),
    _xlpm.MyAuditVal, _xlfn.XLOOKUP($A349, My_Audit!$A:$A, My_Audit!P:P, ""),
    _xlfn.TEXTJOIN(", ", TRUE, _xlpm.MyAuditVal, _xlpm.MacVal, _xlpm.CSVVal)
)</f>
        <v/>
      </c>
      <c r="P349" s="40" t="str" cm="1">
        <f t="array" ref="P349">IFERROR(_xlfn.LET(
_xlpm.CSVVal,_xlfn.XLOOKUP($A349,CSV!$A:$A,CSV!AB:AB,""),
_xlpm.MacVal,_xlfn.XLOOKUP($A349,Output_Mac!$A:$A,Output_Mac!T:T,""),
_xlpm.MyAuditVal,_xlfn.XLOOKUP($A349,My_Audit!$A:$A,My_Audit!Q:Q,""),
_xlfn.IFS(_xlpm.MyAuditVal&lt;&gt;"",UPPER(_xlpm.MyAuditVal),_xlpm.MacVal&lt;&gt;"",_xlpm.MacVal,_xlpm.CSVVal&lt;&gt;"",_xlpm.CSVVal
)),"No")</f>
        <v>No</v>
      </c>
      <c r="Q349" s="40" t="str" cm="1">
        <f t="array" ref="Q349">IFERROR(_xlfn.LET(
_xlpm.CSVVal,_xlfn.XLOOKUP($A349,CSV!$A:$A,CSV!AC:AC,""),
_xlpm.MacVal,_xlfn.XLOOKUP($A349,Output_Mac!$A:$A,Output_Mac!U:U,""),
_xlpm.MyAuditVal,_xlfn.XLOOKUP($A349,My_Audit!$A:$A,My_Audit!R:R,""),
_xlfn.IFS(_xlpm.MyAuditVal&lt;&gt;"",UPPER(_xlpm.MyAuditVal),_xlpm.MacVal&lt;&gt;"",_xlpm.MacVal,_xlpm.CSVVal&lt;&gt;"",_xlpm.CSVVal
)),"")</f>
        <v/>
      </c>
      <c r="R349" s="40"/>
      <c r="S349" s="40"/>
      <c r="T349" s="40"/>
      <c r="U349" s="40"/>
      <c r="V349" s="40"/>
      <c r="W349" s="40"/>
      <c r="X349" s="41" t="str">
        <f>_xlfn.LET(
    _xlpm.MacVal, _xlfn.XLOOKUP($A349, Output_Mac!$A:$A, Output_Mac!AB:AB, ""),
    _xlpm.MyAuditVal, _xlfn.XLOOKUP($A349, My_Audit!$A:$A, My_Audit!N:N, ""),
    _xlfn.TEXTJOIN(", ", TRUE, _xlpm.MyAuditVal, _xlpm.MacVal)
)</f>
        <v/>
      </c>
    </row>
    <row r="350" spans="1:24">
      <c r="A350" s="40" t="str">
        <f>_xlfn.TEXTJOIN("",TRUE,Input!$B$2,ROW(My_Audit!A349))</f>
        <v>X349</v>
      </c>
      <c r="B350" s="40" t="str">
        <f>_xlfn.TEXTJOIN("-",TRUE,"ITD",Input!$A$2,A350)</f>
        <v>ITD-X349</v>
      </c>
      <c r="C350" s="40" t="str" cm="1">
        <f t="array" ref="C350">IFERROR(_xlfn.LET(
_xlpm.CSVVal,_xlfn.XLOOKUP($A350,CSV!$A:$A,CSV!B:B,""),
_xlpm.MacVal,_xlfn.XLOOKUP($A350,Output_Mac!$A:$A,Output_Mac!B:B,""),
_xlpm.MyAuditVal,_xlfn.XLOOKUP($A350,My_Audit!$A:$A,My_Audit!B:B,""),
_xlfn.IFS(_xlpm.MyAuditVal&lt;&gt;"",UPPER(_xlpm.MyAuditVal),_xlpm.MacVal&lt;&gt;"",_xlpm.MacVal,_xlpm.CSVVal&lt;&gt;"",_xlpm.CSVVal
)),"")</f>
        <v/>
      </c>
      <c r="D350" s="40" t="str" cm="1">
        <f t="array" ref="D350">IFERROR(_xlfn.LET(
_xlpm.CSVVal,_xlfn.XLOOKUP($A350,CSV!$A:$A,CSV!D:D,""),
_xlpm.MacVal,_xlfn.XLOOKUP($A350,Output_Mac!$A:$A,Output_Mac!C:C,""),
_xlpm.MyAuditVal,_xlfn.XLOOKUP($A350,My_Audit!$A:$A,My_Audit!C:C,""),
_xlfn.IFS(_xlpm.MyAuditVal&lt;&gt;"",_xlpm.MyAuditVal,_xlpm.MacVal&lt;&gt;"",_xlpm.MacVal,_xlpm.CSVVal&lt;&gt;"",_xlpm.CSVVal
)),"")</f>
        <v/>
      </c>
      <c r="E350" s="40">
        <f>_xlfn.XLOOKUP(A350,My_Audit!A:A,My_Audit!D:D,"")</f>
        <v>0</v>
      </c>
      <c r="F350" s="40" t="str" cm="1">
        <f t="array" ref="F350">IFERROR(_xlfn.LET(
_xlpm.CSVVal,_xlfn.XLOOKUP($A350,CSV!$A:$A,CSV!F:F,""),
_xlpm.MacVal,_xlfn.XLOOKUP($A350,Output_Mac!$A:$A,Output_Mac!E:E,""),
_xlpm.MyAuditVal,_xlfn.XLOOKUP($A350,My_Audit!$A:$A,My_Audit!E:E,""),
_xlfn.IFS(_xlpm.MyAuditVal&lt;&gt;"",_xlpm.MyAuditVal,_xlpm.MacVal&lt;&gt;"",_xlpm.MacVal,_xlpm.CSVVal&lt;&gt;"",_xlpm.CSVVal
)),"")</f>
        <v/>
      </c>
      <c r="G350" s="40" t="str" cm="1">
        <f t="array" ref="G350">IFERROR(_xlfn.LET(
_xlpm.CSVVal,_xlfn.XLOOKUP($A350,CSV!$A:$A,CSV!G:G,""),
_xlpm.MacVal,_xlfn.XLOOKUP($A350,Output_Mac!$A:$A,Output_Mac!F:F,""),
_xlpm.MyAuditVal,_xlfn.XLOOKUP($A350,My_Audit!$A:$A,My_Audit!F:F,""),
_xlfn.IFS(_xlpm.MyAuditVal&lt;&gt;"",_xlpm.MyAuditVal,_xlpm.MacVal&lt;&gt;"",_xlpm.MacVal,_xlpm.CSVVal&lt;&gt;"",PROPER(_xlpm.CSVVal)
)),"")</f>
        <v/>
      </c>
      <c r="H350" s="40" t="str" cm="1">
        <f t="array" ref="H350">IFERROR(_xlfn.LET(
_xlpm.CSVVal,_xlfn.XLOOKUP($A350,CSV!$A:$A,CSV!H:H,""),
_xlpm.MacVal,_xlfn.XLOOKUP($A350,Output_Mac!$A:$A,Output_Mac!H:H,""),
_xlpm.MyAuditVal,_xlfn.XLOOKUP($A350,My_Audit!$A:$A,My_Audit!G:G,""),
_xlfn.IFS(_xlpm.MyAuditVal&lt;&gt;"",_xlpm.MyAuditVal,_xlpm.MacVal&lt;&gt;"",_xlpm.MacVal,_xlpm.CSVVal&lt;&gt;"",_xlpm.CSVVal
)),"")</f>
        <v/>
      </c>
      <c r="I350" s="40" t="str">
        <f>_xlfn.XLOOKUP(A350,Output_Mac!A:A,Output_Mac!I:I,"")</f>
        <v/>
      </c>
      <c r="J350" s="40" t="str" cm="1">
        <f t="array" ref="J350">IFERROR(_xlfn.LET(
_xlpm.CSVVal,_xlfn.XLOOKUP($A350,CSV!$A:$A,CSV!I:I,""),
_xlpm.MacVal,_xlfn.XLOOKUP($A350,Output_Mac!$A:$A,Output_Mac!J:J,""),
_xlpm.MyAuditVal,_xlfn.XLOOKUP($A350,My_Audit!$A:$A,My_Audit!I:I,""),
_xlfn.IFS(_xlpm.MyAuditVal&lt;&gt;"",UPPER(_xlpm.MyAuditVal),_xlpm.MacVal&lt;&gt;"",_xlpm.MacVal,_xlpm.CSVVal&lt;&gt;"",_xlpm.CSVVal
)),"")</f>
        <v/>
      </c>
      <c r="K350" s="40" t="str" cm="1">
        <f t="array" ref="K350">IFERROR(_xlfn.LET(
_xlpm.CSVVal,_xlfn.XLOOKUP($A350,CSV!$A:$A,CSV!K:K,""),
_xlpm.MacVal,_xlfn.XLOOKUP($A350,Output_Mac!$A:$A,Output_Mac!K:K,""),
_xlpm.MyAuditVal,_xlfn.XLOOKUP($A350,My_Audit!$A:$A,My_Audit!J:J,""),
_xlfn.IFS(_xlpm.MyAuditVal&lt;&gt;"",UPPER(_xlpm.MyAuditVal),_xlpm.MacVal&lt;&gt;"",_xlpm.MacVal,_xlpm.CSVVal&lt;&gt;"",_xlpm.CSVVal
)),"")</f>
        <v/>
      </c>
      <c r="L350" s="40" t="str" cm="1">
        <f t="array" ref="L350">IFERROR(_xlfn.LET(
_xlpm.CSVVal,_xlfn.XLOOKUP($A350,CSV!$A:$A,CSV!P:P,""),
_xlpm.MacVal,_xlfn.XLOOKUP($A350,Output_Mac!$A:$A,Output_Mac!L:L,""),
_xlpm.MyAuditVal,_xlfn.XLOOKUP($A350,My_Audit!$A:$A,My_Audit!K:K,""),
_xlfn.IFS(_xlpm.MyAuditVal&lt;&gt;"",UPPER(_xlpm.MyAuditVal),_xlpm.MacVal&lt;&gt;"",_xlpm.MacVal,_xlpm.CSVVal&lt;&gt;"",_xlpm.CSVVal
)),"")</f>
        <v/>
      </c>
      <c r="M350" s="40" t="str" cm="1">
        <f t="array" ref="M350">IFERROR(_xlfn.LET(
_xlpm.CSVVal,_xlfn.XLOOKUP($A350,CSV!$A:$A,CSV!Q:Q,""),
_xlpm.MacVal,_xlfn.XLOOKUP($A350,Output_Mac!$A:$A,Output_Mac!M:M,""),
_xlpm.MyAuditVal,_xlfn.XLOOKUP($A350,My_Audit!$A:$A,My_Audit!L:L,""),
_xlfn.IFS(_xlpm.MyAuditVal&lt;&gt;"",UPPER(_xlpm.MyAuditVal),_xlpm.MacVal&lt;&gt;"",_xlpm.MacVal,_xlpm.CSVVal&lt;&gt;"",_xlpm.CSVVal
)),"")</f>
        <v/>
      </c>
      <c r="N350" s="40"/>
      <c r="O350" s="40" t="str">
        <f>_xlfn.LET(
    _xlpm.CSVVal, _xlfn.XLOOKUP($A350, CSV!$A:$A, CSV!AA:AA, ""),
    _xlpm.MacVal, _xlfn.XLOOKUP($A350, Output_Mac!$A:$A, Output_Mac!S:S, ""),
    _xlpm.MyAuditVal, _xlfn.XLOOKUP($A350, My_Audit!$A:$A, My_Audit!P:P, ""),
    _xlfn.TEXTJOIN(", ", TRUE, _xlpm.MyAuditVal, _xlpm.MacVal, _xlpm.CSVVal)
)</f>
        <v/>
      </c>
      <c r="P350" s="40" t="str" cm="1">
        <f t="array" ref="P350">IFERROR(_xlfn.LET(
_xlpm.CSVVal,_xlfn.XLOOKUP($A350,CSV!$A:$A,CSV!AB:AB,""),
_xlpm.MacVal,_xlfn.XLOOKUP($A350,Output_Mac!$A:$A,Output_Mac!T:T,""),
_xlpm.MyAuditVal,_xlfn.XLOOKUP($A350,My_Audit!$A:$A,My_Audit!Q:Q,""),
_xlfn.IFS(_xlpm.MyAuditVal&lt;&gt;"",UPPER(_xlpm.MyAuditVal),_xlpm.MacVal&lt;&gt;"",_xlpm.MacVal,_xlpm.CSVVal&lt;&gt;"",_xlpm.CSVVal
)),"No")</f>
        <v>No</v>
      </c>
      <c r="Q350" s="40" t="str" cm="1">
        <f t="array" ref="Q350">IFERROR(_xlfn.LET(
_xlpm.CSVVal,_xlfn.XLOOKUP($A350,CSV!$A:$A,CSV!AC:AC,""),
_xlpm.MacVal,_xlfn.XLOOKUP($A350,Output_Mac!$A:$A,Output_Mac!U:U,""),
_xlpm.MyAuditVal,_xlfn.XLOOKUP($A350,My_Audit!$A:$A,My_Audit!R:R,""),
_xlfn.IFS(_xlpm.MyAuditVal&lt;&gt;"",UPPER(_xlpm.MyAuditVal),_xlpm.MacVal&lt;&gt;"",_xlpm.MacVal,_xlpm.CSVVal&lt;&gt;"",_xlpm.CSVVal
)),"")</f>
        <v/>
      </c>
      <c r="R350" s="40"/>
      <c r="S350" s="40"/>
      <c r="T350" s="40"/>
      <c r="U350" s="40"/>
      <c r="V350" s="40"/>
      <c r="W350" s="40"/>
      <c r="X350" s="41" t="str">
        <f>_xlfn.LET(
    _xlpm.MacVal, _xlfn.XLOOKUP($A350, Output_Mac!$A:$A, Output_Mac!AB:AB, ""),
    _xlpm.MyAuditVal, _xlfn.XLOOKUP($A350, My_Audit!$A:$A, My_Audit!N:N, ""),
    _xlfn.TEXTJOIN(", ", TRUE, _xlpm.MyAuditVal, _xlpm.MacVal)
)</f>
        <v/>
      </c>
    </row>
    <row r="351" spans="1:24">
      <c r="A351" s="40" t="str">
        <f>_xlfn.TEXTJOIN("",TRUE,Input!$B$2,ROW(My_Audit!A350))</f>
        <v>X350</v>
      </c>
      <c r="B351" s="40" t="str">
        <f>_xlfn.TEXTJOIN("-",TRUE,"ITD",Input!$A$2,A351)</f>
        <v>ITD-X350</v>
      </c>
      <c r="C351" s="40" t="str" cm="1">
        <f t="array" ref="C351">IFERROR(_xlfn.LET(
_xlpm.CSVVal,_xlfn.XLOOKUP($A351,CSV!$A:$A,CSV!B:B,""),
_xlpm.MacVal,_xlfn.XLOOKUP($A351,Output_Mac!$A:$A,Output_Mac!B:B,""),
_xlpm.MyAuditVal,_xlfn.XLOOKUP($A351,My_Audit!$A:$A,My_Audit!B:B,""),
_xlfn.IFS(_xlpm.MyAuditVal&lt;&gt;"",UPPER(_xlpm.MyAuditVal),_xlpm.MacVal&lt;&gt;"",_xlpm.MacVal,_xlpm.CSVVal&lt;&gt;"",_xlpm.CSVVal
)),"")</f>
        <v/>
      </c>
      <c r="D351" s="40" t="str" cm="1">
        <f t="array" ref="D351">IFERROR(_xlfn.LET(
_xlpm.CSVVal,_xlfn.XLOOKUP($A351,CSV!$A:$A,CSV!D:D,""),
_xlpm.MacVal,_xlfn.XLOOKUP($A351,Output_Mac!$A:$A,Output_Mac!C:C,""),
_xlpm.MyAuditVal,_xlfn.XLOOKUP($A351,My_Audit!$A:$A,My_Audit!C:C,""),
_xlfn.IFS(_xlpm.MyAuditVal&lt;&gt;"",_xlpm.MyAuditVal,_xlpm.MacVal&lt;&gt;"",_xlpm.MacVal,_xlpm.CSVVal&lt;&gt;"",_xlpm.CSVVal
)),"")</f>
        <v/>
      </c>
      <c r="E351" s="40">
        <f>_xlfn.XLOOKUP(A351,My_Audit!A:A,My_Audit!D:D,"")</f>
        <v>0</v>
      </c>
      <c r="F351" s="40" t="str" cm="1">
        <f t="array" ref="F351">IFERROR(_xlfn.LET(
_xlpm.CSVVal,_xlfn.XLOOKUP($A351,CSV!$A:$A,CSV!F:F,""),
_xlpm.MacVal,_xlfn.XLOOKUP($A351,Output_Mac!$A:$A,Output_Mac!E:E,""),
_xlpm.MyAuditVal,_xlfn.XLOOKUP($A351,My_Audit!$A:$A,My_Audit!E:E,""),
_xlfn.IFS(_xlpm.MyAuditVal&lt;&gt;"",_xlpm.MyAuditVal,_xlpm.MacVal&lt;&gt;"",_xlpm.MacVal,_xlpm.CSVVal&lt;&gt;"",_xlpm.CSVVal
)),"")</f>
        <v/>
      </c>
      <c r="G351" s="40" t="str" cm="1">
        <f t="array" ref="G351">IFERROR(_xlfn.LET(
_xlpm.CSVVal,_xlfn.XLOOKUP($A351,CSV!$A:$A,CSV!G:G,""),
_xlpm.MacVal,_xlfn.XLOOKUP($A351,Output_Mac!$A:$A,Output_Mac!F:F,""),
_xlpm.MyAuditVal,_xlfn.XLOOKUP($A351,My_Audit!$A:$A,My_Audit!F:F,""),
_xlfn.IFS(_xlpm.MyAuditVal&lt;&gt;"",_xlpm.MyAuditVal,_xlpm.MacVal&lt;&gt;"",_xlpm.MacVal,_xlpm.CSVVal&lt;&gt;"",PROPER(_xlpm.CSVVal)
)),"")</f>
        <v/>
      </c>
      <c r="H351" s="40" t="str" cm="1">
        <f t="array" ref="H351">IFERROR(_xlfn.LET(
_xlpm.CSVVal,_xlfn.XLOOKUP($A351,CSV!$A:$A,CSV!H:H,""),
_xlpm.MacVal,_xlfn.XLOOKUP($A351,Output_Mac!$A:$A,Output_Mac!H:H,""),
_xlpm.MyAuditVal,_xlfn.XLOOKUP($A351,My_Audit!$A:$A,My_Audit!G:G,""),
_xlfn.IFS(_xlpm.MyAuditVal&lt;&gt;"",_xlpm.MyAuditVal,_xlpm.MacVal&lt;&gt;"",_xlpm.MacVal,_xlpm.CSVVal&lt;&gt;"",_xlpm.CSVVal
)),"")</f>
        <v/>
      </c>
      <c r="I351" s="40" t="str">
        <f>_xlfn.XLOOKUP(A351,Output_Mac!A:A,Output_Mac!I:I,"")</f>
        <v/>
      </c>
      <c r="J351" s="40" t="str" cm="1">
        <f t="array" ref="J351">IFERROR(_xlfn.LET(
_xlpm.CSVVal,_xlfn.XLOOKUP($A351,CSV!$A:$A,CSV!I:I,""),
_xlpm.MacVal,_xlfn.XLOOKUP($A351,Output_Mac!$A:$A,Output_Mac!J:J,""),
_xlpm.MyAuditVal,_xlfn.XLOOKUP($A351,My_Audit!$A:$A,My_Audit!I:I,""),
_xlfn.IFS(_xlpm.MyAuditVal&lt;&gt;"",UPPER(_xlpm.MyAuditVal),_xlpm.MacVal&lt;&gt;"",_xlpm.MacVal,_xlpm.CSVVal&lt;&gt;"",_xlpm.CSVVal
)),"")</f>
        <v/>
      </c>
      <c r="K351" s="40" t="str" cm="1">
        <f t="array" ref="K351">IFERROR(_xlfn.LET(
_xlpm.CSVVal,_xlfn.XLOOKUP($A351,CSV!$A:$A,CSV!K:K,""),
_xlpm.MacVal,_xlfn.XLOOKUP($A351,Output_Mac!$A:$A,Output_Mac!K:K,""),
_xlpm.MyAuditVal,_xlfn.XLOOKUP($A351,My_Audit!$A:$A,My_Audit!J:J,""),
_xlfn.IFS(_xlpm.MyAuditVal&lt;&gt;"",UPPER(_xlpm.MyAuditVal),_xlpm.MacVal&lt;&gt;"",_xlpm.MacVal,_xlpm.CSVVal&lt;&gt;"",_xlpm.CSVVal
)),"")</f>
        <v/>
      </c>
      <c r="L351" s="40" t="str" cm="1">
        <f t="array" ref="L351">IFERROR(_xlfn.LET(
_xlpm.CSVVal,_xlfn.XLOOKUP($A351,CSV!$A:$A,CSV!P:P,""),
_xlpm.MacVal,_xlfn.XLOOKUP($A351,Output_Mac!$A:$A,Output_Mac!L:L,""),
_xlpm.MyAuditVal,_xlfn.XLOOKUP($A351,My_Audit!$A:$A,My_Audit!K:K,""),
_xlfn.IFS(_xlpm.MyAuditVal&lt;&gt;"",UPPER(_xlpm.MyAuditVal),_xlpm.MacVal&lt;&gt;"",_xlpm.MacVal,_xlpm.CSVVal&lt;&gt;"",_xlpm.CSVVal
)),"")</f>
        <v/>
      </c>
      <c r="M351" s="40" t="str" cm="1">
        <f t="array" ref="M351">IFERROR(_xlfn.LET(
_xlpm.CSVVal,_xlfn.XLOOKUP($A351,CSV!$A:$A,CSV!Q:Q,""),
_xlpm.MacVal,_xlfn.XLOOKUP($A351,Output_Mac!$A:$A,Output_Mac!M:M,""),
_xlpm.MyAuditVal,_xlfn.XLOOKUP($A351,My_Audit!$A:$A,My_Audit!L:L,""),
_xlfn.IFS(_xlpm.MyAuditVal&lt;&gt;"",UPPER(_xlpm.MyAuditVal),_xlpm.MacVal&lt;&gt;"",_xlpm.MacVal,_xlpm.CSVVal&lt;&gt;"",_xlpm.CSVVal
)),"")</f>
        <v/>
      </c>
      <c r="N351" s="40"/>
      <c r="O351" s="40" t="str">
        <f>_xlfn.LET(
    _xlpm.CSVVal, _xlfn.XLOOKUP($A351, CSV!$A:$A, CSV!AA:AA, ""),
    _xlpm.MacVal, _xlfn.XLOOKUP($A351, Output_Mac!$A:$A, Output_Mac!S:S, ""),
    _xlpm.MyAuditVal, _xlfn.XLOOKUP($A351, My_Audit!$A:$A, My_Audit!P:P, ""),
    _xlfn.TEXTJOIN(", ", TRUE, _xlpm.MyAuditVal, _xlpm.MacVal, _xlpm.CSVVal)
)</f>
        <v/>
      </c>
      <c r="P351" s="40" t="str" cm="1">
        <f t="array" ref="P351">IFERROR(_xlfn.LET(
_xlpm.CSVVal,_xlfn.XLOOKUP($A351,CSV!$A:$A,CSV!AB:AB,""),
_xlpm.MacVal,_xlfn.XLOOKUP($A351,Output_Mac!$A:$A,Output_Mac!T:T,""),
_xlpm.MyAuditVal,_xlfn.XLOOKUP($A351,My_Audit!$A:$A,My_Audit!Q:Q,""),
_xlfn.IFS(_xlpm.MyAuditVal&lt;&gt;"",UPPER(_xlpm.MyAuditVal),_xlpm.MacVal&lt;&gt;"",_xlpm.MacVal,_xlpm.CSVVal&lt;&gt;"",_xlpm.CSVVal
)),"No")</f>
        <v>No</v>
      </c>
      <c r="Q351" s="40" t="str" cm="1">
        <f t="array" ref="Q351">IFERROR(_xlfn.LET(
_xlpm.CSVVal,_xlfn.XLOOKUP($A351,CSV!$A:$A,CSV!AC:AC,""),
_xlpm.MacVal,_xlfn.XLOOKUP($A351,Output_Mac!$A:$A,Output_Mac!U:U,""),
_xlpm.MyAuditVal,_xlfn.XLOOKUP($A351,My_Audit!$A:$A,My_Audit!R:R,""),
_xlfn.IFS(_xlpm.MyAuditVal&lt;&gt;"",UPPER(_xlpm.MyAuditVal),_xlpm.MacVal&lt;&gt;"",_xlpm.MacVal,_xlpm.CSVVal&lt;&gt;"",_xlpm.CSVVal
)),"")</f>
        <v/>
      </c>
      <c r="R351" s="40"/>
      <c r="S351" s="40"/>
      <c r="T351" s="40"/>
      <c r="U351" s="40"/>
      <c r="V351" s="40"/>
      <c r="W351" s="40"/>
      <c r="X351" s="41" t="str">
        <f>_xlfn.LET(
    _xlpm.MacVal, _xlfn.XLOOKUP($A351, Output_Mac!$A:$A, Output_Mac!AB:AB, ""),
    _xlpm.MyAuditVal, _xlfn.XLOOKUP($A351, My_Audit!$A:$A, My_Audit!N:N, ""),
    _xlfn.TEXTJOIN(", ", TRUE, _xlpm.MyAuditVal, _xlpm.MacVal)
)</f>
        <v/>
      </c>
    </row>
    <row r="352" spans="1:24">
      <c r="A352" s="40" t="str">
        <f>_xlfn.TEXTJOIN("",TRUE,Input!$B$2,ROW(My_Audit!A351))</f>
        <v>X351</v>
      </c>
      <c r="B352" s="40" t="str">
        <f>_xlfn.TEXTJOIN("-",TRUE,"ITD",Input!$A$2,A352)</f>
        <v>ITD-X351</v>
      </c>
      <c r="C352" s="40" t="str" cm="1">
        <f t="array" ref="C352">IFERROR(_xlfn.LET(
_xlpm.CSVVal,_xlfn.XLOOKUP($A352,CSV!$A:$A,CSV!B:B,""),
_xlpm.MacVal,_xlfn.XLOOKUP($A352,Output_Mac!$A:$A,Output_Mac!B:B,""),
_xlpm.MyAuditVal,_xlfn.XLOOKUP($A352,My_Audit!$A:$A,My_Audit!B:B,""),
_xlfn.IFS(_xlpm.MyAuditVal&lt;&gt;"",UPPER(_xlpm.MyAuditVal),_xlpm.MacVal&lt;&gt;"",_xlpm.MacVal,_xlpm.CSVVal&lt;&gt;"",_xlpm.CSVVal
)),"")</f>
        <v/>
      </c>
      <c r="D352" s="40" t="str" cm="1">
        <f t="array" ref="D352">IFERROR(_xlfn.LET(
_xlpm.CSVVal,_xlfn.XLOOKUP($A352,CSV!$A:$A,CSV!D:D,""),
_xlpm.MacVal,_xlfn.XLOOKUP($A352,Output_Mac!$A:$A,Output_Mac!C:C,""),
_xlpm.MyAuditVal,_xlfn.XLOOKUP($A352,My_Audit!$A:$A,My_Audit!C:C,""),
_xlfn.IFS(_xlpm.MyAuditVal&lt;&gt;"",_xlpm.MyAuditVal,_xlpm.MacVal&lt;&gt;"",_xlpm.MacVal,_xlpm.CSVVal&lt;&gt;"",_xlpm.CSVVal
)),"")</f>
        <v/>
      </c>
      <c r="E352" s="40">
        <f>_xlfn.XLOOKUP(A352,My_Audit!A:A,My_Audit!D:D,"")</f>
        <v>0</v>
      </c>
      <c r="F352" s="40" t="str" cm="1">
        <f t="array" ref="F352">IFERROR(_xlfn.LET(
_xlpm.CSVVal,_xlfn.XLOOKUP($A352,CSV!$A:$A,CSV!F:F,""),
_xlpm.MacVal,_xlfn.XLOOKUP($A352,Output_Mac!$A:$A,Output_Mac!E:E,""),
_xlpm.MyAuditVal,_xlfn.XLOOKUP($A352,My_Audit!$A:$A,My_Audit!E:E,""),
_xlfn.IFS(_xlpm.MyAuditVal&lt;&gt;"",_xlpm.MyAuditVal,_xlpm.MacVal&lt;&gt;"",_xlpm.MacVal,_xlpm.CSVVal&lt;&gt;"",_xlpm.CSVVal
)),"")</f>
        <v/>
      </c>
      <c r="G352" s="40" t="str" cm="1">
        <f t="array" ref="G352">IFERROR(_xlfn.LET(
_xlpm.CSVVal,_xlfn.XLOOKUP($A352,CSV!$A:$A,CSV!G:G,""),
_xlpm.MacVal,_xlfn.XLOOKUP($A352,Output_Mac!$A:$A,Output_Mac!F:F,""),
_xlpm.MyAuditVal,_xlfn.XLOOKUP($A352,My_Audit!$A:$A,My_Audit!F:F,""),
_xlfn.IFS(_xlpm.MyAuditVal&lt;&gt;"",_xlpm.MyAuditVal,_xlpm.MacVal&lt;&gt;"",_xlpm.MacVal,_xlpm.CSVVal&lt;&gt;"",PROPER(_xlpm.CSVVal)
)),"")</f>
        <v/>
      </c>
      <c r="H352" s="40" t="str" cm="1">
        <f t="array" ref="H352">IFERROR(_xlfn.LET(
_xlpm.CSVVal,_xlfn.XLOOKUP($A352,CSV!$A:$A,CSV!H:H,""),
_xlpm.MacVal,_xlfn.XLOOKUP($A352,Output_Mac!$A:$A,Output_Mac!H:H,""),
_xlpm.MyAuditVal,_xlfn.XLOOKUP($A352,My_Audit!$A:$A,My_Audit!G:G,""),
_xlfn.IFS(_xlpm.MyAuditVal&lt;&gt;"",_xlpm.MyAuditVal,_xlpm.MacVal&lt;&gt;"",_xlpm.MacVal,_xlpm.CSVVal&lt;&gt;"",_xlpm.CSVVal
)),"")</f>
        <v/>
      </c>
      <c r="I352" s="40" t="str">
        <f>_xlfn.XLOOKUP(A352,Output_Mac!A:A,Output_Mac!I:I,"")</f>
        <v/>
      </c>
      <c r="J352" s="40" t="str" cm="1">
        <f t="array" ref="J352">IFERROR(_xlfn.LET(
_xlpm.CSVVal,_xlfn.XLOOKUP($A352,CSV!$A:$A,CSV!I:I,""),
_xlpm.MacVal,_xlfn.XLOOKUP($A352,Output_Mac!$A:$A,Output_Mac!J:J,""),
_xlpm.MyAuditVal,_xlfn.XLOOKUP($A352,My_Audit!$A:$A,My_Audit!I:I,""),
_xlfn.IFS(_xlpm.MyAuditVal&lt;&gt;"",UPPER(_xlpm.MyAuditVal),_xlpm.MacVal&lt;&gt;"",_xlpm.MacVal,_xlpm.CSVVal&lt;&gt;"",_xlpm.CSVVal
)),"")</f>
        <v/>
      </c>
      <c r="K352" s="40" t="str" cm="1">
        <f t="array" ref="K352">IFERROR(_xlfn.LET(
_xlpm.CSVVal,_xlfn.XLOOKUP($A352,CSV!$A:$A,CSV!K:K,""),
_xlpm.MacVal,_xlfn.XLOOKUP($A352,Output_Mac!$A:$A,Output_Mac!K:K,""),
_xlpm.MyAuditVal,_xlfn.XLOOKUP($A352,My_Audit!$A:$A,My_Audit!J:J,""),
_xlfn.IFS(_xlpm.MyAuditVal&lt;&gt;"",UPPER(_xlpm.MyAuditVal),_xlpm.MacVal&lt;&gt;"",_xlpm.MacVal,_xlpm.CSVVal&lt;&gt;"",_xlpm.CSVVal
)),"")</f>
        <v/>
      </c>
      <c r="L352" s="40" t="str" cm="1">
        <f t="array" ref="L352">IFERROR(_xlfn.LET(
_xlpm.CSVVal,_xlfn.XLOOKUP($A352,CSV!$A:$A,CSV!P:P,""),
_xlpm.MacVal,_xlfn.XLOOKUP($A352,Output_Mac!$A:$A,Output_Mac!L:L,""),
_xlpm.MyAuditVal,_xlfn.XLOOKUP($A352,My_Audit!$A:$A,My_Audit!K:K,""),
_xlfn.IFS(_xlpm.MyAuditVal&lt;&gt;"",UPPER(_xlpm.MyAuditVal),_xlpm.MacVal&lt;&gt;"",_xlpm.MacVal,_xlpm.CSVVal&lt;&gt;"",_xlpm.CSVVal
)),"")</f>
        <v/>
      </c>
      <c r="M352" s="40" t="str" cm="1">
        <f t="array" ref="M352">IFERROR(_xlfn.LET(
_xlpm.CSVVal,_xlfn.XLOOKUP($A352,CSV!$A:$A,CSV!Q:Q,""),
_xlpm.MacVal,_xlfn.XLOOKUP($A352,Output_Mac!$A:$A,Output_Mac!M:M,""),
_xlpm.MyAuditVal,_xlfn.XLOOKUP($A352,My_Audit!$A:$A,My_Audit!L:L,""),
_xlfn.IFS(_xlpm.MyAuditVal&lt;&gt;"",UPPER(_xlpm.MyAuditVal),_xlpm.MacVal&lt;&gt;"",_xlpm.MacVal,_xlpm.CSVVal&lt;&gt;"",_xlpm.CSVVal
)),"")</f>
        <v/>
      </c>
      <c r="N352" s="40"/>
      <c r="O352" s="40" t="str">
        <f>_xlfn.LET(
    _xlpm.CSVVal, _xlfn.XLOOKUP($A352, CSV!$A:$A, CSV!AA:AA, ""),
    _xlpm.MacVal, _xlfn.XLOOKUP($A352, Output_Mac!$A:$A, Output_Mac!S:S, ""),
    _xlpm.MyAuditVal, _xlfn.XLOOKUP($A352, My_Audit!$A:$A, My_Audit!P:P, ""),
    _xlfn.TEXTJOIN(", ", TRUE, _xlpm.MyAuditVal, _xlpm.MacVal, _xlpm.CSVVal)
)</f>
        <v/>
      </c>
      <c r="P352" s="40" t="str" cm="1">
        <f t="array" ref="P352">IFERROR(_xlfn.LET(
_xlpm.CSVVal,_xlfn.XLOOKUP($A352,CSV!$A:$A,CSV!AB:AB,""),
_xlpm.MacVal,_xlfn.XLOOKUP($A352,Output_Mac!$A:$A,Output_Mac!T:T,""),
_xlpm.MyAuditVal,_xlfn.XLOOKUP($A352,My_Audit!$A:$A,My_Audit!Q:Q,""),
_xlfn.IFS(_xlpm.MyAuditVal&lt;&gt;"",UPPER(_xlpm.MyAuditVal),_xlpm.MacVal&lt;&gt;"",_xlpm.MacVal,_xlpm.CSVVal&lt;&gt;"",_xlpm.CSVVal
)),"No")</f>
        <v>No</v>
      </c>
      <c r="Q352" s="40" t="str" cm="1">
        <f t="array" ref="Q352">IFERROR(_xlfn.LET(
_xlpm.CSVVal,_xlfn.XLOOKUP($A352,CSV!$A:$A,CSV!AC:AC,""),
_xlpm.MacVal,_xlfn.XLOOKUP($A352,Output_Mac!$A:$A,Output_Mac!U:U,""),
_xlpm.MyAuditVal,_xlfn.XLOOKUP($A352,My_Audit!$A:$A,My_Audit!R:R,""),
_xlfn.IFS(_xlpm.MyAuditVal&lt;&gt;"",UPPER(_xlpm.MyAuditVal),_xlpm.MacVal&lt;&gt;"",_xlpm.MacVal,_xlpm.CSVVal&lt;&gt;"",_xlpm.CSVVal
)),"")</f>
        <v/>
      </c>
      <c r="R352" s="40"/>
      <c r="S352" s="40"/>
      <c r="T352" s="40"/>
      <c r="U352" s="40"/>
      <c r="V352" s="40"/>
      <c r="W352" s="40"/>
      <c r="X352" s="41" t="str">
        <f>_xlfn.LET(
    _xlpm.MacVal, _xlfn.XLOOKUP($A352, Output_Mac!$A:$A, Output_Mac!AB:AB, ""),
    _xlpm.MyAuditVal, _xlfn.XLOOKUP($A352, My_Audit!$A:$A, My_Audit!N:N, ""),
    _xlfn.TEXTJOIN(", ", TRUE, _xlpm.MyAuditVal, _xlpm.MacVal)
)</f>
        <v/>
      </c>
    </row>
    <row r="353" spans="1:24">
      <c r="A353" s="40" t="str">
        <f>_xlfn.TEXTJOIN("",TRUE,Input!$B$2,ROW(My_Audit!A352))</f>
        <v>X352</v>
      </c>
      <c r="B353" s="40" t="str">
        <f>_xlfn.TEXTJOIN("-",TRUE,"ITD",Input!$A$2,A353)</f>
        <v>ITD-X352</v>
      </c>
      <c r="C353" s="40" t="str" cm="1">
        <f t="array" ref="C353">IFERROR(_xlfn.LET(
_xlpm.CSVVal,_xlfn.XLOOKUP($A353,CSV!$A:$A,CSV!B:B,""),
_xlpm.MacVal,_xlfn.XLOOKUP($A353,Output_Mac!$A:$A,Output_Mac!B:B,""),
_xlpm.MyAuditVal,_xlfn.XLOOKUP($A353,My_Audit!$A:$A,My_Audit!B:B,""),
_xlfn.IFS(_xlpm.MyAuditVal&lt;&gt;"",UPPER(_xlpm.MyAuditVal),_xlpm.MacVal&lt;&gt;"",_xlpm.MacVal,_xlpm.CSVVal&lt;&gt;"",_xlpm.CSVVal
)),"")</f>
        <v/>
      </c>
      <c r="D353" s="40" t="str" cm="1">
        <f t="array" ref="D353">IFERROR(_xlfn.LET(
_xlpm.CSVVal,_xlfn.XLOOKUP($A353,CSV!$A:$A,CSV!D:D,""),
_xlpm.MacVal,_xlfn.XLOOKUP($A353,Output_Mac!$A:$A,Output_Mac!C:C,""),
_xlpm.MyAuditVal,_xlfn.XLOOKUP($A353,My_Audit!$A:$A,My_Audit!C:C,""),
_xlfn.IFS(_xlpm.MyAuditVal&lt;&gt;"",_xlpm.MyAuditVal,_xlpm.MacVal&lt;&gt;"",_xlpm.MacVal,_xlpm.CSVVal&lt;&gt;"",_xlpm.CSVVal
)),"")</f>
        <v/>
      </c>
      <c r="E353" s="40">
        <f>_xlfn.XLOOKUP(A353,My_Audit!A:A,My_Audit!D:D,"")</f>
        <v>0</v>
      </c>
      <c r="F353" s="40" t="str" cm="1">
        <f t="array" ref="F353">IFERROR(_xlfn.LET(
_xlpm.CSVVal,_xlfn.XLOOKUP($A353,CSV!$A:$A,CSV!F:F,""),
_xlpm.MacVal,_xlfn.XLOOKUP($A353,Output_Mac!$A:$A,Output_Mac!E:E,""),
_xlpm.MyAuditVal,_xlfn.XLOOKUP($A353,My_Audit!$A:$A,My_Audit!E:E,""),
_xlfn.IFS(_xlpm.MyAuditVal&lt;&gt;"",_xlpm.MyAuditVal,_xlpm.MacVal&lt;&gt;"",_xlpm.MacVal,_xlpm.CSVVal&lt;&gt;"",_xlpm.CSVVal
)),"")</f>
        <v/>
      </c>
      <c r="G353" s="40" t="str" cm="1">
        <f t="array" ref="G353">IFERROR(_xlfn.LET(
_xlpm.CSVVal,_xlfn.XLOOKUP($A353,CSV!$A:$A,CSV!G:G,""),
_xlpm.MacVal,_xlfn.XLOOKUP($A353,Output_Mac!$A:$A,Output_Mac!F:F,""),
_xlpm.MyAuditVal,_xlfn.XLOOKUP($A353,My_Audit!$A:$A,My_Audit!F:F,""),
_xlfn.IFS(_xlpm.MyAuditVal&lt;&gt;"",_xlpm.MyAuditVal,_xlpm.MacVal&lt;&gt;"",_xlpm.MacVal,_xlpm.CSVVal&lt;&gt;"",PROPER(_xlpm.CSVVal)
)),"")</f>
        <v/>
      </c>
      <c r="H353" s="40" t="str" cm="1">
        <f t="array" ref="H353">IFERROR(_xlfn.LET(
_xlpm.CSVVal,_xlfn.XLOOKUP($A353,CSV!$A:$A,CSV!H:H,""),
_xlpm.MacVal,_xlfn.XLOOKUP($A353,Output_Mac!$A:$A,Output_Mac!H:H,""),
_xlpm.MyAuditVal,_xlfn.XLOOKUP($A353,My_Audit!$A:$A,My_Audit!G:G,""),
_xlfn.IFS(_xlpm.MyAuditVal&lt;&gt;"",_xlpm.MyAuditVal,_xlpm.MacVal&lt;&gt;"",_xlpm.MacVal,_xlpm.CSVVal&lt;&gt;"",_xlpm.CSVVal
)),"")</f>
        <v/>
      </c>
      <c r="I353" s="40" t="str">
        <f>_xlfn.XLOOKUP(A353,Output_Mac!A:A,Output_Mac!I:I,"")</f>
        <v/>
      </c>
      <c r="J353" s="40" t="str" cm="1">
        <f t="array" ref="J353">IFERROR(_xlfn.LET(
_xlpm.CSVVal,_xlfn.XLOOKUP($A353,CSV!$A:$A,CSV!I:I,""),
_xlpm.MacVal,_xlfn.XLOOKUP($A353,Output_Mac!$A:$A,Output_Mac!J:J,""),
_xlpm.MyAuditVal,_xlfn.XLOOKUP($A353,My_Audit!$A:$A,My_Audit!I:I,""),
_xlfn.IFS(_xlpm.MyAuditVal&lt;&gt;"",UPPER(_xlpm.MyAuditVal),_xlpm.MacVal&lt;&gt;"",_xlpm.MacVal,_xlpm.CSVVal&lt;&gt;"",_xlpm.CSVVal
)),"")</f>
        <v/>
      </c>
      <c r="K353" s="40" t="str" cm="1">
        <f t="array" ref="K353">IFERROR(_xlfn.LET(
_xlpm.CSVVal,_xlfn.XLOOKUP($A353,CSV!$A:$A,CSV!K:K,""),
_xlpm.MacVal,_xlfn.XLOOKUP($A353,Output_Mac!$A:$A,Output_Mac!K:K,""),
_xlpm.MyAuditVal,_xlfn.XLOOKUP($A353,My_Audit!$A:$A,My_Audit!J:J,""),
_xlfn.IFS(_xlpm.MyAuditVal&lt;&gt;"",UPPER(_xlpm.MyAuditVal),_xlpm.MacVal&lt;&gt;"",_xlpm.MacVal,_xlpm.CSVVal&lt;&gt;"",_xlpm.CSVVal
)),"")</f>
        <v/>
      </c>
      <c r="L353" s="40" t="str" cm="1">
        <f t="array" ref="L353">IFERROR(_xlfn.LET(
_xlpm.CSVVal,_xlfn.XLOOKUP($A353,CSV!$A:$A,CSV!P:P,""),
_xlpm.MacVal,_xlfn.XLOOKUP($A353,Output_Mac!$A:$A,Output_Mac!L:L,""),
_xlpm.MyAuditVal,_xlfn.XLOOKUP($A353,My_Audit!$A:$A,My_Audit!K:K,""),
_xlfn.IFS(_xlpm.MyAuditVal&lt;&gt;"",UPPER(_xlpm.MyAuditVal),_xlpm.MacVal&lt;&gt;"",_xlpm.MacVal,_xlpm.CSVVal&lt;&gt;"",_xlpm.CSVVal
)),"")</f>
        <v/>
      </c>
      <c r="M353" s="40" t="str" cm="1">
        <f t="array" ref="M353">IFERROR(_xlfn.LET(
_xlpm.CSVVal,_xlfn.XLOOKUP($A353,CSV!$A:$A,CSV!Q:Q,""),
_xlpm.MacVal,_xlfn.XLOOKUP($A353,Output_Mac!$A:$A,Output_Mac!M:M,""),
_xlpm.MyAuditVal,_xlfn.XLOOKUP($A353,My_Audit!$A:$A,My_Audit!L:L,""),
_xlfn.IFS(_xlpm.MyAuditVal&lt;&gt;"",UPPER(_xlpm.MyAuditVal),_xlpm.MacVal&lt;&gt;"",_xlpm.MacVal,_xlpm.CSVVal&lt;&gt;"",_xlpm.CSVVal
)),"")</f>
        <v/>
      </c>
      <c r="N353" s="40"/>
      <c r="O353" s="40" t="str">
        <f>_xlfn.LET(
    _xlpm.CSVVal, _xlfn.XLOOKUP($A353, CSV!$A:$A, CSV!AA:AA, ""),
    _xlpm.MacVal, _xlfn.XLOOKUP($A353, Output_Mac!$A:$A, Output_Mac!S:S, ""),
    _xlpm.MyAuditVal, _xlfn.XLOOKUP($A353, My_Audit!$A:$A, My_Audit!P:P, ""),
    _xlfn.TEXTJOIN(", ", TRUE, _xlpm.MyAuditVal, _xlpm.MacVal, _xlpm.CSVVal)
)</f>
        <v/>
      </c>
      <c r="P353" s="40" t="str" cm="1">
        <f t="array" ref="P353">IFERROR(_xlfn.LET(
_xlpm.CSVVal,_xlfn.XLOOKUP($A353,CSV!$A:$A,CSV!AB:AB,""),
_xlpm.MacVal,_xlfn.XLOOKUP($A353,Output_Mac!$A:$A,Output_Mac!T:T,""),
_xlpm.MyAuditVal,_xlfn.XLOOKUP($A353,My_Audit!$A:$A,My_Audit!Q:Q,""),
_xlfn.IFS(_xlpm.MyAuditVal&lt;&gt;"",UPPER(_xlpm.MyAuditVal),_xlpm.MacVal&lt;&gt;"",_xlpm.MacVal,_xlpm.CSVVal&lt;&gt;"",_xlpm.CSVVal
)),"No")</f>
        <v>No</v>
      </c>
      <c r="Q353" s="40" t="str" cm="1">
        <f t="array" ref="Q353">IFERROR(_xlfn.LET(
_xlpm.CSVVal,_xlfn.XLOOKUP($A353,CSV!$A:$A,CSV!AC:AC,""),
_xlpm.MacVal,_xlfn.XLOOKUP($A353,Output_Mac!$A:$A,Output_Mac!U:U,""),
_xlpm.MyAuditVal,_xlfn.XLOOKUP($A353,My_Audit!$A:$A,My_Audit!R:R,""),
_xlfn.IFS(_xlpm.MyAuditVal&lt;&gt;"",UPPER(_xlpm.MyAuditVal),_xlpm.MacVal&lt;&gt;"",_xlpm.MacVal,_xlpm.CSVVal&lt;&gt;"",_xlpm.CSVVal
)),"")</f>
        <v/>
      </c>
      <c r="R353" s="40"/>
      <c r="S353" s="40"/>
      <c r="T353" s="40"/>
      <c r="U353" s="40"/>
      <c r="V353" s="40"/>
      <c r="W353" s="40"/>
      <c r="X353" s="41" t="str">
        <f>_xlfn.LET(
    _xlpm.MacVal, _xlfn.XLOOKUP($A353, Output_Mac!$A:$A, Output_Mac!AB:AB, ""),
    _xlpm.MyAuditVal, _xlfn.XLOOKUP($A353, My_Audit!$A:$A, My_Audit!N:N, ""),
    _xlfn.TEXTJOIN(", ", TRUE, _xlpm.MyAuditVal, _xlpm.MacVal)
)</f>
        <v/>
      </c>
    </row>
    <row r="354" spans="1:24">
      <c r="A354" s="40" t="str">
        <f>_xlfn.TEXTJOIN("",TRUE,Input!$B$2,ROW(My_Audit!A353))</f>
        <v>X353</v>
      </c>
      <c r="B354" s="40" t="str">
        <f>_xlfn.TEXTJOIN("-",TRUE,"ITD",Input!$A$2,A354)</f>
        <v>ITD-X353</v>
      </c>
      <c r="C354" s="40" t="str" cm="1">
        <f t="array" ref="C354">IFERROR(_xlfn.LET(
_xlpm.CSVVal,_xlfn.XLOOKUP($A354,CSV!$A:$A,CSV!B:B,""),
_xlpm.MacVal,_xlfn.XLOOKUP($A354,Output_Mac!$A:$A,Output_Mac!B:B,""),
_xlpm.MyAuditVal,_xlfn.XLOOKUP($A354,My_Audit!$A:$A,My_Audit!B:B,""),
_xlfn.IFS(_xlpm.MyAuditVal&lt;&gt;"",UPPER(_xlpm.MyAuditVal),_xlpm.MacVal&lt;&gt;"",_xlpm.MacVal,_xlpm.CSVVal&lt;&gt;"",_xlpm.CSVVal
)),"")</f>
        <v/>
      </c>
      <c r="D354" s="40" t="str" cm="1">
        <f t="array" ref="D354">IFERROR(_xlfn.LET(
_xlpm.CSVVal,_xlfn.XLOOKUP($A354,CSV!$A:$A,CSV!D:D,""),
_xlpm.MacVal,_xlfn.XLOOKUP($A354,Output_Mac!$A:$A,Output_Mac!C:C,""),
_xlpm.MyAuditVal,_xlfn.XLOOKUP($A354,My_Audit!$A:$A,My_Audit!C:C,""),
_xlfn.IFS(_xlpm.MyAuditVal&lt;&gt;"",_xlpm.MyAuditVal,_xlpm.MacVal&lt;&gt;"",_xlpm.MacVal,_xlpm.CSVVal&lt;&gt;"",_xlpm.CSVVal
)),"")</f>
        <v/>
      </c>
      <c r="E354" s="40">
        <f>_xlfn.XLOOKUP(A354,My_Audit!A:A,My_Audit!D:D,"")</f>
        <v>0</v>
      </c>
      <c r="F354" s="40" t="str" cm="1">
        <f t="array" ref="F354">IFERROR(_xlfn.LET(
_xlpm.CSVVal,_xlfn.XLOOKUP($A354,CSV!$A:$A,CSV!F:F,""),
_xlpm.MacVal,_xlfn.XLOOKUP($A354,Output_Mac!$A:$A,Output_Mac!E:E,""),
_xlpm.MyAuditVal,_xlfn.XLOOKUP($A354,My_Audit!$A:$A,My_Audit!E:E,""),
_xlfn.IFS(_xlpm.MyAuditVal&lt;&gt;"",_xlpm.MyAuditVal,_xlpm.MacVal&lt;&gt;"",_xlpm.MacVal,_xlpm.CSVVal&lt;&gt;"",_xlpm.CSVVal
)),"")</f>
        <v/>
      </c>
      <c r="G354" s="40" t="str" cm="1">
        <f t="array" ref="G354">IFERROR(_xlfn.LET(
_xlpm.CSVVal,_xlfn.XLOOKUP($A354,CSV!$A:$A,CSV!G:G,""),
_xlpm.MacVal,_xlfn.XLOOKUP($A354,Output_Mac!$A:$A,Output_Mac!F:F,""),
_xlpm.MyAuditVal,_xlfn.XLOOKUP($A354,My_Audit!$A:$A,My_Audit!F:F,""),
_xlfn.IFS(_xlpm.MyAuditVal&lt;&gt;"",_xlpm.MyAuditVal,_xlpm.MacVal&lt;&gt;"",_xlpm.MacVal,_xlpm.CSVVal&lt;&gt;"",PROPER(_xlpm.CSVVal)
)),"")</f>
        <v/>
      </c>
      <c r="H354" s="40" t="str" cm="1">
        <f t="array" ref="H354">IFERROR(_xlfn.LET(
_xlpm.CSVVal,_xlfn.XLOOKUP($A354,CSV!$A:$A,CSV!H:H,""),
_xlpm.MacVal,_xlfn.XLOOKUP($A354,Output_Mac!$A:$A,Output_Mac!H:H,""),
_xlpm.MyAuditVal,_xlfn.XLOOKUP($A354,My_Audit!$A:$A,My_Audit!G:G,""),
_xlfn.IFS(_xlpm.MyAuditVal&lt;&gt;"",_xlpm.MyAuditVal,_xlpm.MacVal&lt;&gt;"",_xlpm.MacVal,_xlpm.CSVVal&lt;&gt;"",_xlpm.CSVVal
)),"")</f>
        <v/>
      </c>
      <c r="I354" s="40" t="str">
        <f>_xlfn.XLOOKUP(A354,Output_Mac!A:A,Output_Mac!I:I,"")</f>
        <v/>
      </c>
      <c r="J354" s="40" t="str" cm="1">
        <f t="array" ref="J354">IFERROR(_xlfn.LET(
_xlpm.CSVVal,_xlfn.XLOOKUP($A354,CSV!$A:$A,CSV!I:I,""),
_xlpm.MacVal,_xlfn.XLOOKUP($A354,Output_Mac!$A:$A,Output_Mac!J:J,""),
_xlpm.MyAuditVal,_xlfn.XLOOKUP($A354,My_Audit!$A:$A,My_Audit!I:I,""),
_xlfn.IFS(_xlpm.MyAuditVal&lt;&gt;"",UPPER(_xlpm.MyAuditVal),_xlpm.MacVal&lt;&gt;"",_xlpm.MacVal,_xlpm.CSVVal&lt;&gt;"",_xlpm.CSVVal
)),"")</f>
        <v/>
      </c>
      <c r="K354" s="40" t="str" cm="1">
        <f t="array" ref="K354">IFERROR(_xlfn.LET(
_xlpm.CSVVal,_xlfn.XLOOKUP($A354,CSV!$A:$A,CSV!K:K,""),
_xlpm.MacVal,_xlfn.XLOOKUP($A354,Output_Mac!$A:$A,Output_Mac!K:K,""),
_xlpm.MyAuditVal,_xlfn.XLOOKUP($A354,My_Audit!$A:$A,My_Audit!J:J,""),
_xlfn.IFS(_xlpm.MyAuditVal&lt;&gt;"",UPPER(_xlpm.MyAuditVal),_xlpm.MacVal&lt;&gt;"",_xlpm.MacVal,_xlpm.CSVVal&lt;&gt;"",_xlpm.CSVVal
)),"")</f>
        <v/>
      </c>
      <c r="L354" s="40" t="str" cm="1">
        <f t="array" ref="L354">IFERROR(_xlfn.LET(
_xlpm.CSVVal,_xlfn.XLOOKUP($A354,CSV!$A:$A,CSV!P:P,""),
_xlpm.MacVal,_xlfn.XLOOKUP($A354,Output_Mac!$A:$A,Output_Mac!L:L,""),
_xlpm.MyAuditVal,_xlfn.XLOOKUP($A354,My_Audit!$A:$A,My_Audit!K:K,""),
_xlfn.IFS(_xlpm.MyAuditVal&lt;&gt;"",UPPER(_xlpm.MyAuditVal),_xlpm.MacVal&lt;&gt;"",_xlpm.MacVal,_xlpm.CSVVal&lt;&gt;"",_xlpm.CSVVal
)),"")</f>
        <v/>
      </c>
      <c r="M354" s="40" t="str" cm="1">
        <f t="array" ref="M354">IFERROR(_xlfn.LET(
_xlpm.CSVVal,_xlfn.XLOOKUP($A354,CSV!$A:$A,CSV!Q:Q,""),
_xlpm.MacVal,_xlfn.XLOOKUP($A354,Output_Mac!$A:$A,Output_Mac!M:M,""),
_xlpm.MyAuditVal,_xlfn.XLOOKUP($A354,My_Audit!$A:$A,My_Audit!L:L,""),
_xlfn.IFS(_xlpm.MyAuditVal&lt;&gt;"",UPPER(_xlpm.MyAuditVal),_xlpm.MacVal&lt;&gt;"",_xlpm.MacVal,_xlpm.CSVVal&lt;&gt;"",_xlpm.CSVVal
)),"")</f>
        <v/>
      </c>
      <c r="N354" s="40"/>
      <c r="O354" s="40" t="str">
        <f>_xlfn.LET(
    _xlpm.CSVVal, _xlfn.XLOOKUP($A354, CSV!$A:$A, CSV!AA:AA, ""),
    _xlpm.MacVal, _xlfn.XLOOKUP($A354, Output_Mac!$A:$A, Output_Mac!S:S, ""),
    _xlpm.MyAuditVal, _xlfn.XLOOKUP($A354, My_Audit!$A:$A, My_Audit!P:P, ""),
    _xlfn.TEXTJOIN(", ", TRUE, _xlpm.MyAuditVal, _xlpm.MacVal, _xlpm.CSVVal)
)</f>
        <v/>
      </c>
      <c r="P354" s="40" t="str" cm="1">
        <f t="array" ref="P354">IFERROR(_xlfn.LET(
_xlpm.CSVVal,_xlfn.XLOOKUP($A354,CSV!$A:$A,CSV!AB:AB,""),
_xlpm.MacVal,_xlfn.XLOOKUP($A354,Output_Mac!$A:$A,Output_Mac!T:T,""),
_xlpm.MyAuditVal,_xlfn.XLOOKUP($A354,My_Audit!$A:$A,My_Audit!Q:Q,""),
_xlfn.IFS(_xlpm.MyAuditVal&lt;&gt;"",UPPER(_xlpm.MyAuditVal),_xlpm.MacVal&lt;&gt;"",_xlpm.MacVal,_xlpm.CSVVal&lt;&gt;"",_xlpm.CSVVal
)),"No")</f>
        <v>No</v>
      </c>
      <c r="Q354" s="40" t="str" cm="1">
        <f t="array" ref="Q354">IFERROR(_xlfn.LET(
_xlpm.CSVVal,_xlfn.XLOOKUP($A354,CSV!$A:$A,CSV!AC:AC,""),
_xlpm.MacVal,_xlfn.XLOOKUP($A354,Output_Mac!$A:$A,Output_Mac!U:U,""),
_xlpm.MyAuditVal,_xlfn.XLOOKUP($A354,My_Audit!$A:$A,My_Audit!R:R,""),
_xlfn.IFS(_xlpm.MyAuditVal&lt;&gt;"",UPPER(_xlpm.MyAuditVal),_xlpm.MacVal&lt;&gt;"",_xlpm.MacVal,_xlpm.CSVVal&lt;&gt;"",_xlpm.CSVVal
)),"")</f>
        <v/>
      </c>
      <c r="R354" s="40"/>
      <c r="S354" s="40"/>
      <c r="T354" s="40"/>
      <c r="U354" s="40"/>
      <c r="V354" s="40"/>
      <c r="W354" s="40"/>
      <c r="X354" s="41" t="str">
        <f>_xlfn.LET(
    _xlpm.MacVal, _xlfn.XLOOKUP($A354, Output_Mac!$A:$A, Output_Mac!AB:AB, ""),
    _xlpm.MyAuditVal, _xlfn.XLOOKUP($A354, My_Audit!$A:$A, My_Audit!N:N, ""),
    _xlfn.TEXTJOIN(", ", TRUE, _xlpm.MyAuditVal, _xlpm.MacVal)
)</f>
        <v/>
      </c>
    </row>
    <row r="355" spans="1:24">
      <c r="A355" s="40" t="str">
        <f>_xlfn.TEXTJOIN("",TRUE,Input!$B$2,ROW(My_Audit!A354))</f>
        <v>X354</v>
      </c>
      <c r="B355" s="40" t="str">
        <f>_xlfn.TEXTJOIN("-",TRUE,"ITD",Input!$A$2,A355)</f>
        <v>ITD-X354</v>
      </c>
      <c r="C355" s="40" t="str" cm="1">
        <f t="array" ref="C355">IFERROR(_xlfn.LET(
_xlpm.CSVVal,_xlfn.XLOOKUP($A355,CSV!$A:$A,CSV!B:B,""),
_xlpm.MacVal,_xlfn.XLOOKUP($A355,Output_Mac!$A:$A,Output_Mac!B:B,""),
_xlpm.MyAuditVal,_xlfn.XLOOKUP($A355,My_Audit!$A:$A,My_Audit!B:B,""),
_xlfn.IFS(_xlpm.MyAuditVal&lt;&gt;"",UPPER(_xlpm.MyAuditVal),_xlpm.MacVal&lt;&gt;"",_xlpm.MacVal,_xlpm.CSVVal&lt;&gt;"",_xlpm.CSVVal
)),"")</f>
        <v/>
      </c>
      <c r="D355" s="40" t="str" cm="1">
        <f t="array" ref="D355">IFERROR(_xlfn.LET(
_xlpm.CSVVal,_xlfn.XLOOKUP($A355,CSV!$A:$A,CSV!D:D,""),
_xlpm.MacVal,_xlfn.XLOOKUP($A355,Output_Mac!$A:$A,Output_Mac!C:C,""),
_xlpm.MyAuditVal,_xlfn.XLOOKUP($A355,My_Audit!$A:$A,My_Audit!C:C,""),
_xlfn.IFS(_xlpm.MyAuditVal&lt;&gt;"",_xlpm.MyAuditVal,_xlpm.MacVal&lt;&gt;"",_xlpm.MacVal,_xlpm.CSVVal&lt;&gt;"",_xlpm.CSVVal
)),"")</f>
        <v/>
      </c>
      <c r="E355" s="40">
        <f>_xlfn.XLOOKUP(A355,My_Audit!A:A,My_Audit!D:D,"")</f>
        <v>0</v>
      </c>
      <c r="F355" s="40" t="str" cm="1">
        <f t="array" ref="F355">IFERROR(_xlfn.LET(
_xlpm.CSVVal,_xlfn.XLOOKUP($A355,CSV!$A:$A,CSV!F:F,""),
_xlpm.MacVal,_xlfn.XLOOKUP($A355,Output_Mac!$A:$A,Output_Mac!E:E,""),
_xlpm.MyAuditVal,_xlfn.XLOOKUP($A355,My_Audit!$A:$A,My_Audit!E:E,""),
_xlfn.IFS(_xlpm.MyAuditVal&lt;&gt;"",_xlpm.MyAuditVal,_xlpm.MacVal&lt;&gt;"",_xlpm.MacVal,_xlpm.CSVVal&lt;&gt;"",_xlpm.CSVVal
)),"")</f>
        <v/>
      </c>
      <c r="G355" s="40" t="str" cm="1">
        <f t="array" ref="G355">IFERROR(_xlfn.LET(
_xlpm.CSVVal,_xlfn.XLOOKUP($A355,CSV!$A:$A,CSV!G:G,""),
_xlpm.MacVal,_xlfn.XLOOKUP($A355,Output_Mac!$A:$A,Output_Mac!F:F,""),
_xlpm.MyAuditVal,_xlfn.XLOOKUP($A355,My_Audit!$A:$A,My_Audit!F:F,""),
_xlfn.IFS(_xlpm.MyAuditVal&lt;&gt;"",_xlpm.MyAuditVal,_xlpm.MacVal&lt;&gt;"",_xlpm.MacVal,_xlpm.CSVVal&lt;&gt;"",PROPER(_xlpm.CSVVal)
)),"")</f>
        <v/>
      </c>
      <c r="H355" s="40" t="str" cm="1">
        <f t="array" ref="H355">IFERROR(_xlfn.LET(
_xlpm.CSVVal,_xlfn.XLOOKUP($A355,CSV!$A:$A,CSV!H:H,""),
_xlpm.MacVal,_xlfn.XLOOKUP($A355,Output_Mac!$A:$A,Output_Mac!H:H,""),
_xlpm.MyAuditVal,_xlfn.XLOOKUP($A355,My_Audit!$A:$A,My_Audit!G:G,""),
_xlfn.IFS(_xlpm.MyAuditVal&lt;&gt;"",_xlpm.MyAuditVal,_xlpm.MacVal&lt;&gt;"",_xlpm.MacVal,_xlpm.CSVVal&lt;&gt;"",_xlpm.CSVVal
)),"")</f>
        <v/>
      </c>
      <c r="I355" s="40" t="str">
        <f>_xlfn.XLOOKUP(A355,Output_Mac!A:A,Output_Mac!I:I,"")</f>
        <v/>
      </c>
      <c r="J355" s="40" t="str" cm="1">
        <f t="array" ref="J355">IFERROR(_xlfn.LET(
_xlpm.CSVVal,_xlfn.XLOOKUP($A355,CSV!$A:$A,CSV!I:I,""),
_xlpm.MacVal,_xlfn.XLOOKUP($A355,Output_Mac!$A:$A,Output_Mac!J:J,""),
_xlpm.MyAuditVal,_xlfn.XLOOKUP($A355,My_Audit!$A:$A,My_Audit!I:I,""),
_xlfn.IFS(_xlpm.MyAuditVal&lt;&gt;"",UPPER(_xlpm.MyAuditVal),_xlpm.MacVal&lt;&gt;"",_xlpm.MacVal,_xlpm.CSVVal&lt;&gt;"",_xlpm.CSVVal
)),"")</f>
        <v/>
      </c>
      <c r="K355" s="40" t="str" cm="1">
        <f t="array" ref="K355">IFERROR(_xlfn.LET(
_xlpm.CSVVal,_xlfn.XLOOKUP($A355,CSV!$A:$A,CSV!K:K,""),
_xlpm.MacVal,_xlfn.XLOOKUP($A355,Output_Mac!$A:$A,Output_Mac!K:K,""),
_xlpm.MyAuditVal,_xlfn.XLOOKUP($A355,My_Audit!$A:$A,My_Audit!J:J,""),
_xlfn.IFS(_xlpm.MyAuditVal&lt;&gt;"",UPPER(_xlpm.MyAuditVal),_xlpm.MacVal&lt;&gt;"",_xlpm.MacVal,_xlpm.CSVVal&lt;&gt;"",_xlpm.CSVVal
)),"")</f>
        <v/>
      </c>
      <c r="L355" s="40" t="str" cm="1">
        <f t="array" ref="L355">IFERROR(_xlfn.LET(
_xlpm.CSVVal,_xlfn.XLOOKUP($A355,CSV!$A:$A,CSV!P:P,""),
_xlpm.MacVal,_xlfn.XLOOKUP($A355,Output_Mac!$A:$A,Output_Mac!L:L,""),
_xlpm.MyAuditVal,_xlfn.XLOOKUP($A355,My_Audit!$A:$A,My_Audit!K:K,""),
_xlfn.IFS(_xlpm.MyAuditVal&lt;&gt;"",UPPER(_xlpm.MyAuditVal),_xlpm.MacVal&lt;&gt;"",_xlpm.MacVal,_xlpm.CSVVal&lt;&gt;"",_xlpm.CSVVal
)),"")</f>
        <v/>
      </c>
      <c r="M355" s="40" t="str" cm="1">
        <f t="array" ref="M355">IFERROR(_xlfn.LET(
_xlpm.CSVVal,_xlfn.XLOOKUP($A355,CSV!$A:$A,CSV!Q:Q,""),
_xlpm.MacVal,_xlfn.XLOOKUP($A355,Output_Mac!$A:$A,Output_Mac!M:M,""),
_xlpm.MyAuditVal,_xlfn.XLOOKUP($A355,My_Audit!$A:$A,My_Audit!L:L,""),
_xlfn.IFS(_xlpm.MyAuditVal&lt;&gt;"",UPPER(_xlpm.MyAuditVal),_xlpm.MacVal&lt;&gt;"",_xlpm.MacVal,_xlpm.CSVVal&lt;&gt;"",_xlpm.CSVVal
)),"")</f>
        <v/>
      </c>
      <c r="N355" s="40"/>
      <c r="O355" s="40" t="str">
        <f>_xlfn.LET(
    _xlpm.CSVVal, _xlfn.XLOOKUP($A355, CSV!$A:$A, CSV!AA:AA, ""),
    _xlpm.MacVal, _xlfn.XLOOKUP($A355, Output_Mac!$A:$A, Output_Mac!S:S, ""),
    _xlpm.MyAuditVal, _xlfn.XLOOKUP($A355, My_Audit!$A:$A, My_Audit!P:P, ""),
    _xlfn.TEXTJOIN(", ", TRUE, _xlpm.MyAuditVal, _xlpm.MacVal, _xlpm.CSVVal)
)</f>
        <v/>
      </c>
      <c r="P355" s="40" t="str" cm="1">
        <f t="array" ref="P355">IFERROR(_xlfn.LET(
_xlpm.CSVVal,_xlfn.XLOOKUP($A355,CSV!$A:$A,CSV!AB:AB,""),
_xlpm.MacVal,_xlfn.XLOOKUP($A355,Output_Mac!$A:$A,Output_Mac!T:T,""),
_xlpm.MyAuditVal,_xlfn.XLOOKUP($A355,My_Audit!$A:$A,My_Audit!Q:Q,""),
_xlfn.IFS(_xlpm.MyAuditVal&lt;&gt;"",UPPER(_xlpm.MyAuditVal),_xlpm.MacVal&lt;&gt;"",_xlpm.MacVal,_xlpm.CSVVal&lt;&gt;"",_xlpm.CSVVal
)),"No")</f>
        <v>No</v>
      </c>
      <c r="Q355" s="40" t="str" cm="1">
        <f t="array" ref="Q355">IFERROR(_xlfn.LET(
_xlpm.CSVVal,_xlfn.XLOOKUP($A355,CSV!$A:$A,CSV!AC:AC,""),
_xlpm.MacVal,_xlfn.XLOOKUP($A355,Output_Mac!$A:$A,Output_Mac!U:U,""),
_xlpm.MyAuditVal,_xlfn.XLOOKUP($A355,My_Audit!$A:$A,My_Audit!R:R,""),
_xlfn.IFS(_xlpm.MyAuditVal&lt;&gt;"",UPPER(_xlpm.MyAuditVal),_xlpm.MacVal&lt;&gt;"",_xlpm.MacVal,_xlpm.CSVVal&lt;&gt;"",_xlpm.CSVVal
)),"")</f>
        <v/>
      </c>
      <c r="R355" s="40"/>
      <c r="S355" s="40"/>
      <c r="T355" s="40"/>
      <c r="U355" s="40"/>
      <c r="V355" s="40"/>
      <c r="W355" s="40"/>
      <c r="X355" s="41" t="str">
        <f>_xlfn.LET(
    _xlpm.MacVal, _xlfn.XLOOKUP($A355, Output_Mac!$A:$A, Output_Mac!AB:AB, ""),
    _xlpm.MyAuditVal, _xlfn.XLOOKUP($A355, My_Audit!$A:$A, My_Audit!N:N, ""),
    _xlfn.TEXTJOIN(", ", TRUE, _xlpm.MyAuditVal, _xlpm.MacVal)
)</f>
        <v/>
      </c>
    </row>
    <row r="356" spans="1:24">
      <c r="A356" s="40" t="str">
        <f>_xlfn.TEXTJOIN("",TRUE,Input!$B$2,ROW(My_Audit!A355))</f>
        <v>X355</v>
      </c>
      <c r="B356" s="40" t="str">
        <f>_xlfn.TEXTJOIN("-",TRUE,"ITD",Input!$A$2,A356)</f>
        <v>ITD-X355</v>
      </c>
      <c r="C356" s="40" t="str" cm="1">
        <f t="array" ref="C356">IFERROR(_xlfn.LET(
_xlpm.CSVVal,_xlfn.XLOOKUP($A356,CSV!$A:$A,CSV!B:B,""),
_xlpm.MacVal,_xlfn.XLOOKUP($A356,Output_Mac!$A:$A,Output_Mac!B:B,""),
_xlpm.MyAuditVal,_xlfn.XLOOKUP($A356,My_Audit!$A:$A,My_Audit!B:B,""),
_xlfn.IFS(_xlpm.MyAuditVal&lt;&gt;"",UPPER(_xlpm.MyAuditVal),_xlpm.MacVal&lt;&gt;"",_xlpm.MacVal,_xlpm.CSVVal&lt;&gt;"",_xlpm.CSVVal
)),"")</f>
        <v/>
      </c>
      <c r="D356" s="40" t="str" cm="1">
        <f t="array" ref="D356">IFERROR(_xlfn.LET(
_xlpm.CSVVal,_xlfn.XLOOKUP($A356,CSV!$A:$A,CSV!D:D,""),
_xlpm.MacVal,_xlfn.XLOOKUP($A356,Output_Mac!$A:$A,Output_Mac!C:C,""),
_xlpm.MyAuditVal,_xlfn.XLOOKUP($A356,My_Audit!$A:$A,My_Audit!C:C,""),
_xlfn.IFS(_xlpm.MyAuditVal&lt;&gt;"",_xlpm.MyAuditVal,_xlpm.MacVal&lt;&gt;"",_xlpm.MacVal,_xlpm.CSVVal&lt;&gt;"",_xlpm.CSVVal
)),"")</f>
        <v/>
      </c>
      <c r="E356" s="40">
        <f>_xlfn.XLOOKUP(A356,My_Audit!A:A,My_Audit!D:D,"")</f>
        <v>0</v>
      </c>
      <c r="F356" s="40" t="str" cm="1">
        <f t="array" ref="F356">IFERROR(_xlfn.LET(
_xlpm.CSVVal,_xlfn.XLOOKUP($A356,CSV!$A:$A,CSV!F:F,""),
_xlpm.MacVal,_xlfn.XLOOKUP($A356,Output_Mac!$A:$A,Output_Mac!E:E,""),
_xlpm.MyAuditVal,_xlfn.XLOOKUP($A356,My_Audit!$A:$A,My_Audit!E:E,""),
_xlfn.IFS(_xlpm.MyAuditVal&lt;&gt;"",_xlpm.MyAuditVal,_xlpm.MacVal&lt;&gt;"",_xlpm.MacVal,_xlpm.CSVVal&lt;&gt;"",_xlpm.CSVVal
)),"")</f>
        <v/>
      </c>
      <c r="G356" s="40" t="str" cm="1">
        <f t="array" ref="G356">IFERROR(_xlfn.LET(
_xlpm.CSVVal,_xlfn.XLOOKUP($A356,CSV!$A:$A,CSV!G:G,""),
_xlpm.MacVal,_xlfn.XLOOKUP($A356,Output_Mac!$A:$A,Output_Mac!F:F,""),
_xlpm.MyAuditVal,_xlfn.XLOOKUP($A356,My_Audit!$A:$A,My_Audit!F:F,""),
_xlfn.IFS(_xlpm.MyAuditVal&lt;&gt;"",_xlpm.MyAuditVal,_xlpm.MacVal&lt;&gt;"",_xlpm.MacVal,_xlpm.CSVVal&lt;&gt;"",PROPER(_xlpm.CSVVal)
)),"")</f>
        <v/>
      </c>
      <c r="H356" s="40" t="str" cm="1">
        <f t="array" ref="H356">IFERROR(_xlfn.LET(
_xlpm.CSVVal,_xlfn.XLOOKUP($A356,CSV!$A:$A,CSV!H:H,""),
_xlpm.MacVal,_xlfn.XLOOKUP($A356,Output_Mac!$A:$A,Output_Mac!H:H,""),
_xlpm.MyAuditVal,_xlfn.XLOOKUP($A356,My_Audit!$A:$A,My_Audit!G:G,""),
_xlfn.IFS(_xlpm.MyAuditVal&lt;&gt;"",_xlpm.MyAuditVal,_xlpm.MacVal&lt;&gt;"",_xlpm.MacVal,_xlpm.CSVVal&lt;&gt;"",_xlpm.CSVVal
)),"")</f>
        <v/>
      </c>
      <c r="I356" s="40" t="str">
        <f>_xlfn.XLOOKUP(A356,Output_Mac!A:A,Output_Mac!I:I,"")</f>
        <v/>
      </c>
      <c r="J356" s="40" t="str" cm="1">
        <f t="array" ref="J356">IFERROR(_xlfn.LET(
_xlpm.CSVVal,_xlfn.XLOOKUP($A356,CSV!$A:$A,CSV!I:I,""),
_xlpm.MacVal,_xlfn.XLOOKUP($A356,Output_Mac!$A:$A,Output_Mac!J:J,""),
_xlpm.MyAuditVal,_xlfn.XLOOKUP($A356,My_Audit!$A:$A,My_Audit!I:I,""),
_xlfn.IFS(_xlpm.MyAuditVal&lt;&gt;"",UPPER(_xlpm.MyAuditVal),_xlpm.MacVal&lt;&gt;"",_xlpm.MacVal,_xlpm.CSVVal&lt;&gt;"",_xlpm.CSVVal
)),"")</f>
        <v/>
      </c>
      <c r="K356" s="40" t="str" cm="1">
        <f t="array" ref="K356">IFERROR(_xlfn.LET(
_xlpm.CSVVal,_xlfn.XLOOKUP($A356,CSV!$A:$A,CSV!K:K,""),
_xlpm.MacVal,_xlfn.XLOOKUP($A356,Output_Mac!$A:$A,Output_Mac!K:K,""),
_xlpm.MyAuditVal,_xlfn.XLOOKUP($A356,My_Audit!$A:$A,My_Audit!J:J,""),
_xlfn.IFS(_xlpm.MyAuditVal&lt;&gt;"",UPPER(_xlpm.MyAuditVal),_xlpm.MacVal&lt;&gt;"",_xlpm.MacVal,_xlpm.CSVVal&lt;&gt;"",_xlpm.CSVVal
)),"")</f>
        <v/>
      </c>
      <c r="L356" s="40" t="str" cm="1">
        <f t="array" ref="L356">IFERROR(_xlfn.LET(
_xlpm.CSVVal,_xlfn.XLOOKUP($A356,CSV!$A:$A,CSV!P:P,""),
_xlpm.MacVal,_xlfn.XLOOKUP($A356,Output_Mac!$A:$A,Output_Mac!L:L,""),
_xlpm.MyAuditVal,_xlfn.XLOOKUP($A356,My_Audit!$A:$A,My_Audit!K:K,""),
_xlfn.IFS(_xlpm.MyAuditVal&lt;&gt;"",UPPER(_xlpm.MyAuditVal),_xlpm.MacVal&lt;&gt;"",_xlpm.MacVal,_xlpm.CSVVal&lt;&gt;"",_xlpm.CSVVal
)),"")</f>
        <v/>
      </c>
      <c r="M356" s="40" t="str" cm="1">
        <f t="array" ref="M356">IFERROR(_xlfn.LET(
_xlpm.CSVVal,_xlfn.XLOOKUP($A356,CSV!$A:$A,CSV!Q:Q,""),
_xlpm.MacVal,_xlfn.XLOOKUP($A356,Output_Mac!$A:$A,Output_Mac!M:M,""),
_xlpm.MyAuditVal,_xlfn.XLOOKUP($A356,My_Audit!$A:$A,My_Audit!L:L,""),
_xlfn.IFS(_xlpm.MyAuditVal&lt;&gt;"",UPPER(_xlpm.MyAuditVal),_xlpm.MacVal&lt;&gt;"",_xlpm.MacVal,_xlpm.CSVVal&lt;&gt;"",_xlpm.CSVVal
)),"")</f>
        <v/>
      </c>
      <c r="N356" s="40"/>
      <c r="O356" s="40" t="str">
        <f>_xlfn.LET(
    _xlpm.CSVVal, _xlfn.XLOOKUP($A356, CSV!$A:$A, CSV!AA:AA, ""),
    _xlpm.MacVal, _xlfn.XLOOKUP($A356, Output_Mac!$A:$A, Output_Mac!S:S, ""),
    _xlpm.MyAuditVal, _xlfn.XLOOKUP($A356, My_Audit!$A:$A, My_Audit!P:P, ""),
    _xlfn.TEXTJOIN(", ", TRUE, _xlpm.MyAuditVal, _xlpm.MacVal, _xlpm.CSVVal)
)</f>
        <v/>
      </c>
      <c r="P356" s="40" t="str" cm="1">
        <f t="array" ref="P356">IFERROR(_xlfn.LET(
_xlpm.CSVVal,_xlfn.XLOOKUP($A356,CSV!$A:$A,CSV!AB:AB,""),
_xlpm.MacVal,_xlfn.XLOOKUP($A356,Output_Mac!$A:$A,Output_Mac!T:T,""),
_xlpm.MyAuditVal,_xlfn.XLOOKUP($A356,My_Audit!$A:$A,My_Audit!Q:Q,""),
_xlfn.IFS(_xlpm.MyAuditVal&lt;&gt;"",UPPER(_xlpm.MyAuditVal),_xlpm.MacVal&lt;&gt;"",_xlpm.MacVal,_xlpm.CSVVal&lt;&gt;"",_xlpm.CSVVal
)),"No")</f>
        <v>No</v>
      </c>
      <c r="Q356" s="40" t="str" cm="1">
        <f t="array" ref="Q356">IFERROR(_xlfn.LET(
_xlpm.CSVVal,_xlfn.XLOOKUP($A356,CSV!$A:$A,CSV!AC:AC,""),
_xlpm.MacVal,_xlfn.XLOOKUP($A356,Output_Mac!$A:$A,Output_Mac!U:U,""),
_xlpm.MyAuditVal,_xlfn.XLOOKUP($A356,My_Audit!$A:$A,My_Audit!R:R,""),
_xlfn.IFS(_xlpm.MyAuditVal&lt;&gt;"",UPPER(_xlpm.MyAuditVal),_xlpm.MacVal&lt;&gt;"",_xlpm.MacVal,_xlpm.CSVVal&lt;&gt;"",_xlpm.CSVVal
)),"")</f>
        <v/>
      </c>
      <c r="R356" s="40"/>
      <c r="S356" s="40"/>
      <c r="T356" s="40"/>
      <c r="U356" s="40"/>
      <c r="V356" s="40"/>
      <c r="W356" s="40"/>
      <c r="X356" s="41" t="str">
        <f>_xlfn.LET(
    _xlpm.MacVal, _xlfn.XLOOKUP($A356, Output_Mac!$A:$A, Output_Mac!AB:AB, ""),
    _xlpm.MyAuditVal, _xlfn.XLOOKUP($A356, My_Audit!$A:$A, My_Audit!N:N, ""),
    _xlfn.TEXTJOIN(", ", TRUE, _xlpm.MyAuditVal, _xlpm.MacVal)
)</f>
        <v/>
      </c>
    </row>
    <row r="357" spans="1:24">
      <c r="A357" s="40" t="str">
        <f>_xlfn.TEXTJOIN("",TRUE,Input!$B$2,ROW(My_Audit!A356))</f>
        <v>X356</v>
      </c>
      <c r="B357" s="40" t="str">
        <f>_xlfn.TEXTJOIN("-",TRUE,"ITD",Input!$A$2,A357)</f>
        <v>ITD-X356</v>
      </c>
      <c r="C357" s="40" t="str" cm="1">
        <f t="array" ref="C357">IFERROR(_xlfn.LET(
_xlpm.CSVVal,_xlfn.XLOOKUP($A357,CSV!$A:$A,CSV!B:B,""),
_xlpm.MacVal,_xlfn.XLOOKUP($A357,Output_Mac!$A:$A,Output_Mac!B:B,""),
_xlpm.MyAuditVal,_xlfn.XLOOKUP($A357,My_Audit!$A:$A,My_Audit!B:B,""),
_xlfn.IFS(_xlpm.MyAuditVal&lt;&gt;"",UPPER(_xlpm.MyAuditVal),_xlpm.MacVal&lt;&gt;"",_xlpm.MacVal,_xlpm.CSVVal&lt;&gt;"",_xlpm.CSVVal
)),"")</f>
        <v/>
      </c>
      <c r="D357" s="40" t="str" cm="1">
        <f t="array" ref="D357">IFERROR(_xlfn.LET(
_xlpm.CSVVal,_xlfn.XLOOKUP($A357,CSV!$A:$A,CSV!D:D,""),
_xlpm.MacVal,_xlfn.XLOOKUP($A357,Output_Mac!$A:$A,Output_Mac!C:C,""),
_xlpm.MyAuditVal,_xlfn.XLOOKUP($A357,My_Audit!$A:$A,My_Audit!C:C,""),
_xlfn.IFS(_xlpm.MyAuditVal&lt;&gt;"",_xlpm.MyAuditVal,_xlpm.MacVal&lt;&gt;"",_xlpm.MacVal,_xlpm.CSVVal&lt;&gt;"",_xlpm.CSVVal
)),"")</f>
        <v/>
      </c>
      <c r="E357" s="40">
        <f>_xlfn.XLOOKUP(A357,My_Audit!A:A,My_Audit!D:D,"")</f>
        <v>0</v>
      </c>
      <c r="F357" s="40" t="str" cm="1">
        <f t="array" ref="F357">IFERROR(_xlfn.LET(
_xlpm.CSVVal,_xlfn.XLOOKUP($A357,CSV!$A:$A,CSV!F:F,""),
_xlpm.MacVal,_xlfn.XLOOKUP($A357,Output_Mac!$A:$A,Output_Mac!E:E,""),
_xlpm.MyAuditVal,_xlfn.XLOOKUP($A357,My_Audit!$A:$A,My_Audit!E:E,""),
_xlfn.IFS(_xlpm.MyAuditVal&lt;&gt;"",_xlpm.MyAuditVal,_xlpm.MacVal&lt;&gt;"",_xlpm.MacVal,_xlpm.CSVVal&lt;&gt;"",_xlpm.CSVVal
)),"")</f>
        <v/>
      </c>
      <c r="G357" s="40" t="str" cm="1">
        <f t="array" ref="G357">IFERROR(_xlfn.LET(
_xlpm.CSVVal,_xlfn.XLOOKUP($A357,CSV!$A:$A,CSV!G:G,""),
_xlpm.MacVal,_xlfn.XLOOKUP($A357,Output_Mac!$A:$A,Output_Mac!F:F,""),
_xlpm.MyAuditVal,_xlfn.XLOOKUP($A357,My_Audit!$A:$A,My_Audit!F:F,""),
_xlfn.IFS(_xlpm.MyAuditVal&lt;&gt;"",_xlpm.MyAuditVal,_xlpm.MacVal&lt;&gt;"",_xlpm.MacVal,_xlpm.CSVVal&lt;&gt;"",PROPER(_xlpm.CSVVal)
)),"")</f>
        <v/>
      </c>
      <c r="H357" s="40" t="str" cm="1">
        <f t="array" ref="H357">IFERROR(_xlfn.LET(
_xlpm.CSVVal,_xlfn.XLOOKUP($A357,CSV!$A:$A,CSV!H:H,""),
_xlpm.MacVal,_xlfn.XLOOKUP($A357,Output_Mac!$A:$A,Output_Mac!H:H,""),
_xlpm.MyAuditVal,_xlfn.XLOOKUP($A357,My_Audit!$A:$A,My_Audit!G:G,""),
_xlfn.IFS(_xlpm.MyAuditVal&lt;&gt;"",_xlpm.MyAuditVal,_xlpm.MacVal&lt;&gt;"",_xlpm.MacVal,_xlpm.CSVVal&lt;&gt;"",_xlpm.CSVVal
)),"")</f>
        <v/>
      </c>
      <c r="I357" s="40" t="str">
        <f>_xlfn.XLOOKUP(A357,Output_Mac!A:A,Output_Mac!I:I,"")</f>
        <v/>
      </c>
      <c r="J357" s="40" t="str" cm="1">
        <f t="array" ref="J357">IFERROR(_xlfn.LET(
_xlpm.CSVVal,_xlfn.XLOOKUP($A357,CSV!$A:$A,CSV!I:I,""),
_xlpm.MacVal,_xlfn.XLOOKUP($A357,Output_Mac!$A:$A,Output_Mac!J:J,""),
_xlpm.MyAuditVal,_xlfn.XLOOKUP($A357,My_Audit!$A:$A,My_Audit!I:I,""),
_xlfn.IFS(_xlpm.MyAuditVal&lt;&gt;"",UPPER(_xlpm.MyAuditVal),_xlpm.MacVal&lt;&gt;"",_xlpm.MacVal,_xlpm.CSVVal&lt;&gt;"",_xlpm.CSVVal
)),"")</f>
        <v/>
      </c>
      <c r="K357" s="40" t="str" cm="1">
        <f t="array" ref="K357">IFERROR(_xlfn.LET(
_xlpm.CSVVal,_xlfn.XLOOKUP($A357,CSV!$A:$A,CSV!K:K,""),
_xlpm.MacVal,_xlfn.XLOOKUP($A357,Output_Mac!$A:$A,Output_Mac!K:K,""),
_xlpm.MyAuditVal,_xlfn.XLOOKUP($A357,My_Audit!$A:$A,My_Audit!J:J,""),
_xlfn.IFS(_xlpm.MyAuditVal&lt;&gt;"",UPPER(_xlpm.MyAuditVal),_xlpm.MacVal&lt;&gt;"",_xlpm.MacVal,_xlpm.CSVVal&lt;&gt;"",_xlpm.CSVVal
)),"")</f>
        <v/>
      </c>
      <c r="L357" s="40" t="str" cm="1">
        <f t="array" ref="L357">IFERROR(_xlfn.LET(
_xlpm.CSVVal,_xlfn.XLOOKUP($A357,CSV!$A:$A,CSV!P:P,""),
_xlpm.MacVal,_xlfn.XLOOKUP($A357,Output_Mac!$A:$A,Output_Mac!L:L,""),
_xlpm.MyAuditVal,_xlfn.XLOOKUP($A357,My_Audit!$A:$A,My_Audit!K:K,""),
_xlfn.IFS(_xlpm.MyAuditVal&lt;&gt;"",UPPER(_xlpm.MyAuditVal),_xlpm.MacVal&lt;&gt;"",_xlpm.MacVal,_xlpm.CSVVal&lt;&gt;"",_xlpm.CSVVal
)),"")</f>
        <v/>
      </c>
      <c r="M357" s="40" t="str" cm="1">
        <f t="array" ref="M357">IFERROR(_xlfn.LET(
_xlpm.CSVVal,_xlfn.XLOOKUP($A357,CSV!$A:$A,CSV!Q:Q,""),
_xlpm.MacVal,_xlfn.XLOOKUP($A357,Output_Mac!$A:$A,Output_Mac!M:M,""),
_xlpm.MyAuditVal,_xlfn.XLOOKUP($A357,My_Audit!$A:$A,My_Audit!L:L,""),
_xlfn.IFS(_xlpm.MyAuditVal&lt;&gt;"",UPPER(_xlpm.MyAuditVal),_xlpm.MacVal&lt;&gt;"",_xlpm.MacVal,_xlpm.CSVVal&lt;&gt;"",_xlpm.CSVVal
)),"")</f>
        <v/>
      </c>
      <c r="N357" s="40"/>
      <c r="O357" s="40" t="str">
        <f>_xlfn.LET(
    _xlpm.CSVVal, _xlfn.XLOOKUP($A357, CSV!$A:$A, CSV!AA:AA, ""),
    _xlpm.MacVal, _xlfn.XLOOKUP($A357, Output_Mac!$A:$A, Output_Mac!S:S, ""),
    _xlpm.MyAuditVal, _xlfn.XLOOKUP($A357, My_Audit!$A:$A, My_Audit!P:P, ""),
    _xlfn.TEXTJOIN(", ", TRUE, _xlpm.MyAuditVal, _xlpm.MacVal, _xlpm.CSVVal)
)</f>
        <v/>
      </c>
      <c r="P357" s="40" t="str" cm="1">
        <f t="array" ref="P357">IFERROR(_xlfn.LET(
_xlpm.CSVVal,_xlfn.XLOOKUP($A357,CSV!$A:$A,CSV!AB:AB,""),
_xlpm.MacVal,_xlfn.XLOOKUP($A357,Output_Mac!$A:$A,Output_Mac!T:T,""),
_xlpm.MyAuditVal,_xlfn.XLOOKUP($A357,My_Audit!$A:$A,My_Audit!Q:Q,""),
_xlfn.IFS(_xlpm.MyAuditVal&lt;&gt;"",UPPER(_xlpm.MyAuditVal),_xlpm.MacVal&lt;&gt;"",_xlpm.MacVal,_xlpm.CSVVal&lt;&gt;"",_xlpm.CSVVal
)),"No")</f>
        <v>No</v>
      </c>
      <c r="Q357" s="40" t="str" cm="1">
        <f t="array" ref="Q357">IFERROR(_xlfn.LET(
_xlpm.CSVVal,_xlfn.XLOOKUP($A357,CSV!$A:$A,CSV!AC:AC,""),
_xlpm.MacVal,_xlfn.XLOOKUP($A357,Output_Mac!$A:$A,Output_Mac!U:U,""),
_xlpm.MyAuditVal,_xlfn.XLOOKUP($A357,My_Audit!$A:$A,My_Audit!R:R,""),
_xlfn.IFS(_xlpm.MyAuditVal&lt;&gt;"",UPPER(_xlpm.MyAuditVal),_xlpm.MacVal&lt;&gt;"",_xlpm.MacVal,_xlpm.CSVVal&lt;&gt;"",_xlpm.CSVVal
)),"")</f>
        <v/>
      </c>
      <c r="R357" s="40"/>
      <c r="S357" s="40"/>
      <c r="T357" s="40"/>
      <c r="U357" s="40"/>
      <c r="V357" s="40"/>
      <c r="W357" s="40"/>
      <c r="X357" s="41" t="str">
        <f>_xlfn.LET(
    _xlpm.MacVal, _xlfn.XLOOKUP($A357, Output_Mac!$A:$A, Output_Mac!AB:AB, ""),
    _xlpm.MyAuditVal, _xlfn.XLOOKUP($A357, My_Audit!$A:$A, My_Audit!N:N, ""),
    _xlfn.TEXTJOIN(", ", TRUE, _xlpm.MyAuditVal, _xlpm.MacVal)
)</f>
        <v/>
      </c>
    </row>
    <row r="358" spans="1:24">
      <c r="A358" s="40" t="str">
        <f>_xlfn.TEXTJOIN("",TRUE,Input!$B$2,ROW(My_Audit!A357))</f>
        <v>X357</v>
      </c>
      <c r="B358" s="40" t="str">
        <f>_xlfn.TEXTJOIN("-",TRUE,"ITD",Input!$A$2,A358)</f>
        <v>ITD-X357</v>
      </c>
      <c r="C358" s="40" t="str" cm="1">
        <f t="array" ref="C358">IFERROR(_xlfn.LET(
_xlpm.CSVVal,_xlfn.XLOOKUP($A358,CSV!$A:$A,CSV!B:B,""),
_xlpm.MacVal,_xlfn.XLOOKUP($A358,Output_Mac!$A:$A,Output_Mac!B:B,""),
_xlpm.MyAuditVal,_xlfn.XLOOKUP($A358,My_Audit!$A:$A,My_Audit!B:B,""),
_xlfn.IFS(_xlpm.MyAuditVal&lt;&gt;"",UPPER(_xlpm.MyAuditVal),_xlpm.MacVal&lt;&gt;"",_xlpm.MacVal,_xlpm.CSVVal&lt;&gt;"",_xlpm.CSVVal
)),"")</f>
        <v/>
      </c>
      <c r="D358" s="40" t="str" cm="1">
        <f t="array" ref="D358">IFERROR(_xlfn.LET(
_xlpm.CSVVal,_xlfn.XLOOKUP($A358,CSV!$A:$A,CSV!D:D,""),
_xlpm.MacVal,_xlfn.XLOOKUP($A358,Output_Mac!$A:$A,Output_Mac!C:C,""),
_xlpm.MyAuditVal,_xlfn.XLOOKUP($A358,My_Audit!$A:$A,My_Audit!C:C,""),
_xlfn.IFS(_xlpm.MyAuditVal&lt;&gt;"",_xlpm.MyAuditVal,_xlpm.MacVal&lt;&gt;"",_xlpm.MacVal,_xlpm.CSVVal&lt;&gt;"",_xlpm.CSVVal
)),"")</f>
        <v/>
      </c>
      <c r="E358" s="40">
        <f>_xlfn.XLOOKUP(A358,My_Audit!A:A,My_Audit!D:D,"")</f>
        <v>0</v>
      </c>
      <c r="F358" s="40" t="str" cm="1">
        <f t="array" ref="F358">IFERROR(_xlfn.LET(
_xlpm.CSVVal,_xlfn.XLOOKUP($A358,CSV!$A:$A,CSV!F:F,""),
_xlpm.MacVal,_xlfn.XLOOKUP($A358,Output_Mac!$A:$A,Output_Mac!E:E,""),
_xlpm.MyAuditVal,_xlfn.XLOOKUP($A358,My_Audit!$A:$A,My_Audit!E:E,""),
_xlfn.IFS(_xlpm.MyAuditVal&lt;&gt;"",_xlpm.MyAuditVal,_xlpm.MacVal&lt;&gt;"",_xlpm.MacVal,_xlpm.CSVVal&lt;&gt;"",_xlpm.CSVVal
)),"")</f>
        <v/>
      </c>
      <c r="G358" s="40" t="str" cm="1">
        <f t="array" ref="G358">IFERROR(_xlfn.LET(
_xlpm.CSVVal,_xlfn.XLOOKUP($A358,CSV!$A:$A,CSV!G:G,""),
_xlpm.MacVal,_xlfn.XLOOKUP($A358,Output_Mac!$A:$A,Output_Mac!F:F,""),
_xlpm.MyAuditVal,_xlfn.XLOOKUP($A358,My_Audit!$A:$A,My_Audit!F:F,""),
_xlfn.IFS(_xlpm.MyAuditVal&lt;&gt;"",_xlpm.MyAuditVal,_xlpm.MacVal&lt;&gt;"",_xlpm.MacVal,_xlpm.CSVVal&lt;&gt;"",PROPER(_xlpm.CSVVal)
)),"")</f>
        <v/>
      </c>
      <c r="H358" s="40" t="str" cm="1">
        <f t="array" ref="H358">IFERROR(_xlfn.LET(
_xlpm.CSVVal,_xlfn.XLOOKUP($A358,CSV!$A:$A,CSV!H:H,""),
_xlpm.MacVal,_xlfn.XLOOKUP($A358,Output_Mac!$A:$A,Output_Mac!H:H,""),
_xlpm.MyAuditVal,_xlfn.XLOOKUP($A358,My_Audit!$A:$A,My_Audit!G:G,""),
_xlfn.IFS(_xlpm.MyAuditVal&lt;&gt;"",_xlpm.MyAuditVal,_xlpm.MacVal&lt;&gt;"",_xlpm.MacVal,_xlpm.CSVVal&lt;&gt;"",_xlpm.CSVVal
)),"")</f>
        <v/>
      </c>
      <c r="I358" s="40" t="str">
        <f>_xlfn.XLOOKUP(A358,Output_Mac!A:A,Output_Mac!I:I,"")</f>
        <v/>
      </c>
      <c r="J358" s="40" t="str" cm="1">
        <f t="array" ref="J358">IFERROR(_xlfn.LET(
_xlpm.CSVVal,_xlfn.XLOOKUP($A358,CSV!$A:$A,CSV!I:I,""),
_xlpm.MacVal,_xlfn.XLOOKUP($A358,Output_Mac!$A:$A,Output_Mac!J:J,""),
_xlpm.MyAuditVal,_xlfn.XLOOKUP($A358,My_Audit!$A:$A,My_Audit!I:I,""),
_xlfn.IFS(_xlpm.MyAuditVal&lt;&gt;"",UPPER(_xlpm.MyAuditVal),_xlpm.MacVal&lt;&gt;"",_xlpm.MacVal,_xlpm.CSVVal&lt;&gt;"",_xlpm.CSVVal
)),"")</f>
        <v/>
      </c>
      <c r="K358" s="40" t="str" cm="1">
        <f t="array" ref="K358">IFERROR(_xlfn.LET(
_xlpm.CSVVal,_xlfn.XLOOKUP($A358,CSV!$A:$A,CSV!K:K,""),
_xlpm.MacVal,_xlfn.XLOOKUP($A358,Output_Mac!$A:$A,Output_Mac!K:K,""),
_xlpm.MyAuditVal,_xlfn.XLOOKUP($A358,My_Audit!$A:$A,My_Audit!J:J,""),
_xlfn.IFS(_xlpm.MyAuditVal&lt;&gt;"",UPPER(_xlpm.MyAuditVal),_xlpm.MacVal&lt;&gt;"",_xlpm.MacVal,_xlpm.CSVVal&lt;&gt;"",_xlpm.CSVVal
)),"")</f>
        <v/>
      </c>
      <c r="L358" s="40" t="str" cm="1">
        <f t="array" ref="L358">IFERROR(_xlfn.LET(
_xlpm.CSVVal,_xlfn.XLOOKUP($A358,CSV!$A:$A,CSV!P:P,""),
_xlpm.MacVal,_xlfn.XLOOKUP($A358,Output_Mac!$A:$A,Output_Mac!L:L,""),
_xlpm.MyAuditVal,_xlfn.XLOOKUP($A358,My_Audit!$A:$A,My_Audit!K:K,""),
_xlfn.IFS(_xlpm.MyAuditVal&lt;&gt;"",UPPER(_xlpm.MyAuditVal),_xlpm.MacVal&lt;&gt;"",_xlpm.MacVal,_xlpm.CSVVal&lt;&gt;"",_xlpm.CSVVal
)),"")</f>
        <v/>
      </c>
      <c r="M358" s="40" t="str" cm="1">
        <f t="array" ref="M358">IFERROR(_xlfn.LET(
_xlpm.CSVVal,_xlfn.XLOOKUP($A358,CSV!$A:$A,CSV!Q:Q,""),
_xlpm.MacVal,_xlfn.XLOOKUP($A358,Output_Mac!$A:$A,Output_Mac!M:M,""),
_xlpm.MyAuditVal,_xlfn.XLOOKUP($A358,My_Audit!$A:$A,My_Audit!L:L,""),
_xlfn.IFS(_xlpm.MyAuditVal&lt;&gt;"",UPPER(_xlpm.MyAuditVal),_xlpm.MacVal&lt;&gt;"",_xlpm.MacVal,_xlpm.CSVVal&lt;&gt;"",_xlpm.CSVVal
)),"")</f>
        <v/>
      </c>
      <c r="N358" s="40"/>
      <c r="O358" s="40" t="str">
        <f>_xlfn.LET(
    _xlpm.CSVVal, _xlfn.XLOOKUP($A358, CSV!$A:$A, CSV!AA:AA, ""),
    _xlpm.MacVal, _xlfn.XLOOKUP($A358, Output_Mac!$A:$A, Output_Mac!S:S, ""),
    _xlpm.MyAuditVal, _xlfn.XLOOKUP($A358, My_Audit!$A:$A, My_Audit!P:P, ""),
    _xlfn.TEXTJOIN(", ", TRUE, _xlpm.MyAuditVal, _xlpm.MacVal, _xlpm.CSVVal)
)</f>
        <v/>
      </c>
      <c r="P358" s="40" t="str" cm="1">
        <f t="array" ref="P358">IFERROR(_xlfn.LET(
_xlpm.CSVVal,_xlfn.XLOOKUP($A358,CSV!$A:$A,CSV!AB:AB,""),
_xlpm.MacVal,_xlfn.XLOOKUP($A358,Output_Mac!$A:$A,Output_Mac!T:T,""),
_xlpm.MyAuditVal,_xlfn.XLOOKUP($A358,My_Audit!$A:$A,My_Audit!Q:Q,""),
_xlfn.IFS(_xlpm.MyAuditVal&lt;&gt;"",UPPER(_xlpm.MyAuditVal),_xlpm.MacVal&lt;&gt;"",_xlpm.MacVal,_xlpm.CSVVal&lt;&gt;"",_xlpm.CSVVal
)),"No")</f>
        <v>No</v>
      </c>
      <c r="Q358" s="40" t="str" cm="1">
        <f t="array" ref="Q358">IFERROR(_xlfn.LET(
_xlpm.CSVVal,_xlfn.XLOOKUP($A358,CSV!$A:$A,CSV!AC:AC,""),
_xlpm.MacVal,_xlfn.XLOOKUP($A358,Output_Mac!$A:$A,Output_Mac!U:U,""),
_xlpm.MyAuditVal,_xlfn.XLOOKUP($A358,My_Audit!$A:$A,My_Audit!R:R,""),
_xlfn.IFS(_xlpm.MyAuditVal&lt;&gt;"",UPPER(_xlpm.MyAuditVal),_xlpm.MacVal&lt;&gt;"",_xlpm.MacVal,_xlpm.CSVVal&lt;&gt;"",_xlpm.CSVVal
)),"")</f>
        <v/>
      </c>
      <c r="R358" s="40"/>
      <c r="S358" s="40"/>
      <c r="T358" s="40"/>
      <c r="U358" s="40"/>
      <c r="V358" s="40"/>
      <c r="W358" s="40"/>
      <c r="X358" s="41" t="str">
        <f>_xlfn.LET(
    _xlpm.MacVal, _xlfn.XLOOKUP($A358, Output_Mac!$A:$A, Output_Mac!AB:AB, ""),
    _xlpm.MyAuditVal, _xlfn.XLOOKUP($A358, My_Audit!$A:$A, My_Audit!N:N, ""),
    _xlfn.TEXTJOIN(", ", TRUE, _xlpm.MyAuditVal, _xlpm.MacVal)
)</f>
        <v/>
      </c>
    </row>
    <row r="359" spans="1:24">
      <c r="A359" s="40" t="str">
        <f>_xlfn.TEXTJOIN("",TRUE,Input!$B$2,ROW(My_Audit!A358))</f>
        <v>X358</v>
      </c>
      <c r="B359" s="40" t="str">
        <f>_xlfn.TEXTJOIN("-",TRUE,"ITD",Input!$A$2,A359)</f>
        <v>ITD-X358</v>
      </c>
      <c r="C359" s="40" t="str" cm="1">
        <f t="array" ref="C359">IFERROR(_xlfn.LET(
_xlpm.CSVVal,_xlfn.XLOOKUP($A359,CSV!$A:$A,CSV!B:B,""),
_xlpm.MacVal,_xlfn.XLOOKUP($A359,Output_Mac!$A:$A,Output_Mac!B:B,""),
_xlpm.MyAuditVal,_xlfn.XLOOKUP($A359,My_Audit!$A:$A,My_Audit!B:B,""),
_xlfn.IFS(_xlpm.MyAuditVal&lt;&gt;"",UPPER(_xlpm.MyAuditVal),_xlpm.MacVal&lt;&gt;"",_xlpm.MacVal,_xlpm.CSVVal&lt;&gt;"",_xlpm.CSVVal
)),"")</f>
        <v/>
      </c>
      <c r="D359" s="40" t="str" cm="1">
        <f t="array" ref="D359">IFERROR(_xlfn.LET(
_xlpm.CSVVal,_xlfn.XLOOKUP($A359,CSV!$A:$A,CSV!D:D,""),
_xlpm.MacVal,_xlfn.XLOOKUP($A359,Output_Mac!$A:$A,Output_Mac!C:C,""),
_xlpm.MyAuditVal,_xlfn.XLOOKUP($A359,My_Audit!$A:$A,My_Audit!C:C,""),
_xlfn.IFS(_xlpm.MyAuditVal&lt;&gt;"",_xlpm.MyAuditVal,_xlpm.MacVal&lt;&gt;"",_xlpm.MacVal,_xlpm.CSVVal&lt;&gt;"",_xlpm.CSVVal
)),"")</f>
        <v/>
      </c>
      <c r="E359" s="40">
        <f>_xlfn.XLOOKUP(A359,My_Audit!A:A,My_Audit!D:D,"")</f>
        <v>0</v>
      </c>
      <c r="F359" s="40" t="str" cm="1">
        <f t="array" ref="F359">IFERROR(_xlfn.LET(
_xlpm.CSVVal,_xlfn.XLOOKUP($A359,CSV!$A:$A,CSV!F:F,""),
_xlpm.MacVal,_xlfn.XLOOKUP($A359,Output_Mac!$A:$A,Output_Mac!E:E,""),
_xlpm.MyAuditVal,_xlfn.XLOOKUP($A359,My_Audit!$A:$A,My_Audit!E:E,""),
_xlfn.IFS(_xlpm.MyAuditVal&lt;&gt;"",_xlpm.MyAuditVal,_xlpm.MacVal&lt;&gt;"",_xlpm.MacVal,_xlpm.CSVVal&lt;&gt;"",_xlpm.CSVVal
)),"")</f>
        <v/>
      </c>
      <c r="G359" s="40" t="str" cm="1">
        <f t="array" ref="G359">IFERROR(_xlfn.LET(
_xlpm.CSVVal,_xlfn.XLOOKUP($A359,CSV!$A:$A,CSV!G:G,""),
_xlpm.MacVal,_xlfn.XLOOKUP($A359,Output_Mac!$A:$A,Output_Mac!F:F,""),
_xlpm.MyAuditVal,_xlfn.XLOOKUP($A359,My_Audit!$A:$A,My_Audit!F:F,""),
_xlfn.IFS(_xlpm.MyAuditVal&lt;&gt;"",_xlpm.MyAuditVal,_xlpm.MacVal&lt;&gt;"",_xlpm.MacVal,_xlpm.CSVVal&lt;&gt;"",PROPER(_xlpm.CSVVal)
)),"")</f>
        <v/>
      </c>
      <c r="H359" s="40" t="str" cm="1">
        <f t="array" ref="H359">IFERROR(_xlfn.LET(
_xlpm.CSVVal,_xlfn.XLOOKUP($A359,CSV!$A:$A,CSV!H:H,""),
_xlpm.MacVal,_xlfn.XLOOKUP($A359,Output_Mac!$A:$A,Output_Mac!H:H,""),
_xlpm.MyAuditVal,_xlfn.XLOOKUP($A359,My_Audit!$A:$A,My_Audit!G:G,""),
_xlfn.IFS(_xlpm.MyAuditVal&lt;&gt;"",_xlpm.MyAuditVal,_xlpm.MacVal&lt;&gt;"",_xlpm.MacVal,_xlpm.CSVVal&lt;&gt;"",_xlpm.CSVVal
)),"")</f>
        <v/>
      </c>
      <c r="I359" s="40" t="str">
        <f>_xlfn.XLOOKUP(A359,Output_Mac!A:A,Output_Mac!I:I,"")</f>
        <v/>
      </c>
      <c r="J359" s="40" t="str" cm="1">
        <f t="array" ref="J359">IFERROR(_xlfn.LET(
_xlpm.CSVVal,_xlfn.XLOOKUP($A359,CSV!$A:$A,CSV!I:I,""),
_xlpm.MacVal,_xlfn.XLOOKUP($A359,Output_Mac!$A:$A,Output_Mac!J:J,""),
_xlpm.MyAuditVal,_xlfn.XLOOKUP($A359,My_Audit!$A:$A,My_Audit!I:I,""),
_xlfn.IFS(_xlpm.MyAuditVal&lt;&gt;"",UPPER(_xlpm.MyAuditVal),_xlpm.MacVal&lt;&gt;"",_xlpm.MacVal,_xlpm.CSVVal&lt;&gt;"",_xlpm.CSVVal
)),"")</f>
        <v/>
      </c>
      <c r="K359" s="40" t="str" cm="1">
        <f t="array" ref="K359">IFERROR(_xlfn.LET(
_xlpm.CSVVal,_xlfn.XLOOKUP($A359,CSV!$A:$A,CSV!K:K,""),
_xlpm.MacVal,_xlfn.XLOOKUP($A359,Output_Mac!$A:$A,Output_Mac!K:K,""),
_xlpm.MyAuditVal,_xlfn.XLOOKUP($A359,My_Audit!$A:$A,My_Audit!J:J,""),
_xlfn.IFS(_xlpm.MyAuditVal&lt;&gt;"",UPPER(_xlpm.MyAuditVal),_xlpm.MacVal&lt;&gt;"",_xlpm.MacVal,_xlpm.CSVVal&lt;&gt;"",_xlpm.CSVVal
)),"")</f>
        <v/>
      </c>
      <c r="L359" s="40" t="str" cm="1">
        <f t="array" ref="L359">IFERROR(_xlfn.LET(
_xlpm.CSVVal,_xlfn.XLOOKUP($A359,CSV!$A:$A,CSV!P:P,""),
_xlpm.MacVal,_xlfn.XLOOKUP($A359,Output_Mac!$A:$A,Output_Mac!L:L,""),
_xlpm.MyAuditVal,_xlfn.XLOOKUP($A359,My_Audit!$A:$A,My_Audit!K:K,""),
_xlfn.IFS(_xlpm.MyAuditVal&lt;&gt;"",UPPER(_xlpm.MyAuditVal),_xlpm.MacVal&lt;&gt;"",_xlpm.MacVal,_xlpm.CSVVal&lt;&gt;"",_xlpm.CSVVal
)),"")</f>
        <v/>
      </c>
      <c r="M359" s="40" t="str" cm="1">
        <f t="array" ref="M359">IFERROR(_xlfn.LET(
_xlpm.CSVVal,_xlfn.XLOOKUP($A359,CSV!$A:$A,CSV!Q:Q,""),
_xlpm.MacVal,_xlfn.XLOOKUP($A359,Output_Mac!$A:$A,Output_Mac!M:M,""),
_xlpm.MyAuditVal,_xlfn.XLOOKUP($A359,My_Audit!$A:$A,My_Audit!L:L,""),
_xlfn.IFS(_xlpm.MyAuditVal&lt;&gt;"",UPPER(_xlpm.MyAuditVal),_xlpm.MacVal&lt;&gt;"",_xlpm.MacVal,_xlpm.CSVVal&lt;&gt;"",_xlpm.CSVVal
)),"")</f>
        <v/>
      </c>
      <c r="N359" s="40"/>
      <c r="O359" s="40" t="str">
        <f>_xlfn.LET(
    _xlpm.CSVVal, _xlfn.XLOOKUP($A359, CSV!$A:$A, CSV!AA:AA, ""),
    _xlpm.MacVal, _xlfn.XLOOKUP($A359, Output_Mac!$A:$A, Output_Mac!S:S, ""),
    _xlpm.MyAuditVal, _xlfn.XLOOKUP($A359, My_Audit!$A:$A, My_Audit!P:P, ""),
    _xlfn.TEXTJOIN(", ", TRUE, _xlpm.MyAuditVal, _xlpm.MacVal, _xlpm.CSVVal)
)</f>
        <v/>
      </c>
      <c r="P359" s="40" t="str" cm="1">
        <f t="array" ref="P359">IFERROR(_xlfn.LET(
_xlpm.CSVVal,_xlfn.XLOOKUP($A359,CSV!$A:$A,CSV!AB:AB,""),
_xlpm.MacVal,_xlfn.XLOOKUP($A359,Output_Mac!$A:$A,Output_Mac!T:T,""),
_xlpm.MyAuditVal,_xlfn.XLOOKUP($A359,My_Audit!$A:$A,My_Audit!Q:Q,""),
_xlfn.IFS(_xlpm.MyAuditVal&lt;&gt;"",UPPER(_xlpm.MyAuditVal),_xlpm.MacVal&lt;&gt;"",_xlpm.MacVal,_xlpm.CSVVal&lt;&gt;"",_xlpm.CSVVal
)),"No")</f>
        <v>No</v>
      </c>
      <c r="Q359" s="40" t="str" cm="1">
        <f t="array" ref="Q359">IFERROR(_xlfn.LET(
_xlpm.CSVVal,_xlfn.XLOOKUP($A359,CSV!$A:$A,CSV!AC:AC,""),
_xlpm.MacVal,_xlfn.XLOOKUP($A359,Output_Mac!$A:$A,Output_Mac!U:U,""),
_xlpm.MyAuditVal,_xlfn.XLOOKUP($A359,My_Audit!$A:$A,My_Audit!R:R,""),
_xlfn.IFS(_xlpm.MyAuditVal&lt;&gt;"",UPPER(_xlpm.MyAuditVal),_xlpm.MacVal&lt;&gt;"",_xlpm.MacVal,_xlpm.CSVVal&lt;&gt;"",_xlpm.CSVVal
)),"")</f>
        <v/>
      </c>
      <c r="R359" s="40"/>
      <c r="S359" s="40"/>
      <c r="T359" s="40"/>
      <c r="U359" s="40"/>
      <c r="V359" s="40"/>
      <c r="W359" s="40"/>
      <c r="X359" s="41" t="str">
        <f>_xlfn.LET(
    _xlpm.MacVal, _xlfn.XLOOKUP($A359, Output_Mac!$A:$A, Output_Mac!AB:AB, ""),
    _xlpm.MyAuditVal, _xlfn.XLOOKUP($A359, My_Audit!$A:$A, My_Audit!N:N, ""),
    _xlfn.TEXTJOIN(", ", TRUE, _xlpm.MyAuditVal, _xlpm.MacVal)
)</f>
        <v/>
      </c>
    </row>
    <row r="360" spans="1:24">
      <c r="A360" s="40" t="str">
        <f>_xlfn.TEXTJOIN("",TRUE,Input!$B$2,ROW(My_Audit!A359))</f>
        <v>X359</v>
      </c>
      <c r="B360" s="40" t="str">
        <f>_xlfn.TEXTJOIN("-",TRUE,"ITD",Input!$A$2,A360)</f>
        <v>ITD-X359</v>
      </c>
      <c r="C360" s="40" t="str" cm="1">
        <f t="array" ref="C360">IFERROR(_xlfn.LET(
_xlpm.CSVVal,_xlfn.XLOOKUP($A360,CSV!$A:$A,CSV!B:B,""),
_xlpm.MacVal,_xlfn.XLOOKUP($A360,Output_Mac!$A:$A,Output_Mac!B:B,""),
_xlpm.MyAuditVal,_xlfn.XLOOKUP($A360,My_Audit!$A:$A,My_Audit!B:B,""),
_xlfn.IFS(_xlpm.MyAuditVal&lt;&gt;"",UPPER(_xlpm.MyAuditVal),_xlpm.MacVal&lt;&gt;"",_xlpm.MacVal,_xlpm.CSVVal&lt;&gt;"",_xlpm.CSVVal
)),"")</f>
        <v/>
      </c>
      <c r="D360" s="40" t="str" cm="1">
        <f t="array" ref="D360">IFERROR(_xlfn.LET(
_xlpm.CSVVal,_xlfn.XLOOKUP($A360,CSV!$A:$A,CSV!D:D,""),
_xlpm.MacVal,_xlfn.XLOOKUP($A360,Output_Mac!$A:$A,Output_Mac!C:C,""),
_xlpm.MyAuditVal,_xlfn.XLOOKUP($A360,My_Audit!$A:$A,My_Audit!C:C,""),
_xlfn.IFS(_xlpm.MyAuditVal&lt;&gt;"",_xlpm.MyAuditVal,_xlpm.MacVal&lt;&gt;"",_xlpm.MacVal,_xlpm.CSVVal&lt;&gt;"",_xlpm.CSVVal
)),"")</f>
        <v/>
      </c>
      <c r="E360" s="40">
        <f>_xlfn.XLOOKUP(A360,My_Audit!A:A,My_Audit!D:D,"")</f>
        <v>0</v>
      </c>
      <c r="F360" s="40" t="str" cm="1">
        <f t="array" ref="F360">IFERROR(_xlfn.LET(
_xlpm.CSVVal,_xlfn.XLOOKUP($A360,CSV!$A:$A,CSV!F:F,""),
_xlpm.MacVal,_xlfn.XLOOKUP($A360,Output_Mac!$A:$A,Output_Mac!E:E,""),
_xlpm.MyAuditVal,_xlfn.XLOOKUP($A360,My_Audit!$A:$A,My_Audit!E:E,""),
_xlfn.IFS(_xlpm.MyAuditVal&lt;&gt;"",_xlpm.MyAuditVal,_xlpm.MacVal&lt;&gt;"",_xlpm.MacVal,_xlpm.CSVVal&lt;&gt;"",_xlpm.CSVVal
)),"")</f>
        <v/>
      </c>
      <c r="G360" s="40" t="str" cm="1">
        <f t="array" ref="G360">IFERROR(_xlfn.LET(
_xlpm.CSVVal,_xlfn.XLOOKUP($A360,CSV!$A:$A,CSV!G:G,""),
_xlpm.MacVal,_xlfn.XLOOKUP($A360,Output_Mac!$A:$A,Output_Mac!F:F,""),
_xlpm.MyAuditVal,_xlfn.XLOOKUP($A360,My_Audit!$A:$A,My_Audit!F:F,""),
_xlfn.IFS(_xlpm.MyAuditVal&lt;&gt;"",_xlpm.MyAuditVal,_xlpm.MacVal&lt;&gt;"",_xlpm.MacVal,_xlpm.CSVVal&lt;&gt;"",PROPER(_xlpm.CSVVal)
)),"")</f>
        <v/>
      </c>
      <c r="H360" s="40" t="str" cm="1">
        <f t="array" ref="H360">IFERROR(_xlfn.LET(
_xlpm.CSVVal,_xlfn.XLOOKUP($A360,CSV!$A:$A,CSV!H:H,""),
_xlpm.MacVal,_xlfn.XLOOKUP($A360,Output_Mac!$A:$A,Output_Mac!H:H,""),
_xlpm.MyAuditVal,_xlfn.XLOOKUP($A360,My_Audit!$A:$A,My_Audit!G:G,""),
_xlfn.IFS(_xlpm.MyAuditVal&lt;&gt;"",_xlpm.MyAuditVal,_xlpm.MacVal&lt;&gt;"",_xlpm.MacVal,_xlpm.CSVVal&lt;&gt;"",_xlpm.CSVVal
)),"")</f>
        <v/>
      </c>
      <c r="I360" s="40" t="str">
        <f>_xlfn.XLOOKUP(A360,Output_Mac!A:A,Output_Mac!I:I,"")</f>
        <v/>
      </c>
      <c r="J360" s="40" t="str" cm="1">
        <f t="array" ref="J360">IFERROR(_xlfn.LET(
_xlpm.CSVVal,_xlfn.XLOOKUP($A360,CSV!$A:$A,CSV!I:I,""),
_xlpm.MacVal,_xlfn.XLOOKUP($A360,Output_Mac!$A:$A,Output_Mac!J:J,""),
_xlpm.MyAuditVal,_xlfn.XLOOKUP($A360,My_Audit!$A:$A,My_Audit!I:I,""),
_xlfn.IFS(_xlpm.MyAuditVal&lt;&gt;"",UPPER(_xlpm.MyAuditVal),_xlpm.MacVal&lt;&gt;"",_xlpm.MacVal,_xlpm.CSVVal&lt;&gt;"",_xlpm.CSVVal
)),"")</f>
        <v/>
      </c>
      <c r="K360" s="40" t="str" cm="1">
        <f t="array" ref="K360">IFERROR(_xlfn.LET(
_xlpm.CSVVal,_xlfn.XLOOKUP($A360,CSV!$A:$A,CSV!K:K,""),
_xlpm.MacVal,_xlfn.XLOOKUP($A360,Output_Mac!$A:$A,Output_Mac!K:K,""),
_xlpm.MyAuditVal,_xlfn.XLOOKUP($A360,My_Audit!$A:$A,My_Audit!J:J,""),
_xlfn.IFS(_xlpm.MyAuditVal&lt;&gt;"",UPPER(_xlpm.MyAuditVal),_xlpm.MacVal&lt;&gt;"",_xlpm.MacVal,_xlpm.CSVVal&lt;&gt;"",_xlpm.CSVVal
)),"")</f>
        <v/>
      </c>
      <c r="L360" s="40" t="str" cm="1">
        <f t="array" ref="L360">IFERROR(_xlfn.LET(
_xlpm.CSVVal,_xlfn.XLOOKUP($A360,CSV!$A:$A,CSV!P:P,""),
_xlpm.MacVal,_xlfn.XLOOKUP($A360,Output_Mac!$A:$A,Output_Mac!L:L,""),
_xlpm.MyAuditVal,_xlfn.XLOOKUP($A360,My_Audit!$A:$A,My_Audit!K:K,""),
_xlfn.IFS(_xlpm.MyAuditVal&lt;&gt;"",UPPER(_xlpm.MyAuditVal),_xlpm.MacVal&lt;&gt;"",_xlpm.MacVal,_xlpm.CSVVal&lt;&gt;"",_xlpm.CSVVal
)),"")</f>
        <v/>
      </c>
      <c r="M360" s="40" t="str" cm="1">
        <f t="array" ref="M360">IFERROR(_xlfn.LET(
_xlpm.CSVVal,_xlfn.XLOOKUP($A360,CSV!$A:$A,CSV!Q:Q,""),
_xlpm.MacVal,_xlfn.XLOOKUP($A360,Output_Mac!$A:$A,Output_Mac!M:M,""),
_xlpm.MyAuditVal,_xlfn.XLOOKUP($A360,My_Audit!$A:$A,My_Audit!L:L,""),
_xlfn.IFS(_xlpm.MyAuditVal&lt;&gt;"",UPPER(_xlpm.MyAuditVal),_xlpm.MacVal&lt;&gt;"",_xlpm.MacVal,_xlpm.CSVVal&lt;&gt;"",_xlpm.CSVVal
)),"")</f>
        <v/>
      </c>
      <c r="N360" s="40"/>
      <c r="O360" s="40" t="str">
        <f>_xlfn.LET(
    _xlpm.CSVVal, _xlfn.XLOOKUP($A360, CSV!$A:$A, CSV!AA:AA, ""),
    _xlpm.MacVal, _xlfn.XLOOKUP($A360, Output_Mac!$A:$A, Output_Mac!S:S, ""),
    _xlpm.MyAuditVal, _xlfn.XLOOKUP($A360, My_Audit!$A:$A, My_Audit!P:P, ""),
    _xlfn.TEXTJOIN(", ", TRUE, _xlpm.MyAuditVal, _xlpm.MacVal, _xlpm.CSVVal)
)</f>
        <v/>
      </c>
      <c r="P360" s="40" t="str" cm="1">
        <f t="array" ref="P360">IFERROR(_xlfn.LET(
_xlpm.CSVVal,_xlfn.XLOOKUP($A360,CSV!$A:$A,CSV!AB:AB,""),
_xlpm.MacVal,_xlfn.XLOOKUP($A360,Output_Mac!$A:$A,Output_Mac!T:T,""),
_xlpm.MyAuditVal,_xlfn.XLOOKUP($A360,My_Audit!$A:$A,My_Audit!Q:Q,""),
_xlfn.IFS(_xlpm.MyAuditVal&lt;&gt;"",UPPER(_xlpm.MyAuditVal),_xlpm.MacVal&lt;&gt;"",_xlpm.MacVal,_xlpm.CSVVal&lt;&gt;"",_xlpm.CSVVal
)),"No")</f>
        <v>No</v>
      </c>
      <c r="Q360" s="40" t="str" cm="1">
        <f t="array" ref="Q360">IFERROR(_xlfn.LET(
_xlpm.CSVVal,_xlfn.XLOOKUP($A360,CSV!$A:$A,CSV!AC:AC,""),
_xlpm.MacVal,_xlfn.XLOOKUP($A360,Output_Mac!$A:$A,Output_Mac!U:U,""),
_xlpm.MyAuditVal,_xlfn.XLOOKUP($A360,My_Audit!$A:$A,My_Audit!R:R,""),
_xlfn.IFS(_xlpm.MyAuditVal&lt;&gt;"",UPPER(_xlpm.MyAuditVal),_xlpm.MacVal&lt;&gt;"",_xlpm.MacVal,_xlpm.CSVVal&lt;&gt;"",_xlpm.CSVVal
)),"")</f>
        <v/>
      </c>
      <c r="R360" s="40"/>
      <c r="S360" s="40"/>
      <c r="T360" s="40"/>
      <c r="U360" s="40"/>
      <c r="V360" s="40"/>
      <c r="W360" s="40"/>
      <c r="X360" s="41" t="str">
        <f>_xlfn.LET(
    _xlpm.MacVal, _xlfn.XLOOKUP($A360, Output_Mac!$A:$A, Output_Mac!AB:AB, ""),
    _xlpm.MyAuditVal, _xlfn.XLOOKUP($A360, My_Audit!$A:$A, My_Audit!N:N, ""),
    _xlfn.TEXTJOIN(", ", TRUE, _xlpm.MyAuditVal, _xlpm.MacVal)
)</f>
        <v/>
      </c>
    </row>
    <row r="361" spans="1:24">
      <c r="A361" s="40" t="str">
        <f>_xlfn.TEXTJOIN("",TRUE,Input!$B$2,ROW(My_Audit!A360))</f>
        <v>X360</v>
      </c>
      <c r="B361" s="40" t="str">
        <f>_xlfn.TEXTJOIN("-",TRUE,"ITD",Input!$A$2,A361)</f>
        <v>ITD-X360</v>
      </c>
      <c r="C361" s="40" t="str" cm="1">
        <f t="array" ref="C361">IFERROR(_xlfn.LET(
_xlpm.CSVVal,_xlfn.XLOOKUP($A361,CSV!$A:$A,CSV!B:B,""),
_xlpm.MacVal,_xlfn.XLOOKUP($A361,Output_Mac!$A:$A,Output_Mac!B:B,""),
_xlpm.MyAuditVal,_xlfn.XLOOKUP($A361,My_Audit!$A:$A,My_Audit!B:B,""),
_xlfn.IFS(_xlpm.MyAuditVal&lt;&gt;"",UPPER(_xlpm.MyAuditVal),_xlpm.MacVal&lt;&gt;"",_xlpm.MacVal,_xlpm.CSVVal&lt;&gt;"",_xlpm.CSVVal
)),"")</f>
        <v/>
      </c>
      <c r="D361" s="40" t="str" cm="1">
        <f t="array" ref="D361">IFERROR(_xlfn.LET(
_xlpm.CSVVal,_xlfn.XLOOKUP($A361,CSV!$A:$A,CSV!D:D,""),
_xlpm.MacVal,_xlfn.XLOOKUP($A361,Output_Mac!$A:$A,Output_Mac!C:C,""),
_xlpm.MyAuditVal,_xlfn.XLOOKUP($A361,My_Audit!$A:$A,My_Audit!C:C,""),
_xlfn.IFS(_xlpm.MyAuditVal&lt;&gt;"",_xlpm.MyAuditVal,_xlpm.MacVal&lt;&gt;"",_xlpm.MacVal,_xlpm.CSVVal&lt;&gt;"",_xlpm.CSVVal
)),"")</f>
        <v/>
      </c>
      <c r="E361" s="40">
        <f>_xlfn.XLOOKUP(A361,My_Audit!A:A,My_Audit!D:D,"")</f>
        <v>0</v>
      </c>
      <c r="F361" s="40" t="str" cm="1">
        <f t="array" ref="F361">IFERROR(_xlfn.LET(
_xlpm.CSVVal,_xlfn.XLOOKUP($A361,CSV!$A:$A,CSV!F:F,""),
_xlpm.MacVal,_xlfn.XLOOKUP($A361,Output_Mac!$A:$A,Output_Mac!E:E,""),
_xlpm.MyAuditVal,_xlfn.XLOOKUP($A361,My_Audit!$A:$A,My_Audit!E:E,""),
_xlfn.IFS(_xlpm.MyAuditVal&lt;&gt;"",_xlpm.MyAuditVal,_xlpm.MacVal&lt;&gt;"",_xlpm.MacVal,_xlpm.CSVVal&lt;&gt;"",_xlpm.CSVVal
)),"")</f>
        <v/>
      </c>
      <c r="G361" s="40" t="str" cm="1">
        <f t="array" ref="G361">IFERROR(_xlfn.LET(
_xlpm.CSVVal,_xlfn.XLOOKUP($A361,CSV!$A:$A,CSV!G:G,""),
_xlpm.MacVal,_xlfn.XLOOKUP($A361,Output_Mac!$A:$A,Output_Mac!F:F,""),
_xlpm.MyAuditVal,_xlfn.XLOOKUP($A361,My_Audit!$A:$A,My_Audit!F:F,""),
_xlfn.IFS(_xlpm.MyAuditVal&lt;&gt;"",_xlpm.MyAuditVal,_xlpm.MacVal&lt;&gt;"",_xlpm.MacVal,_xlpm.CSVVal&lt;&gt;"",PROPER(_xlpm.CSVVal)
)),"")</f>
        <v/>
      </c>
      <c r="H361" s="40" t="str" cm="1">
        <f t="array" ref="H361">IFERROR(_xlfn.LET(
_xlpm.CSVVal,_xlfn.XLOOKUP($A361,CSV!$A:$A,CSV!H:H,""),
_xlpm.MacVal,_xlfn.XLOOKUP($A361,Output_Mac!$A:$A,Output_Mac!H:H,""),
_xlpm.MyAuditVal,_xlfn.XLOOKUP($A361,My_Audit!$A:$A,My_Audit!G:G,""),
_xlfn.IFS(_xlpm.MyAuditVal&lt;&gt;"",_xlpm.MyAuditVal,_xlpm.MacVal&lt;&gt;"",_xlpm.MacVal,_xlpm.CSVVal&lt;&gt;"",_xlpm.CSVVal
)),"")</f>
        <v/>
      </c>
      <c r="I361" s="40" t="str">
        <f>_xlfn.XLOOKUP(A361,Output_Mac!A:A,Output_Mac!I:I,"")</f>
        <v/>
      </c>
      <c r="J361" s="40" t="str" cm="1">
        <f t="array" ref="J361">IFERROR(_xlfn.LET(
_xlpm.CSVVal,_xlfn.XLOOKUP($A361,CSV!$A:$A,CSV!I:I,""),
_xlpm.MacVal,_xlfn.XLOOKUP($A361,Output_Mac!$A:$A,Output_Mac!J:J,""),
_xlpm.MyAuditVal,_xlfn.XLOOKUP($A361,My_Audit!$A:$A,My_Audit!I:I,""),
_xlfn.IFS(_xlpm.MyAuditVal&lt;&gt;"",UPPER(_xlpm.MyAuditVal),_xlpm.MacVal&lt;&gt;"",_xlpm.MacVal,_xlpm.CSVVal&lt;&gt;"",_xlpm.CSVVal
)),"")</f>
        <v/>
      </c>
      <c r="K361" s="40" t="str" cm="1">
        <f t="array" ref="K361">IFERROR(_xlfn.LET(
_xlpm.CSVVal,_xlfn.XLOOKUP($A361,CSV!$A:$A,CSV!K:K,""),
_xlpm.MacVal,_xlfn.XLOOKUP($A361,Output_Mac!$A:$A,Output_Mac!K:K,""),
_xlpm.MyAuditVal,_xlfn.XLOOKUP($A361,My_Audit!$A:$A,My_Audit!J:J,""),
_xlfn.IFS(_xlpm.MyAuditVal&lt;&gt;"",UPPER(_xlpm.MyAuditVal),_xlpm.MacVal&lt;&gt;"",_xlpm.MacVal,_xlpm.CSVVal&lt;&gt;"",_xlpm.CSVVal
)),"")</f>
        <v/>
      </c>
      <c r="L361" s="40" t="str" cm="1">
        <f t="array" ref="L361">IFERROR(_xlfn.LET(
_xlpm.CSVVal,_xlfn.XLOOKUP($A361,CSV!$A:$A,CSV!P:P,""),
_xlpm.MacVal,_xlfn.XLOOKUP($A361,Output_Mac!$A:$A,Output_Mac!L:L,""),
_xlpm.MyAuditVal,_xlfn.XLOOKUP($A361,My_Audit!$A:$A,My_Audit!K:K,""),
_xlfn.IFS(_xlpm.MyAuditVal&lt;&gt;"",UPPER(_xlpm.MyAuditVal),_xlpm.MacVal&lt;&gt;"",_xlpm.MacVal,_xlpm.CSVVal&lt;&gt;"",_xlpm.CSVVal
)),"")</f>
        <v/>
      </c>
      <c r="M361" s="40" t="str" cm="1">
        <f t="array" ref="M361">IFERROR(_xlfn.LET(
_xlpm.CSVVal,_xlfn.XLOOKUP($A361,CSV!$A:$A,CSV!Q:Q,""),
_xlpm.MacVal,_xlfn.XLOOKUP($A361,Output_Mac!$A:$A,Output_Mac!M:M,""),
_xlpm.MyAuditVal,_xlfn.XLOOKUP($A361,My_Audit!$A:$A,My_Audit!L:L,""),
_xlfn.IFS(_xlpm.MyAuditVal&lt;&gt;"",UPPER(_xlpm.MyAuditVal),_xlpm.MacVal&lt;&gt;"",_xlpm.MacVal,_xlpm.CSVVal&lt;&gt;"",_xlpm.CSVVal
)),"")</f>
        <v/>
      </c>
      <c r="N361" s="40"/>
      <c r="O361" s="40" t="str">
        <f>_xlfn.LET(
    _xlpm.CSVVal, _xlfn.XLOOKUP($A361, CSV!$A:$A, CSV!AA:AA, ""),
    _xlpm.MacVal, _xlfn.XLOOKUP($A361, Output_Mac!$A:$A, Output_Mac!S:S, ""),
    _xlpm.MyAuditVal, _xlfn.XLOOKUP($A361, My_Audit!$A:$A, My_Audit!P:P, ""),
    _xlfn.TEXTJOIN(", ", TRUE, _xlpm.MyAuditVal, _xlpm.MacVal, _xlpm.CSVVal)
)</f>
        <v/>
      </c>
      <c r="P361" s="40" t="str" cm="1">
        <f t="array" ref="P361">IFERROR(_xlfn.LET(
_xlpm.CSVVal,_xlfn.XLOOKUP($A361,CSV!$A:$A,CSV!AB:AB,""),
_xlpm.MacVal,_xlfn.XLOOKUP($A361,Output_Mac!$A:$A,Output_Mac!T:T,""),
_xlpm.MyAuditVal,_xlfn.XLOOKUP($A361,My_Audit!$A:$A,My_Audit!Q:Q,""),
_xlfn.IFS(_xlpm.MyAuditVal&lt;&gt;"",UPPER(_xlpm.MyAuditVal),_xlpm.MacVal&lt;&gt;"",_xlpm.MacVal,_xlpm.CSVVal&lt;&gt;"",_xlpm.CSVVal
)),"No")</f>
        <v>No</v>
      </c>
      <c r="Q361" s="40" t="str" cm="1">
        <f t="array" ref="Q361">IFERROR(_xlfn.LET(
_xlpm.CSVVal,_xlfn.XLOOKUP($A361,CSV!$A:$A,CSV!AC:AC,""),
_xlpm.MacVal,_xlfn.XLOOKUP($A361,Output_Mac!$A:$A,Output_Mac!U:U,""),
_xlpm.MyAuditVal,_xlfn.XLOOKUP($A361,My_Audit!$A:$A,My_Audit!R:R,""),
_xlfn.IFS(_xlpm.MyAuditVal&lt;&gt;"",UPPER(_xlpm.MyAuditVal),_xlpm.MacVal&lt;&gt;"",_xlpm.MacVal,_xlpm.CSVVal&lt;&gt;"",_xlpm.CSVVal
)),"")</f>
        <v/>
      </c>
      <c r="R361" s="40"/>
      <c r="S361" s="40"/>
      <c r="T361" s="40"/>
      <c r="U361" s="40"/>
      <c r="V361" s="40"/>
      <c r="W361" s="40"/>
      <c r="X361" s="41" t="str">
        <f>_xlfn.LET(
    _xlpm.MacVal, _xlfn.XLOOKUP($A361, Output_Mac!$A:$A, Output_Mac!AB:AB, ""),
    _xlpm.MyAuditVal, _xlfn.XLOOKUP($A361, My_Audit!$A:$A, My_Audit!N:N, ""),
    _xlfn.TEXTJOIN(", ", TRUE, _xlpm.MyAuditVal, _xlpm.MacVal)
)</f>
        <v/>
      </c>
    </row>
    <row r="362" spans="1:24">
      <c r="A362" s="40" t="str">
        <f>_xlfn.TEXTJOIN("",TRUE,Input!$B$2,ROW(My_Audit!A361))</f>
        <v>X361</v>
      </c>
      <c r="B362" s="40" t="str">
        <f>_xlfn.TEXTJOIN("-",TRUE,"ITD",Input!$A$2,A362)</f>
        <v>ITD-X361</v>
      </c>
      <c r="C362" s="40" t="str" cm="1">
        <f t="array" ref="C362">IFERROR(_xlfn.LET(
_xlpm.CSVVal,_xlfn.XLOOKUP($A362,CSV!$A:$A,CSV!B:B,""),
_xlpm.MacVal,_xlfn.XLOOKUP($A362,Output_Mac!$A:$A,Output_Mac!B:B,""),
_xlpm.MyAuditVal,_xlfn.XLOOKUP($A362,My_Audit!$A:$A,My_Audit!B:B,""),
_xlfn.IFS(_xlpm.MyAuditVal&lt;&gt;"",UPPER(_xlpm.MyAuditVal),_xlpm.MacVal&lt;&gt;"",_xlpm.MacVal,_xlpm.CSVVal&lt;&gt;"",_xlpm.CSVVal
)),"")</f>
        <v/>
      </c>
      <c r="D362" s="40" t="str" cm="1">
        <f t="array" ref="D362">IFERROR(_xlfn.LET(
_xlpm.CSVVal,_xlfn.XLOOKUP($A362,CSV!$A:$A,CSV!D:D,""),
_xlpm.MacVal,_xlfn.XLOOKUP($A362,Output_Mac!$A:$A,Output_Mac!C:C,""),
_xlpm.MyAuditVal,_xlfn.XLOOKUP($A362,My_Audit!$A:$A,My_Audit!C:C,""),
_xlfn.IFS(_xlpm.MyAuditVal&lt;&gt;"",_xlpm.MyAuditVal,_xlpm.MacVal&lt;&gt;"",_xlpm.MacVal,_xlpm.CSVVal&lt;&gt;"",_xlpm.CSVVal
)),"")</f>
        <v/>
      </c>
      <c r="E362" s="40">
        <f>_xlfn.XLOOKUP(A362,My_Audit!A:A,My_Audit!D:D,"")</f>
        <v>0</v>
      </c>
      <c r="F362" s="40" t="str" cm="1">
        <f t="array" ref="F362">IFERROR(_xlfn.LET(
_xlpm.CSVVal,_xlfn.XLOOKUP($A362,CSV!$A:$A,CSV!F:F,""),
_xlpm.MacVal,_xlfn.XLOOKUP($A362,Output_Mac!$A:$A,Output_Mac!E:E,""),
_xlpm.MyAuditVal,_xlfn.XLOOKUP($A362,My_Audit!$A:$A,My_Audit!E:E,""),
_xlfn.IFS(_xlpm.MyAuditVal&lt;&gt;"",_xlpm.MyAuditVal,_xlpm.MacVal&lt;&gt;"",_xlpm.MacVal,_xlpm.CSVVal&lt;&gt;"",_xlpm.CSVVal
)),"")</f>
        <v/>
      </c>
      <c r="G362" s="40" t="str" cm="1">
        <f t="array" ref="G362">IFERROR(_xlfn.LET(
_xlpm.CSVVal,_xlfn.XLOOKUP($A362,CSV!$A:$A,CSV!G:G,""),
_xlpm.MacVal,_xlfn.XLOOKUP($A362,Output_Mac!$A:$A,Output_Mac!F:F,""),
_xlpm.MyAuditVal,_xlfn.XLOOKUP($A362,My_Audit!$A:$A,My_Audit!F:F,""),
_xlfn.IFS(_xlpm.MyAuditVal&lt;&gt;"",_xlpm.MyAuditVal,_xlpm.MacVal&lt;&gt;"",_xlpm.MacVal,_xlpm.CSVVal&lt;&gt;"",PROPER(_xlpm.CSVVal)
)),"")</f>
        <v/>
      </c>
      <c r="H362" s="40" t="str" cm="1">
        <f t="array" ref="H362">IFERROR(_xlfn.LET(
_xlpm.CSVVal,_xlfn.XLOOKUP($A362,CSV!$A:$A,CSV!H:H,""),
_xlpm.MacVal,_xlfn.XLOOKUP($A362,Output_Mac!$A:$A,Output_Mac!H:H,""),
_xlpm.MyAuditVal,_xlfn.XLOOKUP($A362,My_Audit!$A:$A,My_Audit!G:G,""),
_xlfn.IFS(_xlpm.MyAuditVal&lt;&gt;"",_xlpm.MyAuditVal,_xlpm.MacVal&lt;&gt;"",_xlpm.MacVal,_xlpm.CSVVal&lt;&gt;"",_xlpm.CSVVal
)),"")</f>
        <v/>
      </c>
      <c r="I362" s="40" t="str">
        <f>_xlfn.XLOOKUP(A362,Output_Mac!A:A,Output_Mac!I:I,"")</f>
        <v/>
      </c>
      <c r="J362" s="40" t="str" cm="1">
        <f t="array" ref="J362">IFERROR(_xlfn.LET(
_xlpm.CSVVal,_xlfn.XLOOKUP($A362,CSV!$A:$A,CSV!I:I,""),
_xlpm.MacVal,_xlfn.XLOOKUP($A362,Output_Mac!$A:$A,Output_Mac!J:J,""),
_xlpm.MyAuditVal,_xlfn.XLOOKUP($A362,My_Audit!$A:$A,My_Audit!I:I,""),
_xlfn.IFS(_xlpm.MyAuditVal&lt;&gt;"",UPPER(_xlpm.MyAuditVal),_xlpm.MacVal&lt;&gt;"",_xlpm.MacVal,_xlpm.CSVVal&lt;&gt;"",_xlpm.CSVVal
)),"")</f>
        <v/>
      </c>
      <c r="K362" s="40" t="str" cm="1">
        <f t="array" ref="K362">IFERROR(_xlfn.LET(
_xlpm.CSVVal,_xlfn.XLOOKUP($A362,CSV!$A:$A,CSV!K:K,""),
_xlpm.MacVal,_xlfn.XLOOKUP($A362,Output_Mac!$A:$A,Output_Mac!K:K,""),
_xlpm.MyAuditVal,_xlfn.XLOOKUP($A362,My_Audit!$A:$A,My_Audit!J:J,""),
_xlfn.IFS(_xlpm.MyAuditVal&lt;&gt;"",UPPER(_xlpm.MyAuditVal),_xlpm.MacVal&lt;&gt;"",_xlpm.MacVal,_xlpm.CSVVal&lt;&gt;"",_xlpm.CSVVal
)),"")</f>
        <v/>
      </c>
      <c r="L362" s="40" t="str" cm="1">
        <f t="array" ref="L362">IFERROR(_xlfn.LET(
_xlpm.CSVVal,_xlfn.XLOOKUP($A362,CSV!$A:$A,CSV!P:P,""),
_xlpm.MacVal,_xlfn.XLOOKUP($A362,Output_Mac!$A:$A,Output_Mac!L:L,""),
_xlpm.MyAuditVal,_xlfn.XLOOKUP($A362,My_Audit!$A:$A,My_Audit!K:K,""),
_xlfn.IFS(_xlpm.MyAuditVal&lt;&gt;"",UPPER(_xlpm.MyAuditVal),_xlpm.MacVal&lt;&gt;"",_xlpm.MacVal,_xlpm.CSVVal&lt;&gt;"",_xlpm.CSVVal
)),"")</f>
        <v/>
      </c>
      <c r="M362" s="40" t="str" cm="1">
        <f t="array" ref="M362">IFERROR(_xlfn.LET(
_xlpm.CSVVal,_xlfn.XLOOKUP($A362,CSV!$A:$A,CSV!Q:Q,""),
_xlpm.MacVal,_xlfn.XLOOKUP($A362,Output_Mac!$A:$A,Output_Mac!M:M,""),
_xlpm.MyAuditVal,_xlfn.XLOOKUP($A362,My_Audit!$A:$A,My_Audit!L:L,""),
_xlfn.IFS(_xlpm.MyAuditVal&lt;&gt;"",UPPER(_xlpm.MyAuditVal),_xlpm.MacVal&lt;&gt;"",_xlpm.MacVal,_xlpm.CSVVal&lt;&gt;"",_xlpm.CSVVal
)),"")</f>
        <v/>
      </c>
      <c r="N362" s="40"/>
      <c r="O362" s="40" t="str">
        <f>_xlfn.LET(
    _xlpm.CSVVal, _xlfn.XLOOKUP($A362, CSV!$A:$A, CSV!AA:AA, ""),
    _xlpm.MacVal, _xlfn.XLOOKUP($A362, Output_Mac!$A:$A, Output_Mac!S:S, ""),
    _xlpm.MyAuditVal, _xlfn.XLOOKUP($A362, My_Audit!$A:$A, My_Audit!P:P, ""),
    _xlfn.TEXTJOIN(", ", TRUE, _xlpm.MyAuditVal, _xlpm.MacVal, _xlpm.CSVVal)
)</f>
        <v/>
      </c>
      <c r="P362" s="40" t="str" cm="1">
        <f t="array" ref="P362">IFERROR(_xlfn.LET(
_xlpm.CSVVal,_xlfn.XLOOKUP($A362,CSV!$A:$A,CSV!AB:AB,""),
_xlpm.MacVal,_xlfn.XLOOKUP($A362,Output_Mac!$A:$A,Output_Mac!T:T,""),
_xlpm.MyAuditVal,_xlfn.XLOOKUP($A362,My_Audit!$A:$A,My_Audit!Q:Q,""),
_xlfn.IFS(_xlpm.MyAuditVal&lt;&gt;"",UPPER(_xlpm.MyAuditVal),_xlpm.MacVal&lt;&gt;"",_xlpm.MacVal,_xlpm.CSVVal&lt;&gt;"",_xlpm.CSVVal
)),"No")</f>
        <v>No</v>
      </c>
      <c r="Q362" s="40" t="str" cm="1">
        <f t="array" ref="Q362">IFERROR(_xlfn.LET(
_xlpm.CSVVal,_xlfn.XLOOKUP($A362,CSV!$A:$A,CSV!AC:AC,""),
_xlpm.MacVal,_xlfn.XLOOKUP($A362,Output_Mac!$A:$A,Output_Mac!U:U,""),
_xlpm.MyAuditVal,_xlfn.XLOOKUP($A362,My_Audit!$A:$A,My_Audit!R:R,""),
_xlfn.IFS(_xlpm.MyAuditVal&lt;&gt;"",UPPER(_xlpm.MyAuditVal),_xlpm.MacVal&lt;&gt;"",_xlpm.MacVal,_xlpm.CSVVal&lt;&gt;"",_xlpm.CSVVal
)),"")</f>
        <v/>
      </c>
      <c r="R362" s="40"/>
      <c r="S362" s="40"/>
      <c r="T362" s="40"/>
      <c r="U362" s="40"/>
      <c r="V362" s="40"/>
      <c r="W362" s="40"/>
      <c r="X362" s="41" t="str">
        <f>_xlfn.LET(
    _xlpm.MacVal, _xlfn.XLOOKUP($A362, Output_Mac!$A:$A, Output_Mac!AB:AB, ""),
    _xlpm.MyAuditVal, _xlfn.XLOOKUP($A362, My_Audit!$A:$A, My_Audit!N:N, ""),
    _xlfn.TEXTJOIN(", ", TRUE, _xlpm.MyAuditVal, _xlpm.MacVal)
)</f>
        <v/>
      </c>
    </row>
    <row r="363" spans="1:24">
      <c r="A363" s="40" t="str">
        <f>_xlfn.TEXTJOIN("",TRUE,Input!$B$2,ROW(My_Audit!A362))</f>
        <v>X362</v>
      </c>
      <c r="B363" s="40" t="str">
        <f>_xlfn.TEXTJOIN("-",TRUE,"ITD",Input!$A$2,A363)</f>
        <v>ITD-X362</v>
      </c>
      <c r="C363" s="40" t="str" cm="1">
        <f t="array" ref="C363">IFERROR(_xlfn.LET(
_xlpm.CSVVal,_xlfn.XLOOKUP($A363,CSV!$A:$A,CSV!B:B,""),
_xlpm.MacVal,_xlfn.XLOOKUP($A363,Output_Mac!$A:$A,Output_Mac!B:B,""),
_xlpm.MyAuditVal,_xlfn.XLOOKUP($A363,My_Audit!$A:$A,My_Audit!B:B,""),
_xlfn.IFS(_xlpm.MyAuditVal&lt;&gt;"",UPPER(_xlpm.MyAuditVal),_xlpm.MacVal&lt;&gt;"",_xlpm.MacVal,_xlpm.CSVVal&lt;&gt;"",_xlpm.CSVVal
)),"")</f>
        <v/>
      </c>
      <c r="D363" s="40" t="str" cm="1">
        <f t="array" ref="D363">IFERROR(_xlfn.LET(
_xlpm.CSVVal,_xlfn.XLOOKUP($A363,CSV!$A:$A,CSV!D:D,""),
_xlpm.MacVal,_xlfn.XLOOKUP($A363,Output_Mac!$A:$A,Output_Mac!C:C,""),
_xlpm.MyAuditVal,_xlfn.XLOOKUP($A363,My_Audit!$A:$A,My_Audit!C:C,""),
_xlfn.IFS(_xlpm.MyAuditVal&lt;&gt;"",_xlpm.MyAuditVal,_xlpm.MacVal&lt;&gt;"",_xlpm.MacVal,_xlpm.CSVVal&lt;&gt;"",_xlpm.CSVVal
)),"")</f>
        <v/>
      </c>
      <c r="E363" s="40">
        <f>_xlfn.XLOOKUP(A363,My_Audit!A:A,My_Audit!D:D,"")</f>
        <v>0</v>
      </c>
      <c r="F363" s="40" t="str" cm="1">
        <f t="array" ref="F363">IFERROR(_xlfn.LET(
_xlpm.CSVVal,_xlfn.XLOOKUP($A363,CSV!$A:$A,CSV!F:F,""),
_xlpm.MacVal,_xlfn.XLOOKUP($A363,Output_Mac!$A:$A,Output_Mac!E:E,""),
_xlpm.MyAuditVal,_xlfn.XLOOKUP($A363,My_Audit!$A:$A,My_Audit!E:E,""),
_xlfn.IFS(_xlpm.MyAuditVal&lt;&gt;"",_xlpm.MyAuditVal,_xlpm.MacVal&lt;&gt;"",_xlpm.MacVal,_xlpm.CSVVal&lt;&gt;"",_xlpm.CSVVal
)),"")</f>
        <v/>
      </c>
      <c r="G363" s="40" t="str" cm="1">
        <f t="array" ref="G363">IFERROR(_xlfn.LET(
_xlpm.CSVVal,_xlfn.XLOOKUP($A363,CSV!$A:$A,CSV!G:G,""),
_xlpm.MacVal,_xlfn.XLOOKUP($A363,Output_Mac!$A:$A,Output_Mac!F:F,""),
_xlpm.MyAuditVal,_xlfn.XLOOKUP($A363,My_Audit!$A:$A,My_Audit!F:F,""),
_xlfn.IFS(_xlpm.MyAuditVal&lt;&gt;"",_xlpm.MyAuditVal,_xlpm.MacVal&lt;&gt;"",_xlpm.MacVal,_xlpm.CSVVal&lt;&gt;"",PROPER(_xlpm.CSVVal)
)),"")</f>
        <v/>
      </c>
      <c r="H363" s="40" t="str" cm="1">
        <f t="array" ref="H363">IFERROR(_xlfn.LET(
_xlpm.CSVVal,_xlfn.XLOOKUP($A363,CSV!$A:$A,CSV!H:H,""),
_xlpm.MacVal,_xlfn.XLOOKUP($A363,Output_Mac!$A:$A,Output_Mac!H:H,""),
_xlpm.MyAuditVal,_xlfn.XLOOKUP($A363,My_Audit!$A:$A,My_Audit!G:G,""),
_xlfn.IFS(_xlpm.MyAuditVal&lt;&gt;"",_xlpm.MyAuditVal,_xlpm.MacVal&lt;&gt;"",_xlpm.MacVal,_xlpm.CSVVal&lt;&gt;"",_xlpm.CSVVal
)),"")</f>
        <v/>
      </c>
      <c r="I363" s="40" t="str">
        <f>_xlfn.XLOOKUP(A363,Output_Mac!A:A,Output_Mac!I:I,"")</f>
        <v/>
      </c>
      <c r="J363" s="40" t="str" cm="1">
        <f t="array" ref="J363">IFERROR(_xlfn.LET(
_xlpm.CSVVal,_xlfn.XLOOKUP($A363,CSV!$A:$A,CSV!I:I,""),
_xlpm.MacVal,_xlfn.XLOOKUP($A363,Output_Mac!$A:$A,Output_Mac!J:J,""),
_xlpm.MyAuditVal,_xlfn.XLOOKUP($A363,My_Audit!$A:$A,My_Audit!I:I,""),
_xlfn.IFS(_xlpm.MyAuditVal&lt;&gt;"",UPPER(_xlpm.MyAuditVal),_xlpm.MacVal&lt;&gt;"",_xlpm.MacVal,_xlpm.CSVVal&lt;&gt;"",_xlpm.CSVVal
)),"")</f>
        <v/>
      </c>
      <c r="K363" s="40" t="str" cm="1">
        <f t="array" ref="K363">IFERROR(_xlfn.LET(
_xlpm.CSVVal,_xlfn.XLOOKUP($A363,CSV!$A:$A,CSV!K:K,""),
_xlpm.MacVal,_xlfn.XLOOKUP($A363,Output_Mac!$A:$A,Output_Mac!K:K,""),
_xlpm.MyAuditVal,_xlfn.XLOOKUP($A363,My_Audit!$A:$A,My_Audit!J:J,""),
_xlfn.IFS(_xlpm.MyAuditVal&lt;&gt;"",UPPER(_xlpm.MyAuditVal),_xlpm.MacVal&lt;&gt;"",_xlpm.MacVal,_xlpm.CSVVal&lt;&gt;"",_xlpm.CSVVal
)),"")</f>
        <v/>
      </c>
      <c r="L363" s="40" t="str" cm="1">
        <f t="array" ref="L363">IFERROR(_xlfn.LET(
_xlpm.CSVVal,_xlfn.XLOOKUP($A363,CSV!$A:$A,CSV!P:P,""),
_xlpm.MacVal,_xlfn.XLOOKUP($A363,Output_Mac!$A:$A,Output_Mac!L:L,""),
_xlpm.MyAuditVal,_xlfn.XLOOKUP($A363,My_Audit!$A:$A,My_Audit!K:K,""),
_xlfn.IFS(_xlpm.MyAuditVal&lt;&gt;"",UPPER(_xlpm.MyAuditVal),_xlpm.MacVal&lt;&gt;"",_xlpm.MacVal,_xlpm.CSVVal&lt;&gt;"",_xlpm.CSVVal
)),"")</f>
        <v/>
      </c>
      <c r="M363" s="40" t="str" cm="1">
        <f t="array" ref="M363">IFERROR(_xlfn.LET(
_xlpm.CSVVal,_xlfn.XLOOKUP($A363,CSV!$A:$A,CSV!Q:Q,""),
_xlpm.MacVal,_xlfn.XLOOKUP($A363,Output_Mac!$A:$A,Output_Mac!M:M,""),
_xlpm.MyAuditVal,_xlfn.XLOOKUP($A363,My_Audit!$A:$A,My_Audit!L:L,""),
_xlfn.IFS(_xlpm.MyAuditVal&lt;&gt;"",UPPER(_xlpm.MyAuditVal),_xlpm.MacVal&lt;&gt;"",_xlpm.MacVal,_xlpm.CSVVal&lt;&gt;"",_xlpm.CSVVal
)),"")</f>
        <v/>
      </c>
      <c r="N363" s="40"/>
      <c r="O363" s="40" t="str">
        <f>_xlfn.LET(
    _xlpm.CSVVal, _xlfn.XLOOKUP($A363, CSV!$A:$A, CSV!AA:AA, ""),
    _xlpm.MacVal, _xlfn.XLOOKUP($A363, Output_Mac!$A:$A, Output_Mac!S:S, ""),
    _xlpm.MyAuditVal, _xlfn.XLOOKUP($A363, My_Audit!$A:$A, My_Audit!P:P, ""),
    _xlfn.TEXTJOIN(", ", TRUE, _xlpm.MyAuditVal, _xlpm.MacVal, _xlpm.CSVVal)
)</f>
        <v/>
      </c>
      <c r="P363" s="40" t="str" cm="1">
        <f t="array" ref="P363">IFERROR(_xlfn.LET(
_xlpm.CSVVal,_xlfn.XLOOKUP($A363,CSV!$A:$A,CSV!AB:AB,""),
_xlpm.MacVal,_xlfn.XLOOKUP($A363,Output_Mac!$A:$A,Output_Mac!T:T,""),
_xlpm.MyAuditVal,_xlfn.XLOOKUP($A363,My_Audit!$A:$A,My_Audit!Q:Q,""),
_xlfn.IFS(_xlpm.MyAuditVal&lt;&gt;"",UPPER(_xlpm.MyAuditVal),_xlpm.MacVal&lt;&gt;"",_xlpm.MacVal,_xlpm.CSVVal&lt;&gt;"",_xlpm.CSVVal
)),"No")</f>
        <v>No</v>
      </c>
      <c r="Q363" s="40" t="str" cm="1">
        <f t="array" ref="Q363">IFERROR(_xlfn.LET(
_xlpm.CSVVal,_xlfn.XLOOKUP($A363,CSV!$A:$A,CSV!AC:AC,""),
_xlpm.MacVal,_xlfn.XLOOKUP($A363,Output_Mac!$A:$A,Output_Mac!U:U,""),
_xlpm.MyAuditVal,_xlfn.XLOOKUP($A363,My_Audit!$A:$A,My_Audit!R:R,""),
_xlfn.IFS(_xlpm.MyAuditVal&lt;&gt;"",UPPER(_xlpm.MyAuditVal),_xlpm.MacVal&lt;&gt;"",_xlpm.MacVal,_xlpm.CSVVal&lt;&gt;"",_xlpm.CSVVal
)),"")</f>
        <v/>
      </c>
      <c r="R363" s="40"/>
      <c r="S363" s="40"/>
      <c r="T363" s="40"/>
      <c r="U363" s="40"/>
      <c r="V363" s="40"/>
      <c r="W363" s="40"/>
      <c r="X363" s="41" t="str">
        <f>_xlfn.LET(
    _xlpm.MacVal, _xlfn.XLOOKUP($A363, Output_Mac!$A:$A, Output_Mac!AB:AB, ""),
    _xlpm.MyAuditVal, _xlfn.XLOOKUP($A363, My_Audit!$A:$A, My_Audit!N:N, ""),
    _xlfn.TEXTJOIN(", ", TRUE, _xlpm.MyAuditVal, _xlpm.MacVal)
)</f>
        <v/>
      </c>
    </row>
    <row r="364" spans="1:24">
      <c r="A364" s="40" t="str">
        <f>_xlfn.TEXTJOIN("",TRUE,Input!$B$2,ROW(My_Audit!A363))</f>
        <v>X363</v>
      </c>
      <c r="B364" s="40" t="str">
        <f>_xlfn.TEXTJOIN("-",TRUE,"ITD",Input!$A$2,A364)</f>
        <v>ITD-X363</v>
      </c>
      <c r="C364" s="40" t="str" cm="1">
        <f t="array" ref="C364">IFERROR(_xlfn.LET(
_xlpm.CSVVal,_xlfn.XLOOKUP($A364,CSV!$A:$A,CSV!B:B,""),
_xlpm.MacVal,_xlfn.XLOOKUP($A364,Output_Mac!$A:$A,Output_Mac!B:B,""),
_xlpm.MyAuditVal,_xlfn.XLOOKUP($A364,My_Audit!$A:$A,My_Audit!B:B,""),
_xlfn.IFS(_xlpm.MyAuditVal&lt;&gt;"",UPPER(_xlpm.MyAuditVal),_xlpm.MacVal&lt;&gt;"",_xlpm.MacVal,_xlpm.CSVVal&lt;&gt;"",_xlpm.CSVVal
)),"")</f>
        <v/>
      </c>
      <c r="D364" s="40" t="str" cm="1">
        <f t="array" ref="D364">IFERROR(_xlfn.LET(
_xlpm.CSVVal,_xlfn.XLOOKUP($A364,CSV!$A:$A,CSV!D:D,""),
_xlpm.MacVal,_xlfn.XLOOKUP($A364,Output_Mac!$A:$A,Output_Mac!C:C,""),
_xlpm.MyAuditVal,_xlfn.XLOOKUP($A364,My_Audit!$A:$A,My_Audit!C:C,""),
_xlfn.IFS(_xlpm.MyAuditVal&lt;&gt;"",_xlpm.MyAuditVal,_xlpm.MacVal&lt;&gt;"",_xlpm.MacVal,_xlpm.CSVVal&lt;&gt;"",_xlpm.CSVVal
)),"")</f>
        <v/>
      </c>
      <c r="E364" s="40">
        <f>_xlfn.XLOOKUP(A364,My_Audit!A:A,My_Audit!D:D,"")</f>
        <v>0</v>
      </c>
      <c r="F364" s="40" t="str" cm="1">
        <f t="array" ref="F364">IFERROR(_xlfn.LET(
_xlpm.CSVVal,_xlfn.XLOOKUP($A364,CSV!$A:$A,CSV!F:F,""),
_xlpm.MacVal,_xlfn.XLOOKUP($A364,Output_Mac!$A:$A,Output_Mac!E:E,""),
_xlpm.MyAuditVal,_xlfn.XLOOKUP($A364,My_Audit!$A:$A,My_Audit!E:E,""),
_xlfn.IFS(_xlpm.MyAuditVal&lt;&gt;"",_xlpm.MyAuditVal,_xlpm.MacVal&lt;&gt;"",_xlpm.MacVal,_xlpm.CSVVal&lt;&gt;"",_xlpm.CSVVal
)),"")</f>
        <v/>
      </c>
      <c r="G364" s="40" t="str" cm="1">
        <f t="array" ref="G364">IFERROR(_xlfn.LET(
_xlpm.CSVVal,_xlfn.XLOOKUP($A364,CSV!$A:$A,CSV!G:G,""),
_xlpm.MacVal,_xlfn.XLOOKUP($A364,Output_Mac!$A:$A,Output_Mac!F:F,""),
_xlpm.MyAuditVal,_xlfn.XLOOKUP($A364,My_Audit!$A:$A,My_Audit!F:F,""),
_xlfn.IFS(_xlpm.MyAuditVal&lt;&gt;"",_xlpm.MyAuditVal,_xlpm.MacVal&lt;&gt;"",_xlpm.MacVal,_xlpm.CSVVal&lt;&gt;"",PROPER(_xlpm.CSVVal)
)),"")</f>
        <v/>
      </c>
      <c r="H364" s="40" t="str" cm="1">
        <f t="array" ref="H364">IFERROR(_xlfn.LET(
_xlpm.CSVVal,_xlfn.XLOOKUP($A364,CSV!$A:$A,CSV!H:H,""),
_xlpm.MacVal,_xlfn.XLOOKUP($A364,Output_Mac!$A:$A,Output_Mac!H:H,""),
_xlpm.MyAuditVal,_xlfn.XLOOKUP($A364,My_Audit!$A:$A,My_Audit!G:G,""),
_xlfn.IFS(_xlpm.MyAuditVal&lt;&gt;"",_xlpm.MyAuditVal,_xlpm.MacVal&lt;&gt;"",_xlpm.MacVal,_xlpm.CSVVal&lt;&gt;"",_xlpm.CSVVal
)),"")</f>
        <v/>
      </c>
      <c r="I364" s="40" t="str">
        <f>_xlfn.XLOOKUP(A364,Output_Mac!A:A,Output_Mac!I:I,"")</f>
        <v/>
      </c>
      <c r="J364" s="40" t="str" cm="1">
        <f t="array" ref="J364">IFERROR(_xlfn.LET(
_xlpm.CSVVal,_xlfn.XLOOKUP($A364,CSV!$A:$A,CSV!I:I,""),
_xlpm.MacVal,_xlfn.XLOOKUP($A364,Output_Mac!$A:$A,Output_Mac!J:J,""),
_xlpm.MyAuditVal,_xlfn.XLOOKUP($A364,My_Audit!$A:$A,My_Audit!I:I,""),
_xlfn.IFS(_xlpm.MyAuditVal&lt;&gt;"",UPPER(_xlpm.MyAuditVal),_xlpm.MacVal&lt;&gt;"",_xlpm.MacVal,_xlpm.CSVVal&lt;&gt;"",_xlpm.CSVVal
)),"")</f>
        <v/>
      </c>
      <c r="K364" s="40" t="str" cm="1">
        <f t="array" ref="K364">IFERROR(_xlfn.LET(
_xlpm.CSVVal,_xlfn.XLOOKUP($A364,CSV!$A:$A,CSV!K:K,""),
_xlpm.MacVal,_xlfn.XLOOKUP($A364,Output_Mac!$A:$A,Output_Mac!K:K,""),
_xlpm.MyAuditVal,_xlfn.XLOOKUP($A364,My_Audit!$A:$A,My_Audit!J:J,""),
_xlfn.IFS(_xlpm.MyAuditVal&lt;&gt;"",UPPER(_xlpm.MyAuditVal),_xlpm.MacVal&lt;&gt;"",_xlpm.MacVal,_xlpm.CSVVal&lt;&gt;"",_xlpm.CSVVal
)),"")</f>
        <v/>
      </c>
      <c r="L364" s="40" t="str" cm="1">
        <f t="array" ref="L364">IFERROR(_xlfn.LET(
_xlpm.CSVVal,_xlfn.XLOOKUP($A364,CSV!$A:$A,CSV!P:P,""),
_xlpm.MacVal,_xlfn.XLOOKUP($A364,Output_Mac!$A:$A,Output_Mac!L:L,""),
_xlpm.MyAuditVal,_xlfn.XLOOKUP($A364,My_Audit!$A:$A,My_Audit!K:K,""),
_xlfn.IFS(_xlpm.MyAuditVal&lt;&gt;"",UPPER(_xlpm.MyAuditVal),_xlpm.MacVal&lt;&gt;"",_xlpm.MacVal,_xlpm.CSVVal&lt;&gt;"",_xlpm.CSVVal
)),"")</f>
        <v/>
      </c>
      <c r="M364" s="40" t="str" cm="1">
        <f t="array" ref="M364">IFERROR(_xlfn.LET(
_xlpm.CSVVal,_xlfn.XLOOKUP($A364,CSV!$A:$A,CSV!Q:Q,""),
_xlpm.MacVal,_xlfn.XLOOKUP($A364,Output_Mac!$A:$A,Output_Mac!M:M,""),
_xlpm.MyAuditVal,_xlfn.XLOOKUP($A364,My_Audit!$A:$A,My_Audit!L:L,""),
_xlfn.IFS(_xlpm.MyAuditVal&lt;&gt;"",UPPER(_xlpm.MyAuditVal),_xlpm.MacVal&lt;&gt;"",_xlpm.MacVal,_xlpm.CSVVal&lt;&gt;"",_xlpm.CSVVal
)),"")</f>
        <v/>
      </c>
      <c r="N364" s="40"/>
      <c r="O364" s="40" t="str">
        <f>_xlfn.LET(
    _xlpm.CSVVal, _xlfn.XLOOKUP($A364, CSV!$A:$A, CSV!AA:AA, ""),
    _xlpm.MacVal, _xlfn.XLOOKUP($A364, Output_Mac!$A:$A, Output_Mac!S:S, ""),
    _xlpm.MyAuditVal, _xlfn.XLOOKUP($A364, My_Audit!$A:$A, My_Audit!P:P, ""),
    _xlfn.TEXTJOIN(", ", TRUE, _xlpm.MyAuditVal, _xlpm.MacVal, _xlpm.CSVVal)
)</f>
        <v/>
      </c>
      <c r="P364" s="40" t="str" cm="1">
        <f t="array" ref="P364">IFERROR(_xlfn.LET(
_xlpm.CSVVal,_xlfn.XLOOKUP($A364,CSV!$A:$A,CSV!AB:AB,""),
_xlpm.MacVal,_xlfn.XLOOKUP($A364,Output_Mac!$A:$A,Output_Mac!T:T,""),
_xlpm.MyAuditVal,_xlfn.XLOOKUP($A364,My_Audit!$A:$A,My_Audit!Q:Q,""),
_xlfn.IFS(_xlpm.MyAuditVal&lt;&gt;"",UPPER(_xlpm.MyAuditVal),_xlpm.MacVal&lt;&gt;"",_xlpm.MacVal,_xlpm.CSVVal&lt;&gt;"",_xlpm.CSVVal
)),"No")</f>
        <v>No</v>
      </c>
      <c r="Q364" s="40" t="str" cm="1">
        <f t="array" ref="Q364">IFERROR(_xlfn.LET(
_xlpm.CSVVal,_xlfn.XLOOKUP($A364,CSV!$A:$A,CSV!AC:AC,""),
_xlpm.MacVal,_xlfn.XLOOKUP($A364,Output_Mac!$A:$A,Output_Mac!U:U,""),
_xlpm.MyAuditVal,_xlfn.XLOOKUP($A364,My_Audit!$A:$A,My_Audit!R:R,""),
_xlfn.IFS(_xlpm.MyAuditVal&lt;&gt;"",UPPER(_xlpm.MyAuditVal),_xlpm.MacVal&lt;&gt;"",_xlpm.MacVal,_xlpm.CSVVal&lt;&gt;"",_xlpm.CSVVal
)),"")</f>
        <v/>
      </c>
      <c r="R364" s="40"/>
      <c r="S364" s="40"/>
      <c r="T364" s="40"/>
      <c r="U364" s="40"/>
      <c r="V364" s="40"/>
      <c r="W364" s="40"/>
      <c r="X364" s="41" t="str">
        <f>_xlfn.LET(
    _xlpm.MacVal, _xlfn.XLOOKUP($A364, Output_Mac!$A:$A, Output_Mac!AB:AB, ""),
    _xlpm.MyAuditVal, _xlfn.XLOOKUP($A364, My_Audit!$A:$A, My_Audit!N:N, ""),
    _xlfn.TEXTJOIN(", ", TRUE, _xlpm.MyAuditVal, _xlpm.MacVal)
)</f>
        <v/>
      </c>
    </row>
    <row r="365" spans="1:24">
      <c r="A365" s="40" t="str">
        <f>_xlfn.TEXTJOIN("",TRUE,Input!$B$2,ROW(My_Audit!A364))</f>
        <v>X364</v>
      </c>
      <c r="B365" s="40" t="str">
        <f>_xlfn.TEXTJOIN("-",TRUE,"ITD",Input!$A$2,A365)</f>
        <v>ITD-X364</v>
      </c>
      <c r="C365" s="40" t="str" cm="1">
        <f t="array" ref="C365">IFERROR(_xlfn.LET(
_xlpm.CSVVal,_xlfn.XLOOKUP($A365,CSV!$A:$A,CSV!B:B,""),
_xlpm.MacVal,_xlfn.XLOOKUP($A365,Output_Mac!$A:$A,Output_Mac!B:B,""),
_xlpm.MyAuditVal,_xlfn.XLOOKUP($A365,My_Audit!$A:$A,My_Audit!B:B,""),
_xlfn.IFS(_xlpm.MyAuditVal&lt;&gt;"",UPPER(_xlpm.MyAuditVal),_xlpm.MacVal&lt;&gt;"",_xlpm.MacVal,_xlpm.CSVVal&lt;&gt;"",_xlpm.CSVVal
)),"")</f>
        <v/>
      </c>
      <c r="D365" s="40" t="str" cm="1">
        <f t="array" ref="D365">IFERROR(_xlfn.LET(
_xlpm.CSVVal,_xlfn.XLOOKUP($A365,CSV!$A:$A,CSV!D:D,""),
_xlpm.MacVal,_xlfn.XLOOKUP($A365,Output_Mac!$A:$A,Output_Mac!C:C,""),
_xlpm.MyAuditVal,_xlfn.XLOOKUP($A365,My_Audit!$A:$A,My_Audit!C:C,""),
_xlfn.IFS(_xlpm.MyAuditVal&lt;&gt;"",_xlpm.MyAuditVal,_xlpm.MacVal&lt;&gt;"",_xlpm.MacVal,_xlpm.CSVVal&lt;&gt;"",_xlpm.CSVVal
)),"")</f>
        <v/>
      </c>
      <c r="E365" s="40">
        <f>_xlfn.XLOOKUP(A365,My_Audit!A:A,My_Audit!D:D,"")</f>
        <v>0</v>
      </c>
      <c r="F365" s="40" t="str" cm="1">
        <f t="array" ref="F365">IFERROR(_xlfn.LET(
_xlpm.CSVVal,_xlfn.XLOOKUP($A365,CSV!$A:$A,CSV!F:F,""),
_xlpm.MacVal,_xlfn.XLOOKUP($A365,Output_Mac!$A:$A,Output_Mac!E:E,""),
_xlpm.MyAuditVal,_xlfn.XLOOKUP($A365,My_Audit!$A:$A,My_Audit!E:E,""),
_xlfn.IFS(_xlpm.MyAuditVal&lt;&gt;"",_xlpm.MyAuditVal,_xlpm.MacVal&lt;&gt;"",_xlpm.MacVal,_xlpm.CSVVal&lt;&gt;"",_xlpm.CSVVal
)),"")</f>
        <v/>
      </c>
      <c r="G365" s="40" t="str" cm="1">
        <f t="array" ref="G365">IFERROR(_xlfn.LET(
_xlpm.CSVVal,_xlfn.XLOOKUP($A365,CSV!$A:$A,CSV!G:G,""),
_xlpm.MacVal,_xlfn.XLOOKUP($A365,Output_Mac!$A:$A,Output_Mac!F:F,""),
_xlpm.MyAuditVal,_xlfn.XLOOKUP($A365,My_Audit!$A:$A,My_Audit!F:F,""),
_xlfn.IFS(_xlpm.MyAuditVal&lt;&gt;"",_xlpm.MyAuditVal,_xlpm.MacVal&lt;&gt;"",_xlpm.MacVal,_xlpm.CSVVal&lt;&gt;"",PROPER(_xlpm.CSVVal)
)),"")</f>
        <v/>
      </c>
      <c r="H365" s="40" t="str" cm="1">
        <f t="array" ref="H365">IFERROR(_xlfn.LET(
_xlpm.CSVVal,_xlfn.XLOOKUP($A365,CSV!$A:$A,CSV!H:H,""),
_xlpm.MacVal,_xlfn.XLOOKUP($A365,Output_Mac!$A:$A,Output_Mac!H:H,""),
_xlpm.MyAuditVal,_xlfn.XLOOKUP($A365,My_Audit!$A:$A,My_Audit!G:G,""),
_xlfn.IFS(_xlpm.MyAuditVal&lt;&gt;"",_xlpm.MyAuditVal,_xlpm.MacVal&lt;&gt;"",_xlpm.MacVal,_xlpm.CSVVal&lt;&gt;"",_xlpm.CSVVal
)),"")</f>
        <v/>
      </c>
      <c r="I365" s="40" t="str">
        <f>_xlfn.XLOOKUP(A365,Output_Mac!A:A,Output_Mac!I:I,"")</f>
        <v/>
      </c>
      <c r="J365" s="40" t="str" cm="1">
        <f t="array" ref="J365">IFERROR(_xlfn.LET(
_xlpm.CSVVal,_xlfn.XLOOKUP($A365,CSV!$A:$A,CSV!I:I,""),
_xlpm.MacVal,_xlfn.XLOOKUP($A365,Output_Mac!$A:$A,Output_Mac!J:J,""),
_xlpm.MyAuditVal,_xlfn.XLOOKUP($A365,My_Audit!$A:$A,My_Audit!I:I,""),
_xlfn.IFS(_xlpm.MyAuditVal&lt;&gt;"",UPPER(_xlpm.MyAuditVal),_xlpm.MacVal&lt;&gt;"",_xlpm.MacVal,_xlpm.CSVVal&lt;&gt;"",_xlpm.CSVVal
)),"")</f>
        <v/>
      </c>
      <c r="K365" s="40" t="str" cm="1">
        <f t="array" ref="K365">IFERROR(_xlfn.LET(
_xlpm.CSVVal,_xlfn.XLOOKUP($A365,CSV!$A:$A,CSV!K:K,""),
_xlpm.MacVal,_xlfn.XLOOKUP($A365,Output_Mac!$A:$A,Output_Mac!K:K,""),
_xlpm.MyAuditVal,_xlfn.XLOOKUP($A365,My_Audit!$A:$A,My_Audit!J:J,""),
_xlfn.IFS(_xlpm.MyAuditVal&lt;&gt;"",UPPER(_xlpm.MyAuditVal),_xlpm.MacVal&lt;&gt;"",_xlpm.MacVal,_xlpm.CSVVal&lt;&gt;"",_xlpm.CSVVal
)),"")</f>
        <v/>
      </c>
      <c r="L365" s="40" t="str" cm="1">
        <f t="array" ref="L365">IFERROR(_xlfn.LET(
_xlpm.CSVVal,_xlfn.XLOOKUP($A365,CSV!$A:$A,CSV!P:P,""),
_xlpm.MacVal,_xlfn.XLOOKUP($A365,Output_Mac!$A:$A,Output_Mac!L:L,""),
_xlpm.MyAuditVal,_xlfn.XLOOKUP($A365,My_Audit!$A:$A,My_Audit!K:K,""),
_xlfn.IFS(_xlpm.MyAuditVal&lt;&gt;"",UPPER(_xlpm.MyAuditVal),_xlpm.MacVal&lt;&gt;"",_xlpm.MacVal,_xlpm.CSVVal&lt;&gt;"",_xlpm.CSVVal
)),"")</f>
        <v/>
      </c>
      <c r="M365" s="40" t="str" cm="1">
        <f t="array" ref="M365">IFERROR(_xlfn.LET(
_xlpm.CSVVal,_xlfn.XLOOKUP($A365,CSV!$A:$A,CSV!Q:Q,""),
_xlpm.MacVal,_xlfn.XLOOKUP($A365,Output_Mac!$A:$A,Output_Mac!M:M,""),
_xlpm.MyAuditVal,_xlfn.XLOOKUP($A365,My_Audit!$A:$A,My_Audit!L:L,""),
_xlfn.IFS(_xlpm.MyAuditVal&lt;&gt;"",UPPER(_xlpm.MyAuditVal),_xlpm.MacVal&lt;&gt;"",_xlpm.MacVal,_xlpm.CSVVal&lt;&gt;"",_xlpm.CSVVal
)),"")</f>
        <v/>
      </c>
      <c r="N365" s="40"/>
      <c r="O365" s="40" t="str">
        <f>_xlfn.LET(
    _xlpm.CSVVal, _xlfn.XLOOKUP($A365, CSV!$A:$A, CSV!AA:AA, ""),
    _xlpm.MacVal, _xlfn.XLOOKUP($A365, Output_Mac!$A:$A, Output_Mac!S:S, ""),
    _xlpm.MyAuditVal, _xlfn.XLOOKUP($A365, My_Audit!$A:$A, My_Audit!P:P, ""),
    _xlfn.TEXTJOIN(", ", TRUE, _xlpm.MyAuditVal, _xlpm.MacVal, _xlpm.CSVVal)
)</f>
        <v/>
      </c>
      <c r="P365" s="40" t="str" cm="1">
        <f t="array" ref="P365">IFERROR(_xlfn.LET(
_xlpm.CSVVal,_xlfn.XLOOKUP($A365,CSV!$A:$A,CSV!AB:AB,""),
_xlpm.MacVal,_xlfn.XLOOKUP($A365,Output_Mac!$A:$A,Output_Mac!T:T,""),
_xlpm.MyAuditVal,_xlfn.XLOOKUP($A365,My_Audit!$A:$A,My_Audit!Q:Q,""),
_xlfn.IFS(_xlpm.MyAuditVal&lt;&gt;"",UPPER(_xlpm.MyAuditVal),_xlpm.MacVal&lt;&gt;"",_xlpm.MacVal,_xlpm.CSVVal&lt;&gt;"",_xlpm.CSVVal
)),"No")</f>
        <v>No</v>
      </c>
      <c r="Q365" s="40" t="str" cm="1">
        <f t="array" ref="Q365">IFERROR(_xlfn.LET(
_xlpm.CSVVal,_xlfn.XLOOKUP($A365,CSV!$A:$A,CSV!AC:AC,""),
_xlpm.MacVal,_xlfn.XLOOKUP($A365,Output_Mac!$A:$A,Output_Mac!U:U,""),
_xlpm.MyAuditVal,_xlfn.XLOOKUP($A365,My_Audit!$A:$A,My_Audit!R:R,""),
_xlfn.IFS(_xlpm.MyAuditVal&lt;&gt;"",UPPER(_xlpm.MyAuditVal),_xlpm.MacVal&lt;&gt;"",_xlpm.MacVal,_xlpm.CSVVal&lt;&gt;"",_xlpm.CSVVal
)),"")</f>
        <v/>
      </c>
      <c r="R365" s="40"/>
      <c r="S365" s="40"/>
      <c r="T365" s="40"/>
      <c r="U365" s="40"/>
      <c r="V365" s="40"/>
      <c r="W365" s="40"/>
      <c r="X365" s="41" t="str">
        <f>_xlfn.LET(
    _xlpm.MacVal, _xlfn.XLOOKUP($A365, Output_Mac!$A:$A, Output_Mac!AB:AB, ""),
    _xlpm.MyAuditVal, _xlfn.XLOOKUP($A365, My_Audit!$A:$A, My_Audit!N:N, ""),
    _xlfn.TEXTJOIN(", ", TRUE, _xlpm.MyAuditVal, _xlpm.MacVal)
)</f>
        <v/>
      </c>
    </row>
    <row r="366" spans="1:24">
      <c r="A366" s="40" t="str">
        <f>_xlfn.TEXTJOIN("",TRUE,Input!$B$2,ROW(My_Audit!A365))</f>
        <v>X365</v>
      </c>
      <c r="B366" s="40" t="str">
        <f>_xlfn.TEXTJOIN("-",TRUE,"ITD",Input!$A$2,A366)</f>
        <v>ITD-X365</v>
      </c>
      <c r="C366" s="40" t="str" cm="1">
        <f t="array" ref="C366">IFERROR(_xlfn.LET(
_xlpm.CSVVal,_xlfn.XLOOKUP($A366,CSV!$A:$A,CSV!B:B,""),
_xlpm.MacVal,_xlfn.XLOOKUP($A366,Output_Mac!$A:$A,Output_Mac!B:B,""),
_xlpm.MyAuditVal,_xlfn.XLOOKUP($A366,My_Audit!$A:$A,My_Audit!B:B,""),
_xlfn.IFS(_xlpm.MyAuditVal&lt;&gt;"",UPPER(_xlpm.MyAuditVal),_xlpm.MacVal&lt;&gt;"",_xlpm.MacVal,_xlpm.CSVVal&lt;&gt;"",_xlpm.CSVVal
)),"")</f>
        <v/>
      </c>
      <c r="D366" s="40" t="str" cm="1">
        <f t="array" ref="D366">IFERROR(_xlfn.LET(
_xlpm.CSVVal,_xlfn.XLOOKUP($A366,CSV!$A:$A,CSV!D:D,""),
_xlpm.MacVal,_xlfn.XLOOKUP($A366,Output_Mac!$A:$A,Output_Mac!C:C,""),
_xlpm.MyAuditVal,_xlfn.XLOOKUP($A366,My_Audit!$A:$A,My_Audit!C:C,""),
_xlfn.IFS(_xlpm.MyAuditVal&lt;&gt;"",_xlpm.MyAuditVal,_xlpm.MacVal&lt;&gt;"",_xlpm.MacVal,_xlpm.CSVVal&lt;&gt;"",_xlpm.CSVVal
)),"")</f>
        <v/>
      </c>
      <c r="E366" s="40">
        <f>_xlfn.XLOOKUP(A366,My_Audit!A:A,My_Audit!D:D,"")</f>
        <v>0</v>
      </c>
      <c r="F366" s="40" t="str" cm="1">
        <f t="array" ref="F366">IFERROR(_xlfn.LET(
_xlpm.CSVVal,_xlfn.XLOOKUP($A366,CSV!$A:$A,CSV!F:F,""),
_xlpm.MacVal,_xlfn.XLOOKUP($A366,Output_Mac!$A:$A,Output_Mac!E:E,""),
_xlpm.MyAuditVal,_xlfn.XLOOKUP($A366,My_Audit!$A:$A,My_Audit!E:E,""),
_xlfn.IFS(_xlpm.MyAuditVal&lt;&gt;"",_xlpm.MyAuditVal,_xlpm.MacVal&lt;&gt;"",_xlpm.MacVal,_xlpm.CSVVal&lt;&gt;"",_xlpm.CSVVal
)),"")</f>
        <v/>
      </c>
      <c r="G366" s="40" t="str" cm="1">
        <f t="array" ref="G366">IFERROR(_xlfn.LET(
_xlpm.CSVVal,_xlfn.XLOOKUP($A366,CSV!$A:$A,CSV!G:G,""),
_xlpm.MacVal,_xlfn.XLOOKUP($A366,Output_Mac!$A:$A,Output_Mac!F:F,""),
_xlpm.MyAuditVal,_xlfn.XLOOKUP($A366,My_Audit!$A:$A,My_Audit!F:F,""),
_xlfn.IFS(_xlpm.MyAuditVal&lt;&gt;"",_xlpm.MyAuditVal,_xlpm.MacVal&lt;&gt;"",_xlpm.MacVal,_xlpm.CSVVal&lt;&gt;"",PROPER(_xlpm.CSVVal)
)),"")</f>
        <v/>
      </c>
      <c r="H366" s="40" t="str" cm="1">
        <f t="array" ref="H366">IFERROR(_xlfn.LET(
_xlpm.CSVVal,_xlfn.XLOOKUP($A366,CSV!$A:$A,CSV!H:H,""),
_xlpm.MacVal,_xlfn.XLOOKUP($A366,Output_Mac!$A:$A,Output_Mac!H:H,""),
_xlpm.MyAuditVal,_xlfn.XLOOKUP($A366,My_Audit!$A:$A,My_Audit!G:G,""),
_xlfn.IFS(_xlpm.MyAuditVal&lt;&gt;"",_xlpm.MyAuditVal,_xlpm.MacVal&lt;&gt;"",_xlpm.MacVal,_xlpm.CSVVal&lt;&gt;"",_xlpm.CSVVal
)),"")</f>
        <v/>
      </c>
      <c r="I366" s="40" t="str">
        <f>_xlfn.XLOOKUP(A366,Output_Mac!A:A,Output_Mac!I:I,"")</f>
        <v/>
      </c>
      <c r="J366" s="40" t="str" cm="1">
        <f t="array" ref="J366">IFERROR(_xlfn.LET(
_xlpm.CSVVal,_xlfn.XLOOKUP($A366,CSV!$A:$A,CSV!I:I,""),
_xlpm.MacVal,_xlfn.XLOOKUP($A366,Output_Mac!$A:$A,Output_Mac!J:J,""),
_xlpm.MyAuditVal,_xlfn.XLOOKUP($A366,My_Audit!$A:$A,My_Audit!I:I,""),
_xlfn.IFS(_xlpm.MyAuditVal&lt;&gt;"",UPPER(_xlpm.MyAuditVal),_xlpm.MacVal&lt;&gt;"",_xlpm.MacVal,_xlpm.CSVVal&lt;&gt;"",_xlpm.CSVVal
)),"")</f>
        <v/>
      </c>
      <c r="K366" s="40" t="str" cm="1">
        <f t="array" ref="K366">IFERROR(_xlfn.LET(
_xlpm.CSVVal,_xlfn.XLOOKUP($A366,CSV!$A:$A,CSV!K:K,""),
_xlpm.MacVal,_xlfn.XLOOKUP($A366,Output_Mac!$A:$A,Output_Mac!K:K,""),
_xlpm.MyAuditVal,_xlfn.XLOOKUP($A366,My_Audit!$A:$A,My_Audit!J:J,""),
_xlfn.IFS(_xlpm.MyAuditVal&lt;&gt;"",UPPER(_xlpm.MyAuditVal),_xlpm.MacVal&lt;&gt;"",_xlpm.MacVal,_xlpm.CSVVal&lt;&gt;"",_xlpm.CSVVal
)),"")</f>
        <v/>
      </c>
      <c r="L366" s="40" t="str" cm="1">
        <f t="array" ref="L366">IFERROR(_xlfn.LET(
_xlpm.CSVVal,_xlfn.XLOOKUP($A366,CSV!$A:$A,CSV!P:P,""),
_xlpm.MacVal,_xlfn.XLOOKUP($A366,Output_Mac!$A:$A,Output_Mac!L:L,""),
_xlpm.MyAuditVal,_xlfn.XLOOKUP($A366,My_Audit!$A:$A,My_Audit!K:K,""),
_xlfn.IFS(_xlpm.MyAuditVal&lt;&gt;"",UPPER(_xlpm.MyAuditVal),_xlpm.MacVal&lt;&gt;"",_xlpm.MacVal,_xlpm.CSVVal&lt;&gt;"",_xlpm.CSVVal
)),"")</f>
        <v/>
      </c>
      <c r="M366" s="40" t="str" cm="1">
        <f t="array" ref="M366">IFERROR(_xlfn.LET(
_xlpm.CSVVal,_xlfn.XLOOKUP($A366,CSV!$A:$A,CSV!Q:Q,""),
_xlpm.MacVal,_xlfn.XLOOKUP($A366,Output_Mac!$A:$A,Output_Mac!M:M,""),
_xlpm.MyAuditVal,_xlfn.XLOOKUP($A366,My_Audit!$A:$A,My_Audit!L:L,""),
_xlfn.IFS(_xlpm.MyAuditVal&lt;&gt;"",UPPER(_xlpm.MyAuditVal),_xlpm.MacVal&lt;&gt;"",_xlpm.MacVal,_xlpm.CSVVal&lt;&gt;"",_xlpm.CSVVal
)),"")</f>
        <v/>
      </c>
      <c r="N366" s="40"/>
      <c r="O366" s="40" t="str">
        <f>_xlfn.LET(
    _xlpm.CSVVal, _xlfn.XLOOKUP($A366, CSV!$A:$A, CSV!AA:AA, ""),
    _xlpm.MacVal, _xlfn.XLOOKUP($A366, Output_Mac!$A:$A, Output_Mac!S:S, ""),
    _xlpm.MyAuditVal, _xlfn.XLOOKUP($A366, My_Audit!$A:$A, My_Audit!P:P, ""),
    _xlfn.TEXTJOIN(", ", TRUE, _xlpm.MyAuditVal, _xlpm.MacVal, _xlpm.CSVVal)
)</f>
        <v/>
      </c>
      <c r="P366" s="40" t="str" cm="1">
        <f t="array" ref="P366">IFERROR(_xlfn.LET(
_xlpm.CSVVal,_xlfn.XLOOKUP($A366,CSV!$A:$A,CSV!AB:AB,""),
_xlpm.MacVal,_xlfn.XLOOKUP($A366,Output_Mac!$A:$A,Output_Mac!T:T,""),
_xlpm.MyAuditVal,_xlfn.XLOOKUP($A366,My_Audit!$A:$A,My_Audit!Q:Q,""),
_xlfn.IFS(_xlpm.MyAuditVal&lt;&gt;"",UPPER(_xlpm.MyAuditVal),_xlpm.MacVal&lt;&gt;"",_xlpm.MacVal,_xlpm.CSVVal&lt;&gt;"",_xlpm.CSVVal
)),"No")</f>
        <v>No</v>
      </c>
      <c r="Q366" s="40" t="str" cm="1">
        <f t="array" ref="Q366">IFERROR(_xlfn.LET(
_xlpm.CSVVal,_xlfn.XLOOKUP($A366,CSV!$A:$A,CSV!AC:AC,""),
_xlpm.MacVal,_xlfn.XLOOKUP($A366,Output_Mac!$A:$A,Output_Mac!U:U,""),
_xlpm.MyAuditVal,_xlfn.XLOOKUP($A366,My_Audit!$A:$A,My_Audit!R:R,""),
_xlfn.IFS(_xlpm.MyAuditVal&lt;&gt;"",UPPER(_xlpm.MyAuditVal),_xlpm.MacVal&lt;&gt;"",_xlpm.MacVal,_xlpm.CSVVal&lt;&gt;"",_xlpm.CSVVal
)),"")</f>
        <v/>
      </c>
      <c r="R366" s="40"/>
      <c r="S366" s="40"/>
      <c r="T366" s="40"/>
      <c r="U366" s="40"/>
      <c r="V366" s="40"/>
      <c r="W366" s="40"/>
      <c r="X366" s="41" t="str">
        <f>_xlfn.LET(
    _xlpm.MacVal, _xlfn.XLOOKUP($A366, Output_Mac!$A:$A, Output_Mac!AB:AB, ""),
    _xlpm.MyAuditVal, _xlfn.XLOOKUP($A366, My_Audit!$A:$A, My_Audit!N:N, ""),
    _xlfn.TEXTJOIN(", ", TRUE, _xlpm.MyAuditVal, _xlpm.MacVal)
)</f>
        <v/>
      </c>
    </row>
    <row r="367" spans="1:24">
      <c r="A367" s="40" t="str">
        <f>_xlfn.TEXTJOIN("",TRUE,Input!$B$2,ROW(My_Audit!A366))</f>
        <v>X366</v>
      </c>
      <c r="B367" s="40" t="str">
        <f>_xlfn.TEXTJOIN("-",TRUE,"ITD",Input!$A$2,A367)</f>
        <v>ITD-X366</v>
      </c>
      <c r="C367" s="40" t="str" cm="1">
        <f t="array" ref="C367">IFERROR(_xlfn.LET(
_xlpm.CSVVal,_xlfn.XLOOKUP($A367,CSV!$A:$A,CSV!B:B,""),
_xlpm.MacVal,_xlfn.XLOOKUP($A367,Output_Mac!$A:$A,Output_Mac!B:B,""),
_xlpm.MyAuditVal,_xlfn.XLOOKUP($A367,My_Audit!$A:$A,My_Audit!B:B,""),
_xlfn.IFS(_xlpm.MyAuditVal&lt;&gt;"",UPPER(_xlpm.MyAuditVal),_xlpm.MacVal&lt;&gt;"",_xlpm.MacVal,_xlpm.CSVVal&lt;&gt;"",_xlpm.CSVVal
)),"")</f>
        <v/>
      </c>
      <c r="D367" s="40" t="str" cm="1">
        <f t="array" ref="D367">IFERROR(_xlfn.LET(
_xlpm.CSVVal,_xlfn.XLOOKUP($A367,CSV!$A:$A,CSV!D:D,""),
_xlpm.MacVal,_xlfn.XLOOKUP($A367,Output_Mac!$A:$A,Output_Mac!C:C,""),
_xlpm.MyAuditVal,_xlfn.XLOOKUP($A367,My_Audit!$A:$A,My_Audit!C:C,""),
_xlfn.IFS(_xlpm.MyAuditVal&lt;&gt;"",_xlpm.MyAuditVal,_xlpm.MacVal&lt;&gt;"",_xlpm.MacVal,_xlpm.CSVVal&lt;&gt;"",_xlpm.CSVVal
)),"")</f>
        <v/>
      </c>
      <c r="E367" s="40">
        <f>_xlfn.XLOOKUP(A367,My_Audit!A:A,My_Audit!D:D,"")</f>
        <v>0</v>
      </c>
      <c r="F367" s="40" t="str" cm="1">
        <f t="array" ref="F367">IFERROR(_xlfn.LET(
_xlpm.CSVVal,_xlfn.XLOOKUP($A367,CSV!$A:$A,CSV!F:F,""),
_xlpm.MacVal,_xlfn.XLOOKUP($A367,Output_Mac!$A:$A,Output_Mac!E:E,""),
_xlpm.MyAuditVal,_xlfn.XLOOKUP($A367,My_Audit!$A:$A,My_Audit!E:E,""),
_xlfn.IFS(_xlpm.MyAuditVal&lt;&gt;"",_xlpm.MyAuditVal,_xlpm.MacVal&lt;&gt;"",_xlpm.MacVal,_xlpm.CSVVal&lt;&gt;"",_xlpm.CSVVal
)),"")</f>
        <v/>
      </c>
      <c r="G367" s="40" t="str" cm="1">
        <f t="array" ref="G367">IFERROR(_xlfn.LET(
_xlpm.CSVVal,_xlfn.XLOOKUP($A367,CSV!$A:$A,CSV!G:G,""),
_xlpm.MacVal,_xlfn.XLOOKUP($A367,Output_Mac!$A:$A,Output_Mac!F:F,""),
_xlpm.MyAuditVal,_xlfn.XLOOKUP($A367,My_Audit!$A:$A,My_Audit!F:F,""),
_xlfn.IFS(_xlpm.MyAuditVal&lt;&gt;"",_xlpm.MyAuditVal,_xlpm.MacVal&lt;&gt;"",_xlpm.MacVal,_xlpm.CSVVal&lt;&gt;"",PROPER(_xlpm.CSVVal)
)),"")</f>
        <v/>
      </c>
      <c r="H367" s="40" t="str" cm="1">
        <f t="array" ref="H367">IFERROR(_xlfn.LET(
_xlpm.CSVVal,_xlfn.XLOOKUP($A367,CSV!$A:$A,CSV!H:H,""),
_xlpm.MacVal,_xlfn.XLOOKUP($A367,Output_Mac!$A:$A,Output_Mac!H:H,""),
_xlpm.MyAuditVal,_xlfn.XLOOKUP($A367,My_Audit!$A:$A,My_Audit!G:G,""),
_xlfn.IFS(_xlpm.MyAuditVal&lt;&gt;"",_xlpm.MyAuditVal,_xlpm.MacVal&lt;&gt;"",_xlpm.MacVal,_xlpm.CSVVal&lt;&gt;"",_xlpm.CSVVal
)),"")</f>
        <v/>
      </c>
      <c r="I367" s="40" t="str">
        <f>_xlfn.XLOOKUP(A367,Output_Mac!A:A,Output_Mac!I:I,"")</f>
        <v/>
      </c>
      <c r="J367" s="40" t="str" cm="1">
        <f t="array" ref="J367">IFERROR(_xlfn.LET(
_xlpm.CSVVal,_xlfn.XLOOKUP($A367,CSV!$A:$A,CSV!I:I,""),
_xlpm.MacVal,_xlfn.XLOOKUP($A367,Output_Mac!$A:$A,Output_Mac!J:J,""),
_xlpm.MyAuditVal,_xlfn.XLOOKUP($A367,My_Audit!$A:$A,My_Audit!I:I,""),
_xlfn.IFS(_xlpm.MyAuditVal&lt;&gt;"",UPPER(_xlpm.MyAuditVal),_xlpm.MacVal&lt;&gt;"",_xlpm.MacVal,_xlpm.CSVVal&lt;&gt;"",_xlpm.CSVVal
)),"")</f>
        <v/>
      </c>
      <c r="K367" s="40" t="str" cm="1">
        <f t="array" ref="K367">IFERROR(_xlfn.LET(
_xlpm.CSVVal,_xlfn.XLOOKUP($A367,CSV!$A:$A,CSV!K:K,""),
_xlpm.MacVal,_xlfn.XLOOKUP($A367,Output_Mac!$A:$A,Output_Mac!K:K,""),
_xlpm.MyAuditVal,_xlfn.XLOOKUP($A367,My_Audit!$A:$A,My_Audit!J:J,""),
_xlfn.IFS(_xlpm.MyAuditVal&lt;&gt;"",UPPER(_xlpm.MyAuditVal),_xlpm.MacVal&lt;&gt;"",_xlpm.MacVal,_xlpm.CSVVal&lt;&gt;"",_xlpm.CSVVal
)),"")</f>
        <v/>
      </c>
      <c r="L367" s="40" t="str" cm="1">
        <f t="array" ref="L367">IFERROR(_xlfn.LET(
_xlpm.CSVVal,_xlfn.XLOOKUP($A367,CSV!$A:$A,CSV!P:P,""),
_xlpm.MacVal,_xlfn.XLOOKUP($A367,Output_Mac!$A:$A,Output_Mac!L:L,""),
_xlpm.MyAuditVal,_xlfn.XLOOKUP($A367,My_Audit!$A:$A,My_Audit!K:K,""),
_xlfn.IFS(_xlpm.MyAuditVal&lt;&gt;"",UPPER(_xlpm.MyAuditVal),_xlpm.MacVal&lt;&gt;"",_xlpm.MacVal,_xlpm.CSVVal&lt;&gt;"",_xlpm.CSVVal
)),"")</f>
        <v/>
      </c>
      <c r="M367" s="40" t="str" cm="1">
        <f t="array" ref="M367">IFERROR(_xlfn.LET(
_xlpm.CSVVal,_xlfn.XLOOKUP($A367,CSV!$A:$A,CSV!Q:Q,""),
_xlpm.MacVal,_xlfn.XLOOKUP($A367,Output_Mac!$A:$A,Output_Mac!M:M,""),
_xlpm.MyAuditVal,_xlfn.XLOOKUP($A367,My_Audit!$A:$A,My_Audit!L:L,""),
_xlfn.IFS(_xlpm.MyAuditVal&lt;&gt;"",UPPER(_xlpm.MyAuditVal),_xlpm.MacVal&lt;&gt;"",_xlpm.MacVal,_xlpm.CSVVal&lt;&gt;"",_xlpm.CSVVal
)),"")</f>
        <v/>
      </c>
      <c r="N367" s="40"/>
      <c r="O367" s="40" t="str">
        <f>_xlfn.LET(
    _xlpm.CSVVal, _xlfn.XLOOKUP($A367, CSV!$A:$A, CSV!AA:AA, ""),
    _xlpm.MacVal, _xlfn.XLOOKUP($A367, Output_Mac!$A:$A, Output_Mac!S:S, ""),
    _xlpm.MyAuditVal, _xlfn.XLOOKUP($A367, My_Audit!$A:$A, My_Audit!P:P, ""),
    _xlfn.TEXTJOIN(", ", TRUE, _xlpm.MyAuditVal, _xlpm.MacVal, _xlpm.CSVVal)
)</f>
        <v/>
      </c>
      <c r="P367" s="40" t="str" cm="1">
        <f t="array" ref="P367">IFERROR(_xlfn.LET(
_xlpm.CSVVal,_xlfn.XLOOKUP($A367,CSV!$A:$A,CSV!AB:AB,""),
_xlpm.MacVal,_xlfn.XLOOKUP($A367,Output_Mac!$A:$A,Output_Mac!T:T,""),
_xlpm.MyAuditVal,_xlfn.XLOOKUP($A367,My_Audit!$A:$A,My_Audit!Q:Q,""),
_xlfn.IFS(_xlpm.MyAuditVal&lt;&gt;"",UPPER(_xlpm.MyAuditVal),_xlpm.MacVal&lt;&gt;"",_xlpm.MacVal,_xlpm.CSVVal&lt;&gt;"",_xlpm.CSVVal
)),"No")</f>
        <v>No</v>
      </c>
      <c r="Q367" s="40" t="str" cm="1">
        <f t="array" ref="Q367">IFERROR(_xlfn.LET(
_xlpm.CSVVal,_xlfn.XLOOKUP($A367,CSV!$A:$A,CSV!AC:AC,""),
_xlpm.MacVal,_xlfn.XLOOKUP($A367,Output_Mac!$A:$A,Output_Mac!U:U,""),
_xlpm.MyAuditVal,_xlfn.XLOOKUP($A367,My_Audit!$A:$A,My_Audit!R:R,""),
_xlfn.IFS(_xlpm.MyAuditVal&lt;&gt;"",UPPER(_xlpm.MyAuditVal),_xlpm.MacVal&lt;&gt;"",_xlpm.MacVal,_xlpm.CSVVal&lt;&gt;"",_xlpm.CSVVal
)),"")</f>
        <v/>
      </c>
      <c r="R367" s="40"/>
      <c r="S367" s="40"/>
      <c r="T367" s="40"/>
      <c r="U367" s="40"/>
      <c r="V367" s="40"/>
      <c r="W367" s="40"/>
      <c r="X367" s="41" t="str">
        <f>_xlfn.LET(
    _xlpm.MacVal, _xlfn.XLOOKUP($A367, Output_Mac!$A:$A, Output_Mac!AB:AB, ""),
    _xlpm.MyAuditVal, _xlfn.XLOOKUP($A367, My_Audit!$A:$A, My_Audit!N:N, ""),
    _xlfn.TEXTJOIN(", ", TRUE, _xlpm.MyAuditVal, _xlpm.MacVal)
)</f>
        <v/>
      </c>
    </row>
    <row r="368" spans="1:24">
      <c r="A368" s="40" t="str">
        <f>_xlfn.TEXTJOIN("",TRUE,Input!$B$2,ROW(My_Audit!A367))</f>
        <v>X367</v>
      </c>
      <c r="B368" s="40" t="str">
        <f>_xlfn.TEXTJOIN("-",TRUE,"ITD",Input!$A$2,A368)</f>
        <v>ITD-X367</v>
      </c>
      <c r="C368" s="40" t="str" cm="1">
        <f t="array" ref="C368">IFERROR(_xlfn.LET(
_xlpm.CSVVal,_xlfn.XLOOKUP($A368,CSV!$A:$A,CSV!B:B,""),
_xlpm.MacVal,_xlfn.XLOOKUP($A368,Output_Mac!$A:$A,Output_Mac!B:B,""),
_xlpm.MyAuditVal,_xlfn.XLOOKUP($A368,My_Audit!$A:$A,My_Audit!B:B,""),
_xlfn.IFS(_xlpm.MyAuditVal&lt;&gt;"",UPPER(_xlpm.MyAuditVal),_xlpm.MacVal&lt;&gt;"",_xlpm.MacVal,_xlpm.CSVVal&lt;&gt;"",_xlpm.CSVVal
)),"")</f>
        <v/>
      </c>
      <c r="D368" s="40" t="str" cm="1">
        <f t="array" ref="D368">IFERROR(_xlfn.LET(
_xlpm.CSVVal,_xlfn.XLOOKUP($A368,CSV!$A:$A,CSV!D:D,""),
_xlpm.MacVal,_xlfn.XLOOKUP($A368,Output_Mac!$A:$A,Output_Mac!C:C,""),
_xlpm.MyAuditVal,_xlfn.XLOOKUP($A368,My_Audit!$A:$A,My_Audit!C:C,""),
_xlfn.IFS(_xlpm.MyAuditVal&lt;&gt;"",_xlpm.MyAuditVal,_xlpm.MacVal&lt;&gt;"",_xlpm.MacVal,_xlpm.CSVVal&lt;&gt;"",_xlpm.CSVVal
)),"")</f>
        <v/>
      </c>
      <c r="E368" s="40">
        <f>_xlfn.XLOOKUP(A368,My_Audit!A:A,My_Audit!D:D,"")</f>
        <v>0</v>
      </c>
      <c r="F368" s="40" t="str" cm="1">
        <f t="array" ref="F368">IFERROR(_xlfn.LET(
_xlpm.CSVVal,_xlfn.XLOOKUP($A368,CSV!$A:$A,CSV!F:F,""),
_xlpm.MacVal,_xlfn.XLOOKUP($A368,Output_Mac!$A:$A,Output_Mac!E:E,""),
_xlpm.MyAuditVal,_xlfn.XLOOKUP($A368,My_Audit!$A:$A,My_Audit!E:E,""),
_xlfn.IFS(_xlpm.MyAuditVal&lt;&gt;"",_xlpm.MyAuditVal,_xlpm.MacVal&lt;&gt;"",_xlpm.MacVal,_xlpm.CSVVal&lt;&gt;"",_xlpm.CSVVal
)),"")</f>
        <v/>
      </c>
      <c r="G368" s="40" t="str" cm="1">
        <f t="array" ref="G368">IFERROR(_xlfn.LET(
_xlpm.CSVVal,_xlfn.XLOOKUP($A368,CSV!$A:$A,CSV!G:G,""),
_xlpm.MacVal,_xlfn.XLOOKUP($A368,Output_Mac!$A:$A,Output_Mac!F:F,""),
_xlpm.MyAuditVal,_xlfn.XLOOKUP($A368,My_Audit!$A:$A,My_Audit!F:F,""),
_xlfn.IFS(_xlpm.MyAuditVal&lt;&gt;"",_xlpm.MyAuditVal,_xlpm.MacVal&lt;&gt;"",_xlpm.MacVal,_xlpm.CSVVal&lt;&gt;"",PROPER(_xlpm.CSVVal)
)),"")</f>
        <v/>
      </c>
      <c r="H368" s="40" t="str" cm="1">
        <f t="array" ref="H368">IFERROR(_xlfn.LET(
_xlpm.CSVVal,_xlfn.XLOOKUP($A368,CSV!$A:$A,CSV!H:H,""),
_xlpm.MacVal,_xlfn.XLOOKUP($A368,Output_Mac!$A:$A,Output_Mac!H:H,""),
_xlpm.MyAuditVal,_xlfn.XLOOKUP($A368,My_Audit!$A:$A,My_Audit!G:G,""),
_xlfn.IFS(_xlpm.MyAuditVal&lt;&gt;"",_xlpm.MyAuditVal,_xlpm.MacVal&lt;&gt;"",_xlpm.MacVal,_xlpm.CSVVal&lt;&gt;"",_xlpm.CSVVal
)),"")</f>
        <v/>
      </c>
      <c r="I368" s="40" t="str">
        <f>_xlfn.XLOOKUP(A368,Output_Mac!A:A,Output_Mac!I:I,"")</f>
        <v/>
      </c>
      <c r="J368" s="40" t="str" cm="1">
        <f t="array" ref="J368">IFERROR(_xlfn.LET(
_xlpm.CSVVal,_xlfn.XLOOKUP($A368,CSV!$A:$A,CSV!I:I,""),
_xlpm.MacVal,_xlfn.XLOOKUP($A368,Output_Mac!$A:$A,Output_Mac!J:J,""),
_xlpm.MyAuditVal,_xlfn.XLOOKUP($A368,My_Audit!$A:$A,My_Audit!I:I,""),
_xlfn.IFS(_xlpm.MyAuditVal&lt;&gt;"",UPPER(_xlpm.MyAuditVal),_xlpm.MacVal&lt;&gt;"",_xlpm.MacVal,_xlpm.CSVVal&lt;&gt;"",_xlpm.CSVVal
)),"")</f>
        <v/>
      </c>
      <c r="K368" s="40" t="str" cm="1">
        <f t="array" ref="K368">IFERROR(_xlfn.LET(
_xlpm.CSVVal,_xlfn.XLOOKUP($A368,CSV!$A:$A,CSV!K:K,""),
_xlpm.MacVal,_xlfn.XLOOKUP($A368,Output_Mac!$A:$A,Output_Mac!K:K,""),
_xlpm.MyAuditVal,_xlfn.XLOOKUP($A368,My_Audit!$A:$A,My_Audit!J:J,""),
_xlfn.IFS(_xlpm.MyAuditVal&lt;&gt;"",UPPER(_xlpm.MyAuditVal),_xlpm.MacVal&lt;&gt;"",_xlpm.MacVal,_xlpm.CSVVal&lt;&gt;"",_xlpm.CSVVal
)),"")</f>
        <v/>
      </c>
      <c r="L368" s="40" t="str" cm="1">
        <f t="array" ref="L368">IFERROR(_xlfn.LET(
_xlpm.CSVVal,_xlfn.XLOOKUP($A368,CSV!$A:$A,CSV!P:P,""),
_xlpm.MacVal,_xlfn.XLOOKUP($A368,Output_Mac!$A:$A,Output_Mac!L:L,""),
_xlpm.MyAuditVal,_xlfn.XLOOKUP($A368,My_Audit!$A:$A,My_Audit!K:K,""),
_xlfn.IFS(_xlpm.MyAuditVal&lt;&gt;"",UPPER(_xlpm.MyAuditVal),_xlpm.MacVal&lt;&gt;"",_xlpm.MacVal,_xlpm.CSVVal&lt;&gt;"",_xlpm.CSVVal
)),"")</f>
        <v/>
      </c>
      <c r="M368" s="40" t="str" cm="1">
        <f t="array" ref="M368">IFERROR(_xlfn.LET(
_xlpm.CSVVal,_xlfn.XLOOKUP($A368,CSV!$A:$A,CSV!Q:Q,""),
_xlpm.MacVal,_xlfn.XLOOKUP($A368,Output_Mac!$A:$A,Output_Mac!M:M,""),
_xlpm.MyAuditVal,_xlfn.XLOOKUP($A368,My_Audit!$A:$A,My_Audit!L:L,""),
_xlfn.IFS(_xlpm.MyAuditVal&lt;&gt;"",UPPER(_xlpm.MyAuditVal),_xlpm.MacVal&lt;&gt;"",_xlpm.MacVal,_xlpm.CSVVal&lt;&gt;"",_xlpm.CSVVal
)),"")</f>
        <v/>
      </c>
      <c r="N368" s="40"/>
      <c r="O368" s="40" t="str">
        <f>_xlfn.LET(
    _xlpm.CSVVal, _xlfn.XLOOKUP($A368, CSV!$A:$A, CSV!AA:AA, ""),
    _xlpm.MacVal, _xlfn.XLOOKUP($A368, Output_Mac!$A:$A, Output_Mac!S:S, ""),
    _xlpm.MyAuditVal, _xlfn.XLOOKUP($A368, My_Audit!$A:$A, My_Audit!P:P, ""),
    _xlfn.TEXTJOIN(", ", TRUE, _xlpm.MyAuditVal, _xlpm.MacVal, _xlpm.CSVVal)
)</f>
        <v/>
      </c>
      <c r="P368" s="40" t="str" cm="1">
        <f t="array" ref="P368">IFERROR(_xlfn.LET(
_xlpm.CSVVal,_xlfn.XLOOKUP($A368,CSV!$A:$A,CSV!AB:AB,""),
_xlpm.MacVal,_xlfn.XLOOKUP($A368,Output_Mac!$A:$A,Output_Mac!T:T,""),
_xlpm.MyAuditVal,_xlfn.XLOOKUP($A368,My_Audit!$A:$A,My_Audit!Q:Q,""),
_xlfn.IFS(_xlpm.MyAuditVal&lt;&gt;"",UPPER(_xlpm.MyAuditVal),_xlpm.MacVal&lt;&gt;"",_xlpm.MacVal,_xlpm.CSVVal&lt;&gt;"",_xlpm.CSVVal
)),"No")</f>
        <v>No</v>
      </c>
      <c r="Q368" s="40" t="str" cm="1">
        <f t="array" ref="Q368">IFERROR(_xlfn.LET(
_xlpm.CSVVal,_xlfn.XLOOKUP($A368,CSV!$A:$A,CSV!AC:AC,""),
_xlpm.MacVal,_xlfn.XLOOKUP($A368,Output_Mac!$A:$A,Output_Mac!U:U,""),
_xlpm.MyAuditVal,_xlfn.XLOOKUP($A368,My_Audit!$A:$A,My_Audit!R:R,""),
_xlfn.IFS(_xlpm.MyAuditVal&lt;&gt;"",UPPER(_xlpm.MyAuditVal),_xlpm.MacVal&lt;&gt;"",_xlpm.MacVal,_xlpm.CSVVal&lt;&gt;"",_xlpm.CSVVal
)),"")</f>
        <v/>
      </c>
      <c r="R368" s="40"/>
      <c r="S368" s="40"/>
      <c r="T368" s="40"/>
      <c r="U368" s="40"/>
      <c r="V368" s="40"/>
      <c r="W368" s="40"/>
      <c r="X368" s="41" t="str">
        <f>_xlfn.LET(
    _xlpm.MacVal, _xlfn.XLOOKUP($A368, Output_Mac!$A:$A, Output_Mac!AB:AB, ""),
    _xlpm.MyAuditVal, _xlfn.XLOOKUP($A368, My_Audit!$A:$A, My_Audit!N:N, ""),
    _xlfn.TEXTJOIN(", ", TRUE, _xlpm.MyAuditVal, _xlpm.MacVal)
)</f>
        <v/>
      </c>
    </row>
    <row r="369" spans="1:24">
      <c r="A369" s="40" t="str">
        <f>_xlfn.TEXTJOIN("",TRUE,Input!$B$2,ROW(My_Audit!A368))</f>
        <v>X368</v>
      </c>
      <c r="B369" s="40" t="str">
        <f>_xlfn.TEXTJOIN("-",TRUE,"ITD",Input!$A$2,A369)</f>
        <v>ITD-X368</v>
      </c>
      <c r="C369" s="40" t="str" cm="1">
        <f t="array" ref="C369">IFERROR(_xlfn.LET(
_xlpm.CSVVal,_xlfn.XLOOKUP($A369,CSV!$A:$A,CSV!B:B,""),
_xlpm.MacVal,_xlfn.XLOOKUP($A369,Output_Mac!$A:$A,Output_Mac!B:B,""),
_xlpm.MyAuditVal,_xlfn.XLOOKUP($A369,My_Audit!$A:$A,My_Audit!B:B,""),
_xlfn.IFS(_xlpm.MyAuditVal&lt;&gt;"",UPPER(_xlpm.MyAuditVal),_xlpm.MacVal&lt;&gt;"",_xlpm.MacVal,_xlpm.CSVVal&lt;&gt;"",_xlpm.CSVVal
)),"")</f>
        <v/>
      </c>
      <c r="D369" s="40" t="str" cm="1">
        <f t="array" ref="D369">IFERROR(_xlfn.LET(
_xlpm.CSVVal,_xlfn.XLOOKUP($A369,CSV!$A:$A,CSV!D:D,""),
_xlpm.MacVal,_xlfn.XLOOKUP($A369,Output_Mac!$A:$A,Output_Mac!C:C,""),
_xlpm.MyAuditVal,_xlfn.XLOOKUP($A369,My_Audit!$A:$A,My_Audit!C:C,""),
_xlfn.IFS(_xlpm.MyAuditVal&lt;&gt;"",_xlpm.MyAuditVal,_xlpm.MacVal&lt;&gt;"",_xlpm.MacVal,_xlpm.CSVVal&lt;&gt;"",_xlpm.CSVVal
)),"")</f>
        <v/>
      </c>
      <c r="E369" s="40">
        <f>_xlfn.XLOOKUP(A369,My_Audit!A:A,My_Audit!D:D,"")</f>
        <v>0</v>
      </c>
      <c r="F369" s="40" t="str" cm="1">
        <f t="array" ref="F369">IFERROR(_xlfn.LET(
_xlpm.CSVVal,_xlfn.XLOOKUP($A369,CSV!$A:$A,CSV!F:F,""),
_xlpm.MacVal,_xlfn.XLOOKUP($A369,Output_Mac!$A:$A,Output_Mac!E:E,""),
_xlpm.MyAuditVal,_xlfn.XLOOKUP($A369,My_Audit!$A:$A,My_Audit!E:E,""),
_xlfn.IFS(_xlpm.MyAuditVal&lt;&gt;"",_xlpm.MyAuditVal,_xlpm.MacVal&lt;&gt;"",_xlpm.MacVal,_xlpm.CSVVal&lt;&gt;"",_xlpm.CSVVal
)),"")</f>
        <v/>
      </c>
      <c r="G369" s="40" t="str" cm="1">
        <f t="array" ref="G369">IFERROR(_xlfn.LET(
_xlpm.CSVVal,_xlfn.XLOOKUP($A369,CSV!$A:$A,CSV!G:G,""),
_xlpm.MacVal,_xlfn.XLOOKUP($A369,Output_Mac!$A:$A,Output_Mac!F:F,""),
_xlpm.MyAuditVal,_xlfn.XLOOKUP($A369,My_Audit!$A:$A,My_Audit!F:F,""),
_xlfn.IFS(_xlpm.MyAuditVal&lt;&gt;"",_xlpm.MyAuditVal,_xlpm.MacVal&lt;&gt;"",_xlpm.MacVal,_xlpm.CSVVal&lt;&gt;"",PROPER(_xlpm.CSVVal)
)),"")</f>
        <v/>
      </c>
      <c r="H369" s="40" t="str" cm="1">
        <f t="array" ref="H369">IFERROR(_xlfn.LET(
_xlpm.CSVVal,_xlfn.XLOOKUP($A369,CSV!$A:$A,CSV!H:H,""),
_xlpm.MacVal,_xlfn.XLOOKUP($A369,Output_Mac!$A:$A,Output_Mac!H:H,""),
_xlpm.MyAuditVal,_xlfn.XLOOKUP($A369,My_Audit!$A:$A,My_Audit!G:G,""),
_xlfn.IFS(_xlpm.MyAuditVal&lt;&gt;"",_xlpm.MyAuditVal,_xlpm.MacVal&lt;&gt;"",_xlpm.MacVal,_xlpm.CSVVal&lt;&gt;"",_xlpm.CSVVal
)),"")</f>
        <v/>
      </c>
      <c r="I369" s="40" t="str">
        <f>_xlfn.XLOOKUP(A369,Output_Mac!A:A,Output_Mac!I:I,"")</f>
        <v/>
      </c>
      <c r="J369" s="40" t="str" cm="1">
        <f t="array" ref="J369">IFERROR(_xlfn.LET(
_xlpm.CSVVal,_xlfn.XLOOKUP($A369,CSV!$A:$A,CSV!I:I,""),
_xlpm.MacVal,_xlfn.XLOOKUP($A369,Output_Mac!$A:$A,Output_Mac!J:J,""),
_xlpm.MyAuditVal,_xlfn.XLOOKUP($A369,My_Audit!$A:$A,My_Audit!I:I,""),
_xlfn.IFS(_xlpm.MyAuditVal&lt;&gt;"",UPPER(_xlpm.MyAuditVal),_xlpm.MacVal&lt;&gt;"",_xlpm.MacVal,_xlpm.CSVVal&lt;&gt;"",_xlpm.CSVVal
)),"")</f>
        <v/>
      </c>
      <c r="K369" s="40" t="str" cm="1">
        <f t="array" ref="K369">IFERROR(_xlfn.LET(
_xlpm.CSVVal,_xlfn.XLOOKUP($A369,CSV!$A:$A,CSV!K:K,""),
_xlpm.MacVal,_xlfn.XLOOKUP($A369,Output_Mac!$A:$A,Output_Mac!K:K,""),
_xlpm.MyAuditVal,_xlfn.XLOOKUP($A369,My_Audit!$A:$A,My_Audit!J:J,""),
_xlfn.IFS(_xlpm.MyAuditVal&lt;&gt;"",UPPER(_xlpm.MyAuditVal),_xlpm.MacVal&lt;&gt;"",_xlpm.MacVal,_xlpm.CSVVal&lt;&gt;"",_xlpm.CSVVal
)),"")</f>
        <v/>
      </c>
      <c r="L369" s="40" t="str" cm="1">
        <f t="array" ref="L369">IFERROR(_xlfn.LET(
_xlpm.CSVVal,_xlfn.XLOOKUP($A369,CSV!$A:$A,CSV!P:P,""),
_xlpm.MacVal,_xlfn.XLOOKUP($A369,Output_Mac!$A:$A,Output_Mac!L:L,""),
_xlpm.MyAuditVal,_xlfn.XLOOKUP($A369,My_Audit!$A:$A,My_Audit!K:K,""),
_xlfn.IFS(_xlpm.MyAuditVal&lt;&gt;"",UPPER(_xlpm.MyAuditVal),_xlpm.MacVal&lt;&gt;"",_xlpm.MacVal,_xlpm.CSVVal&lt;&gt;"",_xlpm.CSVVal
)),"")</f>
        <v/>
      </c>
      <c r="M369" s="40" t="str" cm="1">
        <f t="array" ref="M369">IFERROR(_xlfn.LET(
_xlpm.CSVVal,_xlfn.XLOOKUP($A369,CSV!$A:$A,CSV!Q:Q,""),
_xlpm.MacVal,_xlfn.XLOOKUP($A369,Output_Mac!$A:$A,Output_Mac!M:M,""),
_xlpm.MyAuditVal,_xlfn.XLOOKUP($A369,My_Audit!$A:$A,My_Audit!L:L,""),
_xlfn.IFS(_xlpm.MyAuditVal&lt;&gt;"",UPPER(_xlpm.MyAuditVal),_xlpm.MacVal&lt;&gt;"",_xlpm.MacVal,_xlpm.CSVVal&lt;&gt;"",_xlpm.CSVVal
)),"")</f>
        <v/>
      </c>
      <c r="N369" s="40"/>
      <c r="O369" s="40" t="str">
        <f>_xlfn.LET(
    _xlpm.CSVVal, _xlfn.XLOOKUP($A369, CSV!$A:$A, CSV!AA:AA, ""),
    _xlpm.MacVal, _xlfn.XLOOKUP($A369, Output_Mac!$A:$A, Output_Mac!S:S, ""),
    _xlpm.MyAuditVal, _xlfn.XLOOKUP($A369, My_Audit!$A:$A, My_Audit!P:P, ""),
    _xlfn.TEXTJOIN(", ", TRUE, _xlpm.MyAuditVal, _xlpm.MacVal, _xlpm.CSVVal)
)</f>
        <v/>
      </c>
      <c r="P369" s="40" t="str" cm="1">
        <f t="array" ref="P369">IFERROR(_xlfn.LET(
_xlpm.CSVVal,_xlfn.XLOOKUP($A369,CSV!$A:$A,CSV!AB:AB,""),
_xlpm.MacVal,_xlfn.XLOOKUP($A369,Output_Mac!$A:$A,Output_Mac!T:T,""),
_xlpm.MyAuditVal,_xlfn.XLOOKUP($A369,My_Audit!$A:$A,My_Audit!Q:Q,""),
_xlfn.IFS(_xlpm.MyAuditVal&lt;&gt;"",UPPER(_xlpm.MyAuditVal),_xlpm.MacVal&lt;&gt;"",_xlpm.MacVal,_xlpm.CSVVal&lt;&gt;"",_xlpm.CSVVal
)),"No")</f>
        <v>No</v>
      </c>
      <c r="Q369" s="40" t="str" cm="1">
        <f t="array" ref="Q369">IFERROR(_xlfn.LET(
_xlpm.CSVVal,_xlfn.XLOOKUP($A369,CSV!$A:$A,CSV!AC:AC,""),
_xlpm.MacVal,_xlfn.XLOOKUP($A369,Output_Mac!$A:$A,Output_Mac!U:U,""),
_xlpm.MyAuditVal,_xlfn.XLOOKUP($A369,My_Audit!$A:$A,My_Audit!R:R,""),
_xlfn.IFS(_xlpm.MyAuditVal&lt;&gt;"",UPPER(_xlpm.MyAuditVal),_xlpm.MacVal&lt;&gt;"",_xlpm.MacVal,_xlpm.CSVVal&lt;&gt;"",_xlpm.CSVVal
)),"")</f>
        <v/>
      </c>
      <c r="R369" s="40"/>
      <c r="S369" s="40"/>
      <c r="T369" s="40"/>
      <c r="U369" s="40"/>
      <c r="V369" s="40"/>
      <c r="W369" s="40"/>
      <c r="X369" s="41" t="str">
        <f>_xlfn.LET(
    _xlpm.MacVal, _xlfn.XLOOKUP($A369, Output_Mac!$A:$A, Output_Mac!AB:AB, ""),
    _xlpm.MyAuditVal, _xlfn.XLOOKUP($A369, My_Audit!$A:$A, My_Audit!N:N, ""),
    _xlfn.TEXTJOIN(", ", TRUE, _xlpm.MyAuditVal, _xlpm.MacVal)
)</f>
        <v/>
      </c>
    </row>
    <row r="370" spans="1:24">
      <c r="A370" s="40" t="str">
        <f>_xlfn.TEXTJOIN("",TRUE,Input!$B$2,ROW(My_Audit!A369))</f>
        <v>X369</v>
      </c>
      <c r="B370" s="40" t="str">
        <f>_xlfn.TEXTJOIN("-",TRUE,"ITD",Input!$A$2,A370)</f>
        <v>ITD-X369</v>
      </c>
      <c r="C370" s="40" t="str" cm="1">
        <f t="array" ref="C370">IFERROR(_xlfn.LET(
_xlpm.CSVVal,_xlfn.XLOOKUP($A370,CSV!$A:$A,CSV!B:B,""),
_xlpm.MacVal,_xlfn.XLOOKUP($A370,Output_Mac!$A:$A,Output_Mac!B:B,""),
_xlpm.MyAuditVal,_xlfn.XLOOKUP($A370,My_Audit!$A:$A,My_Audit!B:B,""),
_xlfn.IFS(_xlpm.MyAuditVal&lt;&gt;"",UPPER(_xlpm.MyAuditVal),_xlpm.MacVal&lt;&gt;"",_xlpm.MacVal,_xlpm.CSVVal&lt;&gt;"",_xlpm.CSVVal
)),"")</f>
        <v/>
      </c>
      <c r="D370" s="40" t="str" cm="1">
        <f t="array" ref="D370">IFERROR(_xlfn.LET(
_xlpm.CSVVal,_xlfn.XLOOKUP($A370,CSV!$A:$A,CSV!D:D,""),
_xlpm.MacVal,_xlfn.XLOOKUP($A370,Output_Mac!$A:$A,Output_Mac!C:C,""),
_xlpm.MyAuditVal,_xlfn.XLOOKUP($A370,My_Audit!$A:$A,My_Audit!C:C,""),
_xlfn.IFS(_xlpm.MyAuditVal&lt;&gt;"",_xlpm.MyAuditVal,_xlpm.MacVal&lt;&gt;"",_xlpm.MacVal,_xlpm.CSVVal&lt;&gt;"",_xlpm.CSVVal
)),"")</f>
        <v/>
      </c>
      <c r="E370" s="40">
        <f>_xlfn.XLOOKUP(A370,My_Audit!A:A,My_Audit!D:D,"")</f>
        <v>0</v>
      </c>
      <c r="F370" s="40" t="str" cm="1">
        <f t="array" ref="F370">IFERROR(_xlfn.LET(
_xlpm.CSVVal,_xlfn.XLOOKUP($A370,CSV!$A:$A,CSV!F:F,""),
_xlpm.MacVal,_xlfn.XLOOKUP($A370,Output_Mac!$A:$A,Output_Mac!E:E,""),
_xlpm.MyAuditVal,_xlfn.XLOOKUP($A370,My_Audit!$A:$A,My_Audit!E:E,""),
_xlfn.IFS(_xlpm.MyAuditVal&lt;&gt;"",_xlpm.MyAuditVal,_xlpm.MacVal&lt;&gt;"",_xlpm.MacVal,_xlpm.CSVVal&lt;&gt;"",_xlpm.CSVVal
)),"")</f>
        <v/>
      </c>
      <c r="G370" s="40" t="str" cm="1">
        <f t="array" ref="G370">IFERROR(_xlfn.LET(
_xlpm.CSVVal,_xlfn.XLOOKUP($A370,CSV!$A:$A,CSV!G:G,""),
_xlpm.MacVal,_xlfn.XLOOKUP($A370,Output_Mac!$A:$A,Output_Mac!F:F,""),
_xlpm.MyAuditVal,_xlfn.XLOOKUP($A370,My_Audit!$A:$A,My_Audit!F:F,""),
_xlfn.IFS(_xlpm.MyAuditVal&lt;&gt;"",_xlpm.MyAuditVal,_xlpm.MacVal&lt;&gt;"",_xlpm.MacVal,_xlpm.CSVVal&lt;&gt;"",PROPER(_xlpm.CSVVal)
)),"")</f>
        <v/>
      </c>
      <c r="H370" s="40" t="str" cm="1">
        <f t="array" ref="H370">IFERROR(_xlfn.LET(
_xlpm.CSVVal,_xlfn.XLOOKUP($A370,CSV!$A:$A,CSV!H:H,""),
_xlpm.MacVal,_xlfn.XLOOKUP($A370,Output_Mac!$A:$A,Output_Mac!H:H,""),
_xlpm.MyAuditVal,_xlfn.XLOOKUP($A370,My_Audit!$A:$A,My_Audit!G:G,""),
_xlfn.IFS(_xlpm.MyAuditVal&lt;&gt;"",_xlpm.MyAuditVal,_xlpm.MacVal&lt;&gt;"",_xlpm.MacVal,_xlpm.CSVVal&lt;&gt;"",_xlpm.CSVVal
)),"")</f>
        <v/>
      </c>
      <c r="I370" s="40" t="str">
        <f>_xlfn.XLOOKUP(A370,Output_Mac!A:A,Output_Mac!I:I,"")</f>
        <v/>
      </c>
      <c r="J370" s="40" t="str" cm="1">
        <f t="array" ref="J370">IFERROR(_xlfn.LET(
_xlpm.CSVVal,_xlfn.XLOOKUP($A370,CSV!$A:$A,CSV!I:I,""),
_xlpm.MacVal,_xlfn.XLOOKUP($A370,Output_Mac!$A:$A,Output_Mac!J:J,""),
_xlpm.MyAuditVal,_xlfn.XLOOKUP($A370,My_Audit!$A:$A,My_Audit!I:I,""),
_xlfn.IFS(_xlpm.MyAuditVal&lt;&gt;"",UPPER(_xlpm.MyAuditVal),_xlpm.MacVal&lt;&gt;"",_xlpm.MacVal,_xlpm.CSVVal&lt;&gt;"",_xlpm.CSVVal
)),"")</f>
        <v/>
      </c>
      <c r="K370" s="40" t="str" cm="1">
        <f t="array" ref="K370">IFERROR(_xlfn.LET(
_xlpm.CSVVal,_xlfn.XLOOKUP($A370,CSV!$A:$A,CSV!K:K,""),
_xlpm.MacVal,_xlfn.XLOOKUP($A370,Output_Mac!$A:$A,Output_Mac!K:K,""),
_xlpm.MyAuditVal,_xlfn.XLOOKUP($A370,My_Audit!$A:$A,My_Audit!J:J,""),
_xlfn.IFS(_xlpm.MyAuditVal&lt;&gt;"",UPPER(_xlpm.MyAuditVal),_xlpm.MacVal&lt;&gt;"",_xlpm.MacVal,_xlpm.CSVVal&lt;&gt;"",_xlpm.CSVVal
)),"")</f>
        <v/>
      </c>
      <c r="L370" s="40" t="str" cm="1">
        <f t="array" ref="L370">IFERROR(_xlfn.LET(
_xlpm.CSVVal,_xlfn.XLOOKUP($A370,CSV!$A:$A,CSV!P:P,""),
_xlpm.MacVal,_xlfn.XLOOKUP($A370,Output_Mac!$A:$A,Output_Mac!L:L,""),
_xlpm.MyAuditVal,_xlfn.XLOOKUP($A370,My_Audit!$A:$A,My_Audit!K:K,""),
_xlfn.IFS(_xlpm.MyAuditVal&lt;&gt;"",UPPER(_xlpm.MyAuditVal),_xlpm.MacVal&lt;&gt;"",_xlpm.MacVal,_xlpm.CSVVal&lt;&gt;"",_xlpm.CSVVal
)),"")</f>
        <v/>
      </c>
      <c r="M370" s="40" t="str" cm="1">
        <f t="array" ref="M370">IFERROR(_xlfn.LET(
_xlpm.CSVVal,_xlfn.XLOOKUP($A370,CSV!$A:$A,CSV!Q:Q,""),
_xlpm.MacVal,_xlfn.XLOOKUP($A370,Output_Mac!$A:$A,Output_Mac!M:M,""),
_xlpm.MyAuditVal,_xlfn.XLOOKUP($A370,My_Audit!$A:$A,My_Audit!L:L,""),
_xlfn.IFS(_xlpm.MyAuditVal&lt;&gt;"",UPPER(_xlpm.MyAuditVal),_xlpm.MacVal&lt;&gt;"",_xlpm.MacVal,_xlpm.CSVVal&lt;&gt;"",_xlpm.CSVVal
)),"")</f>
        <v/>
      </c>
      <c r="N370" s="40"/>
      <c r="O370" s="40" t="str">
        <f>_xlfn.LET(
    _xlpm.CSVVal, _xlfn.XLOOKUP($A370, CSV!$A:$A, CSV!AA:AA, ""),
    _xlpm.MacVal, _xlfn.XLOOKUP($A370, Output_Mac!$A:$A, Output_Mac!S:S, ""),
    _xlpm.MyAuditVal, _xlfn.XLOOKUP($A370, My_Audit!$A:$A, My_Audit!P:P, ""),
    _xlfn.TEXTJOIN(", ", TRUE, _xlpm.MyAuditVal, _xlpm.MacVal, _xlpm.CSVVal)
)</f>
        <v/>
      </c>
      <c r="P370" s="40" t="str" cm="1">
        <f t="array" ref="P370">IFERROR(_xlfn.LET(
_xlpm.CSVVal,_xlfn.XLOOKUP($A370,CSV!$A:$A,CSV!AB:AB,""),
_xlpm.MacVal,_xlfn.XLOOKUP($A370,Output_Mac!$A:$A,Output_Mac!T:T,""),
_xlpm.MyAuditVal,_xlfn.XLOOKUP($A370,My_Audit!$A:$A,My_Audit!Q:Q,""),
_xlfn.IFS(_xlpm.MyAuditVal&lt;&gt;"",UPPER(_xlpm.MyAuditVal),_xlpm.MacVal&lt;&gt;"",_xlpm.MacVal,_xlpm.CSVVal&lt;&gt;"",_xlpm.CSVVal
)),"No")</f>
        <v>No</v>
      </c>
      <c r="Q370" s="40" t="str" cm="1">
        <f t="array" ref="Q370">IFERROR(_xlfn.LET(
_xlpm.CSVVal,_xlfn.XLOOKUP($A370,CSV!$A:$A,CSV!AC:AC,""),
_xlpm.MacVal,_xlfn.XLOOKUP($A370,Output_Mac!$A:$A,Output_Mac!U:U,""),
_xlpm.MyAuditVal,_xlfn.XLOOKUP($A370,My_Audit!$A:$A,My_Audit!R:R,""),
_xlfn.IFS(_xlpm.MyAuditVal&lt;&gt;"",UPPER(_xlpm.MyAuditVal),_xlpm.MacVal&lt;&gt;"",_xlpm.MacVal,_xlpm.CSVVal&lt;&gt;"",_xlpm.CSVVal
)),"")</f>
        <v/>
      </c>
      <c r="R370" s="40"/>
      <c r="S370" s="40"/>
      <c r="T370" s="40"/>
      <c r="U370" s="40"/>
      <c r="V370" s="40"/>
      <c r="W370" s="40"/>
      <c r="X370" s="41" t="str">
        <f>_xlfn.LET(
    _xlpm.MacVal, _xlfn.XLOOKUP($A370, Output_Mac!$A:$A, Output_Mac!AB:AB, ""),
    _xlpm.MyAuditVal, _xlfn.XLOOKUP($A370, My_Audit!$A:$A, My_Audit!N:N, ""),
    _xlfn.TEXTJOIN(", ", TRUE, _xlpm.MyAuditVal, _xlpm.MacVal)
)</f>
        <v/>
      </c>
    </row>
    <row r="371" spans="1:24">
      <c r="A371" s="40" t="str">
        <f>_xlfn.TEXTJOIN("",TRUE,Input!$B$2,ROW(My_Audit!A370))</f>
        <v>X370</v>
      </c>
      <c r="B371" s="40" t="str">
        <f>_xlfn.TEXTJOIN("-",TRUE,"ITD",Input!$A$2,A371)</f>
        <v>ITD-X370</v>
      </c>
      <c r="C371" s="40" t="str" cm="1">
        <f t="array" ref="C371">IFERROR(_xlfn.LET(
_xlpm.CSVVal,_xlfn.XLOOKUP($A371,CSV!$A:$A,CSV!B:B,""),
_xlpm.MacVal,_xlfn.XLOOKUP($A371,Output_Mac!$A:$A,Output_Mac!B:B,""),
_xlpm.MyAuditVal,_xlfn.XLOOKUP($A371,My_Audit!$A:$A,My_Audit!B:B,""),
_xlfn.IFS(_xlpm.MyAuditVal&lt;&gt;"",UPPER(_xlpm.MyAuditVal),_xlpm.MacVal&lt;&gt;"",_xlpm.MacVal,_xlpm.CSVVal&lt;&gt;"",_xlpm.CSVVal
)),"")</f>
        <v/>
      </c>
      <c r="D371" s="40" t="str" cm="1">
        <f t="array" ref="D371">IFERROR(_xlfn.LET(
_xlpm.CSVVal,_xlfn.XLOOKUP($A371,CSV!$A:$A,CSV!D:D,""),
_xlpm.MacVal,_xlfn.XLOOKUP($A371,Output_Mac!$A:$A,Output_Mac!C:C,""),
_xlpm.MyAuditVal,_xlfn.XLOOKUP($A371,My_Audit!$A:$A,My_Audit!C:C,""),
_xlfn.IFS(_xlpm.MyAuditVal&lt;&gt;"",_xlpm.MyAuditVal,_xlpm.MacVal&lt;&gt;"",_xlpm.MacVal,_xlpm.CSVVal&lt;&gt;"",_xlpm.CSVVal
)),"")</f>
        <v/>
      </c>
      <c r="E371" s="40">
        <f>_xlfn.XLOOKUP(A371,My_Audit!A:A,My_Audit!D:D,"")</f>
        <v>0</v>
      </c>
      <c r="F371" s="40" t="str" cm="1">
        <f t="array" ref="F371">IFERROR(_xlfn.LET(
_xlpm.CSVVal,_xlfn.XLOOKUP($A371,CSV!$A:$A,CSV!F:F,""),
_xlpm.MacVal,_xlfn.XLOOKUP($A371,Output_Mac!$A:$A,Output_Mac!E:E,""),
_xlpm.MyAuditVal,_xlfn.XLOOKUP($A371,My_Audit!$A:$A,My_Audit!E:E,""),
_xlfn.IFS(_xlpm.MyAuditVal&lt;&gt;"",_xlpm.MyAuditVal,_xlpm.MacVal&lt;&gt;"",_xlpm.MacVal,_xlpm.CSVVal&lt;&gt;"",_xlpm.CSVVal
)),"")</f>
        <v/>
      </c>
      <c r="G371" s="40" t="str" cm="1">
        <f t="array" ref="G371">IFERROR(_xlfn.LET(
_xlpm.CSVVal,_xlfn.XLOOKUP($A371,CSV!$A:$A,CSV!G:G,""),
_xlpm.MacVal,_xlfn.XLOOKUP($A371,Output_Mac!$A:$A,Output_Mac!F:F,""),
_xlpm.MyAuditVal,_xlfn.XLOOKUP($A371,My_Audit!$A:$A,My_Audit!F:F,""),
_xlfn.IFS(_xlpm.MyAuditVal&lt;&gt;"",_xlpm.MyAuditVal,_xlpm.MacVal&lt;&gt;"",_xlpm.MacVal,_xlpm.CSVVal&lt;&gt;"",PROPER(_xlpm.CSVVal)
)),"")</f>
        <v/>
      </c>
      <c r="H371" s="40" t="str" cm="1">
        <f t="array" ref="H371">IFERROR(_xlfn.LET(
_xlpm.CSVVal,_xlfn.XLOOKUP($A371,CSV!$A:$A,CSV!H:H,""),
_xlpm.MacVal,_xlfn.XLOOKUP($A371,Output_Mac!$A:$A,Output_Mac!H:H,""),
_xlpm.MyAuditVal,_xlfn.XLOOKUP($A371,My_Audit!$A:$A,My_Audit!G:G,""),
_xlfn.IFS(_xlpm.MyAuditVal&lt;&gt;"",_xlpm.MyAuditVal,_xlpm.MacVal&lt;&gt;"",_xlpm.MacVal,_xlpm.CSVVal&lt;&gt;"",_xlpm.CSVVal
)),"")</f>
        <v/>
      </c>
      <c r="I371" s="40" t="str">
        <f>_xlfn.XLOOKUP(A371,Output_Mac!A:A,Output_Mac!I:I,"")</f>
        <v/>
      </c>
      <c r="J371" s="40" t="str" cm="1">
        <f t="array" ref="J371">IFERROR(_xlfn.LET(
_xlpm.CSVVal,_xlfn.XLOOKUP($A371,CSV!$A:$A,CSV!I:I,""),
_xlpm.MacVal,_xlfn.XLOOKUP($A371,Output_Mac!$A:$A,Output_Mac!J:J,""),
_xlpm.MyAuditVal,_xlfn.XLOOKUP($A371,My_Audit!$A:$A,My_Audit!I:I,""),
_xlfn.IFS(_xlpm.MyAuditVal&lt;&gt;"",UPPER(_xlpm.MyAuditVal),_xlpm.MacVal&lt;&gt;"",_xlpm.MacVal,_xlpm.CSVVal&lt;&gt;"",_xlpm.CSVVal
)),"")</f>
        <v/>
      </c>
      <c r="K371" s="40" t="str" cm="1">
        <f t="array" ref="K371">IFERROR(_xlfn.LET(
_xlpm.CSVVal,_xlfn.XLOOKUP($A371,CSV!$A:$A,CSV!K:K,""),
_xlpm.MacVal,_xlfn.XLOOKUP($A371,Output_Mac!$A:$A,Output_Mac!K:K,""),
_xlpm.MyAuditVal,_xlfn.XLOOKUP($A371,My_Audit!$A:$A,My_Audit!J:J,""),
_xlfn.IFS(_xlpm.MyAuditVal&lt;&gt;"",UPPER(_xlpm.MyAuditVal),_xlpm.MacVal&lt;&gt;"",_xlpm.MacVal,_xlpm.CSVVal&lt;&gt;"",_xlpm.CSVVal
)),"")</f>
        <v/>
      </c>
      <c r="L371" s="40" t="str" cm="1">
        <f t="array" ref="L371">IFERROR(_xlfn.LET(
_xlpm.CSVVal,_xlfn.XLOOKUP($A371,CSV!$A:$A,CSV!P:P,""),
_xlpm.MacVal,_xlfn.XLOOKUP($A371,Output_Mac!$A:$A,Output_Mac!L:L,""),
_xlpm.MyAuditVal,_xlfn.XLOOKUP($A371,My_Audit!$A:$A,My_Audit!K:K,""),
_xlfn.IFS(_xlpm.MyAuditVal&lt;&gt;"",UPPER(_xlpm.MyAuditVal),_xlpm.MacVal&lt;&gt;"",_xlpm.MacVal,_xlpm.CSVVal&lt;&gt;"",_xlpm.CSVVal
)),"")</f>
        <v/>
      </c>
      <c r="M371" s="40" t="str" cm="1">
        <f t="array" ref="M371">IFERROR(_xlfn.LET(
_xlpm.CSVVal,_xlfn.XLOOKUP($A371,CSV!$A:$A,CSV!Q:Q,""),
_xlpm.MacVal,_xlfn.XLOOKUP($A371,Output_Mac!$A:$A,Output_Mac!M:M,""),
_xlpm.MyAuditVal,_xlfn.XLOOKUP($A371,My_Audit!$A:$A,My_Audit!L:L,""),
_xlfn.IFS(_xlpm.MyAuditVal&lt;&gt;"",UPPER(_xlpm.MyAuditVal),_xlpm.MacVal&lt;&gt;"",_xlpm.MacVal,_xlpm.CSVVal&lt;&gt;"",_xlpm.CSVVal
)),"")</f>
        <v/>
      </c>
      <c r="N371" s="40"/>
      <c r="O371" s="40" t="str">
        <f>_xlfn.LET(
    _xlpm.CSVVal, _xlfn.XLOOKUP($A371, CSV!$A:$A, CSV!AA:AA, ""),
    _xlpm.MacVal, _xlfn.XLOOKUP($A371, Output_Mac!$A:$A, Output_Mac!S:S, ""),
    _xlpm.MyAuditVal, _xlfn.XLOOKUP($A371, My_Audit!$A:$A, My_Audit!P:P, ""),
    _xlfn.TEXTJOIN(", ", TRUE, _xlpm.MyAuditVal, _xlpm.MacVal, _xlpm.CSVVal)
)</f>
        <v/>
      </c>
      <c r="P371" s="40" t="str" cm="1">
        <f t="array" ref="P371">IFERROR(_xlfn.LET(
_xlpm.CSVVal,_xlfn.XLOOKUP($A371,CSV!$A:$A,CSV!AB:AB,""),
_xlpm.MacVal,_xlfn.XLOOKUP($A371,Output_Mac!$A:$A,Output_Mac!T:T,""),
_xlpm.MyAuditVal,_xlfn.XLOOKUP($A371,My_Audit!$A:$A,My_Audit!Q:Q,""),
_xlfn.IFS(_xlpm.MyAuditVal&lt;&gt;"",UPPER(_xlpm.MyAuditVal),_xlpm.MacVal&lt;&gt;"",_xlpm.MacVal,_xlpm.CSVVal&lt;&gt;"",_xlpm.CSVVal
)),"No")</f>
        <v>No</v>
      </c>
      <c r="Q371" s="40" t="str" cm="1">
        <f t="array" ref="Q371">IFERROR(_xlfn.LET(
_xlpm.CSVVal,_xlfn.XLOOKUP($A371,CSV!$A:$A,CSV!AC:AC,""),
_xlpm.MacVal,_xlfn.XLOOKUP($A371,Output_Mac!$A:$A,Output_Mac!U:U,""),
_xlpm.MyAuditVal,_xlfn.XLOOKUP($A371,My_Audit!$A:$A,My_Audit!R:R,""),
_xlfn.IFS(_xlpm.MyAuditVal&lt;&gt;"",UPPER(_xlpm.MyAuditVal),_xlpm.MacVal&lt;&gt;"",_xlpm.MacVal,_xlpm.CSVVal&lt;&gt;"",_xlpm.CSVVal
)),"")</f>
        <v/>
      </c>
      <c r="R371" s="40"/>
      <c r="S371" s="40"/>
      <c r="T371" s="40"/>
      <c r="U371" s="40"/>
      <c r="V371" s="40"/>
      <c r="W371" s="40"/>
      <c r="X371" s="41" t="str">
        <f>_xlfn.LET(
    _xlpm.MacVal, _xlfn.XLOOKUP($A371, Output_Mac!$A:$A, Output_Mac!AB:AB, ""),
    _xlpm.MyAuditVal, _xlfn.XLOOKUP($A371, My_Audit!$A:$A, My_Audit!N:N, ""),
    _xlfn.TEXTJOIN(", ", TRUE, _xlpm.MyAuditVal, _xlpm.MacVal)
)</f>
        <v/>
      </c>
    </row>
    <row r="372" spans="1:24">
      <c r="A372" s="40" t="str">
        <f>_xlfn.TEXTJOIN("",TRUE,Input!$B$2,ROW(My_Audit!A371))</f>
        <v>X371</v>
      </c>
      <c r="B372" s="40" t="str">
        <f>_xlfn.TEXTJOIN("-",TRUE,"ITD",Input!$A$2,A372)</f>
        <v>ITD-X371</v>
      </c>
      <c r="C372" s="40" t="str" cm="1">
        <f t="array" ref="C372">IFERROR(_xlfn.LET(
_xlpm.CSVVal,_xlfn.XLOOKUP($A372,CSV!$A:$A,CSV!B:B,""),
_xlpm.MacVal,_xlfn.XLOOKUP($A372,Output_Mac!$A:$A,Output_Mac!B:B,""),
_xlpm.MyAuditVal,_xlfn.XLOOKUP($A372,My_Audit!$A:$A,My_Audit!B:B,""),
_xlfn.IFS(_xlpm.MyAuditVal&lt;&gt;"",UPPER(_xlpm.MyAuditVal),_xlpm.MacVal&lt;&gt;"",_xlpm.MacVal,_xlpm.CSVVal&lt;&gt;"",_xlpm.CSVVal
)),"")</f>
        <v/>
      </c>
      <c r="D372" s="40" t="str" cm="1">
        <f t="array" ref="D372">IFERROR(_xlfn.LET(
_xlpm.CSVVal,_xlfn.XLOOKUP($A372,CSV!$A:$A,CSV!D:D,""),
_xlpm.MacVal,_xlfn.XLOOKUP($A372,Output_Mac!$A:$A,Output_Mac!C:C,""),
_xlpm.MyAuditVal,_xlfn.XLOOKUP($A372,My_Audit!$A:$A,My_Audit!C:C,""),
_xlfn.IFS(_xlpm.MyAuditVal&lt;&gt;"",_xlpm.MyAuditVal,_xlpm.MacVal&lt;&gt;"",_xlpm.MacVal,_xlpm.CSVVal&lt;&gt;"",_xlpm.CSVVal
)),"")</f>
        <v/>
      </c>
      <c r="E372" s="40">
        <f>_xlfn.XLOOKUP(A372,My_Audit!A:A,My_Audit!D:D,"")</f>
        <v>0</v>
      </c>
      <c r="F372" s="40" t="str" cm="1">
        <f t="array" ref="F372">IFERROR(_xlfn.LET(
_xlpm.CSVVal,_xlfn.XLOOKUP($A372,CSV!$A:$A,CSV!F:F,""),
_xlpm.MacVal,_xlfn.XLOOKUP($A372,Output_Mac!$A:$A,Output_Mac!E:E,""),
_xlpm.MyAuditVal,_xlfn.XLOOKUP($A372,My_Audit!$A:$A,My_Audit!E:E,""),
_xlfn.IFS(_xlpm.MyAuditVal&lt;&gt;"",_xlpm.MyAuditVal,_xlpm.MacVal&lt;&gt;"",_xlpm.MacVal,_xlpm.CSVVal&lt;&gt;"",_xlpm.CSVVal
)),"")</f>
        <v/>
      </c>
      <c r="G372" s="40" t="str" cm="1">
        <f t="array" ref="G372">IFERROR(_xlfn.LET(
_xlpm.CSVVal,_xlfn.XLOOKUP($A372,CSV!$A:$A,CSV!G:G,""),
_xlpm.MacVal,_xlfn.XLOOKUP($A372,Output_Mac!$A:$A,Output_Mac!F:F,""),
_xlpm.MyAuditVal,_xlfn.XLOOKUP($A372,My_Audit!$A:$A,My_Audit!F:F,""),
_xlfn.IFS(_xlpm.MyAuditVal&lt;&gt;"",_xlpm.MyAuditVal,_xlpm.MacVal&lt;&gt;"",_xlpm.MacVal,_xlpm.CSVVal&lt;&gt;"",PROPER(_xlpm.CSVVal)
)),"")</f>
        <v/>
      </c>
      <c r="H372" s="40" t="str" cm="1">
        <f t="array" ref="H372">IFERROR(_xlfn.LET(
_xlpm.CSVVal,_xlfn.XLOOKUP($A372,CSV!$A:$A,CSV!H:H,""),
_xlpm.MacVal,_xlfn.XLOOKUP($A372,Output_Mac!$A:$A,Output_Mac!H:H,""),
_xlpm.MyAuditVal,_xlfn.XLOOKUP($A372,My_Audit!$A:$A,My_Audit!G:G,""),
_xlfn.IFS(_xlpm.MyAuditVal&lt;&gt;"",_xlpm.MyAuditVal,_xlpm.MacVal&lt;&gt;"",_xlpm.MacVal,_xlpm.CSVVal&lt;&gt;"",_xlpm.CSVVal
)),"")</f>
        <v/>
      </c>
      <c r="I372" s="40" t="str">
        <f>_xlfn.XLOOKUP(A372,Output_Mac!A:A,Output_Mac!I:I,"")</f>
        <v/>
      </c>
      <c r="J372" s="40" t="str" cm="1">
        <f t="array" ref="J372">IFERROR(_xlfn.LET(
_xlpm.CSVVal,_xlfn.XLOOKUP($A372,CSV!$A:$A,CSV!I:I,""),
_xlpm.MacVal,_xlfn.XLOOKUP($A372,Output_Mac!$A:$A,Output_Mac!J:J,""),
_xlpm.MyAuditVal,_xlfn.XLOOKUP($A372,My_Audit!$A:$A,My_Audit!I:I,""),
_xlfn.IFS(_xlpm.MyAuditVal&lt;&gt;"",UPPER(_xlpm.MyAuditVal),_xlpm.MacVal&lt;&gt;"",_xlpm.MacVal,_xlpm.CSVVal&lt;&gt;"",_xlpm.CSVVal
)),"")</f>
        <v/>
      </c>
      <c r="K372" s="40" t="str" cm="1">
        <f t="array" ref="K372">IFERROR(_xlfn.LET(
_xlpm.CSVVal,_xlfn.XLOOKUP($A372,CSV!$A:$A,CSV!K:K,""),
_xlpm.MacVal,_xlfn.XLOOKUP($A372,Output_Mac!$A:$A,Output_Mac!K:K,""),
_xlpm.MyAuditVal,_xlfn.XLOOKUP($A372,My_Audit!$A:$A,My_Audit!J:J,""),
_xlfn.IFS(_xlpm.MyAuditVal&lt;&gt;"",UPPER(_xlpm.MyAuditVal),_xlpm.MacVal&lt;&gt;"",_xlpm.MacVal,_xlpm.CSVVal&lt;&gt;"",_xlpm.CSVVal
)),"")</f>
        <v/>
      </c>
      <c r="L372" s="40" t="str" cm="1">
        <f t="array" ref="L372">IFERROR(_xlfn.LET(
_xlpm.CSVVal,_xlfn.XLOOKUP($A372,CSV!$A:$A,CSV!P:P,""),
_xlpm.MacVal,_xlfn.XLOOKUP($A372,Output_Mac!$A:$A,Output_Mac!L:L,""),
_xlpm.MyAuditVal,_xlfn.XLOOKUP($A372,My_Audit!$A:$A,My_Audit!K:K,""),
_xlfn.IFS(_xlpm.MyAuditVal&lt;&gt;"",UPPER(_xlpm.MyAuditVal),_xlpm.MacVal&lt;&gt;"",_xlpm.MacVal,_xlpm.CSVVal&lt;&gt;"",_xlpm.CSVVal
)),"")</f>
        <v/>
      </c>
      <c r="M372" s="40" t="str" cm="1">
        <f t="array" ref="M372">IFERROR(_xlfn.LET(
_xlpm.CSVVal,_xlfn.XLOOKUP($A372,CSV!$A:$A,CSV!Q:Q,""),
_xlpm.MacVal,_xlfn.XLOOKUP($A372,Output_Mac!$A:$A,Output_Mac!M:M,""),
_xlpm.MyAuditVal,_xlfn.XLOOKUP($A372,My_Audit!$A:$A,My_Audit!L:L,""),
_xlfn.IFS(_xlpm.MyAuditVal&lt;&gt;"",UPPER(_xlpm.MyAuditVal),_xlpm.MacVal&lt;&gt;"",_xlpm.MacVal,_xlpm.CSVVal&lt;&gt;"",_xlpm.CSVVal
)),"")</f>
        <v/>
      </c>
      <c r="N372" s="40"/>
      <c r="O372" s="40" t="str">
        <f>_xlfn.LET(
    _xlpm.CSVVal, _xlfn.XLOOKUP($A372, CSV!$A:$A, CSV!AA:AA, ""),
    _xlpm.MacVal, _xlfn.XLOOKUP($A372, Output_Mac!$A:$A, Output_Mac!S:S, ""),
    _xlpm.MyAuditVal, _xlfn.XLOOKUP($A372, My_Audit!$A:$A, My_Audit!P:P, ""),
    _xlfn.TEXTJOIN(", ", TRUE, _xlpm.MyAuditVal, _xlpm.MacVal, _xlpm.CSVVal)
)</f>
        <v/>
      </c>
      <c r="P372" s="40" t="str" cm="1">
        <f t="array" ref="P372">IFERROR(_xlfn.LET(
_xlpm.CSVVal,_xlfn.XLOOKUP($A372,CSV!$A:$A,CSV!AB:AB,""),
_xlpm.MacVal,_xlfn.XLOOKUP($A372,Output_Mac!$A:$A,Output_Mac!T:T,""),
_xlpm.MyAuditVal,_xlfn.XLOOKUP($A372,My_Audit!$A:$A,My_Audit!Q:Q,""),
_xlfn.IFS(_xlpm.MyAuditVal&lt;&gt;"",UPPER(_xlpm.MyAuditVal),_xlpm.MacVal&lt;&gt;"",_xlpm.MacVal,_xlpm.CSVVal&lt;&gt;"",_xlpm.CSVVal
)),"No")</f>
        <v>No</v>
      </c>
      <c r="Q372" s="40" t="str" cm="1">
        <f t="array" ref="Q372">IFERROR(_xlfn.LET(
_xlpm.CSVVal,_xlfn.XLOOKUP($A372,CSV!$A:$A,CSV!AC:AC,""),
_xlpm.MacVal,_xlfn.XLOOKUP($A372,Output_Mac!$A:$A,Output_Mac!U:U,""),
_xlpm.MyAuditVal,_xlfn.XLOOKUP($A372,My_Audit!$A:$A,My_Audit!R:R,""),
_xlfn.IFS(_xlpm.MyAuditVal&lt;&gt;"",UPPER(_xlpm.MyAuditVal),_xlpm.MacVal&lt;&gt;"",_xlpm.MacVal,_xlpm.CSVVal&lt;&gt;"",_xlpm.CSVVal
)),"")</f>
        <v/>
      </c>
      <c r="R372" s="40"/>
      <c r="S372" s="40"/>
      <c r="T372" s="40"/>
      <c r="U372" s="40"/>
      <c r="V372" s="40"/>
      <c r="W372" s="40"/>
      <c r="X372" s="41" t="str">
        <f>_xlfn.LET(
    _xlpm.MacVal, _xlfn.XLOOKUP($A372, Output_Mac!$A:$A, Output_Mac!AB:AB, ""),
    _xlpm.MyAuditVal, _xlfn.XLOOKUP($A372, My_Audit!$A:$A, My_Audit!N:N, ""),
    _xlfn.TEXTJOIN(", ", TRUE, _xlpm.MyAuditVal, _xlpm.MacVal)
)</f>
        <v/>
      </c>
    </row>
    <row r="373" spans="1:24">
      <c r="A373" s="40" t="str">
        <f>_xlfn.TEXTJOIN("",TRUE,Input!$B$2,ROW(My_Audit!A372))</f>
        <v>X372</v>
      </c>
      <c r="B373" s="40" t="str">
        <f>_xlfn.TEXTJOIN("-",TRUE,"ITD",Input!$A$2,A373)</f>
        <v>ITD-X372</v>
      </c>
      <c r="C373" s="40" t="str" cm="1">
        <f t="array" ref="C373">IFERROR(_xlfn.LET(
_xlpm.CSVVal,_xlfn.XLOOKUP($A373,CSV!$A:$A,CSV!B:B,""),
_xlpm.MacVal,_xlfn.XLOOKUP($A373,Output_Mac!$A:$A,Output_Mac!B:B,""),
_xlpm.MyAuditVal,_xlfn.XLOOKUP($A373,My_Audit!$A:$A,My_Audit!B:B,""),
_xlfn.IFS(_xlpm.MyAuditVal&lt;&gt;"",UPPER(_xlpm.MyAuditVal),_xlpm.MacVal&lt;&gt;"",_xlpm.MacVal,_xlpm.CSVVal&lt;&gt;"",_xlpm.CSVVal
)),"")</f>
        <v/>
      </c>
      <c r="D373" s="40" t="str" cm="1">
        <f t="array" ref="D373">IFERROR(_xlfn.LET(
_xlpm.CSVVal,_xlfn.XLOOKUP($A373,CSV!$A:$A,CSV!D:D,""),
_xlpm.MacVal,_xlfn.XLOOKUP($A373,Output_Mac!$A:$A,Output_Mac!C:C,""),
_xlpm.MyAuditVal,_xlfn.XLOOKUP($A373,My_Audit!$A:$A,My_Audit!C:C,""),
_xlfn.IFS(_xlpm.MyAuditVal&lt;&gt;"",_xlpm.MyAuditVal,_xlpm.MacVal&lt;&gt;"",_xlpm.MacVal,_xlpm.CSVVal&lt;&gt;"",_xlpm.CSVVal
)),"")</f>
        <v/>
      </c>
      <c r="E373" s="40">
        <f>_xlfn.XLOOKUP(A373,My_Audit!A:A,My_Audit!D:D,"")</f>
        <v>0</v>
      </c>
      <c r="F373" s="40" t="str" cm="1">
        <f t="array" ref="F373">IFERROR(_xlfn.LET(
_xlpm.CSVVal,_xlfn.XLOOKUP($A373,CSV!$A:$A,CSV!F:F,""),
_xlpm.MacVal,_xlfn.XLOOKUP($A373,Output_Mac!$A:$A,Output_Mac!E:E,""),
_xlpm.MyAuditVal,_xlfn.XLOOKUP($A373,My_Audit!$A:$A,My_Audit!E:E,""),
_xlfn.IFS(_xlpm.MyAuditVal&lt;&gt;"",_xlpm.MyAuditVal,_xlpm.MacVal&lt;&gt;"",_xlpm.MacVal,_xlpm.CSVVal&lt;&gt;"",_xlpm.CSVVal
)),"")</f>
        <v/>
      </c>
      <c r="G373" s="40" t="str" cm="1">
        <f t="array" ref="G373">IFERROR(_xlfn.LET(
_xlpm.CSVVal,_xlfn.XLOOKUP($A373,CSV!$A:$A,CSV!G:G,""),
_xlpm.MacVal,_xlfn.XLOOKUP($A373,Output_Mac!$A:$A,Output_Mac!F:F,""),
_xlpm.MyAuditVal,_xlfn.XLOOKUP($A373,My_Audit!$A:$A,My_Audit!F:F,""),
_xlfn.IFS(_xlpm.MyAuditVal&lt;&gt;"",_xlpm.MyAuditVal,_xlpm.MacVal&lt;&gt;"",_xlpm.MacVal,_xlpm.CSVVal&lt;&gt;"",PROPER(_xlpm.CSVVal)
)),"")</f>
        <v/>
      </c>
      <c r="H373" s="40" t="str" cm="1">
        <f t="array" ref="H373">IFERROR(_xlfn.LET(
_xlpm.CSVVal,_xlfn.XLOOKUP($A373,CSV!$A:$A,CSV!H:H,""),
_xlpm.MacVal,_xlfn.XLOOKUP($A373,Output_Mac!$A:$A,Output_Mac!H:H,""),
_xlpm.MyAuditVal,_xlfn.XLOOKUP($A373,My_Audit!$A:$A,My_Audit!G:G,""),
_xlfn.IFS(_xlpm.MyAuditVal&lt;&gt;"",_xlpm.MyAuditVal,_xlpm.MacVal&lt;&gt;"",_xlpm.MacVal,_xlpm.CSVVal&lt;&gt;"",_xlpm.CSVVal
)),"")</f>
        <v/>
      </c>
      <c r="I373" s="40" t="str">
        <f>_xlfn.XLOOKUP(A373,Output_Mac!A:A,Output_Mac!I:I,"")</f>
        <v/>
      </c>
      <c r="J373" s="40" t="str" cm="1">
        <f t="array" ref="J373">IFERROR(_xlfn.LET(
_xlpm.CSVVal,_xlfn.XLOOKUP($A373,CSV!$A:$A,CSV!I:I,""),
_xlpm.MacVal,_xlfn.XLOOKUP($A373,Output_Mac!$A:$A,Output_Mac!J:J,""),
_xlpm.MyAuditVal,_xlfn.XLOOKUP($A373,My_Audit!$A:$A,My_Audit!I:I,""),
_xlfn.IFS(_xlpm.MyAuditVal&lt;&gt;"",UPPER(_xlpm.MyAuditVal),_xlpm.MacVal&lt;&gt;"",_xlpm.MacVal,_xlpm.CSVVal&lt;&gt;"",_xlpm.CSVVal
)),"")</f>
        <v/>
      </c>
      <c r="K373" s="40" t="str" cm="1">
        <f t="array" ref="K373">IFERROR(_xlfn.LET(
_xlpm.CSVVal,_xlfn.XLOOKUP($A373,CSV!$A:$A,CSV!K:K,""),
_xlpm.MacVal,_xlfn.XLOOKUP($A373,Output_Mac!$A:$A,Output_Mac!K:K,""),
_xlpm.MyAuditVal,_xlfn.XLOOKUP($A373,My_Audit!$A:$A,My_Audit!J:J,""),
_xlfn.IFS(_xlpm.MyAuditVal&lt;&gt;"",UPPER(_xlpm.MyAuditVal),_xlpm.MacVal&lt;&gt;"",_xlpm.MacVal,_xlpm.CSVVal&lt;&gt;"",_xlpm.CSVVal
)),"")</f>
        <v/>
      </c>
      <c r="L373" s="40" t="str" cm="1">
        <f t="array" ref="L373">IFERROR(_xlfn.LET(
_xlpm.CSVVal,_xlfn.XLOOKUP($A373,CSV!$A:$A,CSV!P:P,""),
_xlpm.MacVal,_xlfn.XLOOKUP($A373,Output_Mac!$A:$A,Output_Mac!L:L,""),
_xlpm.MyAuditVal,_xlfn.XLOOKUP($A373,My_Audit!$A:$A,My_Audit!K:K,""),
_xlfn.IFS(_xlpm.MyAuditVal&lt;&gt;"",UPPER(_xlpm.MyAuditVal),_xlpm.MacVal&lt;&gt;"",_xlpm.MacVal,_xlpm.CSVVal&lt;&gt;"",_xlpm.CSVVal
)),"")</f>
        <v/>
      </c>
      <c r="M373" s="40" t="str" cm="1">
        <f t="array" ref="M373">IFERROR(_xlfn.LET(
_xlpm.CSVVal,_xlfn.XLOOKUP($A373,CSV!$A:$A,CSV!Q:Q,""),
_xlpm.MacVal,_xlfn.XLOOKUP($A373,Output_Mac!$A:$A,Output_Mac!M:M,""),
_xlpm.MyAuditVal,_xlfn.XLOOKUP($A373,My_Audit!$A:$A,My_Audit!L:L,""),
_xlfn.IFS(_xlpm.MyAuditVal&lt;&gt;"",UPPER(_xlpm.MyAuditVal),_xlpm.MacVal&lt;&gt;"",_xlpm.MacVal,_xlpm.CSVVal&lt;&gt;"",_xlpm.CSVVal
)),"")</f>
        <v/>
      </c>
      <c r="N373" s="40"/>
      <c r="O373" s="40" t="str">
        <f>_xlfn.LET(
    _xlpm.CSVVal, _xlfn.XLOOKUP($A373, CSV!$A:$A, CSV!AA:AA, ""),
    _xlpm.MacVal, _xlfn.XLOOKUP($A373, Output_Mac!$A:$A, Output_Mac!S:S, ""),
    _xlpm.MyAuditVal, _xlfn.XLOOKUP($A373, My_Audit!$A:$A, My_Audit!P:P, ""),
    _xlfn.TEXTJOIN(", ", TRUE, _xlpm.MyAuditVal, _xlpm.MacVal, _xlpm.CSVVal)
)</f>
        <v/>
      </c>
      <c r="P373" s="40" t="str" cm="1">
        <f t="array" ref="P373">IFERROR(_xlfn.LET(
_xlpm.CSVVal,_xlfn.XLOOKUP($A373,CSV!$A:$A,CSV!AB:AB,""),
_xlpm.MacVal,_xlfn.XLOOKUP($A373,Output_Mac!$A:$A,Output_Mac!T:T,""),
_xlpm.MyAuditVal,_xlfn.XLOOKUP($A373,My_Audit!$A:$A,My_Audit!Q:Q,""),
_xlfn.IFS(_xlpm.MyAuditVal&lt;&gt;"",UPPER(_xlpm.MyAuditVal),_xlpm.MacVal&lt;&gt;"",_xlpm.MacVal,_xlpm.CSVVal&lt;&gt;"",_xlpm.CSVVal
)),"No")</f>
        <v>No</v>
      </c>
      <c r="Q373" s="40" t="str" cm="1">
        <f t="array" ref="Q373">IFERROR(_xlfn.LET(
_xlpm.CSVVal,_xlfn.XLOOKUP($A373,CSV!$A:$A,CSV!AC:AC,""),
_xlpm.MacVal,_xlfn.XLOOKUP($A373,Output_Mac!$A:$A,Output_Mac!U:U,""),
_xlpm.MyAuditVal,_xlfn.XLOOKUP($A373,My_Audit!$A:$A,My_Audit!R:R,""),
_xlfn.IFS(_xlpm.MyAuditVal&lt;&gt;"",UPPER(_xlpm.MyAuditVal),_xlpm.MacVal&lt;&gt;"",_xlpm.MacVal,_xlpm.CSVVal&lt;&gt;"",_xlpm.CSVVal
)),"")</f>
        <v/>
      </c>
      <c r="R373" s="40"/>
      <c r="S373" s="40"/>
      <c r="T373" s="40"/>
      <c r="U373" s="40"/>
      <c r="V373" s="40"/>
      <c r="W373" s="40"/>
      <c r="X373" s="41" t="str">
        <f>_xlfn.LET(
    _xlpm.MacVal, _xlfn.XLOOKUP($A373, Output_Mac!$A:$A, Output_Mac!AB:AB, ""),
    _xlpm.MyAuditVal, _xlfn.XLOOKUP($A373, My_Audit!$A:$A, My_Audit!N:N, ""),
    _xlfn.TEXTJOIN(", ", TRUE, _xlpm.MyAuditVal, _xlpm.MacVal)
)</f>
        <v/>
      </c>
    </row>
    <row r="374" spans="1:24">
      <c r="A374" s="40" t="str">
        <f>_xlfn.TEXTJOIN("",TRUE,Input!$B$2,ROW(My_Audit!A373))</f>
        <v>X373</v>
      </c>
      <c r="B374" s="40" t="str">
        <f>_xlfn.TEXTJOIN("-",TRUE,"ITD",Input!$A$2,A374)</f>
        <v>ITD-X373</v>
      </c>
      <c r="C374" s="40" t="str" cm="1">
        <f t="array" ref="C374">IFERROR(_xlfn.LET(
_xlpm.CSVVal,_xlfn.XLOOKUP($A374,CSV!$A:$A,CSV!B:B,""),
_xlpm.MacVal,_xlfn.XLOOKUP($A374,Output_Mac!$A:$A,Output_Mac!B:B,""),
_xlpm.MyAuditVal,_xlfn.XLOOKUP($A374,My_Audit!$A:$A,My_Audit!B:B,""),
_xlfn.IFS(_xlpm.MyAuditVal&lt;&gt;"",UPPER(_xlpm.MyAuditVal),_xlpm.MacVal&lt;&gt;"",_xlpm.MacVal,_xlpm.CSVVal&lt;&gt;"",_xlpm.CSVVal
)),"")</f>
        <v/>
      </c>
      <c r="D374" s="40" t="str" cm="1">
        <f t="array" ref="D374">IFERROR(_xlfn.LET(
_xlpm.CSVVal,_xlfn.XLOOKUP($A374,CSV!$A:$A,CSV!D:D,""),
_xlpm.MacVal,_xlfn.XLOOKUP($A374,Output_Mac!$A:$A,Output_Mac!C:C,""),
_xlpm.MyAuditVal,_xlfn.XLOOKUP($A374,My_Audit!$A:$A,My_Audit!C:C,""),
_xlfn.IFS(_xlpm.MyAuditVal&lt;&gt;"",_xlpm.MyAuditVal,_xlpm.MacVal&lt;&gt;"",_xlpm.MacVal,_xlpm.CSVVal&lt;&gt;"",_xlpm.CSVVal
)),"")</f>
        <v/>
      </c>
      <c r="E374" s="40">
        <f>_xlfn.XLOOKUP(A374,My_Audit!A:A,My_Audit!D:D,"")</f>
        <v>0</v>
      </c>
      <c r="F374" s="40" t="str" cm="1">
        <f t="array" ref="F374">IFERROR(_xlfn.LET(
_xlpm.CSVVal,_xlfn.XLOOKUP($A374,CSV!$A:$A,CSV!F:F,""),
_xlpm.MacVal,_xlfn.XLOOKUP($A374,Output_Mac!$A:$A,Output_Mac!E:E,""),
_xlpm.MyAuditVal,_xlfn.XLOOKUP($A374,My_Audit!$A:$A,My_Audit!E:E,""),
_xlfn.IFS(_xlpm.MyAuditVal&lt;&gt;"",_xlpm.MyAuditVal,_xlpm.MacVal&lt;&gt;"",_xlpm.MacVal,_xlpm.CSVVal&lt;&gt;"",_xlpm.CSVVal
)),"")</f>
        <v/>
      </c>
      <c r="G374" s="40" t="str" cm="1">
        <f t="array" ref="G374">IFERROR(_xlfn.LET(
_xlpm.CSVVal,_xlfn.XLOOKUP($A374,CSV!$A:$A,CSV!G:G,""),
_xlpm.MacVal,_xlfn.XLOOKUP($A374,Output_Mac!$A:$A,Output_Mac!F:F,""),
_xlpm.MyAuditVal,_xlfn.XLOOKUP($A374,My_Audit!$A:$A,My_Audit!F:F,""),
_xlfn.IFS(_xlpm.MyAuditVal&lt;&gt;"",_xlpm.MyAuditVal,_xlpm.MacVal&lt;&gt;"",_xlpm.MacVal,_xlpm.CSVVal&lt;&gt;"",PROPER(_xlpm.CSVVal)
)),"")</f>
        <v/>
      </c>
      <c r="H374" s="40" t="str" cm="1">
        <f t="array" ref="H374">IFERROR(_xlfn.LET(
_xlpm.CSVVal,_xlfn.XLOOKUP($A374,CSV!$A:$A,CSV!H:H,""),
_xlpm.MacVal,_xlfn.XLOOKUP($A374,Output_Mac!$A:$A,Output_Mac!H:H,""),
_xlpm.MyAuditVal,_xlfn.XLOOKUP($A374,My_Audit!$A:$A,My_Audit!G:G,""),
_xlfn.IFS(_xlpm.MyAuditVal&lt;&gt;"",_xlpm.MyAuditVal,_xlpm.MacVal&lt;&gt;"",_xlpm.MacVal,_xlpm.CSVVal&lt;&gt;"",_xlpm.CSVVal
)),"")</f>
        <v/>
      </c>
      <c r="I374" s="40" t="str">
        <f>_xlfn.XLOOKUP(A374,Output_Mac!A:A,Output_Mac!I:I,"")</f>
        <v/>
      </c>
      <c r="J374" s="40" t="str" cm="1">
        <f t="array" ref="J374">IFERROR(_xlfn.LET(
_xlpm.CSVVal,_xlfn.XLOOKUP($A374,CSV!$A:$A,CSV!I:I,""),
_xlpm.MacVal,_xlfn.XLOOKUP($A374,Output_Mac!$A:$A,Output_Mac!J:J,""),
_xlpm.MyAuditVal,_xlfn.XLOOKUP($A374,My_Audit!$A:$A,My_Audit!I:I,""),
_xlfn.IFS(_xlpm.MyAuditVal&lt;&gt;"",UPPER(_xlpm.MyAuditVal),_xlpm.MacVal&lt;&gt;"",_xlpm.MacVal,_xlpm.CSVVal&lt;&gt;"",_xlpm.CSVVal
)),"")</f>
        <v/>
      </c>
      <c r="K374" s="40" t="str" cm="1">
        <f t="array" ref="K374">IFERROR(_xlfn.LET(
_xlpm.CSVVal,_xlfn.XLOOKUP($A374,CSV!$A:$A,CSV!K:K,""),
_xlpm.MacVal,_xlfn.XLOOKUP($A374,Output_Mac!$A:$A,Output_Mac!K:K,""),
_xlpm.MyAuditVal,_xlfn.XLOOKUP($A374,My_Audit!$A:$A,My_Audit!J:J,""),
_xlfn.IFS(_xlpm.MyAuditVal&lt;&gt;"",UPPER(_xlpm.MyAuditVal),_xlpm.MacVal&lt;&gt;"",_xlpm.MacVal,_xlpm.CSVVal&lt;&gt;"",_xlpm.CSVVal
)),"")</f>
        <v/>
      </c>
      <c r="L374" s="40" t="str" cm="1">
        <f t="array" ref="L374">IFERROR(_xlfn.LET(
_xlpm.CSVVal,_xlfn.XLOOKUP($A374,CSV!$A:$A,CSV!P:P,""),
_xlpm.MacVal,_xlfn.XLOOKUP($A374,Output_Mac!$A:$A,Output_Mac!L:L,""),
_xlpm.MyAuditVal,_xlfn.XLOOKUP($A374,My_Audit!$A:$A,My_Audit!K:K,""),
_xlfn.IFS(_xlpm.MyAuditVal&lt;&gt;"",UPPER(_xlpm.MyAuditVal),_xlpm.MacVal&lt;&gt;"",_xlpm.MacVal,_xlpm.CSVVal&lt;&gt;"",_xlpm.CSVVal
)),"")</f>
        <v/>
      </c>
      <c r="M374" s="40" t="str" cm="1">
        <f t="array" ref="M374">IFERROR(_xlfn.LET(
_xlpm.CSVVal,_xlfn.XLOOKUP($A374,CSV!$A:$A,CSV!Q:Q,""),
_xlpm.MacVal,_xlfn.XLOOKUP($A374,Output_Mac!$A:$A,Output_Mac!M:M,""),
_xlpm.MyAuditVal,_xlfn.XLOOKUP($A374,My_Audit!$A:$A,My_Audit!L:L,""),
_xlfn.IFS(_xlpm.MyAuditVal&lt;&gt;"",UPPER(_xlpm.MyAuditVal),_xlpm.MacVal&lt;&gt;"",_xlpm.MacVal,_xlpm.CSVVal&lt;&gt;"",_xlpm.CSVVal
)),"")</f>
        <v/>
      </c>
      <c r="N374" s="40"/>
      <c r="O374" s="40" t="str">
        <f>_xlfn.LET(
    _xlpm.CSVVal, _xlfn.XLOOKUP($A374, CSV!$A:$A, CSV!AA:AA, ""),
    _xlpm.MacVal, _xlfn.XLOOKUP($A374, Output_Mac!$A:$A, Output_Mac!S:S, ""),
    _xlpm.MyAuditVal, _xlfn.XLOOKUP($A374, My_Audit!$A:$A, My_Audit!P:P, ""),
    _xlfn.TEXTJOIN(", ", TRUE, _xlpm.MyAuditVal, _xlpm.MacVal, _xlpm.CSVVal)
)</f>
        <v/>
      </c>
      <c r="P374" s="40" t="str" cm="1">
        <f t="array" ref="P374">IFERROR(_xlfn.LET(
_xlpm.CSVVal,_xlfn.XLOOKUP($A374,CSV!$A:$A,CSV!AB:AB,""),
_xlpm.MacVal,_xlfn.XLOOKUP($A374,Output_Mac!$A:$A,Output_Mac!T:T,""),
_xlpm.MyAuditVal,_xlfn.XLOOKUP($A374,My_Audit!$A:$A,My_Audit!Q:Q,""),
_xlfn.IFS(_xlpm.MyAuditVal&lt;&gt;"",UPPER(_xlpm.MyAuditVal),_xlpm.MacVal&lt;&gt;"",_xlpm.MacVal,_xlpm.CSVVal&lt;&gt;"",_xlpm.CSVVal
)),"No")</f>
        <v>No</v>
      </c>
      <c r="Q374" s="40" t="str" cm="1">
        <f t="array" ref="Q374">IFERROR(_xlfn.LET(
_xlpm.CSVVal,_xlfn.XLOOKUP($A374,CSV!$A:$A,CSV!AC:AC,""),
_xlpm.MacVal,_xlfn.XLOOKUP($A374,Output_Mac!$A:$A,Output_Mac!U:U,""),
_xlpm.MyAuditVal,_xlfn.XLOOKUP($A374,My_Audit!$A:$A,My_Audit!R:R,""),
_xlfn.IFS(_xlpm.MyAuditVal&lt;&gt;"",UPPER(_xlpm.MyAuditVal),_xlpm.MacVal&lt;&gt;"",_xlpm.MacVal,_xlpm.CSVVal&lt;&gt;"",_xlpm.CSVVal
)),"")</f>
        <v/>
      </c>
      <c r="R374" s="40"/>
      <c r="S374" s="40"/>
      <c r="T374" s="40"/>
      <c r="U374" s="40"/>
      <c r="V374" s="40"/>
      <c r="W374" s="40"/>
      <c r="X374" s="41" t="str">
        <f>_xlfn.LET(
    _xlpm.MacVal, _xlfn.XLOOKUP($A374, Output_Mac!$A:$A, Output_Mac!AB:AB, ""),
    _xlpm.MyAuditVal, _xlfn.XLOOKUP($A374, My_Audit!$A:$A, My_Audit!N:N, ""),
    _xlfn.TEXTJOIN(", ", TRUE, _xlpm.MyAuditVal, _xlpm.MacVal)
)</f>
        <v/>
      </c>
    </row>
    <row r="375" spans="1:24">
      <c r="A375" s="40" t="str">
        <f>_xlfn.TEXTJOIN("",TRUE,Input!$B$2,ROW(My_Audit!A374))</f>
        <v>X374</v>
      </c>
      <c r="B375" s="40" t="str">
        <f>_xlfn.TEXTJOIN("-",TRUE,"ITD",Input!$A$2,A375)</f>
        <v>ITD-X374</v>
      </c>
      <c r="C375" s="40" t="str" cm="1">
        <f t="array" ref="C375">IFERROR(_xlfn.LET(
_xlpm.CSVVal,_xlfn.XLOOKUP($A375,CSV!$A:$A,CSV!B:B,""),
_xlpm.MacVal,_xlfn.XLOOKUP($A375,Output_Mac!$A:$A,Output_Mac!B:B,""),
_xlpm.MyAuditVal,_xlfn.XLOOKUP($A375,My_Audit!$A:$A,My_Audit!B:B,""),
_xlfn.IFS(_xlpm.MyAuditVal&lt;&gt;"",UPPER(_xlpm.MyAuditVal),_xlpm.MacVal&lt;&gt;"",_xlpm.MacVal,_xlpm.CSVVal&lt;&gt;"",_xlpm.CSVVal
)),"")</f>
        <v/>
      </c>
      <c r="D375" s="40" t="str" cm="1">
        <f t="array" ref="D375">IFERROR(_xlfn.LET(
_xlpm.CSVVal,_xlfn.XLOOKUP($A375,CSV!$A:$A,CSV!D:D,""),
_xlpm.MacVal,_xlfn.XLOOKUP($A375,Output_Mac!$A:$A,Output_Mac!C:C,""),
_xlpm.MyAuditVal,_xlfn.XLOOKUP($A375,My_Audit!$A:$A,My_Audit!C:C,""),
_xlfn.IFS(_xlpm.MyAuditVal&lt;&gt;"",_xlpm.MyAuditVal,_xlpm.MacVal&lt;&gt;"",_xlpm.MacVal,_xlpm.CSVVal&lt;&gt;"",_xlpm.CSVVal
)),"")</f>
        <v/>
      </c>
      <c r="E375" s="40">
        <f>_xlfn.XLOOKUP(A375,My_Audit!A:A,My_Audit!D:D,"")</f>
        <v>0</v>
      </c>
      <c r="F375" s="40" t="str" cm="1">
        <f t="array" ref="F375">IFERROR(_xlfn.LET(
_xlpm.CSVVal,_xlfn.XLOOKUP($A375,CSV!$A:$A,CSV!F:F,""),
_xlpm.MacVal,_xlfn.XLOOKUP($A375,Output_Mac!$A:$A,Output_Mac!E:E,""),
_xlpm.MyAuditVal,_xlfn.XLOOKUP($A375,My_Audit!$A:$A,My_Audit!E:E,""),
_xlfn.IFS(_xlpm.MyAuditVal&lt;&gt;"",_xlpm.MyAuditVal,_xlpm.MacVal&lt;&gt;"",_xlpm.MacVal,_xlpm.CSVVal&lt;&gt;"",_xlpm.CSVVal
)),"")</f>
        <v/>
      </c>
      <c r="G375" s="40" t="str" cm="1">
        <f t="array" ref="G375">IFERROR(_xlfn.LET(
_xlpm.CSVVal,_xlfn.XLOOKUP($A375,CSV!$A:$A,CSV!G:G,""),
_xlpm.MacVal,_xlfn.XLOOKUP($A375,Output_Mac!$A:$A,Output_Mac!F:F,""),
_xlpm.MyAuditVal,_xlfn.XLOOKUP($A375,My_Audit!$A:$A,My_Audit!F:F,""),
_xlfn.IFS(_xlpm.MyAuditVal&lt;&gt;"",_xlpm.MyAuditVal,_xlpm.MacVal&lt;&gt;"",_xlpm.MacVal,_xlpm.CSVVal&lt;&gt;"",PROPER(_xlpm.CSVVal)
)),"")</f>
        <v/>
      </c>
      <c r="H375" s="40" t="str" cm="1">
        <f t="array" ref="H375">IFERROR(_xlfn.LET(
_xlpm.CSVVal,_xlfn.XLOOKUP($A375,CSV!$A:$A,CSV!H:H,""),
_xlpm.MacVal,_xlfn.XLOOKUP($A375,Output_Mac!$A:$A,Output_Mac!H:H,""),
_xlpm.MyAuditVal,_xlfn.XLOOKUP($A375,My_Audit!$A:$A,My_Audit!G:G,""),
_xlfn.IFS(_xlpm.MyAuditVal&lt;&gt;"",_xlpm.MyAuditVal,_xlpm.MacVal&lt;&gt;"",_xlpm.MacVal,_xlpm.CSVVal&lt;&gt;"",_xlpm.CSVVal
)),"")</f>
        <v/>
      </c>
      <c r="I375" s="40" t="str">
        <f>_xlfn.XLOOKUP(A375,Output_Mac!A:A,Output_Mac!I:I,"")</f>
        <v/>
      </c>
      <c r="J375" s="40" t="str" cm="1">
        <f t="array" ref="J375">IFERROR(_xlfn.LET(
_xlpm.CSVVal,_xlfn.XLOOKUP($A375,CSV!$A:$A,CSV!I:I,""),
_xlpm.MacVal,_xlfn.XLOOKUP($A375,Output_Mac!$A:$A,Output_Mac!J:J,""),
_xlpm.MyAuditVal,_xlfn.XLOOKUP($A375,My_Audit!$A:$A,My_Audit!I:I,""),
_xlfn.IFS(_xlpm.MyAuditVal&lt;&gt;"",UPPER(_xlpm.MyAuditVal),_xlpm.MacVal&lt;&gt;"",_xlpm.MacVal,_xlpm.CSVVal&lt;&gt;"",_xlpm.CSVVal
)),"")</f>
        <v/>
      </c>
      <c r="K375" s="40" t="str" cm="1">
        <f t="array" ref="K375">IFERROR(_xlfn.LET(
_xlpm.CSVVal,_xlfn.XLOOKUP($A375,CSV!$A:$A,CSV!K:K,""),
_xlpm.MacVal,_xlfn.XLOOKUP($A375,Output_Mac!$A:$A,Output_Mac!K:K,""),
_xlpm.MyAuditVal,_xlfn.XLOOKUP($A375,My_Audit!$A:$A,My_Audit!J:J,""),
_xlfn.IFS(_xlpm.MyAuditVal&lt;&gt;"",UPPER(_xlpm.MyAuditVal),_xlpm.MacVal&lt;&gt;"",_xlpm.MacVal,_xlpm.CSVVal&lt;&gt;"",_xlpm.CSVVal
)),"")</f>
        <v/>
      </c>
      <c r="L375" s="40" t="str" cm="1">
        <f t="array" ref="L375">IFERROR(_xlfn.LET(
_xlpm.CSVVal,_xlfn.XLOOKUP($A375,CSV!$A:$A,CSV!P:P,""),
_xlpm.MacVal,_xlfn.XLOOKUP($A375,Output_Mac!$A:$A,Output_Mac!L:L,""),
_xlpm.MyAuditVal,_xlfn.XLOOKUP($A375,My_Audit!$A:$A,My_Audit!K:K,""),
_xlfn.IFS(_xlpm.MyAuditVal&lt;&gt;"",UPPER(_xlpm.MyAuditVal),_xlpm.MacVal&lt;&gt;"",_xlpm.MacVal,_xlpm.CSVVal&lt;&gt;"",_xlpm.CSVVal
)),"")</f>
        <v/>
      </c>
      <c r="M375" s="40" t="str" cm="1">
        <f t="array" ref="M375">IFERROR(_xlfn.LET(
_xlpm.CSVVal,_xlfn.XLOOKUP($A375,CSV!$A:$A,CSV!Q:Q,""),
_xlpm.MacVal,_xlfn.XLOOKUP($A375,Output_Mac!$A:$A,Output_Mac!M:M,""),
_xlpm.MyAuditVal,_xlfn.XLOOKUP($A375,My_Audit!$A:$A,My_Audit!L:L,""),
_xlfn.IFS(_xlpm.MyAuditVal&lt;&gt;"",UPPER(_xlpm.MyAuditVal),_xlpm.MacVal&lt;&gt;"",_xlpm.MacVal,_xlpm.CSVVal&lt;&gt;"",_xlpm.CSVVal
)),"")</f>
        <v/>
      </c>
      <c r="N375" s="40"/>
      <c r="O375" s="40" t="str">
        <f>_xlfn.LET(
    _xlpm.CSVVal, _xlfn.XLOOKUP($A375, CSV!$A:$A, CSV!AA:AA, ""),
    _xlpm.MacVal, _xlfn.XLOOKUP($A375, Output_Mac!$A:$A, Output_Mac!S:S, ""),
    _xlpm.MyAuditVal, _xlfn.XLOOKUP($A375, My_Audit!$A:$A, My_Audit!P:P, ""),
    _xlfn.TEXTJOIN(", ", TRUE, _xlpm.MyAuditVal, _xlpm.MacVal, _xlpm.CSVVal)
)</f>
        <v/>
      </c>
      <c r="P375" s="40" t="str" cm="1">
        <f t="array" ref="P375">IFERROR(_xlfn.LET(
_xlpm.CSVVal,_xlfn.XLOOKUP($A375,CSV!$A:$A,CSV!AB:AB,""),
_xlpm.MacVal,_xlfn.XLOOKUP($A375,Output_Mac!$A:$A,Output_Mac!T:T,""),
_xlpm.MyAuditVal,_xlfn.XLOOKUP($A375,My_Audit!$A:$A,My_Audit!Q:Q,""),
_xlfn.IFS(_xlpm.MyAuditVal&lt;&gt;"",UPPER(_xlpm.MyAuditVal),_xlpm.MacVal&lt;&gt;"",_xlpm.MacVal,_xlpm.CSVVal&lt;&gt;"",_xlpm.CSVVal
)),"No")</f>
        <v>No</v>
      </c>
      <c r="Q375" s="40" t="str" cm="1">
        <f t="array" ref="Q375">IFERROR(_xlfn.LET(
_xlpm.CSVVal,_xlfn.XLOOKUP($A375,CSV!$A:$A,CSV!AC:AC,""),
_xlpm.MacVal,_xlfn.XLOOKUP($A375,Output_Mac!$A:$A,Output_Mac!U:U,""),
_xlpm.MyAuditVal,_xlfn.XLOOKUP($A375,My_Audit!$A:$A,My_Audit!R:R,""),
_xlfn.IFS(_xlpm.MyAuditVal&lt;&gt;"",UPPER(_xlpm.MyAuditVal),_xlpm.MacVal&lt;&gt;"",_xlpm.MacVal,_xlpm.CSVVal&lt;&gt;"",_xlpm.CSVVal
)),"")</f>
        <v/>
      </c>
      <c r="R375" s="40"/>
      <c r="S375" s="40"/>
      <c r="T375" s="40"/>
      <c r="U375" s="40"/>
      <c r="V375" s="40"/>
      <c r="W375" s="40"/>
      <c r="X375" s="41" t="str">
        <f>_xlfn.LET(
    _xlpm.MacVal, _xlfn.XLOOKUP($A375, Output_Mac!$A:$A, Output_Mac!AB:AB, ""),
    _xlpm.MyAuditVal, _xlfn.XLOOKUP($A375, My_Audit!$A:$A, My_Audit!N:N, ""),
    _xlfn.TEXTJOIN(", ", TRUE, _xlpm.MyAuditVal, _xlpm.MacVal)
)</f>
        <v/>
      </c>
    </row>
    <row r="376" spans="1:24">
      <c r="A376" s="40" t="str">
        <f>_xlfn.TEXTJOIN("",TRUE,Input!$B$2,ROW(My_Audit!A375))</f>
        <v>X375</v>
      </c>
      <c r="B376" s="40" t="str">
        <f>_xlfn.TEXTJOIN("-",TRUE,"ITD",Input!$A$2,A376)</f>
        <v>ITD-X375</v>
      </c>
      <c r="C376" s="40" t="str" cm="1">
        <f t="array" ref="C376">IFERROR(_xlfn.LET(
_xlpm.CSVVal,_xlfn.XLOOKUP($A376,CSV!$A:$A,CSV!B:B,""),
_xlpm.MacVal,_xlfn.XLOOKUP($A376,Output_Mac!$A:$A,Output_Mac!B:B,""),
_xlpm.MyAuditVal,_xlfn.XLOOKUP($A376,My_Audit!$A:$A,My_Audit!B:B,""),
_xlfn.IFS(_xlpm.MyAuditVal&lt;&gt;"",UPPER(_xlpm.MyAuditVal),_xlpm.MacVal&lt;&gt;"",_xlpm.MacVal,_xlpm.CSVVal&lt;&gt;"",_xlpm.CSVVal
)),"")</f>
        <v/>
      </c>
      <c r="D376" s="40" t="str" cm="1">
        <f t="array" ref="D376">IFERROR(_xlfn.LET(
_xlpm.CSVVal,_xlfn.XLOOKUP($A376,CSV!$A:$A,CSV!D:D,""),
_xlpm.MacVal,_xlfn.XLOOKUP($A376,Output_Mac!$A:$A,Output_Mac!C:C,""),
_xlpm.MyAuditVal,_xlfn.XLOOKUP($A376,My_Audit!$A:$A,My_Audit!C:C,""),
_xlfn.IFS(_xlpm.MyAuditVal&lt;&gt;"",_xlpm.MyAuditVal,_xlpm.MacVal&lt;&gt;"",_xlpm.MacVal,_xlpm.CSVVal&lt;&gt;"",_xlpm.CSVVal
)),"")</f>
        <v/>
      </c>
      <c r="E376" s="40">
        <f>_xlfn.XLOOKUP(A376,My_Audit!A:A,My_Audit!D:D,"")</f>
        <v>0</v>
      </c>
      <c r="F376" s="40" t="str" cm="1">
        <f t="array" ref="F376">IFERROR(_xlfn.LET(
_xlpm.CSVVal,_xlfn.XLOOKUP($A376,CSV!$A:$A,CSV!F:F,""),
_xlpm.MacVal,_xlfn.XLOOKUP($A376,Output_Mac!$A:$A,Output_Mac!E:E,""),
_xlpm.MyAuditVal,_xlfn.XLOOKUP($A376,My_Audit!$A:$A,My_Audit!E:E,""),
_xlfn.IFS(_xlpm.MyAuditVal&lt;&gt;"",_xlpm.MyAuditVal,_xlpm.MacVal&lt;&gt;"",_xlpm.MacVal,_xlpm.CSVVal&lt;&gt;"",_xlpm.CSVVal
)),"")</f>
        <v/>
      </c>
      <c r="G376" s="40" t="str" cm="1">
        <f t="array" ref="G376">IFERROR(_xlfn.LET(
_xlpm.CSVVal,_xlfn.XLOOKUP($A376,CSV!$A:$A,CSV!G:G,""),
_xlpm.MacVal,_xlfn.XLOOKUP($A376,Output_Mac!$A:$A,Output_Mac!F:F,""),
_xlpm.MyAuditVal,_xlfn.XLOOKUP($A376,My_Audit!$A:$A,My_Audit!F:F,""),
_xlfn.IFS(_xlpm.MyAuditVal&lt;&gt;"",_xlpm.MyAuditVal,_xlpm.MacVal&lt;&gt;"",_xlpm.MacVal,_xlpm.CSVVal&lt;&gt;"",PROPER(_xlpm.CSVVal)
)),"")</f>
        <v/>
      </c>
      <c r="H376" s="40" t="str" cm="1">
        <f t="array" ref="H376">IFERROR(_xlfn.LET(
_xlpm.CSVVal,_xlfn.XLOOKUP($A376,CSV!$A:$A,CSV!H:H,""),
_xlpm.MacVal,_xlfn.XLOOKUP($A376,Output_Mac!$A:$A,Output_Mac!H:H,""),
_xlpm.MyAuditVal,_xlfn.XLOOKUP($A376,My_Audit!$A:$A,My_Audit!G:G,""),
_xlfn.IFS(_xlpm.MyAuditVal&lt;&gt;"",_xlpm.MyAuditVal,_xlpm.MacVal&lt;&gt;"",_xlpm.MacVal,_xlpm.CSVVal&lt;&gt;"",_xlpm.CSVVal
)),"")</f>
        <v/>
      </c>
      <c r="I376" s="40" t="str">
        <f>_xlfn.XLOOKUP(A376,Output_Mac!A:A,Output_Mac!I:I,"")</f>
        <v/>
      </c>
      <c r="J376" s="40" t="str" cm="1">
        <f t="array" ref="J376">IFERROR(_xlfn.LET(
_xlpm.CSVVal,_xlfn.XLOOKUP($A376,CSV!$A:$A,CSV!I:I,""),
_xlpm.MacVal,_xlfn.XLOOKUP($A376,Output_Mac!$A:$A,Output_Mac!J:J,""),
_xlpm.MyAuditVal,_xlfn.XLOOKUP($A376,My_Audit!$A:$A,My_Audit!I:I,""),
_xlfn.IFS(_xlpm.MyAuditVal&lt;&gt;"",UPPER(_xlpm.MyAuditVal),_xlpm.MacVal&lt;&gt;"",_xlpm.MacVal,_xlpm.CSVVal&lt;&gt;"",_xlpm.CSVVal
)),"")</f>
        <v/>
      </c>
      <c r="K376" s="40" t="str" cm="1">
        <f t="array" ref="K376">IFERROR(_xlfn.LET(
_xlpm.CSVVal,_xlfn.XLOOKUP($A376,CSV!$A:$A,CSV!K:K,""),
_xlpm.MacVal,_xlfn.XLOOKUP($A376,Output_Mac!$A:$A,Output_Mac!K:K,""),
_xlpm.MyAuditVal,_xlfn.XLOOKUP($A376,My_Audit!$A:$A,My_Audit!J:J,""),
_xlfn.IFS(_xlpm.MyAuditVal&lt;&gt;"",UPPER(_xlpm.MyAuditVal),_xlpm.MacVal&lt;&gt;"",_xlpm.MacVal,_xlpm.CSVVal&lt;&gt;"",_xlpm.CSVVal
)),"")</f>
        <v/>
      </c>
      <c r="L376" s="40" t="str" cm="1">
        <f t="array" ref="L376">IFERROR(_xlfn.LET(
_xlpm.CSVVal,_xlfn.XLOOKUP($A376,CSV!$A:$A,CSV!P:P,""),
_xlpm.MacVal,_xlfn.XLOOKUP($A376,Output_Mac!$A:$A,Output_Mac!L:L,""),
_xlpm.MyAuditVal,_xlfn.XLOOKUP($A376,My_Audit!$A:$A,My_Audit!K:K,""),
_xlfn.IFS(_xlpm.MyAuditVal&lt;&gt;"",UPPER(_xlpm.MyAuditVal),_xlpm.MacVal&lt;&gt;"",_xlpm.MacVal,_xlpm.CSVVal&lt;&gt;"",_xlpm.CSVVal
)),"")</f>
        <v/>
      </c>
      <c r="M376" s="40" t="str" cm="1">
        <f t="array" ref="M376">IFERROR(_xlfn.LET(
_xlpm.CSVVal,_xlfn.XLOOKUP($A376,CSV!$A:$A,CSV!Q:Q,""),
_xlpm.MacVal,_xlfn.XLOOKUP($A376,Output_Mac!$A:$A,Output_Mac!M:M,""),
_xlpm.MyAuditVal,_xlfn.XLOOKUP($A376,My_Audit!$A:$A,My_Audit!L:L,""),
_xlfn.IFS(_xlpm.MyAuditVal&lt;&gt;"",UPPER(_xlpm.MyAuditVal),_xlpm.MacVal&lt;&gt;"",_xlpm.MacVal,_xlpm.CSVVal&lt;&gt;"",_xlpm.CSVVal
)),"")</f>
        <v/>
      </c>
      <c r="N376" s="40"/>
      <c r="O376" s="40" t="str">
        <f>_xlfn.LET(
    _xlpm.CSVVal, _xlfn.XLOOKUP($A376, CSV!$A:$A, CSV!AA:AA, ""),
    _xlpm.MacVal, _xlfn.XLOOKUP($A376, Output_Mac!$A:$A, Output_Mac!S:S, ""),
    _xlpm.MyAuditVal, _xlfn.XLOOKUP($A376, My_Audit!$A:$A, My_Audit!P:P, ""),
    _xlfn.TEXTJOIN(", ", TRUE, _xlpm.MyAuditVal, _xlpm.MacVal, _xlpm.CSVVal)
)</f>
        <v/>
      </c>
      <c r="P376" s="40" t="str" cm="1">
        <f t="array" ref="P376">IFERROR(_xlfn.LET(
_xlpm.CSVVal,_xlfn.XLOOKUP($A376,CSV!$A:$A,CSV!AB:AB,""),
_xlpm.MacVal,_xlfn.XLOOKUP($A376,Output_Mac!$A:$A,Output_Mac!T:T,""),
_xlpm.MyAuditVal,_xlfn.XLOOKUP($A376,My_Audit!$A:$A,My_Audit!Q:Q,""),
_xlfn.IFS(_xlpm.MyAuditVal&lt;&gt;"",UPPER(_xlpm.MyAuditVal),_xlpm.MacVal&lt;&gt;"",_xlpm.MacVal,_xlpm.CSVVal&lt;&gt;"",_xlpm.CSVVal
)),"No")</f>
        <v>No</v>
      </c>
      <c r="Q376" s="40" t="str" cm="1">
        <f t="array" ref="Q376">IFERROR(_xlfn.LET(
_xlpm.CSVVal,_xlfn.XLOOKUP($A376,CSV!$A:$A,CSV!AC:AC,""),
_xlpm.MacVal,_xlfn.XLOOKUP($A376,Output_Mac!$A:$A,Output_Mac!U:U,""),
_xlpm.MyAuditVal,_xlfn.XLOOKUP($A376,My_Audit!$A:$A,My_Audit!R:R,""),
_xlfn.IFS(_xlpm.MyAuditVal&lt;&gt;"",UPPER(_xlpm.MyAuditVal),_xlpm.MacVal&lt;&gt;"",_xlpm.MacVal,_xlpm.CSVVal&lt;&gt;"",_xlpm.CSVVal
)),"")</f>
        <v/>
      </c>
      <c r="R376" s="40"/>
      <c r="S376" s="40"/>
      <c r="T376" s="40"/>
      <c r="U376" s="40"/>
      <c r="V376" s="40"/>
      <c r="W376" s="40"/>
      <c r="X376" s="41" t="str">
        <f>_xlfn.LET(
    _xlpm.MacVal, _xlfn.XLOOKUP($A376, Output_Mac!$A:$A, Output_Mac!AB:AB, ""),
    _xlpm.MyAuditVal, _xlfn.XLOOKUP($A376, My_Audit!$A:$A, My_Audit!N:N, ""),
    _xlfn.TEXTJOIN(", ", TRUE, _xlpm.MyAuditVal, _xlpm.MacVal)
)</f>
        <v/>
      </c>
    </row>
    <row r="377" spans="1:24">
      <c r="A377" s="40" t="str">
        <f>_xlfn.TEXTJOIN("",TRUE,Input!$B$2,ROW(My_Audit!A376))</f>
        <v>X376</v>
      </c>
      <c r="B377" s="40" t="str">
        <f>_xlfn.TEXTJOIN("-",TRUE,"ITD",Input!$A$2,A377)</f>
        <v>ITD-X376</v>
      </c>
      <c r="C377" s="40" t="str" cm="1">
        <f t="array" ref="C377">IFERROR(_xlfn.LET(
_xlpm.CSVVal,_xlfn.XLOOKUP($A377,CSV!$A:$A,CSV!B:B,""),
_xlpm.MacVal,_xlfn.XLOOKUP($A377,Output_Mac!$A:$A,Output_Mac!B:B,""),
_xlpm.MyAuditVal,_xlfn.XLOOKUP($A377,My_Audit!$A:$A,My_Audit!B:B,""),
_xlfn.IFS(_xlpm.MyAuditVal&lt;&gt;"",UPPER(_xlpm.MyAuditVal),_xlpm.MacVal&lt;&gt;"",_xlpm.MacVal,_xlpm.CSVVal&lt;&gt;"",_xlpm.CSVVal
)),"")</f>
        <v/>
      </c>
      <c r="D377" s="40" t="str" cm="1">
        <f t="array" ref="D377">IFERROR(_xlfn.LET(
_xlpm.CSVVal,_xlfn.XLOOKUP($A377,CSV!$A:$A,CSV!D:D,""),
_xlpm.MacVal,_xlfn.XLOOKUP($A377,Output_Mac!$A:$A,Output_Mac!C:C,""),
_xlpm.MyAuditVal,_xlfn.XLOOKUP($A377,My_Audit!$A:$A,My_Audit!C:C,""),
_xlfn.IFS(_xlpm.MyAuditVal&lt;&gt;"",_xlpm.MyAuditVal,_xlpm.MacVal&lt;&gt;"",_xlpm.MacVal,_xlpm.CSVVal&lt;&gt;"",_xlpm.CSVVal
)),"")</f>
        <v/>
      </c>
      <c r="E377" s="40">
        <f>_xlfn.XLOOKUP(A377,My_Audit!A:A,My_Audit!D:D,"")</f>
        <v>0</v>
      </c>
      <c r="F377" s="40" t="str" cm="1">
        <f t="array" ref="F377">IFERROR(_xlfn.LET(
_xlpm.CSVVal,_xlfn.XLOOKUP($A377,CSV!$A:$A,CSV!F:F,""),
_xlpm.MacVal,_xlfn.XLOOKUP($A377,Output_Mac!$A:$A,Output_Mac!E:E,""),
_xlpm.MyAuditVal,_xlfn.XLOOKUP($A377,My_Audit!$A:$A,My_Audit!E:E,""),
_xlfn.IFS(_xlpm.MyAuditVal&lt;&gt;"",_xlpm.MyAuditVal,_xlpm.MacVal&lt;&gt;"",_xlpm.MacVal,_xlpm.CSVVal&lt;&gt;"",_xlpm.CSVVal
)),"")</f>
        <v/>
      </c>
      <c r="G377" s="40" t="str" cm="1">
        <f t="array" ref="G377">IFERROR(_xlfn.LET(
_xlpm.CSVVal,_xlfn.XLOOKUP($A377,CSV!$A:$A,CSV!G:G,""),
_xlpm.MacVal,_xlfn.XLOOKUP($A377,Output_Mac!$A:$A,Output_Mac!F:F,""),
_xlpm.MyAuditVal,_xlfn.XLOOKUP($A377,My_Audit!$A:$A,My_Audit!F:F,""),
_xlfn.IFS(_xlpm.MyAuditVal&lt;&gt;"",_xlpm.MyAuditVal,_xlpm.MacVal&lt;&gt;"",_xlpm.MacVal,_xlpm.CSVVal&lt;&gt;"",PROPER(_xlpm.CSVVal)
)),"")</f>
        <v/>
      </c>
      <c r="H377" s="40" t="str" cm="1">
        <f t="array" ref="H377">IFERROR(_xlfn.LET(
_xlpm.CSVVal,_xlfn.XLOOKUP($A377,CSV!$A:$A,CSV!H:H,""),
_xlpm.MacVal,_xlfn.XLOOKUP($A377,Output_Mac!$A:$A,Output_Mac!H:H,""),
_xlpm.MyAuditVal,_xlfn.XLOOKUP($A377,My_Audit!$A:$A,My_Audit!G:G,""),
_xlfn.IFS(_xlpm.MyAuditVal&lt;&gt;"",_xlpm.MyAuditVal,_xlpm.MacVal&lt;&gt;"",_xlpm.MacVal,_xlpm.CSVVal&lt;&gt;"",_xlpm.CSVVal
)),"")</f>
        <v/>
      </c>
      <c r="I377" s="40" t="str">
        <f>_xlfn.XLOOKUP(A377,Output_Mac!A:A,Output_Mac!I:I,"")</f>
        <v/>
      </c>
      <c r="J377" s="40" t="str" cm="1">
        <f t="array" ref="J377">IFERROR(_xlfn.LET(
_xlpm.CSVVal,_xlfn.XLOOKUP($A377,CSV!$A:$A,CSV!I:I,""),
_xlpm.MacVal,_xlfn.XLOOKUP($A377,Output_Mac!$A:$A,Output_Mac!J:J,""),
_xlpm.MyAuditVal,_xlfn.XLOOKUP($A377,My_Audit!$A:$A,My_Audit!I:I,""),
_xlfn.IFS(_xlpm.MyAuditVal&lt;&gt;"",UPPER(_xlpm.MyAuditVal),_xlpm.MacVal&lt;&gt;"",_xlpm.MacVal,_xlpm.CSVVal&lt;&gt;"",_xlpm.CSVVal
)),"")</f>
        <v/>
      </c>
      <c r="K377" s="40" t="str" cm="1">
        <f t="array" ref="K377">IFERROR(_xlfn.LET(
_xlpm.CSVVal,_xlfn.XLOOKUP($A377,CSV!$A:$A,CSV!K:K,""),
_xlpm.MacVal,_xlfn.XLOOKUP($A377,Output_Mac!$A:$A,Output_Mac!K:K,""),
_xlpm.MyAuditVal,_xlfn.XLOOKUP($A377,My_Audit!$A:$A,My_Audit!J:J,""),
_xlfn.IFS(_xlpm.MyAuditVal&lt;&gt;"",UPPER(_xlpm.MyAuditVal),_xlpm.MacVal&lt;&gt;"",_xlpm.MacVal,_xlpm.CSVVal&lt;&gt;"",_xlpm.CSVVal
)),"")</f>
        <v/>
      </c>
      <c r="L377" s="40" t="str" cm="1">
        <f t="array" ref="L377">IFERROR(_xlfn.LET(
_xlpm.CSVVal,_xlfn.XLOOKUP($A377,CSV!$A:$A,CSV!P:P,""),
_xlpm.MacVal,_xlfn.XLOOKUP($A377,Output_Mac!$A:$A,Output_Mac!L:L,""),
_xlpm.MyAuditVal,_xlfn.XLOOKUP($A377,My_Audit!$A:$A,My_Audit!K:K,""),
_xlfn.IFS(_xlpm.MyAuditVal&lt;&gt;"",UPPER(_xlpm.MyAuditVal),_xlpm.MacVal&lt;&gt;"",_xlpm.MacVal,_xlpm.CSVVal&lt;&gt;"",_xlpm.CSVVal
)),"")</f>
        <v/>
      </c>
      <c r="M377" s="40" t="str" cm="1">
        <f t="array" ref="M377">IFERROR(_xlfn.LET(
_xlpm.CSVVal,_xlfn.XLOOKUP($A377,CSV!$A:$A,CSV!Q:Q,""),
_xlpm.MacVal,_xlfn.XLOOKUP($A377,Output_Mac!$A:$A,Output_Mac!M:M,""),
_xlpm.MyAuditVal,_xlfn.XLOOKUP($A377,My_Audit!$A:$A,My_Audit!L:L,""),
_xlfn.IFS(_xlpm.MyAuditVal&lt;&gt;"",UPPER(_xlpm.MyAuditVal),_xlpm.MacVal&lt;&gt;"",_xlpm.MacVal,_xlpm.CSVVal&lt;&gt;"",_xlpm.CSVVal
)),"")</f>
        <v/>
      </c>
      <c r="N377" s="40"/>
      <c r="O377" s="40" t="str">
        <f>_xlfn.LET(
    _xlpm.CSVVal, _xlfn.XLOOKUP($A377, CSV!$A:$A, CSV!AA:AA, ""),
    _xlpm.MacVal, _xlfn.XLOOKUP($A377, Output_Mac!$A:$A, Output_Mac!S:S, ""),
    _xlpm.MyAuditVal, _xlfn.XLOOKUP($A377, My_Audit!$A:$A, My_Audit!P:P, ""),
    _xlfn.TEXTJOIN(", ", TRUE, _xlpm.MyAuditVal, _xlpm.MacVal, _xlpm.CSVVal)
)</f>
        <v/>
      </c>
      <c r="P377" s="40" t="str" cm="1">
        <f t="array" ref="P377">IFERROR(_xlfn.LET(
_xlpm.CSVVal,_xlfn.XLOOKUP($A377,CSV!$A:$A,CSV!AB:AB,""),
_xlpm.MacVal,_xlfn.XLOOKUP($A377,Output_Mac!$A:$A,Output_Mac!T:T,""),
_xlpm.MyAuditVal,_xlfn.XLOOKUP($A377,My_Audit!$A:$A,My_Audit!Q:Q,""),
_xlfn.IFS(_xlpm.MyAuditVal&lt;&gt;"",UPPER(_xlpm.MyAuditVal),_xlpm.MacVal&lt;&gt;"",_xlpm.MacVal,_xlpm.CSVVal&lt;&gt;"",_xlpm.CSVVal
)),"No")</f>
        <v>No</v>
      </c>
      <c r="Q377" s="40" t="str" cm="1">
        <f t="array" ref="Q377">IFERROR(_xlfn.LET(
_xlpm.CSVVal,_xlfn.XLOOKUP($A377,CSV!$A:$A,CSV!AC:AC,""),
_xlpm.MacVal,_xlfn.XLOOKUP($A377,Output_Mac!$A:$A,Output_Mac!U:U,""),
_xlpm.MyAuditVal,_xlfn.XLOOKUP($A377,My_Audit!$A:$A,My_Audit!R:R,""),
_xlfn.IFS(_xlpm.MyAuditVal&lt;&gt;"",UPPER(_xlpm.MyAuditVal),_xlpm.MacVal&lt;&gt;"",_xlpm.MacVal,_xlpm.CSVVal&lt;&gt;"",_xlpm.CSVVal
)),"")</f>
        <v/>
      </c>
      <c r="R377" s="40"/>
      <c r="S377" s="40"/>
      <c r="T377" s="40"/>
      <c r="U377" s="40"/>
      <c r="V377" s="40"/>
      <c r="W377" s="40"/>
      <c r="X377" s="41" t="str">
        <f>_xlfn.LET(
    _xlpm.MacVal, _xlfn.XLOOKUP($A377, Output_Mac!$A:$A, Output_Mac!AB:AB, ""),
    _xlpm.MyAuditVal, _xlfn.XLOOKUP($A377, My_Audit!$A:$A, My_Audit!N:N, ""),
    _xlfn.TEXTJOIN(", ", TRUE, _xlpm.MyAuditVal, _xlpm.MacVal)
)</f>
        <v/>
      </c>
    </row>
    <row r="378" spans="1:24">
      <c r="A378" s="40" t="str">
        <f>_xlfn.TEXTJOIN("",TRUE,Input!$B$2,ROW(My_Audit!A377))</f>
        <v>X377</v>
      </c>
      <c r="B378" s="40" t="str">
        <f>_xlfn.TEXTJOIN("-",TRUE,"ITD",Input!$A$2,A378)</f>
        <v>ITD-X377</v>
      </c>
      <c r="C378" s="40" t="str" cm="1">
        <f t="array" ref="C378">IFERROR(_xlfn.LET(
_xlpm.CSVVal,_xlfn.XLOOKUP($A378,CSV!$A:$A,CSV!B:B,""),
_xlpm.MacVal,_xlfn.XLOOKUP($A378,Output_Mac!$A:$A,Output_Mac!B:B,""),
_xlpm.MyAuditVal,_xlfn.XLOOKUP($A378,My_Audit!$A:$A,My_Audit!B:B,""),
_xlfn.IFS(_xlpm.MyAuditVal&lt;&gt;"",UPPER(_xlpm.MyAuditVal),_xlpm.MacVal&lt;&gt;"",_xlpm.MacVal,_xlpm.CSVVal&lt;&gt;"",_xlpm.CSVVal
)),"")</f>
        <v/>
      </c>
      <c r="D378" s="40" t="str" cm="1">
        <f t="array" ref="D378">IFERROR(_xlfn.LET(
_xlpm.CSVVal,_xlfn.XLOOKUP($A378,CSV!$A:$A,CSV!D:D,""),
_xlpm.MacVal,_xlfn.XLOOKUP($A378,Output_Mac!$A:$A,Output_Mac!C:C,""),
_xlpm.MyAuditVal,_xlfn.XLOOKUP($A378,My_Audit!$A:$A,My_Audit!C:C,""),
_xlfn.IFS(_xlpm.MyAuditVal&lt;&gt;"",_xlpm.MyAuditVal,_xlpm.MacVal&lt;&gt;"",_xlpm.MacVal,_xlpm.CSVVal&lt;&gt;"",_xlpm.CSVVal
)),"")</f>
        <v/>
      </c>
      <c r="E378" s="40">
        <f>_xlfn.XLOOKUP(A378,My_Audit!A:A,My_Audit!D:D,"")</f>
        <v>0</v>
      </c>
      <c r="F378" s="40" t="str" cm="1">
        <f t="array" ref="F378">IFERROR(_xlfn.LET(
_xlpm.CSVVal,_xlfn.XLOOKUP($A378,CSV!$A:$A,CSV!F:F,""),
_xlpm.MacVal,_xlfn.XLOOKUP($A378,Output_Mac!$A:$A,Output_Mac!E:E,""),
_xlpm.MyAuditVal,_xlfn.XLOOKUP($A378,My_Audit!$A:$A,My_Audit!E:E,""),
_xlfn.IFS(_xlpm.MyAuditVal&lt;&gt;"",_xlpm.MyAuditVal,_xlpm.MacVal&lt;&gt;"",_xlpm.MacVal,_xlpm.CSVVal&lt;&gt;"",_xlpm.CSVVal
)),"")</f>
        <v/>
      </c>
      <c r="G378" s="40" t="str" cm="1">
        <f t="array" ref="G378">IFERROR(_xlfn.LET(
_xlpm.CSVVal,_xlfn.XLOOKUP($A378,CSV!$A:$A,CSV!G:G,""),
_xlpm.MacVal,_xlfn.XLOOKUP($A378,Output_Mac!$A:$A,Output_Mac!F:F,""),
_xlpm.MyAuditVal,_xlfn.XLOOKUP($A378,My_Audit!$A:$A,My_Audit!F:F,""),
_xlfn.IFS(_xlpm.MyAuditVal&lt;&gt;"",_xlpm.MyAuditVal,_xlpm.MacVal&lt;&gt;"",_xlpm.MacVal,_xlpm.CSVVal&lt;&gt;"",PROPER(_xlpm.CSVVal)
)),"")</f>
        <v/>
      </c>
      <c r="H378" s="40" t="str" cm="1">
        <f t="array" ref="H378">IFERROR(_xlfn.LET(
_xlpm.CSVVal,_xlfn.XLOOKUP($A378,CSV!$A:$A,CSV!H:H,""),
_xlpm.MacVal,_xlfn.XLOOKUP($A378,Output_Mac!$A:$A,Output_Mac!H:H,""),
_xlpm.MyAuditVal,_xlfn.XLOOKUP($A378,My_Audit!$A:$A,My_Audit!G:G,""),
_xlfn.IFS(_xlpm.MyAuditVal&lt;&gt;"",_xlpm.MyAuditVal,_xlpm.MacVal&lt;&gt;"",_xlpm.MacVal,_xlpm.CSVVal&lt;&gt;"",_xlpm.CSVVal
)),"")</f>
        <v/>
      </c>
      <c r="I378" s="40" t="str">
        <f>_xlfn.XLOOKUP(A378,Output_Mac!A:A,Output_Mac!I:I,"")</f>
        <v/>
      </c>
      <c r="J378" s="40" t="str" cm="1">
        <f t="array" ref="J378">IFERROR(_xlfn.LET(
_xlpm.CSVVal,_xlfn.XLOOKUP($A378,CSV!$A:$A,CSV!I:I,""),
_xlpm.MacVal,_xlfn.XLOOKUP($A378,Output_Mac!$A:$A,Output_Mac!J:J,""),
_xlpm.MyAuditVal,_xlfn.XLOOKUP($A378,My_Audit!$A:$A,My_Audit!I:I,""),
_xlfn.IFS(_xlpm.MyAuditVal&lt;&gt;"",UPPER(_xlpm.MyAuditVal),_xlpm.MacVal&lt;&gt;"",_xlpm.MacVal,_xlpm.CSVVal&lt;&gt;"",_xlpm.CSVVal
)),"")</f>
        <v/>
      </c>
      <c r="K378" s="40" t="str" cm="1">
        <f t="array" ref="K378">IFERROR(_xlfn.LET(
_xlpm.CSVVal,_xlfn.XLOOKUP($A378,CSV!$A:$A,CSV!K:K,""),
_xlpm.MacVal,_xlfn.XLOOKUP($A378,Output_Mac!$A:$A,Output_Mac!K:K,""),
_xlpm.MyAuditVal,_xlfn.XLOOKUP($A378,My_Audit!$A:$A,My_Audit!J:J,""),
_xlfn.IFS(_xlpm.MyAuditVal&lt;&gt;"",UPPER(_xlpm.MyAuditVal),_xlpm.MacVal&lt;&gt;"",_xlpm.MacVal,_xlpm.CSVVal&lt;&gt;"",_xlpm.CSVVal
)),"")</f>
        <v/>
      </c>
      <c r="L378" s="40" t="str" cm="1">
        <f t="array" ref="L378">IFERROR(_xlfn.LET(
_xlpm.CSVVal,_xlfn.XLOOKUP($A378,CSV!$A:$A,CSV!P:P,""),
_xlpm.MacVal,_xlfn.XLOOKUP($A378,Output_Mac!$A:$A,Output_Mac!L:L,""),
_xlpm.MyAuditVal,_xlfn.XLOOKUP($A378,My_Audit!$A:$A,My_Audit!K:K,""),
_xlfn.IFS(_xlpm.MyAuditVal&lt;&gt;"",UPPER(_xlpm.MyAuditVal),_xlpm.MacVal&lt;&gt;"",_xlpm.MacVal,_xlpm.CSVVal&lt;&gt;"",_xlpm.CSVVal
)),"")</f>
        <v/>
      </c>
      <c r="M378" s="40" t="str" cm="1">
        <f t="array" ref="M378">IFERROR(_xlfn.LET(
_xlpm.CSVVal,_xlfn.XLOOKUP($A378,CSV!$A:$A,CSV!Q:Q,""),
_xlpm.MacVal,_xlfn.XLOOKUP($A378,Output_Mac!$A:$A,Output_Mac!M:M,""),
_xlpm.MyAuditVal,_xlfn.XLOOKUP($A378,My_Audit!$A:$A,My_Audit!L:L,""),
_xlfn.IFS(_xlpm.MyAuditVal&lt;&gt;"",UPPER(_xlpm.MyAuditVal),_xlpm.MacVal&lt;&gt;"",_xlpm.MacVal,_xlpm.CSVVal&lt;&gt;"",_xlpm.CSVVal
)),"")</f>
        <v/>
      </c>
      <c r="N378" s="40"/>
      <c r="O378" s="40" t="str">
        <f>_xlfn.LET(
    _xlpm.CSVVal, _xlfn.XLOOKUP($A378, CSV!$A:$A, CSV!AA:AA, ""),
    _xlpm.MacVal, _xlfn.XLOOKUP($A378, Output_Mac!$A:$A, Output_Mac!S:S, ""),
    _xlpm.MyAuditVal, _xlfn.XLOOKUP($A378, My_Audit!$A:$A, My_Audit!P:P, ""),
    _xlfn.TEXTJOIN(", ", TRUE, _xlpm.MyAuditVal, _xlpm.MacVal, _xlpm.CSVVal)
)</f>
        <v/>
      </c>
      <c r="P378" s="40" t="str" cm="1">
        <f t="array" ref="P378">IFERROR(_xlfn.LET(
_xlpm.CSVVal,_xlfn.XLOOKUP($A378,CSV!$A:$A,CSV!AB:AB,""),
_xlpm.MacVal,_xlfn.XLOOKUP($A378,Output_Mac!$A:$A,Output_Mac!T:T,""),
_xlpm.MyAuditVal,_xlfn.XLOOKUP($A378,My_Audit!$A:$A,My_Audit!Q:Q,""),
_xlfn.IFS(_xlpm.MyAuditVal&lt;&gt;"",UPPER(_xlpm.MyAuditVal),_xlpm.MacVal&lt;&gt;"",_xlpm.MacVal,_xlpm.CSVVal&lt;&gt;"",_xlpm.CSVVal
)),"No")</f>
        <v>No</v>
      </c>
      <c r="Q378" s="40" t="str" cm="1">
        <f t="array" ref="Q378">IFERROR(_xlfn.LET(
_xlpm.CSVVal,_xlfn.XLOOKUP($A378,CSV!$A:$A,CSV!AC:AC,""),
_xlpm.MacVal,_xlfn.XLOOKUP($A378,Output_Mac!$A:$A,Output_Mac!U:U,""),
_xlpm.MyAuditVal,_xlfn.XLOOKUP($A378,My_Audit!$A:$A,My_Audit!R:R,""),
_xlfn.IFS(_xlpm.MyAuditVal&lt;&gt;"",UPPER(_xlpm.MyAuditVal),_xlpm.MacVal&lt;&gt;"",_xlpm.MacVal,_xlpm.CSVVal&lt;&gt;"",_xlpm.CSVVal
)),"")</f>
        <v/>
      </c>
      <c r="R378" s="40"/>
      <c r="S378" s="40"/>
      <c r="T378" s="40"/>
      <c r="U378" s="40"/>
      <c r="V378" s="40"/>
      <c r="W378" s="40"/>
      <c r="X378" s="41" t="str">
        <f>_xlfn.LET(
    _xlpm.MacVal, _xlfn.XLOOKUP($A378, Output_Mac!$A:$A, Output_Mac!AB:AB, ""),
    _xlpm.MyAuditVal, _xlfn.XLOOKUP($A378, My_Audit!$A:$A, My_Audit!N:N, ""),
    _xlfn.TEXTJOIN(", ", TRUE, _xlpm.MyAuditVal, _xlpm.MacVal)
)</f>
        <v/>
      </c>
    </row>
    <row r="379" spans="1:24">
      <c r="A379" s="40" t="str">
        <f>_xlfn.TEXTJOIN("",TRUE,Input!$B$2,ROW(My_Audit!A378))</f>
        <v>X378</v>
      </c>
      <c r="B379" s="40" t="str">
        <f>_xlfn.TEXTJOIN("-",TRUE,"ITD",Input!$A$2,A379)</f>
        <v>ITD-X378</v>
      </c>
      <c r="C379" s="40" t="str" cm="1">
        <f t="array" ref="C379">IFERROR(_xlfn.LET(
_xlpm.CSVVal,_xlfn.XLOOKUP($A379,CSV!$A:$A,CSV!B:B,""),
_xlpm.MacVal,_xlfn.XLOOKUP($A379,Output_Mac!$A:$A,Output_Mac!B:B,""),
_xlpm.MyAuditVal,_xlfn.XLOOKUP($A379,My_Audit!$A:$A,My_Audit!B:B,""),
_xlfn.IFS(_xlpm.MyAuditVal&lt;&gt;"",UPPER(_xlpm.MyAuditVal),_xlpm.MacVal&lt;&gt;"",_xlpm.MacVal,_xlpm.CSVVal&lt;&gt;"",_xlpm.CSVVal
)),"")</f>
        <v/>
      </c>
      <c r="D379" s="40" t="str" cm="1">
        <f t="array" ref="D379">IFERROR(_xlfn.LET(
_xlpm.CSVVal,_xlfn.XLOOKUP($A379,CSV!$A:$A,CSV!D:D,""),
_xlpm.MacVal,_xlfn.XLOOKUP($A379,Output_Mac!$A:$A,Output_Mac!C:C,""),
_xlpm.MyAuditVal,_xlfn.XLOOKUP($A379,My_Audit!$A:$A,My_Audit!C:C,""),
_xlfn.IFS(_xlpm.MyAuditVal&lt;&gt;"",_xlpm.MyAuditVal,_xlpm.MacVal&lt;&gt;"",_xlpm.MacVal,_xlpm.CSVVal&lt;&gt;"",_xlpm.CSVVal
)),"")</f>
        <v/>
      </c>
      <c r="E379" s="40">
        <f>_xlfn.XLOOKUP(A379,My_Audit!A:A,My_Audit!D:D,"")</f>
        <v>0</v>
      </c>
      <c r="F379" s="40" t="str" cm="1">
        <f t="array" ref="F379">IFERROR(_xlfn.LET(
_xlpm.CSVVal,_xlfn.XLOOKUP($A379,CSV!$A:$A,CSV!F:F,""),
_xlpm.MacVal,_xlfn.XLOOKUP($A379,Output_Mac!$A:$A,Output_Mac!E:E,""),
_xlpm.MyAuditVal,_xlfn.XLOOKUP($A379,My_Audit!$A:$A,My_Audit!E:E,""),
_xlfn.IFS(_xlpm.MyAuditVal&lt;&gt;"",_xlpm.MyAuditVal,_xlpm.MacVal&lt;&gt;"",_xlpm.MacVal,_xlpm.CSVVal&lt;&gt;"",_xlpm.CSVVal
)),"")</f>
        <v/>
      </c>
      <c r="G379" s="40" t="str" cm="1">
        <f t="array" ref="G379">IFERROR(_xlfn.LET(
_xlpm.CSVVal,_xlfn.XLOOKUP($A379,CSV!$A:$A,CSV!G:G,""),
_xlpm.MacVal,_xlfn.XLOOKUP($A379,Output_Mac!$A:$A,Output_Mac!F:F,""),
_xlpm.MyAuditVal,_xlfn.XLOOKUP($A379,My_Audit!$A:$A,My_Audit!F:F,""),
_xlfn.IFS(_xlpm.MyAuditVal&lt;&gt;"",_xlpm.MyAuditVal,_xlpm.MacVal&lt;&gt;"",_xlpm.MacVal,_xlpm.CSVVal&lt;&gt;"",PROPER(_xlpm.CSVVal)
)),"")</f>
        <v/>
      </c>
      <c r="H379" s="40" t="str" cm="1">
        <f t="array" ref="H379">IFERROR(_xlfn.LET(
_xlpm.CSVVal,_xlfn.XLOOKUP($A379,CSV!$A:$A,CSV!H:H,""),
_xlpm.MacVal,_xlfn.XLOOKUP($A379,Output_Mac!$A:$A,Output_Mac!H:H,""),
_xlpm.MyAuditVal,_xlfn.XLOOKUP($A379,My_Audit!$A:$A,My_Audit!G:G,""),
_xlfn.IFS(_xlpm.MyAuditVal&lt;&gt;"",_xlpm.MyAuditVal,_xlpm.MacVal&lt;&gt;"",_xlpm.MacVal,_xlpm.CSVVal&lt;&gt;"",_xlpm.CSVVal
)),"")</f>
        <v/>
      </c>
      <c r="I379" s="40" t="str">
        <f>_xlfn.XLOOKUP(A379,Output_Mac!A:A,Output_Mac!I:I,"")</f>
        <v/>
      </c>
      <c r="J379" s="40" t="str" cm="1">
        <f t="array" ref="J379">IFERROR(_xlfn.LET(
_xlpm.CSVVal,_xlfn.XLOOKUP($A379,CSV!$A:$A,CSV!I:I,""),
_xlpm.MacVal,_xlfn.XLOOKUP($A379,Output_Mac!$A:$A,Output_Mac!J:J,""),
_xlpm.MyAuditVal,_xlfn.XLOOKUP($A379,My_Audit!$A:$A,My_Audit!I:I,""),
_xlfn.IFS(_xlpm.MyAuditVal&lt;&gt;"",UPPER(_xlpm.MyAuditVal),_xlpm.MacVal&lt;&gt;"",_xlpm.MacVal,_xlpm.CSVVal&lt;&gt;"",_xlpm.CSVVal
)),"")</f>
        <v/>
      </c>
      <c r="K379" s="40" t="str" cm="1">
        <f t="array" ref="K379">IFERROR(_xlfn.LET(
_xlpm.CSVVal,_xlfn.XLOOKUP($A379,CSV!$A:$A,CSV!K:K,""),
_xlpm.MacVal,_xlfn.XLOOKUP($A379,Output_Mac!$A:$A,Output_Mac!K:K,""),
_xlpm.MyAuditVal,_xlfn.XLOOKUP($A379,My_Audit!$A:$A,My_Audit!J:J,""),
_xlfn.IFS(_xlpm.MyAuditVal&lt;&gt;"",UPPER(_xlpm.MyAuditVal),_xlpm.MacVal&lt;&gt;"",_xlpm.MacVal,_xlpm.CSVVal&lt;&gt;"",_xlpm.CSVVal
)),"")</f>
        <v/>
      </c>
      <c r="L379" s="40" t="str" cm="1">
        <f t="array" ref="L379">IFERROR(_xlfn.LET(
_xlpm.CSVVal,_xlfn.XLOOKUP($A379,CSV!$A:$A,CSV!P:P,""),
_xlpm.MacVal,_xlfn.XLOOKUP($A379,Output_Mac!$A:$A,Output_Mac!L:L,""),
_xlpm.MyAuditVal,_xlfn.XLOOKUP($A379,My_Audit!$A:$A,My_Audit!K:K,""),
_xlfn.IFS(_xlpm.MyAuditVal&lt;&gt;"",UPPER(_xlpm.MyAuditVal),_xlpm.MacVal&lt;&gt;"",_xlpm.MacVal,_xlpm.CSVVal&lt;&gt;"",_xlpm.CSVVal
)),"")</f>
        <v/>
      </c>
      <c r="M379" s="40" t="str" cm="1">
        <f t="array" ref="M379">IFERROR(_xlfn.LET(
_xlpm.CSVVal,_xlfn.XLOOKUP($A379,CSV!$A:$A,CSV!Q:Q,""),
_xlpm.MacVal,_xlfn.XLOOKUP($A379,Output_Mac!$A:$A,Output_Mac!M:M,""),
_xlpm.MyAuditVal,_xlfn.XLOOKUP($A379,My_Audit!$A:$A,My_Audit!L:L,""),
_xlfn.IFS(_xlpm.MyAuditVal&lt;&gt;"",UPPER(_xlpm.MyAuditVal),_xlpm.MacVal&lt;&gt;"",_xlpm.MacVal,_xlpm.CSVVal&lt;&gt;"",_xlpm.CSVVal
)),"")</f>
        <v/>
      </c>
      <c r="N379" s="40"/>
      <c r="O379" s="40" t="str">
        <f>_xlfn.LET(
    _xlpm.CSVVal, _xlfn.XLOOKUP($A379, CSV!$A:$A, CSV!AA:AA, ""),
    _xlpm.MacVal, _xlfn.XLOOKUP($A379, Output_Mac!$A:$A, Output_Mac!S:S, ""),
    _xlpm.MyAuditVal, _xlfn.XLOOKUP($A379, My_Audit!$A:$A, My_Audit!P:P, ""),
    _xlfn.TEXTJOIN(", ", TRUE, _xlpm.MyAuditVal, _xlpm.MacVal, _xlpm.CSVVal)
)</f>
        <v/>
      </c>
      <c r="P379" s="40" t="str" cm="1">
        <f t="array" ref="P379">IFERROR(_xlfn.LET(
_xlpm.CSVVal,_xlfn.XLOOKUP($A379,CSV!$A:$A,CSV!AB:AB,""),
_xlpm.MacVal,_xlfn.XLOOKUP($A379,Output_Mac!$A:$A,Output_Mac!T:T,""),
_xlpm.MyAuditVal,_xlfn.XLOOKUP($A379,My_Audit!$A:$A,My_Audit!Q:Q,""),
_xlfn.IFS(_xlpm.MyAuditVal&lt;&gt;"",UPPER(_xlpm.MyAuditVal),_xlpm.MacVal&lt;&gt;"",_xlpm.MacVal,_xlpm.CSVVal&lt;&gt;"",_xlpm.CSVVal
)),"No")</f>
        <v>No</v>
      </c>
      <c r="Q379" s="40" t="str" cm="1">
        <f t="array" ref="Q379">IFERROR(_xlfn.LET(
_xlpm.CSVVal,_xlfn.XLOOKUP($A379,CSV!$A:$A,CSV!AC:AC,""),
_xlpm.MacVal,_xlfn.XLOOKUP($A379,Output_Mac!$A:$A,Output_Mac!U:U,""),
_xlpm.MyAuditVal,_xlfn.XLOOKUP($A379,My_Audit!$A:$A,My_Audit!R:R,""),
_xlfn.IFS(_xlpm.MyAuditVal&lt;&gt;"",UPPER(_xlpm.MyAuditVal),_xlpm.MacVal&lt;&gt;"",_xlpm.MacVal,_xlpm.CSVVal&lt;&gt;"",_xlpm.CSVVal
)),"")</f>
        <v/>
      </c>
      <c r="R379" s="40"/>
      <c r="S379" s="40"/>
      <c r="T379" s="40"/>
      <c r="U379" s="40"/>
      <c r="V379" s="40"/>
      <c r="W379" s="40"/>
      <c r="X379" s="41" t="str">
        <f>_xlfn.LET(
    _xlpm.MacVal, _xlfn.XLOOKUP($A379, Output_Mac!$A:$A, Output_Mac!AB:AB, ""),
    _xlpm.MyAuditVal, _xlfn.XLOOKUP($A379, My_Audit!$A:$A, My_Audit!N:N, ""),
    _xlfn.TEXTJOIN(", ", TRUE, _xlpm.MyAuditVal, _xlpm.MacVal)
)</f>
        <v/>
      </c>
    </row>
    <row r="380" spans="1:24">
      <c r="A380" s="40" t="str">
        <f>_xlfn.TEXTJOIN("",TRUE,Input!$B$2,ROW(My_Audit!A379))</f>
        <v>X379</v>
      </c>
      <c r="B380" s="40" t="str">
        <f>_xlfn.TEXTJOIN("-",TRUE,"ITD",Input!$A$2,A380)</f>
        <v>ITD-X379</v>
      </c>
      <c r="C380" s="40" t="str" cm="1">
        <f t="array" ref="C380">IFERROR(_xlfn.LET(
_xlpm.CSVVal,_xlfn.XLOOKUP($A380,CSV!$A:$A,CSV!B:B,""),
_xlpm.MacVal,_xlfn.XLOOKUP($A380,Output_Mac!$A:$A,Output_Mac!B:B,""),
_xlpm.MyAuditVal,_xlfn.XLOOKUP($A380,My_Audit!$A:$A,My_Audit!B:B,""),
_xlfn.IFS(_xlpm.MyAuditVal&lt;&gt;"",UPPER(_xlpm.MyAuditVal),_xlpm.MacVal&lt;&gt;"",_xlpm.MacVal,_xlpm.CSVVal&lt;&gt;"",_xlpm.CSVVal
)),"")</f>
        <v/>
      </c>
      <c r="D380" s="40" t="str" cm="1">
        <f t="array" ref="D380">IFERROR(_xlfn.LET(
_xlpm.CSVVal,_xlfn.XLOOKUP($A380,CSV!$A:$A,CSV!D:D,""),
_xlpm.MacVal,_xlfn.XLOOKUP($A380,Output_Mac!$A:$A,Output_Mac!C:C,""),
_xlpm.MyAuditVal,_xlfn.XLOOKUP($A380,My_Audit!$A:$A,My_Audit!C:C,""),
_xlfn.IFS(_xlpm.MyAuditVal&lt;&gt;"",_xlpm.MyAuditVal,_xlpm.MacVal&lt;&gt;"",_xlpm.MacVal,_xlpm.CSVVal&lt;&gt;"",_xlpm.CSVVal
)),"")</f>
        <v/>
      </c>
      <c r="E380" s="40">
        <f>_xlfn.XLOOKUP(A380,My_Audit!A:A,My_Audit!D:D,"")</f>
        <v>0</v>
      </c>
      <c r="F380" s="40" t="str" cm="1">
        <f t="array" ref="F380">IFERROR(_xlfn.LET(
_xlpm.CSVVal,_xlfn.XLOOKUP($A380,CSV!$A:$A,CSV!F:F,""),
_xlpm.MacVal,_xlfn.XLOOKUP($A380,Output_Mac!$A:$A,Output_Mac!E:E,""),
_xlpm.MyAuditVal,_xlfn.XLOOKUP($A380,My_Audit!$A:$A,My_Audit!E:E,""),
_xlfn.IFS(_xlpm.MyAuditVal&lt;&gt;"",_xlpm.MyAuditVal,_xlpm.MacVal&lt;&gt;"",_xlpm.MacVal,_xlpm.CSVVal&lt;&gt;"",_xlpm.CSVVal
)),"")</f>
        <v/>
      </c>
      <c r="G380" s="40" t="str" cm="1">
        <f t="array" ref="G380">IFERROR(_xlfn.LET(
_xlpm.CSVVal,_xlfn.XLOOKUP($A380,CSV!$A:$A,CSV!G:G,""),
_xlpm.MacVal,_xlfn.XLOOKUP($A380,Output_Mac!$A:$A,Output_Mac!F:F,""),
_xlpm.MyAuditVal,_xlfn.XLOOKUP($A380,My_Audit!$A:$A,My_Audit!F:F,""),
_xlfn.IFS(_xlpm.MyAuditVal&lt;&gt;"",_xlpm.MyAuditVal,_xlpm.MacVal&lt;&gt;"",_xlpm.MacVal,_xlpm.CSVVal&lt;&gt;"",PROPER(_xlpm.CSVVal)
)),"")</f>
        <v/>
      </c>
      <c r="H380" s="40" t="str" cm="1">
        <f t="array" ref="H380">IFERROR(_xlfn.LET(
_xlpm.CSVVal,_xlfn.XLOOKUP($A380,CSV!$A:$A,CSV!H:H,""),
_xlpm.MacVal,_xlfn.XLOOKUP($A380,Output_Mac!$A:$A,Output_Mac!H:H,""),
_xlpm.MyAuditVal,_xlfn.XLOOKUP($A380,My_Audit!$A:$A,My_Audit!G:G,""),
_xlfn.IFS(_xlpm.MyAuditVal&lt;&gt;"",_xlpm.MyAuditVal,_xlpm.MacVal&lt;&gt;"",_xlpm.MacVal,_xlpm.CSVVal&lt;&gt;"",_xlpm.CSVVal
)),"")</f>
        <v/>
      </c>
      <c r="I380" s="40" t="str">
        <f>_xlfn.XLOOKUP(A380,Output_Mac!A:A,Output_Mac!I:I,"")</f>
        <v/>
      </c>
      <c r="J380" s="40" t="str" cm="1">
        <f t="array" ref="J380">IFERROR(_xlfn.LET(
_xlpm.CSVVal,_xlfn.XLOOKUP($A380,CSV!$A:$A,CSV!I:I,""),
_xlpm.MacVal,_xlfn.XLOOKUP($A380,Output_Mac!$A:$A,Output_Mac!J:J,""),
_xlpm.MyAuditVal,_xlfn.XLOOKUP($A380,My_Audit!$A:$A,My_Audit!I:I,""),
_xlfn.IFS(_xlpm.MyAuditVal&lt;&gt;"",UPPER(_xlpm.MyAuditVal),_xlpm.MacVal&lt;&gt;"",_xlpm.MacVal,_xlpm.CSVVal&lt;&gt;"",_xlpm.CSVVal
)),"")</f>
        <v/>
      </c>
      <c r="K380" s="40" t="str" cm="1">
        <f t="array" ref="K380">IFERROR(_xlfn.LET(
_xlpm.CSVVal,_xlfn.XLOOKUP($A380,CSV!$A:$A,CSV!K:K,""),
_xlpm.MacVal,_xlfn.XLOOKUP($A380,Output_Mac!$A:$A,Output_Mac!K:K,""),
_xlpm.MyAuditVal,_xlfn.XLOOKUP($A380,My_Audit!$A:$A,My_Audit!J:J,""),
_xlfn.IFS(_xlpm.MyAuditVal&lt;&gt;"",UPPER(_xlpm.MyAuditVal),_xlpm.MacVal&lt;&gt;"",_xlpm.MacVal,_xlpm.CSVVal&lt;&gt;"",_xlpm.CSVVal
)),"")</f>
        <v/>
      </c>
      <c r="L380" s="40" t="str" cm="1">
        <f t="array" ref="L380">IFERROR(_xlfn.LET(
_xlpm.CSVVal,_xlfn.XLOOKUP($A380,CSV!$A:$A,CSV!P:P,""),
_xlpm.MacVal,_xlfn.XLOOKUP($A380,Output_Mac!$A:$A,Output_Mac!L:L,""),
_xlpm.MyAuditVal,_xlfn.XLOOKUP($A380,My_Audit!$A:$A,My_Audit!K:K,""),
_xlfn.IFS(_xlpm.MyAuditVal&lt;&gt;"",UPPER(_xlpm.MyAuditVal),_xlpm.MacVal&lt;&gt;"",_xlpm.MacVal,_xlpm.CSVVal&lt;&gt;"",_xlpm.CSVVal
)),"")</f>
        <v/>
      </c>
      <c r="M380" s="40" t="str" cm="1">
        <f t="array" ref="M380">IFERROR(_xlfn.LET(
_xlpm.CSVVal,_xlfn.XLOOKUP($A380,CSV!$A:$A,CSV!Q:Q,""),
_xlpm.MacVal,_xlfn.XLOOKUP($A380,Output_Mac!$A:$A,Output_Mac!M:M,""),
_xlpm.MyAuditVal,_xlfn.XLOOKUP($A380,My_Audit!$A:$A,My_Audit!L:L,""),
_xlfn.IFS(_xlpm.MyAuditVal&lt;&gt;"",UPPER(_xlpm.MyAuditVal),_xlpm.MacVal&lt;&gt;"",_xlpm.MacVal,_xlpm.CSVVal&lt;&gt;"",_xlpm.CSVVal
)),"")</f>
        <v/>
      </c>
      <c r="N380" s="40"/>
      <c r="O380" s="40" t="str">
        <f>_xlfn.LET(
    _xlpm.CSVVal, _xlfn.XLOOKUP($A380, CSV!$A:$A, CSV!AA:AA, ""),
    _xlpm.MacVal, _xlfn.XLOOKUP($A380, Output_Mac!$A:$A, Output_Mac!S:S, ""),
    _xlpm.MyAuditVal, _xlfn.XLOOKUP($A380, My_Audit!$A:$A, My_Audit!P:P, ""),
    _xlfn.TEXTJOIN(", ", TRUE, _xlpm.MyAuditVal, _xlpm.MacVal, _xlpm.CSVVal)
)</f>
        <v/>
      </c>
      <c r="P380" s="40" t="str" cm="1">
        <f t="array" ref="P380">IFERROR(_xlfn.LET(
_xlpm.CSVVal,_xlfn.XLOOKUP($A380,CSV!$A:$A,CSV!AB:AB,""),
_xlpm.MacVal,_xlfn.XLOOKUP($A380,Output_Mac!$A:$A,Output_Mac!T:T,""),
_xlpm.MyAuditVal,_xlfn.XLOOKUP($A380,My_Audit!$A:$A,My_Audit!Q:Q,""),
_xlfn.IFS(_xlpm.MyAuditVal&lt;&gt;"",UPPER(_xlpm.MyAuditVal),_xlpm.MacVal&lt;&gt;"",_xlpm.MacVal,_xlpm.CSVVal&lt;&gt;"",_xlpm.CSVVal
)),"No")</f>
        <v>No</v>
      </c>
      <c r="Q380" s="40" t="str" cm="1">
        <f t="array" ref="Q380">IFERROR(_xlfn.LET(
_xlpm.CSVVal,_xlfn.XLOOKUP($A380,CSV!$A:$A,CSV!AC:AC,""),
_xlpm.MacVal,_xlfn.XLOOKUP($A380,Output_Mac!$A:$A,Output_Mac!U:U,""),
_xlpm.MyAuditVal,_xlfn.XLOOKUP($A380,My_Audit!$A:$A,My_Audit!R:R,""),
_xlfn.IFS(_xlpm.MyAuditVal&lt;&gt;"",UPPER(_xlpm.MyAuditVal),_xlpm.MacVal&lt;&gt;"",_xlpm.MacVal,_xlpm.CSVVal&lt;&gt;"",_xlpm.CSVVal
)),"")</f>
        <v/>
      </c>
      <c r="R380" s="40"/>
      <c r="S380" s="40"/>
      <c r="T380" s="40"/>
      <c r="U380" s="40"/>
      <c r="V380" s="40"/>
      <c r="W380" s="40"/>
      <c r="X380" s="41" t="str">
        <f>_xlfn.LET(
    _xlpm.MacVal, _xlfn.XLOOKUP($A380, Output_Mac!$A:$A, Output_Mac!AB:AB, ""),
    _xlpm.MyAuditVal, _xlfn.XLOOKUP($A380, My_Audit!$A:$A, My_Audit!N:N, ""),
    _xlfn.TEXTJOIN(", ", TRUE, _xlpm.MyAuditVal, _xlpm.MacVal)
)</f>
        <v/>
      </c>
    </row>
    <row r="381" spans="1:24">
      <c r="A381" s="40" t="str">
        <f>_xlfn.TEXTJOIN("",TRUE,Input!$B$2,ROW(My_Audit!A380))</f>
        <v>X380</v>
      </c>
      <c r="B381" s="40" t="str">
        <f>_xlfn.TEXTJOIN("-",TRUE,"ITD",Input!$A$2,A381)</f>
        <v>ITD-X380</v>
      </c>
      <c r="C381" s="40" t="str" cm="1">
        <f t="array" ref="C381">IFERROR(_xlfn.LET(
_xlpm.CSVVal,_xlfn.XLOOKUP($A381,CSV!$A:$A,CSV!B:B,""),
_xlpm.MacVal,_xlfn.XLOOKUP($A381,Output_Mac!$A:$A,Output_Mac!B:B,""),
_xlpm.MyAuditVal,_xlfn.XLOOKUP($A381,My_Audit!$A:$A,My_Audit!B:B,""),
_xlfn.IFS(_xlpm.MyAuditVal&lt;&gt;"",UPPER(_xlpm.MyAuditVal),_xlpm.MacVal&lt;&gt;"",_xlpm.MacVal,_xlpm.CSVVal&lt;&gt;"",_xlpm.CSVVal
)),"")</f>
        <v/>
      </c>
      <c r="D381" s="40" t="str" cm="1">
        <f t="array" ref="D381">IFERROR(_xlfn.LET(
_xlpm.CSVVal,_xlfn.XLOOKUP($A381,CSV!$A:$A,CSV!D:D,""),
_xlpm.MacVal,_xlfn.XLOOKUP($A381,Output_Mac!$A:$A,Output_Mac!C:C,""),
_xlpm.MyAuditVal,_xlfn.XLOOKUP($A381,My_Audit!$A:$A,My_Audit!C:C,""),
_xlfn.IFS(_xlpm.MyAuditVal&lt;&gt;"",_xlpm.MyAuditVal,_xlpm.MacVal&lt;&gt;"",_xlpm.MacVal,_xlpm.CSVVal&lt;&gt;"",_xlpm.CSVVal
)),"")</f>
        <v/>
      </c>
      <c r="E381" s="40">
        <f>_xlfn.XLOOKUP(A381,My_Audit!A:A,My_Audit!D:D,"")</f>
        <v>0</v>
      </c>
      <c r="F381" s="40" t="str" cm="1">
        <f t="array" ref="F381">IFERROR(_xlfn.LET(
_xlpm.CSVVal,_xlfn.XLOOKUP($A381,CSV!$A:$A,CSV!F:F,""),
_xlpm.MacVal,_xlfn.XLOOKUP($A381,Output_Mac!$A:$A,Output_Mac!E:E,""),
_xlpm.MyAuditVal,_xlfn.XLOOKUP($A381,My_Audit!$A:$A,My_Audit!E:E,""),
_xlfn.IFS(_xlpm.MyAuditVal&lt;&gt;"",_xlpm.MyAuditVal,_xlpm.MacVal&lt;&gt;"",_xlpm.MacVal,_xlpm.CSVVal&lt;&gt;"",_xlpm.CSVVal
)),"")</f>
        <v/>
      </c>
      <c r="G381" s="40" t="str" cm="1">
        <f t="array" ref="G381">IFERROR(_xlfn.LET(
_xlpm.CSVVal,_xlfn.XLOOKUP($A381,CSV!$A:$A,CSV!G:G,""),
_xlpm.MacVal,_xlfn.XLOOKUP($A381,Output_Mac!$A:$A,Output_Mac!F:F,""),
_xlpm.MyAuditVal,_xlfn.XLOOKUP($A381,My_Audit!$A:$A,My_Audit!F:F,""),
_xlfn.IFS(_xlpm.MyAuditVal&lt;&gt;"",_xlpm.MyAuditVal,_xlpm.MacVal&lt;&gt;"",_xlpm.MacVal,_xlpm.CSVVal&lt;&gt;"",PROPER(_xlpm.CSVVal)
)),"")</f>
        <v/>
      </c>
      <c r="H381" s="40" t="str" cm="1">
        <f t="array" ref="H381">IFERROR(_xlfn.LET(
_xlpm.CSVVal,_xlfn.XLOOKUP($A381,CSV!$A:$A,CSV!H:H,""),
_xlpm.MacVal,_xlfn.XLOOKUP($A381,Output_Mac!$A:$A,Output_Mac!H:H,""),
_xlpm.MyAuditVal,_xlfn.XLOOKUP($A381,My_Audit!$A:$A,My_Audit!G:G,""),
_xlfn.IFS(_xlpm.MyAuditVal&lt;&gt;"",_xlpm.MyAuditVal,_xlpm.MacVal&lt;&gt;"",_xlpm.MacVal,_xlpm.CSVVal&lt;&gt;"",_xlpm.CSVVal
)),"")</f>
        <v/>
      </c>
      <c r="I381" s="40" t="str">
        <f>_xlfn.XLOOKUP(A381,Output_Mac!A:A,Output_Mac!I:I,"")</f>
        <v/>
      </c>
      <c r="J381" s="40" t="str" cm="1">
        <f t="array" ref="J381">IFERROR(_xlfn.LET(
_xlpm.CSVVal,_xlfn.XLOOKUP($A381,CSV!$A:$A,CSV!I:I,""),
_xlpm.MacVal,_xlfn.XLOOKUP($A381,Output_Mac!$A:$A,Output_Mac!J:J,""),
_xlpm.MyAuditVal,_xlfn.XLOOKUP($A381,My_Audit!$A:$A,My_Audit!I:I,""),
_xlfn.IFS(_xlpm.MyAuditVal&lt;&gt;"",UPPER(_xlpm.MyAuditVal),_xlpm.MacVal&lt;&gt;"",_xlpm.MacVal,_xlpm.CSVVal&lt;&gt;"",_xlpm.CSVVal
)),"")</f>
        <v/>
      </c>
      <c r="K381" s="40" t="str" cm="1">
        <f t="array" ref="K381">IFERROR(_xlfn.LET(
_xlpm.CSVVal,_xlfn.XLOOKUP($A381,CSV!$A:$A,CSV!K:K,""),
_xlpm.MacVal,_xlfn.XLOOKUP($A381,Output_Mac!$A:$A,Output_Mac!K:K,""),
_xlpm.MyAuditVal,_xlfn.XLOOKUP($A381,My_Audit!$A:$A,My_Audit!J:J,""),
_xlfn.IFS(_xlpm.MyAuditVal&lt;&gt;"",UPPER(_xlpm.MyAuditVal),_xlpm.MacVal&lt;&gt;"",_xlpm.MacVal,_xlpm.CSVVal&lt;&gt;"",_xlpm.CSVVal
)),"")</f>
        <v/>
      </c>
      <c r="L381" s="40" t="str" cm="1">
        <f t="array" ref="L381">IFERROR(_xlfn.LET(
_xlpm.CSVVal,_xlfn.XLOOKUP($A381,CSV!$A:$A,CSV!P:P,""),
_xlpm.MacVal,_xlfn.XLOOKUP($A381,Output_Mac!$A:$A,Output_Mac!L:L,""),
_xlpm.MyAuditVal,_xlfn.XLOOKUP($A381,My_Audit!$A:$A,My_Audit!K:K,""),
_xlfn.IFS(_xlpm.MyAuditVal&lt;&gt;"",UPPER(_xlpm.MyAuditVal),_xlpm.MacVal&lt;&gt;"",_xlpm.MacVal,_xlpm.CSVVal&lt;&gt;"",_xlpm.CSVVal
)),"")</f>
        <v/>
      </c>
      <c r="M381" s="40" t="str" cm="1">
        <f t="array" ref="M381">IFERROR(_xlfn.LET(
_xlpm.CSVVal,_xlfn.XLOOKUP($A381,CSV!$A:$A,CSV!Q:Q,""),
_xlpm.MacVal,_xlfn.XLOOKUP($A381,Output_Mac!$A:$A,Output_Mac!M:M,""),
_xlpm.MyAuditVal,_xlfn.XLOOKUP($A381,My_Audit!$A:$A,My_Audit!L:L,""),
_xlfn.IFS(_xlpm.MyAuditVal&lt;&gt;"",UPPER(_xlpm.MyAuditVal),_xlpm.MacVal&lt;&gt;"",_xlpm.MacVal,_xlpm.CSVVal&lt;&gt;"",_xlpm.CSVVal
)),"")</f>
        <v/>
      </c>
      <c r="N381" s="40"/>
      <c r="O381" s="40" t="str">
        <f>_xlfn.LET(
    _xlpm.CSVVal, _xlfn.XLOOKUP($A381, CSV!$A:$A, CSV!AA:AA, ""),
    _xlpm.MacVal, _xlfn.XLOOKUP($A381, Output_Mac!$A:$A, Output_Mac!S:S, ""),
    _xlpm.MyAuditVal, _xlfn.XLOOKUP($A381, My_Audit!$A:$A, My_Audit!P:P, ""),
    _xlfn.TEXTJOIN(", ", TRUE, _xlpm.MyAuditVal, _xlpm.MacVal, _xlpm.CSVVal)
)</f>
        <v/>
      </c>
      <c r="P381" s="40" t="str" cm="1">
        <f t="array" ref="P381">IFERROR(_xlfn.LET(
_xlpm.CSVVal,_xlfn.XLOOKUP($A381,CSV!$A:$A,CSV!AB:AB,""),
_xlpm.MacVal,_xlfn.XLOOKUP($A381,Output_Mac!$A:$A,Output_Mac!T:T,""),
_xlpm.MyAuditVal,_xlfn.XLOOKUP($A381,My_Audit!$A:$A,My_Audit!Q:Q,""),
_xlfn.IFS(_xlpm.MyAuditVal&lt;&gt;"",UPPER(_xlpm.MyAuditVal),_xlpm.MacVal&lt;&gt;"",_xlpm.MacVal,_xlpm.CSVVal&lt;&gt;"",_xlpm.CSVVal
)),"No")</f>
        <v>No</v>
      </c>
      <c r="Q381" s="40" t="str" cm="1">
        <f t="array" ref="Q381">IFERROR(_xlfn.LET(
_xlpm.CSVVal,_xlfn.XLOOKUP($A381,CSV!$A:$A,CSV!AC:AC,""),
_xlpm.MacVal,_xlfn.XLOOKUP($A381,Output_Mac!$A:$A,Output_Mac!U:U,""),
_xlpm.MyAuditVal,_xlfn.XLOOKUP($A381,My_Audit!$A:$A,My_Audit!R:R,""),
_xlfn.IFS(_xlpm.MyAuditVal&lt;&gt;"",UPPER(_xlpm.MyAuditVal),_xlpm.MacVal&lt;&gt;"",_xlpm.MacVal,_xlpm.CSVVal&lt;&gt;"",_xlpm.CSVVal
)),"")</f>
        <v/>
      </c>
      <c r="R381" s="40"/>
      <c r="S381" s="40"/>
      <c r="T381" s="40"/>
      <c r="U381" s="40"/>
      <c r="V381" s="40"/>
      <c r="W381" s="40"/>
      <c r="X381" s="41" t="str">
        <f>_xlfn.LET(
    _xlpm.MacVal, _xlfn.XLOOKUP($A381, Output_Mac!$A:$A, Output_Mac!AB:AB, ""),
    _xlpm.MyAuditVal, _xlfn.XLOOKUP($A381, My_Audit!$A:$A, My_Audit!N:N, ""),
    _xlfn.TEXTJOIN(", ", TRUE, _xlpm.MyAuditVal, _xlpm.MacVal)
)</f>
        <v/>
      </c>
    </row>
    <row r="382" spans="1:24">
      <c r="A382" s="40" t="str">
        <f>_xlfn.TEXTJOIN("",TRUE,Input!$B$2,ROW(My_Audit!A381))</f>
        <v>X381</v>
      </c>
      <c r="B382" s="40" t="str">
        <f>_xlfn.TEXTJOIN("-",TRUE,"ITD",Input!$A$2,A382)</f>
        <v>ITD-X381</v>
      </c>
      <c r="C382" s="40" t="str" cm="1">
        <f t="array" ref="C382">IFERROR(_xlfn.LET(
_xlpm.CSVVal,_xlfn.XLOOKUP($A382,CSV!$A:$A,CSV!B:B,""),
_xlpm.MacVal,_xlfn.XLOOKUP($A382,Output_Mac!$A:$A,Output_Mac!B:B,""),
_xlpm.MyAuditVal,_xlfn.XLOOKUP($A382,My_Audit!$A:$A,My_Audit!B:B,""),
_xlfn.IFS(_xlpm.MyAuditVal&lt;&gt;"",UPPER(_xlpm.MyAuditVal),_xlpm.MacVal&lt;&gt;"",_xlpm.MacVal,_xlpm.CSVVal&lt;&gt;"",_xlpm.CSVVal
)),"")</f>
        <v/>
      </c>
      <c r="D382" s="40" t="str" cm="1">
        <f t="array" ref="D382">IFERROR(_xlfn.LET(
_xlpm.CSVVal,_xlfn.XLOOKUP($A382,CSV!$A:$A,CSV!D:D,""),
_xlpm.MacVal,_xlfn.XLOOKUP($A382,Output_Mac!$A:$A,Output_Mac!C:C,""),
_xlpm.MyAuditVal,_xlfn.XLOOKUP($A382,My_Audit!$A:$A,My_Audit!C:C,""),
_xlfn.IFS(_xlpm.MyAuditVal&lt;&gt;"",_xlpm.MyAuditVal,_xlpm.MacVal&lt;&gt;"",_xlpm.MacVal,_xlpm.CSVVal&lt;&gt;"",_xlpm.CSVVal
)),"")</f>
        <v/>
      </c>
      <c r="E382" s="40">
        <f>_xlfn.XLOOKUP(A382,My_Audit!A:A,My_Audit!D:D,"")</f>
        <v>0</v>
      </c>
      <c r="F382" s="40" t="str" cm="1">
        <f t="array" ref="F382">IFERROR(_xlfn.LET(
_xlpm.CSVVal,_xlfn.XLOOKUP($A382,CSV!$A:$A,CSV!F:F,""),
_xlpm.MacVal,_xlfn.XLOOKUP($A382,Output_Mac!$A:$A,Output_Mac!E:E,""),
_xlpm.MyAuditVal,_xlfn.XLOOKUP($A382,My_Audit!$A:$A,My_Audit!E:E,""),
_xlfn.IFS(_xlpm.MyAuditVal&lt;&gt;"",_xlpm.MyAuditVal,_xlpm.MacVal&lt;&gt;"",_xlpm.MacVal,_xlpm.CSVVal&lt;&gt;"",_xlpm.CSVVal
)),"")</f>
        <v/>
      </c>
      <c r="G382" s="40" t="str" cm="1">
        <f t="array" ref="G382">IFERROR(_xlfn.LET(
_xlpm.CSVVal,_xlfn.XLOOKUP($A382,CSV!$A:$A,CSV!G:G,""),
_xlpm.MacVal,_xlfn.XLOOKUP($A382,Output_Mac!$A:$A,Output_Mac!F:F,""),
_xlpm.MyAuditVal,_xlfn.XLOOKUP($A382,My_Audit!$A:$A,My_Audit!F:F,""),
_xlfn.IFS(_xlpm.MyAuditVal&lt;&gt;"",_xlpm.MyAuditVal,_xlpm.MacVal&lt;&gt;"",_xlpm.MacVal,_xlpm.CSVVal&lt;&gt;"",PROPER(_xlpm.CSVVal)
)),"")</f>
        <v/>
      </c>
      <c r="H382" s="40" t="str" cm="1">
        <f t="array" ref="H382">IFERROR(_xlfn.LET(
_xlpm.CSVVal,_xlfn.XLOOKUP($A382,CSV!$A:$A,CSV!H:H,""),
_xlpm.MacVal,_xlfn.XLOOKUP($A382,Output_Mac!$A:$A,Output_Mac!H:H,""),
_xlpm.MyAuditVal,_xlfn.XLOOKUP($A382,My_Audit!$A:$A,My_Audit!G:G,""),
_xlfn.IFS(_xlpm.MyAuditVal&lt;&gt;"",_xlpm.MyAuditVal,_xlpm.MacVal&lt;&gt;"",_xlpm.MacVal,_xlpm.CSVVal&lt;&gt;"",_xlpm.CSVVal
)),"")</f>
        <v/>
      </c>
      <c r="I382" s="40" t="str">
        <f>_xlfn.XLOOKUP(A382,Output_Mac!A:A,Output_Mac!I:I,"")</f>
        <v/>
      </c>
      <c r="J382" s="40" t="str" cm="1">
        <f t="array" ref="J382">IFERROR(_xlfn.LET(
_xlpm.CSVVal,_xlfn.XLOOKUP($A382,CSV!$A:$A,CSV!I:I,""),
_xlpm.MacVal,_xlfn.XLOOKUP($A382,Output_Mac!$A:$A,Output_Mac!J:J,""),
_xlpm.MyAuditVal,_xlfn.XLOOKUP($A382,My_Audit!$A:$A,My_Audit!I:I,""),
_xlfn.IFS(_xlpm.MyAuditVal&lt;&gt;"",UPPER(_xlpm.MyAuditVal),_xlpm.MacVal&lt;&gt;"",_xlpm.MacVal,_xlpm.CSVVal&lt;&gt;"",_xlpm.CSVVal
)),"")</f>
        <v/>
      </c>
      <c r="K382" s="40" t="str" cm="1">
        <f t="array" ref="K382">IFERROR(_xlfn.LET(
_xlpm.CSVVal,_xlfn.XLOOKUP($A382,CSV!$A:$A,CSV!K:K,""),
_xlpm.MacVal,_xlfn.XLOOKUP($A382,Output_Mac!$A:$A,Output_Mac!K:K,""),
_xlpm.MyAuditVal,_xlfn.XLOOKUP($A382,My_Audit!$A:$A,My_Audit!J:J,""),
_xlfn.IFS(_xlpm.MyAuditVal&lt;&gt;"",UPPER(_xlpm.MyAuditVal),_xlpm.MacVal&lt;&gt;"",_xlpm.MacVal,_xlpm.CSVVal&lt;&gt;"",_xlpm.CSVVal
)),"")</f>
        <v/>
      </c>
      <c r="L382" s="40" t="str" cm="1">
        <f t="array" ref="L382">IFERROR(_xlfn.LET(
_xlpm.CSVVal,_xlfn.XLOOKUP($A382,CSV!$A:$A,CSV!P:P,""),
_xlpm.MacVal,_xlfn.XLOOKUP($A382,Output_Mac!$A:$A,Output_Mac!L:L,""),
_xlpm.MyAuditVal,_xlfn.XLOOKUP($A382,My_Audit!$A:$A,My_Audit!K:K,""),
_xlfn.IFS(_xlpm.MyAuditVal&lt;&gt;"",UPPER(_xlpm.MyAuditVal),_xlpm.MacVal&lt;&gt;"",_xlpm.MacVal,_xlpm.CSVVal&lt;&gt;"",_xlpm.CSVVal
)),"")</f>
        <v/>
      </c>
      <c r="M382" s="40" t="str" cm="1">
        <f t="array" ref="M382">IFERROR(_xlfn.LET(
_xlpm.CSVVal,_xlfn.XLOOKUP($A382,CSV!$A:$A,CSV!Q:Q,""),
_xlpm.MacVal,_xlfn.XLOOKUP($A382,Output_Mac!$A:$A,Output_Mac!M:M,""),
_xlpm.MyAuditVal,_xlfn.XLOOKUP($A382,My_Audit!$A:$A,My_Audit!L:L,""),
_xlfn.IFS(_xlpm.MyAuditVal&lt;&gt;"",UPPER(_xlpm.MyAuditVal),_xlpm.MacVal&lt;&gt;"",_xlpm.MacVal,_xlpm.CSVVal&lt;&gt;"",_xlpm.CSVVal
)),"")</f>
        <v/>
      </c>
      <c r="N382" s="40"/>
      <c r="O382" s="40" t="str">
        <f>_xlfn.LET(
    _xlpm.CSVVal, _xlfn.XLOOKUP($A382, CSV!$A:$A, CSV!AA:AA, ""),
    _xlpm.MacVal, _xlfn.XLOOKUP($A382, Output_Mac!$A:$A, Output_Mac!S:S, ""),
    _xlpm.MyAuditVal, _xlfn.XLOOKUP($A382, My_Audit!$A:$A, My_Audit!P:P, ""),
    _xlfn.TEXTJOIN(", ", TRUE, _xlpm.MyAuditVal, _xlpm.MacVal, _xlpm.CSVVal)
)</f>
        <v/>
      </c>
      <c r="P382" s="40" t="str" cm="1">
        <f t="array" ref="P382">IFERROR(_xlfn.LET(
_xlpm.CSVVal,_xlfn.XLOOKUP($A382,CSV!$A:$A,CSV!AB:AB,""),
_xlpm.MacVal,_xlfn.XLOOKUP($A382,Output_Mac!$A:$A,Output_Mac!T:T,""),
_xlpm.MyAuditVal,_xlfn.XLOOKUP($A382,My_Audit!$A:$A,My_Audit!Q:Q,""),
_xlfn.IFS(_xlpm.MyAuditVal&lt;&gt;"",UPPER(_xlpm.MyAuditVal),_xlpm.MacVal&lt;&gt;"",_xlpm.MacVal,_xlpm.CSVVal&lt;&gt;"",_xlpm.CSVVal
)),"No")</f>
        <v>No</v>
      </c>
      <c r="Q382" s="40" t="str" cm="1">
        <f t="array" ref="Q382">IFERROR(_xlfn.LET(
_xlpm.CSVVal,_xlfn.XLOOKUP($A382,CSV!$A:$A,CSV!AC:AC,""),
_xlpm.MacVal,_xlfn.XLOOKUP($A382,Output_Mac!$A:$A,Output_Mac!U:U,""),
_xlpm.MyAuditVal,_xlfn.XLOOKUP($A382,My_Audit!$A:$A,My_Audit!R:R,""),
_xlfn.IFS(_xlpm.MyAuditVal&lt;&gt;"",UPPER(_xlpm.MyAuditVal),_xlpm.MacVal&lt;&gt;"",_xlpm.MacVal,_xlpm.CSVVal&lt;&gt;"",_xlpm.CSVVal
)),"")</f>
        <v/>
      </c>
      <c r="R382" s="40"/>
      <c r="S382" s="40"/>
      <c r="T382" s="40"/>
      <c r="U382" s="40"/>
      <c r="V382" s="40"/>
      <c r="W382" s="40"/>
      <c r="X382" s="41" t="str">
        <f>_xlfn.LET(
    _xlpm.MacVal, _xlfn.XLOOKUP($A382, Output_Mac!$A:$A, Output_Mac!AB:AB, ""),
    _xlpm.MyAuditVal, _xlfn.XLOOKUP($A382, My_Audit!$A:$A, My_Audit!N:N, ""),
    _xlfn.TEXTJOIN(", ", TRUE, _xlpm.MyAuditVal, _xlpm.MacVal)
)</f>
        <v/>
      </c>
    </row>
    <row r="383" spans="1:24">
      <c r="A383" s="40" t="str">
        <f>_xlfn.TEXTJOIN("",TRUE,Input!$B$2,ROW(My_Audit!A382))</f>
        <v>X382</v>
      </c>
      <c r="B383" s="40" t="str">
        <f>_xlfn.TEXTJOIN("-",TRUE,"ITD",Input!$A$2,A383)</f>
        <v>ITD-X382</v>
      </c>
      <c r="C383" s="40" t="str" cm="1">
        <f t="array" ref="C383">IFERROR(_xlfn.LET(
_xlpm.CSVVal,_xlfn.XLOOKUP($A383,CSV!$A:$A,CSV!B:B,""),
_xlpm.MacVal,_xlfn.XLOOKUP($A383,Output_Mac!$A:$A,Output_Mac!B:B,""),
_xlpm.MyAuditVal,_xlfn.XLOOKUP($A383,My_Audit!$A:$A,My_Audit!B:B,""),
_xlfn.IFS(_xlpm.MyAuditVal&lt;&gt;"",UPPER(_xlpm.MyAuditVal),_xlpm.MacVal&lt;&gt;"",_xlpm.MacVal,_xlpm.CSVVal&lt;&gt;"",_xlpm.CSVVal
)),"")</f>
        <v/>
      </c>
      <c r="D383" s="40" t="str" cm="1">
        <f t="array" ref="D383">IFERROR(_xlfn.LET(
_xlpm.CSVVal,_xlfn.XLOOKUP($A383,CSV!$A:$A,CSV!D:D,""),
_xlpm.MacVal,_xlfn.XLOOKUP($A383,Output_Mac!$A:$A,Output_Mac!C:C,""),
_xlpm.MyAuditVal,_xlfn.XLOOKUP($A383,My_Audit!$A:$A,My_Audit!C:C,""),
_xlfn.IFS(_xlpm.MyAuditVal&lt;&gt;"",_xlpm.MyAuditVal,_xlpm.MacVal&lt;&gt;"",_xlpm.MacVal,_xlpm.CSVVal&lt;&gt;"",_xlpm.CSVVal
)),"")</f>
        <v/>
      </c>
      <c r="E383" s="40">
        <f>_xlfn.XLOOKUP(A383,My_Audit!A:A,My_Audit!D:D,"")</f>
        <v>0</v>
      </c>
      <c r="F383" s="40" t="str" cm="1">
        <f t="array" ref="F383">IFERROR(_xlfn.LET(
_xlpm.CSVVal,_xlfn.XLOOKUP($A383,CSV!$A:$A,CSV!F:F,""),
_xlpm.MacVal,_xlfn.XLOOKUP($A383,Output_Mac!$A:$A,Output_Mac!E:E,""),
_xlpm.MyAuditVal,_xlfn.XLOOKUP($A383,My_Audit!$A:$A,My_Audit!E:E,""),
_xlfn.IFS(_xlpm.MyAuditVal&lt;&gt;"",_xlpm.MyAuditVal,_xlpm.MacVal&lt;&gt;"",_xlpm.MacVal,_xlpm.CSVVal&lt;&gt;"",_xlpm.CSVVal
)),"")</f>
        <v/>
      </c>
      <c r="G383" s="40" t="str" cm="1">
        <f t="array" ref="G383">IFERROR(_xlfn.LET(
_xlpm.CSVVal,_xlfn.XLOOKUP($A383,CSV!$A:$A,CSV!G:G,""),
_xlpm.MacVal,_xlfn.XLOOKUP($A383,Output_Mac!$A:$A,Output_Mac!F:F,""),
_xlpm.MyAuditVal,_xlfn.XLOOKUP($A383,My_Audit!$A:$A,My_Audit!F:F,""),
_xlfn.IFS(_xlpm.MyAuditVal&lt;&gt;"",_xlpm.MyAuditVal,_xlpm.MacVal&lt;&gt;"",_xlpm.MacVal,_xlpm.CSVVal&lt;&gt;"",PROPER(_xlpm.CSVVal)
)),"")</f>
        <v/>
      </c>
      <c r="H383" s="40" t="str" cm="1">
        <f t="array" ref="H383">IFERROR(_xlfn.LET(
_xlpm.CSVVal,_xlfn.XLOOKUP($A383,CSV!$A:$A,CSV!H:H,""),
_xlpm.MacVal,_xlfn.XLOOKUP($A383,Output_Mac!$A:$A,Output_Mac!H:H,""),
_xlpm.MyAuditVal,_xlfn.XLOOKUP($A383,My_Audit!$A:$A,My_Audit!G:G,""),
_xlfn.IFS(_xlpm.MyAuditVal&lt;&gt;"",_xlpm.MyAuditVal,_xlpm.MacVal&lt;&gt;"",_xlpm.MacVal,_xlpm.CSVVal&lt;&gt;"",_xlpm.CSVVal
)),"")</f>
        <v/>
      </c>
      <c r="I383" s="40" t="str">
        <f>_xlfn.XLOOKUP(A383,Output_Mac!A:A,Output_Mac!I:I,"")</f>
        <v/>
      </c>
      <c r="J383" s="40" t="str" cm="1">
        <f t="array" ref="J383">IFERROR(_xlfn.LET(
_xlpm.CSVVal,_xlfn.XLOOKUP($A383,CSV!$A:$A,CSV!I:I,""),
_xlpm.MacVal,_xlfn.XLOOKUP($A383,Output_Mac!$A:$A,Output_Mac!J:J,""),
_xlpm.MyAuditVal,_xlfn.XLOOKUP($A383,My_Audit!$A:$A,My_Audit!I:I,""),
_xlfn.IFS(_xlpm.MyAuditVal&lt;&gt;"",UPPER(_xlpm.MyAuditVal),_xlpm.MacVal&lt;&gt;"",_xlpm.MacVal,_xlpm.CSVVal&lt;&gt;"",_xlpm.CSVVal
)),"")</f>
        <v/>
      </c>
      <c r="K383" s="40" t="str" cm="1">
        <f t="array" ref="K383">IFERROR(_xlfn.LET(
_xlpm.CSVVal,_xlfn.XLOOKUP($A383,CSV!$A:$A,CSV!K:K,""),
_xlpm.MacVal,_xlfn.XLOOKUP($A383,Output_Mac!$A:$A,Output_Mac!K:K,""),
_xlpm.MyAuditVal,_xlfn.XLOOKUP($A383,My_Audit!$A:$A,My_Audit!J:J,""),
_xlfn.IFS(_xlpm.MyAuditVal&lt;&gt;"",UPPER(_xlpm.MyAuditVal),_xlpm.MacVal&lt;&gt;"",_xlpm.MacVal,_xlpm.CSVVal&lt;&gt;"",_xlpm.CSVVal
)),"")</f>
        <v/>
      </c>
      <c r="L383" s="40" t="str" cm="1">
        <f t="array" ref="L383">IFERROR(_xlfn.LET(
_xlpm.CSVVal,_xlfn.XLOOKUP($A383,CSV!$A:$A,CSV!P:P,""),
_xlpm.MacVal,_xlfn.XLOOKUP($A383,Output_Mac!$A:$A,Output_Mac!L:L,""),
_xlpm.MyAuditVal,_xlfn.XLOOKUP($A383,My_Audit!$A:$A,My_Audit!K:K,""),
_xlfn.IFS(_xlpm.MyAuditVal&lt;&gt;"",UPPER(_xlpm.MyAuditVal),_xlpm.MacVal&lt;&gt;"",_xlpm.MacVal,_xlpm.CSVVal&lt;&gt;"",_xlpm.CSVVal
)),"")</f>
        <v/>
      </c>
      <c r="M383" s="40" t="str" cm="1">
        <f t="array" ref="M383">IFERROR(_xlfn.LET(
_xlpm.CSVVal,_xlfn.XLOOKUP($A383,CSV!$A:$A,CSV!Q:Q,""),
_xlpm.MacVal,_xlfn.XLOOKUP($A383,Output_Mac!$A:$A,Output_Mac!M:M,""),
_xlpm.MyAuditVal,_xlfn.XLOOKUP($A383,My_Audit!$A:$A,My_Audit!L:L,""),
_xlfn.IFS(_xlpm.MyAuditVal&lt;&gt;"",UPPER(_xlpm.MyAuditVal),_xlpm.MacVal&lt;&gt;"",_xlpm.MacVal,_xlpm.CSVVal&lt;&gt;"",_xlpm.CSVVal
)),"")</f>
        <v/>
      </c>
      <c r="N383" s="40"/>
      <c r="O383" s="40" t="str">
        <f>_xlfn.LET(
    _xlpm.CSVVal, _xlfn.XLOOKUP($A383, CSV!$A:$A, CSV!AA:AA, ""),
    _xlpm.MacVal, _xlfn.XLOOKUP($A383, Output_Mac!$A:$A, Output_Mac!S:S, ""),
    _xlpm.MyAuditVal, _xlfn.XLOOKUP($A383, My_Audit!$A:$A, My_Audit!P:P, ""),
    _xlfn.TEXTJOIN(", ", TRUE, _xlpm.MyAuditVal, _xlpm.MacVal, _xlpm.CSVVal)
)</f>
        <v/>
      </c>
      <c r="P383" s="40" t="str" cm="1">
        <f t="array" ref="P383">IFERROR(_xlfn.LET(
_xlpm.CSVVal,_xlfn.XLOOKUP($A383,CSV!$A:$A,CSV!AB:AB,""),
_xlpm.MacVal,_xlfn.XLOOKUP($A383,Output_Mac!$A:$A,Output_Mac!T:T,""),
_xlpm.MyAuditVal,_xlfn.XLOOKUP($A383,My_Audit!$A:$A,My_Audit!Q:Q,""),
_xlfn.IFS(_xlpm.MyAuditVal&lt;&gt;"",UPPER(_xlpm.MyAuditVal),_xlpm.MacVal&lt;&gt;"",_xlpm.MacVal,_xlpm.CSVVal&lt;&gt;"",_xlpm.CSVVal
)),"No")</f>
        <v>No</v>
      </c>
      <c r="Q383" s="40" t="str" cm="1">
        <f t="array" ref="Q383">IFERROR(_xlfn.LET(
_xlpm.CSVVal,_xlfn.XLOOKUP($A383,CSV!$A:$A,CSV!AC:AC,""),
_xlpm.MacVal,_xlfn.XLOOKUP($A383,Output_Mac!$A:$A,Output_Mac!U:U,""),
_xlpm.MyAuditVal,_xlfn.XLOOKUP($A383,My_Audit!$A:$A,My_Audit!R:R,""),
_xlfn.IFS(_xlpm.MyAuditVal&lt;&gt;"",UPPER(_xlpm.MyAuditVal),_xlpm.MacVal&lt;&gt;"",_xlpm.MacVal,_xlpm.CSVVal&lt;&gt;"",_xlpm.CSVVal
)),"")</f>
        <v/>
      </c>
      <c r="R383" s="40"/>
      <c r="S383" s="40"/>
      <c r="T383" s="40"/>
      <c r="U383" s="40"/>
      <c r="V383" s="40"/>
      <c r="W383" s="40"/>
      <c r="X383" s="41" t="str">
        <f>_xlfn.LET(
    _xlpm.MacVal, _xlfn.XLOOKUP($A383, Output_Mac!$A:$A, Output_Mac!AB:AB, ""),
    _xlpm.MyAuditVal, _xlfn.XLOOKUP($A383, My_Audit!$A:$A, My_Audit!N:N, ""),
    _xlfn.TEXTJOIN(", ", TRUE, _xlpm.MyAuditVal, _xlpm.MacVal)
)</f>
        <v/>
      </c>
    </row>
    <row r="384" spans="1:24">
      <c r="A384" s="40" t="str">
        <f>_xlfn.TEXTJOIN("",TRUE,Input!$B$2,ROW(My_Audit!A383))</f>
        <v>X383</v>
      </c>
      <c r="B384" s="40" t="str">
        <f>_xlfn.TEXTJOIN("-",TRUE,"ITD",Input!$A$2,A384)</f>
        <v>ITD-X383</v>
      </c>
      <c r="C384" s="40" t="str" cm="1">
        <f t="array" ref="C384">IFERROR(_xlfn.LET(
_xlpm.CSVVal,_xlfn.XLOOKUP($A384,CSV!$A:$A,CSV!B:B,""),
_xlpm.MacVal,_xlfn.XLOOKUP($A384,Output_Mac!$A:$A,Output_Mac!B:B,""),
_xlpm.MyAuditVal,_xlfn.XLOOKUP($A384,My_Audit!$A:$A,My_Audit!B:B,""),
_xlfn.IFS(_xlpm.MyAuditVal&lt;&gt;"",UPPER(_xlpm.MyAuditVal),_xlpm.MacVal&lt;&gt;"",_xlpm.MacVal,_xlpm.CSVVal&lt;&gt;"",_xlpm.CSVVal
)),"")</f>
        <v/>
      </c>
      <c r="D384" s="40" t="str" cm="1">
        <f t="array" ref="D384">IFERROR(_xlfn.LET(
_xlpm.CSVVal,_xlfn.XLOOKUP($A384,CSV!$A:$A,CSV!D:D,""),
_xlpm.MacVal,_xlfn.XLOOKUP($A384,Output_Mac!$A:$A,Output_Mac!C:C,""),
_xlpm.MyAuditVal,_xlfn.XLOOKUP($A384,My_Audit!$A:$A,My_Audit!C:C,""),
_xlfn.IFS(_xlpm.MyAuditVal&lt;&gt;"",_xlpm.MyAuditVal,_xlpm.MacVal&lt;&gt;"",_xlpm.MacVal,_xlpm.CSVVal&lt;&gt;"",_xlpm.CSVVal
)),"")</f>
        <v/>
      </c>
      <c r="E384" s="40">
        <f>_xlfn.XLOOKUP(A384,My_Audit!A:A,My_Audit!D:D,"")</f>
        <v>0</v>
      </c>
      <c r="F384" s="40" t="str" cm="1">
        <f t="array" ref="F384">IFERROR(_xlfn.LET(
_xlpm.CSVVal,_xlfn.XLOOKUP($A384,CSV!$A:$A,CSV!F:F,""),
_xlpm.MacVal,_xlfn.XLOOKUP($A384,Output_Mac!$A:$A,Output_Mac!E:E,""),
_xlpm.MyAuditVal,_xlfn.XLOOKUP($A384,My_Audit!$A:$A,My_Audit!E:E,""),
_xlfn.IFS(_xlpm.MyAuditVal&lt;&gt;"",_xlpm.MyAuditVal,_xlpm.MacVal&lt;&gt;"",_xlpm.MacVal,_xlpm.CSVVal&lt;&gt;"",_xlpm.CSVVal
)),"")</f>
        <v/>
      </c>
      <c r="G384" s="40" t="str" cm="1">
        <f t="array" ref="G384">IFERROR(_xlfn.LET(
_xlpm.CSVVal,_xlfn.XLOOKUP($A384,CSV!$A:$A,CSV!G:G,""),
_xlpm.MacVal,_xlfn.XLOOKUP($A384,Output_Mac!$A:$A,Output_Mac!F:F,""),
_xlpm.MyAuditVal,_xlfn.XLOOKUP($A384,My_Audit!$A:$A,My_Audit!F:F,""),
_xlfn.IFS(_xlpm.MyAuditVal&lt;&gt;"",_xlpm.MyAuditVal,_xlpm.MacVal&lt;&gt;"",_xlpm.MacVal,_xlpm.CSVVal&lt;&gt;"",PROPER(_xlpm.CSVVal)
)),"")</f>
        <v/>
      </c>
      <c r="H384" s="40" t="str" cm="1">
        <f t="array" ref="H384">IFERROR(_xlfn.LET(
_xlpm.CSVVal,_xlfn.XLOOKUP($A384,CSV!$A:$A,CSV!H:H,""),
_xlpm.MacVal,_xlfn.XLOOKUP($A384,Output_Mac!$A:$A,Output_Mac!H:H,""),
_xlpm.MyAuditVal,_xlfn.XLOOKUP($A384,My_Audit!$A:$A,My_Audit!G:G,""),
_xlfn.IFS(_xlpm.MyAuditVal&lt;&gt;"",_xlpm.MyAuditVal,_xlpm.MacVal&lt;&gt;"",_xlpm.MacVal,_xlpm.CSVVal&lt;&gt;"",_xlpm.CSVVal
)),"")</f>
        <v/>
      </c>
      <c r="I384" s="40" t="str">
        <f>_xlfn.XLOOKUP(A384,Output_Mac!A:A,Output_Mac!I:I,"")</f>
        <v/>
      </c>
      <c r="J384" s="40" t="str" cm="1">
        <f t="array" ref="J384">IFERROR(_xlfn.LET(
_xlpm.CSVVal,_xlfn.XLOOKUP($A384,CSV!$A:$A,CSV!I:I,""),
_xlpm.MacVal,_xlfn.XLOOKUP($A384,Output_Mac!$A:$A,Output_Mac!J:J,""),
_xlpm.MyAuditVal,_xlfn.XLOOKUP($A384,My_Audit!$A:$A,My_Audit!I:I,""),
_xlfn.IFS(_xlpm.MyAuditVal&lt;&gt;"",UPPER(_xlpm.MyAuditVal),_xlpm.MacVal&lt;&gt;"",_xlpm.MacVal,_xlpm.CSVVal&lt;&gt;"",_xlpm.CSVVal
)),"")</f>
        <v/>
      </c>
      <c r="K384" s="40" t="str" cm="1">
        <f t="array" ref="K384">IFERROR(_xlfn.LET(
_xlpm.CSVVal,_xlfn.XLOOKUP($A384,CSV!$A:$A,CSV!K:K,""),
_xlpm.MacVal,_xlfn.XLOOKUP($A384,Output_Mac!$A:$A,Output_Mac!K:K,""),
_xlpm.MyAuditVal,_xlfn.XLOOKUP($A384,My_Audit!$A:$A,My_Audit!J:J,""),
_xlfn.IFS(_xlpm.MyAuditVal&lt;&gt;"",UPPER(_xlpm.MyAuditVal),_xlpm.MacVal&lt;&gt;"",_xlpm.MacVal,_xlpm.CSVVal&lt;&gt;"",_xlpm.CSVVal
)),"")</f>
        <v/>
      </c>
      <c r="L384" s="40" t="str" cm="1">
        <f t="array" ref="L384">IFERROR(_xlfn.LET(
_xlpm.CSVVal,_xlfn.XLOOKUP($A384,CSV!$A:$A,CSV!P:P,""),
_xlpm.MacVal,_xlfn.XLOOKUP($A384,Output_Mac!$A:$A,Output_Mac!L:L,""),
_xlpm.MyAuditVal,_xlfn.XLOOKUP($A384,My_Audit!$A:$A,My_Audit!K:K,""),
_xlfn.IFS(_xlpm.MyAuditVal&lt;&gt;"",UPPER(_xlpm.MyAuditVal),_xlpm.MacVal&lt;&gt;"",_xlpm.MacVal,_xlpm.CSVVal&lt;&gt;"",_xlpm.CSVVal
)),"")</f>
        <v/>
      </c>
      <c r="M384" s="40" t="str" cm="1">
        <f t="array" ref="M384">IFERROR(_xlfn.LET(
_xlpm.CSVVal,_xlfn.XLOOKUP($A384,CSV!$A:$A,CSV!Q:Q,""),
_xlpm.MacVal,_xlfn.XLOOKUP($A384,Output_Mac!$A:$A,Output_Mac!M:M,""),
_xlpm.MyAuditVal,_xlfn.XLOOKUP($A384,My_Audit!$A:$A,My_Audit!L:L,""),
_xlfn.IFS(_xlpm.MyAuditVal&lt;&gt;"",UPPER(_xlpm.MyAuditVal),_xlpm.MacVal&lt;&gt;"",_xlpm.MacVal,_xlpm.CSVVal&lt;&gt;"",_xlpm.CSVVal
)),"")</f>
        <v/>
      </c>
      <c r="N384" s="40"/>
      <c r="O384" s="40" t="str">
        <f>_xlfn.LET(
    _xlpm.CSVVal, _xlfn.XLOOKUP($A384, CSV!$A:$A, CSV!AA:AA, ""),
    _xlpm.MacVal, _xlfn.XLOOKUP($A384, Output_Mac!$A:$A, Output_Mac!S:S, ""),
    _xlpm.MyAuditVal, _xlfn.XLOOKUP($A384, My_Audit!$A:$A, My_Audit!P:P, ""),
    _xlfn.TEXTJOIN(", ", TRUE, _xlpm.MyAuditVal, _xlpm.MacVal, _xlpm.CSVVal)
)</f>
        <v/>
      </c>
      <c r="P384" s="40" t="str" cm="1">
        <f t="array" ref="P384">IFERROR(_xlfn.LET(
_xlpm.CSVVal,_xlfn.XLOOKUP($A384,CSV!$A:$A,CSV!AB:AB,""),
_xlpm.MacVal,_xlfn.XLOOKUP($A384,Output_Mac!$A:$A,Output_Mac!T:T,""),
_xlpm.MyAuditVal,_xlfn.XLOOKUP($A384,My_Audit!$A:$A,My_Audit!Q:Q,""),
_xlfn.IFS(_xlpm.MyAuditVal&lt;&gt;"",UPPER(_xlpm.MyAuditVal),_xlpm.MacVal&lt;&gt;"",_xlpm.MacVal,_xlpm.CSVVal&lt;&gt;"",_xlpm.CSVVal
)),"No")</f>
        <v>No</v>
      </c>
      <c r="Q384" s="40" t="str" cm="1">
        <f t="array" ref="Q384">IFERROR(_xlfn.LET(
_xlpm.CSVVal,_xlfn.XLOOKUP($A384,CSV!$A:$A,CSV!AC:AC,""),
_xlpm.MacVal,_xlfn.XLOOKUP($A384,Output_Mac!$A:$A,Output_Mac!U:U,""),
_xlpm.MyAuditVal,_xlfn.XLOOKUP($A384,My_Audit!$A:$A,My_Audit!R:R,""),
_xlfn.IFS(_xlpm.MyAuditVal&lt;&gt;"",UPPER(_xlpm.MyAuditVal),_xlpm.MacVal&lt;&gt;"",_xlpm.MacVal,_xlpm.CSVVal&lt;&gt;"",_xlpm.CSVVal
)),"")</f>
        <v/>
      </c>
      <c r="R384" s="40"/>
      <c r="S384" s="40"/>
      <c r="T384" s="40"/>
      <c r="U384" s="40"/>
      <c r="V384" s="40"/>
      <c r="W384" s="40"/>
      <c r="X384" s="41" t="str">
        <f>_xlfn.LET(
    _xlpm.MacVal, _xlfn.XLOOKUP($A384, Output_Mac!$A:$A, Output_Mac!AB:AB, ""),
    _xlpm.MyAuditVal, _xlfn.XLOOKUP($A384, My_Audit!$A:$A, My_Audit!N:N, ""),
    _xlfn.TEXTJOIN(", ", TRUE, _xlpm.MyAuditVal, _xlpm.MacVal)
)</f>
        <v/>
      </c>
    </row>
    <row r="385" spans="1:24">
      <c r="A385" s="40" t="str">
        <f>_xlfn.TEXTJOIN("",TRUE,Input!$B$2,ROW(My_Audit!A384))</f>
        <v>X384</v>
      </c>
      <c r="B385" s="40" t="str">
        <f>_xlfn.TEXTJOIN("-",TRUE,"ITD",Input!$A$2,A385)</f>
        <v>ITD-X384</v>
      </c>
      <c r="C385" s="40" t="str" cm="1">
        <f t="array" ref="C385">IFERROR(_xlfn.LET(
_xlpm.CSVVal,_xlfn.XLOOKUP($A385,CSV!$A:$A,CSV!B:B,""),
_xlpm.MacVal,_xlfn.XLOOKUP($A385,Output_Mac!$A:$A,Output_Mac!B:B,""),
_xlpm.MyAuditVal,_xlfn.XLOOKUP($A385,My_Audit!$A:$A,My_Audit!B:B,""),
_xlfn.IFS(_xlpm.MyAuditVal&lt;&gt;"",UPPER(_xlpm.MyAuditVal),_xlpm.MacVal&lt;&gt;"",_xlpm.MacVal,_xlpm.CSVVal&lt;&gt;"",_xlpm.CSVVal
)),"")</f>
        <v/>
      </c>
      <c r="D385" s="40" t="str" cm="1">
        <f t="array" ref="D385">IFERROR(_xlfn.LET(
_xlpm.CSVVal,_xlfn.XLOOKUP($A385,CSV!$A:$A,CSV!D:D,""),
_xlpm.MacVal,_xlfn.XLOOKUP($A385,Output_Mac!$A:$A,Output_Mac!C:C,""),
_xlpm.MyAuditVal,_xlfn.XLOOKUP($A385,My_Audit!$A:$A,My_Audit!C:C,""),
_xlfn.IFS(_xlpm.MyAuditVal&lt;&gt;"",_xlpm.MyAuditVal,_xlpm.MacVal&lt;&gt;"",_xlpm.MacVal,_xlpm.CSVVal&lt;&gt;"",_xlpm.CSVVal
)),"")</f>
        <v/>
      </c>
      <c r="E385" s="40">
        <f>_xlfn.XLOOKUP(A385,My_Audit!A:A,My_Audit!D:D,"")</f>
        <v>0</v>
      </c>
      <c r="F385" s="40" t="str" cm="1">
        <f t="array" ref="F385">IFERROR(_xlfn.LET(
_xlpm.CSVVal,_xlfn.XLOOKUP($A385,CSV!$A:$A,CSV!F:F,""),
_xlpm.MacVal,_xlfn.XLOOKUP($A385,Output_Mac!$A:$A,Output_Mac!E:E,""),
_xlpm.MyAuditVal,_xlfn.XLOOKUP($A385,My_Audit!$A:$A,My_Audit!E:E,""),
_xlfn.IFS(_xlpm.MyAuditVal&lt;&gt;"",_xlpm.MyAuditVal,_xlpm.MacVal&lt;&gt;"",_xlpm.MacVal,_xlpm.CSVVal&lt;&gt;"",_xlpm.CSVVal
)),"")</f>
        <v/>
      </c>
      <c r="G385" s="40" t="str" cm="1">
        <f t="array" ref="G385">IFERROR(_xlfn.LET(
_xlpm.CSVVal,_xlfn.XLOOKUP($A385,CSV!$A:$A,CSV!G:G,""),
_xlpm.MacVal,_xlfn.XLOOKUP($A385,Output_Mac!$A:$A,Output_Mac!F:F,""),
_xlpm.MyAuditVal,_xlfn.XLOOKUP($A385,My_Audit!$A:$A,My_Audit!F:F,""),
_xlfn.IFS(_xlpm.MyAuditVal&lt;&gt;"",_xlpm.MyAuditVal,_xlpm.MacVal&lt;&gt;"",_xlpm.MacVal,_xlpm.CSVVal&lt;&gt;"",PROPER(_xlpm.CSVVal)
)),"")</f>
        <v/>
      </c>
      <c r="H385" s="40" t="str" cm="1">
        <f t="array" ref="H385">IFERROR(_xlfn.LET(
_xlpm.CSVVal,_xlfn.XLOOKUP($A385,CSV!$A:$A,CSV!H:H,""),
_xlpm.MacVal,_xlfn.XLOOKUP($A385,Output_Mac!$A:$A,Output_Mac!H:H,""),
_xlpm.MyAuditVal,_xlfn.XLOOKUP($A385,My_Audit!$A:$A,My_Audit!G:G,""),
_xlfn.IFS(_xlpm.MyAuditVal&lt;&gt;"",_xlpm.MyAuditVal,_xlpm.MacVal&lt;&gt;"",_xlpm.MacVal,_xlpm.CSVVal&lt;&gt;"",_xlpm.CSVVal
)),"")</f>
        <v/>
      </c>
      <c r="I385" s="40" t="str">
        <f>_xlfn.XLOOKUP(A385,Output_Mac!A:A,Output_Mac!I:I,"")</f>
        <v/>
      </c>
      <c r="J385" s="40" t="str" cm="1">
        <f t="array" ref="J385">IFERROR(_xlfn.LET(
_xlpm.CSVVal,_xlfn.XLOOKUP($A385,CSV!$A:$A,CSV!I:I,""),
_xlpm.MacVal,_xlfn.XLOOKUP($A385,Output_Mac!$A:$A,Output_Mac!J:J,""),
_xlpm.MyAuditVal,_xlfn.XLOOKUP($A385,My_Audit!$A:$A,My_Audit!I:I,""),
_xlfn.IFS(_xlpm.MyAuditVal&lt;&gt;"",UPPER(_xlpm.MyAuditVal),_xlpm.MacVal&lt;&gt;"",_xlpm.MacVal,_xlpm.CSVVal&lt;&gt;"",_xlpm.CSVVal
)),"")</f>
        <v/>
      </c>
      <c r="K385" s="40" t="str" cm="1">
        <f t="array" ref="K385">IFERROR(_xlfn.LET(
_xlpm.CSVVal,_xlfn.XLOOKUP($A385,CSV!$A:$A,CSV!K:K,""),
_xlpm.MacVal,_xlfn.XLOOKUP($A385,Output_Mac!$A:$A,Output_Mac!K:K,""),
_xlpm.MyAuditVal,_xlfn.XLOOKUP($A385,My_Audit!$A:$A,My_Audit!J:J,""),
_xlfn.IFS(_xlpm.MyAuditVal&lt;&gt;"",UPPER(_xlpm.MyAuditVal),_xlpm.MacVal&lt;&gt;"",_xlpm.MacVal,_xlpm.CSVVal&lt;&gt;"",_xlpm.CSVVal
)),"")</f>
        <v/>
      </c>
      <c r="L385" s="40" t="str" cm="1">
        <f t="array" ref="L385">IFERROR(_xlfn.LET(
_xlpm.CSVVal,_xlfn.XLOOKUP($A385,CSV!$A:$A,CSV!P:P,""),
_xlpm.MacVal,_xlfn.XLOOKUP($A385,Output_Mac!$A:$A,Output_Mac!L:L,""),
_xlpm.MyAuditVal,_xlfn.XLOOKUP($A385,My_Audit!$A:$A,My_Audit!K:K,""),
_xlfn.IFS(_xlpm.MyAuditVal&lt;&gt;"",UPPER(_xlpm.MyAuditVal),_xlpm.MacVal&lt;&gt;"",_xlpm.MacVal,_xlpm.CSVVal&lt;&gt;"",_xlpm.CSVVal
)),"")</f>
        <v/>
      </c>
      <c r="M385" s="40" t="str" cm="1">
        <f t="array" ref="M385">IFERROR(_xlfn.LET(
_xlpm.CSVVal,_xlfn.XLOOKUP($A385,CSV!$A:$A,CSV!Q:Q,""),
_xlpm.MacVal,_xlfn.XLOOKUP($A385,Output_Mac!$A:$A,Output_Mac!M:M,""),
_xlpm.MyAuditVal,_xlfn.XLOOKUP($A385,My_Audit!$A:$A,My_Audit!L:L,""),
_xlfn.IFS(_xlpm.MyAuditVal&lt;&gt;"",UPPER(_xlpm.MyAuditVal),_xlpm.MacVal&lt;&gt;"",_xlpm.MacVal,_xlpm.CSVVal&lt;&gt;"",_xlpm.CSVVal
)),"")</f>
        <v/>
      </c>
      <c r="N385" s="40"/>
      <c r="O385" s="40" t="str">
        <f>_xlfn.LET(
    _xlpm.CSVVal, _xlfn.XLOOKUP($A385, CSV!$A:$A, CSV!AA:AA, ""),
    _xlpm.MacVal, _xlfn.XLOOKUP($A385, Output_Mac!$A:$A, Output_Mac!S:S, ""),
    _xlpm.MyAuditVal, _xlfn.XLOOKUP($A385, My_Audit!$A:$A, My_Audit!P:P, ""),
    _xlfn.TEXTJOIN(", ", TRUE, _xlpm.MyAuditVal, _xlpm.MacVal, _xlpm.CSVVal)
)</f>
        <v/>
      </c>
      <c r="P385" s="40" t="str" cm="1">
        <f t="array" ref="P385">IFERROR(_xlfn.LET(
_xlpm.CSVVal,_xlfn.XLOOKUP($A385,CSV!$A:$A,CSV!AB:AB,""),
_xlpm.MacVal,_xlfn.XLOOKUP($A385,Output_Mac!$A:$A,Output_Mac!T:T,""),
_xlpm.MyAuditVal,_xlfn.XLOOKUP($A385,My_Audit!$A:$A,My_Audit!Q:Q,""),
_xlfn.IFS(_xlpm.MyAuditVal&lt;&gt;"",UPPER(_xlpm.MyAuditVal),_xlpm.MacVal&lt;&gt;"",_xlpm.MacVal,_xlpm.CSVVal&lt;&gt;"",_xlpm.CSVVal
)),"No")</f>
        <v>No</v>
      </c>
      <c r="Q385" s="40" t="str" cm="1">
        <f t="array" ref="Q385">IFERROR(_xlfn.LET(
_xlpm.CSVVal,_xlfn.XLOOKUP($A385,CSV!$A:$A,CSV!AC:AC,""),
_xlpm.MacVal,_xlfn.XLOOKUP($A385,Output_Mac!$A:$A,Output_Mac!U:U,""),
_xlpm.MyAuditVal,_xlfn.XLOOKUP($A385,My_Audit!$A:$A,My_Audit!R:R,""),
_xlfn.IFS(_xlpm.MyAuditVal&lt;&gt;"",UPPER(_xlpm.MyAuditVal),_xlpm.MacVal&lt;&gt;"",_xlpm.MacVal,_xlpm.CSVVal&lt;&gt;"",_xlpm.CSVVal
)),"")</f>
        <v/>
      </c>
      <c r="R385" s="40"/>
      <c r="S385" s="40"/>
      <c r="T385" s="40"/>
      <c r="U385" s="40"/>
      <c r="V385" s="40"/>
      <c r="W385" s="40"/>
      <c r="X385" s="41" t="str">
        <f>_xlfn.LET(
    _xlpm.MacVal, _xlfn.XLOOKUP($A385, Output_Mac!$A:$A, Output_Mac!AB:AB, ""),
    _xlpm.MyAuditVal, _xlfn.XLOOKUP($A385, My_Audit!$A:$A, My_Audit!N:N, ""),
    _xlfn.TEXTJOIN(", ", TRUE, _xlpm.MyAuditVal, _xlpm.MacVal)
)</f>
        <v/>
      </c>
    </row>
    <row r="386" spans="1:24">
      <c r="A386" s="40" t="str">
        <f>_xlfn.TEXTJOIN("",TRUE,Input!$B$2,ROW(My_Audit!A385))</f>
        <v>X385</v>
      </c>
      <c r="B386" s="40" t="str">
        <f>_xlfn.TEXTJOIN("-",TRUE,"ITD",Input!$A$2,A386)</f>
        <v>ITD-X385</v>
      </c>
      <c r="C386" s="40" t="str" cm="1">
        <f t="array" ref="C386">IFERROR(_xlfn.LET(
_xlpm.CSVVal,_xlfn.XLOOKUP($A386,CSV!$A:$A,CSV!B:B,""),
_xlpm.MacVal,_xlfn.XLOOKUP($A386,Output_Mac!$A:$A,Output_Mac!B:B,""),
_xlpm.MyAuditVal,_xlfn.XLOOKUP($A386,My_Audit!$A:$A,My_Audit!B:B,""),
_xlfn.IFS(_xlpm.MyAuditVal&lt;&gt;"",UPPER(_xlpm.MyAuditVal),_xlpm.MacVal&lt;&gt;"",_xlpm.MacVal,_xlpm.CSVVal&lt;&gt;"",_xlpm.CSVVal
)),"")</f>
        <v/>
      </c>
      <c r="D386" s="40" t="str" cm="1">
        <f t="array" ref="D386">IFERROR(_xlfn.LET(
_xlpm.CSVVal,_xlfn.XLOOKUP($A386,CSV!$A:$A,CSV!D:D,""),
_xlpm.MacVal,_xlfn.XLOOKUP($A386,Output_Mac!$A:$A,Output_Mac!C:C,""),
_xlpm.MyAuditVal,_xlfn.XLOOKUP($A386,My_Audit!$A:$A,My_Audit!C:C,""),
_xlfn.IFS(_xlpm.MyAuditVal&lt;&gt;"",_xlpm.MyAuditVal,_xlpm.MacVal&lt;&gt;"",_xlpm.MacVal,_xlpm.CSVVal&lt;&gt;"",_xlpm.CSVVal
)),"")</f>
        <v/>
      </c>
      <c r="E386" s="40">
        <f>_xlfn.XLOOKUP(A386,My_Audit!A:A,My_Audit!D:D,"")</f>
        <v>0</v>
      </c>
      <c r="F386" s="40" t="str" cm="1">
        <f t="array" ref="F386">IFERROR(_xlfn.LET(
_xlpm.CSVVal,_xlfn.XLOOKUP($A386,CSV!$A:$A,CSV!F:F,""),
_xlpm.MacVal,_xlfn.XLOOKUP($A386,Output_Mac!$A:$A,Output_Mac!E:E,""),
_xlpm.MyAuditVal,_xlfn.XLOOKUP($A386,My_Audit!$A:$A,My_Audit!E:E,""),
_xlfn.IFS(_xlpm.MyAuditVal&lt;&gt;"",_xlpm.MyAuditVal,_xlpm.MacVal&lt;&gt;"",_xlpm.MacVal,_xlpm.CSVVal&lt;&gt;"",_xlpm.CSVVal
)),"")</f>
        <v/>
      </c>
      <c r="G386" s="40" t="str" cm="1">
        <f t="array" ref="G386">IFERROR(_xlfn.LET(
_xlpm.CSVVal,_xlfn.XLOOKUP($A386,CSV!$A:$A,CSV!G:G,""),
_xlpm.MacVal,_xlfn.XLOOKUP($A386,Output_Mac!$A:$A,Output_Mac!F:F,""),
_xlpm.MyAuditVal,_xlfn.XLOOKUP($A386,My_Audit!$A:$A,My_Audit!F:F,""),
_xlfn.IFS(_xlpm.MyAuditVal&lt;&gt;"",_xlpm.MyAuditVal,_xlpm.MacVal&lt;&gt;"",_xlpm.MacVal,_xlpm.CSVVal&lt;&gt;"",PROPER(_xlpm.CSVVal)
)),"")</f>
        <v/>
      </c>
      <c r="H386" s="40" t="str" cm="1">
        <f t="array" ref="H386">IFERROR(_xlfn.LET(
_xlpm.CSVVal,_xlfn.XLOOKUP($A386,CSV!$A:$A,CSV!H:H,""),
_xlpm.MacVal,_xlfn.XLOOKUP($A386,Output_Mac!$A:$A,Output_Mac!H:H,""),
_xlpm.MyAuditVal,_xlfn.XLOOKUP($A386,My_Audit!$A:$A,My_Audit!G:G,""),
_xlfn.IFS(_xlpm.MyAuditVal&lt;&gt;"",_xlpm.MyAuditVal,_xlpm.MacVal&lt;&gt;"",_xlpm.MacVal,_xlpm.CSVVal&lt;&gt;"",_xlpm.CSVVal
)),"")</f>
        <v/>
      </c>
      <c r="I386" s="40" t="str">
        <f>_xlfn.XLOOKUP(A386,Output_Mac!A:A,Output_Mac!I:I,"")</f>
        <v/>
      </c>
      <c r="J386" s="40" t="str" cm="1">
        <f t="array" ref="J386">IFERROR(_xlfn.LET(
_xlpm.CSVVal,_xlfn.XLOOKUP($A386,CSV!$A:$A,CSV!I:I,""),
_xlpm.MacVal,_xlfn.XLOOKUP($A386,Output_Mac!$A:$A,Output_Mac!J:J,""),
_xlpm.MyAuditVal,_xlfn.XLOOKUP($A386,My_Audit!$A:$A,My_Audit!I:I,""),
_xlfn.IFS(_xlpm.MyAuditVal&lt;&gt;"",UPPER(_xlpm.MyAuditVal),_xlpm.MacVal&lt;&gt;"",_xlpm.MacVal,_xlpm.CSVVal&lt;&gt;"",_xlpm.CSVVal
)),"")</f>
        <v/>
      </c>
      <c r="K386" s="40" t="str" cm="1">
        <f t="array" ref="K386">IFERROR(_xlfn.LET(
_xlpm.CSVVal,_xlfn.XLOOKUP($A386,CSV!$A:$A,CSV!K:K,""),
_xlpm.MacVal,_xlfn.XLOOKUP($A386,Output_Mac!$A:$A,Output_Mac!K:K,""),
_xlpm.MyAuditVal,_xlfn.XLOOKUP($A386,My_Audit!$A:$A,My_Audit!J:J,""),
_xlfn.IFS(_xlpm.MyAuditVal&lt;&gt;"",UPPER(_xlpm.MyAuditVal),_xlpm.MacVal&lt;&gt;"",_xlpm.MacVal,_xlpm.CSVVal&lt;&gt;"",_xlpm.CSVVal
)),"")</f>
        <v/>
      </c>
      <c r="L386" s="40" t="str" cm="1">
        <f t="array" ref="L386">IFERROR(_xlfn.LET(
_xlpm.CSVVal,_xlfn.XLOOKUP($A386,CSV!$A:$A,CSV!P:P,""),
_xlpm.MacVal,_xlfn.XLOOKUP($A386,Output_Mac!$A:$A,Output_Mac!L:L,""),
_xlpm.MyAuditVal,_xlfn.XLOOKUP($A386,My_Audit!$A:$A,My_Audit!K:K,""),
_xlfn.IFS(_xlpm.MyAuditVal&lt;&gt;"",UPPER(_xlpm.MyAuditVal),_xlpm.MacVal&lt;&gt;"",_xlpm.MacVal,_xlpm.CSVVal&lt;&gt;"",_xlpm.CSVVal
)),"")</f>
        <v/>
      </c>
      <c r="M386" s="40" t="str" cm="1">
        <f t="array" ref="M386">IFERROR(_xlfn.LET(
_xlpm.CSVVal,_xlfn.XLOOKUP($A386,CSV!$A:$A,CSV!Q:Q,""),
_xlpm.MacVal,_xlfn.XLOOKUP($A386,Output_Mac!$A:$A,Output_Mac!M:M,""),
_xlpm.MyAuditVal,_xlfn.XLOOKUP($A386,My_Audit!$A:$A,My_Audit!L:L,""),
_xlfn.IFS(_xlpm.MyAuditVal&lt;&gt;"",UPPER(_xlpm.MyAuditVal),_xlpm.MacVal&lt;&gt;"",_xlpm.MacVal,_xlpm.CSVVal&lt;&gt;"",_xlpm.CSVVal
)),"")</f>
        <v/>
      </c>
      <c r="N386" s="40"/>
      <c r="O386" s="40" t="str">
        <f>_xlfn.LET(
    _xlpm.CSVVal, _xlfn.XLOOKUP($A386, CSV!$A:$A, CSV!AA:AA, ""),
    _xlpm.MacVal, _xlfn.XLOOKUP($A386, Output_Mac!$A:$A, Output_Mac!S:S, ""),
    _xlpm.MyAuditVal, _xlfn.XLOOKUP($A386, My_Audit!$A:$A, My_Audit!P:P, ""),
    _xlfn.TEXTJOIN(", ", TRUE, _xlpm.MyAuditVal, _xlpm.MacVal, _xlpm.CSVVal)
)</f>
        <v/>
      </c>
      <c r="P386" s="40" t="str" cm="1">
        <f t="array" ref="P386">IFERROR(_xlfn.LET(
_xlpm.CSVVal,_xlfn.XLOOKUP($A386,CSV!$A:$A,CSV!AB:AB,""),
_xlpm.MacVal,_xlfn.XLOOKUP($A386,Output_Mac!$A:$A,Output_Mac!T:T,""),
_xlpm.MyAuditVal,_xlfn.XLOOKUP($A386,My_Audit!$A:$A,My_Audit!Q:Q,""),
_xlfn.IFS(_xlpm.MyAuditVal&lt;&gt;"",UPPER(_xlpm.MyAuditVal),_xlpm.MacVal&lt;&gt;"",_xlpm.MacVal,_xlpm.CSVVal&lt;&gt;"",_xlpm.CSVVal
)),"No")</f>
        <v>No</v>
      </c>
      <c r="Q386" s="40" t="str" cm="1">
        <f t="array" ref="Q386">IFERROR(_xlfn.LET(
_xlpm.CSVVal,_xlfn.XLOOKUP($A386,CSV!$A:$A,CSV!AC:AC,""),
_xlpm.MacVal,_xlfn.XLOOKUP($A386,Output_Mac!$A:$A,Output_Mac!U:U,""),
_xlpm.MyAuditVal,_xlfn.XLOOKUP($A386,My_Audit!$A:$A,My_Audit!R:R,""),
_xlfn.IFS(_xlpm.MyAuditVal&lt;&gt;"",UPPER(_xlpm.MyAuditVal),_xlpm.MacVal&lt;&gt;"",_xlpm.MacVal,_xlpm.CSVVal&lt;&gt;"",_xlpm.CSVVal
)),"")</f>
        <v/>
      </c>
      <c r="R386" s="40"/>
      <c r="S386" s="40"/>
      <c r="T386" s="40"/>
      <c r="U386" s="40"/>
      <c r="V386" s="40"/>
      <c r="W386" s="40"/>
      <c r="X386" s="41" t="str">
        <f>_xlfn.LET(
    _xlpm.MacVal, _xlfn.XLOOKUP($A386, Output_Mac!$A:$A, Output_Mac!AB:AB, ""),
    _xlpm.MyAuditVal, _xlfn.XLOOKUP($A386, My_Audit!$A:$A, My_Audit!N:N, ""),
    _xlfn.TEXTJOIN(", ", TRUE, _xlpm.MyAuditVal, _xlpm.MacVal)
)</f>
        <v/>
      </c>
    </row>
    <row r="387" spans="1:24">
      <c r="A387" s="40" t="str">
        <f>_xlfn.TEXTJOIN("",TRUE,Input!$B$2,ROW(My_Audit!A386))</f>
        <v>X386</v>
      </c>
      <c r="B387" s="40" t="str">
        <f>_xlfn.TEXTJOIN("-",TRUE,"ITD",Input!$A$2,A387)</f>
        <v>ITD-X386</v>
      </c>
      <c r="C387" s="40" t="str" cm="1">
        <f t="array" ref="C387">IFERROR(_xlfn.LET(
_xlpm.CSVVal,_xlfn.XLOOKUP($A387,CSV!$A:$A,CSV!B:B,""),
_xlpm.MacVal,_xlfn.XLOOKUP($A387,Output_Mac!$A:$A,Output_Mac!B:B,""),
_xlpm.MyAuditVal,_xlfn.XLOOKUP($A387,My_Audit!$A:$A,My_Audit!B:B,""),
_xlfn.IFS(_xlpm.MyAuditVal&lt;&gt;"",UPPER(_xlpm.MyAuditVal),_xlpm.MacVal&lt;&gt;"",_xlpm.MacVal,_xlpm.CSVVal&lt;&gt;"",_xlpm.CSVVal
)),"")</f>
        <v/>
      </c>
      <c r="D387" s="40" t="str" cm="1">
        <f t="array" ref="D387">IFERROR(_xlfn.LET(
_xlpm.CSVVal,_xlfn.XLOOKUP($A387,CSV!$A:$A,CSV!D:D,""),
_xlpm.MacVal,_xlfn.XLOOKUP($A387,Output_Mac!$A:$A,Output_Mac!C:C,""),
_xlpm.MyAuditVal,_xlfn.XLOOKUP($A387,My_Audit!$A:$A,My_Audit!C:C,""),
_xlfn.IFS(_xlpm.MyAuditVal&lt;&gt;"",_xlpm.MyAuditVal,_xlpm.MacVal&lt;&gt;"",_xlpm.MacVal,_xlpm.CSVVal&lt;&gt;"",_xlpm.CSVVal
)),"")</f>
        <v/>
      </c>
      <c r="E387" s="40">
        <f>_xlfn.XLOOKUP(A387,My_Audit!A:A,My_Audit!D:D,"")</f>
        <v>0</v>
      </c>
      <c r="F387" s="40" t="str" cm="1">
        <f t="array" ref="F387">IFERROR(_xlfn.LET(
_xlpm.CSVVal,_xlfn.XLOOKUP($A387,CSV!$A:$A,CSV!F:F,""),
_xlpm.MacVal,_xlfn.XLOOKUP($A387,Output_Mac!$A:$A,Output_Mac!E:E,""),
_xlpm.MyAuditVal,_xlfn.XLOOKUP($A387,My_Audit!$A:$A,My_Audit!E:E,""),
_xlfn.IFS(_xlpm.MyAuditVal&lt;&gt;"",_xlpm.MyAuditVal,_xlpm.MacVal&lt;&gt;"",_xlpm.MacVal,_xlpm.CSVVal&lt;&gt;"",_xlpm.CSVVal
)),"")</f>
        <v/>
      </c>
      <c r="G387" s="40" t="str" cm="1">
        <f t="array" ref="G387">IFERROR(_xlfn.LET(
_xlpm.CSVVal,_xlfn.XLOOKUP($A387,CSV!$A:$A,CSV!G:G,""),
_xlpm.MacVal,_xlfn.XLOOKUP($A387,Output_Mac!$A:$A,Output_Mac!F:F,""),
_xlpm.MyAuditVal,_xlfn.XLOOKUP($A387,My_Audit!$A:$A,My_Audit!F:F,""),
_xlfn.IFS(_xlpm.MyAuditVal&lt;&gt;"",_xlpm.MyAuditVal,_xlpm.MacVal&lt;&gt;"",_xlpm.MacVal,_xlpm.CSVVal&lt;&gt;"",PROPER(_xlpm.CSVVal)
)),"")</f>
        <v/>
      </c>
      <c r="H387" s="40" t="str" cm="1">
        <f t="array" ref="H387">IFERROR(_xlfn.LET(
_xlpm.CSVVal,_xlfn.XLOOKUP($A387,CSV!$A:$A,CSV!H:H,""),
_xlpm.MacVal,_xlfn.XLOOKUP($A387,Output_Mac!$A:$A,Output_Mac!H:H,""),
_xlpm.MyAuditVal,_xlfn.XLOOKUP($A387,My_Audit!$A:$A,My_Audit!G:G,""),
_xlfn.IFS(_xlpm.MyAuditVal&lt;&gt;"",_xlpm.MyAuditVal,_xlpm.MacVal&lt;&gt;"",_xlpm.MacVal,_xlpm.CSVVal&lt;&gt;"",_xlpm.CSVVal
)),"")</f>
        <v/>
      </c>
      <c r="I387" s="40" t="str">
        <f>_xlfn.XLOOKUP(A387,Output_Mac!A:A,Output_Mac!I:I,"")</f>
        <v/>
      </c>
      <c r="J387" s="40" t="str" cm="1">
        <f t="array" ref="J387">IFERROR(_xlfn.LET(
_xlpm.CSVVal,_xlfn.XLOOKUP($A387,CSV!$A:$A,CSV!I:I,""),
_xlpm.MacVal,_xlfn.XLOOKUP($A387,Output_Mac!$A:$A,Output_Mac!J:J,""),
_xlpm.MyAuditVal,_xlfn.XLOOKUP($A387,My_Audit!$A:$A,My_Audit!I:I,""),
_xlfn.IFS(_xlpm.MyAuditVal&lt;&gt;"",UPPER(_xlpm.MyAuditVal),_xlpm.MacVal&lt;&gt;"",_xlpm.MacVal,_xlpm.CSVVal&lt;&gt;"",_xlpm.CSVVal
)),"")</f>
        <v/>
      </c>
      <c r="K387" s="40" t="str" cm="1">
        <f t="array" ref="K387">IFERROR(_xlfn.LET(
_xlpm.CSVVal,_xlfn.XLOOKUP($A387,CSV!$A:$A,CSV!K:K,""),
_xlpm.MacVal,_xlfn.XLOOKUP($A387,Output_Mac!$A:$A,Output_Mac!K:K,""),
_xlpm.MyAuditVal,_xlfn.XLOOKUP($A387,My_Audit!$A:$A,My_Audit!J:J,""),
_xlfn.IFS(_xlpm.MyAuditVal&lt;&gt;"",UPPER(_xlpm.MyAuditVal),_xlpm.MacVal&lt;&gt;"",_xlpm.MacVal,_xlpm.CSVVal&lt;&gt;"",_xlpm.CSVVal
)),"")</f>
        <v/>
      </c>
      <c r="L387" s="40" t="str" cm="1">
        <f t="array" ref="L387">IFERROR(_xlfn.LET(
_xlpm.CSVVal,_xlfn.XLOOKUP($A387,CSV!$A:$A,CSV!P:P,""),
_xlpm.MacVal,_xlfn.XLOOKUP($A387,Output_Mac!$A:$A,Output_Mac!L:L,""),
_xlpm.MyAuditVal,_xlfn.XLOOKUP($A387,My_Audit!$A:$A,My_Audit!K:K,""),
_xlfn.IFS(_xlpm.MyAuditVal&lt;&gt;"",UPPER(_xlpm.MyAuditVal),_xlpm.MacVal&lt;&gt;"",_xlpm.MacVal,_xlpm.CSVVal&lt;&gt;"",_xlpm.CSVVal
)),"")</f>
        <v/>
      </c>
      <c r="M387" s="40" t="str" cm="1">
        <f t="array" ref="M387">IFERROR(_xlfn.LET(
_xlpm.CSVVal,_xlfn.XLOOKUP($A387,CSV!$A:$A,CSV!Q:Q,""),
_xlpm.MacVal,_xlfn.XLOOKUP($A387,Output_Mac!$A:$A,Output_Mac!M:M,""),
_xlpm.MyAuditVal,_xlfn.XLOOKUP($A387,My_Audit!$A:$A,My_Audit!L:L,""),
_xlfn.IFS(_xlpm.MyAuditVal&lt;&gt;"",UPPER(_xlpm.MyAuditVal),_xlpm.MacVal&lt;&gt;"",_xlpm.MacVal,_xlpm.CSVVal&lt;&gt;"",_xlpm.CSVVal
)),"")</f>
        <v/>
      </c>
      <c r="N387" s="40"/>
      <c r="O387" s="40" t="str">
        <f>_xlfn.LET(
    _xlpm.CSVVal, _xlfn.XLOOKUP($A387, CSV!$A:$A, CSV!AA:AA, ""),
    _xlpm.MacVal, _xlfn.XLOOKUP($A387, Output_Mac!$A:$A, Output_Mac!S:S, ""),
    _xlpm.MyAuditVal, _xlfn.XLOOKUP($A387, My_Audit!$A:$A, My_Audit!P:P, ""),
    _xlfn.TEXTJOIN(", ", TRUE, _xlpm.MyAuditVal, _xlpm.MacVal, _xlpm.CSVVal)
)</f>
        <v/>
      </c>
      <c r="P387" s="40" t="str" cm="1">
        <f t="array" ref="P387">IFERROR(_xlfn.LET(
_xlpm.CSVVal,_xlfn.XLOOKUP($A387,CSV!$A:$A,CSV!AB:AB,""),
_xlpm.MacVal,_xlfn.XLOOKUP($A387,Output_Mac!$A:$A,Output_Mac!T:T,""),
_xlpm.MyAuditVal,_xlfn.XLOOKUP($A387,My_Audit!$A:$A,My_Audit!Q:Q,""),
_xlfn.IFS(_xlpm.MyAuditVal&lt;&gt;"",UPPER(_xlpm.MyAuditVal),_xlpm.MacVal&lt;&gt;"",_xlpm.MacVal,_xlpm.CSVVal&lt;&gt;"",_xlpm.CSVVal
)),"No")</f>
        <v>No</v>
      </c>
      <c r="Q387" s="40" t="str" cm="1">
        <f t="array" ref="Q387">IFERROR(_xlfn.LET(
_xlpm.CSVVal,_xlfn.XLOOKUP($A387,CSV!$A:$A,CSV!AC:AC,""),
_xlpm.MacVal,_xlfn.XLOOKUP($A387,Output_Mac!$A:$A,Output_Mac!U:U,""),
_xlpm.MyAuditVal,_xlfn.XLOOKUP($A387,My_Audit!$A:$A,My_Audit!R:R,""),
_xlfn.IFS(_xlpm.MyAuditVal&lt;&gt;"",UPPER(_xlpm.MyAuditVal),_xlpm.MacVal&lt;&gt;"",_xlpm.MacVal,_xlpm.CSVVal&lt;&gt;"",_xlpm.CSVVal
)),"")</f>
        <v/>
      </c>
      <c r="R387" s="40"/>
      <c r="S387" s="40"/>
      <c r="T387" s="40"/>
      <c r="U387" s="40"/>
      <c r="V387" s="40"/>
      <c r="W387" s="40"/>
      <c r="X387" s="41" t="str">
        <f>_xlfn.LET(
    _xlpm.MacVal, _xlfn.XLOOKUP($A387, Output_Mac!$A:$A, Output_Mac!AB:AB, ""),
    _xlpm.MyAuditVal, _xlfn.XLOOKUP($A387, My_Audit!$A:$A, My_Audit!N:N, ""),
    _xlfn.TEXTJOIN(", ", TRUE, _xlpm.MyAuditVal, _xlpm.MacVal)
)</f>
        <v/>
      </c>
    </row>
    <row r="388" spans="1:24">
      <c r="A388" s="40" t="str">
        <f>_xlfn.TEXTJOIN("",TRUE,Input!$B$2,ROW(My_Audit!A387))</f>
        <v>X387</v>
      </c>
      <c r="B388" s="40" t="str">
        <f>_xlfn.TEXTJOIN("-",TRUE,"ITD",Input!$A$2,A388)</f>
        <v>ITD-X387</v>
      </c>
      <c r="C388" s="40" t="str" cm="1">
        <f t="array" ref="C388">IFERROR(_xlfn.LET(
_xlpm.CSVVal,_xlfn.XLOOKUP($A388,CSV!$A:$A,CSV!B:B,""),
_xlpm.MacVal,_xlfn.XLOOKUP($A388,Output_Mac!$A:$A,Output_Mac!B:B,""),
_xlpm.MyAuditVal,_xlfn.XLOOKUP($A388,My_Audit!$A:$A,My_Audit!B:B,""),
_xlfn.IFS(_xlpm.MyAuditVal&lt;&gt;"",UPPER(_xlpm.MyAuditVal),_xlpm.MacVal&lt;&gt;"",_xlpm.MacVal,_xlpm.CSVVal&lt;&gt;"",_xlpm.CSVVal
)),"")</f>
        <v/>
      </c>
      <c r="D388" s="40" t="str" cm="1">
        <f t="array" ref="D388">IFERROR(_xlfn.LET(
_xlpm.CSVVal,_xlfn.XLOOKUP($A388,CSV!$A:$A,CSV!D:D,""),
_xlpm.MacVal,_xlfn.XLOOKUP($A388,Output_Mac!$A:$A,Output_Mac!C:C,""),
_xlpm.MyAuditVal,_xlfn.XLOOKUP($A388,My_Audit!$A:$A,My_Audit!C:C,""),
_xlfn.IFS(_xlpm.MyAuditVal&lt;&gt;"",_xlpm.MyAuditVal,_xlpm.MacVal&lt;&gt;"",_xlpm.MacVal,_xlpm.CSVVal&lt;&gt;"",_xlpm.CSVVal
)),"")</f>
        <v/>
      </c>
      <c r="E388" s="40">
        <f>_xlfn.XLOOKUP(A388,My_Audit!A:A,My_Audit!D:D,"")</f>
        <v>0</v>
      </c>
      <c r="F388" s="40" t="str" cm="1">
        <f t="array" ref="F388">IFERROR(_xlfn.LET(
_xlpm.CSVVal,_xlfn.XLOOKUP($A388,CSV!$A:$A,CSV!F:F,""),
_xlpm.MacVal,_xlfn.XLOOKUP($A388,Output_Mac!$A:$A,Output_Mac!E:E,""),
_xlpm.MyAuditVal,_xlfn.XLOOKUP($A388,My_Audit!$A:$A,My_Audit!E:E,""),
_xlfn.IFS(_xlpm.MyAuditVal&lt;&gt;"",_xlpm.MyAuditVal,_xlpm.MacVal&lt;&gt;"",_xlpm.MacVal,_xlpm.CSVVal&lt;&gt;"",_xlpm.CSVVal
)),"")</f>
        <v/>
      </c>
      <c r="G388" s="40" t="str" cm="1">
        <f t="array" ref="G388">IFERROR(_xlfn.LET(
_xlpm.CSVVal,_xlfn.XLOOKUP($A388,CSV!$A:$A,CSV!G:G,""),
_xlpm.MacVal,_xlfn.XLOOKUP($A388,Output_Mac!$A:$A,Output_Mac!F:F,""),
_xlpm.MyAuditVal,_xlfn.XLOOKUP($A388,My_Audit!$A:$A,My_Audit!F:F,""),
_xlfn.IFS(_xlpm.MyAuditVal&lt;&gt;"",_xlpm.MyAuditVal,_xlpm.MacVal&lt;&gt;"",_xlpm.MacVal,_xlpm.CSVVal&lt;&gt;"",PROPER(_xlpm.CSVVal)
)),"")</f>
        <v/>
      </c>
      <c r="H388" s="40" t="str" cm="1">
        <f t="array" ref="H388">IFERROR(_xlfn.LET(
_xlpm.CSVVal,_xlfn.XLOOKUP($A388,CSV!$A:$A,CSV!H:H,""),
_xlpm.MacVal,_xlfn.XLOOKUP($A388,Output_Mac!$A:$A,Output_Mac!H:H,""),
_xlpm.MyAuditVal,_xlfn.XLOOKUP($A388,My_Audit!$A:$A,My_Audit!G:G,""),
_xlfn.IFS(_xlpm.MyAuditVal&lt;&gt;"",_xlpm.MyAuditVal,_xlpm.MacVal&lt;&gt;"",_xlpm.MacVal,_xlpm.CSVVal&lt;&gt;"",_xlpm.CSVVal
)),"")</f>
        <v/>
      </c>
      <c r="I388" s="40" t="str">
        <f>_xlfn.XLOOKUP(A388,Output_Mac!A:A,Output_Mac!I:I,"")</f>
        <v/>
      </c>
      <c r="J388" s="40" t="str" cm="1">
        <f t="array" ref="J388">IFERROR(_xlfn.LET(
_xlpm.CSVVal,_xlfn.XLOOKUP($A388,CSV!$A:$A,CSV!I:I,""),
_xlpm.MacVal,_xlfn.XLOOKUP($A388,Output_Mac!$A:$A,Output_Mac!J:J,""),
_xlpm.MyAuditVal,_xlfn.XLOOKUP($A388,My_Audit!$A:$A,My_Audit!I:I,""),
_xlfn.IFS(_xlpm.MyAuditVal&lt;&gt;"",UPPER(_xlpm.MyAuditVal),_xlpm.MacVal&lt;&gt;"",_xlpm.MacVal,_xlpm.CSVVal&lt;&gt;"",_xlpm.CSVVal
)),"")</f>
        <v/>
      </c>
      <c r="K388" s="40" t="str" cm="1">
        <f t="array" ref="K388">IFERROR(_xlfn.LET(
_xlpm.CSVVal,_xlfn.XLOOKUP($A388,CSV!$A:$A,CSV!K:K,""),
_xlpm.MacVal,_xlfn.XLOOKUP($A388,Output_Mac!$A:$A,Output_Mac!K:K,""),
_xlpm.MyAuditVal,_xlfn.XLOOKUP($A388,My_Audit!$A:$A,My_Audit!J:J,""),
_xlfn.IFS(_xlpm.MyAuditVal&lt;&gt;"",UPPER(_xlpm.MyAuditVal),_xlpm.MacVal&lt;&gt;"",_xlpm.MacVal,_xlpm.CSVVal&lt;&gt;"",_xlpm.CSVVal
)),"")</f>
        <v/>
      </c>
      <c r="L388" s="40" t="str" cm="1">
        <f t="array" ref="L388">IFERROR(_xlfn.LET(
_xlpm.CSVVal,_xlfn.XLOOKUP($A388,CSV!$A:$A,CSV!P:P,""),
_xlpm.MacVal,_xlfn.XLOOKUP($A388,Output_Mac!$A:$A,Output_Mac!L:L,""),
_xlpm.MyAuditVal,_xlfn.XLOOKUP($A388,My_Audit!$A:$A,My_Audit!K:K,""),
_xlfn.IFS(_xlpm.MyAuditVal&lt;&gt;"",UPPER(_xlpm.MyAuditVal),_xlpm.MacVal&lt;&gt;"",_xlpm.MacVal,_xlpm.CSVVal&lt;&gt;"",_xlpm.CSVVal
)),"")</f>
        <v/>
      </c>
      <c r="M388" s="40" t="str" cm="1">
        <f t="array" ref="M388">IFERROR(_xlfn.LET(
_xlpm.CSVVal,_xlfn.XLOOKUP($A388,CSV!$A:$A,CSV!Q:Q,""),
_xlpm.MacVal,_xlfn.XLOOKUP($A388,Output_Mac!$A:$A,Output_Mac!M:M,""),
_xlpm.MyAuditVal,_xlfn.XLOOKUP($A388,My_Audit!$A:$A,My_Audit!L:L,""),
_xlfn.IFS(_xlpm.MyAuditVal&lt;&gt;"",UPPER(_xlpm.MyAuditVal),_xlpm.MacVal&lt;&gt;"",_xlpm.MacVal,_xlpm.CSVVal&lt;&gt;"",_xlpm.CSVVal
)),"")</f>
        <v/>
      </c>
      <c r="N388" s="40"/>
      <c r="O388" s="40" t="str">
        <f>_xlfn.LET(
    _xlpm.CSVVal, _xlfn.XLOOKUP($A388, CSV!$A:$A, CSV!AA:AA, ""),
    _xlpm.MacVal, _xlfn.XLOOKUP($A388, Output_Mac!$A:$A, Output_Mac!S:S, ""),
    _xlpm.MyAuditVal, _xlfn.XLOOKUP($A388, My_Audit!$A:$A, My_Audit!P:P, ""),
    _xlfn.TEXTJOIN(", ", TRUE, _xlpm.MyAuditVal, _xlpm.MacVal, _xlpm.CSVVal)
)</f>
        <v/>
      </c>
      <c r="P388" s="40" t="str" cm="1">
        <f t="array" ref="P388">IFERROR(_xlfn.LET(
_xlpm.CSVVal,_xlfn.XLOOKUP($A388,CSV!$A:$A,CSV!AB:AB,""),
_xlpm.MacVal,_xlfn.XLOOKUP($A388,Output_Mac!$A:$A,Output_Mac!T:T,""),
_xlpm.MyAuditVal,_xlfn.XLOOKUP($A388,My_Audit!$A:$A,My_Audit!Q:Q,""),
_xlfn.IFS(_xlpm.MyAuditVal&lt;&gt;"",UPPER(_xlpm.MyAuditVal),_xlpm.MacVal&lt;&gt;"",_xlpm.MacVal,_xlpm.CSVVal&lt;&gt;"",_xlpm.CSVVal
)),"No")</f>
        <v>No</v>
      </c>
      <c r="Q388" s="40" t="str" cm="1">
        <f t="array" ref="Q388">IFERROR(_xlfn.LET(
_xlpm.CSVVal,_xlfn.XLOOKUP($A388,CSV!$A:$A,CSV!AC:AC,""),
_xlpm.MacVal,_xlfn.XLOOKUP($A388,Output_Mac!$A:$A,Output_Mac!U:U,""),
_xlpm.MyAuditVal,_xlfn.XLOOKUP($A388,My_Audit!$A:$A,My_Audit!R:R,""),
_xlfn.IFS(_xlpm.MyAuditVal&lt;&gt;"",UPPER(_xlpm.MyAuditVal),_xlpm.MacVal&lt;&gt;"",_xlpm.MacVal,_xlpm.CSVVal&lt;&gt;"",_xlpm.CSVVal
)),"")</f>
        <v/>
      </c>
      <c r="R388" s="40"/>
      <c r="S388" s="40"/>
      <c r="T388" s="40"/>
      <c r="U388" s="40"/>
      <c r="V388" s="40"/>
      <c r="W388" s="40"/>
      <c r="X388" s="41" t="str">
        <f>_xlfn.LET(
    _xlpm.MacVal, _xlfn.XLOOKUP($A388, Output_Mac!$A:$A, Output_Mac!AB:AB, ""),
    _xlpm.MyAuditVal, _xlfn.XLOOKUP($A388, My_Audit!$A:$A, My_Audit!N:N, ""),
    _xlfn.TEXTJOIN(", ", TRUE, _xlpm.MyAuditVal, _xlpm.MacVal)
)</f>
        <v/>
      </c>
    </row>
    <row r="389" spans="1:24">
      <c r="A389" s="40" t="str">
        <f>_xlfn.TEXTJOIN("",TRUE,Input!$B$2,ROW(My_Audit!A388))</f>
        <v>X388</v>
      </c>
      <c r="B389" s="40" t="str">
        <f>_xlfn.TEXTJOIN("-",TRUE,"ITD",Input!$A$2,A389)</f>
        <v>ITD-X388</v>
      </c>
      <c r="C389" s="40" t="str" cm="1">
        <f t="array" ref="C389">IFERROR(_xlfn.LET(
_xlpm.CSVVal,_xlfn.XLOOKUP($A389,CSV!$A:$A,CSV!B:B,""),
_xlpm.MacVal,_xlfn.XLOOKUP($A389,Output_Mac!$A:$A,Output_Mac!B:B,""),
_xlpm.MyAuditVal,_xlfn.XLOOKUP($A389,My_Audit!$A:$A,My_Audit!B:B,""),
_xlfn.IFS(_xlpm.MyAuditVal&lt;&gt;"",UPPER(_xlpm.MyAuditVal),_xlpm.MacVal&lt;&gt;"",_xlpm.MacVal,_xlpm.CSVVal&lt;&gt;"",_xlpm.CSVVal
)),"")</f>
        <v/>
      </c>
      <c r="D389" s="40" t="str" cm="1">
        <f t="array" ref="D389">IFERROR(_xlfn.LET(
_xlpm.CSVVal,_xlfn.XLOOKUP($A389,CSV!$A:$A,CSV!D:D,""),
_xlpm.MacVal,_xlfn.XLOOKUP($A389,Output_Mac!$A:$A,Output_Mac!C:C,""),
_xlpm.MyAuditVal,_xlfn.XLOOKUP($A389,My_Audit!$A:$A,My_Audit!C:C,""),
_xlfn.IFS(_xlpm.MyAuditVal&lt;&gt;"",_xlpm.MyAuditVal,_xlpm.MacVal&lt;&gt;"",_xlpm.MacVal,_xlpm.CSVVal&lt;&gt;"",_xlpm.CSVVal
)),"")</f>
        <v/>
      </c>
      <c r="E389" s="40">
        <f>_xlfn.XLOOKUP(A389,My_Audit!A:A,My_Audit!D:D,"")</f>
        <v>0</v>
      </c>
      <c r="F389" s="40" t="str" cm="1">
        <f t="array" ref="F389">IFERROR(_xlfn.LET(
_xlpm.CSVVal,_xlfn.XLOOKUP($A389,CSV!$A:$A,CSV!F:F,""),
_xlpm.MacVal,_xlfn.XLOOKUP($A389,Output_Mac!$A:$A,Output_Mac!E:E,""),
_xlpm.MyAuditVal,_xlfn.XLOOKUP($A389,My_Audit!$A:$A,My_Audit!E:E,""),
_xlfn.IFS(_xlpm.MyAuditVal&lt;&gt;"",_xlpm.MyAuditVal,_xlpm.MacVal&lt;&gt;"",_xlpm.MacVal,_xlpm.CSVVal&lt;&gt;"",_xlpm.CSVVal
)),"")</f>
        <v/>
      </c>
      <c r="G389" s="40" t="str" cm="1">
        <f t="array" ref="G389">IFERROR(_xlfn.LET(
_xlpm.CSVVal,_xlfn.XLOOKUP($A389,CSV!$A:$A,CSV!G:G,""),
_xlpm.MacVal,_xlfn.XLOOKUP($A389,Output_Mac!$A:$A,Output_Mac!F:F,""),
_xlpm.MyAuditVal,_xlfn.XLOOKUP($A389,My_Audit!$A:$A,My_Audit!F:F,""),
_xlfn.IFS(_xlpm.MyAuditVal&lt;&gt;"",_xlpm.MyAuditVal,_xlpm.MacVal&lt;&gt;"",_xlpm.MacVal,_xlpm.CSVVal&lt;&gt;"",PROPER(_xlpm.CSVVal)
)),"")</f>
        <v/>
      </c>
      <c r="H389" s="40" t="str" cm="1">
        <f t="array" ref="H389">IFERROR(_xlfn.LET(
_xlpm.CSVVal,_xlfn.XLOOKUP($A389,CSV!$A:$A,CSV!H:H,""),
_xlpm.MacVal,_xlfn.XLOOKUP($A389,Output_Mac!$A:$A,Output_Mac!H:H,""),
_xlpm.MyAuditVal,_xlfn.XLOOKUP($A389,My_Audit!$A:$A,My_Audit!G:G,""),
_xlfn.IFS(_xlpm.MyAuditVal&lt;&gt;"",_xlpm.MyAuditVal,_xlpm.MacVal&lt;&gt;"",_xlpm.MacVal,_xlpm.CSVVal&lt;&gt;"",_xlpm.CSVVal
)),"")</f>
        <v/>
      </c>
      <c r="I389" s="40" t="str">
        <f>_xlfn.XLOOKUP(A389,Output_Mac!A:A,Output_Mac!I:I,"")</f>
        <v/>
      </c>
      <c r="J389" s="40" t="str" cm="1">
        <f t="array" ref="J389">IFERROR(_xlfn.LET(
_xlpm.CSVVal,_xlfn.XLOOKUP($A389,CSV!$A:$A,CSV!I:I,""),
_xlpm.MacVal,_xlfn.XLOOKUP($A389,Output_Mac!$A:$A,Output_Mac!J:J,""),
_xlpm.MyAuditVal,_xlfn.XLOOKUP($A389,My_Audit!$A:$A,My_Audit!I:I,""),
_xlfn.IFS(_xlpm.MyAuditVal&lt;&gt;"",UPPER(_xlpm.MyAuditVal),_xlpm.MacVal&lt;&gt;"",_xlpm.MacVal,_xlpm.CSVVal&lt;&gt;"",_xlpm.CSVVal
)),"")</f>
        <v/>
      </c>
      <c r="K389" s="40" t="str" cm="1">
        <f t="array" ref="K389">IFERROR(_xlfn.LET(
_xlpm.CSVVal,_xlfn.XLOOKUP($A389,CSV!$A:$A,CSV!K:K,""),
_xlpm.MacVal,_xlfn.XLOOKUP($A389,Output_Mac!$A:$A,Output_Mac!K:K,""),
_xlpm.MyAuditVal,_xlfn.XLOOKUP($A389,My_Audit!$A:$A,My_Audit!J:J,""),
_xlfn.IFS(_xlpm.MyAuditVal&lt;&gt;"",UPPER(_xlpm.MyAuditVal),_xlpm.MacVal&lt;&gt;"",_xlpm.MacVal,_xlpm.CSVVal&lt;&gt;"",_xlpm.CSVVal
)),"")</f>
        <v/>
      </c>
      <c r="L389" s="40" t="str" cm="1">
        <f t="array" ref="L389">IFERROR(_xlfn.LET(
_xlpm.CSVVal,_xlfn.XLOOKUP($A389,CSV!$A:$A,CSV!P:P,""),
_xlpm.MacVal,_xlfn.XLOOKUP($A389,Output_Mac!$A:$A,Output_Mac!L:L,""),
_xlpm.MyAuditVal,_xlfn.XLOOKUP($A389,My_Audit!$A:$A,My_Audit!K:K,""),
_xlfn.IFS(_xlpm.MyAuditVal&lt;&gt;"",UPPER(_xlpm.MyAuditVal),_xlpm.MacVal&lt;&gt;"",_xlpm.MacVal,_xlpm.CSVVal&lt;&gt;"",_xlpm.CSVVal
)),"")</f>
        <v/>
      </c>
      <c r="M389" s="40" t="str" cm="1">
        <f t="array" ref="M389">IFERROR(_xlfn.LET(
_xlpm.CSVVal,_xlfn.XLOOKUP($A389,CSV!$A:$A,CSV!Q:Q,""),
_xlpm.MacVal,_xlfn.XLOOKUP($A389,Output_Mac!$A:$A,Output_Mac!M:M,""),
_xlpm.MyAuditVal,_xlfn.XLOOKUP($A389,My_Audit!$A:$A,My_Audit!L:L,""),
_xlfn.IFS(_xlpm.MyAuditVal&lt;&gt;"",UPPER(_xlpm.MyAuditVal),_xlpm.MacVal&lt;&gt;"",_xlpm.MacVal,_xlpm.CSVVal&lt;&gt;"",_xlpm.CSVVal
)),"")</f>
        <v/>
      </c>
      <c r="N389" s="40"/>
      <c r="O389" s="40" t="str">
        <f>_xlfn.LET(
    _xlpm.CSVVal, _xlfn.XLOOKUP($A389, CSV!$A:$A, CSV!AA:AA, ""),
    _xlpm.MacVal, _xlfn.XLOOKUP($A389, Output_Mac!$A:$A, Output_Mac!S:S, ""),
    _xlpm.MyAuditVal, _xlfn.XLOOKUP($A389, My_Audit!$A:$A, My_Audit!P:P, ""),
    _xlfn.TEXTJOIN(", ", TRUE, _xlpm.MyAuditVal, _xlpm.MacVal, _xlpm.CSVVal)
)</f>
        <v/>
      </c>
      <c r="P389" s="40" t="str" cm="1">
        <f t="array" ref="P389">IFERROR(_xlfn.LET(
_xlpm.CSVVal,_xlfn.XLOOKUP($A389,CSV!$A:$A,CSV!AB:AB,""),
_xlpm.MacVal,_xlfn.XLOOKUP($A389,Output_Mac!$A:$A,Output_Mac!T:T,""),
_xlpm.MyAuditVal,_xlfn.XLOOKUP($A389,My_Audit!$A:$A,My_Audit!Q:Q,""),
_xlfn.IFS(_xlpm.MyAuditVal&lt;&gt;"",UPPER(_xlpm.MyAuditVal),_xlpm.MacVal&lt;&gt;"",_xlpm.MacVal,_xlpm.CSVVal&lt;&gt;"",_xlpm.CSVVal
)),"No")</f>
        <v>No</v>
      </c>
      <c r="Q389" s="40" t="str" cm="1">
        <f t="array" ref="Q389">IFERROR(_xlfn.LET(
_xlpm.CSVVal,_xlfn.XLOOKUP($A389,CSV!$A:$A,CSV!AC:AC,""),
_xlpm.MacVal,_xlfn.XLOOKUP($A389,Output_Mac!$A:$A,Output_Mac!U:U,""),
_xlpm.MyAuditVal,_xlfn.XLOOKUP($A389,My_Audit!$A:$A,My_Audit!R:R,""),
_xlfn.IFS(_xlpm.MyAuditVal&lt;&gt;"",UPPER(_xlpm.MyAuditVal),_xlpm.MacVal&lt;&gt;"",_xlpm.MacVal,_xlpm.CSVVal&lt;&gt;"",_xlpm.CSVVal
)),"")</f>
        <v/>
      </c>
      <c r="R389" s="40"/>
      <c r="S389" s="40"/>
      <c r="T389" s="40"/>
      <c r="U389" s="40"/>
      <c r="V389" s="40"/>
      <c r="W389" s="40"/>
      <c r="X389" s="41" t="str">
        <f>_xlfn.LET(
    _xlpm.MacVal, _xlfn.XLOOKUP($A389, Output_Mac!$A:$A, Output_Mac!AB:AB, ""),
    _xlpm.MyAuditVal, _xlfn.XLOOKUP($A389, My_Audit!$A:$A, My_Audit!N:N, ""),
    _xlfn.TEXTJOIN(", ", TRUE, _xlpm.MyAuditVal, _xlpm.MacVal)
)</f>
        <v/>
      </c>
    </row>
    <row r="390" spans="1:24">
      <c r="A390" s="40" t="str">
        <f>_xlfn.TEXTJOIN("",TRUE,Input!$B$2,ROW(My_Audit!A389))</f>
        <v>X389</v>
      </c>
      <c r="B390" s="40" t="str">
        <f>_xlfn.TEXTJOIN("-",TRUE,"ITD",Input!$A$2,A390)</f>
        <v>ITD-X389</v>
      </c>
      <c r="C390" s="40" t="str" cm="1">
        <f t="array" ref="C390">IFERROR(_xlfn.LET(
_xlpm.CSVVal,_xlfn.XLOOKUP($A390,CSV!$A:$A,CSV!B:B,""),
_xlpm.MacVal,_xlfn.XLOOKUP($A390,Output_Mac!$A:$A,Output_Mac!B:B,""),
_xlpm.MyAuditVal,_xlfn.XLOOKUP($A390,My_Audit!$A:$A,My_Audit!B:B,""),
_xlfn.IFS(_xlpm.MyAuditVal&lt;&gt;"",UPPER(_xlpm.MyAuditVal),_xlpm.MacVal&lt;&gt;"",_xlpm.MacVal,_xlpm.CSVVal&lt;&gt;"",_xlpm.CSVVal
)),"")</f>
        <v/>
      </c>
      <c r="D390" s="40" t="str" cm="1">
        <f t="array" ref="D390">IFERROR(_xlfn.LET(
_xlpm.CSVVal,_xlfn.XLOOKUP($A390,CSV!$A:$A,CSV!D:D,""),
_xlpm.MacVal,_xlfn.XLOOKUP($A390,Output_Mac!$A:$A,Output_Mac!C:C,""),
_xlpm.MyAuditVal,_xlfn.XLOOKUP($A390,My_Audit!$A:$A,My_Audit!C:C,""),
_xlfn.IFS(_xlpm.MyAuditVal&lt;&gt;"",_xlpm.MyAuditVal,_xlpm.MacVal&lt;&gt;"",_xlpm.MacVal,_xlpm.CSVVal&lt;&gt;"",_xlpm.CSVVal
)),"")</f>
        <v/>
      </c>
      <c r="E390" s="40">
        <f>_xlfn.XLOOKUP(A390,My_Audit!A:A,My_Audit!D:D,"")</f>
        <v>0</v>
      </c>
      <c r="F390" s="40" t="str" cm="1">
        <f t="array" ref="F390">IFERROR(_xlfn.LET(
_xlpm.CSVVal,_xlfn.XLOOKUP($A390,CSV!$A:$A,CSV!F:F,""),
_xlpm.MacVal,_xlfn.XLOOKUP($A390,Output_Mac!$A:$A,Output_Mac!E:E,""),
_xlpm.MyAuditVal,_xlfn.XLOOKUP($A390,My_Audit!$A:$A,My_Audit!E:E,""),
_xlfn.IFS(_xlpm.MyAuditVal&lt;&gt;"",_xlpm.MyAuditVal,_xlpm.MacVal&lt;&gt;"",_xlpm.MacVal,_xlpm.CSVVal&lt;&gt;"",_xlpm.CSVVal
)),"")</f>
        <v/>
      </c>
      <c r="G390" s="40" t="str" cm="1">
        <f t="array" ref="G390">IFERROR(_xlfn.LET(
_xlpm.CSVVal,_xlfn.XLOOKUP($A390,CSV!$A:$A,CSV!G:G,""),
_xlpm.MacVal,_xlfn.XLOOKUP($A390,Output_Mac!$A:$A,Output_Mac!F:F,""),
_xlpm.MyAuditVal,_xlfn.XLOOKUP($A390,My_Audit!$A:$A,My_Audit!F:F,""),
_xlfn.IFS(_xlpm.MyAuditVal&lt;&gt;"",_xlpm.MyAuditVal,_xlpm.MacVal&lt;&gt;"",_xlpm.MacVal,_xlpm.CSVVal&lt;&gt;"",PROPER(_xlpm.CSVVal)
)),"")</f>
        <v/>
      </c>
      <c r="H390" s="40" t="str" cm="1">
        <f t="array" ref="H390">IFERROR(_xlfn.LET(
_xlpm.CSVVal,_xlfn.XLOOKUP($A390,CSV!$A:$A,CSV!H:H,""),
_xlpm.MacVal,_xlfn.XLOOKUP($A390,Output_Mac!$A:$A,Output_Mac!H:H,""),
_xlpm.MyAuditVal,_xlfn.XLOOKUP($A390,My_Audit!$A:$A,My_Audit!G:G,""),
_xlfn.IFS(_xlpm.MyAuditVal&lt;&gt;"",_xlpm.MyAuditVal,_xlpm.MacVal&lt;&gt;"",_xlpm.MacVal,_xlpm.CSVVal&lt;&gt;"",_xlpm.CSVVal
)),"")</f>
        <v/>
      </c>
      <c r="I390" s="40" t="str">
        <f>_xlfn.XLOOKUP(A390,Output_Mac!A:A,Output_Mac!I:I,"")</f>
        <v/>
      </c>
      <c r="J390" s="40" t="str" cm="1">
        <f t="array" ref="J390">IFERROR(_xlfn.LET(
_xlpm.CSVVal,_xlfn.XLOOKUP($A390,CSV!$A:$A,CSV!I:I,""),
_xlpm.MacVal,_xlfn.XLOOKUP($A390,Output_Mac!$A:$A,Output_Mac!J:J,""),
_xlpm.MyAuditVal,_xlfn.XLOOKUP($A390,My_Audit!$A:$A,My_Audit!I:I,""),
_xlfn.IFS(_xlpm.MyAuditVal&lt;&gt;"",UPPER(_xlpm.MyAuditVal),_xlpm.MacVal&lt;&gt;"",_xlpm.MacVal,_xlpm.CSVVal&lt;&gt;"",_xlpm.CSVVal
)),"")</f>
        <v/>
      </c>
      <c r="K390" s="40" t="str" cm="1">
        <f t="array" ref="K390">IFERROR(_xlfn.LET(
_xlpm.CSVVal,_xlfn.XLOOKUP($A390,CSV!$A:$A,CSV!K:K,""),
_xlpm.MacVal,_xlfn.XLOOKUP($A390,Output_Mac!$A:$A,Output_Mac!K:K,""),
_xlpm.MyAuditVal,_xlfn.XLOOKUP($A390,My_Audit!$A:$A,My_Audit!J:J,""),
_xlfn.IFS(_xlpm.MyAuditVal&lt;&gt;"",UPPER(_xlpm.MyAuditVal),_xlpm.MacVal&lt;&gt;"",_xlpm.MacVal,_xlpm.CSVVal&lt;&gt;"",_xlpm.CSVVal
)),"")</f>
        <v/>
      </c>
      <c r="L390" s="40" t="str" cm="1">
        <f t="array" ref="L390">IFERROR(_xlfn.LET(
_xlpm.CSVVal,_xlfn.XLOOKUP($A390,CSV!$A:$A,CSV!P:P,""),
_xlpm.MacVal,_xlfn.XLOOKUP($A390,Output_Mac!$A:$A,Output_Mac!L:L,""),
_xlpm.MyAuditVal,_xlfn.XLOOKUP($A390,My_Audit!$A:$A,My_Audit!K:K,""),
_xlfn.IFS(_xlpm.MyAuditVal&lt;&gt;"",UPPER(_xlpm.MyAuditVal),_xlpm.MacVal&lt;&gt;"",_xlpm.MacVal,_xlpm.CSVVal&lt;&gt;"",_xlpm.CSVVal
)),"")</f>
        <v/>
      </c>
      <c r="M390" s="40" t="str" cm="1">
        <f t="array" ref="M390">IFERROR(_xlfn.LET(
_xlpm.CSVVal,_xlfn.XLOOKUP($A390,CSV!$A:$A,CSV!Q:Q,""),
_xlpm.MacVal,_xlfn.XLOOKUP($A390,Output_Mac!$A:$A,Output_Mac!M:M,""),
_xlpm.MyAuditVal,_xlfn.XLOOKUP($A390,My_Audit!$A:$A,My_Audit!L:L,""),
_xlfn.IFS(_xlpm.MyAuditVal&lt;&gt;"",UPPER(_xlpm.MyAuditVal),_xlpm.MacVal&lt;&gt;"",_xlpm.MacVal,_xlpm.CSVVal&lt;&gt;"",_xlpm.CSVVal
)),"")</f>
        <v/>
      </c>
      <c r="N390" s="40"/>
      <c r="O390" s="40" t="str">
        <f>_xlfn.LET(
    _xlpm.CSVVal, _xlfn.XLOOKUP($A390, CSV!$A:$A, CSV!AA:AA, ""),
    _xlpm.MacVal, _xlfn.XLOOKUP($A390, Output_Mac!$A:$A, Output_Mac!S:S, ""),
    _xlpm.MyAuditVal, _xlfn.XLOOKUP($A390, My_Audit!$A:$A, My_Audit!P:P, ""),
    _xlfn.TEXTJOIN(", ", TRUE, _xlpm.MyAuditVal, _xlpm.MacVal, _xlpm.CSVVal)
)</f>
        <v/>
      </c>
      <c r="P390" s="40" t="str" cm="1">
        <f t="array" ref="P390">IFERROR(_xlfn.LET(
_xlpm.CSVVal,_xlfn.XLOOKUP($A390,CSV!$A:$A,CSV!AB:AB,""),
_xlpm.MacVal,_xlfn.XLOOKUP($A390,Output_Mac!$A:$A,Output_Mac!T:T,""),
_xlpm.MyAuditVal,_xlfn.XLOOKUP($A390,My_Audit!$A:$A,My_Audit!Q:Q,""),
_xlfn.IFS(_xlpm.MyAuditVal&lt;&gt;"",UPPER(_xlpm.MyAuditVal),_xlpm.MacVal&lt;&gt;"",_xlpm.MacVal,_xlpm.CSVVal&lt;&gt;"",_xlpm.CSVVal
)),"No")</f>
        <v>No</v>
      </c>
      <c r="Q390" s="40" t="str" cm="1">
        <f t="array" ref="Q390">IFERROR(_xlfn.LET(
_xlpm.CSVVal,_xlfn.XLOOKUP($A390,CSV!$A:$A,CSV!AC:AC,""),
_xlpm.MacVal,_xlfn.XLOOKUP($A390,Output_Mac!$A:$A,Output_Mac!U:U,""),
_xlpm.MyAuditVal,_xlfn.XLOOKUP($A390,My_Audit!$A:$A,My_Audit!R:R,""),
_xlfn.IFS(_xlpm.MyAuditVal&lt;&gt;"",UPPER(_xlpm.MyAuditVal),_xlpm.MacVal&lt;&gt;"",_xlpm.MacVal,_xlpm.CSVVal&lt;&gt;"",_xlpm.CSVVal
)),"")</f>
        <v/>
      </c>
      <c r="R390" s="40"/>
      <c r="S390" s="40"/>
      <c r="T390" s="40"/>
      <c r="U390" s="40"/>
      <c r="V390" s="40"/>
      <c r="W390" s="40"/>
      <c r="X390" s="41" t="str">
        <f>_xlfn.LET(
    _xlpm.MacVal, _xlfn.XLOOKUP($A390, Output_Mac!$A:$A, Output_Mac!AB:AB, ""),
    _xlpm.MyAuditVal, _xlfn.XLOOKUP($A390, My_Audit!$A:$A, My_Audit!N:N, ""),
    _xlfn.TEXTJOIN(", ", TRUE, _xlpm.MyAuditVal, _xlpm.MacVal)
)</f>
        <v/>
      </c>
    </row>
    <row r="391" spans="1:24">
      <c r="A391" s="40" t="str">
        <f>_xlfn.TEXTJOIN("",TRUE,Input!$B$2,ROW(My_Audit!A390))</f>
        <v>X390</v>
      </c>
      <c r="B391" s="40" t="str">
        <f>_xlfn.TEXTJOIN("-",TRUE,"ITD",Input!$A$2,A391)</f>
        <v>ITD-X390</v>
      </c>
      <c r="C391" s="40" t="str" cm="1">
        <f t="array" ref="C391">IFERROR(_xlfn.LET(
_xlpm.CSVVal,_xlfn.XLOOKUP($A391,CSV!$A:$A,CSV!B:B,""),
_xlpm.MacVal,_xlfn.XLOOKUP($A391,Output_Mac!$A:$A,Output_Mac!B:B,""),
_xlpm.MyAuditVal,_xlfn.XLOOKUP($A391,My_Audit!$A:$A,My_Audit!B:B,""),
_xlfn.IFS(_xlpm.MyAuditVal&lt;&gt;"",UPPER(_xlpm.MyAuditVal),_xlpm.MacVal&lt;&gt;"",_xlpm.MacVal,_xlpm.CSVVal&lt;&gt;"",_xlpm.CSVVal
)),"")</f>
        <v/>
      </c>
      <c r="D391" s="40" t="str" cm="1">
        <f t="array" ref="D391">IFERROR(_xlfn.LET(
_xlpm.CSVVal,_xlfn.XLOOKUP($A391,CSV!$A:$A,CSV!D:D,""),
_xlpm.MacVal,_xlfn.XLOOKUP($A391,Output_Mac!$A:$A,Output_Mac!C:C,""),
_xlpm.MyAuditVal,_xlfn.XLOOKUP($A391,My_Audit!$A:$A,My_Audit!C:C,""),
_xlfn.IFS(_xlpm.MyAuditVal&lt;&gt;"",_xlpm.MyAuditVal,_xlpm.MacVal&lt;&gt;"",_xlpm.MacVal,_xlpm.CSVVal&lt;&gt;"",_xlpm.CSVVal
)),"")</f>
        <v/>
      </c>
      <c r="E391" s="40">
        <f>_xlfn.XLOOKUP(A391,My_Audit!A:A,My_Audit!D:D,"")</f>
        <v>0</v>
      </c>
      <c r="F391" s="40" t="str" cm="1">
        <f t="array" ref="F391">IFERROR(_xlfn.LET(
_xlpm.CSVVal,_xlfn.XLOOKUP($A391,CSV!$A:$A,CSV!F:F,""),
_xlpm.MacVal,_xlfn.XLOOKUP($A391,Output_Mac!$A:$A,Output_Mac!E:E,""),
_xlpm.MyAuditVal,_xlfn.XLOOKUP($A391,My_Audit!$A:$A,My_Audit!E:E,""),
_xlfn.IFS(_xlpm.MyAuditVal&lt;&gt;"",_xlpm.MyAuditVal,_xlpm.MacVal&lt;&gt;"",_xlpm.MacVal,_xlpm.CSVVal&lt;&gt;"",_xlpm.CSVVal
)),"")</f>
        <v/>
      </c>
      <c r="G391" s="40" t="str" cm="1">
        <f t="array" ref="G391">IFERROR(_xlfn.LET(
_xlpm.CSVVal,_xlfn.XLOOKUP($A391,CSV!$A:$A,CSV!G:G,""),
_xlpm.MacVal,_xlfn.XLOOKUP($A391,Output_Mac!$A:$A,Output_Mac!F:F,""),
_xlpm.MyAuditVal,_xlfn.XLOOKUP($A391,My_Audit!$A:$A,My_Audit!F:F,""),
_xlfn.IFS(_xlpm.MyAuditVal&lt;&gt;"",_xlpm.MyAuditVal,_xlpm.MacVal&lt;&gt;"",_xlpm.MacVal,_xlpm.CSVVal&lt;&gt;"",PROPER(_xlpm.CSVVal)
)),"")</f>
        <v/>
      </c>
      <c r="H391" s="40" t="str" cm="1">
        <f t="array" ref="H391">IFERROR(_xlfn.LET(
_xlpm.CSVVal,_xlfn.XLOOKUP($A391,CSV!$A:$A,CSV!H:H,""),
_xlpm.MacVal,_xlfn.XLOOKUP($A391,Output_Mac!$A:$A,Output_Mac!H:H,""),
_xlpm.MyAuditVal,_xlfn.XLOOKUP($A391,My_Audit!$A:$A,My_Audit!G:G,""),
_xlfn.IFS(_xlpm.MyAuditVal&lt;&gt;"",_xlpm.MyAuditVal,_xlpm.MacVal&lt;&gt;"",_xlpm.MacVal,_xlpm.CSVVal&lt;&gt;"",_xlpm.CSVVal
)),"")</f>
        <v/>
      </c>
      <c r="I391" s="40" t="str">
        <f>_xlfn.XLOOKUP(A391,Output_Mac!A:A,Output_Mac!I:I,"")</f>
        <v/>
      </c>
      <c r="J391" s="40" t="str" cm="1">
        <f t="array" ref="J391">IFERROR(_xlfn.LET(
_xlpm.CSVVal,_xlfn.XLOOKUP($A391,CSV!$A:$A,CSV!I:I,""),
_xlpm.MacVal,_xlfn.XLOOKUP($A391,Output_Mac!$A:$A,Output_Mac!J:J,""),
_xlpm.MyAuditVal,_xlfn.XLOOKUP($A391,My_Audit!$A:$A,My_Audit!I:I,""),
_xlfn.IFS(_xlpm.MyAuditVal&lt;&gt;"",UPPER(_xlpm.MyAuditVal),_xlpm.MacVal&lt;&gt;"",_xlpm.MacVal,_xlpm.CSVVal&lt;&gt;"",_xlpm.CSVVal
)),"")</f>
        <v/>
      </c>
      <c r="K391" s="40" t="str" cm="1">
        <f t="array" ref="K391">IFERROR(_xlfn.LET(
_xlpm.CSVVal,_xlfn.XLOOKUP($A391,CSV!$A:$A,CSV!K:K,""),
_xlpm.MacVal,_xlfn.XLOOKUP($A391,Output_Mac!$A:$A,Output_Mac!K:K,""),
_xlpm.MyAuditVal,_xlfn.XLOOKUP($A391,My_Audit!$A:$A,My_Audit!J:J,""),
_xlfn.IFS(_xlpm.MyAuditVal&lt;&gt;"",UPPER(_xlpm.MyAuditVal),_xlpm.MacVal&lt;&gt;"",_xlpm.MacVal,_xlpm.CSVVal&lt;&gt;"",_xlpm.CSVVal
)),"")</f>
        <v/>
      </c>
      <c r="L391" s="40" t="str" cm="1">
        <f t="array" ref="L391">IFERROR(_xlfn.LET(
_xlpm.CSVVal,_xlfn.XLOOKUP($A391,CSV!$A:$A,CSV!P:P,""),
_xlpm.MacVal,_xlfn.XLOOKUP($A391,Output_Mac!$A:$A,Output_Mac!L:L,""),
_xlpm.MyAuditVal,_xlfn.XLOOKUP($A391,My_Audit!$A:$A,My_Audit!K:K,""),
_xlfn.IFS(_xlpm.MyAuditVal&lt;&gt;"",UPPER(_xlpm.MyAuditVal),_xlpm.MacVal&lt;&gt;"",_xlpm.MacVal,_xlpm.CSVVal&lt;&gt;"",_xlpm.CSVVal
)),"")</f>
        <v/>
      </c>
      <c r="M391" s="40" t="str" cm="1">
        <f t="array" ref="M391">IFERROR(_xlfn.LET(
_xlpm.CSVVal,_xlfn.XLOOKUP($A391,CSV!$A:$A,CSV!Q:Q,""),
_xlpm.MacVal,_xlfn.XLOOKUP($A391,Output_Mac!$A:$A,Output_Mac!M:M,""),
_xlpm.MyAuditVal,_xlfn.XLOOKUP($A391,My_Audit!$A:$A,My_Audit!L:L,""),
_xlfn.IFS(_xlpm.MyAuditVal&lt;&gt;"",UPPER(_xlpm.MyAuditVal),_xlpm.MacVal&lt;&gt;"",_xlpm.MacVal,_xlpm.CSVVal&lt;&gt;"",_xlpm.CSVVal
)),"")</f>
        <v/>
      </c>
      <c r="N391" s="40"/>
      <c r="O391" s="40" t="str">
        <f>_xlfn.LET(
    _xlpm.CSVVal, _xlfn.XLOOKUP($A391, CSV!$A:$A, CSV!AA:AA, ""),
    _xlpm.MacVal, _xlfn.XLOOKUP($A391, Output_Mac!$A:$A, Output_Mac!S:S, ""),
    _xlpm.MyAuditVal, _xlfn.XLOOKUP($A391, My_Audit!$A:$A, My_Audit!P:P, ""),
    _xlfn.TEXTJOIN(", ", TRUE, _xlpm.MyAuditVal, _xlpm.MacVal, _xlpm.CSVVal)
)</f>
        <v/>
      </c>
      <c r="P391" s="40" t="str" cm="1">
        <f t="array" ref="P391">IFERROR(_xlfn.LET(
_xlpm.CSVVal,_xlfn.XLOOKUP($A391,CSV!$A:$A,CSV!AB:AB,""),
_xlpm.MacVal,_xlfn.XLOOKUP($A391,Output_Mac!$A:$A,Output_Mac!T:T,""),
_xlpm.MyAuditVal,_xlfn.XLOOKUP($A391,My_Audit!$A:$A,My_Audit!Q:Q,""),
_xlfn.IFS(_xlpm.MyAuditVal&lt;&gt;"",UPPER(_xlpm.MyAuditVal),_xlpm.MacVal&lt;&gt;"",_xlpm.MacVal,_xlpm.CSVVal&lt;&gt;"",_xlpm.CSVVal
)),"No")</f>
        <v>No</v>
      </c>
      <c r="Q391" s="40" t="str" cm="1">
        <f t="array" ref="Q391">IFERROR(_xlfn.LET(
_xlpm.CSVVal,_xlfn.XLOOKUP($A391,CSV!$A:$A,CSV!AC:AC,""),
_xlpm.MacVal,_xlfn.XLOOKUP($A391,Output_Mac!$A:$A,Output_Mac!U:U,""),
_xlpm.MyAuditVal,_xlfn.XLOOKUP($A391,My_Audit!$A:$A,My_Audit!R:R,""),
_xlfn.IFS(_xlpm.MyAuditVal&lt;&gt;"",UPPER(_xlpm.MyAuditVal),_xlpm.MacVal&lt;&gt;"",_xlpm.MacVal,_xlpm.CSVVal&lt;&gt;"",_xlpm.CSVVal
)),"")</f>
        <v/>
      </c>
      <c r="R391" s="40"/>
      <c r="S391" s="40"/>
      <c r="T391" s="40"/>
      <c r="U391" s="40"/>
      <c r="V391" s="40"/>
      <c r="W391" s="40"/>
      <c r="X391" s="41" t="str">
        <f>_xlfn.LET(
    _xlpm.MacVal, _xlfn.XLOOKUP($A391, Output_Mac!$A:$A, Output_Mac!AB:AB, ""),
    _xlpm.MyAuditVal, _xlfn.XLOOKUP($A391, My_Audit!$A:$A, My_Audit!N:N, ""),
    _xlfn.TEXTJOIN(", ", TRUE, _xlpm.MyAuditVal, _xlpm.MacVal)
)</f>
        <v/>
      </c>
    </row>
    <row r="392" spans="1:24">
      <c r="A392" s="40" t="str">
        <f>_xlfn.TEXTJOIN("",TRUE,Input!$B$2,ROW(My_Audit!A391))</f>
        <v>X391</v>
      </c>
      <c r="B392" s="40" t="str">
        <f>_xlfn.TEXTJOIN("-",TRUE,"ITD",Input!$A$2,A392)</f>
        <v>ITD-X391</v>
      </c>
      <c r="C392" s="40" t="str" cm="1">
        <f t="array" ref="C392">IFERROR(_xlfn.LET(
_xlpm.CSVVal,_xlfn.XLOOKUP($A392,CSV!$A:$A,CSV!B:B,""),
_xlpm.MacVal,_xlfn.XLOOKUP($A392,Output_Mac!$A:$A,Output_Mac!B:B,""),
_xlpm.MyAuditVal,_xlfn.XLOOKUP($A392,My_Audit!$A:$A,My_Audit!B:B,""),
_xlfn.IFS(_xlpm.MyAuditVal&lt;&gt;"",UPPER(_xlpm.MyAuditVal),_xlpm.MacVal&lt;&gt;"",_xlpm.MacVal,_xlpm.CSVVal&lt;&gt;"",_xlpm.CSVVal
)),"")</f>
        <v/>
      </c>
      <c r="D392" s="40" t="str" cm="1">
        <f t="array" ref="D392">IFERROR(_xlfn.LET(
_xlpm.CSVVal,_xlfn.XLOOKUP($A392,CSV!$A:$A,CSV!D:D,""),
_xlpm.MacVal,_xlfn.XLOOKUP($A392,Output_Mac!$A:$A,Output_Mac!C:C,""),
_xlpm.MyAuditVal,_xlfn.XLOOKUP($A392,My_Audit!$A:$A,My_Audit!C:C,""),
_xlfn.IFS(_xlpm.MyAuditVal&lt;&gt;"",_xlpm.MyAuditVal,_xlpm.MacVal&lt;&gt;"",_xlpm.MacVal,_xlpm.CSVVal&lt;&gt;"",_xlpm.CSVVal
)),"")</f>
        <v/>
      </c>
      <c r="E392" s="40">
        <f>_xlfn.XLOOKUP(A392,My_Audit!A:A,My_Audit!D:D,"")</f>
        <v>0</v>
      </c>
      <c r="F392" s="40" t="str" cm="1">
        <f t="array" ref="F392">IFERROR(_xlfn.LET(
_xlpm.CSVVal,_xlfn.XLOOKUP($A392,CSV!$A:$A,CSV!F:F,""),
_xlpm.MacVal,_xlfn.XLOOKUP($A392,Output_Mac!$A:$A,Output_Mac!E:E,""),
_xlpm.MyAuditVal,_xlfn.XLOOKUP($A392,My_Audit!$A:$A,My_Audit!E:E,""),
_xlfn.IFS(_xlpm.MyAuditVal&lt;&gt;"",_xlpm.MyAuditVal,_xlpm.MacVal&lt;&gt;"",_xlpm.MacVal,_xlpm.CSVVal&lt;&gt;"",_xlpm.CSVVal
)),"")</f>
        <v/>
      </c>
      <c r="G392" s="40" t="str" cm="1">
        <f t="array" ref="G392">IFERROR(_xlfn.LET(
_xlpm.CSVVal,_xlfn.XLOOKUP($A392,CSV!$A:$A,CSV!G:G,""),
_xlpm.MacVal,_xlfn.XLOOKUP($A392,Output_Mac!$A:$A,Output_Mac!F:F,""),
_xlpm.MyAuditVal,_xlfn.XLOOKUP($A392,My_Audit!$A:$A,My_Audit!F:F,""),
_xlfn.IFS(_xlpm.MyAuditVal&lt;&gt;"",_xlpm.MyAuditVal,_xlpm.MacVal&lt;&gt;"",_xlpm.MacVal,_xlpm.CSVVal&lt;&gt;"",PROPER(_xlpm.CSVVal)
)),"")</f>
        <v/>
      </c>
      <c r="H392" s="40" t="str" cm="1">
        <f t="array" ref="H392">IFERROR(_xlfn.LET(
_xlpm.CSVVal,_xlfn.XLOOKUP($A392,CSV!$A:$A,CSV!H:H,""),
_xlpm.MacVal,_xlfn.XLOOKUP($A392,Output_Mac!$A:$A,Output_Mac!H:H,""),
_xlpm.MyAuditVal,_xlfn.XLOOKUP($A392,My_Audit!$A:$A,My_Audit!G:G,""),
_xlfn.IFS(_xlpm.MyAuditVal&lt;&gt;"",_xlpm.MyAuditVal,_xlpm.MacVal&lt;&gt;"",_xlpm.MacVal,_xlpm.CSVVal&lt;&gt;"",_xlpm.CSVVal
)),"")</f>
        <v/>
      </c>
      <c r="I392" s="40" t="str">
        <f>_xlfn.XLOOKUP(A392,Output_Mac!A:A,Output_Mac!I:I,"")</f>
        <v/>
      </c>
      <c r="J392" s="40" t="str" cm="1">
        <f t="array" ref="J392">IFERROR(_xlfn.LET(
_xlpm.CSVVal,_xlfn.XLOOKUP($A392,CSV!$A:$A,CSV!I:I,""),
_xlpm.MacVal,_xlfn.XLOOKUP($A392,Output_Mac!$A:$A,Output_Mac!J:J,""),
_xlpm.MyAuditVal,_xlfn.XLOOKUP($A392,My_Audit!$A:$A,My_Audit!I:I,""),
_xlfn.IFS(_xlpm.MyAuditVal&lt;&gt;"",UPPER(_xlpm.MyAuditVal),_xlpm.MacVal&lt;&gt;"",_xlpm.MacVal,_xlpm.CSVVal&lt;&gt;"",_xlpm.CSVVal
)),"")</f>
        <v/>
      </c>
      <c r="K392" s="40" t="str" cm="1">
        <f t="array" ref="K392">IFERROR(_xlfn.LET(
_xlpm.CSVVal,_xlfn.XLOOKUP($A392,CSV!$A:$A,CSV!K:K,""),
_xlpm.MacVal,_xlfn.XLOOKUP($A392,Output_Mac!$A:$A,Output_Mac!K:K,""),
_xlpm.MyAuditVal,_xlfn.XLOOKUP($A392,My_Audit!$A:$A,My_Audit!J:J,""),
_xlfn.IFS(_xlpm.MyAuditVal&lt;&gt;"",UPPER(_xlpm.MyAuditVal),_xlpm.MacVal&lt;&gt;"",_xlpm.MacVal,_xlpm.CSVVal&lt;&gt;"",_xlpm.CSVVal
)),"")</f>
        <v/>
      </c>
      <c r="L392" s="40" t="str" cm="1">
        <f t="array" ref="L392">IFERROR(_xlfn.LET(
_xlpm.CSVVal,_xlfn.XLOOKUP($A392,CSV!$A:$A,CSV!P:P,""),
_xlpm.MacVal,_xlfn.XLOOKUP($A392,Output_Mac!$A:$A,Output_Mac!L:L,""),
_xlpm.MyAuditVal,_xlfn.XLOOKUP($A392,My_Audit!$A:$A,My_Audit!K:K,""),
_xlfn.IFS(_xlpm.MyAuditVal&lt;&gt;"",UPPER(_xlpm.MyAuditVal),_xlpm.MacVal&lt;&gt;"",_xlpm.MacVal,_xlpm.CSVVal&lt;&gt;"",_xlpm.CSVVal
)),"")</f>
        <v/>
      </c>
      <c r="M392" s="40" t="str" cm="1">
        <f t="array" ref="M392">IFERROR(_xlfn.LET(
_xlpm.CSVVal,_xlfn.XLOOKUP($A392,CSV!$A:$A,CSV!Q:Q,""),
_xlpm.MacVal,_xlfn.XLOOKUP($A392,Output_Mac!$A:$A,Output_Mac!M:M,""),
_xlpm.MyAuditVal,_xlfn.XLOOKUP($A392,My_Audit!$A:$A,My_Audit!L:L,""),
_xlfn.IFS(_xlpm.MyAuditVal&lt;&gt;"",UPPER(_xlpm.MyAuditVal),_xlpm.MacVal&lt;&gt;"",_xlpm.MacVal,_xlpm.CSVVal&lt;&gt;"",_xlpm.CSVVal
)),"")</f>
        <v/>
      </c>
      <c r="N392" s="40"/>
      <c r="O392" s="40" t="str">
        <f>_xlfn.LET(
    _xlpm.CSVVal, _xlfn.XLOOKUP($A392, CSV!$A:$A, CSV!AA:AA, ""),
    _xlpm.MacVal, _xlfn.XLOOKUP($A392, Output_Mac!$A:$A, Output_Mac!S:S, ""),
    _xlpm.MyAuditVal, _xlfn.XLOOKUP($A392, My_Audit!$A:$A, My_Audit!P:P, ""),
    _xlfn.TEXTJOIN(", ", TRUE, _xlpm.MyAuditVal, _xlpm.MacVal, _xlpm.CSVVal)
)</f>
        <v/>
      </c>
      <c r="P392" s="40" t="str" cm="1">
        <f t="array" ref="P392">IFERROR(_xlfn.LET(
_xlpm.CSVVal,_xlfn.XLOOKUP($A392,CSV!$A:$A,CSV!AB:AB,""),
_xlpm.MacVal,_xlfn.XLOOKUP($A392,Output_Mac!$A:$A,Output_Mac!T:T,""),
_xlpm.MyAuditVal,_xlfn.XLOOKUP($A392,My_Audit!$A:$A,My_Audit!Q:Q,""),
_xlfn.IFS(_xlpm.MyAuditVal&lt;&gt;"",UPPER(_xlpm.MyAuditVal),_xlpm.MacVal&lt;&gt;"",_xlpm.MacVal,_xlpm.CSVVal&lt;&gt;"",_xlpm.CSVVal
)),"No")</f>
        <v>No</v>
      </c>
      <c r="Q392" s="40" t="str" cm="1">
        <f t="array" ref="Q392">IFERROR(_xlfn.LET(
_xlpm.CSVVal,_xlfn.XLOOKUP($A392,CSV!$A:$A,CSV!AC:AC,""),
_xlpm.MacVal,_xlfn.XLOOKUP($A392,Output_Mac!$A:$A,Output_Mac!U:U,""),
_xlpm.MyAuditVal,_xlfn.XLOOKUP($A392,My_Audit!$A:$A,My_Audit!R:R,""),
_xlfn.IFS(_xlpm.MyAuditVal&lt;&gt;"",UPPER(_xlpm.MyAuditVal),_xlpm.MacVal&lt;&gt;"",_xlpm.MacVal,_xlpm.CSVVal&lt;&gt;"",_xlpm.CSVVal
)),"")</f>
        <v/>
      </c>
      <c r="R392" s="40"/>
      <c r="S392" s="40"/>
      <c r="T392" s="40"/>
      <c r="U392" s="40"/>
      <c r="V392" s="40"/>
      <c r="W392" s="40"/>
      <c r="X392" s="41" t="str">
        <f>_xlfn.LET(
    _xlpm.MacVal, _xlfn.XLOOKUP($A392, Output_Mac!$A:$A, Output_Mac!AB:AB, ""),
    _xlpm.MyAuditVal, _xlfn.XLOOKUP($A392, My_Audit!$A:$A, My_Audit!N:N, ""),
    _xlfn.TEXTJOIN(", ", TRUE, _xlpm.MyAuditVal, _xlpm.MacVal)
)</f>
        <v/>
      </c>
    </row>
    <row r="393" spans="1:24">
      <c r="A393" s="40" t="str">
        <f>_xlfn.TEXTJOIN("",TRUE,Input!$B$2,ROW(My_Audit!A392))</f>
        <v>X392</v>
      </c>
      <c r="B393" s="40" t="str">
        <f>_xlfn.TEXTJOIN("-",TRUE,"ITD",Input!$A$2,A393)</f>
        <v>ITD-X392</v>
      </c>
      <c r="C393" s="40" t="str" cm="1">
        <f t="array" ref="C393">IFERROR(_xlfn.LET(
_xlpm.CSVVal,_xlfn.XLOOKUP($A393,CSV!$A:$A,CSV!B:B,""),
_xlpm.MacVal,_xlfn.XLOOKUP($A393,Output_Mac!$A:$A,Output_Mac!B:B,""),
_xlpm.MyAuditVal,_xlfn.XLOOKUP($A393,My_Audit!$A:$A,My_Audit!B:B,""),
_xlfn.IFS(_xlpm.MyAuditVal&lt;&gt;"",UPPER(_xlpm.MyAuditVal),_xlpm.MacVal&lt;&gt;"",_xlpm.MacVal,_xlpm.CSVVal&lt;&gt;"",_xlpm.CSVVal
)),"")</f>
        <v/>
      </c>
      <c r="D393" s="40" t="str" cm="1">
        <f t="array" ref="D393">IFERROR(_xlfn.LET(
_xlpm.CSVVal,_xlfn.XLOOKUP($A393,CSV!$A:$A,CSV!D:D,""),
_xlpm.MacVal,_xlfn.XLOOKUP($A393,Output_Mac!$A:$A,Output_Mac!C:C,""),
_xlpm.MyAuditVal,_xlfn.XLOOKUP($A393,My_Audit!$A:$A,My_Audit!C:C,""),
_xlfn.IFS(_xlpm.MyAuditVal&lt;&gt;"",_xlpm.MyAuditVal,_xlpm.MacVal&lt;&gt;"",_xlpm.MacVal,_xlpm.CSVVal&lt;&gt;"",_xlpm.CSVVal
)),"")</f>
        <v/>
      </c>
      <c r="E393" s="40">
        <f>_xlfn.XLOOKUP(A393,My_Audit!A:A,My_Audit!D:D,"")</f>
        <v>0</v>
      </c>
      <c r="F393" s="40" t="str" cm="1">
        <f t="array" ref="F393">IFERROR(_xlfn.LET(
_xlpm.CSVVal,_xlfn.XLOOKUP($A393,CSV!$A:$A,CSV!F:F,""),
_xlpm.MacVal,_xlfn.XLOOKUP($A393,Output_Mac!$A:$A,Output_Mac!E:E,""),
_xlpm.MyAuditVal,_xlfn.XLOOKUP($A393,My_Audit!$A:$A,My_Audit!E:E,""),
_xlfn.IFS(_xlpm.MyAuditVal&lt;&gt;"",_xlpm.MyAuditVal,_xlpm.MacVal&lt;&gt;"",_xlpm.MacVal,_xlpm.CSVVal&lt;&gt;"",_xlpm.CSVVal
)),"")</f>
        <v/>
      </c>
      <c r="G393" s="40" t="str" cm="1">
        <f t="array" ref="G393">IFERROR(_xlfn.LET(
_xlpm.CSVVal,_xlfn.XLOOKUP($A393,CSV!$A:$A,CSV!G:G,""),
_xlpm.MacVal,_xlfn.XLOOKUP($A393,Output_Mac!$A:$A,Output_Mac!F:F,""),
_xlpm.MyAuditVal,_xlfn.XLOOKUP($A393,My_Audit!$A:$A,My_Audit!F:F,""),
_xlfn.IFS(_xlpm.MyAuditVal&lt;&gt;"",_xlpm.MyAuditVal,_xlpm.MacVal&lt;&gt;"",_xlpm.MacVal,_xlpm.CSVVal&lt;&gt;"",PROPER(_xlpm.CSVVal)
)),"")</f>
        <v/>
      </c>
      <c r="H393" s="40" t="str" cm="1">
        <f t="array" ref="H393">IFERROR(_xlfn.LET(
_xlpm.CSVVal,_xlfn.XLOOKUP($A393,CSV!$A:$A,CSV!H:H,""),
_xlpm.MacVal,_xlfn.XLOOKUP($A393,Output_Mac!$A:$A,Output_Mac!H:H,""),
_xlpm.MyAuditVal,_xlfn.XLOOKUP($A393,My_Audit!$A:$A,My_Audit!G:G,""),
_xlfn.IFS(_xlpm.MyAuditVal&lt;&gt;"",_xlpm.MyAuditVal,_xlpm.MacVal&lt;&gt;"",_xlpm.MacVal,_xlpm.CSVVal&lt;&gt;"",_xlpm.CSVVal
)),"")</f>
        <v/>
      </c>
      <c r="I393" s="40" t="str">
        <f>_xlfn.XLOOKUP(A393,Output_Mac!A:A,Output_Mac!I:I,"")</f>
        <v/>
      </c>
      <c r="J393" s="40" t="str" cm="1">
        <f t="array" ref="J393">IFERROR(_xlfn.LET(
_xlpm.CSVVal,_xlfn.XLOOKUP($A393,CSV!$A:$A,CSV!I:I,""),
_xlpm.MacVal,_xlfn.XLOOKUP($A393,Output_Mac!$A:$A,Output_Mac!J:J,""),
_xlpm.MyAuditVal,_xlfn.XLOOKUP($A393,My_Audit!$A:$A,My_Audit!I:I,""),
_xlfn.IFS(_xlpm.MyAuditVal&lt;&gt;"",UPPER(_xlpm.MyAuditVal),_xlpm.MacVal&lt;&gt;"",_xlpm.MacVal,_xlpm.CSVVal&lt;&gt;"",_xlpm.CSVVal
)),"")</f>
        <v/>
      </c>
      <c r="K393" s="40" t="str" cm="1">
        <f t="array" ref="K393">IFERROR(_xlfn.LET(
_xlpm.CSVVal,_xlfn.XLOOKUP($A393,CSV!$A:$A,CSV!K:K,""),
_xlpm.MacVal,_xlfn.XLOOKUP($A393,Output_Mac!$A:$A,Output_Mac!K:K,""),
_xlpm.MyAuditVal,_xlfn.XLOOKUP($A393,My_Audit!$A:$A,My_Audit!J:J,""),
_xlfn.IFS(_xlpm.MyAuditVal&lt;&gt;"",UPPER(_xlpm.MyAuditVal),_xlpm.MacVal&lt;&gt;"",_xlpm.MacVal,_xlpm.CSVVal&lt;&gt;"",_xlpm.CSVVal
)),"")</f>
        <v/>
      </c>
      <c r="L393" s="40" t="str" cm="1">
        <f t="array" ref="L393">IFERROR(_xlfn.LET(
_xlpm.CSVVal,_xlfn.XLOOKUP($A393,CSV!$A:$A,CSV!P:P,""),
_xlpm.MacVal,_xlfn.XLOOKUP($A393,Output_Mac!$A:$A,Output_Mac!L:L,""),
_xlpm.MyAuditVal,_xlfn.XLOOKUP($A393,My_Audit!$A:$A,My_Audit!K:K,""),
_xlfn.IFS(_xlpm.MyAuditVal&lt;&gt;"",UPPER(_xlpm.MyAuditVal),_xlpm.MacVal&lt;&gt;"",_xlpm.MacVal,_xlpm.CSVVal&lt;&gt;"",_xlpm.CSVVal
)),"")</f>
        <v/>
      </c>
      <c r="M393" s="40" t="str" cm="1">
        <f t="array" ref="M393">IFERROR(_xlfn.LET(
_xlpm.CSVVal,_xlfn.XLOOKUP($A393,CSV!$A:$A,CSV!Q:Q,""),
_xlpm.MacVal,_xlfn.XLOOKUP($A393,Output_Mac!$A:$A,Output_Mac!M:M,""),
_xlpm.MyAuditVal,_xlfn.XLOOKUP($A393,My_Audit!$A:$A,My_Audit!L:L,""),
_xlfn.IFS(_xlpm.MyAuditVal&lt;&gt;"",UPPER(_xlpm.MyAuditVal),_xlpm.MacVal&lt;&gt;"",_xlpm.MacVal,_xlpm.CSVVal&lt;&gt;"",_xlpm.CSVVal
)),"")</f>
        <v/>
      </c>
      <c r="N393" s="40"/>
      <c r="O393" s="40" t="str">
        <f>_xlfn.LET(
    _xlpm.CSVVal, _xlfn.XLOOKUP($A393, CSV!$A:$A, CSV!AA:AA, ""),
    _xlpm.MacVal, _xlfn.XLOOKUP($A393, Output_Mac!$A:$A, Output_Mac!S:S, ""),
    _xlpm.MyAuditVal, _xlfn.XLOOKUP($A393, My_Audit!$A:$A, My_Audit!P:P, ""),
    _xlfn.TEXTJOIN(", ", TRUE, _xlpm.MyAuditVal, _xlpm.MacVal, _xlpm.CSVVal)
)</f>
        <v/>
      </c>
      <c r="P393" s="40" t="str" cm="1">
        <f t="array" ref="P393">IFERROR(_xlfn.LET(
_xlpm.CSVVal,_xlfn.XLOOKUP($A393,CSV!$A:$A,CSV!AB:AB,""),
_xlpm.MacVal,_xlfn.XLOOKUP($A393,Output_Mac!$A:$A,Output_Mac!T:T,""),
_xlpm.MyAuditVal,_xlfn.XLOOKUP($A393,My_Audit!$A:$A,My_Audit!Q:Q,""),
_xlfn.IFS(_xlpm.MyAuditVal&lt;&gt;"",UPPER(_xlpm.MyAuditVal),_xlpm.MacVal&lt;&gt;"",_xlpm.MacVal,_xlpm.CSVVal&lt;&gt;"",_xlpm.CSVVal
)),"No")</f>
        <v>No</v>
      </c>
      <c r="Q393" s="40" t="str" cm="1">
        <f t="array" ref="Q393">IFERROR(_xlfn.LET(
_xlpm.CSVVal,_xlfn.XLOOKUP($A393,CSV!$A:$A,CSV!AC:AC,""),
_xlpm.MacVal,_xlfn.XLOOKUP($A393,Output_Mac!$A:$A,Output_Mac!U:U,""),
_xlpm.MyAuditVal,_xlfn.XLOOKUP($A393,My_Audit!$A:$A,My_Audit!R:R,""),
_xlfn.IFS(_xlpm.MyAuditVal&lt;&gt;"",UPPER(_xlpm.MyAuditVal),_xlpm.MacVal&lt;&gt;"",_xlpm.MacVal,_xlpm.CSVVal&lt;&gt;"",_xlpm.CSVVal
)),"")</f>
        <v/>
      </c>
      <c r="R393" s="40"/>
      <c r="S393" s="40"/>
      <c r="T393" s="40"/>
      <c r="U393" s="40"/>
      <c r="V393" s="40"/>
      <c r="W393" s="40"/>
      <c r="X393" s="41" t="str">
        <f>_xlfn.LET(
    _xlpm.MacVal, _xlfn.XLOOKUP($A393, Output_Mac!$A:$A, Output_Mac!AB:AB, ""),
    _xlpm.MyAuditVal, _xlfn.XLOOKUP($A393, My_Audit!$A:$A, My_Audit!N:N, ""),
    _xlfn.TEXTJOIN(", ", TRUE, _xlpm.MyAuditVal, _xlpm.MacVal)
)</f>
        <v/>
      </c>
    </row>
    <row r="394" spans="1:24">
      <c r="A394" s="40" t="str">
        <f>_xlfn.TEXTJOIN("",TRUE,Input!$B$2,ROW(My_Audit!A393))</f>
        <v>X393</v>
      </c>
      <c r="B394" s="40" t="str">
        <f>_xlfn.TEXTJOIN("-",TRUE,"ITD",Input!$A$2,A394)</f>
        <v>ITD-X393</v>
      </c>
      <c r="C394" s="40" t="str" cm="1">
        <f t="array" ref="C394">IFERROR(_xlfn.LET(
_xlpm.CSVVal,_xlfn.XLOOKUP($A394,CSV!$A:$A,CSV!B:B,""),
_xlpm.MacVal,_xlfn.XLOOKUP($A394,Output_Mac!$A:$A,Output_Mac!B:B,""),
_xlpm.MyAuditVal,_xlfn.XLOOKUP($A394,My_Audit!$A:$A,My_Audit!B:B,""),
_xlfn.IFS(_xlpm.MyAuditVal&lt;&gt;"",UPPER(_xlpm.MyAuditVal),_xlpm.MacVal&lt;&gt;"",_xlpm.MacVal,_xlpm.CSVVal&lt;&gt;"",_xlpm.CSVVal
)),"")</f>
        <v/>
      </c>
      <c r="D394" s="40" t="str" cm="1">
        <f t="array" ref="D394">IFERROR(_xlfn.LET(
_xlpm.CSVVal,_xlfn.XLOOKUP($A394,CSV!$A:$A,CSV!D:D,""),
_xlpm.MacVal,_xlfn.XLOOKUP($A394,Output_Mac!$A:$A,Output_Mac!C:C,""),
_xlpm.MyAuditVal,_xlfn.XLOOKUP($A394,My_Audit!$A:$A,My_Audit!C:C,""),
_xlfn.IFS(_xlpm.MyAuditVal&lt;&gt;"",_xlpm.MyAuditVal,_xlpm.MacVal&lt;&gt;"",_xlpm.MacVal,_xlpm.CSVVal&lt;&gt;"",_xlpm.CSVVal
)),"")</f>
        <v/>
      </c>
      <c r="E394" s="40">
        <f>_xlfn.XLOOKUP(A394,My_Audit!A:A,My_Audit!D:D,"")</f>
        <v>0</v>
      </c>
      <c r="F394" s="40" t="str" cm="1">
        <f t="array" ref="F394">IFERROR(_xlfn.LET(
_xlpm.CSVVal,_xlfn.XLOOKUP($A394,CSV!$A:$A,CSV!F:F,""),
_xlpm.MacVal,_xlfn.XLOOKUP($A394,Output_Mac!$A:$A,Output_Mac!E:E,""),
_xlpm.MyAuditVal,_xlfn.XLOOKUP($A394,My_Audit!$A:$A,My_Audit!E:E,""),
_xlfn.IFS(_xlpm.MyAuditVal&lt;&gt;"",_xlpm.MyAuditVal,_xlpm.MacVal&lt;&gt;"",_xlpm.MacVal,_xlpm.CSVVal&lt;&gt;"",_xlpm.CSVVal
)),"")</f>
        <v/>
      </c>
      <c r="G394" s="40" t="str" cm="1">
        <f t="array" ref="G394">IFERROR(_xlfn.LET(
_xlpm.CSVVal,_xlfn.XLOOKUP($A394,CSV!$A:$A,CSV!G:G,""),
_xlpm.MacVal,_xlfn.XLOOKUP($A394,Output_Mac!$A:$A,Output_Mac!F:F,""),
_xlpm.MyAuditVal,_xlfn.XLOOKUP($A394,My_Audit!$A:$A,My_Audit!F:F,""),
_xlfn.IFS(_xlpm.MyAuditVal&lt;&gt;"",_xlpm.MyAuditVal,_xlpm.MacVal&lt;&gt;"",_xlpm.MacVal,_xlpm.CSVVal&lt;&gt;"",PROPER(_xlpm.CSVVal)
)),"")</f>
        <v/>
      </c>
      <c r="H394" s="40" t="str" cm="1">
        <f t="array" ref="H394">IFERROR(_xlfn.LET(
_xlpm.CSVVal,_xlfn.XLOOKUP($A394,CSV!$A:$A,CSV!H:H,""),
_xlpm.MacVal,_xlfn.XLOOKUP($A394,Output_Mac!$A:$A,Output_Mac!H:H,""),
_xlpm.MyAuditVal,_xlfn.XLOOKUP($A394,My_Audit!$A:$A,My_Audit!G:G,""),
_xlfn.IFS(_xlpm.MyAuditVal&lt;&gt;"",_xlpm.MyAuditVal,_xlpm.MacVal&lt;&gt;"",_xlpm.MacVal,_xlpm.CSVVal&lt;&gt;"",_xlpm.CSVVal
)),"")</f>
        <v/>
      </c>
      <c r="I394" s="40" t="str">
        <f>_xlfn.XLOOKUP(A394,Output_Mac!A:A,Output_Mac!I:I,"")</f>
        <v/>
      </c>
      <c r="J394" s="40" t="str" cm="1">
        <f t="array" ref="J394">IFERROR(_xlfn.LET(
_xlpm.CSVVal,_xlfn.XLOOKUP($A394,CSV!$A:$A,CSV!I:I,""),
_xlpm.MacVal,_xlfn.XLOOKUP($A394,Output_Mac!$A:$A,Output_Mac!J:J,""),
_xlpm.MyAuditVal,_xlfn.XLOOKUP($A394,My_Audit!$A:$A,My_Audit!I:I,""),
_xlfn.IFS(_xlpm.MyAuditVal&lt;&gt;"",UPPER(_xlpm.MyAuditVal),_xlpm.MacVal&lt;&gt;"",_xlpm.MacVal,_xlpm.CSVVal&lt;&gt;"",_xlpm.CSVVal
)),"")</f>
        <v/>
      </c>
      <c r="K394" s="40" t="str" cm="1">
        <f t="array" ref="K394">IFERROR(_xlfn.LET(
_xlpm.CSVVal,_xlfn.XLOOKUP($A394,CSV!$A:$A,CSV!K:K,""),
_xlpm.MacVal,_xlfn.XLOOKUP($A394,Output_Mac!$A:$A,Output_Mac!K:K,""),
_xlpm.MyAuditVal,_xlfn.XLOOKUP($A394,My_Audit!$A:$A,My_Audit!J:J,""),
_xlfn.IFS(_xlpm.MyAuditVal&lt;&gt;"",UPPER(_xlpm.MyAuditVal),_xlpm.MacVal&lt;&gt;"",_xlpm.MacVal,_xlpm.CSVVal&lt;&gt;"",_xlpm.CSVVal
)),"")</f>
        <v/>
      </c>
      <c r="L394" s="40" t="str" cm="1">
        <f t="array" ref="L394">IFERROR(_xlfn.LET(
_xlpm.CSVVal,_xlfn.XLOOKUP($A394,CSV!$A:$A,CSV!P:P,""),
_xlpm.MacVal,_xlfn.XLOOKUP($A394,Output_Mac!$A:$A,Output_Mac!L:L,""),
_xlpm.MyAuditVal,_xlfn.XLOOKUP($A394,My_Audit!$A:$A,My_Audit!K:K,""),
_xlfn.IFS(_xlpm.MyAuditVal&lt;&gt;"",UPPER(_xlpm.MyAuditVal),_xlpm.MacVal&lt;&gt;"",_xlpm.MacVal,_xlpm.CSVVal&lt;&gt;"",_xlpm.CSVVal
)),"")</f>
        <v/>
      </c>
      <c r="M394" s="40" t="str" cm="1">
        <f t="array" ref="M394">IFERROR(_xlfn.LET(
_xlpm.CSVVal,_xlfn.XLOOKUP($A394,CSV!$A:$A,CSV!Q:Q,""),
_xlpm.MacVal,_xlfn.XLOOKUP($A394,Output_Mac!$A:$A,Output_Mac!M:M,""),
_xlpm.MyAuditVal,_xlfn.XLOOKUP($A394,My_Audit!$A:$A,My_Audit!L:L,""),
_xlfn.IFS(_xlpm.MyAuditVal&lt;&gt;"",UPPER(_xlpm.MyAuditVal),_xlpm.MacVal&lt;&gt;"",_xlpm.MacVal,_xlpm.CSVVal&lt;&gt;"",_xlpm.CSVVal
)),"")</f>
        <v/>
      </c>
      <c r="N394" s="40"/>
      <c r="O394" s="40" t="str">
        <f>_xlfn.LET(
    _xlpm.CSVVal, _xlfn.XLOOKUP($A394, CSV!$A:$A, CSV!AA:AA, ""),
    _xlpm.MacVal, _xlfn.XLOOKUP($A394, Output_Mac!$A:$A, Output_Mac!S:S, ""),
    _xlpm.MyAuditVal, _xlfn.XLOOKUP($A394, My_Audit!$A:$A, My_Audit!P:P, ""),
    _xlfn.TEXTJOIN(", ", TRUE, _xlpm.MyAuditVal, _xlpm.MacVal, _xlpm.CSVVal)
)</f>
        <v/>
      </c>
      <c r="P394" s="40" t="str" cm="1">
        <f t="array" ref="P394">IFERROR(_xlfn.LET(
_xlpm.CSVVal,_xlfn.XLOOKUP($A394,CSV!$A:$A,CSV!AB:AB,""),
_xlpm.MacVal,_xlfn.XLOOKUP($A394,Output_Mac!$A:$A,Output_Mac!T:T,""),
_xlpm.MyAuditVal,_xlfn.XLOOKUP($A394,My_Audit!$A:$A,My_Audit!Q:Q,""),
_xlfn.IFS(_xlpm.MyAuditVal&lt;&gt;"",UPPER(_xlpm.MyAuditVal),_xlpm.MacVal&lt;&gt;"",_xlpm.MacVal,_xlpm.CSVVal&lt;&gt;"",_xlpm.CSVVal
)),"No")</f>
        <v>No</v>
      </c>
      <c r="Q394" s="40" t="str" cm="1">
        <f t="array" ref="Q394">IFERROR(_xlfn.LET(
_xlpm.CSVVal,_xlfn.XLOOKUP($A394,CSV!$A:$A,CSV!AC:AC,""),
_xlpm.MacVal,_xlfn.XLOOKUP($A394,Output_Mac!$A:$A,Output_Mac!U:U,""),
_xlpm.MyAuditVal,_xlfn.XLOOKUP($A394,My_Audit!$A:$A,My_Audit!R:R,""),
_xlfn.IFS(_xlpm.MyAuditVal&lt;&gt;"",UPPER(_xlpm.MyAuditVal),_xlpm.MacVal&lt;&gt;"",_xlpm.MacVal,_xlpm.CSVVal&lt;&gt;"",_xlpm.CSVVal
)),"")</f>
        <v/>
      </c>
      <c r="R394" s="40"/>
      <c r="S394" s="40"/>
      <c r="T394" s="40"/>
      <c r="U394" s="40"/>
      <c r="V394" s="40"/>
      <c r="W394" s="40"/>
      <c r="X394" s="41" t="str">
        <f>_xlfn.LET(
    _xlpm.MacVal, _xlfn.XLOOKUP($A394, Output_Mac!$A:$A, Output_Mac!AB:AB, ""),
    _xlpm.MyAuditVal, _xlfn.XLOOKUP($A394, My_Audit!$A:$A, My_Audit!N:N, ""),
    _xlfn.TEXTJOIN(", ", TRUE, _xlpm.MyAuditVal, _xlpm.MacVal)
)</f>
        <v/>
      </c>
    </row>
    <row r="395" spans="1:24">
      <c r="A395" s="40" t="str">
        <f>_xlfn.TEXTJOIN("",TRUE,Input!$B$2,ROW(My_Audit!A394))</f>
        <v>X394</v>
      </c>
      <c r="B395" s="40" t="str">
        <f>_xlfn.TEXTJOIN("-",TRUE,"ITD",Input!$A$2,A395)</f>
        <v>ITD-X394</v>
      </c>
      <c r="C395" s="40" t="str" cm="1">
        <f t="array" ref="C395">IFERROR(_xlfn.LET(
_xlpm.CSVVal,_xlfn.XLOOKUP($A395,CSV!$A:$A,CSV!B:B,""),
_xlpm.MacVal,_xlfn.XLOOKUP($A395,Output_Mac!$A:$A,Output_Mac!B:B,""),
_xlpm.MyAuditVal,_xlfn.XLOOKUP($A395,My_Audit!$A:$A,My_Audit!B:B,""),
_xlfn.IFS(_xlpm.MyAuditVal&lt;&gt;"",UPPER(_xlpm.MyAuditVal),_xlpm.MacVal&lt;&gt;"",_xlpm.MacVal,_xlpm.CSVVal&lt;&gt;"",_xlpm.CSVVal
)),"")</f>
        <v/>
      </c>
      <c r="D395" s="40" t="str" cm="1">
        <f t="array" ref="D395">IFERROR(_xlfn.LET(
_xlpm.CSVVal,_xlfn.XLOOKUP($A395,CSV!$A:$A,CSV!D:D,""),
_xlpm.MacVal,_xlfn.XLOOKUP($A395,Output_Mac!$A:$A,Output_Mac!C:C,""),
_xlpm.MyAuditVal,_xlfn.XLOOKUP($A395,My_Audit!$A:$A,My_Audit!C:C,""),
_xlfn.IFS(_xlpm.MyAuditVal&lt;&gt;"",_xlpm.MyAuditVal,_xlpm.MacVal&lt;&gt;"",_xlpm.MacVal,_xlpm.CSVVal&lt;&gt;"",_xlpm.CSVVal
)),"")</f>
        <v/>
      </c>
      <c r="E395" s="40">
        <f>_xlfn.XLOOKUP(A395,My_Audit!A:A,My_Audit!D:D,"")</f>
        <v>0</v>
      </c>
      <c r="F395" s="40" t="str" cm="1">
        <f t="array" ref="F395">IFERROR(_xlfn.LET(
_xlpm.CSVVal,_xlfn.XLOOKUP($A395,CSV!$A:$A,CSV!F:F,""),
_xlpm.MacVal,_xlfn.XLOOKUP($A395,Output_Mac!$A:$A,Output_Mac!E:E,""),
_xlpm.MyAuditVal,_xlfn.XLOOKUP($A395,My_Audit!$A:$A,My_Audit!E:E,""),
_xlfn.IFS(_xlpm.MyAuditVal&lt;&gt;"",_xlpm.MyAuditVal,_xlpm.MacVal&lt;&gt;"",_xlpm.MacVal,_xlpm.CSVVal&lt;&gt;"",_xlpm.CSVVal
)),"")</f>
        <v/>
      </c>
      <c r="G395" s="40" t="str" cm="1">
        <f t="array" ref="G395">IFERROR(_xlfn.LET(
_xlpm.CSVVal,_xlfn.XLOOKUP($A395,CSV!$A:$A,CSV!G:G,""),
_xlpm.MacVal,_xlfn.XLOOKUP($A395,Output_Mac!$A:$A,Output_Mac!F:F,""),
_xlpm.MyAuditVal,_xlfn.XLOOKUP($A395,My_Audit!$A:$A,My_Audit!F:F,""),
_xlfn.IFS(_xlpm.MyAuditVal&lt;&gt;"",_xlpm.MyAuditVal,_xlpm.MacVal&lt;&gt;"",_xlpm.MacVal,_xlpm.CSVVal&lt;&gt;"",PROPER(_xlpm.CSVVal)
)),"")</f>
        <v/>
      </c>
      <c r="H395" s="40" t="str" cm="1">
        <f t="array" ref="H395">IFERROR(_xlfn.LET(
_xlpm.CSVVal,_xlfn.XLOOKUP($A395,CSV!$A:$A,CSV!H:H,""),
_xlpm.MacVal,_xlfn.XLOOKUP($A395,Output_Mac!$A:$A,Output_Mac!H:H,""),
_xlpm.MyAuditVal,_xlfn.XLOOKUP($A395,My_Audit!$A:$A,My_Audit!G:G,""),
_xlfn.IFS(_xlpm.MyAuditVal&lt;&gt;"",_xlpm.MyAuditVal,_xlpm.MacVal&lt;&gt;"",_xlpm.MacVal,_xlpm.CSVVal&lt;&gt;"",_xlpm.CSVVal
)),"")</f>
        <v/>
      </c>
      <c r="I395" s="40" t="str">
        <f>_xlfn.XLOOKUP(A395,Output_Mac!A:A,Output_Mac!I:I,"")</f>
        <v/>
      </c>
      <c r="J395" s="40" t="str" cm="1">
        <f t="array" ref="J395">IFERROR(_xlfn.LET(
_xlpm.CSVVal,_xlfn.XLOOKUP($A395,CSV!$A:$A,CSV!I:I,""),
_xlpm.MacVal,_xlfn.XLOOKUP($A395,Output_Mac!$A:$A,Output_Mac!J:J,""),
_xlpm.MyAuditVal,_xlfn.XLOOKUP($A395,My_Audit!$A:$A,My_Audit!I:I,""),
_xlfn.IFS(_xlpm.MyAuditVal&lt;&gt;"",UPPER(_xlpm.MyAuditVal),_xlpm.MacVal&lt;&gt;"",_xlpm.MacVal,_xlpm.CSVVal&lt;&gt;"",_xlpm.CSVVal
)),"")</f>
        <v/>
      </c>
      <c r="K395" s="40" t="str" cm="1">
        <f t="array" ref="K395">IFERROR(_xlfn.LET(
_xlpm.CSVVal,_xlfn.XLOOKUP($A395,CSV!$A:$A,CSV!K:K,""),
_xlpm.MacVal,_xlfn.XLOOKUP($A395,Output_Mac!$A:$A,Output_Mac!K:K,""),
_xlpm.MyAuditVal,_xlfn.XLOOKUP($A395,My_Audit!$A:$A,My_Audit!J:J,""),
_xlfn.IFS(_xlpm.MyAuditVal&lt;&gt;"",UPPER(_xlpm.MyAuditVal),_xlpm.MacVal&lt;&gt;"",_xlpm.MacVal,_xlpm.CSVVal&lt;&gt;"",_xlpm.CSVVal
)),"")</f>
        <v/>
      </c>
      <c r="L395" s="40" t="str" cm="1">
        <f t="array" ref="L395">IFERROR(_xlfn.LET(
_xlpm.CSVVal,_xlfn.XLOOKUP($A395,CSV!$A:$A,CSV!P:P,""),
_xlpm.MacVal,_xlfn.XLOOKUP($A395,Output_Mac!$A:$A,Output_Mac!L:L,""),
_xlpm.MyAuditVal,_xlfn.XLOOKUP($A395,My_Audit!$A:$A,My_Audit!K:K,""),
_xlfn.IFS(_xlpm.MyAuditVal&lt;&gt;"",UPPER(_xlpm.MyAuditVal),_xlpm.MacVal&lt;&gt;"",_xlpm.MacVal,_xlpm.CSVVal&lt;&gt;"",_xlpm.CSVVal
)),"")</f>
        <v/>
      </c>
      <c r="M395" s="40" t="str" cm="1">
        <f t="array" ref="M395">IFERROR(_xlfn.LET(
_xlpm.CSVVal,_xlfn.XLOOKUP($A395,CSV!$A:$A,CSV!Q:Q,""),
_xlpm.MacVal,_xlfn.XLOOKUP($A395,Output_Mac!$A:$A,Output_Mac!M:M,""),
_xlpm.MyAuditVal,_xlfn.XLOOKUP($A395,My_Audit!$A:$A,My_Audit!L:L,""),
_xlfn.IFS(_xlpm.MyAuditVal&lt;&gt;"",UPPER(_xlpm.MyAuditVal),_xlpm.MacVal&lt;&gt;"",_xlpm.MacVal,_xlpm.CSVVal&lt;&gt;"",_xlpm.CSVVal
)),"")</f>
        <v/>
      </c>
      <c r="N395" s="40"/>
      <c r="O395" s="40" t="str">
        <f>_xlfn.LET(
    _xlpm.CSVVal, _xlfn.XLOOKUP($A395, CSV!$A:$A, CSV!AA:AA, ""),
    _xlpm.MacVal, _xlfn.XLOOKUP($A395, Output_Mac!$A:$A, Output_Mac!S:S, ""),
    _xlpm.MyAuditVal, _xlfn.XLOOKUP($A395, My_Audit!$A:$A, My_Audit!P:P, ""),
    _xlfn.TEXTJOIN(", ", TRUE, _xlpm.MyAuditVal, _xlpm.MacVal, _xlpm.CSVVal)
)</f>
        <v/>
      </c>
      <c r="P395" s="40" t="str" cm="1">
        <f t="array" ref="P395">IFERROR(_xlfn.LET(
_xlpm.CSVVal,_xlfn.XLOOKUP($A395,CSV!$A:$A,CSV!AB:AB,""),
_xlpm.MacVal,_xlfn.XLOOKUP($A395,Output_Mac!$A:$A,Output_Mac!T:T,""),
_xlpm.MyAuditVal,_xlfn.XLOOKUP($A395,My_Audit!$A:$A,My_Audit!Q:Q,""),
_xlfn.IFS(_xlpm.MyAuditVal&lt;&gt;"",UPPER(_xlpm.MyAuditVal),_xlpm.MacVal&lt;&gt;"",_xlpm.MacVal,_xlpm.CSVVal&lt;&gt;"",_xlpm.CSVVal
)),"No")</f>
        <v>No</v>
      </c>
      <c r="Q395" s="40" t="str" cm="1">
        <f t="array" ref="Q395">IFERROR(_xlfn.LET(
_xlpm.CSVVal,_xlfn.XLOOKUP($A395,CSV!$A:$A,CSV!AC:AC,""),
_xlpm.MacVal,_xlfn.XLOOKUP($A395,Output_Mac!$A:$A,Output_Mac!U:U,""),
_xlpm.MyAuditVal,_xlfn.XLOOKUP($A395,My_Audit!$A:$A,My_Audit!R:R,""),
_xlfn.IFS(_xlpm.MyAuditVal&lt;&gt;"",UPPER(_xlpm.MyAuditVal),_xlpm.MacVal&lt;&gt;"",_xlpm.MacVal,_xlpm.CSVVal&lt;&gt;"",_xlpm.CSVVal
)),"")</f>
        <v/>
      </c>
      <c r="R395" s="40"/>
      <c r="S395" s="40"/>
      <c r="T395" s="40"/>
      <c r="U395" s="40"/>
      <c r="V395" s="40"/>
      <c r="W395" s="40"/>
      <c r="X395" s="41" t="str">
        <f>_xlfn.LET(
    _xlpm.MacVal, _xlfn.XLOOKUP($A395, Output_Mac!$A:$A, Output_Mac!AB:AB, ""),
    _xlpm.MyAuditVal, _xlfn.XLOOKUP($A395, My_Audit!$A:$A, My_Audit!N:N, ""),
    _xlfn.TEXTJOIN(", ", TRUE, _xlpm.MyAuditVal, _xlpm.MacVal)
)</f>
        <v/>
      </c>
    </row>
    <row r="396" spans="1:24">
      <c r="A396" s="40" t="str">
        <f>_xlfn.TEXTJOIN("",TRUE,Input!$B$2,ROW(My_Audit!A395))</f>
        <v>X395</v>
      </c>
      <c r="B396" s="40" t="str">
        <f>_xlfn.TEXTJOIN("-",TRUE,"ITD",Input!$A$2,A396)</f>
        <v>ITD-X395</v>
      </c>
      <c r="C396" s="40" t="str" cm="1">
        <f t="array" ref="C396">IFERROR(_xlfn.LET(
_xlpm.CSVVal,_xlfn.XLOOKUP($A396,CSV!$A:$A,CSV!B:B,""),
_xlpm.MacVal,_xlfn.XLOOKUP($A396,Output_Mac!$A:$A,Output_Mac!B:B,""),
_xlpm.MyAuditVal,_xlfn.XLOOKUP($A396,My_Audit!$A:$A,My_Audit!B:B,""),
_xlfn.IFS(_xlpm.MyAuditVal&lt;&gt;"",UPPER(_xlpm.MyAuditVal),_xlpm.MacVal&lt;&gt;"",_xlpm.MacVal,_xlpm.CSVVal&lt;&gt;"",_xlpm.CSVVal
)),"")</f>
        <v/>
      </c>
      <c r="D396" s="40" t="str" cm="1">
        <f t="array" ref="D396">IFERROR(_xlfn.LET(
_xlpm.CSVVal,_xlfn.XLOOKUP($A396,CSV!$A:$A,CSV!D:D,""),
_xlpm.MacVal,_xlfn.XLOOKUP($A396,Output_Mac!$A:$A,Output_Mac!C:C,""),
_xlpm.MyAuditVal,_xlfn.XLOOKUP($A396,My_Audit!$A:$A,My_Audit!C:C,""),
_xlfn.IFS(_xlpm.MyAuditVal&lt;&gt;"",_xlpm.MyAuditVal,_xlpm.MacVal&lt;&gt;"",_xlpm.MacVal,_xlpm.CSVVal&lt;&gt;"",_xlpm.CSVVal
)),"")</f>
        <v/>
      </c>
      <c r="E396" s="40">
        <f>_xlfn.XLOOKUP(A396,My_Audit!A:A,My_Audit!D:D,"")</f>
        <v>0</v>
      </c>
      <c r="F396" s="40" t="str" cm="1">
        <f t="array" ref="F396">IFERROR(_xlfn.LET(
_xlpm.CSVVal,_xlfn.XLOOKUP($A396,CSV!$A:$A,CSV!F:F,""),
_xlpm.MacVal,_xlfn.XLOOKUP($A396,Output_Mac!$A:$A,Output_Mac!E:E,""),
_xlpm.MyAuditVal,_xlfn.XLOOKUP($A396,My_Audit!$A:$A,My_Audit!E:E,""),
_xlfn.IFS(_xlpm.MyAuditVal&lt;&gt;"",_xlpm.MyAuditVal,_xlpm.MacVal&lt;&gt;"",_xlpm.MacVal,_xlpm.CSVVal&lt;&gt;"",_xlpm.CSVVal
)),"")</f>
        <v/>
      </c>
      <c r="G396" s="40" t="str" cm="1">
        <f t="array" ref="G396">IFERROR(_xlfn.LET(
_xlpm.CSVVal,_xlfn.XLOOKUP($A396,CSV!$A:$A,CSV!G:G,""),
_xlpm.MacVal,_xlfn.XLOOKUP($A396,Output_Mac!$A:$A,Output_Mac!F:F,""),
_xlpm.MyAuditVal,_xlfn.XLOOKUP($A396,My_Audit!$A:$A,My_Audit!F:F,""),
_xlfn.IFS(_xlpm.MyAuditVal&lt;&gt;"",_xlpm.MyAuditVal,_xlpm.MacVal&lt;&gt;"",_xlpm.MacVal,_xlpm.CSVVal&lt;&gt;"",PROPER(_xlpm.CSVVal)
)),"")</f>
        <v/>
      </c>
      <c r="H396" s="40" t="str" cm="1">
        <f t="array" ref="H396">IFERROR(_xlfn.LET(
_xlpm.CSVVal,_xlfn.XLOOKUP($A396,CSV!$A:$A,CSV!H:H,""),
_xlpm.MacVal,_xlfn.XLOOKUP($A396,Output_Mac!$A:$A,Output_Mac!H:H,""),
_xlpm.MyAuditVal,_xlfn.XLOOKUP($A396,My_Audit!$A:$A,My_Audit!G:G,""),
_xlfn.IFS(_xlpm.MyAuditVal&lt;&gt;"",_xlpm.MyAuditVal,_xlpm.MacVal&lt;&gt;"",_xlpm.MacVal,_xlpm.CSVVal&lt;&gt;"",_xlpm.CSVVal
)),"")</f>
        <v/>
      </c>
      <c r="I396" s="40" t="str">
        <f>_xlfn.XLOOKUP(A396,Output_Mac!A:A,Output_Mac!I:I,"")</f>
        <v/>
      </c>
      <c r="J396" s="40" t="str" cm="1">
        <f t="array" ref="J396">IFERROR(_xlfn.LET(
_xlpm.CSVVal,_xlfn.XLOOKUP($A396,CSV!$A:$A,CSV!I:I,""),
_xlpm.MacVal,_xlfn.XLOOKUP($A396,Output_Mac!$A:$A,Output_Mac!J:J,""),
_xlpm.MyAuditVal,_xlfn.XLOOKUP($A396,My_Audit!$A:$A,My_Audit!I:I,""),
_xlfn.IFS(_xlpm.MyAuditVal&lt;&gt;"",UPPER(_xlpm.MyAuditVal),_xlpm.MacVal&lt;&gt;"",_xlpm.MacVal,_xlpm.CSVVal&lt;&gt;"",_xlpm.CSVVal
)),"")</f>
        <v/>
      </c>
      <c r="K396" s="40" t="str" cm="1">
        <f t="array" ref="K396">IFERROR(_xlfn.LET(
_xlpm.CSVVal,_xlfn.XLOOKUP($A396,CSV!$A:$A,CSV!K:K,""),
_xlpm.MacVal,_xlfn.XLOOKUP($A396,Output_Mac!$A:$A,Output_Mac!K:K,""),
_xlpm.MyAuditVal,_xlfn.XLOOKUP($A396,My_Audit!$A:$A,My_Audit!J:J,""),
_xlfn.IFS(_xlpm.MyAuditVal&lt;&gt;"",UPPER(_xlpm.MyAuditVal),_xlpm.MacVal&lt;&gt;"",_xlpm.MacVal,_xlpm.CSVVal&lt;&gt;"",_xlpm.CSVVal
)),"")</f>
        <v/>
      </c>
      <c r="L396" s="40" t="str" cm="1">
        <f t="array" ref="L396">IFERROR(_xlfn.LET(
_xlpm.CSVVal,_xlfn.XLOOKUP($A396,CSV!$A:$A,CSV!P:P,""),
_xlpm.MacVal,_xlfn.XLOOKUP($A396,Output_Mac!$A:$A,Output_Mac!L:L,""),
_xlpm.MyAuditVal,_xlfn.XLOOKUP($A396,My_Audit!$A:$A,My_Audit!K:K,""),
_xlfn.IFS(_xlpm.MyAuditVal&lt;&gt;"",UPPER(_xlpm.MyAuditVal),_xlpm.MacVal&lt;&gt;"",_xlpm.MacVal,_xlpm.CSVVal&lt;&gt;"",_xlpm.CSVVal
)),"")</f>
        <v/>
      </c>
      <c r="M396" s="40" t="str" cm="1">
        <f t="array" ref="M396">IFERROR(_xlfn.LET(
_xlpm.CSVVal,_xlfn.XLOOKUP($A396,CSV!$A:$A,CSV!Q:Q,""),
_xlpm.MacVal,_xlfn.XLOOKUP($A396,Output_Mac!$A:$A,Output_Mac!M:M,""),
_xlpm.MyAuditVal,_xlfn.XLOOKUP($A396,My_Audit!$A:$A,My_Audit!L:L,""),
_xlfn.IFS(_xlpm.MyAuditVal&lt;&gt;"",UPPER(_xlpm.MyAuditVal),_xlpm.MacVal&lt;&gt;"",_xlpm.MacVal,_xlpm.CSVVal&lt;&gt;"",_xlpm.CSVVal
)),"")</f>
        <v/>
      </c>
      <c r="N396" s="40"/>
      <c r="O396" s="40" t="str">
        <f>_xlfn.LET(
    _xlpm.CSVVal, _xlfn.XLOOKUP($A396, CSV!$A:$A, CSV!AA:AA, ""),
    _xlpm.MacVal, _xlfn.XLOOKUP($A396, Output_Mac!$A:$A, Output_Mac!S:S, ""),
    _xlpm.MyAuditVal, _xlfn.XLOOKUP($A396, My_Audit!$A:$A, My_Audit!P:P, ""),
    _xlfn.TEXTJOIN(", ", TRUE, _xlpm.MyAuditVal, _xlpm.MacVal, _xlpm.CSVVal)
)</f>
        <v/>
      </c>
      <c r="P396" s="40" t="str" cm="1">
        <f t="array" ref="P396">IFERROR(_xlfn.LET(
_xlpm.CSVVal,_xlfn.XLOOKUP($A396,CSV!$A:$A,CSV!AB:AB,""),
_xlpm.MacVal,_xlfn.XLOOKUP($A396,Output_Mac!$A:$A,Output_Mac!T:T,""),
_xlpm.MyAuditVal,_xlfn.XLOOKUP($A396,My_Audit!$A:$A,My_Audit!Q:Q,""),
_xlfn.IFS(_xlpm.MyAuditVal&lt;&gt;"",UPPER(_xlpm.MyAuditVal),_xlpm.MacVal&lt;&gt;"",_xlpm.MacVal,_xlpm.CSVVal&lt;&gt;"",_xlpm.CSVVal
)),"No")</f>
        <v>No</v>
      </c>
      <c r="Q396" s="40" t="str" cm="1">
        <f t="array" ref="Q396">IFERROR(_xlfn.LET(
_xlpm.CSVVal,_xlfn.XLOOKUP($A396,CSV!$A:$A,CSV!AC:AC,""),
_xlpm.MacVal,_xlfn.XLOOKUP($A396,Output_Mac!$A:$A,Output_Mac!U:U,""),
_xlpm.MyAuditVal,_xlfn.XLOOKUP($A396,My_Audit!$A:$A,My_Audit!R:R,""),
_xlfn.IFS(_xlpm.MyAuditVal&lt;&gt;"",UPPER(_xlpm.MyAuditVal),_xlpm.MacVal&lt;&gt;"",_xlpm.MacVal,_xlpm.CSVVal&lt;&gt;"",_xlpm.CSVVal
)),"")</f>
        <v/>
      </c>
      <c r="R396" s="40"/>
      <c r="S396" s="40"/>
      <c r="T396" s="40"/>
      <c r="U396" s="40"/>
      <c r="V396" s="40"/>
      <c r="W396" s="40"/>
      <c r="X396" s="41" t="str">
        <f>_xlfn.LET(
    _xlpm.MacVal, _xlfn.XLOOKUP($A396, Output_Mac!$A:$A, Output_Mac!AB:AB, ""),
    _xlpm.MyAuditVal, _xlfn.XLOOKUP($A396, My_Audit!$A:$A, My_Audit!N:N, ""),
    _xlfn.TEXTJOIN(", ", TRUE, _xlpm.MyAuditVal, _xlpm.MacVal)
)</f>
        <v/>
      </c>
    </row>
    <row r="397" spans="1:24">
      <c r="A397" s="40" t="str">
        <f>_xlfn.TEXTJOIN("",TRUE,Input!$B$2,ROW(My_Audit!A396))</f>
        <v>X396</v>
      </c>
      <c r="B397" s="40" t="str">
        <f>_xlfn.TEXTJOIN("-",TRUE,"ITD",Input!$A$2,A397)</f>
        <v>ITD-X396</v>
      </c>
      <c r="C397" s="40" t="str" cm="1">
        <f t="array" ref="C397">IFERROR(_xlfn.LET(
_xlpm.CSVVal,_xlfn.XLOOKUP($A397,CSV!$A:$A,CSV!B:B,""),
_xlpm.MacVal,_xlfn.XLOOKUP($A397,Output_Mac!$A:$A,Output_Mac!B:B,""),
_xlpm.MyAuditVal,_xlfn.XLOOKUP($A397,My_Audit!$A:$A,My_Audit!B:B,""),
_xlfn.IFS(_xlpm.MyAuditVal&lt;&gt;"",UPPER(_xlpm.MyAuditVal),_xlpm.MacVal&lt;&gt;"",_xlpm.MacVal,_xlpm.CSVVal&lt;&gt;"",_xlpm.CSVVal
)),"")</f>
        <v/>
      </c>
      <c r="D397" s="40" t="str" cm="1">
        <f t="array" ref="D397">IFERROR(_xlfn.LET(
_xlpm.CSVVal,_xlfn.XLOOKUP($A397,CSV!$A:$A,CSV!D:D,""),
_xlpm.MacVal,_xlfn.XLOOKUP($A397,Output_Mac!$A:$A,Output_Mac!C:C,""),
_xlpm.MyAuditVal,_xlfn.XLOOKUP($A397,My_Audit!$A:$A,My_Audit!C:C,""),
_xlfn.IFS(_xlpm.MyAuditVal&lt;&gt;"",_xlpm.MyAuditVal,_xlpm.MacVal&lt;&gt;"",_xlpm.MacVal,_xlpm.CSVVal&lt;&gt;"",_xlpm.CSVVal
)),"")</f>
        <v/>
      </c>
      <c r="E397" s="40">
        <f>_xlfn.XLOOKUP(A397,My_Audit!A:A,My_Audit!D:D,"")</f>
        <v>0</v>
      </c>
      <c r="F397" s="40" t="str" cm="1">
        <f t="array" ref="F397">IFERROR(_xlfn.LET(
_xlpm.CSVVal,_xlfn.XLOOKUP($A397,CSV!$A:$A,CSV!F:F,""),
_xlpm.MacVal,_xlfn.XLOOKUP($A397,Output_Mac!$A:$A,Output_Mac!E:E,""),
_xlpm.MyAuditVal,_xlfn.XLOOKUP($A397,My_Audit!$A:$A,My_Audit!E:E,""),
_xlfn.IFS(_xlpm.MyAuditVal&lt;&gt;"",_xlpm.MyAuditVal,_xlpm.MacVal&lt;&gt;"",_xlpm.MacVal,_xlpm.CSVVal&lt;&gt;"",_xlpm.CSVVal
)),"")</f>
        <v/>
      </c>
      <c r="G397" s="40" t="str" cm="1">
        <f t="array" ref="G397">IFERROR(_xlfn.LET(
_xlpm.CSVVal,_xlfn.XLOOKUP($A397,CSV!$A:$A,CSV!G:G,""),
_xlpm.MacVal,_xlfn.XLOOKUP($A397,Output_Mac!$A:$A,Output_Mac!F:F,""),
_xlpm.MyAuditVal,_xlfn.XLOOKUP($A397,My_Audit!$A:$A,My_Audit!F:F,""),
_xlfn.IFS(_xlpm.MyAuditVal&lt;&gt;"",_xlpm.MyAuditVal,_xlpm.MacVal&lt;&gt;"",_xlpm.MacVal,_xlpm.CSVVal&lt;&gt;"",PROPER(_xlpm.CSVVal)
)),"")</f>
        <v/>
      </c>
      <c r="H397" s="40" t="str" cm="1">
        <f t="array" ref="H397">IFERROR(_xlfn.LET(
_xlpm.CSVVal,_xlfn.XLOOKUP($A397,CSV!$A:$A,CSV!H:H,""),
_xlpm.MacVal,_xlfn.XLOOKUP($A397,Output_Mac!$A:$A,Output_Mac!H:H,""),
_xlpm.MyAuditVal,_xlfn.XLOOKUP($A397,My_Audit!$A:$A,My_Audit!G:G,""),
_xlfn.IFS(_xlpm.MyAuditVal&lt;&gt;"",_xlpm.MyAuditVal,_xlpm.MacVal&lt;&gt;"",_xlpm.MacVal,_xlpm.CSVVal&lt;&gt;"",_xlpm.CSVVal
)),"")</f>
        <v/>
      </c>
      <c r="I397" s="40" t="str">
        <f>_xlfn.XLOOKUP(A397,Output_Mac!A:A,Output_Mac!I:I,"")</f>
        <v/>
      </c>
      <c r="J397" s="40" t="str" cm="1">
        <f t="array" ref="J397">IFERROR(_xlfn.LET(
_xlpm.CSVVal,_xlfn.XLOOKUP($A397,CSV!$A:$A,CSV!I:I,""),
_xlpm.MacVal,_xlfn.XLOOKUP($A397,Output_Mac!$A:$A,Output_Mac!J:J,""),
_xlpm.MyAuditVal,_xlfn.XLOOKUP($A397,My_Audit!$A:$A,My_Audit!I:I,""),
_xlfn.IFS(_xlpm.MyAuditVal&lt;&gt;"",UPPER(_xlpm.MyAuditVal),_xlpm.MacVal&lt;&gt;"",_xlpm.MacVal,_xlpm.CSVVal&lt;&gt;"",_xlpm.CSVVal
)),"")</f>
        <v/>
      </c>
      <c r="K397" s="40" t="str" cm="1">
        <f t="array" ref="K397">IFERROR(_xlfn.LET(
_xlpm.CSVVal,_xlfn.XLOOKUP($A397,CSV!$A:$A,CSV!K:K,""),
_xlpm.MacVal,_xlfn.XLOOKUP($A397,Output_Mac!$A:$A,Output_Mac!K:K,""),
_xlpm.MyAuditVal,_xlfn.XLOOKUP($A397,My_Audit!$A:$A,My_Audit!J:J,""),
_xlfn.IFS(_xlpm.MyAuditVal&lt;&gt;"",UPPER(_xlpm.MyAuditVal),_xlpm.MacVal&lt;&gt;"",_xlpm.MacVal,_xlpm.CSVVal&lt;&gt;"",_xlpm.CSVVal
)),"")</f>
        <v/>
      </c>
      <c r="L397" s="40" t="str" cm="1">
        <f t="array" ref="L397">IFERROR(_xlfn.LET(
_xlpm.CSVVal,_xlfn.XLOOKUP($A397,CSV!$A:$A,CSV!P:P,""),
_xlpm.MacVal,_xlfn.XLOOKUP($A397,Output_Mac!$A:$A,Output_Mac!L:L,""),
_xlpm.MyAuditVal,_xlfn.XLOOKUP($A397,My_Audit!$A:$A,My_Audit!K:K,""),
_xlfn.IFS(_xlpm.MyAuditVal&lt;&gt;"",UPPER(_xlpm.MyAuditVal),_xlpm.MacVal&lt;&gt;"",_xlpm.MacVal,_xlpm.CSVVal&lt;&gt;"",_xlpm.CSVVal
)),"")</f>
        <v/>
      </c>
      <c r="M397" s="40" t="str" cm="1">
        <f t="array" ref="M397">IFERROR(_xlfn.LET(
_xlpm.CSVVal,_xlfn.XLOOKUP($A397,CSV!$A:$A,CSV!Q:Q,""),
_xlpm.MacVal,_xlfn.XLOOKUP($A397,Output_Mac!$A:$A,Output_Mac!M:M,""),
_xlpm.MyAuditVal,_xlfn.XLOOKUP($A397,My_Audit!$A:$A,My_Audit!L:L,""),
_xlfn.IFS(_xlpm.MyAuditVal&lt;&gt;"",UPPER(_xlpm.MyAuditVal),_xlpm.MacVal&lt;&gt;"",_xlpm.MacVal,_xlpm.CSVVal&lt;&gt;"",_xlpm.CSVVal
)),"")</f>
        <v/>
      </c>
      <c r="N397" s="40"/>
      <c r="O397" s="40" t="str">
        <f>_xlfn.LET(
    _xlpm.CSVVal, _xlfn.XLOOKUP($A397, CSV!$A:$A, CSV!AA:AA, ""),
    _xlpm.MacVal, _xlfn.XLOOKUP($A397, Output_Mac!$A:$A, Output_Mac!S:S, ""),
    _xlpm.MyAuditVal, _xlfn.XLOOKUP($A397, My_Audit!$A:$A, My_Audit!P:P, ""),
    _xlfn.TEXTJOIN(", ", TRUE, _xlpm.MyAuditVal, _xlpm.MacVal, _xlpm.CSVVal)
)</f>
        <v/>
      </c>
      <c r="P397" s="40" t="str" cm="1">
        <f t="array" ref="P397">IFERROR(_xlfn.LET(
_xlpm.CSVVal,_xlfn.XLOOKUP($A397,CSV!$A:$A,CSV!AB:AB,""),
_xlpm.MacVal,_xlfn.XLOOKUP($A397,Output_Mac!$A:$A,Output_Mac!T:T,""),
_xlpm.MyAuditVal,_xlfn.XLOOKUP($A397,My_Audit!$A:$A,My_Audit!Q:Q,""),
_xlfn.IFS(_xlpm.MyAuditVal&lt;&gt;"",UPPER(_xlpm.MyAuditVal),_xlpm.MacVal&lt;&gt;"",_xlpm.MacVal,_xlpm.CSVVal&lt;&gt;"",_xlpm.CSVVal
)),"No")</f>
        <v>No</v>
      </c>
      <c r="Q397" s="40" t="str" cm="1">
        <f t="array" ref="Q397">IFERROR(_xlfn.LET(
_xlpm.CSVVal,_xlfn.XLOOKUP($A397,CSV!$A:$A,CSV!AC:AC,""),
_xlpm.MacVal,_xlfn.XLOOKUP($A397,Output_Mac!$A:$A,Output_Mac!U:U,""),
_xlpm.MyAuditVal,_xlfn.XLOOKUP($A397,My_Audit!$A:$A,My_Audit!R:R,""),
_xlfn.IFS(_xlpm.MyAuditVal&lt;&gt;"",UPPER(_xlpm.MyAuditVal),_xlpm.MacVal&lt;&gt;"",_xlpm.MacVal,_xlpm.CSVVal&lt;&gt;"",_xlpm.CSVVal
)),"")</f>
        <v/>
      </c>
      <c r="R397" s="40"/>
      <c r="S397" s="40"/>
      <c r="T397" s="40"/>
      <c r="U397" s="40"/>
      <c r="V397" s="40"/>
      <c r="W397" s="40"/>
      <c r="X397" s="41" t="str">
        <f>_xlfn.LET(
    _xlpm.MacVal, _xlfn.XLOOKUP($A397, Output_Mac!$A:$A, Output_Mac!AB:AB, ""),
    _xlpm.MyAuditVal, _xlfn.XLOOKUP($A397, My_Audit!$A:$A, My_Audit!N:N, ""),
    _xlfn.TEXTJOIN(", ", TRUE, _xlpm.MyAuditVal, _xlpm.MacVal)
)</f>
        <v/>
      </c>
    </row>
    <row r="398" spans="1:24">
      <c r="A398" s="40" t="str">
        <f>_xlfn.TEXTJOIN("",TRUE,Input!$B$2,ROW(My_Audit!A397))</f>
        <v>X397</v>
      </c>
      <c r="B398" s="40" t="str">
        <f>_xlfn.TEXTJOIN("-",TRUE,"ITD",Input!$A$2,A398)</f>
        <v>ITD-X397</v>
      </c>
      <c r="C398" s="40" t="str" cm="1">
        <f t="array" ref="C398">IFERROR(_xlfn.LET(
_xlpm.CSVVal,_xlfn.XLOOKUP($A398,CSV!$A:$A,CSV!B:B,""),
_xlpm.MacVal,_xlfn.XLOOKUP($A398,Output_Mac!$A:$A,Output_Mac!B:B,""),
_xlpm.MyAuditVal,_xlfn.XLOOKUP($A398,My_Audit!$A:$A,My_Audit!B:B,""),
_xlfn.IFS(_xlpm.MyAuditVal&lt;&gt;"",UPPER(_xlpm.MyAuditVal),_xlpm.MacVal&lt;&gt;"",_xlpm.MacVal,_xlpm.CSVVal&lt;&gt;"",_xlpm.CSVVal
)),"")</f>
        <v/>
      </c>
      <c r="D398" s="40" t="str" cm="1">
        <f t="array" ref="D398">IFERROR(_xlfn.LET(
_xlpm.CSVVal,_xlfn.XLOOKUP($A398,CSV!$A:$A,CSV!D:D,""),
_xlpm.MacVal,_xlfn.XLOOKUP($A398,Output_Mac!$A:$A,Output_Mac!C:C,""),
_xlpm.MyAuditVal,_xlfn.XLOOKUP($A398,My_Audit!$A:$A,My_Audit!C:C,""),
_xlfn.IFS(_xlpm.MyAuditVal&lt;&gt;"",_xlpm.MyAuditVal,_xlpm.MacVal&lt;&gt;"",_xlpm.MacVal,_xlpm.CSVVal&lt;&gt;"",_xlpm.CSVVal
)),"")</f>
        <v/>
      </c>
      <c r="E398" s="40">
        <f>_xlfn.XLOOKUP(A398,My_Audit!A:A,My_Audit!D:D,"")</f>
        <v>0</v>
      </c>
      <c r="F398" s="40" t="str" cm="1">
        <f t="array" ref="F398">IFERROR(_xlfn.LET(
_xlpm.CSVVal,_xlfn.XLOOKUP($A398,CSV!$A:$A,CSV!F:F,""),
_xlpm.MacVal,_xlfn.XLOOKUP($A398,Output_Mac!$A:$A,Output_Mac!E:E,""),
_xlpm.MyAuditVal,_xlfn.XLOOKUP($A398,My_Audit!$A:$A,My_Audit!E:E,""),
_xlfn.IFS(_xlpm.MyAuditVal&lt;&gt;"",_xlpm.MyAuditVal,_xlpm.MacVal&lt;&gt;"",_xlpm.MacVal,_xlpm.CSVVal&lt;&gt;"",_xlpm.CSVVal
)),"")</f>
        <v/>
      </c>
      <c r="G398" s="40" t="str" cm="1">
        <f t="array" ref="G398">IFERROR(_xlfn.LET(
_xlpm.CSVVal,_xlfn.XLOOKUP($A398,CSV!$A:$A,CSV!G:G,""),
_xlpm.MacVal,_xlfn.XLOOKUP($A398,Output_Mac!$A:$A,Output_Mac!F:F,""),
_xlpm.MyAuditVal,_xlfn.XLOOKUP($A398,My_Audit!$A:$A,My_Audit!F:F,""),
_xlfn.IFS(_xlpm.MyAuditVal&lt;&gt;"",_xlpm.MyAuditVal,_xlpm.MacVal&lt;&gt;"",_xlpm.MacVal,_xlpm.CSVVal&lt;&gt;"",PROPER(_xlpm.CSVVal)
)),"")</f>
        <v/>
      </c>
      <c r="H398" s="40" t="str" cm="1">
        <f t="array" ref="H398">IFERROR(_xlfn.LET(
_xlpm.CSVVal,_xlfn.XLOOKUP($A398,CSV!$A:$A,CSV!H:H,""),
_xlpm.MacVal,_xlfn.XLOOKUP($A398,Output_Mac!$A:$A,Output_Mac!H:H,""),
_xlpm.MyAuditVal,_xlfn.XLOOKUP($A398,My_Audit!$A:$A,My_Audit!G:G,""),
_xlfn.IFS(_xlpm.MyAuditVal&lt;&gt;"",_xlpm.MyAuditVal,_xlpm.MacVal&lt;&gt;"",_xlpm.MacVal,_xlpm.CSVVal&lt;&gt;"",_xlpm.CSVVal
)),"")</f>
        <v/>
      </c>
      <c r="I398" s="40" t="str">
        <f>_xlfn.XLOOKUP(A398,Output_Mac!A:A,Output_Mac!I:I,"")</f>
        <v/>
      </c>
      <c r="J398" s="40" t="str" cm="1">
        <f t="array" ref="J398">IFERROR(_xlfn.LET(
_xlpm.CSVVal,_xlfn.XLOOKUP($A398,CSV!$A:$A,CSV!I:I,""),
_xlpm.MacVal,_xlfn.XLOOKUP($A398,Output_Mac!$A:$A,Output_Mac!J:J,""),
_xlpm.MyAuditVal,_xlfn.XLOOKUP($A398,My_Audit!$A:$A,My_Audit!I:I,""),
_xlfn.IFS(_xlpm.MyAuditVal&lt;&gt;"",UPPER(_xlpm.MyAuditVal),_xlpm.MacVal&lt;&gt;"",_xlpm.MacVal,_xlpm.CSVVal&lt;&gt;"",_xlpm.CSVVal
)),"")</f>
        <v/>
      </c>
      <c r="K398" s="40" t="str" cm="1">
        <f t="array" ref="K398">IFERROR(_xlfn.LET(
_xlpm.CSVVal,_xlfn.XLOOKUP($A398,CSV!$A:$A,CSV!K:K,""),
_xlpm.MacVal,_xlfn.XLOOKUP($A398,Output_Mac!$A:$A,Output_Mac!K:K,""),
_xlpm.MyAuditVal,_xlfn.XLOOKUP($A398,My_Audit!$A:$A,My_Audit!J:J,""),
_xlfn.IFS(_xlpm.MyAuditVal&lt;&gt;"",UPPER(_xlpm.MyAuditVal),_xlpm.MacVal&lt;&gt;"",_xlpm.MacVal,_xlpm.CSVVal&lt;&gt;"",_xlpm.CSVVal
)),"")</f>
        <v/>
      </c>
      <c r="L398" s="40" t="str" cm="1">
        <f t="array" ref="L398">IFERROR(_xlfn.LET(
_xlpm.CSVVal,_xlfn.XLOOKUP($A398,CSV!$A:$A,CSV!P:P,""),
_xlpm.MacVal,_xlfn.XLOOKUP($A398,Output_Mac!$A:$A,Output_Mac!L:L,""),
_xlpm.MyAuditVal,_xlfn.XLOOKUP($A398,My_Audit!$A:$A,My_Audit!K:K,""),
_xlfn.IFS(_xlpm.MyAuditVal&lt;&gt;"",UPPER(_xlpm.MyAuditVal),_xlpm.MacVal&lt;&gt;"",_xlpm.MacVal,_xlpm.CSVVal&lt;&gt;"",_xlpm.CSVVal
)),"")</f>
        <v/>
      </c>
      <c r="M398" s="40" t="str" cm="1">
        <f t="array" ref="M398">IFERROR(_xlfn.LET(
_xlpm.CSVVal,_xlfn.XLOOKUP($A398,CSV!$A:$A,CSV!Q:Q,""),
_xlpm.MacVal,_xlfn.XLOOKUP($A398,Output_Mac!$A:$A,Output_Mac!M:M,""),
_xlpm.MyAuditVal,_xlfn.XLOOKUP($A398,My_Audit!$A:$A,My_Audit!L:L,""),
_xlfn.IFS(_xlpm.MyAuditVal&lt;&gt;"",UPPER(_xlpm.MyAuditVal),_xlpm.MacVal&lt;&gt;"",_xlpm.MacVal,_xlpm.CSVVal&lt;&gt;"",_xlpm.CSVVal
)),"")</f>
        <v/>
      </c>
      <c r="N398" s="40"/>
      <c r="O398" s="40" t="str">
        <f>_xlfn.LET(
    _xlpm.CSVVal, _xlfn.XLOOKUP($A398, CSV!$A:$A, CSV!AA:AA, ""),
    _xlpm.MacVal, _xlfn.XLOOKUP($A398, Output_Mac!$A:$A, Output_Mac!S:S, ""),
    _xlpm.MyAuditVal, _xlfn.XLOOKUP($A398, My_Audit!$A:$A, My_Audit!P:P, ""),
    _xlfn.TEXTJOIN(", ", TRUE, _xlpm.MyAuditVal, _xlpm.MacVal, _xlpm.CSVVal)
)</f>
        <v/>
      </c>
      <c r="P398" s="40" t="str" cm="1">
        <f t="array" ref="P398">IFERROR(_xlfn.LET(
_xlpm.CSVVal,_xlfn.XLOOKUP($A398,CSV!$A:$A,CSV!AB:AB,""),
_xlpm.MacVal,_xlfn.XLOOKUP($A398,Output_Mac!$A:$A,Output_Mac!T:T,""),
_xlpm.MyAuditVal,_xlfn.XLOOKUP($A398,My_Audit!$A:$A,My_Audit!Q:Q,""),
_xlfn.IFS(_xlpm.MyAuditVal&lt;&gt;"",UPPER(_xlpm.MyAuditVal),_xlpm.MacVal&lt;&gt;"",_xlpm.MacVal,_xlpm.CSVVal&lt;&gt;"",_xlpm.CSVVal
)),"No")</f>
        <v>No</v>
      </c>
      <c r="Q398" s="40" t="str" cm="1">
        <f t="array" ref="Q398">IFERROR(_xlfn.LET(
_xlpm.CSVVal,_xlfn.XLOOKUP($A398,CSV!$A:$A,CSV!AC:AC,""),
_xlpm.MacVal,_xlfn.XLOOKUP($A398,Output_Mac!$A:$A,Output_Mac!U:U,""),
_xlpm.MyAuditVal,_xlfn.XLOOKUP($A398,My_Audit!$A:$A,My_Audit!R:R,""),
_xlfn.IFS(_xlpm.MyAuditVal&lt;&gt;"",UPPER(_xlpm.MyAuditVal),_xlpm.MacVal&lt;&gt;"",_xlpm.MacVal,_xlpm.CSVVal&lt;&gt;"",_xlpm.CSVVal
)),"")</f>
        <v/>
      </c>
      <c r="R398" s="40"/>
      <c r="S398" s="40"/>
      <c r="T398" s="40"/>
      <c r="U398" s="40"/>
      <c r="V398" s="40"/>
      <c r="W398" s="40"/>
      <c r="X398" s="41" t="str">
        <f>_xlfn.LET(
    _xlpm.MacVal, _xlfn.XLOOKUP($A398, Output_Mac!$A:$A, Output_Mac!AB:AB, ""),
    _xlpm.MyAuditVal, _xlfn.XLOOKUP($A398, My_Audit!$A:$A, My_Audit!N:N, ""),
    _xlfn.TEXTJOIN(", ", TRUE, _xlpm.MyAuditVal, _xlpm.MacVal)
)</f>
        <v/>
      </c>
    </row>
    <row r="399" spans="1:24">
      <c r="A399" s="40" t="str">
        <f>_xlfn.TEXTJOIN("",TRUE,Input!$B$2,ROW(My_Audit!A398))</f>
        <v>X398</v>
      </c>
      <c r="B399" s="40" t="str">
        <f>_xlfn.TEXTJOIN("-",TRUE,"ITD",Input!$A$2,A399)</f>
        <v>ITD-X398</v>
      </c>
      <c r="C399" s="40" t="str" cm="1">
        <f t="array" ref="C399">IFERROR(_xlfn.LET(
_xlpm.CSVVal,_xlfn.XLOOKUP($A399,CSV!$A:$A,CSV!B:B,""),
_xlpm.MacVal,_xlfn.XLOOKUP($A399,Output_Mac!$A:$A,Output_Mac!B:B,""),
_xlpm.MyAuditVal,_xlfn.XLOOKUP($A399,My_Audit!$A:$A,My_Audit!B:B,""),
_xlfn.IFS(_xlpm.MyAuditVal&lt;&gt;"",UPPER(_xlpm.MyAuditVal),_xlpm.MacVal&lt;&gt;"",_xlpm.MacVal,_xlpm.CSVVal&lt;&gt;"",_xlpm.CSVVal
)),"")</f>
        <v/>
      </c>
      <c r="D399" s="40" t="str" cm="1">
        <f t="array" ref="D399">IFERROR(_xlfn.LET(
_xlpm.CSVVal,_xlfn.XLOOKUP($A399,CSV!$A:$A,CSV!D:D,""),
_xlpm.MacVal,_xlfn.XLOOKUP($A399,Output_Mac!$A:$A,Output_Mac!C:C,""),
_xlpm.MyAuditVal,_xlfn.XLOOKUP($A399,My_Audit!$A:$A,My_Audit!C:C,""),
_xlfn.IFS(_xlpm.MyAuditVal&lt;&gt;"",_xlpm.MyAuditVal,_xlpm.MacVal&lt;&gt;"",_xlpm.MacVal,_xlpm.CSVVal&lt;&gt;"",_xlpm.CSVVal
)),"")</f>
        <v/>
      </c>
      <c r="E399" s="40">
        <f>_xlfn.XLOOKUP(A399,My_Audit!A:A,My_Audit!D:D,"")</f>
        <v>0</v>
      </c>
      <c r="F399" s="40" t="str" cm="1">
        <f t="array" ref="F399">IFERROR(_xlfn.LET(
_xlpm.CSVVal,_xlfn.XLOOKUP($A399,CSV!$A:$A,CSV!F:F,""),
_xlpm.MacVal,_xlfn.XLOOKUP($A399,Output_Mac!$A:$A,Output_Mac!E:E,""),
_xlpm.MyAuditVal,_xlfn.XLOOKUP($A399,My_Audit!$A:$A,My_Audit!E:E,""),
_xlfn.IFS(_xlpm.MyAuditVal&lt;&gt;"",_xlpm.MyAuditVal,_xlpm.MacVal&lt;&gt;"",_xlpm.MacVal,_xlpm.CSVVal&lt;&gt;"",_xlpm.CSVVal
)),"")</f>
        <v/>
      </c>
      <c r="G399" s="40" t="str" cm="1">
        <f t="array" ref="G399">IFERROR(_xlfn.LET(
_xlpm.CSVVal,_xlfn.XLOOKUP($A399,CSV!$A:$A,CSV!G:G,""),
_xlpm.MacVal,_xlfn.XLOOKUP($A399,Output_Mac!$A:$A,Output_Mac!F:F,""),
_xlpm.MyAuditVal,_xlfn.XLOOKUP($A399,My_Audit!$A:$A,My_Audit!F:F,""),
_xlfn.IFS(_xlpm.MyAuditVal&lt;&gt;"",_xlpm.MyAuditVal,_xlpm.MacVal&lt;&gt;"",_xlpm.MacVal,_xlpm.CSVVal&lt;&gt;"",PROPER(_xlpm.CSVVal)
)),"")</f>
        <v/>
      </c>
      <c r="H399" s="40" t="str" cm="1">
        <f t="array" ref="H399">IFERROR(_xlfn.LET(
_xlpm.CSVVal,_xlfn.XLOOKUP($A399,CSV!$A:$A,CSV!H:H,""),
_xlpm.MacVal,_xlfn.XLOOKUP($A399,Output_Mac!$A:$A,Output_Mac!H:H,""),
_xlpm.MyAuditVal,_xlfn.XLOOKUP($A399,My_Audit!$A:$A,My_Audit!G:G,""),
_xlfn.IFS(_xlpm.MyAuditVal&lt;&gt;"",_xlpm.MyAuditVal,_xlpm.MacVal&lt;&gt;"",_xlpm.MacVal,_xlpm.CSVVal&lt;&gt;"",_xlpm.CSVVal
)),"")</f>
        <v/>
      </c>
      <c r="I399" s="40" t="str">
        <f>_xlfn.XLOOKUP(A399,Output_Mac!A:A,Output_Mac!I:I,"")</f>
        <v/>
      </c>
      <c r="J399" s="40" t="str" cm="1">
        <f t="array" ref="J399">IFERROR(_xlfn.LET(
_xlpm.CSVVal,_xlfn.XLOOKUP($A399,CSV!$A:$A,CSV!I:I,""),
_xlpm.MacVal,_xlfn.XLOOKUP($A399,Output_Mac!$A:$A,Output_Mac!J:J,""),
_xlpm.MyAuditVal,_xlfn.XLOOKUP($A399,My_Audit!$A:$A,My_Audit!I:I,""),
_xlfn.IFS(_xlpm.MyAuditVal&lt;&gt;"",UPPER(_xlpm.MyAuditVal),_xlpm.MacVal&lt;&gt;"",_xlpm.MacVal,_xlpm.CSVVal&lt;&gt;"",_xlpm.CSVVal
)),"")</f>
        <v/>
      </c>
      <c r="K399" s="40" t="str" cm="1">
        <f t="array" ref="K399">IFERROR(_xlfn.LET(
_xlpm.CSVVal,_xlfn.XLOOKUP($A399,CSV!$A:$A,CSV!K:K,""),
_xlpm.MacVal,_xlfn.XLOOKUP($A399,Output_Mac!$A:$A,Output_Mac!K:K,""),
_xlpm.MyAuditVal,_xlfn.XLOOKUP($A399,My_Audit!$A:$A,My_Audit!J:J,""),
_xlfn.IFS(_xlpm.MyAuditVal&lt;&gt;"",UPPER(_xlpm.MyAuditVal),_xlpm.MacVal&lt;&gt;"",_xlpm.MacVal,_xlpm.CSVVal&lt;&gt;"",_xlpm.CSVVal
)),"")</f>
        <v/>
      </c>
      <c r="L399" s="40" t="str" cm="1">
        <f t="array" ref="L399">IFERROR(_xlfn.LET(
_xlpm.CSVVal,_xlfn.XLOOKUP($A399,CSV!$A:$A,CSV!P:P,""),
_xlpm.MacVal,_xlfn.XLOOKUP($A399,Output_Mac!$A:$A,Output_Mac!L:L,""),
_xlpm.MyAuditVal,_xlfn.XLOOKUP($A399,My_Audit!$A:$A,My_Audit!K:K,""),
_xlfn.IFS(_xlpm.MyAuditVal&lt;&gt;"",UPPER(_xlpm.MyAuditVal),_xlpm.MacVal&lt;&gt;"",_xlpm.MacVal,_xlpm.CSVVal&lt;&gt;"",_xlpm.CSVVal
)),"")</f>
        <v/>
      </c>
      <c r="M399" s="40" t="str" cm="1">
        <f t="array" ref="M399">IFERROR(_xlfn.LET(
_xlpm.CSVVal,_xlfn.XLOOKUP($A399,CSV!$A:$A,CSV!Q:Q,""),
_xlpm.MacVal,_xlfn.XLOOKUP($A399,Output_Mac!$A:$A,Output_Mac!M:M,""),
_xlpm.MyAuditVal,_xlfn.XLOOKUP($A399,My_Audit!$A:$A,My_Audit!L:L,""),
_xlfn.IFS(_xlpm.MyAuditVal&lt;&gt;"",UPPER(_xlpm.MyAuditVal),_xlpm.MacVal&lt;&gt;"",_xlpm.MacVal,_xlpm.CSVVal&lt;&gt;"",_xlpm.CSVVal
)),"")</f>
        <v/>
      </c>
      <c r="N399" s="40"/>
      <c r="O399" s="40" t="str">
        <f>_xlfn.LET(
    _xlpm.CSVVal, _xlfn.XLOOKUP($A399, CSV!$A:$A, CSV!AA:AA, ""),
    _xlpm.MacVal, _xlfn.XLOOKUP($A399, Output_Mac!$A:$A, Output_Mac!S:S, ""),
    _xlpm.MyAuditVal, _xlfn.XLOOKUP($A399, My_Audit!$A:$A, My_Audit!P:P, ""),
    _xlfn.TEXTJOIN(", ", TRUE, _xlpm.MyAuditVal, _xlpm.MacVal, _xlpm.CSVVal)
)</f>
        <v/>
      </c>
      <c r="P399" s="40" t="str" cm="1">
        <f t="array" ref="P399">IFERROR(_xlfn.LET(
_xlpm.CSVVal,_xlfn.XLOOKUP($A399,CSV!$A:$A,CSV!AB:AB,""),
_xlpm.MacVal,_xlfn.XLOOKUP($A399,Output_Mac!$A:$A,Output_Mac!T:T,""),
_xlpm.MyAuditVal,_xlfn.XLOOKUP($A399,My_Audit!$A:$A,My_Audit!Q:Q,""),
_xlfn.IFS(_xlpm.MyAuditVal&lt;&gt;"",UPPER(_xlpm.MyAuditVal),_xlpm.MacVal&lt;&gt;"",_xlpm.MacVal,_xlpm.CSVVal&lt;&gt;"",_xlpm.CSVVal
)),"No")</f>
        <v>No</v>
      </c>
      <c r="Q399" s="40" t="str" cm="1">
        <f t="array" ref="Q399">IFERROR(_xlfn.LET(
_xlpm.CSVVal,_xlfn.XLOOKUP($A399,CSV!$A:$A,CSV!AC:AC,""),
_xlpm.MacVal,_xlfn.XLOOKUP($A399,Output_Mac!$A:$A,Output_Mac!U:U,""),
_xlpm.MyAuditVal,_xlfn.XLOOKUP($A399,My_Audit!$A:$A,My_Audit!R:R,""),
_xlfn.IFS(_xlpm.MyAuditVal&lt;&gt;"",UPPER(_xlpm.MyAuditVal),_xlpm.MacVal&lt;&gt;"",_xlpm.MacVal,_xlpm.CSVVal&lt;&gt;"",_xlpm.CSVVal
)),"")</f>
        <v/>
      </c>
      <c r="R399" s="40"/>
      <c r="S399" s="40"/>
      <c r="T399" s="40"/>
      <c r="U399" s="40"/>
      <c r="V399" s="40"/>
      <c r="W399" s="40"/>
      <c r="X399" s="41" t="str">
        <f>_xlfn.LET(
    _xlpm.MacVal, _xlfn.XLOOKUP($A399, Output_Mac!$A:$A, Output_Mac!AB:AB, ""),
    _xlpm.MyAuditVal, _xlfn.XLOOKUP($A399, My_Audit!$A:$A, My_Audit!N:N, ""),
    _xlfn.TEXTJOIN(", ", TRUE, _xlpm.MyAuditVal, _xlpm.MacVal)
)</f>
        <v/>
      </c>
    </row>
    <row r="400" spans="1:24">
      <c r="A400" s="40" t="str">
        <f>_xlfn.TEXTJOIN("",TRUE,Input!$B$2,ROW(My_Audit!A399))</f>
        <v>X399</v>
      </c>
      <c r="B400" s="40" t="str">
        <f>_xlfn.TEXTJOIN("-",TRUE,"ITD",Input!$A$2,A400)</f>
        <v>ITD-X399</v>
      </c>
      <c r="C400" s="40" t="str" cm="1">
        <f t="array" ref="C400">IFERROR(_xlfn.LET(
_xlpm.CSVVal,_xlfn.XLOOKUP($A400,CSV!$A:$A,CSV!B:B,""),
_xlpm.MacVal,_xlfn.XLOOKUP($A400,Output_Mac!$A:$A,Output_Mac!B:B,""),
_xlpm.MyAuditVal,_xlfn.XLOOKUP($A400,My_Audit!$A:$A,My_Audit!B:B,""),
_xlfn.IFS(_xlpm.MyAuditVal&lt;&gt;"",UPPER(_xlpm.MyAuditVal),_xlpm.MacVal&lt;&gt;"",_xlpm.MacVal,_xlpm.CSVVal&lt;&gt;"",_xlpm.CSVVal
)),"")</f>
        <v/>
      </c>
      <c r="D400" s="40" t="str" cm="1">
        <f t="array" ref="D400">IFERROR(_xlfn.LET(
_xlpm.CSVVal,_xlfn.XLOOKUP($A400,CSV!$A:$A,CSV!D:D,""),
_xlpm.MacVal,_xlfn.XLOOKUP($A400,Output_Mac!$A:$A,Output_Mac!C:C,""),
_xlpm.MyAuditVal,_xlfn.XLOOKUP($A400,My_Audit!$A:$A,My_Audit!C:C,""),
_xlfn.IFS(_xlpm.MyAuditVal&lt;&gt;"",_xlpm.MyAuditVal,_xlpm.MacVal&lt;&gt;"",_xlpm.MacVal,_xlpm.CSVVal&lt;&gt;"",_xlpm.CSVVal
)),"")</f>
        <v/>
      </c>
      <c r="E400" s="40">
        <f>_xlfn.XLOOKUP(A400,My_Audit!A:A,My_Audit!D:D,"")</f>
        <v>0</v>
      </c>
      <c r="F400" s="40" t="str" cm="1">
        <f t="array" ref="F400">IFERROR(_xlfn.LET(
_xlpm.CSVVal,_xlfn.XLOOKUP($A400,CSV!$A:$A,CSV!F:F,""),
_xlpm.MacVal,_xlfn.XLOOKUP($A400,Output_Mac!$A:$A,Output_Mac!E:E,""),
_xlpm.MyAuditVal,_xlfn.XLOOKUP($A400,My_Audit!$A:$A,My_Audit!E:E,""),
_xlfn.IFS(_xlpm.MyAuditVal&lt;&gt;"",_xlpm.MyAuditVal,_xlpm.MacVal&lt;&gt;"",_xlpm.MacVal,_xlpm.CSVVal&lt;&gt;"",_xlpm.CSVVal
)),"")</f>
        <v/>
      </c>
      <c r="G400" s="40" t="str" cm="1">
        <f t="array" ref="G400">IFERROR(_xlfn.LET(
_xlpm.CSVVal,_xlfn.XLOOKUP($A400,CSV!$A:$A,CSV!G:G,""),
_xlpm.MacVal,_xlfn.XLOOKUP($A400,Output_Mac!$A:$A,Output_Mac!F:F,""),
_xlpm.MyAuditVal,_xlfn.XLOOKUP($A400,My_Audit!$A:$A,My_Audit!F:F,""),
_xlfn.IFS(_xlpm.MyAuditVal&lt;&gt;"",_xlpm.MyAuditVal,_xlpm.MacVal&lt;&gt;"",_xlpm.MacVal,_xlpm.CSVVal&lt;&gt;"",PROPER(_xlpm.CSVVal)
)),"")</f>
        <v/>
      </c>
      <c r="H400" s="40" t="str" cm="1">
        <f t="array" ref="H400">IFERROR(_xlfn.LET(
_xlpm.CSVVal,_xlfn.XLOOKUP($A400,CSV!$A:$A,CSV!H:H,""),
_xlpm.MacVal,_xlfn.XLOOKUP($A400,Output_Mac!$A:$A,Output_Mac!H:H,""),
_xlpm.MyAuditVal,_xlfn.XLOOKUP($A400,My_Audit!$A:$A,My_Audit!G:G,""),
_xlfn.IFS(_xlpm.MyAuditVal&lt;&gt;"",_xlpm.MyAuditVal,_xlpm.MacVal&lt;&gt;"",_xlpm.MacVal,_xlpm.CSVVal&lt;&gt;"",_xlpm.CSVVal
)),"")</f>
        <v/>
      </c>
      <c r="I400" s="40" t="str">
        <f>_xlfn.XLOOKUP(A400,Output_Mac!A:A,Output_Mac!I:I,"")</f>
        <v/>
      </c>
      <c r="J400" s="40" t="str" cm="1">
        <f t="array" ref="J400">IFERROR(_xlfn.LET(
_xlpm.CSVVal,_xlfn.XLOOKUP($A400,CSV!$A:$A,CSV!I:I,""),
_xlpm.MacVal,_xlfn.XLOOKUP($A400,Output_Mac!$A:$A,Output_Mac!J:J,""),
_xlpm.MyAuditVal,_xlfn.XLOOKUP($A400,My_Audit!$A:$A,My_Audit!I:I,""),
_xlfn.IFS(_xlpm.MyAuditVal&lt;&gt;"",UPPER(_xlpm.MyAuditVal),_xlpm.MacVal&lt;&gt;"",_xlpm.MacVal,_xlpm.CSVVal&lt;&gt;"",_xlpm.CSVVal
)),"")</f>
        <v/>
      </c>
      <c r="K400" s="40" t="str" cm="1">
        <f t="array" ref="K400">IFERROR(_xlfn.LET(
_xlpm.CSVVal,_xlfn.XLOOKUP($A400,CSV!$A:$A,CSV!K:K,""),
_xlpm.MacVal,_xlfn.XLOOKUP($A400,Output_Mac!$A:$A,Output_Mac!K:K,""),
_xlpm.MyAuditVal,_xlfn.XLOOKUP($A400,My_Audit!$A:$A,My_Audit!J:J,""),
_xlfn.IFS(_xlpm.MyAuditVal&lt;&gt;"",UPPER(_xlpm.MyAuditVal),_xlpm.MacVal&lt;&gt;"",_xlpm.MacVal,_xlpm.CSVVal&lt;&gt;"",_xlpm.CSVVal
)),"")</f>
        <v/>
      </c>
      <c r="L400" s="40" t="str" cm="1">
        <f t="array" ref="L400">IFERROR(_xlfn.LET(
_xlpm.CSVVal,_xlfn.XLOOKUP($A400,CSV!$A:$A,CSV!P:P,""),
_xlpm.MacVal,_xlfn.XLOOKUP($A400,Output_Mac!$A:$A,Output_Mac!L:L,""),
_xlpm.MyAuditVal,_xlfn.XLOOKUP($A400,My_Audit!$A:$A,My_Audit!K:K,""),
_xlfn.IFS(_xlpm.MyAuditVal&lt;&gt;"",UPPER(_xlpm.MyAuditVal),_xlpm.MacVal&lt;&gt;"",_xlpm.MacVal,_xlpm.CSVVal&lt;&gt;"",_xlpm.CSVVal
)),"")</f>
        <v/>
      </c>
      <c r="M400" s="40" t="str" cm="1">
        <f t="array" ref="M400">IFERROR(_xlfn.LET(
_xlpm.CSVVal,_xlfn.XLOOKUP($A400,CSV!$A:$A,CSV!Q:Q,""),
_xlpm.MacVal,_xlfn.XLOOKUP($A400,Output_Mac!$A:$A,Output_Mac!M:M,""),
_xlpm.MyAuditVal,_xlfn.XLOOKUP($A400,My_Audit!$A:$A,My_Audit!L:L,""),
_xlfn.IFS(_xlpm.MyAuditVal&lt;&gt;"",UPPER(_xlpm.MyAuditVal),_xlpm.MacVal&lt;&gt;"",_xlpm.MacVal,_xlpm.CSVVal&lt;&gt;"",_xlpm.CSVVal
)),"")</f>
        <v/>
      </c>
      <c r="N400" s="40"/>
      <c r="O400" s="40" t="str">
        <f>_xlfn.LET(
    _xlpm.CSVVal, _xlfn.XLOOKUP($A400, CSV!$A:$A, CSV!AA:AA, ""),
    _xlpm.MacVal, _xlfn.XLOOKUP($A400, Output_Mac!$A:$A, Output_Mac!S:S, ""),
    _xlpm.MyAuditVal, _xlfn.XLOOKUP($A400, My_Audit!$A:$A, My_Audit!P:P, ""),
    _xlfn.TEXTJOIN(", ", TRUE, _xlpm.MyAuditVal, _xlpm.MacVal, _xlpm.CSVVal)
)</f>
        <v/>
      </c>
      <c r="P400" s="40" t="str" cm="1">
        <f t="array" ref="P400">IFERROR(_xlfn.LET(
_xlpm.CSVVal,_xlfn.XLOOKUP($A400,CSV!$A:$A,CSV!AB:AB,""),
_xlpm.MacVal,_xlfn.XLOOKUP($A400,Output_Mac!$A:$A,Output_Mac!T:T,""),
_xlpm.MyAuditVal,_xlfn.XLOOKUP($A400,My_Audit!$A:$A,My_Audit!Q:Q,""),
_xlfn.IFS(_xlpm.MyAuditVal&lt;&gt;"",UPPER(_xlpm.MyAuditVal),_xlpm.MacVal&lt;&gt;"",_xlpm.MacVal,_xlpm.CSVVal&lt;&gt;"",_xlpm.CSVVal
)),"No")</f>
        <v>No</v>
      </c>
      <c r="Q400" s="40" t="str" cm="1">
        <f t="array" ref="Q400">IFERROR(_xlfn.LET(
_xlpm.CSVVal,_xlfn.XLOOKUP($A400,CSV!$A:$A,CSV!AC:AC,""),
_xlpm.MacVal,_xlfn.XLOOKUP($A400,Output_Mac!$A:$A,Output_Mac!U:U,""),
_xlpm.MyAuditVal,_xlfn.XLOOKUP($A400,My_Audit!$A:$A,My_Audit!R:R,""),
_xlfn.IFS(_xlpm.MyAuditVal&lt;&gt;"",UPPER(_xlpm.MyAuditVal),_xlpm.MacVal&lt;&gt;"",_xlpm.MacVal,_xlpm.CSVVal&lt;&gt;"",_xlpm.CSVVal
)),"")</f>
        <v/>
      </c>
      <c r="R400" s="40"/>
      <c r="S400" s="40"/>
      <c r="T400" s="40"/>
      <c r="U400" s="40"/>
      <c r="V400" s="40"/>
      <c r="W400" s="40"/>
      <c r="X400" s="41" t="str">
        <f>_xlfn.LET(
    _xlpm.MacVal, _xlfn.XLOOKUP($A400, Output_Mac!$A:$A, Output_Mac!AB:AB, ""),
    _xlpm.MyAuditVal, _xlfn.XLOOKUP($A400, My_Audit!$A:$A, My_Audit!N:N, ""),
    _xlfn.TEXTJOIN(", ", TRUE, _xlpm.MyAuditVal, _xlpm.MacVal)
)</f>
        <v/>
      </c>
    </row>
    <row r="401" spans="1:24">
      <c r="A401" s="40" t="str">
        <f>_xlfn.TEXTJOIN("",TRUE,Input!$B$2,ROW(My_Audit!A400))</f>
        <v>X400</v>
      </c>
      <c r="B401" s="40" t="str">
        <f>_xlfn.TEXTJOIN("-",TRUE,"ITD",Input!$A$2,A401)</f>
        <v>ITD-X400</v>
      </c>
      <c r="C401" s="40" t="str" cm="1">
        <f t="array" ref="C401">IFERROR(_xlfn.LET(
_xlpm.CSVVal,_xlfn.XLOOKUP($A401,CSV!$A:$A,CSV!B:B,""),
_xlpm.MacVal,_xlfn.XLOOKUP($A401,Output_Mac!$A:$A,Output_Mac!B:B,""),
_xlpm.MyAuditVal,_xlfn.XLOOKUP($A401,My_Audit!$A:$A,My_Audit!B:B,""),
_xlfn.IFS(_xlpm.MyAuditVal&lt;&gt;"",UPPER(_xlpm.MyAuditVal),_xlpm.MacVal&lt;&gt;"",_xlpm.MacVal,_xlpm.CSVVal&lt;&gt;"",_xlpm.CSVVal
)),"")</f>
        <v/>
      </c>
      <c r="D401" s="40" t="str" cm="1">
        <f t="array" ref="D401">IFERROR(_xlfn.LET(
_xlpm.CSVVal,_xlfn.XLOOKUP($A401,CSV!$A:$A,CSV!D:D,""),
_xlpm.MacVal,_xlfn.XLOOKUP($A401,Output_Mac!$A:$A,Output_Mac!C:C,""),
_xlpm.MyAuditVal,_xlfn.XLOOKUP($A401,My_Audit!$A:$A,My_Audit!C:C,""),
_xlfn.IFS(_xlpm.MyAuditVal&lt;&gt;"",_xlpm.MyAuditVal,_xlpm.MacVal&lt;&gt;"",_xlpm.MacVal,_xlpm.CSVVal&lt;&gt;"",_xlpm.CSVVal
)),"")</f>
        <v/>
      </c>
      <c r="E401" s="40">
        <f>_xlfn.XLOOKUP(A401,My_Audit!A:A,My_Audit!D:D,"")</f>
        <v>0</v>
      </c>
      <c r="F401" s="40" t="str" cm="1">
        <f t="array" ref="F401">IFERROR(_xlfn.LET(
_xlpm.CSVVal,_xlfn.XLOOKUP($A401,CSV!$A:$A,CSV!F:F,""),
_xlpm.MacVal,_xlfn.XLOOKUP($A401,Output_Mac!$A:$A,Output_Mac!E:E,""),
_xlpm.MyAuditVal,_xlfn.XLOOKUP($A401,My_Audit!$A:$A,My_Audit!E:E,""),
_xlfn.IFS(_xlpm.MyAuditVal&lt;&gt;"",_xlpm.MyAuditVal,_xlpm.MacVal&lt;&gt;"",_xlpm.MacVal,_xlpm.CSVVal&lt;&gt;"",_xlpm.CSVVal
)),"")</f>
        <v/>
      </c>
      <c r="G401" s="40" t="str" cm="1">
        <f t="array" ref="G401">IFERROR(_xlfn.LET(
_xlpm.CSVVal,_xlfn.XLOOKUP($A401,CSV!$A:$A,CSV!G:G,""),
_xlpm.MacVal,_xlfn.XLOOKUP($A401,Output_Mac!$A:$A,Output_Mac!F:F,""),
_xlpm.MyAuditVal,_xlfn.XLOOKUP($A401,My_Audit!$A:$A,My_Audit!F:F,""),
_xlfn.IFS(_xlpm.MyAuditVal&lt;&gt;"",_xlpm.MyAuditVal,_xlpm.MacVal&lt;&gt;"",_xlpm.MacVal,_xlpm.CSVVal&lt;&gt;"",PROPER(_xlpm.CSVVal)
)),"")</f>
        <v/>
      </c>
      <c r="H401" s="40" t="str" cm="1">
        <f t="array" ref="H401">IFERROR(_xlfn.LET(
_xlpm.CSVVal,_xlfn.XLOOKUP($A401,CSV!$A:$A,CSV!H:H,""),
_xlpm.MacVal,_xlfn.XLOOKUP($A401,Output_Mac!$A:$A,Output_Mac!H:H,""),
_xlpm.MyAuditVal,_xlfn.XLOOKUP($A401,My_Audit!$A:$A,My_Audit!G:G,""),
_xlfn.IFS(_xlpm.MyAuditVal&lt;&gt;"",_xlpm.MyAuditVal,_xlpm.MacVal&lt;&gt;"",_xlpm.MacVal,_xlpm.CSVVal&lt;&gt;"",_xlpm.CSVVal
)),"")</f>
        <v/>
      </c>
      <c r="I401" s="40" t="str">
        <f>_xlfn.XLOOKUP(A401,Output_Mac!A:A,Output_Mac!I:I,"")</f>
        <v/>
      </c>
      <c r="J401" s="40" t="str" cm="1">
        <f t="array" ref="J401">IFERROR(_xlfn.LET(
_xlpm.CSVVal,_xlfn.XLOOKUP($A401,CSV!$A:$A,CSV!I:I,""),
_xlpm.MacVal,_xlfn.XLOOKUP($A401,Output_Mac!$A:$A,Output_Mac!J:J,""),
_xlpm.MyAuditVal,_xlfn.XLOOKUP($A401,My_Audit!$A:$A,My_Audit!I:I,""),
_xlfn.IFS(_xlpm.MyAuditVal&lt;&gt;"",UPPER(_xlpm.MyAuditVal),_xlpm.MacVal&lt;&gt;"",_xlpm.MacVal,_xlpm.CSVVal&lt;&gt;"",_xlpm.CSVVal
)),"")</f>
        <v/>
      </c>
      <c r="K401" s="40" t="str" cm="1">
        <f t="array" ref="K401">IFERROR(_xlfn.LET(
_xlpm.CSVVal,_xlfn.XLOOKUP($A401,CSV!$A:$A,CSV!K:K,""),
_xlpm.MacVal,_xlfn.XLOOKUP($A401,Output_Mac!$A:$A,Output_Mac!K:K,""),
_xlpm.MyAuditVal,_xlfn.XLOOKUP($A401,My_Audit!$A:$A,My_Audit!J:J,""),
_xlfn.IFS(_xlpm.MyAuditVal&lt;&gt;"",UPPER(_xlpm.MyAuditVal),_xlpm.MacVal&lt;&gt;"",_xlpm.MacVal,_xlpm.CSVVal&lt;&gt;"",_xlpm.CSVVal
)),"")</f>
        <v/>
      </c>
      <c r="L401" s="40" t="str" cm="1">
        <f t="array" ref="L401">IFERROR(_xlfn.LET(
_xlpm.CSVVal,_xlfn.XLOOKUP($A401,CSV!$A:$A,CSV!P:P,""),
_xlpm.MacVal,_xlfn.XLOOKUP($A401,Output_Mac!$A:$A,Output_Mac!L:L,""),
_xlpm.MyAuditVal,_xlfn.XLOOKUP($A401,My_Audit!$A:$A,My_Audit!K:K,""),
_xlfn.IFS(_xlpm.MyAuditVal&lt;&gt;"",UPPER(_xlpm.MyAuditVal),_xlpm.MacVal&lt;&gt;"",_xlpm.MacVal,_xlpm.CSVVal&lt;&gt;"",_xlpm.CSVVal
)),"")</f>
        <v/>
      </c>
      <c r="M401" s="40" t="str" cm="1">
        <f t="array" ref="M401">IFERROR(_xlfn.LET(
_xlpm.CSVVal,_xlfn.XLOOKUP($A401,CSV!$A:$A,CSV!Q:Q,""),
_xlpm.MacVal,_xlfn.XLOOKUP($A401,Output_Mac!$A:$A,Output_Mac!M:M,""),
_xlpm.MyAuditVal,_xlfn.XLOOKUP($A401,My_Audit!$A:$A,My_Audit!L:L,""),
_xlfn.IFS(_xlpm.MyAuditVal&lt;&gt;"",UPPER(_xlpm.MyAuditVal),_xlpm.MacVal&lt;&gt;"",_xlpm.MacVal,_xlpm.CSVVal&lt;&gt;"",_xlpm.CSVVal
)),"")</f>
        <v/>
      </c>
      <c r="N401" s="40"/>
      <c r="O401" s="40" t="str">
        <f>_xlfn.LET(
    _xlpm.CSVVal, _xlfn.XLOOKUP($A401, CSV!$A:$A, CSV!AA:AA, ""),
    _xlpm.MacVal, _xlfn.XLOOKUP($A401, Output_Mac!$A:$A, Output_Mac!S:S, ""),
    _xlpm.MyAuditVal, _xlfn.XLOOKUP($A401, My_Audit!$A:$A, My_Audit!P:P, ""),
    _xlfn.TEXTJOIN(", ", TRUE, _xlpm.MyAuditVal, _xlpm.MacVal, _xlpm.CSVVal)
)</f>
        <v/>
      </c>
      <c r="P401" s="40" t="str" cm="1">
        <f t="array" ref="P401">IFERROR(_xlfn.LET(
_xlpm.CSVVal,_xlfn.XLOOKUP($A401,CSV!$A:$A,CSV!AB:AB,""),
_xlpm.MacVal,_xlfn.XLOOKUP($A401,Output_Mac!$A:$A,Output_Mac!T:T,""),
_xlpm.MyAuditVal,_xlfn.XLOOKUP($A401,My_Audit!$A:$A,My_Audit!Q:Q,""),
_xlfn.IFS(_xlpm.MyAuditVal&lt;&gt;"",UPPER(_xlpm.MyAuditVal),_xlpm.MacVal&lt;&gt;"",_xlpm.MacVal,_xlpm.CSVVal&lt;&gt;"",_xlpm.CSVVal
)),"No")</f>
        <v>No</v>
      </c>
      <c r="Q401" s="40" t="str" cm="1">
        <f t="array" ref="Q401">IFERROR(_xlfn.LET(
_xlpm.CSVVal,_xlfn.XLOOKUP($A401,CSV!$A:$A,CSV!AC:AC,""),
_xlpm.MacVal,_xlfn.XLOOKUP($A401,Output_Mac!$A:$A,Output_Mac!U:U,""),
_xlpm.MyAuditVal,_xlfn.XLOOKUP($A401,My_Audit!$A:$A,My_Audit!R:R,""),
_xlfn.IFS(_xlpm.MyAuditVal&lt;&gt;"",UPPER(_xlpm.MyAuditVal),_xlpm.MacVal&lt;&gt;"",_xlpm.MacVal,_xlpm.CSVVal&lt;&gt;"",_xlpm.CSVVal
)),"")</f>
        <v/>
      </c>
      <c r="R401" s="40"/>
      <c r="S401" s="40"/>
      <c r="T401" s="40"/>
      <c r="U401" s="40"/>
      <c r="V401" s="40"/>
      <c r="W401" s="40"/>
      <c r="X401" s="41" t="str">
        <f>_xlfn.LET(
    _xlpm.MacVal, _xlfn.XLOOKUP($A401, Output_Mac!$A:$A, Output_Mac!AB:AB, ""),
    _xlpm.MyAuditVal, _xlfn.XLOOKUP($A401, My_Audit!$A:$A, My_Audit!N:N, ""),
    _xlfn.TEXTJOIN(", ", TRUE, _xlpm.MyAuditVal, _xlpm.MacVal)
)</f>
        <v/>
      </c>
    </row>
    <row r="402" spans="1:24">
      <c r="A402" s="40" t="str">
        <f>_xlfn.TEXTJOIN("",TRUE,Input!$B$2,ROW(My_Audit!A401))</f>
        <v>X401</v>
      </c>
      <c r="B402" s="40" t="str">
        <f>_xlfn.TEXTJOIN("-",TRUE,"ITD",Input!$A$2,A402)</f>
        <v>ITD-X401</v>
      </c>
      <c r="C402" s="40" t="str" cm="1">
        <f t="array" ref="C402">IFERROR(_xlfn.LET(
_xlpm.CSVVal,_xlfn.XLOOKUP($A402,CSV!$A:$A,CSV!B:B,""),
_xlpm.MacVal,_xlfn.XLOOKUP($A402,Output_Mac!$A:$A,Output_Mac!B:B,""),
_xlpm.MyAuditVal,_xlfn.XLOOKUP($A402,My_Audit!$A:$A,My_Audit!B:B,""),
_xlfn.IFS(_xlpm.MyAuditVal&lt;&gt;"",UPPER(_xlpm.MyAuditVal),_xlpm.MacVal&lt;&gt;"",_xlpm.MacVal,_xlpm.CSVVal&lt;&gt;"",_xlpm.CSVVal
)),"")</f>
        <v/>
      </c>
      <c r="D402" s="40" t="str" cm="1">
        <f t="array" ref="D402">IFERROR(_xlfn.LET(
_xlpm.CSVVal,_xlfn.XLOOKUP($A402,CSV!$A:$A,CSV!D:D,""),
_xlpm.MacVal,_xlfn.XLOOKUP($A402,Output_Mac!$A:$A,Output_Mac!C:C,""),
_xlpm.MyAuditVal,_xlfn.XLOOKUP($A402,My_Audit!$A:$A,My_Audit!C:C,""),
_xlfn.IFS(_xlpm.MyAuditVal&lt;&gt;"",_xlpm.MyAuditVal,_xlpm.MacVal&lt;&gt;"",_xlpm.MacVal,_xlpm.CSVVal&lt;&gt;"",_xlpm.CSVVal
)),"")</f>
        <v/>
      </c>
      <c r="E402" s="40">
        <f>_xlfn.XLOOKUP(A402,My_Audit!A:A,My_Audit!D:D,"")</f>
        <v>0</v>
      </c>
      <c r="F402" s="40" t="str" cm="1">
        <f t="array" ref="F402">IFERROR(_xlfn.LET(
_xlpm.CSVVal,_xlfn.XLOOKUP($A402,CSV!$A:$A,CSV!F:F,""),
_xlpm.MacVal,_xlfn.XLOOKUP($A402,Output_Mac!$A:$A,Output_Mac!E:E,""),
_xlpm.MyAuditVal,_xlfn.XLOOKUP($A402,My_Audit!$A:$A,My_Audit!E:E,""),
_xlfn.IFS(_xlpm.MyAuditVal&lt;&gt;"",_xlpm.MyAuditVal,_xlpm.MacVal&lt;&gt;"",_xlpm.MacVal,_xlpm.CSVVal&lt;&gt;"",_xlpm.CSVVal
)),"")</f>
        <v/>
      </c>
      <c r="G402" s="40" t="str" cm="1">
        <f t="array" ref="G402">IFERROR(_xlfn.LET(
_xlpm.CSVVal,_xlfn.XLOOKUP($A402,CSV!$A:$A,CSV!G:G,""),
_xlpm.MacVal,_xlfn.XLOOKUP($A402,Output_Mac!$A:$A,Output_Mac!F:F,""),
_xlpm.MyAuditVal,_xlfn.XLOOKUP($A402,My_Audit!$A:$A,My_Audit!F:F,""),
_xlfn.IFS(_xlpm.MyAuditVal&lt;&gt;"",_xlpm.MyAuditVal,_xlpm.MacVal&lt;&gt;"",_xlpm.MacVal,_xlpm.CSVVal&lt;&gt;"",PROPER(_xlpm.CSVVal)
)),"")</f>
        <v/>
      </c>
      <c r="H402" s="40" t="str" cm="1">
        <f t="array" ref="H402">IFERROR(_xlfn.LET(
_xlpm.CSVVal,_xlfn.XLOOKUP($A402,CSV!$A:$A,CSV!H:H,""),
_xlpm.MacVal,_xlfn.XLOOKUP($A402,Output_Mac!$A:$A,Output_Mac!H:H,""),
_xlpm.MyAuditVal,_xlfn.XLOOKUP($A402,My_Audit!$A:$A,My_Audit!G:G,""),
_xlfn.IFS(_xlpm.MyAuditVal&lt;&gt;"",_xlpm.MyAuditVal,_xlpm.MacVal&lt;&gt;"",_xlpm.MacVal,_xlpm.CSVVal&lt;&gt;"",_xlpm.CSVVal
)),"")</f>
        <v/>
      </c>
      <c r="I402" s="40" t="str">
        <f>_xlfn.XLOOKUP(A402,Output_Mac!A:A,Output_Mac!I:I,"")</f>
        <v/>
      </c>
      <c r="J402" s="40" t="str" cm="1">
        <f t="array" ref="J402">IFERROR(_xlfn.LET(
_xlpm.CSVVal,_xlfn.XLOOKUP($A402,CSV!$A:$A,CSV!I:I,""),
_xlpm.MacVal,_xlfn.XLOOKUP($A402,Output_Mac!$A:$A,Output_Mac!J:J,""),
_xlpm.MyAuditVal,_xlfn.XLOOKUP($A402,My_Audit!$A:$A,My_Audit!I:I,""),
_xlfn.IFS(_xlpm.MyAuditVal&lt;&gt;"",UPPER(_xlpm.MyAuditVal),_xlpm.MacVal&lt;&gt;"",_xlpm.MacVal,_xlpm.CSVVal&lt;&gt;"",_xlpm.CSVVal
)),"")</f>
        <v/>
      </c>
      <c r="K402" s="40" t="str" cm="1">
        <f t="array" ref="K402">IFERROR(_xlfn.LET(
_xlpm.CSVVal,_xlfn.XLOOKUP($A402,CSV!$A:$A,CSV!K:K,""),
_xlpm.MacVal,_xlfn.XLOOKUP($A402,Output_Mac!$A:$A,Output_Mac!K:K,""),
_xlpm.MyAuditVal,_xlfn.XLOOKUP($A402,My_Audit!$A:$A,My_Audit!J:J,""),
_xlfn.IFS(_xlpm.MyAuditVal&lt;&gt;"",UPPER(_xlpm.MyAuditVal),_xlpm.MacVal&lt;&gt;"",_xlpm.MacVal,_xlpm.CSVVal&lt;&gt;"",_xlpm.CSVVal
)),"")</f>
        <v/>
      </c>
      <c r="L402" s="40" t="str" cm="1">
        <f t="array" ref="L402">IFERROR(_xlfn.LET(
_xlpm.CSVVal,_xlfn.XLOOKUP($A402,CSV!$A:$A,CSV!P:P,""),
_xlpm.MacVal,_xlfn.XLOOKUP($A402,Output_Mac!$A:$A,Output_Mac!L:L,""),
_xlpm.MyAuditVal,_xlfn.XLOOKUP($A402,My_Audit!$A:$A,My_Audit!K:K,""),
_xlfn.IFS(_xlpm.MyAuditVal&lt;&gt;"",UPPER(_xlpm.MyAuditVal),_xlpm.MacVal&lt;&gt;"",_xlpm.MacVal,_xlpm.CSVVal&lt;&gt;"",_xlpm.CSVVal
)),"")</f>
        <v/>
      </c>
      <c r="M402" s="40" t="str" cm="1">
        <f t="array" ref="M402">IFERROR(_xlfn.LET(
_xlpm.CSVVal,_xlfn.XLOOKUP($A402,CSV!$A:$A,CSV!Q:Q,""),
_xlpm.MacVal,_xlfn.XLOOKUP($A402,Output_Mac!$A:$A,Output_Mac!M:M,""),
_xlpm.MyAuditVal,_xlfn.XLOOKUP($A402,My_Audit!$A:$A,My_Audit!L:L,""),
_xlfn.IFS(_xlpm.MyAuditVal&lt;&gt;"",UPPER(_xlpm.MyAuditVal),_xlpm.MacVal&lt;&gt;"",_xlpm.MacVal,_xlpm.CSVVal&lt;&gt;"",_xlpm.CSVVal
)),"")</f>
        <v/>
      </c>
      <c r="N402" s="40"/>
      <c r="O402" s="40" t="str">
        <f>_xlfn.LET(
    _xlpm.CSVVal, _xlfn.XLOOKUP($A402, CSV!$A:$A, CSV!AA:AA, ""),
    _xlpm.MacVal, _xlfn.XLOOKUP($A402, Output_Mac!$A:$A, Output_Mac!S:S, ""),
    _xlpm.MyAuditVal, _xlfn.XLOOKUP($A402, My_Audit!$A:$A, My_Audit!P:P, ""),
    _xlfn.TEXTJOIN(", ", TRUE, _xlpm.MyAuditVal, _xlpm.MacVal, _xlpm.CSVVal)
)</f>
        <v/>
      </c>
      <c r="P402" s="40" t="str" cm="1">
        <f t="array" ref="P402">IFERROR(_xlfn.LET(
_xlpm.CSVVal,_xlfn.XLOOKUP($A402,CSV!$A:$A,CSV!AB:AB,""),
_xlpm.MacVal,_xlfn.XLOOKUP($A402,Output_Mac!$A:$A,Output_Mac!T:T,""),
_xlpm.MyAuditVal,_xlfn.XLOOKUP($A402,My_Audit!$A:$A,My_Audit!Q:Q,""),
_xlfn.IFS(_xlpm.MyAuditVal&lt;&gt;"",UPPER(_xlpm.MyAuditVal),_xlpm.MacVal&lt;&gt;"",_xlpm.MacVal,_xlpm.CSVVal&lt;&gt;"",_xlpm.CSVVal
)),"No")</f>
        <v>No</v>
      </c>
      <c r="Q402" s="40" t="str" cm="1">
        <f t="array" ref="Q402">IFERROR(_xlfn.LET(
_xlpm.CSVVal,_xlfn.XLOOKUP($A402,CSV!$A:$A,CSV!AC:AC,""),
_xlpm.MacVal,_xlfn.XLOOKUP($A402,Output_Mac!$A:$A,Output_Mac!U:U,""),
_xlpm.MyAuditVal,_xlfn.XLOOKUP($A402,My_Audit!$A:$A,My_Audit!R:R,""),
_xlfn.IFS(_xlpm.MyAuditVal&lt;&gt;"",UPPER(_xlpm.MyAuditVal),_xlpm.MacVal&lt;&gt;"",_xlpm.MacVal,_xlpm.CSVVal&lt;&gt;"",_xlpm.CSVVal
)),"")</f>
        <v/>
      </c>
      <c r="R402" s="40"/>
      <c r="S402" s="40"/>
      <c r="T402" s="40"/>
      <c r="U402" s="40"/>
      <c r="V402" s="40"/>
      <c r="W402" s="40"/>
      <c r="X402" s="41" t="str">
        <f>_xlfn.LET(
    _xlpm.MacVal, _xlfn.XLOOKUP($A402, Output_Mac!$A:$A, Output_Mac!AB:AB, ""),
    _xlpm.MyAuditVal, _xlfn.XLOOKUP($A402, My_Audit!$A:$A, My_Audit!N:N, ""),
    _xlfn.TEXTJOIN(", ", TRUE, _xlpm.MyAuditVal, _xlpm.MacVal)
)</f>
        <v/>
      </c>
    </row>
    <row r="403" spans="1:24">
      <c r="A403" s="40" t="str">
        <f>_xlfn.TEXTJOIN("",TRUE,Input!$B$2,ROW(My_Audit!A402))</f>
        <v>X402</v>
      </c>
      <c r="B403" s="40" t="str">
        <f>_xlfn.TEXTJOIN("-",TRUE,"ITD",Input!$A$2,A403)</f>
        <v>ITD-X402</v>
      </c>
      <c r="C403" s="40" t="str" cm="1">
        <f t="array" ref="C403">IFERROR(_xlfn.LET(
_xlpm.CSVVal,_xlfn.XLOOKUP($A403,CSV!$A:$A,CSV!B:B,""),
_xlpm.MacVal,_xlfn.XLOOKUP($A403,Output_Mac!$A:$A,Output_Mac!B:B,""),
_xlpm.MyAuditVal,_xlfn.XLOOKUP($A403,My_Audit!$A:$A,My_Audit!B:B,""),
_xlfn.IFS(_xlpm.MyAuditVal&lt;&gt;"",UPPER(_xlpm.MyAuditVal),_xlpm.MacVal&lt;&gt;"",_xlpm.MacVal,_xlpm.CSVVal&lt;&gt;"",_xlpm.CSVVal
)),"")</f>
        <v/>
      </c>
      <c r="D403" s="40" t="str" cm="1">
        <f t="array" ref="D403">IFERROR(_xlfn.LET(
_xlpm.CSVVal,_xlfn.XLOOKUP($A403,CSV!$A:$A,CSV!D:D,""),
_xlpm.MacVal,_xlfn.XLOOKUP($A403,Output_Mac!$A:$A,Output_Mac!C:C,""),
_xlpm.MyAuditVal,_xlfn.XLOOKUP($A403,My_Audit!$A:$A,My_Audit!C:C,""),
_xlfn.IFS(_xlpm.MyAuditVal&lt;&gt;"",_xlpm.MyAuditVal,_xlpm.MacVal&lt;&gt;"",_xlpm.MacVal,_xlpm.CSVVal&lt;&gt;"",_xlpm.CSVVal
)),"")</f>
        <v/>
      </c>
      <c r="E403" s="40">
        <f>_xlfn.XLOOKUP(A403,My_Audit!A:A,My_Audit!D:D,"")</f>
        <v>0</v>
      </c>
      <c r="F403" s="40" t="str" cm="1">
        <f t="array" ref="F403">IFERROR(_xlfn.LET(
_xlpm.CSVVal,_xlfn.XLOOKUP($A403,CSV!$A:$A,CSV!F:F,""),
_xlpm.MacVal,_xlfn.XLOOKUP($A403,Output_Mac!$A:$A,Output_Mac!E:E,""),
_xlpm.MyAuditVal,_xlfn.XLOOKUP($A403,My_Audit!$A:$A,My_Audit!E:E,""),
_xlfn.IFS(_xlpm.MyAuditVal&lt;&gt;"",_xlpm.MyAuditVal,_xlpm.MacVal&lt;&gt;"",_xlpm.MacVal,_xlpm.CSVVal&lt;&gt;"",_xlpm.CSVVal
)),"")</f>
        <v/>
      </c>
      <c r="G403" s="40" t="str" cm="1">
        <f t="array" ref="G403">IFERROR(_xlfn.LET(
_xlpm.CSVVal,_xlfn.XLOOKUP($A403,CSV!$A:$A,CSV!G:G,""),
_xlpm.MacVal,_xlfn.XLOOKUP($A403,Output_Mac!$A:$A,Output_Mac!F:F,""),
_xlpm.MyAuditVal,_xlfn.XLOOKUP($A403,My_Audit!$A:$A,My_Audit!F:F,""),
_xlfn.IFS(_xlpm.MyAuditVal&lt;&gt;"",_xlpm.MyAuditVal,_xlpm.MacVal&lt;&gt;"",_xlpm.MacVal,_xlpm.CSVVal&lt;&gt;"",PROPER(_xlpm.CSVVal)
)),"")</f>
        <v/>
      </c>
      <c r="H403" s="40" t="str" cm="1">
        <f t="array" ref="H403">IFERROR(_xlfn.LET(
_xlpm.CSVVal,_xlfn.XLOOKUP($A403,CSV!$A:$A,CSV!H:H,""),
_xlpm.MacVal,_xlfn.XLOOKUP($A403,Output_Mac!$A:$A,Output_Mac!H:H,""),
_xlpm.MyAuditVal,_xlfn.XLOOKUP($A403,My_Audit!$A:$A,My_Audit!G:G,""),
_xlfn.IFS(_xlpm.MyAuditVal&lt;&gt;"",_xlpm.MyAuditVal,_xlpm.MacVal&lt;&gt;"",_xlpm.MacVal,_xlpm.CSVVal&lt;&gt;"",_xlpm.CSVVal
)),"")</f>
        <v/>
      </c>
      <c r="I403" s="40" t="str">
        <f>_xlfn.XLOOKUP(A403,Output_Mac!A:A,Output_Mac!I:I,"")</f>
        <v/>
      </c>
      <c r="J403" s="40" t="str" cm="1">
        <f t="array" ref="J403">IFERROR(_xlfn.LET(
_xlpm.CSVVal,_xlfn.XLOOKUP($A403,CSV!$A:$A,CSV!I:I,""),
_xlpm.MacVal,_xlfn.XLOOKUP($A403,Output_Mac!$A:$A,Output_Mac!J:J,""),
_xlpm.MyAuditVal,_xlfn.XLOOKUP($A403,My_Audit!$A:$A,My_Audit!I:I,""),
_xlfn.IFS(_xlpm.MyAuditVal&lt;&gt;"",UPPER(_xlpm.MyAuditVal),_xlpm.MacVal&lt;&gt;"",_xlpm.MacVal,_xlpm.CSVVal&lt;&gt;"",_xlpm.CSVVal
)),"")</f>
        <v/>
      </c>
      <c r="K403" s="40" t="str" cm="1">
        <f t="array" ref="K403">IFERROR(_xlfn.LET(
_xlpm.CSVVal,_xlfn.XLOOKUP($A403,CSV!$A:$A,CSV!K:K,""),
_xlpm.MacVal,_xlfn.XLOOKUP($A403,Output_Mac!$A:$A,Output_Mac!K:K,""),
_xlpm.MyAuditVal,_xlfn.XLOOKUP($A403,My_Audit!$A:$A,My_Audit!J:J,""),
_xlfn.IFS(_xlpm.MyAuditVal&lt;&gt;"",UPPER(_xlpm.MyAuditVal),_xlpm.MacVal&lt;&gt;"",_xlpm.MacVal,_xlpm.CSVVal&lt;&gt;"",_xlpm.CSVVal
)),"")</f>
        <v/>
      </c>
      <c r="L403" s="40" t="str" cm="1">
        <f t="array" ref="L403">IFERROR(_xlfn.LET(
_xlpm.CSVVal,_xlfn.XLOOKUP($A403,CSV!$A:$A,CSV!P:P,""),
_xlpm.MacVal,_xlfn.XLOOKUP($A403,Output_Mac!$A:$A,Output_Mac!L:L,""),
_xlpm.MyAuditVal,_xlfn.XLOOKUP($A403,My_Audit!$A:$A,My_Audit!K:K,""),
_xlfn.IFS(_xlpm.MyAuditVal&lt;&gt;"",UPPER(_xlpm.MyAuditVal),_xlpm.MacVal&lt;&gt;"",_xlpm.MacVal,_xlpm.CSVVal&lt;&gt;"",_xlpm.CSVVal
)),"")</f>
        <v/>
      </c>
      <c r="M403" s="40" t="str" cm="1">
        <f t="array" ref="M403">IFERROR(_xlfn.LET(
_xlpm.CSVVal,_xlfn.XLOOKUP($A403,CSV!$A:$A,CSV!Q:Q,""),
_xlpm.MacVal,_xlfn.XLOOKUP($A403,Output_Mac!$A:$A,Output_Mac!M:M,""),
_xlpm.MyAuditVal,_xlfn.XLOOKUP($A403,My_Audit!$A:$A,My_Audit!L:L,""),
_xlfn.IFS(_xlpm.MyAuditVal&lt;&gt;"",UPPER(_xlpm.MyAuditVal),_xlpm.MacVal&lt;&gt;"",_xlpm.MacVal,_xlpm.CSVVal&lt;&gt;"",_xlpm.CSVVal
)),"")</f>
        <v/>
      </c>
      <c r="N403" s="40"/>
      <c r="O403" s="40" t="str">
        <f>_xlfn.LET(
    _xlpm.CSVVal, _xlfn.XLOOKUP($A403, CSV!$A:$A, CSV!AA:AA, ""),
    _xlpm.MacVal, _xlfn.XLOOKUP($A403, Output_Mac!$A:$A, Output_Mac!S:S, ""),
    _xlpm.MyAuditVal, _xlfn.XLOOKUP($A403, My_Audit!$A:$A, My_Audit!P:P, ""),
    _xlfn.TEXTJOIN(", ", TRUE, _xlpm.MyAuditVal, _xlpm.MacVal, _xlpm.CSVVal)
)</f>
        <v/>
      </c>
      <c r="P403" s="40" t="str" cm="1">
        <f t="array" ref="P403">IFERROR(_xlfn.LET(
_xlpm.CSVVal,_xlfn.XLOOKUP($A403,CSV!$A:$A,CSV!AB:AB,""),
_xlpm.MacVal,_xlfn.XLOOKUP($A403,Output_Mac!$A:$A,Output_Mac!T:T,""),
_xlpm.MyAuditVal,_xlfn.XLOOKUP($A403,My_Audit!$A:$A,My_Audit!Q:Q,""),
_xlfn.IFS(_xlpm.MyAuditVal&lt;&gt;"",UPPER(_xlpm.MyAuditVal),_xlpm.MacVal&lt;&gt;"",_xlpm.MacVal,_xlpm.CSVVal&lt;&gt;"",_xlpm.CSVVal
)),"No")</f>
        <v>No</v>
      </c>
      <c r="Q403" s="40" t="str" cm="1">
        <f t="array" ref="Q403">IFERROR(_xlfn.LET(
_xlpm.CSVVal,_xlfn.XLOOKUP($A403,CSV!$A:$A,CSV!AC:AC,""),
_xlpm.MacVal,_xlfn.XLOOKUP($A403,Output_Mac!$A:$A,Output_Mac!U:U,""),
_xlpm.MyAuditVal,_xlfn.XLOOKUP($A403,My_Audit!$A:$A,My_Audit!R:R,""),
_xlfn.IFS(_xlpm.MyAuditVal&lt;&gt;"",UPPER(_xlpm.MyAuditVal),_xlpm.MacVal&lt;&gt;"",_xlpm.MacVal,_xlpm.CSVVal&lt;&gt;"",_xlpm.CSVVal
)),"")</f>
        <v/>
      </c>
      <c r="R403" s="40"/>
      <c r="S403" s="40"/>
      <c r="T403" s="40"/>
      <c r="U403" s="40"/>
      <c r="V403" s="40"/>
      <c r="W403" s="40"/>
      <c r="X403" s="41" t="str">
        <f>_xlfn.LET(
    _xlpm.MacVal, _xlfn.XLOOKUP($A403, Output_Mac!$A:$A, Output_Mac!AB:AB, ""),
    _xlpm.MyAuditVal, _xlfn.XLOOKUP($A403, My_Audit!$A:$A, My_Audit!N:N, ""),
    _xlfn.TEXTJOIN(", ", TRUE, _xlpm.MyAuditVal, _xlpm.MacVal)
)</f>
        <v/>
      </c>
    </row>
    <row r="404" spans="1:24">
      <c r="A404" s="40" t="str">
        <f>_xlfn.TEXTJOIN("",TRUE,Input!$B$2,ROW(My_Audit!A403))</f>
        <v>X403</v>
      </c>
      <c r="B404" s="40" t="str">
        <f>_xlfn.TEXTJOIN("-",TRUE,"ITD",Input!$A$2,A404)</f>
        <v>ITD-X403</v>
      </c>
      <c r="C404" s="40" t="str" cm="1">
        <f t="array" ref="C404">IFERROR(_xlfn.LET(
_xlpm.CSVVal,_xlfn.XLOOKUP($A404,CSV!$A:$A,CSV!B:B,""),
_xlpm.MacVal,_xlfn.XLOOKUP($A404,Output_Mac!$A:$A,Output_Mac!B:B,""),
_xlpm.MyAuditVal,_xlfn.XLOOKUP($A404,My_Audit!$A:$A,My_Audit!B:B,""),
_xlfn.IFS(_xlpm.MyAuditVal&lt;&gt;"",UPPER(_xlpm.MyAuditVal),_xlpm.MacVal&lt;&gt;"",_xlpm.MacVal,_xlpm.CSVVal&lt;&gt;"",_xlpm.CSVVal
)),"")</f>
        <v/>
      </c>
      <c r="D404" s="40" t="str" cm="1">
        <f t="array" ref="D404">IFERROR(_xlfn.LET(
_xlpm.CSVVal,_xlfn.XLOOKUP($A404,CSV!$A:$A,CSV!D:D,""),
_xlpm.MacVal,_xlfn.XLOOKUP($A404,Output_Mac!$A:$A,Output_Mac!C:C,""),
_xlpm.MyAuditVal,_xlfn.XLOOKUP($A404,My_Audit!$A:$A,My_Audit!C:C,""),
_xlfn.IFS(_xlpm.MyAuditVal&lt;&gt;"",_xlpm.MyAuditVal,_xlpm.MacVal&lt;&gt;"",_xlpm.MacVal,_xlpm.CSVVal&lt;&gt;"",_xlpm.CSVVal
)),"")</f>
        <v/>
      </c>
      <c r="E404" s="40">
        <f>_xlfn.XLOOKUP(A404,My_Audit!A:A,My_Audit!D:D,"")</f>
        <v>0</v>
      </c>
      <c r="F404" s="40" t="str" cm="1">
        <f t="array" ref="F404">IFERROR(_xlfn.LET(
_xlpm.CSVVal,_xlfn.XLOOKUP($A404,CSV!$A:$A,CSV!F:F,""),
_xlpm.MacVal,_xlfn.XLOOKUP($A404,Output_Mac!$A:$A,Output_Mac!E:E,""),
_xlpm.MyAuditVal,_xlfn.XLOOKUP($A404,My_Audit!$A:$A,My_Audit!E:E,""),
_xlfn.IFS(_xlpm.MyAuditVal&lt;&gt;"",_xlpm.MyAuditVal,_xlpm.MacVal&lt;&gt;"",_xlpm.MacVal,_xlpm.CSVVal&lt;&gt;"",_xlpm.CSVVal
)),"")</f>
        <v/>
      </c>
      <c r="G404" s="40" t="str" cm="1">
        <f t="array" ref="G404">IFERROR(_xlfn.LET(
_xlpm.CSVVal,_xlfn.XLOOKUP($A404,CSV!$A:$A,CSV!G:G,""),
_xlpm.MacVal,_xlfn.XLOOKUP($A404,Output_Mac!$A:$A,Output_Mac!F:F,""),
_xlpm.MyAuditVal,_xlfn.XLOOKUP($A404,My_Audit!$A:$A,My_Audit!F:F,""),
_xlfn.IFS(_xlpm.MyAuditVal&lt;&gt;"",_xlpm.MyAuditVal,_xlpm.MacVal&lt;&gt;"",_xlpm.MacVal,_xlpm.CSVVal&lt;&gt;"",PROPER(_xlpm.CSVVal)
)),"")</f>
        <v/>
      </c>
      <c r="H404" s="40" t="str" cm="1">
        <f t="array" ref="H404">IFERROR(_xlfn.LET(
_xlpm.CSVVal,_xlfn.XLOOKUP($A404,CSV!$A:$A,CSV!H:H,""),
_xlpm.MacVal,_xlfn.XLOOKUP($A404,Output_Mac!$A:$A,Output_Mac!H:H,""),
_xlpm.MyAuditVal,_xlfn.XLOOKUP($A404,My_Audit!$A:$A,My_Audit!G:G,""),
_xlfn.IFS(_xlpm.MyAuditVal&lt;&gt;"",_xlpm.MyAuditVal,_xlpm.MacVal&lt;&gt;"",_xlpm.MacVal,_xlpm.CSVVal&lt;&gt;"",_xlpm.CSVVal
)),"")</f>
        <v/>
      </c>
      <c r="I404" s="40" t="str">
        <f>_xlfn.XLOOKUP(A404,Output_Mac!A:A,Output_Mac!I:I,"")</f>
        <v/>
      </c>
      <c r="J404" s="40" t="str" cm="1">
        <f t="array" ref="J404">IFERROR(_xlfn.LET(
_xlpm.CSVVal,_xlfn.XLOOKUP($A404,CSV!$A:$A,CSV!I:I,""),
_xlpm.MacVal,_xlfn.XLOOKUP($A404,Output_Mac!$A:$A,Output_Mac!J:J,""),
_xlpm.MyAuditVal,_xlfn.XLOOKUP($A404,My_Audit!$A:$A,My_Audit!I:I,""),
_xlfn.IFS(_xlpm.MyAuditVal&lt;&gt;"",UPPER(_xlpm.MyAuditVal),_xlpm.MacVal&lt;&gt;"",_xlpm.MacVal,_xlpm.CSVVal&lt;&gt;"",_xlpm.CSVVal
)),"")</f>
        <v/>
      </c>
      <c r="K404" s="40" t="str" cm="1">
        <f t="array" ref="K404">IFERROR(_xlfn.LET(
_xlpm.CSVVal,_xlfn.XLOOKUP($A404,CSV!$A:$A,CSV!K:K,""),
_xlpm.MacVal,_xlfn.XLOOKUP($A404,Output_Mac!$A:$A,Output_Mac!K:K,""),
_xlpm.MyAuditVal,_xlfn.XLOOKUP($A404,My_Audit!$A:$A,My_Audit!J:J,""),
_xlfn.IFS(_xlpm.MyAuditVal&lt;&gt;"",UPPER(_xlpm.MyAuditVal),_xlpm.MacVal&lt;&gt;"",_xlpm.MacVal,_xlpm.CSVVal&lt;&gt;"",_xlpm.CSVVal
)),"")</f>
        <v/>
      </c>
      <c r="L404" s="40" t="str" cm="1">
        <f t="array" ref="L404">IFERROR(_xlfn.LET(
_xlpm.CSVVal,_xlfn.XLOOKUP($A404,CSV!$A:$A,CSV!P:P,""),
_xlpm.MacVal,_xlfn.XLOOKUP($A404,Output_Mac!$A:$A,Output_Mac!L:L,""),
_xlpm.MyAuditVal,_xlfn.XLOOKUP($A404,My_Audit!$A:$A,My_Audit!K:K,""),
_xlfn.IFS(_xlpm.MyAuditVal&lt;&gt;"",UPPER(_xlpm.MyAuditVal),_xlpm.MacVal&lt;&gt;"",_xlpm.MacVal,_xlpm.CSVVal&lt;&gt;"",_xlpm.CSVVal
)),"")</f>
        <v/>
      </c>
      <c r="M404" s="40" t="str" cm="1">
        <f t="array" ref="M404">IFERROR(_xlfn.LET(
_xlpm.CSVVal,_xlfn.XLOOKUP($A404,CSV!$A:$A,CSV!Q:Q,""),
_xlpm.MacVal,_xlfn.XLOOKUP($A404,Output_Mac!$A:$A,Output_Mac!M:M,""),
_xlpm.MyAuditVal,_xlfn.XLOOKUP($A404,My_Audit!$A:$A,My_Audit!L:L,""),
_xlfn.IFS(_xlpm.MyAuditVal&lt;&gt;"",UPPER(_xlpm.MyAuditVal),_xlpm.MacVal&lt;&gt;"",_xlpm.MacVal,_xlpm.CSVVal&lt;&gt;"",_xlpm.CSVVal
)),"")</f>
        <v/>
      </c>
      <c r="N404" s="40"/>
      <c r="O404" s="40" t="str">
        <f>_xlfn.LET(
    _xlpm.CSVVal, _xlfn.XLOOKUP($A404, CSV!$A:$A, CSV!AA:AA, ""),
    _xlpm.MacVal, _xlfn.XLOOKUP($A404, Output_Mac!$A:$A, Output_Mac!S:S, ""),
    _xlpm.MyAuditVal, _xlfn.XLOOKUP($A404, My_Audit!$A:$A, My_Audit!P:P, ""),
    _xlfn.TEXTJOIN(", ", TRUE, _xlpm.MyAuditVal, _xlpm.MacVal, _xlpm.CSVVal)
)</f>
        <v/>
      </c>
      <c r="P404" s="40" t="str" cm="1">
        <f t="array" ref="P404">IFERROR(_xlfn.LET(
_xlpm.CSVVal,_xlfn.XLOOKUP($A404,CSV!$A:$A,CSV!AB:AB,""),
_xlpm.MacVal,_xlfn.XLOOKUP($A404,Output_Mac!$A:$A,Output_Mac!T:T,""),
_xlpm.MyAuditVal,_xlfn.XLOOKUP($A404,My_Audit!$A:$A,My_Audit!Q:Q,""),
_xlfn.IFS(_xlpm.MyAuditVal&lt;&gt;"",UPPER(_xlpm.MyAuditVal),_xlpm.MacVal&lt;&gt;"",_xlpm.MacVal,_xlpm.CSVVal&lt;&gt;"",_xlpm.CSVVal
)),"No")</f>
        <v>No</v>
      </c>
      <c r="Q404" s="40" t="str" cm="1">
        <f t="array" ref="Q404">IFERROR(_xlfn.LET(
_xlpm.CSVVal,_xlfn.XLOOKUP($A404,CSV!$A:$A,CSV!AC:AC,""),
_xlpm.MacVal,_xlfn.XLOOKUP($A404,Output_Mac!$A:$A,Output_Mac!U:U,""),
_xlpm.MyAuditVal,_xlfn.XLOOKUP($A404,My_Audit!$A:$A,My_Audit!R:R,""),
_xlfn.IFS(_xlpm.MyAuditVal&lt;&gt;"",UPPER(_xlpm.MyAuditVal),_xlpm.MacVal&lt;&gt;"",_xlpm.MacVal,_xlpm.CSVVal&lt;&gt;"",_xlpm.CSVVal
)),"")</f>
        <v/>
      </c>
      <c r="R404" s="40"/>
      <c r="S404" s="40"/>
      <c r="T404" s="40"/>
      <c r="U404" s="40"/>
      <c r="V404" s="40"/>
      <c r="W404" s="40"/>
      <c r="X404" s="41" t="str">
        <f>_xlfn.LET(
    _xlpm.MacVal, _xlfn.XLOOKUP($A404, Output_Mac!$A:$A, Output_Mac!AB:AB, ""),
    _xlpm.MyAuditVal, _xlfn.XLOOKUP($A404, My_Audit!$A:$A, My_Audit!N:N, ""),
    _xlfn.TEXTJOIN(", ", TRUE, _xlpm.MyAuditVal, _xlpm.MacVal)
)</f>
        <v/>
      </c>
    </row>
    <row r="405" spans="1:24">
      <c r="A405" s="40" t="str">
        <f>_xlfn.TEXTJOIN("",TRUE,Input!$B$2,ROW(My_Audit!A404))</f>
        <v>X404</v>
      </c>
      <c r="B405" s="40" t="str">
        <f>_xlfn.TEXTJOIN("-",TRUE,"ITD",Input!$A$2,A405)</f>
        <v>ITD-X404</v>
      </c>
      <c r="C405" s="40" t="str" cm="1">
        <f t="array" ref="C405">IFERROR(_xlfn.LET(
_xlpm.CSVVal,_xlfn.XLOOKUP($A405,CSV!$A:$A,CSV!B:B,""),
_xlpm.MacVal,_xlfn.XLOOKUP($A405,Output_Mac!$A:$A,Output_Mac!B:B,""),
_xlpm.MyAuditVal,_xlfn.XLOOKUP($A405,My_Audit!$A:$A,My_Audit!B:B,""),
_xlfn.IFS(_xlpm.MyAuditVal&lt;&gt;"",UPPER(_xlpm.MyAuditVal),_xlpm.MacVal&lt;&gt;"",_xlpm.MacVal,_xlpm.CSVVal&lt;&gt;"",_xlpm.CSVVal
)),"")</f>
        <v/>
      </c>
      <c r="D405" s="40" t="str" cm="1">
        <f t="array" ref="D405">IFERROR(_xlfn.LET(
_xlpm.CSVVal,_xlfn.XLOOKUP($A405,CSV!$A:$A,CSV!D:D,""),
_xlpm.MacVal,_xlfn.XLOOKUP($A405,Output_Mac!$A:$A,Output_Mac!C:C,""),
_xlpm.MyAuditVal,_xlfn.XLOOKUP($A405,My_Audit!$A:$A,My_Audit!C:C,""),
_xlfn.IFS(_xlpm.MyAuditVal&lt;&gt;"",_xlpm.MyAuditVal,_xlpm.MacVal&lt;&gt;"",_xlpm.MacVal,_xlpm.CSVVal&lt;&gt;"",_xlpm.CSVVal
)),"")</f>
        <v/>
      </c>
      <c r="E405" s="40">
        <f>_xlfn.XLOOKUP(A405,My_Audit!A:A,My_Audit!D:D,"")</f>
        <v>0</v>
      </c>
      <c r="F405" s="40" t="str" cm="1">
        <f t="array" ref="F405">IFERROR(_xlfn.LET(
_xlpm.CSVVal,_xlfn.XLOOKUP($A405,CSV!$A:$A,CSV!F:F,""),
_xlpm.MacVal,_xlfn.XLOOKUP($A405,Output_Mac!$A:$A,Output_Mac!E:E,""),
_xlpm.MyAuditVal,_xlfn.XLOOKUP($A405,My_Audit!$A:$A,My_Audit!E:E,""),
_xlfn.IFS(_xlpm.MyAuditVal&lt;&gt;"",_xlpm.MyAuditVal,_xlpm.MacVal&lt;&gt;"",_xlpm.MacVal,_xlpm.CSVVal&lt;&gt;"",_xlpm.CSVVal
)),"")</f>
        <v/>
      </c>
      <c r="G405" s="40" t="str" cm="1">
        <f t="array" ref="G405">IFERROR(_xlfn.LET(
_xlpm.CSVVal,_xlfn.XLOOKUP($A405,CSV!$A:$A,CSV!G:G,""),
_xlpm.MacVal,_xlfn.XLOOKUP($A405,Output_Mac!$A:$A,Output_Mac!F:F,""),
_xlpm.MyAuditVal,_xlfn.XLOOKUP($A405,My_Audit!$A:$A,My_Audit!F:F,""),
_xlfn.IFS(_xlpm.MyAuditVal&lt;&gt;"",_xlpm.MyAuditVal,_xlpm.MacVal&lt;&gt;"",_xlpm.MacVal,_xlpm.CSVVal&lt;&gt;"",PROPER(_xlpm.CSVVal)
)),"")</f>
        <v/>
      </c>
      <c r="H405" s="40" t="str" cm="1">
        <f t="array" ref="H405">IFERROR(_xlfn.LET(
_xlpm.CSVVal,_xlfn.XLOOKUP($A405,CSV!$A:$A,CSV!H:H,""),
_xlpm.MacVal,_xlfn.XLOOKUP($A405,Output_Mac!$A:$A,Output_Mac!H:H,""),
_xlpm.MyAuditVal,_xlfn.XLOOKUP($A405,My_Audit!$A:$A,My_Audit!G:G,""),
_xlfn.IFS(_xlpm.MyAuditVal&lt;&gt;"",_xlpm.MyAuditVal,_xlpm.MacVal&lt;&gt;"",_xlpm.MacVal,_xlpm.CSVVal&lt;&gt;"",_xlpm.CSVVal
)),"")</f>
        <v/>
      </c>
      <c r="I405" s="40" t="str">
        <f>_xlfn.XLOOKUP(A405,Output_Mac!A:A,Output_Mac!I:I,"")</f>
        <v/>
      </c>
      <c r="J405" s="40" t="str" cm="1">
        <f t="array" ref="J405">IFERROR(_xlfn.LET(
_xlpm.CSVVal,_xlfn.XLOOKUP($A405,CSV!$A:$A,CSV!I:I,""),
_xlpm.MacVal,_xlfn.XLOOKUP($A405,Output_Mac!$A:$A,Output_Mac!J:J,""),
_xlpm.MyAuditVal,_xlfn.XLOOKUP($A405,My_Audit!$A:$A,My_Audit!I:I,""),
_xlfn.IFS(_xlpm.MyAuditVal&lt;&gt;"",UPPER(_xlpm.MyAuditVal),_xlpm.MacVal&lt;&gt;"",_xlpm.MacVal,_xlpm.CSVVal&lt;&gt;"",_xlpm.CSVVal
)),"")</f>
        <v/>
      </c>
      <c r="K405" s="40" t="str" cm="1">
        <f t="array" ref="K405">IFERROR(_xlfn.LET(
_xlpm.CSVVal,_xlfn.XLOOKUP($A405,CSV!$A:$A,CSV!K:K,""),
_xlpm.MacVal,_xlfn.XLOOKUP($A405,Output_Mac!$A:$A,Output_Mac!K:K,""),
_xlpm.MyAuditVal,_xlfn.XLOOKUP($A405,My_Audit!$A:$A,My_Audit!J:J,""),
_xlfn.IFS(_xlpm.MyAuditVal&lt;&gt;"",UPPER(_xlpm.MyAuditVal),_xlpm.MacVal&lt;&gt;"",_xlpm.MacVal,_xlpm.CSVVal&lt;&gt;"",_xlpm.CSVVal
)),"")</f>
        <v/>
      </c>
      <c r="L405" s="40" t="str" cm="1">
        <f t="array" ref="L405">IFERROR(_xlfn.LET(
_xlpm.CSVVal,_xlfn.XLOOKUP($A405,CSV!$A:$A,CSV!P:P,""),
_xlpm.MacVal,_xlfn.XLOOKUP($A405,Output_Mac!$A:$A,Output_Mac!L:L,""),
_xlpm.MyAuditVal,_xlfn.XLOOKUP($A405,My_Audit!$A:$A,My_Audit!K:K,""),
_xlfn.IFS(_xlpm.MyAuditVal&lt;&gt;"",UPPER(_xlpm.MyAuditVal),_xlpm.MacVal&lt;&gt;"",_xlpm.MacVal,_xlpm.CSVVal&lt;&gt;"",_xlpm.CSVVal
)),"")</f>
        <v/>
      </c>
      <c r="M405" s="40" t="str" cm="1">
        <f t="array" ref="M405">IFERROR(_xlfn.LET(
_xlpm.CSVVal,_xlfn.XLOOKUP($A405,CSV!$A:$A,CSV!Q:Q,""),
_xlpm.MacVal,_xlfn.XLOOKUP($A405,Output_Mac!$A:$A,Output_Mac!M:M,""),
_xlpm.MyAuditVal,_xlfn.XLOOKUP($A405,My_Audit!$A:$A,My_Audit!L:L,""),
_xlfn.IFS(_xlpm.MyAuditVal&lt;&gt;"",UPPER(_xlpm.MyAuditVal),_xlpm.MacVal&lt;&gt;"",_xlpm.MacVal,_xlpm.CSVVal&lt;&gt;"",_xlpm.CSVVal
)),"")</f>
        <v/>
      </c>
      <c r="N405" s="40"/>
      <c r="O405" s="40" t="str">
        <f>_xlfn.LET(
    _xlpm.CSVVal, _xlfn.XLOOKUP($A405, CSV!$A:$A, CSV!AA:AA, ""),
    _xlpm.MacVal, _xlfn.XLOOKUP($A405, Output_Mac!$A:$A, Output_Mac!S:S, ""),
    _xlpm.MyAuditVal, _xlfn.XLOOKUP($A405, My_Audit!$A:$A, My_Audit!P:P, ""),
    _xlfn.TEXTJOIN(", ", TRUE, _xlpm.MyAuditVal, _xlpm.MacVal, _xlpm.CSVVal)
)</f>
        <v/>
      </c>
      <c r="P405" s="40" t="str" cm="1">
        <f t="array" ref="P405">IFERROR(_xlfn.LET(
_xlpm.CSVVal,_xlfn.XLOOKUP($A405,CSV!$A:$A,CSV!AB:AB,""),
_xlpm.MacVal,_xlfn.XLOOKUP($A405,Output_Mac!$A:$A,Output_Mac!T:T,""),
_xlpm.MyAuditVal,_xlfn.XLOOKUP($A405,My_Audit!$A:$A,My_Audit!Q:Q,""),
_xlfn.IFS(_xlpm.MyAuditVal&lt;&gt;"",UPPER(_xlpm.MyAuditVal),_xlpm.MacVal&lt;&gt;"",_xlpm.MacVal,_xlpm.CSVVal&lt;&gt;"",_xlpm.CSVVal
)),"No")</f>
        <v>No</v>
      </c>
      <c r="Q405" s="40" t="str" cm="1">
        <f t="array" ref="Q405">IFERROR(_xlfn.LET(
_xlpm.CSVVal,_xlfn.XLOOKUP($A405,CSV!$A:$A,CSV!AC:AC,""),
_xlpm.MacVal,_xlfn.XLOOKUP($A405,Output_Mac!$A:$A,Output_Mac!U:U,""),
_xlpm.MyAuditVal,_xlfn.XLOOKUP($A405,My_Audit!$A:$A,My_Audit!R:R,""),
_xlfn.IFS(_xlpm.MyAuditVal&lt;&gt;"",UPPER(_xlpm.MyAuditVal),_xlpm.MacVal&lt;&gt;"",_xlpm.MacVal,_xlpm.CSVVal&lt;&gt;"",_xlpm.CSVVal
)),"")</f>
        <v/>
      </c>
      <c r="R405" s="40"/>
      <c r="S405" s="40"/>
      <c r="T405" s="40"/>
      <c r="U405" s="40"/>
      <c r="V405" s="40"/>
      <c r="W405" s="40"/>
      <c r="X405" s="41" t="str">
        <f>_xlfn.LET(
    _xlpm.MacVal, _xlfn.XLOOKUP($A405, Output_Mac!$A:$A, Output_Mac!AB:AB, ""),
    _xlpm.MyAuditVal, _xlfn.XLOOKUP($A405, My_Audit!$A:$A, My_Audit!N:N, ""),
    _xlfn.TEXTJOIN(", ", TRUE, _xlpm.MyAuditVal, _xlpm.MacVal)
)</f>
        <v/>
      </c>
    </row>
    <row r="406" spans="1:24">
      <c r="A406" s="40" t="str">
        <f>_xlfn.TEXTJOIN("",TRUE,Input!$B$2,ROW(My_Audit!A405))</f>
        <v>X405</v>
      </c>
      <c r="B406" s="40" t="str">
        <f>_xlfn.TEXTJOIN("-",TRUE,"ITD",Input!$A$2,A406)</f>
        <v>ITD-X405</v>
      </c>
      <c r="C406" s="40" t="str" cm="1">
        <f t="array" ref="C406">IFERROR(_xlfn.LET(
_xlpm.CSVVal,_xlfn.XLOOKUP($A406,CSV!$A:$A,CSV!B:B,""),
_xlpm.MacVal,_xlfn.XLOOKUP($A406,Output_Mac!$A:$A,Output_Mac!B:B,""),
_xlpm.MyAuditVal,_xlfn.XLOOKUP($A406,My_Audit!$A:$A,My_Audit!B:B,""),
_xlfn.IFS(_xlpm.MyAuditVal&lt;&gt;"",UPPER(_xlpm.MyAuditVal),_xlpm.MacVal&lt;&gt;"",_xlpm.MacVal,_xlpm.CSVVal&lt;&gt;"",_xlpm.CSVVal
)),"")</f>
        <v/>
      </c>
      <c r="D406" s="40" t="str" cm="1">
        <f t="array" ref="D406">IFERROR(_xlfn.LET(
_xlpm.CSVVal,_xlfn.XLOOKUP($A406,CSV!$A:$A,CSV!D:D,""),
_xlpm.MacVal,_xlfn.XLOOKUP($A406,Output_Mac!$A:$A,Output_Mac!C:C,""),
_xlpm.MyAuditVal,_xlfn.XLOOKUP($A406,My_Audit!$A:$A,My_Audit!C:C,""),
_xlfn.IFS(_xlpm.MyAuditVal&lt;&gt;"",_xlpm.MyAuditVal,_xlpm.MacVal&lt;&gt;"",_xlpm.MacVal,_xlpm.CSVVal&lt;&gt;"",_xlpm.CSVVal
)),"")</f>
        <v/>
      </c>
      <c r="E406" s="40">
        <f>_xlfn.XLOOKUP(A406,My_Audit!A:A,My_Audit!D:D,"")</f>
        <v>0</v>
      </c>
      <c r="F406" s="40" t="str" cm="1">
        <f t="array" ref="F406">IFERROR(_xlfn.LET(
_xlpm.CSVVal,_xlfn.XLOOKUP($A406,CSV!$A:$A,CSV!F:F,""),
_xlpm.MacVal,_xlfn.XLOOKUP($A406,Output_Mac!$A:$A,Output_Mac!E:E,""),
_xlpm.MyAuditVal,_xlfn.XLOOKUP($A406,My_Audit!$A:$A,My_Audit!E:E,""),
_xlfn.IFS(_xlpm.MyAuditVal&lt;&gt;"",_xlpm.MyAuditVal,_xlpm.MacVal&lt;&gt;"",_xlpm.MacVal,_xlpm.CSVVal&lt;&gt;"",_xlpm.CSVVal
)),"")</f>
        <v/>
      </c>
      <c r="G406" s="40" t="str" cm="1">
        <f t="array" ref="G406">IFERROR(_xlfn.LET(
_xlpm.CSVVal,_xlfn.XLOOKUP($A406,CSV!$A:$A,CSV!G:G,""),
_xlpm.MacVal,_xlfn.XLOOKUP($A406,Output_Mac!$A:$A,Output_Mac!F:F,""),
_xlpm.MyAuditVal,_xlfn.XLOOKUP($A406,My_Audit!$A:$A,My_Audit!F:F,""),
_xlfn.IFS(_xlpm.MyAuditVal&lt;&gt;"",_xlpm.MyAuditVal,_xlpm.MacVal&lt;&gt;"",_xlpm.MacVal,_xlpm.CSVVal&lt;&gt;"",PROPER(_xlpm.CSVVal)
)),"")</f>
        <v/>
      </c>
      <c r="H406" s="40" t="str" cm="1">
        <f t="array" ref="H406">IFERROR(_xlfn.LET(
_xlpm.CSVVal,_xlfn.XLOOKUP($A406,CSV!$A:$A,CSV!H:H,""),
_xlpm.MacVal,_xlfn.XLOOKUP($A406,Output_Mac!$A:$A,Output_Mac!H:H,""),
_xlpm.MyAuditVal,_xlfn.XLOOKUP($A406,My_Audit!$A:$A,My_Audit!G:G,""),
_xlfn.IFS(_xlpm.MyAuditVal&lt;&gt;"",_xlpm.MyAuditVal,_xlpm.MacVal&lt;&gt;"",_xlpm.MacVal,_xlpm.CSVVal&lt;&gt;"",_xlpm.CSVVal
)),"")</f>
        <v/>
      </c>
      <c r="I406" s="40" t="str">
        <f>_xlfn.XLOOKUP(A406,Output_Mac!A:A,Output_Mac!I:I,"")</f>
        <v/>
      </c>
      <c r="J406" s="40" t="str" cm="1">
        <f t="array" ref="J406">IFERROR(_xlfn.LET(
_xlpm.CSVVal,_xlfn.XLOOKUP($A406,CSV!$A:$A,CSV!I:I,""),
_xlpm.MacVal,_xlfn.XLOOKUP($A406,Output_Mac!$A:$A,Output_Mac!J:J,""),
_xlpm.MyAuditVal,_xlfn.XLOOKUP($A406,My_Audit!$A:$A,My_Audit!I:I,""),
_xlfn.IFS(_xlpm.MyAuditVal&lt;&gt;"",UPPER(_xlpm.MyAuditVal),_xlpm.MacVal&lt;&gt;"",_xlpm.MacVal,_xlpm.CSVVal&lt;&gt;"",_xlpm.CSVVal
)),"")</f>
        <v/>
      </c>
      <c r="K406" s="40" t="str" cm="1">
        <f t="array" ref="K406">IFERROR(_xlfn.LET(
_xlpm.CSVVal,_xlfn.XLOOKUP($A406,CSV!$A:$A,CSV!K:K,""),
_xlpm.MacVal,_xlfn.XLOOKUP($A406,Output_Mac!$A:$A,Output_Mac!K:K,""),
_xlpm.MyAuditVal,_xlfn.XLOOKUP($A406,My_Audit!$A:$A,My_Audit!J:J,""),
_xlfn.IFS(_xlpm.MyAuditVal&lt;&gt;"",UPPER(_xlpm.MyAuditVal),_xlpm.MacVal&lt;&gt;"",_xlpm.MacVal,_xlpm.CSVVal&lt;&gt;"",_xlpm.CSVVal
)),"")</f>
        <v/>
      </c>
      <c r="L406" s="40" t="str" cm="1">
        <f t="array" ref="L406">IFERROR(_xlfn.LET(
_xlpm.CSVVal,_xlfn.XLOOKUP($A406,CSV!$A:$A,CSV!P:P,""),
_xlpm.MacVal,_xlfn.XLOOKUP($A406,Output_Mac!$A:$A,Output_Mac!L:L,""),
_xlpm.MyAuditVal,_xlfn.XLOOKUP($A406,My_Audit!$A:$A,My_Audit!K:K,""),
_xlfn.IFS(_xlpm.MyAuditVal&lt;&gt;"",UPPER(_xlpm.MyAuditVal),_xlpm.MacVal&lt;&gt;"",_xlpm.MacVal,_xlpm.CSVVal&lt;&gt;"",_xlpm.CSVVal
)),"")</f>
        <v/>
      </c>
      <c r="M406" s="40" t="str" cm="1">
        <f t="array" ref="M406">IFERROR(_xlfn.LET(
_xlpm.CSVVal,_xlfn.XLOOKUP($A406,CSV!$A:$A,CSV!Q:Q,""),
_xlpm.MacVal,_xlfn.XLOOKUP($A406,Output_Mac!$A:$A,Output_Mac!M:M,""),
_xlpm.MyAuditVal,_xlfn.XLOOKUP($A406,My_Audit!$A:$A,My_Audit!L:L,""),
_xlfn.IFS(_xlpm.MyAuditVal&lt;&gt;"",UPPER(_xlpm.MyAuditVal),_xlpm.MacVal&lt;&gt;"",_xlpm.MacVal,_xlpm.CSVVal&lt;&gt;"",_xlpm.CSVVal
)),"")</f>
        <v/>
      </c>
      <c r="N406" s="40"/>
      <c r="O406" s="40" t="str">
        <f>_xlfn.LET(
    _xlpm.CSVVal, _xlfn.XLOOKUP($A406, CSV!$A:$A, CSV!AA:AA, ""),
    _xlpm.MacVal, _xlfn.XLOOKUP($A406, Output_Mac!$A:$A, Output_Mac!S:S, ""),
    _xlpm.MyAuditVal, _xlfn.XLOOKUP($A406, My_Audit!$A:$A, My_Audit!P:P, ""),
    _xlfn.TEXTJOIN(", ", TRUE, _xlpm.MyAuditVal, _xlpm.MacVal, _xlpm.CSVVal)
)</f>
        <v/>
      </c>
      <c r="P406" s="40" t="str" cm="1">
        <f t="array" ref="P406">IFERROR(_xlfn.LET(
_xlpm.CSVVal,_xlfn.XLOOKUP($A406,CSV!$A:$A,CSV!AB:AB,""),
_xlpm.MacVal,_xlfn.XLOOKUP($A406,Output_Mac!$A:$A,Output_Mac!T:T,""),
_xlpm.MyAuditVal,_xlfn.XLOOKUP($A406,My_Audit!$A:$A,My_Audit!Q:Q,""),
_xlfn.IFS(_xlpm.MyAuditVal&lt;&gt;"",UPPER(_xlpm.MyAuditVal),_xlpm.MacVal&lt;&gt;"",_xlpm.MacVal,_xlpm.CSVVal&lt;&gt;"",_xlpm.CSVVal
)),"No")</f>
        <v>No</v>
      </c>
      <c r="Q406" s="40" t="str" cm="1">
        <f t="array" ref="Q406">IFERROR(_xlfn.LET(
_xlpm.CSVVal,_xlfn.XLOOKUP($A406,CSV!$A:$A,CSV!AC:AC,""),
_xlpm.MacVal,_xlfn.XLOOKUP($A406,Output_Mac!$A:$A,Output_Mac!U:U,""),
_xlpm.MyAuditVal,_xlfn.XLOOKUP($A406,My_Audit!$A:$A,My_Audit!R:R,""),
_xlfn.IFS(_xlpm.MyAuditVal&lt;&gt;"",UPPER(_xlpm.MyAuditVal),_xlpm.MacVal&lt;&gt;"",_xlpm.MacVal,_xlpm.CSVVal&lt;&gt;"",_xlpm.CSVVal
)),"")</f>
        <v/>
      </c>
      <c r="R406" s="40"/>
      <c r="S406" s="40"/>
      <c r="T406" s="40"/>
      <c r="U406" s="40"/>
      <c r="V406" s="40"/>
      <c r="W406" s="40"/>
      <c r="X406" s="41" t="str">
        <f>_xlfn.LET(
    _xlpm.MacVal, _xlfn.XLOOKUP($A406, Output_Mac!$A:$A, Output_Mac!AB:AB, ""),
    _xlpm.MyAuditVal, _xlfn.XLOOKUP($A406, My_Audit!$A:$A, My_Audit!N:N, ""),
    _xlfn.TEXTJOIN(", ", TRUE, _xlpm.MyAuditVal, _xlpm.MacVal)
)</f>
        <v/>
      </c>
    </row>
    <row r="407" spans="1:24">
      <c r="A407" s="40" t="str">
        <f>_xlfn.TEXTJOIN("",TRUE,Input!$B$2,ROW(My_Audit!A406))</f>
        <v>X406</v>
      </c>
      <c r="B407" s="40" t="str">
        <f>_xlfn.TEXTJOIN("-",TRUE,"ITD",Input!$A$2,A407)</f>
        <v>ITD-X406</v>
      </c>
      <c r="C407" s="40" t="str" cm="1">
        <f t="array" ref="C407">IFERROR(_xlfn.LET(
_xlpm.CSVVal,_xlfn.XLOOKUP($A407,CSV!$A:$A,CSV!B:B,""),
_xlpm.MacVal,_xlfn.XLOOKUP($A407,Output_Mac!$A:$A,Output_Mac!B:B,""),
_xlpm.MyAuditVal,_xlfn.XLOOKUP($A407,My_Audit!$A:$A,My_Audit!B:B,""),
_xlfn.IFS(_xlpm.MyAuditVal&lt;&gt;"",UPPER(_xlpm.MyAuditVal),_xlpm.MacVal&lt;&gt;"",_xlpm.MacVal,_xlpm.CSVVal&lt;&gt;"",_xlpm.CSVVal
)),"")</f>
        <v/>
      </c>
      <c r="D407" s="40" t="str" cm="1">
        <f t="array" ref="D407">IFERROR(_xlfn.LET(
_xlpm.CSVVal,_xlfn.XLOOKUP($A407,CSV!$A:$A,CSV!D:D,""),
_xlpm.MacVal,_xlfn.XLOOKUP($A407,Output_Mac!$A:$A,Output_Mac!C:C,""),
_xlpm.MyAuditVal,_xlfn.XLOOKUP($A407,My_Audit!$A:$A,My_Audit!C:C,""),
_xlfn.IFS(_xlpm.MyAuditVal&lt;&gt;"",_xlpm.MyAuditVal,_xlpm.MacVal&lt;&gt;"",_xlpm.MacVal,_xlpm.CSVVal&lt;&gt;"",_xlpm.CSVVal
)),"")</f>
        <v/>
      </c>
      <c r="E407" s="40">
        <f>_xlfn.XLOOKUP(A407,My_Audit!A:A,My_Audit!D:D,"")</f>
        <v>0</v>
      </c>
      <c r="F407" s="40" t="str" cm="1">
        <f t="array" ref="F407">IFERROR(_xlfn.LET(
_xlpm.CSVVal,_xlfn.XLOOKUP($A407,CSV!$A:$A,CSV!F:F,""),
_xlpm.MacVal,_xlfn.XLOOKUP($A407,Output_Mac!$A:$A,Output_Mac!E:E,""),
_xlpm.MyAuditVal,_xlfn.XLOOKUP($A407,My_Audit!$A:$A,My_Audit!E:E,""),
_xlfn.IFS(_xlpm.MyAuditVal&lt;&gt;"",_xlpm.MyAuditVal,_xlpm.MacVal&lt;&gt;"",_xlpm.MacVal,_xlpm.CSVVal&lt;&gt;"",_xlpm.CSVVal
)),"")</f>
        <v/>
      </c>
      <c r="G407" s="40" t="str" cm="1">
        <f t="array" ref="G407">IFERROR(_xlfn.LET(
_xlpm.CSVVal,_xlfn.XLOOKUP($A407,CSV!$A:$A,CSV!G:G,""),
_xlpm.MacVal,_xlfn.XLOOKUP($A407,Output_Mac!$A:$A,Output_Mac!F:F,""),
_xlpm.MyAuditVal,_xlfn.XLOOKUP($A407,My_Audit!$A:$A,My_Audit!F:F,""),
_xlfn.IFS(_xlpm.MyAuditVal&lt;&gt;"",_xlpm.MyAuditVal,_xlpm.MacVal&lt;&gt;"",_xlpm.MacVal,_xlpm.CSVVal&lt;&gt;"",PROPER(_xlpm.CSVVal)
)),"")</f>
        <v/>
      </c>
      <c r="H407" s="40" t="str" cm="1">
        <f t="array" ref="H407">IFERROR(_xlfn.LET(
_xlpm.CSVVal,_xlfn.XLOOKUP($A407,CSV!$A:$A,CSV!H:H,""),
_xlpm.MacVal,_xlfn.XLOOKUP($A407,Output_Mac!$A:$A,Output_Mac!H:H,""),
_xlpm.MyAuditVal,_xlfn.XLOOKUP($A407,My_Audit!$A:$A,My_Audit!G:G,""),
_xlfn.IFS(_xlpm.MyAuditVal&lt;&gt;"",_xlpm.MyAuditVal,_xlpm.MacVal&lt;&gt;"",_xlpm.MacVal,_xlpm.CSVVal&lt;&gt;"",_xlpm.CSVVal
)),"")</f>
        <v/>
      </c>
      <c r="I407" s="40" t="str">
        <f>_xlfn.XLOOKUP(A407,Output_Mac!A:A,Output_Mac!I:I,"")</f>
        <v/>
      </c>
      <c r="J407" s="40" t="str" cm="1">
        <f t="array" ref="J407">IFERROR(_xlfn.LET(
_xlpm.CSVVal,_xlfn.XLOOKUP($A407,CSV!$A:$A,CSV!I:I,""),
_xlpm.MacVal,_xlfn.XLOOKUP($A407,Output_Mac!$A:$A,Output_Mac!J:J,""),
_xlpm.MyAuditVal,_xlfn.XLOOKUP($A407,My_Audit!$A:$A,My_Audit!I:I,""),
_xlfn.IFS(_xlpm.MyAuditVal&lt;&gt;"",UPPER(_xlpm.MyAuditVal),_xlpm.MacVal&lt;&gt;"",_xlpm.MacVal,_xlpm.CSVVal&lt;&gt;"",_xlpm.CSVVal
)),"")</f>
        <v/>
      </c>
      <c r="K407" s="40" t="str" cm="1">
        <f t="array" ref="K407">IFERROR(_xlfn.LET(
_xlpm.CSVVal,_xlfn.XLOOKUP($A407,CSV!$A:$A,CSV!K:K,""),
_xlpm.MacVal,_xlfn.XLOOKUP($A407,Output_Mac!$A:$A,Output_Mac!K:K,""),
_xlpm.MyAuditVal,_xlfn.XLOOKUP($A407,My_Audit!$A:$A,My_Audit!J:J,""),
_xlfn.IFS(_xlpm.MyAuditVal&lt;&gt;"",UPPER(_xlpm.MyAuditVal),_xlpm.MacVal&lt;&gt;"",_xlpm.MacVal,_xlpm.CSVVal&lt;&gt;"",_xlpm.CSVVal
)),"")</f>
        <v/>
      </c>
      <c r="L407" s="40" t="str" cm="1">
        <f t="array" ref="L407">IFERROR(_xlfn.LET(
_xlpm.CSVVal,_xlfn.XLOOKUP($A407,CSV!$A:$A,CSV!P:P,""),
_xlpm.MacVal,_xlfn.XLOOKUP($A407,Output_Mac!$A:$A,Output_Mac!L:L,""),
_xlpm.MyAuditVal,_xlfn.XLOOKUP($A407,My_Audit!$A:$A,My_Audit!K:K,""),
_xlfn.IFS(_xlpm.MyAuditVal&lt;&gt;"",UPPER(_xlpm.MyAuditVal),_xlpm.MacVal&lt;&gt;"",_xlpm.MacVal,_xlpm.CSVVal&lt;&gt;"",_xlpm.CSVVal
)),"")</f>
        <v/>
      </c>
      <c r="M407" s="40" t="str" cm="1">
        <f t="array" ref="M407">IFERROR(_xlfn.LET(
_xlpm.CSVVal,_xlfn.XLOOKUP($A407,CSV!$A:$A,CSV!Q:Q,""),
_xlpm.MacVal,_xlfn.XLOOKUP($A407,Output_Mac!$A:$A,Output_Mac!M:M,""),
_xlpm.MyAuditVal,_xlfn.XLOOKUP($A407,My_Audit!$A:$A,My_Audit!L:L,""),
_xlfn.IFS(_xlpm.MyAuditVal&lt;&gt;"",UPPER(_xlpm.MyAuditVal),_xlpm.MacVal&lt;&gt;"",_xlpm.MacVal,_xlpm.CSVVal&lt;&gt;"",_xlpm.CSVVal
)),"")</f>
        <v/>
      </c>
      <c r="N407" s="40"/>
      <c r="O407" s="40" t="str">
        <f>_xlfn.LET(
    _xlpm.CSVVal, _xlfn.XLOOKUP($A407, CSV!$A:$A, CSV!AA:AA, ""),
    _xlpm.MacVal, _xlfn.XLOOKUP($A407, Output_Mac!$A:$A, Output_Mac!S:S, ""),
    _xlpm.MyAuditVal, _xlfn.XLOOKUP($A407, My_Audit!$A:$A, My_Audit!P:P, ""),
    _xlfn.TEXTJOIN(", ", TRUE, _xlpm.MyAuditVal, _xlpm.MacVal, _xlpm.CSVVal)
)</f>
        <v/>
      </c>
      <c r="P407" s="40" t="str" cm="1">
        <f t="array" ref="P407">IFERROR(_xlfn.LET(
_xlpm.CSVVal,_xlfn.XLOOKUP($A407,CSV!$A:$A,CSV!AB:AB,""),
_xlpm.MacVal,_xlfn.XLOOKUP($A407,Output_Mac!$A:$A,Output_Mac!T:T,""),
_xlpm.MyAuditVal,_xlfn.XLOOKUP($A407,My_Audit!$A:$A,My_Audit!Q:Q,""),
_xlfn.IFS(_xlpm.MyAuditVal&lt;&gt;"",UPPER(_xlpm.MyAuditVal),_xlpm.MacVal&lt;&gt;"",_xlpm.MacVal,_xlpm.CSVVal&lt;&gt;"",_xlpm.CSVVal
)),"No")</f>
        <v>No</v>
      </c>
      <c r="Q407" s="40" t="str" cm="1">
        <f t="array" ref="Q407">IFERROR(_xlfn.LET(
_xlpm.CSVVal,_xlfn.XLOOKUP($A407,CSV!$A:$A,CSV!AC:AC,""),
_xlpm.MacVal,_xlfn.XLOOKUP($A407,Output_Mac!$A:$A,Output_Mac!U:U,""),
_xlpm.MyAuditVal,_xlfn.XLOOKUP($A407,My_Audit!$A:$A,My_Audit!R:R,""),
_xlfn.IFS(_xlpm.MyAuditVal&lt;&gt;"",UPPER(_xlpm.MyAuditVal),_xlpm.MacVal&lt;&gt;"",_xlpm.MacVal,_xlpm.CSVVal&lt;&gt;"",_xlpm.CSVVal
)),"")</f>
        <v/>
      </c>
      <c r="R407" s="40"/>
      <c r="S407" s="40"/>
      <c r="T407" s="40"/>
      <c r="U407" s="40"/>
      <c r="V407" s="40"/>
      <c r="W407" s="40"/>
      <c r="X407" s="41" t="str">
        <f>_xlfn.LET(
    _xlpm.MacVal, _xlfn.XLOOKUP($A407, Output_Mac!$A:$A, Output_Mac!AB:AB, ""),
    _xlpm.MyAuditVal, _xlfn.XLOOKUP($A407, My_Audit!$A:$A, My_Audit!N:N, ""),
    _xlfn.TEXTJOIN(", ", TRUE, _xlpm.MyAuditVal, _xlpm.MacVal)
)</f>
        <v/>
      </c>
    </row>
    <row r="408" spans="1:24">
      <c r="A408" s="40" t="str">
        <f>_xlfn.TEXTJOIN("",TRUE,Input!$B$2,ROW(My_Audit!A407))</f>
        <v>X407</v>
      </c>
      <c r="B408" s="40" t="str">
        <f>_xlfn.TEXTJOIN("-",TRUE,"ITD",Input!$A$2,A408)</f>
        <v>ITD-X407</v>
      </c>
      <c r="C408" s="40" t="str" cm="1">
        <f t="array" ref="C408">IFERROR(_xlfn.LET(
_xlpm.CSVVal,_xlfn.XLOOKUP($A408,CSV!$A:$A,CSV!B:B,""),
_xlpm.MacVal,_xlfn.XLOOKUP($A408,Output_Mac!$A:$A,Output_Mac!B:B,""),
_xlpm.MyAuditVal,_xlfn.XLOOKUP($A408,My_Audit!$A:$A,My_Audit!B:B,""),
_xlfn.IFS(_xlpm.MyAuditVal&lt;&gt;"",UPPER(_xlpm.MyAuditVal),_xlpm.MacVal&lt;&gt;"",_xlpm.MacVal,_xlpm.CSVVal&lt;&gt;"",_xlpm.CSVVal
)),"")</f>
        <v/>
      </c>
      <c r="D408" s="40" t="str" cm="1">
        <f t="array" ref="D408">IFERROR(_xlfn.LET(
_xlpm.CSVVal,_xlfn.XLOOKUP($A408,CSV!$A:$A,CSV!D:D,""),
_xlpm.MacVal,_xlfn.XLOOKUP($A408,Output_Mac!$A:$A,Output_Mac!C:C,""),
_xlpm.MyAuditVal,_xlfn.XLOOKUP($A408,My_Audit!$A:$A,My_Audit!C:C,""),
_xlfn.IFS(_xlpm.MyAuditVal&lt;&gt;"",_xlpm.MyAuditVal,_xlpm.MacVal&lt;&gt;"",_xlpm.MacVal,_xlpm.CSVVal&lt;&gt;"",_xlpm.CSVVal
)),"")</f>
        <v/>
      </c>
      <c r="E408" s="40">
        <f>_xlfn.XLOOKUP(A408,My_Audit!A:A,My_Audit!D:D,"")</f>
        <v>0</v>
      </c>
      <c r="F408" s="40" t="str" cm="1">
        <f t="array" ref="F408">IFERROR(_xlfn.LET(
_xlpm.CSVVal,_xlfn.XLOOKUP($A408,CSV!$A:$A,CSV!F:F,""),
_xlpm.MacVal,_xlfn.XLOOKUP($A408,Output_Mac!$A:$A,Output_Mac!E:E,""),
_xlpm.MyAuditVal,_xlfn.XLOOKUP($A408,My_Audit!$A:$A,My_Audit!E:E,""),
_xlfn.IFS(_xlpm.MyAuditVal&lt;&gt;"",_xlpm.MyAuditVal,_xlpm.MacVal&lt;&gt;"",_xlpm.MacVal,_xlpm.CSVVal&lt;&gt;"",_xlpm.CSVVal
)),"")</f>
        <v/>
      </c>
      <c r="G408" s="40" t="str" cm="1">
        <f t="array" ref="G408">IFERROR(_xlfn.LET(
_xlpm.CSVVal,_xlfn.XLOOKUP($A408,CSV!$A:$A,CSV!G:G,""),
_xlpm.MacVal,_xlfn.XLOOKUP($A408,Output_Mac!$A:$A,Output_Mac!F:F,""),
_xlpm.MyAuditVal,_xlfn.XLOOKUP($A408,My_Audit!$A:$A,My_Audit!F:F,""),
_xlfn.IFS(_xlpm.MyAuditVal&lt;&gt;"",_xlpm.MyAuditVal,_xlpm.MacVal&lt;&gt;"",_xlpm.MacVal,_xlpm.CSVVal&lt;&gt;"",PROPER(_xlpm.CSVVal)
)),"")</f>
        <v/>
      </c>
      <c r="H408" s="40" t="str" cm="1">
        <f t="array" ref="H408">IFERROR(_xlfn.LET(
_xlpm.CSVVal,_xlfn.XLOOKUP($A408,CSV!$A:$A,CSV!H:H,""),
_xlpm.MacVal,_xlfn.XLOOKUP($A408,Output_Mac!$A:$A,Output_Mac!H:H,""),
_xlpm.MyAuditVal,_xlfn.XLOOKUP($A408,My_Audit!$A:$A,My_Audit!G:G,""),
_xlfn.IFS(_xlpm.MyAuditVal&lt;&gt;"",_xlpm.MyAuditVal,_xlpm.MacVal&lt;&gt;"",_xlpm.MacVal,_xlpm.CSVVal&lt;&gt;"",_xlpm.CSVVal
)),"")</f>
        <v/>
      </c>
      <c r="I408" s="40" t="str">
        <f>_xlfn.XLOOKUP(A408,Output_Mac!A:A,Output_Mac!I:I,"")</f>
        <v/>
      </c>
      <c r="J408" s="40" t="str" cm="1">
        <f t="array" ref="J408">IFERROR(_xlfn.LET(
_xlpm.CSVVal,_xlfn.XLOOKUP($A408,CSV!$A:$A,CSV!I:I,""),
_xlpm.MacVal,_xlfn.XLOOKUP($A408,Output_Mac!$A:$A,Output_Mac!J:J,""),
_xlpm.MyAuditVal,_xlfn.XLOOKUP($A408,My_Audit!$A:$A,My_Audit!I:I,""),
_xlfn.IFS(_xlpm.MyAuditVal&lt;&gt;"",UPPER(_xlpm.MyAuditVal),_xlpm.MacVal&lt;&gt;"",_xlpm.MacVal,_xlpm.CSVVal&lt;&gt;"",_xlpm.CSVVal
)),"")</f>
        <v/>
      </c>
      <c r="K408" s="40" t="str" cm="1">
        <f t="array" ref="K408">IFERROR(_xlfn.LET(
_xlpm.CSVVal,_xlfn.XLOOKUP($A408,CSV!$A:$A,CSV!K:K,""),
_xlpm.MacVal,_xlfn.XLOOKUP($A408,Output_Mac!$A:$A,Output_Mac!K:K,""),
_xlpm.MyAuditVal,_xlfn.XLOOKUP($A408,My_Audit!$A:$A,My_Audit!J:J,""),
_xlfn.IFS(_xlpm.MyAuditVal&lt;&gt;"",UPPER(_xlpm.MyAuditVal),_xlpm.MacVal&lt;&gt;"",_xlpm.MacVal,_xlpm.CSVVal&lt;&gt;"",_xlpm.CSVVal
)),"")</f>
        <v/>
      </c>
      <c r="L408" s="40" t="str" cm="1">
        <f t="array" ref="L408">IFERROR(_xlfn.LET(
_xlpm.CSVVal,_xlfn.XLOOKUP($A408,CSV!$A:$A,CSV!P:P,""),
_xlpm.MacVal,_xlfn.XLOOKUP($A408,Output_Mac!$A:$A,Output_Mac!L:L,""),
_xlpm.MyAuditVal,_xlfn.XLOOKUP($A408,My_Audit!$A:$A,My_Audit!K:K,""),
_xlfn.IFS(_xlpm.MyAuditVal&lt;&gt;"",UPPER(_xlpm.MyAuditVal),_xlpm.MacVal&lt;&gt;"",_xlpm.MacVal,_xlpm.CSVVal&lt;&gt;"",_xlpm.CSVVal
)),"")</f>
        <v/>
      </c>
      <c r="M408" s="40" t="str" cm="1">
        <f t="array" ref="M408">IFERROR(_xlfn.LET(
_xlpm.CSVVal,_xlfn.XLOOKUP($A408,CSV!$A:$A,CSV!Q:Q,""),
_xlpm.MacVal,_xlfn.XLOOKUP($A408,Output_Mac!$A:$A,Output_Mac!M:M,""),
_xlpm.MyAuditVal,_xlfn.XLOOKUP($A408,My_Audit!$A:$A,My_Audit!L:L,""),
_xlfn.IFS(_xlpm.MyAuditVal&lt;&gt;"",UPPER(_xlpm.MyAuditVal),_xlpm.MacVal&lt;&gt;"",_xlpm.MacVal,_xlpm.CSVVal&lt;&gt;"",_xlpm.CSVVal
)),"")</f>
        <v/>
      </c>
      <c r="N408" s="40"/>
      <c r="O408" s="40" t="str">
        <f>_xlfn.LET(
    _xlpm.CSVVal, _xlfn.XLOOKUP($A408, CSV!$A:$A, CSV!AA:AA, ""),
    _xlpm.MacVal, _xlfn.XLOOKUP($A408, Output_Mac!$A:$A, Output_Mac!S:S, ""),
    _xlpm.MyAuditVal, _xlfn.XLOOKUP($A408, My_Audit!$A:$A, My_Audit!P:P, ""),
    _xlfn.TEXTJOIN(", ", TRUE, _xlpm.MyAuditVal, _xlpm.MacVal, _xlpm.CSVVal)
)</f>
        <v/>
      </c>
      <c r="P408" s="40" t="str" cm="1">
        <f t="array" ref="P408">IFERROR(_xlfn.LET(
_xlpm.CSVVal,_xlfn.XLOOKUP($A408,CSV!$A:$A,CSV!AB:AB,""),
_xlpm.MacVal,_xlfn.XLOOKUP($A408,Output_Mac!$A:$A,Output_Mac!T:T,""),
_xlpm.MyAuditVal,_xlfn.XLOOKUP($A408,My_Audit!$A:$A,My_Audit!Q:Q,""),
_xlfn.IFS(_xlpm.MyAuditVal&lt;&gt;"",UPPER(_xlpm.MyAuditVal),_xlpm.MacVal&lt;&gt;"",_xlpm.MacVal,_xlpm.CSVVal&lt;&gt;"",_xlpm.CSVVal
)),"No")</f>
        <v>No</v>
      </c>
      <c r="Q408" s="40" t="str" cm="1">
        <f t="array" ref="Q408">IFERROR(_xlfn.LET(
_xlpm.CSVVal,_xlfn.XLOOKUP($A408,CSV!$A:$A,CSV!AC:AC,""),
_xlpm.MacVal,_xlfn.XLOOKUP($A408,Output_Mac!$A:$A,Output_Mac!U:U,""),
_xlpm.MyAuditVal,_xlfn.XLOOKUP($A408,My_Audit!$A:$A,My_Audit!R:R,""),
_xlfn.IFS(_xlpm.MyAuditVal&lt;&gt;"",UPPER(_xlpm.MyAuditVal),_xlpm.MacVal&lt;&gt;"",_xlpm.MacVal,_xlpm.CSVVal&lt;&gt;"",_xlpm.CSVVal
)),"")</f>
        <v/>
      </c>
      <c r="R408" s="40"/>
      <c r="S408" s="40"/>
      <c r="T408" s="40"/>
      <c r="U408" s="40"/>
      <c r="V408" s="40"/>
      <c r="W408" s="40"/>
      <c r="X408" s="41" t="str">
        <f>_xlfn.LET(
    _xlpm.MacVal, _xlfn.XLOOKUP($A408, Output_Mac!$A:$A, Output_Mac!AB:AB, ""),
    _xlpm.MyAuditVal, _xlfn.XLOOKUP($A408, My_Audit!$A:$A, My_Audit!N:N, ""),
    _xlfn.TEXTJOIN(", ", TRUE, _xlpm.MyAuditVal, _xlpm.MacVal)
)</f>
        <v/>
      </c>
    </row>
    <row r="409" spans="1:24">
      <c r="A409" s="40" t="str">
        <f>_xlfn.TEXTJOIN("",TRUE,Input!$B$2,ROW(My_Audit!A408))</f>
        <v>X408</v>
      </c>
      <c r="B409" s="40" t="str">
        <f>_xlfn.TEXTJOIN("-",TRUE,"ITD",Input!$A$2,A409)</f>
        <v>ITD-X408</v>
      </c>
      <c r="C409" s="40" t="str" cm="1">
        <f t="array" ref="C409">IFERROR(_xlfn.LET(
_xlpm.CSVVal,_xlfn.XLOOKUP($A409,CSV!$A:$A,CSV!B:B,""),
_xlpm.MacVal,_xlfn.XLOOKUP($A409,Output_Mac!$A:$A,Output_Mac!B:B,""),
_xlpm.MyAuditVal,_xlfn.XLOOKUP($A409,My_Audit!$A:$A,My_Audit!B:B,""),
_xlfn.IFS(_xlpm.MyAuditVal&lt;&gt;"",UPPER(_xlpm.MyAuditVal),_xlpm.MacVal&lt;&gt;"",_xlpm.MacVal,_xlpm.CSVVal&lt;&gt;"",_xlpm.CSVVal
)),"")</f>
        <v/>
      </c>
      <c r="D409" s="40" t="str" cm="1">
        <f t="array" ref="D409">IFERROR(_xlfn.LET(
_xlpm.CSVVal,_xlfn.XLOOKUP($A409,CSV!$A:$A,CSV!D:D,""),
_xlpm.MacVal,_xlfn.XLOOKUP($A409,Output_Mac!$A:$A,Output_Mac!C:C,""),
_xlpm.MyAuditVal,_xlfn.XLOOKUP($A409,My_Audit!$A:$A,My_Audit!C:C,""),
_xlfn.IFS(_xlpm.MyAuditVal&lt;&gt;"",_xlpm.MyAuditVal,_xlpm.MacVal&lt;&gt;"",_xlpm.MacVal,_xlpm.CSVVal&lt;&gt;"",_xlpm.CSVVal
)),"")</f>
        <v/>
      </c>
      <c r="E409" s="40">
        <f>_xlfn.XLOOKUP(A409,My_Audit!A:A,My_Audit!D:D,"")</f>
        <v>0</v>
      </c>
      <c r="F409" s="40" t="str" cm="1">
        <f t="array" ref="F409">IFERROR(_xlfn.LET(
_xlpm.CSVVal,_xlfn.XLOOKUP($A409,CSV!$A:$A,CSV!F:F,""),
_xlpm.MacVal,_xlfn.XLOOKUP($A409,Output_Mac!$A:$A,Output_Mac!E:E,""),
_xlpm.MyAuditVal,_xlfn.XLOOKUP($A409,My_Audit!$A:$A,My_Audit!E:E,""),
_xlfn.IFS(_xlpm.MyAuditVal&lt;&gt;"",_xlpm.MyAuditVal,_xlpm.MacVal&lt;&gt;"",_xlpm.MacVal,_xlpm.CSVVal&lt;&gt;"",_xlpm.CSVVal
)),"")</f>
        <v/>
      </c>
      <c r="G409" s="40" t="str" cm="1">
        <f t="array" ref="G409">IFERROR(_xlfn.LET(
_xlpm.CSVVal,_xlfn.XLOOKUP($A409,CSV!$A:$A,CSV!G:G,""),
_xlpm.MacVal,_xlfn.XLOOKUP($A409,Output_Mac!$A:$A,Output_Mac!F:F,""),
_xlpm.MyAuditVal,_xlfn.XLOOKUP($A409,My_Audit!$A:$A,My_Audit!F:F,""),
_xlfn.IFS(_xlpm.MyAuditVal&lt;&gt;"",_xlpm.MyAuditVal,_xlpm.MacVal&lt;&gt;"",_xlpm.MacVal,_xlpm.CSVVal&lt;&gt;"",PROPER(_xlpm.CSVVal)
)),"")</f>
        <v/>
      </c>
      <c r="H409" s="40" t="str" cm="1">
        <f t="array" ref="H409">IFERROR(_xlfn.LET(
_xlpm.CSVVal,_xlfn.XLOOKUP($A409,CSV!$A:$A,CSV!H:H,""),
_xlpm.MacVal,_xlfn.XLOOKUP($A409,Output_Mac!$A:$A,Output_Mac!H:H,""),
_xlpm.MyAuditVal,_xlfn.XLOOKUP($A409,My_Audit!$A:$A,My_Audit!G:G,""),
_xlfn.IFS(_xlpm.MyAuditVal&lt;&gt;"",_xlpm.MyAuditVal,_xlpm.MacVal&lt;&gt;"",_xlpm.MacVal,_xlpm.CSVVal&lt;&gt;"",_xlpm.CSVVal
)),"")</f>
        <v/>
      </c>
      <c r="I409" s="40" t="str">
        <f>_xlfn.XLOOKUP(A409,Output_Mac!A:A,Output_Mac!I:I,"")</f>
        <v/>
      </c>
      <c r="J409" s="40" t="str" cm="1">
        <f t="array" ref="J409">IFERROR(_xlfn.LET(
_xlpm.CSVVal,_xlfn.XLOOKUP($A409,CSV!$A:$A,CSV!I:I,""),
_xlpm.MacVal,_xlfn.XLOOKUP($A409,Output_Mac!$A:$A,Output_Mac!J:J,""),
_xlpm.MyAuditVal,_xlfn.XLOOKUP($A409,My_Audit!$A:$A,My_Audit!I:I,""),
_xlfn.IFS(_xlpm.MyAuditVal&lt;&gt;"",UPPER(_xlpm.MyAuditVal),_xlpm.MacVal&lt;&gt;"",_xlpm.MacVal,_xlpm.CSVVal&lt;&gt;"",_xlpm.CSVVal
)),"")</f>
        <v/>
      </c>
      <c r="K409" s="40" t="str" cm="1">
        <f t="array" ref="K409">IFERROR(_xlfn.LET(
_xlpm.CSVVal,_xlfn.XLOOKUP($A409,CSV!$A:$A,CSV!K:K,""),
_xlpm.MacVal,_xlfn.XLOOKUP($A409,Output_Mac!$A:$A,Output_Mac!K:K,""),
_xlpm.MyAuditVal,_xlfn.XLOOKUP($A409,My_Audit!$A:$A,My_Audit!J:J,""),
_xlfn.IFS(_xlpm.MyAuditVal&lt;&gt;"",UPPER(_xlpm.MyAuditVal),_xlpm.MacVal&lt;&gt;"",_xlpm.MacVal,_xlpm.CSVVal&lt;&gt;"",_xlpm.CSVVal
)),"")</f>
        <v/>
      </c>
      <c r="L409" s="40" t="str" cm="1">
        <f t="array" ref="L409">IFERROR(_xlfn.LET(
_xlpm.CSVVal,_xlfn.XLOOKUP($A409,CSV!$A:$A,CSV!P:P,""),
_xlpm.MacVal,_xlfn.XLOOKUP($A409,Output_Mac!$A:$A,Output_Mac!L:L,""),
_xlpm.MyAuditVal,_xlfn.XLOOKUP($A409,My_Audit!$A:$A,My_Audit!K:K,""),
_xlfn.IFS(_xlpm.MyAuditVal&lt;&gt;"",UPPER(_xlpm.MyAuditVal),_xlpm.MacVal&lt;&gt;"",_xlpm.MacVal,_xlpm.CSVVal&lt;&gt;"",_xlpm.CSVVal
)),"")</f>
        <v/>
      </c>
      <c r="M409" s="40" t="str" cm="1">
        <f t="array" ref="M409">IFERROR(_xlfn.LET(
_xlpm.CSVVal,_xlfn.XLOOKUP($A409,CSV!$A:$A,CSV!Q:Q,""),
_xlpm.MacVal,_xlfn.XLOOKUP($A409,Output_Mac!$A:$A,Output_Mac!M:M,""),
_xlpm.MyAuditVal,_xlfn.XLOOKUP($A409,My_Audit!$A:$A,My_Audit!L:L,""),
_xlfn.IFS(_xlpm.MyAuditVal&lt;&gt;"",UPPER(_xlpm.MyAuditVal),_xlpm.MacVal&lt;&gt;"",_xlpm.MacVal,_xlpm.CSVVal&lt;&gt;"",_xlpm.CSVVal
)),"")</f>
        <v/>
      </c>
      <c r="N409" s="40"/>
      <c r="O409" s="40" t="str">
        <f>_xlfn.LET(
    _xlpm.CSVVal, _xlfn.XLOOKUP($A409, CSV!$A:$A, CSV!AA:AA, ""),
    _xlpm.MacVal, _xlfn.XLOOKUP($A409, Output_Mac!$A:$A, Output_Mac!S:S, ""),
    _xlpm.MyAuditVal, _xlfn.XLOOKUP($A409, My_Audit!$A:$A, My_Audit!P:P, ""),
    _xlfn.TEXTJOIN(", ", TRUE, _xlpm.MyAuditVal, _xlpm.MacVal, _xlpm.CSVVal)
)</f>
        <v/>
      </c>
      <c r="P409" s="40" t="str" cm="1">
        <f t="array" ref="P409">IFERROR(_xlfn.LET(
_xlpm.CSVVal,_xlfn.XLOOKUP($A409,CSV!$A:$A,CSV!AB:AB,""),
_xlpm.MacVal,_xlfn.XLOOKUP($A409,Output_Mac!$A:$A,Output_Mac!T:T,""),
_xlpm.MyAuditVal,_xlfn.XLOOKUP($A409,My_Audit!$A:$A,My_Audit!Q:Q,""),
_xlfn.IFS(_xlpm.MyAuditVal&lt;&gt;"",UPPER(_xlpm.MyAuditVal),_xlpm.MacVal&lt;&gt;"",_xlpm.MacVal,_xlpm.CSVVal&lt;&gt;"",_xlpm.CSVVal
)),"No")</f>
        <v>No</v>
      </c>
      <c r="Q409" s="40" t="str" cm="1">
        <f t="array" ref="Q409">IFERROR(_xlfn.LET(
_xlpm.CSVVal,_xlfn.XLOOKUP($A409,CSV!$A:$A,CSV!AC:AC,""),
_xlpm.MacVal,_xlfn.XLOOKUP($A409,Output_Mac!$A:$A,Output_Mac!U:U,""),
_xlpm.MyAuditVal,_xlfn.XLOOKUP($A409,My_Audit!$A:$A,My_Audit!R:R,""),
_xlfn.IFS(_xlpm.MyAuditVal&lt;&gt;"",UPPER(_xlpm.MyAuditVal),_xlpm.MacVal&lt;&gt;"",_xlpm.MacVal,_xlpm.CSVVal&lt;&gt;"",_xlpm.CSVVal
)),"")</f>
        <v/>
      </c>
      <c r="R409" s="40"/>
      <c r="S409" s="40"/>
      <c r="T409" s="40"/>
      <c r="U409" s="40"/>
      <c r="V409" s="40"/>
      <c r="W409" s="40"/>
      <c r="X409" s="41" t="str">
        <f>_xlfn.LET(
    _xlpm.MacVal, _xlfn.XLOOKUP($A409, Output_Mac!$A:$A, Output_Mac!AB:AB, ""),
    _xlpm.MyAuditVal, _xlfn.XLOOKUP($A409, My_Audit!$A:$A, My_Audit!N:N, ""),
    _xlfn.TEXTJOIN(", ", TRUE, _xlpm.MyAuditVal, _xlpm.MacVal)
)</f>
        <v/>
      </c>
    </row>
    <row r="410" spans="1:24">
      <c r="A410" s="40" t="str">
        <f>_xlfn.TEXTJOIN("",TRUE,Input!$B$2,ROW(My_Audit!A409))</f>
        <v>X409</v>
      </c>
      <c r="B410" s="40" t="str">
        <f>_xlfn.TEXTJOIN("-",TRUE,"ITD",Input!$A$2,A410)</f>
        <v>ITD-X409</v>
      </c>
      <c r="C410" s="40" t="str" cm="1">
        <f t="array" ref="C410">IFERROR(_xlfn.LET(
_xlpm.CSVVal,_xlfn.XLOOKUP($A410,CSV!$A:$A,CSV!B:B,""),
_xlpm.MacVal,_xlfn.XLOOKUP($A410,Output_Mac!$A:$A,Output_Mac!B:B,""),
_xlpm.MyAuditVal,_xlfn.XLOOKUP($A410,My_Audit!$A:$A,My_Audit!B:B,""),
_xlfn.IFS(_xlpm.MyAuditVal&lt;&gt;"",UPPER(_xlpm.MyAuditVal),_xlpm.MacVal&lt;&gt;"",_xlpm.MacVal,_xlpm.CSVVal&lt;&gt;"",_xlpm.CSVVal
)),"")</f>
        <v/>
      </c>
      <c r="D410" s="40" t="str" cm="1">
        <f t="array" ref="D410">IFERROR(_xlfn.LET(
_xlpm.CSVVal,_xlfn.XLOOKUP($A410,CSV!$A:$A,CSV!D:D,""),
_xlpm.MacVal,_xlfn.XLOOKUP($A410,Output_Mac!$A:$A,Output_Mac!C:C,""),
_xlpm.MyAuditVal,_xlfn.XLOOKUP($A410,My_Audit!$A:$A,My_Audit!C:C,""),
_xlfn.IFS(_xlpm.MyAuditVal&lt;&gt;"",_xlpm.MyAuditVal,_xlpm.MacVal&lt;&gt;"",_xlpm.MacVal,_xlpm.CSVVal&lt;&gt;"",_xlpm.CSVVal
)),"")</f>
        <v/>
      </c>
      <c r="E410" s="40">
        <f>_xlfn.XLOOKUP(A410,My_Audit!A:A,My_Audit!D:D,"")</f>
        <v>0</v>
      </c>
      <c r="F410" s="40" t="str" cm="1">
        <f t="array" ref="F410">IFERROR(_xlfn.LET(
_xlpm.CSVVal,_xlfn.XLOOKUP($A410,CSV!$A:$A,CSV!F:F,""),
_xlpm.MacVal,_xlfn.XLOOKUP($A410,Output_Mac!$A:$A,Output_Mac!E:E,""),
_xlpm.MyAuditVal,_xlfn.XLOOKUP($A410,My_Audit!$A:$A,My_Audit!E:E,""),
_xlfn.IFS(_xlpm.MyAuditVal&lt;&gt;"",_xlpm.MyAuditVal,_xlpm.MacVal&lt;&gt;"",_xlpm.MacVal,_xlpm.CSVVal&lt;&gt;"",_xlpm.CSVVal
)),"")</f>
        <v/>
      </c>
      <c r="G410" s="40" t="str" cm="1">
        <f t="array" ref="G410">IFERROR(_xlfn.LET(
_xlpm.CSVVal,_xlfn.XLOOKUP($A410,CSV!$A:$A,CSV!G:G,""),
_xlpm.MacVal,_xlfn.XLOOKUP($A410,Output_Mac!$A:$A,Output_Mac!F:F,""),
_xlpm.MyAuditVal,_xlfn.XLOOKUP($A410,My_Audit!$A:$A,My_Audit!F:F,""),
_xlfn.IFS(_xlpm.MyAuditVal&lt;&gt;"",_xlpm.MyAuditVal,_xlpm.MacVal&lt;&gt;"",_xlpm.MacVal,_xlpm.CSVVal&lt;&gt;"",PROPER(_xlpm.CSVVal)
)),"")</f>
        <v/>
      </c>
      <c r="H410" s="40" t="str" cm="1">
        <f t="array" ref="H410">IFERROR(_xlfn.LET(
_xlpm.CSVVal,_xlfn.XLOOKUP($A410,CSV!$A:$A,CSV!H:H,""),
_xlpm.MacVal,_xlfn.XLOOKUP($A410,Output_Mac!$A:$A,Output_Mac!H:H,""),
_xlpm.MyAuditVal,_xlfn.XLOOKUP($A410,My_Audit!$A:$A,My_Audit!G:G,""),
_xlfn.IFS(_xlpm.MyAuditVal&lt;&gt;"",_xlpm.MyAuditVal,_xlpm.MacVal&lt;&gt;"",_xlpm.MacVal,_xlpm.CSVVal&lt;&gt;"",_xlpm.CSVVal
)),"")</f>
        <v/>
      </c>
      <c r="I410" s="40" t="str">
        <f>_xlfn.XLOOKUP(A410,Output_Mac!A:A,Output_Mac!I:I,"")</f>
        <v/>
      </c>
      <c r="J410" s="40" t="str" cm="1">
        <f t="array" ref="J410">IFERROR(_xlfn.LET(
_xlpm.CSVVal,_xlfn.XLOOKUP($A410,CSV!$A:$A,CSV!I:I,""),
_xlpm.MacVal,_xlfn.XLOOKUP($A410,Output_Mac!$A:$A,Output_Mac!J:J,""),
_xlpm.MyAuditVal,_xlfn.XLOOKUP($A410,My_Audit!$A:$A,My_Audit!I:I,""),
_xlfn.IFS(_xlpm.MyAuditVal&lt;&gt;"",UPPER(_xlpm.MyAuditVal),_xlpm.MacVal&lt;&gt;"",_xlpm.MacVal,_xlpm.CSVVal&lt;&gt;"",_xlpm.CSVVal
)),"")</f>
        <v/>
      </c>
      <c r="K410" s="40" t="str" cm="1">
        <f t="array" ref="K410">IFERROR(_xlfn.LET(
_xlpm.CSVVal,_xlfn.XLOOKUP($A410,CSV!$A:$A,CSV!K:K,""),
_xlpm.MacVal,_xlfn.XLOOKUP($A410,Output_Mac!$A:$A,Output_Mac!K:K,""),
_xlpm.MyAuditVal,_xlfn.XLOOKUP($A410,My_Audit!$A:$A,My_Audit!J:J,""),
_xlfn.IFS(_xlpm.MyAuditVal&lt;&gt;"",UPPER(_xlpm.MyAuditVal),_xlpm.MacVal&lt;&gt;"",_xlpm.MacVal,_xlpm.CSVVal&lt;&gt;"",_xlpm.CSVVal
)),"")</f>
        <v/>
      </c>
      <c r="L410" s="40" t="str" cm="1">
        <f t="array" ref="L410">IFERROR(_xlfn.LET(
_xlpm.CSVVal,_xlfn.XLOOKUP($A410,CSV!$A:$A,CSV!P:P,""),
_xlpm.MacVal,_xlfn.XLOOKUP($A410,Output_Mac!$A:$A,Output_Mac!L:L,""),
_xlpm.MyAuditVal,_xlfn.XLOOKUP($A410,My_Audit!$A:$A,My_Audit!K:K,""),
_xlfn.IFS(_xlpm.MyAuditVal&lt;&gt;"",UPPER(_xlpm.MyAuditVal),_xlpm.MacVal&lt;&gt;"",_xlpm.MacVal,_xlpm.CSVVal&lt;&gt;"",_xlpm.CSVVal
)),"")</f>
        <v/>
      </c>
      <c r="M410" s="40" t="str" cm="1">
        <f t="array" ref="M410">IFERROR(_xlfn.LET(
_xlpm.CSVVal,_xlfn.XLOOKUP($A410,CSV!$A:$A,CSV!Q:Q,""),
_xlpm.MacVal,_xlfn.XLOOKUP($A410,Output_Mac!$A:$A,Output_Mac!M:M,""),
_xlpm.MyAuditVal,_xlfn.XLOOKUP($A410,My_Audit!$A:$A,My_Audit!L:L,""),
_xlfn.IFS(_xlpm.MyAuditVal&lt;&gt;"",UPPER(_xlpm.MyAuditVal),_xlpm.MacVal&lt;&gt;"",_xlpm.MacVal,_xlpm.CSVVal&lt;&gt;"",_xlpm.CSVVal
)),"")</f>
        <v/>
      </c>
      <c r="N410" s="40"/>
      <c r="O410" s="40" t="str">
        <f>_xlfn.LET(
    _xlpm.CSVVal, _xlfn.XLOOKUP($A410, CSV!$A:$A, CSV!AA:AA, ""),
    _xlpm.MacVal, _xlfn.XLOOKUP($A410, Output_Mac!$A:$A, Output_Mac!S:S, ""),
    _xlpm.MyAuditVal, _xlfn.XLOOKUP($A410, My_Audit!$A:$A, My_Audit!P:P, ""),
    _xlfn.TEXTJOIN(", ", TRUE, _xlpm.MyAuditVal, _xlpm.MacVal, _xlpm.CSVVal)
)</f>
        <v/>
      </c>
      <c r="P410" s="40" t="str" cm="1">
        <f t="array" ref="P410">IFERROR(_xlfn.LET(
_xlpm.CSVVal,_xlfn.XLOOKUP($A410,CSV!$A:$A,CSV!AB:AB,""),
_xlpm.MacVal,_xlfn.XLOOKUP($A410,Output_Mac!$A:$A,Output_Mac!T:T,""),
_xlpm.MyAuditVal,_xlfn.XLOOKUP($A410,My_Audit!$A:$A,My_Audit!Q:Q,""),
_xlfn.IFS(_xlpm.MyAuditVal&lt;&gt;"",UPPER(_xlpm.MyAuditVal),_xlpm.MacVal&lt;&gt;"",_xlpm.MacVal,_xlpm.CSVVal&lt;&gt;"",_xlpm.CSVVal
)),"No")</f>
        <v>No</v>
      </c>
      <c r="Q410" s="40" t="str" cm="1">
        <f t="array" ref="Q410">IFERROR(_xlfn.LET(
_xlpm.CSVVal,_xlfn.XLOOKUP($A410,CSV!$A:$A,CSV!AC:AC,""),
_xlpm.MacVal,_xlfn.XLOOKUP($A410,Output_Mac!$A:$A,Output_Mac!U:U,""),
_xlpm.MyAuditVal,_xlfn.XLOOKUP($A410,My_Audit!$A:$A,My_Audit!R:R,""),
_xlfn.IFS(_xlpm.MyAuditVal&lt;&gt;"",UPPER(_xlpm.MyAuditVal),_xlpm.MacVal&lt;&gt;"",_xlpm.MacVal,_xlpm.CSVVal&lt;&gt;"",_xlpm.CSVVal
)),"")</f>
        <v/>
      </c>
      <c r="R410" s="40"/>
      <c r="S410" s="40"/>
      <c r="T410" s="40"/>
      <c r="U410" s="40"/>
      <c r="V410" s="40"/>
      <c r="W410" s="40"/>
      <c r="X410" s="41" t="str">
        <f>_xlfn.LET(
    _xlpm.MacVal, _xlfn.XLOOKUP($A410, Output_Mac!$A:$A, Output_Mac!AB:AB, ""),
    _xlpm.MyAuditVal, _xlfn.XLOOKUP($A410, My_Audit!$A:$A, My_Audit!N:N, ""),
    _xlfn.TEXTJOIN(", ", TRUE, _xlpm.MyAuditVal, _xlpm.MacVal)
)</f>
        <v/>
      </c>
    </row>
    <row r="411" spans="1:24">
      <c r="A411" s="40" t="str">
        <f>_xlfn.TEXTJOIN("",TRUE,Input!$B$2,ROW(My_Audit!A410))</f>
        <v>X410</v>
      </c>
      <c r="B411" s="40" t="str">
        <f>_xlfn.TEXTJOIN("-",TRUE,"ITD",Input!$A$2,A411)</f>
        <v>ITD-X410</v>
      </c>
      <c r="C411" s="40" t="str" cm="1">
        <f t="array" ref="C411">IFERROR(_xlfn.LET(
_xlpm.CSVVal,_xlfn.XLOOKUP($A411,CSV!$A:$A,CSV!B:B,""),
_xlpm.MacVal,_xlfn.XLOOKUP($A411,Output_Mac!$A:$A,Output_Mac!B:B,""),
_xlpm.MyAuditVal,_xlfn.XLOOKUP($A411,My_Audit!$A:$A,My_Audit!B:B,""),
_xlfn.IFS(_xlpm.MyAuditVal&lt;&gt;"",UPPER(_xlpm.MyAuditVal),_xlpm.MacVal&lt;&gt;"",_xlpm.MacVal,_xlpm.CSVVal&lt;&gt;"",_xlpm.CSVVal
)),"")</f>
        <v/>
      </c>
      <c r="D411" s="40" t="str" cm="1">
        <f t="array" ref="D411">IFERROR(_xlfn.LET(
_xlpm.CSVVal,_xlfn.XLOOKUP($A411,CSV!$A:$A,CSV!D:D,""),
_xlpm.MacVal,_xlfn.XLOOKUP($A411,Output_Mac!$A:$A,Output_Mac!C:C,""),
_xlpm.MyAuditVal,_xlfn.XLOOKUP($A411,My_Audit!$A:$A,My_Audit!C:C,""),
_xlfn.IFS(_xlpm.MyAuditVal&lt;&gt;"",_xlpm.MyAuditVal,_xlpm.MacVal&lt;&gt;"",_xlpm.MacVal,_xlpm.CSVVal&lt;&gt;"",_xlpm.CSVVal
)),"")</f>
        <v/>
      </c>
      <c r="E411" s="40">
        <f>_xlfn.XLOOKUP(A411,My_Audit!A:A,My_Audit!D:D,"")</f>
        <v>0</v>
      </c>
      <c r="F411" s="40" t="str" cm="1">
        <f t="array" ref="F411">IFERROR(_xlfn.LET(
_xlpm.CSVVal,_xlfn.XLOOKUP($A411,CSV!$A:$A,CSV!F:F,""),
_xlpm.MacVal,_xlfn.XLOOKUP($A411,Output_Mac!$A:$A,Output_Mac!E:E,""),
_xlpm.MyAuditVal,_xlfn.XLOOKUP($A411,My_Audit!$A:$A,My_Audit!E:E,""),
_xlfn.IFS(_xlpm.MyAuditVal&lt;&gt;"",_xlpm.MyAuditVal,_xlpm.MacVal&lt;&gt;"",_xlpm.MacVal,_xlpm.CSVVal&lt;&gt;"",_xlpm.CSVVal
)),"")</f>
        <v/>
      </c>
      <c r="G411" s="40" t="str" cm="1">
        <f t="array" ref="G411">IFERROR(_xlfn.LET(
_xlpm.CSVVal,_xlfn.XLOOKUP($A411,CSV!$A:$A,CSV!G:G,""),
_xlpm.MacVal,_xlfn.XLOOKUP($A411,Output_Mac!$A:$A,Output_Mac!F:F,""),
_xlpm.MyAuditVal,_xlfn.XLOOKUP($A411,My_Audit!$A:$A,My_Audit!F:F,""),
_xlfn.IFS(_xlpm.MyAuditVal&lt;&gt;"",_xlpm.MyAuditVal,_xlpm.MacVal&lt;&gt;"",_xlpm.MacVal,_xlpm.CSVVal&lt;&gt;"",PROPER(_xlpm.CSVVal)
)),"")</f>
        <v/>
      </c>
      <c r="H411" s="40" t="str" cm="1">
        <f t="array" ref="H411">IFERROR(_xlfn.LET(
_xlpm.CSVVal,_xlfn.XLOOKUP($A411,CSV!$A:$A,CSV!H:H,""),
_xlpm.MacVal,_xlfn.XLOOKUP($A411,Output_Mac!$A:$A,Output_Mac!H:H,""),
_xlpm.MyAuditVal,_xlfn.XLOOKUP($A411,My_Audit!$A:$A,My_Audit!G:G,""),
_xlfn.IFS(_xlpm.MyAuditVal&lt;&gt;"",_xlpm.MyAuditVal,_xlpm.MacVal&lt;&gt;"",_xlpm.MacVal,_xlpm.CSVVal&lt;&gt;"",_xlpm.CSVVal
)),"")</f>
        <v/>
      </c>
      <c r="I411" s="40" t="str">
        <f>_xlfn.XLOOKUP(A411,Output_Mac!A:A,Output_Mac!I:I,"")</f>
        <v/>
      </c>
      <c r="J411" s="40" t="str" cm="1">
        <f t="array" ref="J411">IFERROR(_xlfn.LET(
_xlpm.CSVVal,_xlfn.XLOOKUP($A411,CSV!$A:$A,CSV!I:I,""),
_xlpm.MacVal,_xlfn.XLOOKUP($A411,Output_Mac!$A:$A,Output_Mac!J:J,""),
_xlpm.MyAuditVal,_xlfn.XLOOKUP($A411,My_Audit!$A:$A,My_Audit!I:I,""),
_xlfn.IFS(_xlpm.MyAuditVal&lt;&gt;"",UPPER(_xlpm.MyAuditVal),_xlpm.MacVal&lt;&gt;"",_xlpm.MacVal,_xlpm.CSVVal&lt;&gt;"",_xlpm.CSVVal
)),"")</f>
        <v/>
      </c>
      <c r="K411" s="40" t="str" cm="1">
        <f t="array" ref="K411">IFERROR(_xlfn.LET(
_xlpm.CSVVal,_xlfn.XLOOKUP($A411,CSV!$A:$A,CSV!K:K,""),
_xlpm.MacVal,_xlfn.XLOOKUP($A411,Output_Mac!$A:$A,Output_Mac!K:K,""),
_xlpm.MyAuditVal,_xlfn.XLOOKUP($A411,My_Audit!$A:$A,My_Audit!J:J,""),
_xlfn.IFS(_xlpm.MyAuditVal&lt;&gt;"",UPPER(_xlpm.MyAuditVal),_xlpm.MacVal&lt;&gt;"",_xlpm.MacVal,_xlpm.CSVVal&lt;&gt;"",_xlpm.CSVVal
)),"")</f>
        <v/>
      </c>
      <c r="L411" s="40" t="str" cm="1">
        <f t="array" ref="L411">IFERROR(_xlfn.LET(
_xlpm.CSVVal,_xlfn.XLOOKUP($A411,CSV!$A:$A,CSV!P:P,""),
_xlpm.MacVal,_xlfn.XLOOKUP($A411,Output_Mac!$A:$A,Output_Mac!L:L,""),
_xlpm.MyAuditVal,_xlfn.XLOOKUP($A411,My_Audit!$A:$A,My_Audit!K:K,""),
_xlfn.IFS(_xlpm.MyAuditVal&lt;&gt;"",UPPER(_xlpm.MyAuditVal),_xlpm.MacVal&lt;&gt;"",_xlpm.MacVal,_xlpm.CSVVal&lt;&gt;"",_xlpm.CSVVal
)),"")</f>
        <v/>
      </c>
      <c r="M411" s="40" t="str" cm="1">
        <f t="array" ref="M411">IFERROR(_xlfn.LET(
_xlpm.CSVVal,_xlfn.XLOOKUP($A411,CSV!$A:$A,CSV!Q:Q,""),
_xlpm.MacVal,_xlfn.XLOOKUP($A411,Output_Mac!$A:$A,Output_Mac!M:M,""),
_xlpm.MyAuditVal,_xlfn.XLOOKUP($A411,My_Audit!$A:$A,My_Audit!L:L,""),
_xlfn.IFS(_xlpm.MyAuditVal&lt;&gt;"",UPPER(_xlpm.MyAuditVal),_xlpm.MacVal&lt;&gt;"",_xlpm.MacVal,_xlpm.CSVVal&lt;&gt;"",_xlpm.CSVVal
)),"")</f>
        <v/>
      </c>
      <c r="N411" s="40"/>
      <c r="O411" s="40" t="str">
        <f>_xlfn.LET(
    _xlpm.CSVVal, _xlfn.XLOOKUP($A411, CSV!$A:$A, CSV!AA:AA, ""),
    _xlpm.MacVal, _xlfn.XLOOKUP($A411, Output_Mac!$A:$A, Output_Mac!S:S, ""),
    _xlpm.MyAuditVal, _xlfn.XLOOKUP($A411, My_Audit!$A:$A, My_Audit!P:P, ""),
    _xlfn.TEXTJOIN(", ", TRUE, _xlpm.MyAuditVal, _xlpm.MacVal, _xlpm.CSVVal)
)</f>
        <v/>
      </c>
      <c r="P411" s="40" t="str" cm="1">
        <f t="array" ref="P411">IFERROR(_xlfn.LET(
_xlpm.CSVVal,_xlfn.XLOOKUP($A411,CSV!$A:$A,CSV!AB:AB,""),
_xlpm.MacVal,_xlfn.XLOOKUP($A411,Output_Mac!$A:$A,Output_Mac!T:T,""),
_xlpm.MyAuditVal,_xlfn.XLOOKUP($A411,My_Audit!$A:$A,My_Audit!Q:Q,""),
_xlfn.IFS(_xlpm.MyAuditVal&lt;&gt;"",UPPER(_xlpm.MyAuditVal),_xlpm.MacVal&lt;&gt;"",_xlpm.MacVal,_xlpm.CSVVal&lt;&gt;"",_xlpm.CSVVal
)),"No")</f>
        <v>No</v>
      </c>
      <c r="Q411" s="40" t="str" cm="1">
        <f t="array" ref="Q411">IFERROR(_xlfn.LET(
_xlpm.CSVVal,_xlfn.XLOOKUP($A411,CSV!$A:$A,CSV!AC:AC,""),
_xlpm.MacVal,_xlfn.XLOOKUP($A411,Output_Mac!$A:$A,Output_Mac!U:U,""),
_xlpm.MyAuditVal,_xlfn.XLOOKUP($A411,My_Audit!$A:$A,My_Audit!R:R,""),
_xlfn.IFS(_xlpm.MyAuditVal&lt;&gt;"",UPPER(_xlpm.MyAuditVal),_xlpm.MacVal&lt;&gt;"",_xlpm.MacVal,_xlpm.CSVVal&lt;&gt;"",_xlpm.CSVVal
)),"")</f>
        <v/>
      </c>
      <c r="R411" s="40"/>
      <c r="S411" s="40"/>
      <c r="T411" s="40"/>
      <c r="U411" s="40"/>
      <c r="V411" s="40"/>
      <c r="W411" s="40"/>
      <c r="X411" s="41" t="str">
        <f>_xlfn.LET(
    _xlpm.MacVal, _xlfn.XLOOKUP($A411, Output_Mac!$A:$A, Output_Mac!AB:AB, ""),
    _xlpm.MyAuditVal, _xlfn.XLOOKUP($A411, My_Audit!$A:$A, My_Audit!N:N, ""),
    _xlfn.TEXTJOIN(", ", TRUE, _xlpm.MyAuditVal, _xlpm.MacVal)
)</f>
        <v/>
      </c>
    </row>
    <row r="412" spans="1:24">
      <c r="A412" s="40" t="str">
        <f>_xlfn.TEXTJOIN("",TRUE,Input!$B$2,ROW(My_Audit!A411))</f>
        <v>X411</v>
      </c>
      <c r="B412" s="40" t="str">
        <f>_xlfn.TEXTJOIN("-",TRUE,"ITD",Input!$A$2,A412)</f>
        <v>ITD-X411</v>
      </c>
      <c r="C412" s="40" t="str" cm="1">
        <f t="array" ref="C412">IFERROR(_xlfn.LET(
_xlpm.CSVVal,_xlfn.XLOOKUP($A412,CSV!$A:$A,CSV!B:B,""),
_xlpm.MacVal,_xlfn.XLOOKUP($A412,Output_Mac!$A:$A,Output_Mac!B:B,""),
_xlpm.MyAuditVal,_xlfn.XLOOKUP($A412,My_Audit!$A:$A,My_Audit!B:B,""),
_xlfn.IFS(_xlpm.MyAuditVal&lt;&gt;"",UPPER(_xlpm.MyAuditVal),_xlpm.MacVal&lt;&gt;"",_xlpm.MacVal,_xlpm.CSVVal&lt;&gt;"",_xlpm.CSVVal
)),"")</f>
        <v/>
      </c>
      <c r="D412" s="40" t="str" cm="1">
        <f t="array" ref="D412">IFERROR(_xlfn.LET(
_xlpm.CSVVal,_xlfn.XLOOKUP($A412,CSV!$A:$A,CSV!D:D,""),
_xlpm.MacVal,_xlfn.XLOOKUP($A412,Output_Mac!$A:$A,Output_Mac!C:C,""),
_xlpm.MyAuditVal,_xlfn.XLOOKUP($A412,My_Audit!$A:$A,My_Audit!C:C,""),
_xlfn.IFS(_xlpm.MyAuditVal&lt;&gt;"",_xlpm.MyAuditVal,_xlpm.MacVal&lt;&gt;"",_xlpm.MacVal,_xlpm.CSVVal&lt;&gt;"",_xlpm.CSVVal
)),"")</f>
        <v/>
      </c>
      <c r="E412" s="40">
        <f>_xlfn.XLOOKUP(A412,My_Audit!A:A,My_Audit!D:D,"")</f>
        <v>0</v>
      </c>
      <c r="F412" s="40" t="str" cm="1">
        <f t="array" ref="F412">IFERROR(_xlfn.LET(
_xlpm.CSVVal,_xlfn.XLOOKUP($A412,CSV!$A:$A,CSV!F:F,""),
_xlpm.MacVal,_xlfn.XLOOKUP($A412,Output_Mac!$A:$A,Output_Mac!E:E,""),
_xlpm.MyAuditVal,_xlfn.XLOOKUP($A412,My_Audit!$A:$A,My_Audit!E:E,""),
_xlfn.IFS(_xlpm.MyAuditVal&lt;&gt;"",_xlpm.MyAuditVal,_xlpm.MacVal&lt;&gt;"",_xlpm.MacVal,_xlpm.CSVVal&lt;&gt;"",_xlpm.CSVVal
)),"")</f>
        <v/>
      </c>
      <c r="G412" s="40" t="str" cm="1">
        <f t="array" ref="G412">IFERROR(_xlfn.LET(
_xlpm.CSVVal,_xlfn.XLOOKUP($A412,CSV!$A:$A,CSV!G:G,""),
_xlpm.MacVal,_xlfn.XLOOKUP($A412,Output_Mac!$A:$A,Output_Mac!F:F,""),
_xlpm.MyAuditVal,_xlfn.XLOOKUP($A412,My_Audit!$A:$A,My_Audit!F:F,""),
_xlfn.IFS(_xlpm.MyAuditVal&lt;&gt;"",_xlpm.MyAuditVal,_xlpm.MacVal&lt;&gt;"",_xlpm.MacVal,_xlpm.CSVVal&lt;&gt;"",PROPER(_xlpm.CSVVal)
)),"")</f>
        <v/>
      </c>
      <c r="H412" s="40" t="str" cm="1">
        <f t="array" ref="H412">IFERROR(_xlfn.LET(
_xlpm.CSVVal,_xlfn.XLOOKUP($A412,CSV!$A:$A,CSV!H:H,""),
_xlpm.MacVal,_xlfn.XLOOKUP($A412,Output_Mac!$A:$A,Output_Mac!H:H,""),
_xlpm.MyAuditVal,_xlfn.XLOOKUP($A412,My_Audit!$A:$A,My_Audit!G:G,""),
_xlfn.IFS(_xlpm.MyAuditVal&lt;&gt;"",_xlpm.MyAuditVal,_xlpm.MacVal&lt;&gt;"",_xlpm.MacVal,_xlpm.CSVVal&lt;&gt;"",_xlpm.CSVVal
)),"")</f>
        <v/>
      </c>
      <c r="I412" s="40" t="str">
        <f>_xlfn.XLOOKUP(A412,Output_Mac!A:A,Output_Mac!I:I,"")</f>
        <v/>
      </c>
      <c r="J412" s="40" t="str" cm="1">
        <f t="array" ref="J412">IFERROR(_xlfn.LET(
_xlpm.CSVVal,_xlfn.XLOOKUP($A412,CSV!$A:$A,CSV!I:I,""),
_xlpm.MacVal,_xlfn.XLOOKUP($A412,Output_Mac!$A:$A,Output_Mac!J:J,""),
_xlpm.MyAuditVal,_xlfn.XLOOKUP($A412,My_Audit!$A:$A,My_Audit!I:I,""),
_xlfn.IFS(_xlpm.MyAuditVal&lt;&gt;"",UPPER(_xlpm.MyAuditVal),_xlpm.MacVal&lt;&gt;"",_xlpm.MacVal,_xlpm.CSVVal&lt;&gt;"",_xlpm.CSVVal
)),"")</f>
        <v/>
      </c>
      <c r="K412" s="40" t="str" cm="1">
        <f t="array" ref="K412">IFERROR(_xlfn.LET(
_xlpm.CSVVal,_xlfn.XLOOKUP($A412,CSV!$A:$A,CSV!K:K,""),
_xlpm.MacVal,_xlfn.XLOOKUP($A412,Output_Mac!$A:$A,Output_Mac!K:K,""),
_xlpm.MyAuditVal,_xlfn.XLOOKUP($A412,My_Audit!$A:$A,My_Audit!J:J,""),
_xlfn.IFS(_xlpm.MyAuditVal&lt;&gt;"",UPPER(_xlpm.MyAuditVal),_xlpm.MacVal&lt;&gt;"",_xlpm.MacVal,_xlpm.CSVVal&lt;&gt;"",_xlpm.CSVVal
)),"")</f>
        <v/>
      </c>
      <c r="L412" s="40" t="str" cm="1">
        <f t="array" ref="L412">IFERROR(_xlfn.LET(
_xlpm.CSVVal,_xlfn.XLOOKUP($A412,CSV!$A:$A,CSV!P:P,""),
_xlpm.MacVal,_xlfn.XLOOKUP($A412,Output_Mac!$A:$A,Output_Mac!L:L,""),
_xlpm.MyAuditVal,_xlfn.XLOOKUP($A412,My_Audit!$A:$A,My_Audit!K:K,""),
_xlfn.IFS(_xlpm.MyAuditVal&lt;&gt;"",UPPER(_xlpm.MyAuditVal),_xlpm.MacVal&lt;&gt;"",_xlpm.MacVal,_xlpm.CSVVal&lt;&gt;"",_xlpm.CSVVal
)),"")</f>
        <v/>
      </c>
      <c r="M412" s="40" t="str" cm="1">
        <f t="array" ref="M412">IFERROR(_xlfn.LET(
_xlpm.CSVVal,_xlfn.XLOOKUP($A412,CSV!$A:$A,CSV!Q:Q,""),
_xlpm.MacVal,_xlfn.XLOOKUP($A412,Output_Mac!$A:$A,Output_Mac!M:M,""),
_xlpm.MyAuditVal,_xlfn.XLOOKUP($A412,My_Audit!$A:$A,My_Audit!L:L,""),
_xlfn.IFS(_xlpm.MyAuditVal&lt;&gt;"",UPPER(_xlpm.MyAuditVal),_xlpm.MacVal&lt;&gt;"",_xlpm.MacVal,_xlpm.CSVVal&lt;&gt;"",_xlpm.CSVVal
)),"")</f>
        <v/>
      </c>
      <c r="N412" s="40"/>
      <c r="O412" s="40" t="str">
        <f>_xlfn.LET(
    _xlpm.CSVVal, _xlfn.XLOOKUP($A412, CSV!$A:$A, CSV!AA:AA, ""),
    _xlpm.MacVal, _xlfn.XLOOKUP($A412, Output_Mac!$A:$A, Output_Mac!S:S, ""),
    _xlpm.MyAuditVal, _xlfn.XLOOKUP($A412, My_Audit!$A:$A, My_Audit!P:P, ""),
    _xlfn.TEXTJOIN(", ", TRUE, _xlpm.MyAuditVal, _xlpm.MacVal, _xlpm.CSVVal)
)</f>
        <v/>
      </c>
      <c r="P412" s="40" t="str" cm="1">
        <f t="array" ref="P412">IFERROR(_xlfn.LET(
_xlpm.CSVVal,_xlfn.XLOOKUP($A412,CSV!$A:$A,CSV!AB:AB,""),
_xlpm.MacVal,_xlfn.XLOOKUP($A412,Output_Mac!$A:$A,Output_Mac!T:T,""),
_xlpm.MyAuditVal,_xlfn.XLOOKUP($A412,My_Audit!$A:$A,My_Audit!Q:Q,""),
_xlfn.IFS(_xlpm.MyAuditVal&lt;&gt;"",UPPER(_xlpm.MyAuditVal),_xlpm.MacVal&lt;&gt;"",_xlpm.MacVal,_xlpm.CSVVal&lt;&gt;"",_xlpm.CSVVal
)),"No")</f>
        <v>No</v>
      </c>
      <c r="Q412" s="40" t="str" cm="1">
        <f t="array" ref="Q412">IFERROR(_xlfn.LET(
_xlpm.CSVVal,_xlfn.XLOOKUP($A412,CSV!$A:$A,CSV!AC:AC,""),
_xlpm.MacVal,_xlfn.XLOOKUP($A412,Output_Mac!$A:$A,Output_Mac!U:U,""),
_xlpm.MyAuditVal,_xlfn.XLOOKUP($A412,My_Audit!$A:$A,My_Audit!R:R,""),
_xlfn.IFS(_xlpm.MyAuditVal&lt;&gt;"",UPPER(_xlpm.MyAuditVal),_xlpm.MacVal&lt;&gt;"",_xlpm.MacVal,_xlpm.CSVVal&lt;&gt;"",_xlpm.CSVVal
)),"")</f>
        <v/>
      </c>
      <c r="R412" s="40"/>
      <c r="S412" s="40"/>
      <c r="T412" s="40"/>
      <c r="U412" s="40"/>
      <c r="V412" s="40"/>
      <c r="W412" s="40"/>
      <c r="X412" s="41" t="str">
        <f>_xlfn.LET(
    _xlpm.MacVal, _xlfn.XLOOKUP($A412, Output_Mac!$A:$A, Output_Mac!AB:AB, ""),
    _xlpm.MyAuditVal, _xlfn.XLOOKUP($A412, My_Audit!$A:$A, My_Audit!N:N, ""),
    _xlfn.TEXTJOIN(", ", TRUE, _xlpm.MyAuditVal, _xlpm.MacVal)
)</f>
        <v/>
      </c>
    </row>
    <row r="413" spans="1:24">
      <c r="A413" s="40" t="str">
        <f>_xlfn.TEXTJOIN("",TRUE,Input!$B$2,ROW(My_Audit!A412))</f>
        <v>X412</v>
      </c>
      <c r="B413" s="40" t="str">
        <f>_xlfn.TEXTJOIN("-",TRUE,"ITD",Input!$A$2,A413)</f>
        <v>ITD-X412</v>
      </c>
      <c r="C413" s="40" t="str" cm="1">
        <f t="array" ref="C413">IFERROR(_xlfn.LET(
_xlpm.CSVVal,_xlfn.XLOOKUP($A413,CSV!$A:$A,CSV!B:B,""),
_xlpm.MacVal,_xlfn.XLOOKUP($A413,Output_Mac!$A:$A,Output_Mac!B:B,""),
_xlpm.MyAuditVal,_xlfn.XLOOKUP($A413,My_Audit!$A:$A,My_Audit!B:B,""),
_xlfn.IFS(_xlpm.MyAuditVal&lt;&gt;"",UPPER(_xlpm.MyAuditVal),_xlpm.MacVal&lt;&gt;"",_xlpm.MacVal,_xlpm.CSVVal&lt;&gt;"",_xlpm.CSVVal
)),"")</f>
        <v/>
      </c>
      <c r="D413" s="40" t="str" cm="1">
        <f t="array" ref="D413">IFERROR(_xlfn.LET(
_xlpm.CSVVal,_xlfn.XLOOKUP($A413,CSV!$A:$A,CSV!D:D,""),
_xlpm.MacVal,_xlfn.XLOOKUP($A413,Output_Mac!$A:$A,Output_Mac!C:C,""),
_xlpm.MyAuditVal,_xlfn.XLOOKUP($A413,My_Audit!$A:$A,My_Audit!C:C,""),
_xlfn.IFS(_xlpm.MyAuditVal&lt;&gt;"",_xlpm.MyAuditVal,_xlpm.MacVal&lt;&gt;"",_xlpm.MacVal,_xlpm.CSVVal&lt;&gt;"",_xlpm.CSVVal
)),"")</f>
        <v/>
      </c>
      <c r="E413" s="40">
        <f>_xlfn.XLOOKUP(A413,My_Audit!A:A,My_Audit!D:D,"")</f>
        <v>0</v>
      </c>
      <c r="F413" s="40" t="str" cm="1">
        <f t="array" ref="F413">IFERROR(_xlfn.LET(
_xlpm.CSVVal,_xlfn.XLOOKUP($A413,CSV!$A:$A,CSV!F:F,""),
_xlpm.MacVal,_xlfn.XLOOKUP($A413,Output_Mac!$A:$A,Output_Mac!E:E,""),
_xlpm.MyAuditVal,_xlfn.XLOOKUP($A413,My_Audit!$A:$A,My_Audit!E:E,""),
_xlfn.IFS(_xlpm.MyAuditVal&lt;&gt;"",_xlpm.MyAuditVal,_xlpm.MacVal&lt;&gt;"",_xlpm.MacVal,_xlpm.CSVVal&lt;&gt;"",_xlpm.CSVVal
)),"")</f>
        <v/>
      </c>
      <c r="G413" s="40" t="str" cm="1">
        <f t="array" ref="G413">IFERROR(_xlfn.LET(
_xlpm.CSVVal,_xlfn.XLOOKUP($A413,CSV!$A:$A,CSV!G:G,""),
_xlpm.MacVal,_xlfn.XLOOKUP($A413,Output_Mac!$A:$A,Output_Mac!F:F,""),
_xlpm.MyAuditVal,_xlfn.XLOOKUP($A413,My_Audit!$A:$A,My_Audit!F:F,""),
_xlfn.IFS(_xlpm.MyAuditVal&lt;&gt;"",_xlpm.MyAuditVal,_xlpm.MacVal&lt;&gt;"",_xlpm.MacVal,_xlpm.CSVVal&lt;&gt;"",PROPER(_xlpm.CSVVal)
)),"")</f>
        <v/>
      </c>
      <c r="H413" s="40" t="str" cm="1">
        <f t="array" ref="H413">IFERROR(_xlfn.LET(
_xlpm.CSVVal,_xlfn.XLOOKUP($A413,CSV!$A:$A,CSV!H:H,""),
_xlpm.MacVal,_xlfn.XLOOKUP($A413,Output_Mac!$A:$A,Output_Mac!H:H,""),
_xlpm.MyAuditVal,_xlfn.XLOOKUP($A413,My_Audit!$A:$A,My_Audit!G:G,""),
_xlfn.IFS(_xlpm.MyAuditVal&lt;&gt;"",_xlpm.MyAuditVal,_xlpm.MacVal&lt;&gt;"",_xlpm.MacVal,_xlpm.CSVVal&lt;&gt;"",_xlpm.CSVVal
)),"")</f>
        <v/>
      </c>
      <c r="I413" s="40" t="str">
        <f>_xlfn.XLOOKUP(A413,Output_Mac!A:A,Output_Mac!I:I,"")</f>
        <v/>
      </c>
      <c r="J413" s="40" t="str" cm="1">
        <f t="array" ref="J413">IFERROR(_xlfn.LET(
_xlpm.CSVVal,_xlfn.XLOOKUP($A413,CSV!$A:$A,CSV!I:I,""),
_xlpm.MacVal,_xlfn.XLOOKUP($A413,Output_Mac!$A:$A,Output_Mac!J:J,""),
_xlpm.MyAuditVal,_xlfn.XLOOKUP($A413,My_Audit!$A:$A,My_Audit!I:I,""),
_xlfn.IFS(_xlpm.MyAuditVal&lt;&gt;"",UPPER(_xlpm.MyAuditVal),_xlpm.MacVal&lt;&gt;"",_xlpm.MacVal,_xlpm.CSVVal&lt;&gt;"",_xlpm.CSVVal
)),"")</f>
        <v/>
      </c>
      <c r="K413" s="40" t="str" cm="1">
        <f t="array" ref="K413">IFERROR(_xlfn.LET(
_xlpm.CSVVal,_xlfn.XLOOKUP($A413,CSV!$A:$A,CSV!K:K,""),
_xlpm.MacVal,_xlfn.XLOOKUP($A413,Output_Mac!$A:$A,Output_Mac!K:K,""),
_xlpm.MyAuditVal,_xlfn.XLOOKUP($A413,My_Audit!$A:$A,My_Audit!J:J,""),
_xlfn.IFS(_xlpm.MyAuditVal&lt;&gt;"",UPPER(_xlpm.MyAuditVal),_xlpm.MacVal&lt;&gt;"",_xlpm.MacVal,_xlpm.CSVVal&lt;&gt;"",_xlpm.CSVVal
)),"")</f>
        <v/>
      </c>
      <c r="L413" s="40" t="str" cm="1">
        <f t="array" ref="L413">IFERROR(_xlfn.LET(
_xlpm.CSVVal,_xlfn.XLOOKUP($A413,CSV!$A:$A,CSV!P:P,""),
_xlpm.MacVal,_xlfn.XLOOKUP($A413,Output_Mac!$A:$A,Output_Mac!L:L,""),
_xlpm.MyAuditVal,_xlfn.XLOOKUP($A413,My_Audit!$A:$A,My_Audit!K:K,""),
_xlfn.IFS(_xlpm.MyAuditVal&lt;&gt;"",UPPER(_xlpm.MyAuditVal),_xlpm.MacVal&lt;&gt;"",_xlpm.MacVal,_xlpm.CSVVal&lt;&gt;"",_xlpm.CSVVal
)),"")</f>
        <v/>
      </c>
      <c r="M413" s="40" t="str" cm="1">
        <f t="array" ref="M413">IFERROR(_xlfn.LET(
_xlpm.CSVVal,_xlfn.XLOOKUP($A413,CSV!$A:$A,CSV!Q:Q,""),
_xlpm.MacVal,_xlfn.XLOOKUP($A413,Output_Mac!$A:$A,Output_Mac!M:M,""),
_xlpm.MyAuditVal,_xlfn.XLOOKUP($A413,My_Audit!$A:$A,My_Audit!L:L,""),
_xlfn.IFS(_xlpm.MyAuditVal&lt;&gt;"",UPPER(_xlpm.MyAuditVal),_xlpm.MacVal&lt;&gt;"",_xlpm.MacVal,_xlpm.CSVVal&lt;&gt;"",_xlpm.CSVVal
)),"")</f>
        <v/>
      </c>
      <c r="N413" s="40"/>
      <c r="O413" s="40" t="str">
        <f>_xlfn.LET(
    _xlpm.CSVVal, _xlfn.XLOOKUP($A413, CSV!$A:$A, CSV!AA:AA, ""),
    _xlpm.MacVal, _xlfn.XLOOKUP($A413, Output_Mac!$A:$A, Output_Mac!S:S, ""),
    _xlpm.MyAuditVal, _xlfn.XLOOKUP($A413, My_Audit!$A:$A, My_Audit!P:P, ""),
    _xlfn.TEXTJOIN(", ", TRUE, _xlpm.MyAuditVal, _xlpm.MacVal, _xlpm.CSVVal)
)</f>
        <v/>
      </c>
      <c r="P413" s="40" t="str" cm="1">
        <f t="array" ref="P413">IFERROR(_xlfn.LET(
_xlpm.CSVVal,_xlfn.XLOOKUP($A413,CSV!$A:$A,CSV!AB:AB,""),
_xlpm.MacVal,_xlfn.XLOOKUP($A413,Output_Mac!$A:$A,Output_Mac!T:T,""),
_xlpm.MyAuditVal,_xlfn.XLOOKUP($A413,My_Audit!$A:$A,My_Audit!Q:Q,""),
_xlfn.IFS(_xlpm.MyAuditVal&lt;&gt;"",UPPER(_xlpm.MyAuditVal),_xlpm.MacVal&lt;&gt;"",_xlpm.MacVal,_xlpm.CSVVal&lt;&gt;"",_xlpm.CSVVal
)),"No")</f>
        <v>No</v>
      </c>
      <c r="Q413" s="40" t="str" cm="1">
        <f t="array" ref="Q413">IFERROR(_xlfn.LET(
_xlpm.CSVVal,_xlfn.XLOOKUP($A413,CSV!$A:$A,CSV!AC:AC,""),
_xlpm.MacVal,_xlfn.XLOOKUP($A413,Output_Mac!$A:$A,Output_Mac!U:U,""),
_xlpm.MyAuditVal,_xlfn.XLOOKUP($A413,My_Audit!$A:$A,My_Audit!R:R,""),
_xlfn.IFS(_xlpm.MyAuditVal&lt;&gt;"",UPPER(_xlpm.MyAuditVal),_xlpm.MacVal&lt;&gt;"",_xlpm.MacVal,_xlpm.CSVVal&lt;&gt;"",_xlpm.CSVVal
)),"")</f>
        <v/>
      </c>
      <c r="R413" s="40"/>
      <c r="S413" s="40"/>
      <c r="T413" s="40"/>
      <c r="U413" s="40"/>
      <c r="V413" s="40"/>
      <c r="W413" s="40"/>
      <c r="X413" s="41" t="str">
        <f>_xlfn.LET(
    _xlpm.MacVal, _xlfn.XLOOKUP($A413, Output_Mac!$A:$A, Output_Mac!AB:AB, ""),
    _xlpm.MyAuditVal, _xlfn.XLOOKUP($A413, My_Audit!$A:$A, My_Audit!N:N, ""),
    _xlfn.TEXTJOIN(", ", TRUE, _xlpm.MyAuditVal, _xlpm.MacVal)
)</f>
        <v/>
      </c>
    </row>
    <row r="414" spans="1:24">
      <c r="A414" s="40" t="str">
        <f>_xlfn.TEXTJOIN("",TRUE,Input!$B$2,ROW(My_Audit!A413))</f>
        <v>X413</v>
      </c>
      <c r="B414" s="40" t="str">
        <f>_xlfn.TEXTJOIN("-",TRUE,"ITD",Input!$A$2,A414)</f>
        <v>ITD-X413</v>
      </c>
      <c r="C414" s="40" t="str" cm="1">
        <f t="array" ref="C414">IFERROR(_xlfn.LET(
_xlpm.CSVVal,_xlfn.XLOOKUP($A414,CSV!$A:$A,CSV!B:B,""),
_xlpm.MacVal,_xlfn.XLOOKUP($A414,Output_Mac!$A:$A,Output_Mac!B:B,""),
_xlpm.MyAuditVal,_xlfn.XLOOKUP($A414,My_Audit!$A:$A,My_Audit!B:B,""),
_xlfn.IFS(_xlpm.MyAuditVal&lt;&gt;"",UPPER(_xlpm.MyAuditVal),_xlpm.MacVal&lt;&gt;"",_xlpm.MacVal,_xlpm.CSVVal&lt;&gt;"",_xlpm.CSVVal
)),"")</f>
        <v/>
      </c>
      <c r="D414" s="40" t="str" cm="1">
        <f t="array" ref="D414">IFERROR(_xlfn.LET(
_xlpm.CSVVal,_xlfn.XLOOKUP($A414,CSV!$A:$A,CSV!D:D,""),
_xlpm.MacVal,_xlfn.XLOOKUP($A414,Output_Mac!$A:$A,Output_Mac!C:C,""),
_xlpm.MyAuditVal,_xlfn.XLOOKUP($A414,My_Audit!$A:$A,My_Audit!C:C,""),
_xlfn.IFS(_xlpm.MyAuditVal&lt;&gt;"",_xlpm.MyAuditVal,_xlpm.MacVal&lt;&gt;"",_xlpm.MacVal,_xlpm.CSVVal&lt;&gt;"",_xlpm.CSVVal
)),"")</f>
        <v/>
      </c>
      <c r="E414" s="40">
        <f>_xlfn.XLOOKUP(A414,My_Audit!A:A,My_Audit!D:D,"")</f>
        <v>0</v>
      </c>
      <c r="F414" s="40" t="str" cm="1">
        <f t="array" ref="F414">IFERROR(_xlfn.LET(
_xlpm.CSVVal,_xlfn.XLOOKUP($A414,CSV!$A:$A,CSV!F:F,""),
_xlpm.MacVal,_xlfn.XLOOKUP($A414,Output_Mac!$A:$A,Output_Mac!E:E,""),
_xlpm.MyAuditVal,_xlfn.XLOOKUP($A414,My_Audit!$A:$A,My_Audit!E:E,""),
_xlfn.IFS(_xlpm.MyAuditVal&lt;&gt;"",_xlpm.MyAuditVal,_xlpm.MacVal&lt;&gt;"",_xlpm.MacVal,_xlpm.CSVVal&lt;&gt;"",_xlpm.CSVVal
)),"")</f>
        <v/>
      </c>
      <c r="G414" s="40" t="str" cm="1">
        <f t="array" ref="G414">IFERROR(_xlfn.LET(
_xlpm.CSVVal,_xlfn.XLOOKUP($A414,CSV!$A:$A,CSV!G:G,""),
_xlpm.MacVal,_xlfn.XLOOKUP($A414,Output_Mac!$A:$A,Output_Mac!F:F,""),
_xlpm.MyAuditVal,_xlfn.XLOOKUP($A414,My_Audit!$A:$A,My_Audit!F:F,""),
_xlfn.IFS(_xlpm.MyAuditVal&lt;&gt;"",_xlpm.MyAuditVal,_xlpm.MacVal&lt;&gt;"",_xlpm.MacVal,_xlpm.CSVVal&lt;&gt;"",PROPER(_xlpm.CSVVal)
)),"")</f>
        <v/>
      </c>
      <c r="H414" s="40" t="str" cm="1">
        <f t="array" ref="H414">IFERROR(_xlfn.LET(
_xlpm.CSVVal,_xlfn.XLOOKUP($A414,CSV!$A:$A,CSV!H:H,""),
_xlpm.MacVal,_xlfn.XLOOKUP($A414,Output_Mac!$A:$A,Output_Mac!H:H,""),
_xlpm.MyAuditVal,_xlfn.XLOOKUP($A414,My_Audit!$A:$A,My_Audit!G:G,""),
_xlfn.IFS(_xlpm.MyAuditVal&lt;&gt;"",_xlpm.MyAuditVal,_xlpm.MacVal&lt;&gt;"",_xlpm.MacVal,_xlpm.CSVVal&lt;&gt;"",_xlpm.CSVVal
)),"")</f>
        <v/>
      </c>
      <c r="I414" s="40" t="str">
        <f>_xlfn.XLOOKUP(A414,Output_Mac!A:A,Output_Mac!I:I,"")</f>
        <v/>
      </c>
      <c r="J414" s="40" t="str" cm="1">
        <f t="array" ref="J414">IFERROR(_xlfn.LET(
_xlpm.CSVVal,_xlfn.XLOOKUP($A414,CSV!$A:$A,CSV!I:I,""),
_xlpm.MacVal,_xlfn.XLOOKUP($A414,Output_Mac!$A:$A,Output_Mac!J:J,""),
_xlpm.MyAuditVal,_xlfn.XLOOKUP($A414,My_Audit!$A:$A,My_Audit!I:I,""),
_xlfn.IFS(_xlpm.MyAuditVal&lt;&gt;"",UPPER(_xlpm.MyAuditVal),_xlpm.MacVal&lt;&gt;"",_xlpm.MacVal,_xlpm.CSVVal&lt;&gt;"",_xlpm.CSVVal
)),"")</f>
        <v/>
      </c>
      <c r="K414" s="40" t="str" cm="1">
        <f t="array" ref="K414">IFERROR(_xlfn.LET(
_xlpm.CSVVal,_xlfn.XLOOKUP($A414,CSV!$A:$A,CSV!K:K,""),
_xlpm.MacVal,_xlfn.XLOOKUP($A414,Output_Mac!$A:$A,Output_Mac!K:K,""),
_xlpm.MyAuditVal,_xlfn.XLOOKUP($A414,My_Audit!$A:$A,My_Audit!J:J,""),
_xlfn.IFS(_xlpm.MyAuditVal&lt;&gt;"",UPPER(_xlpm.MyAuditVal),_xlpm.MacVal&lt;&gt;"",_xlpm.MacVal,_xlpm.CSVVal&lt;&gt;"",_xlpm.CSVVal
)),"")</f>
        <v/>
      </c>
      <c r="L414" s="40" t="str" cm="1">
        <f t="array" ref="L414">IFERROR(_xlfn.LET(
_xlpm.CSVVal,_xlfn.XLOOKUP($A414,CSV!$A:$A,CSV!P:P,""),
_xlpm.MacVal,_xlfn.XLOOKUP($A414,Output_Mac!$A:$A,Output_Mac!L:L,""),
_xlpm.MyAuditVal,_xlfn.XLOOKUP($A414,My_Audit!$A:$A,My_Audit!K:K,""),
_xlfn.IFS(_xlpm.MyAuditVal&lt;&gt;"",UPPER(_xlpm.MyAuditVal),_xlpm.MacVal&lt;&gt;"",_xlpm.MacVal,_xlpm.CSVVal&lt;&gt;"",_xlpm.CSVVal
)),"")</f>
        <v/>
      </c>
      <c r="M414" s="40" t="str" cm="1">
        <f t="array" ref="M414">IFERROR(_xlfn.LET(
_xlpm.CSVVal,_xlfn.XLOOKUP($A414,CSV!$A:$A,CSV!Q:Q,""),
_xlpm.MacVal,_xlfn.XLOOKUP($A414,Output_Mac!$A:$A,Output_Mac!M:M,""),
_xlpm.MyAuditVal,_xlfn.XLOOKUP($A414,My_Audit!$A:$A,My_Audit!L:L,""),
_xlfn.IFS(_xlpm.MyAuditVal&lt;&gt;"",UPPER(_xlpm.MyAuditVal),_xlpm.MacVal&lt;&gt;"",_xlpm.MacVal,_xlpm.CSVVal&lt;&gt;"",_xlpm.CSVVal
)),"")</f>
        <v/>
      </c>
      <c r="N414" s="40"/>
      <c r="O414" s="40" t="str">
        <f>_xlfn.LET(
    _xlpm.CSVVal, _xlfn.XLOOKUP($A414, CSV!$A:$A, CSV!AA:AA, ""),
    _xlpm.MacVal, _xlfn.XLOOKUP($A414, Output_Mac!$A:$A, Output_Mac!S:S, ""),
    _xlpm.MyAuditVal, _xlfn.XLOOKUP($A414, My_Audit!$A:$A, My_Audit!P:P, ""),
    _xlfn.TEXTJOIN(", ", TRUE, _xlpm.MyAuditVal, _xlpm.MacVal, _xlpm.CSVVal)
)</f>
        <v/>
      </c>
      <c r="P414" s="40" t="str" cm="1">
        <f t="array" ref="P414">IFERROR(_xlfn.LET(
_xlpm.CSVVal,_xlfn.XLOOKUP($A414,CSV!$A:$A,CSV!AB:AB,""),
_xlpm.MacVal,_xlfn.XLOOKUP($A414,Output_Mac!$A:$A,Output_Mac!T:T,""),
_xlpm.MyAuditVal,_xlfn.XLOOKUP($A414,My_Audit!$A:$A,My_Audit!Q:Q,""),
_xlfn.IFS(_xlpm.MyAuditVal&lt;&gt;"",UPPER(_xlpm.MyAuditVal),_xlpm.MacVal&lt;&gt;"",_xlpm.MacVal,_xlpm.CSVVal&lt;&gt;"",_xlpm.CSVVal
)),"No")</f>
        <v>No</v>
      </c>
      <c r="Q414" s="40" t="str" cm="1">
        <f t="array" ref="Q414">IFERROR(_xlfn.LET(
_xlpm.CSVVal,_xlfn.XLOOKUP($A414,CSV!$A:$A,CSV!AC:AC,""),
_xlpm.MacVal,_xlfn.XLOOKUP($A414,Output_Mac!$A:$A,Output_Mac!U:U,""),
_xlpm.MyAuditVal,_xlfn.XLOOKUP($A414,My_Audit!$A:$A,My_Audit!R:R,""),
_xlfn.IFS(_xlpm.MyAuditVal&lt;&gt;"",UPPER(_xlpm.MyAuditVal),_xlpm.MacVal&lt;&gt;"",_xlpm.MacVal,_xlpm.CSVVal&lt;&gt;"",_xlpm.CSVVal
)),"")</f>
        <v/>
      </c>
      <c r="R414" s="40"/>
      <c r="S414" s="40"/>
      <c r="T414" s="40"/>
      <c r="U414" s="40"/>
      <c r="V414" s="40"/>
      <c r="W414" s="40"/>
      <c r="X414" s="41" t="str">
        <f>_xlfn.LET(
    _xlpm.MacVal, _xlfn.XLOOKUP($A414, Output_Mac!$A:$A, Output_Mac!AB:AB, ""),
    _xlpm.MyAuditVal, _xlfn.XLOOKUP($A414, My_Audit!$A:$A, My_Audit!N:N, ""),
    _xlfn.TEXTJOIN(", ", TRUE, _xlpm.MyAuditVal, _xlpm.MacVal)
)</f>
        <v/>
      </c>
    </row>
    <row r="415" spans="1:24">
      <c r="A415" s="40" t="str">
        <f>_xlfn.TEXTJOIN("",TRUE,Input!$B$2,ROW(My_Audit!A414))</f>
        <v>X414</v>
      </c>
      <c r="B415" s="40" t="str">
        <f>_xlfn.TEXTJOIN("-",TRUE,"ITD",Input!$A$2,A415)</f>
        <v>ITD-X414</v>
      </c>
      <c r="C415" s="40" t="str" cm="1">
        <f t="array" ref="C415">IFERROR(_xlfn.LET(
_xlpm.CSVVal,_xlfn.XLOOKUP($A415,CSV!$A:$A,CSV!B:B,""),
_xlpm.MacVal,_xlfn.XLOOKUP($A415,Output_Mac!$A:$A,Output_Mac!B:B,""),
_xlpm.MyAuditVal,_xlfn.XLOOKUP($A415,My_Audit!$A:$A,My_Audit!B:B,""),
_xlfn.IFS(_xlpm.MyAuditVal&lt;&gt;"",UPPER(_xlpm.MyAuditVal),_xlpm.MacVal&lt;&gt;"",_xlpm.MacVal,_xlpm.CSVVal&lt;&gt;"",_xlpm.CSVVal
)),"")</f>
        <v/>
      </c>
      <c r="D415" s="40" t="str" cm="1">
        <f t="array" ref="D415">IFERROR(_xlfn.LET(
_xlpm.CSVVal,_xlfn.XLOOKUP($A415,CSV!$A:$A,CSV!D:D,""),
_xlpm.MacVal,_xlfn.XLOOKUP($A415,Output_Mac!$A:$A,Output_Mac!C:C,""),
_xlpm.MyAuditVal,_xlfn.XLOOKUP($A415,My_Audit!$A:$A,My_Audit!C:C,""),
_xlfn.IFS(_xlpm.MyAuditVal&lt;&gt;"",_xlpm.MyAuditVal,_xlpm.MacVal&lt;&gt;"",_xlpm.MacVal,_xlpm.CSVVal&lt;&gt;"",_xlpm.CSVVal
)),"")</f>
        <v/>
      </c>
      <c r="E415" s="40">
        <f>_xlfn.XLOOKUP(A415,My_Audit!A:A,My_Audit!D:D,"")</f>
        <v>0</v>
      </c>
      <c r="F415" s="40" t="str" cm="1">
        <f t="array" ref="F415">IFERROR(_xlfn.LET(
_xlpm.CSVVal,_xlfn.XLOOKUP($A415,CSV!$A:$A,CSV!F:F,""),
_xlpm.MacVal,_xlfn.XLOOKUP($A415,Output_Mac!$A:$A,Output_Mac!E:E,""),
_xlpm.MyAuditVal,_xlfn.XLOOKUP($A415,My_Audit!$A:$A,My_Audit!E:E,""),
_xlfn.IFS(_xlpm.MyAuditVal&lt;&gt;"",_xlpm.MyAuditVal,_xlpm.MacVal&lt;&gt;"",_xlpm.MacVal,_xlpm.CSVVal&lt;&gt;"",_xlpm.CSVVal
)),"")</f>
        <v/>
      </c>
      <c r="G415" s="40" t="str" cm="1">
        <f t="array" ref="G415">IFERROR(_xlfn.LET(
_xlpm.CSVVal,_xlfn.XLOOKUP($A415,CSV!$A:$A,CSV!G:G,""),
_xlpm.MacVal,_xlfn.XLOOKUP($A415,Output_Mac!$A:$A,Output_Mac!F:F,""),
_xlpm.MyAuditVal,_xlfn.XLOOKUP($A415,My_Audit!$A:$A,My_Audit!F:F,""),
_xlfn.IFS(_xlpm.MyAuditVal&lt;&gt;"",_xlpm.MyAuditVal,_xlpm.MacVal&lt;&gt;"",_xlpm.MacVal,_xlpm.CSVVal&lt;&gt;"",PROPER(_xlpm.CSVVal)
)),"")</f>
        <v/>
      </c>
      <c r="H415" s="40" t="str" cm="1">
        <f t="array" ref="H415">IFERROR(_xlfn.LET(
_xlpm.CSVVal,_xlfn.XLOOKUP($A415,CSV!$A:$A,CSV!H:H,""),
_xlpm.MacVal,_xlfn.XLOOKUP($A415,Output_Mac!$A:$A,Output_Mac!H:H,""),
_xlpm.MyAuditVal,_xlfn.XLOOKUP($A415,My_Audit!$A:$A,My_Audit!G:G,""),
_xlfn.IFS(_xlpm.MyAuditVal&lt;&gt;"",_xlpm.MyAuditVal,_xlpm.MacVal&lt;&gt;"",_xlpm.MacVal,_xlpm.CSVVal&lt;&gt;"",_xlpm.CSVVal
)),"")</f>
        <v/>
      </c>
      <c r="I415" s="40" t="str">
        <f>_xlfn.XLOOKUP(A415,Output_Mac!A:A,Output_Mac!I:I,"")</f>
        <v/>
      </c>
      <c r="J415" s="40" t="str" cm="1">
        <f t="array" ref="J415">IFERROR(_xlfn.LET(
_xlpm.CSVVal,_xlfn.XLOOKUP($A415,CSV!$A:$A,CSV!I:I,""),
_xlpm.MacVal,_xlfn.XLOOKUP($A415,Output_Mac!$A:$A,Output_Mac!J:J,""),
_xlpm.MyAuditVal,_xlfn.XLOOKUP($A415,My_Audit!$A:$A,My_Audit!I:I,""),
_xlfn.IFS(_xlpm.MyAuditVal&lt;&gt;"",UPPER(_xlpm.MyAuditVal),_xlpm.MacVal&lt;&gt;"",_xlpm.MacVal,_xlpm.CSVVal&lt;&gt;"",_xlpm.CSVVal
)),"")</f>
        <v/>
      </c>
      <c r="K415" s="40" t="str" cm="1">
        <f t="array" ref="K415">IFERROR(_xlfn.LET(
_xlpm.CSVVal,_xlfn.XLOOKUP($A415,CSV!$A:$A,CSV!K:K,""),
_xlpm.MacVal,_xlfn.XLOOKUP($A415,Output_Mac!$A:$A,Output_Mac!K:K,""),
_xlpm.MyAuditVal,_xlfn.XLOOKUP($A415,My_Audit!$A:$A,My_Audit!J:J,""),
_xlfn.IFS(_xlpm.MyAuditVal&lt;&gt;"",UPPER(_xlpm.MyAuditVal),_xlpm.MacVal&lt;&gt;"",_xlpm.MacVal,_xlpm.CSVVal&lt;&gt;"",_xlpm.CSVVal
)),"")</f>
        <v/>
      </c>
      <c r="L415" s="40" t="str" cm="1">
        <f t="array" ref="L415">IFERROR(_xlfn.LET(
_xlpm.CSVVal,_xlfn.XLOOKUP($A415,CSV!$A:$A,CSV!P:P,""),
_xlpm.MacVal,_xlfn.XLOOKUP($A415,Output_Mac!$A:$A,Output_Mac!L:L,""),
_xlpm.MyAuditVal,_xlfn.XLOOKUP($A415,My_Audit!$A:$A,My_Audit!K:K,""),
_xlfn.IFS(_xlpm.MyAuditVal&lt;&gt;"",UPPER(_xlpm.MyAuditVal),_xlpm.MacVal&lt;&gt;"",_xlpm.MacVal,_xlpm.CSVVal&lt;&gt;"",_xlpm.CSVVal
)),"")</f>
        <v/>
      </c>
      <c r="M415" s="40" t="str" cm="1">
        <f t="array" ref="M415">IFERROR(_xlfn.LET(
_xlpm.CSVVal,_xlfn.XLOOKUP($A415,CSV!$A:$A,CSV!Q:Q,""),
_xlpm.MacVal,_xlfn.XLOOKUP($A415,Output_Mac!$A:$A,Output_Mac!M:M,""),
_xlpm.MyAuditVal,_xlfn.XLOOKUP($A415,My_Audit!$A:$A,My_Audit!L:L,""),
_xlfn.IFS(_xlpm.MyAuditVal&lt;&gt;"",UPPER(_xlpm.MyAuditVal),_xlpm.MacVal&lt;&gt;"",_xlpm.MacVal,_xlpm.CSVVal&lt;&gt;"",_xlpm.CSVVal
)),"")</f>
        <v/>
      </c>
      <c r="N415" s="40"/>
      <c r="O415" s="40" t="str">
        <f>_xlfn.LET(
    _xlpm.CSVVal, _xlfn.XLOOKUP($A415, CSV!$A:$A, CSV!AA:AA, ""),
    _xlpm.MacVal, _xlfn.XLOOKUP($A415, Output_Mac!$A:$A, Output_Mac!S:S, ""),
    _xlpm.MyAuditVal, _xlfn.XLOOKUP($A415, My_Audit!$A:$A, My_Audit!P:P, ""),
    _xlfn.TEXTJOIN(", ", TRUE, _xlpm.MyAuditVal, _xlpm.MacVal, _xlpm.CSVVal)
)</f>
        <v/>
      </c>
      <c r="P415" s="40" t="str" cm="1">
        <f t="array" ref="P415">IFERROR(_xlfn.LET(
_xlpm.CSVVal,_xlfn.XLOOKUP($A415,CSV!$A:$A,CSV!AB:AB,""),
_xlpm.MacVal,_xlfn.XLOOKUP($A415,Output_Mac!$A:$A,Output_Mac!T:T,""),
_xlpm.MyAuditVal,_xlfn.XLOOKUP($A415,My_Audit!$A:$A,My_Audit!Q:Q,""),
_xlfn.IFS(_xlpm.MyAuditVal&lt;&gt;"",UPPER(_xlpm.MyAuditVal),_xlpm.MacVal&lt;&gt;"",_xlpm.MacVal,_xlpm.CSVVal&lt;&gt;"",_xlpm.CSVVal
)),"No")</f>
        <v>No</v>
      </c>
      <c r="Q415" s="40" t="str" cm="1">
        <f t="array" ref="Q415">IFERROR(_xlfn.LET(
_xlpm.CSVVal,_xlfn.XLOOKUP($A415,CSV!$A:$A,CSV!AC:AC,""),
_xlpm.MacVal,_xlfn.XLOOKUP($A415,Output_Mac!$A:$A,Output_Mac!U:U,""),
_xlpm.MyAuditVal,_xlfn.XLOOKUP($A415,My_Audit!$A:$A,My_Audit!R:R,""),
_xlfn.IFS(_xlpm.MyAuditVal&lt;&gt;"",UPPER(_xlpm.MyAuditVal),_xlpm.MacVal&lt;&gt;"",_xlpm.MacVal,_xlpm.CSVVal&lt;&gt;"",_xlpm.CSVVal
)),"")</f>
        <v/>
      </c>
      <c r="R415" s="40"/>
      <c r="S415" s="40"/>
      <c r="T415" s="40"/>
      <c r="U415" s="40"/>
      <c r="V415" s="40"/>
      <c r="W415" s="40"/>
      <c r="X415" s="41" t="str">
        <f>_xlfn.LET(
    _xlpm.MacVal, _xlfn.XLOOKUP($A415, Output_Mac!$A:$A, Output_Mac!AB:AB, ""),
    _xlpm.MyAuditVal, _xlfn.XLOOKUP($A415, My_Audit!$A:$A, My_Audit!N:N, ""),
    _xlfn.TEXTJOIN(", ", TRUE, _xlpm.MyAuditVal, _xlpm.MacVal)
)</f>
        <v/>
      </c>
    </row>
    <row r="416" spans="1:24">
      <c r="A416" s="40" t="str">
        <f>_xlfn.TEXTJOIN("",TRUE,Input!$B$2,ROW(My_Audit!A415))</f>
        <v>X415</v>
      </c>
      <c r="B416" s="40" t="str">
        <f>_xlfn.TEXTJOIN("-",TRUE,"ITD",Input!$A$2,A416)</f>
        <v>ITD-X415</v>
      </c>
      <c r="C416" s="40" t="str" cm="1">
        <f t="array" ref="C416">IFERROR(_xlfn.LET(
_xlpm.CSVVal,_xlfn.XLOOKUP($A416,CSV!$A:$A,CSV!B:B,""),
_xlpm.MacVal,_xlfn.XLOOKUP($A416,Output_Mac!$A:$A,Output_Mac!B:B,""),
_xlpm.MyAuditVal,_xlfn.XLOOKUP($A416,My_Audit!$A:$A,My_Audit!B:B,""),
_xlfn.IFS(_xlpm.MyAuditVal&lt;&gt;"",UPPER(_xlpm.MyAuditVal),_xlpm.MacVal&lt;&gt;"",_xlpm.MacVal,_xlpm.CSVVal&lt;&gt;"",_xlpm.CSVVal
)),"")</f>
        <v/>
      </c>
      <c r="D416" s="40" t="str" cm="1">
        <f t="array" ref="D416">IFERROR(_xlfn.LET(
_xlpm.CSVVal,_xlfn.XLOOKUP($A416,CSV!$A:$A,CSV!D:D,""),
_xlpm.MacVal,_xlfn.XLOOKUP($A416,Output_Mac!$A:$A,Output_Mac!C:C,""),
_xlpm.MyAuditVal,_xlfn.XLOOKUP($A416,My_Audit!$A:$A,My_Audit!C:C,""),
_xlfn.IFS(_xlpm.MyAuditVal&lt;&gt;"",_xlpm.MyAuditVal,_xlpm.MacVal&lt;&gt;"",_xlpm.MacVal,_xlpm.CSVVal&lt;&gt;"",_xlpm.CSVVal
)),"")</f>
        <v/>
      </c>
      <c r="E416" s="40">
        <f>_xlfn.XLOOKUP(A416,My_Audit!A:A,My_Audit!D:D,"")</f>
        <v>0</v>
      </c>
      <c r="F416" s="40" t="str" cm="1">
        <f t="array" ref="F416">IFERROR(_xlfn.LET(
_xlpm.CSVVal,_xlfn.XLOOKUP($A416,CSV!$A:$A,CSV!F:F,""),
_xlpm.MacVal,_xlfn.XLOOKUP($A416,Output_Mac!$A:$A,Output_Mac!E:E,""),
_xlpm.MyAuditVal,_xlfn.XLOOKUP($A416,My_Audit!$A:$A,My_Audit!E:E,""),
_xlfn.IFS(_xlpm.MyAuditVal&lt;&gt;"",_xlpm.MyAuditVal,_xlpm.MacVal&lt;&gt;"",_xlpm.MacVal,_xlpm.CSVVal&lt;&gt;"",_xlpm.CSVVal
)),"")</f>
        <v/>
      </c>
      <c r="G416" s="40" t="str" cm="1">
        <f t="array" ref="G416">IFERROR(_xlfn.LET(
_xlpm.CSVVal,_xlfn.XLOOKUP($A416,CSV!$A:$A,CSV!G:G,""),
_xlpm.MacVal,_xlfn.XLOOKUP($A416,Output_Mac!$A:$A,Output_Mac!F:F,""),
_xlpm.MyAuditVal,_xlfn.XLOOKUP($A416,My_Audit!$A:$A,My_Audit!F:F,""),
_xlfn.IFS(_xlpm.MyAuditVal&lt;&gt;"",_xlpm.MyAuditVal,_xlpm.MacVal&lt;&gt;"",_xlpm.MacVal,_xlpm.CSVVal&lt;&gt;"",PROPER(_xlpm.CSVVal)
)),"")</f>
        <v/>
      </c>
      <c r="H416" s="40" t="str" cm="1">
        <f t="array" ref="H416">IFERROR(_xlfn.LET(
_xlpm.CSVVal,_xlfn.XLOOKUP($A416,CSV!$A:$A,CSV!H:H,""),
_xlpm.MacVal,_xlfn.XLOOKUP($A416,Output_Mac!$A:$A,Output_Mac!H:H,""),
_xlpm.MyAuditVal,_xlfn.XLOOKUP($A416,My_Audit!$A:$A,My_Audit!G:G,""),
_xlfn.IFS(_xlpm.MyAuditVal&lt;&gt;"",_xlpm.MyAuditVal,_xlpm.MacVal&lt;&gt;"",_xlpm.MacVal,_xlpm.CSVVal&lt;&gt;"",_xlpm.CSVVal
)),"")</f>
        <v/>
      </c>
      <c r="I416" s="40" t="str">
        <f>_xlfn.XLOOKUP(A416,Output_Mac!A:A,Output_Mac!I:I,"")</f>
        <v/>
      </c>
      <c r="J416" s="40" t="str" cm="1">
        <f t="array" ref="J416">IFERROR(_xlfn.LET(
_xlpm.CSVVal,_xlfn.XLOOKUP($A416,CSV!$A:$A,CSV!I:I,""),
_xlpm.MacVal,_xlfn.XLOOKUP($A416,Output_Mac!$A:$A,Output_Mac!J:J,""),
_xlpm.MyAuditVal,_xlfn.XLOOKUP($A416,My_Audit!$A:$A,My_Audit!I:I,""),
_xlfn.IFS(_xlpm.MyAuditVal&lt;&gt;"",UPPER(_xlpm.MyAuditVal),_xlpm.MacVal&lt;&gt;"",_xlpm.MacVal,_xlpm.CSVVal&lt;&gt;"",_xlpm.CSVVal
)),"")</f>
        <v/>
      </c>
      <c r="K416" s="40" t="str" cm="1">
        <f t="array" ref="K416">IFERROR(_xlfn.LET(
_xlpm.CSVVal,_xlfn.XLOOKUP($A416,CSV!$A:$A,CSV!K:K,""),
_xlpm.MacVal,_xlfn.XLOOKUP($A416,Output_Mac!$A:$A,Output_Mac!K:K,""),
_xlpm.MyAuditVal,_xlfn.XLOOKUP($A416,My_Audit!$A:$A,My_Audit!J:J,""),
_xlfn.IFS(_xlpm.MyAuditVal&lt;&gt;"",UPPER(_xlpm.MyAuditVal),_xlpm.MacVal&lt;&gt;"",_xlpm.MacVal,_xlpm.CSVVal&lt;&gt;"",_xlpm.CSVVal
)),"")</f>
        <v/>
      </c>
      <c r="L416" s="40" t="str" cm="1">
        <f t="array" ref="L416">IFERROR(_xlfn.LET(
_xlpm.CSVVal,_xlfn.XLOOKUP($A416,CSV!$A:$A,CSV!P:P,""),
_xlpm.MacVal,_xlfn.XLOOKUP($A416,Output_Mac!$A:$A,Output_Mac!L:L,""),
_xlpm.MyAuditVal,_xlfn.XLOOKUP($A416,My_Audit!$A:$A,My_Audit!K:K,""),
_xlfn.IFS(_xlpm.MyAuditVal&lt;&gt;"",UPPER(_xlpm.MyAuditVal),_xlpm.MacVal&lt;&gt;"",_xlpm.MacVal,_xlpm.CSVVal&lt;&gt;"",_xlpm.CSVVal
)),"")</f>
        <v/>
      </c>
      <c r="M416" s="40" t="str" cm="1">
        <f t="array" ref="M416">IFERROR(_xlfn.LET(
_xlpm.CSVVal,_xlfn.XLOOKUP($A416,CSV!$A:$A,CSV!Q:Q,""),
_xlpm.MacVal,_xlfn.XLOOKUP($A416,Output_Mac!$A:$A,Output_Mac!M:M,""),
_xlpm.MyAuditVal,_xlfn.XLOOKUP($A416,My_Audit!$A:$A,My_Audit!L:L,""),
_xlfn.IFS(_xlpm.MyAuditVal&lt;&gt;"",UPPER(_xlpm.MyAuditVal),_xlpm.MacVal&lt;&gt;"",_xlpm.MacVal,_xlpm.CSVVal&lt;&gt;"",_xlpm.CSVVal
)),"")</f>
        <v/>
      </c>
      <c r="N416" s="40"/>
      <c r="O416" s="40" t="str">
        <f>_xlfn.LET(
    _xlpm.CSVVal, _xlfn.XLOOKUP($A416, CSV!$A:$A, CSV!AA:AA, ""),
    _xlpm.MacVal, _xlfn.XLOOKUP($A416, Output_Mac!$A:$A, Output_Mac!S:S, ""),
    _xlpm.MyAuditVal, _xlfn.XLOOKUP($A416, My_Audit!$A:$A, My_Audit!P:P, ""),
    _xlfn.TEXTJOIN(", ", TRUE, _xlpm.MyAuditVal, _xlpm.MacVal, _xlpm.CSVVal)
)</f>
        <v/>
      </c>
      <c r="P416" s="40" t="str" cm="1">
        <f t="array" ref="P416">IFERROR(_xlfn.LET(
_xlpm.CSVVal,_xlfn.XLOOKUP($A416,CSV!$A:$A,CSV!AB:AB,""),
_xlpm.MacVal,_xlfn.XLOOKUP($A416,Output_Mac!$A:$A,Output_Mac!T:T,""),
_xlpm.MyAuditVal,_xlfn.XLOOKUP($A416,My_Audit!$A:$A,My_Audit!Q:Q,""),
_xlfn.IFS(_xlpm.MyAuditVal&lt;&gt;"",UPPER(_xlpm.MyAuditVal),_xlpm.MacVal&lt;&gt;"",_xlpm.MacVal,_xlpm.CSVVal&lt;&gt;"",_xlpm.CSVVal
)),"No")</f>
        <v>No</v>
      </c>
      <c r="Q416" s="40" t="str" cm="1">
        <f t="array" ref="Q416">IFERROR(_xlfn.LET(
_xlpm.CSVVal,_xlfn.XLOOKUP($A416,CSV!$A:$A,CSV!AC:AC,""),
_xlpm.MacVal,_xlfn.XLOOKUP($A416,Output_Mac!$A:$A,Output_Mac!U:U,""),
_xlpm.MyAuditVal,_xlfn.XLOOKUP($A416,My_Audit!$A:$A,My_Audit!R:R,""),
_xlfn.IFS(_xlpm.MyAuditVal&lt;&gt;"",UPPER(_xlpm.MyAuditVal),_xlpm.MacVal&lt;&gt;"",_xlpm.MacVal,_xlpm.CSVVal&lt;&gt;"",_xlpm.CSVVal
)),"")</f>
        <v/>
      </c>
      <c r="R416" s="40"/>
      <c r="S416" s="40"/>
      <c r="T416" s="40"/>
      <c r="U416" s="40"/>
      <c r="V416" s="40"/>
      <c r="W416" s="40"/>
      <c r="X416" s="41" t="str">
        <f>_xlfn.LET(
    _xlpm.MacVal, _xlfn.XLOOKUP($A416, Output_Mac!$A:$A, Output_Mac!AB:AB, ""),
    _xlpm.MyAuditVal, _xlfn.XLOOKUP($A416, My_Audit!$A:$A, My_Audit!N:N, ""),
    _xlfn.TEXTJOIN(", ", TRUE, _xlpm.MyAuditVal, _xlpm.MacVal)
)</f>
        <v/>
      </c>
    </row>
    <row r="417" spans="1:24">
      <c r="A417" s="40" t="str">
        <f>_xlfn.TEXTJOIN("",TRUE,Input!$B$2,ROW(My_Audit!A416))</f>
        <v>X416</v>
      </c>
      <c r="B417" s="40" t="str">
        <f>_xlfn.TEXTJOIN("-",TRUE,"ITD",Input!$A$2,A417)</f>
        <v>ITD-X416</v>
      </c>
      <c r="C417" s="40" t="str" cm="1">
        <f t="array" ref="C417">IFERROR(_xlfn.LET(
_xlpm.CSVVal,_xlfn.XLOOKUP($A417,CSV!$A:$A,CSV!B:B,""),
_xlpm.MacVal,_xlfn.XLOOKUP($A417,Output_Mac!$A:$A,Output_Mac!B:B,""),
_xlpm.MyAuditVal,_xlfn.XLOOKUP($A417,My_Audit!$A:$A,My_Audit!B:B,""),
_xlfn.IFS(_xlpm.MyAuditVal&lt;&gt;"",UPPER(_xlpm.MyAuditVal),_xlpm.MacVal&lt;&gt;"",_xlpm.MacVal,_xlpm.CSVVal&lt;&gt;"",_xlpm.CSVVal
)),"")</f>
        <v/>
      </c>
      <c r="D417" s="40" t="str" cm="1">
        <f t="array" ref="D417">IFERROR(_xlfn.LET(
_xlpm.CSVVal,_xlfn.XLOOKUP($A417,CSV!$A:$A,CSV!D:D,""),
_xlpm.MacVal,_xlfn.XLOOKUP($A417,Output_Mac!$A:$A,Output_Mac!C:C,""),
_xlpm.MyAuditVal,_xlfn.XLOOKUP($A417,My_Audit!$A:$A,My_Audit!C:C,""),
_xlfn.IFS(_xlpm.MyAuditVal&lt;&gt;"",_xlpm.MyAuditVal,_xlpm.MacVal&lt;&gt;"",_xlpm.MacVal,_xlpm.CSVVal&lt;&gt;"",_xlpm.CSVVal
)),"")</f>
        <v/>
      </c>
      <c r="E417" s="40">
        <f>_xlfn.XLOOKUP(A417,My_Audit!A:A,My_Audit!D:D,"")</f>
        <v>0</v>
      </c>
      <c r="F417" s="40" t="str" cm="1">
        <f t="array" ref="F417">IFERROR(_xlfn.LET(
_xlpm.CSVVal,_xlfn.XLOOKUP($A417,CSV!$A:$A,CSV!F:F,""),
_xlpm.MacVal,_xlfn.XLOOKUP($A417,Output_Mac!$A:$A,Output_Mac!E:E,""),
_xlpm.MyAuditVal,_xlfn.XLOOKUP($A417,My_Audit!$A:$A,My_Audit!E:E,""),
_xlfn.IFS(_xlpm.MyAuditVal&lt;&gt;"",_xlpm.MyAuditVal,_xlpm.MacVal&lt;&gt;"",_xlpm.MacVal,_xlpm.CSVVal&lt;&gt;"",_xlpm.CSVVal
)),"")</f>
        <v/>
      </c>
      <c r="G417" s="40" t="str" cm="1">
        <f t="array" ref="G417">IFERROR(_xlfn.LET(
_xlpm.CSVVal,_xlfn.XLOOKUP($A417,CSV!$A:$A,CSV!G:G,""),
_xlpm.MacVal,_xlfn.XLOOKUP($A417,Output_Mac!$A:$A,Output_Mac!F:F,""),
_xlpm.MyAuditVal,_xlfn.XLOOKUP($A417,My_Audit!$A:$A,My_Audit!F:F,""),
_xlfn.IFS(_xlpm.MyAuditVal&lt;&gt;"",_xlpm.MyAuditVal,_xlpm.MacVal&lt;&gt;"",_xlpm.MacVal,_xlpm.CSVVal&lt;&gt;"",PROPER(_xlpm.CSVVal)
)),"")</f>
        <v/>
      </c>
      <c r="H417" s="40" t="str" cm="1">
        <f t="array" ref="H417">IFERROR(_xlfn.LET(
_xlpm.CSVVal,_xlfn.XLOOKUP($A417,CSV!$A:$A,CSV!H:H,""),
_xlpm.MacVal,_xlfn.XLOOKUP($A417,Output_Mac!$A:$A,Output_Mac!H:H,""),
_xlpm.MyAuditVal,_xlfn.XLOOKUP($A417,My_Audit!$A:$A,My_Audit!G:G,""),
_xlfn.IFS(_xlpm.MyAuditVal&lt;&gt;"",_xlpm.MyAuditVal,_xlpm.MacVal&lt;&gt;"",_xlpm.MacVal,_xlpm.CSVVal&lt;&gt;"",_xlpm.CSVVal
)),"")</f>
        <v/>
      </c>
      <c r="I417" s="40" t="str">
        <f>_xlfn.XLOOKUP(A417,Output_Mac!A:A,Output_Mac!I:I,"")</f>
        <v/>
      </c>
      <c r="J417" s="40" t="str" cm="1">
        <f t="array" ref="J417">IFERROR(_xlfn.LET(
_xlpm.CSVVal,_xlfn.XLOOKUP($A417,CSV!$A:$A,CSV!I:I,""),
_xlpm.MacVal,_xlfn.XLOOKUP($A417,Output_Mac!$A:$A,Output_Mac!J:J,""),
_xlpm.MyAuditVal,_xlfn.XLOOKUP($A417,My_Audit!$A:$A,My_Audit!I:I,""),
_xlfn.IFS(_xlpm.MyAuditVal&lt;&gt;"",UPPER(_xlpm.MyAuditVal),_xlpm.MacVal&lt;&gt;"",_xlpm.MacVal,_xlpm.CSVVal&lt;&gt;"",_xlpm.CSVVal
)),"")</f>
        <v/>
      </c>
      <c r="K417" s="40" t="str" cm="1">
        <f t="array" ref="K417">IFERROR(_xlfn.LET(
_xlpm.CSVVal,_xlfn.XLOOKUP($A417,CSV!$A:$A,CSV!K:K,""),
_xlpm.MacVal,_xlfn.XLOOKUP($A417,Output_Mac!$A:$A,Output_Mac!K:K,""),
_xlpm.MyAuditVal,_xlfn.XLOOKUP($A417,My_Audit!$A:$A,My_Audit!J:J,""),
_xlfn.IFS(_xlpm.MyAuditVal&lt;&gt;"",UPPER(_xlpm.MyAuditVal),_xlpm.MacVal&lt;&gt;"",_xlpm.MacVal,_xlpm.CSVVal&lt;&gt;"",_xlpm.CSVVal
)),"")</f>
        <v/>
      </c>
      <c r="L417" s="40" t="str" cm="1">
        <f t="array" ref="L417">IFERROR(_xlfn.LET(
_xlpm.CSVVal,_xlfn.XLOOKUP($A417,CSV!$A:$A,CSV!P:P,""),
_xlpm.MacVal,_xlfn.XLOOKUP($A417,Output_Mac!$A:$A,Output_Mac!L:L,""),
_xlpm.MyAuditVal,_xlfn.XLOOKUP($A417,My_Audit!$A:$A,My_Audit!K:K,""),
_xlfn.IFS(_xlpm.MyAuditVal&lt;&gt;"",UPPER(_xlpm.MyAuditVal),_xlpm.MacVal&lt;&gt;"",_xlpm.MacVal,_xlpm.CSVVal&lt;&gt;"",_xlpm.CSVVal
)),"")</f>
        <v/>
      </c>
      <c r="M417" s="40" t="str" cm="1">
        <f t="array" ref="M417">IFERROR(_xlfn.LET(
_xlpm.CSVVal,_xlfn.XLOOKUP($A417,CSV!$A:$A,CSV!Q:Q,""),
_xlpm.MacVal,_xlfn.XLOOKUP($A417,Output_Mac!$A:$A,Output_Mac!M:M,""),
_xlpm.MyAuditVal,_xlfn.XLOOKUP($A417,My_Audit!$A:$A,My_Audit!L:L,""),
_xlfn.IFS(_xlpm.MyAuditVal&lt;&gt;"",UPPER(_xlpm.MyAuditVal),_xlpm.MacVal&lt;&gt;"",_xlpm.MacVal,_xlpm.CSVVal&lt;&gt;"",_xlpm.CSVVal
)),"")</f>
        <v/>
      </c>
      <c r="N417" s="40"/>
      <c r="O417" s="40" t="str">
        <f>_xlfn.LET(
    _xlpm.CSVVal, _xlfn.XLOOKUP($A417, CSV!$A:$A, CSV!AA:AA, ""),
    _xlpm.MacVal, _xlfn.XLOOKUP($A417, Output_Mac!$A:$A, Output_Mac!S:S, ""),
    _xlpm.MyAuditVal, _xlfn.XLOOKUP($A417, My_Audit!$A:$A, My_Audit!P:P, ""),
    _xlfn.TEXTJOIN(", ", TRUE, _xlpm.MyAuditVal, _xlpm.MacVal, _xlpm.CSVVal)
)</f>
        <v/>
      </c>
      <c r="P417" s="40" t="str" cm="1">
        <f t="array" ref="P417">IFERROR(_xlfn.LET(
_xlpm.CSVVal,_xlfn.XLOOKUP($A417,CSV!$A:$A,CSV!AB:AB,""),
_xlpm.MacVal,_xlfn.XLOOKUP($A417,Output_Mac!$A:$A,Output_Mac!T:T,""),
_xlpm.MyAuditVal,_xlfn.XLOOKUP($A417,My_Audit!$A:$A,My_Audit!Q:Q,""),
_xlfn.IFS(_xlpm.MyAuditVal&lt;&gt;"",UPPER(_xlpm.MyAuditVal),_xlpm.MacVal&lt;&gt;"",_xlpm.MacVal,_xlpm.CSVVal&lt;&gt;"",_xlpm.CSVVal
)),"No")</f>
        <v>No</v>
      </c>
      <c r="Q417" s="40" t="str" cm="1">
        <f t="array" ref="Q417">IFERROR(_xlfn.LET(
_xlpm.CSVVal,_xlfn.XLOOKUP($A417,CSV!$A:$A,CSV!AC:AC,""),
_xlpm.MacVal,_xlfn.XLOOKUP($A417,Output_Mac!$A:$A,Output_Mac!U:U,""),
_xlpm.MyAuditVal,_xlfn.XLOOKUP($A417,My_Audit!$A:$A,My_Audit!R:R,""),
_xlfn.IFS(_xlpm.MyAuditVal&lt;&gt;"",UPPER(_xlpm.MyAuditVal),_xlpm.MacVal&lt;&gt;"",_xlpm.MacVal,_xlpm.CSVVal&lt;&gt;"",_xlpm.CSVVal
)),"")</f>
        <v/>
      </c>
      <c r="R417" s="40"/>
      <c r="S417" s="40"/>
      <c r="T417" s="40"/>
      <c r="U417" s="40"/>
      <c r="V417" s="40"/>
      <c r="W417" s="40"/>
      <c r="X417" s="41" t="str">
        <f>_xlfn.LET(
    _xlpm.MacVal, _xlfn.XLOOKUP($A417, Output_Mac!$A:$A, Output_Mac!AB:AB, ""),
    _xlpm.MyAuditVal, _xlfn.XLOOKUP($A417, My_Audit!$A:$A, My_Audit!N:N, ""),
    _xlfn.TEXTJOIN(", ", TRUE, _xlpm.MyAuditVal, _xlpm.MacVal)
)</f>
        <v/>
      </c>
    </row>
    <row r="418" spans="1:24">
      <c r="A418" s="40" t="str">
        <f>_xlfn.TEXTJOIN("",TRUE,Input!$B$2,ROW(My_Audit!A417))</f>
        <v>X417</v>
      </c>
      <c r="B418" s="40" t="str">
        <f>_xlfn.TEXTJOIN("-",TRUE,"ITD",Input!$A$2,A418)</f>
        <v>ITD-X417</v>
      </c>
      <c r="C418" s="40" t="str" cm="1">
        <f t="array" ref="C418">IFERROR(_xlfn.LET(
_xlpm.CSVVal,_xlfn.XLOOKUP($A418,CSV!$A:$A,CSV!B:B,""),
_xlpm.MacVal,_xlfn.XLOOKUP($A418,Output_Mac!$A:$A,Output_Mac!B:B,""),
_xlpm.MyAuditVal,_xlfn.XLOOKUP($A418,My_Audit!$A:$A,My_Audit!B:B,""),
_xlfn.IFS(_xlpm.MyAuditVal&lt;&gt;"",UPPER(_xlpm.MyAuditVal),_xlpm.MacVal&lt;&gt;"",_xlpm.MacVal,_xlpm.CSVVal&lt;&gt;"",_xlpm.CSVVal
)),"")</f>
        <v/>
      </c>
      <c r="D418" s="40" t="str" cm="1">
        <f t="array" ref="D418">IFERROR(_xlfn.LET(
_xlpm.CSVVal,_xlfn.XLOOKUP($A418,CSV!$A:$A,CSV!D:D,""),
_xlpm.MacVal,_xlfn.XLOOKUP($A418,Output_Mac!$A:$A,Output_Mac!C:C,""),
_xlpm.MyAuditVal,_xlfn.XLOOKUP($A418,My_Audit!$A:$A,My_Audit!C:C,""),
_xlfn.IFS(_xlpm.MyAuditVal&lt;&gt;"",_xlpm.MyAuditVal,_xlpm.MacVal&lt;&gt;"",_xlpm.MacVal,_xlpm.CSVVal&lt;&gt;"",_xlpm.CSVVal
)),"")</f>
        <v/>
      </c>
      <c r="E418" s="40">
        <f>_xlfn.XLOOKUP(A418,My_Audit!A:A,My_Audit!D:D,"")</f>
        <v>0</v>
      </c>
      <c r="F418" s="40" t="str" cm="1">
        <f t="array" ref="F418">IFERROR(_xlfn.LET(
_xlpm.CSVVal,_xlfn.XLOOKUP($A418,CSV!$A:$A,CSV!F:F,""),
_xlpm.MacVal,_xlfn.XLOOKUP($A418,Output_Mac!$A:$A,Output_Mac!E:E,""),
_xlpm.MyAuditVal,_xlfn.XLOOKUP($A418,My_Audit!$A:$A,My_Audit!E:E,""),
_xlfn.IFS(_xlpm.MyAuditVal&lt;&gt;"",_xlpm.MyAuditVal,_xlpm.MacVal&lt;&gt;"",_xlpm.MacVal,_xlpm.CSVVal&lt;&gt;"",_xlpm.CSVVal
)),"")</f>
        <v/>
      </c>
      <c r="G418" s="40" t="str" cm="1">
        <f t="array" ref="G418">IFERROR(_xlfn.LET(
_xlpm.CSVVal,_xlfn.XLOOKUP($A418,CSV!$A:$A,CSV!G:G,""),
_xlpm.MacVal,_xlfn.XLOOKUP($A418,Output_Mac!$A:$A,Output_Mac!F:F,""),
_xlpm.MyAuditVal,_xlfn.XLOOKUP($A418,My_Audit!$A:$A,My_Audit!F:F,""),
_xlfn.IFS(_xlpm.MyAuditVal&lt;&gt;"",_xlpm.MyAuditVal,_xlpm.MacVal&lt;&gt;"",_xlpm.MacVal,_xlpm.CSVVal&lt;&gt;"",PROPER(_xlpm.CSVVal)
)),"")</f>
        <v/>
      </c>
      <c r="H418" s="40" t="str" cm="1">
        <f t="array" ref="H418">IFERROR(_xlfn.LET(
_xlpm.CSVVal,_xlfn.XLOOKUP($A418,CSV!$A:$A,CSV!H:H,""),
_xlpm.MacVal,_xlfn.XLOOKUP($A418,Output_Mac!$A:$A,Output_Mac!H:H,""),
_xlpm.MyAuditVal,_xlfn.XLOOKUP($A418,My_Audit!$A:$A,My_Audit!G:G,""),
_xlfn.IFS(_xlpm.MyAuditVal&lt;&gt;"",_xlpm.MyAuditVal,_xlpm.MacVal&lt;&gt;"",_xlpm.MacVal,_xlpm.CSVVal&lt;&gt;"",_xlpm.CSVVal
)),"")</f>
        <v/>
      </c>
      <c r="I418" s="40" t="str">
        <f>_xlfn.XLOOKUP(A418,Output_Mac!A:A,Output_Mac!I:I,"")</f>
        <v/>
      </c>
      <c r="J418" s="40" t="str" cm="1">
        <f t="array" ref="J418">IFERROR(_xlfn.LET(
_xlpm.CSVVal,_xlfn.XLOOKUP($A418,CSV!$A:$A,CSV!I:I,""),
_xlpm.MacVal,_xlfn.XLOOKUP($A418,Output_Mac!$A:$A,Output_Mac!J:J,""),
_xlpm.MyAuditVal,_xlfn.XLOOKUP($A418,My_Audit!$A:$A,My_Audit!I:I,""),
_xlfn.IFS(_xlpm.MyAuditVal&lt;&gt;"",UPPER(_xlpm.MyAuditVal),_xlpm.MacVal&lt;&gt;"",_xlpm.MacVal,_xlpm.CSVVal&lt;&gt;"",_xlpm.CSVVal
)),"")</f>
        <v/>
      </c>
      <c r="K418" s="40" t="str" cm="1">
        <f t="array" ref="K418">IFERROR(_xlfn.LET(
_xlpm.CSVVal,_xlfn.XLOOKUP($A418,CSV!$A:$A,CSV!K:K,""),
_xlpm.MacVal,_xlfn.XLOOKUP($A418,Output_Mac!$A:$A,Output_Mac!K:K,""),
_xlpm.MyAuditVal,_xlfn.XLOOKUP($A418,My_Audit!$A:$A,My_Audit!J:J,""),
_xlfn.IFS(_xlpm.MyAuditVal&lt;&gt;"",UPPER(_xlpm.MyAuditVal),_xlpm.MacVal&lt;&gt;"",_xlpm.MacVal,_xlpm.CSVVal&lt;&gt;"",_xlpm.CSVVal
)),"")</f>
        <v/>
      </c>
      <c r="L418" s="40" t="str" cm="1">
        <f t="array" ref="L418">IFERROR(_xlfn.LET(
_xlpm.CSVVal,_xlfn.XLOOKUP($A418,CSV!$A:$A,CSV!P:P,""),
_xlpm.MacVal,_xlfn.XLOOKUP($A418,Output_Mac!$A:$A,Output_Mac!L:L,""),
_xlpm.MyAuditVal,_xlfn.XLOOKUP($A418,My_Audit!$A:$A,My_Audit!K:K,""),
_xlfn.IFS(_xlpm.MyAuditVal&lt;&gt;"",UPPER(_xlpm.MyAuditVal),_xlpm.MacVal&lt;&gt;"",_xlpm.MacVal,_xlpm.CSVVal&lt;&gt;"",_xlpm.CSVVal
)),"")</f>
        <v/>
      </c>
      <c r="M418" s="40" t="str" cm="1">
        <f t="array" ref="M418">IFERROR(_xlfn.LET(
_xlpm.CSVVal,_xlfn.XLOOKUP($A418,CSV!$A:$A,CSV!Q:Q,""),
_xlpm.MacVal,_xlfn.XLOOKUP($A418,Output_Mac!$A:$A,Output_Mac!M:M,""),
_xlpm.MyAuditVal,_xlfn.XLOOKUP($A418,My_Audit!$A:$A,My_Audit!L:L,""),
_xlfn.IFS(_xlpm.MyAuditVal&lt;&gt;"",UPPER(_xlpm.MyAuditVal),_xlpm.MacVal&lt;&gt;"",_xlpm.MacVal,_xlpm.CSVVal&lt;&gt;"",_xlpm.CSVVal
)),"")</f>
        <v/>
      </c>
      <c r="N418" s="40"/>
      <c r="O418" s="40" t="str">
        <f>_xlfn.LET(
    _xlpm.CSVVal, _xlfn.XLOOKUP($A418, CSV!$A:$A, CSV!AA:AA, ""),
    _xlpm.MacVal, _xlfn.XLOOKUP($A418, Output_Mac!$A:$A, Output_Mac!S:S, ""),
    _xlpm.MyAuditVal, _xlfn.XLOOKUP($A418, My_Audit!$A:$A, My_Audit!P:P, ""),
    _xlfn.TEXTJOIN(", ", TRUE, _xlpm.MyAuditVal, _xlpm.MacVal, _xlpm.CSVVal)
)</f>
        <v/>
      </c>
      <c r="P418" s="40" t="str" cm="1">
        <f t="array" ref="P418">IFERROR(_xlfn.LET(
_xlpm.CSVVal,_xlfn.XLOOKUP($A418,CSV!$A:$A,CSV!AB:AB,""),
_xlpm.MacVal,_xlfn.XLOOKUP($A418,Output_Mac!$A:$A,Output_Mac!T:T,""),
_xlpm.MyAuditVal,_xlfn.XLOOKUP($A418,My_Audit!$A:$A,My_Audit!Q:Q,""),
_xlfn.IFS(_xlpm.MyAuditVal&lt;&gt;"",UPPER(_xlpm.MyAuditVal),_xlpm.MacVal&lt;&gt;"",_xlpm.MacVal,_xlpm.CSVVal&lt;&gt;"",_xlpm.CSVVal
)),"No")</f>
        <v>No</v>
      </c>
      <c r="Q418" s="40" t="str" cm="1">
        <f t="array" ref="Q418">IFERROR(_xlfn.LET(
_xlpm.CSVVal,_xlfn.XLOOKUP($A418,CSV!$A:$A,CSV!AC:AC,""),
_xlpm.MacVal,_xlfn.XLOOKUP($A418,Output_Mac!$A:$A,Output_Mac!U:U,""),
_xlpm.MyAuditVal,_xlfn.XLOOKUP($A418,My_Audit!$A:$A,My_Audit!R:R,""),
_xlfn.IFS(_xlpm.MyAuditVal&lt;&gt;"",UPPER(_xlpm.MyAuditVal),_xlpm.MacVal&lt;&gt;"",_xlpm.MacVal,_xlpm.CSVVal&lt;&gt;"",_xlpm.CSVVal
)),"")</f>
        <v/>
      </c>
      <c r="R418" s="40"/>
      <c r="S418" s="40"/>
      <c r="T418" s="40"/>
      <c r="U418" s="40"/>
      <c r="V418" s="40"/>
      <c r="W418" s="40"/>
      <c r="X418" s="41" t="str">
        <f>_xlfn.LET(
    _xlpm.MacVal, _xlfn.XLOOKUP($A418, Output_Mac!$A:$A, Output_Mac!AB:AB, ""),
    _xlpm.MyAuditVal, _xlfn.XLOOKUP($A418, My_Audit!$A:$A, My_Audit!N:N, ""),
    _xlfn.TEXTJOIN(", ", TRUE, _xlpm.MyAuditVal, _xlpm.MacVal)
)</f>
        <v/>
      </c>
    </row>
    <row r="419" spans="1:24">
      <c r="A419" s="40" t="str">
        <f>_xlfn.TEXTJOIN("",TRUE,Input!$B$2,ROW(My_Audit!A418))</f>
        <v>X418</v>
      </c>
      <c r="B419" s="40" t="str">
        <f>_xlfn.TEXTJOIN("-",TRUE,"ITD",Input!$A$2,A419)</f>
        <v>ITD-X418</v>
      </c>
      <c r="C419" s="40" t="str" cm="1">
        <f t="array" ref="C419">IFERROR(_xlfn.LET(
_xlpm.CSVVal,_xlfn.XLOOKUP($A419,CSV!$A:$A,CSV!B:B,""),
_xlpm.MacVal,_xlfn.XLOOKUP($A419,Output_Mac!$A:$A,Output_Mac!B:B,""),
_xlpm.MyAuditVal,_xlfn.XLOOKUP($A419,My_Audit!$A:$A,My_Audit!B:B,""),
_xlfn.IFS(_xlpm.MyAuditVal&lt;&gt;"",UPPER(_xlpm.MyAuditVal),_xlpm.MacVal&lt;&gt;"",_xlpm.MacVal,_xlpm.CSVVal&lt;&gt;"",_xlpm.CSVVal
)),"")</f>
        <v/>
      </c>
      <c r="D419" s="40" t="str" cm="1">
        <f t="array" ref="D419">IFERROR(_xlfn.LET(
_xlpm.CSVVal,_xlfn.XLOOKUP($A419,CSV!$A:$A,CSV!D:D,""),
_xlpm.MacVal,_xlfn.XLOOKUP($A419,Output_Mac!$A:$A,Output_Mac!C:C,""),
_xlpm.MyAuditVal,_xlfn.XLOOKUP($A419,My_Audit!$A:$A,My_Audit!C:C,""),
_xlfn.IFS(_xlpm.MyAuditVal&lt;&gt;"",_xlpm.MyAuditVal,_xlpm.MacVal&lt;&gt;"",_xlpm.MacVal,_xlpm.CSVVal&lt;&gt;"",_xlpm.CSVVal
)),"")</f>
        <v/>
      </c>
      <c r="E419" s="40">
        <f>_xlfn.XLOOKUP(A419,My_Audit!A:A,My_Audit!D:D,"")</f>
        <v>0</v>
      </c>
      <c r="F419" s="40" t="str" cm="1">
        <f t="array" ref="F419">IFERROR(_xlfn.LET(
_xlpm.CSVVal,_xlfn.XLOOKUP($A419,CSV!$A:$A,CSV!F:F,""),
_xlpm.MacVal,_xlfn.XLOOKUP($A419,Output_Mac!$A:$A,Output_Mac!E:E,""),
_xlpm.MyAuditVal,_xlfn.XLOOKUP($A419,My_Audit!$A:$A,My_Audit!E:E,""),
_xlfn.IFS(_xlpm.MyAuditVal&lt;&gt;"",_xlpm.MyAuditVal,_xlpm.MacVal&lt;&gt;"",_xlpm.MacVal,_xlpm.CSVVal&lt;&gt;"",_xlpm.CSVVal
)),"")</f>
        <v/>
      </c>
      <c r="G419" s="40" t="str" cm="1">
        <f t="array" ref="G419">IFERROR(_xlfn.LET(
_xlpm.CSVVal,_xlfn.XLOOKUP($A419,CSV!$A:$A,CSV!G:G,""),
_xlpm.MacVal,_xlfn.XLOOKUP($A419,Output_Mac!$A:$A,Output_Mac!F:F,""),
_xlpm.MyAuditVal,_xlfn.XLOOKUP($A419,My_Audit!$A:$A,My_Audit!F:F,""),
_xlfn.IFS(_xlpm.MyAuditVal&lt;&gt;"",_xlpm.MyAuditVal,_xlpm.MacVal&lt;&gt;"",_xlpm.MacVal,_xlpm.CSVVal&lt;&gt;"",PROPER(_xlpm.CSVVal)
)),"")</f>
        <v/>
      </c>
      <c r="H419" s="40" t="str" cm="1">
        <f t="array" ref="H419">IFERROR(_xlfn.LET(
_xlpm.CSVVal,_xlfn.XLOOKUP($A419,CSV!$A:$A,CSV!H:H,""),
_xlpm.MacVal,_xlfn.XLOOKUP($A419,Output_Mac!$A:$A,Output_Mac!H:H,""),
_xlpm.MyAuditVal,_xlfn.XLOOKUP($A419,My_Audit!$A:$A,My_Audit!G:G,""),
_xlfn.IFS(_xlpm.MyAuditVal&lt;&gt;"",_xlpm.MyAuditVal,_xlpm.MacVal&lt;&gt;"",_xlpm.MacVal,_xlpm.CSVVal&lt;&gt;"",_xlpm.CSVVal
)),"")</f>
        <v/>
      </c>
      <c r="I419" s="40" t="str">
        <f>_xlfn.XLOOKUP(A419,Output_Mac!A:A,Output_Mac!I:I,"")</f>
        <v/>
      </c>
      <c r="J419" s="40" t="str" cm="1">
        <f t="array" ref="J419">IFERROR(_xlfn.LET(
_xlpm.CSVVal,_xlfn.XLOOKUP($A419,CSV!$A:$A,CSV!I:I,""),
_xlpm.MacVal,_xlfn.XLOOKUP($A419,Output_Mac!$A:$A,Output_Mac!J:J,""),
_xlpm.MyAuditVal,_xlfn.XLOOKUP($A419,My_Audit!$A:$A,My_Audit!I:I,""),
_xlfn.IFS(_xlpm.MyAuditVal&lt;&gt;"",UPPER(_xlpm.MyAuditVal),_xlpm.MacVal&lt;&gt;"",_xlpm.MacVal,_xlpm.CSVVal&lt;&gt;"",_xlpm.CSVVal
)),"")</f>
        <v/>
      </c>
      <c r="K419" s="40" t="str" cm="1">
        <f t="array" ref="K419">IFERROR(_xlfn.LET(
_xlpm.CSVVal,_xlfn.XLOOKUP($A419,CSV!$A:$A,CSV!K:K,""),
_xlpm.MacVal,_xlfn.XLOOKUP($A419,Output_Mac!$A:$A,Output_Mac!K:K,""),
_xlpm.MyAuditVal,_xlfn.XLOOKUP($A419,My_Audit!$A:$A,My_Audit!J:J,""),
_xlfn.IFS(_xlpm.MyAuditVal&lt;&gt;"",UPPER(_xlpm.MyAuditVal),_xlpm.MacVal&lt;&gt;"",_xlpm.MacVal,_xlpm.CSVVal&lt;&gt;"",_xlpm.CSVVal
)),"")</f>
        <v/>
      </c>
      <c r="L419" s="40" t="str" cm="1">
        <f t="array" ref="L419">IFERROR(_xlfn.LET(
_xlpm.CSVVal,_xlfn.XLOOKUP($A419,CSV!$A:$A,CSV!P:P,""),
_xlpm.MacVal,_xlfn.XLOOKUP($A419,Output_Mac!$A:$A,Output_Mac!L:L,""),
_xlpm.MyAuditVal,_xlfn.XLOOKUP($A419,My_Audit!$A:$A,My_Audit!K:K,""),
_xlfn.IFS(_xlpm.MyAuditVal&lt;&gt;"",UPPER(_xlpm.MyAuditVal),_xlpm.MacVal&lt;&gt;"",_xlpm.MacVal,_xlpm.CSVVal&lt;&gt;"",_xlpm.CSVVal
)),"")</f>
        <v/>
      </c>
      <c r="M419" s="40" t="str" cm="1">
        <f t="array" ref="M419">IFERROR(_xlfn.LET(
_xlpm.CSVVal,_xlfn.XLOOKUP($A419,CSV!$A:$A,CSV!Q:Q,""),
_xlpm.MacVal,_xlfn.XLOOKUP($A419,Output_Mac!$A:$A,Output_Mac!M:M,""),
_xlpm.MyAuditVal,_xlfn.XLOOKUP($A419,My_Audit!$A:$A,My_Audit!L:L,""),
_xlfn.IFS(_xlpm.MyAuditVal&lt;&gt;"",UPPER(_xlpm.MyAuditVal),_xlpm.MacVal&lt;&gt;"",_xlpm.MacVal,_xlpm.CSVVal&lt;&gt;"",_xlpm.CSVVal
)),"")</f>
        <v/>
      </c>
      <c r="N419" s="40"/>
      <c r="O419" s="40" t="str">
        <f>_xlfn.LET(
    _xlpm.CSVVal, _xlfn.XLOOKUP($A419, CSV!$A:$A, CSV!AA:AA, ""),
    _xlpm.MacVal, _xlfn.XLOOKUP($A419, Output_Mac!$A:$A, Output_Mac!S:S, ""),
    _xlpm.MyAuditVal, _xlfn.XLOOKUP($A419, My_Audit!$A:$A, My_Audit!P:P, ""),
    _xlfn.TEXTJOIN(", ", TRUE, _xlpm.MyAuditVal, _xlpm.MacVal, _xlpm.CSVVal)
)</f>
        <v/>
      </c>
      <c r="P419" s="40" t="str" cm="1">
        <f t="array" ref="P419">IFERROR(_xlfn.LET(
_xlpm.CSVVal,_xlfn.XLOOKUP($A419,CSV!$A:$A,CSV!AB:AB,""),
_xlpm.MacVal,_xlfn.XLOOKUP($A419,Output_Mac!$A:$A,Output_Mac!T:T,""),
_xlpm.MyAuditVal,_xlfn.XLOOKUP($A419,My_Audit!$A:$A,My_Audit!Q:Q,""),
_xlfn.IFS(_xlpm.MyAuditVal&lt;&gt;"",UPPER(_xlpm.MyAuditVal),_xlpm.MacVal&lt;&gt;"",_xlpm.MacVal,_xlpm.CSVVal&lt;&gt;"",_xlpm.CSVVal
)),"No")</f>
        <v>No</v>
      </c>
      <c r="Q419" s="40" t="str" cm="1">
        <f t="array" ref="Q419">IFERROR(_xlfn.LET(
_xlpm.CSVVal,_xlfn.XLOOKUP($A419,CSV!$A:$A,CSV!AC:AC,""),
_xlpm.MacVal,_xlfn.XLOOKUP($A419,Output_Mac!$A:$A,Output_Mac!U:U,""),
_xlpm.MyAuditVal,_xlfn.XLOOKUP($A419,My_Audit!$A:$A,My_Audit!R:R,""),
_xlfn.IFS(_xlpm.MyAuditVal&lt;&gt;"",UPPER(_xlpm.MyAuditVal),_xlpm.MacVal&lt;&gt;"",_xlpm.MacVal,_xlpm.CSVVal&lt;&gt;"",_xlpm.CSVVal
)),"")</f>
        <v/>
      </c>
      <c r="R419" s="40"/>
      <c r="S419" s="40"/>
      <c r="T419" s="40"/>
      <c r="U419" s="40"/>
      <c r="V419" s="40"/>
      <c r="W419" s="40"/>
      <c r="X419" s="41" t="str">
        <f>_xlfn.LET(
    _xlpm.MacVal, _xlfn.XLOOKUP($A419, Output_Mac!$A:$A, Output_Mac!AB:AB, ""),
    _xlpm.MyAuditVal, _xlfn.XLOOKUP($A419, My_Audit!$A:$A, My_Audit!N:N, ""),
    _xlfn.TEXTJOIN(", ", TRUE, _xlpm.MyAuditVal, _xlpm.MacVal)
)</f>
        <v/>
      </c>
    </row>
    <row r="420" spans="1:24">
      <c r="A420" s="40" t="str">
        <f>_xlfn.TEXTJOIN("",TRUE,Input!$B$2,ROW(My_Audit!A419))</f>
        <v>X419</v>
      </c>
      <c r="B420" s="40" t="str">
        <f>_xlfn.TEXTJOIN("-",TRUE,"ITD",Input!$A$2,A420)</f>
        <v>ITD-X419</v>
      </c>
      <c r="C420" s="40" t="str" cm="1">
        <f t="array" ref="C420">IFERROR(_xlfn.LET(
_xlpm.CSVVal,_xlfn.XLOOKUP($A420,CSV!$A:$A,CSV!B:B,""),
_xlpm.MacVal,_xlfn.XLOOKUP($A420,Output_Mac!$A:$A,Output_Mac!B:B,""),
_xlpm.MyAuditVal,_xlfn.XLOOKUP($A420,My_Audit!$A:$A,My_Audit!B:B,""),
_xlfn.IFS(_xlpm.MyAuditVal&lt;&gt;"",UPPER(_xlpm.MyAuditVal),_xlpm.MacVal&lt;&gt;"",_xlpm.MacVal,_xlpm.CSVVal&lt;&gt;"",_xlpm.CSVVal
)),"")</f>
        <v/>
      </c>
      <c r="D420" s="40" t="str" cm="1">
        <f t="array" ref="D420">IFERROR(_xlfn.LET(
_xlpm.CSVVal,_xlfn.XLOOKUP($A420,CSV!$A:$A,CSV!D:D,""),
_xlpm.MacVal,_xlfn.XLOOKUP($A420,Output_Mac!$A:$A,Output_Mac!C:C,""),
_xlpm.MyAuditVal,_xlfn.XLOOKUP($A420,My_Audit!$A:$A,My_Audit!C:C,""),
_xlfn.IFS(_xlpm.MyAuditVal&lt;&gt;"",_xlpm.MyAuditVal,_xlpm.MacVal&lt;&gt;"",_xlpm.MacVal,_xlpm.CSVVal&lt;&gt;"",_xlpm.CSVVal
)),"")</f>
        <v/>
      </c>
      <c r="E420" s="40">
        <f>_xlfn.XLOOKUP(A420,My_Audit!A:A,My_Audit!D:D,"")</f>
        <v>0</v>
      </c>
      <c r="F420" s="40" t="str" cm="1">
        <f t="array" ref="F420">IFERROR(_xlfn.LET(
_xlpm.CSVVal,_xlfn.XLOOKUP($A420,CSV!$A:$A,CSV!F:F,""),
_xlpm.MacVal,_xlfn.XLOOKUP($A420,Output_Mac!$A:$A,Output_Mac!E:E,""),
_xlpm.MyAuditVal,_xlfn.XLOOKUP($A420,My_Audit!$A:$A,My_Audit!E:E,""),
_xlfn.IFS(_xlpm.MyAuditVal&lt;&gt;"",_xlpm.MyAuditVal,_xlpm.MacVal&lt;&gt;"",_xlpm.MacVal,_xlpm.CSVVal&lt;&gt;"",_xlpm.CSVVal
)),"")</f>
        <v/>
      </c>
      <c r="G420" s="40" t="str" cm="1">
        <f t="array" ref="G420">IFERROR(_xlfn.LET(
_xlpm.CSVVal,_xlfn.XLOOKUP($A420,CSV!$A:$A,CSV!G:G,""),
_xlpm.MacVal,_xlfn.XLOOKUP($A420,Output_Mac!$A:$A,Output_Mac!F:F,""),
_xlpm.MyAuditVal,_xlfn.XLOOKUP($A420,My_Audit!$A:$A,My_Audit!F:F,""),
_xlfn.IFS(_xlpm.MyAuditVal&lt;&gt;"",_xlpm.MyAuditVal,_xlpm.MacVal&lt;&gt;"",_xlpm.MacVal,_xlpm.CSVVal&lt;&gt;"",PROPER(_xlpm.CSVVal)
)),"")</f>
        <v/>
      </c>
      <c r="H420" s="40" t="str" cm="1">
        <f t="array" ref="H420">IFERROR(_xlfn.LET(
_xlpm.CSVVal,_xlfn.XLOOKUP($A420,CSV!$A:$A,CSV!H:H,""),
_xlpm.MacVal,_xlfn.XLOOKUP($A420,Output_Mac!$A:$A,Output_Mac!H:H,""),
_xlpm.MyAuditVal,_xlfn.XLOOKUP($A420,My_Audit!$A:$A,My_Audit!G:G,""),
_xlfn.IFS(_xlpm.MyAuditVal&lt;&gt;"",_xlpm.MyAuditVal,_xlpm.MacVal&lt;&gt;"",_xlpm.MacVal,_xlpm.CSVVal&lt;&gt;"",_xlpm.CSVVal
)),"")</f>
        <v/>
      </c>
      <c r="I420" s="40" t="str">
        <f>_xlfn.XLOOKUP(A420,Output_Mac!A:A,Output_Mac!I:I,"")</f>
        <v/>
      </c>
      <c r="J420" s="40" t="str" cm="1">
        <f t="array" ref="J420">IFERROR(_xlfn.LET(
_xlpm.CSVVal,_xlfn.XLOOKUP($A420,CSV!$A:$A,CSV!I:I,""),
_xlpm.MacVal,_xlfn.XLOOKUP($A420,Output_Mac!$A:$A,Output_Mac!J:J,""),
_xlpm.MyAuditVal,_xlfn.XLOOKUP($A420,My_Audit!$A:$A,My_Audit!I:I,""),
_xlfn.IFS(_xlpm.MyAuditVal&lt;&gt;"",UPPER(_xlpm.MyAuditVal),_xlpm.MacVal&lt;&gt;"",_xlpm.MacVal,_xlpm.CSVVal&lt;&gt;"",_xlpm.CSVVal
)),"")</f>
        <v/>
      </c>
      <c r="K420" s="40" t="str" cm="1">
        <f t="array" ref="K420">IFERROR(_xlfn.LET(
_xlpm.CSVVal,_xlfn.XLOOKUP($A420,CSV!$A:$A,CSV!K:K,""),
_xlpm.MacVal,_xlfn.XLOOKUP($A420,Output_Mac!$A:$A,Output_Mac!K:K,""),
_xlpm.MyAuditVal,_xlfn.XLOOKUP($A420,My_Audit!$A:$A,My_Audit!J:J,""),
_xlfn.IFS(_xlpm.MyAuditVal&lt;&gt;"",UPPER(_xlpm.MyAuditVal),_xlpm.MacVal&lt;&gt;"",_xlpm.MacVal,_xlpm.CSVVal&lt;&gt;"",_xlpm.CSVVal
)),"")</f>
        <v/>
      </c>
      <c r="L420" s="40" t="str" cm="1">
        <f t="array" ref="L420">IFERROR(_xlfn.LET(
_xlpm.CSVVal,_xlfn.XLOOKUP($A420,CSV!$A:$A,CSV!P:P,""),
_xlpm.MacVal,_xlfn.XLOOKUP($A420,Output_Mac!$A:$A,Output_Mac!L:L,""),
_xlpm.MyAuditVal,_xlfn.XLOOKUP($A420,My_Audit!$A:$A,My_Audit!K:K,""),
_xlfn.IFS(_xlpm.MyAuditVal&lt;&gt;"",UPPER(_xlpm.MyAuditVal),_xlpm.MacVal&lt;&gt;"",_xlpm.MacVal,_xlpm.CSVVal&lt;&gt;"",_xlpm.CSVVal
)),"")</f>
        <v/>
      </c>
      <c r="M420" s="40" t="str" cm="1">
        <f t="array" ref="M420">IFERROR(_xlfn.LET(
_xlpm.CSVVal,_xlfn.XLOOKUP($A420,CSV!$A:$A,CSV!Q:Q,""),
_xlpm.MacVal,_xlfn.XLOOKUP($A420,Output_Mac!$A:$A,Output_Mac!M:M,""),
_xlpm.MyAuditVal,_xlfn.XLOOKUP($A420,My_Audit!$A:$A,My_Audit!L:L,""),
_xlfn.IFS(_xlpm.MyAuditVal&lt;&gt;"",UPPER(_xlpm.MyAuditVal),_xlpm.MacVal&lt;&gt;"",_xlpm.MacVal,_xlpm.CSVVal&lt;&gt;"",_xlpm.CSVVal
)),"")</f>
        <v/>
      </c>
      <c r="N420" s="40"/>
      <c r="O420" s="40" t="str">
        <f>_xlfn.LET(
    _xlpm.CSVVal, _xlfn.XLOOKUP($A420, CSV!$A:$A, CSV!AA:AA, ""),
    _xlpm.MacVal, _xlfn.XLOOKUP($A420, Output_Mac!$A:$A, Output_Mac!S:S, ""),
    _xlpm.MyAuditVal, _xlfn.XLOOKUP($A420, My_Audit!$A:$A, My_Audit!P:P, ""),
    _xlfn.TEXTJOIN(", ", TRUE, _xlpm.MyAuditVal, _xlpm.MacVal, _xlpm.CSVVal)
)</f>
        <v/>
      </c>
      <c r="P420" s="40" t="str" cm="1">
        <f t="array" ref="P420">IFERROR(_xlfn.LET(
_xlpm.CSVVal,_xlfn.XLOOKUP($A420,CSV!$A:$A,CSV!AB:AB,""),
_xlpm.MacVal,_xlfn.XLOOKUP($A420,Output_Mac!$A:$A,Output_Mac!T:T,""),
_xlpm.MyAuditVal,_xlfn.XLOOKUP($A420,My_Audit!$A:$A,My_Audit!Q:Q,""),
_xlfn.IFS(_xlpm.MyAuditVal&lt;&gt;"",UPPER(_xlpm.MyAuditVal),_xlpm.MacVal&lt;&gt;"",_xlpm.MacVal,_xlpm.CSVVal&lt;&gt;"",_xlpm.CSVVal
)),"No")</f>
        <v>No</v>
      </c>
      <c r="Q420" s="40" t="str" cm="1">
        <f t="array" ref="Q420">IFERROR(_xlfn.LET(
_xlpm.CSVVal,_xlfn.XLOOKUP($A420,CSV!$A:$A,CSV!AC:AC,""),
_xlpm.MacVal,_xlfn.XLOOKUP($A420,Output_Mac!$A:$A,Output_Mac!U:U,""),
_xlpm.MyAuditVal,_xlfn.XLOOKUP($A420,My_Audit!$A:$A,My_Audit!R:R,""),
_xlfn.IFS(_xlpm.MyAuditVal&lt;&gt;"",UPPER(_xlpm.MyAuditVal),_xlpm.MacVal&lt;&gt;"",_xlpm.MacVal,_xlpm.CSVVal&lt;&gt;"",_xlpm.CSVVal
)),"")</f>
        <v/>
      </c>
      <c r="R420" s="40"/>
      <c r="S420" s="40"/>
      <c r="T420" s="40"/>
      <c r="U420" s="40"/>
      <c r="V420" s="40"/>
      <c r="W420" s="40"/>
      <c r="X420" s="41" t="str">
        <f>_xlfn.LET(
    _xlpm.MacVal, _xlfn.XLOOKUP($A420, Output_Mac!$A:$A, Output_Mac!AB:AB, ""),
    _xlpm.MyAuditVal, _xlfn.XLOOKUP($A420, My_Audit!$A:$A, My_Audit!N:N, ""),
    _xlfn.TEXTJOIN(", ", TRUE, _xlpm.MyAuditVal, _xlpm.MacVal)
)</f>
        <v/>
      </c>
    </row>
    <row r="421" spans="1:24">
      <c r="A421" s="40" t="str">
        <f>_xlfn.TEXTJOIN("",TRUE,Input!$B$2,ROW(My_Audit!A420))</f>
        <v>X420</v>
      </c>
      <c r="B421" s="40" t="str">
        <f>_xlfn.TEXTJOIN("-",TRUE,"ITD",Input!$A$2,A421)</f>
        <v>ITD-X420</v>
      </c>
      <c r="C421" s="40" t="str" cm="1">
        <f t="array" ref="C421">IFERROR(_xlfn.LET(
_xlpm.CSVVal,_xlfn.XLOOKUP($A421,CSV!$A:$A,CSV!B:B,""),
_xlpm.MacVal,_xlfn.XLOOKUP($A421,Output_Mac!$A:$A,Output_Mac!B:B,""),
_xlpm.MyAuditVal,_xlfn.XLOOKUP($A421,My_Audit!$A:$A,My_Audit!B:B,""),
_xlfn.IFS(_xlpm.MyAuditVal&lt;&gt;"",UPPER(_xlpm.MyAuditVal),_xlpm.MacVal&lt;&gt;"",_xlpm.MacVal,_xlpm.CSVVal&lt;&gt;"",_xlpm.CSVVal
)),"")</f>
        <v/>
      </c>
      <c r="D421" s="40" t="str" cm="1">
        <f t="array" ref="D421">IFERROR(_xlfn.LET(
_xlpm.CSVVal,_xlfn.XLOOKUP($A421,CSV!$A:$A,CSV!D:D,""),
_xlpm.MacVal,_xlfn.XLOOKUP($A421,Output_Mac!$A:$A,Output_Mac!C:C,""),
_xlpm.MyAuditVal,_xlfn.XLOOKUP($A421,My_Audit!$A:$A,My_Audit!C:C,""),
_xlfn.IFS(_xlpm.MyAuditVal&lt;&gt;"",_xlpm.MyAuditVal,_xlpm.MacVal&lt;&gt;"",_xlpm.MacVal,_xlpm.CSVVal&lt;&gt;"",_xlpm.CSVVal
)),"")</f>
        <v/>
      </c>
      <c r="E421" s="40">
        <f>_xlfn.XLOOKUP(A421,My_Audit!A:A,My_Audit!D:D,"")</f>
        <v>0</v>
      </c>
      <c r="F421" s="40" t="str" cm="1">
        <f t="array" ref="F421">IFERROR(_xlfn.LET(
_xlpm.CSVVal,_xlfn.XLOOKUP($A421,CSV!$A:$A,CSV!F:F,""),
_xlpm.MacVal,_xlfn.XLOOKUP($A421,Output_Mac!$A:$A,Output_Mac!E:E,""),
_xlpm.MyAuditVal,_xlfn.XLOOKUP($A421,My_Audit!$A:$A,My_Audit!E:E,""),
_xlfn.IFS(_xlpm.MyAuditVal&lt;&gt;"",_xlpm.MyAuditVal,_xlpm.MacVal&lt;&gt;"",_xlpm.MacVal,_xlpm.CSVVal&lt;&gt;"",_xlpm.CSVVal
)),"")</f>
        <v/>
      </c>
      <c r="G421" s="40" t="str" cm="1">
        <f t="array" ref="G421">IFERROR(_xlfn.LET(
_xlpm.CSVVal,_xlfn.XLOOKUP($A421,CSV!$A:$A,CSV!G:G,""),
_xlpm.MacVal,_xlfn.XLOOKUP($A421,Output_Mac!$A:$A,Output_Mac!F:F,""),
_xlpm.MyAuditVal,_xlfn.XLOOKUP($A421,My_Audit!$A:$A,My_Audit!F:F,""),
_xlfn.IFS(_xlpm.MyAuditVal&lt;&gt;"",_xlpm.MyAuditVal,_xlpm.MacVal&lt;&gt;"",_xlpm.MacVal,_xlpm.CSVVal&lt;&gt;"",PROPER(_xlpm.CSVVal)
)),"")</f>
        <v/>
      </c>
      <c r="H421" s="40" t="str" cm="1">
        <f t="array" ref="H421">IFERROR(_xlfn.LET(
_xlpm.CSVVal,_xlfn.XLOOKUP($A421,CSV!$A:$A,CSV!H:H,""),
_xlpm.MacVal,_xlfn.XLOOKUP($A421,Output_Mac!$A:$A,Output_Mac!H:H,""),
_xlpm.MyAuditVal,_xlfn.XLOOKUP($A421,My_Audit!$A:$A,My_Audit!G:G,""),
_xlfn.IFS(_xlpm.MyAuditVal&lt;&gt;"",_xlpm.MyAuditVal,_xlpm.MacVal&lt;&gt;"",_xlpm.MacVal,_xlpm.CSVVal&lt;&gt;"",_xlpm.CSVVal
)),"")</f>
        <v/>
      </c>
      <c r="I421" s="40" t="str">
        <f>_xlfn.XLOOKUP(A421,Output_Mac!A:A,Output_Mac!I:I,"")</f>
        <v/>
      </c>
      <c r="J421" s="40" t="str" cm="1">
        <f t="array" ref="J421">IFERROR(_xlfn.LET(
_xlpm.CSVVal,_xlfn.XLOOKUP($A421,CSV!$A:$A,CSV!I:I,""),
_xlpm.MacVal,_xlfn.XLOOKUP($A421,Output_Mac!$A:$A,Output_Mac!J:J,""),
_xlpm.MyAuditVal,_xlfn.XLOOKUP($A421,My_Audit!$A:$A,My_Audit!I:I,""),
_xlfn.IFS(_xlpm.MyAuditVal&lt;&gt;"",UPPER(_xlpm.MyAuditVal),_xlpm.MacVal&lt;&gt;"",_xlpm.MacVal,_xlpm.CSVVal&lt;&gt;"",_xlpm.CSVVal
)),"")</f>
        <v/>
      </c>
      <c r="K421" s="40" t="str" cm="1">
        <f t="array" ref="K421">IFERROR(_xlfn.LET(
_xlpm.CSVVal,_xlfn.XLOOKUP($A421,CSV!$A:$A,CSV!K:K,""),
_xlpm.MacVal,_xlfn.XLOOKUP($A421,Output_Mac!$A:$A,Output_Mac!K:K,""),
_xlpm.MyAuditVal,_xlfn.XLOOKUP($A421,My_Audit!$A:$A,My_Audit!J:J,""),
_xlfn.IFS(_xlpm.MyAuditVal&lt;&gt;"",UPPER(_xlpm.MyAuditVal),_xlpm.MacVal&lt;&gt;"",_xlpm.MacVal,_xlpm.CSVVal&lt;&gt;"",_xlpm.CSVVal
)),"")</f>
        <v/>
      </c>
      <c r="L421" s="40" t="str" cm="1">
        <f t="array" ref="L421">IFERROR(_xlfn.LET(
_xlpm.CSVVal,_xlfn.XLOOKUP($A421,CSV!$A:$A,CSV!P:P,""),
_xlpm.MacVal,_xlfn.XLOOKUP($A421,Output_Mac!$A:$A,Output_Mac!L:L,""),
_xlpm.MyAuditVal,_xlfn.XLOOKUP($A421,My_Audit!$A:$A,My_Audit!K:K,""),
_xlfn.IFS(_xlpm.MyAuditVal&lt;&gt;"",UPPER(_xlpm.MyAuditVal),_xlpm.MacVal&lt;&gt;"",_xlpm.MacVal,_xlpm.CSVVal&lt;&gt;"",_xlpm.CSVVal
)),"")</f>
        <v/>
      </c>
      <c r="M421" s="40" t="str" cm="1">
        <f t="array" ref="M421">IFERROR(_xlfn.LET(
_xlpm.CSVVal,_xlfn.XLOOKUP($A421,CSV!$A:$A,CSV!Q:Q,""),
_xlpm.MacVal,_xlfn.XLOOKUP($A421,Output_Mac!$A:$A,Output_Mac!M:M,""),
_xlpm.MyAuditVal,_xlfn.XLOOKUP($A421,My_Audit!$A:$A,My_Audit!L:L,""),
_xlfn.IFS(_xlpm.MyAuditVal&lt;&gt;"",UPPER(_xlpm.MyAuditVal),_xlpm.MacVal&lt;&gt;"",_xlpm.MacVal,_xlpm.CSVVal&lt;&gt;"",_xlpm.CSVVal
)),"")</f>
        <v/>
      </c>
      <c r="N421" s="40"/>
      <c r="O421" s="40" t="str">
        <f>_xlfn.LET(
    _xlpm.CSVVal, _xlfn.XLOOKUP($A421, CSV!$A:$A, CSV!AA:AA, ""),
    _xlpm.MacVal, _xlfn.XLOOKUP($A421, Output_Mac!$A:$A, Output_Mac!S:S, ""),
    _xlpm.MyAuditVal, _xlfn.XLOOKUP($A421, My_Audit!$A:$A, My_Audit!P:P, ""),
    _xlfn.TEXTJOIN(", ", TRUE, _xlpm.MyAuditVal, _xlpm.MacVal, _xlpm.CSVVal)
)</f>
        <v/>
      </c>
      <c r="P421" s="40" t="str" cm="1">
        <f t="array" ref="P421">IFERROR(_xlfn.LET(
_xlpm.CSVVal,_xlfn.XLOOKUP($A421,CSV!$A:$A,CSV!AB:AB,""),
_xlpm.MacVal,_xlfn.XLOOKUP($A421,Output_Mac!$A:$A,Output_Mac!T:T,""),
_xlpm.MyAuditVal,_xlfn.XLOOKUP($A421,My_Audit!$A:$A,My_Audit!Q:Q,""),
_xlfn.IFS(_xlpm.MyAuditVal&lt;&gt;"",UPPER(_xlpm.MyAuditVal),_xlpm.MacVal&lt;&gt;"",_xlpm.MacVal,_xlpm.CSVVal&lt;&gt;"",_xlpm.CSVVal
)),"No")</f>
        <v>No</v>
      </c>
      <c r="Q421" s="40" t="str" cm="1">
        <f t="array" ref="Q421">IFERROR(_xlfn.LET(
_xlpm.CSVVal,_xlfn.XLOOKUP($A421,CSV!$A:$A,CSV!AC:AC,""),
_xlpm.MacVal,_xlfn.XLOOKUP($A421,Output_Mac!$A:$A,Output_Mac!U:U,""),
_xlpm.MyAuditVal,_xlfn.XLOOKUP($A421,My_Audit!$A:$A,My_Audit!R:R,""),
_xlfn.IFS(_xlpm.MyAuditVal&lt;&gt;"",UPPER(_xlpm.MyAuditVal),_xlpm.MacVal&lt;&gt;"",_xlpm.MacVal,_xlpm.CSVVal&lt;&gt;"",_xlpm.CSVVal
)),"")</f>
        <v/>
      </c>
      <c r="R421" s="40"/>
      <c r="S421" s="40"/>
      <c r="T421" s="40"/>
      <c r="U421" s="40"/>
      <c r="V421" s="40"/>
      <c r="W421" s="40"/>
      <c r="X421" s="41" t="str">
        <f>_xlfn.LET(
    _xlpm.MacVal, _xlfn.XLOOKUP($A421, Output_Mac!$A:$A, Output_Mac!AB:AB, ""),
    _xlpm.MyAuditVal, _xlfn.XLOOKUP($A421, My_Audit!$A:$A, My_Audit!N:N, ""),
    _xlfn.TEXTJOIN(", ", TRUE, _xlpm.MyAuditVal, _xlpm.MacVal)
)</f>
        <v/>
      </c>
    </row>
    <row r="422" spans="1:24">
      <c r="A422" s="40" t="str">
        <f>_xlfn.TEXTJOIN("",TRUE,Input!$B$2,ROW(My_Audit!A421))</f>
        <v>X421</v>
      </c>
      <c r="B422" s="40" t="str">
        <f>_xlfn.TEXTJOIN("-",TRUE,"ITD",Input!$A$2,A422)</f>
        <v>ITD-X421</v>
      </c>
      <c r="C422" s="40" t="str" cm="1">
        <f t="array" ref="C422">IFERROR(_xlfn.LET(
_xlpm.CSVVal,_xlfn.XLOOKUP($A422,CSV!$A:$A,CSV!B:B,""),
_xlpm.MacVal,_xlfn.XLOOKUP($A422,Output_Mac!$A:$A,Output_Mac!B:B,""),
_xlpm.MyAuditVal,_xlfn.XLOOKUP($A422,My_Audit!$A:$A,My_Audit!B:B,""),
_xlfn.IFS(_xlpm.MyAuditVal&lt;&gt;"",UPPER(_xlpm.MyAuditVal),_xlpm.MacVal&lt;&gt;"",_xlpm.MacVal,_xlpm.CSVVal&lt;&gt;"",_xlpm.CSVVal
)),"")</f>
        <v/>
      </c>
      <c r="D422" s="40" t="str" cm="1">
        <f t="array" ref="D422">IFERROR(_xlfn.LET(
_xlpm.CSVVal,_xlfn.XLOOKUP($A422,CSV!$A:$A,CSV!D:D,""),
_xlpm.MacVal,_xlfn.XLOOKUP($A422,Output_Mac!$A:$A,Output_Mac!C:C,""),
_xlpm.MyAuditVal,_xlfn.XLOOKUP($A422,My_Audit!$A:$A,My_Audit!C:C,""),
_xlfn.IFS(_xlpm.MyAuditVal&lt;&gt;"",_xlpm.MyAuditVal,_xlpm.MacVal&lt;&gt;"",_xlpm.MacVal,_xlpm.CSVVal&lt;&gt;"",_xlpm.CSVVal
)),"")</f>
        <v/>
      </c>
      <c r="E422" s="40">
        <f>_xlfn.XLOOKUP(A422,My_Audit!A:A,My_Audit!D:D,"")</f>
        <v>0</v>
      </c>
      <c r="F422" s="40" t="str" cm="1">
        <f t="array" ref="F422">IFERROR(_xlfn.LET(
_xlpm.CSVVal,_xlfn.XLOOKUP($A422,CSV!$A:$A,CSV!F:F,""),
_xlpm.MacVal,_xlfn.XLOOKUP($A422,Output_Mac!$A:$A,Output_Mac!E:E,""),
_xlpm.MyAuditVal,_xlfn.XLOOKUP($A422,My_Audit!$A:$A,My_Audit!E:E,""),
_xlfn.IFS(_xlpm.MyAuditVal&lt;&gt;"",_xlpm.MyAuditVal,_xlpm.MacVal&lt;&gt;"",_xlpm.MacVal,_xlpm.CSVVal&lt;&gt;"",_xlpm.CSVVal
)),"")</f>
        <v/>
      </c>
      <c r="G422" s="40" t="str" cm="1">
        <f t="array" ref="G422">IFERROR(_xlfn.LET(
_xlpm.CSVVal,_xlfn.XLOOKUP($A422,CSV!$A:$A,CSV!G:G,""),
_xlpm.MacVal,_xlfn.XLOOKUP($A422,Output_Mac!$A:$A,Output_Mac!F:F,""),
_xlpm.MyAuditVal,_xlfn.XLOOKUP($A422,My_Audit!$A:$A,My_Audit!F:F,""),
_xlfn.IFS(_xlpm.MyAuditVal&lt;&gt;"",_xlpm.MyAuditVal,_xlpm.MacVal&lt;&gt;"",_xlpm.MacVal,_xlpm.CSVVal&lt;&gt;"",PROPER(_xlpm.CSVVal)
)),"")</f>
        <v/>
      </c>
      <c r="H422" s="40" t="str" cm="1">
        <f t="array" ref="H422">IFERROR(_xlfn.LET(
_xlpm.CSVVal,_xlfn.XLOOKUP($A422,CSV!$A:$A,CSV!H:H,""),
_xlpm.MacVal,_xlfn.XLOOKUP($A422,Output_Mac!$A:$A,Output_Mac!H:H,""),
_xlpm.MyAuditVal,_xlfn.XLOOKUP($A422,My_Audit!$A:$A,My_Audit!G:G,""),
_xlfn.IFS(_xlpm.MyAuditVal&lt;&gt;"",_xlpm.MyAuditVal,_xlpm.MacVal&lt;&gt;"",_xlpm.MacVal,_xlpm.CSVVal&lt;&gt;"",_xlpm.CSVVal
)),"")</f>
        <v/>
      </c>
      <c r="I422" s="40" t="str">
        <f>_xlfn.XLOOKUP(A422,Output_Mac!A:A,Output_Mac!I:I,"")</f>
        <v/>
      </c>
      <c r="J422" s="40" t="str" cm="1">
        <f t="array" ref="J422">IFERROR(_xlfn.LET(
_xlpm.CSVVal,_xlfn.XLOOKUP($A422,CSV!$A:$A,CSV!I:I,""),
_xlpm.MacVal,_xlfn.XLOOKUP($A422,Output_Mac!$A:$A,Output_Mac!J:J,""),
_xlpm.MyAuditVal,_xlfn.XLOOKUP($A422,My_Audit!$A:$A,My_Audit!I:I,""),
_xlfn.IFS(_xlpm.MyAuditVal&lt;&gt;"",UPPER(_xlpm.MyAuditVal),_xlpm.MacVal&lt;&gt;"",_xlpm.MacVal,_xlpm.CSVVal&lt;&gt;"",_xlpm.CSVVal
)),"")</f>
        <v/>
      </c>
      <c r="K422" s="40" t="str" cm="1">
        <f t="array" ref="K422">IFERROR(_xlfn.LET(
_xlpm.CSVVal,_xlfn.XLOOKUP($A422,CSV!$A:$A,CSV!K:K,""),
_xlpm.MacVal,_xlfn.XLOOKUP($A422,Output_Mac!$A:$A,Output_Mac!K:K,""),
_xlpm.MyAuditVal,_xlfn.XLOOKUP($A422,My_Audit!$A:$A,My_Audit!J:J,""),
_xlfn.IFS(_xlpm.MyAuditVal&lt;&gt;"",UPPER(_xlpm.MyAuditVal),_xlpm.MacVal&lt;&gt;"",_xlpm.MacVal,_xlpm.CSVVal&lt;&gt;"",_xlpm.CSVVal
)),"")</f>
        <v/>
      </c>
      <c r="L422" s="40" t="str" cm="1">
        <f t="array" ref="L422">IFERROR(_xlfn.LET(
_xlpm.CSVVal,_xlfn.XLOOKUP($A422,CSV!$A:$A,CSV!P:P,""),
_xlpm.MacVal,_xlfn.XLOOKUP($A422,Output_Mac!$A:$A,Output_Mac!L:L,""),
_xlpm.MyAuditVal,_xlfn.XLOOKUP($A422,My_Audit!$A:$A,My_Audit!K:K,""),
_xlfn.IFS(_xlpm.MyAuditVal&lt;&gt;"",UPPER(_xlpm.MyAuditVal),_xlpm.MacVal&lt;&gt;"",_xlpm.MacVal,_xlpm.CSVVal&lt;&gt;"",_xlpm.CSVVal
)),"")</f>
        <v/>
      </c>
      <c r="M422" s="40" t="str" cm="1">
        <f t="array" ref="M422">IFERROR(_xlfn.LET(
_xlpm.CSVVal,_xlfn.XLOOKUP($A422,CSV!$A:$A,CSV!Q:Q,""),
_xlpm.MacVal,_xlfn.XLOOKUP($A422,Output_Mac!$A:$A,Output_Mac!M:M,""),
_xlpm.MyAuditVal,_xlfn.XLOOKUP($A422,My_Audit!$A:$A,My_Audit!L:L,""),
_xlfn.IFS(_xlpm.MyAuditVal&lt;&gt;"",UPPER(_xlpm.MyAuditVal),_xlpm.MacVal&lt;&gt;"",_xlpm.MacVal,_xlpm.CSVVal&lt;&gt;"",_xlpm.CSVVal
)),"")</f>
        <v/>
      </c>
      <c r="N422" s="40"/>
      <c r="O422" s="40" t="str">
        <f>_xlfn.LET(
    _xlpm.CSVVal, _xlfn.XLOOKUP($A422, CSV!$A:$A, CSV!AA:AA, ""),
    _xlpm.MacVal, _xlfn.XLOOKUP($A422, Output_Mac!$A:$A, Output_Mac!S:S, ""),
    _xlpm.MyAuditVal, _xlfn.XLOOKUP($A422, My_Audit!$A:$A, My_Audit!P:P, ""),
    _xlfn.TEXTJOIN(", ", TRUE, _xlpm.MyAuditVal, _xlpm.MacVal, _xlpm.CSVVal)
)</f>
        <v/>
      </c>
      <c r="P422" s="40" t="str" cm="1">
        <f t="array" ref="P422">IFERROR(_xlfn.LET(
_xlpm.CSVVal,_xlfn.XLOOKUP($A422,CSV!$A:$A,CSV!AB:AB,""),
_xlpm.MacVal,_xlfn.XLOOKUP($A422,Output_Mac!$A:$A,Output_Mac!T:T,""),
_xlpm.MyAuditVal,_xlfn.XLOOKUP($A422,My_Audit!$A:$A,My_Audit!Q:Q,""),
_xlfn.IFS(_xlpm.MyAuditVal&lt;&gt;"",UPPER(_xlpm.MyAuditVal),_xlpm.MacVal&lt;&gt;"",_xlpm.MacVal,_xlpm.CSVVal&lt;&gt;"",_xlpm.CSVVal
)),"No")</f>
        <v>No</v>
      </c>
      <c r="Q422" s="40" t="str" cm="1">
        <f t="array" ref="Q422">IFERROR(_xlfn.LET(
_xlpm.CSVVal,_xlfn.XLOOKUP($A422,CSV!$A:$A,CSV!AC:AC,""),
_xlpm.MacVal,_xlfn.XLOOKUP($A422,Output_Mac!$A:$A,Output_Mac!U:U,""),
_xlpm.MyAuditVal,_xlfn.XLOOKUP($A422,My_Audit!$A:$A,My_Audit!R:R,""),
_xlfn.IFS(_xlpm.MyAuditVal&lt;&gt;"",UPPER(_xlpm.MyAuditVal),_xlpm.MacVal&lt;&gt;"",_xlpm.MacVal,_xlpm.CSVVal&lt;&gt;"",_xlpm.CSVVal
)),"")</f>
        <v/>
      </c>
      <c r="R422" s="40"/>
      <c r="S422" s="40"/>
      <c r="T422" s="40"/>
      <c r="U422" s="40"/>
      <c r="V422" s="40"/>
      <c r="W422" s="40"/>
      <c r="X422" s="41" t="str">
        <f>_xlfn.LET(
    _xlpm.MacVal, _xlfn.XLOOKUP($A422, Output_Mac!$A:$A, Output_Mac!AB:AB, ""),
    _xlpm.MyAuditVal, _xlfn.XLOOKUP($A422, My_Audit!$A:$A, My_Audit!N:N, ""),
    _xlfn.TEXTJOIN(", ", TRUE, _xlpm.MyAuditVal, _xlpm.MacVal)
)</f>
        <v/>
      </c>
    </row>
    <row r="423" spans="1:24">
      <c r="A423" s="40" t="str">
        <f>_xlfn.TEXTJOIN("",TRUE,Input!$B$2,ROW(My_Audit!A422))</f>
        <v>X422</v>
      </c>
      <c r="B423" s="40" t="str">
        <f>_xlfn.TEXTJOIN("-",TRUE,"ITD",Input!$A$2,A423)</f>
        <v>ITD-X422</v>
      </c>
      <c r="C423" s="40" t="str" cm="1">
        <f t="array" ref="C423">IFERROR(_xlfn.LET(
_xlpm.CSVVal,_xlfn.XLOOKUP($A423,CSV!$A:$A,CSV!B:B,""),
_xlpm.MacVal,_xlfn.XLOOKUP($A423,Output_Mac!$A:$A,Output_Mac!B:B,""),
_xlpm.MyAuditVal,_xlfn.XLOOKUP($A423,My_Audit!$A:$A,My_Audit!B:B,""),
_xlfn.IFS(_xlpm.MyAuditVal&lt;&gt;"",UPPER(_xlpm.MyAuditVal),_xlpm.MacVal&lt;&gt;"",_xlpm.MacVal,_xlpm.CSVVal&lt;&gt;"",_xlpm.CSVVal
)),"")</f>
        <v/>
      </c>
      <c r="D423" s="40" t="str" cm="1">
        <f t="array" ref="D423">IFERROR(_xlfn.LET(
_xlpm.CSVVal,_xlfn.XLOOKUP($A423,CSV!$A:$A,CSV!D:D,""),
_xlpm.MacVal,_xlfn.XLOOKUP($A423,Output_Mac!$A:$A,Output_Mac!C:C,""),
_xlpm.MyAuditVal,_xlfn.XLOOKUP($A423,My_Audit!$A:$A,My_Audit!C:C,""),
_xlfn.IFS(_xlpm.MyAuditVal&lt;&gt;"",_xlpm.MyAuditVal,_xlpm.MacVal&lt;&gt;"",_xlpm.MacVal,_xlpm.CSVVal&lt;&gt;"",_xlpm.CSVVal
)),"")</f>
        <v/>
      </c>
      <c r="E423" s="40">
        <f>_xlfn.XLOOKUP(A423,My_Audit!A:A,My_Audit!D:D,"")</f>
        <v>0</v>
      </c>
      <c r="F423" s="40" t="str" cm="1">
        <f t="array" ref="F423">IFERROR(_xlfn.LET(
_xlpm.CSVVal,_xlfn.XLOOKUP($A423,CSV!$A:$A,CSV!F:F,""),
_xlpm.MacVal,_xlfn.XLOOKUP($A423,Output_Mac!$A:$A,Output_Mac!E:E,""),
_xlpm.MyAuditVal,_xlfn.XLOOKUP($A423,My_Audit!$A:$A,My_Audit!E:E,""),
_xlfn.IFS(_xlpm.MyAuditVal&lt;&gt;"",_xlpm.MyAuditVal,_xlpm.MacVal&lt;&gt;"",_xlpm.MacVal,_xlpm.CSVVal&lt;&gt;"",_xlpm.CSVVal
)),"")</f>
        <v/>
      </c>
      <c r="G423" s="40" t="str" cm="1">
        <f t="array" ref="G423">IFERROR(_xlfn.LET(
_xlpm.CSVVal,_xlfn.XLOOKUP($A423,CSV!$A:$A,CSV!G:G,""),
_xlpm.MacVal,_xlfn.XLOOKUP($A423,Output_Mac!$A:$A,Output_Mac!F:F,""),
_xlpm.MyAuditVal,_xlfn.XLOOKUP($A423,My_Audit!$A:$A,My_Audit!F:F,""),
_xlfn.IFS(_xlpm.MyAuditVal&lt;&gt;"",_xlpm.MyAuditVal,_xlpm.MacVal&lt;&gt;"",_xlpm.MacVal,_xlpm.CSVVal&lt;&gt;"",PROPER(_xlpm.CSVVal)
)),"")</f>
        <v/>
      </c>
      <c r="H423" s="40" t="str" cm="1">
        <f t="array" ref="H423">IFERROR(_xlfn.LET(
_xlpm.CSVVal,_xlfn.XLOOKUP($A423,CSV!$A:$A,CSV!H:H,""),
_xlpm.MacVal,_xlfn.XLOOKUP($A423,Output_Mac!$A:$A,Output_Mac!H:H,""),
_xlpm.MyAuditVal,_xlfn.XLOOKUP($A423,My_Audit!$A:$A,My_Audit!G:G,""),
_xlfn.IFS(_xlpm.MyAuditVal&lt;&gt;"",_xlpm.MyAuditVal,_xlpm.MacVal&lt;&gt;"",_xlpm.MacVal,_xlpm.CSVVal&lt;&gt;"",_xlpm.CSVVal
)),"")</f>
        <v/>
      </c>
      <c r="I423" s="40" t="str">
        <f>_xlfn.XLOOKUP(A423,Output_Mac!A:A,Output_Mac!I:I,"")</f>
        <v/>
      </c>
      <c r="J423" s="40" t="str" cm="1">
        <f t="array" ref="J423">IFERROR(_xlfn.LET(
_xlpm.CSVVal,_xlfn.XLOOKUP($A423,CSV!$A:$A,CSV!I:I,""),
_xlpm.MacVal,_xlfn.XLOOKUP($A423,Output_Mac!$A:$A,Output_Mac!J:J,""),
_xlpm.MyAuditVal,_xlfn.XLOOKUP($A423,My_Audit!$A:$A,My_Audit!I:I,""),
_xlfn.IFS(_xlpm.MyAuditVal&lt;&gt;"",UPPER(_xlpm.MyAuditVal),_xlpm.MacVal&lt;&gt;"",_xlpm.MacVal,_xlpm.CSVVal&lt;&gt;"",_xlpm.CSVVal
)),"")</f>
        <v/>
      </c>
      <c r="K423" s="40" t="str" cm="1">
        <f t="array" ref="K423">IFERROR(_xlfn.LET(
_xlpm.CSVVal,_xlfn.XLOOKUP($A423,CSV!$A:$A,CSV!K:K,""),
_xlpm.MacVal,_xlfn.XLOOKUP($A423,Output_Mac!$A:$A,Output_Mac!K:K,""),
_xlpm.MyAuditVal,_xlfn.XLOOKUP($A423,My_Audit!$A:$A,My_Audit!J:J,""),
_xlfn.IFS(_xlpm.MyAuditVal&lt;&gt;"",UPPER(_xlpm.MyAuditVal),_xlpm.MacVal&lt;&gt;"",_xlpm.MacVal,_xlpm.CSVVal&lt;&gt;"",_xlpm.CSVVal
)),"")</f>
        <v/>
      </c>
      <c r="L423" s="40" t="str" cm="1">
        <f t="array" ref="L423">IFERROR(_xlfn.LET(
_xlpm.CSVVal,_xlfn.XLOOKUP($A423,CSV!$A:$A,CSV!P:P,""),
_xlpm.MacVal,_xlfn.XLOOKUP($A423,Output_Mac!$A:$A,Output_Mac!L:L,""),
_xlpm.MyAuditVal,_xlfn.XLOOKUP($A423,My_Audit!$A:$A,My_Audit!K:K,""),
_xlfn.IFS(_xlpm.MyAuditVal&lt;&gt;"",UPPER(_xlpm.MyAuditVal),_xlpm.MacVal&lt;&gt;"",_xlpm.MacVal,_xlpm.CSVVal&lt;&gt;"",_xlpm.CSVVal
)),"")</f>
        <v/>
      </c>
      <c r="M423" s="40" t="str" cm="1">
        <f t="array" ref="M423">IFERROR(_xlfn.LET(
_xlpm.CSVVal,_xlfn.XLOOKUP($A423,CSV!$A:$A,CSV!Q:Q,""),
_xlpm.MacVal,_xlfn.XLOOKUP($A423,Output_Mac!$A:$A,Output_Mac!M:M,""),
_xlpm.MyAuditVal,_xlfn.XLOOKUP($A423,My_Audit!$A:$A,My_Audit!L:L,""),
_xlfn.IFS(_xlpm.MyAuditVal&lt;&gt;"",UPPER(_xlpm.MyAuditVal),_xlpm.MacVal&lt;&gt;"",_xlpm.MacVal,_xlpm.CSVVal&lt;&gt;"",_xlpm.CSVVal
)),"")</f>
        <v/>
      </c>
      <c r="N423" s="40"/>
      <c r="O423" s="40" t="str">
        <f>_xlfn.LET(
    _xlpm.CSVVal, _xlfn.XLOOKUP($A423, CSV!$A:$A, CSV!AA:AA, ""),
    _xlpm.MacVal, _xlfn.XLOOKUP($A423, Output_Mac!$A:$A, Output_Mac!S:S, ""),
    _xlpm.MyAuditVal, _xlfn.XLOOKUP($A423, My_Audit!$A:$A, My_Audit!P:P, ""),
    _xlfn.TEXTJOIN(", ", TRUE, _xlpm.MyAuditVal, _xlpm.MacVal, _xlpm.CSVVal)
)</f>
        <v/>
      </c>
      <c r="P423" s="40" t="str" cm="1">
        <f t="array" ref="P423">IFERROR(_xlfn.LET(
_xlpm.CSVVal,_xlfn.XLOOKUP($A423,CSV!$A:$A,CSV!AB:AB,""),
_xlpm.MacVal,_xlfn.XLOOKUP($A423,Output_Mac!$A:$A,Output_Mac!T:T,""),
_xlpm.MyAuditVal,_xlfn.XLOOKUP($A423,My_Audit!$A:$A,My_Audit!Q:Q,""),
_xlfn.IFS(_xlpm.MyAuditVal&lt;&gt;"",UPPER(_xlpm.MyAuditVal),_xlpm.MacVal&lt;&gt;"",_xlpm.MacVal,_xlpm.CSVVal&lt;&gt;"",_xlpm.CSVVal
)),"No")</f>
        <v>No</v>
      </c>
      <c r="Q423" s="40" t="str" cm="1">
        <f t="array" ref="Q423">IFERROR(_xlfn.LET(
_xlpm.CSVVal,_xlfn.XLOOKUP($A423,CSV!$A:$A,CSV!AC:AC,""),
_xlpm.MacVal,_xlfn.XLOOKUP($A423,Output_Mac!$A:$A,Output_Mac!U:U,""),
_xlpm.MyAuditVal,_xlfn.XLOOKUP($A423,My_Audit!$A:$A,My_Audit!R:R,""),
_xlfn.IFS(_xlpm.MyAuditVal&lt;&gt;"",UPPER(_xlpm.MyAuditVal),_xlpm.MacVal&lt;&gt;"",_xlpm.MacVal,_xlpm.CSVVal&lt;&gt;"",_xlpm.CSVVal
)),"")</f>
        <v/>
      </c>
      <c r="R423" s="40"/>
      <c r="S423" s="40"/>
      <c r="T423" s="40"/>
      <c r="U423" s="40"/>
      <c r="V423" s="40"/>
      <c r="W423" s="40"/>
      <c r="X423" s="41" t="str">
        <f>_xlfn.LET(
    _xlpm.MacVal, _xlfn.XLOOKUP($A423, Output_Mac!$A:$A, Output_Mac!AB:AB, ""),
    _xlpm.MyAuditVal, _xlfn.XLOOKUP($A423, My_Audit!$A:$A, My_Audit!N:N, ""),
    _xlfn.TEXTJOIN(", ", TRUE, _xlpm.MyAuditVal, _xlpm.MacVal)
)</f>
        <v/>
      </c>
    </row>
    <row r="424" spans="1:24">
      <c r="A424" s="40" t="str">
        <f>_xlfn.TEXTJOIN("",TRUE,Input!$B$2,ROW(My_Audit!A423))</f>
        <v>X423</v>
      </c>
      <c r="B424" s="40" t="str">
        <f>_xlfn.TEXTJOIN("-",TRUE,"ITD",Input!$A$2,A424)</f>
        <v>ITD-X423</v>
      </c>
      <c r="C424" s="40" t="str" cm="1">
        <f t="array" ref="C424">IFERROR(_xlfn.LET(
_xlpm.CSVVal,_xlfn.XLOOKUP($A424,CSV!$A:$A,CSV!B:B,""),
_xlpm.MacVal,_xlfn.XLOOKUP($A424,Output_Mac!$A:$A,Output_Mac!B:B,""),
_xlpm.MyAuditVal,_xlfn.XLOOKUP($A424,My_Audit!$A:$A,My_Audit!B:B,""),
_xlfn.IFS(_xlpm.MyAuditVal&lt;&gt;"",UPPER(_xlpm.MyAuditVal),_xlpm.MacVal&lt;&gt;"",_xlpm.MacVal,_xlpm.CSVVal&lt;&gt;"",_xlpm.CSVVal
)),"")</f>
        <v/>
      </c>
      <c r="D424" s="40" t="str" cm="1">
        <f t="array" ref="D424">IFERROR(_xlfn.LET(
_xlpm.CSVVal,_xlfn.XLOOKUP($A424,CSV!$A:$A,CSV!D:D,""),
_xlpm.MacVal,_xlfn.XLOOKUP($A424,Output_Mac!$A:$A,Output_Mac!C:C,""),
_xlpm.MyAuditVal,_xlfn.XLOOKUP($A424,My_Audit!$A:$A,My_Audit!C:C,""),
_xlfn.IFS(_xlpm.MyAuditVal&lt;&gt;"",_xlpm.MyAuditVal,_xlpm.MacVal&lt;&gt;"",_xlpm.MacVal,_xlpm.CSVVal&lt;&gt;"",_xlpm.CSVVal
)),"")</f>
        <v/>
      </c>
      <c r="E424" s="40">
        <f>_xlfn.XLOOKUP(A424,My_Audit!A:A,My_Audit!D:D,"")</f>
        <v>0</v>
      </c>
      <c r="F424" s="40" t="str" cm="1">
        <f t="array" ref="F424">IFERROR(_xlfn.LET(
_xlpm.CSVVal,_xlfn.XLOOKUP($A424,CSV!$A:$A,CSV!F:F,""),
_xlpm.MacVal,_xlfn.XLOOKUP($A424,Output_Mac!$A:$A,Output_Mac!E:E,""),
_xlpm.MyAuditVal,_xlfn.XLOOKUP($A424,My_Audit!$A:$A,My_Audit!E:E,""),
_xlfn.IFS(_xlpm.MyAuditVal&lt;&gt;"",_xlpm.MyAuditVal,_xlpm.MacVal&lt;&gt;"",_xlpm.MacVal,_xlpm.CSVVal&lt;&gt;"",_xlpm.CSVVal
)),"")</f>
        <v/>
      </c>
      <c r="G424" s="40" t="str" cm="1">
        <f t="array" ref="G424">IFERROR(_xlfn.LET(
_xlpm.CSVVal,_xlfn.XLOOKUP($A424,CSV!$A:$A,CSV!G:G,""),
_xlpm.MacVal,_xlfn.XLOOKUP($A424,Output_Mac!$A:$A,Output_Mac!F:F,""),
_xlpm.MyAuditVal,_xlfn.XLOOKUP($A424,My_Audit!$A:$A,My_Audit!F:F,""),
_xlfn.IFS(_xlpm.MyAuditVal&lt;&gt;"",_xlpm.MyAuditVal,_xlpm.MacVal&lt;&gt;"",_xlpm.MacVal,_xlpm.CSVVal&lt;&gt;"",PROPER(_xlpm.CSVVal)
)),"")</f>
        <v/>
      </c>
      <c r="H424" s="40" t="str" cm="1">
        <f t="array" ref="H424">IFERROR(_xlfn.LET(
_xlpm.CSVVal,_xlfn.XLOOKUP($A424,CSV!$A:$A,CSV!H:H,""),
_xlpm.MacVal,_xlfn.XLOOKUP($A424,Output_Mac!$A:$A,Output_Mac!H:H,""),
_xlpm.MyAuditVal,_xlfn.XLOOKUP($A424,My_Audit!$A:$A,My_Audit!G:G,""),
_xlfn.IFS(_xlpm.MyAuditVal&lt;&gt;"",_xlpm.MyAuditVal,_xlpm.MacVal&lt;&gt;"",_xlpm.MacVal,_xlpm.CSVVal&lt;&gt;"",_xlpm.CSVVal
)),"")</f>
        <v/>
      </c>
      <c r="I424" s="40" t="str">
        <f>_xlfn.XLOOKUP(A424,Output_Mac!A:A,Output_Mac!I:I,"")</f>
        <v/>
      </c>
      <c r="J424" s="40" t="str" cm="1">
        <f t="array" ref="J424">IFERROR(_xlfn.LET(
_xlpm.CSVVal,_xlfn.XLOOKUP($A424,CSV!$A:$A,CSV!I:I,""),
_xlpm.MacVal,_xlfn.XLOOKUP($A424,Output_Mac!$A:$A,Output_Mac!J:J,""),
_xlpm.MyAuditVal,_xlfn.XLOOKUP($A424,My_Audit!$A:$A,My_Audit!I:I,""),
_xlfn.IFS(_xlpm.MyAuditVal&lt;&gt;"",UPPER(_xlpm.MyAuditVal),_xlpm.MacVal&lt;&gt;"",_xlpm.MacVal,_xlpm.CSVVal&lt;&gt;"",_xlpm.CSVVal
)),"")</f>
        <v/>
      </c>
      <c r="K424" s="40" t="str" cm="1">
        <f t="array" ref="K424">IFERROR(_xlfn.LET(
_xlpm.CSVVal,_xlfn.XLOOKUP($A424,CSV!$A:$A,CSV!K:K,""),
_xlpm.MacVal,_xlfn.XLOOKUP($A424,Output_Mac!$A:$A,Output_Mac!K:K,""),
_xlpm.MyAuditVal,_xlfn.XLOOKUP($A424,My_Audit!$A:$A,My_Audit!J:J,""),
_xlfn.IFS(_xlpm.MyAuditVal&lt;&gt;"",UPPER(_xlpm.MyAuditVal),_xlpm.MacVal&lt;&gt;"",_xlpm.MacVal,_xlpm.CSVVal&lt;&gt;"",_xlpm.CSVVal
)),"")</f>
        <v/>
      </c>
      <c r="L424" s="40" t="str" cm="1">
        <f t="array" ref="L424">IFERROR(_xlfn.LET(
_xlpm.CSVVal,_xlfn.XLOOKUP($A424,CSV!$A:$A,CSV!P:P,""),
_xlpm.MacVal,_xlfn.XLOOKUP($A424,Output_Mac!$A:$A,Output_Mac!L:L,""),
_xlpm.MyAuditVal,_xlfn.XLOOKUP($A424,My_Audit!$A:$A,My_Audit!K:K,""),
_xlfn.IFS(_xlpm.MyAuditVal&lt;&gt;"",UPPER(_xlpm.MyAuditVal),_xlpm.MacVal&lt;&gt;"",_xlpm.MacVal,_xlpm.CSVVal&lt;&gt;"",_xlpm.CSVVal
)),"")</f>
        <v/>
      </c>
      <c r="M424" s="40" t="str" cm="1">
        <f t="array" ref="M424">IFERROR(_xlfn.LET(
_xlpm.CSVVal,_xlfn.XLOOKUP($A424,CSV!$A:$A,CSV!Q:Q,""),
_xlpm.MacVal,_xlfn.XLOOKUP($A424,Output_Mac!$A:$A,Output_Mac!M:M,""),
_xlpm.MyAuditVal,_xlfn.XLOOKUP($A424,My_Audit!$A:$A,My_Audit!L:L,""),
_xlfn.IFS(_xlpm.MyAuditVal&lt;&gt;"",UPPER(_xlpm.MyAuditVal),_xlpm.MacVal&lt;&gt;"",_xlpm.MacVal,_xlpm.CSVVal&lt;&gt;"",_xlpm.CSVVal
)),"")</f>
        <v/>
      </c>
      <c r="N424" s="40"/>
      <c r="O424" s="40" t="str">
        <f>_xlfn.LET(
    _xlpm.CSVVal, _xlfn.XLOOKUP($A424, CSV!$A:$A, CSV!AA:AA, ""),
    _xlpm.MacVal, _xlfn.XLOOKUP($A424, Output_Mac!$A:$A, Output_Mac!S:S, ""),
    _xlpm.MyAuditVal, _xlfn.XLOOKUP($A424, My_Audit!$A:$A, My_Audit!P:P, ""),
    _xlfn.TEXTJOIN(", ", TRUE, _xlpm.MyAuditVal, _xlpm.MacVal, _xlpm.CSVVal)
)</f>
        <v/>
      </c>
      <c r="P424" s="40" t="str" cm="1">
        <f t="array" ref="P424">IFERROR(_xlfn.LET(
_xlpm.CSVVal,_xlfn.XLOOKUP($A424,CSV!$A:$A,CSV!AB:AB,""),
_xlpm.MacVal,_xlfn.XLOOKUP($A424,Output_Mac!$A:$A,Output_Mac!T:T,""),
_xlpm.MyAuditVal,_xlfn.XLOOKUP($A424,My_Audit!$A:$A,My_Audit!Q:Q,""),
_xlfn.IFS(_xlpm.MyAuditVal&lt;&gt;"",UPPER(_xlpm.MyAuditVal),_xlpm.MacVal&lt;&gt;"",_xlpm.MacVal,_xlpm.CSVVal&lt;&gt;"",_xlpm.CSVVal
)),"No")</f>
        <v>No</v>
      </c>
      <c r="Q424" s="40" t="str" cm="1">
        <f t="array" ref="Q424">IFERROR(_xlfn.LET(
_xlpm.CSVVal,_xlfn.XLOOKUP($A424,CSV!$A:$A,CSV!AC:AC,""),
_xlpm.MacVal,_xlfn.XLOOKUP($A424,Output_Mac!$A:$A,Output_Mac!U:U,""),
_xlpm.MyAuditVal,_xlfn.XLOOKUP($A424,My_Audit!$A:$A,My_Audit!R:R,""),
_xlfn.IFS(_xlpm.MyAuditVal&lt;&gt;"",UPPER(_xlpm.MyAuditVal),_xlpm.MacVal&lt;&gt;"",_xlpm.MacVal,_xlpm.CSVVal&lt;&gt;"",_xlpm.CSVVal
)),"")</f>
        <v/>
      </c>
      <c r="R424" s="40"/>
      <c r="S424" s="40"/>
      <c r="T424" s="40"/>
      <c r="U424" s="40"/>
      <c r="V424" s="40"/>
      <c r="W424" s="40"/>
      <c r="X424" s="41" t="str">
        <f>_xlfn.LET(
    _xlpm.MacVal, _xlfn.XLOOKUP($A424, Output_Mac!$A:$A, Output_Mac!AB:AB, ""),
    _xlpm.MyAuditVal, _xlfn.XLOOKUP($A424, My_Audit!$A:$A, My_Audit!N:N, ""),
    _xlfn.TEXTJOIN(", ", TRUE, _xlpm.MyAuditVal, _xlpm.MacVal)
)</f>
        <v/>
      </c>
    </row>
    <row r="425" spans="1:24">
      <c r="A425" s="40" t="str">
        <f>_xlfn.TEXTJOIN("",TRUE,Input!$B$2,ROW(My_Audit!A424))</f>
        <v>X424</v>
      </c>
      <c r="B425" s="40" t="str">
        <f>_xlfn.TEXTJOIN("-",TRUE,"ITD",Input!$A$2,A425)</f>
        <v>ITD-X424</v>
      </c>
      <c r="C425" s="40" t="str" cm="1">
        <f t="array" ref="C425">IFERROR(_xlfn.LET(
_xlpm.CSVVal,_xlfn.XLOOKUP($A425,CSV!$A:$A,CSV!B:B,""),
_xlpm.MacVal,_xlfn.XLOOKUP($A425,Output_Mac!$A:$A,Output_Mac!B:B,""),
_xlpm.MyAuditVal,_xlfn.XLOOKUP($A425,My_Audit!$A:$A,My_Audit!B:B,""),
_xlfn.IFS(_xlpm.MyAuditVal&lt;&gt;"",UPPER(_xlpm.MyAuditVal),_xlpm.MacVal&lt;&gt;"",_xlpm.MacVal,_xlpm.CSVVal&lt;&gt;"",_xlpm.CSVVal
)),"")</f>
        <v/>
      </c>
      <c r="D425" s="40" t="str" cm="1">
        <f t="array" ref="D425">IFERROR(_xlfn.LET(
_xlpm.CSVVal,_xlfn.XLOOKUP($A425,CSV!$A:$A,CSV!D:D,""),
_xlpm.MacVal,_xlfn.XLOOKUP($A425,Output_Mac!$A:$A,Output_Mac!C:C,""),
_xlpm.MyAuditVal,_xlfn.XLOOKUP($A425,My_Audit!$A:$A,My_Audit!C:C,""),
_xlfn.IFS(_xlpm.MyAuditVal&lt;&gt;"",_xlpm.MyAuditVal,_xlpm.MacVal&lt;&gt;"",_xlpm.MacVal,_xlpm.CSVVal&lt;&gt;"",_xlpm.CSVVal
)),"")</f>
        <v/>
      </c>
      <c r="E425" s="40">
        <f>_xlfn.XLOOKUP(A425,My_Audit!A:A,My_Audit!D:D,"")</f>
        <v>0</v>
      </c>
      <c r="F425" s="40" t="str" cm="1">
        <f t="array" ref="F425">IFERROR(_xlfn.LET(
_xlpm.CSVVal,_xlfn.XLOOKUP($A425,CSV!$A:$A,CSV!F:F,""),
_xlpm.MacVal,_xlfn.XLOOKUP($A425,Output_Mac!$A:$A,Output_Mac!E:E,""),
_xlpm.MyAuditVal,_xlfn.XLOOKUP($A425,My_Audit!$A:$A,My_Audit!E:E,""),
_xlfn.IFS(_xlpm.MyAuditVal&lt;&gt;"",_xlpm.MyAuditVal,_xlpm.MacVal&lt;&gt;"",_xlpm.MacVal,_xlpm.CSVVal&lt;&gt;"",_xlpm.CSVVal
)),"")</f>
        <v/>
      </c>
      <c r="G425" s="40" t="str" cm="1">
        <f t="array" ref="G425">IFERROR(_xlfn.LET(
_xlpm.CSVVal,_xlfn.XLOOKUP($A425,CSV!$A:$A,CSV!G:G,""),
_xlpm.MacVal,_xlfn.XLOOKUP($A425,Output_Mac!$A:$A,Output_Mac!F:F,""),
_xlpm.MyAuditVal,_xlfn.XLOOKUP($A425,My_Audit!$A:$A,My_Audit!F:F,""),
_xlfn.IFS(_xlpm.MyAuditVal&lt;&gt;"",_xlpm.MyAuditVal,_xlpm.MacVal&lt;&gt;"",_xlpm.MacVal,_xlpm.CSVVal&lt;&gt;"",PROPER(_xlpm.CSVVal)
)),"")</f>
        <v/>
      </c>
      <c r="H425" s="40" t="str" cm="1">
        <f t="array" ref="H425">IFERROR(_xlfn.LET(
_xlpm.CSVVal,_xlfn.XLOOKUP($A425,CSV!$A:$A,CSV!H:H,""),
_xlpm.MacVal,_xlfn.XLOOKUP($A425,Output_Mac!$A:$A,Output_Mac!H:H,""),
_xlpm.MyAuditVal,_xlfn.XLOOKUP($A425,My_Audit!$A:$A,My_Audit!G:G,""),
_xlfn.IFS(_xlpm.MyAuditVal&lt;&gt;"",_xlpm.MyAuditVal,_xlpm.MacVal&lt;&gt;"",_xlpm.MacVal,_xlpm.CSVVal&lt;&gt;"",_xlpm.CSVVal
)),"")</f>
        <v/>
      </c>
      <c r="I425" s="40" t="str">
        <f>_xlfn.XLOOKUP(A425,Output_Mac!A:A,Output_Mac!I:I,"")</f>
        <v/>
      </c>
      <c r="J425" s="40" t="str" cm="1">
        <f t="array" ref="J425">IFERROR(_xlfn.LET(
_xlpm.CSVVal,_xlfn.XLOOKUP($A425,CSV!$A:$A,CSV!I:I,""),
_xlpm.MacVal,_xlfn.XLOOKUP($A425,Output_Mac!$A:$A,Output_Mac!J:J,""),
_xlpm.MyAuditVal,_xlfn.XLOOKUP($A425,My_Audit!$A:$A,My_Audit!I:I,""),
_xlfn.IFS(_xlpm.MyAuditVal&lt;&gt;"",UPPER(_xlpm.MyAuditVal),_xlpm.MacVal&lt;&gt;"",_xlpm.MacVal,_xlpm.CSVVal&lt;&gt;"",_xlpm.CSVVal
)),"")</f>
        <v/>
      </c>
      <c r="K425" s="40" t="str" cm="1">
        <f t="array" ref="K425">IFERROR(_xlfn.LET(
_xlpm.CSVVal,_xlfn.XLOOKUP($A425,CSV!$A:$A,CSV!K:K,""),
_xlpm.MacVal,_xlfn.XLOOKUP($A425,Output_Mac!$A:$A,Output_Mac!K:K,""),
_xlpm.MyAuditVal,_xlfn.XLOOKUP($A425,My_Audit!$A:$A,My_Audit!J:J,""),
_xlfn.IFS(_xlpm.MyAuditVal&lt;&gt;"",UPPER(_xlpm.MyAuditVal),_xlpm.MacVal&lt;&gt;"",_xlpm.MacVal,_xlpm.CSVVal&lt;&gt;"",_xlpm.CSVVal
)),"")</f>
        <v/>
      </c>
      <c r="L425" s="40" t="str" cm="1">
        <f t="array" ref="L425">IFERROR(_xlfn.LET(
_xlpm.CSVVal,_xlfn.XLOOKUP($A425,CSV!$A:$A,CSV!P:P,""),
_xlpm.MacVal,_xlfn.XLOOKUP($A425,Output_Mac!$A:$A,Output_Mac!L:L,""),
_xlpm.MyAuditVal,_xlfn.XLOOKUP($A425,My_Audit!$A:$A,My_Audit!K:K,""),
_xlfn.IFS(_xlpm.MyAuditVal&lt;&gt;"",UPPER(_xlpm.MyAuditVal),_xlpm.MacVal&lt;&gt;"",_xlpm.MacVal,_xlpm.CSVVal&lt;&gt;"",_xlpm.CSVVal
)),"")</f>
        <v/>
      </c>
      <c r="M425" s="40" t="str" cm="1">
        <f t="array" ref="M425">IFERROR(_xlfn.LET(
_xlpm.CSVVal,_xlfn.XLOOKUP($A425,CSV!$A:$A,CSV!Q:Q,""),
_xlpm.MacVal,_xlfn.XLOOKUP($A425,Output_Mac!$A:$A,Output_Mac!M:M,""),
_xlpm.MyAuditVal,_xlfn.XLOOKUP($A425,My_Audit!$A:$A,My_Audit!L:L,""),
_xlfn.IFS(_xlpm.MyAuditVal&lt;&gt;"",UPPER(_xlpm.MyAuditVal),_xlpm.MacVal&lt;&gt;"",_xlpm.MacVal,_xlpm.CSVVal&lt;&gt;"",_xlpm.CSVVal
)),"")</f>
        <v/>
      </c>
      <c r="N425" s="40"/>
      <c r="O425" s="40" t="str">
        <f>_xlfn.LET(
    _xlpm.CSVVal, _xlfn.XLOOKUP($A425, CSV!$A:$A, CSV!AA:AA, ""),
    _xlpm.MacVal, _xlfn.XLOOKUP($A425, Output_Mac!$A:$A, Output_Mac!S:S, ""),
    _xlpm.MyAuditVal, _xlfn.XLOOKUP($A425, My_Audit!$A:$A, My_Audit!P:P, ""),
    _xlfn.TEXTJOIN(", ", TRUE, _xlpm.MyAuditVal, _xlpm.MacVal, _xlpm.CSVVal)
)</f>
        <v/>
      </c>
      <c r="P425" s="40" t="str" cm="1">
        <f t="array" ref="P425">IFERROR(_xlfn.LET(
_xlpm.CSVVal,_xlfn.XLOOKUP($A425,CSV!$A:$A,CSV!AB:AB,""),
_xlpm.MacVal,_xlfn.XLOOKUP($A425,Output_Mac!$A:$A,Output_Mac!T:T,""),
_xlpm.MyAuditVal,_xlfn.XLOOKUP($A425,My_Audit!$A:$A,My_Audit!Q:Q,""),
_xlfn.IFS(_xlpm.MyAuditVal&lt;&gt;"",UPPER(_xlpm.MyAuditVal),_xlpm.MacVal&lt;&gt;"",_xlpm.MacVal,_xlpm.CSVVal&lt;&gt;"",_xlpm.CSVVal
)),"No")</f>
        <v>No</v>
      </c>
      <c r="Q425" s="40" t="str" cm="1">
        <f t="array" ref="Q425">IFERROR(_xlfn.LET(
_xlpm.CSVVal,_xlfn.XLOOKUP($A425,CSV!$A:$A,CSV!AC:AC,""),
_xlpm.MacVal,_xlfn.XLOOKUP($A425,Output_Mac!$A:$A,Output_Mac!U:U,""),
_xlpm.MyAuditVal,_xlfn.XLOOKUP($A425,My_Audit!$A:$A,My_Audit!R:R,""),
_xlfn.IFS(_xlpm.MyAuditVal&lt;&gt;"",UPPER(_xlpm.MyAuditVal),_xlpm.MacVal&lt;&gt;"",_xlpm.MacVal,_xlpm.CSVVal&lt;&gt;"",_xlpm.CSVVal
)),"")</f>
        <v/>
      </c>
      <c r="R425" s="40"/>
      <c r="S425" s="40"/>
      <c r="T425" s="40"/>
      <c r="U425" s="40"/>
      <c r="V425" s="40"/>
      <c r="W425" s="40"/>
      <c r="X425" s="41" t="str">
        <f>_xlfn.LET(
    _xlpm.MacVal, _xlfn.XLOOKUP($A425, Output_Mac!$A:$A, Output_Mac!AB:AB, ""),
    _xlpm.MyAuditVal, _xlfn.XLOOKUP($A425, My_Audit!$A:$A, My_Audit!N:N, ""),
    _xlfn.TEXTJOIN(", ", TRUE, _xlpm.MyAuditVal, _xlpm.MacVal)
)</f>
        <v/>
      </c>
    </row>
    <row r="426" spans="1:24">
      <c r="A426" s="40" t="str">
        <f>_xlfn.TEXTJOIN("",TRUE,Input!$B$2,ROW(My_Audit!A425))</f>
        <v>X425</v>
      </c>
      <c r="B426" s="40" t="str">
        <f>_xlfn.TEXTJOIN("-",TRUE,"ITD",Input!$A$2,A426)</f>
        <v>ITD-X425</v>
      </c>
      <c r="C426" s="40" t="str" cm="1">
        <f t="array" ref="C426">IFERROR(_xlfn.LET(
_xlpm.CSVVal,_xlfn.XLOOKUP($A426,CSV!$A:$A,CSV!B:B,""),
_xlpm.MacVal,_xlfn.XLOOKUP($A426,Output_Mac!$A:$A,Output_Mac!B:B,""),
_xlpm.MyAuditVal,_xlfn.XLOOKUP($A426,My_Audit!$A:$A,My_Audit!B:B,""),
_xlfn.IFS(_xlpm.MyAuditVal&lt;&gt;"",UPPER(_xlpm.MyAuditVal),_xlpm.MacVal&lt;&gt;"",_xlpm.MacVal,_xlpm.CSVVal&lt;&gt;"",_xlpm.CSVVal
)),"")</f>
        <v/>
      </c>
      <c r="D426" s="40" t="str" cm="1">
        <f t="array" ref="D426">IFERROR(_xlfn.LET(
_xlpm.CSVVal,_xlfn.XLOOKUP($A426,CSV!$A:$A,CSV!D:D,""),
_xlpm.MacVal,_xlfn.XLOOKUP($A426,Output_Mac!$A:$A,Output_Mac!C:C,""),
_xlpm.MyAuditVal,_xlfn.XLOOKUP($A426,My_Audit!$A:$A,My_Audit!C:C,""),
_xlfn.IFS(_xlpm.MyAuditVal&lt;&gt;"",_xlpm.MyAuditVal,_xlpm.MacVal&lt;&gt;"",_xlpm.MacVal,_xlpm.CSVVal&lt;&gt;"",_xlpm.CSVVal
)),"")</f>
        <v/>
      </c>
      <c r="E426" s="40">
        <f>_xlfn.XLOOKUP(A426,My_Audit!A:A,My_Audit!D:D,"")</f>
        <v>0</v>
      </c>
      <c r="F426" s="40" t="str" cm="1">
        <f t="array" ref="F426">IFERROR(_xlfn.LET(
_xlpm.CSVVal,_xlfn.XLOOKUP($A426,CSV!$A:$A,CSV!F:F,""),
_xlpm.MacVal,_xlfn.XLOOKUP($A426,Output_Mac!$A:$A,Output_Mac!E:E,""),
_xlpm.MyAuditVal,_xlfn.XLOOKUP($A426,My_Audit!$A:$A,My_Audit!E:E,""),
_xlfn.IFS(_xlpm.MyAuditVal&lt;&gt;"",_xlpm.MyAuditVal,_xlpm.MacVal&lt;&gt;"",_xlpm.MacVal,_xlpm.CSVVal&lt;&gt;"",_xlpm.CSVVal
)),"")</f>
        <v/>
      </c>
      <c r="G426" s="40" t="str" cm="1">
        <f t="array" ref="G426">IFERROR(_xlfn.LET(
_xlpm.CSVVal,_xlfn.XLOOKUP($A426,CSV!$A:$A,CSV!G:G,""),
_xlpm.MacVal,_xlfn.XLOOKUP($A426,Output_Mac!$A:$A,Output_Mac!F:F,""),
_xlpm.MyAuditVal,_xlfn.XLOOKUP($A426,My_Audit!$A:$A,My_Audit!F:F,""),
_xlfn.IFS(_xlpm.MyAuditVal&lt;&gt;"",_xlpm.MyAuditVal,_xlpm.MacVal&lt;&gt;"",_xlpm.MacVal,_xlpm.CSVVal&lt;&gt;"",PROPER(_xlpm.CSVVal)
)),"")</f>
        <v/>
      </c>
      <c r="H426" s="40" t="str" cm="1">
        <f t="array" ref="H426">IFERROR(_xlfn.LET(
_xlpm.CSVVal,_xlfn.XLOOKUP($A426,CSV!$A:$A,CSV!H:H,""),
_xlpm.MacVal,_xlfn.XLOOKUP($A426,Output_Mac!$A:$A,Output_Mac!H:H,""),
_xlpm.MyAuditVal,_xlfn.XLOOKUP($A426,My_Audit!$A:$A,My_Audit!G:G,""),
_xlfn.IFS(_xlpm.MyAuditVal&lt;&gt;"",_xlpm.MyAuditVal,_xlpm.MacVal&lt;&gt;"",_xlpm.MacVal,_xlpm.CSVVal&lt;&gt;"",_xlpm.CSVVal
)),"")</f>
        <v/>
      </c>
      <c r="I426" s="40" t="str">
        <f>_xlfn.XLOOKUP(A426,Output_Mac!A:A,Output_Mac!I:I,"")</f>
        <v/>
      </c>
      <c r="J426" s="40" t="str" cm="1">
        <f t="array" ref="J426">IFERROR(_xlfn.LET(
_xlpm.CSVVal,_xlfn.XLOOKUP($A426,CSV!$A:$A,CSV!I:I,""),
_xlpm.MacVal,_xlfn.XLOOKUP($A426,Output_Mac!$A:$A,Output_Mac!J:J,""),
_xlpm.MyAuditVal,_xlfn.XLOOKUP($A426,My_Audit!$A:$A,My_Audit!I:I,""),
_xlfn.IFS(_xlpm.MyAuditVal&lt;&gt;"",UPPER(_xlpm.MyAuditVal),_xlpm.MacVal&lt;&gt;"",_xlpm.MacVal,_xlpm.CSVVal&lt;&gt;"",_xlpm.CSVVal
)),"")</f>
        <v/>
      </c>
      <c r="K426" s="40" t="str" cm="1">
        <f t="array" ref="K426">IFERROR(_xlfn.LET(
_xlpm.CSVVal,_xlfn.XLOOKUP($A426,CSV!$A:$A,CSV!K:K,""),
_xlpm.MacVal,_xlfn.XLOOKUP($A426,Output_Mac!$A:$A,Output_Mac!K:K,""),
_xlpm.MyAuditVal,_xlfn.XLOOKUP($A426,My_Audit!$A:$A,My_Audit!J:J,""),
_xlfn.IFS(_xlpm.MyAuditVal&lt;&gt;"",UPPER(_xlpm.MyAuditVal),_xlpm.MacVal&lt;&gt;"",_xlpm.MacVal,_xlpm.CSVVal&lt;&gt;"",_xlpm.CSVVal
)),"")</f>
        <v/>
      </c>
      <c r="L426" s="40" t="str" cm="1">
        <f t="array" ref="L426">IFERROR(_xlfn.LET(
_xlpm.CSVVal,_xlfn.XLOOKUP($A426,CSV!$A:$A,CSV!P:P,""),
_xlpm.MacVal,_xlfn.XLOOKUP($A426,Output_Mac!$A:$A,Output_Mac!L:L,""),
_xlpm.MyAuditVal,_xlfn.XLOOKUP($A426,My_Audit!$A:$A,My_Audit!K:K,""),
_xlfn.IFS(_xlpm.MyAuditVal&lt;&gt;"",UPPER(_xlpm.MyAuditVal),_xlpm.MacVal&lt;&gt;"",_xlpm.MacVal,_xlpm.CSVVal&lt;&gt;"",_xlpm.CSVVal
)),"")</f>
        <v/>
      </c>
      <c r="M426" s="40" t="str" cm="1">
        <f t="array" ref="M426">IFERROR(_xlfn.LET(
_xlpm.CSVVal,_xlfn.XLOOKUP($A426,CSV!$A:$A,CSV!Q:Q,""),
_xlpm.MacVal,_xlfn.XLOOKUP($A426,Output_Mac!$A:$A,Output_Mac!M:M,""),
_xlpm.MyAuditVal,_xlfn.XLOOKUP($A426,My_Audit!$A:$A,My_Audit!L:L,""),
_xlfn.IFS(_xlpm.MyAuditVal&lt;&gt;"",UPPER(_xlpm.MyAuditVal),_xlpm.MacVal&lt;&gt;"",_xlpm.MacVal,_xlpm.CSVVal&lt;&gt;"",_xlpm.CSVVal
)),"")</f>
        <v/>
      </c>
      <c r="N426" s="40"/>
      <c r="O426" s="40" t="str">
        <f>_xlfn.LET(
    _xlpm.CSVVal, _xlfn.XLOOKUP($A426, CSV!$A:$A, CSV!AA:AA, ""),
    _xlpm.MacVal, _xlfn.XLOOKUP($A426, Output_Mac!$A:$A, Output_Mac!S:S, ""),
    _xlpm.MyAuditVal, _xlfn.XLOOKUP($A426, My_Audit!$A:$A, My_Audit!P:P, ""),
    _xlfn.TEXTJOIN(", ", TRUE, _xlpm.MyAuditVal, _xlpm.MacVal, _xlpm.CSVVal)
)</f>
        <v/>
      </c>
      <c r="P426" s="40" t="str" cm="1">
        <f t="array" ref="P426">IFERROR(_xlfn.LET(
_xlpm.CSVVal,_xlfn.XLOOKUP($A426,CSV!$A:$A,CSV!AB:AB,""),
_xlpm.MacVal,_xlfn.XLOOKUP($A426,Output_Mac!$A:$A,Output_Mac!T:T,""),
_xlpm.MyAuditVal,_xlfn.XLOOKUP($A426,My_Audit!$A:$A,My_Audit!Q:Q,""),
_xlfn.IFS(_xlpm.MyAuditVal&lt;&gt;"",UPPER(_xlpm.MyAuditVal),_xlpm.MacVal&lt;&gt;"",_xlpm.MacVal,_xlpm.CSVVal&lt;&gt;"",_xlpm.CSVVal
)),"No")</f>
        <v>No</v>
      </c>
      <c r="Q426" s="40" t="str" cm="1">
        <f t="array" ref="Q426">IFERROR(_xlfn.LET(
_xlpm.CSVVal,_xlfn.XLOOKUP($A426,CSV!$A:$A,CSV!AC:AC,""),
_xlpm.MacVal,_xlfn.XLOOKUP($A426,Output_Mac!$A:$A,Output_Mac!U:U,""),
_xlpm.MyAuditVal,_xlfn.XLOOKUP($A426,My_Audit!$A:$A,My_Audit!R:R,""),
_xlfn.IFS(_xlpm.MyAuditVal&lt;&gt;"",UPPER(_xlpm.MyAuditVal),_xlpm.MacVal&lt;&gt;"",_xlpm.MacVal,_xlpm.CSVVal&lt;&gt;"",_xlpm.CSVVal
)),"")</f>
        <v/>
      </c>
      <c r="R426" s="40"/>
      <c r="S426" s="40"/>
      <c r="T426" s="40"/>
      <c r="U426" s="40"/>
      <c r="V426" s="40"/>
      <c r="W426" s="40"/>
      <c r="X426" s="41" t="str">
        <f>_xlfn.LET(
    _xlpm.MacVal, _xlfn.XLOOKUP($A426, Output_Mac!$A:$A, Output_Mac!AB:AB, ""),
    _xlpm.MyAuditVal, _xlfn.XLOOKUP($A426, My_Audit!$A:$A, My_Audit!N:N, ""),
    _xlfn.TEXTJOIN(", ", TRUE, _xlpm.MyAuditVal, _xlpm.MacVal)
)</f>
        <v/>
      </c>
    </row>
    <row r="427" spans="1:24">
      <c r="A427" s="40" t="str">
        <f>_xlfn.TEXTJOIN("",TRUE,Input!$B$2,ROW(My_Audit!A426))</f>
        <v>X426</v>
      </c>
      <c r="B427" s="40" t="str">
        <f>_xlfn.TEXTJOIN("-",TRUE,"ITD",Input!$A$2,A427)</f>
        <v>ITD-X426</v>
      </c>
      <c r="C427" s="40" t="str" cm="1">
        <f t="array" ref="C427">IFERROR(_xlfn.LET(
_xlpm.CSVVal,_xlfn.XLOOKUP($A427,CSV!$A:$A,CSV!B:B,""),
_xlpm.MacVal,_xlfn.XLOOKUP($A427,Output_Mac!$A:$A,Output_Mac!B:B,""),
_xlpm.MyAuditVal,_xlfn.XLOOKUP($A427,My_Audit!$A:$A,My_Audit!B:B,""),
_xlfn.IFS(_xlpm.MyAuditVal&lt;&gt;"",UPPER(_xlpm.MyAuditVal),_xlpm.MacVal&lt;&gt;"",_xlpm.MacVal,_xlpm.CSVVal&lt;&gt;"",_xlpm.CSVVal
)),"")</f>
        <v/>
      </c>
      <c r="D427" s="40" t="str" cm="1">
        <f t="array" ref="D427">IFERROR(_xlfn.LET(
_xlpm.CSVVal,_xlfn.XLOOKUP($A427,CSV!$A:$A,CSV!D:D,""),
_xlpm.MacVal,_xlfn.XLOOKUP($A427,Output_Mac!$A:$A,Output_Mac!C:C,""),
_xlpm.MyAuditVal,_xlfn.XLOOKUP($A427,My_Audit!$A:$A,My_Audit!C:C,""),
_xlfn.IFS(_xlpm.MyAuditVal&lt;&gt;"",_xlpm.MyAuditVal,_xlpm.MacVal&lt;&gt;"",_xlpm.MacVal,_xlpm.CSVVal&lt;&gt;"",_xlpm.CSVVal
)),"")</f>
        <v/>
      </c>
      <c r="E427" s="40">
        <f>_xlfn.XLOOKUP(A427,My_Audit!A:A,My_Audit!D:D,"")</f>
        <v>0</v>
      </c>
      <c r="F427" s="40" t="str" cm="1">
        <f t="array" ref="F427">IFERROR(_xlfn.LET(
_xlpm.CSVVal,_xlfn.XLOOKUP($A427,CSV!$A:$A,CSV!F:F,""),
_xlpm.MacVal,_xlfn.XLOOKUP($A427,Output_Mac!$A:$A,Output_Mac!E:E,""),
_xlpm.MyAuditVal,_xlfn.XLOOKUP($A427,My_Audit!$A:$A,My_Audit!E:E,""),
_xlfn.IFS(_xlpm.MyAuditVal&lt;&gt;"",_xlpm.MyAuditVal,_xlpm.MacVal&lt;&gt;"",_xlpm.MacVal,_xlpm.CSVVal&lt;&gt;"",_xlpm.CSVVal
)),"")</f>
        <v/>
      </c>
      <c r="G427" s="40" t="str" cm="1">
        <f t="array" ref="G427">IFERROR(_xlfn.LET(
_xlpm.CSVVal,_xlfn.XLOOKUP($A427,CSV!$A:$A,CSV!G:G,""),
_xlpm.MacVal,_xlfn.XLOOKUP($A427,Output_Mac!$A:$A,Output_Mac!F:F,""),
_xlpm.MyAuditVal,_xlfn.XLOOKUP($A427,My_Audit!$A:$A,My_Audit!F:F,""),
_xlfn.IFS(_xlpm.MyAuditVal&lt;&gt;"",_xlpm.MyAuditVal,_xlpm.MacVal&lt;&gt;"",_xlpm.MacVal,_xlpm.CSVVal&lt;&gt;"",PROPER(_xlpm.CSVVal)
)),"")</f>
        <v/>
      </c>
      <c r="H427" s="40" t="str" cm="1">
        <f t="array" ref="H427">IFERROR(_xlfn.LET(
_xlpm.CSVVal,_xlfn.XLOOKUP($A427,CSV!$A:$A,CSV!H:H,""),
_xlpm.MacVal,_xlfn.XLOOKUP($A427,Output_Mac!$A:$A,Output_Mac!H:H,""),
_xlpm.MyAuditVal,_xlfn.XLOOKUP($A427,My_Audit!$A:$A,My_Audit!G:G,""),
_xlfn.IFS(_xlpm.MyAuditVal&lt;&gt;"",_xlpm.MyAuditVal,_xlpm.MacVal&lt;&gt;"",_xlpm.MacVal,_xlpm.CSVVal&lt;&gt;"",_xlpm.CSVVal
)),"")</f>
        <v/>
      </c>
      <c r="I427" s="40" t="str">
        <f>_xlfn.XLOOKUP(A427,Output_Mac!A:A,Output_Mac!I:I,"")</f>
        <v/>
      </c>
      <c r="J427" s="40" t="str" cm="1">
        <f t="array" ref="J427">IFERROR(_xlfn.LET(
_xlpm.CSVVal,_xlfn.XLOOKUP($A427,CSV!$A:$A,CSV!I:I,""),
_xlpm.MacVal,_xlfn.XLOOKUP($A427,Output_Mac!$A:$A,Output_Mac!J:J,""),
_xlpm.MyAuditVal,_xlfn.XLOOKUP($A427,My_Audit!$A:$A,My_Audit!I:I,""),
_xlfn.IFS(_xlpm.MyAuditVal&lt;&gt;"",UPPER(_xlpm.MyAuditVal),_xlpm.MacVal&lt;&gt;"",_xlpm.MacVal,_xlpm.CSVVal&lt;&gt;"",_xlpm.CSVVal
)),"")</f>
        <v/>
      </c>
      <c r="K427" s="40" t="str" cm="1">
        <f t="array" ref="K427">IFERROR(_xlfn.LET(
_xlpm.CSVVal,_xlfn.XLOOKUP($A427,CSV!$A:$A,CSV!K:K,""),
_xlpm.MacVal,_xlfn.XLOOKUP($A427,Output_Mac!$A:$A,Output_Mac!K:K,""),
_xlpm.MyAuditVal,_xlfn.XLOOKUP($A427,My_Audit!$A:$A,My_Audit!J:J,""),
_xlfn.IFS(_xlpm.MyAuditVal&lt;&gt;"",UPPER(_xlpm.MyAuditVal),_xlpm.MacVal&lt;&gt;"",_xlpm.MacVal,_xlpm.CSVVal&lt;&gt;"",_xlpm.CSVVal
)),"")</f>
        <v/>
      </c>
      <c r="L427" s="40" t="str" cm="1">
        <f t="array" ref="L427">IFERROR(_xlfn.LET(
_xlpm.CSVVal,_xlfn.XLOOKUP($A427,CSV!$A:$A,CSV!P:P,""),
_xlpm.MacVal,_xlfn.XLOOKUP($A427,Output_Mac!$A:$A,Output_Mac!L:L,""),
_xlpm.MyAuditVal,_xlfn.XLOOKUP($A427,My_Audit!$A:$A,My_Audit!K:K,""),
_xlfn.IFS(_xlpm.MyAuditVal&lt;&gt;"",UPPER(_xlpm.MyAuditVal),_xlpm.MacVal&lt;&gt;"",_xlpm.MacVal,_xlpm.CSVVal&lt;&gt;"",_xlpm.CSVVal
)),"")</f>
        <v/>
      </c>
      <c r="M427" s="40" t="str" cm="1">
        <f t="array" ref="M427">IFERROR(_xlfn.LET(
_xlpm.CSVVal,_xlfn.XLOOKUP($A427,CSV!$A:$A,CSV!Q:Q,""),
_xlpm.MacVal,_xlfn.XLOOKUP($A427,Output_Mac!$A:$A,Output_Mac!M:M,""),
_xlpm.MyAuditVal,_xlfn.XLOOKUP($A427,My_Audit!$A:$A,My_Audit!L:L,""),
_xlfn.IFS(_xlpm.MyAuditVal&lt;&gt;"",UPPER(_xlpm.MyAuditVal),_xlpm.MacVal&lt;&gt;"",_xlpm.MacVal,_xlpm.CSVVal&lt;&gt;"",_xlpm.CSVVal
)),"")</f>
        <v/>
      </c>
      <c r="N427" s="40"/>
      <c r="O427" s="40" t="str">
        <f>_xlfn.LET(
    _xlpm.CSVVal, _xlfn.XLOOKUP($A427, CSV!$A:$A, CSV!AA:AA, ""),
    _xlpm.MacVal, _xlfn.XLOOKUP($A427, Output_Mac!$A:$A, Output_Mac!S:S, ""),
    _xlpm.MyAuditVal, _xlfn.XLOOKUP($A427, My_Audit!$A:$A, My_Audit!P:P, ""),
    _xlfn.TEXTJOIN(", ", TRUE, _xlpm.MyAuditVal, _xlpm.MacVal, _xlpm.CSVVal)
)</f>
        <v/>
      </c>
      <c r="P427" s="40" t="str" cm="1">
        <f t="array" ref="P427">IFERROR(_xlfn.LET(
_xlpm.CSVVal,_xlfn.XLOOKUP($A427,CSV!$A:$A,CSV!AB:AB,""),
_xlpm.MacVal,_xlfn.XLOOKUP($A427,Output_Mac!$A:$A,Output_Mac!T:T,""),
_xlpm.MyAuditVal,_xlfn.XLOOKUP($A427,My_Audit!$A:$A,My_Audit!Q:Q,""),
_xlfn.IFS(_xlpm.MyAuditVal&lt;&gt;"",UPPER(_xlpm.MyAuditVal),_xlpm.MacVal&lt;&gt;"",_xlpm.MacVal,_xlpm.CSVVal&lt;&gt;"",_xlpm.CSVVal
)),"No")</f>
        <v>No</v>
      </c>
      <c r="Q427" s="40" t="str" cm="1">
        <f t="array" ref="Q427">IFERROR(_xlfn.LET(
_xlpm.CSVVal,_xlfn.XLOOKUP($A427,CSV!$A:$A,CSV!AC:AC,""),
_xlpm.MacVal,_xlfn.XLOOKUP($A427,Output_Mac!$A:$A,Output_Mac!U:U,""),
_xlpm.MyAuditVal,_xlfn.XLOOKUP($A427,My_Audit!$A:$A,My_Audit!R:R,""),
_xlfn.IFS(_xlpm.MyAuditVal&lt;&gt;"",UPPER(_xlpm.MyAuditVal),_xlpm.MacVal&lt;&gt;"",_xlpm.MacVal,_xlpm.CSVVal&lt;&gt;"",_xlpm.CSVVal
)),"")</f>
        <v/>
      </c>
      <c r="R427" s="40"/>
      <c r="S427" s="40"/>
      <c r="T427" s="40"/>
      <c r="U427" s="40"/>
      <c r="V427" s="40"/>
      <c r="W427" s="40"/>
      <c r="X427" s="41" t="str">
        <f>_xlfn.LET(
    _xlpm.MacVal, _xlfn.XLOOKUP($A427, Output_Mac!$A:$A, Output_Mac!AB:AB, ""),
    _xlpm.MyAuditVal, _xlfn.XLOOKUP($A427, My_Audit!$A:$A, My_Audit!N:N, ""),
    _xlfn.TEXTJOIN(", ", TRUE, _xlpm.MyAuditVal, _xlpm.MacVal)
)</f>
        <v/>
      </c>
    </row>
    <row r="428" spans="1:24">
      <c r="A428" s="40" t="str">
        <f>_xlfn.TEXTJOIN("",TRUE,Input!$B$2,ROW(My_Audit!A427))</f>
        <v>X427</v>
      </c>
      <c r="B428" s="40" t="str">
        <f>_xlfn.TEXTJOIN("-",TRUE,"ITD",Input!$A$2,A428)</f>
        <v>ITD-X427</v>
      </c>
      <c r="C428" s="40" t="str" cm="1">
        <f t="array" ref="C428">IFERROR(_xlfn.LET(
_xlpm.CSVVal,_xlfn.XLOOKUP($A428,CSV!$A:$A,CSV!B:B,""),
_xlpm.MacVal,_xlfn.XLOOKUP($A428,Output_Mac!$A:$A,Output_Mac!B:B,""),
_xlpm.MyAuditVal,_xlfn.XLOOKUP($A428,My_Audit!$A:$A,My_Audit!B:B,""),
_xlfn.IFS(_xlpm.MyAuditVal&lt;&gt;"",UPPER(_xlpm.MyAuditVal),_xlpm.MacVal&lt;&gt;"",_xlpm.MacVal,_xlpm.CSVVal&lt;&gt;"",_xlpm.CSVVal
)),"")</f>
        <v/>
      </c>
      <c r="D428" s="40" t="str" cm="1">
        <f t="array" ref="D428">IFERROR(_xlfn.LET(
_xlpm.CSVVal,_xlfn.XLOOKUP($A428,CSV!$A:$A,CSV!D:D,""),
_xlpm.MacVal,_xlfn.XLOOKUP($A428,Output_Mac!$A:$A,Output_Mac!C:C,""),
_xlpm.MyAuditVal,_xlfn.XLOOKUP($A428,My_Audit!$A:$A,My_Audit!C:C,""),
_xlfn.IFS(_xlpm.MyAuditVal&lt;&gt;"",_xlpm.MyAuditVal,_xlpm.MacVal&lt;&gt;"",_xlpm.MacVal,_xlpm.CSVVal&lt;&gt;"",_xlpm.CSVVal
)),"")</f>
        <v/>
      </c>
      <c r="E428" s="40">
        <f>_xlfn.XLOOKUP(A428,My_Audit!A:A,My_Audit!D:D,"")</f>
        <v>0</v>
      </c>
      <c r="F428" s="40" t="str" cm="1">
        <f t="array" ref="F428">IFERROR(_xlfn.LET(
_xlpm.CSVVal,_xlfn.XLOOKUP($A428,CSV!$A:$A,CSV!F:F,""),
_xlpm.MacVal,_xlfn.XLOOKUP($A428,Output_Mac!$A:$A,Output_Mac!E:E,""),
_xlpm.MyAuditVal,_xlfn.XLOOKUP($A428,My_Audit!$A:$A,My_Audit!E:E,""),
_xlfn.IFS(_xlpm.MyAuditVal&lt;&gt;"",_xlpm.MyAuditVal,_xlpm.MacVal&lt;&gt;"",_xlpm.MacVal,_xlpm.CSVVal&lt;&gt;"",_xlpm.CSVVal
)),"")</f>
        <v/>
      </c>
      <c r="G428" s="40" t="str" cm="1">
        <f t="array" ref="G428">IFERROR(_xlfn.LET(
_xlpm.CSVVal,_xlfn.XLOOKUP($A428,CSV!$A:$A,CSV!G:G,""),
_xlpm.MacVal,_xlfn.XLOOKUP($A428,Output_Mac!$A:$A,Output_Mac!F:F,""),
_xlpm.MyAuditVal,_xlfn.XLOOKUP($A428,My_Audit!$A:$A,My_Audit!F:F,""),
_xlfn.IFS(_xlpm.MyAuditVal&lt;&gt;"",_xlpm.MyAuditVal,_xlpm.MacVal&lt;&gt;"",_xlpm.MacVal,_xlpm.CSVVal&lt;&gt;"",PROPER(_xlpm.CSVVal)
)),"")</f>
        <v/>
      </c>
      <c r="H428" s="40" t="str" cm="1">
        <f t="array" ref="H428">IFERROR(_xlfn.LET(
_xlpm.CSVVal,_xlfn.XLOOKUP($A428,CSV!$A:$A,CSV!H:H,""),
_xlpm.MacVal,_xlfn.XLOOKUP($A428,Output_Mac!$A:$A,Output_Mac!H:H,""),
_xlpm.MyAuditVal,_xlfn.XLOOKUP($A428,My_Audit!$A:$A,My_Audit!G:G,""),
_xlfn.IFS(_xlpm.MyAuditVal&lt;&gt;"",_xlpm.MyAuditVal,_xlpm.MacVal&lt;&gt;"",_xlpm.MacVal,_xlpm.CSVVal&lt;&gt;"",_xlpm.CSVVal
)),"")</f>
        <v/>
      </c>
      <c r="I428" s="40" t="str">
        <f>_xlfn.XLOOKUP(A428,Output_Mac!A:A,Output_Mac!I:I,"")</f>
        <v/>
      </c>
      <c r="J428" s="40" t="str" cm="1">
        <f t="array" ref="J428">IFERROR(_xlfn.LET(
_xlpm.CSVVal,_xlfn.XLOOKUP($A428,CSV!$A:$A,CSV!I:I,""),
_xlpm.MacVal,_xlfn.XLOOKUP($A428,Output_Mac!$A:$A,Output_Mac!J:J,""),
_xlpm.MyAuditVal,_xlfn.XLOOKUP($A428,My_Audit!$A:$A,My_Audit!I:I,""),
_xlfn.IFS(_xlpm.MyAuditVal&lt;&gt;"",UPPER(_xlpm.MyAuditVal),_xlpm.MacVal&lt;&gt;"",_xlpm.MacVal,_xlpm.CSVVal&lt;&gt;"",_xlpm.CSVVal
)),"")</f>
        <v/>
      </c>
      <c r="K428" s="40" t="str" cm="1">
        <f t="array" ref="K428">IFERROR(_xlfn.LET(
_xlpm.CSVVal,_xlfn.XLOOKUP($A428,CSV!$A:$A,CSV!K:K,""),
_xlpm.MacVal,_xlfn.XLOOKUP($A428,Output_Mac!$A:$A,Output_Mac!K:K,""),
_xlpm.MyAuditVal,_xlfn.XLOOKUP($A428,My_Audit!$A:$A,My_Audit!J:J,""),
_xlfn.IFS(_xlpm.MyAuditVal&lt;&gt;"",UPPER(_xlpm.MyAuditVal),_xlpm.MacVal&lt;&gt;"",_xlpm.MacVal,_xlpm.CSVVal&lt;&gt;"",_xlpm.CSVVal
)),"")</f>
        <v/>
      </c>
      <c r="L428" s="40" t="str" cm="1">
        <f t="array" ref="L428">IFERROR(_xlfn.LET(
_xlpm.CSVVal,_xlfn.XLOOKUP($A428,CSV!$A:$A,CSV!P:P,""),
_xlpm.MacVal,_xlfn.XLOOKUP($A428,Output_Mac!$A:$A,Output_Mac!L:L,""),
_xlpm.MyAuditVal,_xlfn.XLOOKUP($A428,My_Audit!$A:$A,My_Audit!K:K,""),
_xlfn.IFS(_xlpm.MyAuditVal&lt;&gt;"",UPPER(_xlpm.MyAuditVal),_xlpm.MacVal&lt;&gt;"",_xlpm.MacVal,_xlpm.CSVVal&lt;&gt;"",_xlpm.CSVVal
)),"")</f>
        <v/>
      </c>
      <c r="M428" s="40" t="str" cm="1">
        <f t="array" ref="M428">IFERROR(_xlfn.LET(
_xlpm.CSVVal,_xlfn.XLOOKUP($A428,CSV!$A:$A,CSV!Q:Q,""),
_xlpm.MacVal,_xlfn.XLOOKUP($A428,Output_Mac!$A:$A,Output_Mac!M:M,""),
_xlpm.MyAuditVal,_xlfn.XLOOKUP($A428,My_Audit!$A:$A,My_Audit!L:L,""),
_xlfn.IFS(_xlpm.MyAuditVal&lt;&gt;"",UPPER(_xlpm.MyAuditVal),_xlpm.MacVal&lt;&gt;"",_xlpm.MacVal,_xlpm.CSVVal&lt;&gt;"",_xlpm.CSVVal
)),"")</f>
        <v/>
      </c>
      <c r="N428" s="40"/>
      <c r="O428" s="40" t="str">
        <f>_xlfn.LET(
    _xlpm.CSVVal, _xlfn.XLOOKUP($A428, CSV!$A:$A, CSV!AA:AA, ""),
    _xlpm.MacVal, _xlfn.XLOOKUP($A428, Output_Mac!$A:$A, Output_Mac!S:S, ""),
    _xlpm.MyAuditVal, _xlfn.XLOOKUP($A428, My_Audit!$A:$A, My_Audit!P:P, ""),
    _xlfn.TEXTJOIN(", ", TRUE, _xlpm.MyAuditVal, _xlpm.MacVal, _xlpm.CSVVal)
)</f>
        <v/>
      </c>
      <c r="P428" s="40" t="str" cm="1">
        <f t="array" ref="P428">IFERROR(_xlfn.LET(
_xlpm.CSVVal,_xlfn.XLOOKUP($A428,CSV!$A:$A,CSV!AB:AB,""),
_xlpm.MacVal,_xlfn.XLOOKUP($A428,Output_Mac!$A:$A,Output_Mac!T:T,""),
_xlpm.MyAuditVal,_xlfn.XLOOKUP($A428,My_Audit!$A:$A,My_Audit!Q:Q,""),
_xlfn.IFS(_xlpm.MyAuditVal&lt;&gt;"",UPPER(_xlpm.MyAuditVal),_xlpm.MacVal&lt;&gt;"",_xlpm.MacVal,_xlpm.CSVVal&lt;&gt;"",_xlpm.CSVVal
)),"No")</f>
        <v>No</v>
      </c>
      <c r="Q428" s="40" t="str" cm="1">
        <f t="array" ref="Q428">IFERROR(_xlfn.LET(
_xlpm.CSVVal,_xlfn.XLOOKUP($A428,CSV!$A:$A,CSV!AC:AC,""),
_xlpm.MacVal,_xlfn.XLOOKUP($A428,Output_Mac!$A:$A,Output_Mac!U:U,""),
_xlpm.MyAuditVal,_xlfn.XLOOKUP($A428,My_Audit!$A:$A,My_Audit!R:R,""),
_xlfn.IFS(_xlpm.MyAuditVal&lt;&gt;"",UPPER(_xlpm.MyAuditVal),_xlpm.MacVal&lt;&gt;"",_xlpm.MacVal,_xlpm.CSVVal&lt;&gt;"",_xlpm.CSVVal
)),"")</f>
        <v/>
      </c>
      <c r="R428" s="40"/>
      <c r="S428" s="40"/>
      <c r="T428" s="40"/>
      <c r="U428" s="40"/>
      <c r="V428" s="40"/>
      <c r="W428" s="40"/>
      <c r="X428" s="41" t="str">
        <f>_xlfn.LET(
    _xlpm.MacVal, _xlfn.XLOOKUP($A428, Output_Mac!$A:$A, Output_Mac!AB:AB, ""),
    _xlpm.MyAuditVal, _xlfn.XLOOKUP($A428, My_Audit!$A:$A, My_Audit!N:N, ""),
    _xlfn.TEXTJOIN(", ", TRUE, _xlpm.MyAuditVal, _xlpm.MacVal)
)</f>
        <v/>
      </c>
    </row>
    <row r="429" spans="1:24">
      <c r="A429" s="40" t="str">
        <f>_xlfn.TEXTJOIN("",TRUE,Input!$B$2,ROW(My_Audit!A428))</f>
        <v>X428</v>
      </c>
      <c r="B429" s="40" t="str">
        <f>_xlfn.TEXTJOIN("-",TRUE,"ITD",Input!$A$2,A429)</f>
        <v>ITD-X428</v>
      </c>
      <c r="C429" s="40" t="str" cm="1">
        <f t="array" ref="C429">IFERROR(_xlfn.LET(
_xlpm.CSVVal,_xlfn.XLOOKUP($A429,CSV!$A:$A,CSV!B:B,""),
_xlpm.MacVal,_xlfn.XLOOKUP($A429,Output_Mac!$A:$A,Output_Mac!B:B,""),
_xlpm.MyAuditVal,_xlfn.XLOOKUP($A429,My_Audit!$A:$A,My_Audit!B:B,""),
_xlfn.IFS(_xlpm.MyAuditVal&lt;&gt;"",UPPER(_xlpm.MyAuditVal),_xlpm.MacVal&lt;&gt;"",_xlpm.MacVal,_xlpm.CSVVal&lt;&gt;"",_xlpm.CSVVal
)),"")</f>
        <v/>
      </c>
      <c r="D429" s="40" t="str" cm="1">
        <f t="array" ref="D429">IFERROR(_xlfn.LET(
_xlpm.CSVVal,_xlfn.XLOOKUP($A429,CSV!$A:$A,CSV!D:D,""),
_xlpm.MacVal,_xlfn.XLOOKUP($A429,Output_Mac!$A:$A,Output_Mac!C:C,""),
_xlpm.MyAuditVal,_xlfn.XLOOKUP($A429,My_Audit!$A:$A,My_Audit!C:C,""),
_xlfn.IFS(_xlpm.MyAuditVal&lt;&gt;"",_xlpm.MyAuditVal,_xlpm.MacVal&lt;&gt;"",_xlpm.MacVal,_xlpm.CSVVal&lt;&gt;"",_xlpm.CSVVal
)),"")</f>
        <v/>
      </c>
      <c r="E429" s="40">
        <f>_xlfn.XLOOKUP(A429,My_Audit!A:A,My_Audit!D:D,"")</f>
        <v>0</v>
      </c>
      <c r="F429" s="40" t="str" cm="1">
        <f t="array" ref="F429">IFERROR(_xlfn.LET(
_xlpm.CSVVal,_xlfn.XLOOKUP($A429,CSV!$A:$A,CSV!F:F,""),
_xlpm.MacVal,_xlfn.XLOOKUP($A429,Output_Mac!$A:$A,Output_Mac!E:E,""),
_xlpm.MyAuditVal,_xlfn.XLOOKUP($A429,My_Audit!$A:$A,My_Audit!E:E,""),
_xlfn.IFS(_xlpm.MyAuditVal&lt;&gt;"",_xlpm.MyAuditVal,_xlpm.MacVal&lt;&gt;"",_xlpm.MacVal,_xlpm.CSVVal&lt;&gt;"",_xlpm.CSVVal
)),"")</f>
        <v/>
      </c>
      <c r="G429" s="40" t="str" cm="1">
        <f t="array" ref="G429">IFERROR(_xlfn.LET(
_xlpm.CSVVal,_xlfn.XLOOKUP($A429,CSV!$A:$A,CSV!G:G,""),
_xlpm.MacVal,_xlfn.XLOOKUP($A429,Output_Mac!$A:$A,Output_Mac!F:F,""),
_xlpm.MyAuditVal,_xlfn.XLOOKUP($A429,My_Audit!$A:$A,My_Audit!F:F,""),
_xlfn.IFS(_xlpm.MyAuditVal&lt;&gt;"",_xlpm.MyAuditVal,_xlpm.MacVal&lt;&gt;"",_xlpm.MacVal,_xlpm.CSVVal&lt;&gt;"",PROPER(_xlpm.CSVVal)
)),"")</f>
        <v/>
      </c>
      <c r="H429" s="40" t="str" cm="1">
        <f t="array" ref="H429">IFERROR(_xlfn.LET(
_xlpm.CSVVal,_xlfn.XLOOKUP($A429,CSV!$A:$A,CSV!H:H,""),
_xlpm.MacVal,_xlfn.XLOOKUP($A429,Output_Mac!$A:$A,Output_Mac!H:H,""),
_xlpm.MyAuditVal,_xlfn.XLOOKUP($A429,My_Audit!$A:$A,My_Audit!G:G,""),
_xlfn.IFS(_xlpm.MyAuditVal&lt;&gt;"",_xlpm.MyAuditVal,_xlpm.MacVal&lt;&gt;"",_xlpm.MacVal,_xlpm.CSVVal&lt;&gt;"",_xlpm.CSVVal
)),"")</f>
        <v/>
      </c>
      <c r="I429" s="40" t="str">
        <f>_xlfn.XLOOKUP(A429,Output_Mac!A:A,Output_Mac!I:I,"")</f>
        <v/>
      </c>
      <c r="J429" s="40" t="str" cm="1">
        <f t="array" ref="J429">IFERROR(_xlfn.LET(
_xlpm.CSVVal,_xlfn.XLOOKUP($A429,CSV!$A:$A,CSV!I:I,""),
_xlpm.MacVal,_xlfn.XLOOKUP($A429,Output_Mac!$A:$A,Output_Mac!J:J,""),
_xlpm.MyAuditVal,_xlfn.XLOOKUP($A429,My_Audit!$A:$A,My_Audit!I:I,""),
_xlfn.IFS(_xlpm.MyAuditVal&lt;&gt;"",UPPER(_xlpm.MyAuditVal),_xlpm.MacVal&lt;&gt;"",_xlpm.MacVal,_xlpm.CSVVal&lt;&gt;"",_xlpm.CSVVal
)),"")</f>
        <v/>
      </c>
      <c r="K429" s="40" t="str" cm="1">
        <f t="array" ref="K429">IFERROR(_xlfn.LET(
_xlpm.CSVVal,_xlfn.XLOOKUP($A429,CSV!$A:$A,CSV!K:K,""),
_xlpm.MacVal,_xlfn.XLOOKUP($A429,Output_Mac!$A:$A,Output_Mac!K:K,""),
_xlpm.MyAuditVal,_xlfn.XLOOKUP($A429,My_Audit!$A:$A,My_Audit!J:J,""),
_xlfn.IFS(_xlpm.MyAuditVal&lt;&gt;"",UPPER(_xlpm.MyAuditVal),_xlpm.MacVal&lt;&gt;"",_xlpm.MacVal,_xlpm.CSVVal&lt;&gt;"",_xlpm.CSVVal
)),"")</f>
        <v/>
      </c>
      <c r="L429" s="40" t="str" cm="1">
        <f t="array" ref="L429">IFERROR(_xlfn.LET(
_xlpm.CSVVal,_xlfn.XLOOKUP($A429,CSV!$A:$A,CSV!P:P,""),
_xlpm.MacVal,_xlfn.XLOOKUP($A429,Output_Mac!$A:$A,Output_Mac!L:L,""),
_xlpm.MyAuditVal,_xlfn.XLOOKUP($A429,My_Audit!$A:$A,My_Audit!K:K,""),
_xlfn.IFS(_xlpm.MyAuditVal&lt;&gt;"",UPPER(_xlpm.MyAuditVal),_xlpm.MacVal&lt;&gt;"",_xlpm.MacVal,_xlpm.CSVVal&lt;&gt;"",_xlpm.CSVVal
)),"")</f>
        <v/>
      </c>
      <c r="M429" s="40" t="str" cm="1">
        <f t="array" ref="M429">IFERROR(_xlfn.LET(
_xlpm.CSVVal,_xlfn.XLOOKUP($A429,CSV!$A:$A,CSV!Q:Q,""),
_xlpm.MacVal,_xlfn.XLOOKUP($A429,Output_Mac!$A:$A,Output_Mac!M:M,""),
_xlpm.MyAuditVal,_xlfn.XLOOKUP($A429,My_Audit!$A:$A,My_Audit!L:L,""),
_xlfn.IFS(_xlpm.MyAuditVal&lt;&gt;"",UPPER(_xlpm.MyAuditVal),_xlpm.MacVal&lt;&gt;"",_xlpm.MacVal,_xlpm.CSVVal&lt;&gt;"",_xlpm.CSVVal
)),"")</f>
        <v/>
      </c>
      <c r="N429" s="40"/>
      <c r="O429" s="40" t="str">
        <f>_xlfn.LET(
    _xlpm.CSVVal, _xlfn.XLOOKUP($A429, CSV!$A:$A, CSV!AA:AA, ""),
    _xlpm.MacVal, _xlfn.XLOOKUP($A429, Output_Mac!$A:$A, Output_Mac!S:S, ""),
    _xlpm.MyAuditVal, _xlfn.XLOOKUP($A429, My_Audit!$A:$A, My_Audit!P:P, ""),
    _xlfn.TEXTJOIN(", ", TRUE, _xlpm.MyAuditVal, _xlpm.MacVal, _xlpm.CSVVal)
)</f>
        <v/>
      </c>
      <c r="P429" s="40" t="str" cm="1">
        <f t="array" ref="P429">IFERROR(_xlfn.LET(
_xlpm.CSVVal,_xlfn.XLOOKUP($A429,CSV!$A:$A,CSV!AB:AB,""),
_xlpm.MacVal,_xlfn.XLOOKUP($A429,Output_Mac!$A:$A,Output_Mac!T:T,""),
_xlpm.MyAuditVal,_xlfn.XLOOKUP($A429,My_Audit!$A:$A,My_Audit!Q:Q,""),
_xlfn.IFS(_xlpm.MyAuditVal&lt;&gt;"",UPPER(_xlpm.MyAuditVal),_xlpm.MacVal&lt;&gt;"",_xlpm.MacVal,_xlpm.CSVVal&lt;&gt;"",_xlpm.CSVVal
)),"No")</f>
        <v>No</v>
      </c>
      <c r="Q429" s="40" t="str" cm="1">
        <f t="array" ref="Q429">IFERROR(_xlfn.LET(
_xlpm.CSVVal,_xlfn.XLOOKUP($A429,CSV!$A:$A,CSV!AC:AC,""),
_xlpm.MacVal,_xlfn.XLOOKUP($A429,Output_Mac!$A:$A,Output_Mac!U:U,""),
_xlpm.MyAuditVal,_xlfn.XLOOKUP($A429,My_Audit!$A:$A,My_Audit!R:R,""),
_xlfn.IFS(_xlpm.MyAuditVal&lt;&gt;"",UPPER(_xlpm.MyAuditVal),_xlpm.MacVal&lt;&gt;"",_xlpm.MacVal,_xlpm.CSVVal&lt;&gt;"",_xlpm.CSVVal
)),"")</f>
        <v/>
      </c>
      <c r="R429" s="40"/>
      <c r="S429" s="40"/>
      <c r="T429" s="40"/>
      <c r="U429" s="40"/>
      <c r="V429" s="40"/>
      <c r="W429" s="40"/>
      <c r="X429" s="41" t="str">
        <f>_xlfn.LET(
    _xlpm.MacVal, _xlfn.XLOOKUP($A429, Output_Mac!$A:$A, Output_Mac!AB:AB, ""),
    _xlpm.MyAuditVal, _xlfn.XLOOKUP($A429, My_Audit!$A:$A, My_Audit!N:N, ""),
    _xlfn.TEXTJOIN(", ", TRUE, _xlpm.MyAuditVal, _xlpm.MacVal)
)</f>
        <v/>
      </c>
    </row>
    <row r="430" spans="1:24">
      <c r="A430" s="40" t="str">
        <f>_xlfn.TEXTJOIN("",TRUE,Input!$B$2,ROW(My_Audit!A429))</f>
        <v>X429</v>
      </c>
      <c r="B430" s="40" t="str">
        <f>_xlfn.TEXTJOIN("-",TRUE,"ITD",Input!$A$2,A430)</f>
        <v>ITD-X429</v>
      </c>
      <c r="C430" s="40" t="str" cm="1">
        <f t="array" ref="C430">IFERROR(_xlfn.LET(
_xlpm.CSVVal,_xlfn.XLOOKUP($A430,CSV!$A:$A,CSV!B:B,""),
_xlpm.MacVal,_xlfn.XLOOKUP($A430,Output_Mac!$A:$A,Output_Mac!B:B,""),
_xlpm.MyAuditVal,_xlfn.XLOOKUP($A430,My_Audit!$A:$A,My_Audit!B:B,""),
_xlfn.IFS(_xlpm.MyAuditVal&lt;&gt;"",UPPER(_xlpm.MyAuditVal),_xlpm.MacVal&lt;&gt;"",_xlpm.MacVal,_xlpm.CSVVal&lt;&gt;"",_xlpm.CSVVal
)),"")</f>
        <v/>
      </c>
      <c r="D430" s="40" t="str" cm="1">
        <f t="array" ref="D430">IFERROR(_xlfn.LET(
_xlpm.CSVVal,_xlfn.XLOOKUP($A430,CSV!$A:$A,CSV!D:D,""),
_xlpm.MacVal,_xlfn.XLOOKUP($A430,Output_Mac!$A:$A,Output_Mac!C:C,""),
_xlpm.MyAuditVal,_xlfn.XLOOKUP($A430,My_Audit!$A:$A,My_Audit!C:C,""),
_xlfn.IFS(_xlpm.MyAuditVal&lt;&gt;"",_xlpm.MyAuditVal,_xlpm.MacVal&lt;&gt;"",_xlpm.MacVal,_xlpm.CSVVal&lt;&gt;"",_xlpm.CSVVal
)),"")</f>
        <v/>
      </c>
      <c r="E430" s="40">
        <f>_xlfn.XLOOKUP(A430,My_Audit!A:A,My_Audit!D:D,"")</f>
        <v>0</v>
      </c>
      <c r="F430" s="40" t="str" cm="1">
        <f t="array" ref="F430">IFERROR(_xlfn.LET(
_xlpm.CSVVal,_xlfn.XLOOKUP($A430,CSV!$A:$A,CSV!F:F,""),
_xlpm.MacVal,_xlfn.XLOOKUP($A430,Output_Mac!$A:$A,Output_Mac!E:E,""),
_xlpm.MyAuditVal,_xlfn.XLOOKUP($A430,My_Audit!$A:$A,My_Audit!E:E,""),
_xlfn.IFS(_xlpm.MyAuditVal&lt;&gt;"",_xlpm.MyAuditVal,_xlpm.MacVal&lt;&gt;"",_xlpm.MacVal,_xlpm.CSVVal&lt;&gt;"",_xlpm.CSVVal
)),"")</f>
        <v/>
      </c>
      <c r="G430" s="40" t="str" cm="1">
        <f t="array" ref="G430">IFERROR(_xlfn.LET(
_xlpm.CSVVal,_xlfn.XLOOKUP($A430,CSV!$A:$A,CSV!G:G,""),
_xlpm.MacVal,_xlfn.XLOOKUP($A430,Output_Mac!$A:$A,Output_Mac!F:F,""),
_xlpm.MyAuditVal,_xlfn.XLOOKUP($A430,My_Audit!$A:$A,My_Audit!F:F,""),
_xlfn.IFS(_xlpm.MyAuditVal&lt;&gt;"",_xlpm.MyAuditVal,_xlpm.MacVal&lt;&gt;"",_xlpm.MacVal,_xlpm.CSVVal&lt;&gt;"",PROPER(_xlpm.CSVVal)
)),"")</f>
        <v/>
      </c>
      <c r="H430" s="40" t="str" cm="1">
        <f t="array" ref="H430">IFERROR(_xlfn.LET(
_xlpm.CSVVal,_xlfn.XLOOKUP($A430,CSV!$A:$A,CSV!H:H,""),
_xlpm.MacVal,_xlfn.XLOOKUP($A430,Output_Mac!$A:$A,Output_Mac!H:H,""),
_xlpm.MyAuditVal,_xlfn.XLOOKUP($A430,My_Audit!$A:$A,My_Audit!G:G,""),
_xlfn.IFS(_xlpm.MyAuditVal&lt;&gt;"",_xlpm.MyAuditVal,_xlpm.MacVal&lt;&gt;"",_xlpm.MacVal,_xlpm.CSVVal&lt;&gt;"",_xlpm.CSVVal
)),"")</f>
        <v/>
      </c>
      <c r="I430" s="40" t="str">
        <f>_xlfn.XLOOKUP(A430,Output_Mac!A:A,Output_Mac!I:I,"")</f>
        <v/>
      </c>
      <c r="J430" s="40" t="str" cm="1">
        <f t="array" ref="J430">IFERROR(_xlfn.LET(
_xlpm.CSVVal,_xlfn.XLOOKUP($A430,CSV!$A:$A,CSV!I:I,""),
_xlpm.MacVal,_xlfn.XLOOKUP($A430,Output_Mac!$A:$A,Output_Mac!J:J,""),
_xlpm.MyAuditVal,_xlfn.XLOOKUP($A430,My_Audit!$A:$A,My_Audit!I:I,""),
_xlfn.IFS(_xlpm.MyAuditVal&lt;&gt;"",UPPER(_xlpm.MyAuditVal),_xlpm.MacVal&lt;&gt;"",_xlpm.MacVal,_xlpm.CSVVal&lt;&gt;"",_xlpm.CSVVal
)),"")</f>
        <v/>
      </c>
      <c r="K430" s="40" t="str" cm="1">
        <f t="array" ref="K430">IFERROR(_xlfn.LET(
_xlpm.CSVVal,_xlfn.XLOOKUP($A430,CSV!$A:$A,CSV!K:K,""),
_xlpm.MacVal,_xlfn.XLOOKUP($A430,Output_Mac!$A:$A,Output_Mac!K:K,""),
_xlpm.MyAuditVal,_xlfn.XLOOKUP($A430,My_Audit!$A:$A,My_Audit!J:J,""),
_xlfn.IFS(_xlpm.MyAuditVal&lt;&gt;"",UPPER(_xlpm.MyAuditVal),_xlpm.MacVal&lt;&gt;"",_xlpm.MacVal,_xlpm.CSVVal&lt;&gt;"",_xlpm.CSVVal
)),"")</f>
        <v/>
      </c>
      <c r="L430" s="40" t="str" cm="1">
        <f t="array" ref="L430">IFERROR(_xlfn.LET(
_xlpm.CSVVal,_xlfn.XLOOKUP($A430,CSV!$A:$A,CSV!P:P,""),
_xlpm.MacVal,_xlfn.XLOOKUP($A430,Output_Mac!$A:$A,Output_Mac!L:L,""),
_xlpm.MyAuditVal,_xlfn.XLOOKUP($A430,My_Audit!$A:$A,My_Audit!K:K,""),
_xlfn.IFS(_xlpm.MyAuditVal&lt;&gt;"",UPPER(_xlpm.MyAuditVal),_xlpm.MacVal&lt;&gt;"",_xlpm.MacVal,_xlpm.CSVVal&lt;&gt;"",_xlpm.CSVVal
)),"")</f>
        <v/>
      </c>
      <c r="M430" s="40" t="str" cm="1">
        <f t="array" ref="M430">IFERROR(_xlfn.LET(
_xlpm.CSVVal,_xlfn.XLOOKUP($A430,CSV!$A:$A,CSV!Q:Q,""),
_xlpm.MacVal,_xlfn.XLOOKUP($A430,Output_Mac!$A:$A,Output_Mac!M:M,""),
_xlpm.MyAuditVal,_xlfn.XLOOKUP($A430,My_Audit!$A:$A,My_Audit!L:L,""),
_xlfn.IFS(_xlpm.MyAuditVal&lt;&gt;"",UPPER(_xlpm.MyAuditVal),_xlpm.MacVal&lt;&gt;"",_xlpm.MacVal,_xlpm.CSVVal&lt;&gt;"",_xlpm.CSVVal
)),"")</f>
        <v/>
      </c>
      <c r="N430" s="40"/>
      <c r="O430" s="40" t="str">
        <f>_xlfn.LET(
    _xlpm.CSVVal, _xlfn.XLOOKUP($A430, CSV!$A:$A, CSV!AA:AA, ""),
    _xlpm.MacVal, _xlfn.XLOOKUP($A430, Output_Mac!$A:$A, Output_Mac!S:S, ""),
    _xlpm.MyAuditVal, _xlfn.XLOOKUP($A430, My_Audit!$A:$A, My_Audit!P:P, ""),
    _xlfn.TEXTJOIN(", ", TRUE, _xlpm.MyAuditVal, _xlpm.MacVal, _xlpm.CSVVal)
)</f>
        <v/>
      </c>
      <c r="P430" s="40" t="str" cm="1">
        <f t="array" ref="P430">IFERROR(_xlfn.LET(
_xlpm.CSVVal,_xlfn.XLOOKUP($A430,CSV!$A:$A,CSV!AB:AB,""),
_xlpm.MacVal,_xlfn.XLOOKUP($A430,Output_Mac!$A:$A,Output_Mac!T:T,""),
_xlpm.MyAuditVal,_xlfn.XLOOKUP($A430,My_Audit!$A:$A,My_Audit!Q:Q,""),
_xlfn.IFS(_xlpm.MyAuditVal&lt;&gt;"",UPPER(_xlpm.MyAuditVal),_xlpm.MacVal&lt;&gt;"",_xlpm.MacVal,_xlpm.CSVVal&lt;&gt;"",_xlpm.CSVVal
)),"No")</f>
        <v>No</v>
      </c>
      <c r="Q430" s="40" t="str" cm="1">
        <f t="array" ref="Q430">IFERROR(_xlfn.LET(
_xlpm.CSVVal,_xlfn.XLOOKUP($A430,CSV!$A:$A,CSV!AC:AC,""),
_xlpm.MacVal,_xlfn.XLOOKUP($A430,Output_Mac!$A:$A,Output_Mac!U:U,""),
_xlpm.MyAuditVal,_xlfn.XLOOKUP($A430,My_Audit!$A:$A,My_Audit!R:R,""),
_xlfn.IFS(_xlpm.MyAuditVal&lt;&gt;"",UPPER(_xlpm.MyAuditVal),_xlpm.MacVal&lt;&gt;"",_xlpm.MacVal,_xlpm.CSVVal&lt;&gt;"",_xlpm.CSVVal
)),"")</f>
        <v/>
      </c>
      <c r="R430" s="40"/>
      <c r="S430" s="40"/>
      <c r="T430" s="40"/>
      <c r="U430" s="40"/>
      <c r="V430" s="40"/>
      <c r="W430" s="40"/>
      <c r="X430" s="41" t="str">
        <f>_xlfn.LET(
    _xlpm.MacVal, _xlfn.XLOOKUP($A430, Output_Mac!$A:$A, Output_Mac!AB:AB, ""),
    _xlpm.MyAuditVal, _xlfn.XLOOKUP($A430, My_Audit!$A:$A, My_Audit!N:N, ""),
    _xlfn.TEXTJOIN(", ", TRUE, _xlpm.MyAuditVal, _xlpm.MacVal)
)</f>
        <v/>
      </c>
    </row>
    <row r="431" spans="1:24">
      <c r="A431" s="40" t="str">
        <f>_xlfn.TEXTJOIN("",TRUE,Input!$B$2,ROW(My_Audit!A430))</f>
        <v>X430</v>
      </c>
      <c r="B431" s="40" t="str">
        <f>_xlfn.TEXTJOIN("-",TRUE,"ITD",Input!$A$2,A431)</f>
        <v>ITD-X430</v>
      </c>
      <c r="C431" s="40" t="str" cm="1">
        <f t="array" ref="C431">IFERROR(_xlfn.LET(
_xlpm.CSVVal,_xlfn.XLOOKUP($A431,CSV!$A:$A,CSV!B:B,""),
_xlpm.MacVal,_xlfn.XLOOKUP($A431,Output_Mac!$A:$A,Output_Mac!B:B,""),
_xlpm.MyAuditVal,_xlfn.XLOOKUP($A431,My_Audit!$A:$A,My_Audit!B:B,""),
_xlfn.IFS(_xlpm.MyAuditVal&lt;&gt;"",UPPER(_xlpm.MyAuditVal),_xlpm.MacVal&lt;&gt;"",_xlpm.MacVal,_xlpm.CSVVal&lt;&gt;"",_xlpm.CSVVal
)),"")</f>
        <v/>
      </c>
      <c r="D431" s="40" t="str" cm="1">
        <f t="array" ref="D431">IFERROR(_xlfn.LET(
_xlpm.CSVVal,_xlfn.XLOOKUP($A431,CSV!$A:$A,CSV!D:D,""),
_xlpm.MacVal,_xlfn.XLOOKUP($A431,Output_Mac!$A:$A,Output_Mac!C:C,""),
_xlpm.MyAuditVal,_xlfn.XLOOKUP($A431,My_Audit!$A:$A,My_Audit!C:C,""),
_xlfn.IFS(_xlpm.MyAuditVal&lt;&gt;"",_xlpm.MyAuditVal,_xlpm.MacVal&lt;&gt;"",_xlpm.MacVal,_xlpm.CSVVal&lt;&gt;"",_xlpm.CSVVal
)),"")</f>
        <v/>
      </c>
      <c r="E431" s="40">
        <f>_xlfn.XLOOKUP(A431,My_Audit!A:A,My_Audit!D:D,"")</f>
        <v>0</v>
      </c>
      <c r="F431" s="40" t="str" cm="1">
        <f t="array" ref="F431">IFERROR(_xlfn.LET(
_xlpm.CSVVal,_xlfn.XLOOKUP($A431,CSV!$A:$A,CSV!F:F,""),
_xlpm.MacVal,_xlfn.XLOOKUP($A431,Output_Mac!$A:$A,Output_Mac!E:E,""),
_xlpm.MyAuditVal,_xlfn.XLOOKUP($A431,My_Audit!$A:$A,My_Audit!E:E,""),
_xlfn.IFS(_xlpm.MyAuditVal&lt;&gt;"",_xlpm.MyAuditVal,_xlpm.MacVal&lt;&gt;"",_xlpm.MacVal,_xlpm.CSVVal&lt;&gt;"",_xlpm.CSVVal
)),"")</f>
        <v/>
      </c>
      <c r="G431" s="40" t="str" cm="1">
        <f t="array" ref="G431">IFERROR(_xlfn.LET(
_xlpm.CSVVal,_xlfn.XLOOKUP($A431,CSV!$A:$A,CSV!G:G,""),
_xlpm.MacVal,_xlfn.XLOOKUP($A431,Output_Mac!$A:$A,Output_Mac!F:F,""),
_xlpm.MyAuditVal,_xlfn.XLOOKUP($A431,My_Audit!$A:$A,My_Audit!F:F,""),
_xlfn.IFS(_xlpm.MyAuditVal&lt;&gt;"",_xlpm.MyAuditVal,_xlpm.MacVal&lt;&gt;"",_xlpm.MacVal,_xlpm.CSVVal&lt;&gt;"",PROPER(_xlpm.CSVVal)
)),"")</f>
        <v/>
      </c>
      <c r="H431" s="40" t="str" cm="1">
        <f t="array" ref="H431">IFERROR(_xlfn.LET(
_xlpm.CSVVal,_xlfn.XLOOKUP($A431,CSV!$A:$A,CSV!H:H,""),
_xlpm.MacVal,_xlfn.XLOOKUP($A431,Output_Mac!$A:$A,Output_Mac!H:H,""),
_xlpm.MyAuditVal,_xlfn.XLOOKUP($A431,My_Audit!$A:$A,My_Audit!G:G,""),
_xlfn.IFS(_xlpm.MyAuditVal&lt;&gt;"",_xlpm.MyAuditVal,_xlpm.MacVal&lt;&gt;"",_xlpm.MacVal,_xlpm.CSVVal&lt;&gt;"",_xlpm.CSVVal
)),"")</f>
        <v/>
      </c>
      <c r="I431" s="40" t="str">
        <f>_xlfn.XLOOKUP(A431,Output_Mac!A:A,Output_Mac!I:I,"")</f>
        <v/>
      </c>
      <c r="J431" s="40" t="str" cm="1">
        <f t="array" ref="J431">IFERROR(_xlfn.LET(
_xlpm.CSVVal,_xlfn.XLOOKUP($A431,CSV!$A:$A,CSV!I:I,""),
_xlpm.MacVal,_xlfn.XLOOKUP($A431,Output_Mac!$A:$A,Output_Mac!J:J,""),
_xlpm.MyAuditVal,_xlfn.XLOOKUP($A431,My_Audit!$A:$A,My_Audit!I:I,""),
_xlfn.IFS(_xlpm.MyAuditVal&lt;&gt;"",UPPER(_xlpm.MyAuditVal),_xlpm.MacVal&lt;&gt;"",_xlpm.MacVal,_xlpm.CSVVal&lt;&gt;"",_xlpm.CSVVal
)),"")</f>
        <v/>
      </c>
      <c r="K431" s="40" t="str" cm="1">
        <f t="array" ref="K431">IFERROR(_xlfn.LET(
_xlpm.CSVVal,_xlfn.XLOOKUP($A431,CSV!$A:$A,CSV!K:K,""),
_xlpm.MacVal,_xlfn.XLOOKUP($A431,Output_Mac!$A:$A,Output_Mac!K:K,""),
_xlpm.MyAuditVal,_xlfn.XLOOKUP($A431,My_Audit!$A:$A,My_Audit!J:J,""),
_xlfn.IFS(_xlpm.MyAuditVal&lt;&gt;"",UPPER(_xlpm.MyAuditVal),_xlpm.MacVal&lt;&gt;"",_xlpm.MacVal,_xlpm.CSVVal&lt;&gt;"",_xlpm.CSVVal
)),"")</f>
        <v/>
      </c>
      <c r="L431" s="40" t="str" cm="1">
        <f t="array" ref="L431">IFERROR(_xlfn.LET(
_xlpm.CSVVal,_xlfn.XLOOKUP($A431,CSV!$A:$A,CSV!P:P,""),
_xlpm.MacVal,_xlfn.XLOOKUP($A431,Output_Mac!$A:$A,Output_Mac!L:L,""),
_xlpm.MyAuditVal,_xlfn.XLOOKUP($A431,My_Audit!$A:$A,My_Audit!K:K,""),
_xlfn.IFS(_xlpm.MyAuditVal&lt;&gt;"",UPPER(_xlpm.MyAuditVal),_xlpm.MacVal&lt;&gt;"",_xlpm.MacVal,_xlpm.CSVVal&lt;&gt;"",_xlpm.CSVVal
)),"")</f>
        <v/>
      </c>
      <c r="M431" s="40" t="str" cm="1">
        <f t="array" ref="M431">IFERROR(_xlfn.LET(
_xlpm.CSVVal,_xlfn.XLOOKUP($A431,CSV!$A:$A,CSV!Q:Q,""),
_xlpm.MacVal,_xlfn.XLOOKUP($A431,Output_Mac!$A:$A,Output_Mac!M:M,""),
_xlpm.MyAuditVal,_xlfn.XLOOKUP($A431,My_Audit!$A:$A,My_Audit!L:L,""),
_xlfn.IFS(_xlpm.MyAuditVal&lt;&gt;"",UPPER(_xlpm.MyAuditVal),_xlpm.MacVal&lt;&gt;"",_xlpm.MacVal,_xlpm.CSVVal&lt;&gt;"",_xlpm.CSVVal
)),"")</f>
        <v/>
      </c>
      <c r="N431" s="40"/>
      <c r="O431" s="40" t="str">
        <f>_xlfn.LET(
    _xlpm.CSVVal, _xlfn.XLOOKUP($A431, CSV!$A:$A, CSV!AA:AA, ""),
    _xlpm.MacVal, _xlfn.XLOOKUP($A431, Output_Mac!$A:$A, Output_Mac!S:S, ""),
    _xlpm.MyAuditVal, _xlfn.XLOOKUP($A431, My_Audit!$A:$A, My_Audit!P:P, ""),
    _xlfn.TEXTJOIN(", ", TRUE, _xlpm.MyAuditVal, _xlpm.MacVal, _xlpm.CSVVal)
)</f>
        <v/>
      </c>
      <c r="P431" s="40" t="str" cm="1">
        <f t="array" ref="P431">IFERROR(_xlfn.LET(
_xlpm.CSVVal,_xlfn.XLOOKUP($A431,CSV!$A:$A,CSV!AB:AB,""),
_xlpm.MacVal,_xlfn.XLOOKUP($A431,Output_Mac!$A:$A,Output_Mac!T:T,""),
_xlpm.MyAuditVal,_xlfn.XLOOKUP($A431,My_Audit!$A:$A,My_Audit!Q:Q,""),
_xlfn.IFS(_xlpm.MyAuditVal&lt;&gt;"",UPPER(_xlpm.MyAuditVal),_xlpm.MacVal&lt;&gt;"",_xlpm.MacVal,_xlpm.CSVVal&lt;&gt;"",_xlpm.CSVVal
)),"No")</f>
        <v>No</v>
      </c>
      <c r="Q431" s="40" t="str" cm="1">
        <f t="array" ref="Q431">IFERROR(_xlfn.LET(
_xlpm.CSVVal,_xlfn.XLOOKUP($A431,CSV!$A:$A,CSV!AC:AC,""),
_xlpm.MacVal,_xlfn.XLOOKUP($A431,Output_Mac!$A:$A,Output_Mac!U:U,""),
_xlpm.MyAuditVal,_xlfn.XLOOKUP($A431,My_Audit!$A:$A,My_Audit!R:R,""),
_xlfn.IFS(_xlpm.MyAuditVal&lt;&gt;"",UPPER(_xlpm.MyAuditVal),_xlpm.MacVal&lt;&gt;"",_xlpm.MacVal,_xlpm.CSVVal&lt;&gt;"",_xlpm.CSVVal
)),"")</f>
        <v/>
      </c>
      <c r="R431" s="40"/>
      <c r="S431" s="40"/>
      <c r="T431" s="40"/>
      <c r="U431" s="40"/>
      <c r="V431" s="40"/>
      <c r="W431" s="40"/>
      <c r="X431" s="41" t="str">
        <f>_xlfn.LET(
    _xlpm.MacVal, _xlfn.XLOOKUP($A431, Output_Mac!$A:$A, Output_Mac!AB:AB, ""),
    _xlpm.MyAuditVal, _xlfn.XLOOKUP($A431, My_Audit!$A:$A, My_Audit!N:N, ""),
    _xlfn.TEXTJOIN(", ", TRUE, _xlpm.MyAuditVal, _xlpm.MacVal)
)</f>
        <v/>
      </c>
    </row>
    <row r="432" spans="1:24">
      <c r="A432" s="40" t="str">
        <f>_xlfn.TEXTJOIN("",TRUE,Input!$B$2,ROW(My_Audit!A431))</f>
        <v>X431</v>
      </c>
      <c r="B432" s="40" t="str">
        <f>_xlfn.TEXTJOIN("-",TRUE,"ITD",Input!$A$2,A432)</f>
        <v>ITD-X431</v>
      </c>
      <c r="C432" s="40" t="str" cm="1">
        <f t="array" ref="C432">IFERROR(_xlfn.LET(
_xlpm.CSVVal,_xlfn.XLOOKUP($A432,CSV!$A:$A,CSV!B:B,""),
_xlpm.MacVal,_xlfn.XLOOKUP($A432,Output_Mac!$A:$A,Output_Mac!B:B,""),
_xlpm.MyAuditVal,_xlfn.XLOOKUP($A432,My_Audit!$A:$A,My_Audit!B:B,""),
_xlfn.IFS(_xlpm.MyAuditVal&lt;&gt;"",UPPER(_xlpm.MyAuditVal),_xlpm.MacVal&lt;&gt;"",_xlpm.MacVal,_xlpm.CSVVal&lt;&gt;"",_xlpm.CSVVal
)),"")</f>
        <v/>
      </c>
      <c r="D432" s="40" t="str" cm="1">
        <f t="array" ref="D432">IFERROR(_xlfn.LET(
_xlpm.CSVVal,_xlfn.XLOOKUP($A432,CSV!$A:$A,CSV!D:D,""),
_xlpm.MacVal,_xlfn.XLOOKUP($A432,Output_Mac!$A:$A,Output_Mac!C:C,""),
_xlpm.MyAuditVal,_xlfn.XLOOKUP($A432,My_Audit!$A:$A,My_Audit!C:C,""),
_xlfn.IFS(_xlpm.MyAuditVal&lt;&gt;"",_xlpm.MyAuditVal,_xlpm.MacVal&lt;&gt;"",_xlpm.MacVal,_xlpm.CSVVal&lt;&gt;"",_xlpm.CSVVal
)),"")</f>
        <v/>
      </c>
      <c r="E432" s="40">
        <f>_xlfn.XLOOKUP(A432,My_Audit!A:A,My_Audit!D:D,"")</f>
        <v>0</v>
      </c>
      <c r="F432" s="40" t="str" cm="1">
        <f t="array" ref="F432">IFERROR(_xlfn.LET(
_xlpm.CSVVal,_xlfn.XLOOKUP($A432,CSV!$A:$A,CSV!F:F,""),
_xlpm.MacVal,_xlfn.XLOOKUP($A432,Output_Mac!$A:$A,Output_Mac!E:E,""),
_xlpm.MyAuditVal,_xlfn.XLOOKUP($A432,My_Audit!$A:$A,My_Audit!E:E,""),
_xlfn.IFS(_xlpm.MyAuditVal&lt;&gt;"",_xlpm.MyAuditVal,_xlpm.MacVal&lt;&gt;"",_xlpm.MacVal,_xlpm.CSVVal&lt;&gt;"",_xlpm.CSVVal
)),"")</f>
        <v/>
      </c>
      <c r="G432" s="40" t="str" cm="1">
        <f t="array" ref="G432">IFERROR(_xlfn.LET(
_xlpm.CSVVal,_xlfn.XLOOKUP($A432,CSV!$A:$A,CSV!G:G,""),
_xlpm.MacVal,_xlfn.XLOOKUP($A432,Output_Mac!$A:$A,Output_Mac!F:F,""),
_xlpm.MyAuditVal,_xlfn.XLOOKUP($A432,My_Audit!$A:$A,My_Audit!F:F,""),
_xlfn.IFS(_xlpm.MyAuditVal&lt;&gt;"",_xlpm.MyAuditVal,_xlpm.MacVal&lt;&gt;"",_xlpm.MacVal,_xlpm.CSVVal&lt;&gt;"",PROPER(_xlpm.CSVVal)
)),"")</f>
        <v/>
      </c>
      <c r="H432" s="40" t="str" cm="1">
        <f t="array" ref="H432">IFERROR(_xlfn.LET(
_xlpm.CSVVal,_xlfn.XLOOKUP($A432,CSV!$A:$A,CSV!H:H,""),
_xlpm.MacVal,_xlfn.XLOOKUP($A432,Output_Mac!$A:$A,Output_Mac!H:H,""),
_xlpm.MyAuditVal,_xlfn.XLOOKUP($A432,My_Audit!$A:$A,My_Audit!G:G,""),
_xlfn.IFS(_xlpm.MyAuditVal&lt;&gt;"",_xlpm.MyAuditVal,_xlpm.MacVal&lt;&gt;"",_xlpm.MacVal,_xlpm.CSVVal&lt;&gt;"",_xlpm.CSVVal
)),"")</f>
        <v/>
      </c>
      <c r="I432" s="40" t="str">
        <f>_xlfn.XLOOKUP(A432,Output_Mac!A:A,Output_Mac!I:I,"")</f>
        <v/>
      </c>
      <c r="J432" s="40" t="str" cm="1">
        <f t="array" ref="J432">IFERROR(_xlfn.LET(
_xlpm.CSVVal,_xlfn.XLOOKUP($A432,CSV!$A:$A,CSV!I:I,""),
_xlpm.MacVal,_xlfn.XLOOKUP($A432,Output_Mac!$A:$A,Output_Mac!J:J,""),
_xlpm.MyAuditVal,_xlfn.XLOOKUP($A432,My_Audit!$A:$A,My_Audit!I:I,""),
_xlfn.IFS(_xlpm.MyAuditVal&lt;&gt;"",UPPER(_xlpm.MyAuditVal),_xlpm.MacVal&lt;&gt;"",_xlpm.MacVal,_xlpm.CSVVal&lt;&gt;"",_xlpm.CSVVal
)),"")</f>
        <v/>
      </c>
      <c r="K432" s="40" t="str" cm="1">
        <f t="array" ref="K432">IFERROR(_xlfn.LET(
_xlpm.CSVVal,_xlfn.XLOOKUP($A432,CSV!$A:$A,CSV!K:K,""),
_xlpm.MacVal,_xlfn.XLOOKUP($A432,Output_Mac!$A:$A,Output_Mac!K:K,""),
_xlpm.MyAuditVal,_xlfn.XLOOKUP($A432,My_Audit!$A:$A,My_Audit!J:J,""),
_xlfn.IFS(_xlpm.MyAuditVal&lt;&gt;"",UPPER(_xlpm.MyAuditVal),_xlpm.MacVal&lt;&gt;"",_xlpm.MacVal,_xlpm.CSVVal&lt;&gt;"",_xlpm.CSVVal
)),"")</f>
        <v/>
      </c>
      <c r="L432" s="40" t="str" cm="1">
        <f t="array" ref="L432">IFERROR(_xlfn.LET(
_xlpm.CSVVal,_xlfn.XLOOKUP($A432,CSV!$A:$A,CSV!P:P,""),
_xlpm.MacVal,_xlfn.XLOOKUP($A432,Output_Mac!$A:$A,Output_Mac!L:L,""),
_xlpm.MyAuditVal,_xlfn.XLOOKUP($A432,My_Audit!$A:$A,My_Audit!K:K,""),
_xlfn.IFS(_xlpm.MyAuditVal&lt;&gt;"",UPPER(_xlpm.MyAuditVal),_xlpm.MacVal&lt;&gt;"",_xlpm.MacVal,_xlpm.CSVVal&lt;&gt;"",_xlpm.CSVVal
)),"")</f>
        <v/>
      </c>
      <c r="M432" s="40" t="str" cm="1">
        <f t="array" ref="M432">IFERROR(_xlfn.LET(
_xlpm.CSVVal,_xlfn.XLOOKUP($A432,CSV!$A:$A,CSV!Q:Q,""),
_xlpm.MacVal,_xlfn.XLOOKUP($A432,Output_Mac!$A:$A,Output_Mac!M:M,""),
_xlpm.MyAuditVal,_xlfn.XLOOKUP($A432,My_Audit!$A:$A,My_Audit!L:L,""),
_xlfn.IFS(_xlpm.MyAuditVal&lt;&gt;"",UPPER(_xlpm.MyAuditVal),_xlpm.MacVal&lt;&gt;"",_xlpm.MacVal,_xlpm.CSVVal&lt;&gt;"",_xlpm.CSVVal
)),"")</f>
        <v/>
      </c>
      <c r="N432" s="40"/>
      <c r="O432" s="40" t="str">
        <f>_xlfn.LET(
    _xlpm.CSVVal, _xlfn.XLOOKUP($A432, CSV!$A:$A, CSV!AA:AA, ""),
    _xlpm.MacVal, _xlfn.XLOOKUP($A432, Output_Mac!$A:$A, Output_Mac!S:S, ""),
    _xlpm.MyAuditVal, _xlfn.XLOOKUP($A432, My_Audit!$A:$A, My_Audit!P:P, ""),
    _xlfn.TEXTJOIN(", ", TRUE, _xlpm.MyAuditVal, _xlpm.MacVal, _xlpm.CSVVal)
)</f>
        <v/>
      </c>
      <c r="P432" s="40" t="str" cm="1">
        <f t="array" ref="P432">IFERROR(_xlfn.LET(
_xlpm.CSVVal,_xlfn.XLOOKUP($A432,CSV!$A:$A,CSV!AB:AB,""),
_xlpm.MacVal,_xlfn.XLOOKUP($A432,Output_Mac!$A:$A,Output_Mac!T:T,""),
_xlpm.MyAuditVal,_xlfn.XLOOKUP($A432,My_Audit!$A:$A,My_Audit!Q:Q,""),
_xlfn.IFS(_xlpm.MyAuditVal&lt;&gt;"",UPPER(_xlpm.MyAuditVal),_xlpm.MacVal&lt;&gt;"",_xlpm.MacVal,_xlpm.CSVVal&lt;&gt;"",_xlpm.CSVVal
)),"No")</f>
        <v>No</v>
      </c>
      <c r="Q432" s="40" t="str" cm="1">
        <f t="array" ref="Q432">IFERROR(_xlfn.LET(
_xlpm.CSVVal,_xlfn.XLOOKUP($A432,CSV!$A:$A,CSV!AC:AC,""),
_xlpm.MacVal,_xlfn.XLOOKUP($A432,Output_Mac!$A:$A,Output_Mac!U:U,""),
_xlpm.MyAuditVal,_xlfn.XLOOKUP($A432,My_Audit!$A:$A,My_Audit!R:R,""),
_xlfn.IFS(_xlpm.MyAuditVal&lt;&gt;"",UPPER(_xlpm.MyAuditVal),_xlpm.MacVal&lt;&gt;"",_xlpm.MacVal,_xlpm.CSVVal&lt;&gt;"",_xlpm.CSVVal
)),"")</f>
        <v/>
      </c>
      <c r="R432" s="40"/>
      <c r="S432" s="40"/>
      <c r="T432" s="40"/>
      <c r="U432" s="40"/>
      <c r="V432" s="40"/>
      <c r="W432" s="40"/>
      <c r="X432" s="41" t="str">
        <f>_xlfn.LET(
    _xlpm.MacVal, _xlfn.XLOOKUP($A432, Output_Mac!$A:$A, Output_Mac!AB:AB, ""),
    _xlpm.MyAuditVal, _xlfn.XLOOKUP($A432, My_Audit!$A:$A, My_Audit!N:N, ""),
    _xlfn.TEXTJOIN(", ", TRUE, _xlpm.MyAuditVal, _xlpm.MacVal)
)</f>
        <v/>
      </c>
    </row>
    <row r="433" spans="1:24">
      <c r="A433" s="40" t="str">
        <f>_xlfn.TEXTJOIN("",TRUE,Input!$B$2,ROW(My_Audit!A432))</f>
        <v>X432</v>
      </c>
      <c r="B433" s="40" t="str">
        <f>_xlfn.TEXTJOIN("-",TRUE,"ITD",Input!$A$2,A433)</f>
        <v>ITD-X432</v>
      </c>
      <c r="C433" s="40" t="str" cm="1">
        <f t="array" ref="C433">IFERROR(_xlfn.LET(
_xlpm.CSVVal,_xlfn.XLOOKUP($A433,CSV!$A:$A,CSV!B:B,""),
_xlpm.MacVal,_xlfn.XLOOKUP($A433,Output_Mac!$A:$A,Output_Mac!B:B,""),
_xlpm.MyAuditVal,_xlfn.XLOOKUP($A433,My_Audit!$A:$A,My_Audit!B:B,""),
_xlfn.IFS(_xlpm.MyAuditVal&lt;&gt;"",UPPER(_xlpm.MyAuditVal),_xlpm.MacVal&lt;&gt;"",_xlpm.MacVal,_xlpm.CSVVal&lt;&gt;"",_xlpm.CSVVal
)),"")</f>
        <v/>
      </c>
      <c r="D433" s="40" t="str" cm="1">
        <f t="array" ref="D433">IFERROR(_xlfn.LET(
_xlpm.CSVVal,_xlfn.XLOOKUP($A433,CSV!$A:$A,CSV!D:D,""),
_xlpm.MacVal,_xlfn.XLOOKUP($A433,Output_Mac!$A:$A,Output_Mac!C:C,""),
_xlpm.MyAuditVal,_xlfn.XLOOKUP($A433,My_Audit!$A:$A,My_Audit!C:C,""),
_xlfn.IFS(_xlpm.MyAuditVal&lt;&gt;"",_xlpm.MyAuditVal,_xlpm.MacVal&lt;&gt;"",_xlpm.MacVal,_xlpm.CSVVal&lt;&gt;"",_xlpm.CSVVal
)),"")</f>
        <v/>
      </c>
      <c r="E433" s="40">
        <f>_xlfn.XLOOKUP(A433,My_Audit!A:A,My_Audit!D:D,"")</f>
        <v>0</v>
      </c>
      <c r="F433" s="40" t="str" cm="1">
        <f t="array" ref="F433">IFERROR(_xlfn.LET(
_xlpm.CSVVal,_xlfn.XLOOKUP($A433,CSV!$A:$A,CSV!F:F,""),
_xlpm.MacVal,_xlfn.XLOOKUP($A433,Output_Mac!$A:$A,Output_Mac!E:E,""),
_xlpm.MyAuditVal,_xlfn.XLOOKUP($A433,My_Audit!$A:$A,My_Audit!E:E,""),
_xlfn.IFS(_xlpm.MyAuditVal&lt;&gt;"",_xlpm.MyAuditVal,_xlpm.MacVal&lt;&gt;"",_xlpm.MacVal,_xlpm.CSVVal&lt;&gt;"",_xlpm.CSVVal
)),"")</f>
        <v/>
      </c>
      <c r="G433" s="40" t="str" cm="1">
        <f t="array" ref="G433">IFERROR(_xlfn.LET(
_xlpm.CSVVal,_xlfn.XLOOKUP($A433,CSV!$A:$A,CSV!G:G,""),
_xlpm.MacVal,_xlfn.XLOOKUP($A433,Output_Mac!$A:$A,Output_Mac!F:F,""),
_xlpm.MyAuditVal,_xlfn.XLOOKUP($A433,My_Audit!$A:$A,My_Audit!F:F,""),
_xlfn.IFS(_xlpm.MyAuditVal&lt;&gt;"",_xlpm.MyAuditVal,_xlpm.MacVal&lt;&gt;"",_xlpm.MacVal,_xlpm.CSVVal&lt;&gt;"",PROPER(_xlpm.CSVVal)
)),"")</f>
        <v/>
      </c>
      <c r="H433" s="40" t="str" cm="1">
        <f t="array" ref="H433">IFERROR(_xlfn.LET(
_xlpm.CSVVal,_xlfn.XLOOKUP($A433,CSV!$A:$A,CSV!H:H,""),
_xlpm.MacVal,_xlfn.XLOOKUP($A433,Output_Mac!$A:$A,Output_Mac!H:H,""),
_xlpm.MyAuditVal,_xlfn.XLOOKUP($A433,My_Audit!$A:$A,My_Audit!G:G,""),
_xlfn.IFS(_xlpm.MyAuditVal&lt;&gt;"",_xlpm.MyAuditVal,_xlpm.MacVal&lt;&gt;"",_xlpm.MacVal,_xlpm.CSVVal&lt;&gt;"",_xlpm.CSVVal
)),"")</f>
        <v/>
      </c>
      <c r="I433" s="40" t="str">
        <f>_xlfn.XLOOKUP(A433,Output_Mac!A:A,Output_Mac!I:I,"")</f>
        <v/>
      </c>
      <c r="J433" s="40" t="str" cm="1">
        <f t="array" ref="J433">IFERROR(_xlfn.LET(
_xlpm.CSVVal,_xlfn.XLOOKUP($A433,CSV!$A:$A,CSV!I:I,""),
_xlpm.MacVal,_xlfn.XLOOKUP($A433,Output_Mac!$A:$A,Output_Mac!J:J,""),
_xlpm.MyAuditVal,_xlfn.XLOOKUP($A433,My_Audit!$A:$A,My_Audit!I:I,""),
_xlfn.IFS(_xlpm.MyAuditVal&lt;&gt;"",UPPER(_xlpm.MyAuditVal),_xlpm.MacVal&lt;&gt;"",_xlpm.MacVal,_xlpm.CSVVal&lt;&gt;"",_xlpm.CSVVal
)),"")</f>
        <v/>
      </c>
      <c r="K433" s="40" t="str" cm="1">
        <f t="array" ref="K433">IFERROR(_xlfn.LET(
_xlpm.CSVVal,_xlfn.XLOOKUP($A433,CSV!$A:$A,CSV!K:K,""),
_xlpm.MacVal,_xlfn.XLOOKUP($A433,Output_Mac!$A:$A,Output_Mac!K:K,""),
_xlpm.MyAuditVal,_xlfn.XLOOKUP($A433,My_Audit!$A:$A,My_Audit!J:J,""),
_xlfn.IFS(_xlpm.MyAuditVal&lt;&gt;"",UPPER(_xlpm.MyAuditVal),_xlpm.MacVal&lt;&gt;"",_xlpm.MacVal,_xlpm.CSVVal&lt;&gt;"",_xlpm.CSVVal
)),"")</f>
        <v/>
      </c>
      <c r="L433" s="40" t="str" cm="1">
        <f t="array" ref="L433">IFERROR(_xlfn.LET(
_xlpm.CSVVal,_xlfn.XLOOKUP($A433,CSV!$A:$A,CSV!P:P,""),
_xlpm.MacVal,_xlfn.XLOOKUP($A433,Output_Mac!$A:$A,Output_Mac!L:L,""),
_xlpm.MyAuditVal,_xlfn.XLOOKUP($A433,My_Audit!$A:$A,My_Audit!K:K,""),
_xlfn.IFS(_xlpm.MyAuditVal&lt;&gt;"",UPPER(_xlpm.MyAuditVal),_xlpm.MacVal&lt;&gt;"",_xlpm.MacVal,_xlpm.CSVVal&lt;&gt;"",_xlpm.CSVVal
)),"")</f>
        <v/>
      </c>
      <c r="M433" s="40" t="str" cm="1">
        <f t="array" ref="M433">IFERROR(_xlfn.LET(
_xlpm.CSVVal,_xlfn.XLOOKUP($A433,CSV!$A:$A,CSV!Q:Q,""),
_xlpm.MacVal,_xlfn.XLOOKUP($A433,Output_Mac!$A:$A,Output_Mac!M:M,""),
_xlpm.MyAuditVal,_xlfn.XLOOKUP($A433,My_Audit!$A:$A,My_Audit!L:L,""),
_xlfn.IFS(_xlpm.MyAuditVal&lt;&gt;"",UPPER(_xlpm.MyAuditVal),_xlpm.MacVal&lt;&gt;"",_xlpm.MacVal,_xlpm.CSVVal&lt;&gt;"",_xlpm.CSVVal
)),"")</f>
        <v/>
      </c>
      <c r="N433" s="40"/>
      <c r="O433" s="40" t="str">
        <f>_xlfn.LET(
    _xlpm.CSVVal, _xlfn.XLOOKUP($A433, CSV!$A:$A, CSV!AA:AA, ""),
    _xlpm.MacVal, _xlfn.XLOOKUP($A433, Output_Mac!$A:$A, Output_Mac!S:S, ""),
    _xlpm.MyAuditVal, _xlfn.XLOOKUP($A433, My_Audit!$A:$A, My_Audit!P:P, ""),
    _xlfn.TEXTJOIN(", ", TRUE, _xlpm.MyAuditVal, _xlpm.MacVal, _xlpm.CSVVal)
)</f>
        <v/>
      </c>
      <c r="P433" s="40" t="str" cm="1">
        <f t="array" ref="P433">IFERROR(_xlfn.LET(
_xlpm.CSVVal,_xlfn.XLOOKUP($A433,CSV!$A:$A,CSV!AB:AB,""),
_xlpm.MacVal,_xlfn.XLOOKUP($A433,Output_Mac!$A:$A,Output_Mac!T:T,""),
_xlpm.MyAuditVal,_xlfn.XLOOKUP($A433,My_Audit!$A:$A,My_Audit!Q:Q,""),
_xlfn.IFS(_xlpm.MyAuditVal&lt;&gt;"",UPPER(_xlpm.MyAuditVal),_xlpm.MacVal&lt;&gt;"",_xlpm.MacVal,_xlpm.CSVVal&lt;&gt;"",_xlpm.CSVVal
)),"No")</f>
        <v>No</v>
      </c>
      <c r="Q433" s="40" t="str" cm="1">
        <f t="array" ref="Q433">IFERROR(_xlfn.LET(
_xlpm.CSVVal,_xlfn.XLOOKUP($A433,CSV!$A:$A,CSV!AC:AC,""),
_xlpm.MacVal,_xlfn.XLOOKUP($A433,Output_Mac!$A:$A,Output_Mac!U:U,""),
_xlpm.MyAuditVal,_xlfn.XLOOKUP($A433,My_Audit!$A:$A,My_Audit!R:R,""),
_xlfn.IFS(_xlpm.MyAuditVal&lt;&gt;"",UPPER(_xlpm.MyAuditVal),_xlpm.MacVal&lt;&gt;"",_xlpm.MacVal,_xlpm.CSVVal&lt;&gt;"",_xlpm.CSVVal
)),"")</f>
        <v/>
      </c>
      <c r="R433" s="40"/>
      <c r="S433" s="40"/>
      <c r="T433" s="40"/>
      <c r="U433" s="40"/>
      <c r="V433" s="40"/>
      <c r="W433" s="40"/>
      <c r="X433" s="41" t="str">
        <f>_xlfn.LET(
    _xlpm.MacVal, _xlfn.XLOOKUP($A433, Output_Mac!$A:$A, Output_Mac!AB:AB, ""),
    _xlpm.MyAuditVal, _xlfn.XLOOKUP($A433, My_Audit!$A:$A, My_Audit!N:N, ""),
    _xlfn.TEXTJOIN(", ", TRUE, _xlpm.MyAuditVal, _xlpm.MacVal)
)</f>
        <v/>
      </c>
    </row>
    <row r="434" spans="1:24">
      <c r="A434" s="40" t="str">
        <f>_xlfn.TEXTJOIN("",TRUE,Input!$B$2,ROW(My_Audit!A433))</f>
        <v>X433</v>
      </c>
      <c r="B434" s="40" t="str">
        <f>_xlfn.TEXTJOIN("-",TRUE,"ITD",Input!$A$2,A434)</f>
        <v>ITD-X433</v>
      </c>
      <c r="C434" s="40" t="str" cm="1">
        <f t="array" ref="C434">IFERROR(_xlfn.LET(
_xlpm.CSVVal,_xlfn.XLOOKUP($A434,CSV!$A:$A,CSV!B:B,""),
_xlpm.MacVal,_xlfn.XLOOKUP($A434,Output_Mac!$A:$A,Output_Mac!B:B,""),
_xlpm.MyAuditVal,_xlfn.XLOOKUP($A434,My_Audit!$A:$A,My_Audit!B:B,""),
_xlfn.IFS(_xlpm.MyAuditVal&lt;&gt;"",UPPER(_xlpm.MyAuditVal),_xlpm.MacVal&lt;&gt;"",_xlpm.MacVal,_xlpm.CSVVal&lt;&gt;"",_xlpm.CSVVal
)),"")</f>
        <v/>
      </c>
      <c r="D434" s="40" t="str" cm="1">
        <f t="array" ref="D434">IFERROR(_xlfn.LET(
_xlpm.CSVVal,_xlfn.XLOOKUP($A434,CSV!$A:$A,CSV!D:D,""),
_xlpm.MacVal,_xlfn.XLOOKUP($A434,Output_Mac!$A:$A,Output_Mac!C:C,""),
_xlpm.MyAuditVal,_xlfn.XLOOKUP($A434,My_Audit!$A:$A,My_Audit!C:C,""),
_xlfn.IFS(_xlpm.MyAuditVal&lt;&gt;"",_xlpm.MyAuditVal,_xlpm.MacVal&lt;&gt;"",_xlpm.MacVal,_xlpm.CSVVal&lt;&gt;"",_xlpm.CSVVal
)),"")</f>
        <v/>
      </c>
      <c r="E434" s="40">
        <f>_xlfn.XLOOKUP(A434,My_Audit!A:A,My_Audit!D:D,"")</f>
        <v>0</v>
      </c>
      <c r="F434" s="40" t="str" cm="1">
        <f t="array" ref="F434">IFERROR(_xlfn.LET(
_xlpm.CSVVal,_xlfn.XLOOKUP($A434,CSV!$A:$A,CSV!F:F,""),
_xlpm.MacVal,_xlfn.XLOOKUP($A434,Output_Mac!$A:$A,Output_Mac!E:E,""),
_xlpm.MyAuditVal,_xlfn.XLOOKUP($A434,My_Audit!$A:$A,My_Audit!E:E,""),
_xlfn.IFS(_xlpm.MyAuditVal&lt;&gt;"",_xlpm.MyAuditVal,_xlpm.MacVal&lt;&gt;"",_xlpm.MacVal,_xlpm.CSVVal&lt;&gt;"",_xlpm.CSVVal
)),"")</f>
        <v/>
      </c>
      <c r="G434" s="40" t="str" cm="1">
        <f t="array" ref="G434">IFERROR(_xlfn.LET(
_xlpm.CSVVal,_xlfn.XLOOKUP($A434,CSV!$A:$A,CSV!G:G,""),
_xlpm.MacVal,_xlfn.XLOOKUP($A434,Output_Mac!$A:$A,Output_Mac!F:F,""),
_xlpm.MyAuditVal,_xlfn.XLOOKUP($A434,My_Audit!$A:$A,My_Audit!F:F,""),
_xlfn.IFS(_xlpm.MyAuditVal&lt;&gt;"",_xlpm.MyAuditVal,_xlpm.MacVal&lt;&gt;"",_xlpm.MacVal,_xlpm.CSVVal&lt;&gt;"",PROPER(_xlpm.CSVVal)
)),"")</f>
        <v/>
      </c>
      <c r="H434" s="40" t="str" cm="1">
        <f t="array" ref="H434">IFERROR(_xlfn.LET(
_xlpm.CSVVal,_xlfn.XLOOKUP($A434,CSV!$A:$A,CSV!H:H,""),
_xlpm.MacVal,_xlfn.XLOOKUP($A434,Output_Mac!$A:$A,Output_Mac!H:H,""),
_xlpm.MyAuditVal,_xlfn.XLOOKUP($A434,My_Audit!$A:$A,My_Audit!G:G,""),
_xlfn.IFS(_xlpm.MyAuditVal&lt;&gt;"",_xlpm.MyAuditVal,_xlpm.MacVal&lt;&gt;"",_xlpm.MacVal,_xlpm.CSVVal&lt;&gt;"",_xlpm.CSVVal
)),"")</f>
        <v/>
      </c>
      <c r="I434" s="40" t="str">
        <f>_xlfn.XLOOKUP(A434,Output_Mac!A:A,Output_Mac!I:I,"")</f>
        <v/>
      </c>
      <c r="J434" s="40" t="str" cm="1">
        <f t="array" ref="J434">IFERROR(_xlfn.LET(
_xlpm.CSVVal,_xlfn.XLOOKUP($A434,CSV!$A:$A,CSV!I:I,""),
_xlpm.MacVal,_xlfn.XLOOKUP($A434,Output_Mac!$A:$A,Output_Mac!J:J,""),
_xlpm.MyAuditVal,_xlfn.XLOOKUP($A434,My_Audit!$A:$A,My_Audit!I:I,""),
_xlfn.IFS(_xlpm.MyAuditVal&lt;&gt;"",UPPER(_xlpm.MyAuditVal),_xlpm.MacVal&lt;&gt;"",_xlpm.MacVal,_xlpm.CSVVal&lt;&gt;"",_xlpm.CSVVal
)),"")</f>
        <v/>
      </c>
      <c r="K434" s="40" t="str" cm="1">
        <f t="array" ref="K434">IFERROR(_xlfn.LET(
_xlpm.CSVVal,_xlfn.XLOOKUP($A434,CSV!$A:$A,CSV!K:K,""),
_xlpm.MacVal,_xlfn.XLOOKUP($A434,Output_Mac!$A:$A,Output_Mac!K:K,""),
_xlpm.MyAuditVal,_xlfn.XLOOKUP($A434,My_Audit!$A:$A,My_Audit!J:J,""),
_xlfn.IFS(_xlpm.MyAuditVal&lt;&gt;"",UPPER(_xlpm.MyAuditVal),_xlpm.MacVal&lt;&gt;"",_xlpm.MacVal,_xlpm.CSVVal&lt;&gt;"",_xlpm.CSVVal
)),"")</f>
        <v/>
      </c>
      <c r="L434" s="40" t="str" cm="1">
        <f t="array" ref="L434">IFERROR(_xlfn.LET(
_xlpm.CSVVal,_xlfn.XLOOKUP($A434,CSV!$A:$A,CSV!P:P,""),
_xlpm.MacVal,_xlfn.XLOOKUP($A434,Output_Mac!$A:$A,Output_Mac!L:L,""),
_xlpm.MyAuditVal,_xlfn.XLOOKUP($A434,My_Audit!$A:$A,My_Audit!K:K,""),
_xlfn.IFS(_xlpm.MyAuditVal&lt;&gt;"",UPPER(_xlpm.MyAuditVal),_xlpm.MacVal&lt;&gt;"",_xlpm.MacVal,_xlpm.CSVVal&lt;&gt;"",_xlpm.CSVVal
)),"")</f>
        <v/>
      </c>
      <c r="M434" s="40" t="str" cm="1">
        <f t="array" ref="M434">IFERROR(_xlfn.LET(
_xlpm.CSVVal,_xlfn.XLOOKUP($A434,CSV!$A:$A,CSV!Q:Q,""),
_xlpm.MacVal,_xlfn.XLOOKUP($A434,Output_Mac!$A:$A,Output_Mac!M:M,""),
_xlpm.MyAuditVal,_xlfn.XLOOKUP($A434,My_Audit!$A:$A,My_Audit!L:L,""),
_xlfn.IFS(_xlpm.MyAuditVal&lt;&gt;"",UPPER(_xlpm.MyAuditVal),_xlpm.MacVal&lt;&gt;"",_xlpm.MacVal,_xlpm.CSVVal&lt;&gt;"",_xlpm.CSVVal
)),"")</f>
        <v/>
      </c>
      <c r="N434" s="40"/>
      <c r="O434" s="40" t="str">
        <f>_xlfn.LET(
    _xlpm.CSVVal, _xlfn.XLOOKUP($A434, CSV!$A:$A, CSV!AA:AA, ""),
    _xlpm.MacVal, _xlfn.XLOOKUP($A434, Output_Mac!$A:$A, Output_Mac!S:S, ""),
    _xlpm.MyAuditVal, _xlfn.XLOOKUP($A434, My_Audit!$A:$A, My_Audit!P:P, ""),
    _xlfn.TEXTJOIN(", ", TRUE, _xlpm.MyAuditVal, _xlpm.MacVal, _xlpm.CSVVal)
)</f>
        <v/>
      </c>
      <c r="P434" s="40" t="str" cm="1">
        <f t="array" ref="P434">IFERROR(_xlfn.LET(
_xlpm.CSVVal,_xlfn.XLOOKUP($A434,CSV!$A:$A,CSV!AB:AB,""),
_xlpm.MacVal,_xlfn.XLOOKUP($A434,Output_Mac!$A:$A,Output_Mac!T:T,""),
_xlpm.MyAuditVal,_xlfn.XLOOKUP($A434,My_Audit!$A:$A,My_Audit!Q:Q,""),
_xlfn.IFS(_xlpm.MyAuditVal&lt;&gt;"",UPPER(_xlpm.MyAuditVal),_xlpm.MacVal&lt;&gt;"",_xlpm.MacVal,_xlpm.CSVVal&lt;&gt;"",_xlpm.CSVVal
)),"No")</f>
        <v>No</v>
      </c>
      <c r="Q434" s="40" t="str" cm="1">
        <f t="array" ref="Q434">IFERROR(_xlfn.LET(
_xlpm.CSVVal,_xlfn.XLOOKUP($A434,CSV!$A:$A,CSV!AC:AC,""),
_xlpm.MacVal,_xlfn.XLOOKUP($A434,Output_Mac!$A:$A,Output_Mac!U:U,""),
_xlpm.MyAuditVal,_xlfn.XLOOKUP($A434,My_Audit!$A:$A,My_Audit!R:R,""),
_xlfn.IFS(_xlpm.MyAuditVal&lt;&gt;"",UPPER(_xlpm.MyAuditVal),_xlpm.MacVal&lt;&gt;"",_xlpm.MacVal,_xlpm.CSVVal&lt;&gt;"",_xlpm.CSVVal
)),"")</f>
        <v/>
      </c>
      <c r="R434" s="40"/>
      <c r="S434" s="40"/>
      <c r="T434" s="40"/>
      <c r="U434" s="40"/>
      <c r="V434" s="40"/>
      <c r="W434" s="40"/>
      <c r="X434" s="41" t="str">
        <f>_xlfn.LET(
    _xlpm.MacVal, _xlfn.XLOOKUP($A434, Output_Mac!$A:$A, Output_Mac!AB:AB, ""),
    _xlpm.MyAuditVal, _xlfn.XLOOKUP($A434, My_Audit!$A:$A, My_Audit!N:N, ""),
    _xlfn.TEXTJOIN(", ", TRUE, _xlpm.MyAuditVal, _xlpm.MacVal)
)</f>
        <v/>
      </c>
    </row>
    <row r="435" spans="1:24">
      <c r="A435" s="40" t="str">
        <f>_xlfn.TEXTJOIN("",TRUE,Input!$B$2,ROW(My_Audit!A434))</f>
        <v>X434</v>
      </c>
      <c r="B435" s="40" t="str">
        <f>_xlfn.TEXTJOIN("-",TRUE,"ITD",Input!$A$2,A435)</f>
        <v>ITD-X434</v>
      </c>
      <c r="C435" s="40" t="str" cm="1">
        <f t="array" ref="C435">IFERROR(_xlfn.LET(
_xlpm.CSVVal,_xlfn.XLOOKUP($A435,CSV!$A:$A,CSV!B:B,""),
_xlpm.MacVal,_xlfn.XLOOKUP($A435,Output_Mac!$A:$A,Output_Mac!B:B,""),
_xlpm.MyAuditVal,_xlfn.XLOOKUP($A435,My_Audit!$A:$A,My_Audit!B:B,""),
_xlfn.IFS(_xlpm.MyAuditVal&lt;&gt;"",UPPER(_xlpm.MyAuditVal),_xlpm.MacVal&lt;&gt;"",_xlpm.MacVal,_xlpm.CSVVal&lt;&gt;"",_xlpm.CSVVal
)),"")</f>
        <v/>
      </c>
      <c r="D435" s="40" t="str" cm="1">
        <f t="array" ref="D435">IFERROR(_xlfn.LET(
_xlpm.CSVVal,_xlfn.XLOOKUP($A435,CSV!$A:$A,CSV!D:D,""),
_xlpm.MacVal,_xlfn.XLOOKUP($A435,Output_Mac!$A:$A,Output_Mac!C:C,""),
_xlpm.MyAuditVal,_xlfn.XLOOKUP($A435,My_Audit!$A:$A,My_Audit!C:C,""),
_xlfn.IFS(_xlpm.MyAuditVal&lt;&gt;"",_xlpm.MyAuditVal,_xlpm.MacVal&lt;&gt;"",_xlpm.MacVal,_xlpm.CSVVal&lt;&gt;"",_xlpm.CSVVal
)),"")</f>
        <v/>
      </c>
      <c r="E435" s="40">
        <f>_xlfn.XLOOKUP(A435,My_Audit!A:A,My_Audit!D:D,"")</f>
        <v>0</v>
      </c>
      <c r="F435" s="40" t="str" cm="1">
        <f t="array" ref="F435">IFERROR(_xlfn.LET(
_xlpm.CSVVal,_xlfn.XLOOKUP($A435,CSV!$A:$A,CSV!F:F,""),
_xlpm.MacVal,_xlfn.XLOOKUP($A435,Output_Mac!$A:$A,Output_Mac!E:E,""),
_xlpm.MyAuditVal,_xlfn.XLOOKUP($A435,My_Audit!$A:$A,My_Audit!E:E,""),
_xlfn.IFS(_xlpm.MyAuditVal&lt;&gt;"",_xlpm.MyAuditVal,_xlpm.MacVal&lt;&gt;"",_xlpm.MacVal,_xlpm.CSVVal&lt;&gt;"",_xlpm.CSVVal
)),"")</f>
        <v/>
      </c>
      <c r="G435" s="40" t="str" cm="1">
        <f t="array" ref="G435">IFERROR(_xlfn.LET(
_xlpm.CSVVal,_xlfn.XLOOKUP($A435,CSV!$A:$A,CSV!G:G,""),
_xlpm.MacVal,_xlfn.XLOOKUP($A435,Output_Mac!$A:$A,Output_Mac!F:F,""),
_xlpm.MyAuditVal,_xlfn.XLOOKUP($A435,My_Audit!$A:$A,My_Audit!F:F,""),
_xlfn.IFS(_xlpm.MyAuditVal&lt;&gt;"",_xlpm.MyAuditVal,_xlpm.MacVal&lt;&gt;"",_xlpm.MacVal,_xlpm.CSVVal&lt;&gt;"",PROPER(_xlpm.CSVVal)
)),"")</f>
        <v/>
      </c>
      <c r="H435" s="40" t="str" cm="1">
        <f t="array" ref="H435">IFERROR(_xlfn.LET(
_xlpm.CSVVal,_xlfn.XLOOKUP($A435,CSV!$A:$A,CSV!H:H,""),
_xlpm.MacVal,_xlfn.XLOOKUP($A435,Output_Mac!$A:$A,Output_Mac!H:H,""),
_xlpm.MyAuditVal,_xlfn.XLOOKUP($A435,My_Audit!$A:$A,My_Audit!G:G,""),
_xlfn.IFS(_xlpm.MyAuditVal&lt;&gt;"",_xlpm.MyAuditVal,_xlpm.MacVal&lt;&gt;"",_xlpm.MacVal,_xlpm.CSVVal&lt;&gt;"",_xlpm.CSVVal
)),"")</f>
        <v/>
      </c>
      <c r="I435" s="40" t="str">
        <f>_xlfn.XLOOKUP(A435,Output_Mac!A:A,Output_Mac!I:I,"")</f>
        <v/>
      </c>
      <c r="J435" s="40" t="str" cm="1">
        <f t="array" ref="J435">IFERROR(_xlfn.LET(
_xlpm.CSVVal,_xlfn.XLOOKUP($A435,CSV!$A:$A,CSV!I:I,""),
_xlpm.MacVal,_xlfn.XLOOKUP($A435,Output_Mac!$A:$A,Output_Mac!J:J,""),
_xlpm.MyAuditVal,_xlfn.XLOOKUP($A435,My_Audit!$A:$A,My_Audit!I:I,""),
_xlfn.IFS(_xlpm.MyAuditVal&lt;&gt;"",UPPER(_xlpm.MyAuditVal),_xlpm.MacVal&lt;&gt;"",_xlpm.MacVal,_xlpm.CSVVal&lt;&gt;"",_xlpm.CSVVal
)),"")</f>
        <v/>
      </c>
      <c r="K435" s="40" t="str" cm="1">
        <f t="array" ref="K435">IFERROR(_xlfn.LET(
_xlpm.CSVVal,_xlfn.XLOOKUP($A435,CSV!$A:$A,CSV!K:K,""),
_xlpm.MacVal,_xlfn.XLOOKUP($A435,Output_Mac!$A:$A,Output_Mac!K:K,""),
_xlpm.MyAuditVal,_xlfn.XLOOKUP($A435,My_Audit!$A:$A,My_Audit!J:J,""),
_xlfn.IFS(_xlpm.MyAuditVal&lt;&gt;"",UPPER(_xlpm.MyAuditVal),_xlpm.MacVal&lt;&gt;"",_xlpm.MacVal,_xlpm.CSVVal&lt;&gt;"",_xlpm.CSVVal
)),"")</f>
        <v/>
      </c>
      <c r="L435" s="40" t="str" cm="1">
        <f t="array" ref="L435">IFERROR(_xlfn.LET(
_xlpm.CSVVal,_xlfn.XLOOKUP($A435,CSV!$A:$A,CSV!P:P,""),
_xlpm.MacVal,_xlfn.XLOOKUP($A435,Output_Mac!$A:$A,Output_Mac!L:L,""),
_xlpm.MyAuditVal,_xlfn.XLOOKUP($A435,My_Audit!$A:$A,My_Audit!K:K,""),
_xlfn.IFS(_xlpm.MyAuditVal&lt;&gt;"",UPPER(_xlpm.MyAuditVal),_xlpm.MacVal&lt;&gt;"",_xlpm.MacVal,_xlpm.CSVVal&lt;&gt;"",_xlpm.CSVVal
)),"")</f>
        <v/>
      </c>
      <c r="M435" s="40" t="str" cm="1">
        <f t="array" ref="M435">IFERROR(_xlfn.LET(
_xlpm.CSVVal,_xlfn.XLOOKUP($A435,CSV!$A:$A,CSV!Q:Q,""),
_xlpm.MacVal,_xlfn.XLOOKUP($A435,Output_Mac!$A:$A,Output_Mac!M:M,""),
_xlpm.MyAuditVal,_xlfn.XLOOKUP($A435,My_Audit!$A:$A,My_Audit!L:L,""),
_xlfn.IFS(_xlpm.MyAuditVal&lt;&gt;"",UPPER(_xlpm.MyAuditVal),_xlpm.MacVal&lt;&gt;"",_xlpm.MacVal,_xlpm.CSVVal&lt;&gt;"",_xlpm.CSVVal
)),"")</f>
        <v/>
      </c>
      <c r="N435" s="40"/>
      <c r="O435" s="40" t="str">
        <f>_xlfn.LET(
    _xlpm.CSVVal, _xlfn.XLOOKUP($A435, CSV!$A:$A, CSV!AA:AA, ""),
    _xlpm.MacVal, _xlfn.XLOOKUP($A435, Output_Mac!$A:$A, Output_Mac!S:S, ""),
    _xlpm.MyAuditVal, _xlfn.XLOOKUP($A435, My_Audit!$A:$A, My_Audit!P:P, ""),
    _xlfn.TEXTJOIN(", ", TRUE, _xlpm.MyAuditVal, _xlpm.MacVal, _xlpm.CSVVal)
)</f>
        <v/>
      </c>
      <c r="P435" s="40" t="str" cm="1">
        <f t="array" ref="P435">IFERROR(_xlfn.LET(
_xlpm.CSVVal,_xlfn.XLOOKUP($A435,CSV!$A:$A,CSV!AB:AB,""),
_xlpm.MacVal,_xlfn.XLOOKUP($A435,Output_Mac!$A:$A,Output_Mac!T:T,""),
_xlpm.MyAuditVal,_xlfn.XLOOKUP($A435,My_Audit!$A:$A,My_Audit!Q:Q,""),
_xlfn.IFS(_xlpm.MyAuditVal&lt;&gt;"",UPPER(_xlpm.MyAuditVal),_xlpm.MacVal&lt;&gt;"",_xlpm.MacVal,_xlpm.CSVVal&lt;&gt;"",_xlpm.CSVVal
)),"No")</f>
        <v>No</v>
      </c>
      <c r="Q435" s="40" t="str" cm="1">
        <f t="array" ref="Q435">IFERROR(_xlfn.LET(
_xlpm.CSVVal,_xlfn.XLOOKUP($A435,CSV!$A:$A,CSV!AC:AC,""),
_xlpm.MacVal,_xlfn.XLOOKUP($A435,Output_Mac!$A:$A,Output_Mac!U:U,""),
_xlpm.MyAuditVal,_xlfn.XLOOKUP($A435,My_Audit!$A:$A,My_Audit!R:R,""),
_xlfn.IFS(_xlpm.MyAuditVal&lt;&gt;"",UPPER(_xlpm.MyAuditVal),_xlpm.MacVal&lt;&gt;"",_xlpm.MacVal,_xlpm.CSVVal&lt;&gt;"",_xlpm.CSVVal
)),"")</f>
        <v/>
      </c>
      <c r="R435" s="40"/>
      <c r="S435" s="40"/>
      <c r="T435" s="40"/>
      <c r="U435" s="40"/>
      <c r="V435" s="40"/>
      <c r="W435" s="40"/>
      <c r="X435" s="41" t="str">
        <f>_xlfn.LET(
    _xlpm.MacVal, _xlfn.XLOOKUP($A435, Output_Mac!$A:$A, Output_Mac!AB:AB, ""),
    _xlpm.MyAuditVal, _xlfn.XLOOKUP($A435, My_Audit!$A:$A, My_Audit!N:N, ""),
    _xlfn.TEXTJOIN(", ", TRUE, _xlpm.MyAuditVal, _xlpm.MacVal)
)</f>
        <v/>
      </c>
    </row>
    <row r="436" spans="1:24">
      <c r="A436" s="40" t="str">
        <f>_xlfn.TEXTJOIN("",TRUE,Input!$B$2,ROW(My_Audit!A435))</f>
        <v>X435</v>
      </c>
      <c r="B436" s="40" t="str">
        <f>_xlfn.TEXTJOIN("-",TRUE,"ITD",Input!$A$2,A436)</f>
        <v>ITD-X435</v>
      </c>
      <c r="C436" s="40" t="str" cm="1">
        <f t="array" ref="C436">IFERROR(_xlfn.LET(
_xlpm.CSVVal,_xlfn.XLOOKUP($A436,CSV!$A:$A,CSV!B:B,""),
_xlpm.MacVal,_xlfn.XLOOKUP($A436,Output_Mac!$A:$A,Output_Mac!B:B,""),
_xlpm.MyAuditVal,_xlfn.XLOOKUP($A436,My_Audit!$A:$A,My_Audit!B:B,""),
_xlfn.IFS(_xlpm.MyAuditVal&lt;&gt;"",UPPER(_xlpm.MyAuditVal),_xlpm.MacVal&lt;&gt;"",_xlpm.MacVal,_xlpm.CSVVal&lt;&gt;"",_xlpm.CSVVal
)),"")</f>
        <v/>
      </c>
      <c r="D436" s="40" t="str" cm="1">
        <f t="array" ref="D436">IFERROR(_xlfn.LET(
_xlpm.CSVVal,_xlfn.XLOOKUP($A436,CSV!$A:$A,CSV!D:D,""),
_xlpm.MacVal,_xlfn.XLOOKUP($A436,Output_Mac!$A:$A,Output_Mac!C:C,""),
_xlpm.MyAuditVal,_xlfn.XLOOKUP($A436,My_Audit!$A:$A,My_Audit!C:C,""),
_xlfn.IFS(_xlpm.MyAuditVal&lt;&gt;"",_xlpm.MyAuditVal,_xlpm.MacVal&lt;&gt;"",_xlpm.MacVal,_xlpm.CSVVal&lt;&gt;"",_xlpm.CSVVal
)),"")</f>
        <v/>
      </c>
      <c r="E436" s="40">
        <f>_xlfn.XLOOKUP(A436,My_Audit!A:A,My_Audit!D:D,"")</f>
        <v>0</v>
      </c>
      <c r="F436" s="40" t="str" cm="1">
        <f t="array" ref="F436">IFERROR(_xlfn.LET(
_xlpm.CSVVal,_xlfn.XLOOKUP($A436,CSV!$A:$A,CSV!F:F,""),
_xlpm.MacVal,_xlfn.XLOOKUP($A436,Output_Mac!$A:$A,Output_Mac!E:E,""),
_xlpm.MyAuditVal,_xlfn.XLOOKUP($A436,My_Audit!$A:$A,My_Audit!E:E,""),
_xlfn.IFS(_xlpm.MyAuditVal&lt;&gt;"",_xlpm.MyAuditVal,_xlpm.MacVal&lt;&gt;"",_xlpm.MacVal,_xlpm.CSVVal&lt;&gt;"",_xlpm.CSVVal
)),"")</f>
        <v/>
      </c>
      <c r="G436" s="40" t="str" cm="1">
        <f t="array" ref="G436">IFERROR(_xlfn.LET(
_xlpm.CSVVal,_xlfn.XLOOKUP($A436,CSV!$A:$A,CSV!G:G,""),
_xlpm.MacVal,_xlfn.XLOOKUP($A436,Output_Mac!$A:$A,Output_Mac!F:F,""),
_xlpm.MyAuditVal,_xlfn.XLOOKUP($A436,My_Audit!$A:$A,My_Audit!F:F,""),
_xlfn.IFS(_xlpm.MyAuditVal&lt;&gt;"",_xlpm.MyAuditVal,_xlpm.MacVal&lt;&gt;"",_xlpm.MacVal,_xlpm.CSVVal&lt;&gt;"",PROPER(_xlpm.CSVVal)
)),"")</f>
        <v/>
      </c>
      <c r="H436" s="40" t="str" cm="1">
        <f t="array" ref="H436">IFERROR(_xlfn.LET(
_xlpm.CSVVal,_xlfn.XLOOKUP($A436,CSV!$A:$A,CSV!H:H,""),
_xlpm.MacVal,_xlfn.XLOOKUP($A436,Output_Mac!$A:$A,Output_Mac!H:H,""),
_xlpm.MyAuditVal,_xlfn.XLOOKUP($A436,My_Audit!$A:$A,My_Audit!G:G,""),
_xlfn.IFS(_xlpm.MyAuditVal&lt;&gt;"",_xlpm.MyAuditVal,_xlpm.MacVal&lt;&gt;"",_xlpm.MacVal,_xlpm.CSVVal&lt;&gt;"",_xlpm.CSVVal
)),"")</f>
        <v/>
      </c>
      <c r="I436" s="40" t="str">
        <f>_xlfn.XLOOKUP(A436,Output_Mac!A:A,Output_Mac!I:I,"")</f>
        <v/>
      </c>
      <c r="J436" s="40" t="str" cm="1">
        <f t="array" ref="J436">IFERROR(_xlfn.LET(
_xlpm.CSVVal,_xlfn.XLOOKUP($A436,CSV!$A:$A,CSV!I:I,""),
_xlpm.MacVal,_xlfn.XLOOKUP($A436,Output_Mac!$A:$A,Output_Mac!J:J,""),
_xlpm.MyAuditVal,_xlfn.XLOOKUP($A436,My_Audit!$A:$A,My_Audit!I:I,""),
_xlfn.IFS(_xlpm.MyAuditVal&lt;&gt;"",UPPER(_xlpm.MyAuditVal),_xlpm.MacVal&lt;&gt;"",_xlpm.MacVal,_xlpm.CSVVal&lt;&gt;"",_xlpm.CSVVal
)),"")</f>
        <v/>
      </c>
      <c r="K436" s="40" t="str" cm="1">
        <f t="array" ref="K436">IFERROR(_xlfn.LET(
_xlpm.CSVVal,_xlfn.XLOOKUP($A436,CSV!$A:$A,CSV!K:K,""),
_xlpm.MacVal,_xlfn.XLOOKUP($A436,Output_Mac!$A:$A,Output_Mac!K:K,""),
_xlpm.MyAuditVal,_xlfn.XLOOKUP($A436,My_Audit!$A:$A,My_Audit!J:J,""),
_xlfn.IFS(_xlpm.MyAuditVal&lt;&gt;"",UPPER(_xlpm.MyAuditVal),_xlpm.MacVal&lt;&gt;"",_xlpm.MacVal,_xlpm.CSVVal&lt;&gt;"",_xlpm.CSVVal
)),"")</f>
        <v/>
      </c>
      <c r="L436" s="40" t="str" cm="1">
        <f t="array" ref="L436">IFERROR(_xlfn.LET(
_xlpm.CSVVal,_xlfn.XLOOKUP($A436,CSV!$A:$A,CSV!P:P,""),
_xlpm.MacVal,_xlfn.XLOOKUP($A436,Output_Mac!$A:$A,Output_Mac!L:L,""),
_xlpm.MyAuditVal,_xlfn.XLOOKUP($A436,My_Audit!$A:$A,My_Audit!K:K,""),
_xlfn.IFS(_xlpm.MyAuditVal&lt;&gt;"",UPPER(_xlpm.MyAuditVal),_xlpm.MacVal&lt;&gt;"",_xlpm.MacVal,_xlpm.CSVVal&lt;&gt;"",_xlpm.CSVVal
)),"")</f>
        <v/>
      </c>
      <c r="M436" s="40" t="str" cm="1">
        <f t="array" ref="M436">IFERROR(_xlfn.LET(
_xlpm.CSVVal,_xlfn.XLOOKUP($A436,CSV!$A:$A,CSV!Q:Q,""),
_xlpm.MacVal,_xlfn.XLOOKUP($A436,Output_Mac!$A:$A,Output_Mac!M:M,""),
_xlpm.MyAuditVal,_xlfn.XLOOKUP($A436,My_Audit!$A:$A,My_Audit!L:L,""),
_xlfn.IFS(_xlpm.MyAuditVal&lt;&gt;"",UPPER(_xlpm.MyAuditVal),_xlpm.MacVal&lt;&gt;"",_xlpm.MacVal,_xlpm.CSVVal&lt;&gt;"",_xlpm.CSVVal
)),"")</f>
        <v/>
      </c>
      <c r="N436" s="40"/>
      <c r="O436" s="40" t="str">
        <f>_xlfn.LET(
    _xlpm.CSVVal, _xlfn.XLOOKUP($A436, CSV!$A:$A, CSV!AA:AA, ""),
    _xlpm.MacVal, _xlfn.XLOOKUP($A436, Output_Mac!$A:$A, Output_Mac!S:S, ""),
    _xlpm.MyAuditVal, _xlfn.XLOOKUP($A436, My_Audit!$A:$A, My_Audit!P:P, ""),
    _xlfn.TEXTJOIN(", ", TRUE, _xlpm.MyAuditVal, _xlpm.MacVal, _xlpm.CSVVal)
)</f>
        <v/>
      </c>
      <c r="P436" s="40" t="str" cm="1">
        <f t="array" ref="P436">IFERROR(_xlfn.LET(
_xlpm.CSVVal,_xlfn.XLOOKUP($A436,CSV!$A:$A,CSV!AB:AB,""),
_xlpm.MacVal,_xlfn.XLOOKUP($A436,Output_Mac!$A:$A,Output_Mac!T:T,""),
_xlpm.MyAuditVal,_xlfn.XLOOKUP($A436,My_Audit!$A:$A,My_Audit!Q:Q,""),
_xlfn.IFS(_xlpm.MyAuditVal&lt;&gt;"",UPPER(_xlpm.MyAuditVal),_xlpm.MacVal&lt;&gt;"",_xlpm.MacVal,_xlpm.CSVVal&lt;&gt;"",_xlpm.CSVVal
)),"No")</f>
        <v>No</v>
      </c>
      <c r="Q436" s="40" t="str" cm="1">
        <f t="array" ref="Q436">IFERROR(_xlfn.LET(
_xlpm.CSVVal,_xlfn.XLOOKUP($A436,CSV!$A:$A,CSV!AC:AC,""),
_xlpm.MacVal,_xlfn.XLOOKUP($A436,Output_Mac!$A:$A,Output_Mac!U:U,""),
_xlpm.MyAuditVal,_xlfn.XLOOKUP($A436,My_Audit!$A:$A,My_Audit!R:R,""),
_xlfn.IFS(_xlpm.MyAuditVal&lt;&gt;"",UPPER(_xlpm.MyAuditVal),_xlpm.MacVal&lt;&gt;"",_xlpm.MacVal,_xlpm.CSVVal&lt;&gt;"",_xlpm.CSVVal
)),"")</f>
        <v/>
      </c>
      <c r="R436" s="40"/>
      <c r="S436" s="40"/>
      <c r="T436" s="40"/>
      <c r="U436" s="40"/>
      <c r="V436" s="40"/>
      <c r="W436" s="40"/>
      <c r="X436" s="41" t="str">
        <f>_xlfn.LET(
    _xlpm.MacVal, _xlfn.XLOOKUP($A436, Output_Mac!$A:$A, Output_Mac!AB:AB, ""),
    _xlpm.MyAuditVal, _xlfn.XLOOKUP($A436, My_Audit!$A:$A, My_Audit!N:N, ""),
    _xlfn.TEXTJOIN(", ", TRUE, _xlpm.MyAuditVal, _xlpm.MacVal)
)</f>
        <v/>
      </c>
    </row>
    <row r="437" spans="1:24">
      <c r="A437" s="40" t="str">
        <f>_xlfn.TEXTJOIN("",TRUE,Input!$B$2,ROW(My_Audit!A436))</f>
        <v>X436</v>
      </c>
      <c r="B437" s="40" t="str">
        <f>_xlfn.TEXTJOIN("-",TRUE,"ITD",Input!$A$2,A437)</f>
        <v>ITD-X436</v>
      </c>
      <c r="C437" s="40" t="str" cm="1">
        <f t="array" ref="C437">IFERROR(_xlfn.LET(
_xlpm.CSVVal,_xlfn.XLOOKUP($A437,CSV!$A:$A,CSV!B:B,""),
_xlpm.MacVal,_xlfn.XLOOKUP($A437,Output_Mac!$A:$A,Output_Mac!B:B,""),
_xlpm.MyAuditVal,_xlfn.XLOOKUP($A437,My_Audit!$A:$A,My_Audit!B:B,""),
_xlfn.IFS(_xlpm.MyAuditVal&lt;&gt;"",UPPER(_xlpm.MyAuditVal),_xlpm.MacVal&lt;&gt;"",_xlpm.MacVal,_xlpm.CSVVal&lt;&gt;"",_xlpm.CSVVal
)),"")</f>
        <v/>
      </c>
      <c r="D437" s="40" t="str" cm="1">
        <f t="array" ref="D437">IFERROR(_xlfn.LET(
_xlpm.CSVVal,_xlfn.XLOOKUP($A437,CSV!$A:$A,CSV!D:D,""),
_xlpm.MacVal,_xlfn.XLOOKUP($A437,Output_Mac!$A:$A,Output_Mac!C:C,""),
_xlpm.MyAuditVal,_xlfn.XLOOKUP($A437,My_Audit!$A:$A,My_Audit!C:C,""),
_xlfn.IFS(_xlpm.MyAuditVal&lt;&gt;"",_xlpm.MyAuditVal,_xlpm.MacVal&lt;&gt;"",_xlpm.MacVal,_xlpm.CSVVal&lt;&gt;"",_xlpm.CSVVal
)),"")</f>
        <v/>
      </c>
      <c r="E437" s="40">
        <f>_xlfn.XLOOKUP(A437,My_Audit!A:A,My_Audit!D:D,"")</f>
        <v>0</v>
      </c>
      <c r="F437" s="40" t="str" cm="1">
        <f t="array" ref="F437">IFERROR(_xlfn.LET(
_xlpm.CSVVal,_xlfn.XLOOKUP($A437,CSV!$A:$A,CSV!F:F,""),
_xlpm.MacVal,_xlfn.XLOOKUP($A437,Output_Mac!$A:$A,Output_Mac!E:E,""),
_xlpm.MyAuditVal,_xlfn.XLOOKUP($A437,My_Audit!$A:$A,My_Audit!E:E,""),
_xlfn.IFS(_xlpm.MyAuditVal&lt;&gt;"",_xlpm.MyAuditVal,_xlpm.MacVal&lt;&gt;"",_xlpm.MacVal,_xlpm.CSVVal&lt;&gt;"",_xlpm.CSVVal
)),"")</f>
        <v/>
      </c>
      <c r="G437" s="40" t="str" cm="1">
        <f t="array" ref="G437">IFERROR(_xlfn.LET(
_xlpm.CSVVal,_xlfn.XLOOKUP($A437,CSV!$A:$A,CSV!G:G,""),
_xlpm.MacVal,_xlfn.XLOOKUP($A437,Output_Mac!$A:$A,Output_Mac!F:F,""),
_xlpm.MyAuditVal,_xlfn.XLOOKUP($A437,My_Audit!$A:$A,My_Audit!F:F,""),
_xlfn.IFS(_xlpm.MyAuditVal&lt;&gt;"",_xlpm.MyAuditVal,_xlpm.MacVal&lt;&gt;"",_xlpm.MacVal,_xlpm.CSVVal&lt;&gt;"",PROPER(_xlpm.CSVVal)
)),"")</f>
        <v/>
      </c>
      <c r="H437" s="40" t="str" cm="1">
        <f t="array" ref="H437">IFERROR(_xlfn.LET(
_xlpm.CSVVal,_xlfn.XLOOKUP($A437,CSV!$A:$A,CSV!H:H,""),
_xlpm.MacVal,_xlfn.XLOOKUP($A437,Output_Mac!$A:$A,Output_Mac!H:H,""),
_xlpm.MyAuditVal,_xlfn.XLOOKUP($A437,My_Audit!$A:$A,My_Audit!G:G,""),
_xlfn.IFS(_xlpm.MyAuditVal&lt;&gt;"",_xlpm.MyAuditVal,_xlpm.MacVal&lt;&gt;"",_xlpm.MacVal,_xlpm.CSVVal&lt;&gt;"",_xlpm.CSVVal
)),"")</f>
        <v/>
      </c>
      <c r="I437" s="40" t="str">
        <f>_xlfn.XLOOKUP(A437,Output_Mac!A:A,Output_Mac!I:I,"")</f>
        <v/>
      </c>
      <c r="J437" s="40" t="str" cm="1">
        <f t="array" ref="J437">IFERROR(_xlfn.LET(
_xlpm.CSVVal,_xlfn.XLOOKUP($A437,CSV!$A:$A,CSV!I:I,""),
_xlpm.MacVal,_xlfn.XLOOKUP($A437,Output_Mac!$A:$A,Output_Mac!J:J,""),
_xlpm.MyAuditVal,_xlfn.XLOOKUP($A437,My_Audit!$A:$A,My_Audit!I:I,""),
_xlfn.IFS(_xlpm.MyAuditVal&lt;&gt;"",UPPER(_xlpm.MyAuditVal),_xlpm.MacVal&lt;&gt;"",_xlpm.MacVal,_xlpm.CSVVal&lt;&gt;"",_xlpm.CSVVal
)),"")</f>
        <v/>
      </c>
      <c r="K437" s="40" t="str" cm="1">
        <f t="array" ref="K437">IFERROR(_xlfn.LET(
_xlpm.CSVVal,_xlfn.XLOOKUP($A437,CSV!$A:$A,CSV!K:K,""),
_xlpm.MacVal,_xlfn.XLOOKUP($A437,Output_Mac!$A:$A,Output_Mac!K:K,""),
_xlpm.MyAuditVal,_xlfn.XLOOKUP($A437,My_Audit!$A:$A,My_Audit!J:J,""),
_xlfn.IFS(_xlpm.MyAuditVal&lt;&gt;"",UPPER(_xlpm.MyAuditVal),_xlpm.MacVal&lt;&gt;"",_xlpm.MacVal,_xlpm.CSVVal&lt;&gt;"",_xlpm.CSVVal
)),"")</f>
        <v/>
      </c>
      <c r="L437" s="40" t="str" cm="1">
        <f t="array" ref="L437">IFERROR(_xlfn.LET(
_xlpm.CSVVal,_xlfn.XLOOKUP($A437,CSV!$A:$A,CSV!P:P,""),
_xlpm.MacVal,_xlfn.XLOOKUP($A437,Output_Mac!$A:$A,Output_Mac!L:L,""),
_xlpm.MyAuditVal,_xlfn.XLOOKUP($A437,My_Audit!$A:$A,My_Audit!K:K,""),
_xlfn.IFS(_xlpm.MyAuditVal&lt;&gt;"",UPPER(_xlpm.MyAuditVal),_xlpm.MacVal&lt;&gt;"",_xlpm.MacVal,_xlpm.CSVVal&lt;&gt;"",_xlpm.CSVVal
)),"")</f>
        <v/>
      </c>
      <c r="M437" s="40" t="str" cm="1">
        <f t="array" ref="M437">IFERROR(_xlfn.LET(
_xlpm.CSVVal,_xlfn.XLOOKUP($A437,CSV!$A:$A,CSV!Q:Q,""),
_xlpm.MacVal,_xlfn.XLOOKUP($A437,Output_Mac!$A:$A,Output_Mac!M:M,""),
_xlpm.MyAuditVal,_xlfn.XLOOKUP($A437,My_Audit!$A:$A,My_Audit!L:L,""),
_xlfn.IFS(_xlpm.MyAuditVal&lt;&gt;"",UPPER(_xlpm.MyAuditVal),_xlpm.MacVal&lt;&gt;"",_xlpm.MacVal,_xlpm.CSVVal&lt;&gt;"",_xlpm.CSVVal
)),"")</f>
        <v/>
      </c>
      <c r="N437" s="40"/>
      <c r="O437" s="40" t="str">
        <f>_xlfn.LET(
    _xlpm.CSVVal, _xlfn.XLOOKUP($A437, CSV!$A:$A, CSV!AA:AA, ""),
    _xlpm.MacVal, _xlfn.XLOOKUP($A437, Output_Mac!$A:$A, Output_Mac!S:S, ""),
    _xlpm.MyAuditVal, _xlfn.XLOOKUP($A437, My_Audit!$A:$A, My_Audit!P:P, ""),
    _xlfn.TEXTJOIN(", ", TRUE, _xlpm.MyAuditVal, _xlpm.MacVal, _xlpm.CSVVal)
)</f>
        <v/>
      </c>
      <c r="P437" s="40" t="str" cm="1">
        <f t="array" ref="P437">IFERROR(_xlfn.LET(
_xlpm.CSVVal,_xlfn.XLOOKUP($A437,CSV!$A:$A,CSV!AB:AB,""),
_xlpm.MacVal,_xlfn.XLOOKUP($A437,Output_Mac!$A:$A,Output_Mac!T:T,""),
_xlpm.MyAuditVal,_xlfn.XLOOKUP($A437,My_Audit!$A:$A,My_Audit!Q:Q,""),
_xlfn.IFS(_xlpm.MyAuditVal&lt;&gt;"",UPPER(_xlpm.MyAuditVal),_xlpm.MacVal&lt;&gt;"",_xlpm.MacVal,_xlpm.CSVVal&lt;&gt;"",_xlpm.CSVVal
)),"No")</f>
        <v>No</v>
      </c>
      <c r="Q437" s="40" t="str" cm="1">
        <f t="array" ref="Q437">IFERROR(_xlfn.LET(
_xlpm.CSVVal,_xlfn.XLOOKUP($A437,CSV!$A:$A,CSV!AC:AC,""),
_xlpm.MacVal,_xlfn.XLOOKUP($A437,Output_Mac!$A:$A,Output_Mac!U:U,""),
_xlpm.MyAuditVal,_xlfn.XLOOKUP($A437,My_Audit!$A:$A,My_Audit!R:R,""),
_xlfn.IFS(_xlpm.MyAuditVal&lt;&gt;"",UPPER(_xlpm.MyAuditVal),_xlpm.MacVal&lt;&gt;"",_xlpm.MacVal,_xlpm.CSVVal&lt;&gt;"",_xlpm.CSVVal
)),"")</f>
        <v/>
      </c>
      <c r="R437" s="40"/>
      <c r="S437" s="40"/>
      <c r="T437" s="40"/>
      <c r="U437" s="40"/>
      <c r="V437" s="40"/>
      <c r="W437" s="40"/>
      <c r="X437" s="41" t="str">
        <f>_xlfn.LET(
    _xlpm.MacVal, _xlfn.XLOOKUP($A437, Output_Mac!$A:$A, Output_Mac!AB:AB, ""),
    _xlpm.MyAuditVal, _xlfn.XLOOKUP($A437, My_Audit!$A:$A, My_Audit!N:N, ""),
    _xlfn.TEXTJOIN(", ", TRUE, _xlpm.MyAuditVal, _xlpm.MacVal)
)</f>
        <v/>
      </c>
    </row>
    <row r="438" spans="1:24">
      <c r="A438" s="40" t="str">
        <f>_xlfn.TEXTJOIN("",TRUE,Input!$B$2,ROW(My_Audit!A437))</f>
        <v>X437</v>
      </c>
      <c r="B438" s="40" t="str">
        <f>_xlfn.TEXTJOIN("-",TRUE,"ITD",Input!$A$2,A438)</f>
        <v>ITD-X437</v>
      </c>
      <c r="C438" s="40" t="str" cm="1">
        <f t="array" ref="C438">IFERROR(_xlfn.LET(
_xlpm.CSVVal,_xlfn.XLOOKUP($A438,CSV!$A:$A,CSV!B:B,""),
_xlpm.MacVal,_xlfn.XLOOKUP($A438,Output_Mac!$A:$A,Output_Mac!B:B,""),
_xlpm.MyAuditVal,_xlfn.XLOOKUP($A438,My_Audit!$A:$A,My_Audit!B:B,""),
_xlfn.IFS(_xlpm.MyAuditVal&lt;&gt;"",UPPER(_xlpm.MyAuditVal),_xlpm.MacVal&lt;&gt;"",_xlpm.MacVal,_xlpm.CSVVal&lt;&gt;"",_xlpm.CSVVal
)),"")</f>
        <v/>
      </c>
      <c r="D438" s="40" t="str" cm="1">
        <f t="array" ref="D438">IFERROR(_xlfn.LET(
_xlpm.CSVVal,_xlfn.XLOOKUP($A438,CSV!$A:$A,CSV!D:D,""),
_xlpm.MacVal,_xlfn.XLOOKUP($A438,Output_Mac!$A:$A,Output_Mac!C:C,""),
_xlpm.MyAuditVal,_xlfn.XLOOKUP($A438,My_Audit!$A:$A,My_Audit!C:C,""),
_xlfn.IFS(_xlpm.MyAuditVal&lt;&gt;"",_xlpm.MyAuditVal,_xlpm.MacVal&lt;&gt;"",_xlpm.MacVal,_xlpm.CSVVal&lt;&gt;"",_xlpm.CSVVal
)),"")</f>
        <v/>
      </c>
      <c r="E438" s="40">
        <f>_xlfn.XLOOKUP(A438,My_Audit!A:A,My_Audit!D:D,"")</f>
        <v>0</v>
      </c>
      <c r="F438" s="40" t="str" cm="1">
        <f t="array" ref="F438">IFERROR(_xlfn.LET(
_xlpm.CSVVal,_xlfn.XLOOKUP($A438,CSV!$A:$A,CSV!F:F,""),
_xlpm.MacVal,_xlfn.XLOOKUP($A438,Output_Mac!$A:$A,Output_Mac!E:E,""),
_xlpm.MyAuditVal,_xlfn.XLOOKUP($A438,My_Audit!$A:$A,My_Audit!E:E,""),
_xlfn.IFS(_xlpm.MyAuditVal&lt;&gt;"",_xlpm.MyAuditVal,_xlpm.MacVal&lt;&gt;"",_xlpm.MacVal,_xlpm.CSVVal&lt;&gt;"",_xlpm.CSVVal
)),"")</f>
        <v/>
      </c>
      <c r="G438" s="40" t="str" cm="1">
        <f t="array" ref="G438">IFERROR(_xlfn.LET(
_xlpm.CSVVal,_xlfn.XLOOKUP($A438,CSV!$A:$A,CSV!G:G,""),
_xlpm.MacVal,_xlfn.XLOOKUP($A438,Output_Mac!$A:$A,Output_Mac!F:F,""),
_xlpm.MyAuditVal,_xlfn.XLOOKUP($A438,My_Audit!$A:$A,My_Audit!F:F,""),
_xlfn.IFS(_xlpm.MyAuditVal&lt;&gt;"",_xlpm.MyAuditVal,_xlpm.MacVal&lt;&gt;"",_xlpm.MacVal,_xlpm.CSVVal&lt;&gt;"",PROPER(_xlpm.CSVVal)
)),"")</f>
        <v/>
      </c>
      <c r="H438" s="40" t="str" cm="1">
        <f t="array" ref="H438">IFERROR(_xlfn.LET(
_xlpm.CSVVal,_xlfn.XLOOKUP($A438,CSV!$A:$A,CSV!H:H,""),
_xlpm.MacVal,_xlfn.XLOOKUP($A438,Output_Mac!$A:$A,Output_Mac!H:H,""),
_xlpm.MyAuditVal,_xlfn.XLOOKUP($A438,My_Audit!$A:$A,My_Audit!G:G,""),
_xlfn.IFS(_xlpm.MyAuditVal&lt;&gt;"",_xlpm.MyAuditVal,_xlpm.MacVal&lt;&gt;"",_xlpm.MacVal,_xlpm.CSVVal&lt;&gt;"",_xlpm.CSVVal
)),"")</f>
        <v/>
      </c>
      <c r="I438" s="40" t="str">
        <f>_xlfn.XLOOKUP(A438,Output_Mac!A:A,Output_Mac!I:I,"")</f>
        <v/>
      </c>
      <c r="J438" s="40" t="str" cm="1">
        <f t="array" ref="J438">IFERROR(_xlfn.LET(
_xlpm.CSVVal,_xlfn.XLOOKUP($A438,CSV!$A:$A,CSV!I:I,""),
_xlpm.MacVal,_xlfn.XLOOKUP($A438,Output_Mac!$A:$A,Output_Mac!J:J,""),
_xlpm.MyAuditVal,_xlfn.XLOOKUP($A438,My_Audit!$A:$A,My_Audit!I:I,""),
_xlfn.IFS(_xlpm.MyAuditVal&lt;&gt;"",UPPER(_xlpm.MyAuditVal),_xlpm.MacVal&lt;&gt;"",_xlpm.MacVal,_xlpm.CSVVal&lt;&gt;"",_xlpm.CSVVal
)),"")</f>
        <v/>
      </c>
      <c r="K438" s="40" t="str" cm="1">
        <f t="array" ref="K438">IFERROR(_xlfn.LET(
_xlpm.CSVVal,_xlfn.XLOOKUP($A438,CSV!$A:$A,CSV!K:K,""),
_xlpm.MacVal,_xlfn.XLOOKUP($A438,Output_Mac!$A:$A,Output_Mac!K:K,""),
_xlpm.MyAuditVal,_xlfn.XLOOKUP($A438,My_Audit!$A:$A,My_Audit!J:J,""),
_xlfn.IFS(_xlpm.MyAuditVal&lt;&gt;"",UPPER(_xlpm.MyAuditVal),_xlpm.MacVal&lt;&gt;"",_xlpm.MacVal,_xlpm.CSVVal&lt;&gt;"",_xlpm.CSVVal
)),"")</f>
        <v/>
      </c>
      <c r="L438" s="40" t="str" cm="1">
        <f t="array" ref="L438">IFERROR(_xlfn.LET(
_xlpm.CSVVal,_xlfn.XLOOKUP($A438,CSV!$A:$A,CSV!P:P,""),
_xlpm.MacVal,_xlfn.XLOOKUP($A438,Output_Mac!$A:$A,Output_Mac!L:L,""),
_xlpm.MyAuditVal,_xlfn.XLOOKUP($A438,My_Audit!$A:$A,My_Audit!K:K,""),
_xlfn.IFS(_xlpm.MyAuditVal&lt;&gt;"",UPPER(_xlpm.MyAuditVal),_xlpm.MacVal&lt;&gt;"",_xlpm.MacVal,_xlpm.CSVVal&lt;&gt;"",_xlpm.CSVVal
)),"")</f>
        <v/>
      </c>
      <c r="M438" s="40" t="str" cm="1">
        <f t="array" ref="M438">IFERROR(_xlfn.LET(
_xlpm.CSVVal,_xlfn.XLOOKUP($A438,CSV!$A:$A,CSV!Q:Q,""),
_xlpm.MacVal,_xlfn.XLOOKUP($A438,Output_Mac!$A:$A,Output_Mac!M:M,""),
_xlpm.MyAuditVal,_xlfn.XLOOKUP($A438,My_Audit!$A:$A,My_Audit!L:L,""),
_xlfn.IFS(_xlpm.MyAuditVal&lt;&gt;"",UPPER(_xlpm.MyAuditVal),_xlpm.MacVal&lt;&gt;"",_xlpm.MacVal,_xlpm.CSVVal&lt;&gt;"",_xlpm.CSVVal
)),"")</f>
        <v/>
      </c>
      <c r="N438" s="40"/>
      <c r="O438" s="40" t="str">
        <f>_xlfn.LET(
    _xlpm.CSVVal, _xlfn.XLOOKUP($A438, CSV!$A:$A, CSV!AA:AA, ""),
    _xlpm.MacVal, _xlfn.XLOOKUP($A438, Output_Mac!$A:$A, Output_Mac!S:S, ""),
    _xlpm.MyAuditVal, _xlfn.XLOOKUP($A438, My_Audit!$A:$A, My_Audit!P:P, ""),
    _xlfn.TEXTJOIN(", ", TRUE, _xlpm.MyAuditVal, _xlpm.MacVal, _xlpm.CSVVal)
)</f>
        <v/>
      </c>
      <c r="P438" s="40" t="str" cm="1">
        <f t="array" ref="P438">IFERROR(_xlfn.LET(
_xlpm.CSVVal,_xlfn.XLOOKUP($A438,CSV!$A:$A,CSV!AB:AB,""),
_xlpm.MacVal,_xlfn.XLOOKUP($A438,Output_Mac!$A:$A,Output_Mac!T:T,""),
_xlpm.MyAuditVal,_xlfn.XLOOKUP($A438,My_Audit!$A:$A,My_Audit!Q:Q,""),
_xlfn.IFS(_xlpm.MyAuditVal&lt;&gt;"",UPPER(_xlpm.MyAuditVal),_xlpm.MacVal&lt;&gt;"",_xlpm.MacVal,_xlpm.CSVVal&lt;&gt;"",_xlpm.CSVVal
)),"No")</f>
        <v>No</v>
      </c>
      <c r="Q438" s="40" t="str" cm="1">
        <f t="array" ref="Q438">IFERROR(_xlfn.LET(
_xlpm.CSVVal,_xlfn.XLOOKUP($A438,CSV!$A:$A,CSV!AC:AC,""),
_xlpm.MacVal,_xlfn.XLOOKUP($A438,Output_Mac!$A:$A,Output_Mac!U:U,""),
_xlpm.MyAuditVal,_xlfn.XLOOKUP($A438,My_Audit!$A:$A,My_Audit!R:R,""),
_xlfn.IFS(_xlpm.MyAuditVal&lt;&gt;"",UPPER(_xlpm.MyAuditVal),_xlpm.MacVal&lt;&gt;"",_xlpm.MacVal,_xlpm.CSVVal&lt;&gt;"",_xlpm.CSVVal
)),"")</f>
        <v/>
      </c>
      <c r="R438" s="40"/>
      <c r="S438" s="40"/>
      <c r="T438" s="40"/>
      <c r="U438" s="40"/>
      <c r="V438" s="40"/>
      <c r="W438" s="40"/>
      <c r="X438" s="41" t="str">
        <f>_xlfn.LET(
    _xlpm.MacVal, _xlfn.XLOOKUP($A438, Output_Mac!$A:$A, Output_Mac!AB:AB, ""),
    _xlpm.MyAuditVal, _xlfn.XLOOKUP($A438, My_Audit!$A:$A, My_Audit!N:N, ""),
    _xlfn.TEXTJOIN(", ", TRUE, _xlpm.MyAuditVal, _xlpm.MacVal)
)</f>
        <v/>
      </c>
    </row>
    <row r="439" spans="1:24">
      <c r="A439" s="40" t="str">
        <f>_xlfn.TEXTJOIN("",TRUE,Input!$B$2,ROW(My_Audit!A438))</f>
        <v>X438</v>
      </c>
      <c r="B439" s="40" t="str">
        <f>_xlfn.TEXTJOIN("-",TRUE,"ITD",Input!$A$2,A439)</f>
        <v>ITD-X438</v>
      </c>
      <c r="C439" s="40" t="str" cm="1">
        <f t="array" ref="C439">IFERROR(_xlfn.LET(
_xlpm.CSVVal,_xlfn.XLOOKUP($A439,CSV!$A:$A,CSV!B:B,""),
_xlpm.MacVal,_xlfn.XLOOKUP($A439,Output_Mac!$A:$A,Output_Mac!B:B,""),
_xlpm.MyAuditVal,_xlfn.XLOOKUP($A439,My_Audit!$A:$A,My_Audit!B:B,""),
_xlfn.IFS(_xlpm.MyAuditVal&lt;&gt;"",UPPER(_xlpm.MyAuditVal),_xlpm.MacVal&lt;&gt;"",_xlpm.MacVal,_xlpm.CSVVal&lt;&gt;"",_xlpm.CSVVal
)),"")</f>
        <v/>
      </c>
      <c r="D439" s="40" t="str" cm="1">
        <f t="array" ref="D439">IFERROR(_xlfn.LET(
_xlpm.CSVVal,_xlfn.XLOOKUP($A439,CSV!$A:$A,CSV!D:D,""),
_xlpm.MacVal,_xlfn.XLOOKUP($A439,Output_Mac!$A:$A,Output_Mac!C:C,""),
_xlpm.MyAuditVal,_xlfn.XLOOKUP($A439,My_Audit!$A:$A,My_Audit!C:C,""),
_xlfn.IFS(_xlpm.MyAuditVal&lt;&gt;"",_xlpm.MyAuditVal,_xlpm.MacVal&lt;&gt;"",_xlpm.MacVal,_xlpm.CSVVal&lt;&gt;"",_xlpm.CSVVal
)),"")</f>
        <v/>
      </c>
      <c r="E439" s="40">
        <f>_xlfn.XLOOKUP(A439,My_Audit!A:A,My_Audit!D:D,"")</f>
        <v>0</v>
      </c>
      <c r="F439" s="40" t="str" cm="1">
        <f t="array" ref="F439">IFERROR(_xlfn.LET(
_xlpm.CSVVal,_xlfn.XLOOKUP($A439,CSV!$A:$A,CSV!F:F,""),
_xlpm.MacVal,_xlfn.XLOOKUP($A439,Output_Mac!$A:$A,Output_Mac!E:E,""),
_xlpm.MyAuditVal,_xlfn.XLOOKUP($A439,My_Audit!$A:$A,My_Audit!E:E,""),
_xlfn.IFS(_xlpm.MyAuditVal&lt;&gt;"",_xlpm.MyAuditVal,_xlpm.MacVal&lt;&gt;"",_xlpm.MacVal,_xlpm.CSVVal&lt;&gt;"",_xlpm.CSVVal
)),"")</f>
        <v/>
      </c>
      <c r="G439" s="40" t="str" cm="1">
        <f t="array" ref="G439">IFERROR(_xlfn.LET(
_xlpm.CSVVal,_xlfn.XLOOKUP($A439,CSV!$A:$A,CSV!G:G,""),
_xlpm.MacVal,_xlfn.XLOOKUP($A439,Output_Mac!$A:$A,Output_Mac!F:F,""),
_xlpm.MyAuditVal,_xlfn.XLOOKUP($A439,My_Audit!$A:$A,My_Audit!F:F,""),
_xlfn.IFS(_xlpm.MyAuditVal&lt;&gt;"",_xlpm.MyAuditVal,_xlpm.MacVal&lt;&gt;"",_xlpm.MacVal,_xlpm.CSVVal&lt;&gt;"",PROPER(_xlpm.CSVVal)
)),"")</f>
        <v/>
      </c>
      <c r="H439" s="40" t="str" cm="1">
        <f t="array" ref="H439">IFERROR(_xlfn.LET(
_xlpm.CSVVal,_xlfn.XLOOKUP($A439,CSV!$A:$A,CSV!H:H,""),
_xlpm.MacVal,_xlfn.XLOOKUP($A439,Output_Mac!$A:$A,Output_Mac!H:H,""),
_xlpm.MyAuditVal,_xlfn.XLOOKUP($A439,My_Audit!$A:$A,My_Audit!G:G,""),
_xlfn.IFS(_xlpm.MyAuditVal&lt;&gt;"",_xlpm.MyAuditVal,_xlpm.MacVal&lt;&gt;"",_xlpm.MacVal,_xlpm.CSVVal&lt;&gt;"",_xlpm.CSVVal
)),"")</f>
        <v/>
      </c>
      <c r="I439" s="40" t="str">
        <f>_xlfn.XLOOKUP(A439,Output_Mac!A:A,Output_Mac!I:I,"")</f>
        <v/>
      </c>
      <c r="J439" s="40" t="str" cm="1">
        <f t="array" ref="J439">IFERROR(_xlfn.LET(
_xlpm.CSVVal,_xlfn.XLOOKUP($A439,CSV!$A:$A,CSV!I:I,""),
_xlpm.MacVal,_xlfn.XLOOKUP($A439,Output_Mac!$A:$A,Output_Mac!J:J,""),
_xlpm.MyAuditVal,_xlfn.XLOOKUP($A439,My_Audit!$A:$A,My_Audit!I:I,""),
_xlfn.IFS(_xlpm.MyAuditVal&lt;&gt;"",UPPER(_xlpm.MyAuditVal),_xlpm.MacVal&lt;&gt;"",_xlpm.MacVal,_xlpm.CSVVal&lt;&gt;"",_xlpm.CSVVal
)),"")</f>
        <v/>
      </c>
      <c r="K439" s="40" t="str" cm="1">
        <f t="array" ref="K439">IFERROR(_xlfn.LET(
_xlpm.CSVVal,_xlfn.XLOOKUP($A439,CSV!$A:$A,CSV!K:K,""),
_xlpm.MacVal,_xlfn.XLOOKUP($A439,Output_Mac!$A:$A,Output_Mac!K:K,""),
_xlpm.MyAuditVal,_xlfn.XLOOKUP($A439,My_Audit!$A:$A,My_Audit!J:J,""),
_xlfn.IFS(_xlpm.MyAuditVal&lt;&gt;"",UPPER(_xlpm.MyAuditVal),_xlpm.MacVal&lt;&gt;"",_xlpm.MacVal,_xlpm.CSVVal&lt;&gt;"",_xlpm.CSVVal
)),"")</f>
        <v/>
      </c>
      <c r="L439" s="40" t="str" cm="1">
        <f t="array" ref="L439">IFERROR(_xlfn.LET(
_xlpm.CSVVal,_xlfn.XLOOKUP($A439,CSV!$A:$A,CSV!P:P,""),
_xlpm.MacVal,_xlfn.XLOOKUP($A439,Output_Mac!$A:$A,Output_Mac!L:L,""),
_xlpm.MyAuditVal,_xlfn.XLOOKUP($A439,My_Audit!$A:$A,My_Audit!K:K,""),
_xlfn.IFS(_xlpm.MyAuditVal&lt;&gt;"",UPPER(_xlpm.MyAuditVal),_xlpm.MacVal&lt;&gt;"",_xlpm.MacVal,_xlpm.CSVVal&lt;&gt;"",_xlpm.CSVVal
)),"")</f>
        <v/>
      </c>
      <c r="M439" s="40" t="str" cm="1">
        <f t="array" ref="M439">IFERROR(_xlfn.LET(
_xlpm.CSVVal,_xlfn.XLOOKUP($A439,CSV!$A:$A,CSV!Q:Q,""),
_xlpm.MacVal,_xlfn.XLOOKUP($A439,Output_Mac!$A:$A,Output_Mac!M:M,""),
_xlpm.MyAuditVal,_xlfn.XLOOKUP($A439,My_Audit!$A:$A,My_Audit!L:L,""),
_xlfn.IFS(_xlpm.MyAuditVal&lt;&gt;"",UPPER(_xlpm.MyAuditVal),_xlpm.MacVal&lt;&gt;"",_xlpm.MacVal,_xlpm.CSVVal&lt;&gt;"",_xlpm.CSVVal
)),"")</f>
        <v/>
      </c>
      <c r="N439" s="40"/>
      <c r="O439" s="40" t="str">
        <f>_xlfn.LET(
    _xlpm.CSVVal, _xlfn.XLOOKUP($A439, CSV!$A:$A, CSV!AA:AA, ""),
    _xlpm.MacVal, _xlfn.XLOOKUP($A439, Output_Mac!$A:$A, Output_Mac!S:S, ""),
    _xlpm.MyAuditVal, _xlfn.XLOOKUP($A439, My_Audit!$A:$A, My_Audit!P:P, ""),
    _xlfn.TEXTJOIN(", ", TRUE, _xlpm.MyAuditVal, _xlpm.MacVal, _xlpm.CSVVal)
)</f>
        <v/>
      </c>
      <c r="P439" s="40" t="str" cm="1">
        <f t="array" ref="P439">IFERROR(_xlfn.LET(
_xlpm.CSVVal,_xlfn.XLOOKUP($A439,CSV!$A:$A,CSV!AB:AB,""),
_xlpm.MacVal,_xlfn.XLOOKUP($A439,Output_Mac!$A:$A,Output_Mac!T:T,""),
_xlpm.MyAuditVal,_xlfn.XLOOKUP($A439,My_Audit!$A:$A,My_Audit!Q:Q,""),
_xlfn.IFS(_xlpm.MyAuditVal&lt;&gt;"",UPPER(_xlpm.MyAuditVal),_xlpm.MacVal&lt;&gt;"",_xlpm.MacVal,_xlpm.CSVVal&lt;&gt;"",_xlpm.CSVVal
)),"No")</f>
        <v>No</v>
      </c>
      <c r="Q439" s="40" t="str" cm="1">
        <f t="array" ref="Q439">IFERROR(_xlfn.LET(
_xlpm.CSVVal,_xlfn.XLOOKUP($A439,CSV!$A:$A,CSV!AC:AC,""),
_xlpm.MacVal,_xlfn.XLOOKUP($A439,Output_Mac!$A:$A,Output_Mac!U:U,""),
_xlpm.MyAuditVal,_xlfn.XLOOKUP($A439,My_Audit!$A:$A,My_Audit!R:R,""),
_xlfn.IFS(_xlpm.MyAuditVal&lt;&gt;"",UPPER(_xlpm.MyAuditVal),_xlpm.MacVal&lt;&gt;"",_xlpm.MacVal,_xlpm.CSVVal&lt;&gt;"",_xlpm.CSVVal
)),"")</f>
        <v/>
      </c>
      <c r="R439" s="40"/>
      <c r="S439" s="40"/>
      <c r="T439" s="40"/>
      <c r="U439" s="40"/>
      <c r="V439" s="40"/>
      <c r="W439" s="40"/>
      <c r="X439" s="41" t="str">
        <f>_xlfn.LET(
    _xlpm.MacVal, _xlfn.XLOOKUP($A439, Output_Mac!$A:$A, Output_Mac!AB:AB, ""),
    _xlpm.MyAuditVal, _xlfn.XLOOKUP($A439, My_Audit!$A:$A, My_Audit!N:N, ""),
    _xlfn.TEXTJOIN(", ", TRUE, _xlpm.MyAuditVal, _xlpm.MacVal)
)</f>
        <v/>
      </c>
    </row>
    <row r="440" spans="1:24">
      <c r="A440" s="40" t="str">
        <f>_xlfn.TEXTJOIN("",TRUE,Input!$B$2,ROW(My_Audit!A439))</f>
        <v>X439</v>
      </c>
      <c r="B440" s="40" t="str">
        <f>_xlfn.TEXTJOIN("-",TRUE,"ITD",Input!$A$2,A440)</f>
        <v>ITD-X439</v>
      </c>
      <c r="C440" s="40" t="str" cm="1">
        <f t="array" ref="C440">IFERROR(_xlfn.LET(
_xlpm.CSVVal,_xlfn.XLOOKUP($A440,CSV!$A:$A,CSV!B:B,""),
_xlpm.MacVal,_xlfn.XLOOKUP($A440,Output_Mac!$A:$A,Output_Mac!B:B,""),
_xlpm.MyAuditVal,_xlfn.XLOOKUP($A440,My_Audit!$A:$A,My_Audit!B:B,""),
_xlfn.IFS(_xlpm.MyAuditVal&lt;&gt;"",UPPER(_xlpm.MyAuditVal),_xlpm.MacVal&lt;&gt;"",_xlpm.MacVal,_xlpm.CSVVal&lt;&gt;"",_xlpm.CSVVal
)),"")</f>
        <v/>
      </c>
      <c r="D440" s="40" t="str" cm="1">
        <f t="array" ref="D440">IFERROR(_xlfn.LET(
_xlpm.CSVVal,_xlfn.XLOOKUP($A440,CSV!$A:$A,CSV!D:D,""),
_xlpm.MacVal,_xlfn.XLOOKUP($A440,Output_Mac!$A:$A,Output_Mac!C:C,""),
_xlpm.MyAuditVal,_xlfn.XLOOKUP($A440,My_Audit!$A:$A,My_Audit!C:C,""),
_xlfn.IFS(_xlpm.MyAuditVal&lt;&gt;"",_xlpm.MyAuditVal,_xlpm.MacVal&lt;&gt;"",_xlpm.MacVal,_xlpm.CSVVal&lt;&gt;"",_xlpm.CSVVal
)),"")</f>
        <v/>
      </c>
      <c r="E440" s="40">
        <f>_xlfn.XLOOKUP(A440,My_Audit!A:A,My_Audit!D:D,"")</f>
        <v>0</v>
      </c>
      <c r="F440" s="40" t="str" cm="1">
        <f t="array" ref="F440">IFERROR(_xlfn.LET(
_xlpm.CSVVal,_xlfn.XLOOKUP($A440,CSV!$A:$A,CSV!F:F,""),
_xlpm.MacVal,_xlfn.XLOOKUP($A440,Output_Mac!$A:$A,Output_Mac!E:E,""),
_xlpm.MyAuditVal,_xlfn.XLOOKUP($A440,My_Audit!$A:$A,My_Audit!E:E,""),
_xlfn.IFS(_xlpm.MyAuditVal&lt;&gt;"",_xlpm.MyAuditVal,_xlpm.MacVal&lt;&gt;"",_xlpm.MacVal,_xlpm.CSVVal&lt;&gt;"",_xlpm.CSVVal
)),"")</f>
        <v/>
      </c>
      <c r="G440" s="40" t="str" cm="1">
        <f t="array" ref="G440">IFERROR(_xlfn.LET(
_xlpm.CSVVal,_xlfn.XLOOKUP($A440,CSV!$A:$A,CSV!G:G,""),
_xlpm.MacVal,_xlfn.XLOOKUP($A440,Output_Mac!$A:$A,Output_Mac!F:F,""),
_xlpm.MyAuditVal,_xlfn.XLOOKUP($A440,My_Audit!$A:$A,My_Audit!F:F,""),
_xlfn.IFS(_xlpm.MyAuditVal&lt;&gt;"",_xlpm.MyAuditVal,_xlpm.MacVal&lt;&gt;"",_xlpm.MacVal,_xlpm.CSVVal&lt;&gt;"",PROPER(_xlpm.CSVVal)
)),"")</f>
        <v/>
      </c>
      <c r="H440" s="40" t="str" cm="1">
        <f t="array" ref="H440">IFERROR(_xlfn.LET(
_xlpm.CSVVal,_xlfn.XLOOKUP($A440,CSV!$A:$A,CSV!H:H,""),
_xlpm.MacVal,_xlfn.XLOOKUP($A440,Output_Mac!$A:$A,Output_Mac!H:H,""),
_xlpm.MyAuditVal,_xlfn.XLOOKUP($A440,My_Audit!$A:$A,My_Audit!G:G,""),
_xlfn.IFS(_xlpm.MyAuditVal&lt;&gt;"",_xlpm.MyAuditVal,_xlpm.MacVal&lt;&gt;"",_xlpm.MacVal,_xlpm.CSVVal&lt;&gt;"",_xlpm.CSVVal
)),"")</f>
        <v/>
      </c>
      <c r="I440" s="40" t="str">
        <f>_xlfn.XLOOKUP(A440,Output_Mac!A:A,Output_Mac!I:I,"")</f>
        <v/>
      </c>
      <c r="J440" s="40" t="str" cm="1">
        <f t="array" ref="J440">IFERROR(_xlfn.LET(
_xlpm.CSVVal,_xlfn.XLOOKUP($A440,CSV!$A:$A,CSV!I:I,""),
_xlpm.MacVal,_xlfn.XLOOKUP($A440,Output_Mac!$A:$A,Output_Mac!J:J,""),
_xlpm.MyAuditVal,_xlfn.XLOOKUP($A440,My_Audit!$A:$A,My_Audit!I:I,""),
_xlfn.IFS(_xlpm.MyAuditVal&lt;&gt;"",UPPER(_xlpm.MyAuditVal),_xlpm.MacVal&lt;&gt;"",_xlpm.MacVal,_xlpm.CSVVal&lt;&gt;"",_xlpm.CSVVal
)),"")</f>
        <v/>
      </c>
      <c r="K440" s="40" t="str" cm="1">
        <f t="array" ref="K440">IFERROR(_xlfn.LET(
_xlpm.CSVVal,_xlfn.XLOOKUP($A440,CSV!$A:$A,CSV!K:K,""),
_xlpm.MacVal,_xlfn.XLOOKUP($A440,Output_Mac!$A:$A,Output_Mac!K:K,""),
_xlpm.MyAuditVal,_xlfn.XLOOKUP($A440,My_Audit!$A:$A,My_Audit!J:J,""),
_xlfn.IFS(_xlpm.MyAuditVal&lt;&gt;"",UPPER(_xlpm.MyAuditVal),_xlpm.MacVal&lt;&gt;"",_xlpm.MacVal,_xlpm.CSVVal&lt;&gt;"",_xlpm.CSVVal
)),"")</f>
        <v/>
      </c>
      <c r="L440" s="40" t="str" cm="1">
        <f t="array" ref="L440">IFERROR(_xlfn.LET(
_xlpm.CSVVal,_xlfn.XLOOKUP($A440,CSV!$A:$A,CSV!P:P,""),
_xlpm.MacVal,_xlfn.XLOOKUP($A440,Output_Mac!$A:$A,Output_Mac!L:L,""),
_xlpm.MyAuditVal,_xlfn.XLOOKUP($A440,My_Audit!$A:$A,My_Audit!K:K,""),
_xlfn.IFS(_xlpm.MyAuditVal&lt;&gt;"",UPPER(_xlpm.MyAuditVal),_xlpm.MacVal&lt;&gt;"",_xlpm.MacVal,_xlpm.CSVVal&lt;&gt;"",_xlpm.CSVVal
)),"")</f>
        <v/>
      </c>
      <c r="M440" s="40" t="str" cm="1">
        <f t="array" ref="M440">IFERROR(_xlfn.LET(
_xlpm.CSVVal,_xlfn.XLOOKUP($A440,CSV!$A:$A,CSV!Q:Q,""),
_xlpm.MacVal,_xlfn.XLOOKUP($A440,Output_Mac!$A:$A,Output_Mac!M:M,""),
_xlpm.MyAuditVal,_xlfn.XLOOKUP($A440,My_Audit!$A:$A,My_Audit!L:L,""),
_xlfn.IFS(_xlpm.MyAuditVal&lt;&gt;"",UPPER(_xlpm.MyAuditVal),_xlpm.MacVal&lt;&gt;"",_xlpm.MacVal,_xlpm.CSVVal&lt;&gt;"",_xlpm.CSVVal
)),"")</f>
        <v/>
      </c>
      <c r="N440" s="40"/>
      <c r="O440" s="40" t="str">
        <f>_xlfn.LET(
    _xlpm.CSVVal, _xlfn.XLOOKUP($A440, CSV!$A:$A, CSV!AA:AA, ""),
    _xlpm.MacVal, _xlfn.XLOOKUP($A440, Output_Mac!$A:$A, Output_Mac!S:S, ""),
    _xlpm.MyAuditVal, _xlfn.XLOOKUP($A440, My_Audit!$A:$A, My_Audit!P:P, ""),
    _xlfn.TEXTJOIN(", ", TRUE, _xlpm.MyAuditVal, _xlpm.MacVal, _xlpm.CSVVal)
)</f>
        <v/>
      </c>
      <c r="P440" s="40" t="str" cm="1">
        <f t="array" ref="P440">IFERROR(_xlfn.LET(
_xlpm.CSVVal,_xlfn.XLOOKUP($A440,CSV!$A:$A,CSV!AB:AB,""),
_xlpm.MacVal,_xlfn.XLOOKUP($A440,Output_Mac!$A:$A,Output_Mac!T:T,""),
_xlpm.MyAuditVal,_xlfn.XLOOKUP($A440,My_Audit!$A:$A,My_Audit!Q:Q,""),
_xlfn.IFS(_xlpm.MyAuditVal&lt;&gt;"",UPPER(_xlpm.MyAuditVal),_xlpm.MacVal&lt;&gt;"",_xlpm.MacVal,_xlpm.CSVVal&lt;&gt;"",_xlpm.CSVVal
)),"No")</f>
        <v>No</v>
      </c>
      <c r="Q440" s="40" t="str" cm="1">
        <f t="array" ref="Q440">IFERROR(_xlfn.LET(
_xlpm.CSVVal,_xlfn.XLOOKUP($A440,CSV!$A:$A,CSV!AC:AC,""),
_xlpm.MacVal,_xlfn.XLOOKUP($A440,Output_Mac!$A:$A,Output_Mac!U:U,""),
_xlpm.MyAuditVal,_xlfn.XLOOKUP($A440,My_Audit!$A:$A,My_Audit!R:R,""),
_xlfn.IFS(_xlpm.MyAuditVal&lt;&gt;"",UPPER(_xlpm.MyAuditVal),_xlpm.MacVal&lt;&gt;"",_xlpm.MacVal,_xlpm.CSVVal&lt;&gt;"",_xlpm.CSVVal
)),"")</f>
        <v/>
      </c>
      <c r="R440" s="40"/>
      <c r="S440" s="40"/>
      <c r="T440" s="40"/>
      <c r="U440" s="40"/>
      <c r="V440" s="40"/>
      <c r="W440" s="40"/>
      <c r="X440" s="41" t="str">
        <f>_xlfn.LET(
    _xlpm.MacVal, _xlfn.XLOOKUP($A440, Output_Mac!$A:$A, Output_Mac!AB:AB, ""),
    _xlpm.MyAuditVal, _xlfn.XLOOKUP($A440, My_Audit!$A:$A, My_Audit!N:N, ""),
    _xlfn.TEXTJOIN(", ", TRUE, _xlpm.MyAuditVal, _xlpm.MacVal)
)</f>
        <v/>
      </c>
    </row>
    <row r="441" spans="1:24">
      <c r="A441" s="40" t="str">
        <f>_xlfn.TEXTJOIN("",TRUE,Input!$B$2,ROW(My_Audit!A440))</f>
        <v>X440</v>
      </c>
      <c r="B441" s="40" t="str">
        <f>_xlfn.TEXTJOIN("-",TRUE,"ITD",Input!$A$2,A441)</f>
        <v>ITD-X440</v>
      </c>
      <c r="C441" s="40" t="str" cm="1">
        <f t="array" ref="C441">IFERROR(_xlfn.LET(
_xlpm.CSVVal,_xlfn.XLOOKUP($A441,CSV!$A:$A,CSV!B:B,""),
_xlpm.MacVal,_xlfn.XLOOKUP($A441,Output_Mac!$A:$A,Output_Mac!B:B,""),
_xlpm.MyAuditVal,_xlfn.XLOOKUP($A441,My_Audit!$A:$A,My_Audit!B:B,""),
_xlfn.IFS(_xlpm.MyAuditVal&lt;&gt;"",UPPER(_xlpm.MyAuditVal),_xlpm.MacVal&lt;&gt;"",_xlpm.MacVal,_xlpm.CSVVal&lt;&gt;"",_xlpm.CSVVal
)),"")</f>
        <v/>
      </c>
      <c r="D441" s="40" t="str" cm="1">
        <f t="array" ref="D441">IFERROR(_xlfn.LET(
_xlpm.CSVVal,_xlfn.XLOOKUP($A441,CSV!$A:$A,CSV!D:D,""),
_xlpm.MacVal,_xlfn.XLOOKUP($A441,Output_Mac!$A:$A,Output_Mac!C:C,""),
_xlpm.MyAuditVal,_xlfn.XLOOKUP($A441,My_Audit!$A:$A,My_Audit!C:C,""),
_xlfn.IFS(_xlpm.MyAuditVal&lt;&gt;"",_xlpm.MyAuditVal,_xlpm.MacVal&lt;&gt;"",_xlpm.MacVal,_xlpm.CSVVal&lt;&gt;"",_xlpm.CSVVal
)),"")</f>
        <v/>
      </c>
      <c r="E441" s="40">
        <f>_xlfn.XLOOKUP(A441,My_Audit!A:A,My_Audit!D:D,"")</f>
        <v>0</v>
      </c>
      <c r="F441" s="40" t="str" cm="1">
        <f t="array" ref="F441">IFERROR(_xlfn.LET(
_xlpm.CSVVal,_xlfn.XLOOKUP($A441,CSV!$A:$A,CSV!F:F,""),
_xlpm.MacVal,_xlfn.XLOOKUP($A441,Output_Mac!$A:$A,Output_Mac!E:E,""),
_xlpm.MyAuditVal,_xlfn.XLOOKUP($A441,My_Audit!$A:$A,My_Audit!E:E,""),
_xlfn.IFS(_xlpm.MyAuditVal&lt;&gt;"",_xlpm.MyAuditVal,_xlpm.MacVal&lt;&gt;"",_xlpm.MacVal,_xlpm.CSVVal&lt;&gt;"",_xlpm.CSVVal
)),"")</f>
        <v/>
      </c>
      <c r="G441" s="40" t="str" cm="1">
        <f t="array" ref="G441">IFERROR(_xlfn.LET(
_xlpm.CSVVal,_xlfn.XLOOKUP($A441,CSV!$A:$A,CSV!G:G,""),
_xlpm.MacVal,_xlfn.XLOOKUP($A441,Output_Mac!$A:$A,Output_Mac!F:F,""),
_xlpm.MyAuditVal,_xlfn.XLOOKUP($A441,My_Audit!$A:$A,My_Audit!F:F,""),
_xlfn.IFS(_xlpm.MyAuditVal&lt;&gt;"",_xlpm.MyAuditVal,_xlpm.MacVal&lt;&gt;"",_xlpm.MacVal,_xlpm.CSVVal&lt;&gt;"",PROPER(_xlpm.CSVVal)
)),"")</f>
        <v/>
      </c>
      <c r="H441" s="40" t="str" cm="1">
        <f t="array" ref="H441">IFERROR(_xlfn.LET(
_xlpm.CSVVal,_xlfn.XLOOKUP($A441,CSV!$A:$A,CSV!H:H,""),
_xlpm.MacVal,_xlfn.XLOOKUP($A441,Output_Mac!$A:$A,Output_Mac!H:H,""),
_xlpm.MyAuditVal,_xlfn.XLOOKUP($A441,My_Audit!$A:$A,My_Audit!G:G,""),
_xlfn.IFS(_xlpm.MyAuditVal&lt;&gt;"",_xlpm.MyAuditVal,_xlpm.MacVal&lt;&gt;"",_xlpm.MacVal,_xlpm.CSVVal&lt;&gt;"",_xlpm.CSVVal
)),"")</f>
        <v/>
      </c>
      <c r="I441" s="40" t="str">
        <f>_xlfn.XLOOKUP(A441,Output_Mac!A:A,Output_Mac!I:I,"")</f>
        <v/>
      </c>
      <c r="J441" s="40" t="str" cm="1">
        <f t="array" ref="J441">IFERROR(_xlfn.LET(
_xlpm.CSVVal,_xlfn.XLOOKUP($A441,CSV!$A:$A,CSV!I:I,""),
_xlpm.MacVal,_xlfn.XLOOKUP($A441,Output_Mac!$A:$A,Output_Mac!J:J,""),
_xlpm.MyAuditVal,_xlfn.XLOOKUP($A441,My_Audit!$A:$A,My_Audit!I:I,""),
_xlfn.IFS(_xlpm.MyAuditVal&lt;&gt;"",UPPER(_xlpm.MyAuditVal),_xlpm.MacVal&lt;&gt;"",_xlpm.MacVal,_xlpm.CSVVal&lt;&gt;"",_xlpm.CSVVal
)),"")</f>
        <v/>
      </c>
      <c r="K441" s="40" t="str" cm="1">
        <f t="array" ref="K441">IFERROR(_xlfn.LET(
_xlpm.CSVVal,_xlfn.XLOOKUP($A441,CSV!$A:$A,CSV!K:K,""),
_xlpm.MacVal,_xlfn.XLOOKUP($A441,Output_Mac!$A:$A,Output_Mac!K:K,""),
_xlpm.MyAuditVal,_xlfn.XLOOKUP($A441,My_Audit!$A:$A,My_Audit!J:J,""),
_xlfn.IFS(_xlpm.MyAuditVal&lt;&gt;"",UPPER(_xlpm.MyAuditVal),_xlpm.MacVal&lt;&gt;"",_xlpm.MacVal,_xlpm.CSVVal&lt;&gt;"",_xlpm.CSVVal
)),"")</f>
        <v/>
      </c>
      <c r="L441" s="40" t="str" cm="1">
        <f t="array" ref="L441">IFERROR(_xlfn.LET(
_xlpm.CSVVal,_xlfn.XLOOKUP($A441,CSV!$A:$A,CSV!P:P,""),
_xlpm.MacVal,_xlfn.XLOOKUP($A441,Output_Mac!$A:$A,Output_Mac!L:L,""),
_xlpm.MyAuditVal,_xlfn.XLOOKUP($A441,My_Audit!$A:$A,My_Audit!K:K,""),
_xlfn.IFS(_xlpm.MyAuditVal&lt;&gt;"",UPPER(_xlpm.MyAuditVal),_xlpm.MacVal&lt;&gt;"",_xlpm.MacVal,_xlpm.CSVVal&lt;&gt;"",_xlpm.CSVVal
)),"")</f>
        <v/>
      </c>
      <c r="M441" s="40" t="str" cm="1">
        <f t="array" ref="M441">IFERROR(_xlfn.LET(
_xlpm.CSVVal,_xlfn.XLOOKUP($A441,CSV!$A:$A,CSV!Q:Q,""),
_xlpm.MacVal,_xlfn.XLOOKUP($A441,Output_Mac!$A:$A,Output_Mac!M:M,""),
_xlpm.MyAuditVal,_xlfn.XLOOKUP($A441,My_Audit!$A:$A,My_Audit!L:L,""),
_xlfn.IFS(_xlpm.MyAuditVal&lt;&gt;"",UPPER(_xlpm.MyAuditVal),_xlpm.MacVal&lt;&gt;"",_xlpm.MacVal,_xlpm.CSVVal&lt;&gt;"",_xlpm.CSVVal
)),"")</f>
        <v/>
      </c>
      <c r="N441" s="40"/>
      <c r="O441" s="40" t="str">
        <f>_xlfn.LET(
    _xlpm.CSVVal, _xlfn.XLOOKUP($A441, CSV!$A:$A, CSV!AA:AA, ""),
    _xlpm.MacVal, _xlfn.XLOOKUP($A441, Output_Mac!$A:$A, Output_Mac!S:S, ""),
    _xlpm.MyAuditVal, _xlfn.XLOOKUP($A441, My_Audit!$A:$A, My_Audit!P:P, ""),
    _xlfn.TEXTJOIN(", ", TRUE, _xlpm.MyAuditVal, _xlpm.MacVal, _xlpm.CSVVal)
)</f>
        <v/>
      </c>
      <c r="P441" s="40" t="str" cm="1">
        <f t="array" ref="P441">IFERROR(_xlfn.LET(
_xlpm.CSVVal,_xlfn.XLOOKUP($A441,CSV!$A:$A,CSV!AB:AB,""),
_xlpm.MacVal,_xlfn.XLOOKUP($A441,Output_Mac!$A:$A,Output_Mac!T:T,""),
_xlpm.MyAuditVal,_xlfn.XLOOKUP($A441,My_Audit!$A:$A,My_Audit!Q:Q,""),
_xlfn.IFS(_xlpm.MyAuditVal&lt;&gt;"",UPPER(_xlpm.MyAuditVal),_xlpm.MacVal&lt;&gt;"",_xlpm.MacVal,_xlpm.CSVVal&lt;&gt;"",_xlpm.CSVVal
)),"No")</f>
        <v>No</v>
      </c>
      <c r="Q441" s="40" t="str" cm="1">
        <f t="array" ref="Q441">IFERROR(_xlfn.LET(
_xlpm.CSVVal,_xlfn.XLOOKUP($A441,CSV!$A:$A,CSV!AC:AC,""),
_xlpm.MacVal,_xlfn.XLOOKUP($A441,Output_Mac!$A:$A,Output_Mac!U:U,""),
_xlpm.MyAuditVal,_xlfn.XLOOKUP($A441,My_Audit!$A:$A,My_Audit!R:R,""),
_xlfn.IFS(_xlpm.MyAuditVal&lt;&gt;"",UPPER(_xlpm.MyAuditVal),_xlpm.MacVal&lt;&gt;"",_xlpm.MacVal,_xlpm.CSVVal&lt;&gt;"",_xlpm.CSVVal
)),"")</f>
        <v/>
      </c>
      <c r="R441" s="40"/>
      <c r="S441" s="40"/>
      <c r="T441" s="40"/>
      <c r="U441" s="40"/>
      <c r="V441" s="40"/>
      <c r="W441" s="40"/>
      <c r="X441" s="41" t="str">
        <f>_xlfn.LET(
    _xlpm.MacVal, _xlfn.XLOOKUP($A441, Output_Mac!$A:$A, Output_Mac!AB:AB, ""),
    _xlpm.MyAuditVal, _xlfn.XLOOKUP($A441, My_Audit!$A:$A, My_Audit!N:N, ""),
    _xlfn.TEXTJOIN(", ", TRUE, _xlpm.MyAuditVal, _xlpm.MacVal)
)</f>
        <v/>
      </c>
    </row>
    <row r="442" spans="1:24">
      <c r="A442" s="40" t="str">
        <f>_xlfn.TEXTJOIN("",TRUE,Input!$B$2,ROW(My_Audit!A441))</f>
        <v>X441</v>
      </c>
      <c r="B442" s="40" t="str">
        <f>_xlfn.TEXTJOIN("-",TRUE,"ITD",Input!$A$2,A442)</f>
        <v>ITD-X441</v>
      </c>
      <c r="C442" s="40" t="str" cm="1">
        <f t="array" ref="C442">IFERROR(_xlfn.LET(
_xlpm.CSVVal,_xlfn.XLOOKUP($A442,CSV!$A:$A,CSV!B:B,""),
_xlpm.MacVal,_xlfn.XLOOKUP($A442,Output_Mac!$A:$A,Output_Mac!B:B,""),
_xlpm.MyAuditVal,_xlfn.XLOOKUP($A442,My_Audit!$A:$A,My_Audit!B:B,""),
_xlfn.IFS(_xlpm.MyAuditVal&lt;&gt;"",UPPER(_xlpm.MyAuditVal),_xlpm.MacVal&lt;&gt;"",_xlpm.MacVal,_xlpm.CSVVal&lt;&gt;"",_xlpm.CSVVal
)),"")</f>
        <v/>
      </c>
      <c r="D442" s="40" t="str" cm="1">
        <f t="array" ref="D442">IFERROR(_xlfn.LET(
_xlpm.CSVVal,_xlfn.XLOOKUP($A442,CSV!$A:$A,CSV!D:D,""),
_xlpm.MacVal,_xlfn.XLOOKUP($A442,Output_Mac!$A:$A,Output_Mac!C:C,""),
_xlpm.MyAuditVal,_xlfn.XLOOKUP($A442,My_Audit!$A:$A,My_Audit!C:C,""),
_xlfn.IFS(_xlpm.MyAuditVal&lt;&gt;"",_xlpm.MyAuditVal,_xlpm.MacVal&lt;&gt;"",_xlpm.MacVal,_xlpm.CSVVal&lt;&gt;"",_xlpm.CSVVal
)),"")</f>
        <v/>
      </c>
      <c r="E442" s="40">
        <f>_xlfn.XLOOKUP(A442,My_Audit!A:A,My_Audit!D:D,"")</f>
        <v>0</v>
      </c>
      <c r="F442" s="40" t="str" cm="1">
        <f t="array" ref="F442">IFERROR(_xlfn.LET(
_xlpm.CSVVal,_xlfn.XLOOKUP($A442,CSV!$A:$A,CSV!F:F,""),
_xlpm.MacVal,_xlfn.XLOOKUP($A442,Output_Mac!$A:$A,Output_Mac!E:E,""),
_xlpm.MyAuditVal,_xlfn.XLOOKUP($A442,My_Audit!$A:$A,My_Audit!E:E,""),
_xlfn.IFS(_xlpm.MyAuditVal&lt;&gt;"",_xlpm.MyAuditVal,_xlpm.MacVal&lt;&gt;"",_xlpm.MacVal,_xlpm.CSVVal&lt;&gt;"",_xlpm.CSVVal
)),"")</f>
        <v/>
      </c>
      <c r="G442" s="40" t="str" cm="1">
        <f t="array" ref="G442">IFERROR(_xlfn.LET(
_xlpm.CSVVal,_xlfn.XLOOKUP($A442,CSV!$A:$A,CSV!G:G,""),
_xlpm.MacVal,_xlfn.XLOOKUP($A442,Output_Mac!$A:$A,Output_Mac!F:F,""),
_xlpm.MyAuditVal,_xlfn.XLOOKUP($A442,My_Audit!$A:$A,My_Audit!F:F,""),
_xlfn.IFS(_xlpm.MyAuditVal&lt;&gt;"",_xlpm.MyAuditVal,_xlpm.MacVal&lt;&gt;"",_xlpm.MacVal,_xlpm.CSVVal&lt;&gt;"",PROPER(_xlpm.CSVVal)
)),"")</f>
        <v/>
      </c>
      <c r="H442" s="40" t="str" cm="1">
        <f t="array" ref="H442">IFERROR(_xlfn.LET(
_xlpm.CSVVal,_xlfn.XLOOKUP($A442,CSV!$A:$A,CSV!H:H,""),
_xlpm.MacVal,_xlfn.XLOOKUP($A442,Output_Mac!$A:$A,Output_Mac!H:H,""),
_xlpm.MyAuditVal,_xlfn.XLOOKUP($A442,My_Audit!$A:$A,My_Audit!G:G,""),
_xlfn.IFS(_xlpm.MyAuditVal&lt;&gt;"",_xlpm.MyAuditVal,_xlpm.MacVal&lt;&gt;"",_xlpm.MacVal,_xlpm.CSVVal&lt;&gt;"",_xlpm.CSVVal
)),"")</f>
        <v/>
      </c>
      <c r="I442" s="40" t="str">
        <f>_xlfn.XLOOKUP(A442,Output_Mac!A:A,Output_Mac!I:I,"")</f>
        <v/>
      </c>
      <c r="J442" s="40" t="str" cm="1">
        <f t="array" ref="J442">IFERROR(_xlfn.LET(
_xlpm.CSVVal,_xlfn.XLOOKUP($A442,CSV!$A:$A,CSV!I:I,""),
_xlpm.MacVal,_xlfn.XLOOKUP($A442,Output_Mac!$A:$A,Output_Mac!J:J,""),
_xlpm.MyAuditVal,_xlfn.XLOOKUP($A442,My_Audit!$A:$A,My_Audit!I:I,""),
_xlfn.IFS(_xlpm.MyAuditVal&lt;&gt;"",UPPER(_xlpm.MyAuditVal),_xlpm.MacVal&lt;&gt;"",_xlpm.MacVal,_xlpm.CSVVal&lt;&gt;"",_xlpm.CSVVal
)),"")</f>
        <v/>
      </c>
      <c r="K442" s="40" t="str" cm="1">
        <f t="array" ref="K442">IFERROR(_xlfn.LET(
_xlpm.CSVVal,_xlfn.XLOOKUP($A442,CSV!$A:$A,CSV!K:K,""),
_xlpm.MacVal,_xlfn.XLOOKUP($A442,Output_Mac!$A:$A,Output_Mac!K:K,""),
_xlpm.MyAuditVal,_xlfn.XLOOKUP($A442,My_Audit!$A:$A,My_Audit!J:J,""),
_xlfn.IFS(_xlpm.MyAuditVal&lt;&gt;"",UPPER(_xlpm.MyAuditVal),_xlpm.MacVal&lt;&gt;"",_xlpm.MacVal,_xlpm.CSVVal&lt;&gt;"",_xlpm.CSVVal
)),"")</f>
        <v/>
      </c>
      <c r="L442" s="40" t="str" cm="1">
        <f t="array" ref="L442">IFERROR(_xlfn.LET(
_xlpm.CSVVal,_xlfn.XLOOKUP($A442,CSV!$A:$A,CSV!P:P,""),
_xlpm.MacVal,_xlfn.XLOOKUP($A442,Output_Mac!$A:$A,Output_Mac!L:L,""),
_xlpm.MyAuditVal,_xlfn.XLOOKUP($A442,My_Audit!$A:$A,My_Audit!K:K,""),
_xlfn.IFS(_xlpm.MyAuditVal&lt;&gt;"",UPPER(_xlpm.MyAuditVal),_xlpm.MacVal&lt;&gt;"",_xlpm.MacVal,_xlpm.CSVVal&lt;&gt;"",_xlpm.CSVVal
)),"")</f>
        <v/>
      </c>
      <c r="M442" s="40" t="str" cm="1">
        <f t="array" ref="M442">IFERROR(_xlfn.LET(
_xlpm.CSVVal,_xlfn.XLOOKUP($A442,CSV!$A:$A,CSV!Q:Q,""),
_xlpm.MacVal,_xlfn.XLOOKUP($A442,Output_Mac!$A:$A,Output_Mac!M:M,""),
_xlpm.MyAuditVal,_xlfn.XLOOKUP($A442,My_Audit!$A:$A,My_Audit!L:L,""),
_xlfn.IFS(_xlpm.MyAuditVal&lt;&gt;"",UPPER(_xlpm.MyAuditVal),_xlpm.MacVal&lt;&gt;"",_xlpm.MacVal,_xlpm.CSVVal&lt;&gt;"",_xlpm.CSVVal
)),"")</f>
        <v/>
      </c>
      <c r="N442" s="40"/>
      <c r="O442" s="40" t="str">
        <f>_xlfn.LET(
    _xlpm.CSVVal, _xlfn.XLOOKUP($A442, CSV!$A:$A, CSV!AA:AA, ""),
    _xlpm.MacVal, _xlfn.XLOOKUP($A442, Output_Mac!$A:$A, Output_Mac!S:S, ""),
    _xlpm.MyAuditVal, _xlfn.XLOOKUP($A442, My_Audit!$A:$A, My_Audit!P:P, ""),
    _xlfn.TEXTJOIN(", ", TRUE, _xlpm.MyAuditVal, _xlpm.MacVal, _xlpm.CSVVal)
)</f>
        <v/>
      </c>
      <c r="P442" s="40" t="str" cm="1">
        <f t="array" ref="P442">IFERROR(_xlfn.LET(
_xlpm.CSVVal,_xlfn.XLOOKUP($A442,CSV!$A:$A,CSV!AB:AB,""),
_xlpm.MacVal,_xlfn.XLOOKUP($A442,Output_Mac!$A:$A,Output_Mac!T:T,""),
_xlpm.MyAuditVal,_xlfn.XLOOKUP($A442,My_Audit!$A:$A,My_Audit!Q:Q,""),
_xlfn.IFS(_xlpm.MyAuditVal&lt;&gt;"",UPPER(_xlpm.MyAuditVal),_xlpm.MacVal&lt;&gt;"",_xlpm.MacVal,_xlpm.CSVVal&lt;&gt;"",_xlpm.CSVVal
)),"No")</f>
        <v>No</v>
      </c>
      <c r="Q442" s="40" t="str" cm="1">
        <f t="array" ref="Q442">IFERROR(_xlfn.LET(
_xlpm.CSVVal,_xlfn.XLOOKUP($A442,CSV!$A:$A,CSV!AC:AC,""),
_xlpm.MacVal,_xlfn.XLOOKUP($A442,Output_Mac!$A:$A,Output_Mac!U:U,""),
_xlpm.MyAuditVal,_xlfn.XLOOKUP($A442,My_Audit!$A:$A,My_Audit!R:R,""),
_xlfn.IFS(_xlpm.MyAuditVal&lt;&gt;"",UPPER(_xlpm.MyAuditVal),_xlpm.MacVal&lt;&gt;"",_xlpm.MacVal,_xlpm.CSVVal&lt;&gt;"",_xlpm.CSVVal
)),"")</f>
        <v/>
      </c>
      <c r="R442" s="40"/>
      <c r="S442" s="40"/>
      <c r="T442" s="40"/>
      <c r="U442" s="40"/>
      <c r="V442" s="40"/>
      <c r="W442" s="40"/>
      <c r="X442" s="41" t="str">
        <f>_xlfn.LET(
    _xlpm.MacVal, _xlfn.XLOOKUP($A442, Output_Mac!$A:$A, Output_Mac!AB:AB, ""),
    _xlpm.MyAuditVal, _xlfn.XLOOKUP($A442, My_Audit!$A:$A, My_Audit!N:N, ""),
    _xlfn.TEXTJOIN(", ", TRUE, _xlpm.MyAuditVal, _xlpm.MacVal)
)</f>
        <v/>
      </c>
    </row>
    <row r="443" spans="1:24">
      <c r="A443" s="40" t="str">
        <f>_xlfn.TEXTJOIN("",TRUE,Input!$B$2,ROW(My_Audit!A442))</f>
        <v>X442</v>
      </c>
      <c r="B443" s="40" t="str">
        <f>_xlfn.TEXTJOIN("-",TRUE,"ITD",Input!$A$2,A443)</f>
        <v>ITD-X442</v>
      </c>
      <c r="C443" s="40" t="str" cm="1">
        <f t="array" ref="C443">IFERROR(_xlfn.LET(
_xlpm.CSVVal,_xlfn.XLOOKUP($A443,CSV!$A:$A,CSV!B:B,""),
_xlpm.MacVal,_xlfn.XLOOKUP($A443,Output_Mac!$A:$A,Output_Mac!B:B,""),
_xlpm.MyAuditVal,_xlfn.XLOOKUP($A443,My_Audit!$A:$A,My_Audit!B:B,""),
_xlfn.IFS(_xlpm.MyAuditVal&lt;&gt;"",UPPER(_xlpm.MyAuditVal),_xlpm.MacVal&lt;&gt;"",_xlpm.MacVal,_xlpm.CSVVal&lt;&gt;"",_xlpm.CSVVal
)),"")</f>
        <v/>
      </c>
      <c r="D443" s="40" t="str" cm="1">
        <f t="array" ref="D443">IFERROR(_xlfn.LET(
_xlpm.CSVVal,_xlfn.XLOOKUP($A443,CSV!$A:$A,CSV!D:D,""),
_xlpm.MacVal,_xlfn.XLOOKUP($A443,Output_Mac!$A:$A,Output_Mac!C:C,""),
_xlpm.MyAuditVal,_xlfn.XLOOKUP($A443,My_Audit!$A:$A,My_Audit!C:C,""),
_xlfn.IFS(_xlpm.MyAuditVal&lt;&gt;"",_xlpm.MyAuditVal,_xlpm.MacVal&lt;&gt;"",_xlpm.MacVal,_xlpm.CSVVal&lt;&gt;"",_xlpm.CSVVal
)),"")</f>
        <v/>
      </c>
      <c r="E443" s="40">
        <f>_xlfn.XLOOKUP(A443,My_Audit!A:A,My_Audit!D:D,"")</f>
        <v>0</v>
      </c>
      <c r="F443" s="40" t="str" cm="1">
        <f t="array" ref="F443">IFERROR(_xlfn.LET(
_xlpm.CSVVal,_xlfn.XLOOKUP($A443,CSV!$A:$A,CSV!F:F,""),
_xlpm.MacVal,_xlfn.XLOOKUP($A443,Output_Mac!$A:$A,Output_Mac!E:E,""),
_xlpm.MyAuditVal,_xlfn.XLOOKUP($A443,My_Audit!$A:$A,My_Audit!E:E,""),
_xlfn.IFS(_xlpm.MyAuditVal&lt;&gt;"",_xlpm.MyAuditVal,_xlpm.MacVal&lt;&gt;"",_xlpm.MacVal,_xlpm.CSVVal&lt;&gt;"",_xlpm.CSVVal
)),"")</f>
        <v/>
      </c>
      <c r="G443" s="40" t="str" cm="1">
        <f t="array" ref="G443">IFERROR(_xlfn.LET(
_xlpm.CSVVal,_xlfn.XLOOKUP($A443,CSV!$A:$A,CSV!G:G,""),
_xlpm.MacVal,_xlfn.XLOOKUP($A443,Output_Mac!$A:$A,Output_Mac!F:F,""),
_xlpm.MyAuditVal,_xlfn.XLOOKUP($A443,My_Audit!$A:$A,My_Audit!F:F,""),
_xlfn.IFS(_xlpm.MyAuditVal&lt;&gt;"",_xlpm.MyAuditVal,_xlpm.MacVal&lt;&gt;"",_xlpm.MacVal,_xlpm.CSVVal&lt;&gt;"",PROPER(_xlpm.CSVVal)
)),"")</f>
        <v/>
      </c>
      <c r="H443" s="40" t="str" cm="1">
        <f t="array" ref="H443">IFERROR(_xlfn.LET(
_xlpm.CSVVal,_xlfn.XLOOKUP($A443,CSV!$A:$A,CSV!H:H,""),
_xlpm.MacVal,_xlfn.XLOOKUP($A443,Output_Mac!$A:$A,Output_Mac!H:H,""),
_xlpm.MyAuditVal,_xlfn.XLOOKUP($A443,My_Audit!$A:$A,My_Audit!G:G,""),
_xlfn.IFS(_xlpm.MyAuditVal&lt;&gt;"",_xlpm.MyAuditVal,_xlpm.MacVal&lt;&gt;"",_xlpm.MacVal,_xlpm.CSVVal&lt;&gt;"",_xlpm.CSVVal
)),"")</f>
        <v/>
      </c>
      <c r="I443" s="40" t="str">
        <f>_xlfn.XLOOKUP(A443,Output_Mac!A:A,Output_Mac!I:I,"")</f>
        <v/>
      </c>
      <c r="J443" s="40" t="str" cm="1">
        <f t="array" ref="J443">IFERROR(_xlfn.LET(
_xlpm.CSVVal,_xlfn.XLOOKUP($A443,CSV!$A:$A,CSV!I:I,""),
_xlpm.MacVal,_xlfn.XLOOKUP($A443,Output_Mac!$A:$A,Output_Mac!J:J,""),
_xlpm.MyAuditVal,_xlfn.XLOOKUP($A443,My_Audit!$A:$A,My_Audit!I:I,""),
_xlfn.IFS(_xlpm.MyAuditVal&lt;&gt;"",UPPER(_xlpm.MyAuditVal),_xlpm.MacVal&lt;&gt;"",_xlpm.MacVal,_xlpm.CSVVal&lt;&gt;"",_xlpm.CSVVal
)),"")</f>
        <v/>
      </c>
      <c r="K443" s="40" t="str" cm="1">
        <f t="array" ref="K443">IFERROR(_xlfn.LET(
_xlpm.CSVVal,_xlfn.XLOOKUP($A443,CSV!$A:$A,CSV!K:K,""),
_xlpm.MacVal,_xlfn.XLOOKUP($A443,Output_Mac!$A:$A,Output_Mac!K:K,""),
_xlpm.MyAuditVal,_xlfn.XLOOKUP($A443,My_Audit!$A:$A,My_Audit!J:J,""),
_xlfn.IFS(_xlpm.MyAuditVal&lt;&gt;"",UPPER(_xlpm.MyAuditVal),_xlpm.MacVal&lt;&gt;"",_xlpm.MacVal,_xlpm.CSVVal&lt;&gt;"",_xlpm.CSVVal
)),"")</f>
        <v/>
      </c>
      <c r="L443" s="40" t="str" cm="1">
        <f t="array" ref="L443">IFERROR(_xlfn.LET(
_xlpm.CSVVal,_xlfn.XLOOKUP($A443,CSV!$A:$A,CSV!P:P,""),
_xlpm.MacVal,_xlfn.XLOOKUP($A443,Output_Mac!$A:$A,Output_Mac!L:L,""),
_xlpm.MyAuditVal,_xlfn.XLOOKUP($A443,My_Audit!$A:$A,My_Audit!K:K,""),
_xlfn.IFS(_xlpm.MyAuditVal&lt;&gt;"",UPPER(_xlpm.MyAuditVal),_xlpm.MacVal&lt;&gt;"",_xlpm.MacVal,_xlpm.CSVVal&lt;&gt;"",_xlpm.CSVVal
)),"")</f>
        <v/>
      </c>
      <c r="M443" s="40" t="str" cm="1">
        <f t="array" ref="M443">IFERROR(_xlfn.LET(
_xlpm.CSVVal,_xlfn.XLOOKUP($A443,CSV!$A:$A,CSV!Q:Q,""),
_xlpm.MacVal,_xlfn.XLOOKUP($A443,Output_Mac!$A:$A,Output_Mac!M:M,""),
_xlpm.MyAuditVal,_xlfn.XLOOKUP($A443,My_Audit!$A:$A,My_Audit!L:L,""),
_xlfn.IFS(_xlpm.MyAuditVal&lt;&gt;"",UPPER(_xlpm.MyAuditVal),_xlpm.MacVal&lt;&gt;"",_xlpm.MacVal,_xlpm.CSVVal&lt;&gt;"",_xlpm.CSVVal
)),"")</f>
        <v/>
      </c>
      <c r="N443" s="40"/>
      <c r="O443" s="40" t="str">
        <f>_xlfn.LET(
    _xlpm.CSVVal, _xlfn.XLOOKUP($A443, CSV!$A:$A, CSV!AA:AA, ""),
    _xlpm.MacVal, _xlfn.XLOOKUP($A443, Output_Mac!$A:$A, Output_Mac!S:S, ""),
    _xlpm.MyAuditVal, _xlfn.XLOOKUP($A443, My_Audit!$A:$A, My_Audit!P:P, ""),
    _xlfn.TEXTJOIN(", ", TRUE, _xlpm.MyAuditVal, _xlpm.MacVal, _xlpm.CSVVal)
)</f>
        <v/>
      </c>
      <c r="P443" s="40" t="str" cm="1">
        <f t="array" ref="P443">IFERROR(_xlfn.LET(
_xlpm.CSVVal,_xlfn.XLOOKUP($A443,CSV!$A:$A,CSV!AB:AB,""),
_xlpm.MacVal,_xlfn.XLOOKUP($A443,Output_Mac!$A:$A,Output_Mac!T:T,""),
_xlpm.MyAuditVal,_xlfn.XLOOKUP($A443,My_Audit!$A:$A,My_Audit!Q:Q,""),
_xlfn.IFS(_xlpm.MyAuditVal&lt;&gt;"",UPPER(_xlpm.MyAuditVal),_xlpm.MacVal&lt;&gt;"",_xlpm.MacVal,_xlpm.CSVVal&lt;&gt;"",_xlpm.CSVVal
)),"No")</f>
        <v>No</v>
      </c>
      <c r="Q443" s="40" t="str" cm="1">
        <f t="array" ref="Q443">IFERROR(_xlfn.LET(
_xlpm.CSVVal,_xlfn.XLOOKUP($A443,CSV!$A:$A,CSV!AC:AC,""),
_xlpm.MacVal,_xlfn.XLOOKUP($A443,Output_Mac!$A:$A,Output_Mac!U:U,""),
_xlpm.MyAuditVal,_xlfn.XLOOKUP($A443,My_Audit!$A:$A,My_Audit!R:R,""),
_xlfn.IFS(_xlpm.MyAuditVal&lt;&gt;"",UPPER(_xlpm.MyAuditVal),_xlpm.MacVal&lt;&gt;"",_xlpm.MacVal,_xlpm.CSVVal&lt;&gt;"",_xlpm.CSVVal
)),"")</f>
        <v/>
      </c>
      <c r="R443" s="40"/>
      <c r="S443" s="40"/>
      <c r="T443" s="40"/>
      <c r="U443" s="40"/>
      <c r="V443" s="40"/>
      <c r="W443" s="40"/>
      <c r="X443" s="41" t="str">
        <f>_xlfn.LET(
    _xlpm.MacVal, _xlfn.XLOOKUP($A443, Output_Mac!$A:$A, Output_Mac!AB:AB, ""),
    _xlpm.MyAuditVal, _xlfn.XLOOKUP($A443, My_Audit!$A:$A, My_Audit!N:N, ""),
    _xlfn.TEXTJOIN(", ", TRUE, _xlpm.MyAuditVal, _xlpm.MacVal)
)</f>
        <v/>
      </c>
    </row>
    <row r="444" spans="1:24">
      <c r="A444" s="40" t="str">
        <f>_xlfn.TEXTJOIN("",TRUE,Input!$B$2,ROW(My_Audit!A443))</f>
        <v>X443</v>
      </c>
      <c r="B444" s="40" t="str">
        <f>_xlfn.TEXTJOIN("-",TRUE,"ITD",Input!$A$2,A444)</f>
        <v>ITD-X443</v>
      </c>
      <c r="C444" s="40" t="str" cm="1">
        <f t="array" ref="C444">IFERROR(_xlfn.LET(
_xlpm.CSVVal,_xlfn.XLOOKUP($A444,CSV!$A:$A,CSV!B:B,""),
_xlpm.MacVal,_xlfn.XLOOKUP($A444,Output_Mac!$A:$A,Output_Mac!B:B,""),
_xlpm.MyAuditVal,_xlfn.XLOOKUP($A444,My_Audit!$A:$A,My_Audit!B:B,""),
_xlfn.IFS(_xlpm.MyAuditVal&lt;&gt;"",UPPER(_xlpm.MyAuditVal),_xlpm.MacVal&lt;&gt;"",_xlpm.MacVal,_xlpm.CSVVal&lt;&gt;"",_xlpm.CSVVal
)),"")</f>
        <v/>
      </c>
      <c r="D444" s="40" t="str" cm="1">
        <f t="array" ref="D444">IFERROR(_xlfn.LET(
_xlpm.CSVVal,_xlfn.XLOOKUP($A444,CSV!$A:$A,CSV!D:D,""),
_xlpm.MacVal,_xlfn.XLOOKUP($A444,Output_Mac!$A:$A,Output_Mac!C:C,""),
_xlpm.MyAuditVal,_xlfn.XLOOKUP($A444,My_Audit!$A:$A,My_Audit!C:C,""),
_xlfn.IFS(_xlpm.MyAuditVal&lt;&gt;"",_xlpm.MyAuditVal,_xlpm.MacVal&lt;&gt;"",_xlpm.MacVal,_xlpm.CSVVal&lt;&gt;"",_xlpm.CSVVal
)),"")</f>
        <v/>
      </c>
      <c r="E444" s="40">
        <f>_xlfn.XLOOKUP(A444,My_Audit!A:A,My_Audit!D:D,"")</f>
        <v>0</v>
      </c>
      <c r="F444" s="40" t="str" cm="1">
        <f t="array" ref="F444">IFERROR(_xlfn.LET(
_xlpm.CSVVal,_xlfn.XLOOKUP($A444,CSV!$A:$A,CSV!F:F,""),
_xlpm.MacVal,_xlfn.XLOOKUP($A444,Output_Mac!$A:$A,Output_Mac!E:E,""),
_xlpm.MyAuditVal,_xlfn.XLOOKUP($A444,My_Audit!$A:$A,My_Audit!E:E,""),
_xlfn.IFS(_xlpm.MyAuditVal&lt;&gt;"",_xlpm.MyAuditVal,_xlpm.MacVal&lt;&gt;"",_xlpm.MacVal,_xlpm.CSVVal&lt;&gt;"",_xlpm.CSVVal
)),"")</f>
        <v/>
      </c>
      <c r="G444" s="40" t="str" cm="1">
        <f t="array" ref="G444">IFERROR(_xlfn.LET(
_xlpm.CSVVal,_xlfn.XLOOKUP($A444,CSV!$A:$A,CSV!G:G,""),
_xlpm.MacVal,_xlfn.XLOOKUP($A444,Output_Mac!$A:$A,Output_Mac!F:F,""),
_xlpm.MyAuditVal,_xlfn.XLOOKUP($A444,My_Audit!$A:$A,My_Audit!F:F,""),
_xlfn.IFS(_xlpm.MyAuditVal&lt;&gt;"",_xlpm.MyAuditVal,_xlpm.MacVal&lt;&gt;"",_xlpm.MacVal,_xlpm.CSVVal&lt;&gt;"",PROPER(_xlpm.CSVVal)
)),"")</f>
        <v/>
      </c>
      <c r="H444" s="40" t="str" cm="1">
        <f t="array" ref="H444">IFERROR(_xlfn.LET(
_xlpm.CSVVal,_xlfn.XLOOKUP($A444,CSV!$A:$A,CSV!H:H,""),
_xlpm.MacVal,_xlfn.XLOOKUP($A444,Output_Mac!$A:$A,Output_Mac!H:H,""),
_xlpm.MyAuditVal,_xlfn.XLOOKUP($A444,My_Audit!$A:$A,My_Audit!G:G,""),
_xlfn.IFS(_xlpm.MyAuditVal&lt;&gt;"",_xlpm.MyAuditVal,_xlpm.MacVal&lt;&gt;"",_xlpm.MacVal,_xlpm.CSVVal&lt;&gt;"",_xlpm.CSVVal
)),"")</f>
        <v/>
      </c>
      <c r="I444" s="40" t="str">
        <f>_xlfn.XLOOKUP(A444,Output_Mac!A:A,Output_Mac!I:I,"")</f>
        <v/>
      </c>
      <c r="J444" s="40" t="str" cm="1">
        <f t="array" ref="J444">IFERROR(_xlfn.LET(
_xlpm.CSVVal,_xlfn.XLOOKUP($A444,CSV!$A:$A,CSV!I:I,""),
_xlpm.MacVal,_xlfn.XLOOKUP($A444,Output_Mac!$A:$A,Output_Mac!J:J,""),
_xlpm.MyAuditVal,_xlfn.XLOOKUP($A444,My_Audit!$A:$A,My_Audit!I:I,""),
_xlfn.IFS(_xlpm.MyAuditVal&lt;&gt;"",UPPER(_xlpm.MyAuditVal),_xlpm.MacVal&lt;&gt;"",_xlpm.MacVal,_xlpm.CSVVal&lt;&gt;"",_xlpm.CSVVal
)),"")</f>
        <v/>
      </c>
      <c r="K444" s="40" t="str" cm="1">
        <f t="array" ref="K444">IFERROR(_xlfn.LET(
_xlpm.CSVVal,_xlfn.XLOOKUP($A444,CSV!$A:$A,CSV!K:K,""),
_xlpm.MacVal,_xlfn.XLOOKUP($A444,Output_Mac!$A:$A,Output_Mac!K:K,""),
_xlpm.MyAuditVal,_xlfn.XLOOKUP($A444,My_Audit!$A:$A,My_Audit!J:J,""),
_xlfn.IFS(_xlpm.MyAuditVal&lt;&gt;"",UPPER(_xlpm.MyAuditVal),_xlpm.MacVal&lt;&gt;"",_xlpm.MacVal,_xlpm.CSVVal&lt;&gt;"",_xlpm.CSVVal
)),"")</f>
        <v/>
      </c>
      <c r="L444" s="40" t="str" cm="1">
        <f t="array" ref="L444">IFERROR(_xlfn.LET(
_xlpm.CSVVal,_xlfn.XLOOKUP($A444,CSV!$A:$A,CSV!P:P,""),
_xlpm.MacVal,_xlfn.XLOOKUP($A444,Output_Mac!$A:$A,Output_Mac!L:L,""),
_xlpm.MyAuditVal,_xlfn.XLOOKUP($A444,My_Audit!$A:$A,My_Audit!K:K,""),
_xlfn.IFS(_xlpm.MyAuditVal&lt;&gt;"",UPPER(_xlpm.MyAuditVal),_xlpm.MacVal&lt;&gt;"",_xlpm.MacVal,_xlpm.CSVVal&lt;&gt;"",_xlpm.CSVVal
)),"")</f>
        <v/>
      </c>
      <c r="M444" s="40" t="str" cm="1">
        <f t="array" ref="M444">IFERROR(_xlfn.LET(
_xlpm.CSVVal,_xlfn.XLOOKUP($A444,CSV!$A:$A,CSV!Q:Q,""),
_xlpm.MacVal,_xlfn.XLOOKUP($A444,Output_Mac!$A:$A,Output_Mac!M:M,""),
_xlpm.MyAuditVal,_xlfn.XLOOKUP($A444,My_Audit!$A:$A,My_Audit!L:L,""),
_xlfn.IFS(_xlpm.MyAuditVal&lt;&gt;"",UPPER(_xlpm.MyAuditVal),_xlpm.MacVal&lt;&gt;"",_xlpm.MacVal,_xlpm.CSVVal&lt;&gt;"",_xlpm.CSVVal
)),"")</f>
        <v/>
      </c>
      <c r="N444" s="40"/>
      <c r="O444" s="40" t="str">
        <f>_xlfn.LET(
    _xlpm.CSVVal, _xlfn.XLOOKUP($A444, CSV!$A:$A, CSV!AA:AA, ""),
    _xlpm.MacVal, _xlfn.XLOOKUP($A444, Output_Mac!$A:$A, Output_Mac!S:S, ""),
    _xlpm.MyAuditVal, _xlfn.XLOOKUP($A444, My_Audit!$A:$A, My_Audit!P:P, ""),
    _xlfn.TEXTJOIN(", ", TRUE, _xlpm.MyAuditVal, _xlpm.MacVal, _xlpm.CSVVal)
)</f>
        <v/>
      </c>
      <c r="P444" s="40" t="str" cm="1">
        <f t="array" ref="P444">IFERROR(_xlfn.LET(
_xlpm.CSVVal,_xlfn.XLOOKUP($A444,CSV!$A:$A,CSV!AB:AB,""),
_xlpm.MacVal,_xlfn.XLOOKUP($A444,Output_Mac!$A:$A,Output_Mac!T:T,""),
_xlpm.MyAuditVal,_xlfn.XLOOKUP($A444,My_Audit!$A:$A,My_Audit!Q:Q,""),
_xlfn.IFS(_xlpm.MyAuditVal&lt;&gt;"",UPPER(_xlpm.MyAuditVal),_xlpm.MacVal&lt;&gt;"",_xlpm.MacVal,_xlpm.CSVVal&lt;&gt;"",_xlpm.CSVVal
)),"No")</f>
        <v>No</v>
      </c>
      <c r="Q444" s="40" t="str" cm="1">
        <f t="array" ref="Q444">IFERROR(_xlfn.LET(
_xlpm.CSVVal,_xlfn.XLOOKUP($A444,CSV!$A:$A,CSV!AC:AC,""),
_xlpm.MacVal,_xlfn.XLOOKUP($A444,Output_Mac!$A:$A,Output_Mac!U:U,""),
_xlpm.MyAuditVal,_xlfn.XLOOKUP($A444,My_Audit!$A:$A,My_Audit!R:R,""),
_xlfn.IFS(_xlpm.MyAuditVal&lt;&gt;"",UPPER(_xlpm.MyAuditVal),_xlpm.MacVal&lt;&gt;"",_xlpm.MacVal,_xlpm.CSVVal&lt;&gt;"",_xlpm.CSVVal
)),"")</f>
        <v/>
      </c>
      <c r="R444" s="40"/>
      <c r="S444" s="40"/>
      <c r="T444" s="40"/>
      <c r="U444" s="40"/>
      <c r="V444" s="40"/>
      <c r="W444" s="40"/>
      <c r="X444" s="41" t="str">
        <f>_xlfn.LET(
    _xlpm.MacVal, _xlfn.XLOOKUP($A444, Output_Mac!$A:$A, Output_Mac!AB:AB, ""),
    _xlpm.MyAuditVal, _xlfn.XLOOKUP($A444, My_Audit!$A:$A, My_Audit!N:N, ""),
    _xlfn.TEXTJOIN(", ", TRUE, _xlpm.MyAuditVal, _xlpm.MacVal)
)</f>
        <v/>
      </c>
    </row>
    <row r="445" spans="1:24">
      <c r="A445" s="40" t="str">
        <f>_xlfn.TEXTJOIN("",TRUE,Input!$B$2,ROW(My_Audit!A444))</f>
        <v>X444</v>
      </c>
      <c r="B445" s="40" t="str">
        <f>_xlfn.TEXTJOIN("-",TRUE,"ITD",Input!$A$2,A445)</f>
        <v>ITD-X444</v>
      </c>
      <c r="C445" s="40" t="str" cm="1">
        <f t="array" ref="C445">IFERROR(_xlfn.LET(
_xlpm.CSVVal,_xlfn.XLOOKUP($A445,CSV!$A:$A,CSV!B:B,""),
_xlpm.MacVal,_xlfn.XLOOKUP($A445,Output_Mac!$A:$A,Output_Mac!B:B,""),
_xlpm.MyAuditVal,_xlfn.XLOOKUP($A445,My_Audit!$A:$A,My_Audit!B:B,""),
_xlfn.IFS(_xlpm.MyAuditVal&lt;&gt;"",UPPER(_xlpm.MyAuditVal),_xlpm.MacVal&lt;&gt;"",_xlpm.MacVal,_xlpm.CSVVal&lt;&gt;"",_xlpm.CSVVal
)),"")</f>
        <v/>
      </c>
      <c r="D445" s="40" t="str" cm="1">
        <f t="array" ref="D445">IFERROR(_xlfn.LET(
_xlpm.CSVVal,_xlfn.XLOOKUP($A445,CSV!$A:$A,CSV!D:D,""),
_xlpm.MacVal,_xlfn.XLOOKUP($A445,Output_Mac!$A:$A,Output_Mac!C:C,""),
_xlpm.MyAuditVal,_xlfn.XLOOKUP($A445,My_Audit!$A:$A,My_Audit!C:C,""),
_xlfn.IFS(_xlpm.MyAuditVal&lt;&gt;"",_xlpm.MyAuditVal,_xlpm.MacVal&lt;&gt;"",_xlpm.MacVal,_xlpm.CSVVal&lt;&gt;"",_xlpm.CSVVal
)),"")</f>
        <v/>
      </c>
      <c r="E445" s="40">
        <f>_xlfn.XLOOKUP(A445,My_Audit!A:A,My_Audit!D:D,"")</f>
        <v>0</v>
      </c>
      <c r="F445" s="40" t="str" cm="1">
        <f t="array" ref="F445">IFERROR(_xlfn.LET(
_xlpm.CSVVal,_xlfn.XLOOKUP($A445,CSV!$A:$A,CSV!F:F,""),
_xlpm.MacVal,_xlfn.XLOOKUP($A445,Output_Mac!$A:$A,Output_Mac!E:E,""),
_xlpm.MyAuditVal,_xlfn.XLOOKUP($A445,My_Audit!$A:$A,My_Audit!E:E,""),
_xlfn.IFS(_xlpm.MyAuditVal&lt;&gt;"",_xlpm.MyAuditVal,_xlpm.MacVal&lt;&gt;"",_xlpm.MacVal,_xlpm.CSVVal&lt;&gt;"",_xlpm.CSVVal
)),"")</f>
        <v/>
      </c>
      <c r="G445" s="40" t="str" cm="1">
        <f t="array" ref="G445">IFERROR(_xlfn.LET(
_xlpm.CSVVal,_xlfn.XLOOKUP($A445,CSV!$A:$A,CSV!G:G,""),
_xlpm.MacVal,_xlfn.XLOOKUP($A445,Output_Mac!$A:$A,Output_Mac!F:F,""),
_xlpm.MyAuditVal,_xlfn.XLOOKUP($A445,My_Audit!$A:$A,My_Audit!F:F,""),
_xlfn.IFS(_xlpm.MyAuditVal&lt;&gt;"",_xlpm.MyAuditVal,_xlpm.MacVal&lt;&gt;"",_xlpm.MacVal,_xlpm.CSVVal&lt;&gt;"",PROPER(_xlpm.CSVVal)
)),"")</f>
        <v/>
      </c>
      <c r="H445" s="40" t="str" cm="1">
        <f t="array" ref="H445">IFERROR(_xlfn.LET(
_xlpm.CSVVal,_xlfn.XLOOKUP($A445,CSV!$A:$A,CSV!H:H,""),
_xlpm.MacVal,_xlfn.XLOOKUP($A445,Output_Mac!$A:$A,Output_Mac!H:H,""),
_xlpm.MyAuditVal,_xlfn.XLOOKUP($A445,My_Audit!$A:$A,My_Audit!G:G,""),
_xlfn.IFS(_xlpm.MyAuditVal&lt;&gt;"",_xlpm.MyAuditVal,_xlpm.MacVal&lt;&gt;"",_xlpm.MacVal,_xlpm.CSVVal&lt;&gt;"",_xlpm.CSVVal
)),"")</f>
        <v/>
      </c>
      <c r="I445" s="40" t="str">
        <f>_xlfn.XLOOKUP(A445,Output_Mac!A:A,Output_Mac!I:I,"")</f>
        <v/>
      </c>
      <c r="J445" s="40" t="str" cm="1">
        <f t="array" ref="J445">IFERROR(_xlfn.LET(
_xlpm.CSVVal,_xlfn.XLOOKUP($A445,CSV!$A:$A,CSV!I:I,""),
_xlpm.MacVal,_xlfn.XLOOKUP($A445,Output_Mac!$A:$A,Output_Mac!J:J,""),
_xlpm.MyAuditVal,_xlfn.XLOOKUP($A445,My_Audit!$A:$A,My_Audit!I:I,""),
_xlfn.IFS(_xlpm.MyAuditVal&lt;&gt;"",UPPER(_xlpm.MyAuditVal),_xlpm.MacVal&lt;&gt;"",_xlpm.MacVal,_xlpm.CSVVal&lt;&gt;"",_xlpm.CSVVal
)),"")</f>
        <v/>
      </c>
      <c r="K445" s="40" t="str" cm="1">
        <f t="array" ref="K445">IFERROR(_xlfn.LET(
_xlpm.CSVVal,_xlfn.XLOOKUP($A445,CSV!$A:$A,CSV!K:K,""),
_xlpm.MacVal,_xlfn.XLOOKUP($A445,Output_Mac!$A:$A,Output_Mac!K:K,""),
_xlpm.MyAuditVal,_xlfn.XLOOKUP($A445,My_Audit!$A:$A,My_Audit!J:J,""),
_xlfn.IFS(_xlpm.MyAuditVal&lt;&gt;"",UPPER(_xlpm.MyAuditVal),_xlpm.MacVal&lt;&gt;"",_xlpm.MacVal,_xlpm.CSVVal&lt;&gt;"",_xlpm.CSVVal
)),"")</f>
        <v/>
      </c>
      <c r="L445" s="40" t="str" cm="1">
        <f t="array" ref="L445">IFERROR(_xlfn.LET(
_xlpm.CSVVal,_xlfn.XLOOKUP($A445,CSV!$A:$A,CSV!P:P,""),
_xlpm.MacVal,_xlfn.XLOOKUP($A445,Output_Mac!$A:$A,Output_Mac!L:L,""),
_xlpm.MyAuditVal,_xlfn.XLOOKUP($A445,My_Audit!$A:$A,My_Audit!K:K,""),
_xlfn.IFS(_xlpm.MyAuditVal&lt;&gt;"",UPPER(_xlpm.MyAuditVal),_xlpm.MacVal&lt;&gt;"",_xlpm.MacVal,_xlpm.CSVVal&lt;&gt;"",_xlpm.CSVVal
)),"")</f>
        <v/>
      </c>
      <c r="M445" s="40" t="str" cm="1">
        <f t="array" ref="M445">IFERROR(_xlfn.LET(
_xlpm.CSVVal,_xlfn.XLOOKUP($A445,CSV!$A:$A,CSV!Q:Q,""),
_xlpm.MacVal,_xlfn.XLOOKUP($A445,Output_Mac!$A:$A,Output_Mac!M:M,""),
_xlpm.MyAuditVal,_xlfn.XLOOKUP($A445,My_Audit!$A:$A,My_Audit!L:L,""),
_xlfn.IFS(_xlpm.MyAuditVal&lt;&gt;"",UPPER(_xlpm.MyAuditVal),_xlpm.MacVal&lt;&gt;"",_xlpm.MacVal,_xlpm.CSVVal&lt;&gt;"",_xlpm.CSVVal
)),"")</f>
        <v/>
      </c>
      <c r="N445" s="40"/>
      <c r="O445" s="40" t="str">
        <f>_xlfn.LET(
    _xlpm.CSVVal, _xlfn.XLOOKUP($A445, CSV!$A:$A, CSV!AA:AA, ""),
    _xlpm.MacVal, _xlfn.XLOOKUP($A445, Output_Mac!$A:$A, Output_Mac!S:S, ""),
    _xlpm.MyAuditVal, _xlfn.XLOOKUP($A445, My_Audit!$A:$A, My_Audit!P:P, ""),
    _xlfn.TEXTJOIN(", ", TRUE, _xlpm.MyAuditVal, _xlpm.MacVal, _xlpm.CSVVal)
)</f>
        <v/>
      </c>
      <c r="P445" s="40" t="str" cm="1">
        <f t="array" ref="P445">IFERROR(_xlfn.LET(
_xlpm.CSVVal,_xlfn.XLOOKUP($A445,CSV!$A:$A,CSV!AB:AB,""),
_xlpm.MacVal,_xlfn.XLOOKUP($A445,Output_Mac!$A:$A,Output_Mac!T:T,""),
_xlpm.MyAuditVal,_xlfn.XLOOKUP($A445,My_Audit!$A:$A,My_Audit!Q:Q,""),
_xlfn.IFS(_xlpm.MyAuditVal&lt;&gt;"",UPPER(_xlpm.MyAuditVal),_xlpm.MacVal&lt;&gt;"",_xlpm.MacVal,_xlpm.CSVVal&lt;&gt;"",_xlpm.CSVVal
)),"No")</f>
        <v>No</v>
      </c>
      <c r="Q445" s="40" t="str" cm="1">
        <f t="array" ref="Q445">IFERROR(_xlfn.LET(
_xlpm.CSVVal,_xlfn.XLOOKUP($A445,CSV!$A:$A,CSV!AC:AC,""),
_xlpm.MacVal,_xlfn.XLOOKUP($A445,Output_Mac!$A:$A,Output_Mac!U:U,""),
_xlpm.MyAuditVal,_xlfn.XLOOKUP($A445,My_Audit!$A:$A,My_Audit!R:R,""),
_xlfn.IFS(_xlpm.MyAuditVal&lt;&gt;"",UPPER(_xlpm.MyAuditVal),_xlpm.MacVal&lt;&gt;"",_xlpm.MacVal,_xlpm.CSVVal&lt;&gt;"",_xlpm.CSVVal
)),"")</f>
        <v/>
      </c>
      <c r="R445" s="40"/>
      <c r="S445" s="40"/>
      <c r="T445" s="40"/>
      <c r="U445" s="40"/>
      <c r="V445" s="40"/>
      <c r="W445" s="40"/>
      <c r="X445" s="41" t="str">
        <f>_xlfn.LET(
    _xlpm.MacVal, _xlfn.XLOOKUP($A445, Output_Mac!$A:$A, Output_Mac!AB:AB, ""),
    _xlpm.MyAuditVal, _xlfn.XLOOKUP($A445, My_Audit!$A:$A, My_Audit!N:N, ""),
    _xlfn.TEXTJOIN(", ", TRUE, _xlpm.MyAuditVal, _xlpm.MacVal)
)</f>
        <v/>
      </c>
    </row>
    <row r="446" spans="1:24">
      <c r="A446" s="40" t="str">
        <f>_xlfn.TEXTJOIN("",TRUE,Input!$B$2,ROW(My_Audit!A445))</f>
        <v>X445</v>
      </c>
      <c r="B446" s="40" t="str">
        <f>_xlfn.TEXTJOIN("-",TRUE,"ITD",Input!$A$2,A446)</f>
        <v>ITD-X445</v>
      </c>
      <c r="C446" s="40" t="str" cm="1">
        <f t="array" ref="C446">IFERROR(_xlfn.LET(
_xlpm.CSVVal,_xlfn.XLOOKUP($A446,CSV!$A:$A,CSV!B:B,""),
_xlpm.MacVal,_xlfn.XLOOKUP($A446,Output_Mac!$A:$A,Output_Mac!B:B,""),
_xlpm.MyAuditVal,_xlfn.XLOOKUP($A446,My_Audit!$A:$A,My_Audit!B:B,""),
_xlfn.IFS(_xlpm.MyAuditVal&lt;&gt;"",UPPER(_xlpm.MyAuditVal),_xlpm.MacVal&lt;&gt;"",_xlpm.MacVal,_xlpm.CSVVal&lt;&gt;"",_xlpm.CSVVal
)),"")</f>
        <v/>
      </c>
      <c r="D446" s="40" t="str" cm="1">
        <f t="array" ref="D446">IFERROR(_xlfn.LET(
_xlpm.CSVVal,_xlfn.XLOOKUP($A446,CSV!$A:$A,CSV!D:D,""),
_xlpm.MacVal,_xlfn.XLOOKUP($A446,Output_Mac!$A:$A,Output_Mac!C:C,""),
_xlpm.MyAuditVal,_xlfn.XLOOKUP($A446,My_Audit!$A:$A,My_Audit!C:C,""),
_xlfn.IFS(_xlpm.MyAuditVal&lt;&gt;"",_xlpm.MyAuditVal,_xlpm.MacVal&lt;&gt;"",_xlpm.MacVal,_xlpm.CSVVal&lt;&gt;"",_xlpm.CSVVal
)),"")</f>
        <v/>
      </c>
      <c r="E446" s="40">
        <f>_xlfn.XLOOKUP(A446,My_Audit!A:A,My_Audit!D:D,"")</f>
        <v>0</v>
      </c>
      <c r="F446" s="40" t="str" cm="1">
        <f t="array" ref="F446">IFERROR(_xlfn.LET(
_xlpm.CSVVal,_xlfn.XLOOKUP($A446,CSV!$A:$A,CSV!F:F,""),
_xlpm.MacVal,_xlfn.XLOOKUP($A446,Output_Mac!$A:$A,Output_Mac!E:E,""),
_xlpm.MyAuditVal,_xlfn.XLOOKUP($A446,My_Audit!$A:$A,My_Audit!E:E,""),
_xlfn.IFS(_xlpm.MyAuditVal&lt;&gt;"",_xlpm.MyAuditVal,_xlpm.MacVal&lt;&gt;"",_xlpm.MacVal,_xlpm.CSVVal&lt;&gt;"",_xlpm.CSVVal
)),"")</f>
        <v/>
      </c>
      <c r="G446" s="40" t="str" cm="1">
        <f t="array" ref="G446">IFERROR(_xlfn.LET(
_xlpm.CSVVal,_xlfn.XLOOKUP($A446,CSV!$A:$A,CSV!G:G,""),
_xlpm.MacVal,_xlfn.XLOOKUP($A446,Output_Mac!$A:$A,Output_Mac!F:F,""),
_xlpm.MyAuditVal,_xlfn.XLOOKUP($A446,My_Audit!$A:$A,My_Audit!F:F,""),
_xlfn.IFS(_xlpm.MyAuditVal&lt;&gt;"",_xlpm.MyAuditVal,_xlpm.MacVal&lt;&gt;"",_xlpm.MacVal,_xlpm.CSVVal&lt;&gt;"",PROPER(_xlpm.CSVVal)
)),"")</f>
        <v/>
      </c>
      <c r="H446" s="40" t="str" cm="1">
        <f t="array" ref="H446">IFERROR(_xlfn.LET(
_xlpm.CSVVal,_xlfn.XLOOKUP($A446,CSV!$A:$A,CSV!H:H,""),
_xlpm.MacVal,_xlfn.XLOOKUP($A446,Output_Mac!$A:$A,Output_Mac!H:H,""),
_xlpm.MyAuditVal,_xlfn.XLOOKUP($A446,My_Audit!$A:$A,My_Audit!G:G,""),
_xlfn.IFS(_xlpm.MyAuditVal&lt;&gt;"",_xlpm.MyAuditVal,_xlpm.MacVal&lt;&gt;"",_xlpm.MacVal,_xlpm.CSVVal&lt;&gt;"",_xlpm.CSVVal
)),"")</f>
        <v/>
      </c>
      <c r="I446" s="40" t="str">
        <f>_xlfn.XLOOKUP(A446,Output_Mac!A:A,Output_Mac!I:I,"")</f>
        <v/>
      </c>
      <c r="J446" s="40" t="str" cm="1">
        <f t="array" ref="J446">IFERROR(_xlfn.LET(
_xlpm.CSVVal,_xlfn.XLOOKUP($A446,CSV!$A:$A,CSV!I:I,""),
_xlpm.MacVal,_xlfn.XLOOKUP($A446,Output_Mac!$A:$A,Output_Mac!J:J,""),
_xlpm.MyAuditVal,_xlfn.XLOOKUP($A446,My_Audit!$A:$A,My_Audit!I:I,""),
_xlfn.IFS(_xlpm.MyAuditVal&lt;&gt;"",UPPER(_xlpm.MyAuditVal),_xlpm.MacVal&lt;&gt;"",_xlpm.MacVal,_xlpm.CSVVal&lt;&gt;"",_xlpm.CSVVal
)),"")</f>
        <v/>
      </c>
      <c r="K446" s="40" t="str" cm="1">
        <f t="array" ref="K446">IFERROR(_xlfn.LET(
_xlpm.CSVVal,_xlfn.XLOOKUP($A446,CSV!$A:$A,CSV!K:K,""),
_xlpm.MacVal,_xlfn.XLOOKUP($A446,Output_Mac!$A:$A,Output_Mac!K:K,""),
_xlpm.MyAuditVal,_xlfn.XLOOKUP($A446,My_Audit!$A:$A,My_Audit!J:J,""),
_xlfn.IFS(_xlpm.MyAuditVal&lt;&gt;"",UPPER(_xlpm.MyAuditVal),_xlpm.MacVal&lt;&gt;"",_xlpm.MacVal,_xlpm.CSVVal&lt;&gt;"",_xlpm.CSVVal
)),"")</f>
        <v/>
      </c>
      <c r="L446" s="40" t="str" cm="1">
        <f t="array" ref="L446">IFERROR(_xlfn.LET(
_xlpm.CSVVal,_xlfn.XLOOKUP($A446,CSV!$A:$A,CSV!P:P,""),
_xlpm.MacVal,_xlfn.XLOOKUP($A446,Output_Mac!$A:$A,Output_Mac!L:L,""),
_xlpm.MyAuditVal,_xlfn.XLOOKUP($A446,My_Audit!$A:$A,My_Audit!K:K,""),
_xlfn.IFS(_xlpm.MyAuditVal&lt;&gt;"",UPPER(_xlpm.MyAuditVal),_xlpm.MacVal&lt;&gt;"",_xlpm.MacVal,_xlpm.CSVVal&lt;&gt;"",_xlpm.CSVVal
)),"")</f>
        <v/>
      </c>
      <c r="M446" s="40" t="str" cm="1">
        <f t="array" ref="M446">IFERROR(_xlfn.LET(
_xlpm.CSVVal,_xlfn.XLOOKUP($A446,CSV!$A:$A,CSV!Q:Q,""),
_xlpm.MacVal,_xlfn.XLOOKUP($A446,Output_Mac!$A:$A,Output_Mac!M:M,""),
_xlpm.MyAuditVal,_xlfn.XLOOKUP($A446,My_Audit!$A:$A,My_Audit!L:L,""),
_xlfn.IFS(_xlpm.MyAuditVal&lt;&gt;"",UPPER(_xlpm.MyAuditVal),_xlpm.MacVal&lt;&gt;"",_xlpm.MacVal,_xlpm.CSVVal&lt;&gt;"",_xlpm.CSVVal
)),"")</f>
        <v/>
      </c>
      <c r="N446" s="40"/>
      <c r="O446" s="40" t="str">
        <f>_xlfn.LET(
    _xlpm.CSVVal, _xlfn.XLOOKUP($A446, CSV!$A:$A, CSV!AA:AA, ""),
    _xlpm.MacVal, _xlfn.XLOOKUP($A446, Output_Mac!$A:$A, Output_Mac!S:S, ""),
    _xlpm.MyAuditVal, _xlfn.XLOOKUP($A446, My_Audit!$A:$A, My_Audit!P:P, ""),
    _xlfn.TEXTJOIN(", ", TRUE, _xlpm.MyAuditVal, _xlpm.MacVal, _xlpm.CSVVal)
)</f>
        <v/>
      </c>
      <c r="P446" s="40" t="str" cm="1">
        <f t="array" ref="P446">IFERROR(_xlfn.LET(
_xlpm.CSVVal,_xlfn.XLOOKUP($A446,CSV!$A:$A,CSV!AB:AB,""),
_xlpm.MacVal,_xlfn.XLOOKUP($A446,Output_Mac!$A:$A,Output_Mac!T:T,""),
_xlpm.MyAuditVal,_xlfn.XLOOKUP($A446,My_Audit!$A:$A,My_Audit!Q:Q,""),
_xlfn.IFS(_xlpm.MyAuditVal&lt;&gt;"",UPPER(_xlpm.MyAuditVal),_xlpm.MacVal&lt;&gt;"",_xlpm.MacVal,_xlpm.CSVVal&lt;&gt;"",_xlpm.CSVVal
)),"No")</f>
        <v>No</v>
      </c>
      <c r="Q446" s="40" t="str" cm="1">
        <f t="array" ref="Q446">IFERROR(_xlfn.LET(
_xlpm.CSVVal,_xlfn.XLOOKUP($A446,CSV!$A:$A,CSV!AC:AC,""),
_xlpm.MacVal,_xlfn.XLOOKUP($A446,Output_Mac!$A:$A,Output_Mac!U:U,""),
_xlpm.MyAuditVal,_xlfn.XLOOKUP($A446,My_Audit!$A:$A,My_Audit!R:R,""),
_xlfn.IFS(_xlpm.MyAuditVal&lt;&gt;"",UPPER(_xlpm.MyAuditVal),_xlpm.MacVal&lt;&gt;"",_xlpm.MacVal,_xlpm.CSVVal&lt;&gt;"",_xlpm.CSVVal
)),"")</f>
        <v/>
      </c>
      <c r="R446" s="40"/>
      <c r="S446" s="40"/>
      <c r="T446" s="40"/>
      <c r="U446" s="40"/>
      <c r="V446" s="40"/>
      <c r="W446" s="40"/>
      <c r="X446" s="41" t="str">
        <f>_xlfn.LET(
    _xlpm.MacVal, _xlfn.XLOOKUP($A446, Output_Mac!$A:$A, Output_Mac!AB:AB, ""),
    _xlpm.MyAuditVal, _xlfn.XLOOKUP($A446, My_Audit!$A:$A, My_Audit!N:N, ""),
    _xlfn.TEXTJOIN(", ", TRUE, _xlpm.MyAuditVal, _xlpm.MacVal)
)</f>
        <v/>
      </c>
    </row>
    <row r="447" spans="1:24">
      <c r="A447" s="40" t="str">
        <f>_xlfn.TEXTJOIN("",TRUE,Input!$B$2,ROW(My_Audit!A446))</f>
        <v>X446</v>
      </c>
      <c r="B447" s="40" t="str">
        <f>_xlfn.TEXTJOIN("-",TRUE,"ITD",Input!$A$2,A447)</f>
        <v>ITD-X446</v>
      </c>
      <c r="C447" s="40" t="str" cm="1">
        <f t="array" ref="C447">IFERROR(_xlfn.LET(
_xlpm.CSVVal,_xlfn.XLOOKUP($A447,CSV!$A:$A,CSV!B:B,""),
_xlpm.MacVal,_xlfn.XLOOKUP($A447,Output_Mac!$A:$A,Output_Mac!B:B,""),
_xlpm.MyAuditVal,_xlfn.XLOOKUP($A447,My_Audit!$A:$A,My_Audit!B:B,""),
_xlfn.IFS(_xlpm.MyAuditVal&lt;&gt;"",UPPER(_xlpm.MyAuditVal),_xlpm.MacVal&lt;&gt;"",_xlpm.MacVal,_xlpm.CSVVal&lt;&gt;"",_xlpm.CSVVal
)),"")</f>
        <v/>
      </c>
      <c r="D447" s="40" t="str" cm="1">
        <f t="array" ref="D447">IFERROR(_xlfn.LET(
_xlpm.CSVVal,_xlfn.XLOOKUP($A447,CSV!$A:$A,CSV!D:D,""),
_xlpm.MacVal,_xlfn.XLOOKUP($A447,Output_Mac!$A:$A,Output_Mac!C:C,""),
_xlpm.MyAuditVal,_xlfn.XLOOKUP($A447,My_Audit!$A:$A,My_Audit!C:C,""),
_xlfn.IFS(_xlpm.MyAuditVal&lt;&gt;"",_xlpm.MyAuditVal,_xlpm.MacVal&lt;&gt;"",_xlpm.MacVal,_xlpm.CSVVal&lt;&gt;"",_xlpm.CSVVal
)),"")</f>
        <v/>
      </c>
      <c r="E447" s="40">
        <f>_xlfn.XLOOKUP(A447,My_Audit!A:A,My_Audit!D:D,"")</f>
        <v>0</v>
      </c>
      <c r="F447" s="40" t="str" cm="1">
        <f t="array" ref="F447">IFERROR(_xlfn.LET(
_xlpm.CSVVal,_xlfn.XLOOKUP($A447,CSV!$A:$A,CSV!F:F,""),
_xlpm.MacVal,_xlfn.XLOOKUP($A447,Output_Mac!$A:$A,Output_Mac!E:E,""),
_xlpm.MyAuditVal,_xlfn.XLOOKUP($A447,My_Audit!$A:$A,My_Audit!E:E,""),
_xlfn.IFS(_xlpm.MyAuditVal&lt;&gt;"",_xlpm.MyAuditVal,_xlpm.MacVal&lt;&gt;"",_xlpm.MacVal,_xlpm.CSVVal&lt;&gt;"",_xlpm.CSVVal
)),"")</f>
        <v/>
      </c>
      <c r="G447" s="40" t="str" cm="1">
        <f t="array" ref="G447">IFERROR(_xlfn.LET(
_xlpm.CSVVal,_xlfn.XLOOKUP($A447,CSV!$A:$A,CSV!G:G,""),
_xlpm.MacVal,_xlfn.XLOOKUP($A447,Output_Mac!$A:$A,Output_Mac!F:F,""),
_xlpm.MyAuditVal,_xlfn.XLOOKUP($A447,My_Audit!$A:$A,My_Audit!F:F,""),
_xlfn.IFS(_xlpm.MyAuditVal&lt;&gt;"",_xlpm.MyAuditVal,_xlpm.MacVal&lt;&gt;"",_xlpm.MacVal,_xlpm.CSVVal&lt;&gt;"",PROPER(_xlpm.CSVVal)
)),"")</f>
        <v/>
      </c>
      <c r="H447" s="40" t="str" cm="1">
        <f t="array" ref="H447">IFERROR(_xlfn.LET(
_xlpm.CSVVal,_xlfn.XLOOKUP($A447,CSV!$A:$A,CSV!H:H,""),
_xlpm.MacVal,_xlfn.XLOOKUP($A447,Output_Mac!$A:$A,Output_Mac!H:H,""),
_xlpm.MyAuditVal,_xlfn.XLOOKUP($A447,My_Audit!$A:$A,My_Audit!G:G,""),
_xlfn.IFS(_xlpm.MyAuditVal&lt;&gt;"",_xlpm.MyAuditVal,_xlpm.MacVal&lt;&gt;"",_xlpm.MacVal,_xlpm.CSVVal&lt;&gt;"",_xlpm.CSVVal
)),"")</f>
        <v/>
      </c>
      <c r="I447" s="40" t="str">
        <f>_xlfn.XLOOKUP(A447,Output_Mac!A:A,Output_Mac!I:I,"")</f>
        <v/>
      </c>
      <c r="J447" s="40" t="str" cm="1">
        <f t="array" ref="J447">IFERROR(_xlfn.LET(
_xlpm.CSVVal,_xlfn.XLOOKUP($A447,CSV!$A:$A,CSV!I:I,""),
_xlpm.MacVal,_xlfn.XLOOKUP($A447,Output_Mac!$A:$A,Output_Mac!J:J,""),
_xlpm.MyAuditVal,_xlfn.XLOOKUP($A447,My_Audit!$A:$A,My_Audit!I:I,""),
_xlfn.IFS(_xlpm.MyAuditVal&lt;&gt;"",UPPER(_xlpm.MyAuditVal),_xlpm.MacVal&lt;&gt;"",_xlpm.MacVal,_xlpm.CSVVal&lt;&gt;"",_xlpm.CSVVal
)),"")</f>
        <v/>
      </c>
      <c r="K447" s="40" t="str" cm="1">
        <f t="array" ref="K447">IFERROR(_xlfn.LET(
_xlpm.CSVVal,_xlfn.XLOOKUP($A447,CSV!$A:$A,CSV!K:K,""),
_xlpm.MacVal,_xlfn.XLOOKUP($A447,Output_Mac!$A:$A,Output_Mac!K:K,""),
_xlpm.MyAuditVal,_xlfn.XLOOKUP($A447,My_Audit!$A:$A,My_Audit!J:J,""),
_xlfn.IFS(_xlpm.MyAuditVal&lt;&gt;"",UPPER(_xlpm.MyAuditVal),_xlpm.MacVal&lt;&gt;"",_xlpm.MacVal,_xlpm.CSVVal&lt;&gt;"",_xlpm.CSVVal
)),"")</f>
        <v/>
      </c>
      <c r="L447" s="40" t="str" cm="1">
        <f t="array" ref="L447">IFERROR(_xlfn.LET(
_xlpm.CSVVal,_xlfn.XLOOKUP($A447,CSV!$A:$A,CSV!P:P,""),
_xlpm.MacVal,_xlfn.XLOOKUP($A447,Output_Mac!$A:$A,Output_Mac!L:L,""),
_xlpm.MyAuditVal,_xlfn.XLOOKUP($A447,My_Audit!$A:$A,My_Audit!K:K,""),
_xlfn.IFS(_xlpm.MyAuditVal&lt;&gt;"",UPPER(_xlpm.MyAuditVal),_xlpm.MacVal&lt;&gt;"",_xlpm.MacVal,_xlpm.CSVVal&lt;&gt;"",_xlpm.CSVVal
)),"")</f>
        <v/>
      </c>
      <c r="M447" s="40" t="str" cm="1">
        <f t="array" ref="M447">IFERROR(_xlfn.LET(
_xlpm.CSVVal,_xlfn.XLOOKUP($A447,CSV!$A:$A,CSV!Q:Q,""),
_xlpm.MacVal,_xlfn.XLOOKUP($A447,Output_Mac!$A:$A,Output_Mac!M:M,""),
_xlpm.MyAuditVal,_xlfn.XLOOKUP($A447,My_Audit!$A:$A,My_Audit!L:L,""),
_xlfn.IFS(_xlpm.MyAuditVal&lt;&gt;"",UPPER(_xlpm.MyAuditVal),_xlpm.MacVal&lt;&gt;"",_xlpm.MacVal,_xlpm.CSVVal&lt;&gt;"",_xlpm.CSVVal
)),"")</f>
        <v/>
      </c>
      <c r="N447" s="40"/>
      <c r="O447" s="40" t="str">
        <f>_xlfn.LET(
    _xlpm.CSVVal, _xlfn.XLOOKUP($A447, CSV!$A:$A, CSV!AA:AA, ""),
    _xlpm.MacVal, _xlfn.XLOOKUP($A447, Output_Mac!$A:$A, Output_Mac!S:S, ""),
    _xlpm.MyAuditVal, _xlfn.XLOOKUP($A447, My_Audit!$A:$A, My_Audit!P:P, ""),
    _xlfn.TEXTJOIN(", ", TRUE, _xlpm.MyAuditVal, _xlpm.MacVal, _xlpm.CSVVal)
)</f>
        <v/>
      </c>
      <c r="P447" s="40" t="str" cm="1">
        <f t="array" ref="P447">IFERROR(_xlfn.LET(
_xlpm.CSVVal,_xlfn.XLOOKUP($A447,CSV!$A:$A,CSV!AB:AB,""),
_xlpm.MacVal,_xlfn.XLOOKUP($A447,Output_Mac!$A:$A,Output_Mac!T:T,""),
_xlpm.MyAuditVal,_xlfn.XLOOKUP($A447,My_Audit!$A:$A,My_Audit!Q:Q,""),
_xlfn.IFS(_xlpm.MyAuditVal&lt;&gt;"",UPPER(_xlpm.MyAuditVal),_xlpm.MacVal&lt;&gt;"",_xlpm.MacVal,_xlpm.CSVVal&lt;&gt;"",_xlpm.CSVVal
)),"No")</f>
        <v>No</v>
      </c>
      <c r="Q447" s="40" t="str" cm="1">
        <f t="array" ref="Q447">IFERROR(_xlfn.LET(
_xlpm.CSVVal,_xlfn.XLOOKUP($A447,CSV!$A:$A,CSV!AC:AC,""),
_xlpm.MacVal,_xlfn.XLOOKUP($A447,Output_Mac!$A:$A,Output_Mac!U:U,""),
_xlpm.MyAuditVal,_xlfn.XLOOKUP($A447,My_Audit!$A:$A,My_Audit!R:R,""),
_xlfn.IFS(_xlpm.MyAuditVal&lt;&gt;"",UPPER(_xlpm.MyAuditVal),_xlpm.MacVal&lt;&gt;"",_xlpm.MacVal,_xlpm.CSVVal&lt;&gt;"",_xlpm.CSVVal
)),"")</f>
        <v/>
      </c>
      <c r="R447" s="40"/>
      <c r="S447" s="40"/>
      <c r="T447" s="40"/>
      <c r="U447" s="40"/>
      <c r="V447" s="40"/>
      <c r="W447" s="40"/>
      <c r="X447" s="41" t="str">
        <f>_xlfn.LET(
    _xlpm.MacVal, _xlfn.XLOOKUP($A447, Output_Mac!$A:$A, Output_Mac!AB:AB, ""),
    _xlpm.MyAuditVal, _xlfn.XLOOKUP($A447, My_Audit!$A:$A, My_Audit!N:N, ""),
    _xlfn.TEXTJOIN(", ", TRUE, _xlpm.MyAuditVal, _xlpm.MacVal)
)</f>
        <v/>
      </c>
    </row>
    <row r="448" spans="1:24">
      <c r="A448" s="40" t="str">
        <f>_xlfn.TEXTJOIN("",TRUE,Input!$B$2,ROW(My_Audit!A447))</f>
        <v>X447</v>
      </c>
      <c r="B448" s="40" t="str">
        <f>_xlfn.TEXTJOIN("-",TRUE,"ITD",Input!$A$2,A448)</f>
        <v>ITD-X447</v>
      </c>
      <c r="C448" s="40" t="str" cm="1">
        <f t="array" ref="C448">IFERROR(_xlfn.LET(
_xlpm.CSVVal,_xlfn.XLOOKUP($A448,CSV!$A:$A,CSV!B:B,""),
_xlpm.MacVal,_xlfn.XLOOKUP($A448,Output_Mac!$A:$A,Output_Mac!B:B,""),
_xlpm.MyAuditVal,_xlfn.XLOOKUP($A448,My_Audit!$A:$A,My_Audit!B:B,""),
_xlfn.IFS(_xlpm.MyAuditVal&lt;&gt;"",UPPER(_xlpm.MyAuditVal),_xlpm.MacVal&lt;&gt;"",_xlpm.MacVal,_xlpm.CSVVal&lt;&gt;"",_xlpm.CSVVal
)),"")</f>
        <v/>
      </c>
      <c r="D448" s="40" t="str" cm="1">
        <f t="array" ref="D448">IFERROR(_xlfn.LET(
_xlpm.CSVVal,_xlfn.XLOOKUP($A448,CSV!$A:$A,CSV!D:D,""),
_xlpm.MacVal,_xlfn.XLOOKUP($A448,Output_Mac!$A:$A,Output_Mac!C:C,""),
_xlpm.MyAuditVal,_xlfn.XLOOKUP($A448,My_Audit!$A:$A,My_Audit!C:C,""),
_xlfn.IFS(_xlpm.MyAuditVal&lt;&gt;"",_xlpm.MyAuditVal,_xlpm.MacVal&lt;&gt;"",_xlpm.MacVal,_xlpm.CSVVal&lt;&gt;"",_xlpm.CSVVal
)),"")</f>
        <v/>
      </c>
      <c r="E448" s="40">
        <f>_xlfn.XLOOKUP(A448,My_Audit!A:A,My_Audit!D:D,"")</f>
        <v>0</v>
      </c>
      <c r="F448" s="40" t="str" cm="1">
        <f t="array" ref="F448">IFERROR(_xlfn.LET(
_xlpm.CSVVal,_xlfn.XLOOKUP($A448,CSV!$A:$A,CSV!F:F,""),
_xlpm.MacVal,_xlfn.XLOOKUP($A448,Output_Mac!$A:$A,Output_Mac!E:E,""),
_xlpm.MyAuditVal,_xlfn.XLOOKUP($A448,My_Audit!$A:$A,My_Audit!E:E,""),
_xlfn.IFS(_xlpm.MyAuditVal&lt;&gt;"",_xlpm.MyAuditVal,_xlpm.MacVal&lt;&gt;"",_xlpm.MacVal,_xlpm.CSVVal&lt;&gt;"",_xlpm.CSVVal
)),"")</f>
        <v/>
      </c>
      <c r="G448" s="40" t="str" cm="1">
        <f t="array" ref="G448">IFERROR(_xlfn.LET(
_xlpm.CSVVal,_xlfn.XLOOKUP($A448,CSV!$A:$A,CSV!G:G,""),
_xlpm.MacVal,_xlfn.XLOOKUP($A448,Output_Mac!$A:$A,Output_Mac!F:F,""),
_xlpm.MyAuditVal,_xlfn.XLOOKUP($A448,My_Audit!$A:$A,My_Audit!F:F,""),
_xlfn.IFS(_xlpm.MyAuditVal&lt;&gt;"",_xlpm.MyAuditVal,_xlpm.MacVal&lt;&gt;"",_xlpm.MacVal,_xlpm.CSVVal&lt;&gt;"",PROPER(_xlpm.CSVVal)
)),"")</f>
        <v/>
      </c>
      <c r="H448" s="40" t="str" cm="1">
        <f t="array" ref="H448">IFERROR(_xlfn.LET(
_xlpm.CSVVal,_xlfn.XLOOKUP($A448,CSV!$A:$A,CSV!H:H,""),
_xlpm.MacVal,_xlfn.XLOOKUP($A448,Output_Mac!$A:$A,Output_Mac!H:H,""),
_xlpm.MyAuditVal,_xlfn.XLOOKUP($A448,My_Audit!$A:$A,My_Audit!G:G,""),
_xlfn.IFS(_xlpm.MyAuditVal&lt;&gt;"",_xlpm.MyAuditVal,_xlpm.MacVal&lt;&gt;"",_xlpm.MacVal,_xlpm.CSVVal&lt;&gt;"",_xlpm.CSVVal
)),"")</f>
        <v/>
      </c>
      <c r="I448" s="40" t="str">
        <f>_xlfn.XLOOKUP(A448,Output_Mac!A:A,Output_Mac!I:I,"")</f>
        <v/>
      </c>
      <c r="J448" s="40" t="str" cm="1">
        <f t="array" ref="J448">IFERROR(_xlfn.LET(
_xlpm.CSVVal,_xlfn.XLOOKUP($A448,CSV!$A:$A,CSV!I:I,""),
_xlpm.MacVal,_xlfn.XLOOKUP($A448,Output_Mac!$A:$A,Output_Mac!J:J,""),
_xlpm.MyAuditVal,_xlfn.XLOOKUP($A448,My_Audit!$A:$A,My_Audit!I:I,""),
_xlfn.IFS(_xlpm.MyAuditVal&lt;&gt;"",UPPER(_xlpm.MyAuditVal),_xlpm.MacVal&lt;&gt;"",_xlpm.MacVal,_xlpm.CSVVal&lt;&gt;"",_xlpm.CSVVal
)),"")</f>
        <v/>
      </c>
      <c r="K448" s="40" t="str" cm="1">
        <f t="array" ref="K448">IFERROR(_xlfn.LET(
_xlpm.CSVVal,_xlfn.XLOOKUP($A448,CSV!$A:$A,CSV!K:K,""),
_xlpm.MacVal,_xlfn.XLOOKUP($A448,Output_Mac!$A:$A,Output_Mac!K:K,""),
_xlpm.MyAuditVal,_xlfn.XLOOKUP($A448,My_Audit!$A:$A,My_Audit!J:J,""),
_xlfn.IFS(_xlpm.MyAuditVal&lt;&gt;"",UPPER(_xlpm.MyAuditVal),_xlpm.MacVal&lt;&gt;"",_xlpm.MacVal,_xlpm.CSVVal&lt;&gt;"",_xlpm.CSVVal
)),"")</f>
        <v/>
      </c>
      <c r="L448" s="40" t="str" cm="1">
        <f t="array" ref="L448">IFERROR(_xlfn.LET(
_xlpm.CSVVal,_xlfn.XLOOKUP($A448,CSV!$A:$A,CSV!P:P,""),
_xlpm.MacVal,_xlfn.XLOOKUP($A448,Output_Mac!$A:$A,Output_Mac!L:L,""),
_xlpm.MyAuditVal,_xlfn.XLOOKUP($A448,My_Audit!$A:$A,My_Audit!K:K,""),
_xlfn.IFS(_xlpm.MyAuditVal&lt;&gt;"",UPPER(_xlpm.MyAuditVal),_xlpm.MacVal&lt;&gt;"",_xlpm.MacVal,_xlpm.CSVVal&lt;&gt;"",_xlpm.CSVVal
)),"")</f>
        <v/>
      </c>
      <c r="M448" s="40" t="str" cm="1">
        <f t="array" ref="M448">IFERROR(_xlfn.LET(
_xlpm.CSVVal,_xlfn.XLOOKUP($A448,CSV!$A:$A,CSV!Q:Q,""),
_xlpm.MacVal,_xlfn.XLOOKUP($A448,Output_Mac!$A:$A,Output_Mac!M:M,""),
_xlpm.MyAuditVal,_xlfn.XLOOKUP($A448,My_Audit!$A:$A,My_Audit!L:L,""),
_xlfn.IFS(_xlpm.MyAuditVal&lt;&gt;"",UPPER(_xlpm.MyAuditVal),_xlpm.MacVal&lt;&gt;"",_xlpm.MacVal,_xlpm.CSVVal&lt;&gt;"",_xlpm.CSVVal
)),"")</f>
        <v/>
      </c>
      <c r="N448" s="40"/>
      <c r="O448" s="40" t="str">
        <f>_xlfn.LET(
    _xlpm.CSVVal, _xlfn.XLOOKUP($A448, CSV!$A:$A, CSV!AA:AA, ""),
    _xlpm.MacVal, _xlfn.XLOOKUP($A448, Output_Mac!$A:$A, Output_Mac!S:S, ""),
    _xlpm.MyAuditVal, _xlfn.XLOOKUP($A448, My_Audit!$A:$A, My_Audit!P:P, ""),
    _xlfn.TEXTJOIN(", ", TRUE, _xlpm.MyAuditVal, _xlpm.MacVal, _xlpm.CSVVal)
)</f>
        <v/>
      </c>
      <c r="P448" s="40" t="str" cm="1">
        <f t="array" ref="P448">IFERROR(_xlfn.LET(
_xlpm.CSVVal,_xlfn.XLOOKUP($A448,CSV!$A:$A,CSV!AB:AB,""),
_xlpm.MacVal,_xlfn.XLOOKUP($A448,Output_Mac!$A:$A,Output_Mac!T:T,""),
_xlpm.MyAuditVal,_xlfn.XLOOKUP($A448,My_Audit!$A:$A,My_Audit!Q:Q,""),
_xlfn.IFS(_xlpm.MyAuditVal&lt;&gt;"",UPPER(_xlpm.MyAuditVal),_xlpm.MacVal&lt;&gt;"",_xlpm.MacVal,_xlpm.CSVVal&lt;&gt;"",_xlpm.CSVVal
)),"No")</f>
        <v>No</v>
      </c>
      <c r="Q448" s="40" t="str" cm="1">
        <f t="array" ref="Q448">IFERROR(_xlfn.LET(
_xlpm.CSVVal,_xlfn.XLOOKUP($A448,CSV!$A:$A,CSV!AC:AC,""),
_xlpm.MacVal,_xlfn.XLOOKUP($A448,Output_Mac!$A:$A,Output_Mac!U:U,""),
_xlpm.MyAuditVal,_xlfn.XLOOKUP($A448,My_Audit!$A:$A,My_Audit!R:R,""),
_xlfn.IFS(_xlpm.MyAuditVal&lt;&gt;"",UPPER(_xlpm.MyAuditVal),_xlpm.MacVal&lt;&gt;"",_xlpm.MacVal,_xlpm.CSVVal&lt;&gt;"",_xlpm.CSVVal
)),"")</f>
        <v/>
      </c>
      <c r="R448" s="40"/>
      <c r="S448" s="40"/>
      <c r="T448" s="40"/>
      <c r="U448" s="40"/>
      <c r="V448" s="40"/>
      <c r="W448" s="40"/>
      <c r="X448" s="41" t="str">
        <f>_xlfn.LET(
    _xlpm.MacVal, _xlfn.XLOOKUP($A448, Output_Mac!$A:$A, Output_Mac!AB:AB, ""),
    _xlpm.MyAuditVal, _xlfn.XLOOKUP($A448, My_Audit!$A:$A, My_Audit!N:N, ""),
    _xlfn.TEXTJOIN(", ", TRUE, _xlpm.MyAuditVal, _xlpm.MacVal)
)</f>
        <v/>
      </c>
    </row>
    <row r="449" spans="1:24">
      <c r="A449" s="40" t="str">
        <f>_xlfn.TEXTJOIN("",TRUE,Input!$B$2,ROW(My_Audit!A448))</f>
        <v>X448</v>
      </c>
      <c r="B449" s="40" t="str">
        <f>_xlfn.TEXTJOIN("-",TRUE,"ITD",Input!$A$2,A449)</f>
        <v>ITD-X448</v>
      </c>
      <c r="C449" s="40" t="str" cm="1">
        <f t="array" ref="C449">IFERROR(_xlfn.LET(
_xlpm.CSVVal,_xlfn.XLOOKUP($A449,CSV!$A:$A,CSV!B:B,""),
_xlpm.MacVal,_xlfn.XLOOKUP($A449,Output_Mac!$A:$A,Output_Mac!B:B,""),
_xlpm.MyAuditVal,_xlfn.XLOOKUP($A449,My_Audit!$A:$A,My_Audit!B:B,""),
_xlfn.IFS(_xlpm.MyAuditVal&lt;&gt;"",UPPER(_xlpm.MyAuditVal),_xlpm.MacVal&lt;&gt;"",_xlpm.MacVal,_xlpm.CSVVal&lt;&gt;"",_xlpm.CSVVal
)),"")</f>
        <v/>
      </c>
      <c r="D449" s="40" t="str" cm="1">
        <f t="array" ref="D449">IFERROR(_xlfn.LET(
_xlpm.CSVVal,_xlfn.XLOOKUP($A449,CSV!$A:$A,CSV!D:D,""),
_xlpm.MacVal,_xlfn.XLOOKUP($A449,Output_Mac!$A:$A,Output_Mac!C:C,""),
_xlpm.MyAuditVal,_xlfn.XLOOKUP($A449,My_Audit!$A:$A,My_Audit!C:C,""),
_xlfn.IFS(_xlpm.MyAuditVal&lt;&gt;"",_xlpm.MyAuditVal,_xlpm.MacVal&lt;&gt;"",_xlpm.MacVal,_xlpm.CSVVal&lt;&gt;"",_xlpm.CSVVal
)),"")</f>
        <v/>
      </c>
      <c r="E449" s="40">
        <f>_xlfn.XLOOKUP(A449,My_Audit!A:A,My_Audit!D:D,"")</f>
        <v>0</v>
      </c>
      <c r="F449" s="40" t="str" cm="1">
        <f t="array" ref="F449">IFERROR(_xlfn.LET(
_xlpm.CSVVal,_xlfn.XLOOKUP($A449,CSV!$A:$A,CSV!F:F,""),
_xlpm.MacVal,_xlfn.XLOOKUP($A449,Output_Mac!$A:$A,Output_Mac!E:E,""),
_xlpm.MyAuditVal,_xlfn.XLOOKUP($A449,My_Audit!$A:$A,My_Audit!E:E,""),
_xlfn.IFS(_xlpm.MyAuditVal&lt;&gt;"",_xlpm.MyAuditVal,_xlpm.MacVal&lt;&gt;"",_xlpm.MacVal,_xlpm.CSVVal&lt;&gt;"",_xlpm.CSVVal
)),"")</f>
        <v/>
      </c>
      <c r="G449" s="40" t="str" cm="1">
        <f t="array" ref="G449">IFERROR(_xlfn.LET(
_xlpm.CSVVal,_xlfn.XLOOKUP($A449,CSV!$A:$A,CSV!G:G,""),
_xlpm.MacVal,_xlfn.XLOOKUP($A449,Output_Mac!$A:$A,Output_Mac!F:F,""),
_xlpm.MyAuditVal,_xlfn.XLOOKUP($A449,My_Audit!$A:$A,My_Audit!F:F,""),
_xlfn.IFS(_xlpm.MyAuditVal&lt;&gt;"",_xlpm.MyAuditVal,_xlpm.MacVal&lt;&gt;"",_xlpm.MacVal,_xlpm.CSVVal&lt;&gt;"",PROPER(_xlpm.CSVVal)
)),"")</f>
        <v/>
      </c>
      <c r="H449" s="40" t="str" cm="1">
        <f t="array" ref="H449">IFERROR(_xlfn.LET(
_xlpm.CSVVal,_xlfn.XLOOKUP($A449,CSV!$A:$A,CSV!H:H,""),
_xlpm.MacVal,_xlfn.XLOOKUP($A449,Output_Mac!$A:$A,Output_Mac!H:H,""),
_xlpm.MyAuditVal,_xlfn.XLOOKUP($A449,My_Audit!$A:$A,My_Audit!G:G,""),
_xlfn.IFS(_xlpm.MyAuditVal&lt;&gt;"",_xlpm.MyAuditVal,_xlpm.MacVal&lt;&gt;"",_xlpm.MacVal,_xlpm.CSVVal&lt;&gt;"",_xlpm.CSVVal
)),"")</f>
        <v/>
      </c>
      <c r="I449" s="40" t="str">
        <f>_xlfn.XLOOKUP(A449,Output_Mac!A:A,Output_Mac!I:I,"")</f>
        <v/>
      </c>
      <c r="J449" s="40" t="str" cm="1">
        <f t="array" ref="J449">IFERROR(_xlfn.LET(
_xlpm.CSVVal,_xlfn.XLOOKUP($A449,CSV!$A:$A,CSV!I:I,""),
_xlpm.MacVal,_xlfn.XLOOKUP($A449,Output_Mac!$A:$A,Output_Mac!J:J,""),
_xlpm.MyAuditVal,_xlfn.XLOOKUP($A449,My_Audit!$A:$A,My_Audit!I:I,""),
_xlfn.IFS(_xlpm.MyAuditVal&lt;&gt;"",UPPER(_xlpm.MyAuditVal),_xlpm.MacVal&lt;&gt;"",_xlpm.MacVal,_xlpm.CSVVal&lt;&gt;"",_xlpm.CSVVal
)),"")</f>
        <v/>
      </c>
      <c r="K449" s="40" t="str" cm="1">
        <f t="array" ref="K449">IFERROR(_xlfn.LET(
_xlpm.CSVVal,_xlfn.XLOOKUP($A449,CSV!$A:$A,CSV!K:K,""),
_xlpm.MacVal,_xlfn.XLOOKUP($A449,Output_Mac!$A:$A,Output_Mac!K:K,""),
_xlpm.MyAuditVal,_xlfn.XLOOKUP($A449,My_Audit!$A:$A,My_Audit!J:J,""),
_xlfn.IFS(_xlpm.MyAuditVal&lt;&gt;"",UPPER(_xlpm.MyAuditVal),_xlpm.MacVal&lt;&gt;"",_xlpm.MacVal,_xlpm.CSVVal&lt;&gt;"",_xlpm.CSVVal
)),"")</f>
        <v/>
      </c>
      <c r="L449" s="40" t="str" cm="1">
        <f t="array" ref="L449">IFERROR(_xlfn.LET(
_xlpm.CSVVal,_xlfn.XLOOKUP($A449,CSV!$A:$A,CSV!P:P,""),
_xlpm.MacVal,_xlfn.XLOOKUP($A449,Output_Mac!$A:$A,Output_Mac!L:L,""),
_xlpm.MyAuditVal,_xlfn.XLOOKUP($A449,My_Audit!$A:$A,My_Audit!K:K,""),
_xlfn.IFS(_xlpm.MyAuditVal&lt;&gt;"",UPPER(_xlpm.MyAuditVal),_xlpm.MacVal&lt;&gt;"",_xlpm.MacVal,_xlpm.CSVVal&lt;&gt;"",_xlpm.CSVVal
)),"")</f>
        <v/>
      </c>
      <c r="M449" s="40" t="str" cm="1">
        <f t="array" ref="M449">IFERROR(_xlfn.LET(
_xlpm.CSVVal,_xlfn.XLOOKUP($A449,CSV!$A:$A,CSV!Q:Q,""),
_xlpm.MacVal,_xlfn.XLOOKUP($A449,Output_Mac!$A:$A,Output_Mac!M:M,""),
_xlpm.MyAuditVal,_xlfn.XLOOKUP($A449,My_Audit!$A:$A,My_Audit!L:L,""),
_xlfn.IFS(_xlpm.MyAuditVal&lt;&gt;"",UPPER(_xlpm.MyAuditVal),_xlpm.MacVal&lt;&gt;"",_xlpm.MacVal,_xlpm.CSVVal&lt;&gt;"",_xlpm.CSVVal
)),"")</f>
        <v/>
      </c>
      <c r="N449" s="40"/>
      <c r="O449" s="40" t="str">
        <f>_xlfn.LET(
    _xlpm.CSVVal, _xlfn.XLOOKUP($A449, CSV!$A:$A, CSV!AA:AA, ""),
    _xlpm.MacVal, _xlfn.XLOOKUP($A449, Output_Mac!$A:$A, Output_Mac!S:S, ""),
    _xlpm.MyAuditVal, _xlfn.XLOOKUP($A449, My_Audit!$A:$A, My_Audit!P:P, ""),
    _xlfn.TEXTJOIN(", ", TRUE, _xlpm.MyAuditVal, _xlpm.MacVal, _xlpm.CSVVal)
)</f>
        <v/>
      </c>
      <c r="P449" s="40" t="str" cm="1">
        <f t="array" ref="P449">IFERROR(_xlfn.LET(
_xlpm.CSVVal,_xlfn.XLOOKUP($A449,CSV!$A:$A,CSV!AB:AB,""),
_xlpm.MacVal,_xlfn.XLOOKUP($A449,Output_Mac!$A:$A,Output_Mac!T:T,""),
_xlpm.MyAuditVal,_xlfn.XLOOKUP($A449,My_Audit!$A:$A,My_Audit!Q:Q,""),
_xlfn.IFS(_xlpm.MyAuditVal&lt;&gt;"",UPPER(_xlpm.MyAuditVal),_xlpm.MacVal&lt;&gt;"",_xlpm.MacVal,_xlpm.CSVVal&lt;&gt;"",_xlpm.CSVVal
)),"No")</f>
        <v>No</v>
      </c>
      <c r="Q449" s="40" t="str" cm="1">
        <f t="array" ref="Q449">IFERROR(_xlfn.LET(
_xlpm.CSVVal,_xlfn.XLOOKUP($A449,CSV!$A:$A,CSV!AC:AC,""),
_xlpm.MacVal,_xlfn.XLOOKUP($A449,Output_Mac!$A:$A,Output_Mac!U:U,""),
_xlpm.MyAuditVal,_xlfn.XLOOKUP($A449,My_Audit!$A:$A,My_Audit!R:R,""),
_xlfn.IFS(_xlpm.MyAuditVal&lt;&gt;"",UPPER(_xlpm.MyAuditVal),_xlpm.MacVal&lt;&gt;"",_xlpm.MacVal,_xlpm.CSVVal&lt;&gt;"",_xlpm.CSVVal
)),"")</f>
        <v/>
      </c>
      <c r="R449" s="40"/>
      <c r="S449" s="40"/>
      <c r="T449" s="40"/>
      <c r="U449" s="40"/>
      <c r="V449" s="40"/>
      <c r="W449" s="40"/>
      <c r="X449" s="41" t="str">
        <f>_xlfn.LET(
    _xlpm.MacVal, _xlfn.XLOOKUP($A449, Output_Mac!$A:$A, Output_Mac!AB:AB, ""),
    _xlpm.MyAuditVal, _xlfn.XLOOKUP($A449, My_Audit!$A:$A, My_Audit!N:N, ""),
    _xlfn.TEXTJOIN(", ", TRUE, _xlpm.MyAuditVal, _xlpm.MacVal)
)</f>
        <v/>
      </c>
    </row>
    <row r="450" spans="1:24">
      <c r="A450" s="40" t="str">
        <f>_xlfn.TEXTJOIN("",TRUE,Input!$B$2,ROW(My_Audit!A449))</f>
        <v>X449</v>
      </c>
      <c r="B450" s="40" t="str">
        <f>_xlfn.TEXTJOIN("-",TRUE,"ITD",Input!$A$2,A450)</f>
        <v>ITD-X449</v>
      </c>
      <c r="C450" s="40" t="str" cm="1">
        <f t="array" ref="C450">IFERROR(_xlfn.LET(
_xlpm.CSVVal,_xlfn.XLOOKUP($A450,CSV!$A:$A,CSV!B:B,""),
_xlpm.MacVal,_xlfn.XLOOKUP($A450,Output_Mac!$A:$A,Output_Mac!B:B,""),
_xlpm.MyAuditVal,_xlfn.XLOOKUP($A450,My_Audit!$A:$A,My_Audit!B:B,""),
_xlfn.IFS(_xlpm.MyAuditVal&lt;&gt;"",UPPER(_xlpm.MyAuditVal),_xlpm.MacVal&lt;&gt;"",_xlpm.MacVal,_xlpm.CSVVal&lt;&gt;"",_xlpm.CSVVal
)),"")</f>
        <v/>
      </c>
      <c r="D450" s="40" t="str" cm="1">
        <f t="array" ref="D450">IFERROR(_xlfn.LET(
_xlpm.CSVVal,_xlfn.XLOOKUP($A450,CSV!$A:$A,CSV!D:D,""),
_xlpm.MacVal,_xlfn.XLOOKUP($A450,Output_Mac!$A:$A,Output_Mac!C:C,""),
_xlpm.MyAuditVal,_xlfn.XLOOKUP($A450,My_Audit!$A:$A,My_Audit!C:C,""),
_xlfn.IFS(_xlpm.MyAuditVal&lt;&gt;"",_xlpm.MyAuditVal,_xlpm.MacVal&lt;&gt;"",_xlpm.MacVal,_xlpm.CSVVal&lt;&gt;"",_xlpm.CSVVal
)),"")</f>
        <v/>
      </c>
      <c r="E450" s="40">
        <f>_xlfn.XLOOKUP(A450,My_Audit!A:A,My_Audit!D:D,"")</f>
        <v>0</v>
      </c>
      <c r="F450" s="40" t="str" cm="1">
        <f t="array" ref="F450">IFERROR(_xlfn.LET(
_xlpm.CSVVal,_xlfn.XLOOKUP($A450,CSV!$A:$A,CSV!F:F,""),
_xlpm.MacVal,_xlfn.XLOOKUP($A450,Output_Mac!$A:$A,Output_Mac!E:E,""),
_xlpm.MyAuditVal,_xlfn.XLOOKUP($A450,My_Audit!$A:$A,My_Audit!E:E,""),
_xlfn.IFS(_xlpm.MyAuditVal&lt;&gt;"",_xlpm.MyAuditVal,_xlpm.MacVal&lt;&gt;"",_xlpm.MacVal,_xlpm.CSVVal&lt;&gt;"",_xlpm.CSVVal
)),"")</f>
        <v/>
      </c>
      <c r="G450" s="40" t="str" cm="1">
        <f t="array" ref="G450">IFERROR(_xlfn.LET(
_xlpm.CSVVal,_xlfn.XLOOKUP($A450,CSV!$A:$A,CSV!G:G,""),
_xlpm.MacVal,_xlfn.XLOOKUP($A450,Output_Mac!$A:$A,Output_Mac!F:F,""),
_xlpm.MyAuditVal,_xlfn.XLOOKUP($A450,My_Audit!$A:$A,My_Audit!F:F,""),
_xlfn.IFS(_xlpm.MyAuditVal&lt;&gt;"",_xlpm.MyAuditVal,_xlpm.MacVal&lt;&gt;"",_xlpm.MacVal,_xlpm.CSVVal&lt;&gt;"",PROPER(_xlpm.CSVVal)
)),"")</f>
        <v/>
      </c>
      <c r="H450" s="40" t="str" cm="1">
        <f t="array" ref="H450">IFERROR(_xlfn.LET(
_xlpm.CSVVal,_xlfn.XLOOKUP($A450,CSV!$A:$A,CSV!H:H,""),
_xlpm.MacVal,_xlfn.XLOOKUP($A450,Output_Mac!$A:$A,Output_Mac!H:H,""),
_xlpm.MyAuditVal,_xlfn.XLOOKUP($A450,My_Audit!$A:$A,My_Audit!G:G,""),
_xlfn.IFS(_xlpm.MyAuditVal&lt;&gt;"",_xlpm.MyAuditVal,_xlpm.MacVal&lt;&gt;"",_xlpm.MacVal,_xlpm.CSVVal&lt;&gt;"",_xlpm.CSVVal
)),"")</f>
        <v/>
      </c>
      <c r="I450" s="40" t="str">
        <f>_xlfn.XLOOKUP(A450,Output_Mac!A:A,Output_Mac!I:I,"")</f>
        <v/>
      </c>
      <c r="J450" s="40" t="str" cm="1">
        <f t="array" ref="J450">IFERROR(_xlfn.LET(
_xlpm.CSVVal,_xlfn.XLOOKUP($A450,CSV!$A:$A,CSV!I:I,""),
_xlpm.MacVal,_xlfn.XLOOKUP($A450,Output_Mac!$A:$A,Output_Mac!J:J,""),
_xlpm.MyAuditVal,_xlfn.XLOOKUP($A450,My_Audit!$A:$A,My_Audit!I:I,""),
_xlfn.IFS(_xlpm.MyAuditVal&lt;&gt;"",UPPER(_xlpm.MyAuditVal),_xlpm.MacVal&lt;&gt;"",_xlpm.MacVal,_xlpm.CSVVal&lt;&gt;"",_xlpm.CSVVal
)),"")</f>
        <v/>
      </c>
      <c r="K450" s="40" t="str" cm="1">
        <f t="array" ref="K450">IFERROR(_xlfn.LET(
_xlpm.CSVVal,_xlfn.XLOOKUP($A450,CSV!$A:$A,CSV!K:K,""),
_xlpm.MacVal,_xlfn.XLOOKUP($A450,Output_Mac!$A:$A,Output_Mac!K:K,""),
_xlpm.MyAuditVal,_xlfn.XLOOKUP($A450,My_Audit!$A:$A,My_Audit!J:J,""),
_xlfn.IFS(_xlpm.MyAuditVal&lt;&gt;"",UPPER(_xlpm.MyAuditVal),_xlpm.MacVal&lt;&gt;"",_xlpm.MacVal,_xlpm.CSVVal&lt;&gt;"",_xlpm.CSVVal
)),"")</f>
        <v/>
      </c>
      <c r="L450" s="40" t="str" cm="1">
        <f t="array" ref="L450">IFERROR(_xlfn.LET(
_xlpm.CSVVal,_xlfn.XLOOKUP($A450,CSV!$A:$A,CSV!P:P,""),
_xlpm.MacVal,_xlfn.XLOOKUP($A450,Output_Mac!$A:$A,Output_Mac!L:L,""),
_xlpm.MyAuditVal,_xlfn.XLOOKUP($A450,My_Audit!$A:$A,My_Audit!K:K,""),
_xlfn.IFS(_xlpm.MyAuditVal&lt;&gt;"",UPPER(_xlpm.MyAuditVal),_xlpm.MacVal&lt;&gt;"",_xlpm.MacVal,_xlpm.CSVVal&lt;&gt;"",_xlpm.CSVVal
)),"")</f>
        <v/>
      </c>
      <c r="M450" s="40" t="str" cm="1">
        <f t="array" ref="M450">IFERROR(_xlfn.LET(
_xlpm.CSVVal,_xlfn.XLOOKUP($A450,CSV!$A:$A,CSV!Q:Q,""),
_xlpm.MacVal,_xlfn.XLOOKUP($A450,Output_Mac!$A:$A,Output_Mac!M:M,""),
_xlpm.MyAuditVal,_xlfn.XLOOKUP($A450,My_Audit!$A:$A,My_Audit!L:L,""),
_xlfn.IFS(_xlpm.MyAuditVal&lt;&gt;"",UPPER(_xlpm.MyAuditVal),_xlpm.MacVal&lt;&gt;"",_xlpm.MacVal,_xlpm.CSVVal&lt;&gt;"",_xlpm.CSVVal
)),"")</f>
        <v/>
      </c>
      <c r="N450" s="40"/>
      <c r="O450" s="40" t="str">
        <f>_xlfn.LET(
    _xlpm.CSVVal, _xlfn.XLOOKUP($A450, CSV!$A:$A, CSV!AA:AA, ""),
    _xlpm.MacVal, _xlfn.XLOOKUP($A450, Output_Mac!$A:$A, Output_Mac!S:S, ""),
    _xlpm.MyAuditVal, _xlfn.XLOOKUP($A450, My_Audit!$A:$A, My_Audit!P:P, ""),
    _xlfn.TEXTJOIN(", ", TRUE, _xlpm.MyAuditVal, _xlpm.MacVal, _xlpm.CSVVal)
)</f>
        <v/>
      </c>
      <c r="P450" s="40" t="str" cm="1">
        <f t="array" ref="P450">IFERROR(_xlfn.LET(
_xlpm.CSVVal,_xlfn.XLOOKUP($A450,CSV!$A:$A,CSV!AB:AB,""),
_xlpm.MacVal,_xlfn.XLOOKUP($A450,Output_Mac!$A:$A,Output_Mac!T:T,""),
_xlpm.MyAuditVal,_xlfn.XLOOKUP($A450,My_Audit!$A:$A,My_Audit!Q:Q,""),
_xlfn.IFS(_xlpm.MyAuditVal&lt;&gt;"",UPPER(_xlpm.MyAuditVal),_xlpm.MacVal&lt;&gt;"",_xlpm.MacVal,_xlpm.CSVVal&lt;&gt;"",_xlpm.CSVVal
)),"No")</f>
        <v>No</v>
      </c>
      <c r="Q450" s="40" t="str" cm="1">
        <f t="array" ref="Q450">IFERROR(_xlfn.LET(
_xlpm.CSVVal,_xlfn.XLOOKUP($A450,CSV!$A:$A,CSV!AC:AC,""),
_xlpm.MacVal,_xlfn.XLOOKUP($A450,Output_Mac!$A:$A,Output_Mac!U:U,""),
_xlpm.MyAuditVal,_xlfn.XLOOKUP($A450,My_Audit!$A:$A,My_Audit!R:R,""),
_xlfn.IFS(_xlpm.MyAuditVal&lt;&gt;"",UPPER(_xlpm.MyAuditVal),_xlpm.MacVal&lt;&gt;"",_xlpm.MacVal,_xlpm.CSVVal&lt;&gt;"",_xlpm.CSVVal
)),"")</f>
        <v/>
      </c>
      <c r="R450" s="40"/>
      <c r="S450" s="40"/>
      <c r="T450" s="40"/>
      <c r="U450" s="40"/>
      <c r="V450" s="40"/>
      <c r="W450" s="40"/>
      <c r="X450" s="41" t="str">
        <f>_xlfn.LET(
    _xlpm.MacVal, _xlfn.XLOOKUP($A450, Output_Mac!$A:$A, Output_Mac!AB:AB, ""),
    _xlpm.MyAuditVal, _xlfn.XLOOKUP($A450, My_Audit!$A:$A, My_Audit!N:N, ""),
    _xlfn.TEXTJOIN(", ", TRUE, _xlpm.MyAuditVal, _xlpm.MacVal)
)</f>
        <v/>
      </c>
    </row>
    <row r="451" spans="1:24">
      <c r="A451" s="40" t="str">
        <f>_xlfn.TEXTJOIN("",TRUE,Input!$B$2,ROW(My_Audit!A450))</f>
        <v>X450</v>
      </c>
      <c r="B451" s="40" t="str">
        <f>_xlfn.TEXTJOIN("-",TRUE,"ITD",Input!$A$2,A451)</f>
        <v>ITD-X450</v>
      </c>
      <c r="C451" s="40" t="str" cm="1">
        <f t="array" ref="C451">IFERROR(_xlfn.LET(
_xlpm.CSVVal,_xlfn.XLOOKUP($A451,CSV!$A:$A,CSV!B:B,""),
_xlpm.MacVal,_xlfn.XLOOKUP($A451,Output_Mac!$A:$A,Output_Mac!B:B,""),
_xlpm.MyAuditVal,_xlfn.XLOOKUP($A451,My_Audit!$A:$A,My_Audit!B:B,""),
_xlfn.IFS(_xlpm.MyAuditVal&lt;&gt;"",UPPER(_xlpm.MyAuditVal),_xlpm.MacVal&lt;&gt;"",_xlpm.MacVal,_xlpm.CSVVal&lt;&gt;"",_xlpm.CSVVal
)),"")</f>
        <v/>
      </c>
      <c r="D451" s="40" t="str" cm="1">
        <f t="array" ref="D451">IFERROR(_xlfn.LET(
_xlpm.CSVVal,_xlfn.XLOOKUP($A451,CSV!$A:$A,CSV!D:D,""),
_xlpm.MacVal,_xlfn.XLOOKUP($A451,Output_Mac!$A:$A,Output_Mac!C:C,""),
_xlpm.MyAuditVal,_xlfn.XLOOKUP($A451,My_Audit!$A:$A,My_Audit!C:C,""),
_xlfn.IFS(_xlpm.MyAuditVal&lt;&gt;"",_xlpm.MyAuditVal,_xlpm.MacVal&lt;&gt;"",_xlpm.MacVal,_xlpm.CSVVal&lt;&gt;"",_xlpm.CSVVal
)),"")</f>
        <v/>
      </c>
      <c r="E451" s="40">
        <f>_xlfn.XLOOKUP(A451,My_Audit!A:A,My_Audit!D:D,"")</f>
        <v>0</v>
      </c>
      <c r="F451" s="40" t="str" cm="1">
        <f t="array" ref="F451">IFERROR(_xlfn.LET(
_xlpm.CSVVal,_xlfn.XLOOKUP($A451,CSV!$A:$A,CSV!F:F,""),
_xlpm.MacVal,_xlfn.XLOOKUP($A451,Output_Mac!$A:$A,Output_Mac!E:E,""),
_xlpm.MyAuditVal,_xlfn.XLOOKUP($A451,My_Audit!$A:$A,My_Audit!E:E,""),
_xlfn.IFS(_xlpm.MyAuditVal&lt;&gt;"",_xlpm.MyAuditVal,_xlpm.MacVal&lt;&gt;"",_xlpm.MacVal,_xlpm.CSVVal&lt;&gt;"",_xlpm.CSVVal
)),"")</f>
        <v/>
      </c>
      <c r="G451" s="40" t="str" cm="1">
        <f t="array" ref="G451">IFERROR(_xlfn.LET(
_xlpm.CSVVal,_xlfn.XLOOKUP($A451,CSV!$A:$A,CSV!G:G,""),
_xlpm.MacVal,_xlfn.XLOOKUP($A451,Output_Mac!$A:$A,Output_Mac!F:F,""),
_xlpm.MyAuditVal,_xlfn.XLOOKUP($A451,My_Audit!$A:$A,My_Audit!F:F,""),
_xlfn.IFS(_xlpm.MyAuditVal&lt;&gt;"",_xlpm.MyAuditVal,_xlpm.MacVal&lt;&gt;"",_xlpm.MacVal,_xlpm.CSVVal&lt;&gt;"",PROPER(_xlpm.CSVVal)
)),"")</f>
        <v/>
      </c>
      <c r="H451" s="40" t="str" cm="1">
        <f t="array" ref="H451">IFERROR(_xlfn.LET(
_xlpm.CSVVal,_xlfn.XLOOKUP($A451,CSV!$A:$A,CSV!H:H,""),
_xlpm.MacVal,_xlfn.XLOOKUP($A451,Output_Mac!$A:$A,Output_Mac!H:H,""),
_xlpm.MyAuditVal,_xlfn.XLOOKUP($A451,My_Audit!$A:$A,My_Audit!G:G,""),
_xlfn.IFS(_xlpm.MyAuditVal&lt;&gt;"",_xlpm.MyAuditVal,_xlpm.MacVal&lt;&gt;"",_xlpm.MacVal,_xlpm.CSVVal&lt;&gt;"",_xlpm.CSVVal
)),"")</f>
        <v/>
      </c>
      <c r="I451" s="40" t="str">
        <f>_xlfn.XLOOKUP(A451,Output_Mac!A:A,Output_Mac!I:I,"")</f>
        <v/>
      </c>
      <c r="J451" s="40" t="str" cm="1">
        <f t="array" ref="J451">IFERROR(_xlfn.LET(
_xlpm.CSVVal,_xlfn.XLOOKUP($A451,CSV!$A:$A,CSV!I:I,""),
_xlpm.MacVal,_xlfn.XLOOKUP($A451,Output_Mac!$A:$A,Output_Mac!J:J,""),
_xlpm.MyAuditVal,_xlfn.XLOOKUP($A451,My_Audit!$A:$A,My_Audit!I:I,""),
_xlfn.IFS(_xlpm.MyAuditVal&lt;&gt;"",UPPER(_xlpm.MyAuditVal),_xlpm.MacVal&lt;&gt;"",_xlpm.MacVal,_xlpm.CSVVal&lt;&gt;"",_xlpm.CSVVal
)),"")</f>
        <v/>
      </c>
      <c r="K451" s="40" t="str" cm="1">
        <f t="array" ref="K451">IFERROR(_xlfn.LET(
_xlpm.CSVVal,_xlfn.XLOOKUP($A451,CSV!$A:$A,CSV!K:K,""),
_xlpm.MacVal,_xlfn.XLOOKUP($A451,Output_Mac!$A:$A,Output_Mac!K:K,""),
_xlpm.MyAuditVal,_xlfn.XLOOKUP($A451,My_Audit!$A:$A,My_Audit!J:J,""),
_xlfn.IFS(_xlpm.MyAuditVal&lt;&gt;"",UPPER(_xlpm.MyAuditVal),_xlpm.MacVal&lt;&gt;"",_xlpm.MacVal,_xlpm.CSVVal&lt;&gt;"",_xlpm.CSVVal
)),"")</f>
        <v/>
      </c>
      <c r="L451" s="40" t="str" cm="1">
        <f t="array" ref="L451">IFERROR(_xlfn.LET(
_xlpm.CSVVal,_xlfn.XLOOKUP($A451,CSV!$A:$A,CSV!P:P,""),
_xlpm.MacVal,_xlfn.XLOOKUP($A451,Output_Mac!$A:$A,Output_Mac!L:L,""),
_xlpm.MyAuditVal,_xlfn.XLOOKUP($A451,My_Audit!$A:$A,My_Audit!K:K,""),
_xlfn.IFS(_xlpm.MyAuditVal&lt;&gt;"",UPPER(_xlpm.MyAuditVal),_xlpm.MacVal&lt;&gt;"",_xlpm.MacVal,_xlpm.CSVVal&lt;&gt;"",_xlpm.CSVVal
)),"")</f>
        <v/>
      </c>
      <c r="M451" s="40" t="str" cm="1">
        <f t="array" ref="M451">IFERROR(_xlfn.LET(
_xlpm.CSVVal,_xlfn.XLOOKUP($A451,CSV!$A:$A,CSV!Q:Q,""),
_xlpm.MacVal,_xlfn.XLOOKUP($A451,Output_Mac!$A:$A,Output_Mac!M:M,""),
_xlpm.MyAuditVal,_xlfn.XLOOKUP($A451,My_Audit!$A:$A,My_Audit!L:L,""),
_xlfn.IFS(_xlpm.MyAuditVal&lt;&gt;"",UPPER(_xlpm.MyAuditVal),_xlpm.MacVal&lt;&gt;"",_xlpm.MacVal,_xlpm.CSVVal&lt;&gt;"",_xlpm.CSVVal
)),"")</f>
        <v/>
      </c>
      <c r="N451" s="40"/>
      <c r="O451" s="40" t="str">
        <f>_xlfn.LET(
    _xlpm.CSVVal, _xlfn.XLOOKUP($A451, CSV!$A:$A, CSV!AA:AA, ""),
    _xlpm.MacVal, _xlfn.XLOOKUP($A451, Output_Mac!$A:$A, Output_Mac!S:S, ""),
    _xlpm.MyAuditVal, _xlfn.XLOOKUP($A451, My_Audit!$A:$A, My_Audit!P:P, ""),
    _xlfn.TEXTJOIN(", ", TRUE, _xlpm.MyAuditVal, _xlpm.MacVal, _xlpm.CSVVal)
)</f>
        <v/>
      </c>
      <c r="P451" s="40" t="str" cm="1">
        <f t="array" ref="P451">IFERROR(_xlfn.LET(
_xlpm.CSVVal,_xlfn.XLOOKUP($A451,CSV!$A:$A,CSV!AB:AB,""),
_xlpm.MacVal,_xlfn.XLOOKUP($A451,Output_Mac!$A:$A,Output_Mac!T:T,""),
_xlpm.MyAuditVal,_xlfn.XLOOKUP($A451,My_Audit!$A:$A,My_Audit!Q:Q,""),
_xlfn.IFS(_xlpm.MyAuditVal&lt;&gt;"",UPPER(_xlpm.MyAuditVal),_xlpm.MacVal&lt;&gt;"",_xlpm.MacVal,_xlpm.CSVVal&lt;&gt;"",_xlpm.CSVVal
)),"No")</f>
        <v>No</v>
      </c>
      <c r="Q451" s="40" t="str" cm="1">
        <f t="array" ref="Q451">IFERROR(_xlfn.LET(
_xlpm.CSVVal,_xlfn.XLOOKUP($A451,CSV!$A:$A,CSV!AC:AC,""),
_xlpm.MacVal,_xlfn.XLOOKUP($A451,Output_Mac!$A:$A,Output_Mac!U:U,""),
_xlpm.MyAuditVal,_xlfn.XLOOKUP($A451,My_Audit!$A:$A,My_Audit!R:R,""),
_xlfn.IFS(_xlpm.MyAuditVal&lt;&gt;"",UPPER(_xlpm.MyAuditVal),_xlpm.MacVal&lt;&gt;"",_xlpm.MacVal,_xlpm.CSVVal&lt;&gt;"",_xlpm.CSVVal
)),"")</f>
        <v/>
      </c>
      <c r="R451" s="40"/>
      <c r="S451" s="40"/>
      <c r="T451" s="40"/>
      <c r="U451" s="40"/>
      <c r="V451" s="40"/>
      <c r="W451" s="40"/>
      <c r="X451" s="41" t="str">
        <f>_xlfn.LET(
    _xlpm.MacVal, _xlfn.XLOOKUP($A451, Output_Mac!$A:$A, Output_Mac!AB:AB, ""),
    _xlpm.MyAuditVal, _xlfn.XLOOKUP($A451, My_Audit!$A:$A, My_Audit!N:N, ""),
    _xlfn.TEXTJOIN(", ", TRUE, _xlpm.MyAuditVal, _xlpm.MacVal)
)</f>
        <v/>
      </c>
    </row>
    <row r="452" spans="1:24">
      <c r="A452" s="40" t="str">
        <f>_xlfn.TEXTJOIN("",TRUE,Input!$B$2,ROW(My_Audit!A451))</f>
        <v>X451</v>
      </c>
      <c r="B452" s="40" t="str">
        <f>_xlfn.TEXTJOIN("-",TRUE,"ITD",Input!$A$2,A452)</f>
        <v>ITD-X451</v>
      </c>
      <c r="C452" s="40" t="str" cm="1">
        <f t="array" ref="C452">IFERROR(_xlfn.LET(
_xlpm.CSVVal,_xlfn.XLOOKUP($A452,CSV!$A:$A,CSV!B:B,""),
_xlpm.MacVal,_xlfn.XLOOKUP($A452,Output_Mac!$A:$A,Output_Mac!B:B,""),
_xlpm.MyAuditVal,_xlfn.XLOOKUP($A452,My_Audit!$A:$A,My_Audit!B:B,""),
_xlfn.IFS(_xlpm.MyAuditVal&lt;&gt;"",UPPER(_xlpm.MyAuditVal),_xlpm.MacVal&lt;&gt;"",_xlpm.MacVal,_xlpm.CSVVal&lt;&gt;"",_xlpm.CSVVal
)),"")</f>
        <v/>
      </c>
      <c r="D452" s="40" t="str" cm="1">
        <f t="array" ref="D452">IFERROR(_xlfn.LET(
_xlpm.CSVVal,_xlfn.XLOOKUP($A452,CSV!$A:$A,CSV!D:D,""),
_xlpm.MacVal,_xlfn.XLOOKUP($A452,Output_Mac!$A:$A,Output_Mac!C:C,""),
_xlpm.MyAuditVal,_xlfn.XLOOKUP($A452,My_Audit!$A:$A,My_Audit!C:C,""),
_xlfn.IFS(_xlpm.MyAuditVal&lt;&gt;"",_xlpm.MyAuditVal,_xlpm.MacVal&lt;&gt;"",_xlpm.MacVal,_xlpm.CSVVal&lt;&gt;"",_xlpm.CSVVal
)),"")</f>
        <v/>
      </c>
      <c r="E452" s="40">
        <f>_xlfn.XLOOKUP(A452,My_Audit!A:A,My_Audit!D:D,"")</f>
        <v>0</v>
      </c>
      <c r="F452" s="40" t="str" cm="1">
        <f t="array" ref="F452">IFERROR(_xlfn.LET(
_xlpm.CSVVal,_xlfn.XLOOKUP($A452,CSV!$A:$A,CSV!F:F,""),
_xlpm.MacVal,_xlfn.XLOOKUP($A452,Output_Mac!$A:$A,Output_Mac!E:E,""),
_xlpm.MyAuditVal,_xlfn.XLOOKUP($A452,My_Audit!$A:$A,My_Audit!E:E,""),
_xlfn.IFS(_xlpm.MyAuditVal&lt;&gt;"",_xlpm.MyAuditVal,_xlpm.MacVal&lt;&gt;"",_xlpm.MacVal,_xlpm.CSVVal&lt;&gt;"",_xlpm.CSVVal
)),"")</f>
        <v/>
      </c>
      <c r="G452" s="40" t="str" cm="1">
        <f t="array" ref="G452">IFERROR(_xlfn.LET(
_xlpm.CSVVal,_xlfn.XLOOKUP($A452,CSV!$A:$A,CSV!G:G,""),
_xlpm.MacVal,_xlfn.XLOOKUP($A452,Output_Mac!$A:$A,Output_Mac!F:F,""),
_xlpm.MyAuditVal,_xlfn.XLOOKUP($A452,My_Audit!$A:$A,My_Audit!F:F,""),
_xlfn.IFS(_xlpm.MyAuditVal&lt;&gt;"",_xlpm.MyAuditVal,_xlpm.MacVal&lt;&gt;"",_xlpm.MacVal,_xlpm.CSVVal&lt;&gt;"",PROPER(_xlpm.CSVVal)
)),"")</f>
        <v/>
      </c>
      <c r="H452" s="40" t="str" cm="1">
        <f t="array" ref="H452">IFERROR(_xlfn.LET(
_xlpm.CSVVal,_xlfn.XLOOKUP($A452,CSV!$A:$A,CSV!H:H,""),
_xlpm.MacVal,_xlfn.XLOOKUP($A452,Output_Mac!$A:$A,Output_Mac!H:H,""),
_xlpm.MyAuditVal,_xlfn.XLOOKUP($A452,My_Audit!$A:$A,My_Audit!G:G,""),
_xlfn.IFS(_xlpm.MyAuditVal&lt;&gt;"",_xlpm.MyAuditVal,_xlpm.MacVal&lt;&gt;"",_xlpm.MacVal,_xlpm.CSVVal&lt;&gt;"",_xlpm.CSVVal
)),"")</f>
        <v/>
      </c>
      <c r="I452" s="40" t="str">
        <f>_xlfn.XLOOKUP(A452,Output_Mac!A:A,Output_Mac!I:I,"")</f>
        <v/>
      </c>
      <c r="J452" s="40" t="str" cm="1">
        <f t="array" ref="J452">IFERROR(_xlfn.LET(
_xlpm.CSVVal,_xlfn.XLOOKUP($A452,CSV!$A:$A,CSV!I:I,""),
_xlpm.MacVal,_xlfn.XLOOKUP($A452,Output_Mac!$A:$A,Output_Mac!J:J,""),
_xlpm.MyAuditVal,_xlfn.XLOOKUP($A452,My_Audit!$A:$A,My_Audit!I:I,""),
_xlfn.IFS(_xlpm.MyAuditVal&lt;&gt;"",UPPER(_xlpm.MyAuditVal),_xlpm.MacVal&lt;&gt;"",_xlpm.MacVal,_xlpm.CSVVal&lt;&gt;"",_xlpm.CSVVal
)),"")</f>
        <v/>
      </c>
      <c r="K452" s="40" t="str" cm="1">
        <f t="array" ref="K452">IFERROR(_xlfn.LET(
_xlpm.CSVVal,_xlfn.XLOOKUP($A452,CSV!$A:$A,CSV!K:K,""),
_xlpm.MacVal,_xlfn.XLOOKUP($A452,Output_Mac!$A:$A,Output_Mac!K:K,""),
_xlpm.MyAuditVal,_xlfn.XLOOKUP($A452,My_Audit!$A:$A,My_Audit!J:J,""),
_xlfn.IFS(_xlpm.MyAuditVal&lt;&gt;"",UPPER(_xlpm.MyAuditVal),_xlpm.MacVal&lt;&gt;"",_xlpm.MacVal,_xlpm.CSVVal&lt;&gt;"",_xlpm.CSVVal
)),"")</f>
        <v/>
      </c>
      <c r="L452" s="40" t="str" cm="1">
        <f t="array" ref="L452">IFERROR(_xlfn.LET(
_xlpm.CSVVal,_xlfn.XLOOKUP($A452,CSV!$A:$A,CSV!P:P,""),
_xlpm.MacVal,_xlfn.XLOOKUP($A452,Output_Mac!$A:$A,Output_Mac!L:L,""),
_xlpm.MyAuditVal,_xlfn.XLOOKUP($A452,My_Audit!$A:$A,My_Audit!K:K,""),
_xlfn.IFS(_xlpm.MyAuditVal&lt;&gt;"",UPPER(_xlpm.MyAuditVal),_xlpm.MacVal&lt;&gt;"",_xlpm.MacVal,_xlpm.CSVVal&lt;&gt;"",_xlpm.CSVVal
)),"")</f>
        <v/>
      </c>
      <c r="M452" s="40" t="str" cm="1">
        <f t="array" ref="M452">IFERROR(_xlfn.LET(
_xlpm.CSVVal,_xlfn.XLOOKUP($A452,CSV!$A:$A,CSV!Q:Q,""),
_xlpm.MacVal,_xlfn.XLOOKUP($A452,Output_Mac!$A:$A,Output_Mac!M:M,""),
_xlpm.MyAuditVal,_xlfn.XLOOKUP($A452,My_Audit!$A:$A,My_Audit!L:L,""),
_xlfn.IFS(_xlpm.MyAuditVal&lt;&gt;"",UPPER(_xlpm.MyAuditVal),_xlpm.MacVal&lt;&gt;"",_xlpm.MacVal,_xlpm.CSVVal&lt;&gt;"",_xlpm.CSVVal
)),"")</f>
        <v/>
      </c>
      <c r="N452" s="40"/>
      <c r="O452" s="40" t="str">
        <f>_xlfn.LET(
    _xlpm.CSVVal, _xlfn.XLOOKUP($A452, CSV!$A:$A, CSV!AA:AA, ""),
    _xlpm.MacVal, _xlfn.XLOOKUP($A452, Output_Mac!$A:$A, Output_Mac!S:S, ""),
    _xlpm.MyAuditVal, _xlfn.XLOOKUP($A452, My_Audit!$A:$A, My_Audit!P:P, ""),
    _xlfn.TEXTJOIN(", ", TRUE, _xlpm.MyAuditVal, _xlpm.MacVal, _xlpm.CSVVal)
)</f>
        <v/>
      </c>
      <c r="P452" s="40" t="str" cm="1">
        <f t="array" ref="P452">IFERROR(_xlfn.LET(
_xlpm.CSVVal,_xlfn.XLOOKUP($A452,CSV!$A:$A,CSV!AB:AB,""),
_xlpm.MacVal,_xlfn.XLOOKUP($A452,Output_Mac!$A:$A,Output_Mac!T:T,""),
_xlpm.MyAuditVal,_xlfn.XLOOKUP($A452,My_Audit!$A:$A,My_Audit!Q:Q,""),
_xlfn.IFS(_xlpm.MyAuditVal&lt;&gt;"",UPPER(_xlpm.MyAuditVal),_xlpm.MacVal&lt;&gt;"",_xlpm.MacVal,_xlpm.CSVVal&lt;&gt;"",_xlpm.CSVVal
)),"No")</f>
        <v>No</v>
      </c>
      <c r="Q452" s="40" t="str" cm="1">
        <f t="array" ref="Q452">IFERROR(_xlfn.LET(
_xlpm.CSVVal,_xlfn.XLOOKUP($A452,CSV!$A:$A,CSV!AC:AC,""),
_xlpm.MacVal,_xlfn.XLOOKUP($A452,Output_Mac!$A:$A,Output_Mac!U:U,""),
_xlpm.MyAuditVal,_xlfn.XLOOKUP($A452,My_Audit!$A:$A,My_Audit!R:R,""),
_xlfn.IFS(_xlpm.MyAuditVal&lt;&gt;"",UPPER(_xlpm.MyAuditVal),_xlpm.MacVal&lt;&gt;"",_xlpm.MacVal,_xlpm.CSVVal&lt;&gt;"",_xlpm.CSVVal
)),"")</f>
        <v/>
      </c>
      <c r="R452" s="40"/>
      <c r="S452" s="40"/>
      <c r="T452" s="40"/>
      <c r="U452" s="40"/>
      <c r="V452" s="40"/>
      <c r="W452" s="40"/>
      <c r="X452" s="41" t="str">
        <f>_xlfn.LET(
    _xlpm.MacVal, _xlfn.XLOOKUP($A452, Output_Mac!$A:$A, Output_Mac!AB:AB, ""),
    _xlpm.MyAuditVal, _xlfn.XLOOKUP($A452, My_Audit!$A:$A, My_Audit!N:N, ""),
    _xlfn.TEXTJOIN(", ", TRUE, _xlpm.MyAuditVal, _xlpm.MacVal)
)</f>
        <v/>
      </c>
    </row>
    <row r="453" spans="1:24">
      <c r="A453" s="40" t="str">
        <f>_xlfn.TEXTJOIN("",TRUE,Input!$B$2,ROW(My_Audit!A452))</f>
        <v>X452</v>
      </c>
      <c r="B453" s="40" t="str">
        <f>_xlfn.TEXTJOIN("-",TRUE,"ITD",Input!$A$2,A453)</f>
        <v>ITD-X452</v>
      </c>
      <c r="C453" s="40" t="str" cm="1">
        <f t="array" ref="C453">IFERROR(_xlfn.LET(
_xlpm.CSVVal,_xlfn.XLOOKUP($A453,CSV!$A:$A,CSV!B:B,""),
_xlpm.MacVal,_xlfn.XLOOKUP($A453,Output_Mac!$A:$A,Output_Mac!B:B,""),
_xlpm.MyAuditVal,_xlfn.XLOOKUP($A453,My_Audit!$A:$A,My_Audit!B:B,""),
_xlfn.IFS(_xlpm.MyAuditVal&lt;&gt;"",UPPER(_xlpm.MyAuditVal),_xlpm.MacVal&lt;&gt;"",_xlpm.MacVal,_xlpm.CSVVal&lt;&gt;"",_xlpm.CSVVal
)),"")</f>
        <v/>
      </c>
      <c r="D453" s="40" t="str" cm="1">
        <f t="array" ref="D453">IFERROR(_xlfn.LET(
_xlpm.CSVVal,_xlfn.XLOOKUP($A453,CSV!$A:$A,CSV!D:D,""),
_xlpm.MacVal,_xlfn.XLOOKUP($A453,Output_Mac!$A:$A,Output_Mac!C:C,""),
_xlpm.MyAuditVal,_xlfn.XLOOKUP($A453,My_Audit!$A:$A,My_Audit!C:C,""),
_xlfn.IFS(_xlpm.MyAuditVal&lt;&gt;"",_xlpm.MyAuditVal,_xlpm.MacVal&lt;&gt;"",_xlpm.MacVal,_xlpm.CSVVal&lt;&gt;"",_xlpm.CSVVal
)),"")</f>
        <v/>
      </c>
      <c r="E453" s="40">
        <f>_xlfn.XLOOKUP(A453,My_Audit!A:A,My_Audit!D:D,"")</f>
        <v>0</v>
      </c>
      <c r="F453" s="40" t="str" cm="1">
        <f t="array" ref="F453">IFERROR(_xlfn.LET(
_xlpm.CSVVal,_xlfn.XLOOKUP($A453,CSV!$A:$A,CSV!F:F,""),
_xlpm.MacVal,_xlfn.XLOOKUP($A453,Output_Mac!$A:$A,Output_Mac!E:E,""),
_xlpm.MyAuditVal,_xlfn.XLOOKUP($A453,My_Audit!$A:$A,My_Audit!E:E,""),
_xlfn.IFS(_xlpm.MyAuditVal&lt;&gt;"",_xlpm.MyAuditVal,_xlpm.MacVal&lt;&gt;"",_xlpm.MacVal,_xlpm.CSVVal&lt;&gt;"",_xlpm.CSVVal
)),"")</f>
        <v/>
      </c>
      <c r="G453" s="40" t="str" cm="1">
        <f t="array" ref="G453">IFERROR(_xlfn.LET(
_xlpm.CSVVal,_xlfn.XLOOKUP($A453,CSV!$A:$A,CSV!G:G,""),
_xlpm.MacVal,_xlfn.XLOOKUP($A453,Output_Mac!$A:$A,Output_Mac!F:F,""),
_xlpm.MyAuditVal,_xlfn.XLOOKUP($A453,My_Audit!$A:$A,My_Audit!F:F,""),
_xlfn.IFS(_xlpm.MyAuditVal&lt;&gt;"",_xlpm.MyAuditVal,_xlpm.MacVal&lt;&gt;"",_xlpm.MacVal,_xlpm.CSVVal&lt;&gt;"",PROPER(_xlpm.CSVVal)
)),"")</f>
        <v/>
      </c>
      <c r="H453" s="40" t="str" cm="1">
        <f t="array" ref="H453">IFERROR(_xlfn.LET(
_xlpm.CSVVal,_xlfn.XLOOKUP($A453,CSV!$A:$A,CSV!H:H,""),
_xlpm.MacVal,_xlfn.XLOOKUP($A453,Output_Mac!$A:$A,Output_Mac!H:H,""),
_xlpm.MyAuditVal,_xlfn.XLOOKUP($A453,My_Audit!$A:$A,My_Audit!G:G,""),
_xlfn.IFS(_xlpm.MyAuditVal&lt;&gt;"",_xlpm.MyAuditVal,_xlpm.MacVal&lt;&gt;"",_xlpm.MacVal,_xlpm.CSVVal&lt;&gt;"",_xlpm.CSVVal
)),"")</f>
        <v/>
      </c>
      <c r="I453" s="40" t="str">
        <f>_xlfn.XLOOKUP(A453,Output_Mac!A:A,Output_Mac!I:I,"")</f>
        <v/>
      </c>
      <c r="J453" s="40" t="str" cm="1">
        <f t="array" ref="J453">IFERROR(_xlfn.LET(
_xlpm.CSVVal,_xlfn.XLOOKUP($A453,CSV!$A:$A,CSV!I:I,""),
_xlpm.MacVal,_xlfn.XLOOKUP($A453,Output_Mac!$A:$A,Output_Mac!J:J,""),
_xlpm.MyAuditVal,_xlfn.XLOOKUP($A453,My_Audit!$A:$A,My_Audit!I:I,""),
_xlfn.IFS(_xlpm.MyAuditVal&lt;&gt;"",UPPER(_xlpm.MyAuditVal),_xlpm.MacVal&lt;&gt;"",_xlpm.MacVal,_xlpm.CSVVal&lt;&gt;"",_xlpm.CSVVal
)),"")</f>
        <v/>
      </c>
      <c r="K453" s="40" t="str" cm="1">
        <f t="array" ref="K453">IFERROR(_xlfn.LET(
_xlpm.CSVVal,_xlfn.XLOOKUP($A453,CSV!$A:$A,CSV!K:K,""),
_xlpm.MacVal,_xlfn.XLOOKUP($A453,Output_Mac!$A:$A,Output_Mac!K:K,""),
_xlpm.MyAuditVal,_xlfn.XLOOKUP($A453,My_Audit!$A:$A,My_Audit!J:J,""),
_xlfn.IFS(_xlpm.MyAuditVal&lt;&gt;"",UPPER(_xlpm.MyAuditVal),_xlpm.MacVal&lt;&gt;"",_xlpm.MacVal,_xlpm.CSVVal&lt;&gt;"",_xlpm.CSVVal
)),"")</f>
        <v/>
      </c>
      <c r="L453" s="40" t="str" cm="1">
        <f t="array" ref="L453">IFERROR(_xlfn.LET(
_xlpm.CSVVal,_xlfn.XLOOKUP($A453,CSV!$A:$A,CSV!P:P,""),
_xlpm.MacVal,_xlfn.XLOOKUP($A453,Output_Mac!$A:$A,Output_Mac!L:L,""),
_xlpm.MyAuditVal,_xlfn.XLOOKUP($A453,My_Audit!$A:$A,My_Audit!K:K,""),
_xlfn.IFS(_xlpm.MyAuditVal&lt;&gt;"",UPPER(_xlpm.MyAuditVal),_xlpm.MacVal&lt;&gt;"",_xlpm.MacVal,_xlpm.CSVVal&lt;&gt;"",_xlpm.CSVVal
)),"")</f>
        <v/>
      </c>
      <c r="M453" s="40" t="str" cm="1">
        <f t="array" ref="M453">IFERROR(_xlfn.LET(
_xlpm.CSVVal,_xlfn.XLOOKUP($A453,CSV!$A:$A,CSV!Q:Q,""),
_xlpm.MacVal,_xlfn.XLOOKUP($A453,Output_Mac!$A:$A,Output_Mac!M:M,""),
_xlpm.MyAuditVal,_xlfn.XLOOKUP($A453,My_Audit!$A:$A,My_Audit!L:L,""),
_xlfn.IFS(_xlpm.MyAuditVal&lt;&gt;"",UPPER(_xlpm.MyAuditVal),_xlpm.MacVal&lt;&gt;"",_xlpm.MacVal,_xlpm.CSVVal&lt;&gt;"",_xlpm.CSVVal
)),"")</f>
        <v/>
      </c>
      <c r="N453" s="40"/>
      <c r="O453" s="40" t="str">
        <f>_xlfn.LET(
    _xlpm.CSVVal, _xlfn.XLOOKUP($A453, CSV!$A:$A, CSV!AA:AA, ""),
    _xlpm.MacVal, _xlfn.XLOOKUP($A453, Output_Mac!$A:$A, Output_Mac!S:S, ""),
    _xlpm.MyAuditVal, _xlfn.XLOOKUP($A453, My_Audit!$A:$A, My_Audit!P:P, ""),
    _xlfn.TEXTJOIN(", ", TRUE, _xlpm.MyAuditVal, _xlpm.MacVal, _xlpm.CSVVal)
)</f>
        <v/>
      </c>
      <c r="P453" s="40" t="str" cm="1">
        <f t="array" ref="P453">IFERROR(_xlfn.LET(
_xlpm.CSVVal,_xlfn.XLOOKUP($A453,CSV!$A:$A,CSV!AB:AB,""),
_xlpm.MacVal,_xlfn.XLOOKUP($A453,Output_Mac!$A:$A,Output_Mac!T:T,""),
_xlpm.MyAuditVal,_xlfn.XLOOKUP($A453,My_Audit!$A:$A,My_Audit!Q:Q,""),
_xlfn.IFS(_xlpm.MyAuditVal&lt;&gt;"",UPPER(_xlpm.MyAuditVal),_xlpm.MacVal&lt;&gt;"",_xlpm.MacVal,_xlpm.CSVVal&lt;&gt;"",_xlpm.CSVVal
)),"No")</f>
        <v>No</v>
      </c>
      <c r="Q453" s="40" t="str" cm="1">
        <f t="array" ref="Q453">IFERROR(_xlfn.LET(
_xlpm.CSVVal,_xlfn.XLOOKUP($A453,CSV!$A:$A,CSV!AC:AC,""),
_xlpm.MacVal,_xlfn.XLOOKUP($A453,Output_Mac!$A:$A,Output_Mac!U:U,""),
_xlpm.MyAuditVal,_xlfn.XLOOKUP($A453,My_Audit!$A:$A,My_Audit!R:R,""),
_xlfn.IFS(_xlpm.MyAuditVal&lt;&gt;"",UPPER(_xlpm.MyAuditVal),_xlpm.MacVal&lt;&gt;"",_xlpm.MacVal,_xlpm.CSVVal&lt;&gt;"",_xlpm.CSVVal
)),"")</f>
        <v/>
      </c>
      <c r="R453" s="40"/>
      <c r="S453" s="40"/>
      <c r="T453" s="40"/>
      <c r="U453" s="40"/>
      <c r="V453" s="40"/>
      <c r="W453" s="40"/>
      <c r="X453" s="41" t="str">
        <f>_xlfn.LET(
    _xlpm.MacVal, _xlfn.XLOOKUP($A453, Output_Mac!$A:$A, Output_Mac!AB:AB, ""),
    _xlpm.MyAuditVal, _xlfn.XLOOKUP($A453, My_Audit!$A:$A, My_Audit!N:N, ""),
    _xlfn.TEXTJOIN(", ", TRUE, _xlpm.MyAuditVal, _xlpm.MacVal)
)</f>
        <v/>
      </c>
    </row>
    <row r="454" spans="1:24">
      <c r="A454" s="40" t="str">
        <f>_xlfn.TEXTJOIN("",TRUE,Input!$B$2,ROW(My_Audit!A453))</f>
        <v>X453</v>
      </c>
      <c r="B454" s="40" t="str">
        <f>_xlfn.TEXTJOIN("-",TRUE,"ITD",Input!$A$2,A454)</f>
        <v>ITD-X453</v>
      </c>
      <c r="C454" s="40" t="str" cm="1">
        <f t="array" ref="C454">IFERROR(_xlfn.LET(
_xlpm.CSVVal,_xlfn.XLOOKUP($A454,CSV!$A:$A,CSV!B:B,""),
_xlpm.MacVal,_xlfn.XLOOKUP($A454,Output_Mac!$A:$A,Output_Mac!B:B,""),
_xlpm.MyAuditVal,_xlfn.XLOOKUP($A454,My_Audit!$A:$A,My_Audit!B:B,""),
_xlfn.IFS(_xlpm.MyAuditVal&lt;&gt;"",UPPER(_xlpm.MyAuditVal),_xlpm.MacVal&lt;&gt;"",_xlpm.MacVal,_xlpm.CSVVal&lt;&gt;"",_xlpm.CSVVal
)),"")</f>
        <v/>
      </c>
      <c r="D454" s="40" t="str" cm="1">
        <f t="array" ref="D454">IFERROR(_xlfn.LET(
_xlpm.CSVVal,_xlfn.XLOOKUP($A454,CSV!$A:$A,CSV!D:D,""),
_xlpm.MacVal,_xlfn.XLOOKUP($A454,Output_Mac!$A:$A,Output_Mac!C:C,""),
_xlpm.MyAuditVal,_xlfn.XLOOKUP($A454,My_Audit!$A:$A,My_Audit!C:C,""),
_xlfn.IFS(_xlpm.MyAuditVal&lt;&gt;"",_xlpm.MyAuditVal,_xlpm.MacVal&lt;&gt;"",_xlpm.MacVal,_xlpm.CSVVal&lt;&gt;"",_xlpm.CSVVal
)),"")</f>
        <v/>
      </c>
      <c r="E454" s="40">
        <f>_xlfn.XLOOKUP(A454,My_Audit!A:A,My_Audit!D:D,"")</f>
        <v>0</v>
      </c>
      <c r="F454" s="40" t="str" cm="1">
        <f t="array" ref="F454">IFERROR(_xlfn.LET(
_xlpm.CSVVal,_xlfn.XLOOKUP($A454,CSV!$A:$A,CSV!F:F,""),
_xlpm.MacVal,_xlfn.XLOOKUP($A454,Output_Mac!$A:$A,Output_Mac!E:E,""),
_xlpm.MyAuditVal,_xlfn.XLOOKUP($A454,My_Audit!$A:$A,My_Audit!E:E,""),
_xlfn.IFS(_xlpm.MyAuditVal&lt;&gt;"",_xlpm.MyAuditVal,_xlpm.MacVal&lt;&gt;"",_xlpm.MacVal,_xlpm.CSVVal&lt;&gt;"",_xlpm.CSVVal
)),"")</f>
        <v/>
      </c>
      <c r="G454" s="40" t="str" cm="1">
        <f t="array" ref="G454">IFERROR(_xlfn.LET(
_xlpm.CSVVal,_xlfn.XLOOKUP($A454,CSV!$A:$A,CSV!G:G,""),
_xlpm.MacVal,_xlfn.XLOOKUP($A454,Output_Mac!$A:$A,Output_Mac!F:F,""),
_xlpm.MyAuditVal,_xlfn.XLOOKUP($A454,My_Audit!$A:$A,My_Audit!F:F,""),
_xlfn.IFS(_xlpm.MyAuditVal&lt;&gt;"",_xlpm.MyAuditVal,_xlpm.MacVal&lt;&gt;"",_xlpm.MacVal,_xlpm.CSVVal&lt;&gt;"",PROPER(_xlpm.CSVVal)
)),"")</f>
        <v/>
      </c>
      <c r="H454" s="40" t="str" cm="1">
        <f t="array" ref="H454">IFERROR(_xlfn.LET(
_xlpm.CSVVal,_xlfn.XLOOKUP($A454,CSV!$A:$A,CSV!H:H,""),
_xlpm.MacVal,_xlfn.XLOOKUP($A454,Output_Mac!$A:$A,Output_Mac!H:H,""),
_xlpm.MyAuditVal,_xlfn.XLOOKUP($A454,My_Audit!$A:$A,My_Audit!G:G,""),
_xlfn.IFS(_xlpm.MyAuditVal&lt;&gt;"",_xlpm.MyAuditVal,_xlpm.MacVal&lt;&gt;"",_xlpm.MacVal,_xlpm.CSVVal&lt;&gt;"",_xlpm.CSVVal
)),"")</f>
        <v/>
      </c>
      <c r="I454" s="40" t="str">
        <f>_xlfn.XLOOKUP(A454,Output_Mac!A:A,Output_Mac!I:I,"")</f>
        <v/>
      </c>
      <c r="J454" s="40" t="str" cm="1">
        <f t="array" ref="J454">IFERROR(_xlfn.LET(
_xlpm.CSVVal,_xlfn.XLOOKUP($A454,CSV!$A:$A,CSV!I:I,""),
_xlpm.MacVal,_xlfn.XLOOKUP($A454,Output_Mac!$A:$A,Output_Mac!J:J,""),
_xlpm.MyAuditVal,_xlfn.XLOOKUP($A454,My_Audit!$A:$A,My_Audit!I:I,""),
_xlfn.IFS(_xlpm.MyAuditVal&lt;&gt;"",UPPER(_xlpm.MyAuditVal),_xlpm.MacVal&lt;&gt;"",_xlpm.MacVal,_xlpm.CSVVal&lt;&gt;"",_xlpm.CSVVal
)),"")</f>
        <v/>
      </c>
      <c r="K454" s="40" t="str" cm="1">
        <f t="array" ref="K454">IFERROR(_xlfn.LET(
_xlpm.CSVVal,_xlfn.XLOOKUP($A454,CSV!$A:$A,CSV!K:K,""),
_xlpm.MacVal,_xlfn.XLOOKUP($A454,Output_Mac!$A:$A,Output_Mac!K:K,""),
_xlpm.MyAuditVal,_xlfn.XLOOKUP($A454,My_Audit!$A:$A,My_Audit!J:J,""),
_xlfn.IFS(_xlpm.MyAuditVal&lt;&gt;"",UPPER(_xlpm.MyAuditVal),_xlpm.MacVal&lt;&gt;"",_xlpm.MacVal,_xlpm.CSVVal&lt;&gt;"",_xlpm.CSVVal
)),"")</f>
        <v/>
      </c>
      <c r="L454" s="40" t="str" cm="1">
        <f t="array" ref="L454">IFERROR(_xlfn.LET(
_xlpm.CSVVal,_xlfn.XLOOKUP($A454,CSV!$A:$A,CSV!P:P,""),
_xlpm.MacVal,_xlfn.XLOOKUP($A454,Output_Mac!$A:$A,Output_Mac!L:L,""),
_xlpm.MyAuditVal,_xlfn.XLOOKUP($A454,My_Audit!$A:$A,My_Audit!K:K,""),
_xlfn.IFS(_xlpm.MyAuditVal&lt;&gt;"",UPPER(_xlpm.MyAuditVal),_xlpm.MacVal&lt;&gt;"",_xlpm.MacVal,_xlpm.CSVVal&lt;&gt;"",_xlpm.CSVVal
)),"")</f>
        <v/>
      </c>
      <c r="M454" s="40" t="str" cm="1">
        <f t="array" ref="M454">IFERROR(_xlfn.LET(
_xlpm.CSVVal,_xlfn.XLOOKUP($A454,CSV!$A:$A,CSV!Q:Q,""),
_xlpm.MacVal,_xlfn.XLOOKUP($A454,Output_Mac!$A:$A,Output_Mac!M:M,""),
_xlpm.MyAuditVal,_xlfn.XLOOKUP($A454,My_Audit!$A:$A,My_Audit!L:L,""),
_xlfn.IFS(_xlpm.MyAuditVal&lt;&gt;"",UPPER(_xlpm.MyAuditVal),_xlpm.MacVal&lt;&gt;"",_xlpm.MacVal,_xlpm.CSVVal&lt;&gt;"",_xlpm.CSVVal
)),"")</f>
        <v/>
      </c>
      <c r="N454" s="40"/>
      <c r="O454" s="40" t="str">
        <f>_xlfn.LET(
    _xlpm.CSVVal, _xlfn.XLOOKUP($A454, CSV!$A:$A, CSV!AA:AA, ""),
    _xlpm.MacVal, _xlfn.XLOOKUP($A454, Output_Mac!$A:$A, Output_Mac!S:S, ""),
    _xlpm.MyAuditVal, _xlfn.XLOOKUP($A454, My_Audit!$A:$A, My_Audit!P:P, ""),
    _xlfn.TEXTJOIN(", ", TRUE, _xlpm.MyAuditVal, _xlpm.MacVal, _xlpm.CSVVal)
)</f>
        <v/>
      </c>
      <c r="P454" s="40" t="str" cm="1">
        <f t="array" ref="P454">IFERROR(_xlfn.LET(
_xlpm.CSVVal,_xlfn.XLOOKUP($A454,CSV!$A:$A,CSV!AB:AB,""),
_xlpm.MacVal,_xlfn.XLOOKUP($A454,Output_Mac!$A:$A,Output_Mac!T:T,""),
_xlpm.MyAuditVal,_xlfn.XLOOKUP($A454,My_Audit!$A:$A,My_Audit!Q:Q,""),
_xlfn.IFS(_xlpm.MyAuditVal&lt;&gt;"",UPPER(_xlpm.MyAuditVal),_xlpm.MacVal&lt;&gt;"",_xlpm.MacVal,_xlpm.CSVVal&lt;&gt;"",_xlpm.CSVVal
)),"No")</f>
        <v>No</v>
      </c>
      <c r="Q454" s="40" t="str" cm="1">
        <f t="array" ref="Q454">IFERROR(_xlfn.LET(
_xlpm.CSVVal,_xlfn.XLOOKUP($A454,CSV!$A:$A,CSV!AC:AC,""),
_xlpm.MacVal,_xlfn.XLOOKUP($A454,Output_Mac!$A:$A,Output_Mac!U:U,""),
_xlpm.MyAuditVal,_xlfn.XLOOKUP($A454,My_Audit!$A:$A,My_Audit!R:R,""),
_xlfn.IFS(_xlpm.MyAuditVal&lt;&gt;"",UPPER(_xlpm.MyAuditVal),_xlpm.MacVal&lt;&gt;"",_xlpm.MacVal,_xlpm.CSVVal&lt;&gt;"",_xlpm.CSVVal
)),"")</f>
        <v/>
      </c>
      <c r="R454" s="40"/>
      <c r="S454" s="40"/>
      <c r="T454" s="40"/>
      <c r="U454" s="40"/>
      <c r="V454" s="40"/>
      <c r="W454" s="40"/>
      <c r="X454" s="41" t="str">
        <f>_xlfn.LET(
    _xlpm.MacVal, _xlfn.XLOOKUP($A454, Output_Mac!$A:$A, Output_Mac!AB:AB, ""),
    _xlpm.MyAuditVal, _xlfn.XLOOKUP($A454, My_Audit!$A:$A, My_Audit!N:N, ""),
    _xlfn.TEXTJOIN(", ", TRUE, _xlpm.MyAuditVal, _xlpm.MacVal)
)</f>
        <v/>
      </c>
    </row>
    <row r="455" spans="1:24">
      <c r="A455" s="40" t="str">
        <f>_xlfn.TEXTJOIN("",TRUE,Input!$B$2,ROW(My_Audit!A454))</f>
        <v>X454</v>
      </c>
      <c r="B455" s="40" t="str">
        <f>_xlfn.TEXTJOIN("-",TRUE,"ITD",Input!$A$2,A455)</f>
        <v>ITD-X454</v>
      </c>
      <c r="C455" s="40" t="str" cm="1">
        <f t="array" ref="C455">IFERROR(_xlfn.LET(
_xlpm.CSVVal,_xlfn.XLOOKUP($A455,CSV!$A:$A,CSV!B:B,""),
_xlpm.MacVal,_xlfn.XLOOKUP($A455,Output_Mac!$A:$A,Output_Mac!B:B,""),
_xlpm.MyAuditVal,_xlfn.XLOOKUP($A455,My_Audit!$A:$A,My_Audit!B:B,""),
_xlfn.IFS(_xlpm.MyAuditVal&lt;&gt;"",UPPER(_xlpm.MyAuditVal),_xlpm.MacVal&lt;&gt;"",_xlpm.MacVal,_xlpm.CSVVal&lt;&gt;"",_xlpm.CSVVal
)),"")</f>
        <v/>
      </c>
      <c r="D455" s="40" t="str" cm="1">
        <f t="array" ref="D455">IFERROR(_xlfn.LET(
_xlpm.CSVVal,_xlfn.XLOOKUP($A455,CSV!$A:$A,CSV!D:D,""),
_xlpm.MacVal,_xlfn.XLOOKUP($A455,Output_Mac!$A:$A,Output_Mac!C:C,""),
_xlpm.MyAuditVal,_xlfn.XLOOKUP($A455,My_Audit!$A:$A,My_Audit!C:C,""),
_xlfn.IFS(_xlpm.MyAuditVal&lt;&gt;"",_xlpm.MyAuditVal,_xlpm.MacVal&lt;&gt;"",_xlpm.MacVal,_xlpm.CSVVal&lt;&gt;"",_xlpm.CSVVal
)),"")</f>
        <v/>
      </c>
      <c r="E455" s="40">
        <f>_xlfn.XLOOKUP(A455,My_Audit!A:A,My_Audit!D:D,"")</f>
        <v>0</v>
      </c>
      <c r="F455" s="40" t="str" cm="1">
        <f t="array" ref="F455">IFERROR(_xlfn.LET(
_xlpm.CSVVal,_xlfn.XLOOKUP($A455,CSV!$A:$A,CSV!F:F,""),
_xlpm.MacVal,_xlfn.XLOOKUP($A455,Output_Mac!$A:$A,Output_Mac!E:E,""),
_xlpm.MyAuditVal,_xlfn.XLOOKUP($A455,My_Audit!$A:$A,My_Audit!E:E,""),
_xlfn.IFS(_xlpm.MyAuditVal&lt;&gt;"",_xlpm.MyAuditVal,_xlpm.MacVal&lt;&gt;"",_xlpm.MacVal,_xlpm.CSVVal&lt;&gt;"",_xlpm.CSVVal
)),"")</f>
        <v/>
      </c>
      <c r="G455" s="40" t="str" cm="1">
        <f t="array" ref="G455">IFERROR(_xlfn.LET(
_xlpm.CSVVal,_xlfn.XLOOKUP($A455,CSV!$A:$A,CSV!G:G,""),
_xlpm.MacVal,_xlfn.XLOOKUP($A455,Output_Mac!$A:$A,Output_Mac!F:F,""),
_xlpm.MyAuditVal,_xlfn.XLOOKUP($A455,My_Audit!$A:$A,My_Audit!F:F,""),
_xlfn.IFS(_xlpm.MyAuditVal&lt;&gt;"",_xlpm.MyAuditVal,_xlpm.MacVal&lt;&gt;"",_xlpm.MacVal,_xlpm.CSVVal&lt;&gt;"",PROPER(_xlpm.CSVVal)
)),"")</f>
        <v/>
      </c>
      <c r="H455" s="40" t="str" cm="1">
        <f t="array" ref="H455">IFERROR(_xlfn.LET(
_xlpm.CSVVal,_xlfn.XLOOKUP($A455,CSV!$A:$A,CSV!H:H,""),
_xlpm.MacVal,_xlfn.XLOOKUP($A455,Output_Mac!$A:$A,Output_Mac!H:H,""),
_xlpm.MyAuditVal,_xlfn.XLOOKUP($A455,My_Audit!$A:$A,My_Audit!G:G,""),
_xlfn.IFS(_xlpm.MyAuditVal&lt;&gt;"",_xlpm.MyAuditVal,_xlpm.MacVal&lt;&gt;"",_xlpm.MacVal,_xlpm.CSVVal&lt;&gt;"",_xlpm.CSVVal
)),"")</f>
        <v/>
      </c>
      <c r="I455" s="40" t="str">
        <f>_xlfn.XLOOKUP(A455,Output_Mac!A:A,Output_Mac!I:I,"")</f>
        <v/>
      </c>
      <c r="J455" s="40" t="str" cm="1">
        <f t="array" ref="J455">IFERROR(_xlfn.LET(
_xlpm.CSVVal,_xlfn.XLOOKUP($A455,CSV!$A:$A,CSV!I:I,""),
_xlpm.MacVal,_xlfn.XLOOKUP($A455,Output_Mac!$A:$A,Output_Mac!J:J,""),
_xlpm.MyAuditVal,_xlfn.XLOOKUP($A455,My_Audit!$A:$A,My_Audit!I:I,""),
_xlfn.IFS(_xlpm.MyAuditVal&lt;&gt;"",UPPER(_xlpm.MyAuditVal),_xlpm.MacVal&lt;&gt;"",_xlpm.MacVal,_xlpm.CSVVal&lt;&gt;"",_xlpm.CSVVal
)),"")</f>
        <v/>
      </c>
      <c r="K455" s="40" t="str" cm="1">
        <f t="array" ref="K455">IFERROR(_xlfn.LET(
_xlpm.CSVVal,_xlfn.XLOOKUP($A455,CSV!$A:$A,CSV!K:K,""),
_xlpm.MacVal,_xlfn.XLOOKUP($A455,Output_Mac!$A:$A,Output_Mac!K:K,""),
_xlpm.MyAuditVal,_xlfn.XLOOKUP($A455,My_Audit!$A:$A,My_Audit!J:J,""),
_xlfn.IFS(_xlpm.MyAuditVal&lt;&gt;"",UPPER(_xlpm.MyAuditVal),_xlpm.MacVal&lt;&gt;"",_xlpm.MacVal,_xlpm.CSVVal&lt;&gt;"",_xlpm.CSVVal
)),"")</f>
        <v/>
      </c>
      <c r="L455" s="40" t="str" cm="1">
        <f t="array" ref="L455">IFERROR(_xlfn.LET(
_xlpm.CSVVal,_xlfn.XLOOKUP($A455,CSV!$A:$A,CSV!P:P,""),
_xlpm.MacVal,_xlfn.XLOOKUP($A455,Output_Mac!$A:$A,Output_Mac!L:L,""),
_xlpm.MyAuditVal,_xlfn.XLOOKUP($A455,My_Audit!$A:$A,My_Audit!K:K,""),
_xlfn.IFS(_xlpm.MyAuditVal&lt;&gt;"",UPPER(_xlpm.MyAuditVal),_xlpm.MacVal&lt;&gt;"",_xlpm.MacVal,_xlpm.CSVVal&lt;&gt;"",_xlpm.CSVVal
)),"")</f>
        <v/>
      </c>
      <c r="M455" s="40" t="str" cm="1">
        <f t="array" ref="M455">IFERROR(_xlfn.LET(
_xlpm.CSVVal,_xlfn.XLOOKUP($A455,CSV!$A:$A,CSV!Q:Q,""),
_xlpm.MacVal,_xlfn.XLOOKUP($A455,Output_Mac!$A:$A,Output_Mac!M:M,""),
_xlpm.MyAuditVal,_xlfn.XLOOKUP($A455,My_Audit!$A:$A,My_Audit!L:L,""),
_xlfn.IFS(_xlpm.MyAuditVal&lt;&gt;"",UPPER(_xlpm.MyAuditVal),_xlpm.MacVal&lt;&gt;"",_xlpm.MacVal,_xlpm.CSVVal&lt;&gt;"",_xlpm.CSVVal
)),"")</f>
        <v/>
      </c>
      <c r="N455" s="40"/>
      <c r="O455" s="40" t="str">
        <f>_xlfn.LET(
    _xlpm.CSVVal, _xlfn.XLOOKUP($A455, CSV!$A:$A, CSV!AA:AA, ""),
    _xlpm.MacVal, _xlfn.XLOOKUP($A455, Output_Mac!$A:$A, Output_Mac!S:S, ""),
    _xlpm.MyAuditVal, _xlfn.XLOOKUP($A455, My_Audit!$A:$A, My_Audit!P:P, ""),
    _xlfn.TEXTJOIN(", ", TRUE, _xlpm.MyAuditVal, _xlpm.MacVal, _xlpm.CSVVal)
)</f>
        <v/>
      </c>
      <c r="P455" s="40" t="str" cm="1">
        <f t="array" ref="P455">IFERROR(_xlfn.LET(
_xlpm.CSVVal,_xlfn.XLOOKUP($A455,CSV!$A:$A,CSV!AB:AB,""),
_xlpm.MacVal,_xlfn.XLOOKUP($A455,Output_Mac!$A:$A,Output_Mac!T:T,""),
_xlpm.MyAuditVal,_xlfn.XLOOKUP($A455,My_Audit!$A:$A,My_Audit!Q:Q,""),
_xlfn.IFS(_xlpm.MyAuditVal&lt;&gt;"",UPPER(_xlpm.MyAuditVal),_xlpm.MacVal&lt;&gt;"",_xlpm.MacVal,_xlpm.CSVVal&lt;&gt;"",_xlpm.CSVVal
)),"No")</f>
        <v>No</v>
      </c>
      <c r="Q455" s="40" t="str" cm="1">
        <f t="array" ref="Q455">IFERROR(_xlfn.LET(
_xlpm.CSVVal,_xlfn.XLOOKUP($A455,CSV!$A:$A,CSV!AC:AC,""),
_xlpm.MacVal,_xlfn.XLOOKUP($A455,Output_Mac!$A:$A,Output_Mac!U:U,""),
_xlpm.MyAuditVal,_xlfn.XLOOKUP($A455,My_Audit!$A:$A,My_Audit!R:R,""),
_xlfn.IFS(_xlpm.MyAuditVal&lt;&gt;"",UPPER(_xlpm.MyAuditVal),_xlpm.MacVal&lt;&gt;"",_xlpm.MacVal,_xlpm.CSVVal&lt;&gt;"",_xlpm.CSVVal
)),"")</f>
        <v/>
      </c>
      <c r="R455" s="40"/>
      <c r="S455" s="40"/>
      <c r="T455" s="40"/>
      <c r="U455" s="40"/>
      <c r="V455" s="40"/>
      <c r="W455" s="40"/>
      <c r="X455" s="41" t="str">
        <f>_xlfn.LET(
    _xlpm.MacVal, _xlfn.XLOOKUP($A455, Output_Mac!$A:$A, Output_Mac!AB:AB, ""),
    _xlpm.MyAuditVal, _xlfn.XLOOKUP($A455, My_Audit!$A:$A, My_Audit!N:N, ""),
    _xlfn.TEXTJOIN(", ", TRUE, _xlpm.MyAuditVal, _xlpm.MacVal)
)</f>
        <v/>
      </c>
    </row>
    <row r="456" spans="1:24">
      <c r="A456" s="40" t="str">
        <f>_xlfn.TEXTJOIN("",TRUE,Input!$B$2,ROW(My_Audit!A455))</f>
        <v>X455</v>
      </c>
      <c r="B456" s="40" t="str">
        <f>_xlfn.TEXTJOIN("-",TRUE,"ITD",Input!$A$2,A456)</f>
        <v>ITD-X455</v>
      </c>
      <c r="C456" s="40" t="str" cm="1">
        <f t="array" ref="C456">IFERROR(_xlfn.LET(
_xlpm.CSVVal,_xlfn.XLOOKUP($A456,CSV!$A:$A,CSV!B:B,""),
_xlpm.MacVal,_xlfn.XLOOKUP($A456,Output_Mac!$A:$A,Output_Mac!B:B,""),
_xlpm.MyAuditVal,_xlfn.XLOOKUP($A456,My_Audit!$A:$A,My_Audit!B:B,""),
_xlfn.IFS(_xlpm.MyAuditVal&lt;&gt;"",UPPER(_xlpm.MyAuditVal),_xlpm.MacVal&lt;&gt;"",_xlpm.MacVal,_xlpm.CSVVal&lt;&gt;"",_xlpm.CSVVal
)),"")</f>
        <v/>
      </c>
      <c r="D456" s="40" t="str" cm="1">
        <f t="array" ref="D456">IFERROR(_xlfn.LET(
_xlpm.CSVVal,_xlfn.XLOOKUP($A456,CSV!$A:$A,CSV!D:D,""),
_xlpm.MacVal,_xlfn.XLOOKUP($A456,Output_Mac!$A:$A,Output_Mac!C:C,""),
_xlpm.MyAuditVal,_xlfn.XLOOKUP($A456,My_Audit!$A:$A,My_Audit!C:C,""),
_xlfn.IFS(_xlpm.MyAuditVal&lt;&gt;"",_xlpm.MyAuditVal,_xlpm.MacVal&lt;&gt;"",_xlpm.MacVal,_xlpm.CSVVal&lt;&gt;"",_xlpm.CSVVal
)),"")</f>
        <v/>
      </c>
      <c r="E456" s="40" t="str">
        <f>_xlfn.XLOOKUP(A456,My_Audit!A:A,My_Audit!D:D,"")</f>
        <v/>
      </c>
      <c r="F456" s="40" t="str" cm="1">
        <f t="array" ref="F456">IFERROR(_xlfn.LET(
_xlpm.CSVVal,_xlfn.XLOOKUP($A456,CSV!$A:$A,CSV!F:F,""),
_xlpm.MacVal,_xlfn.XLOOKUP($A456,Output_Mac!$A:$A,Output_Mac!E:E,""),
_xlpm.MyAuditVal,_xlfn.XLOOKUP($A456,My_Audit!$A:$A,My_Audit!E:E,""),
_xlfn.IFS(_xlpm.MyAuditVal&lt;&gt;"",_xlpm.MyAuditVal,_xlpm.MacVal&lt;&gt;"",_xlpm.MacVal,_xlpm.CSVVal&lt;&gt;"",_xlpm.CSVVal
)),"")</f>
        <v/>
      </c>
      <c r="G456" s="40" t="str" cm="1">
        <f t="array" ref="G456">IFERROR(_xlfn.LET(
_xlpm.CSVVal,_xlfn.XLOOKUP($A456,CSV!$A:$A,CSV!G:G,""),
_xlpm.MacVal,_xlfn.XLOOKUP($A456,Output_Mac!$A:$A,Output_Mac!F:F,""),
_xlpm.MyAuditVal,_xlfn.XLOOKUP($A456,My_Audit!$A:$A,My_Audit!F:F,""),
_xlfn.IFS(_xlpm.MyAuditVal&lt;&gt;"",_xlpm.MyAuditVal,_xlpm.MacVal&lt;&gt;"",_xlpm.MacVal,_xlpm.CSVVal&lt;&gt;"",PROPER(_xlpm.CSVVal)
)),"")</f>
        <v/>
      </c>
      <c r="H456" s="40" t="str" cm="1">
        <f t="array" ref="H456">IFERROR(_xlfn.LET(
_xlpm.CSVVal,_xlfn.XLOOKUP($A456,CSV!$A:$A,CSV!H:H,""),
_xlpm.MacVal,_xlfn.XLOOKUP($A456,Output_Mac!$A:$A,Output_Mac!H:H,""),
_xlpm.MyAuditVal,_xlfn.XLOOKUP($A456,My_Audit!$A:$A,My_Audit!G:G,""),
_xlfn.IFS(_xlpm.MyAuditVal&lt;&gt;"",_xlpm.MyAuditVal,_xlpm.MacVal&lt;&gt;"",_xlpm.MacVal,_xlpm.CSVVal&lt;&gt;"",_xlpm.CSVVal
)),"")</f>
        <v/>
      </c>
      <c r="I456" s="40" t="str">
        <f>_xlfn.XLOOKUP(A456,Output_Mac!A:A,Output_Mac!I:I,"")</f>
        <v/>
      </c>
      <c r="J456" s="40" t="str" cm="1">
        <f t="array" ref="J456">IFERROR(_xlfn.LET(
_xlpm.CSVVal,_xlfn.XLOOKUP($A456,CSV!$A:$A,CSV!I:I,""),
_xlpm.MacVal,_xlfn.XLOOKUP($A456,Output_Mac!$A:$A,Output_Mac!J:J,""),
_xlpm.MyAuditVal,_xlfn.XLOOKUP($A456,My_Audit!$A:$A,My_Audit!I:I,""),
_xlfn.IFS(_xlpm.MyAuditVal&lt;&gt;"",UPPER(_xlpm.MyAuditVal),_xlpm.MacVal&lt;&gt;"",_xlpm.MacVal,_xlpm.CSVVal&lt;&gt;"",_xlpm.CSVVal
)),"")</f>
        <v/>
      </c>
      <c r="K456" s="40" t="str" cm="1">
        <f t="array" ref="K456">IFERROR(_xlfn.LET(
_xlpm.CSVVal,_xlfn.XLOOKUP($A456,CSV!$A:$A,CSV!K:K,""),
_xlpm.MacVal,_xlfn.XLOOKUP($A456,Output_Mac!$A:$A,Output_Mac!K:K,""),
_xlpm.MyAuditVal,_xlfn.XLOOKUP($A456,My_Audit!$A:$A,My_Audit!J:J,""),
_xlfn.IFS(_xlpm.MyAuditVal&lt;&gt;"",UPPER(_xlpm.MyAuditVal),_xlpm.MacVal&lt;&gt;"",_xlpm.MacVal,_xlpm.CSVVal&lt;&gt;"",_xlpm.CSVVal
)),"")</f>
        <v/>
      </c>
      <c r="L456" s="40" t="str" cm="1">
        <f t="array" ref="L456">IFERROR(_xlfn.LET(
_xlpm.CSVVal,_xlfn.XLOOKUP($A456,CSV!$A:$A,CSV!P:P,""),
_xlpm.MacVal,_xlfn.XLOOKUP($A456,Output_Mac!$A:$A,Output_Mac!L:L,""),
_xlpm.MyAuditVal,_xlfn.XLOOKUP($A456,My_Audit!$A:$A,My_Audit!K:K,""),
_xlfn.IFS(_xlpm.MyAuditVal&lt;&gt;"",UPPER(_xlpm.MyAuditVal),_xlpm.MacVal&lt;&gt;"",_xlpm.MacVal,_xlpm.CSVVal&lt;&gt;"",_xlpm.CSVVal
)),"")</f>
        <v/>
      </c>
      <c r="M456" s="40" t="str" cm="1">
        <f t="array" ref="M456">IFERROR(_xlfn.LET(
_xlpm.CSVVal,_xlfn.XLOOKUP($A456,CSV!$A:$A,CSV!Q:Q,""),
_xlpm.MacVal,_xlfn.XLOOKUP($A456,Output_Mac!$A:$A,Output_Mac!M:M,""),
_xlpm.MyAuditVal,_xlfn.XLOOKUP($A456,My_Audit!$A:$A,My_Audit!L:L,""),
_xlfn.IFS(_xlpm.MyAuditVal&lt;&gt;"",UPPER(_xlpm.MyAuditVal),_xlpm.MacVal&lt;&gt;"",_xlpm.MacVal,_xlpm.CSVVal&lt;&gt;"",_xlpm.CSVVal
)),"")</f>
        <v/>
      </c>
      <c r="N456" s="40"/>
      <c r="O456" s="40" t="str">
        <f>_xlfn.LET(
    _xlpm.CSVVal, _xlfn.XLOOKUP($A456, CSV!$A:$A, CSV!AA:AA, ""),
    _xlpm.MacVal, _xlfn.XLOOKUP($A456, Output_Mac!$A:$A, Output_Mac!S:S, ""),
    _xlpm.MyAuditVal, _xlfn.XLOOKUP($A456, My_Audit!$A:$A, My_Audit!P:P, ""),
    _xlfn.TEXTJOIN(", ", TRUE, _xlpm.MyAuditVal, _xlpm.MacVal, _xlpm.CSVVal)
)</f>
        <v/>
      </c>
      <c r="P456" s="40" t="str" cm="1">
        <f t="array" ref="P456">IFERROR(_xlfn.LET(
_xlpm.CSVVal,_xlfn.XLOOKUP($A456,CSV!$A:$A,CSV!AB:AB,""),
_xlpm.MacVal,_xlfn.XLOOKUP($A456,Output_Mac!$A:$A,Output_Mac!T:T,""),
_xlpm.MyAuditVal,_xlfn.XLOOKUP($A456,My_Audit!$A:$A,My_Audit!Q:Q,""),
_xlfn.IFS(_xlpm.MyAuditVal&lt;&gt;"",UPPER(_xlpm.MyAuditVal),_xlpm.MacVal&lt;&gt;"",_xlpm.MacVal,_xlpm.CSVVal&lt;&gt;"",_xlpm.CSVVal
)),"No")</f>
        <v>No</v>
      </c>
      <c r="Q456" s="40" t="str" cm="1">
        <f t="array" ref="Q456">IFERROR(_xlfn.LET(
_xlpm.CSVVal,_xlfn.XLOOKUP($A456,CSV!$A:$A,CSV!AC:AC,""),
_xlpm.MacVal,_xlfn.XLOOKUP($A456,Output_Mac!$A:$A,Output_Mac!U:U,""),
_xlpm.MyAuditVal,_xlfn.XLOOKUP($A456,My_Audit!$A:$A,My_Audit!R:R,""),
_xlfn.IFS(_xlpm.MyAuditVal&lt;&gt;"",UPPER(_xlpm.MyAuditVal),_xlpm.MacVal&lt;&gt;"",_xlpm.MacVal,_xlpm.CSVVal&lt;&gt;"",_xlpm.CSVVal
)),"")</f>
        <v/>
      </c>
      <c r="R456" s="40"/>
      <c r="S456" s="40"/>
      <c r="T456" s="40"/>
      <c r="U456" s="40"/>
      <c r="V456" s="40"/>
      <c r="W456" s="40"/>
      <c r="X456" s="41" t="str">
        <f>_xlfn.LET(
    _xlpm.MacVal, _xlfn.XLOOKUP($A456, Output_Mac!$A:$A, Output_Mac!AB:AB, ""),
    _xlpm.MyAuditVal, _xlfn.XLOOKUP($A456, My_Audit!$A:$A, My_Audit!N:N, ""),
    _xlfn.TEXTJOIN(", ", TRUE, _xlpm.MyAuditVal, _xlpm.MacVal)
)</f>
        <v/>
      </c>
    </row>
    <row r="457" spans="1:24">
      <c r="A457" s="40" t="str">
        <f>_xlfn.TEXTJOIN("",TRUE,Input!$B$2,ROW(My_Audit!A456))</f>
        <v>X456</v>
      </c>
      <c r="B457" s="40" t="str">
        <f>_xlfn.TEXTJOIN("-",TRUE,"ITD",Input!$A$2,A457)</f>
        <v>ITD-X456</v>
      </c>
      <c r="C457" s="40" t="str" cm="1">
        <f t="array" ref="C457">IFERROR(_xlfn.LET(
_xlpm.CSVVal,_xlfn.XLOOKUP($A457,CSV!$A:$A,CSV!B:B,""),
_xlpm.MacVal,_xlfn.XLOOKUP($A457,Output_Mac!$A:$A,Output_Mac!B:B,""),
_xlpm.MyAuditVal,_xlfn.XLOOKUP($A457,My_Audit!$A:$A,My_Audit!B:B,""),
_xlfn.IFS(_xlpm.MyAuditVal&lt;&gt;"",UPPER(_xlpm.MyAuditVal),_xlpm.MacVal&lt;&gt;"",_xlpm.MacVal,_xlpm.CSVVal&lt;&gt;"",_xlpm.CSVVal
)),"")</f>
        <v/>
      </c>
      <c r="D457" s="40" t="str" cm="1">
        <f t="array" ref="D457">IFERROR(_xlfn.LET(
_xlpm.CSVVal,_xlfn.XLOOKUP($A457,CSV!$A:$A,CSV!D:D,""),
_xlpm.MacVal,_xlfn.XLOOKUP($A457,Output_Mac!$A:$A,Output_Mac!C:C,""),
_xlpm.MyAuditVal,_xlfn.XLOOKUP($A457,My_Audit!$A:$A,My_Audit!C:C,""),
_xlfn.IFS(_xlpm.MyAuditVal&lt;&gt;"",_xlpm.MyAuditVal,_xlpm.MacVal&lt;&gt;"",_xlpm.MacVal,_xlpm.CSVVal&lt;&gt;"",_xlpm.CSVVal
)),"")</f>
        <v/>
      </c>
      <c r="E457" s="40" t="str">
        <f>_xlfn.XLOOKUP(A457,My_Audit!A:A,My_Audit!D:D,"")</f>
        <v/>
      </c>
      <c r="F457" s="40" t="str" cm="1">
        <f t="array" ref="F457">IFERROR(_xlfn.LET(
_xlpm.CSVVal,_xlfn.XLOOKUP($A457,CSV!$A:$A,CSV!F:F,""),
_xlpm.MacVal,_xlfn.XLOOKUP($A457,Output_Mac!$A:$A,Output_Mac!E:E,""),
_xlpm.MyAuditVal,_xlfn.XLOOKUP($A457,My_Audit!$A:$A,My_Audit!E:E,""),
_xlfn.IFS(_xlpm.MyAuditVal&lt;&gt;"",_xlpm.MyAuditVal,_xlpm.MacVal&lt;&gt;"",_xlpm.MacVal,_xlpm.CSVVal&lt;&gt;"",_xlpm.CSVVal
)),"")</f>
        <v/>
      </c>
      <c r="G457" s="40" t="str" cm="1">
        <f t="array" ref="G457">IFERROR(_xlfn.LET(
_xlpm.CSVVal,_xlfn.XLOOKUP($A457,CSV!$A:$A,CSV!G:G,""),
_xlpm.MacVal,_xlfn.XLOOKUP($A457,Output_Mac!$A:$A,Output_Mac!F:F,""),
_xlpm.MyAuditVal,_xlfn.XLOOKUP($A457,My_Audit!$A:$A,My_Audit!F:F,""),
_xlfn.IFS(_xlpm.MyAuditVal&lt;&gt;"",_xlpm.MyAuditVal,_xlpm.MacVal&lt;&gt;"",_xlpm.MacVal,_xlpm.CSVVal&lt;&gt;"",PROPER(_xlpm.CSVVal)
)),"")</f>
        <v/>
      </c>
      <c r="H457" s="40" t="str" cm="1">
        <f t="array" ref="H457">IFERROR(_xlfn.LET(
_xlpm.CSVVal,_xlfn.XLOOKUP($A457,CSV!$A:$A,CSV!H:H,""),
_xlpm.MacVal,_xlfn.XLOOKUP($A457,Output_Mac!$A:$A,Output_Mac!H:H,""),
_xlpm.MyAuditVal,_xlfn.XLOOKUP($A457,My_Audit!$A:$A,My_Audit!G:G,""),
_xlfn.IFS(_xlpm.MyAuditVal&lt;&gt;"",_xlpm.MyAuditVal,_xlpm.MacVal&lt;&gt;"",_xlpm.MacVal,_xlpm.CSVVal&lt;&gt;"",_xlpm.CSVVal
)),"")</f>
        <v/>
      </c>
      <c r="I457" s="40" t="str">
        <f>_xlfn.XLOOKUP(A457,Output_Mac!A:A,Output_Mac!I:I,"")</f>
        <v/>
      </c>
      <c r="J457" s="40" t="str" cm="1">
        <f t="array" ref="J457">IFERROR(_xlfn.LET(
_xlpm.CSVVal,_xlfn.XLOOKUP($A457,CSV!$A:$A,CSV!I:I,""),
_xlpm.MacVal,_xlfn.XLOOKUP($A457,Output_Mac!$A:$A,Output_Mac!J:J,""),
_xlpm.MyAuditVal,_xlfn.XLOOKUP($A457,My_Audit!$A:$A,My_Audit!I:I,""),
_xlfn.IFS(_xlpm.MyAuditVal&lt;&gt;"",UPPER(_xlpm.MyAuditVal),_xlpm.MacVal&lt;&gt;"",_xlpm.MacVal,_xlpm.CSVVal&lt;&gt;"",_xlpm.CSVVal
)),"")</f>
        <v/>
      </c>
      <c r="K457" s="40" t="str" cm="1">
        <f t="array" ref="K457">IFERROR(_xlfn.LET(
_xlpm.CSVVal,_xlfn.XLOOKUP($A457,CSV!$A:$A,CSV!K:K,""),
_xlpm.MacVal,_xlfn.XLOOKUP($A457,Output_Mac!$A:$A,Output_Mac!K:K,""),
_xlpm.MyAuditVal,_xlfn.XLOOKUP($A457,My_Audit!$A:$A,My_Audit!J:J,""),
_xlfn.IFS(_xlpm.MyAuditVal&lt;&gt;"",UPPER(_xlpm.MyAuditVal),_xlpm.MacVal&lt;&gt;"",_xlpm.MacVal,_xlpm.CSVVal&lt;&gt;"",_xlpm.CSVVal
)),"")</f>
        <v/>
      </c>
      <c r="L457" s="40" t="str" cm="1">
        <f t="array" ref="L457">IFERROR(_xlfn.LET(
_xlpm.CSVVal,_xlfn.XLOOKUP($A457,CSV!$A:$A,CSV!P:P,""),
_xlpm.MacVal,_xlfn.XLOOKUP($A457,Output_Mac!$A:$A,Output_Mac!L:L,""),
_xlpm.MyAuditVal,_xlfn.XLOOKUP($A457,My_Audit!$A:$A,My_Audit!K:K,""),
_xlfn.IFS(_xlpm.MyAuditVal&lt;&gt;"",UPPER(_xlpm.MyAuditVal),_xlpm.MacVal&lt;&gt;"",_xlpm.MacVal,_xlpm.CSVVal&lt;&gt;"",_xlpm.CSVVal
)),"")</f>
        <v/>
      </c>
      <c r="M457" s="40" t="str" cm="1">
        <f t="array" ref="M457">IFERROR(_xlfn.LET(
_xlpm.CSVVal,_xlfn.XLOOKUP($A457,CSV!$A:$A,CSV!Q:Q,""),
_xlpm.MacVal,_xlfn.XLOOKUP($A457,Output_Mac!$A:$A,Output_Mac!M:M,""),
_xlpm.MyAuditVal,_xlfn.XLOOKUP($A457,My_Audit!$A:$A,My_Audit!L:L,""),
_xlfn.IFS(_xlpm.MyAuditVal&lt;&gt;"",UPPER(_xlpm.MyAuditVal),_xlpm.MacVal&lt;&gt;"",_xlpm.MacVal,_xlpm.CSVVal&lt;&gt;"",_xlpm.CSVVal
)),"")</f>
        <v/>
      </c>
      <c r="N457" s="40"/>
      <c r="O457" s="40" t="str">
        <f>_xlfn.LET(
    _xlpm.CSVVal, _xlfn.XLOOKUP($A457, CSV!$A:$A, CSV!AA:AA, ""),
    _xlpm.MacVal, _xlfn.XLOOKUP($A457, Output_Mac!$A:$A, Output_Mac!S:S, ""),
    _xlpm.MyAuditVal, _xlfn.XLOOKUP($A457, My_Audit!$A:$A, My_Audit!P:P, ""),
    _xlfn.TEXTJOIN(", ", TRUE, _xlpm.MyAuditVal, _xlpm.MacVal, _xlpm.CSVVal)
)</f>
        <v/>
      </c>
      <c r="P457" s="40" t="str" cm="1">
        <f t="array" ref="P457">IFERROR(_xlfn.LET(
_xlpm.CSVVal,_xlfn.XLOOKUP($A457,CSV!$A:$A,CSV!AB:AB,""),
_xlpm.MacVal,_xlfn.XLOOKUP($A457,Output_Mac!$A:$A,Output_Mac!T:T,""),
_xlpm.MyAuditVal,_xlfn.XLOOKUP($A457,My_Audit!$A:$A,My_Audit!Q:Q,""),
_xlfn.IFS(_xlpm.MyAuditVal&lt;&gt;"",UPPER(_xlpm.MyAuditVal),_xlpm.MacVal&lt;&gt;"",_xlpm.MacVal,_xlpm.CSVVal&lt;&gt;"",_xlpm.CSVVal
)),"No")</f>
        <v>No</v>
      </c>
      <c r="Q457" s="40" t="str" cm="1">
        <f t="array" ref="Q457">IFERROR(_xlfn.LET(
_xlpm.CSVVal,_xlfn.XLOOKUP($A457,CSV!$A:$A,CSV!AC:AC,""),
_xlpm.MacVal,_xlfn.XLOOKUP($A457,Output_Mac!$A:$A,Output_Mac!U:U,""),
_xlpm.MyAuditVal,_xlfn.XLOOKUP($A457,My_Audit!$A:$A,My_Audit!R:R,""),
_xlfn.IFS(_xlpm.MyAuditVal&lt;&gt;"",UPPER(_xlpm.MyAuditVal),_xlpm.MacVal&lt;&gt;"",_xlpm.MacVal,_xlpm.CSVVal&lt;&gt;"",_xlpm.CSVVal
)),"")</f>
        <v/>
      </c>
      <c r="R457" s="40"/>
      <c r="S457" s="40"/>
      <c r="T457" s="40"/>
      <c r="U457" s="40"/>
      <c r="V457" s="40"/>
      <c r="W457" s="40"/>
      <c r="X457" s="41" t="str">
        <f>_xlfn.LET(
    _xlpm.MacVal, _xlfn.XLOOKUP($A457, Output_Mac!$A:$A, Output_Mac!AB:AB, ""),
    _xlpm.MyAuditVal, _xlfn.XLOOKUP($A457, My_Audit!$A:$A, My_Audit!N:N, ""),
    _xlfn.TEXTJOIN(", ", TRUE, _xlpm.MyAuditVal, _xlpm.MacVal)
)</f>
        <v/>
      </c>
    </row>
    <row r="458" spans="1:24">
      <c r="A458" s="40" t="str">
        <f>_xlfn.TEXTJOIN("",TRUE,Input!$B$2,ROW(My_Audit!A457))</f>
        <v>X457</v>
      </c>
      <c r="B458" s="40" t="str">
        <f>_xlfn.TEXTJOIN("-",TRUE,"ITD",Input!$A$2,A458)</f>
        <v>ITD-X457</v>
      </c>
      <c r="C458" s="40" t="str" cm="1">
        <f t="array" ref="C458">IFERROR(_xlfn.LET(
_xlpm.CSVVal,_xlfn.XLOOKUP($A458,CSV!$A:$A,CSV!B:B,""),
_xlpm.MacVal,_xlfn.XLOOKUP($A458,Output_Mac!$A:$A,Output_Mac!B:B,""),
_xlpm.MyAuditVal,_xlfn.XLOOKUP($A458,My_Audit!$A:$A,My_Audit!B:B,""),
_xlfn.IFS(_xlpm.MyAuditVal&lt;&gt;"",UPPER(_xlpm.MyAuditVal),_xlpm.MacVal&lt;&gt;"",_xlpm.MacVal,_xlpm.CSVVal&lt;&gt;"",_xlpm.CSVVal
)),"")</f>
        <v/>
      </c>
      <c r="D458" s="40" t="str" cm="1">
        <f t="array" ref="D458">IFERROR(_xlfn.LET(
_xlpm.CSVVal,_xlfn.XLOOKUP($A458,CSV!$A:$A,CSV!D:D,""),
_xlpm.MacVal,_xlfn.XLOOKUP($A458,Output_Mac!$A:$A,Output_Mac!C:C,""),
_xlpm.MyAuditVal,_xlfn.XLOOKUP($A458,My_Audit!$A:$A,My_Audit!C:C,""),
_xlfn.IFS(_xlpm.MyAuditVal&lt;&gt;"",_xlpm.MyAuditVal,_xlpm.MacVal&lt;&gt;"",_xlpm.MacVal,_xlpm.CSVVal&lt;&gt;"",_xlpm.CSVVal
)),"")</f>
        <v/>
      </c>
      <c r="E458" s="40" t="str">
        <f>_xlfn.XLOOKUP(A458,My_Audit!A:A,My_Audit!D:D,"")</f>
        <v/>
      </c>
      <c r="F458" s="40" t="str" cm="1">
        <f t="array" ref="F458">IFERROR(_xlfn.LET(
_xlpm.CSVVal,_xlfn.XLOOKUP($A458,CSV!$A:$A,CSV!F:F,""),
_xlpm.MacVal,_xlfn.XLOOKUP($A458,Output_Mac!$A:$A,Output_Mac!E:E,""),
_xlpm.MyAuditVal,_xlfn.XLOOKUP($A458,My_Audit!$A:$A,My_Audit!E:E,""),
_xlfn.IFS(_xlpm.MyAuditVal&lt;&gt;"",_xlpm.MyAuditVal,_xlpm.MacVal&lt;&gt;"",_xlpm.MacVal,_xlpm.CSVVal&lt;&gt;"",_xlpm.CSVVal
)),"")</f>
        <v/>
      </c>
      <c r="G458" s="40" t="str" cm="1">
        <f t="array" ref="G458">IFERROR(_xlfn.LET(
_xlpm.CSVVal,_xlfn.XLOOKUP($A458,CSV!$A:$A,CSV!G:G,""),
_xlpm.MacVal,_xlfn.XLOOKUP($A458,Output_Mac!$A:$A,Output_Mac!F:F,""),
_xlpm.MyAuditVal,_xlfn.XLOOKUP($A458,My_Audit!$A:$A,My_Audit!F:F,""),
_xlfn.IFS(_xlpm.MyAuditVal&lt;&gt;"",_xlpm.MyAuditVal,_xlpm.MacVal&lt;&gt;"",_xlpm.MacVal,_xlpm.CSVVal&lt;&gt;"",PROPER(_xlpm.CSVVal)
)),"")</f>
        <v/>
      </c>
      <c r="H458" s="40" t="str" cm="1">
        <f t="array" ref="H458">IFERROR(_xlfn.LET(
_xlpm.CSVVal,_xlfn.XLOOKUP($A458,CSV!$A:$A,CSV!H:H,""),
_xlpm.MacVal,_xlfn.XLOOKUP($A458,Output_Mac!$A:$A,Output_Mac!H:H,""),
_xlpm.MyAuditVal,_xlfn.XLOOKUP($A458,My_Audit!$A:$A,My_Audit!G:G,""),
_xlfn.IFS(_xlpm.MyAuditVal&lt;&gt;"",_xlpm.MyAuditVal,_xlpm.MacVal&lt;&gt;"",_xlpm.MacVal,_xlpm.CSVVal&lt;&gt;"",_xlpm.CSVVal
)),"")</f>
        <v/>
      </c>
      <c r="I458" s="40" t="str">
        <f>_xlfn.XLOOKUP(A458,Output_Mac!A:A,Output_Mac!I:I,"")</f>
        <v/>
      </c>
      <c r="J458" s="40" t="str" cm="1">
        <f t="array" ref="J458">IFERROR(_xlfn.LET(
_xlpm.CSVVal,_xlfn.XLOOKUP($A458,CSV!$A:$A,CSV!I:I,""),
_xlpm.MacVal,_xlfn.XLOOKUP($A458,Output_Mac!$A:$A,Output_Mac!J:J,""),
_xlpm.MyAuditVal,_xlfn.XLOOKUP($A458,My_Audit!$A:$A,My_Audit!I:I,""),
_xlfn.IFS(_xlpm.MyAuditVal&lt;&gt;"",UPPER(_xlpm.MyAuditVal),_xlpm.MacVal&lt;&gt;"",_xlpm.MacVal,_xlpm.CSVVal&lt;&gt;"",_xlpm.CSVVal
)),"")</f>
        <v/>
      </c>
      <c r="K458" s="40" t="str" cm="1">
        <f t="array" ref="K458">IFERROR(_xlfn.LET(
_xlpm.CSVVal,_xlfn.XLOOKUP($A458,CSV!$A:$A,CSV!K:K,""),
_xlpm.MacVal,_xlfn.XLOOKUP($A458,Output_Mac!$A:$A,Output_Mac!K:K,""),
_xlpm.MyAuditVal,_xlfn.XLOOKUP($A458,My_Audit!$A:$A,My_Audit!J:J,""),
_xlfn.IFS(_xlpm.MyAuditVal&lt;&gt;"",UPPER(_xlpm.MyAuditVal),_xlpm.MacVal&lt;&gt;"",_xlpm.MacVal,_xlpm.CSVVal&lt;&gt;"",_xlpm.CSVVal
)),"")</f>
        <v/>
      </c>
      <c r="L458" s="40" t="str" cm="1">
        <f t="array" ref="L458">IFERROR(_xlfn.LET(
_xlpm.CSVVal,_xlfn.XLOOKUP($A458,CSV!$A:$A,CSV!P:P,""),
_xlpm.MacVal,_xlfn.XLOOKUP($A458,Output_Mac!$A:$A,Output_Mac!L:L,""),
_xlpm.MyAuditVal,_xlfn.XLOOKUP($A458,My_Audit!$A:$A,My_Audit!K:K,""),
_xlfn.IFS(_xlpm.MyAuditVal&lt;&gt;"",UPPER(_xlpm.MyAuditVal),_xlpm.MacVal&lt;&gt;"",_xlpm.MacVal,_xlpm.CSVVal&lt;&gt;"",_xlpm.CSVVal
)),"")</f>
        <v/>
      </c>
      <c r="M458" s="40" t="str" cm="1">
        <f t="array" ref="M458">IFERROR(_xlfn.LET(
_xlpm.CSVVal,_xlfn.XLOOKUP($A458,CSV!$A:$A,CSV!Q:Q,""),
_xlpm.MacVal,_xlfn.XLOOKUP($A458,Output_Mac!$A:$A,Output_Mac!M:M,""),
_xlpm.MyAuditVal,_xlfn.XLOOKUP($A458,My_Audit!$A:$A,My_Audit!L:L,""),
_xlfn.IFS(_xlpm.MyAuditVal&lt;&gt;"",UPPER(_xlpm.MyAuditVal),_xlpm.MacVal&lt;&gt;"",_xlpm.MacVal,_xlpm.CSVVal&lt;&gt;"",_xlpm.CSVVal
)),"")</f>
        <v/>
      </c>
      <c r="N458" s="40"/>
      <c r="O458" s="40" t="str">
        <f>_xlfn.LET(
    _xlpm.CSVVal, _xlfn.XLOOKUP($A458, CSV!$A:$A, CSV!AA:AA, ""),
    _xlpm.MacVal, _xlfn.XLOOKUP($A458, Output_Mac!$A:$A, Output_Mac!S:S, ""),
    _xlpm.MyAuditVal, _xlfn.XLOOKUP($A458, My_Audit!$A:$A, My_Audit!P:P, ""),
    _xlfn.TEXTJOIN(", ", TRUE, _xlpm.MyAuditVal, _xlpm.MacVal, _xlpm.CSVVal)
)</f>
        <v/>
      </c>
      <c r="P458" s="40" t="str" cm="1">
        <f t="array" ref="P458">IFERROR(_xlfn.LET(
_xlpm.CSVVal,_xlfn.XLOOKUP($A458,CSV!$A:$A,CSV!AB:AB,""),
_xlpm.MacVal,_xlfn.XLOOKUP($A458,Output_Mac!$A:$A,Output_Mac!T:T,""),
_xlpm.MyAuditVal,_xlfn.XLOOKUP($A458,My_Audit!$A:$A,My_Audit!Q:Q,""),
_xlfn.IFS(_xlpm.MyAuditVal&lt;&gt;"",UPPER(_xlpm.MyAuditVal),_xlpm.MacVal&lt;&gt;"",_xlpm.MacVal,_xlpm.CSVVal&lt;&gt;"",_xlpm.CSVVal
)),"No")</f>
        <v>No</v>
      </c>
      <c r="Q458" s="40" t="str" cm="1">
        <f t="array" ref="Q458">IFERROR(_xlfn.LET(
_xlpm.CSVVal,_xlfn.XLOOKUP($A458,CSV!$A:$A,CSV!AC:AC,""),
_xlpm.MacVal,_xlfn.XLOOKUP($A458,Output_Mac!$A:$A,Output_Mac!U:U,""),
_xlpm.MyAuditVal,_xlfn.XLOOKUP($A458,My_Audit!$A:$A,My_Audit!R:R,""),
_xlfn.IFS(_xlpm.MyAuditVal&lt;&gt;"",UPPER(_xlpm.MyAuditVal),_xlpm.MacVal&lt;&gt;"",_xlpm.MacVal,_xlpm.CSVVal&lt;&gt;"",_xlpm.CSVVal
)),"")</f>
        <v/>
      </c>
      <c r="R458" s="40"/>
      <c r="S458" s="40"/>
      <c r="T458" s="40"/>
      <c r="U458" s="40"/>
      <c r="V458" s="40"/>
      <c r="W458" s="40"/>
      <c r="X458" s="41" t="str">
        <f>_xlfn.LET(
    _xlpm.MacVal, _xlfn.XLOOKUP($A458, Output_Mac!$A:$A, Output_Mac!AB:AB, ""),
    _xlpm.MyAuditVal, _xlfn.XLOOKUP($A458, My_Audit!$A:$A, My_Audit!N:N, ""),
    _xlfn.TEXTJOIN(", ", TRUE, _xlpm.MyAuditVal, _xlpm.MacVal)
)</f>
        <v/>
      </c>
    </row>
    <row r="459" spans="1:24">
      <c r="A459" s="40" t="str">
        <f>_xlfn.TEXTJOIN("",TRUE,Input!$B$2,ROW(My_Audit!A458))</f>
        <v>X458</v>
      </c>
      <c r="B459" s="40" t="str">
        <f>_xlfn.TEXTJOIN("-",TRUE,"ITD",Input!$A$2,A459)</f>
        <v>ITD-X458</v>
      </c>
      <c r="C459" s="40" t="str" cm="1">
        <f t="array" ref="C459">IFERROR(_xlfn.LET(
_xlpm.CSVVal,_xlfn.XLOOKUP($A459,CSV!$A:$A,CSV!B:B,""),
_xlpm.MacVal,_xlfn.XLOOKUP($A459,Output_Mac!$A:$A,Output_Mac!B:B,""),
_xlpm.MyAuditVal,_xlfn.XLOOKUP($A459,My_Audit!$A:$A,My_Audit!B:B,""),
_xlfn.IFS(_xlpm.MyAuditVal&lt;&gt;"",UPPER(_xlpm.MyAuditVal),_xlpm.MacVal&lt;&gt;"",_xlpm.MacVal,_xlpm.CSVVal&lt;&gt;"",_xlpm.CSVVal
)),"")</f>
        <v/>
      </c>
      <c r="D459" s="40" t="str" cm="1">
        <f t="array" ref="D459">IFERROR(_xlfn.LET(
_xlpm.CSVVal,_xlfn.XLOOKUP($A459,CSV!$A:$A,CSV!D:D,""),
_xlpm.MacVal,_xlfn.XLOOKUP($A459,Output_Mac!$A:$A,Output_Mac!C:C,""),
_xlpm.MyAuditVal,_xlfn.XLOOKUP($A459,My_Audit!$A:$A,My_Audit!C:C,""),
_xlfn.IFS(_xlpm.MyAuditVal&lt;&gt;"",_xlpm.MyAuditVal,_xlpm.MacVal&lt;&gt;"",_xlpm.MacVal,_xlpm.CSVVal&lt;&gt;"",_xlpm.CSVVal
)),"")</f>
        <v/>
      </c>
      <c r="E459" s="40" t="str">
        <f>_xlfn.XLOOKUP(A459,My_Audit!A:A,My_Audit!D:D,"")</f>
        <v/>
      </c>
      <c r="F459" s="40" t="str" cm="1">
        <f t="array" ref="F459">IFERROR(_xlfn.LET(
_xlpm.CSVVal,_xlfn.XLOOKUP($A459,CSV!$A:$A,CSV!F:F,""),
_xlpm.MacVal,_xlfn.XLOOKUP($A459,Output_Mac!$A:$A,Output_Mac!E:E,""),
_xlpm.MyAuditVal,_xlfn.XLOOKUP($A459,My_Audit!$A:$A,My_Audit!E:E,""),
_xlfn.IFS(_xlpm.MyAuditVal&lt;&gt;"",_xlpm.MyAuditVal,_xlpm.MacVal&lt;&gt;"",_xlpm.MacVal,_xlpm.CSVVal&lt;&gt;"",_xlpm.CSVVal
)),"")</f>
        <v/>
      </c>
      <c r="G459" s="40" t="str" cm="1">
        <f t="array" ref="G459">IFERROR(_xlfn.LET(
_xlpm.CSVVal,_xlfn.XLOOKUP($A459,CSV!$A:$A,CSV!G:G,""),
_xlpm.MacVal,_xlfn.XLOOKUP($A459,Output_Mac!$A:$A,Output_Mac!F:F,""),
_xlpm.MyAuditVal,_xlfn.XLOOKUP($A459,My_Audit!$A:$A,My_Audit!F:F,""),
_xlfn.IFS(_xlpm.MyAuditVal&lt;&gt;"",_xlpm.MyAuditVal,_xlpm.MacVal&lt;&gt;"",_xlpm.MacVal,_xlpm.CSVVal&lt;&gt;"",PROPER(_xlpm.CSVVal)
)),"")</f>
        <v/>
      </c>
      <c r="H459" s="40" t="str" cm="1">
        <f t="array" ref="H459">IFERROR(_xlfn.LET(
_xlpm.CSVVal,_xlfn.XLOOKUP($A459,CSV!$A:$A,CSV!H:H,""),
_xlpm.MacVal,_xlfn.XLOOKUP($A459,Output_Mac!$A:$A,Output_Mac!H:H,""),
_xlpm.MyAuditVal,_xlfn.XLOOKUP($A459,My_Audit!$A:$A,My_Audit!G:G,""),
_xlfn.IFS(_xlpm.MyAuditVal&lt;&gt;"",_xlpm.MyAuditVal,_xlpm.MacVal&lt;&gt;"",_xlpm.MacVal,_xlpm.CSVVal&lt;&gt;"",_xlpm.CSVVal
)),"")</f>
        <v/>
      </c>
      <c r="I459" s="40" t="str">
        <f>_xlfn.XLOOKUP(A459,Output_Mac!A:A,Output_Mac!I:I,"")</f>
        <v/>
      </c>
      <c r="J459" s="40" t="str" cm="1">
        <f t="array" ref="J459">IFERROR(_xlfn.LET(
_xlpm.CSVVal,_xlfn.XLOOKUP($A459,CSV!$A:$A,CSV!I:I,""),
_xlpm.MacVal,_xlfn.XLOOKUP($A459,Output_Mac!$A:$A,Output_Mac!J:J,""),
_xlpm.MyAuditVal,_xlfn.XLOOKUP($A459,My_Audit!$A:$A,My_Audit!I:I,""),
_xlfn.IFS(_xlpm.MyAuditVal&lt;&gt;"",UPPER(_xlpm.MyAuditVal),_xlpm.MacVal&lt;&gt;"",_xlpm.MacVal,_xlpm.CSVVal&lt;&gt;"",_xlpm.CSVVal
)),"")</f>
        <v/>
      </c>
      <c r="K459" s="40" t="str" cm="1">
        <f t="array" ref="K459">IFERROR(_xlfn.LET(
_xlpm.CSVVal,_xlfn.XLOOKUP($A459,CSV!$A:$A,CSV!K:K,""),
_xlpm.MacVal,_xlfn.XLOOKUP($A459,Output_Mac!$A:$A,Output_Mac!K:K,""),
_xlpm.MyAuditVal,_xlfn.XLOOKUP($A459,My_Audit!$A:$A,My_Audit!J:J,""),
_xlfn.IFS(_xlpm.MyAuditVal&lt;&gt;"",UPPER(_xlpm.MyAuditVal),_xlpm.MacVal&lt;&gt;"",_xlpm.MacVal,_xlpm.CSVVal&lt;&gt;"",_xlpm.CSVVal
)),"")</f>
        <v/>
      </c>
      <c r="L459" s="40" t="str" cm="1">
        <f t="array" ref="L459">IFERROR(_xlfn.LET(
_xlpm.CSVVal,_xlfn.XLOOKUP($A459,CSV!$A:$A,CSV!P:P,""),
_xlpm.MacVal,_xlfn.XLOOKUP($A459,Output_Mac!$A:$A,Output_Mac!L:L,""),
_xlpm.MyAuditVal,_xlfn.XLOOKUP($A459,My_Audit!$A:$A,My_Audit!K:K,""),
_xlfn.IFS(_xlpm.MyAuditVal&lt;&gt;"",UPPER(_xlpm.MyAuditVal),_xlpm.MacVal&lt;&gt;"",_xlpm.MacVal,_xlpm.CSVVal&lt;&gt;"",_xlpm.CSVVal
)),"")</f>
        <v/>
      </c>
      <c r="M459" s="40" t="str" cm="1">
        <f t="array" ref="M459">IFERROR(_xlfn.LET(
_xlpm.CSVVal,_xlfn.XLOOKUP($A459,CSV!$A:$A,CSV!Q:Q,""),
_xlpm.MacVal,_xlfn.XLOOKUP($A459,Output_Mac!$A:$A,Output_Mac!M:M,""),
_xlpm.MyAuditVal,_xlfn.XLOOKUP($A459,My_Audit!$A:$A,My_Audit!L:L,""),
_xlfn.IFS(_xlpm.MyAuditVal&lt;&gt;"",UPPER(_xlpm.MyAuditVal),_xlpm.MacVal&lt;&gt;"",_xlpm.MacVal,_xlpm.CSVVal&lt;&gt;"",_xlpm.CSVVal
)),"")</f>
        <v/>
      </c>
      <c r="N459" s="40"/>
      <c r="O459" s="40" t="str">
        <f>_xlfn.LET(
    _xlpm.CSVVal, _xlfn.XLOOKUP($A459, CSV!$A:$A, CSV!AA:AA, ""),
    _xlpm.MacVal, _xlfn.XLOOKUP($A459, Output_Mac!$A:$A, Output_Mac!S:S, ""),
    _xlpm.MyAuditVal, _xlfn.XLOOKUP($A459, My_Audit!$A:$A, My_Audit!P:P, ""),
    _xlfn.TEXTJOIN(", ", TRUE, _xlpm.MyAuditVal, _xlpm.MacVal, _xlpm.CSVVal)
)</f>
        <v/>
      </c>
      <c r="P459" s="40" t="str" cm="1">
        <f t="array" ref="P459">IFERROR(_xlfn.LET(
_xlpm.CSVVal,_xlfn.XLOOKUP($A459,CSV!$A:$A,CSV!AB:AB,""),
_xlpm.MacVal,_xlfn.XLOOKUP($A459,Output_Mac!$A:$A,Output_Mac!T:T,""),
_xlpm.MyAuditVal,_xlfn.XLOOKUP($A459,My_Audit!$A:$A,My_Audit!Q:Q,""),
_xlfn.IFS(_xlpm.MyAuditVal&lt;&gt;"",UPPER(_xlpm.MyAuditVal),_xlpm.MacVal&lt;&gt;"",_xlpm.MacVal,_xlpm.CSVVal&lt;&gt;"",_xlpm.CSVVal
)),"No")</f>
        <v>No</v>
      </c>
      <c r="Q459" s="40" t="str" cm="1">
        <f t="array" ref="Q459">IFERROR(_xlfn.LET(
_xlpm.CSVVal,_xlfn.XLOOKUP($A459,CSV!$A:$A,CSV!AC:AC,""),
_xlpm.MacVal,_xlfn.XLOOKUP($A459,Output_Mac!$A:$A,Output_Mac!U:U,""),
_xlpm.MyAuditVal,_xlfn.XLOOKUP($A459,My_Audit!$A:$A,My_Audit!R:R,""),
_xlfn.IFS(_xlpm.MyAuditVal&lt;&gt;"",UPPER(_xlpm.MyAuditVal),_xlpm.MacVal&lt;&gt;"",_xlpm.MacVal,_xlpm.CSVVal&lt;&gt;"",_xlpm.CSVVal
)),"")</f>
        <v/>
      </c>
      <c r="R459" s="40"/>
      <c r="S459" s="40"/>
      <c r="T459" s="40"/>
      <c r="U459" s="40"/>
      <c r="V459" s="40"/>
      <c r="W459" s="40"/>
      <c r="X459" s="41" t="str">
        <f>_xlfn.LET(
    _xlpm.MacVal, _xlfn.XLOOKUP($A459, Output_Mac!$A:$A, Output_Mac!AB:AB, ""),
    _xlpm.MyAuditVal, _xlfn.XLOOKUP($A459, My_Audit!$A:$A, My_Audit!N:N, ""),
    _xlfn.TEXTJOIN(", ", TRUE, _xlpm.MyAuditVal, _xlpm.MacVal)
)</f>
        <v/>
      </c>
    </row>
    <row r="460" spans="1:24">
      <c r="A460" s="40" t="str">
        <f>_xlfn.TEXTJOIN("",TRUE,Input!$B$2,ROW(My_Audit!A459))</f>
        <v>X459</v>
      </c>
      <c r="B460" s="40" t="str">
        <f>_xlfn.TEXTJOIN("-",TRUE,"ITD",Input!$A$2,A460)</f>
        <v>ITD-X459</v>
      </c>
      <c r="C460" s="40" t="str" cm="1">
        <f t="array" ref="C460">IFERROR(_xlfn.LET(
_xlpm.CSVVal,_xlfn.XLOOKUP($A460,CSV!$A:$A,CSV!B:B,""),
_xlpm.MacVal,_xlfn.XLOOKUP($A460,Output_Mac!$A:$A,Output_Mac!B:B,""),
_xlpm.MyAuditVal,_xlfn.XLOOKUP($A460,My_Audit!$A:$A,My_Audit!B:B,""),
_xlfn.IFS(_xlpm.MyAuditVal&lt;&gt;"",UPPER(_xlpm.MyAuditVal),_xlpm.MacVal&lt;&gt;"",_xlpm.MacVal,_xlpm.CSVVal&lt;&gt;"",_xlpm.CSVVal
)),"")</f>
        <v/>
      </c>
      <c r="D460" s="40" t="str" cm="1">
        <f t="array" ref="D460">IFERROR(_xlfn.LET(
_xlpm.CSVVal,_xlfn.XLOOKUP($A460,CSV!$A:$A,CSV!D:D,""),
_xlpm.MacVal,_xlfn.XLOOKUP($A460,Output_Mac!$A:$A,Output_Mac!C:C,""),
_xlpm.MyAuditVal,_xlfn.XLOOKUP($A460,My_Audit!$A:$A,My_Audit!C:C,""),
_xlfn.IFS(_xlpm.MyAuditVal&lt;&gt;"",_xlpm.MyAuditVal,_xlpm.MacVal&lt;&gt;"",_xlpm.MacVal,_xlpm.CSVVal&lt;&gt;"",_xlpm.CSVVal
)),"")</f>
        <v/>
      </c>
      <c r="E460" s="40" t="str">
        <f>_xlfn.XLOOKUP(A460,My_Audit!A:A,My_Audit!D:D,"")</f>
        <v/>
      </c>
      <c r="F460" s="40" t="str" cm="1">
        <f t="array" ref="F460">IFERROR(_xlfn.LET(
_xlpm.CSVVal,_xlfn.XLOOKUP($A460,CSV!$A:$A,CSV!F:F,""),
_xlpm.MacVal,_xlfn.XLOOKUP($A460,Output_Mac!$A:$A,Output_Mac!E:E,""),
_xlpm.MyAuditVal,_xlfn.XLOOKUP($A460,My_Audit!$A:$A,My_Audit!E:E,""),
_xlfn.IFS(_xlpm.MyAuditVal&lt;&gt;"",_xlpm.MyAuditVal,_xlpm.MacVal&lt;&gt;"",_xlpm.MacVal,_xlpm.CSVVal&lt;&gt;"",_xlpm.CSVVal
)),"")</f>
        <v/>
      </c>
      <c r="G460" s="40" t="str" cm="1">
        <f t="array" ref="G460">IFERROR(_xlfn.LET(
_xlpm.CSVVal,_xlfn.XLOOKUP($A460,CSV!$A:$A,CSV!G:G,""),
_xlpm.MacVal,_xlfn.XLOOKUP($A460,Output_Mac!$A:$A,Output_Mac!F:F,""),
_xlpm.MyAuditVal,_xlfn.XLOOKUP($A460,My_Audit!$A:$A,My_Audit!F:F,""),
_xlfn.IFS(_xlpm.MyAuditVal&lt;&gt;"",_xlpm.MyAuditVal,_xlpm.MacVal&lt;&gt;"",_xlpm.MacVal,_xlpm.CSVVal&lt;&gt;"",PROPER(_xlpm.CSVVal)
)),"")</f>
        <v/>
      </c>
      <c r="H460" s="40" t="str" cm="1">
        <f t="array" ref="H460">IFERROR(_xlfn.LET(
_xlpm.CSVVal,_xlfn.XLOOKUP($A460,CSV!$A:$A,CSV!H:H,""),
_xlpm.MacVal,_xlfn.XLOOKUP($A460,Output_Mac!$A:$A,Output_Mac!H:H,""),
_xlpm.MyAuditVal,_xlfn.XLOOKUP($A460,My_Audit!$A:$A,My_Audit!G:G,""),
_xlfn.IFS(_xlpm.MyAuditVal&lt;&gt;"",_xlpm.MyAuditVal,_xlpm.MacVal&lt;&gt;"",_xlpm.MacVal,_xlpm.CSVVal&lt;&gt;"",_xlpm.CSVVal
)),"")</f>
        <v/>
      </c>
      <c r="I460" s="40" t="str">
        <f>_xlfn.XLOOKUP(A460,Output_Mac!A:A,Output_Mac!I:I,"")</f>
        <v/>
      </c>
      <c r="J460" s="40" t="str" cm="1">
        <f t="array" ref="J460">IFERROR(_xlfn.LET(
_xlpm.CSVVal,_xlfn.XLOOKUP($A460,CSV!$A:$A,CSV!I:I,""),
_xlpm.MacVal,_xlfn.XLOOKUP($A460,Output_Mac!$A:$A,Output_Mac!J:J,""),
_xlpm.MyAuditVal,_xlfn.XLOOKUP($A460,My_Audit!$A:$A,My_Audit!I:I,""),
_xlfn.IFS(_xlpm.MyAuditVal&lt;&gt;"",UPPER(_xlpm.MyAuditVal),_xlpm.MacVal&lt;&gt;"",_xlpm.MacVal,_xlpm.CSVVal&lt;&gt;"",_xlpm.CSVVal
)),"")</f>
        <v/>
      </c>
      <c r="K460" s="40" t="str" cm="1">
        <f t="array" ref="K460">IFERROR(_xlfn.LET(
_xlpm.CSVVal,_xlfn.XLOOKUP($A460,CSV!$A:$A,CSV!K:K,""),
_xlpm.MacVal,_xlfn.XLOOKUP($A460,Output_Mac!$A:$A,Output_Mac!K:K,""),
_xlpm.MyAuditVal,_xlfn.XLOOKUP($A460,My_Audit!$A:$A,My_Audit!J:J,""),
_xlfn.IFS(_xlpm.MyAuditVal&lt;&gt;"",UPPER(_xlpm.MyAuditVal),_xlpm.MacVal&lt;&gt;"",_xlpm.MacVal,_xlpm.CSVVal&lt;&gt;"",_xlpm.CSVVal
)),"")</f>
        <v/>
      </c>
      <c r="L460" s="40" t="str" cm="1">
        <f t="array" ref="L460">IFERROR(_xlfn.LET(
_xlpm.CSVVal,_xlfn.XLOOKUP($A460,CSV!$A:$A,CSV!P:P,""),
_xlpm.MacVal,_xlfn.XLOOKUP($A460,Output_Mac!$A:$A,Output_Mac!L:L,""),
_xlpm.MyAuditVal,_xlfn.XLOOKUP($A460,My_Audit!$A:$A,My_Audit!K:K,""),
_xlfn.IFS(_xlpm.MyAuditVal&lt;&gt;"",UPPER(_xlpm.MyAuditVal),_xlpm.MacVal&lt;&gt;"",_xlpm.MacVal,_xlpm.CSVVal&lt;&gt;"",_xlpm.CSVVal
)),"")</f>
        <v/>
      </c>
      <c r="M460" s="40" t="str" cm="1">
        <f t="array" ref="M460">IFERROR(_xlfn.LET(
_xlpm.CSVVal,_xlfn.XLOOKUP($A460,CSV!$A:$A,CSV!Q:Q,""),
_xlpm.MacVal,_xlfn.XLOOKUP($A460,Output_Mac!$A:$A,Output_Mac!M:M,""),
_xlpm.MyAuditVal,_xlfn.XLOOKUP($A460,My_Audit!$A:$A,My_Audit!L:L,""),
_xlfn.IFS(_xlpm.MyAuditVal&lt;&gt;"",UPPER(_xlpm.MyAuditVal),_xlpm.MacVal&lt;&gt;"",_xlpm.MacVal,_xlpm.CSVVal&lt;&gt;"",_xlpm.CSVVal
)),"")</f>
        <v/>
      </c>
      <c r="N460" s="40"/>
      <c r="O460" s="40" t="str">
        <f>_xlfn.LET(
    _xlpm.CSVVal, _xlfn.XLOOKUP($A460, CSV!$A:$A, CSV!AA:AA, ""),
    _xlpm.MacVal, _xlfn.XLOOKUP($A460, Output_Mac!$A:$A, Output_Mac!S:S, ""),
    _xlpm.MyAuditVal, _xlfn.XLOOKUP($A460, My_Audit!$A:$A, My_Audit!P:P, ""),
    _xlfn.TEXTJOIN(", ", TRUE, _xlpm.MyAuditVal, _xlpm.MacVal, _xlpm.CSVVal)
)</f>
        <v/>
      </c>
      <c r="P460" s="40" t="str" cm="1">
        <f t="array" ref="P460">IFERROR(_xlfn.LET(
_xlpm.CSVVal,_xlfn.XLOOKUP($A460,CSV!$A:$A,CSV!AB:AB,""),
_xlpm.MacVal,_xlfn.XLOOKUP($A460,Output_Mac!$A:$A,Output_Mac!T:T,""),
_xlpm.MyAuditVal,_xlfn.XLOOKUP($A460,My_Audit!$A:$A,My_Audit!Q:Q,""),
_xlfn.IFS(_xlpm.MyAuditVal&lt;&gt;"",UPPER(_xlpm.MyAuditVal),_xlpm.MacVal&lt;&gt;"",_xlpm.MacVal,_xlpm.CSVVal&lt;&gt;"",_xlpm.CSVVal
)),"No")</f>
        <v>No</v>
      </c>
      <c r="Q460" s="40" t="str" cm="1">
        <f t="array" ref="Q460">IFERROR(_xlfn.LET(
_xlpm.CSVVal,_xlfn.XLOOKUP($A460,CSV!$A:$A,CSV!AC:AC,""),
_xlpm.MacVal,_xlfn.XLOOKUP($A460,Output_Mac!$A:$A,Output_Mac!U:U,""),
_xlpm.MyAuditVal,_xlfn.XLOOKUP($A460,My_Audit!$A:$A,My_Audit!R:R,""),
_xlfn.IFS(_xlpm.MyAuditVal&lt;&gt;"",UPPER(_xlpm.MyAuditVal),_xlpm.MacVal&lt;&gt;"",_xlpm.MacVal,_xlpm.CSVVal&lt;&gt;"",_xlpm.CSVVal
)),"")</f>
        <v/>
      </c>
      <c r="R460" s="40"/>
      <c r="S460" s="40"/>
      <c r="T460" s="40"/>
      <c r="U460" s="40"/>
      <c r="V460" s="40"/>
      <c r="W460" s="40"/>
      <c r="X460" s="41" t="str">
        <f>_xlfn.LET(
    _xlpm.MacVal, _xlfn.XLOOKUP($A460, Output_Mac!$A:$A, Output_Mac!AB:AB, ""),
    _xlpm.MyAuditVal, _xlfn.XLOOKUP($A460, My_Audit!$A:$A, My_Audit!N:N, ""),
    _xlfn.TEXTJOIN(", ", TRUE, _xlpm.MyAuditVal, _xlpm.MacVal)
)</f>
        <v/>
      </c>
    </row>
    <row r="461" spans="1:24">
      <c r="A461" s="40" t="str">
        <f>_xlfn.TEXTJOIN("",TRUE,Input!$B$2,ROW(My_Audit!A460))</f>
        <v>X460</v>
      </c>
      <c r="B461" s="40" t="str">
        <f>_xlfn.TEXTJOIN("-",TRUE,"ITD",Input!$A$2,A461)</f>
        <v>ITD-X460</v>
      </c>
      <c r="C461" s="40" t="str" cm="1">
        <f t="array" ref="C461">IFERROR(_xlfn.LET(
_xlpm.CSVVal,_xlfn.XLOOKUP($A461,CSV!$A:$A,CSV!B:B,""),
_xlpm.MacVal,_xlfn.XLOOKUP($A461,Output_Mac!$A:$A,Output_Mac!B:B,""),
_xlpm.MyAuditVal,_xlfn.XLOOKUP($A461,My_Audit!$A:$A,My_Audit!B:B,""),
_xlfn.IFS(_xlpm.MyAuditVal&lt;&gt;"",UPPER(_xlpm.MyAuditVal),_xlpm.MacVal&lt;&gt;"",_xlpm.MacVal,_xlpm.CSVVal&lt;&gt;"",_xlpm.CSVVal
)),"")</f>
        <v/>
      </c>
      <c r="D461" s="40" t="str" cm="1">
        <f t="array" ref="D461">IFERROR(_xlfn.LET(
_xlpm.CSVVal,_xlfn.XLOOKUP($A461,CSV!$A:$A,CSV!D:D,""),
_xlpm.MacVal,_xlfn.XLOOKUP($A461,Output_Mac!$A:$A,Output_Mac!C:C,""),
_xlpm.MyAuditVal,_xlfn.XLOOKUP($A461,My_Audit!$A:$A,My_Audit!C:C,""),
_xlfn.IFS(_xlpm.MyAuditVal&lt;&gt;"",_xlpm.MyAuditVal,_xlpm.MacVal&lt;&gt;"",_xlpm.MacVal,_xlpm.CSVVal&lt;&gt;"",_xlpm.CSVVal
)),"")</f>
        <v/>
      </c>
      <c r="E461" s="40" t="str">
        <f>_xlfn.XLOOKUP(A461,My_Audit!A:A,My_Audit!D:D,"")</f>
        <v/>
      </c>
      <c r="F461" s="40" t="str" cm="1">
        <f t="array" ref="F461">IFERROR(_xlfn.LET(
_xlpm.CSVVal,_xlfn.XLOOKUP($A461,CSV!$A:$A,CSV!F:F,""),
_xlpm.MacVal,_xlfn.XLOOKUP($A461,Output_Mac!$A:$A,Output_Mac!E:E,""),
_xlpm.MyAuditVal,_xlfn.XLOOKUP($A461,My_Audit!$A:$A,My_Audit!E:E,""),
_xlfn.IFS(_xlpm.MyAuditVal&lt;&gt;"",_xlpm.MyAuditVal,_xlpm.MacVal&lt;&gt;"",_xlpm.MacVal,_xlpm.CSVVal&lt;&gt;"",_xlpm.CSVVal
)),"")</f>
        <v/>
      </c>
      <c r="G461" s="40" t="str" cm="1">
        <f t="array" ref="G461">IFERROR(_xlfn.LET(
_xlpm.CSVVal,_xlfn.XLOOKUP($A461,CSV!$A:$A,CSV!G:G,""),
_xlpm.MacVal,_xlfn.XLOOKUP($A461,Output_Mac!$A:$A,Output_Mac!F:F,""),
_xlpm.MyAuditVal,_xlfn.XLOOKUP($A461,My_Audit!$A:$A,My_Audit!F:F,""),
_xlfn.IFS(_xlpm.MyAuditVal&lt;&gt;"",_xlpm.MyAuditVal,_xlpm.MacVal&lt;&gt;"",_xlpm.MacVal,_xlpm.CSVVal&lt;&gt;"",PROPER(_xlpm.CSVVal)
)),"")</f>
        <v/>
      </c>
      <c r="H461" s="40" t="str" cm="1">
        <f t="array" ref="H461">IFERROR(_xlfn.LET(
_xlpm.CSVVal,_xlfn.XLOOKUP($A461,CSV!$A:$A,CSV!H:H,""),
_xlpm.MacVal,_xlfn.XLOOKUP($A461,Output_Mac!$A:$A,Output_Mac!H:H,""),
_xlpm.MyAuditVal,_xlfn.XLOOKUP($A461,My_Audit!$A:$A,My_Audit!G:G,""),
_xlfn.IFS(_xlpm.MyAuditVal&lt;&gt;"",_xlpm.MyAuditVal,_xlpm.MacVal&lt;&gt;"",_xlpm.MacVal,_xlpm.CSVVal&lt;&gt;"",_xlpm.CSVVal
)),"")</f>
        <v/>
      </c>
      <c r="I461" s="40" t="str">
        <f>_xlfn.XLOOKUP(A461,Output_Mac!A:A,Output_Mac!I:I,"")</f>
        <v/>
      </c>
      <c r="J461" s="40" t="str" cm="1">
        <f t="array" ref="J461">IFERROR(_xlfn.LET(
_xlpm.CSVVal,_xlfn.XLOOKUP($A461,CSV!$A:$A,CSV!I:I,""),
_xlpm.MacVal,_xlfn.XLOOKUP($A461,Output_Mac!$A:$A,Output_Mac!J:J,""),
_xlpm.MyAuditVal,_xlfn.XLOOKUP($A461,My_Audit!$A:$A,My_Audit!I:I,""),
_xlfn.IFS(_xlpm.MyAuditVal&lt;&gt;"",UPPER(_xlpm.MyAuditVal),_xlpm.MacVal&lt;&gt;"",_xlpm.MacVal,_xlpm.CSVVal&lt;&gt;"",_xlpm.CSVVal
)),"")</f>
        <v/>
      </c>
      <c r="K461" s="40" t="str" cm="1">
        <f t="array" ref="K461">IFERROR(_xlfn.LET(
_xlpm.CSVVal,_xlfn.XLOOKUP($A461,CSV!$A:$A,CSV!K:K,""),
_xlpm.MacVal,_xlfn.XLOOKUP($A461,Output_Mac!$A:$A,Output_Mac!K:K,""),
_xlpm.MyAuditVal,_xlfn.XLOOKUP($A461,My_Audit!$A:$A,My_Audit!J:J,""),
_xlfn.IFS(_xlpm.MyAuditVal&lt;&gt;"",UPPER(_xlpm.MyAuditVal),_xlpm.MacVal&lt;&gt;"",_xlpm.MacVal,_xlpm.CSVVal&lt;&gt;"",_xlpm.CSVVal
)),"")</f>
        <v/>
      </c>
      <c r="L461" s="40" t="str" cm="1">
        <f t="array" ref="L461">IFERROR(_xlfn.LET(
_xlpm.CSVVal,_xlfn.XLOOKUP($A461,CSV!$A:$A,CSV!P:P,""),
_xlpm.MacVal,_xlfn.XLOOKUP($A461,Output_Mac!$A:$A,Output_Mac!L:L,""),
_xlpm.MyAuditVal,_xlfn.XLOOKUP($A461,My_Audit!$A:$A,My_Audit!K:K,""),
_xlfn.IFS(_xlpm.MyAuditVal&lt;&gt;"",UPPER(_xlpm.MyAuditVal),_xlpm.MacVal&lt;&gt;"",_xlpm.MacVal,_xlpm.CSVVal&lt;&gt;"",_xlpm.CSVVal
)),"")</f>
        <v/>
      </c>
      <c r="M461" s="40" t="str" cm="1">
        <f t="array" ref="M461">IFERROR(_xlfn.LET(
_xlpm.CSVVal,_xlfn.XLOOKUP($A461,CSV!$A:$A,CSV!Q:Q,""),
_xlpm.MacVal,_xlfn.XLOOKUP($A461,Output_Mac!$A:$A,Output_Mac!M:M,""),
_xlpm.MyAuditVal,_xlfn.XLOOKUP($A461,My_Audit!$A:$A,My_Audit!L:L,""),
_xlfn.IFS(_xlpm.MyAuditVal&lt;&gt;"",UPPER(_xlpm.MyAuditVal),_xlpm.MacVal&lt;&gt;"",_xlpm.MacVal,_xlpm.CSVVal&lt;&gt;"",_xlpm.CSVVal
)),"")</f>
        <v/>
      </c>
      <c r="N461" s="40"/>
      <c r="O461" s="40" t="str">
        <f>_xlfn.LET(
    _xlpm.CSVVal, _xlfn.XLOOKUP($A461, CSV!$A:$A, CSV!AA:AA, ""),
    _xlpm.MacVal, _xlfn.XLOOKUP($A461, Output_Mac!$A:$A, Output_Mac!S:S, ""),
    _xlpm.MyAuditVal, _xlfn.XLOOKUP($A461, My_Audit!$A:$A, My_Audit!P:P, ""),
    _xlfn.TEXTJOIN(", ", TRUE, _xlpm.MyAuditVal, _xlpm.MacVal, _xlpm.CSVVal)
)</f>
        <v/>
      </c>
      <c r="P461" s="40" t="str" cm="1">
        <f t="array" ref="P461">IFERROR(_xlfn.LET(
_xlpm.CSVVal,_xlfn.XLOOKUP($A461,CSV!$A:$A,CSV!AB:AB,""),
_xlpm.MacVal,_xlfn.XLOOKUP($A461,Output_Mac!$A:$A,Output_Mac!T:T,""),
_xlpm.MyAuditVal,_xlfn.XLOOKUP($A461,My_Audit!$A:$A,My_Audit!Q:Q,""),
_xlfn.IFS(_xlpm.MyAuditVal&lt;&gt;"",UPPER(_xlpm.MyAuditVal),_xlpm.MacVal&lt;&gt;"",_xlpm.MacVal,_xlpm.CSVVal&lt;&gt;"",_xlpm.CSVVal
)),"No")</f>
        <v>No</v>
      </c>
      <c r="Q461" s="40" t="str" cm="1">
        <f t="array" ref="Q461">IFERROR(_xlfn.LET(
_xlpm.CSVVal,_xlfn.XLOOKUP($A461,CSV!$A:$A,CSV!AC:AC,""),
_xlpm.MacVal,_xlfn.XLOOKUP($A461,Output_Mac!$A:$A,Output_Mac!U:U,""),
_xlpm.MyAuditVal,_xlfn.XLOOKUP($A461,My_Audit!$A:$A,My_Audit!R:R,""),
_xlfn.IFS(_xlpm.MyAuditVal&lt;&gt;"",UPPER(_xlpm.MyAuditVal),_xlpm.MacVal&lt;&gt;"",_xlpm.MacVal,_xlpm.CSVVal&lt;&gt;"",_xlpm.CSVVal
)),"")</f>
        <v/>
      </c>
      <c r="R461" s="40"/>
      <c r="S461" s="40"/>
      <c r="T461" s="40"/>
      <c r="U461" s="40"/>
      <c r="V461" s="40"/>
      <c r="W461" s="40"/>
      <c r="X461" s="41" t="str">
        <f>_xlfn.LET(
    _xlpm.MacVal, _xlfn.XLOOKUP($A461, Output_Mac!$A:$A, Output_Mac!AB:AB, ""),
    _xlpm.MyAuditVal, _xlfn.XLOOKUP($A461, My_Audit!$A:$A, My_Audit!N:N, ""),
    _xlfn.TEXTJOIN(", ", TRUE, _xlpm.MyAuditVal, _xlpm.MacVal)
)</f>
        <v/>
      </c>
    </row>
    <row r="462" spans="1:24">
      <c r="A462" s="40" t="str">
        <f>_xlfn.TEXTJOIN("",TRUE,Input!$B$2,ROW(My_Audit!A461))</f>
        <v>X461</v>
      </c>
      <c r="B462" s="40" t="str">
        <f>_xlfn.TEXTJOIN("-",TRUE,"ITD",Input!$A$2,A462)</f>
        <v>ITD-X461</v>
      </c>
      <c r="C462" s="40" t="str" cm="1">
        <f t="array" ref="C462">IFERROR(_xlfn.LET(
_xlpm.CSVVal,_xlfn.XLOOKUP($A462,CSV!$A:$A,CSV!B:B,""),
_xlpm.MacVal,_xlfn.XLOOKUP($A462,Output_Mac!$A:$A,Output_Mac!B:B,""),
_xlpm.MyAuditVal,_xlfn.XLOOKUP($A462,My_Audit!$A:$A,My_Audit!B:B,""),
_xlfn.IFS(_xlpm.MyAuditVal&lt;&gt;"",UPPER(_xlpm.MyAuditVal),_xlpm.MacVal&lt;&gt;"",_xlpm.MacVal,_xlpm.CSVVal&lt;&gt;"",_xlpm.CSVVal
)),"")</f>
        <v/>
      </c>
      <c r="D462" s="40" t="str" cm="1">
        <f t="array" ref="D462">IFERROR(_xlfn.LET(
_xlpm.CSVVal,_xlfn.XLOOKUP($A462,CSV!$A:$A,CSV!D:D,""),
_xlpm.MacVal,_xlfn.XLOOKUP($A462,Output_Mac!$A:$A,Output_Mac!C:C,""),
_xlpm.MyAuditVal,_xlfn.XLOOKUP($A462,My_Audit!$A:$A,My_Audit!C:C,""),
_xlfn.IFS(_xlpm.MyAuditVal&lt;&gt;"",_xlpm.MyAuditVal,_xlpm.MacVal&lt;&gt;"",_xlpm.MacVal,_xlpm.CSVVal&lt;&gt;"",_xlpm.CSVVal
)),"")</f>
        <v/>
      </c>
      <c r="E462" s="40" t="str">
        <f>_xlfn.XLOOKUP(A462,My_Audit!A:A,My_Audit!D:D,"")</f>
        <v/>
      </c>
      <c r="F462" s="40" t="str" cm="1">
        <f t="array" ref="F462">IFERROR(_xlfn.LET(
_xlpm.CSVVal,_xlfn.XLOOKUP($A462,CSV!$A:$A,CSV!F:F,""),
_xlpm.MacVal,_xlfn.XLOOKUP($A462,Output_Mac!$A:$A,Output_Mac!E:E,""),
_xlpm.MyAuditVal,_xlfn.XLOOKUP($A462,My_Audit!$A:$A,My_Audit!E:E,""),
_xlfn.IFS(_xlpm.MyAuditVal&lt;&gt;"",_xlpm.MyAuditVal,_xlpm.MacVal&lt;&gt;"",_xlpm.MacVal,_xlpm.CSVVal&lt;&gt;"",_xlpm.CSVVal
)),"")</f>
        <v/>
      </c>
      <c r="G462" s="40" t="str" cm="1">
        <f t="array" ref="G462">IFERROR(_xlfn.LET(
_xlpm.CSVVal,_xlfn.XLOOKUP($A462,CSV!$A:$A,CSV!G:G,""),
_xlpm.MacVal,_xlfn.XLOOKUP($A462,Output_Mac!$A:$A,Output_Mac!F:F,""),
_xlpm.MyAuditVal,_xlfn.XLOOKUP($A462,My_Audit!$A:$A,My_Audit!F:F,""),
_xlfn.IFS(_xlpm.MyAuditVal&lt;&gt;"",_xlpm.MyAuditVal,_xlpm.MacVal&lt;&gt;"",_xlpm.MacVal,_xlpm.CSVVal&lt;&gt;"",PROPER(_xlpm.CSVVal)
)),"")</f>
        <v/>
      </c>
      <c r="H462" s="40" t="str" cm="1">
        <f t="array" ref="H462">IFERROR(_xlfn.LET(
_xlpm.CSVVal,_xlfn.XLOOKUP($A462,CSV!$A:$A,CSV!H:H,""),
_xlpm.MacVal,_xlfn.XLOOKUP($A462,Output_Mac!$A:$A,Output_Mac!H:H,""),
_xlpm.MyAuditVal,_xlfn.XLOOKUP($A462,My_Audit!$A:$A,My_Audit!G:G,""),
_xlfn.IFS(_xlpm.MyAuditVal&lt;&gt;"",_xlpm.MyAuditVal,_xlpm.MacVal&lt;&gt;"",_xlpm.MacVal,_xlpm.CSVVal&lt;&gt;"",_xlpm.CSVVal
)),"")</f>
        <v/>
      </c>
      <c r="I462" s="40" t="str">
        <f>_xlfn.XLOOKUP(A462,Output_Mac!A:A,Output_Mac!I:I,"")</f>
        <v/>
      </c>
      <c r="J462" s="40" t="str" cm="1">
        <f t="array" ref="J462">IFERROR(_xlfn.LET(
_xlpm.CSVVal,_xlfn.XLOOKUP($A462,CSV!$A:$A,CSV!I:I,""),
_xlpm.MacVal,_xlfn.XLOOKUP($A462,Output_Mac!$A:$A,Output_Mac!J:J,""),
_xlpm.MyAuditVal,_xlfn.XLOOKUP($A462,My_Audit!$A:$A,My_Audit!I:I,""),
_xlfn.IFS(_xlpm.MyAuditVal&lt;&gt;"",UPPER(_xlpm.MyAuditVal),_xlpm.MacVal&lt;&gt;"",_xlpm.MacVal,_xlpm.CSVVal&lt;&gt;"",_xlpm.CSVVal
)),"")</f>
        <v/>
      </c>
      <c r="K462" s="40" t="str" cm="1">
        <f t="array" ref="K462">IFERROR(_xlfn.LET(
_xlpm.CSVVal,_xlfn.XLOOKUP($A462,CSV!$A:$A,CSV!K:K,""),
_xlpm.MacVal,_xlfn.XLOOKUP($A462,Output_Mac!$A:$A,Output_Mac!K:K,""),
_xlpm.MyAuditVal,_xlfn.XLOOKUP($A462,My_Audit!$A:$A,My_Audit!J:J,""),
_xlfn.IFS(_xlpm.MyAuditVal&lt;&gt;"",UPPER(_xlpm.MyAuditVal),_xlpm.MacVal&lt;&gt;"",_xlpm.MacVal,_xlpm.CSVVal&lt;&gt;"",_xlpm.CSVVal
)),"")</f>
        <v/>
      </c>
      <c r="L462" s="40" t="str" cm="1">
        <f t="array" ref="L462">IFERROR(_xlfn.LET(
_xlpm.CSVVal,_xlfn.XLOOKUP($A462,CSV!$A:$A,CSV!P:P,""),
_xlpm.MacVal,_xlfn.XLOOKUP($A462,Output_Mac!$A:$A,Output_Mac!L:L,""),
_xlpm.MyAuditVal,_xlfn.XLOOKUP($A462,My_Audit!$A:$A,My_Audit!K:K,""),
_xlfn.IFS(_xlpm.MyAuditVal&lt;&gt;"",UPPER(_xlpm.MyAuditVal),_xlpm.MacVal&lt;&gt;"",_xlpm.MacVal,_xlpm.CSVVal&lt;&gt;"",_xlpm.CSVVal
)),"")</f>
        <v/>
      </c>
      <c r="M462" s="40" t="str" cm="1">
        <f t="array" ref="M462">IFERROR(_xlfn.LET(
_xlpm.CSVVal,_xlfn.XLOOKUP($A462,CSV!$A:$A,CSV!Q:Q,""),
_xlpm.MacVal,_xlfn.XLOOKUP($A462,Output_Mac!$A:$A,Output_Mac!M:M,""),
_xlpm.MyAuditVal,_xlfn.XLOOKUP($A462,My_Audit!$A:$A,My_Audit!L:L,""),
_xlfn.IFS(_xlpm.MyAuditVal&lt;&gt;"",UPPER(_xlpm.MyAuditVal),_xlpm.MacVal&lt;&gt;"",_xlpm.MacVal,_xlpm.CSVVal&lt;&gt;"",_xlpm.CSVVal
)),"")</f>
        <v/>
      </c>
      <c r="N462" s="40"/>
      <c r="O462" s="40" t="str">
        <f>_xlfn.LET(
    _xlpm.CSVVal, _xlfn.XLOOKUP($A462, CSV!$A:$A, CSV!AA:AA, ""),
    _xlpm.MacVal, _xlfn.XLOOKUP($A462, Output_Mac!$A:$A, Output_Mac!S:S, ""),
    _xlpm.MyAuditVal, _xlfn.XLOOKUP($A462, My_Audit!$A:$A, My_Audit!P:P, ""),
    _xlfn.TEXTJOIN(", ", TRUE, _xlpm.MyAuditVal, _xlpm.MacVal, _xlpm.CSVVal)
)</f>
        <v/>
      </c>
      <c r="P462" s="40" t="str" cm="1">
        <f t="array" ref="P462">IFERROR(_xlfn.LET(
_xlpm.CSVVal,_xlfn.XLOOKUP($A462,CSV!$A:$A,CSV!AB:AB,""),
_xlpm.MacVal,_xlfn.XLOOKUP($A462,Output_Mac!$A:$A,Output_Mac!T:T,""),
_xlpm.MyAuditVal,_xlfn.XLOOKUP($A462,My_Audit!$A:$A,My_Audit!Q:Q,""),
_xlfn.IFS(_xlpm.MyAuditVal&lt;&gt;"",UPPER(_xlpm.MyAuditVal),_xlpm.MacVal&lt;&gt;"",_xlpm.MacVal,_xlpm.CSVVal&lt;&gt;"",_xlpm.CSVVal
)),"No")</f>
        <v>No</v>
      </c>
      <c r="Q462" s="40" t="str" cm="1">
        <f t="array" ref="Q462">IFERROR(_xlfn.LET(
_xlpm.CSVVal,_xlfn.XLOOKUP($A462,CSV!$A:$A,CSV!AC:AC,""),
_xlpm.MacVal,_xlfn.XLOOKUP($A462,Output_Mac!$A:$A,Output_Mac!U:U,""),
_xlpm.MyAuditVal,_xlfn.XLOOKUP($A462,My_Audit!$A:$A,My_Audit!R:R,""),
_xlfn.IFS(_xlpm.MyAuditVal&lt;&gt;"",UPPER(_xlpm.MyAuditVal),_xlpm.MacVal&lt;&gt;"",_xlpm.MacVal,_xlpm.CSVVal&lt;&gt;"",_xlpm.CSVVal
)),"")</f>
        <v/>
      </c>
      <c r="R462" s="40"/>
      <c r="S462" s="40"/>
      <c r="T462" s="40"/>
      <c r="U462" s="40"/>
      <c r="V462" s="40"/>
      <c r="W462" s="40"/>
      <c r="X462" s="41" t="str">
        <f>_xlfn.LET(
    _xlpm.MacVal, _xlfn.XLOOKUP($A462, Output_Mac!$A:$A, Output_Mac!AB:AB, ""),
    _xlpm.MyAuditVal, _xlfn.XLOOKUP($A462, My_Audit!$A:$A, My_Audit!N:N, ""),
    _xlfn.TEXTJOIN(", ", TRUE, _xlpm.MyAuditVal, _xlpm.MacVal)
)</f>
        <v/>
      </c>
    </row>
    <row r="463" spans="1:24">
      <c r="A463" s="40" t="str">
        <f>_xlfn.TEXTJOIN("",TRUE,Input!$B$2,ROW(My_Audit!A462))</f>
        <v>X462</v>
      </c>
      <c r="B463" s="40" t="str">
        <f>_xlfn.TEXTJOIN("-",TRUE,"ITD",Input!$A$2,A463)</f>
        <v>ITD-X462</v>
      </c>
      <c r="C463" s="40" t="str" cm="1">
        <f t="array" ref="C463">IFERROR(_xlfn.LET(
_xlpm.CSVVal,_xlfn.XLOOKUP($A463,CSV!$A:$A,CSV!B:B,""),
_xlpm.MacVal,_xlfn.XLOOKUP($A463,Output_Mac!$A:$A,Output_Mac!B:B,""),
_xlpm.MyAuditVal,_xlfn.XLOOKUP($A463,My_Audit!$A:$A,My_Audit!B:B,""),
_xlfn.IFS(_xlpm.MyAuditVal&lt;&gt;"",UPPER(_xlpm.MyAuditVal),_xlpm.MacVal&lt;&gt;"",_xlpm.MacVal,_xlpm.CSVVal&lt;&gt;"",_xlpm.CSVVal
)),"")</f>
        <v/>
      </c>
      <c r="D463" s="40" t="str" cm="1">
        <f t="array" ref="D463">IFERROR(_xlfn.LET(
_xlpm.CSVVal,_xlfn.XLOOKUP($A463,CSV!$A:$A,CSV!D:D,""),
_xlpm.MacVal,_xlfn.XLOOKUP($A463,Output_Mac!$A:$A,Output_Mac!C:C,""),
_xlpm.MyAuditVal,_xlfn.XLOOKUP($A463,My_Audit!$A:$A,My_Audit!C:C,""),
_xlfn.IFS(_xlpm.MyAuditVal&lt;&gt;"",_xlpm.MyAuditVal,_xlpm.MacVal&lt;&gt;"",_xlpm.MacVal,_xlpm.CSVVal&lt;&gt;"",_xlpm.CSVVal
)),"")</f>
        <v/>
      </c>
      <c r="E463" s="40" t="str">
        <f>_xlfn.XLOOKUP(A463,My_Audit!A:A,My_Audit!D:D,"")</f>
        <v/>
      </c>
      <c r="F463" s="40" t="str" cm="1">
        <f t="array" ref="F463">IFERROR(_xlfn.LET(
_xlpm.CSVVal,_xlfn.XLOOKUP($A463,CSV!$A:$A,CSV!F:F,""),
_xlpm.MacVal,_xlfn.XLOOKUP($A463,Output_Mac!$A:$A,Output_Mac!E:E,""),
_xlpm.MyAuditVal,_xlfn.XLOOKUP($A463,My_Audit!$A:$A,My_Audit!E:E,""),
_xlfn.IFS(_xlpm.MyAuditVal&lt;&gt;"",_xlpm.MyAuditVal,_xlpm.MacVal&lt;&gt;"",_xlpm.MacVal,_xlpm.CSVVal&lt;&gt;"",_xlpm.CSVVal
)),"")</f>
        <v/>
      </c>
      <c r="G463" s="40" t="str" cm="1">
        <f t="array" ref="G463">IFERROR(_xlfn.LET(
_xlpm.CSVVal,_xlfn.XLOOKUP($A463,CSV!$A:$A,CSV!G:G,""),
_xlpm.MacVal,_xlfn.XLOOKUP($A463,Output_Mac!$A:$A,Output_Mac!F:F,""),
_xlpm.MyAuditVal,_xlfn.XLOOKUP($A463,My_Audit!$A:$A,My_Audit!F:F,""),
_xlfn.IFS(_xlpm.MyAuditVal&lt;&gt;"",_xlpm.MyAuditVal,_xlpm.MacVal&lt;&gt;"",_xlpm.MacVal,_xlpm.CSVVal&lt;&gt;"",PROPER(_xlpm.CSVVal)
)),"")</f>
        <v/>
      </c>
      <c r="H463" s="40" t="str" cm="1">
        <f t="array" ref="H463">IFERROR(_xlfn.LET(
_xlpm.CSVVal,_xlfn.XLOOKUP($A463,CSV!$A:$A,CSV!H:H,""),
_xlpm.MacVal,_xlfn.XLOOKUP($A463,Output_Mac!$A:$A,Output_Mac!H:H,""),
_xlpm.MyAuditVal,_xlfn.XLOOKUP($A463,My_Audit!$A:$A,My_Audit!G:G,""),
_xlfn.IFS(_xlpm.MyAuditVal&lt;&gt;"",_xlpm.MyAuditVal,_xlpm.MacVal&lt;&gt;"",_xlpm.MacVal,_xlpm.CSVVal&lt;&gt;"",_xlpm.CSVVal
)),"")</f>
        <v/>
      </c>
      <c r="I463" s="40" t="str">
        <f>_xlfn.XLOOKUP(A463,Output_Mac!A:A,Output_Mac!I:I,"")</f>
        <v/>
      </c>
      <c r="J463" s="40" t="str" cm="1">
        <f t="array" ref="J463">IFERROR(_xlfn.LET(
_xlpm.CSVVal,_xlfn.XLOOKUP($A463,CSV!$A:$A,CSV!I:I,""),
_xlpm.MacVal,_xlfn.XLOOKUP($A463,Output_Mac!$A:$A,Output_Mac!J:J,""),
_xlpm.MyAuditVal,_xlfn.XLOOKUP($A463,My_Audit!$A:$A,My_Audit!I:I,""),
_xlfn.IFS(_xlpm.MyAuditVal&lt;&gt;"",UPPER(_xlpm.MyAuditVal),_xlpm.MacVal&lt;&gt;"",_xlpm.MacVal,_xlpm.CSVVal&lt;&gt;"",_xlpm.CSVVal
)),"")</f>
        <v/>
      </c>
      <c r="K463" s="40" t="str" cm="1">
        <f t="array" ref="K463">IFERROR(_xlfn.LET(
_xlpm.CSVVal,_xlfn.XLOOKUP($A463,CSV!$A:$A,CSV!K:K,""),
_xlpm.MacVal,_xlfn.XLOOKUP($A463,Output_Mac!$A:$A,Output_Mac!K:K,""),
_xlpm.MyAuditVal,_xlfn.XLOOKUP($A463,My_Audit!$A:$A,My_Audit!J:J,""),
_xlfn.IFS(_xlpm.MyAuditVal&lt;&gt;"",UPPER(_xlpm.MyAuditVal),_xlpm.MacVal&lt;&gt;"",_xlpm.MacVal,_xlpm.CSVVal&lt;&gt;"",_xlpm.CSVVal
)),"")</f>
        <v/>
      </c>
      <c r="L463" s="40" t="str" cm="1">
        <f t="array" ref="L463">IFERROR(_xlfn.LET(
_xlpm.CSVVal,_xlfn.XLOOKUP($A463,CSV!$A:$A,CSV!P:P,""),
_xlpm.MacVal,_xlfn.XLOOKUP($A463,Output_Mac!$A:$A,Output_Mac!L:L,""),
_xlpm.MyAuditVal,_xlfn.XLOOKUP($A463,My_Audit!$A:$A,My_Audit!K:K,""),
_xlfn.IFS(_xlpm.MyAuditVal&lt;&gt;"",UPPER(_xlpm.MyAuditVal),_xlpm.MacVal&lt;&gt;"",_xlpm.MacVal,_xlpm.CSVVal&lt;&gt;"",_xlpm.CSVVal
)),"")</f>
        <v/>
      </c>
      <c r="M463" s="40" t="str" cm="1">
        <f t="array" ref="M463">IFERROR(_xlfn.LET(
_xlpm.CSVVal,_xlfn.XLOOKUP($A463,CSV!$A:$A,CSV!Q:Q,""),
_xlpm.MacVal,_xlfn.XLOOKUP($A463,Output_Mac!$A:$A,Output_Mac!M:M,""),
_xlpm.MyAuditVal,_xlfn.XLOOKUP($A463,My_Audit!$A:$A,My_Audit!L:L,""),
_xlfn.IFS(_xlpm.MyAuditVal&lt;&gt;"",UPPER(_xlpm.MyAuditVal),_xlpm.MacVal&lt;&gt;"",_xlpm.MacVal,_xlpm.CSVVal&lt;&gt;"",_xlpm.CSVVal
)),"")</f>
        <v/>
      </c>
      <c r="N463" s="40"/>
      <c r="O463" s="40" t="str">
        <f>_xlfn.LET(
    _xlpm.CSVVal, _xlfn.XLOOKUP($A463, CSV!$A:$A, CSV!AA:AA, ""),
    _xlpm.MacVal, _xlfn.XLOOKUP($A463, Output_Mac!$A:$A, Output_Mac!S:S, ""),
    _xlpm.MyAuditVal, _xlfn.XLOOKUP($A463, My_Audit!$A:$A, My_Audit!P:P, ""),
    _xlfn.TEXTJOIN(", ", TRUE, _xlpm.MyAuditVal, _xlpm.MacVal, _xlpm.CSVVal)
)</f>
        <v/>
      </c>
      <c r="P463" s="40" t="str" cm="1">
        <f t="array" ref="P463">IFERROR(_xlfn.LET(
_xlpm.CSVVal,_xlfn.XLOOKUP($A463,CSV!$A:$A,CSV!AB:AB,""),
_xlpm.MacVal,_xlfn.XLOOKUP($A463,Output_Mac!$A:$A,Output_Mac!T:T,""),
_xlpm.MyAuditVal,_xlfn.XLOOKUP($A463,My_Audit!$A:$A,My_Audit!Q:Q,""),
_xlfn.IFS(_xlpm.MyAuditVal&lt;&gt;"",UPPER(_xlpm.MyAuditVal),_xlpm.MacVal&lt;&gt;"",_xlpm.MacVal,_xlpm.CSVVal&lt;&gt;"",_xlpm.CSVVal
)),"No")</f>
        <v>No</v>
      </c>
      <c r="Q463" s="40" t="str" cm="1">
        <f t="array" ref="Q463">IFERROR(_xlfn.LET(
_xlpm.CSVVal,_xlfn.XLOOKUP($A463,CSV!$A:$A,CSV!AC:AC,""),
_xlpm.MacVal,_xlfn.XLOOKUP($A463,Output_Mac!$A:$A,Output_Mac!U:U,""),
_xlpm.MyAuditVal,_xlfn.XLOOKUP($A463,My_Audit!$A:$A,My_Audit!R:R,""),
_xlfn.IFS(_xlpm.MyAuditVal&lt;&gt;"",UPPER(_xlpm.MyAuditVal),_xlpm.MacVal&lt;&gt;"",_xlpm.MacVal,_xlpm.CSVVal&lt;&gt;"",_xlpm.CSVVal
)),"")</f>
        <v/>
      </c>
      <c r="R463" s="40"/>
      <c r="S463" s="40"/>
      <c r="T463" s="40"/>
      <c r="U463" s="40"/>
      <c r="V463" s="40"/>
      <c r="W463" s="40"/>
      <c r="X463" s="41" t="str">
        <f>_xlfn.LET(
    _xlpm.MacVal, _xlfn.XLOOKUP($A463, Output_Mac!$A:$A, Output_Mac!AB:AB, ""),
    _xlpm.MyAuditVal, _xlfn.XLOOKUP($A463, My_Audit!$A:$A, My_Audit!N:N, ""),
    _xlfn.TEXTJOIN(", ", TRUE, _xlpm.MyAuditVal, _xlpm.MacVal)
)</f>
        <v/>
      </c>
    </row>
    <row r="464" spans="1:24">
      <c r="A464" s="40" t="str">
        <f>_xlfn.TEXTJOIN("",TRUE,Input!$B$2,ROW(My_Audit!A463))</f>
        <v>X463</v>
      </c>
      <c r="B464" s="40" t="str">
        <f>_xlfn.TEXTJOIN("-",TRUE,"ITD",Input!$A$2,A464)</f>
        <v>ITD-X463</v>
      </c>
      <c r="C464" s="40" t="str" cm="1">
        <f t="array" ref="C464">IFERROR(_xlfn.LET(
_xlpm.CSVVal,_xlfn.XLOOKUP($A464,CSV!$A:$A,CSV!B:B,""),
_xlpm.MacVal,_xlfn.XLOOKUP($A464,Output_Mac!$A:$A,Output_Mac!B:B,""),
_xlpm.MyAuditVal,_xlfn.XLOOKUP($A464,My_Audit!$A:$A,My_Audit!B:B,""),
_xlfn.IFS(_xlpm.MyAuditVal&lt;&gt;"",UPPER(_xlpm.MyAuditVal),_xlpm.MacVal&lt;&gt;"",_xlpm.MacVal,_xlpm.CSVVal&lt;&gt;"",_xlpm.CSVVal
)),"")</f>
        <v/>
      </c>
      <c r="D464" s="40" t="str" cm="1">
        <f t="array" ref="D464">IFERROR(_xlfn.LET(
_xlpm.CSVVal,_xlfn.XLOOKUP($A464,CSV!$A:$A,CSV!D:D,""),
_xlpm.MacVal,_xlfn.XLOOKUP($A464,Output_Mac!$A:$A,Output_Mac!C:C,""),
_xlpm.MyAuditVal,_xlfn.XLOOKUP($A464,My_Audit!$A:$A,My_Audit!C:C,""),
_xlfn.IFS(_xlpm.MyAuditVal&lt;&gt;"",_xlpm.MyAuditVal,_xlpm.MacVal&lt;&gt;"",_xlpm.MacVal,_xlpm.CSVVal&lt;&gt;"",_xlpm.CSVVal
)),"")</f>
        <v/>
      </c>
      <c r="E464" s="40" t="str">
        <f>_xlfn.XLOOKUP(A464,My_Audit!A:A,My_Audit!D:D,"")</f>
        <v/>
      </c>
      <c r="F464" s="40" t="str" cm="1">
        <f t="array" ref="F464">IFERROR(_xlfn.LET(
_xlpm.CSVVal,_xlfn.XLOOKUP($A464,CSV!$A:$A,CSV!F:F,""),
_xlpm.MacVal,_xlfn.XLOOKUP($A464,Output_Mac!$A:$A,Output_Mac!E:E,""),
_xlpm.MyAuditVal,_xlfn.XLOOKUP($A464,My_Audit!$A:$A,My_Audit!E:E,""),
_xlfn.IFS(_xlpm.MyAuditVal&lt;&gt;"",_xlpm.MyAuditVal,_xlpm.MacVal&lt;&gt;"",_xlpm.MacVal,_xlpm.CSVVal&lt;&gt;"",_xlpm.CSVVal
)),"")</f>
        <v/>
      </c>
      <c r="G464" s="40" t="str" cm="1">
        <f t="array" ref="G464">IFERROR(_xlfn.LET(
_xlpm.CSVVal,_xlfn.XLOOKUP($A464,CSV!$A:$A,CSV!G:G,""),
_xlpm.MacVal,_xlfn.XLOOKUP($A464,Output_Mac!$A:$A,Output_Mac!F:F,""),
_xlpm.MyAuditVal,_xlfn.XLOOKUP($A464,My_Audit!$A:$A,My_Audit!F:F,""),
_xlfn.IFS(_xlpm.MyAuditVal&lt;&gt;"",_xlpm.MyAuditVal,_xlpm.MacVal&lt;&gt;"",_xlpm.MacVal,_xlpm.CSVVal&lt;&gt;"",PROPER(_xlpm.CSVVal)
)),"")</f>
        <v/>
      </c>
      <c r="H464" s="40" t="str" cm="1">
        <f t="array" ref="H464">IFERROR(_xlfn.LET(
_xlpm.CSVVal,_xlfn.XLOOKUP($A464,CSV!$A:$A,CSV!H:H,""),
_xlpm.MacVal,_xlfn.XLOOKUP($A464,Output_Mac!$A:$A,Output_Mac!H:H,""),
_xlpm.MyAuditVal,_xlfn.XLOOKUP($A464,My_Audit!$A:$A,My_Audit!G:G,""),
_xlfn.IFS(_xlpm.MyAuditVal&lt;&gt;"",_xlpm.MyAuditVal,_xlpm.MacVal&lt;&gt;"",_xlpm.MacVal,_xlpm.CSVVal&lt;&gt;"",_xlpm.CSVVal
)),"")</f>
        <v/>
      </c>
      <c r="I464" s="40" t="str">
        <f>_xlfn.XLOOKUP(A464,Output_Mac!A:A,Output_Mac!I:I,"")</f>
        <v/>
      </c>
      <c r="J464" s="40" t="str" cm="1">
        <f t="array" ref="J464">IFERROR(_xlfn.LET(
_xlpm.CSVVal,_xlfn.XLOOKUP($A464,CSV!$A:$A,CSV!I:I,""),
_xlpm.MacVal,_xlfn.XLOOKUP($A464,Output_Mac!$A:$A,Output_Mac!J:J,""),
_xlpm.MyAuditVal,_xlfn.XLOOKUP($A464,My_Audit!$A:$A,My_Audit!I:I,""),
_xlfn.IFS(_xlpm.MyAuditVal&lt;&gt;"",UPPER(_xlpm.MyAuditVal),_xlpm.MacVal&lt;&gt;"",_xlpm.MacVal,_xlpm.CSVVal&lt;&gt;"",_xlpm.CSVVal
)),"")</f>
        <v/>
      </c>
      <c r="K464" s="40" t="str" cm="1">
        <f t="array" ref="K464">IFERROR(_xlfn.LET(
_xlpm.CSVVal,_xlfn.XLOOKUP($A464,CSV!$A:$A,CSV!K:K,""),
_xlpm.MacVal,_xlfn.XLOOKUP($A464,Output_Mac!$A:$A,Output_Mac!K:K,""),
_xlpm.MyAuditVal,_xlfn.XLOOKUP($A464,My_Audit!$A:$A,My_Audit!J:J,""),
_xlfn.IFS(_xlpm.MyAuditVal&lt;&gt;"",UPPER(_xlpm.MyAuditVal),_xlpm.MacVal&lt;&gt;"",_xlpm.MacVal,_xlpm.CSVVal&lt;&gt;"",_xlpm.CSVVal
)),"")</f>
        <v/>
      </c>
      <c r="L464" s="40" t="str" cm="1">
        <f t="array" ref="L464">IFERROR(_xlfn.LET(
_xlpm.CSVVal,_xlfn.XLOOKUP($A464,CSV!$A:$A,CSV!P:P,""),
_xlpm.MacVal,_xlfn.XLOOKUP($A464,Output_Mac!$A:$A,Output_Mac!L:L,""),
_xlpm.MyAuditVal,_xlfn.XLOOKUP($A464,My_Audit!$A:$A,My_Audit!K:K,""),
_xlfn.IFS(_xlpm.MyAuditVal&lt;&gt;"",UPPER(_xlpm.MyAuditVal),_xlpm.MacVal&lt;&gt;"",_xlpm.MacVal,_xlpm.CSVVal&lt;&gt;"",_xlpm.CSVVal
)),"")</f>
        <v/>
      </c>
      <c r="M464" s="40" t="str" cm="1">
        <f t="array" ref="M464">IFERROR(_xlfn.LET(
_xlpm.CSVVal,_xlfn.XLOOKUP($A464,CSV!$A:$A,CSV!Q:Q,""),
_xlpm.MacVal,_xlfn.XLOOKUP($A464,Output_Mac!$A:$A,Output_Mac!M:M,""),
_xlpm.MyAuditVal,_xlfn.XLOOKUP($A464,My_Audit!$A:$A,My_Audit!L:L,""),
_xlfn.IFS(_xlpm.MyAuditVal&lt;&gt;"",UPPER(_xlpm.MyAuditVal),_xlpm.MacVal&lt;&gt;"",_xlpm.MacVal,_xlpm.CSVVal&lt;&gt;"",_xlpm.CSVVal
)),"")</f>
        <v/>
      </c>
      <c r="N464" s="40"/>
      <c r="O464" s="40" t="str">
        <f>_xlfn.LET(
    _xlpm.CSVVal, _xlfn.XLOOKUP($A464, CSV!$A:$A, CSV!AA:AA, ""),
    _xlpm.MacVal, _xlfn.XLOOKUP($A464, Output_Mac!$A:$A, Output_Mac!S:S, ""),
    _xlpm.MyAuditVal, _xlfn.XLOOKUP($A464, My_Audit!$A:$A, My_Audit!P:P, ""),
    _xlfn.TEXTJOIN(", ", TRUE, _xlpm.MyAuditVal, _xlpm.MacVal, _xlpm.CSVVal)
)</f>
        <v/>
      </c>
      <c r="P464" s="40" t="str" cm="1">
        <f t="array" ref="P464">IFERROR(_xlfn.LET(
_xlpm.CSVVal,_xlfn.XLOOKUP($A464,CSV!$A:$A,CSV!AB:AB,""),
_xlpm.MacVal,_xlfn.XLOOKUP($A464,Output_Mac!$A:$A,Output_Mac!T:T,""),
_xlpm.MyAuditVal,_xlfn.XLOOKUP($A464,My_Audit!$A:$A,My_Audit!Q:Q,""),
_xlfn.IFS(_xlpm.MyAuditVal&lt;&gt;"",UPPER(_xlpm.MyAuditVal),_xlpm.MacVal&lt;&gt;"",_xlpm.MacVal,_xlpm.CSVVal&lt;&gt;"",_xlpm.CSVVal
)),"No")</f>
        <v>No</v>
      </c>
      <c r="Q464" s="40" t="str" cm="1">
        <f t="array" ref="Q464">IFERROR(_xlfn.LET(
_xlpm.CSVVal,_xlfn.XLOOKUP($A464,CSV!$A:$A,CSV!AC:AC,""),
_xlpm.MacVal,_xlfn.XLOOKUP($A464,Output_Mac!$A:$A,Output_Mac!U:U,""),
_xlpm.MyAuditVal,_xlfn.XLOOKUP($A464,My_Audit!$A:$A,My_Audit!R:R,""),
_xlfn.IFS(_xlpm.MyAuditVal&lt;&gt;"",UPPER(_xlpm.MyAuditVal),_xlpm.MacVal&lt;&gt;"",_xlpm.MacVal,_xlpm.CSVVal&lt;&gt;"",_xlpm.CSVVal
)),"")</f>
        <v/>
      </c>
      <c r="R464" s="40"/>
      <c r="S464" s="40"/>
      <c r="T464" s="40"/>
      <c r="U464" s="40"/>
      <c r="V464" s="40"/>
      <c r="W464" s="40"/>
      <c r="X464" s="41" t="str">
        <f>_xlfn.LET(
    _xlpm.MacVal, _xlfn.XLOOKUP($A464, Output_Mac!$A:$A, Output_Mac!AB:AB, ""),
    _xlpm.MyAuditVal, _xlfn.XLOOKUP($A464, My_Audit!$A:$A, My_Audit!N:N, ""),
    _xlfn.TEXTJOIN(", ", TRUE, _xlpm.MyAuditVal, _xlpm.MacVal)
)</f>
        <v/>
      </c>
    </row>
    <row r="465" spans="1:24">
      <c r="A465" s="40" t="str">
        <f>_xlfn.TEXTJOIN("",TRUE,Input!$B$2,ROW(My_Audit!A464))</f>
        <v>X464</v>
      </c>
      <c r="B465" s="40" t="str">
        <f>_xlfn.TEXTJOIN("-",TRUE,"ITD",Input!$A$2,A465)</f>
        <v>ITD-X464</v>
      </c>
      <c r="C465" s="40" t="str" cm="1">
        <f t="array" ref="C465">IFERROR(_xlfn.LET(
_xlpm.CSVVal,_xlfn.XLOOKUP($A465,CSV!$A:$A,CSV!B:B,""),
_xlpm.MacVal,_xlfn.XLOOKUP($A465,Output_Mac!$A:$A,Output_Mac!B:B,""),
_xlpm.MyAuditVal,_xlfn.XLOOKUP($A465,My_Audit!$A:$A,My_Audit!B:B,""),
_xlfn.IFS(_xlpm.MyAuditVal&lt;&gt;"",UPPER(_xlpm.MyAuditVal),_xlpm.MacVal&lt;&gt;"",_xlpm.MacVal,_xlpm.CSVVal&lt;&gt;"",_xlpm.CSVVal
)),"")</f>
        <v/>
      </c>
      <c r="D465" s="40" t="str" cm="1">
        <f t="array" ref="D465">IFERROR(_xlfn.LET(
_xlpm.CSVVal,_xlfn.XLOOKUP($A465,CSV!$A:$A,CSV!D:D,""),
_xlpm.MacVal,_xlfn.XLOOKUP($A465,Output_Mac!$A:$A,Output_Mac!C:C,""),
_xlpm.MyAuditVal,_xlfn.XLOOKUP($A465,My_Audit!$A:$A,My_Audit!C:C,""),
_xlfn.IFS(_xlpm.MyAuditVal&lt;&gt;"",_xlpm.MyAuditVal,_xlpm.MacVal&lt;&gt;"",_xlpm.MacVal,_xlpm.CSVVal&lt;&gt;"",_xlpm.CSVVal
)),"")</f>
        <v/>
      </c>
      <c r="E465" s="40" t="str">
        <f>_xlfn.XLOOKUP(A465,My_Audit!A:A,My_Audit!D:D,"")</f>
        <v/>
      </c>
      <c r="F465" s="40" t="str" cm="1">
        <f t="array" ref="F465">IFERROR(_xlfn.LET(
_xlpm.CSVVal,_xlfn.XLOOKUP($A465,CSV!$A:$A,CSV!F:F,""),
_xlpm.MacVal,_xlfn.XLOOKUP($A465,Output_Mac!$A:$A,Output_Mac!E:E,""),
_xlpm.MyAuditVal,_xlfn.XLOOKUP($A465,My_Audit!$A:$A,My_Audit!E:E,""),
_xlfn.IFS(_xlpm.MyAuditVal&lt;&gt;"",_xlpm.MyAuditVal,_xlpm.MacVal&lt;&gt;"",_xlpm.MacVal,_xlpm.CSVVal&lt;&gt;"",_xlpm.CSVVal
)),"")</f>
        <v/>
      </c>
      <c r="G465" s="40" t="str" cm="1">
        <f t="array" ref="G465">IFERROR(_xlfn.LET(
_xlpm.CSVVal,_xlfn.XLOOKUP($A465,CSV!$A:$A,CSV!G:G,""),
_xlpm.MacVal,_xlfn.XLOOKUP($A465,Output_Mac!$A:$A,Output_Mac!F:F,""),
_xlpm.MyAuditVal,_xlfn.XLOOKUP($A465,My_Audit!$A:$A,My_Audit!F:F,""),
_xlfn.IFS(_xlpm.MyAuditVal&lt;&gt;"",_xlpm.MyAuditVal,_xlpm.MacVal&lt;&gt;"",_xlpm.MacVal,_xlpm.CSVVal&lt;&gt;"",PROPER(_xlpm.CSVVal)
)),"")</f>
        <v/>
      </c>
      <c r="H465" s="40" t="str" cm="1">
        <f t="array" ref="H465">IFERROR(_xlfn.LET(
_xlpm.CSVVal,_xlfn.XLOOKUP($A465,CSV!$A:$A,CSV!H:H,""),
_xlpm.MacVal,_xlfn.XLOOKUP($A465,Output_Mac!$A:$A,Output_Mac!H:H,""),
_xlpm.MyAuditVal,_xlfn.XLOOKUP($A465,My_Audit!$A:$A,My_Audit!G:G,""),
_xlfn.IFS(_xlpm.MyAuditVal&lt;&gt;"",_xlpm.MyAuditVal,_xlpm.MacVal&lt;&gt;"",_xlpm.MacVal,_xlpm.CSVVal&lt;&gt;"",_xlpm.CSVVal
)),"")</f>
        <v/>
      </c>
      <c r="I465" s="40" t="str">
        <f>_xlfn.XLOOKUP(A465,Output_Mac!A:A,Output_Mac!I:I,"")</f>
        <v/>
      </c>
      <c r="J465" s="40" t="str" cm="1">
        <f t="array" ref="J465">IFERROR(_xlfn.LET(
_xlpm.CSVVal,_xlfn.XLOOKUP($A465,CSV!$A:$A,CSV!I:I,""),
_xlpm.MacVal,_xlfn.XLOOKUP($A465,Output_Mac!$A:$A,Output_Mac!J:J,""),
_xlpm.MyAuditVal,_xlfn.XLOOKUP($A465,My_Audit!$A:$A,My_Audit!I:I,""),
_xlfn.IFS(_xlpm.MyAuditVal&lt;&gt;"",UPPER(_xlpm.MyAuditVal),_xlpm.MacVal&lt;&gt;"",_xlpm.MacVal,_xlpm.CSVVal&lt;&gt;"",_xlpm.CSVVal
)),"")</f>
        <v/>
      </c>
      <c r="K465" s="40" t="str" cm="1">
        <f t="array" ref="K465">IFERROR(_xlfn.LET(
_xlpm.CSVVal,_xlfn.XLOOKUP($A465,CSV!$A:$A,CSV!K:K,""),
_xlpm.MacVal,_xlfn.XLOOKUP($A465,Output_Mac!$A:$A,Output_Mac!K:K,""),
_xlpm.MyAuditVal,_xlfn.XLOOKUP($A465,My_Audit!$A:$A,My_Audit!J:J,""),
_xlfn.IFS(_xlpm.MyAuditVal&lt;&gt;"",UPPER(_xlpm.MyAuditVal),_xlpm.MacVal&lt;&gt;"",_xlpm.MacVal,_xlpm.CSVVal&lt;&gt;"",_xlpm.CSVVal
)),"")</f>
        <v/>
      </c>
      <c r="L465" s="40" t="str" cm="1">
        <f t="array" ref="L465">IFERROR(_xlfn.LET(
_xlpm.CSVVal,_xlfn.XLOOKUP($A465,CSV!$A:$A,CSV!P:P,""),
_xlpm.MacVal,_xlfn.XLOOKUP($A465,Output_Mac!$A:$A,Output_Mac!L:L,""),
_xlpm.MyAuditVal,_xlfn.XLOOKUP($A465,My_Audit!$A:$A,My_Audit!K:K,""),
_xlfn.IFS(_xlpm.MyAuditVal&lt;&gt;"",UPPER(_xlpm.MyAuditVal),_xlpm.MacVal&lt;&gt;"",_xlpm.MacVal,_xlpm.CSVVal&lt;&gt;"",_xlpm.CSVVal
)),"")</f>
        <v/>
      </c>
      <c r="M465" s="40" t="str" cm="1">
        <f t="array" ref="M465">IFERROR(_xlfn.LET(
_xlpm.CSVVal,_xlfn.XLOOKUP($A465,CSV!$A:$A,CSV!Q:Q,""),
_xlpm.MacVal,_xlfn.XLOOKUP($A465,Output_Mac!$A:$A,Output_Mac!M:M,""),
_xlpm.MyAuditVal,_xlfn.XLOOKUP($A465,My_Audit!$A:$A,My_Audit!L:L,""),
_xlfn.IFS(_xlpm.MyAuditVal&lt;&gt;"",UPPER(_xlpm.MyAuditVal),_xlpm.MacVal&lt;&gt;"",_xlpm.MacVal,_xlpm.CSVVal&lt;&gt;"",_xlpm.CSVVal
)),"")</f>
        <v/>
      </c>
      <c r="N465" s="40"/>
      <c r="O465" s="40" t="str">
        <f>_xlfn.LET(
    _xlpm.CSVVal, _xlfn.XLOOKUP($A465, CSV!$A:$A, CSV!AA:AA, ""),
    _xlpm.MacVal, _xlfn.XLOOKUP($A465, Output_Mac!$A:$A, Output_Mac!S:S, ""),
    _xlpm.MyAuditVal, _xlfn.XLOOKUP($A465, My_Audit!$A:$A, My_Audit!P:P, ""),
    _xlfn.TEXTJOIN(", ", TRUE, _xlpm.MyAuditVal, _xlpm.MacVal, _xlpm.CSVVal)
)</f>
        <v/>
      </c>
      <c r="P465" s="40" t="str" cm="1">
        <f t="array" ref="P465">IFERROR(_xlfn.LET(
_xlpm.CSVVal,_xlfn.XLOOKUP($A465,CSV!$A:$A,CSV!AB:AB,""),
_xlpm.MacVal,_xlfn.XLOOKUP($A465,Output_Mac!$A:$A,Output_Mac!T:T,""),
_xlpm.MyAuditVal,_xlfn.XLOOKUP($A465,My_Audit!$A:$A,My_Audit!Q:Q,""),
_xlfn.IFS(_xlpm.MyAuditVal&lt;&gt;"",UPPER(_xlpm.MyAuditVal),_xlpm.MacVal&lt;&gt;"",_xlpm.MacVal,_xlpm.CSVVal&lt;&gt;"",_xlpm.CSVVal
)),"No")</f>
        <v>No</v>
      </c>
      <c r="Q465" s="40" t="str" cm="1">
        <f t="array" ref="Q465">IFERROR(_xlfn.LET(
_xlpm.CSVVal,_xlfn.XLOOKUP($A465,CSV!$A:$A,CSV!AC:AC,""),
_xlpm.MacVal,_xlfn.XLOOKUP($A465,Output_Mac!$A:$A,Output_Mac!U:U,""),
_xlpm.MyAuditVal,_xlfn.XLOOKUP($A465,My_Audit!$A:$A,My_Audit!R:R,""),
_xlfn.IFS(_xlpm.MyAuditVal&lt;&gt;"",UPPER(_xlpm.MyAuditVal),_xlpm.MacVal&lt;&gt;"",_xlpm.MacVal,_xlpm.CSVVal&lt;&gt;"",_xlpm.CSVVal
)),"")</f>
        <v/>
      </c>
      <c r="R465" s="40"/>
      <c r="S465" s="40"/>
      <c r="T465" s="40"/>
      <c r="U465" s="40"/>
      <c r="V465" s="40"/>
      <c r="W465" s="40"/>
      <c r="X465" s="41" t="str">
        <f>_xlfn.LET(
    _xlpm.MacVal, _xlfn.XLOOKUP($A465, Output_Mac!$A:$A, Output_Mac!AB:AB, ""),
    _xlpm.MyAuditVal, _xlfn.XLOOKUP($A465, My_Audit!$A:$A, My_Audit!N:N, ""),
    _xlfn.TEXTJOIN(", ", TRUE, _xlpm.MyAuditVal, _xlpm.MacVal)
)</f>
        <v/>
      </c>
    </row>
    <row r="466" spans="1:24">
      <c r="A466" s="40" t="str">
        <f>_xlfn.TEXTJOIN("",TRUE,Input!$B$2,ROW(My_Audit!A465))</f>
        <v>X465</v>
      </c>
      <c r="B466" s="40" t="str">
        <f>_xlfn.TEXTJOIN("-",TRUE,"ITD",Input!$A$2,A466)</f>
        <v>ITD-X465</v>
      </c>
      <c r="C466" s="40" t="str" cm="1">
        <f t="array" ref="C466">IFERROR(_xlfn.LET(
_xlpm.CSVVal,_xlfn.XLOOKUP($A466,CSV!$A:$A,CSV!B:B,""),
_xlpm.MacVal,_xlfn.XLOOKUP($A466,Output_Mac!$A:$A,Output_Mac!B:B,""),
_xlpm.MyAuditVal,_xlfn.XLOOKUP($A466,My_Audit!$A:$A,My_Audit!B:B,""),
_xlfn.IFS(_xlpm.MyAuditVal&lt;&gt;"",UPPER(_xlpm.MyAuditVal),_xlpm.MacVal&lt;&gt;"",_xlpm.MacVal,_xlpm.CSVVal&lt;&gt;"",_xlpm.CSVVal
)),"")</f>
        <v/>
      </c>
      <c r="D466" s="40" t="str" cm="1">
        <f t="array" ref="D466">IFERROR(_xlfn.LET(
_xlpm.CSVVal,_xlfn.XLOOKUP($A466,CSV!$A:$A,CSV!D:D,""),
_xlpm.MacVal,_xlfn.XLOOKUP($A466,Output_Mac!$A:$A,Output_Mac!C:C,""),
_xlpm.MyAuditVal,_xlfn.XLOOKUP($A466,My_Audit!$A:$A,My_Audit!C:C,""),
_xlfn.IFS(_xlpm.MyAuditVal&lt;&gt;"",_xlpm.MyAuditVal,_xlpm.MacVal&lt;&gt;"",_xlpm.MacVal,_xlpm.CSVVal&lt;&gt;"",_xlpm.CSVVal
)),"")</f>
        <v/>
      </c>
      <c r="E466" s="40" t="str">
        <f>_xlfn.XLOOKUP(A466,My_Audit!A:A,My_Audit!D:D,"")</f>
        <v/>
      </c>
      <c r="F466" s="40" t="str" cm="1">
        <f t="array" ref="F466">IFERROR(_xlfn.LET(
_xlpm.CSVVal,_xlfn.XLOOKUP($A466,CSV!$A:$A,CSV!F:F,""),
_xlpm.MacVal,_xlfn.XLOOKUP($A466,Output_Mac!$A:$A,Output_Mac!E:E,""),
_xlpm.MyAuditVal,_xlfn.XLOOKUP($A466,My_Audit!$A:$A,My_Audit!E:E,""),
_xlfn.IFS(_xlpm.MyAuditVal&lt;&gt;"",_xlpm.MyAuditVal,_xlpm.MacVal&lt;&gt;"",_xlpm.MacVal,_xlpm.CSVVal&lt;&gt;"",_xlpm.CSVVal
)),"")</f>
        <v/>
      </c>
      <c r="G466" s="40" t="str" cm="1">
        <f t="array" ref="G466">IFERROR(_xlfn.LET(
_xlpm.CSVVal,_xlfn.XLOOKUP($A466,CSV!$A:$A,CSV!G:G,""),
_xlpm.MacVal,_xlfn.XLOOKUP($A466,Output_Mac!$A:$A,Output_Mac!F:F,""),
_xlpm.MyAuditVal,_xlfn.XLOOKUP($A466,My_Audit!$A:$A,My_Audit!F:F,""),
_xlfn.IFS(_xlpm.MyAuditVal&lt;&gt;"",_xlpm.MyAuditVal,_xlpm.MacVal&lt;&gt;"",_xlpm.MacVal,_xlpm.CSVVal&lt;&gt;"",PROPER(_xlpm.CSVVal)
)),"")</f>
        <v/>
      </c>
      <c r="H466" s="40" t="str" cm="1">
        <f t="array" ref="H466">IFERROR(_xlfn.LET(
_xlpm.CSVVal,_xlfn.XLOOKUP($A466,CSV!$A:$A,CSV!H:H,""),
_xlpm.MacVal,_xlfn.XLOOKUP($A466,Output_Mac!$A:$A,Output_Mac!H:H,""),
_xlpm.MyAuditVal,_xlfn.XLOOKUP($A466,My_Audit!$A:$A,My_Audit!G:G,""),
_xlfn.IFS(_xlpm.MyAuditVal&lt;&gt;"",_xlpm.MyAuditVal,_xlpm.MacVal&lt;&gt;"",_xlpm.MacVal,_xlpm.CSVVal&lt;&gt;"",_xlpm.CSVVal
)),"")</f>
        <v/>
      </c>
      <c r="I466" s="40" t="str">
        <f>_xlfn.XLOOKUP(A466,Output_Mac!A:A,Output_Mac!I:I,"")</f>
        <v/>
      </c>
      <c r="J466" s="40" t="str" cm="1">
        <f t="array" ref="J466">IFERROR(_xlfn.LET(
_xlpm.CSVVal,_xlfn.XLOOKUP($A466,CSV!$A:$A,CSV!I:I,""),
_xlpm.MacVal,_xlfn.XLOOKUP($A466,Output_Mac!$A:$A,Output_Mac!J:J,""),
_xlpm.MyAuditVal,_xlfn.XLOOKUP($A466,My_Audit!$A:$A,My_Audit!I:I,""),
_xlfn.IFS(_xlpm.MyAuditVal&lt;&gt;"",UPPER(_xlpm.MyAuditVal),_xlpm.MacVal&lt;&gt;"",_xlpm.MacVal,_xlpm.CSVVal&lt;&gt;"",_xlpm.CSVVal
)),"")</f>
        <v/>
      </c>
      <c r="K466" s="40" t="str" cm="1">
        <f t="array" ref="K466">IFERROR(_xlfn.LET(
_xlpm.CSVVal,_xlfn.XLOOKUP($A466,CSV!$A:$A,CSV!K:K,""),
_xlpm.MacVal,_xlfn.XLOOKUP($A466,Output_Mac!$A:$A,Output_Mac!K:K,""),
_xlpm.MyAuditVal,_xlfn.XLOOKUP($A466,My_Audit!$A:$A,My_Audit!J:J,""),
_xlfn.IFS(_xlpm.MyAuditVal&lt;&gt;"",UPPER(_xlpm.MyAuditVal),_xlpm.MacVal&lt;&gt;"",_xlpm.MacVal,_xlpm.CSVVal&lt;&gt;"",_xlpm.CSVVal
)),"")</f>
        <v/>
      </c>
      <c r="L466" s="40" t="str" cm="1">
        <f t="array" ref="L466">IFERROR(_xlfn.LET(
_xlpm.CSVVal,_xlfn.XLOOKUP($A466,CSV!$A:$A,CSV!P:P,""),
_xlpm.MacVal,_xlfn.XLOOKUP($A466,Output_Mac!$A:$A,Output_Mac!L:L,""),
_xlpm.MyAuditVal,_xlfn.XLOOKUP($A466,My_Audit!$A:$A,My_Audit!K:K,""),
_xlfn.IFS(_xlpm.MyAuditVal&lt;&gt;"",UPPER(_xlpm.MyAuditVal),_xlpm.MacVal&lt;&gt;"",_xlpm.MacVal,_xlpm.CSVVal&lt;&gt;"",_xlpm.CSVVal
)),"")</f>
        <v/>
      </c>
      <c r="M466" s="40" t="str" cm="1">
        <f t="array" ref="M466">IFERROR(_xlfn.LET(
_xlpm.CSVVal,_xlfn.XLOOKUP($A466,CSV!$A:$A,CSV!Q:Q,""),
_xlpm.MacVal,_xlfn.XLOOKUP($A466,Output_Mac!$A:$A,Output_Mac!M:M,""),
_xlpm.MyAuditVal,_xlfn.XLOOKUP($A466,My_Audit!$A:$A,My_Audit!L:L,""),
_xlfn.IFS(_xlpm.MyAuditVal&lt;&gt;"",UPPER(_xlpm.MyAuditVal),_xlpm.MacVal&lt;&gt;"",_xlpm.MacVal,_xlpm.CSVVal&lt;&gt;"",_xlpm.CSVVal
)),"")</f>
        <v/>
      </c>
      <c r="N466" s="40"/>
      <c r="O466" s="40" t="str">
        <f>_xlfn.LET(
    _xlpm.CSVVal, _xlfn.XLOOKUP($A466, CSV!$A:$A, CSV!AA:AA, ""),
    _xlpm.MacVal, _xlfn.XLOOKUP($A466, Output_Mac!$A:$A, Output_Mac!S:S, ""),
    _xlpm.MyAuditVal, _xlfn.XLOOKUP($A466, My_Audit!$A:$A, My_Audit!P:P, ""),
    _xlfn.TEXTJOIN(", ", TRUE, _xlpm.MyAuditVal, _xlpm.MacVal, _xlpm.CSVVal)
)</f>
        <v/>
      </c>
      <c r="P466" s="40" t="str" cm="1">
        <f t="array" ref="P466">IFERROR(_xlfn.LET(
_xlpm.CSVVal,_xlfn.XLOOKUP($A466,CSV!$A:$A,CSV!AB:AB,""),
_xlpm.MacVal,_xlfn.XLOOKUP($A466,Output_Mac!$A:$A,Output_Mac!T:T,""),
_xlpm.MyAuditVal,_xlfn.XLOOKUP($A466,My_Audit!$A:$A,My_Audit!Q:Q,""),
_xlfn.IFS(_xlpm.MyAuditVal&lt;&gt;"",UPPER(_xlpm.MyAuditVal),_xlpm.MacVal&lt;&gt;"",_xlpm.MacVal,_xlpm.CSVVal&lt;&gt;"",_xlpm.CSVVal
)),"No")</f>
        <v>No</v>
      </c>
      <c r="Q466" s="40" t="str" cm="1">
        <f t="array" ref="Q466">IFERROR(_xlfn.LET(
_xlpm.CSVVal,_xlfn.XLOOKUP($A466,CSV!$A:$A,CSV!AC:AC,""),
_xlpm.MacVal,_xlfn.XLOOKUP($A466,Output_Mac!$A:$A,Output_Mac!U:U,""),
_xlpm.MyAuditVal,_xlfn.XLOOKUP($A466,My_Audit!$A:$A,My_Audit!R:R,""),
_xlfn.IFS(_xlpm.MyAuditVal&lt;&gt;"",UPPER(_xlpm.MyAuditVal),_xlpm.MacVal&lt;&gt;"",_xlpm.MacVal,_xlpm.CSVVal&lt;&gt;"",_xlpm.CSVVal
)),"")</f>
        <v/>
      </c>
      <c r="R466" s="40"/>
      <c r="S466" s="40"/>
      <c r="T466" s="40"/>
      <c r="U466" s="40"/>
      <c r="V466" s="40"/>
      <c r="W466" s="40"/>
      <c r="X466" s="41" t="str">
        <f>_xlfn.LET(
    _xlpm.MacVal, _xlfn.XLOOKUP($A466, Output_Mac!$A:$A, Output_Mac!AB:AB, ""),
    _xlpm.MyAuditVal, _xlfn.XLOOKUP($A466, My_Audit!$A:$A, My_Audit!N:N, ""),
    _xlfn.TEXTJOIN(", ", TRUE, _xlpm.MyAuditVal, _xlpm.MacVal)
)</f>
        <v/>
      </c>
    </row>
    <row r="467" spans="1:24">
      <c r="A467" s="40" t="str">
        <f>_xlfn.TEXTJOIN("",TRUE,Input!$B$2,ROW(My_Audit!A466))</f>
        <v>X466</v>
      </c>
      <c r="B467" s="40" t="str">
        <f>_xlfn.TEXTJOIN("-",TRUE,"ITD",Input!$A$2,A467)</f>
        <v>ITD-X466</v>
      </c>
      <c r="C467" s="40" t="str" cm="1">
        <f t="array" ref="C467">IFERROR(_xlfn.LET(
_xlpm.CSVVal,_xlfn.XLOOKUP($A467,CSV!$A:$A,CSV!B:B,""),
_xlpm.MacVal,_xlfn.XLOOKUP($A467,Output_Mac!$A:$A,Output_Mac!B:B,""),
_xlpm.MyAuditVal,_xlfn.XLOOKUP($A467,My_Audit!$A:$A,My_Audit!B:B,""),
_xlfn.IFS(_xlpm.MyAuditVal&lt;&gt;"",UPPER(_xlpm.MyAuditVal),_xlpm.MacVal&lt;&gt;"",_xlpm.MacVal,_xlpm.CSVVal&lt;&gt;"",_xlpm.CSVVal
)),"")</f>
        <v/>
      </c>
      <c r="D467" s="40" t="str" cm="1">
        <f t="array" ref="D467">IFERROR(_xlfn.LET(
_xlpm.CSVVal,_xlfn.XLOOKUP($A467,CSV!$A:$A,CSV!D:D,""),
_xlpm.MacVal,_xlfn.XLOOKUP($A467,Output_Mac!$A:$A,Output_Mac!C:C,""),
_xlpm.MyAuditVal,_xlfn.XLOOKUP($A467,My_Audit!$A:$A,My_Audit!C:C,""),
_xlfn.IFS(_xlpm.MyAuditVal&lt;&gt;"",_xlpm.MyAuditVal,_xlpm.MacVal&lt;&gt;"",_xlpm.MacVal,_xlpm.CSVVal&lt;&gt;"",_xlpm.CSVVal
)),"")</f>
        <v/>
      </c>
      <c r="E467" s="40" t="str">
        <f>_xlfn.XLOOKUP(A467,My_Audit!A:A,My_Audit!D:D,"")</f>
        <v/>
      </c>
      <c r="F467" s="40" t="str" cm="1">
        <f t="array" ref="F467">IFERROR(_xlfn.LET(
_xlpm.CSVVal,_xlfn.XLOOKUP($A467,CSV!$A:$A,CSV!F:F,""),
_xlpm.MacVal,_xlfn.XLOOKUP($A467,Output_Mac!$A:$A,Output_Mac!E:E,""),
_xlpm.MyAuditVal,_xlfn.XLOOKUP($A467,My_Audit!$A:$A,My_Audit!E:E,""),
_xlfn.IFS(_xlpm.MyAuditVal&lt;&gt;"",_xlpm.MyAuditVal,_xlpm.MacVal&lt;&gt;"",_xlpm.MacVal,_xlpm.CSVVal&lt;&gt;"",_xlpm.CSVVal
)),"")</f>
        <v/>
      </c>
      <c r="G467" s="40" t="str" cm="1">
        <f t="array" ref="G467">IFERROR(_xlfn.LET(
_xlpm.CSVVal,_xlfn.XLOOKUP($A467,CSV!$A:$A,CSV!G:G,""),
_xlpm.MacVal,_xlfn.XLOOKUP($A467,Output_Mac!$A:$A,Output_Mac!F:F,""),
_xlpm.MyAuditVal,_xlfn.XLOOKUP($A467,My_Audit!$A:$A,My_Audit!F:F,""),
_xlfn.IFS(_xlpm.MyAuditVal&lt;&gt;"",_xlpm.MyAuditVal,_xlpm.MacVal&lt;&gt;"",_xlpm.MacVal,_xlpm.CSVVal&lt;&gt;"",PROPER(_xlpm.CSVVal)
)),"")</f>
        <v/>
      </c>
      <c r="H467" s="40" t="str" cm="1">
        <f t="array" ref="H467">IFERROR(_xlfn.LET(
_xlpm.CSVVal,_xlfn.XLOOKUP($A467,CSV!$A:$A,CSV!H:H,""),
_xlpm.MacVal,_xlfn.XLOOKUP($A467,Output_Mac!$A:$A,Output_Mac!H:H,""),
_xlpm.MyAuditVal,_xlfn.XLOOKUP($A467,My_Audit!$A:$A,My_Audit!G:G,""),
_xlfn.IFS(_xlpm.MyAuditVal&lt;&gt;"",_xlpm.MyAuditVal,_xlpm.MacVal&lt;&gt;"",_xlpm.MacVal,_xlpm.CSVVal&lt;&gt;"",_xlpm.CSVVal
)),"")</f>
        <v/>
      </c>
      <c r="I467" s="40" t="str">
        <f>_xlfn.XLOOKUP(A467,Output_Mac!A:A,Output_Mac!I:I,"")</f>
        <v/>
      </c>
      <c r="J467" s="40" t="str" cm="1">
        <f t="array" ref="J467">IFERROR(_xlfn.LET(
_xlpm.CSVVal,_xlfn.XLOOKUP($A467,CSV!$A:$A,CSV!I:I,""),
_xlpm.MacVal,_xlfn.XLOOKUP($A467,Output_Mac!$A:$A,Output_Mac!J:J,""),
_xlpm.MyAuditVal,_xlfn.XLOOKUP($A467,My_Audit!$A:$A,My_Audit!I:I,""),
_xlfn.IFS(_xlpm.MyAuditVal&lt;&gt;"",UPPER(_xlpm.MyAuditVal),_xlpm.MacVal&lt;&gt;"",_xlpm.MacVal,_xlpm.CSVVal&lt;&gt;"",_xlpm.CSVVal
)),"")</f>
        <v/>
      </c>
      <c r="K467" s="40" t="str" cm="1">
        <f t="array" ref="K467">IFERROR(_xlfn.LET(
_xlpm.CSVVal,_xlfn.XLOOKUP($A467,CSV!$A:$A,CSV!K:K,""),
_xlpm.MacVal,_xlfn.XLOOKUP($A467,Output_Mac!$A:$A,Output_Mac!K:K,""),
_xlpm.MyAuditVal,_xlfn.XLOOKUP($A467,My_Audit!$A:$A,My_Audit!J:J,""),
_xlfn.IFS(_xlpm.MyAuditVal&lt;&gt;"",UPPER(_xlpm.MyAuditVal),_xlpm.MacVal&lt;&gt;"",_xlpm.MacVal,_xlpm.CSVVal&lt;&gt;"",_xlpm.CSVVal
)),"")</f>
        <v/>
      </c>
      <c r="L467" s="40" t="str" cm="1">
        <f t="array" ref="L467">IFERROR(_xlfn.LET(
_xlpm.CSVVal,_xlfn.XLOOKUP($A467,CSV!$A:$A,CSV!P:P,""),
_xlpm.MacVal,_xlfn.XLOOKUP($A467,Output_Mac!$A:$A,Output_Mac!L:L,""),
_xlpm.MyAuditVal,_xlfn.XLOOKUP($A467,My_Audit!$A:$A,My_Audit!K:K,""),
_xlfn.IFS(_xlpm.MyAuditVal&lt;&gt;"",UPPER(_xlpm.MyAuditVal),_xlpm.MacVal&lt;&gt;"",_xlpm.MacVal,_xlpm.CSVVal&lt;&gt;"",_xlpm.CSVVal
)),"")</f>
        <v/>
      </c>
      <c r="M467" s="40" t="str" cm="1">
        <f t="array" ref="M467">IFERROR(_xlfn.LET(
_xlpm.CSVVal,_xlfn.XLOOKUP($A467,CSV!$A:$A,CSV!Q:Q,""),
_xlpm.MacVal,_xlfn.XLOOKUP($A467,Output_Mac!$A:$A,Output_Mac!M:M,""),
_xlpm.MyAuditVal,_xlfn.XLOOKUP($A467,My_Audit!$A:$A,My_Audit!L:L,""),
_xlfn.IFS(_xlpm.MyAuditVal&lt;&gt;"",UPPER(_xlpm.MyAuditVal),_xlpm.MacVal&lt;&gt;"",_xlpm.MacVal,_xlpm.CSVVal&lt;&gt;"",_xlpm.CSVVal
)),"")</f>
        <v/>
      </c>
      <c r="N467" s="40"/>
      <c r="O467" s="40" t="str">
        <f>_xlfn.LET(
    _xlpm.CSVVal, _xlfn.XLOOKUP($A467, CSV!$A:$A, CSV!AA:AA, ""),
    _xlpm.MacVal, _xlfn.XLOOKUP($A467, Output_Mac!$A:$A, Output_Mac!S:S, ""),
    _xlpm.MyAuditVal, _xlfn.XLOOKUP($A467, My_Audit!$A:$A, My_Audit!P:P, ""),
    _xlfn.TEXTJOIN(", ", TRUE, _xlpm.MyAuditVal, _xlpm.MacVal, _xlpm.CSVVal)
)</f>
        <v/>
      </c>
      <c r="P467" s="40" t="str" cm="1">
        <f t="array" ref="P467">IFERROR(_xlfn.LET(
_xlpm.CSVVal,_xlfn.XLOOKUP($A467,CSV!$A:$A,CSV!AB:AB,""),
_xlpm.MacVal,_xlfn.XLOOKUP($A467,Output_Mac!$A:$A,Output_Mac!T:T,""),
_xlpm.MyAuditVal,_xlfn.XLOOKUP($A467,My_Audit!$A:$A,My_Audit!Q:Q,""),
_xlfn.IFS(_xlpm.MyAuditVal&lt;&gt;"",UPPER(_xlpm.MyAuditVal),_xlpm.MacVal&lt;&gt;"",_xlpm.MacVal,_xlpm.CSVVal&lt;&gt;"",_xlpm.CSVVal
)),"No")</f>
        <v>No</v>
      </c>
      <c r="Q467" s="40" t="str" cm="1">
        <f t="array" ref="Q467">IFERROR(_xlfn.LET(
_xlpm.CSVVal,_xlfn.XLOOKUP($A467,CSV!$A:$A,CSV!AC:AC,""),
_xlpm.MacVal,_xlfn.XLOOKUP($A467,Output_Mac!$A:$A,Output_Mac!U:U,""),
_xlpm.MyAuditVal,_xlfn.XLOOKUP($A467,My_Audit!$A:$A,My_Audit!R:R,""),
_xlfn.IFS(_xlpm.MyAuditVal&lt;&gt;"",UPPER(_xlpm.MyAuditVal),_xlpm.MacVal&lt;&gt;"",_xlpm.MacVal,_xlpm.CSVVal&lt;&gt;"",_xlpm.CSVVal
)),"")</f>
        <v/>
      </c>
      <c r="R467" s="40"/>
      <c r="S467" s="40"/>
      <c r="T467" s="40"/>
      <c r="U467" s="40"/>
      <c r="V467" s="40"/>
      <c r="W467" s="40"/>
      <c r="X467" s="41" t="str">
        <f>_xlfn.LET(
    _xlpm.MacVal, _xlfn.XLOOKUP($A467, Output_Mac!$A:$A, Output_Mac!AB:AB, ""),
    _xlpm.MyAuditVal, _xlfn.XLOOKUP($A467, My_Audit!$A:$A, My_Audit!N:N, ""),
    _xlfn.TEXTJOIN(", ", TRUE, _xlpm.MyAuditVal, _xlpm.MacVal)
)</f>
        <v/>
      </c>
    </row>
    <row r="468" spans="1:24">
      <c r="A468" s="40" t="str">
        <f>_xlfn.TEXTJOIN("",TRUE,Input!$B$2,ROW(My_Audit!A467))</f>
        <v>X467</v>
      </c>
      <c r="B468" s="40" t="str">
        <f>_xlfn.TEXTJOIN("-",TRUE,"ITD",Input!$A$2,A468)</f>
        <v>ITD-X467</v>
      </c>
      <c r="C468" s="40" t="str" cm="1">
        <f t="array" ref="C468">IFERROR(_xlfn.LET(
_xlpm.CSVVal,_xlfn.XLOOKUP($A468,CSV!$A:$A,CSV!B:B,""),
_xlpm.MacVal,_xlfn.XLOOKUP($A468,Output_Mac!$A:$A,Output_Mac!B:B,""),
_xlpm.MyAuditVal,_xlfn.XLOOKUP($A468,My_Audit!$A:$A,My_Audit!B:B,""),
_xlfn.IFS(_xlpm.MyAuditVal&lt;&gt;"",UPPER(_xlpm.MyAuditVal),_xlpm.MacVal&lt;&gt;"",_xlpm.MacVal,_xlpm.CSVVal&lt;&gt;"",_xlpm.CSVVal
)),"")</f>
        <v/>
      </c>
      <c r="D468" s="40" t="str" cm="1">
        <f t="array" ref="D468">IFERROR(_xlfn.LET(
_xlpm.CSVVal,_xlfn.XLOOKUP($A468,CSV!$A:$A,CSV!D:D,""),
_xlpm.MacVal,_xlfn.XLOOKUP($A468,Output_Mac!$A:$A,Output_Mac!C:C,""),
_xlpm.MyAuditVal,_xlfn.XLOOKUP($A468,My_Audit!$A:$A,My_Audit!C:C,""),
_xlfn.IFS(_xlpm.MyAuditVal&lt;&gt;"",_xlpm.MyAuditVal,_xlpm.MacVal&lt;&gt;"",_xlpm.MacVal,_xlpm.CSVVal&lt;&gt;"",_xlpm.CSVVal
)),"")</f>
        <v/>
      </c>
      <c r="E468" s="40" t="str">
        <f>_xlfn.XLOOKUP(A468,My_Audit!A:A,My_Audit!D:D,"")</f>
        <v/>
      </c>
      <c r="F468" s="40" t="str" cm="1">
        <f t="array" ref="F468">IFERROR(_xlfn.LET(
_xlpm.CSVVal,_xlfn.XLOOKUP($A468,CSV!$A:$A,CSV!F:F,""),
_xlpm.MacVal,_xlfn.XLOOKUP($A468,Output_Mac!$A:$A,Output_Mac!E:E,""),
_xlpm.MyAuditVal,_xlfn.XLOOKUP($A468,My_Audit!$A:$A,My_Audit!E:E,""),
_xlfn.IFS(_xlpm.MyAuditVal&lt;&gt;"",_xlpm.MyAuditVal,_xlpm.MacVal&lt;&gt;"",_xlpm.MacVal,_xlpm.CSVVal&lt;&gt;"",_xlpm.CSVVal
)),"")</f>
        <v/>
      </c>
      <c r="G468" s="40" t="str" cm="1">
        <f t="array" ref="G468">IFERROR(_xlfn.LET(
_xlpm.CSVVal,_xlfn.XLOOKUP($A468,CSV!$A:$A,CSV!G:G,""),
_xlpm.MacVal,_xlfn.XLOOKUP($A468,Output_Mac!$A:$A,Output_Mac!F:F,""),
_xlpm.MyAuditVal,_xlfn.XLOOKUP($A468,My_Audit!$A:$A,My_Audit!F:F,""),
_xlfn.IFS(_xlpm.MyAuditVal&lt;&gt;"",_xlpm.MyAuditVal,_xlpm.MacVal&lt;&gt;"",_xlpm.MacVal,_xlpm.CSVVal&lt;&gt;"",PROPER(_xlpm.CSVVal)
)),"")</f>
        <v/>
      </c>
      <c r="H468" s="40" t="str" cm="1">
        <f t="array" ref="H468">IFERROR(_xlfn.LET(
_xlpm.CSVVal,_xlfn.XLOOKUP($A468,CSV!$A:$A,CSV!H:H,""),
_xlpm.MacVal,_xlfn.XLOOKUP($A468,Output_Mac!$A:$A,Output_Mac!H:H,""),
_xlpm.MyAuditVal,_xlfn.XLOOKUP($A468,My_Audit!$A:$A,My_Audit!G:G,""),
_xlfn.IFS(_xlpm.MyAuditVal&lt;&gt;"",_xlpm.MyAuditVal,_xlpm.MacVal&lt;&gt;"",_xlpm.MacVal,_xlpm.CSVVal&lt;&gt;"",_xlpm.CSVVal
)),"")</f>
        <v/>
      </c>
      <c r="I468" s="40" t="str">
        <f>_xlfn.XLOOKUP(A468,Output_Mac!A:A,Output_Mac!I:I,"")</f>
        <v/>
      </c>
      <c r="J468" s="40" t="str" cm="1">
        <f t="array" ref="J468">IFERROR(_xlfn.LET(
_xlpm.CSVVal,_xlfn.XLOOKUP($A468,CSV!$A:$A,CSV!I:I,""),
_xlpm.MacVal,_xlfn.XLOOKUP($A468,Output_Mac!$A:$A,Output_Mac!J:J,""),
_xlpm.MyAuditVal,_xlfn.XLOOKUP($A468,My_Audit!$A:$A,My_Audit!I:I,""),
_xlfn.IFS(_xlpm.MyAuditVal&lt;&gt;"",UPPER(_xlpm.MyAuditVal),_xlpm.MacVal&lt;&gt;"",_xlpm.MacVal,_xlpm.CSVVal&lt;&gt;"",_xlpm.CSVVal
)),"")</f>
        <v/>
      </c>
      <c r="K468" s="40" t="str" cm="1">
        <f t="array" ref="K468">IFERROR(_xlfn.LET(
_xlpm.CSVVal,_xlfn.XLOOKUP($A468,CSV!$A:$A,CSV!K:K,""),
_xlpm.MacVal,_xlfn.XLOOKUP($A468,Output_Mac!$A:$A,Output_Mac!K:K,""),
_xlpm.MyAuditVal,_xlfn.XLOOKUP($A468,My_Audit!$A:$A,My_Audit!J:J,""),
_xlfn.IFS(_xlpm.MyAuditVal&lt;&gt;"",UPPER(_xlpm.MyAuditVal),_xlpm.MacVal&lt;&gt;"",_xlpm.MacVal,_xlpm.CSVVal&lt;&gt;"",_xlpm.CSVVal
)),"")</f>
        <v/>
      </c>
      <c r="L468" s="40" t="str" cm="1">
        <f t="array" ref="L468">IFERROR(_xlfn.LET(
_xlpm.CSVVal,_xlfn.XLOOKUP($A468,CSV!$A:$A,CSV!P:P,""),
_xlpm.MacVal,_xlfn.XLOOKUP($A468,Output_Mac!$A:$A,Output_Mac!L:L,""),
_xlpm.MyAuditVal,_xlfn.XLOOKUP($A468,My_Audit!$A:$A,My_Audit!K:K,""),
_xlfn.IFS(_xlpm.MyAuditVal&lt;&gt;"",UPPER(_xlpm.MyAuditVal),_xlpm.MacVal&lt;&gt;"",_xlpm.MacVal,_xlpm.CSVVal&lt;&gt;"",_xlpm.CSVVal
)),"")</f>
        <v/>
      </c>
      <c r="M468" s="40" t="str" cm="1">
        <f t="array" ref="M468">IFERROR(_xlfn.LET(
_xlpm.CSVVal,_xlfn.XLOOKUP($A468,CSV!$A:$A,CSV!Q:Q,""),
_xlpm.MacVal,_xlfn.XLOOKUP($A468,Output_Mac!$A:$A,Output_Mac!M:M,""),
_xlpm.MyAuditVal,_xlfn.XLOOKUP($A468,My_Audit!$A:$A,My_Audit!L:L,""),
_xlfn.IFS(_xlpm.MyAuditVal&lt;&gt;"",UPPER(_xlpm.MyAuditVal),_xlpm.MacVal&lt;&gt;"",_xlpm.MacVal,_xlpm.CSVVal&lt;&gt;"",_xlpm.CSVVal
)),"")</f>
        <v/>
      </c>
      <c r="N468" s="40"/>
      <c r="O468" s="40" t="str">
        <f>_xlfn.LET(
    _xlpm.CSVVal, _xlfn.XLOOKUP($A468, CSV!$A:$A, CSV!AA:AA, ""),
    _xlpm.MacVal, _xlfn.XLOOKUP($A468, Output_Mac!$A:$A, Output_Mac!S:S, ""),
    _xlpm.MyAuditVal, _xlfn.XLOOKUP($A468, My_Audit!$A:$A, My_Audit!P:P, ""),
    _xlfn.TEXTJOIN(", ", TRUE, _xlpm.MyAuditVal, _xlpm.MacVal, _xlpm.CSVVal)
)</f>
        <v/>
      </c>
      <c r="P468" s="40" t="str" cm="1">
        <f t="array" ref="P468">IFERROR(_xlfn.LET(
_xlpm.CSVVal,_xlfn.XLOOKUP($A468,CSV!$A:$A,CSV!AB:AB,""),
_xlpm.MacVal,_xlfn.XLOOKUP($A468,Output_Mac!$A:$A,Output_Mac!T:T,""),
_xlpm.MyAuditVal,_xlfn.XLOOKUP($A468,My_Audit!$A:$A,My_Audit!Q:Q,""),
_xlfn.IFS(_xlpm.MyAuditVal&lt;&gt;"",UPPER(_xlpm.MyAuditVal),_xlpm.MacVal&lt;&gt;"",_xlpm.MacVal,_xlpm.CSVVal&lt;&gt;"",_xlpm.CSVVal
)),"No")</f>
        <v>No</v>
      </c>
      <c r="Q468" s="40" t="str" cm="1">
        <f t="array" ref="Q468">IFERROR(_xlfn.LET(
_xlpm.CSVVal,_xlfn.XLOOKUP($A468,CSV!$A:$A,CSV!AC:AC,""),
_xlpm.MacVal,_xlfn.XLOOKUP($A468,Output_Mac!$A:$A,Output_Mac!U:U,""),
_xlpm.MyAuditVal,_xlfn.XLOOKUP($A468,My_Audit!$A:$A,My_Audit!R:R,""),
_xlfn.IFS(_xlpm.MyAuditVal&lt;&gt;"",UPPER(_xlpm.MyAuditVal),_xlpm.MacVal&lt;&gt;"",_xlpm.MacVal,_xlpm.CSVVal&lt;&gt;"",_xlpm.CSVVal
)),"")</f>
        <v/>
      </c>
      <c r="R468" s="40"/>
      <c r="S468" s="40"/>
      <c r="T468" s="40"/>
      <c r="U468" s="40"/>
      <c r="V468" s="40"/>
      <c r="W468" s="40"/>
      <c r="X468" s="41" t="str">
        <f>_xlfn.LET(
    _xlpm.MacVal, _xlfn.XLOOKUP($A468, Output_Mac!$A:$A, Output_Mac!AB:AB, ""),
    _xlpm.MyAuditVal, _xlfn.XLOOKUP($A468, My_Audit!$A:$A, My_Audit!N:N, ""),
    _xlfn.TEXTJOIN(", ", TRUE, _xlpm.MyAuditVal, _xlpm.MacVal)
)</f>
        <v/>
      </c>
    </row>
    <row r="469" spans="1:24">
      <c r="A469" s="40" t="str">
        <f>_xlfn.TEXTJOIN("",TRUE,Input!$B$2,ROW(My_Audit!A468))</f>
        <v>X468</v>
      </c>
      <c r="B469" s="40" t="str">
        <f>_xlfn.TEXTJOIN("-",TRUE,"ITD",Input!$A$2,A469)</f>
        <v>ITD-X468</v>
      </c>
      <c r="C469" s="40" t="str" cm="1">
        <f t="array" ref="C469">IFERROR(_xlfn.LET(
_xlpm.CSVVal,_xlfn.XLOOKUP($A469,CSV!$A:$A,CSV!B:B,""),
_xlpm.MacVal,_xlfn.XLOOKUP($A469,Output_Mac!$A:$A,Output_Mac!B:B,""),
_xlpm.MyAuditVal,_xlfn.XLOOKUP($A469,My_Audit!$A:$A,My_Audit!B:B,""),
_xlfn.IFS(_xlpm.MyAuditVal&lt;&gt;"",UPPER(_xlpm.MyAuditVal),_xlpm.MacVal&lt;&gt;"",_xlpm.MacVal,_xlpm.CSVVal&lt;&gt;"",_xlpm.CSVVal
)),"")</f>
        <v/>
      </c>
      <c r="D469" s="40" t="str" cm="1">
        <f t="array" ref="D469">IFERROR(_xlfn.LET(
_xlpm.CSVVal,_xlfn.XLOOKUP($A469,CSV!$A:$A,CSV!D:D,""),
_xlpm.MacVal,_xlfn.XLOOKUP($A469,Output_Mac!$A:$A,Output_Mac!C:C,""),
_xlpm.MyAuditVal,_xlfn.XLOOKUP($A469,My_Audit!$A:$A,My_Audit!C:C,""),
_xlfn.IFS(_xlpm.MyAuditVal&lt;&gt;"",_xlpm.MyAuditVal,_xlpm.MacVal&lt;&gt;"",_xlpm.MacVal,_xlpm.CSVVal&lt;&gt;"",_xlpm.CSVVal
)),"")</f>
        <v/>
      </c>
      <c r="E469" s="40" t="str">
        <f>_xlfn.XLOOKUP(A469,My_Audit!A:A,My_Audit!D:D,"")</f>
        <v/>
      </c>
      <c r="F469" s="40" t="str" cm="1">
        <f t="array" ref="F469">IFERROR(_xlfn.LET(
_xlpm.CSVVal,_xlfn.XLOOKUP($A469,CSV!$A:$A,CSV!F:F,""),
_xlpm.MacVal,_xlfn.XLOOKUP($A469,Output_Mac!$A:$A,Output_Mac!E:E,""),
_xlpm.MyAuditVal,_xlfn.XLOOKUP($A469,My_Audit!$A:$A,My_Audit!E:E,""),
_xlfn.IFS(_xlpm.MyAuditVal&lt;&gt;"",_xlpm.MyAuditVal,_xlpm.MacVal&lt;&gt;"",_xlpm.MacVal,_xlpm.CSVVal&lt;&gt;"",_xlpm.CSVVal
)),"")</f>
        <v/>
      </c>
      <c r="G469" s="40" t="str" cm="1">
        <f t="array" ref="G469">IFERROR(_xlfn.LET(
_xlpm.CSVVal,_xlfn.XLOOKUP($A469,CSV!$A:$A,CSV!G:G,""),
_xlpm.MacVal,_xlfn.XLOOKUP($A469,Output_Mac!$A:$A,Output_Mac!F:F,""),
_xlpm.MyAuditVal,_xlfn.XLOOKUP($A469,My_Audit!$A:$A,My_Audit!F:F,""),
_xlfn.IFS(_xlpm.MyAuditVal&lt;&gt;"",_xlpm.MyAuditVal,_xlpm.MacVal&lt;&gt;"",_xlpm.MacVal,_xlpm.CSVVal&lt;&gt;"",PROPER(_xlpm.CSVVal)
)),"")</f>
        <v/>
      </c>
      <c r="H469" s="40" t="str" cm="1">
        <f t="array" ref="H469">IFERROR(_xlfn.LET(
_xlpm.CSVVal,_xlfn.XLOOKUP($A469,CSV!$A:$A,CSV!H:H,""),
_xlpm.MacVal,_xlfn.XLOOKUP($A469,Output_Mac!$A:$A,Output_Mac!H:H,""),
_xlpm.MyAuditVal,_xlfn.XLOOKUP($A469,My_Audit!$A:$A,My_Audit!G:G,""),
_xlfn.IFS(_xlpm.MyAuditVal&lt;&gt;"",_xlpm.MyAuditVal,_xlpm.MacVal&lt;&gt;"",_xlpm.MacVal,_xlpm.CSVVal&lt;&gt;"",_xlpm.CSVVal
)),"")</f>
        <v/>
      </c>
      <c r="I469" s="40" t="str">
        <f>_xlfn.XLOOKUP(A469,Output_Mac!A:A,Output_Mac!I:I,"")</f>
        <v/>
      </c>
      <c r="J469" s="40" t="str" cm="1">
        <f t="array" ref="J469">IFERROR(_xlfn.LET(
_xlpm.CSVVal,_xlfn.XLOOKUP($A469,CSV!$A:$A,CSV!I:I,""),
_xlpm.MacVal,_xlfn.XLOOKUP($A469,Output_Mac!$A:$A,Output_Mac!J:J,""),
_xlpm.MyAuditVal,_xlfn.XLOOKUP($A469,My_Audit!$A:$A,My_Audit!I:I,""),
_xlfn.IFS(_xlpm.MyAuditVal&lt;&gt;"",UPPER(_xlpm.MyAuditVal),_xlpm.MacVal&lt;&gt;"",_xlpm.MacVal,_xlpm.CSVVal&lt;&gt;"",_xlpm.CSVVal
)),"")</f>
        <v/>
      </c>
      <c r="K469" s="40" t="str" cm="1">
        <f t="array" ref="K469">IFERROR(_xlfn.LET(
_xlpm.CSVVal,_xlfn.XLOOKUP($A469,CSV!$A:$A,CSV!K:K,""),
_xlpm.MacVal,_xlfn.XLOOKUP($A469,Output_Mac!$A:$A,Output_Mac!K:K,""),
_xlpm.MyAuditVal,_xlfn.XLOOKUP($A469,My_Audit!$A:$A,My_Audit!J:J,""),
_xlfn.IFS(_xlpm.MyAuditVal&lt;&gt;"",UPPER(_xlpm.MyAuditVal),_xlpm.MacVal&lt;&gt;"",_xlpm.MacVal,_xlpm.CSVVal&lt;&gt;"",_xlpm.CSVVal
)),"")</f>
        <v/>
      </c>
      <c r="L469" s="40" t="str" cm="1">
        <f t="array" ref="L469">IFERROR(_xlfn.LET(
_xlpm.CSVVal,_xlfn.XLOOKUP($A469,CSV!$A:$A,CSV!P:P,""),
_xlpm.MacVal,_xlfn.XLOOKUP($A469,Output_Mac!$A:$A,Output_Mac!L:L,""),
_xlpm.MyAuditVal,_xlfn.XLOOKUP($A469,My_Audit!$A:$A,My_Audit!K:K,""),
_xlfn.IFS(_xlpm.MyAuditVal&lt;&gt;"",UPPER(_xlpm.MyAuditVal),_xlpm.MacVal&lt;&gt;"",_xlpm.MacVal,_xlpm.CSVVal&lt;&gt;"",_xlpm.CSVVal
)),"")</f>
        <v/>
      </c>
      <c r="M469" s="40" t="str" cm="1">
        <f t="array" ref="M469">IFERROR(_xlfn.LET(
_xlpm.CSVVal,_xlfn.XLOOKUP($A469,CSV!$A:$A,CSV!Q:Q,""),
_xlpm.MacVal,_xlfn.XLOOKUP($A469,Output_Mac!$A:$A,Output_Mac!M:M,""),
_xlpm.MyAuditVal,_xlfn.XLOOKUP($A469,My_Audit!$A:$A,My_Audit!L:L,""),
_xlfn.IFS(_xlpm.MyAuditVal&lt;&gt;"",UPPER(_xlpm.MyAuditVal),_xlpm.MacVal&lt;&gt;"",_xlpm.MacVal,_xlpm.CSVVal&lt;&gt;"",_xlpm.CSVVal
)),"")</f>
        <v/>
      </c>
      <c r="N469" s="40"/>
      <c r="O469" s="40" t="str">
        <f>_xlfn.LET(
    _xlpm.CSVVal, _xlfn.XLOOKUP($A469, CSV!$A:$A, CSV!AA:AA, ""),
    _xlpm.MacVal, _xlfn.XLOOKUP($A469, Output_Mac!$A:$A, Output_Mac!S:S, ""),
    _xlpm.MyAuditVal, _xlfn.XLOOKUP($A469, My_Audit!$A:$A, My_Audit!P:P, ""),
    _xlfn.TEXTJOIN(", ", TRUE, _xlpm.MyAuditVal, _xlpm.MacVal, _xlpm.CSVVal)
)</f>
        <v/>
      </c>
      <c r="P469" s="40" t="str" cm="1">
        <f t="array" ref="P469">IFERROR(_xlfn.LET(
_xlpm.CSVVal,_xlfn.XLOOKUP($A469,CSV!$A:$A,CSV!AB:AB,""),
_xlpm.MacVal,_xlfn.XLOOKUP($A469,Output_Mac!$A:$A,Output_Mac!T:T,""),
_xlpm.MyAuditVal,_xlfn.XLOOKUP($A469,My_Audit!$A:$A,My_Audit!Q:Q,""),
_xlfn.IFS(_xlpm.MyAuditVal&lt;&gt;"",UPPER(_xlpm.MyAuditVal),_xlpm.MacVal&lt;&gt;"",_xlpm.MacVal,_xlpm.CSVVal&lt;&gt;"",_xlpm.CSVVal
)),"No")</f>
        <v>No</v>
      </c>
      <c r="Q469" s="40" t="str" cm="1">
        <f t="array" ref="Q469">IFERROR(_xlfn.LET(
_xlpm.CSVVal,_xlfn.XLOOKUP($A469,CSV!$A:$A,CSV!AC:AC,""),
_xlpm.MacVal,_xlfn.XLOOKUP($A469,Output_Mac!$A:$A,Output_Mac!U:U,""),
_xlpm.MyAuditVal,_xlfn.XLOOKUP($A469,My_Audit!$A:$A,My_Audit!R:R,""),
_xlfn.IFS(_xlpm.MyAuditVal&lt;&gt;"",UPPER(_xlpm.MyAuditVal),_xlpm.MacVal&lt;&gt;"",_xlpm.MacVal,_xlpm.CSVVal&lt;&gt;"",_xlpm.CSVVal
)),"")</f>
        <v/>
      </c>
      <c r="R469" s="40"/>
      <c r="S469" s="40"/>
      <c r="T469" s="40"/>
      <c r="U469" s="40"/>
      <c r="V469" s="40"/>
      <c r="W469" s="40"/>
      <c r="X469" s="41" t="str">
        <f>_xlfn.LET(
    _xlpm.MacVal, _xlfn.XLOOKUP($A469, Output_Mac!$A:$A, Output_Mac!AB:AB, ""),
    _xlpm.MyAuditVal, _xlfn.XLOOKUP($A469, My_Audit!$A:$A, My_Audit!N:N, ""),
    _xlfn.TEXTJOIN(", ", TRUE, _xlpm.MyAuditVal, _xlpm.MacVal)
)</f>
        <v/>
      </c>
    </row>
    <row r="470" spans="1:24">
      <c r="A470" s="40" t="str">
        <f>_xlfn.TEXTJOIN("",TRUE,Input!$B$2,ROW(My_Audit!A469))</f>
        <v>X469</v>
      </c>
      <c r="B470" s="40" t="str">
        <f>_xlfn.TEXTJOIN("-",TRUE,"ITD",Input!$A$2,A470)</f>
        <v>ITD-X469</v>
      </c>
      <c r="C470" s="40" t="str" cm="1">
        <f t="array" ref="C470">IFERROR(_xlfn.LET(
_xlpm.CSVVal,_xlfn.XLOOKUP($A470,CSV!$A:$A,CSV!B:B,""),
_xlpm.MacVal,_xlfn.XLOOKUP($A470,Output_Mac!$A:$A,Output_Mac!B:B,""),
_xlpm.MyAuditVal,_xlfn.XLOOKUP($A470,My_Audit!$A:$A,My_Audit!B:B,""),
_xlfn.IFS(_xlpm.MyAuditVal&lt;&gt;"",UPPER(_xlpm.MyAuditVal),_xlpm.MacVal&lt;&gt;"",_xlpm.MacVal,_xlpm.CSVVal&lt;&gt;"",_xlpm.CSVVal
)),"")</f>
        <v/>
      </c>
      <c r="D470" s="40" t="str" cm="1">
        <f t="array" ref="D470">IFERROR(_xlfn.LET(
_xlpm.CSVVal,_xlfn.XLOOKUP($A470,CSV!$A:$A,CSV!D:D,""),
_xlpm.MacVal,_xlfn.XLOOKUP($A470,Output_Mac!$A:$A,Output_Mac!C:C,""),
_xlpm.MyAuditVal,_xlfn.XLOOKUP($A470,My_Audit!$A:$A,My_Audit!C:C,""),
_xlfn.IFS(_xlpm.MyAuditVal&lt;&gt;"",_xlpm.MyAuditVal,_xlpm.MacVal&lt;&gt;"",_xlpm.MacVal,_xlpm.CSVVal&lt;&gt;"",_xlpm.CSVVal
)),"")</f>
        <v/>
      </c>
      <c r="E470" s="40" t="str">
        <f>_xlfn.XLOOKUP(A470,My_Audit!A:A,My_Audit!D:D,"")</f>
        <v/>
      </c>
      <c r="F470" s="40" t="str" cm="1">
        <f t="array" ref="F470">IFERROR(_xlfn.LET(
_xlpm.CSVVal,_xlfn.XLOOKUP($A470,CSV!$A:$A,CSV!F:F,""),
_xlpm.MacVal,_xlfn.XLOOKUP($A470,Output_Mac!$A:$A,Output_Mac!E:E,""),
_xlpm.MyAuditVal,_xlfn.XLOOKUP($A470,My_Audit!$A:$A,My_Audit!E:E,""),
_xlfn.IFS(_xlpm.MyAuditVal&lt;&gt;"",_xlpm.MyAuditVal,_xlpm.MacVal&lt;&gt;"",_xlpm.MacVal,_xlpm.CSVVal&lt;&gt;"",_xlpm.CSVVal
)),"")</f>
        <v/>
      </c>
      <c r="G470" s="40" t="str" cm="1">
        <f t="array" ref="G470">IFERROR(_xlfn.LET(
_xlpm.CSVVal,_xlfn.XLOOKUP($A470,CSV!$A:$A,CSV!G:G,""),
_xlpm.MacVal,_xlfn.XLOOKUP($A470,Output_Mac!$A:$A,Output_Mac!F:F,""),
_xlpm.MyAuditVal,_xlfn.XLOOKUP($A470,My_Audit!$A:$A,My_Audit!F:F,""),
_xlfn.IFS(_xlpm.MyAuditVal&lt;&gt;"",_xlpm.MyAuditVal,_xlpm.MacVal&lt;&gt;"",_xlpm.MacVal,_xlpm.CSVVal&lt;&gt;"",PROPER(_xlpm.CSVVal)
)),"")</f>
        <v/>
      </c>
      <c r="H470" s="40" t="str" cm="1">
        <f t="array" ref="H470">IFERROR(_xlfn.LET(
_xlpm.CSVVal,_xlfn.XLOOKUP($A470,CSV!$A:$A,CSV!H:H,""),
_xlpm.MacVal,_xlfn.XLOOKUP($A470,Output_Mac!$A:$A,Output_Mac!H:H,""),
_xlpm.MyAuditVal,_xlfn.XLOOKUP($A470,My_Audit!$A:$A,My_Audit!G:G,""),
_xlfn.IFS(_xlpm.MyAuditVal&lt;&gt;"",_xlpm.MyAuditVal,_xlpm.MacVal&lt;&gt;"",_xlpm.MacVal,_xlpm.CSVVal&lt;&gt;"",_xlpm.CSVVal
)),"")</f>
        <v/>
      </c>
      <c r="I470" s="40" t="str">
        <f>_xlfn.XLOOKUP(A470,Output_Mac!A:A,Output_Mac!I:I,"")</f>
        <v/>
      </c>
      <c r="J470" s="40" t="str" cm="1">
        <f t="array" ref="J470">IFERROR(_xlfn.LET(
_xlpm.CSVVal,_xlfn.XLOOKUP($A470,CSV!$A:$A,CSV!I:I,""),
_xlpm.MacVal,_xlfn.XLOOKUP($A470,Output_Mac!$A:$A,Output_Mac!J:J,""),
_xlpm.MyAuditVal,_xlfn.XLOOKUP($A470,My_Audit!$A:$A,My_Audit!I:I,""),
_xlfn.IFS(_xlpm.MyAuditVal&lt;&gt;"",UPPER(_xlpm.MyAuditVal),_xlpm.MacVal&lt;&gt;"",_xlpm.MacVal,_xlpm.CSVVal&lt;&gt;"",_xlpm.CSVVal
)),"")</f>
        <v/>
      </c>
      <c r="K470" s="40" t="str" cm="1">
        <f t="array" ref="K470">IFERROR(_xlfn.LET(
_xlpm.CSVVal,_xlfn.XLOOKUP($A470,CSV!$A:$A,CSV!K:K,""),
_xlpm.MacVal,_xlfn.XLOOKUP($A470,Output_Mac!$A:$A,Output_Mac!K:K,""),
_xlpm.MyAuditVal,_xlfn.XLOOKUP($A470,My_Audit!$A:$A,My_Audit!J:J,""),
_xlfn.IFS(_xlpm.MyAuditVal&lt;&gt;"",UPPER(_xlpm.MyAuditVal),_xlpm.MacVal&lt;&gt;"",_xlpm.MacVal,_xlpm.CSVVal&lt;&gt;"",_xlpm.CSVVal
)),"")</f>
        <v/>
      </c>
      <c r="L470" s="40" t="str" cm="1">
        <f t="array" ref="L470">IFERROR(_xlfn.LET(
_xlpm.CSVVal,_xlfn.XLOOKUP($A470,CSV!$A:$A,CSV!P:P,""),
_xlpm.MacVal,_xlfn.XLOOKUP($A470,Output_Mac!$A:$A,Output_Mac!L:L,""),
_xlpm.MyAuditVal,_xlfn.XLOOKUP($A470,My_Audit!$A:$A,My_Audit!K:K,""),
_xlfn.IFS(_xlpm.MyAuditVal&lt;&gt;"",UPPER(_xlpm.MyAuditVal),_xlpm.MacVal&lt;&gt;"",_xlpm.MacVal,_xlpm.CSVVal&lt;&gt;"",_xlpm.CSVVal
)),"")</f>
        <v/>
      </c>
      <c r="M470" s="40" t="str" cm="1">
        <f t="array" ref="M470">IFERROR(_xlfn.LET(
_xlpm.CSVVal,_xlfn.XLOOKUP($A470,CSV!$A:$A,CSV!Q:Q,""),
_xlpm.MacVal,_xlfn.XLOOKUP($A470,Output_Mac!$A:$A,Output_Mac!M:M,""),
_xlpm.MyAuditVal,_xlfn.XLOOKUP($A470,My_Audit!$A:$A,My_Audit!L:L,""),
_xlfn.IFS(_xlpm.MyAuditVal&lt;&gt;"",UPPER(_xlpm.MyAuditVal),_xlpm.MacVal&lt;&gt;"",_xlpm.MacVal,_xlpm.CSVVal&lt;&gt;"",_xlpm.CSVVal
)),"")</f>
        <v/>
      </c>
      <c r="N470" s="40"/>
      <c r="O470" s="40" t="str">
        <f>_xlfn.LET(
    _xlpm.CSVVal, _xlfn.XLOOKUP($A470, CSV!$A:$A, CSV!AA:AA, ""),
    _xlpm.MacVal, _xlfn.XLOOKUP($A470, Output_Mac!$A:$A, Output_Mac!S:S, ""),
    _xlpm.MyAuditVal, _xlfn.XLOOKUP($A470, My_Audit!$A:$A, My_Audit!P:P, ""),
    _xlfn.TEXTJOIN(", ", TRUE, _xlpm.MyAuditVal, _xlpm.MacVal, _xlpm.CSVVal)
)</f>
        <v/>
      </c>
      <c r="P470" s="40" t="str" cm="1">
        <f t="array" ref="P470">IFERROR(_xlfn.LET(
_xlpm.CSVVal,_xlfn.XLOOKUP($A470,CSV!$A:$A,CSV!AB:AB,""),
_xlpm.MacVal,_xlfn.XLOOKUP($A470,Output_Mac!$A:$A,Output_Mac!T:T,""),
_xlpm.MyAuditVal,_xlfn.XLOOKUP($A470,My_Audit!$A:$A,My_Audit!Q:Q,""),
_xlfn.IFS(_xlpm.MyAuditVal&lt;&gt;"",UPPER(_xlpm.MyAuditVal),_xlpm.MacVal&lt;&gt;"",_xlpm.MacVal,_xlpm.CSVVal&lt;&gt;"",_xlpm.CSVVal
)),"No")</f>
        <v>No</v>
      </c>
      <c r="Q470" s="40" t="str" cm="1">
        <f t="array" ref="Q470">IFERROR(_xlfn.LET(
_xlpm.CSVVal,_xlfn.XLOOKUP($A470,CSV!$A:$A,CSV!AC:AC,""),
_xlpm.MacVal,_xlfn.XLOOKUP($A470,Output_Mac!$A:$A,Output_Mac!U:U,""),
_xlpm.MyAuditVal,_xlfn.XLOOKUP($A470,My_Audit!$A:$A,My_Audit!R:R,""),
_xlfn.IFS(_xlpm.MyAuditVal&lt;&gt;"",UPPER(_xlpm.MyAuditVal),_xlpm.MacVal&lt;&gt;"",_xlpm.MacVal,_xlpm.CSVVal&lt;&gt;"",_xlpm.CSVVal
)),"")</f>
        <v/>
      </c>
      <c r="R470" s="40"/>
      <c r="S470" s="40"/>
      <c r="T470" s="40"/>
      <c r="U470" s="40"/>
      <c r="V470" s="40"/>
      <c r="W470" s="40"/>
      <c r="X470" s="41" t="str">
        <f>_xlfn.LET(
    _xlpm.MacVal, _xlfn.XLOOKUP($A470, Output_Mac!$A:$A, Output_Mac!AB:AB, ""),
    _xlpm.MyAuditVal, _xlfn.XLOOKUP($A470, My_Audit!$A:$A, My_Audit!N:N, ""),
    _xlfn.TEXTJOIN(", ", TRUE, _xlpm.MyAuditVal, _xlpm.MacVal)
)</f>
        <v/>
      </c>
    </row>
    <row r="471" spans="1:24">
      <c r="A471" s="40" t="str">
        <f>_xlfn.TEXTJOIN("",TRUE,Input!$B$2,ROW(My_Audit!A470))</f>
        <v>X470</v>
      </c>
      <c r="B471" s="40" t="str">
        <f>_xlfn.TEXTJOIN("-",TRUE,"ITD",Input!$A$2,A471)</f>
        <v>ITD-X470</v>
      </c>
      <c r="C471" s="40" t="str" cm="1">
        <f t="array" ref="C471">IFERROR(_xlfn.LET(
_xlpm.CSVVal,_xlfn.XLOOKUP($A471,CSV!$A:$A,CSV!B:B,""),
_xlpm.MacVal,_xlfn.XLOOKUP($A471,Output_Mac!$A:$A,Output_Mac!B:B,""),
_xlpm.MyAuditVal,_xlfn.XLOOKUP($A471,My_Audit!$A:$A,My_Audit!B:B,""),
_xlfn.IFS(_xlpm.MyAuditVal&lt;&gt;"",UPPER(_xlpm.MyAuditVal),_xlpm.MacVal&lt;&gt;"",_xlpm.MacVal,_xlpm.CSVVal&lt;&gt;"",_xlpm.CSVVal
)),"")</f>
        <v/>
      </c>
      <c r="D471" s="40" t="str" cm="1">
        <f t="array" ref="D471">IFERROR(_xlfn.LET(
_xlpm.CSVVal,_xlfn.XLOOKUP($A471,CSV!$A:$A,CSV!D:D,""),
_xlpm.MacVal,_xlfn.XLOOKUP($A471,Output_Mac!$A:$A,Output_Mac!C:C,""),
_xlpm.MyAuditVal,_xlfn.XLOOKUP($A471,My_Audit!$A:$A,My_Audit!C:C,""),
_xlfn.IFS(_xlpm.MyAuditVal&lt;&gt;"",_xlpm.MyAuditVal,_xlpm.MacVal&lt;&gt;"",_xlpm.MacVal,_xlpm.CSVVal&lt;&gt;"",_xlpm.CSVVal
)),"")</f>
        <v/>
      </c>
      <c r="E471" s="40" t="str">
        <f>_xlfn.XLOOKUP(A471,My_Audit!A:A,My_Audit!D:D,"")</f>
        <v/>
      </c>
      <c r="F471" s="40" t="str" cm="1">
        <f t="array" ref="F471">IFERROR(_xlfn.LET(
_xlpm.CSVVal,_xlfn.XLOOKUP($A471,CSV!$A:$A,CSV!F:F,""),
_xlpm.MacVal,_xlfn.XLOOKUP($A471,Output_Mac!$A:$A,Output_Mac!E:E,""),
_xlpm.MyAuditVal,_xlfn.XLOOKUP($A471,My_Audit!$A:$A,My_Audit!E:E,""),
_xlfn.IFS(_xlpm.MyAuditVal&lt;&gt;"",_xlpm.MyAuditVal,_xlpm.MacVal&lt;&gt;"",_xlpm.MacVal,_xlpm.CSVVal&lt;&gt;"",_xlpm.CSVVal
)),"")</f>
        <v/>
      </c>
      <c r="G471" s="40" t="str" cm="1">
        <f t="array" ref="G471">IFERROR(_xlfn.LET(
_xlpm.CSVVal,_xlfn.XLOOKUP($A471,CSV!$A:$A,CSV!G:G,""),
_xlpm.MacVal,_xlfn.XLOOKUP($A471,Output_Mac!$A:$A,Output_Mac!F:F,""),
_xlpm.MyAuditVal,_xlfn.XLOOKUP($A471,My_Audit!$A:$A,My_Audit!F:F,""),
_xlfn.IFS(_xlpm.MyAuditVal&lt;&gt;"",_xlpm.MyAuditVal,_xlpm.MacVal&lt;&gt;"",_xlpm.MacVal,_xlpm.CSVVal&lt;&gt;"",PROPER(_xlpm.CSVVal)
)),"")</f>
        <v/>
      </c>
      <c r="H471" s="40" t="str" cm="1">
        <f t="array" ref="H471">IFERROR(_xlfn.LET(
_xlpm.CSVVal,_xlfn.XLOOKUP($A471,CSV!$A:$A,CSV!H:H,""),
_xlpm.MacVal,_xlfn.XLOOKUP($A471,Output_Mac!$A:$A,Output_Mac!H:H,""),
_xlpm.MyAuditVal,_xlfn.XLOOKUP($A471,My_Audit!$A:$A,My_Audit!G:G,""),
_xlfn.IFS(_xlpm.MyAuditVal&lt;&gt;"",_xlpm.MyAuditVal,_xlpm.MacVal&lt;&gt;"",_xlpm.MacVal,_xlpm.CSVVal&lt;&gt;"",_xlpm.CSVVal
)),"")</f>
        <v/>
      </c>
      <c r="I471" s="40" t="str">
        <f>_xlfn.XLOOKUP(A471,Output_Mac!A:A,Output_Mac!I:I,"")</f>
        <v/>
      </c>
      <c r="J471" s="40" t="str" cm="1">
        <f t="array" ref="J471">IFERROR(_xlfn.LET(
_xlpm.CSVVal,_xlfn.XLOOKUP($A471,CSV!$A:$A,CSV!I:I,""),
_xlpm.MacVal,_xlfn.XLOOKUP($A471,Output_Mac!$A:$A,Output_Mac!J:J,""),
_xlpm.MyAuditVal,_xlfn.XLOOKUP($A471,My_Audit!$A:$A,My_Audit!I:I,""),
_xlfn.IFS(_xlpm.MyAuditVal&lt;&gt;"",UPPER(_xlpm.MyAuditVal),_xlpm.MacVal&lt;&gt;"",_xlpm.MacVal,_xlpm.CSVVal&lt;&gt;"",_xlpm.CSVVal
)),"")</f>
        <v/>
      </c>
      <c r="K471" s="40" t="str" cm="1">
        <f t="array" ref="K471">IFERROR(_xlfn.LET(
_xlpm.CSVVal,_xlfn.XLOOKUP($A471,CSV!$A:$A,CSV!K:K,""),
_xlpm.MacVal,_xlfn.XLOOKUP($A471,Output_Mac!$A:$A,Output_Mac!K:K,""),
_xlpm.MyAuditVal,_xlfn.XLOOKUP($A471,My_Audit!$A:$A,My_Audit!J:J,""),
_xlfn.IFS(_xlpm.MyAuditVal&lt;&gt;"",UPPER(_xlpm.MyAuditVal),_xlpm.MacVal&lt;&gt;"",_xlpm.MacVal,_xlpm.CSVVal&lt;&gt;"",_xlpm.CSVVal
)),"")</f>
        <v/>
      </c>
      <c r="L471" s="40" t="str" cm="1">
        <f t="array" ref="L471">IFERROR(_xlfn.LET(
_xlpm.CSVVal,_xlfn.XLOOKUP($A471,CSV!$A:$A,CSV!P:P,""),
_xlpm.MacVal,_xlfn.XLOOKUP($A471,Output_Mac!$A:$A,Output_Mac!L:L,""),
_xlpm.MyAuditVal,_xlfn.XLOOKUP($A471,My_Audit!$A:$A,My_Audit!K:K,""),
_xlfn.IFS(_xlpm.MyAuditVal&lt;&gt;"",UPPER(_xlpm.MyAuditVal),_xlpm.MacVal&lt;&gt;"",_xlpm.MacVal,_xlpm.CSVVal&lt;&gt;"",_xlpm.CSVVal
)),"")</f>
        <v/>
      </c>
      <c r="M471" s="40" t="str" cm="1">
        <f t="array" ref="M471">IFERROR(_xlfn.LET(
_xlpm.CSVVal,_xlfn.XLOOKUP($A471,CSV!$A:$A,CSV!Q:Q,""),
_xlpm.MacVal,_xlfn.XLOOKUP($A471,Output_Mac!$A:$A,Output_Mac!M:M,""),
_xlpm.MyAuditVal,_xlfn.XLOOKUP($A471,My_Audit!$A:$A,My_Audit!L:L,""),
_xlfn.IFS(_xlpm.MyAuditVal&lt;&gt;"",UPPER(_xlpm.MyAuditVal),_xlpm.MacVal&lt;&gt;"",_xlpm.MacVal,_xlpm.CSVVal&lt;&gt;"",_xlpm.CSVVal
)),"")</f>
        <v/>
      </c>
      <c r="N471" s="40"/>
      <c r="O471" s="40" t="str">
        <f>_xlfn.LET(
    _xlpm.CSVVal, _xlfn.XLOOKUP($A471, CSV!$A:$A, CSV!AA:AA, ""),
    _xlpm.MacVal, _xlfn.XLOOKUP($A471, Output_Mac!$A:$A, Output_Mac!S:S, ""),
    _xlpm.MyAuditVal, _xlfn.XLOOKUP($A471, My_Audit!$A:$A, My_Audit!P:P, ""),
    _xlfn.TEXTJOIN(", ", TRUE, _xlpm.MyAuditVal, _xlpm.MacVal, _xlpm.CSVVal)
)</f>
        <v/>
      </c>
      <c r="P471" s="40" t="str" cm="1">
        <f t="array" ref="P471">IFERROR(_xlfn.LET(
_xlpm.CSVVal,_xlfn.XLOOKUP($A471,CSV!$A:$A,CSV!AB:AB,""),
_xlpm.MacVal,_xlfn.XLOOKUP($A471,Output_Mac!$A:$A,Output_Mac!T:T,""),
_xlpm.MyAuditVal,_xlfn.XLOOKUP($A471,My_Audit!$A:$A,My_Audit!Q:Q,""),
_xlfn.IFS(_xlpm.MyAuditVal&lt;&gt;"",UPPER(_xlpm.MyAuditVal),_xlpm.MacVal&lt;&gt;"",_xlpm.MacVal,_xlpm.CSVVal&lt;&gt;"",_xlpm.CSVVal
)),"No")</f>
        <v>No</v>
      </c>
      <c r="Q471" s="40" t="str" cm="1">
        <f t="array" ref="Q471">IFERROR(_xlfn.LET(
_xlpm.CSVVal,_xlfn.XLOOKUP($A471,CSV!$A:$A,CSV!AC:AC,""),
_xlpm.MacVal,_xlfn.XLOOKUP($A471,Output_Mac!$A:$A,Output_Mac!U:U,""),
_xlpm.MyAuditVal,_xlfn.XLOOKUP($A471,My_Audit!$A:$A,My_Audit!R:R,""),
_xlfn.IFS(_xlpm.MyAuditVal&lt;&gt;"",UPPER(_xlpm.MyAuditVal),_xlpm.MacVal&lt;&gt;"",_xlpm.MacVal,_xlpm.CSVVal&lt;&gt;"",_xlpm.CSVVal
)),"")</f>
        <v/>
      </c>
      <c r="R471" s="40"/>
      <c r="S471" s="40"/>
      <c r="T471" s="40"/>
      <c r="U471" s="40"/>
      <c r="V471" s="40"/>
      <c r="W471" s="40"/>
      <c r="X471" s="41" t="str">
        <f>_xlfn.LET(
    _xlpm.MacVal, _xlfn.XLOOKUP($A471, Output_Mac!$A:$A, Output_Mac!AB:AB, ""),
    _xlpm.MyAuditVal, _xlfn.XLOOKUP($A471, My_Audit!$A:$A, My_Audit!N:N, ""),
    _xlfn.TEXTJOIN(", ", TRUE, _xlpm.MyAuditVal, _xlpm.MacVal)
)</f>
        <v/>
      </c>
    </row>
    <row r="472" spans="1:24">
      <c r="A472" s="40" t="str">
        <f>_xlfn.TEXTJOIN("",TRUE,Input!$B$2,ROW(My_Audit!A471))</f>
        <v>X471</v>
      </c>
      <c r="B472" s="40" t="str">
        <f>_xlfn.TEXTJOIN("-",TRUE,"ITD",Input!$A$2,A472)</f>
        <v>ITD-X471</v>
      </c>
      <c r="C472" s="40" t="str" cm="1">
        <f t="array" ref="C472">IFERROR(_xlfn.LET(
_xlpm.CSVVal,_xlfn.XLOOKUP($A472,CSV!$A:$A,CSV!B:B,""),
_xlpm.MacVal,_xlfn.XLOOKUP($A472,Output_Mac!$A:$A,Output_Mac!B:B,""),
_xlpm.MyAuditVal,_xlfn.XLOOKUP($A472,My_Audit!$A:$A,My_Audit!B:B,""),
_xlfn.IFS(_xlpm.MyAuditVal&lt;&gt;"",UPPER(_xlpm.MyAuditVal),_xlpm.MacVal&lt;&gt;"",_xlpm.MacVal,_xlpm.CSVVal&lt;&gt;"",_xlpm.CSVVal
)),"")</f>
        <v/>
      </c>
      <c r="D472" s="40" t="str" cm="1">
        <f t="array" ref="D472">IFERROR(_xlfn.LET(
_xlpm.CSVVal,_xlfn.XLOOKUP($A472,CSV!$A:$A,CSV!D:D,""),
_xlpm.MacVal,_xlfn.XLOOKUP($A472,Output_Mac!$A:$A,Output_Mac!C:C,""),
_xlpm.MyAuditVal,_xlfn.XLOOKUP($A472,My_Audit!$A:$A,My_Audit!C:C,""),
_xlfn.IFS(_xlpm.MyAuditVal&lt;&gt;"",_xlpm.MyAuditVal,_xlpm.MacVal&lt;&gt;"",_xlpm.MacVal,_xlpm.CSVVal&lt;&gt;"",_xlpm.CSVVal
)),"")</f>
        <v/>
      </c>
      <c r="E472" s="40" t="str">
        <f>_xlfn.XLOOKUP(A472,My_Audit!A:A,My_Audit!D:D,"")</f>
        <v/>
      </c>
      <c r="F472" s="40" t="str" cm="1">
        <f t="array" ref="F472">IFERROR(_xlfn.LET(
_xlpm.CSVVal,_xlfn.XLOOKUP($A472,CSV!$A:$A,CSV!F:F,""),
_xlpm.MacVal,_xlfn.XLOOKUP($A472,Output_Mac!$A:$A,Output_Mac!E:E,""),
_xlpm.MyAuditVal,_xlfn.XLOOKUP($A472,My_Audit!$A:$A,My_Audit!E:E,""),
_xlfn.IFS(_xlpm.MyAuditVal&lt;&gt;"",_xlpm.MyAuditVal,_xlpm.MacVal&lt;&gt;"",_xlpm.MacVal,_xlpm.CSVVal&lt;&gt;"",_xlpm.CSVVal
)),"")</f>
        <v/>
      </c>
      <c r="G472" s="40" t="str" cm="1">
        <f t="array" ref="G472">IFERROR(_xlfn.LET(
_xlpm.CSVVal,_xlfn.XLOOKUP($A472,CSV!$A:$A,CSV!G:G,""),
_xlpm.MacVal,_xlfn.XLOOKUP($A472,Output_Mac!$A:$A,Output_Mac!F:F,""),
_xlpm.MyAuditVal,_xlfn.XLOOKUP($A472,My_Audit!$A:$A,My_Audit!F:F,""),
_xlfn.IFS(_xlpm.MyAuditVal&lt;&gt;"",_xlpm.MyAuditVal,_xlpm.MacVal&lt;&gt;"",_xlpm.MacVal,_xlpm.CSVVal&lt;&gt;"",PROPER(_xlpm.CSVVal)
)),"")</f>
        <v/>
      </c>
      <c r="H472" s="40" t="str" cm="1">
        <f t="array" ref="H472">IFERROR(_xlfn.LET(
_xlpm.CSVVal,_xlfn.XLOOKUP($A472,CSV!$A:$A,CSV!H:H,""),
_xlpm.MacVal,_xlfn.XLOOKUP($A472,Output_Mac!$A:$A,Output_Mac!H:H,""),
_xlpm.MyAuditVal,_xlfn.XLOOKUP($A472,My_Audit!$A:$A,My_Audit!G:G,""),
_xlfn.IFS(_xlpm.MyAuditVal&lt;&gt;"",_xlpm.MyAuditVal,_xlpm.MacVal&lt;&gt;"",_xlpm.MacVal,_xlpm.CSVVal&lt;&gt;"",_xlpm.CSVVal
)),"")</f>
        <v/>
      </c>
      <c r="I472" s="40" t="str">
        <f>_xlfn.XLOOKUP(A472,Output_Mac!A:A,Output_Mac!I:I,"")</f>
        <v/>
      </c>
      <c r="J472" s="40" t="str" cm="1">
        <f t="array" ref="J472">IFERROR(_xlfn.LET(
_xlpm.CSVVal,_xlfn.XLOOKUP($A472,CSV!$A:$A,CSV!I:I,""),
_xlpm.MacVal,_xlfn.XLOOKUP($A472,Output_Mac!$A:$A,Output_Mac!J:J,""),
_xlpm.MyAuditVal,_xlfn.XLOOKUP($A472,My_Audit!$A:$A,My_Audit!I:I,""),
_xlfn.IFS(_xlpm.MyAuditVal&lt;&gt;"",UPPER(_xlpm.MyAuditVal),_xlpm.MacVal&lt;&gt;"",_xlpm.MacVal,_xlpm.CSVVal&lt;&gt;"",_xlpm.CSVVal
)),"")</f>
        <v/>
      </c>
      <c r="K472" s="40" t="str" cm="1">
        <f t="array" ref="K472">IFERROR(_xlfn.LET(
_xlpm.CSVVal,_xlfn.XLOOKUP($A472,CSV!$A:$A,CSV!K:K,""),
_xlpm.MacVal,_xlfn.XLOOKUP($A472,Output_Mac!$A:$A,Output_Mac!K:K,""),
_xlpm.MyAuditVal,_xlfn.XLOOKUP($A472,My_Audit!$A:$A,My_Audit!J:J,""),
_xlfn.IFS(_xlpm.MyAuditVal&lt;&gt;"",UPPER(_xlpm.MyAuditVal),_xlpm.MacVal&lt;&gt;"",_xlpm.MacVal,_xlpm.CSVVal&lt;&gt;"",_xlpm.CSVVal
)),"")</f>
        <v/>
      </c>
      <c r="L472" s="40" t="str" cm="1">
        <f t="array" ref="L472">IFERROR(_xlfn.LET(
_xlpm.CSVVal,_xlfn.XLOOKUP($A472,CSV!$A:$A,CSV!P:P,""),
_xlpm.MacVal,_xlfn.XLOOKUP($A472,Output_Mac!$A:$A,Output_Mac!L:L,""),
_xlpm.MyAuditVal,_xlfn.XLOOKUP($A472,My_Audit!$A:$A,My_Audit!K:K,""),
_xlfn.IFS(_xlpm.MyAuditVal&lt;&gt;"",UPPER(_xlpm.MyAuditVal),_xlpm.MacVal&lt;&gt;"",_xlpm.MacVal,_xlpm.CSVVal&lt;&gt;"",_xlpm.CSVVal
)),"")</f>
        <v/>
      </c>
      <c r="M472" s="40" t="str" cm="1">
        <f t="array" ref="M472">IFERROR(_xlfn.LET(
_xlpm.CSVVal,_xlfn.XLOOKUP($A472,CSV!$A:$A,CSV!Q:Q,""),
_xlpm.MacVal,_xlfn.XLOOKUP($A472,Output_Mac!$A:$A,Output_Mac!M:M,""),
_xlpm.MyAuditVal,_xlfn.XLOOKUP($A472,My_Audit!$A:$A,My_Audit!L:L,""),
_xlfn.IFS(_xlpm.MyAuditVal&lt;&gt;"",UPPER(_xlpm.MyAuditVal),_xlpm.MacVal&lt;&gt;"",_xlpm.MacVal,_xlpm.CSVVal&lt;&gt;"",_xlpm.CSVVal
)),"")</f>
        <v/>
      </c>
      <c r="N472" s="40"/>
      <c r="O472" s="40" t="str">
        <f>_xlfn.LET(
    _xlpm.CSVVal, _xlfn.XLOOKUP($A472, CSV!$A:$A, CSV!AA:AA, ""),
    _xlpm.MacVal, _xlfn.XLOOKUP($A472, Output_Mac!$A:$A, Output_Mac!S:S, ""),
    _xlpm.MyAuditVal, _xlfn.XLOOKUP($A472, My_Audit!$A:$A, My_Audit!P:P, ""),
    _xlfn.TEXTJOIN(", ", TRUE, _xlpm.MyAuditVal, _xlpm.MacVal, _xlpm.CSVVal)
)</f>
        <v/>
      </c>
      <c r="P472" s="40" t="str" cm="1">
        <f t="array" ref="P472">IFERROR(_xlfn.LET(
_xlpm.CSVVal,_xlfn.XLOOKUP($A472,CSV!$A:$A,CSV!AB:AB,""),
_xlpm.MacVal,_xlfn.XLOOKUP($A472,Output_Mac!$A:$A,Output_Mac!T:T,""),
_xlpm.MyAuditVal,_xlfn.XLOOKUP($A472,My_Audit!$A:$A,My_Audit!Q:Q,""),
_xlfn.IFS(_xlpm.MyAuditVal&lt;&gt;"",UPPER(_xlpm.MyAuditVal),_xlpm.MacVal&lt;&gt;"",_xlpm.MacVal,_xlpm.CSVVal&lt;&gt;"",_xlpm.CSVVal
)),"No")</f>
        <v>No</v>
      </c>
      <c r="Q472" s="40" t="str" cm="1">
        <f t="array" ref="Q472">IFERROR(_xlfn.LET(
_xlpm.CSVVal,_xlfn.XLOOKUP($A472,CSV!$A:$A,CSV!AC:AC,""),
_xlpm.MacVal,_xlfn.XLOOKUP($A472,Output_Mac!$A:$A,Output_Mac!U:U,""),
_xlpm.MyAuditVal,_xlfn.XLOOKUP($A472,My_Audit!$A:$A,My_Audit!R:R,""),
_xlfn.IFS(_xlpm.MyAuditVal&lt;&gt;"",UPPER(_xlpm.MyAuditVal),_xlpm.MacVal&lt;&gt;"",_xlpm.MacVal,_xlpm.CSVVal&lt;&gt;"",_xlpm.CSVVal
)),"")</f>
        <v/>
      </c>
      <c r="R472" s="40"/>
      <c r="S472" s="40"/>
      <c r="T472" s="40"/>
      <c r="U472" s="40"/>
      <c r="V472" s="40"/>
      <c r="W472" s="40"/>
      <c r="X472" s="41" t="str">
        <f>_xlfn.LET(
    _xlpm.MacVal, _xlfn.XLOOKUP($A472, Output_Mac!$A:$A, Output_Mac!AB:AB, ""),
    _xlpm.MyAuditVal, _xlfn.XLOOKUP($A472, My_Audit!$A:$A, My_Audit!N:N, ""),
    _xlfn.TEXTJOIN(", ", TRUE, _xlpm.MyAuditVal, _xlpm.MacVal)
)</f>
        <v/>
      </c>
    </row>
    <row r="473" spans="1:24">
      <c r="A473" s="40" t="str">
        <f>_xlfn.TEXTJOIN("",TRUE,Input!$B$2,ROW(My_Audit!A472))</f>
        <v>X472</v>
      </c>
      <c r="B473" s="40" t="str">
        <f>_xlfn.TEXTJOIN("-",TRUE,"ITD",Input!$A$2,A473)</f>
        <v>ITD-X472</v>
      </c>
      <c r="C473" s="40" t="str" cm="1">
        <f t="array" ref="C473">IFERROR(_xlfn.LET(
_xlpm.CSVVal,_xlfn.XLOOKUP($A473,CSV!$A:$A,CSV!B:B,""),
_xlpm.MacVal,_xlfn.XLOOKUP($A473,Output_Mac!$A:$A,Output_Mac!B:B,""),
_xlpm.MyAuditVal,_xlfn.XLOOKUP($A473,My_Audit!$A:$A,My_Audit!B:B,""),
_xlfn.IFS(_xlpm.MyAuditVal&lt;&gt;"",UPPER(_xlpm.MyAuditVal),_xlpm.MacVal&lt;&gt;"",_xlpm.MacVal,_xlpm.CSVVal&lt;&gt;"",_xlpm.CSVVal
)),"")</f>
        <v/>
      </c>
      <c r="D473" s="40" t="str" cm="1">
        <f t="array" ref="D473">IFERROR(_xlfn.LET(
_xlpm.CSVVal,_xlfn.XLOOKUP($A473,CSV!$A:$A,CSV!D:D,""),
_xlpm.MacVal,_xlfn.XLOOKUP($A473,Output_Mac!$A:$A,Output_Mac!C:C,""),
_xlpm.MyAuditVal,_xlfn.XLOOKUP($A473,My_Audit!$A:$A,My_Audit!C:C,""),
_xlfn.IFS(_xlpm.MyAuditVal&lt;&gt;"",_xlpm.MyAuditVal,_xlpm.MacVal&lt;&gt;"",_xlpm.MacVal,_xlpm.CSVVal&lt;&gt;"",_xlpm.CSVVal
)),"")</f>
        <v/>
      </c>
      <c r="E473" s="40" t="str">
        <f>_xlfn.XLOOKUP(A473,My_Audit!A:A,My_Audit!D:D,"")</f>
        <v/>
      </c>
      <c r="F473" s="40" t="str" cm="1">
        <f t="array" ref="F473">IFERROR(_xlfn.LET(
_xlpm.CSVVal,_xlfn.XLOOKUP($A473,CSV!$A:$A,CSV!F:F,""),
_xlpm.MacVal,_xlfn.XLOOKUP($A473,Output_Mac!$A:$A,Output_Mac!E:E,""),
_xlpm.MyAuditVal,_xlfn.XLOOKUP($A473,My_Audit!$A:$A,My_Audit!E:E,""),
_xlfn.IFS(_xlpm.MyAuditVal&lt;&gt;"",_xlpm.MyAuditVal,_xlpm.MacVal&lt;&gt;"",_xlpm.MacVal,_xlpm.CSVVal&lt;&gt;"",_xlpm.CSVVal
)),"")</f>
        <v/>
      </c>
      <c r="G473" s="40" t="str" cm="1">
        <f t="array" ref="G473">IFERROR(_xlfn.LET(
_xlpm.CSVVal,_xlfn.XLOOKUP($A473,CSV!$A:$A,CSV!G:G,""),
_xlpm.MacVal,_xlfn.XLOOKUP($A473,Output_Mac!$A:$A,Output_Mac!F:F,""),
_xlpm.MyAuditVal,_xlfn.XLOOKUP($A473,My_Audit!$A:$A,My_Audit!F:F,""),
_xlfn.IFS(_xlpm.MyAuditVal&lt;&gt;"",_xlpm.MyAuditVal,_xlpm.MacVal&lt;&gt;"",_xlpm.MacVal,_xlpm.CSVVal&lt;&gt;"",PROPER(_xlpm.CSVVal)
)),"")</f>
        <v/>
      </c>
      <c r="H473" s="40" t="str" cm="1">
        <f t="array" ref="H473">IFERROR(_xlfn.LET(
_xlpm.CSVVal,_xlfn.XLOOKUP($A473,CSV!$A:$A,CSV!H:H,""),
_xlpm.MacVal,_xlfn.XLOOKUP($A473,Output_Mac!$A:$A,Output_Mac!H:H,""),
_xlpm.MyAuditVal,_xlfn.XLOOKUP($A473,My_Audit!$A:$A,My_Audit!G:G,""),
_xlfn.IFS(_xlpm.MyAuditVal&lt;&gt;"",_xlpm.MyAuditVal,_xlpm.MacVal&lt;&gt;"",_xlpm.MacVal,_xlpm.CSVVal&lt;&gt;"",_xlpm.CSVVal
)),"")</f>
        <v/>
      </c>
      <c r="I473" s="40" t="str">
        <f>_xlfn.XLOOKUP(A473,Output_Mac!A:A,Output_Mac!I:I,"")</f>
        <v/>
      </c>
      <c r="J473" s="40" t="str" cm="1">
        <f t="array" ref="J473">IFERROR(_xlfn.LET(
_xlpm.CSVVal,_xlfn.XLOOKUP($A473,CSV!$A:$A,CSV!I:I,""),
_xlpm.MacVal,_xlfn.XLOOKUP($A473,Output_Mac!$A:$A,Output_Mac!J:J,""),
_xlpm.MyAuditVal,_xlfn.XLOOKUP($A473,My_Audit!$A:$A,My_Audit!I:I,""),
_xlfn.IFS(_xlpm.MyAuditVal&lt;&gt;"",UPPER(_xlpm.MyAuditVal),_xlpm.MacVal&lt;&gt;"",_xlpm.MacVal,_xlpm.CSVVal&lt;&gt;"",_xlpm.CSVVal
)),"")</f>
        <v/>
      </c>
      <c r="K473" s="40" t="str" cm="1">
        <f t="array" ref="K473">IFERROR(_xlfn.LET(
_xlpm.CSVVal,_xlfn.XLOOKUP($A473,CSV!$A:$A,CSV!K:K,""),
_xlpm.MacVal,_xlfn.XLOOKUP($A473,Output_Mac!$A:$A,Output_Mac!K:K,""),
_xlpm.MyAuditVal,_xlfn.XLOOKUP($A473,My_Audit!$A:$A,My_Audit!J:J,""),
_xlfn.IFS(_xlpm.MyAuditVal&lt;&gt;"",UPPER(_xlpm.MyAuditVal),_xlpm.MacVal&lt;&gt;"",_xlpm.MacVal,_xlpm.CSVVal&lt;&gt;"",_xlpm.CSVVal
)),"")</f>
        <v/>
      </c>
      <c r="L473" s="40" t="str" cm="1">
        <f t="array" ref="L473">IFERROR(_xlfn.LET(
_xlpm.CSVVal,_xlfn.XLOOKUP($A473,CSV!$A:$A,CSV!P:P,""),
_xlpm.MacVal,_xlfn.XLOOKUP($A473,Output_Mac!$A:$A,Output_Mac!L:L,""),
_xlpm.MyAuditVal,_xlfn.XLOOKUP($A473,My_Audit!$A:$A,My_Audit!K:K,""),
_xlfn.IFS(_xlpm.MyAuditVal&lt;&gt;"",UPPER(_xlpm.MyAuditVal),_xlpm.MacVal&lt;&gt;"",_xlpm.MacVal,_xlpm.CSVVal&lt;&gt;"",_xlpm.CSVVal
)),"")</f>
        <v/>
      </c>
      <c r="M473" s="40" t="str" cm="1">
        <f t="array" ref="M473">IFERROR(_xlfn.LET(
_xlpm.CSVVal,_xlfn.XLOOKUP($A473,CSV!$A:$A,CSV!Q:Q,""),
_xlpm.MacVal,_xlfn.XLOOKUP($A473,Output_Mac!$A:$A,Output_Mac!M:M,""),
_xlpm.MyAuditVal,_xlfn.XLOOKUP($A473,My_Audit!$A:$A,My_Audit!L:L,""),
_xlfn.IFS(_xlpm.MyAuditVal&lt;&gt;"",UPPER(_xlpm.MyAuditVal),_xlpm.MacVal&lt;&gt;"",_xlpm.MacVal,_xlpm.CSVVal&lt;&gt;"",_xlpm.CSVVal
)),"")</f>
        <v/>
      </c>
      <c r="N473" s="40"/>
      <c r="O473" s="40" t="str">
        <f>_xlfn.LET(
    _xlpm.CSVVal, _xlfn.XLOOKUP($A473, CSV!$A:$A, CSV!AA:AA, ""),
    _xlpm.MacVal, _xlfn.XLOOKUP($A473, Output_Mac!$A:$A, Output_Mac!S:S, ""),
    _xlpm.MyAuditVal, _xlfn.XLOOKUP($A473, My_Audit!$A:$A, My_Audit!P:P, ""),
    _xlfn.TEXTJOIN(", ", TRUE, _xlpm.MyAuditVal, _xlpm.MacVal, _xlpm.CSVVal)
)</f>
        <v/>
      </c>
      <c r="P473" s="40" t="str" cm="1">
        <f t="array" ref="P473">IFERROR(_xlfn.LET(
_xlpm.CSVVal,_xlfn.XLOOKUP($A473,CSV!$A:$A,CSV!AB:AB,""),
_xlpm.MacVal,_xlfn.XLOOKUP($A473,Output_Mac!$A:$A,Output_Mac!T:T,""),
_xlpm.MyAuditVal,_xlfn.XLOOKUP($A473,My_Audit!$A:$A,My_Audit!Q:Q,""),
_xlfn.IFS(_xlpm.MyAuditVal&lt;&gt;"",UPPER(_xlpm.MyAuditVal),_xlpm.MacVal&lt;&gt;"",_xlpm.MacVal,_xlpm.CSVVal&lt;&gt;"",_xlpm.CSVVal
)),"No")</f>
        <v>No</v>
      </c>
      <c r="Q473" s="40" t="str" cm="1">
        <f t="array" ref="Q473">IFERROR(_xlfn.LET(
_xlpm.CSVVal,_xlfn.XLOOKUP($A473,CSV!$A:$A,CSV!AC:AC,""),
_xlpm.MacVal,_xlfn.XLOOKUP($A473,Output_Mac!$A:$A,Output_Mac!U:U,""),
_xlpm.MyAuditVal,_xlfn.XLOOKUP($A473,My_Audit!$A:$A,My_Audit!R:R,""),
_xlfn.IFS(_xlpm.MyAuditVal&lt;&gt;"",UPPER(_xlpm.MyAuditVal),_xlpm.MacVal&lt;&gt;"",_xlpm.MacVal,_xlpm.CSVVal&lt;&gt;"",_xlpm.CSVVal
)),"")</f>
        <v/>
      </c>
      <c r="R473" s="40"/>
      <c r="S473" s="40"/>
      <c r="T473" s="40"/>
      <c r="U473" s="40"/>
      <c r="V473" s="40"/>
      <c r="W473" s="40"/>
      <c r="X473" s="41" t="str">
        <f>_xlfn.LET(
    _xlpm.MacVal, _xlfn.XLOOKUP($A473, Output_Mac!$A:$A, Output_Mac!AB:AB, ""),
    _xlpm.MyAuditVal, _xlfn.XLOOKUP($A473, My_Audit!$A:$A, My_Audit!N:N, ""),
    _xlfn.TEXTJOIN(", ", TRUE, _xlpm.MyAuditVal, _xlpm.MacVal)
)</f>
        <v/>
      </c>
    </row>
    <row r="474" spans="1:24">
      <c r="A474" s="40" t="str">
        <f>_xlfn.TEXTJOIN("",TRUE,Input!$B$2,ROW(My_Audit!A473))</f>
        <v>X473</v>
      </c>
      <c r="B474" s="40" t="str">
        <f>_xlfn.TEXTJOIN("-",TRUE,"ITD",Input!$A$2,A474)</f>
        <v>ITD-X473</v>
      </c>
      <c r="C474" s="40" t="str" cm="1">
        <f t="array" ref="C474">IFERROR(_xlfn.LET(
_xlpm.CSVVal,_xlfn.XLOOKUP($A474,CSV!$A:$A,CSV!B:B,""),
_xlpm.MacVal,_xlfn.XLOOKUP($A474,Output_Mac!$A:$A,Output_Mac!B:B,""),
_xlpm.MyAuditVal,_xlfn.XLOOKUP($A474,My_Audit!$A:$A,My_Audit!B:B,""),
_xlfn.IFS(_xlpm.MyAuditVal&lt;&gt;"",UPPER(_xlpm.MyAuditVal),_xlpm.MacVal&lt;&gt;"",_xlpm.MacVal,_xlpm.CSVVal&lt;&gt;"",_xlpm.CSVVal
)),"")</f>
        <v/>
      </c>
      <c r="D474" s="40" t="str" cm="1">
        <f t="array" ref="D474">IFERROR(_xlfn.LET(
_xlpm.CSVVal,_xlfn.XLOOKUP($A474,CSV!$A:$A,CSV!D:D,""),
_xlpm.MacVal,_xlfn.XLOOKUP($A474,Output_Mac!$A:$A,Output_Mac!C:C,""),
_xlpm.MyAuditVal,_xlfn.XLOOKUP($A474,My_Audit!$A:$A,My_Audit!C:C,""),
_xlfn.IFS(_xlpm.MyAuditVal&lt;&gt;"",_xlpm.MyAuditVal,_xlpm.MacVal&lt;&gt;"",_xlpm.MacVal,_xlpm.CSVVal&lt;&gt;"",_xlpm.CSVVal
)),"")</f>
        <v/>
      </c>
      <c r="E474" s="40" t="str">
        <f>_xlfn.XLOOKUP(A474,My_Audit!A:A,My_Audit!D:D,"")</f>
        <v/>
      </c>
      <c r="F474" s="40" t="str" cm="1">
        <f t="array" ref="F474">IFERROR(_xlfn.LET(
_xlpm.CSVVal,_xlfn.XLOOKUP($A474,CSV!$A:$A,CSV!F:F,""),
_xlpm.MacVal,_xlfn.XLOOKUP($A474,Output_Mac!$A:$A,Output_Mac!E:E,""),
_xlpm.MyAuditVal,_xlfn.XLOOKUP($A474,My_Audit!$A:$A,My_Audit!E:E,""),
_xlfn.IFS(_xlpm.MyAuditVal&lt;&gt;"",_xlpm.MyAuditVal,_xlpm.MacVal&lt;&gt;"",_xlpm.MacVal,_xlpm.CSVVal&lt;&gt;"",_xlpm.CSVVal
)),"")</f>
        <v/>
      </c>
      <c r="G474" s="40" t="str" cm="1">
        <f t="array" ref="G474">IFERROR(_xlfn.LET(
_xlpm.CSVVal,_xlfn.XLOOKUP($A474,CSV!$A:$A,CSV!G:G,""),
_xlpm.MacVal,_xlfn.XLOOKUP($A474,Output_Mac!$A:$A,Output_Mac!F:F,""),
_xlpm.MyAuditVal,_xlfn.XLOOKUP($A474,My_Audit!$A:$A,My_Audit!F:F,""),
_xlfn.IFS(_xlpm.MyAuditVal&lt;&gt;"",_xlpm.MyAuditVal,_xlpm.MacVal&lt;&gt;"",_xlpm.MacVal,_xlpm.CSVVal&lt;&gt;"",PROPER(_xlpm.CSVVal)
)),"")</f>
        <v/>
      </c>
      <c r="H474" s="40" t="str" cm="1">
        <f t="array" ref="H474">IFERROR(_xlfn.LET(
_xlpm.CSVVal,_xlfn.XLOOKUP($A474,CSV!$A:$A,CSV!H:H,""),
_xlpm.MacVal,_xlfn.XLOOKUP($A474,Output_Mac!$A:$A,Output_Mac!H:H,""),
_xlpm.MyAuditVal,_xlfn.XLOOKUP($A474,My_Audit!$A:$A,My_Audit!G:G,""),
_xlfn.IFS(_xlpm.MyAuditVal&lt;&gt;"",_xlpm.MyAuditVal,_xlpm.MacVal&lt;&gt;"",_xlpm.MacVal,_xlpm.CSVVal&lt;&gt;"",_xlpm.CSVVal
)),"")</f>
        <v/>
      </c>
      <c r="I474" s="40" t="str">
        <f>_xlfn.XLOOKUP(A474,Output_Mac!A:A,Output_Mac!I:I,"")</f>
        <v/>
      </c>
      <c r="J474" s="40" t="str" cm="1">
        <f t="array" ref="J474">IFERROR(_xlfn.LET(
_xlpm.CSVVal,_xlfn.XLOOKUP($A474,CSV!$A:$A,CSV!I:I,""),
_xlpm.MacVal,_xlfn.XLOOKUP($A474,Output_Mac!$A:$A,Output_Mac!J:J,""),
_xlpm.MyAuditVal,_xlfn.XLOOKUP($A474,My_Audit!$A:$A,My_Audit!I:I,""),
_xlfn.IFS(_xlpm.MyAuditVal&lt;&gt;"",UPPER(_xlpm.MyAuditVal),_xlpm.MacVal&lt;&gt;"",_xlpm.MacVal,_xlpm.CSVVal&lt;&gt;"",_xlpm.CSVVal
)),"")</f>
        <v/>
      </c>
      <c r="K474" s="40" t="str" cm="1">
        <f t="array" ref="K474">IFERROR(_xlfn.LET(
_xlpm.CSVVal,_xlfn.XLOOKUP($A474,CSV!$A:$A,CSV!K:K,""),
_xlpm.MacVal,_xlfn.XLOOKUP($A474,Output_Mac!$A:$A,Output_Mac!K:K,""),
_xlpm.MyAuditVal,_xlfn.XLOOKUP($A474,My_Audit!$A:$A,My_Audit!J:J,""),
_xlfn.IFS(_xlpm.MyAuditVal&lt;&gt;"",UPPER(_xlpm.MyAuditVal),_xlpm.MacVal&lt;&gt;"",_xlpm.MacVal,_xlpm.CSVVal&lt;&gt;"",_xlpm.CSVVal
)),"")</f>
        <v/>
      </c>
      <c r="L474" s="40" t="str" cm="1">
        <f t="array" ref="L474">IFERROR(_xlfn.LET(
_xlpm.CSVVal,_xlfn.XLOOKUP($A474,CSV!$A:$A,CSV!P:P,""),
_xlpm.MacVal,_xlfn.XLOOKUP($A474,Output_Mac!$A:$A,Output_Mac!L:L,""),
_xlpm.MyAuditVal,_xlfn.XLOOKUP($A474,My_Audit!$A:$A,My_Audit!K:K,""),
_xlfn.IFS(_xlpm.MyAuditVal&lt;&gt;"",UPPER(_xlpm.MyAuditVal),_xlpm.MacVal&lt;&gt;"",_xlpm.MacVal,_xlpm.CSVVal&lt;&gt;"",_xlpm.CSVVal
)),"")</f>
        <v/>
      </c>
      <c r="M474" s="40" t="str" cm="1">
        <f t="array" ref="M474">IFERROR(_xlfn.LET(
_xlpm.CSVVal,_xlfn.XLOOKUP($A474,CSV!$A:$A,CSV!Q:Q,""),
_xlpm.MacVal,_xlfn.XLOOKUP($A474,Output_Mac!$A:$A,Output_Mac!M:M,""),
_xlpm.MyAuditVal,_xlfn.XLOOKUP($A474,My_Audit!$A:$A,My_Audit!L:L,""),
_xlfn.IFS(_xlpm.MyAuditVal&lt;&gt;"",UPPER(_xlpm.MyAuditVal),_xlpm.MacVal&lt;&gt;"",_xlpm.MacVal,_xlpm.CSVVal&lt;&gt;"",_xlpm.CSVVal
)),"")</f>
        <v/>
      </c>
      <c r="N474" s="40"/>
      <c r="O474" s="40" t="str">
        <f>_xlfn.LET(
    _xlpm.CSVVal, _xlfn.XLOOKUP($A474, CSV!$A:$A, CSV!AA:AA, ""),
    _xlpm.MacVal, _xlfn.XLOOKUP($A474, Output_Mac!$A:$A, Output_Mac!S:S, ""),
    _xlpm.MyAuditVal, _xlfn.XLOOKUP($A474, My_Audit!$A:$A, My_Audit!P:P, ""),
    _xlfn.TEXTJOIN(", ", TRUE, _xlpm.MyAuditVal, _xlpm.MacVal, _xlpm.CSVVal)
)</f>
        <v/>
      </c>
      <c r="P474" s="40" t="str" cm="1">
        <f t="array" ref="P474">IFERROR(_xlfn.LET(
_xlpm.CSVVal,_xlfn.XLOOKUP($A474,CSV!$A:$A,CSV!AB:AB,""),
_xlpm.MacVal,_xlfn.XLOOKUP($A474,Output_Mac!$A:$A,Output_Mac!T:T,""),
_xlpm.MyAuditVal,_xlfn.XLOOKUP($A474,My_Audit!$A:$A,My_Audit!Q:Q,""),
_xlfn.IFS(_xlpm.MyAuditVal&lt;&gt;"",UPPER(_xlpm.MyAuditVal),_xlpm.MacVal&lt;&gt;"",_xlpm.MacVal,_xlpm.CSVVal&lt;&gt;"",_xlpm.CSVVal
)),"No")</f>
        <v>No</v>
      </c>
      <c r="Q474" s="40" t="str" cm="1">
        <f t="array" ref="Q474">IFERROR(_xlfn.LET(
_xlpm.CSVVal,_xlfn.XLOOKUP($A474,CSV!$A:$A,CSV!AC:AC,""),
_xlpm.MacVal,_xlfn.XLOOKUP($A474,Output_Mac!$A:$A,Output_Mac!U:U,""),
_xlpm.MyAuditVal,_xlfn.XLOOKUP($A474,My_Audit!$A:$A,My_Audit!R:R,""),
_xlfn.IFS(_xlpm.MyAuditVal&lt;&gt;"",UPPER(_xlpm.MyAuditVal),_xlpm.MacVal&lt;&gt;"",_xlpm.MacVal,_xlpm.CSVVal&lt;&gt;"",_xlpm.CSVVal
)),"")</f>
        <v/>
      </c>
      <c r="R474" s="40"/>
      <c r="S474" s="40"/>
      <c r="T474" s="40"/>
      <c r="U474" s="40"/>
      <c r="V474" s="40"/>
      <c r="W474" s="40"/>
      <c r="X474" s="41" t="str">
        <f>_xlfn.LET(
    _xlpm.MacVal, _xlfn.XLOOKUP($A474, Output_Mac!$A:$A, Output_Mac!AB:AB, ""),
    _xlpm.MyAuditVal, _xlfn.XLOOKUP($A474, My_Audit!$A:$A, My_Audit!N:N, ""),
    _xlfn.TEXTJOIN(", ", TRUE, _xlpm.MyAuditVal, _xlpm.MacVal)
)</f>
        <v/>
      </c>
    </row>
    <row r="475" spans="1:24">
      <c r="A475" s="40" t="str">
        <f>_xlfn.TEXTJOIN("",TRUE,Input!$B$2,ROW(My_Audit!A474))</f>
        <v>X474</v>
      </c>
      <c r="B475" s="40" t="str">
        <f>_xlfn.TEXTJOIN("-",TRUE,"ITD",Input!$A$2,A475)</f>
        <v>ITD-X474</v>
      </c>
      <c r="C475" s="40" t="str" cm="1">
        <f t="array" ref="C475">IFERROR(_xlfn.LET(
_xlpm.CSVVal,_xlfn.XLOOKUP($A475,CSV!$A:$A,CSV!B:B,""),
_xlpm.MacVal,_xlfn.XLOOKUP($A475,Output_Mac!$A:$A,Output_Mac!B:B,""),
_xlpm.MyAuditVal,_xlfn.XLOOKUP($A475,My_Audit!$A:$A,My_Audit!B:B,""),
_xlfn.IFS(_xlpm.MyAuditVal&lt;&gt;"",UPPER(_xlpm.MyAuditVal),_xlpm.MacVal&lt;&gt;"",_xlpm.MacVal,_xlpm.CSVVal&lt;&gt;"",_xlpm.CSVVal
)),"")</f>
        <v/>
      </c>
      <c r="D475" s="40" t="str" cm="1">
        <f t="array" ref="D475">IFERROR(_xlfn.LET(
_xlpm.CSVVal,_xlfn.XLOOKUP($A475,CSV!$A:$A,CSV!D:D,""),
_xlpm.MacVal,_xlfn.XLOOKUP($A475,Output_Mac!$A:$A,Output_Mac!C:C,""),
_xlpm.MyAuditVal,_xlfn.XLOOKUP($A475,My_Audit!$A:$A,My_Audit!C:C,""),
_xlfn.IFS(_xlpm.MyAuditVal&lt;&gt;"",_xlpm.MyAuditVal,_xlpm.MacVal&lt;&gt;"",_xlpm.MacVal,_xlpm.CSVVal&lt;&gt;"",_xlpm.CSVVal
)),"")</f>
        <v/>
      </c>
      <c r="E475" s="40" t="str">
        <f>_xlfn.XLOOKUP(A475,My_Audit!A:A,My_Audit!D:D,"")</f>
        <v/>
      </c>
      <c r="F475" s="40" t="str" cm="1">
        <f t="array" ref="F475">IFERROR(_xlfn.LET(
_xlpm.CSVVal,_xlfn.XLOOKUP($A475,CSV!$A:$A,CSV!F:F,""),
_xlpm.MacVal,_xlfn.XLOOKUP($A475,Output_Mac!$A:$A,Output_Mac!E:E,""),
_xlpm.MyAuditVal,_xlfn.XLOOKUP($A475,My_Audit!$A:$A,My_Audit!E:E,""),
_xlfn.IFS(_xlpm.MyAuditVal&lt;&gt;"",_xlpm.MyAuditVal,_xlpm.MacVal&lt;&gt;"",_xlpm.MacVal,_xlpm.CSVVal&lt;&gt;"",_xlpm.CSVVal
)),"")</f>
        <v/>
      </c>
      <c r="G475" s="40" t="str" cm="1">
        <f t="array" ref="G475">IFERROR(_xlfn.LET(
_xlpm.CSVVal,_xlfn.XLOOKUP($A475,CSV!$A:$A,CSV!G:G,""),
_xlpm.MacVal,_xlfn.XLOOKUP($A475,Output_Mac!$A:$A,Output_Mac!F:F,""),
_xlpm.MyAuditVal,_xlfn.XLOOKUP($A475,My_Audit!$A:$A,My_Audit!F:F,""),
_xlfn.IFS(_xlpm.MyAuditVal&lt;&gt;"",_xlpm.MyAuditVal,_xlpm.MacVal&lt;&gt;"",_xlpm.MacVal,_xlpm.CSVVal&lt;&gt;"",PROPER(_xlpm.CSVVal)
)),"")</f>
        <v/>
      </c>
      <c r="H475" s="40" t="str" cm="1">
        <f t="array" ref="H475">IFERROR(_xlfn.LET(
_xlpm.CSVVal,_xlfn.XLOOKUP($A475,CSV!$A:$A,CSV!H:H,""),
_xlpm.MacVal,_xlfn.XLOOKUP($A475,Output_Mac!$A:$A,Output_Mac!H:H,""),
_xlpm.MyAuditVal,_xlfn.XLOOKUP($A475,My_Audit!$A:$A,My_Audit!G:G,""),
_xlfn.IFS(_xlpm.MyAuditVal&lt;&gt;"",_xlpm.MyAuditVal,_xlpm.MacVal&lt;&gt;"",_xlpm.MacVal,_xlpm.CSVVal&lt;&gt;"",_xlpm.CSVVal
)),"")</f>
        <v/>
      </c>
      <c r="I475" s="40" t="str">
        <f>_xlfn.XLOOKUP(A475,Output_Mac!A:A,Output_Mac!I:I,"")</f>
        <v/>
      </c>
      <c r="J475" s="40" t="str" cm="1">
        <f t="array" ref="J475">IFERROR(_xlfn.LET(
_xlpm.CSVVal,_xlfn.XLOOKUP($A475,CSV!$A:$A,CSV!I:I,""),
_xlpm.MacVal,_xlfn.XLOOKUP($A475,Output_Mac!$A:$A,Output_Mac!J:J,""),
_xlpm.MyAuditVal,_xlfn.XLOOKUP($A475,My_Audit!$A:$A,My_Audit!I:I,""),
_xlfn.IFS(_xlpm.MyAuditVal&lt;&gt;"",UPPER(_xlpm.MyAuditVal),_xlpm.MacVal&lt;&gt;"",_xlpm.MacVal,_xlpm.CSVVal&lt;&gt;"",_xlpm.CSVVal
)),"")</f>
        <v/>
      </c>
      <c r="K475" s="40" t="str" cm="1">
        <f t="array" ref="K475">IFERROR(_xlfn.LET(
_xlpm.CSVVal,_xlfn.XLOOKUP($A475,CSV!$A:$A,CSV!K:K,""),
_xlpm.MacVal,_xlfn.XLOOKUP($A475,Output_Mac!$A:$A,Output_Mac!K:K,""),
_xlpm.MyAuditVal,_xlfn.XLOOKUP($A475,My_Audit!$A:$A,My_Audit!J:J,""),
_xlfn.IFS(_xlpm.MyAuditVal&lt;&gt;"",UPPER(_xlpm.MyAuditVal),_xlpm.MacVal&lt;&gt;"",_xlpm.MacVal,_xlpm.CSVVal&lt;&gt;"",_xlpm.CSVVal
)),"")</f>
        <v/>
      </c>
      <c r="L475" s="40" t="str" cm="1">
        <f t="array" ref="L475">IFERROR(_xlfn.LET(
_xlpm.CSVVal,_xlfn.XLOOKUP($A475,CSV!$A:$A,CSV!P:P,""),
_xlpm.MacVal,_xlfn.XLOOKUP($A475,Output_Mac!$A:$A,Output_Mac!L:L,""),
_xlpm.MyAuditVal,_xlfn.XLOOKUP($A475,My_Audit!$A:$A,My_Audit!K:K,""),
_xlfn.IFS(_xlpm.MyAuditVal&lt;&gt;"",UPPER(_xlpm.MyAuditVal),_xlpm.MacVal&lt;&gt;"",_xlpm.MacVal,_xlpm.CSVVal&lt;&gt;"",_xlpm.CSVVal
)),"")</f>
        <v/>
      </c>
      <c r="M475" s="40" t="str" cm="1">
        <f t="array" ref="M475">IFERROR(_xlfn.LET(
_xlpm.CSVVal,_xlfn.XLOOKUP($A475,CSV!$A:$A,CSV!Q:Q,""),
_xlpm.MacVal,_xlfn.XLOOKUP($A475,Output_Mac!$A:$A,Output_Mac!M:M,""),
_xlpm.MyAuditVal,_xlfn.XLOOKUP($A475,My_Audit!$A:$A,My_Audit!L:L,""),
_xlfn.IFS(_xlpm.MyAuditVal&lt;&gt;"",UPPER(_xlpm.MyAuditVal),_xlpm.MacVal&lt;&gt;"",_xlpm.MacVal,_xlpm.CSVVal&lt;&gt;"",_xlpm.CSVVal
)),"")</f>
        <v/>
      </c>
      <c r="N475" s="40"/>
      <c r="O475" s="40" t="str">
        <f>_xlfn.LET(
    _xlpm.CSVVal, _xlfn.XLOOKUP($A475, CSV!$A:$A, CSV!AA:AA, ""),
    _xlpm.MacVal, _xlfn.XLOOKUP($A475, Output_Mac!$A:$A, Output_Mac!S:S, ""),
    _xlpm.MyAuditVal, _xlfn.XLOOKUP($A475, My_Audit!$A:$A, My_Audit!P:P, ""),
    _xlfn.TEXTJOIN(", ", TRUE, _xlpm.MyAuditVal, _xlpm.MacVal, _xlpm.CSVVal)
)</f>
        <v/>
      </c>
      <c r="P475" s="40" t="str" cm="1">
        <f t="array" ref="P475">IFERROR(_xlfn.LET(
_xlpm.CSVVal,_xlfn.XLOOKUP($A475,CSV!$A:$A,CSV!AB:AB,""),
_xlpm.MacVal,_xlfn.XLOOKUP($A475,Output_Mac!$A:$A,Output_Mac!T:T,""),
_xlpm.MyAuditVal,_xlfn.XLOOKUP($A475,My_Audit!$A:$A,My_Audit!Q:Q,""),
_xlfn.IFS(_xlpm.MyAuditVal&lt;&gt;"",UPPER(_xlpm.MyAuditVal),_xlpm.MacVal&lt;&gt;"",_xlpm.MacVal,_xlpm.CSVVal&lt;&gt;"",_xlpm.CSVVal
)),"No")</f>
        <v>No</v>
      </c>
      <c r="Q475" s="40" t="str" cm="1">
        <f t="array" ref="Q475">IFERROR(_xlfn.LET(
_xlpm.CSVVal,_xlfn.XLOOKUP($A475,CSV!$A:$A,CSV!AC:AC,""),
_xlpm.MacVal,_xlfn.XLOOKUP($A475,Output_Mac!$A:$A,Output_Mac!U:U,""),
_xlpm.MyAuditVal,_xlfn.XLOOKUP($A475,My_Audit!$A:$A,My_Audit!R:R,""),
_xlfn.IFS(_xlpm.MyAuditVal&lt;&gt;"",UPPER(_xlpm.MyAuditVal),_xlpm.MacVal&lt;&gt;"",_xlpm.MacVal,_xlpm.CSVVal&lt;&gt;"",_xlpm.CSVVal
)),"")</f>
        <v/>
      </c>
      <c r="R475" s="40"/>
      <c r="S475" s="40"/>
      <c r="T475" s="40"/>
      <c r="U475" s="40"/>
      <c r="V475" s="40"/>
      <c r="W475" s="40"/>
      <c r="X475" s="41" t="str">
        <f>_xlfn.LET(
    _xlpm.MacVal, _xlfn.XLOOKUP($A475, Output_Mac!$A:$A, Output_Mac!AB:AB, ""),
    _xlpm.MyAuditVal, _xlfn.XLOOKUP($A475, My_Audit!$A:$A, My_Audit!N:N, ""),
    _xlfn.TEXTJOIN(", ", TRUE, _xlpm.MyAuditVal, _xlpm.MacVal)
)</f>
        <v/>
      </c>
    </row>
    <row r="476" spans="1:24">
      <c r="A476" s="40" t="str">
        <f>_xlfn.TEXTJOIN("",TRUE,Input!$B$2,ROW(My_Audit!A475))</f>
        <v>X475</v>
      </c>
      <c r="B476" s="40" t="str">
        <f>_xlfn.TEXTJOIN("-",TRUE,"ITD",Input!$A$2,A476)</f>
        <v>ITD-X475</v>
      </c>
      <c r="C476" s="40" t="str" cm="1">
        <f t="array" ref="C476">IFERROR(_xlfn.LET(
_xlpm.CSVVal,_xlfn.XLOOKUP($A476,CSV!$A:$A,CSV!B:B,""),
_xlpm.MacVal,_xlfn.XLOOKUP($A476,Output_Mac!$A:$A,Output_Mac!B:B,""),
_xlpm.MyAuditVal,_xlfn.XLOOKUP($A476,My_Audit!$A:$A,My_Audit!B:B,""),
_xlfn.IFS(_xlpm.MyAuditVal&lt;&gt;"",UPPER(_xlpm.MyAuditVal),_xlpm.MacVal&lt;&gt;"",_xlpm.MacVal,_xlpm.CSVVal&lt;&gt;"",_xlpm.CSVVal
)),"")</f>
        <v/>
      </c>
      <c r="D476" s="40" t="str" cm="1">
        <f t="array" ref="D476">IFERROR(_xlfn.LET(
_xlpm.CSVVal,_xlfn.XLOOKUP($A476,CSV!$A:$A,CSV!D:D,""),
_xlpm.MacVal,_xlfn.XLOOKUP($A476,Output_Mac!$A:$A,Output_Mac!C:C,""),
_xlpm.MyAuditVal,_xlfn.XLOOKUP($A476,My_Audit!$A:$A,My_Audit!C:C,""),
_xlfn.IFS(_xlpm.MyAuditVal&lt;&gt;"",_xlpm.MyAuditVal,_xlpm.MacVal&lt;&gt;"",_xlpm.MacVal,_xlpm.CSVVal&lt;&gt;"",_xlpm.CSVVal
)),"")</f>
        <v/>
      </c>
      <c r="E476" s="40" t="str">
        <f>_xlfn.XLOOKUP(A476,My_Audit!A:A,My_Audit!D:D,"")</f>
        <v/>
      </c>
      <c r="F476" s="40" t="str" cm="1">
        <f t="array" ref="F476">IFERROR(_xlfn.LET(
_xlpm.CSVVal,_xlfn.XLOOKUP($A476,CSV!$A:$A,CSV!F:F,""),
_xlpm.MacVal,_xlfn.XLOOKUP($A476,Output_Mac!$A:$A,Output_Mac!E:E,""),
_xlpm.MyAuditVal,_xlfn.XLOOKUP($A476,My_Audit!$A:$A,My_Audit!E:E,""),
_xlfn.IFS(_xlpm.MyAuditVal&lt;&gt;"",_xlpm.MyAuditVal,_xlpm.MacVal&lt;&gt;"",_xlpm.MacVal,_xlpm.CSVVal&lt;&gt;"",_xlpm.CSVVal
)),"")</f>
        <v/>
      </c>
      <c r="G476" s="40" t="str" cm="1">
        <f t="array" ref="G476">IFERROR(_xlfn.LET(
_xlpm.CSVVal,_xlfn.XLOOKUP($A476,CSV!$A:$A,CSV!G:G,""),
_xlpm.MacVal,_xlfn.XLOOKUP($A476,Output_Mac!$A:$A,Output_Mac!F:F,""),
_xlpm.MyAuditVal,_xlfn.XLOOKUP($A476,My_Audit!$A:$A,My_Audit!F:F,""),
_xlfn.IFS(_xlpm.MyAuditVal&lt;&gt;"",_xlpm.MyAuditVal,_xlpm.MacVal&lt;&gt;"",_xlpm.MacVal,_xlpm.CSVVal&lt;&gt;"",PROPER(_xlpm.CSVVal)
)),"")</f>
        <v/>
      </c>
      <c r="H476" s="40" t="str" cm="1">
        <f t="array" ref="H476">IFERROR(_xlfn.LET(
_xlpm.CSVVal,_xlfn.XLOOKUP($A476,CSV!$A:$A,CSV!H:H,""),
_xlpm.MacVal,_xlfn.XLOOKUP($A476,Output_Mac!$A:$A,Output_Mac!H:H,""),
_xlpm.MyAuditVal,_xlfn.XLOOKUP($A476,My_Audit!$A:$A,My_Audit!G:G,""),
_xlfn.IFS(_xlpm.MyAuditVal&lt;&gt;"",_xlpm.MyAuditVal,_xlpm.MacVal&lt;&gt;"",_xlpm.MacVal,_xlpm.CSVVal&lt;&gt;"",_xlpm.CSVVal
)),"")</f>
        <v/>
      </c>
      <c r="I476" s="40" t="str">
        <f>_xlfn.XLOOKUP(A476,Output_Mac!A:A,Output_Mac!I:I,"")</f>
        <v/>
      </c>
      <c r="J476" s="40" t="str" cm="1">
        <f t="array" ref="J476">IFERROR(_xlfn.LET(
_xlpm.CSVVal,_xlfn.XLOOKUP($A476,CSV!$A:$A,CSV!I:I,""),
_xlpm.MacVal,_xlfn.XLOOKUP($A476,Output_Mac!$A:$A,Output_Mac!J:J,""),
_xlpm.MyAuditVal,_xlfn.XLOOKUP($A476,My_Audit!$A:$A,My_Audit!I:I,""),
_xlfn.IFS(_xlpm.MyAuditVal&lt;&gt;"",UPPER(_xlpm.MyAuditVal),_xlpm.MacVal&lt;&gt;"",_xlpm.MacVal,_xlpm.CSVVal&lt;&gt;"",_xlpm.CSVVal
)),"")</f>
        <v/>
      </c>
      <c r="K476" s="40" t="str" cm="1">
        <f t="array" ref="K476">IFERROR(_xlfn.LET(
_xlpm.CSVVal,_xlfn.XLOOKUP($A476,CSV!$A:$A,CSV!K:K,""),
_xlpm.MacVal,_xlfn.XLOOKUP($A476,Output_Mac!$A:$A,Output_Mac!K:K,""),
_xlpm.MyAuditVal,_xlfn.XLOOKUP($A476,My_Audit!$A:$A,My_Audit!J:J,""),
_xlfn.IFS(_xlpm.MyAuditVal&lt;&gt;"",UPPER(_xlpm.MyAuditVal),_xlpm.MacVal&lt;&gt;"",_xlpm.MacVal,_xlpm.CSVVal&lt;&gt;"",_xlpm.CSVVal
)),"")</f>
        <v/>
      </c>
      <c r="L476" s="40" t="str" cm="1">
        <f t="array" ref="L476">IFERROR(_xlfn.LET(
_xlpm.CSVVal,_xlfn.XLOOKUP($A476,CSV!$A:$A,CSV!P:P,""),
_xlpm.MacVal,_xlfn.XLOOKUP($A476,Output_Mac!$A:$A,Output_Mac!L:L,""),
_xlpm.MyAuditVal,_xlfn.XLOOKUP($A476,My_Audit!$A:$A,My_Audit!K:K,""),
_xlfn.IFS(_xlpm.MyAuditVal&lt;&gt;"",UPPER(_xlpm.MyAuditVal),_xlpm.MacVal&lt;&gt;"",_xlpm.MacVal,_xlpm.CSVVal&lt;&gt;"",_xlpm.CSVVal
)),"")</f>
        <v/>
      </c>
      <c r="M476" s="40" t="str" cm="1">
        <f t="array" ref="M476">IFERROR(_xlfn.LET(
_xlpm.CSVVal,_xlfn.XLOOKUP($A476,CSV!$A:$A,CSV!Q:Q,""),
_xlpm.MacVal,_xlfn.XLOOKUP($A476,Output_Mac!$A:$A,Output_Mac!M:M,""),
_xlpm.MyAuditVal,_xlfn.XLOOKUP($A476,My_Audit!$A:$A,My_Audit!L:L,""),
_xlfn.IFS(_xlpm.MyAuditVal&lt;&gt;"",UPPER(_xlpm.MyAuditVal),_xlpm.MacVal&lt;&gt;"",_xlpm.MacVal,_xlpm.CSVVal&lt;&gt;"",_xlpm.CSVVal
)),"")</f>
        <v/>
      </c>
      <c r="N476" s="40"/>
      <c r="O476" s="40" t="str">
        <f>_xlfn.LET(
    _xlpm.CSVVal, _xlfn.XLOOKUP($A476, CSV!$A:$A, CSV!AA:AA, ""),
    _xlpm.MacVal, _xlfn.XLOOKUP($A476, Output_Mac!$A:$A, Output_Mac!S:S, ""),
    _xlpm.MyAuditVal, _xlfn.XLOOKUP($A476, My_Audit!$A:$A, My_Audit!P:P, ""),
    _xlfn.TEXTJOIN(", ", TRUE, _xlpm.MyAuditVal, _xlpm.MacVal, _xlpm.CSVVal)
)</f>
        <v/>
      </c>
      <c r="P476" s="40" t="str" cm="1">
        <f t="array" ref="P476">IFERROR(_xlfn.LET(
_xlpm.CSVVal,_xlfn.XLOOKUP($A476,CSV!$A:$A,CSV!AB:AB,""),
_xlpm.MacVal,_xlfn.XLOOKUP($A476,Output_Mac!$A:$A,Output_Mac!T:T,""),
_xlpm.MyAuditVal,_xlfn.XLOOKUP($A476,My_Audit!$A:$A,My_Audit!Q:Q,""),
_xlfn.IFS(_xlpm.MyAuditVal&lt;&gt;"",UPPER(_xlpm.MyAuditVal),_xlpm.MacVal&lt;&gt;"",_xlpm.MacVal,_xlpm.CSVVal&lt;&gt;"",_xlpm.CSVVal
)),"No")</f>
        <v>No</v>
      </c>
      <c r="Q476" s="40" t="str" cm="1">
        <f t="array" ref="Q476">IFERROR(_xlfn.LET(
_xlpm.CSVVal,_xlfn.XLOOKUP($A476,CSV!$A:$A,CSV!AC:AC,""),
_xlpm.MacVal,_xlfn.XLOOKUP($A476,Output_Mac!$A:$A,Output_Mac!U:U,""),
_xlpm.MyAuditVal,_xlfn.XLOOKUP($A476,My_Audit!$A:$A,My_Audit!R:R,""),
_xlfn.IFS(_xlpm.MyAuditVal&lt;&gt;"",UPPER(_xlpm.MyAuditVal),_xlpm.MacVal&lt;&gt;"",_xlpm.MacVal,_xlpm.CSVVal&lt;&gt;"",_xlpm.CSVVal
)),"")</f>
        <v/>
      </c>
      <c r="R476" s="40"/>
      <c r="S476" s="40"/>
      <c r="T476" s="40"/>
      <c r="U476" s="40"/>
      <c r="V476" s="40"/>
      <c r="W476" s="40"/>
      <c r="X476" s="41" t="str">
        <f>_xlfn.LET(
    _xlpm.MacVal, _xlfn.XLOOKUP($A476, Output_Mac!$A:$A, Output_Mac!AB:AB, ""),
    _xlpm.MyAuditVal, _xlfn.XLOOKUP($A476, My_Audit!$A:$A, My_Audit!N:N, ""),
    _xlfn.TEXTJOIN(", ", TRUE, _xlpm.MyAuditVal, _xlpm.MacVal)
)</f>
        <v/>
      </c>
    </row>
    <row r="477" spans="1:24">
      <c r="A477" s="40" t="str">
        <f>_xlfn.TEXTJOIN("",TRUE,Input!$B$2,ROW(My_Audit!A476))</f>
        <v>X476</v>
      </c>
      <c r="B477" s="40" t="str">
        <f>_xlfn.TEXTJOIN("-",TRUE,"ITD",Input!$A$2,A477)</f>
        <v>ITD-X476</v>
      </c>
      <c r="C477" s="40" t="str" cm="1">
        <f t="array" ref="C477">IFERROR(_xlfn.LET(
_xlpm.CSVVal,_xlfn.XLOOKUP($A477,CSV!$A:$A,CSV!B:B,""),
_xlpm.MacVal,_xlfn.XLOOKUP($A477,Output_Mac!$A:$A,Output_Mac!B:B,""),
_xlpm.MyAuditVal,_xlfn.XLOOKUP($A477,My_Audit!$A:$A,My_Audit!B:B,""),
_xlfn.IFS(_xlpm.MyAuditVal&lt;&gt;"",UPPER(_xlpm.MyAuditVal),_xlpm.MacVal&lt;&gt;"",_xlpm.MacVal,_xlpm.CSVVal&lt;&gt;"",_xlpm.CSVVal
)),"")</f>
        <v/>
      </c>
      <c r="D477" s="40" t="str" cm="1">
        <f t="array" ref="D477">IFERROR(_xlfn.LET(
_xlpm.CSVVal,_xlfn.XLOOKUP($A477,CSV!$A:$A,CSV!D:D,""),
_xlpm.MacVal,_xlfn.XLOOKUP($A477,Output_Mac!$A:$A,Output_Mac!C:C,""),
_xlpm.MyAuditVal,_xlfn.XLOOKUP($A477,My_Audit!$A:$A,My_Audit!C:C,""),
_xlfn.IFS(_xlpm.MyAuditVal&lt;&gt;"",_xlpm.MyAuditVal,_xlpm.MacVal&lt;&gt;"",_xlpm.MacVal,_xlpm.CSVVal&lt;&gt;"",_xlpm.CSVVal
)),"")</f>
        <v/>
      </c>
      <c r="E477" s="40" t="str">
        <f>_xlfn.XLOOKUP(A477,My_Audit!A:A,My_Audit!D:D,"")</f>
        <v/>
      </c>
      <c r="F477" s="40" t="str" cm="1">
        <f t="array" ref="F477">IFERROR(_xlfn.LET(
_xlpm.CSVVal,_xlfn.XLOOKUP($A477,CSV!$A:$A,CSV!F:F,""),
_xlpm.MacVal,_xlfn.XLOOKUP($A477,Output_Mac!$A:$A,Output_Mac!E:E,""),
_xlpm.MyAuditVal,_xlfn.XLOOKUP($A477,My_Audit!$A:$A,My_Audit!E:E,""),
_xlfn.IFS(_xlpm.MyAuditVal&lt;&gt;"",_xlpm.MyAuditVal,_xlpm.MacVal&lt;&gt;"",_xlpm.MacVal,_xlpm.CSVVal&lt;&gt;"",_xlpm.CSVVal
)),"")</f>
        <v/>
      </c>
      <c r="G477" s="40" t="str" cm="1">
        <f t="array" ref="G477">IFERROR(_xlfn.LET(
_xlpm.CSVVal,_xlfn.XLOOKUP($A477,CSV!$A:$A,CSV!G:G,""),
_xlpm.MacVal,_xlfn.XLOOKUP($A477,Output_Mac!$A:$A,Output_Mac!F:F,""),
_xlpm.MyAuditVal,_xlfn.XLOOKUP($A477,My_Audit!$A:$A,My_Audit!F:F,""),
_xlfn.IFS(_xlpm.MyAuditVal&lt;&gt;"",_xlpm.MyAuditVal,_xlpm.MacVal&lt;&gt;"",_xlpm.MacVal,_xlpm.CSVVal&lt;&gt;"",PROPER(_xlpm.CSVVal)
)),"")</f>
        <v/>
      </c>
      <c r="H477" s="40" t="str" cm="1">
        <f t="array" ref="H477">IFERROR(_xlfn.LET(
_xlpm.CSVVal,_xlfn.XLOOKUP($A477,CSV!$A:$A,CSV!H:H,""),
_xlpm.MacVal,_xlfn.XLOOKUP($A477,Output_Mac!$A:$A,Output_Mac!H:H,""),
_xlpm.MyAuditVal,_xlfn.XLOOKUP($A477,My_Audit!$A:$A,My_Audit!G:G,""),
_xlfn.IFS(_xlpm.MyAuditVal&lt;&gt;"",_xlpm.MyAuditVal,_xlpm.MacVal&lt;&gt;"",_xlpm.MacVal,_xlpm.CSVVal&lt;&gt;"",_xlpm.CSVVal
)),"")</f>
        <v/>
      </c>
      <c r="I477" s="40" t="str">
        <f>_xlfn.XLOOKUP(A477,Output_Mac!A:A,Output_Mac!I:I,"")</f>
        <v/>
      </c>
      <c r="J477" s="40" t="str" cm="1">
        <f t="array" ref="J477">IFERROR(_xlfn.LET(
_xlpm.CSVVal,_xlfn.XLOOKUP($A477,CSV!$A:$A,CSV!I:I,""),
_xlpm.MacVal,_xlfn.XLOOKUP($A477,Output_Mac!$A:$A,Output_Mac!J:J,""),
_xlpm.MyAuditVal,_xlfn.XLOOKUP($A477,My_Audit!$A:$A,My_Audit!I:I,""),
_xlfn.IFS(_xlpm.MyAuditVal&lt;&gt;"",UPPER(_xlpm.MyAuditVal),_xlpm.MacVal&lt;&gt;"",_xlpm.MacVal,_xlpm.CSVVal&lt;&gt;"",_xlpm.CSVVal
)),"")</f>
        <v/>
      </c>
      <c r="K477" s="40" t="str" cm="1">
        <f t="array" ref="K477">IFERROR(_xlfn.LET(
_xlpm.CSVVal,_xlfn.XLOOKUP($A477,CSV!$A:$A,CSV!K:K,""),
_xlpm.MacVal,_xlfn.XLOOKUP($A477,Output_Mac!$A:$A,Output_Mac!K:K,""),
_xlpm.MyAuditVal,_xlfn.XLOOKUP($A477,My_Audit!$A:$A,My_Audit!J:J,""),
_xlfn.IFS(_xlpm.MyAuditVal&lt;&gt;"",UPPER(_xlpm.MyAuditVal),_xlpm.MacVal&lt;&gt;"",_xlpm.MacVal,_xlpm.CSVVal&lt;&gt;"",_xlpm.CSVVal
)),"")</f>
        <v/>
      </c>
      <c r="L477" s="40" t="str" cm="1">
        <f t="array" ref="L477">IFERROR(_xlfn.LET(
_xlpm.CSVVal,_xlfn.XLOOKUP($A477,CSV!$A:$A,CSV!P:P,""),
_xlpm.MacVal,_xlfn.XLOOKUP($A477,Output_Mac!$A:$A,Output_Mac!L:L,""),
_xlpm.MyAuditVal,_xlfn.XLOOKUP($A477,My_Audit!$A:$A,My_Audit!K:K,""),
_xlfn.IFS(_xlpm.MyAuditVal&lt;&gt;"",UPPER(_xlpm.MyAuditVal),_xlpm.MacVal&lt;&gt;"",_xlpm.MacVal,_xlpm.CSVVal&lt;&gt;"",_xlpm.CSVVal
)),"")</f>
        <v/>
      </c>
      <c r="M477" s="40" t="str" cm="1">
        <f t="array" ref="M477">IFERROR(_xlfn.LET(
_xlpm.CSVVal,_xlfn.XLOOKUP($A477,CSV!$A:$A,CSV!Q:Q,""),
_xlpm.MacVal,_xlfn.XLOOKUP($A477,Output_Mac!$A:$A,Output_Mac!M:M,""),
_xlpm.MyAuditVal,_xlfn.XLOOKUP($A477,My_Audit!$A:$A,My_Audit!L:L,""),
_xlfn.IFS(_xlpm.MyAuditVal&lt;&gt;"",UPPER(_xlpm.MyAuditVal),_xlpm.MacVal&lt;&gt;"",_xlpm.MacVal,_xlpm.CSVVal&lt;&gt;"",_xlpm.CSVVal
)),"")</f>
        <v/>
      </c>
      <c r="N477" s="40"/>
      <c r="O477" s="40" t="str">
        <f>_xlfn.LET(
    _xlpm.CSVVal, _xlfn.XLOOKUP($A477, CSV!$A:$A, CSV!AA:AA, ""),
    _xlpm.MacVal, _xlfn.XLOOKUP($A477, Output_Mac!$A:$A, Output_Mac!S:S, ""),
    _xlpm.MyAuditVal, _xlfn.XLOOKUP($A477, My_Audit!$A:$A, My_Audit!P:P, ""),
    _xlfn.TEXTJOIN(", ", TRUE, _xlpm.MyAuditVal, _xlpm.MacVal, _xlpm.CSVVal)
)</f>
        <v/>
      </c>
      <c r="P477" s="40" t="str" cm="1">
        <f t="array" ref="P477">IFERROR(_xlfn.LET(
_xlpm.CSVVal,_xlfn.XLOOKUP($A477,CSV!$A:$A,CSV!AB:AB,""),
_xlpm.MacVal,_xlfn.XLOOKUP($A477,Output_Mac!$A:$A,Output_Mac!T:T,""),
_xlpm.MyAuditVal,_xlfn.XLOOKUP($A477,My_Audit!$A:$A,My_Audit!Q:Q,""),
_xlfn.IFS(_xlpm.MyAuditVal&lt;&gt;"",UPPER(_xlpm.MyAuditVal),_xlpm.MacVal&lt;&gt;"",_xlpm.MacVal,_xlpm.CSVVal&lt;&gt;"",_xlpm.CSVVal
)),"No")</f>
        <v>No</v>
      </c>
      <c r="Q477" s="40" t="str" cm="1">
        <f t="array" ref="Q477">IFERROR(_xlfn.LET(
_xlpm.CSVVal,_xlfn.XLOOKUP($A477,CSV!$A:$A,CSV!AC:AC,""),
_xlpm.MacVal,_xlfn.XLOOKUP($A477,Output_Mac!$A:$A,Output_Mac!U:U,""),
_xlpm.MyAuditVal,_xlfn.XLOOKUP($A477,My_Audit!$A:$A,My_Audit!R:R,""),
_xlfn.IFS(_xlpm.MyAuditVal&lt;&gt;"",UPPER(_xlpm.MyAuditVal),_xlpm.MacVal&lt;&gt;"",_xlpm.MacVal,_xlpm.CSVVal&lt;&gt;"",_xlpm.CSVVal
)),"")</f>
        <v/>
      </c>
      <c r="R477" s="40"/>
      <c r="S477" s="40"/>
      <c r="T477" s="40"/>
      <c r="U477" s="40"/>
      <c r="V477" s="40"/>
      <c r="W477" s="40"/>
      <c r="X477" s="41" t="str">
        <f>_xlfn.LET(
    _xlpm.MacVal, _xlfn.XLOOKUP($A477, Output_Mac!$A:$A, Output_Mac!AB:AB, ""),
    _xlpm.MyAuditVal, _xlfn.XLOOKUP($A477, My_Audit!$A:$A, My_Audit!N:N, ""),
    _xlfn.TEXTJOIN(", ", TRUE, _xlpm.MyAuditVal, _xlpm.MacVal)
)</f>
        <v/>
      </c>
    </row>
    <row r="478" spans="1:24">
      <c r="A478" s="40" t="str">
        <f>_xlfn.TEXTJOIN("",TRUE,Input!$B$2,ROW(My_Audit!A477))</f>
        <v>X477</v>
      </c>
      <c r="B478" s="40" t="str">
        <f>_xlfn.TEXTJOIN("-",TRUE,"ITD",Input!$A$2,A478)</f>
        <v>ITD-X477</v>
      </c>
      <c r="C478" s="40" t="str" cm="1">
        <f t="array" ref="C478">IFERROR(_xlfn.LET(
_xlpm.CSVVal,_xlfn.XLOOKUP($A478,CSV!$A:$A,CSV!B:B,""),
_xlpm.MacVal,_xlfn.XLOOKUP($A478,Output_Mac!$A:$A,Output_Mac!B:B,""),
_xlpm.MyAuditVal,_xlfn.XLOOKUP($A478,My_Audit!$A:$A,My_Audit!B:B,""),
_xlfn.IFS(_xlpm.MyAuditVal&lt;&gt;"",UPPER(_xlpm.MyAuditVal),_xlpm.MacVal&lt;&gt;"",_xlpm.MacVal,_xlpm.CSVVal&lt;&gt;"",_xlpm.CSVVal
)),"")</f>
        <v/>
      </c>
      <c r="D478" s="40" t="str" cm="1">
        <f t="array" ref="D478">IFERROR(_xlfn.LET(
_xlpm.CSVVal,_xlfn.XLOOKUP($A478,CSV!$A:$A,CSV!D:D,""),
_xlpm.MacVal,_xlfn.XLOOKUP($A478,Output_Mac!$A:$A,Output_Mac!C:C,""),
_xlpm.MyAuditVal,_xlfn.XLOOKUP($A478,My_Audit!$A:$A,My_Audit!C:C,""),
_xlfn.IFS(_xlpm.MyAuditVal&lt;&gt;"",_xlpm.MyAuditVal,_xlpm.MacVal&lt;&gt;"",_xlpm.MacVal,_xlpm.CSVVal&lt;&gt;"",_xlpm.CSVVal
)),"")</f>
        <v/>
      </c>
      <c r="E478" s="40" t="str">
        <f>_xlfn.XLOOKUP(A478,My_Audit!A:A,My_Audit!D:D,"")</f>
        <v/>
      </c>
      <c r="F478" s="40" t="str" cm="1">
        <f t="array" ref="F478">IFERROR(_xlfn.LET(
_xlpm.CSVVal,_xlfn.XLOOKUP($A478,CSV!$A:$A,CSV!F:F,""),
_xlpm.MacVal,_xlfn.XLOOKUP($A478,Output_Mac!$A:$A,Output_Mac!E:E,""),
_xlpm.MyAuditVal,_xlfn.XLOOKUP($A478,My_Audit!$A:$A,My_Audit!E:E,""),
_xlfn.IFS(_xlpm.MyAuditVal&lt;&gt;"",_xlpm.MyAuditVal,_xlpm.MacVal&lt;&gt;"",_xlpm.MacVal,_xlpm.CSVVal&lt;&gt;"",_xlpm.CSVVal
)),"")</f>
        <v/>
      </c>
      <c r="G478" s="40" t="str" cm="1">
        <f t="array" ref="G478">IFERROR(_xlfn.LET(
_xlpm.CSVVal,_xlfn.XLOOKUP($A478,CSV!$A:$A,CSV!G:G,""),
_xlpm.MacVal,_xlfn.XLOOKUP($A478,Output_Mac!$A:$A,Output_Mac!F:F,""),
_xlpm.MyAuditVal,_xlfn.XLOOKUP($A478,My_Audit!$A:$A,My_Audit!F:F,""),
_xlfn.IFS(_xlpm.MyAuditVal&lt;&gt;"",_xlpm.MyAuditVal,_xlpm.MacVal&lt;&gt;"",_xlpm.MacVal,_xlpm.CSVVal&lt;&gt;"",PROPER(_xlpm.CSVVal)
)),"")</f>
        <v/>
      </c>
      <c r="H478" s="40" t="str" cm="1">
        <f t="array" ref="H478">IFERROR(_xlfn.LET(
_xlpm.CSVVal,_xlfn.XLOOKUP($A478,CSV!$A:$A,CSV!H:H,""),
_xlpm.MacVal,_xlfn.XLOOKUP($A478,Output_Mac!$A:$A,Output_Mac!H:H,""),
_xlpm.MyAuditVal,_xlfn.XLOOKUP($A478,My_Audit!$A:$A,My_Audit!G:G,""),
_xlfn.IFS(_xlpm.MyAuditVal&lt;&gt;"",_xlpm.MyAuditVal,_xlpm.MacVal&lt;&gt;"",_xlpm.MacVal,_xlpm.CSVVal&lt;&gt;"",_xlpm.CSVVal
)),"")</f>
        <v/>
      </c>
      <c r="I478" s="40" t="str">
        <f>_xlfn.XLOOKUP(A478,Output_Mac!A:A,Output_Mac!I:I,"")</f>
        <v/>
      </c>
      <c r="J478" s="40" t="str" cm="1">
        <f t="array" ref="J478">IFERROR(_xlfn.LET(
_xlpm.CSVVal,_xlfn.XLOOKUP($A478,CSV!$A:$A,CSV!I:I,""),
_xlpm.MacVal,_xlfn.XLOOKUP($A478,Output_Mac!$A:$A,Output_Mac!J:J,""),
_xlpm.MyAuditVal,_xlfn.XLOOKUP($A478,My_Audit!$A:$A,My_Audit!I:I,""),
_xlfn.IFS(_xlpm.MyAuditVal&lt;&gt;"",UPPER(_xlpm.MyAuditVal),_xlpm.MacVal&lt;&gt;"",_xlpm.MacVal,_xlpm.CSVVal&lt;&gt;"",_xlpm.CSVVal
)),"")</f>
        <v/>
      </c>
      <c r="K478" s="40" t="str" cm="1">
        <f t="array" ref="K478">IFERROR(_xlfn.LET(
_xlpm.CSVVal,_xlfn.XLOOKUP($A478,CSV!$A:$A,CSV!K:K,""),
_xlpm.MacVal,_xlfn.XLOOKUP($A478,Output_Mac!$A:$A,Output_Mac!K:K,""),
_xlpm.MyAuditVal,_xlfn.XLOOKUP($A478,My_Audit!$A:$A,My_Audit!J:J,""),
_xlfn.IFS(_xlpm.MyAuditVal&lt;&gt;"",UPPER(_xlpm.MyAuditVal),_xlpm.MacVal&lt;&gt;"",_xlpm.MacVal,_xlpm.CSVVal&lt;&gt;"",_xlpm.CSVVal
)),"")</f>
        <v/>
      </c>
      <c r="L478" s="40" t="str" cm="1">
        <f t="array" ref="L478">IFERROR(_xlfn.LET(
_xlpm.CSVVal,_xlfn.XLOOKUP($A478,CSV!$A:$A,CSV!P:P,""),
_xlpm.MacVal,_xlfn.XLOOKUP($A478,Output_Mac!$A:$A,Output_Mac!L:L,""),
_xlpm.MyAuditVal,_xlfn.XLOOKUP($A478,My_Audit!$A:$A,My_Audit!K:K,""),
_xlfn.IFS(_xlpm.MyAuditVal&lt;&gt;"",UPPER(_xlpm.MyAuditVal),_xlpm.MacVal&lt;&gt;"",_xlpm.MacVal,_xlpm.CSVVal&lt;&gt;"",_xlpm.CSVVal
)),"")</f>
        <v/>
      </c>
      <c r="M478" s="40" t="str" cm="1">
        <f t="array" ref="M478">IFERROR(_xlfn.LET(
_xlpm.CSVVal,_xlfn.XLOOKUP($A478,CSV!$A:$A,CSV!Q:Q,""),
_xlpm.MacVal,_xlfn.XLOOKUP($A478,Output_Mac!$A:$A,Output_Mac!M:M,""),
_xlpm.MyAuditVal,_xlfn.XLOOKUP($A478,My_Audit!$A:$A,My_Audit!L:L,""),
_xlfn.IFS(_xlpm.MyAuditVal&lt;&gt;"",UPPER(_xlpm.MyAuditVal),_xlpm.MacVal&lt;&gt;"",_xlpm.MacVal,_xlpm.CSVVal&lt;&gt;"",_xlpm.CSVVal
)),"")</f>
        <v/>
      </c>
      <c r="N478" s="40"/>
      <c r="O478" s="40" t="str">
        <f>_xlfn.LET(
    _xlpm.CSVVal, _xlfn.XLOOKUP($A478, CSV!$A:$A, CSV!AA:AA, ""),
    _xlpm.MacVal, _xlfn.XLOOKUP($A478, Output_Mac!$A:$A, Output_Mac!S:S, ""),
    _xlpm.MyAuditVal, _xlfn.XLOOKUP($A478, My_Audit!$A:$A, My_Audit!P:P, ""),
    _xlfn.TEXTJOIN(", ", TRUE, _xlpm.MyAuditVal, _xlpm.MacVal, _xlpm.CSVVal)
)</f>
        <v/>
      </c>
      <c r="P478" s="40" t="str" cm="1">
        <f t="array" ref="P478">IFERROR(_xlfn.LET(
_xlpm.CSVVal,_xlfn.XLOOKUP($A478,CSV!$A:$A,CSV!AB:AB,""),
_xlpm.MacVal,_xlfn.XLOOKUP($A478,Output_Mac!$A:$A,Output_Mac!T:T,""),
_xlpm.MyAuditVal,_xlfn.XLOOKUP($A478,My_Audit!$A:$A,My_Audit!Q:Q,""),
_xlfn.IFS(_xlpm.MyAuditVal&lt;&gt;"",UPPER(_xlpm.MyAuditVal),_xlpm.MacVal&lt;&gt;"",_xlpm.MacVal,_xlpm.CSVVal&lt;&gt;"",_xlpm.CSVVal
)),"No")</f>
        <v>No</v>
      </c>
      <c r="Q478" s="40" t="str" cm="1">
        <f t="array" ref="Q478">IFERROR(_xlfn.LET(
_xlpm.CSVVal,_xlfn.XLOOKUP($A478,CSV!$A:$A,CSV!AC:AC,""),
_xlpm.MacVal,_xlfn.XLOOKUP($A478,Output_Mac!$A:$A,Output_Mac!U:U,""),
_xlpm.MyAuditVal,_xlfn.XLOOKUP($A478,My_Audit!$A:$A,My_Audit!R:R,""),
_xlfn.IFS(_xlpm.MyAuditVal&lt;&gt;"",UPPER(_xlpm.MyAuditVal),_xlpm.MacVal&lt;&gt;"",_xlpm.MacVal,_xlpm.CSVVal&lt;&gt;"",_xlpm.CSVVal
)),"")</f>
        <v/>
      </c>
      <c r="R478" s="40"/>
      <c r="S478" s="40"/>
      <c r="T478" s="40"/>
      <c r="U478" s="40"/>
      <c r="V478" s="40"/>
      <c r="W478" s="40"/>
      <c r="X478" s="41" t="str">
        <f>_xlfn.LET(
    _xlpm.MacVal, _xlfn.XLOOKUP($A478, Output_Mac!$A:$A, Output_Mac!AB:AB, ""),
    _xlpm.MyAuditVal, _xlfn.XLOOKUP($A478, My_Audit!$A:$A, My_Audit!N:N, ""),
    _xlfn.TEXTJOIN(", ", TRUE, _xlpm.MyAuditVal, _xlpm.MacVal)
)</f>
        <v/>
      </c>
    </row>
    <row r="479" spans="1:24">
      <c r="A479" s="40" t="str">
        <f>_xlfn.TEXTJOIN("",TRUE,Input!$B$2,ROW(My_Audit!A478))</f>
        <v>X478</v>
      </c>
      <c r="B479" s="40" t="str">
        <f>_xlfn.TEXTJOIN("-",TRUE,"ITD",Input!$A$2,A479)</f>
        <v>ITD-X478</v>
      </c>
      <c r="C479" s="40" t="str" cm="1">
        <f t="array" ref="C479">IFERROR(_xlfn.LET(
_xlpm.CSVVal,_xlfn.XLOOKUP($A479,CSV!$A:$A,CSV!B:B,""),
_xlpm.MacVal,_xlfn.XLOOKUP($A479,Output_Mac!$A:$A,Output_Mac!B:B,""),
_xlpm.MyAuditVal,_xlfn.XLOOKUP($A479,My_Audit!$A:$A,My_Audit!B:B,""),
_xlfn.IFS(_xlpm.MyAuditVal&lt;&gt;"",UPPER(_xlpm.MyAuditVal),_xlpm.MacVal&lt;&gt;"",_xlpm.MacVal,_xlpm.CSVVal&lt;&gt;"",_xlpm.CSVVal
)),"")</f>
        <v/>
      </c>
      <c r="D479" s="40" t="str" cm="1">
        <f t="array" ref="D479">IFERROR(_xlfn.LET(
_xlpm.CSVVal,_xlfn.XLOOKUP($A479,CSV!$A:$A,CSV!D:D,""),
_xlpm.MacVal,_xlfn.XLOOKUP($A479,Output_Mac!$A:$A,Output_Mac!C:C,""),
_xlpm.MyAuditVal,_xlfn.XLOOKUP($A479,My_Audit!$A:$A,My_Audit!C:C,""),
_xlfn.IFS(_xlpm.MyAuditVal&lt;&gt;"",_xlpm.MyAuditVal,_xlpm.MacVal&lt;&gt;"",_xlpm.MacVal,_xlpm.CSVVal&lt;&gt;"",_xlpm.CSVVal
)),"")</f>
        <v/>
      </c>
      <c r="E479" s="40" t="str">
        <f>_xlfn.XLOOKUP(A479,My_Audit!A:A,My_Audit!D:D,"")</f>
        <v/>
      </c>
      <c r="F479" s="40" t="str" cm="1">
        <f t="array" ref="F479">IFERROR(_xlfn.LET(
_xlpm.CSVVal,_xlfn.XLOOKUP($A479,CSV!$A:$A,CSV!F:F,""),
_xlpm.MacVal,_xlfn.XLOOKUP($A479,Output_Mac!$A:$A,Output_Mac!E:E,""),
_xlpm.MyAuditVal,_xlfn.XLOOKUP($A479,My_Audit!$A:$A,My_Audit!E:E,""),
_xlfn.IFS(_xlpm.MyAuditVal&lt;&gt;"",_xlpm.MyAuditVal,_xlpm.MacVal&lt;&gt;"",_xlpm.MacVal,_xlpm.CSVVal&lt;&gt;"",_xlpm.CSVVal
)),"")</f>
        <v/>
      </c>
      <c r="G479" s="40" t="str" cm="1">
        <f t="array" ref="G479">IFERROR(_xlfn.LET(
_xlpm.CSVVal,_xlfn.XLOOKUP($A479,CSV!$A:$A,CSV!G:G,""),
_xlpm.MacVal,_xlfn.XLOOKUP($A479,Output_Mac!$A:$A,Output_Mac!F:F,""),
_xlpm.MyAuditVal,_xlfn.XLOOKUP($A479,My_Audit!$A:$A,My_Audit!F:F,""),
_xlfn.IFS(_xlpm.MyAuditVal&lt;&gt;"",_xlpm.MyAuditVal,_xlpm.MacVal&lt;&gt;"",_xlpm.MacVal,_xlpm.CSVVal&lt;&gt;"",PROPER(_xlpm.CSVVal)
)),"")</f>
        <v/>
      </c>
      <c r="H479" s="40" t="str" cm="1">
        <f t="array" ref="H479">IFERROR(_xlfn.LET(
_xlpm.CSVVal,_xlfn.XLOOKUP($A479,CSV!$A:$A,CSV!H:H,""),
_xlpm.MacVal,_xlfn.XLOOKUP($A479,Output_Mac!$A:$A,Output_Mac!H:H,""),
_xlpm.MyAuditVal,_xlfn.XLOOKUP($A479,My_Audit!$A:$A,My_Audit!G:G,""),
_xlfn.IFS(_xlpm.MyAuditVal&lt;&gt;"",_xlpm.MyAuditVal,_xlpm.MacVal&lt;&gt;"",_xlpm.MacVal,_xlpm.CSVVal&lt;&gt;"",_xlpm.CSVVal
)),"")</f>
        <v/>
      </c>
      <c r="I479" s="40" t="str">
        <f>_xlfn.XLOOKUP(A479,Output_Mac!A:A,Output_Mac!I:I,"")</f>
        <v/>
      </c>
      <c r="J479" s="40" t="str" cm="1">
        <f t="array" ref="J479">IFERROR(_xlfn.LET(
_xlpm.CSVVal,_xlfn.XLOOKUP($A479,CSV!$A:$A,CSV!I:I,""),
_xlpm.MacVal,_xlfn.XLOOKUP($A479,Output_Mac!$A:$A,Output_Mac!J:J,""),
_xlpm.MyAuditVal,_xlfn.XLOOKUP($A479,My_Audit!$A:$A,My_Audit!I:I,""),
_xlfn.IFS(_xlpm.MyAuditVal&lt;&gt;"",UPPER(_xlpm.MyAuditVal),_xlpm.MacVal&lt;&gt;"",_xlpm.MacVal,_xlpm.CSVVal&lt;&gt;"",_xlpm.CSVVal
)),"")</f>
        <v/>
      </c>
      <c r="K479" s="40" t="str" cm="1">
        <f t="array" ref="K479">IFERROR(_xlfn.LET(
_xlpm.CSVVal,_xlfn.XLOOKUP($A479,CSV!$A:$A,CSV!K:K,""),
_xlpm.MacVal,_xlfn.XLOOKUP($A479,Output_Mac!$A:$A,Output_Mac!K:K,""),
_xlpm.MyAuditVal,_xlfn.XLOOKUP($A479,My_Audit!$A:$A,My_Audit!J:J,""),
_xlfn.IFS(_xlpm.MyAuditVal&lt;&gt;"",UPPER(_xlpm.MyAuditVal),_xlpm.MacVal&lt;&gt;"",_xlpm.MacVal,_xlpm.CSVVal&lt;&gt;"",_xlpm.CSVVal
)),"")</f>
        <v/>
      </c>
      <c r="L479" s="40" t="str" cm="1">
        <f t="array" ref="L479">IFERROR(_xlfn.LET(
_xlpm.CSVVal,_xlfn.XLOOKUP($A479,CSV!$A:$A,CSV!P:P,""),
_xlpm.MacVal,_xlfn.XLOOKUP($A479,Output_Mac!$A:$A,Output_Mac!L:L,""),
_xlpm.MyAuditVal,_xlfn.XLOOKUP($A479,My_Audit!$A:$A,My_Audit!K:K,""),
_xlfn.IFS(_xlpm.MyAuditVal&lt;&gt;"",UPPER(_xlpm.MyAuditVal),_xlpm.MacVal&lt;&gt;"",_xlpm.MacVal,_xlpm.CSVVal&lt;&gt;"",_xlpm.CSVVal
)),"")</f>
        <v/>
      </c>
      <c r="M479" s="40" t="str" cm="1">
        <f t="array" ref="M479">IFERROR(_xlfn.LET(
_xlpm.CSVVal,_xlfn.XLOOKUP($A479,CSV!$A:$A,CSV!Q:Q,""),
_xlpm.MacVal,_xlfn.XLOOKUP($A479,Output_Mac!$A:$A,Output_Mac!M:M,""),
_xlpm.MyAuditVal,_xlfn.XLOOKUP($A479,My_Audit!$A:$A,My_Audit!L:L,""),
_xlfn.IFS(_xlpm.MyAuditVal&lt;&gt;"",UPPER(_xlpm.MyAuditVal),_xlpm.MacVal&lt;&gt;"",_xlpm.MacVal,_xlpm.CSVVal&lt;&gt;"",_xlpm.CSVVal
)),"")</f>
        <v/>
      </c>
      <c r="N479" s="40"/>
      <c r="O479" s="40" t="str">
        <f>_xlfn.LET(
    _xlpm.CSVVal, _xlfn.XLOOKUP($A479, CSV!$A:$A, CSV!AA:AA, ""),
    _xlpm.MacVal, _xlfn.XLOOKUP($A479, Output_Mac!$A:$A, Output_Mac!S:S, ""),
    _xlpm.MyAuditVal, _xlfn.XLOOKUP($A479, My_Audit!$A:$A, My_Audit!P:P, ""),
    _xlfn.TEXTJOIN(", ", TRUE, _xlpm.MyAuditVal, _xlpm.MacVal, _xlpm.CSVVal)
)</f>
        <v/>
      </c>
      <c r="P479" s="40" t="str" cm="1">
        <f t="array" ref="P479">IFERROR(_xlfn.LET(
_xlpm.CSVVal,_xlfn.XLOOKUP($A479,CSV!$A:$A,CSV!AB:AB,""),
_xlpm.MacVal,_xlfn.XLOOKUP($A479,Output_Mac!$A:$A,Output_Mac!T:T,""),
_xlpm.MyAuditVal,_xlfn.XLOOKUP($A479,My_Audit!$A:$A,My_Audit!Q:Q,""),
_xlfn.IFS(_xlpm.MyAuditVal&lt;&gt;"",UPPER(_xlpm.MyAuditVal),_xlpm.MacVal&lt;&gt;"",_xlpm.MacVal,_xlpm.CSVVal&lt;&gt;"",_xlpm.CSVVal
)),"No")</f>
        <v>No</v>
      </c>
      <c r="Q479" s="40" t="str" cm="1">
        <f t="array" ref="Q479">IFERROR(_xlfn.LET(
_xlpm.CSVVal,_xlfn.XLOOKUP($A479,CSV!$A:$A,CSV!AC:AC,""),
_xlpm.MacVal,_xlfn.XLOOKUP($A479,Output_Mac!$A:$A,Output_Mac!U:U,""),
_xlpm.MyAuditVal,_xlfn.XLOOKUP($A479,My_Audit!$A:$A,My_Audit!R:R,""),
_xlfn.IFS(_xlpm.MyAuditVal&lt;&gt;"",UPPER(_xlpm.MyAuditVal),_xlpm.MacVal&lt;&gt;"",_xlpm.MacVal,_xlpm.CSVVal&lt;&gt;"",_xlpm.CSVVal
)),"")</f>
        <v/>
      </c>
      <c r="R479" s="40"/>
      <c r="S479" s="40"/>
      <c r="T479" s="40"/>
      <c r="U479" s="40"/>
      <c r="V479" s="40"/>
      <c r="W479" s="40"/>
      <c r="X479" s="41" t="str">
        <f>_xlfn.LET(
    _xlpm.MacVal, _xlfn.XLOOKUP($A479, Output_Mac!$A:$A, Output_Mac!AB:AB, ""),
    _xlpm.MyAuditVal, _xlfn.XLOOKUP($A479, My_Audit!$A:$A, My_Audit!N:N, ""),
    _xlfn.TEXTJOIN(", ", TRUE, _xlpm.MyAuditVal, _xlpm.MacVal)
)</f>
        <v/>
      </c>
    </row>
    <row r="480" spans="1:24">
      <c r="A480" s="40" t="str">
        <f>_xlfn.TEXTJOIN("",TRUE,Input!$B$2,ROW(My_Audit!A479))</f>
        <v>X479</v>
      </c>
      <c r="B480" s="40" t="str">
        <f>_xlfn.TEXTJOIN("-",TRUE,"ITD",Input!$A$2,A480)</f>
        <v>ITD-X479</v>
      </c>
      <c r="C480" s="40" t="str" cm="1">
        <f t="array" ref="C480">IFERROR(_xlfn.LET(
_xlpm.CSVVal,_xlfn.XLOOKUP($A480,CSV!$A:$A,CSV!B:B,""),
_xlpm.MacVal,_xlfn.XLOOKUP($A480,Output_Mac!$A:$A,Output_Mac!B:B,""),
_xlpm.MyAuditVal,_xlfn.XLOOKUP($A480,My_Audit!$A:$A,My_Audit!B:B,""),
_xlfn.IFS(_xlpm.MyAuditVal&lt;&gt;"",UPPER(_xlpm.MyAuditVal),_xlpm.MacVal&lt;&gt;"",_xlpm.MacVal,_xlpm.CSVVal&lt;&gt;"",_xlpm.CSVVal
)),"")</f>
        <v/>
      </c>
      <c r="D480" s="40" t="str" cm="1">
        <f t="array" ref="D480">IFERROR(_xlfn.LET(
_xlpm.CSVVal,_xlfn.XLOOKUP($A480,CSV!$A:$A,CSV!D:D,""),
_xlpm.MacVal,_xlfn.XLOOKUP($A480,Output_Mac!$A:$A,Output_Mac!C:C,""),
_xlpm.MyAuditVal,_xlfn.XLOOKUP($A480,My_Audit!$A:$A,My_Audit!C:C,""),
_xlfn.IFS(_xlpm.MyAuditVal&lt;&gt;"",_xlpm.MyAuditVal,_xlpm.MacVal&lt;&gt;"",_xlpm.MacVal,_xlpm.CSVVal&lt;&gt;"",_xlpm.CSVVal
)),"")</f>
        <v/>
      </c>
      <c r="E480" s="40" t="str">
        <f>_xlfn.XLOOKUP(A480,My_Audit!A:A,My_Audit!D:D,"")</f>
        <v/>
      </c>
      <c r="F480" s="40" t="str" cm="1">
        <f t="array" ref="F480">IFERROR(_xlfn.LET(
_xlpm.CSVVal,_xlfn.XLOOKUP($A480,CSV!$A:$A,CSV!F:F,""),
_xlpm.MacVal,_xlfn.XLOOKUP($A480,Output_Mac!$A:$A,Output_Mac!E:E,""),
_xlpm.MyAuditVal,_xlfn.XLOOKUP($A480,My_Audit!$A:$A,My_Audit!E:E,""),
_xlfn.IFS(_xlpm.MyAuditVal&lt;&gt;"",_xlpm.MyAuditVal,_xlpm.MacVal&lt;&gt;"",_xlpm.MacVal,_xlpm.CSVVal&lt;&gt;"",_xlpm.CSVVal
)),"")</f>
        <v/>
      </c>
      <c r="G480" s="40" t="str" cm="1">
        <f t="array" ref="G480">IFERROR(_xlfn.LET(
_xlpm.CSVVal,_xlfn.XLOOKUP($A480,CSV!$A:$A,CSV!G:G,""),
_xlpm.MacVal,_xlfn.XLOOKUP($A480,Output_Mac!$A:$A,Output_Mac!F:F,""),
_xlpm.MyAuditVal,_xlfn.XLOOKUP($A480,My_Audit!$A:$A,My_Audit!F:F,""),
_xlfn.IFS(_xlpm.MyAuditVal&lt;&gt;"",_xlpm.MyAuditVal,_xlpm.MacVal&lt;&gt;"",_xlpm.MacVal,_xlpm.CSVVal&lt;&gt;"",PROPER(_xlpm.CSVVal)
)),"")</f>
        <v/>
      </c>
      <c r="H480" s="40" t="str" cm="1">
        <f t="array" ref="H480">IFERROR(_xlfn.LET(
_xlpm.CSVVal,_xlfn.XLOOKUP($A480,CSV!$A:$A,CSV!H:H,""),
_xlpm.MacVal,_xlfn.XLOOKUP($A480,Output_Mac!$A:$A,Output_Mac!H:H,""),
_xlpm.MyAuditVal,_xlfn.XLOOKUP($A480,My_Audit!$A:$A,My_Audit!G:G,""),
_xlfn.IFS(_xlpm.MyAuditVal&lt;&gt;"",_xlpm.MyAuditVal,_xlpm.MacVal&lt;&gt;"",_xlpm.MacVal,_xlpm.CSVVal&lt;&gt;"",_xlpm.CSVVal
)),"")</f>
        <v/>
      </c>
      <c r="I480" s="40" t="str">
        <f>_xlfn.XLOOKUP(A480,Output_Mac!A:A,Output_Mac!I:I,"")</f>
        <v/>
      </c>
      <c r="J480" s="40" t="str" cm="1">
        <f t="array" ref="J480">IFERROR(_xlfn.LET(
_xlpm.CSVVal,_xlfn.XLOOKUP($A480,CSV!$A:$A,CSV!I:I,""),
_xlpm.MacVal,_xlfn.XLOOKUP($A480,Output_Mac!$A:$A,Output_Mac!J:J,""),
_xlpm.MyAuditVal,_xlfn.XLOOKUP($A480,My_Audit!$A:$A,My_Audit!I:I,""),
_xlfn.IFS(_xlpm.MyAuditVal&lt;&gt;"",UPPER(_xlpm.MyAuditVal),_xlpm.MacVal&lt;&gt;"",_xlpm.MacVal,_xlpm.CSVVal&lt;&gt;"",_xlpm.CSVVal
)),"")</f>
        <v/>
      </c>
      <c r="K480" s="40" t="str" cm="1">
        <f t="array" ref="K480">IFERROR(_xlfn.LET(
_xlpm.CSVVal,_xlfn.XLOOKUP($A480,CSV!$A:$A,CSV!K:K,""),
_xlpm.MacVal,_xlfn.XLOOKUP($A480,Output_Mac!$A:$A,Output_Mac!K:K,""),
_xlpm.MyAuditVal,_xlfn.XLOOKUP($A480,My_Audit!$A:$A,My_Audit!J:J,""),
_xlfn.IFS(_xlpm.MyAuditVal&lt;&gt;"",UPPER(_xlpm.MyAuditVal),_xlpm.MacVal&lt;&gt;"",_xlpm.MacVal,_xlpm.CSVVal&lt;&gt;"",_xlpm.CSVVal
)),"")</f>
        <v/>
      </c>
      <c r="L480" s="40" t="str" cm="1">
        <f t="array" ref="L480">IFERROR(_xlfn.LET(
_xlpm.CSVVal,_xlfn.XLOOKUP($A480,CSV!$A:$A,CSV!P:P,""),
_xlpm.MacVal,_xlfn.XLOOKUP($A480,Output_Mac!$A:$A,Output_Mac!L:L,""),
_xlpm.MyAuditVal,_xlfn.XLOOKUP($A480,My_Audit!$A:$A,My_Audit!K:K,""),
_xlfn.IFS(_xlpm.MyAuditVal&lt;&gt;"",UPPER(_xlpm.MyAuditVal),_xlpm.MacVal&lt;&gt;"",_xlpm.MacVal,_xlpm.CSVVal&lt;&gt;"",_xlpm.CSVVal
)),"")</f>
        <v/>
      </c>
      <c r="M480" s="40" t="str" cm="1">
        <f t="array" ref="M480">IFERROR(_xlfn.LET(
_xlpm.CSVVal,_xlfn.XLOOKUP($A480,CSV!$A:$A,CSV!Q:Q,""),
_xlpm.MacVal,_xlfn.XLOOKUP($A480,Output_Mac!$A:$A,Output_Mac!M:M,""),
_xlpm.MyAuditVal,_xlfn.XLOOKUP($A480,My_Audit!$A:$A,My_Audit!L:L,""),
_xlfn.IFS(_xlpm.MyAuditVal&lt;&gt;"",UPPER(_xlpm.MyAuditVal),_xlpm.MacVal&lt;&gt;"",_xlpm.MacVal,_xlpm.CSVVal&lt;&gt;"",_xlpm.CSVVal
)),"")</f>
        <v/>
      </c>
      <c r="N480" s="40"/>
      <c r="O480" s="40" t="str">
        <f>_xlfn.LET(
    _xlpm.CSVVal, _xlfn.XLOOKUP($A480, CSV!$A:$A, CSV!AA:AA, ""),
    _xlpm.MacVal, _xlfn.XLOOKUP($A480, Output_Mac!$A:$A, Output_Mac!S:S, ""),
    _xlpm.MyAuditVal, _xlfn.XLOOKUP($A480, My_Audit!$A:$A, My_Audit!P:P, ""),
    _xlfn.TEXTJOIN(", ", TRUE, _xlpm.MyAuditVal, _xlpm.MacVal, _xlpm.CSVVal)
)</f>
        <v/>
      </c>
      <c r="P480" s="40" t="str" cm="1">
        <f t="array" ref="P480">IFERROR(_xlfn.LET(
_xlpm.CSVVal,_xlfn.XLOOKUP($A480,CSV!$A:$A,CSV!AB:AB,""),
_xlpm.MacVal,_xlfn.XLOOKUP($A480,Output_Mac!$A:$A,Output_Mac!T:T,""),
_xlpm.MyAuditVal,_xlfn.XLOOKUP($A480,My_Audit!$A:$A,My_Audit!Q:Q,""),
_xlfn.IFS(_xlpm.MyAuditVal&lt;&gt;"",UPPER(_xlpm.MyAuditVal),_xlpm.MacVal&lt;&gt;"",_xlpm.MacVal,_xlpm.CSVVal&lt;&gt;"",_xlpm.CSVVal
)),"No")</f>
        <v>No</v>
      </c>
      <c r="Q480" s="40" t="str" cm="1">
        <f t="array" ref="Q480">IFERROR(_xlfn.LET(
_xlpm.CSVVal,_xlfn.XLOOKUP($A480,CSV!$A:$A,CSV!AC:AC,""),
_xlpm.MacVal,_xlfn.XLOOKUP($A480,Output_Mac!$A:$A,Output_Mac!U:U,""),
_xlpm.MyAuditVal,_xlfn.XLOOKUP($A480,My_Audit!$A:$A,My_Audit!R:R,""),
_xlfn.IFS(_xlpm.MyAuditVal&lt;&gt;"",UPPER(_xlpm.MyAuditVal),_xlpm.MacVal&lt;&gt;"",_xlpm.MacVal,_xlpm.CSVVal&lt;&gt;"",_xlpm.CSVVal
)),"")</f>
        <v/>
      </c>
      <c r="R480" s="40"/>
      <c r="S480" s="40"/>
      <c r="T480" s="40"/>
      <c r="U480" s="40"/>
      <c r="V480" s="40"/>
      <c r="W480" s="40"/>
      <c r="X480" s="41" t="str">
        <f>_xlfn.LET(
    _xlpm.MacVal, _xlfn.XLOOKUP($A480, Output_Mac!$A:$A, Output_Mac!AB:AB, ""),
    _xlpm.MyAuditVal, _xlfn.XLOOKUP($A480, My_Audit!$A:$A, My_Audit!N:N, ""),
    _xlfn.TEXTJOIN(", ", TRUE, _xlpm.MyAuditVal, _xlpm.MacVal)
)</f>
        <v/>
      </c>
    </row>
    <row r="481" spans="1:24">
      <c r="A481" s="40" t="str">
        <f>_xlfn.TEXTJOIN("",TRUE,Input!$B$2,ROW(My_Audit!A480))</f>
        <v>X480</v>
      </c>
      <c r="B481" s="40" t="str">
        <f>_xlfn.TEXTJOIN("-",TRUE,"ITD",Input!$A$2,A481)</f>
        <v>ITD-X480</v>
      </c>
      <c r="C481" s="40" t="str" cm="1">
        <f t="array" ref="C481">IFERROR(_xlfn.LET(
_xlpm.CSVVal,_xlfn.XLOOKUP($A481,CSV!$A:$A,CSV!B:B,""),
_xlpm.MacVal,_xlfn.XLOOKUP($A481,Output_Mac!$A:$A,Output_Mac!B:B,""),
_xlpm.MyAuditVal,_xlfn.XLOOKUP($A481,My_Audit!$A:$A,My_Audit!B:B,""),
_xlfn.IFS(_xlpm.MyAuditVal&lt;&gt;"",UPPER(_xlpm.MyAuditVal),_xlpm.MacVal&lt;&gt;"",_xlpm.MacVal,_xlpm.CSVVal&lt;&gt;"",_xlpm.CSVVal
)),"")</f>
        <v/>
      </c>
      <c r="D481" s="40" t="str" cm="1">
        <f t="array" ref="D481">IFERROR(_xlfn.LET(
_xlpm.CSVVal,_xlfn.XLOOKUP($A481,CSV!$A:$A,CSV!D:D,""),
_xlpm.MacVal,_xlfn.XLOOKUP($A481,Output_Mac!$A:$A,Output_Mac!C:C,""),
_xlpm.MyAuditVal,_xlfn.XLOOKUP($A481,My_Audit!$A:$A,My_Audit!C:C,""),
_xlfn.IFS(_xlpm.MyAuditVal&lt;&gt;"",_xlpm.MyAuditVal,_xlpm.MacVal&lt;&gt;"",_xlpm.MacVal,_xlpm.CSVVal&lt;&gt;"",_xlpm.CSVVal
)),"")</f>
        <v/>
      </c>
      <c r="E481" s="40" t="str">
        <f>_xlfn.XLOOKUP(A481,My_Audit!A:A,My_Audit!D:D,"")</f>
        <v/>
      </c>
      <c r="F481" s="40" t="str" cm="1">
        <f t="array" ref="F481">IFERROR(_xlfn.LET(
_xlpm.CSVVal,_xlfn.XLOOKUP($A481,CSV!$A:$A,CSV!F:F,""),
_xlpm.MacVal,_xlfn.XLOOKUP($A481,Output_Mac!$A:$A,Output_Mac!E:E,""),
_xlpm.MyAuditVal,_xlfn.XLOOKUP($A481,My_Audit!$A:$A,My_Audit!E:E,""),
_xlfn.IFS(_xlpm.MyAuditVal&lt;&gt;"",_xlpm.MyAuditVal,_xlpm.MacVal&lt;&gt;"",_xlpm.MacVal,_xlpm.CSVVal&lt;&gt;"",_xlpm.CSVVal
)),"")</f>
        <v/>
      </c>
      <c r="G481" s="40" t="str" cm="1">
        <f t="array" ref="G481">IFERROR(_xlfn.LET(
_xlpm.CSVVal,_xlfn.XLOOKUP($A481,CSV!$A:$A,CSV!G:G,""),
_xlpm.MacVal,_xlfn.XLOOKUP($A481,Output_Mac!$A:$A,Output_Mac!F:F,""),
_xlpm.MyAuditVal,_xlfn.XLOOKUP($A481,My_Audit!$A:$A,My_Audit!F:F,""),
_xlfn.IFS(_xlpm.MyAuditVal&lt;&gt;"",_xlpm.MyAuditVal,_xlpm.MacVal&lt;&gt;"",_xlpm.MacVal,_xlpm.CSVVal&lt;&gt;"",PROPER(_xlpm.CSVVal)
)),"")</f>
        <v/>
      </c>
      <c r="H481" s="40" t="str" cm="1">
        <f t="array" ref="H481">IFERROR(_xlfn.LET(
_xlpm.CSVVal,_xlfn.XLOOKUP($A481,CSV!$A:$A,CSV!H:H,""),
_xlpm.MacVal,_xlfn.XLOOKUP($A481,Output_Mac!$A:$A,Output_Mac!H:H,""),
_xlpm.MyAuditVal,_xlfn.XLOOKUP($A481,My_Audit!$A:$A,My_Audit!G:G,""),
_xlfn.IFS(_xlpm.MyAuditVal&lt;&gt;"",_xlpm.MyAuditVal,_xlpm.MacVal&lt;&gt;"",_xlpm.MacVal,_xlpm.CSVVal&lt;&gt;"",_xlpm.CSVVal
)),"")</f>
        <v/>
      </c>
      <c r="I481" s="40" t="str">
        <f>_xlfn.XLOOKUP(A481,Output_Mac!A:A,Output_Mac!I:I,"")</f>
        <v/>
      </c>
      <c r="J481" s="40" t="str" cm="1">
        <f t="array" ref="J481">IFERROR(_xlfn.LET(
_xlpm.CSVVal,_xlfn.XLOOKUP($A481,CSV!$A:$A,CSV!I:I,""),
_xlpm.MacVal,_xlfn.XLOOKUP($A481,Output_Mac!$A:$A,Output_Mac!J:J,""),
_xlpm.MyAuditVal,_xlfn.XLOOKUP($A481,My_Audit!$A:$A,My_Audit!I:I,""),
_xlfn.IFS(_xlpm.MyAuditVal&lt;&gt;"",UPPER(_xlpm.MyAuditVal),_xlpm.MacVal&lt;&gt;"",_xlpm.MacVal,_xlpm.CSVVal&lt;&gt;"",_xlpm.CSVVal
)),"")</f>
        <v/>
      </c>
      <c r="K481" s="40" t="str" cm="1">
        <f t="array" ref="K481">IFERROR(_xlfn.LET(
_xlpm.CSVVal,_xlfn.XLOOKUP($A481,CSV!$A:$A,CSV!K:K,""),
_xlpm.MacVal,_xlfn.XLOOKUP($A481,Output_Mac!$A:$A,Output_Mac!K:K,""),
_xlpm.MyAuditVal,_xlfn.XLOOKUP($A481,My_Audit!$A:$A,My_Audit!J:J,""),
_xlfn.IFS(_xlpm.MyAuditVal&lt;&gt;"",UPPER(_xlpm.MyAuditVal),_xlpm.MacVal&lt;&gt;"",_xlpm.MacVal,_xlpm.CSVVal&lt;&gt;"",_xlpm.CSVVal
)),"")</f>
        <v/>
      </c>
      <c r="L481" s="40" t="str" cm="1">
        <f t="array" ref="L481">IFERROR(_xlfn.LET(
_xlpm.CSVVal,_xlfn.XLOOKUP($A481,CSV!$A:$A,CSV!P:P,""),
_xlpm.MacVal,_xlfn.XLOOKUP($A481,Output_Mac!$A:$A,Output_Mac!L:L,""),
_xlpm.MyAuditVal,_xlfn.XLOOKUP($A481,My_Audit!$A:$A,My_Audit!K:K,""),
_xlfn.IFS(_xlpm.MyAuditVal&lt;&gt;"",UPPER(_xlpm.MyAuditVal),_xlpm.MacVal&lt;&gt;"",_xlpm.MacVal,_xlpm.CSVVal&lt;&gt;"",_xlpm.CSVVal
)),"")</f>
        <v/>
      </c>
      <c r="M481" s="40" t="str" cm="1">
        <f t="array" ref="M481">IFERROR(_xlfn.LET(
_xlpm.CSVVal,_xlfn.XLOOKUP($A481,CSV!$A:$A,CSV!Q:Q,""),
_xlpm.MacVal,_xlfn.XLOOKUP($A481,Output_Mac!$A:$A,Output_Mac!M:M,""),
_xlpm.MyAuditVal,_xlfn.XLOOKUP($A481,My_Audit!$A:$A,My_Audit!L:L,""),
_xlfn.IFS(_xlpm.MyAuditVal&lt;&gt;"",UPPER(_xlpm.MyAuditVal),_xlpm.MacVal&lt;&gt;"",_xlpm.MacVal,_xlpm.CSVVal&lt;&gt;"",_xlpm.CSVVal
)),"")</f>
        <v/>
      </c>
      <c r="N481" s="40"/>
      <c r="O481" s="40" t="str">
        <f>_xlfn.LET(
    _xlpm.CSVVal, _xlfn.XLOOKUP($A481, CSV!$A:$A, CSV!AA:AA, ""),
    _xlpm.MacVal, _xlfn.XLOOKUP($A481, Output_Mac!$A:$A, Output_Mac!S:S, ""),
    _xlpm.MyAuditVal, _xlfn.XLOOKUP($A481, My_Audit!$A:$A, My_Audit!P:P, ""),
    _xlfn.TEXTJOIN(", ", TRUE, _xlpm.MyAuditVal, _xlpm.MacVal, _xlpm.CSVVal)
)</f>
        <v/>
      </c>
      <c r="P481" s="40" t="str" cm="1">
        <f t="array" ref="P481">IFERROR(_xlfn.LET(
_xlpm.CSVVal,_xlfn.XLOOKUP($A481,CSV!$A:$A,CSV!AB:AB,""),
_xlpm.MacVal,_xlfn.XLOOKUP($A481,Output_Mac!$A:$A,Output_Mac!T:T,""),
_xlpm.MyAuditVal,_xlfn.XLOOKUP($A481,My_Audit!$A:$A,My_Audit!Q:Q,""),
_xlfn.IFS(_xlpm.MyAuditVal&lt;&gt;"",UPPER(_xlpm.MyAuditVal),_xlpm.MacVal&lt;&gt;"",_xlpm.MacVal,_xlpm.CSVVal&lt;&gt;"",_xlpm.CSVVal
)),"No")</f>
        <v>No</v>
      </c>
      <c r="Q481" s="40" t="str" cm="1">
        <f t="array" ref="Q481">IFERROR(_xlfn.LET(
_xlpm.CSVVal,_xlfn.XLOOKUP($A481,CSV!$A:$A,CSV!AC:AC,""),
_xlpm.MacVal,_xlfn.XLOOKUP($A481,Output_Mac!$A:$A,Output_Mac!U:U,""),
_xlpm.MyAuditVal,_xlfn.XLOOKUP($A481,My_Audit!$A:$A,My_Audit!R:R,""),
_xlfn.IFS(_xlpm.MyAuditVal&lt;&gt;"",UPPER(_xlpm.MyAuditVal),_xlpm.MacVal&lt;&gt;"",_xlpm.MacVal,_xlpm.CSVVal&lt;&gt;"",_xlpm.CSVVal
)),"")</f>
        <v/>
      </c>
      <c r="R481" s="40"/>
      <c r="S481" s="40"/>
      <c r="T481" s="40"/>
      <c r="U481" s="40"/>
      <c r="V481" s="40"/>
      <c r="W481" s="40"/>
      <c r="X481" s="41" t="str">
        <f>_xlfn.LET(
    _xlpm.MacVal, _xlfn.XLOOKUP($A481, Output_Mac!$A:$A, Output_Mac!AB:AB, ""),
    _xlpm.MyAuditVal, _xlfn.XLOOKUP($A481, My_Audit!$A:$A, My_Audit!N:N, ""),
    _xlfn.TEXTJOIN(", ", TRUE, _xlpm.MyAuditVal, _xlpm.MacVal)
)</f>
        <v/>
      </c>
    </row>
    <row r="482" spans="1:24">
      <c r="A482" s="40" t="str">
        <f>_xlfn.TEXTJOIN("",TRUE,Input!$B$2,ROW(My_Audit!A481))</f>
        <v>X481</v>
      </c>
      <c r="B482" s="40" t="str">
        <f>_xlfn.TEXTJOIN("-",TRUE,"ITD",Input!$A$2,A482)</f>
        <v>ITD-X481</v>
      </c>
      <c r="C482" s="40" t="str" cm="1">
        <f t="array" ref="C482">IFERROR(_xlfn.LET(
_xlpm.CSVVal,_xlfn.XLOOKUP($A482,CSV!$A:$A,CSV!B:B,""),
_xlpm.MacVal,_xlfn.XLOOKUP($A482,Output_Mac!$A:$A,Output_Mac!B:B,""),
_xlpm.MyAuditVal,_xlfn.XLOOKUP($A482,My_Audit!$A:$A,My_Audit!B:B,""),
_xlfn.IFS(_xlpm.MyAuditVal&lt;&gt;"",UPPER(_xlpm.MyAuditVal),_xlpm.MacVal&lt;&gt;"",_xlpm.MacVal,_xlpm.CSVVal&lt;&gt;"",_xlpm.CSVVal
)),"")</f>
        <v/>
      </c>
      <c r="D482" s="40" t="str" cm="1">
        <f t="array" ref="D482">IFERROR(_xlfn.LET(
_xlpm.CSVVal,_xlfn.XLOOKUP($A482,CSV!$A:$A,CSV!D:D,""),
_xlpm.MacVal,_xlfn.XLOOKUP($A482,Output_Mac!$A:$A,Output_Mac!C:C,""),
_xlpm.MyAuditVal,_xlfn.XLOOKUP($A482,My_Audit!$A:$A,My_Audit!C:C,""),
_xlfn.IFS(_xlpm.MyAuditVal&lt;&gt;"",_xlpm.MyAuditVal,_xlpm.MacVal&lt;&gt;"",_xlpm.MacVal,_xlpm.CSVVal&lt;&gt;"",_xlpm.CSVVal
)),"")</f>
        <v/>
      </c>
      <c r="E482" s="40" t="str">
        <f>_xlfn.XLOOKUP(A482,My_Audit!A:A,My_Audit!D:D,"")</f>
        <v/>
      </c>
      <c r="F482" s="40" t="str" cm="1">
        <f t="array" ref="F482">IFERROR(_xlfn.LET(
_xlpm.CSVVal,_xlfn.XLOOKUP($A482,CSV!$A:$A,CSV!F:F,""),
_xlpm.MacVal,_xlfn.XLOOKUP($A482,Output_Mac!$A:$A,Output_Mac!E:E,""),
_xlpm.MyAuditVal,_xlfn.XLOOKUP($A482,My_Audit!$A:$A,My_Audit!E:E,""),
_xlfn.IFS(_xlpm.MyAuditVal&lt;&gt;"",_xlpm.MyAuditVal,_xlpm.MacVal&lt;&gt;"",_xlpm.MacVal,_xlpm.CSVVal&lt;&gt;"",_xlpm.CSVVal
)),"")</f>
        <v/>
      </c>
      <c r="G482" s="40" t="str" cm="1">
        <f t="array" ref="G482">IFERROR(_xlfn.LET(
_xlpm.CSVVal,_xlfn.XLOOKUP($A482,CSV!$A:$A,CSV!G:G,""),
_xlpm.MacVal,_xlfn.XLOOKUP($A482,Output_Mac!$A:$A,Output_Mac!F:F,""),
_xlpm.MyAuditVal,_xlfn.XLOOKUP($A482,My_Audit!$A:$A,My_Audit!F:F,""),
_xlfn.IFS(_xlpm.MyAuditVal&lt;&gt;"",_xlpm.MyAuditVal,_xlpm.MacVal&lt;&gt;"",_xlpm.MacVal,_xlpm.CSVVal&lt;&gt;"",PROPER(_xlpm.CSVVal)
)),"")</f>
        <v/>
      </c>
      <c r="H482" s="40" t="str" cm="1">
        <f t="array" ref="H482">IFERROR(_xlfn.LET(
_xlpm.CSVVal,_xlfn.XLOOKUP($A482,CSV!$A:$A,CSV!H:H,""),
_xlpm.MacVal,_xlfn.XLOOKUP($A482,Output_Mac!$A:$A,Output_Mac!H:H,""),
_xlpm.MyAuditVal,_xlfn.XLOOKUP($A482,My_Audit!$A:$A,My_Audit!G:G,""),
_xlfn.IFS(_xlpm.MyAuditVal&lt;&gt;"",_xlpm.MyAuditVal,_xlpm.MacVal&lt;&gt;"",_xlpm.MacVal,_xlpm.CSVVal&lt;&gt;"",_xlpm.CSVVal
)),"")</f>
        <v/>
      </c>
      <c r="I482" s="40" t="str">
        <f>_xlfn.XLOOKUP(A482,Output_Mac!A:A,Output_Mac!I:I,"")</f>
        <v/>
      </c>
      <c r="J482" s="40" t="str" cm="1">
        <f t="array" ref="J482">IFERROR(_xlfn.LET(
_xlpm.CSVVal,_xlfn.XLOOKUP($A482,CSV!$A:$A,CSV!I:I,""),
_xlpm.MacVal,_xlfn.XLOOKUP($A482,Output_Mac!$A:$A,Output_Mac!J:J,""),
_xlpm.MyAuditVal,_xlfn.XLOOKUP($A482,My_Audit!$A:$A,My_Audit!I:I,""),
_xlfn.IFS(_xlpm.MyAuditVal&lt;&gt;"",UPPER(_xlpm.MyAuditVal),_xlpm.MacVal&lt;&gt;"",_xlpm.MacVal,_xlpm.CSVVal&lt;&gt;"",_xlpm.CSVVal
)),"")</f>
        <v/>
      </c>
      <c r="K482" s="40" t="str" cm="1">
        <f t="array" ref="K482">IFERROR(_xlfn.LET(
_xlpm.CSVVal,_xlfn.XLOOKUP($A482,CSV!$A:$A,CSV!K:K,""),
_xlpm.MacVal,_xlfn.XLOOKUP($A482,Output_Mac!$A:$A,Output_Mac!K:K,""),
_xlpm.MyAuditVal,_xlfn.XLOOKUP($A482,My_Audit!$A:$A,My_Audit!J:J,""),
_xlfn.IFS(_xlpm.MyAuditVal&lt;&gt;"",UPPER(_xlpm.MyAuditVal),_xlpm.MacVal&lt;&gt;"",_xlpm.MacVal,_xlpm.CSVVal&lt;&gt;"",_xlpm.CSVVal
)),"")</f>
        <v/>
      </c>
      <c r="L482" s="40" t="str" cm="1">
        <f t="array" ref="L482">IFERROR(_xlfn.LET(
_xlpm.CSVVal,_xlfn.XLOOKUP($A482,CSV!$A:$A,CSV!P:P,""),
_xlpm.MacVal,_xlfn.XLOOKUP($A482,Output_Mac!$A:$A,Output_Mac!L:L,""),
_xlpm.MyAuditVal,_xlfn.XLOOKUP($A482,My_Audit!$A:$A,My_Audit!K:K,""),
_xlfn.IFS(_xlpm.MyAuditVal&lt;&gt;"",UPPER(_xlpm.MyAuditVal),_xlpm.MacVal&lt;&gt;"",_xlpm.MacVal,_xlpm.CSVVal&lt;&gt;"",_xlpm.CSVVal
)),"")</f>
        <v/>
      </c>
      <c r="M482" s="40" t="str" cm="1">
        <f t="array" ref="M482">IFERROR(_xlfn.LET(
_xlpm.CSVVal,_xlfn.XLOOKUP($A482,CSV!$A:$A,CSV!Q:Q,""),
_xlpm.MacVal,_xlfn.XLOOKUP($A482,Output_Mac!$A:$A,Output_Mac!M:M,""),
_xlpm.MyAuditVal,_xlfn.XLOOKUP($A482,My_Audit!$A:$A,My_Audit!L:L,""),
_xlfn.IFS(_xlpm.MyAuditVal&lt;&gt;"",UPPER(_xlpm.MyAuditVal),_xlpm.MacVal&lt;&gt;"",_xlpm.MacVal,_xlpm.CSVVal&lt;&gt;"",_xlpm.CSVVal
)),"")</f>
        <v/>
      </c>
      <c r="N482" s="40"/>
      <c r="O482" s="40" t="str">
        <f>_xlfn.LET(
    _xlpm.CSVVal, _xlfn.XLOOKUP($A482, CSV!$A:$A, CSV!AA:AA, ""),
    _xlpm.MacVal, _xlfn.XLOOKUP($A482, Output_Mac!$A:$A, Output_Mac!S:S, ""),
    _xlpm.MyAuditVal, _xlfn.XLOOKUP($A482, My_Audit!$A:$A, My_Audit!P:P, ""),
    _xlfn.TEXTJOIN(", ", TRUE, _xlpm.MyAuditVal, _xlpm.MacVal, _xlpm.CSVVal)
)</f>
        <v/>
      </c>
      <c r="P482" s="40" t="str" cm="1">
        <f t="array" ref="P482">IFERROR(_xlfn.LET(
_xlpm.CSVVal,_xlfn.XLOOKUP($A482,CSV!$A:$A,CSV!AB:AB,""),
_xlpm.MacVal,_xlfn.XLOOKUP($A482,Output_Mac!$A:$A,Output_Mac!T:T,""),
_xlpm.MyAuditVal,_xlfn.XLOOKUP($A482,My_Audit!$A:$A,My_Audit!Q:Q,""),
_xlfn.IFS(_xlpm.MyAuditVal&lt;&gt;"",UPPER(_xlpm.MyAuditVal),_xlpm.MacVal&lt;&gt;"",_xlpm.MacVal,_xlpm.CSVVal&lt;&gt;"",_xlpm.CSVVal
)),"No")</f>
        <v>No</v>
      </c>
      <c r="Q482" s="40" t="str" cm="1">
        <f t="array" ref="Q482">IFERROR(_xlfn.LET(
_xlpm.CSVVal,_xlfn.XLOOKUP($A482,CSV!$A:$A,CSV!AC:AC,""),
_xlpm.MacVal,_xlfn.XLOOKUP($A482,Output_Mac!$A:$A,Output_Mac!U:U,""),
_xlpm.MyAuditVal,_xlfn.XLOOKUP($A482,My_Audit!$A:$A,My_Audit!R:R,""),
_xlfn.IFS(_xlpm.MyAuditVal&lt;&gt;"",UPPER(_xlpm.MyAuditVal),_xlpm.MacVal&lt;&gt;"",_xlpm.MacVal,_xlpm.CSVVal&lt;&gt;"",_xlpm.CSVVal
)),"")</f>
        <v/>
      </c>
      <c r="R482" s="40"/>
      <c r="S482" s="40"/>
      <c r="T482" s="40"/>
      <c r="U482" s="40"/>
      <c r="V482" s="40"/>
      <c r="W482" s="40"/>
      <c r="X482" s="41" t="str">
        <f>_xlfn.LET(
    _xlpm.MacVal, _xlfn.XLOOKUP($A482, Output_Mac!$A:$A, Output_Mac!AB:AB, ""),
    _xlpm.MyAuditVal, _xlfn.XLOOKUP($A482, My_Audit!$A:$A, My_Audit!N:N, ""),
    _xlfn.TEXTJOIN(", ", TRUE, _xlpm.MyAuditVal, _xlpm.MacVal)
)</f>
        <v/>
      </c>
    </row>
    <row r="483" spans="1:24">
      <c r="A483" s="40" t="str">
        <f>_xlfn.TEXTJOIN("",TRUE,Input!$B$2,ROW(My_Audit!A482))</f>
        <v>X482</v>
      </c>
      <c r="B483" s="40" t="str">
        <f>_xlfn.TEXTJOIN("-",TRUE,"ITD",Input!$A$2,A483)</f>
        <v>ITD-X482</v>
      </c>
      <c r="C483" s="40" t="str" cm="1">
        <f t="array" ref="C483">IFERROR(_xlfn.LET(
_xlpm.CSVVal,_xlfn.XLOOKUP($A483,CSV!$A:$A,CSV!B:B,""),
_xlpm.MacVal,_xlfn.XLOOKUP($A483,Output_Mac!$A:$A,Output_Mac!B:B,""),
_xlpm.MyAuditVal,_xlfn.XLOOKUP($A483,My_Audit!$A:$A,My_Audit!B:B,""),
_xlfn.IFS(_xlpm.MyAuditVal&lt;&gt;"",UPPER(_xlpm.MyAuditVal),_xlpm.MacVal&lt;&gt;"",_xlpm.MacVal,_xlpm.CSVVal&lt;&gt;"",_xlpm.CSVVal
)),"")</f>
        <v/>
      </c>
      <c r="D483" s="40" t="str" cm="1">
        <f t="array" ref="D483">IFERROR(_xlfn.LET(
_xlpm.CSVVal,_xlfn.XLOOKUP($A483,CSV!$A:$A,CSV!D:D,""),
_xlpm.MacVal,_xlfn.XLOOKUP($A483,Output_Mac!$A:$A,Output_Mac!C:C,""),
_xlpm.MyAuditVal,_xlfn.XLOOKUP($A483,My_Audit!$A:$A,My_Audit!C:C,""),
_xlfn.IFS(_xlpm.MyAuditVal&lt;&gt;"",_xlpm.MyAuditVal,_xlpm.MacVal&lt;&gt;"",_xlpm.MacVal,_xlpm.CSVVal&lt;&gt;"",_xlpm.CSVVal
)),"")</f>
        <v/>
      </c>
      <c r="E483" s="40" t="str">
        <f>_xlfn.XLOOKUP(A483,My_Audit!A:A,My_Audit!D:D,"")</f>
        <v/>
      </c>
      <c r="F483" s="40" t="str" cm="1">
        <f t="array" ref="F483">IFERROR(_xlfn.LET(
_xlpm.CSVVal,_xlfn.XLOOKUP($A483,CSV!$A:$A,CSV!F:F,""),
_xlpm.MacVal,_xlfn.XLOOKUP($A483,Output_Mac!$A:$A,Output_Mac!E:E,""),
_xlpm.MyAuditVal,_xlfn.XLOOKUP($A483,My_Audit!$A:$A,My_Audit!E:E,""),
_xlfn.IFS(_xlpm.MyAuditVal&lt;&gt;"",_xlpm.MyAuditVal,_xlpm.MacVal&lt;&gt;"",_xlpm.MacVal,_xlpm.CSVVal&lt;&gt;"",_xlpm.CSVVal
)),"")</f>
        <v/>
      </c>
      <c r="G483" s="40" t="str" cm="1">
        <f t="array" ref="G483">IFERROR(_xlfn.LET(
_xlpm.CSVVal,_xlfn.XLOOKUP($A483,CSV!$A:$A,CSV!G:G,""),
_xlpm.MacVal,_xlfn.XLOOKUP($A483,Output_Mac!$A:$A,Output_Mac!F:F,""),
_xlpm.MyAuditVal,_xlfn.XLOOKUP($A483,My_Audit!$A:$A,My_Audit!F:F,""),
_xlfn.IFS(_xlpm.MyAuditVal&lt;&gt;"",_xlpm.MyAuditVal,_xlpm.MacVal&lt;&gt;"",_xlpm.MacVal,_xlpm.CSVVal&lt;&gt;"",PROPER(_xlpm.CSVVal)
)),"")</f>
        <v/>
      </c>
      <c r="H483" s="40" t="str" cm="1">
        <f t="array" ref="H483">IFERROR(_xlfn.LET(
_xlpm.CSVVal,_xlfn.XLOOKUP($A483,CSV!$A:$A,CSV!H:H,""),
_xlpm.MacVal,_xlfn.XLOOKUP($A483,Output_Mac!$A:$A,Output_Mac!H:H,""),
_xlpm.MyAuditVal,_xlfn.XLOOKUP($A483,My_Audit!$A:$A,My_Audit!G:G,""),
_xlfn.IFS(_xlpm.MyAuditVal&lt;&gt;"",_xlpm.MyAuditVal,_xlpm.MacVal&lt;&gt;"",_xlpm.MacVal,_xlpm.CSVVal&lt;&gt;"",_xlpm.CSVVal
)),"")</f>
        <v/>
      </c>
      <c r="I483" s="40" t="str">
        <f>_xlfn.XLOOKUP(A483,Output_Mac!A:A,Output_Mac!I:I,"")</f>
        <v/>
      </c>
      <c r="J483" s="40" t="str" cm="1">
        <f t="array" ref="J483">IFERROR(_xlfn.LET(
_xlpm.CSVVal,_xlfn.XLOOKUP($A483,CSV!$A:$A,CSV!I:I,""),
_xlpm.MacVal,_xlfn.XLOOKUP($A483,Output_Mac!$A:$A,Output_Mac!J:J,""),
_xlpm.MyAuditVal,_xlfn.XLOOKUP($A483,My_Audit!$A:$A,My_Audit!I:I,""),
_xlfn.IFS(_xlpm.MyAuditVal&lt;&gt;"",UPPER(_xlpm.MyAuditVal),_xlpm.MacVal&lt;&gt;"",_xlpm.MacVal,_xlpm.CSVVal&lt;&gt;"",_xlpm.CSVVal
)),"")</f>
        <v/>
      </c>
      <c r="K483" s="40" t="str" cm="1">
        <f t="array" ref="K483">IFERROR(_xlfn.LET(
_xlpm.CSVVal,_xlfn.XLOOKUP($A483,CSV!$A:$A,CSV!K:K,""),
_xlpm.MacVal,_xlfn.XLOOKUP($A483,Output_Mac!$A:$A,Output_Mac!K:K,""),
_xlpm.MyAuditVal,_xlfn.XLOOKUP($A483,My_Audit!$A:$A,My_Audit!J:J,""),
_xlfn.IFS(_xlpm.MyAuditVal&lt;&gt;"",UPPER(_xlpm.MyAuditVal),_xlpm.MacVal&lt;&gt;"",_xlpm.MacVal,_xlpm.CSVVal&lt;&gt;"",_xlpm.CSVVal
)),"")</f>
        <v/>
      </c>
      <c r="L483" s="40" t="str" cm="1">
        <f t="array" ref="L483">IFERROR(_xlfn.LET(
_xlpm.CSVVal,_xlfn.XLOOKUP($A483,CSV!$A:$A,CSV!P:P,""),
_xlpm.MacVal,_xlfn.XLOOKUP($A483,Output_Mac!$A:$A,Output_Mac!L:L,""),
_xlpm.MyAuditVal,_xlfn.XLOOKUP($A483,My_Audit!$A:$A,My_Audit!K:K,""),
_xlfn.IFS(_xlpm.MyAuditVal&lt;&gt;"",UPPER(_xlpm.MyAuditVal),_xlpm.MacVal&lt;&gt;"",_xlpm.MacVal,_xlpm.CSVVal&lt;&gt;"",_xlpm.CSVVal
)),"")</f>
        <v/>
      </c>
      <c r="M483" s="40" t="str" cm="1">
        <f t="array" ref="M483">IFERROR(_xlfn.LET(
_xlpm.CSVVal,_xlfn.XLOOKUP($A483,CSV!$A:$A,CSV!Q:Q,""),
_xlpm.MacVal,_xlfn.XLOOKUP($A483,Output_Mac!$A:$A,Output_Mac!M:M,""),
_xlpm.MyAuditVal,_xlfn.XLOOKUP($A483,My_Audit!$A:$A,My_Audit!L:L,""),
_xlfn.IFS(_xlpm.MyAuditVal&lt;&gt;"",UPPER(_xlpm.MyAuditVal),_xlpm.MacVal&lt;&gt;"",_xlpm.MacVal,_xlpm.CSVVal&lt;&gt;"",_xlpm.CSVVal
)),"")</f>
        <v/>
      </c>
      <c r="N483" s="40"/>
      <c r="O483" s="40" t="str">
        <f>_xlfn.LET(
    _xlpm.CSVVal, _xlfn.XLOOKUP($A483, CSV!$A:$A, CSV!AA:AA, ""),
    _xlpm.MacVal, _xlfn.XLOOKUP($A483, Output_Mac!$A:$A, Output_Mac!S:S, ""),
    _xlpm.MyAuditVal, _xlfn.XLOOKUP($A483, My_Audit!$A:$A, My_Audit!P:P, ""),
    _xlfn.TEXTJOIN(", ", TRUE, _xlpm.MyAuditVal, _xlpm.MacVal, _xlpm.CSVVal)
)</f>
        <v/>
      </c>
      <c r="P483" s="40" t="str" cm="1">
        <f t="array" ref="P483">IFERROR(_xlfn.LET(
_xlpm.CSVVal,_xlfn.XLOOKUP($A483,CSV!$A:$A,CSV!AB:AB,""),
_xlpm.MacVal,_xlfn.XLOOKUP($A483,Output_Mac!$A:$A,Output_Mac!T:T,""),
_xlpm.MyAuditVal,_xlfn.XLOOKUP($A483,My_Audit!$A:$A,My_Audit!Q:Q,""),
_xlfn.IFS(_xlpm.MyAuditVal&lt;&gt;"",UPPER(_xlpm.MyAuditVal),_xlpm.MacVal&lt;&gt;"",_xlpm.MacVal,_xlpm.CSVVal&lt;&gt;"",_xlpm.CSVVal
)),"No")</f>
        <v>No</v>
      </c>
      <c r="Q483" s="40" t="str" cm="1">
        <f t="array" ref="Q483">IFERROR(_xlfn.LET(
_xlpm.CSVVal,_xlfn.XLOOKUP($A483,CSV!$A:$A,CSV!AC:AC,""),
_xlpm.MacVal,_xlfn.XLOOKUP($A483,Output_Mac!$A:$A,Output_Mac!U:U,""),
_xlpm.MyAuditVal,_xlfn.XLOOKUP($A483,My_Audit!$A:$A,My_Audit!R:R,""),
_xlfn.IFS(_xlpm.MyAuditVal&lt;&gt;"",UPPER(_xlpm.MyAuditVal),_xlpm.MacVal&lt;&gt;"",_xlpm.MacVal,_xlpm.CSVVal&lt;&gt;"",_xlpm.CSVVal
)),"")</f>
        <v/>
      </c>
      <c r="R483" s="40"/>
      <c r="S483" s="40"/>
      <c r="T483" s="40"/>
      <c r="U483" s="40"/>
      <c r="V483" s="40"/>
      <c r="W483" s="40"/>
      <c r="X483" s="41" t="str">
        <f>_xlfn.LET(
    _xlpm.MacVal, _xlfn.XLOOKUP($A483, Output_Mac!$A:$A, Output_Mac!AB:AB, ""),
    _xlpm.MyAuditVal, _xlfn.XLOOKUP($A483, My_Audit!$A:$A, My_Audit!N:N, ""),
    _xlfn.TEXTJOIN(", ", TRUE, _xlpm.MyAuditVal, _xlpm.MacVal)
)</f>
        <v/>
      </c>
    </row>
    <row r="484" spans="1:24">
      <c r="A484" s="40" t="str">
        <f>_xlfn.TEXTJOIN("",TRUE,Input!$B$2,ROW(My_Audit!A483))</f>
        <v>X483</v>
      </c>
      <c r="B484" s="40" t="str">
        <f>_xlfn.TEXTJOIN("-",TRUE,"ITD",Input!$A$2,A484)</f>
        <v>ITD-X483</v>
      </c>
      <c r="C484" s="40" t="str" cm="1">
        <f t="array" ref="C484">IFERROR(_xlfn.LET(
_xlpm.CSVVal,_xlfn.XLOOKUP($A484,CSV!$A:$A,CSV!B:B,""),
_xlpm.MacVal,_xlfn.XLOOKUP($A484,Output_Mac!$A:$A,Output_Mac!B:B,""),
_xlpm.MyAuditVal,_xlfn.XLOOKUP($A484,My_Audit!$A:$A,My_Audit!B:B,""),
_xlfn.IFS(_xlpm.MyAuditVal&lt;&gt;"",UPPER(_xlpm.MyAuditVal),_xlpm.MacVal&lt;&gt;"",_xlpm.MacVal,_xlpm.CSVVal&lt;&gt;"",_xlpm.CSVVal
)),"")</f>
        <v/>
      </c>
      <c r="D484" s="40" t="str" cm="1">
        <f t="array" ref="D484">IFERROR(_xlfn.LET(
_xlpm.CSVVal,_xlfn.XLOOKUP($A484,CSV!$A:$A,CSV!D:D,""),
_xlpm.MacVal,_xlfn.XLOOKUP($A484,Output_Mac!$A:$A,Output_Mac!C:C,""),
_xlpm.MyAuditVal,_xlfn.XLOOKUP($A484,My_Audit!$A:$A,My_Audit!C:C,""),
_xlfn.IFS(_xlpm.MyAuditVal&lt;&gt;"",_xlpm.MyAuditVal,_xlpm.MacVal&lt;&gt;"",_xlpm.MacVal,_xlpm.CSVVal&lt;&gt;"",_xlpm.CSVVal
)),"")</f>
        <v/>
      </c>
      <c r="E484" s="40" t="str">
        <f>_xlfn.XLOOKUP(A484,My_Audit!A:A,My_Audit!D:D,"")</f>
        <v/>
      </c>
      <c r="F484" s="40" t="str" cm="1">
        <f t="array" ref="F484">IFERROR(_xlfn.LET(
_xlpm.CSVVal,_xlfn.XLOOKUP($A484,CSV!$A:$A,CSV!F:F,""),
_xlpm.MacVal,_xlfn.XLOOKUP($A484,Output_Mac!$A:$A,Output_Mac!E:E,""),
_xlpm.MyAuditVal,_xlfn.XLOOKUP($A484,My_Audit!$A:$A,My_Audit!E:E,""),
_xlfn.IFS(_xlpm.MyAuditVal&lt;&gt;"",_xlpm.MyAuditVal,_xlpm.MacVal&lt;&gt;"",_xlpm.MacVal,_xlpm.CSVVal&lt;&gt;"",_xlpm.CSVVal
)),"")</f>
        <v/>
      </c>
      <c r="G484" s="40" t="str" cm="1">
        <f t="array" ref="G484">IFERROR(_xlfn.LET(
_xlpm.CSVVal,_xlfn.XLOOKUP($A484,CSV!$A:$A,CSV!G:G,""),
_xlpm.MacVal,_xlfn.XLOOKUP($A484,Output_Mac!$A:$A,Output_Mac!F:F,""),
_xlpm.MyAuditVal,_xlfn.XLOOKUP($A484,My_Audit!$A:$A,My_Audit!F:F,""),
_xlfn.IFS(_xlpm.MyAuditVal&lt;&gt;"",_xlpm.MyAuditVal,_xlpm.MacVal&lt;&gt;"",_xlpm.MacVal,_xlpm.CSVVal&lt;&gt;"",PROPER(_xlpm.CSVVal)
)),"")</f>
        <v/>
      </c>
      <c r="H484" s="40" t="str" cm="1">
        <f t="array" ref="H484">IFERROR(_xlfn.LET(
_xlpm.CSVVal,_xlfn.XLOOKUP($A484,CSV!$A:$A,CSV!H:H,""),
_xlpm.MacVal,_xlfn.XLOOKUP($A484,Output_Mac!$A:$A,Output_Mac!H:H,""),
_xlpm.MyAuditVal,_xlfn.XLOOKUP($A484,My_Audit!$A:$A,My_Audit!G:G,""),
_xlfn.IFS(_xlpm.MyAuditVal&lt;&gt;"",_xlpm.MyAuditVal,_xlpm.MacVal&lt;&gt;"",_xlpm.MacVal,_xlpm.CSVVal&lt;&gt;"",_xlpm.CSVVal
)),"")</f>
        <v/>
      </c>
      <c r="I484" s="40" t="str">
        <f>_xlfn.XLOOKUP(A484,Output_Mac!A:A,Output_Mac!I:I,"")</f>
        <v/>
      </c>
      <c r="J484" s="40" t="str" cm="1">
        <f t="array" ref="J484">IFERROR(_xlfn.LET(
_xlpm.CSVVal,_xlfn.XLOOKUP($A484,CSV!$A:$A,CSV!I:I,""),
_xlpm.MacVal,_xlfn.XLOOKUP($A484,Output_Mac!$A:$A,Output_Mac!J:J,""),
_xlpm.MyAuditVal,_xlfn.XLOOKUP($A484,My_Audit!$A:$A,My_Audit!I:I,""),
_xlfn.IFS(_xlpm.MyAuditVal&lt;&gt;"",UPPER(_xlpm.MyAuditVal),_xlpm.MacVal&lt;&gt;"",_xlpm.MacVal,_xlpm.CSVVal&lt;&gt;"",_xlpm.CSVVal
)),"")</f>
        <v/>
      </c>
      <c r="K484" s="40" t="str" cm="1">
        <f t="array" ref="K484">IFERROR(_xlfn.LET(
_xlpm.CSVVal,_xlfn.XLOOKUP($A484,CSV!$A:$A,CSV!K:K,""),
_xlpm.MacVal,_xlfn.XLOOKUP($A484,Output_Mac!$A:$A,Output_Mac!K:K,""),
_xlpm.MyAuditVal,_xlfn.XLOOKUP($A484,My_Audit!$A:$A,My_Audit!J:J,""),
_xlfn.IFS(_xlpm.MyAuditVal&lt;&gt;"",UPPER(_xlpm.MyAuditVal),_xlpm.MacVal&lt;&gt;"",_xlpm.MacVal,_xlpm.CSVVal&lt;&gt;"",_xlpm.CSVVal
)),"")</f>
        <v/>
      </c>
      <c r="L484" s="40" t="str" cm="1">
        <f t="array" ref="L484">IFERROR(_xlfn.LET(
_xlpm.CSVVal,_xlfn.XLOOKUP($A484,CSV!$A:$A,CSV!P:P,""),
_xlpm.MacVal,_xlfn.XLOOKUP($A484,Output_Mac!$A:$A,Output_Mac!L:L,""),
_xlpm.MyAuditVal,_xlfn.XLOOKUP($A484,My_Audit!$A:$A,My_Audit!K:K,""),
_xlfn.IFS(_xlpm.MyAuditVal&lt;&gt;"",UPPER(_xlpm.MyAuditVal),_xlpm.MacVal&lt;&gt;"",_xlpm.MacVal,_xlpm.CSVVal&lt;&gt;"",_xlpm.CSVVal
)),"")</f>
        <v/>
      </c>
      <c r="M484" s="40" t="str" cm="1">
        <f t="array" ref="M484">IFERROR(_xlfn.LET(
_xlpm.CSVVal,_xlfn.XLOOKUP($A484,CSV!$A:$A,CSV!Q:Q,""),
_xlpm.MacVal,_xlfn.XLOOKUP($A484,Output_Mac!$A:$A,Output_Mac!M:M,""),
_xlpm.MyAuditVal,_xlfn.XLOOKUP($A484,My_Audit!$A:$A,My_Audit!L:L,""),
_xlfn.IFS(_xlpm.MyAuditVal&lt;&gt;"",UPPER(_xlpm.MyAuditVal),_xlpm.MacVal&lt;&gt;"",_xlpm.MacVal,_xlpm.CSVVal&lt;&gt;"",_xlpm.CSVVal
)),"")</f>
        <v/>
      </c>
      <c r="N484" s="40"/>
      <c r="O484" s="40" t="str">
        <f>_xlfn.LET(
    _xlpm.CSVVal, _xlfn.XLOOKUP($A484, CSV!$A:$A, CSV!AA:AA, ""),
    _xlpm.MacVal, _xlfn.XLOOKUP($A484, Output_Mac!$A:$A, Output_Mac!S:S, ""),
    _xlpm.MyAuditVal, _xlfn.XLOOKUP($A484, My_Audit!$A:$A, My_Audit!P:P, ""),
    _xlfn.TEXTJOIN(", ", TRUE, _xlpm.MyAuditVal, _xlpm.MacVal, _xlpm.CSVVal)
)</f>
        <v/>
      </c>
      <c r="P484" s="40" t="str" cm="1">
        <f t="array" ref="P484">IFERROR(_xlfn.LET(
_xlpm.CSVVal,_xlfn.XLOOKUP($A484,CSV!$A:$A,CSV!AB:AB,""),
_xlpm.MacVal,_xlfn.XLOOKUP($A484,Output_Mac!$A:$A,Output_Mac!T:T,""),
_xlpm.MyAuditVal,_xlfn.XLOOKUP($A484,My_Audit!$A:$A,My_Audit!Q:Q,""),
_xlfn.IFS(_xlpm.MyAuditVal&lt;&gt;"",UPPER(_xlpm.MyAuditVal),_xlpm.MacVal&lt;&gt;"",_xlpm.MacVal,_xlpm.CSVVal&lt;&gt;"",_xlpm.CSVVal
)),"No")</f>
        <v>No</v>
      </c>
      <c r="Q484" s="40" t="str" cm="1">
        <f t="array" ref="Q484">IFERROR(_xlfn.LET(
_xlpm.CSVVal,_xlfn.XLOOKUP($A484,CSV!$A:$A,CSV!AC:AC,""),
_xlpm.MacVal,_xlfn.XLOOKUP($A484,Output_Mac!$A:$A,Output_Mac!U:U,""),
_xlpm.MyAuditVal,_xlfn.XLOOKUP($A484,My_Audit!$A:$A,My_Audit!R:R,""),
_xlfn.IFS(_xlpm.MyAuditVal&lt;&gt;"",UPPER(_xlpm.MyAuditVal),_xlpm.MacVal&lt;&gt;"",_xlpm.MacVal,_xlpm.CSVVal&lt;&gt;"",_xlpm.CSVVal
)),"")</f>
        <v/>
      </c>
      <c r="R484" s="40"/>
      <c r="S484" s="40"/>
      <c r="T484" s="40"/>
      <c r="U484" s="40"/>
      <c r="V484" s="40"/>
      <c r="W484" s="40"/>
      <c r="X484" s="41" t="str">
        <f>_xlfn.LET(
    _xlpm.MacVal, _xlfn.XLOOKUP($A484, Output_Mac!$A:$A, Output_Mac!AB:AB, ""),
    _xlpm.MyAuditVal, _xlfn.XLOOKUP($A484, My_Audit!$A:$A, My_Audit!N:N, ""),
    _xlfn.TEXTJOIN(", ", TRUE, _xlpm.MyAuditVal, _xlpm.MacVal)
)</f>
        <v/>
      </c>
    </row>
    <row r="485" spans="1:24">
      <c r="A485" s="40" t="str">
        <f>_xlfn.TEXTJOIN("",TRUE,Input!$B$2,ROW(My_Audit!A484))</f>
        <v>X484</v>
      </c>
      <c r="B485" s="40" t="str">
        <f>_xlfn.TEXTJOIN("-",TRUE,"ITD",Input!$A$2,A485)</f>
        <v>ITD-X484</v>
      </c>
      <c r="C485" s="40" t="str" cm="1">
        <f t="array" ref="C485">IFERROR(_xlfn.LET(
_xlpm.CSVVal,_xlfn.XLOOKUP($A485,CSV!$A:$A,CSV!B:B,""),
_xlpm.MacVal,_xlfn.XLOOKUP($A485,Output_Mac!$A:$A,Output_Mac!B:B,""),
_xlpm.MyAuditVal,_xlfn.XLOOKUP($A485,My_Audit!$A:$A,My_Audit!B:B,""),
_xlfn.IFS(_xlpm.MyAuditVal&lt;&gt;"",UPPER(_xlpm.MyAuditVal),_xlpm.MacVal&lt;&gt;"",_xlpm.MacVal,_xlpm.CSVVal&lt;&gt;"",_xlpm.CSVVal
)),"")</f>
        <v/>
      </c>
      <c r="D485" s="40" t="str" cm="1">
        <f t="array" ref="D485">IFERROR(_xlfn.LET(
_xlpm.CSVVal,_xlfn.XLOOKUP($A485,CSV!$A:$A,CSV!D:D,""),
_xlpm.MacVal,_xlfn.XLOOKUP($A485,Output_Mac!$A:$A,Output_Mac!C:C,""),
_xlpm.MyAuditVal,_xlfn.XLOOKUP($A485,My_Audit!$A:$A,My_Audit!C:C,""),
_xlfn.IFS(_xlpm.MyAuditVal&lt;&gt;"",_xlpm.MyAuditVal,_xlpm.MacVal&lt;&gt;"",_xlpm.MacVal,_xlpm.CSVVal&lt;&gt;"",_xlpm.CSVVal
)),"")</f>
        <v/>
      </c>
      <c r="E485" s="40" t="str">
        <f>_xlfn.XLOOKUP(A485,My_Audit!A:A,My_Audit!D:D,"")</f>
        <v/>
      </c>
      <c r="F485" s="40" t="str" cm="1">
        <f t="array" ref="F485">IFERROR(_xlfn.LET(
_xlpm.CSVVal,_xlfn.XLOOKUP($A485,CSV!$A:$A,CSV!F:F,""),
_xlpm.MacVal,_xlfn.XLOOKUP($A485,Output_Mac!$A:$A,Output_Mac!E:E,""),
_xlpm.MyAuditVal,_xlfn.XLOOKUP($A485,My_Audit!$A:$A,My_Audit!E:E,""),
_xlfn.IFS(_xlpm.MyAuditVal&lt;&gt;"",_xlpm.MyAuditVal,_xlpm.MacVal&lt;&gt;"",_xlpm.MacVal,_xlpm.CSVVal&lt;&gt;"",_xlpm.CSVVal
)),"")</f>
        <v/>
      </c>
      <c r="G485" s="40" t="str" cm="1">
        <f t="array" ref="G485">IFERROR(_xlfn.LET(
_xlpm.CSVVal,_xlfn.XLOOKUP($A485,CSV!$A:$A,CSV!G:G,""),
_xlpm.MacVal,_xlfn.XLOOKUP($A485,Output_Mac!$A:$A,Output_Mac!F:F,""),
_xlpm.MyAuditVal,_xlfn.XLOOKUP($A485,My_Audit!$A:$A,My_Audit!F:F,""),
_xlfn.IFS(_xlpm.MyAuditVal&lt;&gt;"",_xlpm.MyAuditVal,_xlpm.MacVal&lt;&gt;"",_xlpm.MacVal,_xlpm.CSVVal&lt;&gt;"",PROPER(_xlpm.CSVVal)
)),"")</f>
        <v/>
      </c>
      <c r="H485" s="40" t="str" cm="1">
        <f t="array" ref="H485">IFERROR(_xlfn.LET(
_xlpm.CSVVal,_xlfn.XLOOKUP($A485,CSV!$A:$A,CSV!H:H,""),
_xlpm.MacVal,_xlfn.XLOOKUP($A485,Output_Mac!$A:$A,Output_Mac!H:H,""),
_xlpm.MyAuditVal,_xlfn.XLOOKUP($A485,My_Audit!$A:$A,My_Audit!G:G,""),
_xlfn.IFS(_xlpm.MyAuditVal&lt;&gt;"",_xlpm.MyAuditVal,_xlpm.MacVal&lt;&gt;"",_xlpm.MacVal,_xlpm.CSVVal&lt;&gt;"",_xlpm.CSVVal
)),"")</f>
        <v/>
      </c>
      <c r="I485" s="40" t="str">
        <f>_xlfn.XLOOKUP(A485,Output_Mac!A:A,Output_Mac!I:I,"")</f>
        <v/>
      </c>
      <c r="J485" s="40" t="str" cm="1">
        <f t="array" ref="J485">IFERROR(_xlfn.LET(
_xlpm.CSVVal,_xlfn.XLOOKUP($A485,CSV!$A:$A,CSV!I:I,""),
_xlpm.MacVal,_xlfn.XLOOKUP($A485,Output_Mac!$A:$A,Output_Mac!J:J,""),
_xlpm.MyAuditVal,_xlfn.XLOOKUP($A485,My_Audit!$A:$A,My_Audit!I:I,""),
_xlfn.IFS(_xlpm.MyAuditVal&lt;&gt;"",UPPER(_xlpm.MyAuditVal),_xlpm.MacVal&lt;&gt;"",_xlpm.MacVal,_xlpm.CSVVal&lt;&gt;"",_xlpm.CSVVal
)),"")</f>
        <v/>
      </c>
      <c r="K485" s="40" t="str" cm="1">
        <f t="array" ref="K485">IFERROR(_xlfn.LET(
_xlpm.CSVVal,_xlfn.XLOOKUP($A485,CSV!$A:$A,CSV!K:K,""),
_xlpm.MacVal,_xlfn.XLOOKUP($A485,Output_Mac!$A:$A,Output_Mac!K:K,""),
_xlpm.MyAuditVal,_xlfn.XLOOKUP($A485,My_Audit!$A:$A,My_Audit!J:J,""),
_xlfn.IFS(_xlpm.MyAuditVal&lt;&gt;"",UPPER(_xlpm.MyAuditVal),_xlpm.MacVal&lt;&gt;"",_xlpm.MacVal,_xlpm.CSVVal&lt;&gt;"",_xlpm.CSVVal
)),"")</f>
        <v/>
      </c>
      <c r="L485" s="40" t="str" cm="1">
        <f t="array" ref="L485">IFERROR(_xlfn.LET(
_xlpm.CSVVal,_xlfn.XLOOKUP($A485,CSV!$A:$A,CSV!P:P,""),
_xlpm.MacVal,_xlfn.XLOOKUP($A485,Output_Mac!$A:$A,Output_Mac!L:L,""),
_xlpm.MyAuditVal,_xlfn.XLOOKUP($A485,My_Audit!$A:$A,My_Audit!K:K,""),
_xlfn.IFS(_xlpm.MyAuditVal&lt;&gt;"",UPPER(_xlpm.MyAuditVal),_xlpm.MacVal&lt;&gt;"",_xlpm.MacVal,_xlpm.CSVVal&lt;&gt;"",_xlpm.CSVVal
)),"")</f>
        <v/>
      </c>
      <c r="M485" s="40" t="str" cm="1">
        <f t="array" ref="M485">IFERROR(_xlfn.LET(
_xlpm.CSVVal,_xlfn.XLOOKUP($A485,CSV!$A:$A,CSV!Q:Q,""),
_xlpm.MacVal,_xlfn.XLOOKUP($A485,Output_Mac!$A:$A,Output_Mac!M:M,""),
_xlpm.MyAuditVal,_xlfn.XLOOKUP($A485,My_Audit!$A:$A,My_Audit!L:L,""),
_xlfn.IFS(_xlpm.MyAuditVal&lt;&gt;"",UPPER(_xlpm.MyAuditVal),_xlpm.MacVal&lt;&gt;"",_xlpm.MacVal,_xlpm.CSVVal&lt;&gt;"",_xlpm.CSVVal
)),"")</f>
        <v/>
      </c>
      <c r="N485" s="40"/>
      <c r="O485" s="40" t="str">
        <f>_xlfn.LET(
    _xlpm.CSVVal, _xlfn.XLOOKUP($A485, CSV!$A:$A, CSV!AA:AA, ""),
    _xlpm.MacVal, _xlfn.XLOOKUP($A485, Output_Mac!$A:$A, Output_Mac!S:S, ""),
    _xlpm.MyAuditVal, _xlfn.XLOOKUP($A485, My_Audit!$A:$A, My_Audit!P:P, ""),
    _xlfn.TEXTJOIN(", ", TRUE, _xlpm.MyAuditVal, _xlpm.MacVal, _xlpm.CSVVal)
)</f>
        <v/>
      </c>
      <c r="P485" s="40" t="str" cm="1">
        <f t="array" ref="P485">IFERROR(_xlfn.LET(
_xlpm.CSVVal,_xlfn.XLOOKUP($A485,CSV!$A:$A,CSV!AB:AB,""),
_xlpm.MacVal,_xlfn.XLOOKUP($A485,Output_Mac!$A:$A,Output_Mac!T:T,""),
_xlpm.MyAuditVal,_xlfn.XLOOKUP($A485,My_Audit!$A:$A,My_Audit!Q:Q,""),
_xlfn.IFS(_xlpm.MyAuditVal&lt;&gt;"",UPPER(_xlpm.MyAuditVal),_xlpm.MacVal&lt;&gt;"",_xlpm.MacVal,_xlpm.CSVVal&lt;&gt;"",_xlpm.CSVVal
)),"No")</f>
        <v>No</v>
      </c>
      <c r="Q485" s="40" t="str" cm="1">
        <f t="array" ref="Q485">IFERROR(_xlfn.LET(
_xlpm.CSVVal,_xlfn.XLOOKUP($A485,CSV!$A:$A,CSV!AC:AC,""),
_xlpm.MacVal,_xlfn.XLOOKUP($A485,Output_Mac!$A:$A,Output_Mac!U:U,""),
_xlpm.MyAuditVal,_xlfn.XLOOKUP($A485,My_Audit!$A:$A,My_Audit!R:R,""),
_xlfn.IFS(_xlpm.MyAuditVal&lt;&gt;"",UPPER(_xlpm.MyAuditVal),_xlpm.MacVal&lt;&gt;"",_xlpm.MacVal,_xlpm.CSVVal&lt;&gt;"",_xlpm.CSVVal
)),"")</f>
        <v/>
      </c>
      <c r="R485" s="40"/>
      <c r="S485" s="40"/>
      <c r="T485" s="40"/>
      <c r="U485" s="40"/>
      <c r="V485" s="40"/>
      <c r="W485" s="40"/>
      <c r="X485" s="41" t="str">
        <f>_xlfn.LET(
    _xlpm.MacVal, _xlfn.XLOOKUP($A485, Output_Mac!$A:$A, Output_Mac!AB:AB, ""),
    _xlpm.MyAuditVal, _xlfn.XLOOKUP($A485, My_Audit!$A:$A, My_Audit!N:N, ""),
    _xlfn.TEXTJOIN(", ", TRUE, _xlpm.MyAuditVal, _xlpm.MacVal)
)</f>
        <v/>
      </c>
    </row>
    <row r="486" spans="1:24">
      <c r="A486" s="40" t="str">
        <f>_xlfn.TEXTJOIN("",TRUE,Input!$B$2,ROW(My_Audit!A485))</f>
        <v>X485</v>
      </c>
      <c r="B486" s="40" t="str">
        <f>_xlfn.TEXTJOIN("-",TRUE,"ITD",Input!$A$2,A486)</f>
        <v>ITD-X485</v>
      </c>
      <c r="C486" s="40" t="str" cm="1">
        <f t="array" ref="C486">IFERROR(_xlfn.LET(
_xlpm.CSVVal,_xlfn.XLOOKUP($A486,CSV!$A:$A,CSV!B:B,""),
_xlpm.MacVal,_xlfn.XLOOKUP($A486,Output_Mac!$A:$A,Output_Mac!B:B,""),
_xlpm.MyAuditVal,_xlfn.XLOOKUP($A486,My_Audit!$A:$A,My_Audit!B:B,""),
_xlfn.IFS(_xlpm.MyAuditVal&lt;&gt;"",UPPER(_xlpm.MyAuditVal),_xlpm.MacVal&lt;&gt;"",_xlpm.MacVal,_xlpm.CSVVal&lt;&gt;"",_xlpm.CSVVal
)),"")</f>
        <v/>
      </c>
      <c r="D486" s="40" t="str" cm="1">
        <f t="array" ref="D486">IFERROR(_xlfn.LET(
_xlpm.CSVVal,_xlfn.XLOOKUP($A486,CSV!$A:$A,CSV!D:D,""),
_xlpm.MacVal,_xlfn.XLOOKUP($A486,Output_Mac!$A:$A,Output_Mac!C:C,""),
_xlpm.MyAuditVal,_xlfn.XLOOKUP($A486,My_Audit!$A:$A,My_Audit!C:C,""),
_xlfn.IFS(_xlpm.MyAuditVal&lt;&gt;"",_xlpm.MyAuditVal,_xlpm.MacVal&lt;&gt;"",_xlpm.MacVal,_xlpm.CSVVal&lt;&gt;"",_xlpm.CSVVal
)),"")</f>
        <v/>
      </c>
      <c r="E486" s="40" t="str">
        <f>_xlfn.XLOOKUP(A486,My_Audit!A:A,My_Audit!D:D,"")</f>
        <v/>
      </c>
      <c r="F486" s="40" t="str" cm="1">
        <f t="array" ref="F486">IFERROR(_xlfn.LET(
_xlpm.CSVVal,_xlfn.XLOOKUP($A486,CSV!$A:$A,CSV!F:F,""),
_xlpm.MacVal,_xlfn.XLOOKUP($A486,Output_Mac!$A:$A,Output_Mac!E:E,""),
_xlpm.MyAuditVal,_xlfn.XLOOKUP($A486,My_Audit!$A:$A,My_Audit!E:E,""),
_xlfn.IFS(_xlpm.MyAuditVal&lt;&gt;"",_xlpm.MyAuditVal,_xlpm.MacVal&lt;&gt;"",_xlpm.MacVal,_xlpm.CSVVal&lt;&gt;"",_xlpm.CSVVal
)),"")</f>
        <v/>
      </c>
      <c r="G486" s="40" t="str" cm="1">
        <f t="array" ref="G486">IFERROR(_xlfn.LET(
_xlpm.CSVVal,_xlfn.XLOOKUP($A486,CSV!$A:$A,CSV!G:G,""),
_xlpm.MacVal,_xlfn.XLOOKUP($A486,Output_Mac!$A:$A,Output_Mac!F:F,""),
_xlpm.MyAuditVal,_xlfn.XLOOKUP($A486,My_Audit!$A:$A,My_Audit!F:F,""),
_xlfn.IFS(_xlpm.MyAuditVal&lt;&gt;"",_xlpm.MyAuditVal,_xlpm.MacVal&lt;&gt;"",_xlpm.MacVal,_xlpm.CSVVal&lt;&gt;"",PROPER(_xlpm.CSVVal)
)),"")</f>
        <v/>
      </c>
      <c r="H486" s="40" t="str" cm="1">
        <f t="array" ref="H486">IFERROR(_xlfn.LET(
_xlpm.CSVVal,_xlfn.XLOOKUP($A486,CSV!$A:$A,CSV!H:H,""),
_xlpm.MacVal,_xlfn.XLOOKUP($A486,Output_Mac!$A:$A,Output_Mac!H:H,""),
_xlpm.MyAuditVal,_xlfn.XLOOKUP($A486,My_Audit!$A:$A,My_Audit!G:G,""),
_xlfn.IFS(_xlpm.MyAuditVal&lt;&gt;"",_xlpm.MyAuditVal,_xlpm.MacVal&lt;&gt;"",_xlpm.MacVal,_xlpm.CSVVal&lt;&gt;"",_xlpm.CSVVal
)),"")</f>
        <v/>
      </c>
      <c r="I486" s="40" t="str">
        <f>_xlfn.XLOOKUP(A486,Output_Mac!A:A,Output_Mac!I:I,"")</f>
        <v/>
      </c>
      <c r="J486" s="40" t="str" cm="1">
        <f t="array" ref="J486">IFERROR(_xlfn.LET(
_xlpm.CSVVal,_xlfn.XLOOKUP($A486,CSV!$A:$A,CSV!I:I,""),
_xlpm.MacVal,_xlfn.XLOOKUP($A486,Output_Mac!$A:$A,Output_Mac!J:J,""),
_xlpm.MyAuditVal,_xlfn.XLOOKUP($A486,My_Audit!$A:$A,My_Audit!I:I,""),
_xlfn.IFS(_xlpm.MyAuditVal&lt;&gt;"",UPPER(_xlpm.MyAuditVal),_xlpm.MacVal&lt;&gt;"",_xlpm.MacVal,_xlpm.CSVVal&lt;&gt;"",_xlpm.CSVVal
)),"")</f>
        <v/>
      </c>
      <c r="K486" s="40" t="str" cm="1">
        <f t="array" ref="K486">IFERROR(_xlfn.LET(
_xlpm.CSVVal,_xlfn.XLOOKUP($A486,CSV!$A:$A,CSV!K:K,""),
_xlpm.MacVal,_xlfn.XLOOKUP($A486,Output_Mac!$A:$A,Output_Mac!K:K,""),
_xlpm.MyAuditVal,_xlfn.XLOOKUP($A486,My_Audit!$A:$A,My_Audit!J:J,""),
_xlfn.IFS(_xlpm.MyAuditVal&lt;&gt;"",UPPER(_xlpm.MyAuditVal),_xlpm.MacVal&lt;&gt;"",_xlpm.MacVal,_xlpm.CSVVal&lt;&gt;"",_xlpm.CSVVal
)),"")</f>
        <v/>
      </c>
      <c r="L486" s="40" t="str" cm="1">
        <f t="array" ref="L486">IFERROR(_xlfn.LET(
_xlpm.CSVVal,_xlfn.XLOOKUP($A486,CSV!$A:$A,CSV!P:P,""),
_xlpm.MacVal,_xlfn.XLOOKUP($A486,Output_Mac!$A:$A,Output_Mac!L:L,""),
_xlpm.MyAuditVal,_xlfn.XLOOKUP($A486,My_Audit!$A:$A,My_Audit!K:K,""),
_xlfn.IFS(_xlpm.MyAuditVal&lt;&gt;"",UPPER(_xlpm.MyAuditVal),_xlpm.MacVal&lt;&gt;"",_xlpm.MacVal,_xlpm.CSVVal&lt;&gt;"",_xlpm.CSVVal
)),"")</f>
        <v/>
      </c>
      <c r="M486" s="40" t="str" cm="1">
        <f t="array" ref="M486">IFERROR(_xlfn.LET(
_xlpm.CSVVal,_xlfn.XLOOKUP($A486,CSV!$A:$A,CSV!Q:Q,""),
_xlpm.MacVal,_xlfn.XLOOKUP($A486,Output_Mac!$A:$A,Output_Mac!M:M,""),
_xlpm.MyAuditVal,_xlfn.XLOOKUP($A486,My_Audit!$A:$A,My_Audit!L:L,""),
_xlfn.IFS(_xlpm.MyAuditVal&lt;&gt;"",UPPER(_xlpm.MyAuditVal),_xlpm.MacVal&lt;&gt;"",_xlpm.MacVal,_xlpm.CSVVal&lt;&gt;"",_xlpm.CSVVal
)),"")</f>
        <v/>
      </c>
      <c r="N486" s="40"/>
      <c r="O486" s="40" t="str">
        <f>_xlfn.LET(
    _xlpm.CSVVal, _xlfn.XLOOKUP($A486, CSV!$A:$A, CSV!AA:AA, ""),
    _xlpm.MacVal, _xlfn.XLOOKUP($A486, Output_Mac!$A:$A, Output_Mac!S:S, ""),
    _xlpm.MyAuditVal, _xlfn.XLOOKUP($A486, My_Audit!$A:$A, My_Audit!P:P, ""),
    _xlfn.TEXTJOIN(", ", TRUE, _xlpm.MyAuditVal, _xlpm.MacVal, _xlpm.CSVVal)
)</f>
        <v/>
      </c>
      <c r="P486" s="40" t="str" cm="1">
        <f t="array" ref="P486">IFERROR(_xlfn.LET(
_xlpm.CSVVal,_xlfn.XLOOKUP($A486,CSV!$A:$A,CSV!AB:AB,""),
_xlpm.MacVal,_xlfn.XLOOKUP($A486,Output_Mac!$A:$A,Output_Mac!T:T,""),
_xlpm.MyAuditVal,_xlfn.XLOOKUP($A486,My_Audit!$A:$A,My_Audit!Q:Q,""),
_xlfn.IFS(_xlpm.MyAuditVal&lt;&gt;"",UPPER(_xlpm.MyAuditVal),_xlpm.MacVal&lt;&gt;"",_xlpm.MacVal,_xlpm.CSVVal&lt;&gt;"",_xlpm.CSVVal
)),"No")</f>
        <v>No</v>
      </c>
      <c r="Q486" s="40" t="str" cm="1">
        <f t="array" ref="Q486">IFERROR(_xlfn.LET(
_xlpm.CSVVal,_xlfn.XLOOKUP($A486,CSV!$A:$A,CSV!AC:AC,""),
_xlpm.MacVal,_xlfn.XLOOKUP($A486,Output_Mac!$A:$A,Output_Mac!U:U,""),
_xlpm.MyAuditVal,_xlfn.XLOOKUP($A486,My_Audit!$A:$A,My_Audit!R:R,""),
_xlfn.IFS(_xlpm.MyAuditVal&lt;&gt;"",UPPER(_xlpm.MyAuditVal),_xlpm.MacVal&lt;&gt;"",_xlpm.MacVal,_xlpm.CSVVal&lt;&gt;"",_xlpm.CSVVal
)),"")</f>
        <v/>
      </c>
      <c r="R486" s="40"/>
      <c r="S486" s="40"/>
      <c r="T486" s="40"/>
      <c r="U486" s="40"/>
      <c r="V486" s="40"/>
      <c r="W486" s="40"/>
      <c r="X486" s="41" t="str">
        <f>_xlfn.LET(
    _xlpm.MacVal, _xlfn.XLOOKUP($A486, Output_Mac!$A:$A, Output_Mac!AB:AB, ""),
    _xlpm.MyAuditVal, _xlfn.XLOOKUP($A486, My_Audit!$A:$A, My_Audit!N:N, ""),
    _xlfn.TEXTJOIN(", ", TRUE, _xlpm.MyAuditVal, _xlpm.MacVal)
)</f>
        <v/>
      </c>
    </row>
    <row r="487" spans="1:24">
      <c r="A487" s="40" t="str">
        <f>_xlfn.TEXTJOIN("",TRUE,Input!$B$2,ROW(My_Audit!A486))</f>
        <v>X486</v>
      </c>
      <c r="B487" s="40" t="str">
        <f>_xlfn.TEXTJOIN("-",TRUE,"ITD",Input!$A$2,A487)</f>
        <v>ITD-X486</v>
      </c>
      <c r="C487" s="40" t="str" cm="1">
        <f t="array" ref="C487">IFERROR(_xlfn.LET(
_xlpm.CSVVal,_xlfn.XLOOKUP($A487,CSV!$A:$A,CSV!B:B,""),
_xlpm.MacVal,_xlfn.XLOOKUP($A487,Output_Mac!$A:$A,Output_Mac!B:B,""),
_xlpm.MyAuditVal,_xlfn.XLOOKUP($A487,My_Audit!$A:$A,My_Audit!B:B,""),
_xlfn.IFS(_xlpm.MyAuditVal&lt;&gt;"",UPPER(_xlpm.MyAuditVal),_xlpm.MacVal&lt;&gt;"",_xlpm.MacVal,_xlpm.CSVVal&lt;&gt;"",_xlpm.CSVVal
)),"")</f>
        <v/>
      </c>
      <c r="D487" s="40" t="str" cm="1">
        <f t="array" ref="D487">IFERROR(_xlfn.LET(
_xlpm.CSVVal,_xlfn.XLOOKUP($A487,CSV!$A:$A,CSV!D:D,""),
_xlpm.MacVal,_xlfn.XLOOKUP($A487,Output_Mac!$A:$A,Output_Mac!C:C,""),
_xlpm.MyAuditVal,_xlfn.XLOOKUP($A487,My_Audit!$A:$A,My_Audit!C:C,""),
_xlfn.IFS(_xlpm.MyAuditVal&lt;&gt;"",_xlpm.MyAuditVal,_xlpm.MacVal&lt;&gt;"",_xlpm.MacVal,_xlpm.CSVVal&lt;&gt;"",_xlpm.CSVVal
)),"")</f>
        <v/>
      </c>
      <c r="E487" s="40" t="str">
        <f>_xlfn.XLOOKUP(A487,My_Audit!A:A,My_Audit!D:D,"")</f>
        <v/>
      </c>
      <c r="F487" s="40" t="str" cm="1">
        <f t="array" ref="F487">IFERROR(_xlfn.LET(
_xlpm.CSVVal,_xlfn.XLOOKUP($A487,CSV!$A:$A,CSV!F:F,""),
_xlpm.MacVal,_xlfn.XLOOKUP($A487,Output_Mac!$A:$A,Output_Mac!E:E,""),
_xlpm.MyAuditVal,_xlfn.XLOOKUP($A487,My_Audit!$A:$A,My_Audit!E:E,""),
_xlfn.IFS(_xlpm.MyAuditVal&lt;&gt;"",_xlpm.MyAuditVal,_xlpm.MacVal&lt;&gt;"",_xlpm.MacVal,_xlpm.CSVVal&lt;&gt;"",_xlpm.CSVVal
)),"")</f>
        <v/>
      </c>
      <c r="G487" s="40" t="str" cm="1">
        <f t="array" ref="G487">IFERROR(_xlfn.LET(
_xlpm.CSVVal,_xlfn.XLOOKUP($A487,CSV!$A:$A,CSV!G:G,""),
_xlpm.MacVal,_xlfn.XLOOKUP($A487,Output_Mac!$A:$A,Output_Mac!F:F,""),
_xlpm.MyAuditVal,_xlfn.XLOOKUP($A487,My_Audit!$A:$A,My_Audit!F:F,""),
_xlfn.IFS(_xlpm.MyAuditVal&lt;&gt;"",_xlpm.MyAuditVal,_xlpm.MacVal&lt;&gt;"",_xlpm.MacVal,_xlpm.CSVVal&lt;&gt;"",PROPER(_xlpm.CSVVal)
)),"")</f>
        <v/>
      </c>
      <c r="H487" s="40" t="str" cm="1">
        <f t="array" ref="H487">IFERROR(_xlfn.LET(
_xlpm.CSVVal,_xlfn.XLOOKUP($A487,CSV!$A:$A,CSV!H:H,""),
_xlpm.MacVal,_xlfn.XLOOKUP($A487,Output_Mac!$A:$A,Output_Mac!H:H,""),
_xlpm.MyAuditVal,_xlfn.XLOOKUP($A487,My_Audit!$A:$A,My_Audit!G:G,""),
_xlfn.IFS(_xlpm.MyAuditVal&lt;&gt;"",_xlpm.MyAuditVal,_xlpm.MacVal&lt;&gt;"",_xlpm.MacVal,_xlpm.CSVVal&lt;&gt;"",_xlpm.CSVVal
)),"")</f>
        <v/>
      </c>
      <c r="I487" s="40" t="str">
        <f>_xlfn.XLOOKUP(A487,Output_Mac!A:A,Output_Mac!I:I,"")</f>
        <v/>
      </c>
      <c r="J487" s="40" t="str" cm="1">
        <f t="array" ref="J487">IFERROR(_xlfn.LET(
_xlpm.CSVVal,_xlfn.XLOOKUP($A487,CSV!$A:$A,CSV!I:I,""),
_xlpm.MacVal,_xlfn.XLOOKUP($A487,Output_Mac!$A:$A,Output_Mac!J:J,""),
_xlpm.MyAuditVal,_xlfn.XLOOKUP($A487,My_Audit!$A:$A,My_Audit!I:I,""),
_xlfn.IFS(_xlpm.MyAuditVal&lt;&gt;"",UPPER(_xlpm.MyAuditVal),_xlpm.MacVal&lt;&gt;"",_xlpm.MacVal,_xlpm.CSVVal&lt;&gt;"",_xlpm.CSVVal
)),"")</f>
        <v/>
      </c>
      <c r="K487" s="40" t="str" cm="1">
        <f t="array" ref="K487">IFERROR(_xlfn.LET(
_xlpm.CSVVal,_xlfn.XLOOKUP($A487,CSV!$A:$A,CSV!K:K,""),
_xlpm.MacVal,_xlfn.XLOOKUP($A487,Output_Mac!$A:$A,Output_Mac!K:K,""),
_xlpm.MyAuditVal,_xlfn.XLOOKUP($A487,My_Audit!$A:$A,My_Audit!J:J,""),
_xlfn.IFS(_xlpm.MyAuditVal&lt;&gt;"",UPPER(_xlpm.MyAuditVal),_xlpm.MacVal&lt;&gt;"",_xlpm.MacVal,_xlpm.CSVVal&lt;&gt;"",_xlpm.CSVVal
)),"")</f>
        <v/>
      </c>
      <c r="L487" s="40" t="str" cm="1">
        <f t="array" ref="L487">IFERROR(_xlfn.LET(
_xlpm.CSVVal,_xlfn.XLOOKUP($A487,CSV!$A:$A,CSV!P:P,""),
_xlpm.MacVal,_xlfn.XLOOKUP($A487,Output_Mac!$A:$A,Output_Mac!L:L,""),
_xlpm.MyAuditVal,_xlfn.XLOOKUP($A487,My_Audit!$A:$A,My_Audit!K:K,""),
_xlfn.IFS(_xlpm.MyAuditVal&lt;&gt;"",UPPER(_xlpm.MyAuditVal),_xlpm.MacVal&lt;&gt;"",_xlpm.MacVal,_xlpm.CSVVal&lt;&gt;"",_xlpm.CSVVal
)),"")</f>
        <v/>
      </c>
      <c r="M487" s="40" t="str" cm="1">
        <f t="array" ref="M487">IFERROR(_xlfn.LET(
_xlpm.CSVVal,_xlfn.XLOOKUP($A487,CSV!$A:$A,CSV!Q:Q,""),
_xlpm.MacVal,_xlfn.XLOOKUP($A487,Output_Mac!$A:$A,Output_Mac!M:M,""),
_xlpm.MyAuditVal,_xlfn.XLOOKUP($A487,My_Audit!$A:$A,My_Audit!L:L,""),
_xlfn.IFS(_xlpm.MyAuditVal&lt;&gt;"",UPPER(_xlpm.MyAuditVal),_xlpm.MacVal&lt;&gt;"",_xlpm.MacVal,_xlpm.CSVVal&lt;&gt;"",_xlpm.CSVVal
)),"")</f>
        <v/>
      </c>
      <c r="N487" s="40"/>
      <c r="O487" s="40" t="str">
        <f>_xlfn.LET(
    _xlpm.CSVVal, _xlfn.XLOOKUP($A487, CSV!$A:$A, CSV!AA:AA, ""),
    _xlpm.MacVal, _xlfn.XLOOKUP($A487, Output_Mac!$A:$A, Output_Mac!S:S, ""),
    _xlpm.MyAuditVal, _xlfn.XLOOKUP($A487, My_Audit!$A:$A, My_Audit!P:P, ""),
    _xlfn.TEXTJOIN(", ", TRUE, _xlpm.MyAuditVal, _xlpm.MacVal, _xlpm.CSVVal)
)</f>
        <v/>
      </c>
      <c r="P487" s="40" t="str" cm="1">
        <f t="array" ref="P487">IFERROR(_xlfn.LET(
_xlpm.CSVVal,_xlfn.XLOOKUP($A487,CSV!$A:$A,CSV!AB:AB,""),
_xlpm.MacVal,_xlfn.XLOOKUP($A487,Output_Mac!$A:$A,Output_Mac!T:T,""),
_xlpm.MyAuditVal,_xlfn.XLOOKUP($A487,My_Audit!$A:$A,My_Audit!Q:Q,""),
_xlfn.IFS(_xlpm.MyAuditVal&lt;&gt;"",UPPER(_xlpm.MyAuditVal),_xlpm.MacVal&lt;&gt;"",_xlpm.MacVal,_xlpm.CSVVal&lt;&gt;"",_xlpm.CSVVal
)),"No")</f>
        <v>No</v>
      </c>
      <c r="Q487" s="40" t="str" cm="1">
        <f t="array" ref="Q487">IFERROR(_xlfn.LET(
_xlpm.CSVVal,_xlfn.XLOOKUP($A487,CSV!$A:$A,CSV!AC:AC,""),
_xlpm.MacVal,_xlfn.XLOOKUP($A487,Output_Mac!$A:$A,Output_Mac!U:U,""),
_xlpm.MyAuditVal,_xlfn.XLOOKUP($A487,My_Audit!$A:$A,My_Audit!R:R,""),
_xlfn.IFS(_xlpm.MyAuditVal&lt;&gt;"",UPPER(_xlpm.MyAuditVal),_xlpm.MacVal&lt;&gt;"",_xlpm.MacVal,_xlpm.CSVVal&lt;&gt;"",_xlpm.CSVVal
)),"")</f>
        <v/>
      </c>
      <c r="R487" s="40"/>
      <c r="S487" s="40"/>
      <c r="T487" s="40"/>
      <c r="U487" s="40"/>
      <c r="V487" s="40"/>
      <c r="W487" s="40"/>
      <c r="X487" s="41" t="str">
        <f>_xlfn.LET(
    _xlpm.MacVal, _xlfn.XLOOKUP($A487, Output_Mac!$A:$A, Output_Mac!AB:AB, ""),
    _xlpm.MyAuditVal, _xlfn.XLOOKUP($A487, My_Audit!$A:$A, My_Audit!N:N, ""),
    _xlfn.TEXTJOIN(", ", TRUE, _xlpm.MyAuditVal, _xlpm.MacVal)
)</f>
        <v/>
      </c>
    </row>
    <row r="488" spans="1:24">
      <c r="A488" s="40" t="str">
        <f>_xlfn.TEXTJOIN("",TRUE,Input!$B$2,ROW(My_Audit!A487))</f>
        <v>X487</v>
      </c>
      <c r="B488" s="40" t="str">
        <f>_xlfn.TEXTJOIN("-",TRUE,"ITD",Input!$A$2,A488)</f>
        <v>ITD-X487</v>
      </c>
      <c r="C488" s="40" t="str" cm="1">
        <f t="array" ref="C488">IFERROR(_xlfn.LET(
_xlpm.CSVVal,_xlfn.XLOOKUP($A488,CSV!$A:$A,CSV!B:B,""),
_xlpm.MacVal,_xlfn.XLOOKUP($A488,Output_Mac!$A:$A,Output_Mac!B:B,""),
_xlpm.MyAuditVal,_xlfn.XLOOKUP($A488,My_Audit!$A:$A,My_Audit!B:B,""),
_xlfn.IFS(_xlpm.MyAuditVal&lt;&gt;"",UPPER(_xlpm.MyAuditVal),_xlpm.MacVal&lt;&gt;"",_xlpm.MacVal,_xlpm.CSVVal&lt;&gt;"",_xlpm.CSVVal
)),"")</f>
        <v/>
      </c>
      <c r="D488" s="40" t="str" cm="1">
        <f t="array" ref="D488">IFERROR(_xlfn.LET(
_xlpm.CSVVal,_xlfn.XLOOKUP($A488,CSV!$A:$A,CSV!D:D,""),
_xlpm.MacVal,_xlfn.XLOOKUP($A488,Output_Mac!$A:$A,Output_Mac!C:C,""),
_xlpm.MyAuditVal,_xlfn.XLOOKUP($A488,My_Audit!$A:$A,My_Audit!C:C,""),
_xlfn.IFS(_xlpm.MyAuditVal&lt;&gt;"",_xlpm.MyAuditVal,_xlpm.MacVal&lt;&gt;"",_xlpm.MacVal,_xlpm.CSVVal&lt;&gt;"",_xlpm.CSVVal
)),"")</f>
        <v/>
      </c>
      <c r="E488" s="40" t="str">
        <f>_xlfn.XLOOKUP(A488,My_Audit!A:A,My_Audit!D:D,"")</f>
        <v/>
      </c>
      <c r="F488" s="40" t="str" cm="1">
        <f t="array" ref="F488">IFERROR(_xlfn.LET(
_xlpm.CSVVal,_xlfn.XLOOKUP($A488,CSV!$A:$A,CSV!F:F,""),
_xlpm.MacVal,_xlfn.XLOOKUP($A488,Output_Mac!$A:$A,Output_Mac!E:E,""),
_xlpm.MyAuditVal,_xlfn.XLOOKUP($A488,My_Audit!$A:$A,My_Audit!E:E,""),
_xlfn.IFS(_xlpm.MyAuditVal&lt;&gt;"",_xlpm.MyAuditVal,_xlpm.MacVal&lt;&gt;"",_xlpm.MacVal,_xlpm.CSVVal&lt;&gt;"",_xlpm.CSVVal
)),"")</f>
        <v/>
      </c>
      <c r="G488" s="40" t="str" cm="1">
        <f t="array" ref="G488">IFERROR(_xlfn.LET(
_xlpm.CSVVal,_xlfn.XLOOKUP($A488,CSV!$A:$A,CSV!G:G,""),
_xlpm.MacVal,_xlfn.XLOOKUP($A488,Output_Mac!$A:$A,Output_Mac!F:F,""),
_xlpm.MyAuditVal,_xlfn.XLOOKUP($A488,My_Audit!$A:$A,My_Audit!F:F,""),
_xlfn.IFS(_xlpm.MyAuditVal&lt;&gt;"",_xlpm.MyAuditVal,_xlpm.MacVal&lt;&gt;"",_xlpm.MacVal,_xlpm.CSVVal&lt;&gt;"",PROPER(_xlpm.CSVVal)
)),"")</f>
        <v/>
      </c>
      <c r="H488" s="40" t="str" cm="1">
        <f t="array" ref="H488">IFERROR(_xlfn.LET(
_xlpm.CSVVal,_xlfn.XLOOKUP($A488,CSV!$A:$A,CSV!H:H,""),
_xlpm.MacVal,_xlfn.XLOOKUP($A488,Output_Mac!$A:$A,Output_Mac!H:H,""),
_xlpm.MyAuditVal,_xlfn.XLOOKUP($A488,My_Audit!$A:$A,My_Audit!G:G,""),
_xlfn.IFS(_xlpm.MyAuditVal&lt;&gt;"",_xlpm.MyAuditVal,_xlpm.MacVal&lt;&gt;"",_xlpm.MacVal,_xlpm.CSVVal&lt;&gt;"",_xlpm.CSVVal
)),"")</f>
        <v/>
      </c>
      <c r="I488" s="40" t="str">
        <f>_xlfn.XLOOKUP(A488,Output_Mac!A:A,Output_Mac!I:I,"")</f>
        <v/>
      </c>
      <c r="J488" s="40" t="str" cm="1">
        <f t="array" ref="J488">IFERROR(_xlfn.LET(
_xlpm.CSVVal,_xlfn.XLOOKUP($A488,CSV!$A:$A,CSV!I:I,""),
_xlpm.MacVal,_xlfn.XLOOKUP($A488,Output_Mac!$A:$A,Output_Mac!J:J,""),
_xlpm.MyAuditVal,_xlfn.XLOOKUP($A488,My_Audit!$A:$A,My_Audit!I:I,""),
_xlfn.IFS(_xlpm.MyAuditVal&lt;&gt;"",UPPER(_xlpm.MyAuditVal),_xlpm.MacVal&lt;&gt;"",_xlpm.MacVal,_xlpm.CSVVal&lt;&gt;"",_xlpm.CSVVal
)),"")</f>
        <v/>
      </c>
      <c r="K488" s="40" t="str" cm="1">
        <f t="array" ref="K488">IFERROR(_xlfn.LET(
_xlpm.CSVVal,_xlfn.XLOOKUP($A488,CSV!$A:$A,CSV!K:K,""),
_xlpm.MacVal,_xlfn.XLOOKUP($A488,Output_Mac!$A:$A,Output_Mac!K:K,""),
_xlpm.MyAuditVal,_xlfn.XLOOKUP($A488,My_Audit!$A:$A,My_Audit!J:J,""),
_xlfn.IFS(_xlpm.MyAuditVal&lt;&gt;"",UPPER(_xlpm.MyAuditVal),_xlpm.MacVal&lt;&gt;"",_xlpm.MacVal,_xlpm.CSVVal&lt;&gt;"",_xlpm.CSVVal
)),"")</f>
        <v/>
      </c>
      <c r="L488" s="40" t="str" cm="1">
        <f t="array" ref="L488">IFERROR(_xlfn.LET(
_xlpm.CSVVal,_xlfn.XLOOKUP($A488,CSV!$A:$A,CSV!P:P,""),
_xlpm.MacVal,_xlfn.XLOOKUP($A488,Output_Mac!$A:$A,Output_Mac!L:L,""),
_xlpm.MyAuditVal,_xlfn.XLOOKUP($A488,My_Audit!$A:$A,My_Audit!K:K,""),
_xlfn.IFS(_xlpm.MyAuditVal&lt;&gt;"",UPPER(_xlpm.MyAuditVal),_xlpm.MacVal&lt;&gt;"",_xlpm.MacVal,_xlpm.CSVVal&lt;&gt;"",_xlpm.CSVVal
)),"")</f>
        <v/>
      </c>
      <c r="M488" s="40" t="str" cm="1">
        <f t="array" ref="M488">IFERROR(_xlfn.LET(
_xlpm.CSVVal,_xlfn.XLOOKUP($A488,CSV!$A:$A,CSV!Q:Q,""),
_xlpm.MacVal,_xlfn.XLOOKUP($A488,Output_Mac!$A:$A,Output_Mac!M:M,""),
_xlpm.MyAuditVal,_xlfn.XLOOKUP($A488,My_Audit!$A:$A,My_Audit!L:L,""),
_xlfn.IFS(_xlpm.MyAuditVal&lt;&gt;"",UPPER(_xlpm.MyAuditVal),_xlpm.MacVal&lt;&gt;"",_xlpm.MacVal,_xlpm.CSVVal&lt;&gt;"",_xlpm.CSVVal
)),"")</f>
        <v/>
      </c>
      <c r="N488" s="40"/>
      <c r="O488" s="40" t="str">
        <f>_xlfn.LET(
    _xlpm.CSVVal, _xlfn.XLOOKUP($A488, CSV!$A:$A, CSV!AA:AA, ""),
    _xlpm.MacVal, _xlfn.XLOOKUP($A488, Output_Mac!$A:$A, Output_Mac!S:S, ""),
    _xlpm.MyAuditVal, _xlfn.XLOOKUP($A488, My_Audit!$A:$A, My_Audit!P:P, ""),
    _xlfn.TEXTJOIN(", ", TRUE, _xlpm.MyAuditVal, _xlpm.MacVal, _xlpm.CSVVal)
)</f>
        <v/>
      </c>
      <c r="P488" s="40" t="str" cm="1">
        <f t="array" ref="P488">IFERROR(_xlfn.LET(
_xlpm.CSVVal,_xlfn.XLOOKUP($A488,CSV!$A:$A,CSV!AB:AB,""),
_xlpm.MacVal,_xlfn.XLOOKUP($A488,Output_Mac!$A:$A,Output_Mac!T:T,""),
_xlpm.MyAuditVal,_xlfn.XLOOKUP($A488,My_Audit!$A:$A,My_Audit!Q:Q,""),
_xlfn.IFS(_xlpm.MyAuditVal&lt;&gt;"",UPPER(_xlpm.MyAuditVal),_xlpm.MacVal&lt;&gt;"",_xlpm.MacVal,_xlpm.CSVVal&lt;&gt;"",_xlpm.CSVVal
)),"No")</f>
        <v>No</v>
      </c>
      <c r="Q488" s="40" t="str" cm="1">
        <f t="array" ref="Q488">IFERROR(_xlfn.LET(
_xlpm.CSVVal,_xlfn.XLOOKUP($A488,CSV!$A:$A,CSV!AC:AC,""),
_xlpm.MacVal,_xlfn.XLOOKUP($A488,Output_Mac!$A:$A,Output_Mac!U:U,""),
_xlpm.MyAuditVal,_xlfn.XLOOKUP($A488,My_Audit!$A:$A,My_Audit!R:R,""),
_xlfn.IFS(_xlpm.MyAuditVal&lt;&gt;"",UPPER(_xlpm.MyAuditVal),_xlpm.MacVal&lt;&gt;"",_xlpm.MacVal,_xlpm.CSVVal&lt;&gt;"",_xlpm.CSVVal
)),"")</f>
        <v/>
      </c>
      <c r="R488" s="40"/>
      <c r="S488" s="40"/>
      <c r="T488" s="40"/>
      <c r="U488" s="40"/>
      <c r="V488" s="40"/>
      <c r="W488" s="40"/>
      <c r="X488" s="41" t="str">
        <f>_xlfn.LET(
    _xlpm.MacVal, _xlfn.XLOOKUP($A488, Output_Mac!$A:$A, Output_Mac!AB:AB, ""),
    _xlpm.MyAuditVal, _xlfn.XLOOKUP($A488, My_Audit!$A:$A, My_Audit!N:N, ""),
    _xlfn.TEXTJOIN(", ", TRUE, _xlpm.MyAuditVal, _xlpm.MacVal)
)</f>
        <v/>
      </c>
    </row>
    <row r="489" spans="1:24">
      <c r="A489" s="40" t="str">
        <f>_xlfn.TEXTJOIN("",TRUE,Input!$B$2,ROW(My_Audit!A488))</f>
        <v>X488</v>
      </c>
      <c r="B489" s="40" t="str">
        <f>_xlfn.TEXTJOIN("-",TRUE,"ITD",Input!$A$2,A489)</f>
        <v>ITD-X488</v>
      </c>
      <c r="C489" s="40" t="str" cm="1">
        <f t="array" ref="C489">IFERROR(_xlfn.LET(
_xlpm.CSVVal,_xlfn.XLOOKUP($A489,CSV!$A:$A,CSV!B:B,""),
_xlpm.MacVal,_xlfn.XLOOKUP($A489,Output_Mac!$A:$A,Output_Mac!B:B,""),
_xlpm.MyAuditVal,_xlfn.XLOOKUP($A489,My_Audit!$A:$A,My_Audit!B:B,""),
_xlfn.IFS(_xlpm.MyAuditVal&lt;&gt;"",UPPER(_xlpm.MyAuditVal),_xlpm.MacVal&lt;&gt;"",_xlpm.MacVal,_xlpm.CSVVal&lt;&gt;"",_xlpm.CSVVal
)),"")</f>
        <v/>
      </c>
      <c r="D489" s="40" t="str" cm="1">
        <f t="array" ref="D489">IFERROR(_xlfn.LET(
_xlpm.CSVVal,_xlfn.XLOOKUP($A489,CSV!$A:$A,CSV!D:D,""),
_xlpm.MacVal,_xlfn.XLOOKUP($A489,Output_Mac!$A:$A,Output_Mac!C:C,""),
_xlpm.MyAuditVal,_xlfn.XLOOKUP($A489,My_Audit!$A:$A,My_Audit!C:C,""),
_xlfn.IFS(_xlpm.MyAuditVal&lt;&gt;"",_xlpm.MyAuditVal,_xlpm.MacVal&lt;&gt;"",_xlpm.MacVal,_xlpm.CSVVal&lt;&gt;"",_xlpm.CSVVal
)),"")</f>
        <v/>
      </c>
      <c r="E489" s="40" t="str">
        <f>_xlfn.XLOOKUP(A489,My_Audit!A:A,My_Audit!D:D,"")</f>
        <v/>
      </c>
      <c r="F489" s="40" t="str" cm="1">
        <f t="array" ref="F489">IFERROR(_xlfn.LET(
_xlpm.CSVVal,_xlfn.XLOOKUP($A489,CSV!$A:$A,CSV!F:F,""),
_xlpm.MacVal,_xlfn.XLOOKUP($A489,Output_Mac!$A:$A,Output_Mac!E:E,""),
_xlpm.MyAuditVal,_xlfn.XLOOKUP($A489,My_Audit!$A:$A,My_Audit!E:E,""),
_xlfn.IFS(_xlpm.MyAuditVal&lt;&gt;"",_xlpm.MyAuditVal,_xlpm.MacVal&lt;&gt;"",_xlpm.MacVal,_xlpm.CSVVal&lt;&gt;"",_xlpm.CSVVal
)),"")</f>
        <v/>
      </c>
      <c r="G489" s="40" t="str" cm="1">
        <f t="array" ref="G489">IFERROR(_xlfn.LET(
_xlpm.CSVVal,_xlfn.XLOOKUP($A489,CSV!$A:$A,CSV!G:G,""),
_xlpm.MacVal,_xlfn.XLOOKUP($A489,Output_Mac!$A:$A,Output_Mac!F:F,""),
_xlpm.MyAuditVal,_xlfn.XLOOKUP($A489,My_Audit!$A:$A,My_Audit!F:F,""),
_xlfn.IFS(_xlpm.MyAuditVal&lt;&gt;"",_xlpm.MyAuditVal,_xlpm.MacVal&lt;&gt;"",_xlpm.MacVal,_xlpm.CSVVal&lt;&gt;"",PROPER(_xlpm.CSVVal)
)),"")</f>
        <v/>
      </c>
      <c r="H489" s="40" t="str" cm="1">
        <f t="array" ref="H489">IFERROR(_xlfn.LET(
_xlpm.CSVVal,_xlfn.XLOOKUP($A489,CSV!$A:$A,CSV!H:H,""),
_xlpm.MacVal,_xlfn.XLOOKUP($A489,Output_Mac!$A:$A,Output_Mac!H:H,""),
_xlpm.MyAuditVal,_xlfn.XLOOKUP($A489,My_Audit!$A:$A,My_Audit!G:G,""),
_xlfn.IFS(_xlpm.MyAuditVal&lt;&gt;"",_xlpm.MyAuditVal,_xlpm.MacVal&lt;&gt;"",_xlpm.MacVal,_xlpm.CSVVal&lt;&gt;"",_xlpm.CSVVal
)),"")</f>
        <v/>
      </c>
      <c r="I489" s="40" t="str">
        <f>_xlfn.XLOOKUP(A489,Output_Mac!A:A,Output_Mac!I:I,"")</f>
        <v/>
      </c>
      <c r="J489" s="40" t="str" cm="1">
        <f t="array" ref="J489">IFERROR(_xlfn.LET(
_xlpm.CSVVal,_xlfn.XLOOKUP($A489,CSV!$A:$A,CSV!I:I,""),
_xlpm.MacVal,_xlfn.XLOOKUP($A489,Output_Mac!$A:$A,Output_Mac!J:J,""),
_xlpm.MyAuditVal,_xlfn.XLOOKUP($A489,My_Audit!$A:$A,My_Audit!I:I,""),
_xlfn.IFS(_xlpm.MyAuditVal&lt;&gt;"",UPPER(_xlpm.MyAuditVal),_xlpm.MacVal&lt;&gt;"",_xlpm.MacVal,_xlpm.CSVVal&lt;&gt;"",_xlpm.CSVVal
)),"")</f>
        <v/>
      </c>
      <c r="K489" s="40" t="str" cm="1">
        <f t="array" ref="K489">IFERROR(_xlfn.LET(
_xlpm.CSVVal,_xlfn.XLOOKUP($A489,CSV!$A:$A,CSV!K:K,""),
_xlpm.MacVal,_xlfn.XLOOKUP($A489,Output_Mac!$A:$A,Output_Mac!K:K,""),
_xlpm.MyAuditVal,_xlfn.XLOOKUP($A489,My_Audit!$A:$A,My_Audit!J:J,""),
_xlfn.IFS(_xlpm.MyAuditVal&lt;&gt;"",UPPER(_xlpm.MyAuditVal),_xlpm.MacVal&lt;&gt;"",_xlpm.MacVal,_xlpm.CSVVal&lt;&gt;"",_xlpm.CSVVal
)),"")</f>
        <v/>
      </c>
      <c r="L489" s="40" t="str" cm="1">
        <f t="array" ref="L489">IFERROR(_xlfn.LET(
_xlpm.CSVVal,_xlfn.XLOOKUP($A489,CSV!$A:$A,CSV!P:P,""),
_xlpm.MacVal,_xlfn.XLOOKUP($A489,Output_Mac!$A:$A,Output_Mac!L:L,""),
_xlpm.MyAuditVal,_xlfn.XLOOKUP($A489,My_Audit!$A:$A,My_Audit!K:K,""),
_xlfn.IFS(_xlpm.MyAuditVal&lt;&gt;"",UPPER(_xlpm.MyAuditVal),_xlpm.MacVal&lt;&gt;"",_xlpm.MacVal,_xlpm.CSVVal&lt;&gt;"",_xlpm.CSVVal
)),"")</f>
        <v/>
      </c>
      <c r="M489" s="40" t="str" cm="1">
        <f t="array" ref="M489">IFERROR(_xlfn.LET(
_xlpm.CSVVal,_xlfn.XLOOKUP($A489,CSV!$A:$A,CSV!Q:Q,""),
_xlpm.MacVal,_xlfn.XLOOKUP($A489,Output_Mac!$A:$A,Output_Mac!M:M,""),
_xlpm.MyAuditVal,_xlfn.XLOOKUP($A489,My_Audit!$A:$A,My_Audit!L:L,""),
_xlfn.IFS(_xlpm.MyAuditVal&lt;&gt;"",UPPER(_xlpm.MyAuditVal),_xlpm.MacVal&lt;&gt;"",_xlpm.MacVal,_xlpm.CSVVal&lt;&gt;"",_xlpm.CSVVal
)),"")</f>
        <v/>
      </c>
      <c r="N489" s="40"/>
      <c r="O489" s="40" t="str">
        <f>_xlfn.LET(
    _xlpm.CSVVal, _xlfn.XLOOKUP($A489, CSV!$A:$A, CSV!AA:AA, ""),
    _xlpm.MacVal, _xlfn.XLOOKUP($A489, Output_Mac!$A:$A, Output_Mac!S:S, ""),
    _xlpm.MyAuditVal, _xlfn.XLOOKUP($A489, My_Audit!$A:$A, My_Audit!P:P, ""),
    _xlfn.TEXTJOIN(", ", TRUE, _xlpm.MyAuditVal, _xlpm.MacVal, _xlpm.CSVVal)
)</f>
        <v/>
      </c>
      <c r="P489" s="40" t="str" cm="1">
        <f t="array" ref="P489">IFERROR(_xlfn.LET(
_xlpm.CSVVal,_xlfn.XLOOKUP($A489,CSV!$A:$A,CSV!AB:AB,""),
_xlpm.MacVal,_xlfn.XLOOKUP($A489,Output_Mac!$A:$A,Output_Mac!T:T,""),
_xlpm.MyAuditVal,_xlfn.XLOOKUP($A489,My_Audit!$A:$A,My_Audit!Q:Q,""),
_xlfn.IFS(_xlpm.MyAuditVal&lt;&gt;"",UPPER(_xlpm.MyAuditVal),_xlpm.MacVal&lt;&gt;"",_xlpm.MacVal,_xlpm.CSVVal&lt;&gt;"",_xlpm.CSVVal
)),"No")</f>
        <v>No</v>
      </c>
      <c r="Q489" s="40" t="str" cm="1">
        <f t="array" ref="Q489">IFERROR(_xlfn.LET(
_xlpm.CSVVal,_xlfn.XLOOKUP($A489,CSV!$A:$A,CSV!AC:AC,""),
_xlpm.MacVal,_xlfn.XLOOKUP($A489,Output_Mac!$A:$A,Output_Mac!U:U,""),
_xlpm.MyAuditVal,_xlfn.XLOOKUP($A489,My_Audit!$A:$A,My_Audit!R:R,""),
_xlfn.IFS(_xlpm.MyAuditVal&lt;&gt;"",UPPER(_xlpm.MyAuditVal),_xlpm.MacVal&lt;&gt;"",_xlpm.MacVal,_xlpm.CSVVal&lt;&gt;"",_xlpm.CSVVal
)),"")</f>
        <v/>
      </c>
      <c r="R489" s="40"/>
      <c r="S489" s="40"/>
      <c r="T489" s="40"/>
      <c r="U489" s="40"/>
      <c r="V489" s="40"/>
      <c r="W489" s="40"/>
      <c r="X489" s="41" t="str">
        <f>_xlfn.LET(
    _xlpm.MacVal, _xlfn.XLOOKUP($A489, Output_Mac!$A:$A, Output_Mac!AB:AB, ""),
    _xlpm.MyAuditVal, _xlfn.XLOOKUP($A489, My_Audit!$A:$A, My_Audit!N:N, ""),
    _xlfn.TEXTJOIN(", ", TRUE, _xlpm.MyAuditVal, _xlpm.MacVal)
)</f>
        <v/>
      </c>
    </row>
    <row r="490" spans="1:24">
      <c r="A490" s="40" t="str">
        <f>_xlfn.TEXTJOIN("",TRUE,Input!$B$2,ROW(My_Audit!A489))</f>
        <v>X489</v>
      </c>
      <c r="B490" s="40" t="str">
        <f>_xlfn.TEXTJOIN("-",TRUE,"ITD",Input!$A$2,A490)</f>
        <v>ITD-X489</v>
      </c>
      <c r="C490" s="40" t="str" cm="1">
        <f t="array" ref="C490">IFERROR(_xlfn.LET(
_xlpm.CSVVal,_xlfn.XLOOKUP($A490,CSV!$A:$A,CSV!B:B,""),
_xlpm.MacVal,_xlfn.XLOOKUP($A490,Output_Mac!$A:$A,Output_Mac!B:B,""),
_xlpm.MyAuditVal,_xlfn.XLOOKUP($A490,My_Audit!$A:$A,My_Audit!B:B,""),
_xlfn.IFS(_xlpm.MyAuditVal&lt;&gt;"",UPPER(_xlpm.MyAuditVal),_xlpm.MacVal&lt;&gt;"",_xlpm.MacVal,_xlpm.CSVVal&lt;&gt;"",_xlpm.CSVVal
)),"")</f>
        <v/>
      </c>
      <c r="D490" s="40" t="str" cm="1">
        <f t="array" ref="D490">IFERROR(_xlfn.LET(
_xlpm.CSVVal,_xlfn.XLOOKUP($A490,CSV!$A:$A,CSV!D:D,""),
_xlpm.MacVal,_xlfn.XLOOKUP($A490,Output_Mac!$A:$A,Output_Mac!C:C,""),
_xlpm.MyAuditVal,_xlfn.XLOOKUP($A490,My_Audit!$A:$A,My_Audit!C:C,""),
_xlfn.IFS(_xlpm.MyAuditVal&lt;&gt;"",_xlpm.MyAuditVal,_xlpm.MacVal&lt;&gt;"",_xlpm.MacVal,_xlpm.CSVVal&lt;&gt;"",_xlpm.CSVVal
)),"")</f>
        <v/>
      </c>
      <c r="E490" s="40" t="str">
        <f>_xlfn.XLOOKUP(A490,My_Audit!A:A,My_Audit!D:D,"")</f>
        <v/>
      </c>
      <c r="F490" s="40" t="str" cm="1">
        <f t="array" ref="F490">IFERROR(_xlfn.LET(
_xlpm.CSVVal,_xlfn.XLOOKUP($A490,CSV!$A:$A,CSV!F:F,""),
_xlpm.MacVal,_xlfn.XLOOKUP($A490,Output_Mac!$A:$A,Output_Mac!E:E,""),
_xlpm.MyAuditVal,_xlfn.XLOOKUP($A490,My_Audit!$A:$A,My_Audit!E:E,""),
_xlfn.IFS(_xlpm.MyAuditVal&lt;&gt;"",_xlpm.MyAuditVal,_xlpm.MacVal&lt;&gt;"",_xlpm.MacVal,_xlpm.CSVVal&lt;&gt;"",_xlpm.CSVVal
)),"")</f>
        <v/>
      </c>
      <c r="G490" s="40" t="str" cm="1">
        <f t="array" ref="G490">IFERROR(_xlfn.LET(
_xlpm.CSVVal,_xlfn.XLOOKUP($A490,CSV!$A:$A,CSV!G:G,""),
_xlpm.MacVal,_xlfn.XLOOKUP($A490,Output_Mac!$A:$A,Output_Mac!F:F,""),
_xlpm.MyAuditVal,_xlfn.XLOOKUP($A490,My_Audit!$A:$A,My_Audit!F:F,""),
_xlfn.IFS(_xlpm.MyAuditVal&lt;&gt;"",_xlpm.MyAuditVal,_xlpm.MacVal&lt;&gt;"",_xlpm.MacVal,_xlpm.CSVVal&lt;&gt;"",PROPER(_xlpm.CSVVal)
)),"")</f>
        <v/>
      </c>
      <c r="H490" s="40" t="str" cm="1">
        <f t="array" ref="H490">IFERROR(_xlfn.LET(
_xlpm.CSVVal,_xlfn.XLOOKUP($A490,CSV!$A:$A,CSV!H:H,""),
_xlpm.MacVal,_xlfn.XLOOKUP($A490,Output_Mac!$A:$A,Output_Mac!H:H,""),
_xlpm.MyAuditVal,_xlfn.XLOOKUP($A490,My_Audit!$A:$A,My_Audit!G:G,""),
_xlfn.IFS(_xlpm.MyAuditVal&lt;&gt;"",_xlpm.MyAuditVal,_xlpm.MacVal&lt;&gt;"",_xlpm.MacVal,_xlpm.CSVVal&lt;&gt;"",_xlpm.CSVVal
)),"")</f>
        <v/>
      </c>
      <c r="I490" s="40" t="str">
        <f>_xlfn.XLOOKUP(A490,Output_Mac!A:A,Output_Mac!I:I,"")</f>
        <v/>
      </c>
      <c r="J490" s="40" t="str" cm="1">
        <f t="array" ref="J490">IFERROR(_xlfn.LET(
_xlpm.CSVVal,_xlfn.XLOOKUP($A490,CSV!$A:$A,CSV!I:I,""),
_xlpm.MacVal,_xlfn.XLOOKUP($A490,Output_Mac!$A:$A,Output_Mac!J:J,""),
_xlpm.MyAuditVal,_xlfn.XLOOKUP($A490,My_Audit!$A:$A,My_Audit!I:I,""),
_xlfn.IFS(_xlpm.MyAuditVal&lt;&gt;"",UPPER(_xlpm.MyAuditVal),_xlpm.MacVal&lt;&gt;"",_xlpm.MacVal,_xlpm.CSVVal&lt;&gt;"",_xlpm.CSVVal
)),"")</f>
        <v/>
      </c>
      <c r="K490" s="40" t="str" cm="1">
        <f t="array" ref="K490">IFERROR(_xlfn.LET(
_xlpm.CSVVal,_xlfn.XLOOKUP($A490,CSV!$A:$A,CSV!K:K,""),
_xlpm.MacVal,_xlfn.XLOOKUP($A490,Output_Mac!$A:$A,Output_Mac!K:K,""),
_xlpm.MyAuditVal,_xlfn.XLOOKUP($A490,My_Audit!$A:$A,My_Audit!J:J,""),
_xlfn.IFS(_xlpm.MyAuditVal&lt;&gt;"",UPPER(_xlpm.MyAuditVal),_xlpm.MacVal&lt;&gt;"",_xlpm.MacVal,_xlpm.CSVVal&lt;&gt;"",_xlpm.CSVVal
)),"")</f>
        <v/>
      </c>
      <c r="L490" s="40" t="str" cm="1">
        <f t="array" ref="L490">IFERROR(_xlfn.LET(
_xlpm.CSVVal,_xlfn.XLOOKUP($A490,CSV!$A:$A,CSV!P:P,""),
_xlpm.MacVal,_xlfn.XLOOKUP($A490,Output_Mac!$A:$A,Output_Mac!L:L,""),
_xlpm.MyAuditVal,_xlfn.XLOOKUP($A490,My_Audit!$A:$A,My_Audit!K:K,""),
_xlfn.IFS(_xlpm.MyAuditVal&lt;&gt;"",UPPER(_xlpm.MyAuditVal),_xlpm.MacVal&lt;&gt;"",_xlpm.MacVal,_xlpm.CSVVal&lt;&gt;"",_xlpm.CSVVal
)),"")</f>
        <v/>
      </c>
      <c r="M490" s="40" t="str" cm="1">
        <f t="array" ref="M490">IFERROR(_xlfn.LET(
_xlpm.CSVVal,_xlfn.XLOOKUP($A490,CSV!$A:$A,CSV!Q:Q,""),
_xlpm.MacVal,_xlfn.XLOOKUP($A490,Output_Mac!$A:$A,Output_Mac!M:M,""),
_xlpm.MyAuditVal,_xlfn.XLOOKUP($A490,My_Audit!$A:$A,My_Audit!L:L,""),
_xlfn.IFS(_xlpm.MyAuditVal&lt;&gt;"",UPPER(_xlpm.MyAuditVal),_xlpm.MacVal&lt;&gt;"",_xlpm.MacVal,_xlpm.CSVVal&lt;&gt;"",_xlpm.CSVVal
)),"")</f>
        <v/>
      </c>
      <c r="N490" s="40"/>
      <c r="O490" s="40" t="str">
        <f>_xlfn.LET(
    _xlpm.CSVVal, _xlfn.XLOOKUP($A490, CSV!$A:$A, CSV!AA:AA, ""),
    _xlpm.MacVal, _xlfn.XLOOKUP($A490, Output_Mac!$A:$A, Output_Mac!S:S, ""),
    _xlpm.MyAuditVal, _xlfn.XLOOKUP($A490, My_Audit!$A:$A, My_Audit!P:P, ""),
    _xlfn.TEXTJOIN(", ", TRUE, _xlpm.MyAuditVal, _xlpm.MacVal, _xlpm.CSVVal)
)</f>
        <v/>
      </c>
      <c r="P490" s="40" t="str" cm="1">
        <f t="array" ref="P490">IFERROR(_xlfn.LET(
_xlpm.CSVVal,_xlfn.XLOOKUP($A490,CSV!$A:$A,CSV!AB:AB,""),
_xlpm.MacVal,_xlfn.XLOOKUP($A490,Output_Mac!$A:$A,Output_Mac!T:T,""),
_xlpm.MyAuditVal,_xlfn.XLOOKUP($A490,My_Audit!$A:$A,My_Audit!Q:Q,""),
_xlfn.IFS(_xlpm.MyAuditVal&lt;&gt;"",UPPER(_xlpm.MyAuditVal),_xlpm.MacVal&lt;&gt;"",_xlpm.MacVal,_xlpm.CSVVal&lt;&gt;"",_xlpm.CSVVal
)),"No")</f>
        <v>No</v>
      </c>
      <c r="Q490" s="40" t="str" cm="1">
        <f t="array" ref="Q490">IFERROR(_xlfn.LET(
_xlpm.CSVVal,_xlfn.XLOOKUP($A490,CSV!$A:$A,CSV!AC:AC,""),
_xlpm.MacVal,_xlfn.XLOOKUP($A490,Output_Mac!$A:$A,Output_Mac!U:U,""),
_xlpm.MyAuditVal,_xlfn.XLOOKUP($A490,My_Audit!$A:$A,My_Audit!R:R,""),
_xlfn.IFS(_xlpm.MyAuditVal&lt;&gt;"",UPPER(_xlpm.MyAuditVal),_xlpm.MacVal&lt;&gt;"",_xlpm.MacVal,_xlpm.CSVVal&lt;&gt;"",_xlpm.CSVVal
)),"")</f>
        <v/>
      </c>
      <c r="R490" s="40"/>
      <c r="S490" s="40"/>
      <c r="T490" s="40"/>
      <c r="U490" s="40"/>
      <c r="V490" s="40"/>
      <c r="W490" s="40"/>
      <c r="X490" s="41" t="str">
        <f>_xlfn.LET(
    _xlpm.MacVal, _xlfn.XLOOKUP($A490, Output_Mac!$A:$A, Output_Mac!AB:AB, ""),
    _xlpm.MyAuditVal, _xlfn.XLOOKUP($A490, My_Audit!$A:$A, My_Audit!N:N, ""),
    _xlfn.TEXTJOIN(", ", TRUE, _xlpm.MyAuditVal, _xlpm.MacVal)
)</f>
        <v/>
      </c>
    </row>
    <row r="491" spans="1:24">
      <c r="A491" s="40" t="str">
        <f>_xlfn.TEXTJOIN("",TRUE,Input!$B$2,ROW(My_Audit!A490))</f>
        <v>X490</v>
      </c>
      <c r="B491" s="40" t="str">
        <f>_xlfn.TEXTJOIN("-",TRUE,"ITD",Input!$A$2,A491)</f>
        <v>ITD-X490</v>
      </c>
      <c r="C491" s="40" t="str" cm="1">
        <f t="array" ref="C491">IFERROR(_xlfn.LET(
_xlpm.CSVVal,_xlfn.XLOOKUP($A491,CSV!$A:$A,CSV!B:B,""),
_xlpm.MacVal,_xlfn.XLOOKUP($A491,Output_Mac!$A:$A,Output_Mac!B:B,""),
_xlpm.MyAuditVal,_xlfn.XLOOKUP($A491,My_Audit!$A:$A,My_Audit!B:B,""),
_xlfn.IFS(_xlpm.MyAuditVal&lt;&gt;"",UPPER(_xlpm.MyAuditVal),_xlpm.MacVal&lt;&gt;"",_xlpm.MacVal,_xlpm.CSVVal&lt;&gt;"",_xlpm.CSVVal
)),"")</f>
        <v/>
      </c>
      <c r="D491" s="40" t="str" cm="1">
        <f t="array" ref="D491">IFERROR(_xlfn.LET(
_xlpm.CSVVal,_xlfn.XLOOKUP($A491,CSV!$A:$A,CSV!D:D,""),
_xlpm.MacVal,_xlfn.XLOOKUP($A491,Output_Mac!$A:$A,Output_Mac!C:C,""),
_xlpm.MyAuditVal,_xlfn.XLOOKUP($A491,My_Audit!$A:$A,My_Audit!C:C,""),
_xlfn.IFS(_xlpm.MyAuditVal&lt;&gt;"",_xlpm.MyAuditVal,_xlpm.MacVal&lt;&gt;"",_xlpm.MacVal,_xlpm.CSVVal&lt;&gt;"",_xlpm.CSVVal
)),"")</f>
        <v/>
      </c>
      <c r="E491" s="40" t="str">
        <f>_xlfn.XLOOKUP(A491,My_Audit!A:A,My_Audit!D:D,"")</f>
        <v/>
      </c>
      <c r="F491" s="40" t="str" cm="1">
        <f t="array" ref="F491">IFERROR(_xlfn.LET(
_xlpm.CSVVal,_xlfn.XLOOKUP($A491,CSV!$A:$A,CSV!F:F,""),
_xlpm.MacVal,_xlfn.XLOOKUP($A491,Output_Mac!$A:$A,Output_Mac!E:E,""),
_xlpm.MyAuditVal,_xlfn.XLOOKUP($A491,My_Audit!$A:$A,My_Audit!E:E,""),
_xlfn.IFS(_xlpm.MyAuditVal&lt;&gt;"",_xlpm.MyAuditVal,_xlpm.MacVal&lt;&gt;"",_xlpm.MacVal,_xlpm.CSVVal&lt;&gt;"",_xlpm.CSVVal
)),"")</f>
        <v/>
      </c>
      <c r="G491" s="40" t="str" cm="1">
        <f t="array" ref="G491">IFERROR(_xlfn.LET(
_xlpm.CSVVal,_xlfn.XLOOKUP($A491,CSV!$A:$A,CSV!G:G,""),
_xlpm.MacVal,_xlfn.XLOOKUP($A491,Output_Mac!$A:$A,Output_Mac!F:F,""),
_xlpm.MyAuditVal,_xlfn.XLOOKUP($A491,My_Audit!$A:$A,My_Audit!F:F,""),
_xlfn.IFS(_xlpm.MyAuditVal&lt;&gt;"",_xlpm.MyAuditVal,_xlpm.MacVal&lt;&gt;"",_xlpm.MacVal,_xlpm.CSVVal&lt;&gt;"",PROPER(_xlpm.CSVVal)
)),"")</f>
        <v/>
      </c>
      <c r="H491" s="40" t="str" cm="1">
        <f t="array" ref="H491">IFERROR(_xlfn.LET(
_xlpm.CSVVal,_xlfn.XLOOKUP($A491,CSV!$A:$A,CSV!H:H,""),
_xlpm.MacVal,_xlfn.XLOOKUP($A491,Output_Mac!$A:$A,Output_Mac!H:H,""),
_xlpm.MyAuditVal,_xlfn.XLOOKUP($A491,My_Audit!$A:$A,My_Audit!G:G,""),
_xlfn.IFS(_xlpm.MyAuditVal&lt;&gt;"",_xlpm.MyAuditVal,_xlpm.MacVal&lt;&gt;"",_xlpm.MacVal,_xlpm.CSVVal&lt;&gt;"",_xlpm.CSVVal
)),"")</f>
        <v/>
      </c>
      <c r="I491" s="40" t="str">
        <f>_xlfn.XLOOKUP(A491,Output_Mac!A:A,Output_Mac!I:I,"")</f>
        <v/>
      </c>
      <c r="J491" s="40" t="str" cm="1">
        <f t="array" ref="J491">IFERROR(_xlfn.LET(
_xlpm.CSVVal,_xlfn.XLOOKUP($A491,CSV!$A:$A,CSV!I:I,""),
_xlpm.MacVal,_xlfn.XLOOKUP($A491,Output_Mac!$A:$A,Output_Mac!J:J,""),
_xlpm.MyAuditVal,_xlfn.XLOOKUP($A491,My_Audit!$A:$A,My_Audit!I:I,""),
_xlfn.IFS(_xlpm.MyAuditVal&lt;&gt;"",UPPER(_xlpm.MyAuditVal),_xlpm.MacVal&lt;&gt;"",_xlpm.MacVal,_xlpm.CSVVal&lt;&gt;"",_xlpm.CSVVal
)),"")</f>
        <v/>
      </c>
      <c r="K491" s="40" t="str" cm="1">
        <f t="array" ref="K491">IFERROR(_xlfn.LET(
_xlpm.CSVVal,_xlfn.XLOOKUP($A491,CSV!$A:$A,CSV!K:K,""),
_xlpm.MacVal,_xlfn.XLOOKUP($A491,Output_Mac!$A:$A,Output_Mac!K:K,""),
_xlpm.MyAuditVal,_xlfn.XLOOKUP($A491,My_Audit!$A:$A,My_Audit!J:J,""),
_xlfn.IFS(_xlpm.MyAuditVal&lt;&gt;"",UPPER(_xlpm.MyAuditVal),_xlpm.MacVal&lt;&gt;"",_xlpm.MacVal,_xlpm.CSVVal&lt;&gt;"",_xlpm.CSVVal
)),"")</f>
        <v/>
      </c>
      <c r="L491" s="40" t="str" cm="1">
        <f t="array" ref="L491">IFERROR(_xlfn.LET(
_xlpm.CSVVal,_xlfn.XLOOKUP($A491,CSV!$A:$A,CSV!P:P,""),
_xlpm.MacVal,_xlfn.XLOOKUP($A491,Output_Mac!$A:$A,Output_Mac!L:L,""),
_xlpm.MyAuditVal,_xlfn.XLOOKUP($A491,My_Audit!$A:$A,My_Audit!K:K,""),
_xlfn.IFS(_xlpm.MyAuditVal&lt;&gt;"",UPPER(_xlpm.MyAuditVal),_xlpm.MacVal&lt;&gt;"",_xlpm.MacVal,_xlpm.CSVVal&lt;&gt;"",_xlpm.CSVVal
)),"")</f>
        <v/>
      </c>
      <c r="M491" s="40" t="str" cm="1">
        <f t="array" ref="M491">IFERROR(_xlfn.LET(
_xlpm.CSVVal,_xlfn.XLOOKUP($A491,CSV!$A:$A,CSV!Q:Q,""),
_xlpm.MacVal,_xlfn.XLOOKUP($A491,Output_Mac!$A:$A,Output_Mac!M:M,""),
_xlpm.MyAuditVal,_xlfn.XLOOKUP($A491,My_Audit!$A:$A,My_Audit!L:L,""),
_xlfn.IFS(_xlpm.MyAuditVal&lt;&gt;"",UPPER(_xlpm.MyAuditVal),_xlpm.MacVal&lt;&gt;"",_xlpm.MacVal,_xlpm.CSVVal&lt;&gt;"",_xlpm.CSVVal
)),"")</f>
        <v/>
      </c>
      <c r="N491" s="40"/>
      <c r="O491" s="40" t="str">
        <f>_xlfn.LET(
    _xlpm.CSVVal, _xlfn.XLOOKUP($A491, CSV!$A:$A, CSV!AA:AA, ""),
    _xlpm.MacVal, _xlfn.XLOOKUP($A491, Output_Mac!$A:$A, Output_Mac!S:S, ""),
    _xlpm.MyAuditVal, _xlfn.XLOOKUP($A491, My_Audit!$A:$A, My_Audit!P:P, ""),
    _xlfn.TEXTJOIN(", ", TRUE, _xlpm.MyAuditVal, _xlpm.MacVal, _xlpm.CSVVal)
)</f>
        <v/>
      </c>
      <c r="P491" s="40" t="str" cm="1">
        <f t="array" ref="P491">IFERROR(_xlfn.LET(
_xlpm.CSVVal,_xlfn.XLOOKUP($A491,CSV!$A:$A,CSV!AB:AB,""),
_xlpm.MacVal,_xlfn.XLOOKUP($A491,Output_Mac!$A:$A,Output_Mac!T:T,""),
_xlpm.MyAuditVal,_xlfn.XLOOKUP($A491,My_Audit!$A:$A,My_Audit!Q:Q,""),
_xlfn.IFS(_xlpm.MyAuditVal&lt;&gt;"",UPPER(_xlpm.MyAuditVal),_xlpm.MacVal&lt;&gt;"",_xlpm.MacVal,_xlpm.CSVVal&lt;&gt;"",_xlpm.CSVVal
)),"No")</f>
        <v>No</v>
      </c>
      <c r="Q491" s="40" t="str" cm="1">
        <f t="array" ref="Q491">IFERROR(_xlfn.LET(
_xlpm.CSVVal,_xlfn.XLOOKUP($A491,CSV!$A:$A,CSV!AC:AC,""),
_xlpm.MacVal,_xlfn.XLOOKUP($A491,Output_Mac!$A:$A,Output_Mac!U:U,""),
_xlpm.MyAuditVal,_xlfn.XLOOKUP($A491,My_Audit!$A:$A,My_Audit!R:R,""),
_xlfn.IFS(_xlpm.MyAuditVal&lt;&gt;"",UPPER(_xlpm.MyAuditVal),_xlpm.MacVal&lt;&gt;"",_xlpm.MacVal,_xlpm.CSVVal&lt;&gt;"",_xlpm.CSVVal
)),"")</f>
        <v/>
      </c>
      <c r="R491" s="40"/>
      <c r="S491" s="40"/>
      <c r="T491" s="40"/>
      <c r="U491" s="40"/>
      <c r="V491" s="40"/>
      <c r="W491" s="40"/>
      <c r="X491" s="41" t="str">
        <f>_xlfn.LET(
    _xlpm.MacVal, _xlfn.XLOOKUP($A491, Output_Mac!$A:$A, Output_Mac!AB:AB, ""),
    _xlpm.MyAuditVal, _xlfn.XLOOKUP($A491, My_Audit!$A:$A, My_Audit!N:N, ""),
    _xlfn.TEXTJOIN(", ", TRUE, _xlpm.MyAuditVal, _xlpm.MacVal)
)</f>
        <v/>
      </c>
    </row>
    <row r="492" spans="1:24">
      <c r="A492" s="40" t="str">
        <f>_xlfn.TEXTJOIN("",TRUE,Input!$B$2,ROW(My_Audit!A491))</f>
        <v>X491</v>
      </c>
      <c r="B492" s="40" t="str">
        <f>_xlfn.TEXTJOIN("-",TRUE,"ITD",Input!$A$2,A492)</f>
        <v>ITD-X491</v>
      </c>
      <c r="C492" s="40" t="str" cm="1">
        <f t="array" ref="C492">IFERROR(_xlfn.LET(
_xlpm.CSVVal,_xlfn.XLOOKUP($A492,CSV!$A:$A,CSV!B:B,""),
_xlpm.MacVal,_xlfn.XLOOKUP($A492,Output_Mac!$A:$A,Output_Mac!B:B,""),
_xlpm.MyAuditVal,_xlfn.XLOOKUP($A492,My_Audit!$A:$A,My_Audit!B:B,""),
_xlfn.IFS(_xlpm.MyAuditVal&lt;&gt;"",UPPER(_xlpm.MyAuditVal),_xlpm.MacVal&lt;&gt;"",_xlpm.MacVal,_xlpm.CSVVal&lt;&gt;"",_xlpm.CSVVal
)),"")</f>
        <v/>
      </c>
      <c r="D492" s="40" t="str" cm="1">
        <f t="array" ref="D492">IFERROR(_xlfn.LET(
_xlpm.CSVVal,_xlfn.XLOOKUP($A492,CSV!$A:$A,CSV!D:D,""),
_xlpm.MacVal,_xlfn.XLOOKUP($A492,Output_Mac!$A:$A,Output_Mac!C:C,""),
_xlpm.MyAuditVal,_xlfn.XLOOKUP($A492,My_Audit!$A:$A,My_Audit!C:C,""),
_xlfn.IFS(_xlpm.MyAuditVal&lt;&gt;"",_xlpm.MyAuditVal,_xlpm.MacVal&lt;&gt;"",_xlpm.MacVal,_xlpm.CSVVal&lt;&gt;"",_xlpm.CSVVal
)),"")</f>
        <v/>
      </c>
      <c r="E492" s="40" t="str">
        <f>_xlfn.XLOOKUP(A492,My_Audit!A:A,My_Audit!D:D,"")</f>
        <v/>
      </c>
      <c r="F492" s="40" t="str" cm="1">
        <f t="array" ref="F492">IFERROR(_xlfn.LET(
_xlpm.CSVVal,_xlfn.XLOOKUP($A492,CSV!$A:$A,CSV!F:F,""),
_xlpm.MacVal,_xlfn.XLOOKUP($A492,Output_Mac!$A:$A,Output_Mac!E:E,""),
_xlpm.MyAuditVal,_xlfn.XLOOKUP($A492,My_Audit!$A:$A,My_Audit!E:E,""),
_xlfn.IFS(_xlpm.MyAuditVal&lt;&gt;"",_xlpm.MyAuditVal,_xlpm.MacVal&lt;&gt;"",_xlpm.MacVal,_xlpm.CSVVal&lt;&gt;"",_xlpm.CSVVal
)),"")</f>
        <v/>
      </c>
      <c r="G492" s="40" t="str" cm="1">
        <f t="array" ref="G492">IFERROR(_xlfn.LET(
_xlpm.CSVVal,_xlfn.XLOOKUP($A492,CSV!$A:$A,CSV!G:G,""),
_xlpm.MacVal,_xlfn.XLOOKUP($A492,Output_Mac!$A:$A,Output_Mac!F:F,""),
_xlpm.MyAuditVal,_xlfn.XLOOKUP($A492,My_Audit!$A:$A,My_Audit!F:F,""),
_xlfn.IFS(_xlpm.MyAuditVal&lt;&gt;"",_xlpm.MyAuditVal,_xlpm.MacVal&lt;&gt;"",_xlpm.MacVal,_xlpm.CSVVal&lt;&gt;"",PROPER(_xlpm.CSVVal)
)),"")</f>
        <v/>
      </c>
      <c r="H492" s="40" t="str" cm="1">
        <f t="array" ref="H492">IFERROR(_xlfn.LET(
_xlpm.CSVVal,_xlfn.XLOOKUP($A492,CSV!$A:$A,CSV!H:H,""),
_xlpm.MacVal,_xlfn.XLOOKUP($A492,Output_Mac!$A:$A,Output_Mac!H:H,""),
_xlpm.MyAuditVal,_xlfn.XLOOKUP($A492,My_Audit!$A:$A,My_Audit!G:G,""),
_xlfn.IFS(_xlpm.MyAuditVal&lt;&gt;"",_xlpm.MyAuditVal,_xlpm.MacVal&lt;&gt;"",_xlpm.MacVal,_xlpm.CSVVal&lt;&gt;"",_xlpm.CSVVal
)),"")</f>
        <v/>
      </c>
      <c r="I492" s="40" t="str">
        <f>_xlfn.XLOOKUP(A492,Output_Mac!A:A,Output_Mac!I:I,"")</f>
        <v/>
      </c>
      <c r="J492" s="40" t="str" cm="1">
        <f t="array" ref="J492">IFERROR(_xlfn.LET(
_xlpm.CSVVal,_xlfn.XLOOKUP($A492,CSV!$A:$A,CSV!I:I,""),
_xlpm.MacVal,_xlfn.XLOOKUP($A492,Output_Mac!$A:$A,Output_Mac!J:J,""),
_xlpm.MyAuditVal,_xlfn.XLOOKUP($A492,My_Audit!$A:$A,My_Audit!I:I,""),
_xlfn.IFS(_xlpm.MyAuditVal&lt;&gt;"",UPPER(_xlpm.MyAuditVal),_xlpm.MacVal&lt;&gt;"",_xlpm.MacVal,_xlpm.CSVVal&lt;&gt;"",_xlpm.CSVVal
)),"")</f>
        <v/>
      </c>
      <c r="K492" s="40" t="str" cm="1">
        <f t="array" ref="K492">IFERROR(_xlfn.LET(
_xlpm.CSVVal,_xlfn.XLOOKUP($A492,CSV!$A:$A,CSV!K:K,""),
_xlpm.MacVal,_xlfn.XLOOKUP($A492,Output_Mac!$A:$A,Output_Mac!K:K,""),
_xlpm.MyAuditVal,_xlfn.XLOOKUP($A492,My_Audit!$A:$A,My_Audit!J:J,""),
_xlfn.IFS(_xlpm.MyAuditVal&lt;&gt;"",UPPER(_xlpm.MyAuditVal),_xlpm.MacVal&lt;&gt;"",_xlpm.MacVal,_xlpm.CSVVal&lt;&gt;"",_xlpm.CSVVal
)),"")</f>
        <v/>
      </c>
      <c r="L492" s="40" t="str" cm="1">
        <f t="array" ref="L492">IFERROR(_xlfn.LET(
_xlpm.CSVVal,_xlfn.XLOOKUP($A492,CSV!$A:$A,CSV!P:P,""),
_xlpm.MacVal,_xlfn.XLOOKUP($A492,Output_Mac!$A:$A,Output_Mac!L:L,""),
_xlpm.MyAuditVal,_xlfn.XLOOKUP($A492,My_Audit!$A:$A,My_Audit!K:K,""),
_xlfn.IFS(_xlpm.MyAuditVal&lt;&gt;"",UPPER(_xlpm.MyAuditVal),_xlpm.MacVal&lt;&gt;"",_xlpm.MacVal,_xlpm.CSVVal&lt;&gt;"",_xlpm.CSVVal
)),"")</f>
        <v/>
      </c>
      <c r="M492" s="40" t="str" cm="1">
        <f t="array" ref="M492">IFERROR(_xlfn.LET(
_xlpm.CSVVal,_xlfn.XLOOKUP($A492,CSV!$A:$A,CSV!Q:Q,""),
_xlpm.MacVal,_xlfn.XLOOKUP($A492,Output_Mac!$A:$A,Output_Mac!M:M,""),
_xlpm.MyAuditVal,_xlfn.XLOOKUP($A492,My_Audit!$A:$A,My_Audit!L:L,""),
_xlfn.IFS(_xlpm.MyAuditVal&lt;&gt;"",UPPER(_xlpm.MyAuditVal),_xlpm.MacVal&lt;&gt;"",_xlpm.MacVal,_xlpm.CSVVal&lt;&gt;"",_xlpm.CSVVal
)),"")</f>
        <v/>
      </c>
      <c r="N492" s="40"/>
      <c r="O492" s="40" t="str">
        <f>_xlfn.LET(
    _xlpm.CSVVal, _xlfn.XLOOKUP($A492, CSV!$A:$A, CSV!AA:AA, ""),
    _xlpm.MacVal, _xlfn.XLOOKUP($A492, Output_Mac!$A:$A, Output_Mac!S:S, ""),
    _xlpm.MyAuditVal, _xlfn.XLOOKUP($A492, My_Audit!$A:$A, My_Audit!P:P, ""),
    _xlfn.TEXTJOIN(", ", TRUE, _xlpm.MyAuditVal, _xlpm.MacVal, _xlpm.CSVVal)
)</f>
        <v/>
      </c>
      <c r="P492" s="40" t="str" cm="1">
        <f t="array" ref="P492">IFERROR(_xlfn.LET(
_xlpm.CSVVal,_xlfn.XLOOKUP($A492,CSV!$A:$A,CSV!AB:AB,""),
_xlpm.MacVal,_xlfn.XLOOKUP($A492,Output_Mac!$A:$A,Output_Mac!T:T,""),
_xlpm.MyAuditVal,_xlfn.XLOOKUP($A492,My_Audit!$A:$A,My_Audit!Q:Q,""),
_xlfn.IFS(_xlpm.MyAuditVal&lt;&gt;"",UPPER(_xlpm.MyAuditVal),_xlpm.MacVal&lt;&gt;"",_xlpm.MacVal,_xlpm.CSVVal&lt;&gt;"",_xlpm.CSVVal
)),"No")</f>
        <v>No</v>
      </c>
      <c r="Q492" s="40" t="str" cm="1">
        <f t="array" ref="Q492">IFERROR(_xlfn.LET(
_xlpm.CSVVal,_xlfn.XLOOKUP($A492,CSV!$A:$A,CSV!AC:AC,""),
_xlpm.MacVal,_xlfn.XLOOKUP($A492,Output_Mac!$A:$A,Output_Mac!U:U,""),
_xlpm.MyAuditVal,_xlfn.XLOOKUP($A492,My_Audit!$A:$A,My_Audit!R:R,""),
_xlfn.IFS(_xlpm.MyAuditVal&lt;&gt;"",UPPER(_xlpm.MyAuditVal),_xlpm.MacVal&lt;&gt;"",_xlpm.MacVal,_xlpm.CSVVal&lt;&gt;"",_xlpm.CSVVal
)),"")</f>
        <v/>
      </c>
      <c r="R492" s="40"/>
      <c r="S492" s="40"/>
      <c r="T492" s="40"/>
      <c r="U492" s="40"/>
      <c r="V492" s="40"/>
      <c r="W492" s="40"/>
      <c r="X492" s="41" t="str">
        <f>_xlfn.LET(
    _xlpm.MacVal, _xlfn.XLOOKUP($A492, Output_Mac!$A:$A, Output_Mac!AB:AB, ""),
    _xlpm.MyAuditVal, _xlfn.XLOOKUP($A492, My_Audit!$A:$A, My_Audit!N:N, ""),
    _xlfn.TEXTJOIN(", ", TRUE, _xlpm.MyAuditVal, _xlpm.MacVal)
)</f>
        <v/>
      </c>
    </row>
    <row r="493" spans="1:24">
      <c r="A493" s="40" t="str">
        <f>_xlfn.TEXTJOIN("",TRUE,Input!$B$2,ROW(My_Audit!A492))</f>
        <v>X492</v>
      </c>
      <c r="B493" s="40" t="str">
        <f>_xlfn.TEXTJOIN("-",TRUE,"ITD",Input!$A$2,A493)</f>
        <v>ITD-X492</v>
      </c>
      <c r="C493" s="40" t="str" cm="1">
        <f t="array" ref="C493">IFERROR(_xlfn.LET(
_xlpm.CSVVal,_xlfn.XLOOKUP($A493,CSV!$A:$A,CSV!B:B,""),
_xlpm.MacVal,_xlfn.XLOOKUP($A493,Output_Mac!$A:$A,Output_Mac!B:B,""),
_xlpm.MyAuditVal,_xlfn.XLOOKUP($A493,My_Audit!$A:$A,My_Audit!B:B,""),
_xlfn.IFS(_xlpm.MyAuditVal&lt;&gt;"",UPPER(_xlpm.MyAuditVal),_xlpm.MacVal&lt;&gt;"",_xlpm.MacVal,_xlpm.CSVVal&lt;&gt;"",_xlpm.CSVVal
)),"")</f>
        <v/>
      </c>
      <c r="D493" s="40" t="str" cm="1">
        <f t="array" ref="D493">IFERROR(_xlfn.LET(
_xlpm.CSVVal,_xlfn.XLOOKUP($A493,CSV!$A:$A,CSV!D:D,""),
_xlpm.MacVal,_xlfn.XLOOKUP($A493,Output_Mac!$A:$A,Output_Mac!C:C,""),
_xlpm.MyAuditVal,_xlfn.XLOOKUP($A493,My_Audit!$A:$A,My_Audit!C:C,""),
_xlfn.IFS(_xlpm.MyAuditVal&lt;&gt;"",_xlpm.MyAuditVal,_xlpm.MacVal&lt;&gt;"",_xlpm.MacVal,_xlpm.CSVVal&lt;&gt;"",_xlpm.CSVVal
)),"")</f>
        <v/>
      </c>
      <c r="E493" s="40" t="str">
        <f>_xlfn.XLOOKUP(A493,My_Audit!A:A,My_Audit!D:D,"")</f>
        <v/>
      </c>
      <c r="F493" s="40" t="str" cm="1">
        <f t="array" ref="F493">IFERROR(_xlfn.LET(
_xlpm.CSVVal,_xlfn.XLOOKUP($A493,CSV!$A:$A,CSV!F:F,""),
_xlpm.MacVal,_xlfn.XLOOKUP($A493,Output_Mac!$A:$A,Output_Mac!E:E,""),
_xlpm.MyAuditVal,_xlfn.XLOOKUP($A493,My_Audit!$A:$A,My_Audit!E:E,""),
_xlfn.IFS(_xlpm.MyAuditVal&lt;&gt;"",_xlpm.MyAuditVal,_xlpm.MacVal&lt;&gt;"",_xlpm.MacVal,_xlpm.CSVVal&lt;&gt;"",_xlpm.CSVVal
)),"")</f>
        <v/>
      </c>
      <c r="G493" s="40" t="str" cm="1">
        <f t="array" ref="G493">IFERROR(_xlfn.LET(
_xlpm.CSVVal,_xlfn.XLOOKUP($A493,CSV!$A:$A,CSV!G:G,""),
_xlpm.MacVal,_xlfn.XLOOKUP($A493,Output_Mac!$A:$A,Output_Mac!F:F,""),
_xlpm.MyAuditVal,_xlfn.XLOOKUP($A493,My_Audit!$A:$A,My_Audit!F:F,""),
_xlfn.IFS(_xlpm.MyAuditVal&lt;&gt;"",_xlpm.MyAuditVal,_xlpm.MacVal&lt;&gt;"",_xlpm.MacVal,_xlpm.CSVVal&lt;&gt;"",PROPER(_xlpm.CSVVal)
)),"")</f>
        <v/>
      </c>
      <c r="H493" s="40" t="str" cm="1">
        <f t="array" ref="H493">IFERROR(_xlfn.LET(
_xlpm.CSVVal,_xlfn.XLOOKUP($A493,CSV!$A:$A,CSV!H:H,""),
_xlpm.MacVal,_xlfn.XLOOKUP($A493,Output_Mac!$A:$A,Output_Mac!H:H,""),
_xlpm.MyAuditVal,_xlfn.XLOOKUP($A493,My_Audit!$A:$A,My_Audit!G:G,""),
_xlfn.IFS(_xlpm.MyAuditVal&lt;&gt;"",_xlpm.MyAuditVal,_xlpm.MacVal&lt;&gt;"",_xlpm.MacVal,_xlpm.CSVVal&lt;&gt;"",_xlpm.CSVVal
)),"")</f>
        <v/>
      </c>
      <c r="I493" s="40" t="str">
        <f>_xlfn.XLOOKUP(A493,Output_Mac!A:A,Output_Mac!I:I,"")</f>
        <v/>
      </c>
      <c r="J493" s="40" t="str" cm="1">
        <f t="array" ref="J493">IFERROR(_xlfn.LET(
_xlpm.CSVVal,_xlfn.XLOOKUP($A493,CSV!$A:$A,CSV!I:I,""),
_xlpm.MacVal,_xlfn.XLOOKUP($A493,Output_Mac!$A:$A,Output_Mac!J:J,""),
_xlpm.MyAuditVal,_xlfn.XLOOKUP($A493,My_Audit!$A:$A,My_Audit!I:I,""),
_xlfn.IFS(_xlpm.MyAuditVal&lt;&gt;"",UPPER(_xlpm.MyAuditVal),_xlpm.MacVal&lt;&gt;"",_xlpm.MacVal,_xlpm.CSVVal&lt;&gt;"",_xlpm.CSVVal
)),"")</f>
        <v/>
      </c>
      <c r="K493" s="40" t="str" cm="1">
        <f t="array" ref="K493">IFERROR(_xlfn.LET(
_xlpm.CSVVal,_xlfn.XLOOKUP($A493,CSV!$A:$A,CSV!K:K,""),
_xlpm.MacVal,_xlfn.XLOOKUP($A493,Output_Mac!$A:$A,Output_Mac!K:K,""),
_xlpm.MyAuditVal,_xlfn.XLOOKUP($A493,My_Audit!$A:$A,My_Audit!J:J,""),
_xlfn.IFS(_xlpm.MyAuditVal&lt;&gt;"",UPPER(_xlpm.MyAuditVal),_xlpm.MacVal&lt;&gt;"",_xlpm.MacVal,_xlpm.CSVVal&lt;&gt;"",_xlpm.CSVVal
)),"")</f>
        <v/>
      </c>
      <c r="L493" s="40" t="str" cm="1">
        <f t="array" ref="L493">IFERROR(_xlfn.LET(
_xlpm.CSVVal,_xlfn.XLOOKUP($A493,CSV!$A:$A,CSV!P:P,""),
_xlpm.MacVal,_xlfn.XLOOKUP($A493,Output_Mac!$A:$A,Output_Mac!L:L,""),
_xlpm.MyAuditVal,_xlfn.XLOOKUP($A493,My_Audit!$A:$A,My_Audit!K:K,""),
_xlfn.IFS(_xlpm.MyAuditVal&lt;&gt;"",UPPER(_xlpm.MyAuditVal),_xlpm.MacVal&lt;&gt;"",_xlpm.MacVal,_xlpm.CSVVal&lt;&gt;"",_xlpm.CSVVal
)),"")</f>
        <v/>
      </c>
      <c r="M493" s="40" t="str" cm="1">
        <f t="array" ref="M493">IFERROR(_xlfn.LET(
_xlpm.CSVVal,_xlfn.XLOOKUP($A493,CSV!$A:$A,CSV!Q:Q,""),
_xlpm.MacVal,_xlfn.XLOOKUP($A493,Output_Mac!$A:$A,Output_Mac!M:M,""),
_xlpm.MyAuditVal,_xlfn.XLOOKUP($A493,My_Audit!$A:$A,My_Audit!L:L,""),
_xlfn.IFS(_xlpm.MyAuditVal&lt;&gt;"",UPPER(_xlpm.MyAuditVal),_xlpm.MacVal&lt;&gt;"",_xlpm.MacVal,_xlpm.CSVVal&lt;&gt;"",_xlpm.CSVVal
)),"")</f>
        <v/>
      </c>
      <c r="N493" s="40"/>
      <c r="O493" s="40" t="str">
        <f>_xlfn.LET(
    _xlpm.CSVVal, _xlfn.XLOOKUP($A493, CSV!$A:$A, CSV!AA:AA, ""),
    _xlpm.MacVal, _xlfn.XLOOKUP($A493, Output_Mac!$A:$A, Output_Mac!S:S, ""),
    _xlpm.MyAuditVal, _xlfn.XLOOKUP($A493, My_Audit!$A:$A, My_Audit!P:P, ""),
    _xlfn.TEXTJOIN(", ", TRUE, _xlpm.MyAuditVal, _xlpm.MacVal, _xlpm.CSVVal)
)</f>
        <v/>
      </c>
      <c r="P493" s="40" t="str" cm="1">
        <f t="array" ref="P493">IFERROR(_xlfn.LET(
_xlpm.CSVVal,_xlfn.XLOOKUP($A493,CSV!$A:$A,CSV!AB:AB,""),
_xlpm.MacVal,_xlfn.XLOOKUP($A493,Output_Mac!$A:$A,Output_Mac!T:T,""),
_xlpm.MyAuditVal,_xlfn.XLOOKUP($A493,My_Audit!$A:$A,My_Audit!Q:Q,""),
_xlfn.IFS(_xlpm.MyAuditVal&lt;&gt;"",UPPER(_xlpm.MyAuditVal),_xlpm.MacVal&lt;&gt;"",_xlpm.MacVal,_xlpm.CSVVal&lt;&gt;"",_xlpm.CSVVal
)),"No")</f>
        <v>No</v>
      </c>
      <c r="Q493" s="40" t="str" cm="1">
        <f t="array" ref="Q493">IFERROR(_xlfn.LET(
_xlpm.CSVVal,_xlfn.XLOOKUP($A493,CSV!$A:$A,CSV!AC:AC,""),
_xlpm.MacVal,_xlfn.XLOOKUP($A493,Output_Mac!$A:$A,Output_Mac!U:U,""),
_xlpm.MyAuditVal,_xlfn.XLOOKUP($A493,My_Audit!$A:$A,My_Audit!R:R,""),
_xlfn.IFS(_xlpm.MyAuditVal&lt;&gt;"",UPPER(_xlpm.MyAuditVal),_xlpm.MacVal&lt;&gt;"",_xlpm.MacVal,_xlpm.CSVVal&lt;&gt;"",_xlpm.CSVVal
)),"")</f>
        <v/>
      </c>
      <c r="R493" s="40"/>
      <c r="S493" s="40"/>
      <c r="T493" s="40"/>
      <c r="U493" s="40"/>
      <c r="V493" s="40"/>
      <c r="W493" s="40"/>
      <c r="X493" s="41" t="str">
        <f>_xlfn.LET(
    _xlpm.MacVal, _xlfn.XLOOKUP($A493, Output_Mac!$A:$A, Output_Mac!AB:AB, ""),
    _xlpm.MyAuditVal, _xlfn.XLOOKUP($A493, My_Audit!$A:$A, My_Audit!N:N, ""),
    _xlfn.TEXTJOIN(", ", TRUE, _xlpm.MyAuditVal, _xlpm.MacVal)
)</f>
        <v/>
      </c>
    </row>
    <row r="494" spans="1:24">
      <c r="A494" s="40" t="str">
        <f>_xlfn.TEXTJOIN("",TRUE,Input!$B$2,ROW(My_Audit!A493))</f>
        <v>X493</v>
      </c>
      <c r="B494" s="40" t="str">
        <f>_xlfn.TEXTJOIN("-",TRUE,"ITD",Input!$A$2,A494)</f>
        <v>ITD-X493</v>
      </c>
      <c r="C494" s="40" t="str" cm="1">
        <f t="array" ref="C494">IFERROR(_xlfn.LET(
_xlpm.CSVVal,_xlfn.XLOOKUP($A494,CSV!$A:$A,CSV!B:B,""),
_xlpm.MacVal,_xlfn.XLOOKUP($A494,Output_Mac!$A:$A,Output_Mac!B:B,""),
_xlpm.MyAuditVal,_xlfn.XLOOKUP($A494,My_Audit!$A:$A,My_Audit!B:B,""),
_xlfn.IFS(_xlpm.MyAuditVal&lt;&gt;"",UPPER(_xlpm.MyAuditVal),_xlpm.MacVal&lt;&gt;"",_xlpm.MacVal,_xlpm.CSVVal&lt;&gt;"",_xlpm.CSVVal
)),"")</f>
        <v/>
      </c>
      <c r="D494" s="40" t="str" cm="1">
        <f t="array" ref="D494">IFERROR(_xlfn.LET(
_xlpm.CSVVal,_xlfn.XLOOKUP($A494,CSV!$A:$A,CSV!D:D,""),
_xlpm.MacVal,_xlfn.XLOOKUP($A494,Output_Mac!$A:$A,Output_Mac!C:C,""),
_xlpm.MyAuditVal,_xlfn.XLOOKUP($A494,My_Audit!$A:$A,My_Audit!C:C,""),
_xlfn.IFS(_xlpm.MyAuditVal&lt;&gt;"",_xlpm.MyAuditVal,_xlpm.MacVal&lt;&gt;"",_xlpm.MacVal,_xlpm.CSVVal&lt;&gt;"",_xlpm.CSVVal
)),"")</f>
        <v/>
      </c>
      <c r="E494" s="40" t="str">
        <f>_xlfn.XLOOKUP(A494,My_Audit!A:A,My_Audit!D:D,"")</f>
        <v/>
      </c>
      <c r="F494" s="40" t="str" cm="1">
        <f t="array" ref="F494">IFERROR(_xlfn.LET(
_xlpm.CSVVal,_xlfn.XLOOKUP($A494,CSV!$A:$A,CSV!F:F,""),
_xlpm.MacVal,_xlfn.XLOOKUP($A494,Output_Mac!$A:$A,Output_Mac!E:E,""),
_xlpm.MyAuditVal,_xlfn.XLOOKUP($A494,My_Audit!$A:$A,My_Audit!E:E,""),
_xlfn.IFS(_xlpm.MyAuditVal&lt;&gt;"",_xlpm.MyAuditVal,_xlpm.MacVal&lt;&gt;"",_xlpm.MacVal,_xlpm.CSVVal&lt;&gt;"",_xlpm.CSVVal
)),"")</f>
        <v/>
      </c>
      <c r="G494" s="40" t="str" cm="1">
        <f t="array" ref="G494">IFERROR(_xlfn.LET(
_xlpm.CSVVal,_xlfn.XLOOKUP($A494,CSV!$A:$A,CSV!G:G,""),
_xlpm.MacVal,_xlfn.XLOOKUP($A494,Output_Mac!$A:$A,Output_Mac!F:F,""),
_xlpm.MyAuditVal,_xlfn.XLOOKUP($A494,My_Audit!$A:$A,My_Audit!F:F,""),
_xlfn.IFS(_xlpm.MyAuditVal&lt;&gt;"",_xlpm.MyAuditVal,_xlpm.MacVal&lt;&gt;"",_xlpm.MacVal,_xlpm.CSVVal&lt;&gt;"",PROPER(_xlpm.CSVVal)
)),"")</f>
        <v/>
      </c>
      <c r="H494" s="40" t="str" cm="1">
        <f t="array" ref="H494">IFERROR(_xlfn.LET(
_xlpm.CSVVal,_xlfn.XLOOKUP($A494,CSV!$A:$A,CSV!H:H,""),
_xlpm.MacVal,_xlfn.XLOOKUP($A494,Output_Mac!$A:$A,Output_Mac!H:H,""),
_xlpm.MyAuditVal,_xlfn.XLOOKUP($A494,My_Audit!$A:$A,My_Audit!G:G,""),
_xlfn.IFS(_xlpm.MyAuditVal&lt;&gt;"",_xlpm.MyAuditVal,_xlpm.MacVal&lt;&gt;"",_xlpm.MacVal,_xlpm.CSVVal&lt;&gt;"",_xlpm.CSVVal
)),"")</f>
        <v/>
      </c>
      <c r="I494" s="40" t="str">
        <f>_xlfn.XLOOKUP(A494,Output_Mac!A:A,Output_Mac!I:I,"")</f>
        <v/>
      </c>
      <c r="J494" s="40" t="str" cm="1">
        <f t="array" ref="J494">IFERROR(_xlfn.LET(
_xlpm.CSVVal,_xlfn.XLOOKUP($A494,CSV!$A:$A,CSV!I:I,""),
_xlpm.MacVal,_xlfn.XLOOKUP($A494,Output_Mac!$A:$A,Output_Mac!J:J,""),
_xlpm.MyAuditVal,_xlfn.XLOOKUP($A494,My_Audit!$A:$A,My_Audit!I:I,""),
_xlfn.IFS(_xlpm.MyAuditVal&lt;&gt;"",UPPER(_xlpm.MyAuditVal),_xlpm.MacVal&lt;&gt;"",_xlpm.MacVal,_xlpm.CSVVal&lt;&gt;"",_xlpm.CSVVal
)),"")</f>
        <v/>
      </c>
      <c r="K494" s="40" t="str" cm="1">
        <f t="array" ref="K494">IFERROR(_xlfn.LET(
_xlpm.CSVVal,_xlfn.XLOOKUP($A494,CSV!$A:$A,CSV!K:K,""),
_xlpm.MacVal,_xlfn.XLOOKUP($A494,Output_Mac!$A:$A,Output_Mac!K:K,""),
_xlpm.MyAuditVal,_xlfn.XLOOKUP($A494,My_Audit!$A:$A,My_Audit!J:J,""),
_xlfn.IFS(_xlpm.MyAuditVal&lt;&gt;"",UPPER(_xlpm.MyAuditVal),_xlpm.MacVal&lt;&gt;"",_xlpm.MacVal,_xlpm.CSVVal&lt;&gt;"",_xlpm.CSVVal
)),"")</f>
        <v/>
      </c>
      <c r="L494" s="40" t="str" cm="1">
        <f t="array" ref="L494">IFERROR(_xlfn.LET(
_xlpm.CSVVal,_xlfn.XLOOKUP($A494,CSV!$A:$A,CSV!P:P,""),
_xlpm.MacVal,_xlfn.XLOOKUP($A494,Output_Mac!$A:$A,Output_Mac!L:L,""),
_xlpm.MyAuditVal,_xlfn.XLOOKUP($A494,My_Audit!$A:$A,My_Audit!K:K,""),
_xlfn.IFS(_xlpm.MyAuditVal&lt;&gt;"",UPPER(_xlpm.MyAuditVal),_xlpm.MacVal&lt;&gt;"",_xlpm.MacVal,_xlpm.CSVVal&lt;&gt;"",_xlpm.CSVVal
)),"")</f>
        <v/>
      </c>
      <c r="M494" s="40" t="str" cm="1">
        <f t="array" ref="M494">IFERROR(_xlfn.LET(
_xlpm.CSVVal,_xlfn.XLOOKUP($A494,CSV!$A:$A,CSV!Q:Q,""),
_xlpm.MacVal,_xlfn.XLOOKUP($A494,Output_Mac!$A:$A,Output_Mac!M:M,""),
_xlpm.MyAuditVal,_xlfn.XLOOKUP($A494,My_Audit!$A:$A,My_Audit!L:L,""),
_xlfn.IFS(_xlpm.MyAuditVal&lt;&gt;"",UPPER(_xlpm.MyAuditVal),_xlpm.MacVal&lt;&gt;"",_xlpm.MacVal,_xlpm.CSVVal&lt;&gt;"",_xlpm.CSVVal
)),"")</f>
        <v/>
      </c>
      <c r="N494" s="40"/>
      <c r="O494" s="40" t="str">
        <f>_xlfn.LET(
    _xlpm.CSVVal, _xlfn.XLOOKUP($A494, CSV!$A:$A, CSV!AA:AA, ""),
    _xlpm.MacVal, _xlfn.XLOOKUP($A494, Output_Mac!$A:$A, Output_Mac!S:S, ""),
    _xlpm.MyAuditVal, _xlfn.XLOOKUP($A494, My_Audit!$A:$A, My_Audit!P:P, ""),
    _xlfn.TEXTJOIN(", ", TRUE, _xlpm.MyAuditVal, _xlpm.MacVal, _xlpm.CSVVal)
)</f>
        <v/>
      </c>
      <c r="P494" s="40" t="str" cm="1">
        <f t="array" ref="P494">IFERROR(_xlfn.LET(
_xlpm.CSVVal,_xlfn.XLOOKUP($A494,CSV!$A:$A,CSV!AB:AB,""),
_xlpm.MacVal,_xlfn.XLOOKUP($A494,Output_Mac!$A:$A,Output_Mac!T:T,""),
_xlpm.MyAuditVal,_xlfn.XLOOKUP($A494,My_Audit!$A:$A,My_Audit!Q:Q,""),
_xlfn.IFS(_xlpm.MyAuditVal&lt;&gt;"",UPPER(_xlpm.MyAuditVal),_xlpm.MacVal&lt;&gt;"",_xlpm.MacVal,_xlpm.CSVVal&lt;&gt;"",_xlpm.CSVVal
)),"No")</f>
        <v>No</v>
      </c>
      <c r="Q494" s="40" t="str" cm="1">
        <f t="array" ref="Q494">IFERROR(_xlfn.LET(
_xlpm.CSVVal,_xlfn.XLOOKUP($A494,CSV!$A:$A,CSV!AC:AC,""),
_xlpm.MacVal,_xlfn.XLOOKUP($A494,Output_Mac!$A:$A,Output_Mac!U:U,""),
_xlpm.MyAuditVal,_xlfn.XLOOKUP($A494,My_Audit!$A:$A,My_Audit!R:R,""),
_xlfn.IFS(_xlpm.MyAuditVal&lt;&gt;"",UPPER(_xlpm.MyAuditVal),_xlpm.MacVal&lt;&gt;"",_xlpm.MacVal,_xlpm.CSVVal&lt;&gt;"",_xlpm.CSVVal
)),"")</f>
        <v/>
      </c>
      <c r="R494" s="40"/>
      <c r="S494" s="40"/>
      <c r="T494" s="40"/>
      <c r="U494" s="40"/>
      <c r="V494" s="40"/>
      <c r="W494" s="40"/>
      <c r="X494" s="41" t="str">
        <f>_xlfn.LET(
    _xlpm.MacVal, _xlfn.XLOOKUP($A494, Output_Mac!$A:$A, Output_Mac!AB:AB, ""),
    _xlpm.MyAuditVal, _xlfn.XLOOKUP($A494, My_Audit!$A:$A, My_Audit!N:N, ""),
    _xlfn.TEXTJOIN(", ", TRUE, _xlpm.MyAuditVal, _xlpm.MacVal)
)</f>
        <v/>
      </c>
    </row>
    <row r="495" spans="1:24">
      <c r="A495" s="40" t="str">
        <f>_xlfn.TEXTJOIN("",TRUE,Input!$B$2,ROW(My_Audit!A494))</f>
        <v>X494</v>
      </c>
      <c r="B495" s="40" t="str">
        <f>_xlfn.TEXTJOIN("-",TRUE,"ITD",Input!$A$2,A495)</f>
        <v>ITD-X494</v>
      </c>
      <c r="C495" s="40" t="str" cm="1">
        <f t="array" ref="C495">IFERROR(_xlfn.LET(
_xlpm.CSVVal,_xlfn.XLOOKUP($A495,CSV!$A:$A,CSV!B:B,""),
_xlpm.MacVal,_xlfn.XLOOKUP($A495,Output_Mac!$A:$A,Output_Mac!B:B,""),
_xlpm.MyAuditVal,_xlfn.XLOOKUP($A495,My_Audit!$A:$A,My_Audit!B:B,""),
_xlfn.IFS(_xlpm.MyAuditVal&lt;&gt;"",UPPER(_xlpm.MyAuditVal),_xlpm.MacVal&lt;&gt;"",_xlpm.MacVal,_xlpm.CSVVal&lt;&gt;"",_xlpm.CSVVal
)),"")</f>
        <v/>
      </c>
      <c r="D495" s="40" t="str" cm="1">
        <f t="array" ref="D495">IFERROR(_xlfn.LET(
_xlpm.CSVVal,_xlfn.XLOOKUP($A495,CSV!$A:$A,CSV!D:D,""),
_xlpm.MacVal,_xlfn.XLOOKUP($A495,Output_Mac!$A:$A,Output_Mac!C:C,""),
_xlpm.MyAuditVal,_xlfn.XLOOKUP($A495,My_Audit!$A:$A,My_Audit!C:C,""),
_xlfn.IFS(_xlpm.MyAuditVal&lt;&gt;"",_xlpm.MyAuditVal,_xlpm.MacVal&lt;&gt;"",_xlpm.MacVal,_xlpm.CSVVal&lt;&gt;"",_xlpm.CSVVal
)),"")</f>
        <v/>
      </c>
      <c r="E495" s="40" t="str">
        <f>_xlfn.XLOOKUP(A495,My_Audit!A:A,My_Audit!D:D,"")</f>
        <v/>
      </c>
      <c r="F495" s="40" t="str" cm="1">
        <f t="array" ref="F495">IFERROR(_xlfn.LET(
_xlpm.CSVVal,_xlfn.XLOOKUP($A495,CSV!$A:$A,CSV!F:F,""),
_xlpm.MacVal,_xlfn.XLOOKUP($A495,Output_Mac!$A:$A,Output_Mac!E:E,""),
_xlpm.MyAuditVal,_xlfn.XLOOKUP($A495,My_Audit!$A:$A,My_Audit!E:E,""),
_xlfn.IFS(_xlpm.MyAuditVal&lt;&gt;"",_xlpm.MyAuditVal,_xlpm.MacVal&lt;&gt;"",_xlpm.MacVal,_xlpm.CSVVal&lt;&gt;"",_xlpm.CSVVal
)),"")</f>
        <v/>
      </c>
      <c r="G495" s="40" t="str" cm="1">
        <f t="array" ref="G495">IFERROR(_xlfn.LET(
_xlpm.CSVVal,_xlfn.XLOOKUP($A495,CSV!$A:$A,CSV!G:G,""),
_xlpm.MacVal,_xlfn.XLOOKUP($A495,Output_Mac!$A:$A,Output_Mac!F:F,""),
_xlpm.MyAuditVal,_xlfn.XLOOKUP($A495,My_Audit!$A:$A,My_Audit!F:F,""),
_xlfn.IFS(_xlpm.MyAuditVal&lt;&gt;"",_xlpm.MyAuditVal,_xlpm.MacVal&lt;&gt;"",_xlpm.MacVal,_xlpm.CSVVal&lt;&gt;"",PROPER(_xlpm.CSVVal)
)),"")</f>
        <v/>
      </c>
      <c r="H495" s="40" t="str" cm="1">
        <f t="array" ref="H495">IFERROR(_xlfn.LET(
_xlpm.CSVVal,_xlfn.XLOOKUP($A495,CSV!$A:$A,CSV!H:H,""),
_xlpm.MacVal,_xlfn.XLOOKUP($A495,Output_Mac!$A:$A,Output_Mac!H:H,""),
_xlpm.MyAuditVal,_xlfn.XLOOKUP($A495,My_Audit!$A:$A,My_Audit!G:G,""),
_xlfn.IFS(_xlpm.MyAuditVal&lt;&gt;"",_xlpm.MyAuditVal,_xlpm.MacVal&lt;&gt;"",_xlpm.MacVal,_xlpm.CSVVal&lt;&gt;"",_xlpm.CSVVal
)),"")</f>
        <v/>
      </c>
      <c r="I495" s="40" t="str">
        <f>_xlfn.XLOOKUP(A495,Output_Mac!A:A,Output_Mac!I:I,"")</f>
        <v/>
      </c>
      <c r="J495" s="40" t="str" cm="1">
        <f t="array" ref="J495">IFERROR(_xlfn.LET(
_xlpm.CSVVal,_xlfn.XLOOKUP($A495,CSV!$A:$A,CSV!I:I,""),
_xlpm.MacVal,_xlfn.XLOOKUP($A495,Output_Mac!$A:$A,Output_Mac!J:J,""),
_xlpm.MyAuditVal,_xlfn.XLOOKUP($A495,My_Audit!$A:$A,My_Audit!I:I,""),
_xlfn.IFS(_xlpm.MyAuditVal&lt;&gt;"",UPPER(_xlpm.MyAuditVal),_xlpm.MacVal&lt;&gt;"",_xlpm.MacVal,_xlpm.CSVVal&lt;&gt;"",_xlpm.CSVVal
)),"")</f>
        <v/>
      </c>
      <c r="K495" s="40" t="str" cm="1">
        <f t="array" ref="K495">IFERROR(_xlfn.LET(
_xlpm.CSVVal,_xlfn.XLOOKUP($A495,CSV!$A:$A,CSV!K:K,""),
_xlpm.MacVal,_xlfn.XLOOKUP($A495,Output_Mac!$A:$A,Output_Mac!K:K,""),
_xlpm.MyAuditVal,_xlfn.XLOOKUP($A495,My_Audit!$A:$A,My_Audit!J:J,""),
_xlfn.IFS(_xlpm.MyAuditVal&lt;&gt;"",UPPER(_xlpm.MyAuditVal),_xlpm.MacVal&lt;&gt;"",_xlpm.MacVal,_xlpm.CSVVal&lt;&gt;"",_xlpm.CSVVal
)),"")</f>
        <v/>
      </c>
      <c r="L495" s="40" t="str" cm="1">
        <f t="array" ref="L495">IFERROR(_xlfn.LET(
_xlpm.CSVVal,_xlfn.XLOOKUP($A495,CSV!$A:$A,CSV!P:P,""),
_xlpm.MacVal,_xlfn.XLOOKUP($A495,Output_Mac!$A:$A,Output_Mac!L:L,""),
_xlpm.MyAuditVal,_xlfn.XLOOKUP($A495,My_Audit!$A:$A,My_Audit!K:K,""),
_xlfn.IFS(_xlpm.MyAuditVal&lt;&gt;"",UPPER(_xlpm.MyAuditVal),_xlpm.MacVal&lt;&gt;"",_xlpm.MacVal,_xlpm.CSVVal&lt;&gt;"",_xlpm.CSVVal
)),"")</f>
        <v/>
      </c>
      <c r="M495" s="40" t="str" cm="1">
        <f t="array" ref="M495">IFERROR(_xlfn.LET(
_xlpm.CSVVal,_xlfn.XLOOKUP($A495,CSV!$A:$A,CSV!Q:Q,""),
_xlpm.MacVal,_xlfn.XLOOKUP($A495,Output_Mac!$A:$A,Output_Mac!M:M,""),
_xlpm.MyAuditVal,_xlfn.XLOOKUP($A495,My_Audit!$A:$A,My_Audit!L:L,""),
_xlfn.IFS(_xlpm.MyAuditVal&lt;&gt;"",UPPER(_xlpm.MyAuditVal),_xlpm.MacVal&lt;&gt;"",_xlpm.MacVal,_xlpm.CSVVal&lt;&gt;"",_xlpm.CSVVal
)),"")</f>
        <v/>
      </c>
      <c r="N495" s="40"/>
      <c r="O495" s="40" t="str">
        <f>_xlfn.LET(
    _xlpm.CSVVal, _xlfn.XLOOKUP($A495, CSV!$A:$A, CSV!AA:AA, ""),
    _xlpm.MacVal, _xlfn.XLOOKUP($A495, Output_Mac!$A:$A, Output_Mac!S:S, ""),
    _xlpm.MyAuditVal, _xlfn.XLOOKUP($A495, My_Audit!$A:$A, My_Audit!P:P, ""),
    _xlfn.TEXTJOIN(", ", TRUE, _xlpm.MyAuditVal, _xlpm.MacVal, _xlpm.CSVVal)
)</f>
        <v/>
      </c>
      <c r="P495" s="40" t="str" cm="1">
        <f t="array" ref="P495">IFERROR(_xlfn.LET(
_xlpm.CSVVal,_xlfn.XLOOKUP($A495,CSV!$A:$A,CSV!AB:AB,""),
_xlpm.MacVal,_xlfn.XLOOKUP($A495,Output_Mac!$A:$A,Output_Mac!T:T,""),
_xlpm.MyAuditVal,_xlfn.XLOOKUP($A495,My_Audit!$A:$A,My_Audit!Q:Q,""),
_xlfn.IFS(_xlpm.MyAuditVal&lt;&gt;"",UPPER(_xlpm.MyAuditVal),_xlpm.MacVal&lt;&gt;"",_xlpm.MacVal,_xlpm.CSVVal&lt;&gt;"",_xlpm.CSVVal
)),"No")</f>
        <v>No</v>
      </c>
      <c r="Q495" s="40" t="str" cm="1">
        <f t="array" ref="Q495">IFERROR(_xlfn.LET(
_xlpm.CSVVal,_xlfn.XLOOKUP($A495,CSV!$A:$A,CSV!AC:AC,""),
_xlpm.MacVal,_xlfn.XLOOKUP($A495,Output_Mac!$A:$A,Output_Mac!U:U,""),
_xlpm.MyAuditVal,_xlfn.XLOOKUP($A495,My_Audit!$A:$A,My_Audit!R:R,""),
_xlfn.IFS(_xlpm.MyAuditVal&lt;&gt;"",UPPER(_xlpm.MyAuditVal),_xlpm.MacVal&lt;&gt;"",_xlpm.MacVal,_xlpm.CSVVal&lt;&gt;"",_xlpm.CSVVal
)),"")</f>
        <v/>
      </c>
      <c r="R495" s="40"/>
      <c r="S495" s="40"/>
      <c r="T495" s="40"/>
      <c r="U495" s="40"/>
      <c r="V495" s="40"/>
      <c r="W495" s="40"/>
      <c r="X495" s="41" t="str">
        <f>_xlfn.LET(
    _xlpm.MacVal, _xlfn.XLOOKUP($A495, Output_Mac!$A:$A, Output_Mac!AB:AB, ""),
    _xlpm.MyAuditVal, _xlfn.XLOOKUP($A495, My_Audit!$A:$A, My_Audit!N:N, ""),
    _xlfn.TEXTJOIN(", ", TRUE, _xlpm.MyAuditVal, _xlpm.MacVal)
)</f>
        <v/>
      </c>
    </row>
    <row r="496" spans="1:24">
      <c r="A496" s="40" t="str">
        <f>_xlfn.TEXTJOIN("",TRUE,Input!$B$2,ROW(My_Audit!A495))</f>
        <v>X495</v>
      </c>
      <c r="B496" s="40" t="str">
        <f>_xlfn.TEXTJOIN("-",TRUE,"ITD",Input!$A$2,A496)</f>
        <v>ITD-X495</v>
      </c>
      <c r="C496" s="40" t="str" cm="1">
        <f t="array" ref="C496">IFERROR(_xlfn.LET(
_xlpm.CSVVal,_xlfn.XLOOKUP($A496,CSV!$A:$A,CSV!B:B,""),
_xlpm.MacVal,_xlfn.XLOOKUP($A496,Output_Mac!$A:$A,Output_Mac!B:B,""),
_xlpm.MyAuditVal,_xlfn.XLOOKUP($A496,My_Audit!$A:$A,My_Audit!B:B,""),
_xlfn.IFS(_xlpm.MyAuditVal&lt;&gt;"",UPPER(_xlpm.MyAuditVal),_xlpm.MacVal&lt;&gt;"",_xlpm.MacVal,_xlpm.CSVVal&lt;&gt;"",_xlpm.CSVVal
)),"")</f>
        <v/>
      </c>
      <c r="D496" s="40" t="str" cm="1">
        <f t="array" ref="D496">IFERROR(_xlfn.LET(
_xlpm.CSVVal,_xlfn.XLOOKUP($A496,CSV!$A:$A,CSV!D:D,""),
_xlpm.MacVal,_xlfn.XLOOKUP($A496,Output_Mac!$A:$A,Output_Mac!C:C,""),
_xlpm.MyAuditVal,_xlfn.XLOOKUP($A496,My_Audit!$A:$A,My_Audit!C:C,""),
_xlfn.IFS(_xlpm.MyAuditVal&lt;&gt;"",_xlpm.MyAuditVal,_xlpm.MacVal&lt;&gt;"",_xlpm.MacVal,_xlpm.CSVVal&lt;&gt;"",_xlpm.CSVVal
)),"")</f>
        <v/>
      </c>
      <c r="E496" s="40" t="str">
        <f>_xlfn.XLOOKUP(A496,My_Audit!A:A,My_Audit!D:D,"")</f>
        <v/>
      </c>
      <c r="F496" s="40" t="str" cm="1">
        <f t="array" ref="F496">IFERROR(_xlfn.LET(
_xlpm.CSVVal,_xlfn.XLOOKUP($A496,CSV!$A:$A,CSV!F:F,""),
_xlpm.MacVal,_xlfn.XLOOKUP($A496,Output_Mac!$A:$A,Output_Mac!E:E,""),
_xlpm.MyAuditVal,_xlfn.XLOOKUP($A496,My_Audit!$A:$A,My_Audit!E:E,""),
_xlfn.IFS(_xlpm.MyAuditVal&lt;&gt;"",_xlpm.MyAuditVal,_xlpm.MacVal&lt;&gt;"",_xlpm.MacVal,_xlpm.CSVVal&lt;&gt;"",_xlpm.CSVVal
)),"")</f>
        <v/>
      </c>
      <c r="G496" s="40" t="str" cm="1">
        <f t="array" ref="G496">IFERROR(_xlfn.LET(
_xlpm.CSVVal,_xlfn.XLOOKUP($A496,CSV!$A:$A,CSV!G:G,""),
_xlpm.MacVal,_xlfn.XLOOKUP($A496,Output_Mac!$A:$A,Output_Mac!F:F,""),
_xlpm.MyAuditVal,_xlfn.XLOOKUP($A496,My_Audit!$A:$A,My_Audit!F:F,""),
_xlfn.IFS(_xlpm.MyAuditVal&lt;&gt;"",_xlpm.MyAuditVal,_xlpm.MacVal&lt;&gt;"",_xlpm.MacVal,_xlpm.CSVVal&lt;&gt;"",PROPER(_xlpm.CSVVal)
)),"")</f>
        <v/>
      </c>
      <c r="H496" s="40" t="str" cm="1">
        <f t="array" ref="H496">IFERROR(_xlfn.LET(
_xlpm.CSVVal,_xlfn.XLOOKUP($A496,CSV!$A:$A,CSV!H:H,""),
_xlpm.MacVal,_xlfn.XLOOKUP($A496,Output_Mac!$A:$A,Output_Mac!H:H,""),
_xlpm.MyAuditVal,_xlfn.XLOOKUP($A496,My_Audit!$A:$A,My_Audit!G:G,""),
_xlfn.IFS(_xlpm.MyAuditVal&lt;&gt;"",_xlpm.MyAuditVal,_xlpm.MacVal&lt;&gt;"",_xlpm.MacVal,_xlpm.CSVVal&lt;&gt;"",_xlpm.CSVVal
)),"")</f>
        <v/>
      </c>
      <c r="I496" s="40" t="str">
        <f>_xlfn.XLOOKUP(A496,Output_Mac!A:A,Output_Mac!I:I,"")</f>
        <v/>
      </c>
      <c r="J496" s="40" t="str" cm="1">
        <f t="array" ref="J496">IFERROR(_xlfn.LET(
_xlpm.CSVVal,_xlfn.XLOOKUP($A496,CSV!$A:$A,CSV!I:I,""),
_xlpm.MacVal,_xlfn.XLOOKUP($A496,Output_Mac!$A:$A,Output_Mac!J:J,""),
_xlpm.MyAuditVal,_xlfn.XLOOKUP($A496,My_Audit!$A:$A,My_Audit!I:I,""),
_xlfn.IFS(_xlpm.MyAuditVal&lt;&gt;"",UPPER(_xlpm.MyAuditVal),_xlpm.MacVal&lt;&gt;"",_xlpm.MacVal,_xlpm.CSVVal&lt;&gt;"",_xlpm.CSVVal
)),"")</f>
        <v/>
      </c>
      <c r="K496" s="40" t="str" cm="1">
        <f t="array" ref="K496">IFERROR(_xlfn.LET(
_xlpm.CSVVal,_xlfn.XLOOKUP($A496,CSV!$A:$A,CSV!K:K,""),
_xlpm.MacVal,_xlfn.XLOOKUP($A496,Output_Mac!$A:$A,Output_Mac!K:K,""),
_xlpm.MyAuditVal,_xlfn.XLOOKUP($A496,My_Audit!$A:$A,My_Audit!J:J,""),
_xlfn.IFS(_xlpm.MyAuditVal&lt;&gt;"",UPPER(_xlpm.MyAuditVal),_xlpm.MacVal&lt;&gt;"",_xlpm.MacVal,_xlpm.CSVVal&lt;&gt;"",_xlpm.CSVVal
)),"")</f>
        <v/>
      </c>
      <c r="L496" s="40" t="str" cm="1">
        <f t="array" ref="L496">IFERROR(_xlfn.LET(
_xlpm.CSVVal,_xlfn.XLOOKUP($A496,CSV!$A:$A,CSV!P:P,""),
_xlpm.MacVal,_xlfn.XLOOKUP($A496,Output_Mac!$A:$A,Output_Mac!L:L,""),
_xlpm.MyAuditVal,_xlfn.XLOOKUP($A496,My_Audit!$A:$A,My_Audit!K:K,""),
_xlfn.IFS(_xlpm.MyAuditVal&lt;&gt;"",UPPER(_xlpm.MyAuditVal),_xlpm.MacVal&lt;&gt;"",_xlpm.MacVal,_xlpm.CSVVal&lt;&gt;"",_xlpm.CSVVal
)),"")</f>
        <v/>
      </c>
      <c r="M496" s="40" t="str" cm="1">
        <f t="array" ref="M496">IFERROR(_xlfn.LET(
_xlpm.CSVVal,_xlfn.XLOOKUP($A496,CSV!$A:$A,CSV!Q:Q,""),
_xlpm.MacVal,_xlfn.XLOOKUP($A496,Output_Mac!$A:$A,Output_Mac!M:M,""),
_xlpm.MyAuditVal,_xlfn.XLOOKUP($A496,My_Audit!$A:$A,My_Audit!L:L,""),
_xlfn.IFS(_xlpm.MyAuditVal&lt;&gt;"",UPPER(_xlpm.MyAuditVal),_xlpm.MacVal&lt;&gt;"",_xlpm.MacVal,_xlpm.CSVVal&lt;&gt;"",_xlpm.CSVVal
)),"")</f>
        <v/>
      </c>
      <c r="N496" s="40"/>
      <c r="O496" s="40" t="str">
        <f>_xlfn.LET(
    _xlpm.CSVVal, _xlfn.XLOOKUP($A496, CSV!$A:$A, CSV!AA:AA, ""),
    _xlpm.MacVal, _xlfn.XLOOKUP($A496, Output_Mac!$A:$A, Output_Mac!S:S, ""),
    _xlpm.MyAuditVal, _xlfn.XLOOKUP($A496, My_Audit!$A:$A, My_Audit!P:P, ""),
    _xlfn.TEXTJOIN(", ", TRUE, _xlpm.MyAuditVal, _xlpm.MacVal, _xlpm.CSVVal)
)</f>
        <v/>
      </c>
      <c r="P496" s="40" t="str" cm="1">
        <f t="array" ref="P496">IFERROR(_xlfn.LET(
_xlpm.CSVVal,_xlfn.XLOOKUP($A496,CSV!$A:$A,CSV!AB:AB,""),
_xlpm.MacVal,_xlfn.XLOOKUP($A496,Output_Mac!$A:$A,Output_Mac!T:T,""),
_xlpm.MyAuditVal,_xlfn.XLOOKUP($A496,My_Audit!$A:$A,My_Audit!Q:Q,""),
_xlfn.IFS(_xlpm.MyAuditVal&lt;&gt;"",UPPER(_xlpm.MyAuditVal),_xlpm.MacVal&lt;&gt;"",_xlpm.MacVal,_xlpm.CSVVal&lt;&gt;"",_xlpm.CSVVal
)),"No")</f>
        <v>No</v>
      </c>
      <c r="Q496" s="40" t="str" cm="1">
        <f t="array" ref="Q496">IFERROR(_xlfn.LET(
_xlpm.CSVVal,_xlfn.XLOOKUP($A496,CSV!$A:$A,CSV!AC:AC,""),
_xlpm.MacVal,_xlfn.XLOOKUP($A496,Output_Mac!$A:$A,Output_Mac!U:U,""),
_xlpm.MyAuditVal,_xlfn.XLOOKUP($A496,My_Audit!$A:$A,My_Audit!R:R,""),
_xlfn.IFS(_xlpm.MyAuditVal&lt;&gt;"",UPPER(_xlpm.MyAuditVal),_xlpm.MacVal&lt;&gt;"",_xlpm.MacVal,_xlpm.CSVVal&lt;&gt;"",_xlpm.CSVVal
)),"")</f>
        <v/>
      </c>
      <c r="R496" s="40"/>
      <c r="S496" s="40"/>
      <c r="T496" s="40"/>
      <c r="U496" s="40"/>
      <c r="V496" s="40"/>
      <c r="W496" s="40"/>
      <c r="X496" s="41" t="str">
        <f>_xlfn.LET(
    _xlpm.MacVal, _xlfn.XLOOKUP($A496, Output_Mac!$A:$A, Output_Mac!AB:AB, ""),
    _xlpm.MyAuditVal, _xlfn.XLOOKUP($A496, My_Audit!$A:$A, My_Audit!N:N, ""),
    _xlfn.TEXTJOIN(", ", TRUE, _xlpm.MyAuditVal, _xlpm.MacVal)
)</f>
        <v/>
      </c>
    </row>
    <row r="497" spans="1:24">
      <c r="A497" s="40" t="str">
        <f>_xlfn.TEXTJOIN("",TRUE,Input!$B$2,ROW(My_Audit!A496))</f>
        <v>X496</v>
      </c>
      <c r="B497" s="40" t="str">
        <f>_xlfn.TEXTJOIN("-",TRUE,"ITD",Input!$A$2,A497)</f>
        <v>ITD-X496</v>
      </c>
      <c r="C497" s="40" t="str" cm="1">
        <f t="array" ref="C497">IFERROR(_xlfn.LET(
_xlpm.CSVVal,_xlfn.XLOOKUP($A497,CSV!$A:$A,CSV!B:B,""),
_xlpm.MacVal,_xlfn.XLOOKUP($A497,Output_Mac!$A:$A,Output_Mac!B:B,""),
_xlpm.MyAuditVal,_xlfn.XLOOKUP($A497,My_Audit!$A:$A,My_Audit!B:B,""),
_xlfn.IFS(_xlpm.MyAuditVal&lt;&gt;"",UPPER(_xlpm.MyAuditVal),_xlpm.MacVal&lt;&gt;"",_xlpm.MacVal,_xlpm.CSVVal&lt;&gt;"",_xlpm.CSVVal
)),"")</f>
        <v/>
      </c>
      <c r="D497" s="40" t="str" cm="1">
        <f t="array" ref="D497">IFERROR(_xlfn.LET(
_xlpm.CSVVal,_xlfn.XLOOKUP($A497,CSV!$A:$A,CSV!D:D,""),
_xlpm.MacVal,_xlfn.XLOOKUP($A497,Output_Mac!$A:$A,Output_Mac!C:C,""),
_xlpm.MyAuditVal,_xlfn.XLOOKUP($A497,My_Audit!$A:$A,My_Audit!C:C,""),
_xlfn.IFS(_xlpm.MyAuditVal&lt;&gt;"",_xlpm.MyAuditVal,_xlpm.MacVal&lt;&gt;"",_xlpm.MacVal,_xlpm.CSVVal&lt;&gt;"",_xlpm.CSVVal
)),"")</f>
        <v/>
      </c>
      <c r="E497" s="40" t="str">
        <f>_xlfn.XLOOKUP(A497,My_Audit!A:A,My_Audit!D:D,"")</f>
        <v/>
      </c>
      <c r="F497" s="40" t="str" cm="1">
        <f t="array" ref="F497">IFERROR(_xlfn.LET(
_xlpm.CSVVal,_xlfn.XLOOKUP($A497,CSV!$A:$A,CSV!F:F,""),
_xlpm.MacVal,_xlfn.XLOOKUP($A497,Output_Mac!$A:$A,Output_Mac!E:E,""),
_xlpm.MyAuditVal,_xlfn.XLOOKUP($A497,My_Audit!$A:$A,My_Audit!E:E,""),
_xlfn.IFS(_xlpm.MyAuditVal&lt;&gt;"",_xlpm.MyAuditVal,_xlpm.MacVal&lt;&gt;"",_xlpm.MacVal,_xlpm.CSVVal&lt;&gt;"",_xlpm.CSVVal
)),"")</f>
        <v/>
      </c>
      <c r="G497" s="40" t="str" cm="1">
        <f t="array" ref="G497">IFERROR(_xlfn.LET(
_xlpm.CSVVal,_xlfn.XLOOKUP($A497,CSV!$A:$A,CSV!G:G,""),
_xlpm.MacVal,_xlfn.XLOOKUP($A497,Output_Mac!$A:$A,Output_Mac!F:F,""),
_xlpm.MyAuditVal,_xlfn.XLOOKUP($A497,My_Audit!$A:$A,My_Audit!F:F,""),
_xlfn.IFS(_xlpm.MyAuditVal&lt;&gt;"",_xlpm.MyAuditVal,_xlpm.MacVal&lt;&gt;"",_xlpm.MacVal,_xlpm.CSVVal&lt;&gt;"",PROPER(_xlpm.CSVVal)
)),"")</f>
        <v/>
      </c>
      <c r="H497" s="40" t="str" cm="1">
        <f t="array" ref="H497">IFERROR(_xlfn.LET(
_xlpm.CSVVal,_xlfn.XLOOKUP($A497,CSV!$A:$A,CSV!H:H,""),
_xlpm.MacVal,_xlfn.XLOOKUP($A497,Output_Mac!$A:$A,Output_Mac!H:H,""),
_xlpm.MyAuditVal,_xlfn.XLOOKUP($A497,My_Audit!$A:$A,My_Audit!G:G,""),
_xlfn.IFS(_xlpm.MyAuditVal&lt;&gt;"",_xlpm.MyAuditVal,_xlpm.MacVal&lt;&gt;"",_xlpm.MacVal,_xlpm.CSVVal&lt;&gt;"",_xlpm.CSVVal
)),"")</f>
        <v/>
      </c>
      <c r="I497" s="40" t="str">
        <f>_xlfn.XLOOKUP(A497,Output_Mac!A:A,Output_Mac!I:I,"")</f>
        <v/>
      </c>
      <c r="J497" s="40" t="str" cm="1">
        <f t="array" ref="J497">IFERROR(_xlfn.LET(
_xlpm.CSVVal,_xlfn.XLOOKUP($A497,CSV!$A:$A,CSV!I:I,""),
_xlpm.MacVal,_xlfn.XLOOKUP($A497,Output_Mac!$A:$A,Output_Mac!J:J,""),
_xlpm.MyAuditVal,_xlfn.XLOOKUP($A497,My_Audit!$A:$A,My_Audit!I:I,""),
_xlfn.IFS(_xlpm.MyAuditVal&lt;&gt;"",UPPER(_xlpm.MyAuditVal),_xlpm.MacVal&lt;&gt;"",_xlpm.MacVal,_xlpm.CSVVal&lt;&gt;"",_xlpm.CSVVal
)),"")</f>
        <v/>
      </c>
      <c r="K497" s="40" t="str" cm="1">
        <f t="array" ref="K497">IFERROR(_xlfn.LET(
_xlpm.CSVVal,_xlfn.XLOOKUP($A497,CSV!$A:$A,CSV!K:K,""),
_xlpm.MacVal,_xlfn.XLOOKUP($A497,Output_Mac!$A:$A,Output_Mac!K:K,""),
_xlpm.MyAuditVal,_xlfn.XLOOKUP($A497,My_Audit!$A:$A,My_Audit!J:J,""),
_xlfn.IFS(_xlpm.MyAuditVal&lt;&gt;"",UPPER(_xlpm.MyAuditVal),_xlpm.MacVal&lt;&gt;"",_xlpm.MacVal,_xlpm.CSVVal&lt;&gt;"",_xlpm.CSVVal
)),"")</f>
        <v/>
      </c>
      <c r="L497" s="40" t="str" cm="1">
        <f t="array" ref="L497">IFERROR(_xlfn.LET(
_xlpm.CSVVal,_xlfn.XLOOKUP($A497,CSV!$A:$A,CSV!P:P,""),
_xlpm.MacVal,_xlfn.XLOOKUP($A497,Output_Mac!$A:$A,Output_Mac!L:L,""),
_xlpm.MyAuditVal,_xlfn.XLOOKUP($A497,My_Audit!$A:$A,My_Audit!K:K,""),
_xlfn.IFS(_xlpm.MyAuditVal&lt;&gt;"",UPPER(_xlpm.MyAuditVal),_xlpm.MacVal&lt;&gt;"",_xlpm.MacVal,_xlpm.CSVVal&lt;&gt;"",_xlpm.CSVVal
)),"")</f>
        <v/>
      </c>
      <c r="M497" s="40" t="str" cm="1">
        <f t="array" ref="M497">IFERROR(_xlfn.LET(
_xlpm.CSVVal,_xlfn.XLOOKUP($A497,CSV!$A:$A,CSV!Q:Q,""),
_xlpm.MacVal,_xlfn.XLOOKUP($A497,Output_Mac!$A:$A,Output_Mac!M:M,""),
_xlpm.MyAuditVal,_xlfn.XLOOKUP($A497,My_Audit!$A:$A,My_Audit!L:L,""),
_xlfn.IFS(_xlpm.MyAuditVal&lt;&gt;"",UPPER(_xlpm.MyAuditVal),_xlpm.MacVal&lt;&gt;"",_xlpm.MacVal,_xlpm.CSVVal&lt;&gt;"",_xlpm.CSVVal
)),"")</f>
        <v/>
      </c>
      <c r="N497" s="40"/>
      <c r="O497" s="40" t="str">
        <f>_xlfn.LET(
    _xlpm.CSVVal, _xlfn.XLOOKUP($A497, CSV!$A:$A, CSV!AA:AA, ""),
    _xlpm.MacVal, _xlfn.XLOOKUP($A497, Output_Mac!$A:$A, Output_Mac!S:S, ""),
    _xlpm.MyAuditVal, _xlfn.XLOOKUP($A497, My_Audit!$A:$A, My_Audit!P:P, ""),
    _xlfn.TEXTJOIN(", ", TRUE, _xlpm.MyAuditVal, _xlpm.MacVal, _xlpm.CSVVal)
)</f>
        <v/>
      </c>
      <c r="P497" s="40" t="str" cm="1">
        <f t="array" ref="P497">IFERROR(_xlfn.LET(
_xlpm.CSVVal,_xlfn.XLOOKUP($A497,CSV!$A:$A,CSV!AB:AB,""),
_xlpm.MacVal,_xlfn.XLOOKUP($A497,Output_Mac!$A:$A,Output_Mac!T:T,""),
_xlpm.MyAuditVal,_xlfn.XLOOKUP($A497,My_Audit!$A:$A,My_Audit!Q:Q,""),
_xlfn.IFS(_xlpm.MyAuditVal&lt;&gt;"",UPPER(_xlpm.MyAuditVal),_xlpm.MacVal&lt;&gt;"",_xlpm.MacVal,_xlpm.CSVVal&lt;&gt;"",_xlpm.CSVVal
)),"No")</f>
        <v>No</v>
      </c>
      <c r="Q497" s="40" t="str" cm="1">
        <f t="array" ref="Q497">IFERROR(_xlfn.LET(
_xlpm.CSVVal,_xlfn.XLOOKUP($A497,CSV!$A:$A,CSV!AC:AC,""),
_xlpm.MacVal,_xlfn.XLOOKUP($A497,Output_Mac!$A:$A,Output_Mac!U:U,""),
_xlpm.MyAuditVal,_xlfn.XLOOKUP($A497,My_Audit!$A:$A,My_Audit!R:R,""),
_xlfn.IFS(_xlpm.MyAuditVal&lt;&gt;"",UPPER(_xlpm.MyAuditVal),_xlpm.MacVal&lt;&gt;"",_xlpm.MacVal,_xlpm.CSVVal&lt;&gt;"",_xlpm.CSVVal
)),"")</f>
        <v/>
      </c>
      <c r="R497" s="40"/>
      <c r="S497" s="40"/>
      <c r="T497" s="40"/>
      <c r="U497" s="40"/>
      <c r="V497" s="40"/>
      <c r="W497" s="40"/>
      <c r="X497" s="41" t="str">
        <f>_xlfn.LET(
    _xlpm.MacVal, _xlfn.XLOOKUP($A497, Output_Mac!$A:$A, Output_Mac!AB:AB, ""),
    _xlpm.MyAuditVal, _xlfn.XLOOKUP($A497, My_Audit!$A:$A, My_Audit!N:N, ""),
    _xlfn.TEXTJOIN(", ", TRUE, _xlpm.MyAuditVal, _xlpm.MacVal)
)</f>
        <v/>
      </c>
    </row>
    <row r="498" spans="1:24">
      <c r="A498" s="40" t="str">
        <f>_xlfn.TEXTJOIN("",TRUE,Input!$B$2,ROW(My_Audit!A497))</f>
        <v>X497</v>
      </c>
      <c r="B498" s="40" t="str">
        <f>_xlfn.TEXTJOIN("-",TRUE,"ITD",Input!$A$2,A498)</f>
        <v>ITD-X497</v>
      </c>
      <c r="C498" s="40" t="str" cm="1">
        <f t="array" ref="C498">IFERROR(_xlfn.LET(
_xlpm.CSVVal,_xlfn.XLOOKUP($A498,CSV!$A:$A,CSV!B:B,""),
_xlpm.MacVal,_xlfn.XLOOKUP($A498,Output_Mac!$A:$A,Output_Mac!B:B,""),
_xlpm.MyAuditVal,_xlfn.XLOOKUP($A498,My_Audit!$A:$A,My_Audit!B:B,""),
_xlfn.IFS(_xlpm.MyAuditVal&lt;&gt;"",UPPER(_xlpm.MyAuditVal),_xlpm.MacVal&lt;&gt;"",_xlpm.MacVal,_xlpm.CSVVal&lt;&gt;"",_xlpm.CSVVal
)),"")</f>
        <v/>
      </c>
      <c r="D498" s="40" t="str" cm="1">
        <f t="array" ref="D498">IFERROR(_xlfn.LET(
_xlpm.CSVVal,_xlfn.XLOOKUP($A498,CSV!$A:$A,CSV!D:D,""),
_xlpm.MacVal,_xlfn.XLOOKUP($A498,Output_Mac!$A:$A,Output_Mac!C:C,""),
_xlpm.MyAuditVal,_xlfn.XLOOKUP($A498,My_Audit!$A:$A,My_Audit!C:C,""),
_xlfn.IFS(_xlpm.MyAuditVal&lt;&gt;"",_xlpm.MyAuditVal,_xlpm.MacVal&lt;&gt;"",_xlpm.MacVal,_xlpm.CSVVal&lt;&gt;"",_xlpm.CSVVal
)),"")</f>
        <v/>
      </c>
      <c r="E498" s="40" t="str">
        <f>_xlfn.XLOOKUP(A498,My_Audit!A:A,My_Audit!D:D,"")</f>
        <v/>
      </c>
      <c r="F498" s="40" t="str" cm="1">
        <f t="array" ref="F498">IFERROR(_xlfn.LET(
_xlpm.CSVVal,_xlfn.XLOOKUP($A498,CSV!$A:$A,CSV!F:F,""),
_xlpm.MacVal,_xlfn.XLOOKUP($A498,Output_Mac!$A:$A,Output_Mac!E:E,""),
_xlpm.MyAuditVal,_xlfn.XLOOKUP($A498,My_Audit!$A:$A,My_Audit!E:E,""),
_xlfn.IFS(_xlpm.MyAuditVal&lt;&gt;"",_xlpm.MyAuditVal,_xlpm.MacVal&lt;&gt;"",_xlpm.MacVal,_xlpm.CSVVal&lt;&gt;"",_xlpm.CSVVal
)),"")</f>
        <v/>
      </c>
      <c r="G498" s="40" t="str" cm="1">
        <f t="array" ref="G498">IFERROR(_xlfn.LET(
_xlpm.CSVVal,_xlfn.XLOOKUP($A498,CSV!$A:$A,CSV!G:G,""),
_xlpm.MacVal,_xlfn.XLOOKUP($A498,Output_Mac!$A:$A,Output_Mac!F:F,""),
_xlpm.MyAuditVal,_xlfn.XLOOKUP($A498,My_Audit!$A:$A,My_Audit!F:F,""),
_xlfn.IFS(_xlpm.MyAuditVal&lt;&gt;"",_xlpm.MyAuditVal,_xlpm.MacVal&lt;&gt;"",_xlpm.MacVal,_xlpm.CSVVal&lt;&gt;"",PROPER(_xlpm.CSVVal)
)),"")</f>
        <v/>
      </c>
      <c r="H498" s="40" t="str" cm="1">
        <f t="array" ref="H498">IFERROR(_xlfn.LET(
_xlpm.CSVVal,_xlfn.XLOOKUP($A498,CSV!$A:$A,CSV!H:H,""),
_xlpm.MacVal,_xlfn.XLOOKUP($A498,Output_Mac!$A:$A,Output_Mac!H:H,""),
_xlpm.MyAuditVal,_xlfn.XLOOKUP($A498,My_Audit!$A:$A,My_Audit!G:G,""),
_xlfn.IFS(_xlpm.MyAuditVal&lt;&gt;"",_xlpm.MyAuditVal,_xlpm.MacVal&lt;&gt;"",_xlpm.MacVal,_xlpm.CSVVal&lt;&gt;"",_xlpm.CSVVal
)),"")</f>
        <v/>
      </c>
      <c r="I498" s="40" t="str">
        <f>_xlfn.XLOOKUP(A498,Output_Mac!A:A,Output_Mac!I:I,"")</f>
        <v/>
      </c>
      <c r="J498" s="40" t="str" cm="1">
        <f t="array" ref="J498">IFERROR(_xlfn.LET(
_xlpm.CSVVal,_xlfn.XLOOKUP($A498,CSV!$A:$A,CSV!I:I,""),
_xlpm.MacVal,_xlfn.XLOOKUP($A498,Output_Mac!$A:$A,Output_Mac!J:J,""),
_xlpm.MyAuditVal,_xlfn.XLOOKUP($A498,My_Audit!$A:$A,My_Audit!I:I,""),
_xlfn.IFS(_xlpm.MyAuditVal&lt;&gt;"",UPPER(_xlpm.MyAuditVal),_xlpm.MacVal&lt;&gt;"",_xlpm.MacVal,_xlpm.CSVVal&lt;&gt;"",_xlpm.CSVVal
)),"")</f>
        <v/>
      </c>
      <c r="K498" s="40" t="str" cm="1">
        <f t="array" ref="K498">IFERROR(_xlfn.LET(
_xlpm.CSVVal,_xlfn.XLOOKUP($A498,CSV!$A:$A,CSV!K:K,""),
_xlpm.MacVal,_xlfn.XLOOKUP($A498,Output_Mac!$A:$A,Output_Mac!K:K,""),
_xlpm.MyAuditVal,_xlfn.XLOOKUP($A498,My_Audit!$A:$A,My_Audit!J:J,""),
_xlfn.IFS(_xlpm.MyAuditVal&lt;&gt;"",UPPER(_xlpm.MyAuditVal),_xlpm.MacVal&lt;&gt;"",_xlpm.MacVal,_xlpm.CSVVal&lt;&gt;"",_xlpm.CSVVal
)),"")</f>
        <v/>
      </c>
      <c r="L498" s="40" t="str" cm="1">
        <f t="array" ref="L498">IFERROR(_xlfn.LET(
_xlpm.CSVVal,_xlfn.XLOOKUP($A498,CSV!$A:$A,CSV!P:P,""),
_xlpm.MacVal,_xlfn.XLOOKUP($A498,Output_Mac!$A:$A,Output_Mac!L:L,""),
_xlpm.MyAuditVal,_xlfn.XLOOKUP($A498,My_Audit!$A:$A,My_Audit!K:K,""),
_xlfn.IFS(_xlpm.MyAuditVal&lt;&gt;"",UPPER(_xlpm.MyAuditVal),_xlpm.MacVal&lt;&gt;"",_xlpm.MacVal,_xlpm.CSVVal&lt;&gt;"",_xlpm.CSVVal
)),"")</f>
        <v/>
      </c>
      <c r="M498" s="40" t="str" cm="1">
        <f t="array" ref="M498">IFERROR(_xlfn.LET(
_xlpm.CSVVal,_xlfn.XLOOKUP($A498,CSV!$A:$A,CSV!Q:Q,""),
_xlpm.MacVal,_xlfn.XLOOKUP($A498,Output_Mac!$A:$A,Output_Mac!M:M,""),
_xlpm.MyAuditVal,_xlfn.XLOOKUP($A498,My_Audit!$A:$A,My_Audit!L:L,""),
_xlfn.IFS(_xlpm.MyAuditVal&lt;&gt;"",UPPER(_xlpm.MyAuditVal),_xlpm.MacVal&lt;&gt;"",_xlpm.MacVal,_xlpm.CSVVal&lt;&gt;"",_xlpm.CSVVal
)),"")</f>
        <v/>
      </c>
      <c r="N498" s="40"/>
      <c r="O498" s="40" t="str">
        <f>_xlfn.LET(
    _xlpm.CSVVal, _xlfn.XLOOKUP($A498, CSV!$A:$A, CSV!AA:AA, ""),
    _xlpm.MacVal, _xlfn.XLOOKUP($A498, Output_Mac!$A:$A, Output_Mac!S:S, ""),
    _xlpm.MyAuditVal, _xlfn.XLOOKUP($A498, My_Audit!$A:$A, My_Audit!P:P, ""),
    _xlfn.TEXTJOIN(", ", TRUE, _xlpm.MyAuditVal, _xlpm.MacVal, _xlpm.CSVVal)
)</f>
        <v/>
      </c>
      <c r="P498" s="40" t="str" cm="1">
        <f t="array" ref="P498">IFERROR(_xlfn.LET(
_xlpm.CSVVal,_xlfn.XLOOKUP($A498,CSV!$A:$A,CSV!AB:AB,""),
_xlpm.MacVal,_xlfn.XLOOKUP($A498,Output_Mac!$A:$A,Output_Mac!T:T,""),
_xlpm.MyAuditVal,_xlfn.XLOOKUP($A498,My_Audit!$A:$A,My_Audit!Q:Q,""),
_xlfn.IFS(_xlpm.MyAuditVal&lt;&gt;"",UPPER(_xlpm.MyAuditVal),_xlpm.MacVal&lt;&gt;"",_xlpm.MacVal,_xlpm.CSVVal&lt;&gt;"",_xlpm.CSVVal
)),"No")</f>
        <v>No</v>
      </c>
      <c r="Q498" s="40" t="str" cm="1">
        <f t="array" ref="Q498">IFERROR(_xlfn.LET(
_xlpm.CSVVal,_xlfn.XLOOKUP($A498,CSV!$A:$A,CSV!AC:AC,""),
_xlpm.MacVal,_xlfn.XLOOKUP($A498,Output_Mac!$A:$A,Output_Mac!U:U,""),
_xlpm.MyAuditVal,_xlfn.XLOOKUP($A498,My_Audit!$A:$A,My_Audit!R:R,""),
_xlfn.IFS(_xlpm.MyAuditVal&lt;&gt;"",UPPER(_xlpm.MyAuditVal),_xlpm.MacVal&lt;&gt;"",_xlpm.MacVal,_xlpm.CSVVal&lt;&gt;"",_xlpm.CSVVal
)),"")</f>
        <v/>
      </c>
      <c r="R498" s="40"/>
      <c r="S498" s="40"/>
      <c r="T498" s="40"/>
      <c r="U498" s="40"/>
      <c r="V498" s="40"/>
      <c r="W498" s="40"/>
      <c r="X498" s="41" t="str">
        <f>_xlfn.LET(
    _xlpm.MacVal, _xlfn.XLOOKUP($A498, Output_Mac!$A:$A, Output_Mac!AB:AB, ""),
    _xlpm.MyAuditVal, _xlfn.XLOOKUP($A498, My_Audit!$A:$A, My_Audit!N:N, ""),
    _xlfn.TEXTJOIN(", ", TRUE, _xlpm.MyAuditVal, _xlpm.MacVal)
)</f>
        <v/>
      </c>
    </row>
    <row r="499" spans="1:24">
      <c r="A499" s="40" t="str">
        <f>_xlfn.TEXTJOIN("",TRUE,Input!$B$2,ROW(My_Audit!A498))</f>
        <v>X498</v>
      </c>
      <c r="B499" s="40" t="str">
        <f>_xlfn.TEXTJOIN("-",TRUE,"ITD",Input!$A$2,A499)</f>
        <v>ITD-X498</v>
      </c>
      <c r="C499" s="40" t="str" cm="1">
        <f t="array" ref="C499">IFERROR(_xlfn.LET(
_xlpm.CSVVal,_xlfn.XLOOKUP($A499,CSV!$A:$A,CSV!B:B,""),
_xlpm.MacVal,_xlfn.XLOOKUP($A499,Output_Mac!$A:$A,Output_Mac!B:B,""),
_xlpm.MyAuditVal,_xlfn.XLOOKUP($A499,My_Audit!$A:$A,My_Audit!B:B,""),
_xlfn.IFS(_xlpm.MyAuditVal&lt;&gt;"",UPPER(_xlpm.MyAuditVal),_xlpm.MacVal&lt;&gt;"",_xlpm.MacVal,_xlpm.CSVVal&lt;&gt;"",_xlpm.CSVVal
)),"")</f>
        <v/>
      </c>
      <c r="D499" s="40" t="str" cm="1">
        <f t="array" ref="D499">IFERROR(_xlfn.LET(
_xlpm.CSVVal,_xlfn.XLOOKUP($A499,CSV!$A:$A,CSV!D:D,""),
_xlpm.MacVal,_xlfn.XLOOKUP($A499,Output_Mac!$A:$A,Output_Mac!C:C,""),
_xlpm.MyAuditVal,_xlfn.XLOOKUP($A499,My_Audit!$A:$A,My_Audit!C:C,""),
_xlfn.IFS(_xlpm.MyAuditVal&lt;&gt;"",_xlpm.MyAuditVal,_xlpm.MacVal&lt;&gt;"",_xlpm.MacVal,_xlpm.CSVVal&lt;&gt;"",_xlpm.CSVVal
)),"")</f>
        <v/>
      </c>
      <c r="E499" s="40" t="str">
        <f>_xlfn.XLOOKUP(A499,My_Audit!A:A,My_Audit!D:D,"")</f>
        <v/>
      </c>
      <c r="F499" s="40" t="str" cm="1">
        <f t="array" ref="F499">IFERROR(_xlfn.LET(
_xlpm.CSVVal,_xlfn.XLOOKUP($A499,CSV!$A:$A,CSV!F:F,""),
_xlpm.MacVal,_xlfn.XLOOKUP($A499,Output_Mac!$A:$A,Output_Mac!E:E,""),
_xlpm.MyAuditVal,_xlfn.XLOOKUP($A499,My_Audit!$A:$A,My_Audit!E:E,""),
_xlfn.IFS(_xlpm.MyAuditVal&lt;&gt;"",_xlpm.MyAuditVal,_xlpm.MacVal&lt;&gt;"",_xlpm.MacVal,_xlpm.CSVVal&lt;&gt;"",_xlpm.CSVVal
)),"")</f>
        <v/>
      </c>
      <c r="G499" s="40" t="str" cm="1">
        <f t="array" ref="G499">IFERROR(_xlfn.LET(
_xlpm.CSVVal,_xlfn.XLOOKUP($A499,CSV!$A:$A,CSV!G:G,""),
_xlpm.MacVal,_xlfn.XLOOKUP($A499,Output_Mac!$A:$A,Output_Mac!F:F,""),
_xlpm.MyAuditVal,_xlfn.XLOOKUP($A499,My_Audit!$A:$A,My_Audit!F:F,""),
_xlfn.IFS(_xlpm.MyAuditVal&lt;&gt;"",_xlpm.MyAuditVal,_xlpm.MacVal&lt;&gt;"",_xlpm.MacVal,_xlpm.CSVVal&lt;&gt;"",PROPER(_xlpm.CSVVal)
)),"")</f>
        <v/>
      </c>
      <c r="H499" s="40" t="str" cm="1">
        <f t="array" ref="H499">IFERROR(_xlfn.LET(
_xlpm.CSVVal,_xlfn.XLOOKUP($A499,CSV!$A:$A,CSV!H:H,""),
_xlpm.MacVal,_xlfn.XLOOKUP($A499,Output_Mac!$A:$A,Output_Mac!H:H,""),
_xlpm.MyAuditVal,_xlfn.XLOOKUP($A499,My_Audit!$A:$A,My_Audit!G:G,""),
_xlfn.IFS(_xlpm.MyAuditVal&lt;&gt;"",_xlpm.MyAuditVal,_xlpm.MacVal&lt;&gt;"",_xlpm.MacVal,_xlpm.CSVVal&lt;&gt;"",_xlpm.CSVVal
)),"")</f>
        <v/>
      </c>
      <c r="I499" s="40" t="str">
        <f>_xlfn.XLOOKUP(A499,Output_Mac!A:A,Output_Mac!I:I,"")</f>
        <v/>
      </c>
      <c r="J499" s="40" t="str" cm="1">
        <f t="array" ref="J499">IFERROR(_xlfn.LET(
_xlpm.CSVVal,_xlfn.XLOOKUP($A499,CSV!$A:$A,CSV!I:I,""),
_xlpm.MacVal,_xlfn.XLOOKUP($A499,Output_Mac!$A:$A,Output_Mac!J:J,""),
_xlpm.MyAuditVal,_xlfn.XLOOKUP($A499,My_Audit!$A:$A,My_Audit!I:I,""),
_xlfn.IFS(_xlpm.MyAuditVal&lt;&gt;"",UPPER(_xlpm.MyAuditVal),_xlpm.MacVal&lt;&gt;"",_xlpm.MacVal,_xlpm.CSVVal&lt;&gt;"",_xlpm.CSVVal
)),"")</f>
        <v/>
      </c>
      <c r="K499" s="40" t="str" cm="1">
        <f t="array" ref="K499">IFERROR(_xlfn.LET(
_xlpm.CSVVal,_xlfn.XLOOKUP($A499,CSV!$A:$A,CSV!K:K,""),
_xlpm.MacVal,_xlfn.XLOOKUP($A499,Output_Mac!$A:$A,Output_Mac!K:K,""),
_xlpm.MyAuditVal,_xlfn.XLOOKUP($A499,My_Audit!$A:$A,My_Audit!J:J,""),
_xlfn.IFS(_xlpm.MyAuditVal&lt;&gt;"",UPPER(_xlpm.MyAuditVal),_xlpm.MacVal&lt;&gt;"",_xlpm.MacVal,_xlpm.CSVVal&lt;&gt;"",_xlpm.CSVVal
)),"")</f>
        <v/>
      </c>
      <c r="L499" s="40" t="str" cm="1">
        <f t="array" ref="L499">IFERROR(_xlfn.LET(
_xlpm.CSVVal,_xlfn.XLOOKUP($A499,CSV!$A:$A,CSV!P:P,""),
_xlpm.MacVal,_xlfn.XLOOKUP($A499,Output_Mac!$A:$A,Output_Mac!L:L,""),
_xlpm.MyAuditVal,_xlfn.XLOOKUP($A499,My_Audit!$A:$A,My_Audit!K:K,""),
_xlfn.IFS(_xlpm.MyAuditVal&lt;&gt;"",UPPER(_xlpm.MyAuditVal),_xlpm.MacVal&lt;&gt;"",_xlpm.MacVal,_xlpm.CSVVal&lt;&gt;"",_xlpm.CSVVal
)),"")</f>
        <v/>
      </c>
      <c r="M499" s="40" t="str" cm="1">
        <f t="array" ref="M499">IFERROR(_xlfn.LET(
_xlpm.CSVVal,_xlfn.XLOOKUP($A499,CSV!$A:$A,CSV!Q:Q,""),
_xlpm.MacVal,_xlfn.XLOOKUP($A499,Output_Mac!$A:$A,Output_Mac!M:M,""),
_xlpm.MyAuditVal,_xlfn.XLOOKUP($A499,My_Audit!$A:$A,My_Audit!L:L,""),
_xlfn.IFS(_xlpm.MyAuditVal&lt;&gt;"",UPPER(_xlpm.MyAuditVal),_xlpm.MacVal&lt;&gt;"",_xlpm.MacVal,_xlpm.CSVVal&lt;&gt;"",_xlpm.CSVVal
)),"")</f>
        <v/>
      </c>
      <c r="N499" s="40"/>
      <c r="O499" s="40" t="str">
        <f>_xlfn.LET(
    _xlpm.CSVVal, _xlfn.XLOOKUP($A499, CSV!$A:$A, CSV!AA:AA, ""),
    _xlpm.MacVal, _xlfn.XLOOKUP($A499, Output_Mac!$A:$A, Output_Mac!S:S, ""),
    _xlpm.MyAuditVal, _xlfn.XLOOKUP($A499, My_Audit!$A:$A, My_Audit!P:P, ""),
    _xlfn.TEXTJOIN(", ", TRUE, _xlpm.MyAuditVal, _xlpm.MacVal, _xlpm.CSVVal)
)</f>
        <v/>
      </c>
      <c r="P499" s="40" t="str" cm="1">
        <f t="array" ref="P499">IFERROR(_xlfn.LET(
_xlpm.CSVVal,_xlfn.XLOOKUP($A499,CSV!$A:$A,CSV!AB:AB,""),
_xlpm.MacVal,_xlfn.XLOOKUP($A499,Output_Mac!$A:$A,Output_Mac!T:T,""),
_xlpm.MyAuditVal,_xlfn.XLOOKUP($A499,My_Audit!$A:$A,My_Audit!Q:Q,""),
_xlfn.IFS(_xlpm.MyAuditVal&lt;&gt;"",UPPER(_xlpm.MyAuditVal),_xlpm.MacVal&lt;&gt;"",_xlpm.MacVal,_xlpm.CSVVal&lt;&gt;"",_xlpm.CSVVal
)),"No")</f>
        <v>No</v>
      </c>
      <c r="Q499" s="40" t="str" cm="1">
        <f t="array" ref="Q499">IFERROR(_xlfn.LET(
_xlpm.CSVVal,_xlfn.XLOOKUP($A499,CSV!$A:$A,CSV!AC:AC,""),
_xlpm.MacVal,_xlfn.XLOOKUP($A499,Output_Mac!$A:$A,Output_Mac!U:U,""),
_xlpm.MyAuditVal,_xlfn.XLOOKUP($A499,My_Audit!$A:$A,My_Audit!R:R,""),
_xlfn.IFS(_xlpm.MyAuditVal&lt;&gt;"",UPPER(_xlpm.MyAuditVal),_xlpm.MacVal&lt;&gt;"",_xlpm.MacVal,_xlpm.CSVVal&lt;&gt;"",_xlpm.CSVVal
)),"")</f>
        <v/>
      </c>
      <c r="R499" s="40"/>
      <c r="S499" s="40"/>
      <c r="T499" s="40"/>
      <c r="U499" s="40"/>
      <c r="V499" s="40"/>
      <c r="W499" s="40"/>
      <c r="X499" s="41" t="str">
        <f>_xlfn.LET(
    _xlpm.MacVal, _xlfn.XLOOKUP($A499, Output_Mac!$A:$A, Output_Mac!AB:AB, ""),
    _xlpm.MyAuditVal, _xlfn.XLOOKUP($A499, My_Audit!$A:$A, My_Audit!N:N, ""),
    _xlfn.TEXTJOIN(", ", TRUE, _xlpm.MyAuditVal, _xlpm.MacVal)
)</f>
        <v/>
      </c>
    </row>
    <row r="500" spans="1:24">
      <c r="A500" s="40" t="str">
        <f>_xlfn.TEXTJOIN("",TRUE,Input!$B$2,ROW(My_Audit!A499))</f>
        <v>X499</v>
      </c>
      <c r="B500" s="40" t="str">
        <f>_xlfn.TEXTJOIN("-",TRUE,"ITD",Input!$A$2,A500)</f>
        <v>ITD-X499</v>
      </c>
      <c r="C500" s="40" t="str" cm="1">
        <f t="array" ref="C500">IFERROR(_xlfn.LET(
_xlpm.CSVVal,_xlfn.XLOOKUP($A500,CSV!$A:$A,CSV!B:B,""),
_xlpm.MacVal,_xlfn.XLOOKUP($A500,Output_Mac!$A:$A,Output_Mac!B:B,""),
_xlpm.MyAuditVal,_xlfn.XLOOKUP($A500,My_Audit!$A:$A,My_Audit!B:B,""),
_xlfn.IFS(_xlpm.MyAuditVal&lt;&gt;"",UPPER(_xlpm.MyAuditVal),_xlpm.MacVal&lt;&gt;"",_xlpm.MacVal,_xlpm.CSVVal&lt;&gt;"",_xlpm.CSVVal
)),"")</f>
        <v/>
      </c>
      <c r="D500" s="40" t="str" cm="1">
        <f t="array" ref="D500">IFERROR(_xlfn.LET(
_xlpm.CSVVal,_xlfn.XLOOKUP($A500,CSV!$A:$A,CSV!D:D,""),
_xlpm.MacVal,_xlfn.XLOOKUP($A500,Output_Mac!$A:$A,Output_Mac!C:C,""),
_xlpm.MyAuditVal,_xlfn.XLOOKUP($A500,My_Audit!$A:$A,My_Audit!C:C,""),
_xlfn.IFS(_xlpm.MyAuditVal&lt;&gt;"",_xlpm.MyAuditVal,_xlpm.MacVal&lt;&gt;"",_xlpm.MacVal,_xlpm.CSVVal&lt;&gt;"",_xlpm.CSVVal
)),"")</f>
        <v/>
      </c>
      <c r="E500" s="40" t="str">
        <f>_xlfn.XLOOKUP(A500,My_Audit!A:A,My_Audit!D:D,"")</f>
        <v/>
      </c>
      <c r="F500" s="40" t="str" cm="1">
        <f t="array" ref="F500">IFERROR(_xlfn.LET(
_xlpm.CSVVal,_xlfn.XLOOKUP($A500,CSV!$A:$A,CSV!F:F,""),
_xlpm.MacVal,_xlfn.XLOOKUP($A500,Output_Mac!$A:$A,Output_Mac!E:E,""),
_xlpm.MyAuditVal,_xlfn.XLOOKUP($A500,My_Audit!$A:$A,My_Audit!E:E,""),
_xlfn.IFS(_xlpm.MyAuditVal&lt;&gt;"",_xlpm.MyAuditVal,_xlpm.MacVal&lt;&gt;"",_xlpm.MacVal,_xlpm.CSVVal&lt;&gt;"",_xlpm.CSVVal
)),"")</f>
        <v/>
      </c>
      <c r="G500" s="40" t="str" cm="1">
        <f t="array" ref="G500">IFERROR(_xlfn.LET(
_xlpm.CSVVal,_xlfn.XLOOKUP($A500,CSV!$A:$A,CSV!G:G,""),
_xlpm.MacVal,_xlfn.XLOOKUP($A500,Output_Mac!$A:$A,Output_Mac!F:F,""),
_xlpm.MyAuditVal,_xlfn.XLOOKUP($A500,My_Audit!$A:$A,My_Audit!F:F,""),
_xlfn.IFS(_xlpm.MyAuditVal&lt;&gt;"",_xlpm.MyAuditVal,_xlpm.MacVal&lt;&gt;"",_xlpm.MacVal,_xlpm.CSVVal&lt;&gt;"",PROPER(_xlpm.CSVVal)
)),"")</f>
        <v/>
      </c>
      <c r="H500" s="40" t="str" cm="1">
        <f t="array" ref="H500">IFERROR(_xlfn.LET(
_xlpm.CSVVal,_xlfn.XLOOKUP($A500,CSV!$A:$A,CSV!H:H,""),
_xlpm.MacVal,_xlfn.XLOOKUP($A500,Output_Mac!$A:$A,Output_Mac!H:H,""),
_xlpm.MyAuditVal,_xlfn.XLOOKUP($A500,My_Audit!$A:$A,My_Audit!G:G,""),
_xlfn.IFS(_xlpm.MyAuditVal&lt;&gt;"",_xlpm.MyAuditVal,_xlpm.MacVal&lt;&gt;"",_xlpm.MacVal,_xlpm.CSVVal&lt;&gt;"",_xlpm.CSVVal
)),"")</f>
        <v/>
      </c>
      <c r="I500" s="40" t="str">
        <f>_xlfn.XLOOKUP(A500,Output_Mac!A:A,Output_Mac!I:I,"")</f>
        <v/>
      </c>
      <c r="J500" s="40" t="str" cm="1">
        <f t="array" ref="J500">IFERROR(_xlfn.LET(
_xlpm.CSVVal,_xlfn.XLOOKUP($A500,CSV!$A:$A,CSV!I:I,""),
_xlpm.MacVal,_xlfn.XLOOKUP($A500,Output_Mac!$A:$A,Output_Mac!J:J,""),
_xlpm.MyAuditVal,_xlfn.XLOOKUP($A500,My_Audit!$A:$A,My_Audit!I:I,""),
_xlfn.IFS(_xlpm.MyAuditVal&lt;&gt;"",UPPER(_xlpm.MyAuditVal),_xlpm.MacVal&lt;&gt;"",_xlpm.MacVal,_xlpm.CSVVal&lt;&gt;"",_xlpm.CSVVal
)),"")</f>
        <v/>
      </c>
      <c r="K500" s="40" t="str" cm="1">
        <f t="array" ref="K500">IFERROR(_xlfn.LET(
_xlpm.CSVVal,_xlfn.XLOOKUP($A500,CSV!$A:$A,CSV!K:K,""),
_xlpm.MacVal,_xlfn.XLOOKUP($A500,Output_Mac!$A:$A,Output_Mac!K:K,""),
_xlpm.MyAuditVal,_xlfn.XLOOKUP($A500,My_Audit!$A:$A,My_Audit!J:J,""),
_xlfn.IFS(_xlpm.MyAuditVal&lt;&gt;"",UPPER(_xlpm.MyAuditVal),_xlpm.MacVal&lt;&gt;"",_xlpm.MacVal,_xlpm.CSVVal&lt;&gt;"",_xlpm.CSVVal
)),"")</f>
        <v/>
      </c>
      <c r="L500" s="40" t="str" cm="1">
        <f t="array" ref="L500">IFERROR(_xlfn.LET(
_xlpm.CSVVal,_xlfn.XLOOKUP($A500,CSV!$A:$A,CSV!P:P,""),
_xlpm.MacVal,_xlfn.XLOOKUP($A500,Output_Mac!$A:$A,Output_Mac!L:L,""),
_xlpm.MyAuditVal,_xlfn.XLOOKUP($A500,My_Audit!$A:$A,My_Audit!K:K,""),
_xlfn.IFS(_xlpm.MyAuditVal&lt;&gt;"",UPPER(_xlpm.MyAuditVal),_xlpm.MacVal&lt;&gt;"",_xlpm.MacVal,_xlpm.CSVVal&lt;&gt;"",_xlpm.CSVVal
)),"")</f>
        <v/>
      </c>
      <c r="M500" s="40" t="str" cm="1">
        <f t="array" ref="M500">IFERROR(_xlfn.LET(
_xlpm.CSVVal,_xlfn.XLOOKUP($A500,CSV!$A:$A,CSV!Q:Q,""),
_xlpm.MacVal,_xlfn.XLOOKUP($A500,Output_Mac!$A:$A,Output_Mac!M:M,""),
_xlpm.MyAuditVal,_xlfn.XLOOKUP($A500,My_Audit!$A:$A,My_Audit!L:L,""),
_xlfn.IFS(_xlpm.MyAuditVal&lt;&gt;"",UPPER(_xlpm.MyAuditVal),_xlpm.MacVal&lt;&gt;"",_xlpm.MacVal,_xlpm.CSVVal&lt;&gt;"",_xlpm.CSVVal
)),"")</f>
        <v/>
      </c>
      <c r="N500" s="40"/>
      <c r="O500" s="40" t="str">
        <f>_xlfn.LET(
    _xlpm.CSVVal, _xlfn.XLOOKUP($A500, CSV!$A:$A, CSV!AA:AA, ""),
    _xlpm.MacVal, _xlfn.XLOOKUP($A500, Output_Mac!$A:$A, Output_Mac!S:S, ""),
    _xlpm.MyAuditVal, _xlfn.XLOOKUP($A500, My_Audit!$A:$A, My_Audit!P:P, ""),
    _xlfn.TEXTJOIN(", ", TRUE, _xlpm.MyAuditVal, _xlpm.MacVal, _xlpm.CSVVal)
)</f>
        <v/>
      </c>
      <c r="P500" s="40" t="str" cm="1">
        <f t="array" ref="P500">IFERROR(_xlfn.LET(
_xlpm.CSVVal,_xlfn.XLOOKUP($A500,CSV!$A:$A,CSV!AB:AB,""),
_xlpm.MacVal,_xlfn.XLOOKUP($A500,Output_Mac!$A:$A,Output_Mac!T:T,""),
_xlpm.MyAuditVal,_xlfn.XLOOKUP($A500,My_Audit!$A:$A,My_Audit!Q:Q,""),
_xlfn.IFS(_xlpm.MyAuditVal&lt;&gt;"",UPPER(_xlpm.MyAuditVal),_xlpm.MacVal&lt;&gt;"",_xlpm.MacVal,_xlpm.CSVVal&lt;&gt;"",_xlpm.CSVVal
)),"No")</f>
        <v>No</v>
      </c>
      <c r="Q500" s="40" t="str" cm="1">
        <f t="array" ref="Q500">IFERROR(_xlfn.LET(
_xlpm.CSVVal,_xlfn.XLOOKUP($A500,CSV!$A:$A,CSV!AC:AC,""),
_xlpm.MacVal,_xlfn.XLOOKUP($A500,Output_Mac!$A:$A,Output_Mac!U:U,""),
_xlpm.MyAuditVal,_xlfn.XLOOKUP($A500,My_Audit!$A:$A,My_Audit!R:R,""),
_xlfn.IFS(_xlpm.MyAuditVal&lt;&gt;"",UPPER(_xlpm.MyAuditVal),_xlpm.MacVal&lt;&gt;"",_xlpm.MacVal,_xlpm.CSVVal&lt;&gt;"",_xlpm.CSVVal
)),"")</f>
        <v/>
      </c>
      <c r="R500" s="40"/>
      <c r="S500" s="40"/>
      <c r="T500" s="40"/>
      <c r="U500" s="40"/>
      <c r="V500" s="40"/>
      <c r="W500" s="40"/>
      <c r="X500" s="41" t="str">
        <f>_xlfn.LET(
    _xlpm.MacVal, _xlfn.XLOOKUP($A500, Output_Mac!$A:$A, Output_Mac!AB:AB, ""),
    _xlpm.MyAuditVal, _xlfn.XLOOKUP($A500, My_Audit!$A:$A, My_Audit!N:N, ""),
    _xlfn.TEXTJOIN(", ", TRUE, _xlpm.MyAuditVal, _xlpm.MacVal)
)</f>
        <v/>
      </c>
    </row>
    <row r="501" spans="1:24">
      <c r="A501" s="40" t="str">
        <f>_xlfn.TEXTJOIN("",TRUE,Input!$B$2,ROW(My_Audit!A500))</f>
        <v>X500</v>
      </c>
      <c r="B501" s="40" t="str">
        <f>_xlfn.TEXTJOIN("-",TRUE,"ITD",Input!$A$2,A501)</f>
        <v>ITD-X500</v>
      </c>
      <c r="C501" s="40" t="str" cm="1">
        <f t="array" ref="C501">IFERROR(_xlfn.LET(
_xlpm.CSVVal,_xlfn.XLOOKUP($A501,CSV!$A:$A,CSV!B:B,""),
_xlpm.MacVal,_xlfn.XLOOKUP($A501,Output_Mac!$A:$A,Output_Mac!B:B,""),
_xlpm.MyAuditVal,_xlfn.XLOOKUP($A501,My_Audit!$A:$A,My_Audit!B:B,""),
_xlfn.IFS(_xlpm.MyAuditVal&lt;&gt;"",UPPER(_xlpm.MyAuditVal),_xlpm.MacVal&lt;&gt;"",_xlpm.MacVal,_xlpm.CSVVal&lt;&gt;"",_xlpm.CSVVal
)),"")</f>
        <v/>
      </c>
      <c r="D501" s="40" t="str" cm="1">
        <f t="array" ref="D501">IFERROR(_xlfn.LET(
_xlpm.CSVVal,_xlfn.XLOOKUP($A501,CSV!$A:$A,CSV!D:D,""),
_xlpm.MacVal,_xlfn.XLOOKUP($A501,Output_Mac!$A:$A,Output_Mac!C:C,""),
_xlpm.MyAuditVal,_xlfn.XLOOKUP($A501,My_Audit!$A:$A,My_Audit!C:C,""),
_xlfn.IFS(_xlpm.MyAuditVal&lt;&gt;"",_xlpm.MyAuditVal,_xlpm.MacVal&lt;&gt;"",_xlpm.MacVal,_xlpm.CSVVal&lt;&gt;"",_xlpm.CSVVal
)),"")</f>
        <v/>
      </c>
      <c r="E501" s="40" t="str">
        <f>_xlfn.XLOOKUP(A501,My_Audit!A:A,My_Audit!D:D,"")</f>
        <v/>
      </c>
      <c r="F501" s="40" t="str" cm="1">
        <f t="array" ref="F501">IFERROR(_xlfn.LET(
_xlpm.CSVVal,_xlfn.XLOOKUP($A501,CSV!$A:$A,CSV!F:F,""),
_xlpm.MacVal,_xlfn.XLOOKUP($A501,Output_Mac!$A:$A,Output_Mac!E:E,""),
_xlpm.MyAuditVal,_xlfn.XLOOKUP($A501,My_Audit!$A:$A,My_Audit!E:E,""),
_xlfn.IFS(_xlpm.MyAuditVal&lt;&gt;"",_xlpm.MyAuditVal,_xlpm.MacVal&lt;&gt;"",_xlpm.MacVal,_xlpm.CSVVal&lt;&gt;"",_xlpm.CSVVal
)),"")</f>
        <v/>
      </c>
      <c r="G501" s="40" t="str" cm="1">
        <f t="array" ref="G501">IFERROR(_xlfn.LET(
_xlpm.CSVVal,_xlfn.XLOOKUP($A501,CSV!$A:$A,CSV!G:G,""),
_xlpm.MacVal,_xlfn.XLOOKUP($A501,Output_Mac!$A:$A,Output_Mac!F:F,""),
_xlpm.MyAuditVal,_xlfn.XLOOKUP($A501,My_Audit!$A:$A,My_Audit!F:F,""),
_xlfn.IFS(_xlpm.MyAuditVal&lt;&gt;"",_xlpm.MyAuditVal,_xlpm.MacVal&lt;&gt;"",_xlpm.MacVal,_xlpm.CSVVal&lt;&gt;"",PROPER(_xlpm.CSVVal)
)),"")</f>
        <v/>
      </c>
      <c r="H501" s="40" t="str" cm="1">
        <f t="array" ref="H501">IFERROR(_xlfn.LET(
_xlpm.CSVVal,_xlfn.XLOOKUP($A501,CSV!$A:$A,CSV!H:H,""),
_xlpm.MacVal,_xlfn.XLOOKUP($A501,Output_Mac!$A:$A,Output_Mac!H:H,""),
_xlpm.MyAuditVal,_xlfn.XLOOKUP($A501,My_Audit!$A:$A,My_Audit!G:G,""),
_xlfn.IFS(_xlpm.MyAuditVal&lt;&gt;"",_xlpm.MyAuditVal,_xlpm.MacVal&lt;&gt;"",_xlpm.MacVal,_xlpm.CSVVal&lt;&gt;"",_xlpm.CSVVal
)),"")</f>
        <v/>
      </c>
      <c r="I501" s="40" t="str">
        <f>_xlfn.XLOOKUP(A501,Output_Mac!A:A,Output_Mac!I:I,"")</f>
        <v/>
      </c>
      <c r="J501" s="40" t="str" cm="1">
        <f t="array" ref="J501">IFERROR(_xlfn.LET(
_xlpm.CSVVal,_xlfn.XLOOKUP($A501,CSV!$A:$A,CSV!I:I,""),
_xlpm.MacVal,_xlfn.XLOOKUP($A501,Output_Mac!$A:$A,Output_Mac!J:J,""),
_xlpm.MyAuditVal,_xlfn.XLOOKUP($A501,My_Audit!$A:$A,My_Audit!I:I,""),
_xlfn.IFS(_xlpm.MyAuditVal&lt;&gt;"",UPPER(_xlpm.MyAuditVal),_xlpm.MacVal&lt;&gt;"",_xlpm.MacVal,_xlpm.CSVVal&lt;&gt;"",_xlpm.CSVVal
)),"")</f>
        <v/>
      </c>
      <c r="K501" s="40" t="str" cm="1">
        <f t="array" ref="K501">IFERROR(_xlfn.LET(
_xlpm.CSVVal,_xlfn.XLOOKUP($A501,CSV!$A:$A,CSV!K:K,""),
_xlpm.MacVal,_xlfn.XLOOKUP($A501,Output_Mac!$A:$A,Output_Mac!K:K,""),
_xlpm.MyAuditVal,_xlfn.XLOOKUP($A501,My_Audit!$A:$A,My_Audit!J:J,""),
_xlfn.IFS(_xlpm.MyAuditVal&lt;&gt;"",UPPER(_xlpm.MyAuditVal),_xlpm.MacVal&lt;&gt;"",_xlpm.MacVal,_xlpm.CSVVal&lt;&gt;"",_xlpm.CSVVal
)),"")</f>
        <v/>
      </c>
      <c r="L501" s="40" t="str" cm="1">
        <f t="array" ref="L501">IFERROR(_xlfn.LET(
_xlpm.CSVVal,_xlfn.XLOOKUP($A501,CSV!$A:$A,CSV!P:P,""),
_xlpm.MacVal,_xlfn.XLOOKUP($A501,Output_Mac!$A:$A,Output_Mac!L:L,""),
_xlpm.MyAuditVal,_xlfn.XLOOKUP($A501,My_Audit!$A:$A,My_Audit!K:K,""),
_xlfn.IFS(_xlpm.MyAuditVal&lt;&gt;"",UPPER(_xlpm.MyAuditVal),_xlpm.MacVal&lt;&gt;"",_xlpm.MacVal,_xlpm.CSVVal&lt;&gt;"",_xlpm.CSVVal
)),"")</f>
        <v/>
      </c>
      <c r="M501" s="40" t="str" cm="1">
        <f t="array" ref="M501">IFERROR(_xlfn.LET(
_xlpm.CSVVal,_xlfn.XLOOKUP($A501,CSV!$A:$A,CSV!Q:Q,""),
_xlpm.MacVal,_xlfn.XLOOKUP($A501,Output_Mac!$A:$A,Output_Mac!M:M,""),
_xlpm.MyAuditVal,_xlfn.XLOOKUP($A501,My_Audit!$A:$A,My_Audit!L:L,""),
_xlfn.IFS(_xlpm.MyAuditVal&lt;&gt;"",UPPER(_xlpm.MyAuditVal),_xlpm.MacVal&lt;&gt;"",_xlpm.MacVal,_xlpm.CSVVal&lt;&gt;"",_xlpm.CSVVal
)),"")</f>
        <v/>
      </c>
      <c r="N501" s="40"/>
      <c r="O501" s="40" t="str">
        <f>_xlfn.LET(
    _xlpm.CSVVal, _xlfn.XLOOKUP($A501, CSV!$A:$A, CSV!AA:AA, ""),
    _xlpm.MacVal, _xlfn.XLOOKUP($A501, Output_Mac!$A:$A, Output_Mac!S:S, ""),
    _xlpm.MyAuditVal, _xlfn.XLOOKUP($A501, My_Audit!$A:$A, My_Audit!P:P, ""),
    _xlfn.TEXTJOIN(", ", TRUE, _xlpm.MyAuditVal, _xlpm.MacVal, _xlpm.CSVVal)
)</f>
        <v/>
      </c>
      <c r="P501" s="40" t="str" cm="1">
        <f t="array" ref="P501">IFERROR(_xlfn.LET(
_xlpm.CSVVal,_xlfn.XLOOKUP($A501,CSV!$A:$A,CSV!AB:AB,""),
_xlpm.MacVal,_xlfn.XLOOKUP($A501,Output_Mac!$A:$A,Output_Mac!T:T,""),
_xlpm.MyAuditVal,_xlfn.XLOOKUP($A501,My_Audit!$A:$A,My_Audit!Q:Q,""),
_xlfn.IFS(_xlpm.MyAuditVal&lt;&gt;"",UPPER(_xlpm.MyAuditVal),_xlpm.MacVal&lt;&gt;"",_xlpm.MacVal,_xlpm.CSVVal&lt;&gt;"",_xlpm.CSVVal
)),"No")</f>
        <v>No</v>
      </c>
      <c r="Q501" s="40" t="str" cm="1">
        <f t="array" ref="Q501">IFERROR(_xlfn.LET(
_xlpm.CSVVal,_xlfn.XLOOKUP($A501,CSV!$A:$A,CSV!AC:AC,""),
_xlpm.MacVal,_xlfn.XLOOKUP($A501,Output_Mac!$A:$A,Output_Mac!U:U,""),
_xlpm.MyAuditVal,_xlfn.XLOOKUP($A501,My_Audit!$A:$A,My_Audit!R:R,""),
_xlfn.IFS(_xlpm.MyAuditVal&lt;&gt;"",UPPER(_xlpm.MyAuditVal),_xlpm.MacVal&lt;&gt;"",_xlpm.MacVal,_xlpm.CSVVal&lt;&gt;"",_xlpm.CSVVal
)),"")</f>
        <v/>
      </c>
      <c r="R501" s="40"/>
      <c r="S501" s="40"/>
      <c r="T501" s="40"/>
      <c r="U501" s="40"/>
      <c r="V501" s="40"/>
      <c r="W501" s="40"/>
      <c r="X501" s="41" t="str">
        <f>_xlfn.LET(
    _xlpm.MacVal, _xlfn.XLOOKUP($A501, Output_Mac!$A:$A, Output_Mac!AB:AB, ""),
    _xlpm.MyAuditVal, _xlfn.XLOOKUP($A501, My_Audit!$A:$A, My_Audit!N:N, ""),
    _xlfn.TEXTJOIN(", ", TRUE, _xlpm.MyAuditVal, _xlpm.MacVal)
)</f>
        <v/>
      </c>
    </row>
    <row r="502" spans="1:24">
      <c r="A502" s="40" t="str">
        <f>_xlfn.TEXTJOIN("",TRUE,Input!$B$2,ROW(My_Audit!A501))</f>
        <v>X501</v>
      </c>
      <c r="B502" s="40" t="str">
        <f>_xlfn.TEXTJOIN("-",TRUE,"ITD",Input!$A$2,A502)</f>
        <v>ITD-X501</v>
      </c>
      <c r="C502" s="40" t="str" cm="1">
        <f t="array" ref="C502">IFERROR(_xlfn.LET(
_xlpm.CSVVal,_xlfn.XLOOKUP($A502,CSV!$A:$A,CSV!B:B,""),
_xlpm.MacVal,_xlfn.XLOOKUP($A502,Output_Mac!$A:$A,Output_Mac!B:B,""),
_xlpm.MyAuditVal,_xlfn.XLOOKUP($A502,My_Audit!$A:$A,My_Audit!B:B,""),
_xlfn.IFS(_xlpm.MyAuditVal&lt;&gt;"",UPPER(_xlpm.MyAuditVal),_xlpm.MacVal&lt;&gt;"",_xlpm.MacVal,_xlpm.CSVVal&lt;&gt;"",_xlpm.CSVVal
)),"")</f>
        <v/>
      </c>
      <c r="D502" s="40" t="str" cm="1">
        <f t="array" ref="D502">IFERROR(_xlfn.LET(
_xlpm.CSVVal,_xlfn.XLOOKUP($A502,CSV!$A:$A,CSV!D:D,""),
_xlpm.MacVal,_xlfn.XLOOKUP($A502,Output_Mac!$A:$A,Output_Mac!C:C,""),
_xlpm.MyAuditVal,_xlfn.XLOOKUP($A502,My_Audit!$A:$A,My_Audit!C:C,""),
_xlfn.IFS(_xlpm.MyAuditVal&lt;&gt;"",_xlpm.MyAuditVal,_xlpm.MacVal&lt;&gt;"",_xlpm.MacVal,_xlpm.CSVVal&lt;&gt;"",_xlpm.CSVVal
)),"")</f>
        <v/>
      </c>
      <c r="E502" s="40" t="str">
        <f>_xlfn.XLOOKUP(A502,My_Audit!A:A,My_Audit!D:D,"")</f>
        <v/>
      </c>
      <c r="F502" s="40" t="str" cm="1">
        <f t="array" ref="F502">IFERROR(_xlfn.LET(
_xlpm.CSVVal,_xlfn.XLOOKUP($A502,CSV!$A:$A,CSV!F:F,""),
_xlpm.MacVal,_xlfn.XLOOKUP($A502,Output_Mac!$A:$A,Output_Mac!E:E,""),
_xlpm.MyAuditVal,_xlfn.XLOOKUP($A502,My_Audit!$A:$A,My_Audit!E:E,""),
_xlfn.IFS(_xlpm.MyAuditVal&lt;&gt;"",_xlpm.MyAuditVal,_xlpm.MacVal&lt;&gt;"",_xlpm.MacVal,_xlpm.CSVVal&lt;&gt;"",_xlpm.CSVVal
)),"")</f>
        <v/>
      </c>
      <c r="G502" s="40" t="str" cm="1">
        <f t="array" ref="G502">IFERROR(_xlfn.LET(
_xlpm.CSVVal,_xlfn.XLOOKUP($A502,CSV!$A:$A,CSV!G:G,""),
_xlpm.MacVal,_xlfn.XLOOKUP($A502,Output_Mac!$A:$A,Output_Mac!F:F,""),
_xlpm.MyAuditVal,_xlfn.XLOOKUP($A502,My_Audit!$A:$A,My_Audit!F:F,""),
_xlfn.IFS(_xlpm.MyAuditVal&lt;&gt;"",_xlpm.MyAuditVal,_xlpm.MacVal&lt;&gt;"",_xlpm.MacVal,_xlpm.CSVVal&lt;&gt;"",PROPER(_xlpm.CSVVal)
)),"")</f>
        <v/>
      </c>
      <c r="H502" s="40" t="str" cm="1">
        <f t="array" ref="H502">IFERROR(_xlfn.LET(
_xlpm.CSVVal,_xlfn.XLOOKUP($A502,CSV!$A:$A,CSV!H:H,""),
_xlpm.MacVal,_xlfn.XLOOKUP($A502,Output_Mac!$A:$A,Output_Mac!H:H,""),
_xlpm.MyAuditVal,_xlfn.XLOOKUP($A502,My_Audit!$A:$A,My_Audit!G:G,""),
_xlfn.IFS(_xlpm.MyAuditVal&lt;&gt;"",_xlpm.MyAuditVal,_xlpm.MacVal&lt;&gt;"",_xlpm.MacVal,_xlpm.CSVVal&lt;&gt;"",_xlpm.CSVVal
)),"")</f>
        <v/>
      </c>
      <c r="I502" s="40" t="str">
        <f>_xlfn.XLOOKUP(A502,Output_Mac!A:A,Output_Mac!I:I,"")</f>
        <v/>
      </c>
      <c r="J502" s="40" t="str" cm="1">
        <f t="array" ref="J502">IFERROR(_xlfn.LET(
_xlpm.CSVVal,_xlfn.XLOOKUP($A502,CSV!$A:$A,CSV!I:I,""),
_xlpm.MacVal,_xlfn.XLOOKUP($A502,Output_Mac!$A:$A,Output_Mac!J:J,""),
_xlpm.MyAuditVal,_xlfn.XLOOKUP($A502,My_Audit!$A:$A,My_Audit!I:I,""),
_xlfn.IFS(_xlpm.MyAuditVal&lt;&gt;"",UPPER(_xlpm.MyAuditVal),_xlpm.MacVal&lt;&gt;"",_xlpm.MacVal,_xlpm.CSVVal&lt;&gt;"",_xlpm.CSVVal
)),"")</f>
        <v/>
      </c>
      <c r="K502" s="40" t="str" cm="1">
        <f t="array" ref="K502">IFERROR(_xlfn.LET(
_xlpm.CSVVal,_xlfn.XLOOKUP($A502,CSV!$A:$A,CSV!K:K,""),
_xlpm.MacVal,_xlfn.XLOOKUP($A502,Output_Mac!$A:$A,Output_Mac!K:K,""),
_xlpm.MyAuditVal,_xlfn.XLOOKUP($A502,My_Audit!$A:$A,My_Audit!J:J,""),
_xlfn.IFS(_xlpm.MyAuditVal&lt;&gt;"",UPPER(_xlpm.MyAuditVal),_xlpm.MacVal&lt;&gt;"",_xlpm.MacVal,_xlpm.CSVVal&lt;&gt;"",_xlpm.CSVVal
)),"")</f>
        <v/>
      </c>
      <c r="L502" s="40" t="str" cm="1">
        <f t="array" ref="L502">IFERROR(_xlfn.LET(
_xlpm.CSVVal,_xlfn.XLOOKUP($A502,CSV!$A:$A,CSV!P:P,""),
_xlpm.MacVal,_xlfn.XLOOKUP($A502,Output_Mac!$A:$A,Output_Mac!L:L,""),
_xlpm.MyAuditVal,_xlfn.XLOOKUP($A502,My_Audit!$A:$A,My_Audit!K:K,""),
_xlfn.IFS(_xlpm.MyAuditVal&lt;&gt;"",UPPER(_xlpm.MyAuditVal),_xlpm.MacVal&lt;&gt;"",_xlpm.MacVal,_xlpm.CSVVal&lt;&gt;"",_xlpm.CSVVal
)),"")</f>
        <v/>
      </c>
      <c r="M502" s="40" t="str" cm="1">
        <f t="array" ref="M502">IFERROR(_xlfn.LET(
_xlpm.CSVVal,_xlfn.XLOOKUP($A502,CSV!$A:$A,CSV!Q:Q,""),
_xlpm.MacVal,_xlfn.XLOOKUP($A502,Output_Mac!$A:$A,Output_Mac!M:M,""),
_xlpm.MyAuditVal,_xlfn.XLOOKUP($A502,My_Audit!$A:$A,My_Audit!L:L,""),
_xlfn.IFS(_xlpm.MyAuditVal&lt;&gt;"",UPPER(_xlpm.MyAuditVal),_xlpm.MacVal&lt;&gt;"",_xlpm.MacVal,_xlpm.CSVVal&lt;&gt;"",_xlpm.CSVVal
)),"")</f>
        <v/>
      </c>
      <c r="N502" s="40"/>
      <c r="O502" s="40" t="str">
        <f>_xlfn.LET(
    _xlpm.CSVVal, _xlfn.XLOOKUP($A502, CSV!$A:$A, CSV!AA:AA, ""),
    _xlpm.MacVal, _xlfn.XLOOKUP($A502, Output_Mac!$A:$A, Output_Mac!S:S, ""),
    _xlpm.MyAuditVal, _xlfn.XLOOKUP($A502, My_Audit!$A:$A, My_Audit!P:P, ""),
    _xlfn.TEXTJOIN(", ", TRUE, _xlpm.MyAuditVal, _xlpm.MacVal, _xlpm.CSVVal)
)</f>
        <v/>
      </c>
      <c r="P502" s="40" t="str" cm="1">
        <f t="array" ref="P502">IFERROR(_xlfn.LET(
_xlpm.CSVVal,_xlfn.XLOOKUP($A502,CSV!$A:$A,CSV!AB:AB,""),
_xlpm.MacVal,_xlfn.XLOOKUP($A502,Output_Mac!$A:$A,Output_Mac!T:T,""),
_xlpm.MyAuditVal,_xlfn.XLOOKUP($A502,My_Audit!$A:$A,My_Audit!Q:Q,""),
_xlfn.IFS(_xlpm.MyAuditVal&lt;&gt;"",UPPER(_xlpm.MyAuditVal),_xlpm.MacVal&lt;&gt;"",_xlpm.MacVal,_xlpm.CSVVal&lt;&gt;"",_xlpm.CSVVal
)),"No")</f>
        <v>No</v>
      </c>
      <c r="Q502" s="40" t="str" cm="1">
        <f t="array" ref="Q502">IFERROR(_xlfn.LET(
_xlpm.CSVVal,_xlfn.XLOOKUP($A502,CSV!$A:$A,CSV!AC:AC,""),
_xlpm.MacVal,_xlfn.XLOOKUP($A502,Output_Mac!$A:$A,Output_Mac!U:U,""),
_xlpm.MyAuditVal,_xlfn.XLOOKUP($A502,My_Audit!$A:$A,My_Audit!R:R,""),
_xlfn.IFS(_xlpm.MyAuditVal&lt;&gt;"",UPPER(_xlpm.MyAuditVal),_xlpm.MacVal&lt;&gt;"",_xlpm.MacVal,_xlpm.CSVVal&lt;&gt;"",_xlpm.CSVVal
)),"")</f>
        <v/>
      </c>
      <c r="R502" s="40"/>
      <c r="S502" s="40"/>
      <c r="T502" s="40"/>
      <c r="U502" s="40"/>
      <c r="V502" s="40"/>
      <c r="W502" s="40"/>
      <c r="X502" s="41" t="str">
        <f>_xlfn.LET(
    _xlpm.MacVal, _xlfn.XLOOKUP($A502, Output_Mac!$A:$A, Output_Mac!AB:AB, ""),
    _xlpm.MyAuditVal, _xlfn.XLOOKUP($A502, My_Audit!$A:$A, My_Audit!N:N, ""),
    _xlfn.TEXTJOIN(", ", TRUE, _xlpm.MyAuditVal, _xlpm.MacVal)
)</f>
        <v/>
      </c>
    </row>
    <row r="503" spans="1:24">
      <c r="A503" s="40" t="str">
        <f>_xlfn.TEXTJOIN("",TRUE,Input!$B$2,ROW(My_Audit!A502))</f>
        <v>X502</v>
      </c>
      <c r="B503" s="40" t="str">
        <f>_xlfn.TEXTJOIN("-",TRUE,"ITD",Input!$A$2,A503)</f>
        <v>ITD-X502</v>
      </c>
      <c r="C503" s="40" t="str" cm="1">
        <f t="array" ref="C503">IFERROR(_xlfn.LET(
_xlpm.CSVVal,_xlfn.XLOOKUP($A503,CSV!$A:$A,CSV!B:B,""),
_xlpm.MacVal,_xlfn.XLOOKUP($A503,Output_Mac!$A:$A,Output_Mac!B:B,""),
_xlpm.MyAuditVal,_xlfn.XLOOKUP($A503,My_Audit!$A:$A,My_Audit!B:B,""),
_xlfn.IFS(_xlpm.MyAuditVal&lt;&gt;"",UPPER(_xlpm.MyAuditVal),_xlpm.MacVal&lt;&gt;"",_xlpm.MacVal,_xlpm.CSVVal&lt;&gt;"",_xlpm.CSVVal
)),"")</f>
        <v/>
      </c>
      <c r="D503" s="40" t="str" cm="1">
        <f t="array" ref="D503">IFERROR(_xlfn.LET(
_xlpm.CSVVal,_xlfn.XLOOKUP($A503,CSV!$A:$A,CSV!D:D,""),
_xlpm.MacVal,_xlfn.XLOOKUP($A503,Output_Mac!$A:$A,Output_Mac!C:C,""),
_xlpm.MyAuditVal,_xlfn.XLOOKUP($A503,My_Audit!$A:$A,My_Audit!C:C,""),
_xlfn.IFS(_xlpm.MyAuditVal&lt;&gt;"",_xlpm.MyAuditVal,_xlpm.MacVal&lt;&gt;"",_xlpm.MacVal,_xlpm.CSVVal&lt;&gt;"",_xlpm.CSVVal
)),"")</f>
        <v/>
      </c>
      <c r="E503" s="40" t="str">
        <f>_xlfn.XLOOKUP(A503,My_Audit!A:A,My_Audit!D:D,"")</f>
        <v/>
      </c>
      <c r="F503" s="40" t="str" cm="1">
        <f t="array" ref="F503">IFERROR(_xlfn.LET(
_xlpm.CSVVal,_xlfn.XLOOKUP($A503,CSV!$A:$A,CSV!F:F,""),
_xlpm.MacVal,_xlfn.XLOOKUP($A503,Output_Mac!$A:$A,Output_Mac!E:E,""),
_xlpm.MyAuditVal,_xlfn.XLOOKUP($A503,My_Audit!$A:$A,My_Audit!E:E,""),
_xlfn.IFS(_xlpm.MyAuditVal&lt;&gt;"",_xlpm.MyAuditVal,_xlpm.MacVal&lt;&gt;"",_xlpm.MacVal,_xlpm.CSVVal&lt;&gt;"",_xlpm.CSVVal
)),"")</f>
        <v/>
      </c>
      <c r="G503" s="40" t="str" cm="1">
        <f t="array" ref="G503">IFERROR(_xlfn.LET(
_xlpm.CSVVal,_xlfn.XLOOKUP($A503,CSV!$A:$A,CSV!G:G,""),
_xlpm.MacVal,_xlfn.XLOOKUP($A503,Output_Mac!$A:$A,Output_Mac!F:F,""),
_xlpm.MyAuditVal,_xlfn.XLOOKUP($A503,My_Audit!$A:$A,My_Audit!F:F,""),
_xlfn.IFS(_xlpm.MyAuditVal&lt;&gt;"",_xlpm.MyAuditVal,_xlpm.MacVal&lt;&gt;"",_xlpm.MacVal,_xlpm.CSVVal&lt;&gt;"",PROPER(_xlpm.CSVVal)
)),"")</f>
        <v/>
      </c>
      <c r="H503" s="40" t="str" cm="1">
        <f t="array" ref="H503">IFERROR(_xlfn.LET(
_xlpm.CSVVal,_xlfn.XLOOKUP($A503,CSV!$A:$A,CSV!H:H,""),
_xlpm.MacVal,_xlfn.XLOOKUP($A503,Output_Mac!$A:$A,Output_Mac!H:H,""),
_xlpm.MyAuditVal,_xlfn.XLOOKUP($A503,My_Audit!$A:$A,My_Audit!G:G,""),
_xlfn.IFS(_xlpm.MyAuditVal&lt;&gt;"",_xlpm.MyAuditVal,_xlpm.MacVal&lt;&gt;"",_xlpm.MacVal,_xlpm.CSVVal&lt;&gt;"",_xlpm.CSVVal
)),"")</f>
        <v/>
      </c>
      <c r="I503" s="40" t="str">
        <f>_xlfn.XLOOKUP(A503,Output_Mac!A:A,Output_Mac!I:I,"")</f>
        <v/>
      </c>
      <c r="J503" s="40" t="str" cm="1">
        <f t="array" ref="J503">IFERROR(_xlfn.LET(
_xlpm.CSVVal,_xlfn.XLOOKUP($A503,CSV!$A:$A,CSV!I:I,""),
_xlpm.MacVal,_xlfn.XLOOKUP($A503,Output_Mac!$A:$A,Output_Mac!J:J,""),
_xlpm.MyAuditVal,_xlfn.XLOOKUP($A503,My_Audit!$A:$A,My_Audit!I:I,""),
_xlfn.IFS(_xlpm.MyAuditVal&lt;&gt;"",UPPER(_xlpm.MyAuditVal),_xlpm.MacVal&lt;&gt;"",_xlpm.MacVal,_xlpm.CSVVal&lt;&gt;"",_xlpm.CSVVal
)),"")</f>
        <v/>
      </c>
      <c r="K503" s="40" t="str" cm="1">
        <f t="array" ref="K503">IFERROR(_xlfn.LET(
_xlpm.CSVVal,_xlfn.XLOOKUP($A503,CSV!$A:$A,CSV!K:K,""),
_xlpm.MacVal,_xlfn.XLOOKUP($A503,Output_Mac!$A:$A,Output_Mac!K:K,""),
_xlpm.MyAuditVal,_xlfn.XLOOKUP($A503,My_Audit!$A:$A,My_Audit!J:J,""),
_xlfn.IFS(_xlpm.MyAuditVal&lt;&gt;"",UPPER(_xlpm.MyAuditVal),_xlpm.MacVal&lt;&gt;"",_xlpm.MacVal,_xlpm.CSVVal&lt;&gt;"",_xlpm.CSVVal
)),"")</f>
        <v/>
      </c>
      <c r="L503" s="40" t="str" cm="1">
        <f t="array" ref="L503">IFERROR(_xlfn.LET(
_xlpm.CSVVal,_xlfn.XLOOKUP($A503,CSV!$A:$A,CSV!P:P,""),
_xlpm.MacVal,_xlfn.XLOOKUP($A503,Output_Mac!$A:$A,Output_Mac!L:L,""),
_xlpm.MyAuditVal,_xlfn.XLOOKUP($A503,My_Audit!$A:$A,My_Audit!K:K,""),
_xlfn.IFS(_xlpm.MyAuditVal&lt;&gt;"",UPPER(_xlpm.MyAuditVal),_xlpm.MacVal&lt;&gt;"",_xlpm.MacVal,_xlpm.CSVVal&lt;&gt;"",_xlpm.CSVVal
)),"")</f>
        <v/>
      </c>
      <c r="M503" s="40" t="str" cm="1">
        <f t="array" ref="M503">IFERROR(_xlfn.LET(
_xlpm.CSVVal,_xlfn.XLOOKUP($A503,CSV!$A:$A,CSV!Q:Q,""),
_xlpm.MacVal,_xlfn.XLOOKUP($A503,Output_Mac!$A:$A,Output_Mac!M:M,""),
_xlpm.MyAuditVal,_xlfn.XLOOKUP($A503,My_Audit!$A:$A,My_Audit!L:L,""),
_xlfn.IFS(_xlpm.MyAuditVal&lt;&gt;"",UPPER(_xlpm.MyAuditVal),_xlpm.MacVal&lt;&gt;"",_xlpm.MacVal,_xlpm.CSVVal&lt;&gt;"",_xlpm.CSVVal
)),"")</f>
        <v/>
      </c>
      <c r="N503" s="40"/>
      <c r="O503" s="40" t="str">
        <f>_xlfn.LET(
    _xlpm.CSVVal, _xlfn.XLOOKUP($A503, CSV!$A:$A, CSV!AA:AA, ""),
    _xlpm.MacVal, _xlfn.XLOOKUP($A503, Output_Mac!$A:$A, Output_Mac!S:S, ""),
    _xlpm.MyAuditVal, _xlfn.XLOOKUP($A503, My_Audit!$A:$A, My_Audit!P:P, ""),
    _xlfn.TEXTJOIN(", ", TRUE, _xlpm.MyAuditVal, _xlpm.MacVal, _xlpm.CSVVal)
)</f>
        <v/>
      </c>
      <c r="P503" s="40" t="str" cm="1">
        <f t="array" ref="P503">IFERROR(_xlfn.LET(
_xlpm.CSVVal,_xlfn.XLOOKUP($A503,CSV!$A:$A,CSV!AB:AB,""),
_xlpm.MacVal,_xlfn.XLOOKUP($A503,Output_Mac!$A:$A,Output_Mac!T:T,""),
_xlpm.MyAuditVal,_xlfn.XLOOKUP($A503,My_Audit!$A:$A,My_Audit!Q:Q,""),
_xlfn.IFS(_xlpm.MyAuditVal&lt;&gt;"",UPPER(_xlpm.MyAuditVal),_xlpm.MacVal&lt;&gt;"",_xlpm.MacVal,_xlpm.CSVVal&lt;&gt;"",_xlpm.CSVVal
)),"No")</f>
        <v>No</v>
      </c>
      <c r="Q503" s="40" t="str" cm="1">
        <f t="array" ref="Q503">IFERROR(_xlfn.LET(
_xlpm.CSVVal,_xlfn.XLOOKUP($A503,CSV!$A:$A,CSV!AC:AC,""),
_xlpm.MacVal,_xlfn.XLOOKUP($A503,Output_Mac!$A:$A,Output_Mac!U:U,""),
_xlpm.MyAuditVal,_xlfn.XLOOKUP($A503,My_Audit!$A:$A,My_Audit!R:R,""),
_xlfn.IFS(_xlpm.MyAuditVal&lt;&gt;"",UPPER(_xlpm.MyAuditVal),_xlpm.MacVal&lt;&gt;"",_xlpm.MacVal,_xlpm.CSVVal&lt;&gt;"",_xlpm.CSVVal
)),"")</f>
        <v/>
      </c>
      <c r="R503" s="40"/>
      <c r="S503" s="40"/>
      <c r="T503" s="40"/>
      <c r="U503" s="40"/>
      <c r="V503" s="40"/>
      <c r="W503" s="40"/>
      <c r="X503" s="41" t="str">
        <f>_xlfn.LET(
    _xlpm.MacVal, _xlfn.XLOOKUP($A503, Output_Mac!$A:$A, Output_Mac!AB:AB, ""),
    _xlpm.MyAuditVal, _xlfn.XLOOKUP($A503, My_Audit!$A:$A, My_Audit!N:N, ""),
    _xlfn.TEXTJOIN(", ", TRUE, _xlpm.MyAuditVal, _xlpm.MacVal)
)</f>
        <v/>
      </c>
    </row>
    <row r="504" spans="1:24">
      <c r="A504" s="40" t="str">
        <f>_xlfn.TEXTJOIN("",TRUE,Input!$B$2,ROW(My_Audit!A503))</f>
        <v>X503</v>
      </c>
      <c r="B504" s="40" t="str">
        <f>_xlfn.TEXTJOIN("-",TRUE,"ITD",Input!$A$2,A504)</f>
        <v>ITD-X503</v>
      </c>
      <c r="C504" s="40" t="str" cm="1">
        <f t="array" ref="C504">IFERROR(_xlfn.LET(
_xlpm.CSVVal,_xlfn.XLOOKUP($A504,CSV!$A:$A,CSV!B:B,""),
_xlpm.MacVal,_xlfn.XLOOKUP($A504,Output_Mac!$A:$A,Output_Mac!B:B,""),
_xlpm.MyAuditVal,_xlfn.XLOOKUP($A504,My_Audit!$A:$A,My_Audit!B:B,""),
_xlfn.IFS(_xlpm.MyAuditVal&lt;&gt;"",UPPER(_xlpm.MyAuditVal),_xlpm.MacVal&lt;&gt;"",_xlpm.MacVal,_xlpm.CSVVal&lt;&gt;"",_xlpm.CSVVal
)),"")</f>
        <v/>
      </c>
      <c r="D504" s="40" t="str" cm="1">
        <f t="array" ref="D504">IFERROR(_xlfn.LET(
_xlpm.CSVVal,_xlfn.XLOOKUP($A504,CSV!$A:$A,CSV!D:D,""),
_xlpm.MacVal,_xlfn.XLOOKUP($A504,Output_Mac!$A:$A,Output_Mac!C:C,""),
_xlpm.MyAuditVal,_xlfn.XLOOKUP($A504,My_Audit!$A:$A,My_Audit!C:C,""),
_xlfn.IFS(_xlpm.MyAuditVal&lt;&gt;"",_xlpm.MyAuditVal,_xlpm.MacVal&lt;&gt;"",_xlpm.MacVal,_xlpm.CSVVal&lt;&gt;"",_xlpm.CSVVal
)),"")</f>
        <v/>
      </c>
      <c r="E504" s="40" t="str">
        <f>_xlfn.XLOOKUP(A504,My_Audit!A:A,My_Audit!D:D,"")</f>
        <v/>
      </c>
      <c r="F504" s="40" t="str" cm="1">
        <f t="array" ref="F504">IFERROR(_xlfn.LET(
_xlpm.CSVVal,_xlfn.XLOOKUP($A504,CSV!$A:$A,CSV!F:F,""),
_xlpm.MacVal,_xlfn.XLOOKUP($A504,Output_Mac!$A:$A,Output_Mac!E:E,""),
_xlpm.MyAuditVal,_xlfn.XLOOKUP($A504,My_Audit!$A:$A,My_Audit!E:E,""),
_xlfn.IFS(_xlpm.MyAuditVal&lt;&gt;"",_xlpm.MyAuditVal,_xlpm.MacVal&lt;&gt;"",_xlpm.MacVal,_xlpm.CSVVal&lt;&gt;"",_xlpm.CSVVal
)),"")</f>
        <v/>
      </c>
      <c r="G504" s="40" t="str" cm="1">
        <f t="array" ref="G504">IFERROR(_xlfn.LET(
_xlpm.CSVVal,_xlfn.XLOOKUP($A504,CSV!$A:$A,CSV!G:G,""),
_xlpm.MacVal,_xlfn.XLOOKUP($A504,Output_Mac!$A:$A,Output_Mac!F:F,""),
_xlpm.MyAuditVal,_xlfn.XLOOKUP($A504,My_Audit!$A:$A,My_Audit!F:F,""),
_xlfn.IFS(_xlpm.MyAuditVal&lt;&gt;"",_xlpm.MyAuditVal,_xlpm.MacVal&lt;&gt;"",_xlpm.MacVal,_xlpm.CSVVal&lt;&gt;"",PROPER(_xlpm.CSVVal)
)),"")</f>
        <v/>
      </c>
      <c r="H504" s="40" t="str" cm="1">
        <f t="array" ref="H504">IFERROR(_xlfn.LET(
_xlpm.CSVVal,_xlfn.XLOOKUP($A504,CSV!$A:$A,CSV!H:H,""),
_xlpm.MacVal,_xlfn.XLOOKUP($A504,Output_Mac!$A:$A,Output_Mac!H:H,""),
_xlpm.MyAuditVal,_xlfn.XLOOKUP($A504,My_Audit!$A:$A,My_Audit!G:G,""),
_xlfn.IFS(_xlpm.MyAuditVal&lt;&gt;"",_xlpm.MyAuditVal,_xlpm.MacVal&lt;&gt;"",_xlpm.MacVal,_xlpm.CSVVal&lt;&gt;"",_xlpm.CSVVal
)),"")</f>
        <v/>
      </c>
      <c r="I504" s="40" t="str">
        <f>_xlfn.XLOOKUP(A504,Output_Mac!A:A,Output_Mac!I:I,"")</f>
        <v/>
      </c>
      <c r="J504" s="40" t="str" cm="1">
        <f t="array" ref="J504">IFERROR(_xlfn.LET(
_xlpm.CSVVal,_xlfn.XLOOKUP($A504,CSV!$A:$A,CSV!I:I,""),
_xlpm.MacVal,_xlfn.XLOOKUP($A504,Output_Mac!$A:$A,Output_Mac!J:J,""),
_xlpm.MyAuditVal,_xlfn.XLOOKUP($A504,My_Audit!$A:$A,My_Audit!I:I,""),
_xlfn.IFS(_xlpm.MyAuditVal&lt;&gt;"",UPPER(_xlpm.MyAuditVal),_xlpm.MacVal&lt;&gt;"",_xlpm.MacVal,_xlpm.CSVVal&lt;&gt;"",_xlpm.CSVVal
)),"")</f>
        <v/>
      </c>
      <c r="K504" s="40" t="str" cm="1">
        <f t="array" ref="K504">IFERROR(_xlfn.LET(
_xlpm.CSVVal,_xlfn.XLOOKUP($A504,CSV!$A:$A,CSV!K:K,""),
_xlpm.MacVal,_xlfn.XLOOKUP($A504,Output_Mac!$A:$A,Output_Mac!K:K,""),
_xlpm.MyAuditVal,_xlfn.XLOOKUP($A504,My_Audit!$A:$A,My_Audit!J:J,""),
_xlfn.IFS(_xlpm.MyAuditVal&lt;&gt;"",UPPER(_xlpm.MyAuditVal),_xlpm.MacVal&lt;&gt;"",_xlpm.MacVal,_xlpm.CSVVal&lt;&gt;"",_xlpm.CSVVal
)),"")</f>
        <v/>
      </c>
      <c r="L504" s="40" t="str" cm="1">
        <f t="array" ref="L504">IFERROR(_xlfn.LET(
_xlpm.CSVVal,_xlfn.XLOOKUP($A504,CSV!$A:$A,CSV!P:P,""),
_xlpm.MacVal,_xlfn.XLOOKUP($A504,Output_Mac!$A:$A,Output_Mac!L:L,""),
_xlpm.MyAuditVal,_xlfn.XLOOKUP($A504,My_Audit!$A:$A,My_Audit!K:K,""),
_xlfn.IFS(_xlpm.MyAuditVal&lt;&gt;"",UPPER(_xlpm.MyAuditVal),_xlpm.MacVal&lt;&gt;"",_xlpm.MacVal,_xlpm.CSVVal&lt;&gt;"",_xlpm.CSVVal
)),"")</f>
        <v/>
      </c>
      <c r="M504" s="40" t="str" cm="1">
        <f t="array" ref="M504">IFERROR(_xlfn.LET(
_xlpm.CSVVal,_xlfn.XLOOKUP($A504,CSV!$A:$A,CSV!Q:Q,""),
_xlpm.MacVal,_xlfn.XLOOKUP($A504,Output_Mac!$A:$A,Output_Mac!M:M,""),
_xlpm.MyAuditVal,_xlfn.XLOOKUP($A504,My_Audit!$A:$A,My_Audit!L:L,""),
_xlfn.IFS(_xlpm.MyAuditVal&lt;&gt;"",UPPER(_xlpm.MyAuditVal),_xlpm.MacVal&lt;&gt;"",_xlpm.MacVal,_xlpm.CSVVal&lt;&gt;"",_xlpm.CSVVal
)),"")</f>
        <v/>
      </c>
      <c r="N504" s="40"/>
      <c r="O504" s="40" t="str">
        <f>_xlfn.LET(
    _xlpm.CSVVal, _xlfn.XLOOKUP($A504, CSV!$A:$A, CSV!AA:AA, ""),
    _xlpm.MacVal, _xlfn.XLOOKUP($A504, Output_Mac!$A:$A, Output_Mac!S:S, ""),
    _xlpm.MyAuditVal, _xlfn.XLOOKUP($A504, My_Audit!$A:$A, My_Audit!P:P, ""),
    _xlfn.TEXTJOIN(", ", TRUE, _xlpm.MyAuditVal, _xlpm.MacVal, _xlpm.CSVVal)
)</f>
        <v/>
      </c>
      <c r="P504" s="40" t="str" cm="1">
        <f t="array" ref="P504">IFERROR(_xlfn.LET(
_xlpm.CSVVal,_xlfn.XLOOKUP($A504,CSV!$A:$A,CSV!AB:AB,""),
_xlpm.MacVal,_xlfn.XLOOKUP($A504,Output_Mac!$A:$A,Output_Mac!T:T,""),
_xlpm.MyAuditVal,_xlfn.XLOOKUP($A504,My_Audit!$A:$A,My_Audit!Q:Q,""),
_xlfn.IFS(_xlpm.MyAuditVal&lt;&gt;"",UPPER(_xlpm.MyAuditVal),_xlpm.MacVal&lt;&gt;"",_xlpm.MacVal,_xlpm.CSVVal&lt;&gt;"",_xlpm.CSVVal
)),"No")</f>
        <v>No</v>
      </c>
      <c r="Q504" s="40" t="str" cm="1">
        <f t="array" ref="Q504">IFERROR(_xlfn.LET(
_xlpm.CSVVal,_xlfn.XLOOKUP($A504,CSV!$A:$A,CSV!AC:AC,""),
_xlpm.MacVal,_xlfn.XLOOKUP($A504,Output_Mac!$A:$A,Output_Mac!U:U,""),
_xlpm.MyAuditVal,_xlfn.XLOOKUP($A504,My_Audit!$A:$A,My_Audit!R:R,""),
_xlfn.IFS(_xlpm.MyAuditVal&lt;&gt;"",UPPER(_xlpm.MyAuditVal),_xlpm.MacVal&lt;&gt;"",_xlpm.MacVal,_xlpm.CSVVal&lt;&gt;"",_xlpm.CSVVal
)),"")</f>
        <v/>
      </c>
      <c r="R504" s="40"/>
      <c r="S504" s="40"/>
      <c r="T504" s="40"/>
      <c r="U504" s="40"/>
      <c r="V504" s="40"/>
      <c r="W504" s="40"/>
      <c r="X504" s="41" t="str">
        <f>_xlfn.LET(
    _xlpm.MacVal, _xlfn.XLOOKUP($A504, Output_Mac!$A:$A, Output_Mac!AB:AB, ""),
    _xlpm.MyAuditVal, _xlfn.XLOOKUP($A504, My_Audit!$A:$A, My_Audit!N:N, ""),
    _xlfn.TEXTJOIN(", ", TRUE, _xlpm.MyAuditVal, _xlpm.MacVal)
)</f>
        <v/>
      </c>
    </row>
    <row r="505" spans="1:24">
      <c r="A505" s="40" t="str">
        <f>_xlfn.TEXTJOIN("",TRUE,Input!$B$2,ROW(My_Audit!A504))</f>
        <v>X504</v>
      </c>
      <c r="B505" s="40" t="str">
        <f>_xlfn.TEXTJOIN("-",TRUE,"ITD",Input!$A$2,A505)</f>
        <v>ITD-X504</v>
      </c>
      <c r="C505" s="40" t="str" cm="1">
        <f t="array" ref="C505">IFERROR(_xlfn.LET(
_xlpm.CSVVal,_xlfn.XLOOKUP($A505,CSV!$A:$A,CSV!B:B,""),
_xlpm.MacVal,_xlfn.XLOOKUP($A505,Output_Mac!$A:$A,Output_Mac!B:B,""),
_xlpm.MyAuditVal,_xlfn.XLOOKUP($A505,My_Audit!$A:$A,My_Audit!B:B,""),
_xlfn.IFS(_xlpm.MyAuditVal&lt;&gt;"",UPPER(_xlpm.MyAuditVal),_xlpm.MacVal&lt;&gt;"",_xlpm.MacVal,_xlpm.CSVVal&lt;&gt;"",_xlpm.CSVVal
)),"")</f>
        <v/>
      </c>
      <c r="D505" s="40" t="str" cm="1">
        <f t="array" ref="D505">IFERROR(_xlfn.LET(
_xlpm.CSVVal,_xlfn.XLOOKUP($A505,CSV!$A:$A,CSV!D:D,""),
_xlpm.MacVal,_xlfn.XLOOKUP($A505,Output_Mac!$A:$A,Output_Mac!C:C,""),
_xlpm.MyAuditVal,_xlfn.XLOOKUP($A505,My_Audit!$A:$A,My_Audit!C:C,""),
_xlfn.IFS(_xlpm.MyAuditVal&lt;&gt;"",_xlpm.MyAuditVal,_xlpm.MacVal&lt;&gt;"",_xlpm.MacVal,_xlpm.CSVVal&lt;&gt;"",_xlpm.CSVVal
)),"")</f>
        <v/>
      </c>
      <c r="E505" s="40" t="str">
        <f>_xlfn.XLOOKUP(A505,My_Audit!A:A,My_Audit!D:D,"")</f>
        <v/>
      </c>
      <c r="F505" s="40" t="str" cm="1">
        <f t="array" ref="F505">IFERROR(_xlfn.LET(
_xlpm.CSVVal,_xlfn.XLOOKUP($A505,CSV!$A:$A,CSV!F:F,""),
_xlpm.MacVal,_xlfn.XLOOKUP($A505,Output_Mac!$A:$A,Output_Mac!E:E,""),
_xlpm.MyAuditVal,_xlfn.XLOOKUP($A505,My_Audit!$A:$A,My_Audit!E:E,""),
_xlfn.IFS(_xlpm.MyAuditVal&lt;&gt;"",_xlpm.MyAuditVal,_xlpm.MacVal&lt;&gt;"",_xlpm.MacVal,_xlpm.CSVVal&lt;&gt;"",_xlpm.CSVVal
)),"")</f>
        <v/>
      </c>
      <c r="G505" s="40" t="str" cm="1">
        <f t="array" ref="G505">IFERROR(_xlfn.LET(
_xlpm.CSVVal,_xlfn.XLOOKUP($A505,CSV!$A:$A,CSV!G:G,""),
_xlpm.MacVal,_xlfn.XLOOKUP($A505,Output_Mac!$A:$A,Output_Mac!F:F,""),
_xlpm.MyAuditVal,_xlfn.XLOOKUP($A505,My_Audit!$A:$A,My_Audit!F:F,""),
_xlfn.IFS(_xlpm.MyAuditVal&lt;&gt;"",_xlpm.MyAuditVal,_xlpm.MacVal&lt;&gt;"",_xlpm.MacVal,_xlpm.CSVVal&lt;&gt;"",PROPER(_xlpm.CSVVal)
)),"")</f>
        <v/>
      </c>
      <c r="H505" s="40" t="str" cm="1">
        <f t="array" ref="H505">IFERROR(_xlfn.LET(
_xlpm.CSVVal,_xlfn.XLOOKUP($A505,CSV!$A:$A,CSV!H:H,""),
_xlpm.MacVal,_xlfn.XLOOKUP($A505,Output_Mac!$A:$A,Output_Mac!H:H,""),
_xlpm.MyAuditVal,_xlfn.XLOOKUP($A505,My_Audit!$A:$A,My_Audit!G:G,""),
_xlfn.IFS(_xlpm.MyAuditVal&lt;&gt;"",_xlpm.MyAuditVal,_xlpm.MacVal&lt;&gt;"",_xlpm.MacVal,_xlpm.CSVVal&lt;&gt;"",_xlpm.CSVVal
)),"")</f>
        <v/>
      </c>
      <c r="I505" s="40" t="str">
        <f>_xlfn.XLOOKUP(A505,Output_Mac!A:A,Output_Mac!I:I,"")</f>
        <v/>
      </c>
      <c r="J505" s="40" t="str" cm="1">
        <f t="array" ref="J505">IFERROR(_xlfn.LET(
_xlpm.CSVVal,_xlfn.XLOOKUP($A505,CSV!$A:$A,CSV!I:I,""),
_xlpm.MacVal,_xlfn.XLOOKUP($A505,Output_Mac!$A:$A,Output_Mac!J:J,""),
_xlpm.MyAuditVal,_xlfn.XLOOKUP($A505,My_Audit!$A:$A,My_Audit!I:I,""),
_xlfn.IFS(_xlpm.MyAuditVal&lt;&gt;"",UPPER(_xlpm.MyAuditVal),_xlpm.MacVal&lt;&gt;"",_xlpm.MacVal,_xlpm.CSVVal&lt;&gt;"",_xlpm.CSVVal
)),"")</f>
        <v/>
      </c>
      <c r="K505" s="40" t="str" cm="1">
        <f t="array" ref="K505">IFERROR(_xlfn.LET(
_xlpm.CSVVal,_xlfn.XLOOKUP($A505,CSV!$A:$A,CSV!K:K,""),
_xlpm.MacVal,_xlfn.XLOOKUP($A505,Output_Mac!$A:$A,Output_Mac!K:K,""),
_xlpm.MyAuditVal,_xlfn.XLOOKUP($A505,My_Audit!$A:$A,My_Audit!J:J,""),
_xlfn.IFS(_xlpm.MyAuditVal&lt;&gt;"",UPPER(_xlpm.MyAuditVal),_xlpm.MacVal&lt;&gt;"",_xlpm.MacVal,_xlpm.CSVVal&lt;&gt;"",_xlpm.CSVVal
)),"")</f>
        <v/>
      </c>
      <c r="L505" s="40" t="str" cm="1">
        <f t="array" ref="L505">IFERROR(_xlfn.LET(
_xlpm.CSVVal,_xlfn.XLOOKUP($A505,CSV!$A:$A,CSV!P:P,""),
_xlpm.MacVal,_xlfn.XLOOKUP($A505,Output_Mac!$A:$A,Output_Mac!L:L,""),
_xlpm.MyAuditVal,_xlfn.XLOOKUP($A505,My_Audit!$A:$A,My_Audit!K:K,""),
_xlfn.IFS(_xlpm.MyAuditVal&lt;&gt;"",UPPER(_xlpm.MyAuditVal),_xlpm.MacVal&lt;&gt;"",_xlpm.MacVal,_xlpm.CSVVal&lt;&gt;"",_xlpm.CSVVal
)),"")</f>
        <v/>
      </c>
      <c r="M505" s="40" t="str" cm="1">
        <f t="array" ref="M505">IFERROR(_xlfn.LET(
_xlpm.CSVVal,_xlfn.XLOOKUP($A505,CSV!$A:$A,CSV!Q:Q,""),
_xlpm.MacVal,_xlfn.XLOOKUP($A505,Output_Mac!$A:$A,Output_Mac!M:M,""),
_xlpm.MyAuditVal,_xlfn.XLOOKUP($A505,My_Audit!$A:$A,My_Audit!L:L,""),
_xlfn.IFS(_xlpm.MyAuditVal&lt;&gt;"",UPPER(_xlpm.MyAuditVal),_xlpm.MacVal&lt;&gt;"",_xlpm.MacVal,_xlpm.CSVVal&lt;&gt;"",_xlpm.CSVVal
)),"")</f>
        <v/>
      </c>
      <c r="N505" s="40"/>
      <c r="O505" s="40" t="str">
        <f>_xlfn.LET(
    _xlpm.CSVVal, _xlfn.XLOOKUP($A505, CSV!$A:$A, CSV!AA:AA, ""),
    _xlpm.MacVal, _xlfn.XLOOKUP($A505, Output_Mac!$A:$A, Output_Mac!S:S, ""),
    _xlpm.MyAuditVal, _xlfn.XLOOKUP($A505, My_Audit!$A:$A, My_Audit!P:P, ""),
    _xlfn.TEXTJOIN(", ", TRUE, _xlpm.MyAuditVal, _xlpm.MacVal, _xlpm.CSVVal)
)</f>
        <v/>
      </c>
      <c r="P505" s="40" t="str" cm="1">
        <f t="array" ref="P505">IFERROR(_xlfn.LET(
_xlpm.CSVVal,_xlfn.XLOOKUP($A505,CSV!$A:$A,CSV!AB:AB,""),
_xlpm.MacVal,_xlfn.XLOOKUP($A505,Output_Mac!$A:$A,Output_Mac!T:T,""),
_xlpm.MyAuditVal,_xlfn.XLOOKUP($A505,My_Audit!$A:$A,My_Audit!Q:Q,""),
_xlfn.IFS(_xlpm.MyAuditVal&lt;&gt;"",UPPER(_xlpm.MyAuditVal),_xlpm.MacVal&lt;&gt;"",_xlpm.MacVal,_xlpm.CSVVal&lt;&gt;"",_xlpm.CSVVal
)),"No")</f>
        <v>No</v>
      </c>
      <c r="Q505" s="40" t="str" cm="1">
        <f t="array" ref="Q505">IFERROR(_xlfn.LET(
_xlpm.CSVVal,_xlfn.XLOOKUP($A505,CSV!$A:$A,CSV!AC:AC,""),
_xlpm.MacVal,_xlfn.XLOOKUP($A505,Output_Mac!$A:$A,Output_Mac!U:U,""),
_xlpm.MyAuditVal,_xlfn.XLOOKUP($A505,My_Audit!$A:$A,My_Audit!R:R,""),
_xlfn.IFS(_xlpm.MyAuditVal&lt;&gt;"",UPPER(_xlpm.MyAuditVal),_xlpm.MacVal&lt;&gt;"",_xlpm.MacVal,_xlpm.CSVVal&lt;&gt;"",_xlpm.CSVVal
)),"")</f>
        <v/>
      </c>
      <c r="R505" s="40"/>
      <c r="S505" s="40"/>
      <c r="T505" s="40"/>
      <c r="U505" s="40"/>
      <c r="V505" s="40"/>
      <c r="W505" s="40"/>
      <c r="X505" s="41" t="str">
        <f>_xlfn.LET(
    _xlpm.MacVal, _xlfn.XLOOKUP($A505, Output_Mac!$A:$A, Output_Mac!AB:AB, ""),
    _xlpm.MyAuditVal, _xlfn.XLOOKUP($A505, My_Audit!$A:$A, My_Audit!N:N, ""),
    _xlfn.TEXTJOIN(", ", TRUE, _xlpm.MyAuditVal, _xlpm.MacVal)
)</f>
        <v/>
      </c>
    </row>
    <row r="506" spans="1:24">
      <c r="A506" s="40" t="str">
        <f>_xlfn.TEXTJOIN("",TRUE,Input!$B$2,ROW(My_Audit!A505))</f>
        <v>X505</v>
      </c>
      <c r="B506" s="40" t="str">
        <f>_xlfn.TEXTJOIN("-",TRUE,"ITD",Input!$A$2,A506)</f>
        <v>ITD-X505</v>
      </c>
      <c r="C506" s="40" t="str" cm="1">
        <f t="array" ref="C506">IFERROR(_xlfn.LET(
_xlpm.CSVVal,_xlfn.XLOOKUP($A506,CSV!$A:$A,CSV!B:B,""),
_xlpm.MacVal,_xlfn.XLOOKUP($A506,Output_Mac!$A:$A,Output_Mac!B:B,""),
_xlpm.MyAuditVal,_xlfn.XLOOKUP($A506,My_Audit!$A:$A,My_Audit!B:B,""),
_xlfn.IFS(_xlpm.MyAuditVal&lt;&gt;"",UPPER(_xlpm.MyAuditVal),_xlpm.MacVal&lt;&gt;"",_xlpm.MacVal,_xlpm.CSVVal&lt;&gt;"",_xlpm.CSVVal
)),"")</f>
        <v/>
      </c>
      <c r="D506" s="40" t="str" cm="1">
        <f t="array" ref="D506">IFERROR(_xlfn.LET(
_xlpm.CSVVal,_xlfn.XLOOKUP($A506,CSV!$A:$A,CSV!D:D,""),
_xlpm.MacVal,_xlfn.XLOOKUP($A506,Output_Mac!$A:$A,Output_Mac!C:C,""),
_xlpm.MyAuditVal,_xlfn.XLOOKUP($A506,My_Audit!$A:$A,My_Audit!C:C,""),
_xlfn.IFS(_xlpm.MyAuditVal&lt;&gt;"",_xlpm.MyAuditVal,_xlpm.MacVal&lt;&gt;"",_xlpm.MacVal,_xlpm.CSVVal&lt;&gt;"",_xlpm.CSVVal
)),"")</f>
        <v/>
      </c>
      <c r="E506" s="40" t="str">
        <f>_xlfn.XLOOKUP(A506,My_Audit!A:A,My_Audit!D:D,"")</f>
        <v/>
      </c>
      <c r="F506" s="40" t="str" cm="1">
        <f t="array" ref="F506">IFERROR(_xlfn.LET(
_xlpm.CSVVal,_xlfn.XLOOKUP($A506,CSV!$A:$A,CSV!F:F,""),
_xlpm.MacVal,_xlfn.XLOOKUP($A506,Output_Mac!$A:$A,Output_Mac!E:E,""),
_xlpm.MyAuditVal,_xlfn.XLOOKUP($A506,My_Audit!$A:$A,My_Audit!E:E,""),
_xlfn.IFS(_xlpm.MyAuditVal&lt;&gt;"",_xlpm.MyAuditVal,_xlpm.MacVal&lt;&gt;"",_xlpm.MacVal,_xlpm.CSVVal&lt;&gt;"",_xlpm.CSVVal
)),"")</f>
        <v/>
      </c>
      <c r="G506" s="40" t="str" cm="1">
        <f t="array" ref="G506">IFERROR(_xlfn.LET(
_xlpm.CSVVal,_xlfn.XLOOKUP($A506,CSV!$A:$A,CSV!G:G,""),
_xlpm.MacVal,_xlfn.XLOOKUP($A506,Output_Mac!$A:$A,Output_Mac!F:F,""),
_xlpm.MyAuditVal,_xlfn.XLOOKUP($A506,My_Audit!$A:$A,My_Audit!F:F,""),
_xlfn.IFS(_xlpm.MyAuditVal&lt;&gt;"",_xlpm.MyAuditVal,_xlpm.MacVal&lt;&gt;"",_xlpm.MacVal,_xlpm.CSVVal&lt;&gt;"",PROPER(_xlpm.CSVVal)
)),"")</f>
        <v/>
      </c>
      <c r="H506" s="40" t="str" cm="1">
        <f t="array" ref="H506">IFERROR(_xlfn.LET(
_xlpm.CSVVal,_xlfn.XLOOKUP($A506,CSV!$A:$A,CSV!H:H,""),
_xlpm.MacVal,_xlfn.XLOOKUP($A506,Output_Mac!$A:$A,Output_Mac!H:H,""),
_xlpm.MyAuditVal,_xlfn.XLOOKUP($A506,My_Audit!$A:$A,My_Audit!G:G,""),
_xlfn.IFS(_xlpm.MyAuditVal&lt;&gt;"",_xlpm.MyAuditVal,_xlpm.MacVal&lt;&gt;"",_xlpm.MacVal,_xlpm.CSVVal&lt;&gt;"",_xlpm.CSVVal
)),"")</f>
        <v/>
      </c>
      <c r="I506" s="40" t="str">
        <f>_xlfn.XLOOKUP(A506,Output_Mac!A:A,Output_Mac!I:I,"")</f>
        <v/>
      </c>
      <c r="J506" s="40" t="str" cm="1">
        <f t="array" ref="J506">IFERROR(_xlfn.LET(
_xlpm.CSVVal,_xlfn.XLOOKUP($A506,CSV!$A:$A,CSV!I:I,""),
_xlpm.MacVal,_xlfn.XLOOKUP($A506,Output_Mac!$A:$A,Output_Mac!J:J,""),
_xlpm.MyAuditVal,_xlfn.XLOOKUP($A506,My_Audit!$A:$A,My_Audit!I:I,""),
_xlfn.IFS(_xlpm.MyAuditVal&lt;&gt;"",UPPER(_xlpm.MyAuditVal),_xlpm.MacVal&lt;&gt;"",_xlpm.MacVal,_xlpm.CSVVal&lt;&gt;"",_xlpm.CSVVal
)),"")</f>
        <v/>
      </c>
      <c r="K506" s="40" t="str" cm="1">
        <f t="array" ref="K506">IFERROR(_xlfn.LET(
_xlpm.CSVVal,_xlfn.XLOOKUP($A506,CSV!$A:$A,CSV!K:K,""),
_xlpm.MacVal,_xlfn.XLOOKUP($A506,Output_Mac!$A:$A,Output_Mac!K:K,""),
_xlpm.MyAuditVal,_xlfn.XLOOKUP($A506,My_Audit!$A:$A,My_Audit!J:J,""),
_xlfn.IFS(_xlpm.MyAuditVal&lt;&gt;"",UPPER(_xlpm.MyAuditVal),_xlpm.MacVal&lt;&gt;"",_xlpm.MacVal,_xlpm.CSVVal&lt;&gt;"",_xlpm.CSVVal
)),"")</f>
        <v/>
      </c>
      <c r="L506" s="40" t="str" cm="1">
        <f t="array" ref="L506">IFERROR(_xlfn.LET(
_xlpm.CSVVal,_xlfn.XLOOKUP($A506,CSV!$A:$A,CSV!P:P,""),
_xlpm.MacVal,_xlfn.XLOOKUP($A506,Output_Mac!$A:$A,Output_Mac!L:L,""),
_xlpm.MyAuditVal,_xlfn.XLOOKUP($A506,My_Audit!$A:$A,My_Audit!K:K,""),
_xlfn.IFS(_xlpm.MyAuditVal&lt;&gt;"",UPPER(_xlpm.MyAuditVal),_xlpm.MacVal&lt;&gt;"",_xlpm.MacVal,_xlpm.CSVVal&lt;&gt;"",_xlpm.CSVVal
)),"")</f>
        <v/>
      </c>
      <c r="M506" s="40" t="str" cm="1">
        <f t="array" ref="M506">IFERROR(_xlfn.LET(
_xlpm.CSVVal,_xlfn.XLOOKUP($A506,CSV!$A:$A,CSV!Q:Q,""),
_xlpm.MacVal,_xlfn.XLOOKUP($A506,Output_Mac!$A:$A,Output_Mac!M:M,""),
_xlpm.MyAuditVal,_xlfn.XLOOKUP($A506,My_Audit!$A:$A,My_Audit!L:L,""),
_xlfn.IFS(_xlpm.MyAuditVal&lt;&gt;"",UPPER(_xlpm.MyAuditVal),_xlpm.MacVal&lt;&gt;"",_xlpm.MacVal,_xlpm.CSVVal&lt;&gt;"",_xlpm.CSVVal
)),"")</f>
        <v/>
      </c>
      <c r="N506" s="40"/>
      <c r="O506" s="40" t="str">
        <f>_xlfn.LET(
    _xlpm.CSVVal, _xlfn.XLOOKUP($A506, CSV!$A:$A, CSV!AA:AA, ""),
    _xlpm.MacVal, _xlfn.XLOOKUP($A506, Output_Mac!$A:$A, Output_Mac!S:S, ""),
    _xlpm.MyAuditVal, _xlfn.XLOOKUP($A506, My_Audit!$A:$A, My_Audit!P:P, ""),
    _xlfn.TEXTJOIN(", ", TRUE, _xlpm.MyAuditVal, _xlpm.MacVal, _xlpm.CSVVal)
)</f>
        <v/>
      </c>
      <c r="P506" s="40" t="str" cm="1">
        <f t="array" ref="P506">IFERROR(_xlfn.LET(
_xlpm.CSVVal,_xlfn.XLOOKUP($A506,CSV!$A:$A,CSV!AB:AB,""),
_xlpm.MacVal,_xlfn.XLOOKUP($A506,Output_Mac!$A:$A,Output_Mac!T:T,""),
_xlpm.MyAuditVal,_xlfn.XLOOKUP($A506,My_Audit!$A:$A,My_Audit!Q:Q,""),
_xlfn.IFS(_xlpm.MyAuditVal&lt;&gt;"",UPPER(_xlpm.MyAuditVal),_xlpm.MacVal&lt;&gt;"",_xlpm.MacVal,_xlpm.CSVVal&lt;&gt;"",_xlpm.CSVVal
)),"No")</f>
        <v>No</v>
      </c>
      <c r="Q506" s="40" t="str" cm="1">
        <f t="array" ref="Q506">IFERROR(_xlfn.LET(
_xlpm.CSVVal,_xlfn.XLOOKUP($A506,CSV!$A:$A,CSV!AC:AC,""),
_xlpm.MacVal,_xlfn.XLOOKUP($A506,Output_Mac!$A:$A,Output_Mac!U:U,""),
_xlpm.MyAuditVal,_xlfn.XLOOKUP($A506,My_Audit!$A:$A,My_Audit!R:R,""),
_xlfn.IFS(_xlpm.MyAuditVal&lt;&gt;"",UPPER(_xlpm.MyAuditVal),_xlpm.MacVal&lt;&gt;"",_xlpm.MacVal,_xlpm.CSVVal&lt;&gt;"",_xlpm.CSVVal
)),"")</f>
        <v/>
      </c>
      <c r="R506" s="40"/>
      <c r="S506" s="40"/>
      <c r="T506" s="40"/>
      <c r="U506" s="40"/>
      <c r="V506" s="40"/>
      <c r="W506" s="40"/>
      <c r="X506" s="41" t="str">
        <f>_xlfn.LET(
    _xlpm.MacVal, _xlfn.XLOOKUP($A506, Output_Mac!$A:$A, Output_Mac!AB:AB, ""),
    _xlpm.MyAuditVal, _xlfn.XLOOKUP($A506, My_Audit!$A:$A, My_Audit!N:N, ""),
    _xlfn.TEXTJOIN(", ", TRUE, _xlpm.MyAuditVal, _xlpm.MacVal)
)</f>
        <v/>
      </c>
    </row>
    <row r="507" spans="1:24">
      <c r="A507" s="40" t="str">
        <f>_xlfn.TEXTJOIN("",TRUE,Input!$B$2,ROW(My_Audit!A506))</f>
        <v>X506</v>
      </c>
      <c r="B507" s="40" t="str">
        <f>_xlfn.TEXTJOIN("-",TRUE,"ITD",Input!$A$2,A507)</f>
        <v>ITD-X506</v>
      </c>
      <c r="C507" s="40" t="str" cm="1">
        <f t="array" ref="C507">IFERROR(_xlfn.LET(
_xlpm.CSVVal,_xlfn.XLOOKUP($A507,CSV!$A:$A,CSV!B:B,""),
_xlpm.MacVal,_xlfn.XLOOKUP($A507,Output_Mac!$A:$A,Output_Mac!B:B,""),
_xlpm.MyAuditVal,_xlfn.XLOOKUP($A507,My_Audit!$A:$A,My_Audit!B:B,""),
_xlfn.IFS(_xlpm.MyAuditVal&lt;&gt;"",UPPER(_xlpm.MyAuditVal),_xlpm.MacVal&lt;&gt;"",_xlpm.MacVal,_xlpm.CSVVal&lt;&gt;"",_xlpm.CSVVal
)),"")</f>
        <v/>
      </c>
      <c r="D507" s="40" t="str" cm="1">
        <f t="array" ref="D507">IFERROR(_xlfn.LET(
_xlpm.CSVVal,_xlfn.XLOOKUP($A507,CSV!$A:$A,CSV!D:D,""),
_xlpm.MacVal,_xlfn.XLOOKUP($A507,Output_Mac!$A:$A,Output_Mac!C:C,""),
_xlpm.MyAuditVal,_xlfn.XLOOKUP($A507,My_Audit!$A:$A,My_Audit!C:C,""),
_xlfn.IFS(_xlpm.MyAuditVal&lt;&gt;"",_xlpm.MyAuditVal,_xlpm.MacVal&lt;&gt;"",_xlpm.MacVal,_xlpm.CSVVal&lt;&gt;"",_xlpm.CSVVal
)),"")</f>
        <v/>
      </c>
      <c r="E507" s="40" t="str">
        <f>_xlfn.XLOOKUP(A507,My_Audit!A:A,My_Audit!D:D,"")</f>
        <v/>
      </c>
      <c r="F507" s="40" t="str" cm="1">
        <f t="array" ref="F507">IFERROR(_xlfn.LET(
_xlpm.CSVVal,_xlfn.XLOOKUP($A507,CSV!$A:$A,CSV!F:F,""),
_xlpm.MacVal,_xlfn.XLOOKUP($A507,Output_Mac!$A:$A,Output_Mac!E:E,""),
_xlpm.MyAuditVal,_xlfn.XLOOKUP($A507,My_Audit!$A:$A,My_Audit!E:E,""),
_xlfn.IFS(_xlpm.MyAuditVal&lt;&gt;"",_xlpm.MyAuditVal,_xlpm.MacVal&lt;&gt;"",_xlpm.MacVal,_xlpm.CSVVal&lt;&gt;"",_xlpm.CSVVal
)),"")</f>
        <v/>
      </c>
      <c r="G507" s="40" t="str" cm="1">
        <f t="array" ref="G507">IFERROR(_xlfn.LET(
_xlpm.CSVVal,_xlfn.XLOOKUP($A507,CSV!$A:$A,CSV!G:G,""),
_xlpm.MacVal,_xlfn.XLOOKUP($A507,Output_Mac!$A:$A,Output_Mac!F:F,""),
_xlpm.MyAuditVal,_xlfn.XLOOKUP($A507,My_Audit!$A:$A,My_Audit!F:F,""),
_xlfn.IFS(_xlpm.MyAuditVal&lt;&gt;"",_xlpm.MyAuditVal,_xlpm.MacVal&lt;&gt;"",_xlpm.MacVal,_xlpm.CSVVal&lt;&gt;"",PROPER(_xlpm.CSVVal)
)),"")</f>
        <v/>
      </c>
      <c r="H507" s="40" t="str" cm="1">
        <f t="array" ref="H507">IFERROR(_xlfn.LET(
_xlpm.CSVVal,_xlfn.XLOOKUP($A507,CSV!$A:$A,CSV!H:H,""),
_xlpm.MacVal,_xlfn.XLOOKUP($A507,Output_Mac!$A:$A,Output_Mac!H:H,""),
_xlpm.MyAuditVal,_xlfn.XLOOKUP($A507,My_Audit!$A:$A,My_Audit!G:G,""),
_xlfn.IFS(_xlpm.MyAuditVal&lt;&gt;"",_xlpm.MyAuditVal,_xlpm.MacVal&lt;&gt;"",_xlpm.MacVal,_xlpm.CSVVal&lt;&gt;"",_xlpm.CSVVal
)),"")</f>
        <v/>
      </c>
      <c r="I507" s="40" t="str">
        <f>_xlfn.XLOOKUP(A507,Output_Mac!A:A,Output_Mac!I:I,"")</f>
        <v/>
      </c>
      <c r="J507" s="40" t="str" cm="1">
        <f t="array" ref="J507">IFERROR(_xlfn.LET(
_xlpm.CSVVal,_xlfn.XLOOKUP($A507,CSV!$A:$A,CSV!I:I,""),
_xlpm.MacVal,_xlfn.XLOOKUP($A507,Output_Mac!$A:$A,Output_Mac!J:J,""),
_xlpm.MyAuditVal,_xlfn.XLOOKUP($A507,My_Audit!$A:$A,My_Audit!I:I,""),
_xlfn.IFS(_xlpm.MyAuditVal&lt;&gt;"",UPPER(_xlpm.MyAuditVal),_xlpm.MacVal&lt;&gt;"",_xlpm.MacVal,_xlpm.CSVVal&lt;&gt;"",_xlpm.CSVVal
)),"")</f>
        <v/>
      </c>
      <c r="K507" s="40" t="str" cm="1">
        <f t="array" ref="K507">IFERROR(_xlfn.LET(
_xlpm.CSVVal,_xlfn.XLOOKUP($A507,CSV!$A:$A,CSV!K:K,""),
_xlpm.MacVal,_xlfn.XLOOKUP($A507,Output_Mac!$A:$A,Output_Mac!K:K,""),
_xlpm.MyAuditVal,_xlfn.XLOOKUP($A507,My_Audit!$A:$A,My_Audit!J:J,""),
_xlfn.IFS(_xlpm.MyAuditVal&lt;&gt;"",UPPER(_xlpm.MyAuditVal),_xlpm.MacVal&lt;&gt;"",_xlpm.MacVal,_xlpm.CSVVal&lt;&gt;"",_xlpm.CSVVal
)),"")</f>
        <v/>
      </c>
      <c r="L507" s="40" t="str" cm="1">
        <f t="array" ref="L507">IFERROR(_xlfn.LET(
_xlpm.CSVVal,_xlfn.XLOOKUP($A507,CSV!$A:$A,CSV!P:P,""),
_xlpm.MacVal,_xlfn.XLOOKUP($A507,Output_Mac!$A:$A,Output_Mac!L:L,""),
_xlpm.MyAuditVal,_xlfn.XLOOKUP($A507,My_Audit!$A:$A,My_Audit!K:K,""),
_xlfn.IFS(_xlpm.MyAuditVal&lt;&gt;"",UPPER(_xlpm.MyAuditVal),_xlpm.MacVal&lt;&gt;"",_xlpm.MacVal,_xlpm.CSVVal&lt;&gt;"",_xlpm.CSVVal
)),"")</f>
        <v/>
      </c>
      <c r="M507" s="40" t="str" cm="1">
        <f t="array" ref="M507">IFERROR(_xlfn.LET(
_xlpm.CSVVal,_xlfn.XLOOKUP($A507,CSV!$A:$A,CSV!Q:Q,""),
_xlpm.MacVal,_xlfn.XLOOKUP($A507,Output_Mac!$A:$A,Output_Mac!M:M,""),
_xlpm.MyAuditVal,_xlfn.XLOOKUP($A507,My_Audit!$A:$A,My_Audit!L:L,""),
_xlfn.IFS(_xlpm.MyAuditVal&lt;&gt;"",UPPER(_xlpm.MyAuditVal),_xlpm.MacVal&lt;&gt;"",_xlpm.MacVal,_xlpm.CSVVal&lt;&gt;"",_xlpm.CSVVal
)),"")</f>
        <v/>
      </c>
      <c r="N507" s="40"/>
      <c r="O507" s="40" t="str">
        <f>_xlfn.LET(
    _xlpm.CSVVal, _xlfn.XLOOKUP($A507, CSV!$A:$A, CSV!AA:AA, ""),
    _xlpm.MacVal, _xlfn.XLOOKUP($A507, Output_Mac!$A:$A, Output_Mac!S:S, ""),
    _xlpm.MyAuditVal, _xlfn.XLOOKUP($A507, My_Audit!$A:$A, My_Audit!P:P, ""),
    _xlfn.TEXTJOIN(", ", TRUE, _xlpm.MyAuditVal, _xlpm.MacVal, _xlpm.CSVVal)
)</f>
        <v/>
      </c>
      <c r="P507" s="40" t="str" cm="1">
        <f t="array" ref="P507">IFERROR(_xlfn.LET(
_xlpm.CSVVal,_xlfn.XLOOKUP($A507,CSV!$A:$A,CSV!AB:AB,""),
_xlpm.MacVal,_xlfn.XLOOKUP($A507,Output_Mac!$A:$A,Output_Mac!T:T,""),
_xlpm.MyAuditVal,_xlfn.XLOOKUP($A507,My_Audit!$A:$A,My_Audit!Q:Q,""),
_xlfn.IFS(_xlpm.MyAuditVal&lt;&gt;"",UPPER(_xlpm.MyAuditVal),_xlpm.MacVal&lt;&gt;"",_xlpm.MacVal,_xlpm.CSVVal&lt;&gt;"",_xlpm.CSVVal
)),"No")</f>
        <v>No</v>
      </c>
      <c r="Q507" s="40" t="str" cm="1">
        <f t="array" ref="Q507">IFERROR(_xlfn.LET(
_xlpm.CSVVal,_xlfn.XLOOKUP($A507,CSV!$A:$A,CSV!AC:AC,""),
_xlpm.MacVal,_xlfn.XLOOKUP($A507,Output_Mac!$A:$A,Output_Mac!U:U,""),
_xlpm.MyAuditVal,_xlfn.XLOOKUP($A507,My_Audit!$A:$A,My_Audit!R:R,""),
_xlfn.IFS(_xlpm.MyAuditVal&lt;&gt;"",UPPER(_xlpm.MyAuditVal),_xlpm.MacVal&lt;&gt;"",_xlpm.MacVal,_xlpm.CSVVal&lt;&gt;"",_xlpm.CSVVal
)),"")</f>
        <v/>
      </c>
      <c r="R507" s="40"/>
      <c r="S507" s="40"/>
      <c r="T507" s="40"/>
      <c r="U507" s="40"/>
      <c r="V507" s="40"/>
      <c r="W507" s="40"/>
      <c r="X507" s="41" t="str">
        <f>_xlfn.LET(
    _xlpm.MacVal, _xlfn.XLOOKUP($A507, Output_Mac!$A:$A, Output_Mac!AB:AB, ""),
    _xlpm.MyAuditVal, _xlfn.XLOOKUP($A507, My_Audit!$A:$A, My_Audit!N:N, ""),
    _xlfn.TEXTJOIN(", ", TRUE, _xlpm.MyAuditVal, _xlpm.MacVal)
)</f>
        <v/>
      </c>
    </row>
    <row r="508" spans="1:24">
      <c r="A508" s="40" t="str">
        <f>_xlfn.TEXTJOIN("",TRUE,Input!$B$2,ROW(My_Audit!A507))</f>
        <v>X507</v>
      </c>
      <c r="B508" s="40" t="str">
        <f>_xlfn.TEXTJOIN("-",TRUE,"ITD",Input!$A$2,A508)</f>
        <v>ITD-X507</v>
      </c>
      <c r="C508" s="40" t="str" cm="1">
        <f t="array" ref="C508">IFERROR(_xlfn.LET(
_xlpm.CSVVal,_xlfn.XLOOKUP($A508,CSV!$A:$A,CSV!B:B,""),
_xlpm.MacVal,_xlfn.XLOOKUP($A508,Output_Mac!$A:$A,Output_Mac!B:B,""),
_xlpm.MyAuditVal,_xlfn.XLOOKUP($A508,My_Audit!$A:$A,My_Audit!B:B,""),
_xlfn.IFS(_xlpm.MyAuditVal&lt;&gt;"",UPPER(_xlpm.MyAuditVal),_xlpm.MacVal&lt;&gt;"",_xlpm.MacVal,_xlpm.CSVVal&lt;&gt;"",_xlpm.CSVVal
)),"")</f>
        <v/>
      </c>
      <c r="D508" s="40" t="str" cm="1">
        <f t="array" ref="D508">IFERROR(_xlfn.LET(
_xlpm.CSVVal,_xlfn.XLOOKUP($A508,CSV!$A:$A,CSV!D:D,""),
_xlpm.MacVal,_xlfn.XLOOKUP($A508,Output_Mac!$A:$A,Output_Mac!C:C,""),
_xlpm.MyAuditVal,_xlfn.XLOOKUP($A508,My_Audit!$A:$A,My_Audit!C:C,""),
_xlfn.IFS(_xlpm.MyAuditVal&lt;&gt;"",_xlpm.MyAuditVal,_xlpm.MacVal&lt;&gt;"",_xlpm.MacVal,_xlpm.CSVVal&lt;&gt;"",_xlpm.CSVVal
)),"")</f>
        <v/>
      </c>
      <c r="E508" s="40" t="str">
        <f>_xlfn.XLOOKUP(A508,My_Audit!A:A,My_Audit!D:D,"")</f>
        <v/>
      </c>
      <c r="F508" s="40" t="str" cm="1">
        <f t="array" ref="F508">IFERROR(_xlfn.LET(
_xlpm.CSVVal,_xlfn.XLOOKUP($A508,CSV!$A:$A,CSV!F:F,""),
_xlpm.MacVal,_xlfn.XLOOKUP($A508,Output_Mac!$A:$A,Output_Mac!E:E,""),
_xlpm.MyAuditVal,_xlfn.XLOOKUP($A508,My_Audit!$A:$A,My_Audit!E:E,""),
_xlfn.IFS(_xlpm.MyAuditVal&lt;&gt;"",_xlpm.MyAuditVal,_xlpm.MacVal&lt;&gt;"",_xlpm.MacVal,_xlpm.CSVVal&lt;&gt;"",_xlpm.CSVVal
)),"")</f>
        <v/>
      </c>
      <c r="G508" s="40" t="str" cm="1">
        <f t="array" ref="G508">IFERROR(_xlfn.LET(
_xlpm.CSVVal,_xlfn.XLOOKUP($A508,CSV!$A:$A,CSV!G:G,""),
_xlpm.MacVal,_xlfn.XLOOKUP($A508,Output_Mac!$A:$A,Output_Mac!F:F,""),
_xlpm.MyAuditVal,_xlfn.XLOOKUP($A508,My_Audit!$A:$A,My_Audit!F:F,""),
_xlfn.IFS(_xlpm.MyAuditVal&lt;&gt;"",_xlpm.MyAuditVal,_xlpm.MacVal&lt;&gt;"",_xlpm.MacVal,_xlpm.CSVVal&lt;&gt;"",PROPER(_xlpm.CSVVal)
)),"")</f>
        <v/>
      </c>
      <c r="H508" s="40" t="str" cm="1">
        <f t="array" ref="H508">IFERROR(_xlfn.LET(
_xlpm.CSVVal,_xlfn.XLOOKUP($A508,CSV!$A:$A,CSV!H:H,""),
_xlpm.MacVal,_xlfn.XLOOKUP($A508,Output_Mac!$A:$A,Output_Mac!H:H,""),
_xlpm.MyAuditVal,_xlfn.XLOOKUP($A508,My_Audit!$A:$A,My_Audit!G:G,""),
_xlfn.IFS(_xlpm.MyAuditVal&lt;&gt;"",_xlpm.MyAuditVal,_xlpm.MacVal&lt;&gt;"",_xlpm.MacVal,_xlpm.CSVVal&lt;&gt;"",_xlpm.CSVVal
)),"")</f>
        <v/>
      </c>
      <c r="I508" s="40" t="str">
        <f>_xlfn.XLOOKUP(A508,Output_Mac!A:A,Output_Mac!I:I,"")</f>
        <v/>
      </c>
      <c r="J508" s="40" t="str" cm="1">
        <f t="array" ref="J508">IFERROR(_xlfn.LET(
_xlpm.CSVVal,_xlfn.XLOOKUP($A508,CSV!$A:$A,CSV!I:I,""),
_xlpm.MacVal,_xlfn.XLOOKUP($A508,Output_Mac!$A:$A,Output_Mac!J:J,""),
_xlpm.MyAuditVal,_xlfn.XLOOKUP($A508,My_Audit!$A:$A,My_Audit!I:I,""),
_xlfn.IFS(_xlpm.MyAuditVal&lt;&gt;"",UPPER(_xlpm.MyAuditVal),_xlpm.MacVal&lt;&gt;"",_xlpm.MacVal,_xlpm.CSVVal&lt;&gt;"",_xlpm.CSVVal
)),"")</f>
        <v/>
      </c>
      <c r="K508" s="40" t="str" cm="1">
        <f t="array" ref="K508">IFERROR(_xlfn.LET(
_xlpm.CSVVal,_xlfn.XLOOKUP($A508,CSV!$A:$A,CSV!K:K,""),
_xlpm.MacVal,_xlfn.XLOOKUP($A508,Output_Mac!$A:$A,Output_Mac!K:K,""),
_xlpm.MyAuditVal,_xlfn.XLOOKUP($A508,My_Audit!$A:$A,My_Audit!J:J,""),
_xlfn.IFS(_xlpm.MyAuditVal&lt;&gt;"",UPPER(_xlpm.MyAuditVal),_xlpm.MacVal&lt;&gt;"",_xlpm.MacVal,_xlpm.CSVVal&lt;&gt;"",_xlpm.CSVVal
)),"")</f>
        <v/>
      </c>
      <c r="L508" s="40" t="str" cm="1">
        <f t="array" ref="L508">IFERROR(_xlfn.LET(
_xlpm.CSVVal,_xlfn.XLOOKUP($A508,CSV!$A:$A,CSV!P:P,""),
_xlpm.MacVal,_xlfn.XLOOKUP($A508,Output_Mac!$A:$A,Output_Mac!L:L,""),
_xlpm.MyAuditVal,_xlfn.XLOOKUP($A508,My_Audit!$A:$A,My_Audit!K:K,""),
_xlfn.IFS(_xlpm.MyAuditVal&lt;&gt;"",UPPER(_xlpm.MyAuditVal),_xlpm.MacVal&lt;&gt;"",_xlpm.MacVal,_xlpm.CSVVal&lt;&gt;"",_xlpm.CSVVal
)),"")</f>
        <v/>
      </c>
      <c r="M508" s="40" t="str" cm="1">
        <f t="array" ref="M508">IFERROR(_xlfn.LET(
_xlpm.CSVVal,_xlfn.XLOOKUP($A508,CSV!$A:$A,CSV!Q:Q,""),
_xlpm.MacVal,_xlfn.XLOOKUP($A508,Output_Mac!$A:$A,Output_Mac!M:M,""),
_xlpm.MyAuditVal,_xlfn.XLOOKUP($A508,My_Audit!$A:$A,My_Audit!L:L,""),
_xlfn.IFS(_xlpm.MyAuditVal&lt;&gt;"",UPPER(_xlpm.MyAuditVal),_xlpm.MacVal&lt;&gt;"",_xlpm.MacVal,_xlpm.CSVVal&lt;&gt;"",_xlpm.CSVVal
)),"")</f>
        <v/>
      </c>
      <c r="N508" s="40"/>
      <c r="O508" s="40" t="str">
        <f>_xlfn.LET(
    _xlpm.CSVVal, _xlfn.XLOOKUP($A508, CSV!$A:$A, CSV!AA:AA, ""),
    _xlpm.MacVal, _xlfn.XLOOKUP($A508, Output_Mac!$A:$A, Output_Mac!S:S, ""),
    _xlpm.MyAuditVal, _xlfn.XLOOKUP($A508, My_Audit!$A:$A, My_Audit!P:P, ""),
    _xlfn.TEXTJOIN(", ", TRUE, _xlpm.MyAuditVal, _xlpm.MacVal, _xlpm.CSVVal)
)</f>
        <v/>
      </c>
      <c r="P508" s="40" t="str" cm="1">
        <f t="array" ref="P508">IFERROR(_xlfn.LET(
_xlpm.CSVVal,_xlfn.XLOOKUP($A508,CSV!$A:$A,CSV!AB:AB,""),
_xlpm.MacVal,_xlfn.XLOOKUP($A508,Output_Mac!$A:$A,Output_Mac!T:T,""),
_xlpm.MyAuditVal,_xlfn.XLOOKUP($A508,My_Audit!$A:$A,My_Audit!Q:Q,""),
_xlfn.IFS(_xlpm.MyAuditVal&lt;&gt;"",UPPER(_xlpm.MyAuditVal),_xlpm.MacVal&lt;&gt;"",_xlpm.MacVal,_xlpm.CSVVal&lt;&gt;"",_xlpm.CSVVal
)),"No")</f>
        <v>No</v>
      </c>
      <c r="Q508" s="40" t="str" cm="1">
        <f t="array" ref="Q508">IFERROR(_xlfn.LET(
_xlpm.CSVVal,_xlfn.XLOOKUP($A508,CSV!$A:$A,CSV!AC:AC,""),
_xlpm.MacVal,_xlfn.XLOOKUP($A508,Output_Mac!$A:$A,Output_Mac!U:U,""),
_xlpm.MyAuditVal,_xlfn.XLOOKUP($A508,My_Audit!$A:$A,My_Audit!R:R,""),
_xlfn.IFS(_xlpm.MyAuditVal&lt;&gt;"",UPPER(_xlpm.MyAuditVal),_xlpm.MacVal&lt;&gt;"",_xlpm.MacVal,_xlpm.CSVVal&lt;&gt;"",_xlpm.CSVVal
)),"")</f>
        <v/>
      </c>
      <c r="R508" s="40"/>
      <c r="S508" s="40"/>
      <c r="T508" s="40"/>
      <c r="U508" s="40"/>
      <c r="V508" s="40"/>
      <c r="W508" s="40"/>
      <c r="X508" s="41" t="str">
        <f>_xlfn.LET(
    _xlpm.MacVal, _xlfn.XLOOKUP($A508, Output_Mac!$A:$A, Output_Mac!AB:AB, ""),
    _xlpm.MyAuditVal, _xlfn.XLOOKUP($A508, My_Audit!$A:$A, My_Audit!N:N, ""),
    _xlfn.TEXTJOIN(", ", TRUE, _xlpm.MyAuditVal, _xlpm.MacVal)
)</f>
        <v/>
      </c>
    </row>
    <row r="509" spans="1:24">
      <c r="A509" s="40" t="str">
        <f>_xlfn.TEXTJOIN("",TRUE,Input!$B$2,ROW(My_Audit!A508))</f>
        <v>X508</v>
      </c>
      <c r="B509" s="40" t="str">
        <f>_xlfn.TEXTJOIN("-",TRUE,"ITD",Input!$A$2,A509)</f>
        <v>ITD-X508</v>
      </c>
      <c r="C509" s="40" t="str" cm="1">
        <f t="array" ref="C509">IFERROR(_xlfn.LET(
_xlpm.CSVVal,_xlfn.XLOOKUP($A509,CSV!$A:$A,CSV!B:B,""),
_xlpm.MacVal,_xlfn.XLOOKUP($A509,Output_Mac!$A:$A,Output_Mac!B:B,""),
_xlpm.MyAuditVal,_xlfn.XLOOKUP($A509,My_Audit!$A:$A,My_Audit!B:B,""),
_xlfn.IFS(_xlpm.MyAuditVal&lt;&gt;"",UPPER(_xlpm.MyAuditVal),_xlpm.MacVal&lt;&gt;"",_xlpm.MacVal,_xlpm.CSVVal&lt;&gt;"",_xlpm.CSVVal
)),"")</f>
        <v/>
      </c>
      <c r="D509" s="40" t="str" cm="1">
        <f t="array" ref="D509">IFERROR(_xlfn.LET(
_xlpm.CSVVal,_xlfn.XLOOKUP($A509,CSV!$A:$A,CSV!D:D,""),
_xlpm.MacVal,_xlfn.XLOOKUP($A509,Output_Mac!$A:$A,Output_Mac!C:C,""),
_xlpm.MyAuditVal,_xlfn.XLOOKUP($A509,My_Audit!$A:$A,My_Audit!C:C,""),
_xlfn.IFS(_xlpm.MyAuditVal&lt;&gt;"",_xlpm.MyAuditVal,_xlpm.MacVal&lt;&gt;"",_xlpm.MacVal,_xlpm.CSVVal&lt;&gt;"",_xlpm.CSVVal
)),"")</f>
        <v/>
      </c>
      <c r="E509" s="40" t="str">
        <f>_xlfn.XLOOKUP(A509,My_Audit!A:A,My_Audit!D:D,"")</f>
        <v/>
      </c>
      <c r="F509" s="40" t="str" cm="1">
        <f t="array" ref="F509">IFERROR(_xlfn.LET(
_xlpm.CSVVal,_xlfn.XLOOKUP($A509,CSV!$A:$A,CSV!F:F,""),
_xlpm.MacVal,_xlfn.XLOOKUP($A509,Output_Mac!$A:$A,Output_Mac!E:E,""),
_xlpm.MyAuditVal,_xlfn.XLOOKUP($A509,My_Audit!$A:$A,My_Audit!E:E,""),
_xlfn.IFS(_xlpm.MyAuditVal&lt;&gt;"",_xlpm.MyAuditVal,_xlpm.MacVal&lt;&gt;"",_xlpm.MacVal,_xlpm.CSVVal&lt;&gt;"",_xlpm.CSVVal
)),"")</f>
        <v/>
      </c>
      <c r="G509" s="40" t="str" cm="1">
        <f t="array" ref="G509">IFERROR(_xlfn.LET(
_xlpm.CSVVal,_xlfn.XLOOKUP($A509,CSV!$A:$A,CSV!G:G,""),
_xlpm.MacVal,_xlfn.XLOOKUP($A509,Output_Mac!$A:$A,Output_Mac!F:F,""),
_xlpm.MyAuditVal,_xlfn.XLOOKUP($A509,My_Audit!$A:$A,My_Audit!F:F,""),
_xlfn.IFS(_xlpm.MyAuditVal&lt;&gt;"",_xlpm.MyAuditVal,_xlpm.MacVal&lt;&gt;"",_xlpm.MacVal,_xlpm.CSVVal&lt;&gt;"",PROPER(_xlpm.CSVVal)
)),"")</f>
        <v/>
      </c>
      <c r="H509" s="40" t="str" cm="1">
        <f t="array" ref="H509">IFERROR(_xlfn.LET(
_xlpm.CSVVal,_xlfn.XLOOKUP($A509,CSV!$A:$A,CSV!H:H,""),
_xlpm.MacVal,_xlfn.XLOOKUP($A509,Output_Mac!$A:$A,Output_Mac!H:H,""),
_xlpm.MyAuditVal,_xlfn.XLOOKUP($A509,My_Audit!$A:$A,My_Audit!G:G,""),
_xlfn.IFS(_xlpm.MyAuditVal&lt;&gt;"",_xlpm.MyAuditVal,_xlpm.MacVal&lt;&gt;"",_xlpm.MacVal,_xlpm.CSVVal&lt;&gt;"",_xlpm.CSVVal
)),"")</f>
        <v/>
      </c>
      <c r="I509" s="40" t="str">
        <f>_xlfn.XLOOKUP(A509,Output_Mac!A:A,Output_Mac!I:I,"")</f>
        <v/>
      </c>
      <c r="J509" s="40" t="str" cm="1">
        <f t="array" ref="J509">IFERROR(_xlfn.LET(
_xlpm.CSVVal,_xlfn.XLOOKUP($A509,CSV!$A:$A,CSV!I:I,""),
_xlpm.MacVal,_xlfn.XLOOKUP($A509,Output_Mac!$A:$A,Output_Mac!J:J,""),
_xlpm.MyAuditVal,_xlfn.XLOOKUP($A509,My_Audit!$A:$A,My_Audit!I:I,""),
_xlfn.IFS(_xlpm.MyAuditVal&lt;&gt;"",UPPER(_xlpm.MyAuditVal),_xlpm.MacVal&lt;&gt;"",_xlpm.MacVal,_xlpm.CSVVal&lt;&gt;"",_xlpm.CSVVal
)),"")</f>
        <v/>
      </c>
      <c r="K509" s="40" t="str" cm="1">
        <f t="array" ref="K509">IFERROR(_xlfn.LET(
_xlpm.CSVVal,_xlfn.XLOOKUP($A509,CSV!$A:$A,CSV!K:K,""),
_xlpm.MacVal,_xlfn.XLOOKUP($A509,Output_Mac!$A:$A,Output_Mac!K:K,""),
_xlpm.MyAuditVal,_xlfn.XLOOKUP($A509,My_Audit!$A:$A,My_Audit!J:J,""),
_xlfn.IFS(_xlpm.MyAuditVal&lt;&gt;"",UPPER(_xlpm.MyAuditVal),_xlpm.MacVal&lt;&gt;"",_xlpm.MacVal,_xlpm.CSVVal&lt;&gt;"",_xlpm.CSVVal
)),"")</f>
        <v/>
      </c>
      <c r="L509" s="40" t="str" cm="1">
        <f t="array" ref="L509">IFERROR(_xlfn.LET(
_xlpm.CSVVal,_xlfn.XLOOKUP($A509,CSV!$A:$A,CSV!P:P,""),
_xlpm.MacVal,_xlfn.XLOOKUP($A509,Output_Mac!$A:$A,Output_Mac!L:L,""),
_xlpm.MyAuditVal,_xlfn.XLOOKUP($A509,My_Audit!$A:$A,My_Audit!K:K,""),
_xlfn.IFS(_xlpm.MyAuditVal&lt;&gt;"",UPPER(_xlpm.MyAuditVal),_xlpm.MacVal&lt;&gt;"",_xlpm.MacVal,_xlpm.CSVVal&lt;&gt;"",_xlpm.CSVVal
)),"")</f>
        <v/>
      </c>
      <c r="M509" s="40" t="str" cm="1">
        <f t="array" ref="M509">IFERROR(_xlfn.LET(
_xlpm.CSVVal,_xlfn.XLOOKUP($A509,CSV!$A:$A,CSV!Q:Q,""),
_xlpm.MacVal,_xlfn.XLOOKUP($A509,Output_Mac!$A:$A,Output_Mac!M:M,""),
_xlpm.MyAuditVal,_xlfn.XLOOKUP($A509,My_Audit!$A:$A,My_Audit!L:L,""),
_xlfn.IFS(_xlpm.MyAuditVal&lt;&gt;"",UPPER(_xlpm.MyAuditVal),_xlpm.MacVal&lt;&gt;"",_xlpm.MacVal,_xlpm.CSVVal&lt;&gt;"",_xlpm.CSVVal
)),"")</f>
        <v/>
      </c>
      <c r="N509" s="40"/>
      <c r="O509" s="40" t="str">
        <f>_xlfn.LET(
    _xlpm.CSVVal, _xlfn.XLOOKUP($A509, CSV!$A:$A, CSV!AA:AA, ""),
    _xlpm.MacVal, _xlfn.XLOOKUP($A509, Output_Mac!$A:$A, Output_Mac!S:S, ""),
    _xlpm.MyAuditVal, _xlfn.XLOOKUP($A509, My_Audit!$A:$A, My_Audit!P:P, ""),
    _xlfn.TEXTJOIN(", ", TRUE, _xlpm.MyAuditVal, _xlpm.MacVal, _xlpm.CSVVal)
)</f>
        <v/>
      </c>
      <c r="P509" s="40" t="str" cm="1">
        <f t="array" ref="P509">IFERROR(_xlfn.LET(
_xlpm.CSVVal,_xlfn.XLOOKUP($A509,CSV!$A:$A,CSV!AB:AB,""),
_xlpm.MacVal,_xlfn.XLOOKUP($A509,Output_Mac!$A:$A,Output_Mac!T:T,""),
_xlpm.MyAuditVal,_xlfn.XLOOKUP($A509,My_Audit!$A:$A,My_Audit!Q:Q,""),
_xlfn.IFS(_xlpm.MyAuditVal&lt;&gt;"",UPPER(_xlpm.MyAuditVal),_xlpm.MacVal&lt;&gt;"",_xlpm.MacVal,_xlpm.CSVVal&lt;&gt;"",_xlpm.CSVVal
)),"No")</f>
        <v>No</v>
      </c>
      <c r="Q509" s="40" t="str" cm="1">
        <f t="array" ref="Q509">IFERROR(_xlfn.LET(
_xlpm.CSVVal,_xlfn.XLOOKUP($A509,CSV!$A:$A,CSV!AC:AC,""),
_xlpm.MacVal,_xlfn.XLOOKUP($A509,Output_Mac!$A:$A,Output_Mac!U:U,""),
_xlpm.MyAuditVal,_xlfn.XLOOKUP($A509,My_Audit!$A:$A,My_Audit!R:R,""),
_xlfn.IFS(_xlpm.MyAuditVal&lt;&gt;"",UPPER(_xlpm.MyAuditVal),_xlpm.MacVal&lt;&gt;"",_xlpm.MacVal,_xlpm.CSVVal&lt;&gt;"",_xlpm.CSVVal
)),"")</f>
        <v/>
      </c>
      <c r="R509" s="40"/>
      <c r="S509" s="40"/>
      <c r="T509" s="40"/>
      <c r="U509" s="40"/>
      <c r="V509" s="40"/>
      <c r="W509" s="40"/>
      <c r="X509" s="41" t="str">
        <f>_xlfn.LET(
    _xlpm.MacVal, _xlfn.XLOOKUP($A509, Output_Mac!$A:$A, Output_Mac!AB:AB, ""),
    _xlpm.MyAuditVal, _xlfn.XLOOKUP($A509, My_Audit!$A:$A, My_Audit!N:N, ""),
    _xlfn.TEXTJOIN(", ", TRUE, _xlpm.MyAuditVal, _xlpm.MacVal)
)</f>
        <v/>
      </c>
    </row>
    <row r="510" spans="1:24">
      <c r="A510" s="40" t="str">
        <f>_xlfn.TEXTJOIN("",TRUE,Input!$B$2,ROW(My_Audit!A509))</f>
        <v>X509</v>
      </c>
      <c r="B510" s="40" t="str">
        <f>_xlfn.TEXTJOIN("-",TRUE,"ITD",Input!$A$2,A510)</f>
        <v>ITD-X509</v>
      </c>
      <c r="C510" s="40" t="str" cm="1">
        <f t="array" ref="C510">IFERROR(_xlfn.LET(
_xlpm.CSVVal,_xlfn.XLOOKUP($A510,CSV!$A:$A,CSV!B:B,""),
_xlpm.MacVal,_xlfn.XLOOKUP($A510,Output_Mac!$A:$A,Output_Mac!B:B,""),
_xlpm.MyAuditVal,_xlfn.XLOOKUP($A510,My_Audit!$A:$A,My_Audit!B:B,""),
_xlfn.IFS(_xlpm.MyAuditVal&lt;&gt;"",UPPER(_xlpm.MyAuditVal),_xlpm.MacVal&lt;&gt;"",_xlpm.MacVal,_xlpm.CSVVal&lt;&gt;"",_xlpm.CSVVal
)),"")</f>
        <v/>
      </c>
      <c r="D510" s="40" t="str" cm="1">
        <f t="array" ref="D510">IFERROR(_xlfn.LET(
_xlpm.CSVVal,_xlfn.XLOOKUP($A510,CSV!$A:$A,CSV!D:D,""),
_xlpm.MacVal,_xlfn.XLOOKUP($A510,Output_Mac!$A:$A,Output_Mac!C:C,""),
_xlpm.MyAuditVal,_xlfn.XLOOKUP($A510,My_Audit!$A:$A,My_Audit!C:C,""),
_xlfn.IFS(_xlpm.MyAuditVal&lt;&gt;"",_xlpm.MyAuditVal,_xlpm.MacVal&lt;&gt;"",_xlpm.MacVal,_xlpm.CSVVal&lt;&gt;"",_xlpm.CSVVal
)),"")</f>
        <v/>
      </c>
      <c r="E510" s="40" t="str">
        <f>_xlfn.XLOOKUP(A510,My_Audit!A:A,My_Audit!D:D,"")</f>
        <v/>
      </c>
      <c r="F510" s="40" t="str" cm="1">
        <f t="array" ref="F510">IFERROR(_xlfn.LET(
_xlpm.CSVVal,_xlfn.XLOOKUP($A510,CSV!$A:$A,CSV!F:F,""),
_xlpm.MacVal,_xlfn.XLOOKUP($A510,Output_Mac!$A:$A,Output_Mac!E:E,""),
_xlpm.MyAuditVal,_xlfn.XLOOKUP($A510,My_Audit!$A:$A,My_Audit!E:E,""),
_xlfn.IFS(_xlpm.MyAuditVal&lt;&gt;"",_xlpm.MyAuditVal,_xlpm.MacVal&lt;&gt;"",_xlpm.MacVal,_xlpm.CSVVal&lt;&gt;"",_xlpm.CSVVal
)),"")</f>
        <v/>
      </c>
      <c r="G510" s="40" t="str" cm="1">
        <f t="array" ref="G510">IFERROR(_xlfn.LET(
_xlpm.CSVVal,_xlfn.XLOOKUP($A510,CSV!$A:$A,CSV!G:G,""),
_xlpm.MacVal,_xlfn.XLOOKUP($A510,Output_Mac!$A:$A,Output_Mac!F:F,""),
_xlpm.MyAuditVal,_xlfn.XLOOKUP($A510,My_Audit!$A:$A,My_Audit!F:F,""),
_xlfn.IFS(_xlpm.MyAuditVal&lt;&gt;"",_xlpm.MyAuditVal,_xlpm.MacVal&lt;&gt;"",_xlpm.MacVal,_xlpm.CSVVal&lt;&gt;"",PROPER(_xlpm.CSVVal)
)),"")</f>
        <v/>
      </c>
      <c r="H510" s="40" t="str" cm="1">
        <f t="array" ref="H510">IFERROR(_xlfn.LET(
_xlpm.CSVVal,_xlfn.XLOOKUP($A510,CSV!$A:$A,CSV!H:H,""),
_xlpm.MacVal,_xlfn.XLOOKUP($A510,Output_Mac!$A:$A,Output_Mac!H:H,""),
_xlpm.MyAuditVal,_xlfn.XLOOKUP($A510,My_Audit!$A:$A,My_Audit!G:G,""),
_xlfn.IFS(_xlpm.MyAuditVal&lt;&gt;"",_xlpm.MyAuditVal,_xlpm.MacVal&lt;&gt;"",_xlpm.MacVal,_xlpm.CSVVal&lt;&gt;"",_xlpm.CSVVal
)),"")</f>
        <v/>
      </c>
      <c r="I510" s="40" t="str">
        <f>_xlfn.XLOOKUP(A510,Output_Mac!A:A,Output_Mac!I:I,"")</f>
        <v/>
      </c>
      <c r="J510" s="40" t="str" cm="1">
        <f t="array" ref="J510">IFERROR(_xlfn.LET(
_xlpm.CSVVal,_xlfn.XLOOKUP($A510,CSV!$A:$A,CSV!I:I,""),
_xlpm.MacVal,_xlfn.XLOOKUP($A510,Output_Mac!$A:$A,Output_Mac!J:J,""),
_xlpm.MyAuditVal,_xlfn.XLOOKUP($A510,My_Audit!$A:$A,My_Audit!I:I,""),
_xlfn.IFS(_xlpm.MyAuditVal&lt;&gt;"",UPPER(_xlpm.MyAuditVal),_xlpm.MacVal&lt;&gt;"",_xlpm.MacVal,_xlpm.CSVVal&lt;&gt;"",_xlpm.CSVVal
)),"")</f>
        <v/>
      </c>
      <c r="K510" s="40" t="str" cm="1">
        <f t="array" ref="K510">IFERROR(_xlfn.LET(
_xlpm.CSVVal,_xlfn.XLOOKUP($A510,CSV!$A:$A,CSV!K:K,""),
_xlpm.MacVal,_xlfn.XLOOKUP($A510,Output_Mac!$A:$A,Output_Mac!K:K,""),
_xlpm.MyAuditVal,_xlfn.XLOOKUP($A510,My_Audit!$A:$A,My_Audit!J:J,""),
_xlfn.IFS(_xlpm.MyAuditVal&lt;&gt;"",UPPER(_xlpm.MyAuditVal),_xlpm.MacVal&lt;&gt;"",_xlpm.MacVal,_xlpm.CSVVal&lt;&gt;"",_xlpm.CSVVal
)),"")</f>
        <v/>
      </c>
      <c r="L510" s="40" t="str" cm="1">
        <f t="array" ref="L510">IFERROR(_xlfn.LET(
_xlpm.CSVVal,_xlfn.XLOOKUP($A510,CSV!$A:$A,CSV!P:P,""),
_xlpm.MacVal,_xlfn.XLOOKUP($A510,Output_Mac!$A:$A,Output_Mac!L:L,""),
_xlpm.MyAuditVal,_xlfn.XLOOKUP($A510,My_Audit!$A:$A,My_Audit!K:K,""),
_xlfn.IFS(_xlpm.MyAuditVal&lt;&gt;"",UPPER(_xlpm.MyAuditVal),_xlpm.MacVal&lt;&gt;"",_xlpm.MacVal,_xlpm.CSVVal&lt;&gt;"",_xlpm.CSVVal
)),"")</f>
        <v/>
      </c>
      <c r="M510" s="40" t="str" cm="1">
        <f t="array" ref="M510">IFERROR(_xlfn.LET(
_xlpm.CSVVal,_xlfn.XLOOKUP($A510,CSV!$A:$A,CSV!Q:Q,""),
_xlpm.MacVal,_xlfn.XLOOKUP($A510,Output_Mac!$A:$A,Output_Mac!M:M,""),
_xlpm.MyAuditVal,_xlfn.XLOOKUP($A510,My_Audit!$A:$A,My_Audit!L:L,""),
_xlfn.IFS(_xlpm.MyAuditVal&lt;&gt;"",UPPER(_xlpm.MyAuditVal),_xlpm.MacVal&lt;&gt;"",_xlpm.MacVal,_xlpm.CSVVal&lt;&gt;"",_xlpm.CSVVal
)),"")</f>
        <v/>
      </c>
      <c r="N510" s="40"/>
      <c r="O510" s="40" t="str">
        <f>_xlfn.LET(
    _xlpm.CSVVal, _xlfn.XLOOKUP($A510, CSV!$A:$A, CSV!AA:AA, ""),
    _xlpm.MacVal, _xlfn.XLOOKUP($A510, Output_Mac!$A:$A, Output_Mac!S:S, ""),
    _xlpm.MyAuditVal, _xlfn.XLOOKUP($A510, My_Audit!$A:$A, My_Audit!P:P, ""),
    _xlfn.TEXTJOIN(", ", TRUE, _xlpm.MyAuditVal, _xlpm.MacVal, _xlpm.CSVVal)
)</f>
        <v/>
      </c>
      <c r="P510" s="40" t="str" cm="1">
        <f t="array" ref="P510">IFERROR(_xlfn.LET(
_xlpm.CSVVal,_xlfn.XLOOKUP($A510,CSV!$A:$A,CSV!AB:AB,""),
_xlpm.MacVal,_xlfn.XLOOKUP($A510,Output_Mac!$A:$A,Output_Mac!T:T,""),
_xlpm.MyAuditVal,_xlfn.XLOOKUP($A510,My_Audit!$A:$A,My_Audit!Q:Q,""),
_xlfn.IFS(_xlpm.MyAuditVal&lt;&gt;"",UPPER(_xlpm.MyAuditVal),_xlpm.MacVal&lt;&gt;"",_xlpm.MacVal,_xlpm.CSVVal&lt;&gt;"",_xlpm.CSVVal
)),"No")</f>
        <v>No</v>
      </c>
      <c r="Q510" s="40" t="str" cm="1">
        <f t="array" ref="Q510">IFERROR(_xlfn.LET(
_xlpm.CSVVal,_xlfn.XLOOKUP($A510,CSV!$A:$A,CSV!AC:AC,""),
_xlpm.MacVal,_xlfn.XLOOKUP($A510,Output_Mac!$A:$A,Output_Mac!U:U,""),
_xlpm.MyAuditVal,_xlfn.XLOOKUP($A510,My_Audit!$A:$A,My_Audit!R:R,""),
_xlfn.IFS(_xlpm.MyAuditVal&lt;&gt;"",UPPER(_xlpm.MyAuditVal),_xlpm.MacVal&lt;&gt;"",_xlpm.MacVal,_xlpm.CSVVal&lt;&gt;"",_xlpm.CSVVal
)),"")</f>
        <v/>
      </c>
      <c r="R510" s="40"/>
      <c r="S510" s="40"/>
      <c r="T510" s="40"/>
      <c r="U510" s="40"/>
      <c r="V510" s="40"/>
      <c r="W510" s="40"/>
      <c r="X510" s="41" t="str">
        <f>_xlfn.LET(
    _xlpm.MacVal, _xlfn.XLOOKUP($A510, Output_Mac!$A:$A, Output_Mac!AB:AB, ""),
    _xlpm.MyAuditVal, _xlfn.XLOOKUP($A510, My_Audit!$A:$A, My_Audit!N:N, ""),
    _xlfn.TEXTJOIN(", ", TRUE, _xlpm.MyAuditVal, _xlpm.MacVal)
)</f>
        <v/>
      </c>
    </row>
    <row r="511" spans="1:24">
      <c r="A511" s="40" t="str">
        <f>_xlfn.TEXTJOIN("",TRUE,Input!$B$2,ROW(My_Audit!A510))</f>
        <v>X510</v>
      </c>
      <c r="B511" s="40" t="str">
        <f>_xlfn.TEXTJOIN("-",TRUE,"ITD",Input!$A$2,A511)</f>
        <v>ITD-X510</v>
      </c>
      <c r="C511" s="40" t="str" cm="1">
        <f t="array" ref="C511">IFERROR(_xlfn.LET(
_xlpm.CSVVal,_xlfn.XLOOKUP($A511,CSV!$A:$A,CSV!B:B,""),
_xlpm.MacVal,_xlfn.XLOOKUP($A511,Output_Mac!$A:$A,Output_Mac!B:B,""),
_xlpm.MyAuditVal,_xlfn.XLOOKUP($A511,My_Audit!$A:$A,My_Audit!B:B,""),
_xlfn.IFS(_xlpm.MyAuditVal&lt;&gt;"",UPPER(_xlpm.MyAuditVal),_xlpm.MacVal&lt;&gt;"",_xlpm.MacVal,_xlpm.CSVVal&lt;&gt;"",_xlpm.CSVVal
)),"")</f>
        <v/>
      </c>
      <c r="D511" s="40" t="str" cm="1">
        <f t="array" ref="D511">IFERROR(_xlfn.LET(
_xlpm.CSVVal,_xlfn.XLOOKUP($A511,CSV!$A:$A,CSV!D:D,""),
_xlpm.MacVal,_xlfn.XLOOKUP($A511,Output_Mac!$A:$A,Output_Mac!C:C,""),
_xlpm.MyAuditVal,_xlfn.XLOOKUP($A511,My_Audit!$A:$A,My_Audit!C:C,""),
_xlfn.IFS(_xlpm.MyAuditVal&lt;&gt;"",_xlpm.MyAuditVal,_xlpm.MacVal&lt;&gt;"",_xlpm.MacVal,_xlpm.CSVVal&lt;&gt;"",_xlpm.CSVVal
)),"")</f>
        <v/>
      </c>
      <c r="E511" s="40" t="str">
        <f>_xlfn.XLOOKUP(A511,My_Audit!A:A,My_Audit!D:D,"")</f>
        <v/>
      </c>
      <c r="F511" s="40" t="str" cm="1">
        <f t="array" ref="F511">IFERROR(_xlfn.LET(
_xlpm.CSVVal,_xlfn.XLOOKUP($A511,CSV!$A:$A,CSV!F:F,""),
_xlpm.MacVal,_xlfn.XLOOKUP($A511,Output_Mac!$A:$A,Output_Mac!E:E,""),
_xlpm.MyAuditVal,_xlfn.XLOOKUP($A511,My_Audit!$A:$A,My_Audit!E:E,""),
_xlfn.IFS(_xlpm.MyAuditVal&lt;&gt;"",_xlpm.MyAuditVal,_xlpm.MacVal&lt;&gt;"",_xlpm.MacVal,_xlpm.CSVVal&lt;&gt;"",_xlpm.CSVVal
)),"")</f>
        <v/>
      </c>
      <c r="G511" s="40" t="str" cm="1">
        <f t="array" ref="G511">IFERROR(_xlfn.LET(
_xlpm.CSVVal,_xlfn.XLOOKUP($A511,CSV!$A:$A,CSV!G:G,""),
_xlpm.MacVal,_xlfn.XLOOKUP($A511,Output_Mac!$A:$A,Output_Mac!F:F,""),
_xlpm.MyAuditVal,_xlfn.XLOOKUP($A511,My_Audit!$A:$A,My_Audit!F:F,""),
_xlfn.IFS(_xlpm.MyAuditVal&lt;&gt;"",_xlpm.MyAuditVal,_xlpm.MacVal&lt;&gt;"",_xlpm.MacVal,_xlpm.CSVVal&lt;&gt;"",PROPER(_xlpm.CSVVal)
)),"")</f>
        <v/>
      </c>
      <c r="H511" s="40" t="str" cm="1">
        <f t="array" ref="H511">IFERROR(_xlfn.LET(
_xlpm.CSVVal,_xlfn.XLOOKUP($A511,CSV!$A:$A,CSV!H:H,""),
_xlpm.MacVal,_xlfn.XLOOKUP($A511,Output_Mac!$A:$A,Output_Mac!H:H,""),
_xlpm.MyAuditVal,_xlfn.XLOOKUP($A511,My_Audit!$A:$A,My_Audit!G:G,""),
_xlfn.IFS(_xlpm.MyAuditVal&lt;&gt;"",_xlpm.MyAuditVal,_xlpm.MacVal&lt;&gt;"",_xlpm.MacVal,_xlpm.CSVVal&lt;&gt;"",_xlpm.CSVVal
)),"")</f>
        <v/>
      </c>
      <c r="I511" s="40" t="str">
        <f>_xlfn.XLOOKUP(A511,Output_Mac!A:A,Output_Mac!I:I,"")</f>
        <v/>
      </c>
      <c r="J511" s="40" t="str" cm="1">
        <f t="array" ref="J511">IFERROR(_xlfn.LET(
_xlpm.CSVVal,_xlfn.XLOOKUP($A511,CSV!$A:$A,CSV!I:I,""),
_xlpm.MacVal,_xlfn.XLOOKUP($A511,Output_Mac!$A:$A,Output_Mac!J:J,""),
_xlpm.MyAuditVal,_xlfn.XLOOKUP($A511,My_Audit!$A:$A,My_Audit!I:I,""),
_xlfn.IFS(_xlpm.MyAuditVal&lt;&gt;"",UPPER(_xlpm.MyAuditVal),_xlpm.MacVal&lt;&gt;"",_xlpm.MacVal,_xlpm.CSVVal&lt;&gt;"",_xlpm.CSVVal
)),"")</f>
        <v/>
      </c>
      <c r="K511" s="40" t="str" cm="1">
        <f t="array" ref="K511">IFERROR(_xlfn.LET(
_xlpm.CSVVal,_xlfn.XLOOKUP($A511,CSV!$A:$A,CSV!K:K,""),
_xlpm.MacVal,_xlfn.XLOOKUP($A511,Output_Mac!$A:$A,Output_Mac!K:K,""),
_xlpm.MyAuditVal,_xlfn.XLOOKUP($A511,My_Audit!$A:$A,My_Audit!J:J,""),
_xlfn.IFS(_xlpm.MyAuditVal&lt;&gt;"",UPPER(_xlpm.MyAuditVal),_xlpm.MacVal&lt;&gt;"",_xlpm.MacVal,_xlpm.CSVVal&lt;&gt;"",_xlpm.CSVVal
)),"")</f>
        <v/>
      </c>
      <c r="L511" s="40" t="str" cm="1">
        <f t="array" ref="L511">IFERROR(_xlfn.LET(
_xlpm.CSVVal,_xlfn.XLOOKUP($A511,CSV!$A:$A,CSV!P:P,""),
_xlpm.MacVal,_xlfn.XLOOKUP($A511,Output_Mac!$A:$A,Output_Mac!L:L,""),
_xlpm.MyAuditVal,_xlfn.XLOOKUP($A511,My_Audit!$A:$A,My_Audit!K:K,""),
_xlfn.IFS(_xlpm.MyAuditVal&lt;&gt;"",UPPER(_xlpm.MyAuditVal),_xlpm.MacVal&lt;&gt;"",_xlpm.MacVal,_xlpm.CSVVal&lt;&gt;"",_xlpm.CSVVal
)),"")</f>
        <v/>
      </c>
      <c r="M511" s="40" t="str" cm="1">
        <f t="array" ref="M511">IFERROR(_xlfn.LET(
_xlpm.CSVVal,_xlfn.XLOOKUP($A511,CSV!$A:$A,CSV!Q:Q,""),
_xlpm.MacVal,_xlfn.XLOOKUP($A511,Output_Mac!$A:$A,Output_Mac!M:M,""),
_xlpm.MyAuditVal,_xlfn.XLOOKUP($A511,My_Audit!$A:$A,My_Audit!L:L,""),
_xlfn.IFS(_xlpm.MyAuditVal&lt;&gt;"",UPPER(_xlpm.MyAuditVal),_xlpm.MacVal&lt;&gt;"",_xlpm.MacVal,_xlpm.CSVVal&lt;&gt;"",_xlpm.CSVVal
)),"")</f>
        <v/>
      </c>
      <c r="N511" s="40"/>
      <c r="O511" s="40" t="str">
        <f>_xlfn.LET(
    _xlpm.CSVVal, _xlfn.XLOOKUP($A511, CSV!$A:$A, CSV!AA:AA, ""),
    _xlpm.MacVal, _xlfn.XLOOKUP($A511, Output_Mac!$A:$A, Output_Mac!S:S, ""),
    _xlpm.MyAuditVal, _xlfn.XLOOKUP($A511, My_Audit!$A:$A, My_Audit!P:P, ""),
    _xlfn.TEXTJOIN(", ", TRUE, _xlpm.MyAuditVal, _xlpm.MacVal, _xlpm.CSVVal)
)</f>
        <v/>
      </c>
      <c r="P511" s="40" t="str" cm="1">
        <f t="array" ref="P511">IFERROR(_xlfn.LET(
_xlpm.CSVVal,_xlfn.XLOOKUP($A511,CSV!$A:$A,CSV!AB:AB,""),
_xlpm.MacVal,_xlfn.XLOOKUP($A511,Output_Mac!$A:$A,Output_Mac!T:T,""),
_xlpm.MyAuditVal,_xlfn.XLOOKUP($A511,My_Audit!$A:$A,My_Audit!Q:Q,""),
_xlfn.IFS(_xlpm.MyAuditVal&lt;&gt;"",UPPER(_xlpm.MyAuditVal),_xlpm.MacVal&lt;&gt;"",_xlpm.MacVal,_xlpm.CSVVal&lt;&gt;"",_xlpm.CSVVal
)),"No")</f>
        <v>No</v>
      </c>
      <c r="Q511" s="40" t="str" cm="1">
        <f t="array" ref="Q511">IFERROR(_xlfn.LET(
_xlpm.CSVVal,_xlfn.XLOOKUP($A511,CSV!$A:$A,CSV!AC:AC,""),
_xlpm.MacVal,_xlfn.XLOOKUP($A511,Output_Mac!$A:$A,Output_Mac!U:U,""),
_xlpm.MyAuditVal,_xlfn.XLOOKUP($A511,My_Audit!$A:$A,My_Audit!R:R,""),
_xlfn.IFS(_xlpm.MyAuditVal&lt;&gt;"",UPPER(_xlpm.MyAuditVal),_xlpm.MacVal&lt;&gt;"",_xlpm.MacVal,_xlpm.CSVVal&lt;&gt;"",_xlpm.CSVVal
)),"")</f>
        <v/>
      </c>
      <c r="R511" s="40"/>
      <c r="S511" s="40"/>
      <c r="T511" s="40"/>
      <c r="U511" s="40"/>
      <c r="V511" s="40"/>
      <c r="W511" s="40"/>
      <c r="X511" s="41" t="str">
        <f>_xlfn.LET(
    _xlpm.MacVal, _xlfn.XLOOKUP($A511, Output_Mac!$A:$A, Output_Mac!AB:AB, ""),
    _xlpm.MyAuditVal, _xlfn.XLOOKUP($A511, My_Audit!$A:$A, My_Audit!N:N, ""),
    _xlfn.TEXTJOIN(", ", TRUE, _xlpm.MyAuditVal, _xlpm.MacVal)
)</f>
        <v/>
      </c>
    </row>
    <row r="512" spans="1:24">
      <c r="A512" s="40" t="str">
        <f>_xlfn.TEXTJOIN("",TRUE,Input!$B$2,ROW(My_Audit!A511))</f>
        <v>X511</v>
      </c>
      <c r="B512" s="40" t="str">
        <f>_xlfn.TEXTJOIN("-",TRUE,"ITD",Input!$A$2,A512)</f>
        <v>ITD-X511</v>
      </c>
      <c r="C512" s="40" t="str" cm="1">
        <f t="array" ref="C512">IFERROR(_xlfn.LET(
_xlpm.CSVVal,_xlfn.XLOOKUP($A512,CSV!$A:$A,CSV!B:B,""),
_xlpm.MacVal,_xlfn.XLOOKUP($A512,Output_Mac!$A:$A,Output_Mac!B:B,""),
_xlpm.MyAuditVal,_xlfn.XLOOKUP($A512,My_Audit!$A:$A,My_Audit!B:B,""),
_xlfn.IFS(_xlpm.MyAuditVal&lt;&gt;"",UPPER(_xlpm.MyAuditVal),_xlpm.MacVal&lt;&gt;"",_xlpm.MacVal,_xlpm.CSVVal&lt;&gt;"",_xlpm.CSVVal
)),"")</f>
        <v/>
      </c>
      <c r="D512" s="40" t="str" cm="1">
        <f t="array" ref="D512">IFERROR(_xlfn.LET(
_xlpm.CSVVal,_xlfn.XLOOKUP($A512,CSV!$A:$A,CSV!D:D,""),
_xlpm.MacVal,_xlfn.XLOOKUP($A512,Output_Mac!$A:$A,Output_Mac!C:C,""),
_xlpm.MyAuditVal,_xlfn.XLOOKUP($A512,My_Audit!$A:$A,My_Audit!C:C,""),
_xlfn.IFS(_xlpm.MyAuditVal&lt;&gt;"",_xlpm.MyAuditVal,_xlpm.MacVal&lt;&gt;"",_xlpm.MacVal,_xlpm.CSVVal&lt;&gt;"",_xlpm.CSVVal
)),"")</f>
        <v/>
      </c>
      <c r="E512" s="40" t="str">
        <f>_xlfn.XLOOKUP(A512,My_Audit!A:A,My_Audit!D:D,"")</f>
        <v/>
      </c>
      <c r="F512" s="40" t="str" cm="1">
        <f t="array" ref="F512">IFERROR(_xlfn.LET(
_xlpm.CSVVal,_xlfn.XLOOKUP($A512,CSV!$A:$A,CSV!F:F,""),
_xlpm.MacVal,_xlfn.XLOOKUP($A512,Output_Mac!$A:$A,Output_Mac!E:E,""),
_xlpm.MyAuditVal,_xlfn.XLOOKUP($A512,My_Audit!$A:$A,My_Audit!E:E,""),
_xlfn.IFS(_xlpm.MyAuditVal&lt;&gt;"",_xlpm.MyAuditVal,_xlpm.MacVal&lt;&gt;"",_xlpm.MacVal,_xlpm.CSVVal&lt;&gt;"",_xlpm.CSVVal
)),"")</f>
        <v/>
      </c>
      <c r="G512" s="40" t="str" cm="1">
        <f t="array" ref="G512">IFERROR(_xlfn.LET(
_xlpm.CSVVal,_xlfn.XLOOKUP($A512,CSV!$A:$A,CSV!G:G,""),
_xlpm.MacVal,_xlfn.XLOOKUP($A512,Output_Mac!$A:$A,Output_Mac!F:F,""),
_xlpm.MyAuditVal,_xlfn.XLOOKUP($A512,My_Audit!$A:$A,My_Audit!F:F,""),
_xlfn.IFS(_xlpm.MyAuditVal&lt;&gt;"",_xlpm.MyAuditVal,_xlpm.MacVal&lt;&gt;"",_xlpm.MacVal,_xlpm.CSVVal&lt;&gt;"",PROPER(_xlpm.CSVVal)
)),"")</f>
        <v/>
      </c>
      <c r="H512" s="40" t="str" cm="1">
        <f t="array" ref="H512">IFERROR(_xlfn.LET(
_xlpm.CSVVal,_xlfn.XLOOKUP($A512,CSV!$A:$A,CSV!H:H,""),
_xlpm.MacVal,_xlfn.XLOOKUP($A512,Output_Mac!$A:$A,Output_Mac!H:H,""),
_xlpm.MyAuditVal,_xlfn.XLOOKUP($A512,My_Audit!$A:$A,My_Audit!G:G,""),
_xlfn.IFS(_xlpm.MyAuditVal&lt;&gt;"",_xlpm.MyAuditVal,_xlpm.MacVal&lt;&gt;"",_xlpm.MacVal,_xlpm.CSVVal&lt;&gt;"",_xlpm.CSVVal
)),"")</f>
        <v/>
      </c>
      <c r="I512" s="40" t="str">
        <f>_xlfn.XLOOKUP(A512,Output_Mac!A:A,Output_Mac!I:I,"")</f>
        <v/>
      </c>
      <c r="J512" s="40" t="str" cm="1">
        <f t="array" ref="J512">IFERROR(_xlfn.LET(
_xlpm.CSVVal,_xlfn.XLOOKUP($A512,CSV!$A:$A,CSV!I:I,""),
_xlpm.MacVal,_xlfn.XLOOKUP($A512,Output_Mac!$A:$A,Output_Mac!J:J,""),
_xlpm.MyAuditVal,_xlfn.XLOOKUP($A512,My_Audit!$A:$A,My_Audit!I:I,""),
_xlfn.IFS(_xlpm.MyAuditVal&lt;&gt;"",UPPER(_xlpm.MyAuditVal),_xlpm.MacVal&lt;&gt;"",_xlpm.MacVal,_xlpm.CSVVal&lt;&gt;"",_xlpm.CSVVal
)),"")</f>
        <v/>
      </c>
      <c r="K512" s="40" t="str" cm="1">
        <f t="array" ref="K512">IFERROR(_xlfn.LET(
_xlpm.CSVVal,_xlfn.XLOOKUP($A512,CSV!$A:$A,CSV!K:K,""),
_xlpm.MacVal,_xlfn.XLOOKUP($A512,Output_Mac!$A:$A,Output_Mac!K:K,""),
_xlpm.MyAuditVal,_xlfn.XLOOKUP($A512,My_Audit!$A:$A,My_Audit!J:J,""),
_xlfn.IFS(_xlpm.MyAuditVal&lt;&gt;"",UPPER(_xlpm.MyAuditVal),_xlpm.MacVal&lt;&gt;"",_xlpm.MacVal,_xlpm.CSVVal&lt;&gt;"",_xlpm.CSVVal
)),"")</f>
        <v/>
      </c>
      <c r="L512" s="40" t="str" cm="1">
        <f t="array" ref="L512">IFERROR(_xlfn.LET(
_xlpm.CSVVal,_xlfn.XLOOKUP($A512,CSV!$A:$A,CSV!P:P,""),
_xlpm.MacVal,_xlfn.XLOOKUP($A512,Output_Mac!$A:$A,Output_Mac!L:L,""),
_xlpm.MyAuditVal,_xlfn.XLOOKUP($A512,My_Audit!$A:$A,My_Audit!K:K,""),
_xlfn.IFS(_xlpm.MyAuditVal&lt;&gt;"",UPPER(_xlpm.MyAuditVal),_xlpm.MacVal&lt;&gt;"",_xlpm.MacVal,_xlpm.CSVVal&lt;&gt;"",_xlpm.CSVVal
)),"")</f>
        <v/>
      </c>
      <c r="M512" s="40" t="str" cm="1">
        <f t="array" ref="M512">IFERROR(_xlfn.LET(
_xlpm.CSVVal,_xlfn.XLOOKUP($A512,CSV!$A:$A,CSV!Q:Q,""),
_xlpm.MacVal,_xlfn.XLOOKUP($A512,Output_Mac!$A:$A,Output_Mac!M:M,""),
_xlpm.MyAuditVal,_xlfn.XLOOKUP($A512,My_Audit!$A:$A,My_Audit!L:L,""),
_xlfn.IFS(_xlpm.MyAuditVal&lt;&gt;"",UPPER(_xlpm.MyAuditVal),_xlpm.MacVal&lt;&gt;"",_xlpm.MacVal,_xlpm.CSVVal&lt;&gt;"",_xlpm.CSVVal
)),"")</f>
        <v/>
      </c>
      <c r="N512" s="40"/>
      <c r="O512" s="40" t="str">
        <f>_xlfn.LET(
    _xlpm.CSVVal, _xlfn.XLOOKUP($A512, CSV!$A:$A, CSV!AA:AA, ""),
    _xlpm.MacVal, _xlfn.XLOOKUP($A512, Output_Mac!$A:$A, Output_Mac!S:S, ""),
    _xlpm.MyAuditVal, _xlfn.XLOOKUP($A512, My_Audit!$A:$A, My_Audit!P:P, ""),
    _xlfn.TEXTJOIN(", ", TRUE, _xlpm.MyAuditVal, _xlpm.MacVal, _xlpm.CSVVal)
)</f>
        <v/>
      </c>
      <c r="P512" s="40" t="str" cm="1">
        <f t="array" ref="P512">IFERROR(_xlfn.LET(
_xlpm.CSVVal,_xlfn.XLOOKUP($A512,CSV!$A:$A,CSV!AB:AB,""),
_xlpm.MacVal,_xlfn.XLOOKUP($A512,Output_Mac!$A:$A,Output_Mac!T:T,""),
_xlpm.MyAuditVal,_xlfn.XLOOKUP($A512,My_Audit!$A:$A,My_Audit!Q:Q,""),
_xlfn.IFS(_xlpm.MyAuditVal&lt;&gt;"",UPPER(_xlpm.MyAuditVal),_xlpm.MacVal&lt;&gt;"",_xlpm.MacVal,_xlpm.CSVVal&lt;&gt;"",_xlpm.CSVVal
)),"No")</f>
        <v>No</v>
      </c>
      <c r="Q512" s="40" t="str" cm="1">
        <f t="array" ref="Q512">IFERROR(_xlfn.LET(
_xlpm.CSVVal,_xlfn.XLOOKUP($A512,CSV!$A:$A,CSV!AC:AC,""),
_xlpm.MacVal,_xlfn.XLOOKUP($A512,Output_Mac!$A:$A,Output_Mac!U:U,""),
_xlpm.MyAuditVal,_xlfn.XLOOKUP($A512,My_Audit!$A:$A,My_Audit!R:R,""),
_xlfn.IFS(_xlpm.MyAuditVal&lt;&gt;"",UPPER(_xlpm.MyAuditVal),_xlpm.MacVal&lt;&gt;"",_xlpm.MacVal,_xlpm.CSVVal&lt;&gt;"",_xlpm.CSVVal
)),"")</f>
        <v/>
      </c>
      <c r="R512" s="40"/>
      <c r="S512" s="40"/>
      <c r="T512" s="40"/>
      <c r="U512" s="40"/>
      <c r="V512" s="40"/>
      <c r="W512" s="40"/>
      <c r="X512" s="41" t="str">
        <f>_xlfn.LET(
    _xlpm.MacVal, _xlfn.XLOOKUP($A512, Output_Mac!$A:$A, Output_Mac!AB:AB, ""),
    _xlpm.MyAuditVal, _xlfn.XLOOKUP($A512, My_Audit!$A:$A, My_Audit!N:N, ""),
    _xlfn.TEXTJOIN(", ", TRUE, _xlpm.MyAuditVal, _xlpm.MacVal)
)</f>
        <v/>
      </c>
    </row>
    <row r="513" spans="1:24">
      <c r="A513" s="40" t="str">
        <f>_xlfn.TEXTJOIN("",TRUE,Input!$B$2,ROW(My_Audit!A512))</f>
        <v>X512</v>
      </c>
      <c r="B513" s="40" t="str">
        <f>_xlfn.TEXTJOIN("-",TRUE,"ITD",Input!$A$2,A513)</f>
        <v>ITD-X512</v>
      </c>
      <c r="C513" s="40" t="str" cm="1">
        <f t="array" ref="C513">IFERROR(_xlfn.LET(
_xlpm.CSVVal,_xlfn.XLOOKUP($A513,CSV!$A:$A,CSV!B:B,""),
_xlpm.MacVal,_xlfn.XLOOKUP($A513,Output_Mac!$A:$A,Output_Mac!B:B,""),
_xlpm.MyAuditVal,_xlfn.XLOOKUP($A513,My_Audit!$A:$A,My_Audit!B:B,""),
_xlfn.IFS(_xlpm.MyAuditVal&lt;&gt;"",UPPER(_xlpm.MyAuditVal),_xlpm.MacVal&lt;&gt;"",_xlpm.MacVal,_xlpm.CSVVal&lt;&gt;"",_xlpm.CSVVal
)),"")</f>
        <v/>
      </c>
      <c r="D513" s="40" t="str" cm="1">
        <f t="array" ref="D513">IFERROR(_xlfn.LET(
_xlpm.CSVVal,_xlfn.XLOOKUP($A513,CSV!$A:$A,CSV!D:D,""),
_xlpm.MacVal,_xlfn.XLOOKUP($A513,Output_Mac!$A:$A,Output_Mac!C:C,""),
_xlpm.MyAuditVal,_xlfn.XLOOKUP($A513,My_Audit!$A:$A,My_Audit!C:C,""),
_xlfn.IFS(_xlpm.MyAuditVal&lt;&gt;"",_xlpm.MyAuditVal,_xlpm.MacVal&lt;&gt;"",_xlpm.MacVal,_xlpm.CSVVal&lt;&gt;"",_xlpm.CSVVal
)),"")</f>
        <v/>
      </c>
      <c r="E513" s="40" t="str">
        <f>_xlfn.XLOOKUP(A513,My_Audit!A:A,My_Audit!D:D,"")</f>
        <v/>
      </c>
      <c r="F513" s="40" t="str" cm="1">
        <f t="array" ref="F513">IFERROR(_xlfn.LET(
_xlpm.CSVVal,_xlfn.XLOOKUP($A513,CSV!$A:$A,CSV!F:F,""),
_xlpm.MacVal,_xlfn.XLOOKUP($A513,Output_Mac!$A:$A,Output_Mac!E:E,""),
_xlpm.MyAuditVal,_xlfn.XLOOKUP($A513,My_Audit!$A:$A,My_Audit!E:E,""),
_xlfn.IFS(_xlpm.MyAuditVal&lt;&gt;"",_xlpm.MyAuditVal,_xlpm.MacVal&lt;&gt;"",_xlpm.MacVal,_xlpm.CSVVal&lt;&gt;"",_xlpm.CSVVal
)),"")</f>
        <v/>
      </c>
      <c r="G513" s="40" t="str" cm="1">
        <f t="array" ref="G513">IFERROR(_xlfn.LET(
_xlpm.CSVVal,_xlfn.XLOOKUP($A513,CSV!$A:$A,CSV!G:G,""),
_xlpm.MacVal,_xlfn.XLOOKUP($A513,Output_Mac!$A:$A,Output_Mac!F:F,""),
_xlpm.MyAuditVal,_xlfn.XLOOKUP($A513,My_Audit!$A:$A,My_Audit!F:F,""),
_xlfn.IFS(_xlpm.MyAuditVal&lt;&gt;"",_xlpm.MyAuditVal,_xlpm.MacVal&lt;&gt;"",_xlpm.MacVal,_xlpm.CSVVal&lt;&gt;"",PROPER(_xlpm.CSVVal)
)),"")</f>
        <v/>
      </c>
      <c r="H513" s="40" t="str" cm="1">
        <f t="array" ref="H513">IFERROR(_xlfn.LET(
_xlpm.CSVVal,_xlfn.XLOOKUP($A513,CSV!$A:$A,CSV!H:H,""),
_xlpm.MacVal,_xlfn.XLOOKUP($A513,Output_Mac!$A:$A,Output_Mac!H:H,""),
_xlpm.MyAuditVal,_xlfn.XLOOKUP($A513,My_Audit!$A:$A,My_Audit!G:G,""),
_xlfn.IFS(_xlpm.MyAuditVal&lt;&gt;"",_xlpm.MyAuditVal,_xlpm.MacVal&lt;&gt;"",_xlpm.MacVal,_xlpm.CSVVal&lt;&gt;"",_xlpm.CSVVal
)),"")</f>
        <v/>
      </c>
      <c r="I513" s="40" t="str">
        <f>_xlfn.XLOOKUP(A513,Output_Mac!A:A,Output_Mac!I:I,"")</f>
        <v/>
      </c>
      <c r="J513" s="40" t="str" cm="1">
        <f t="array" ref="J513">IFERROR(_xlfn.LET(
_xlpm.CSVVal,_xlfn.XLOOKUP($A513,CSV!$A:$A,CSV!I:I,""),
_xlpm.MacVal,_xlfn.XLOOKUP($A513,Output_Mac!$A:$A,Output_Mac!J:J,""),
_xlpm.MyAuditVal,_xlfn.XLOOKUP($A513,My_Audit!$A:$A,My_Audit!I:I,""),
_xlfn.IFS(_xlpm.MyAuditVal&lt;&gt;"",UPPER(_xlpm.MyAuditVal),_xlpm.MacVal&lt;&gt;"",_xlpm.MacVal,_xlpm.CSVVal&lt;&gt;"",_xlpm.CSVVal
)),"")</f>
        <v/>
      </c>
      <c r="K513" s="40" t="str" cm="1">
        <f t="array" ref="K513">IFERROR(_xlfn.LET(
_xlpm.CSVVal,_xlfn.XLOOKUP($A513,CSV!$A:$A,CSV!K:K,""),
_xlpm.MacVal,_xlfn.XLOOKUP($A513,Output_Mac!$A:$A,Output_Mac!K:K,""),
_xlpm.MyAuditVal,_xlfn.XLOOKUP($A513,My_Audit!$A:$A,My_Audit!J:J,""),
_xlfn.IFS(_xlpm.MyAuditVal&lt;&gt;"",UPPER(_xlpm.MyAuditVal),_xlpm.MacVal&lt;&gt;"",_xlpm.MacVal,_xlpm.CSVVal&lt;&gt;"",_xlpm.CSVVal
)),"")</f>
        <v/>
      </c>
      <c r="L513" s="40" t="str" cm="1">
        <f t="array" ref="L513">IFERROR(_xlfn.LET(
_xlpm.CSVVal,_xlfn.XLOOKUP($A513,CSV!$A:$A,CSV!P:P,""),
_xlpm.MacVal,_xlfn.XLOOKUP($A513,Output_Mac!$A:$A,Output_Mac!L:L,""),
_xlpm.MyAuditVal,_xlfn.XLOOKUP($A513,My_Audit!$A:$A,My_Audit!K:K,""),
_xlfn.IFS(_xlpm.MyAuditVal&lt;&gt;"",UPPER(_xlpm.MyAuditVal),_xlpm.MacVal&lt;&gt;"",_xlpm.MacVal,_xlpm.CSVVal&lt;&gt;"",_xlpm.CSVVal
)),"")</f>
        <v/>
      </c>
      <c r="M513" s="40" t="str" cm="1">
        <f t="array" ref="M513">IFERROR(_xlfn.LET(
_xlpm.CSVVal,_xlfn.XLOOKUP($A513,CSV!$A:$A,CSV!Q:Q,""),
_xlpm.MacVal,_xlfn.XLOOKUP($A513,Output_Mac!$A:$A,Output_Mac!M:M,""),
_xlpm.MyAuditVal,_xlfn.XLOOKUP($A513,My_Audit!$A:$A,My_Audit!L:L,""),
_xlfn.IFS(_xlpm.MyAuditVal&lt;&gt;"",UPPER(_xlpm.MyAuditVal),_xlpm.MacVal&lt;&gt;"",_xlpm.MacVal,_xlpm.CSVVal&lt;&gt;"",_xlpm.CSVVal
)),"")</f>
        <v/>
      </c>
      <c r="N513" s="40"/>
      <c r="O513" s="40" t="str">
        <f>_xlfn.LET(
    _xlpm.CSVVal, _xlfn.XLOOKUP($A513, CSV!$A:$A, CSV!AA:AA, ""),
    _xlpm.MacVal, _xlfn.XLOOKUP($A513, Output_Mac!$A:$A, Output_Mac!S:S, ""),
    _xlpm.MyAuditVal, _xlfn.XLOOKUP($A513, My_Audit!$A:$A, My_Audit!P:P, ""),
    _xlfn.TEXTJOIN(", ", TRUE, _xlpm.MyAuditVal, _xlpm.MacVal, _xlpm.CSVVal)
)</f>
        <v/>
      </c>
      <c r="P513" s="40" t="str" cm="1">
        <f t="array" ref="P513">IFERROR(_xlfn.LET(
_xlpm.CSVVal,_xlfn.XLOOKUP($A513,CSV!$A:$A,CSV!AB:AB,""),
_xlpm.MacVal,_xlfn.XLOOKUP($A513,Output_Mac!$A:$A,Output_Mac!T:T,""),
_xlpm.MyAuditVal,_xlfn.XLOOKUP($A513,My_Audit!$A:$A,My_Audit!Q:Q,""),
_xlfn.IFS(_xlpm.MyAuditVal&lt;&gt;"",UPPER(_xlpm.MyAuditVal),_xlpm.MacVal&lt;&gt;"",_xlpm.MacVal,_xlpm.CSVVal&lt;&gt;"",_xlpm.CSVVal
)),"No")</f>
        <v>No</v>
      </c>
      <c r="Q513" s="40" t="str" cm="1">
        <f t="array" ref="Q513">IFERROR(_xlfn.LET(
_xlpm.CSVVal,_xlfn.XLOOKUP($A513,CSV!$A:$A,CSV!AC:AC,""),
_xlpm.MacVal,_xlfn.XLOOKUP($A513,Output_Mac!$A:$A,Output_Mac!U:U,""),
_xlpm.MyAuditVal,_xlfn.XLOOKUP($A513,My_Audit!$A:$A,My_Audit!R:R,""),
_xlfn.IFS(_xlpm.MyAuditVal&lt;&gt;"",UPPER(_xlpm.MyAuditVal),_xlpm.MacVal&lt;&gt;"",_xlpm.MacVal,_xlpm.CSVVal&lt;&gt;"",_xlpm.CSVVal
)),"")</f>
        <v/>
      </c>
      <c r="R513" s="40"/>
      <c r="S513" s="40"/>
      <c r="T513" s="40"/>
      <c r="U513" s="40"/>
      <c r="V513" s="40"/>
      <c r="W513" s="40"/>
      <c r="X513" s="41" t="str">
        <f>_xlfn.LET(
    _xlpm.MacVal, _xlfn.XLOOKUP($A513, Output_Mac!$A:$A, Output_Mac!AB:AB, ""),
    _xlpm.MyAuditVal, _xlfn.XLOOKUP($A513, My_Audit!$A:$A, My_Audit!N:N, ""),
    _xlfn.TEXTJOIN(", ", TRUE, _xlpm.MyAuditVal, _xlpm.MacVal)
)</f>
        <v/>
      </c>
    </row>
    <row r="514" spans="1:24">
      <c r="A514" s="40" t="str">
        <f>_xlfn.TEXTJOIN("",TRUE,Input!$B$2,ROW(My_Audit!A513))</f>
        <v>X513</v>
      </c>
      <c r="B514" s="40" t="str">
        <f>_xlfn.TEXTJOIN("-",TRUE,"ITD",Input!$A$2,A514)</f>
        <v>ITD-X513</v>
      </c>
      <c r="C514" s="40" t="str" cm="1">
        <f t="array" ref="C514">IFERROR(_xlfn.LET(
_xlpm.CSVVal,_xlfn.XLOOKUP($A514,CSV!$A:$A,CSV!B:B,""),
_xlpm.MacVal,_xlfn.XLOOKUP($A514,Output_Mac!$A:$A,Output_Mac!B:B,""),
_xlpm.MyAuditVal,_xlfn.XLOOKUP($A514,My_Audit!$A:$A,My_Audit!B:B,""),
_xlfn.IFS(_xlpm.MyAuditVal&lt;&gt;"",UPPER(_xlpm.MyAuditVal),_xlpm.MacVal&lt;&gt;"",_xlpm.MacVal,_xlpm.CSVVal&lt;&gt;"",_xlpm.CSVVal
)),"")</f>
        <v/>
      </c>
      <c r="D514" s="40" t="str" cm="1">
        <f t="array" ref="D514">IFERROR(_xlfn.LET(
_xlpm.CSVVal,_xlfn.XLOOKUP($A514,CSV!$A:$A,CSV!D:D,""),
_xlpm.MacVal,_xlfn.XLOOKUP($A514,Output_Mac!$A:$A,Output_Mac!C:C,""),
_xlpm.MyAuditVal,_xlfn.XLOOKUP($A514,My_Audit!$A:$A,My_Audit!C:C,""),
_xlfn.IFS(_xlpm.MyAuditVal&lt;&gt;"",_xlpm.MyAuditVal,_xlpm.MacVal&lt;&gt;"",_xlpm.MacVal,_xlpm.CSVVal&lt;&gt;"",_xlpm.CSVVal
)),"")</f>
        <v/>
      </c>
      <c r="E514" s="40" t="str">
        <f>_xlfn.XLOOKUP(A514,My_Audit!A:A,My_Audit!D:D,"")</f>
        <v/>
      </c>
      <c r="F514" s="40" t="str" cm="1">
        <f t="array" ref="F514">IFERROR(_xlfn.LET(
_xlpm.CSVVal,_xlfn.XLOOKUP($A514,CSV!$A:$A,CSV!F:F,""),
_xlpm.MacVal,_xlfn.XLOOKUP($A514,Output_Mac!$A:$A,Output_Mac!E:E,""),
_xlpm.MyAuditVal,_xlfn.XLOOKUP($A514,My_Audit!$A:$A,My_Audit!E:E,""),
_xlfn.IFS(_xlpm.MyAuditVal&lt;&gt;"",_xlpm.MyAuditVal,_xlpm.MacVal&lt;&gt;"",_xlpm.MacVal,_xlpm.CSVVal&lt;&gt;"",_xlpm.CSVVal
)),"")</f>
        <v/>
      </c>
      <c r="G514" s="40" t="str" cm="1">
        <f t="array" ref="G514">IFERROR(_xlfn.LET(
_xlpm.CSVVal,_xlfn.XLOOKUP($A514,CSV!$A:$A,CSV!G:G,""),
_xlpm.MacVal,_xlfn.XLOOKUP($A514,Output_Mac!$A:$A,Output_Mac!F:F,""),
_xlpm.MyAuditVal,_xlfn.XLOOKUP($A514,My_Audit!$A:$A,My_Audit!F:F,""),
_xlfn.IFS(_xlpm.MyAuditVal&lt;&gt;"",_xlpm.MyAuditVal,_xlpm.MacVal&lt;&gt;"",_xlpm.MacVal,_xlpm.CSVVal&lt;&gt;"",PROPER(_xlpm.CSVVal)
)),"")</f>
        <v/>
      </c>
      <c r="H514" s="40" t="str" cm="1">
        <f t="array" ref="H514">IFERROR(_xlfn.LET(
_xlpm.CSVVal,_xlfn.XLOOKUP($A514,CSV!$A:$A,CSV!H:H,""),
_xlpm.MacVal,_xlfn.XLOOKUP($A514,Output_Mac!$A:$A,Output_Mac!H:H,""),
_xlpm.MyAuditVal,_xlfn.XLOOKUP($A514,My_Audit!$A:$A,My_Audit!G:G,""),
_xlfn.IFS(_xlpm.MyAuditVal&lt;&gt;"",_xlpm.MyAuditVal,_xlpm.MacVal&lt;&gt;"",_xlpm.MacVal,_xlpm.CSVVal&lt;&gt;"",_xlpm.CSVVal
)),"")</f>
        <v/>
      </c>
      <c r="I514" s="40" t="str">
        <f>_xlfn.XLOOKUP(A514,Output_Mac!A:A,Output_Mac!I:I,"")</f>
        <v/>
      </c>
      <c r="J514" s="40" t="str" cm="1">
        <f t="array" ref="J514">IFERROR(_xlfn.LET(
_xlpm.CSVVal,_xlfn.XLOOKUP($A514,CSV!$A:$A,CSV!I:I,""),
_xlpm.MacVal,_xlfn.XLOOKUP($A514,Output_Mac!$A:$A,Output_Mac!J:J,""),
_xlpm.MyAuditVal,_xlfn.XLOOKUP($A514,My_Audit!$A:$A,My_Audit!I:I,""),
_xlfn.IFS(_xlpm.MyAuditVal&lt;&gt;"",UPPER(_xlpm.MyAuditVal),_xlpm.MacVal&lt;&gt;"",_xlpm.MacVal,_xlpm.CSVVal&lt;&gt;"",_xlpm.CSVVal
)),"")</f>
        <v/>
      </c>
      <c r="K514" s="40" t="str" cm="1">
        <f t="array" ref="K514">IFERROR(_xlfn.LET(
_xlpm.CSVVal,_xlfn.XLOOKUP($A514,CSV!$A:$A,CSV!K:K,""),
_xlpm.MacVal,_xlfn.XLOOKUP($A514,Output_Mac!$A:$A,Output_Mac!K:K,""),
_xlpm.MyAuditVal,_xlfn.XLOOKUP($A514,My_Audit!$A:$A,My_Audit!J:J,""),
_xlfn.IFS(_xlpm.MyAuditVal&lt;&gt;"",UPPER(_xlpm.MyAuditVal),_xlpm.MacVal&lt;&gt;"",_xlpm.MacVal,_xlpm.CSVVal&lt;&gt;"",_xlpm.CSVVal
)),"")</f>
        <v/>
      </c>
      <c r="L514" s="40" t="str" cm="1">
        <f t="array" ref="L514">IFERROR(_xlfn.LET(
_xlpm.CSVVal,_xlfn.XLOOKUP($A514,CSV!$A:$A,CSV!P:P,""),
_xlpm.MacVal,_xlfn.XLOOKUP($A514,Output_Mac!$A:$A,Output_Mac!L:L,""),
_xlpm.MyAuditVal,_xlfn.XLOOKUP($A514,My_Audit!$A:$A,My_Audit!K:K,""),
_xlfn.IFS(_xlpm.MyAuditVal&lt;&gt;"",UPPER(_xlpm.MyAuditVal),_xlpm.MacVal&lt;&gt;"",_xlpm.MacVal,_xlpm.CSVVal&lt;&gt;"",_xlpm.CSVVal
)),"")</f>
        <v/>
      </c>
      <c r="M514" s="40" t="str" cm="1">
        <f t="array" ref="M514">IFERROR(_xlfn.LET(
_xlpm.CSVVal,_xlfn.XLOOKUP($A514,CSV!$A:$A,CSV!Q:Q,""),
_xlpm.MacVal,_xlfn.XLOOKUP($A514,Output_Mac!$A:$A,Output_Mac!M:M,""),
_xlpm.MyAuditVal,_xlfn.XLOOKUP($A514,My_Audit!$A:$A,My_Audit!L:L,""),
_xlfn.IFS(_xlpm.MyAuditVal&lt;&gt;"",UPPER(_xlpm.MyAuditVal),_xlpm.MacVal&lt;&gt;"",_xlpm.MacVal,_xlpm.CSVVal&lt;&gt;"",_xlpm.CSVVal
)),"")</f>
        <v/>
      </c>
      <c r="N514" s="40"/>
      <c r="O514" s="40" t="str">
        <f>_xlfn.LET(
    _xlpm.CSVVal, _xlfn.XLOOKUP($A514, CSV!$A:$A, CSV!AA:AA, ""),
    _xlpm.MacVal, _xlfn.XLOOKUP($A514, Output_Mac!$A:$A, Output_Mac!S:S, ""),
    _xlpm.MyAuditVal, _xlfn.XLOOKUP($A514, My_Audit!$A:$A, My_Audit!P:P, ""),
    _xlfn.TEXTJOIN(", ", TRUE, _xlpm.MyAuditVal, _xlpm.MacVal, _xlpm.CSVVal)
)</f>
        <v/>
      </c>
      <c r="P514" s="40" t="str" cm="1">
        <f t="array" ref="P514">IFERROR(_xlfn.LET(
_xlpm.CSVVal,_xlfn.XLOOKUP($A514,CSV!$A:$A,CSV!AB:AB,""),
_xlpm.MacVal,_xlfn.XLOOKUP($A514,Output_Mac!$A:$A,Output_Mac!T:T,""),
_xlpm.MyAuditVal,_xlfn.XLOOKUP($A514,My_Audit!$A:$A,My_Audit!Q:Q,""),
_xlfn.IFS(_xlpm.MyAuditVal&lt;&gt;"",UPPER(_xlpm.MyAuditVal),_xlpm.MacVal&lt;&gt;"",_xlpm.MacVal,_xlpm.CSVVal&lt;&gt;"",_xlpm.CSVVal
)),"No")</f>
        <v>No</v>
      </c>
      <c r="Q514" s="40" t="str" cm="1">
        <f t="array" ref="Q514">IFERROR(_xlfn.LET(
_xlpm.CSVVal,_xlfn.XLOOKUP($A514,CSV!$A:$A,CSV!AC:AC,""),
_xlpm.MacVal,_xlfn.XLOOKUP($A514,Output_Mac!$A:$A,Output_Mac!U:U,""),
_xlpm.MyAuditVal,_xlfn.XLOOKUP($A514,My_Audit!$A:$A,My_Audit!R:R,""),
_xlfn.IFS(_xlpm.MyAuditVal&lt;&gt;"",UPPER(_xlpm.MyAuditVal),_xlpm.MacVal&lt;&gt;"",_xlpm.MacVal,_xlpm.CSVVal&lt;&gt;"",_xlpm.CSVVal
)),"")</f>
        <v/>
      </c>
      <c r="R514" s="40"/>
      <c r="S514" s="40"/>
      <c r="T514" s="40"/>
      <c r="U514" s="40"/>
      <c r="V514" s="40"/>
      <c r="W514" s="40"/>
      <c r="X514" s="41" t="str">
        <f>_xlfn.LET(
    _xlpm.MacVal, _xlfn.XLOOKUP($A514, Output_Mac!$A:$A, Output_Mac!AB:AB, ""),
    _xlpm.MyAuditVal, _xlfn.XLOOKUP($A514, My_Audit!$A:$A, My_Audit!N:N, ""),
    _xlfn.TEXTJOIN(", ", TRUE, _xlpm.MyAuditVal, _xlpm.MacVal)
)</f>
        <v/>
      </c>
    </row>
    <row r="515" spans="1:24">
      <c r="A515" s="40" t="str">
        <f>_xlfn.TEXTJOIN("",TRUE,Input!$B$2,ROW(My_Audit!A514))</f>
        <v>X514</v>
      </c>
      <c r="B515" s="40" t="str">
        <f>_xlfn.TEXTJOIN("-",TRUE,"ITD",Input!$A$2,A515)</f>
        <v>ITD-X514</v>
      </c>
      <c r="C515" s="40" t="str" cm="1">
        <f t="array" ref="C515">IFERROR(_xlfn.LET(
_xlpm.CSVVal,_xlfn.XLOOKUP($A515,CSV!$A:$A,CSV!B:B,""),
_xlpm.MacVal,_xlfn.XLOOKUP($A515,Output_Mac!$A:$A,Output_Mac!B:B,""),
_xlpm.MyAuditVal,_xlfn.XLOOKUP($A515,My_Audit!$A:$A,My_Audit!B:B,""),
_xlfn.IFS(_xlpm.MyAuditVal&lt;&gt;"",UPPER(_xlpm.MyAuditVal),_xlpm.MacVal&lt;&gt;"",_xlpm.MacVal,_xlpm.CSVVal&lt;&gt;"",_xlpm.CSVVal
)),"")</f>
        <v/>
      </c>
      <c r="D515" s="40" t="str" cm="1">
        <f t="array" ref="D515">IFERROR(_xlfn.LET(
_xlpm.CSVVal,_xlfn.XLOOKUP($A515,CSV!$A:$A,CSV!D:D,""),
_xlpm.MacVal,_xlfn.XLOOKUP($A515,Output_Mac!$A:$A,Output_Mac!C:C,""),
_xlpm.MyAuditVal,_xlfn.XLOOKUP($A515,My_Audit!$A:$A,My_Audit!C:C,""),
_xlfn.IFS(_xlpm.MyAuditVal&lt;&gt;"",_xlpm.MyAuditVal,_xlpm.MacVal&lt;&gt;"",_xlpm.MacVal,_xlpm.CSVVal&lt;&gt;"",_xlpm.CSVVal
)),"")</f>
        <v/>
      </c>
      <c r="E515" s="40" t="str">
        <f>_xlfn.XLOOKUP(A515,My_Audit!A:A,My_Audit!D:D,"")</f>
        <v/>
      </c>
      <c r="F515" s="40" t="str" cm="1">
        <f t="array" ref="F515">IFERROR(_xlfn.LET(
_xlpm.CSVVal,_xlfn.XLOOKUP($A515,CSV!$A:$A,CSV!F:F,""),
_xlpm.MacVal,_xlfn.XLOOKUP($A515,Output_Mac!$A:$A,Output_Mac!E:E,""),
_xlpm.MyAuditVal,_xlfn.XLOOKUP($A515,My_Audit!$A:$A,My_Audit!E:E,""),
_xlfn.IFS(_xlpm.MyAuditVal&lt;&gt;"",_xlpm.MyAuditVal,_xlpm.MacVal&lt;&gt;"",_xlpm.MacVal,_xlpm.CSVVal&lt;&gt;"",_xlpm.CSVVal
)),"")</f>
        <v/>
      </c>
      <c r="G515" s="40" t="str" cm="1">
        <f t="array" ref="G515">IFERROR(_xlfn.LET(
_xlpm.CSVVal,_xlfn.XLOOKUP($A515,CSV!$A:$A,CSV!G:G,""),
_xlpm.MacVal,_xlfn.XLOOKUP($A515,Output_Mac!$A:$A,Output_Mac!F:F,""),
_xlpm.MyAuditVal,_xlfn.XLOOKUP($A515,My_Audit!$A:$A,My_Audit!F:F,""),
_xlfn.IFS(_xlpm.MyAuditVal&lt;&gt;"",_xlpm.MyAuditVal,_xlpm.MacVal&lt;&gt;"",_xlpm.MacVal,_xlpm.CSVVal&lt;&gt;"",PROPER(_xlpm.CSVVal)
)),"")</f>
        <v/>
      </c>
      <c r="H515" s="40" t="str" cm="1">
        <f t="array" ref="H515">IFERROR(_xlfn.LET(
_xlpm.CSVVal,_xlfn.XLOOKUP($A515,CSV!$A:$A,CSV!H:H,""),
_xlpm.MacVal,_xlfn.XLOOKUP($A515,Output_Mac!$A:$A,Output_Mac!H:H,""),
_xlpm.MyAuditVal,_xlfn.XLOOKUP($A515,My_Audit!$A:$A,My_Audit!G:G,""),
_xlfn.IFS(_xlpm.MyAuditVal&lt;&gt;"",_xlpm.MyAuditVal,_xlpm.MacVal&lt;&gt;"",_xlpm.MacVal,_xlpm.CSVVal&lt;&gt;"",_xlpm.CSVVal
)),"")</f>
        <v/>
      </c>
      <c r="I515" s="40" t="str">
        <f>_xlfn.XLOOKUP(A515,Output_Mac!A:A,Output_Mac!I:I,"")</f>
        <v/>
      </c>
      <c r="J515" s="40" t="str" cm="1">
        <f t="array" ref="J515">IFERROR(_xlfn.LET(
_xlpm.CSVVal,_xlfn.XLOOKUP($A515,CSV!$A:$A,CSV!I:I,""),
_xlpm.MacVal,_xlfn.XLOOKUP($A515,Output_Mac!$A:$A,Output_Mac!J:J,""),
_xlpm.MyAuditVal,_xlfn.XLOOKUP($A515,My_Audit!$A:$A,My_Audit!I:I,""),
_xlfn.IFS(_xlpm.MyAuditVal&lt;&gt;"",UPPER(_xlpm.MyAuditVal),_xlpm.MacVal&lt;&gt;"",_xlpm.MacVal,_xlpm.CSVVal&lt;&gt;"",_xlpm.CSVVal
)),"")</f>
        <v/>
      </c>
      <c r="K515" s="40" t="str" cm="1">
        <f t="array" ref="K515">IFERROR(_xlfn.LET(
_xlpm.CSVVal,_xlfn.XLOOKUP($A515,CSV!$A:$A,CSV!K:K,""),
_xlpm.MacVal,_xlfn.XLOOKUP($A515,Output_Mac!$A:$A,Output_Mac!K:K,""),
_xlpm.MyAuditVal,_xlfn.XLOOKUP($A515,My_Audit!$A:$A,My_Audit!J:J,""),
_xlfn.IFS(_xlpm.MyAuditVal&lt;&gt;"",UPPER(_xlpm.MyAuditVal),_xlpm.MacVal&lt;&gt;"",_xlpm.MacVal,_xlpm.CSVVal&lt;&gt;"",_xlpm.CSVVal
)),"")</f>
        <v/>
      </c>
      <c r="L515" s="40" t="str" cm="1">
        <f t="array" ref="L515">IFERROR(_xlfn.LET(
_xlpm.CSVVal,_xlfn.XLOOKUP($A515,CSV!$A:$A,CSV!P:P,""),
_xlpm.MacVal,_xlfn.XLOOKUP($A515,Output_Mac!$A:$A,Output_Mac!L:L,""),
_xlpm.MyAuditVal,_xlfn.XLOOKUP($A515,My_Audit!$A:$A,My_Audit!K:K,""),
_xlfn.IFS(_xlpm.MyAuditVal&lt;&gt;"",UPPER(_xlpm.MyAuditVal),_xlpm.MacVal&lt;&gt;"",_xlpm.MacVal,_xlpm.CSVVal&lt;&gt;"",_xlpm.CSVVal
)),"")</f>
        <v/>
      </c>
      <c r="M515" s="40" t="str" cm="1">
        <f t="array" ref="M515">IFERROR(_xlfn.LET(
_xlpm.CSVVal,_xlfn.XLOOKUP($A515,CSV!$A:$A,CSV!Q:Q,""),
_xlpm.MacVal,_xlfn.XLOOKUP($A515,Output_Mac!$A:$A,Output_Mac!M:M,""),
_xlpm.MyAuditVal,_xlfn.XLOOKUP($A515,My_Audit!$A:$A,My_Audit!L:L,""),
_xlfn.IFS(_xlpm.MyAuditVal&lt;&gt;"",UPPER(_xlpm.MyAuditVal),_xlpm.MacVal&lt;&gt;"",_xlpm.MacVal,_xlpm.CSVVal&lt;&gt;"",_xlpm.CSVVal
)),"")</f>
        <v/>
      </c>
      <c r="N515" s="40"/>
      <c r="O515" s="40" t="str">
        <f>_xlfn.LET(
    _xlpm.CSVVal, _xlfn.XLOOKUP($A515, CSV!$A:$A, CSV!AA:AA, ""),
    _xlpm.MacVal, _xlfn.XLOOKUP($A515, Output_Mac!$A:$A, Output_Mac!S:S, ""),
    _xlpm.MyAuditVal, _xlfn.XLOOKUP($A515, My_Audit!$A:$A, My_Audit!P:P, ""),
    _xlfn.TEXTJOIN(", ", TRUE, _xlpm.MyAuditVal, _xlpm.MacVal, _xlpm.CSVVal)
)</f>
        <v/>
      </c>
      <c r="P515" s="40" t="str" cm="1">
        <f t="array" ref="P515">IFERROR(_xlfn.LET(
_xlpm.CSVVal,_xlfn.XLOOKUP($A515,CSV!$A:$A,CSV!AB:AB,""),
_xlpm.MacVal,_xlfn.XLOOKUP($A515,Output_Mac!$A:$A,Output_Mac!T:T,""),
_xlpm.MyAuditVal,_xlfn.XLOOKUP($A515,My_Audit!$A:$A,My_Audit!Q:Q,""),
_xlfn.IFS(_xlpm.MyAuditVal&lt;&gt;"",UPPER(_xlpm.MyAuditVal),_xlpm.MacVal&lt;&gt;"",_xlpm.MacVal,_xlpm.CSVVal&lt;&gt;"",_xlpm.CSVVal
)),"No")</f>
        <v>No</v>
      </c>
      <c r="Q515" s="40" t="str" cm="1">
        <f t="array" ref="Q515">IFERROR(_xlfn.LET(
_xlpm.CSVVal,_xlfn.XLOOKUP($A515,CSV!$A:$A,CSV!AC:AC,""),
_xlpm.MacVal,_xlfn.XLOOKUP($A515,Output_Mac!$A:$A,Output_Mac!U:U,""),
_xlpm.MyAuditVal,_xlfn.XLOOKUP($A515,My_Audit!$A:$A,My_Audit!R:R,""),
_xlfn.IFS(_xlpm.MyAuditVal&lt;&gt;"",UPPER(_xlpm.MyAuditVal),_xlpm.MacVal&lt;&gt;"",_xlpm.MacVal,_xlpm.CSVVal&lt;&gt;"",_xlpm.CSVVal
)),"")</f>
        <v/>
      </c>
      <c r="R515" s="40"/>
      <c r="S515" s="40"/>
      <c r="T515" s="40"/>
      <c r="U515" s="40"/>
      <c r="V515" s="40"/>
      <c r="W515" s="40"/>
      <c r="X515" s="41" t="str">
        <f>_xlfn.LET(
    _xlpm.MacVal, _xlfn.XLOOKUP($A515, Output_Mac!$A:$A, Output_Mac!AB:AB, ""),
    _xlpm.MyAuditVal, _xlfn.XLOOKUP($A515, My_Audit!$A:$A, My_Audit!N:N, ""),
    _xlfn.TEXTJOIN(", ", TRUE, _xlpm.MyAuditVal, _xlpm.MacVal)
)</f>
        <v/>
      </c>
    </row>
    <row r="516" spans="1:24">
      <c r="A516" s="40" t="str">
        <f>_xlfn.TEXTJOIN("",TRUE,Input!$B$2,ROW(My_Audit!A515))</f>
        <v>X515</v>
      </c>
      <c r="B516" s="40" t="str">
        <f>_xlfn.TEXTJOIN("-",TRUE,"ITD",Input!$A$2,A516)</f>
        <v>ITD-X515</v>
      </c>
      <c r="C516" s="40" t="str" cm="1">
        <f t="array" ref="C516">IFERROR(_xlfn.LET(
_xlpm.CSVVal,_xlfn.XLOOKUP($A516,CSV!$A:$A,CSV!B:B,""),
_xlpm.MacVal,_xlfn.XLOOKUP($A516,Output_Mac!$A:$A,Output_Mac!B:B,""),
_xlpm.MyAuditVal,_xlfn.XLOOKUP($A516,My_Audit!$A:$A,My_Audit!B:B,""),
_xlfn.IFS(_xlpm.MyAuditVal&lt;&gt;"",UPPER(_xlpm.MyAuditVal),_xlpm.MacVal&lt;&gt;"",_xlpm.MacVal,_xlpm.CSVVal&lt;&gt;"",_xlpm.CSVVal
)),"")</f>
        <v/>
      </c>
      <c r="D516" s="40" t="str" cm="1">
        <f t="array" ref="D516">IFERROR(_xlfn.LET(
_xlpm.CSVVal,_xlfn.XLOOKUP($A516,CSV!$A:$A,CSV!D:D,""),
_xlpm.MacVal,_xlfn.XLOOKUP($A516,Output_Mac!$A:$A,Output_Mac!C:C,""),
_xlpm.MyAuditVal,_xlfn.XLOOKUP($A516,My_Audit!$A:$A,My_Audit!C:C,""),
_xlfn.IFS(_xlpm.MyAuditVal&lt;&gt;"",_xlpm.MyAuditVal,_xlpm.MacVal&lt;&gt;"",_xlpm.MacVal,_xlpm.CSVVal&lt;&gt;"",_xlpm.CSVVal
)),"")</f>
        <v/>
      </c>
      <c r="E516" s="40" t="str">
        <f>_xlfn.XLOOKUP(A516,My_Audit!A:A,My_Audit!D:D,"")</f>
        <v/>
      </c>
      <c r="F516" s="40" t="str" cm="1">
        <f t="array" ref="F516">IFERROR(_xlfn.LET(
_xlpm.CSVVal,_xlfn.XLOOKUP($A516,CSV!$A:$A,CSV!F:F,""),
_xlpm.MacVal,_xlfn.XLOOKUP($A516,Output_Mac!$A:$A,Output_Mac!E:E,""),
_xlpm.MyAuditVal,_xlfn.XLOOKUP($A516,My_Audit!$A:$A,My_Audit!E:E,""),
_xlfn.IFS(_xlpm.MyAuditVal&lt;&gt;"",_xlpm.MyAuditVal,_xlpm.MacVal&lt;&gt;"",_xlpm.MacVal,_xlpm.CSVVal&lt;&gt;"",_xlpm.CSVVal
)),"")</f>
        <v/>
      </c>
      <c r="G516" s="40" t="str" cm="1">
        <f t="array" ref="G516">IFERROR(_xlfn.LET(
_xlpm.CSVVal,_xlfn.XLOOKUP($A516,CSV!$A:$A,CSV!G:G,""),
_xlpm.MacVal,_xlfn.XLOOKUP($A516,Output_Mac!$A:$A,Output_Mac!F:F,""),
_xlpm.MyAuditVal,_xlfn.XLOOKUP($A516,My_Audit!$A:$A,My_Audit!F:F,""),
_xlfn.IFS(_xlpm.MyAuditVal&lt;&gt;"",_xlpm.MyAuditVal,_xlpm.MacVal&lt;&gt;"",_xlpm.MacVal,_xlpm.CSVVal&lt;&gt;"",PROPER(_xlpm.CSVVal)
)),"")</f>
        <v/>
      </c>
      <c r="H516" s="40" t="str" cm="1">
        <f t="array" ref="H516">IFERROR(_xlfn.LET(
_xlpm.CSVVal,_xlfn.XLOOKUP($A516,CSV!$A:$A,CSV!H:H,""),
_xlpm.MacVal,_xlfn.XLOOKUP($A516,Output_Mac!$A:$A,Output_Mac!H:H,""),
_xlpm.MyAuditVal,_xlfn.XLOOKUP($A516,My_Audit!$A:$A,My_Audit!G:G,""),
_xlfn.IFS(_xlpm.MyAuditVal&lt;&gt;"",_xlpm.MyAuditVal,_xlpm.MacVal&lt;&gt;"",_xlpm.MacVal,_xlpm.CSVVal&lt;&gt;"",_xlpm.CSVVal
)),"")</f>
        <v/>
      </c>
      <c r="I516" s="40" t="str">
        <f>_xlfn.XLOOKUP(A516,Output_Mac!A:A,Output_Mac!I:I,"")</f>
        <v/>
      </c>
      <c r="J516" s="40" t="str" cm="1">
        <f t="array" ref="J516">IFERROR(_xlfn.LET(
_xlpm.CSVVal,_xlfn.XLOOKUP($A516,CSV!$A:$A,CSV!I:I,""),
_xlpm.MacVal,_xlfn.XLOOKUP($A516,Output_Mac!$A:$A,Output_Mac!J:J,""),
_xlpm.MyAuditVal,_xlfn.XLOOKUP($A516,My_Audit!$A:$A,My_Audit!I:I,""),
_xlfn.IFS(_xlpm.MyAuditVal&lt;&gt;"",UPPER(_xlpm.MyAuditVal),_xlpm.MacVal&lt;&gt;"",_xlpm.MacVal,_xlpm.CSVVal&lt;&gt;"",_xlpm.CSVVal
)),"")</f>
        <v/>
      </c>
      <c r="K516" s="40" t="str" cm="1">
        <f t="array" ref="K516">IFERROR(_xlfn.LET(
_xlpm.CSVVal,_xlfn.XLOOKUP($A516,CSV!$A:$A,CSV!K:K,""),
_xlpm.MacVal,_xlfn.XLOOKUP($A516,Output_Mac!$A:$A,Output_Mac!K:K,""),
_xlpm.MyAuditVal,_xlfn.XLOOKUP($A516,My_Audit!$A:$A,My_Audit!J:J,""),
_xlfn.IFS(_xlpm.MyAuditVal&lt;&gt;"",UPPER(_xlpm.MyAuditVal),_xlpm.MacVal&lt;&gt;"",_xlpm.MacVal,_xlpm.CSVVal&lt;&gt;"",_xlpm.CSVVal
)),"")</f>
        <v/>
      </c>
      <c r="L516" s="40" t="str" cm="1">
        <f t="array" ref="L516">IFERROR(_xlfn.LET(
_xlpm.CSVVal,_xlfn.XLOOKUP($A516,CSV!$A:$A,CSV!P:P,""),
_xlpm.MacVal,_xlfn.XLOOKUP($A516,Output_Mac!$A:$A,Output_Mac!L:L,""),
_xlpm.MyAuditVal,_xlfn.XLOOKUP($A516,My_Audit!$A:$A,My_Audit!K:K,""),
_xlfn.IFS(_xlpm.MyAuditVal&lt;&gt;"",UPPER(_xlpm.MyAuditVal),_xlpm.MacVal&lt;&gt;"",_xlpm.MacVal,_xlpm.CSVVal&lt;&gt;"",_xlpm.CSVVal
)),"")</f>
        <v/>
      </c>
      <c r="M516" s="40" t="str" cm="1">
        <f t="array" ref="M516">IFERROR(_xlfn.LET(
_xlpm.CSVVal,_xlfn.XLOOKUP($A516,CSV!$A:$A,CSV!Q:Q,""),
_xlpm.MacVal,_xlfn.XLOOKUP($A516,Output_Mac!$A:$A,Output_Mac!M:M,""),
_xlpm.MyAuditVal,_xlfn.XLOOKUP($A516,My_Audit!$A:$A,My_Audit!L:L,""),
_xlfn.IFS(_xlpm.MyAuditVal&lt;&gt;"",UPPER(_xlpm.MyAuditVal),_xlpm.MacVal&lt;&gt;"",_xlpm.MacVal,_xlpm.CSVVal&lt;&gt;"",_xlpm.CSVVal
)),"")</f>
        <v/>
      </c>
      <c r="N516" s="40"/>
      <c r="O516" s="40" t="str">
        <f>_xlfn.LET(
    _xlpm.CSVVal, _xlfn.XLOOKUP($A516, CSV!$A:$A, CSV!AA:AA, ""),
    _xlpm.MacVal, _xlfn.XLOOKUP($A516, Output_Mac!$A:$A, Output_Mac!S:S, ""),
    _xlpm.MyAuditVal, _xlfn.XLOOKUP($A516, My_Audit!$A:$A, My_Audit!P:P, ""),
    _xlfn.TEXTJOIN(", ", TRUE, _xlpm.MyAuditVal, _xlpm.MacVal, _xlpm.CSVVal)
)</f>
        <v/>
      </c>
      <c r="P516" s="40" t="str" cm="1">
        <f t="array" ref="P516">IFERROR(_xlfn.LET(
_xlpm.CSVVal,_xlfn.XLOOKUP($A516,CSV!$A:$A,CSV!AB:AB,""),
_xlpm.MacVal,_xlfn.XLOOKUP($A516,Output_Mac!$A:$A,Output_Mac!T:T,""),
_xlpm.MyAuditVal,_xlfn.XLOOKUP($A516,My_Audit!$A:$A,My_Audit!Q:Q,""),
_xlfn.IFS(_xlpm.MyAuditVal&lt;&gt;"",UPPER(_xlpm.MyAuditVal),_xlpm.MacVal&lt;&gt;"",_xlpm.MacVal,_xlpm.CSVVal&lt;&gt;"",_xlpm.CSVVal
)),"No")</f>
        <v>No</v>
      </c>
      <c r="Q516" s="40" t="str" cm="1">
        <f t="array" ref="Q516">IFERROR(_xlfn.LET(
_xlpm.CSVVal,_xlfn.XLOOKUP($A516,CSV!$A:$A,CSV!AC:AC,""),
_xlpm.MacVal,_xlfn.XLOOKUP($A516,Output_Mac!$A:$A,Output_Mac!U:U,""),
_xlpm.MyAuditVal,_xlfn.XLOOKUP($A516,My_Audit!$A:$A,My_Audit!R:R,""),
_xlfn.IFS(_xlpm.MyAuditVal&lt;&gt;"",UPPER(_xlpm.MyAuditVal),_xlpm.MacVal&lt;&gt;"",_xlpm.MacVal,_xlpm.CSVVal&lt;&gt;"",_xlpm.CSVVal
)),"")</f>
        <v/>
      </c>
      <c r="R516" s="40"/>
      <c r="S516" s="40"/>
      <c r="T516" s="40"/>
      <c r="U516" s="40"/>
      <c r="V516" s="40"/>
      <c r="W516" s="40"/>
      <c r="X516" s="41" t="str">
        <f>_xlfn.LET(
    _xlpm.MacVal, _xlfn.XLOOKUP($A516, Output_Mac!$A:$A, Output_Mac!AB:AB, ""),
    _xlpm.MyAuditVal, _xlfn.XLOOKUP($A516, My_Audit!$A:$A, My_Audit!N:N, ""),
    _xlfn.TEXTJOIN(", ", TRUE, _xlpm.MyAuditVal, _xlpm.MacVal)
)</f>
        <v/>
      </c>
    </row>
    <row r="517" spans="1:24">
      <c r="A517" s="40" t="str">
        <f>_xlfn.TEXTJOIN("",TRUE,Input!$B$2,ROW(My_Audit!A516))</f>
        <v>X516</v>
      </c>
      <c r="B517" s="40" t="str">
        <f>_xlfn.TEXTJOIN("-",TRUE,"ITD",Input!$A$2,A517)</f>
        <v>ITD-X516</v>
      </c>
      <c r="C517" s="40" t="str" cm="1">
        <f t="array" ref="C517">IFERROR(_xlfn.LET(
_xlpm.CSVVal,_xlfn.XLOOKUP($A517,CSV!$A:$A,CSV!B:B,""),
_xlpm.MacVal,_xlfn.XLOOKUP($A517,Output_Mac!$A:$A,Output_Mac!B:B,""),
_xlpm.MyAuditVal,_xlfn.XLOOKUP($A517,My_Audit!$A:$A,My_Audit!B:B,""),
_xlfn.IFS(_xlpm.MyAuditVal&lt;&gt;"",UPPER(_xlpm.MyAuditVal),_xlpm.MacVal&lt;&gt;"",_xlpm.MacVal,_xlpm.CSVVal&lt;&gt;"",_xlpm.CSVVal
)),"")</f>
        <v/>
      </c>
      <c r="D517" s="40" t="str" cm="1">
        <f t="array" ref="D517">IFERROR(_xlfn.LET(
_xlpm.CSVVal,_xlfn.XLOOKUP($A517,CSV!$A:$A,CSV!D:D,""),
_xlpm.MacVal,_xlfn.XLOOKUP($A517,Output_Mac!$A:$A,Output_Mac!C:C,""),
_xlpm.MyAuditVal,_xlfn.XLOOKUP($A517,My_Audit!$A:$A,My_Audit!C:C,""),
_xlfn.IFS(_xlpm.MyAuditVal&lt;&gt;"",_xlpm.MyAuditVal,_xlpm.MacVal&lt;&gt;"",_xlpm.MacVal,_xlpm.CSVVal&lt;&gt;"",_xlpm.CSVVal
)),"")</f>
        <v/>
      </c>
      <c r="E517" s="40" t="str">
        <f>_xlfn.XLOOKUP(A517,My_Audit!A:A,My_Audit!D:D,"")</f>
        <v/>
      </c>
      <c r="F517" s="40" t="str" cm="1">
        <f t="array" ref="F517">IFERROR(_xlfn.LET(
_xlpm.CSVVal,_xlfn.XLOOKUP($A517,CSV!$A:$A,CSV!F:F,""),
_xlpm.MacVal,_xlfn.XLOOKUP($A517,Output_Mac!$A:$A,Output_Mac!E:E,""),
_xlpm.MyAuditVal,_xlfn.XLOOKUP($A517,My_Audit!$A:$A,My_Audit!E:E,""),
_xlfn.IFS(_xlpm.MyAuditVal&lt;&gt;"",_xlpm.MyAuditVal,_xlpm.MacVal&lt;&gt;"",_xlpm.MacVal,_xlpm.CSVVal&lt;&gt;"",_xlpm.CSVVal
)),"")</f>
        <v/>
      </c>
      <c r="G517" s="40" t="str" cm="1">
        <f t="array" ref="G517">IFERROR(_xlfn.LET(
_xlpm.CSVVal,_xlfn.XLOOKUP($A517,CSV!$A:$A,CSV!G:G,""),
_xlpm.MacVal,_xlfn.XLOOKUP($A517,Output_Mac!$A:$A,Output_Mac!F:F,""),
_xlpm.MyAuditVal,_xlfn.XLOOKUP($A517,My_Audit!$A:$A,My_Audit!F:F,""),
_xlfn.IFS(_xlpm.MyAuditVal&lt;&gt;"",_xlpm.MyAuditVal,_xlpm.MacVal&lt;&gt;"",_xlpm.MacVal,_xlpm.CSVVal&lt;&gt;"",PROPER(_xlpm.CSVVal)
)),"")</f>
        <v/>
      </c>
      <c r="H517" s="40" t="str" cm="1">
        <f t="array" ref="H517">IFERROR(_xlfn.LET(
_xlpm.CSVVal,_xlfn.XLOOKUP($A517,CSV!$A:$A,CSV!H:H,""),
_xlpm.MacVal,_xlfn.XLOOKUP($A517,Output_Mac!$A:$A,Output_Mac!H:H,""),
_xlpm.MyAuditVal,_xlfn.XLOOKUP($A517,My_Audit!$A:$A,My_Audit!G:G,""),
_xlfn.IFS(_xlpm.MyAuditVal&lt;&gt;"",_xlpm.MyAuditVal,_xlpm.MacVal&lt;&gt;"",_xlpm.MacVal,_xlpm.CSVVal&lt;&gt;"",_xlpm.CSVVal
)),"")</f>
        <v/>
      </c>
      <c r="I517" s="40" t="str">
        <f>_xlfn.XLOOKUP(A517,Output_Mac!A:A,Output_Mac!I:I,"")</f>
        <v/>
      </c>
      <c r="J517" s="40" t="str" cm="1">
        <f t="array" ref="J517">IFERROR(_xlfn.LET(
_xlpm.CSVVal,_xlfn.XLOOKUP($A517,CSV!$A:$A,CSV!I:I,""),
_xlpm.MacVal,_xlfn.XLOOKUP($A517,Output_Mac!$A:$A,Output_Mac!J:J,""),
_xlpm.MyAuditVal,_xlfn.XLOOKUP($A517,My_Audit!$A:$A,My_Audit!I:I,""),
_xlfn.IFS(_xlpm.MyAuditVal&lt;&gt;"",UPPER(_xlpm.MyAuditVal),_xlpm.MacVal&lt;&gt;"",_xlpm.MacVal,_xlpm.CSVVal&lt;&gt;"",_xlpm.CSVVal
)),"")</f>
        <v/>
      </c>
      <c r="K517" s="40" t="str" cm="1">
        <f t="array" ref="K517">IFERROR(_xlfn.LET(
_xlpm.CSVVal,_xlfn.XLOOKUP($A517,CSV!$A:$A,CSV!K:K,""),
_xlpm.MacVal,_xlfn.XLOOKUP($A517,Output_Mac!$A:$A,Output_Mac!K:K,""),
_xlpm.MyAuditVal,_xlfn.XLOOKUP($A517,My_Audit!$A:$A,My_Audit!J:J,""),
_xlfn.IFS(_xlpm.MyAuditVal&lt;&gt;"",UPPER(_xlpm.MyAuditVal),_xlpm.MacVal&lt;&gt;"",_xlpm.MacVal,_xlpm.CSVVal&lt;&gt;"",_xlpm.CSVVal
)),"")</f>
        <v/>
      </c>
      <c r="L517" s="40" t="str" cm="1">
        <f t="array" ref="L517">IFERROR(_xlfn.LET(
_xlpm.CSVVal,_xlfn.XLOOKUP($A517,CSV!$A:$A,CSV!P:P,""),
_xlpm.MacVal,_xlfn.XLOOKUP($A517,Output_Mac!$A:$A,Output_Mac!L:L,""),
_xlpm.MyAuditVal,_xlfn.XLOOKUP($A517,My_Audit!$A:$A,My_Audit!K:K,""),
_xlfn.IFS(_xlpm.MyAuditVal&lt;&gt;"",UPPER(_xlpm.MyAuditVal),_xlpm.MacVal&lt;&gt;"",_xlpm.MacVal,_xlpm.CSVVal&lt;&gt;"",_xlpm.CSVVal
)),"")</f>
        <v/>
      </c>
      <c r="M517" s="40" t="str" cm="1">
        <f t="array" ref="M517">IFERROR(_xlfn.LET(
_xlpm.CSVVal,_xlfn.XLOOKUP($A517,CSV!$A:$A,CSV!Q:Q,""),
_xlpm.MacVal,_xlfn.XLOOKUP($A517,Output_Mac!$A:$A,Output_Mac!M:M,""),
_xlpm.MyAuditVal,_xlfn.XLOOKUP($A517,My_Audit!$A:$A,My_Audit!L:L,""),
_xlfn.IFS(_xlpm.MyAuditVal&lt;&gt;"",UPPER(_xlpm.MyAuditVal),_xlpm.MacVal&lt;&gt;"",_xlpm.MacVal,_xlpm.CSVVal&lt;&gt;"",_xlpm.CSVVal
)),"")</f>
        <v/>
      </c>
      <c r="N517" s="40"/>
      <c r="O517" s="40" t="str">
        <f>_xlfn.LET(
    _xlpm.CSVVal, _xlfn.XLOOKUP($A517, CSV!$A:$A, CSV!AA:AA, ""),
    _xlpm.MacVal, _xlfn.XLOOKUP($A517, Output_Mac!$A:$A, Output_Mac!S:S, ""),
    _xlpm.MyAuditVal, _xlfn.XLOOKUP($A517, My_Audit!$A:$A, My_Audit!P:P, ""),
    _xlfn.TEXTJOIN(", ", TRUE, _xlpm.MyAuditVal, _xlpm.MacVal, _xlpm.CSVVal)
)</f>
        <v/>
      </c>
      <c r="P517" s="40" t="str" cm="1">
        <f t="array" ref="P517">IFERROR(_xlfn.LET(
_xlpm.CSVVal,_xlfn.XLOOKUP($A517,CSV!$A:$A,CSV!AB:AB,""),
_xlpm.MacVal,_xlfn.XLOOKUP($A517,Output_Mac!$A:$A,Output_Mac!T:T,""),
_xlpm.MyAuditVal,_xlfn.XLOOKUP($A517,My_Audit!$A:$A,My_Audit!Q:Q,""),
_xlfn.IFS(_xlpm.MyAuditVal&lt;&gt;"",UPPER(_xlpm.MyAuditVal),_xlpm.MacVal&lt;&gt;"",_xlpm.MacVal,_xlpm.CSVVal&lt;&gt;"",_xlpm.CSVVal
)),"No")</f>
        <v>No</v>
      </c>
      <c r="Q517" s="40" t="str" cm="1">
        <f t="array" ref="Q517">IFERROR(_xlfn.LET(
_xlpm.CSVVal,_xlfn.XLOOKUP($A517,CSV!$A:$A,CSV!AC:AC,""),
_xlpm.MacVal,_xlfn.XLOOKUP($A517,Output_Mac!$A:$A,Output_Mac!U:U,""),
_xlpm.MyAuditVal,_xlfn.XLOOKUP($A517,My_Audit!$A:$A,My_Audit!R:R,""),
_xlfn.IFS(_xlpm.MyAuditVal&lt;&gt;"",UPPER(_xlpm.MyAuditVal),_xlpm.MacVal&lt;&gt;"",_xlpm.MacVal,_xlpm.CSVVal&lt;&gt;"",_xlpm.CSVVal
)),"")</f>
        <v/>
      </c>
      <c r="R517" s="40"/>
      <c r="S517" s="40"/>
      <c r="T517" s="40"/>
      <c r="U517" s="40"/>
      <c r="V517" s="40"/>
      <c r="W517" s="40"/>
      <c r="X517" s="41" t="str">
        <f>_xlfn.LET(
    _xlpm.MacVal, _xlfn.XLOOKUP($A517, Output_Mac!$A:$A, Output_Mac!AB:AB, ""),
    _xlpm.MyAuditVal, _xlfn.XLOOKUP($A517, My_Audit!$A:$A, My_Audit!N:N, ""),
    _xlfn.TEXTJOIN(", ", TRUE, _xlpm.MyAuditVal, _xlpm.MacVal)
)</f>
        <v/>
      </c>
    </row>
    <row r="518" spans="1:24">
      <c r="A518" s="40" t="str">
        <f>_xlfn.TEXTJOIN("",TRUE,Input!$B$2,ROW(My_Audit!A517))</f>
        <v>X517</v>
      </c>
      <c r="B518" s="40" t="str">
        <f>_xlfn.TEXTJOIN("-",TRUE,"ITD",Input!$A$2,A518)</f>
        <v>ITD-X517</v>
      </c>
      <c r="C518" s="40" t="str" cm="1">
        <f t="array" ref="C518">IFERROR(_xlfn.LET(
_xlpm.CSVVal,_xlfn.XLOOKUP($A518,CSV!$A:$A,CSV!B:B,""),
_xlpm.MacVal,_xlfn.XLOOKUP($A518,Output_Mac!$A:$A,Output_Mac!B:B,""),
_xlpm.MyAuditVal,_xlfn.XLOOKUP($A518,My_Audit!$A:$A,My_Audit!B:B,""),
_xlfn.IFS(_xlpm.MyAuditVal&lt;&gt;"",UPPER(_xlpm.MyAuditVal),_xlpm.MacVal&lt;&gt;"",_xlpm.MacVal,_xlpm.CSVVal&lt;&gt;"",_xlpm.CSVVal
)),"")</f>
        <v/>
      </c>
      <c r="D518" s="40" t="str" cm="1">
        <f t="array" ref="D518">IFERROR(_xlfn.LET(
_xlpm.CSVVal,_xlfn.XLOOKUP($A518,CSV!$A:$A,CSV!D:D,""),
_xlpm.MacVal,_xlfn.XLOOKUP($A518,Output_Mac!$A:$A,Output_Mac!C:C,""),
_xlpm.MyAuditVal,_xlfn.XLOOKUP($A518,My_Audit!$A:$A,My_Audit!C:C,""),
_xlfn.IFS(_xlpm.MyAuditVal&lt;&gt;"",_xlpm.MyAuditVal,_xlpm.MacVal&lt;&gt;"",_xlpm.MacVal,_xlpm.CSVVal&lt;&gt;"",_xlpm.CSVVal
)),"")</f>
        <v/>
      </c>
      <c r="E518" s="40" t="str">
        <f>_xlfn.XLOOKUP(A518,My_Audit!A:A,My_Audit!D:D,"")</f>
        <v/>
      </c>
      <c r="F518" s="40" t="str" cm="1">
        <f t="array" ref="F518">IFERROR(_xlfn.LET(
_xlpm.CSVVal,_xlfn.XLOOKUP($A518,CSV!$A:$A,CSV!F:F,""),
_xlpm.MacVal,_xlfn.XLOOKUP($A518,Output_Mac!$A:$A,Output_Mac!E:E,""),
_xlpm.MyAuditVal,_xlfn.XLOOKUP($A518,My_Audit!$A:$A,My_Audit!E:E,""),
_xlfn.IFS(_xlpm.MyAuditVal&lt;&gt;"",_xlpm.MyAuditVal,_xlpm.MacVal&lt;&gt;"",_xlpm.MacVal,_xlpm.CSVVal&lt;&gt;"",_xlpm.CSVVal
)),"")</f>
        <v/>
      </c>
      <c r="G518" s="40" t="str" cm="1">
        <f t="array" ref="G518">IFERROR(_xlfn.LET(
_xlpm.CSVVal,_xlfn.XLOOKUP($A518,CSV!$A:$A,CSV!G:G,""),
_xlpm.MacVal,_xlfn.XLOOKUP($A518,Output_Mac!$A:$A,Output_Mac!F:F,""),
_xlpm.MyAuditVal,_xlfn.XLOOKUP($A518,My_Audit!$A:$A,My_Audit!F:F,""),
_xlfn.IFS(_xlpm.MyAuditVal&lt;&gt;"",_xlpm.MyAuditVal,_xlpm.MacVal&lt;&gt;"",_xlpm.MacVal,_xlpm.CSVVal&lt;&gt;"",PROPER(_xlpm.CSVVal)
)),"")</f>
        <v/>
      </c>
      <c r="H518" s="40" t="str" cm="1">
        <f t="array" ref="H518">IFERROR(_xlfn.LET(
_xlpm.CSVVal,_xlfn.XLOOKUP($A518,CSV!$A:$A,CSV!H:H,""),
_xlpm.MacVal,_xlfn.XLOOKUP($A518,Output_Mac!$A:$A,Output_Mac!H:H,""),
_xlpm.MyAuditVal,_xlfn.XLOOKUP($A518,My_Audit!$A:$A,My_Audit!G:G,""),
_xlfn.IFS(_xlpm.MyAuditVal&lt;&gt;"",_xlpm.MyAuditVal,_xlpm.MacVal&lt;&gt;"",_xlpm.MacVal,_xlpm.CSVVal&lt;&gt;"",_xlpm.CSVVal
)),"")</f>
        <v/>
      </c>
      <c r="I518" s="40" t="str">
        <f>_xlfn.XLOOKUP(A518,Output_Mac!A:A,Output_Mac!I:I,"")</f>
        <v/>
      </c>
      <c r="J518" s="40" t="str" cm="1">
        <f t="array" ref="J518">IFERROR(_xlfn.LET(
_xlpm.CSVVal,_xlfn.XLOOKUP($A518,CSV!$A:$A,CSV!I:I,""),
_xlpm.MacVal,_xlfn.XLOOKUP($A518,Output_Mac!$A:$A,Output_Mac!J:J,""),
_xlpm.MyAuditVal,_xlfn.XLOOKUP($A518,My_Audit!$A:$A,My_Audit!I:I,""),
_xlfn.IFS(_xlpm.MyAuditVal&lt;&gt;"",UPPER(_xlpm.MyAuditVal),_xlpm.MacVal&lt;&gt;"",_xlpm.MacVal,_xlpm.CSVVal&lt;&gt;"",_xlpm.CSVVal
)),"")</f>
        <v/>
      </c>
      <c r="K518" s="40" t="str" cm="1">
        <f t="array" ref="K518">IFERROR(_xlfn.LET(
_xlpm.CSVVal,_xlfn.XLOOKUP($A518,CSV!$A:$A,CSV!K:K,""),
_xlpm.MacVal,_xlfn.XLOOKUP($A518,Output_Mac!$A:$A,Output_Mac!K:K,""),
_xlpm.MyAuditVal,_xlfn.XLOOKUP($A518,My_Audit!$A:$A,My_Audit!J:J,""),
_xlfn.IFS(_xlpm.MyAuditVal&lt;&gt;"",UPPER(_xlpm.MyAuditVal),_xlpm.MacVal&lt;&gt;"",_xlpm.MacVal,_xlpm.CSVVal&lt;&gt;"",_xlpm.CSVVal
)),"")</f>
        <v/>
      </c>
      <c r="L518" s="40" t="str" cm="1">
        <f t="array" ref="L518">IFERROR(_xlfn.LET(
_xlpm.CSVVal,_xlfn.XLOOKUP($A518,CSV!$A:$A,CSV!P:P,""),
_xlpm.MacVal,_xlfn.XLOOKUP($A518,Output_Mac!$A:$A,Output_Mac!L:L,""),
_xlpm.MyAuditVal,_xlfn.XLOOKUP($A518,My_Audit!$A:$A,My_Audit!K:K,""),
_xlfn.IFS(_xlpm.MyAuditVal&lt;&gt;"",UPPER(_xlpm.MyAuditVal),_xlpm.MacVal&lt;&gt;"",_xlpm.MacVal,_xlpm.CSVVal&lt;&gt;"",_xlpm.CSVVal
)),"")</f>
        <v/>
      </c>
      <c r="M518" s="40" t="str" cm="1">
        <f t="array" ref="M518">IFERROR(_xlfn.LET(
_xlpm.CSVVal,_xlfn.XLOOKUP($A518,CSV!$A:$A,CSV!Q:Q,""),
_xlpm.MacVal,_xlfn.XLOOKUP($A518,Output_Mac!$A:$A,Output_Mac!M:M,""),
_xlpm.MyAuditVal,_xlfn.XLOOKUP($A518,My_Audit!$A:$A,My_Audit!L:L,""),
_xlfn.IFS(_xlpm.MyAuditVal&lt;&gt;"",UPPER(_xlpm.MyAuditVal),_xlpm.MacVal&lt;&gt;"",_xlpm.MacVal,_xlpm.CSVVal&lt;&gt;"",_xlpm.CSVVal
)),"")</f>
        <v/>
      </c>
      <c r="N518" s="40"/>
      <c r="O518" s="40" t="str">
        <f>_xlfn.LET(
    _xlpm.CSVVal, _xlfn.XLOOKUP($A518, CSV!$A:$A, CSV!AA:AA, ""),
    _xlpm.MacVal, _xlfn.XLOOKUP($A518, Output_Mac!$A:$A, Output_Mac!S:S, ""),
    _xlpm.MyAuditVal, _xlfn.XLOOKUP($A518, My_Audit!$A:$A, My_Audit!P:P, ""),
    _xlfn.TEXTJOIN(", ", TRUE, _xlpm.MyAuditVal, _xlpm.MacVal, _xlpm.CSVVal)
)</f>
        <v/>
      </c>
      <c r="P518" s="40" t="str" cm="1">
        <f t="array" ref="P518">IFERROR(_xlfn.LET(
_xlpm.CSVVal,_xlfn.XLOOKUP($A518,CSV!$A:$A,CSV!AB:AB,""),
_xlpm.MacVal,_xlfn.XLOOKUP($A518,Output_Mac!$A:$A,Output_Mac!T:T,""),
_xlpm.MyAuditVal,_xlfn.XLOOKUP($A518,My_Audit!$A:$A,My_Audit!Q:Q,""),
_xlfn.IFS(_xlpm.MyAuditVal&lt;&gt;"",UPPER(_xlpm.MyAuditVal),_xlpm.MacVal&lt;&gt;"",_xlpm.MacVal,_xlpm.CSVVal&lt;&gt;"",_xlpm.CSVVal
)),"No")</f>
        <v>No</v>
      </c>
      <c r="Q518" s="40" t="str" cm="1">
        <f t="array" ref="Q518">IFERROR(_xlfn.LET(
_xlpm.CSVVal,_xlfn.XLOOKUP($A518,CSV!$A:$A,CSV!AC:AC,""),
_xlpm.MacVal,_xlfn.XLOOKUP($A518,Output_Mac!$A:$A,Output_Mac!U:U,""),
_xlpm.MyAuditVal,_xlfn.XLOOKUP($A518,My_Audit!$A:$A,My_Audit!R:R,""),
_xlfn.IFS(_xlpm.MyAuditVal&lt;&gt;"",UPPER(_xlpm.MyAuditVal),_xlpm.MacVal&lt;&gt;"",_xlpm.MacVal,_xlpm.CSVVal&lt;&gt;"",_xlpm.CSVVal
)),"")</f>
        <v/>
      </c>
      <c r="R518" s="40"/>
      <c r="S518" s="40"/>
      <c r="T518" s="40"/>
      <c r="U518" s="40"/>
      <c r="V518" s="40"/>
      <c r="W518" s="40"/>
      <c r="X518" s="41" t="str">
        <f>_xlfn.LET(
    _xlpm.MacVal, _xlfn.XLOOKUP($A518, Output_Mac!$A:$A, Output_Mac!AB:AB, ""),
    _xlpm.MyAuditVal, _xlfn.XLOOKUP($A518, My_Audit!$A:$A, My_Audit!N:N, ""),
    _xlfn.TEXTJOIN(", ", TRUE, _xlpm.MyAuditVal, _xlpm.MacVal)
)</f>
        <v/>
      </c>
    </row>
    <row r="519" spans="1:24">
      <c r="A519" s="40" t="str">
        <f>_xlfn.TEXTJOIN("",TRUE,Input!$B$2,ROW(My_Audit!A518))</f>
        <v>X518</v>
      </c>
      <c r="B519" s="40" t="str">
        <f>_xlfn.TEXTJOIN("-",TRUE,"ITD",Input!$A$2,A519)</f>
        <v>ITD-X518</v>
      </c>
      <c r="C519" s="40" t="str" cm="1">
        <f t="array" ref="C519">IFERROR(_xlfn.LET(
_xlpm.CSVVal,_xlfn.XLOOKUP($A519,CSV!$A:$A,CSV!B:B,""),
_xlpm.MacVal,_xlfn.XLOOKUP($A519,Output_Mac!$A:$A,Output_Mac!B:B,""),
_xlpm.MyAuditVal,_xlfn.XLOOKUP($A519,My_Audit!$A:$A,My_Audit!B:B,""),
_xlfn.IFS(_xlpm.MyAuditVal&lt;&gt;"",UPPER(_xlpm.MyAuditVal),_xlpm.MacVal&lt;&gt;"",_xlpm.MacVal,_xlpm.CSVVal&lt;&gt;"",_xlpm.CSVVal
)),"")</f>
        <v/>
      </c>
      <c r="D519" s="40" t="str" cm="1">
        <f t="array" ref="D519">IFERROR(_xlfn.LET(
_xlpm.CSVVal,_xlfn.XLOOKUP($A519,CSV!$A:$A,CSV!D:D,""),
_xlpm.MacVal,_xlfn.XLOOKUP($A519,Output_Mac!$A:$A,Output_Mac!C:C,""),
_xlpm.MyAuditVal,_xlfn.XLOOKUP($A519,My_Audit!$A:$A,My_Audit!C:C,""),
_xlfn.IFS(_xlpm.MyAuditVal&lt;&gt;"",_xlpm.MyAuditVal,_xlpm.MacVal&lt;&gt;"",_xlpm.MacVal,_xlpm.CSVVal&lt;&gt;"",_xlpm.CSVVal
)),"")</f>
        <v/>
      </c>
      <c r="E519" s="40" t="str">
        <f>_xlfn.XLOOKUP(A519,My_Audit!A:A,My_Audit!D:D,"")</f>
        <v/>
      </c>
      <c r="F519" s="40" t="str" cm="1">
        <f t="array" ref="F519">IFERROR(_xlfn.LET(
_xlpm.CSVVal,_xlfn.XLOOKUP($A519,CSV!$A:$A,CSV!F:F,""),
_xlpm.MacVal,_xlfn.XLOOKUP($A519,Output_Mac!$A:$A,Output_Mac!E:E,""),
_xlpm.MyAuditVal,_xlfn.XLOOKUP($A519,My_Audit!$A:$A,My_Audit!E:E,""),
_xlfn.IFS(_xlpm.MyAuditVal&lt;&gt;"",_xlpm.MyAuditVal,_xlpm.MacVal&lt;&gt;"",_xlpm.MacVal,_xlpm.CSVVal&lt;&gt;"",_xlpm.CSVVal
)),"")</f>
        <v/>
      </c>
      <c r="G519" s="40" t="str" cm="1">
        <f t="array" ref="G519">IFERROR(_xlfn.LET(
_xlpm.CSVVal,_xlfn.XLOOKUP($A519,CSV!$A:$A,CSV!G:G,""),
_xlpm.MacVal,_xlfn.XLOOKUP($A519,Output_Mac!$A:$A,Output_Mac!F:F,""),
_xlpm.MyAuditVal,_xlfn.XLOOKUP($A519,My_Audit!$A:$A,My_Audit!F:F,""),
_xlfn.IFS(_xlpm.MyAuditVal&lt;&gt;"",_xlpm.MyAuditVal,_xlpm.MacVal&lt;&gt;"",_xlpm.MacVal,_xlpm.CSVVal&lt;&gt;"",PROPER(_xlpm.CSVVal)
)),"")</f>
        <v/>
      </c>
      <c r="H519" s="40" t="str" cm="1">
        <f t="array" ref="H519">IFERROR(_xlfn.LET(
_xlpm.CSVVal,_xlfn.XLOOKUP($A519,CSV!$A:$A,CSV!H:H,""),
_xlpm.MacVal,_xlfn.XLOOKUP($A519,Output_Mac!$A:$A,Output_Mac!H:H,""),
_xlpm.MyAuditVal,_xlfn.XLOOKUP($A519,My_Audit!$A:$A,My_Audit!G:G,""),
_xlfn.IFS(_xlpm.MyAuditVal&lt;&gt;"",_xlpm.MyAuditVal,_xlpm.MacVal&lt;&gt;"",_xlpm.MacVal,_xlpm.CSVVal&lt;&gt;"",_xlpm.CSVVal
)),"")</f>
        <v/>
      </c>
      <c r="I519" s="40" t="str">
        <f>_xlfn.XLOOKUP(A519,Output_Mac!A:A,Output_Mac!I:I,"")</f>
        <v/>
      </c>
      <c r="J519" s="40" t="str" cm="1">
        <f t="array" ref="J519">IFERROR(_xlfn.LET(
_xlpm.CSVVal,_xlfn.XLOOKUP($A519,CSV!$A:$A,CSV!I:I,""),
_xlpm.MacVal,_xlfn.XLOOKUP($A519,Output_Mac!$A:$A,Output_Mac!J:J,""),
_xlpm.MyAuditVal,_xlfn.XLOOKUP($A519,My_Audit!$A:$A,My_Audit!I:I,""),
_xlfn.IFS(_xlpm.MyAuditVal&lt;&gt;"",UPPER(_xlpm.MyAuditVal),_xlpm.MacVal&lt;&gt;"",_xlpm.MacVal,_xlpm.CSVVal&lt;&gt;"",_xlpm.CSVVal
)),"")</f>
        <v/>
      </c>
      <c r="K519" s="40" t="str" cm="1">
        <f t="array" ref="K519">IFERROR(_xlfn.LET(
_xlpm.CSVVal,_xlfn.XLOOKUP($A519,CSV!$A:$A,CSV!K:K,""),
_xlpm.MacVal,_xlfn.XLOOKUP($A519,Output_Mac!$A:$A,Output_Mac!K:K,""),
_xlpm.MyAuditVal,_xlfn.XLOOKUP($A519,My_Audit!$A:$A,My_Audit!J:J,""),
_xlfn.IFS(_xlpm.MyAuditVal&lt;&gt;"",UPPER(_xlpm.MyAuditVal),_xlpm.MacVal&lt;&gt;"",_xlpm.MacVal,_xlpm.CSVVal&lt;&gt;"",_xlpm.CSVVal
)),"")</f>
        <v/>
      </c>
      <c r="L519" s="40" t="str" cm="1">
        <f t="array" ref="L519">IFERROR(_xlfn.LET(
_xlpm.CSVVal,_xlfn.XLOOKUP($A519,CSV!$A:$A,CSV!P:P,""),
_xlpm.MacVal,_xlfn.XLOOKUP($A519,Output_Mac!$A:$A,Output_Mac!L:L,""),
_xlpm.MyAuditVal,_xlfn.XLOOKUP($A519,My_Audit!$A:$A,My_Audit!K:K,""),
_xlfn.IFS(_xlpm.MyAuditVal&lt;&gt;"",UPPER(_xlpm.MyAuditVal),_xlpm.MacVal&lt;&gt;"",_xlpm.MacVal,_xlpm.CSVVal&lt;&gt;"",_xlpm.CSVVal
)),"")</f>
        <v/>
      </c>
      <c r="M519" s="40" t="str" cm="1">
        <f t="array" ref="M519">IFERROR(_xlfn.LET(
_xlpm.CSVVal,_xlfn.XLOOKUP($A519,CSV!$A:$A,CSV!Q:Q,""),
_xlpm.MacVal,_xlfn.XLOOKUP($A519,Output_Mac!$A:$A,Output_Mac!M:M,""),
_xlpm.MyAuditVal,_xlfn.XLOOKUP($A519,My_Audit!$A:$A,My_Audit!L:L,""),
_xlfn.IFS(_xlpm.MyAuditVal&lt;&gt;"",UPPER(_xlpm.MyAuditVal),_xlpm.MacVal&lt;&gt;"",_xlpm.MacVal,_xlpm.CSVVal&lt;&gt;"",_xlpm.CSVVal
)),"")</f>
        <v/>
      </c>
      <c r="N519" s="40"/>
      <c r="O519" s="40" t="str">
        <f>_xlfn.LET(
    _xlpm.CSVVal, _xlfn.XLOOKUP($A519, CSV!$A:$A, CSV!AA:AA, ""),
    _xlpm.MacVal, _xlfn.XLOOKUP($A519, Output_Mac!$A:$A, Output_Mac!S:S, ""),
    _xlpm.MyAuditVal, _xlfn.XLOOKUP($A519, My_Audit!$A:$A, My_Audit!P:P, ""),
    _xlfn.TEXTJOIN(", ", TRUE, _xlpm.MyAuditVal, _xlpm.MacVal, _xlpm.CSVVal)
)</f>
        <v/>
      </c>
      <c r="P519" s="40" t="str" cm="1">
        <f t="array" ref="P519">IFERROR(_xlfn.LET(
_xlpm.CSVVal,_xlfn.XLOOKUP($A519,CSV!$A:$A,CSV!AB:AB,""),
_xlpm.MacVal,_xlfn.XLOOKUP($A519,Output_Mac!$A:$A,Output_Mac!T:T,""),
_xlpm.MyAuditVal,_xlfn.XLOOKUP($A519,My_Audit!$A:$A,My_Audit!Q:Q,""),
_xlfn.IFS(_xlpm.MyAuditVal&lt;&gt;"",UPPER(_xlpm.MyAuditVal),_xlpm.MacVal&lt;&gt;"",_xlpm.MacVal,_xlpm.CSVVal&lt;&gt;"",_xlpm.CSVVal
)),"No")</f>
        <v>No</v>
      </c>
      <c r="Q519" s="40" t="str" cm="1">
        <f t="array" ref="Q519">IFERROR(_xlfn.LET(
_xlpm.CSVVal,_xlfn.XLOOKUP($A519,CSV!$A:$A,CSV!AC:AC,""),
_xlpm.MacVal,_xlfn.XLOOKUP($A519,Output_Mac!$A:$A,Output_Mac!U:U,""),
_xlpm.MyAuditVal,_xlfn.XLOOKUP($A519,My_Audit!$A:$A,My_Audit!R:R,""),
_xlfn.IFS(_xlpm.MyAuditVal&lt;&gt;"",UPPER(_xlpm.MyAuditVal),_xlpm.MacVal&lt;&gt;"",_xlpm.MacVal,_xlpm.CSVVal&lt;&gt;"",_xlpm.CSVVal
)),"")</f>
        <v/>
      </c>
      <c r="R519" s="40"/>
      <c r="S519" s="40"/>
      <c r="T519" s="40"/>
      <c r="U519" s="40"/>
      <c r="V519" s="40"/>
      <c r="W519" s="40"/>
      <c r="X519" s="41" t="str">
        <f>_xlfn.LET(
    _xlpm.MacVal, _xlfn.XLOOKUP($A519, Output_Mac!$A:$A, Output_Mac!AB:AB, ""),
    _xlpm.MyAuditVal, _xlfn.XLOOKUP($A519, My_Audit!$A:$A, My_Audit!N:N, ""),
    _xlfn.TEXTJOIN(", ", TRUE, _xlpm.MyAuditVal, _xlpm.MacVal)
)</f>
        <v/>
      </c>
    </row>
    <row r="520" spans="1:24">
      <c r="A520" s="40" t="str">
        <f>_xlfn.TEXTJOIN("",TRUE,Input!$B$2,ROW(My_Audit!A519))</f>
        <v>X519</v>
      </c>
      <c r="B520" s="40" t="str">
        <f>_xlfn.TEXTJOIN("-",TRUE,"ITD",Input!$A$2,A520)</f>
        <v>ITD-X519</v>
      </c>
      <c r="C520" s="40" t="str" cm="1">
        <f t="array" ref="C520">IFERROR(_xlfn.LET(
_xlpm.CSVVal,_xlfn.XLOOKUP($A520,CSV!$A:$A,CSV!B:B,""),
_xlpm.MacVal,_xlfn.XLOOKUP($A520,Output_Mac!$A:$A,Output_Mac!B:B,""),
_xlpm.MyAuditVal,_xlfn.XLOOKUP($A520,My_Audit!$A:$A,My_Audit!B:B,""),
_xlfn.IFS(_xlpm.MyAuditVal&lt;&gt;"",UPPER(_xlpm.MyAuditVal),_xlpm.MacVal&lt;&gt;"",_xlpm.MacVal,_xlpm.CSVVal&lt;&gt;"",_xlpm.CSVVal
)),"")</f>
        <v/>
      </c>
      <c r="D520" s="40" t="str" cm="1">
        <f t="array" ref="D520">IFERROR(_xlfn.LET(
_xlpm.CSVVal,_xlfn.XLOOKUP($A520,CSV!$A:$A,CSV!D:D,""),
_xlpm.MacVal,_xlfn.XLOOKUP($A520,Output_Mac!$A:$A,Output_Mac!C:C,""),
_xlpm.MyAuditVal,_xlfn.XLOOKUP($A520,My_Audit!$A:$A,My_Audit!C:C,""),
_xlfn.IFS(_xlpm.MyAuditVal&lt;&gt;"",_xlpm.MyAuditVal,_xlpm.MacVal&lt;&gt;"",_xlpm.MacVal,_xlpm.CSVVal&lt;&gt;"",_xlpm.CSVVal
)),"")</f>
        <v/>
      </c>
      <c r="E520" s="40" t="str">
        <f>_xlfn.XLOOKUP(A520,My_Audit!A:A,My_Audit!D:D,"")</f>
        <v/>
      </c>
      <c r="F520" s="40" t="str" cm="1">
        <f t="array" ref="F520">IFERROR(_xlfn.LET(
_xlpm.CSVVal,_xlfn.XLOOKUP($A520,CSV!$A:$A,CSV!F:F,""),
_xlpm.MacVal,_xlfn.XLOOKUP($A520,Output_Mac!$A:$A,Output_Mac!E:E,""),
_xlpm.MyAuditVal,_xlfn.XLOOKUP($A520,My_Audit!$A:$A,My_Audit!E:E,""),
_xlfn.IFS(_xlpm.MyAuditVal&lt;&gt;"",_xlpm.MyAuditVal,_xlpm.MacVal&lt;&gt;"",_xlpm.MacVal,_xlpm.CSVVal&lt;&gt;"",_xlpm.CSVVal
)),"")</f>
        <v/>
      </c>
      <c r="G520" s="40" t="str" cm="1">
        <f t="array" ref="G520">IFERROR(_xlfn.LET(
_xlpm.CSVVal,_xlfn.XLOOKUP($A520,CSV!$A:$A,CSV!G:G,""),
_xlpm.MacVal,_xlfn.XLOOKUP($A520,Output_Mac!$A:$A,Output_Mac!F:F,""),
_xlpm.MyAuditVal,_xlfn.XLOOKUP($A520,My_Audit!$A:$A,My_Audit!F:F,""),
_xlfn.IFS(_xlpm.MyAuditVal&lt;&gt;"",_xlpm.MyAuditVal,_xlpm.MacVal&lt;&gt;"",_xlpm.MacVal,_xlpm.CSVVal&lt;&gt;"",PROPER(_xlpm.CSVVal)
)),"")</f>
        <v/>
      </c>
      <c r="H520" s="40" t="str" cm="1">
        <f t="array" ref="H520">IFERROR(_xlfn.LET(
_xlpm.CSVVal,_xlfn.XLOOKUP($A520,CSV!$A:$A,CSV!H:H,""),
_xlpm.MacVal,_xlfn.XLOOKUP($A520,Output_Mac!$A:$A,Output_Mac!H:H,""),
_xlpm.MyAuditVal,_xlfn.XLOOKUP($A520,My_Audit!$A:$A,My_Audit!G:G,""),
_xlfn.IFS(_xlpm.MyAuditVal&lt;&gt;"",_xlpm.MyAuditVal,_xlpm.MacVal&lt;&gt;"",_xlpm.MacVal,_xlpm.CSVVal&lt;&gt;"",_xlpm.CSVVal
)),"")</f>
        <v/>
      </c>
      <c r="I520" s="40" t="str">
        <f>_xlfn.XLOOKUP(A520,Output_Mac!A:A,Output_Mac!I:I,"")</f>
        <v/>
      </c>
      <c r="J520" s="40" t="str" cm="1">
        <f t="array" ref="J520">IFERROR(_xlfn.LET(
_xlpm.CSVVal,_xlfn.XLOOKUP($A520,CSV!$A:$A,CSV!I:I,""),
_xlpm.MacVal,_xlfn.XLOOKUP($A520,Output_Mac!$A:$A,Output_Mac!J:J,""),
_xlpm.MyAuditVal,_xlfn.XLOOKUP($A520,My_Audit!$A:$A,My_Audit!I:I,""),
_xlfn.IFS(_xlpm.MyAuditVal&lt;&gt;"",UPPER(_xlpm.MyAuditVal),_xlpm.MacVal&lt;&gt;"",_xlpm.MacVal,_xlpm.CSVVal&lt;&gt;"",_xlpm.CSVVal
)),"")</f>
        <v/>
      </c>
      <c r="K520" s="40" t="str" cm="1">
        <f t="array" ref="K520">IFERROR(_xlfn.LET(
_xlpm.CSVVal,_xlfn.XLOOKUP($A520,CSV!$A:$A,CSV!K:K,""),
_xlpm.MacVal,_xlfn.XLOOKUP($A520,Output_Mac!$A:$A,Output_Mac!K:K,""),
_xlpm.MyAuditVal,_xlfn.XLOOKUP($A520,My_Audit!$A:$A,My_Audit!J:J,""),
_xlfn.IFS(_xlpm.MyAuditVal&lt;&gt;"",UPPER(_xlpm.MyAuditVal),_xlpm.MacVal&lt;&gt;"",_xlpm.MacVal,_xlpm.CSVVal&lt;&gt;"",_xlpm.CSVVal
)),"")</f>
        <v/>
      </c>
      <c r="L520" s="40" t="str" cm="1">
        <f t="array" ref="L520">IFERROR(_xlfn.LET(
_xlpm.CSVVal,_xlfn.XLOOKUP($A520,CSV!$A:$A,CSV!P:P,""),
_xlpm.MacVal,_xlfn.XLOOKUP($A520,Output_Mac!$A:$A,Output_Mac!L:L,""),
_xlpm.MyAuditVal,_xlfn.XLOOKUP($A520,My_Audit!$A:$A,My_Audit!K:K,""),
_xlfn.IFS(_xlpm.MyAuditVal&lt;&gt;"",UPPER(_xlpm.MyAuditVal),_xlpm.MacVal&lt;&gt;"",_xlpm.MacVal,_xlpm.CSVVal&lt;&gt;"",_xlpm.CSVVal
)),"")</f>
        <v/>
      </c>
      <c r="M520" s="40" t="str" cm="1">
        <f t="array" ref="M520">IFERROR(_xlfn.LET(
_xlpm.CSVVal,_xlfn.XLOOKUP($A520,CSV!$A:$A,CSV!Q:Q,""),
_xlpm.MacVal,_xlfn.XLOOKUP($A520,Output_Mac!$A:$A,Output_Mac!M:M,""),
_xlpm.MyAuditVal,_xlfn.XLOOKUP($A520,My_Audit!$A:$A,My_Audit!L:L,""),
_xlfn.IFS(_xlpm.MyAuditVal&lt;&gt;"",UPPER(_xlpm.MyAuditVal),_xlpm.MacVal&lt;&gt;"",_xlpm.MacVal,_xlpm.CSVVal&lt;&gt;"",_xlpm.CSVVal
)),"")</f>
        <v/>
      </c>
      <c r="N520" s="40"/>
      <c r="O520" s="40" t="str">
        <f>_xlfn.LET(
    _xlpm.CSVVal, _xlfn.XLOOKUP($A520, CSV!$A:$A, CSV!AA:AA, ""),
    _xlpm.MacVal, _xlfn.XLOOKUP($A520, Output_Mac!$A:$A, Output_Mac!S:S, ""),
    _xlpm.MyAuditVal, _xlfn.XLOOKUP($A520, My_Audit!$A:$A, My_Audit!P:P, ""),
    _xlfn.TEXTJOIN(", ", TRUE, _xlpm.MyAuditVal, _xlpm.MacVal, _xlpm.CSVVal)
)</f>
        <v/>
      </c>
      <c r="P520" s="40" t="str" cm="1">
        <f t="array" ref="P520">IFERROR(_xlfn.LET(
_xlpm.CSVVal,_xlfn.XLOOKUP($A520,CSV!$A:$A,CSV!AB:AB,""),
_xlpm.MacVal,_xlfn.XLOOKUP($A520,Output_Mac!$A:$A,Output_Mac!T:T,""),
_xlpm.MyAuditVal,_xlfn.XLOOKUP($A520,My_Audit!$A:$A,My_Audit!Q:Q,""),
_xlfn.IFS(_xlpm.MyAuditVal&lt;&gt;"",UPPER(_xlpm.MyAuditVal),_xlpm.MacVal&lt;&gt;"",_xlpm.MacVal,_xlpm.CSVVal&lt;&gt;"",_xlpm.CSVVal
)),"No")</f>
        <v>No</v>
      </c>
      <c r="Q520" s="40" t="str" cm="1">
        <f t="array" ref="Q520">IFERROR(_xlfn.LET(
_xlpm.CSVVal,_xlfn.XLOOKUP($A520,CSV!$A:$A,CSV!AC:AC,""),
_xlpm.MacVal,_xlfn.XLOOKUP($A520,Output_Mac!$A:$A,Output_Mac!U:U,""),
_xlpm.MyAuditVal,_xlfn.XLOOKUP($A520,My_Audit!$A:$A,My_Audit!R:R,""),
_xlfn.IFS(_xlpm.MyAuditVal&lt;&gt;"",UPPER(_xlpm.MyAuditVal),_xlpm.MacVal&lt;&gt;"",_xlpm.MacVal,_xlpm.CSVVal&lt;&gt;"",_xlpm.CSVVal
)),"")</f>
        <v/>
      </c>
      <c r="R520" s="40"/>
      <c r="S520" s="40"/>
      <c r="T520" s="40"/>
      <c r="U520" s="40"/>
      <c r="V520" s="40"/>
      <c r="W520" s="40"/>
      <c r="X520" s="41" t="str">
        <f>_xlfn.LET(
    _xlpm.MacVal, _xlfn.XLOOKUP($A520, Output_Mac!$A:$A, Output_Mac!AB:AB, ""),
    _xlpm.MyAuditVal, _xlfn.XLOOKUP($A520, My_Audit!$A:$A, My_Audit!N:N, ""),
    _xlfn.TEXTJOIN(", ", TRUE, _xlpm.MyAuditVal, _xlpm.MacVal)
)</f>
        <v/>
      </c>
    </row>
    <row r="521" spans="1:24">
      <c r="A521" s="40" t="str">
        <f>_xlfn.TEXTJOIN("",TRUE,Input!$B$2,ROW(My_Audit!A520))</f>
        <v>X520</v>
      </c>
      <c r="B521" s="40" t="str">
        <f>_xlfn.TEXTJOIN("-",TRUE,"ITD",Input!$A$2,A521)</f>
        <v>ITD-X520</v>
      </c>
      <c r="C521" s="40" t="str" cm="1">
        <f t="array" ref="C521">IFERROR(_xlfn.LET(
_xlpm.CSVVal,_xlfn.XLOOKUP($A521,CSV!$A:$A,CSV!B:B,""),
_xlpm.MacVal,_xlfn.XLOOKUP($A521,Output_Mac!$A:$A,Output_Mac!B:B,""),
_xlpm.MyAuditVal,_xlfn.XLOOKUP($A521,My_Audit!$A:$A,My_Audit!B:B,""),
_xlfn.IFS(_xlpm.MyAuditVal&lt;&gt;"",UPPER(_xlpm.MyAuditVal),_xlpm.MacVal&lt;&gt;"",_xlpm.MacVal,_xlpm.CSVVal&lt;&gt;"",_xlpm.CSVVal
)),"")</f>
        <v/>
      </c>
      <c r="D521" s="40" t="str" cm="1">
        <f t="array" ref="D521">IFERROR(_xlfn.LET(
_xlpm.CSVVal,_xlfn.XLOOKUP($A521,CSV!$A:$A,CSV!D:D,""),
_xlpm.MacVal,_xlfn.XLOOKUP($A521,Output_Mac!$A:$A,Output_Mac!C:C,""),
_xlpm.MyAuditVal,_xlfn.XLOOKUP($A521,My_Audit!$A:$A,My_Audit!C:C,""),
_xlfn.IFS(_xlpm.MyAuditVal&lt;&gt;"",_xlpm.MyAuditVal,_xlpm.MacVal&lt;&gt;"",_xlpm.MacVal,_xlpm.CSVVal&lt;&gt;"",_xlpm.CSVVal
)),"")</f>
        <v/>
      </c>
      <c r="E521" s="40" t="str">
        <f>_xlfn.XLOOKUP(A521,My_Audit!A:A,My_Audit!D:D,"")</f>
        <v/>
      </c>
      <c r="F521" s="40" t="str" cm="1">
        <f t="array" ref="F521">IFERROR(_xlfn.LET(
_xlpm.CSVVal,_xlfn.XLOOKUP($A521,CSV!$A:$A,CSV!F:F,""),
_xlpm.MacVal,_xlfn.XLOOKUP($A521,Output_Mac!$A:$A,Output_Mac!E:E,""),
_xlpm.MyAuditVal,_xlfn.XLOOKUP($A521,My_Audit!$A:$A,My_Audit!E:E,""),
_xlfn.IFS(_xlpm.MyAuditVal&lt;&gt;"",_xlpm.MyAuditVal,_xlpm.MacVal&lt;&gt;"",_xlpm.MacVal,_xlpm.CSVVal&lt;&gt;"",_xlpm.CSVVal
)),"")</f>
        <v/>
      </c>
      <c r="G521" s="40" t="str" cm="1">
        <f t="array" ref="G521">IFERROR(_xlfn.LET(
_xlpm.CSVVal,_xlfn.XLOOKUP($A521,CSV!$A:$A,CSV!G:G,""),
_xlpm.MacVal,_xlfn.XLOOKUP($A521,Output_Mac!$A:$A,Output_Mac!F:F,""),
_xlpm.MyAuditVal,_xlfn.XLOOKUP($A521,My_Audit!$A:$A,My_Audit!F:F,""),
_xlfn.IFS(_xlpm.MyAuditVal&lt;&gt;"",_xlpm.MyAuditVal,_xlpm.MacVal&lt;&gt;"",_xlpm.MacVal,_xlpm.CSVVal&lt;&gt;"",PROPER(_xlpm.CSVVal)
)),"")</f>
        <v/>
      </c>
      <c r="H521" s="40" t="str" cm="1">
        <f t="array" ref="H521">IFERROR(_xlfn.LET(
_xlpm.CSVVal,_xlfn.XLOOKUP($A521,CSV!$A:$A,CSV!H:H,""),
_xlpm.MacVal,_xlfn.XLOOKUP($A521,Output_Mac!$A:$A,Output_Mac!H:H,""),
_xlpm.MyAuditVal,_xlfn.XLOOKUP($A521,My_Audit!$A:$A,My_Audit!G:G,""),
_xlfn.IFS(_xlpm.MyAuditVal&lt;&gt;"",_xlpm.MyAuditVal,_xlpm.MacVal&lt;&gt;"",_xlpm.MacVal,_xlpm.CSVVal&lt;&gt;"",_xlpm.CSVVal
)),"")</f>
        <v/>
      </c>
      <c r="I521" s="40" t="str">
        <f>_xlfn.XLOOKUP(A521,Output_Mac!A:A,Output_Mac!I:I,"")</f>
        <v/>
      </c>
      <c r="J521" s="40" t="str" cm="1">
        <f t="array" ref="J521">IFERROR(_xlfn.LET(
_xlpm.CSVVal,_xlfn.XLOOKUP($A521,CSV!$A:$A,CSV!I:I,""),
_xlpm.MacVal,_xlfn.XLOOKUP($A521,Output_Mac!$A:$A,Output_Mac!J:J,""),
_xlpm.MyAuditVal,_xlfn.XLOOKUP($A521,My_Audit!$A:$A,My_Audit!I:I,""),
_xlfn.IFS(_xlpm.MyAuditVal&lt;&gt;"",UPPER(_xlpm.MyAuditVal),_xlpm.MacVal&lt;&gt;"",_xlpm.MacVal,_xlpm.CSVVal&lt;&gt;"",_xlpm.CSVVal
)),"")</f>
        <v/>
      </c>
      <c r="K521" s="40" t="str" cm="1">
        <f t="array" ref="K521">IFERROR(_xlfn.LET(
_xlpm.CSVVal,_xlfn.XLOOKUP($A521,CSV!$A:$A,CSV!K:K,""),
_xlpm.MacVal,_xlfn.XLOOKUP($A521,Output_Mac!$A:$A,Output_Mac!K:K,""),
_xlpm.MyAuditVal,_xlfn.XLOOKUP($A521,My_Audit!$A:$A,My_Audit!J:J,""),
_xlfn.IFS(_xlpm.MyAuditVal&lt;&gt;"",UPPER(_xlpm.MyAuditVal),_xlpm.MacVal&lt;&gt;"",_xlpm.MacVal,_xlpm.CSVVal&lt;&gt;"",_xlpm.CSVVal
)),"")</f>
        <v/>
      </c>
      <c r="L521" s="40" t="str" cm="1">
        <f t="array" ref="L521">IFERROR(_xlfn.LET(
_xlpm.CSVVal,_xlfn.XLOOKUP($A521,CSV!$A:$A,CSV!P:P,""),
_xlpm.MacVal,_xlfn.XLOOKUP($A521,Output_Mac!$A:$A,Output_Mac!L:L,""),
_xlpm.MyAuditVal,_xlfn.XLOOKUP($A521,My_Audit!$A:$A,My_Audit!K:K,""),
_xlfn.IFS(_xlpm.MyAuditVal&lt;&gt;"",UPPER(_xlpm.MyAuditVal),_xlpm.MacVal&lt;&gt;"",_xlpm.MacVal,_xlpm.CSVVal&lt;&gt;"",_xlpm.CSVVal
)),"")</f>
        <v/>
      </c>
      <c r="M521" s="40" t="str" cm="1">
        <f t="array" ref="M521">IFERROR(_xlfn.LET(
_xlpm.CSVVal,_xlfn.XLOOKUP($A521,CSV!$A:$A,CSV!Q:Q,""),
_xlpm.MacVal,_xlfn.XLOOKUP($A521,Output_Mac!$A:$A,Output_Mac!M:M,""),
_xlpm.MyAuditVal,_xlfn.XLOOKUP($A521,My_Audit!$A:$A,My_Audit!L:L,""),
_xlfn.IFS(_xlpm.MyAuditVal&lt;&gt;"",UPPER(_xlpm.MyAuditVal),_xlpm.MacVal&lt;&gt;"",_xlpm.MacVal,_xlpm.CSVVal&lt;&gt;"",_xlpm.CSVVal
)),"")</f>
        <v/>
      </c>
      <c r="N521" s="40"/>
      <c r="O521" s="40" t="str">
        <f>_xlfn.LET(
    _xlpm.CSVVal, _xlfn.XLOOKUP($A521, CSV!$A:$A, CSV!AA:AA, ""),
    _xlpm.MacVal, _xlfn.XLOOKUP($A521, Output_Mac!$A:$A, Output_Mac!S:S, ""),
    _xlpm.MyAuditVal, _xlfn.XLOOKUP($A521, My_Audit!$A:$A, My_Audit!P:P, ""),
    _xlfn.TEXTJOIN(", ", TRUE, _xlpm.MyAuditVal, _xlpm.MacVal, _xlpm.CSVVal)
)</f>
        <v/>
      </c>
      <c r="P521" s="40" t="str" cm="1">
        <f t="array" ref="P521">IFERROR(_xlfn.LET(
_xlpm.CSVVal,_xlfn.XLOOKUP($A521,CSV!$A:$A,CSV!AB:AB,""),
_xlpm.MacVal,_xlfn.XLOOKUP($A521,Output_Mac!$A:$A,Output_Mac!T:T,""),
_xlpm.MyAuditVal,_xlfn.XLOOKUP($A521,My_Audit!$A:$A,My_Audit!Q:Q,""),
_xlfn.IFS(_xlpm.MyAuditVal&lt;&gt;"",UPPER(_xlpm.MyAuditVal),_xlpm.MacVal&lt;&gt;"",_xlpm.MacVal,_xlpm.CSVVal&lt;&gt;"",_xlpm.CSVVal
)),"No")</f>
        <v>No</v>
      </c>
      <c r="Q521" s="40" t="str" cm="1">
        <f t="array" ref="Q521">IFERROR(_xlfn.LET(
_xlpm.CSVVal,_xlfn.XLOOKUP($A521,CSV!$A:$A,CSV!AC:AC,""),
_xlpm.MacVal,_xlfn.XLOOKUP($A521,Output_Mac!$A:$A,Output_Mac!U:U,""),
_xlpm.MyAuditVal,_xlfn.XLOOKUP($A521,My_Audit!$A:$A,My_Audit!R:R,""),
_xlfn.IFS(_xlpm.MyAuditVal&lt;&gt;"",UPPER(_xlpm.MyAuditVal),_xlpm.MacVal&lt;&gt;"",_xlpm.MacVal,_xlpm.CSVVal&lt;&gt;"",_xlpm.CSVVal
)),"")</f>
        <v/>
      </c>
      <c r="R521" s="40"/>
      <c r="S521" s="40"/>
      <c r="T521" s="40"/>
      <c r="U521" s="40"/>
      <c r="V521" s="40"/>
      <c r="W521" s="40"/>
      <c r="X521" s="41" t="str">
        <f>_xlfn.LET(
    _xlpm.MacVal, _xlfn.XLOOKUP($A521, Output_Mac!$A:$A, Output_Mac!AB:AB, ""),
    _xlpm.MyAuditVal, _xlfn.XLOOKUP($A521, My_Audit!$A:$A, My_Audit!N:N, ""),
    _xlfn.TEXTJOIN(", ", TRUE, _xlpm.MyAuditVal, _xlpm.MacVal)
)</f>
        <v/>
      </c>
    </row>
    <row r="522" spans="1:24">
      <c r="A522" s="40" t="str">
        <f>_xlfn.TEXTJOIN("",TRUE,Input!$B$2,ROW(My_Audit!A521))</f>
        <v>X521</v>
      </c>
      <c r="B522" s="40" t="str">
        <f>_xlfn.TEXTJOIN("-",TRUE,"ITD",Input!$A$2,A522)</f>
        <v>ITD-X521</v>
      </c>
      <c r="C522" s="40" t="str" cm="1">
        <f t="array" ref="C522">IFERROR(_xlfn.LET(
_xlpm.CSVVal,_xlfn.XLOOKUP($A522,CSV!$A:$A,CSV!B:B,""),
_xlpm.MacVal,_xlfn.XLOOKUP($A522,Output_Mac!$A:$A,Output_Mac!B:B,""),
_xlpm.MyAuditVal,_xlfn.XLOOKUP($A522,My_Audit!$A:$A,My_Audit!B:B,""),
_xlfn.IFS(_xlpm.MyAuditVal&lt;&gt;"",UPPER(_xlpm.MyAuditVal),_xlpm.MacVal&lt;&gt;"",_xlpm.MacVal,_xlpm.CSVVal&lt;&gt;"",_xlpm.CSVVal
)),"")</f>
        <v/>
      </c>
      <c r="D522" s="40" t="str" cm="1">
        <f t="array" ref="D522">IFERROR(_xlfn.LET(
_xlpm.CSVVal,_xlfn.XLOOKUP($A522,CSV!$A:$A,CSV!D:D,""),
_xlpm.MacVal,_xlfn.XLOOKUP($A522,Output_Mac!$A:$A,Output_Mac!C:C,""),
_xlpm.MyAuditVal,_xlfn.XLOOKUP($A522,My_Audit!$A:$A,My_Audit!C:C,""),
_xlfn.IFS(_xlpm.MyAuditVal&lt;&gt;"",_xlpm.MyAuditVal,_xlpm.MacVal&lt;&gt;"",_xlpm.MacVal,_xlpm.CSVVal&lt;&gt;"",_xlpm.CSVVal
)),"")</f>
        <v/>
      </c>
      <c r="E522" s="40" t="str">
        <f>_xlfn.XLOOKUP(A522,My_Audit!A:A,My_Audit!D:D,"")</f>
        <v/>
      </c>
      <c r="F522" s="40" t="str" cm="1">
        <f t="array" ref="F522">IFERROR(_xlfn.LET(
_xlpm.CSVVal,_xlfn.XLOOKUP($A522,CSV!$A:$A,CSV!F:F,""),
_xlpm.MacVal,_xlfn.XLOOKUP($A522,Output_Mac!$A:$A,Output_Mac!E:E,""),
_xlpm.MyAuditVal,_xlfn.XLOOKUP($A522,My_Audit!$A:$A,My_Audit!E:E,""),
_xlfn.IFS(_xlpm.MyAuditVal&lt;&gt;"",_xlpm.MyAuditVal,_xlpm.MacVal&lt;&gt;"",_xlpm.MacVal,_xlpm.CSVVal&lt;&gt;"",_xlpm.CSVVal
)),"")</f>
        <v/>
      </c>
      <c r="G522" s="40" t="str" cm="1">
        <f t="array" ref="G522">IFERROR(_xlfn.LET(
_xlpm.CSVVal,_xlfn.XLOOKUP($A522,CSV!$A:$A,CSV!G:G,""),
_xlpm.MacVal,_xlfn.XLOOKUP($A522,Output_Mac!$A:$A,Output_Mac!F:F,""),
_xlpm.MyAuditVal,_xlfn.XLOOKUP($A522,My_Audit!$A:$A,My_Audit!F:F,""),
_xlfn.IFS(_xlpm.MyAuditVal&lt;&gt;"",_xlpm.MyAuditVal,_xlpm.MacVal&lt;&gt;"",_xlpm.MacVal,_xlpm.CSVVal&lt;&gt;"",PROPER(_xlpm.CSVVal)
)),"")</f>
        <v/>
      </c>
      <c r="H522" s="40" t="str" cm="1">
        <f t="array" ref="H522">IFERROR(_xlfn.LET(
_xlpm.CSVVal,_xlfn.XLOOKUP($A522,CSV!$A:$A,CSV!H:H,""),
_xlpm.MacVal,_xlfn.XLOOKUP($A522,Output_Mac!$A:$A,Output_Mac!H:H,""),
_xlpm.MyAuditVal,_xlfn.XLOOKUP($A522,My_Audit!$A:$A,My_Audit!G:G,""),
_xlfn.IFS(_xlpm.MyAuditVal&lt;&gt;"",_xlpm.MyAuditVal,_xlpm.MacVal&lt;&gt;"",_xlpm.MacVal,_xlpm.CSVVal&lt;&gt;"",_xlpm.CSVVal
)),"")</f>
        <v/>
      </c>
      <c r="I522" s="40" t="str">
        <f>_xlfn.XLOOKUP(A522,Output_Mac!A:A,Output_Mac!I:I,"")</f>
        <v/>
      </c>
      <c r="J522" s="40" t="str" cm="1">
        <f t="array" ref="J522">IFERROR(_xlfn.LET(
_xlpm.CSVVal,_xlfn.XLOOKUP($A522,CSV!$A:$A,CSV!I:I,""),
_xlpm.MacVal,_xlfn.XLOOKUP($A522,Output_Mac!$A:$A,Output_Mac!J:J,""),
_xlpm.MyAuditVal,_xlfn.XLOOKUP($A522,My_Audit!$A:$A,My_Audit!I:I,""),
_xlfn.IFS(_xlpm.MyAuditVal&lt;&gt;"",UPPER(_xlpm.MyAuditVal),_xlpm.MacVal&lt;&gt;"",_xlpm.MacVal,_xlpm.CSVVal&lt;&gt;"",_xlpm.CSVVal
)),"")</f>
        <v/>
      </c>
      <c r="K522" s="40" t="str" cm="1">
        <f t="array" ref="K522">IFERROR(_xlfn.LET(
_xlpm.CSVVal,_xlfn.XLOOKUP($A522,CSV!$A:$A,CSV!K:K,""),
_xlpm.MacVal,_xlfn.XLOOKUP($A522,Output_Mac!$A:$A,Output_Mac!K:K,""),
_xlpm.MyAuditVal,_xlfn.XLOOKUP($A522,My_Audit!$A:$A,My_Audit!J:J,""),
_xlfn.IFS(_xlpm.MyAuditVal&lt;&gt;"",UPPER(_xlpm.MyAuditVal),_xlpm.MacVal&lt;&gt;"",_xlpm.MacVal,_xlpm.CSVVal&lt;&gt;"",_xlpm.CSVVal
)),"")</f>
        <v/>
      </c>
      <c r="L522" s="40" t="str" cm="1">
        <f t="array" ref="L522">IFERROR(_xlfn.LET(
_xlpm.CSVVal,_xlfn.XLOOKUP($A522,CSV!$A:$A,CSV!P:P,""),
_xlpm.MacVal,_xlfn.XLOOKUP($A522,Output_Mac!$A:$A,Output_Mac!L:L,""),
_xlpm.MyAuditVal,_xlfn.XLOOKUP($A522,My_Audit!$A:$A,My_Audit!K:K,""),
_xlfn.IFS(_xlpm.MyAuditVal&lt;&gt;"",UPPER(_xlpm.MyAuditVal),_xlpm.MacVal&lt;&gt;"",_xlpm.MacVal,_xlpm.CSVVal&lt;&gt;"",_xlpm.CSVVal
)),"")</f>
        <v/>
      </c>
      <c r="M522" s="40" t="str" cm="1">
        <f t="array" ref="M522">IFERROR(_xlfn.LET(
_xlpm.CSVVal,_xlfn.XLOOKUP($A522,CSV!$A:$A,CSV!Q:Q,""),
_xlpm.MacVal,_xlfn.XLOOKUP($A522,Output_Mac!$A:$A,Output_Mac!M:M,""),
_xlpm.MyAuditVal,_xlfn.XLOOKUP($A522,My_Audit!$A:$A,My_Audit!L:L,""),
_xlfn.IFS(_xlpm.MyAuditVal&lt;&gt;"",UPPER(_xlpm.MyAuditVal),_xlpm.MacVal&lt;&gt;"",_xlpm.MacVal,_xlpm.CSVVal&lt;&gt;"",_xlpm.CSVVal
)),"")</f>
        <v/>
      </c>
      <c r="N522" s="40"/>
      <c r="O522" s="40" t="str">
        <f>_xlfn.LET(
    _xlpm.CSVVal, _xlfn.XLOOKUP($A522, CSV!$A:$A, CSV!AA:AA, ""),
    _xlpm.MacVal, _xlfn.XLOOKUP($A522, Output_Mac!$A:$A, Output_Mac!S:S, ""),
    _xlpm.MyAuditVal, _xlfn.XLOOKUP($A522, My_Audit!$A:$A, My_Audit!P:P, ""),
    _xlfn.TEXTJOIN(", ", TRUE, _xlpm.MyAuditVal, _xlpm.MacVal, _xlpm.CSVVal)
)</f>
        <v/>
      </c>
      <c r="P522" s="40" t="str" cm="1">
        <f t="array" ref="P522">IFERROR(_xlfn.LET(
_xlpm.CSVVal,_xlfn.XLOOKUP($A522,CSV!$A:$A,CSV!AB:AB,""),
_xlpm.MacVal,_xlfn.XLOOKUP($A522,Output_Mac!$A:$A,Output_Mac!T:T,""),
_xlpm.MyAuditVal,_xlfn.XLOOKUP($A522,My_Audit!$A:$A,My_Audit!Q:Q,""),
_xlfn.IFS(_xlpm.MyAuditVal&lt;&gt;"",UPPER(_xlpm.MyAuditVal),_xlpm.MacVal&lt;&gt;"",_xlpm.MacVal,_xlpm.CSVVal&lt;&gt;"",_xlpm.CSVVal
)),"No")</f>
        <v>No</v>
      </c>
      <c r="Q522" s="40" t="str" cm="1">
        <f t="array" ref="Q522">IFERROR(_xlfn.LET(
_xlpm.CSVVal,_xlfn.XLOOKUP($A522,CSV!$A:$A,CSV!AC:AC,""),
_xlpm.MacVal,_xlfn.XLOOKUP($A522,Output_Mac!$A:$A,Output_Mac!U:U,""),
_xlpm.MyAuditVal,_xlfn.XLOOKUP($A522,My_Audit!$A:$A,My_Audit!R:R,""),
_xlfn.IFS(_xlpm.MyAuditVal&lt;&gt;"",UPPER(_xlpm.MyAuditVal),_xlpm.MacVal&lt;&gt;"",_xlpm.MacVal,_xlpm.CSVVal&lt;&gt;"",_xlpm.CSVVal
)),"")</f>
        <v/>
      </c>
      <c r="R522" s="40"/>
      <c r="S522" s="40"/>
      <c r="T522" s="40"/>
      <c r="U522" s="40"/>
      <c r="V522" s="40"/>
      <c r="W522" s="40"/>
      <c r="X522" s="41" t="str">
        <f>_xlfn.LET(
    _xlpm.MacVal, _xlfn.XLOOKUP($A522, Output_Mac!$A:$A, Output_Mac!AB:AB, ""),
    _xlpm.MyAuditVal, _xlfn.XLOOKUP($A522, My_Audit!$A:$A, My_Audit!N:N, ""),
    _xlfn.TEXTJOIN(", ", TRUE, _xlpm.MyAuditVal, _xlpm.MacVal)
)</f>
        <v/>
      </c>
    </row>
    <row r="523" spans="1:24">
      <c r="A523" s="40" t="str">
        <f>_xlfn.TEXTJOIN("",TRUE,Input!$B$2,ROW(My_Audit!A522))</f>
        <v>X522</v>
      </c>
      <c r="B523" s="40" t="str">
        <f>_xlfn.TEXTJOIN("-",TRUE,"ITD",Input!$A$2,A523)</f>
        <v>ITD-X522</v>
      </c>
      <c r="C523" s="40" t="str" cm="1">
        <f t="array" ref="C523">IFERROR(_xlfn.LET(
_xlpm.CSVVal,_xlfn.XLOOKUP($A523,CSV!$A:$A,CSV!B:B,""),
_xlpm.MacVal,_xlfn.XLOOKUP($A523,Output_Mac!$A:$A,Output_Mac!B:B,""),
_xlpm.MyAuditVal,_xlfn.XLOOKUP($A523,My_Audit!$A:$A,My_Audit!B:B,""),
_xlfn.IFS(_xlpm.MyAuditVal&lt;&gt;"",UPPER(_xlpm.MyAuditVal),_xlpm.MacVal&lt;&gt;"",_xlpm.MacVal,_xlpm.CSVVal&lt;&gt;"",_xlpm.CSVVal
)),"")</f>
        <v/>
      </c>
      <c r="D523" s="40" t="str" cm="1">
        <f t="array" ref="D523">IFERROR(_xlfn.LET(
_xlpm.CSVVal,_xlfn.XLOOKUP($A523,CSV!$A:$A,CSV!D:D,""),
_xlpm.MacVal,_xlfn.XLOOKUP($A523,Output_Mac!$A:$A,Output_Mac!C:C,""),
_xlpm.MyAuditVal,_xlfn.XLOOKUP($A523,My_Audit!$A:$A,My_Audit!C:C,""),
_xlfn.IFS(_xlpm.MyAuditVal&lt;&gt;"",_xlpm.MyAuditVal,_xlpm.MacVal&lt;&gt;"",_xlpm.MacVal,_xlpm.CSVVal&lt;&gt;"",_xlpm.CSVVal
)),"")</f>
        <v/>
      </c>
      <c r="E523" s="40" t="str">
        <f>_xlfn.XLOOKUP(A523,My_Audit!A:A,My_Audit!D:D,"")</f>
        <v/>
      </c>
      <c r="F523" s="40" t="str" cm="1">
        <f t="array" ref="F523">IFERROR(_xlfn.LET(
_xlpm.CSVVal,_xlfn.XLOOKUP($A523,CSV!$A:$A,CSV!F:F,""),
_xlpm.MacVal,_xlfn.XLOOKUP($A523,Output_Mac!$A:$A,Output_Mac!E:E,""),
_xlpm.MyAuditVal,_xlfn.XLOOKUP($A523,My_Audit!$A:$A,My_Audit!E:E,""),
_xlfn.IFS(_xlpm.MyAuditVal&lt;&gt;"",_xlpm.MyAuditVal,_xlpm.MacVal&lt;&gt;"",_xlpm.MacVal,_xlpm.CSVVal&lt;&gt;"",_xlpm.CSVVal
)),"")</f>
        <v/>
      </c>
      <c r="G523" s="40" t="str" cm="1">
        <f t="array" ref="G523">IFERROR(_xlfn.LET(
_xlpm.CSVVal,_xlfn.XLOOKUP($A523,CSV!$A:$A,CSV!G:G,""),
_xlpm.MacVal,_xlfn.XLOOKUP($A523,Output_Mac!$A:$A,Output_Mac!F:F,""),
_xlpm.MyAuditVal,_xlfn.XLOOKUP($A523,My_Audit!$A:$A,My_Audit!F:F,""),
_xlfn.IFS(_xlpm.MyAuditVal&lt;&gt;"",_xlpm.MyAuditVal,_xlpm.MacVal&lt;&gt;"",_xlpm.MacVal,_xlpm.CSVVal&lt;&gt;"",PROPER(_xlpm.CSVVal)
)),"")</f>
        <v/>
      </c>
      <c r="H523" s="40" t="str" cm="1">
        <f t="array" ref="H523">IFERROR(_xlfn.LET(
_xlpm.CSVVal,_xlfn.XLOOKUP($A523,CSV!$A:$A,CSV!H:H,""),
_xlpm.MacVal,_xlfn.XLOOKUP($A523,Output_Mac!$A:$A,Output_Mac!H:H,""),
_xlpm.MyAuditVal,_xlfn.XLOOKUP($A523,My_Audit!$A:$A,My_Audit!G:G,""),
_xlfn.IFS(_xlpm.MyAuditVal&lt;&gt;"",_xlpm.MyAuditVal,_xlpm.MacVal&lt;&gt;"",_xlpm.MacVal,_xlpm.CSVVal&lt;&gt;"",_xlpm.CSVVal
)),"")</f>
        <v/>
      </c>
      <c r="I523" s="40" t="str">
        <f>_xlfn.XLOOKUP(A523,Output_Mac!A:A,Output_Mac!I:I,"")</f>
        <v/>
      </c>
      <c r="J523" s="40" t="str" cm="1">
        <f t="array" ref="J523">IFERROR(_xlfn.LET(
_xlpm.CSVVal,_xlfn.XLOOKUP($A523,CSV!$A:$A,CSV!I:I,""),
_xlpm.MacVal,_xlfn.XLOOKUP($A523,Output_Mac!$A:$A,Output_Mac!J:J,""),
_xlpm.MyAuditVal,_xlfn.XLOOKUP($A523,My_Audit!$A:$A,My_Audit!I:I,""),
_xlfn.IFS(_xlpm.MyAuditVal&lt;&gt;"",UPPER(_xlpm.MyAuditVal),_xlpm.MacVal&lt;&gt;"",_xlpm.MacVal,_xlpm.CSVVal&lt;&gt;"",_xlpm.CSVVal
)),"")</f>
        <v/>
      </c>
      <c r="K523" s="40" t="str" cm="1">
        <f t="array" ref="K523">IFERROR(_xlfn.LET(
_xlpm.CSVVal,_xlfn.XLOOKUP($A523,CSV!$A:$A,CSV!K:K,""),
_xlpm.MacVal,_xlfn.XLOOKUP($A523,Output_Mac!$A:$A,Output_Mac!K:K,""),
_xlpm.MyAuditVal,_xlfn.XLOOKUP($A523,My_Audit!$A:$A,My_Audit!J:J,""),
_xlfn.IFS(_xlpm.MyAuditVal&lt;&gt;"",UPPER(_xlpm.MyAuditVal),_xlpm.MacVal&lt;&gt;"",_xlpm.MacVal,_xlpm.CSVVal&lt;&gt;"",_xlpm.CSVVal
)),"")</f>
        <v/>
      </c>
      <c r="L523" s="40" t="str" cm="1">
        <f t="array" ref="L523">IFERROR(_xlfn.LET(
_xlpm.CSVVal,_xlfn.XLOOKUP($A523,CSV!$A:$A,CSV!P:P,""),
_xlpm.MacVal,_xlfn.XLOOKUP($A523,Output_Mac!$A:$A,Output_Mac!L:L,""),
_xlpm.MyAuditVal,_xlfn.XLOOKUP($A523,My_Audit!$A:$A,My_Audit!K:K,""),
_xlfn.IFS(_xlpm.MyAuditVal&lt;&gt;"",UPPER(_xlpm.MyAuditVal),_xlpm.MacVal&lt;&gt;"",_xlpm.MacVal,_xlpm.CSVVal&lt;&gt;"",_xlpm.CSVVal
)),"")</f>
        <v/>
      </c>
      <c r="M523" s="40" t="str" cm="1">
        <f t="array" ref="M523">IFERROR(_xlfn.LET(
_xlpm.CSVVal,_xlfn.XLOOKUP($A523,CSV!$A:$A,CSV!Q:Q,""),
_xlpm.MacVal,_xlfn.XLOOKUP($A523,Output_Mac!$A:$A,Output_Mac!M:M,""),
_xlpm.MyAuditVal,_xlfn.XLOOKUP($A523,My_Audit!$A:$A,My_Audit!L:L,""),
_xlfn.IFS(_xlpm.MyAuditVal&lt;&gt;"",UPPER(_xlpm.MyAuditVal),_xlpm.MacVal&lt;&gt;"",_xlpm.MacVal,_xlpm.CSVVal&lt;&gt;"",_xlpm.CSVVal
)),"")</f>
        <v/>
      </c>
      <c r="N523" s="40"/>
      <c r="O523" s="40" t="str">
        <f>_xlfn.LET(
    _xlpm.CSVVal, _xlfn.XLOOKUP($A523, CSV!$A:$A, CSV!AA:AA, ""),
    _xlpm.MacVal, _xlfn.XLOOKUP($A523, Output_Mac!$A:$A, Output_Mac!S:S, ""),
    _xlpm.MyAuditVal, _xlfn.XLOOKUP($A523, My_Audit!$A:$A, My_Audit!P:P, ""),
    _xlfn.TEXTJOIN(", ", TRUE, _xlpm.MyAuditVal, _xlpm.MacVal, _xlpm.CSVVal)
)</f>
        <v/>
      </c>
      <c r="P523" s="40" t="str" cm="1">
        <f t="array" ref="P523">IFERROR(_xlfn.LET(
_xlpm.CSVVal,_xlfn.XLOOKUP($A523,CSV!$A:$A,CSV!AB:AB,""),
_xlpm.MacVal,_xlfn.XLOOKUP($A523,Output_Mac!$A:$A,Output_Mac!T:T,""),
_xlpm.MyAuditVal,_xlfn.XLOOKUP($A523,My_Audit!$A:$A,My_Audit!Q:Q,""),
_xlfn.IFS(_xlpm.MyAuditVal&lt;&gt;"",UPPER(_xlpm.MyAuditVal),_xlpm.MacVal&lt;&gt;"",_xlpm.MacVal,_xlpm.CSVVal&lt;&gt;"",_xlpm.CSVVal
)),"No")</f>
        <v>No</v>
      </c>
      <c r="Q523" s="40" t="str" cm="1">
        <f t="array" ref="Q523">IFERROR(_xlfn.LET(
_xlpm.CSVVal,_xlfn.XLOOKUP($A523,CSV!$A:$A,CSV!AC:AC,""),
_xlpm.MacVal,_xlfn.XLOOKUP($A523,Output_Mac!$A:$A,Output_Mac!U:U,""),
_xlpm.MyAuditVal,_xlfn.XLOOKUP($A523,My_Audit!$A:$A,My_Audit!R:R,""),
_xlfn.IFS(_xlpm.MyAuditVal&lt;&gt;"",UPPER(_xlpm.MyAuditVal),_xlpm.MacVal&lt;&gt;"",_xlpm.MacVal,_xlpm.CSVVal&lt;&gt;"",_xlpm.CSVVal
)),"")</f>
        <v/>
      </c>
      <c r="R523" s="40"/>
      <c r="S523" s="40"/>
      <c r="T523" s="40"/>
      <c r="U523" s="40"/>
      <c r="V523" s="40"/>
      <c r="W523" s="40"/>
      <c r="X523" s="41" t="str">
        <f>_xlfn.LET(
    _xlpm.MacVal, _xlfn.XLOOKUP($A523, Output_Mac!$A:$A, Output_Mac!AB:AB, ""),
    _xlpm.MyAuditVal, _xlfn.XLOOKUP($A523, My_Audit!$A:$A, My_Audit!N:N, ""),
    _xlfn.TEXTJOIN(", ", TRUE, _xlpm.MyAuditVal, _xlpm.MacVal)
)</f>
        <v/>
      </c>
    </row>
    <row r="524" spans="1:24">
      <c r="A524" s="40" t="str">
        <f>_xlfn.TEXTJOIN("",TRUE,Input!$B$2,ROW(My_Audit!A523))</f>
        <v>X523</v>
      </c>
      <c r="B524" s="40" t="str">
        <f>_xlfn.TEXTJOIN("-",TRUE,"ITD",Input!$A$2,A524)</f>
        <v>ITD-X523</v>
      </c>
      <c r="C524" s="40" t="str" cm="1">
        <f t="array" ref="C524">IFERROR(_xlfn.LET(
_xlpm.CSVVal,_xlfn.XLOOKUP($A524,CSV!$A:$A,CSV!B:B,""),
_xlpm.MacVal,_xlfn.XLOOKUP($A524,Output_Mac!$A:$A,Output_Mac!B:B,""),
_xlpm.MyAuditVal,_xlfn.XLOOKUP($A524,My_Audit!$A:$A,My_Audit!B:B,""),
_xlfn.IFS(_xlpm.MyAuditVal&lt;&gt;"",UPPER(_xlpm.MyAuditVal),_xlpm.MacVal&lt;&gt;"",_xlpm.MacVal,_xlpm.CSVVal&lt;&gt;"",_xlpm.CSVVal
)),"")</f>
        <v/>
      </c>
      <c r="D524" s="40" t="str" cm="1">
        <f t="array" ref="D524">IFERROR(_xlfn.LET(
_xlpm.CSVVal,_xlfn.XLOOKUP($A524,CSV!$A:$A,CSV!D:D,""),
_xlpm.MacVal,_xlfn.XLOOKUP($A524,Output_Mac!$A:$A,Output_Mac!C:C,""),
_xlpm.MyAuditVal,_xlfn.XLOOKUP($A524,My_Audit!$A:$A,My_Audit!C:C,""),
_xlfn.IFS(_xlpm.MyAuditVal&lt;&gt;"",_xlpm.MyAuditVal,_xlpm.MacVal&lt;&gt;"",_xlpm.MacVal,_xlpm.CSVVal&lt;&gt;"",_xlpm.CSVVal
)),"")</f>
        <v/>
      </c>
      <c r="E524" s="40" t="str">
        <f>_xlfn.XLOOKUP(A524,My_Audit!A:A,My_Audit!D:D,"")</f>
        <v/>
      </c>
      <c r="F524" s="40" t="str" cm="1">
        <f t="array" ref="F524">IFERROR(_xlfn.LET(
_xlpm.CSVVal,_xlfn.XLOOKUP($A524,CSV!$A:$A,CSV!F:F,""),
_xlpm.MacVal,_xlfn.XLOOKUP($A524,Output_Mac!$A:$A,Output_Mac!E:E,""),
_xlpm.MyAuditVal,_xlfn.XLOOKUP($A524,My_Audit!$A:$A,My_Audit!E:E,""),
_xlfn.IFS(_xlpm.MyAuditVal&lt;&gt;"",_xlpm.MyAuditVal,_xlpm.MacVal&lt;&gt;"",_xlpm.MacVal,_xlpm.CSVVal&lt;&gt;"",_xlpm.CSVVal
)),"")</f>
        <v/>
      </c>
      <c r="G524" s="40" t="str" cm="1">
        <f t="array" ref="G524">IFERROR(_xlfn.LET(
_xlpm.CSVVal,_xlfn.XLOOKUP($A524,CSV!$A:$A,CSV!G:G,""),
_xlpm.MacVal,_xlfn.XLOOKUP($A524,Output_Mac!$A:$A,Output_Mac!F:F,""),
_xlpm.MyAuditVal,_xlfn.XLOOKUP($A524,My_Audit!$A:$A,My_Audit!F:F,""),
_xlfn.IFS(_xlpm.MyAuditVal&lt;&gt;"",_xlpm.MyAuditVal,_xlpm.MacVal&lt;&gt;"",_xlpm.MacVal,_xlpm.CSVVal&lt;&gt;"",PROPER(_xlpm.CSVVal)
)),"")</f>
        <v/>
      </c>
      <c r="H524" s="40" t="str" cm="1">
        <f t="array" ref="H524">IFERROR(_xlfn.LET(
_xlpm.CSVVal,_xlfn.XLOOKUP($A524,CSV!$A:$A,CSV!H:H,""),
_xlpm.MacVal,_xlfn.XLOOKUP($A524,Output_Mac!$A:$A,Output_Mac!H:H,""),
_xlpm.MyAuditVal,_xlfn.XLOOKUP($A524,My_Audit!$A:$A,My_Audit!G:G,""),
_xlfn.IFS(_xlpm.MyAuditVal&lt;&gt;"",_xlpm.MyAuditVal,_xlpm.MacVal&lt;&gt;"",_xlpm.MacVal,_xlpm.CSVVal&lt;&gt;"",_xlpm.CSVVal
)),"")</f>
        <v/>
      </c>
      <c r="I524" s="40" t="str">
        <f>_xlfn.XLOOKUP(A524,Output_Mac!A:A,Output_Mac!I:I,"")</f>
        <v/>
      </c>
      <c r="J524" s="40" t="str" cm="1">
        <f t="array" ref="J524">IFERROR(_xlfn.LET(
_xlpm.CSVVal,_xlfn.XLOOKUP($A524,CSV!$A:$A,CSV!I:I,""),
_xlpm.MacVal,_xlfn.XLOOKUP($A524,Output_Mac!$A:$A,Output_Mac!J:J,""),
_xlpm.MyAuditVal,_xlfn.XLOOKUP($A524,My_Audit!$A:$A,My_Audit!I:I,""),
_xlfn.IFS(_xlpm.MyAuditVal&lt;&gt;"",UPPER(_xlpm.MyAuditVal),_xlpm.MacVal&lt;&gt;"",_xlpm.MacVal,_xlpm.CSVVal&lt;&gt;"",_xlpm.CSVVal
)),"")</f>
        <v/>
      </c>
      <c r="K524" s="40" t="str" cm="1">
        <f t="array" ref="K524">IFERROR(_xlfn.LET(
_xlpm.CSVVal,_xlfn.XLOOKUP($A524,CSV!$A:$A,CSV!K:K,""),
_xlpm.MacVal,_xlfn.XLOOKUP($A524,Output_Mac!$A:$A,Output_Mac!K:K,""),
_xlpm.MyAuditVal,_xlfn.XLOOKUP($A524,My_Audit!$A:$A,My_Audit!J:J,""),
_xlfn.IFS(_xlpm.MyAuditVal&lt;&gt;"",UPPER(_xlpm.MyAuditVal),_xlpm.MacVal&lt;&gt;"",_xlpm.MacVal,_xlpm.CSVVal&lt;&gt;"",_xlpm.CSVVal
)),"")</f>
        <v/>
      </c>
      <c r="L524" s="40" t="str" cm="1">
        <f t="array" ref="L524">IFERROR(_xlfn.LET(
_xlpm.CSVVal,_xlfn.XLOOKUP($A524,CSV!$A:$A,CSV!P:P,""),
_xlpm.MacVal,_xlfn.XLOOKUP($A524,Output_Mac!$A:$A,Output_Mac!L:L,""),
_xlpm.MyAuditVal,_xlfn.XLOOKUP($A524,My_Audit!$A:$A,My_Audit!K:K,""),
_xlfn.IFS(_xlpm.MyAuditVal&lt;&gt;"",UPPER(_xlpm.MyAuditVal),_xlpm.MacVal&lt;&gt;"",_xlpm.MacVal,_xlpm.CSVVal&lt;&gt;"",_xlpm.CSVVal
)),"")</f>
        <v/>
      </c>
      <c r="M524" s="40" t="str" cm="1">
        <f t="array" ref="M524">IFERROR(_xlfn.LET(
_xlpm.CSVVal,_xlfn.XLOOKUP($A524,CSV!$A:$A,CSV!Q:Q,""),
_xlpm.MacVal,_xlfn.XLOOKUP($A524,Output_Mac!$A:$A,Output_Mac!M:M,""),
_xlpm.MyAuditVal,_xlfn.XLOOKUP($A524,My_Audit!$A:$A,My_Audit!L:L,""),
_xlfn.IFS(_xlpm.MyAuditVal&lt;&gt;"",UPPER(_xlpm.MyAuditVal),_xlpm.MacVal&lt;&gt;"",_xlpm.MacVal,_xlpm.CSVVal&lt;&gt;"",_xlpm.CSVVal
)),"")</f>
        <v/>
      </c>
      <c r="N524" s="40"/>
      <c r="O524" s="40" t="str">
        <f>_xlfn.LET(
    _xlpm.CSVVal, _xlfn.XLOOKUP($A524, CSV!$A:$A, CSV!AA:AA, ""),
    _xlpm.MacVal, _xlfn.XLOOKUP($A524, Output_Mac!$A:$A, Output_Mac!S:S, ""),
    _xlpm.MyAuditVal, _xlfn.XLOOKUP($A524, My_Audit!$A:$A, My_Audit!P:P, ""),
    _xlfn.TEXTJOIN(", ", TRUE, _xlpm.MyAuditVal, _xlpm.MacVal, _xlpm.CSVVal)
)</f>
        <v/>
      </c>
      <c r="P524" s="40" t="str" cm="1">
        <f t="array" ref="P524">IFERROR(_xlfn.LET(
_xlpm.CSVVal,_xlfn.XLOOKUP($A524,CSV!$A:$A,CSV!AB:AB,""),
_xlpm.MacVal,_xlfn.XLOOKUP($A524,Output_Mac!$A:$A,Output_Mac!T:T,""),
_xlpm.MyAuditVal,_xlfn.XLOOKUP($A524,My_Audit!$A:$A,My_Audit!Q:Q,""),
_xlfn.IFS(_xlpm.MyAuditVal&lt;&gt;"",UPPER(_xlpm.MyAuditVal),_xlpm.MacVal&lt;&gt;"",_xlpm.MacVal,_xlpm.CSVVal&lt;&gt;"",_xlpm.CSVVal
)),"No")</f>
        <v>No</v>
      </c>
      <c r="Q524" s="40" t="str" cm="1">
        <f t="array" ref="Q524">IFERROR(_xlfn.LET(
_xlpm.CSVVal,_xlfn.XLOOKUP($A524,CSV!$A:$A,CSV!AC:AC,""),
_xlpm.MacVal,_xlfn.XLOOKUP($A524,Output_Mac!$A:$A,Output_Mac!U:U,""),
_xlpm.MyAuditVal,_xlfn.XLOOKUP($A524,My_Audit!$A:$A,My_Audit!R:R,""),
_xlfn.IFS(_xlpm.MyAuditVal&lt;&gt;"",UPPER(_xlpm.MyAuditVal),_xlpm.MacVal&lt;&gt;"",_xlpm.MacVal,_xlpm.CSVVal&lt;&gt;"",_xlpm.CSVVal
)),"")</f>
        <v/>
      </c>
      <c r="R524" s="40"/>
      <c r="S524" s="40"/>
      <c r="T524" s="40"/>
      <c r="U524" s="40"/>
      <c r="V524" s="40"/>
      <c r="W524" s="40"/>
      <c r="X524" s="41" t="str">
        <f>_xlfn.LET(
    _xlpm.MacVal, _xlfn.XLOOKUP($A524, Output_Mac!$A:$A, Output_Mac!AB:AB, ""),
    _xlpm.MyAuditVal, _xlfn.XLOOKUP($A524, My_Audit!$A:$A, My_Audit!N:N, ""),
    _xlfn.TEXTJOIN(", ", TRUE, _xlpm.MyAuditVal, _xlpm.MacVal)
)</f>
        <v/>
      </c>
    </row>
    <row r="525" spans="1:24">
      <c r="A525" s="40" t="str">
        <f>_xlfn.TEXTJOIN("",TRUE,Input!$B$2,ROW(My_Audit!A524))</f>
        <v>X524</v>
      </c>
      <c r="B525" s="40" t="str">
        <f>_xlfn.TEXTJOIN("-",TRUE,"ITD",Input!$A$2,A525)</f>
        <v>ITD-X524</v>
      </c>
      <c r="C525" s="40" t="str" cm="1">
        <f t="array" ref="C525">IFERROR(_xlfn.LET(
_xlpm.CSVVal,_xlfn.XLOOKUP($A525,CSV!$A:$A,CSV!B:B,""),
_xlpm.MacVal,_xlfn.XLOOKUP($A525,Output_Mac!$A:$A,Output_Mac!B:B,""),
_xlpm.MyAuditVal,_xlfn.XLOOKUP($A525,My_Audit!$A:$A,My_Audit!B:B,""),
_xlfn.IFS(_xlpm.MyAuditVal&lt;&gt;"",UPPER(_xlpm.MyAuditVal),_xlpm.MacVal&lt;&gt;"",_xlpm.MacVal,_xlpm.CSVVal&lt;&gt;"",_xlpm.CSVVal
)),"")</f>
        <v/>
      </c>
      <c r="D525" s="40" t="str" cm="1">
        <f t="array" ref="D525">IFERROR(_xlfn.LET(
_xlpm.CSVVal,_xlfn.XLOOKUP($A525,CSV!$A:$A,CSV!D:D,""),
_xlpm.MacVal,_xlfn.XLOOKUP($A525,Output_Mac!$A:$A,Output_Mac!C:C,""),
_xlpm.MyAuditVal,_xlfn.XLOOKUP($A525,My_Audit!$A:$A,My_Audit!C:C,""),
_xlfn.IFS(_xlpm.MyAuditVal&lt;&gt;"",_xlpm.MyAuditVal,_xlpm.MacVal&lt;&gt;"",_xlpm.MacVal,_xlpm.CSVVal&lt;&gt;"",_xlpm.CSVVal
)),"")</f>
        <v/>
      </c>
      <c r="E525" s="40" t="str">
        <f>_xlfn.XLOOKUP(A525,My_Audit!A:A,My_Audit!D:D,"")</f>
        <v/>
      </c>
      <c r="F525" s="40" t="str" cm="1">
        <f t="array" ref="F525">IFERROR(_xlfn.LET(
_xlpm.CSVVal,_xlfn.XLOOKUP($A525,CSV!$A:$A,CSV!F:F,""),
_xlpm.MacVal,_xlfn.XLOOKUP($A525,Output_Mac!$A:$A,Output_Mac!E:E,""),
_xlpm.MyAuditVal,_xlfn.XLOOKUP($A525,My_Audit!$A:$A,My_Audit!E:E,""),
_xlfn.IFS(_xlpm.MyAuditVal&lt;&gt;"",_xlpm.MyAuditVal,_xlpm.MacVal&lt;&gt;"",_xlpm.MacVal,_xlpm.CSVVal&lt;&gt;"",_xlpm.CSVVal
)),"")</f>
        <v/>
      </c>
      <c r="G525" s="40" t="str" cm="1">
        <f t="array" ref="G525">IFERROR(_xlfn.LET(
_xlpm.CSVVal,_xlfn.XLOOKUP($A525,CSV!$A:$A,CSV!G:G,""),
_xlpm.MacVal,_xlfn.XLOOKUP($A525,Output_Mac!$A:$A,Output_Mac!F:F,""),
_xlpm.MyAuditVal,_xlfn.XLOOKUP($A525,My_Audit!$A:$A,My_Audit!F:F,""),
_xlfn.IFS(_xlpm.MyAuditVal&lt;&gt;"",_xlpm.MyAuditVal,_xlpm.MacVal&lt;&gt;"",_xlpm.MacVal,_xlpm.CSVVal&lt;&gt;"",PROPER(_xlpm.CSVVal)
)),"")</f>
        <v/>
      </c>
      <c r="H525" s="40" t="str" cm="1">
        <f t="array" ref="H525">IFERROR(_xlfn.LET(
_xlpm.CSVVal,_xlfn.XLOOKUP($A525,CSV!$A:$A,CSV!H:H,""),
_xlpm.MacVal,_xlfn.XLOOKUP($A525,Output_Mac!$A:$A,Output_Mac!H:H,""),
_xlpm.MyAuditVal,_xlfn.XLOOKUP($A525,My_Audit!$A:$A,My_Audit!G:G,""),
_xlfn.IFS(_xlpm.MyAuditVal&lt;&gt;"",_xlpm.MyAuditVal,_xlpm.MacVal&lt;&gt;"",_xlpm.MacVal,_xlpm.CSVVal&lt;&gt;"",_xlpm.CSVVal
)),"")</f>
        <v/>
      </c>
      <c r="I525" s="40" t="str">
        <f>_xlfn.XLOOKUP(A525,Output_Mac!A:A,Output_Mac!I:I,"")</f>
        <v/>
      </c>
      <c r="J525" s="40" t="str" cm="1">
        <f t="array" ref="J525">IFERROR(_xlfn.LET(
_xlpm.CSVVal,_xlfn.XLOOKUP($A525,CSV!$A:$A,CSV!I:I,""),
_xlpm.MacVal,_xlfn.XLOOKUP($A525,Output_Mac!$A:$A,Output_Mac!J:J,""),
_xlpm.MyAuditVal,_xlfn.XLOOKUP($A525,My_Audit!$A:$A,My_Audit!I:I,""),
_xlfn.IFS(_xlpm.MyAuditVal&lt;&gt;"",UPPER(_xlpm.MyAuditVal),_xlpm.MacVal&lt;&gt;"",_xlpm.MacVal,_xlpm.CSVVal&lt;&gt;"",_xlpm.CSVVal
)),"")</f>
        <v/>
      </c>
      <c r="K525" s="40" t="str" cm="1">
        <f t="array" ref="K525">IFERROR(_xlfn.LET(
_xlpm.CSVVal,_xlfn.XLOOKUP($A525,CSV!$A:$A,CSV!K:K,""),
_xlpm.MacVal,_xlfn.XLOOKUP($A525,Output_Mac!$A:$A,Output_Mac!K:K,""),
_xlpm.MyAuditVal,_xlfn.XLOOKUP($A525,My_Audit!$A:$A,My_Audit!J:J,""),
_xlfn.IFS(_xlpm.MyAuditVal&lt;&gt;"",UPPER(_xlpm.MyAuditVal),_xlpm.MacVal&lt;&gt;"",_xlpm.MacVal,_xlpm.CSVVal&lt;&gt;"",_xlpm.CSVVal
)),"")</f>
        <v/>
      </c>
      <c r="L525" s="40" t="str" cm="1">
        <f t="array" ref="L525">IFERROR(_xlfn.LET(
_xlpm.CSVVal,_xlfn.XLOOKUP($A525,CSV!$A:$A,CSV!P:P,""),
_xlpm.MacVal,_xlfn.XLOOKUP($A525,Output_Mac!$A:$A,Output_Mac!L:L,""),
_xlpm.MyAuditVal,_xlfn.XLOOKUP($A525,My_Audit!$A:$A,My_Audit!K:K,""),
_xlfn.IFS(_xlpm.MyAuditVal&lt;&gt;"",UPPER(_xlpm.MyAuditVal),_xlpm.MacVal&lt;&gt;"",_xlpm.MacVal,_xlpm.CSVVal&lt;&gt;"",_xlpm.CSVVal
)),"")</f>
        <v/>
      </c>
      <c r="M525" s="40" t="str" cm="1">
        <f t="array" ref="M525">IFERROR(_xlfn.LET(
_xlpm.CSVVal,_xlfn.XLOOKUP($A525,CSV!$A:$A,CSV!Q:Q,""),
_xlpm.MacVal,_xlfn.XLOOKUP($A525,Output_Mac!$A:$A,Output_Mac!M:M,""),
_xlpm.MyAuditVal,_xlfn.XLOOKUP($A525,My_Audit!$A:$A,My_Audit!L:L,""),
_xlfn.IFS(_xlpm.MyAuditVal&lt;&gt;"",UPPER(_xlpm.MyAuditVal),_xlpm.MacVal&lt;&gt;"",_xlpm.MacVal,_xlpm.CSVVal&lt;&gt;"",_xlpm.CSVVal
)),"")</f>
        <v/>
      </c>
      <c r="N525" s="40"/>
      <c r="O525" s="40" t="str">
        <f>_xlfn.LET(
    _xlpm.CSVVal, _xlfn.XLOOKUP($A525, CSV!$A:$A, CSV!AA:AA, ""),
    _xlpm.MacVal, _xlfn.XLOOKUP($A525, Output_Mac!$A:$A, Output_Mac!S:S, ""),
    _xlpm.MyAuditVal, _xlfn.XLOOKUP($A525, My_Audit!$A:$A, My_Audit!P:P, ""),
    _xlfn.TEXTJOIN(", ", TRUE, _xlpm.MyAuditVal, _xlpm.MacVal, _xlpm.CSVVal)
)</f>
        <v/>
      </c>
      <c r="P525" s="40" t="str" cm="1">
        <f t="array" ref="P525">IFERROR(_xlfn.LET(
_xlpm.CSVVal,_xlfn.XLOOKUP($A525,CSV!$A:$A,CSV!AB:AB,""),
_xlpm.MacVal,_xlfn.XLOOKUP($A525,Output_Mac!$A:$A,Output_Mac!T:T,""),
_xlpm.MyAuditVal,_xlfn.XLOOKUP($A525,My_Audit!$A:$A,My_Audit!Q:Q,""),
_xlfn.IFS(_xlpm.MyAuditVal&lt;&gt;"",UPPER(_xlpm.MyAuditVal),_xlpm.MacVal&lt;&gt;"",_xlpm.MacVal,_xlpm.CSVVal&lt;&gt;"",_xlpm.CSVVal
)),"No")</f>
        <v>No</v>
      </c>
      <c r="Q525" s="40" t="str" cm="1">
        <f t="array" ref="Q525">IFERROR(_xlfn.LET(
_xlpm.CSVVal,_xlfn.XLOOKUP($A525,CSV!$A:$A,CSV!AC:AC,""),
_xlpm.MacVal,_xlfn.XLOOKUP($A525,Output_Mac!$A:$A,Output_Mac!U:U,""),
_xlpm.MyAuditVal,_xlfn.XLOOKUP($A525,My_Audit!$A:$A,My_Audit!R:R,""),
_xlfn.IFS(_xlpm.MyAuditVal&lt;&gt;"",UPPER(_xlpm.MyAuditVal),_xlpm.MacVal&lt;&gt;"",_xlpm.MacVal,_xlpm.CSVVal&lt;&gt;"",_xlpm.CSVVal
)),"")</f>
        <v/>
      </c>
      <c r="R525" s="40"/>
      <c r="S525" s="40"/>
      <c r="T525" s="40"/>
      <c r="U525" s="40"/>
      <c r="V525" s="40"/>
      <c r="W525" s="40"/>
      <c r="X525" s="41" t="str">
        <f>_xlfn.LET(
    _xlpm.MacVal, _xlfn.XLOOKUP($A525, Output_Mac!$A:$A, Output_Mac!AB:AB, ""),
    _xlpm.MyAuditVal, _xlfn.XLOOKUP($A525, My_Audit!$A:$A, My_Audit!N:N, ""),
    _xlfn.TEXTJOIN(", ", TRUE, _xlpm.MyAuditVal, _xlpm.MacVal)
)</f>
        <v/>
      </c>
    </row>
    <row r="526" spans="1:24">
      <c r="A526" s="40" t="str">
        <f>_xlfn.TEXTJOIN("",TRUE,Input!$B$2,ROW(My_Audit!A525))</f>
        <v>X525</v>
      </c>
      <c r="B526" s="40" t="str">
        <f>_xlfn.TEXTJOIN("-",TRUE,"ITD",Input!$A$2,A526)</f>
        <v>ITD-X525</v>
      </c>
      <c r="C526" s="40" t="str" cm="1">
        <f t="array" ref="C526">IFERROR(_xlfn.LET(
_xlpm.CSVVal,_xlfn.XLOOKUP($A526,CSV!$A:$A,CSV!B:B,""),
_xlpm.MacVal,_xlfn.XLOOKUP($A526,Output_Mac!$A:$A,Output_Mac!B:B,""),
_xlpm.MyAuditVal,_xlfn.XLOOKUP($A526,My_Audit!$A:$A,My_Audit!B:B,""),
_xlfn.IFS(_xlpm.MyAuditVal&lt;&gt;"",UPPER(_xlpm.MyAuditVal),_xlpm.MacVal&lt;&gt;"",_xlpm.MacVal,_xlpm.CSVVal&lt;&gt;"",_xlpm.CSVVal
)),"")</f>
        <v/>
      </c>
      <c r="D526" s="40" t="str" cm="1">
        <f t="array" ref="D526">IFERROR(_xlfn.LET(
_xlpm.CSVVal,_xlfn.XLOOKUP($A526,CSV!$A:$A,CSV!D:D,""),
_xlpm.MacVal,_xlfn.XLOOKUP($A526,Output_Mac!$A:$A,Output_Mac!C:C,""),
_xlpm.MyAuditVal,_xlfn.XLOOKUP($A526,My_Audit!$A:$A,My_Audit!C:C,""),
_xlfn.IFS(_xlpm.MyAuditVal&lt;&gt;"",_xlpm.MyAuditVal,_xlpm.MacVal&lt;&gt;"",_xlpm.MacVal,_xlpm.CSVVal&lt;&gt;"",_xlpm.CSVVal
)),"")</f>
        <v/>
      </c>
      <c r="E526" s="40" t="str">
        <f>_xlfn.XLOOKUP(A526,My_Audit!A:A,My_Audit!D:D,"")</f>
        <v/>
      </c>
      <c r="F526" s="40" t="str" cm="1">
        <f t="array" ref="F526">IFERROR(_xlfn.LET(
_xlpm.CSVVal,_xlfn.XLOOKUP($A526,CSV!$A:$A,CSV!F:F,""),
_xlpm.MacVal,_xlfn.XLOOKUP($A526,Output_Mac!$A:$A,Output_Mac!E:E,""),
_xlpm.MyAuditVal,_xlfn.XLOOKUP($A526,My_Audit!$A:$A,My_Audit!E:E,""),
_xlfn.IFS(_xlpm.MyAuditVal&lt;&gt;"",_xlpm.MyAuditVal,_xlpm.MacVal&lt;&gt;"",_xlpm.MacVal,_xlpm.CSVVal&lt;&gt;"",_xlpm.CSVVal
)),"")</f>
        <v/>
      </c>
      <c r="G526" s="40" t="str" cm="1">
        <f t="array" ref="G526">IFERROR(_xlfn.LET(
_xlpm.CSVVal,_xlfn.XLOOKUP($A526,CSV!$A:$A,CSV!G:G,""),
_xlpm.MacVal,_xlfn.XLOOKUP($A526,Output_Mac!$A:$A,Output_Mac!F:F,""),
_xlpm.MyAuditVal,_xlfn.XLOOKUP($A526,My_Audit!$A:$A,My_Audit!F:F,""),
_xlfn.IFS(_xlpm.MyAuditVal&lt;&gt;"",_xlpm.MyAuditVal,_xlpm.MacVal&lt;&gt;"",_xlpm.MacVal,_xlpm.CSVVal&lt;&gt;"",PROPER(_xlpm.CSVVal)
)),"")</f>
        <v/>
      </c>
      <c r="H526" s="40" t="str" cm="1">
        <f t="array" ref="H526">IFERROR(_xlfn.LET(
_xlpm.CSVVal,_xlfn.XLOOKUP($A526,CSV!$A:$A,CSV!H:H,""),
_xlpm.MacVal,_xlfn.XLOOKUP($A526,Output_Mac!$A:$A,Output_Mac!H:H,""),
_xlpm.MyAuditVal,_xlfn.XLOOKUP($A526,My_Audit!$A:$A,My_Audit!G:G,""),
_xlfn.IFS(_xlpm.MyAuditVal&lt;&gt;"",_xlpm.MyAuditVal,_xlpm.MacVal&lt;&gt;"",_xlpm.MacVal,_xlpm.CSVVal&lt;&gt;"",_xlpm.CSVVal
)),"")</f>
        <v/>
      </c>
      <c r="I526" s="40" t="str">
        <f>_xlfn.XLOOKUP(A526,Output_Mac!A:A,Output_Mac!I:I,"")</f>
        <v/>
      </c>
      <c r="J526" s="40" t="str" cm="1">
        <f t="array" ref="J526">IFERROR(_xlfn.LET(
_xlpm.CSVVal,_xlfn.XLOOKUP($A526,CSV!$A:$A,CSV!I:I,""),
_xlpm.MacVal,_xlfn.XLOOKUP($A526,Output_Mac!$A:$A,Output_Mac!J:J,""),
_xlpm.MyAuditVal,_xlfn.XLOOKUP($A526,My_Audit!$A:$A,My_Audit!I:I,""),
_xlfn.IFS(_xlpm.MyAuditVal&lt;&gt;"",UPPER(_xlpm.MyAuditVal),_xlpm.MacVal&lt;&gt;"",_xlpm.MacVal,_xlpm.CSVVal&lt;&gt;"",_xlpm.CSVVal
)),"")</f>
        <v/>
      </c>
      <c r="K526" s="40" t="str" cm="1">
        <f t="array" ref="K526">IFERROR(_xlfn.LET(
_xlpm.CSVVal,_xlfn.XLOOKUP($A526,CSV!$A:$A,CSV!K:K,""),
_xlpm.MacVal,_xlfn.XLOOKUP($A526,Output_Mac!$A:$A,Output_Mac!K:K,""),
_xlpm.MyAuditVal,_xlfn.XLOOKUP($A526,My_Audit!$A:$A,My_Audit!J:J,""),
_xlfn.IFS(_xlpm.MyAuditVal&lt;&gt;"",UPPER(_xlpm.MyAuditVal),_xlpm.MacVal&lt;&gt;"",_xlpm.MacVal,_xlpm.CSVVal&lt;&gt;"",_xlpm.CSVVal
)),"")</f>
        <v/>
      </c>
      <c r="L526" s="40" t="str" cm="1">
        <f t="array" ref="L526">IFERROR(_xlfn.LET(
_xlpm.CSVVal,_xlfn.XLOOKUP($A526,CSV!$A:$A,CSV!P:P,""),
_xlpm.MacVal,_xlfn.XLOOKUP($A526,Output_Mac!$A:$A,Output_Mac!L:L,""),
_xlpm.MyAuditVal,_xlfn.XLOOKUP($A526,My_Audit!$A:$A,My_Audit!K:K,""),
_xlfn.IFS(_xlpm.MyAuditVal&lt;&gt;"",UPPER(_xlpm.MyAuditVal),_xlpm.MacVal&lt;&gt;"",_xlpm.MacVal,_xlpm.CSVVal&lt;&gt;"",_xlpm.CSVVal
)),"")</f>
        <v/>
      </c>
      <c r="M526" s="40" t="str" cm="1">
        <f t="array" ref="M526">IFERROR(_xlfn.LET(
_xlpm.CSVVal,_xlfn.XLOOKUP($A526,CSV!$A:$A,CSV!Q:Q,""),
_xlpm.MacVal,_xlfn.XLOOKUP($A526,Output_Mac!$A:$A,Output_Mac!M:M,""),
_xlpm.MyAuditVal,_xlfn.XLOOKUP($A526,My_Audit!$A:$A,My_Audit!L:L,""),
_xlfn.IFS(_xlpm.MyAuditVal&lt;&gt;"",UPPER(_xlpm.MyAuditVal),_xlpm.MacVal&lt;&gt;"",_xlpm.MacVal,_xlpm.CSVVal&lt;&gt;"",_xlpm.CSVVal
)),"")</f>
        <v/>
      </c>
      <c r="N526" s="40"/>
      <c r="O526" s="40" t="str">
        <f>_xlfn.LET(
    _xlpm.CSVVal, _xlfn.XLOOKUP($A526, CSV!$A:$A, CSV!AA:AA, ""),
    _xlpm.MacVal, _xlfn.XLOOKUP($A526, Output_Mac!$A:$A, Output_Mac!S:S, ""),
    _xlpm.MyAuditVal, _xlfn.XLOOKUP($A526, My_Audit!$A:$A, My_Audit!P:P, ""),
    _xlfn.TEXTJOIN(", ", TRUE, _xlpm.MyAuditVal, _xlpm.MacVal, _xlpm.CSVVal)
)</f>
        <v/>
      </c>
      <c r="P526" s="40" t="str" cm="1">
        <f t="array" ref="P526">IFERROR(_xlfn.LET(
_xlpm.CSVVal,_xlfn.XLOOKUP($A526,CSV!$A:$A,CSV!AB:AB,""),
_xlpm.MacVal,_xlfn.XLOOKUP($A526,Output_Mac!$A:$A,Output_Mac!T:T,""),
_xlpm.MyAuditVal,_xlfn.XLOOKUP($A526,My_Audit!$A:$A,My_Audit!Q:Q,""),
_xlfn.IFS(_xlpm.MyAuditVal&lt;&gt;"",UPPER(_xlpm.MyAuditVal),_xlpm.MacVal&lt;&gt;"",_xlpm.MacVal,_xlpm.CSVVal&lt;&gt;"",_xlpm.CSVVal
)),"No")</f>
        <v>No</v>
      </c>
      <c r="Q526" s="40" t="str" cm="1">
        <f t="array" ref="Q526">IFERROR(_xlfn.LET(
_xlpm.CSVVal,_xlfn.XLOOKUP($A526,CSV!$A:$A,CSV!AC:AC,""),
_xlpm.MacVal,_xlfn.XLOOKUP($A526,Output_Mac!$A:$A,Output_Mac!U:U,""),
_xlpm.MyAuditVal,_xlfn.XLOOKUP($A526,My_Audit!$A:$A,My_Audit!R:R,""),
_xlfn.IFS(_xlpm.MyAuditVal&lt;&gt;"",UPPER(_xlpm.MyAuditVal),_xlpm.MacVal&lt;&gt;"",_xlpm.MacVal,_xlpm.CSVVal&lt;&gt;"",_xlpm.CSVVal
)),"")</f>
        <v/>
      </c>
      <c r="R526" s="40"/>
      <c r="S526" s="40"/>
      <c r="T526" s="40"/>
      <c r="U526" s="40"/>
      <c r="V526" s="40"/>
      <c r="W526" s="40"/>
      <c r="X526" s="41" t="str">
        <f>_xlfn.LET(
    _xlpm.MacVal, _xlfn.XLOOKUP($A526, Output_Mac!$A:$A, Output_Mac!AB:AB, ""),
    _xlpm.MyAuditVal, _xlfn.XLOOKUP($A526, My_Audit!$A:$A, My_Audit!N:N, ""),
    _xlfn.TEXTJOIN(", ", TRUE, _xlpm.MyAuditVal, _xlpm.MacVal)
)</f>
        <v/>
      </c>
    </row>
    <row r="527" spans="1:24">
      <c r="A527" s="40" t="str">
        <f>_xlfn.TEXTJOIN("",TRUE,Input!$B$2,ROW(My_Audit!A526))</f>
        <v>X526</v>
      </c>
      <c r="B527" s="40" t="str">
        <f>_xlfn.TEXTJOIN("-",TRUE,"ITD",Input!$A$2,A527)</f>
        <v>ITD-X526</v>
      </c>
      <c r="C527" s="40" t="str" cm="1">
        <f t="array" ref="C527">IFERROR(_xlfn.LET(
_xlpm.CSVVal,_xlfn.XLOOKUP($A527,CSV!$A:$A,CSV!B:B,""),
_xlpm.MacVal,_xlfn.XLOOKUP($A527,Output_Mac!$A:$A,Output_Mac!B:B,""),
_xlpm.MyAuditVal,_xlfn.XLOOKUP($A527,My_Audit!$A:$A,My_Audit!B:B,""),
_xlfn.IFS(_xlpm.MyAuditVal&lt;&gt;"",UPPER(_xlpm.MyAuditVal),_xlpm.MacVal&lt;&gt;"",_xlpm.MacVal,_xlpm.CSVVal&lt;&gt;"",_xlpm.CSVVal
)),"")</f>
        <v/>
      </c>
      <c r="D527" s="40" t="str" cm="1">
        <f t="array" ref="D527">IFERROR(_xlfn.LET(
_xlpm.CSVVal,_xlfn.XLOOKUP($A527,CSV!$A:$A,CSV!D:D,""),
_xlpm.MacVal,_xlfn.XLOOKUP($A527,Output_Mac!$A:$A,Output_Mac!C:C,""),
_xlpm.MyAuditVal,_xlfn.XLOOKUP($A527,My_Audit!$A:$A,My_Audit!C:C,""),
_xlfn.IFS(_xlpm.MyAuditVal&lt;&gt;"",_xlpm.MyAuditVal,_xlpm.MacVal&lt;&gt;"",_xlpm.MacVal,_xlpm.CSVVal&lt;&gt;"",_xlpm.CSVVal
)),"")</f>
        <v/>
      </c>
      <c r="E527" s="40" t="str">
        <f>_xlfn.XLOOKUP(A527,My_Audit!A:A,My_Audit!D:D,"")</f>
        <v/>
      </c>
      <c r="F527" s="40" t="str" cm="1">
        <f t="array" ref="F527">IFERROR(_xlfn.LET(
_xlpm.CSVVal,_xlfn.XLOOKUP($A527,CSV!$A:$A,CSV!F:F,""),
_xlpm.MacVal,_xlfn.XLOOKUP($A527,Output_Mac!$A:$A,Output_Mac!E:E,""),
_xlpm.MyAuditVal,_xlfn.XLOOKUP($A527,My_Audit!$A:$A,My_Audit!E:E,""),
_xlfn.IFS(_xlpm.MyAuditVal&lt;&gt;"",_xlpm.MyAuditVal,_xlpm.MacVal&lt;&gt;"",_xlpm.MacVal,_xlpm.CSVVal&lt;&gt;"",_xlpm.CSVVal
)),"")</f>
        <v/>
      </c>
      <c r="G527" s="40" t="str" cm="1">
        <f t="array" ref="G527">IFERROR(_xlfn.LET(
_xlpm.CSVVal,_xlfn.XLOOKUP($A527,CSV!$A:$A,CSV!G:G,""),
_xlpm.MacVal,_xlfn.XLOOKUP($A527,Output_Mac!$A:$A,Output_Mac!F:F,""),
_xlpm.MyAuditVal,_xlfn.XLOOKUP($A527,My_Audit!$A:$A,My_Audit!F:F,""),
_xlfn.IFS(_xlpm.MyAuditVal&lt;&gt;"",_xlpm.MyAuditVal,_xlpm.MacVal&lt;&gt;"",_xlpm.MacVal,_xlpm.CSVVal&lt;&gt;"",PROPER(_xlpm.CSVVal)
)),"")</f>
        <v/>
      </c>
      <c r="H527" s="40" t="str" cm="1">
        <f t="array" ref="H527">IFERROR(_xlfn.LET(
_xlpm.CSVVal,_xlfn.XLOOKUP($A527,CSV!$A:$A,CSV!H:H,""),
_xlpm.MacVal,_xlfn.XLOOKUP($A527,Output_Mac!$A:$A,Output_Mac!H:H,""),
_xlpm.MyAuditVal,_xlfn.XLOOKUP($A527,My_Audit!$A:$A,My_Audit!G:G,""),
_xlfn.IFS(_xlpm.MyAuditVal&lt;&gt;"",_xlpm.MyAuditVal,_xlpm.MacVal&lt;&gt;"",_xlpm.MacVal,_xlpm.CSVVal&lt;&gt;"",_xlpm.CSVVal
)),"")</f>
        <v/>
      </c>
      <c r="I527" s="40" t="str">
        <f>_xlfn.XLOOKUP(A527,Output_Mac!A:A,Output_Mac!I:I,"")</f>
        <v/>
      </c>
      <c r="J527" s="40" t="str" cm="1">
        <f t="array" ref="J527">IFERROR(_xlfn.LET(
_xlpm.CSVVal,_xlfn.XLOOKUP($A527,CSV!$A:$A,CSV!I:I,""),
_xlpm.MacVal,_xlfn.XLOOKUP($A527,Output_Mac!$A:$A,Output_Mac!J:J,""),
_xlpm.MyAuditVal,_xlfn.XLOOKUP($A527,My_Audit!$A:$A,My_Audit!I:I,""),
_xlfn.IFS(_xlpm.MyAuditVal&lt;&gt;"",UPPER(_xlpm.MyAuditVal),_xlpm.MacVal&lt;&gt;"",_xlpm.MacVal,_xlpm.CSVVal&lt;&gt;"",_xlpm.CSVVal
)),"")</f>
        <v/>
      </c>
      <c r="K527" s="40" t="str" cm="1">
        <f t="array" ref="K527">IFERROR(_xlfn.LET(
_xlpm.CSVVal,_xlfn.XLOOKUP($A527,CSV!$A:$A,CSV!K:K,""),
_xlpm.MacVal,_xlfn.XLOOKUP($A527,Output_Mac!$A:$A,Output_Mac!K:K,""),
_xlpm.MyAuditVal,_xlfn.XLOOKUP($A527,My_Audit!$A:$A,My_Audit!J:J,""),
_xlfn.IFS(_xlpm.MyAuditVal&lt;&gt;"",UPPER(_xlpm.MyAuditVal),_xlpm.MacVal&lt;&gt;"",_xlpm.MacVal,_xlpm.CSVVal&lt;&gt;"",_xlpm.CSVVal
)),"")</f>
        <v/>
      </c>
      <c r="L527" s="40" t="str" cm="1">
        <f t="array" ref="L527">IFERROR(_xlfn.LET(
_xlpm.CSVVal,_xlfn.XLOOKUP($A527,CSV!$A:$A,CSV!P:P,""),
_xlpm.MacVal,_xlfn.XLOOKUP($A527,Output_Mac!$A:$A,Output_Mac!L:L,""),
_xlpm.MyAuditVal,_xlfn.XLOOKUP($A527,My_Audit!$A:$A,My_Audit!K:K,""),
_xlfn.IFS(_xlpm.MyAuditVal&lt;&gt;"",UPPER(_xlpm.MyAuditVal),_xlpm.MacVal&lt;&gt;"",_xlpm.MacVal,_xlpm.CSVVal&lt;&gt;"",_xlpm.CSVVal
)),"")</f>
        <v/>
      </c>
      <c r="M527" s="40" t="str" cm="1">
        <f t="array" ref="M527">IFERROR(_xlfn.LET(
_xlpm.CSVVal,_xlfn.XLOOKUP($A527,CSV!$A:$A,CSV!Q:Q,""),
_xlpm.MacVal,_xlfn.XLOOKUP($A527,Output_Mac!$A:$A,Output_Mac!M:M,""),
_xlpm.MyAuditVal,_xlfn.XLOOKUP($A527,My_Audit!$A:$A,My_Audit!L:L,""),
_xlfn.IFS(_xlpm.MyAuditVal&lt;&gt;"",UPPER(_xlpm.MyAuditVal),_xlpm.MacVal&lt;&gt;"",_xlpm.MacVal,_xlpm.CSVVal&lt;&gt;"",_xlpm.CSVVal
)),"")</f>
        <v/>
      </c>
      <c r="N527" s="40"/>
      <c r="O527" s="40" t="str">
        <f>_xlfn.LET(
    _xlpm.CSVVal, _xlfn.XLOOKUP($A527, CSV!$A:$A, CSV!AA:AA, ""),
    _xlpm.MacVal, _xlfn.XLOOKUP($A527, Output_Mac!$A:$A, Output_Mac!S:S, ""),
    _xlpm.MyAuditVal, _xlfn.XLOOKUP($A527, My_Audit!$A:$A, My_Audit!P:P, ""),
    _xlfn.TEXTJOIN(", ", TRUE, _xlpm.MyAuditVal, _xlpm.MacVal, _xlpm.CSVVal)
)</f>
        <v/>
      </c>
      <c r="P527" s="40" t="str" cm="1">
        <f t="array" ref="P527">IFERROR(_xlfn.LET(
_xlpm.CSVVal,_xlfn.XLOOKUP($A527,CSV!$A:$A,CSV!AB:AB,""),
_xlpm.MacVal,_xlfn.XLOOKUP($A527,Output_Mac!$A:$A,Output_Mac!T:T,""),
_xlpm.MyAuditVal,_xlfn.XLOOKUP($A527,My_Audit!$A:$A,My_Audit!Q:Q,""),
_xlfn.IFS(_xlpm.MyAuditVal&lt;&gt;"",UPPER(_xlpm.MyAuditVal),_xlpm.MacVal&lt;&gt;"",_xlpm.MacVal,_xlpm.CSVVal&lt;&gt;"",_xlpm.CSVVal
)),"No")</f>
        <v>No</v>
      </c>
      <c r="Q527" s="40" t="str" cm="1">
        <f t="array" ref="Q527">IFERROR(_xlfn.LET(
_xlpm.CSVVal,_xlfn.XLOOKUP($A527,CSV!$A:$A,CSV!AC:AC,""),
_xlpm.MacVal,_xlfn.XLOOKUP($A527,Output_Mac!$A:$A,Output_Mac!U:U,""),
_xlpm.MyAuditVal,_xlfn.XLOOKUP($A527,My_Audit!$A:$A,My_Audit!R:R,""),
_xlfn.IFS(_xlpm.MyAuditVal&lt;&gt;"",UPPER(_xlpm.MyAuditVal),_xlpm.MacVal&lt;&gt;"",_xlpm.MacVal,_xlpm.CSVVal&lt;&gt;"",_xlpm.CSVVal
)),"")</f>
        <v/>
      </c>
      <c r="R527" s="40"/>
      <c r="S527" s="40"/>
      <c r="T527" s="40"/>
      <c r="U527" s="40"/>
      <c r="V527" s="40"/>
      <c r="W527" s="40"/>
      <c r="X527" s="41" t="str">
        <f>_xlfn.LET(
    _xlpm.MacVal, _xlfn.XLOOKUP($A527, Output_Mac!$A:$A, Output_Mac!AB:AB, ""),
    _xlpm.MyAuditVal, _xlfn.XLOOKUP($A527, My_Audit!$A:$A, My_Audit!N:N, ""),
    _xlfn.TEXTJOIN(", ", TRUE, _xlpm.MyAuditVal, _xlpm.MacVal)
)</f>
        <v/>
      </c>
    </row>
    <row r="528" spans="1:24">
      <c r="A528" s="40" t="str">
        <f>_xlfn.TEXTJOIN("",TRUE,Input!$B$2,ROW(My_Audit!A527))</f>
        <v>X527</v>
      </c>
      <c r="B528" s="40" t="str">
        <f>_xlfn.TEXTJOIN("-",TRUE,"ITD",Input!$A$2,A528)</f>
        <v>ITD-X527</v>
      </c>
      <c r="C528" s="40" t="str" cm="1">
        <f t="array" ref="C528">IFERROR(_xlfn.LET(
_xlpm.CSVVal,_xlfn.XLOOKUP($A528,CSV!$A:$A,CSV!B:B,""),
_xlpm.MacVal,_xlfn.XLOOKUP($A528,Output_Mac!$A:$A,Output_Mac!B:B,""),
_xlpm.MyAuditVal,_xlfn.XLOOKUP($A528,My_Audit!$A:$A,My_Audit!B:B,""),
_xlfn.IFS(_xlpm.MyAuditVal&lt;&gt;"",UPPER(_xlpm.MyAuditVal),_xlpm.MacVal&lt;&gt;"",_xlpm.MacVal,_xlpm.CSVVal&lt;&gt;"",_xlpm.CSVVal
)),"")</f>
        <v/>
      </c>
      <c r="D528" s="40" t="str" cm="1">
        <f t="array" ref="D528">IFERROR(_xlfn.LET(
_xlpm.CSVVal,_xlfn.XLOOKUP($A528,CSV!$A:$A,CSV!D:D,""),
_xlpm.MacVal,_xlfn.XLOOKUP($A528,Output_Mac!$A:$A,Output_Mac!C:C,""),
_xlpm.MyAuditVal,_xlfn.XLOOKUP($A528,My_Audit!$A:$A,My_Audit!C:C,""),
_xlfn.IFS(_xlpm.MyAuditVal&lt;&gt;"",_xlpm.MyAuditVal,_xlpm.MacVal&lt;&gt;"",_xlpm.MacVal,_xlpm.CSVVal&lt;&gt;"",_xlpm.CSVVal
)),"")</f>
        <v/>
      </c>
      <c r="E528" s="40" t="str">
        <f>_xlfn.XLOOKUP(A528,My_Audit!A:A,My_Audit!D:D,"")</f>
        <v/>
      </c>
      <c r="F528" s="40" t="str" cm="1">
        <f t="array" ref="F528">IFERROR(_xlfn.LET(
_xlpm.CSVVal,_xlfn.XLOOKUP($A528,CSV!$A:$A,CSV!F:F,""),
_xlpm.MacVal,_xlfn.XLOOKUP($A528,Output_Mac!$A:$A,Output_Mac!E:E,""),
_xlpm.MyAuditVal,_xlfn.XLOOKUP($A528,My_Audit!$A:$A,My_Audit!E:E,""),
_xlfn.IFS(_xlpm.MyAuditVal&lt;&gt;"",_xlpm.MyAuditVal,_xlpm.MacVal&lt;&gt;"",_xlpm.MacVal,_xlpm.CSVVal&lt;&gt;"",_xlpm.CSVVal
)),"")</f>
        <v/>
      </c>
      <c r="G528" s="40" t="str" cm="1">
        <f t="array" ref="G528">IFERROR(_xlfn.LET(
_xlpm.CSVVal,_xlfn.XLOOKUP($A528,CSV!$A:$A,CSV!G:G,""),
_xlpm.MacVal,_xlfn.XLOOKUP($A528,Output_Mac!$A:$A,Output_Mac!F:F,""),
_xlpm.MyAuditVal,_xlfn.XLOOKUP($A528,My_Audit!$A:$A,My_Audit!F:F,""),
_xlfn.IFS(_xlpm.MyAuditVal&lt;&gt;"",_xlpm.MyAuditVal,_xlpm.MacVal&lt;&gt;"",_xlpm.MacVal,_xlpm.CSVVal&lt;&gt;"",PROPER(_xlpm.CSVVal)
)),"")</f>
        <v/>
      </c>
      <c r="H528" s="40" t="str" cm="1">
        <f t="array" ref="H528">IFERROR(_xlfn.LET(
_xlpm.CSVVal,_xlfn.XLOOKUP($A528,CSV!$A:$A,CSV!H:H,""),
_xlpm.MacVal,_xlfn.XLOOKUP($A528,Output_Mac!$A:$A,Output_Mac!H:H,""),
_xlpm.MyAuditVal,_xlfn.XLOOKUP($A528,My_Audit!$A:$A,My_Audit!G:G,""),
_xlfn.IFS(_xlpm.MyAuditVal&lt;&gt;"",_xlpm.MyAuditVal,_xlpm.MacVal&lt;&gt;"",_xlpm.MacVal,_xlpm.CSVVal&lt;&gt;"",_xlpm.CSVVal
)),"")</f>
        <v/>
      </c>
      <c r="I528" s="40" t="str">
        <f>_xlfn.XLOOKUP(A528,Output_Mac!A:A,Output_Mac!I:I,"")</f>
        <v/>
      </c>
      <c r="J528" s="40" t="str" cm="1">
        <f t="array" ref="J528">IFERROR(_xlfn.LET(
_xlpm.CSVVal,_xlfn.XLOOKUP($A528,CSV!$A:$A,CSV!I:I,""),
_xlpm.MacVal,_xlfn.XLOOKUP($A528,Output_Mac!$A:$A,Output_Mac!J:J,""),
_xlpm.MyAuditVal,_xlfn.XLOOKUP($A528,My_Audit!$A:$A,My_Audit!I:I,""),
_xlfn.IFS(_xlpm.MyAuditVal&lt;&gt;"",UPPER(_xlpm.MyAuditVal),_xlpm.MacVal&lt;&gt;"",_xlpm.MacVal,_xlpm.CSVVal&lt;&gt;"",_xlpm.CSVVal
)),"")</f>
        <v/>
      </c>
      <c r="K528" s="40" t="str" cm="1">
        <f t="array" ref="K528">IFERROR(_xlfn.LET(
_xlpm.CSVVal,_xlfn.XLOOKUP($A528,CSV!$A:$A,CSV!K:K,""),
_xlpm.MacVal,_xlfn.XLOOKUP($A528,Output_Mac!$A:$A,Output_Mac!K:K,""),
_xlpm.MyAuditVal,_xlfn.XLOOKUP($A528,My_Audit!$A:$A,My_Audit!J:J,""),
_xlfn.IFS(_xlpm.MyAuditVal&lt;&gt;"",UPPER(_xlpm.MyAuditVal),_xlpm.MacVal&lt;&gt;"",_xlpm.MacVal,_xlpm.CSVVal&lt;&gt;"",_xlpm.CSVVal
)),"")</f>
        <v/>
      </c>
      <c r="L528" s="40" t="str" cm="1">
        <f t="array" ref="L528">IFERROR(_xlfn.LET(
_xlpm.CSVVal,_xlfn.XLOOKUP($A528,CSV!$A:$A,CSV!P:P,""),
_xlpm.MacVal,_xlfn.XLOOKUP($A528,Output_Mac!$A:$A,Output_Mac!L:L,""),
_xlpm.MyAuditVal,_xlfn.XLOOKUP($A528,My_Audit!$A:$A,My_Audit!K:K,""),
_xlfn.IFS(_xlpm.MyAuditVal&lt;&gt;"",UPPER(_xlpm.MyAuditVal),_xlpm.MacVal&lt;&gt;"",_xlpm.MacVal,_xlpm.CSVVal&lt;&gt;"",_xlpm.CSVVal
)),"")</f>
        <v/>
      </c>
      <c r="M528" s="40" t="str" cm="1">
        <f t="array" ref="M528">IFERROR(_xlfn.LET(
_xlpm.CSVVal,_xlfn.XLOOKUP($A528,CSV!$A:$A,CSV!Q:Q,""),
_xlpm.MacVal,_xlfn.XLOOKUP($A528,Output_Mac!$A:$A,Output_Mac!M:M,""),
_xlpm.MyAuditVal,_xlfn.XLOOKUP($A528,My_Audit!$A:$A,My_Audit!L:L,""),
_xlfn.IFS(_xlpm.MyAuditVal&lt;&gt;"",UPPER(_xlpm.MyAuditVal),_xlpm.MacVal&lt;&gt;"",_xlpm.MacVal,_xlpm.CSVVal&lt;&gt;"",_xlpm.CSVVal
)),"")</f>
        <v/>
      </c>
      <c r="N528" s="40"/>
      <c r="O528" s="40" t="str">
        <f>_xlfn.LET(
    _xlpm.CSVVal, _xlfn.XLOOKUP($A528, CSV!$A:$A, CSV!AA:AA, ""),
    _xlpm.MacVal, _xlfn.XLOOKUP($A528, Output_Mac!$A:$A, Output_Mac!S:S, ""),
    _xlpm.MyAuditVal, _xlfn.XLOOKUP($A528, My_Audit!$A:$A, My_Audit!P:P, ""),
    _xlfn.TEXTJOIN(", ", TRUE, _xlpm.MyAuditVal, _xlpm.MacVal, _xlpm.CSVVal)
)</f>
        <v/>
      </c>
      <c r="P528" s="40" t="str" cm="1">
        <f t="array" ref="P528">IFERROR(_xlfn.LET(
_xlpm.CSVVal,_xlfn.XLOOKUP($A528,CSV!$A:$A,CSV!AB:AB,""),
_xlpm.MacVal,_xlfn.XLOOKUP($A528,Output_Mac!$A:$A,Output_Mac!T:T,""),
_xlpm.MyAuditVal,_xlfn.XLOOKUP($A528,My_Audit!$A:$A,My_Audit!Q:Q,""),
_xlfn.IFS(_xlpm.MyAuditVal&lt;&gt;"",UPPER(_xlpm.MyAuditVal),_xlpm.MacVal&lt;&gt;"",_xlpm.MacVal,_xlpm.CSVVal&lt;&gt;"",_xlpm.CSVVal
)),"No")</f>
        <v>No</v>
      </c>
      <c r="Q528" s="40" t="str" cm="1">
        <f t="array" ref="Q528">IFERROR(_xlfn.LET(
_xlpm.CSVVal,_xlfn.XLOOKUP($A528,CSV!$A:$A,CSV!AC:AC,""),
_xlpm.MacVal,_xlfn.XLOOKUP($A528,Output_Mac!$A:$A,Output_Mac!U:U,""),
_xlpm.MyAuditVal,_xlfn.XLOOKUP($A528,My_Audit!$A:$A,My_Audit!R:R,""),
_xlfn.IFS(_xlpm.MyAuditVal&lt;&gt;"",UPPER(_xlpm.MyAuditVal),_xlpm.MacVal&lt;&gt;"",_xlpm.MacVal,_xlpm.CSVVal&lt;&gt;"",_xlpm.CSVVal
)),"")</f>
        <v/>
      </c>
      <c r="R528" s="40"/>
      <c r="S528" s="40"/>
      <c r="T528" s="40"/>
      <c r="U528" s="40"/>
      <c r="V528" s="40"/>
      <c r="W528" s="40"/>
      <c r="X528" s="41" t="str">
        <f>_xlfn.LET(
    _xlpm.MacVal, _xlfn.XLOOKUP($A528, Output_Mac!$A:$A, Output_Mac!AB:AB, ""),
    _xlpm.MyAuditVal, _xlfn.XLOOKUP($A528, My_Audit!$A:$A, My_Audit!N:N, ""),
    _xlfn.TEXTJOIN(", ", TRUE, _xlpm.MyAuditVal, _xlpm.MacVal)
)</f>
        <v/>
      </c>
    </row>
    <row r="529" spans="1:24">
      <c r="A529" s="40" t="str">
        <f>_xlfn.TEXTJOIN("",TRUE,Input!$B$2,ROW(My_Audit!A528))</f>
        <v>X528</v>
      </c>
      <c r="B529" s="40" t="str">
        <f>_xlfn.TEXTJOIN("-",TRUE,"ITD",Input!$A$2,A529)</f>
        <v>ITD-X528</v>
      </c>
      <c r="C529" s="40" t="str" cm="1">
        <f t="array" ref="C529">IFERROR(_xlfn.LET(
_xlpm.CSVVal,_xlfn.XLOOKUP($A529,CSV!$A:$A,CSV!B:B,""),
_xlpm.MacVal,_xlfn.XLOOKUP($A529,Output_Mac!$A:$A,Output_Mac!B:B,""),
_xlpm.MyAuditVal,_xlfn.XLOOKUP($A529,My_Audit!$A:$A,My_Audit!B:B,""),
_xlfn.IFS(_xlpm.MyAuditVal&lt;&gt;"",UPPER(_xlpm.MyAuditVal),_xlpm.MacVal&lt;&gt;"",_xlpm.MacVal,_xlpm.CSVVal&lt;&gt;"",_xlpm.CSVVal
)),"")</f>
        <v/>
      </c>
      <c r="D529" s="40" t="str" cm="1">
        <f t="array" ref="D529">IFERROR(_xlfn.LET(
_xlpm.CSVVal,_xlfn.XLOOKUP($A529,CSV!$A:$A,CSV!D:D,""),
_xlpm.MacVal,_xlfn.XLOOKUP($A529,Output_Mac!$A:$A,Output_Mac!C:C,""),
_xlpm.MyAuditVal,_xlfn.XLOOKUP($A529,My_Audit!$A:$A,My_Audit!C:C,""),
_xlfn.IFS(_xlpm.MyAuditVal&lt;&gt;"",_xlpm.MyAuditVal,_xlpm.MacVal&lt;&gt;"",_xlpm.MacVal,_xlpm.CSVVal&lt;&gt;"",_xlpm.CSVVal
)),"")</f>
        <v/>
      </c>
      <c r="E529" s="40" t="str">
        <f>_xlfn.XLOOKUP(A529,My_Audit!A:A,My_Audit!D:D,"")</f>
        <v/>
      </c>
      <c r="F529" s="40" t="str" cm="1">
        <f t="array" ref="F529">IFERROR(_xlfn.LET(
_xlpm.CSVVal,_xlfn.XLOOKUP($A529,CSV!$A:$A,CSV!F:F,""),
_xlpm.MacVal,_xlfn.XLOOKUP($A529,Output_Mac!$A:$A,Output_Mac!E:E,""),
_xlpm.MyAuditVal,_xlfn.XLOOKUP($A529,My_Audit!$A:$A,My_Audit!E:E,""),
_xlfn.IFS(_xlpm.MyAuditVal&lt;&gt;"",_xlpm.MyAuditVal,_xlpm.MacVal&lt;&gt;"",_xlpm.MacVal,_xlpm.CSVVal&lt;&gt;"",_xlpm.CSVVal
)),"")</f>
        <v/>
      </c>
      <c r="G529" s="40" t="str" cm="1">
        <f t="array" ref="G529">IFERROR(_xlfn.LET(
_xlpm.CSVVal,_xlfn.XLOOKUP($A529,CSV!$A:$A,CSV!G:G,""),
_xlpm.MacVal,_xlfn.XLOOKUP($A529,Output_Mac!$A:$A,Output_Mac!F:F,""),
_xlpm.MyAuditVal,_xlfn.XLOOKUP($A529,My_Audit!$A:$A,My_Audit!F:F,""),
_xlfn.IFS(_xlpm.MyAuditVal&lt;&gt;"",_xlpm.MyAuditVal,_xlpm.MacVal&lt;&gt;"",_xlpm.MacVal,_xlpm.CSVVal&lt;&gt;"",PROPER(_xlpm.CSVVal)
)),"")</f>
        <v/>
      </c>
      <c r="H529" s="40" t="str" cm="1">
        <f t="array" ref="H529">IFERROR(_xlfn.LET(
_xlpm.CSVVal,_xlfn.XLOOKUP($A529,CSV!$A:$A,CSV!H:H,""),
_xlpm.MacVal,_xlfn.XLOOKUP($A529,Output_Mac!$A:$A,Output_Mac!H:H,""),
_xlpm.MyAuditVal,_xlfn.XLOOKUP($A529,My_Audit!$A:$A,My_Audit!G:G,""),
_xlfn.IFS(_xlpm.MyAuditVal&lt;&gt;"",_xlpm.MyAuditVal,_xlpm.MacVal&lt;&gt;"",_xlpm.MacVal,_xlpm.CSVVal&lt;&gt;"",_xlpm.CSVVal
)),"")</f>
        <v/>
      </c>
      <c r="I529" s="40" t="str">
        <f>_xlfn.XLOOKUP(A529,Output_Mac!A:A,Output_Mac!I:I,"")</f>
        <v/>
      </c>
      <c r="J529" s="40" t="str" cm="1">
        <f t="array" ref="J529">IFERROR(_xlfn.LET(
_xlpm.CSVVal,_xlfn.XLOOKUP($A529,CSV!$A:$A,CSV!I:I,""),
_xlpm.MacVal,_xlfn.XLOOKUP($A529,Output_Mac!$A:$A,Output_Mac!J:J,""),
_xlpm.MyAuditVal,_xlfn.XLOOKUP($A529,My_Audit!$A:$A,My_Audit!I:I,""),
_xlfn.IFS(_xlpm.MyAuditVal&lt;&gt;"",UPPER(_xlpm.MyAuditVal),_xlpm.MacVal&lt;&gt;"",_xlpm.MacVal,_xlpm.CSVVal&lt;&gt;"",_xlpm.CSVVal
)),"")</f>
        <v/>
      </c>
      <c r="K529" s="40" t="str" cm="1">
        <f t="array" ref="K529">IFERROR(_xlfn.LET(
_xlpm.CSVVal,_xlfn.XLOOKUP($A529,CSV!$A:$A,CSV!K:K,""),
_xlpm.MacVal,_xlfn.XLOOKUP($A529,Output_Mac!$A:$A,Output_Mac!K:K,""),
_xlpm.MyAuditVal,_xlfn.XLOOKUP($A529,My_Audit!$A:$A,My_Audit!J:J,""),
_xlfn.IFS(_xlpm.MyAuditVal&lt;&gt;"",UPPER(_xlpm.MyAuditVal),_xlpm.MacVal&lt;&gt;"",_xlpm.MacVal,_xlpm.CSVVal&lt;&gt;"",_xlpm.CSVVal
)),"")</f>
        <v/>
      </c>
      <c r="L529" s="40" t="str" cm="1">
        <f t="array" ref="L529">IFERROR(_xlfn.LET(
_xlpm.CSVVal,_xlfn.XLOOKUP($A529,CSV!$A:$A,CSV!P:P,""),
_xlpm.MacVal,_xlfn.XLOOKUP($A529,Output_Mac!$A:$A,Output_Mac!L:L,""),
_xlpm.MyAuditVal,_xlfn.XLOOKUP($A529,My_Audit!$A:$A,My_Audit!K:K,""),
_xlfn.IFS(_xlpm.MyAuditVal&lt;&gt;"",UPPER(_xlpm.MyAuditVal),_xlpm.MacVal&lt;&gt;"",_xlpm.MacVal,_xlpm.CSVVal&lt;&gt;"",_xlpm.CSVVal
)),"")</f>
        <v/>
      </c>
      <c r="M529" s="40" t="str" cm="1">
        <f t="array" ref="M529">IFERROR(_xlfn.LET(
_xlpm.CSVVal,_xlfn.XLOOKUP($A529,CSV!$A:$A,CSV!Q:Q,""),
_xlpm.MacVal,_xlfn.XLOOKUP($A529,Output_Mac!$A:$A,Output_Mac!M:M,""),
_xlpm.MyAuditVal,_xlfn.XLOOKUP($A529,My_Audit!$A:$A,My_Audit!L:L,""),
_xlfn.IFS(_xlpm.MyAuditVal&lt;&gt;"",UPPER(_xlpm.MyAuditVal),_xlpm.MacVal&lt;&gt;"",_xlpm.MacVal,_xlpm.CSVVal&lt;&gt;"",_xlpm.CSVVal
)),"")</f>
        <v/>
      </c>
      <c r="N529" s="40"/>
      <c r="O529" s="40" t="str">
        <f>_xlfn.LET(
    _xlpm.CSVVal, _xlfn.XLOOKUP($A529, CSV!$A:$A, CSV!AA:AA, ""),
    _xlpm.MacVal, _xlfn.XLOOKUP($A529, Output_Mac!$A:$A, Output_Mac!S:S, ""),
    _xlpm.MyAuditVal, _xlfn.XLOOKUP($A529, My_Audit!$A:$A, My_Audit!P:P, ""),
    _xlfn.TEXTJOIN(", ", TRUE, _xlpm.MyAuditVal, _xlpm.MacVal, _xlpm.CSVVal)
)</f>
        <v/>
      </c>
      <c r="P529" s="40" t="str" cm="1">
        <f t="array" ref="P529">IFERROR(_xlfn.LET(
_xlpm.CSVVal,_xlfn.XLOOKUP($A529,CSV!$A:$A,CSV!AB:AB,""),
_xlpm.MacVal,_xlfn.XLOOKUP($A529,Output_Mac!$A:$A,Output_Mac!T:T,""),
_xlpm.MyAuditVal,_xlfn.XLOOKUP($A529,My_Audit!$A:$A,My_Audit!Q:Q,""),
_xlfn.IFS(_xlpm.MyAuditVal&lt;&gt;"",UPPER(_xlpm.MyAuditVal),_xlpm.MacVal&lt;&gt;"",_xlpm.MacVal,_xlpm.CSVVal&lt;&gt;"",_xlpm.CSVVal
)),"No")</f>
        <v>No</v>
      </c>
      <c r="Q529" s="40" t="str" cm="1">
        <f t="array" ref="Q529">IFERROR(_xlfn.LET(
_xlpm.CSVVal,_xlfn.XLOOKUP($A529,CSV!$A:$A,CSV!AC:AC,""),
_xlpm.MacVal,_xlfn.XLOOKUP($A529,Output_Mac!$A:$A,Output_Mac!U:U,""),
_xlpm.MyAuditVal,_xlfn.XLOOKUP($A529,My_Audit!$A:$A,My_Audit!R:R,""),
_xlfn.IFS(_xlpm.MyAuditVal&lt;&gt;"",UPPER(_xlpm.MyAuditVal),_xlpm.MacVal&lt;&gt;"",_xlpm.MacVal,_xlpm.CSVVal&lt;&gt;"",_xlpm.CSVVal
)),"")</f>
        <v/>
      </c>
      <c r="R529" s="40"/>
      <c r="S529" s="40"/>
      <c r="T529" s="40"/>
      <c r="U529" s="40"/>
      <c r="V529" s="40"/>
      <c r="W529" s="40"/>
      <c r="X529" s="41" t="str">
        <f>_xlfn.LET(
    _xlpm.MacVal, _xlfn.XLOOKUP($A529, Output_Mac!$A:$A, Output_Mac!AB:AB, ""),
    _xlpm.MyAuditVal, _xlfn.XLOOKUP($A529, My_Audit!$A:$A, My_Audit!N:N, ""),
    _xlfn.TEXTJOIN(", ", TRUE, _xlpm.MyAuditVal, _xlpm.MacVal)
)</f>
        <v/>
      </c>
    </row>
    <row r="530" spans="1:24">
      <c r="A530" s="40" t="str">
        <f>_xlfn.TEXTJOIN("",TRUE,Input!$B$2,ROW(My_Audit!A529))</f>
        <v>X529</v>
      </c>
      <c r="B530" s="40" t="str">
        <f>_xlfn.TEXTJOIN("-",TRUE,"ITD",Input!$A$2,A530)</f>
        <v>ITD-X529</v>
      </c>
      <c r="C530" s="40" t="str" cm="1">
        <f t="array" ref="C530">IFERROR(_xlfn.LET(
_xlpm.CSVVal,_xlfn.XLOOKUP($A530,CSV!$A:$A,CSV!B:B,""),
_xlpm.MacVal,_xlfn.XLOOKUP($A530,Output_Mac!$A:$A,Output_Mac!B:B,""),
_xlpm.MyAuditVal,_xlfn.XLOOKUP($A530,My_Audit!$A:$A,My_Audit!B:B,""),
_xlfn.IFS(_xlpm.MyAuditVal&lt;&gt;"",UPPER(_xlpm.MyAuditVal),_xlpm.MacVal&lt;&gt;"",_xlpm.MacVal,_xlpm.CSVVal&lt;&gt;"",_xlpm.CSVVal
)),"")</f>
        <v/>
      </c>
      <c r="D530" s="40" t="str" cm="1">
        <f t="array" ref="D530">IFERROR(_xlfn.LET(
_xlpm.CSVVal,_xlfn.XLOOKUP($A530,CSV!$A:$A,CSV!D:D,""),
_xlpm.MacVal,_xlfn.XLOOKUP($A530,Output_Mac!$A:$A,Output_Mac!C:C,""),
_xlpm.MyAuditVal,_xlfn.XLOOKUP($A530,My_Audit!$A:$A,My_Audit!C:C,""),
_xlfn.IFS(_xlpm.MyAuditVal&lt;&gt;"",_xlpm.MyAuditVal,_xlpm.MacVal&lt;&gt;"",_xlpm.MacVal,_xlpm.CSVVal&lt;&gt;"",_xlpm.CSVVal
)),"")</f>
        <v/>
      </c>
      <c r="E530" s="40" t="str">
        <f>_xlfn.XLOOKUP(A530,My_Audit!A:A,My_Audit!D:D,"")</f>
        <v/>
      </c>
      <c r="F530" s="40" t="str" cm="1">
        <f t="array" ref="F530">IFERROR(_xlfn.LET(
_xlpm.CSVVal,_xlfn.XLOOKUP($A530,CSV!$A:$A,CSV!F:F,""),
_xlpm.MacVal,_xlfn.XLOOKUP($A530,Output_Mac!$A:$A,Output_Mac!E:E,""),
_xlpm.MyAuditVal,_xlfn.XLOOKUP($A530,My_Audit!$A:$A,My_Audit!E:E,""),
_xlfn.IFS(_xlpm.MyAuditVal&lt;&gt;"",_xlpm.MyAuditVal,_xlpm.MacVal&lt;&gt;"",_xlpm.MacVal,_xlpm.CSVVal&lt;&gt;"",_xlpm.CSVVal
)),"")</f>
        <v/>
      </c>
      <c r="G530" s="40" t="str" cm="1">
        <f t="array" ref="G530">IFERROR(_xlfn.LET(
_xlpm.CSVVal,_xlfn.XLOOKUP($A530,CSV!$A:$A,CSV!G:G,""),
_xlpm.MacVal,_xlfn.XLOOKUP($A530,Output_Mac!$A:$A,Output_Mac!F:F,""),
_xlpm.MyAuditVal,_xlfn.XLOOKUP($A530,My_Audit!$A:$A,My_Audit!F:F,""),
_xlfn.IFS(_xlpm.MyAuditVal&lt;&gt;"",_xlpm.MyAuditVal,_xlpm.MacVal&lt;&gt;"",_xlpm.MacVal,_xlpm.CSVVal&lt;&gt;"",PROPER(_xlpm.CSVVal)
)),"")</f>
        <v/>
      </c>
      <c r="H530" s="40" t="str" cm="1">
        <f t="array" ref="H530">IFERROR(_xlfn.LET(
_xlpm.CSVVal,_xlfn.XLOOKUP($A530,CSV!$A:$A,CSV!H:H,""),
_xlpm.MacVal,_xlfn.XLOOKUP($A530,Output_Mac!$A:$A,Output_Mac!H:H,""),
_xlpm.MyAuditVal,_xlfn.XLOOKUP($A530,My_Audit!$A:$A,My_Audit!G:G,""),
_xlfn.IFS(_xlpm.MyAuditVal&lt;&gt;"",_xlpm.MyAuditVal,_xlpm.MacVal&lt;&gt;"",_xlpm.MacVal,_xlpm.CSVVal&lt;&gt;"",_xlpm.CSVVal
)),"")</f>
        <v/>
      </c>
      <c r="I530" s="40" t="str">
        <f>_xlfn.XLOOKUP(A530,Output_Mac!A:A,Output_Mac!I:I,"")</f>
        <v/>
      </c>
      <c r="J530" s="40" t="str" cm="1">
        <f t="array" ref="J530">IFERROR(_xlfn.LET(
_xlpm.CSVVal,_xlfn.XLOOKUP($A530,CSV!$A:$A,CSV!I:I,""),
_xlpm.MacVal,_xlfn.XLOOKUP($A530,Output_Mac!$A:$A,Output_Mac!J:J,""),
_xlpm.MyAuditVal,_xlfn.XLOOKUP($A530,My_Audit!$A:$A,My_Audit!I:I,""),
_xlfn.IFS(_xlpm.MyAuditVal&lt;&gt;"",UPPER(_xlpm.MyAuditVal),_xlpm.MacVal&lt;&gt;"",_xlpm.MacVal,_xlpm.CSVVal&lt;&gt;"",_xlpm.CSVVal
)),"")</f>
        <v/>
      </c>
      <c r="K530" s="40" t="str" cm="1">
        <f t="array" ref="K530">IFERROR(_xlfn.LET(
_xlpm.CSVVal,_xlfn.XLOOKUP($A530,CSV!$A:$A,CSV!K:K,""),
_xlpm.MacVal,_xlfn.XLOOKUP($A530,Output_Mac!$A:$A,Output_Mac!K:K,""),
_xlpm.MyAuditVal,_xlfn.XLOOKUP($A530,My_Audit!$A:$A,My_Audit!J:J,""),
_xlfn.IFS(_xlpm.MyAuditVal&lt;&gt;"",UPPER(_xlpm.MyAuditVal),_xlpm.MacVal&lt;&gt;"",_xlpm.MacVal,_xlpm.CSVVal&lt;&gt;"",_xlpm.CSVVal
)),"")</f>
        <v/>
      </c>
      <c r="L530" s="40" t="str" cm="1">
        <f t="array" ref="L530">IFERROR(_xlfn.LET(
_xlpm.CSVVal,_xlfn.XLOOKUP($A530,CSV!$A:$A,CSV!P:P,""),
_xlpm.MacVal,_xlfn.XLOOKUP($A530,Output_Mac!$A:$A,Output_Mac!L:L,""),
_xlpm.MyAuditVal,_xlfn.XLOOKUP($A530,My_Audit!$A:$A,My_Audit!K:K,""),
_xlfn.IFS(_xlpm.MyAuditVal&lt;&gt;"",UPPER(_xlpm.MyAuditVal),_xlpm.MacVal&lt;&gt;"",_xlpm.MacVal,_xlpm.CSVVal&lt;&gt;"",_xlpm.CSVVal
)),"")</f>
        <v/>
      </c>
      <c r="M530" s="40" t="str" cm="1">
        <f t="array" ref="M530">IFERROR(_xlfn.LET(
_xlpm.CSVVal,_xlfn.XLOOKUP($A530,CSV!$A:$A,CSV!Q:Q,""),
_xlpm.MacVal,_xlfn.XLOOKUP($A530,Output_Mac!$A:$A,Output_Mac!M:M,""),
_xlpm.MyAuditVal,_xlfn.XLOOKUP($A530,My_Audit!$A:$A,My_Audit!L:L,""),
_xlfn.IFS(_xlpm.MyAuditVal&lt;&gt;"",UPPER(_xlpm.MyAuditVal),_xlpm.MacVal&lt;&gt;"",_xlpm.MacVal,_xlpm.CSVVal&lt;&gt;"",_xlpm.CSVVal
)),"")</f>
        <v/>
      </c>
      <c r="N530" s="40"/>
      <c r="O530" s="40" t="str">
        <f>_xlfn.LET(
    _xlpm.CSVVal, _xlfn.XLOOKUP($A530, CSV!$A:$A, CSV!AA:AA, ""),
    _xlpm.MacVal, _xlfn.XLOOKUP($A530, Output_Mac!$A:$A, Output_Mac!S:S, ""),
    _xlpm.MyAuditVal, _xlfn.XLOOKUP($A530, My_Audit!$A:$A, My_Audit!P:P, ""),
    _xlfn.TEXTJOIN(", ", TRUE, _xlpm.MyAuditVal, _xlpm.MacVal, _xlpm.CSVVal)
)</f>
        <v/>
      </c>
      <c r="P530" s="40" t="str" cm="1">
        <f t="array" ref="P530">IFERROR(_xlfn.LET(
_xlpm.CSVVal,_xlfn.XLOOKUP($A530,CSV!$A:$A,CSV!AB:AB,""),
_xlpm.MacVal,_xlfn.XLOOKUP($A530,Output_Mac!$A:$A,Output_Mac!T:T,""),
_xlpm.MyAuditVal,_xlfn.XLOOKUP($A530,My_Audit!$A:$A,My_Audit!Q:Q,""),
_xlfn.IFS(_xlpm.MyAuditVal&lt;&gt;"",UPPER(_xlpm.MyAuditVal),_xlpm.MacVal&lt;&gt;"",_xlpm.MacVal,_xlpm.CSVVal&lt;&gt;"",_xlpm.CSVVal
)),"No")</f>
        <v>No</v>
      </c>
      <c r="Q530" s="40" t="str" cm="1">
        <f t="array" ref="Q530">IFERROR(_xlfn.LET(
_xlpm.CSVVal,_xlfn.XLOOKUP($A530,CSV!$A:$A,CSV!AC:AC,""),
_xlpm.MacVal,_xlfn.XLOOKUP($A530,Output_Mac!$A:$A,Output_Mac!U:U,""),
_xlpm.MyAuditVal,_xlfn.XLOOKUP($A530,My_Audit!$A:$A,My_Audit!R:R,""),
_xlfn.IFS(_xlpm.MyAuditVal&lt;&gt;"",UPPER(_xlpm.MyAuditVal),_xlpm.MacVal&lt;&gt;"",_xlpm.MacVal,_xlpm.CSVVal&lt;&gt;"",_xlpm.CSVVal
)),"")</f>
        <v/>
      </c>
      <c r="R530" s="40"/>
      <c r="S530" s="40"/>
      <c r="T530" s="40"/>
      <c r="U530" s="40"/>
      <c r="V530" s="40"/>
      <c r="W530" s="40"/>
      <c r="X530" s="41" t="str">
        <f>_xlfn.LET(
    _xlpm.MacVal, _xlfn.XLOOKUP($A530, Output_Mac!$A:$A, Output_Mac!AB:AB, ""),
    _xlpm.MyAuditVal, _xlfn.XLOOKUP($A530, My_Audit!$A:$A, My_Audit!N:N, ""),
    _xlfn.TEXTJOIN(", ", TRUE, _xlpm.MyAuditVal, _xlpm.MacVal)
)</f>
        <v/>
      </c>
    </row>
    <row r="531" spans="1:24">
      <c r="A531" s="40" t="str">
        <f>_xlfn.TEXTJOIN("",TRUE,Input!$B$2,ROW(My_Audit!A530))</f>
        <v>X530</v>
      </c>
      <c r="B531" s="40" t="str">
        <f>_xlfn.TEXTJOIN("-",TRUE,"ITD",Input!$A$2,A531)</f>
        <v>ITD-X530</v>
      </c>
      <c r="C531" s="40" t="str" cm="1">
        <f t="array" ref="C531">IFERROR(_xlfn.LET(
_xlpm.CSVVal,_xlfn.XLOOKUP($A531,CSV!$A:$A,CSV!B:B,""),
_xlpm.MacVal,_xlfn.XLOOKUP($A531,Output_Mac!$A:$A,Output_Mac!B:B,""),
_xlpm.MyAuditVal,_xlfn.XLOOKUP($A531,My_Audit!$A:$A,My_Audit!B:B,""),
_xlfn.IFS(_xlpm.MyAuditVal&lt;&gt;"",UPPER(_xlpm.MyAuditVal),_xlpm.MacVal&lt;&gt;"",_xlpm.MacVal,_xlpm.CSVVal&lt;&gt;"",_xlpm.CSVVal
)),"")</f>
        <v/>
      </c>
      <c r="D531" s="40" t="str" cm="1">
        <f t="array" ref="D531">IFERROR(_xlfn.LET(
_xlpm.CSVVal,_xlfn.XLOOKUP($A531,CSV!$A:$A,CSV!D:D,""),
_xlpm.MacVal,_xlfn.XLOOKUP($A531,Output_Mac!$A:$A,Output_Mac!C:C,""),
_xlpm.MyAuditVal,_xlfn.XLOOKUP($A531,My_Audit!$A:$A,My_Audit!C:C,""),
_xlfn.IFS(_xlpm.MyAuditVal&lt;&gt;"",_xlpm.MyAuditVal,_xlpm.MacVal&lt;&gt;"",_xlpm.MacVal,_xlpm.CSVVal&lt;&gt;"",_xlpm.CSVVal
)),"")</f>
        <v/>
      </c>
      <c r="E531" s="40" t="str">
        <f>_xlfn.XLOOKUP(A531,My_Audit!A:A,My_Audit!D:D,"")</f>
        <v/>
      </c>
      <c r="F531" s="40" t="str" cm="1">
        <f t="array" ref="F531">IFERROR(_xlfn.LET(
_xlpm.CSVVal,_xlfn.XLOOKUP($A531,CSV!$A:$A,CSV!F:F,""),
_xlpm.MacVal,_xlfn.XLOOKUP($A531,Output_Mac!$A:$A,Output_Mac!E:E,""),
_xlpm.MyAuditVal,_xlfn.XLOOKUP($A531,My_Audit!$A:$A,My_Audit!E:E,""),
_xlfn.IFS(_xlpm.MyAuditVal&lt;&gt;"",_xlpm.MyAuditVal,_xlpm.MacVal&lt;&gt;"",_xlpm.MacVal,_xlpm.CSVVal&lt;&gt;"",_xlpm.CSVVal
)),"")</f>
        <v/>
      </c>
      <c r="G531" s="40" t="str" cm="1">
        <f t="array" ref="G531">IFERROR(_xlfn.LET(
_xlpm.CSVVal,_xlfn.XLOOKUP($A531,CSV!$A:$A,CSV!G:G,""),
_xlpm.MacVal,_xlfn.XLOOKUP($A531,Output_Mac!$A:$A,Output_Mac!F:F,""),
_xlpm.MyAuditVal,_xlfn.XLOOKUP($A531,My_Audit!$A:$A,My_Audit!F:F,""),
_xlfn.IFS(_xlpm.MyAuditVal&lt;&gt;"",_xlpm.MyAuditVal,_xlpm.MacVal&lt;&gt;"",_xlpm.MacVal,_xlpm.CSVVal&lt;&gt;"",PROPER(_xlpm.CSVVal)
)),"")</f>
        <v/>
      </c>
      <c r="H531" s="40" t="str" cm="1">
        <f t="array" ref="H531">IFERROR(_xlfn.LET(
_xlpm.CSVVal,_xlfn.XLOOKUP($A531,CSV!$A:$A,CSV!H:H,""),
_xlpm.MacVal,_xlfn.XLOOKUP($A531,Output_Mac!$A:$A,Output_Mac!H:H,""),
_xlpm.MyAuditVal,_xlfn.XLOOKUP($A531,My_Audit!$A:$A,My_Audit!G:G,""),
_xlfn.IFS(_xlpm.MyAuditVal&lt;&gt;"",_xlpm.MyAuditVal,_xlpm.MacVal&lt;&gt;"",_xlpm.MacVal,_xlpm.CSVVal&lt;&gt;"",_xlpm.CSVVal
)),"")</f>
        <v/>
      </c>
      <c r="I531" s="40" t="str">
        <f>_xlfn.XLOOKUP(A531,Output_Mac!A:A,Output_Mac!I:I,"")</f>
        <v/>
      </c>
      <c r="J531" s="40" t="str" cm="1">
        <f t="array" ref="J531">IFERROR(_xlfn.LET(
_xlpm.CSVVal,_xlfn.XLOOKUP($A531,CSV!$A:$A,CSV!I:I,""),
_xlpm.MacVal,_xlfn.XLOOKUP($A531,Output_Mac!$A:$A,Output_Mac!J:J,""),
_xlpm.MyAuditVal,_xlfn.XLOOKUP($A531,My_Audit!$A:$A,My_Audit!I:I,""),
_xlfn.IFS(_xlpm.MyAuditVal&lt;&gt;"",UPPER(_xlpm.MyAuditVal),_xlpm.MacVal&lt;&gt;"",_xlpm.MacVal,_xlpm.CSVVal&lt;&gt;"",_xlpm.CSVVal
)),"")</f>
        <v/>
      </c>
      <c r="K531" s="40" t="str" cm="1">
        <f t="array" ref="K531">IFERROR(_xlfn.LET(
_xlpm.CSVVal,_xlfn.XLOOKUP($A531,CSV!$A:$A,CSV!K:K,""),
_xlpm.MacVal,_xlfn.XLOOKUP($A531,Output_Mac!$A:$A,Output_Mac!K:K,""),
_xlpm.MyAuditVal,_xlfn.XLOOKUP($A531,My_Audit!$A:$A,My_Audit!J:J,""),
_xlfn.IFS(_xlpm.MyAuditVal&lt;&gt;"",UPPER(_xlpm.MyAuditVal),_xlpm.MacVal&lt;&gt;"",_xlpm.MacVal,_xlpm.CSVVal&lt;&gt;"",_xlpm.CSVVal
)),"")</f>
        <v/>
      </c>
      <c r="L531" s="40" t="str" cm="1">
        <f t="array" ref="L531">IFERROR(_xlfn.LET(
_xlpm.CSVVal,_xlfn.XLOOKUP($A531,CSV!$A:$A,CSV!P:P,""),
_xlpm.MacVal,_xlfn.XLOOKUP($A531,Output_Mac!$A:$A,Output_Mac!L:L,""),
_xlpm.MyAuditVal,_xlfn.XLOOKUP($A531,My_Audit!$A:$A,My_Audit!K:K,""),
_xlfn.IFS(_xlpm.MyAuditVal&lt;&gt;"",UPPER(_xlpm.MyAuditVal),_xlpm.MacVal&lt;&gt;"",_xlpm.MacVal,_xlpm.CSVVal&lt;&gt;"",_xlpm.CSVVal
)),"")</f>
        <v/>
      </c>
      <c r="M531" s="40" t="str" cm="1">
        <f t="array" ref="M531">IFERROR(_xlfn.LET(
_xlpm.CSVVal,_xlfn.XLOOKUP($A531,CSV!$A:$A,CSV!Q:Q,""),
_xlpm.MacVal,_xlfn.XLOOKUP($A531,Output_Mac!$A:$A,Output_Mac!M:M,""),
_xlpm.MyAuditVal,_xlfn.XLOOKUP($A531,My_Audit!$A:$A,My_Audit!L:L,""),
_xlfn.IFS(_xlpm.MyAuditVal&lt;&gt;"",UPPER(_xlpm.MyAuditVal),_xlpm.MacVal&lt;&gt;"",_xlpm.MacVal,_xlpm.CSVVal&lt;&gt;"",_xlpm.CSVVal
)),"")</f>
        <v/>
      </c>
      <c r="N531" s="40"/>
      <c r="O531" s="40" t="str">
        <f>_xlfn.LET(
    _xlpm.CSVVal, _xlfn.XLOOKUP($A531, CSV!$A:$A, CSV!AA:AA, ""),
    _xlpm.MacVal, _xlfn.XLOOKUP($A531, Output_Mac!$A:$A, Output_Mac!S:S, ""),
    _xlpm.MyAuditVal, _xlfn.XLOOKUP($A531, My_Audit!$A:$A, My_Audit!P:P, ""),
    _xlfn.TEXTJOIN(", ", TRUE, _xlpm.MyAuditVal, _xlpm.MacVal, _xlpm.CSVVal)
)</f>
        <v/>
      </c>
      <c r="P531" s="40" t="str" cm="1">
        <f t="array" ref="P531">IFERROR(_xlfn.LET(
_xlpm.CSVVal,_xlfn.XLOOKUP($A531,CSV!$A:$A,CSV!AB:AB,""),
_xlpm.MacVal,_xlfn.XLOOKUP($A531,Output_Mac!$A:$A,Output_Mac!T:T,""),
_xlpm.MyAuditVal,_xlfn.XLOOKUP($A531,My_Audit!$A:$A,My_Audit!Q:Q,""),
_xlfn.IFS(_xlpm.MyAuditVal&lt;&gt;"",UPPER(_xlpm.MyAuditVal),_xlpm.MacVal&lt;&gt;"",_xlpm.MacVal,_xlpm.CSVVal&lt;&gt;"",_xlpm.CSVVal
)),"No")</f>
        <v>No</v>
      </c>
      <c r="Q531" s="40" t="str" cm="1">
        <f t="array" ref="Q531">IFERROR(_xlfn.LET(
_xlpm.CSVVal,_xlfn.XLOOKUP($A531,CSV!$A:$A,CSV!AC:AC,""),
_xlpm.MacVal,_xlfn.XLOOKUP($A531,Output_Mac!$A:$A,Output_Mac!U:U,""),
_xlpm.MyAuditVal,_xlfn.XLOOKUP($A531,My_Audit!$A:$A,My_Audit!R:R,""),
_xlfn.IFS(_xlpm.MyAuditVal&lt;&gt;"",UPPER(_xlpm.MyAuditVal),_xlpm.MacVal&lt;&gt;"",_xlpm.MacVal,_xlpm.CSVVal&lt;&gt;"",_xlpm.CSVVal
)),"")</f>
        <v/>
      </c>
      <c r="R531" s="40"/>
      <c r="S531" s="40"/>
      <c r="T531" s="40"/>
      <c r="U531" s="40"/>
      <c r="V531" s="40"/>
      <c r="W531" s="40"/>
      <c r="X531" s="41" t="str">
        <f>_xlfn.LET(
    _xlpm.MacVal, _xlfn.XLOOKUP($A531, Output_Mac!$A:$A, Output_Mac!AB:AB, ""),
    _xlpm.MyAuditVal, _xlfn.XLOOKUP($A531, My_Audit!$A:$A, My_Audit!N:N, ""),
    _xlfn.TEXTJOIN(", ", TRUE, _xlpm.MyAuditVal, _xlpm.MacVal)
)</f>
        <v/>
      </c>
    </row>
    <row r="532" spans="1:24">
      <c r="A532" s="40" t="str">
        <f>_xlfn.TEXTJOIN("",TRUE,Input!$B$2,ROW(My_Audit!A531))</f>
        <v>X531</v>
      </c>
      <c r="B532" s="40" t="str">
        <f>_xlfn.TEXTJOIN("-",TRUE,"ITD",Input!$A$2,A532)</f>
        <v>ITD-X531</v>
      </c>
      <c r="C532" s="40" t="str" cm="1">
        <f t="array" ref="C532">IFERROR(_xlfn.LET(
_xlpm.CSVVal,_xlfn.XLOOKUP($A532,CSV!$A:$A,CSV!B:B,""),
_xlpm.MacVal,_xlfn.XLOOKUP($A532,Output_Mac!$A:$A,Output_Mac!B:B,""),
_xlpm.MyAuditVal,_xlfn.XLOOKUP($A532,My_Audit!$A:$A,My_Audit!B:B,""),
_xlfn.IFS(_xlpm.MyAuditVal&lt;&gt;"",UPPER(_xlpm.MyAuditVal),_xlpm.MacVal&lt;&gt;"",_xlpm.MacVal,_xlpm.CSVVal&lt;&gt;"",_xlpm.CSVVal
)),"")</f>
        <v/>
      </c>
      <c r="D532" s="40" t="str" cm="1">
        <f t="array" ref="D532">IFERROR(_xlfn.LET(
_xlpm.CSVVal,_xlfn.XLOOKUP($A532,CSV!$A:$A,CSV!D:D,""),
_xlpm.MacVal,_xlfn.XLOOKUP($A532,Output_Mac!$A:$A,Output_Mac!C:C,""),
_xlpm.MyAuditVal,_xlfn.XLOOKUP($A532,My_Audit!$A:$A,My_Audit!C:C,""),
_xlfn.IFS(_xlpm.MyAuditVal&lt;&gt;"",_xlpm.MyAuditVal,_xlpm.MacVal&lt;&gt;"",_xlpm.MacVal,_xlpm.CSVVal&lt;&gt;"",_xlpm.CSVVal
)),"")</f>
        <v/>
      </c>
      <c r="E532" s="40" t="str">
        <f>_xlfn.XLOOKUP(A532,My_Audit!A:A,My_Audit!D:D,"")</f>
        <v/>
      </c>
      <c r="F532" s="40" t="str" cm="1">
        <f t="array" ref="F532">IFERROR(_xlfn.LET(
_xlpm.CSVVal,_xlfn.XLOOKUP($A532,CSV!$A:$A,CSV!F:F,""),
_xlpm.MacVal,_xlfn.XLOOKUP($A532,Output_Mac!$A:$A,Output_Mac!E:E,""),
_xlpm.MyAuditVal,_xlfn.XLOOKUP($A532,My_Audit!$A:$A,My_Audit!E:E,""),
_xlfn.IFS(_xlpm.MyAuditVal&lt;&gt;"",_xlpm.MyAuditVal,_xlpm.MacVal&lt;&gt;"",_xlpm.MacVal,_xlpm.CSVVal&lt;&gt;"",_xlpm.CSVVal
)),"")</f>
        <v/>
      </c>
      <c r="G532" s="40" t="str" cm="1">
        <f t="array" ref="G532">IFERROR(_xlfn.LET(
_xlpm.CSVVal,_xlfn.XLOOKUP($A532,CSV!$A:$A,CSV!G:G,""),
_xlpm.MacVal,_xlfn.XLOOKUP($A532,Output_Mac!$A:$A,Output_Mac!F:F,""),
_xlpm.MyAuditVal,_xlfn.XLOOKUP($A532,My_Audit!$A:$A,My_Audit!F:F,""),
_xlfn.IFS(_xlpm.MyAuditVal&lt;&gt;"",_xlpm.MyAuditVal,_xlpm.MacVal&lt;&gt;"",_xlpm.MacVal,_xlpm.CSVVal&lt;&gt;"",PROPER(_xlpm.CSVVal)
)),"")</f>
        <v/>
      </c>
      <c r="H532" s="40" t="str" cm="1">
        <f t="array" ref="H532">IFERROR(_xlfn.LET(
_xlpm.CSVVal,_xlfn.XLOOKUP($A532,CSV!$A:$A,CSV!H:H,""),
_xlpm.MacVal,_xlfn.XLOOKUP($A532,Output_Mac!$A:$A,Output_Mac!H:H,""),
_xlpm.MyAuditVal,_xlfn.XLOOKUP($A532,My_Audit!$A:$A,My_Audit!G:G,""),
_xlfn.IFS(_xlpm.MyAuditVal&lt;&gt;"",_xlpm.MyAuditVal,_xlpm.MacVal&lt;&gt;"",_xlpm.MacVal,_xlpm.CSVVal&lt;&gt;"",_xlpm.CSVVal
)),"")</f>
        <v/>
      </c>
      <c r="I532" s="40" t="str">
        <f>_xlfn.XLOOKUP(A532,Output_Mac!A:A,Output_Mac!I:I,"")</f>
        <v/>
      </c>
      <c r="J532" s="40" t="str" cm="1">
        <f t="array" ref="J532">IFERROR(_xlfn.LET(
_xlpm.CSVVal,_xlfn.XLOOKUP($A532,CSV!$A:$A,CSV!I:I,""),
_xlpm.MacVal,_xlfn.XLOOKUP($A532,Output_Mac!$A:$A,Output_Mac!J:J,""),
_xlpm.MyAuditVal,_xlfn.XLOOKUP($A532,My_Audit!$A:$A,My_Audit!I:I,""),
_xlfn.IFS(_xlpm.MyAuditVal&lt;&gt;"",UPPER(_xlpm.MyAuditVal),_xlpm.MacVal&lt;&gt;"",_xlpm.MacVal,_xlpm.CSVVal&lt;&gt;"",_xlpm.CSVVal
)),"")</f>
        <v/>
      </c>
      <c r="K532" s="40" t="str" cm="1">
        <f t="array" ref="K532">IFERROR(_xlfn.LET(
_xlpm.CSVVal,_xlfn.XLOOKUP($A532,CSV!$A:$A,CSV!K:K,""),
_xlpm.MacVal,_xlfn.XLOOKUP($A532,Output_Mac!$A:$A,Output_Mac!K:K,""),
_xlpm.MyAuditVal,_xlfn.XLOOKUP($A532,My_Audit!$A:$A,My_Audit!J:J,""),
_xlfn.IFS(_xlpm.MyAuditVal&lt;&gt;"",UPPER(_xlpm.MyAuditVal),_xlpm.MacVal&lt;&gt;"",_xlpm.MacVal,_xlpm.CSVVal&lt;&gt;"",_xlpm.CSVVal
)),"")</f>
        <v/>
      </c>
      <c r="L532" s="40" t="str" cm="1">
        <f t="array" ref="L532">IFERROR(_xlfn.LET(
_xlpm.CSVVal,_xlfn.XLOOKUP($A532,CSV!$A:$A,CSV!P:P,""),
_xlpm.MacVal,_xlfn.XLOOKUP($A532,Output_Mac!$A:$A,Output_Mac!L:L,""),
_xlpm.MyAuditVal,_xlfn.XLOOKUP($A532,My_Audit!$A:$A,My_Audit!K:K,""),
_xlfn.IFS(_xlpm.MyAuditVal&lt;&gt;"",UPPER(_xlpm.MyAuditVal),_xlpm.MacVal&lt;&gt;"",_xlpm.MacVal,_xlpm.CSVVal&lt;&gt;"",_xlpm.CSVVal
)),"")</f>
        <v/>
      </c>
      <c r="M532" s="40" t="str" cm="1">
        <f t="array" ref="M532">IFERROR(_xlfn.LET(
_xlpm.CSVVal,_xlfn.XLOOKUP($A532,CSV!$A:$A,CSV!Q:Q,""),
_xlpm.MacVal,_xlfn.XLOOKUP($A532,Output_Mac!$A:$A,Output_Mac!M:M,""),
_xlpm.MyAuditVal,_xlfn.XLOOKUP($A532,My_Audit!$A:$A,My_Audit!L:L,""),
_xlfn.IFS(_xlpm.MyAuditVal&lt;&gt;"",UPPER(_xlpm.MyAuditVal),_xlpm.MacVal&lt;&gt;"",_xlpm.MacVal,_xlpm.CSVVal&lt;&gt;"",_xlpm.CSVVal
)),"")</f>
        <v/>
      </c>
      <c r="N532" s="40"/>
      <c r="O532" s="40" t="str">
        <f>_xlfn.LET(
    _xlpm.CSVVal, _xlfn.XLOOKUP($A532, CSV!$A:$A, CSV!AA:AA, ""),
    _xlpm.MacVal, _xlfn.XLOOKUP($A532, Output_Mac!$A:$A, Output_Mac!S:S, ""),
    _xlpm.MyAuditVal, _xlfn.XLOOKUP($A532, My_Audit!$A:$A, My_Audit!P:P, ""),
    _xlfn.TEXTJOIN(", ", TRUE, _xlpm.MyAuditVal, _xlpm.MacVal, _xlpm.CSVVal)
)</f>
        <v/>
      </c>
      <c r="P532" s="40" t="str" cm="1">
        <f t="array" ref="P532">IFERROR(_xlfn.LET(
_xlpm.CSVVal,_xlfn.XLOOKUP($A532,CSV!$A:$A,CSV!AB:AB,""),
_xlpm.MacVal,_xlfn.XLOOKUP($A532,Output_Mac!$A:$A,Output_Mac!T:T,""),
_xlpm.MyAuditVal,_xlfn.XLOOKUP($A532,My_Audit!$A:$A,My_Audit!Q:Q,""),
_xlfn.IFS(_xlpm.MyAuditVal&lt;&gt;"",UPPER(_xlpm.MyAuditVal),_xlpm.MacVal&lt;&gt;"",_xlpm.MacVal,_xlpm.CSVVal&lt;&gt;"",_xlpm.CSVVal
)),"No")</f>
        <v>No</v>
      </c>
      <c r="Q532" s="40" t="str" cm="1">
        <f t="array" ref="Q532">IFERROR(_xlfn.LET(
_xlpm.CSVVal,_xlfn.XLOOKUP($A532,CSV!$A:$A,CSV!AC:AC,""),
_xlpm.MacVal,_xlfn.XLOOKUP($A532,Output_Mac!$A:$A,Output_Mac!U:U,""),
_xlpm.MyAuditVal,_xlfn.XLOOKUP($A532,My_Audit!$A:$A,My_Audit!R:R,""),
_xlfn.IFS(_xlpm.MyAuditVal&lt;&gt;"",UPPER(_xlpm.MyAuditVal),_xlpm.MacVal&lt;&gt;"",_xlpm.MacVal,_xlpm.CSVVal&lt;&gt;"",_xlpm.CSVVal
)),"")</f>
        <v/>
      </c>
      <c r="R532" s="40"/>
      <c r="S532" s="40"/>
      <c r="T532" s="40"/>
      <c r="U532" s="40"/>
      <c r="V532" s="40"/>
      <c r="W532" s="40"/>
      <c r="X532" s="41" t="str">
        <f>_xlfn.LET(
    _xlpm.MacVal, _xlfn.XLOOKUP($A532, Output_Mac!$A:$A, Output_Mac!AB:AB, ""),
    _xlpm.MyAuditVal, _xlfn.XLOOKUP($A532, My_Audit!$A:$A, My_Audit!N:N, ""),
    _xlfn.TEXTJOIN(", ", TRUE, _xlpm.MyAuditVal, _xlpm.MacVal)
)</f>
        <v/>
      </c>
    </row>
    <row r="533" spans="1:24">
      <c r="A533" s="40" t="str">
        <f>_xlfn.TEXTJOIN("",TRUE,Input!$B$2,ROW(My_Audit!A532))</f>
        <v>X532</v>
      </c>
      <c r="B533" s="40" t="str">
        <f>_xlfn.TEXTJOIN("-",TRUE,"ITD",Input!$A$2,A533)</f>
        <v>ITD-X532</v>
      </c>
      <c r="C533" s="40" t="str" cm="1">
        <f t="array" ref="C533">IFERROR(_xlfn.LET(
_xlpm.CSVVal,_xlfn.XLOOKUP($A533,CSV!$A:$A,CSV!B:B,""),
_xlpm.MacVal,_xlfn.XLOOKUP($A533,Output_Mac!$A:$A,Output_Mac!B:B,""),
_xlpm.MyAuditVal,_xlfn.XLOOKUP($A533,My_Audit!$A:$A,My_Audit!B:B,""),
_xlfn.IFS(_xlpm.MyAuditVal&lt;&gt;"",UPPER(_xlpm.MyAuditVal),_xlpm.MacVal&lt;&gt;"",_xlpm.MacVal,_xlpm.CSVVal&lt;&gt;"",_xlpm.CSVVal
)),"")</f>
        <v/>
      </c>
      <c r="D533" s="40" t="str" cm="1">
        <f t="array" ref="D533">IFERROR(_xlfn.LET(
_xlpm.CSVVal,_xlfn.XLOOKUP($A533,CSV!$A:$A,CSV!D:D,""),
_xlpm.MacVal,_xlfn.XLOOKUP($A533,Output_Mac!$A:$A,Output_Mac!C:C,""),
_xlpm.MyAuditVal,_xlfn.XLOOKUP($A533,My_Audit!$A:$A,My_Audit!C:C,""),
_xlfn.IFS(_xlpm.MyAuditVal&lt;&gt;"",_xlpm.MyAuditVal,_xlpm.MacVal&lt;&gt;"",_xlpm.MacVal,_xlpm.CSVVal&lt;&gt;"",_xlpm.CSVVal
)),"")</f>
        <v/>
      </c>
      <c r="E533" s="40" t="str">
        <f>_xlfn.XLOOKUP(A533,My_Audit!A:A,My_Audit!D:D,"")</f>
        <v/>
      </c>
      <c r="F533" s="40" t="str" cm="1">
        <f t="array" ref="F533">IFERROR(_xlfn.LET(
_xlpm.CSVVal,_xlfn.XLOOKUP($A533,CSV!$A:$A,CSV!F:F,""),
_xlpm.MacVal,_xlfn.XLOOKUP($A533,Output_Mac!$A:$A,Output_Mac!E:E,""),
_xlpm.MyAuditVal,_xlfn.XLOOKUP($A533,My_Audit!$A:$A,My_Audit!E:E,""),
_xlfn.IFS(_xlpm.MyAuditVal&lt;&gt;"",_xlpm.MyAuditVal,_xlpm.MacVal&lt;&gt;"",_xlpm.MacVal,_xlpm.CSVVal&lt;&gt;"",_xlpm.CSVVal
)),"")</f>
        <v/>
      </c>
      <c r="G533" s="40" t="str" cm="1">
        <f t="array" ref="G533">IFERROR(_xlfn.LET(
_xlpm.CSVVal,_xlfn.XLOOKUP($A533,CSV!$A:$A,CSV!G:G,""),
_xlpm.MacVal,_xlfn.XLOOKUP($A533,Output_Mac!$A:$A,Output_Mac!F:F,""),
_xlpm.MyAuditVal,_xlfn.XLOOKUP($A533,My_Audit!$A:$A,My_Audit!F:F,""),
_xlfn.IFS(_xlpm.MyAuditVal&lt;&gt;"",_xlpm.MyAuditVal,_xlpm.MacVal&lt;&gt;"",_xlpm.MacVal,_xlpm.CSVVal&lt;&gt;"",PROPER(_xlpm.CSVVal)
)),"")</f>
        <v/>
      </c>
      <c r="H533" s="40" t="str" cm="1">
        <f t="array" ref="H533">IFERROR(_xlfn.LET(
_xlpm.CSVVal,_xlfn.XLOOKUP($A533,CSV!$A:$A,CSV!H:H,""),
_xlpm.MacVal,_xlfn.XLOOKUP($A533,Output_Mac!$A:$A,Output_Mac!H:H,""),
_xlpm.MyAuditVal,_xlfn.XLOOKUP($A533,My_Audit!$A:$A,My_Audit!G:G,""),
_xlfn.IFS(_xlpm.MyAuditVal&lt;&gt;"",_xlpm.MyAuditVal,_xlpm.MacVal&lt;&gt;"",_xlpm.MacVal,_xlpm.CSVVal&lt;&gt;"",_xlpm.CSVVal
)),"")</f>
        <v/>
      </c>
      <c r="I533" s="40" t="str">
        <f>_xlfn.XLOOKUP(A533,Output_Mac!A:A,Output_Mac!I:I,"")</f>
        <v/>
      </c>
      <c r="J533" s="40" t="str" cm="1">
        <f t="array" ref="J533">IFERROR(_xlfn.LET(
_xlpm.CSVVal,_xlfn.XLOOKUP($A533,CSV!$A:$A,CSV!I:I,""),
_xlpm.MacVal,_xlfn.XLOOKUP($A533,Output_Mac!$A:$A,Output_Mac!J:J,""),
_xlpm.MyAuditVal,_xlfn.XLOOKUP($A533,My_Audit!$A:$A,My_Audit!I:I,""),
_xlfn.IFS(_xlpm.MyAuditVal&lt;&gt;"",UPPER(_xlpm.MyAuditVal),_xlpm.MacVal&lt;&gt;"",_xlpm.MacVal,_xlpm.CSVVal&lt;&gt;"",_xlpm.CSVVal
)),"")</f>
        <v/>
      </c>
      <c r="K533" s="40" t="str" cm="1">
        <f t="array" ref="K533">IFERROR(_xlfn.LET(
_xlpm.CSVVal,_xlfn.XLOOKUP($A533,CSV!$A:$A,CSV!K:K,""),
_xlpm.MacVal,_xlfn.XLOOKUP($A533,Output_Mac!$A:$A,Output_Mac!K:K,""),
_xlpm.MyAuditVal,_xlfn.XLOOKUP($A533,My_Audit!$A:$A,My_Audit!J:J,""),
_xlfn.IFS(_xlpm.MyAuditVal&lt;&gt;"",UPPER(_xlpm.MyAuditVal),_xlpm.MacVal&lt;&gt;"",_xlpm.MacVal,_xlpm.CSVVal&lt;&gt;"",_xlpm.CSVVal
)),"")</f>
        <v/>
      </c>
      <c r="L533" s="40" t="str" cm="1">
        <f t="array" ref="L533">IFERROR(_xlfn.LET(
_xlpm.CSVVal,_xlfn.XLOOKUP($A533,CSV!$A:$A,CSV!P:P,""),
_xlpm.MacVal,_xlfn.XLOOKUP($A533,Output_Mac!$A:$A,Output_Mac!L:L,""),
_xlpm.MyAuditVal,_xlfn.XLOOKUP($A533,My_Audit!$A:$A,My_Audit!K:K,""),
_xlfn.IFS(_xlpm.MyAuditVal&lt;&gt;"",UPPER(_xlpm.MyAuditVal),_xlpm.MacVal&lt;&gt;"",_xlpm.MacVal,_xlpm.CSVVal&lt;&gt;"",_xlpm.CSVVal
)),"")</f>
        <v/>
      </c>
      <c r="M533" s="40" t="str" cm="1">
        <f t="array" ref="M533">IFERROR(_xlfn.LET(
_xlpm.CSVVal,_xlfn.XLOOKUP($A533,CSV!$A:$A,CSV!Q:Q,""),
_xlpm.MacVal,_xlfn.XLOOKUP($A533,Output_Mac!$A:$A,Output_Mac!M:M,""),
_xlpm.MyAuditVal,_xlfn.XLOOKUP($A533,My_Audit!$A:$A,My_Audit!L:L,""),
_xlfn.IFS(_xlpm.MyAuditVal&lt;&gt;"",UPPER(_xlpm.MyAuditVal),_xlpm.MacVal&lt;&gt;"",_xlpm.MacVal,_xlpm.CSVVal&lt;&gt;"",_xlpm.CSVVal
)),"")</f>
        <v/>
      </c>
      <c r="N533" s="40"/>
      <c r="O533" s="40" t="str">
        <f>_xlfn.LET(
    _xlpm.CSVVal, _xlfn.XLOOKUP($A533, CSV!$A:$A, CSV!AA:AA, ""),
    _xlpm.MacVal, _xlfn.XLOOKUP($A533, Output_Mac!$A:$A, Output_Mac!S:S, ""),
    _xlpm.MyAuditVal, _xlfn.XLOOKUP($A533, My_Audit!$A:$A, My_Audit!P:P, ""),
    _xlfn.TEXTJOIN(", ", TRUE, _xlpm.MyAuditVal, _xlpm.MacVal, _xlpm.CSVVal)
)</f>
        <v/>
      </c>
      <c r="P533" s="40" t="str" cm="1">
        <f t="array" ref="P533">IFERROR(_xlfn.LET(
_xlpm.CSVVal,_xlfn.XLOOKUP($A533,CSV!$A:$A,CSV!AB:AB,""),
_xlpm.MacVal,_xlfn.XLOOKUP($A533,Output_Mac!$A:$A,Output_Mac!T:T,""),
_xlpm.MyAuditVal,_xlfn.XLOOKUP($A533,My_Audit!$A:$A,My_Audit!Q:Q,""),
_xlfn.IFS(_xlpm.MyAuditVal&lt;&gt;"",UPPER(_xlpm.MyAuditVal),_xlpm.MacVal&lt;&gt;"",_xlpm.MacVal,_xlpm.CSVVal&lt;&gt;"",_xlpm.CSVVal
)),"No")</f>
        <v>No</v>
      </c>
      <c r="Q533" s="40" t="str" cm="1">
        <f t="array" ref="Q533">IFERROR(_xlfn.LET(
_xlpm.CSVVal,_xlfn.XLOOKUP($A533,CSV!$A:$A,CSV!AC:AC,""),
_xlpm.MacVal,_xlfn.XLOOKUP($A533,Output_Mac!$A:$A,Output_Mac!U:U,""),
_xlpm.MyAuditVal,_xlfn.XLOOKUP($A533,My_Audit!$A:$A,My_Audit!R:R,""),
_xlfn.IFS(_xlpm.MyAuditVal&lt;&gt;"",UPPER(_xlpm.MyAuditVal),_xlpm.MacVal&lt;&gt;"",_xlpm.MacVal,_xlpm.CSVVal&lt;&gt;"",_xlpm.CSVVal
)),"")</f>
        <v/>
      </c>
      <c r="R533" s="40"/>
      <c r="S533" s="40"/>
      <c r="T533" s="40"/>
      <c r="U533" s="40"/>
      <c r="V533" s="40"/>
      <c r="W533" s="40"/>
      <c r="X533" s="41" t="str">
        <f>_xlfn.LET(
    _xlpm.MacVal, _xlfn.XLOOKUP($A533, Output_Mac!$A:$A, Output_Mac!AB:AB, ""),
    _xlpm.MyAuditVal, _xlfn.XLOOKUP($A533, My_Audit!$A:$A, My_Audit!N:N, ""),
    _xlfn.TEXTJOIN(", ", TRUE, _xlpm.MyAuditVal, _xlpm.MacVal)
)</f>
        <v/>
      </c>
    </row>
    <row r="534" spans="1:24">
      <c r="A534" s="40" t="str">
        <f>_xlfn.TEXTJOIN("",TRUE,Input!$B$2,ROW(My_Audit!A533))</f>
        <v>X533</v>
      </c>
      <c r="B534" s="40" t="str">
        <f>_xlfn.TEXTJOIN("-",TRUE,"ITD",Input!$A$2,A534)</f>
        <v>ITD-X533</v>
      </c>
      <c r="C534" s="40" t="str" cm="1">
        <f t="array" ref="C534">IFERROR(_xlfn.LET(
_xlpm.CSVVal,_xlfn.XLOOKUP($A534,CSV!$A:$A,CSV!B:B,""),
_xlpm.MacVal,_xlfn.XLOOKUP($A534,Output_Mac!$A:$A,Output_Mac!B:B,""),
_xlpm.MyAuditVal,_xlfn.XLOOKUP($A534,My_Audit!$A:$A,My_Audit!B:B,""),
_xlfn.IFS(_xlpm.MyAuditVal&lt;&gt;"",UPPER(_xlpm.MyAuditVal),_xlpm.MacVal&lt;&gt;"",_xlpm.MacVal,_xlpm.CSVVal&lt;&gt;"",_xlpm.CSVVal
)),"")</f>
        <v/>
      </c>
      <c r="D534" s="40" t="str" cm="1">
        <f t="array" ref="D534">IFERROR(_xlfn.LET(
_xlpm.CSVVal,_xlfn.XLOOKUP($A534,CSV!$A:$A,CSV!D:D,""),
_xlpm.MacVal,_xlfn.XLOOKUP($A534,Output_Mac!$A:$A,Output_Mac!C:C,""),
_xlpm.MyAuditVal,_xlfn.XLOOKUP($A534,My_Audit!$A:$A,My_Audit!C:C,""),
_xlfn.IFS(_xlpm.MyAuditVal&lt;&gt;"",_xlpm.MyAuditVal,_xlpm.MacVal&lt;&gt;"",_xlpm.MacVal,_xlpm.CSVVal&lt;&gt;"",_xlpm.CSVVal
)),"")</f>
        <v/>
      </c>
      <c r="E534" s="40" t="str">
        <f>_xlfn.XLOOKUP(A534,My_Audit!A:A,My_Audit!D:D,"")</f>
        <v/>
      </c>
      <c r="F534" s="40" t="str" cm="1">
        <f t="array" ref="F534">IFERROR(_xlfn.LET(
_xlpm.CSVVal,_xlfn.XLOOKUP($A534,CSV!$A:$A,CSV!F:F,""),
_xlpm.MacVal,_xlfn.XLOOKUP($A534,Output_Mac!$A:$A,Output_Mac!E:E,""),
_xlpm.MyAuditVal,_xlfn.XLOOKUP($A534,My_Audit!$A:$A,My_Audit!E:E,""),
_xlfn.IFS(_xlpm.MyAuditVal&lt;&gt;"",_xlpm.MyAuditVal,_xlpm.MacVal&lt;&gt;"",_xlpm.MacVal,_xlpm.CSVVal&lt;&gt;"",_xlpm.CSVVal
)),"")</f>
        <v/>
      </c>
      <c r="G534" s="40" t="str" cm="1">
        <f t="array" ref="G534">IFERROR(_xlfn.LET(
_xlpm.CSVVal,_xlfn.XLOOKUP($A534,CSV!$A:$A,CSV!G:G,""),
_xlpm.MacVal,_xlfn.XLOOKUP($A534,Output_Mac!$A:$A,Output_Mac!F:F,""),
_xlpm.MyAuditVal,_xlfn.XLOOKUP($A534,My_Audit!$A:$A,My_Audit!F:F,""),
_xlfn.IFS(_xlpm.MyAuditVal&lt;&gt;"",_xlpm.MyAuditVal,_xlpm.MacVal&lt;&gt;"",_xlpm.MacVal,_xlpm.CSVVal&lt;&gt;"",PROPER(_xlpm.CSVVal)
)),"")</f>
        <v/>
      </c>
      <c r="H534" s="40" t="str" cm="1">
        <f t="array" ref="H534">IFERROR(_xlfn.LET(
_xlpm.CSVVal,_xlfn.XLOOKUP($A534,CSV!$A:$A,CSV!H:H,""),
_xlpm.MacVal,_xlfn.XLOOKUP($A534,Output_Mac!$A:$A,Output_Mac!H:H,""),
_xlpm.MyAuditVal,_xlfn.XLOOKUP($A534,My_Audit!$A:$A,My_Audit!G:G,""),
_xlfn.IFS(_xlpm.MyAuditVal&lt;&gt;"",_xlpm.MyAuditVal,_xlpm.MacVal&lt;&gt;"",_xlpm.MacVal,_xlpm.CSVVal&lt;&gt;"",_xlpm.CSVVal
)),"")</f>
        <v/>
      </c>
      <c r="I534" s="40" t="str">
        <f>_xlfn.XLOOKUP(A534,Output_Mac!A:A,Output_Mac!I:I,"")</f>
        <v/>
      </c>
      <c r="J534" s="40" t="str" cm="1">
        <f t="array" ref="J534">IFERROR(_xlfn.LET(
_xlpm.CSVVal,_xlfn.XLOOKUP($A534,CSV!$A:$A,CSV!I:I,""),
_xlpm.MacVal,_xlfn.XLOOKUP($A534,Output_Mac!$A:$A,Output_Mac!J:J,""),
_xlpm.MyAuditVal,_xlfn.XLOOKUP($A534,My_Audit!$A:$A,My_Audit!I:I,""),
_xlfn.IFS(_xlpm.MyAuditVal&lt;&gt;"",UPPER(_xlpm.MyAuditVal),_xlpm.MacVal&lt;&gt;"",_xlpm.MacVal,_xlpm.CSVVal&lt;&gt;"",_xlpm.CSVVal
)),"")</f>
        <v/>
      </c>
      <c r="K534" s="40" t="str" cm="1">
        <f t="array" ref="K534">IFERROR(_xlfn.LET(
_xlpm.CSVVal,_xlfn.XLOOKUP($A534,CSV!$A:$A,CSV!K:K,""),
_xlpm.MacVal,_xlfn.XLOOKUP($A534,Output_Mac!$A:$A,Output_Mac!K:K,""),
_xlpm.MyAuditVal,_xlfn.XLOOKUP($A534,My_Audit!$A:$A,My_Audit!J:J,""),
_xlfn.IFS(_xlpm.MyAuditVal&lt;&gt;"",UPPER(_xlpm.MyAuditVal),_xlpm.MacVal&lt;&gt;"",_xlpm.MacVal,_xlpm.CSVVal&lt;&gt;"",_xlpm.CSVVal
)),"")</f>
        <v/>
      </c>
      <c r="L534" s="40" t="str" cm="1">
        <f t="array" ref="L534">IFERROR(_xlfn.LET(
_xlpm.CSVVal,_xlfn.XLOOKUP($A534,CSV!$A:$A,CSV!P:P,""),
_xlpm.MacVal,_xlfn.XLOOKUP($A534,Output_Mac!$A:$A,Output_Mac!L:L,""),
_xlpm.MyAuditVal,_xlfn.XLOOKUP($A534,My_Audit!$A:$A,My_Audit!K:K,""),
_xlfn.IFS(_xlpm.MyAuditVal&lt;&gt;"",UPPER(_xlpm.MyAuditVal),_xlpm.MacVal&lt;&gt;"",_xlpm.MacVal,_xlpm.CSVVal&lt;&gt;"",_xlpm.CSVVal
)),"")</f>
        <v/>
      </c>
      <c r="M534" s="40" t="str" cm="1">
        <f t="array" ref="M534">IFERROR(_xlfn.LET(
_xlpm.CSVVal,_xlfn.XLOOKUP($A534,CSV!$A:$A,CSV!Q:Q,""),
_xlpm.MacVal,_xlfn.XLOOKUP($A534,Output_Mac!$A:$A,Output_Mac!M:M,""),
_xlpm.MyAuditVal,_xlfn.XLOOKUP($A534,My_Audit!$A:$A,My_Audit!L:L,""),
_xlfn.IFS(_xlpm.MyAuditVal&lt;&gt;"",UPPER(_xlpm.MyAuditVal),_xlpm.MacVal&lt;&gt;"",_xlpm.MacVal,_xlpm.CSVVal&lt;&gt;"",_xlpm.CSVVal
)),"")</f>
        <v/>
      </c>
      <c r="N534" s="40"/>
      <c r="O534" s="40" t="str">
        <f>_xlfn.LET(
    _xlpm.CSVVal, _xlfn.XLOOKUP($A534, CSV!$A:$A, CSV!AA:AA, ""),
    _xlpm.MacVal, _xlfn.XLOOKUP($A534, Output_Mac!$A:$A, Output_Mac!S:S, ""),
    _xlpm.MyAuditVal, _xlfn.XLOOKUP($A534, My_Audit!$A:$A, My_Audit!P:P, ""),
    _xlfn.TEXTJOIN(", ", TRUE, _xlpm.MyAuditVal, _xlpm.MacVal, _xlpm.CSVVal)
)</f>
        <v/>
      </c>
      <c r="P534" s="40" t="str" cm="1">
        <f t="array" ref="P534">IFERROR(_xlfn.LET(
_xlpm.CSVVal,_xlfn.XLOOKUP($A534,CSV!$A:$A,CSV!AB:AB,""),
_xlpm.MacVal,_xlfn.XLOOKUP($A534,Output_Mac!$A:$A,Output_Mac!T:T,""),
_xlpm.MyAuditVal,_xlfn.XLOOKUP($A534,My_Audit!$A:$A,My_Audit!Q:Q,""),
_xlfn.IFS(_xlpm.MyAuditVal&lt;&gt;"",UPPER(_xlpm.MyAuditVal),_xlpm.MacVal&lt;&gt;"",_xlpm.MacVal,_xlpm.CSVVal&lt;&gt;"",_xlpm.CSVVal
)),"No")</f>
        <v>No</v>
      </c>
      <c r="Q534" s="40" t="str" cm="1">
        <f t="array" ref="Q534">IFERROR(_xlfn.LET(
_xlpm.CSVVal,_xlfn.XLOOKUP($A534,CSV!$A:$A,CSV!AC:AC,""),
_xlpm.MacVal,_xlfn.XLOOKUP($A534,Output_Mac!$A:$A,Output_Mac!U:U,""),
_xlpm.MyAuditVal,_xlfn.XLOOKUP($A534,My_Audit!$A:$A,My_Audit!R:R,""),
_xlfn.IFS(_xlpm.MyAuditVal&lt;&gt;"",UPPER(_xlpm.MyAuditVal),_xlpm.MacVal&lt;&gt;"",_xlpm.MacVal,_xlpm.CSVVal&lt;&gt;"",_xlpm.CSVVal
)),"")</f>
        <v/>
      </c>
      <c r="R534" s="40"/>
      <c r="S534" s="40"/>
      <c r="T534" s="40"/>
      <c r="U534" s="40"/>
      <c r="V534" s="40"/>
      <c r="W534" s="40"/>
      <c r="X534" s="41" t="str">
        <f>_xlfn.LET(
    _xlpm.MacVal, _xlfn.XLOOKUP($A534, Output_Mac!$A:$A, Output_Mac!AB:AB, ""),
    _xlpm.MyAuditVal, _xlfn.XLOOKUP($A534, My_Audit!$A:$A, My_Audit!N:N, ""),
    _xlfn.TEXTJOIN(", ", TRUE, _xlpm.MyAuditVal, _xlpm.MacVal)
)</f>
        <v/>
      </c>
    </row>
    <row r="535" spans="1:24">
      <c r="A535" s="40" t="str">
        <f>_xlfn.TEXTJOIN("",TRUE,Input!$B$2,ROW(My_Audit!A534))</f>
        <v>X534</v>
      </c>
      <c r="B535" s="40" t="str">
        <f>_xlfn.TEXTJOIN("-",TRUE,"ITD",Input!$A$2,A535)</f>
        <v>ITD-X534</v>
      </c>
      <c r="C535" s="40" t="str" cm="1">
        <f t="array" ref="C535">IFERROR(_xlfn.LET(
_xlpm.CSVVal,_xlfn.XLOOKUP($A535,CSV!$A:$A,CSV!B:B,""),
_xlpm.MacVal,_xlfn.XLOOKUP($A535,Output_Mac!$A:$A,Output_Mac!B:B,""),
_xlpm.MyAuditVal,_xlfn.XLOOKUP($A535,My_Audit!$A:$A,My_Audit!B:B,""),
_xlfn.IFS(_xlpm.MyAuditVal&lt;&gt;"",UPPER(_xlpm.MyAuditVal),_xlpm.MacVal&lt;&gt;"",_xlpm.MacVal,_xlpm.CSVVal&lt;&gt;"",_xlpm.CSVVal
)),"")</f>
        <v/>
      </c>
      <c r="D535" s="40" t="str" cm="1">
        <f t="array" ref="D535">IFERROR(_xlfn.LET(
_xlpm.CSVVal,_xlfn.XLOOKUP($A535,CSV!$A:$A,CSV!D:D,""),
_xlpm.MacVal,_xlfn.XLOOKUP($A535,Output_Mac!$A:$A,Output_Mac!C:C,""),
_xlpm.MyAuditVal,_xlfn.XLOOKUP($A535,My_Audit!$A:$A,My_Audit!C:C,""),
_xlfn.IFS(_xlpm.MyAuditVal&lt;&gt;"",_xlpm.MyAuditVal,_xlpm.MacVal&lt;&gt;"",_xlpm.MacVal,_xlpm.CSVVal&lt;&gt;"",_xlpm.CSVVal
)),"")</f>
        <v/>
      </c>
      <c r="E535" s="40" t="str">
        <f>_xlfn.XLOOKUP(A535,My_Audit!A:A,My_Audit!D:D,"")</f>
        <v/>
      </c>
      <c r="F535" s="40" t="str" cm="1">
        <f t="array" ref="F535">IFERROR(_xlfn.LET(
_xlpm.CSVVal,_xlfn.XLOOKUP($A535,CSV!$A:$A,CSV!F:F,""),
_xlpm.MacVal,_xlfn.XLOOKUP($A535,Output_Mac!$A:$A,Output_Mac!E:E,""),
_xlpm.MyAuditVal,_xlfn.XLOOKUP($A535,My_Audit!$A:$A,My_Audit!E:E,""),
_xlfn.IFS(_xlpm.MyAuditVal&lt;&gt;"",_xlpm.MyAuditVal,_xlpm.MacVal&lt;&gt;"",_xlpm.MacVal,_xlpm.CSVVal&lt;&gt;"",_xlpm.CSVVal
)),"")</f>
        <v/>
      </c>
      <c r="G535" s="40" t="str" cm="1">
        <f t="array" ref="G535">IFERROR(_xlfn.LET(
_xlpm.CSVVal,_xlfn.XLOOKUP($A535,CSV!$A:$A,CSV!G:G,""),
_xlpm.MacVal,_xlfn.XLOOKUP($A535,Output_Mac!$A:$A,Output_Mac!F:F,""),
_xlpm.MyAuditVal,_xlfn.XLOOKUP($A535,My_Audit!$A:$A,My_Audit!F:F,""),
_xlfn.IFS(_xlpm.MyAuditVal&lt;&gt;"",_xlpm.MyAuditVal,_xlpm.MacVal&lt;&gt;"",_xlpm.MacVal,_xlpm.CSVVal&lt;&gt;"",PROPER(_xlpm.CSVVal)
)),"")</f>
        <v/>
      </c>
      <c r="H535" s="40" t="str" cm="1">
        <f t="array" ref="H535">IFERROR(_xlfn.LET(
_xlpm.CSVVal,_xlfn.XLOOKUP($A535,CSV!$A:$A,CSV!H:H,""),
_xlpm.MacVal,_xlfn.XLOOKUP($A535,Output_Mac!$A:$A,Output_Mac!H:H,""),
_xlpm.MyAuditVal,_xlfn.XLOOKUP($A535,My_Audit!$A:$A,My_Audit!G:G,""),
_xlfn.IFS(_xlpm.MyAuditVal&lt;&gt;"",_xlpm.MyAuditVal,_xlpm.MacVal&lt;&gt;"",_xlpm.MacVal,_xlpm.CSVVal&lt;&gt;"",_xlpm.CSVVal
)),"")</f>
        <v/>
      </c>
      <c r="I535" s="40" t="str">
        <f>_xlfn.XLOOKUP(A535,Output_Mac!A:A,Output_Mac!I:I,"")</f>
        <v/>
      </c>
      <c r="J535" s="40" t="str" cm="1">
        <f t="array" ref="J535">IFERROR(_xlfn.LET(
_xlpm.CSVVal,_xlfn.XLOOKUP($A535,CSV!$A:$A,CSV!I:I,""),
_xlpm.MacVal,_xlfn.XLOOKUP($A535,Output_Mac!$A:$A,Output_Mac!J:J,""),
_xlpm.MyAuditVal,_xlfn.XLOOKUP($A535,My_Audit!$A:$A,My_Audit!I:I,""),
_xlfn.IFS(_xlpm.MyAuditVal&lt;&gt;"",UPPER(_xlpm.MyAuditVal),_xlpm.MacVal&lt;&gt;"",_xlpm.MacVal,_xlpm.CSVVal&lt;&gt;"",_xlpm.CSVVal
)),"")</f>
        <v/>
      </c>
      <c r="K535" s="40" t="str" cm="1">
        <f t="array" ref="K535">IFERROR(_xlfn.LET(
_xlpm.CSVVal,_xlfn.XLOOKUP($A535,CSV!$A:$A,CSV!K:K,""),
_xlpm.MacVal,_xlfn.XLOOKUP($A535,Output_Mac!$A:$A,Output_Mac!K:K,""),
_xlpm.MyAuditVal,_xlfn.XLOOKUP($A535,My_Audit!$A:$A,My_Audit!J:J,""),
_xlfn.IFS(_xlpm.MyAuditVal&lt;&gt;"",UPPER(_xlpm.MyAuditVal),_xlpm.MacVal&lt;&gt;"",_xlpm.MacVal,_xlpm.CSVVal&lt;&gt;"",_xlpm.CSVVal
)),"")</f>
        <v/>
      </c>
      <c r="L535" s="40" t="str" cm="1">
        <f t="array" ref="L535">IFERROR(_xlfn.LET(
_xlpm.CSVVal,_xlfn.XLOOKUP($A535,CSV!$A:$A,CSV!P:P,""),
_xlpm.MacVal,_xlfn.XLOOKUP($A535,Output_Mac!$A:$A,Output_Mac!L:L,""),
_xlpm.MyAuditVal,_xlfn.XLOOKUP($A535,My_Audit!$A:$A,My_Audit!K:K,""),
_xlfn.IFS(_xlpm.MyAuditVal&lt;&gt;"",UPPER(_xlpm.MyAuditVal),_xlpm.MacVal&lt;&gt;"",_xlpm.MacVal,_xlpm.CSVVal&lt;&gt;"",_xlpm.CSVVal
)),"")</f>
        <v/>
      </c>
      <c r="M535" s="40" t="str" cm="1">
        <f t="array" ref="M535">IFERROR(_xlfn.LET(
_xlpm.CSVVal,_xlfn.XLOOKUP($A535,CSV!$A:$A,CSV!Q:Q,""),
_xlpm.MacVal,_xlfn.XLOOKUP($A535,Output_Mac!$A:$A,Output_Mac!M:M,""),
_xlpm.MyAuditVal,_xlfn.XLOOKUP($A535,My_Audit!$A:$A,My_Audit!L:L,""),
_xlfn.IFS(_xlpm.MyAuditVal&lt;&gt;"",UPPER(_xlpm.MyAuditVal),_xlpm.MacVal&lt;&gt;"",_xlpm.MacVal,_xlpm.CSVVal&lt;&gt;"",_xlpm.CSVVal
)),"")</f>
        <v/>
      </c>
      <c r="N535" s="40"/>
      <c r="O535" s="40" t="str">
        <f>_xlfn.LET(
    _xlpm.CSVVal, _xlfn.XLOOKUP($A535, CSV!$A:$A, CSV!AA:AA, ""),
    _xlpm.MacVal, _xlfn.XLOOKUP($A535, Output_Mac!$A:$A, Output_Mac!S:S, ""),
    _xlpm.MyAuditVal, _xlfn.XLOOKUP($A535, My_Audit!$A:$A, My_Audit!P:P, ""),
    _xlfn.TEXTJOIN(", ", TRUE, _xlpm.MyAuditVal, _xlpm.MacVal, _xlpm.CSVVal)
)</f>
        <v/>
      </c>
      <c r="P535" s="40" t="str" cm="1">
        <f t="array" ref="P535">IFERROR(_xlfn.LET(
_xlpm.CSVVal,_xlfn.XLOOKUP($A535,CSV!$A:$A,CSV!AB:AB,""),
_xlpm.MacVal,_xlfn.XLOOKUP($A535,Output_Mac!$A:$A,Output_Mac!T:T,""),
_xlpm.MyAuditVal,_xlfn.XLOOKUP($A535,My_Audit!$A:$A,My_Audit!Q:Q,""),
_xlfn.IFS(_xlpm.MyAuditVal&lt;&gt;"",UPPER(_xlpm.MyAuditVal),_xlpm.MacVal&lt;&gt;"",_xlpm.MacVal,_xlpm.CSVVal&lt;&gt;"",_xlpm.CSVVal
)),"No")</f>
        <v>No</v>
      </c>
      <c r="Q535" s="40" t="str" cm="1">
        <f t="array" ref="Q535">IFERROR(_xlfn.LET(
_xlpm.CSVVal,_xlfn.XLOOKUP($A535,CSV!$A:$A,CSV!AC:AC,""),
_xlpm.MacVal,_xlfn.XLOOKUP($A535,Output_Mac!$A:$A,Output_Mac!U:U,""),
_xlpm.MyAuditVal,_xlfn.XLOOKUP($A535,My_Audit!$A:$A,My_Audit!R:R,""),
_xlfn.IFS(_xlpm.MyAuditVal&lt;&gt;"",UPPER(_xlpm.MyAuditVal),_xlpm.MacVal&lt;&gt;"",_xlpm.MacVal,_xlpm.CSVVal&lt;&gt;"",_xlpm.CSVVal
)),"")</f>
        <v/>
      </c>
      <c r="R535" s="40"/>
      <c r="S535" s="40"/>
      <c r="T535" s="40"/>
      <c r="U535" s="40"/>
      <c r="V535" s="40"/>
      <c r="W535" s="40"/>
      <c r="X535" s="41" t="str">
        <f>_xlfn.LET(
    _xlpm.MacVal, _xlfn.XLOOKUP($A535, Output_Mac!$A:$A, Output_Mac!AB:AB, ""),
    _xlpm.MyAuditVal, _xlfn.XLOOKUP($A535, My_Audit!$A:$A, My_Audit!N:N, ""),
    _xlfn.TEXTJOIN(", ", TRUE, _xlpm.MyAuditVal, _xlpm.MacVal)
)</f>
        <v/>
      </c>
    </row>
    <row r="536" spans="1:24">
      <c r="A536" s="40" t="str">
        <f>_xlfn.TEXTJOIN("",TRUE,Input!$B$2,ROW(My_Audit!A535))</f>
        <v>X535</v>
      </c>
      <c r="B536" s="40" t="str">
        <f>_xlfn.TEXTJOIN("-",TRUE,"ITD",Input!$A$2,A536)</f>
        <v>ITD-X535</v>
      </c>
      <c r="C536" s="40" t="str" cm="1">
        <f t="array" ref="C536">IFERROR(_xlfn.LET(
_xlpm.CSVVal,_xlfn.XLOOKUP($A536,CSV!$A:$A,CSV!B:B,""),
_xlpm.MacVal,_xlfn.XLOOKUP($A536,Output_Mac!$A:$A,Output_Mac!B:B,""),
_xlpm.MyAuditVal,_xlfn.XLOOKUP($A536,My_Audit!$A:$A,My_Audit!B:B,""),
_xlfn.IFS(_xlpm.MyAuditVal&lt;&gt;"",UPPER(_xlpm.MyAuditVal),_xlpm.MacVal&lt;&gt;"",_xlpm.MacVal,_xlpm.CSVVal&lt;&gt;"",_xlpm.CSVVal
)),"")</f>
        <v/>
      </c>
      <c r="D536" s="40" t="str" cm="1">
        <f t="array" ref="D536">IFERROR(_xlfn.LET(
_xlpm.CSVVal,_xlfn.XLOOKUP($A536,CSV!$A:$A,CSV!D:D,""),
_xlpm.MacVal,_xlfn.XLOOKUP($A536,Output_Mac!$A:$A,Output_Mac!C:C,""),
_xlpm.MyAuditVal,_xlfn.XLOOKUP($A536,My_Audit!$A:$A,My_Audit!C:C,""),
_xlfn.IFS(_xlpm.MyAuditVal&lt;&gt;"",_xlpm.MyAuditVal,_xlpm.MacVal&lt;&gt;"",_xlpm.MacVal,_xlpm.CSVVal&lt;&gt;"",_xlpm.CSVVal
)),"")</f>
        <v/>
      </c>
      <c r="E536" s="40" t="str">
        <f>_xlfn.XLOOKUP(A536,My_Audit!A:A,My_Audit!D:D,"")</f>
        <v/>
      </c>
      <c r="F536" s="40" t="str" cm="1">
        <f t="array" ref="F536">IFERROR(_xlfn.LET(
_xlpm.CSVVal,_xlfn.XLOOKUP($A536,CSV!$A:$A,CSV!F:F,""),
_xlpm.MacVal,_xlfn.XLOOKUP($A536,Output_Mac!$A:$A,Output_Mac!E:E,""),
_xlpm.MyAuditVal,_xlfn.XLOOKUP($A536,My_Audit!$A:$A,My_Audit!E:E,""),
_xlfn.IFS(_xlpm.MyAuditVal&lt;&gt;"",_xlpm.MyAuditVal,_xlpm.MacVal&lt;&gt;"",_xlpm.MacVal,_xlpm.CSVVal&lt;&gt;"",_xlpm.CSVVal
)),"")</f>
        <v/>
      </c>
      <c r="G536" s="40" t="str" cm="1">
        <f t="array" ref="G536">IFERROR(_xlfn.LET(
_xlpm.CSVVal,_xlfn.XLOOKUP($A536,CSV!$A:$A,CSV!G:G,""),
_xlpm.MacVal,_xlfn.XLOOKUP($A536,Output_Mac!$A:$A,Output_Mac!F:F,""),
_xlpm.MyAuditVal,_xlfn.XLOOKUP($A536,My_Audit!$A:$A,My_Audit!F:F,""),
_xlfn.IFS(_xlpm.MyAuditVal&lt;&gt;"",_xlpm.MyAuditVal,_xlpm.MacVal&lt;&gt;"",_xlpm.MacVal,_xlpm.CSVVal&lt;&gt;"",PROPER(_xlpm.CSVVal)
)),"")</f>
        <v/>
      </c>
      <c r="H536" s="40" t="str" cm="1">
        <f t="array" ref="H536">IFERROR(_xlfn.LET(
_xlpm.CSVVal,_xlfn.XLOOKUP($A536,CSV!$A:$A,CSV!H:H,""),
_xlpm.MacVal,_xlfn.XLOOKUP($A536,Output_Mac!$A:$A,Output_Mac!H:H,""),
_xlpm.MyAuditVal,_xlfn.XLOOKUP($A536,My_Audit!$A:$A,My_Audit!G:G,""),
_xlfn.IFS(_xlpm.MyAuditVal&lt;&gt;"",_xlpm.MyAuditVal,_xlpm.MacVal&lt;&gt;"",_xlpm.MacVal,_xlpm.CSVVal&lt;&gt;"",_xlpm.CSVVal
)),"")</f>
        <v/>
      </c>
      <c r="I536" s="40" t="str">
        <f>_xlfn.XLOOKUP(A536,Output_Mac!A:A,Output_Mac!I:I,"")</f>
        <v/>
      </c>
      <c r="J536" s="40" t="str" cm="1">
        <f t="array" ref="J536">IFERROR(_xlfn.LET(
_xlpm.CSVVal,_xlfn.XLOOKUP($A536,CSV!$A:$A,CSV!I:I,""),
_xlpm.MacVal,_xlfn.XLOOKUP($A536,Output_Mac!$A:$A,Output_Mac!J:J,""),
_xlpm.MyAuditVal,_xlfn.XLOOKUP($A536,My_Audit!$A:$A,My_Audit!I:I,""),
_xlfn.IFS(_xlpm.MyAuditVal&lt;&gt;"",UPPER(_xlpm.MyAuditVal),_xlpm.MacVal&lt;&gt;"",_xlpm.MacVal,_xlpm.CSVVal&lt;&gt;"",_xlpm.CSVVal
)),"")</f>
        <v/>
      </c>
      <c r="K536" s="40" t="str" cm="1">
        <f t="array" ref="K536">IFERROR(_xlfn.LET(
_xlpm.CSVVal,_xlfn.XLOOKUP($A536,CSV!$A:$A,CSV!K:K,""),
_xlpm.MacVal,_xlfn.XLOOKUP($A536,Output_Mac!$A:$A,Output_Mac!K:K,""),
_xlpm.MyAuditVal,_xlfn.XLOOKUP($A536,My_Audit!$A:$A,My_Audit!J:J,""),
_xlfn.IFS(_xlpm.MyAuditVal&lt;&gt;"",UPPER(_xlpm.MyAuditVal),_xlpm.MacVal&lt;&gt;"",_xlpm.MacVal,_xlpm.CSVVal&lt;&gt;"",_xlpm.CSVVal
)),"")</f>
        <v/>
      </c>
      <c r="L536" s="40" t="str" cm="1">
        <f t="array" ref="L536">IFERROR(_xlfn.LET(
_xlpm.CSVVal,_xlfn.XLOOKUP($A536,CSV!$A:$A,CSV!P:P,""),
_xlpm.MacVal,_xlfn.XLOOKUP($A536,Output_Mac!$A:$A,Output_Mac!L:L,""),
_xlpm.MyAuditVal,_xlfn.XLOOKUP($A536,My_Audit!$A:$A,My_Audit!K:K,""),
_xlfn.IFS(_xlpm.MyAuditVal&lt;&gt;"",UPPER(_xlpm.MyAuditVal),_xlpm.MacVal&lt;&gt;"",_xlpm.MacVal,_xlpm.CSVVal&lt;&gt;"",_xlpm.CSVVal
)),"")</f>
        <v/>
      </c>
      <c r="M536" s="40" t="str" cm="1">
        <f t="array" ref="M536">IFERROR(_xlfn.LET(
_xlpm.CSVVal,_xlfn.XLOOKUP($A536,CSV!$A:$A,CSV!Q:Q,""),
_xlpm.MacVal,_xlfn.XLOOKUP($A536,Output_Mac!$A:$A,Output_Mac!M:M,""),
_xlpm.MyAuditVal,_xlfn.XLOOKUP($A536,My_Audit!$A:$A,My_Audit!L:L,""),
_xlfn.IFS(_xlpm.MyAuditVal&lt;&gt;"",UPPER(_xlpm.MyAuditVal),_xlpm.MacVal&lt;&gt;"",_xlpm.MacVal,_xlpm.CSVVal&lt;&gt;"",_xlpm.CSVVal
)),"")</f>
        <v/>
      </c>
      <c r="N536" s="40"/>
      <c r="O536" s="40" t="str">
        <f>_xlfn.LET(
    _xlpm.CSVVal, _xlfn.XLOOKUP($A536, CSV!$A:$A, CSV!AA:AA, ""),
    _xlpm.MacVal, _xlfn.XLOOKUP($A536, Output_Mac!$A:$A, Output_Mac!S:S, ""),
    _xlpm.MyAuditVal, _xlfn.XLOOKUP($A536, My_Audit!$A:$A, My_Audit!P:P, ""),
    _xlfn.TEXTJOIN(", ", TRUE, _xlpm.MyAuditVal, _xlpm.MacVal, _xlpm.CSVVal)
)</f>
        <v/>
      </c>
      <c r="P536" s="40" t="str" cm="1">
        <f t="array" ref="P536">IFERROR(_xlfn.LET(
_xlpm.CSVVal,_xlfn.XLOOKUP($A536,CSV!$A:$A,CSV!AB:AB,""),
_xlpm.MacVal,_xlfn.XLOOKUP($A536,Output_Mac!$A:$A,Output_Mac!T:T,""),
_xlpm.MyAuditVal,_xlfn.XLOOKUP($A536,My_Audit!$A:$A,My_Audit!Q:Q,""),
_xlfn.IFS(_xlpm.MyAuditVal&lt;&gt;"",UPPER(_xlpm.MyAuditVal),_xlpm.MacVal&lt;&gt;"",_xlpm.MacVal,_xlpm.CSVVal&lt;&gt;"",_xlpm.CSVVal
)),"No")</f>
        <v>No</v>
      </c>
      <c r="Q536" s="40" t="str" cm="1">
        <f t="array" ref="Q536">IFERROR(_xlfn.LET(
_xlpm.CSVVal,_xlfn.XLOOKUP($A536,CSV!$A:$A,CSV!AC:AC,""),
_xlpm.MacVal,_xlfn.XLOOKUP($A536,Output_Mac!$A:$A,Output_Mac!U:U,""),
_xlpm.MyAuditVal,_xlfn.XLOOKUP($A536,My_Audit!$A:$A,My_Audit!R:R,""),
_xlfn.IFS(_xlpm.MyAuditVal&lt;&gt;"",UPPER(_xlpm.MyAuditVal),_xlpm.MacVal&lt;&gt;"",_xlpm.MacVal,_xlpm.CSVVal&lt;&gt;"",_xlpm.CSVVal
)),"")</f>
        <v/>
      </c>
      <c r="R536" s="40"/>
      <c r="S536" s="40"/>
      <c r="T536" s="40"/>
      <c r="U536" s="40"/>
      <c r="V536" s="40"/>
      <c r="W536" s="40"/>
      <c r="X536" s="41" t="str">
        <f>_xlfn.LET(
    _xlpm.MacVal, _xlfn.XLOOKUP($A536, Output_Mac!$A:$A, Output_Mac!AB:AB, ""),
    _xlpm.MyAuditVal, _xlfn.XLOOKUP($A536, My_Audit!$A:$A, My_Audit!N:N, ""),
    _xlfn.TEXTJOIN(", ", TRUE, _xlpm.MyAuditVal, _xlpm.MacVal)
)</f>
        <v/>
      </c>
    </row>
    <row r="537" spans="1:24">
      <c r="A537" s="40" t="str">
        <f>_xlfn.TEXTJOIN("",TRUE,Input!$B$2,ROW(My_Audit!A536))</f>
        <v>X536</v>
      </c>
      <c r="B537" s="40" t="str">
        <f>_xlfn.TEXTJOIN("-",TRUE,"ITD",Input!$A$2,A537)</f>
        <v>ITD-X536</v>
      </c>
      <c r="C537" s="40" t="str" cm="1">
        <f t="array" ref="C537">IFERROR(_xlfn.LET(
_xlpm.CSVVal,_xlfn.XLOOKUP($A537,CSV!$A:$A,CSV!B:B,""),
_xlpm.MacVal,_xlfn.XLOOKUP($A537,Output_Mac!$A:$A,Output_Mac!B:B,""),
_xlpm.MyAuditVal,_xlfn.XLOOKUP($A537,My_Audit!$A:$A,My_Audit!B:B,""),
_xlfn.IFS(_xlpm.MyAuditVal&lt;&gt;"",UPPER(_xlpm.MyAuditVal),_xlpm.MacVal&lt;&gt;"",_xlpm.MacVal,_xlpm.CSVVal&lt;&gt;"",_xlpm.CSVVal
)),"")</f>
        <v/>
      </c>
      <c r="D537" s="40" t="str" cm="1">
        <f t="array" ref="D537">IFERROR(_xlfn.LET(
_xlpm.CSVVal,_xlfn.XLOOKUP($A537,CSV!$A:$A,CSV!D:D,""),
_xlpm.MacVal,_xlfn.XLOOKUP($A537,Output_Mac!$A:$A,Output_Mac!C:C,""),
_xlpm.MyAuditVal,_xlfn.XLOOKUP($A537,My_Audit!$A:$A,My_Audit!C:C,""),
_xlfn.IFS(_xlpm.MyAuditVal&lt;&gt;"",_xlpm.MyAuditVal,_xlpm.MacVal&lt;&gt;"",_xlpm.MacVal,_xlpm.CSVVal&lt;&gt;"",_xlpm.CSVVal
)),"")</f>
        <v/>
      </c>
      <c r="E537" s="40" t="str">
        <f>_xlfn.XLOOKUP(A537,My_Audit!A:A,My_Audit!D:D,"")</f>
        <v/>
      </c>
      <c r="F537" s="40" t="str" cm="1">
        <f t="array" ref="F537">IFERROR(_xlfn.LET(
_xlpm.CSVVal,_xlfn.XLOOKUP($A537,CSV!$A:$A,CSV!F:F,""),
_xlpm.MacVal,_xlfn.XLOOKUP($A537,Output_Mac!$A:$A,Output_Mac!E:E,""),
_xlpm.MyAuditVal,_xlfn.XLOOKUP($A537,My_Audit!$A:$A,My_Audit!E:E,""),
_xlfn.IFS(_xlpm.MyAuditVal&lt;&gt;"",_xlpm.MyAuditVal,_xlpm.MacVal&lt;&gt;"",_xlpm.MacVal,_xlpm.CSVVal&lt;&gt;"",_xlpm.CSVVal
)),"")</f>
        <v/>
      </c>
      <c r="G537" s="40" t="str" cm="1">
        <f t="array" ref="G537">IFERROR(_xlfn.LET(
_xlpm.CSVVal,_xlfn.XLOOKUP($A537,CSV!$A:$A,CSV!G:G,""),
_xlpm.MacVal,_xlfn.XLOOKUP($A537,Output_Mac!$A:$A,Output_Mac!F:F,""),
_xlpm.MyAuditVal,_xlfn.XLOOKUP($A537,My_Audit!$A:$A,My_Audit!F:F,""),
_xlfn.IFS(_xlpm.MyAuditVal&lt;&gt;"",_xlpm.MyAuditVal,_xlpm.MacVal&lt;&gt;"",_xlpm.MacVal,_xlpm.CSVVal&lt;&gt;"",PROPER(_xlpm.CSVVal)
)),"")</f>
        <v/>
      </c>
      <c r="H537" s="40" t="str" cm="1">
        <f t="array" ref="H537">IFERROR(_xlfn.LET(
_xlpm.CSVVal,_xlfn.XLOOKUP($A537,CSV!$A:$A,CSV!H:H,""),
_xlpm.MacVal,_xlfn.XLOOKUP($A537,Output_Mac!$A:$A,Output_Mac!H:H,""),
_xlpm.MyAuditVal,_xlfn.XLOOKUP($A537,My_Audit!$A:$A,My_Audit!G:G,""),
_xlfn.IFS(_xlpm.MyAuditVal&lt;&gt;"",_xlpm.MyAuditVal,_xlpm.MacVal&lt;&gt;"",_xlpm.MacVal,_xlpm.CSVVal&lt;&gt;"",_xlpm.CSVVal
)),"")</f>
        <v/>
      </c>
      <c r="I537" s="40" t="str">
        <f>_xlfn.XLOOKUP(A537,Output_Mac!A:A,Output_Mac!I:I,"")</f>
        <v/>
      </c>
      <c r="J537" s="40" t="str" cm="1">
        <f t="array" ref="J537">IFERROR(_xlfn.LET(
_xlpm.CSVVal,_xlfn.XLOOKUP($A537,CSV!$A:$A,CSV!I:I,""),
_xlpm.MacVal,_xlfn.XLOOKUP($A537,Output_Mac!$A:$A,Output_Mac!J:J,""),
_xlpm.MyAuditVal,_xlfn.XLOOKUP($A537,My_Audit!$A:$A,My_Audit!I:I,""),
_xlfn.IFS(_xlpm.MyAuditVal&lt;&gt;"",UPPER(_xlpm.MyAuditVal),_xlpm.MacVal&lt;&gt;"",_xlpm.MacVal,_xlpm.CSVVal&lt;&gt;"",_xlpm.CSVVal
)),"")</f>
        <v/>
      </c>
      <c r="K537" s="40" t="str" cm="1">
        <f t="array" ref="K537">IFERROR(_xlfn.LET(
_xlpm.CSVVal,_xlfn.XLOOKUP($A537,CSV!$A:$A,CSV!K:K,""),
_xlpm.MacVal,_xlfn.XLOOKUP($A537,Output_Mac!$A:$A,Output_Mac!K:K,""),
_xlpm.MyAuditVal,_xlfn.XLOOKUP($A537,My_Audit!$A:$A,My_Audit!J:J,""),
_xlfn.IFS(_xlpm.MyAuditVal&lt;&gt;"",UPPER(_xlpm.MyAuditVal),_xlpm.MacVal&lt;&gt;"",_xlpm.MacVal,_xlpm.CSVVal&lt;&gt;"",_xlpm.CSVVal
)),"")</f>
        <v/>
      </c>
      <c r="L537" s="40" t="str" cm="1">
        <f t="array" ref="L537">IFERROR(_xlfn.LET(
_xlpm.CSVVal,_xlfn.XLOOKUP($A537,CSV!$A:$A,CSV!P:P,""),
_xlpm.MacVal,_xlfn.XLOOKUP($A537,Output_Mac!$A:$A,Output_Mac!L:L,""),
_xlpm.MyAuditVal,_xlfn.XLOOKUP($A537,My_Audit!$A:$A,My_Audit!K:K,""),
_xlfn.IFS(_xlpm.MyAuditVal&lt;&gt;"",UPPER(_xlpm.MyAuditVal),_xlpm.MacVal&lt;&gt;"",_xlpm.MacVal,_xlpm.CSVVal&lt;&gt;"",_xlpm.CSVVal
)),"")</f>
        <v/>
      </c>
      <c r="M537" s="40" t="str" cm="1">
        <f t="array" ref="M537">IFERROR(_xlfn.LET(
_xlpm.CSVVal,_xlfn.XLOOKUP($A537,CSV!$A:$A,CSV!Q:Q,""),
_xlpm.MacVal,_xlfn.XLOOKUP($A537,Output_Mac!$A:$A,Output_Mac!M:M,""),
_xlpm.MyAuditVal,_xlfn.XLOOKUP($A537,My_Audit!$A:$A,My_Audit!L:L,""),
_xlfn.IFS(_xlpm.MyAuditVal&lt;&gt;"",UPPER(_xlpm.MyAuditVal),_xlpm.MacVal&lt;&gt;"",_xlpm.MacVal,_xlpm.CSVVal&lt;&gt;"",_xlpm.CSVVal
)),"")</f>
        <v/>
      </c>
      <c r="N537" s="40"/>
      <c r="O537" s="40" t="str">
        <f>_xlfn.LET(
    _xlpm.CSVVal, _xlfn.XLOOKUP($A537, CSV!$A:$A, CSV!AA:AA, ""),
    _xlpm.MacVal, _xlfn.XLOOKUP($A537, Output_Mac!$A:$A, Output_Mac!S:S, ""),
    _xlpm.MyAuditVal, _xlfn.XLOOKUP($A537, My_Audit!$A:$A, My_Audit!P:P, ""),
    _xlfn.TEXTJOIN(", ", TRUE, _xlpm.MyAuditVal, _xlpm.MacVal, _xlpm.CSVVal)
)</f>
        <v/>
      </c>
      <c r="P537" s="40" t="str" cm="1">
        <f t="array" ref="P537">IFERROR(_xlfn.LET(
_xlpm.CSVVal,_xlfn.XLOOKUP($A537,CSV!$A:$A,CSV!AB:AB,""),
_xlpm.MacVal,_xlfn.XLOOKUP($A537,Output_Mac!$A:$A,Output_Mac!T:T,""),
_xlpm.MyAuditVal,_xlfn.XLOOKUP($A537,My_Audit!$A:$A,My_Audit!Q:Q,""),
_xlfn.IFS(_xlpm.MyAuditVal&lt;&gt;"",UPPER(_xlpm.MyAuditVal),_xlpm.MacVal&lt;&gt;"",_xlpm.MacVal,_xlpm.CSVVal&lt;&gt;"",_xlpm.CSVVal
)),"No")</f>
        <v>No</v>
      </c>
      <c r="Q537" s="40" t="str" cm="1">
        <f t="array" ref="Q537">IFERROR(_xlfn.LET(
_xlpm.CSVVal,_xlfn.XLOOKUP($A537,CSV!$A:$A,CSV!AC:AC,""),
_xlpm.MacVal,_xlfn.XLOOKUP($A537,Output_Mac!$A:$A,Output_Mac!U:U,""),
_xlpm.MyAuditVal,_xlfn.XLOOKUP($A537,My_Audit!$A:$A,My_Audit!R:R,""),
_xlfn.IFS(_xlpm.MyAuditVal&lt;&gt;"",UPPER(_xlpm.MyAuditVal),_xlpm.MacVal&lt;&gt;"",_xlpm.MacVal,_xlpm.CSVVal&lt;&gt;"",_xlpm.CSVVal
)),"")</f>
        <v/>
      </c>
      <c r="R537" s="40"/>
      <c r="S537" s="40"/>
      <c r="T537" s="40"/>
      <c r="U537" s="40"/>
      <c r="V537" s="40"/>
      <c r="W537" s="40"/>
      <c r="X537" s="41" t="str">
        <f>_xlfn.LET(
    _xlpm.MacVal, _xlfn.XLOOKUP($A537, Output_Mac!$A:$A, Output_Mac!AB:AB, ""),
    _xlpm.MyAuditVal, _xlfn.XLOOKUP($A537, My_Audit!$A:$A, My_Audit!N:N, ""),
    _xlfn.TEXTJOIN(", ", TRUE, _xlpm.MyAuditVal, _xlpm.MacVal)
)</f>
        <v/>
      </c>
    </row>
    <row r="538" spans="1:24">
      <c r="A538" s="40" t="str">
        <f>_xlfn.TEXTJOIN("",TRUE,Input!$B$2,ROW(My_Audit!A537))</f>
        <v>X537</v>
      </c>
      <c r="B538" s="40" t="str">
        <f>_xlfn.TEXTJOIN("-",TRUE,"ITD",Input!$A$2,A538)</f>
        <v>ITD-X537</v>
      </c>
      <c r="C538" s="40" t="str" cm="1">
        <f t="array" ref="C538">IFERROR(_xlfn.LET(
_xlpm.CSVVal,_xlfn.XLOOKUP($A538,CSV!$A:$A,CSV!B:B,""),
_xlpm.MacVal,_xlfn.XLOOKUP($A538,Output_Mac!$A:$A,Output_Mac!B:B,""),
_xlpm.MyAuditVal,_xlfn.XLOOKUP($A538,My_Audit!$A:$A,My_Audit!B:B,""),
_xlfn.IFS(_xlpm.MyAuditVal&lt;&gt;"",UPPER(_xlpm.MyAuditVal),_xlpm.MacVal&lt;&gt;"",_xlpm.MacVal,_xlpm.CSVVal&lt;&gt;"",_xlpm.CSVVal
)),"")</f>
        <v/>
      </c>
      <c r="D538" s="40" t="str" cm="1">
        <f t="array" ref="D538">IFERROR(_xlfn.LET(
_xlpm.CSVVal,_xlfn.XLOOKUP($A538,CSV!$A:$A,CSV!D:D,""),
_xlpm.MacVal,_xlfn.XLOOKUP($A538,Output_Mac!$A:$A,Output_Mac!C:C,""),
_xlpm.MyAuditVal,_xlfn.XLOOKUP($A538,My_Audit!$A:$A,My_Audit!C:C,""),
_xlfn.IFS(_xlpm.MyAuditVal&lt;&gt;"",_xlpm.MyAuditVal,_xlpm.MacVal&lt;&gt;"",_xlpm.MacVal,_xlpm.CSVVal&lt;&gt;"",_xlpm.CSVVal
)),"")</f>
        <v/>
      </c>
      <c r="E538" s="40" t="str">
        <f>_xlfn.XLOOKUP(A538,My_Audit!A:A,My_Audit!D:D,"")</f>
        <v/>
      </c>
      <c r="F538" s="40" t="str" cm="1">
        <f t="array" ref="F538">IFERROR(_xlfn.LET(
_xlpm.CSVVal,_xlfn.XLOOKUP($A538,CSV!$A:$A,CSV!F:F,""),
_xlpm.MacVal,_xlfn.XLOOKUP($A538,Output_Mac!$A:$A,Output_Mac!E:E,""),
_xlpm.MyAuditVal,_xlfn.XLOOKUP($A538,My_Audit!$A:$A,My_Audit!E:E,""),
_xlfn.IFS(_xlpm.MyAuditVal&lt;&gt;"",_xlpm.MyAuditVal,_xlpm.MacVal&lt;&gt;"",_xlpm.MacVal,_xlpm.CSVVal&lt;&gt;"",_xlpm.CSVVal
)),"")</f>
        <v/>
      </c>
      <c r="G538" s="40" t="str" cm="1">
        <f t="array" ref="G538">IFERROR(_xlfn.LET(
_xlpm.CSVVal,_xlfn.XLOOKUP($A538,CSV!$A:$A,CSV!G:G,""),
_xlpm.MacVal,_xlfn.XLOOKUP($A538,Output_Mac!$A:$A,Output_Mac!F:F,""),
_xlpm.MyAuditVal,_xlfn.XLOOKUP($A538,My_Audit!$A:$A,My_Audit!F:F,""),
_xlfn.IFS(_xlpm.MyAuditVal&lt;&gt;"",_xlpm.MyAuditVal,_xlpm.MacVal&lt;&gt;"",_xlpm.MacVal,_xlpm.CSVVal&lt;&gt;"",PROPER(_xlpm.CSVVal)
)),"")</f>
        <v/>
      </c>
      <c r="H538" s="40" t="str" cm="1">
        <f t="array" ref="H538">IFERROR(_xlfn.LET(
_xlpm.CSVVal,_xlfn.XLOOKUP($A538,CSV!$A:$A,CSV!H:H,""),
_xlpm.MacVal,_xlfn.XLOOKUP($A538,Output_Mac!$A:$A,Output_Mac!H:H,""),
_xlpm.MyAuditVal,_xlfn.XLOOKUP($A538,My_Audit!$A:$A,My_Audit!G:G,""),
_xlfn.IFS(_xlpm.MyAuditVal&lt;&gt;"",_xlpm.MyAuditVal,_xlpm.MacVal&lt;&gt;"",_xlpm.MacVal,_xlpm.CSVVal&lt;&gt;"",_xlpm.CSVVal
)),"")</f>
        <v/>
      </c>
      <c r="I538" s="40" t="str">
        <f>_xlfn.XLOOKUP(A538,Output_Mac!A:A,Output_Mac!I:I,"")</f>
        <v/>
      </c>
      <c r="J538" s="40" t="str" cm="1">
        <f t="array" ref="J538">IFERROR(_xlfn.LET(
_xlpm.CSVVal,_xlfn.XLOOKUP($A538,CSV!$A:$A,CSV!I:I,""),
_xlpm.MacVal,_xlfn.XLOOKUP($A538,Output_Mac!$A:$A,Output_Mac!J:J,""),
_xlpm.MyAuditVal,_xlfn.XLOOKUP($A538,My_Audit!$A:$A,My_Audit!I:I,""),
_xlfn.IFS(_xlpm.MyAuditVal&lt;&gt;"",UPPER(_xlpm.MyAuditVal),_xlpm.MacVal&lt;&gt;"",_xlpm.MacVal,_xlpm.CSVVal&lt;&gt;"",_xlpm.CSVVal
)),"")</f>
        <v/>
      </c>
      <c r="K538" s="40" t="str" cm="1">
        <f t="array" ref="K538">IFERROR(_xlfn.LET(
_xlpm.CSVVal,_xlfn.XLOOKUP($A538,CSV!$A:$A,CSV!K:K,""),
_xlpm.MacVal,_xlfn.XLOOKUP($A538,Output_Mac!$A:$A,Output_Mac!K:K,""),
_xlpm.MyAuditVal,_xlfn.XLOOKUP($A538,My_Audit!$A:$A,My_Audit!J:J,""),
_xlfn.IFS(_xlpm.MyAuditVal&lt;&gt;"",UPPER(_xlpm.MyAuditVal),_xlpm.MacVal&lt;&gt;"",_xlpm.MacVal,_xlpm.CSVVal&lt;&gt;"",_xlpm.CSVVal
)),"")</f>
        <v/>
      </c>
      <c r="L538" s="40" t="str" cm="1">
        <f t="array" ref="L538">IFERROR(_xlfn.LET(
_xlpm.CSVVal,_xlfn.XLOOKUP($A538,CSV!$A:$A,CSV!P:P,""),
_xlpm.MacVal,_xlfn.XLOOKUP($A538,Output_Mac!$A:$A,Output_Mac!L:L,""),
_xlpm.MyAuditVal,_xlfn.XLOOKUP($A538,My_Audit!$A:$A,My_Audit!K:K,""),
_xlfn.IFS(_xlpm.MyAuditVal&lt;&gt;"",UPPER(_xlpm.MyAuditVal),_xlpm.MacVal&lt;&gt;"",_xlpm.MacVal,_xlpm.CSVVal&lt;&gt;"",_xlpm.CSVVal
)),"")</f>
        <v/>
      </c>
      <c r="M538" s="40" t="str" cm="1">
        <f t="array" ref="M538">IFERROR(_xlfn.LET(
_xlpm.CSVVal,_xlfn.XLOOKUP($A538,CSV!$A:$A,CSV!Q:Q,""),
_xlpm.MacVal,_xlfn.XLOOKUP($A538,Output_Mac!$A:$A,Output_Mac!M:M,""),
_xlpm.MyAuditVal,_xlfn.XLOOKUP($A538,My_Audit!$A:$A,My_Audit!L:L,""),
_xlfn.IFS(_xlpm.MyAuditVal&lt;&gt;"",UPPER(_xlpm.MyAuditVal),_xlpm.MacVal&lt;&gt;"",_xlpm.MacVal,_xlpm.CSVVal&lt;&gt;"",_xlpm.CSVVal
)),"")</f>
        <v/>
      </c>
      <c r="N538" s="40"/>
      <c r="O538" s="40" t="str">
        <f>_xlfn.LET(
    _xlpm.CSVVal, _xlfn.XLOOKUP($A538, CSV!$A:$A, CSV!AA:AA, ""),
    _xlpm.MacVal, _xlfn.XLOOKUP($A538, Output_Mac!$A:$A, Output_Mac!S:S, ""),
    _xlpm.MyAuditVal, _xlfn.XLOOKUP($A538, My_Audit!$A:$A, My_Audit!P:P, ""),
    _xlfn.TEXTJOIN(", ", TRUE, _xlpm.MyAuditVal, _xlpm.MacVal, _xlpm.CSVVal)
)</f>
        <v/>
      </c>
      <c r="P538" s="40" t="str" cm="1">
        <f t="array" ref="P538">IFERROR(_xlfn.LET(
_xlpm.CSVVal,_xlfn.XLOOKUP($A538,CSV!$A:$A,CSV!AB:AB,""),
_xlpm.MacVal,_xlfn.XLOOKUP($A538,Output_Mac!$A:$A,Output_Mac!T:T,""),
_xlpm.MyAuditVal,_xlfn.XLOOKUP($A538,My_Audit!$A:$A,My_Audit!Q:Q,""),
_xlfn.IFS(_xlpm.MyAuditVal&lt;&gt;"",UPPER(_xlpm.MyAuditVal),_xlpm.MacVal&lt;&gt;"",_xlpm.MacVal,_xlpm.CSVVal&lt;&gt;"",_xlpm.CSVVal
)),"No")</f>
        <v>No</v>
      </c>
      <c r="Q538" s="40" t="str" cm="1">
        <f t="array" ref="Q538">IFERROR(_xlfn.LET(
_xlpm.CSVVal,_xlfn.XLOOKUP($A538,CSV!$A:$A,CSV!AC:AC,""),
_xlpm.MacVal,_xlfn.XLOOKUP($A538,Output_Mac!$A:$A,Output_Mac!U:U,""),
_xlpm.MyAuditVal,_xlfn.XLOOKUP($A538,My_Audit!$A:$A,My_Audit!R:R,""),
_xlfn.IFS(_xlpm.MyAuditVal&lt;&gt;"",UPPER(_xlpm.MyAuditVal),_xlpm.MacVal&lt;&gt;"",_xlpm.MacVal,_xlpm.CSVVal&lt;&gt;"",_xlpm.CSVVal
)),"")</f>
        <v/>
      </c>
      <c r="R538" s="40"/>
      <c r="S538" s="40"/>
      <c r="T538" s="40"/>
      <c r="U538" s="40"/>
      <c r="V538" s="40"/>
      <c r="W538" s="40"/>
      <c r="X538" s="41" t="str">
        <f>_xlfn.LET(
    _xlpm.MacVal, _xlfn.XLOOKUP($A538, Output_Mac!$A:$A, Output_Mac!AB:AB, ""),
    _xlpm.MyAuditVal, _xlfn.XLOOKUP($A538, My_Audit!$A:$A, My_Audit!N:N, ""),
    _xlfn.TEXTJOIN(", ", TRUE, _xlpm.MyAuditVal, _xlpm.MacVal)
)</f>
        <v/>
      </c>
    </row>
    <row r="539" spans="1:24">
      <c r="A539" s="40" t="str">
        <f>_xlfn.TEXTJOIN("",TRUE,Input!$B$2,ROW(My_Audit!A538))</f>
        <v>X538</v>
      </c>
      <c r="B539" s="40" t="str">
        <f>_xlfn.TEXTJOIN("-",TRUE,"ITD",Input!$A$2,A539)</f>
        <v>ITD-X538</v>
      </c>
      <c r="C539" s="40" t="str" cm="1">
        <f t="array" ref="C539">IFERROR(_xlfn.LET(
_xlpm.CSVVal,_xlfn.XLOOKUP($A539,CSV!$A:$A,CSV!B:B,""),
_xlpm.MacVal,_xlfn.XLOOKUP($A539,Output_Mac!$A:$A,Output_Mac!B:B,""),
_xlpm.MyAuditVal,_xlfn.XLOOKUP($A539,My_Audit!$A:$A,My_Audit!B:B,""),
_xlfn.IFS(_xlpm.MyAuditVal&lt;&gt;"",UPPER(_xlpm.MyAuditVal),_xlpm.MacVal&lt;&gt;"",_xlpm.MacVal,_xlpm.CSVVal&lt;&gt;"",_xlpm.CSVVal
)),"")</f>
        <v/>
      </c>
      <c r="D539" s="40" t="str" cm="1">
        <f t="array" ref="D539">IFERROR(_xlfn.LET(
_xlpm.CSVVal,_xlfn.XLOOKUP($A539,CSV!$A:$A,CSV!D:D,""),
_xlpm.MacVal,_xlfn.XLOOKUP($A539,Output_Mac!$A:$A,Output_Mac!C:C,""),
_xlpm.MyAuditVal,_xlfn.XLOOKUP($A539,My_Audit!$A:$A,My_Audit!C:C,""),
_xlfn.IFS(_xlpm.MyAuditVal&lt;&gt;"",_xlpm.MyAuditVal,_xlpm.MacVal&lt;&gt;"",_xlpm.MacVal,_xlpm.CSVVal&lt;&gt;"",_xlpm.CSVVal
)),"")</f>
        <v/>
      </c>
      <c r="E539" s="40" t="str">
        <f>_xlfn.XLOOKUP(A539,My_Audit!A:A,My_Audit!D:D,"")</f>
        <v/>
      </c>
      <c r="F539" s="40" t="str" cm="1">
        <f t="array" ref="F539">IFERROR(_xlfn.LET(
_xlpm.CSVVal,_xlfn.XLOOKUP($A539,CSV!$A:$A,CSV!F:F,""),
_xlpm.MacVal,_xlfn.XLOOKUP($A539,Output_Mac!$A:$A,Output_Mac!E:E,""),
_xlpm.MyAuditVal,_xlfn.XLOOKUP($A539,My_Audit!$A:$A,My_Audit!E:E,""),
_xlfn.IFS(_xlpm.MyAuditVal&lt;&gt;"",_xlpm.MyAuditVal,_xlpm.MacVal&lt;&gt;"",_xlpm.MacVal,_xlpm.CSVVal&lt;&gt;"",_xlpm.CSVVal
)),"")</f>
        <v/>
      </c>
      <c r="G539" s="40" t="str" cm="1">
        <f t="array" ref="G539">IFERROR(_xlfn.LET(
_xlpm.CSVVal,_xlfn.XLOOKUP($A539,CSV!$A:$A,CSV!G:G,""),
_xlpm.MacVal,_xlfn.XLOOKUP($A539,Output_Mac!$A:$A,Output_Mac!F:F,""),
_xlpm.MyAuditVal,_xlfn.XLOOKUP($A539,My_Audit!$A:$A,My_Audit!F:F,""),
_xlfn.IFS(_xlpm.MyAuditVal&lt;&gt;"",_xlpm.MyAuditVal,_xlpm.MacVal&lt;&gt;"",_xlpm.MacVal,_xlpm.CSVVal&lt;&gt;"",PROPER(_xlpm.CSVVal)
)),"")</f>
        <v/>
      </c>
      <c r="H539" s="40" t="str" cm="1">
        <f t="array" ref="H539">IFERROR(_xlfn.LET(
_xlpm.CSVVal,_xlfn.XLOOKUP($A539,CSV!$A:$A,CSV!H:H,""),
_xlpm.MacVal,_xlfn.XLOOKUP($A539,Output_Mac!$A:$A,Output_Mac!H:H,""),
_xlpm.MyAuditVal,_xlfn.XLOOKUP($A539,My_Audit!$A:$A,My_Audit!G:G,""),
_xlfn.IFS(_xlpm.MyAuditVal&lt;&gt;"",_xlpm.MyAuditVal,_xlpm.MacVal&lt;&gt;"",_xlpm.MacVal,_xlpm.CSVVal&lt;&gt;"",_xlpm.CSVVal
)),"")</f>
        <v/>
      </c>
      <c r="I539" s="40" t="str">
        <f>_xlfn.XLOOKUP(A539,Output_Mac!A:A,Output_Mac!I:I,"")</f>
        <v/>
      </c>
      <c r="J539" s="40" t="str" cm="1">
        <f t="array" ref="J539">IFERROR(_xlfn.LET(
_xlpm.CSVVal,_xlfn.XLOOKUP($A539,CSV!$A:$A,CSV!I:I,""),
_xlpm.MacVal,_xlfn.XLOOKUP($A539,Output_Mac!$A:$A,Output_Mac!J:J,""),
_xlpm.MyAuditVal,_xlfn.XLOOKUP($A539,My_Audit!$A:$A,My_Audit!I:I,""),
_xlfn.IFS(_xlpm.MyAuditVal&lt;&gt;"",UPPER(_xlpm.MyAuditVal),_xlpm.MacVal&lt;&gt;"",_xlpm.MacVal,_xlpm.CSVVal&lt;&gt;"",_xlpm.CSVVal
)),"")</f>
        <v/>
      </c>
      <c r="K539" s="40" t="str" cm="1">
        <f t="array" ref="K539">IFERROR(_xlfn.LET(
_xlpm.CSVVal,_xlfn.XLOOKUP($A539,CSV!$A:$A,CSV!K:K,""),
_xlpm.MacVal,_xlfn.XLOOKUP($A539,Output_Mac!$A:$A,Output_Mac!K:K,""),
_xlpm.MyAuditVal,_xlfn.XLOOKUP($A539,My_Audit!$A:$A,My_Audit!J:J,""),
_xlfn.IFS(_xlpm.MyAuditVal&lt;&gt;"",UPPER(_xlpm.MyAuditVal),_xlpm.MacVal&lt;&gt;"",_xlpm.MacVal,_xlpm.CSVVal&lt;&gt;"",_xlpm.CSVVal
)),"")</f>
        <v/>
      </c>
      <c r="L539" s="40" t="str" cm="1">
        <f t="array" ref="L539">IFERROR(_xlfn.LET(
_xlpm.CSVVal,_xlfn.XLOOKUP($A539,CSV!$A:$A,CSV!P:P,""),
_xlpm.MacVal,_xlfn.XLOOKUP($A539,Output_Mac!$A:$A,Output_Mac!L:L,""),
_xlpm.MyAuditVal,_xlfn.XLOOKUP($A539,My_Audit!$A:$A,My_Audit!K:K,""),
_xlfn.IFS(_xlpm.MyAuditVal&lt;&gt;"",UPPER(_xlpm.MyAuditVal),_xlpm.MacVal&lt;&gt;"",_xlpm.MacVal,_xlpm.CSVVal&lt;&gt;"",_xlpm.CSVVal
)),"")</f>
        <v/>
      </c>
      <c r="M539" s="40" t="str" cm="1">
        <f t="array" ref="M539">IFERROR(_xlfn.LET(
_xlpm.CSVVal,_xlfn.XLOOKUP($A539,CSV!$A:$A,CSV!Q:Q,""),
_xlpm.MacVal,_xlfn.XLOOKUP($A539,Output_Mac!$A:$A,Output_Mac!M:M,""),
_xlpm.MyAuditVal,_xlfn.XLOOKUP($A539,My_Audit!$A:$A,My_Audit!L:L,""),
_xlfn.IFS(_xlpm.MyAuditVal&lt;&gt;"",UPPER(_xlpm.MyAuditVal),_xlpm.MacVal&lt;&gt;"",_xlpm.MacVal,_xlpm.CSVVal&lt;&gt;"",_xlpm.CSVVal
)),"")</f>
        <v/>
      </c>
      <c r="N539" s="40"/>
      <c r="O539" s="40" t="str">
        <f>_xlfn.LET(
    _xlpm.CSVVal, _xlfn.XLOOKUP($A539, CSV!$A:$A, CSV!AA:AA, ""),
    _xlpm.MacVal, _xlfn.XLOOKUP($A539, Output_Mac!$A:$A, Output_Mac!S:S, ""),
    _xlpm.MyAuditVal, _xlfn.XLOOKUP($A539, My_Audit!$A:$A, My_Audit!P:P, ""),
    _xlfn.TEXTJOIN(", ", TRUE, _xlpm.MyAuditVal, _xlpm.MacVal, _xlpm.CSVVal)
)</f>
        <v/>
      </c>
      <c r="P539" s="40" t="str" cm="1">
        <f t="array" ref="P539">IFERROR(_xlfn.LET(
_xlpm.CSVVal,_xlfn.XLOOKUP($A539,CSV!$A:$A,CSV!AB:AB,""),
_xlpm.MacVal,_xlfn.XLOOKUP($A539,Output_Mac!$A:$A,Output_Mac!T:T,""),
_xlpm.MyAuditVal,_xlfn.XLOOKUP($A539,My_Audit!$A:$A,My_Audit!Q:Q,""),
_xlfn.IFS(_xlpm.MyAuditVal&lt;&gt;"",UPPER(_xlpm.MyAuditVal),_xlpm.MacVal&lt;&gt;"",_xlpm.MacVal,_xlpm.CSVVal&lt;&gt;"",_xlpm.CSVVal
)),"No")</f>
        <v>No</v>
      </c>
      <c r="Q539" s="40" t="str" cm="1">
        <f t="array" ref="Q539">IFERROR(_xlfn.LET(
_xlpm.CSVVal,_xlfn.XLOOKUP($A539,CSV!$A:$A,CSV!AC:AC,""),
_xlpm.MacVal,_xlfn.XLOOKUP($A539,Output_Mac!$A:$A,Output_Mac!U:U,""),
_xlpm.MyAuditVal,_xlfn.XLOOKUP($A539,My_Audit!$A:$A,My_Audit!R:R,""),
_xlfn.IFS(_xlpm.MyAuditVal&lt;&gt;"",UPPER(_xlpm.MyAuditVal),_xlpm.MacVal&lt;&gt;"",_xlpm.MacVal,_xlpm.CSVVal&lt;&gt;"",_xlpm.CSVVal
)),"")</f>
        <v/>
      </c>
      <c r="R539" s="40"/>
      <c r="S539" s="40"/>
      <c r="T539" s="40"/>
      <c r="U539" s="40"/>
      <c r="V539" s="40"/>
      <c r="W539" s="40"/>
      <c r="X539" s="41" t="str">
        <f>_xlfn.LET(
    _xlpm.MacVal, _xlfn.XLOOKUP($A539, Output_Mac!$A:$A, Output_Mac!AB:AB, ""),
    _xlpm.MyAuditVal, _xlfn.XLOOKUP($A539, My_Audit!$A:$A, My_Audit!N:N, ""),
    _xlfn.TEXTJOIN(", ", TRUE, _xlpm.MyAuditVal, _xlpm.MacVal)
)</f>
        <v/>
      </c>
    </row>
    <row r="540" spans="1:24">
      <c r="A540" s="40" t="str">
        <f>_xlfn.TEXTJOIN("",TRUE,Input!$B$2,ROW(My_Audit!A539))</f>
        <v>X539</v>
      </c>
      <c r="B540" s="40" t="str">
        <f>_xlfn.TEXTJOIN("-",TRUE,"ITD",Input!$A$2,A540)</f>
        <v>ITD-X539</v>
      </c>
      <c r="C540" s="40" t="str" cm="1">
        <f t="array" ref="C540">IFERROR(_xlfn.LET(
_xlpm.CSVVal,_xlfn.XLOOKUP($A540,CSV!$A:$A,CSV!B:B,""),
_xlpm.MacVal,_xlfn.XLOOKUP($A540,Output_Mac!$A:$A,Output_Mac!B:B,""),
_xlpm.MyAuditVal,_xlfn.XLOOKUP($A540,My_Audit!$A:$A,My_Audit!B:B,""),
_xlfn.IFS(_xlpm.MyAuditVal&lt;&gt;"",UPPER(_xlpm.MyAuditVal),_xlpm.MacVal&lt;&gt;"",_xlpm.MacVal,_xlpm.CSVVal&lt;&gt;"",_xlpm.CSVVal
)),"")</f>
        <v/>
      </c>
      <c r="D540" s="40" t="str" cm="1">
        <f t="array" ref="D540">IFERROR(_xlfn.LET(
_xlpm.CSVVal,_xlfn.XLOOKUP($A540,CSV!$A:$A,CSV!D:D,""),
_xlpm.MacVal,_xlfn.XLOOKUP($A540,Output_Mac!$A:$A,Output_Mac!C:C,""),
_xlpm.MyAuditVal,_xlfn.XLOOKUP($A540,My_Audit!$A:$A,My_Audit!C:C,""),
_xlfn.IFS(_xlpm.MyAuditVal&lt;&gt;"",_xlpm.MyAuditVal,_xlpm.MacVal&lt;&gt;"",_xlpm.MacVal,_xlpm.CSVVal&lt;&gt;"",_xlpm.CSVVal
)),"")</f>
        <v/>
      </c>
      <c r="E540" s="40" t="str">
        <f>_xlfn.XLOOKUP(A540,My_Audit!A:A,My_Audit!D:D,"")</f>
        <v/>
      </c>
      <c r="F540" s="40" t="str" cm="1">
        <f t="array" ref="F540">IFERROR(_xlfn.LET(
_xlpm.CSVVal,_xlfn.XLOOKUP($A540,CSV!$A:$A,CSV!F:F,""),
_xlpm.MacVal,_xlfn.XLOOKUP($A540,Output_Mac!$A:$A,Output_Mac!E:E,""),
_xlpm.MyAuditVal,_xlfn.XLOOKUP($A540,My_Audit!$A:$A,My_Audit!E:E,""),
_xlfn.IFS(_xlpm.MyAuditVal&lt;&gt;"",_xlpm.MyAuditVal,_xlpm.MacVal&lt;&gt;"",_xlpm.MacVal,_xlpm.CSVVal&lt;&gt;"",_xlpm.CSVVal
)),"")</f>
        <v/>
      </c>
      <c r="G540" s="40" t="str" cm="1">
        <f t="array" ref="G540">IFERROR(_xlfn.LET(
_xlpm.CSVVal,_xlfn.XLOOKUP($A540,CSV!$A:$A,CSV!G:G,""),
_xlpm.MacVal,_xlfn.XLOOKUP($A540,Output_Mac!$A:$A,Output_Mac!F:F,""),
_xlpm.MyAuditVal,_xlfn.XLOOKUP($A540,My_Audit!$A:$A,My_Audit!F:F,""),
_xlfn.IFS(_xlpm.MyAuditVal&lt;&gt;"",_xlpm.MyAuditVal,_xlpm.MacVal&lt;&gt;"",_xlpm.MacVal,_xlpm.CSVVal&lt;&gt;"",PROPER(_xlpm.CSVVal)
)),"")</f>
        <v/>
      </c>
      <c r="H540" s="40" t="str" cm="1">
        <f t="array" ref="H540">IFERROR(_xlfn.LET(
_xlpm.CSVVal,_xlfn.XLOOKUP($A540,CSV!$A:$A,CSV!H:H,""),
_xlpm.MacVal,_xlfn.XLOOKUP($A540,Output_Mac!$A:$A,Output_Mac!H:H,""),
_xlpm.MyAuditVal,_xlfn.XLOOKUP($A540,My_Audit!$A:$A,My_Audit!G:G,""),
_xlfn.IFS(_xlpm.MyAuditVal&lt;&gt;"",_xlpm.MyAuditVal,_xlpm.MacVal&lt;&gt;"",_xlpm.MacVal,_xlpm.CSVVal&lt;&gt;"",_xlpm.CSVVal
)),"")</f>
        <v/>
      </c>
      <c r="I540" s="40" t="str">
        <f>_xlfn.XLOOKUP(A540,Output_Mac!A:A,Output_Mac!I:I,"")</f>
        <v/>
      </c>
      <c r="J540" s="40" t="str" cm="1">
        <f t="array" ref="J540">IFERROR(_xlfn.LET(
_xlpm.CSVVal,_xlfn.XLOOKUP($A540,CSV!$A:$A,CSV!I:I,""),
_xlpm.MacVal,_xlfn.XLOOKUP($A540,Output_Mac!$A:$A,Output_Mac!J:J,""),
_xlpm.MyAuditVal,_xlfn.XLOOKUP($A540,My_Audit!$A:$A,My_Audit!I:I,""),
_xlfn.IFS(_xlpm.MyAuditVal&lt;&gt;"",UPPER(_xlpm.MyAuditVal),_xlpm.MacVal&lt;&gt;"",_xlpm.MacVal,_xlpm.CSVVal&lt;&gt;"",_xlpm.CSVVal
)),"")</f>
        <v/>
      </c>
      <c r="K540" s="40" t="str" cm="1">
        <f t="array" ref="K540">IFERROR(_xlfn.LET(
_xlpm.CSVVal,_xlfn.XLOOKUP($A540,CSV!$A:$A,CSV!K:K,""),
_xlpm.MacVal,_xlfn.XLOOKUP($A540,Output_Mac!$A:$A,Output_Mac!K:K,""),
_xlpm.MyAuditVal,_xlfn.XLOOKUP($A540,My_Audit!$A:$A,My_Audit!J:J,""),
_xlfn.IFS(_xlpm.MyAuditVal&lt;&gt;"",UPPER(_xlpm.MyAuditVal),_xlpm.MacVal&lt;&gt;"",_xlpm.MacVal,_xlpm.CSVVal&lt;&gt;"",_xlpm.CSVVal
)),"")</f>
        <v/>
      </c>
      <c r="L540" s="40" t="str" cm="1">
        <f t="array" ref="L540">IFERROR(_xlfn.LET(
_xlpm.CSVVal,_xlfn.XLOOKUP($A540,CSV!$A:$A,CSV!P:P,""),
_xlpm.MacVal,_xlfn.XLOOKUP($A540,Output_Mac!$A:$A,Output_Mac!L:L,""),
_xlpm.MyAuditVal,_xlfn.XLOOKUP($A540,My_Audit!$A:$A,My_Audit!K:K,""),
_xlfn.IFS(_xlpm.MyAuditVal&lt;&gt;"",UPPER(_xlpm.MyAuditVal),_xlpm.MacVal&lt;&gt;"",_xlpm.MacVal,_xlpm.CSVVal&lt;&gt;"",_xlpm.CSVVal
)),"")</f>
        <v/>
      </c>
      <c r="M540" s="40" t="str" cm="1">
        <f t="array" ref="M540">IFERROR(_xlfn.LET(
_xlpm.CSVVal,_xlfn.XLOOKUP($A540,CSV!$A:$A,CSV!Q:Q,""),
_xlpm.MacVal,_xlfn.XLOOKUP($A540,Output_Mac!$A:$A,Output_Mac!M:M,""),
_xlpm.MyAuditVal,_xlfn.XLOOKUP($A540,My_Audit!$A:$A,My_Audit!L:L,""),
_xlfn.IFS(_xlpm.MyAuditVal&lt;&gt;"",UPPER(_xlpm.MyAuditVal),_xlpm.MacVal&lt;&gt;"",_xlpm.MacVal,_xlpm.CSVVal&lt;&gt;"",_xlpm.CSVVal
)),"")</f>
        <v/>
      </c>
      <c r="N540" s="40"/>
      <c r="O540" s="40" t="str">
        <f>_xlfn.LET(
    _xlpm.CSVVal, _xlfn.XLOOKUP($A540, CSV!$A:$A, CSV!AA:AA, ""),
    _xlpm.MacVal, _xlfn.XLOOKUP($A540, Output_Mac!$A:$A, Output_Mac!S:S, ""),
    _xlpm.MyAuditVal, _xlfn.XLOOKUP($A540, My_Audit!$A:$A, My_Audit!P:P, ""),
    _xlfn.TEXTJOIN(", ", TRUE, _xlpm.MyAuditVal, _xlpm.MacVal, _xlpm.CSVVal)
)</f>
        <v/>
      </c>
      <c r="P540" s="40" t="str" cm="1">
        <f t="array" ref="P540">IFERROR(_xlfn.LET(
_xlpm.CSVVal,_xlfn.XLOOKUP($A540,CSV!$A:$A,CSV!AB:AB,""),
_xlpm.MacVal,_xlfn.XLOOKUP($A540,Output_Mac!$A:$A,Output_Mac!T:T,""),
_xlpm.MyAuditVal,_xlfn.XLOOKUP($A540,My_Audit!$A:$A,My_Audit!Q:Q,""),
_xlfn.IFS(_xlpm.MyAuditVal&lt;&gt;"",UPPER(_xlpm.MyAuditVal),_xlpm.MacVal&lt;&gt;"",_xlpm.MacVal,_xlpm.CSVVal&lt;&gt;"",_xlpm.CSVVal
)),"No")</f>
        <v>No</v>
      </c>
      <c r="Q540" s="40" t="str" cm="1">
        <f t="array" ref="Q540">IFERROR(_xlfn.LET(
_xlpm.CSVVal,_xlfn.XLOOKUP($A540,CSV!$A:$A,CSV!AC:AC,""),
_xlpm.MacVal,_xlfn.XLOOKUP($A540,Output_Mac!$A:$A,Output_Mac!U:U,""),
_xlpm.MyAuditVal,_xlfn.XLOOKUP($A540,My_Audit!$A:$A,My_Audit!R:R,""),
_xlfn.IFS(_xlpm.MyAuditVal&lt;&gt;"",UPPER(_xlpm.MyAuditVal),_xlpm.MacVal&lt;&gt;"",_xlpm.MacVal,_xlpm.CSVVal&lt;&gt;"",_xlpm.CSVVal
)),"")</f>
        <v/>
      </c>
      <c r="R540" s="40"/>
      <c r="S540" s="40"/>
      <c r="T540" s="40"/>
      <c r="U540" s="40"/>
      <c r="V540" s="40"/>
      <c r="W540" s="40"/>
      <c r="X540" s="41" t="str">
        <f>_xlfn.LET(
    _xlpm.MacVal, _xlfn.XLOOKUP($A540, Output_Mac!$A:$A, Output_Mac!AB:AB, ""),
    _xlpm.MyAuditVal, _xlfn.XLOOKUP($A540, My_Audit!$A:$A, My_Audit!N:N, ""),
    _xlfn.TEXTJOIN(", ", TRUE, _xlpm.MyAuditVal, _xlpm.MacVal)
)</f>
        <v/>
      </c>
    </row>
    <row r="541" spans="1:24">
      <c r="A541" s="40" t="str">
        <f>_xlfn.TEXTJOIN("",TRUE,Input!$B$2,ROW(My_Audit!A540))</f>
        <v>X540</v>
      </c>
      <c r="B541" s="40" t="str">
        <f>_xlfn.TEXTJOIN("-",TRUE,"ITD",Input!$A$2,A541)</f>
        <v>ITD-X540</v>
      </c>
      <c r="C541" s="40" t="str" cm="1">
        <f t="array" ref="C541">IFERROR(_xlfn.LET(
_xlpm.CSVVal,_xlfn.XLOOKUP($A541,CSV!$A:$A,CSV!B:B,""),
_xlpm.MacVal,_xlfn.XLOOKUP($A541,Output_Mac!$A:$A,Output_Mac!B:B,""),
_xlpm.MyAuditVal,_xlfn.XLOOKUP($A541,My_Audit!$A:$A,My_Audit!B:B,""),
_xlfn.IFS(_xlpm.MyAuditVal&lt;&gt;"",UPPER(_xlpm.MyAuditVal),_xlpm.MacVal&lt;&gt;"",_xlpm.MacVal,_xlpm.CSVVal&lt;&gt;"",_xlpm.CSVVal
)),"")</f>
        <v/>
      </c>
      <c r="D541" s="40" t="str" cm="1">
        <f t="array" ref="D541">IFERROR(_xlfn.LET(
_xlpm.CSVVal,_xlfn.XLOOKUP($A541,CSV!$A:$A,CSV!D:D,""),
_xlpm.MacVal,_xlfn.XLOOKUP($A541,Output_Mac!$A:$A,Output_Mac!C:C,""),
_xlpm.MyAuditVal,_xlfn.XLOOKUP($A541,My_Audit!$A:$A,My_Audit!C:C,""),
_xlfn.IFS(_xlpm.MyAuditVal&lt;&gt;"",_xlpm.MyAuditVal,_xlpm.MacVal&lt;&gt;"",_xlpm.MacVal,_xlpm.CSVVal&lt;&gt;"",_xlpm.CSVVal
)),"")</f>
        <v/>
      </c>
      <c r="E541" s="40" t="str">
        <f>_xlfn.XLOOKUP(A541,My_Audit!A:A,My_Audit!D:D,"")</f>
        <v/>
      </c>
      <c r="F541" s="40" t="str" cm="1">
        <f t="array" ref="F541">IFERROR(_xlfn.LET(
_xlpm.CSVVal,_xlfn.XLOOKUP($A541,CSV!$A:$A,CSV!F:F,""),
_xlpm.MacVal,_xlfn.XLOOKUP($A541,Output_Mac!$A:$A,Output_Mac!E:E,""),
_xlpm.MyAuditVal,_xlfn.XLOOKUP($A541,My_Audit!$A:$A,My_Audit!E:E,""),
_xlfn.IFS(_xlpm.MyAuditVal&lt;&gt;"",_xlpm.MyAuditVal,_xlpm.MacVal&lt;&gt;"",_xlpm.MacVal,_xlpm.CSVVal&lt;&gt;"",_xlpm.CSVVal
)),"")</f>
        <v/>
      </c>
      <c r="G541" s="40" t="str" cm="1">
        <f t="array" ref="G541">IFERROR(_xlfn.LET(
_xlpm.CSVVal,_xlfn.XLOOKUP($A541,CSV!$A:$A,CSV!G:G,""),
_xlpm.MacVal,_xlfn.XLOOKUP($A541,Output_Mac!$A:$A,Output_Mac!F:F,""),
_xlpm.MyAuditVal,_xlfn.XLOOKUP($A541,My_Audit!$A:$A,My_Audit!F:F,""),
_xlfn.IFS(_xlpm.MyAuditVal&lt;&gt;"",_xlpm.MyAuditVal,_xlpm.MacVal&lt;&gt;"",_xlpm.MacVal,_xlpm.CSVVal&lt;&gt;"",PROPER(_xlpm.CSVVal)
)),"")</f>
        <v/>
      </c>
      <c r="H541" s="40" t="str" cm="1">
        <f t="array" ref="H541">IFERROR(_xlfn.LET(
_xlpm.CSVVal,_xlfn.XLOOKUP($A541,CSV!$A:$A,CSV!H:H,""),
_xlpm.MacVal,_xlfn.XLOOKUP($A541,Output_Mac!$A:$A,Output_Mac!H:H,""),
_xlpm.MyAuditVal,_xlfn.XLOOKUP($A541,My_Audit!$A:$A,My_Audit!G:G,""),
_xlfn.IFS(_xlpm.MyAuditVal&lt;&gt;"",_xlpm.MyAuditVal,_xlpm.MacVal&lt;&gt;"",_xlpm.MacVal,_xlpm.CSVVal&lt;&gt;"",_xlpm.CSVVal
)),"")</f>
        <v/>
      </c>
      <c r="I541" s="40" t="str">
        <f>_xlfn.XLOOKUP(A541,Output_Mac!A:A,Output_Mac!I:I,"")</f>
        <v/>
      </c>
      <c r="J541" s="40" t="str" cm="1">
        <f t="array" ref="J541">IFERROR(_xlfn.LET(
_xlpm.CSVVal,_xlfn.XLOOKUP($A541,CSV!$A:$A,CSV!I:I,""),
_xlpm.MacVal,_xlfn.XLOOKUP($A541,Output_Mac!$A:$A,Output_Mac!J:J,""),
_xlpm.MyAuditVal,_xlfn.XLOOKUP($A541,My_Audit!$A:$A,My_Audit!I:I,""),
_xlfn.IFS(_xlpm.MyAuditVal&lt;&gt;"",UPPER(_xlpm.MyAuditVal),_xlpm.MacVal&lt;&gt;"",_xlpm.MacVal,_xlpm.CSVVal&lt;&gt;"",_xlpm.CSVVal
)),"")</f>
        <v/>
      </c>
      <c r="K541" s="40" t="str" cm="1">
        <f t="array" ref="K541">IFERROR(_xlfn.LET(
_xlpm.CSVVal,_xlfn.XLOOKUP($A541,CSV!$A:$A,CSV!K:K,""),
_xlpm.MacVal,_xlfn.XLOOKUP($A541,Output_Mac!$A:$A,Output_Mac!K:K,""),
_xlpm.MyAuditVal,_xlfn.XLOOKUP($A541,My_Audit!$A:$A,My_Audit!J:J,""),
_xlfn.IFS(_xlpm.MyAuditVal&lt;&gt;"",UPPER(_xlpm.MyAuditVal),_xlpm.MacVal&lt;&gt;"",_xlpm.MacVal,_xlpm.CSVVal&lt;&gt;"",_xlpm.CSVVal
)),"")</f>
        <v/>
      </c>
      <c r="L541" s="40" t="str" cm="1">
        <f t="array" ref="L541">IFERROR(_xlfn.LET(
_xlpm.CSVVal,_xlfn.XLOOKUP($A541,CSV!$A:$A,CSV!P:P,""),
_xlpm.MacVal,_xlfn.XLOOKUP($A541,Output_Mac!$A:$A,Output_Mac!L:L,""),
_xlpm.MyAuditVal,_xlfn.XLOOKUP($A541,My_Audit!$A:$A,My_Audit!K:K,""),
_xlfn.IFS(_xlpm.MyAuditVal&lt;&gt;"",UPPER(_xlpm.MyAuditVal),_xlpm.MacVal&lt;&gt;"",_xlpm.MacVal,_xlpm.CSVVal&lt;&gt;"",_xlpm.CSVVal
)),"")</f>
        <v/>
      </c>
      <c r="M541" s="40" t="str" cm="1">
        <f t="array" ref="M541">IFERROR(_xlfn.LET(
_xlpm.CSVVal,_xlfn.XLOOKUP($A541,CSV!$A:$A,CSV!Q:Q,""),
_xlpm.MacVal,_xlfn.XLOOKUP($A541,Output_Mac!$A:$A,Output_Mac!M:M,""),
_xlpm.MyAuditVal,_xlfn.XLOOKUP($A541,My_Audit!$A:$A,My_Audit!L:L,""),
_xlfn.IFS(_xlpm.MyAuditVal&lt;&gt;"",UPPER(_xlpm.MyAuditVal),_xlpm.MacVal&lt;&gt;"",_xlpm.MacVal,_xlpm.CSVVal&lt;&gt;"",_xlpm.CSVVal
)),"")</f>
        <v/>
      </c>
      <c r="N541" s="40"/>
      <c r="O541" s="40" t="str">
        <f>_xlfn.LET(
    _xlpm.CSVVal, _xlfn.XLOOKUP($A541, CSV!$A:$A, CSV!AA:AA, ""),
    _xlpm.MacVal, _xlfn.XLOOKUP($A541, Output_Mac!$A:$A, Output_Mac!S:S, ""),
    _xlpm.MyAuditVal, _xlfn.XLOOKUP($A541, My_Audit!$A:$A, My_Audit!P:P, ""),
    _xlfn.TEXTJOIN(", ", TRUE, _xlpm.MyAuditVal, _xlpm.MacVal, _xlpm.CSVVal)
)</f>
        <v/>
      </c>
      <c r="P541" s="40" t="str" cm="1">
        <f t="array" ref="P541">IFERROR(_xlfn.LET(
_xlpm.CSVVal,_xlfn.XLOOKUP($A541,CSV!$A:$A,CSV!AB:AB,""),
_xlpm.MacVal,_xlfn.XLOOKUP($A541,Output_Mac!$A:$A,Output_Mac!T:T,""),
_xlpm.MyAuditVal,_xlfn.XLOOKUP($A541,My_Audit!$A:$A,My_Audit!Q:Q,""),
_xlfn.IFS(_xlpm.MyAuditVal&lt;&gt;"",UPPER(_xlpm.MyAuditVal),_xlpm.MacVal&lt;&gt;"",_xlpm.MacVal,_xlpm.CSVVal&lt;&gt;"",_xlpm.CSVVal
)),"No")</f>
        <v>No</v>
      </c>
      <c r="Q541" s="40" t="str" cm="1">
        <f t="array" ref="Q541">IFERROR(_xlfn.LET(
_xlpm.CSVVal,_xlfn.XLOOKUP($A541,CSV!$A:$A,CSV!AC:AC,""),
_xlpm.MacVal,_xlfn.XLOOKUP($A541,Output_Mac!$A:$A,Output_Mac!U:U,""),
_xlpm.MyAuditVal,_xlfn.XLOOKUP($A541,My_Audit!$A:$A,My_Audit!R:R,""),
_xlfn.IFS(_xlpm.MyAuditVal&lt;&gt;"",UPPER(_xlpm.MyAuditVal),_xlpm.MacVal&lt;&gt;"",_xlpm.MacVal,_xlpm.CSVVal&lt;&gt;"",_xlpm.CSVVal
)),"")</f>
        <v/>
      </c>
      <c r="R541" s="40"/>
      <c r="S541" s="40"/>
      <c r="T541" s="40"/>
      <c r="U541" s="40"/>
      <c r="V541" s="40"/>
      <c r="W541" s="40"/>
      <c r="X541" s="41" t="str">
        <f>_xlfn.LET(
    _xlpm.MacVal, _xlfn.XLOOKUP($A541, Output_Mac!$A:$A, Output_Mac!AB:AB, ""),
    _xlpm.MyAuditVal, _xlfn.XLOOKUP($A541, My_Audit!$A:$A, My_Audit!N:N, ""),
    _xlfn.TEXTJOIN(", ", TRUE, _xlpm.MyAuditVal, _xlpm.MacVal)
)</f>
        <v/>
      </c>
    </row>
    <row r="542" spans="1:24">
      <c r="A542" s="40" t="str">
        <f>_xlfn.TEXTJOIN("",TRUE,Input!$B$2,ROW(My_Audit!A541))</f>
        <v>X541</v>
      </c>
      <c r="B542" s="40" t="str">
        <f>_xlfn.TEXTJOIN("-",TRUE,"ITD",Input!$A$2,A542)</f>
        <v>ITD-X541</v>
      </c>
      <c r="C542" s="40" t="str" cm="1">
        <f t="array" ref="C542">IFERROR(_xlfn.LET(
_xlpm.CSVVal,_xlfn.XLOOKUP($A542,CSV!$A:$A,CSV!B:B,""),
_xlpm.MacVal,_xlfn.XLOOKUP($A542,Output_Mac!$A:$A,Output_Mac!B:B,""),
_xlpm.MyAuditVal,_xlfn.XLOOKUP($A542,My_Audit!$A:$A,My_Audit!B:B,""),
_xlfn.IFS(_xlpm.MyAuditVal&lt;&gt;"",UPPER(_xlpm.MyAuditVal),_xlpm.MacVal&lt;&gt;"",_xlpm.MacVal,_xlpm.CSVVal&lt;&gt;"",_xlpm.CSVVal
)),"")</f>
        <v/>
      </c>
      <c r="D542" s="40" t="str" cm="1">
        <f t="array" ref="D542">IFERROR(_xlfn.LET(
_xlpm.CSVVal,_xlfn.XLOOKUP($A542,CSV!$A:$A,CSV!D:D,""),
_xlpm.MacVal,_xlfn.XLOOKUP($A542,Output_Mac!$A:$A,Output_Mac!C:C,""),
_xlpm.MyAuditVal,_xlfn.XLOOKUP($A542,My_Audit!$A:$A,My_Audit!C:C,""),
_xlfn.IFS(_xlpm.MyAuditVal&lt;&gt;"",_xlpm.MyAuditVal,_xlpm.MacVal&lt;&gt;"",_xlpm.MacVal,_xlpm.CSVVal&lt;&gt;"",_xlpm.CSVVal
)),"")</f>
        <v/>
      </c>
      <c r="E542" s="40" t="str">
        <f>_xlfn.XLOOKUP(A542,My_Audit!A:A,My_Audit!D:D,"")</f>
        <v/>
      </c>
      <c r="F542" s="40" t="str" cm="1">
        <f t="array" ref="F542">IFERROR(_xlfn.LET(
_xlpm.CSVVal,_xlfn.XLOOKUP($A542,CSV!$A:$A,CSV!F:F,""),
_xlpm.MacVal,_xlfn.XLOOKUP($A542,Output_Mac!$A:$A,Output_Mac!E:E,""),
_xlpm.MyAuditVal,_xlfn.XLOOKUP($A542,My_Audit!$A:$A,My_Audit!E:E,""),
_xlfn.IFS(_xlpm.MyAuditVal&lt;&gt;"",_xlpm.MyAuditVal,_xlpm.MacVal&lt;&gt;"",_xlpm.MacVal,_xlpm.CSVVal&lt;&gt;"",_xlpm.CSVVal
)),"")</f>
        <v/>
      </c>
      <c r="G542" s="40" t="str" cm="1">
        <f t="array" ref="G542">IFERROR(_xlfn.LET(
_xlpm.CSVVal,_xlfn.XLOOKUP($A542,CSV!$A:$A,CSV!G:G,""),
_xlpm.MacVal,_xlfn.XLOOKUP($A542,Output_Mac!$A:$A,Output_Mac!F:F,""),
_xlpm.MyAuditVal,_xlfn.XLOOKUP($A542,My_Audit!$A:$A,My_Audit!F:F,""),
_xlfn.IFS(_xlpm.MyAuditVal&lt;&gt;"",_xlpm.MyAuditVal,_xlpm.MacVal&lt;&gt;"",_xlpm.MacVal,_xlpm.CSVVal&lt;&gt;"",PROPER(_xlpm.CSVVal)
)),"")</f>
        <v/>
      </c>
      <c r="H542" s="40" t="str" cm="1">
        <f t="array" ref="H542">IFERROR(_xlfn.LET(
_xlpm.CSVVal,_xlfn.XLOOKUP($A542,CSV!$A:$A,CSV!H:H,""),
_xlpm.MacVal,_xlfn.XLOOKUP($A542,Output_Mac!$A:$A,Output_Mac!H:H,""),
_xlpm.MyAuditVal,_xlfn.XLOOKUP($A542,My_Audit!$A:$A,My_Audit!G:G,""),
_xlfn.IFS(_xlpm.MyAuditVal&lt;&gt;"",_xlpm.MyAuditVal,_xlpm.MacVal&lt;&gt;"",_xlpm.MacVal,_xlpm.CSVVal&lt;&gt;"",_xlpm.CSVVal
)),"")</f>
        <v/>
      </c>
      <c r="I542" s="40" t="str">
        <f>_xlfn.XLOOKUP(A542,Output_Mac!A:A,Output_Mac!I:I,"")</f>
        <v/>
      </c>
      <c r="J542" s="40" t="str" cm="1">
        <f t="array" ref="J542">IFERROR(_xlfn.LET(
_xlpm.CSVVal,_xlfn.XLOOKUP($A542,CSV!$A:$A,CSV!I:I,""),
_xlpm.MacVal,_xlfn.XLOOKUP($A542,Output_Mac!$A:$A,Output_Mac!J:J,""),
_xlpm.MyAuditVal,_xlfn.XLOOKUP($A542,My_Audit!$A:$A,My_Audit!I:I,""),
_xlfn.IFS(_xlpm.MyAuditVal&lt;&gt;"",UPPER(_xlpm.MyAuditVal),_xlpm.MacVal&lt;&gt;"",_xlpm.MacVal,_xlpm.CSVVal&lt;&gt;"",_xlpm.CSVVal
)),"")</f>
        <v/>
      </c>
      <c r="K542" s="40" t="str" cm="1">
        <f t="array" ref="K542">IFERROR(_xlfn.LET(
_xlpm.CSVVal,_xlfn.XLOOKUP($A542,CSV!$A:$A,CSV!K:K,""),
_xlpm.MacVal,_xlfn.XLOOKUP($A542,Output_Mac!$A:$A,Output_Mac!K:K,""),
_xlpm.MyAuditVal,_xlfn.XLOOKUP($A542,My_Audit!$A:$A,My_Audit!J:J,""),
_xlfn.IFS(_xlpm.MyAuditVal&lt;&gt;"",UPPER(_xlpm.MyAuditVal),_xlpm.MacVal&lt;&gt;"",_xlpm.MacVal,_xlpm.CSVVal&lt;&gt;"",_xlpm.CSVVal
)),"")</f>
        <v/>
      </c>
      <c r="L542" s="40" t="str" cm="1">
        <f t="array" ref="L542">IFERROR(_xlfn.LET(
_xlpm.CSVVal,_xlfn.XLOOKUP($A542,CSV!$A:$A,CSV!P:P,""),
_xlpm.MacVal,_xlfn.XLOOKUP($A542,Output_Mac!$A:$A,Output_Mac!L:L,""),
_xlpm.MyAuditVal,_xlfn.XLOOKUP($A542,My_Audit!$A:$A,My_Audit!K:K,""),
_xlfn.IFS(_xlpm.MyAuditVal&lt;&gt;"",UPPER(_xlpm.MyAuditVal),_xlpm.MacVal&lt;&gt;"",_xlpm.MacVal,_xlpm.CSVVal&lt;&gt;"",_xlpm.CSVVal
)),"")</f>
        <v/>
      </c>
      <c r="M542" s="40" t="str" cm="1">
        <f t="array" ref="M542">IFERROR(_xlfn.LET(
_xlpm.CSVVal,_xlfn.XLOOKUP($A542,CSV!$A:$A,CSV!Q:Q,""),
_xlpm.MacVal,_xlfn.XLOOKUP($A542,Output_Mac!$A:$A,Output_Mac!M:M,""),
_xlpm.MyAuditVal,_xlfn.XLOOKUP($A542,My_Audit!$A:$A,My_Audit!L:L,""),
_xlfn.IFS(_xlpm.MyAuditVal&lt;&gt;"",UPPER(_xlpm.MyAuditVal),_xlpm.MacVal&lt;&gt;"",_xlpm.MacVal,_xlpm.CSVVal&lt;&gt;"",_xlpm.CSVVal
)),"")</f>
        <v/>
      </c>
      <c r="N542" s="40"/>
      <c r="O542" s="40" t="str">
        <f>_xlfn.LET(
    _xlpm.CSVVal, _xlfn.XLOOKUP($A542, CSV!$A:$A, CSV!AA:AA, ""),
    _xlpm.MacVal, _xlfn.XLOOKUP($A542, Output_Mac!$A:$A, Output_Mac!S:S, ""),
    _xlpm.MyAuditVal, _xlfn.XLOOKUP($A542, My_Audit!$A:$A, My_Audit!P:P, ""),
    _xlfn.TEXTJOIN(", ", TRUE, _xlpm.MyAuditVal, _xlpm.MacVal, _xlpm.CSVVal)
)</f>
        <v/>
      </c>
      <c r="P542" s="40" t="str" cm="1">
        <f t="array" ref="P542">IFERROR(_xlfn.LET(
_xlpm.CSVVal,_xlfn.XLOOKUP($A542,CSV!$A:$A,CSV!AB:AB,""),
_xlpm.MacVal,_xlfn.XLOOKUP($A542,Output_Mac!$A:$A,Output_Mac!T:T,""),
_xlpm.MyAuditVal,_xlfn.XLOOKUP($A542,My_Audit!$A:$A,My_Audit!Q:Q,""),
_xlfn.IFS(_xlpm.MyAuditVal&lt;&gt;"",UPPER(_xlpm.MyAuditVal),_xlpm.MacVal&lt;&gt;"",_xlpm.MacVal,_xlpm.CSVVal&lt;&gt;"",_xlpm.CSVVal
)),"No")</f>
        <v>No</v>
      </c>
      <c r="Q542" s="40" t="str" cm="1">
        <f t="array" ref="Q542">IFERROR(_xlfn.LET(
_xlpm.CSVVal,_xlfn.XLOOKUP($A542,CSV!$A:$A,CSV!AC:AC,""),
_xlpm.MacVal,_xlfn.XLOOKUP($A542,Output_Mac!$A:$A,Output_Mac!U:U,""),
_xlpm.MyAuditVal,_xlfn.XLOOKUP($A542,My_Audit!$A:$A,My_Audit!R:R,""),
_xlfn.IFS(_xlpm.MyAuditVal&lt;&gt;"",UPPER(_xlpm.MyAuditVal),_xlpm.MacVal&lt;&gt;"",_xlpm.MacVal,_xlpm.CSVVal&lt;&gt;"",_xlpm.CSVVal
)),"")</f>
        <v/>
      </c>
      <c r="R542" s="40"/>
      <c r="S542" s="40"/>
      <c r="T542" s="40"/>
      <c r="U542" s="40"/>
      <c r="V542" s="40"/>
      <c r="W542" s="40"/>
      <c r="X542" s="41" t="str">
        <f>_xlfn.LET(
    _xlpm.MacVal, _xlfn.XLOOKUP($A542, Output_Mac!$A:$A, Output_Mac!AB:AB, ""),
    _xlpm.MyAuditVal, _xlfn.XLOOKUP($A542, My_Audit!$A:$A, My_Audit!N:N, ""),
    _xlfn.TEXTJOIN(", ", TRUE, _xlpm.MyAuditVal, _xlpm.MacVal)
)</f>
        <v/>
      </c>
    </row>
    <row r="543" spans="1:24">
      <c r="A543" s="40" t="str">
        <f>_xlfn.TEXTJOIN("",TRUE,Input!$B$2,ROW(My_Audit!A542))</f>
        <v>X542</v>
      </c>
      <c r="B543" s="40" t="str">
        <f>_xlfn.TEXTJOIN("-",TRUE,"ITD",Input!$A$2,A543)</f>
        <v>ITD-X542</v>
      </c>
      <c r="C543" s="40" t="str" cm="1">
        <f t="array" ref="C543">IFERROR(_xlfn.LET(
_xlpm.CSVVal,_xlfn.XLOOKUP($A543,CSV!$A:$A,CSV!B:B,""),
_xlpm.MacVal,_xlfn.XLOOKUP($A543,Output_Mac!$A:$A,Output_Mac!B:B,""),
_xlpm.MyAuditVal,_xlfn.XLOOKUP($A543,My_Audit!$A:$A,My_Audit!B:B,""),
_xlfn.IFS(_xlpm.MyAuditVal&lt;&gt;"",UPPER(_xlpm.MyAuditVal),_xlpm.MacVal&lt;&gt;"",_xlpm.MacVal,_xlpm.CSVVal&lt;&gt;"",_xlpm.CSVVal
)),"")</f>
        <v/>
      </c>
      <c r="D543" s="40" t="str" cm="1">
        <f t="array" ref="D543">IFERROR(_xlfn.LET(
_xlpm.CSVVal,_xlfn.XLOOKUP($A543,CSV!$A:$A,CSV!D:D,""),
_xlpm.MacVal,_xlfn.XLOOKUP($A543,Output_Mac!$A:$A,Output_Mac!C:C,""),
_xlpm.MyAuditVal,_xlfn.XLOOKUP($A543,My_Audit!$A:$A,My_Audit!C:C,""),
_xlfn.IFS(_xlpm.MyAuditVal&lt;&gt;"",_xlpm.MyAuditVal,_xlpm.MacVal&lt;&gt;"",_xlpm.MacVal,_xlpm.CSVVal&lt;&gt;"",_xlpm.CSVVal
)),"")</f>
        <v/>
      </c>
      <c r="E543" s="40" t="str">
        <f>_xlfn.XLOOKUP(A543,My_Audit!A:A,My_Audit!D:D,"")</f>
        <v/>
      </c>
      <c r="F543" s="40" t="str" cm="1">
        <f t="array" ref="F543">IFERROR(_xlfn.LET(
_xlpm.CSVVal,_xlfn.XLOOKUP($A543,CSV!$A:$A,CSV!F:F,""),
_xlpm.MacVal,_xlfn.XLOOKUP($A543,Output_Mac!$A:$A,Output_Mac!E:E,""),
_xlpm.MyAuditVal,_xlfn.XLOOKUP($A543,My_Audit!$A:$A,My_Audit!E:E,""),
_xlfn.IFS(_xlpm.MyAuditVal&lt;&gt;"",_xlpm.MyAuditVal,_xlpm.MacVal&lt;&gt;"",_xlpm.MacVal,_xlpm.CSVVal&lt;&gt;"",_xlpm.CSVVal
)),"")</f>
        <v/>
      </c>
      <c r="G543" s="40" t="str" cm="1">
        <f t="array" ref="G543">IFERROR(_xlfn.LET(
_xlpm.CSVVal,_xlfn.XLOOKUP($A543,CSV!$A:$A,CSV!G:G,""),
_xlpm.MacVal,_xlfn.XLOOKUP($A543,Output_Mac!$A:$A,Output_Mac!F:F,""),
_xlpm.MyAuditVal,_xlfn.XLOOKUP($A543,My_Audit!$A:$A,My_Audit!F:F,""),
_xlfn.IFS(_xlpm.MyAuditVal&lt;&gt;"",_xlpm.MyAuditVal,_xlpm.MacVal&lt;&gt;"",_xlpm.MacVal,_xlpm.CSVVal&lt;&gt;"",PROPER(_xlpm.CSVVal)
)),"")</f>
        <v/>
      </c>
      <c r="H543" s="40" t="str" cm="1">
        <f t="array" ref="H543">IFERROR(_xlfn.LET(
_xlpm.CSVVal,_xlfn.XLOOKUP($A543,CSV!$A:$A,CSV!H:H,""),
_xlpm.MacVal,_xlfn.XLOOKUP($A543,Output_Mac!$A:$A,Output_Mac!H:H,""),
_xlpm.MyAuditVal,_xlfn.XLOOKUP($A543,My_Audit!$A:$A,My_Audit!G:G,""),
_xlfn.IFS(_xlpm.MyAuditVal&lt;&gt;"",_xlpm.MyAuditVal,_xlpm.MacVal&lt;&gt;"",_xlpm.MacVal,_xlpm.CSVVal&lt;&gt;"",_xlpm.CSVVal
)),"")</f>
        <v/>
      </c>
      <c r="I543" s="40" t="str">
        <f>_xlfn.XLOOKUP(A543,Output_Mac!A:A,Output_Mac!I:I,"")</f>
        <v/>
      </c>
      <c r="J543" s="40" t="str" cm="1">
        <f t="array" ref="J543">IFERROR(_xlfn.LET(
_xlpm.CSVVal,_xlfn.XLOOKUP($A543,CSV!$A:$A,CSV!I:I,""),
_xlpm.MacVal,_xlfn.XLOOKUP($A543,Output_Mac!$A:$A,Output_Mac!J:J,""),
_xlpm.MyAuditVal,_xlfn.XLOOKUP($A543,My_Audit!$A:$A,My_Audit!I:I,""),
_xlfn.IFS(_xlpm.MyAuditVal&lt;&gt;"",UPPER(_xlpm.MyAuditVal),_xlpm.MacVal&lt;&gt;"",_xlpm.MacVal,_xlpm.CSVVal&lt;&gt;"",_xlpm.CSVVal
)),"")</f>
        <v/>
      </c>
      <c r="K543" s="40" t="str" cm="1">
        <f t="array" ref="K543">IFERROR(_xlfn.LET(
_xlpm.CSVVal,_xlfn.XLOOKUP($A543,CSV!$A:$A,CSV!K:K,""),
_xlpm.MacVal,_xlfn.XLOOKUP($A543,Output_Mac!$A:$A,Output_Mac!K:K,""),
_xlpm.MyAuditVal,_xlfn.XLOOKUP($A543,My_Audit!$A:$A,My_Audit!J:J,""),
_xlfn.IFS(_xlpm.MyAuditVal&lt;&gt;"",UPPER(_xlpm.MyAuditVal),_xlpm.MacVal&lt;&gt;"",_xlpm.MacVal,_xlpm.CSVVal&lt;&gt;"",_xlpm.CSVVal
)),"")</f>
        <v/>
      </c>
      <c r="L543" s="40" t="str" cm="1">
        <f t="array" ref="L543">IFERROR(_xlfn.LET(
_xlpm.CSVVal,_xlfn.XLOOKUP($A543,CSV!$A:$A,CSV!P:P,""),
_xlpm.MacVal,_xlfn.XLOOKUP($A543,Output_Mac!$A:$A,Output_Mac!L:L,""),
_xlpm.MyAuditVal,_xlfn.XLOOKUP($A543,My_Audit!$A:$A,My_Audit!K:K,""),
_xlfn.IFS(_xlpm.MyAuditVal&lt;&gt;"",UPPER(_xlpm.MyAuditVal),_xlpm.MacVal&lt;&gt;"",_xlpm.MacVal,_xlpm.CSVVal&lt;&gt;"",_xlpm.CSVVal
)),"")</f>
        <v/>
      </c>
      <c r="M543" s="40" t="str" cm="1">
        <f t="array" ref="M543">IFERROR(_xlfn.LET(
_xlpm.CSVVal,_xlfn.XLOOKUP($A543,CSV!$A:$A,CSV!Q:Q,""),
_xlpm.MacVal,_xlfn.XLOOKUP($A543,Output_Mac!$A:$A,Output_Mac!M:M,""),
_xlpm.MyAuditVal,_xlfn.XLOOKUP($A543,My_Audit!$A:$A,My_Audit!L:L,""),
_xlfn.IFS(_xlpm.MyAuditVal&lt;&gt;"",UPPER(_xlpm.MyAuditVal),_xlpm.MacVal&lt;&gt;"",_xlpm.MacVal,_xlpm.CSVVal&lt;&gt;"",_xlpm.CSVVal
)),"")</f>
        <v/>
      </c>
      <c r="N543" s="40"/>
      <c r="O543" s="40" t="str">
        <f>_xlfn.LET(
    _xlpm.CSVVal, _xlfn.XLOOKUP($A543, CSV!$A:$A, CSV!AA:AA, ""),
    _xlpm.MacVal, _xlfn.XLOOKUP($A543, Output_Mac!$A:$A, Output_Mac!S:S, ""),
    _xlpm.MyAuditVal, _xlfn.XLOOKUP($A543, My_Audit!$A:$A, My_Audit!P:P, ""),
    _xlfn.TEXTJOIN(", ", TRUE, _xlpm.MyAuditVal, _xlpm.MacVal, _xlpm.CSVVal)
)</f>
        <v/>
      </c>
      <c r="P543" s="40" t="str" cm="1">
        <f t="array" ref="P543">IFERROR(_xlfn.LET(
_xlpm.CSVVal,_xlfn.XLOOKUP($A543,CSV!$A:$A,CSV!AB:AB,""),
_xlpm.MacVal,_xlfn.XLOOKUP($A543,Output_Mac!$A:$A,Output_Mac!T:T,""),
_xlpm.MyAuditVal,_xlfn.XLOOKUP($A543,My_Audit!$A:$A,My_Audit!Q:Q,""),
_xlfn.IFS(_xlpm.MyAuditVal&lt;&gt;"",UPPER(_xlpm.MyAuditVal),_xlpm.MacVal&lt;&gt;"",_xlpm.MacVal,_xlpm.CSVVal&lt;&gt;"",_xlpm.CSVVal
)),"No")</f>
        <v>No</v>
      </c>
      <c r="Q543" s="40" t="str" cm="1">
        <f t="array" ref="Q543">IFERROR(_xlfn.LET(
_xlpm.CSVVal,_xlfn.XLOOKUP($A543,CSV!$A:$A,CSV!AC:AC,""),
_xlpm.MacVal,_xlfn.XLOOKUP($A543,Output_Mac!$A:$A,Output_Mac!U:U,""),
_xlpm.MyAuditVal,_xlfn.XLOOKUP($A543,My_Audit!$A:$A,My_Audit!R:R,""),
_xlfn.IFS(_xlpm.MyAuditVal&lt;&gt;"",UPPER(_xlpm.MyAuditVal),_xlpm.MacVal&lt;&gt;"",_xlpm.MacVal,_xlpm.CSVVal&lt;&gt;"",_xlpm.CSVVal
)),"")</f>
        <v/>
      </c>
      <c r="R543" s="40"/>
      <c r="S543" s="40"/>
      <c r="T543" s="40"/>
      <c r="U543" s="40"/>
      <c r="V543" s="40"/>
      <c r="W543" s="40"/>
      <c r="X543" s="41" t="str">
        <f>_xlfn.LET(
    _xlpm.MacVal, _xlfn.XLOOKUP($A543, Output_Mac!$A:$A, Output_Mac!AB:AB, ""),
    _xlpm.MyAuditVal, _xlfn.XLOOKUP($A543, My_Audit!$A:$A, My_Audit!N:N, ""),
    _xlfn.TEXTJOIN(", ", TRUE, _xlpm.MyAuditVal, _xlpm.MacVal)
)</f>
        <v/>
      </c>
    </row>
    <row r="544" spans="1:24">
      <c r="A544" s="40" t="str">
        <f>_xlfn.TEXTJOIN("",TRUE,Input!$B$2,ROW(My_Audit!A543))</f>
        <v>X543</v>
      </c>
      <c r="B544" s="40" t="str">
        <f>_xlfn.TEXTJOIN("-",TRUE,"ITD",Input!$A$2,A544)</f>
        <v>ITD-X543</v>
      </c>
      <c r="C544" s="40" t="str" cm="1">
        <f t="array" ref="C544">IFERROR(_xlfn.LET(
_xlpm.CSVVal,_xlfn.XLOOKUP($A544,CSV!$A:$A,CSV!B:B,""),
_xlpm.MacVal,_xlfn.XLOOKUP($A544,Output_Mac!$A:$A,Output_Mac!B:B,""),
_xlpm.MyAuditVal,_xlfn.XLOOKUP($A544,My_Audit!$A:$A,My_Audit!B:B,""),
_xlfn.IFS(_xlpm.MyAuditVal&lt;&gt;"",UPPER(_xlpm.MyAuditVal),_xlpm.MacVal&lt;&gt;"",_xlpm.MacVal,_xlpm.CSVVal&lt;&gt;"",_xlpm.CSVVal
)),"")</f>
        <v/>
      </c>
      <c r="D544" s="40" t="str" cm="1">
        <f t="array" ref="D544">IFERROR(_xlfn.LET(
_xlpm.CSVVal,_xlfn.XLOOKUP($A544,CSV!$A:$A,CSV!D:D,""),
_xlpm.MacVal,_xlfn.XLOOKUP($A544,Output_Mac!$A:$A,Output_Mac!C:C,""),
_xlpm.MyAuditVal,_xlfn.XLOOKUP($A544,My_Audit!$A:$A,My_Audit!C:C,""),
_xlfn.IFS(_xlpm.MyAuditVal&lt;&gt;"",_xlpm.MyAuditVal,_xlpm.MacVal&lt;&gt;"",_xlpm.MacVal,_xlpm.CSVVal&lt;&gt;"",_xlpm.CSVVal
)),"")</f>
        <v/>
      </c>
      <c r="E544" s="40" t="str">
        <f>_xlfn.XLOOKUP(A544,My_Audit!A:A,My_Audit!D:D,"")</f>
        <v/>
      </c>
      <c r="F544" s="40" t="str" cm="1">
        <f t="array" ref="F544">IFERROR(_xlfn.LET(
_xlpm.CSVVal,_xlfn.XLOOKUP($A544,CSV!$A:$A,CSV!F:F,""),
_xlpm.MacVal,_xlfn.XLOOKUP($A544,Output_Mac!$A:$A,Output_Mac!E:E,""),
_xlpm.MyAuditVal,_xlfn.XLOOKUP($A544,My_Audit!$A:$A,My_Audit!E:E,""),
_xlfn.IFS(_xlpm.MyAuditVal&lt;&gt;"",_xlpm.MyAuditVal,_xlpm.MacVal&lt;&gt;"",_xlpm.MacVal,_xlpm.CSVVal&lt;&gt;"",_xlpm.CSVVal
)),"")</f>
        <v/>
      </c>
      <c r="G544" s="40" t="str" cm="1">
        <f t="array" ref="G544">IFERROR(_xlfn.LET(
_xlpm.CSVVal,_xlfn.XLOOKUP($A544,CSV!$A:$A,CSV!G:G,""),
_xlpm.MacVal,_xlfn.XLOOKUP($A544,Output_Mac!$A:$A,Output_Mac!F:F,""),
_xlpm.MyAuditVal,_xlfn.XLOOKUP($A544,My_Audit!$A:$A,My_Audit!F:F,""),
_xlfn.IFS(_xlpm.MyAuditVal&lt;&gt;"",_xlpm.MyAuditVal,_xlpm.MacVal&lt;&gt;"",_xlpm.MacVal,_xlpm.CSVVal&lt;&gt;"",PROPER(_xlpm.CSVVal)
)),"")</f>
        <v/>
      </c>
      <c r="H544" s="40" t="str" cm="1">
        <f t="array" ref="H544">IFERROR(_xlfn.LET(
_xlpm.CSVVal,_xlfn.XLOOKUP($A544,CSV!$A:$A,CSV!H:H,""),
_xlpm.MacVal,_xlfn.XLOOKUP($A544,Output_Mac!$A:$A,Output_Mac!H:H,""),
_xlpm.MyAuditVal,_xlfn.XLOOKUP($A544,My_Audit!$A:$A,My_Audit!G:G,""),
_xlfn.IFS(_xlpm.MyAuditVal&lt;&gt;"",_xlpm.MyAuditVal,_xlpm.MacVal&lt;&gt;"",_xlpm.MacVal,_xlpm.CSVVal&lt;&gt;"",_xlpm.CSVVal
)),"")</f>
        <v/>
      </c>
      <c r="I544" s="40" t="str">
        <f>_xlfn.XLOOKUP(A544,Output_Mac!A:A,Output_Mac!I:I,"")</f>
        <v/>
      </c>
      <c r="J544" s="40" t="str" cm="1">
        <f t="array" ref="J544">IFERROR(_xlfn.LET(
_xlpm.CSVVal,_xlfn.XLOOKUP($A544,CSV!$A:$A,CSV!I:I,""),
_xlpm.MacVal,_xlfn.XLOOKUP($A544,Output_Mac!$A:$A,Output_Mac!J:J,""),
_xlpm.MyAuditVal,_xlfn.XLOOKUP($A544,My_Audit!$A:$A,My_Audit!I:I,""),
_xlfn.IFS(_xlpm.MyAuditVal&lt;&gt;"",UPPER(_xlpm.MyAuditVal),_xlpm.MacVal&lt;&gt;"",_xlpm.MacVal,_xlpm.CSVVal&lt;&gt;"",_xlpm.CSVVal
)),"")</f>
        <v/>
      </c>
      <c r="K544" s="40" t="str" cm="1">
        <f t="array" ref="K544">IFERROR(_xlfn.LET(
_xlpm.CSVVal,_xlfn.XLOOKUP($A544,CSV!$A:$A,CSV!K:K,""),
_xlpm.MacVal,_xlfn.XLOOKUP($A544,Output_Mac!$A:$A,Output_Mac!K:K,""),
_xlpm.MyAuditVal,_xlfn.XLOOKUP($A544,My_Audit!$A:$A,My_Audit!J:J,""),
_xlfn.IFS(_xlpm.MyAuditVal&lt;&gt;"",UPPER(_xlpm.MyAuditVal),_xlpm.MacVal&lt;&gt;"",_xlpm.MacVal,_xlpm.CSVVal&lt;&gt;"",_xlpm.CSVVal
)),"")</f>
        <v/>
      </c>
      <c r="L544" s="40" t="str" cm="1">
        <f t="array" ref="L544">IFERROR(_xlfn.LET(
_xlpm.CSVVal,_xlfn.XLOOKUP($A544,CSV!$A:$A,CSV!P:P,""),
_xlpm.MacVal,_xlfn.XLOOKUP($A544,Output_Mac!$A:$A,Output_Mac!L:L,""),
_xlpm.MyAuditVal,_xlfn.XLOOKUP($A544,My_Audit!$A:$A,My_Audit!K:K,""),
_xlfn.IFS(_xlpm.MyAuditVal&lt;&gt;"",UPPER(_xlpm.MyAuditVal),_xlpm.MacVal&lt;&gt;"",_xlpm.MacVal,_xlpm.CSVVal&lt;&gt;"",_xlpm.CSVVal
)),"")</f>
        <v/>
      </c>
      <c r="M544" s="40" t="str" cm="1">
        <f t="array" ref="M544">IFERROR(_xlfn.LET(
_xlpm.CSVVal,_xlfn.XLOOKUP($A544,CSV!$A:$A,CSV!Q:Q,""),
_xlpm.MacVal,_xlfn.XLOOKUP($A544,Output_Mac!$A:$A,Output_Mac!M:M,""),
_xlpm.MyAuditVal,_xlfn.XLOOKUP($A544,My_Audit!$A:$A,My_Audit!L:L,""),
_xlfn.IFS(_xlpm.MyAuditVal&lt;&gt;"",UPPER(_xlpm.MyAuditVal),_xlpm.MacVal&lt;&gt;"",_xlpm.MacVal,_xlpm.CSVVal&lt;&gt;"",_xlpm.CSVVal
)),"")</f>
        <v/>
      </c>
      <c r="N544" s="40"/>
      <c r="O544" s="40" t="str">
        <f>_xlfn.LET(
    _xlpm.CSVVal, _xlfn.XLOOKUP($A544, CSV!$A:$A, CSV!AA:AA, ""),
    _xlpm.MacVal, _xlfn.XLOOKUP($A544, Output_Mac!$A:$A, Output_Mac!S:S, ""),
    _xlpm.MyAuditVal, _xlfn.XLOOKUP($A544, My_Audit!$A:$A, My_Audit!P:P, ""),
    _xlfn.TEXTJOIN(", ", TRUE, _xlpm.MyAuditVal, _xlpm.MacVal, _xlpm.CSVVal)
)</f>
        <v/>
      </c>
      <c r="P544" s="40" t="str" cm="1">
        <f t="array" ref="P544">IFERROR(_xlfn.LET(
_xlpm.CSVVal,_xlfn.XLOOKUP($A544,CSV!$A:$A,CSV!AB:AB,""),
_xlpm.MacVal,_xlfn.XLOOKUP($A544,Output_Mac!$A:$A,Output_Mac!T:T,""),
_xlpm.MyAuditVal,_xlfn.XLOOKUP($A544,My_Audit!$A:$A,My_Audit!Q:Q,""),
_xlfn.IFS(_xlpm.MyAuditVal&lt;&gt;"",UPPER(_xlpm.MyAuditVal),_xlpm.MacVal&lt;&gt;"",_xlpm.MacVal,_xlpm.CSVVal&lt;&gt;"",_xlpm.CSVVal
)),"No")</f>
        <v>No</v>
      </c>
      <c r="Q544" s="40" t="str" cm="1">
        <f t="array" ref="Q544">IFERROR(_xlfn.LET(
_xlpm.CSVVal,_xlfn.XLOOKUP($A544,CSV!$A:$A,CSV!AC:AC,""),
_xlpm.MacVal,_xlfn.XLOOKUP($A544,Output_Mac!$A:$A,Output_Mac!U:U,""),
_xlpm.MyAuditVal,_xlfn.XLOOKUP($A544,My_Audit!$A:$A,My_Audit!R:R,""),
_xlfn.IFS(_xlpm.MyAuditVal&lt;&gt;"",UPPER(_xlpm.MyAuditVal),_xlpm.MacVal&lt;&gt;"",_xlpm.MacVal,_xlpm.CSVVal&lt;&gt;"",_xlpm.CSVVal
)),"")</f>
        <v/>
      </c>
      <c r="R544" s="40"/>
      <c r="S544" s="40"/>
      <c r="T544" s="40"/>
      <c r="U544" s="40"/>
      <c r="V544" s="40"/>
      <c r="W544" s="40"/>
      <c r="X544" s="41" t="str">
        <f>_xlfn.LET(
    _xlpm.MacVal, _xlfn.XLOOKUP($A544, Output_Mac!$A:$A, Output_Mac!AB:AB, ""),
    _xlpm.MyAuditVal, _xlfn.XLOOKUP($A544, My_Audit!$A:$A, My_Audit!N:N, ""),
    _xlfn.TEXTJOIN(", ", TRUE, _xlpm.MyAuditVal, _xlpm.MacVal)
)</f>
        <v/>
      </c>
    </row>
    <row r="545" spans="1:24">
      <c r="A545" s="40" t="str">
        <f>_xlfn.TEXTJOIN("",TRUE,Input!$B$2,ROW(My_Audit!A544))</f>
        <v>X544</v>
      </c>
      <c r="B545" s="40" t="str">
        <f>_xlfn.TEXTJOIN("-",TRUE,"ITD",Input!$A$2,A545)</f>
        <v>ITD-X544</v>
      </c>
      <c r="C545" s="40" t="str" cm="1">
        <f t="array" ref="C545">IFERROR(_xlfn.LET(
_xlpm.CSVVal,_xlfn.XLOOKUP($A545,CSV!$A:$A,CSV!B:B,""),
_xlpm.MacVal,_xlfn.XLOOKUP($A545,Output_Mac!$A:$A,Output_Mac!B:B,""),
_xlpm.MyAuditVal,_xlfn.XLOOKUP($A545,My_Audit!$A:$A,My_Audit!B:B,""),
_xlfn.IFS(_xlpm.MyAuditVal&lt;&gt;"",UPPER(_xlpm.MyAuditVal),_xlpm.MacVal&lt;&gt;"",_xlpm.MacVal,_xlpm.CSVVal&lt;&gt;"",_xlpm.CSVVal
)),"")</f>
        <v/>
      </c>
      <c r="D545" s="40" t="str" cm="1">
        <f t="array" ref="D545">IFERROR(_xlfn.LET(
_xlpm.CSVVal,_xlfn.XLOOKUP($A545,CSV!$A:$A,CSV!D:D,""),
_xlpm.MacVal,_xlfn.XLOOKUP($A545,Output_Mac!$A:$A,Output_Mac!C:C,""),
_xlpm.MyAuditVal,_xlfn.XLOOKUP($A545,My_Audit!$A:$A,My_Audit!C:C,""),
_xlfn.IFS(_xlpm.MyAuditVal&lt;&gt;"",_xlpm.MyAuditVal,_xlpm.MacVal&lt;&gt;"",_xlpm.MacVal,_xlpm.CSVVal&lt;&gt;"",_xlpm.CSVVal
)),"")</f>
        <v/>
      </c>
      <c r="E545" s="40" t="str">
        <f>_xlfn.XLOOKUP(A545,My_Audit!A:A,My_Audit!D:D,"")</f>
        <v/>
      </c>
      <c r="F545" s="40" t="str" cm="1">
        <f t="array" ref="F545">IFERROR(_xlfn.LET(
_xlpm.CSVVal,_xlfn.XLOOKUP($A545,CSV!$A:$A,CSV!F:F,""),
_xlpm.MacVal,_xlfn.XLOOKUP($A545,Output_Mac!$A:$A,Output_Mac!E:E,""),
_xlpm.MyAuditVal,_xlfn.XLOOKUP($A545,My_Audit!$A:$A,My_Audit!E:E,""),
_xlfn.IFS(_xlpm.MyAuditVal&lt;&gt;"",_xlpm.MyAuditVal,_xlpm.MacVal&lt;&gt;"",_xlpm.MacVal,_xlpm.CSVVal&lt;&gt;"",_xlpm.CSVVal
)),"")</f>
        <v/>
      </c>
      <c r="G545" s="40" t="str" cm="1">
        <f t="array" ref="G545">IFERROR(_xlfn.LET(
_xlpm.CSVVal,_xlfn.XLOOKUP($A545,CSV!$A:$A,CSV!G:G,""),
_xlpm.MacVal,_xlfn.XLOOKUP($A545,Output_Mac!$A:$A,Output_Mac!F:F,""),
_xlpm.MyAuditVal,_xlfn.XLOOKUP($A545,My_Audit!$A:$A,My_Audit!F:F,""),
_xlfn.IFS(_xlpm.MyAuditVal&lt;&gt;"",_xlpm.MyAuditVal,_xlpm.MacVal&lt;&gt;"",_xlpm.MacVal,_xlpm.CSVVal&lt;&gt;"",PROPER(_xlpm.CSVVal)
)),"")</f>
        <v/>
      </c>
      <c r="H545" s="40" t="str" cm="1">
        <f t="array" ref="H545">IFERROR(_xlfn.LET(
_xlpm.CSVVal,_xlfn.XLOOKUP($A545,CSV!$A:$A,CSV!H:H,""),
_xlpm.MacVal,_xlfn.XLOOKUP($A545,Output_Mac!$A:$A,Output_Mac!H:H,""),
_xlpm.MyAuditVal,_xlfn.XLOOKUP($A545,My_Audit!$A:$A,My_Audit!G:G,""),
_xlfn.IFS(_xlpm.MyAuditVal&lt;&gt;"",_xlpm.MyAuditVal,_xlpm.MacVal&lt;&gt;"",_xlpm.MacVal,_xlpm.CSVVal&lt;&gt;"",_xlpm.CSVVal
)),"")</f>
        <v/>
      </c>
      <c r="I545" s="40" t="str">
        <f>_xlfn.XLOOKUP(A545,Output_Mac!A:A,Output_Mac!I:I,"")</f>
        <v/>
      </c>
      <c r="J545" s="40" t="str" cm="1">
        <f t="array" ref="J545">IFERROR(_xlfn.LET(
_xlpm.CSVVal,_xlfn.XLOOKUP($A545,CSV!$A:$A,CSV!I:I,""),
_xlpm.MacVal,_xlfn.XLOOKUP($A545,Output_Mac!$A:$A,Output_Mac!J:J,""),
_xlpm.MyAuditVal,_xlfn.XLOOKUP($A545,My_Audit!$A:$A,My_Audit!I:I,""),
_xlfn.IFS(_xlpm.MyAuditVal&lt;&gt;"",UPPER(_xlpm.MyAuditVal),_xlpm.MacVal&lt;&gt;"",_xlpm.MacVal,_xlpm.CSVVal&lt;&gt;"",_xlpm.CSVVal
)),"")</f>
        <v/>
      </c>
      <c r="K545" s="40" t="str" cm="1">
        <f t="array" ref="K545">IFERROR(_xlfn.LET(
_xlpm.CSVVal,_xlfn.XLOOKUP($A545,CSV!$A:$A,CSV!K:K,""),
_xlpm.MacVal,_xlfn.XLOOKUP($A545,Output_Mac!$A:$A,Output_Mac!K:K,""),
_xlpm.MyAuditVal,_xlfn.XLOOKUP($A545,My_Audit!$A:$A,My_Audit!J:J,""),
_xlfn.IFS(_xlpm.MyAuditVal&lt;&gt;"",UPPER(_xlpm.MyAuditVal),_xlpm.MacVal&lt;&gt;"",_xlpm.MacVal,_xlpm.CSVVal&lt;&gt;"",_xlpm.CSVVal
)),"")</f>
        <v/>
      </c>
      <c r="L545" s="40" t="str" cm="1">
        <f t="array" ref="L545">IFERROR(_xlfn.LET(
_xlpm.CSVVal,_xlfn.XLOOKUP($A545,CSV!$A:$A,CSV!P:P,""),
_xlpm.MacVal,_xlfn.XLOOKUP($A545,Output_Mac!$A:$A,Output_Mac!L:L,""),
_xlpm.MyAuditVal,_xlfn.XLOOKUP($A545,My_Audit!$A:$A,My_Audit!K:K,""),
_xlfn.IFS(_xlpm.MyAuditVal&lt;&gt;"",UPPER(_xlpm.MyAuditVal),_xlpm.MacVal&lt;&gt;"",_xlpm.MacVal,_xlpm.CSVVal&lt;&gt;"",_xlpm.CSVVal
)),"")</f>
        <v/>
      </c>
      <c r="M545" s="40" t="str" cm="1">
        <f t="array" ref="M545">IFERROR(_xlfn.LET(
_xlpm.CSVVal,_xlfn.XLOOKUP($A545,CSV!$A:$A,CSV!Q:Q,""),
_xlpm.MacVal,_xlfn.XLOOKUP($A545,Output_Mac!$A:$A,Output_Mac!M:M,""),
_xlpm.MyAuditVal,_xlfn.XLOOKUP($A545,My_Audit!$A:$A,My_Audit!L:L,""),
_xlfn.IFS(_xlpm.MyAuditVal&lt;&gt;"",UPPER(_xlpm.MyAuditVal),_xlpm.MacVal&lt;&gt;"",_xlpm.MacVal,_xlpm.CSVVal&lt;&gt;"",_xlpm.CSVVal
)),"")</f>
        <v/>
      </c>
      <c r="N545" s="40"/>
      <c r="O545" s="40" t="str">
        <f>_xlfn.LET(
    _xlpm.CSVVal, _xlfn.XLOOKUP($A545, CSV!$A:$A, CSV!AA:AA, ""),
    _xlpm.MacVal, _xlfn.XLOOKUP($A545, Output_Mac!$A:$A, Output_Mac!S:S, ""),
    _xlpm.MyAuditVal, _xlfn.XLOOKUP($A545, My_Audit!$A:$A, My_Audit!P:P, ""),
    _xlfn.TEXTJOIN(", ", TRUE, _xlpm.MyAuditVal, _xlpm.MacVal, _xlpm.CSVVal)
)</f>
        <v/>
      </c>
      <c r="P545" s="40" t="str" cm="1">
        <f t="array" ref="P545">IFERROR(_xlfn.LET(
_xlpm.CSVVal,_xlfn.XLOOKUP($A545,CSV!$A:$A,CSV!AB:AB,""),
_xlpm.MacVal,_xlfn.XLOOKUP($A545,Output_Mac!$A:$A,Output_Mac!T:T,""),
_xlpm.MyAuditVal,_xlfn.XLOOKUP($A545,My_Audit!$A:$A,My_Audit!Q:Q,""),
_xlfn.IFS(_xlpm.MyAuditVal&lt;&gt;"",UPPER(_xlpm.MyAuditVal),_xlpm.MacVal&lt;&gt;"",_xlpm.MacVal,_xlpm.CSVVal&lt;&gt;"",_xlpm.CSVVal
)),"No")</f>
        <v>No</v>
      </c>
      <c r="Q545" s="40" t="str" cm="1">
        <f t="array" ref="Q545">IFERROR(_xlfn.LET(
_xlpm.CSVVal,_xlfn.XLOOKUP($A545,CSV!$A:$A,CSV!AC:AC,""),
_xlpm.MacVal,_xlfn.XLOOKUP($A545,Output_Mac!$A:$A,Output_Mac!U:U,""),
_xlpm.MyAuditVal,_xlfn.XLOOKUP($A545,My_Audit!$A:$A,My_Audit!R:R,""),
_xlfn.IFS(_xlpm.MyAuditVal&lt;&gt;"",UPPER(_xlpm.MyAuditVal),_xlpm.MacVal&lt;&gt;"",_xlpm.MacVal,_xlpm.CSVVal&lt;&gt;"",_xlpm.CSVVal
)),"")</f>
        <v/>
      </c>
      <c r="R545" s="40"/>
      <c r="S545" s="40"/>
      <c r="T545" s="40"/>
      <c r="U545" s="40"/>
      <c r="V545" s="40"/>
      <c r="W545" s="40"/>
      <c r="X545" s="41" t="str">
        <f>_xlfn.LET(
    _xlpm.MacVal, _xlfn.XLOOKUP($A545, Output_Mac!$A:$A, Output_Mac!AB:AB, ""),
    _xlpm.MyAuditVal, _xlfn.XLOOKUP($A545, My_Audit!$A:$A, My_Audit!N:N, ""),
    _xlfn.TEXTJOIN(", ", TRUE, _xlpm.MyAuditVal, _xlpm.MacVal)
)</f>
        <v/>
      </c>
    </row>
    <row r="546" spans="1:24">
      <c r="A546" s="40" t="str">
        <f>_xlfn.TEXTJOIN("",TRUE,Input!$B$2,ROW(My_Audit!A545))</f>
        <v>X545</v>
      </c>
      <c r="B546" s="40" t="str">
        <f>_xlfn.TEXTJOIN("-",TRUE,"ITD",Input!$A$2,A546)</f>
        <v>ITD-X545</v>
      </c>
      <c r="C546" s="40" t="str" cm="1">
        <f t="array" ref="C546">IFERROR(_xlfn.LET(
_xlpm.CSVVal,_xlfn.XLOOKUP($A546,CSV!$A:$A,CSV!B:B,""),
_xlpm.MacVal,_xlfn.XLOOKUP($A546,Output_Mac!$A:$A,Output_Mac!B:B,""),
_xlpm.MyAuditVal,_xlfn.XLOOKUP($A546,My_Audit!$A:$A,My_Audit!B:B,""),
_xlfn.IFS(_xlpm.MyAuditVal&lt;&gt;"",UPPER(_xlpm.MyAuditVal),_xlpm.MacVal&lt;&gt;"",_xlpm.MacVal,_xlpm.CSVVal&lt;&gt;"",_xlpm.CSVVal
)),"")</f>
        <v/>
      </c>
      <c r="D546" s="40" t="str" cm="1">
        <f t="array" ref="D546">IFERROR(_xlfn.LET(
_xlpm.CSVVal,_xlfn.XLOOKUP($A546,CSV!$A:$A,CSV!D:D,""),
_xlpm.MacVal,_xlfn.XLOOKUP($A546,Output_Mac!$A:$A,Output_Mac!C:C,""),
_xlpm.MyAuditVal,_xlfn.XLOOKUP($A546,My_Audit!$A:$A,My_Audit!C:C,""),
_xlfn.IFS(_xlpm.MyAuditVal&lt;&gt;"",_xlpm.MyAuditVal,_xlpm.MacVal&lt;&gt;"",_xlpm.MacVal,_xlpm.CSVVal&lt;&gt;"",_xlpm.CSVVal
)),"")</f>
        <v/>
      </c>
      <c r="E546" s="40" t="str">
        <f>_xlfn.XLOOKUP(A546,My_Audit!A:A,My_Audit!D:D,"")</f>
        <v/>
      </c>
      <c r="F546" s="40" t="str" cm="1">
        <f t="array" ref="F546">IFERROR(_xlfn.LET(
_xlpm.CSVVal,_xlfn.XLOOKUP($A546,CSV!$A:$A,CSV!F:F,""),
_xlpm.MacVal,_xlfn.XLOOKUP($A546,Output_Mac!$A:$A,Output_Mac!E:E,""),
_xlpm.MyAuditVal,_xlfn.XLOOKUP($A546,My_Audit!$A:$A,My_Audit!E:E,""),
_xlfn.IFS(_xlpm.MyAuditVal&lt;&gt;"",_xlpm.MyAuditVal,_xlpm.MacVal&lt;&gt;"",_xlpm.MacVal,_xlpm.CSVVal&lt;&gt;"",_xlpm.CSVVal
)),"")</f>
        <v/>
      </c>
      <c r="G546" s="40" t="str" cm="1">
        <f t="array" ref="G546">IFERROR(_xlfn.LET(
_xlpm.CSVVal,_xlfn.XLOOKUP($A546,CSV!$A:$A,CSV!G:G,""),
_xlpm.MacVal,_xlfn.XLOOKUP($A546,Output_Mac!$A:$A,Output_Mac!F:F,""),
_xlpm.MyAuditVal,_xlfn.XLOOKUP($A546,My_Audit!$A:$A,My_Audit!F:F,""),
_xlfn.IFS(_xlpm.MyAuditVal&lt;&gt;"",_xlpm.MyAuditVal,_xlpm.MacVal&lt;&gt;"",_xlpm.MacVal,_xlpm.CSVVal&lt;&gt;"",PROPER(_xlpm.CSVVal)
)),"")</f>
        <v/>
      </c>
      <c r="H546" s="40" t="str" cm="1">
        <f t="array" ref="H546">IFERROR(_xlfn.LET(
_xlpm.CSVVal,_xlfn.XLOOKUP($A546,CSV!$A:$A,CSV!H:H,""),
_xlpm.MacVal,_xlfn.XLOOKUP($A546,Output_Mac!$A:$A,Output_Mac!H:H,""),
_xlpm.MyAuditVal,_xlfn.XLOOKUP($A546,My_Audit!$A:$A,My_Audit!G:G,""),
_xlfn.IFS(_xlpm.MyAuditVal&lt;&gt;"",_xlpm.MyAuditVal,_xlpm.MacVal&lt;&gt;"",_xlpm.MacVal,_xlpm.CSVVal&lt;&gt;"",_xlpm.CSVVal
)),"")</f>
        <v/>
      </c>
      <c r="I546" s="40" t="str">
        <f>_xlfn.XLOOKUP(A546,Output_Mac!A:A,Output_Mac!I:I,"")</f>
        <v/>
      </c>
      <c r="J546" s="40" t="str" cm="1">
        <f t="array" ref="J546">IFERROR(_xlfn.LET(
_xlpm.CSVVal,_xlfn.XLOOKUP($A546,CSV!$A:$A,CSV!I:I,""),
_xlpm.MacVal,_xlfn.XLOOKUP($A546,Output_Mac!$A:$A,Output_Mac!J:J,""),
_xlpm.MyAuditVal,_xlfn.XLOOKUP($A546,My_Audit!$A:$A,My_Audit!I:I,""),
_xlfn.IFS(_xlpm.MyAuditVal&lt;&gt;"",UPPER(_xlpm.MyAuditVal),_xlpm.MacVal&lt;&gt;"",_xlpm.MacVal,_xlpm.CSVVal&lt;&gt;"",_xlpm.CSVVal
)),"")</f>
        <v/>
      </c>
      <c r="K546" s="40" t="str" cm="1">
        <f t="array" ref="K546">IFERROR(_xlfn.LET(
_xlpm.CSVVal,_xlfn.XLOOKUP($A546,CSV!$A:$A,CSV!K:K,""),
_xlpm.MacVal,_xlfn.XLOOKUP($A546,Output_Mac!$A:$A,Output_Mac!K:K,""),
_xlpm.MyAuditVal,_xlfn.XLOOKUP($A546,My_Audit!$A:$A,My_Audit!J:J,""),
_xlfn.IFS(_xlpm.MyAuditVal&lt;&gt;"",UPPER(_xlpm.MyAuditVal),_xlpm.MacVal&lt;&gt;"",_xlpm.MacVal,_xlpm.CSVVal&lt;&gt;"",_xlpm.CSVVal
)),"")</f>
        <v/>
      </c>
      <c r="L546" s="40" t="str" cm="1">
        <f t="array" ref="L546">IFERROR(_xlfn.LET(
_xlpm.CSVVal,_xlfn.XLOOKUP($A546,CSV!$A:$A,CSV!P:P,""),
_xlpm.MacVal,_xlfn.XLOOKUP($A546,Output_Mac!$A:$A,Output_Mac!L:L,""),
_xlpm.MyAuditVal,_xlfn.XLOOKUP($A546,My_Audit!$A:$A,My_Audit!K:K,""),
_xlfn.IFS(_xlpm.MyAuditVal&lt;&gt;"",UPPER(_xlpm.MyAuditVal),_xlpm.MacVal&lt;&gt;"",_xlpm.MacVal,_xlpm.CSVVal&lt;&gt;"",_xlpm.CSVVal
)),"")</f>
        <v/>
      </c>
      <c r="M546" s="40" t="str" cm="1">
        <f t="array" ref="M546">IFERROR(_xlfn.LET(
_xlpm.CSVVal,_xlfn.XLOOKUP($A546,CSV!$A:$A,CSV!Q:Q,""),
_xlpm.MacVal,_xlfn.XLOOKUP($A546,Output_Mac!$A:$A,Output_Mac!M:M,""),
_xlpm.MyAuditVal,_xlfn.XLOOKUP($A546,My_Audit!$A:$A,My_Audit!L:L,""),
_xlfn.IFS(_xlpm.MyAuditVal&lt;&gt;"",UPPER(_xlpm.MyAuditVal),_xlpm.MacVal&lt;&gt;"",_xlpm.MacVal,_xlpm.CSVVal&lt;&gt;"",_xlpm.CSVVal
)),"")</f>
        <v/>
      </c>
      <c r="N546" s="40"/>
      <c r="O546" s="40" t="str">
        <f>_xlfn.LET(
    _xlpm.CSVVal, _xlfn.XLOOKUP($A546, CSV!$A:$A, CSV!AA:AA, ""),
    _xlpm.MacVal, _xlfn.XLOOKUP($A546, Output_Mac!$A:$A, Output_Mac!S:S, ""),
    _xlpm.MyAuditVal, _xlfn.XLOOKUP($A546, My_Audit!$A:$A, My_Audit!P:P, ""),
    _xlfn.TEXTJOIN(", ", TRUE, _xlpm.MyAuditVal, _xlpm.MacVal, _xlpm.CSVVal)
)</f>
        <v/>
      </c>
      <c r="P546" s="40" t="str" cm="1">
        <f t="array" ref="P546">IFERROR(_xlfn.LET(
_xlpm.CSVVal,_xlfn.XLOOKUP($A546,CSV!$A:$A,CSV!AB:AB,""),
_xlpm.MacVal,_xlfn.XLOOKUP($A546,Output_Mac!$A:$A,Output_Mac!T:T,""),
_xlpm.MyAuditVal,_xlfn.XLOOKUP($A546,My_Audit!$A:$A,My_Audit!Q:Q,""),
_xlfn.IFS(_xlpm.MyAuditVal&lt;&gt;"",UPPER(_xlpm.MyAuditVal),_xlpm.MacVal&lt;&gt;"",_xlpm.MacVal,_xlpm.CSVVal&lt;&gt;"",_xlpm.CSVVal
)),"No")</f>
        <v>No</v>
      </c>
      <c r="Q546" s="40" t="str" cm="1">
        <f t="array" ref="Q546">IFERROR(_xlfn.LET(
_xlpm.CSVVal,_xlfn.XLOOKUP($A546,CSV!$A:$A,CSV!AC:AC,""),
_xlpm.MacVal,_xlfn.XLOOKUP($A546,Output_Mac!$A:$A,Output_Mac!U:U,""),
_xlpm.MyAuditVal,_xlfn.XLOOKUP($A546,My_Audit!$A:$A,My_Audit!R:R,""),
_xlfn.IFS(_xlpm.MyAuditVal&lt;&gt;"",UPPER(_xlpm.MyAuditVal),_xlpm.MacVal&lt;&gt;"",_xlpm.MacVal,_xlpm.CSVVal&lt;&gt;"",_xlpm.CSVVal
)),"")</f>
        <v/>
      </c>
      <c r="R546" s="40"/>
      <c r="S546" s="40"/>
      <c r="T546" s="40"/>
      <c r="U546" s="40"/>
      <c r="V546" s="40"/>
      <c r="W546" s="40"/>
      <c r="X546" s="41" t="str">
        <f>_xlfn.LET(
    _xlpm.MacVal, _xlfn.XLOOKUP($A546, Output_Mac!$A:$A, Output_Mac!AB:AB, ""),
    _xlpm.MyAuditVal, _xlfn.XLOOKUP($A546, My_Audit!$A:$A, My_Audit!N:N, ""),
    _xlfn.TEXTJOIN(", ", TRUE, _xlpm.MyAuditVal, _xlpm.MacVal)
)</f>
        <v/>
      </c>
    </row>
    <row r="547" spans="1:24">
      <c r="A547" s="40" t="str">
        <f>_xlfn.TEXTJOIN("",TRUE,Input!$B$2,ROW(My_Audit!A546))</f>
        <v>X546</v>
      </c>
      <c r="B547" s="40" t="str">
        <f>_xlfn.TEXTJOIN("-",TRUE,"ITD",Input!$A$2,A547)</f>
        <v>ITD-X546</v>
      </c>
      <c r="C547" s="40" t="str" cm="1">
        <f t="array" ref="C547">IFERROR(_xlfn.LET(
_xlpm.CSVVal,_xlfn.XLOOKUP($A547,CSV!$A:$A,CSV!B:B,""),
_xlpm.MacVal,_xlfn.XLOOKUP($A547,Output_Mac!$A:$A,Output_Mac!B:B,""),
_xlpm.MyAuditVal,_xlfn.XLOOKUP($A547,My_Audit!$A:$A,My_Audit!B:B,""),
_xlfn.IFS(_xlpm.MyAuditVal&lt;&gt;"",UPPER(_xlpm.MyAuditVal),_xlpm.MacVal&lt;&gt;"",_xlpm.MacVal,_xlpm.CSVVal&lt;&gt;"",_xlpm.CSVVal
)),"")</f>
        <v/>
      </c>
      <c r="D547" s="40" t="str" cm="1">
        <f t="array" ref="D547">IFERROR(_xlfn.LET(
_xlpm.CSVVal,_xlfn.XLOOKUP($A547,CSV!$A:$A,CSV!D:D,""),
_xlpm.MacVal,_xlfn.XLOOKUP($A547,Output_Mac!$A:$A,Output_Mac!C:C,""),
_xlpm.MyAuditVal,_xlfn.XLOOKUP($A547,My_Audit!$A:$A,My_Audit!C:C,""),
_xlfn.IFS(_xlpm.MyAuditVal&lt;&gt;"",_xlpm.MyAuditVal,_xlpm.MacVal&lt;&gt;"",_xlpm.MacVal,_xlpm.CSVVal&lt;&gt;"",_xlpm.CSVVal
)),"")</f>
        <v/>
      </c>
      <c r="E547" s="40" t="str">
        <f>_xlfn.XLOOKUP(A547,My_Audit!A:A,My_Audit!D:D,"")</f>
        <v/>
      </c>
      <c r="F547" s="40" t="str" cm="1">
        <f t="array" ref="F547">IFERROR(_xlfn.LET(
_xlpm.CSVVal,_xlfn.XLOOKUP($A547,CSV!$A:$A,CSV!F:F,""),
_xlpm.MacVal,_xlfn.XLOOKUP($A547,Output_Mac!$A:$A,Output_Mac!E:E,""),
_xlpm.MyAuditVal,_xlfn.XLOOKUP($A547,My_Audit!$A:$A,My_Audit!E:E,""),
_xlfn.IFS(_xlpm.MyAuditVal&lt;&gt;"",_xlpm.MyAuditVal,_xlpm.MacVal&lt;&gt;"",_xlpm.MacVal,_xlpm.CSVVal&lt;&gt;"",_xlpm.CSVVal
)),"")</f>
        <v/>
      </c>
      <c r="G547" s="40" t="str" cm="1">
        <f t="array" ref="G547">IFERROR(_xlfn.LET(
_xlpm.CSVVal,_xlfn.XLOOKUP($A547,CSV!$A:$A,CSV!G:G,""),
_xlpm.MacVal,_xlfn.XLOOKUP($A547,Output_Mac!$A:$A,Output_Mac!F:F,""),
_xlpm.MyAuditVal,_xlfn.XLOOKUP($A547,My_Audit!$A:$A,My_Audit!F:F,""),
_xlfn.IFS(_xlpm.MyAuditVal&lt;&gt;"",_xlpm.MyAuditVal,_xlpm.MacVal&lt;&gt;"",_xlpm.MacVal,_xlpm.CSVVal&lt;&gt;"",PROPER(_xlpm.CSVVal)
)),"")</f>
        <v/>
      </c>
      <c r="H547" s="40" t="str" cm="1">
        <f t="array" ref="H547">IFERROR(_xlfn.LET(
_xlpm.CSVVal,_xlfn.XLOOKUP($A547,CSV!$A:$A,CSV!H:H,""),
_xlpm.MacVal,_xlfn.XLOOKUP($A547,Output_Mac!$A:$A,Output_Mac!H:H,""),
_xlpm.MyAuditVal,_xlfn.XLOOKUP($A547,My_Audit!$A:$A,My_Audit!G:G,""),
_xlfn.IFS(_xlpm.MyAuditVal&lt;&gt;"",_xlpm.MyAuditVal,_xlpm.MacVal&lt;&gt;"",_xlpm.MacVal,_xlpm.CSVVal&lt;&gt;"",_xlpm.CSVVal
)),"")</f>
        <v/>
      </c>
      <c r="I547" s="40" t="str">
        <f>_xlfn.XLOOKUP(A547,Output_Mac!A:A,Output_Mac!I:I,"")</f>
        <v/>
      </c>
      <c r="J547" s="40" t="str" cm="1">
        <f t="array" ref="J547">IFERROR(_xlfn.LET(
_xlpm.CSVVal,_xlfn.XLOOKUP($A547,CSV!$A:$A,CSV!I:I,""),
_xlpm.MacVal,_xlfn.XLOOKUP($A547,Output_Mac!$A:$A,Output_Mac!J:J,""),
_xlpm.MyAuditVal,_xlfn.XLOOKUP($A547,My_Audit!$A:$A,My_Audit!I:I,""),
_xlfn.IFS(_xlpm.MyAuditVal&lt;&gt;"",UPPER(_xlpm.MyAuditVal),_xlpm.MacVal&lt;&gt;"",_xlpm.MacVal,_xlpm.CSVVal&lt;&gt;"",_xlpm.CSVVal
)),"")</f>
        <v/>
      </c>
      <c r="K547" s="40" t="str" cm="1">
        <f t="array" ref="K547">IFERROR(_xlfn.LET(
_xlpm.CSVVal,_xlfn.XLOOKUP($A547,CSV!$A:$A,CSV!K:K,""),
_xlpm.MacVal,_xlfn.XLOOKUP($A547,Output_Mac!$A:$A,Output_Mac!K:K,""),
_xlpm.MyAuditVal,_xlfn.XLOOKUP($A547,My_Audit!$A:$A,My_Audit!J:J,""),
_xlfn.IFS(_xlpm.MyAuditVal&lt;&gt;"",UPPER(_xlpm.MyAuditVal),_xlpm.MacVal&lt;&gt;"",_xlpm.MacVal,_xlpm.CSVVal&lt;&gt;"",_xlpm.CSVVal
)),"")</f>
        <v/>
      </c>
      <c r="L547" s="40" t="str" cm="1">
        <f t="array" ref="L547">IFERROR(_xlfn.LET(
_xlpm.CSVVal,_xlfn.XLOOKUP($A547,CSV!$A:$A,CSV!P:P,""),
_xlpm.MacVal,_xlfn.XLOOKUP($A547,Output_Mac!$A:$A,Output_Mac!L:L,""),
_xlpm.MyAuditVal,_xlfn.XLOOKUP($A547,My_Audit!$A:$A,My_Audit!K:K,""),
_xlfn.IFS(_xlpm.MyAuditVal&lt;&gt;"",UPPER(_xlpm.MyAuditVal),_xlpm.MacVal&lt;&gt;"",_xlpm.MacVal,_xlpm.CSVVal&lt;&gt;"",_xlpm.CSVVal
)),"")</f>
        <v/>
      </c>
      <c r="M547" s="40" t="str" cm="1">
        <f t="array" ref="M547">IFERROR(_xlfn.LET(
_xlpm.CSVVal,_xlfn.XLOOKUP($A547,CSV!$A:$A,CSV!Q:Q,""),
_xlpm.MacVal,_xlfn.XLOOKUP($A547,Output_Mac!$A:$A,Output_Mac!M:M,""),
_xlpm.MyAuditVal,_xlfn.XLOOKUP($A547,My_Audit!$A:$A,My_Audit!L:L,""),
_xlfn.IFS(_xlpm.MyAuditVal&lt;&gt;"",UPPER(_xlpm.MyAuditVal),_xlpm.MacVal&lt;&gt;"",_xlpm.MacVal,_xlpm.CSVVal&lt;&gt;"",_xlpm.CSVVal
)),"")</f>
        <v/>
      </c>
      <c r="N547" s="40"/>
      <c r="O547" s="40" t="str">
        <f>_xlfn.LET(
    _xlpm.CSVVal, _xlfn.XLOOKUP($A547, CSV!$A:$A, CSV!AA:AA, ""),
    _xlpm.MacVal, _xlfn.XLOOKUP($A547, Output_Mac!$A:$A, Output_Mac!S:S, ""),
    _xlpm.MyAuditVal, _xlfn.XLOOKUP($A547, My_Audit!$A:$A, My_Audit!P:P, ""),
    _xlfn.TEXTJOIN(", ", TRUE, _xlpm.MyAuditVal, _xlpm.MacVal, _xlpm.CSVVal)
)</f>
        <v/>
      </c>
      <c r="P547" s="40" t="str" cm="1">
        <f t="array" ref="P547">IFERROR(_xlfn.LET(
_xlpm.CSVVal,_xlfn.XLOOKUP($A547,CSV!$A:$A,CSV!AB:AB,""),
_xlpm.MacVal,_xlfn.XLOOKUP($A547,Output_Mac!$A:$A,Output_Mac!T:T,""),
_xlpm.MyAuditVal,_xlfn.XLOOKUP($A547,My_Audit!$A:$A,My_Audit!Q:Q,""),
_xlfn.IFS(_xlpm.MyAuditVal&lt;&gt;"",UPPER(_xlpm.MyAuditVal),_xlpm.MacVal&lt;&gt;"",_xlpm.MacVal,_xlpm.CSVVal&lt;&gt;"",_xlpm.CSVVal
)),"No")</f>
        <v>No</v>
      </c>
      <c r="Q547" s="40" t="str" cm="1">
        <f t="array" ref="Q547">IFERROR(_xlfn.LET(
_xlpm.CSVVal,_xlfn.XLOOKUP($A547,CSV!$A:$A,CSV!AC:AC,""),
_xlpm.MacVal,_xlfn.XLOOKUP($A547,Output_Mac!$A:$A,Output_Mac!U:U,""),
_xlpm.MyAuditVal,_xlfn.XLOOKUP($A547,My_Audit!$A:$A,My_Audit!R:R,""),
_xlfn.IFS(_xlpm.MyAuditVal&lt;&gt;"",UPPER(_xlpm.MyAuditVal),_xlpm.MacVal&lt;&gt;"",_xlpm.MacVal,_xlpm.CSVVal&lt;&gt;"",_xlpm.CSVVal
)),"")</f>
        <v/>
      </c>
      <c r="R547" s="40"/>
      <c r="S547" s="40"/>
      <c r="T547" s="40"/>
      <c r="U547" s="40"/>
      <c r="V547" s="40"/>
      <c r="W547" s="40"/>
      <c r="X547" s="41" t="str">
        <f>_xlfn.LET(
    _xlpm.MacVal, _xlfn.XLOOKUP($A547, Output_Mac!$A:$A, Output_Mac!AB:AB, ""),
    _xlpm.MyAuditVal, _xlfn.XLOOKUP($A547, My_Audit!$A:$A, My_Audit!N:N, ""),
    _xlfn.TEXTJOIN(", ", TRUE, _xlpm.MyAuditVal, _xlpm.MacVal)
)</f>
        <v/>
      </c>
    </row>
    <row r="548" spans="1:24">
      <c r="A548" s="40" t="str">
        <f>_xlfn.TEXTJOIN("",TRUE,Input!$B$2,ROW(My_Audit!A547))</f>
        <v>X547</v>
      </c>
      <c r="B548" s="40" t="str">
        <f>_xlfn.TEXTJOIN("-",TRUE,"ITD",Input!$A$2,A548)</f>
        <v>ITD-X547</v>
      </c>
      <c r="C548" s="40" t="str" cm="1">
        <f t="array" ref="C548">IFERROR(_xlfn.LET(
_xlpm.CSVVal,_xlfn.XLOOKUP($A548,CSV!$A:$A,CSV!B:B,""),
_xlpm.MacVal,_xlfn.XLOOKUP($A548,Output_Mac!$A:$A,Output_Mac!B:B,""),
_xlpm.MyAuditVal,_xlfn.XLOOKUP($A548,My_Audit!$A:$A,My_Audit!B:B,""),
_xlfn.IFS(_xlpm.MyAuditVal&lt;&gt;"",UPPER(_xlpm.MyAuditVal),_xlpm.MacVal&lt;&gt;"",_xlpm.MacVal,_xlpm.CSVVal&lt;&gt;"",_xlpm.CSVVal
)),"")</f>
        <v/>
      </c>
      <c r="D548" s="40" t="str" cm="1">
        <f t="array" ref="D548">IFERROR(_xlfn.LET(
_xlpm.CSVVal,_xlfn.XLOOKUP($A548,CSV!$A:$A,CSV!D:D,""),
_xlpm.MacVal,_xlfn.XLOOKUP($A548,Output_Mac!$A:$A,Output_Mac!C:C,""),
_xlpm.MyAuditVal,_xlfn.XLOOKUP($A548,My_Audit!$A:$A,My_Audit!C:C,""),
_xlfn.IFS(_xlpm.MyAuditVal&lt;&gt;"",_xlpm.MyAuditVal,_xlpm.MacVal&lt;&gt;"",_xlpm.MacVal,_xlpm.CSVVal&lt;&gt;"",_xlpm.CSVVal
)),"")</f>
        <v/>
      </c>
      <c r="E548" s="40" t="str">
        <f>_xlfn.XLOOKUP(A548,My_Audit!A:A,My_Audit!D:D,"")</f>
        <v/>
      </c>
      <c r="F548" s="40" t="str" cm="1">
        <f t="array" ref="F548">IFERROR(_xlfn.LET(
_xlpm.CSVVal,_xlfn.XLOOKUP($A548,CSV!$A:$A,CSV!F:F,""),
_xlpm.MacVal,_xlfn.XLOOKUP($A548,Output_Mac!$A:$A,Output_Mac!E:E,""),
_xlpm.MyAuditVal,_xlfn.XLOOKUP($A548,My_Audit!$A:$A,My_Audit!E:E,""),
_xlfn.IFS(_xlpm.MyAuditVal&lt;&gt;"",_xlpm.MyAuditVal,_xlpm.MacVal&lt;&gt;"",_xlpm.MacVal,_xlpm.CSVVal&lt;&gt;"",_xlpm.CSVVal
)),"")</f>
        <v/>
      </c>
      <c r="G548" s="40" t="str" cm="1">
        <f t="array" ref="G548">IFERROR(_xlfn.LET(
_xlpm.CSVVal,_xlfn.XLOOKUP($A548,CSV!$A:$A,CSV!G:G,""),
_xlpm.MacVal,_xlfn.XLOOKUP($A548,Output_Mac!$A:$A,Output_Mac!F:F,""),
_xlpm.MyAuditVal,_xlfn.XLOOKUP($A548,My_Audit!$A:$A,My_Audit!F:F,""),
_xlfn.IFS(_xlpm.MyAuditVal&lt;&gt;"",_xlpm.MyAuditVal,_xlpm.MacVal&lt;&gt;"",_xlpm.MacVal,_xlpm.CSVVal&lt;&gt;"",PROPER(_xlpm.CSVVal)
)),"")</f>
        <v/>
      </c>
      <c r="H548" s="40" t="str" cm="1">
        <f t="array" ref="H548">IFERROR(_xlfn.LET(
_xlpm.CSVVal,_xlfn.XLOOKUP($A548,CSV!$A:$A,CSV!H:H,""),
_xlpm.MacVal,_xlfn.XLOOKUP($A548,Output_Mac!$A:$A,Output_Mac!H:H,""),
_xlpm.MyAuditVal,_xlfn.XLOOKUP($A548,My_Audit!$A:$A,My_Audit!G:G,""),
_xlfn.IFS(_xlpm.MyAuditVal&lt;&gt;"",_xlpm.MyAuditVal,_xlpm.MacVal&lt;&gt;"",_xlpm.MacVal,_xlpm.CSVVal&lt;&gt;"",_xlpm.CSVVal
)),"")</f>
        <v/>
      </c>
      <c r="I548" s="40" t="str">
        <f>_xlfn.XLOOKUP(A548,Output_Mac!A:A,Output_Mac!I:I,"")</f>
        <v/>
      </c>
      <c r="J548" s="40" t="str" cm="1">
        <f t="array" ref="J548">IFERROR(_xlfn.LET(
_xlpm.CSVVal,_xlfn.XLOOKUP($A548,CSV!$A:$A,CSV!I:I,""),
_xlpm.MacVal,_xlfn.XLOOKUP($A548,Output_Mac!$A:$A,Output_Mac!J:J,""),
_xlpm.MyAuditVal,_xlfn.XLOOKUP($A548,My_Audit!$A:$A,My_Audit!I:I,""),
_xlfn.IFS(_xlpm.MyAuditVal&lt;&gt;"",UPPER(_xlpm.MyAuditVal),_xlpm.MacVal&lt;&gt;"",_xlpm.MacVal,_xlpm.CSVVal&lt;&gt;"",_xlpm.CSVVal
)),"")</f>
        <v/>
      </c>
      <c r="K548" s="40" t="str" cm="1">
        <f t="array" ref="K548">IFERROR(_xlfn.LET(
_xlpm.CSVVal,_xlfn.XLOOKUP($A548,CSV!$A:$A,CSV!K:K,""),
_xlpm.MacVal,_xlfn.XLOOKUP($A548,Output_Mac!$A:$A,Output_Mac!K:K,""),
_xlpm.MyAuditVal,_xlfn.XLOOKUP($A548,My_Audit!$A:$A,My_Audit!J:J,""),
_xlfn.IFS(_xlpm.MyAuditVal&lt;&gt;"",UPPER(_xlpm.MyAuditVal),_xlpm.MacVal&lt;&gt;"",_xlpm.MacVal,_xlpm.CSVVal&lt;&gt;"",_xlpm.CSVVal
)),"")</f>
        <v/>
      </c>
      <c r="L548" s="40" t="str" cm="1">
        <f t="array" ref="L548">IFERROR(_xlfn.LET(
_xlpm.CSVVal,_xlfn.XLOOKUP($A548,CSV!$A:$A,CSV!P:P,""),
_xlpm.MacVal,_xlfn.XLOOKUP($A548,Output_Mac!$A:$A,Output_Mac!L:L,""),
_xlpm.MyAuditVal,_xlfn.XLOOKUP($A548,My_Audit!$A:$A,My_Audit!K:K,""),
_xlfn.IFS(_xlpm.MyAuditVal&lt;&gt;"",UPPER(_xlpm.MyAuditVal),_xlpm.MacVal&lt;&gt;"",_xlpm.MacVal,_xlpm.CSVVal&lt;&gt;"",_xlpm.CSVVal
)),"")</f>
        <v/>
      </c>
      <c r="M548" s="40" t="str" cm="1">
        <f t="array" ref="M548">IFERROR(_xlfn.LET(
_xlpm.CSVVal,_xlfn.XLOOKUP($A548,CSV!$A:$A,CSV!Q:Q,""),
_xlpm.MacVal,_xlfn.XLOOKUP($A548,Output_Mac!$A:$A,Output_Mac!M:M,""),
_xlpm.MyAuditVal,_xlfn.XLOOKUP($A548,My_Audit!$A:$A,My_Audit!L:L,""),
_xlfn.IFS(_xlpm.MyAuditVal&lt;&gt;"",UPPER(_xlpm.MyAuditVal),_xlpm.MacVal&lt;&gt;"",_xlpm.MacVal,_xlpm.CSVVal&lt;&gt;"",_xlpm.CSVVal
)),"")</f>
        <v/>
      </c>
      <c r="N548" s="40"/>
      <c r="O548" s="40" t="str">
        <f>_xlfn.LET(
    _xlpm.CSVVal, _xlfn.XLOOKUP($A548, CSV!$A:$A, CSV!AA:AA, ""),
    _xlpm.MacVal, _xlfn.XLOOKUP($A548, Output_Mac!$A:$A, Output_Mac!S:S, ""),
    _xlpm.MyAuditVal, _xlfn.XLOOKUP($A548, My_Audit!$A:$A, My_Audit!P:P, ""),
    _xlfn.TEXTJOIN(", ", TRUE, _xlpm.MyAuditVal, _xlpm.MacVal, _xlpm.CSVVal)
)</f>
        <v/>
      </c>
      <c r="P548" s="40" t="str" cm="1">
        <f t="array" ref="P548">IFERROR(_xlfn.LET(
_xlpm.CSVVal,_xlfn.XLOOKUP($A548,CSV!$A:$A,CSV!AB:AB,""),
_xlpm.MacVal,_xlfn.XLOOKUP($A548,Output_Mac!$A:$A,Output_Mac!T:T,""),
_xlpm.MyAuditVal,_xlfn.XLOOKUP($A548,My_Audit!$A:$A,My_Audit!Q:Q,""),
_xlfn.IFS(_xlpm.MyAuditVal&lt;&gt;"",UPPER(_xlpm.MyAuditVal),_xlpm.MacVal&lt;&gt;"",_xlpm.MacVal,_xlpm.CSVVal&lt;&gt;"",_xlpm.CSVVal
)),"No")</f>
        <v>No</v>
      </c>
      <c r="Q548" s="40" t="str" cm="1">
        <f t="array" ref="Q548">IFERROR(_xlfn.LET(
_xlpm.CSVVal,_xlfn.XLOOKUP($A548,CSV!$A:$A,CSV!AC:AC,""),
_xlpm.MacVal,_xlfn.XLOOKUP($A548,Output_Mac!$A:$A,Output_Mac!U:U,""),
_xlpm.MyAuditVal,_xlfn.XLOOKUP($A548,My_Audit!$A:$A,My_Audit!R:R,""),
_xlfn.IFS(_xlpm.MyAuditVal&lt;&gt;"",UPPER(_xlpm.MyAuditVal),_xlpm.MacVal&lt;&gt;"",_xlpm.MacVal,_xlpm.CSVVal&lt;&gt;"",_xlpm.CSVVal
)),"")</f>
        <v/>
      </c>
      <c r="R548" s="40"/>
      <c r="S548" s="40"/>
      <c r="T548" s="40"/>
      <c r="U548" s="40"/>
      <c r="V548" s="40"/>
      <c r="W548" s="40"/>
      <c r="X548" s="41" t="str">
        <f>_xlfn.LET(
    _xlpm.MacVal, _xlfn.XLOOKUP($A548, Output_Mac!$A:$A, Output_Mac!AB:AB, ""),
    _xlpm.MyAuditVal, _xlfn.XLOOKUP($A548, My_Audit!$A:$A, My_Audit!N:N, ""),
    _xlfn.TEXTJOIN(", ", TRUE, _xlpm.MyAuditVal, _xlpm.MacVal)
)</f>
        <v/>
      </c>
    </row>
    <row r="549" spans="1:24">
      <c r="A549" s="40" t="str">
        <f>_xlfn.TEXTJOIN("",TRUE,Input!$B$2,ROW(My_Audit!A548))</f>
        <v>X548</v>
      </c>
      <c r="B549" s="40" t="str">
        <f>_xlfn.TEXTJOIN("-",TRUE,"ITD",Input!$A$2,A549)</f>
        <v>ITD-X548</v>
      </c>
      <c r="C549" s="40" t="str" cm="1">
        <f t="array" ref="C549">IFERROR(_xlfn.LET(
_xlpm.CSVVal,_xlfn.XLOOKUP($A549,CSV!$A:$A,CSV!B:B,""),
_xlpm.MacVal,_xlfn.XLOOKUP($A549,Output_Mac!$A:$A,Output_Mac!B:B,""),
_xlpm.MyAuditVal,_xlfn.XLOOKUP($A549,My_Audit!$A:$A,My_Audit!B:B,""),
_xlfn.IFS(_xlpm.MyAuditVal&lt;&gt;"",UPPER(_xlpm.MyAuditVal),_xlpm.MacVal&lt;&gt;"",_xlpm.MacVal,_xlpm.CSVVal&lt;&gt;"",_xlpm.CSVVal
)),"")</f>
        <v/>
      </c>
      <c r="D549" s="40" t="str" cm="1">
        <f t="array" ref="D549">IFERROR(_xlfn.LET(
_xlpm.CSVVal,_xlfn.XLOOKUP($A549,CSV!$A:$A,CSV!D:D,""),
_xlpm.MacVal,_xlfn.XLOOKUP($A549,Output_Mac!$A:$A,Output_Mac!C:C,""),
_xlpm.MyAuditVal,_xlfn.XLOOKUP($A549,My_Audit!$A:$A,My_Audit!C:C,""),
_xlfn.IFS(_xlpm.MyAuditVal&lt;&gt;"",_xlpm.MyAuditVal,_xlpm.MacVal&lt;&gt;"",_xlpm.MacVal,_xlpm.CSVVal&lt;&gt;"",_xlpm.CSVVal
)),"")</f>
        <v/>
      </c>
      <c r="E549" s="40" t="str">
        <f>_xlfn.XLOOKUP(A549,My_Audit!A:A,My_Audit!D:D,"")</f>
        <v/>
      </c>
      <c r="F549" s="40" t="str" cm="1">
        <f t="array" ref="F549">IFERROR(_xlfn.LET(
_xlpm.CSVVal,_xlfn.XLOOKUP($A549,CSV!$A:$A,CSV!F:F,""),
_xlpm.MacVal,_xlfn.XLOOKUP($A549,Output_Mac!$A:$A,Output_Mac!E:E,""),
_xlpm.MyAuditVal,_xlfn.XLOOKUP($A549,My_Audit!$A:$A,My_Audit!E:E,""),
_xlfn.IFS(_xlpm.MyAuditVal&lt;&gt;"",_xlpm.MyAuditVal,_xlpm.MacVal&lt;&gt;"",_xlpm.MacVal,_xlpm.CSVVal&lt;&gt;"",_xlpm.CSVVal
)),"")</f>
        <v/>
      </c>
      <c r="G549" s="40" t="str" cm="1">
        <f t="array" ref="G549">IFERROR(_xlfn.LET(
_xlpm.CSVVal,_xlfn.XLOOKUP($A549,CSV!$A:$A,CSV!G:G,""),
_xlpm.MacVal,_xlfn.XLOOKUP($A549,Output_Mac!$A:$A,Output_Mac!F:F,""),
_xlpm.MyAuditVal,_xlfn.XLOOKUP($A549,My_Audit!$A:$A,My_Audit!F:F,""),
_xlfn.IFS(_xlpm.MyAuditVal&lt;&gt;"",_xlpm.MyAuditVal,_xlpm.MacVal&lt;&gt;"",_xlpm.MacVal,_xlpm.CSVVal&lt;&gt;"",PROPER(_xlpm.CSVVal)
)),"")</f>
        <v/>
      </c>
      <c r="H549" s="40" t="str" cm="1">
        <f t="array" ref="H549">IFERROR(_xlfn.LET(
_xlpm.CSVVal,_xlfn.XLOOKUP($A549,CSV!$A:$A,CSV!H:H,""),
_xlpm.MacVal,_xlfn.XLOOKUP($A549,Output_Mac!$A:$A,Output_Mac!H:H,""),
_xlpm.MyAuditVal,_xlfn.XLOOKUP($A549,My_Audit!$A:$A,My_Audit!G:G,""),
_xlfn.IFS(_xlpm.MyAuditVal&lt;&gt;"",_xlpm.MyAuditVal,_xlpm.MacVal&lt;&gt;"",_xlpm.MacVal,_xlpm.CSVVal&lt;&gt;"",_xlpm.CSVVal
)),"")</f>
        <v/>
      </c>
      <c r="I549" s="40" t="str">
        <f>_xlfn.XLOOKUP(A549,Output_Mac!A:A,Output_Mac!I:I,"")</f>
        <v/>
      </c>
      <c r="J549" s="40" t="str" cm="1">
        <f t="array" ref="J549">IFERROR(_xlfn.LET(
_xlpm.CSVVal,_xlfn.XLOOKUP($A549,CSV!$A:$A,CSV!I:I,""),
_xlpm.MacVal,_xlfn.XLOOKUP($A549,Output_Mac!$A:$A,Output_Mac!J:J,""),
_xlpm.MyAuditVal,_xlfn.XLOOKUP($A549,My_Audit!$A:$A,My_Audit!I:I,""),
_xlfn.IFS(_xlpm.MyAuditVal&lt;&gt;"",UPPER(_xlpm.MyAuditVal),_xlpm.MacVal&lt;&gt;"",_xlpm.MacVal,_xlpm.CSVVal&lt;&gt;"",_xlpm.CSVVal
)),"")</f>
        <v/>
      </c>
      <c r="K549" s="40" t="str" cm="1">
        <f t="array" ref="K549">IFERROR(_xlfn.LET(
_xlpm.CSVVal,_xlfn.XLOOKUP($A549,CSV!$A:$A,CSV!K:K,""),
_xlpm.MacVal,_xlfn.XLOOKUP($A549,Output_Mac!$A:$A,Output_Mac!K:K,""),
_xlpm.MyAuditVal,_xlfn.XLOOKUP($A549,My_Audit!$A:$A,My_Audit!J:J,""),
_xlfn.IFS(_xlpm.MyAuditVal&lt;&gt;"",UPPER(_xlpm.MyAuditVal),_xlpm.MacVal&lt;&gt;"",_xlpm.MacVal,_xlpm.CSVVal&lt;&gt;"",_xlpm.CSVVal
)),"")</f>
        <v/>
      </c>
      <c r="L549" s="40" t="str" cm="1">
        <f t="array" ref="L549">IFERROR(_xlfn.LET(
_xlpm.CSVVal,_xlfn.XLOOKUP($A549,CSV!$A:$A,CSV!P:P,""),
_xlpm.MacVal,_xlfn.XLOOKUP($A549,Output_Mac!$A:$A,Output_Mac!L:L,""),
_xlpm.MyAuditVal,_xlfn.XLOOKUP($A549,My_Audit!$A:$A,My_Audit!K:K,""),
_xlfn.IFS(_xlpm.MyAuditVal&lt;&gt;"",UPPER(_xlpm.MyAuditVal),_xlpm.MacVal&lt;&gt;"",_xlpm.MacVal,_xlpm.CSVVal&lt;&gt;"",_xlpm.CSVVal
)),"")</f>
        <v/>
      </c>
      <c r="M549" s="40" t="str" cm="1">
        <f t="array" ref="M549">IFERROR(_xlfn.LET(
_xlpm.CSVVal,_xlfn.XLOOKUP($A549,CSV!$A:$A,CSV!Q:Q,""),
_xlpm.MacVal,_xlfn.XLOOKUP($A549,Output_Mac!$A:$A,Output_Mac!M:M,""),
_xlpm.MyAuditVal,_xlfn.XLOOKUP($A549,My_Audit!$A:$A,My_Audit!L:L,""),
_xlfn.IFS(_xlpm.MyAuditVal&lt;&gt;"",UPPER(_xlpm.MyAuditVal),_xlpm.MacVal&lt;&gt;"",_xlpm.MacVal,_xlpm.CSVVal&lt;&gt;"",_xlpm.CSVVal
)),"")</f>
        <v/>
      </c>
      <c r="N549" s="40"/>
      <c r="O549" s="40" t="str">
        <f>_xlfn.LET(
    _xlpm.CSVVal, _xlfn.XLOOKUP($A549, CSV!$A:$A, CSV!AA:AA, ""),
    _xlpm.MacVal, _xlfn.XLOOKUP($A549, Output_Mac!$A:$A, Output_Mac!S:S, ""),
    _xlpm.MyAuditVal, _xlfn.XLOOKUP($A549, My_Audit!$A:$A, My_Audit!P:P, ""),
    _xlfn.TEXTJOIN(", ", TRUE, _xlpm.MyAuditVal, _xlpm.MacVal, _xlpm.CSVVal)
)</f>
        <v/>
      </c>
      <c r="P549" s="40" t="str" cm="1">
        <f t="array" ref="P549">IFERROR(_xlfn.LET(
_xlpm.CSVVal,_xlfn.XLOOKUP($A549,CSV!$A:$A,CSV!AB:AB,""),
_xlpm.MacVal,_xlfn.XLOOKUP($A549,Output_Mac!$A:$A,Output_Mac!T:T,""),
_xlpm.MyAuditVal,_xlfn.XLOOKUP($A549,My_Audit!$A:$A,My_Audit!Q:Q,""),
_xlfn.IFS(_xlpm.MyAuditVal&lt;&gt;"",UPPER(_xlpm.MyAuditVal),_xlpm.MacVal&lt;&gt;"",_xlpm.MacVal,_xlpm.CSVVal&lt;&gt;"",_xlpm.CSVVal
)),"No")</f>
        <v>No</v>
      </c>
      <c r="Q549" s="40" t="str" cm="1">
        <f t="array" ref="Q549">IFERROR(_xlfn.LET(
_xlpm.CSVVal,_xlfn.XLOOKUP($A549,CSV!$A:$A,CSV!AC:AC,""),
_xlpm.MacVal,_xlfn.XLOOKUP($A549,Output_Mac!$A:$A,Output_Mac!U:U,""),
_xlpm.MyAuditVal,_xlfn.XLOOKUP($A549,My_Audit!$A:$A,My_Audit!R:R,""),
_xlfn.IFS(_xlpm.MyAuditVal&lt;&gt;"",UPPER(_xlpm.MyAuditVal),_xlpm.MacVal&lt;&gt;"",_xlpm.MacVal,_xlpm.CSVVal&lt;&gt;"",_xlpm.CSVVal
)),"")</f>
        <v/>
      </c>
      <c r="R549" s="40"/>
      <c r="S549" s="40"/>
      <c r="T549" s="40"/>
      <c r="U549" s="40"/>
      <c r="V549" s="40"/>
      <c r="W549" s="40"/>
      <c r="X549" s="41" t="str">
        <f>_xlfn.LET(
    _xlpm.MacVal, _xlfn.XLOOKUP($A549, Output_Mac!$A:$A, Output_Mac!AB:AB, ""),
    _xlpm.MyAuditVal, _xlfn.XLOOKUP($A549, My_Audit!$A:$A, My_Audit!N:N, ""),
    _xlfn.TEXTJOIN(", ", TRUE, _xlpm.MyAuditVal, _xlpm.MacVal)
)</f>
        <v/>
      </c>
    </row>
    <row r="550" spans="1:24">
      <c r="A550" s="40" t="str">
        <f>_xlfn.TEXTJOIN("",TRUE,Input!$B$2,ROW(My_Audit!A549))</f>
        <v>X549</v>
      </c>
      <c r="B550" s="40" t="str">
        <f>_xlfn.TEXTJOIN("-",TRUE,"ITD",Input!$A$2,A550)</f>
        <v>ITD-X549</v>
      </c>
      <c r="C550" s="40" t="str" cm="1">
        <f t="array" ref="C550">IFERROR(_xlfn.LET(
_xlpm.CSVVal,_xlfn.XLOOKUP($A550,CSV!$A:$A,CSV!B:B,""),
_xlpm.MacVal,_xlfn.XLOOKUP($A550,Output_Mac!$A:$A,Output_Mac!B:B,""),
_xlpm.MyAuditVal,_xlfn.XLOOKUP($A550,My_Audit!$A:$A,My_Audit!B:B,""),
_xlfn.IFS(_xlpm.MyAuditVal&lt;&gt;"",UPPER(_xlpm.MyAuditVal),_xlpm.MacVal&lt;&gt;"",_xlpm.MacVal,_xlpm.CSVVal&lt;&gt;"",_xlpm.CSVVal
)),"")</f>
        <v/>
      </c>
      <c r="D550" s="40" t="str" cm="1">
        <f t="array" ref="D550">IFERROR(_xlfn.LET(
_xlpm.CSVVal,_xlfn.XLOOKUP($A550,CSV!$A:$A,CSV!D:D,""),
_xlpm.MacVal,_xlfn.XLOOKUP($A550,Output_Mac!$A:$A,Output_Mac!C:C,""),
_xlpm.MyAuditVal,_xlfn.XLOOKUP($A550,My_Audit!$A:$A,My_Audit!C:C,""),
_xlfn.IFS(_xlpm.MyAuditVal&lt;&gt;"",_xlpm.MyAuditVal,_xlpm.MacVal&lt;&gt;"",_xlpm.MacVal,_xlpm.CSVVal&lt;&gt;"",_xlpm.CSVVal
)),"")</f>
        <v/>
      </c>
      <c r="E550" s="40" t="str">
        <f>_xlfn.XLOOKUP(A550,My_Audit!A:A,My_Audit!D:D,"")</f>
        <v/>
      </c>
      <c r="F550" s="40" t="str" cm="1">
        <f t="array" ref="F550">IFERROR(_xlfn.LET(
_xlpm.CSVVal,_xlfn.XLOOKUP($A550,CSV!$A:$A,CSV!F:F,""),
_xlpm.MacVal,_xlfn.XLOOKUP($A550,Output_Mac!$A:$A,Output_Mac!E:E,""),
_xlpm.MyAuditVal,_xlfn.XLOOKUP($A550,My_Audit!$A:$A,My_Audit!E:E,""),
_xlfn.IFS(_xlpm.MyAuditVal&lt;&gt;"",_xlpm.MyAuditVal,_xlpm.MacVal&lt;&gt;"",_xlpm.MacVal,_xlpm.CSVVal&lt;&gt;"",_xlpm.CSVVal
)),"")</f>
        <v/>
      </c>
      <c r="G550" s="40" t="str" cm="1">
        <f t="array" ref="G550">IFERROR(_xlfn.LET(
_xlpm.CSVVal,_xlfn.XLOOKUP($A550,CSV!$A:$A,CSV!G:G,""),
_xlpm.MacVal,_xlfn.XLOOKUP($A550,Output_Mac!$A:$A,Output_Mac!F:F,""),
_xlpm.MyAuditVal,_xlfn.XLOOKUP($A550,My_Audit!$A:$A,My_Audit!F:F,""),
_xlfn.IFS(_xlpm.MyAuditVal&lt;&gt;"",_xlpm.MyAuditVal,_xlpm.MacVal&lt;&gt;"",_xlpm.MacVal,_xlpm.CSVVal&lt;&gt;"",PROPER(_xlpm.CSVVal)
)),"")</f>
        <v/>
      </c>
      <c r="H550" s="40" t="str" cm="1">
        <f t="array" ref="H550">IFERROR(_xlfn.LET(
_xlpm.CSVVal,_xlfn.XLOOKUP($A550,CSV!$A:$A,CSV!H:H,""),
_xlpm.MacVal,_xlfn.XLOOKUP($A550,Output_Mac!$A:$A,Output_Mac!H:H,""),
_xlpm.MyAuditVal,_xlfn.XLOOKUP($A550,My_Audit!$A:$A,My_Audit!G:G,""),
_xlfn.IFS(_xlpm.MyAuditVal&lt;&gt;"",_xlpm.MyAuditVal,_xlpm.MacVal&lt;&gt;"",_xlpm.MacVal,_xlpm.CSVVal&lt;&gt;"",_xlpm.CSVVal
)),"")</f>
        <v/>
      </c>
      <c r="I550" s="40" t="str">
        <f>_xlfn.XLOOKUP(A550,Output_Mac!A:A,Output_Mac!I:I,"")</f>
        <v/>
      </c>
      <c r="J550" s="40" t="str" cm="1">
        <f t="array" ref="J550">IFERROR(_xlfn.LET(
_xlpm.CSVVal,_xlfn.XLOOKUP($A550,CSV!$A:$A,CSV!I:I,""),
_xlpm.MacVal,_xlfn.XLOOKUP($A550,Output_Mac!$A:$A,Output_Mac!J:J,""),
_xlpm.MyAuditVal,_xlfn.XLOOKUP($A550,My_Audit!$A:$A,My_Audit!I:I,""),
_xlfn.IFS(_xlpm.MyAuditVal&lt;&gt;"",UPPER(_xlpm.MyAuditVal),_xlpm.MacVal&lt;&gt;"",_xlpm.MacVal,_xlpm.CSVVal&lt;&gt;"",_xlpm.CSVVal
)),"")</f>
        <v/>
      </c>
      <c r="K550" s="40" t="str" cm="1">
        <f t="array" ref="K550">IFERROR(_xlfn.LET(
_xlpm.CSVVal,_xlfn.XLOOKUP($A550,CSV!$A:$A,CSV!K:K,""),
_xlpm.MacVal,_xlfn.XLOOKUP($A550,Output_Mac!$A:$A,Output_Mac!K:K,""),
_xlpm.MyAuditVal,_xlfn.XLOOKUP($A550,My_Audit!$A:$A,My_Audit!J:J,""),
_xlfn.IFS(_xlpm.MyAuditVal&lt;&gt;"",UPPER(_xlpm.MyAuditVal),_xlpm.MacVal&lt;&gt;"",_xlpm.MacVal,_xlpm.CSVVal&lt;&gt;"",_xlpm.CSVVal
)),"")</f>
        <v/>
      </c>
      <c r="L550" s="40" t="str" cm="1">
        <f t="array" ref="L550">IFERROR(_xlfn.LET(
_xlpm.CSVVal,_xlfn.XLOOKUP($A550,CSV!$A:$A,CSV!P:P,""),
_xlpm.MacVal,_xlfn.XLOOKUP($A550,Output_Mac!$A:$A,Output_Mac!L:L,""),
_xlpm.MyAuditVal,_xlfn.XLOOKUP($A550,My_Audit!$A:$A,My_Audit!K:K,""),
_xlfn.IFS(_xlpm.MyAuditVal&lt;&gt;"",UPPER(_xlpm.MyAuditVal),_xlpm.MacVal&lt;&gt;"",_xlpm.MacVal,_xlpm.CSVVal&lt;&gt;"",_xlpm.CSVVal
)),"")</f>
        <v/>
      </c>
      <c r="M550" s="40" t="str" cm="1">
        <f t="array" ref="M550">IFERROR(_xlfn.LET(
_xlpm.CSVVal,_xlfn.XLOOKUP($A550,CSV!$A:$A,CSV!Q:Q,""),
_xlpm.MacVal,_xlfn.XLOOKUP($A550,Output_Mac!$A:$A,Output_Mac!M:M,""),
_xlpm.MyAuditVal,_xlfn.XLOOKUP($A550,My_Audit!$A:$A,My_Audit!L:L,""),
_xlfn.IFS(_xlpm.MyAuditVal&lt;&gt;"",UPPER(_xlpm.MyAuditVal),_xlpm.MacVal&lt;&gt;"",_xlpm.MacVal,_xlpm.CSVVal&lt;&gt;"",_xlpm.CSVVal
)),"")</f>
        <v/>
      </c>
      <c r="N550" s="40"/>
      <c r="O550" s="40" t="str">
        <f>_xlfn.LET(
    _xlpm.CSVVal, _xlfn.XLOOKUP($A550, CSV!$A:$A, CSV!AA:AA, ""),
    _xlpm.MacVal, _xlfn.XLOOKUP($A550, Output_Mac!$A:$A, Output_Mac!S:S, ""),
    _xlpm.MyAuditVal, _xlfn.XLOOKUP($A550, My_Audit!$A:$A, My_Audit!P:P, ""),
    _xlfn.TEXTJOIN(", ", TRUE, _xlpm.MyAuditVal, _xlpm.MacVal, _xlpm.CSVVal)
)</f>
        <v/>
      </c>
      <c r="P550" s="40" t="str" cm="1">
        <f t="array" ref="P550">IFERROR(_xlfn.LET(
_xlpm.CSVVal,_xlfn.XLOOKUP($A550,CSV!$A:$A,CSV!AB:AB,""),
_xlpm.MacVal,_xlfn.XLOOKUP($A550,Output_Mac!$A:$A,Output_Mac!T:T,""),
_xlpm.MyAuditVal,_xlfn.XLOOKUP($A550,My_Audit!$A:$A,My_Audit!Q:Q,""),
_xlfn.IFS(_xlpm.MyAuditVal&lt;&gt;"",UPPER(_xlpm.MyAuditVal),_xlpm.MacVal&lt;&gt;"",_xlpm.MacVal,_xlpm.CSVVal&lt;&gt;"",_xlpm.CSVVal
)),"No")</f>
        <v>No</v>
      </c>
      <c r="Q550" s="40" t="str" cm="1">
        <f t="array" ref="Q550">IFERROR(_xlfn.LET(
_xlpm.CSVVal,_xlfn.XLOOKUP($A550,CSV!$A:$A,CSV!AC:AC,""),
_xlpm.MacVal,_xlfn.XLOOKUP($A550,Output_Mac!$A:$A,Output_Mac!U:U,""),
_xlpm.MyAuditVal,_xlfn.XLOOKUP($A550,My_Audit!$A:$A,My_Audit!R:R,""),
_xlfn.IFS(_xlpm.MyAuditVal&lt;&gt;"",UPPER(_xlpm.MyAuditVal),_xlpm.MacVal&lt;&gt;"",_xlpm.MacVal,_xlpm.CSVVal&lt;&gt;"",_xlpm.CSVVal
)),"")</f>
        <v/>
      </c>
      <c r="R550" s="40"/>
      <c r="S550" s="40"/>
      <c r="T550" s="40"/>
      <c r="U550" s="40"/>
      <c r="V550" s="40"/>
      <c r="W550" s="40"/>
      <c r="X550" s="41" t="str">
        <f>_xlfn.LET(
    _xlpm.MacVal, _xlfn.XLOOKUP($A550, Output_Mac!$A:$A, Output_Mac!AB:AB, ""),
    _xlpm.MyAuditVal, _xlfn.XLOOKUP($A550, My_Audit!$A:$A, My_Audit!N:N, ""),
    _xlfn.TEXTJOIN(", ", TRUE, _xlpm.MyAuditVal, _xlpm.MacVal)
)</f>
        <v/>
      </c>
    </row>
    <row r="551" spans="1:24">
      <c r="A551" s="40" t="str">
        <f>_xlfn.TEXTJOIN("",TRUE,Input!$B$2,ROW(My_Audit!A550))</f>
        <v>X550</v>
      </c>
      <c r="B551" s="40" t="str">
        <f>_xlfn.TEXTJOIN("-",TRUE,"ITD",Input!$A$2,A551)</f>
        <v>ITD-X550</v>
      </c>
      <c r="C551" s="40" t="str" cm="1">
        <f t="array" ref="C551">IFERROR(_xlfn.LET(
_xlpm.CSVVal,_xlfn.XLOOKUP($A551,CSV!$A:$A,CSV!B:B,""),
_xlpm.MacVal,_xlfn.XLOOKUP($A551,Output_Mac!$A:$A,Output_Mac!B:B,""),
_xlpm.MyAuditVal,_xlfn.XLOOKUP($A551,My_Audit!$A:$A,My_Audit!B:B,""),
_xlfn.IFS(_xlpm.MyAuditVal&lt;&gt;"",UPPER(_xlpm.MyAuditVal),_xlpm.MacVal&lt;&gt;"",_xlpm.MacVal,_xlpm.CSVVal&lt;&gt;"",_xlpm.CSVVal
)),"")</f>
        <v/>
      </c>
      <c r="D551" s="40" t="str" cm="1">
        <f t="array" ref="D551">IFERROR(_xlfn.LET(
_xlpm.CSVVal,_xlfn.XLOOKUP($A551,CSV!$A:$A,CSV!D:D,""),
_xlpm.MacVal,_xlfn.XLOOKUP($A551,Output_Mac!$A:$A,Output_Mac!C:C,""),
_xlpm.MyAuditVal,_xlfn.XLOOKUP($A551,My_Audit!$A:$A,My_Audit!C:C,""),
_xlfn.IFS(_xlpm.MyAuditVal&lt;&gt;"",_xlpm.MyAuditVal,_xlpm.MacVal&lt;&gt;"",_xlpm.MacVal,_xlpm.CSVVal&lt;&gt;"",_xlpm.CSVVal
)),"")</f>
        <v/>
      </c>
      <c r="E551" s="40" t="str">
        <f>_xlfn.XLOOKUP(A551,My_Audit!A:A,My_Audit!D:D,"")</f>
        <v/>
      </c>
      <c r="F551" s="40" t="str" cm="1">
        <f t="array" ref="F551">IFERROR(_xlfn.LET(
_xlpm.CSVVal,_xlfn.XLOOKUP($A551,CSV!$A:$A,CSV!F:F,""),
_xlpm.MacVal,_xlfn.XLOOKUP($A551,Output_Mac!$A:$A,Output_Mac!E:E,""),
_xlpm.MyAuditVal,_xlfn.XLOOKUP($A551,My_Audit!$A:$A,My_Audit!E:E,""),
_xlfn.IFS(_xlpm.MyAuditVal&lt;&gt;"",_xlpm.MyAuditVal,_xlpm.MacVal&lt;&gt;"",_xlpm.MacVal,_xlpm.CSVVal&lt;&gt;"",_xlpm.CSVVal
)),"")</f>
        <v/>
      </c>
      <c r="G551" s="40" t="str" cm="1">
        <f t="array" ref="G551">IFERROR(_xlfn.LET(
_xlpm.CSVVal,_xlfn.XLOOKUP($A551,CSV!$A:$A,CSV!G:G,""),
_xlpm.MacVal,_xlfn.XLOOKUP($A551,Output_Mac!$A:$A,Output_Mac!F:F,""),
_xlpm.MyAuditVal,_xlfn.XLOOKUP($A551,My_Audit!$A:$A,My_Audit!F:F,""),
_xlfn.IFS(_xlpm.MyAuditVal&lt;&gt;"",_xlpm.MyAuditVal,_xlpm.MacVal&lt;&gt;"",_xlpm.MacVal,_xlpm.CSVVal&lt;&gt;"",PROPER(_xlpm.CSVVal)
)),"")</f>
        <v/>
      </c>
      <c r="H551" s="40" t="str" cm="1">
        <f t="array" ref="H551">IFERROR(_xlfn.LET(
_xlpm.CSVVal,_xlfn.XLOOKUP($A551,CSV!$A:$A,CSV!H:H,""),
_xlpm.MacVal,_xlfn.XLOOKUP($A551,Output_Mac!$A:$A,Output_Mac!H:H,""),
_xlpm.MyAuditVal,_xlfn.XLOOKUP($A551,My_Audit!$A:$A,My_Audit!G:G,""),
_xlfn.IFS(_xlpm.MyAuditVal&lt;&gt;"",_xlpm.MyAuditVal,_xlpm.MacVal&lt;&gt;"",_xlpm.MacVal,_xlpm.CSVVal&lt;&gt;"",_xlpm.CSVVal
)),"")</f>
        <v/>
      </c>
      <c r="I551" s="40" t="str">
        <f>_xlfn.XLOOKUP(A551,Output_Mac!A:A,Output_Mac!I:I,"")</f>
        <v/>
      </c>
      <c r="J551" s="40" t="str" cm="1">
        <f t="array" ref="J551">IFERROR(_xlfn.LET(
_xlpm.CSVVal,_xlfn.XLOOKUP($A551,CSV!$A:$A,CSV!I:I,""),
_xlpm.MacVal,_xlfn.XLOOKUP($A551,Output_Mac!$A:$A,Output_Mac!J:J,""),
_xlpm.MyAuditVal,_xlfn.XLOOKUP($A551,My_Audit!$A:$A,My_Audit!I:I,""),
_xlfn.IFS(_xlpm.MyAuditVal&lt;&gt;"",UPPER(_xlpm.MyAuditVal),_xlpm.MacVal&lt;&gt;"",_xlpm.MacVal,_xlpm.CSVVal&lt;&gt;"",_xlpm.CSVVal
)),"")</f>
        <v/>
      </c>
      <c r="K551" s="40" t="str" cm="1">
        <f t="array" ref="K551">IFERROR(_xlfn.LET(
_xlpm.CSVVal,_xlfn.XLOOKUP($A551,CSV!$A:$A,CSV!K:K,""),
_xlpm.MacVal,_xlfn.XLOOKUP($A551,Output_Mac!$A:$A,Output_Mac!K:K,""),
_xlpm.MyAuditVal,_xlfn.XLOOKUP($A551,My_Audit!$A:$A,My_Audit!J:J,""),
_xlfn.IFS(_xlpm.MyAuditVal&lt;&gt;"",UPPER(_xlpm.MyAuditVal),_xlpm.MacVal&lt;&gt;"",_xlpm.MacVal,_xlpm.CSVVal&lt;&gt;"",_xlpm.CSVVal
)),"")</f>
        <v/>
      </c>
      <c r="L551" s="40" t="str" cm="1">
        <f t="array" ref="L551">IFERROR(_xlfn.LET(
_xlpm.CSVVal,_xlfn.XLOOKUP($A551,CSV!$A:$A,CSV!P:P,""),
_xlpm.MacVal,_xlfn.XLOOKUP($A551,Output_Mac!$A:$A,Output_Mac!L:L,""),
_xlpm.MyAuditVal,_xlfn.XLOOKUP($A551,My_Audit!$A:$A,My_Audit!K:K,""),
_xlfn.IFS(_xlpm.MyAuditVal&lt;&gt;"",UPPER(_xlpm.MyAuditVal),_xlpm.MacVal&lt;&gt;"",_xlpm.MacVal,_xlpm.CSVVal&lt;&gt;"",_xlpm.CSVVal
)),"")</f>
        <v/>
      </c>
      <c r="M551" s="40" t="str" cm="1">
        <f t="array" ref="M551">IFERROR(_xlfn.LET(
_xlpm.CSVVal,_xlfn.XLOOKUP($A551,CSV!$A:$A,CSV!Q:Q,""),
_xlpm.MacVal,_xlfn.XLOOKUP($A551,Output_Mac!$A:$A,Output_Mac!M:M,""),
_xlpm.MyAuditVal,_xlfn.XLOOKUP($A551,My_Audit!$A:$A,My_Audit!L:L,""),
_xlfn.IFS(_xlpm.MyAuditVal&lt;&gt;"",UPPER(_xlpm.MyAuditVal),_xlpm.MacVal&lt;&gt;"",_xlpm.MacVal,_xlpm.CSVVal&lt;&gt;"",_xlpm.CSVVal
)),"")</f>
        <v/>
      </c>
      <c r="N551" s="40"/>
      <c r="O551" s="40" t="str">
        <f>_xlfn.LET(
    _xlpm.CSVVal, _xlfn.XLOOKUP($A551, CSV!$A:$A, CSV!AA:AA, ""),
    _xlpm.MacVal, _xlfn.XLOOKUP($A551, Output_Mac!$A:$A, Output_Mac!S:S, ""),
    _xlpm.MyAuditVal, _xlfn.XLOOKUP($A551, My_Audit!$A:$A, My_Audit!P:P, ""),
    _xlfn.TEXTJOIN(", ", TRUE, _xlpm.MyAuditVal, _xlpm.MacVal, _xlpm.CSVVal)
)</f>
        <v/>
      </c>
      <c r="P551" s="40" t="str" cm="1">
        <f t="array" ref="P551">IFERROR(_xlfn.LET(
_xlpm.CSVVal,_xlfn.XLOOKUP($A551,CSV!$A:$A,CSV!AB:AB,""),
_xlpm.MacVal,_xlfn.XLOOKUP($A551,Output_Mac!$A:$A,Output_Mac!T:T,""),
_xlpm.MyAuditVal,_xlfn.XLOOKUP($A551,My_Audit!$A:$A,My_Audit!Q:Q,""),
_xlfn.IFS(_xlpm.MyAuditVal&lt;&gt;"",UPPER(_xlpm.MyAuditVal),_xlpm.MacVal&lt;&gt;"",_xlpm.MacVal,_xlpm.CSVVal&lt;&gt;"",_xlpm.CSVVal
)),"No")</f>
        <v>No</v>
      </c>
      <c r="Q551" s="40" t="str" cm="1">
        <f t="array" ref="Q551">IFERROR(_xlfn.LET(
_xlpm.CSVVal,_xlfn.XLOOKUP($A551,CSV!$A:$A,CSV!AC:AC,""),
_xlpm.MacVal,_xlfn.XLOOKUP($A551,Output_Mac!$A:$A,Output_Mac!U:U,""),
_xlpm.MyAuditVal,_xlfn.XLOOKUP($A551,My_Audit!$A:$A,My_Audit!R:R,""),
_xlfn.IFS(_xlpm.MyAuditVal&lt;&gt;"",UPPER(_xlpm.MyAuditVal),_xlpm.MacVal&lt;&gt;"",_xlpm.MacVal,_xlpm.CSVVal&lt;&gt;"",_xlpm.CSVVal
)),"")</f>
        <v/>
      </c>
      <c r="R551" s="40"/>
      <c r="S551" s="40"/>
      <c r="T551" s="40"/>
      <c r="U551" s="40"/>
      <c r="V551" s="40"/>
      <c r="W551" s="40"/>
      <c r="X551" s="41" t="str">
        <f>_xlfn.LET(
    _xlpm.MacVal, _xlfn.XLOOKUP($A551, Output_Mac!$A:$A, Output_Mac!AB:AB, ""),
    _xlpm.MyAuditVal, _xlfn.XLOOKUP($A551, My_Audit!$A:$A, My_Audit!N:N, ""),
    _xlfn.TEXTJOIN(", ", TRUE, _xlpm.MyAuditVal, _xlpm.MacVal)
)</f>
        <v/>
      </c>
    </row>
    <row r="552" spans="1:24">
      <c r="A552" s="40" t="str">
        <f>_xlfn.TEXTJOIN("",TRUE,Input!$B$2,ROW(My_Audit!A551))</f>
        <v>X551</v>
      </c>
      <c r="B552" s="40" t="str">
        <f>_xlfn.TEXTJOIN("-",TRUE,"ITD",Input!$A$2,A552)</f>
        <v>ITD-X551</v>
      </c>
      <c r="C552" s="40" t="str" cm="1">
        <f t="array" ref="C552">IFERROR(_xlfn.LET(
_xlpm.CSVVal,_xlfn.XLOOKUP($A552,CSV!$A:$A,CSV!B:B,""),
_xlpm.MacVal,_xlfn.XLOOKUP($A552,Output_Mac!$A:$A,Output_Mac!B:B,""),
_xlpm.MyAuditVal,_xlfn.XLOOKUP($A552,My_Audit!$A:$A,My_Audit!B:B,""),
_xlfn.IFS(_xlpm.MyAuditVal&lt;&gt;"",UPPER(_xlpm.MyAuditVal),_xlpm.MacVal&lt;&gt;"",_xlpm.MacVal,_xlpm.CSVVal&lt;&gt;"",_xlpm.CSVVal
)),"")</f>
        <v/>
      </c>
      <c r="D552" s="40" t="str" cm="1">
        <f t="array" ref="D552">IFERROR(_xlfn.LET(
_xlpm.CSVVal,_xlfn.XLOOKUP($A552,CSV!$A:$A,CSV!D:D,""),
_xlpm.MacVal,_xlfn.XLOOKUP($A552,Output_Mac!$A:$A,Output_Mac!C:C,""),
_xlpm.MyAuditVal,_xlfn.XLOOKUP($A552,My_Audit!$A:$A,My_Audit!C:C,""),
_xlfn.IFS(_xlpm.MyAuditVal&lt;&gt;"",_xlpm.MyAuditVal,_xlpm.MacVal&lt;&gt;"",_xlpm.MacVal,_xlpm.CSVVal&lt;&gt;"",_xlpm.CSVVal
)),"")</f>
        <v/>
      </c>
      <c r="E552" s="40" t="str">
        <f>_xlfn.XLOOKUP(A552,My_Audit!A:A,My_Audit!D:D,"")</f>
        <v/>
      </c>
      <c r="F552" s="40" t="str" cm="1">
        <f t="array" ref="F552">IFERROR(_xlfn.LET(
_xlpm.CSVVal,_xlfn.XLOOKUP($A552,CSV!$A:$A,CSV!F:F,""),
_xlpm.MacVal,_xlfn.XLOOKUP($A552,Output_Mac!$A:$A,Output_Mac!E:E,""),
_xlpm.MyAuditVal,_xlfn.XLOOKUP($A552,My_Audit!$A:$A,My_Audit!E:E,""),
_xlfn.IFS(_xlpm.MyAuditVal&lt;&gt;"",_xlpm.MyAuditVal,_xlpm.MacVal&lt;&gt;"",_xlpm.MacVal,_xlpm.CSVVal&lt;&gt;"",_xlpm.CSVVal
)),"")</f>
        <v/>
      </c>
      <c r="G552" s="40" t="str" cm="1">
        <f t="array" ref="G552">IFERROR(_xlfn.LET(
_xlpm.CSVVal,_xlfn.XLOOKUP($A552,CSV!$A:$A,CSV!G:G,""),
_xlpm.MacVal,_xlfn.XLOOKUP($A552,Output_Mac!$A:$A,Output_Mac!F:F,""),
_xlpm.MyAuditVal,_xlfn.XLOOKUP($A552,My_Audit!$A:$A,My_Audit!F:F,""),
_xlfn.IFS(_xlpm.MyAuditVal&lt;&gt;"",_xlpm.MyAuditVal,_xlpm.MacVal&lt;&gt;"",_xlpm.MacVal,_xlpm.CSVVal&lt;&gt;"",PROPER(_xlpm.CSVVal)
)),"")</f>
        <v/>
      </c>
      <c r="H552" s="40" t="str" cm="1">
        <f t="array" ref="H552">IFERROR(_xlfn.LET(
_xlpm.CSVVal,_xlfn.XLOOKUP($A552,CSV!$A:$A,CSV!H:H,""),
_xlpm.MacVal,_xlfn.XLOOKUP($A552,Output_Mac!$A:$A,Output_Mac!H:H,""),
_xlpm.MyAuditVal,_xlfn.XLOOKUP($A552,My_Audit!$A:$A,My_Audit!G:G,""),
_xlfn.IFS(_xlpm.MyAuditVal&lt;&gt;"",_xlpm.MyAuditVal,_xlpm.MacVal&lt;&gt;"",_xlpm.MacVal,_xlpm.CSVVal&lt;&gt;"",_xlpm.CSVVal
)),"")</f>
        <v/>
      </c>
      <c r="I552" s="40" t="str">
        <f>_xlfn.XLOOKUP(A552,Output_Mac!A:A,Output_Mac!I:I,"")</f>
        <v/>
      </c>
      <c r="J552" s="40" t="str" cm="1">
        <f t="array" ref="J552">IFERROR(_xlfn.LET(
_xlpm.CSVVal,_xlfn.XLOOKUP($A552,CSV!$A:$A,CSV!I:I,""),
_xlpm.MacVal,_xlfn.XLOOKUP($A552,Output_Mac!$A:$A,Output_Mac!J:J,""),
_xlpm.MyAuditVal,_xlfn.XLOOKUP($A552,My_Audit!$A:$A,My_Audit!I:I,""),
_xlfn.IFS(_xlpm.MyAuditVal&lt;&gt;"",UPPER(_xlpm.MyAuditVal),_xlpm.MacVal&lt;&gt;"",_xlpm.MacVal,_xlpm.CSVVal&lt;&gt;"",_xlpm.CSVVal
)),"")</f>
        <v/>
      </c>
      <c r="K552" s="40" t="str" cm="1">
        <f t="array" ref="K552">IFERROR(_xlfn.LET(
_xlpm.CSVVal,_xlfn.XLOOKUP($A552,CSV!$A:$A,CSV!K:K,""),
_xlpm.MacVal,_xlfn.XLOOKUP($A552,Output_Mac!$A:$A,Output_Mac!K:K,""),
_xlpm.MyAuditVal,_xlfn.XLOOKUP($A552,My_Audit!$A:$A,My_Audit!J:J,""),
_xlfn.IFS(_xlpm.MyAuditVal&lt;&gt;"",UPPER(_xlpm.MyAuditVal),_xlpm.MacVal&lt;&gt;"",_xlpm.MacVal,_xlpm.CSVVal&lt;&gt;"",_xlpm.CSVVal
)),"")</f>
        <v/>
      </c>
      <c r="L552" s="40" t="str" cm="1">
        <f t="array" ref="L552">IFERROR(_xlfn.LET(
_xlpm.CSVVal,_xlfn.XLOOKUP($A552,CSV!$A:$A,CSV!P:P,""),
_xlpm.MacVal,_xlfn.XLOOKUP($A552,Output_Mac!$A:$A,Output_Mac!L:L,""),
_xlpm.MyAuditVal,_xlfn.XLOOKUP($A552,My_Audit!$A:$A,My_Audit!K:K,""),
_xlfn.IFS(_xlpm.MyAuditVal&lt;&gt;"",UPPER(_xlpm.MyAuditVal),_xlpm.MacVal&lt;&gt;"",_xlpm.MacVal,_xlpm.CSVVal&lt;&gt;"",_xlpm.CSVVal
)),"")</f>
        <v/>
      </c>
      <c r="M552" s="40" t="str" cm="1">
        <f t="array" ref="M552">IFERROR(_xlfn.LET(
_xlpm.CSVVal,_xlfn.XLOOKUP($A552,CSV!$A:$A,CSV!Q:Q,""),
_xlpm.MacVal,_xlfn.XLOOKUP($A552,Output_Mac!$A:$A,Output_Mac!M:M,""),
_xlpm.MyAuditVal,_xlfn.XLOOKUP($A552,My_Audit!$A:$A,My_Audit!L:L,""),
_xlfn.IFS(_xlpm.MyAuditVal&lt;&gt;"",UPPER(_xlpm.MyAuditVal),_xlpm.MacVal&lt;&gt;"",_xlpm.MacVal,_xlpm.CSVVal&lt;&gt;"",_xlpm.CSVVal
)),"")</f>
        <v/>
      </c>
      <c r="N552" s="40"/>
      <c r="O552" s="40" t="str">
        <f>_xlfn.LET(
    _xlpm.CSVVal, _xlfn.XLOOKUP($A552, CSV!$A:$A, CSV!AA:AA, ""),
    _xlpm.MacVal, _xlfn.XLOOKUP($A552, Output_Mac!$A:$A, Output_Mac!S:S, ""),
    _xlpm.MyAuditVal, _xlfn.XLOOKUP($A552, My_Audit!$A:$A, My_Audit!P:P, ""),
    _xlfn.TEXTJOIN(", ", TRUE, _xlpm.MyAuditVal, _xlpm.MacVal, _xlpm.CSVVal)
)</f>
        <v/>
      </c>
      <c r="P552" s="40" t="str" cm="1">
        <f t="array" ref="P552">IFERROR(_xlfn.LET(
_xlpm.CSVVal,_xlfn.XLOOKUP($A552,CSV!$A:$A,CSV!AB:AB,""),
_xlpm.MacVal,_xlfn.XLOOKUP($A552,Output_Mac!$A:$A,Output_Mac!T:T,""),
_xlpm.MyAuditVal,_xlfn.XLOOKUP($A552,My_Audit!$A:$A,My_Audit!Q:Q,""),
_xlfn.IFS(_xlpm.MyAuditVal&lt;&gt;"",UPPER(_xlpm.MyAuditVal),_xlpm.MacVal&lt;&gt;"",_xlpm.MacVal,_xlpm.CSVVal&lt;&gt;"",_xlpm.CSVVal
)),"No")</f>
        <v>No</v>
      </c>
      <c r="Q552" s="40" t="str" cm="1">
        <f t="array" ref="Q552">IFERROR(_xlfn.LET(
_xlpm.CSVVal,_xlfn.XLOOKUP($A552,CSV!$A:$A,CSV!AC:AC,""),
_xlpm.MacVal,_xlfn.XLOOKUP($A552,Output_Mac!$A:$A,Output_Mac!U:U,""),
_xlpm.MyAuditVal,_xlfn.XLOOKUP($A552,My_Audit!$A:$A,My_Audit!R:R,""),
_xlfn.IFS(_xlpm.MyAuditVal&lt;&gt;"",UPPER(_xlpm.MyAuditVal),_xlpm.MacVal&lt;&gt;"",_xlpm.MacVal,_xlpm.CSVVal&lt;&gt;"",_xlpm.CSVVal
)),"")</f>
        <v/>
      </c>
      <c r="R552" s="40"/>
      <c r="S552" s="40"/>
      <c r="T552" s="40"/>
      <c r="U552" s="40"/>
      <c r="V552" s="40"/>
      <c r="W552" s="40"/>
      <c r="X552" s="41" t="str">
        <f>_xlfn.LET(
    _xlpm.MacVal, _xlfn.XLOOKUP($A552, Output_Mac!$A:$A, Output_Mac!AB:AB, ""),
    _xlpm.MyAuditVal, _xlfn.XLOOKUP($A552, My_Audit!$A:$A, My_Audit!N:N, ""),
    _xlfn.TEXTJOIN(", ", TRUE, _xlpm.MyAuditVal, _xlpm.MacVal)
)</f>
        <v/>
      </c>
    </row>
    <row r="553" spans="1:24">
      <c r="A553" s="40" t="str">
        <f>_xlfn.TEXTJOIN("",TRUE,Input!$B$2,ROW(My_Audit!A552))</f>
        <v>X552</v>
      </c>
      <c r="B553" s="40" t="str">
        <f>_xlfn.TEXTJOIN("-",TRUE,"ITD",Input!$A$2,A553)</f>
        <v>ITD-X552</v>
      </c>
      <c r="C553" s="40" t="str" cm="1">
        <f t="array" ref="C553">IFERROR(_xlfn.LET(
_xlpm.CSVVal,_xlfn.XLOOKUP($A553,CSV!$A:$A,CSV!B:B,""),
_xlpm.MacVal,_xlfn.XLOOKUP($A553,Output_Mac!$A:$A,Output_Mac!B:B,""),
_xlpm.MyAuditVal,_xlfn.XLOOKUP($A553,My_Audit!$A:$A,My_Audit!B:B,""),
_xlfn.IFS(_xlpm.MyAuditVal&lt;&gt;"",UPPER(_xlpm.MyAuditVal),_xlpm.MacVal&lt;&gt;"",_xlpm.MacVal,_xlpm.CSVVal&lt;&gt;"",_xlpm.CSVVal
)),"")</f>
        <v/>
      </c>
      <c r="D553" s="40" t="str" cm="1">
        <f t="array" ref="D553">IFERROR(_xlfn.LET(
_xlpm.CSVVal,_xlfn.XLOOKUP($A553,CSV!$A:$A,CSV!D:D,""),
_xlpm.MacVal,_xlfn.XLOOKUP($A553,Output_Mac!$A:$A,Output_Mac!C:C,""),
_xlpm.MyAuditVal,_xlfn.XLOOKUP($A553,My_Audit!$A:$A,My_Audit!C:C,""),
_xlfn.IFS(_xlpm.MyAuditVal&lt;&gt;"",_xlpm.MyAuditVal,_xlpm.MacVal&lt;&gt;"",_xlpm.MacVal,_xlpm.CSVVal&lt;&gt;"",_xlpm.CSVVal
)),"")</f>
        <v/>
      </c>
      <c r="E553" s="40" t="str">
        <f>_xlfn.XLOOKUP(A553,My_Audit!A:A,My_Audit!D:D,"")</f>
        <v/>
      </c>
      <c r="F553" s="40" t="str" cm="1">
        <f t="array" ref="F553">IFERROR(_xlfn.LET(
_xlpm.CSVVal,_xlfn.XLOOKUP($A553,CSV!$A:$A,CSV!F:F,""),
_xlpm.MacVal,_xlfn.XLOOKUP($A553,Output_Mac!$A:$A,Output_Mac!E:E,""),
_xlpm.MyAuditVal,_xlfn.XLOOKUP($A553,My_Audit!$A:$A,My_Audit!E:E,""),
_xlfn.IFS(_xlpm.MyAuditVal&lt;&gt;"",_xlpm.MyAuditVal,_xlpm.MacVal&lt;&gt;"",_xlpm.MacVal,_xlpm.CSVVal&lt;&gt;"",_xlpm.CSVVal
)),"")</f>
        <v/>
      </c>
      <c r="G553" s="40" t="str" cm="1">
        <f t="array" ref="G553">IFERROR(_xlfn.LET(
_xlpm.CSVVal,_xlfn.XLOOKUP($A553,CSV!$A:$A,CSV!G:G,""),
_xlpm.MacVal,_xlfn.XLOOKUP($A553,Output_Mac!$A:$A,Output_Mac!F:F,""),
_xlpm.MyAuditVal,_xlfn.XLOOKUP($A553,My_Audit!$A:$A,My_Audit!F:F,""),
_xlfn.IFS(_xlpm.MyAuditVal&lt;&gt;"",_xlpm.MyAuditVal,_xlpm.MacVal&lt;&gt;"",_xlpm.MacVal,_xlpm.CSVVal&lt;&gt;"",PROPER(_xlpm.CSVVal)
)),"")</f>
        <v/>
      </c>
      <c r="H553" s="40" t="str" cm="1">
        <f t="array" ref="H553">IFERROR(_xlfn.LET(
_xlpm.CSVVal,_xlfn.XLOOKUP($A553,CSV!$A:$A,CSV!H:H,""),
_xlpm.MacVal,_xlfn.XLOOKUP($A553,Output_Mac!$A:$A,Output_Mac!H:H,""),
_xlpm.MyAuditVal,_xlfn.XLOOKUP($A553,My_Audit!$A:$A,My_Audit!G:G,""),
_xlfn.IFS(_xlpm.MyAuditVal&lt;&gt;"",_xlpm.MyAuditVal,_xlpm.MacVal&lt;&gt;"",_xlpm.MacVal,_xlpm.CSVVal&lt;&gt;"",_xlpm.CSVVal
)),"")</f>
        <v/>
      </c>
      <c r="I553" s="40" t="str">
        <f>_xlfn.XLOOKUP(A553,Output_Mac!A:A,Output_Mac!I:I,"")</f>
        <v/>
      </c>
      <c r="J553" s="40" t="str" cm="1">
        <f t="array" ref="J553">IFERROR(_xlfn.LET(
_xlpm.CSVVal,_xlfn.XLOOKUP($A553,CSV!$A:$A,CSV!I:I,""),
_xlpm.MacVal,_xlfn.XLOOKUP($A553,Output_Mac!$A:$A,Output_Mac!J:J,""),
_xlpm.MyAuditVal,_xlfn.XLOOKUP($A553,My_Audit!$A:$A,My_Audit!I:I,""),
_xlfn.IFS(_xlpm.MyAuditVal&lt;&gt;"",UPPER(_xlpm.MyAuditVal),_xlpm.MacVal&lt;&gt;"",_xlpm.MacVal,_xlpm.CSVVal&lt;&gt;"",_xlpm.CSVVal
)),"")</f>
        <v/>
      </c>
      <c r="K553" s="40" t="str" cm="1">
        <f t="array" ref="K553">IFERROR(_xlfn.LET(
_xlpm.CSVVal,_xlfn.XLOOKUP($A553,CSV!$A:$A,CSV!K:K,""),
_xlpm.MacVal,_xlfn.XLOOKUP($A553,Output_Mac!$A:$A,Output_Mac!K:K,""),
_xlpm.MyAuditVal,_xlfn.XLOOKUP($A553,My_Audit!$A:$A,My_Audit!J:J,""),
_xlfn.IFS(_xlpm.MyAuditVal&lt;&gt;"",UPPER(_xlpm.MyAuditVal),_xlpm.MacVal&lt;&gt;"",_xlpm.MacVal,_xlpm.CSVVal&lt;&gt;"",_xlpm.CSVVal
)),"")</f>
        <v/>
      </c>
      <c r="L553" s="40" t="str" cm="1">
        <f t="array" ref="L553">IFERROR(_xlfn.LET(
_xlpm.CSVVal,_xlfn.XLOOKUP($A553,CSV!$A:$A,CSV!P:P,""),
_xlpm.MacVal,_xlfn.XLOOKUP($A553,Output_Mac!$A:$A,Output_Mac!L:L,""),
_xlpm.MyAuditVal,_xlfn.XLOOKUP($A553,My_Audit!$A:$A,My_Audit!K:K,""),
_xlfn.IFS(_xlpm.MyAuditVal&lt;&gt;"",UPPER(_xlpm.MyAuditVal),_xlpm.MacVal&lt;&gt;"",_xlpm.MacVal,_xlpm.CSVVal&lt;&gt;"",_xlpm.CSVVal
)),"")</f>
        <v/>
      </c>
      <c r="M553" s="40" t="str" cm="1">
        <f t="array" ref="M553">IFERROR(_xlfn.LET(
_xlpm.CSVVal,_xlfn.XLOOKUP($A553,CSV!$A:$A,CSV!Q:Q,""),
_xlpm.MacVal,_xlfn.XLOOKUP($A553,Output_Mac!$A:$A,Output_Mac!M:M,""),
_xlpm.MyAuditVal,_xlfn.XLOOKUP($A553,My_Audit!$A:$A,My_Audit!L:L,""),
_xlfn.IFS(_xlpm.MyAuditVal&lt;&gt;"",UPPER(_xlpm.MyAuditVal),_xlpm.MacVal&lt;&gt;"",_xlpm.MacVal,_xlpm.CSVVal&lt;&gt;"",_xlpm.CSVVal
)),"")</f>
        <v/>
      </c>
      <c r="N553" s="40"/>
      <c r="O553" s="40" t="str">
        <f>_xlfn.LET(
    _xlpm.CSVVal, _xlfn.XLOOKUP($A553, CSV!$A:$A, CSV!AA:AA, ""),
    _xlpm.MacVal, _xlfn.XLOOKUP($A553, Output_Mac!$A:$A, Output_Mac!S:S, ""),
    _xlpm.MyAuditVal, _xlfn.XLOOKUP($A553, My_Audit!$A:$A, My_Audit!P:P, ""),
    _xlfn.TEXTJOIN(", ", TRUE, _xlpm.MyAuditVal, _xlpm.MacVal, _xlpm.CSVVal)
)</f>
        <v/>
      </c>
      <c r="P553" s="40" t="str" cm="1">
        <f t="array" ref="P553">IFERROR(_xlfn.LET(
_xlpm.CSVVal,_xlfn.XLOOKUP($A553,CSV!$A:$A,CSV!AB:AB,""),
_xlpm.MacVal,_xlfn.XLOOKUP($A553,Output_Mac!$A:$A,Output_Mac!T:T,""),
_xlpm.MyAuditVal,_xlfn.XLOOKUP($A553,My_Audit!$A:$A,My_Audit!Q:Q,""),
_xlfn.IFS(_xlpm.MyAuditVal&lt;&gt;"",UPPER(_xlpm.MyAuditVal),_xlpm.MacVal&lt;&gt;"",_xlpm.MacVal,_xlpm.CSVVal&lt;&gt;"",_xlpm.CSVVal
)),"No")</f>
        <v>No</v>
      </c>
      <c r="Q553" s="40" t="str" cm="1">
        <f t="array" ref="Q553">IFERROR(_xlfn.LET(
_xlpm.CSVVal,_xlfn.XLOOKUP($A553,CSV!$A:$A,CSV!AC:AC,""),
_xlpm.MacVal,_xlfn.XLOOKUP($A553,Output_Mac!$A:$A,Output_Mac!U:U,""),
_xlpm.MyAuditVal,_xlfn.XLOOKUP($A553,My_Audit!$A:$A,My_Audit!R:R,""),
_xlfn.IFS(_xlpm.MyAuditVal&lt;&gt;"",UPPER(_xlpm.MyAuditVal),_xlpm.MacVal&lt;&gt;"",_xlpm.MacVal,_xlpm.CSVVal&lt;&gt;"",_xlpm.CSVVal
)),"")</f>
        <v/>
      </c>
      <c r="R553" s="40"/>
      <c r="S553" s="40"/>
      <c r="T553" s="40"/>
      <c r="U553" s="40"/>
      <c r="V553" s="40"/>
      <c r="W553" s="40"/>
      <c r="X553" s="41" t="str">
        <f>_xlfn.LET(
    _xlpm.MacVal, _xlfn.XLOOKUP($A553, Output_Mac!$A:$A, Output_Mac!AB:AB, ""),
    _xlpm.MyAuditVal, _xlfn.XLOOKUP($A553, My_Audit!$A:$A, My_Audit!N:N, ""),
    _xlfn.TEXTJOIN(", ", TRUE, _xlpm.MyAuditVal, _xlpm.MacVal)
)</f>
        <v/>
      </c>
    </row>
    <row r="554" spans="1:24">
      <c r="A554" s="40" t="str">
        <f>_xlfn.TEXTJOIN("",TRUE,Input!$B$2,ROW(My_Audit!A553))</f>
        <v>X553</v>
      </c>
      <c r="B554" s="40" t="str">
        <f>_xlfn.TEXTJOIN("-",TRUE,"ITD",Input!$A$2,A554)</f>
        <v>ITD-X553</v>
      </c>
      <c r="C554" s="40" t="str" cm="1">
        <f t="array" ref="C554">IFERROR(_xlfn.LET(
_xlpm.CSVVal,_xlfn.XLOOKUP($A554,CSV!$A:$A,CSV!B:B,""),
_xlpm.MacVal,_xlfn.XLOOKUP($A554,Output_Mac!$A:$A,Output_Mac!B:B,""),
_xlpm.MyAuditVal,_xlfn.XLOOKUP($A554,My_Audit!$A:$A,My_Audit!B:B,""),
_xlfn.IFS(_xlpm.MyAuditVal&lt;&gt;"",UPPER(_xlpm.MyAuditVal),_xlpm.MacVal&lt;&gt;"",_xlpm.MacVal,_xlpm.CSVVal&lt;&gt;"",_xlpm.CSVVal
)),"")</f>
        <v/>
      </c>
      <c r="D554" s="40" t="str" cm="1">
        <f t="array" ref="D554">IFERROR(_xlfn.LET(
_xlpm.CSVVal,_xlfn.XLOOKUP($A554,CSV!$A:$A,CSV!D:D,""),
_xlpm.MacVal,_xlfn.XLOOKUP($A554,Output_Mac!$A:$A,Output_Mac!C:C,""),
_xlpm.MyAuditVal,_xlfn.XLOOKUP($A554,My_Audit!$A:$A,My_Audit!C:C,""),
_xlfn.IFS(_xlpm.MyAuditVal&lt;&gt;"",_xlpm.MyAuditVal,_xlpm.MacVal&lt;&gt;"",_xlpm.MacVal,_xlpm.CSVVal&lt;&gt;"",_xlpm.CSVVal
)),"")</f>
        <v/>
      </c>
      <c r="E554" s="40" t="str">
        <f>_xlfn.XLOOKUP(A554,My_Audit!A:A,My_Audit!D:D,"")</f>
        <v/>
      </c>
      <c r="F554" s="40" t="str" cm="1">
        <f t="array" ref="F554">IFERROR(_xlfn.LET(
_xlpm.CSVVal,_xlfn.XLOOKUP($A554,CSV!$A:$A,CSV!F:F,""),
_xlpm.MacVal,_xlfn.XLOOKUP($A554,Output_Mac!$A:$A,Output_Mac!E:E,""),
_xlpm.MyAuditVal,_xlfn.XLOOKUP($A554,My_Audit!$A:$A,My_Audit!E:E,""),
_xlfn.IFS(_xlpm.MyAuditVal&lt;&gt;"",_xlpm.MyAuditVal,_xlpm.MacVal&lt;&gt;"",_xlpm.MacVal,_xlpm.CSVVal&lt;&gt;"",_xlpm.CSVVal
)),"")</f>
        <v/>
      </c>
      <c r="G554" s="40" t="str" cm="1">
        <f t="array" ref="G554">IFERROR(_xlfn.LET(
_xlpm.CSVVal,_xlfn.XLOOKUP($A554,CSV!$A:$A,CSV!G:G,""),
_xlpm.MacVal,_xlfn.XLOOKUP($A554,Output_Mac!$A:$A,Output_Mac!F:F,""),
_xlpm.MyAuditVal,_xlfn.XLOOKUP($A554,My_Audit!$A:$A,My_Audit!F:F,""),
_xlfn.IFS(_xlpm.MyAuditVal&lt;&gt;"",_xlpm.MyAuditVal,_xlpm.MacVal&lt;&gt;"",_xlpm.MacVal,_xlpm.CSVVal&lt;&gt;"",PROPER(_xlpm.CSVVal)
)),"")</f>
        <v/>
      </c>
      <c r="H554" s="40" t="str" cm="1">
        <f t="array" ref="H554">IFERROR(_xlfn.LET(
_xlpm.CSVVal,_xlfn.XLOOKUP($A554,CSV!$A:$A,CSV!H:H,""),
_xlpm.MacVal,_xlfn.XLOOKUP($A554,Output_Mac!$A:$A,Output_Mac!H:H,""),
_xlpm.MyAuditVal,_xlfn.XLOOKUP($A554,My_Audit!$A:$A,My_Audit!G:G,""),
_xlfn.IFS(_xlpm.MyAuditVal&lt;&gt;"",_xlpm.MyAuditVal,_xlpm.MacVal&lt;&gt;"",_xlpm.MacVal,_xlpm.CSVVal&lt;&gt;"",_xlpm.CSVVal
)),"")</f>
        <v/>
      </c>
      <c r="I554" s="40" t="str">
        <f>_xlfn.XLOOKUP(A554,Output_Mac!A:A,Output_Mac!I:I,"")</f>
        <v/>
      </c>
      <c r="J554" s="40" t="str" cm="1">
        <f t="array" ref="J554">IFERROR(_xlfn.LET(
_xlpm.CSVVal,_xlfn.XLOOKUP($A554,CSV!$A:$A,CSV!I:I,""),
_xlpm.MacVal,_xlfn.XLOOKUP($A554,Output_Mac!$A:$A,Output_Mac!J:J,""),
_xlpm.MyAuditVal,_xlfn.XLOOKUP($A554,My_Audit!$A:$A,My_Audit!I:I,""),
_xlfn.IFS(_xlpm.MyAuditVal&lt;&gt;"",UPPER(_xlpm.MyAuditVal),_xlpm.MacVal&lt;&gt;"",_xlpm.MacVal,_xlpm.CSVVal&lt;&gt;"",_xlpm.CSVVal
)),"")</f>
        <v/>
      </c>
      <c r="K554" s="40" t="str" cm="1">
        <f t="array" ref="K554">IFERROR(_xlfn.LET(
_xlpm.CSVVal,_xlfn.XLOOKUP($A554,CSV!$A:$A,CSV!K:K,""),
_xlpm.MacVal,_xlfn.XLOOKUP($A554,Output_Mac!$A:$A,Output_Mac!K:K,""),
_xlpm.MyAuditVal,_xlfn.XLOOKUP($A554,My_Audit!$A:$A,My_Audit!J:J,""),
_xlfn.IFS(_xlpm.MyAuditVal&lt;&gt;"",UPPER(_xlpm.MyAuditVal),_xlpm.MacVal&lt;&gt;"",_xlpm.MacVal,_xlpm.CSVVal&lt;&gt;"",_xlpm.CSVVal
)),"")</f>
        <v/>
      </c>
      <c r="L554" s="40" t="str" cm="1">
        <f t="array" ref="L554">IFERROR(_xlfn.LET(
_xlpm.CSVVal,_xlfn.XLOOKUP($A554,CSV!$A:$A,CSV!P:P,""),
_xlpm.MacVal,_xlfn.XLOOKUP($A554,Output_Mac!$A:$A,Output_Mac!L:L,""),
_xlpm.MyAuditVal,_xlfn.XLOOKUP($A554,My_Audit!$A:$A,My_Audit!K:K,""),
_xlfn.IFS(_xlpm.MyAuditVal&lt;&gt;"",UPPER(_xlpm.MyAuditVal),_xlpm.MacVal&lt;&gt;"",_xlpm.MacVal,_xlpm.CSVVal&lt;&gt;"",_xlpm.CSVVal
)),"")</f>
        <v/>
      </c>
      <c r="M554" s="40" t="str" cm="1">
        <f t="array" ref="M554">IFERROR(_xlfn.LET(
_xlpm.CSVVal,_xlfn.XLOOKUP($A554,CSV!$A:$A,CSV!Q:Q,""),
_xlpm.MacVal,_xlfn.XLOOKUP($A554,Output_Mac!$A:$A,Output_Mac!M:M,""),
_xlpm.MyAuditVal,_xlfn.XLOOKUP($A554,My_Audit!$A:$A,My_Audit!L:L,""),
_xlfn.IFS(_xlpm.MyAuditVal&lt;&gt;"",UPPER(_xlpm.MyAuditVal),_xlpm.MacVal&lt;&gt;"",_xlpm.MacVal,_xlpm.CSVVal&lt;&gt;"",_xlpm.CSVVal
)),"")</f>
        <v/>
      </c>
      <c r="N554" s="40"/>
      <c r="O554" s="40" t="str">
        <f>_xlfn.LET(
    _xlpm.CSVVal, _xlfn.XLOOKUP($A554, CSV!$A:$A, CSV!AA:AA, ""),
    _xlpm.MacVal, _xlfn.XLOOKUP($A554, Output_Mac!$A:$A, Output_Mac!S:S, ""),
    _xlpm.MyAuditVal, _xlfn.XLOOKUP($A554, My_Audit!$A:$A, My_Audit!P:P, ""),
    _xlfn.TEXTJOIN(", ", TRUE, _xlpm.MyAuditVal, _xlpm.MacVal, _xlpm.CSVVal)
)</f>
        <v/>
      </c>
      <c r="P554" s="40" t="str" cm="1">
        <f t="array" ref="P554">IFERROR(_xlfn.LET(
_xlpm.CSVVal,_xlfn.XLOOKUP($A554,CSV!$A:$A,CSV!AB:AB,""),
_xlpm.MacVal,_xlfn.XLOOKUP($A554,Output_Mac!$A:$A,Output_Mac!T:T,""),
_xlpm.MyAuditVal,_xlfn.XLOOKUP($A554,My_Audit!$A:$A,My_Audit!Q:Q,""),
_xlfn.IFS(_xlpm.MyAuditVal&lt;&gt;"",UPPER(_xlpm.MyAuditVal),_xlpm.MacVal&lt;&gt;"",_xlpm.MacVal,_xlpm.CSVVal&lt;&gt;"",_xlpm.CSVVal
)),"No")</f>
        <v>No</v>
      </c>
      <c r="Q554" s="40" t="str" cm="1">
        <f t="array" ref="Q554">IFERROR(_xlfn.LET(
_xlpm.CSVVal,_xlfn.XLOOKUP($A554,CSV!$A:$A,CSV!AC:AC,""),
_xlpm.MacVal,_xlfn.XLOOKUP($A554,Output_Mac!$A:$A,Output_Mac!U:U,""),
_xlpm.MyAuditVal,_xlfn.XLOOKUP($A554,My_Audit!$A:$A,My_Audit!R:R,""),
_xlfn.IFS(_xlpm.MyAuditVal&lt;&gt;"",UPPER(_xlpm.MyAuditVal),_xlpm.MacVal&lt;&gt;"",_xlpm.MacVal,_xlpm.CSVVal&lt;&gt;"",_xlpm.CSVVal
)),"")</f>
        <v/>
      </c>
      <c r="R554" s="40"/>
      <c r="S554" s="40"/>
      <c r="T554" s="40"/>
      <c r="U554" s="40"/>
      <c r="V554" s="40"/>
      <c r="W554" s="40"/>
      <c r="X554" s="41" t="str">
        <f>_xlfn.LET(
    _xlpm.MacVal, _xlfn.XLOOKUP($A554, Output_Mac!$A:$A, Output_Mac!AB:AB, ""),
    _xlpm.MyAuditVal, _xlfn.XLOOKUP($A554, My_Audit!$A:$A, My_Audit!N:N, ""),
    _xlfn.TEXTJOIN(", ", TRUE, _xlpm.MyAuditVal, _xlpm.MacVal)
)</f>
        <v/>
      </c>
    </row>
    <row r="555" spans="1:24">
      <c r="A555" s="40" t="str">
        <f>_xlfn.TEXTJOIN("",TRUE,Input!$B$2,ROW(My_Audit!A554))</f>
        <v>X554</v>
      </c>
      <c r="B555" s="40" t="str">
        <f>_xlfn.TEXTJOIN("-",TRUE,"ITD",Input!$A$2,A555)</f>
        <v>ITD-X554</v>
      </c>
      <c r="C555" s="40" t="str" cm="1">
        <f t="array" ref="C555">IFERROR(_xlfn.LET(
_xlpm.CSVVal,_xlfn.XLOOKUP($A555,CSV!$A:$A,CSV!B:B,""),
_xlpm.MacVal,_xlfn.XLOOKUP($A555,Output_Mac!$A:$A,Output_Mac!B:B,""),
_xlpm.MyAuditVal,_xlfn.XLOOKUP($A555,My_Audit!$A:$A,My_Audit!B:B,""),
_xlfn.IFS(_xlpm.MyAuditVal&lt;&gt;"",UPPER(_xlpm.MyAuditVal),_xlpm.MacVal&lt;&gt;"",_xlpm.MacVal,_xlpm.CSVVal&lt;&gt;"",_xlpm.CSVVal
)),"")</f>
        <v/>
      </c>
      <c r="D555" s="40" t="str" cm="1">
        <f t="array" ref="D555">IFERROR(_xlfn.LET(
_xlpm.CSVVal,_xlfn.XLOOKUP($A555,CSV!$A:$A,CSV!D:D,""),
_xlpm.MacVal,_xlfn.XLOOKUP($A555,Output_Mac!$A:$A,Output_Mac!C:C,""),
_xlpm.MyAuditVal,_xlfn.XLOOKUP($A555,My_Audit!$A:$A,My_Audit!C:C,""),
_xlfn.IFS(_xlpm.MyAuditVal&lt;&gt;"",_xlpm.MyAuditVal,_xlpm.MacVal&lt;&gt;"",_xlpm.MacVal,_xlpm.CSVVal&lt;&gt;"",_xlpm.CSVVal
)),"")</f>
        <v/>
      </c>
      <c r="E555" s="40" t="str">
        <f>_xlfn.XLOOKUP(A555,My_Audit!A:A,My_Audit!D:D,"")</f>
        <v/>
      </c>
      <c r="F555" s="40" t="str" cm="1">
        <f t="array" ref="F555">IFERROR(_xlfn.LET(
_xlpm.CSVVal,_xlfn.XLOOKUP($A555,CSV!$A:$A,CSV!F:F,""),
_xlpm.MacVal,_xlfn.XLOOKUP($A555,Output_Mac!$A:$A,Output_Mac!E:E,""),
_xlpm.MyAuditVal,_xlfn.XLOOKUP($A555,My_Audit!$A:$A,My_Audit!E:E,""),
_xlfn.IFS(_xlpm.MyAuditVal&lt;&gt;"",_xlpm.MyAuditVal,_xlpm.MacVal&lt;&gt;"",_xlpm.MacVal,_xlpm.CSVVal&lt;&gt;"",_xlpm.CSVVal
)),"")</f>
        <v/>
      </c>
      <c r="G555" s="40" t="str" cm="1">
        <f t="array" ref="G555">IFERROR(_xlfn.LET(
_xlpm.CSVVal,_xlfn.XLOOKUP($A555,CSV!$A:$A,CSV!G:G,""),
_xlpm.MacVal,_xlfn.XLOOKUP($A555,Output_Mac!$A:$A,Output_Mac!F:F,""),
_xlpm.MyAuditVal,_xlfn.XLOOKUP($A555,My_Audit!$A:$A,My_Audit!F:F,""),
_xlfn.IFS(_xlpm.MyAuditVal&lt;&gt;"",_xlpm.MyAuditVal,_xlpm.MacVal&lt;&gt;"",_xlpm.MacVal,_xlpm.CSVVal&lt;&gt;"",PROPER(_xlpm.CSVVal)
)),"")</f>
        <v/>
      </c>
      <c r="H555" s="40" t="str" cm="1">
        <f t="array" ref="H555">IFERROR(_xlfn.LET(
_xlpm.CSVVal,_xlfn.XLOOKUP($A555,CSV!$A:$A,CSV!H:H,""),
_xlpm.MacVal,_xlfn.XLOOKUP($A555,Output_Mac!$A:$A,Output_Mac!H:H,""),
_xlpm.MyAuditVal,_xlfn.XLOOKUP($A555,My_Audit!$A:$A,My_Audit!G:G,""),
_xlfn.IFS(_xlpm.MyAuditVal&lt;&gt;"",_xlpm.MyAuditVal,_xlpm.MacVal&lt;&gt;"",_xlpm.MacVal,_xlpm.CSVVal&lt;&gt;"",_xlpm.CSVVal
)),"")</f>
        <v/>
      </c>
      <c r="I555" s="40" t="str">
        <f>_xlfn.XLOOKUP(A555,Output_Mac!A:A,Output_Mac!I:I,"")</f>
        <v/>
      </c>
      <c r="J555" s="40" t="str" cm="1">
        <f t="array" ref="J555">IFERROR(_xlfn.LET(
_xlpm.CSVVal,_xlfn.XLOOKUP($A555,CSV!$A:$A,CSV!I:I,""),
_xlpm.MacVal,_xlfn.XLOOKUP($A555,Output_Mac!$A:$A,Output_Mac!J:J,""),
_xlpm.MyAuditVal,_xlfn.XLOOKUP($A555,My_Audit!$A:$A,My_Audit!I:I,""),
_xlfn.IFS(_xlpm.MyAuditVal&lt;&gt;"",UPPER(_xlpm.MyAuditVal),_xlpm.MacVal&lt;&gt;"",_xlpm.MacVal,_xlpm.CSVVal&lt;&gt;"",_xlpm.CSVVal
)),"")</f>
        <v/>
      </c>
      <c r="K555" s="40" t="str" cm="1">
        <f t="array" ref="K555">IFERROR(_xlfn.LET(
_xlpm.CSVVal,_xlfn.XLOOKUP($A555,CSV!$A:$A,CSV!K:K,""),
_xlpm.MacVal,_xlfn.XLOOKUP($A555,Output_Mac!$A:$A,Output_Mac!K:K,""),
_xlpm.MyAuditVal,_xlfn.XLOOKUP($A555,My_Audit!$A:$A,My_Audit!J:J,""),
_xlfn.IFS(_xlpm.MyAuditVal&lt;&gt;"",UPPER(_xlpm.MyAuditVal),_xlpm.MacVal&lt;&gt;"",_xlpm.MacVal,_xlpm.CSVVal&lt;&gt;"",_xlpm.CSVVal
)),"")</f>
        <v/>
      </c>
      <c r="L555" s="40" t="str" cm="1">
        <f t="array" ref="L555">IFERROR(_xlfn.LET(
_xlpm.CSVVal,_xlfn.XLOOKUP($A555,CSV!$A:$A,CSV!P:P,""),
_xlpm.MacVal,_xlfn.XLOOKUP($A555,Output_Mac!$A:$A,Output_Mac!L:L,""),
_xlpm.MyAuditVal,_xlfn.XLOOKUP($A555,My_Audit!$A:$A,My_Audit!K:K,""),
_xlfn.IFS(_xlpm.MyAuditVal&lt;&gt;"",UPPER(_xlpm.MyAuditVal),_xlpm.MacVal&lt;&gt;"",_xlpm.MacVal,_xlpm.CSVVal&lt;&gt;"",_xlpm.CSVVal
)),"")</f>
        <v/>
      </c>
      <c r="M555" s="40" t="str" cm="1">
        <f t="array" ref="M555">IFERROR(_xlfn.LET(
_xlpm.CSVVal,_xlfn.XLOOKUP($A555,CSV!$A:$A,CSV!Q:Q,""),
_xlpm.MacVal,_xlfn.XLOOKUP($A555,Output_Mac!$A:$A,Output_Mac!M:M,""),
_xlpm.MyAuditVal,_xlfn.XLOOKUP($A555,My_Audit!$A:$A,My_Audit!L:L,""),
_xlfn.IFS(_xlpm.MyAuditVal&lt;&gt;"",UPPER(_xlpm.MyAuditVal),_xlpm.MacVal&lt;&gt;"",_xlpm.MacVal,_xlpm.CSVVal&lt;&gt;"",_xlpm.CSVVal
)),"")</f>
        <v/>
      </c>
      <c r="N555" s="40"/>
      <c r="O555" s="40" t="str">
        <f>_xlfn.LET(
    _xlpm.CSVVal, _xlfn.XLOOKUP($A555, CSV!$A:$A, CSV!AA:AA, ""),
    _xlpm.MacVal, _xlfn.XLOOKUP($A555, Output_Mac!$A:$A, Output_Mac!S:S, ""),
    _xlpm.MyAuditVal, _xlfn.XLOOKUP($A555, My_Audit!$A:$A, My_Audit!P:P, ""),
    _xlfn.TEXTJOIN(", ", TRUE, _xlpm.MyAuditVal, _xlpm.MacVal, _xlpm.CSVVal)
)</f>
        <v/>
      </c>
      <c r="P555" s="40" t="str" cm="1">
        <f t="array" ref="P555">IFERROR(_xlfn.LET(
_xlpm.CSVVal,_xlfn.XLOOKUP($A555,CSV!$A:$A,CSV!AB:AB,""),
_xlpm.MacVal,_xlfn.XLOOKUP($A555,Output_Mac!$A:$A,Output_Mac!T:T,""),
_xlpm.MyAuditVal,_xlfn.XLOOKUP($A555,My_Audit!$A:$A,My_Audit!Q:Q,""),
_xlfn.IFS(_xlpm.MyAuditVal&lt;&gt;"",UPPER(_xlpm.MyAuditVal),_xlpm.MacVal&lt;&gt;"",_xlpm.MacVal,_xlpm.CSVVal&lt;&gt;"",_xlpm.CSVVal
)),"No")</f>
        <v>No</v>
      </c>
      <c r="Q555" s="40" t="str" cm="1">
        <f t="array" ref="Q555">IFERROR(_xlfn.LET(
_xlpm.CSVVal,_xlfn.XLOOKUP($A555,CSV!$A:$A,CSV!AC:AC,""),
_xlpm.MacVal,_xlfn.XLOOKUP($A555,Output_Mac!$A:$A,Output_Mac!U:U,""),
_xlpm.MyAuditVal,_xlfn.XLOOKUP($A555,My_Audit!$A:$A,My_Audit!R:R,""),
_xlfn.IFS(_xlpm.MyAuditVal&lt;&gt;"",UPPER(_xlpm.MyAuditVal),_xlpm.MacVal&lt;&gt;"",_xlpm.MacVal,_xlpm.CSVVal&lt;&gt;"",_xlpm.CSVVal
)),"")</f>
        <v/>
      </c>
      <c r="R555" s="40"/>
      <c r="S555" s="40"/>
      <c r="T555" s="40"/>
      <c r="U555" s="40"/>
      <c r="V555" s="40"/>
      <c r="W555" s="40"/>
      <c r="X555" s="41" t="str">
        <f>_xlfn.LET(
    _xlpm.MacVal, _xlfn.XLOOKUP($A555, Output_Mac!$A:$A, Output_Mac!AB:AB, ""),
    _xlpm.MyAuditVal, _xlfn.XLOOKUP($A555, My_Audit!$A:$A, My_Audit!N:N, ""),
    _xlfn.TEXTJOIN(", ", TRUE, _xlpm.MyAuditVal, _xlpm.MacVal)
)</f>
        <v/>
      </c>
    </row>
    <row r="556" spans="1:24">
      <c r="A556" s="40" t="str">
        <f>_xlfn.TEXTJOIN("",TRUE,Input!$B$2,ROW(My_Audit!A555))</f>
        <v>X555</v>
      </c>
      <c r="B556" s="40" t="str">
        <f>_xlfn.TEXTJOIN("-",TRUE,"ITD",Input!$A$2,A556)</f>
        <v>ITD-X555</v>
      </c>
      <c r="C556" s="40" t="str" cm="1">
        <f t="array" ref="C556">IFERROR(_xlfn.LET(
_xlpm.CSVVal,_xlfn.XLOOKUP($A556,CSV!$A:$A,CSV!B:B,""),
_xlpm.MacVal,_xlfn.XLOOKUP($A556,Output_Mac!$A:$A,Output_Mac!B:B,""),
_xlpm.MyAuditVal,_xlfn.XLOOKUP($A556,My_Audit!$A:$A,My_Audit!B:B,""),
_xlfn.IFS(_xlpm.MyAuditVal&lt;&gt;"",UPPER(_xlpm.MyAuditVal),_xlpm.MacVal&lt;&gt;"",_xlpm.MacVal,_xlpm.CSVVal&lt;&gt;"",_xlpm.CSVVal
)),"")</f>
        <v/>
      </c>
      <c r="D556" s="40" t="str" cm="1">
        <f t="array" ref="D556">IFERROR(_xlfn.LET(
_xlpm.CSVVal,_xlfn.XLOOKUP($A556,CSV!$A:$A,CSV!D:D,""),
_xlpm.MacVal,_xlfn.XLOOKUP($A556,Output_Mac!$A:$A,Output_Mac!C:C,""),
_xlpm.MyAuditVal,_xlfn.XLOOKUP($A556,My_Audit!$A:$A,My_Audit!C:C,""),
_xlfn.IFS(_xlpm.MyAuditVal&lt;&gt;"",_xlpm.MyAuditVal,_xlpm.MacVal&lt;&gt;"",_xlpm.MacVal,_xlpm.CSVVal&lt;&gt;"",_xlpm.CSVVal
)),"")</f>
        <v/>
      </c>
      <c r="E556" s="40" t="str">
        <f>_xlfn.XLOOKUP(A556,My_Audit!A:A,My_Audit!D:D,"")</f>
        <v/>
      </c>
      <c r="F556" s="40" t="str" cm="1">
        <f t="array" ref="F556">IFERROR(_xlfn.LET(
_xlpm.CSVVal,_xlfn.XLOOKUP($A556,CSV!$A:$A,CSV!F:F,""),
_xlpm.MacVal,_xlfn.XLOOKUP($A556,Output_Mac!$A:$A,Output_Mac!E:E,""),
_xlpm.MyAuditVal,_xlfn.XLOOKUP($A556,My_Audit!$A:$A,My_Audit!E:E,""),
_xlfn.IFS(_xlpm.MyAuditVal&lt;&gt;"",_xlpm.MyAuditVal,_xlpm.MacVal&lt;&gt;"",_xlpm.MacVal,_xlpm.CSVVal&lt;&gt;"",_xlpm.CSVVal
)),"")</f>
        <v/>
      </c>
      <c r="G556" s="40" t="str" cm="1">
        <f t="array" ref="G556">IFERROR(_xlfn.LET(
_xlpm.CSVVal,_xlfn.XLOOKUP($A556,CSV!$A:$A,CSV!G:G,""),
_xlpm.MacVal,_xlfn.XLOOKUP($A556,Output_Mac!$A:$A,Output_Mac!F:F,""),
_xlpm.MyAuditVal,_xlfn.XLOOKUP($A556,My_Audit!$A:$A,My_Audit!F:F,""),
_xlfn.IFS(_xlpm.MyAuditVal&lt;&gt;"",_xlpm.MyAuditVal,_xlpm.MacVal&lt;&gt;"",_xlpm.MacVal,_xlpm.CSVVal&lt;&gt;"",PROPER(_xlpm.CSVVal)
)),"")</f>
        <v/>
      </c>
      <c r="H556" s="40" t="str" cm="1">
        <f t="array" ref="H556">IFERROR(_xlfn.LET(
_xlpm.CSVVal,_xlfn.XLOOKUP($A556,CSV!$A:$A,CSV!H:H,""),
_xlpm.MacVal,_xlfn.XLOOKUP($A556,Output_Mac!$A:$A,Output_Mac!H:H,""),
_xlpm.MyAuditVal,_xlfn.XLOOKUP($A556,My_Audit!$A:$A,My_Audit!G:G,""),
_xlfn.IFS(_xlpm.MyAuditVal&lt;&gt;"",_xlpm.MyAuditVal,_xlpm.MacVal&lt;&gt;"",_xlpm.MacVal,_xlpm.CSVVal&lt;&gt;"",_xlpm.CSVVal
)),"")</f>
        <v/>
      </c>
      <c r="I556" s="40" t="str">
        <f>_xlfn.XLOOKUP(A556,Output_Mac!A:A,Output_Mac!I:I,"")</f>
        <v/>
      </c>
      <c r="J556" s="40" t="str" cm="1">
        <f t="array" ref="J556">IFERROR(_xlfn.LET(
_xlpm.CSVVal,_xlfn.XLOOKUP($A556,CSV!$A:$A,CSV!I:I,""),
_xlpm.MacVal,_xlfn.XLOOKUP($A556,Output_Mac!$A:$A,Output_Mac!J:J,""),
_xlpm.MyAuditVal,_xlfn.XLOOKUP($A556,My_Audit!$A:$A,My_Audit!I:I,""),
_xlfn.IFS(_xlpm.MyAuditVal&lt;&gt;"",UPPER(_xlpm.MyAuditVal),_xlpm.MacVal&lt;&gt;"",_xlpm.MacVal,_xlpm.CSVVal&lt;&gt;"",_xlpm.CSVVal
)),"")</f>
        <v/>
      </c>
      <c r="K556" s="40" t="str" cm="1">
        <f t="array" ref="K556">IFERROR(_xlfn.LET(
_xlpm.CSVVal,_xlfn.XLOOKUP($A556,CSV!$A:$A,CSV!K:K,""),
_xlpm.MacVal,_xlfn.XLOOKUP($A556,Output_Mac!$A:$A,Output_Mac!K:K,""),
_xlpm.MyAuditVal,_xlfn.XLOOKUP($A556,My_Audit!$A:$A,My_Audit!J:J,""),
_xlfn.IFS(_xlpm.MyAuditVal&lt;&gt;"",UPPER(_xlpm.MyAuditVal),_xlpm.MacVal&lt;&gt;"",_xlpm.MacVal,_xlpm.CSVVal&lt;&gt;"",_xlpm.CSVVal
)),"")</f>
        <v/>
      </c>
      <c r="L556" s="40" t="str" cm="1">
        <f t="array" ref="L556">IFERROR(_xlfn.LET(
_xlpm.CSVVal,_xlfn.XLOOKUP($A556,CSV!$A:$A,CSV!P:P,""),
_xlpm.MacVal,_xlfn.XLOOKUP($A556,Output_Mac!$A:$A,Output_Mac!L:L,""),
_xlpm.MyAuditVal,_xlfn.XLOOKUP($A556,My_Audit!$A:$A,My_Audit!K:K,""),
_xlfn.IFS(_xlpm.MyAuditVal&lt;&gt;"",UPPER(_xlpm.MyAuditVal),_xlpm.MacVal&lt;&gt;"",_xlpm.MacVal,_xlpm.CSVVal&lt;&gt;"",_xlpm.CSVVal
)),"")</f>
        <v/>
      </c>
      <c r="M556" s="40" t="str" cm="1">
        <f t="array" ref="M556">IFERROR(_xlfn.LET(
_xlpm.CSVVal,_xlfn.XLOOKUP($A556,CSV!$A:$A,CSV!Q:Q,""),
_xlpm.MacVal,_xlfn.XLOOKUP($A556,Output_Mac!$A:$A,Output_Mac!M:M,""),
_xlpm.MyAuditVal,_xlfn.XLOOKUP($A556,My_Audit!$A:$A,My_Audit!L:L,""),
_xlfn.IFS(_xlpm.MyAuditVal&lt;&gt;"",UPPER(_xlpm.MyAuditVal),_xlpm.MacVal&lt;&gt;"",_xlpm.MacVal,_xlpm.CSVVal&lt;&gt;"",_xlpm.CSVVal
)),"")</f>
        <v/>
      </c>
      <c r="N556" s="40"/>
      <c r="O556" s="40" t="str">
        <f>_xlfn.LET(
    _xlpm.CSVVal, _xlfn.XLOOKUP($A556, CSV!$A:$A, CSV!AA:AA, ""),
    _xlpm.MacVal, _xlfn.XLOOKUP($A556, Output_Mac!$A:$A, Output_Mac!S:S, ""),
    _xlpm.MyAuditVal, _xlfn.XLOOKUP($A556, My_Audit!$A:$A, My_Audit!P:P, ""),
    _xlfn.TEXTJOIN(", ", TRUE, _xlpm.MyAuditVal, _xlpm.MacVal, _xlpm.CSVVal)
)</f>
        <v/>
      </c>
      <c r="P556" s="40" t="str" cm="1">
        <f t="array" ref="P556">IFERROR(_xlfn.LET(
_xlpm.CSVVal,_xlfn.XLOOKUP($A556,CSV!$A:$A,CSV!AB:AB,""),
_xlpm.MacVal,_xlfn.XLOOKUP($A556,Output_Mac!$A:$A,Output_Mac!T:T,""),
_xlpm.MyAuditVal,_xlfn.XLOOKUP($A556,My_Audit!$A:$A,My_Audit!Q:Q,""),
_xlfn.IFS(_xlpm.MyAuditVal&lt;&gt;"",UPPER(_xlpm.MyAuditVal),_xlpm.MacVal&lt;&gt;"",_xlpm.MacVal,_xlpm.CSVVal&lt;&gt;"",_xlpm.CSVVal
)),"No")</f>
        <v>No</v>
      </c>
      <c r="Q556" s="40" t="str" cm="1">
        <f t="array" ref="Q556">IFERROR(_xlfn.LET(
_xlpm.CSVVal,_xlfn.XLOOKUP($A556,CSV!$A:$A,CSV!AC:AC,""),
_xlpm.MacVal,_xlfn.XLOOKUP($A556,Output_Mac!$A:$A,Output_Mac!U:U,""),
_xlpm.MyAuditVal,_xlfn.XLOOKUP($A556,My_Audit!$A:$A,My_Audit!R:R,""),
_xlfn.IFS(_xlpm.MyAuditVal&lt;&gt;"",UPPER(_xlpm.MyAuditVal),_xlpm.MacVal&lt;&gt;"",_xlpm.MacVal,_xlpm.CSVVal&lt;&gt;"",_xlpm.CSVVal
)),"")</f>
        <v/>
      </c>
      <c r="R556" s="40"/>
      <c r="S556" s="40"/>
      <c r="T556" s="40"/>
      <c r="U556" s="40"/>
      <c r="V556" s="40"/>
      <c r="W556" s="40"/>
      <c r="X556" s="41" t="str">
        <f>_xlfn.LET(
    _xlpm.MacVal, _xlfn.XLOOKUP($A556, Output_Mac!$A:$A, Output_Mac!AB:AB, ""),
    _xlpm.MyAuditVal, _xlfn.XLOOKUP($A556, My_Audit!$A:$A, My_Audit!N:N, ""),
    _xlfn.TEXTJOIN(", ", TRUE, _xlpm.MyAuditVal, _xlpm.MacVal)
)</f>
        <v/>
      </c>
    </row>
    <row r="557" spans="1:24">
      <c r="A557" s="40" t="str">
        <f>_xlfn.TEXTJOIN("",TRUE,Input!$B$2,ROW(My_Audit!A556))</f>
        <v>X556</v>
      </c>
      <c r="B557" s="40" t="str">
        <f>_xlfn.TEXTJOIN("-",TRUE,"ITD",Input!$A$2,A557)</f>
        <v>ITD-X556</v>
      </c>
      <c r="C557" s="40" t="str" cm="1">
        <f t="array" ref="C557">IFERROR(_xlfn.LET(
_xlpm.CSVVal,_xlfn.XLOOKUP($A557,CSV!$A:$A,CSV!B:B,""),
_xlpm.MacVal,_xlfn.XLOOKUP($A557,Output_Mac!$A:$A,Output_Mac!B:B,""),
_xlpm.MyAuditVal,_xlfn.XLOOKUP($A557,My_Audit!$A:$A,My_Audit!B:B,""),
_xlfn.IFS(_xlpm.MyAuditVal&lt;&gt;"",UPPER(_xlpm.MyAuditVal),_xlpm.MacVal&lt;&gt;"",_xlpm.MacVal,_xlpm.CSVVal&lt;&gt;"",_xlpm.CSVVal
)),"")</f>
        <v/>
      </c>
      <c r="D557" s="40" t="str" cm="1">
        <f t="array" ref="D557">IFERROR(_xlfn.LET(
_xlpm.CSVVal,_xlfn.XLOOKUP($A557,CSV!$A:$A,CSV!D:D,""),
_xlpm.MacVal,_xlfn.XLOOKUP($A557,Output_Mac!$A:$A,Output_Mac!C:C,""),
_xlpm.MyAuditVal,_xlfn.XLOOKUP($A557,My_Audit!$A:$A,My_Audit!C:C,""),
_xlfn.IFS(_xlpm.MyAuditVal&lt;&gt;"",_xlpm.MyAuditVal,_xlpm.MacVal&lt;&gt;"",_xlpm.MacVal,_xlpm.CSVVal&lt;&gt;"",_xlpm.CSVVal
)),"")</f>
        <v/>
      </c>
      <c r="E557" s="40" t="str">
        <f>_xlfn.XLOOKUP(A557,My_Audit!A:A,My_Audit!D:D,"")</f>
        <v/>
      </c>
      <c r="F557" s="40" t="str" cm="1">
        <f t="array" ref="F557">IFERROR(_xlfn.LET(
_xlpm.CSVVal,_xlfn.XLOOKUP($A557,CSV!$A:$A,CSV!F:F,""),
_xlpm.MacVal,_xlfn.XLOOKUP($A557,Output_Mac!$A:$A,Output_Mac!E:E,""),
_xlpm.MyAuditVal,_xlfn.XLOOKUP($A557,My_Audit!$A:$A,My_Audit!E:E,""),
_xlfn.IFS(_xlpm.MyAuditVal&lt;&gt;"",_xlpm.MyAuditVal,_xlpm.MacVal&lt;&gt;"",_xlpm.MacVal,_xlpm.CSVVal&lt;&gt;"",_xlpm.CSVVal
)),"")</f>
        <v/>
      </c>
      <c r="G557" s="40" t="str" cm="1">
        <f t="array" ref="G557">IFERROR(_xlfn.LET(
_xlpm.CSVVal,_xlfn.XLOOKUP($A557,CSV!$A:$A,CSV!G:G,""),
_xlpm.MacVal,_xlfn.XLOOKUP($A557,Output_Mac!$A:$A,Output_Mac!F:F,""),
_xlpm.MyAuditVal,_xlfn.XLOOKUP($A557,My_Audit!$A:$A,My_Audit!F:F,""),
_xlfn.IFS(_xlpm.MyAuditVal&lt;&gt;"",_xlpm.MyAuditVal,_xlpm.MacVal&lt;&gt;"",_xlpm.MacVal,_xlpm.CSVVal&lt;&gt;"",PROPER(_xlpm.CSVVal)
)),"")</f>
        <v/>
      </c>
      <c r="H557" s="40" t="str" cm="1">
        <f t="array" ref="H557">IFERROR(_xlfn.LET(
_xlpm.CSVVal,_xlfn.XLOOKUP($A557,CSV!$A:$A,CSV!H:H,""),
_xlpm.MacVal,_xlfn.XLOOKUP($A557,Output_Mac!$A:$A,Output_Mac!H:H,""),
_xlpm.MyAuditVal,_xlfn.XLOOKUP($A557,My_Audit!$A:$A,My_Audit!G:G,""),
_xlfn.IFS(_xlpm.MyAuditVal&lt;&gt;"",_xlpm.MyAuditVal,_xlpm.MacVal&lt;&gt;"",_xlpm.MacVal,_xlpm.CSVVal&lt;&gt;"",_xlpm.CSVVal
)),"")</f>
        <v/>
      </c>
      <c r="I557" s="40" t="str">
        <f>_xlfn.XLOOKUP(A557,Output_Mac!A:A,Output_Mac!I:I,"")</f>
        <v/>
      </c>
      <c r="J557" s="40" t="str" cm="1">
        <f t="array" ref="J557">IFERROR(_xlfn.LET(
_xlpm.CSVVal,_xlfn.XLOOKUP($A557,CSV!$A:$A,CSV!I:I,""),
_xlpm.MacVal,_xlfn.XLOOKUP($A557,Output_Mac!$A:$A,Output_Mac!J:J,""),
_xlpm.MyAuditVal,_xlfn.XLOOKUP($A557,My_Audit!$A:$A,My_Audit!I:I,""),
_xlfn.IFS(_xlpm.MyAuditVal&lt;&gt;"",UPPER(_xlpm.MyAuditVal),_xlpm.MacVal&lt;&gt;"",_xlpm.MacVal,_xlpm.CSVVal&lt;&gt;"",_xlpm.CSVVal
)),"")</f>
        <v/>
      </c>
      <c r="K557" s="40" t="str" cm="1">
        <f t="array" ref="K557">IFERROR(_xlfn.LET(
_xlpm.CSVVal,_xlfn.XLOOKUP($A557,CSV!$A:$A,CSV!K:K,""),
_xlpm.MacVal,_xlfn.XLOOKUP($A557,Output_Mac!$A:$A,Output_Mac!K:K,""),
_xlpm.MyAuditVal,_xlfn.XLOOKUP($A557,My_Audit!$A:$A,My_Audit!J:J,""),
_xlfn.IFS(_xlpm.MyAuditVal&lt;&gt;"",UPPER(_xlpm.MyAuditVal),_xlpm.MacVal&lt;&gt;"",_xlpm.MacVal,_xlpm.CSVVal&lt;&gt;"",_xlpm.CSVVal
)),"")</f>
        <v/>
      </c>
      <c r="L557" s="40" t="str" cm="1">
        <f t="array" ref="L557">IFERROR(_xlfn.LET(
_xlpm.CSVVal,_xlfn.XLOOKUP($A557,CSV!$A:$A,CSV!P:P,""),
_xlpm.MacVal,_xlfn.XLOOKUP($A557,Output_Mac!$A:$A,Output_Mac!L:L,""),
_xlpm.MyAuditVal,_xlfn.XLOOKUP($A557,My_Audit!$A:$A,My_Audit!K:K,""),
_xlfn.IFS(_xlpm.MyAuditVal&lt;&gt;"",UPPER(_xlpm.MyAuditVal),_xlpm.MacVal&lt;&gt;"",_xlpm.MacVal,_xlpm.CSVVal&lt;&gt;"",_xlpm.CSVVal
)),"")</f>
        <v/>
      </c>
      <c r="M557" s="40" t="str" cm="1">
        <f t="array" ref="M557">IFERROR(_xlfn.LET(
_xlpm.CSVVal,_xlfn.XLOOKUP($A557,CSV!$A:$A,CSV!Q:Q,""),
_xlpm.MacVal,_xlfn.XLOOKUP($A557,Output_Mac!$A:$A,Output_Mac!M:M,""),
_xlpm.MyAuditVal,_xlfn.XLOOKUP($A557,My_Audit!$A:$A,My_Audit!L:L,""),
_xlfn.IFS(_xlpm.MyAuditVal&lt;&gt;"",UPPER(_xlpm.MyAuditVal),_xlpm.MacVal&lt;&gt;"",_xlpm.MacVal,_xlpm.CSVVal&lt;&gt;"",_xlpm.CSVVal
)),"")</f>
        <v/>
      </c>
      <c r="N557" s="40"/>
      <c r="O557" s="40" t="str">
        <f>_xlfn.LET(
    _xlpm.CSVVal, _xlfn.XLOOKUP($A557, CSV!$A:$A, CSV!AA:AA, ""),
    _xlpm.MacVal, _xlfn.XLOOKUP($A557, Output_Mac!$A:$A, Output_Mac!S:S, ""),
    _xlpm.MyAuditVal, _xlfn.XLOOKUP($A557, My_Audit!$A:$A, My_Audit!P:P, ""),
    _xlfn.TEXTJOIN(", ", TRUE, _xlpm.MyAuditVal, _xlpm.MacVal, _xlpm.CSVVal)
)</f>
        <v/>
      </c>
      <c r="P557" s="40" t="str" cm="1">
        <f t="array" ref="P557">IFERROR(_xlfn.LET(
_xlpm.CSVVal,_xlfn.XLOOKUP($A557,CSV!$A:$A,CSV!AB:AB,""),
_xlpm.MacVal,_xlfn.XLOOKUP($A557,Output_Mac!$A:$A,Output_Mac!T:T,""),
_xlpm.MyAuditVal,_xlfn.XLOOKUP($A557,My_Audit!$A:$A,My_Audit!Q:Q,""),
_xlfn.IFS(_xlpm.MyAuditVal&lt;&gt;"",UPPER(_xlpm.MyAuditVal),_xlpm.MacVal&lt;&gt;"",_xlpm.MacVal,_xlpm.CSVVal&lt;&gt;"",_xlpm.CSVVal
)),"No")</f>
        <v>No</v>
      </c>
      <c r="Q557" s="40" t="str" cm="1">
        <f t="array" ref="Q557">IFERROR(_xlfn.LET(
_xlpm.CSVVal,_xlfn.XLOOKUP($A557,CSV!$A:$A,CSV!AC:AC,""),
_xlpm.MacVal,_xlfn.XLOOKUP($A557,Output_Mac!$A:$A,Output_Mac!U:U,""),
_xlpm.MyAuditVal,_xlfn.XLOOKUP($A557,My_Audit!$A:$A,My_Audit!R:R,""),
_xlfn.IFS(_xlpm.MyAuditVal&lt;&gt;"",UPPER(_xlpm.MyAuditVal),_xlpm.MacVal&lt;&gt;"",_xlpm.MacVal,_xlpm.CSVVal&lt;&gt;"",_xlpm.CSVVal
)),"")</f>
        <v/>
      </c>
      <c r="R557" s="40"/>
      <c r="S557" s="40"/>
      <c r="T557" s="40"/>
      <c r="U557" s="40"/>
      <c r="V557" s="40"/>
      <c r="W557" s="40"/>
      <c r="X557" s="41" t="str">
        <f>_xlfn.LET(
    _xlpm.MacVal, _xlfn.XLOOKUP($A557, Output_Mac!$A:$A, Output_Mac!AB:AB, ""),
    _xlpm.MyAuditVal, _xlfn.XLOOKUP($A557, My_Audit!$A:$A, My_Audit!N:N, ""),
    _xlfn.TEXTJOIN(", ", TRUE, _xlpm.MyAuditVal, _xlpm.MacVal)
)</f>
        <v/>
      </c>
    </row>
    <row r="558" spans="1:24">
      <c r="A558" s="40" t="str">
        <f>_xlfn.TEXTJOIN("",TRUE,Input!$B$2,ROW(My_Audit!A557))</f>
        <v>X557</v>
      </c>
      <c r="B558" s="40" t="str">
        <f>_xlfn.TEXTJOIN("-",TRUE,"ITD",Input!$A$2,A558)</f>
        <v>ITD-X557</v>
      </c>
      <c r="C558" s="40" t="str" cm="1">
        <f t="array" ref="C558">IFERROR(_xlfn.LET(
_xlpm.CSVVal,_xlfn.XLOOKUP($A558,CSV!$A:$A,CSV!B:B,""),
_xlpm.MacVal,_xlfn.XLOOKUP($A558,Output_Mac!$A:$A,Output_Mac!B:B,""),
_xlpm.MyAuditVal,_xlfn.XLOOKUP($A558,My_Audit!$A:$A,My_Audit!B:B,""),
_xlfn.IFS(_xlpm.MyAuditVal&lt;&gt;"",UPPER(_xlpm.MyAuditVal),_xlpm.MacVal&lt;&gt;"",_xlpm.MacVal,_xlpm.CSVVal&lt;&gt;"",_xlpm.CSVVal
)),"")</f>
        <v/>
      </c>
      <c r="D558" s="40" t="str" cm="1">
        <f t="array" ref="D558">IFERROR(_xlfn.LET(
_xlpm.CSVVal,_xlfn.XLOOKUP($A558,CSV!$A:$A,CSV!D:D,""),
_xlpm.MacVal,_xlfn.XLOOKUP($A558,Output_Mac!$A:$A,Output_Mac!C:C,""),
_xlpm.MyAuditVal,_xlfn.XLOOKUP($A558,My_Audit!$A:$A,My_Audit!C:C,""),
_xlfn.IFS(_xlpm.MyAuditVal&lt;&gt;"",_xlpm.MyAuditVal,_xlpm.MacVal&lt;&gt;"",_xlpm.MacVal,_xlpm.CSVVal&lt;&gt;"",_xlpm.CSVVal
)),"")</f>
        <v/>
      </c>
      <c r="E558" s="40" t="str">
        <f>_xlfn.XLOOKUP(A558,My_Audit!A:A,My_Audit!D:D,"")</f>
        <v/>
      </c>
      <c r="F558" s="40" t="str" cm="1">
        <f t="array" ref="F558">IFERROR(_xlfn.LET(
_xlpm.CSVVal,_xlfn.XLOOKUP($A558,CSV!$A:$A,CSV!F:F,""),
_xlpm.MacVal,_xlfn.XLOOKUP($A558,Output_Mac!$A:$A,Output_Mac!E:E,""),
_xlpm.MyAuditVal,_xlfn.XLOOKUP($A558,My_Audit!$A:$A,My_Audit!E:E,""),
_xlfn.IFS(_xlpm.MyAuditVal&lt;&gt;"",_xlpm.MyAuditVal,_xlpm.MacVal&lt;&gt;"",_xlpm.MacVal,_xlpm.CSVVal&lt;&gt;"",_xlpm.CSVVal
)),"")</f>
        <v/>
      </c>
      <c r="G558" s="40" t="str" cm="1">
        <f t="array" ref="G558">IFERROR(_xlfn.LET(
_xlpm.CSVVal,_xlfn.XLOOKUP($A558,CSV!$A:$A,CSV!G:G,""),
_xlpm.MacVal,_xlfn.XLOOKUP($A558,Output_Mac!$A:$A,Output_Mac!F:F,""),
_xlpm.MyAuditVal,_xlfn.XLOOKUP($A558,My_Audit!$A:$A,My_Audit!F:F,""),
_xlfn.IFS(_xlpm.MyAuditVal&lt;&gt;"",_xlpm.MyAuditVal,_xlpm.MacVal&lt;&gt;"",_xlpm.MacVal,_xlpm.CSVVal&lt;&gt;"",PROPER(_xlpm.CSVVal)
)),"")</f>
        <v/>
      </c>
      <c r="H558" s="40" t="str" cm="1">
        <f t="array" ref="H558">IFERROR(_xlfn.LET(
_xlpm.CSVVal,_xlfn.XLOOKUP($A558,CSV!$A:$A,CSV!H:H,""),
_xlpm.MacVal,_xlfn.XLOOKUP($A558,Output_Mac!$A:$A,Output_Mac!H:H,""),
_xlpm.MyAuditVal,_xlfn.XLOOKUP($A558,My_Audit!$A:$A,My_Audit!G:G,""),
_xlfn.IFS(_xlpm.MyAuditVal&lt;&gt;"",_xlpm.MyAuditVal,_xlpm.MacVal&lt;&gt;"",_xlpm.MacVal,_xlpm.CSVVal&lt;&gt;"",_xlpm.CSVVal
)),"")</f>
        <v/>
      </c>
      <c r="I558" s="40" t="str">
        <f>_xlfn.XLOOKUP(A558,Output_Mac!A:A,Output_Mac!I:I,"")</f>
        <v/>
      </c>
      <c r="J558" s="40" t="str" cm="1">
        <f t="array" ref="J558">IFERROR(_xlfn.LET(
_xlpm.CSVVal,_xlfn.XLOOKUP($A558,CSV!$A:$A,CSV!I:I,""),
_xlpm.MacVal,_xlfn.XLOOKUP($A558,Output_Mac!$A:$A,Output_Mac!J:J,""),
_xlpm.MyAuditVal,_xlfn.XLOOKUP($A558,My_Audit!$A:$A,My_Audit!I:I,""),
_xlfn.IFS(_xlpm.MyAuditVal&lt;&gt;"",UPPER(_xlpm.MyAuditVal),_xlpm.MacVal&lt;&gt;"",_xlpm.MacVal,_xlpm.CSVVal&lt;&gt;"",_xlpm.CSVVal
)),"")</f>
        <v/>
      </c>
      <c r="K558" s="40" t="str" cm="1">
        <f t="array" ref="K558">IFERROR(_xlfn.LET(
_xlpm.CSVVal,_xlfn.XLOOKUP($A558,CSV!$A:$A,CSV!K:K,""),
_xlpm.MacVal,_xlfn.XLOOKUP($A558,Output_Mac!$A:$A,Output_Mac!K:K,""),
_xlpm.MyAuditVal,_xlfn.XLOOKUP($A558,My_Audit!$A:$A,My_Audit!J:J,""),
_xlfn.IFS(_xlpm.MyAuditVal&lt;&gt;"",UPPER(_xlpm.MyAuditVal),_xlpm.MacVal&lt;&gt;"",_xlpm.MacVal,_xlpm.CSVVal&lt;&gt;"",_xlpm.CSVVal
)),"")</f>
        <v/>
      </c>
      <c r="L558" s="40" t="str" cm="1">
        <f t="array" ref="L558">IFERROR(_xlfn.LET(
_xlpm.CSVVal,_xlfn.XLOOKUP($A558,CSV!$A:$A,CSV!P:P,""),
_xlpm.MacVal,_xlfn.XLOOKUP($A558,Output_Mac!$A:$A,Output_Mac!L:L,""),
_xlpm.MyAuditVal,_xlfn.XLOOKUP($A558,My_Audit!$A:$A,My_Audit!K:K,""),
_xlfn.IFS(_xlpm.MyAuditVal&lt;&gt;"",UPPER(_xlpm.MyAuditVal),_xlpm.MacVal&lt;&gt;"",_xlpm.MacVal,_xlpm.CSVVal&lt;&gt;"",_xlpm.CSVVal
)),"")</f>
        <v/>
      </c>
      <c r="M558" s="40" t="str" cm="1">
        <f t="array" ref="M558">IFERROR(_xlfn.LET(
_xlpm.CSVVal,_xlfn.XLOOKUP($A558,CSV!$A:$A,CSV!Q:Q,""),
_xlpm.MacVal,_xlfn.XLOOKUP($A558,Output_Mac!$A:$A,Output_Mac!M:M,""),
_xlpm.MyAuditVal,_xlfn.XLOOKUP($A558,My_Audit!$A:$A,My_Audit!L:L,""),
_xlfn.IFS(_xlpm.MyAuditVal&lt;&gt;"",UPPER(_xlpm.MyAuditVal),_xlpm.MacVal&lt;&gt;"",_xlpm.MacVal,_xlpm.CSVVal&lt;&gt;"",_xlpm.CSVVal
)),"")</f>
        <v/>
      </c>
      <c r="N558" s="40"/>
      <c r="O558" s="40" t="str">
        <f>_xlfn.LET(
    _xlpm.CSVVal, _xlfn.XLOOKUP($A558, CSV!$A:$A, CSV!AA:AA, ""),
    _xlpm.MacVal, _xlfn.XLOOKUP($A558, Output_Mac!$A:$A, Output_Mac!S:S, ""),
    _xlpm.MyAuditVal, _xlfn.XLOOKUP($A558, My_Audit!$A:$A, My_Audit!P:P, ""),
    _xlfn.TEXTJOIN(", ", TRUE, _xlpm.MyAuditVal, _xlpm.MacVal, _xlpm.CSVVal)
)</f>
        <v/>
      </c>
      <c r="P558" s="40" t="str" cm="1">
        <f t="array" ref="P558">IFERROR(_xlfn.LET(
_xlpm.CSVVal,_xlfn.XLOOKUP($A558,CSV!$A:$A,CSV!AB:AB,""),
_xlpm.MacVal,_xlfn.XLOOKUP($A558,Output_Mac!$A:$A,Output_Mac!T:T,""),
_xlpm.MyAuditVal,_xlfn.XLOOKUP($A558,My_Audit!$A:$A,My_Audit!Q:Q,""),
_xlfn.IFS(_xlpm.MyAuditVal&lt;&gt;"",UPPER(_xlpm.MyAuditVal),_xlpm.MacVal&lt;&gt;"",_xlpm.MacVal,_xlpm.CSVVal&lt;&gt;"",_xlpm.CSVVal
)),"No")</f>
        <v>No</v>
      </c>
      <c r="Q558" s="40" t="str" cm="1">
        <f t="array" ref="Q558">IFERROR(_xlfn.LET(
_xlpm.CSVVal,_xlfn.XLOOKUP($A558,CSV!$A:$A,CSV!AC:AC,""),
_xlpm.MacVal,_xlfn.XLOOKUP($A558,Output_Mac!$A:$A,Output_Mac!U:U,""),
_xlpm.MyAuditVal,_xlfn.XLOOKUP($A558,My_Audit!$A:$A,My_Audit!R:R,""),
_xlfn.IFS(_xlpm.MyAuditVal&lt;&gt;"",UPPER(_xlpm.MyAuditVal),_xlpm.MacVal&lt;&gt;"",_xlpm.MacVal,_xlpm.CSVVal&lt;&gt;"",_xlpm.CSVVal
)),"")</f>
        <v/>
      </c>
      <c r="R558" s="40"/>
      <c r="S558" s="40"/>
      <c r="T558" s="40"/>
      <c r="U558" s="40"/>
      <c r="V558" s="40"/>
      <c r="W558" s="40"/>
      <c r="X558" s="41" t="str">
        <f>_xlfn.LET(
    _xlpm.MacVal, _xlfn.XLOOKUP($A558, Output_Mac!$A:$A, Output_Mac!AB:AB, ""),
    _xlpm.MyAuditVal, _xlfn.XLOOKUP($A558, My_Audit!$A:$A, My_Audit!N:N, ""),
    _xlfn.TEXTJOIN(", ", TRUE, _xlpm.MyAuditVal, _xlpm.MacVal)
)</f>
        <v/>
      </c>
    </row>
    <row r="559" spans="1:24">
      <c r="A559" s="40" t="str">
        <f>_xlfn.TEXTJOIN("",TRUE,Input!$B$2,ROW(My_Audit!A558))</f>
        <v>X558</v>
      </c>
      <c r="B559" s="40" t="str">
        <f>_xlfn.TEXTJOIN("-",TRUE,"ITD",Input!$A$2,A559)</f>
        <v>ITD-X558</v>
      </c>
      <c r="C559" s="40" t="str" cm="1">
        <f t="array" ref="C559">IFERROR(_xlfn.LET(
_xlpm.CSVVal,_xlfn.XLOOKUP($A559,CSV!$A:$A,CSV!B:B,""),
_xlpm.MacVal,_xlfn.XLOOKUP($A559,Output_Mac!$A:$A,Output_Mac!B:B,""),
_xlpm.MyAuditVal,_xlfn.XLOOKUP($A559,My_Audit!$A:$A,My_Audit!B:B,""),
_xlfn.IFS(_xlpm.MyAuditVal&lt;&gt;"",UPPER(_xlpm.MyAuditVal),_xlpm.MacVal&lt;&gt;"",_xlpm.MacVal,_xlpm.CSVVal&lt;&gt;"",_xlpm.CSVVal
)),"")</f>
        <v/>
      </c>
      <c r="D559" s="40" t="str" cm="1">
        <f t="array" ref="D559">IFERROR(_xlfn.LET(
_xlpm.CSVVal,_xlfn.XLOOKUP($A559,CSV!$A:$A,CSV!D:D,""),
_xlpm.MacVal,_xlfn.XLOOKUP($A559,Output_Mac!$A:$A,Output_Mac!C:C,""),
_xlpm.MyAuditVal,_xlfn.XLOOKUP($A559,My_Audit!$A:$A,My_Audit!C:C,""),
_xlfn.IFS(_xlpm.MyAuditVal&lt;&gt;"",_xlpm.MyAuditVal,_xlpm.MacVal&lt;&gt;"",_xlpm.MacVal,_xlpm.CSVVal&lt;&gt;"",_xlpm.CSVVal
)),"")</f>
        <v/>
      </c>
      <c r="E559" s="40" t="str">
        <f>_xlfn.XLOOKUP(A559,My_Audit!A:A,My_Audit!D:D,"")</f>
        <v/>
      </c>
      <c r="F559" s="40" t="str" cm="1">
        <f t="array" ref="F559">IFERROR(_xlfn.LET(
_xlpm.CSVVal,_xlfn.XLOOKUP($A559,CSV!$A:$A,CSV!F:F,""),
_xlpm.MacVal,_xlfn.XLOOKUP($A559,Output_Mac!$A:$A,Output_Mac!E:E,""),
_xlpm.MyAuditVal,_xlfn.XLOOKUP($A559,My_Audit!$A:$A,My_Audit!E:E,""),
_xlfn.IFS(_xlpm.MyAuditVal&lt;&gt;"",_xlpm.MyAuditVal,_xlpm.MacVal&lt;&gt;"",_xlpm.MacVal,_xlpm.CSVVal&lt;&gt;"",_xlpm.CSVVal
)),"")</f>
        <v/>
      </c>
      <c r="G559" s="40" t="str" cm="1">
        <f t="array" ref="G559">IFERROR(_xlfn.LET(
_xlpm.CSVVal,_xlfn.XLOOKUP($A559,CSV!$A:$A,CSV!G:G,""),
_xlpm.MacVal,_xlfn.XLOOKUP($A559,Output_Mac!$A:$A,Output_Mac!F:F,""),
_xlpm.MyAuditVal,_xlfn.XLOOKUP($A559,My_Audit!$A:$A,My_Audit!F:F,""),
_xlfn.IFS(_xlpm.MyAuditVal&lt;&gt;"",_xlpm.MyAuditVal,_xlpm.MacVal&lt;&gt;"",_xlpm.MacVal,_xlpm.CSVVal&lt;&gt;"",PROPER(_xlpm.CSVVal)
)),"")</f>
        <v/>
      </c>
      <c r="H559" s="40" t="str" cm="1">
        <f t="array" ref="H559">IFERROR(_xlfn.LET(
_xlpm.CSVVal,_xlfn.XLOOKUP($A559,CSV!$A:$A,CSV!H:H,""),
_xlpm.MacVal,_xlfn.XLOOKUP($A559,Output_Mac!$A:$A,Output_Mac!H:H,""),
_xlpm.MyAuditVal,_xlfn.XLOOKUP($A559,My_Audit!$A:$A,My_Audit!G:G,""),
_xlfn.IFS(_xlpm.MyAuditVal&lt;&gt;"",_xlpm.MyAuditVal,_xlpm.MacVal&lt;&gt;"",_xlpm.MacVal,_xlpm.CSVVal&lt;&gt;"",_xlpm.CSVVal
)),"")</f>
        <v/>
      </c>
      <c r="I559" s="40" t="str">
        <f>_xlfn.XLOOKUP(A559,Output_Mac!A:A,Output_Mac!I:I,"")</f>
        <v/>
      </c>
      <c r="J559" s="40" t="str" cm="1">
        <f t="array" ref="J559">IFERROR(_xlfn.LET(
_xlpm.CSVVal,_xlfn.XLOOKUP($A559,CSV!$A:$A,CSV!I:I,""),
_xlpm.MacVal,_xlfn.XLOOKUP($A559,Output_Mac!$A:$A,Output_Mac!J:J,""),
_xlpm.MyAuditVal,_xlfn.XLOOKUP($A559,My_Audit!$A:$A,My_Audit!I:I,""),
_xlfn.IFS(_xlpm.MyAuditVal&lt;&gt;"",UPPER(_xlpm.MyAuditVal),_xlpm.MacVal&lt;&gt;"",_xlpm.MacVal,_xlpm.CSVVal&lt;&gt;"",_xlpm.CSVVal
)),"")</f>
        <v/>
      </c>
      <c r="K559" s="40" t="str" cm="1">
        <f t="array" ref="K559">IFERROR(_xlfn.LET(
_xlpm.CSVVal,_xlfn.XLOOKUP($A559,CSV!$A:$A,CSV!K:K,""),
_xlpm.MacVal,_xlfn.XLOOKUP($A559,Output_Mac!$A:$A,Output_Mac!K:K,""),
_xlpm.MyAuditVal,_xlfn.XLOOKUP($A559,My_Audit!$A:$A,My_Audit!J:J,""),
_xlfn.IFS(_xlpm.MyAuditVal&lt;&gt;"",UPPER(_xlpm.MyAuditVal),_xlpm.MacVal&lt;&gt;"",_xlpm.MacVal,_xlpm.CSVVal&lt;&gt;"",_xlpm.CSVVal
)),"")</f>
        <v/>
      </c>
      <c r="L559" s="40" t="str" cm="1">
        <f t="array" ref="L559">IFERROR(_xlfn.LET(
_xlpm.CSVVal,_xlfn.XLOOKUP($A559,CSV!$A:$A,CSV!P:P,""),
_xlpm.MacVal,_xlfn.XLOOKUP($A559,Output_Mac!$A:$A,Output_Mac!L:L,""),
_xlpm.MyAuditVal,_xlfn.XLOOKUP($A559,My_Audit!$A:$A,My_Audit!K:K,""),
_xlfn.IFS(_xlpm.MyAuditVal&lt;&gt;"",UPPER(_xlpm.MyAuditVal),_xlpm.MacVal&lt;&gt;"",_xlpm.MacVal,_xlpm.CSVVal&lt;&gt;"",_xlpm.CSVVal
)),"")</f>
        <v/>
      </c>
      <c r="M559" s="40" t="str" cm="1">
        <f t="array" ref="M559">IFERROR(_xlfn.LET(
_xlpm.CSVVal,_xlfn.XLOOKUP($A559,CSV!$A:$A,CSV!Q:Q,""),
_xlpm.MacVal,_xlfn.XLOOKUP($A559,Output_Mac!$A:$A,Output_Mac!M:M,""),
_xlpm.MyAuditVal,_xlfn.XLOOKUP($A559,My_Audit!$A:$A,My_Audit!L:L,""),
_xlfn.IFS(_xlpm.MyAuditVal&lt;&gt;"",UPPER(_xlpm.MyAuditVal),_xlpm.MacVal&lt;&gt;"",_xlpm.MacVal,_xlpm.CSVVal&lt;&gt;"",_xlpm.CSVVal
)),"")</f>
        <v/>
      </c>
      <c r="N559" s="40"/>
      <c r="O559" s="40" t="str">
        <f>_xlfn.LET(
    _xlpm.CSVVal, _xlfn.XLOOKUP($A559, CSV!$A:$A, CSV!AA:AA, ""),
    _xlpm.MacVal, _xlfn.XLOOKUP($A559, Output_Mac!$A:$A, Output_Mac!S:S, ""),
    _xlpm.MyAuditVal, _xlfn.XLOOKUP($A559, My_Audit!$A:$A, My_Audit!P:P, ""),
    _xlfn.TEXTJOIN(", ", TRUE, _xlpm.MyAuditVal, _xlpm.MacVal, _xlpm.CSVVal)
)</f>
        <v/>
      </c>
      <c r="P559" s="40" t="str" cm="1">
        <f t="array" ref="P559">IFERROR(_xlfn.LET(
_xlpm.CSVVal,_xlfn.XLOOKUP($A559,CSV!$A:$A,CSV!AB:AB,""),
_xlpm.MacVal,_xlfn.XLOOKUP($A559,Output_Mac!$A:$A,Output_Mac!T:T,""),
_xlpm.MyAuditVal,_xlfn.XLOOKUP($A559,My_Audit!$A:$A,My_Audit!Q:Q,""),
_xlfn.IFS(_xlpm.MyAuditVal&lt;&gt;"",UPPER(_xlpm.MyAuditVal),_xlpm.MacVal&lt;&gt;"",_xlpm.MacVal,_xlpm.CSVVal&lt;&gt;"",_xlpm.CSVVal
)),"No")</f>
        <v>No</v>
      </c>
      <c r="Q559" s="40" t="str" cm="1">
        <f t="array" ref="Q559">IFERROR(_xlfn.LET(
_xlpm.CSVVal,_xlfn.XLOOKUP($A559,CSV!$A:$A,CSV!AC:AC,""),
_xlpm.MacVal,_xlfn.XLOOKUP($A559,Output_Mac!$A:$A,Output_Mac!U:U,""),
_xlpm.MyAuditVal,_xlfn.XLOOKUP($A559,My_Audit!$A:$A,My_Audit!R:R,""),
_xlfn.IFS(_xlpm.MyAuditVal&lt;&gt;"",UPPER(_xlpm.MyAuditVal),_xlpm.MacVal&lt;&gt;"",_xlpm.MacVal,_xlpm.CSVVal&lt;&gt;"",_xlpm.CSVVal
)),"")</f>
        <v/>
      </c>
      <c r="R559" s="40"/>
      <c r="S559" s="40"/>
      <c r="T559" s="40"/>
      <c r="U559" s="40"/>
      <c r="V559" s="40"/>
      <c r="W559" s="40"/>
      <c r="X559" s="41" t="str">
        <f>_xlfn.LET(
    _xlpm.MacVal, _xlfn.XLOOKUP($A559, Output_Mac!$A:$A, Output_Mac!AB:AB, ""),
    _xlpm.MyAuditVal, _xlfn.XLOOKUP($A559, My_Audit!$A:$A, My_Audit!N:N, ""),
    _xlfn.TEXTJOIN(", ", TRUE, _xlpm.MyAuditVal, _xlpm.MacVal)
)</f>
        <v/>
      </c>
    </row>
    <row r="560" spans="1:24">
      <c r="A560" s="40" t="str">
        <f>_xlfn.TEXTJOIN("",TRUE,Input!$B$2,ROW(My_Audit!A559))</f>
        <v>X559</v>
      </c>
      <c r="B560" s="40" t="str">
        <f>_xlfn.TEXTJOIN("-",TRUE,"ITD",Input!$A$2,A560)</f>
        <v>ITD-X559</v>
      </c>
      <c r="C560" s="40" t="str" cm="1">
        <f t="array" ref="C560">IFERROR(_xlfn.LET(
_xlpm.CSVVal,_xlfn.XLOOKUP($A560,CSV!$A:$A,CSV!B:B,""),
_xlpm.MacVal,_xlfn.XLOOKUP($A560,Output_Mac!$A:$A,Output_Mac!B:B,""),
_xlpm.MyAuditVal,_xlfn.XLOOKUP($A560,My_Audit!$A:$A,My_Audit!B:B,""),
_xlfn.IFS(_xlpm.MyAuditVal&lt;&gt;"",UPPER(_xlpm.MyAuditVal),_xlpm.MacVal&lt;&gt;"",_xlpm.MacVal,_xlpm.CSVVal&lt;&gt;"",_xlpm.CSVVal
)),"")</f>
        <v/>
      </c>
      <c r="D560" s="40" t="str" cm="1">
        <f t="array" ref="D560">IFERROR(_xlfn.LET(
_xlpm.CSVVal,_xlfn.XLOOKUP($A560,CSV!$A:$A,CSV!D:D,""),
_xlpm.MacVal,_xlfn.XLOOKUP($A560,Output_Mac!$A:$A,Output_Mac!C:C,""),
_xlpm.MyAuditVal,_xlfn.XLOOKUP($A560,My_Audit!$A:$A,My_Audit!C:C,""),
_xlfn.IFS(_xlpm.MyAuditVal&lt;&gt;"",_xlpm.MyAuditVal,_xlpm.MacVal&lt;&gt;"",_xlpm.MacVal,_xlpm.CSVVal&lt;&gt;"",_xlpm.CSVVal
)),"")</f>
        <v/>
      </c>
      <c r="E560" s="40" t="str">
        <f>_xlfn.XLOOKUP(A560,My_Audit!A:A,My_Audit!D:D,"")</f>
        <v/>
      </c>
      <c r="F560" s="40" t="str" cm="1">
        <f t="array" ref="F560">IFERROR(_xlfn.LET(
_xlpm.CSVVal,_xlfn.XLOOKUP($A560,CSV!$A:$A,CSV!F:F,""),
_xlpm.MacVal,_xlfn.XLOOKUP($A560,Output_Mac!$A:$A,Output_Mac!E:E,""),
_xlpm.MyAuditVal,_xlfn.XLOOKUP($A560,My_Audit!$A:$A,My_Audit!E:E,""),
_xlfn.IFS(_xlpm.MyAuditVal&lt;&gt;"",_xlpm.MyAuditVal,_xlpm.MacVal&lt;&gt;"",_xlpm.MacVal,_xlpm.CSVVal&lt;&gt;"",_xlpm.CSVVal
)),"")</f>
        <v/>
      </c>
      <c r="G560" s="40" t="str" cm="1">
        <f t="array" ref="G560">IFERROR(_xlfn.LET(
_xlpm.CSVVal,_xlfn.XLOOKUP($A560,CSV!$A:$A,CSV!G:G,""),
_xlpm.MacVal,_xlfn.XLOOKUP($A560,Output_Mac!$A:$A,Output_Mac!F:F,""),
_xlpm.MyAuditVal,_xlfn.XLOOKUP($A560,My_Audit!$A:$A,My_Audit!F:F,""),
_xlfn.IFS(_xlpm.MyAuditVal&lt;&gt;"",_xlpm.MyAuditVal,_xlpm.MacVal&lt;&gt;"",_xlpm.MacVal,_xlpm.CSVVal&lt;&gt;"",PROPER(_xlpm.CSVVal)
)),"")</f>
        <v/>
      </c>
      <c r="H560" s="40" t="str" cm="1">
        <f t="array" ref="H560">IFERROR(_xlfn.LET(
_xlpm.CSVVal,_xlfn.XLOOKUP($A560,CSV!$A:$A,CSV!H:H,""),
_xlpm.MacVal,_xlfn.XLOOKUP($A560,Output_Mac!$A:$A,Output_Mac!H:H,""),
_xlpm.MyAuditVal,_xlfn.XLOOKUP($A560,My_Audit!$A:$A,My_Audit!G:G,""),
_xlfn.IFS(_xlpm.MyAuditVal&lt;&gt;"",_xlpm.MyAuditVal,_xlpm.MacVal&lt;&gt;"",_xlpm.MacVal,_xlpm.CSVVal&lt;&gt;"",_xlpm.CSVVal
)),"")</f>
        <v/>
      </c>
      <c r="I560" s="40" t="str">
        <f>_xlfn.XLOOKUP(A560,Output_Mac!A:A,Output_Mac!I:I,"")</f>
        <v/>
      </c>
      <c r="J560" s="40" t="str" cm="1">
        <f t="array" ref="J560">IFERROR(_xlfn.LET(
_xlpm.CSVVal,_xlfn.XLOOKUP($A560,CSV!$A:$A,CSV!I:I,""),
_xlpm.MacVal,_xlfn.XLOOKUP($A560,Output_Mac!$A:$A,Output_Mac!J:J,""),
_xlpm.MyAuditVal,_xlfn.XLOOKUP($A560,My_Audit!$A:$A,My_Audit!I:I,""),
_xlfn.IFS(_xlpm.MyAuditVal&lt;&gt;"",UPPER(_xlpm.MyAuditVal),_xlpm.MacVal&lt;&gt;"",_xlpm.MacVal,_xlpm.CSVVal&lt;&gt;"",_xlpm.CSVVal
)),"")</f>
        <v/>
      </c>
      <c r="K560" s="40" t="str" cm="1">
        <f t="array" ref="K560">IFERROR(_xlfn.LET(
_xlpm.CSVVal,_xlfn.XLOOKUP($A560,CSV!$A:$A,CSV!K:K,""),
_xlpm.MacVal,_xlfn.XLOOKUP($A560,Output_Mac!$A:$A,Output_Mac!K:K,""),
_xlpm.MyAuditVal,_xlfn.XLOOKUP($A560,My_Audit!$A:$A,My_Audit!J:J,""),
_xlfn.IFS(_xlpm.MyAuditVal&lt;&gt;"",UPPER(_xlpm.MyAuditVal),_xlpm.MacVal&lt;&gt;"",_xlpm.MacVal,_xlpm.CSVVal&lt;&gt;"",_xlpm.CSVVal
)),"")</f>
        <v/>
      </c>
      <c r="L560" s="40" t="str" cm="1">
        <f t="array" ref="L560">IFERROR(_xlfn.LET(
_xlpm.CSVVal,_xlfn.XLOOKUP($A560,CSV!$A:$A,CSV!P:P,""),
_xlpm.MacVal,_xlfn.XLOOKUP($A560,Output_Mac!$A:$A,Output_Mac!L:L,""),
_xlpm.MyAuditVal,_xlfn.XLOOKUP($A560,My_Audit!$A:$A,My_Audit!K:K,""),
_xlfn.IFS(_xlpm.MyAuditVal&lt;&gt;"",UPPER(_xlpm.MyAuditVal),_xlpm.MacVal&lt;&gt;"",_xlpm.MacVal,_xlpm.CSVVal&lt;&gt;"",_xlpm.CSVVal
)),"")</f>
        <v/>
      </c>
      <c r="M560" s="40" t="str" cm="1">
        <f t="array" ref="M560">IFERROR(_xlfn.LET(
_xlpm.CSVVal,_xlfn.XLOOKUP($A560,CSV!$A:$A,CSV!Q:Q,""),
_xlpm.MacVal,_xlfn.XLOOKUP($A560,Output_Mac!$A:$A,Output_Mac!M:M,""),
_xlpm.MyAuditVal,_xlfn.XLOOKUP($A560,My_Audit!$A:$A,My_Audit!L:L,""),
_xlfn.IFS(_xlpm.MyAuditVal&lt;&gt;"",UPPER(_xlpm.MyAuditVal),_xlpm.MacVal&lt;&gt;"",_xlpm.MacVal,_xlpm.CSVVal&lt;&gt;"",_xlpm.CSVVal
)),"")</f>
        <v/>
      </c>
      <c r="N560" s="40"/>
      <c r="O560" s="40" t="str">
        <f>_xlfn.LET(
    _xlpm.CSVVal, _xlfn.XLOOKUP($A560, CSV!$A:$A, CSV!AA:AA, ""),
    _xlpm.MacVal, _xlfn.XLOOKUP($A560, Output_Mac!$A:$A, Output_Mac!S:S, ""),
    _xlpm.MyAuditVal, _xlfn.XLOOKUP($A560, My_Audit!$A:$A, My_Audit!P:P, ""),
    _xlfn.TEXTJOIN(", ", TRUE, _xlpm.MyAuditVal, _xlpm.MacVal, _xlpm.CSVVal)
)</f>
        <v/>
      </c>
      <c r="P560" s="40" t="str" cm="1">
        <f t="array" ref="P560">IFERROR(_xlfn.LET(
_xlpm.CSVVal,_xlfn.XLOOKUP($A560,CSV!$A:$A,CSV!AB:AB,""),
_xlpm.MacVal,_xlfn.XLOOKUP($A560,Output_Mac!$A:$A,Output_Mac!T:T,""),
_xlpm.MyAuditVal,_xlfn.XLOOKUP($A560,My_Audit!$A:$A,My_Audit!Q:Q,""),
_xlfn.IFS(_xlpm.MyAuditVal&lt;&gt;"",UPPER(_xlpm.MyAuditVal),_xlpm.MacVal&lt;&gt;"",_xlpm.MacVal,_xlpm.CSVVal&lt;&gt;"",_xlpm.CSVVal
)),"No")</f>
        <v>No</v>
      </c>
      <c r="Q560" s="40" t="str" cm="1">
        <f t="array" ref="Q560">IFERROR(_xlfn.LET(
_xlpm.CSVVal,_xlfn.XLOOKUP($A560,CSV!$A:$A,CSV!AC:AC,""),
_xlpm.MacVal,_xlfn.XLOOKUP($A560,Output_Mac!$A:$A,Output_Mac!U:U,""),
_xlpm.MyAuditVal,_xlfn.XLOOKUP($A560,My_Audit!$A:$A,My_Audit!R:R,""),
_xlfn.IFS(_xlpm.MyAuditVal&lt;&gt;"",UPPER(_xlpm.MyAuditVal),_xlpm.MacVal&lt;&gt;"",_xlpm.MacVal,_xlpm.CSVVal&lt;&gt;"",_xlpm.CSVVal
)),"")</f>
        <v/>
      </c>
      <c r="R560" s="40"/>
      <c r="S560" s="40"/>
      <c r="T560" s="40"/>
      <c r="U560" s="40"/>
      <c r="V560" s="40"/>
      <c r="W560" s="40"/>
      <c r="X560" s="41" t="str">
        <f>_xlfn.LET(
    _xlpm.MacVal, _xlfn.XLOOKUP($A560, Output_Mac!$A:$A, Output_Mac!AB:AB, ""),
    _xlpm.MyAuditVal, _xlfn.XLOOKUP($A560, My_Audit!$A:$A, My_Audit!N:N, ""),
    _xlfn.TEXTJOIN(", ", TRUE, _xlpm.MyAuditVal, _xlpm.MacVal)
)</f>
        <v/>
      </c>
    </row>
    <row r="561" spans="1:24">
      <c r="A561" s="40" t="str">
        <f>_xlfn.TEXTJOIN("",TRUE,Input!$B$2,ROW(My_Audit!A560))</f>
        <v>X560</v>
      </c>
      <c r="B561" s="40" t="str">
        <f>_xlfn.TEXTJOIN("-",TRUE,"ITD",Input!$A$2,A561)</f>
        <v>ITD-X560</v>
      </c>
      <c r="C561" s="40" t="str" cm="1">
        <f t="array" ref="C561">IFERROR(_xlfn.LET(
_xlpm.CSVVal,_xlfn.XLOOKUP($A561,CSV!$A:$A,CSV!B:B,""),
_xlpm.MacVal,_xlfn.XLOOKUP($A561,Output_Mac!$A:$A,Output_Mac!B:B,""),
_xlpm.MyAuditVal,_xlfn.XLOOKUP($A561,My_Audit!$A:$A,My_Audit!B:B,""),
_xlfn.IFS(_xlpm.MyAuditVal&lt;&gt;"",UPPER(_xlpm.MyAuditVal),_xlpm.MacVal&lt;&gt;"",_xlpm.MacVal,_xlpm.CSVVal&lt;&gt;"",_xlpm.CSVVal
)),"")</f>
        <v/>
      </c>
      <c r="D561" s="40" t="str" cm="1">
        <f t="array" ref="D561">IFERROR(_xlfn.LET(
_xlpm.CSVVal,_xlfn.XLOOKUP($A561,CSV!$A:$A,CSV!D:D,""),
_xlpm.MacVal,_xlfn.XLOOKUP($A561,Output_Mac!$A:$A,Output_Mac!C:C,""),
_xlpm.MyAuditVal,_xlfn.XLOOKUP($A561,My_Audit!$A:$A,My_Audit!C:C,""),
_xlfn.IFS(_xlpm.MyAuditVal&lt;&gt;"",_xlpm.MyAuditVal,_xlpm.MacVal&lt;&gt;"",_xlpm.MacVal,_xlpm.CSVVal&lt;&gt;"",_xlpm.CSVVal
)),"")</f>
        <v/>
      </c>
      <c r="E561" s="40" t="str">
        <f>_xlfn.XLOOKUP(A561,My_Audit!A:A,My_Audit!D:D,"")</f>
        <v/>
      </c>
      <c r="F561" s="40" t="str" cm="1">
        <f t="array" ref="F561">IFERROR(_xlfn.LET(
_xlpm.CSVVal,_xlfn.XLOOKUP($A561,CSV!$A:$A,CSV!F:F,""),
_xlpm.MacVal,_xlfn.XLOOKUP($A561,Output_Mac!$A:$A,Output_Mac!E:E,""),
_xlpm.MyAuditVal,_xlfn.XLOOKUP($A561,My_Audit!$A:$A,My_Audit!E:E,""),
_xlfn.IFS(_xlpm.MyAuditVal&lt;&gt;"",_xlpm.MyAuditVal,_xlpm.MacVal&lt;&gt;"",_xlpm.MacVal,_xlpm.CSVVal&lt;&gt;"",_xlpm.CSVVal
)),"")</f>
        <v/>
      </c>
      <c r="G561" s="40" t="str" cm="1">
        <f t="array" ref="G561">IFERROR(_xlfn.LET(
_xlpm.CSVVal,_xlfn.XLOOKUP($A561,CSV!$A:$A,CSV!G:G,""),
_xlpm.MacVal,_xlfn.XLOOKUP($A561,Output_Mac!$A:$A,Output_Mac!F:F,""),
_xlpm.MyAuditVal,_xlfn.XLOOKUP($A561,My_Audit!$A:$A,My_Audit!F:F,""),
_xlfn.IFS(_xlpm.MyAuditVal&lt;&gt;"",_xlpm.MyAuditVal,_xlpm.MacVal&lt;&gt;"",_xlpm.MacVal,_xlpm.CSVVal&lt;&gt;"",PROPER(_xlpm.CSVVal)
)),"")</f>
        <v/>
      </c>
      <c r="H561" s="40" t="str" cm="1">
        <f t="array" ref="H561">IFERROR(_xlfn.LET(
_xlpm.CSVVal,_xlfn.XLOOKUP($A561,CSV!$A:$A,CSV!H:H,""),
_xlpm.MacVal,_xlfn.XLOOKUP($A561,Output_Mac!$A:$A,Output_Mac!H:H,""),
_xlpm.MyAuditVal,_xlfn.XLOOKUP($A561,My_Audit!$A:$A,My_Audit!G:G,""),
_xlfn.IFS(_xlpm.MyAuditVal&lt;&gt;"",_xlpm.MyAuditVal,_xlpm.MacVal&lt;&gt;"",_xlpm.MacVal,_xlpm.CSVVal&lt;&gt;"",_xlpm.CSVVal
)),"")</f>
        <v/>
      </c>
      <c r="I561" s="40" t="str">
        <f>_xlfn.XLOOKUP(A561,Output_Mac!A:A,Output_Mac!I:I,"")</f>
        <v/>
      </c>
      <c r="J561" s="40" t="str" cm="1">
        <f t="array" ref="J561">IFERROR(_xlfn.LET(
_xlpm.CSVVal,_xlfn.XLOOKUP($A561,CSV!$A:$A,CSV!I:I,""),
_xlpm.MacVal,_xlfn.XLOOKUP($A561,Output_Mac!$A:$A,Output_Mac!J:J,""),
_xlpm.MyAuditVal,_xlfn.XLOOKUP($A561,My_Audit!$A:$A,My_Audit!I:I,""),
_xlfn.IFS(_xlpm.MyAuditVal&lt;&gt;"",UPPER(_xlpm.MyAuditVal),_xlpm.MacVal&lt;&gt;"",_xlpm.MacVal,_xlpm.CSVVal&lt;&gt;"",_xlpm.CSVVal
)),"")</f>
        <v/>
      </c>
      <c r="K561" s="40" t="str" cm="1">
        <f t="array" ref="K561">IFERROR(_xlfn.LET(
_xlpm.CSVVal,_xlfn.XLOOKUP($A561,CSV!$A:$A,CSV!K:K,""),
_xlpm.MacVal,_xlfn.XLOOKUP($A561,Output_Mac!$A:$A,Output_Mac!K:K,""),
_xlpm.MyAuditVal,_xlfn.XLOOKUP($A561,My_Audit!$A:$A,My_Audit!J:J,""),
_xlfn.IFS(_xlpm.MyAuditVal&lt;&gt;"",UPPER(_xlpm.MyAuditVal),_xlpm.MacVal&lt;&gt;"",_xlpm.MacVal,_xlpm.CSVVal&lt;&gt;"",_xlpm.CSVVal
)),"")</f>
        <v/>
      </c>
      <c r="L561" s="40" t="str" cm="1">
        <f t="array" ref="L561">IFERROR(_xlfn.LET(
_xlpm.CSVVal,_xlfn.XLOOKUP($A561,CSV!$A:$A,CSV!P:P,""),
_xlpm.MacVal,_xlfn.XLOOKUP($A561,Output_Mac!$A:$A,Output_Mac!L:L,""),
_xlpm.MyAuditVal,_xlfn.XLOOKUP($A561,My_Audit!$A:$A,My_Audit!K:K,""),
_xlfn.IFS(_xlpm.MyAuditVal&lt;&gt;"",UPPER(_xlpm.MyAuditVal),_xlpm.MacVal&lt;&gt;"",_xlpm.MacVal,_xlpm.CSVVal&lt;&gt;"",_xlpm.CSVVal
)),"")</f>
        <v/>
      </c>
      <c r="M561" s="40" t="str" cm="1">
        <f t="array" ref="M561">IFERROR(_xlfn.LET(
_xlpm.CSVVal,_xlfn.XLOOKUP($A561,CSV!$A:$A,CSV!Q:Q,""),
_xlpm.MacVal,_xlfn.XLOOKUP($A561,Output_Mac!$A:$A,Output_Mac!M:M,""),
_xlpm.MyAuditVal,_xlfn.XLOOKUP($A561,My_Audit!$A:$A,My_Audit!L:L,""),
_xlfn.IFS(_xlpm.MyAuditVal&lt;&gt;"",UPPER(_xlpm.MyAuditVal),_xlpm.MacVal&lt;&gt;"",_xlpm.MacVal,_xlpm.CSVVal&lt;&gt;"",_xlpm.CSVVal
)),"")</f>
        <v/>
      </c>
      <c r="N561" s="40"/>
      <c r="O561" s="40" t="str">
        <f>_xlfn.LET(
    _xlpm.CSVVal, _xlfn.XLOOKUP($A561, CSV!$A:$A, CSV!AA:AA, ""),
    _xlpm.MacVal, _xlfn.XLOOKUP($A561, Output_Mac!$A:$A, Output_Mac!S:S, ""),
    _xlpm.MyAuditVal, _xlfn.XLOOKUP($A561, My_Audit!$A:$A, My_Audit!P:P, ""),
    _xlfn.TEXTJOIN(", ", TRUE, _xlpm.MyAuditVal, _xlpm.MacVal, _xlpm.CSVVal)
)</f>
        <v/>
      </c>
      <c r="P561" s="40" t="str" cm="1">
        <f t="array" ref="P561">IFERROR(_xlfn.LET(
_xlpm.CSVVal,_xlfn.XLOOKUP($A561,CSV!$A:$A,CSV!AB:AB,""),
_xlpm.MacVal,_xlfn.XLOOKUP($A561,Output_Mac!$A:$A,Output_Mac!T:T,""),
_xlpm.MyAuditVal,_xlfn.XLOOKUP($A561,My_Audit!$A:$A,My_Audit!Q:Q,""),
_xlfn.IFS(_xlpm.MyAuditVal&lt;&gt;"",UPPER(_xlpm.MyAuditVal),_xlpm.MacVal&lt;&gt;"",_xlpm.MacVal,_xlpm.CSVVal&lt;&gt;"",_xlpm.CSVVal
)),"No")</f>
        <v>No</v>
      </c>
      <c r="Q561" s="40" t="str" cm="1">
        <f t="array" ref="Q561">IFERROR(_xlfn.LET(
_xlpm.CSVVal,_xlfn.XLOOKUP($A561,CSV!$A:$A,CSV!AC:AC,""),
_xlpm.MacVal,_xlfn.XLOOKUP($A561,Output_Mac!$A:$A,Output_Mac!U:U,""),
_xlpm.MyAuditVal,_xlfn.XLOOKUP($A561,My_Audit!$A:$A,My_Audit!R:R,""),
_xlfn.IFS(_xlpm.MyAuditVal&lt;&gt;"",UPPER(_xlpm.MyAuditVal),_xlpm.MacVal&lt;&gt;"",_xlpm.MacVal,_xlpm.CSVVal&lt;&gt;"",_xlpm.CSVVal
)),"")</f>
        <v/>
      </c>
      <c r="R561" s="40"/>
      <c r="S561" s="40"/>
      <c r="T561" s="40"/>
      <c r="U561" s="40"/>
      <c r="V561" s="40"/>
      <c r="W561" s="40"/>
      <c r="X561" s="41" t="str">
        <f>_xlfn.LET(
    _xlpm.MacVal, _xlfn.XLOOKUP($A561, Output_Mac!$A:$A, Output_Mac!AB:AB, ""),
    _xlpm.MyAuditVal, _xlfn.XLOOKUP($A561, My_Audit!$A:$A, My_Audit!N:N, ""),
    _xlfn.TEXTJOIN(", ", TRUE, _xlpm.MyAuditVal, _xlpm.MacVal)
)</f>
        <v/>
      </c>
    </row>
    <row r="562" spans="1:24">
      <c r="A562" s="40" t="str">
        <f>_xlfn.TEXTJOIN("",TRUE,Input!$B$2,ROW(My_Audit!A561))</f>
        <v>X561</v>
      </c>
      <c r="B562" s="40" t="str">
        <f>_xlfn.TEXTJOIN("-",TRUE,"ITD",Input!$A$2,A562)</f>
        <v>ITD-X561</v>
      </c>
      <c r="C562" s="40" t="str" cm="1">
        <f t="array" ref="C562">IFERROR(_xlfn.LET(
_xlpm.CSVVal,_xlfn.XLOOKUP($A562,CSV!$A:$A,CSV!B:B,""),
_xlpm.MacVal,_xlfn.XLOOKUP($A562,Output_Mac!$A:$A,Output_Mac!B:B,""),
_xlpm.MyAuditVal,_xlfn.XLOOKUP($A562,My_Audit!$A:$A,My_Audit!B:B,""),
_xlfn.IFS(_xlpm.MyAuditVal&lt;&gt;"",UPPER(_xlpm.MyAuditVal),_xlpm.MacVal&lt;&gt;"",_xlpm.MacVal,_xlpm.CSVVal&lt;&gt;"",_xlpm.CSVVal
)),"")</f>
        <v/>
      </c>
      <c r="D562" s="40" t="str" cm="1">
        <f t="array" ref="D562">IFERROR(_xlfn.LET(
_xlpm.CSVVal,_xlfn.XLOOKUP($A562,CSV!$A:$A,CSV!D:D,""),
_xlpm.MacVal,_xlfn.XLOOKUP($A562,Output_Mac!$A:$A,Output_Mac!C:C,""),
_xlpm.MyAuditVal,_xlfn.XLOOKUP($A562,My_Audit!$A:$A,My_Audit!C:C,""),
_xlfn.IFS(_xlpm.MyAuditVal&lt;&gt;"",_xlpm.MyAuditVal,_xlpm.MacVal&lt;&gt;"",_xlpm.MacVal,_xlpm.CSVVal&lt;&gt;"",_xlpm.CSVVal
)),"")</f>
        <v/>
      </c>
      <c r="E562" s="40" t="str">
        <f>_xlfn.XLOOKUP(A562,My_Audit!A:A,My_Audit!D:D,"")</f>
        <v/>
      </c>
      <c r="F562" s="40" t="str" cm="1">
        <f t="array" ref="F562">IFERROR(_xlfn.LET(
_xlpm.CSVVal,_xlfn.XLOOKUP($A562,CSV!$A:$A,CSV!F:F,""),
_xlpm.MacVal,_xlfn.XLOOKUP($A562,Output_Mac!$A:$A,Output_Mac!E:E,""),
_xlpm.MyAuditVal,_xlfn.XLOOKUP($A562,My_Audit!$A:$A,My_Audit!E:E,""),
_xlfn.IFS(_xlpm.MyAuditVal&lt;&gt;"",_xlpm.MyAuditVal,_xlpm.MacVal&lt;&gt;"",_xlpm.MacVal,_xlpm.CSVVal&lt;&gt;"",_xlpm.CSVVal
)),"")</f>
        <v/>
      </c>
      <c r="G562" s="40" t="str" cm="1">
        <f t="array" ref="G562">IFERROR(_xlfn.LET(
_xlpm.CSVVal,_xlfn.XLOOKUP($A562,CSV!$A:$A,CSV!G:G,""),
_xlpm.MacVal,_xlfn.XLOOKUP($A562,Output_Mac!$A:$A,Output_Mac!F:F,""),
_xlpm.MyAuditVal,_xlfn.XLOOKUP($A562,My_Audit!$A:$A,My_Audit!F:F,""),
_xlfn.IFS(_xlpm.MyAuditVal&lt;&gt;"",_xlpm.MyAuditVal,_xlpm.MacVal&lt;&gt;"",_xlpm.MacVal,_xlpm.CSVVal&lt;&gt;"",PROPER(_xlpm.CSVVal)
)),"")</f>
        <v/>
      </c>
      <c r="H562" s="40" t="str" cm="1">
        <f t="array" ref="H562">IFERROR(_xlfn.LET(
_xlpm.CSVVal,_xlfn.XLOOKUP($A562,CSV!$A:$A,CSV!H:H,""),
_xlpm.MacVal,_xlfn.XLOOKUP($A562,Output_Mac!$A:$A,Output_Mac!H:H,""),
_xlpm.MyAuditVal,_xlfn.XLOOKUP($A562,My_Audit!$A:$A,My_Audit!G:G,""),
_xlfn.IFS(_xlpm.MyAuditVal&lt;&gt;"",_xlpm.MyAuditVal,_xlpm.MacVal&lt;&gt;"",_xlpm.MacVal,_xlpm.CSVVal&lt;&gt;"",_xlpm.CSVVal
)),"")</f>
        <v/>
      </c>
      <c r="I562" s="40" t="str">
        <f>_xlfn.XLOOKUP(A562,Output_Mac!A:A,Output_Mac!I:I,"")</f>
        <v/>
      </c>
      <c r="J562" s="40" t="str" cm="1">
        <f t="array" ref="J562">IFERROR(_xlfn.LET(
_xlpm.CSVVal,_xlfn.XLOOKUP($A562,CSV!$A:$A,CSV!I:I,""),
_xlpm.MacVal,_xlfn.XLOOKUP($A562,Output_Mac!$A:$A,Output_Mac!J:J,""),
_xlpm.MyAuditVal,_xlfn.XLOOKUP($A562,My_Audit!$A:$A,My_Audit!I:I,""),
_xlfn.IFS(_xlpm.MyAuditVal&lt;&gt;"",UPPER(_xlpm.MyAuditVal),_xlpm.MacVal&lt;&gt;"",_xlpm.MacVal,_xlpm.CSVVal&lt;&gt;"",_xlpm.CSVVal
)),"")</f>
        <v/>
      </c>
      <c r="K562" s="40" t="str" cm="1">
        <f t="array" ref="K562">IFERROR(_xlfn.LET(
_xlpm.CSVVal,_xlfn.XLOOKUP($A562,CSV!$A:$A,CSV!K:K,""),
_xlpm.MacVal,_xlfn.XLOOKUP($A562,Output_Mac!$A:$A,Output_Mac!K:K,""),
_xlpm.MyAuditVal,_xlfn.XLOOKUP($A562,My_Audit!$A:$A,My_Audit!J:J,""),
_xlfn.IFS(_xlpm.MyAuditVal&lt;&gt;"",UPPER(_xlpm.MyAuditVal),_xlpm.MacVal&lt;&gt;"",_xlpm.MacVal,_xlpm.CSVVal&lt;&gt;"",_xlpm.CSVVal
)),"")</f>
        <v/>
      </c>
      <c r="L562" s="40" t="str" cm="1">
        <f t="array" ref="L562">IFERROR(_xlfn.LET(
_xlpm.CSVVal,_xlfn.XLOOKUP($A562,CSV!$A:$A,CSV!P:P,""),
_xlpm.MacVal,_xlfn.XLOOKUP($A562,Output_Mac!$A:$A,Output_Mac!L:L,""),
_xlpm.MyAuditVal,_xlfn.XLOOKUP($A562,My_Audit!$A:$A,My_Audit!K:K,""),
_xlfn.IFS(_xlpm.MyAuditVal&lt;&gt;"",UPPER(_xlpm.MyAuditVal),_xlpm.MacVal&lt;&gt;"",_xlpm.MacVal,_xlpm.CSVVal&lt;&gt;"",_xlpm.CSVVal
)),"")</f>
        <v/>
      </c>
      <c r="M562" s="40" t="str" cm="1">
        <f t="array" ref="M562">IFERROR(_xlfn.LET(
_xlpm.CSVVal,_xlfn.XLOOKUP($A562,CSV!$A:$A,CSV!Q:Q,""),
_xlpm.MacVal,_xlfn.XLOOKUP($A562,Output_Mac!$A:$A,Output_Mac!M:M,""),
_xlpm.MyAuditVal,_xlfn.XLOOKUP($A562,My_Audit!$A:$A,My_Audit!L:L,""),
_xlfn.IFS(_xlpm.MyAuditVal&lt;&gt;"",UPPER(_xlpm.MyAuditVal),_xlpm.MacVal&lt;&gt;"",_xlpm.MacVal,_xlpm.CSVVal&lt;&gt;"",_xlpm.CSVVal
)),"")</f>
        <v/>
      </c>
      <c r="N562" s="40"/>
      <c r="O562" s="40" t="str">
        <f>_xlfn.LET(
    _xlpm.CSVVal, _xlfn.XLOOKUP($A562, CSV!$A:$A, CSV!AA:AA, ""),
    _xlpm.MacVal, _xlfn.XLOOKUP($A562, Output_Mac!$A:$A, Output_Mac!S:S, ""),
    _xlpm.MyAuditVal, _xlfn.XLOOKUP($A562, My_Audit!$A:$A, My_Audit!P:P, ""),
    _xlfn.TEXTJOIN(", ", TRUE, _xlpm.MyAuditVal, _xlpm.MacVal, _xlpm.CSVVal)
)</f>
        <v/>
      </c>
      <c r="P562" s="40" t="str" cm="1">
        <f t="array" ref="P562">IFERROR(_xlfn.LET(
_xlpm.CSVVal,_xlfn.XLOOKUP($A562,CSV!$A:$A,CSV!AB:AB,""),
_xlpm.MacVal,_xlfn.XLOOKUP($A562,Output_Mac!$A:$A,Output_Mac!T:T,""),
_xlpm.MyAuditVal,_xlfn.XLOOKUP($A562,My_Audit!$A:$A,My_Audit!Q:Q,""),
_xlfn.IFS(_xlpm.MyAuditVal&lt;&gt;"",UPPER(_xlpm.MyAuditVal),_xlpm.MacVal&lt;&gt;"",_xlpm.MacVal,_xlpm.CSVVal&lt;&gt;"",_xlpm.CSVVal
)),"No")</f>
        <v>No</v>
      </c>
      <c r="Q562" s="40" t="str" cm="1">
        <f t="array" ref="Q562">IFERROR(_xlfn.LET(
_xlpm.CSVVal,_xlfn.XLOOKUP($A562,CSV!$A:$A,CSV!AC:AC,""),
_xlpm.MacVal,_xlfn.XLOOKUP($A562,Output_Mac!$A:$A,Output_Mac!U:U,""),
_xlpm.MyAuditVal,_xlfn.XLOOKUP($A562,My_Audit!$A:$A,My_Audit!R:R,""),
_xlfn.IFS(_xlpm.MyAuditVal&lt;&gt;"",UPPER(_xlpm.MyAuditVal),_xlpm.MacVal&lt;&gt;"",_xlpm.MacVal,_xlpm.CSVVal&lt;&gt;"",_xlpm.CSVVal
)),"")</f>
        <v/>
      </c>
      <c r="R562" s="40"/>
      <c r="S562" s="40"/>
      <c r="T562" s="40"/>
      <c r="U562" s="40"/>
      <c r="V562" s="40"/>
      <c r="W562" s="40"/>
      <c r="X562" s="41" t="str">
        <f>_xlfn.LET(
    _xlpm.MacVal, _xlfn.XLOOKUP($A562, Output_Mac!$A:$A, Output_Mac!AB:AB, ""),
    _xlpm.MyAuditVal, _xlfn.XLOOKUP($A562, My_Audit!$A:$A, My_Audit!N:N, ""),
    _xlfn.TEXTJOIN(", ", TRUE, _xlpm.MyAuditVal, _xlpm.MacVal)
)</f>
        <v/>
      </c>
    </row>
    <row r="563" spans="1:24">
      <c r="A563" s="40" t="str">
        <f>_xlfn.TEXTJOIN("",TRUE,Input!$B$2,ROW(My_Audit!A562))</f>
        <v>X562</v>
      </c>
      <c r="B563" s="40" t="str">
        <f>_xlfn.TEXTJOIN("-",TRUE,"ITD",Input!$A$2,A563)</f>
        <v>ITD-X562</v>
      </c>
      <c r="C563" s="40" t="str" cm="1">
        <f t="array" ref="C563">IFERROR(_xlfn.LET(
_xlpm.CSVVal,_xlfn.XLOOKUP($A563,CSV!$A:$A,CSV!B:B,""),
_xlpm.MacVal,_xlfn.XLOOKUP($A563,Output_Mac!$A:$A,Output_Mac!B:B,""),
_xlpm.MyAuditVal,_xlfn.XLOOKUP($A563,My_Audit!$A:$A,My_Audit!B:B,""),
_xlfn.IFS(_xlpm.MyAuditVal&lt;&gt;"",UPPER(_xlpm.MyAuditVal),_xlpm.MacVal&lt;&gt;"",_xlpm.MacVal,_xlpm.CSVVal&lt;&gt;"",_xlpm.CSVVal
)),"")</f>
        <v/>
      </c>
      <c r="D563" s="40" t="str" cm="1">
        <f t="array" ref="D563">IFERROR(_xlfn.LET(
_xlpm.CSVVal,_xlfn.XLOOKUP($A563,CSV!$A:$A,CSV!D:D,""),
_xlpm.MacVal,_xlfn.XLOOKUP($A563,Output_Mac!$A:$A,Output_Mac!C:C,""),
_xlpm.MyAuditVal,_xlfn.XLOOKUP($A563,My_Audit!$A:$A,My_Audit!C:C,""),
_xlfn.IFS(_xlpm.MyAuditVal&lt;&gt;"",_xlpm.MyAuditVal,_xlpm.MacVal&lt;&gt;"",_xlpm.MacVal,_xlpm.CSVVal&lt;&gt;"",_xlpm.CSVVal
)),"")</f>
        <v/>
      </c>
      <c r="E563" s="40" t="str">
        <f>_xlfn.XLOOKUP(A563,My_Audit!A:A,My_Audit!D:D,"")</f>
        <v/>
      </c>
      <c r="F563" s="40" t="str" cm="1">
        <f t="array" ref="F563">IFERROR(_xlfn.LET(
_xlpm.CSVVal,_xlfn.XLOOKUP($A563,CSV!$A:$A,CSV!F:F,""),
_xlpm.MacVal,_xlfn.XLOOKUP($A563,Output_Mac!$A:$A,Output_Mac!E:E,""),
_xlpm.MyAuditVal,_xlfn.XLOOKUP($A563,My_Audit!$A:$A,My_Audit!E:E,""),
_xlfn.IFS(_xlpm.MyAuditVal&lt;&gt;"",_xlpm.MyAuditVal,_xlpm.MacVal&lt;&gt;"",_xlpm.MacVal,_xlpm.CSVVal&lt;&gt;"",_xlpm.CSVVal
)),"")</f>
        <v/>
      </c>
      <c r="G563" s="40" t="str" cm="1">
        <f t="array" ref="G563">IFERROR(_xlfn.LET(
_xlpm.CSVVal,_xlfn.XLOOKUP($A563,CSV!$A:$A,CSV!G:G,""),
_xlpm.MacVal,_xlfn.XLOOKUP($A563,Output_Mac!$A:$A,Output_Mac!F:F,""),
_xlpm.MyAuditVal,_xlfn.XLOOKUP($A563,My_Audit!$A:$A,My_Audit!F:F,""),
_xlfn.IFS(_xlpm.MyAuditVal&lt;&gt;"",_xlpm.MyAuditVal,_xlpm.MacVal&lt;&gt;"",_xlpm.MacVal,_xlpm.CSVVal&lt;&gt;"",PROPER(_xlpm.CSVVal)
)),"")</f>
        <v/>
      </c>
      <c r="H563" s="40" t="str" cm="1">
        <f t="array" ref="H563">IFERROR(_xlfn.LET(
_xlpm.CSVVal,_xlfn.XLOOKUP($A563,CSV!$A:$A,CSV!H:H,""),
_xlpm.MacVal,_xlfn.XLOOKUP($A563,Output_Mac!$A:$A,Output_Mac!H:H,""),
_xlpm.MyAuditVal,_xlfn.XLOOKUP($A563,My_Audit!$A:$A,My_Audit!G:G,""),
_xlfn.IFS(_xlpm.MyAuditVal&lt;&gt;"",_xlpm.MyAuditVal,_xlpm.MacVal&lt;&gt;"",_xlpm.MacVal,_xlpm.CSVVal&lt;&gt;"",_xlpm.CSVVal
)),"")</f>
        <v/>
      </c>
      <c r="I563" s="40" t="str">
        <f>_xlfn.XLOOKUP(A563,Output_Mac!A:A,Output_Mac!I:I,"")</f>
        <v/>
      </c>
      <c r="J563" s="40" t="str" cm="1">
        <f t="array" ref="J563">IFERROR(_xlfn.LET(
_xlpm.CSVVal,_xlfn.XLOOKUP($A563,CSV!$A:$A,CSV!I:I,""),
_xlpm.MacVal,_xlfn.XLOOKUP($A563,Output_Mac!$A:$A,Output_Mac!J:J,""),
_xlpm.MyAuditVal,_xlfn.XLOOKUP($A563,My_Audit!$A:$A,My_Audit!I:I,""),
_xlfn.IFS(_xlpm.MyAuditVal&lt;&gt;"",UPPER(_xlpm.MyAuditVal),_xlpm.MacVal&lt;&gt;"",_xlpm.MacVal,_xlpm.CSVVal&lt;&gt;"",_xlpm.CSVVal
)),"")</f>
        <v/>
      </c>
      <c r="K563" s="40" t="str" cm="1">
        <f t="array" ref="K563">IFERROR(_xlfn.LET(
_xlpm.CSVVal,_xlfn.XLOOKUP($A563,CSV!$A:$A,CSV!K:K,""),
_xlpm.MacVal,_xlfn.XLOOKUP($A563,Output_Mac!$A:$A,Output_Mac!K:K,""),
_xlpm.MyAuditVal,_xlfn.XLOOKUP($A563,My_Audit!$A:$A,My_Audit!J:J,""),
_xlfn.IFS(_xlpm.MyAuditVal&lt;&gt;"",UPPER(_xlpm.MyAuditVal),_xlpm.MacVal&lt;&gt;"",_xlpm.MacVal,_xlpm.CSVVal&lt;&gt;"",_xlpm.CSVVal
)),"")</f>
        <v/>
      </c>
      <c r="L563" s="40" t="str" cm="1">
        <f t="array" ref="L563">IFERROR(_xlfn.LET(
_xlpm.CSVVal,_xlfn.XLOOKUP($A563,CSV!$A:$A,CSV!P:P,""),
_xlpm.MacVal,_xlfn.XLOOKUP($A563,Output_Mac!$A:$A,Output_Mac!L:L,""),
_xlpm.MyAuditVal,_xlfn.XLOOKUP($A563,My_Audit!$A:$A,My_Audit!K:K,""),
_xlfn.IFS(_xlpm.MyAuditVal&lt;&gt;"",UPPER(_xlpm.MyAuditVal),_xlpm.MacVal&lt;&gt;"",_xlpm.MacVal,_xlpm.CSVVal&lt;&gt;"",_xlpm.CSVVal
)),"")</f>
        <v/>
      </c>
      <c r="M563" s="40" t="str" cm="1">
        <f t="array" ref="M563">IFERROR(_xlfn.LET(
_xlpm.CSVVal,_xlfn.XLOOKUP($A563,CSV!$A:$A,CSV!Q:Q,""),
_xlpm.MacVal,_xlfn.XLOOKUP($A563,Output_Mac!$A:$A,Output_Mac!M:M,""),
_xlpm.MyAuditVal,_xlfn.XLOOKUP($A563,My_Audit!$A:$A,My_Audit!L:L,""),
_xlfn.IFS(_xlpm.MyAuditVal&lt;&gt;"",UPPER(_xlpm.MyAuditVal),_xlpm.MacVal&lt;&gt;"",_xlpm.MacVal,_xlpm.CSVVal&lt;&gt;"",_xlpm.CSVVal
)),"")</f>
        <v/>
      </c>
      <c r="N563" s="40"/>
      <c r="O563" s="40" t="str">
        <f>_xlfn.LET(
    _xlpm.CSVVal, _xlfn.XLOOKUP($A563, CSV!$A:$A, CSV!AA:AA, ""),
    _xlpm.MacVal, _xlfn.XLOOKUP($A563, Output_Mac!$A:$A, Output_Mac!S:S, ""),
    _xlpm.MyAuditVal, _xlfn.XLOOKUP($A563, My_Audit!$A:$A, My_Audit!P:P, ""),
    _xlfn.TEXTJOIN(", ", TRUE, _xlpm.MyAuditVal, _xlpm.MacVal, _xlpm.CSVVal)
)</f>
        <v/>
      </c>
      <c r="P563" s="40" t="str" cm="1">
        <f t="array" ref="P563">IFERROR(_xlfn.LET(
_xlpm.CSVVal,_xlfn.XLOOKUP($A563,CSV!$A:$A,CSV!AB:AB,""),
_xlpm.MacVal,_xlfn.XLOOKUP($A563,Output_Mac!$A:$A,Output_Mac!T:T,""),
_xlpm.MyAuditVal,_xlfn.XLOOKUP($A563,My_Audit!$A:$A,My_Audit!Q:Q,""),
_xlfn.IFS(_xlpm.MyAuditVal&lt;&gt;"",UPPER(_xlpm.MyAuditVal),_xlpm.MacVal&lt;&gt;"",_xlpm.MacVal,_xlpm.CSVVal&lt;&gt;"",_xlpm.CSVVal
)),"No")</f>
        <v>No</v>
      </c>
      <c r="Q563" s="40" t="str" cm="1">
        <f t="array" ref="Q563">IFERROR(_xlfn.LET(
_xlpm.CSVVal,_xlfn.XLOOKUP($A563,CSV!$A:$A,CSV!AC:AC,""),
_xlpm.MacVal,_xlfn.XLOOKUP($A563,Output_Mac!$A:$A,Output_Mac!U:U,""),
_xlpm.MyAuditVal,_xlfn.XLOOKUP($A563,My_Audit!$A:$A,My_Audit!R:R,""),
_xlfn.IFS(_xlpm.MyAuditVal&lt;&gt;"",UPPER(_xlpm.MyAuditVal),_xlpm.MacVal&lt;&gt;"",_xlpm.MacVal,_xlpm.CSVVal&lt;&gt;"",_xlpm.CSVVal
)),"")</f>
        <v/>
      </c>
      <c r="R563" s="40"/>
      <c r="S563" s="40"/>
      <c r="T563" s="40"/>
      <c r="U563" s="40"/>
      <c r="V563" s="40"/>
      <c r="W563" s="40"/>
      <c r="X563" s="41" t="str">
        <f>_xlfn.LET(
    _xlpm.MacVal, _xlfn.XLOOKUP($A563, Output_Mac!$A:$A, Output_Mac!AB:AB, ""),
    _xlpm.MyAuditVal, _xlfn.XLOOKUP($A563, My_Audit!$A:$A, My_Audit!N:N, ""),
    _xlfn.TEXTJOIN(", ", TRUE, _xlpm.MyAuditVal, _xlpm.MacVal)
)</f>
        <v/>
      </c>
    </row>
    <row r="564" spans="1:24">
      <c r="A564" s="40" t="str">
        <f>_xlfn.TEXTJOIN("",TRUE,Input!$B$2,ROW(My_Audit!A563))</f>
        <v>X563</v>
      </c>
      <c r="B564" s="40" t="str">
        <f>_xlfn.TEXTJOIN("-",TRUE,"ITD",Input!$A$2,A564)</f>
        <v>ITD-X563</v>
      </c>
      <c r="C564" s="40" t="str" cm="1">
        <f t="array" ref="C564">IFERROR(_xlfn.LET(
_xlpm.CSVVal,_xlfn.XLOOKUP($A564,CSV!$A:$A,CSV!B:B,""),
_xlpm.MacVal,_xlfn.XLOOKUP($A564,Output_Mac!$A:$A,Output_Mac!B:B,""),
_xlpm.MyAuditVal,_xlfn.XLOOKUP($A564,My_Audit!$A:$A,My_Audit!B:B,""),
_xlfn.IFS(_xlpm.MyAuditVal&lt;&gt;"",UPPER(_xlpm.MyAuditVal),_xlpm.MacVal&lt;&gt;"",_xlpm.MacVal,_xlpm.CSVVal&lt;&gt;"",_xlpm.CSVVal
)),"")</f>
        <v/>
      </c>
      <c r="D564" s="40" t="str" cm="1">
        <f t="array" ref="D564">IFERROR(_xlfn.LET(
_xlpm.CSVVal,_xlfn.XLOOKUP($A564,CSV!$A:$A,CSV!D:D,""),
_xlpm.MacVal,_xlfn.XLOOKUP($A564,Output_Mac!$A:$A,Output_Mac!C:C,""),
_xlpm.MyAuditVal,_xlfn.XLOOKUP($A564,My_Audit!$A:$A,My_Audit!C:C,""),
_xlfn.IFS(_xlpm.MyAuditVal&lt;&gt;"",_xlpm.MyAuditVal,_xlpm.MacVal&lt;&gt;"",_xlpm.MacVal,_xlpm.CSVVal&lt;&gt;"",_xlpm.CSVVal
)),"")</f>
        <v/>
      </c>
      <c r="E564" s="40" t="str">
        <f>_xlfn.XLOOKUP(A564,My_Audit!A:A,My_Audit!D:D,"")</f>
        <v/>
      </c>
      <c r="F564" s="40" t="str" cm="1">
        <f t="array" ref="F564">IFERROR(_xlfn.LET(
_xlpm.CSVVal,_xlfn.XLOOKUP($A564,CSV!$A:$A,CSV!F:F,""),
_xlpm.MacVal,_xlfn.XLOOKUP($A564,Output_Mac!$A:$A,Output_Mac!E:E,""),
_xlpm.MyAuditVal,_xlfn.XLOOKUP($A564,My_Audit!$A:$A,My_Audit!E:E,""),
_xlfn.IFS(_xlpm.MyAuditVal&lt;&gt;"",_xlpm.MyAuditVal,_xlpm.MacVal&lt;&gt;"",_xlpm.MacVal,_xlpm.CSVVal&lt;&gt;"",_xlpm.CSVVal
)),"")</f>
        <v/>
      </c>
      <c r="G564" s="40" t="str" cm="1">
        <f t="array" ref="G564">IFERROR(_xlfn.LET(
_xlpm.CSVVal,_xlfn.XLOOKUP($A564,CSV!$A:$A,CSV!G:G,""),
_xlpm.MacVal,_xlfn.XLOOKUP($A564,Output_Mac!$A:$A,Output_Mac!F:F,""),
_xlpm.MyAuditVal,_xlfn.XLOOKUP($A564,My_Audit!$A:$A,My_Audit!F:F,""),
_xlfn.IFS(_xlpm.MyAuditVal&lt;&gt;"",_xlpm.MyAuditVal,_xlpm.MacVal&lt;&gt;"",_xlpm.MacVal,_xlpm.CSVVal&lt;&gt;"",PROPER(_xlpm.CSVVal)
)),"")</f>
        <v/>
      </c>
      <c r="H564" s="40" t="str" cm="1">
        <f t="array" ref="H564">IFERROR(_xlfn.LET(
_xlpm.CSVVal,_xlfn.XLOOKUP($A564,CSV!$A:$A,CSV!H:H,""),
_xlpm.MacVal,_xlfn.XLOOKUP($A564,Output_Mac!$A:$A,Output_Mac!H:H,""),
_xlpm.MyAuditVal,_xlfn.XLOOKUP($A564,My_Audit!$A:$A,My_Audit!G:G,""),
_xlfn.IFS(_xlpm.MyAuditVal&lt;&gt;"",_xlpm.MyAuditVal,_xlpm.MacVal&lt;&gt;"",_xlpm.MacVal,_xlpm.CSVVal&lt;&gt;"",_xlpm.CSVVal
)),"")</f>
        <v/>
      </c>
      <c r="I564" s="40" t="str">
        <f>_xlfn.XLOOKUP(A564,Output_Mac!A:A,Output_Mac!I:I,"")</f>
        <v/>
      </c>
      <c r="J564" s="40" t="str" cm="1">
        <f t="array" ref="J564">IFERROR(_xlfn.LET(
_xlpm.CSVVal,_xlfn.XLOOKUP($A564,CSV!$A:$A,CSV!I:I,""),
_xlpm.MacVal,_xlfn.XLOOKUP($A564,Output_Mac!$A:$A,Output_Mac!J:J,""),
_xlpm.MyAuditVal,_xlfn.XLOOKUP($A564,My_Audit!$A:$A,My_Audit!I:I,""),
_xlfn.IFS(_xlpm.MyAuditVal&lt;&gt;"",UPPER(_xlpm.MyAuditVal),_xlpm.MacVal&lt;&gt;"",_xlpm.MacVal,_xlpm.CSVVal&lt;&gt;"",_xlpm.CSVVal
)),"")</f>
        <v/>
      </c>
      <c r="K564" s="40" t="str" cm="1">
        <f t="array" ref="K564">IFERROR(_xlfn.LET(
_xlpm.CSVVal,_xlfn.XLOOKUP($A564,CSV!$A:$A,CSV!K:K,""),
_xlpm.MacVal,_xlfn.XLOOKUP($A564,Output_Mac!$A:$A,Output_Mac!K:K,""),
_xlpm.MyAuditVal,_xlfn.XLOOKUP($A564,My_Audit!$A:$A,My_Audit!J:J,""),
_xlfn.IFS(_xlpm.MyAuditVal&lt;&gt;"",UPPER(_xlpm.MyAuditVal),_xlpm.MacVal&lt;&gt;"",_xlpm.MacVal,_xlpm.CSVVal&lt;&gt;"",_xlpm.CSVVal
)),"")</f>
        <v/>
      </c>
      <c r="L564" s="40" t="str" cm="1">
        <f t="array" ref="L564">IFERROR(_xlfn.LET(
_xlpm.CSVVal,_xlfn.XLOOKUP($A564,CSV!$A:$A,CSV!P:P,""),
_xlpm.MacVal,_xlfn.XLOOKUP($A564,Output_Mac!$A:$A,Output_Mac!L:L,""),
_xlpm.MyAuditVal,_xlfn.XLOOKUP($A564,My_Audit!$A:$A,My_Audit!K:K,""),
_xlfn.IFS(_xlpm.MyAuditVal&lt;&gt;"",UPPER(_xlpm.MyAuditVal),_xlpm.MacVal&lt;&gt;"",_xlpm.MacVal,_xlpm.CSVVal&lt;&gt;"",_xlpm.CSVVal
)),"")</f>
        <v/>
      </c>
      <c r="M564" s="40" t="str" cm="1">
        <f t="array" ref="M564">IFERROR(_xlfn.LET(
_xlpm.CSVVal,_xlfn.XLOOKUP($A564,CSV!$A:$A,CSV!Q:Q,""),
_xlpm.MacVal,_xlfn.XLOOKUP($A564,Output_Mac!$A:$A,Output_Mac!M:M,""),
_xlpm.MyAuditVal,_xlfn.XLOOKUP($A564,My_Audit!$A:$A,My_Audit!L:L,""),
_xlfn.IFS(_xlpm.MyAuditVal&lt;&gt;"",UPPER(_xlpm.MyAuditVal),_xlpm.MacVal&lt;&gt;"",_xlpm.MacVal,_xlpm.CSVVal&lt;&gt;"",_xlpm.CSVVal
)),"")</f>
        <v/>
      </c>
      <c r="N564" s="40"/>
      <c r="O564" s="40" t="str">
        <f>_xlfn.LET(
    _xlpm.CSVVal, _xlfn.XLOOKUP($A564, CSV!$A:$A, CSV!AA:AA, ""),
    _xlpm.MacVal, _xlfn.XLOOKUP($A564, Output_Mac!$A:$A, Output_Mac!S:S, ""),
    _xlpm.MyAuditVal, _xlfn.XLOOKUP($A564, My_Audit!$A:$A, My_Audit!P:P, ""),
    _xlfn.TEXTJOIN(", ", TRUE, _xlpm.MyAuditVal, _xlpm.MacVal, _xlpm.CSVVal)
)</f>
        <v/>
      </c>
      <c r="P564" s="40" t="str" cm="1">
        <f t="array" ref="P564">IFERROR(_xlfn.LET(
_xlpm.CSVVal,_xlfn.XLOOKUP($A564,CSV!$A:$A,CSV!AB:AB,""),
_xlpm.MacVal,_xlfn.XLOOKUP($A564,Output_Mac!$A:$A,Output_Mac!T:T,""),
_xlpm.MyAuditVal,_xlfn.XLOOKUP($A564,My_Audit!$A:$A,My_Audit!Q:Q,""),
_xlfn.IFS(_xlpm.MyAuditVal&lt;&gt;"",UPPER(_xlpm.MyAuditVal),_xlpm.MacVal&lt;&gt;"",_xlpm.MacVal,_xlpm.CSVVal&lt;&gt;"",_xlpm.CSVVal
)),"No")</f>
        <v>No</v>
      </c>
      <c r="Q564" s="40" t="str" cm="1">
        <f t="array" ref="Q564">IFERROR(_xlfn.LET(
_xlpm.CSVVal,_xlfn.XLOOKUP($A564,CSV!$A:$A,CSV!AC:AC,""),
_xlpm.MacVal,_xlfn.XLOOKUP($A564,Output_Mac!$A:$A,Output_Mac!U:U,""),
_xlpm.MyAuditVal,_xlfn.XLOOKUP($A564,My_Audit!$A:$A,My_Audit!R:R,""),
_xlfn.IFS(_xlpm.MyAuditVal&lt;&gt;"",UPPER(_xlpm.MyAuditVal),_xlpm.MacVal&lt;&gt;"",_xlpm.MacVal,_xlpm.CSVVal&lt;&gt;"",_xlpm.CSVVal
)),"")</f>
        <v/>
      </c>
      <c r="R564" s="40"/>
      <c r="S564" s="40"/>
      <c r="T564" s="40"/>
      <c r="U564" s="40"/>
      <c r="V564" s="40"/>
      <c r="W564" s="40"/>
      <c r="X564" s="41" t="str">
        <f>_xlfn.LET(
    _xlpm.MacVal, _xlfn.XLOOKUP($A564, Output_Mac!$A:$A, Output_Mac!AB:AB, ""),
    _xlpm.MyAuditVal, _xlfn.XLOOKUP($A564, My_Audit!$A:$A, My_Audit!N:N, ""),
    _xlfn.TEXTJOIN(", ", TRUE, _xlpm.MyAuditVal, _xlpm.MacVal)
)</f>
        <v/>
      </c>
    </row>
    <row r="565" spans="1:24">
      <c r="A565" s="40" t="str">
        <f>_xlfn.TEXTJOIN("",TRUE,Input!$B$2,ROW(My_Audit!A564))</f>
        <v>X564</v>
      </c>
      <c r="B565" s="40" t="str">
        <f>_xlfn.TEXTJOIN("-",TRUE,"ITD",Input!$A$2,A565)</f>
        <v>ITD-X564</v>
      </c>
      <c r="C565" s="40" t="str" cm="1">
        <f t="array" ref="C565">IFERROR(_xlfn.LET(
_xlpm.CSVVal,_xlfn.XLOOKUP($A565,CSV!$A:$A,CSV!B:B,""),
_xlpm.MacVal,_xlfn.XLOOKUP($A565,Output_Mac!$A:$A,Output_Mac!B:B,""),
_xlpm.MyAuditVal,_xlfn.XLOOKUP($A565,My_Audit!$A:$A,My_Audit!B:B,""),
_xlfn.IFS(_xlpm.MyAuditVal&lt;&gt;"",UPPER(_xlpm.MyAuditVal),_xlpm.MacVal&lt;&gt;"",_xlpm.MacVal,_xlpm.CSVVal&lt;&gt;"",_xlpm.CSVVal
)),"")</f>
        <v/>
      </c>
      <c r="D565" s="40" t="str" cm="1">
        <f t="array" ref="D565">IFERROR(_xlfn.LET(
_xlpm.CSVVal,_xlfn.XLOOKUP($A565,CSV!$A:$A,CSV!D:D,""),
_xlpm.MacVal,_xlfn.XLOOKUP($A565,Output_Mac!$A:$A,Output_Mac!C:C,""),
_xlpm.MyAuditVal,_xlfn.XLOOKUP($A565,My_Audit!$A:$A,My_Audit!C:C,""),
_xlfn.IFS(_xlpm.MyAuditVal&lt;&gt;"",_xlpm.MyAuditVal,_xlpm.MacVal&lt;&gt;"",_xlpm.MacVal,_xlpm.CSVVal&lt;&gt;"",_xlpm.CSVVal
)),"")</f>
        <v/>
      </c>
      <c r="E565" s="40" t="str">
        <f>_xlfn.XLOOKUP(A565,My_Audit!A:A,My_Audit!D:D,"")</f>
        <v/>
      </c>
      <c r="F565" s="40" t="str" cm="1">
        <f t="array" ref="F565">IFERROR(_xlfn.LET(
_xlpm.CSVVal,_xlfn.XLOOKUP($A565,CSV!$A:$A,CSV!F:F,""),
_xlpm.MacVal,_xlfn.XLOOKUP($A565,Output_Mac!$A:$A,Output_Mac!E:E,""),
_xlpm.MyAuditVal,_xlfn.XLOOKUP($A565,My_Audit!$A:$A,My_Audit!E:E,""),
_xlfn.IFS(_xlpm.MyAuditVal&lt;&gt;"",_xlpm.MyAuditVal,_xlpm.MacVal&lt;&gt;"",_xlpm.MacVal,_xlpm.CSVVal&lt;&gt;"",_xlpm.CSVVal
)),"")</f>
        <v/>
      </c>
      <c r="G565" s="40" t="str" cm="1">
        <f t="array" ref="G565">IFERROR(_xlfn.LET(
_xlpm.CSVVal,_xlfn.XLOOKUP($A565,CSV!$A:$A,CSV!G:G,""),
_xlpm.MacVal,_xlfn.XLOOKUP($A565,Output_Mac!$A:$A,Output_Mac!F:F,""),
_xlpm.MyAuditVal,_xlfn.XLOOKUP($A565,My_Audit!$A:$A,My_Audit!F:F,""),
_xlfn.IFS(_xlpm.MyAuditVal&lt;&gt;"",_xlpm.MyAuditVal,_xlpm.MacVal&lt;&gt;"",_xlpm.MacVal,_xlpm.CSVVal&lt;&gt;"",PROPER(_xlpm.CSVVal)
)),"")</f>
        <v/>
      </c>
      <c r="H565" s="40" t="str" cm="1">
        <f t="array" ref="H565">IFERROR(_xlfn.LET(
_xlpm.CSVVal,_xlfn.XLOOKUP($A565,CSV!$A:$A,CSV!H:H,""),
_xlpm.MacVal,_xlfn.XLOOKUP($A565,Output_Mac!$A:$A,Output_Mac!H:H,""),
_xlpm.MyAuditVal,_xlfn.XLOOKUP($A565,My_Audit!$A:$A,My_Audit!G:G,""),
_xlfn.IFS(_xlpm.MyAuditVal&lt;&gt;"",_xlpm.MyAuditVal,_xlpm.MacVal&lt;&gt;"",_xlpm.MacVal,_xlpm.CSVVal&lt;&gt;"",_xlpm.CSVVal
)),"")</f>
        <v/>
      </c>
      <c r="I565" s="40" t="str">
        <f>_xlfn.XLOOKUP(A565,Output_Mac!A:A,Output_Mac!I:I,"")</f>
        <v/>
      </c>
      <c r="J565" s="40" t="str" cm="1">
        <f t="array" ref="J565">IFERROR(_xlfn.LET(
_xlpm.CSVVal,_xlfn.XLOOKUP($A565,CSV!$A:$A,CSV!I:I,""),
_xlpm.MacVal,_xlfn.XLOOKUP($A565,Output_Mac!$A:$A,Output_Mac!J:J,""),
_xlpm.MyAuditVal,_xlfn.XLOOKUP($A565,My_Audit!$A:$A,My_Audit!I:I,""),
_xlfn.IFS(_xlpm.MyAuditVal&lt;&gt;"",UPPER(_xlpm.MyAuditVal),_xlpm.MacVal&lt;&gt;"",_xlpm.MacVal,_xlpm.CSVVal&lt;&gt;"",_xlpm.CSVVal
)),"")</f>
        <v/>
      </c>
      <c r="K565" s="40" t="str" cm="1">
        <f t="array" ref="K565">IFERROR(_xlfn.LET(
_xlpm.CSVVal,_xlfn.XLOOKUP($A565,CSV!$A:$A,CSV!K:K,""),
_xlpm.MacVal,_xlfn.XLOOKUP($A565,Output_Mac!$A:$A,Output_Mac!K:K,""),
_xlpm.MyAuditVal,_xlfn.XLOOKUP($A565,My_Audit!$A:$A,My_Audit!J:J,""),
_xlfn.IFS(_xlpm.MyAuditVal&lt;&gt;"",UPPER(_xlpm.MyAuditVal),_xlpm.MacVal&lt;&gt;"",_xlpm.MacVal,_xlpm.CSVVal&lt;&gt;"",_xlpm.CSVVal
)),"")</f>
        <v/>
      </c>
      <c r="L565" s="40" t="str" cm="1">
        <f t="array" ref="L565">IFERROR(_xlfn.LET(
_xlpm.CSVVal,_xlfn.XLOOKUP($A565,CSV!$A:$A,CSV!P:P,""),
_xlpm.MacVal,_xlfn.XLOOKUP($A565,Output_Mac!$A:$A,Output_Mac!L:L,""),
_xlpm.MyAuditVal,_xlfn.XLOOKUP($A565,My_Audit!$A:$A,My_Audit!K:K,""),
_xlfn.IFS(_xlpm.MyAuditVal&lt;&gt;"",UPPER(_xlpm.MyAuditVal),_xlpm.MacVal&lt;&gt;"",_xlpm.MacVal,_xlpm.CSVVal&lt;&gt;"",_xlpm.CSVVal
)),"")</f>
        <v/>
      </c>
      <c r="M565" s="40" t="str" cm="1">
        <f t="array" ref="M565">IFERROR(_xlfn.LET(
_xlpm.CSVVal,_xlfn.XLOOKUP($A565,CSV!$A:$A,CSV!Q:Q,""),
_xlpm.MacVal,_xlfn.XLOOKUP($A565,Output_Mac!$A:$A,Output_Mac!M:M,""),
_xlpm.MyAuditVal,_xlfn.XLOOKUP($A565,My_Audit!$A:$A,My_Audit!L:L,""),
_xlfn.IFS(_xlpm.MyAuditVal&lt;&gt;"",UPPER(_xlpm.MyAuditVal),_xlpm.MacVal&lt;&gt;"",_xlpm.MacVal,_xlpm.CSVVal&lt;&gt;"",_xlpm.CSVVal
)),"")</f>
        <v/>
      </c>
      <c r="N565" s="40"/>
      <c r="O565" s="40" t="str">
        <f>_xlfn.LET(
    _xlpm.CSVVal, _xlfn.XLOOKUP($A565, CSV!$A:$A, CSV!AA:AA, ""),
    _xlpm.MacVal, _xlfn.XLOOKUP($A565, Output_Mac!$A:$A, Output_Mac!S:S, ""),
    _xlpm.MyAuditVal, _xlfn.XLOOKUP($A565, My_Audit!$A:$A, My_Audit!P:P, ""),
    _xlfn.TEXTJOIN(", ", TRUE, _xlpm.MyAuditVal, _xlpm.MacVal, _xlpm.CSVVal)
)</f>
        <v/>
      </c>
      <c r="P565" s="40" t="str" cm="1">
        <f t="array" ref="P565">IFERROR(_xlfn.LET(
_xlpm.CSVVal,_xlfn.XLOOKUP($A565,CSV!$A:$A,CSV!AB:AB,""),
_xlpm.MacVal,_xlfn.XLOOKUP($A565,Output_Mac!$A:$A,Output_Mac!T:T,""),
_xlpm.MyAuditVal,_xlfn.XLOOKUP($A565,My_Audit!$A:$A,My_Audit!Q:Q,""),
_xlfn.IFS(_xlpm.MyAuditVal&lt;&gt;"",UPPER(_xlpm.MyAuditVal),_xlpm.MacVal&lt;&gt;"",_xlpm.MacVal,_xlpm.CSVVal&lt;&gt;"",_xlpm.CSVVal
)),"No")</f>
        <v>No</v>
      </c>
      <c r="Q565" s="40" t="str" cm="1">
        <f t="array" ref="Q565">IFERROR(_xlfn.LET(
_xlpm.CSVVal,_xlfn.XLOOKUP($A565,CSV!$A:$A,CSV!AC:AC,""),
_xlpm.MacVal,_xlfn.XLOOKUP($A565,Output_Mac!$A:$A,Output_Mac!U:U,""),
_xlpm.MyAuditVal,_xlfn.XLOOKUP($A565,My_Audit!$A:$A,My_Audit!R:R,""),
_xlfn.IFS(_xlpm.MyAuditVal&lt;&gt;"",UPPER(_xlpm.MyAuditVal),_xlpm.MacVal&lt;&gt;"",_xlpm.MacVal,_xlpm.CSVVal&lt;&gt;"",_xlpm.CSVVal
)),"")</f>
        <v/>
      </c>
      <c r="R565" s="40"/>
      <c r="S565" s="40"/>
      <c r="T565" s="40"/>
      <c r="U565" s="40"/>
      <c r="V565" s="40"/>
      <c r="W565" s="40"/>
      <c r="X565" s="41" t="str">
        <f>_xlfn.LET(
    _xlpm.MacVal, _xlfn.XLOOKUP($A565, Output_Mac!$A:$A, Output_Mac!AB:AB, ""),
    _xlpm.MyAuditVal, _xlfn.XLOOKUP($A565, My_Audit!$A:$A, My_Audit!N:N, ""),
    _xlfn.TEXTJOIN(", ", TRUE, _xlpm.MyAuditVal, _xlpm.MacVal)
)</f>
        <v/>
      </c>
    </row>
    <row r="566" spans="1:24">
      <c r="A566" s="40" t="str">
        <f>_xlfn.TEXTJOIN("",TRUE,Input!$B$2,ROW(My_Audit!A565))</f>
        <v>X565</v>
      </c>
      <c r="B566" s="40" t="str">
        <f>_xlfn.TEXTJOIN("-",TRUE,"ITD",Input!$A$2,A566)</f>
        <v>ITD-X565</v>
      </c>
      <c r="C566" s="40" t="str" cm="1">
        <f t="array" ref="C566">IFERROR(_xlfn.LET(
_xlpm.CSVVal,_xlfn.XLOOKUP($A566,CSV!$A:$A,CSV!B:B,""),
_xlpm.MacVal,_xlfn.XLOOKUP($A566,Output_Mac!$A:$A,Output_Mac!B:B,""),
_xlpm.MyAuditVal,_xlfn.XLOOKUP($A566,My_Audit!$A:$A,My_Audit!B:B,""),
_xlfn.IFS(_xlpm.MyAuditVal&lt;&gt;"",UPPER(_xlpm.MyAuditVal),_xlpm.MacVal&lt;&gt;"",_xlpm.MacVal,_xlpm.CSVVal&lt;&gt;"",_xlpm.CSVVal
)),"")</f>
        <v/>
      </c>
      <c r="D566" s="40" t="str" cm="1">
        <f t="array" ref="D566">IFERROR(_xlfn.LET(
_xlpm.CSVVal,_xlfn.XLOOKUP($A566,CSV!$A:$A,CSV!D:D,""),
_xlpm.MacVal,_xlfn.XLOOKUP($A566,Output_Mac!$A:$A,Output_Mac!C:C,""),
_xlpm.MyAuditVal,_xlfn.XLOOKUP($A566,My_Audit!$A:$A,My_Audit!C:C,""),
_xlfn.IFS(_xlpm.MyAuditVal&lt;&gt;"",_xlpm.MyAuditVal,_xlpm.MacVal&lt;&gt;"",_xlpm.MacVal,_xlpm.CSVVal&lt;&gt;"",_xlpm.CSVVal
)),"")</f>
        <v/>
      </c>
      <c r="E566" s="40" t="str">
        <f>_xlfn.XLOOKUP(A566,My_Audit!A:A,My_Audit!D:D,"")</f>
        <v/>
      </c>
      <c r="F566" s="40" t="str" cm="1">
        <f t="array" ref="F566">IFERROR(_xlfn.LET(
_xlpm.CSVVal,_xlfn.XLOOKUP($A566,CSV!$A:$A,CSV!F:F,""),
_xlpm.MacVal,_xlfn.XLOOKUP($A566,Output_Mac!$A:$A,Output_Mac!E:E,""),
_xlpm.MyAuditVal,_xlfn.XLOOKUP($A566,My_Audit!$A:$A,My_Audit!E:E,""),
_xlfn.IFS(_xlpm.MyAuditVal&lt;&gt;"",_xlpm.MyAuditVal,_xlpm.MacVal&lt;&gt;"",_xlpm.MacVal,_xlpm.CSVVal&lt;&gt;"",_xlpm.CSVVal
)),"")</f>
        <v/>
      </c>
      <c r="G566" s="40" t="str" cm="1">
        <f t="array" ref="G566">IFERROR(_xlfn.LET(
_xlpm.CSVVal,_xlfn.XLOOKUP($A566,CSV!$A:$A,CSV!G:G,""),
_xlpm.MacVal,_xlfn.XLOOKUP($A566,Output_Mac!$A:$A,Output_Mac!F:F,""),
_xlpm.MyAuditVal,_xlfn.XLOOKUP($A566,My_Audit!$A:$A,My_Audit!F:F,""),
_xlfn.IFS(_xlpm.MyAuditVal&lt;&gt;"",_xlpm.MyAuditVal,_xlpm.MacVal&lt;&gt;"",_xlpm.MacVal,_xlpm.CSVVal&lt;&gt;"",PROPER(_xlpm.CSVVal)
)),"")</f>
        <v/>
      </c>
      <c r="H566" s="40" t="str" cm="1">
        <f t="array" ref="H566">IFERROR(_xlfn.LET(
_xlpm.CSVVal,_xlfn.XLOOKUP($A566,CSV!$A:$A,CSV!H:H,""),
_xlpm.MacVal,_xlfn.XLOOKUP($A566,Output_Mac!$A:$A,Output_Mac!H:H,""),
_xlpm.MyAuditVal,_xlfn.XLOOKUP($A566,My_Audit!$A:$A,My_Audit!G:G,""),
_xlfn.IFS(_xlpm.MyAuditVal&lt;&gt;"",_xlpm.MyAuditVal,_xlpm.MacVal&lt;&gt;"",_xlpm.MacVal,_xlpm.CSVVal&lt;&gt;"",_xlpm.CSVVal
)),"")</f>
        <v/>
      </c>
      <c r="I566" s="40" t="str">
        <f>_xlfn.XLOOKUP(A566,Output_Mac!A:A,Output_Mac!I:I,"")</f>
        <v/>
      </c>
      <c r="J566" s="40" t="str" cm="1">
        <f t="array" ref="J566">IFERROR(_xlfn.LET(
_xlpm.CSVVal,_xlfn.XLOOKUP($A566,CSV!$A:$A,CSV!I:I,""),
_xlpm.MacVal,_xlfn.XLOOKUP($A566,Output_Mac!$A:$A,Output_Mac!J:J,""),
_xlpm.MyAuditVal,_xlfn.XLOOKUP($A566,My_Audit!$A:$A,My_Audit!I:I,""),
_xlfn.IFS(_xlpm.MyAuditVal&lt;&gt;"",UPPER(_xlpm.MyAuditVal),_xlpm.MacVal&lt;&gt;"",_xlpm.MacVal,_xlpm.CSVVal&lt;&gt;"",_xlpm.CSVVal
)),"")</f>
        <v/>
      </c>
      <c r="K566" s="40" t="str" cm="1">
        <f t="array" ref="K566">IFERROR(_xlfn.LET(
_xlpm.CSVVal,_xlfn.XLOOKUP($A566,CSV!$A:$A,CSV!K:K,""),
_xlpm.MacVal,_xlfn.XLOOKUP($A566,Output_Mac!$A:$A,Output_Mac!K:K,""),
_xlpm.MyAuditVal,_xlfn.XLOOKUP($A566,My_Audit!$A:$A,My_Audit!J:J,""),
_xlfn.IFS(_xlpm.MyAuditVal&lt;&gt;"",UPPER(_xlpm.MyAuditVal),_xlpm.MacVal&lt;&gt;"",_xlpm.MacVal,_xlpm.CSVVal&lt;&gt;"",_xlpm.CSVVal
)),"")</f>
        <v/>
      </c>
      <c r="L566" s="40" t="str" cm="1">
        <f t="array" ref="L566">IFERROR(_xlfn.LET(
_xlpm.CSVVal,_xlfn.XLOOKUP($A566,CSV!$A:$A,CSV!P:P,""),
_xlpm.MacVal,_xlfn.XLOOKUP($A566,Output_Mac!$A:$A,Output_Mac!L:L,""),
_xlpm.MyAuditVal,_xlfn.XLOOKUP($A566,My_Audit!$A:$A,My_Audit!K:K,""),
_xlfn.IFS(_xlpm.MyAuditVal&lt;&gt;"",UPPER(_xlpm.MyAuditVal),_xlpm.MacVal&lt;&gt;"",_xlpm.MacVal,_xlpm.CSVVal&lt;&gt;"",_xlpm.CSVVal
)),"")</f>
        <v/>
      </c>
      <c r="M566" s="40" t="str" cm="1">
        <f t="array" ref="M566">IFERROR(_xlfn.LET(
_xlpm.CSVVal,_xlfn.XLOOKUP($A566,CSV!$A:$A,CSV!Q:Q,""),
_xlpm.MacVal,_xlfn.XLOOKUP($A566,Output_Mac!$A:$A,Output_Mac!M:M,""),
_xlpm.MyAuditVal,_xlfn.XLOOKUP($A566,My_Audit!$A:$A,My_Audit!L:L,""),
_xlfn.IFS(_xlpm.MyAuditVal&lt;&gt;"",UPPER(_xlpm.MyAuditVal),_xlpm.MacVal&lt;&gt;"",_xlpm.MacVal,_xlpm.CSVVal&lt;&gt;"",_xlpm.CSVVal
)),"")</f>
        <v/>
      </c>
      <c r="N566" s="40"/>
      <c r="O566" s="40" t="str">
        <f>_xlfn.LET(
    _xlpm.CSVVal, _xlfn.XLOOKUP($A566, CSV!$A:$A, CSV!AA:AA, ""),
    _xlpm.MacVal, _xlfn.XLOOKUP($A566, Output_Mac!$A:$A, Output_Mac!S:S, ""),
    _xlpm.MyAuditVal, _xlfn.XLOOKUP($A566, My_Audit!$A:$A, My_Audit!P:P, ""),
    _xlfn.TEXTJOIN(", ", TRUE, _xlpm.MyAuditVal, _xlpm.MacVal, _xlpm.CSVVal)
)</f>
        <v/>
      </c>
      <c r="P566" s="40" t="str" cm="1">
        <f t="array" ref="P566">IFERROR(_xlfn.LET(
_xlpm.CSVVal,_xlfn.XLOOKUP($A566,CSV!$A:$A,CSV!AB:AB,""),
_xlpm.MacVal,_xlfn.XLOOKUP($A566,Output_Mac!$A:$A,Output_Mac!T:T,""),
_xlpm.MyAuditVal,_xlfn.XLOOKUP($A566,My_Audit!$A:$A,My_Audit!Q:Q,""),
_xlfn.IFS(_xlpm.MyAuditVal&lt;&gt;"",UPPER(_xlpm.MyAuditVal),_xlpm.MacVal&lt;&gt;"",_xlpm.MacVal,_xlpm.CSVVal&lt;&gt;"",_xlpm.CSVVal
)),"No")</f>
        <v>No</v>
      </c>
      <c r="Q566" s="40" t="str" cm="1">
        <f t="array" ref="Q566">IFERROR(_xlfn.LET(
_xlpm.CSVVal,_xlfn.XLOOKUP($A566,CSV!$A:$A,CSV!AC:AC,""),
_xlpm.MacVal,_xlfn.XLOOKUP($A566,Output_Mac!$A:$A,Output_Mac!U:U,""),
_xlpm.MyAuditVal,_xlfn.XLOOKUP($A566,My_Audit!$A:$A,My_Audit!R:R,""),
_xlfn.IFS(_xlpm.MyAuditVal&lt;&gt;"",UPPER(_xlpm.MyAuditVal),_xlpm.MacVal&lt;&gt;"",_xlpm.MacVal,_xlpm.CSVVal&lt;&gt;"",_xlpm.CSVVal
)),"")</f>
        <v/>
      </c>
      <c r="R566" s="40"/>
      <c r="S566" s="40"/>
      <c r="T566" s="40"/>
      <c r="U566" s="40"/>
      <c r="V566" s="40"/>
      <c r="W566" s="40"/>
      <c r="X566" s="41" t="str">
        <f>_xlfn.LET(
    _xlpm.MacVal, _xlfn.XLOOKUP($A566, Output_Mac!$A:$A, Output_Mac!AB:AB, ""),
    _xlpm.MyAuditVal, _xlfn.XLOOKUP($A566, My_Audit!$A:$A, My_Audit!N:N, ""),
    _xlfn.TEXTJOIN(", ", TRUE, _xlpm.MyAuditVal, _xlpm.MacVal)
)</f>
        <v/>
      </c>
    </row>
    <row r="567" spans="1:24">
      <c r="A567" s="40" t="str">
        <f>_xlfn.TEXTJOIN("",TRUE,Input!$B$2,ROW(My_Audit!A566))</f>
        <v>X566</v>
      </c>
      <c r="B567" s="40" t="str">
        <f>_xlfn.TEXTJOIN("-",TRUE,"ITD",Input!$A$2,A567)</f>
        <v>ITD-X566</v>
      </c>
      <c r="C567" s="40" t="str" cm="1">
        <f t="array" ref="C567">IFERROR(_xlfn.LET(
_xlpm.CSVVal,_xlfn.XLOOKUP($A567,CSV!$A:$A,CSV!B:B,""),
_xlpm.MacVal,_xlfn.XLOOKUP($A567,Output_Mac!$A:$A,Output_Mac!B:B,""),
_xlpm.MyAuditVal,_xlfn.XLOOKUP($A567,My_Audit!$A:$A,My_Audit!B:B,""),
_xlfn.IFS(_xlpm.MyAuditVal&lt;&gt;"",UPPER(_xlpm.MyAuditVal),_xlpm.MacVal&lt;&gt;"",_xlpm.MacVal,_xlpm.CSVVal&lt;&gt;"",_xlpm.CSVVal
)),"")</f>
        <v/>
      </c>
      <c r="D567" s="40" t="str" cm="1">
        <f t="array" ref="D567">IFERROR(_xlfn.LET(
_xlpm.CSVVal,_xlfn.XLOOKUP($A567,CSV!$A:$A,CSV!D:D,""),
_xlpm.MacVal,_xlfn.XLOOKUP($A567,Output_Mac!$A:$A,Output_Mac!C:C,""),
_xlpm.MyAuditVal,_xlfn.XLOOKUP($A567,My_Audit!$A:$A,My_Audit!C:C,""),
_xlfn.IFS(_xlpm.MyAuditVal&lt;&gt;"",_xlpm.MyAuditVal,_xlpm.MacVal&lt;&gt;"",_xlpm.MacVal,_xlpm.CSVVal&lt;&gt;"",_xlpm.CSVVal
)),"")</f>
        <v/>
      </c>
      <c r="E567" s="40" t="str">
        <f>_xlfn.XLOOKUP(A567,My_Audit!A:A,My_Audit!D:D,"")</f>
        <v/>
      </c>
      <c r="F567" s="40" t="str" cm="1">
        <f t="array" ref="F567">IFERROR(_xlfn.LET(
_xlpm.CSVVal,_xlfn.XLOOKUP($A567,CSV!$A:$A,CSV!F:F,""),
_xlpm.MacVal,_xlfn.XLOOKUP($A567,Output_Mac!$A:$A,Output_Mac!E:E,""),
_xlpm.MyAuditVal,_xlfn.XLOOKUP($A567,My_Audit!$A:$A,My_Audit!E:E,""),
_xlfn.IFS(_xlpm.MyAuditVal&lt;&gt;"",_xlpm.MyAuditVal,_xlpm.MacVal&lt;&gt;"",_xlpm.MacVal,_xlpm.CSVVal&lt;&gt;"",_xlpm.CSVVal
)),"")</f>
        <v/>
      </c>
      <c r="G567" s="40" t="str" cm="1">
        <f t="array" ref="G567">IFERROR(_xlfn.LET(
_xlpm.CSVVal,_xlfn.XLOOKUP($A567,CSV!$A:$A,CSV!G:G,""),
_xlpm.MacVal,_xlfn.XLOOKUP($A567,Output_Mac!$A:$A,Output_Mac!F:F,""),
_xlpm.MyAuditVal,_xlfn.XLOOKUP($A567,My_Audit!$A:$A,My_Audit!F:F,""),
_xlfn.IFS(_xlpm.MyAuditVal&lt;&gt;"",_xlpm.MyAuditVal,_xlpm.MacVal&lt;&gt;"",_xlpm.MacVal,_xlpm.CSVVal&lt;&gt;"",PROPER(_xlpm.CSVVal)
)),"")</f>
        <v/>
      </c>
      <c r="H567" s="40" t="str" cm="1">
        <f t="array" ref="H567">IFERROR(_xlfn.LET(
_xlpm.CSVVal,_xlfn.XLOOKUP($A567,CSV!$A:$A,CSV!H:H,""),
_xlpm.MacVal,_xlfn.XLOOKUP($A567,Output_Mac!$A:$A,Output_Mac!H:H,""),
_xlpm.MyAuditVal,_xlfn.XLOOKUP($A567,My_Audit!$A:$A,My_Audit!G:G,""),
_xlfn.IFS(_xlpm.MyAuditVal&lt;&gt;"",_xlpm.MyAuditVal,_xlpm.MacVal&lt;&gt;"",_xlpm.MacVal,_xlpm.CSVVal&lt;&gt;"",_xlpm.CSVVal
)),"")</f>
        <v/>
      </c>
      <c r="I567" s="40" t="str">
        <f>_xlfn.XLOOKUP(A567,Output_Mac!A:A,Output_Mac!I:I,"")</f>
        <v/>
      </c>
      <c r="J567" s="40" t="str" cm="1">
        <f t="array" ref="J567">IFERROR(_xlfn.LET(
_xlpm.CSVVal,_xlfn.XLOOKUP($A567,CSV!$A:$A,CSV!I:I,""),
_xlpm.MacVal,_xlfn.XLOOKUP($A567,Output_Mac!$A:$A,Output_Mac!J:J,""),
_xlpm.MyAuditVal,_xlfn.XLOOKUP($A567,My_Audit!$A:$A,My_Audit!I:I,""),
_xlfn.IFS(_xlpm.MyAuditVal&lt;&gt;"",UPPER(_xlpm.MyAuditVal),_xlpm.MacVal&lt;&gt;"",_xlpm.MacVal,_xlpm.CSVVal&lt;&gt;"",_xlpm.CSVVal
)),"")</f>
        <v/>
      </c>
      <c r="K567" s="40" t="str" cm="1">
        <f t="array" ref="K567">IFERROR(_xlfn.LET(
_xlpm.CSVVal,_xlfn.XLOOKUP($A567,CSV!$A:$A,CSV!K:K,""),
_xlpm.MacVal,_xlfn.XLOOKUP($A567,Output_Mac!$A:$A,Output_Mac!K:K,""),
_xlpm.MyAuditVal,_xlfn.XLOOKUP($A567,My_Audit!$A:$A,My_Audit!J:J,""),
_xlfn.IFS(_xlpm.MyAuditVal&lt;&gt;"",UPPER(_xlpm.MyAuditVal),_xlpm.MacVal&lt;&gt;"",_xlpm.MacVal,_xlpm.CSVVal&lt;&gt;"",_xlpm.CSVVal
)),"")</f>
        <v/>
      </c>
      <c r="L567" s="40" t="str" cm="1">
        <f t="array" ref="L567">IFERROR(_xlfn.LET(
_xlpm.CSVVal,_xlfn.XLOOKUP($A567,CSV!$A:$A,CSV!P:P,""),
_xlpm.MacVal,_xlfn.XLOOKUP($A567,Output_Mac!$A:$A,Output_Mac!L:L,""),
_xlpm.MyAuditVal,_xlfn.XLOOKUP($A567,My_Audit!$A:$A,My_Audit!K:K,""),
_xlfn.IFS(_xlpm.MyAuditVal&lt;&gt;"",UPPER(_xlpm.MyAuditVal),_xlpm.MacVal&lt;&gt;"",_xlpm.MacVal,_xlpm.CSVVal&lt;&gt;"",_xlpm.CSVVal
)),"")</f>
        <v/>
      </c>
      <c r="M567" s="40" t="str" cm="1">
        <f t="array" ref="M567">IFERROR(_xlfn.LET(
_xlpm.CSVVal,_xlfn.XLOOKUP($A567,CSV!$A:$A,CSV!Q:Q,""),
_xlpm.MacVal,_xlfn.XLOOKUP($A567,Output_Mac!$A:$A,Output_Mac!M:M,""),
_xlpm.MyAuditVal,_xlfn.XLOOKUP($A567,My_Audit!$A:$A,My_Audit!L:L,""),
_xlfn.IFS(_xlpm.MyAuditVal&lt;&gt;"",UPPER(_xlpm.MyAuditVal),_xlpm.MacVal&lt;&gt;"",_xlpm.MacVal,_xlpm.CSVVal&lt;&gt;"",_xlpm.CSVVal
)),"")</f>
        <v/>
      </c>
      <c r="N567" s="40"/>
      <c r="O567" s="40" t="str">
        <f>_xlfn.LET(
    _xlpm.CSVVal, _xlfn.XLOOKUP($A567, CSV!$A:$A, CSV!AA:AA, ""),
    _xlpm.MacVal, _xlfn.XLOOKUP($A567, Output_Mac!$A:$A, Output_Mac!S:S, ""),
    _xlpm.MyAuditVal, _xlfn.XLOOKUP($A567, My_Audit!$A:$A, My_Audit!P:P, ""),
    _xlfn.TEXTJOIN(", ", TRUE, _xlpm.MyAuditVal, _xlpm.MacVal, _xlpm.CSVVal)
)</f>
        <v/>
      </c>
      <c r="P567" s="40" t="str" cm="1">
        <f t="array" ref="P567">IFERROR(_xlfn.LET(
_xlpm.CSVVal,_xlfn.XLOOKUP($A567,CSV!$A:$A,CSV!AB:AB,""),
_xlpm.MacVal,_xlfn.XLOOKUP($A567,Output_Mac!$A:$A,Output_Mac!T:T,""),
_xlpm.MyAuditVal,_xlfn.XLOOKUP($A567,My_Audit!$A:$A,My_Audit!Q:Q,""),
_xlfn.IFS(_xlpm.MyAuditVal&lt;&gt;"",UPPER(_xlpm.MyAuditVal),_xlpm.MacVal&lt;&gt;"",_xlpm.MacVal,_xlpm.CSVVal&lt;&gt;"",_xlpm.CSVVal
)),"No")</f>
        <v>No</v>
      </c>
      <c r="Q567" s="40" t="str" cm="1">
        <f t="array" ref="Q567">IFERROR(_xlfn.LET(
_xlpm.CSVVal,_xlfn.XLOOKUP($A567,CSV!$A:$A,CSV!AC:AC,""),
_xlpm.MacVal,_xlfn.XLOOKUP($A567,Output_Mac!$A:$A,Output_Mac!U:U,""),
_xlpm.MyAuditVal,_xlfn.XLOOKUP($A567,My_Audit!$A:$A,My_Audit!R:R,""),
_xlfn.IFS(_xlpm.MyAuditVal&lt;&gt;"",UPPER(_xlpm.MyAuditVal),_xlpm.MacVal&lt;&gt;"",_xlpm.MacVal,_xlpm.CSVVal&lt;&gt;"",_xlpm.CSVVal
)),"")</f>
        <v/>
      </c>
      <c r="R567" s="40"/>
      <c r="S567" s="40"/>
      <c r="T567" s="40"/>
      <c r="U567" s="40"/>
      <c r="V567" s="40"/>
      <c r="W567" s="40"/>
      <c r="X567" s="41" t="str">
        <f>_xlfn.LET(
    _xlpm.MacVal, _xlfn.XLOOKUP($A567, Output_Mac!$A:$A, Output_Mac!AB:AB, ""),
    _xlpm.MyAuditVal, _xlfn.XLOOKUP($A567, My_Audit!$A:$A, My_Audit!N:N, ""),
    _xlfn.TEXTJOIN(", ", TRUE, _xlpm.MyAuditVal, _xlpm.MacVal)
)</f>
        <v/>
      </c>
    </row>
    <row r="568" spans="1:24">
      <c r="A568" s="40" t="str">
        <f>_xlfn.TEXTJOIN("",TRUE,Input!$B$2,ROW(My_Audit!A567))</f>
        <v>X567</v>
      </c>
      <c r="B568" s="40" t="str">
        <f>_xlfn.TEXTJOIN("-",TRUE,"ITD",Input!$A$2,A568)</f>
        <v>ITD-X567</v>
      </c>
      <c r="C568" s="40" t="str" cm="1">
        <f t="array" ref="C568">IFERROR(_xlfn.LET(
_xlpm.CSVVal,_xlfn.XLOOKUP($A568,CSV!$A:$A,CSV!B:B,""),
_xlpm.MacVal,_xlfn.XLOOKUP($A568,Output_Mac!$A:$A,Output_Mac!B:B,""),
_xlpm.MyAuditVal,_xlfn.XLOOKUP($A568,My_Audit!$A:$A,My_Audit!B:B,""),
_xlfn.IFS(_xlpm.MyAuditVal&lt;&gt;"",UPPER(_xlpm.MyAuditVal),_xlpm.MacVal&lt;&gt;"",_xlpm.MacVal,_xlpm.CSVVal&lt;&gt;"",_xlpm.CSVVal
)),"")</f>
        <v/>
      </c>
      <c r="D568" s="40" t="str" cm="1">
        <f t="array" ref="D568">IFERROR(_xlfn.LET(
_xlpm.CSVVal,_xlfn.XLOOKUP($A568,CSV!$A:$A,CSV!D:D,""),
_xlpm.MacVal,_xlfn.XLOOKUP($A568,Output_Mac!$A:$A,Output_Mac!C:C,""),
_xlpm.MyAuditVal,_xlfn.XLOOKUP($A568,My_Audit!$A:$A,My_Audit!C:C,""),
_xlfn.IFS(_xlpm.MyAuditVal&lt;&gt;"",_xlpm.MyAuditVal,_xlpm.MacVal&lt;&gt;"",_xlpm.MacVal,_xlpm.CSVVal&lt;&gt;"",_xlpm.CSVVal
)),"")</f>
        <v/>
      </c>
      <c r="E568" s="40" t="str">
        <f>_xlfn.XLOOKUP(A568,My_Audit!A:A,My_Audit!D:D,"")</f>
        <v/>
      </c>
      <c r="F568" s="40" t="str" cm="1">
        <f t="array" ref="F568">IFERROR(_xlfn.LET(
_xlpm.CSVVal,_xlfn.XLOOKUP($A568,CSV!$A:$A,CSV!F:F,""),
_xlpm.MacVal,_xlfn.XLOOKUP($A568,Output_Mac!$A:$A,Output_Mac!E:E,""),
_xlpm.MyAuditVal,_xlfn.XLOOKUP($A568,My_Audit!$A:$A,My_Audit!E:E,""),
_xlfn.IFS(_xlpm.MyAuditVal&lt;&gt;"",_xlpm.MyAuditVal,_xlpm.MacVal&lt;&gt;"",_xlpm.MacVal,_xlpm.CSVVal&lt;&gt;"",_xlpm.CSVVal
)),"")</f>
        <v/>
      </c>
      <c r="G568" s="40" t="str" cm="1">
        <f t="array" ref="G568">IFERROR(_xlfn.LET(
_xlpm.CSVVal,_xlfn.XLOOKUP($A568,CSV!$A:$A,CSV!G:G,""),
_xlpm.MacVal,_xlfn.XLOOKUP($A568,Output_Mac!$A:$A,Output_Mac!F:F,""),
_xlpm.MyAuditVal,_xlfn.XLOOKUP($A568,My_Audit!$A:$A,My_Audit!F:F,""),
_xlfn.IFS(_xlpm.MyAuditVal&lt;&gt;"",_xlpm.MyAuditVal,_xlpm.MacVal&lt;&gt;"",_xlpm.MacVal,_xlpm.CSVVal&lt;&gt;"",PROPER(_xlpm.CSVVal)
)),"")</f>
        <v/>
      </c>
      <c r="H568" s="40" t="str" cm="1">
        <f t="array" ref="H568">IFERROR(_xlfn.LET(
_xlpm.CSVVal,_xlfn.XLOOKUP($A568,CSV!$A:$A,CSV!H:H,""),
_xlpm.MacVal,_xlfn.XLOOKUP($A568,Output_Mac!$A:$A,Output_Mac!H:H,""),
_xlpm.MyAuditVal,_xlfn.XLOOKUP($A568,My_Audit!$A:$A,My_Audit!G:G,""),
_xlfn.IFS(_xlpm.MyAuditVal&lt;&gt;"",_xlpm.MyAuditVal,_xlpm.MacVal&lt;&gt;"",_xlpm.MacVal,_xlpm.CSVVal&lt;&gt;"",_xlpm.CSVVal
)),"")</f>
        <v/>
      </c>
      <c r="I568" s="40" t="str">
        <f>_xlfn.XLOOKUP(A568,Output_Mac!A:A,Output_Mac!I:I,"")</f>
        <v/>
      </c>
      <c r="J568" s="40" t="str" cm="1">
        <f t="array" ref="J568">IFERROR(_xlfn.LET(
_xlpm.CSVVal,_xlfn.XLOOKUP($A568,CSV!$A:$A,CSV!I:I,""),
_xlpm.MacVal,_xlfn.XLOOKUP($A568,Output_Mac!$A:$A,Output_Mac!J:J,""),
_xlpm.MyAuditVal,_xlfn.XLOOKUP($A568,My_Audit!$A:$A,My_Audit!I:I,""),
_xlfn.IFS(_xlpm.MyAuditVal&lt;&gt;"",UPPER(_xlpm.MyAuditVal),_xlpm.MacVal&lt;&gt;"",_xlpm.MacVal,_xlpm.CSVVal&lt;&gt;"",_xlpm.CSVVal
)),"")</f>
        <v/>
      </c>
      <c r="K568" s="40" t="str" cm="1">
        <f t="array" ref="K568">IFERROR(_xlfn.LET(
_xlpm.CSVVal,_xlfn.XLOOKUP($A568,CSV!$A:$A,CSV!K:K,""),
_xlpm.MacVal,_xlfn.XLOOKUP($A568,Output_Mac!$A:$A,Output_Mac!K:K,""),
_xlpm.MyAuditVal,_xlfn.XLOOKUP($A568,My_Audit!$A:$A,My_Audit!J:J,""),
_xlfn.IFS(_xlpm.MyAuditVal&lt;&gt;"",UPPER(_xlpm.MyAuditVal),_xlpm.MacVal&lt;&gt;"",_xlpm.MacVal,_xlpm.CSVVal&lt;&gt;"",_xlpm.CSVVal
)),"")</f>
        <v/>
      </c>
      <c r="L568" s="40" t="str" cm="1">
        <f t="array" ref="L568">IFERROR(_xlfn.LET(
_xlpm.CSVVal,_xlfn.XLOOKUP($A568,CSV!$A:$A,CSV!P:P,""),
_xlpm.MacVal,_xlfn.XLOOKUP($A568,Output_Mac!$A:$A,Output_Mac!L:L,""),
_xlpm.MyAuditVal,_xlfn.XLOOKUP($A568,My_Audit!$A:$A,My_Audit!K:K,""),
_xlfn.IFS(_xlpm.MyAuditVal&lt;&gt;"",UPPER(_xlpm.MyAuditVal),_xlpm.MacVal&lt;&gt;"",_xlpm.MacVal,_xlpm.CSVVal&lt;&gt;"",_xlpm.CSVVal
)),"")</f>
        <v/>
      </c>
      <c r="M568" s="40" t="str" cm="1">
        <f t="array" ref="M568">IFERROR(_xlfn.LET(
_xlpm.CSVVal,_xlfn.XLOOKUP($A568,CSV!$A:$A,CSV!Q:Q,""),
_xlpm.MacVal,_xlfn.XLOOKUP($A568,Output_Mac!$A:$A,Output_Mac!M:M,""),
_xlpm.MyAuditVal,_xlfn.XLOOKUP($A568,My_Audit!$A:$A,My_Audit!L:L,""),
_xlfn.IFS(_xlpm.MyAuditVal&lt;&gt;"",UPPER(_xlpm.MyAuditVal),_xlpm.MacVal&lt;&gt;"",_xlpm.MacVal,_xlpm.CSVVal&lt;&gt;"",_xlpm.CSVVal
)),"")</f>
        <v/>
      </c>
      <c r="N568" s="40"/>
      <c r="O568" s="40" t="str">
        <f>_xlfn.LET(
    _xlpm.CSVVal, _xlfn.XLOOKUP($A568, CSV!$A:$A, CSV!AA:AA, ""),
    _xlpm.MacVal, _xlfn.XLOOKUP($A568, Output_Mac!$A:$A, Output_Mac!S:S, ""),
    _xlpm.MyAuditVal, _xlfn.XLOOKUP($A568, My_Audit!$A:$A, My_Audit!P:P, ""),
    _xlfn.TEXTJOIN(", ", TRUE, _xlpm.MyAuditVal, _xlpm.MacVal, _xlpm.CSVVal)
)</f>
        <v/>
      </c>
      <c r="P568" s="40" t="str" cm="1">
        <f t="array" ref="P568">IFERROR(_xlfn.LET(
_xlpm.CSVVal,_xlfn.XLOOKUP($A568,CSV!$A:$A,CSV!AB:AB,""),
_xlpm.MacVal,_xlfn.XLOOKUP($A568,Output_Mac!$A:$A,Output_Mac!T:T,""),
_xlpm.MyAuditVal,_xlfn.XLOOKUP($A568,My_Audit!$A:$A,My_Audit!Q:Q,""),
_xlfn.IFS(_xlpm.MyAuditVal&lt;&gt;"",UPPER(_xlpm.MyAuditVal),_xlpm.MacVal&lt;&gt;"",_xlpm.MacVal,_xlpm.CSVVal&lt;&gt;"",_xlpm.CSVVal
)),"No")</f>
        <v>No</v>
      </c>
      <c r="Q568" s="40" t="str" cm="1">
        <f t="array" ref="Q568">IFERROR(_xlfn.LET(
_xlpm.CSVVal,_xlfn.XLOOKUP($A568,CSV!$A:$A,CSV!AC:AC,""),
_xlpm.MacVal,_xlfn.XLOOKUP($A568,Output_Mac!$A:$A,Output_Mac!U:U,""),
_xlpm.MyAuditVal,_xlfn.XLOOKUP($A568,My_Audit!$A:$A,My_Audit!R:R,""),
_xlfn.IFS(_xlpm.MyAuditVal&lt;&gt;"",UPPER(_xlpm.MyAuditVal),_xlpm.MacVal&lt;&gt;"",_xlpm.MacVal,_xlpm.CSVVal&lt;&gt;"",_xlpm.CSVVal
)),"")</f>
        <v/>
      </c>
      <c r="R568" s="40"/>
      <c r="S568" s="40"/>
      <c r="T568" s="40"/>
      <c r="U568" s="40"/>
      <c r="V568" s="40"/>
      <c r="W568" s="40"/>
      <c r="X568" s="41" t="str">
        <f>_xlfn.LET(
    _xlpm.MacVal, _xlfn.XLOOKUP($A568, Output_Mac!$A:$A, Output_Mac!AB:AB, ""),
    _xlpm.MyAuditVal, _xlfn.XLOOKUP($A568, My_Audit!$A:$A, My_Audit!N:N, ""),
    _xlfn.TEXTJOIN(", ", TRUE, _xlpm.MyAuditVal, _xlpm.MacVal)
)</f>
        <v/>
      </c>
    </row>
    <row r="569" spans="1:24">
      <c r="A569" s="40" t="str">
        <f>_xlfn.TEXTJOIN("",TRUE,Input!$B$2,ROW(My_Audit!A568))</f>
        <v>X568</v>
      </c>
      <c r="B569" s="40" t="str">
        <f>_xlfn.TEXTJOIN("-",TRUE,"ITD",Input!$A$2,A569)</f>
        <v>ITD-X568</v>
      </c>
      <c r="C569" s="40" t="str" cm="1">
        <f t="array" ref="C569">IFERROR(_xlfn.LET(
_xlpm.CSVVal,_xlfn.XLOOKUP($A569,CSV!$A:$A,CSV!B:B,""),
_xlpm.MacVal,_xlfn.XLOOKUP($A569,Output_Mac!$A:$A,Output_Mac!B:B,""),
_xlpm.MyAuditVal,_xlfn.XLOOKUP($A569,My_Audit!$A:$A,My_Audit!B:B,""),
_xlfn.IFS(_xlpm.MyAuditVal&lt;&gt;"",UPPER(_xlpm.MyAuditVal),_xlpm.MacVal&lt;&gt;"",_xlpm.MacVal,_xlpm.CSVVal&lt;&gt;"",_xlpm.CSVVal
)),"")</f>
        <v/>
      </c>
      <c r="D569" s="40" t="str" cm="1">
        <f t="array" ref="D569">IFERROR(_xlfn.LET(
_xlpm.CSVVal,_xlfn.XLOOKUP($A569,CSV!$A:$A,CSV!D:D,""),
_xlpm.MacVal,_xlfn.XLOOKUP($A569,Output_Mac!$A:$A,Output_Mac!C:C,""),
_xlpm.MyAuditVal,_xlfn.XLOOKUP($A569,My_Audit!$A:$A,My_Audit!C:C,""),
_xlfn.IFS(_xlpm.MyAuditVal&lt;&gt;"",_xlpm.MyAuditVal,_xlpm.MacVal&lt;&gt;"",_xlpm.MacVal,_xlpm.CSVVal&lt;&gt;"",_xlpm.CSVVal
)),"")</f>
        <v/>
      </c>
      <c r="E569" s="40" t="str">
        <f>_xlfn.XLOOKUP(A569,My_Audit!A:A,My_Audit!D:D,"")</f>
        <v/>
      </c>
      <c r="F569" s="40" t="str" cm="1">
        <f t="array" ref="F569">IFERROR(_xlfn.LET(
_xlpm.CSVVal,_xlfn.XLOOKUP($A569,CSV!$A:$A,CSV!F:F,""),
_xlpm.MacVal,_xlfn.XLOOKUP($A569,Output_Mac!$A:$A,Output_Mac!E:E,""),
_xlpm.MyAuditVal,_xlfn.XLOOKUP($A569,My_Audit!$A:$A,My_Audit!E:E,""),
_xlfn.IFS(_xlpm.MyAuditVal&lt;&gt;"",_xlpm.MyAuditVal,_xlpm.MacVal&lt;&gt;"",_xlpm.MacVal,_xlpm.CSVVal&lt;&gt;"",_xlpm.CSVVal
)),"")</f>
        <v/>
      </c>
      <c r="G569" s="40" t="str" cm="1">
        <f t="array" ref="G569">IFERROR(_xlfn.LET(
_xlpm.CSVVal,_xlfn.XLOOKUP($A569,CSV!$A:$A,CSV!G:G,""),
_xlpm.MacVal,_xlfn.XLOOKUP($A569,Output_Mac!$A:$A,Output_Mac!F:F,""),
_xlpm.MyAuditVal,_xlfn.XLOOKUP($A569,My_Audit!$A:$A,My_Audit!F:F,""),
_xlfn.IFS(_xlpm.MyAuditVal&lt;&gt;"",_xlpm.MyAuditVal,_xlpm.MacVal&lt;&gt;"",_xlpm.MacVal,_xlpm.CSVVal&lt;&gt;"",PROPER(_xlpm.CSVVal)
)),"")</f>
        <v/>
      </c>
      <c r="H569" s="40" t="str" cm="1">
        <f t="array" ref="H569">IFERROR(_xlfn.LET(
_xlpm.CSVVal,_xlfn.XLOOKUP($A569,CSV!$A:$A,CSV!H:H,""),
_xlpm.MacVal,_xlfn.XLOOKUP($A569,Output_Mac!$A:$A,Output_Mac!H:H,""),
_xlpm.MyAuditVal,_xlfn.XLOOKUP($A569,My_Audit!$A:$A,My_Audit!G:G,""),
_xlfn.IFS(_xlpm.MyAuditVal&lt;&gt;"",_xlpm.MyAuditVal,_xlpm.MacVal&lt;&gt;"",_xlpm.MacVal,_xlpm.CSVVal&lt;&gt;"",_xlpm.CSVVal
)),"")</f>
        <v/>
      </c>
      <c r="I569" s="40" t="str">
        <f>_xlfn.XLOOKUP(A569,Output_Mac!A:A,Output_Mac!I:I,"")</f>
        <v/>
      </c>
      <c r="J569" s="40" t="str" cm="1">
        <f t="array" ref="J569">IFERROR(_xlfn.LET(
_xlpm.CSVVal,_xlfn.XLOOKUP($A569,CSV!$A:$A,CSV!I:I,""),
_xlpm.MacVal,_xlfn.XLOOKUP($A569,Output_Mac!$A:$A,Output_Mac!J:J,""),
_xlpm.MyAuditVal,_xlfn.XLOOKUP($A569,My_Audit!$A:$A,My_Audit!I:I,""),
_xlfn.IFS(_xlpm.MyAuditVal&lt;&gt;"",UPPER(_xlpm.MyAuditVal),_xlpm.MacVal&lt;&gt;"",_xlpm.MacVal,_xlpm.CSVVal&lt;&gt;"",_xlpm.CSVVal
)),"")</f>
        <v/>
      </c>
      <c r="K569" s="40" t="str" cm="1">
        <f t="array" ref="K569">IFERROR(_xlfn.LET(
_xlpm.CSVVal,_xlfn.XLOOKUP($A569,CSV!$A:$A,CSV!K:K,""),
_xlpm.MacVal,_xlfn.XLOOKUP($A569,Output_Mac!$A:$A,Output_Mac!K:K,""),
_xlpm.MyAuditVal,_xlfn.XLOOKUP($A569,My_Audit!$A:$A,My_Audit!J:J,""),
_xlfn.IFS(_xlpm.MyAuditVal&lt;&gt;"",UPPER(_xlpm.MyAuditVal),_xlpm.MacVal&lt;&gt;"",_xlpm.MacVal,_xlpm.CSVVal&lt;&gt;"",_xlpm.CSVVal
)),"")</f>
        <v/>
      </c>
      <c r="L569" s="40" t="str" cm="1">
        <f t="array" ref="L569">IFERROR(_xlfn.LET(
_xlpm.CSVVal,_xlfn.XLOOKUP($A569,CSV!$A:$A,CSV!P:P,""),
_xlpm.MacVal,_xlfn.XLOOKUP($A569,Output_Mac!$A:$A,Output_Mac!L:L,""),
_xlpm.MyAuditVal,_xlfn.XLOOKUP($A569,My_Audit!$A:$A,My_Audit!K:K,""),
_xlfn.IFS(_xlpm.MyAuditVal&lt;&gt;"",UPPER(_xlpm.MyAuditVal),_xlpm.MacVal&lt;&gt;"",_xlpm.MacVal,_xlpm.CSVVal&lt;&gt;"",_xlpm.CSVVal
)),"")</f>
        <v/>
      </c>
      <c r="M569" s="40" t="str" cm="1">
        <f t="array" ref="M569">IFERROR(_xlfn.LET(
_xlpm.CSVVal,_xlfn.XLOOKUP($A569,CSV!$A:$A,CSV!Q:Q,""),
_xlpm.MacVal,_xlfn.XLOOKUP($A569,Output_Mac!$A:$A,Output_Mac!M:M,""),
_xlpm.MyAuditVal,_xlfn.XLOOKUP($A569,My_Audit!$A:$A,My_Audit!L:L,""),
_xlfn.IFS(_xlpm.MyAuditVal&lt;&gt;"",UPPER(_xlpm.MyAuditVal),_xlpm.MacVal&lt;&gt;"",_xlpm.MacVal,_xlpm.CSVVal&lt;&gt;"",_xlpm.CSVVal
)),"")</f>
        <v/>
      </c>
      <c r="N569" s="40"/>
      <c r="O569" s="40" t="str">
        <f>_xlfn.LET(
    _xlpm.CSVVal, _xlfn.XLOOKUP($A569, CSV!$A:$A, CSV!AA:AA, ""),
    _xlpm.MacVal, _xlfn.XLOOKUP($A569, Output_Mac!$A:$A, Output_Mac!S:S, ""),
    _xlpm.MyAuditVal, _xlfn.XLOOKUP($A569, My_Audit!$A:$A, My_Audit!P:P, ""),
    _xlfn.TEXTJOIN(", ", TRUE, _xlpm.MyAuditVal, _xlpm.MacVal, _xlpm.CSVVal)
)</f>
        <v/>
      </c>
      <c r="P569" s="40" t="str" cm="1">
        <f t="array" ref="P569">IFERROR(_xlfn.LET(
_xlpm.CSVVal,_xlfn.XLOOKUP($A569,CSV!$A:$A,CSV!AB:AB,""),
_xlpm.MacVal,_xlfn.XLOOKUP($A569,Output_Mac!$A:$A,Output_Mac!T:T,""),
_xlpm.MyAuditVal,_xlfn.XLOOKUP($A569,My_Audit!$A:$A,My_Audit!Q:Q,""),
_xlfn.IFS(_xlpm.MyAuditVal&lt;&gt;"",UPPER(_xlpm.MyAuditVal),_xlpm.MacVal&lt;&gt;"",_xlpm.MacVal,_xlpm.CSVVal&lt;&gt;"",_xlpm.CSVVal
)),"No")</f>
        <v>No</v>
      </c>
      <c r="Q569" s="40" t="str" cm="1">
        <f t="array" ref="Q569">IFERROR(_xlfn.LET(
_xlpm.CSVVal,_xlfn.XLOOKUP($A569,CSV!$A:$A,CSV!AC:AC,""),
_xlpm.MacVal,_xlfn.XLOOKUP($A569,Output_Mac!$A:$A,Output_Mac!U:U,""),
_xlpm.MyAuditVal,_xlfn.XLOOKUP($A569,My_Audit!$A:$A,My_Audit!R:R,""),
_xlfn.IFS(_xlpm.MyAuditVal&lt;&gt;"",UPPER(_xlpm.MyAuditVal),_xlpm.MacVal&lt;&gt;"",_xlpm.MacVal,_xlpm.CSVVal&lt;&gt;"",_xlpm.CSVVal
)),"")</f>
        <v/>
      </c>
      <c r="R569" s="40"/>
      <c r="S569" s="40"/>
      <c r="T569" s="40"/>
      <c r="U569" s="40"/>
      <c r="V569" s="40"/>
      <c r="W569" s="40"/>
      <c r="X569" s="41" t="str">
        <f>_xlfn.LET(
    _xlpm.MacVal, _xlfn.XLOOKUP($A569, Output_Mac!$A:$A, Output_Mac!AB:AB, ""),
    _xlpm.MyAuditVal, _xlfn.XLOOKUP($A569, My_Audit!$A:$A, My_Audit!N:N, ""),
    _xlfn.TEXTJOIN(", ", TRUE, _xlpm.MyAuditVal, _xlpm.MacVal)
)</f>
        <v/>
      </c>
    </row>
    <row r="570" spans="1:24">
      <c r="A570" s="40" t="str">
        <f>_xlfn.TEXTJOIN("",TRUE,Input!$B$2,ROW(My_Audit!A569))</f>
        <v>X569</v>
      </c>
      <c r="B570" s="40" t="str">
        <f>_xlfn.TEXTJOIN("-",TRUE,"ITD",Input!$A$2,A570)</f>
        <v>ITD-X569</v>
      </c>
      <c r="C570" s="40" t="str" cm="1">
        <f t="array" ref="C570">IFERROR(_xlfn.LET(
_xlpm.CSVVal,_xlfn.XLOOKUP($A570,CSV!$A:$A,CSV!B:B,""),
_xlpm.MacVal,_xlfn.XLOOKUP($A570,Output_Mac!$A:$A,Output_Mac!B:B,""),
_xlpm.MyAuditVal,_xlfn.XLOOKUP($A570,My_Audit!$A:$A,My_Audit!B:B,""),
_xlfn.IFS(_xlpm.MyAuditVal&lt;&gt;"",UPPER(_xlpm.MyAuditVal),_xlpm.MacVal&lt;&gt;"",_xlpm.MacVal,_xlpm.CSVVal&lt;&gt;"",_xlpm.CSVVal
)),"")</f>
        <v/>
      </c>
      <c r="D570" s="40" t="str" cm="1">
        <f t="array" ref="D570">IFERROR(_xlfn.LET(
_xlpm.CSVVal,_xlfn.XLOOKUP($A570,CSV!$A:$A,CSV!D:D,""),
_xlpm.MacVal,_xlfn.XLOOKUP($A570,Output_Mac!$A:$A,Output_Mac!C:C,""),
_xlpm.MyAuditVal,_xlfn.XLOOKUP($A570,My_Audit!$A:$A,My_Audit!C:C,""),
_xlfn.IFS(_xlpm.MyAuditVal&lt;&gt;"",_xlpm.MyAuditVal,_xlpm.MacVal&lt;&gt;"",_xlpm.MacVal,_xlpm.CSVVal&lt;&gt;"",_xlpm.CSVVal
)),"")</f>
        <v/>
      </c>
      <c r="E570" s="40" t="str">
        <f>_xlfn.XLOOKUP(A570,My_Audit!A:A,My_Audit!D:D,"")</f>
        <v/>
      </c>
      <c r="F570" s="40" t="str" cm="1">
        <f t="array" ref="F570">IFERROR(_xlfn.LET(
_xlpm.CSVVal,_xlfn.XLOOKUP($A570,CSV!$A:$A,CSV!F:F,""),
_xlpm.MacVal,_xlfn.XLOOKUP($A570,Output_Mac!$A:$A,Output_Mac!E:E,""),
_xlpm.MyAuditVal,_xlfn.XLOOKUP($A570,My_Audit!$A:$A,My_Audit!E:E,""),
_xlfn.IFS(_xlpm.MyAuditVal&lt;&gt;"",_xlpm.MyAuditVal,_xlpm.MacVal&lt;&gt;"",_xlpm.MacVal,_xlpm.CSVVal&lt;&gt;"",_xlpm.CSVVal
)),"")</f>
        <v/>
      </c>
      <c r="G570" s="40" t="str" cm="1">
        <f t="array" ref="G570">IFERROR(_xlfn.LET(
_xlpm.CSVVal,_xlfn.XLOOKUP($A570,CSV!$A:$A,CSV!G:G,""),
_xlpm.MacVal,_xlfn.XLOOKUP($A570,Output_Mac!$A:$A,Output_Mac!F:F,""),
_xlpm.MyAuditVal,_xlfn.XLOOKUP($A570,My_Audit!$A:$A,My_Audit!F:F,""),
_xlfn.IFS(_xlpm.MyAuditVal&lt;&gt;"",_xlpm.MyAuditVal,_xlpm.MacVal&lt;&gt;"",_xlpm.MacVal,_xlpm.CSVVal&lt;&gt;"",PROPER(_xlpm.CSVVal)
)),"")</f>
        <v/>
      </c>
      <c r="H570" s="40" t="str" cm="1">
        <f t="array" ref="H570">IFERROR(_xlfn.LET(
_xlpm.CSVVal,_xlfn.XLOOKUP($A570,CSV!$A:$A,CSV!H:H,""),
_xlpm.MacVal,_xlfn.XLOOKUP($A570,Output_Mac!$A:$A,Output_Mac!H:H,""),
_xlpm.MyAuditVal,_xlfn.XLOOKUP($A570,My_Audit!$A:$A,My_Audit!G:G,""),
_xlfn.IFS(_xlpm.MyAuditVal&lt;&gt;"",_xlpm.MyAuditVal,_xlpm.MacVal&lt;&gt;"",_xlpm.MacVal,_xlpm.CSVVal&lt;&gt;"",_xlpm.CSVVal
)),"")</f>
        <v/>
      </c>
      <c r="I570" s="40" t="str">
        <f>_xlfn.XLOOKUP(A570,Output_Mac!A:A,Output_Mac!I:I,"")</f>
        <v/>
      </c>
      <c r="J570" s="40" t="str" cm="1">
        <f t="array" ref="J570">IFERROR(_xlfn.LET(
_xlpm.CSVVal,_xlfn.XLOOKUP($A570,CSV!$A:$A,CSV!I:I,""),
_xlpm.MacVal,_xlfn.XLOOKUP($A570,Output_Mac!$A:$A,Output_Mac!J:J,""),
_xlpm.MyAuditVal,_xlfn.XLOOKUP($A570,My_Audit!$A:$A,My_Audit!I:I,""),
_xlfn.IFS(_xlpm.MyAuditVal&lt;&gt;"",UPPER(_xlpm.MyAuditVal),_xlpm.MacVal&lt;&gt;"",_xlpm.MacVal,_xlpm.CSVVal&lt;&gt;"",_xlpm.CSVVal
)),"")</f>
        <v/>
      </c>
      <c r="K570" s="40" t="str" cm="1">
        <f t="array" ref="K570">IFERROR(_xlfn.LET(
_xlpm.CSVVal,_xlfn.XLOOKUP($A570,CSV!$A:$A,CSV!K:K,""),
_xlpm.MacVal,_xlfn.XLOOKUP($A570,Output_Mac!$A:$A,Output_Mac!K:K,""),
_xlpm.MyAuditVal,_xlfn.XLOOKUP($A570,My_Audit!$A:$A,My_Audit!J:J,""),
_xlfn.IFS(_xlpm.MyAuditVal&lt;&gt;"",UPPER(_xlpm.MyAuditVal),_xlpm.MacVal&lt;&gt;"",_xlpm.MacVal,_xlpm.CSVVal&lt;&gt;"",_xlpm.CSVVal
)),"")</f>
        <v/>
      </c>
      <c r="L570" s="40" t="str" cm="1">
        <f t="array" ref="L570">IFERROR(_xlfn.LET(
_xlpm.CSVVal,_xlfn.XLOOKUP($A570,CSV!$A:$A,CSV!P:P,""),
_xlpm.MacVal,_xlfn.XLOOKUP($A570,Output_Mac!$A:$A,Output_Mac!L:L,""),
_xlpm.MyAuditVal,_xlfn.XLOOKUP($A570,My_Audit!$A:$A,My_Audit!K:K,""),
_xlfn.IFS(_xlpm.MyAuditVal&lt;&gt;"",UPPER(_xlpm.MyAuditVal),_xlpm.MacVal&lt;&gt;"",_xlpm.MacVal,_xlpm.CSVVal&lt;&gt;"",_xlpm.CSVVal
)),"")</f>
        <v/>
      </c>
      <c r="M570" s="40" t="str" cm="1">
        <f t="array" ref="M570">IFERROR(_xlfn.LET(
_xlpm.CSVVal,_xlfn.XLOOKUP($A570,CSV!$A:$A,CSV!Q:Q,""),
_xlpm.MacVal,_xlfn.XLOOKUP($A570,Output_Mac!$A:$A,Output_Mac!M:M,""),
_xlpm.MyAuditVal,_xlfn.XLOOKUP($A570,My_Audit!$A:$A,My_Audit!L:L,""),
_xlfn.IFS(_xlpm.MyAuditVal&lt;&gt;"",UPPER(_xlpm.MyAuditVal),_xlpm.MacVal&lt;&gt;"",_xlpm.MacVal,_xlpm.CSVVal&lt;&gt;"",_xlpm.CSVVal
)),"")</f>
        <v/>
      </c>
      <c r="N570" s="40"/>
      <c r="O570" s="40" t="str">
        <f>_xlfn.LET(
    _xlpm.CSVVal, _xlfn.XLOOKUP($A570, CSV!$A:$A, CSV!AA:AA, ""),
    _xlpm.MacVal, _xlfn.XLOOKUP($A570, Output_Mac!$A:$A, Output_Mac!S:S, ""),
    _xlpm.MyAuditVal, _xlfn.XLOOKUP($A570, My_Audit!$A:$A, My_Audit!P:P, ""),
    _xlfn.TEXTJOIN(", ", TRUE, _xlpm.MyAuditVal, _xlpm.MacVal, _xlpm.CSVVal)
)</f>
        <v/>
      </c>
      <c r="P570" s="40" t="str" cm="1">
        <f t="array" ref="P570">IFERROR(_xlfn.LET(
_xlpm.CSVVal,_xlfn.XLOOKUP($A570,CSV!$A:$A,CSV!AB:AB,""),
_xlpm.MacVal,_xlfn.XLOOKUP($A570,Output_Mac!$A:$A,Output_Mac!T:T,""),
_xlpm.MyAuditVal,_xlfn.XLOOKUP($A570,My_Audit!$A:$A,My_Audit!Q:Q,""),
_xlfn.IFS(_xlpm.MyAuditVal&lt;&gt;"",UPPER(_xlpm.MyAuditVal),_xlpm.MacVal&lt;&gt;"",_xlpm.MacVal,_xlpm.CSVVal&lt;&gt;"",_xlpm.CSVVal
)),"No")</f>
        <v>No</v>
      </c>
      <c r="Q570" s="40" t="str" cm="1">
        <f t="array" ref="Q570">IFERROR(_xlfn.LET(
_xlpm.CSVVal,_xlfn.XLOOKUP($A570,CSV!$A:$A,CSV!AC:AC,""),
_xlpm.MacVal,_xlfn.XLOOKUP($A570,Output_Mac!$A:$A,Output_Mac!U:U,""),
_xlpm.MyAuditVal,_xlfn.XLOOKUP($A570,My_Audit!$A:$A,My_Audit!R:R,""),
_xlfn.IFS(_xlpm.MyAuditVal&lt;&gt;"",UPPER(_xlpm.MyAuditVal),_xlpm.MacVal&lt;&gt;"",_xlpm.MacVal,_xlpm.CSVVal&lt;&gt;"",_xlpm.CSVVal
)),"")</f>
        <v/>
      </c>
      <c r="R570" s="40"/>
      <c r="S570" s="40"/>
      <c r="T570" s="40"/>
      <c r="U570" s="40"/>
      <c r="V570" s="40"/>
      <c r="W570" s="40"/>
      <c r="X570" s="41" t="str">
        <f>_xlfn.LET(
    _xlpm.MacVal, _xlfn.XLOOKUP($A570, Output_Mac!$A:$A, Output_Mac!AB:AB, ""),
    _xlpm.MyAuditVal, _xlfn.XLOOKUP($A570, My_Audit!$A:$A, My_Audit!N:N, ""),
    _xlfn.TEXTJOIN(", ", TRUE, _xlpm.MyAuditVal, _xlpm.MacVal)
)</f>
        <v/>
      </c>
    </row>
    <row r="571" spans="1:24">
      <c r="A571" s="40" t="str">
        <f>_xlfn.TEXTJOIN("",TRUE,Input!$B$2,ROW(My_Audit!A570))</f>
        <v>X570</v>
      </c>
      <c r="B571" s="40" t="str">
        <f>_xlfn.TEXTJOIN("-",TRUE,"ITD",Input!$A$2,A571)</f>
        <v>ITD-X570</v>
      </c>
      <c r="C571" s="40" t="str" cm="1">
        <f t="array" ref="C571">IFERROR(_xlfn.LET(
_xlpm.CSVVal,_xlfn.XLOOKUP($A571,CSV!$A:$A,CSV!B:B,""),
_xlpm.MacVal,_xlfn.XLOOKUP($A571,Output_Mac!$A:$A,Output_Mac!B:B,""),
_xlpm.MyAuditVal,_xlfn.XLOOKUP($A571,My_Audit!$A:$A,My_Audit!B:B,""),
_xlfn.IFS(_xlpm.MyAuditVal&lt;&gt;"",UPPER(_xlpm.MyAuditVal),_xlpm.MacVal&lt;&gt;"",_xlpm.MacVal,_xlpm.CSVVal&lt;&gt;"",_xlpm.CSVVal
)),"")</f>
        <v/>
      </c>
      <c r="D571" s="40" t="str" cm="1">
        <f t="array" ref="D571">IFERROR(_xlfn.LET(
_xlpm.CSVVal,_xlfn.XLOOKUP($A571,CSV!$A:$A,CSV!D:D,""),
_xlpm.MacVal,_xlfn.XLOOKUP($A571,Output_Mac!$A:$A,Output_Mac!C:C,""),
_xlpm.MyAuditVal,_xlfn.XLOOKUP($A571,My_Audit!$A:$A,My_Audit!C:C,""),
_xlfn.IFS(_xlpm.MyAuditVal&lt;&gt;"",_xlpm.MyAuditVal,_xlpm.MacVal&lt;&gt;"",_xlpm.MacVal,_xlpm.CSVVal&lt;&gt;"",_xlpm.CSVVal
)),"")</f>
        <v/>
      </c>
      <c r="E571" s="40" t="str">
        <f>_xlfn.XLOOKUP(A571,My_Audit!A:A,My_Audit!D:D,"")</f>
        <v/>
      </c>
      <c r="F571" s="40" t="str" cm="1">
        <f t="array" ref="F571">IFERROR(_xlfn.LET(
_xlpm.CSVVal,_xlfn.XLOOKUP($A571,CSV!$A:$A,CSV!F:F,""),
_xlpm.MacVal,_xlfn.XLOOKUP($A571,Output_Mac!$A:$A,Output_Mac!E:E,""),
_xlpm.MyAuditVal,_xlfn.XLOOKUP($A571,My_Audit!$A:$A,My_Audit!E:E,""),
_xlfn.IFS(_xlpm.MyAuditVal&lt;&gt;"",_xlpm.MyAuditVal,_xlpm.MacVal&lt;&gt;"",_xlpm.MacVal,_xlpm.CSVVal&lt;&gt;"",_xlpm.CSVVal
)),"")</f>
        <v/>
      </c>
      <c r="G571" s="40" t="str" cm="1">
        <f t="array" ref="G571">IFERROR(_xlfn.LET(
_xlpm.CSVVal,_xlfn.XLOOKUP($A571,CSV!$A:$A,CSV!G:G,""),
_xlpm.MacVal,_xlfn.XLOOKUP($A571,Output_Mac!$A:$A,Output_Mac!F:F,""),
_xlpm.MyAuditVal,_xlfn.XLOOKUP($A571,My_Audit!$A:$A,My_Audit!F:F,""),
_xlfn.IFS(_xlpm.MyAuditVal&lt;&gt;"",_xlpm.MyAuditVal,_xlpm.MacVal&lt;&gt;"",_xlpm.MacVal,_xlpm.CSVVal&lt;&gt;"",PROPER(_xlpm.CSVVal)
)),"")</f>
        <v/>
      </c>
      <c r="H571" s="40" t="str" cm="1">
        <f t="array" ref="H571">IFERROR(_xlfn.LET(
_xlpm.CSVVal,_xlfn.XLOOKUP($A571,CSV!$A:$A,CSV!H:H,""),
_xlpm.MacVal,_xlfn.XLOOKUP($A571,Output_Mac!$A:$A,Output_Mac!H:H,""),
_xlpm.MyAuditVal,_xlfn.XLOOKUP($A571,My_Audit!$A:$A,My_Audit!G:G,""),
_xlfn.IFS(_xlpm.MyAuditVal&lt;&gt;"",_xlpm.MyAuditVal,_xlpm.MacVal&lt;&gt;"",_xlpm.MacVal,_xlpm.CSVVal&lt;&gt;"",_xlpm.CSVVal
)),"")</f>
        <v/>
      </c>
      <c r="I571" s="40" t="str">
        <f>_xlfn.XLOOKUP(A571,Output_Mac!A:A,Output_Mac!I:I,"")</f>
        <v/>
      </c>
      <c r="J571" s="40" t="str" cm="1">
        <f t="array" ref="J571">IFERROR(_xlfn.LET(
_xlpm.CSVVal,_xlfn.XLOOKUP($A571,CSV!$A:$A,CSV!I:I,""),
_xlpm.MacVal,_xlfn.XLOOKUP($A571,Output_Mac!$A:$A,Output_Mac!J:J,""),
_xlpm.MyAuditVal,_xlfn.XLOOKUP($A571,My_Audit!$A:$A,My_Audit!I:I,""),
_xlfn.IFS(_xlpm.MyAuditVal&lt;&gt;"",UPPER(_xlpm.MyAuditVal),_xlpm.MacVal&lt;&gt;"",_xlpm.MacVal,_xlpm.CSVVal&lt;&gt;"",_xlpm.CSVVal
)),"")</f>
        <v/>
      </c>
      <c r="K571" s="40" t="str" cm="1">
        <f t="array" ref="K571">IFERROR(_xlfn.LET(
_xlpm.CSVVal,_xlfn.XLOOKUP($A571,CSV!$A:$A,CSV!K:K,""),
_xlpm.MacVal,_xlfn.XLOOKUP($A571,Output_Mac!$A:$A,Output_Mac!K:K,""),
_xlpm.MyAuditVal,_xlfn.XLOOKUP($A571,My_Audit!$A:$A,My_Audit!J:J,""),
_xlfn.IFS(_xlpm.MyAuditVal&lt;&gt;"",UPPER(_xlpm.MyAuditVal),_xlpm.MacVal&lt;&gt;"",_xlpm.MacVal,_xlpm.CSVVal&lt;&gt;"",_xlpm.CSVVal
)),"")</f>
        <v/>
      </c>
      <c r="L571" s="40" t="str" cm="1">
        <f t="array" ref="L571">IFERROR(_xlfn.LET(
_xlpm.CSVVal,_xlfn.XLOOKUP($A571,CSV!$A:$A,CSV!P:P,""),
_xlpm.MacVal,_xlfn.XLOOKUP($A571,Output_Mac!$A:$A,Output_Mac!L:L,""),
_xlpm.MyAuditVal,_xlfn.XLOOKUP($A571,My_Audit!$A:$A,My_Audit!K:K,""),
_xlfn.IFS(_xlpm.MyAuditVal&lt;&gt;"",UPPER(_xlpm.MyAuditVal),_xlpm.MacVal&lt;&gt;"",_xlpm.MacVal,_xlpm.CSVVal&lt;&gt;"",_xlpm.CSVVal
)),"")</f>
        <v/>
      </c>
      <c r="M571" s="40" t="str" cm="1">
        <f t="array" ref="M571">IFERROR(_xlfn.LET(
_xlpm.CSVVal,_xlfn.XLOOKUP($A571,CSV!$A:$A,CSV!Q:Q,""),
_xlpm.MacVal,_xlfn.XLOOKUP($A571,Output_Mac!$A:$A,Output_Mac!M:M,""),
_xlpm.MyAuditVal,_xlfn.XLOOKUP($A571,My_Audit!$A:$A,My_Audit!L:L,""),
_xlfn.IFS(_xlpm.MyAuditVal&lt;&gt;"",UPPER(_xlpm.MyAuditVal),_xlpm.MacVal&lt;&gt;"",_xlpm.MacVal,_xlpm.CSVVal&lt;&gt;"",_xlpm.CSVVal
)),"")</f>
        <v/>
      </c>
      <c r="N571" s="40"/>
      <c r="O571" s="40" t="str">
        <f>_xlfn.LET(
    _xlpm.CSVVal, _xlfn.XLOOKUP($A571, CSV!$A:$A, CSV!AA:AA, ""),
    _xlpm.MacVal, _xlfn.XLOOKUP($A571, Output_Mac!$A:$A, Output_Mac!S:S, ""),
    _xlpm.MyAuditVal, _xlfn.XLOOKUP($A571, My_Audit!$A:$A, My_Audit!P:P, ""),
    _xlfn.TEXTJOIN(", ", TRUE, _xlpm.MyAuditVal, _xlpm.MacVal, _xlpm.CSVVal)
)</f>
        <v/>
      </c>
      <c r="P571" s="40" t="str" cm="1">
        <f t="array" ref="P571">IFERROR(_xlfn.LET(
_xlpm.CSVVal,_xlfn.XLOOKUP($A571,CSV!$A:$A,CSV!AB:AB,""),
_xlpm.MacVal,_xlfn.XLOOKUP($A571,Output_Mac!$A:$A,Output_Mac!T:T,""),
_xlpm.MyAuditVal,_xlfn.XLOOKUP($A571,My_Audit!$A:$A,My_Audit!Q:Q,""),
_xlfn.IFS(_xlpm.MyAuditVal&lt;&gt;"",UPPER(_xlpm.MyAuditVal),_xlpm.MacVal&lt;&gt;"",_xlpm.MacVal,_xlpm.CSVVal&lt;&gt;"",_xlpm.CSVVal
)),"No")</f>
        <v>No</v>
      </c>
      <c r="Q571" s="40" t="str" cm="1">
        <f t="array" ref="Q571">IFERROR(_xlfn.LET(
_xlpm.CSVVal,_xlfn.XLOOKUP($A571,CSV!$A:$A,CSV!AC:AC,""),
_xlpm.MacVal,_xlfn.XLOOKUP($A571,Output_Mac!$A:$A,Output_Mac!U:U,""),
_xlpm.MyAuditVal,_xlfn.XLOOKUP($A571,My_Audit!$A:$A,My_Audit!R:R,""),
_xlfn.IFS(_xlpm.MyAuditVal&lt;&gt;"",UPPER(_xlpm.MyAuditVal),_xlpm.MacVal&lt;&gt;"",_xlpm.MacVal,_xlpm.CSVVal&lt;&gt;"",_xlpm.CSVVal
)),"")</f>
        <v/>
      </c>
      <c r="R571" s="40"/>
      <c r="S571" s="40"/>
      <c r="T571" s="40"/>
      <c r="U571" s="40"/>
      <c r="V571" s="40"/>
      <c r="W571" s="40"/>
      <c r="X571" s="41" t="str">
        <f>_xlfn.LET(
    _xlpm.MacVal, _xlfn.XLOOKUP($A571, Output_Mac!$A:$A, Output_Mac!AB:AB, ""),
    _xlpm.MyAuditVal, _xlfn.XLOOKUP($A571, My_Audit!$A:$A, My_Audit!N:N, ""),
    _xlfn.TEXTJOIN(", ", TRUE, _xlpm.MyAuditVal, _xlpm.MacVal)
)</f>
        <v/>
      </c>
    </row>
    <row r="572" spans="1:24">
      <c r="A572" s="40" t="str">
        <f>_xlfn.TEXTJOIN("",TRUE,Input!$B$2,ROW(My_Audit!A571))</f>
        <v>X571</v>
      </c>
      <c r="B572" s="40" t="str">
        <f>_xlfn.TEXTJOIN("-",TRUE,"ITD",Input!$A$2,A572)</f>
        <v>ITD-X571</v>
      </c>
      <c r="C572" s="40" t="str" cm="1">
        <f t="array" ref="C572">IFERROR(_xlfn.LET(
_xlpm.CSVVal,_xlfn.XLOOKUP($A572,CSV!$A:$A,CSV!B:B,""),
_xlpm.MacVal,_xlfn.XLOOKUP($A572,Output_Mac!$A:$A,Output_Mac!B:B,""),
_xlpm.MyAuditVal,_xlfn.XLOOKUP($A572,My_Audit!$A:$A,My_Audit!B:B,""),
_xlfn.IFS(_xlpm.MyAuditVal&lt;&gt;"",UPPER(_xlpm.MyAuditVal),_xlpm.MacVal&lt;&gt;"",_xlpm.MacVal,_xlpm.CSVVal&lt;&gt;"",_xlpm.CSVVal
)),"")</f>
        <v/>
      </c>
      <c r="D572" s="40" t="str" cm="1">
        <f t="array" ref="D572">IFERROR(_xlfn.LET(
_xlpm.CSVVal,_xlfn.XLOOKUP($A572,CSV!$A:$A,CSV!D:D,""),
_xlpm.MacVal,_xlfn.XLOOKUP($A572,Output_Mac!$A:$A,Output_Mac!C:C,""),
_xlpm.MyAuditVal,_xlfn.XLOOKUP($A572,My_Audit!$A:$A,My_Audit!C:C,""),
_xlfn.IFS(_xlpm.MyAuditVal&lt;&gt;"",_xlpm.MyAuditVal,_xlpm.MacVal&lt;&gt;"",_xlpm.MacVal,_xlpm.CSVVal&lt;&gt;"",_xlpm.CSVVal
)),"")</f>
        <v/>
      </c>
      <c r="E572" s="40" t="str">
        <f>_xlfn.XLOOKUP(A572,My_Audit!A:A,My_Audit!D:D,"")</f>
        <v/>
      </c>
      <c r="F572" s="40" t="str" cm="1">
        <f t="array" ref="F572">IFERROR(_xlfn.LET(
_xlpm.CSVVal,_xlfn.XLOOKUP($A572,CSV!$A:$A,CSV!F:F,""),
_xlpm.MacVal,_xlfn.XLOOKUP($A572,Output_Mac!$A:$A,Output_Mac!E:E,""),
_xlpm.MyAuditVal,_xlfn.XLOOKUP($A572,My_Audit!$A:$A,My_Audit!E:E,""),
_xlfn.IFS(_xlpm.MyAuditVal&lt;&gt;"",_xlpm.MyAuditVal,_xlpm.MacVal&lt;&gt;"",_xlpm.MacVal,_xlpm.CSVVal&lt;&gt;"",_xlpm.CSVVal
)),"")</f>
        <v/>
      </c>
      <c r="G572" s="40" t="str" cm="1">
        <f t="array" ref="G572">IFERROR(_xlfn.LET(
_xlpm.CSVVal,_xlfn.XLOOKUP($A572,CSV!$A:$A,CSV!G:G,""),
_xlpm.MacVal,_xlfn.XLOOKUP($A572,Output_Mac!$A:$A,Output_Mac!F:F,""),
_xlpm.MyAuditVal,_xlfn.XLOOKUP($A572,My_Audit!$A:$A,My_Audit!F:F,""),
_xlfn.IFS(_xlpm.MyAuditVal&lt;&gt;"",_xlpm.MyAuditVal,_xlpm.MacVal&lt;&gt;"",_xlpm.MacVal,_xlpm.CSVVal&lt;&gt;"",PROPER(_xlpm.CSVVal)
)),"")</f>
        <v/>
      </c>
      <c r="H572" s="40" t="str" cm="1">
        <f t="array" ref="H572">IFERROR(_xlfn.LET(
_xlpm.CSVVal,_xlfn.XLOOKUP($A572,CSV!$A:$A,CSV!H:H,""),
_xlpm.MacVal,_xlfn.XLOOKUP($A572,Output_Mac!$A:$A,Output_Mac!H:H,""),
_xlpm.MyAuditVal,_xlfn.XLOOKUP($A572,My_Audit!$A:$A,My_Audit!G:G,""),
_xlfn.IFS(_xlpm.MyAuditVal&lt;&gt;"",_xlpm.MyAuditVal,_xlpm.MacVal&lt;&gt;"",_xlpm.MacVal,_xlpm.CSVVal&lt;&gt;"",_xlpm.CSVVal
)),"")</f>
        <v/>
      </c>
      <c r="I572" s="40" t="str">
        <f>_xlfn.XLOOKUP(A572,Output_Mac!A:A,Output_Mac!I:I,"")</f>
        <v/>
      </c>
      <c r="J572" s="40" t="str" cm="1">
        <f t="array" ref="J572">IFERROR(_xlfn.LET(
_xlpm.CSVVal,_xlfn.XLOOKUP($A572,CSV!$A:$A,CSV!I:I,""),
_xlpm.MacVal,_xlfn.XLOOKUP($A572,Output_Mac!$A:$A,Output_Mac!J:J,""),
_xlpm.MyAuditVal,_xlfn.XLOOKUP($A572,My_Audit!$A:$A,My_Audit!I:I,""),
_xlfn.IFS(_xlpm.MyAuditVal&lt;&gt;"",UPPER(_xlpm.MyAuditVal),_xlpm.MacVal&lt;&gt;"",_xlpm.MacVal,_xlpm.CSVVal&lt;&gt;"",_xlpm.CSVVal
)),"")</f>
        <v/>
      </c>
      <c r="K572" s="40" t="str" cm="1">
        <f t="array" ref="K572">IFERROR(_xlfn.LET(
_xlpm.CSVVal,_xlfn.XLOOKUP($A572,CSV!$A:$A,CSV!K:K,""),
_xlpm.MacVal,_xlfn.XLOOKUP($A572,Output_Mac!$A:$A,Output_Mac!K:K,""),
_xlpm.MyAuditVal,_xlfn.XLOOKUP($A572,My_Audit!$A:$A,My_Audit!J:J,""),
_xlfn.IFS(_xlpm.MyAuditVal&lt;&gt;"",UPPER(_xlpm.MyAuditVal),_xlpm.MacVal&lt;&gt;"",_xlpm.MacVal,_xlpm.CSVVal&lt;&gt;"",_xlpm.CSVVal
)),"")</f>
        <v/>
      </c>
      <c r="L572" s="40" t="str" cm="1">
        <f t="array" ref="L572">IFERROR(_xlfn.LET(
_xlpm.CSVVal,_xlfn.XLOOKUP($A572,CSV!$A:$A,CSV!P:P,""),
_xlpm.MacVal,_xlfn.XLOOKUP($A572,Output_Mac!$A:$A,Output_Mac!L:L,""),
_xlpm.MyAuditVal,_xlfn.XLOOKUP($A572,My_Audit!$A:$A,My_Audit!K:K,""),
_xlfn.IFS(_xlpm.MyAuditVal&lt;&gt;"",UPPER(_xlpm.MyAuditVal),_xlpm.MacVal&lt;&gt;"",_xlpm.MacVal,_xlpm.CSVVal&lt;&gt;"",_xlpm.CSVVal
)),"")</f>
        <v/>
      </c>
      <c r="M572" s="40" t="str" cm="1">
        <f t="array" ref="M572">IFERROR(_xlfn.LET(
_xlpm.CSVVal,_xlfn.XLOOKUP($A572,CSV!$A:$A,CSV!Q:Q,""),
_xlpm.MacVal,_xlfn.XLOOKUP($A572,Output_Mac!$A:$A,Output_Mac!M:M,""),
_xlpm.MyAuditVal,_xlfn.XLOOKUP($A572,My_Audit!$A:$A,My_Audit!L:L,""),
_xlfn.IFS(_xlpm.MyAuditVal&lt;&gt;"",UPPER(_xlpm.MyAuditVal),_xlpm.MacVal&lt;&gt;"",_xlpm.MacVal,_xlpm.CSVVal&lt;&gt;"",_xlpm.CSVVal
)),"")</f>
        <v/>
      </c>
      <c r="N572" s="40"/>
      <c r="O572" s="40" t="str">
        <f>_xlfn.LET(
    _xlpm.CSVVal, _xlfn.XLOOKUP($A572, CSV!$A:$A, CSV!AA:AA, ""),
    _xlpm.MacVal, _xlfn.XLOOKUP($A572, Output_Mac!$A:$A, Output_Mac!S:S, ""),
    _xlpm.MyAuditVal, _xlfn.XLOOKUP($A572, My_Audit!$A:$A, My_Audit!P:P, ""),
    _xlfn.TEXTJOIN(", ", TRUE, _xlpm.MyAuditVal, _xlpm.MacVal, _xlpm.CSVVal)
)</f>
        <v/>
      </c>
      <c r="P572" s="40" t="str" cm="1">
        <f t="array" ref="P572">IFERROR(_xlfn.LET(
_xlpm.CSVVal,_xlfn.XLOOKUP($A572,CSV!$A:$A,CSV!AB:AB,""),
_xlpm.MacVal,_xlfn.XLOOKUP($A572,Output_Mac!$A:$A,Output_Mac!T:T,""),
_xlpm.MyAuditVal,_xlfn.XLOOKUP($A572,My_Audit!$A:$A,My_Audit!Q:Q,""),
_xlfn.IFS(_xlpm.MyAuditVal&lt;&gt;"",UPPER(_xlpm.MyAuditVal),_xlpm.MacVal&lt;&gt;"",_xlpm.MacVal,_xlpm.CSVVal&lt;&gt;"",_xlpm.CSVVal
)),"No")</f>
        <v>No</v>
      </c>
      <c r="Q572" s="40" t="str" cm="1">
        <f t="array" ref="Q572">IFERROR(_xlfn.LET(
_xlpm.CSVVal,_xlfn.XLOOKUP($A572,CSV!$A:$A,CSV!AC:AC,""),
_xlpm.MacVal,_xlfn.XLOOKUP($A572,Output_Mac!$A:$A,Output_Mac!U:U,""),
_xlpm.MyAuditVal,_xlfn.XLOOKUP($A572,My_Audit!$A:$A,My_Audit!R:R,""),
_xlfn.IFS(_xlpm.MyAuditVal&lt;&gt;"",UPPER(_xlpm.MyAuditVal),_xlpm.MacVal&lt;&gt;"",_xlpm.MacVal,_xlpm.CSVVal&lt;&gt;"",_xlpm.CSVVal
)),"")</f>
        <v/>
      </c>
      <c r="R572" s="40"/>
      <c r="S572" s="40"/>
      <c r="T572" s="40"/>
      <c r="U572" s="40"/>
      <c r="V572" s="40"/>
      <c r="W572" s="40"/>
      <c r="X572" s="41" t="str">
        <f>_xlfn.LET(
    _xlpm.MacVal, _xlfn.XLOOKUP($A572, Output_Mac!$A:$A, Output_Mac!AB:AB, ""),
    _xlpm.MyAuditVal, _xlfn.XLOOKUP($A572, My_Audit!$A:$A, My_Audit!N:N, ""),
    _xlfn.TEXTJOIN(", ", TRUE, _xlpm.MyAuditVal, _xlpm.MacVal)
)</f>
        <v/>
      </c>
    </row>
    <row r="573" spans="1:24">
      <c r="A573" s="40" t="str">
        <f>_xlfn.TEXTJOIN("",TRUE,Input!$B$2,ROW(My_Audit!A572))</f>
        <v>X572</v>
      </c>
      <c r="B573" s="40" t="str">
        <f>_xlfn.TEXTJOIN("-",TRUE,"ITD",Input!$A$2,A573)</f>
        <v>ITD-X572</v>
      </c>
      <c r="C573" s="40" t="str" cm="1">
        <f t="array" ref="C573">IFERROR(_xlfn.LET(
_xlpm.CSVVal,_xlfn.XLOOKUP($A573,CSV!$A:$A,CSV!B:B,""),
_xlpm.MacVal,_xlfn.XLOOKUP($A573,Output_Mac!$A:$A,Output_Mac!B:B,""),
_xlpm.MyAuditVal,_xlfn.XLOOKUP($A573,My_Audit!$A:$A,My_Audit!B:B,""),
_xlfn.IFS(_xlpm.MyAuditVal&lt;&gt;"",UPPER(_xlpm.MyAuditVal),_xlpm.MacVal&lt;&gt;"",_xlpm.MacVal,_xlpm.CSVVal&lt;&gt;"",_xlpm.CSVVal
)),"")</f>
        <v/>
      </c>
      <c r="D573" s="40" t="str" cm="1">
        <f t="array" ref="D573">IFERROR(_xlfn.LET(
_xlpm.CSVVal,_xlfn.XLOOKUP($A573,CSV!$A:$A,CSV!D:D,""),
_xlpm.MacVal,_xlfn.XLOOKUP($A573,Output_Mac!$A:$A,Output_Mac!C:C,""),
_xlpm.MyAuditVal,_xlfn.XLOOKUP($A573,My_Audit!$A:$A,My_Audit!C:C,""),
_xlfn.IFS(_xlpm.MyAuditVal&lt;&gt;"",_xlpm.MyAuditVal,_xlpm.MacVal&lt;&gt;"",_xlpm.MacVal,_xlpm.CSVVal&lt;&gt;"",_xlpm.CSVVal
)),"")</f>
        <v/>
      </c>
      <c r="E573" s="40" t="str">
        <f>_xlfn.XLOOKUP(A573,My_Audit!A:A,My_Audit!D:D,"")</f>
        <v/>
      </c>
      <c r="F573" s="40" t="str" cm="1">
        <f t="array" ref="F573">IFERROR(_xlfn.LET(
_xlpm.CSVVal,_xlfn.XLOOKUP($A573,CSV!$A:$A,CSV!F:F,""),
_xlpm.MacVal,_xlfn.XLOOKUP($A573,Output_Mac!$A:$A,Output_Mac!E:E,""),
_xlpm.MyAuditVal,_xlfn.XLOOKUP($A573,My_Audit!$A:$A,My_Audit!E:E,""),
_xlfn.IFS(_xlpm.MyAuditVal&lt;&gt;"",_xlpm.MyAuditVal,_xlpm.MacVal&lt;&gt;"",_xlpm.MacVal,_xlpm.CSVVal&lt;&gt;"",_xlpm.CSVVal
)),"")</f>
        <v/>
      </c>
      <c r="G573" s="40" t="str" cm="1">
        <f t="array" ref="G573">IFERROR(_xlfn.LET(
_xlpm.CSVVal,_xlfn.XLOOKUP($A573,CSV!$A:$A,CSV!G:G,""),
_xlpm.MacVal,_xlfn.XLOOKUP($A573,Output_Mac!$A:$A,Output_Mac!F:F,""),
_xlpm.MyAuditVal,_xlfn.XLOOKUP($A573,My_Audit!$A:$A,My_Audit!F:F,""),
_xlfn.IFS(_xlpm.MyAuditVal&lt;&gt;"",_xlpm.MyAuditVal,_xlpm.MacVal&lt;&gt;"",_xlpm.MacVal,_xlpm.CSVVal&lt;&gt;"",PROPER(_xlpm.CSVVal)
)),"")</f>
        <v/>
      </c>
      <c r="H573" s="40" t="str" cm="1">
        <f t="array" ref="H573">IFERROR(_xlfn.LET(
_xlpm.CSVVal,_xlfn.XLOOKUP($A573,CSV!$A:$A,CSV!H:H,""),
_xlpm.MacVal,_xlfn.XLOOKUP($A573,Output_Mac!$A:$A,Output_Mac!H:H,""),
_xlpm.MyAuditVal,_xlfn.XLOOKUP($A573,My_Audit!$A:$A,My_Audit!G:G,""),
_xlfn.IFS(_xlpm.MyAuditVal&lt;&gt;"",_xlpm.MyAuditVal,_xlpm.MacVal&lt;&gt;"",_xlpm.MacVal,_xlpm.CSVVal&lt;&gt;"",_xlpm.CSVVal
)),"")</f>
        <v/>
      </c>
      <c r="I573" s="40" t="str">
        <f>_xlfn.XLOOKUP(A573,Output_Mac!A:A,Output_Mac!I:I,"")</f>
        <v/>
      </c>
      <c r="J573" s="40" t="str" cm="1">
        <f t="array" ref="J573">IFERROR(_xlfn.LET(
_xlpm.CSVVal,_xlfn.XLOOKUP($A573,CSV!$A:$A,CSV!I:I,""),
_xlpm.MacVal,_xlfn.XLOOKUP($A573,Output_Mac!$A:$A,Output_Mac!J:J,""),
_xlpm.MyAuditVal,_xlfn.XLOOKUP($A573,My_Audit!$A:$A,My_Audit!I:I,""),
_xlfn.IFS(_xlpm.MyAuditVal&lt;&gt;"",UPPER(_xlpm.MyAuditVal),_xlpm.MacVal&lt;&gt;"",_xlpm.MacVal,_xlpm.CSVVal&lt;&gt;"",_xlpm.CSVVal
)),"")</f>
        <v/>
      </c>
      <c r="K573" s="40" t="str" cm="1">
        <f t="array" ref="K573">IFERROR(_xlfn.LET(
_xlpm.CSVVal,_xlfn.XLOOKUP($A573,CSV!$A:$A,CSV!K:K,""),
_xlpm.MacVal,_xlfn.XLOOKUP($A573,Output_Mac!$A:$A,Output_Mac!K:K,""),
_xlpm.MyAuditVal,_xlfn.XLOOKUP($A573,My_Audit!$A:$A,My_Audit!J:J,""),
_xlfn.IFS(_xlpm.MyAuditVal&lt;&gt;"",UPPER(_xlpm.MyAuditVal),_xlpm.MacVal&lt;&gt;"",_xlpm.MacVal,_xlpm.CSVVal&lt;&gt;"",_xlpm.CSVVal
)),"")</f>
        <v/>
      </c>
      <c r="L573" s="40" t="str" cm="1">
        <f t="array" ref="L573">IFERROR(_xlfn.LET(
_xlpm.CSVVal,_xlfn.XLOOKUP($A573,CSV!$A:$A,CSV!P:P,""),
_xlpm.MacVal,_xlfn.XLOOKUP($A573,Output_Mac!$A:$A,Output_Mac!L:L,""),
_xlpm.MyAuditVal,_xlfn.XLOOKUP($A573,My_Audit!$A:$A,My_Audit!K:K,""),
_xlfn.IFS(_xlpm.MyAuditVal&lt;&gt;"",UPPER(_xlpm.MyAuditVal),_xlpm.MacVal&lt;&gt;"",_xlpm.MacVal,_xlpm.CSVVal&lt;&gt;"",_xlpm.CSVVal
)),"")</f>
        <v/>
      </c>
      <c r="M573" s="40" t="str" cm="1">
        <f t="array" ref="M573">IFERROR(_xlfn.LET(
_xlpm.CSVVal,_xlfn.XLOOKUP($A573,CSV!$A:$A,CSV!Q:Q,""),
_xlpm.MacVal,_xlfn.XLOOKUP($A573,Output_Mac!$A:$A,Output_Mac!M:M,""),
_xlpm.MyAuditVal,_xlfn.XLOOKUP($A573,My_Audit!$A:$A,My_Audit!L:L,""),
_xlfn.IFS(_xlpm.MyAuditVal&lt;&gt;"",UPPER(_xlpm.MyAuditVal),_xlpm.MacVal&lt;&gt;"",_xlpm.MacVal,_xlpm.CSVVal&lt;&gt;"",_xlpm.CSVVal
)),"")</f>
        <v/>
      </c>
      <c r="N573" s="40"/>
      <c r="O573" s="40" t="str">
        <f>_xlfn.LET(
    _xlpm.CSVVal, _xlfn.XLOOKUP($A573, CSV!$A:$A, CSV!AA:AA, ""),
    _xlpm.MacVal, _xlfn.XLOOKUP($A573, Output_Mac!$A:$A, Output_Mac!S:S, ""),
    _xlpm.MyAuditVal, _xlfn.XLOOKUP($A573, My_Audit!$A:$A, My_Audit!P:P, ""),
    _xlfn.TEXTJOIN(", ", TRUE, _xlpm.MyAuditVal, _xlpm.MacVal, _xlpm.CSVVal)
)</f>
        <v/>
      </c>
      <c r="P573" s="40" t="str" cm="1">
        <f t="array" ref="P573">IFERROR(_xlfn.LET(
_xlpm.CSVVal,_xlfn.XLOOKUP($A573,CSV!$A:$A,CSV!AB:AB,""),
_xlpm.MacVal,_xlfn.XLOOKUP($A573,Output_Mac!$A:$A,Output_Mac!T:T,""),
_xlpm.MyAuditVal,_xlfn.XLOOKUP($A573,My_Audit!$A:$A,My_Audit!Q:Q,""),
_xlfn.IFS(_xlpm.MyAuditVal&lt;&gt;"",UPPER(_xlpm.MyAuditVal),_xlpm.MacVal&lt;&gt;"",_xlpm.MacVal,_xlpm.CSVVal&lt;&gt;"",_xlpm.CSVVal
)),"No")</f>
        <v>No</v>
      </c>
      <c r="Q573" s="40" t="str" cm="1">
        <f t="array" ref="Q573">IFERROR(_xlfn.LET(
_xlpm.CSVVal,_xlfn.XLOOKUP($A573,CSV!$A:$A,CSV!AC:AC,""),
_xlpm.MacVal,_xlfn.XLOOKUP($A573,Output_Mac!$A:$A,Output_Mac!U:U,""),
_xlpm.MyAuditVal,_xlfn.XLOOKUP($A573,My_Audit!$A:$A,My_Audit!R:R,""),
_xlfn.IFS(_xlpm.MyAuditVal&lt;&gt;"",UPPER(_xlpm.MyAuditVal),_xlpm.MacVal&lt;&gt;"",_xlpm.MacVal,_xlpm.CSVVal&lt;&gt;"",_xlpm.CSVVal
)),"")</f>
        <v/>
      </c>
      <c r="R573" s="40"/>
      <c r="S573" s="40"/>
      <c r="T573" s="40"/>
      <c r="U573" s="40"/>
      <c r="V573" s="40"/>
      <c r="W573" s="40"/>
      <c r="X573" s="41" t="str">
        <f>_xlfn.LET(
    _xlpm.MacVal, _xlfn.XLOOKUP($A573, Output_Mac!$A:$A, Output_Mac!AB:AB, ""),
    _xlpm.MyAuditVal, _xlfn.XLOOKUP($A573, My_Audit!$A:$A, My_Audit!N:N, ""),
    _xlfn.TEXTJOIN(", ", TRUE, _xlpm.MyAuditVal, _xlpm.MacVal)
)</f>
        <v/>
      </c>
    </row>
    <row r="574" spans="1:24">
      <c r="A574" s="40" t="str">
        <f>_xlfn.TEXTJOIN("",TRUE,Input!$B$2,ROW(My_Audit!A573))</f>
        <v>X573</v>
      </c>
      <c r="B574" s="40" t="str">
        <f>_xlfn.TEXTJOIN("-",TRUE,"ITD",Input!$A$2,A574)</f>
        <v>ITD-X573</v>
      </c>
      <c r="C574" s="40" t="str" cm="1">
        <f t="array" ref="C574">IFERROR(_xlfn.LET(
_xlpm.CSVVal,_xlfn.XLOOKUP($A574,CSV!$A:$A,CSV!B:B,""),
_xlpm.MacVal,_xlfn.XLOOKUP($A574,Output_Mac!$A:$A,Output_Mac!B:B,""),
_xlpm.MyAuditVal,_xlfn.XLOOKUP($A574,My_Audit!$A:$A,My_Audit!B:B,""),
_xlfn.IFS(_xlpm.MyAuditVal&lt;&gt;"",UPPER(_xlpm.MyAuditVal),_xlpm.MacVal&lt;&gt;"",_xlpm.MacVal,_xlpm.CSVVal&lt;&gt;"",_xlpm.CSVVal
)),"")</f>
        <v/>
      </c>
      <c r="D574" s="40" t="str" cm="1">
        <f t="array" ref="D574">IFERROR(_xlfn.LET(
_xlpm.CSVVal,_xlfn.XLOOKUP($A574,CSV!$A:$A,CSV!D:D,""),
_xlpm.MacVal,_xlfn.XLOOKUP($A574,Output_Mac!$A:$A,Output_Mac!C:C,""),
_xlpm.MyAuditVal,_xlfn.XLOOKUP($A574,My_Audit!$A:$A,My_Audit!C:C,""),
_xlfn.IFS(_xlpm.MyAuditVal&lt;&gt;"",_xlpm.MyAuditVal,_xlpm.MacVal&lt;&gt;"",_xlpm.MacVal,_xlpm.CSVVal&lt;&gt;"",_xlpm.CSVVal
)),"")</f>
        <v/>
      </c>
      <c r="E574" s="40" t="str">
        <f>_xlfn.XLOOKUP(A574,My_Audit!A:A,My_Audit!D:D,"")</f>
        <v/>
      </c>
      <c r="F574" s="40" t="str" cm="1">
        <f t="array" ref="F574">IFERROR(_xlfn.LET(
_xlpm.CSVVal,_xlfn.XLOOKUP($A574,CSV!$A:$A,CSV!F:F,""),
_xlpm.MacVal,_xlfn.XLOOKUP($A574,Output_Mac!$A:$A,Output_Mac!E:E,""),
_xlpm.MyAuditVal,_xlfn.XLOOKUP($A574,My_Audit!$A:$A,My_Audit!E:E,""),
_xlfn.IFS(_xlpm.MyAuditVal&lt;&gt;"",_xlpm.MyAuditVal,_xlpm.MacVal&lt;&gt;"",_xlpm.MacVal,_xlpm.CSVVal&lt;&gt;"",_xlpm.CSVVal
)),"")</f>
        <v/>
      </c>
      <c r="G574" s="40" t="str" cm="1">
        <f t="array" ref="G574">IFERROR(_xlfn.LET(
_xlpm.CSVVal,_xlfn.XLOOKUP($A574,CSV!$A:$A,CSV!G:G,""),
_xlpm.MacVal,_xlfn.XLOOKUP($A574,Output_Mac!$A:$A,Output_Mac!F:F,""),
_xlpm.MyAuditVal,_xlfn.XLOOKUP($A574,My_Audit!$A:$A,My_Audit!F:F,""),
_xlfn.IFS(_xlpm.MyAuditVal&lt;&gt;"",_xlpm.MyAuditVal,_xlpm.MacVal&lt;&gt;"",_xlpm.MacVal,_xlpm.CSVVal&lt;&gt;"",PROPER(_xlpm.CSVVal)
)),"")</f>
        <v/>
      </c>
      <c r="H574" s="40" t="str" cm="1">
        <f t="array" ref="H574">IFERROR(_xlfn.LET(
_xlpm.CSVVal,_xlfn.XLOOKUP($A574,CSV!$A:$A,CSV!H:H,""),
_xlpm.MacVal,_xlfn.XLOOKUP($A574,Output_Mac!$A:$A,Output_Mac!H:H,""),
_xlpm.MyAuditVal,_xlfn.XLOOKUP($A574,My_Audit!$A:$A,My_Audit!G:G,""),
_xlfn.IFS(_xlpm.MyAuditVal&lt;&gt;"",_xlpm.MyAuditVal,_xlpm.MacVal&lt;&gt;"",_xlpm.MacVal,_xlpm.CSVVal&lt;&gt;"",_xlpm.CSVVal
)),"")</f>
        <v/>
      </c>
      <c r="I574" s="40" t="str">
        <f>_xlfn.XLOOKUP(A574,Output_Mac!A:A,Output_Mac!I:I,"")</f>
        <v/>
      </c>
      <c r="J574" s="40" t="str" cm="1">
        <f t="array" ref="J574">IFERROR(_xlfn.LET(
_xlpm.CSVVal,_xlfn.XLOOKUP($A574,CSV!$A:$A,CSV!I:I,""),
_xlpm.MacVal,_xlfn.XLOOKUP($A574,Output_Mac!$A:$A,Output_Mac!J:J,""),
_xlpm.MyAuditVal,_xlfn.XLOOKUP($A574,My_Audit!$A:$A,My_Audit!I:I,""),
_xlfn.IFS(_xlpm.MyAuditVal&lt;&gt;"",UPPER(_xlpm.MyAuditVal),_xlpm.MacVal&lt;&gt;"",_xlpm.MacVal,_xlpm.CSVVal&lt;&gt;"",_xlpm.CSVVal
)),"")</f>
        <v/>
      </c>
      <c r="K574" s="40" t="str" cm="1">
        <f t="array" ref="K574">IFERROR(_xlfn.LET(
_xlpm.CSVVal,_xlfn.XLOOKUP($A574,CSV!$A:$A,CSV!K:K,""),
_xlpm.MacVal,_xlfn.XLOOKUP($A574,Output_Mac!$A:$A,Output_Mac!K:K,""),
_xlpm.MyAuditVal,_xlfn.XLOOKUP($A574,My_Audit!$A:$A,My_Audit!J:J,""),
_xlfn.IFS(_xlpm.MyAuditVal&lt;&gt;"",UPPER(_xlpm.MyAuditVal),_xlpm.MacVal&lt;&gt;"",_xlpm.MacVal,_xlpm.CSVVal&lt;&gt;"",_xlpm.CSVVal
)),"")</f>
        <v/>
      </c>
      <c r="L574" s="40" t="str" cm="1">
        <f t="array" ref="L574">IFERROR(_xlfn.LET(
_xlpm.CSVVal,_xlfn.XLOOKUP($A574,CSV!$A:$A,CSV!P:P,""),
_xlpm.MacVal,_xlfn.XLOOKUP($A574,Output_Mac!$A:$A,Output_Mac!L:L,""),
_xlpm.MyAuditVal,_xlfn.XLOOKUP($A574,My_Audit!$A:$A,My_Audit!K:K,""),
_xlfn.IFS(_xlpm.MyAuditVal&lt;&gt;"",UPPER(_xlpm.MyAuditVal),_xlpm.MacVal&lt;&gt;"",_xlpm.MacVal,_xlpm.CSVVal&lt;&gt;"",_xlpm.CSVVal
)),"")</f>
        <v/>
      </c>
      <c r="M574" s="40" t="str" cm="1">
        <f t="array" ref="M574">IFERROR(_xlfn.LET(
_xlpm.CSVVal,_xlfn.XLOOKUP($A574,CSV!$A:$A,CSV!Q:Q,""),
_xlpm.MacVal,_xlfn.XLOOKUP($A574,Output_Mac!$A:$A,Output_Mac!M:M,""),
_xlpm.MyAuditVal,_xlfn.XLOOKUP($A574,My_Audit!$A:$A,My_Audit!L:L,""),
_xlfn.IFS(_xlpm.MyAuditVal&lt;&gt;"",UPPER(_xlpm.MyAuditVal),_xlpm.MacVal&lt;&gt;"",_xlpm.MacVal,_xlpm.CSVVal&lt;&gt;"",_xlpm.CSVVal
)),"")</f>
        <v/>
      </c>
      <c r="N574" s="40"/>
      <c r="O574" s="40" t="str">
        <f>_xlfn.LET(
    _xlpm.CSVVal, _xlfn.XLOOKUP($A574, CSV!$A:$A, CSV!AA:AA, ""),
    _xlpm.MacVal, _xlfn.XLOOKUP($A574, Output_Mac!$A:$A, Output_Mac!S:S, ""),
    _xlpm.MyAuditVal, _xlfn.XLOOKUP($A574, My_Audit!$A:$A, My_Audit!P:P, ""),
    _xlfn.TEXTJOIN(", ", TRUE, _xlpm.MyAuditVal, _xlpm.MacVal, _xlpm.CSVVal)
)</f>
        <v/>
      </c>
      <c r="P574" s="40" t="str" cm="1">
        <f t="array" ref="P574">IFERROR(_xlfn.LET(
_xlpm.CSVVal,_xlfn.XLOOKUP($A574,CSV!$A:$A,CSV!AB:AB,""),
_xlpm.MacVal,_xlfn.XLOOKUP($A574,Output_Mac!$A:$A,Output_Mac!T:T,""),
_xlpm.MyAuditVal,_xlfn.XLOOKUP($A574,My_Audit!$A:$A,My_Audit!Q:Q,""),
_xlfn.IFS(_xlpm.MyAuditVal&lt;&gt;"",UPPER(_xlpm.MyAuditVal),_xlpm.MacVal&lt;&gt;"",_xlpm.MacVal,_xlpm.CSVVal&lt;&gt;"",_xlpm.CSVVal
)),"No")</f>
        <v>No</v>
      </c>
      <c r="Q574" s="40" t="str" cm="1">
        <f t="array" ref="Q574">IFERROR(_xlfn.LET(
_xlpm.CSVVal,_xlfn.XLOOKUP($A574,CSV!$A:$A,CSV!AC:AC,""),
_xlpm.MacVal,_xlfn.XLOOKUP($A574,Output_Mac!$A:$A,Output_Mac!U:U,""),
_xlpm.MyAuditVal,_xlfn.XLOOKUP($A574,My_Audit!$A:$A,My_Audit!R:R,""),
_xlfn.IFS(_xlpm.MyAuditVal&lt;&gt;"",UPPER(_xlpm.MyAuditVal),_xlpm.MacVal&lt;&gt;"",_xlpm.MacVal,_xlpm.CSVVal&lt;&gt;"",_xlpm.CSVVal
)),"")</f>
        <v/>
      </c>
      <c r="R574" s="40"/>
      <c r="S574" s="40"/>
      <c r="T574" s="40"/>
      <c r="U574" s="40"/>
      <c r="V574" s="40"/>
      <c r="W574" s="40"/>
      <c r="X574" s="41" t="str">
        <f>_xlfn.LET(
    _xlpm.MacVal, _xlfn.XLOOKUP($A574, Output_Mac!$A:$A, Output_Mac!AB:AB, ""),
    _xlpm.MyAuditVal, _xlfn.XLOOKUP($A574, My_Audit!$A:$A, My_Audit!N:N, ""),
    _xlfn.TEXTJOIN(", ", TRUE, _xlpm.MyAuditVal, _xlpm.MacVal)
)</f>
        <v/>
      </c>
    </row>
    <row r="575" spans="1:24">
      <c r="A575" s="40" t="str">
        <f>_xlfn.TEXTJOIN("",TRUE,Input!$B$2,ROW(My_Audit!A574))</f>
        <v>X574</v>
      </c>
      <c r="B575" s="40" t="str">
        <f>_xlfn.TEXTJOIN("-",TRUE,"ITD",Input!$A$2,A575)</f>
        <v>ITD-X574</v>
      </c>
      <c r="C575" s="40" t="str" cm="1">
        <f t="array" ref="C575">IFERROR(_xlfn.LET(
_xlpm.CSVVal,_xlfn.XLOOKUP($A575,CSV!$A:$A,CSV!B:B,""),
_xlpm.MacVal,_xlfn.XLOOKUP($A575,Output_Mac!$A:$A,Output_Mac!B:B,""),
_xlpm.MyAuditVal,_xlfn.XLOOKUP($A575,My_Audit!$A:$A,My_Audit!B:B,""),
_xlfn.IFS(_xlpm.MyAuditVal&lt;&gt;"",UPPER(_xlpm.MyAuditVal),_xlpm.MacVal&lt;&gt;"",_xlpm.MacVal,_xlpm.CSVVal&lt;&gt;"",_xlpm.CSVVal
)),"")</f>
        <v/>
      </c>
      <c r="D575" s="40" t="str" cm="1">
        <f t="array" ref="D575">IFERROR(_xlfn.LET(
_xlpm.CSVVal,_xlfn.XLOOKUP($A575,CSV!$A:$A,CSV!D:D,""),
_xlpm.MacVal,_xlfn.XLOOKUP($A575,Output_Mac!$A:$A,Output_Mac!C:C,""),
_xlpm.MyAuditVal,_xlfn.XLOOKUP($A575,My_Audit!$A:$A,My_Audit!C:C,""),
_xlfn.IFS(_xlpm.MyAuditVal&lt;&gt;"",_xlpm.MyAuditVal,_xlpm.MacVal&lt;&gt;"",_xlpm.MacVal,_xlpm.CSVVal&lt;&gt;"",_xlpm.CSVVal
)),"")</f>
        <v/>
      </c>
      <c r="E575" s="40" t="str">
        <f>_xlfn.XLOOKUP(A575,My_Audit!A:A,My_Audit!D:D,"")</f>
        <v/>
      </c>
      <c r="F575" s="40" t="str" cm="1">
        <f t="array" ref="F575">IFERROR(_xlfn.LET(
_xlpm.CSVVal,_xlfn.XLOOKUP($A575,CSV!$A:$A,CSV!F:F,""),
_xlpm.MacVal,_xlfn.XLOOKUP($A575,Output_Mac!$A:$A,Output_Mac!E:E,""),
_xlpm.MyAuditVal,_xlfn.XLOOKUP($A575,My_Audit!$A:$A,My_Audit!E:E,""),
_xlfn.IFS(_xlpm.MyAuditVal&lt;&gt;"",_xlpm.MyAuditVal,_xlpm.MacVal&lt;&gt;"",_xlpm.MacVal,_xlpm.CSVVal&lt;&gt;"",_xlpm.CSVVal
)),"")</f>
        <v/>
      </c>
      <c r="G575" s="40" t="str" cm="1">
        <f t="array" ref="G575">IFERROR(_xlfn.LET(
_xlpm.CSVVal,_xlfn.XLOOKUP($A575,CSV!$A:$A,CSV!G:G,""),
_xlpm.MacVal,_xlfn.XLOOKUP($A575,Output_Mac!$A:$A,Output_Mac!F:F,""),
_xlpm.MyAuditVal,_xlfn.XLOOKUP($A575,My_Audit!$A:$A,My_Audit!F:F,""),
_xlfn.IFS(_xlpm.MyAuditVal&lt;&gt;"",_xlpm.MyAuditVal,_xlpm.MacVal&lt;&gt;"",_xlpm.MacVal,_xlpm.CSVVal&lt;&gt;"",PROPER(_xlpm.CSVVal)
)),"")</f>
        <v/>
      </c>
      <c r="H575" s="40" t="str" cm="1">
        <f t="array" ref="H575">IFERROR(_xlfn.LET(
_xlpm.CSVVal,_xlfn.XLOOKUP($A575,CSV!$A:$A,CSV!H:H,""),
_xlpm.MacVal,_xlfn.XLOOKUP($A575,Output_Mac!$A:$A,Output_Mac!H:H,""),
_xlpm.MyAuditVal,_xlfn.XLOOKUP($A575,My_Audit!$A:$A,My_Audit!G:G,""),
_xlfn.IFS(_xlpm.MyAuditVal&lt;&gt;"",_xlpm.MyAuditVal,_xlpm.MacVal&lt;&gt;"",_xlpm.MacVal,_xlpm.CSVVal&lt;&gt;"",_xlpm.CSVVal
)),"")</f>
        <v/>
      </c>
      <c r="I575" s="40" t="str">
        <f>_xlfn.XLOOKUP(A575,Output_Mac!A:A,Output_Mac!I:I,"")</f>
        <v/>
      </c>
      <c r="J575" s="40" t="str" cm="1">
        <f t="array" ref="J575">IFERROR(_xlfn.LET(
_xlpm.CSVVal,_xlfn.XLOOKUP($A575,CSV!$A:$A,CSV!I:I,""),
_xlpm.MacVal,_xlfn.XLOOKUP($A575,Output_Mac!$A:$A,Output_Mac!J:J,""),
_xlpm.MyAuditVal,_xlfn.XLOOKUP($A575,My_Audit!$A:$A,My_Audit!I:I,""),
_xlfn.IFS(_xlpm.MyAuditVal&lt;&gt;"",UPPER(_xlpm.MyAuditVal),_xlpm.MacVal&lt;&gt;"",_xlpm.MacVal,_xlpm.CSVVal&lt;&gt;"",_xlpm.CSVVal
)),"")</f>
        <v/>
      </c>
      <c r="K575" s="40" t="str" cm="1">
        <f t="array" ref="K575">IFERROR(_xlfn.LET(
_xlpm.CSVVal,_xlfn.XLOOKUP($A575,CSV!$A:$A,CSV!K:K,""),
_xlpm.MacVal,_xlfn.XLOOKUP($A575,Output_Mac!$A:$A,Output_Mac!K:K,""),
_xlpm.MyAuditVal,_xlfn.XLOOKUP($A575,My_Audit!$A:$A,My_Audit!J:J,""),
_xlfn.IFS(_xlpm.MyAuditVal&lt;&gt;"",UPPER(_xlpm.MyAuditVal),_xlpm.MacVal&lt;&gt;"",_xlpm.MacVal,_xlpm.CSVVal&lt;&gt;"",_xlpm.CSVVal
)),"")</f>
        <v/>
      </c>
      <c r="L575" s="40" t="str" cm="1">
        <f t="array" ref="L575">IFERROR(_xlfn.LET(
_xlpm.CSVVal,_xlfn.XLOOKUP($A575,CSV!$A:$A,CSV!P:P,""),
_xlpm.MacVal,_xlfn.XLOOKUP($A575,Output_Mac!$A:$A,Output_Mac!L:L,""),
_xlpm.MyAuditVal,_xlfn.XLOOKUP($A575,My_Audit!$A:$A,My_Audit!K:K,""),
_xlfn.IFS(_xlpm.MyAuditVal&lt;&gt;"",UPPER(_xlpm.MyAuditVal),_xlpm.MacVal&lt;&gt;"",_xlpm.MacVal,_xlpm.CSVVal&lt;&gt;"",_xlpm.CSVVal
)),"")</f>
        <v/>
      </c>
      <c r="M575" s="40" t="str" cm="1">
        <f t="array" ref="M575">IFERROR(_xlfn.LET(
_xlpm.CSVVal,_xlfn.XLOOKUP($A575,CSV!$A:$A,CSV!Q:Q,""),
_xlpm.MacVal,_xlfn.XLOOKUP($A575,Output_Mac!$A:$A,Output_Mac!M:M,""),
_xlpm.MyAuditVal,_xlfn.XLOOKUP($A575,My_Audit!$A:$A,My_Audit!L:L,""),
_xlfn.IFS(_xlpm.MyAuditVal&lt;&gt;"",UPPER(_xlpm.MyAuditVal),_xlpm.MacVal&lt;&gt;"",_xlpm.MacVal,_xlpm.CSVVal&lt;&gt;"",_xlpm.CSVVal
)),"")</f>
        <v/>
      </c>
      <c r="N575" s="40"/>
      <c r="O575" s="40" t="str">
        <f>_xlfn.LET(
    _xlpm.CSVVal, _xlfn.XLOOKUP($A575, CSV!$A:$A, CSV!AA:AA, ""),
    _xlpm.MacVal, _xlfn.XLOOKUP($A575, Output_Mac!$A:$A, Output_Mac!S:S, ""),
    _xlpm.MyAuditVal, _xlfn.XLOOKUP($A575, My_Audit!$A:$A, My_Audit!P:P, ""),
    _xlfn.TEXTJOIN(", ", TRUE, _xlpm.MyAuditVal, _xlpm.MacVal, _xlpm.CSVVal)
)</f>
        <v/>
      </c>
      <c r="P575" s="40" t="str" cm="1">
        <f t="array" ref="P575">IFERROR(_xlfn.LET(
_xlpm.CSVVal,_xlfn.XLOOKUP($A575,CSV!$A:$A,CSV!AB:AB,""),
_xlpm.MacVal,_xlfn.XLOOKUP($A575,Output_Mac!$A:$A,Output_Mac!T:T,""),
_xlpm.MyAuditVal,_xlfn.XLOOKUP($A575,My_Audit!$A:$A,My_Audit!Q:Q,""),
_xlfn.IFS(_xlpm.MyAuditVal&lt;&gt;"",UPPER(_xlpm.MyAuditVal),_xlpm.MacVal&lt;&gt;"",_xlpm.MacVal,_xlpm.CSVVal&lt;&gt;"",_xlpm.CSVVal
)),"No")</f>
        <v>No</v>
      </c>
      <c r="Q575" s="40" t="str" cm="1">
        <f t="array" ref="Q575">IFERROR(_xlfn.LET(
_xlpm.CSVVal,_xlfn.XLOOKUP($A575,CSV!$A:$A,CSV!AC:AC,""),
_xlpm.MacVal,_xlfn.XLOOKUP($A575,Output_Mac!$A:$A,Output_Mac!U:U,""),
_xlpm.MyAuditVal,_xlfn.XLOOKUP($A575,My_Audit!$A:$A,My_Audit!R:R,""),
_xlfn.IFS(_xlpm.MyAuditVal&lt;&gt;"",UPPER(_xlpm.MyAuditVal),_xlpm.MacVal&lt;&gt;"",_xlpm.MacVal,_xlpm.CSVVal&lt;&gt;"",_xlpm.CSVVal
)),"")</f>
        <v/>
      </c>
      <c r="R575" s="40"/>
      <c r="S575" s="40"/>
      <c r="T575" s="40"/>
      <c r="U575" s="40"/>
      <c r="V575" s="40"/>
      <c r="W575" s="40"/>
      <c r="X575" s="41" t="str">
        <f>_xlfn.LET(
    _xlpm.MacVal, _xlfn.XLOOKUP($A575, Output_Mac!$A:$A, Output_Mac!AB:AB, ""),
    _xlpm.MyAuditVal, _xlfn.XLOOKUP($A575, My_Audit!$A:$A, My_Audit!N:N, ""),
    _xlfn.TEXTJOIN(", ", TRUE, _xlpm.MyAuditVal, _xlpm.MacVal)
)</f>
        <v/>
      </c>
    </row>
    <row r="576" spans="1:24">
      <c r="A576" s="40" t="str">
        <f>_xlfn.TEXTJOIN("",TRUE,Input!$B$2,ROW(My_Audit!A575))</f>
        <v>X575</v>
      </c>
      <c r="B576" s="40" t="str">
        <f>_xlfn.TEXTJOIN("-",TRUE,"ITD",Input!$A$2,A576)</f>
        <v>ITD-X575</v>
      </c>
      <c r="C576" s="40" t="str" cm="1">
        <f t="array" ref="C576">IFERROR(_xlfn.LET(
_xlpm.CSVVal,_xlfn.XLOOKUP($A576,CSV!$A:$A,CSV!B:B,""),
_xlpm.MacVal,_xlfn.XLOOKUP($A576,Output_Mac!$A:$A,Output_Mac!B:B,""),
_xlpm.MyAuditVal,_xlfn.XLOOKUP($A576,My_Audit!$A:$A,My_Audit!B:B,""),
_xlfn.IFS(_xlpm.MyAuditVal&lt;&gt;"",UPPER(_xlpm.MyAuditVal),_xlpm.MacVal&lt;&gt;"",_xlpm.MacVal,_xlpm.CSVVal&lt;&gt;"",_xlpm.CSVVal
)),"")</f>
        <v/>
      </c>
      <c r="D576" s="40" t="str" cm="1">
        <f t="array" ref="D576">IFERROR(_xlfn.LET(
_xlpm.CSVVal,_xlfn.XLOOKUP($A576,CSV!$A:$A,CSV!D:D,""),
_xlpm.MacVal,_xlfn.XLOOKUP($A576,Output_Mac!$A:$A,Output_Mac!C:C,""),
_xlpm.MyAuditVal,_xlfn.XLOOKUP($A576,My_Audit!$A:$A,My_Audit!C:C,""),
_xlfn.IFS(_xlpm.MyAuditVal&lt;&gt;"",_xlpm.MyAuditVal,_xlpm.MacVal&lt;&gt;"",_xlpm.MacVal,_xlpm.CSVVal&lt;&gt;"",_xlpm.CSVVal
)),"")</f>
        <v/>
      </c>
      <c r="E576" s="40" t="str">
        <f>_xlfn.XLOOKUP(A576,My_Audit!A:A,My_Audit!D:D,"")</f>
        <v/>
      </c>
      <c r="F576" s="40" t="str" cm="1">
        <f t="array" ref="F576">IFERROR(_xlfn.LET(
_xlpm.CSVVal,_xlfn.XLOOKUP($A576,CSV!$A:$A,CSV!F:F,""),
_xlpm.MacVal,_xlfn.XLOOKUP($A576,Output_Mac!$A:$A,Output_Mac!E:E,""),
_xlpm.MyAuditVal,_xlfn.XLOOKUP($A576,My_Audit!$A:$A,My_Audit!E:E,""),
_xlfn.IFS(_xlpm.MyAuditVal&lt;&gt;"",_xlpm.MyAuditVal,_xlpm.MacVal&lt;&gt;"",_xlpm.MacVal,_xlpm.CSVVal&lt;&gt;"",_xlpm.CSVVal
)),"")</f>
        <v/>
      </c>
      <c r="G576" s="40" t="str" cm="1">
        <f t="array" ref="G576">IFERROR(_xlfn.LET(
_xlpm.CSVVal,_xlfn.XLOOKUP($A576,CSV!$A:$A,CSV!G:G,""),
_xlpm.MacVal,_xlfn.XLOOKUP($A576,Output_Mac!$A:$A,Output_Mac!F:F,""),
_xlpm.MyAuditVal,_xlfn.XLOOKUP($A576,My_Audit!$A:$A,My_Audit!F:F,""),
_xlfn.IFS(_xlpm.MyAuditVal&lt;&gt;"",_xlpm.MyAuditVal,_xlpm.MacVal&lt;&gt;"",_xlpm.MacVal,_xlpm.CSVVal&lt;&gt;"",PROPER(_xlpm.CSVVal)
)),"")</f>
        <v/>
      </c>
      <c r="H576" s="40" t="str" cm="1">
        <f t="array" ref="H576">IFERROR(_xlfn.LET(
_xlpm.CSVVal,_xlfn.XLOOKUP($A576,CSV!$A:$A,CSV!H:H,""),
_xlpm.MacVal,_xlfn.XLOOKUP($A576,Output_Mac!$A:$A,Output_Mac!H:H,""),
_xlpm.MyAuditVal,_xlfn.XLOOKUP($A576,My_Audit!$A:$A,My_Audit!G:G,""),
_xlfn.IFS(_xlpm.MyAuditVal&lt;&gt;"",_xlpm.MyAuditVal,_xlpm.MacVal&lt;&gt;"",_xlpm.MacVal,_xlpm.CSVVal&lt;&gt;"",_xlpm.CSVVal
)),"")</f>
        <v/>
      </c>
      <c r="I576" s="40" t="str">
        <f>_xlfn.XLOOKUP(A576,Output_Mac!A:A,Output_Mac!I:I,"")</f>
        <v/>
      </c>
      <c r="J576" s="40" t="str" cm="1">
        <f t="array" ref="J576">IFERROR(_xlfn.LET(
_xlpm.CSVVal,_xlfn.XLOOKUP($A576,CSV!$A:$A,CSV!I:I,""),
_xlpm.MacVal,_xlfn.XLOOKUP($A576,Output_Mac!$A:$A,Output_Mac!J:J,""),
_xlpm.MyAuditVal,_xlfn.XLOOKUP($A576,My_Audit!$A:$A,My_Audit!I:I,""),
_xlfn.IFS(_xlpm.MyAuditVal&lt;&gt;"",UPPER(_xlpm.MyAuditVal),_xlpm.MacVal&lt;&gt;"",_xlpm.MacVal,_xlpm.CSVVal&lt;&gt;"",_xlpm.CSVVal
)),"")</f>
        <v/>
      </c>
      <c r="K576" s="40" t="str" cm="1">
        <f t="array" ref="K576">IFERROR(_xlfn.LET(
_xlpm.CSVVal,_xlfn.XLOOKUP($A576,CSV!$A:$A,CSV!K:K,""),
_xlpm.MacVal,_xlfn.XLOOKUP($A576,Output_Mac!$A:$A,Output_Mac!K:K,""),
_xlpm.MyAuditVal,_xlfn.XLOOKUP($A576,My_Audit!$A:$A,My_Audit!J:J,""),
_xlfn.IFS(_xlpm.MyAuditVal&lt;&gt;"",UPPER(_xlpm.MyAuditVal),_xlpm.MacVal&lt;&gt;"",_xlpm.MacVal,_xlpm.CSVVal&lt;&gt;"",_xlpm.CSVVal
)),"")</f>
        <v/>
      </c>
      <c r="L576" s="40" t="str" cm="1">
        <f t="array" ref="L576">IFERROR(_xlfn.LET(
_xlpm.CSVVal,_xlfn.XLOOKUP($A576,CSV!$A:$A,CSV!P:P,""),
_xlpm.MacVal,_xlfn.XLOOKUP($A576,Output_Mac!$A:$A,Output_Mac!L:L,""),
_xlpm.MyAuditVal,_xlfn.XLOOKUP($A576,My_Audit!$A:$A,My_Audit!K:K,""),
_xlfn.IFS(_xlpm.MyAuditVal&lt;&gt;"",UPPER(_xlpm.MyAuditVal),_xlpm.MacVal&lt;&gt;"",_xlpm.MacVal,_xlpm.CSVVal&lt;&gt;"",_xlpm.CSVVal
)),"")</f>
        <v/>
      </c>
      <c r="M576" s="40" t="str" cm="1">
        <f t="array" ref="M576">IFERROR(_xlfn.LET(
_xlpm.CSVVal,_xlfn.XLOOKUP($A576,CSV!$A:$A,CSV!Q:Q,""),
_xlpm.MacVal,_xlfn.XLOOKUP($A576,Output_Mac!$A:$A,Output_Mac!M:M,""),
_xlpm.MyAuditVal,_xlfn.XLOOKUP($A576,My_Audit!$A:$A,My_Audit!L:L,""),
_xlfn.IFS(_xlpm.MyAuditVal&lt;&gt;"",UPPER(_xlpm.MyAuditVal),_xlpm.MacVal&lt;&gt;"",_xlpm.MacVal,_xlpm.CSVVal&lt;&gt;"",_xlpm.CSVVal
)),"")</f>
        <v/>
      </c>
      <c r="N576" s="40"/>
      <c r="O576" s="40" t="str">
        <f>_xlfn.LET(
    _xlpm.CSVVal, _xlfn.XLOOKUP($A576, CSV!$A:$A, CSV!AA:AA, ""),
    _xlpm.MacVal, _xlfn.XLOOKUP($A576, Output_Mac!$A:$A, Output_Mac!S:S, ""),
    _xlpm.MyAuditVal, _xlfn.XLOOKUP($A576, My_Audit!$A:$A, My_Audit!P:P, ""),
    _xlfn.TEXTJOIN(", ", TRUE, _xlpm.MyAuditVal, _xlpm.MacVal, _xlpm.CSVVal)
)</f>
        <v/>
      </c>
      <c r="P576" s="40" t="str" cm="1">
        <f t="array" ref="P576">IFERROR(_xlfn.LET(
_xlpm.CSVVal,_xlfn.XLOOKUP($A576,CSV!$A:$A,CSV!AB:AB,""),
_xlpm.MacVal,_xlfn.XLOOKUP($A576,Output_Mac!$A:$A,Output_Mac!T:T,""),
_xlpm.MyAuditVal,_xlfn.XLOOKUP($A576,My_Audit!$A:$A,My_Audit!Q:Q,""),
_xlfn.IFS(_xlpm.MyAuditVal&lt;&gt;"",UPPER(_xlpm.MyAuditVal),_xlpm.MacVal&lt;&gt;"",_xlpm.MacVal,_xlpm.CSVVal&lt;&gt;"",_xlpm.CSVVal
)),"No")</f>
        <v>No</v>
      </c>
      <c r="Q576" s="40" t="str" cm="1">
        <f t="array" ref="Q576">IFERROR(_xlfn.LET(
_xlpm.CSVVal,_xlfn.XLOOKUP($A576,CSV!$A:$A,CSV!AC:AC,""),
_xlpm.MacVal,_xlfn.XLOOKUP($A576,Output_Mac!$A:$A,Output_Mac!U:U,""),
_xlpm.MyAuditVal,_xlfn.XLOOKUP($A576,My_Audit!$A:$A,My_Audit!R:R,""),
_xlfn.IFS(_xlpm.MyAuditVal&lt;&gt;"",UPPER(_xlpm.MyAuditVal),_xlpm.MacVal&lt;&gt;"",_xlpm.MacVal,_xlpm.CSVVal&lt;&gt;"",_xlpm.CSVVal
)),"")</f>
        <v/>
      </c>
      <c r="R576" s="40"/>
      <c r="S576" s="40"/>
      <c r="T576" s="40"/>
      <c r="U576" s="40"/>
      <c r="V576" s="40"/>
      <c r="W576" s="40"/>
      <c r="X576" s="41" t="str">
        <f>_xlfn.LET(
    _xlpm.MacVal, _xlfn.XLOOKUP($A576, Output_Mac!$A:$A, Output_Mac!AB:AB, ""),
    _xlpm.MyAuditVal, _xlfn.XLOOKUP($A576, My_Audit!$A:$A, My_Audit!N:N, ""),
    _xlfn.TEXTJOIN(", ", TRUE, _xlpm.MyAuditVal, _xlpm.MacVal)
)</f>
        <v/>
      </c>
    </row>
    <row r="577" spans="1:24">
      <c r="A577" s="40" t="str">
        <f>_xlfn.TEXTJOIN("",TRUE,Input!$B$2,ROW(My_Audit!A576))</f>
        <v>X576</v>
      </c>
      <c r="B577" s="40" t="str">
        <f>_xlfn.TEXTJOIN("-",TRUE,"ITD",Input!$A$2,A577)</f>
        <v>ITD-X576</v>
      </c>
      <c r="C577" s="40" t="str" cm="1">
        <f t="array" ref="C577">IFERROR(_xlfn.LET(
_xlpm.CSVVal,_xlfn.XLOOKUP($A577,CSV!$A:$A,CSV!B:B,""),
_xlpm.MacVal,_xlfn.XLOOKUP($A577,Output_Mac!$A:$A,Output_Mac!B:B,""),
_xlpm.MyAuditVal,_xlfn.XLOOKUP($A577,My_Audit!$A:$A,My_Audit!B:B,""),
_xlfn.IFS(_xlpm.MyAuditVal&lt;&gt;"",UPPER(_xlpm.MyAuditVal),_xlpm.MacVal&lt;&gt;"",_xlpm.MacVal,_xlpm.CSVVal&lt;&gt;"",_xlpm.CSVVal
)),"")</f>
        <v/>
      </c>
      <c r="D577" s="40" t="str" cm="1">
        <f t="array" ref="D577">IFERROR(_xlfn.LET(
_xlpm.CSVVal,_xlfn.XLOOKUP($A577,CSV!$A:$A,CSV!D:D,""),
_xlpm.MacVal,_xlfn.XLOOKUP($A577,Output_Mac!$A:$A,Output_Mac!C:C,""),
_xlpm.MyAuditVal,_xlfn.XLOOKUP($A577,My_Audit!$A:$A,My_Audit!C:C,""),
_xlfn.IFS(_xlpm.MyAuditVal&lt;&gt;"",_xlpm.MyAuditVal,_xlpm.MacVal&lt;&gt;"",_xlpm.MacVal,_xlpm.CSVVal&lt;&gt;"",_xlpm.CSVVal
)),"")</f>
        <v/>
      </c>
      <c r="E577" s="40" t="str">
        <f>_xlfn.XLOOKUP(A577,My_Audit!A:A,My_Audit!D:D,"")</f>
        <v/>
      </c>
      <c r="F577" s="40" t="str" cm="1">
        <f t="array" ref="F577">IFERROR(_xlfn.LET(
_xlpm.CSVVal,_xlfn.XLOOKUP($A577,CSV!$A:$A,CSV!F:F,""),
_xlpm.MacVal,_xlfn.XLOOKUP($A577,Output_Mac!$A:$A,Output_Mac!E:E,""),
_xlpm.MyAuditVal,_xlfn.XLOOKUP($A577,My_Audit!$A:$A,My_Audit!E:E,""),
_xlfn.IFS(_xlpm.MyAuditVal&lt;&gt;"",_xlpm.MyAuditVal,_xlpm.MacVal&lt;&gt;"",_xlpm.MacVal,_xlpm.CSVVal&lt;&gt;"",_xlpm.CSVVal
)),"")</f>
        <v/>
      </c>
      <c r="G577" s="40" t="str" cm="1">
        <f t="array" ref="G577">IFERROR(_xlfn.LET(
_xlpm.CSVVal,_xlfn.XLOOKUP($A577,CSV!$A:$A,CSV!G:G,""),
_xlpm.MacVal,_xlfn.XLOOKUP($A577,Output_Mac!$A:$A,Output_Mac!F:F,""),
_xlpm.MyAuditVal,_xlfn.XLOOKUP($A577,My_Audit!$A:$A,My_Audit!F:F,""),
_xlfn.IFS(_xlpm.MyAuditVal&lt;&gt;"",_xlpm.MyAuditVal,_xlpm.MacVal&lt;&gt;"",_xlpm.MacVal,_xlpm.CSVVal&lt;&gt;"",PROPER(_xlpm.CSVVal)
)),"")</f>
        <v/>
      </c>
      <c r="H577" s="40" t="str" cm="1">
        <f t="array" ref="H577">IFERROR(_xlfn.LET(
_xlpm.CSVVal,_xlfn.XLOOKUP($A577,CSV!$A:$A,CSV!H:H,""),
_xlpm.MacVal,_xlfn.XLOOKUP($A577,Output_Mac!$A:$A,Output_Mac!H:H,""),
_xlpm.MyAuditVal,_xlfn.XLOOKUP($A577,My_Audit!$A:$A,My_Audit!G:G,""),
_xlfn.IFS(_xlpm.MyAuditVal&lt;&gt;"",_xlpm.MyAuditVal,_xlpm.MacVal&lt;&gt;"",_xlpm.MacVal,_xlpm.CSVVal&lt;&gt;"",_xlpm.CSVVal
)),"")</f>
        <v/>
      </c>
      <c r="I577" s="40" t="str">
        <f>_xlfn.XLOOKUP(A577,Output_Mac!A:A,Output_Mac!I:I,"")</f>
        <v/>
      </c>
      <c r="J577" s="40" t="str" cm="1">
        <f t="array" ref="J577">IFERROR(_xlfn.LET(
_xlpm.CSVVal,_xlfn.XLOOKUP($A577,CSV!$A:$A,CSV!I:I,""),
_xlpm.MacVal,_xlfn.XLOOKUP($A577,Output_Mac!$A:$A,Output_Mac!J:J,""),
_xlpm.MyAuditVal,_xlfn.XLOOKUP($A577,My_Audit!$A:$A,My_Audit!I:I,""),
_xlfn.IFS(_xlpm.MyAuditVal&lt;&gt;"",UPPER(_xlpm.MyAuditVal),_xlpm.MacVal&lt;&gt;"",_xlpm.MacVal,_xlpm.CSVVal&lt;&gt;"",_xlpm.CSVVal
)),"")</f>
        <v/>
      </c>
      <c r="K577" s="40" t="str" cm="1">
        <f t="array" ref="K577">IFERROR(_xlfn.LET(
_xlpm.CSVVal,_xlfn.XLOOKUP($A577,CSV!$A:$A,CSV!K:K,""),
_xlpm.MacVal,_xlfn.XLOOKUP($A577,Output_Mac!$A:$A,Output_Mac!K:K,""),
_xlpm.MyAuditVal,_xlfn.XLOOKUP($A577,My_Audit!$A:$A,My_Audit!J:J,""),
_xlfn.IFS(_xlpm.MyAuditVal&lt;&gt;"",UPPER(_xlpm.MyAuditVal),_xlpm.MacVal&lt;&gt;"",_xlpm.MacVal,_xlpm.CSVVal&lt;&gt;"",_xlpm.CSVVal
)),"")</f>
        <v/>
      </c>
      <c r="L577" s="40" t="str" cm="1">
        <f t="array" ref="L577">IFERROR(_xlfn.LET(
_xlpm.CSVVal,_xlfn.XLOOKUP($A577,CSV!$A:$A,CSV!P:P,""),
_xlpm.MacVal,_xlfn.XLOOKUP($A577,Output_Mac!$A:$A,Output_Mac!L:L,""),
_xlpm.MyAuditVal,_xlfn.XLOOKUP($A577,My_Audit!$A:$A,My_Audit!K:K,""),
_xlfn.IFS(_xlpm.MyAuditVal&lt;&gt;"",UPPER(_xlpm.MyAuditVal),_xlpm.MacVal&lt;&gt;"",_xlpm.MacVal,_xlpm.CSVVal&lt;&gt;"",_xlpm.CSVVal
)),"")</f>
        <v/>
      </c>
      <c r="M577" s="40" t="str" cm="1">
        <f t="array" ref="M577">IFERROR(_xlfn.LET(
_xlpm.CSVVal,_xlfn.XLOOKUP($A577,CSV!$A:$A,CSV!Q:Q,""),
_xlpm.MacVal,_xlfn.XLOOKUP($A577,Output_Mac!$A:$A,Output_Mac!M:M,""),
_xlpm.MyAuditVal,_xlfn.XLOOKUP($A577,My_Audit!$A:$A,My_Audit!L:L,""),
_xlfn.IFS(_xlpm.MyAuditVal&lt;&gt;"",UPPER(_xlpm.MyAuditVal),_xlpm.MacVal&lt;&gt;"",_xlpm.MacVal,_xlpm.CSVVal&lt;&gt;"",_xlpm.CSVVal
)),"")</f>
        <v/>
      </c>
      <c r="N577" s="40"/>
      <c r="O577" s="40" t="str">
        <f>_xlfn.LET(
    _xlpm.CSVVal, _xlfn.XLOOKUP($A577, CSV!$A:$A, CSV!AA:AA, ""),
    _xlpm.MacVal, _xlfn.XLOOKUP($A577, Output_Mac!$A:$A, Output_Mac!S:S, ""),
    _xlpm.MyAuditVal, _xlfn.XLOOKUP($A577, My_Audit!$A:$A, My_Audit!P:P, ""),
    _xlfn.TEXTJOIN(", ", TRUE, _xlpm.MyAuditVal, _xlpm.MacVal, _xlpm.CSVVal)
)</f>
        <v/>
      </c>
      <c r="P577" s="40" t="str" cm="1">
        <f t="array" ref="P577">IFERROR(_xlfn.LET(
_xlpm.CSVVal,_xlfn.XLOOKUP($A577,CSV!$A:$A,CSV!AB:AB,""),
_xlpm.MacVal,_xlfn.XLOOKUP($A577,Output_Mac!$A:$A,Output_Mac!T:T,""),
_xlpm.MyAuditVal,_xlfn.XLOOKUP($A577,My_Audit!$A:$A,My_Audit!Q:Q,""),
_xlfn.IFS(_xlpm.MyAuditVal&lt;&gt;"",UPPER(_xlpm.MyAuditVal),_xlpm.MacVal&lt;&gt;"",_xlpm.MacVal,_xlpm.CSVVal&lt;&gt;"",_xlpm.CSVVal
)),"No")</f>
        <v>No</v>
      </c>
      <c r="Q577" s="40" t="str" cm="1">
        <f t="array" ref="Q577">IFERROR(_xlfn.LET(
_xlpm.CSVVal,_xlfn.XLOOKUP($A577,CSV!$A:$A,CSV!AC:AC,""),
_xlpm.MacVal,_xlfn.XLOOKUP($A577,Output_Mac!$A:$A,Output_Mac!U:U,""),
_xlpm.MyAuditVal,_xlfn.XLOOKUP($A577,My_Audit!$A:$A,My_Audit!R:R,""),
_xlfn.IFS(_xlpm.MyAuditVal&lt;&gt;"",UPPER(_xlpm.MyAuditVal),_xlpm.MacVal&lt;&gt;"",_xlpm.MacVal,_xlpm.CSVVal&lt;&gt;"",_xlpm.CSVVal
)),"")</f>
        <v/>
      </c>
      <c r="R577" s="40"/>
      <c r="S577" s="40"/>
      <c r="T577" s="40"/>
      <c r="U577" s="40"/>
      <c r="V577" s="40"/>
      <c r="W577" s="40"/>
      <c r="X577" s="41" t="str">
        <f>_xlfn.LET(
    _xlpm.MacVal, _xlfn.XLOOKUP($A577, Output_Mac!$A:$A, Output_Mac!AB:AB, ""),
    _xlpm.MyAuditVal, _xlfn.XLOOKUP($A577, My_Audit!$A:$A, My_Audit!N:N, ""),
    _xlfn.TEXTJOIN(", ", TRUE, _xlpm.MyAuditVal, _xlpm.MacVal)
)</f>
        <v/>
      </c>
    </row>
    <row r="578" spans="1:24">
      <c r="A578" s="40" t="str">
        <f>_xlfn.TEXTJOIN("",TRUE,Input!$B$2,ROW(My_Audit!A577))</f>
        <v>X577</v>
      </c>
      <c r="B578" s="40" t="str">
        <f>_xlfn.TEXTJOIN("-",TRUE,"ITD",Input!$A$2,A578)</f>
        <v>ITD-X577</v>
      </c>
      <c r="C578" s="40" t="str" cm="1">
        <f t="array" ref="C578">IFERROR(_xlfn.LET(
_xlpm.CSVVal,_xlfn.XLOOKUP($A578,CSV!$A:$A,CSV!B:B,""),
_xlpm.MacVal,_xlfn.XLOOKUP($A578,Output_Mac!$A:$A,Output_Mac!B:B,""),
_xlpm.MyAuditVal,_xlfn.XLOOKUP($A578,My_Audit!$A:$A,My_Audit!B:B,""),
_xlfn.IFS(_xlpm.MyAuditVal&lt;&gt;"",UPPER(_xlpm.MyAuditVal),_xlpm.MacVal&lt;&gt;"",_xlpm.MacVal,_xlpm.CSVVal&lt;&gt;"",_xlpm.CSVVal
)),"")</f>
        <v/>
      </c>
      <c r="D578" s="40" t="str" cm="1">
        <f t="array" ref="D578">IFERROR(_xlfn.LET(
_xlpm.CSVVal,_xlfn.XLOOKUP($A578,CSV!$A:$A,CSV!D:D,""),
_xlpm.MacVal,_xlfn.XLOOKUP($A578,Output_Mac!$A:$A,Output_Mac!C:C,""),
_xlpm.MyAuditVal,_xlfn.XLOOKUP($A578,My_Audit!$A:$A,My_Audit!C:C,""),
_xlfn.IFS(_xlpm.MyAuditVal&lt;&gt;"",_xlpm.MyAuditVal,_xlpm.MacVal&lt;&gt;"",_xlpm.MacVal,_xlpm.CSVVal&lt;&gt;"",_xlpm.CSVVal
)),"")</f>
        <v/>
      </c>
      <c r="E578" s="40" t="str">
        <f>_xlfn.XLOOKUP(A578,My_Audit!A:A,My_Audit!D:D,"")</f>
        <v/>
      </c>
      <c r="F578" s="40" t="str" cm="1">
        <f t="array" ref="F578">IFERROR(_xlfn.LET(
_xlpm.CSVVal,_xlfn.XLOOKUP($A578,CSV!$A:$A,CSV!F:F,""),
_xlpm.MacVal,_xlfn.XLOOKUP($A578,Output_Mac!$A:$A,Output_Mac!E:E,""),
_xlpm.MyAuditVal,_xlfn.XLOOKUP($A578,My_Audit!$A:$A,My_Audit!E:E,""),
_xlfn.IFS(_xlpm.MyAuditVal&lt;&gt;"",_xlpm.MyAuditVal,_xlpm.MacVal&lt;&gt;"",_xlpm.MacVal,_xlpm.CSVVal&lt;&gt;"",_xlpm.CSVVal
)),"")</f>
        <v/>
      </c>
      <c r="G578" s="40" t="str" cm="1">
        <f t="array" ref="G578">IFERROR(_xlfn.LET(
_xlpm.CSVVal,_xlfn.XLOOKUP($A578,CSV!$A:$A,CSV!G:G,""),
_xlpm.MacVal,_xlfn.XLOOKUP($A578,Output_Mac!$A:$A,Output_Mac!F:F,""),
_xlpm.MyAuditVal,_xlfn.XLOOKUP($A578,My_Audit!$A:$A,My_Audit!F:F,""),
_xlfn.IFS(_xlpm.MyAuditVal&lt;&gt;"",_xlpm.MyAuditVal,_xlpm.MacVal&lt;&gt;"",_xlpm.MacVal,_xlpm.CSVVal&lt;&gt;"",PROPER(_xlpm.CSVVal)
)),"")</f>
        <v/>
      </c>
      <c r="H578" s="40" t="str" cm="1">
        <f t="array" ref="H578">IFERROR(_xlfn.LET(
_xlpm.CSVVal,_xlfn.XLOOKUP($A578,CSV!$A:$A,CSV!H:H,""),
_xlpm.MacVal,_xlfn.XLOOKUP($A578,Output_Mac!$A:$A,Output_Mac!H:H,""),
_xlpm.MyAuditVal,_xlfn.XLOOKUP($A578,My_Audit!$A:$A,My_Audit!G:G,""),
_xlfn.IFS(_xlpm.MyAuditVal&lt;&gt;"",_xlpm.MyAuditVal,_xlpm.MacVal&lt;&gt;"",_xlpm.MacVal,_xlpm.CSVVal&lt;&gt;"",_xlpm.CSVVal
)),"")</f>
        <v/>
      </c>
      <c r="I578" s="40" t="str">
        <f>_xlfn.XLOOKUP(A578,Output_Mac!A:A,Output_Mac!I:I,"")</f>
        <v/>
      </c>
      <c r="J578" s="40" t="str" cm="1">
        <f t="array" ref="J578">IFERROR(_xlfn.LET(
_xlpm.CSVVal,_xlfn.XLOOKUP($A578,CSV!$A:$A,CSV!I:I,""),
_xlpm.MacVal,_xlfn.XLOOKUP($A578,Output_Mac!$A:$A,Output_Mac!J:J,""),
_xlpm.MyAuditVal,_xlfn.XLOOKUP($A578,My_Audit!$A:$A,My_Audit!I:I,""),
_xlfn.IFS(_xlpm.MyAuditVal&lt;&gt;"",UPPER(_xlpm.MyAuditVal),_xlpm.MacVal&lt;&gt;"",_xlpm.MacVal,_xlpm.CSVVal&lt;&gt;"",_xlpm.CSVVal
)),"")</f>
        <v/>
      </c>
      <c r="K578" s="40" t="str" cm="1">
        <f t="array" ref="K578">IFERROR(_xlfn.LET(
_xlpm.CSVVal,_xlfn.XLOOKUP($A578,CSV!$A:$A,CSV!K:K,""),
_xlpm.MacVal,_xlfn.XLOOKUP($A578,Output_Mac!$A:$A,Output_Mac!K:K,""),
_xlpm.MyAuditVal,_xlfn.XLOOKUP($A578,My_Audit!$A:$A,My_Audit!J:J,""),
_xlfn.IFS(_xlpm.MyAuditVal&lt;&gt;"",UPPER(_xlpm.MyAuditVal),_xlpm.MacVal&lt;&gt;"",_xlpm.MacVal,_xlpm.CSVVal&lt;&gt;"",_xlpm.CSVVal
)),"")</f>
        <v/>
      </c>
      <c r="L578" s="40" t="str" cm="1">
        <f t="array" ref="L578">IFERROR(_xlfn.LET(
_xlpm.CSVVal,_xlfn.XLOOKUP($A578,CSV!$A:$A,CSV!P:P,""),
_xlpm.MacVal,_xlfn.XLOOKUP($A578,Output_Mac!$A:$A,Output_Mac!L:L,""),
_xlpm.MyAuditVal,_xlfn.XLOOKUP($A578,My_Audit!$A:$A,My_Audit!K:K,""),
_xlfn.IFS(_xlpm.MyAuditVal&lt;&gt;"",UPPER(_xlpm.MyAuditVal),_xlpm.MacVal&lt;&gt;"",_xlpm.MacVal,_xlpm.CSVVal&lt;&gt;"",_xlpm.CSVVal
)),"")</f>
        <v/>
      </c>
      <c r="M578" s="40" t="str" cm="1">
        <f t="array" ref="M578">IFERROR(_xlfn.LET(
_xlpm.CSVVal,_xlfn.XLOOKUP($A578,CSV!$A:$A,CSV!Q:Q,""),
_xlpm.MacVal,_xlfn.XLOOKUP($A578,Output_Mac!$A:$A,Output_Mac!M:M,""),
_xlpm.MyAuditVal,_xlfn.XLOOKUP($A578,My_Audit!$A:$A,My_Audit!L:L,""),
_xlfn.IFS(_xlpm.MyAuditVal&lt;&gt;"",UPPER(_xlpm.MyAuditVal),_xlpm.MacVal&lt;&gt;"",_xlpm.MacVal,_xlpm.CSVVal&lt;&gt;"",_xlpm.CSVVal
)),"")</f>
        <v/>
      </c>
      <c r="N578" s="40"/>
      <c r="O578" s="40" t="str">
        <f>_xlfn.LET(
    _xlpm.CSVVal, _xlfn.XLOOKUP($A578, CSV!$A:$A, CSV!AA:AA, ""),
    _xlpm.MacVal, _xlfn.XLOOKUP($A578, Output_Mac!$A:$A, Output_Mac!S:S, ""),
    _xlpm.MyAuditVal, _xlfn.XLOOKUP($A578, My_Audit!$A:$A, My_Audit!P:P, ""),
    _xlfn.TEXTJOIN(", ", TRUE, _xlpm.MyAuditVal, _xlpm.MacVal, _xlpm.CSVVal)
)</f>
        <v/>
      </c>
      <c r="P578" s="40" t="str" cm="1">
        <f t="array" ref="P578">IFERROR(_xlfn.LET(
_xlpm.CSVVal,_xlfn.XLOOKUP($A578,CSV!$A:$A,CSV!AB:AB,""),
_xlpm.MacVal,_xlfn.XLOOKUP($A578,Output_Mac!$A:$A,Output_Mac!T:T,""),
_xlpm.MyAuditVal,_xlfn.XLOOKUP($A578,My_Audit!$A:$A,My_Audit!Q:Q,""),
_xlfn.IFS(_xlpm.MyAuditVal&lt;&gt;"",UPPER(_xlpm.MyAuditVal),_xlpm.MacVal&lt;&gt;"",_xlpm.MacVal,_xlpm.CSVVal&lt;&gt;"",_xlpm.CSVVal
)),"No")</f>
        <v>No</v>
      </c>
      <c r="Q578" s="40" t="str" cm="1">
        <f t="array" ref="Q578">IFERROR(_xlfn.LET(
_xlpm.CSVVal,_xlfn.XLOOKUP($A578,CSV!$A:$A,CSV!AC:AC,""),
_xlpm.MacVal,_xlfn.XLOOKUP($A578,Output_Mac!$A:$A,Output_Mac!U:U,""),
_xlpm.MyAuditVal,_xlfn.XLOOKUP($A578,My_Audit!$A:$A,My_Audit!R:R,""),
_xlfn.IFS(_xlpm.MyAuditVal&lt;&gt;"",UPPER(_xlpm.MyAuditVal),_xlpm.MacVal&lt;&gt;"",_xlpm.MacVal,_xlpm.CSVVal&lt;&gt;"",_xlpm.CSVVal
)),"")</f>
        <v/>
      </c>
      <c r="R578" s="40"/>
      <c r="S578" s="40"/>
      <c r="T578" s="40"/>
      <c r="U578" s="40"/>
      <c r="V578" s="40"/>
      <c r="W578" s="40"/>
      <c r="X578" s="41" t="str">
        <f>_xlfn.LET(
    _xlpm.MacVal, _xlfn.XLOOKUP($A578, Output_Mac!$A:$A, Output_Mac!AB:AB, ""),
    _xlpm.MyAuditVal, _xlfn.XLOOKUP($A578, My_Audit!$A:$A, My_Audit!N:N, ""),
    _xlfn.TEXTJOIN(", ", TRUE, _xlpm.MyAuditVal, _xlpm.MacVal)
)</f>
        <v/>
      </c>
    </row>
    <row r="579" spans="1:24">
      <c r="A579" s="40" t="str">
        <f>_xlfn.TEXTJOIN("",TRUE,Input!$B$2,ROW(My_Audit!A578))</f>
        <v>X578</v>
      </c>
      <c r="B579" s="40" t="str">
        <f>_xlfn.TEXTJOIN("-",TRUE,"ITD",Input!$A$2,A579)</f>
        <v>ITD-X578</v>
      </c>
      <c r="C579" s="40" t="str" cm="1">
        <f t="array" ref="C579">IFERROR(_xlfn.LET(
_xlpm.CSVVal,_xlfn.XLOOKUP($A579,CSV!$A:$A,CSV!B:B,""),
_xlpm.MacVal,_xlfn.XLOOKUP($A579,Output_Mac!$A:$A,Output_Mac!B:B,""),
_xlpm.MyAuditVal,_xlfn.XLOOKUP($A579,My_Audit!$A:$A,My_Audit!B:B,""),
_xlfn.IFS(_xlpm.MyAuditVal&lt;&gt;"",UPPER(_xlpm.MyAuditVal),_xlpm.MacVal&lt;&gt;"",_xlpm.MacVal,_xlpm.CSVVal&lt;&gt;"",_xlpm.CSVVal
)),"")</f>
        <v/>
      </c>
      <c r="D579" s="40" t="str" cm="1">
        <f t="array" ref="D579">IFERROR(_xlfn.LET(
_xlpm.CSVVal,_xlfn.XLOOKUP($A579,CSV!$A:$A,CSV!D:D,""),
_xlpm.MacVal,_xlfn.XLOOKUP($A579,Output_Mac!$A:$A,Output_Mac!C:C,""),
_xlpm.MyAuditVal,_xlfn.XLOOKUP($A579,My_Audit!$A:$A,My_Audit!C:C,""),
_xlfn.IFS(_xlpm.MyAuditVal&lt;&gt;"",_xlpm.MyAuditVal,_xlpm.MacVal&lt;&gt;"",_xlpm.MacVal,_xlpm.CSVVal&lt;&gt;"",_xlpm.CSVVal
)),"")</f>
        <v/>
      </c>
      <c r="E579" s="40" t="str">
        <f>_xlfn.XLOOKUP(A579,My_Audit!A:A,My_Audit!D:D,"")</f>
        <v/>
      </c>
      <c r="F579" s="40" t="str" cm="1">
        <f t="array" ref="F579">IFERROR(_xlfn.LET(
_xlpm.CSVVal,_xlfn.XLOOKUP($A579,CSV!$A:$A,CSV!F:F,""),
_xlpm.MacVal,_xlfn.XLOOKUP($A579,Output_Mac!$A:$A,Output_Mac!E:E,""),
_xlpm.MyAuditVal,_xlfn.XLOOKUP($A579,My_Audit!$A:$A,My_Audit!E:E,""),
_xlfn.IFS(_xlpm.MyAuditVal&lt;&gt;"",_xlpm.MyAuditVal,_xlpm.MacVal&lt;&gt;"",_xlpm.MacVal,_xlpm.CSVVal&lt;&gt;"",_xlpm.CSVVal
)),"")</f>
        <v/>
      </c>
      <c r="G579" s="40" t="str" cm="1">
        <f t="array" ref="G579">IFERROR(_xlfn.LET(
_xlpm.CSVVal,_xlfn.XLOOKUP($A579,CSV!$A:$A,CSV!G:G,""),
_xlpm.MacVal,_xlfn.XLOOKUP($A579,Output_Mac!$A:$A,Output_Mac!F:F,""),
_xlpm.MyAuditVal,_xlfn.XLOOKUP($A579,My_Audit!$A:$A,My_Audit!F:F,""),
_xlfn.IFS(_xlpm.MyAuditVal&lt;&gt;"",_xlpm.MyAuditVal,_xlpm.MacVal&lt;&gt;"",_xlpm.MacVal,_xlpm.CSVVal&lt;&gt;"",PROPER(_xlpm.CSVVal)
)),"")</f>
        <v/>
      </c>
      <c r="H579" s="40" t="str" cm="1">
        <f t="array" ref="H579">IFERROR(_xlfn.LET(
_xlpm.CSVVal,_xlfn.XLOOKUP($A579,CSV!$A:$A,CSV!H:H,""),
_xlpm.MacVal,_xlfn.XLOOKUP($A579,Output_Mac!$A:$A,Output_Mac!H:H,""),
_xlpm.MyAuditVal,_xlfn.XLOOKUP($A579,My_Audit!$A:$A,My_Audit!G:G,""),
_xlfn.IFS(_xlpm.MyAuditVal&lt;&gt;"",_xlpm.MyAuditVal,_xlpm.MacVal&lt;&gt;"",_xlpm.MacVal,_xlpm.CSVVal&lt;&gt;"",_xlpm.CSVVal
)),"")</f>
        <v/>
      </c>
      <c r="I579" s="40" t="str">
        <f>_xlfn.XLOOKUP(A579,Output_Mac!A:A,Output_Mac!I:I,"")</f>
        <v/>
      </c>
      <c r="J579" s="40" t="str" cm="1">
        <f t="array" ref="J579">IFERROR(_xlfn.LET(
_xlpm.CSVVal,_xlfn.XLOOKUP($A579,CSV!$A:$A,CSV!I:I,""),
_xlpm.MacVal,_xlfn.XLOOKUP($A579,Output_Mac!$A:$A,Output_Mac!J:J,""),
_xlpm.MyAuditVal,_xlfn.XLOOKUP($A579,My_Audit!$A:$A,My_Audit!I:I,""),
_xlfn.IFS(_xlpm.MyAuditVal&lt;&gt;"",UPPER(_xlpm.MyAuditVal),_xlpm.MacVal&lt;&gt;"",_xlpm.MacVal,_xlpm.CSVVal&lt;&gt;"",_xlpm.CSVVal
)),"")</f>
        <v/>
      </c>
      <c r="K579" s="40" t="str" cm="1">
        <f t="array" ref="K579">IFERROR(_xlfn.LET(
_xlpm.CSVVal,_xlfn.XLOOKUP($A579,CSV!$A:$A,CSV!K:K,""),
_xlpm.MacVal,_xlfn.XLOOKUP($A579,Output_Mac!$A:$A,Output_Mac!K:K,""),
_xlpm.MyAuditVal,_xlfn.XLOOKUP($A579,My_Audit!$A:$A,My_Audit!J:J,""),
_xlfn.IFS(_xlpm.MyAuditVal&lt;&gt;"",UPPER(_xlpm.MyAuditVal),_xlpm.MacVal&lt;&gt;"",_xlpm.MacVal,_xlpm.CSVVal&lt;&gt;"",_xlpm.CSVVal
)),"")</f>
        <v/>
      </c>
      <c r="L579" s="40" t="str" cm="1">
        <f t="array" ref="L579">IFERROR(_xlfn.LET(
_xlpm.CSVVal,_xlfn.XLOOKUP($A579,CSV!$A:$A,CSV!P:P,""),
_xlpm.MacVal,_xlfn.XLOOKUP($A579,Output_Mac!$A:$A,Output_Mac!L:L,""),
_xlpm.MyAuditVal,_xlfn.XLOOKUP($A579,My_Audit!$A:$A,My_Audit!K:K,""),
_xlfn.IFS(_xlpm.MyAuditVal&lt;&gt;"",UPPER(_xlpm.MyAuditVal),_xlpm.MacVal&lt;&gt;"",_xlpm.MacVal,_xlpm.CSVVal&lt;&gt;"",_xlpm.CSVVal
)),"")</f>
        <v/>
      </c>
      <c r="M579" s="40" t="str" cm="1">
        <f t="array" ref="M579">IFERROR(_xlfn.LET(
_xlpm.CSVVal,_xlfn.XLOOKUP($A579,CSV!$A:$A,CSV!Q:Q,""),
_xlpm.MacVal,_xlfn.XLOOKUP($A579,Output_Mac!$A:$A,Output_Mac!M:M,""),
_xlpm.MyAuditVal,_xlfn.XLOOKUP($A579,My_Audit!$A:$A,My_Audit!L:L,""),
_xlfn.IFS(_xlpm.MyAuditVal&lt;&gt;"",UPPER(_xlpm.MyAuditVal),_xlpm.MacVal&lt;&gt;"",_xlpm.MacVal,_xlpm.CSVVal&lt;&gt;"",_xlpm.CSVVal
)),"")</f>
        <v/>
      </c>
      <c r="N579" s="40"/>
      <c r="O579" s="40" t="str">
        <f>_xlfn.LET(
    _xlpm.CSVVal, _xlfn.XLOOKUP($A579, CSV!$A:$A, CSV!AA:AA, ""),
    _xlpm.MacVal, _xlfn.XLOOKUP($A579, Output_Mac!$A:$A, Output_Mac!S:S, ""),
    _xlpm.MyAuditVal, _xlfn.XLOOKUP($A579, My_Audit!$A:$A, My_Audit!P:P, ""),
    _xlfn.TEXTJOIN(", ", TRUE, _xlpm.MyAuditVal, _xlpm.MacVal, _xlpm.CSVVal)
)</f>
        <v/>
      </c>
      <c r="P579" s="40" t="str" cm="1">
        <f t="array" ref="P579">IFERROR(_xlfn.LET(
_xlpm.CSVVal,_xlfn.XLOOKUP($A579,CSV!$A:$A,CSV!AB:AB,""),
_xlpm.MacVal,_xlfn.XLOOKUP($A579,Output_Mac!$A:$A,Output_Mac!T:T,""),
_xlpm.MyAuditVal,_xlfn.XLOOKUP($A579,My_Audit!$A:$A,My_Audit!Q:Q,""),
_xlfn.IFS(_xlpm.MyAuditVal&lt;&gt;"",UPPER(_xlpm.MyAuditVal),_xlpm.MacVal&lt;&gt;"",_xlpm.MacVal,_xlpm.CSVVal&lt;&gt;"",_xlpm.CSVVal
)),"No")</f>
        <v>No</v>
      </c>
      <c r="Q579" s="40" t="str" cm="1">
        <f t="array" ref="Q579">IFERROR(_xlfn.LET(
_xlpm.CSVVal,_xlfn.XLOOKUP($A579,CSV!$A:$A,CSV!AC:AC,""),
_xlpm.MacVal,_xlfn.XLOOKUP($A579,Output_Mac!$A:$A,Output_Mac!U:U,""),
_xlpm.MyAuditVal,_xlfn.XLOOKUP($A579,My_Audit!$A:$A,My_Audit!R:R,""),
_xlfn.IFS(_xlpm.MyAuditVal&lt;&gt;"",UPPER(_xlpm.MyAuditVal),_xlpm.MacVal&lt;&gt;"",_xlpm.MacVal,_xlpm.CSVVal&lt;&gt;"",_xlpm.CSVVal
)),"")</f>
        <v/>
      </c>
      <c r="R579" s="40"/>
      <c r="S579" s="40"/>
      <c r="T579" s="40"/>
      <c r="U579" s="40"/>
      <c r="V579" s="40"/>
      <c r="W579" s="40"/>
      <c r="X579" s="41" t="str">
        <f>_xlfn.LET(
    _xlpm.MacVal, _xlfn.XLOOKUP($A579, Output_Mac!$A:$A, Output_Mac!AB:AB, ""),
    _xlpm.MyAuditVal, _xlfn.XLOOKUP($A579, My_Audit!$A:$A, My_Audit!N:N, ""),
    _xlfn.TEXTJOIN(", ", TRUE, _xlpm.MyAuditVal, _xlpm.MacVal)
)</f>
        <v/>
      </c>
    </row>
    <row r="580" spans="1:24">
      <c r="A580" s="40" t="str">
        <f>_xlfn.TEXTJOIN("",TRUE,Input!$B$2,ROW(My_Audit!A579))</f>
        <v>X579</v>
      </c>
      <c r="B580" s="40" t="str">
        <f>_xlfn.TEXTJOIN("-",TRUE,"ITD",Input!$A$2,A580)</f>
        <v>ITD-X579</v>
      </c>
      <c r="C580" s="40" t="str" cm="1">
        <f t="array" ref="C580">IFERROR(_xlfn.LET(
_xlpm.CSVVal,_xlfn.XLOOKUP($A580,CSV!$A:$A,CSV!B:B,""),
_xlpm.MacVal,_xlfn.XLOOKUP($A580,Output_Mac!$A:$A,Output_Mac!B:B,""),
_xlpm.MyAuditVal,_xlfn.XLOOKUP($A580,My_Audit!$A:$A,My_Audit!B:B,""),
_xlfn.IFS(_xlpm.MyAuditVal&lt;&gt;"",UPPER(_xlpm.MyAuditVal),_xlpm.MacVal&lt;&gt;"",_xlpm.MacVal,_xlpm.CSVVal&lt;&gt;"",_xlpm.CSVVal
)),"")</f>
        <v/>
      </c>
      <c r="D580" s="40" t="str" cm="1">
        <f t="array" ref="D580">IFERROR(_xlfn.LET(
_xlpm.CSVVal,_xlfn.XLOOKUP($A580,CSV!$A:$A,CSV!D:D,""),
_xlpm.MacVal,_xlfn.XLOOKUP($A580,Output_Mac!$A:$A,Output_Mac!C:C,""),
_xlpm.MyAuditVal,_xlfn.XLOOKUP($A580,My_Audit!$A:$A,My_Audit!C:C,""),
_xlfn.IFS(_xlpm.MyAuditVal&lt;&gt;"",_xlpm.MyAuditVal,_xlpm.MacVal&lt;&gt;"",_xlpm.MacVal,_xlpm.CSVVal&lt;&gt;"",_xlpm.CSVVal
)),"")</f>
        <v/>
      </c>
      <c r="E580" s="40" t="str">
        <f>_xlfn.XLOOKUP(A580,My_Audit!A:A,My_Audit!D:D,"")</f>
        <v/>
      </c>
      <c r="F580" s="40" t="str" cm="1">
        <f t="array" ref="F580">IFERROR(_xlfn.LET(
_xlpm.CSVVal,_xlfn.XLOOKUP($A580,CSV!$A:$A,CSV!F:F,""),
_xlpm.MacVal,_xlfn.XLOOKUP($A580,Output_Mac!$A:$A,Output_Mac!E:E,""),
_xlpm.MyAuditVal,_xlfn.XLOOKUP($A580,My_Audit!$A:$A,My_Audit!E:E,""),
_xlfn.IFS(_xlpm.MyAuditVal&lt;&gt;"",_xlpm.MyAuditVal,_xlpm.MacVal&lt;&gt;"",_xlpm.MacVal,_xlpm.CSVVal&lt;&gt;"",_xlpm.CSVVal
)),"")</f>
        <v/>
      </c>
      <c r="G580" s="40" t="str" cm="1">
        <f t="array" ref="G580">IFERROR(_xlfn.LET(
_xlpm.CSVVal,_xlfn.XLOOKUP($A580,CSV!$A:$A,CSV!G:G,""),
_xlpm.MacVal,_xlfn.XLOOKUP($A580,Output_Mac!$A:$A,Output_Mac!F:F,""),
_xlpm.MyAuditVal,_xlfn.XLOOKUP($A580,My_Audit!$A:$A,My_Audit!F:F,""),
_xlfn.IFS(_xlpm.MyAuditVal&lt;&gt;"",_xlpm.MyAuditVal,_xlpm.MacVal&lt;&gt;"",_xlpm.MacVal,_xlpm.CSVVal&lt;&gt;"",PROPER(_xlpm.CSVVal)
)),"")</f>
        <v/>
      </c>
      <c r="H580" s="40" t="str" cm="1">
        <f t="array" ref="H580">IFERROR(_xlfn.LET(
_xlpm.CSVVal,_xlfn.XLOOKUP($A580,CSV!$A:$A,CSV!H:H,""),
_xlpm.MacVal,_xlfn.XLOOKUP($A580,Output_Mac!$A:$A,Output_Mac!H:H,""),
_xlpm.MyAuditVal,_xlfn.XLOOKUP($A580,My_Audit!$A:$A,My_Audit!G:G,""),
_xlfn.IFS(_xlpm.MyAuditVal&lt;&gt;"",_xlpm.MyAuditVal,_xlpm.MacVal&lt;&gt;"",_xlpm.MacVal,_xlpm.CSVVal&lt;&gt;"",_xlpm.CSVVal
)),"")</f>
        <v/>
      </c>
      <c r="I580" s="40" t="str">
        <f>_xlfn.XLOOKUP(A580,Output_Mac!A:A,Output_Mac!I:I,"")</f>
        <v/>
      </c>
      <c r="J580" s="40" t="str" cm="1">
        <f t="array" ref="J580">IFERROR(_xlfn.LET(
_xlpm.CSVVal,_xlfn.XLOOKUP($A580,CSV!$A:$A,CSV!I:I,""),
_xlpm.MacVal,_xlfn.XLOOKUP($A580,Output_Mac!$A:$A,Output_Mac!J:J,""),
_xlpm.MyAuditVal,_xlfn.XLOOKUP($A580,My_Audit!$A:$A,My_Audit!I:I,""),
_xlfn.IFS(_xlpm.MyAuditVal&lt;&gt;"",UPPER(_xlpm.MyAuditVal),_xlpm.MacVal&lt;&gt;"",_xlpm.MacVal,_xlpm.CSVVal&lt;&gt;"",_xlpm.CSVVal
)),"")</f>
        <v/>
      </c>
      <c r="K580" s="40" t="str" cm="1">
        <f t="array" ref="K580">IFERROR(_xlfn.LET(
_xlpm.CSVVal,_xlfn.XLOOKUP($A580,CSV!$A:$A,CSV!K:K,""),
_xlpm.MacVal,_xlfn.XLOOKUP($A580,Output_Mac!$A:$A,Output_Mac!K:K,""),
_xlpm.MyAuditVal,_xlfn.XLOOKUP($A580,My_Audit!$A:$A,My_Audit!J:J,""),
_xlfn.IFS(_xlpm.MyAuditVal&lt;&gt;"",UPPER(_xlpm.MyAuditVal),_xlpm.MacVal&lt;&gt;"",_xlpm.MacVal,_xlpm.CSVVal&lt;&gt;"",_xlpm.CSVVal
)),"")</f>
        <v/>
      </c>
      <c r="L580" s="40" t="str" cm="1">
        <f t="array" ref="L580">IFERROR(_xlfn.LET(
_xlpm.CSVVal,_xlfn.XLOOKUP($A580,CSV!$A:$A,CSV!P:P,""),
_xlpm.MacVal,_xlfn.XLOOKUP($A580,Output_Mac!$A:$A,Output_Mac!L:L,""),
_xlpm.MyAuditVal,_xlfn.XLOOKUP($A580,My_Audit!$A:$A,My_Audit!K:K,""),
_xlfn.IFS(_xlpm.MyAuditVal&lt;&gt;"",UPPER(_xlpm.MyAuditVal),_xlpm.MacVal&lt;&gt;"",_xlpm.MacVal,_xlpm.CSVVal&lt;&gt;"",_xlpm.CSVVal
)),"")</f>
        <v/>
      </c>
      <c r="M580" s="40" t="str" cm="1">
        <f t="array" ref="M580">IFERROR(_xlfn.LET(
_xlpm.CSVVal,_xlfn.XLOOKUP($A580,CSV!$A:$A,CSV!Q:Q,""),
_xlpm.MacVal,_xlfn.XLOOKUP($A580,Output_Mac!$A:$A,Output_Mac!M:M,""),
_xlpm.MyAuditVal,_xlfn.XLOOKUP($A580,My_Audit!$A:$A,My_Audit!L:L,""),
_xlfn.IFS(_xlpm.MyAuditVal&lt;&gt;"",UPPER(_xlpm.MyAuditVal),_xlpm.MacVal&lt;&gt;"",_xlpm.MacVal,_xlpm.CSVVal&lt;&gt;"",_xlpm.CSVVal
)),"")</f>
        <v/>
      </c>
      <c r="N580" s="40"/>
      <c r="O580" s="40" t="str">
        <f>_xlfn.LET(
    _xlpm.CSVVal, _xlfn.XLOOKUP($A580, CSV!$A:$A, CSV!AA:AA, ""),
    _xlpm.MacVal, _xlfn.XLOOKUP($A580, Output_Mac!$A:$A, Output_Mac!S:S, ""),
    _xlpm.MyAuditVal, _xlfn.XLOOKUP($A580, My_Audit!$A:$A, My_Audit!P:P, ""),
    _xlfn.TEXTJOIN(", ", TRUE, _xlpm.MyAuditVal, _xlpm.MacVal, _xlpm.CSVVal)
)</f>
        <v/>
      </c>
      <c r="P580" s="40" t="str" cm="1">
        <f t="array" ref="P580">IFERROR(_xlfn.LET(
_xlpm.CSVVal,_xlfn.XLOOKUP($A580,CSV!$A:$A,CSV!AB:AB,""),
_xlpm.MacVal,_xlfn.XLOOKUP($A580,Output_Mac!$A:$A,Output_Mac!T:T,""),
_xlpm.MyAuditVal,_xlfn.XLOOKUP($A580,My_Audit!$A:$A,My_Audit!Q:Q,""),
_xlfn.IFS(_xlpm.MyAuditVal&lt;&gt;"",UPPER(_xlpm.MyAuditVal),_xlpm.MacVal&lt;&gt;"",_xlpm.MacVal,_xlpm.CSVVal&lt;&gt;"",_xlpm.CSVVal
)),"No")</f>
        <v>No</v>
      </c>
      <c r="Q580" s="40" t="str" cm="1">
        <f t="array" ref="Q580">IFERROR(_xlfn.LET(
_xlpm.CSVVal,_xlfn.XLOOKUP($A580,CSV!$A:$A,CSV!AC:AC,""),
_xlpm.MacVal,_xlfn.XLOOKUP($A580,Output_Mac!$A:$A,Output_Mac!U:U,""),
_xlpm.MyAuditVal,_xlfn.XLOOKUP($A580,My_Audit!$A:$A,My_Audit!R:R,""),
_xlfn.IFS(_xlpm.MyAuditVal&lt;&gt;"",UPPER(_xlpm.MyAuditVal),_xlpm.MacVal&lt;&gt;"",_xlpm.MacVal,_xlpm.CSVVal&lt;&gt;"",_xlpm.CSVVal
)),"")</f>
        <v/>
      </c>
      <c r="R580" s="40"/>
      <c r="S580" s="40"/>
      <c r="T580" s="40"/>
      <c r="U580" s="40"/>
      <c r="V580" s="40"/>
      <c r="W580" s="40"/>
      <c r="X580" s="41" t="str">
        <f>_xlfn.LET(
    _xlpm.MacVal, _xlfn.XLOOKUP($A580, Output_Mac!$A:$A, Output_Mac!AB:AB, ""),
    _xlpm.MyAuditVal, _xlfn.XLOOKUP($A580, My_Audit!$A:$A, My_Audit!N:N, ""),
    _xlfn.TEXTJOIN(", ", TRUE, _xlpm.MyAuditVal, _xlpm.MacVal)
)</f>
        <v/>
      </c>
    </row>
    <row r="581" spans="1:24">
      <c r="A581" s="40" t="str">
        <f>_xlfn.TEXTJOIN("",TRUE,Input!$B$2,ROW(My_Audit!A580))</f>
        <v>X580</v>
      </c>
      <c r="B581" s="40" t="str">
        <f>_xlfn.TEXTJOIN("-",TRUE,"ITD",Input!$A$2,A581)</f>
        <v>ITD-X580</v>
      </c>
      <c r="C581" s="40" t="str" cm="1">
        <f t="array" ref="C581">IFERROR(_xlfn.LET(
_xlpm.CSVVal,_xlfn.XLOOKUP($A581,CSV!$A:$A,CSV!B:B,""),
_xlpm.MacVal,_xlfn.XLOOKUP($A581,Output_Mac!$A:$A,Output_Mac!B:B,""),
_xlpm.MyAuditVal,_xlfn.XLOOKUP($A581,My_Audit!$A:$A,My_Audit!B:B,""),
_xlfn.IFS(_xlpm.MyAuditVal&lt;&gt;"",UPPER(_xlpm.MyAuditVal),_xlpm.MacVal&lt;&gt;"",_xlpm.MacVal,_xlpm.CSVVal&lt;&gt;"",_xlpm.CSVVal
)),"")</f>
        <v/>
      </c>
      <c r="D581" s="40" t="str" cm="1">
        <f t="array" ref="D581">IFERROR(_xlfn.LET(
_xlpm.CSVVal,_xlfn.XLOOKUP($A581,CSV!$A:$A,CSV!D:D,""),
_xlpm.MacVal,_xlfn.XLOOKUP($A581,Output_Mac!$A:$A,Output_Mac!C:C,""),
_xlpm.MyAuditVal,_xlfn.XLOOKUP($A581,My_Audit!$A:$A,My_Audit!C:C,""),
_xlfn.IFS(_xlpm.MyAuditVal&lt;&gt;"",_xlpm.MyAuditVal,_xlpm.MacVal&lt;&gt;"",_xlpm.MacVal,_xlpm.CSVVal&lt;&gt;"",_xlpm.CSVVal
)),"")</f>
        <v/>
      </c>
      <c r="E581" s="40" t="str">
        <f>_xlfn.XLOOKUP(A581,My_Audit!A:A,My_Audit!D:D,"")</f>
        <v/>
      </c>
      <c r="F581" s="40" t="str" cm="1">
        <f t="array" ref="F581">IFERROR(_xlfn.LET(
_xlpm.CSVVal,_xlfn.XLOOKUP($A581,CSV!$A:$A,CSV!F:F,""),
_xlpm.MacVal,_xlfn.XLOOKUP($A581,Output_Mac!$A:$A,Output_Mac!E:E,""),
_xlpm.MyAuditVal,_xlfn.XLOOKUP($A581,My_Audit!$A:$A,My_Audit!E:E,""),
_xlfn.IFS(_xlpm.MyAuditVal&lt;&gt;"",_xlpm.MyAuditVal,_xlpm.MacVal&lt;&gt;"",_xlpm.MacVal,_xlpm.CSVVal&lt;&gt;"",_xlpm.CSVVal
)),"")</f>
        <v/>
      </c>
      <c r="G581" s="40" t="str" cm="1">
        <f t="array" ref="G581">IFERROR(_xlfn.LET(
_xlpm.CSVVal,_xlfn.XLOOKUP($A581,CSV!$A:$A,CSV!G:G,""),
_xlpm.MacVal,_xlfn.XLOOKUP($A581,Output_Mac!$A:$A,Output_Mac!F:F,""),
_xlpm.MyAuditVal,_xlfn.XLOOKUP($A581,My_Audit!$A:$A,My_Audit!F:F,""),
_xlfn.IFS(_xlpm.MyAuditVal&lt;&gt;"",_xlpm.MyAuditVal,_xlpm.MacVal&lt;&gt;"",_xlpm.MacVal,_xlpm.CSVVal&lt;&gt;"",PROPER(_xlpm.CSVVal)
)),"")</f>
        <v/>
      </c>
      <c r="H581" s="40" t="str" cm="1">
        <f t="array" ref="H581">IFERROR(_xlfn.LET(
_xlpm.CSVVal,_xlfn.XLOOKUP($A581,CSV!$A:$A,CSV!H:H,""),
_xlpm.MacVal,_xlfn.XLOOKUP($A581,Output_Mac!$A:$A,Output_Mac!H:H,""),
_xlpm.MyAuditVal,_xlfn.XLOOKUP($A581,My_Audit!$A:$A,My_Audit!G:G,""),
_xlfn.IFS(_xlpm.MyAuditVal&lt;&gt;"",_xlpm.MyAuditVal,_xlpm.MacVal&lt;&gt;"",_xlpm.MacVal,_xlpm.CSVVal&lt;&gt;"",_xlpm.CSVVal
)),"")</f>
        <v/>
      </c>
      <c r="I581" s="40" t="str">
        <f>_xlfn.XLOOKUP(A581,Output_Mac!A:A,Output_Mac!I:I,"")</f>
        <v/>
      </c>
      <c r="J581" s="40" t="str" cm="1">
        <f t="array" ref="J581">IFERROR(_xlfn.LET(
_xlpm.CSVVal,_xlfn.XLOOKUP($A581,CSV!$A:$A,CSV!I:I,""),
_xlpm.MacVal,_xlfn.XLOOKUP($A581,Output_Mac!$A:$A,Output_Mac!J:J,""),
_xlpm.MyAuditVal,_xlfn.XLOOKUP($A581,My_Audit!$A:$A,My_Audit!I:I,""),
_xlfn.IFS(_xlpm.MyAuditVal&lt;&gt;"",UPPER(_xlpm.MyAuditVal),_xlpm.MacVal&lt;&gt;"",_xlpm.MacVal,_xlpm.CSVVal&lt;&gt;"",_xlpm.CSVVal
)),"")</f>
        <v/>
      </c>
      <c r="K581" s="40" t="str" cm="1">
        <f t="array" ref="K581">IFERROR(_xlfn.LET(
_xlpm.CSVVal,_xlfn.XLOOKUP($A581,CSV!$A:$A,CSV!K:K,""),
_xlpm.MacVal,_xlfn.XLOOKUP($A581,Output_Mac!$A:$A,Output_Mac!K:K,""),
_xlpm.MyAuditVal,_xlfn.XLOOKUP($A581,My_Audit!$A:$A,My_Audit!J:J,""),
_xlfn.IFS(_xlpm.MyAuditVal&lt;&gt;"",UPPER(_xlpm.MyAuditVal),_xlpm.MacVal&lt;&gt;"",_xlpm.MacVal,_xlpm.CSVVal&lt;&gt;"",_xlpm.CSVVal
)),"")</f>
        <v/>
      </c>
      <c r="L581" s="40" t="str" cm="1">
        <f t="array" ref="L581">IFERROR(_xlfn.LET(
_xlpm.CSVVal,_xlfn.XLOOKUP($A581,CSV!$A:$A,CSV!P:P,""),
_xlpm.MacVal,_xlfn.XLOOKUP($A581,Output_Mac!$A:$A,Output_Mac!L:L,""),
_xlpm.MyAuditVal,_xlfn.XLOOKUP($A581,My_Audit!$A:$A,My_Audit!K:K,""),
_xlfn.IFS(_xlpm.MyAuditVal&lt;&gt;"",UPPER(_xlpm.MyAuditVal),_xlpm.MacVal&lt;&gt;"",_xlpm.MacVal,_xlpm.CSVVal&lt;&gt;"",_xlpm.CSVVal
)),"")</f>
        <v/>
      </c>
      <c r="M581" s="40" t="str" cm="1">
        <f t="array" ref="M581">IFERROR(_xlfn.LET(
_xlpm.CSVVal,_xlfn.XLOOKUP($A581,CSV!$A:$A,CSV!Q:Q,""),
_xlpm.MacVal,_xlfn.XLOOKUP($A581,Output_Mac!$A:$A,Output_Mac!M:M,""),
_xlpm.MyAuditVal,_xlfn.XLOOKUP($A581,My_Audit!$A:$A,My_Audit!L:L,""),
_xlfn.IFS(_xlpm.MyAuditVal&lt;&gt;"",UPPER(_xlpm.MyAuditVal),_xlpm.MacVal&lt;&gt;"",_xlpm.MacVal,_xlpm.CSVVal&lt;&gt;"",_xlpm.CSVVal
)),"")</f>
        <v/>
      </c>
      <c r="N581" s="40"/>
      <c r="O581" s="40" t="str">
        <f>_xlfn.LET(
    _xlpm.CSVVal, _xlfn.XLOOKUP($A581, CSV!$A:$A, CSV!AA:AA, ""),
    _xlpm.MacVal, _xlfn.XLOOKUP($A581, Output_Mac!$A:$A, Output_Mac!S:S, ""),
    _xlpm.MyAuditVal, _xlfn.XLOOKUP($A581, My_Audit!$A:$A, My_Audit!P:P, ""),
    _xlfn.TEXTJOIN(", ", TRUE, _xlpm.MyAuditVal, _xlpm.MacVal, _xlpm.CSVVal)
)</f>
        <v/>
      </c>
      <c r="P581" s="40" t="str" cm="1">
        <f t="array" ref="P581">IFERROR(_xlfn.LET(
_xlpm.CSVVal,_xlfn.XLOOKUP($A581,CSV!$A:$A,CSV!AB:AB,""),
_xlpm.MacVal,_xlfn.XLOOKUP($A581,Output_Mac!$A:$A,Output_Mac!T:T,""),
_xlpm.MyAuditVal,_xlfn.XLOOKUP($A581,My_Audit!$A:$A,My_Audit!Q:Q,""),
_xlfn.IFS(_xlpm.MyAuditVal&lt;&gt;"",UPPER(_xlpm.MyAuditVal),_xlpm.MacVal&lt;&gt;"",_xlpm.MacVal,_xlpm.CSVVal&lt;&gt;"",_xlpm.CSVVal
)),"No")</f>
        <v>No</v>
      </c>
      <c r="Q581" s="40" t="str" cm="1">
        <f t="array" ref="Q581">IFERROR(_xlfn.LET(
_xlpm.CSVVal,_xlfn.XLOOKUP($A581,CSV!$A:$A,CSV!AC:AC,""),
_xlpm.MacVal,_xlfn.XLOOKUP($A581,Output_Mac!$A:$A,Output_Mac!U:U,""),
_xlpm.MyAuditVal,_xlfn.XLOOKUP($A581,My_Audit!$A:$A,My_Audit!R:R,""),
_xlfn.IFS(_xlpm.MyAuditVal&lt;&gt;"",UPPER(_xlpm.MyAuditVal),_xlpm.MacVal&lt;&gt;"",_xlpm.MacVal,_xlpm.CSVVal&lt;&gt;"",_xlpm.CSVVal
)),"")</f>
        <v/>
      </c>
      <c r="R581" s="40"/>
      <c r="S581" s="40"/>
      <c r="T581" s="40"/>
      <c r="U581" s="40"/>
      <c r="V581" s="40"/>
      <c r="W581" s="40"/>
      <c r="X581" s="41" t="str">
        <f>_xlfn.LET(
    _xlpm.MacVal, _xlfn.XLOOKUP($A581, Output_Mac!$A:$A, Output_Mac!AB:AB, ""),
    _xlpm.MyAuditVal, _xlfn.XLOOKUP($A581, My_Audit!$A:$A, My_Audit!N:N, ""),
    _xlfn.TEXTJOIN(", ", TRUE, _xlpm.MyAuditVal, _xlpm.MacVal)
)</f>
        <v/>
      </c>
    </row>
    <row r="582" spans="1:24">
      <c r="A582" s="40" t="str">
        <f>_xlfn.TEXTJOIN("",TRUE,Input!$B$2,ROW(My_Audit!A581))</f>
        <v>X581</v>
      </c>
      <c r="B582" s="40" t="str">
        <f>_xlfn.TEXTJOIN("-",TRUE,"ITD",Input!$A$2,A582)</f>
        <v>ITD-X581</v>
      </c>
      <c r="C582" s="40" t="str" cm="1">
        <f t="array" ref="C582">IFERROR(_xlfn.LET(
_xlpm.CSVVal,_xlfn.XLOOKUP($A582,CSV!$A:$A,CSV!B:B,""),
_xlpm.MacVal,_xlfn.XLOOKUP($A582,Output_Mac!$A:$A,Output_Mac!B:B,""),
_xlpm.MyAuditVal,_xlfn.XLOOKUP($A582,My_Audit!$A:$A,My_Audit!B:B,""),
_xlfn.IFS(_xlpm.MyAuditVal&lt;&gt;"",UPPER(_xlpm.MyAuditVal),_xlpm.MacVal&lt;&gt;"",_xlpm.MacVal,_xlpm.CSVVal&lt;&gt;"",_xlpm.CSVVal
)),"")</f>
        <v/>
      </c>
      <c r="D582" s="40" t="str" cm="1">
        <f t="array" ref="D582">IFERROR(_xlfn.LET(
_xlpm.CSVVal,_xlfn.XLOOKUP($A582,CSV!$A:$A,CSV!D:D,""),
_xlpm.MacVal,_xlfn.XLOOKUP($A582,Output_Mac!$A:$A,Output_Mac!C:C,""),
_xlpm.MyAuditVal,_xlfn.XLOOKUP($A582,My_Audit!$A:$A,My_Audit!C:C,""),
_xlfn.IFS(_xlpm.MyAuditVal&lt;&gt;"",_xlpm.MyAuditVal,_xlpm.MacVal&lt;&gt;"",_xlpm.MacVal,_xlpm.CSVVal&lt;&gt;"",_xlpm.CSVVal
)),"")</f>
        <v/>
      </c>
      <c r="E582" s="40" t="str">
        <f>_xlfn.XLOOKUP(A582,My_Audit!A:A,My_Audit!D:D,"")</f>
        <v/>
      </c>
      <c r="F582" s="40" t="str" cm="1">
        <f t="array" ref="F582">IFERROR(_xlfn.LET(
_xlpm.CSVVal,_xlfn.XLOOKUP($A582,CSV!$A:$A,CSV!F:F,""),
_xlpm.MacVal,_xlfn.XLOOKUP($A582,Output_Mac!$A:$A,Output_Mac!E:E,""),
_xlpm.MyAuditVal,_xlfn.XLOOKUP($A582,My_Audit!$A:$A,My_Audit!E:E,""),
_xlfn.IFS(_xlpm.MyAuditVal&lt;&gt;"",_xlpm.MyAuditVal,_xlpm.MacVal&lt;&gt;"",_xlpm.MacVal,_xlpm.CSVVal&lt;&gt;"",_xlpm.CSVVal
)),"")</f>
        <v/>
      </c>
      <c r="G582" s="40" t="str" cm="1">
        <f t="array" ref="G582">IFERROR(_xlfn.LET(
_xlpm.CSVVal,_xlfn.XLOOKUP($A582,CSV!$A:$A,CSV!G:G,""),
_xlpm.MacVal,_xlfn.XLOOKUP($A582,Output_Mac!$A:$A,Output_Mac!F:F,""),
_xlpm.MyAuditVal,_xlfn.XLOOKUP($A582,My_Audit!$A:$A,My_Audit!F:F,""),
_xlfn.IFS(_xlpm.MyAuditVal&lt;&gt;"",_xlpm.MyAuditVal,_xlpm.MacVal&lt;&gt;"",_xlpm.MacVal,_xlpm.CSVVal&lt;&gt;"",PROPER(_xlpm.CSVVal)
)),"")</f>
        <v/>
      </c>
      <c r="H582" s="40" t="str" cm="1">
        <f t="array" ref="H582">IFERROR(_xlfn.LET(
_xlpm.CSVVal,_xlfn.XLOOKUP($A582,CSV!$A:$A,CSV!H:H,""),
_xlpm.MacVal,_xlfn.XLOOKUP($A582,Output_Mac!$A:$A,Output_Mac!H:H,""),
_xlpm.MyAuditVal,_xlfn.XLOOKUP($A582,My_Audit!$A:$A,My_Audit!G:G,""),
_xlfn.IFS(_xlpm.MyAuditVal&lt;&gt;"",_xlpm.MyAuditVal,_xlpm.MacVal&lt;&gt;"",_xlpm.MacVal,_xlpm.CSVVal&lt;&gt;"",_xlpm.CSVVal
)),"")</f>
        <v/>
      </c>
      <c r="I582" s="40" t="str">
        <f>_xlfn.XLOOKUP(A582,Output_Mac!A:A,Output_Mac!I:I,"")</f>
        <v/>
      </c>
      <c r="J582" s="40" t="str" cm="1">
        <f t="array" ref="J582">IFERROR(_xlfn.LET(
_xlpm.CSVVal,_xlfn.XLOOKUP($A582,CSV!$A:$A,CSV!I:I,""),
_xlpm.MacVal,_xlfn.XLOOKUP($A582,Output_Mac!$A:$A,Output_Mac!J:J,""),
_xlpm.MyAuditVal,_xlfn.XLOOKUP($A582,My_Audit!$A:$A,My_Audit!I:I,""),
_xlfn.IFS(_xlpm.MyAuditVal&lt;&gt;"",UPPER(_xlpm.MyAuditVal),_xlpm.MacVal&lt;&gt;"",_xlpm.MacVal,_xlpm.CSVVal&lt;&gt;"",_xlpm.CSVVal
)),"")</f>
        <v/>
      </c>
      <c r="K582" s="40" t="str" cm="1">
        <f t="array" ref="K582">IFERROR(_xlfn.LET(
_xlpm.CSVVal,_xlfn.XLOOKUP($A582,CSV!$A:$A,CSV!K:K,""),
_xlpm.MacVal,_xlfn.XLOOKUP($A582,Output_Mac!$A:$A,Output_Mac!K:K,""),
_xlpm.MyAuditVal,_xlfn.XLOOKUP($A582,My_Audit!$A:$A,My_Audit!J:J,""),
_xlfn.IFS(_xlpm.MyAuditVal&lt;&gt;"",UPPER(_xlpm.MyAuditVal),_xlpm.MacVal&lt;&gt;"",_xlpm.MacVal,_xlpm.CSVVal&lt;&gt;"",_xlpm.CSVVal
)),"")</f>
        <v/>
      </c>
      <c r="L582" s="40" t="str" cm="1">
        <f t="array" ref="L582">IFERROR(_xlfn.LET(
_xlpm.CSVVal,_xlfn.XLOOKUP($A582,CSV!$A:$A,CSV!P:P,""),
_xlpm.MacVal,_xlfn.XLOOKUP($A582,Output_Mac!$A:$A,Output_Mac!L:L,""),
_xlpm.MyAuditVal,_xlfn.XLOOKUP($A582,My_Audit!$A:$A,My_Audit!K:K,""),
_xlfn.IFS(_xlpm.MyAuditVal&lt;&gt;"",UPPER(_xlpm.MyAuditVal),_xlpm.MacVal&lt;&gt;"",_xlpm.MacVal,_xlpm.CSVVal&lt;&gt;"",_xlpm.CSVVal
)),"")</f>
        <v/>
      </c>
      <c r="M582" s="40" t="str" cm="1">
        <f t="array" ref="M582">IFERROR(_xlfn.LET(
_xlpm.CSVVal,_xlfn.XLOOKUP($A582,CSV!$A:$A,CSV!Q:Q,""),
_xlpm.MacVal,_xlfn.XLOOKUP($A582,Output_Mac!$A:$A,Output_Mac!M:M,""),
_xlpm.MyAuditVal,_xlfn.XLOOKUP($A582,My_Audit!$A:$A,My_Audit!L:L,""),
_xlfn.IFS(_xlpm.MyAuditVal&lt;&gt;"",UPPER(_xlpm.MyAuditVal),_xlpm.MacVal&lt;&gt;"",_xlpm.MacVal,_xlpm.CSVVal&lt;&gt;"",_xlpm.CSVVal
)),"")</f>
        <v/>
      </c>
      <c r="N582" s="40"/>
      <c r="O582" s="40" t="str">
        <f>_xlfn.LET(
    _xlpm.CSVVal, _xlfn.XLOOKUP($A582, CSV!$A:$A, CSV!AA:AA, ""),
    _xlpm.MacVal, _xlfn.XLOOKUP($A582, Output_Mac!$A:$A, Output_Mac!S:S, ""),
    _xlpm.MyAuditVal, _xlfn.XLOOKUP($A582, My_Audit!$A:$A, My_Audit!P:P, ""),
    _xlfn.TEXTJOIN(", ", TRUE, _xlpm.MyAuditVal, _xlpm.MacVal, _xlpm.CSVVal)
)</f>
        <v/>
      </c>
      <c r="P582" s="40" t="str" cm="1">
        <f t="array" ref="P582">IFERROR(_xlfn.LET(
_xlpm.CSVVal,_xlfn.XLOOKUP($A582,CSV!$A:$A,CSV!AB:AB,""),
_xlpm.MacVal,_xlfn.XLOOKUP($A582,Output_Mac!$A:$A,Output_Mac!T:T,""),
_xlpm.MyAuditVal,_xlfn.XLOOKUP($A582,My_Audit!$A:$A,My_Audit!Q:Q,""),
_xlfn.IFS(_xlpm.MyAuditVal&lt;&gt;"",UPPER(_xlpm.MyAuditVal),_xlpm.MacVal&lt;&gt;"",_xlpm.MacVal,_xlpm.CSVVal&lt;&gt;"",_xlpm.CSVVal
)),"No")</f>
        <v>No</v>
      </c>
      <c r="Q582" s="40" t="str" cm="1">
        <f t="array" ref="Q582">IFERROR(_xlfn.LET(
_xlpm.CSVVal,_xlfn.XLOOKUP($A582,CSV!$A:$A,CSV!AC:AC,""),
_xlpm.MacVal,_xlfn.XLOOKUP($A582,Output_Mac!$A:$A,Output_Mac!U:U,""),
_xlpm.MyAuditVal,_xlfn.XLOOKUP($A582,My_Audit!$A:$A,My_Audit!R:R,""),
_xlfn.IFS(_xlpm.MyAuditVal&lt;&gt;"",UPPER(_xlpm.MyAuditVal),_xlpm.MacVal&lt;&gt;"",_xlpm.MacVal,_xlpm.CSVVal&lt;&gt;"",_xlpm.CSVVal
)),"")</f>
        <v/>
      </c>
      <c r="R582" s="40"/>
      <c r="S582" s="40"/>
      <c r="T582" s="40"/>
      <c r="U582" s="40"/>
      <c r="V582" s="40"/>
      <c r="W582" s="40"/>
      <c r="X582" s="41" t="str">
        <f>_xlfn.LET(
    _xlpm.MacVal, _xlfn.XLOOKUP($A582, Output_Mac!$A:$A, Output_Mac!AB:AB, ""),
    _xlpm.MyAuditVal, _xlfn.XLOOKUP($A582, My_Audit!$A:$A, My_Audit!N:N, ""),
    _xlfn.TEXTJOIN(", ", TRUE, _xlpm.MyAuditVal, _xlpm.MacVal)
)</f>
        <v/>
      </c>
    </row>
    <row r="583" spans="1:24">
      <c r="A583" s="40" t="str">
        <f>_xlfn.TEXTJOIN("",TRUE,Input!$B$2,ROW(My_Audit!A582))</f>
        <v>X582</v>
      </c>
      <c r="B583" s="40" t="str">
        <f>_xlfn.TEXTJOIN("-",TRUE,"ITD",Input!$A$2,A583)</f>
        <v>ITD-X582</v>
      </c>
      <c r="C583" s="40" t="str" cm="1">
        <f t="array" ref="C583">IFERROR(_xlfn.LET(
_xlpm.CSVVal,_xlfn.XLOOKUP($A583,CSV!$A:$A,CSV!B:B,""),
_xlpm.MacVal,_xlfn.XLOOKUP($A583,Output_Mac!$A:$A,Output_Mac!B:B,""),
_xlpm.MyAuditVal,_xlfn.XLOOKUP($A583,My_Audit!$A:$A,My_Audit!B:B,""),
_xlfn.IFS(_xlpm.MyAuditVal&lt;&gt;"",UPPER(_xlpm.MyAuditVal),_xlpm.MacVal&lt;&gt;"",_xlpm.MacVal,_xlpm.CSVVal&lt;&gt;"",_xlpm.CSVVal
)),"")</f>
        <v/>
      </c>
      <c r="D583" s="40" t="str" cm="1">
        <f t="array" ref="D583">IFERROR(_xlfn.LET(
_xlpm.CSVVal,_xlfn.XLOOKUP($A583,CSV!$A:$A,CSV!D:D,""),
_xlpm.MacVal,_xlfn.XLOOKUP($A583,Output_Mac!$A:$A,Output_Mac!C:C,""),
_xlpm.MyAuditVal,_xlfn.XLOOKUP($A583,My_Audit!$A:$A,My_Audit!C:C,""),
_xlfn.IFS(_xlpm.MyAuditVal&lt;&gt;"",_xlpm.MyAuditVal,_xlpm.MacVal&lt;&gt;"",_xlpm.MacVal,_xlpm.CSVVal&lt;&gt;"",_xlpm.CSVVal
)),"")</f>
        <v/>
      </c>
      <c r="E583" s="40" t="str">
        <f>_xlfn.XLOOKUP(A583,My_Audit!A:A,My_Audit!D:D,"")</f>
        <v/>
      </c>
      <c r="F583" s="40" t="str" cm="1">
        <f t="array" ref="F583">IFERROR(_xlfn.LET(
_xlpm.CSVVal,_xlfn.XLOOKUP($A583,CSV!$A:$A,CSV!F:F,""),
_xlpm.MacVal,_xlfn.XLOOKUP($A583,Output_Mac!$A:$A,Output_Mac!E:E,""),
_xlpm.MyAuditVal,_xlfn.XLOOKUP($A583,My_Audit!$A:$A,My_Audit!E:E,""),
_xlfn.IFS(_xlpm.MyAuditVal&lt;&gt;"",_xlpm.MyAuditVal,_xlpm.MacVal&lt;&gt;"",_xlpm.MacVal,_xlpm.CSVVal&lt;&gt;"",_xlpm.CSVVal
)),"")</f>
        <v/>
      </c>
      <c r="G583" s="40" t="str" cm="1">
        <f t="array" ref="G583">IFERROR(_xlfn.LET(
_xlpm.CSVVal,_xlfn.XLOOKUP($A583,CSV!$A:$A,CSV!G:G,""),
_xlpm.MacVal,_xlfn.XLOOKUP($A583,Output_Mac!$A:$A,Output_Mac!F:F,""),
_xlpm.MyAuditVal,_xlfn.XLOOKUP($A583,My_Audit!$A:$A,My_Audit!F:F,""),
_xlfn.IFS(_xlpm.MyAuditVal&lt;&gt;"",_xlpm.MyAuditVal,_xlpm.MacVal&lt;&gt;"",_xlpm.MacVal,_xlpm.CSVVal&lt;&gt;"",PROPER(_xlpm.CSVVal)
)),"")</f>
        <v/>
      </c>
      <c r="H583" s="40" t="str" cm="1">
        <f t="array" ref="H583">IFERROR(_xlfn.LET(
_xlpm.CSVVal,_xlfn.XLOOKUP($A583,CSV!$A:$A,CSV!H:H,""),
_xlpm.MacVal,_xlfn.XLOOKUP($A583,Output_Mac!$A:$A,Output_Mac!H:H,""),
_xlpm.MyAuditVal,_xlfn.XLOOKUP($A583,My_Audit!$A:$A,My_Audit!G:G,""),
_xlfn.IFS(_xlpm.MyAuditVal&lt;&gt;"",_xlpm.MyAuditVal,_xlpm.MacVal&lt;&gt;"",_xlpm.MacVal,_xlpm.CSVVal&lt;&gt;"",_xlpm.CSVVal
)),"")</f>
        <v/>
      </c>
      <c r="I583" s="40" t="str">
        <f>_xlfn.XLOOKUP(A583,Output_Mac!A:A,Output_Mac!I:I,"")</f>
        <v/>
      </c>
      <c r="J583" s="40" t="str" cm="1">
        <f t="array" ref="J583">IFERROR(_xlfn.LET(
_xlpm.CSVVal,_xlfn.XLOOKUP($A583,CSV!$A:$A,CSV!I:I,""),
_xlpm.MacVal,_xlfn.XLOOKUP($A583,Output_Mac!$A:$A,Output_Mac!J:J,""),
_xlpm.MyAuditVal,_xlfn.XLOOKUP($A583,My_Audit!$A:$A,My_Audit!I:I,""),
_xlfn.IFS(_xlpm.MyAuditVal&lt;&gt;"",UPPER(_xlpm.MyAuditVal),_xlpm.MacVal&lt;&gt;"",_xlpm.MacVal,_xlpm.CSVVal&lt;&gt;"",_xlpm.CSVVal
)),"")</f>
        <v/>
      </c>
      <c r="K583" s="40" t="str" cm="1">
        <f t="array" ref="K583">IFERROR(_xlfn.LET(
_xlpm.CSVVal,_xlfn.XLOOKUP($A583,CSV!$A:$A,CSV!K:K,""),
_xlpm.MacVal,_xlfn.XLOOKUP($A583,Output_Mac!$A:$A,Output_Mac!K:K,""),
_xlpm.MyAuditVal,_xlfn.XLOOKUP($A583,My_Audit!$A:$A,My_Audit!J:J,""),
_xlfn.IFS(_xlpm.MyAuditVal&lt;&gt;"",UPPER(_xlpm.MyAuditVal),_xlpm.MacVal&lt;&gt;"",_xlpm.MacVal,_xlpm.CSVVal&lt;&gt;"",_xlpm.CSVVal
)),"")</f>
        <v/>
      </c>
      <c r="L583" s="40" t="str" cm="1">
        <f t="array" ref="L583">IFERROR(_xlfn.LET(
_xlpm.CSVVal,_xlfn.XLOOKUP($A583,CSV!$A:$A,CSV!P:P,""),
_xlpm.MacVal,_xlfn.XLOOKUP($A583,Output_Mac!$A:$A,Output_Mac!L:L,""),
_xlpm.MyAuditVal,_xlfn.XLOOKUP($A583,My_Audit!$A:$A,My_Audit!K:K,""),
_xlfn.IFS(_xlpm.MyAuditVal&lt;&gt;"",UPPER(_xlpm.MyAuditVal),_xlpm.MacVal&lt;&gt;"",_xlpm.MacVal,_xlpm.CSVVal&lt;&gt;"",_xlpm.CSVVal
)),"")</f>
        <v/>
      </c>
      <c r="M583" s="40" t="str" cm="1">
        <f t="array" ref="M583">IFERROR(_xlfn.LET(
_xlpm.CSVVal,_xlfn.XLOOKUP($A583,CSV!$A:$A,CSV!Q:Q,""),
_xlpm.MacVal,_xlfn.XLOOKUP($A583,Output_Mac!$A:$A,Output_Mac!M:M,""),
_xlpm.MyAuditVal,_xlfn.XLOOKUP($A583,My_Audit!$A:$A,My_Audit!L:L,""),
_xlfn.IFS(_xlpm.MyAuditVal&lt;&gt;"",UPPER(_xlpm.MyAuditVal),_xlpm.MacVal&lt;&gt;"",_xlpm.MacVal,_xlpm.CSVVal&lt;&gt;"",_xlpm.CSVVal
)),"")</f>
        <v/>
      </c>
      <c r="N583" s="40"/>
      <c r="O583" s="40" t="str">
        <f>_xlfn.LET(
    _xlpm.CSVVal, _xlfn.XLOOKUP($A583, CSV!$A:$A, CSV!AA:AA, ""),
    _xlpm.MacVal, _xlfn.XLOOKUP($A583, Output_Mac!$A:$A, Output_Mac!S:S, ""),
    _xlpm.MyAuditVal, _xlfn.XLOOKUP($A583, My_Audit!$A:$A, My_Audit!P:P, ""),
    _xlfn.TEXTJOIN(", ", TRUE, _xlpm.MyAuditVal, _xlpm.MacVal, _xlpm.CSVVal)
)</f>
        <v/>
      </c>
      <c r="P583" s="40" t="str" cm="1">
        <f t="array" ref="P583">IFERROR(_xlfn.LET(
_xlpm.CSVVal,_xlfn.XLOOKUP($A583,CSV!$A:$A,CSV!AB:AB,""),
_xlpm.MacVal,_xlfn.XLOOKUP($A583,Output_Mac!$A:$A,Output_Mac!T:T,""),
_xlpm.MyAuditVal,_xlfn.XLOOKUP($A583,My_Audit!$A:$A,My_Audit!Q:Q,""),
_xlfn.IFS(_xlpm.MyAuditVal&lt;&gt;"",UPPER(_xlpm.MyAuditVal),_xlpm.MacVal&lt;&gt;"",_xlpm.MacVal,_xlpm.CSVVal&lt;&gt;"",_xlpm.CSVVal
)),"No")</f>
        <v>No</v>
      </c>
      <c r="Q583" s="40" t="str" cm="1">
        <f t="array" ref="Q583">IFERROR(_xlfn.LET(
_xlpm.CSVVal,_xlfn.XLOOKUP($A583,CSV!$A:$A,CSV!AC:AC,""),
_xlpm.MacVal,_xlfn.XLOOKUP($A583,Output_Mac!$A:$A,Output_Mac!U:U,""),
_xlpm.MyAuditVal,_xlfn.XLOOKUP($A583,My_Audit!$A:$A,My_Audit!R:R,""),
_xlfn.IFS(_xlpm.MyAuditVal&lt;&gt;"",UPPER(_xlpm.MyAuditVal),_xlpm.MacVal&lt;&gt;"",_xlpm.MacVal,_xlpm.CSVVal&lt;&gt;"",_xlpm.CSVVal
)),"")</f>
        <v/>
      </c>
      <c r="R583" s="40"/>
      <c r="S583" s="40"/>
      <c r="T583" s="40"/>
      <c r="U583" s="40"/>
      <c r="V583" s="40"/>
      <c r="W583" s="40"/>
      <c r="X583" s="41" t="str">
        <f>_xlfn.LET(
    _xlpm.MacVal, _xlfn.XLOOKUP($A583, Output_Mac!$A:$A, Output_Mac!AB:AB, ""),
    _xlpm.MyAuditVal, _xlfn.XLOOKUP($A583, My_Audit!$A:$A, My_Audit!N:N, ""),
    _xlfn.TEXTJOIN(", ", TRUE, _xlpm.MyAuditVal, _xlpm.MacVal)
)</f>
        <v/>
      </c>
    </row>
    <row r="584" spans="1:24">
      <c r="A584" s="40" t="str">
        <f>_xlfn.TEXTJOIN("",TRUE,Input!$B$2,ROW(My_Audit!A583))</f>
        <v>X583</v>
      </c>
      <c r="B584" s="40" t="str">
        <f>_xlfn.TEXTJOIN("-",TRUE,"ITD",Input!$A$2,A584)</f>
        <v>ITD-X583</v>
      </c>
      <c r="C584" s="40" t="str" cm="1">
        <f t="array" ref="C584">IFERROR(_xlfn.LET(
_xlpm.CSVVal,_xlfn.XLOOKUP($A584,CSV!$A:$A,CSV!B:B,""),
_xlpm.MacVal,_xlfn.XLOOKUP($A584,Output_Mac!$A:$A,Output_Mac!B:B,""),
_xlpm.MyAuditVal,_xlfn.XLOOKUP($A584,My_Audit!$A:$A,My_Audit!B:B,""),
_xlfn.IFS(_xlpm.MyAuditVal&lt;&gt;"",UPPER(_xlpm.MyAuditVal),_xlpm.MacVal&lt;&gt;"",_xlpm.MacVal,_xlpm.CSVVal&lt;&gt;"",_xlpm.CSVVal
)),"")</f>
        <v/>
      </c>
      <c r="D584" s="40" t="str" cm="1">
        <f t="array" ref="D584">IFERROR(_xlfn.LET(
_xlpm.CSVVal,_xlfn.XLOOKUP($A584,CSV!$A:$A,CSV!D:D,""),
_xlpm.MacVal,_xlfn.XLOOKUP($A584,Output_Mac!$A:$A,Output_Mac!C:C,""),
_xlpm.MyAuditVal,_xlfn.XLOOKUP($A584,My_Audit!$A:$A,My_Audit!C:C,""),
_xlfn.IFS(_xlpm.MyAuditVal&lt;&gt;"",_xlpm.MyAuditVal,_xlpm.MacVal&lt;&gt;"",_xlpm.MacVal,_xlpm.CSVVal&lt;&gt;"",_xlpm.CSVVal
)),"")</f>
        <v/>
      </c>
      <c r="E584" s="40" t="str">
        <f>_xlfn.XLOOKUP(A584,My_Audit!A:A,My_Audit!D:D,"")</f>
        <v/>
      </c>
      <c r="F584" s="40" t="str" cm="1">
        <f t="array" ref="F584">IFERROR(_xlfn.LET(
_xlpm.CSVVal,_xlfn.XLOOKUP($A584,CSV!$A:$A,CSV!F:F,""),
_xlpm.MacVal,_xlfn.XLOOKUP($A584,Output_Mac!$A:$A,Output_Mac!E:E,""),
_xlpm.MyAuditVal,_xlfn.XLOOKUP($A584,My_Audit!$A:$A,My_Audit!E:E,""),
_xlfn.IFS(_xlpm.MyAuditVal&lt;&gt;"",_xlpm.MyAuditVal,_xlpm.MacVal&lt;&gt;"",_xlpm.MacVal,_xlpm.CSVVal&lt;&gt;"",_xlpm.CSVVal
)),"")</f>
        <v/>
      </c>
      <c r="G584" s="40" t="str" cm="1">
        <f t="array" ref="G584">IFERROR(_xlfn.LET(
_xlpm.CSVVal,_xlfn.XLOOKUP($A584,CSV!$A:$A,CSV!G:G,""),
_xlpm.MacVal,_xlfn.XLOOKUP($A584,Output_Mac!$A:$A,Output_Mac!F:F,""),
_xlpm.MyAuditVal,_xlfn.XLOOKUP($A584,My_Audit!$A:$A,My_Audit!F:F,""),
_xlfn.IFS(_xlpm.MyAuditVal&lt;&gt;"",_xlpm.MyAuditVal,_xlpm.MacVal&lt;&gt;"",_xlpm.MacVal,_xlpm.CSVVal&lt;&gt;"",PROPER(_xlpm.CSVVal)
)),"")</f>
        <v/>
      </c>
      <c r="H584" s="40" t="str" cm="1">
        <f t="array" ref="H584">IFERROR(_xlfn.LET(
_xlpm.CSVVal,_xlfn.XLOOKUP($A584,CSV!$A:$A,CSV!H:H,""),
_xlpm.MacVal,_xlfn.XLOOKUP($A584,Output_Mac!$A:$A,Output_Mac!H:H,""),
_xlpm.MyAuditVal,_xlfn.XLOOKUP($A584,My_Audit!$A:$A,My_Audit!G:G,""),
_xlfn.IFS(_xlpm.MyAuditVal&lt;&gt;"",_xlpm.MyAuditVal,_xlpm.MacVal&lt;&gt;"",_xlpm.MacVal,_xlpm.CSVVal&lt;&gt;"",_xlpm.CSVVal
)),"")</f>
        <v/>
      </c>
      <c r="I584" s="40" t="str">
        <f>_xlfn.XLOOKUP(A584,Output_Mac!A:A,Output_Mac!I:I,"")</f>
        <v/>
      </c>
      <c r="J584" s="40" t="str" cm="1">
        <f t="array" ref="J584">IFERROR(_xlfn.LET(
_xlpm.CSVVal,_xlfn.XLOOKUP($A584,CSV!$A:$A,CSV!I:I,""),
_xlpm.MacVal,_xlfn.XLOOKUP($A584,Output_Mac!$A:$A,Output_Mac!J:J,""),
_xlpm.MyAuditVal,_xlfn.XLOOKUP($A584,My_Audit!$A:$A,My_Audit!I:I,""),
_xlfn.IFS(_xlpm.MyAuditVal&lt;&gt;"",UPPER(_xlpm.MyAuditVal),_xlpm.MacVal&lt;&gt;"",_xlpm.MacVal,_xlpm.CSVVal&lt;&gt;"",_xlpm.CSVVal
)),"")</f>
        <v/>
      </c>
      <c r="K584" s="40" t="str" cm="1">
        <f t="array" ref="K584">IFERROR(_xlfn.LET(
_xlpm.CSVVal,_xlfn.XLOOKUP($A584,CSV!$A:$A,CSV!K:K,""),
_xlpm.MacVal,_xlfn.XLOOKUP($A584,Output_Mac!$A:$A,Output_Mac!K:K,""),
_xlpm.MyAuditVal,_xlfn.XLOOKUP($A584,My_Audit!$A:$A,My_Audit!J:J,""),
_xlfn.IFS(_xlpm.MyAuditVal&lt;&gt;"",UPPER(_xlpm.MyAuditVal),_xlpm.MacVal&lt;&gt;"",_xlpm.MacVal,_xlpm.CSVVal&lt;&gt;"",_xlpm.CSVVal
)),"")</f>
        <v/>
      </c>
      <c r="L584" s="40" t="str" cm="1">
        <f t="array" ref="L584">IFERROR(_xlfn.LET(
_xlpm.CSVVal,_xlfn.XLOOKUP($A584,CSV!$A:$A,CSV!P:P,""),
_xlpm.MacVal,_xlfn.XLOOKUP($A584,Output_Mac!$A:$A,Output_Mac!L:L,""),
_xlpm.MyAuditVal,_xlfn.XLOOKUP($A584,My_Audit!$A:$A,My_Audit!K:K,""),
_xlfn.IFS(_xlpm.MyAuditVal&lt;&gt;"",UPPER(_xlpm.MyAuditVal),_xlpm.MacVal&lt;&gt;"",_xlpm.MacVal,_xlpm.CSVVal&lt;&gt;"",_xlpm.CSVVal
)),"")</f>
        <v/>
      </c>
      <c r="M584" s="40" t="str" cm="1">
        <f t="array" ref="M584">IFERROR(_xlfn.LET(
_xlpm.CSVVal,_xlfn.XLOOKUP($A584,CSV!$A:$A,CSV!Q:Q,""),
_xlpm.MacVal,_xlfn.XLOOKUP($A584,Output_Mac!$A:$A,Output_Mac!M:M,""),
_xlpm.MyAuditVal,_xlfn.XLOOKUP($A584,My_Audit!$A:$A,My_Audit!L:L,""),
_xlfn.IFS(_xlpm.MyAuditVal&lt;&gt;"",UPPER(_xlpm.MyAuditVal),_xlpm.MacVal&lt;&gt;"",_xlpm.MacVal,_xlpm.CSVVal&lt;&gt;"",_xlpm.CSVVal
)),"")</f>
        <v/>
      </c>
      <c r="N584" s="40"/>
      <c r="O584" s="40" t="str">
        <f>_xlfn.LET(
    _xlpm.CSVVal, _xlfn.XLOOKUP($A584, CSV!$A:$A, CSV!AA:AA, ""),
    _xlpm.MacVal, _xlfn.XLOOKUP($A584, Output_Mac!$A:$A, Output_Mac!S:S, ""),
    _xlpm.MyAuditVal, _xlfn.XLOOKUP($A584, My_Audit!$A:$A, My_Audit!P:P, ""),
    _xlfn.TEXTJOIN(", ", TRUE, _xlpm.MyAuditVal, _xlpm.MacVal, _xlpm.CSVVal)
)</f>
        <v/>
      </c>
      <c r="P584" s="40" t="str" cm="1">
        <f t="array" ref="P584">IFERROR(_xlfn.LET(
_xlpm.CSVVal,_xlfn.XLOOKUP($A584,CSV!$A:$A,CSV!AB:AB,""),
_xlpm.MacVal,_xlfn.XLOOKUP($A584,Output_Mac!$A:$A,Output_Mac!T:T,""),
_xlpm.MyAuditVal,_xlfn.XLOOKUP($A584,My_Audit!$A:$A,My_Audit!Q:Q,""),
_xlfn.IFS(_xlpm.MyAuditVal&lt;&gt;"",UPPER(_xlpm.MyAuditVal),_xlpm.MacVal&lt;&gt;"",_xlpm.MacVal,_xlpm.CSVVal&lt;&gt;"",_xlpm.CSVVal
)),"No")</f>
        <v>No</v>
      </c>
      <c r="Q584" s="40" t="str" cm="1">
        <f t="array" ref="Q584">IFERROR(_xlfn.LET(
_xlpm.CSVVal,_xlfn.XLOOKUP($A584,CSV!$A:$A,CSV!AC:AC,""),
_xlpm.MacVal,_xlfn.XLOOKUP($A584,Output_Mac!$A:$A,Output_Mac!U:U,""),
_xlpm.MyAuditVal,_xlfn.XLOOKUP($A584,My_Audit!$A:$A,My_Audit!R:R,""),
_xlfn.IFS(_xlpm.MyAuditVal&lt;&gt;"",UPPER(_xlpm.MyAuditVal),_xlpm.MacVal&lt;&gt;"",_xlpm.MacVal,_xlpm.CSVVal&lt;&gt;"",_xlpm.CSVVal
)),"")</f>
        <v/>
      </c>
      <c r="R584" s="40"/>
      <c r="S584" s="40"/>
      <c r="T584" s="40"/>
      <c r="U584" s="40"/>
      <c r="V584" s="40"/>
      <c r="W584" s="40"/>
      <c r="X584" s="41" t="str">
        <f>_xlfn.LET(
    _xlpm.MacVal, _xlfn.XLOOKUP($A584, Output_Mac!$A:$A, Output_Mac!AB:AB, ""),
    _xlpm.MyAuditVal, _xlfn.XLOOKUP($A584, My_Audit!$A:$A, My_Audit!N:N, ""),
    _xlfn.TEXTJOIN(", ", TRUE, _xlpm.MyAuditVal, _xlpm.MacVal)
)</f>
        <v/>
      </c>
    </row>
    <row r="585" spans="1:24">
      <c r="A585" s="40" t="str">
        <f>_xlfn.TEXTJOIN("",TRUE,Input!$B$2,ROW(My_Audit!A584))</f>
        <v>X584</v>
      </c>
      <c r="B585" s="40" t="str">
        <f>_xlfn.TEXTJOIN("-",TRUE,"ITD",Input!$A$2,A585)</f>
        <v>ITD-X584</v>
      </c>
      <c r="C585" s="40" t="str" cm="1">
        <f t="array" ref="C585">IFERROR(_xlfn.LET(
_xlpm.CSVVal,_xlfn.XLOOKUP($A585,CSV!$A:$A,CSV!B:B,""),
_xlpm.MacVal,_xlfn.XLOOKUP($A585,Output_Mac!$A:$A,Output_Mac!B:B,""),
_xlpm.MyAuditVal,_xlfn.XLOOKUP($A585,My_Audit!$A:$A,My_Audit!B:B,""),
_xlfn.IFS(_xlpm.MyAuditVal&lt;&gt;"",UPPER(_xlpm.MyAuditVal),_xlpm.MacVal&lt;&gt;"",_xlpm.MacVal,_xlpm.CSVVal&lt;&gt;"",_xlpm.CSVVal
)),"")</f>
        <v/>
      </c>
      <c r="D585" s="40" t="str" cm="1">
        <f t="array" ref="D585">IFERROR(_xlfn.LET(
_xlpm.CSVVal,_xlfn.XLOOKUP($A585,CSV!$A:$A,CSV!D:D,""),
_xlpm.MacVal,_xlfn.XLOOKUP($A585,Output_Mac!$A:$A,Output_Mac!C:C,""),
_xlpm.MyAuditVal,_xlfn.XLOOKUP($A585,My_Audit!$A:$A,My_Audit!C:C,""),
_xlfn.IFS(_xlpm.MyAuditVal&lt;&gt;"",_xlpm.MyAuditVal,_xlpm.MacVal&lt;&gt;"",_xlpm.MacVal,_xlpm.CSVVal&lt;&gt;"",_xlpm.CSVVal
)),"")</f>
        <v/>
      </c>
      <c r="E585" s="40" t="str">
        <f>_xlfn.XLOOKUP(A585,My_Audit!A:A,My_Audit!D:D,"")</f>
        <v/>
      </c>
      <c r="F585" s="40" t="str" cm="1">
        <f t="array" ref="F585">IFERROR(_xlfn.LET(
_xlpm.CSVVal,_xlfn.XLOOKUP($A585,CSV!$A:$A,CSV!F:F,""),
_xlpm.MacVal,_xlfn.XLOOKUP($A585,Output_Mac!$A:$A,Output_Mac!E:E,""),
_xlpm.MyAuditVal,_xlfn.XLOOKUP($A585,My_Audit!$A:$A,My_Audit!E:E,""),
_xlfn.IFS(_xlpm.MyAuditVal&lt;&gt;"",_xlpm.MyAuditVal,_xlpm.MacVal&lt;&gt;"",_xlpm.MacVal,_xlpm.CSVVal&lt;&gt;"",_xlpm.CSVVal
)),"")</f>
        <v/>
      </c>
      <c r="G585" s="40" t="str" cm="1">
        <f t="array" ref="G585">IFERROR(_xlfn.LET(
_xlpm.CSVVal,_xlfn.XLOOKUP($A585,CSV!$A:$A,CSV!G:G,""),
_xlpm.MacVal,_xlfn.XLOOKUP($A585,Output_Mac!$A:$A,Output_Mac!F:F,""),
_xlpm.MyAuditVal,_xlfn.XLOOKUP($A585,My_Audit!$A:$A,My_Audit!F:F,""),
_xlfn.IFS(_xlpm.MyAuditVal&lt;&gt;"",_xlpm.MyAuditVal,_xlpm.MacVal&lt;&gt;"",_xlpm.MacVal,_xlpm.CSVVal&lt;&gt;"",PROPER(_xlpm.CSVVal)
)),"")</f>
        <v/>
      </c>
      <c r="H585" s="40" t="str" cm="1">
        <f t="array" ref="H585">IFERROR(_xlfn.LET(
_xlpm.CSVVal,_xlfn.XLOOKUP($A585,CSV!$A:$A,CSV!H:H,""),
_xlpm.MacVal,_xlfn.XLOOKUP($A585,Output_Mac!$A:$A,Output_Mac!H:H,""),
_xlpm.MyAuditVal,_xlfn.XLOOKUP($A585,My_Audit!$A:$A,My_Audit!G:G,""),
_xlfn.IFS(_xlpm.MyAuditVal&lt;&gt;"",_xlpm.MyAuditVal,_xlpm.MacVal&lt;&gt;"",_xlpm.MacVal,_xlpm.CSVVal&lt;&gt;"",_xlpm.CSVVal
)),"")</f>
        <v/>
      </c>
      <c r="I585" s="40" t="str">
        <f>_xlfn.XLOOKUP(A585,Output_Mac!A:A,Output_Mac!I:I,"")</f>
        <v/>
      </c>
      <c r="J585" s="40" t="str" cm="1">
        <f t="array" ref="J585">IFERROR(_xlfn.LET(
_xlpm.CSVVal,_xlfn.XLOOKUP($A585,CSV!$A:$A,CSV!I:I,""),
_xlpm.MacVal,_xlfn.XLOOKUP($A585,Output_Mac!$A:$A,Output_Mac!J:J,""),
_xlpm.MyAuditVal,_xlfn.XLOOKUP($A585,My_Audit!$A:$A,My_Audit!I:I,""),
_xlfn.IFS(_xlpm.MyAuditVal&lt;&gt;"",UPPER(_xlpm.MyAuditVal),_xlpm.MacVal&lt;&gt;"",_xlpm.MacVal,_xlpm.CSVVal&lt;&gt;"",_xlpm.CSVVal
)),"")</f>
        <v/>
      </c>
      <c r="K585" s="40" t="str" cm="1">
        <f t="array" ref="K585">IFERROR(_xlfn.LET(
_xlpm.CSVVal,_xlfn.XLOOKUP($A585,CSV!$A:$A,CSV!K:K,""),
_xlpm.MacVal,_xlfn.XLOOKUP($A585,Output_Mac!$A:$A,Output_Mac!K:K,""),
_xlpm.MyAuditVal,_xlfn.XLOOKUP($A585,My_Audit!$A:$A,My_Audit!J:J,""),
_xlfn.IFS(_xlpm.MyAuditVal&lt;&gt;"",UPPER(_xlpm.MyAuditVal),_xlpm.MacVal&lt;&gt;"",_xlpm.MacVal,_xlpm.CSVVal&lt;&gt;"",_xlpm.CSVVal
)),"")</f>
        <v/>
      </c>
      <c r="L585" s="40" t="str" cm="1">
        <f t="array" ref="L585">IFERROR(_xlfn.LET(
_xlpm.CSVVal,_xlfn.XLOOKUP($A585,CSV!$A:$A,CSV!P:P,""),
_xlpm.MacVal,_xlfn.XLOOKUP($A585,Output_Mac!$A:$A,Output_Mac!L:L,""),
_xlpm.MyAuditVal,_xlfn.XLOOKUP($A585,My_Audit!$A:$A,My_Audit!K:K,""),
_xlfn.IFS(_xlpm.MyAuditVal&lt;&gt;"",UPPER(_xlpm.MyAuditVal),_xlpm.MacVal&lt;&gt;"",_xlpm.MacVal,_xlpm.CSVVal&lt;&gt;"",_xlpm.CSVVal
)),"")</f>
        <v/>
      </c>
      <c r="M585" s="40" t="str" cm="1">
        <f t="array" ref="M585">IFERROR(_xlfn.LET(
_xlpm.CSVVal,_xlfn.XLOOKUP($A585,CSV!$A:$A,CSV!Q:Q,""),
_xlpm.MacVal,_xlfn.XLOOKUP($A585,Output_Mac!$A:$A,Output_Mac!M:M,""),
_xlpm.MyAuditVal,_xlfn.XLOOKUP($A585,My_Audit!$A:$A,My_Audit!L:L,""),
_xlfn.IFS(_xlpm.MyAuditVal&lt;&gt;"",UPPER(_xlpm.MyAuditVal),_xlpm.MacVal&lt;&gt;"",_xlpm.MacVal,_xlpm.CSVVal&lt;&gt;"",_xlpm.CSVVal
)),"")</f>
        <v/>
      </c>
      <c r="N585" s="40"/>
      <c r="O585" s="40" t="str">
        <f>_xlfn.LET(
    _xlpm.CSVVal, _xlfn.XLOOKUP($A585, CSV!$A:$A, CSV!AA:AA, ""),
    _xlpm.MacVal, _xlfn.XLOOKUP($A585, Output_Mac!$A:$A, Output_Mac!S:S, ""),
    _xlpm.MyAuditVal, _xlfn.XLOOKUP($A585, My_Audit!$A:$A, My_Audit!P:P, ""),
    _xlfn.TEXTJOIN(", ", TRUE, _xlpm.MyAuditVal, _xlpm.MacVal, _xlpm.CSVVal)
)</f>
        <v/>
      </c>
      <c r="P585" s="40" t="str" cm="1">
        <f t="array" ref="P585">IFERROR(_xlfn.LET(
_xlpm.CSVVal,_xlfn.XLOOKUP($A585,CSV!$A:$A,CSV!AB:AB,""),
_xlpm.MacVal,_xlfn.XLOOKUP($A585,Output_Mac!$A:$A,Output_Mac!T:T,""),
_xlpm.MyAuditVal,_xlfn.XLOOKUP($A585,My_Audit!$A:$A,My_Audit!Q:Q,""),
_xlfn.IFS(_xlpm.MyAuditVal&lt;&gt;"",UPPER(_xlpm.MyAuditVal),_xlpm.MacVal&lt;&gt;"",_xlpm.MacVal,_xlpm.CSVVal&lt;&gt;"",_xlpm.CSVVal
)),"No")</f>
        <v>No</v>
      </c>
      <c r="Q585" s="40" t="str" cm="1">
        <f t="array" ref="Q585">IFERROR(_xlfn.LET(
_xlpm.CSVVal,_xlfn.XLOOKUP($A585,CSV!$A:$A,CSV!AC:AC,""),
_xlpm.MacVal,_xlfn.XLOOKUP($A585,Output_Mac!$A:$A,Output_Mac!U:U,""),
_xlpm.MyAuditVal,_xlfn.XLOOKUP($A585,My_Audit!$A:$A,My_Audit!R:R,""),
_xlfn.IFS(_xlpm.MyAuditVal&lt;&gt;"",UPPER(_xlpm.MyAuditVal),_xlpm.MacVal&lt;&gt;"",_xlpm.MacVal,_xlpm.CSVVal&lt;&gt;"",_xlpm.CSVVal
)),"")</f>
        <v/>
      </c>
      <c r="R585" s="40"/>
      <c r="S585" s="40"/>
      <c r="T585" s="40"/>
      <c r="U585" s="40"/>
      <c r="V585" s="40"/>
      <c r="W585" s="40"/>
      <c r="X585" s="41" t="str">
        <f>_xlfn.LET(
    _xlpm.MacVal, _xlfn.XLOOKUP($A585, Output_Mac!$A:$A, Output_Mac!AB:AB, ""),
    _xlpm.MyAuditVal, _xlfn.XLOOKUP($A585, My_Audit!$A:$A, My_Audit!N:N, ""),
    _xlfn.TEXTJOIN(", ", TRUE, _xlpm.MyAuditVal, _xlpm.MacVal)
)</f>
        <v/>
      </c>
    </row>
    <row r="586" spans="1:24">
      <c r="A586" s="40" t="str">
        <f>_xlfn.TEXTJOIN("",TRUE,Input!$B$2,ROW(My_Audit!A585))</f>
        <v>X585</v>
      </c>
      <c r="B586" s="40" t="str">
        <f>_xlfn.TEXTJOIN("-",TRUE,"ITD",Input!$A$2,A586)</f>
        <v>ITD-X585</v>
      </c>
      <c r="C586" s="40" t="str" cm="1">
        <f t="array" ref="C586">IFERROR(_xlfn.LET(
_xlpm.CSVVal,_xlfn.XLOOKUP($A586,CSV!$A:$A,CSV!B:B,""),
_xlpm.MacVal,_xlfn.XLOOKUP($A586,Output_Mac!$A:$A,Output_Mac!B:B,""),
_xlpm.MyAuditVal,_xlfn.XLOOKUP($A586,My_Audit!$A:$A,My_Audit!B:B,""),
_xlfn.IFS(_xlpm.MyAuditVal&lt;&gt;"",UPPER(_xlpm.MyAuditVal),_xlpm.MacVal&lt;&gt;"",_xlpm.MacVal,_xlpm.CSVVal&lt;&gt;"",_xlpm.CSVVal
)),"")</f>
        <v/>
      </c>
      <c r="D586" s="40" t="str" cm="1">
        <f t="array" ref="D586">IFERROR(_xlfn.LET(
_xlpm.CSVVal,_xlfn.XLOOKUP($A586,CSV!$A:$A,CSV!D:D,""),
_xlpm.MacVal,_xlfn.XLOOKUP($A586,Output_Mac!$A:$A,Output_Mac!C:C,""),
_xlpm.MyAuditVal,_xlfn.XLOOKUP($A586,My_Audit!$A:$A,My_Audit!C:C,""),
_xlfn.IFS(_xlpm.MyAuditVal&lt;&gt;"",_xlpm.MyAuditVal,_xlpm.MacVal&lt;&gt;"",_xlpm.MacVal,_xlpm.CSVVal&lt;&gt;"",_xlpm.CSVVal
)),"")</f>
        <v/>
      </c>
      <c r="E586" s="40" t="str">
        <f>_xlfn.XLOOKUP(A586,My_Audit!A:A,My_Audit!D:D,"")</f>
        <v/>
      </c>
      <c r="F586" s="40" t="str" cm="1">
        <f t="array" ref="F586">IFERROR(_xlfn.LET(
_xlpm.CSVVal,_xlfn.XLOOKUP($A586,CSV!$A:$A,CSV!F:F,""),
_xlpm.MacVal,_xlfn.XLOOKUP($A586,Output_Mac!$A:$A,Output_Mac!E:E,""),
_xlpm.MyAuditVal,_xlfn.XLOOKUP($A586,My_Audit!$A:$A,My_Audit!E:E,""),
_xlfn.IFS(_xlpm.MyAuditVal&lt;&gt;"",_xlpm.MyAuditVal,_xlpm.MacVal&lt;&gt;"",_xlpm.MacVal,_xlpm.CSVVal&lt;&gt;"",_xlpm.CSVVal
)),"")</f>
        <v/>
      </c>
      <c r="G586" s="40" t="str" cm="1">
        <f t="array" ref="G586">IFERROR(_xlfn.LET(
_xlpm.CSVVal,_xlfn.XLOOKUP($A586,CSV!$A:$A,CSV!G:G,""),
_xlpm.MacVal,_xlfn.XLOOKUP($A586,Output_Mac!$A:$A,Output_Mac!F:F,""),
_xlpm.MyAuditVal,_xlfn.XLOOKUP($A586,My_Audit!$A:$A,My_Audit!F:F,""),
_xlfn.IFS(_xlpm.MyAuditVal&lt;&gt;"",_xlpm.MyAuditVal,_xlpm.MacVal&lt;&gt;"",_xlpm.MacVal,_xlpm.CSVVal&lt;&gt;"",PROPER(_xlpm.CSVVal)
)),"")</f>
        <v/>
      </c>
      <c r="H586" s="40" t="str" cm="1">
        <f t="array" ref="H586">IFERROR(_xlfn.LET(
_xlpm.CSVVal,_xlfn.XLOOKUP($A586,CSV!$A:$A,CSV!H:H,""),
_xlpm.MacVal,_xlfn.XLOOKUP($A586,Output_Mac!$A:$A,Output_Mac!H:H,""),
_xlpm.MyAuditVal,_xlfn.XLOOKUP($A586,My_Audit!$A:$A,My_Audit!G:G,""),
_xlfn.IFS(_xlpm.MyAuditVal&lt;&gt;"",_xlpm.MyAuditVal,_xlpm.MacVal&lt;&gt;"",_xlpm.MacVal,_xlpm.CSVVal&lt;&gt;"",_xlpm.CSVVal
)),"")</f>
        <v/>
      </c>
      <c r="I586" s="40" t="str">
        <f>_xlfn.XLOOKUP(A586,Output_Mac!A:A,Output_Mac!I:I,"")</f>
        <v/>
      </c>
      <c r="J586" s="40" t="str" cm="1">
        <f t="array" ref="J586">IFERROR(_xlfn.LET(
_xlpm.CSVVal,_xlfn.XLOOKUP($A586,CSV!$A:$A,CSV!I:I,""),
_xlpm.MacVal,_xlfn.XLOOKUP($A586,Output_Mac!$A:$A,Output_Mac!J:J,""),
_xlpm.MyAuditVal,_xlfn.XLOOKUP($A586,My_Audit!$A:$A,My_Audit!I:I,""),
_xlfn.IFS(_xlpm.MyAuditVal&lt;&gt;"",UPPER(_xlpm.MyAuditVal),_xlpm.MacVal&lt;&gt;"",_xlpm.MacVal,_xlpm.CSVVal&lt;&gt;"",_xlpm.CSVVal
)),"")</f>
        <v/>
      </c>
      <c r="K586" s="40" t="str" cm="1">
        <f t="array" ref="K586">IFERROR(_xlfn.LET(
_xlpm.CSVVal,_xlfn.XLOOKUP($A586,CSV!$A:$A,CSV!K:K,""),
_xlpm.MacVal,_xlfn.XLOOKUP($A586,Output_Mac!$A:$A,Output_Mac!K:K,""),
_xlpm.MyAuditVal,_xlfn.XLOOKUP($A586,My_Audit!$A:$A,My_Audit!J:J,""),
_xlfn.IFS(_xlpm.MyAuditVal&lt;&gt;"",UPPER(_xlpm.MyAuditVal),_xlpm.MacVal&lt;&gt;"",_xlpm.MacVal,_xlpm.CSVVal&lt;&gt;"",_xlpm.CSVVal
)),"")</f>
        <v/>
      </c>
      <c r="L586" s="40" t="str" cm="1">
        <f t="array" ref="L586">IFERROR(_xlfn.LET(
_xlpm.CSVVal,_xlfn.XLOOKUP($A586,CSV!$A:$A,CSV!P:P,""),
_xlpm.MacVal,_xlfn.XLOOKUP($A586,Output_Mac!$A:$A,Output_Mac!L:L,""),
_xlpm.MyAuditVal,_xlfn.XLOOKUP($A586,My_Audit!$A:$A,My_Audit!K:K,""),
_xlfn.IFS(_xlpm.MyAuditVal&lt;&gt;"",UPPER(_xlpm.MyAuditVal),_xlpm.MacVal&lt;&gt;"",_xlpm.MacVal,_xlpm.CSVVal&lt;&gt;"",_xlpm.CSVVal
)),"")</f>
        <v/>
      </c>
      <c r="M586" s="40" t="str" cm="1">
        <f t="array" ref="M586">IFERROR(_xlfn.LET(
_xlpm.CSVVal,_xlfn.XLOOKUP($A586,CSV!$A:$A,CSV!Q:Q,""),
_xlpm.MacVal,_xlfn.XLOOKUP($A586,Output_Mac!$A:$A,Output_Mac!M:M,""),
_xlpm.MyAuditVal,_xlfn.XLOOKUP($A586,My_Audit!$A:$A,My_Audit!L:L,""),
_xlfn.IFS(_xlpm.MyAuditVal&lt;&gt;"",UPPER(_xlpm.MyAuditVal),_xlpm.MacVal&lt;&gt;"",_xlpm.MacVal,_xlpm.CSVVal&lt;&gt;"",_xlpm.CSVVal
)),"")</f>
        <v/>
      </c>
      <c r="N586" s="40"/>
      <c r="O586" s="40" t="str">
        <f>_xlfn.LET(
    _xlpm.CSVVal, _xlfn.XLOOKUP($A586, CSV!$A:$A, CSV!AA:AA, ""),
    _xlpm.MacVal, _xlfn.XLOOKUP($A586, Output_Mac!$A:$A, Output_Mac!S:S, ""),
    _xlpm.MyAuditVal, _xlfn.XLOOKUP($A586, My_Audit!$A:$A, My_Audit!P:P, ""),
    _xlfn.TEXTJOIN(", ", TRUE, _xlpm.MyAuditVal, _xlpm.MacVal, _xlpm.CSVVal)
)</f>
        <v/>
      </c>
      <c r="P586" s="40" t="str" cm="1">
        <f t="array" ref="P586">IFERROR(_xlfn.LET(
_xlpm.CSVVal,_xlfn.XLOOKUP($A586,CSV!$A:$A,CSV!AB:AB,""),
_xlpm.MacVal,_xlfn.XLOOKUP($A586,Output_Mac!$A:$A,Output_Mac!T:T,""),
_xlpm.MyAuditVal,_xlfn.XLOOKUP($A586,My_Audit!$A:$A,My_Audit!Q:Q,""),
_xlfn.IFS(_xlpm.MyAuditVal&lt;&gt;"",UPPER(_xlpm.MyAuditVal),_xlpm.MacVal&lt;&gt;"",_xlpm.MacVal,_xlpm.CSVVal&lt;&gt;"",_xlpm.CSVVal
)),"No")</f>
        <v>No</v>
      </c>
      <c r="Q586" s="40" t="str" cm="1">
        <f t="array" ref="Q586">IFERROR(_xlfn.LET(
_xlpm.CSVVal,_xlfn.XLOOKUP($A586,CSV!$A:$A,CSV!AC:AC,""),
_xlpm.MacVal,_xlfn.XLOOKUP($A586,Output_Mac!$A:$A,Output_Mac!U:U,""),
_xlpm.MyAuditVal,_xlfn.XLOOKUP($A586,My_Audit!$A:$A,My_Audit!R:R,""),
_xlfn.IFS(_xlpm.MyAuditVal&lt;&gt;"",UPPER(_xlpm.MyAuditVal),_xlpm.MacVal&lt;&gt;"",_xlpm.MacVal,_xlpm.CSVVal&lt;&gt;"",_xlpm.CSVVal
)),"")</f>
        <v/>
      </c>
      <c r="R586" s="40"/>
      <c r="S586" s="40"/>
      <c r="T586" s="40"/>
      <c r="U586" s="40"/>
      <c r="V586" s="40"/>
      <c r="W586" s="40"/>
      <c r="X586" s="41" t="str">
        <f>_xlfn.LET(
    _xlpm.MacVal, _xlfn.XLOOKUP($A586, Output_Mac!$A:$A, Output_Mac!AB:AB, ""),
    _xlpm.MyAuditVal, _xlfn.XLOOKUP($A586, My_Audit!$A:$A, My_Audit!N:N, ""),
    _xlfn.TEXTJOIN(", ", TRUE, _xlpm.MyAuditVal, _xlpm.MacVal)
)</f>
        <v/>
      </c>
    </row>
    <row r="587" spans="1:24">
      <c r="A587" s="40" t="str">
        <f>_xlfn.TEXTJOIN("",TRUE,Input!$B$2,ROW(My_Audit!A586))</f>
        <v>X586</v>
      </c>
      <c r="B587" s="40" t="str">
        <f>_xlfn.TEXTJOIN("-",TRUE,"ITD",Input!$A$2,A587)</f>
        <v>ITD-X586</v>
      </c>
      <c r="C587" s="40" t="str" cm="1">
        <f t="array" ref="C587">IFERROR(_xlfn.LET(
_xlpm.CSVVal,_xlfn.XLOOKUP($A587,CSV!$A:$A,CSV!B:B,""),
_xlpm.MacVal,_xlfn.XLOOKUP($A587,Output_Mac!$A:$A,Output_Mac!B:B,""),
_xlpm.MyAuditVal,_xlfn.XLOOKUP($A587,My_Audit!$A:$A,My_Audit!B:B,""),
_xlfn.IFS(_xlpm.MyAuditVal&lt;&gt;"",UPPER(_xlpm.MyAuditVal),_xlpm.MacVal&lt;&gt;"",_xlpm.MacVal,_xlpm.CSVVal&lt;&gt;"",_xlpm.CSVVal
)),"")</f>
        <v/>
      </c>
      <c r="D587" s="40" t="str" cm="1">
        <f t="array" ref="D587">IFERROR(_xlfn.LET(
_xlpm.CSVVal,_xlfn.XLOOKUP($A587,CSV!$A:$A,CSV!D:D,""),
_xlpm.MacVal,_xlfn.XLOOKUP($A587,Output_Mac!$A:$A,Output_Mac!C:C,""),
_xlpm.MyAuditVal,_xlfn.XLOOKUP($A587,My_Audit!$A:$A,My_Audit!C:C,""),
_xlfn.IFS(_xlpm.MyAuditVal&lt;&gt;"",_xlpm.MyAuditVal,_xlpm.MacVal&lt;&gt;"",_xlpm.MacVal,_xlpm.CSVVal&lt;&gt;"",_xlpm.CSVVal
)),"")</f>
        <v/>
      </c>
      <c r="E587" s="40" t="str">
        <f>_xlfn.XLOOKUP(A587,My_Audit!A:A,My_Audit!D:D,"")</f>
        <v/>
      </c>
      <c r="F587" s="40" t="str" cm="1">
        <f t="array" ref="F587">IFERROR(_xlfn.LET(
_xlpm.CSVVal,_xlfn.XLOOKUP($A587,CSV!$A:$A,CSV!F:F,""),
_xlpm.MacVal,_xlfn.XLOOKUP($A587,Output_Mac!$A:$A,Output_Mac!E:E,""),
_xlpm.MyAuditVal,_xlfn.XLOOKUP($A587,My_Audit!$A:$A,My_Audit!E:E,""),
_xlfn.IFS(_xlpm.MyAuditVal&lt;&gt;"",_xlpm.MyAuditVal,_xlpm.MacVal&lt;&gt;"",_xlpm.MacVal,_xlpm.CSVVal&lt;&gt;"",_xlpm.CSVVal
)),"")</f>
        <v/>
      </c>
      <c r="G587" s="40" t="str" cm="1">
        <f t="array" ref="G587">IFERROR(_xlfn.LET(
_xlpm.CSVVal,_xlfn.XLOOKUP($A587,CSV!$A:$A,CSV!G:G,""),
_xlpm.MacVal,_xlfn.XLOOKUP($A587,Output_Mac!$A:$A,Output_Mac!F:F,""),
_xlpm.MyAuditVal,_xlfn.XLOOKUP($A587,My_Audit!$A:$A,My_Audit!F:F,""),
_xlfn.IFS(_xlpm.MyAuditVal&lt;&gt;"",_xlpm.MyAuditVal,_xlpm.MacVal&lt;&gt;"",_xlpm.MacVal,_xlpm.CSVVal&lt;&gt;"",PROPER(_xlpm.CSVVal)
)),"")</f>
        <v/>
      </c>
      <c r="H587" s="40" t="str" cm="1">
        <f t="array" ref="H587">IFERROR(_xlfn.LET(
_xlpm.CSVVal,_xlfn.XLOOKUP($A587,CSV!$A:$A,CSV!H:H,""),
_xlpm.MacVal,_xlfn.XLOOKUP($A587,Output_Mac!$A:$A,Output_Mac!H:H,""),
_xlpm.MyAuditVal,_xlfn.XLOOKUP($A587,My_Audit!$A:$A,My_Audit!G:G,""),
_xlfn.IFS(_xlpm.MyAuditVal&lt;&gt;"",_xlpm.MyAuditVal,_xlpm.MacVal&lt;&gt;"",_xlpm.MacVal,_xlpm.CSVVal&lt;&gt;"",_xlpm.CSVVal
)),"")</f>
        <v/>
      </c>
      <c r="I587" s="40" t="str">
        <f>_xlfn.XLOOKUP(A587,Output_Mac!A:A,Output_Mac!I:I,"")</f>
        <v/>
      </c>
      <c r="J587" s="40" t="str" cm="1">
        <f t="array" ref="J587">IFERROR(_xlfn.LET(
_xlpm.CSVVal,_xlfn.XLOOKUP($A587,CSV!$A:$A,CSV!I:I,""),
_xlpm.MacVal,_xlfn.XLOOKUP($A587,Output_Mac!$A:$A,Output_Mac!J:J,""),
_xlpm.MyAuditVal,_xlfn.XLOOKUP($A587,My_Audit!$A:$A,My_Audit!I:I,""),
_xlfn.IFS(_xlpm.MyAuditVal&lt;&gt;"",UPPER(_xlpm.MyAuditVal),_xlpm.MacVal&lt;&gt;"",_xlpm.MacVal,_xlpm.CSVVal&lt;&gt;"",_xlpm.CSVVal
)),"")</f>
        <v/>
      </c>
      <c r="K587" s="40" t="str" cm="1">
        <f t="array" ref="K587">IFERROR(_xlfn.LET(
_xlpm.CSVVal,_xlfn.XLOOKUP($A587,CSV!$A:$A,CSV!K:K,""),
_xlpm.MacVal,_xlfn.XLOOKUP($A587,Output_Mac!$A:$A,Output_Mac!K:K,""),
_xlpm.MyAuditVal,_xlfn.XLOOKUP($A587,My_Audit!$A:$A,My_Audit!J:J,""),
_xlfn.IFS(_xlpm.MyAuditVal&lt;&gt;"",UPPER(_xlpm.MyAuditVal),_xlpm.MacVal&lt;&gt;"",_xlpm.MacVal,_xlpm.CSVVal&lt;&gt;"",_xlpm.CSVVal
)),"")</f>
        <v/>
      </c>
      <c r="L587" s="40" t="str" cm="1">
        <f t="array" ref="L587">IFERROR(_xlfn.LET(
_xlpm.CSVVal,_xlfn.XLOOKUP($A587,CSV!$A:$A,CSV!P:P,""),
_xlpm.MacVal,_xlfn.XLOOKUP($A587,Output_Mac!$A:$A,Output_Mac!L:L,""),
_xlpm.MyAuditVal,_xlfn.XLOOKUP($A587,My_Audit!$A:$A,My_Audit!K:K,""),
_xlfn.IFS(_xlpm.MyAuditVal&lt;&gt;"",UPPER(_xlpm.MyAuditVal),_xlpm.MacVal&lt;&gt;"",_xlpm.MacVal,_xlpm.CSVVal&lt;&gt;"",_xlpm.CSVVal
)),"")</f>
        <v/>
      </c>
      <c r="M587" s="40" t="str" cm="1">
        <f t="array" ref="M587">IFERROR(_xlfn.LET(
_xlpm.CSVVal,_xlfn.XLOOKUP($A587,CSV!$A:$A,CSV!Q:Q,""),
_xlpm.MacVal,_xlfn.XLOOKUP($A587,Output_Mac!$A:$A,Output_Mac!M:M,""),
_xlpm.MyAuditVal,_xlfn.XLOOKUP($A587,My_Audit!$A:$A,My_Audit!L:L,""),
_xlfn.IFS(_xlpm.MyAuditVal&lt;&gt;"",UPPER(_xlpm.MyAuditVal),_xlpm.MacVal&lt;&gt;"",_xlpm.MacVal,_xlpm.CSVVal&lt;&gt;"",_xlpm.CSVVal
)),"")</f>
        <v/>
      </c>
      <c r="N587" s="40"/>
      <c r="O587" s="40" t="str">
        <f>_xlfn.LET(
    _xlpm.CSVVal, _xlfn.XLOOKUP($A587, CSV!$A:$A, CSV!AA:AA, ""),
    _xlpm.MacVal, _xlfn.XLOOKUP($A587, Output_Mac!$A:$A, Output_Mac!S:S, ""),
    _xlpm.MyAuditVal, _xlfn.XLOOKUP($A587, My_Audit!$A:$A, My_Audit!P:P, ""),
    _xlfn.TEXTJOIN(", ", TRUE, _xlpm.MyAuditVal, _xlpm.MacVal, _xlpm.CSVVal)
)</f>
        <v/>
      </c>
      <c r="P587" s="40" t="str" cm="1">
        <f t="array" ref="P587">IFERROR(_xlfn.LET(
_xlpm.CSVVal,_xlfn.XLOOKUP($A587,CSV!$A:$A,CSV!AB:AB,""),
_xlpm.MacVal,_xlfn.XLOOKUP($A587,Output_Mac!$A:$A,Output_Mac!T:T,""),
_xlpm.MyAuditVal,_xlfn.XLOOKUP($A587,My_Audit!$A:$A,My_Audit!Q:Q,""),
_xlfn.IFS(_xlpm.MyAuditVal&lt;&gt;"",UPPER(_xlpm.MyAuditVal),_xlpm.MacVal&lt;&gt;"",_xlpm.MacVal,_xlpm.CSVVal&lt;&gt;"",_xlpm.CSVVal
)),"No")</f>
        <v>No</v>
      </c>
      <c r="Q587" s="40" t="str" cm="1">
        <f t="array" ref="Q587">IFERROR(_xlfn.LET(
_xlpm.CSVVal,_xlfn.XLOOKUP($A587,CSV!$A:$A,CSV!AC:AC,""),
_xlpm.MacVal,_xlfn.XLOOKUP($A587,Output_Mac!$A:$A,Output_Mac!U:U,""),
_xlpm.MyAuditVal,_xlfn.XLOOKUP($A587,My_Audit!$A:$A,My_Audit!R:R,""),
_xlfn.IFS(_xlpm.MyAuditVal&lt;&gt;"",UPPER(_xlpm.MyAuditVal),_xlpm.MacVal&lt;&gt;"",_xlpm.MacVal,_xlpm.CSVVal&lt;&gt;"",_xlpm.CSVVal
)),"")</f>
        <v/>
      </c>
      <c r="R587" s="40"/>
      <c r="S587" s="40"/>
      <c r="T587" s="40"/>
      <c r="U587" s="40"/>
      <c r="V587" s="40"/>
      <c r="W587" s="40"/>
      <c r="X587" s="41" t="str">
        <f>_xlfn.LET(
    _xlpm.MacVal, _xlfn.XLOOKUP($A587, Output_Mac!$A:$A, Output_Mac!AB:AB, ""),
    _xlpm.MyAuditVal, _xlfn.XLOOKUP($A587, My_Audit!$A:$A, My_Audit!N:N, ""),
    _xlfn.TEXTJOIN(", ", TRUE, _xlpm.MyAuditVal, _xlpm.MacVal)
)</f>
        <v/>
      </c>
    </row>
    <row r="588" spans="1:24">
      <c r="A588" s="40" t="str">
        <f>_xlfn.TEXTJOIN("",TRUE,Input!$B$2,ROW(My_Audit!A587))</f>
        <v>X587</v>
      </c>
      <c r="B588" s="40" t="str">
        <f>_xlfn.TEXTJOIN("-",TRUE,"ITD",Input!$A$2,A588)</f>
        <v>ITD-X587</v>
      </c>
      <c r="C588" s="40" t="str" cm="1">
        <f t="array" ref="C588">IFERROR(_xlfn.LET(
_xlpm.CSVVal,_xlfn.XLOOKUP($A588,CSV!$A:$A,CSV!B:B,""),
_xlpm.MacVal,_xlfn.XLOOKUP($A588,Output_Mac!$A:$A,Output_Mac!B:B,""),
_xlpm.MyAuditVal,_xlfn.XLOOKUP($A588,My_Audit!$A:$A,My_Audit!B:B,""),
_xlfn.IFS(_xlpm.MyAuditVal&lt;&gt;"",UPPER(_xlpm.MyAuditVal),_xlpm.MacVal&lt;&gt;"",_xlpm.MacVal,_xlpm.CSVVal&lt;&gt;"",_xlpm.CSVVal
)),"")</f>
        <v/>
      </c>
      <c r="D588" s="40" t="str" cm="1">
        <f t="array" ref="D588">IFERROR(_xlfn.LET(
_xlpm.CSVVal,_xlfn.XLOOKUP($A588,CSV!$A:$A,CSV!D:D,""),
_xlpm.MacVal,_xlfn.XLOOKUP($A588,Output_Mac!$A:$A,Output_Mac!C:C,""),
_xlpm.MyAuditVal,_xlfn.XLOOKUP($A588,My_Audit!$A:$A,My_Audit!C:C,""),
_xlfn.IFS(_xlpm.MyAuditVal&lt;&gt;"",_xlpm.MyAuditVal,_xlpm.MacVal&lt;&gt;"",_xlpm.MacVal,_xlpm.CSVVal&lt;&gt;"",_xlpm.CSVVal
)),"")</f>
        <v/>
      </c>
      <c r="E588" s="40" t="str">
        <f>_xlfn.XLOOKUP(A588,My_Audit!A:A,My_Audit!D:D,"")</f>
        <v/>
      </c>
      <c r="F588" s="40" t="str" cm="1">
        <f t="array" ref="F588">IFERROR(_xlfn.LET(
_xlpm.CSVVal,_xlfn.XLOOKUP($A588,CSV!$A:$A,CSV!F:F,""),
_xlpm.MacVal,_xlfn.XLOOKUP($A588,Output_Mac!$A:$A,Output_Mac!E:E,""),
_xlpm.MyAuditVal,_xlfn.XLOOKUP($A588,My_Audit!$A:$A,My_Audit!E:E,""),
_xlfn.IFS(_xlpm.MyAuditVal&lt;&gt;"",_xlpm.MyAuditVal,_xlpm.MacVal&lt;&gt;"",_xlpm.MacVal,_xlpm.CSVVal&lt;&gt;"",_xlpm.CSVVal
)),"")</f>
        <v/>
      </c>
      <c r="G588" s="40" t="str" cm="1">
        <f t="array" ref="G588">IFERROR(_xlfn.LET(
_xlpm.CSVVal,_xlfn.XLOOKUP($A588,CSV!$A:$A,CSV!G:G,""),
_xlpm.MacVal,_xlfn.XLOOKUP($A588,Output_Mac!$A:$A,Output_Mac!F:F,""),
_xlpm.MyAuditVal,_xlfn.XLOOKUP($A588,My_Audit!$A:$A,My_Audit!F:F,""),
_xlfn.IFS(_xlpm.MyAuditVal&lt;&gt;"",_xlpm.MyAuditVal,_xlpm.MacVal&lt;&gt;"",_xlpm.MacVal,_xlpm.CSVVal&lt;&gt;"",PROPER(_xlpm.CSVVal)
)),"")</f>
        <v/>
      </c>
      <c r="H588" s="40" t="str" cm="1">
        <f t="array" ref="H588">IFERROR(_xlfn.LET(
_xlpm.CSVVal,_xlfn.XLOOKUP($A588,CSV!$A:$A,CSV!H:H,""),
_xlpm.MacVal,_xlfn.XLOOKUP($A588,Output_Mac!$A:$A,Output_Mac!H:H,""),
_xlpm.MyAuditVal,_xlfn.XLOOKUP($A588,My_Audit!$A:$A,My_Audit!G:G,""),
_xlfn.IFS(_xlpm.MyAuditVal&lt;&gt;"",_xlpm.MyAuditVal,_xlpm.MacVal&lt;&gt;"",_xlpm.MacVal,_xlpm.CSVVal&lt;&gt;"",_xlpm.CSVVal
)),"")</f>
        <v/>
      </c>
      <c r="I588" s="40" t="str">
        <f>_xlfn.XLOOKUP(A588,Output_Mac!A:A,Output_Mac!I:I,"")</f>
        <v/>
      </c>
      <c r="J588" s="40" t="str" cm="1">
        <f t="array" ref="J588">IFERROR(_xlfn.LET(
_xlpm.CSVVal,_xlfn.XLOOKUP($A588,CSV!$A:$A,CSV!I:I,""),
_xlpm.MacVal,_xlfn.XLOOKUP($A588,Output_Mac!$A:$A,Output_Mac!J:J,""),
_xlpm.MyAuditVal,_xlfn.XLOOKUP($A588,My_Audit!$A:$A,My_Audit!I:I,""),
_xlfn.IFS(_xlpm.MyAuditVal&lt;&gt;"",UPPER(_xlpm.MyAuditVal),_xlpm.MacVal&lt;&gt;"",_xlpm.MacVal,_xlpm.CSVVal&lt;&gt;"",_xlpm.CSVVal
)),"")</f>
        <v/>
      </c>
      <c r="K588" s="40" t="str" cm="1">
        <f t="array" ref="K588">IFERROR(_xlfn.LET(
_xlpm.CSVVal,_xlfn.XLOOKUP($A588,CSV!$A:$A,CSV!K:K,""),
_xlpm.MacVal,_xlfn.XLOOKUP($A588,Output_Mac!$A:$A,Output_Mac!K:K,""),
_xlpm.MyAuditVal,_xlfn.XLOOKUP($A588,My_Audit!$A:$A,My_Audit!J:J,""),
_xlfn.IFS(_xlpm.MyAuditVal&lt;&gt;"",UPPER(_xlpm.MyAuditVal),_xlpm.MacVal&lt;&gt;"",_xlpm.MacVal,_xlpm.CSVVal&lt;&gt;"",_xlpm.CSVVal
)),"")</f>
        <v/>
      </c>
      <c r="L588" s="40" t="str" cm="1">
        <f t="array" ref="L588">IFERROR(_xlfn.LET(
_xlpm.CSVVal,_xlfn.XLOOKUP($A588,CSV!$A:$A,CSV!P:P,""),
_xlpm.MacVal,_xlfn.XLOOKUP($A588,Output_Mac!$A:$A,Output_Mac!L:L,""),
_xlpm.MyAuditVal,_xlfn.XLOOKUP($A588,My_Audit!$A:$A,My_Audit!K:K,""),
_xlfn.IFS(_xlpm.MyAuditVal&lt;&gt;"",UPPER(_xlpm.MyAuditVal),_xlpm.MacVal&lt;&gt;"",_xlpm.MacVal,_xlpm.CSVVal&lt;&gt;"",_xlpm.CSVVal
)),"")</f>
        <v/>
      </c>
      <c r="M588" s="40" t="str" cm="1">
        <f t="array" ref="M588">IFERROR(_xlfn.LET(
_xlpm.CSVVal,_xlfn.XLOOKUP($A588,CSV!$A:$A,CSV!Q:Q,""),
_xlpm.MacVal,_xlfn.XLOOKUP($A588,Output_Mac!$A:$A,Output_Mac!M:M,""),
_xlpm.MyAuditVal,_xlfn.XLOOKUP($A588,My_Audit!$A:$A,My_Audit!L:L,""),
_xlfn.IFS(_xlpm.MyAuditVal&lt;&gt;"",UPPER(_xlpm.MyAuditVal),_xlpm.MacVal&lt;&gt;"",_xlpm.MacVal,_xlpm.CSVVal&lt;&gt;"",_xlpm.CSVVal
)),"")</f>
        <v/>
      </c>
      <c r="N588" s="40"/>
      <c r="O588" s="40" t="str">
        <f>_xlfn.LET(
    _xlpm.CSVVal, _xlfn.XLOOKUP($A588, CSV!$A:$A, CSV!AA:AA, ""),
    _xlpm.MacVal, _xlfn.XLOOKUP($A588, Output_Mac!$A:$A, Output_Mac!S:S, ""),
    _xlpm.MyAuditVal, _xlfn.XLOOKUP($A588, My_Audit!$A:$A, My_Audit!P:P, ""),
    _xlfn.TEXTJOIN(", ", TRUE, _xlpm.MyAuditVal, _xlpm.MacVal, _xlpm.CSVVal)
)</f>
        <v/>
      </c>
      <c r="P588" s="40" t="str" cm="1">
        <f t="array" ref="P588">IFERROR(_xlfn.LET(
_xlpm.CSVVal,_xlfn.XLOOKUP($A588,CSV!$A:$A,CSV!AB:AB,""),
_xlpm.MacVal,_xlfn.XLOOKUP($A588,Output_Mac!$A:$A,Output_Mac!T:T,""),
_xlpm.MyAuditVal,_xlfn.XLOOKUP($A588,My_Audit!$A:$A,My_Audit!Q:Q,""),
_xlfn.IFS(_xlpm.MyAuditVal&lt;&gt;"",UPPER(_xlpm.MyAuditVal),_xlpm.MacVal&lt;&gt;"",_xlpm.MacVal,_xlpm.CSVVal&lt;&gt;"",_xlpm.CSVVal
)),"No")</f>
        <v>No</v>
      </c>
      <c r="Q588" s="40" t="str" cm="1">
        <f t="array" ref="Q588">IFERROR(_xlfn.LET(
_xlpm.CSVVal,_xlfn.XLOOKUP($A588,CSV!$A:$A,CSV!AC:AC,""),
_xlpm.MacVal,_xlfn.XLOOKUP($A588,Output_Mac!$A:$A,Output_Mac!U:U,""),
_xlpm.MyAuditVal,_xlfn.XLOOKUP($A588,My_Audit!$A:$A,My_Audit!R:R,""),
_xlfn.IFS(_xlpm.MyAuditVal&lt;&gt;"",UPPER(_xlpm.MyAuditVal),_xlpm.MacVal&lt;&gt;"",_xlpm.MacVal,_xlpm.CSVVal&lt;&gt;"",_xlpm.CSVVal
)),"")</f>
        <v/>
      </c>
      <c r="R588" s="40"/>
      <c r="S588" s="40"/>
      <c r="T588" s="40"/>
      <c r="U588" s="40"/>
      <c r="V588" s="40"/>
      <c r="W588" s="40"/>
      <c r="X588" s="41" t="str">
        <f>_xlfn.LET(
    _xlpm.MacVal, _xlfn.XLOOKUP($A588, Output_Mac!$A:$A, Output_Mac!AB:AB, ""),
    _xlpm.MyAuditVal, _xlfn.XLOOKUP($A588, My_Audit!$A:$A, My_Audit!N:N, ""),
    _xlfn.TEXTJOIN(", ", TRUE, _xlpm.MyAuditVal, _xlpm.MacVal)
)</f>
        <v/>
      </c>
    </row>
    <row r="589" spans="1:24">
      <c r="A589" s="40" t="str">
        <f>_xlfn.TEXTJOIN("",TRUE,Input!$B$2,ROW(My_Audit!A588))</f>
        <v>X588</v>
      </c>
      <c r="B589" s="40" t="str">
        <f>_xlfn.TEXTJOIN("-",TRUE,"ITD",Input!$A$2,A589)</f>
        <v>ITD-X588</v>
      </c>
      <c r="C589" s="40" t="str" cm="1">
        <f t="array" ref="C589">IFERROR(_xlfn.LET(
_xlpm.CSVVal,_xlfn.XLOOKUP($A589,CSV!$A:$A,CSV!B:B,""),
_xlpm.MacVal,_xlfn.XLOOKUP($A589,Output_Mac!$A:$A,Output_Mac!B:B,""),
_xlpm.MyAuditVal,_xlfn.XLOOKUP($A589,My_Audit!$A:$A,My_Audit!B:B,""),
_xlfn.IFS(_xlpm.MyAuditVal&lt;&gt;"",UPPER(_xlpm.MyAuditVal),_xlpm.MacVal&lt;&gt;"",_xlpm.MacVal,_xlpm.CSVVal&lt;&gt;"",_xlpm.CSVVal
)),"")</f>
        <v/>
      </c>
      <c r="D589" s="40" t="str" cm="1">
        <f t="array" ref="D589">IFERROR(_xlfn.LET(
_xlpm.CSVVal,_xlfn.XLOOKUP($A589,CSV!$A:$A,CSV!D:D,""),
_xlpm.MacVal,_xlfn.XLOOKUP($A589,Output_Mac!$A:$A,Output_Mac!C:C,""),
_xlpm.MyAuditVal,_xlfn.XLOOKUP($A589,My_Audit!$A:$A,My_Audit!C:C,""),
_xlfn.IFS(_xlpm.MyAuditVal&lt;&gt;"",_xlpm.MyAuditVal,_xlpm.MacVal&lt;&gt;"",_xlpm.MacVal,_xlpm.CSVVal&lt;&gt;"",_xlpm.CSVVal
)),"")</f>
        <v/>
      </c>
      <c r="E589" s="40" t="str">
        <f>_xlfn.XLOOKUP(A589,My_Audit!A:A,My_Audit!D:D,"")</f>
        <v/>
      </c>
      <c r="F589" s="40" t="str" cm="1">
        <f t="array" ref="F589">IFERROR(_xlfn.LET(
_xlpm.CSVVal,_xlfn.XLOOKUP($A589,CSV!$A:$A,CSV!F:F,""),
_xlpm.MacVal,_xlfn.XLOOKUP($A589,Output_Mac!$A:$A,Output_Mac!E:E,""),
_xlpm.MyAuditVal,_xlfn.XLOOKUP($A589,My_Audit!$A:$A,My_Audit!E:E,""),
_xlfn.IFS(_xlpm.MyAuditVal&lt;&gt;"",_xlpm.MyAuditVal,_xlpm.MacVal&lt;&gt;"",_xlpm.MacVal,_xlpm.CSVVal&lt;&gt;"",_xlpm.CSVVal
)),"")</f>
        <v/>
      </c>
      <c r="G589" s="40" t="str" cm="1">
        <f t="array" ref="G589">IFERROR(_xlfn.LET(
_xlpm.CSVVal,_xlfn.XLOOKUP($A589,CSV!$A:$A,CSV!G:G,""),
_xlpm.MacVal,_xlfn.XLOOKUP($A589,Output_Mac!$A:$A,Output_Mac!F:F,""),
_xlpm.MyAuditVal,_xlfn.XLOOKUP($A589,My_Audit!$A:$A,My_Audit!F:F,""),
_xlfn.IFS(_xlpm.MyAuditVal&lt;&gt;"",_xlpm.MyAuditVal,_xlpm.MacVal&lt;&gt;"",_xlpm.MacVal,_xlpm.CSVVal&lt;&gt;"",PROPER(_xlpm.CSVVal)
)),"")</f>
        <v/>
      </c>
      <c r="H589" s="40" t="str" cm="1">
        <f t="array" ref="H589">IFERROR(_xlfn.LET(
_xlpm.CSVVal,_xlfn.XLOOKUP($A589,CSV!$A:$A,CSV!H:H,""),
_xlpm.MacVal,_xlfn.XLOOKUP($A589,Output_Mac!$A:$A,Output_Mac!H:H,""),
_xlpm.MyAuditVal,_xlfn.XLOOKUP($A589,My_Audit!$A:$A,My_Audit!G:G,""),
_xlfn.IFS(_xlpm.MyAuditVal&lt;&gt;"",_xlpm.MyAuditVal,_xlpm.MacVal&lt;&gt;"",_xlpm.MacVal,_xlpm.CSVVal&lt;&gt;"",_xlpm.CSVVal
)),"")</f>
        <v/>
      </c>
      <c r="I589" s="40" t="str">
        <f>_xlfn.XLOOKUP(A589,Output_Mac!A:A,Output_Mac!I:I,"")</f>
        <v/>
      </c>
      <c r="J589" s="40" t="str" cm="1">
        <f t="array" ref="J589">IFERROR(_xlfn.LET(
_xlpm.CSVVal,_xlfn.XLOOKUP($A589,CSV!$A:$A,CSV!I:I,""),
_xlpm.MacVal,_xlfn.XLOOKUP($A589,Output_Mac!$A:$A,Output_Mac!J:J,""),
_xlpm.MyAuditVal,_xlfn.XLOOKUP($A589,My_Audit!$A:$A,My_Audit!I:I,""),
_xlfn.IFS(_xlpm.MyAuditVal&lt;&gt;"",UPPER(_xlpm.MyAuditVal),_xlpm.MacVal&lt;&gt;"",_xlpm.MacVal,_xlpm.CSVVal&lt;&gt;"",_xlpm.CSVVal
)),"")</f>
        <v/>
      </c>
      <c r="K589" s="40" t="str" cm="1">
        <f t="array" ref="K589">IFERROR(_xlfn.LET(
_xlpm.CSVVal,_xlfn.XLOOKUP($A589,CSV!$A:$A,CSV!K:K,""),
_xlpm.MacVal,_xlfn.XLOOKUP($A589,Output_Mac!$A:$A,Output_Mac!K:K,""),
_xlpm.MyAuditVal,_xlfn.XLOOKUP($A589,My_Audit!$A:$A,My_Audit!J:J,""),
_xlfn.IFS(_xlpm.MyAuditVal&lt;&gt;"",UPPER(_xlpm.MyAuditVal),_xlpm.MacVal&lt;&gt;"",_xlpm.MacVal,_xlpm.CSVVal&lt;&gt;"",_xlpm.CSVVal
)),"")</f>
        <v/>
      </c>
      <c r="L589" s="40" t="str" cm="1">
        <f t="array" ref="L589">IFERROR(_xlfn.LET(
_xlpm.CSVVal,_xlfn.XLOOKUP($A589,CSV!$A:$A,CSV!P:P,""),
_xlpm.MacVal,_xlfn.XLOOKUP($A589,Output_Mac!$A:$A,Output_Mac!L:L,""),
_xlpm.MyAuditVal,_xlfn.XLOOKUP($A589,My_Audit!$A:$A,My_Audit!K:K,""),
_xlfn.IFS(_xlpm.MyAuditVal&lt;&gt;"",UPPER(_xlpm.MyAuditVal),_xlpm.MacVal&lt;&gt;"",_xlpm.MacVal,_xlpm.CSVVal&lt;&gt;"",_xlpm.CSVVal
)),"")</f>
        <v/>
      </c>
      <c r="M589" s="40" t="str" cm="1">
        <f t="array" ref="M589">IFERROR(_xlfn.LET(
_xlpm.CSVVal,_xlfn.XLOOKUP($A589,CSV!$A:$A,CSV!Q:Q,""),
_xlpm.MacVal,_xlfn.XLOOKUP($A589,Output_Mac!$A:$A,Output_Mac!M:M,""),
_xlpm.MyAuditVal,_xlfn.XLOOKUP($A589,My_Audit!$A:$A,My_Audit!L:L,""),
_xlfn.IFS(_xlpm.MyAuditVal&lt;&gt;"",UPPER(_xlpm.MyAuditVal),_xlpm.MacVal&lt;&gt;"",_xlpm.MacVal,_xlpm.CSVVal&lt;&gt;"",_xlpm.CSVVal
)),"")</f>
        <v/>
      </c>
      <c r="N589" s="40"/>
      <c r="O589" s="40" t="str">
        <f>_xlfn.LET(
    _xlpm.CSVVal, _xlfn.XLOOKUP($A589, CSV!$A:$A, CSV!AA:AA, ""),
    _xlpm.MacVal, _xlfn.XLOOKUP($A589, Output_Mac!$A:$A, Output_Mac!S:S, ""),
    _xlpm.MyAuditVal, _xlfn.XLOOKUP($A589, My_Audit!$A:$A, My_Audit!P:P, ""),
    _xlfn.TEXTJOIN(", ", TRUE, _xlpm.MyAuditVal, _xlpm.MacVal, _xlpm.CSVVal)
)</f>
        <v/>
      </c>
      <c r="P589" s="40" t="str" cm="1">
        <f t="array" ref="P589">IFERROR(_xlfn.LET(
_xlpm.CSVVal,_xlfn.XLOOKUP($A589,CSV!$A:$A,CSV!AB:AB,""),
_xlpm.MacVal,_xlfn.XLOOKUP($A589,Output_Mac!$A:$A,Output_Mac!T:T,""),
_xlpm.MyAuditVal,_xlfn.XLOOKUP($A589,My_Audit!$A:$A,My_Audit!Q:Q,""),
_xlfn.IFS(_xlpm.MyAuditVal&lt;&gt;"",UPPER(_xlpm.MyAuditVal),_xlpm.MacVal&lt;&gt;"",_xlpm.MacVal,_xlpm.CSVVal&lt;&gt;"",_xlpm.CSVVal
)),"No")</f>
        <v>No</v>
      </c>
      <c r="Q589" s="40" t="str" cm="1">
        <f t="array" ref="Q589">IFERROR(_xlfn.LET(
_xlpm.CSVVal,_xlfn.XLOOKUP($A589,CSV!$A:$A,CSV!AC:AC,""),
_xlpm.MacVal,_xlfn.XLOOKUP($A589,Output_Mac!$A:$A,Output_Mac!U:U,""),
_xlpm.MyAuditVal,_xlfn.XLOOKUP($A589,My_Audit!$A:$A,My_Audit!R:R,""),
_xlfn.IFS(_xlpm.MyAuditVal&lt;&gt;"",UPPER(_xlpm.MyAuditVal),_xlpm.MacVal&lt;&gt;"",_xlpm.MacVal,_xlpm.CSVVal&lt;&gt;"",_xlpm.CSVVal
)),"")</f>
        <v/>
      </c>
      <c r="R589" s="40"/>
      <c r="S589" s="40"/>
      <c r="T589" s="40"/>
      <c r="U589" s="40"/>
      <c r="V589" s="40"/>
      <c r="W589" s="40"/>
      <c r="X589" s="41" t="str">
        <f>_xlfn.LET(
    _xlpm.MacVal, _xlfn.XLOOKUP($A589, Output_Mac!$A:$A, Output_Mac!AB:AB, ""),
    _xlpm.MyAuditVal, _xlfn.XLOOKUP($A589, My_Audit!$A:$A, My_Audit!N:N, ""),
    _xlfn.TEXTJOIN(", ", TRUE, _xlpm.MyAuditVal, _xlpm.MacVal)
)</f>
        <v/>
      </c>
    </row>
    <row r="590" spans="1:24">
      <c r="A590" s="40" t="str">
        <f>_xlfn.TEXTJOIN("",TRUE,Input!$B$2,ROW(My_Audit!A589))</f>
        <v>X589</v>
      </c>
      <c r="B590" s="40" t="str">
        <f>_xlfn.TEXTJOIN("-",TRUE,"ITD",Input!$A$2,A590)</f>
        <v>ITD-X589</v>
      </c>
      <c r="C590" s="40" t="str" cm="1">
        <f t="array" ref="C590">IFERROR(_xlfn.LET(
_xlpm.CSVVal,_xlfn.XLOOKUP($A590,CSV!$A:$A,CSV!B:B,""),
_xlpm.MacVal,_xlfn.XLOOKUP($A590,Output_Mac!$A:$A,Output_Mac!B:B,""),
_xlpm.MyAuditVal,_xlfn.XLOOKUP($A590,My_Audit!$A:$A,My_Audit!B:B,""),
_xlfn.IFS(_xlpm.MyAuditVal&lt;&gt;"",UPPER(_xlpm.MyAuditVal),_xlpm.MacVal&lt;&gt;"",_xlpm.MacVal,_xlpm.CSVVal&lt;&gt;"",_xlpm.CSVVal
)),"")</f>
        <v/>
      </c>
      <c r="D590" s="40" t="str" cm="1">
        <f t="array" ref="D590">IFERROR(_xlfn.LET(
_xlpm.CSVVal,_xlfn.XLOOKUP($A590,CSV!$A:$A,CSV!D:D,""),
_xlpm.MacVal,_xlfn.XLOOKUP($A590,Output_Mac!$A:$A,Output_Mac!C:C,""),
_xlpm.MyAuditVal,_xlfn.XLOOKUP($A590,My_Audit!$A:$A,My_Audit!C:C,""),
_xlfn.IFS(_xlpm.MyAuditVal&lt;&gt;"",_xlpm.MyAuditVal,_xlpm.MacVal&lt;&gt;"",_xlpm.MacVal,_xlpm.CSVVal&lt;&gt;"",_xlpm.CSVVal
)),"")</f>
        <v/>
      </c>
      <c r="E590" s="40" t="str">
        <f>_xlfn.XLOOKUP(A590,My_Audit!A:A,My_Audit!D:D,"")</f>
        <v/>
      </c>
      <c r="F590" s="40" t="str" cm="1">
        <f t="array" ref="F590">IFERROR(_xlfn.LET(
_xlpm.CSVVal,_xlfn.XLOOKUP($A590,CSV!$A:$A,CSV!F:F,""),
_xlpm.MacVal,_xlfn.XLOOKUP($A590,Output_Mac!$A:$A,Output_Mac!E:E,""),
_xlpm.MyAuditVal,_xlfn.XLOOKUP($A590,My_Audit!$A:$A,My_Audit!E:E,""),
_xlfn.IFS(_xlpm.MyAuditVal&lt;&gt;"",_xlpm.MyAuditVal,_xlpm.MacVal&lt;&gt;"",_xlpm.MacVal,_xlpm.CSVVal&lt;&gt;"",_xlpm.CSVVal
)),"")</f>
        <v/>
      </c>
      <c r="G590" s="40" t="str" cm="1">
        <f t="array" ref="G590">IFERROR(_xlfn.LET(
_xlpm.CSVVal,_xlfn.XLOOKUP($A590,CSV!$A:$A,CSV!G:G,""),
_xlpm.MacVal,_xlfn.XLOOKUP($A590,Output_Mac!$A:$A,Output_Mac!F:F,""),
_xlpm.MyAuditVal,_xlfn.XLOOKUP($A590,My_Audit!$A:$A,My_Audit!F:F,""),
_xlfn.IFS(_xlpm.MyAuditVal&lt;&gt;"",_xlpm.MyAuditVal,_xlpm.MacVal&lt;&gt;"",_xlpm.MacVal,_xlpm.CSVVal&lt;&gt;"",PROPER(_xlpm.CSVVal)
)),"")</f>
        <v/>
      </c>
      <c r="H590" s="40" t="str" cm="1">
        <f t="array" ref="H590">IFERROR(_xlfn.LET(
_xlpm.CSVVal,_xlfn.XLOOKUP($A590,CSV!$A:$A,CSV!H:H,""),
_xlpm.MacVal,_xlfn.XLOOKUP($A590,Output_Mac!$A:$A,Output_Mac!H:H,""),
_xlpm.MyAuditVal,_xlfn.XLOOKUP($A590,My_Audit!$A:$A,My_Audit!G:G,""),
_xlfn.IFS(_xlpm.MyAuditVal&lt;&gt;"",_xlpm.MyAuditVal,_xlpm.MacVal&lt;&gt;"",_xlpm.MacVal,_xlpm.CSVVal&lt;&gt;"",_xlpm.CSVVal
)),"")</f>
        <v/>
      </c>
      <c r="I590" s="40" t="str">
        <f>_xlfn.XLOOKUP(A590,Output_Mac!A:A,Output_Mac!I:I,"")</f>
        <v/>
      </c>
      <c r="J590" s="40" t="str" cm="1">
        <f t="array" ref="J590">IFERROR(_xlfn.LET(
_xlpm.CSVVal,_xlfn.XLOOKUP($A590,CSV!$A:$A,CSV!I:I,""),
_xlpm.MacVal,_xlfn.XLOOKUP($A590,Output_Mac!$A:$A,Output_Mac!J:J,""),
_xlpm.MyAuditVal,_xlfn.XLOOKUP($A590,My_Audit!$A:$A,My_Audit!I:I,""),
_xlfn.IFS(_xlpm.MyAuditVal&lt;&gt;"",UPPER(_xlpm.MyAuditVal),_xlpm.MacVal&lt;&gt;"",_xlpm.MacVal,_xlpm.CSVVal&lt;&gt;"",_xlpm.CSVVal
)),"")</f>
        <v/>
      </c>
      <c r="K590" s="40" t="str" cm="1">
        <f t="array" ref="K590">IFERROR(_xlfn.LET(
_xlpm.CSVVal,_xlfn.XLOOKUP($A590,CSV!$A:$A,CSV!K:K,""),
_xlpm.MacVal,_xlfn.XLOOKUP($A590,Output_Mac!$A:$A,Output_Mac!K:K,""),
_xlpm.MyAuditVal,_xlfn.XLOOKUP($A590,My_Audit!$A:$A,My_Audit!J:J,""),
_xlfn.IFS(_xlpm.MyAuditVal&lt;&gt;"",UPPER(_xlpm.MyAuditVal),_xlpm.MacVal&lt;&gt;"",_xlpm.MacVal,_xlpm.CSVVal&lt;&gt;"",_xlpm.CSVVal
)),"")</f>
        <v/>
      </c>
      <c r="L590" s="40" t="str" cm="1">
        <f t="array" ref="L590">IFERROR(_xlfn.LET(
_xlpm.CSVVal,_xlfn.XLOOKUP($A590,CSV!$A:$A,CSV!P:P,""),
_xlpm.MacVal,_xlfn.XLOOKUP($A590,Output_Mac!$A:$A,Output_Mac!L:L,""),
_xlpm.MyAuditVal,_xlfn.XLOOKUP($A590,My_Audit!$A:$A,My_Audit!K:K,""),
_xlfn.IFS(_xlpm.MyAuditVal&lt;&gt;"",UPPER(_xlpm.MyAuditVal),_xlpm.MacVal&lt;&gt;"",_xlpm.MacVal,_xlpm.CSVVal&lt;&gt;"",_xlpm.CSVVal
)),"")</f>
        <v/>
      </c>
      <c r="M590" s="40" t="str" cm="1">
        <f t="array" ref="M590">IFERROR(_xlfn.LET(
_xlpm.CSVVal,_xlfn.XLOOKUP($A590,CSV!$A:$A,CSV!Q:Q,""),
_xlpm.MacVal,_xlfn.XLOOKUP($A590,Output_Mac!$A:$A,Output_Mac!M:M,""),
_xlpm.MyAuditVal,_xlfn.XLOOKUP($A590,My_Audit!$A:$A,My_Audit!L:L,""),
_xlfn.IFS(_xlpm.MyAuditVal&lt;&gt;"",UPPER(_xlpm.MyAuditVal),_xlpm.MacVal&lt;&gt;"",_xlpm.MacVal,_xlpm.CSVVal&lt;&gt;"",_xlpm.CSVVal
)),"")</f>
        <v/>
      </c>
      <c r="N590" s="40"/>
      <c r="O590" s="40" t="str">
        <f>_xlfn.LET(
    _xlpm.CSVVal, _xlfn.XLOOKUP($A590, CSV!$A:$A, CSV!AA:AA, ""),
    _xlpm.MacVal, _xlfn.XLOOKUP($A590, Output_Mac!$A:$A, Output_Mac!S:S, ""),
    _xlpm.MyAuditVal, _xlfn.XLOOKUP($A590, My_Audit!$A:$A, My_Audit!P:P, ""),
    _xlfn.TEXTJOIN(", ", TRUE, _xlpm.MyAuditVal, _xlpm.MacVal, _xlpm.CSVVal)
)</f>
        <v/>
      </c>
      <c r="P590" s="40" t="str" cm="1">
        <f t="array" ref="P590">IFERROR(_xlfn.LET(
_xlpm.CSVVal,_xlfn.XLOOKUP($A590,CSV!$A:$A,CSV!AB:AB,""),
_xlpm.MacVal,_xlfn.XLOOKUP($A590,Output_Mac!$A:$A,Output_Mac!T:T,""),
_xlpm.MyAuditVal,_xlfn.XLOOKUP($A590,My_Audit!$A:$A,My_Audit!Q:Q,""),
_xlfn.IFS(_xlpm.MyAuditVal&lt;&gt;"",UPPER(_xlpm.MyAuditVal),_xlpm.MacVal&lt;&gt;"",_xlpm.MacVal,_xlpm.CSVVal&lt;&gt;"",_xlpm.CSVVal
)),"No")</f>
        <v>No</v>
      </c>
      <c r="Q590" s="40" t="str" cm="1">
        <f t="array" ref="Q590">IFERROR(_xlfn.LET(
_xlpm.CSVVal,_xlfn.XLOOKUP($A590,CSV!$A:$A,CSV!AC:AC,""),
_xlpm.MacVal,_xlfn.XLOOKUP($A590,Output_Mac!$A:$A,Output_Mac!U:U,""),
_xlpm.MyAuditVal,_xlfn.XLOOKUP($A590,My_Audit!$A:$A,My_Audit!R:R,""),
_xlfn.IFS(_xlpm.MyAuditVal&lt;&gt;"",UPPER(_xlpm.MyAuditVal),_xlpm.MacVal&lt;&gt;"",_xlpm.MacVal,_xlpm.CSVVal&lt;&gt;"",_xlpm.CSVVal
)),"")</f>
        <v/>
      </c>
      <c r="R590" s="40"/>
      <c r="S590" s="40"/>
      <c r="T590" s="40"/>
      <c r="U590" s="40"/>
      <c r="V590" s="40"/>
      <c r="W590" s="40"/>
      <c r="X590" s="41" t="str">
        <f>_xlfn.LET(
    _xlpm.MacVal, _xlfn.XLOOKUP($A590, Output_Mac!$A:$A, Output_Mac!AB:AB, ""),
    _xlpm.MyAuditVal, _xlfn.XLOOKUP($A590, My_Audit!$A:$A, My_Audit!N:N, ""),
    _xlfn.TEXTJOIN(", ", TRUE, _xlpm.MyAuditVal, _xlpm.MacVal)
)</f>
        <v/>
      </c>
    </row>
    <row r="591" spans="1:24">
      <c r="A591" s="40" t="str">
        <f>_xlfn.TEXTJOIN("",TRUE,Input!$B$2,ROW(My_Audit!A590))</f>
        <v>X590</v>
      </c>
      <c r="B591" s="40" t="str">
        <f>_xlfn.TEXTJOIN("-",TRUE,"ITD",Input!$A$2,A591)</f>
        <v>ITD-X590</v>
      </c>
      <c r="C591" s="40" t="str" cm="1">
        <f t="array" ref="C591">IFERROR(_xlfn.LET(
_xlpm.CSVVal,_xlfn.XLOOKUP($A591,CSV!$A:$A,CSV!B:B,""),
_xlpm.MacVal,_xlfn.XLOOKUP($A591,Output_Mac!$A:$A,Output_Mac!B:B,""),
_xlpm.MyAuditVal,_xlfn.XLOOKUP($A591,My_Audit!$A:$A,My_Audit!B:B,""),
_xlfn.IFS(_xlpm.MyAuditVal&lt;&gt;"",UPPER(_xlpm.MyAuditVal),_xlpm.MacVal&lt;&gt;"",_xlpm.MacVal,_xlpm.CSVVal&lt;&gt;"",_xlpm.CSVVal
)),"")</f>
        <v/>
      </c>
      <c r="D591" s="40" t="str" cm="1">
        <f t="array" ref="D591">IFERROR(_xlfn.LET(
_xlpm.CSVVal,_xlfn.XLOOKUP($A591,CSV!$A:$A,CSV!D:D,""),
_xlpm.MacVal,_xlfn.XLOOKUP($A591,Output_Mac!$A:$A,Output_Mac!C:C,""),
_xlpm.MyAuditVal,_xlfn.XLOOKUP($A591,My_Audit!$A:$A,My_Audit!C:C,""),
_xlfn.IFS(_xlpm.MyAuditVal&lt;&gt;"",_xlpm.MyAuditVal,_xlpm.MacVal&lt;&gt;"",_xlpm.MacVal,_xlpm.CSVVal&lt;&gt;"",_xlpm.CSVVal
)),"")</f>
        <v/>
      </c>
      <c r="E591" s="40" t="str">
        <f>_xlfn.XLOOKUP(A591,My_Audit!A:A,My_Audit!D:D,"")</f>
        <v/>
      </c>
      <c r="F591" s="40" t="str" cm="1">
        <f t="array" ref="F591">IFERROR(_xlfn.LET(
_xlpm.CSVVal,_xlfn.XLOOKUP($A591,CSV!$A:$A,CSV!F:F,""),
_xlpm.MacVal,_xlfn.XLOOKUP($A591,Output_Mac!$A:$A,Output_Mac!E:E,""),
_xlpm.MyAuditVal,_xlfn.XLOOKUP($A591,My_Audit!$A:$A,My_Audit!E:E,""),
_xlfn.IFS(_xlpm.MyAuditVal&lt;&gt;"",_xlpm.MyAuditVal,_xlpm.MacVal&lt;&gt;"",_xlpm.MacVal,_xlpm.CSVVal&lt;&gt;"",_xlpm.CSVVal
)),"")</f>
        <v/>
      </c>
      <c r="G591" s="40" t="str" cm="1">
        <f t="array" ref="G591">IFERROR(_xlfn.LET(
_xlpm.CSVVal,_xlfn.XLOOKUP($A591,CSV!$A:$A,CSV!G:G,""),
_xlpm.MacVal,_xlfn.XLOOKUP($A591,Output_Mac!$A:$A,Output_Mac!F:F,""),
_xlpm.MyAuditVal,_xlfn.XLOOKUP($A591,My_Audit!$A:$A,My_Audit!F:F,""),
_xlfn.IFS(_xlpm.MyAuditVal&lt;&gt;"",_xlpm.MyAuditVal,_xlpm.MacVal&lt;&gt;"",_xlpm.MacVal,_xlpm.CSVVal&lt;&gt;"",PROPER(_xlpm.CSVVal)
)),"")</f>
        <v/>
      </c>
      <c r="H591" s="40" t="str" cm="1">
        <f t="array" ref="H591">IFERROR(_xlfn.LET(
_xlpm.CSVVal,_xlfn.XLOOKUP($A591,CSV!$A:$A,CSV!H:H,""),
_xlpm.MacVal,_xlfn.XLOOKUP($A591,Output_Mac!$A:$A,Output_Mac!H:H,""),
_xlpm.MyAuditVal,_xlfn.XLOOKUP($A591,My_Audit!$A:$A,My_Audit!G:G,""),
_xlfn.IFS(_xlpm.MyAuditVal&lt;&gt;"",_xlpm.MyAuditVal,_xlpm.MacVal&lt;&gt;"",_xlpm.MacVal,_xlpm.CSVVal&lt;&gt;"",_xlpm.CSVVal
)),"")</f>
        <v/>
      </c>
      <c r="I591" s="40" t="str">
        <f>_xlfn.XLOOKUP(A591,Output_Mac!A:A,Output_Mac!I:I,"")</f>
        <v/>
      </c>
      <c r="J591" s="40" t="str" cm="1">
        <f t="array" ref="J591">IFERROR(_xlfn.LET(
_xlpm.CSVVal,_xlfn.XLOOKUP($A591,CSV!$A:$A,CSV!I:I,""),
_xlpm.MacVal,_xlfn.XLOOKUP($A591,Output_Mac!$A:$A,Output_Mac!J:J,""),
_xlpm.MyAuditVal,_xlfn.XLOOKUP($A591,My_Audit!$A:$A,My_Audit!I:I,""),
_xlfn.IFS(_xlpm.MyAuditVal&lt;&gt;"",UPPER(_xlpm.MyAuditVal),_xlpm.MacVal&lt;&gt;"",_xlpm.MacVal,_xlpm.CSVVal&lt;&gt;"",_xlpm.CSVVal
)),"")</f>
        <v/>
      </c>
      <c r="K591" s="40" t="str" cm="1">
        <f t="array" ref="K591">IFERROR(_xlfn.LET(
_xlpm.CSVVal,_xlfn.XLOOKUP($A591,CSV!$A:$A,CSV!K:K,""),
_xlpm.MacVal,_xlfn.XLOOKUP($A591,Output_Mac!$A:$A,Output_Mac!K:K,""),
_xlpm.MyAuditVal,_xlfn.XLOOKUP($A591,My_Audit!$A:$A,My_Audit!J:J,""),
_xlfn.IFS(_xlpm.MyAuditVal&lt;&gt;"",UPPER(_xlpm.MyAuditVal),_xlpm.MacVal&lt;&gt;"",_xlpm.MacVal,_xlpm.CSVVal&lt;&gt;"",_xlpm.CSVVal
)),"")</f>
        <v/>
      </c>
      <c r="L591" s="40" t="str" cm="1">
        <f t="array" ref="L591">IFERROR(_xlfn.LET(
_xlpm.CSVVal,_xlfn.XLOOKUP($A591,CSV!$A:$A,CSV!P:P,""),
_xlpm.MacVal,_xlfn.XLOOKUP($A591,Output_Mac!$A:$A,Output_Mac!L:L,""),
_xlpm.MyAuditVal,_xlfn.XLOOKUP($A591,My_Audit!$A:$A,My_Audit!K:K,""),
_xlfn.IFS(_xlpm.MyAuditVal&lt;&gt;"",UPPER(_xlpm.MyAuditVal),_xlpm.MacVal&lt;&gt;"",_xlpm.MacVal,_xlpm.CSVVal&lt;&gt;"",_xlpm.CSVVal
)),"")</f>
        <v/>
      </c>
      <c r="M591" s="40" t="str" cm="1">
        <f t="array" ref="M591">IFERROR(_xlfn.LET(
_xlpm.CSVVal,_xlfn.XLOOKUP($A591,CSV!$A:$A,CSV!Q:Q,""),
_xlpm.MacVal,_xlfn.XLOOKUP($A591,Output_Mac!$A:$A,Output_Mac!M:M,""),
_xlpm.MyAuditVal,_xlfn.XLOOKUP($A591,My_Audit!$A:$A,My_Audit!L:L,""),
_xlfn.IFS(_xlpm.MyAuditVal&lt;&gt;"",UPPER(_xlpm.MyAuditVal),_xlpm.MacVal&lt;&gt;"",_xlpm.MacVal,_xlpm.CSVVal&lt;&gt;"",_xlpm.CSVVal
)),"")</f>
        <v/>
      </c>
      <c r="N591" s="40"/>
      <c r="O591" s="40" t="str">
        <f>_xlfn.LET(
    _xlpm.CSVVal, _xlfn.XLOOKUP($A591, CSV!$A:$A, CSV!AA:AA, ""),
    _xlpm.MacVal, _xlfn.XLOOKUP($A591, Output_Mac!$A:$A, Output_Mac!S:S, ""),
    _xlpm.MyAuditVal, _xlfn.XLOOKUP($A591, My_Audit!$A:$A, My_Audit!P:P, ""),
    _xlfn.TEXTJOIN(", ", TRUE, _xlpm.MyAuditVal, _xlpm.MacVal, _xlpm.CSVVal)
)</f>
        <v/>
      </c>
      <c r="P591" s="40" t="str" cm="1">
        <f t="array" ref="P591">IFERROR(_xlfn.LET(
_xlpm.CSVVal,_xlfn.XLOOKUP($A591,CSV!$A:$A,CSV!AB:AB,""),
_xlpm.MacVal,_xlfn.XLOOKUP($A591,Output_Mac!$A:$A,Output_Mac!T:T,""),
_xlpm.MyAuditVal,_xlfn.XLOOKUP($A591,My_Audit!$A:$A,My_Audit!Q:Q,""),
_xlfn.IFS(_xlpm.MyAuditVal&lt;&gt;"",UPPER(_xlpm.MyAuditVal),_xlpm.MacVal&lt;&gt;"",_xlpm.MacVal,_xlpm.CSVVal&lt;&gt;"",_xlpm.CSVVal
)),"No")</f>
        <v>No</v>
      </c>
      <c r="Q591" s="40" t="str" cm="1">
        <f t="array" ref="Q591">IFERROR(_xlfn.LET(
_xlpm.CSVVal,_xlfn.XLOOKUP($A591,CSV!$A:$A,CSV!AC:AC,""),
_xlpm.MacVal,_xlfn.XLOOKUP($A591,Output_Mac!$A:$A,Output_Mac!U:U,""),
_xlpm.MyAuditVal,_xlfn.XLOOKUP($A591,My_Audit!$A:$A,My_Audit!R:R,""),
_xlfn.IFS(_xlpm.MyAuditVal&lt;&gt;"",UPPER(_xlpm.MyAuditVal),_xlpm.MacVal&lt;&gt;"",_xlpm.MacVal,_xlpm.CSVVal&lt;&gt;"",_xlpm.CSVVal
)),"")</f>
        <v/>
      </c>
      <c r="R591" s="40"/>
      <c r="S591" s="40"/>
      <c r="T591" s="40"/>
      <c r="U591" s="40"/>
      <c r="V591" s="40"/>
      <c r="W591" s="40"/>
      <c r="X591" s="41" t="str">
        <f>_xlfn.LET(
    _xlpm.MacVal, _xlfn.XLOOKUP($A591, Output_Mac!$A:$A, Output_Mac!AB:AB, ""),
    _xlpm.MyAuditVal, _xlfn.XLOOKUP($A591, My_Audit!$A:$A, My_Audit!N:N, ""),
    _xlfn.TEXTJOIN(", ", TRUE, _xlpm.MyAuditVal, _xlpm.MacVal)
)</f>
        <v/>
      </c>
    </row>
    <row r="592" spans="1:24">
      <c r="A592" s="40" t="str">
        <f>_xlfn.TEXTJOIN("",TRUE,Input!$B$2,ROW(My_Audit!A591))</f>
        <v>X591</v>
      </c>
      <c r="B592" s="40" t="str">
        <f>_xlfn.TEXTJOIN("-",TRUE,"ITD",Input!$A$2,A592)</f>
        <v>ITD-X591</v>
      </c>
      <c r="C592" s="40" t="str" cm="1">
        <f t="array" ref="C592">IFERROR(_xlfn.LET(
_xlpm.CSVVal,_xlfn.XLOOKUP($A592,CSV!$A:$A,CSV!B:B,""),
_xlpm.MacVal,_xlfn.XLOOKUP($A592,Output_Mac!$A:$A,Output_Mac!B:B,""),
_xlpm.MyAuditVal,_xlfn.XLOOKUP($A592,My_Audit!$A:$A,My_Audit!B:B,""),
_xlfn.IFS(_xlpm.MyAuditVal&lt;&gt;"",UPPER(_xlpm.MyAuditVal),_xlpm.MacVal&lt;&gt;"",_xlpm.MacVal,_xlpm.CSVVal&lt;&gt;"",_xlpm.CSVVal
)),"")</f>
        <v/>
      </c>
      <c r="D592" s="40" t="str" cm="1">
        <f t="array" ref="D592">IFERROR(_xlfn.LET(
_xlpm.CSVVal,_xlfn.XLOOKUP($A592,CSV!$A:$A,CSV!D:D,""),
_xlpm.MacVal,_xlfn.XLOOKUP($A592,Output_Mac!$A:$A,Output_Mac!C:C,""),
_xlpm.MyAuditVal,_xlfn.XLOOKUP($A592,My_Audit!$A:$A,My_Audit!C:C,""),
_xlfn.IFS(_xlpm.MyAuditVal&lt;&gt;"",_xlpm.MyAuditVal,_xlpm.MacVal&lt;&gt;"",_xlpm.MacVal,_xlpm.CSVVal&lt;&gt;"",_xlpm.CSVVal
)),"")</f>
        <v/>
      </c>
      <c r="E592" s="40" t="str">
        <f>_xlfn.XLOOKUP(A592,My_Audit!A:A,My_Audit!D:D,"")</f>
        <v/>
      </c>
      <c r="F592" s="40" t="str" cm="1">
        <f t="array" ref="F592">IFERROR(_xlfn.LET(
_xlpm.CSVVal,_xlfn.XLOOKUP($A592,CSV!$A:$A,CSV!F:F,""),
_xlpm.MacVal,_xlfn.XLOOKUP($A592,Output_Mac!$A:$A,Output_Mac!E:E,""),
_xlpm.MyAuditVal,_xlfn.XLOOKUP($A592,My_Audit!$A:$A,My_Audit!E:E,""),
_xlfn.IFS(_xlpm.MyAuditVal&lt;&gt;"",_xlpm.MyAuditVal,_xlpm.MacVal&lt;&gt;"",_xlpm.MacVal,_xlpm.CSVVal&lt;&gt;"",_xlpm.CSVVal
)),"")</f>
        <v/>
      </c>
      <c r="G592" s="40" t="str" cm="1">
        <f t="array" ref="G592">IFERROR(_xlfn.LET(
_xlpm.CSVVal,_xlfn.XLOOKUP($A592,CSV!$A:$A,CSV!G:G,""),
_xlpm.MacVal,_xlfn.XLOOKUP($A592,Output_Mac!$A:$A,Output_Mac!F:F,""),
_xlpm.MyAuditVal,_xlfn.XLOOKUP($A592,My_Audit!$A:$A,My_Audit!F:F,""),
_xlfn.IFS(_xlpm.MyAuditVal&lt;&gt;"",_xlpm.MyAuditVal,_xlpm.MacVal&lt;&gt;"",_xlpm.MacVal,_xlpm.CSVVal&lt;&gt;"",PROPER(_xlpm.CSVVal)
)),"")</f>
        <v/>
      </c>
      <c r="H592" s="40" t="str" cm="1">
        <f t="array" ref="H592">IFERROR(_xlfn.LET(
_xlpm.CSVVal,_xlfn.XLOOKUP($A592,CSV!$A:$A,CSV!H:H,""),
_xlpm.MacVal,_xlfn.XLOOKUP($A592,Output_Mac!$A:$A,Output_Mac!H:H,""),
_xlpm.MyAuditVal,_xlfn.XLOOKUP($A592,My_Audit!$A:$A,My_Audit!G:G,""),
_xlfn.IFS(_xlpm.MyAuditVal&lt;&gt;"",_xlpm.MyAuditVal,_xlpm.MacVal&lt;&gt;"",_xlpm.MacVal,_xlpm.CSVVal&lt;&gt;"",_xlpm.CSVVal
)),"")</f>
        <v/>
      </c>
      <c r="I592" s="40" t="str">
        <f>_xlfn.XLOOKUP(A592,Output_Mac!A:A,Output_Mac!I:I,"")</f>
        <v/>
      </c>
      <c r="J592" s="40" t="str" cm="1">
        <f t="array" ref="J592">IFERROR(_xlfn.LET(
_xlpm.CSVVal,_xlfn.XLOOKUP($A592,CSV!$A:$A,CSV!I:I,""),
_xlpm.MacVal,_xlfn.XLOOKUP($A592,Output_Mac!$A:$A,Output_Mac!J:J,""),
_xlpm.MyAuditVal,_xlfn.XLOOKUP($A592,My_Audit!$A:$A,My_Audit!I:I,""),
_xlfn.IFS(_xlpm.MyAuditVal&lt;&gt;"",UPPER(_xlpm.MyAuditVal),_xlpm.MacVal&lt;&gt;"",_xlpm.MacVal,_xlpm.CSVVal&lt;&gt;"",_xlpm.CSVVal
)),"")</f>
        <v/>
      </c>
      <c r="K592" s="40" t="str" cm="1">
        <f t="array" ref="K592">IFERROR(_xlfn.LET(
_xlpm.CSVVal,_xlfn.XLOOKUP($A592,CSV!$A:$A,CSV!K:K,""),
_xlpm.MacVal,_xlfn.XLOOKUP($A592,Output_Mac!$A:$A,Output_Mac!K:K,""),
_xlpm.MyAuditVal,_xlfn.XLOOKUP($A592,My_Audit!$A:$A,My_Audit!J:J,""),
_xlfn.IFS(_xlpm.MyAuditVal&lt;&gt;"",UPPER(_xlpm.MyAuditVal),_xlpm.MacVal&lt;&gt;"",_xlpm.MacVal,_xlpm.CSVVal&lt;&gt;"",_xlpm.CSVVal
)),"")</f>
        <v/>
      </c>
      <c r="L592" s="40" t="str" cm="1">
        <f t="array" ref="L592">IFERROR(_xlfn.LET(
_xlpm.CSVVal,_xlfn.XLOOKUP($A592,CSV!$A:$A,CSV!P:P,""),
_xlpm.MacVal,_xlfn.XLOOKUP($A592,Output_Mac!$A:$A,Output_Mac!L:L,""),
_xlpm.MyAuditVal,_xlfn.XLOOKUP($A592,My_Audit!$A:$A,My_Audit!K:K,""),
_xlfn.IFS(_xlpm.MyAuditVal&lt;&gt;"",UPPER(_xlpm.MyAuditVal),_xlpm.MacVal&lt;&gt;"",_xlpm.MacVal,_xlpm.CSVVal&lt;&gt;"",_xlpm.CSVVal
)),"")</f>
        <v/>
      </c>
      <c r="M592" s="40" t="str" cm="1">
        <f t="array" ref="M592">IFERROR(_xlfn.LET(
_xlpm.CSVVal,_xlfn.XLOOKUP($A592,CSV!$A:$A,CSV!Q:Q,""),
_xlpm.MacVal,_xlfn.XLOOKUP($A592,Output_Mac!$A:$A,Output_Mac!M:M,""),
_xlpm.MyAuditVal,_xlfn.XLOOKUP($A592,My_Audit!$A:$A,My_Audit!L:L,""),
_xlfn.IFS(_xlpm.MyAuditVal&lt;&gt;"",UPPER(_xlpm.MyAuditVal),_xlpm.MacVal&lt;&gt;"",_xlpm.MacVal,_xlpm.CSVVal&lt;&gt;"",_xlpm.CSVVal
)),"")</f>
        <v/>
      </c>
      <c r="N592" s="40"/>
      <c r="O592" s="40" t="str">
        <f>_xlfn.LET(
    _xlpm.CSVVal, _xlfn.XLOOKUP($A592, CSV!$A:$A, CSV!AA:AA, ""),
    _xlpm.MacVal, _xlfn.XLOOKUP($A592, Output_Mac!$A:$A, Output_Mac!S:S, ""),
    _xlpm.MyAuditVal, _xlfn.XLOOKUP($A592, My_Audit!$A:$A, My_Audit!P:P, ""),
    _xlfn.TEXTJOIN(", ", TRUE, _xlpm.MyAuditVal, _xlpm.MacVal, _xlpm.CSVVal)
)</f>
        <v/>
      </c>
      <c r="P592" s="40" t="str" cm="1">
        <f t="array" ref="P592">IFERROR(_xlfn.LET(
_xlpm.CSVVal,_xlfn.XLOOKUP($A592,CSV!$A:$A,CSV!AB:AB,""),
_xlpm.MacVal,_xlfn.XLOOKUP($A592,Output_Mac!$A:$A,Output_Mac!T:T,""),
_xlpm.MyAuditVal,_xlfn.XLOOKUP($A592,My_Audit!$A:$A,My_Audit!Q:Q,""),
_xlfn.IFS(_xlpm.MyAuditVal&lt;&gt;"",UPPER(_xlpm.MyAuditVal),_xlpm.MacVal&lt;&gt;"",_xlpm.MacVal,_xlpm.CSVVal&lt;&gt;"",_xlpm.CSVVal
)),"No")</f>
        <v>No</v>
      </c>
      <c r="Q592" s="40" t="str" cm="1">
        <f t="array" ref="Q592">IFERROR(_xlfn.LET(
_xlpm.CSVVal,_xlfn.XLOOKUP($A592,CSV!$A:$A,CSV!AC:AC,""),
_xlpm.MacVal,_xlfn.XLOOKUP($A592,Output_Mac!$A:$A,Output_Mac!U:U,""),
_xlpm.MyAuditVal,_xlfn.XLOOKUP($A592,My_Audit!$A:$A,My_Audit!R:R,""),
_xlfn.IFS(_xlpm.MyAuditVal&lt;&gt;"",UPPER(_xlpm.MyAuditVal),_xlpm.MacVal&lt;&gt;"",_xlpm.MacVal,_xlpm.CSVVal&lt;&gt;"",_xlpm.CSVVal
)),"")</f>
        <v/>
      </c>
      <c r="R592" s="40"/>
      <c r="S592" s="40"/>
      <c r="T592" s="40"/>
      <c r="U592" s="40"/>
      <c r="V592" s="40"/>
      <c r="W592" s="40"/>
      <c r="X592" s="41" t="str">
        <f>_xlfn.LET(
    _xlpm.MacVal, _xlfn.XLOOKUP($A592, Output_Mac!$A:$A, Output_Mac!AB:AB, ""),
    _xlpm.MyAuditVal, _xlfn.XLOOKUP($A592, My_Audit!$A:$A, My_Audit!N:N, ""),
    _xlfn.TEXTJOIN(", ", TRUE, _xlpm.MyAuditVal, _xlpm.MacVal)
)</f>
        <v/>
      </c>
    </row>
    <row r="593" spans="1:24">
      <c r="A593" s="40" t="str">
        <f>_xlfn.TEXTJOIN("",TRUE,Input!$B$2,ROW(My_Audit!A592))</f>
        <v>X592</v>
      </c>
      <c r="B593" s="40" t="str">
        <f>_xlfn.TEXTJOIN("-",TRUE,"ITD",Input!$A$2,A593)</f>
        <v>ITD-X592</v>
      </c>
      <c r="C593" s="40" t="str" cm="1">
        <f t="array" ref="C593">IFERROR(_xlfn.LET(
_xlpm.CSVVal,_xlfn.XLOOKUP($A593,CSV!$A:$A,CSV!B:B,""),
_xlpm.MacVal,_xlfn.XLOOKUP($A593,Output_Mac!$A:$A,Output_Mac!B:B,""),
_xlpm.MyAuditVal,_xlfn.XLOOKUP($A593,My_Audit!$A:$A,My_Audit!B:B,""),
_xlfn.IFS(_xlpm.MyAuditVal&lt;&gt;"",UPPER(_xlpm.MyAuditVal),_xlpm.MacVal&lt;&gt;"",_xlpm.MacVal,_xlpm.CSVVal&lt;&gt;"",_xlpm.CSVVal
)),"")</f>
        <v/>
      </c>
      <c r="D593" s="40" t="str" cm="1">
        <f t="array" ref="D593">IFERROR(_xlfn.LET(
_xlpm.CSVVal,_xlfn.XLOOKUP($A593,CSV!$A:$A,CSV!D:D,""),
_xlpm.MacVal,_xlfn.XLOOKUP($A593,Output_Mac!$A:$A,Output_Mac!C:C,""),
_xlpm.MyAuditVal,_xlfn.XLOOKUP($A593,My_Audit!$A:$A,My_Audit!C:C,""),
_xlfn.IFS(_xlpm.MyAuditVal&lt;&gt;"",_xlpm.MyAuditVal,_xlpm.MacVal&lt;&gt;"",_xlpm.MacVal,_xlpm.CSVVal&lt;&gt;"",_xlpm.CSVVal
)),"")</f>
        <v/>
      </c>
      <c r="E593" s="40" t="str">
        <f>_xlfn.XLOOKUP(A593,My_Audit!A:A,My_Audit!D:D,"")</f>
        <v/>
      </c>
      <c r="F593" s="40" t="str" cm="1">
        <f t="array" ref="F593">IFERROR(_xlfn.LET(
_xlpm.CSVVal,_xlfn.XLOOKUP($A593,CSV!$A:$A,CSV!F:F,""),
_xlpm.MacVal,_xlfn.XLOOKUP($A593,Output_Mac!$A:$A,Output_Mac!E:E,""),
_xlpm.MyAuditVal,_xlfn.XLOOKUP($A593,My_Audit!$A:$A,My_Audit!E:E,""),
_xlfn.IFS(_xlpm.MyAuditVal&lt;&gt;"",_xlpm.MyAuditVal,_xlpm.MacVal&lt;&gt;"",_xlpm.MacVal,_xlpm.CSVVal&lt;&gt;"",_xlpm.CSVVal
)),"")</f>
        <v/>
      </c>
      <c r="G593" s="40" t="str" cm="1">
        <f t="array" ref="G593">IFERROR(_xlfn.LET(
_xlpm.CSVVal,_xlfn.XLOOKUP($A593,CSV!$A:$A,CSV!G:G,""),
_xlpm.MacVal,_xlfn.XLOOKUP($A593,Output_Mac!$A:$A,Output_Mac!F:F,""),
_xlpm.MyAuditVal,_xlfn.XLOOKUP($A593,My_Audit!$A:$A,My_Audit!F:F,""),
_xlfn.IFS(_xlpm.MyAuditVal&lt;&gt;"",_xlpm.MyAuditVal,_xlpm.MacVal&lt;&gt;"",_xlpm.MacVal,_xlpm.CSVVal&lt;&gt;"",PROPER(_xlpm.CSVVal)
)),"")</f>
        <v/>
      </c>
      <c r="H593" s="40" t="str" cm="1">
        <f t="array" ref="H593">IFERROR(_xlfn.LET(
_xlpm.CSVVal,_xlfn.XLOOKUP($A593,CSV!$A:$A,CSV!H:H,""),
_xlpm.MacVal,_xlfn.XLOOKUP($A593,Output_Mac!$A:$A,Output_Mac!H:H,""),
_xlpm.MyAuditVal,_xlfn.XLOOKUP($A593,My_Audit!$A:$A,My_Audit!G:G,""),
_xlfn.IFS(_xlpm.MyAuditVal&lt;&gt;"",_xlpm.MyAuditVal,_xlpm.MacVal&lt;&gt;"",_xlpm.MacVal,_xlpm.CSVVal&lt;&gt;"",_xlpm.CSVVal
)),"")</f>
        <v/>
      </c>
      <c r="I593" s="40" t="str">
        <f>_xlfn.XLOOKUP(A593,Output_Mac!A:A,Output_Mac!I:I,"")</f>
        <v/>
      </c>
      <c r="J593" s="40" t="str" cm="1">
        <f t="array" ref="J593">IFERROR(_xlfn.LET(
_xlpm.CSVVal,_xlfn.XLOOKUP($A593,CSV!$A:$A,CSV!I:I,""),
_xlpm.MacVal,_xlfn.XLOOKUP($A593,Output_Mac!$A:$A,Output_Mac!J:J,""),
_xlpm.MyAuditVal,_xlfn.XLOOKUP($A593,My_Audit!$A:$A,My_Audit!I:I,""),
_xlfn.IFS(_xlpm.MyAuditVal&lt;&gt;"",UPPER(_xlpm.MyAuditVal),_xlpm.MacVal&lt;&gt;"",_xlpm.MacVal,_xlpm.CSVVal&lt;&gt;"",_xlpm.CSVVal
)),"")</f>
        <v/>
      </c>
      <c r="K593" s="40" t="str" cm="1">
        <f t="array" ref="K593">IFERROR(_xlfn.LET(
_xlpm.CSVVal,_xlfn.XLOOKUP($A593,CSV!$A:$A,CSV!K:K,""),
_xlpm.MacVal,_xlfn.XLOOKUP($A593,Output_Mac!$A:$A,Output_Mac!K:K,""),
_xlpm.MyAuditVal,_xlfn.XLOOKUP($A593,My_Audit!$A:$A,My_Audit!J:J,""),
_xlfn.IFS(_xlpm.MyAuditVal&lt;&gt;"",UPPER(_xlpm.MyAuditVal),_xlpm.MacVal&lt;&gt;"",_xlpm.MacVal,_xlpm.CSVVal&lt;&gt;"",_xlpm.CSVVal
)),"")</f>
        <v/>
      </c>
      <c r="L593" s="40" t="str" cm="1">
        <f t="array" ref="L593">IFERROR(_xlfn.LET(
_xlpm.CSVVal,_xlfn.XLOOKUP($A593,CSV!$A:$A,CSV!P:P,""),
_xlpm.MacVal,_xlfn.XLOOKUP($A593,Output_Mac!$A:$A,Output_Mac!L:L,""),
_xlpm.MyAuditVal,_xlfn.XLOOKUP($A593,My_Audit!$A:$A,My_Audit!K:K,""),
_xlfn.IFS(_xlpm.MyAuditVal&lt;&gt;"",UPPER(_xlpm.MyAuditVal),_xlpm.MacVal&lt;&gt;"",_xlpm.MacVal,_xlpm.CSVVal&lt;&gt;"",_xlpm.CSVVal
)),"")</f>
        <v/>
      </c>
      <c r="M593" s="40" t="str" cm="1">
        <f t="array" ref="M593">IFERROR(_xlfn.LET(
_xlpm.CSVVal,_xlfn.XLOOKUP($A593,CSV!$A:$A,CSV!Q:Q,""),
_xlpm.MacVal,_xlfn.XLOOKUP($A593,Output_Mac!$A:$A,Output_Mac!M:M,""),
_xlpm.MyAuditVal,_xlfn.XLOOKUP($A593,My_Audit!$A:$A,My_Audit!L:L,""),
_xlfn.IFS(_xlpm.MyAuditVal&lt;&gt;"",UPPER(_xlpm.MyAuditVal),_xlpm.MacVal&lt;&gt;"",_xlpm.MacVal,_xlpm.CSVVal&lt;&gt;"",_xlpm.CSVVal
)),"")</f>
        <v/>
      </c>
      <c r="N593" s="40"/>
      <c r="O593" s="40" t="str">
        <f>_xlfn.LET(
    _xlpm.CSVVal, _xlfn.XLOOKUP($A593, CSV!$A:$A, CSV!AA:AA, ""),
    _xlpm.MacVal, _xlfn.XLOOKUP($A593, Output_Mac!$A:$A, Output_Mac!S:S, ""),
    _xlpm.MyAuditVal, _xlfn.XLOOKUP($A593, My_Audit!$A:$A, My_Audit!P:P, ""),
    _xlfn.TEXTJOIN(", ", TRUE, _xlpm.MyAuditVal, _xlpm.MacVal, _xlpm.CSVVal)
)</f>
        <v/>
      </c>
      <c r="P593" s="40" t="str" cm="1">
        <f t="array" ref="P593">IFERROR(_xlfn.LET(
_xlpm.CSVVal,_xlfn.XLOOKUP($A593,CSV!$A:$A,CSV!AB:AB,""),
_xlpm.MacVal,_xlfn.XLOOKUP($A593,Output_Mac!$A:$A,Output_Mac!T:T,""),
_xlpm.MyAuditVal,_xlfn.XLOOKUP($A593,My_Audit!$A:$A,My_Audit!Q:Q,""),
_xlfn.IFS(_xlpm.MyAuditVal&lt;&gt;"",UPPER(_xlpm.MyAuditVal),_xlpm.MacVal&lt;&gt;"",_xlpm.MacVal,_xlpm.CSVVal&lt;&gt;"",_xlpm.CSVVal
)),"No")</f>
        <v>No</v>
      </c>
      <c r="Q593" s="40" t="str" cm="1">
        <f t="array" ref="Q593">IFERROR(_xlfn.LET(
_xlpm.CSVVal,_xlfn.XLOOKUP($A593,CSV!$A:$A,CSV!AC:AC,""),
_xlpm.MacVal,_xlfn.XLOOKUP($A593,Output_Mac!$A:$A,Output_Mac!U:U,""),
_xlpm.MyAuditVal,_xlfn.XLOOKUP($A593,My_Audit!$A:$A,My_Audit!R:R,""),
_xlfn.IFS(_xlpm.MyAuditVal&lt;&gt;"",UPPER(_xlpm.MyAuditVal),_xlpm.MacVal&lt;&gt;"",_xlpm.MacVal,_xlpm.CSVVal&lt;&gt;"",_xlpm.CSVVal
)),"")</f>
        <v/>
      </c>
      <c r="R593" s="40"/>
      <c r="S593" s="40"/>
      <c r="T593" s="40"/>
      <c r="U593" s="40"/>
      <c r="V593" s="40"/>
      <c r="W593" s="40"/>
      <c r="X593" s="41" t="str">
        <f>_xlfn.LET(
    _xlpm.MacVal, _xlfn.XLOOKUP($A593, Output_Mac!$A:$A, Output_Mac!AB:AB, ""),
    _xlpm.MyAuditVal, _xlfn.XLOOKUP($A593, My_Audit!$A:$A, My_Audit!N:N, ""),
    _xlfn.TEXTJOIN(", ", TRUE, _xlpm.MyAuditVal, _xlpm.MacVal)
)</f>
        <v/>
      </c>
    </row>
    <row r="594" spans="1:24">
      <c r="A594" s="40" t="str">
        <f>_xlfn.TEXTJOIN("",TRUE,Input!$B$2,ROW(My_Audit!A593))</f>
        <v>X593</v>
      </c>
      <c r="B594" s="40" t="str">
        <f>_xlfn.TEXTJOIN("-",TRUE,"ITD",Input!$A$2,A594)</f>
        <v>ITD-X593</v>
      </c>
      <c r="C594" s="40" t="str" cm="1">
        <f t="array" ref="C594">IFERROR(_xlfn.LET(
_xlpm.CSVVal,_xlfn.XLOOKUP($A594,CSV!$A:$A,CSV!B:B,""),
_xlpm.MacVal,_xlfn.XLOOKUP($A594,Output_Mac!$A:$A,Output_Mac!B:B,""),
_xlpm.MyAuditVal,_xlfn.XLOOKUP($A594,My_Audit!$A:$A,My_Audit!B:B,""),
_xlfn.IFS(_xlpm.MyAuditVal&lt;&gt;"",UPPER(_xlpm.MyAuditVal),_xlpm.MacVal&lt;&gt;"",_xlpm.MacVal,_xlpm.CSVVal&lt;&gt;"",_xlpm.CSVVal
)),"")</f>
        <v/>
      </c>
      <c r="D594" s="40" t="str" cm="1">
        <f t="array" ref="D594">IFERROR(_xlfn.LET(
_xlpm.CSVVal,_xlfn.XLOOKUP($A594,CSV!$A:$A,CSV!D:D,""),
_xlpm.MacVal,_xlfn.XLOOKUP($A594,Output_Mac!$A:$A,Output_Mac!C:C,""),
_xlpm.MyAuditVal,_xlfn.XLOOKUP($A594,My_Audit!$A:$A,My_Audit!C:C,""),
_xlfn.IFS(_xlpm.MyAuditVal&lt;&gt;"",_xlpm.MyAuditVal,_xlpm.MacVal&lt;&gt;"",_xlpm.MacVal,_xlpm.CSVVal&lt;&gt;"",_xlpm.CSVVal
)),"")</f>
        <v/>
      </c>
      <c r="E594" s="40" t="str">
        <f>_xlfn.XLOOKUP(A594,My_Audit!A:A,My_Audit!D:D,"")</f>
        <v/>
      </c>
      <c r="F594" s="40" t="str" cm="1">
        <f t="array" ref="F594">IFERROR(_xlfn.LET(
_xlpm.CSVVal,_xlfn.XLOOKUP($A594,CSV!$A:$A,CSV!F:F,""),
_xlpm.MacVal,_xlfn.XLOOKUP($A594,Output_Mac!$A:$A,Output_Mac!E:E,""),
_xlpm.MyAuditVal,_xlfn.XLOOKUP($A594,My_Audit!$A:$A,My_Audit!E:E,""),
_xlfn.IFS(_xlpm.MyAuditVal&lt;&gt;"",_xlpm.MyAuditVal,_xlpm.MacVal&lt;&gt;"",_xlpm.MacVal,_xlpm.CSVVal&lt;&gt;"",_xlpm.CSVVal
)),"")</f>
        <v/>
      </c>
      <c r="G594" s="40" t="str" cm="1">
        <f t="array" ref="G594">IFERROR(_xlfn.LET(
_xlpm.CSVVal,_xlfn.XLOOKUP($A594,CSV!$A:$A,CSV!G:G,""),
_xlpm.MacVal,_xlfn.XLOOKUP($A594,Output_Mac!$A:$A,Output_Mac!F:F,""),
_xlpm.MyAuditVal,_xlfn.XLOOKUP($A594,My_Audit!$A:$A,My_Audit!F:F,""),
_xlfn.IFS(_xlpm.MyAuditVal&lt;&gt;"",_xlpm.MyAuditVal,_xlpm.MacVal&lt;&gt;"",_xlpm.MacVal,_xlpm.CSVVal&lt;&gt;"",PROPER(_xlpm.CSVVal)
)),"")</f>
        <v/>
      </c>
      <c r="H594" s="40" t="str" cm="1">
        <f t="array" ref="H594">IFERROR(_xlfn.LET(
_xlpm.CSVVal,_xlfn.XLOOKUP($A594,CSV!$A:$A,CSV!H:H,""),
_xlpm.MacVal,_xlfn.XLOOKUP($A594,Output_Mac!$A:$A,Output_Mac!H:H,""),
_xlpm.MyAuditVal,_xlfn.XLOOKUP($A594,My_Audit!$A:$A,My_Audit!G:G,""),
_xlfn.IFS(_xlpm.MyAuditVal&lt;&gt;"",_xlpm.MyAuditVal,_xlpm.MacVal&lt;&gt;"",_xlpm.MacVal,_xlpm.CSVVal&lt;&gt;"",_xlpm.CSVVal
)),"")</f>
        <v/>
      </c>
      <c r="I594" s="40" t="str">
        <f>_xlfn.XLOOKUP(A594,Output_Mac!A:A,Output_Mac!I:I,"")</f>
        <v/>
      </c>
      <c r="J594" s="40" t="str" cm="1">
        <f t="array" ref="J594">IFERROR(_xlfn.LET(
_xlpm.CSVVal,_xlfn.XLOOKUP($A594,CSV!$A:$A,CSV!I:I,""),
_xlpm.MacVal,_xlfn.XLOOKUP($A594,Output_Mac!$A:$A,Output_Mac!J:J,""),
_xlpm.MyAuditVal,_xlfn.XLOOKUP($A594,My_Audit!$A:$A,My_Audit!I:I,""),
_xlfn.IFS(_xlpm.MyAuditVal&lt;&gt;"",UPPER(_xlpm.MyAuditVal),_xlpm.MacVal&lt;&gt;"",_xlpm.MacVal,_xlpm.CSVVal&lt;&gt;"",_xlpm.CSVVal
)),"")</f>
        <v/>
      </c>
      <c r="K594" s="40" t="str" cm="1">
        <f t="array" ref="K594">IFERROR(_xlfn.LET(
_xlpm.CSVVal,_xlfn.XLOOKUP($A594,CSV!$A:$A,CSV!K:K,""),
_xlpm.MacVal,_xlfn.XLOOKUP($A594,Output_Mac!$A:$A,Output_Mac!K:K,""),
_xlpm.MyAuditVal,_xlfn.XLOOKUP($A594,My_Audit!$A:$A,My_Audit!J:J,""),
_xlfn.IFS(_xlpm.MyAuditVal&lt;&gt;"",UPPER(_xlpm.MyAuditVal),_xlpm.MacVal&lt;&gt;"",_xlpm.MacVal,_xlpm.CSVVal&lt;&gt;"",_xlpm.CSVVal
)),"")</f>
        <v/>
      </c>
      <c r="L594" s="40" t="str" cm="1">
        <f t="array" ref="L594">IFERROR(_xlfn.LET(
_xlpm.CSVVal,_xlfn.XLOOKUP($A594,CSV!$A:$A,CSV!P:P,""),
_xlpm.MacVal,_xlfn.XLOOKUP($A594,Output_Mac!$A:$A,Output_Mac!L:L,""),
_xlpm.MyAuditVal,_xlfn.XLOOKUP($A594,My_Audit!$A:$A,My_Audit!K:K,""),
_xlfn.IFS(_xlpm.MyAuditVal&lt;&gt;"",UPPER(_xlpm.MyAuditVal),_xlpm.MacVal&lt;&gt;"",_xlpm.MacVal,_xlpm.CSVVal&lt;&gt;"",_xlpm.CSVVal
)),"")</f>
        <v/>
      </c>
      <c r="M594" s="40" t="str" cm="1">
        <f t="array" ref="M594">IFERROR(_xlfn.LET(
_xlpm.CSVVal,_xlfn.XLOOKUP($A594,CSV!$A:$A,CSV!Q:Q,""),
_xlpm.MacVal,_xlfn.XLOOKUP($A594,Output_Mac!$A:$A,Output_Mac!M:M,""),
_xlpm.MyAuditVal,_xlfn.XLOOKUP($A594,My_Audit!$A:$A,My_Audit!L:L,""),
_xlfn.IFS(_xlpm.MyAuditVal&lt;&gt;"",UPPER(_xlpm.MyAuditVal),_xlpm.MacVal&lt;&gt;"",_xlpm.MacVal,_xlpm.CSVVal&lt;&gt;"",_xlpm.CSVVal
)),"")</f>
        <v/>
      </c>
      <c r="N594" s="40"/>
      <c r="O594" s="40" t="str">
        <f>_xlfn.LET(
    _xlpm.CSVVal, _xlfn.XLOOKUP($A594, CSV!$A:$A, CSV!AA:AA, ""),
    _xlpm.MacVal, _xlfn.XLOOKUP($A594, Output_Mac!$A:$A, Output_Mac!S:S, ""),
    _xlpm.MyAuditVal, _xlfn.XLOOKUP($A594, My_Audit!$A:$A, My_Audit!P:P, ""),
    _xlfn.TEXTJOIN(", ", TRUE, _xlpm.MyAuditVal, _xlpm.MacVal, _xlpm.CSVVal)
)</f>
        <v/>
      </c>
      <c r="P594" s="40" t="str" cm="1">
        <f t="array" ref="P594">IFERROR(_xlfn.LET(
_xlpm.CSVVal,_xlfn.XLOOKUP($A594,CSV!$A:$A,CSV!AB:AB,""),
_xlpm.MacVal,_xlfn.XLOOKUP($A594,Output_Mac!$A:$A,Output_Mac!T:T,""),
_xlpm.MyAuditVal,_xlfn.XLOOKUP($A594,My_Audit!$A:$A,My_Audit!Q:Q,""),
_xlfn.IFS(_xlpm.MyAuditVal&lt;&gt;"",UPPER(_xlpm.MyAuditVal),_xlpm.MacVal&lt;&gt;"",_xlpm.MacVal,_xlpm.CSVVal&lt;&gt;"",_xlpm.CSVVal
)),"No")</f>
        <v>No</v>
      </c>
      <c r="Q594" s="40" t="str" cm="1">
        <f t="array" ref="Q594">IFERROR(_xlfn.LET(
_xlpm.CSVVal,_xlfn.XLOOKUP($A594,CSV!$A:$A,CSV!AC:AC,""),
_xlpm.MacVal,_xlfn.XLOOKUP($A594,Output_Mac!$A:$A,Output_Mac!U:U,""),
_xlpm.MyAuditVal,_xlfn.XLOOKUP($A594,My_Audit!$A:$A,My_Audit!R:R,""),
_xlfn.IFS(_xlpm.MyAuditVal&lt;&gt;"",UPPER(_xlpm.MyAuditVal),_xlpm.MacVal&lt;&gt;"",_xlpm.MacVal,_xlpm.CSVVal&lt;&gt;"",_xlpm.CSVVal
)),"")</f>
        <v/>
      </c>
      <c r="R594" s="40"/>
      <c r="S594" s="40"/>
      <c r="T594" s="40"/>
      <c r="U594" s="40"/>
      <c r="V594" s="40"/>
      <c r="W594" s="40"/>
      <c r="X594" s="41" t="str">
        <f>_xlfn.LET(
    _xlpm.MacVal, _xlfn.XLOOKUP($A594, Output_Mac!$A:$A, Output_Mac!AB:AB, ""),
    _xlpm.MyAuditVal, _xlfn.XLOOKUP($A594, My_Audit!$A:$A, My_Audit!N:N, ""),
    _xlfn.TEXTJOIN(", ", TRUE, _xlpm.MyAuditVal, _xlpm.MacVal)
)</f>
        <v/>
      </c>
    </row>
    <row r="595" spans="1:24">
      <c r="A595" s="40" t="str">
        <f>_xlfn.TEXTJOIN("",TRUE,Input!$B$2,ROW(My_Audit!A594))</f>
        <v>X594</v>
      </c>
      <c r="B595" s="40" t="str">
        <f>_xlfn.TEXTJOIN("-",TRUE,"ITD",Input!$A$2,A595)</f>
        <v>ITD-X594</v>
      </c>
      <c r="C595" s="40" t="str" cm="1">
        <f t="array" ref="C595">IFERROR(_xlfn.LET(
_xlpm.CSVVal,_xlfn.XLOOKUP($A595,CSV!$A:$A,CSV!B:B,""),
_xlpm.MacVal,_xlfn.XLOOKUP($A595,Output_Mac!$A:$A,Output_Mac!B:B,""),
_xlpm.MyAuditVal,_xlfn.XLOOKUP($A595,My_Audit!$A:$A,My_Audit!B:B,""),
_xlfn.IFS(_xlpm.MyAuditVal&lt;&gt;"",UPPER(_xlpm.MyAuditVal),_xlpm.MacVal&lt;&gt;"",_xlpm.MacVal,_xlpm.CSVVal&lt;&gt;"",_xlpm.CSVVal
)),"")</f>
        <v/>
      </c>
      <c r="D595" s="40" t="str" cm="1">
        <f t="array" ref="D595">IFERROR(_xlfn.LET(
_xlpm.CSVVal,_xlfn.XLOOKUP($A595,CSV!$A:$A,CSV!D:D,""),
_xlpm.MacVal,_xlfn.XLOOKUP($A595,Output_Mac!$A:$A,Output_Mac!C:C,""),
_xlpm.MyAuditVal,_xlfn.XLOOKUP($A595,My_Audit!$A:$A,My_Audit!C:C,""),
_xlfn.IFS(_xlpm.MyAuditVal&lt;&gt;"",_xlpm.MyAuditVal,_xlpm.MacVal&lt;&gt;"",_xlpm.MacVal,_xlpm.CSVVal&lt;&gt;"",_xlpm.CSVVal
)),"")</f>
        <v/>
      </c>
      <c r="E595" s="40" t="str">
        <f>_xlfn.XLOOKUP(A595,My_Audit!A:A,My_Audit!D:D,"")</f>
        <v/>
      </c>
      <c r="F595" s="40" t="str" cm="1">
        <f t="array" ref="F595">IFERROR(_xlfn.LET(
_xlpm.CSVVal,_xlfn.XLOOKUP($A595,CSV!$A:$A,CSV!F:F,""),
_xlpm.MacVal,_xlfn.XLOOKUP($A595,Output_Mac!$A:$A,Output_Mac!E:E,""),
_xlpm.MyAuditVal,_xlfn.XLOOKUP($A595,My_Audit!$A:$A,My_Audit!E:E,""),
_xlfn.IFS(_xlpm.MyAuditVal&lt;&gt;"",_xlpm.MyAuditVal,_xlpm.MacVal&lt;&gt;"",_xlpm.MacVal,_xlpm.CSVVal&lt;&gt;"",_xlpm.CSVVal
)),"")</f>
        <v/>
      </c>
      <c r="G595" s="40" t="str" cm="1">
        <f t="array" ref="G595">IFERROR(_xlfn.LET(
_xlpm.CSVVal,_xlfn.XLOOKUP($A595,CSV!$A:$A,CSV!G:G,""),
_xlpm.MacVal,_xlfn.XLOOKUP($A595,Output_Mac!$A:$A,Output_Mac!F:F,""),
_xlpm.MyAuditVal,_xlfn.XLOOKUP($A595,My_Audit!$A:$A,My_Audit!F:F,""),
_xlfn.IFS(_xlpm.MyAuditVal&lt;&gt;"",_xlpm.MyAuditVal,_xlpm.MacVal&lt;&gt;"",_xlpm.MacVal,_xlpm.CSVVal&lt;&gt;"",PROPER(_xlpm.CSVVal)
)),"")</f>
        <v/>
      </c>
      <c r="H595" s="40" t="str" cm="1">
        <f t="array" ref="H595">IFERROR(_xlfn.LET(
_xlpm.CSVVal,_xlfn.XLOOKUP($A595,CSV!$A:$A,CSV!H:H,""),
_xlpm.MacVal,_xlfn.XLOOKUP($A595,Output_Mac!$A:$A,Output_Mac!H:H,""),
_xlpm.MyAuditVal,_xlfn.XLOOKUP($A595,My_Audit!$A:$A,My_Audit!G:G,""),
_xlfn.IFS(_xlpm.MyAuditVal&lt;&gt;"",_xlpm.MyAuditVal,_xlpm.MacVal&lt;&gt;"",_xlpm.MacVal,_xlpm.CSVVal&lt;&gt;"",_xlpm.CSVVal
)),"")</f>
        <v/>
      </c>
      <c r="I595" s="40" t="str">
        <f>_xlfn.XLOOKUP(A595,Output_Mac!A:A,Output_Mac!I:I,"")</f>
        <v/>
      </c>
      <c r="J595" s="40" t="str" cm="1">
        <f t="array" ref="J595">IFERROR(_xlfn.LET(
_xlpm.CSVVal,_xlfn.XLOOKUP($A595,CSV!$A:$A,CSV!I:I,""),
_xlpm.MacVal,_xlfn.XLOOKUP($A595,Output_Mac!$A:$A,Output_Mac!J:J,""),
_xlpm.MyAuditVal,_xlfn.XLOOKUP($A595,My_Audit!$A:$A,My_Audit!I:I,""),
_xlfn.IFS(_xlpm.MyAuditVal&lt;&gt;"",UPPER(_xlpm.MyAuditVal),_xlpm.MacVal&lt;&gt;"",_xlpm.MacVal,_xlpm.CSVVal&lt;&gt;"",_xlpm.CSVVal
)),"")</f>
        <v/>
      </c>
      <c r="K595" s="40" t="str" cm="1">
        <f t="array" ref="K595">IFERROR(_xlfn.LET(
_xlpm.CSVVal,_xlfn.XLOOKUP($A595,CSV!$A:$A,CSV!K:K,""),
_xlpm.MacVal,_xlfn.XLOOKUP($A595,Output_Mac!$A:$A,Output_Mac!K:K,""),
_xlpm.MyAuditVal,_xlfn.XLOOKUP($A595,My_Audit!$A:$A,My_Audit!J:J,""),
_xlfn.IFS(_xlpm.MyAuditVal&lt;&gt;"",UPPER(_xlpm.MyAuditVal),_xlpm.MacVal&lt;&gt;"",_xlpm.MacVal,_xlpm.CSVVal&lt;&gt;"",_xlpm.CSVVal
)),"")</f>
        <v/>
      </c>
      <c r="L595" s="40" t="str" cm="1">
        <f t="array" ref="L595">IFERROR(_xlfn.LET(
_xlpm.CSVVal,_xlfn.XLOOKUP($A595,CSV!$A:$A,CSV!P:P,""),
_xlpm.MacVal,_xlfn.XLOOKUP($A595,Output_Mac!$A:$A,Output_Mac!L:L,""),
_xlpm.MyAuditVal,_xlfn.XLOOKUP($A595,My_Audit!$A:$A,My_Audit!K:K,""),
_xlfn.IFS(_xlpm.MyAuditVal&lt;&gt;"",UPPER(_xlpm.MyAuditVal),_xlpm.MacVal&lt;&gt;"",_xlpm.MacVal,_xlpm.CSVVal&lt;&gt;"",_xlpm.CSVVal
)),"")</f>
        <v/>
      </c>
      <c r="M595" s="40" t="str" cm="1">
        <f t="array" ref="M595">IFERROR(_xlfn.LET(
_xlpm.CSVVal,_xlfn.XLOOKUP($A595,CSV!$A:$A,CSV!Q:Q,""),
_xlpm.MacVal,_xlfn.XLOOKUP($A595,Output_Mac!$A:$A,Output_Mac!M:M,""),
_xlpm.MyAuditVal,_xlfn.XLOOKUP($A595,My_Audit!$A:$A,My_Audit!L:L,""),
_xlfn.IFS(_xlpm.MyAuditVal&lt;&gt;"",UPPER(_xlpm.MyAuditVal),_xlpm.MacVal&lt;&gt;"",_xlpm.MacVal,_xlpm.CSVVal&lt;&gt;"",_xlpm.CSVVal
)),"")</f>
        <v/>
      </c>
      <c r="N595" s="40"/>
      <c r="O595" s="40" t="str">
        <f>_xlfn.LET(
    _xlpm.CSVVal, _xlfn.XLOOKUP($A595, CSV!$A:$A, CSV!AA:AA, ""),
    _xlpm.MacVal, _xlfn.XLOOKUP($A595, Output_Mac!$A:$A, Output_Mac!S:S, ""),
    _xlpm.MyAuditVal, _xlfn.XLOOKUP($A595, My_Audit!$A:$A, My_Audit!P:P, ""),
    _xlfn.TEXTJOIN(", ", TRUE, _xlpm.MyAuditVal, _xlpm.MacVal, _xlpm.CSVVal)
)</f>
        <v/>
      </c>
      <c r="P595" s="40" t="str" cm="1">
        <f t="array" ref="P595">IFERROR(_xlfn.LET(
_xlpm.CSVVal,_xlfn.XLOOKUP($A595,CSV!$A:$A,CSV!AB:AB,""),
_xlpm.MacVal,_xlfn.XLOOKUP($A595,Output_Mac!$A:$A,Output_Mac!T:T,""),
_xlpm.MyAuditVal,_xlfn.XLOOKUP($A595,My_Audit!$A:$A,My_Audit!Q:Q,""),
_xlfn.IFS(_xlpm.MyAuditVal&lt;&gt;"",UPPER(_xlpm.MyAuditVal),_xlpm.MacVal&lt;&gt;"",_xlpm.MacVal,_xlpm.CSVVal&lt;&gt;"",_xlpm.CSVVal
)),"No")</f>
        <v>No</v>
      </c>
      <c r="Q595" s="40" t="str" cm="1">
        <f t="array" ref="Q595">IFERROR(_xlfn.LET(
_xlpm.CSVVal,_xlfn.XLOOKUP($A595,CSV!$A:$A,CSV!AC:AC,""),
_xlpm.MacVal,_xlfn.XLOOKUP($A595,Output_Mac!$A:$A,Output_Mac!U:U,""),
_xlpm.MyAuditVal,_xlfn.XLOOKUP($A595,My_Audit!$A:$A,My_Audit!R:R,""),
_xlfn.IFS(_xlpm.MyAuditVal&lt;&gt;"",UPPER(_xlpm.MyAuditVal),_xlpm.MacVal&lt;&gt;"",_xlpm.MacVal,_xlpm.CSVVal&lt;&gt;"",_xlpm.CSVVal
)),"")</f>
        <v/>
      </c>
      <c r="R595" s="40"/>
      <c r="S595" s="40"/>
      <c r="T595" s="40"/>
      <c r="U595" s="40"/>
      <c r="V595" s="40"/>
      <c r="W595" s="40"/>
      <c r="X595" s="41" t="str">
        <f>_xlfn.LET(
    _xlpm.MacVal, _xlfn.XLOOKUP($A595, Output_Mac!$A:$A, Output_Mac!AB:AB, ""),
    _xlpm.MyAuditVal, _xlfn.XLOOKUP($A595, My_Audit!$A:$A, My_Audit!N:N, ""),
    _xlfn.TEXTJOIN(", ", TRUE, _xlpm.MyAuditVal, _xlpm.MacVal)
)</f>
        <v/>
      </c>
    </row>
    <row r="596" spans="1:24">
      <c r="A596" s="40" t="str">
        <f>_xlfn.TEXTJOIN("",TRUE,Input!$B$2,ROW(My_Audit!A595))</f>
        <v>X595</v>
      </c>
      <c r="B596" s="40" t="str">
        <f>_xlfn.TEXTJOIN("-",TRUE,"ITD",Input!$A$2,A596)</f>
        <v>ITD-X595</v>
      </c>
      <c r="C596" s="40" t="str" cm="1">
        <f t="array" ref="C596">IFERROR(_xlfn.LET(
_xlpm.CSVVal,_xlfn.XLOOKUP($A596,CSV!$A:$A,CSV!B:B,""),
_xlpm.MacVal,_xlfn.XLOOKUP($A596,Output_Mac!$A:$A,Output_Mac!B:B,""),
_xlpm.MyAuditVal,_xlfn.XLOOKUP($A596,My_Audit!$A:$A,My_Audit!B:B,""),
_xlfn.IFS(_xlpm.MyAuditVal&lt;&gt;"",UPPER(_xlpm.MyAuditVal),_xlpm.MacVal&lt;&gt;"",_xlpm.MacVal,_xlpm.CSVVal&lt;&gt;"",_xlpm.CSVVal
)),"")</f>
        <v/>
      </c>
      <c r="D596" s="40" t="str" cm="1">
        <f t="array" ref="D596">IFERROR(_xlfn.LET(
_xlpm.CSVVal,_xlfn.XLOOKUP($A596,CSV!$A:$A,CSV!D:D,""),
_xlpm.MacVal,_xlfn.XLOOKUP($A596,Output_Mac!$A:$A,Output_Mac!C:C,""),
_xlpm.MyAuditVal,_xlfn.XLOOKUP($A596,My_Audit!$A:$A,My_Audit!C:C,""),
_xlfn.IFS(_xlpm.MyAuditVal&lt;&gt;"",_xlpm.MyAuditVal,_xlpm.MacVal&lt;&gt;"",_xlpm.MacVal,_xlpm.CSVVal&lt;&gt;"",_xlpm.CSVVal
)),"")</f>
        <v/>
      </c>
      <c r="E596" s="40" t="str">
        <f>_xlfn.XLOOKUP(A596,My_Audit!A:A,My_Audit!D:D,"")</f>
        <v/>
      </c>
      <c r="F596" s="40" t="str" cm="1">
        <f t="array" ref="F596">IFERROR(_xlfn.LET(
_xlpm.CSVVal,_xlfn.XLOOKUP($A596,CSV!$A:$A,CSV!F:F,""),
_xlpm.MacVal,_xlfn.XLOOKUP($A596,Output_Mac!$A:$A,Output_Mac!E:E,""),
_xlpm.MyAuditVal,_xlfn.XLOOKUP($A596,My_Audit!$A:$A,My_Audit!E:E,""),
_xlfn.IFS(_xlpm.MyAuditVal&lt;&gt;"",_xlpm.MyAuditVal,_xlpm.MacVal&lt;&gt;"",_xlpm.MacVal,_xlpm.CSVVal&lt;&gt;"",_xlpm.CSVVal
)),"")</f>
        <v/>
      </c>
      <c r="G596" s="40" t="str" cm="1">
        <f t="array" ref="G596">IFERROR(_xlfn.LET(
_xlpm.CSVVal,_xlfn.XLOOKUP($A596,CSV!$A:$A,CSV!G:G,""),
_xlpm.MacVal,_xlfn.XLOOKUP($A596,Output_Mac!$A:$A,Output_Mac!F:F,""),
_xlpm.MyAuditVal,_xlfn.XLOOKUP($A596,My_Audit!$A:$A,My_Audit!F:F,""),
_xlfn.IFS(_xlpm.MyAuditVal&lt;&gt;"",_xlpm.MyAuditVal,_xlpm.MacVal&lt;&gt;"",_xlpm.MacVal,_xlpm.CSVVal&lt;&gt;"",PROPER(_xlpm.CSVVal)
)),"")</f>
        <v/>
      </c>
      <c r="H596" s="40" t="str" cm="1">
        <f t="array" ref="H596">IFERROR(_xlfn.LET(
_xlpm.CSVVal,_xlfn.XLOOKUP($A596,CSV!$A:$A,CSV!H:H,""),
_xlpm.MacVal,_xlfn.XLOOKUP($A596,Output_Mac!$A:$A,Output_Mac!H:H,""),
_xlpm.MyAuditVal,_xlfn.XLOOKUP($A596,My_Audit!$A:$A,My_Audit!G:G,""),
_xlfn.IFS(_xlpm.MyAuditVal&lt;&gt;"",_xlpm.MyAuditVal,_xlpm.MacVal&lt;&gt;"",_xlpm.MacVal,_xlpm.CSVVal&lt;&gt;"",_xlpm.CSVVal
)),"")</f>
        <v/>
      </c>
      <c r="I596" s="40" t="str">
        <f>_xlfn.XLOOKUP(A596,Output_Mac!A:A,Output_Mac!I:I,"")</f>
        <v/>
      </c>
      <c r="J596" s="40" t="str" cm="1">
        <f t="array" ref="J596">IFERROR(_xlfn.LET(
_xlpm.CSVVal,_xlfn.XLOOKUP($A596,CSV!$A:$A,CSV!I:I,""),
_xlpm.MacVal,_xlfn.XLOOKUP($A596,Output_Mac!$A:$A,Output_Mac!J:J,""),
_xlpm.MyAuditVal,_xlfn.XLOOKUP($A596,My_Audit!$A:$A,My_Audit!I:I,""),
_xlfn.IFS(_xlpm.MyAuditVal&lt;&gt;"",UPPER(_xlpm.MyAuditVal),_xlpm.MacVal&lt;&gt;"",_xlpm.MacVal,_xlpm.CSVVal&lt;&gt;"",_xlpm.CSVVal
)),"")</f>
        <v/>
      </c>
      <c r="K596" s="40" t="str" cm="1">
        <f t="array" ref="K596">IFERROR(_xlfn.LET(
_xlpm.CSVVal,_xlfn.XLOOKUP($A596,CSV!$A:$A,CSV!K:K,""),
_xlpm.MacVal,_xlfn.XLOOKUP($A596,Output_Mac!$A:$A,Output_Mac!K:K,""),
_xlpm.MyAuditVal,_xlfn.XLOOKUP($A596,My_Audit!$A:$A,My_Audit!J:J,""),
_xlfn.IFS(_xlpm.MyAuditVal&lt;&gt;"",UPPER(_xlpm.MyAuditVal),_xlpm.MacVal&lt;&gt;"",_xlpm.MacVal,_xlpm.CSVVal&lt;&gt;"",_xlpm.CSVVal
)),"")</f>
        <v/>
      </c>
      <c r="L596" s="40" t="str" cm="1">
        <f t="array" ref="L596">IFERROR(_xlfn.LET(
_xlpm.CSVVal,_xlfn.XLOOKUP($A596,CSV!$A:$A,CSV!P:P,""),
_xlpm.MacVal,_xlfn.XLOOKUP($A596,Output_Mac!$A:$A,Output_Mac!L:L,""),
_xlpm.MyAuditVal,_xlfn.XLOOKUP($A596,My_Audit!$A:$A,My_Audit!K:K,""),
_xlfn.IFS(_xlpm.MyAuditVal&lt;&gt;"",UPPER(_xlpm.MyAuditVal),_xlpm.MacVal&lt;&gt;"",_xlpm.MacVal,_xlpm.CSVVal&lt;&gt;"",_xlpm.CSVVal
)),"")</f>
        <v/>
      </c>
      <c r="M596" s="40" t="str" cm="1">
        <f t="array" ref="M596">IFERROR(_xlfn.LET(
_xlpm.CSVVal,_xlfn.XLOOKUP($A596,CSV!$A:$A,CSV!Q:Q,""),
_xlpm.MacVal,_xlfn.XLOOKUP($A596,Output_Mac!$A:$A,Output_Mac!M:M,""),
_xlpm.MyAuditVal,_xlfn.XLOOKUP($A596,My_Audit!$A:$A,My_Audit!L:L,""),
_xlfn.IFS(_xlpm.MyAuditVal&lt;&gt;"",UPPER(_xlpm.MyAuditVal),_xlpm.MacVal&lt;&gt;"",_xlpm.MacVal,_xlpm.CSVVal&lt;&gt;"",_xlpm.CSVVal
)),"")</f>
        <v/>
      </c>
      <c r="N596" s="40"/>
      <c r="O596" s="40" t="str">
        <f>_xlfn.LET(
    _xlpm.CSVVal, _xlfn.XLOOKUP($A596, CSV!$A:$A, CSV!AA:AA, ""),
    _xlpm.MacVal, _xlfn.XLOOKUP($A596, Output_Mac!$A:$A, Output_Mac!S:S, ""),
    _xlpm.MyAuditVal, _xlfn.XLOOKUP($A596, My_Audit!$A:$A, My_Audit!P:P, ""),
    _xlfn.TEXTJOIN(", ", TRUE, _xlpm.MyAuditVal, _xlpm.MacVal, _xlpm.CSVVal)
)</f>
        <v/>
      </c>
      <c r="P596" s="40" t="str" cm="1">
        <f t="array" ref="P596">IFERROR(_xlfn.LET(
_xlpm.CSVVal,_xlfn.XLOOKUP($A596,CSV!$A:$A,CSV!AB:AB,""),
_xlpm.MacVal,_xlfn.XLOOKUP($A596,Output_Mac!$A:$A,Output_Mac!T:T,""),
_xlpm.MyAuditVal,_xlfn.XLOOKUP($A596,My_Audit!$A:$A,My_Audit!Q:Q,""),
_xlfn.IFS(_xlpm.MyAuditVal&lt;&gt;"",UPPER(_xlpm.MyAuditVal),_xlpm.MacVal&lt;&gt;"",_xlpm.MacVal,_xlpm.CSVVal&lt;&gt;"",_xlpm.CSVVal
)),"No")</f>
        <v>No</v>
      </c>
      <c r="Q596" s="40" t="str" cm="1">
        <f t="array" ref="Q596">IFERROR(_xlfn.LET(
_xlpm.CSVVal,_xlfn.XLOOKUP($A596,CSV!$A:$A,CSV!AC:AC,""),
_xlpm.MacVal,_xlfn.XLOOKUP($A596,Output_Mac!$A:$A,Output_Mac!U:U,""),
_xlpm.MyAuditVal,_xlfn.XLOOKUP($A596,My_Audit!$A:$A,My_Audit!R:R,""),
_xlfn.IFS(_xlpm.MyAuditVal&lt;&gt;"",UPPER(_xlpm.MyAuditVal),_xlpm.MacVal&lt;&gt;"",_xlpm.MacVal,_xlpm.CSVVal&lt;&gt;"",_xlpm.CSVVal
)),"")</f>
        <v/>
      </c>
      <c r="R596" s="40"/>
      <c r="S596" s="40"/>
      <c r="T596" s="40"/>
      <c r="U596" s="40"/>
      <c r="V596" s="40"/>
      <c r="W596" s="40"/>
      <c r="X596" s="41" t="str">
        <f>_xlfn.LET(
    _xlpm.MacVal, _xlfn.XLOOKUP($A596, Output_Mac!$A:$A, Output_Mac!AB:AB, ""),
    _xlpm.MyAuditVal, _xlfn.XLOOKUP($A596, My_Audit!$A:$A, My_Audit!N:N, ""),
    _xlfn.TEXTJOIN(", ", TRUE, _xlpm.MyAuditVal, _xlpm.MacVal)
)</f>
        <v/>
      </c>
    </row>
    <row r="597" spans="1:24">
      <c r="A597" s="40" t="str">
        <f>_xlfn.TEXTJOIN("",TRUE,Input!$B$2,ROW(My_Audit!A596))</f>
        <v>X596</v>
      </c>
      <c r="B597" s="40" t="str">
        <f>_xlfn.TEXTJOIN("-",TRUE,"ITD",Input!$A$2,A597)</f>
        <v>ITD-X596</v>
      </c>
      <c r="C597" s="40" t="str" cm="1">
        <f t="array" ref="C597">IFERROR(_xlfn.LET(
_xlpm.CSVVal,_xlfn.XLOOKUP($A597,CSV!$A:$A,CSV!B:B,""),
_xlpm.MacVal,_xlfn.XLOOKUP($A597,Output_Mac!$A:$A,Output_Mac!B:B,""),
_xlpm.MyAuditVal,_xlfn.XLOOKUP($A597,My_Audit!$A:$A,My_Audit!B:B,""),
_xlfn.IFS(_xlpm.MyAuditVal&lt;&gt;"",UPPER(_xlpm.MyAuditVal),_xlpm.MacVal&lt;&gt;"",_xlpm.MacVal,_xlpm.CSVVal&lt;&gt;"",_xlpm.CSVVal
)),"")</f>
        <v/>
      </c>
      <c r="D597" s="40" t="str" cm="1">
        <f t="array" ref="D597">IFERROR(_xlfn.LET(
_xlpm.CSVVal,_xlfn.XLOOKUP($A597,CSV!$A:$A,CSV!D:D,""),
_xlpm.MacVal,_xlfn.XLOOKUP($A597,Output_Mac!$A:$A,Output_Mac!C:C,""),
_xlpm.MyAuditVal,_xlfn.XLOOKUP($A597,My_Audit!$A:$A,My_Audit!C:C,""),
_xlfn.IFS(_xlpm.MyAuditVal&lt;&gt;"",_xlpm.MyAuditVal,_xlpm.MacVal&lt;&gt;"",_xlpm.MacVal,_xlpm.CSVVal&lt;&gt;"",_xlpm.CSVVal
)),"")</f>
        <v/>
      </c>
      <c r="E597" s="40" t="str">
        <f>_xlfn.XLOOKUP(A597,My_Audit!A:A,My_Audit!D:D,"")</f>
        <v/>
      </c>
      <c r="F597" s="40" t="str" cm="1">
        <f t="array" ref="F597">IFERROR(_xlfn.LET(
_xlpm.CSVVal,_xlfn.XLOOKUP($A597,CSV!$A:$A,CSV!F:F,""),
_xlpm.MacVal,_xlfn.XLOOKUP($A597,Output_Mac!$A:$A,Output_Mac!E:E,""),
_xlpm.MyAuditVal,_xlfn.XLOOKUP($A597,My_Audit!$A:$A,My_Audit!E:E,""),
_xlfn.IFS(_xlpm.MyAuditVal&lt;&gt;"",_xlpm.MyAuditVal,_xlpm.MacVal&lt;&gt;"",_xlpm.MacVal,_xlpm.CSVVal&lt;&gt;"",_xlpm.CSVVal
)),"")</f>
        <v/>
      </c>
      <c r="G597" s="40" t="str" cm="1">
        <f t="array" ref="G597">IFERROR(_xlfn.LET(
_xlpm.CSVVal,_xlfn.XLOOKUP($A597,CSV!$A:$A,CSV!G:G,""),
_xlpm.MacVal,_xlfn.XLOOKUP($A597,Output_Mac!$A:$A,Output_Mac!F:F,""),
_xlpm.MyAuditVal,_xlfn.XLOOKUP($A597,My_Audit!$A:$A,My_Audit!F:F,""),
_xlfn.IFS(_xlpm.MyAuditVal&lt;&gt;"",_xlpm.MyAuditVal,_xlpm.MacVal&lt;&gt;"",_xlpm.MacVal,_xlpm.CSVVal&lt;&gt;"",PROPER(_xlpm.CSVVal)
)),"")</f>
        <v/>
      </c>
      <c r="H597" s="40" t="str" cm="1">
        <f t="array" ref="H597">IFERROR(_xlfn.LET(
_xlpm.CSVVal,_xlfn.XLOOKUP($A597,CSV!$A:$A,CSV!H:H,""),
_xlpm.MacVal,_xlfn.XLOOKUP($A597,Output_Mac!$A:$A,Output_Mac!H:H,""),
_xlpm.MyAuditVal,_xlfn.XLOOKUP($A597,My_Audit!$A:$A,My_Audit!G:G,""),
_xlfn.IFS(_xlpm.MyAuditVal&lt;&gt;"",_xlpm.MyAuditVal,_xlpm.MacVal&lt;&gt;"",_xlpm.MacVal,_xlpm.CSVVal&lt;&gt;"",_xlpm.CSVVal
)),"")</f>
        <v/>
      </c>
      <c r="I597" s="40" t="str">
        <f>_xlfn.XLOOKUP(A597,Output_Mac!A:A,Output_Mac!I:I,"")</f>
        <v/>
      </c>
      <c r="J597" s="40" t="str" cm="1">
        <f t="array" ref="J597">IFERROR(_xlfn.LET(
_xlpm.CSVVal,_xlfn.XLOOKUP($A597,CSV!$A:$A,CSV!I:I,""),
_xlpm.MacVal,_xlfn.XLOOKUP($A597,Output_Mac!$A:$A,Output_Mac!J:J,""),
_xlpm.MyAuditVal,_xlfn.XLOOKUP($A597,My_Audit!$A:$A,My_Audit!I:I,""),
_xlfn.IFS(_xlpm.MyAuditVal&lt;&gt;"",UPPER(_xlpm.MyAuditVal),_xlpm.MacVal&lt;&gt;"",_xlpm.MacVal,_xlpm.CSVVal&lt;&gt;"",_xlpm.CSVVal
)),"")</f>
        <v/>
      </c>
      <c r="K597" s="40" t="str" cm="1">
        <f t="array" ref="K597">IFERROR(_xlfn.LET(
_xlpm.CSVVal,_xlfn.XLOOKUP($A597,CSV!$A:$A,CSV!K:K,""),
_xlpm.MacVal,_xlfn.XLOOKUP($A597,Output_Mac!$A:$A,Output_Mac!K:K,""),
_xlpm.MyAuditVal,_xlfn.XLOOKUP($A597,My_Audit!$A:$A,My_Audit!J:J,""),
_xlfn.IFS(_xlpm.MyAuditVal&lt;&gt;"",UPPER(_xlpm.MyAuditVal),_xlpm.MacVal&lt;&gt;"",_xlpm.MacVal,_xlpm.CSVVal&lt;&gt;"",_xlpm.CSVVal
)),"")</f>
        <v/>
      </c>
      <c r="L597" s="40" t="str" cm="1">
        <f t="array" ref="L597">IFERROR(_xlfn.LET(
_xlpm.CSVVal,_xlfn.XLOOKUP($A597,CSV!$A:$A,CSV!P:P,""),
_xlpm.MacVal,_xlfn.XLOOKUP($A597,Output_Mac!$A:$A,Output_Mac!L:L,""),
_xlpm.MyAuditVal,_xlfn.XLOOKUP($A597,My_Audit!$A:$A,My_Audit!K:K,""),
_xlfn.IFS(_xlpm.MyAuditVal&lt;&gt;"",UPPER(_xlpm.MyAuditVal),_xlpm.MacVal&lt;&gt;"",_xlpm.MacVal,_xlpm.CSVVal&lt;&gt;"",_xlpm.CSVVal
)),"")</f>
        <v/>
      </c>
      <c r="M597" s="40" t="str" cm="1">
        <f t="array" ref="M597">IFERROR(_xlfn.LET(
_xlpm.CSVVal,_xlfn.XLOOKUP($A597,CSV!$A:$A,CSV!Q:Q,""),
_xlpm.MacVal,_xlfn.XLOOKUP($A597,Output_Mac!$A:$A,Output_Mac!M:M,""),
_xlpm.MyAuditVal,_xlfn.XLOOKUP($A597,My_Audit!$A:$A,My_Audit!L:L,""),
_xlfn.IFS(_xlpm.MyAuditVal&lt;&gt;"",UPPER(_xlpm.MyAuditVal),_xlpm.MacVal&lt;&gt;"",_xlpm.MacVal,_xlpm.CSVVal&lt;&gt;"",_xlpm.CSVVal
)),"")</f>
        <v/>
      </c>
      <c r="N597" s="40"/>
      <c r="O597" s="40" t="str">
        <f>_xlfn.LET(
    _xlpm.CSVVal, _xlfn.XLOOKUP($A597, CSV!$A:$A, CSV!AA:AA, ""),
    _xlpm.MacVal, _xlfn.XLOOKUP($A597, Output_Mac!$A:$A, Output_Mac!S:S, ""),
    _xlpm.MyAuditVal, _xlfn.XLOOKUP($A597, My_Audit!$A:$A, My_Audit!P:P, ""),
    _xlfn.TEXTJOIN(", ", TRUE, _xlpm.MyAuditVal, _xlpm.MacVal, _xlpm.CSVVal)
)</f>
        <v/>
      </c>
      <c r="P597" s="40" t="str" cm="1">
        <f t="array" ref="P597">IFERROR(_xlfn.LET(
_xlpm.CSVVal,_xlfn.XLOOKUP($A597,CSV!$A:$A,CSV!AB:AB,""),
_xlpm.MacVal,_xlfn.XLOOKUP($A597,Output_Mac!$A:$A,Output_Mac!T:T,""),
_xlpm.MyAuditVal,_xlfn.XLOOKUP($A597,My_Audit!$A:$A,My_Audit!Q:Q,""),
_xlfn.IFS(_xlpm.MyAuditVal&lt;&gt;"",UPPER(_xlpm.MyAuditVal),_xlpm.MacVal&lt;&gt;"",_xlpm.MacVal,_xlpm.CSVVal&lt;&gt;"",_xlpm.CSVVal
)),"No")</f>
        <v>No</v>
      </c>
      <c r="Q597" s="40" t="str" cm="1">
        <f t="array" ref="Q597">IFERROR(_xlfn.LET(
_xlpm.CSVVal,_xlfn.XLOOKUP($A597,CSV!$A:$A,CSV!AC:AC,""),
_xlpm.MacVal,_xlfn.XLOOKUP($A597,Output_Mac!$A:$A,Output_Mac!U:U,""),
_xlpm.MyAuditVal,_xlfn.XLOOKUP($A597,My_Audit!$A:$A,My_Audit!R:R,""),
_xlfn.IFS(_xlpm.MyAuditVal&lt;&gt;"",UPPER(_xlpm.MyAuditVal),_xlpm.MacVal&lt;&gt;"",_xlpm.MacVal,_xlpm.CSVVal&lt;&gt;"",_xlpm.CSVVal
)),"")</f>
        <v/>
      </c>
      <c r="R597" s="40"/>
      <c r="S597" s="40"/>
      <c r="T597" s="40"/>
      <c r="U597" s="40"/>
      <c r="V597" s="40"/>
      <c r="W597" s="40"/>
      <c r="X597" s="41" t="str">
        <f>_xlfn.LET(
    _xlpm.MacVal, _xlfn.XLOOKUP($A597, Output_Mac!$A:$A, Output_Mac!AB:AB, ""),
    _xlpm.MyAuditVal, _xlfn.XLOOKUP($A597, My_Audit!$A:$A, My_Audit!N:N, ""),
    _xlfn.TEXTJOIN(", ", TRUE, _xlpm.MyAuditVal, _xlpm.MacVal)
)</f>
        <v/>
      </c>
    </row>
    <row r="598" spans="1:24">
      <c r="A598" s="40" t="str">
        <f>_xlfn.TEXTJOIN("",TRUE,Input!$B$2,ROW(My_Audit!A597))</f>
        <v>X597</v>
      </c>
      <c r="B598" s="40" t="str">
        <f>_xlfn.TEXTJOIN("-",TRUE,"ITD",Input!$A$2,A598)</f>
        <v>ITD-X597</v>
      </c>
      <c r="C598" s="40" t="str" cm="1">
        <f t="array" ref="C598">IFERROR(_xlfn.LET(
_xlpm.CSVVal,_xlfn.XLOOKUP($A598,CSV!$A:$A,CSV!B:B,""),
_xlpm.MacVal,_xlfn.XLOOKUP($A598,Output_Mac!$A:$A,Output_Mac!B:B,""),
_xlpm.MyAuditVal,_xlfn.XLOOKUP($A598,My_Audit!$A:$A,My_Audit!B:B,""),
_xlfn.IFS(_xlpm.MyAuditVal&lt;&gt;"",UPPER(_xlpm.MyAuditVal),_xlpm.MacVal&lt;&gt;"",_xlpm.MacVal,_xlpm.CSVVal&lt;&gt;"",_xlpm.CSVVal
)),"")</f>
        <v/>
      </c>
      <c r="D598" s="40" t="str" cm="1">
        <f t="array" ref="D598">IFERROR(_xlfn.LET(
_xlpm.CSVVal,_xlfn.XLOOKUP($A598,CSV!$A:$A,CSV!D:D,""),
_xlpm.MacVal,_xlfn.XLOOKUP($A598,Output_Mac!$A:$A,Output_Mac!C:C,""),
_xlpm.MyAuditVal,_xlfn.XLOOKUP($A598,My_Audit!$A:$A,My_Audit!C:C,""),
_xlfn.IFS(_xlpm.MyAuditVal&lt;&gt;"",_xlpm.MyAuditVal,_xlpm.MacVal&lt;&gt;"",_xlpm.MacVal,_xlpm.CSVVal&lt;&gt;"",_xlpm.CSVVal
)),"")</f>
        <v/>
      </c>
      <c r="E598" s="40" t="str">
        <f>_xlfn.XLOOKUP(A598,My_Audit!A:A,My_Audit!D:D,"")</f>
        <v/>
      </c>
      <c r="F598" s="40" t="str" cm="1">
        <f t="array" ref="F598">IFERROR(_xlfn.LET(
_xlpm.CSVVal,_xlfn.XLOOKUP($A598,CSV!$A:$A,CSV!F:F,""),
_xlpm.MacVal,_xlfn.XLOOKUP($A598,Output_Mac!$A:$A,Output_Mac!E:E,""),
_xlpm.MyAuditVal,_xlfn.XLOOKUP($A598,My_Audit!$A:$A,My_Audit!E:E,""),
_xlfn.IFS(_xlpm.MyAuditVal&lt;&gt;"",_xlpm.MyAuditVal,_xlpm.MacVal&lt;&gt;"",_xlpm.MacVal,_xlpm.CSVVal&lt;&gt;"",_xlpm.CSVVal
)),"")</f>
        <v/>
      </c>
      <c r="G598" s="40" t="str" cm="1">
        <f t="array" ref="G598">IFERROR(_xlfn.LET(
_xlpm.CSVVal,_xlfn.XLOOKUP($A598,CSV!$A:$A,CSV!G:G,""),
_xlpm.MacVal,_xlfn.XLOOKUP($A598,Output_Mac!$A:$A,Output_Mac!F:F,""),
_xlpm.MyAuditVal,_xlfn.XLOOKUP($A598,My_Audit!$A:$A,My_Audit!F:F,""),
_xlfn.IFS(_xlpm.MyAuditVal&lt;&gt;"",_xlpm.MyAuditVal,_xlpm.MacVal&lt;&gt;"",_xlpm.MacVal,_xlpm.CSVVal&lt;&gt;"",PROPER(_xlpm.CSVVal)
)),"")</f>
        <v/>
      </c>
      <c r="H598" s="40" t="str" cm="1">
        <f t="array" ref="H598">IFERROR(_xlfn.LET(
_xlpm.CSVVal,_xlfn.XLOOKUP($A598,CSV!$A:$A,CSV!H:H,""),
_xlpm.MacVal,_xlfn.XLOOKUP($A598,Output_Mac!$A:$A,Output_Mac!H:H,""),
_xlpm.MyAuditVal,_xlfn.XLOOKUP($A598,My_Audit!$A:$A,My_Audit!G:G,""),
_xlfn.IFS(_xlpm.MyAuditVal&lt;&gt;"",_xlpm.MyAuditVal,_xlpm.MacVal&lt;&gt;"",_xlpm.MacVal,_xlpm.CSVVal&lt;&gt;"",_xlpm.CSVVal
)),"")</f>
        <v/>
      </c>
      <c r="I598" s="40" t="str">
        <f>_xlfn.XLOOKUP(A598,Output_Mac!A:A,Output_Mac!I:I,"")</f>
        <v/>
      </c>
      <c r="J598" s="40" t="str" cm="1">
        <f t="array" ref="J598">IFERROR(_xlfn.LET(
_xlpm.CSVVal,_xlfn.XLOOKUP($A598,CSV!$A:$A,CSV!I:I,""),
_xlpm.MacVal,_xlfn.XLOOKUP($A598,Output_Mac!$A:$A,Output_Mac!J:J,""),
_xlpm.MyAuditVal,_xlfn.XLOOKUP($A598,My_Audit!$A:$A,My_Audit!I:I,""),
_xlfn.IFS(_xlpm.MyAuditVal&lt;&gt;"",UPPER(_xlpm.MyAuditVal),_xlpm.MacVal&lt;&gt;"",_xlpm.MacVal,_xlpm.CSVVal&lt;&gt;"",_xlpm.CSVVal
)),"")</f>
        <v/>
      </c>
      <c r="K598" s="40" t="str" cm="1">
        <f t="array" ref="K598">IFERROR(_xlfn.LET(
_xlpm.CSVVal,_xlfn.XLOOKUP($A598,CSV!$A:$A,CSV!K:K,""),
_xlpm.MacVal,_xlfn.XLOOKUP($A598,Output_Mac!$A:$A,Output_Mac!K:K,""),
_xlpm.MyAuditVal,_xlfn.XLOOKUP($A598,My_Audit!$A:$A,My_Audit!J:J,""),
_xlfn.IFS(_xlpm.MyAuditVal&lt;&gt;"",UPPER(_xlpm.MyAuditVal),_xlpm.MacVal&lt;&gt;"",_xlpm.MacVal,_xlpm.CSVVal&lt;&gt;"",_xlpm.CSVVal
)),"")</f>
        <v/>
      </c>
      <c r="L598" s="40" t="str" cm="1">
        <f t="array" ref="L598">IFERROR(_xlfn.LET(
_xlpm.CSVVal,_xlfn.XLOOKUP($A598,CSV!$A:$A,CSV!P:P,""),
_xlpm.MacVal,_xlfn.XLOOKUP($A598,Output_Mac!$A:$A,Output_Mac!L:L,""),
_xlpm.MyAuditVal,_xlfn.XLOOKUP($A598,My_Audit!$A:$A,My_Audit!K:K,""),
_xlfn.IFS(_xlpm.MyAuditVal&lt;&gt;"",UPPER(_xlpm.MyAuditVal),_xlpm.MacVal&lt;&gt;"",_xlpm.MacVal,_xlpm.CSVVal&lt;&gt;"",_xlpm.CSVVal
)),"")</f>
        <v/>
      </c>
      <c r="M598" s="40" t="str" cm="1">
        <f t="array" ref="M598">IFERROR(_xlfn.LET(
_xlpm.CSVVal,_xlfn.XLOOKUP($A598,CSV!$A:$A,CSV!Q:Q,""),
_xlpm.MacVal,_xlfn.XLOOKUP($A598,Output_Mac!$A:$A,Output_Mac!M:M,""),
_xlpm.MyAuditVal,_xlfn.XLOOKUP($A598,My_Audit!$A:$A,My_Audit!L:L,""),
_xlfn.IFS(_xlpm.MyAuditVal&lt;&gt;"",UPPER(_xlpm.MyAuditVal),_xlpm.MacVal&lt;&gt;"",_xlpm.MacVal,_xlpm.CSVVal&lt;&gt;"",_xlpm.CSVVal
)),"")</f>
        <v/>
      </c>
      <c r="N598" s="40"/>
      <c r="O598" s="40" t="str">
        <f>_xlfn.LET(
    _xlpm.CSVVal, _xlfn.XLOOKUP($A598, CSV!$A:$A, CSV!AA:AA, ""),
    _xlpm.MacVal, _xlfn.XLOOKUP($A598, Output_Mac!$A:$A, Output_Mac!S:S, ""),
    _xlpm.MyAuditVal, _xlfn.XLOOKUP($A598, My_Audit!$A:$A, My_Audit!P:P, ""),
    _xlfn.TEXTJOIN(", ", TRUE, _xlpm.MyAuditVal, _xlpm.MacVal, _xlpm.CSVVal)
)</f>
        <v/>
      </c>
      <c r="P598" s="40" t="str" cm="1">
        <f t="array" ref="P598">IFERROR(_xlfn.LET(
_xlpm.CSVVal,_xlfn.XLOOKUP($A598,CSV!$A:$A,CSV!AB:AB,""),
_xlpm.MacVal,_xlfn.XLOOKUP($A598,Output_Mac!$A:$A,Output_Mac!T:T,""),
_xlpm.MyAuditVal,_xlfn.XLOOKUP($A598,My_Audit!$A:$A,My_Audit!Q:Q,""),
_xlfn.IFS(_xlpm.MyAuditVal&lt;&gt;"",UPPER(_xlpm.MyAuditVal),_xlpm.MacVal&lt;&gt;"",_xlpm.MacVal,_xlpm.CSVVal&lt;&gt;"",_xlpm.CSVVal
)),"No")</f>
        <v>No</v>
      </c>
      <c r="Q598" s="40" t="str" cm="1">
        <f t="array" ref="Q598">IFERROR(_xlfn.LET(
_xlpm.CSVVal,_xlfn.XLOOKUP($A598,CSV!$A:$A,CSV!AC:AC,""),
_xlpm.MacVal,_xlfn.XLOOKUP($A598,Output_Mac!$A:$A,Output_Mac!U:U,""),
_xlpm.MyAuditVal,_xlfn.XLOOKUP($A598,My_Audit!$A:$A,My_Audit!R:R,""),
_xlfn.IFS(_xlpm.MyAuditVal&lt;&gt;"",UPPER(_xlpm.MyAuditVal),_xlpm.MacVal&lt;&gt;"",_xlpm.MacVal,_xlpm.CSVVal&lt;&gt;"",_xlpm.CSVVal
)),"")</f>
        <v/>
      </c>
      <c r="R598" s="40"/>
      <c r="S598" s="40"/>
      <c r="T598" s="40"/>
      <c r="U598" s="40"/>
      <c r="V598" s="40"/>
      <c r="W598" s="40"/>
      <c r="X598" s="41" t="str">
        <f>_xlfn.LET(
    _xlpm.MacVal, _xlfn.XLOOKUP($A598, Output_Mac!$A:$A, Output_Mac!AB:AB, ""),
    _xlpm.MyAuditVal, _xlfn.XLOOKUP($A598, My_Audit!$A:$A, My_Audit!N:N, ""),
    _xlfn.TEXTJOIN(", ", TRUE, _xlpm.MyAuditVal, _xlpm.MacVal)
)</f>
        <v/>
      </c>
    </row>
    <row r="599" spans="1:24">
      <c r="A599" s="40" t="str">
        <f>_xlfn.TEXTJOIN("",TRUE,Input!$B$2,ROW(My_Audit!A598))</f>
        <v>X598</v>
      </c>
      <c r="B599" s="40" t="str">
        <f>_xlfn.TEXTJOIN("-",TRUE,"ITD",Input!$A$2,A599)</f>
        <v>ITD-X598</v>
      </c>
      <c r="C599" s="40" t="str" cm="1">
        <f t="array" ref="C599">IFERROR(_xlfn.LET(
_xlpm.CSVVal,_xlfn.XLOOKUP($A599,CSV!$A:$A,CSV!B:B,""),
_xlpm.MacVal,_xlfn.XLOOKUP($A599,Output_Mac!$A:$A,Output_Mac!B:B,""),
_xlpm.MyAuditVal,_xlfn.XLOOKUP($A599,My_Audit!$A:$A,My_Audit!B:B,""),
_xlfn.IFS(_xlpm.MyAuditVal&lt;&gt;"",UPPER(_xlpm.MyAuditVal),_xlpm.MacVal&lt;&gt;"",_xlpm.MacVal,_xlpm.CSVVal&lt;&gt;"",_xlpm.CSVVal
)),"")</f>
        <v/>
      </c>
      <c r="D599" s="40" t="str" cm="1">
        <f t="array" ref="D599">IFERROR(_xlfn.LET(
_xlpm.CSVVal,_xlfn.XLOOKUP($A599,CSV!$A:$A,CSV!D:D,""),
_xlpm.MacVal,_xlfn.XLOOKUP($A599,Output_Mac!$A:$A,Output_Mac!C:C,""),
_xlpm.MyAuditVal,_xlfn.XLOOKUP($A599,My_Audit!$A:$A,My_Audit!C:C,""),
_xlfn.IFS(_xlpm.MyAuditVal&lt;&gt;"",_xlpm.MyAuditVal,_xlpm.MacVal&lt;&gt;"",_xlpm.MacVal,_xlpm.CSVVal&lt;&gt;"",_xlpm.CSVVal
)),"")</f>
        <v/>
      </c>
      <c r="E599" s="40" t="str">
        <f>_xlfn.XLOOKUP(A599,My_Audit!A:A,My_Audit!D:D,"")</f>
        <v/>
      </c>
      <c r="F599" s="40" t="str" cm="1">
        <f t="array" ref="F599">IFERROR(_xlfn.LET(
_xlpm.CSVVal,_xlfn.XLOOKUP($A599,CSV!$A:$A,CSV!F:F,""),
_xlpm.MacVal,_xlfn.XLOOKUP($A599,Output_Mac!$A:$A,Output_Mac!E:E,""),
_xlpm.MyAuditVal,_xlfn.XLOOKUP($A599,My_Audit!$A:$A,My_Audit!E:E,""),
_xlfn.IFS(_xlpm.MyAuditVal&lt;&gt;"",_xlpm.MyAuditVal,_xlpm.MacVal&lt;&gt;"",_xlpm.MacVal,_xlpm.CSVVal&lt;&gt;"",_xlpm.CSVVal
)),"")</f>
        <v/>
      </c>
      <c r="G599" s="40" t="str" cm="1">
        <f t="array" ref="G599">IFERROR(_xlfn.LET(
_xlpm.CSVVal,_xlfn.XLOOKUP($A599,CSV!$A:$A,CSV!G:G,""),
_xlpm.MacVal,_xlfn.XLOOKUP($A599,Output_Mac!$A:$A,Output_Mac!F:F,""),
_xlpm.MyAuditVal,_xlfn.XLOOKUP($A599,My_Audit!$A:$A,My_Audit!F:F,""),
_xlfn.IFS(_xlpm.MyAuditVal&lt;&gt;"",_xlpm.MyAuditVal,_xlpm.MacVal&lt;&gt;"",_xlpm.MacVal,_xlpm.CSVVal&lt;&gt;"",PROPER(_xlpm.CSVVal)
)),"")</f>
        <v/>
      </c>
      <c r="H599" s="40" t="str" cm="1">
        <f t="array" ref="H599">IFERROR(_xlfn.LET(
_xlpm.CSVVal,_xlfn.XLOOKUP($A599,CSV!$A:$A,CSV!H:H,""),
_xlpm.MacVal,_xlfn.XLOOKUP($A599,Output_Mac!$A:$A,Output_Mac!H:H,""),
_xlpm.MyAuditVal,_xlfn.XLOOKUP($A599,My_Audit!$A:$A,My_Audit!G:G,""),
_xlfn.IFS(_xlpm.MyAuditVal&lt;&gt;"",_xlpm.MyAuditVal,_xlpm.MacVal&lt;&gt;"",_xlpm.MacVal,_xlpm.CSVVal&lt;&gt;"",_xlpm.CSVVal
)),"")</f>
        <v/>
      </c>
      <c r="I599" s="40" t="str">
        <f>_xlfn.XLOOKUP(A599,Output_Mac!A:A,Output_Mac!I:I,"")</f>
        <v/>
      </c>
      <c r="J599" s="40" t="str" cm="1">
        <f t="array" ref="J599">IFERROR(_xlfn.LET(
_xlpm.CSVVal,_xlfn.XLOOKUP($A599,CSV!$A:$A,CSV!I:I,""),
_xlpm.MacVal,_xlfn.XLOOKUP($A599,Output_Mac!$A:$A,Output_Mac!J:J,""),
_xlpm.MyAuditVal,_xlfn.XLOOKUP($A599,My_Audit!$A:$A,My_Audit!I:I,""),
_xlfn.IFS(_xlpm.MyAuditVal&lt;&gt;"",UPPER(_xlpm.MyAuditVal),_xlpm.MacVal&lt;&gt;"",_xlpm.MacVal,_xlpm.CSVVal&lt;&gt;"",_xlpm.CSVVal
)),"")</f>
        <v/>
      </c>
      <c r="K599" s="40" t="str" cm="1">
        <f t="array" ref="K599">IFERROR(_xlfn.LET(
_xlpm.CSVVal,_xlfn.XLOOKUP($A599,CSV!$A:$A,CSV!K:K,""),
_xlpm.MacVal,_xlfn.XLOOKUP($A599,Output_Mac!$A:$A,Output_Mac!K:K,""),
_xlpm.MyAuditVal,_xlfn.XLOOKUP($A599,My_Audit!$A:$A,My_Audit!J:J,""),
_xlfn.IFS(_xlpm.MyAuditVal&lt;&gt;"",UPPER(_xlpm.MyAuditVal),_xlpm.MacVal&lt;&gt;"",_xlpm.MacVal,_xlpm.CSVVal&lt;&gt;"",_xlpm.CSVVal
)),"")</f>
        <v/>
      </c>
      <c r="L599" s="40" t="str" cm="1">
        <f t="array" ref="L599">IFERROR(_xlfn.LET(
_xlpm.CSVVal,_xlfn.XLOOKUP($A599,CSV!$A:$A,CSV!P:P,""),
_xlpm.MacVal,_xlfn.XLOOKUP($A599,Output_Mac!$A:$A,Output_Mac!L:L,""),
_xlpm.MyAuditVal,_xlfn.XLOOKUP($A599,My_Audit!$A:$A,My_Audit!K:K,""),
_xlfn.IFS(_xlpm.MyAuditVal&lt;&gt;"",UPPER(_xlpm.MyAuditVal),_xlpm.MacVal&lt;&gt;"",_xlpm.MacVal,_xlpm.CSVVal&lt;&gt;"",_xlpm.CSVVal
)),"")</f>
        <v/>
      </c>
      <c r="M599" s="40" t="str" cm="1">
        <f t="array" ref="M599">IFERROR(_xlfn.LET(
_xlpm.CSVVal,_xlfn.XLOOKUP($A599,CSV!$A:$A,CSV!Q:Q,""),
_xlpm.MacVal,_xlfn.XLOOKUP($A599,Output_Mac!$A:$A,Output_Mac!M:M,""),
_xlpm.MyAuditVal,_xlfn.XLOOKUP($A599,My_Audit!$A:$A,My_Audit!L:L,""),
_xlfn.IFS(_xlpm.MyAuditVal&lt;&gt;"",UPPER(_xlpm.MyAuditVal),_xlpm.MacVal&lt;&gt;"",_xlpm.MacVal,_xlpm.CSVVal&lt;&gt;"",_xlpm.CSVVal
)),"")</f>
        <v/>
      </c>
      <c r="N599" s="40"/>
      <c r="O599" s="40" t="str">
        <f>_xlfn.LET(
    _xlpm.CSVVal, _xlfn.XLOOKUP($A599, CSV!$A:$A, CSV!AA:AA, ""),
    _xlpm.MacVal, _xlfn.XLOOKUP($A599, Output_Mac!$A:$A, Output_Mac!S:S, ""),
    _xlpm.MyAuditVal, _xlfn.XLOOKUP($A599, My_Audit!$A:$A, My_Audit!P:P, ""),
    _xlfn.TEXTJOIN(", ", TRUE, _xlpm.MyAuditVal, _xlpm.MacVal, _xlpm.CSVVal)
)</f>
        <v/>
      </c>
      <c r="P599" s="40" t="str" cm="1">
        <f t="array" ref="P599">IFERROR(_xlfn.LET(
_xlpm.CSVVal,_xlfn.XLOOKUP($A599,CSV!$A:$A,CSV!AB:AB,""),
_xlpm.MacVal,_xlfn.XLOOKUP($A599,Output_Mac!$A:$A,Output_Mac!T:T,""),
_xlpm.MyAuditVal,_xlfn.XLOOKUP($A599,My_Audit!$A:$A,My_Audit!Q:Q,""),
_xlfn.IFS(_xlpm.MyAuditVal&lt;&gt;"",UPPER(_xlpm.MyAuditVal),_xlpm.MacVal&lt;&gt;"",_xlpm.MacVal,_xlpm.CSVVal&lt;&gt;"",_xlpm.CSVVal
)),"No")</f>
        <v>No</v>
      </c>
      <c r="Q599" s="40" t="str" cm="1">
        <f t="array" ref="Q599">IFERROR(_xlfn.LET(
_xlpm.CSVVal,_xlfn.XLOOKUP($A599,CSV!$A:$A,CSV!AC:AC,""),
_xlpm.MacVal,_xlfn.XLOOKUP($A599,Output_Mac!$A:$A,Output_Mac!U:U,""),
_xlpm.MyAuditVal,_xlfn.XLOOKUP($A599,My_Audit!$A:$A,My_Audit!R:R,""),
_xlfn.IFS(_xlpm.MyAuditVal&lt;&gt;"",UPPER(_xlpm.MyAuditVal),_xlpm.MacVal&lt;&gt;"",_xlpm.MacVal,_xlpm.CSVVal&lt;&gt;"",_xlpm.CSVVal
)),"")</f>
        <v/>
      </c>
      <c r="R599" s="40"/>
      <c r="S599" s="40"/>
      <c r="T599" s="40"/>
      <c r="U599" s="40"/>
      <c r="V599" s="40"/>
      <c r="W599" s="40"/>
      <c r="X599" s="41" t="str">
        <f>_xlfn.LET(
    _xlpm.MacVal, _xlfn.XLOOKUP($A599, Output_Mac!$A:$A, Output_Mac!AB:AB, ""),
    _xlpm.MyAuditVal, _xlfn.XLOOKUP($A599, My_Audit!$A:$A, My_Audit!N:N, ""),
    _xlfn.TEXTJOIN(", ", TRUE, _xlpm.MyAuditVal, _xlpm.MacVal)
)</f>
        <v/>
      </c>
    </row>
    <row r="600" spans="1:24">
      <c r="A600" s="40" t="str">
        <f>_xlfn.TEXTJOIN("",TRUE,Input!$B$2,ROW(My_Audit!A599))</f>
        <v>X599</v>
      </c>
      <c r="B600" s="40" t="str">
        <f>_xlfn.TEXTJOIN("-",TRUE,"ITD",Input!$A$2,A600)</f>
        <v>ITD-X599</v>
      </c>
      <c r="C600" s="40" t="str" cm="1">
        <f t="array" ref="C600">IFERROR(_xlfn.LET(
_xlpm.CSVVal,_xlfn.XLOOKUP($A600,CSV!$A:$A,CSV!B:B,""),
_xlpm.MacVal,_xlfn.XLOOKUP($A600,Output_Mac!$A:$A,Output_Mac!B:B,""),
_xlpm.MyAuditVal,_xlfn.XLOOKUP($A600,My_Audit!$A:$A,My_Audit!B:B,""),
_xlfn.IFS(_xlpm.MyAuditVal&lt;&gt;"",UPPER(_xlpm.MyAuditVal),_xlpm.MacVal&lt;&gt;"",_xlpm.MacVal,_xlpm.CSVVal&lt;&gt;"",_xlpm.CSVVal
)),"")</f>
        <v/>
      </c>
      <c r="D600" s="40" t="str" cm="1">
        <f t="array" ref="D600">IFERROR(_xlfn.LET(
_xlpm.CSVVal,_xlfn.XLOOKUP($A600,CSV!$A:$A,CSV!D:D,""),
_xlpm.MacVal,_xlfn.XLOOKUP($A600,Output_Mac!$A:$A,Output_Mac!C:C,""),
_xlpm.MyAuditVal,_xlfn.XLOOKUP($A600,My_Audit!$A:$A,My_Audit!C:C,""),
_xlfn.IFS(_xlpm.MyAuditVal&lt;&gt;"",_xlpm.MyAuditVal,_xlpm.MacVal&lt;&gt;"",_xlpm.MacVal,_xlpm.CSVVal&lt;&gt;"",_xlpm.CSVVal
)),"")</f>
        <v/>
      </c>
      <c r="E600" s="40" t="str">
        <f>_xlfn.XLOOKUP(A600,My_Audit!A:A,My_Audit!D:D,"")</f>
        <v/>
      </c>
      <c r="F600" s="40" t="str" cm="1">
        <f t="array" ref="F600">IFERROR(_xlfn.LET(
_xlpm.CSVVal,_xlfn.XLOOKUP($A600,CSV!$A:$A,CSV!F:F,""),
_xlpm.MacVal,_xlfn.XLOOKUP($A600,Output_Mac!$A:$A,Output_Mac!E:E,""),
_xlpm.MyAuditVal,_xlfn.XLOOKUP($A600,My_Audit!$A:$A,My_Audit!E:E,""),
_xlfn.IFS(_xlpm.MyAuditVal&lt;&gt;"",_xlpm.MyAuditVal,_xlpm.MacVal&lt;&gt;"",_xlpm.MacVal,_xlpm.CSVVal&lt;&gt;"",_xlpm.CSVVal
)),"")</f>
        <v/>
      </c>
      <c r="G600" s="40" t="str" cm="1">
        <f t="array" ref="G600">IFERROR(_xlfn.LET(
_xlpm.CSVVal,_xlfn.XLOOKUP($A600,CSV!$A:$A,CSV!G:G,""),
_xlpm.MacVal,_xlfn.XLOOKUP($A600,Output_Mac!$A:$A,Output_Mac!F:F,""),
_xlpm.MyAuditVal,_xlfn.XLOOKUP($A600,My_Audit!$A:$A,My_Audit!F:F,""),
_xlfn.IFS(_xlpm.MyAuditVal&lt;&gt;"",_xlpm.MyAuditVal,_xlpm.MacVal&lt;&gt;"",_xlpm.MacVal,_xlpm.CSVVal&lt;&gt;"",PROPER(_xlpm.CSVVal)
)),"")</f>
        <v/>
      </c>
      <c r="H600" s="40" t="str" cm="1">
        <f t="array" ref="H600">IFERROR(_xlfn.LET(
_xlpm.CSVVal,_xlfn.XLOOKUP($A600,CSV!$A:$A,CSV!H:H,""),
_xlpm.MacVal,_xlfn.XLOOKUP($A600,Output_Mac!$A:$A,Output_Mac!H:H,""),
_xlpm.MyAuditVal,_xlfn.XLOOKUP($A600,My_Audit!$A:$A,My_Audit!G:G,""),
_xlfn.IFS(_xlpm.MyAuditVal&lt;&gt;"",_xlpm.MyAuditVal,_xlpm.MacVal&lt;&gt;"",_xlpm.MacVal,_xlpm.CSVVal&lt;&gt;"",_xlpm.CSVVal
)),"")</f>
        <v/>
      </c>
      <c r="I600" s="40" t="str">
        <f>_xlfn.XLOOKUP(A600,Output_Mac!A:A,Output_Mac!I:I,"")</f>
        <v/>
      </c>
      <c r="J600" s="40" t="str" cm="1">
        <f t="array" ref="J600">IFERROR(_xlfn.LET(
_xlpm.CSVVal,_xlfn.XLOOKUP($A600,CSV!$A:$A,CSV!I:I,""),
_xlpm.MacVal,_xlfn.XLOOKUP($A600,Output_Mac!$A:$A,Output_Mac!J:J,""),
_xlpm.MyAuditVal,_xlfn.XLOOKUP($A600,My_Audit!$A:$A,My_Audit!I:I,""),
_xlfn.IFS(_xlpm.MyAuditVal&lt;&gt;"",UPPER(_xlpm.MyAuditVal),_xlpm.MacVal&lt;&gt;"",_xlpm.MacVal,_xlpm.CSVVal&lt;&gt;"",_xlpm.CSVVal
)),"")</f>
        <v/>
      </c>
      <c r="K600" s="40" t="str" cm="1">
        <f t="array" ref="K600">IFERROR(_xlfn.LET(
_xlpm.CSVVal,_xlfn.XLOOKUP($A600,CSV!$A:$A,CSV!K:K,""),
_xlpm.MacVal,_xlfn.XLOOKUP($A600,Output_Mac!$A:$A,Output_Mac!K:K,""),
_xlpm.MyAuditVal,_xlfn.XLOOKUP($A600,My_Audit!$A:$A,My_Audit!J:J,""),
_xlfn.IFS(_xlpm.MyAuditVal&lt;&gt;"",UPPER(_xlpm.MyAuditVal),_xlpm.MacVal&lt;&gt;"",_xlpm.MacVal,_xlpm.CSVVal&lt;&gt;"",_xlpm.CSVVal
)),"")</f>
        <v/>
      </c>
      <c r="L600" s="40" t="str" cm="1">
        <f t="array" ref="L600">IFERROR(_xlfn.LET(
_xlpm.CSVVal,_xlfn.XLOOKUP($A600,CSV!$A:$A,CSV!P:P,""),
_xlpm.MacVal,_xlfn.XLOOKUP($A600,Output_Mac!$A:$A,Output_Mac!L:L,""),
_xlpm.MyAuditVal,_xlfn.XLOOKUP($A600,My_Audit!$A:$A,My_Audit!K:K,""),
_xlfn.IFS(_xlpm.MyAuditVal&lt;&gt;"",UPPER(_xlpm.MyAuditVal),_xlpm.MacVal&lt;&gt;"",_xlpm.MacVal,_xlpm.CSVVal&lt;&gt;"",_xlpm.CSVVal
)),"")</f>
        <v/>
      </c>
      <c r="M600" s="40" t="str" cm="1">
        <f t="array" ref="M600">IFERROR(_xlfn.LET(
_xlpm.CSVVal,_xlfn.XLOOKUP($A600,CSV!$A:$A,CSV!Q:Q,""),
_xlpm.MacVal,_xlfn.XLOOKUP($A600,Output_Mac!$A:$A,Output_Mac!M:M,""),
_xlpm.MyAuditVal,_xlfn.XLOOKUP($A600,My_Audit!$A:$A,My_Audit!L:L,""),
_xlfn.IFS(_xlpm.MyAuditVal&lt;&gt;"",UPPER(_xlpm.MyAuditVal),_xlpm.MacVal&lt;&gt;"",_xlpm.MacVal,_xlpm.CSVVal&lt;&gt;"",_xlpm.CSVVal
)),"")</f>
        <v/>
      </c>
      <c r="N600" s="40"/>
      <c r="O600" s="40" t="str">
        <f>_xlfn.LET(
    _xlpm.CSVVal, _xlfn.XLOOKUP($A600, CSV!$A:$A, CSV!AA:AA, ""),
    _xlpm.MacVal, _xlfn.XLOOKUP($A600, Output_Mac!$A:$A, Output_Mac!S:S, ""),
    _xlpm.MyAuditVal, _xlfn.XLOOKUP($A600, My_Audit!$A:$A, My_Audit!P:P, ""),
    _xlfn.TEXTJOIN(", ", TRUE, _xlpm.MyAuditVal, _xlpm.MacVal, _xlpm.CSVVal)
)</f>
        <v/>
      </c>
      <c r="P600" s="40" t="str" cm="1">
        <f t="array" ref="P600">IFERROR(_xlfn.LET(
_xlpm.CSVVal,_xlfn.XLOOKUP($A600,CSV!$A:$A,CSV!AB:AB,""),
_xlpm.MacVal,_xlfn.XLOOKUP($A600,Output_Mac!$A:$A,Output_Mac!T:T,""),
_xlpm.MyAuditVal,_xlfn.XLOOKUP($A600,My_Audit!$A:$A,My_Audit!Q:Q,""),
_xlfn.IFS(_xlpm.MyAuditVal&lt;&gt;"",UPPER(_xlpm.MyAuditVal),_xlpm.MacVal&lt;&gt;"",_xlpm.MacVal,_xlpm.CSVVal&lt;&gt;"",_xlpm.CSVVal
)),"No")</f>
        <v>No</v>
      </c>
      <c r="Q600" s="40" t="str" cm="1">
        <f t="array" ref="Q600">IFERROR(_xlfn.LET(
_xlpm.CSVVal,_xlfn.XLOOKUP($A600,CSV!$A:$A,CSV!AC:AC,""),
_xlpm.MacVal,_xlfn.XLOOKUP($A600,Output_Mac!$A:$A,Output_Mac!U:U,""),
_xlpm.MyAuditVal,_xlfn.XLOOKUP($A600,My_Audit!$A:$A,My_Audit!R:R,""),
_xlfn.IFS(_xlpm.MyAuditVal&lt;&gt;"",UPPER(_xlpm.MyAuditVal),_xlpm.MacVal&lt;&gt;"",_xlpm.MacVal,_xlpm.CSVVal&lt;&gt;"",_xlpm.CSVVal
)),"")</f>
        <v/>
      </c>
      <c r="R600" s="40"/>
      <c r="S600" s="40"/>
      <c r="T600" s="40"/>
      <c r="U600" s="40"/>
      <c r="V600" s="40"/>
      <c r="W600" s="40"/>
      <c r="X600" s="41" t="str">
        <f>_xlfn.LET(
    _xlpm.MacVal, _xlfn.XLOOKUP($A600, Output_Mac!$A:$A, Output_Mac!AB:AB, ""),
    _xlpm.MyAuditVal, _xlfn.XLOOKUP($A600, My_Audit!$A:$A, My_Audit!N:N, ""),
    _xlfn.TEXTJOIN(", ", TRUE, _xlpm.MyAuditVal, _xlpm.MacVal)
)</f>
        <v/>
      </c>
    </row>
    <row r="601" spans="1:24">
      <c r="A601" s="40" t="str">
        <f>_xlfn.TEXTJOIN("",TRUE,Input!$B$2,ROW(My_Audit!A600))</f>
        <v>X600</v>
      </c>
      <c r="B601" s="40" t="str">
        <f>_xlfn.TEXTJOIN("-",TRUE,"ITD",Input!$A$2,A601)</f>
        <v>ITD-X600</v>
      </c>
      <c r="C601" s="40" t="str" cm="1">
        <f t="array" ref="C601">IFERROR(_xlfn.LET(
_xlpm.CSVVal,_xlfn.XLOOKUP($A601,CSV!$A:$A,CSV!B:B,""),
_xlpm.MacVal,_xlfn.XLOOKUP($A601,Output_Mac!$A:$A,Output_Mac!B:B,""),
_xlpm.MyAuditVal,_xlfn.XLOOKUP($A601,My_Audit!$A:$A,My_Audit!B:B,""),
_xlfn.IFS(_xlpm.MyAuditVal&lt;&gt;"",UPPER(_xlpm.MyAuditVal),_xlpm.MacVal&lt;&gt;"",_xlpm.MacVal,_xlpm.CSVVal&lt;&gt;"",_xlpm.CSVVal
)),"")</f>
        <v/>
      </c>
      <c r="D601" s="40" t="str" cm="1">
        <f t="array" ref="D601">IFERROR(_xlfn.LET(
_xlpm.CSVVal,_xlfn.XLOOKUP($A601,CSV!$A:$A,CSV!D:D,""),
_xlpm.MacVal,_xlfn.XLOOKUP($A601,Output_Mac!$A:$A,Output_Mac!C:C,""),
_xlpm.MyAuditVal,_xlfn.XLOOKUP($A601,My_Audit!$A:$A,My_Audit!C:C,""),
_xlfn.IFS(_xlpm.MyAuditVal&lt;&gt;"",_xlpm.MyAuditVal,_xlpm.MacVal&lt;&gt;"",_xlpm.MacVal,_xlpm.CSVVal&lt;&gt;"",_xlpm.CSVVal
)),"")</f>
        <v/>
      </c>
      <c r="E601" s="40" t="str">
        <f>_xlfn.XLOOKUP(A601,My_Audit!A:A,My_Audit!D:D,"")</f>
        <v/>
      </c>
      <c r="F601" s="40" t="str" cm="1">
        <f t="array" ref="F601">IFERROR(_xlfn.LET(
_xlpm.CSVVal,_xlfn.XLOOKUP($A601,CSV!$A:$A,CSV!F:F,""),
_xlpm.MacVal,_xlfn.XLOOKUP($A601,Output_Mac!$A:$A,Output_Mac!E:E,""),
_xlpm.MyAuditVal,_xlfn.XLOOKUP($A601,My_Audit!$A:$A,My_Audit!E:E,""),
_xlfn.IFS(_xlpm.MyAuditVal&lt;&gt;"",_xlpm.MyAuditVal,_xlpm.MacVal&lt;&gt;"",_xlpm.MacVal,_xlpm.CSVVal&lt;&gt;"",_xlpm.CSVVal
)),"")</f>
        <v/>
      </c>
      <c r="G601" s="40" t="str" cm="1">
        <f t="array" ref="G601">IFERROR(_xlfn.LET(
_xlpm.CSVVal,_xlfn.XLOOKUP($A601,CSV!$A:$A,CSV!G:G,""),
_xlpm.MacVal,_xlfn.XLOOKUP($A601,Output_Mac!$A:$A,Output_Mac!F:F,""),
_xlpm.MyAuditVal,_xlfn.XLOOKUP($A601,My_Audit!$A:$A,My_Audit!F:F,""),
_xlfn.IFS(_xlpm.MyAuditVal&lt;&gt;"",_xlpm.MyAuditVal,_xlpm.MacVal&lt;&gt;"",_xlpm.MacVal,_xlpm.CSVVal&lt;&gt;"",PROPER(_xlpm.CSVVal)
)),"")</f>
        <v/>
      </c>
      <c r="H601" s="40" t="str" cm="1">
        <f t="array" ref="H601">IFERROR(_xlfn.LET(
_xlpm.CSVVal,_xlfn.XLOOKUP($A601,CSV!$A:$A,CSV!H:H,""),
_xlpm.MacVal,_xlfn.XLOOKUP($A601,Output_Mac!$A:$A,Output_Mac!H:H,""),
_xlpm.MyAuditVal,_xlfn.XLOOKUP($A601,My_Audit!$A:$A,My_Audit!G:G,""),
_xlfn.IFS(_xlpm.MyAuditVal&lt;&gt;"",_xlpm.MyAuditVal,_xlpm.MacVal&lt;&gt;"",_xlpm.MacVal,_xlpm.CSVVal&lt;&gt;"",_xlpm.CSVVal
)),"")</f>
        <v/>
      </c>
      <c r="I601" s="40" t="str">
        <f>_xlfn.XLOOKUP(A601,Output_Mac!A:A,Output_Mac!I:I,"")</f>
        <v/>
      </c>
      <c r="J601" s="40" t="str" cm="1">
        <f t="array" ref="J601">IFERROR(_xlfn.LET(
_xlpm.CSVVal,_xlfn.XLOOKUP($A601,CSV!$A:$A,CSV!I:I,""),
_xlpm.MacVal,_xlfn.XLOOKUP($A601,Output_Mac!$A:$A,Output_Mac!J:J,""),
_xlpm.MyAuditVal,_xlfn.XLOOKUP($A601,My_Audit!$A:$A,My_Audit!I:I,""),
_xlfn.IFS(_xlpm.MyAuditVal&lt;&gt;"",UPPER(_xlpm.MyAuditVal),_xlpm.MacVal&lt;&gt;"",_xlpm.MacVal,_xlpm.CSVVal&lt;&gt;"",_xlpm.CSVVal
)),"")</f>
        <v/>
      </c>
      <c r="K601" s="40" t="str" cm="1">
        <f t="array" ref="K601">IFERROR(_xlfn.LET(
_xlpm.CSVVal,_xlfn.XLOOKUP($A601,CSV!$A:$A,CSV!K:K,""),
_xlpm.MacVal,_xlfn.XLOOKUP($A601,Output_Mac!$A:$A,Output_Mac!K:K,""),
_xlpm.MyAuditVal,_xlfn.XLOOKUP($A601,My_Audit!$A:$A,My_Audit!J:J,""),
_xlfn.IFS(_xlpm.MyAuditVal&lt;&gt;"",UPPER(_xlpm.MyAuditVal),_xlpm.MacVal&lt;&gt;"",_xlpm.MacVal,_xlpm.CSVVal&lt;&gt;"",_xlpm.CSVVal
)),"")</f>
        <v/>
      </c>
      <c r="L601" s="40" t="str" cm="1">
        <f t="array" ref="L601">IFERROR(_xlfn.LET(
_xlpm.CSVVal,_xlfn.XLOOKUP($A601,CSV!$A:$A,CSV!P:P,""),
_xlpm.MacVal,_xlfn.XLOOKUP($A601,Output_Mac!$A:$A,Output_Mac!L:L,""),
_xlpm.MyAuditVal,_xlfn.XLOOKUP($A601,My_Audit!$A:$A,My_Audit!K:K,""),
_xlfn.IFS(_xlpm.MyAuditVal&lt;&gt;"",UPPER(_xlpm.MyAuditVal),_xlpm.MacVal&lt;&gt;"",_xlpm.MacVal,_xlpm.CSVVal&lt;&gt;"",_xlpm.CSVVal
)),"")</f>
        <v/>
      </c>
      <c r="M601" s="40" t="str" cm="1">
        <f t="array" ref="M601">IFERROR(_xlfn.LET(
_xlpm.CSVVal,_xlfn.XLOOKUP($A601,CSV!$A:$A,CSV!Q:Q,""),
_xlpm.MacVal,_xlfn.XLOOKUP($A601,Output_Mac!$A:$A,Output_Mac!M:M,""),
_xlpm.MyAuditVal,_xlfn.XLOOKUP($A601,My_Audit!$A:$A,My_Audit!L:L,""),
_xlfn.IFS(_xlpm.MyAuditVal&lt;&gt;"",UPPER(_xlpm.MyAuditVal),_xlpm.MacVal&lt;&gt;"",_xlpm.MacVal,_xlpm.CSVVal&lt;&gt;"",_xlpm.CSVVal
)),"")</f>
        <v/>
      </c>
      <c r="N601" s="40"/>
      <c r="O601" s="40" t="str">
        <f>_xlfn.LET(
    _xlpm.CSVVal, _xlfn.XLOOKUP($A601, CSV!$A:$A, CSV!AA:AA, ""),
    _xlpm.MacVal, _xlfn.XLOOKUP($A601, Output_Mac!$A:$A, Output_Mac!S:S, ""),
    _xlpm.MyAuditVal, _xlfn.XLOOKUP($A601, My_Audit!$A:$A, My_Audit!P:P, ""),
    _xlfn.TEXTJOIN(", ", TRUE, _xlpm.MyAuditVal, _xlpm.MacVal, _xlpm.CSVVal)
)</f>
        <v/>
      </c>
      <c r="P601" s="40" t="str" cm="1">
        <f t="array" ref="P601">IFERROR(_xlfn.LET(
_xlpm.CSVVal,_xlfn.XLOOKUP($A601,CSV!$A:$A,CSV!AB:AB,""),
_xlpm.MacVal,_xlfn.XLOOKUP($A601,Output_Mac!$A:$A,Output_Mac!T:T,""),
_xlpm.MyAuditVal,_xlfn.XLOOKUP($A601,My_Audit!$A:$A,My_Audit!Q:Q,""),
_xlfn.IFS(_xlpm.MyAuditVal&lt;&gt;"",UPPER(_xlpm.MyAuditVal),_xlpm.MacVal&lt;&gt;"",_xlpm.MacVal,_xlpm.CSVVal&lt;&gt;"",_xlpm.CSVVal
)),"No")</f>
        <v>No</v>
      </c>
      <c r="Q601" s="40" t="str" cm="1">
        <f t="array" ref="Q601">IFERROR(_xlfn.LET(
_xlpm.CSVVal,_xlfn.XLOOKUP($A601,CSV!$A:$A,CSV!AC:AC,""),
_xlpm.MacVal,_xlfn.XLOOKUP($A601,Output_Mac!$A:$A,Output_Mac!U:U,""),
_xlpm.MyAuditVal,_xlfn.XLOOKUP($A601,My_Audit!$A:$A,My_Audit!R:R,""),
_xlfn.IFS(_xlpm.MyAuditVal&lt;&gt;"",UPPER(_xlpm.MyAuditVal),_xlpm.MacVal&lt;&gt;"",_xlpm.MacVal,_xlpm.CSVVal&lt;&gt;"",_xlpm.CSVVal
)),"")</f>
        <v/>
      </c>
      <c r="R601" s="40"/>
      <c r="S601" s="40"/>
      <c r="T601" s="40"/>
      <c r="U601" s="40"/>
      <c r="V601" s="40"/>
      <c r="W601" s="40"/>
      <c r="X601" s="41" t="str">
        <f>_xlfn.LET(
    _xlpm.MacVal, _xlfn.XLOOKUP($A601, Output_Mac!$A:$A, Output_Mac!AB:AB, ""),
    _xlpm.MyAuditVal, _xlfn.XLOOKUP($A601, My_Audit!$A:$A, My_Audit!N:N, ""),
    _xlfn.TEXTJOIN(", ", TRUE, _xlpm.MyAuditVal, _xlpm.MacVal)
)</f>
        <v/>
      </c>
    </row>
    <row r="602" spans="1:24">
      <c r="A602" s="40" t="str">
        <f>_xlfn.TEXTJOIN("",TRUE,Input!$B$2,ROW(My_Audit!A601))</f>
        <v>X601</v>
      </c>
      <c r="B602" s="40" t="str">
        <f>_xlfn.TEXTJOIN("-",TRUE,"ITD",Input!$A$2,A602)</f>
        <v>ITD-X601</v>
      </c>
      <c r="C602" s="40" t="str" cm="1">
        <f t="array" ref="C602">IFERROR(_xlfn.LET(
_xlpm.CSVVal,_xlfn.XLOOKUP($A602,CSV!$A:$A,CSV!B:B,""),
_xlpm.MacVal,_xlfn.XLOOKUP($A602,Output_Mac!$A:$A,Output_Mac!B:B,""),
_xlpm.MyAuditVal,_xlfn.XLOOKUP($A602,My_Audit!$A:$A,My_Audit!B:B,""),
_xlfn.IFS(_xlpm.MyAuditVal&lt;&gt;"",UPPER(_xlpm.MyAuditVal),_xlpm.MacVal&lt;&gt;"",_xlpm.MacVal,_xlpm.CSVVal&lt;&gt;"",_xlpm.CSVVal
)),"")</f>
        <v/>
      </c>
      <c r="D602" s="40" t="str" cm="1">
        <f t="array" ref="D602">IFERROR(_xlfn.LET(
_xlpm.CSVVal,_xlfn.XLOOKUP($A602,CSV!$A:$A,CSV!D:D,""),
_xlpm.MacVal,_xlfn.XLOOKUP($A602,Output_Mac!$A:$A,Output_Mac!C:C,""),
_xlpm.MyAuditVal,_xlfn.XLOOKUP($A602,My_Audit!$A:$A,My_Audit!C:C,""),
_xlfn.IFS(_xlpm.MyAuditVal&lt;&gt;"",_xlpm.MyAuditVal,_xlpm.MacVal&lt;&gt;"",_xlpm.MacVal,_xlpm.CSVVal&lt;&gt;"",_xlpm.CSVVal
)),"")</f>
        <v/>
      </c>
      <c r="E602" s="40" t="str">
        <f>_xlfn.XLOOKUP(A602,My_Audit!A:A,My_Audit!D:D,"")</f>
        <v/>
      </c>
      <c r="F602" s="40" t="str" cm="1">
        <f t="array" ref="F602">IFERROR(_xlfn.LET(
_xlpm.CSVVal,_xlfn.XLOOKUP($A602,CSV!$A:$A,CSV!F:F,""),
_xlpm.MacVal,_xlfn.XLOOKUP($A602,Output_Mac!$A:$A,Output_Mac!E:E,""),
_xlpm.MyAuditVal,_xlfn.XLOOKUP($A602,My_Audit!$A:$A,My_Audit!E:E,""),
_xlfn.IFS(_xlpm.MyAuditVal&lt;&gt;"",_xlpm.MyAuditVal,_xlpm.MacVal&lt;&gt;"",_xlpm.MacVal,_xlpm.CSVVal&lt;&gt;"",_xlpm.CSVVal
)),"")</f>
        <v/>
      </c>
      <c r="G602" s="40" t="str" cm="1">
        <f t="array" ref="G602">IFERROR(_xlfn.LET(
_xlpm.CSVVal,_xlfn.XLOOKUP($A602,CSV!$A:$A,CSV!G:G,""),
_xlpm.MacVal,_xlfn.XLOOKUP($A602,Output_Mac!$A:$A,Output_Mac!F:F,""),
_xlpm.MyAuditVal,_xlfn.XLOOKUP($A602,My_Audit!$A:$A,My_Audit!F:F,""),
_xlfn.IFS(_xlpm.MyAuditVal&lt;&gt;"",_xlpm.MyAuditVal,_xlpm.MacVal&lt;&gt;"",_xlpm.MacVal,_xlpm.CSVVal&lt;&gt;"",PROPER(_xlpm.CSVVal)
)),"")</f>
        <v/>
      </c>
      <c r="H602" s="40" t="str" cm="1">
        <f t="array" ref="H602">IFERROR(_xlfn.LET(
_xlpm.CSVVal,_xlfn.XLOOKUP($A602,CSV!$A:$A,CSV!H:H,""),
_xlpm.MacVal,_xlfn.XLOOKUP($A602,Output_Mac!$A:$A,Output_Mac!H:H,""),
_xlpm.MyAuditVal,_xlfn.XLOOKUP($A602,My_Audit!$A:$A,My_Audit!G:G,""),
_xlfn.IFS(_xlpm.MyAuditVal&lt;&gt;"",_xlpm.MyAuditVal,_xlpm.MacVal&lt;&gt;"",_xlpm.MacVal,_xlpm.CSVVal&lt;&gt;"",_xlpm.CSVVal
)),"")</f>
        <v/>
      </c>
      <c r="I602" s="40" t="str">
        <f>_xlfn.XLOOKUP(A602,Output_Mac!A:A,Output_Mac!I:I,"")</f>
        <v/>
      </c>
      <c r="J602" s="40" t="str" cm="1">
        <f t="array" ref="J602">IFERROR(_xlfn.LET(
_xlpm.CSVVal,_xlfn.XLOOKUP($A602,CSV!$A:$A,CSV!I:I,""),
_xlpm.MacVal,_xlfn.XLOOKUP($A602,Output_Mac!$A:$A,Output_Mac!J:J,""),
_xlpm.MyAuditVal,_xlfn.XLOOKUP($A602,My_Audit!$A:$A,My_Audit!I:I,""),
_xlfn.IFS(_xlpm.MyAuditVal&lt;&gt;"",UPPER(_xlpm.MyAuditVal),_xlpm.MacVal&lt;&gt;"",_xlpm.MacVal,_xlpm.CSVVal&lt;&gt;"",_xlpm.CSVVal
)),"")</f>
        <v/>
      </c>
      <c r="K602" s="40" t="str" cm="1">
        <f t="array" ref="K602">IFERROR(_xlfn.LET(
_xlpm.CSVVal,_xlfn.XLOOKUP($A602,CSV!$A:$A,CSV!K:K,""),
_xlpm.MacVal,_xlfn.XLOOKUP($A602,Output_Mac!$A:$A,Output_Mac!K:K,""),
_xlpm.MyAuditVal,_xlfn.XLOOKUP($A602,My_Audit!$A:$A,My_Audit!J:J,""),
_xlfn.IFS(_xlpm.MyAuditVal&lt;&gt;"",UPPER(_xlpm.MyAuditVal),_xlpm.MacVal&lt;&gt;"",_xlpm.MacVal,_xlpm.CSVVal&lt;&gt;"",_xlpm.CSVVal
)),"")</f>
        <v/>
      </c>
      <c r="L602" s="40" t="str" cm="1">
        <f t="array" ref="L602">IFERROR(_xlfn.LET(
_xlpm.CSVVal,_xlfn.XLOOKUP($A602,CSV!$A:$A,CSV!P:P,""),
_xlpm.MacVal,_xlfn.XLOOKUP($A602,Output_Mac!$A:$A,Output_Mac!L:L,""),
_xlpm.MyAuditVal,_xlfn.XLOOKUP($A602,My_Audit!$A:$A,My_Audit!K:K,""),
_xlfn.IFS(_xlpm.MyAuditVal&lt;&gt;"",UPPER(_xlpm.MyAuditVal),_xlpm.MacVal&lt;&gt;"",_xlpm.MacVal,_xlpm.CSVVal&lt;&gt;"",_xlpm.CSVVal
)),"")</f>
        <v/>
      </c>
      <c r="M602" s="40" t="str" cm="1">
        <f t="array" ref="M602">IFERROR(_xlfn.LET(
_xlpm.CSVVal,_xlfn.XLOOKUP($A602,CSV!$A:$A,CSV!Q:Q,""),
_xlpm.MacVal,_xlfn.XLOOKUP($A602,Output_Mac!$A:$A,Output_Mac!M:M,""),
_xlpm.MyAuditVal,_xlfn.XLOOKUP($A602,My_Audit!$A:$A,My_Audit!L:L,""),
_xlfn.IFS(_xlpm.MyAuditVal&lt;&gt;"",UPPER(_xlpm.MyAuditVal),_xlpm.MacVal&lt;&gt;"",_xlpm.MacVal,_xlpm.CSVVal&lt;&gt;"",_xlpm.CSVVal
)),"")</f>
        <v/>
      </c>
      <c r="N602" s="40"/>
      <c r="O602" s="40" t="str">
        <f>_xlfn.LET(
    _xlpm.CSVVal, _xlfn.XLOOKUP($A602, CSV!$A:$A, CSV!AA:AA, ""),
    _xlpm.MacVal, _xlfn.XLOOKUP($A602, Output_Mac!$A:$A, Output_Mac!S:S, ""),
    _xlpm.MyAuditVal, _xlfn.XLOOKUP($A602, My_Audit!$A:$A, My_Audit!P:P, ""),
    _xlfn.TEXTJOIN(", ", TRUE, _xlpm.MyAuditVal, _xlpm.MacVal, _xlpm.CSVVal)
)</f>
        <v/>
      </c>
      <c r="P602" s="40" t="str" cm="1">
        <f t="array" ref="P602">IFERROR(_xlfn.LET(
_xlpm.CSVVal,_xlfn.XLOOKUP($A602,CSV!$A:$A,CSV!AB:AB,""),
_xlpm.MacVal,_xlfn.XLOOKUP($A602,Output_Mac!$A:$A,Output_Mac!T:T,""),
_xlpm.MyAuditVal,_xlfn.XLOOKUP($A602,My_Audit!$A:$A,My_Audit!Q:Q,""),
_xlfn.IFS(_xlpm.MyAuditVal&lt;&gt;"",UPPER(_xlpm.MyAuditVal),_xlpm.MacVal&lt;&gt;"",_xlpm.MacVal,_xlpm.CSVVal&lt;&gt;"",_xlpm.CSVVal
)),"No")</f>
        <v>No</v>
      </c>
      <c r="Q602" s="40" t="str" cm="1">
        <f t="array" ref="Q602">IFERROR(_xlfn.LET(
_xlpm.CSVVal,_xlfn.XLOOKUP($A602,CSV!$A:$A,CSV!AC:AC,""),
_xlpm.MacVal,_xlfn.XLOOKUP($A602,Output_Mac!$A:$A,Output_Mac!U:U,""),
_xlpm.MyAuditVal,_xlfn.XLOOKUP($A602,My_Audit!$A:$A,My_Audit!R:R,""),
_xlfn.IFS(_xlpm.MyAuditVal&lt;&gt;"",UPPER(_xlpm.MyAuditVal),_xlpm.MacVal&lt;&gt;"",_xlpm.MacVal,_xlpm.CSVVal&lt;&gt;"",_xlpm.CSVVal
)),"")</f>
        <v/>
      </c>
      <c r="R602" s="40"/>
      <c r="S602" s="40"/>
      <c r="T602" s="40"/>
      <c r="U602" s="40"/>
      <c r="V602" s="40"/>
      <c r="W602" s="40"/>
      <c r="X602" s="41" t="str">
        <f>_xlfn.LET(
    _xlpm.MacVal, _xlfn.XLOOKUP($A602, Output_Mac!$A:$A, Output_Mac!AB:AB, ""),
    _xlpm.MyAuditVal, _xlfn.XLOOKUP($A602, My_Audit!$A:$A, My_Audit!N:N, ""),
    _xlfn.TEXTJOIN(", ", TRUE, _xlpm.MyAuditVal, _xlpm.MacVal)
)</f>
        <v/>
      </c>
    </row>
    <row r="603" spans="1:24">
      <c r="A603" s="40" t="str">
        <f>_xlfn.TEXTJOIN("",TRUE,Input!$B$2,ROW(My_Audit!A602))</f>
        <v>X602</v>
      </c>
      <c r="B603" s="40" t="str">
        <f>_xlfn.TEXTJOIN("-",TRUE,"ITD",Input!$A$2,A603)</f>
        <v>ITD-X602</v>
      </c>
      <c r="C603" s="40" t="str" cm="1">
        <f t="array" ref="C603">IFERROR(_xlfn.LET(
_xlpm.CSVVal,_xlfn.XLOOKUP($A603,CSV!$A:$A,CSV!B:B,""),
_xlpm.MacVal,_xlfn.XLOOKUP($A603,Output_Mac!$A:$A,Output_Mac!B:B,""),
_xlpm.MyAuditVal,_xlfn.XLOOKUP($A603,My_Audit!$A:$A,My_Audit!B:B,""),
_xlfn.IFS(_xlpm.MyAuditVal&lt;&gt;"",UPPER(_xlpm.MyAuditVal),_xlpm.MacVal&lt;&gt;"",_xlpm.MacVal,_xlpm.CSVVal&lt;&gt;"",_xlpm.CSVVal
)),"")</f>
        <v/>
      </c>
      <c r="D603" s="40" t="str" cm="1">
        <f t="array" ref="D603">IFERROR(_xlfn.LET(
_xlpm.CSVVal,_xlfn.XLOOKUP($A603,CSV!$A:$A,CSV!D:D,""),
_xlpm.MacVal,_xlfn.XLOOKUP($A603,Output_Mac!$A:$A,Output_Mac!C:C,""),
_xlpm.MyAuditVal,_xlfn.XLOOKUP($A603,My_Audit!$A:$A,My_Audit!C:C,""),
_xlfn.IFS(_xlpm.MyAuditVal&lt;&gt;"",_xlpm.MyAuditVal,_xlpm.MacVal&lt;&gt;"",_xlpm.MacVal,_xlpm.CSVVal&lt;&gt;"",_xlpm.CSVVal
)),"")</f>
        <v/>
      </c>
      <c r="E603" s="40" t="str">
        <f>_xlfn.XLOOKUP(A603,My_Audit!A:A,My_Audit!D:D,"")</f>
        <v/>
      </c>
      <c r="F603" s="40" t="str" cm="1">
        <f t="array" ref="F603">IFERROR(_xlfn.LET(
_xlpm.CSVVal,_xlfn.XLOOKUP($A603,CSV!$A:$A,CSV!F:F,""),
_xlpm.MacVal,_xlfn.XLOOKUP($A603,Output_Mac!$A:$A,Output_Mac!E:E,""),
_xlpm.MyAuditVal,_xlfn.XLOOKUP($A603,My_Audit!$A:$A,My_Audit!E:E,""),
_xlfn.IFS(_xlpm.MyAuditVal&lt;&gt;"",_xlpm.MyAuditVal,_xlpm.MacVal&lt;&gt;"",_xlpm.MacVal,_xlpm.CSVVal&lt;&gt;"",_xlpm.CSVVal
)),"")</f>
        <v/>
      </c>
      <c r="G603" s="40" t="str" cm="1">
        <f t="array" ref="G603">IFERROR(_xlfn.LET(
_xlpm.CSVVal,_xlfn.XLOOKUP($A603,CSV!$A:$A,CSV!G:G,""),
_xlpm.MacVal,_xlfn.XLOOKUP($A603,Output_Mac!$A:$A,Output_Mac!F:F,""),
_xlpm.MyAuditVal,_xlfn.XLOOKUP($A603,My_Audit!$A:$A,My_Audit!F:F,""),
_xlfn.IFS(_xlpm.MyAuditVal&lt;&gt;"",_xlpm.MyAuditVal,_xlpm.MacVal&lt;&gt;"",_xlpm.MacVal,_xlpm.CSVVal&lt;&gt;"",PROPER(_xlpm.CSVVal)
)),"")</f>
        <v/>
      </c>
      <c r="H603" s="40" t="str" cm="1">
        <f t="array" ref="H603">IFERROR(_xlfn.LET(
_xlpm.CSVVal,_xlfn.XLOOKUP($A603,CSV!$A:$A,CSV!H:H,""),
_xlpm.MacVal,_xlfn.XLOOKUP($A603,Output_Mac!$A:$A,Output_Mac!H:H,""),
_xlpm.MyAuditVal,_xlfn.XLOOKUP($A603,My_Audit!$A:$A,My_Audit!G:G,""),
_xlfn.IFS(_xlpm.MyAuditVal&lt;&gt;"",_xlpm.MyAuditVal,_xlpm.MacVal&lt;&gt;"",_xlpm.MacVal,_xlpm.CSVVal&lt;&gt;"",_xlpm.CSVVal
)),"")</f>
        <v/>
      </c>
      <c r="I603" s="40" t="str">
        <f>_xlfn.XLOOKUP(A603,Output_Mac!A:A,Output_Mac!I:I,"")</f>
        <v/>
      </c>
      <c r="J603" s="40" t="str" cm="1">
        <f t="array" ref="J603">IFERROR(_xlfn.LET(
_xlpm.CSVVal,_xlfn.XLOOKUP($A603,CSV!$A:$A,CSV!I:I,""),
_xlpm.MacVal,_xlfn.XLOOKUP($A603,Output_Mac!$A:$A,Output_Mac!J:J,""),
_xlpm.MyAuditVal,_xlfn.XLOOKUP($A603,My_Audit!$A:$A,My_Audit!I:I,""),
_xlfn.IFS(_xlpm.MyAuditVal&lt;&gt;"",UPPER(_xlpm.MyAuditVal),_xlpm.MacVal&lt;&gt;"",_xlpm.MacVal,_xlpm.CSVVal&lt;&gt;"",_xlpm.CSVVal
)),"")</f>
        <v/>
      </c>
      <c r="K603" s="40" t="str" cm="1">
        <f t="array" ref="K603">IFERROR(_xlfn.LET(
_xlpm.CSVVal,_xlfn.XLOOKUP($A603,CSV!$A:$A,CSV!K:K,""),
_xlpm.MacVal,_xlfn.XLOOKUP($A603,Output_Mac!$A:$A,Output_Mac!K:K,""),
_xlpm.MyAuditVal,_xlfn.XLOOKUP($A603,My_Audit!$A:$A,My_Audit!J:J,""),
_xlfn.IFS(_xlpm.MyAuditVal&lt;&gt;"",UPPER(_xlpm.MyAuditVal),_xlpm.MacVal&lt;&gt;"",_xlpm.MacVal,_xlpm.CSVVal&lt;&gt;"",_xlpm.CSVVal
)),"")</f>
        <v/>
      </c>
      <c r="L603" s="40" t="str" cm="1">
        <f t="array" ref="L603">IFERROR(_xlfn.LET(
_xlpm.CSVVal,_xlfn.XLOOKUP($A603,CSV!$A:$A,CSV!P:P,""),
_xlpm.MacVal,_xlfn.XLOOKUP($A603,Output_Mac!$A:$A,Output_Mac!L:L,""),
_xlpm.MyAuditVal,_xlfn.XLOOKUP($A603,My_Audit!$A:$A,My_Audit!K:K,""),
_xlfn.IFS(_xlpm.MyAuditVal&lt;&gt;"",UPPER(_xlpm.MyAuditVal),_xlpm.MacVal&lt;&gt;"",_xlpm.MacVal,_xlpm.CSVVal&lt;&gt;"",_xlpm.CSVVal
)),"")</f>
        <v/>
      </c>
      <c r="M603" s="40" t="str" cm="1">
        <f t="array" ref="M603">IFERROR(_xlfn.LET(
_xlpm.CSVVal,_xlfn.XLOOKUP($A603,CSV!$A:$A,CSV!Q:Q,""),
_xlpm.MacVal,_xlfn.XLOOKUP($A603,Output_Mac!$A:$A,Output_Mac!M:M,""),
_xlpm.MyAuditVal,_xlfn.XLOOKUP($A603,My_Audit!$A:$A,My_Audit!L:L,""),
_xlfn.IFS(_xlpm.MyAuditVal&lt;&gt;"",UPPER(_xlpm.MyAuditVal),_xlpm.MacVal&lt;&gt;"",_xlpm.MacVal,_xlpm.CSVVal&lt;&gt;"",_xlpm.CSVVal
)),"")</f>
        <v/>
      </c>
      <c r="N603" s="40"/>
      <c r="O603" s="40" t="str">
        <f>_xlfn.LET(
    _xlpm.CSVVal, _xlfn.XLOOKUP($A603, CSV!$A:$A, CSV!AA:AA, ""),
    _xlpm.MacVal, _xlfn.XLOOKUP($A603, Output_Mac!$A:$A, Output_Mac!S:S, ""),
    _xlpm.MyAuditVal, _xlfn.XLOOKUP($A603, My_Audit!$A:$A, My_Audit!P:P, ""),
    _xlfn.TEXTJOIN(", ", TRUE, _xlpm.MyAuditVal, _xlpm.MacVal, _xlpm.CSVVal)
)</f>
        <v/>
      </c>
      <c r="P603" s="40" t="str" cm="1">
        <f t="array" ref="P603">IFERROR(_xlfn.LET(
_xlpm.CSVVal,_xlfn.XLOOKUP($A603,CSV!$A:$A,CSV!AB:AB,""),
_xlpm.MacVal,_xlfn.XLOOKUP($A603,Output_Mac!$A:$A,Output_Mac!T:T,""),
_xlpm.MyAuditVal,_xlfn.XLOOKUP($A603,My_Audit!$A:$A,My_Audit!Q:Q,""),
_xlfn.IFS(_xlpm.MyAuditVal&lt;&gt;"",UPPER(_xlpm.MyAuditVal),_xlpm.MacVal&lt;&gt;"",_xlpm.MacVal,_xlpm.CSVVal&lt;&gt;"",_xlpm.CSVVal
)),"No")</f>
        <v>No</v>
      </c>
      <c r="Q603" s="40" t="str" cm="1">
        <f t="array" ref="Q603">IFERROR(_xlfn.LET(
_xlpm.CSVVal,_xlfn.XLOOKUP($A603,CSV!$A:$A,CSV!AC:AC,""),
_xlpm.MacVal,_xlfn.XLOOKUP($A603,Output_Mac!$A:$A,Output_Mac!U:U,""),
_xlpm.MyAuditVal,_xlfn.XLOOKUP($A603,My_Audit!$A:$A,My_Audit!R:R,""),
_xlfn.IFS(_xlpm.MyAuditVal&lt;&gt;"",UPPER(_xlpm.MyAuditVal),_xlpm.MacVal&lt;&gt;"",_xlpm.MacVal,_xlpm.CSVVal&lt;&gt;"",_xlpm.CSVVal
)),"")</f>
        <v/>
      </c>
      <c r="R603" s="40"/>
      <c r="S603" s="40"/>
      <c r="T603" s="40"/>
      <c r="U603" s="40"/>
      <c r="V603" s="40"/>
      <c r="W603" s="40"/>
      <c r="X603" s="41" t="str">
        <f>_xlfn.LET(
    _xlpm.MacVal, _xlfn.XLOOKUP($A603, Output_Mac!$A:$A, Output_Mac!AB:AB, ""),
    _xlpm.MyAuditVal, _xlfn.XLOOKUP($A603, My_Audit!$A:$A, My_Audit!N:N, ""),
    _xlfn.TEXTJOIN(", ", TRUE, _xlpm.MyAuditVal, _xlpm.MacVal)
)</f>
        <v/>
      </c>
    </row>
    <row r="604" spans="1:24">
      <c r="A604" s="40" t="str">
        <f>_xlfn.TEXTJOIN("",TRUE,Input!$B$2,ROW(My_Audit!A603))</f>
        <v>X603</v>
      </c>
      <c r="B604" s="40" t="str">
        <f>_xlfn.TEXTJOIN("-",TRUE,"ITD",Input!$A$2,A604)</f>
        <v>ITD-X603</v>
      </c>
      <c r="C604" s="40" t="str" cm="1">
        <f t="array" ref="C604">IFERROR(_xlfn.LET(
_xlpm.CSVVal,_xlfn.XLOOKUP($A604,CSV!$A:$A,CSV!B:B,""),
_xlpm.MacVal,_xlfn.XLOOKUP($A604,Output_Mac!$A:$A,Output_Mac!B:B,""),
_xlpm.MyAuditVal,_xlfn.XLOOKUP($A604,My_Audit!$A:$A,My_Audit!B:B,""),
_xlfn.IFS(_xlpm.MyAuditVal&lt;&gt;"",UPPER(_xlpm.MyAuditVal),_xlpm.MacVal&lt;&gt;"",_xlpm.MacVal,_xlpm.CSVVal&lt;&gt;"",_xlpm.CSVVal
)),"")</f>
        <v/>
      </c>
      <c r="D604" s="40" t="str" cm="1">
        <f t="array" ref="D604">IFERROR(_xlfn.LET(
_xlpm.CSVVal,_xlfn.XLOOKUP($A604,CSV!$A:$A,CSV!D:D,""),
_xlpm.MacVal,_xlfn.XLOOKUP($A604,Output_Mac!$A:$A,Output_Mac!C:C,""),
_xlpm.MyAuditVal,_xlfn.XLOOKUP($A604,My_Audit!$A:$A,My_Audit!C:C,""),
_xlfn.IFS(_xlpm.MyAuditVal&lt;&gt;"",_xlpm.MyAuditVal,_xlpm.MacVal&lt;&gt;"",_xlpm.MacVal,_xlpm.CSVVal&lt;&gt;"",_xlpm.CSVVal
)),"")</f>
        <v/>
      </c>
      <c r="E604" s="40" t="str">
        <f>_xlfn.XLOOKUP(A604,My_Audit!A:A,My_Audit!D:D,"")</f>
        <v/>
      </c>
      <c r="F604" s="40" t="str" cm="1">
        <f t="array" ref="F604">IFERROR(_xlfn.LET(
_xlpm.CSVVal,_xlfn.XLOOKUP($A604,CSV!$A:$A,CSV!F:F,""),
_xlpm.MacVal,_xlfn.XLOOKUP($A604,Output_Mac!$A:$A,Output_Mac!E:E,""),
_xlpm.MyAuditVal,_xlfn.XLOOKUP($A604,My_Audit!$A:$A,My_Audit!E:E,""),
_xlfn.IFS(_xlpm.MyAuditVal&lt;&gt;"",_xlpm.MyAuditVal,_xlpm.MacVal&lt;&gt;"",_xlpm.MacVal,_xlpm.CSVVal&lt;&gt;"",_xlpm.CSVVal
)),"")</f>
        <v/>
      </c>
      <c r="G604" s="40" t="str" cm="1">
        <f t="array" ref="G604">IFERROR(_xlfn.LET(
_xlpm.CSVVal,_xlfn.XLOOKUP($A604,CSV!$A:$A,CSV!G:G,""),
_xlpm.MacVal,_xlfn.XLOOKUP($A604,Output_Mac!$A:$A,Output_Mac!F:F,""),
_xlpm.MyAuditVal,_xlfn.XLOOKUP($A604,My_Audit!$A:$A,My_Audit!F:F,""),
_xlfn.IFS(_xlpm.MyAuditVal&lt;&gt;"",_xlpm.MyAuditVal,_xlpm.MacVal&lt;&gt;"",_xlpm.MacVal,_xlpm.CSVVal&lt;&gt;"",PROPER(_xlpm.CSVVal)
)),"")</f>
        <v/>
      </c>
      <c r="H604" s="40" t="str" cm="1">
        <f t="array" ref="H604">IFERROR(_xlfn.LET(
_xlpm.CSVVal,_xlfn.XLOOKUP($A604,CSV!$A:$A,CSV!H:H,""),
_xlpm.MacVal,_xlfn.XLOOKUP($A604,Output_Mac!$A:$A,Output_Mac!H:H,""),
_xlpm.MyAuditVal,_xlfn.XLOOKUP($A604,My_Audit!$A:$A,My_Audit!G:G,""),
_xlfn.IFS(_xlpm.MyAuditVal&lt;&gt;"",_xlpm.MyAuditVal,_xlpm.MacVal&lt;&gt;"",_xlpm.MacVal,_xlpm.CSVVal&lt;&gt;"",_xlpm.CSVVal
)),"")</f>
        <v/>
      </c>
      <c r="I604" s="40" t="str">
        <f>_xlfn.XLOOKUP(A604,Output_Mac!A:A,Output_Mac!I:I,"")</f>
        <v/>
      </c>
      <c r="J604" s="40" t="str" cm="1">
        <f t="array" ref="J604">IFERROR(_xlfn.LET(
_xlpm.CSVVal,_xlfn.XLOOKUP($A604,CSV!$A:$A,CSV!I:I,""),
_xlpm.MacVal,_xlfn.XLOOKUP($A604,Output_Mac!$A:$A,Output_Mac!J:J,""),
_xlpm.MyAuditVal,_xlfn.XLOOKUP($A604,My_Audit!$A:$A,My_Audit!I:I,""),
_xlfn.IFS(_xlpm.MyAuditVal&lt;&gt;"",UPPER(_xlpm.MyAuditVal),_xlpm.MacVal&lt;&gt;"",_xlpm.MacVal,_xlpm.CSVVal&lt;&gt;"",_xlpm.CSVVal
)),"")</f>
        <v/>
      </c>
      <c r="K604" s="40" t="str" cm="1">
        <f t="array" ref="K604">IFERROR(_xlfn.LET(
_xlpm.CSVVal,_xlfn.XLOOKUP($A604,CSV!$A:$A,CSV!K:K,""),
_xlpm.MacVal,_xlfn.XLOOKUP($A604,Output_Mac!$A:$A,Output_Mac!K:K,""),
_xlpm.MyAuditVal,_xlfn.XLOOKUP($A604,My_Audit!$A:$A,My_Audit!J:J,""),
_xlfn.IFS(_xlpm.MyAuditVal&lt;&gt;"",UPPER(_xlpm.MyAuditVal),_xlpm.MacVal&lt;&gt;"",_xlpm.MacVal,_xlpm.CSVVal&lt;&gt;"",_xlpm.CSVVal
)),"")</f>
        <v/>
      </c>
      <c r="L604" s="40" t="str" cm="1">
        <f t="array" ref="L604">IFERROR(_xlfn.LET(
_xlpm.CSVVal,_xlfn.XLOOKUP($A604,CSV!$A:$A,CSV!P:P,""),
_xlpm.MacVal,_xlfn.XLOOKUP($A604,Output_Mac!$A:$A,Output_Mac!L:L,""),
_xlpm.MyAuditVal,_xlfn.XLOOKUP($A604,My_Audit!$A:$A,My_Audit!K:K,""),
_xlfn.IFS(_xlpm.MyAuditVal&lt;&gt;"",UPPER(_xlpm.MyAuditVal),_xlpm.MacVal&lt;&gt;"",_xlpm.MacVal,_xlpm.CSVVal&lt;&gt;"",_xlpm.CSVVal
)),"")</f>
        <v/>
      </c>
      <c r="M604" s="40" t="str" cm="1">
        <f t="array" ref="M604">IFERROR(_xlfn.LET(
_xlpm.CSVVal,_xlfn.XLOOKUP($A604,CSV!$A:$A,CSV!Q:Q,""),
_xlpm.MacVal,_xlfn.XLOOKUP($A604,Output_Mac!$A:$A,Output_Mac!M:M,""),
_xlpm.MyAuditVal,_xlfn.XLOOKUP($A604,My_Audit!$A:$A,My_Audit!L:L,""),
_xlfn.IFS(_xlpm.MyAuditVal&lt;&gt;"",UPPER(_xlpm.MyAuditVal),_xlpm.MacVal&lt;&gt;"",_xlpm.MacVal,_xlpm.CSVVal&lt;&gt;"",_xlpm.CSVVal
)),"")</f>
        <v/>
      </c>
      <c r="N604" s="40"/>
      <c r="O604" s="40" t="str">
        <f>_xlfn.LET(
    _xlpm.CSVVal, _xlfn.XLOOKUP($A604, CSV!$A:$A, CSV!AA:AA, ""),
    _xlpm.MacVal, _xlfn.XLOOKUP($A604, Output_Mac!$A:$A, Output_Mac!S:S, ""),
    _xlpm.MyAuditVal, _xlfn.XLOOKUP($A604, My_Audit!$A:$A, My_Audit!P:P, ""),
    _xlfn.TEXTJOIN(", ", TRUE, _xlpm.MyAuditVal, _xlpm.MacVal, _xlpm.CSVVal)
)</f>
        <v/>
      </c>
      <c r="P604" s="40" t="str" cm="1">
        <f t="array" ref="P604">IFERROR(_xlfn.LET(
_xlpm.CSVVal,_xlfn.XLOOKUP($A604,CSV!$A:$A,CSV!AB:AB,""),
_xlpm.MacVal,_xlfn.XLOOKUP($A604,Output_Mac!$A:$A,Output_Mac!T:T,""),
_xlpm.MyAuditVal,_xlfn.XLOOKUP($A604,My_Audit!$A:$A,My_Audit!Q:Q,""),
_xlfn.IFS(_xlpm.MyAuditVal&lt;&gt;"",UPPER(_xlpm.MyAuditVal),_xlpm.MacVal&lt;&gt;"",_xlpm.MacVal,_xlpm.CSVVal&lt;&gt;"",_xlpm.CSVVal
)),"No")</f>
        <v>No</v>
      </c>
      <c r="Q604" s="40" t="str" cm="1">
        <f t="array" ref="Q604">IFERROR(_xlfn.LET(
_xlpm.CSVVal,_xlfn.XLOOKUP($A604,CSV!$A:$A,CSV!AC:AC,""),
_xlpm.MacVal,_xlfn.XLOOKUP($A604,Output_Mac!$A:$A,Output_Mac!U:U,""),
_xlpm.MyAuditVal,_xlfn.XLOOKUP($A604,My_Audit!$A:$A,My_Audit!R:R,""),
_xlfn.IFS(_xlpm.MyAuditVal&lt;&gt;"",UPPER(_xlpm.MyAuditVal),_xlpm.MacVal&lt;&gt;"",_xlpm.MacVal,_xlpm.CSVVal&lt;&gt;"",_xlpm.CSVVal
)),"")</f>
        <v/>
      </c>
      <c r="R604" s="40"/>
      <c r="S604" s="40"/>
      <c r="T604" s="40"/>
      <c r="U604" s="40"/>
      <c r="V604" s="40"/>
      <c r="W604" s="40"/>
      <c r="X604" s="41" t="str">
        <f>_xlfn.LET(
    _xlpm.MacVal, _xlfn.XLOOKUP($A604, Output_Mac!$A:$A, Output_Mac!AB:AB, ""),
    _xlpm.MyAuditVal, _xlfn.XLOOKUP($A604, My_Audit!$A:$A, My_Audit!N:N, ""),
    _xlfn.TEXTJOIN(", ", TRUE, _xlpm.MyAuditVal, _xlpm.MacVal)
)</f>
        <v/>
      </c>
    </row>
    <row r="605" spans="1:24">
      <c r="A605" s="40" t="str">
        <f>_xlfn.TEXTJOIN("",TRUE,Input!$B$2,ROW(My_Audit!A604))</f>
        <v>X604</v>
      </c>
      <c r="B605" s="40" t="str">
        <f>_xlfn.TEXTJOIN("-",TRUE,"ITD",Input!$A$2,A605)</f>
        <v>ITD-X604</v>
      </c>
      <c r="C605" s="40" t="str" cm="1">
        <f t="array" ref="C605">IFERROR(_xlfn.LET(
_xlpm.CSVVal,_xlfn.XLOOKUP($A605,CSV!$A:$A,CSV!B:B,""),
_xlpm.MacVal,_xlfn.XLOOKUP($A605,Output_Mac!$A:$A,Output_Mac!B:B,""),
_xlpm.MyAuditVal,_xlfn.XLOOKUP($A605,My_Audit!$A:$A,My_Audit!B:B,""),
_xlfn.IFS(_xlpm.MyAuditVal&lt;&gt;"",UPPER(_xlpm.MyAuditVal),_xlpm.MacVal&lt;&gt;"",_xlpm.MacVal,_xlpm.CSVVal&lt;&gt;"",_xlpm.CSVVal
)),"")</f>
        <v/>
      </c>
      <c r="D605" s="40" t="str" cm="1">
        <f t="array" ref="D605">IFERROR(_xlfn.LET(
_xlpm.CSVVal,_xlfn.XLOOKUP($A605,CSV!$A:$A,CSV!D:D,""),
_xlpm.MacVal,_xlfn.XLOOKUP($A605,Output_Mac!$A:$A,Output_Mac!C:C,""),
_xlpm.MyAuditVal,_xlfn.XLOOKUP($A605,My_Audit!$A:$A,My_Audit!C:C,""),
_xlfn.IFS(_xlpm.MyAuditVal&lt;&gt;"",_xlpm.MyAuditVal,_xlpm.MacVal&lt;&gt;"",_xlpm.MacVal,_xlpm.CSVVal&lt;&gt;"",_xlpm.CSVVal
)),"")</f>
        <v/>
      </c>
      <c r="E605" s="40" t="str">
        <f>_xlfn.XLOOKUP(A605,My_Audit!A:A,My_Audit!D:D,"")</f>
        <v/>
      </c>
      <c r="F605" s="40" t="str" cm="1">
        <f t="array" ref="F605">IFERROR(_xlfn.LET(
_xlpm.CSVVal,_xlfn.XLOOKUP($A605,CSV!$A:$A,CSV!F:F,""),
_xlpm.MacVal,_xlfn.XLOOKUP($A605,Output_Mac!$A:$A,Output_Mac!E:E,""),
_xlpm.MyAuditVal,_xlfn.XLOOKUP($A605,My_Audit!$A:$A,My_Audit!E:E,""),
_xlfn.IFS(_xlpm.MyAuditVal&lt;&gt;"",_xlpm.MyAuditVal,_xlpm.MacVal&lt;&gt;"",_xlpm.MacVal,_xlpm.CSVVal&lt;&gt;"",_xlpm.CSVVal
)),"")</f>
        <v/>
      </c>
      <c r="G605" s="40" t="str" cm="1">
        <f t="array" ref="G605">IFERROR(_xlfn.LET(
_xlpm.CSVVal,_xlfn.XLOOKUP($A605,CSV!$A:$A,CSV!G:G,""),
_xlpm.MacVal,_xlfn.XLOOKUP($A605,Output_Mac!$A:$A,Output_Mac!F:F,""),
_xlpm.MyAuditVal,_xlfn.XLOOKUP($A605,My_Audit!$A:$A,My_Audit!F:F,""),
_xlfn.IFS(_xlpm.MyAuditVal&lt;&gt;"",_xlpm.MyAuditVal,_xlpm.MacVal&lt;&gt;"",_xlpm.MacVal,_xlpm.CSVVal&lt;&gt;"",PROPER(_xlpm.CSVVal)
)),"")</f>
        <v/>
      </c>
      <c r="H605" s="40" t="str" cm="1">
        <f t="array" ref="H605">IFERROR(_xlfn.LET(
_xlpm.CSVVal,_xlfn.XLOOKUP($A605,CSV!$A:$A,CSV!H:H,""),
_xlpm.MacVal,_xlfn.XLOOKUP($A605,Output_Mac!$A:$A,Output_Mac!H:H,""),
_xlpm.MyAuditVal,_xlfn.XLOOKUP($A605,My_Audit!$A:$A,My_Audit!G:G,""),
_xlfn.IFS(_xlpm.MyAuditVal&lt;&gt;"",_xlpm.MyAuditVal,_xlpm.MacVal&lt;&gt;"",_xlpm.MacVal,_xlpm.CSVVal&lt;&gt;"",_xlpm.CSVVal
)),"")</f>
        <v/>
      </c>
      <c r="I605" s="40" t="str">
        <f>_xlfn.XLOOKUP(A605,Output_Mac!A:A,Output_Mac!I:I,"")</f>
        <v/>
      </c>
      <c r="J605" s="40" t="str" cm="1">
        <f t="array" ref="J605">IFERROR(_xlfn.LET(
_xlpm.CSVVal,_xlfn.XLOOKUP($A605,CSV!$A:$A,CSV!I:I,""),
_xlpm.MacVal,_xlfn.XLOOKUP($A605,Output_Mac!$A:$A,Output_Mac!J:J,""),
_xlpm.MyAuditVal,_xlfn.XLOOKUP($A605,My_Audit!$A:$A,My_Audit!I:I,""),
_xlfn.IFS(_xlpm.MyAuditVal&lt;&gt;"",UPPER(_xlpm.MyAuditVal),_xlpm.MacVal&lt;&gt;"",_xlpm.MacVal,_xlpm.CSVVal&lt;&gt;"",_xlpm.CSVVal
)),"")</f>
        <v/>
      </c>
      <c r="K605" s="40" t="str" cm="1">
        <f t="array" ref="K605">IFERROR(_xlfn.LET(
_xlpm.CSVVal,_xlfn.XLOOKUP($A605,CSV!$A:$A,CSV!K:K,""),
_xlpm.MacVal,_xlfn.XLOOKUP($A605,Output_Mac!$A:$A,Output_Mac!K:K,""),
_xlpm.MyAuditVal,_xlfn.XLOOKUP($A605,My_Audit!$A:$A,My_Audit!J:J,""),
_xlfn.IFS(_xlpm.MyAuditVal&lt;&gt;"",UPPER(_xlpm.MyAuditVal),_xlpm.MacVal&lt;&gt;"",_xlpm.MacVal,_xlpm.CSVVal&lt;&gt;"",_xlpm.CSVVal
)),"")</f>
        <v/>
      </c>
      <c r="L605" s="40" t="str" cm="1">
        <f t="array" ref="L605">IFERROR(_xlfn.LET(
_xlpm.CSVVal,_xlfn.XLOOKUP($A605,CSV!$A:$A,CSV!P:P,""),
_xlpm.MacVal,_xlfn.XLOOKUP($A605,Output_Mac!$A:$A,Output_Mac!L:L,""),
_xlpm.MyAuditVal,_xlfn.XLOOKUP($A605,My_Audit!$A:$A,My_Audit!K:K,""),
_xlfn.IFS(_xlpm.MyAuditVal&lt;&gt;"",UPPER(_xlpm.MyAuditVal),_xlpm.MacVal&lt;&gt;"",_xlpm.MacVal,_xlpm.CSVVal&lt;&gt;"",_xlpm.CSVVal
)),"")</f>
        <v/>
      </c>
      <c r="M605" s="40" t="str" cm="1">
        <f t="array" ref="M605">IFERROR(_xlfn.LET(
_xlpm.CSVVal,_xlfn.XLOOKUP($A605,CSV!$A:$A,CSV!Q:Q,""),
_xlpm.MacVal,_xlfn.XLOOKUP($A605,Output_Mac!$A:$A,Output_Mac!M:M,""),
_xlpm.MyAuditVal,_xlfn.XLOOKUP($A605,My_Audit!$A:$A,My_Audit!L:L,""),
_xlfn.IFS(_xlpm.MyAuditVal&lt;&gt;"",UPPER(_xlpm.MyAuditVal),_xlpm.MacVal&lt;&gt;"",_xlpm.MacVal,_xlpm.CSVVal&lt;&gt;"",_xlpm.CSVVal
)),"")</f>
        <v/>
      </c>
      <c r="N605" s="40"/>
      <c r="O605" s="40" t="str">
        <f>_xlfn.LET(
    _xlpm.CSVVal, _xlfn.XLOOKUP($A605, CSV!$A:$A, CSV!AA:AA, ""),
    _xlpm.MacVal, _xlfn.XLOOKUP($A605, Output_Mac!$A:$A, Output_Mac!S:S, ""),
    _xlpm.MyAuditVal, _xlfn.XLOOKUP($A605, My_Audit!$A:$A, My_Audit!P:P, ""),
    _xlfn.TEXTJOIN(", ", TRUE, _xlpm.MyAuditVal, _xlpm.MacVal, _xlpm.CSVVal)
)</f>
        <v/>
      </c>
      <c r="P605" s="40" t="str" cm="1">
        <f t="array" ref="P605">IFERROR(_xlfn.LET(
_xlpm.CSVVal,_xlfn.XLOOKUP($A605,CSV!$A:$A,CSV!AB:AB,""),
_xlpm.MacVal,_xlfn.XLOOKUP($A605,Output_Mac!$A:$A,Output_Mac!T:T,""),
_xlpm.MyAuditVal,_xlfn.XLOOKUP($A605,My_Audit!$A:$A,My_Audit!Q:Q,""),
_xlfn.IFS(_xlpm.MyAuditVal&lt;&gt;"",UPPER(_xlpm.MyAuditVal),_xlpm.MacVal&lt;&gt;"",_xlpm.MacVal,_xlpm.CSVVal&lt;&gt;"",_xlpm.CSVVal
)),"No")</f>
        <v>No</v>
      </c>
      <c r="Q605" s="40" t="str" cm="1">
        <f t="array" ref="Q605">IFERROR(_xlfn.LET(
_xlpm.CSVVal,_xlfn.XLOOKUP($A605,CSV!$A:$A,CSV!AC:AC,""),
_xlpm.MacVal,_xlfn.XLOOKUP($A605,Output_Mac!$A:$A,Output_Mac!U:U,""),
_xlpm.MyAuditVal,_xlfn.XLOOKUP($A605,My_Audit!$A:$A,My_Audit!R:R,""),
_xlfn.IFS(_xlpm.MyAuditVal&lt;&gt;"",UPPER(_xlpm.MyAuditVal),_xlpm.MacVal&lt;&gt;"",_xlpm.MacVal,_xlpm.CSVVal&lt;&gt;"",_xlpm.CSVVal
)),"")</f>
        <v/>
      </c>
      <c r="R605" s="40"/>
      <c r="S605" s="40"/>
      <c r="T605" s="40"/>
      <c r="U605" s="40"/>
      <c r="V605" s="40"/>
      <c r="W605" s="40"/>
      <c r="X605" s="41" t="str">
        <f>_xlfn.LET(
    _xlpm.MacVal, _xlfn.XLOOKUP($A605, Output_Mac!$A:$A, Output_Mac!AB:AB, ""),
    _xlpm.MyAuditVal, _xlfn.XLOOKUP($A605, My_Audit!$A:$A, My_Audit!N:N, ""),
    _xlfn.TEXTJOIN(", ", TRUE, _xlpm.MyAuditVal, _xlpm.MacVal)
)</f>
        <v/>
      </c>
    </row>
    <row r="606" spans="1:24">
      <c r="A606" s="40" t="str">
        <f>_xlfn.TEXTJOIN("",TRUE,Input!$B$2,ROW(My_Audit!A605))</f>
        <v>X605</v>
      </c>
      <c r="B606" s="40" t="str">
        <f>_xlfn.TEXTJOIN("-",TRUE,"ITD",Input!$A$2,A606)</f>
        <v>ITD-X605</v>
      </c>
      <c r="C606" s="40" t="str" cm="1">
        <f t="array" ref="C606">IFERROR(_xlfn.LET(
_xlpm.CSVVal,_xlfn.XLOOKUP($A606,CSV!$A:$A,CSV!B:B,""),
_xlpm.MacVal,_xlfn.XLOOKUP($A606,Output_Mac!$A:$A,Output_Mac!B:B,""),
_xlpm.MyAuditVal,_xlfn.XLOOKUP($A606,My_Audit!$A:$A,My_Audit!B:B,""),
_xlfn.IFS(_xlpm.MyAuditVal&lt;&gt;"",UPPER(_xlpm.MyAuditVal),_xlpm.MacVal&lt;&gt;"",_xlpm.MacVal,_xlpm.CSVVal&lt;&gt;"",_xlpm.CSVVal
)),"")</f>
        <v/>
      </c>
      <c r="D606" s="40" t="str" cm="1">
        <f t="array" ref="D606">IFERROR(_xlfn.LET(
_xlpm.CSVVal,_xlfn.XLOOKUP($A606,CSV!$A:$A,CSV!D:D,""),
_xlpm.MacVal,_xlfn.XLOOKUP($A606,Output_Mac!$A:$A,Output_Mac!C:C,""),
_xlpm.MyAuditVal,_xlfn.XLOOKUP($A606,My_Audit!$A:$A,My_Audit!C:C,""),
_xlfn.IFS(_xlpm.MyAuditVal&lt;&gt;"",_xlpm.MyAuditVal,_xlpm.MacVal&lt;&gt;"",_xlpm.MacVal,_xlpm.CSVVal&lt;&gt;"",_xlpm.CSVVal
)),"")</f>
        <v/>
      </c>
      <c r="E606" s="40" t="str">
        <f>_xlfn.XLOOKUP(A606,My_Audit!A:A,My_Audit!D:D,"")</f>
        <v/>
      </c>
      <c r="F606" s="40" t="str" cm="1">
        <f t="array" ref="F606">IFERROR(_xlfn.LET(
_xlpm.CSVVal,_xlfn.XLOOKUP($A606,CSV!$A:$A,CSV!F:F,""),
_xlpm.MacVal,_xlfn.XLOOKUP($A606,Output_Mac!$A:$A,Output_Mac!E:E,""),
_xlpm.MyAuditVal,_xlfn.XLOOKUP($A606,My_Audit!$A:$A,My_Audit!E:E,""),
_xlfn.IFS(_xlpm.MyAuditVal&lt;&gt;"",_xlpm.MyAuditVal,_xlpm.MacVal&lt;&gt;"",_xlpm.MacVal,_xlpm.CSVVal&lt;&gt;"",_xlpm.CSVVal
)),"")</f>
        <v/>
      </c>
      <c r="G606" s="40" t="str" cm="1">
        <f t="array" ref="G606">IFERROR(_xlfn.LET(
_xlpm.CSVVal,_xlfn.XLOOKUP($A606,CSV!$A:$A,CSV!G:G,""),
_xlpm.MacVal,_xlfn.XLOOKUP($A606,Output_Mac!$A:$A,Output_Mac!F:F,""),
_xlpm.MyAuditVal,_xlfn.XLOOKUP($A606,My_Audit!$A:$A,My_Audit!F:F,""),
_xlfn.IFS(_xlpm.MyAuditVal&lt;&gt;"",_xlpm.MyAuditVal,_xlpm.MacVal&lt;&gt;"",_xlpm.MacVal,_xlpm.CSVVal&lt;&gt;"",PROPER(_xlpm.CSVVal)
)),"")</f>
        <v/>
      </c>
      <c r="H606" s="40" t="str" cm="1">
        <f t="array" ref="H606">IFERROR(_xlfn.LET(
_xlpm.CSVVal,_xlfn.XLOOKUP($A606,CSV!$A:$A,CSV!H:H,""),
_xlpm.MacVal,_xlfn.XLOOKUP($A606,Output_Mac!$A:$A,Output_Mac!H:H,""),
_xlpm.MyAuditVal,_xlfn.XLOOKUP($A606,My_Audit!$A:$A,My_Audit!G:G,""),
_xlfn.IFS(_xlpm.MyAuditVal&lt;&gt;"",_xlpm.MyAuditVal,_xlpm.MacVal&lt;&gt;"",_xlpm.MacVal,_xlpm.CSVVal&lt;&gt;"",_xlpm.CSVVal
)),"")</f>
        <v/>
      </c>
      <c r="I606" s="40" t="str">
        <f>_xlfn.XLOOKUP(A606,Output_Mac!A:A,Output_Mac!I:I,"")</f>
        <v/>
      </c>
      <c r="J606" s="40" t="str" cm="1">
        <f t="array" ref="J606">IFERROR(_xlfn.LET(
_xlpm.CSVVal,_xlfn.XLOOKUP($A606,CSV!$A:$A,CSV!I:I,""),
_xlpm.MacVal,_xlfn.XLOOKUP($A606,Output_Mac!$A:$A,Output_Mac!J:J,""),
_xlpm.MyAuditVal,_xlfn.XLOOKUP($A606,My_Audit!$A:$A,My_Audit!I:I,""),
_xlfn.IFS(_xlpm.MyAuditVal&lt;&gt;"",UPPER(_xlpm.MyAuditVal),_xlpm.MacVal&lt;&gt;"",_xlpm.MacVal,_xlpm.CSVVal&lt;&gt;"",_xlpm.CSVVal
)),"")</f>
        <v/>
      </c>
      <c r="K606" s="40" t="str" cm="1">
        <f t="array" ref="K606">IFERROR(_xlfn.LET(
_xlpm.CSVVal,_xlfn.XLOOKUP($A606,CSV!$A:$A,CSV!K:K,""),
_xlpm.MacVal,_xlfn.XLOOKUP($A606,Output_Mac!$A:$A,Output_Mac!K:K,""),
_xlpm.MyAuditVal,_xlfn.XLOOKUP($A606,My_Audit!$A:$A,My_Audit!J:J,""),
_xlfn.IFS(_xlpm.MyAuditVal&lt;&gt;"",UPPER(_xlpm.MyAuditVal),_xlpm.MacVal&lt;&gt;"",_xlpm.MacVal,_xlpm.CSVVal&lt;&gt;"",_xlpm.CSVVal
)),"")</f>
        <v/>
      </c>
      <c r="L606" s="40" t="str" cm="1">
        <f t="array" ref="L606">IFERROR(_xlfn.LET(
_xlpm.CSVVal,_xlfn.XLOOKUP($A606,CSV!$A:$A,CSV!P:P,""),
_xlpm.MacVal,_xlfn.XLOOKUP($A606,Output_Mac!$A:$A,Output_Mac!L:L,""),
_xlpm.MyAuditVal,_xlfn.XLOOKUP($A606,My_Audit!$A:$A,My_Audit!K:K,""),
_xlfn.IFS(_xlpm.MyAuditVal&lt;&gt;"",UPPER(_xlpm.MyAuditVal),_xlpm.MacVal&lt;&gt;"",_xlpm.MacVal,_xlpm.CSVVal&lt;&gt;"",_xlpm.CSVVal
)),"")</f>
        <v/>
      </c>
      <c r="M606" s="40" t="str" cm="1">
        <f t="array" ref="M606">IFERROR(_xlfn.LET(
_xlpm.CSVVal,_xlfn.XLOOKUP($A606,CSV!$A:$A,CSV!Q:Q,""),
_xlpm.MacVal,_xlfn.XLOOKUP($A606,Output_Mac!$A:$A,Output_Mac!M:M,""),
_xlpm.MyAuditVal,_xlfn.XLOOKUP($A606,My_Audit!$A:$A,My_Audit!L:L,""),
_xlfn.IFS(_xlpm.MyAuditVal&lt;&gt;"",UPPER(_xlpm.MyAuditVal),_xlpm.MacVal&lt;&gt;"",_xlpm.MacVal,_xlpm.CSVVal&lt;&gt;"",_xlpm.CSVVal
)),"")</f>
        <v/>
      </c>
      <c r="N606" s="40"/>
      <c r="O606" s="40" t="str">
        <f>_xlfn.LET(
    _xlpm.CSVVal, _xlfn.XLOOKUP($A606, CSV!$A:$A, CSV!AA:AA, ""),
    _xlpm.MacVal, _xlfn.XLOOKUP($A606, Output_Mac!$A:$A, Output_Mac!S:S, ""),
    _xlpm.MyAuditVal, _xlfn.XLOOKUP($A606, My_Audit!$A:$A, My_Audit!P:P, ""),
    _xlfn.TEXTJOIN(", ", TRUE, _xlpm.MyAuditVal, _xlpm.MacVal, _xlpm.CSVVal)
)</f>
        <v/>
      </c>
      <c r="P606" s="40" t="str" cm="1">
        <f t="array" ref="P606">IFERROR(_xlfn.LET(
_xlpm.CSVVal,_xlfn.XLOOKUP($A606,CSV!$A:$A,CSV!AB:AB,""),
_xlpm.MacVal,_xlfn.XLOOKUP($A606,Output_Mac!$A:$A,Output_Mac!T:T,""),
_xlpm.MyAuditVal,_xlfn.XLOOKUP($A606,My_Audit!$A:$A,My_Audit!Q:Q,""),
_xlfn.IFS(_xlpm.MyAuditVal&lt;&gt;"",UPPER(_xlpm.MyAuditVal),_xlpm.MacVal&lt;&gt;"",_xlpm.MacVal,_xlpm.CSVVal&lt;&gt;"",_xlpm.CSVVal
)),"No")</f>
        <v>No</v>
      </c>
      <c r="Q606" s="40" t="str" cm="1">
        <f t="array" ref="Q606">IFERROR(_xlfn.LET(
_xlpm.CSVVal,_xlfn.XLOOKUP($A606,CSV!$A:$A,CSV!AC:AC,""),
_xlpm.MacVal,_xlfn.XLOOKUP($A606,Output_Mac!$A:$A,Output_Mac!U:U,""),
_xlpm.MyAuditVal,_xlfn.XLOOKUP($A606,My_Audit!$A:$A,My_Audit!R:R,""),
_xlfn.IFS(_xlpm.MyAuditVal&lt;&gt;"",UPPER(_xlpm.MyAuditVal),_xlpm.MacVal&lt;&gt;"",_xlpm.MacVal,_xlpm.CSVVal&lt;&gt;"",_xlpm.CSVVal
)),"")</f>
        <v/>
      </c>
      <c r="R606" s="40"/>
      <c r="S606" s="40"/>
      <c r="T606" s="40"/>
      <c r="U606" s="40"/>
      <c r="V606" s="40"/>
      <c r="W606" s="40"/>
      <c r="X606" s="41" t="str">
        <f>_xlfn.LET(
    _xlpm.MacVal, _xlfn.XLOOKUP($A606, Output_Mac!$A:$A, Output_Mac!AB:AB, ""),
    _xlpm.MyAuditVal, _xlfn.XLOOKUP($A606, My_Audit!$A:$A, My_Audit!N:N, ""),
    _xlfn.TEXTJOIN(", ", TRUE, _xlpm.MyAuditVal, _xlpm.MacVal)
)</f>
        <v/>
      </c>
    </row>
    <row r="607" spans="1:24">
      <c r="A607" s="40" t="str">
        <f>_xlfn.TEXTJOIN("",TRUE,Input!$B$2,ROW(My_Audit!A606))</f>
        <v>X606</v>
      </c>
      <c r="B607" s="40" t="str">
        <f>_xlfn.TEXTJOIN("-",TRUE,"ITD",Input!$A$2,A607)</f>
        <v>ITD-X606</v>
      </c>
      <c r="C607" s="40" t="str" cm="1">
        <f t="array" ref="C607">IFERROR(_xlfn.LET(
_xlpm.CSVVal,_xlfn.XLOOKUP($A607,CSV!$A:$A,CSV!B:B,""),
_xlpm.MacVal,_xlfn.XLOOKUP($A607,Output_Mac!$A:$A,Output_Mac!B:B,""),
_xlpm.MyAuditVal,_xlfn.XLOOKUP($A607,My_Audit!$A:$A,My_Audit!B:B,""),
_xlfn.IFS(_xlpm.MyAuditVal&lt;&gt;"",UPPER(_xlpm.MyAuditVal),_xlpm.MacVal&lt;&gt;"",_xlpm.MacVal,_xlpm.CSVVal&lt;&gt;"",_xlpm.CSVVal
)),"")</f>
        <v/>
      </c>
      <c r="D607" s="40" t="str" cm="1">
        <f t="array" ref="D607">IFERROR(_xlfn.LET(
_xlpm.CSVVal,_xlfn.XLOOKUP($A607,CSV!$A:$A,CSV!D:D,""),
_xlpm.MacVal,_xlfn.XLOOKUP($A607,Output_Mac!$A:$A,Output_Mac!C:C,""),
_xlpm.MyAuditVal,_xlfn.XLOOKUP($A607,My_Audit!$A:$A,My_Audit!C:C,""),
_xlfn.IFS(_xlpm.MyAuditVal&lt;&gt;"",_xlpm.MyAuditVal,_xlpm.MacVal&lt;&gt;"",_xlpm.MacVal,_xlpm.CSVVal&lt;&gt;"",_xlpm.CSVVal
)),"")</f>
        <v/>
      </c>
      <c r="E607" s="40" t="str">
        <f>_xlfn.XLOOKUP(A607,My_Audit!A:A,My_Audit!D:D,"")</f>
        <v/>
      </c>
      <c r="F607" s="40" t="str" cm="1">
        <f t="array" ref="F607">IFERROR(_xlfn.LET(
_xlpm.CSVVal,_xlfn.XLOOKUP($A607,CSV!$A:$A,CSV!F:F,""),
_xlpm.MacVal,_xlfn.XLOOKUP($A607,Output_Mac!$A:$A,Output_Mac!E:E,""),
_xlpm.MyAuditVal,_xlfn.XLOOKUP($A607,My_Audit!$A:$A,My_Audit!E:E,""),
_xlfn.IFS(_xlpm.MyAuditVal&lt;&gt;"",_xlpm.MyAuditVal,_xlpm.MacVal&lt;&gt;"",_xlpm.MacVal,_xlpm.CSVVal&lt;&gt;"",_xlpm.CSVVal
)),"")</f>
        <v/>
      </c>
      <c r="G607" s="40" t="str" cm="1">
        <f t="array" ref="G607">IFERROR(_xlfn.LET(
_xlpm.CSVVal,_xlfn.XLOOKUP($A607,CSV!$A:$A,CSV!G:G,""),
_xlpm.MacVal,_xlfn.XLOOKUP($A607,Output_Mac!$A:$A,Output_Mac!F:F,""),
_xlpm.MyAuditVal,_xlfn.XLOOKUP($A607,My_Audit!$A:$A,My_Audit!F:F,""),
_xlfn.IFS(_xlpm.MyAuditVal&lt;&gt;"",_xlpm.MyAuditVal,_xlpm.MacVal&lt;&gt;"",_xlpm.MacVal,_xlpm.CSVVal&lt;&gt;"",PROPER(_xlpm.CSVVal)
)),"")</f>
        <v/>
      </c>
      <c r="H607" s="40" t="str" cm="1">
        <f t="array" ref="H607">IFERROR(_xlfn.LET(
_xlpm.CSVVal,_xlfn.XLOOKUP($A607,CSV!$A:$A,CSV!H:H,""),
_xlpm.MacVal,_xlfn.XLOOKUP($A607,Output_Mac!$A:$A,Output_Mac!H:H,""),
_xlpm.MyAuditVal,_xlfn.XLOOKUP($A607,My_Audit!$A:$A,My_Audit!G:G,""),
_xlfn.IFS(_xlpm.MyAuditVal&lt;&gt;"",_xlpm.MyAuditVal,_xlpm.MacVal&lt;&gt;"",_xlpm.MacVal,_xlpm.CSVVal&lt;&gt;"",_xlpm.CSVVal
)),"")</f>
        <v/>
      </c>
      <c r="I607" s="40" t="str">
        <f>_xlfn.XLOOKUP(A607,Output_Mac!A:A,Output_Mac!I:I,"")</f>
        <v/>
      </c>
      <c r="J607" s="40" t="str" cm="1">
        <f t="array" ref="J607">IFERROR(_xlfn.LET(
_xlpm.CSVVal,_xlfn.XLOOKUP($A607,CSV!$A:$A,CSV!I:I,""),
_xlpm.MacVal,_xlfn.XLOOKUP($A607,Output_Mac!$A:$A,Output_Mac!J:J,""),
_xlpm.MyAuditVal,_xlfn.XLOOKUP($A607,My_Audit!$A:$A,My_Audit!I:I,""),
_xlfn.IFS(_xlpm.MyAuditVal&lt;&gt;"",UPPER(_xlpm.MyAuditVal),_xlpm.MacVal&lt;&gt;"",_xlpm.MacVal,_xlpm.CSVVal&lt;&gt;"",_xlpm.CSVVal
)),"")</f>
        <v/>
      </c>
      <c r="K607" s="40" t="str" cm="1">
        <f t="array" ref="K607">IFERROR(_xlfn.LET(
_xlpm.CSVVal,_xlfn.XLOOKUP($A607,CSV!$A:$A,CSV!K:K,""),
_xlpm.MacVal,_xlfn.XLOOKUP($A607,Output_Mac!$A:$A,Output_Mac!K:K,""),
_xlpm.MyAuditVal,_xlfn.XLOOKUP($A607,My_Audit!$A:$A,My_Audit!J:J,""),
_xlfn.IFS(_xlpm.MyAuditVal&lt;&gt;"",UPPER(_xlpm.MyAuditVal),_xlpm.MacVal&lt;&gt;"",_xlpm.MacVal,_xlpm.CSVVal&lt;&gt;"",_xlpm.CSVVal
)),"")</f>
        <v/>
      </c>
      <c r="L607" s="40" t="str" cm="1">
        <f t="array" ref="L607">IFERROR(_xlfn.LET(
_xlpm.CSVVal,_xlfn.XLOOKUP($A607,CSV!$A:$A,CSV!P:P,""),
_xlpm.MacVal,_xlfn.XLOOKUP($A607,Output_Mac!$A:$A,Output_Mac!L:L,""),
_xlpm.MyAuditVal,_xlfn.XLOOKUP($A607,My_Audit!$A:$A,My_Audit!K:K,""),
_xlfn.IFS(_xlpm.MyAuditVal&lt;&gt;"",UPPER(_xlpm.MyAuditVal),_xlpm.MacVal&lt;&gt;"",_xlpm.MacVal,_xlpm.CSVVal&lt;&gt;"",_xlpm.CSVVal
)),"")</f>
        <v/>
      </c>
      <c r="M607" s="40" t="str" cm="1">
        <f t="array" ref="M607">IFERROR(_xlfn.LET(
_xlpm.CSVVal,_xlfn.XLOOKUP($A607,CSV!$A:$A,CSV!Q:Q,""),
_xlpm.MacVal,_xlfn.XLOOKUP($A607,Output_Mac!$A:$A,Output_Mac!M:M,""),
_xlpm.MyAuditVal,_xlfn.XLOOKUP($A607,My_Audit!$A:$A,My_Audit!L:L,""),
_xlfn.IFS(_xlpm.MyAuditVal&lt;&gt;"",UPPER(_xlpm.MyAuditVal),_xlpm.MacVal&lt;&gt;"",_xlpm.MacVal,_xlpm.CSVVal&lt;&gt;"",_xlpm.CSVVal
)),"")</f>
        <v/>
      </c>
      <c r="N607" s="40"/>
      <c r="O607" s="40" t="str">
        <f>_xlfn.LET(
    _xlpm.CSVVal, _xlfn.XLOOKUP($A607, CSV!$A:$A, CSV!AA:AA, ""),
    _xlpm.MacVal, _xlfn.XLOOKUP($A607, Output_Mac!$A:$A, Output_Mac!S:S, ""),
    _xlpm.MyAuditVal, _xlfn.XLOOKUP($A607, My_Audit!$A:$A, My_Audit!P:P, ""),
    _xlfn.TEXTJOIN(", ", TRUE, _xlpm.MyAuditVal, _xlpm.MacVal, _xlpm.CSVVal)
)</f>
        <v/>
      </c>
      <c r="P607" s="40" t="str" cm="1">
        <f t="array" ref="P607">IFERROR(_xlfn.LET(
_xlpm.CSVVal,_xlfn.XLOOKUP($A607,CSV!$A:$A,CSV!AB:AB,""),
_xlpm.MacVal,_xlfn.XLOOKUP($A607,Output_Mac!$A:$A,Output_Mac!T:T,""),
_xlpm.MyAuditVal,_xlfn.XLOOKUP($A607,My_Audit!$A:$A,My_Audit!Q:Q,""),
_xlfn.IFS(_xlpm.MyAuditVal&lt;&gt;"",UPPER(_xlpm.MyAuditVal),_xlpm.MacVal&lt;&gt;"",_xlpm.MacVal,_xlpm.CSVVal&lt;&gt;"",_xlpm.CSVVal
)),"No")</f>
        <v>No</v>
      </c>
      <c r="Q607" s="40" t="str" cm="1">
        <f t="array" ref="Q607">IFERROR(_xlfn.LET(
_xlpm.CSVVal,_xlfn.XLOOKUP($A607,CSV!$A:$A,CSV!AC:AC,""),
_xlpm.MacVal,_xlfn.XLOOKUP($A607,Output_Mac!$A:$A,Output_Mac!U:U,""),
_xlpm.MyAuditVal,_xlfn.XLOOKUP($A607,My_Audit!$A:$A,My_Audit!R:R,""),
_xlfn.IFS(_xlpm.MyAuditVal&lt;&gt;"",UPPER(_xlpm.MyAuditVal),_xlpm.MacVal&lt;&gt;"",_xlpm.MacVal,_xlpm.CSVVal&lt;&gt;"",_xlpm.CSVVal
)),"")</f>
        <v/>
      </c>
      <c r="R607" s="40"/>
      <c r="S607" s="40"/>
      <c r="T607" s="40"/>
      <c r="U607" s="40"/>
      <c r="V607" s="40"/>
      <c r="W607" s="40"/>
      <c r="X607" s="41" t="str">
        <f>_xlfn.LET(
    _xlpm.MacVal, _xlfn.XLOOKUP($A607, Output_Mac!$A:$A, Output_Mac!AB:AB, ""),
    _xlpm.MyAuditVal, _xlfn.XLOOKUP($A607, My_Audit!$A:$A, My_Audit!N:N, ""),
    _xlfn.TEXTJOIN(", ", TRUE, _xlpm.MyAuditVal, _xlpm.MacVal)
)</f>
        <v/>
      </c>
    </row>
    <row r="608" spans="1:24">
      <c r="A608" s="40" t="str">
        <f>_xlfn.TEXTJOIN("",TRUE,Input!$B$2,ROW(My_Audit!A607))</f>
        <v>X607</v>
      </c>
      <c r="B608" s="40" t="str">
        <f>_xlfn.TEXTJOIN("-",TRUE,"ITD",Input!$A$2,A608)</f>
        <v>ITD-X607</v>
      </c>
      <c r="C608" s="40" t="str" cm="1">
        <f t="array" ref="C608">IFERROR(_xlfn.LET(
_xlpm.CSVVal,_xlfn.XLOOKUP($A608,CSV!$A:$A,CSV!B:B,""),
_xlpm.MacVal,_xlfn.XLOOKUP($A608,Output_Mac!$A:$A,Output_Mac!B:B,""),
_xlpm.MyAuditVal,_xlfn.XLOOKUP($A608,My_Audit!$A:$A,My_Audit!B:B,""),
_xlfn.IFS(_xlpm.MyAuditVal&lt;&gt;"",UPPER(_xlpm.MyAuditVal),_xlpm.MacVal&lt;&gt;"",_xlpm.MacVal,_xlpm.CSVVal&lt;&gt;"",_xlpm.CSVVal
)),"")</f>
        <v/>
      </c>
      <c r="D608" s="40" t="str" cm="1">
        <f t="array" ref="D608">IFERROR(_xlfn.LET(
_xlpm.CSVVal,_xlfn.XLOOKUP($A608,CSV!$A:$A,CSV!D:D,""),
_xlpm.MacVal,_xlfn.XLOOKUP($A608,Output_Mac!$A:$A,Output_Mac!C:C,""),
_xlpm.MyAuditVal,_xlfn.XLOOKUP($A608,My_Audit!$A:$A,My_Audit!C:C,""),
_xlfn.IFS(_xlpm.MyAuditVal&lt;&gt;"",_xlpm.MyAuditVal,_xlpm.MacVal&lt;&gt;"",_xlpm.MacVal,_xlpm.CSVVal&lt;&gt;"",_xlpm.CSVVal
)),"")</f>
        <v/>
      </c>
      <c r="E608" s="40" t="str">
        <f>_xlfn.XLOOKUP(A608,My_Audit!A:A,My_Audit!D:D,"")</f>
        <v/>
      </c>
      <c r="F608" s="40" t="str" cm="1">
        <f t="array" ref="F608">IFERROR(_xlfn.LET(
_xlpm.CSVVal,_xlfn.XLOOKUP($A608,CSV!$A:$A,CSV!F:F,""),
_xlpm.MacVal,_xlfn.XLOOKUP($A608,Output_Mac!$A:$A,Output_Mac!E:E,""),
_xlpm.MyAuditVal,_xlfn.XLOOKUP($A608,My_Audit!$A:$A,My_Audit!E:E,""),
_xlfn.IFS(_xlpm.MyAuditVal&lt;&gt;"",_xlpm.MyAuditVal,_xlpm.MacVal&lt;&gt;"",_xlpm.MacVal,_xlpm.CSVVal&lt;&gt;"",_xlpm.CSVVal
)),"")</f>
        <v/>
      </c>
      <c r="G608" s="40" t="str" cm="1">
        <f t="array" ref="G608">IFERROR(_xlfn.LET(
_xlpm.CSVVal,_xlfn.XLOOKUP($A608,CSV!$A:$A,CSV!G:G,""),
_xlpm.MacVal,_xlfn.XLOOKUP($A608,Output_Mac!$A:$A,Output_Mac!F:F,""),
_xlpm.MyAuditVal,_xlfn.XLOOKUP($A608,My_Audit!$A:$A,My_Audit!F:F,""),
_xlfn.IFS(_xlpm.MyAuditVal&lt;&gt;"",_xlpm.MyAuditVal,_xlpm.MacVal&lt;&gt;"",_xlpm.MacVal,_xlpm.CSVVal&lt;&gt;"",PROPER(_xlpm.CSVVal)
)),"")</f>
        <v/>
      </c>
      <c r="H608" s="40" t="str" cm="1">
        <f t="array" ref="H608">IFERROR(_xlfn.LET(
_xlpm.CSVVal,_xlfn.XLOOKUP($A608,CSV!$A:$A,CSV!H:H,""),
_xlpm.MacVal,_xlfn.XLOOKUP($A608,Output_Mac!$A:$A,Output_Mac!H:H,""),
_xlpm.MyAuditVal,_xlfn.XLOOKUP($A608,My_Audit!$A:$A,My_Audit!G:G,""),
_xlfn.IFS(_xlpm.MyAuditVal&lt;&gt;"",_xlpm.MyAuditVal,_xlpm.MacVal&lt;&gt;"",_xlpm.MacVal,_xlpm.CSVVal&lt;&gt;"",_xlpm.CSVVal
)),"")</f>
        <v/>
      </c>
      <c r="I608" s="40" t="str">
        <f>_xlfn.XLOOKUP(A608,Output_Mac!A:A,Output_Mac!I:I,"")</f>
        <v/>
      </c>
      <c r="J608" s="40" t="str" cm="1">
        <f t="array" ref="J608">IFERROR(_xlfn.LET(
_xlpm.CSVVal,_xlfn.XLOOKUP($A608,CSV!$A:$A,CSV!I:I,""),
_xlpm.MacVal,_xlfn.XLOOKUP($A608,Output_Mac!$A:$A,Output_Mac!J:J,""),
_xlpm.MyAuditVal,_xlfn.XLOOKUP($A608,My_Audit!$A:$A,My_Audit!I:I,""),
_xlfn.IFS(_xlpm.MyAuditVal&lt;&gt;"",UPPER(_xlpm.MyAuditVal),_xlpm.MacVal&lt;&gt;"",_xlpm.MacVal,_xlpm.CSVVal&lt;&gt;"",_xlpm.CSVVal
)),"")</f>
        <v/>
      </c>
      <c r="K608" s="40" t="str" cm="1">
        <f t="array" ref="K608">IFERROR(_xlfn.LET(
_xlpm.CSVVal,_xlfn.XLOOKUP($A608,CSV!$A:$A,CSV!K:K,""),
_xlpm.MacVal,_xlfn.XLOOKUP($A608,Output_Mac!$A:$A,Output_Mac!K:K,""),
_xlpm.MyAuditVal,_xlfn.XLOOKUP($A608,My_Audit!$A:$A,My_Audit!J:J,""),
_xlfn.IFS(_xlpm.MyAuditVal&lt;&gt;"",UPPER(_xlpm.MyAuditVal),_xlpm.MacVal&lt;&gt;"",_xlpm.MacVal,_xlpm.CSVVal&lt;&gt;"",_xlpm.CSVVal
)),"")</f>
        <v/>
      </c>
      <c r="L608" s="40" t="str" cm="1">
        <f t="array" ref="L608">IFERROR(_xlfn.LET(
_xlpm.CSVVal,_xlfn.XLOOKUP($A608,CSV!$A:$A,CSV!P:P,""),
_xlpm.MacVal,_xlfn.XLOOKUP($A608,Output_Mac!$A:$A,Output_Mac!L:L,""),
_xlpm.MyAuditVal,_xlfn.XLOOKUP($A608,My_Audit!$A:$A,My_Audit!K:K,""),
_xlfn.IFS(_xlpm.MyAuditVal&lt;&gt;"",UPPER(_xlpm.MyAuditVal),_xlpm.MacVal&lt;&gt;"",_xlpm.MacVal,_xlpm.CSVVal&lt;&gt;"",_xlpm.CSVVal
)),"")</f>
        <v/>
      </c>
      <c r="M608" s="40" t="str" cm="1">
        <f t="array" ref="M608">IFERROR(_xlfn.LET(
_xlpm.CSVVal,_xlfn.XLOOKUP($A608,CSV!$A:$A,CSV!Q:Q,""),
_xlpm.MacVal,_xlfn.XLOOKUP($A608,Output_Mac!$A:$A,Output_Mac!M:M,""),
_xlpm.MyAuditVal,_xlfn.XLOOKUP($A608,My_Audit!$A:$A,My_Audit!L:L,""),
_xlfn.IFS(_xlpm.MyAuditVal&lt;&gt;"",UPPER(_xlpm.MyAuditVal),_xlpm.MacVal&lt;&gt;"",_xlpm.MacVal,_xlpm.CSVVal&lt;&gt;"",_xlpm.CSVVal
)),"")</f>
        <v/>
      </c>
      <c r="N608" s="40"/>
      <c r="O608" s="40" t="str">
        <f>_xlfn.LET(
    _xlpm.CSVVal, _xlfn.XLOOKUP($A608, CSV!$A:$A, CSV!AA:AA, ""),
    _xlpm.MacVal, _xlfn.XLOOKUP($A608, Output_Mac!$A:$A, Output_Mac!S:S, ""),
    _xlpm.MyAuditVal, _xlfn.XLOOKUP($A608, My_Audit!$A:$A, My_Audit!P:P, ""),
    _xlfn.TEXTJOIN(", ", TRUE, _xlpm.MyAuditVal, _xlpm.MacVal, _xlpm.CSVVal)
)</f>
        <v/>
      </c>
      <c r="P608" s="40" t="str" cm="1">
        <f t="array" ref="P608">IFERROR(_xlfn.LET(
_xlpm.CSVVal,_xlfn.XLOOKUP($A608,CSV!$A:$A,CSV!AB:AB,""),
_xlpm.MacVal,_xlfn.XLOOKUP($A608,Output_Mac!$A:$A,Output_Mac!T:T,""),
_xlpm.MyAuditVal,_xlfn.XLOOKUP($A608,My_Audit!$A:$A,My_Audit!Q:Q,""),
_xlfn.IFS(_xlpm.MyAuditVal&lt;&gt;"",UPPER(_xlpm.MyAuditVal),_xlpm.MacVal&lt;&gt;"",_xlpm.MacVal,_xlpm.CSVVal&lt;&gt;"",_xlpm.CSVVal
)),"No")</f>
        <v>No</v>
      </c>
      <c r="Q608" s="40" t="str" cm="1">
        <f t="array" ref="Q608">IFERROR(_xlfn.LET(
_xlpm.CSVVal,_xlfn.XLOOKUP($A608,CSV!$A:$A,CSV!AC:AC,""),
_xlpm.MacVal,_xlfn.XLOOKUP($A608,Output_Mac!$A:$A,Output_Mac!U:U,""),
_xlpm.MyAuditVal,_xlfn.XLOOKUP($A608,My_Audit!$A:$A,My_Audit!R:R,""),
_xlfn.IFS(_xlpm.MyAuditVal&lt;&gt;"",UPPER(_xlpm.MyAuditVal),_xlpm.MacVal&lt;&gt;"",_xlpm.MacVal,_xlpm.CSVVal&lt;&gt;"",_xlpm.CSVVal
)),"")</f>
        <v/>
      </c>
      <c r="R608" s="40"/>
      <c r="S608" s="40"/>
      <c r="T608" s="40"/>
      <c r="U608" s="40"/>
      <c r="V608" s="40"/>
      <c r="W608" s="40"/>
      <c r="X608" s="41" t="str">
        <f>_xlfn.LET(
    _xlpm.MacVal, _xlfn.XLOOKUP($A608, Output_Mac!$A:$A, Output_Mac!AB:AB, ""),
    _xlpm.MyAuditVal, _xlfn.XLOOKUP($A608, My_Audit!$A:$A, My_Audit!N:N, ""),
    _xlfn.TEXTJOIN(", ", TRUE, _xlpm.MyAuditVal, _xlpm.MacVal)
)</f>
        <v/>
      </c>
    </row>
    <row r="609" spans="1:24">
      <c r="A609" s="40" t="str">
        <f>_xlfn.TEXTJOIN("",TRUE,Input!$B$2,ROW(My_Audit!A608))</f>
        <v>X608</v>
      </c>
      <c r="B609" s="40" t="str">
        <f>_xlfn.TEXTJOIN("-",TRUE,"ITD",Input!$A$2,A609)</f>
        <v>ITD-X608</v>
      </c>
      <c r="C609" s="40" t="str" cm="1">
        <f t="array" ref="C609">IFERROR(_xlfn.LET(
_xlpm.CSVVal,_xlfn.XLOOKUP($A609,CSV!$A:$A,CSV!B:B,""),
_xlpm.MacVal,_xlfn.XLOOKUP($A609,Output_Mac!$A:$A,Output_Mac!B:B,""),
_xlpm.MyAuditVal,_xlfn.XLOOKUP($A609,My_Audit!$A:$A,My_Audit!B:B,""),
_xlfn.IFS(_xlpm.MyAuditVal&lt;&gt;"",UPPER(_xlpm.MyAuditVal),_xlpm.MacVal&lt;&gt;"",_xlpm.MacVal,_xlpm.CSVVal&lt;&gt;"",_xlpm.CSVVal
)),"")</f>
        <v/>
      </c>
      <c r="D609" s="40" t="str" cm="1">
        <f t="array" ref="D609">IFERROR(_xlfn.LET(
_xlpm.CSVVal,_xlfn.XLOOKUP($A609,CSV!$A:$A,CSV!D:D,""),
_xlpm.MacVal,_xlfn.XLOOKUP($A609,Output_Mac!$A:$A,Output_Mac!C:C,""),
_xlpm.MyAuditVal,_xlfn.XLOOKUP($A609,My_Audit!$A:$A,My_Audit!C:C,""),
_xlfn.IFS(_xlpm.MyAuditVal&lt;&gt;"",_xlpm.MyAuditVal,_xlpm.MacVal&lt;&gt;"",_xlpm.MacVal,_xlpm.CSVVal&lt;&gt;"",_xlpm.CSVVal
)),"")</f>
        <v/>
      </c>
      <c r="E609" s="40" t="str">
        <f>_xlfn.XLOOKUP(A609,My_Audit!A:A,My_Audit!D:D,"")</f>
        <v/>
      </c>
      <c r="F609" s="40" t="str" cm="1">
        <f t="array" ref="F609">IFERROR(_xlfn.LET(
_xlpm.CSVVal,_xlfn.XLOOKUP($A609,CSV!$A:$A,CSV!F:F,""),
_xlpm.MacVal,_xlfn.XLOOKUP($A609,Output_Mac!$A:$A,Output_Mac!E:E,""),
_xlpm.MyAuditVal,_xlfn.XLOOKUP($A609,My_Audit!$A:$A,My_Audit!E:E,""),
_xlfn.IFS(_xlpm.MyAuditVal&lt;&gt;"",_xlpm.MyAuditVal,_xlpm.MacVal&lt;&gt;"",_xlpm.MacVal,_xlpm.CSVVal&lt;&gt;"",_xlpm.CSVVal
)),"")</f>
        <v/>
      </c>
      <c r="G609" s="40" t="str" cm="1">
        <f t="array" ref="G609">IFERROR(_xlfn.LET(
_xlpm.CSVVal,_xlfn.XLOOKUP($A609,CSV!$A:$A,CSV!G:G,""),
_xlpm.MacVal,_xlfn.XLOOKUP($A609,Output_Mac!$A:$A,Output_Mac!F:F,""),
_xlpm.MyAuditVal,_xlfn.XLOOKUP($A609,My_Audit!$A:$A,My_Audit!F:F,""),
_xlfn.IFS(_xlpm.MyAuditVal&lt;&gt;"",_xlpm.MyAuditVal,_xlpm.MacVal&lt;&gt;"",_xlpm.MacVal,_xlpm.CSVVal&lt;&gt;"",PROPER(_xlpm.CSVVal)
)),"")</f>
        <v/>
      </c>
      <c r="H609" s="40" t="str" cm="1">
        <f t="array" ref="H609">IFERROR(_xlfn.LET(
_xlpm.CSVVal,_xlfn.XLOOKUP($A609,CSV!$A:$A,CSV!H:H,""),
_xlpm.MacVal,_xlfn.XLOOKUP($A609,Output_Mac!$A:$A,Output_Mac!H:H,""),
_xlpm.MyAuditVal,_xlfn.XLOOKUP($A609,My_Audit!$A:$A,My_Audit!G:G,""),
_xlfn.IFS(_xlpm.MyAuditVal&lt;&gt;"",_xlpm.MyAuditVal,_xlpm.MacVal&lt;&gt;"",_xlpm.MacVal,_xlpm.CSVVal&lt;&gt;"",_xlpm.CSVVal
)),"")</f>
        <v/>
      </c>
      <c r="I609" s="40" t="str">
        <f>_xlfn.XLOOKUP(A609,Output_Mac!A:A,Output_Mac!I:I,"")</f>
        <v/>
      </c>
      <c r="J609" s="40" t="str" cm="1">
        <f t="array" ref="J609">IFERROR(_xlfn.LET(
_xlpm.CSVVal,_xlfn.XLOOKUP($A609,CSV!$A:$A,CSV!I:I,""),
_xlpm.MacVal,_xlfn.XLOOKUP($A609,Output_Mac!$A:$A,Output_Mac!J:J,""),
_xlpm.MyAuditVal,_xlfn.XLOOKUP($A609,My_Audit!$A:$A,My_Audit!I:I,""),
_xlfn.IFS(_xlpm.MyAuditVal&lt;&gt;"",UPPER(_xlpm.MyAuditVal),_xlpm.MacVal&lt;&gt;"",_xlpm.MacVal,_xlpm.CSVVal&lt;&gt;"",_xlpm.CSVVal
)),"")</f>
        <v/>
      </c>
      <c r="K609" s="40" t="str" cm="1">
        <f t="array" ref="K609">IFERROR(_xlfn.LET(
_xlpm.CSVVal,_xlfn.XLOOKUP($A609,CSV!$A:$A,CSV!K:K,""),
_xlpm.MacVal,_xlfn.XLOOKUP($A609,Output_Mac!$A:$A,Output_Mac!K:K,""),
_xlpm.MyAuditVal,_xlfn.XLOOKUP($A609,My_Audit!$A:$A,My_Audit!J:J,""),
_xlfn.IFS(_xlpm.MyAuditVal&lt;&gt;"",UPPER(_xlpm.MyAuditVal),_xlpm.MacVal&lt;&gt;"",_xlpm.MacVal,_xlpm.CSVVal&lt;&gt;"",_xlpm.CSVVal
)),"")</f>
        <v/>
      </c>
      <c r="L609" s="40" t="str" cm="1">
        <f t="array" ref="L609">IFERROR(_xlfn.LET(
_xlpm.CSVVal,_xlfn.XLOOKUP($A609,CSV!$A:$A,CSV!P:P,""),
_xlpm.MacVal,_xlfn.XLOOKUP($A609,Output_Mac!$A:$A,Output_Mac!L:L,""),
_xlpm.MyAuditVal,_xlfn.XLOOKUP($A609,My_Audit!$A:$A,My_Audit!K:K,""),
_xlfn.IFS(_xlpm.MyAuditVal&lt;&gt;"",UPPER(_xlpm.MyAuditVal),_xlpm.MacVal&lt;&gt;"",_xlpm.MacVal,_xlpm.CSVVal&lt;&gt;"",_xlpm.CSVVal
)),"")</f>
        <v/>
      </c>
      <c r="M609" s="40" t="str" cm="1">
        <f t="array" ref="M609">IFERROR(_xlfn.LET(
_xlpm.CSVVal,_xlfn.XLOOKUP($A609,CSV!$A:$A,CSV!Q:Q,""),
_xlpm.MacVal,_xlfn.XLOOKUP($A609,Output_Mac!$A:$A,Output_Mac!M:M,""),
_xlpm.MyAuditVal,_xlfn.XLOOKUP($A609,My_Audit!$A:$A,My_Audit!L:L,""),
_xlfn.IFS(_xlpm.MyAuditVal&lt;&gt;"",UPPER(_xlpm.MyAuditVal),_xlpm.MacVal&lt;&gt;"",_xlpm.MacVal,_xlpm.CSVVal&lt;&gt;"",_xlpm.CSVVal
)),"")</f>
        <v/>
      </c>
      <c r="N609" s="40"/>
      <c r="O609" s="40" t="str">
        <f>_xlfn.LET(
    _xlpm.CSVVal, _xlfn.XLOOKUP($A609, CSV!$A:$A, CSV!AA:AA, ""),
    _xlpm.MacVal, _xlfn.XLOOKUP($A609, Output_Mac!$A:$A, Output_Mac!S:S, ""),
    _xlpm.MyAuditVal, _xlfn.XLOOKUP($A609, My_Audit!$A:$A, My_Audit!P:P, ""),
    _xlfn.TEXTJOIN(", ", TRUE, _xlpm.MyAuditVal, _xlpm.MacVal, _xlpm.CSVVal)
)</f>
        <v/>
      </c>
      <c r="P609" s="40" t="str" cm="1">
        <f t="array" ref="P609">IFERROR(_xlfn.LET(
_xlpm.CSVVal,_xlfn.XLOOKUP($A609,CSV!$A:$A,CSV!AB:AB,""),
_xlpm.MacVal,_xlfn.XLOOKUP($A609,Output_Mac!$A:$A,Output_Mac!T:T,""),
_xlpm.MyAuditVal,_xlfn.XLOOKUP($A609,My_Audit!$A:$A,My_Audit!Q:Q,""),
_xlfn.IFS(_xlpm.MyAuditVal&lt;&gt;"",UPPER(_xlpm.MyAuditVal),_xlpm.MacVal&lt;&gt;"",_xlpm.MacVal,_xlpm.CSVVal&lt;&gt;"",_xlpm.CSVVal
)),"No")</f>
        <v>No</v>
      </c>
      <c r="Q609" s="40" t="str" cm="1">
        <f t="array" ref="Q609">IFERROR(_xlfn.LET(
_xlpm.CSVVal,_xlfn.XLOOKUP($A609,CSV!$A:$A,CSV!AC:AC,""),
_xlpm.MacVal,_xlfn.XLOOKUP($A609,Output_Mac!$A:$A,Output_Mac!U:U,""),
_xlpm.MyAuditVal,_xlfn.XLOOKUP($A609,My_Audit!$A:$A,My_Audit!R:R,""),
_xlfn.IFS(_xlpm.MyAuditVal&lt;&gt;"",UPPER(_xlpm.MyAuditVal),_xlpm.MacVal&lt;&gt;"",_xlpm.MacVal,_xlpm.CSVVal&lt;&gt;"",_xlpm.CSVVal
)),"")</f>
        <v/>
      </c>
      <c r="R609" s="40"/>
      <c r="S609" s="40"/>
      <c r="T609" s="40"/>
      <c r="U609" s="40"/>
      <c r="V609" s="40"/>
      <c r="W609" s="40"/>
      <c r="X609" s="41" t="str">
        <f>_xlfn.LET(
    _xlpm.MacVal, _xlfn.XLOOKUP($A609, Output_Mac!$A:$A, Output_Mac!AB:AB, ""),
    _xlpm.MyAuditVal, _xlfn.XLOOKUP($A609, My_Audit!$A:$A, My_Audit!N:N, ""),
    _xlfn.TEXTJOIN(", ", TRUE, _xlpm.MyAuditVal, _xlpm.MacVal)
)</f>
        <v/>
      </c>
    </row>
    <row r="610" spans="1:24">
      <c r="A610" s="40" t="str">
        <f>_xlfn.TEXTJOIN("",TRUE,Input!$B$2,ROW(My_Audit!A609))</f>
        <v>X609</v>
      </c>
      <c r="B610" s="40" t="str">
        <f>_xlfn.TEXTJOIN("-",TRUE,"ITD",Input!$A$2,A610)</f>
        <v>ITD-X609</v>
      </c>
      <c r="C610" s="40" t="str" cm="1">
        <f t="array" ref="C610">IFERROR(_xlfn.LET(
_xlpm.CSVVal,_xlfn.XLOOKUP($A610,CSV!$A:$A,CSV!B:B,""),
_xlpm.MacVal,_xlfn.XLOOKUP($A610,Output_Mac!$A:$A,Output_Mac!B:B,""),
_xlpm.MyAuditVal,_xlfn.XLOOKUP($A610,My_Audit!$A:$A,My_Audit!B:B,""),
_xlfn.IFS(_xlpm.MyAuditVal&lt;&gt;"",UPPER(_xlpm.MyAuditVal),_xlpm.MacVal&lt;&gt;"",_xlpm.MacVal,_xlpm.CSVVal&lt;&gt;"",_xlpm.CSVVal
)),"")</f>
        <v/>
      </c>
      <c r="D610" s="40" t="str" cm="1">
        <f t="array" ref="D610">IFERROR(_xlfn.LET(
_xlpm.CSVVal,_xlfn.XLOOKUP($A610,CSV!$A:$A,CSV!D:D,""),
_xlpm.MacVal,_xlfn.XLOOKUP($A610,Output_Mac!$A:$A,Output_Mac!C:C,""),
_xlpm.MyAuditVal,_xlfn.XLOOKUP($A610,My_Audit!$A:$A,My_Audit!C:C,""),
_xlfn.IFS(_xlpm.MyAuditVal&lt;&gt;"",_xlpm.MyAuditVal,_xlpm.MacVal&lt;&gt;"",_xlpm.MacVal,_xlpm.CSVVal&lt;&gt;"",_xlpm.CSVVal
)),"")</f>
        <v/>
      </c>
      <c r="E610" s="40" t="str">
        <f>_xlfn.XLOOKUP(A610,My_Audit!A:A,My_Audit!D:D,"")</f>
        <v/>
      </c>
      <c r="F610" s="40" t="str" cm="1">
        <f t="array" ref="F610">IFERROR(_xlfn.LET(
_xlpm.CSVVal,_xlfn.XLOOKUP($A610,CSV!$A:$A,CSV!F:F,""),
_xlpm.MacVal,_xlfn.XLOOKUP($A610,Output_Mac!$A:$A,Output_Mac!E:E,""),
_xlpm.MyAuditVal,_xlfn.XLOOKUP($A610,My_Audit!$A:$A,My_Audit!E:E,""),
_xlfn.IFS(_xlpm.MyAuditVal&lt;&gt;"",_xlpm.MyAuditVal,_xlpm.MacVal&lt;&gt;"",_xlpm.MacVal,_xlpm.CSVVal&lt;&gt;"",_xlpm.CSVVal
)),"")</f>
        <v/>
      </c>
      <c r="G610" s="40" t="str" cm="1">
        <f t="array" ref="G610">IFERROR(_xlfn.LET(
_xlpm.CSVVal,_xlfn.XLOOKUP($A610,CSV!$A:$A,CSV!G:G,""),
_xlpm.MacVal,_xlfn.XLOOKUP($A610,Output_Mac!$A:$A,Output_Mac!F:F,""),
_xlpm.MyAuditVal,_xlfn.XLOOKUP($A610,My_Audit!$A:$A,My_Audit!F:F,""),
_xlfn.IFS(_xlpm.MyAuditVal&lt;&gt;"",_xlpm.MyAuditVal,_xlpm.MacVal&lt;&gt;"",_xlpm.MacVal,_xlpm.CSVVal&lt;&gt;"",PROPER(_xlpm.CSVVal)
)),"")</f>
        <v/>
      </c>
      <c r="H610" s="40" t="str" cm="1">
        <f t="array" ref="H610">IFERROR(_xlfn.LET(
_xlpm.CSVVal,_xlfn.XLOOKUP($A610,CSV!$A:$A,CSV!H:H,""),
_xlpm.MacVal,_xlfn.XLOOKUP($A610,Output_Mac!$A:$A,Output_Mac!H:H,""),
_xlpm.MyAuditVal,_xlfn.XLOOKUP($A610,My_Audit!$A:$A,My_Audit!G:G,""),
_xlfn.IFS(_xlpm.MyAuditVal&lt;&gt;"",_xlpm.MyAuditVal,_xlpm.MacVal&lt;&gt;"",_xlpm.MacVal,_xlpm.CSVVal&lt;&gt;"",_xlpm.CSVVal
)),"")</f>
        <v/>
      </c>
      <c r="I610" s="40" t="str">
        <f>_xlfn.XLOOKUP(A610,Output_Mac!A:A,Output_Mac!I:I,"")</f>
        <v/>
      </c>
      <c r="J610" s="40" t="str" cm="1">
        <f t="array" ref="J610">IFERROR(_xlfn.LET(
_xlpm.CSVVal,_xlfn.XLOOKUP($A610,CSV!$A:$A,CSV!I:I,""),
_xlpm.MacVal,_xlfn.XLOOKUP($A610,Output_Mac!$A:$A,Output_Mac!J:J,""),
_xlpm.MyAuditVal,_xlfn.XLOOKUP($A610,My_Audit!$A:$A,My_Audit!I:I,""),
_xlfn.IFS(_xlpm.MyAuditVal&lt;&gt;"",UPPER(_xlpm.MyAuditVal),_xlpm.MacVal&lt;&gt;"",_xlpm.MacVal,_xlpm.CSVVal&lt;&gt;"",_xlpm.CSVVal
)),"")</f>
        <v/>
      </c>
      <c r="K610" s="40" t="str" cm="1">
        <f t="array" ref="K610">IFERROR(_xlfn.LET(
_xlpm.CSVVal,_xlfn.XLOOKUP($A610,CSV!$A:$A,CSV!K:K,""),
_xlpm.MacVal,_xlfn.XLOOKUP($A610,Output_Mac!$A:$A,Output_Mac!K:K,""),
_xlpm.MyAuditVal,_xlfn.XLOOKUP($A610,My_Audit!$A:$A,My_Audit!J:J,""),
_xlfn.IFS(_xlpm.MyAuditVal&lt;&gt;"",UPPER(_xlpm.MyAuditVal),_xlpm.MacVal&lt;&gt;"",_xlpm.MacVal,_xlpm.CSVVal&lt;&gt;"",_xlpm.CSVVal
)),"")</f>
        <v/>
      </c>
      <c r="L610" s="40" t="str" cm="1">
        <f t="array" ref="L610">IFERROR(_xlfn.LET(
_xlpm.CSVVal,_xlfn.XLOOKUP($A610,CSV!$A:$A,CSV!P:P,""),
_xlpm.MacVal,_xlfn.XLOOKUP($A610,Output_Mac!$A:$A,Output_Mac!L:L,""),
_xlpm.MyAuditVal,_xlfn.XLOOKUP($A610,My_Audit!$A:$A,My_Audit!K:K,""),
_xlfn.IFS(_xlpm.MyAuditVal&lt;&gt;"",UPPER(_xlpm.MyAuditVal),_xlpm.MacVal&lt;&gt;"",_xlpm.MacVal,_xlpm.CSVVal&lt;&gt;"",_xlpm.CSVVal
)),"")</f>
        <v/>
      </c>
      <c r="M610" s="40" t="str" cm="1">
        <f t="array" ref="M610">IFERROR(_xlfn.LET(
_xlpm.CSVVal,_xlfn.XLOOKUP($A610,CSV!$A:$A,CSV!Q:Q,""),
_xlpm.MacVal,_xlfn.XLOOKUP($A610,Output_Mac!$A:$A,Output_Mac!M:M,""),
_xlpm.MyAuditVal,_xlfn.XLOOKUP($A610,My_Audit!$A:$A,My_Audit!L:L,""),
_xlfn.IFS(_xlpm.MyAuditVal&lt;&gt;"",UPPER(_xlpm.MyAuditVal),_xlpm.MacVal&lt;&gt;"",_xlpm.MacVal,_xlpm.CSVVal&lt;&gt;"",_xlpm.CSVVal
)),"")</f>
        <v/>
      </c>
      <c r="N610" s="40"/>
      <c r="O610" s="40" t="str">
        <f>_xlfn.LET(
    _xlpm.CSVVal, _xlfn.XLOOKUP($A610, CSV!$A:$A, CSV!AA:AA, ""),
    _xlpm.MacVal, _xlfn.XLOOKUP($A610, Output_Mac!$A:$A, Output_Mac!S:S, ""),
    _xlpm.MyAuditVal, _xlfn.XLOOKUP($A610, My_Audit!$A:$A, My_Audit!P:P, ""),
    _xlfn.TEXTJOIN(", ", TRUE, _xlpm.MyAuditVal, _xlpm.MacVal, _xlpm.CSVVal)
)</f>
        <v/>
      </c>
      <c r="P610" s="40" t="str" cm="1">
        <f t="array" ref="P610">IFERROR(_xlfn.LET(
_xlpm.CSVVal,_xlfn.XLOOKUP($A610,CSV!$A:$A,CSV!AB:AB,""),
_xlpm.MacVal,_xlfn.XLOOKUP($A610,Output_Mac!$A:$A,Output_Mac!T:T,""),
_xlpm.MyAuditVal,_xlfn.XLOOKUP($A610,My_Audit!$A:$A,My_Audit!Q:Q,""),
_xlfn.IFS(_xlpm.MyAuditVal&lt;&gt;"",UPPER(_xlpm.MyAuditVal),_xlpm.MacVal&lt;&gt;"",_xlpm.MacVal,_xlpm.CSVVal&lt;&gt;"",_xlpm.CSVVal
)),"No")</f>
        <v>No</v>
      </c>
      <c r="Q610" s="40" t="str" cm="1">
        <f t="array" ref="Q610">IFERROR(_xlfn.LET(
_xlpm.CSVVal,_xlfn.XLOOKUP($A610,CSV!$A:$A,CSV!AC:AC,""),
_xlpm.MacVal,_xlfn.XLOOKUP($A610,Output_Mac!$A:$A,Output_Mac!U:U,""),
_xlpm.MyAuditVal,_xlfn.XLOOKUP($A610,My_Audit!$A:$A,My_Audit!R:R,""),
_xlfn.IFS(_xlpm.MyAuditVal&lt;&gt;"",UPPER(_xlpm.MyAuditVal),_xlpm.MacVal&lt;&gt;"",_xlpm.MacVal,_xlpm.CSVVal&lt;&gt;"",_xlpm.CSVVal
)),"")</f>
        <v/>
      </c>
      <c r="R610" s="40"/>
      <c r="S610" s="40"/>
      <c r="T610" s="40"/>
      <c r="U610" s="40"/>
      <c r="V610" s="40"/>
      <c r="W610" s="40"/>
      <c r="X610" s="41" t="str">
        <f>_xlfn.LET(
    _xlpm.MacVal, _xlfn.XLOOKUP($A610, Output_Mac!$A:$A, Output_Mac!AB:AB, ""),
    _xlpm.MyAuditVal, _xlfn.XLOOKUP($A610, My_Audit!$A:$A, My_Audit!N:N, ""),
    _xlfn.TEXTJOIN(", ", TRUE, _xlpm.MyAuditVal, _xlpm.MacVal)
)</f>
        <v/>
      </c>
    </row>
    <row r="611" spans="1:24">
      <c r="A611" s="40" t="str">
        <f>_xlfn.TEXTJOIN("",TRUE,Input!$B$2,ROW(My_Audit!A610))</f>
        <v>X610</v>
      </c>
      <c r="B611" s="40" t="str">
        <f>_xlfn.TEXTJOIN("-",TRUE,"ITD",Input!$A$2,A611)</f>
        <v>ITD-X610</v>
      </c>
      <c r="C611" s="40" t="str" cm="1">
        <f t="array" ref="C611">IFERROR(_xlfn.LET(
_xlpm.CSVVal,_xlfn.XLOOKUP($A611,CSV!$A:$A,CSV!B:B,""),
_xlpm.MacVal,_xlfn.XLOOKUP($A611,Output_Mac!$A:$A,Output_Mac!B:B,""),
_xlpm.MyAuditVal,_xlfn.XLOOKUP($A611,My_Audit!$A:$A,My_Audit!B:B,""),
_xlfn.IFS(_xlpm.MyAuditVal&lt;&gt;"",UPPER(_xlpm.MyAuditVal),_xlpm.MacVal&lt;&gt;"",_xlpm.MacVal,_xlpm.CSVVal&lt;&gt;"",_xlpm.CSVVal
)),"")</f>
        <v/>
      </c>
      <c r="D611" s="40" t="str" cm="1">
        <f t="array" ref="D611">IFERROR(_xlfn.LET(
_xlpm.CSVVal,_xlfn.XLOOKUP($A611,CSV!$A:$A,CSV!D:D,""),
_xlpm.MacVal,_xlfn.XLOOKUP($A611,Output_Mac!$A:$A,Output_Mac!C:C,""),
_xlpm.MyAuditVal,_xlfn.XLOOKUP($A611,My_Audit!$A:$A,My_Audit!C:C,""),
_xlfn.IFS(_xlpm.MyAuditVal&lt;&gt;"",_xlpm.MyAuditVal,_xlpm.MacVal&lt;&gt;"",_xlpm.MacVal,_xlpm.CSVVal&lt;&gt;"",_xlpm.CSVVal
)),"")</f>
        <v/>
      </c>
      <c r="E611" s="40" t="str">
        <f>_xlfn.XLOOKUP(A611,My_Audit!A:A,My_Audit!D:D,"")</f>
        <v/>
      </c>
      <c r="F611" s="40" t="str" cm="1">
        <f t="array" ref="F611">IFERROR(_xlfn.LET(
_xlpm.CSVVal,_xlfn.XLOOKUP($A611,CSV!$A:$A,CSV!F:F,""),
_xlpm.MacVal,_xlfn.XLOOKUP($A611,Output_Mac!$A:$A,Output_Mac!E:E,""),
_xlpm.MyAuditVal,_xlfn.XLOOKUP($A611,My_Audit!$A:$A,My_Audit!E:E,""),
_xlfn.IFS(_xlpm.MyAuditVal&lt;&gt;"",_xlpm.MyAuditVal,_xlpm.MacVal&lt;&gt;"",_xlpm.MacVal,_xlpm.CSVVal&lt;&gt;"",_xlpm.CSVVal
)),"")</f>
        <v/>
      </c>
      <c r="G611" s="40" t="str" cm="1">
        <f t="array" ref="G611">IFERROR(_xlfn.LET(
_xlpm.CSVVal,_xlfn.XLOOKUP($A611,CSV!$A:$A,CSV!G:G,""),
_xlpm.MacVal,_xlfn.XLOOKUP($A611,Output_Mac!$A:$A,Output_Mac!F:F,""),
_xlpm.MyAuditVal,_xlfn.XLOOKUP($A611,My_Audit!$A:$A,My_Audit!F:F,""),
_xlfn.IFS(_xlpm.MyAuditVal&lt;&gt;"",_xlpm.MyAuditVal,_xlpm.MacVal&lt;&gt;"",_xlpm.MacVal,_xlpm.CSVVal&lt;&gt;"",PROPER(_xlpm.CSVVal)
)),"")</f>
        <v/>
      </c>
      <c r="H611" s="40" t="str" cm="1">
        <f t="array" ref="H611">IFERROR(_xlfn.LET(
_xlpm.CSVVal,_xlfn.XLOOKUP($A611,CSV!$A:$A,CSV!H:H,""),
_xlpm.MacVal,_xlfn.XLOOKUP($A611,Output_Mac!$A:$A,Output_Mac!H:H,""),
_xlpm.MyAuditVal,_xlfn.XLOOKUP($A611,My_Audit!$A:$A,My_Audit!G:G,""),
_xlfn.IFS(_xlpm.MyAuditVal&lt;&gt;"",_xlpm.MyAuditVal,_xlpm.MacVal&lt;&gt;"",_xlpm.MacVal,_xlpm.CSVVal&lt;&gt;"",_xlpm.CSVVal
)),"")</f>
        <v/>
      </c>
      <c r="I611" s="40" t="str">
        <f>_xlfn.XLOOKUP(A611,Output_Mac!A:A,Output_Mac!I:I,"")</f>
        <v/>
      </c>
      <c r="J611" s="40" t="str" cm="1">
        <f t="array" ref="J611">IFERROR(_xlfn.LET(
_xlpm.CSVVal,_xlfn.XLOOKUP($A611,CSV!$A:$A,CSV!I:I,""),
_xlpm.MacVal,_xlfn.XLOOKUP($A611,Output_Mac!$A:$A,Output_Mac!J:J,""),
_xlpm.MyAuditVal,_xlfn.XLOOKUP($A611,My_Audit!$A:$A,My_Audit!I:I,""),
_xlfn.IFS(_xlpm.MyAuditVal&lt;&gt;"",UPPER(_xlpm.MyAuditVal),_xlpm.MacVal&lt;&gt;"",_xlpm.MacVal,_xlpm.CSVVal&lt;&gt;"",_xlpm.CSVVal
)),"")</f>
        <v/>
      </c>
      <c r="K611" s="40" t="str" cm="1">
        <f t="array" ref="K611">IFERROR(_xlfn.LET(
_xlpm.CSVVal,_xlfn.XLOOKUP($A611,CSV!$A:$A,CSV!K:K,""),
_xlpm.MacVal,_xlfn.XLOOKUP($A611,Output_Mac!$A:$A,Output_Mac!K:K,""),
_xlpm.MyAuditVal,_xlfn.XLOOKUP($A611,My_Audit!$A:$A,My_Audit!J:J,""),
_xlfn.IFS(_xlpm.MyAuditVal&lt;&gt;"",UPPER(_xlpm.MyAuditVal),_xlpm.MacVal&lt;&gt;"",_xlpm.MacVal,_xlpm.CSVVal&lt;&gt;"",_xlpm.CSVVal
)),"")</f>
        <v/>
      </c>
      <c r="L611" s="40" t="str" cm="1">
        <f t="array" ref="L611">IFERROR(_xlfn.LET(
_xlpm.CSVVal,_xlfn.XLOOKUP($A611,CSV!$A:$A,CSV!P:P,""),
_xlpm.MacVal,_xlfn.XLOOKUP($A611,Output_Mac!$A:$A,Output_Mac!L:L,""),
_xlpm.MyAuditVal,_xlfn.XLOOKUP($A611,My_Audit!$A:$A,My_Audit!K:K,""),
_xlfn.IFS(_xlpm.MyAuditVal&lt;&gt;"",UPPER(_xlpm.MyAuditVal),_xlpm.MacVal&lt;&gt;"",_xlpm.MacVal,_xlpm.CSVVal&lt;&gt;"",_xlpm.CSVVal
)),"")</f>
        <v/>
      </c>
      <c r="M611" s="40" t="str" cm="1">
        <f t="array" ref="M611">IFERROR(_xlfn.LET(
_xlpm.CSVVal,_xlfn.XLOOKUP($A611,CSV!$A:$A,CSV!Q:Q,""),
_xlpm.MacVal,_xlfn.XLOOKUP($A611,Output_Mac!$A:$A,Output_Mac!M:M,""),
_xlpm.MyAuditVal,_xlfn.XLOOKUP($A611,My_Audit!$A:$A,My_Audit!L:L,""),
_xlfn.IFS(_xlpm.MyAuditVal&lt;&gt;"",UPPER(_xlpm.MyAuditVal),_xlpm.MacVal&lt;&gt;"",_xlpm.MacVal,_xlpm.CSVVal&lt;&gt;"",_xlpm.CSVVal
)),"")</f>
        <v/>
      </c>
      <c r="N611" s="40"/>
      <c r="O611" s="40" t="str">
        <f>_xlfn.LET(
    _xlpm.CSVVal, _xlfn.XLOOKUP($A611, CSV!$A:$A, CSV!AA:AA, ""),
    _xlpm.MacVal, _xlfn.XLOOKUP($A611, Output_Mac!$A:$A, Output_Mac!S:S, ""),
    _xlpm.MyAuditVal, _xlfn.XLOOKUP($A611, My_Audit!$A:$A, My_Audit!P:P, ""),
    _xlfn.TEXTJOIN(", ", TRUE, _xlpm.MyAuditVal, _xlpm.MacVal, _xlpm.CSVVal)
)</f>
        <v/>
      </c>
      <c r="P611" s="40" t="str" cm="1">
        <f t="array" ref="P611">IFERROR(_xlfn.LET(
_xlpm.CSVVal,_xlfn.XLOOKUP($A611,CSV!$A:$A,CSV!AB:AB,""),
_xlpm.MacVal,_xlfn.XLOOKUP($A611,Output_Mac!$A:$A,Output_Mac!T:T,""),
_xlpm.MyAuditVal,_xlfn.XLOOKUP($A611,My_Audit!$A:$A,My_Audit!Q:Q,""),
_xlfn.IFS(_xlpm.MyAuditVal&lt;&gt;"",UPPER(_xlpm.MyAuditVal),_xlpm.MacVal&lt;&gt;"",_xlpm.MacVal,_xlpm.CSVVal&lt;&gt;"",_xlpm.CSVVal
)),"No")</f>
        <v>No</v>
      </c>
      <c r="Q611" s="40" t="str" cm="1">
        <f t="array" ref="Q611">IFERROR(_xlfn.LET(
_xlpm.CSVVal,_xlfn.XLOOKUP($A611,CSV!$A:$A,CSV!AC:AC,""),
_xlpm.MacVal,_xlfn.XLOOKUP($A611,Output_Mac!$A:$A,Output_Mac!U:U,""),
_xlpm.MyAuditVal,_xlfn.XLOOKUP($A611,My_Audit!$A:$A,My_Audit!R:R,""),
_xlfn.IFS(_xlpm.MyAuditVal&lt;&gt;"",UPPER(_xlpm.MyAuditVal),_xlpm.MacVal&lt;&gt;"",_xlpm.MacVal,_xlpm.CSVVal&lt;&gt;"",_xlpm.CSVVal
)),"")</f>
        <v/>
      </c>
      <c r="R611" s="40"/>
      <c r="S611" s="40"/>
      <c r="T611" s="40"/>
      <c r="U611" s="40"/>
      <c r="V611" s="40"/>
      <c r="W611" s="40"/>
      <c r="X611" s="41" t="str">
        <f>_xlfn.LET(
    _xlpm.MacVal, _xlfn.XLOOKUP($A611, Output_Mac!$A:$A, Output_Mac!AB:AB, ""),
    _xlpm.MyAuditVal, _xlfn.XLOOKUP($A611, My_Audit!$A:$A, My_Audit!N:N, ""),
    _xlfn.TEXTJOIN(", ", TRUE, _xlpm.MyAuditVal, _xlpm.MacVal)
)</f>
        <v/>
      </c>
    </row>
    <row r="612" spans="1:24">
      <c r="A612" s="40" t="str">
        <f>_xlfn.TEXTJOIN("",TRUE,Input!$B$2,ROW(My_Audit!A611))</f>
        <v>X611</v>
      </c>
      <c r="B612" s="40" t="str">
        <f>_xlfn.TEXTJOIN("-",TRUE,"ITD",Input!$A$2,A612)</f>
        <v>ITD-X611</v>
      </c>
      <c r="C612" s="40" t="str" cm="1">
        <f t="array" ref="C612">IFERROR(_xlfn.LET(
_xlpm.CSVVal,_xlfn.XLOOKUP($A612,CSV!$A:$A,CSV!B:B,""),
_xlpm.MacVal,_xlfn.XLOOKUP($A612,Output_Mac!$A:$A,Output_Mac!B:B,""),
_xlpm.MyAuditVal,_xlfn.XLOOKUP($A612,My_Audit!$A:$A,My_Audit!B:B,""),
_xlfn.IFS(_xlpm.MyAuditVal&lt;&gt;"",UPPER(_xlpm.MyAuditVal),_xlpm.MacVal&lt;&gt;"",_xlpm.MacVal,_xlpm.CSVVal&lt;&gt;"",_xlpm.CSVVal
)),"")</f>
        <v/>
      </c>
      <c r="D612" s="40" t="str" cm="1">
        <f t="array" ref="D612">IFERROR(_xlfn.LET(
_xlpm.CSVVal,_xlfn.XLOOKUP($A612,CSV!$A:$A,CSV!D:D,""),
_xlpm.MacVal,_xlfn.XLOOKUP($A612,Output_Mac!$A:$A,Output_Mac!C:C,""),
_xlpm.MyAuditVal,_xlfn.XLOOKUP($A612,My_Audit!$A:$A,My_Audit!C:C,""),
_xlfn.IFS(_xlpm.MyAuditVal&lt;&gt;"",_xlpm.MyAuditVal,_xlpm.MacVal&lt;&gt;"",_xlpm.MacVal,_xlpm.CSVVal&lt;&gt;"",_xlpm.CSVVal
)),"")</f>
        <v/>
      </c>
      <c r="E612" s="40" t="str">
        <f>_xlfn.XLOOKUP(A612,My_Audit!A:A,My_Audit!D:D,"")</f>
        <v/>
      </c>
      <c r="F612" s="40" t="str" cm="1">
        <f t="array" ref="F612">IFERROR(_xlfn.LET(
_xlpm.CSVVal,_xlfn.XLOOKUP($A612,CSV!$A:$A,CSV!F:F,""),
_xlpm.MacVal,_xlfn.XLOOKUP($A612,Output_Mac!$A:$A,Output_Mac!E:E,""),
_xlpm.MyAuditVal,_xlfn.XLOOKUP($A612,My_Audit!$A:$A,My_Audit!E:E,""),
_xlfn.IFS(_xlpm.MyAuditVal&lt;&gt;"",_xlpm.MyAuditVal,_xlpm.MacVal&lt;&gt;"",_xlpm.MacVal,_xlpm.CSVVal&lt;&gt;"",_xlpm.CSVVal
)),"")</f>
        <v/>
      </c>
      <c r="G612" s="40" t="str" cm="1">
        <f t="array" ref="G612">IFERROR(_xlfn.LET(
_xlpm.CSVVal,_xlfn.XLOOKUP($A612,CSV!$A:$A,CSV!G:G,""),
_xlpm.MacVal,_xlfn.XLOOKUP($A612,Output_Mac!$A:$A,Output_Mac!F:F,""),
_xlpm.MyAuditVal,_xlfn.XLOOKUP($A612,My_Audit!$A:$A,My_Audit!F:F,""),
_xlfn.IFS(_xlpm.MyAuditVal&lt;&gt;"",_xlpm.MyAuditVal,_xlpm.MacVal&lt;&gt;"",_xlpm.MacVal,_xlpm.CSVVal&lt;&gt;"",PROPER(_xlpm.CSVVal)
)),"")</f>
        <v/>
      </c>
      <c r="H612" s="40" t="str" cm="1">
        <f t="array" ref="H612">IFERROR(_xlfn.LET(
_xlpm.CSVVal,_xlfn.XLOOKUP($A612,CSV!$A:$A,CSV!H:H,""),
_xlpm.MacVal,_xlfn.XLOOKUP($A612,Output_Mac!$A:$A,Output_Mac!H:H,""),
_xlpm.MyAuditVal,_xlfn.XLOOKUP($A612,My_Audit!$A:$A,My_Audit!G:G,""),
_xlfn.IFS(_xlpm.MyAuditVal&lt;&gt;"",_xlpm.MyAuditVal,_xlpm.MacVal&lt;&gt;"",_xlpm.MacVal,_xlpm.CSVVal&lt;&gt;"",_xlpm.CSVVal
)),"")</f>
        <v/>
      </c>
      <c r="I612" s="40" t="str">
        <f>_xlfn.XLOOKUP(A612,Output_Mac!A:A,Output_Mac!I:I,"")</f>
        <v/>
      </c>
      <c r="J612" s="40" t="str" cm="1">
        <f t="array" ref="J612">IFERROR(_xlfn.LET(
_xlpm.CSVVal,_xlfn.XLOOKUP($A612,CSV!$A:$A,CSV!I:I,""),
_xlpm.MacVal,_xlfn.XLOOKUP($A612,Output_Mac!$A:$A,Output_Mac!J:J,""),
_xlpm.MyAuditVal,_xlfn.XLOOKUP($A612,My_Audit!$A:$A,My_Audit!I:I,""),
_xlfn.IFS(_xlpm.MyAuditVal&lt;&gt;"",UPPER(_xlpm.MyAuditVal),_xlpm.MacVal&lt;&gt;"",_xlpm.MacVal,_xlpm.CSVVal&lt;&gt;"",_xlpm.CSVVal
)),"")</f>
        <v/>
      </c>
      <c r="K612" s="40" t="str" cm="1">
        <f t="array" ref="K612">IFERROR(_xlfn.LET(
_xlpm.CSVVal,_xlfn.XLOOKUP($A612,CSV!$A:$A,CSV!K:K,""),
_xlpm.MacVal,_xlfn.XLOOKUP($A612,Output_Mac!$A:$A,Output_Mac!K:K,""),
_xlpm.MyAuditVal,_xlfn.XLOOKUP($A612,My_Audit!$A:$A,My_Audit!J:J,""),
_xlfn.IFS(_xlpm.MyAuditVal&lt;&gt;"",UPPER(_xlpm.MyAuditVal),_xlpm.MacVal&lt;&gt;"",_xlpm.MacVal,_xlpm.CSVVal&lt;&gt;"",_xlpm.CSVVal
)),"")</f>
        <v/>
      </c>
      <c r="L612" s="40" t="str" cm="1">
        <f t="array" ref="L612">IFERROR(_xlfn.LET(
_xlpm.CSVVal,_xlfn.XLOOKUP($A612,CSV!$A:$A,CSV!P:P,""),
_xlpm.MacVal,_xlfn.XLOOKUP($A612,Output_Mac!$A:$A,Output_Mac!L:L,""),
_xlpm.MyAuditVal,_xlfn.XLOOKUP($A612,My_Audit!$A:$A,My_Audit!K:K,""),
_xlfn.IFS(_xlpm.MyAuditVal&lt;&gt;"",UPPER(_xlpm.MyAuditVal),_xlpm.MacVal&lt;&gt;"",_xlpm.MacVal,_xlpm.CSVVal&lt;&gt;"",_xlpm.CSVVal
)),"")</f>
        <v/>
      </c>
      <c r="M612" s="40" t="str" cm="1">
        <f t="array" ref="M612">IFERROR(_xlfn.LET(
_xlpm.CSVVal,_xlfn.XLOOKUP($A612,CSV!$A:$A,CSV!Q:Q,""),
_xlpm.MacVal,_xlfn.XLOOKUP($A612,Output_Mac!$A:$A,Output_Mac!M:M,""),
_xlpm.MyAuditVal,_xlfn.XLOOKUP($A612,My_Audit!$A:$A,My_Audit!L:L,""),
_xlfn.IFS(_xlpm.MyAuditVal&lt;&gt;"",UPPER(_xlpm.MyAuditVal),_xlpm.MacVal&lt;&gt;"",_xlpm.MacVal,_xlpm.CSVVal&lt;&gt;"",_xlpm.CSVVal
)),"")</f>
        <v/>
      </c>
      <c r="N612" s="40"/>
      <c r="O612" s="40" t="str">
        <f>_xlfn.LET(
    _xlpm.CSVVal, _xlfn.XLOOKUP($A612, CSV!$A:$A, CSV!AA:AA, ""),
    _xlpm.MacVal, _xlfn.XLOOKUP($A612, Output_Mac!$A:$A, Output_Mac!S:S, ""),
    _xlpm.MyAuditVal, _xlfn.XLOOKUP($A612, My_Audit!$A:$A, My_Audit!P:P, ""),
    _xlfn.TEXTJOIN(", ", TRUE, _xlpm.MyAuditVal, _xlpm.MacVal, _xlpm.CSVVal)
)</f>
        <v/>
      </c>
      <c r="P612" s="40" t="str" cm="1">
        <f t="array" ref="P612">IFERROR(_xlfn.LET(
_xlpm.CSVVal,_xlfn.XLOOKUP($A612,CSV!$A:$A,CSV!AB:AB,""),
_xlpm.MacVal,_xlfn.XLOOKUP($A612,Output_Mac!$A:$A,Output_Mac!T:T,""),
_xlpm.MyAuditVal,_xlfn.XLOOKUP($A612,My_Audit!$A:$A,My_Audit!Q:Q,""),
_xlfn.IFS(_xlpm.MyAuditVal&lt;&gt;"",UPPER(_xlpm.MyAuditVal),_xlpm.MacVal&lt;&gt;"",_xlpm.MacVal,_xlpm.CSVVal&lt;&gt;"",_xlpm.CSVVal
)),"No")</f>
        <v>No</v>
      </c>
      <c r="Q612" s="40" t="str" cm="1">
        <f t="array" ref="Q612">IFERROR(_xlfn.LET(
_xlpm.CSVVal,_xlfn.XLOOKUP($A612,CSV!$A:$A,CSV!AC:AC,""),
_xlpm.MacVal,_xlfn.XLOOKUP($A612,Output_Mac!$A:$A,Output_Mac!U:U,""),
_xlpm.MyAuditVal,_xlfn.XLOOKUP($A612,My_Audit!$A:$A,My_Audit!R:R,""),
_xlfn.IFS(_xlpm.MyAuditVal&lt;&gt;"",UPPER(_xlpm.MyAuditVal),_xlpm.MacVal&lt;&gt;"",_xlpm.MacVal,_xlpm.CSVVal&lt;&gt;"",_xlpm.CSVVal
)),"")</f>
        <v/>
      </c>
      <c r="R612" s="40"/>
      <c r="S612" s="40"/>
      <c r="T612" s="40"/>
      <c r="U612" s="40"/>
      <c r="V612" s="40"/>
      <c r="W612" s="40"/>
      <c r="X612" s="41" t="str">
        <f>_xlfn.LET(
    _xlpm.MacVal, _xlfn.XLOOKUP($A612, Output_Mac!$A:$A, Output_Mac!AB:AB, ""),
    _xlpm.MyAuditVal, _xlfn.XLOOKUP($A612, My_Audit!$A:$A, My_Audit!N:N, ""),
    _xlfn.TEXTJOIN(", ", TRUE, _xlpm.MyAuditVal, _xlpm.MacVal)
)</f>
        <v/>
      </c>
    </row>
    <row r="613" spans="1:24">
      <c r="A613" s="40" t="str">
        <f>_xlfn.TEXTJOIN("",TRUE,Input!$B$2,ROW(My_Audit!A612))</f>
        <v>X612</v>
      </c>
      <c r="B613" s="40" t="str">
        <f>_xlfn.TEXTJOIN("-",TRUE,"ITD",Input!$A$2,A613)</f>
        <v>ITD-X612</v>
      </c>
      <c r="C613" s="40" t="str" cm="1">
        <f t="array" ref="C613">IFERROR(_xlfn.LET(
_xlpm.CSVVal,_xlfn.XLOOKUP($A613,CSV!$A:$A,CSV!B:B,""),
_xlpm.MacVal,_xlfn.XLOOKUP($A613,Output_Mac!$A:$A,Output_Mac!B:B,""),
_xlpm.MyAuditVal,_xlfn.XLOOKUP($A613,My_Audit!$A:$A,My_Audit!B:B,""),
_xlfn.IFS(_xlpm.MyAuditVal&lt;&gt;"",UPPER(_xlpm.MyAuditVal),_xlpm.MacVal&lt;&gt;"",_xlpm.MacVal,_xlpm.CSVVal&lt;&gt;"",_xlpm.CSVVal
)),"")</f>
        <v/>
      </c>
      <c r="D613" s="40" t="str" cm="1">
        <f t="array" ref="D613">IFERROR(_xlfn.LET(
_xlpm.CSVVal,_xlfn.XLOOKUP($A613,CSV!$A:$A,CSV!D:D,""),
_xlpm.MacVal,_xlfn.XLOOKUP($A613,Output_Mac!$A:$A,Output_Mac!C:C,""),
_xlpm.MyAuditVal,_xlfn.XLOOKUP($A613,My_Audit!$A:$A,My_Audit!C:C,""),
_xlfn.IFS(_xlpm.MyAuditVal&lt;&gt;"",_xlpm.MyAuditVal,_xlpm.MacVal&lt;&gt;"",_xlpm.MacVal,_xlpm.CSVVal&lt;&gt;"",_xlpm.CSVVal
)),"")</f>
        <v/>
      </c>
      <c r="E613" s="40" t="str">
        <f>_xlfn.XLOOKUP(A613,My_Audit!A:A,My_Audit!D:D,"")</f>
        <v/>
      </c>
      <c r="F613" s="40" t="str" cm="1">
        <f t="array" ref="F613">IFERROR(_xlfn.LET(
_xlpm.CSVVal,_xlfn.XLOOKUP($A613,CSV!$A:$A,CSV!F:F,""),
_xlpm.MacVal,_xlfn.XLOOKUP($A613,Output_Mac!$A:$A,Output_Mac!E:E,""),
_xlpm.MyAuditVal,_xlfn.XLOOKUP($A613,My_Audit!$A:$A,My_Audit!E:E,""),
_xlfn.IFS(_xlpm.MyAuditVal&lt;&gt;"",_xlpm.MyAuditVal,_xlpm.MacVal&lt;&gt;"",_xlpm.MacVal,_xlpm.CSVVal&lt;&gt;"",_xlpm.CSVVal
)),"")</f>
        <v/>
      </c>
      <c r="G613" s="40" t="str" cm="1">
        <f t="array" ref="G613">IFERROR(_xlfn.LET(
_xlpm.CSVVal,_xlfn.XLOOKUP($A613,CSV!$A:$A,CSV!G:G,""),
_xlpm.MacVal,_xlfn.XLOOKUP($A613,Output_Mac!$A:$A,Output_Mac!F:F,""),
_xlpm.MyAuditVal,_xlfn.XLOOKUP($A613,My_Audit!$A:$A,My_Audit!F:F,""),
_xlfn.IFS(_xlpm.MyAuditVal&lt;&gt;"",_xlpm.MyAuditVal,_xlpm.MacVal&lt;&gt;"",_xlpm.MacVal,_xlpm.CSVVal&lt;&gt;"",PROPER(_xlpm.CSVVal)
)),"")</f>
        <v/>
      </c>
      <c r="H613" s="40" t="str" cm="1">
        <f t="array" ref="H613">IFERROR(_xlfn.LET(
_xlpm.CSVVal,_xlfn.XLOOKUP($A613,CSV!$A:$A,CSV!H:H,""),
_xlpm.MacVal,_xlfn.XLOOKUP($A613,Output_Mac!$A:$A,Output_Mac!H:H,""),
_xlpm.MyAuditVal,_xlfn.XLOOKUP($A613,My_Audit!$A:$A,My_Audit!G:G,""),
_xlfn.IFS(_xlpm.MyAuditVal&lt;&gt;"",_xlpm.MyAuditVal,_xlpm.MacVal&lt;&gt;"",_xlpm.MacVal,_xlpm.CSVVal&lt;&gt;"",_xlpm.CSVVal
)),"")</f>
        <v/>
      </c>
      <c r="I613" s="40" t="str">
        <f>_xlfn.XLOOKUP(A613,Output_Mac!A:A,Output_Mac!I:I,"")</f>
        <v/>
      </c>
      <c r="J613" s="40" t="str" cm="1">
        <f t="array" ref="J613">IFERROR(_xlfn.LET(
_xlpm.CSVVal,_xlfn.XLOOKUP($A613,CSV!$A:$A,CSV!I:I,""),
_xlpm.MacVal,_xlfn.XLOOKUP($A613,Output_Mac!$A:$A,Output_Mac!J:J,""),
_xlpm.MyAuditVal,_xlfn.XLOOKUP($A613,My_Audit!$A:$A,My_Audit!I:I,""),
_xlfn.IFS(_xlpm.MyAuditVal&lt;&gt;"",UPPER(_xlpm.MyAuditVal),_xlpm.MacVal&lt;&gt;"",_xlpm.MacVal,_xlpm.CSVVal&lt;&gt;"",_xlpm.CSVVal
)),"")</f>
        <v/>
      </c>
      <c r="K613" s="40" t="str" cm="1">
        <f t="array" ref="K613">IFERROR(_xlfn.LET(
_xlpm.CSVVal,_xlfn.XLOOKUP($A613,CSV!$A:$A,CSV!K:K,""),
_xlpm.MacVal,_xlfn.XLOOKUP($A613,Output_Mac!$A:$A,Output_Mac!K:K,""),
_xlpm.MyAuditVal,_xlfn.XLOOKUP($A613,My_Audit!$A:$A,My_Audit!J:J,""),
_xlfn.IFS(_xlpm.MyAuditVal&lt;&gt;"",UPPER(_xlpm.MyAuditVal),_xlpm.MacVal&lt;&gt;"",_xlpm.MacVal,_xlpm.CSVVal&lt;&gt;"",_xlpm.CSVVal
)),"")</f>
        <v/>
      </c>
      <c r="L613" s="40" t="str" cm="1">
        <f t="array" ref="L613">IFERROR(_xlfn.LET(
_xlpm.CSVVal,_xlfn.XLOOKUP($A613,CSV!$A:$A,CSV!P:P,""),
_xlpm.MacVal,_xlfn.XLOOKUP($A613,Output_Mac!$A:$A,Output_Mac!L:L,""),
_xlpm.MyAuditVal,_xlfn.XLOOKUP($A613,My_Audit!$A:$A,My_Audit!K:K,""),
_xlfn.IFS(_xlpm.MyAuditVal&lt;&gt;"",UPPER(_xlpm.MyAuditVal),_xlpm.MacVal&lt;&gt;"",_xlpm.MacVal,_xlpm.CSVVal&lt;&gt;"",_xlpm.CSVVal
)),"")</f>
        <v/>
      </c>
      <c r="M613" s="40" t="str" cm="1">
        <f t="array" ref="M613">IFERROR(_xlfn.LET(
_xlpm.CSVVal,_xlfn.XLOOKUP($A613,CSV!$A:$A,CSV!Q:Q,""),
_xlpm.MacVal,_xlfn.XLOOKUP($A613,Output_Mac!$A:$A,Output_Mac!M:M,""),
_xlpm.MyAuditVal,_xlfn.XLOOKUP($A613,My_Audit!$A:$A,My_Audit!L:L,""),
_xlfn.IFS(_xlpm.MyAuditVal&lt;&gt;"",UPPER(_xlpm.MyAuditVal),_xlpm.MacVal&lt;&gt;"",_xlpm.MacVal,_xlpm.CSVVal&lt;&gt;"",_xlpm.CSVVal
)),"")</f>
        <v/>
      </c>
      <c r="N613" s="40"/>
      <c r="O613" s="40" t="str">
        <f>_xlfn.LET(
    _xlpm.CSVVal, _xlfn.XLOOKUP($A613, CSV!$A:$A, CSV!AA:AA, ""),
    _xlpm.MacVal, _xlfn.XLOOKUP($A613, Output_Mac!$A:$A, Output_Mac!S:S, ""),
    _xlpm.MyAuditVal, _xlfn.XLOOKUP($A613, My_Audit!$A:$A, My_Audit!P:P, ""),
    _xlfn.TEXTJOIN(", ", TRUE, _xlpm.MyAuditVal, _xlpm.MacVal, _xlpm.CSVVal)
)</f>
        <v/>
      </c>
      <c r="P613" s="40" t="str" cm="1">
        <f t="array" ref="P613">IFERROR(_xlfn.LET(
_xlpm.CSVVal,_xlfn.XLOOKUP($A613,CSV!$A:$A,CSV!AB:AB,""),
_xlpm.MacVal,_xlfn.XLOOKUP($A613,Output_Mac!$A:$A,Output_Mac!T:T,""),
_xlpm.MyAuditVal,_xlfn.XLOOKUP($A613,My_Audit!$A:$A,My_Audit!Q:Q,""),
_xlfn.IFS(_xlpm.MyAuditVal&lt;&gt;"",UPPER(_xlpm.MyAuditVal),_xlpm.MacVal&lt;&gt;"",_xlpm.MacVal,_xlpm.CSVVal&lt;&gt;"",_xlpm.CSVVal
)),"No")</f>
        <v>No</v>
      </c>
      <c r="Q613" s="40" t="str" cm="1">
        <f t="array" ref="Q613">IFERROR(_xlfn.LET(
_xlpm.CSVVal,_xlfn.XLOOKUP($A613,CSV!$A:$A,CSV!AC:AC,""),
_xlpm.MacVal,_xlfn.XLOOKUP($A613,Output_Mac!$A:$A,Output_Mac!U:U,""),
_xlpm.MyAuditVal,_xlfn.XLOOKUP($A613,My_Audit!$A:$A,My_Audit!R:R,""),
_xlfn.IFS(_xlpm.MyAuditVal&lt;&gt;"",UPPER(_xlpm.MyAuditVal),_xlpm.MacVal&lt;&gt;"",_xlpm.MacVal,_xlpm.CSVVal&lt;&gt;"",_xlpm.CSVVal
)),"")</f>
        <v/>
      </c>
      <c r="R613" s="40"/>
      <c r="S613" s="40"/>
      <c r="T613" s="40"/>
      <c r="U613" s="40"/>
      <c r="V613" s="40"/>
      <c r="W613" s="40"/>
      <c r="X613" s="41" t="str">
        <f>_xlfn.LET(
    _xlpm.MacVal, _xlfn.XLOOKUP($A613, Output_Mac!$A:$A, Output_Mac!AB:AB, ""),
    _xlpm.MyAuditVal, _xlfn.XLOOKUP($A613, My_Audit!$A:$A, My_Audit!N:N, ""),
    _xlfn.TEXTJOIN(", ", TRUE, _xlpm.MyAuditVal, _xlpm.MacVal)
)</f>
        <v/>
      </c>
    </row>
    <row r="614" spans="1:24">
      <c r="A614" s="40" t="str">
        <f>_xlfn.TEXTJOIN("",TRUE,Input!$B$2,ROW(My_Audit!A613))</f>
        <v>X613</v>
      </c>
      <c r="B614" s="40" t="str">
        <f>_xlfn.TEXTJOIN("-",TRUE,"ITD",Input!$A$2,A614)</f>
        <v>ITD-X613</v>
      </c>
      <c r="C614" s="40" t="str" cm="1">
        <f t="array" ref="C614">IFERROR(_xlfn.LET(
_xlpm.CSVVal,_xlfn.XLOOKUP($A614,CSV!$A:$A,CSV!B:B,""),
_xlpm.MacVal,_xlfn.XLOOKUP($A614,Output_Mac!$A:$A,Output_Mac!B:B,""),
_xlpm.MyAuditVal,_xlfn.XLOOKUP($A614,My_Audit!$A:$A,My_Audit!B:B,""),
_xlfn.IFS(_xlpm.MyAuditVal&lt;&gt;"",UPPER(_xlpm.MyAuditVal),_xlpm.MacVal&lt;&gt;"",_xlpm.MacVal,_xlpm.CSVVal&lt;&gt;"",_xlpm.CSVVal
)),"")</f>
        <v/>
      </c>
      <c r="D614" s="40" t="str" cm="1">
        <f t="array" ref="D614">IFERROR(_xlfn.LET(
_xlpm.CSVVal,_xlfn.XLOOKUP($A614,CSV!$A:$A,CSV!D:D,""),
_xlpm.MacVal,_xlfn.XLOOKUP($A614,Output_Mac!$A:$A,Output_Mac!C:C,""),
_xlpm.MyAuditVal,_xlfn.XLOOKUP($A614,My_Audit!$A:$A,My_Audit!C:C,""),
_xlfn.IFS(_xlpm.MyAuditVal&lt;&gt;"",_xlpm.MyAuditVal,_xlpm.MacVal&lt;&gt;"",_xlpm.MacVal,_xlpm.CSVVal&lt;&gt;"",_xlpm.CSVVal
)),"")</f>
        <v/>
      </c>
      <c r="E614" s="40" t="str">
        <f>_xlfn.XLOOKUP(A614,My_Audit!A:A,My_Audit!D:D,"")</f>
        <v/>
      </c>
      <c r="F614" s="40" t="str" cm="1">
        <f t="array" ref="F614">IFERROR(_xlfn.LET(
_xlpm.CSVVal,_xlfn.XLOOKUP($A614,CSV!$A:$A,CSV!F:F,""),
_xlpm.MacVal,_xlfn.XLOOKUP($A614,Output_Mac!$A:$A,Output_Mac!E:E,""),
_xlpm.MyAuditVal,_xlfn.XLOOKUP($A614,My_Audit!$A:$A,My_Audit!E:E,""),
_xlfn.IFS(_xlpm.MyAuditVal&lt;&gt;"",_xlpm.MyAuditVal,_xlpm.MacVal&lt;&gt;"",_xlpm.MacVal,_xlpm.CSVVal&lt;&gt;"",_xlpm.CSVVal
)),"")</f>
        <v/>
      </c>
      <c r="G614" s="40" t="str" cm="1">
        <f t="array" ref="G614">IFERROR(_xlfn.LET(
_xlpm.CSVVal,_xlfn.XLOOKUP($A614,CSV!$A:$A,CSV!G:G,""),
_xlpm.MacVal,_xlfn.XLOOKUP($A614,Output_Mac!$A:$A,Output_Mac!F:F,""),
_xlpm.MyAuditVal,_xlfn.XLOOKUP($A614,My_Audit!$A:$A,My_Audit!F:F,""),
_xlfn.IFS(_xlpm.MyAuditVal&lt;&gt;"",_xlpm.MyAuditVal,_xlpm.MacVal&lt;&gt;"",_xlpm.MacVal,_xlpm.CSVVal&lt;&gt;"",PROPER(_xlpm.CSVVal)
)),"")</f>
        <v/>
      </c>
      <c r="H614" s="40" t="str" cm="1">
        <f t="array" ref="H614">IFERROR(_xlfn.LET(
_xlpm.CSVVal,_xlfn.XLOOKUP($A614,CSV!$A:$A,CSV!H:H,""),
_xlpm.MacVal,_xlfn.XLOOKUP($A614,Output_Mac!$A:$A,Output_Mac!H:H,""),
_xlpm.MyAuditVal,_xlfn.XLOOKUP($A614,My_Audit!$A:$A,My_Audit!G:G,""),
_xlfn.IFS(_xlpm.MyAuditVal&lt;&gt;"",_xlpm.MyAuditVal,_xlpm.MacVal&lt;&gt;"",_xlpm.MacVal,_xlpm.CSVVal&lt;&gt;"",_xlpm.CSVVal
)),"")</f>
        <v/>
      </c>
      <c r="I614" s="40" t="str">
        <f>_xlfn.XLOOKUP(A614,Output_Mac!A:A,Output_Mac!I:I,"")</f>
        <v/>
      </c>
      <c r="J614" s="40" t="str" cm="1">
        <f t="array" ref="J614">IFERROR(_xlfn.LET(
_xlpm.CSVVal,_xlfn.XLOOKUP($A614,CSV!$A:$A,CSV!I:I,""),
_xlpm.MacVal,_xlfn.XLOOKUP($A614,Output_Mac!$A:$A,Output_Mac!J:J,""),
_xlpm.MyAuditVal,_xlfn.XLOOKUP($A614,My_Audit!$A:$A,My_Audit!I:I,""),
_xlfn.IFS(_xlpm.MyAuditVal&lt;&gt;"",UPPER(_xlpm.MyAuditVal),_xlpm.MacVal&lt;&gt;"",_xlpm.MacVal,_xlpm.CSVVal&lt;&gt;"",_xlpm.CSVVal
)),"")</f>
        <v/>
      </c>
      <c r="K614" s="40" t="str" cm="1">
        <f t="array" ref="K614">IFERROR(_xlfn.LET(
_xlpm.CSVVal,_xlfn.XLOOKUP($A614,CSV!$A:$A,CSV!K:K,""),
_xlpm.MacVal,_xlfn.XLOOKUP($A614,Output_Mac!$A:$A,Output_Mac!K:K,""),
_xlpm.MyAuditVal,_xlfn.XLOOKUP($A614,My_Audit!$A:$A,My_Audit!J:J,""),
_xlfn.IFS(_xlpm.MyAuditVal&lt;&gt;"",UPPER(_xlpm.MyAuditVal),_xlpm.MacVal&lt;&gt;"",_xlpm.MacVal,_xlpm.CSVVal&lt;&gt;"",_xlpm.CSVVal
)),"")</f>
        <v/>
      </c>
      <c r="L614" s="40" t="str" cm="1">
        <f t="array" ref="L614">IFERROR(_xlfn.LET(
_xlpm.CSVVal,_xlfn.XLOOKUP($A614,CSV!$A:$A,CSV!P:P,""),
_xlpm.MacVal,_xlfn.XLOOKUP($A614,Output_Mac!$A:$A,Output_Mac!L:L,""),
_xlpm.MyAuditVal,_xlfn.XLOOKUP($A614,My_Audit!$A:$A,My_Audit!K:K,""),
_xlfn.IFS(_xlpm.MyAuditVal&lt;&gt;"",UPPER(_xlpm.MyAuditVal),_xlpm.MacVal&lt;&gt;"",_xlpm.MacVal,_xlpm.CSVVal&lt;&gt;"",_xlpm.CSVVal
)),"")</f>
        <v/>
      </c>
      <c r="M614" s="40" t="str" cm="1">
        <f t="array" ref="M614">IFERROR(_xlfn.LET(
_xlpm.CSVVal,_xlfn.XLOOKUP($A614,CSV!$A:$A,CSV!Q:Q,""),
_xlpm.MacVal,_xlfn.XLOOKUP($A614,Output_Mac!$A:$A,Output_Mac!M:M,""),
_xlpm.MyAuditVal,_xlfn.XLOOKUP($A614,My_Audit!$A:$A,My_Audit!L:L,""),
_xlfn.IFS(_xlpm.MyAuditVal&lt;&gt;"",UPPER(_xlpm.MyAuditVal),_xlpm.MacVal&lt;&gt;"",_xlpm.MacVal,_xlpm.CSVVal&lt;&gt;"",_xlpm.CSVVal
)),"")</f>
        <v/>
      </c>
      <c r="N614" s="40"/>
      <c r="O614" s="40" t="str">
        <f>_xlfn.LET(
    _xlpm.CSVVal, _xlfn.XLOOKUP($A614, CSV!$A:$A, CSV!AA:AA, ""),
    _xlpm.MacVal, _xlfn.XLOOKUP($A614, Output_Mac!$A:$A, Output_Mac!S:S, ""),
    _xlpm.MyAuditVal, _xlfn.XLOOKUP($A614, My_Audit!$A:$A, My_Audit!P:P, ""),
    _xlfn.TEXTJOIN(", ", TRUE, _xlpm.MyAuditVal, _xlpm.MacVal, _xlpm.CSVVal)
)</f>
        <v/>
      </c>
      <c r="P614" s="40" t="str" cm="1">
        <f t="array" ref="P614">IFERROR(_xlfn.LET(
_xlpm.CSVVal,_xlfn.XLOOKUP($A614,CSV!$A:$A,CSV!AB:AB,""),
_xlpm.MacVal,_xlfn.XLOOKUP($A614,Output_Mac!$A:$A,Output_Mac!T:T,""),
_xlpm.MyAuditVal,_xlfn.XLOOKUP($A614,My_Audit!$A:$A,My_Audit!Q:Q,""),
_xlfn.IFS(_xlpm.MyAuditVal&lt;&gt;"",UPPER(_xlpm.MyAuditVal),_xlpm.MacVal&lt;&gt;"",_xlpm.MacVal,_xlpm.CSVVal&lt;&gt;"",_xlpm.CSVVal
)),"No")</f>
        <v>No</v>
      </c>
      <c r="Q614" s="40" t="str" cm="1">
        <f t="array" ref="Q614">IFERROR(_xlfn.LET(
_xlpm.CSVVal,_xlfn.XLOOKUP($A614,CSV!$A:$A,CSV!AC:AC,""),
_xlpm.MacVal,_xlfn.XLOOKUP($A614,Output_Mac!$A:$A,Output_Mac!U:U,""),
_xlpm.MyAuditVal,_xlfn.XLOOKUP($A614,My_Audit!$A:$A,My_Audit!R:R,""),
_xlfn.IFS(_xlpm.MyAuditVal&lt;&gt;"",UPPER(_xlpm.MyAuditVal),_xlpm.MacVal&lt;&gt;"",_xlpm.MacVal,_xlpm.CSVVal&lt;&gt;"",_xlpm.CSVVal
)),"")</f>
        <v/>
      </c>
      <c r="R614" s="40"/>
      <c r="S614" s="40"/>
      <c r="T614" s="40"/>
      <c r="U614" s="40"/>
      <c r="V614" s="40"/>
      <c r="W614" s="40"/>
      <c r="X614" s="41" t="str">
        <f>_xlfn.LET(
    _xlpm.MacVal, _xlfn.XLOOKUP($A614, Output_Mac!$A:$A, Output_Mac!AB:AB, ""),
    _xlpm.MyAuditVal, _xlfn.XLOOKUP($A614, My_Audit!$A:$A, My_Audit!N:N, ""),
    _xlfn.TEXTJOIN(", ", TRUE, _xlpm.MyAuditVal, _xlpm.MacVal)
)</f>
        <v/>
      </c>
    </row>
    <row r="615" spans="1:24">
      <c r="A615" s="40" t="str">
        <f>_xlfn.TEXTJOIN("",TRUE,Input!$B$2,ROW(My_Audit!A614))</f>
        <v>X614</v>
      </c>
      <c r="B615" s="40" t="str">
        <f>_xlfn.TEXTJOIN("-",TRUE,"ITD",Input!$A$2,A615)</f>
        <v>ITD-X614</v>
      </c>
      <c r="C615" s="40" t="str" cm="1">
        <f t="array" ref="C615">IFERROR(_xlfn.LET(
_xlpm.CSVVal,_xlfn.XLOOKUP($A615,CSV!$A:$A,CSV!B:B,""),
_xlpm.MacVal,_xlfn.XLOOKUP($A615,Output_Mac!$A:$A,Output_Mac!B:B,""),
_xlpm.MyAuditVal,_xlfn.XLOOKUP($A615,My_Audit!$A:$A,My_Audit!B:B,""),
_xlfn.IFS(_xlpm.MyAuditVal&lt;&gt;"",UPPER(_xlpm.MyAuditVal),_xlpm.MacVal&lt;&gt;"",_xlpm.MacVal,_xlpm.CSVVal&lt;&gt;"",_xlpm.CSVVal
)),"")</f>
        <v/>
      </c>
      <c r="D615" s="40" t="str" cm="1">
        <f t="array" ref="D615">IFERROR(_xlfn.LET(
_xlpm.CSVVal,_xlfn.XLOOKUP($A615,CSV!$A:$A,CSV!D:D,""),
_xlpm.MacVal,_xlfn.XLOOKUP($A615,Output_Mac!$A:$A,Output_Mac!C:C,""),
_xlpm.MyAuditVal,_xlfn.XLOOKUP($A615,My_Audit!$A:$A,My_Audit!C:C,""),
_xlfn.IFS(_xlpm.MyAuditVal&lt;&gt;"",_xlpm.MyAuditVal,_xlpm.MacVal&lt;&gt;"",_xlpm.MacVal,_xlpm.CSVVal&lt;&gt;"",_xlpm.CSVVal
)),"")</f>
        <v/>
      </c>
      <c r="E615" s="40" t="str">
        <f>_xlfn.XLOOKUP(A615,My_Audit!A:A,My_Audit!D:D,"")</f>
        <v/>
      </c>
      <c r="F615" s="40" t="str" cm="1">
        <f t="array" ref="F615">IFERROR(_xlfn.LET(
_xlpm.CSVVal,_xlfn.XLOOKUP($A615,CSV!$A:$A,CSV!F:F,""),
_xlpm.MacVal,_xlfn.XLOOKUP($A615,Output_Mac!$A:$A,Output_Mac!E:E,""),
_xlpm.MyAuditVal,_xlfn.XLOOKUP($A615,My_Audit!$A:$A,My_Audit!E:E,""),
_xlfn.IFS(_xlpm.MyAuditVal&lt;&gt;"",_xlpm.MyAuditVal,_xlpm.MacVal&lt;&gt;"",_xlpm.MacVal,_xlpm.CSVVal&lt;&gt;"",_xlpm.CSVVal
)),"")</f>
        <v/>
      </c>
      <c r="G615" s="40" t="str" cm="1">
        <f t="array" ref="G615">IFERROR(_xlfn.LET(
_xlpm.CSVVal,_xlfn.XLOOKUP($A615,CSV!$A:$A,CSV!G:G,""),
_xlpm.MacVal,_xlfn.XLOOKUP($A615,Output_Mac!$A:$A,Output_Mac!F:F,""),
_xlpm.MyAuditVal,_xlfn.XLOOKUP($A615,My_Audit!$A:$A,My_Audit!F:F,""),
_xlfn.IFS(_xlpm.MyAuditVal&lt;&gt;"",_xlpm.MyAuditVal,_xlpm.MacVal&lt;&gt;"",_xlpm.MacVal,_xlpm.CSVVal&lt;&gt;"",PROPER(_xlpm.CSVVal)
)),"")</f>
        <v/>
      </c>
      <c r="H615" s="40" t="str" cm="1">
        <f t="array" ref="H615">IFERROR(_xlfn.LET(
_xlpm.CSVVal,_xlfn.XLOOKUP($A615,CSV!$A:$A,CSV!H:H,""),
_xlpm.MacVal,_xlfn.XLOOKUP($A615,Output_Mac!$A:$A,Output_Mac!H:H,""),
_xlpm.MyAuditVal,_xlfn.XLOOKUP($A615,My_Audit!$A:$A,My_Audit!G:G,""),
_xlfn.IFS(_xlpm.MyAuditVal&lt;&gt;"",_xlpm.MyAuditVal,_xlpm.MacVal&lt;&gt;"",_xlpm.MacVal,_xlpm.CSVVal&lt;&gt;"",_xlpm.CSVVal
)),"")</f>
        <v/>
      </c>
      <c r="I615" s="40" t="str">
        <f>_xlfn.XLOOKUP(A615,Output_Mac!A:A,Output_Mac!I:I,"")</f>
        <v/>
      </c>
      <c r="J615" s="40" t="str" cm="1">
        <f t="array" ref="J615">IFERROR(_xlfn.LET(
_xlpm.CSVVal,_xlfn.XLOOKUP($A615,CSV!$A:$A,CSV!I:I,""),
_xlpm.MacVal,_xlfn.XLOOKUP($A615,Output_Mac!$A:$A,Output_Mac!J:J,""),
_xlpm.MyAuditVal,_xlfn.XLOOKUP($A615,My_Audit!$A:$A,My_Audit!I:I,""),
_xlfn.IFS(_xlpm.MyAuditVal&lt;&gt;"",UPPER(_xlpm.MyAuditVal),_xlpm.MacVal&lt;&gt;"",_xlpm.MacVal,_xlpm.CSVVal&lt;&gt;"",_xlpm.CSVVal
)),"")</f>
        <v/>
      </c>
      <c r="K615" s="40" t="str" cm="1">
        <f t="array" ref="K615">IFERROR(_xlfn.LET(
_xlpm.CSVVal,_xlfn.XLOOKUP($A615,CSV!$A:$A,CSV!K:K,""),
_xlpm.MacVal,_xlfn.XLOOKUP($A615,Output_Mac!$A:$A,Output_Mac!K:K,""),
_xlpm.MyAuditVal,_xlfn.XLOOKUP($A615,My_Audit!$A:$A,My_Audit!J:J,""),
_xlfn.IFS(_xlpm.MyAuditVal&lt;&gt;"",UPPER(_xlpm.MyAuditVal),_xlpm.MacVal&lt;&gt;"",_xlpm.MacVal,_xlpm.CSVVal&lt;&gt;"",_xlpm.CSVVal
)),"")</f>
        <v/>
      </c>
      <c r="L615" s="40" t="str" cm="1">
        <f t="array" ref="L615">IFERROR(_xlfn.LET(
_xlpm.CSVVal,_xlfn.XLOOKUP($A615,CSV!$A:$A,CSV!P:P,""),
_xlpm.MacVal,_xlfn.XLOOKUP($A615,Output_Mac!$A:$A,Output_Mac!L:L,""),
_xlpm.MyAuditVal,_xlfn.XLOOKUP($A615,My_Audit!$A:$A,My_Audit!K:K,""),
_xlfn.IFS(_xlpm.MyAuditVal&lt;&gt;"",UPPER(_xlpm.MyAuditVal),_xlpm.MacVal&lt;&gt;"",_xlpm.MacVal,_xlpm.CSVVal&lt;&gt;"",_xlpm.CSVVal
)),"")</f>
        <v/>
      </c>
      <c r="M615" s="40" t="str" cm="1">
        <f t="array" ref="M615">IFERROR(_xlfn.LET(
_xlpm.CSVVal,_xlfn.XLOOKUP($A615,CSV!$A:$A,CSV!Q:Q,""),
_xlpm.MacVal,_xlfn.XLOOKUP($A615,Output_Mac!$A:$A,Output_Mac!M:M,""),
_xlpm.MyAuditVal,_xlfn.XLOOKUP($A615,My_Audit!$A:$A,My_Audit!L:L,""),
_xlfn.IFS(_xlpm.MyAuditVal&lt;&gt;"",UPPER(_xlpm.MyAuditVal),_xlpm.MacVal&lt;&gt;"",_xlpm.MacVal,_xlpm.CSVVal&lt;&gt;"",_xlpm.CSVVal
)),"")</f>
        <v/>
      </c>
      <c r="N615" s="40"/>
      <c r="O615" s="40" t="str">
        <f>_xlfn.LET(
    _xlpm.CSVVal, _xlfn.XLOOKUP($A615, CSV!$A:$A, CSV!AA:AA, ""),
    _xlpm.MacVal, _xlfn.XLOOKUP($A615, Output_Mac!$A:$A, Output_Mac!S:S, ""),
    _xlpm.MyAuditVal, _xlfn.XLOOKUP($A615, My_Audit!$A:$A, My_Audit!P:P, ""),
    _xlfn.TEXTJOIN(", ", TRUE, _xlpm.MyAuditVal, _xlpm.MacVal, _xlpm.CSVVal)
)</f>
        <v/>
      </c>
      <c r="P615" s="40" t="str" cm="1">
        <f t="array" ref="P615">IFERROR(_xlfn.LET(
_xlpm.CSVVal,_xlfn.XLOOKUP($A615,CSV!$A:$A,CSV!AB:AB,""),
_xlpm.MacVal,_xlfn.XLOOKUP($A615,Output_Mac!$A:$A,Output_Mac!T:T,""),
_xlpm.MyAuditVal,_xlfn.XLOOKUP($A615,My_Audit!$A:$A,My_Audit!Q:Q,""),
_xlfn.IFS(_xlpm.MyAuditVal&lt;&gt;"",UPPER(_xlpm.MyAuditVal),_xlpm.MacVal&lt;&gt;"",_xlpm.MacVal,_xlpm.CSVVal&lt;&gt;"",_xlpm.CSVVal
)),"No")</f>
        <v>No</v>
      </c>
      <c r="Q615" s="40" t="str" cm="1">
        <f t="array" ref="Q615">IFERROR(_xlfn.LET(
_xlpm.CSVVal,_xlfn.XLOOKUP($A615,CSV!$A:$A,CSV!AC:AC,""),
_xlpm.MacVal,_xlfn.XLOOKUP($A615,Output_Mac!$A:$A,Output_Mac!U:U,""),
_xlpm.MyAuditVal,_xlfn.XLOOKUP($A615,My_Audit!$A:$A,My_Audit!R:R,""),
_xlfn.IFS(_xlpm.MyAuditVal&lt;&gt;"",UPPER(_xlpm.MyAuditVal),_xlpm.MacVal&lt;&gt;"",_xlpm.MacVal,_xlpm.CSVVal&lt;&gt;"",_xlpm.CSVVal
)),"")</f>
        <v/>
      </c>
      <c r="R615" s="40"/>
      <c r="S615" s="40"/>
      <c r="T615" s="40"/>
      <c r="U615" s="40"/>
      <c r="V615" s="40"/>
      <c r="W615" s="40"/>
      <c r="X615" s="41" t="str">
        <f>_xlfn.LET(
    _xlpm.MacVal, _xlfn.XLOOKUP($A615, Output_Mac!$A:$A, Output_Mac!AB:AB, ""),
    _xlpm.MyAuditVal, _xlfn.XLOOKUP($A615, My_Audit!$A:$A, My_Audit!N:N, ""),
    _xlfn.TEXTJOIN(", ", TRUE, _xlpm.MyAuditVal, _xlpm.MacVal)
)</f>
        <v/>
      </c>
    </row>
    <row r="616" spans="1:24">
      <c r="A616" s="40" t="str">
        <f>_xlfn.TEXTJOIN("",TRUE,Input!$B$2,ROW(My_Audit!A615))</f>
        <v>X615</v>
      </c>
      <c r="B616" s="40" t="str">
        <f>_xlfn.TEXTJOIN("-",TRUE,"ITD",Input!$A$2,A616)</f>
        <v>ITD-X615</v>
      </c>
      <c r="C616" s="40" t="str" cm="1">
        <f t="array" ref="C616">IFERROR(_xlfn.LET(
_xlpm.CSVVal,_xlfn.XLOOKUP($A616,CSV!$A:$A,CSV!B:B,""),
_xlpm.MacVal,_xlfn.XLOOKUP($A616,Output_Mac!$A:$A,Output_Mac!B:B,""),
_xlpm.MyAuditVal,_xlfn.XLOOKUP($A616,My_Audit!$A:$A,My_Audit!B:B,""),
_xlfn.IFS(_xlpm.MyAuditVal&lt;&gt;"",UPPER(_xlpm.MyAuditVal),_xlpm.MacVal&lt;&gt;"",_xlpm.MacVal,_xlpm.CSVVal&lt;&gt;"",_xlpm.CSVVal
)),"")</f>
        <v/>
      </c>
      <c r="D616" s="40" t="str" cm="1">
        <f t="array" ref="D616">IFERROR(_xlfn.LET(
_xlpm.CSVVal,_xlfn.XLOOKUP($A616,CSV!$A:$A,CSV!D:D,""),
_xlpm.MacVal,_xlfn.XLOOKUP($A616,Output_Mac!$A:$A,Output_Mac!C:C,""),
_xlpm.MyAuditVal,_xlfn.XLOOKUP($A616,My_Audit!$A:$A,My_Audit!C:C,""),
_xlfn.IFS(_xlpm.MyAuditVal&lt;&gt;"",_xlpm.MyAuditVal,_xlpm.MacVal&lt;&gt;"",_xlpm.MacVal,_xlpm.CSVVal&lt;&gt;"",_xlpm.CSVVal
)),"")</f>
        <v/>
      </c>
      <c r="E616" s="40" t="str">
        <f>_xlfn.XLOOKUP(A616,My_Audit!A:A,My_Audit!D:D,"")</f>
        <v/>
      </c>
      <c r="F616" s="40" t="str" cm="1">
        <f t="array" ref="F616">IFERROR(_xlfn.LET(
_xlpm.CSVVal,_xlfn.XLOOKUP($A616,CSV!$A:$A,CSV!F:F,""),
_xlpm.MacVal,_xlfn.XLOOKUP($A616,Output_Mac!$A:$A,Output_Mac!E:E,""),
_xlpm.MyAuditVal,_xlfn.XLOOKUP($A616,My_Audit!$A:$A,My_Audit!E:E,""),
_xlfn.IFS(_xlpm.MyAuditVal&lt;&gt;"",_xlpm.MyAuditVal,_xlpm.MacVal&lt;&gt;"",_xlpm.MacVal,_xlpm.CSVVal&lt;&gt;"",_xlpm.CSVVal
)),"")</f>
        <v/>
      </c>
      <c r="G616" s="40" t="str" cm="1">
        <f t="array" ref="G616">IFERROR(_xlfn.LET(
_xlpm.CSVVal,_xlfn.XLOOKUP($A616,CSV!$A:$A,CSV!G:G,""),
_xlpm.MacVal,_xlfn.XLOOKUP($A616,Output_Mac!$A:$A,Output_Mac!F:F,""),
_xlpm.MyAuditVal,_xlfn.XLOOKUP($A616,My_Audit!$A:$A,My_Audit!F:F,""),
_xlfn.IFS(_xlpm.MyAuditVal&lt;&gt;"",_xlpm.MyAuditVal,_xlpm.MacVal&lt;&gt;"",_xlpm.MacVal,_xlpm.CSVVal&lt;&gt;"",PROPER(_xlpm.CSVVal)
)),"")</f>
        <v/>
      </c>
      <c r="H616" s="40" t="str" cm="1">
        <f t="array" ref="H616">IFERROR(_xlfn.LET(
_xlpm.CSVVal,_xlfn.XLOOKUP($A616,CSV!$A:$A,CSV!H:H,""),
_xlpm.MacVal,_xlfn.XLOOKUP($A616,Output_Mac!$A:$A,Output_Mac!H:H,""),
_xlpm.MyAuditVal,_xlfn.XLOOKUP($A616,My_Audit!$A:$A,My_Audit!G:G,""),
_xlfn.IFS(_xlpm.MyAuditVal&lt;&gt;"",_xlpm.MyAuditVal,_xlpm.MacVal&lt;&gt;"",_xlpm.MacVal,_xlpm.CSVVal&lt;&gt;"",_xlpm.CSVVal
)),"")</f>
        <v/>
      </c>
      <c r="I616" s="40" t="str">
        <f>_xlfn.XLOOKUP(A616,Output_Mac!A:A,Output_Mac!I:I,"")</f>
        <v/>
      </c>
      <c r="J616" s="40" t="str" cm="1">
        <f t="array" ref="J616">IFERROR(_xlfn.LET(
_xlpm.CSVVal,_xlfn.XLOOKUP($A616,CSV!$A:$A,CSV!I:I,""),
_xlpm.MacVal,_xlfn.XLOOKUP($A616,Output_Mac!$A:$A,Output_Mac!J:J,""),
_xlpm.MyAuditVal,_xlfn.XLOOKUP($A616,My_Audit!$A:$A,My_Audit!I:I,""),
_xlfn.IFS(_xlpm.MyAuditVal&lt;&gt;"",UPPER(_xlpm.MyAuditVal),_xlpm.MacVal&lt;&gt;"",_xlpm.MacVal,_xlpm.CSVVal&lt;&gt;"",_xlpm.CSVVal
)),"")</f>
        <v/>
      </c>
      <c r="K616" s="40" t="str" cm="1">
        <f t="array" ref="K616">IFERROR(_xlfn.LET(
_xlpm.CSVVal,_xlfn.XLOOKUP($A616,CSV!$A:$A,CSV!K:K,""),
_xlpm.MacVal,_xlfn.XLOOKUP($A616,Output_Mac!$A:$A,Output_Mac!K:K,""),
_xlpm.MyAuditVal,_xlfn.XLOOKUP($A616,My_Audit!$A:$A,My_Audit!J:J,""),
_xlfn.IFS(_xlpm.MyAuditVal&lt;&gt;"",UPPER(_xlpm.MyAuditVal),_xlpm.MacVal&lt;&gt;"",_xlpm.MacVal,_xlpm.CSVVal&lt;&gt;"",_xlpm.CSVVal
)),"")</f>
        <v/>
      </c>
      <c r="L616" s="40" t="str" cm="1">
        <f t="array" ref="L616">IFERROR(_xlfn.LET(
_xlpm.CSVVal,_xlfn.XLOOKUP($A616,CSV!$A:$A,CSV!P:P,""),
_xlpm.MacVal,_xlfn.XLOOKUP($A616,Output_Mac!$A:$A,Output_Mac!L:L,""),
_xlpm.MyAuditVal,_xlfn.XLOOKUP($A616,My_Audit!$A:$A,My_Audit!K:K,""),
_xlfn.IFS(_xlpm.MyAuditVal&lt;&gt;"",UPPER(_xlpm.MyAuditVal),_xlpm.MacVal&lt;&gt;"",_xlpm.MacVal,_xlpm.CSVVal&lt;&gt;"",_xlpm.CSVVal
)),"")</f>
        <v/>
      </c>
      <c r="M616" s="40" t="str" cm="1">
        <f t="array" ref="M616">IFERROR(_xlfn.LET(
_xlpm.CSVVal,_xlfn.XLOOKUP($A616,CSV!$A:$A,CSV!Q:Q,""),
_xlpm.MacVal,_xlfn.XLOOKUP($A616,Output_Mac!$A:$A,Output_Mac!M:M,""),
_xlpm.MyAuditVal,_xlfn.XLOOKUP($A616,My_Audit!$A:$A,My_Audit!L:L,""),
_xlfn.IFS(_xlpm.MyAuditVal&lt;&gt;"",UPPER(_xlpm.MyAuditVal),_xlpm.MacVal&lt;&gt;"",_xlpm.MacVal,_xlpm.CSVVal&lt;&gt;"",_xlpm.CSVVal
)),"")</f>
        <v/>
      </c>
      <c r="N616" s="40"/>
      <c r="O616" s="40" t="str">
        <f>_xlfn.LET(
    _xlpm.CSVVal, _xlfn.XLOOKUP($A616, CSV!$A:$A, CSV!AA:AA, ""),
    _xlpm.MacVal, _xlfn.XLOOKUP($A616, Output_Mac!$A:$A, Output_Mac!S:S, ""),
    _xlpm.MyAuditVal, _xlfn.XLOOKUP($A616, My_Audit!$A:$A, My_Audit!P:P, ""),
    _xlfn.TEXTJOIN(", ", TRUE, _xlpm.MyAuditVal, _xlpm.MacVal, _xlpm.CSVVal)
)</f>
        <v/>
      </c>
      <c r="P616" s="40" t="str" cm="1">
        <f t="array" ref="P616">IFERROR(_xlfn.LET(
_xlpm.CSVVal,_xlfn.XLOOKUP($A616,CSV!$A:$A,CSV!AB:AB,""),
_xlpm.MacVal,_xlfn.XLOOKUP($A616,Output_Mac!$A:$A,Output_Mac!T:T,""),
_xlpm.MyAuditVal,_xlfn.XLOOKUP($A616,My_Audit!$A:$A,My_Audit!Q:Q,""),
_xlfn.IFS(_xlpm.MyAuditVal&lt;&gt;"",UPPER(_xlpm.MyAuditVal),_xlpm.MacVal&lt;&gt;"",_xlpm.MacVal,_xlpm.CSVVal&lt;&gt;"",_xlpm.CSVVal
)),"No")</f>
        <v>No</v>
      </c>
      <c r="Q616" s="40" t="str" cm="1">
        <f t="array" ref="Q616">IFERROR(_xlfn.LET(
_xlpm.CSVVal,_xlfn.XLOOKUP($A616,CSV!$A:$A,CSV!AC:AC,""),
_xlpm.MacVal,_xlfn.XLOOKUP($A616,Output_Mac!$A:$A,Output_Mac!U:U,""),
_xlpm.MyAuditVal,_xlfn.XLOOKUP($A616,My_Audit!$A:$A,My_Audit!R:R,""),
_xlfn.IFS(_xlpm.MyAuditVal&lt;&gt;"",UPPER(_xlpm.MyAuditVal),_xlpm.MacVal&lt;&gt;"",_xlpm.MacVal,_xlpm.CSVVal&lt;&gt;"",_xlpm.CSVVal
)),"")</f>
        <v/>
      </c>
      <c r="R616" s="40"/>
      <c r="S616" s="40"/>
      <c r="T616" s="40"/>
      <c r="U616" s="40"/>
      <c r="V616" s="40"/>
      <c r="W616" s="40"/>
      <c r="X616" s="41" t="str">
        <f>_xlfn.LET(
    _xlpm.MacVal, _xlfn.XLOOKUP($A616, Output_Mac!$A:$A, Output_Mac!AB:AB, ""),
    _xlpm.MyAuditVal, _xlfn.XLOOKUP($A616, My_Audit!$A:$A, My_Audit!N:N, ""),
    _xlfn.TEXTJOIN(", ", TRUE, _xlpm.MyAuditVal, _xlpm.MacVal)
)</f>
        <v/>
      </c>
    </row>
    <row r="617" spans="1:24">
      <c r="A617" s="40" t="str">
        <f>_xlfn.TEXTJOIN("",TRUE,Input!$B$2,ROW(My_Audit!A616))</f>
        <v>X616</v>
      </c>
      <c r="B617" s="40" t="str">
        <f>_xlfn.TEXTJOIN("-",TRUE,"ITD",Input!$A$2,A617)</f>
        <v>ITD-X616</v>
      </c>
      <c r="C617" s="40" t="str" cm="1">
        <f t="array" ref="C617">IFERROR(_xlfn.LET(
_xlpm.CSVVal,_xlfn.XLOOKUP($A617,CSV!$A:$A,CSV!B:B,""),
_xlpm.MacVal,_xlfn.XLOOKUP($A617,Output_Mac!$A:$A,Output_Mac!B:B,""),
_xlpm.MyAuditVal,_xlfn.XLOOKUP($A617,My_Audit!$A:$A,My_Audit!B:B,""),
_xlfn.IFS(_xlpm.MyAuditVal&lt;&gt;"",UPPER(_xlpm.MyAuditVal),_xlpm.MacVal&lt;&gt;"",_xlpm.MacVal,_xlpm.CSVVal&lt;&gt;"",_xlpm.CSVVal
)),"")</f>
        <v/>
      </c>
      <c r="D617" s="40" t="str" cm="1">
        <f t="array" ref="D617">IFERROR(_xlfn.LET(
_xlpm.CSVVal,_xlfn.XLOOKUP($A617,CSV!$A:$A,CSV!D:D,""),
_xlpm.MacVal,_xlfn.XLOOKUP($A617,Output_Mac!$A:$A,Output_Mac!C:C,""),
_xlpm.MyAuditVal,_xlfn.XLOOKUP($A617,My_Audit!$A:$A,My_Audit!C:C,""),
_xlfn.IFS(_xlpm.MyAuditVal&lt;&gt;"",_xlpm.MyAuditVal,_xlpm.MacVal&lt;&gt;"",_xlpm.MacVal,_xlpm.CSVVal&lt;&gt;"",_xlpm.CSVVal
)),"")</f>
        <v/>
      </c>
      <c r="E617" s="40" t="str">
        <f>_xlfn.XLOOKUP(A617,My_Audit!A:A,My_Audit!D:D,"")</f>
        <v/>
      </c>
      <c r="F617" s="40" t="str" cm="1">
        <f t="array" ref="F617">IFERROR(_xlfn.LET(
_xlpm.CSVVal,_xlfn.XLOOKUP($A617,CSV!$A:$A,CSV!F:F,""),
_xlpm.MacVal,_xlfn.XLOOKUP($A617,Output_Mac!$A:$A,Output_Mac!E:E,""),
_xlpm.MyAuditVal,_xlfn.XLOOKUP($A617,My_Audit!$A:$A,My_Audit!E:E,""),
_xlfn.IFS(_xlpm.MyAuditVal&lt;&gt;"",_xlpm.MyAuditVal,_xlpm.MacVal&lt;&gt;"",_xlpm.MacVal,_xlpm.CSVVal&lt;&gt;"",_xlpm.CSVVal
)),"")</f>
        <v/>
      </c>
      <c r="G617" s="40" t="str" cm="1">
        <f t="array" ref="G617">IFERROR(_xlfn.LET(
_xlpm.CSVVal,_xlfn.XLOOKUP($A617,CSV!$A:$A,CSV!G:G,""),
_xlpm.MacVal,_xlfn.XLOOKUP($A617,Output_Mac!$A:$A,Output_Mac!F:F,""),
_xlpm.MyAuditVal,_xlfn.XLOOKUP($A617,My_Audit!$A:$A,My_Audit!F:F,""),
_xlfn.IFS(_xlpm.MyAuditVal&lt;&gt;"",_xlpm.MyAuditVal,_xlpm.MacVal&lt;&gt;"",_xlpm.MacVal,_xlpm.CSVVal&lt;&gt;"",PROPER(_xlpm.CSVVal)
)),"")</f>
        <v/>
      </c>
      <c r="H617" s="40" t="str" cm="1">
        <f t="array" ref="H617">IFERROR(_xlfn.LET(
_xlpm.CSVVal,_xlfn.XLOOKUP($A617,CSV!$A:$A,CSV!H:H,""),
_xlpm.MacVal,_xlfn.XLOOKUP($A617,Output_Mac!$A:$A,Output_Mac!H:H,""),
_xlpm.MyAuditVal,_xlfn.XLOOKUP($A617,My_Audit!$A:$A,My_Audit!G:G,""),
_xlfn.IFS(_xlpm.MyAuditVal&lt;&gt;"",_xlpm.MyAuditVal,_xlpm.MacVal&lt;&gt;"",_xlpm.MacVal,_xlpm.CSVVal&lt;&gt;"",_xlpm.CSVVal
)),"")</f>
        <v/>
      </c>
      <c r="I617" s="40" t="str">
        <f>_xlfn.XLOOKUP(A617,Output_Mac!A:A,Output_Mac!I:I,"")</f>
        <v/>
      </c>
      <c r="J617" s="40" t="str" cm="1">
        <f t="array" ref="J617">IFERROR(_xlfn.LET(
_xlpm.CSVVal,_xlfn.XLOOKUP($A617,CSV!$A:$A,CSV!I:I,""),
_xlpm.MacVal,_xlfn.XLOOKUP($A617,Output_Mac!$A:$A,Output_Mac!J:J,""),
_xlpm.MyAuditVal,_xlfn.XLOOKUP($A617,My_Audit!$A:$A,My_Audit!I:I,""),
_xlfn.IFS(_xlpm.MyAuditVal&lt;&gt;"",UPPER(_xlpm.MyAuditVal),_xlpm.MacVal&lt;&gt;"",_xlpm.MacVal,_xlpm.CSVVal&lt;&gt;"",_xlpm.CSVVal
)),"")</f>
        <v/>
      </c>
      <c r="K617" s="40" t="str" cm="1">
        <f t="array" ref="K617">IFERROR(_xlfn.LET(
_xlpm.CSVVal,_xlfn.XLOOKUP($A617,CSV!$A:$A,CSV!K:K,""),
_xlpm.MacVal,_xlfn.XLOOKUP($A617,Output_Mac!$A:$A,Output_Mac!K:K,""),
_xlpm.MyAuditVal,_xlfn.XLOOKUP($A617,My_Audit!$A:$A,My_Audit!J:J,""),
_xlfn.IFS(_xlpm.MyAuditVal&lt;&gt;"",UPPER(_xlpm.MyAuditVal),_xlpm.MacVal&lt;&gt;"",_xlpm.MacVal,_xlpm.CSVVal&lt;&gt;"",_xlpm.CSVVal
)),"")</f>
        <v/>
      </c>
      <c r="L617" s="40" t="str" cm="1">
        <f t="array" ref="L617">IFERROR(_xlfn.LET(
_xlpm.CSVVal,_xlfn.XLOOKUP($A617,CSV!$A:$A,CSV!P:P,""),
_xlpm.MacVal,_xlfn.XLOOKUP($A617,Output_Mac!$A:$A,Output_Mac!L:L,""),
_xlpm.MyAuditVal,_xlfn.XLOOKUP($A617,My_Audit!$A:$A,My_Audit!K:K,""),
_xlfn.IFS(_xlpm.MyAuditVal&lt;&gt;"",UPPER(_xlpm.MyAuditVal),_xlpm.MacVal&lt;&gt;"",_xlpm.MacVal,_xlpm.CSVVal&lt;&gt;"",_xlpm.CSVVal
)),"")</f>
        <v/>
      </c>
      <c r="M617" s="40" t="str" cm="1">
        <f t="array" ref="M617">IFERROR(_xlfn.LET(
_xlpm.CSVVal,_xlfn.XLOOKUP($A617,CSV!$A:$A,CSV!Q:Q,""),
_xlpm.MacVal,_xlfn.XLOOKUP($A617,Output_Mac!$A:$A,Output_Mac!M:M,""),
_xlpm.MyAuditVal,_xlfn.XLOOKUP($A617,My_Audit!$A:$A,My_Audit!L:L,""),
_xlfn.IFS(_xlpm.MyAuditVal&lt;&gt;"",UPPER(_xlpm.MyAuditVal),_xlpm.MacVal&lt;&gt;"",_xlpm.MacVal,_xlpm.CSVVal&lt;&gt;"",_xlpm.CSVVal
)),"")</f>
        <v/>
      </c>
      <c r="N617" s="40"/>
      <c r="O617" s="40" t="str">
        <f>_xlfn.LET(
    _xlpm.CSVVal, _xlfn.XLOOKUP($A617, CSV!$A:$A, CSV!AA:AA, ""),
    _xlpm.MacVal, _xlfn.XLOOKUP($A617, Output_Mac!$A:$A, Output_Mac!S:S, ""),
    _xlpm.MyAuditVal, _xlfn.XLOOKUP($A617, My_Audit!$A:$A, My_Audit!P:P, ""),
    _xlfn.TEXTJOIN(", ", TRUE, _xlpm.MyAuditVal, _xlpm.MacVal, _xlpm.CSVVal)
)</f>
        <v/>
      </c>
      <c r="P617" s="40" t="str" cm="1">
        <f t="array" ref="P617">IFERROR(_xlfn.LET(
_xlpm.CSVVal,_xlfn.XLOOKUP($A617,CSV!$A:$A,CSV!AB:AB,""),
_xlpm.MacVal,_xlfn.XLOOKUP($A617,Output_Mac!$A:$A,Output_Mac!T:T,""),
_xlpm.MyAuditVal,_xlfn.XLOOKUP($A617,My_Audit!$A:$A,My_Audit!Q:Q,""),
_xlfn.IFS(_xlpm.MyAuditVal&lt;&gt;"",UPPER(_xlpm.MyAuditVal),_xlpm.MacVal&lt;&gt;"",_xlpm.MacVal,_xlpm.CSVVal&lt;&gt;"",_xlpm.CSVVal
)),"No")</f>
        <v>No</v>
      </c>
      <c r="Q617" s="40" t="str" cm="1">
        <f t="array" ref="Q617">IFERROR(_xlfn.LET(
_xlpm.CSVVal,_xlfn.XLOOKUP($A617,CSV!$A:$A,CSV!AC:AC,""),
_xlpm.MacVal,_xlfn.XLOOKUP($A617,Output_Mac!$A:$A,Output_Mac!U:U,""),
_xlpm.MyAuditVal,_xlfn.XLOOKUP($A617,My_Audit!$A:$A,My_Audit!R:R,""),
_xlfn.IFS(_xlpm.MyAuditVal&lt;&gt;"",UPPER(_xlpm.MyAuditVal),_xlpm.MacVal&lt;&gt;"",_xlpm.MacVal,_xlpm.CSVVal&lt;&gt;"",_xlpm.CSVVal
)),"")</f>
        <v/>
      </c>
      <c r="R617" s="40"/>
      <c r="S617" s="40"/>
      <c r="T617" s="40"/>
      <c r="U617" s="40"/>
      <c r="V617" s="40"/>
      <c r="W617" s="40"/>
      <c r="X617" s="41" t="str">
        <f>_xlfn.LET(
    _xlpm.MacVal, _xlfn.XLOOKUP($A617, Output_Mac!$A:$A, Output_Mac!AB:AB, ""),
    _xlpm.MyAuditVal, _xlfn.XLOOKUP($A617, My_Audit!$A:$A, My_Audit!N:N, ""),
    _xlfn.TEXTJOIN(", ", TRUE, _xlpm.MyAuditVal, _xlpm.MacVal)
)</f>
        <v/>
      </c>
    </row>
    <row r="618" spans="1:24">
      <c r="A618" s="40" t="str">
        <f>_xlfn.TEXTJOIN("",TRUE,Input!$B$2,ROW(My_Audit!A617))</f>
        <v>X617</v>
      </c>
      <c r="B618" s="40" t="str">
        <f>_xlfn.TEXTJOIN("-",TRUE,"ITD",Input!$A$2,A618)</f>
        <v>ITD-X617</v>
      </c>
      <c r="C618" s="40" t="str" cm="1">
        <f t="array" ref="C618">IFERROR(_xlfn.LET(
_xlpm.CSVVal,_xlfn.XLOOKUP($A618,CSV!$A:$A,CSV!B:B,""),
_xlpm.MacVal,_xlfn.XLOOKUP($A618,Output_Mac!$A:$A,Output_Mac!B:B,""),
_xlpm.MyAuditVal,_xlfn.XLOOKUP($A618,My_Audit!$A:$A,My_Audit!B:B,""),
_xlfn.IFS(_xlpm.MyAuditVal&lt;&gt;"",UPPER(_xlpm.MyAuditVal),_xlpm.MacVal&lt;&gt;"",_xlpm.MacVal,_xlpm.CSVVal&lt;&gt;"",_xlpm.CSVVal
)),"")</f>
        <v/>
      </c>
      <c r="D618" s="40" t="str" cm="1">
        <f t="array" ref="D618">IFERROR(_xlfn.LET(
_xlpm.CSVVal,_xlfn.XLOOKUP($A618,CSV!$A:$A,CSV!D:D,""),
_xlpm.MacVal,_xlfn.XLOOKUP($A618,Output_Mac!$A:$A,Output_Mac!C:C,""),
_xlpm.MyAuditVal,_xlfn.XLOOKUP($A618,My_Audit!$A:$A,My_Audit!C:C,""),
_xlfn.IFS(_xlpm.MyAuditVal&lt;&gt;"",_xlpm.MyAuditVal,_xlpm.MacVal&lt;&gt;"",_xlpm.MacVal,_xlpm.CSVVal&lt;&gt;"",_xlpm.CSVVal
)),"")</f>
        <v/>
      </c>
      <c r="E618" s="40" t="str">
        <f>_xlfn.XLOOKUP(A618,My_Audit!A:A,My_Audit!D:D,"")</f>
        <v/>
      </c>
      <c r="F618" s="40" t="str" cm="1">
        <f t="array" ref="F618">IFERROR(_xlfn.LET(
_xlpm.CSVVal,_xlfn.XLOOKUP($A618,CSV!$A:$A,CSV!F:F,""),
_xlpm.MacVal,_xlfn.XLOOKUP($A618,Output_Mac!$A:$A,Output_Mac!E:E,""),
_xlpm.MyAuditVal,_xlfn.XLOOKUP($A618,My_Audit!$A:$A,My_Audit!E:E,""),
_xlfn.IFS(_xlpm.MyAuditVal&lt;&gt;"",_xlpm.MyAuditVal,_xlpm.MacVal&lt;&gt;"",_xlpm.MacVal,_xlpm.CSVVal&lt;&gt;"",_xlpm.CSVVal
)),"")</f>
        <v/>
      </c>
      <c r="G618" s="40" t="str" cm="1">
        <f t="array" ref="G618">IFERROR(_xlfn.LET(
_xlpm.CSVVal,_xlfn.XLOOKUP($A618,CSV!$A:$A,CSV!G:G,""),
_xlpm.MacVal,_xlfn.XLOOKUP($A618,Output_Mac!$A:$A,Output_Mac!F:F,""),
_xlpm.MyAuditVal,_xlfn.XLOOKUP($A618,My_Audit!$A:$A,My_Audit!F:F,""),
_xlfn.IFS(_xlpm.MyAuditVal&lt;&gt;"",_xlpm.MyAuditVal,_xlpm.MacVal&lt;&gt;"",_xlpm.MacVal,_xlpm.CSVVal&lt;&gt;"",PROPER(_xlpm.CSVVal)
)),"")</f>
        <v/>
      </c>
      <c r="H618" s="40" t="str" cm="1">
        <f t="array" ref="H618">IFERROR(_xlfn.LET(
_xlpm.CSVVal,_xlfn.XLOOKUP($A618,CSV!$A:$A,CSV!H:H,""),
_xlpm.MacVal,_xlfn.XLOOKUP($A618,Output_Mac!$A:$A,Output_Mac!H:H,""),
_xlpm.MyAuditVal,_xlfn.XLOOKUP($A618,My_Audit!$A:$A,My_Audit!G:G,""),
_xlfn.IFS(_xlpm.MyAuditVal&lt;&gt;"",_xlpm.MyAuditVal,_xlpm.MacVal&lt;&gt;"",_xlpm.MacVal,_xlpm.CSVVal&lt;&gt;"",_xlpm.CSVVal
)),"")</f>
        <v/>
      </c>
      <c r="I618" s="40" t="str">
        <f>_xlfn.XLOOKUP(A618,Output_Mac!A:A,Output_Mac!I:I,"")</f>
        <v/>
      </c>
      <c r="J618" s="40" t="str" cm="1">
        <f t="array" ref="J618">IFERROR(_xlfn.LET(
_xlpm.CSVVal,_xlfn.XLOOKUP($A618,CSV!$A:$A,CSV!I:I,""),
_xlpm.MacVal,_xlfn.XLOOKUP($A618,Output_Mac!$A:$A,Output_Mac!J:J,""),
_xlpm.MyAuditVal,_xlfn.XLOOKUP($A618,My_Audit!$A:$A,My_Audit!I:I,""),
_xlfn.IFS(_xlpm.MyAuditVal&lt;&gt;"",UPPER(_xlpm.MyAuditVal),_xlpm.MacVal&lt;&gt;"",_xlpm.MacVal,_xlpm.CSVVal&lt;&gt;"",_xlpm.CSVVal
)),"")</f>
        <v/>
      </c>
      <c r="K618" s="40" t="str" cm="1">
        <f t="array" ref="K618">IFERROR(_xlfn.LET(
_xlpm.CSVVal,_xlfn.XLOOKUP($A618,CSV!$A:$A,CSV!K:K,""),
_xlpm.MacVal,_xlfn.XLOOKUP($A618,Output_Mac!$A:$A,Output_Mac!K:K,""),
_xlpm.MyAuditVal,_xlfn.XLOOKUP($A618,My_Audit!$A:$A,My_Audit!J:J,""),
_xlfn.IFS(_xlpm.MyAuditVal&lt;&gt;"",UPPER(_xlpm.MyAuditVal),_xlpm.MacVal&lt;&gt;"",_xlpm.MacVal,_xlpm.CSVVal&lt;&gt;"",_xlpm.CSVVal
)),"")</f>
        <v/>
      </c>
      <c r="L618" s="40" t="str" cm="1">
        <f t="array" ref="L618">IFERROR(_xlfn.LET(
_xlpm.CSVVal,_xlfn.XLOOKUP($A618,CSV!$A:$A,CSV!P:P,""),
_xlpm.MacVal,_xlfn.XLOOKUP($A618,Output_Mac!$A:$A,Output_Mac!L:L,""),
_xlpm.MyAuditVal,_xlfn.XLOOKUP($A618,My_Audit!$A:$A,My_Audit!K:K,""),
_xlfn.IFS(_xlpm.MyAuditVal&lt;&gt;"",UPPER(_xlpm.MyAuditVal),_xlpm.MacVal&lt;&gt;"",_xlpm.MacVal,_xlpm.CSVVal&lt;&gt;"",_xlpm.CSVVal
)),"")</f>
        <v/>
      </c>
      <c r="M618" s="40" t="str" cm="1">
        <f t="array" ref="M618">IFERROR(_xlfn.LET(
_xlpm.CSVVal,_xlfn.XLOOKUP($A618,CSV!$A:$A,CSV!Q:Q,""),
_xlpm.MacVal,_xlfn.XLOOKUP($A618,Output_Mac!$A:$A,Output_Mac!M:M,""),
_xlpm.MyAuditVal,_xlfn.XLOOKUP($A618,My_Audit!$A:$A,My_Audit!L:L,""),
_xlfn.IFS(_xlpm.MyAuditVal&lt;&gt;"",UPPER(_xlpm.MyAuditVal),_xlpm.MacVal&lt;&gt;"",_xlpm.MacVal,_xlpm.CSVVal&lt;&gt;"",_xlpm.CSVVal
)),"")</f>
        <v/>
      </c>
      <c r="N618" s="40"/>
      <c r="O618" s="40" t="str">
        <f>_xlfn.LET(
    _xlpm.CSVVal, _xlfn.XLOOKUP($A618, CSV!$A:$A, CSV!AA:AA, ""),
    _xlpm.MacVal, _xlfn.XLOOKUP($A618, Output_Mac!$A:$A, Output_Mac!S:S, ""),
    _xlpm.MyAuditVal, _xlfn.XLOOKUP($A618, My_Audit!$A:$A, My_Audit!P:P, ""),
    _xlfn.TEXTJOIN(", ", TRUE, _xlpm.MyAuditVal, _xlpm.MacVal, _xlpm.CSVVal)
)</f>
        <v/>
      </c>
      <c r="P618" s="40" t="str" cm="1">
        <f t="array" ref="P618">IFERROR(_xlfn.LET(
_xlpm.CSVVal,_xlfn.XLOOKUP($A618,CSV!$A:$A,CSV!AB:AB,""),
_xlpm.MacVal,_xlfn.XLOOKUP($A618,Output_Mac!$A:$A,Output_Mac!T:T,""),
_xlpm.MyAuditVal,_xlfn.XLOOKUP($A618,My_Audit!$A:$A,My_Audit!Q:Q,""),
_xlfn.IFS(_xlpm.MyAuditVal&lt;&gt;"",UPPER(_xlpm.MyAuditVal),_xlpm.MacVal&lt;&gt;"",_xlpm.MacVal,_xlpm.CSVVal&lt;&gt;"",_xlpm.CSVVal
)),"No")</f>
        <v>No</v>
      </c>
      <c r="Q618" s="40" t="str" cm="1">
        <f t="array" ref="Q618">IFERROR(_xlfn.LET(
_xlpm.CSVVal,_xlfn.XLOOKUP($A618,CSV!$A:$A,CSV!AC:AC,""),
_xlpm.MacVal,_xlfn.XLOOKUP($A618,Output_Mac!$A:$A,Output_Mac!U:U,""),
_xlpm.MyAuditVal,_xlfn.XLOOKUP($A618,My_Audit!$A:$A,My_Audit!R:R,""),
_xlfn.IFS(_xlpm.MyAuditVal&lt;&gt;"",UPPER(_xlpm.MyAuditVal),_xlpm.MacVal&lt;&gt;"",_xlpm.MacVal,_xlpm.CSVVal&lt;&gt;"",_xlpm.CSVVal
)),"")</f>
        <v/>
      </c>
      <c r="R618" s="40"/>
      <c r="S618" s="40"/>
      <c r="T618" s="40"/>
      <c r="U618" s="40"/>
      <c r="V618" s="40"/>
      <c r="W618" s="40"/>
      <c r="X618" s="41" t="str">
        <f>_xlfn.LET(
    _xlpm.MacVal, _xlfn.XLOOKUP($A618, Output_Mac!$A:$A, Output_Mac!AB:AB, ""),
    _xlpm.MyAuditVal, _xlfn.XLOOKUP($A618, My_Audit!$A:$A, My_Audit!N:N, ""),
    _xlfn.TEXTJOIN(", ", TRUE, _xlpm.MyAuditVal, _xlpm.MacVal)
)</f>
        <v/>
      </c>
    </row>
    <row r="619" spans="1:24">
      <c r="A619" s="40" t="str">
        <f>_xlfn.TEXTJOIN("",TRUE,Input!$B$2,ROW(My_Audit!A618))</f>
        <v>X618</v>
      </c>
      <c r="B619" s="40" t="str">
        <f>_xlfn.TEXTJOIN("-",TRUE,"ITD",Input!$A$2,A619)</f>
        <v>ITD-X618</v>
      </c>
      <c r="C619" s="40" t="str" cm="1">
        <f t="array" ref="C619">IFERROR(_xlfn.LET(
_xlpm.CSVVal,_xlfn.XLOOKUP($A619,CSV!$A:$A,CSV!B:B,""),
_xlpm.MacVal,_xlfn.XLOOKUP($A619,Output_Mac!$A:$A,Output_Mac!B:B,""),
_xlpm.MyAuditVal,_xlfn.XLOOKUP($A619,My_Audit!$A:$A,My_Audit!B:B,""),
_xlfn.IFS(_xlpm.MyAuditVal&lt;&gt;"",UPPER(_xlpm.MyAuditVal),_xlpm.MacVal&lt;&gt;"",_xlpm.MacVal,_xlpm.CSVVal&lt;&gt;"",_xlpm.CSVVal
)),"")</f>
        <v/>
      </c>
      <c r="D619" s="40" t="str" cm="1">
        <f t="array" ref="D619">IFERROR(_xlfn.LET(
_xlpm.CSVVal,_xlfn.XLOOKUP($A619,CSV!$A:$A,CSV!D:D,""),
_xlpm.MacVal,_xlfn.XLOOKUP($A619,Output_Mac!$A:$A,Output_Mac!C:C,""),
_xlpm.MyAuditVal,_xlfn.XLOOKUP($A619,My_Audit!$A:$A,My_Audit!C:C,""),
_xlfn.IFS(_xlpm.MyAuditVal&lt;&gt;"",_xlpm.MyAuditVal,_xlpm.MacVal&lt;&gt;"",_xlpm.MacVal,_xlpm.CSVVal&lt;&gt;"",_xlpm.CSVVal
)),"")</f>
        <v/>
      </c>
      <c r="E619" s="40" t="str">
        <f>_xlfn.XLOOKUP(A619,My_Audit!A:A,My_Audit!D:D,"")</f>
        <v/>
      </c>
      <c r="F619" s="40" t="str" cm="1">
        <f t="array" ref="F619">IFERROR(_xlfn.LET(
_xlpm.CSVVal,_xlfn.XLOOKUP($A619,CSV!$A:$A,CSV!F:F,""),
_xlpm.MacVal,_xlfn.XLOOKUP($A619,Output_Mac!$A:$A,Output_Mac!E:E,""),
_xlpm.MyAuditVal,_xlfn.XLOOKUP($A619,My_Audit!$A:$A,My_Audit!E:E,""),
_xlfn.IFS(_xlpm.MyAuditVal&lt;&gt;"",_xlpm.MyAuditVal,_xlpm.MacVal&lt;&gt;"",_xlpm.MacVal,_xlpm.CSVVal&lt;&gt;"",_xlpm.CSVVal
)),"")</f>
        <v/>
      </c>
      <c r="G619" s="40" t="str" cm="1">
        <f t="array" ref="G619">IFERROR(_xlfn.LET(
_xlpm.CSVVal,_xlfn.XLOOKUP($A619,CSV!$A:$A,CSV!G:G,""),
_xlpm.MacVal,_xlfn.XLOOKUP($A619,Output_Mac!$A:$A,Output_Mac!F:F,""),
_xlpm.MyAuditVal,_xlfn.XLOOKUP($A619,My_Audit!$A:$A,My_Audit!F:F,""),
_xlfn.IFS(_xlpm.MyAuditVal&lt;&gt;"",_xlpm.MyAuditVal,_xlpm.MacVal&lt;&gt;"",_xlpm.MacVal,_xlpm.CSVVal&lt;&gt;"",PROPER(_xlpm.CSVVal)
)),"")</f>
        <v/>
      </c>
      <c r="H619" s="40" t="str" cm="1">
        <f t="array" ref="H619">IFERROR(_xlfn.LET(
_xlpm.CSVVal,_xlfn.XLOOKUP($A619,CSV!$A:$A,CSV!H:H,""),
_xlpm.MacVal,_xlfn.XLOOKUP($A619,Output_Mac!$A:$A,Output_Mac!H:H,""),
_xlpm.MyAuditVal,_xlfn.XLOOKUP($A619,My_Audit!$A:$A,My_Audit!G:G,""),
_xlfn.IFS(_xlpm.MyAuditVal&lt;&gt;"",_xlpm.MyAuditVal,_xlpm.MacVal&lt;&gt;"",_xlpm.MacVal,_xlpm.CSVVal&lt;&gt;"",_xlpm.CSVVal
)),"")</f>
        <v/>
      </c>
      <c r="I619" s="40" t="str">
        <f>_xlfn.XLOOKUP(A619,Output_Mac!A:A,Output_Mac!I:I,"")</f>
        <v/>
      </c>
      <c r="J619" s="40" t="str" cm="1">
        <f t="array" ref="J619">IFERROR(_xlfn.LET(
_xlpm.CSVVal,_xlfn.XLOOKUP($A619,CSV!$A:$A,CSV!I:I,""),
_xlpm.MacVal,_xlfn.XLOOKUP($A619,Output_Mac!$A:$A,Output_Mac!J:J,""),
_xlpm.MyAuditVal,_xlfn.XLOOKUP($A619,My_Audit!$A:$A,My_Audit!I:I,""),
_xlfn.IFS(_xlpm.MyAuditVal&lt;&gt;"",UPPER(_xlpm.MyAuditVal),_xlpm.MacVal&lt;&gt;"",_xlpm.MacVal,_xlpm.CSVVal&lt;&gt;"",_xlpm.CSVVal
)),"")</f>
        <v/>
      </c>
      <c r="K619" s="40" t="str" cm="1">
        <f t="array" ref="K619">IFERROR(_xlfn.LET(
_xlpm.CSVVal,_xlfn.XLOOKUP($A619,CSV!$A:$A,CSV!K:K,""),
_xlpm.MacVal,_xlfn.XLOOKUP($A619,Output_Mac!$A:$A,Output_Mac!K:K,""),
_xlpm.MyAuditVal,_xlfn.XLOOKUP($A619,My_Audit!$A:$A,My_Audit!J:J,""),
_xlfn.IFS(_xlpm.MyAuditVal&lt;&gt;"",UPPER(_xlpm.MyAuditVal),_xlpm.MacVal&lt;&gt;"",_xlpm.MacVal,_xlpm.CSVVal&lt;&gt;"",_xlpm.CSVVal
)),"")</f>
        <v/>
      </c>
      <c r="L619" s="40" t="str" cm="1">
        <f t="array" ref="L619">IFERROR(_xlfn.LET(
_xlpm.CSVVal,_xlfn.XLOOKUP($A619,CSV!$A:$A,CSV!P:P,""),
_xlpm.MacVal,_xlfn.XLOOKUP($A619,Output_Mac!$A:$A,Output_Mac!L:L,""),
_xlpm.MyAuditVal,_xlfn.XLOOKUP($A619,My_Audit!$A:$A,My_Audit!K:K,""),
_xlfn.IFS(_xlpm.MyAuditVal&lt;&gt;"",UPPER(_xlpm.MyAuditVal),_xlpm.MacVal&lt;&gt;"",_xlpm.MacVal,_xlpm.CSVVal&lt;&gt;"",_xlpm.CSVVal
)),"")</f>
        <v/>
      </c>
      <c r="M619" s="40" t="str" cm="1">
        <f t="array" ref="M619">IFERROR(_xlfn.LET(
_xlpm.CSVVal,_xlfn.XLOOKUP($A619,CSV!$A:$A,CSV!Q:Q,""),
_xlpm.MacVal,_xlfn.XLOOKUP($A619,Output_Mac!$A:$A,Output_Mac!M:M,""),
_xlpm.MyAuditVal,_xlfn.XLOOKUP($A619,My_Audit!$A:$A,My_Audit!L:L,""),
_xlfn.IFS(_xlpm.MyAuditVal&lt;&gt;"",UPPER(_xlpm.MyAuditVal),_xlpm.MacVal&lt;&gt;"",_xlpm.MacVal,_xlpm.CSVVal&lt;&gt;"",_xlpm.CSVVal
)),"")</f>
        <v/>
      </c>
      <c r="N619" s="40"/>
      <c r="O619" s="40" t="str">
        <f>_xlfn.LET(
    _xlpm.CSVVal, _xlfn.XLOOKUP($A619, CSV!$A:$A, CSV!AA:AA, ""),
    _xlpm.MacVal, _xlfn.XLOOKUP($A619, Output_Mac!$A:$A, Output_Mac!S:S, ""),
    _xlpm.MyAuditVal, _xlfn.XLOOKUP($A619, My_Audit!$A:$A, My_Audit!P:P, ""),
    _xlfn.TEXTJOIN(", ", TRUE, _xlpm.MyAuditVal, _xlpm.MacVal, _xlpm.CSVVal)
)</f>
        <v/>
      </c>
      <c r="P619" s="40" t="str" cm="1">
        <f t="array" ref="P619">IFERROR(_xlfn.LET(
_xlpm.CSVVal,_xlfn.XLOOKUP($A619,CSV!$A:$A,CSV!AB:AB,""),
_xlpm.MacVal,_xlfn.XLOOKUP($A619,Output_Mac!$A:$A,Output_Mac!T:T,""),
_xlpm.MyAuditVal,_xlfn.XLOOKUP($A619,My_Audit!$A:$A,My_Audit!Q:Q,""),
_xlfn.IFS(_xlpm.MyAuditVal&lt;&gt;"",UPPER(_xlpm.MyAuditVal),_xlpm.MacVal&lt;&gt;"",_xlpm.MacVal,_xlpm.CSVVal&lt;&gt;"",_xlpm.CSVVal
)),"No")</f>
        <v>No</v>
      </c>
      <c r="Q619" s="40" t="str" cm="1">
        <f t="array" ref="Q619">IFERROR(_xlfn.LET(
_xlpm.CSVVal,_xlfn.XLOOKUP($A619,CSV!$A:$A,CSV!AC:AC,""),
_xlpm.MacVal,_xlfn.XLOOKUP($A619,Output_Mac!$A:$A,Output_Mac!U:U,""),
_xlpm.MyAuditVal,_xlfn.XLOOKUP($A619,My_Audit!$A:$A,My_Audit!R:R,""),
_xlfn.IFS(_xlpm.MyAuditVal&lt;&gt;"",UPPER(_xlpm.MyAuditVal),_xlpm.MacVal&lt;&gt;"",_xlpm.MacVal,_xlpm.CSVVal&lt;&gt;"",_xlpm.CSVVal
)),"")</f>
        <v/>
      </c>
      <c r="R619" s="40"/>
      <c r="S619" s="40"/>
      <c r="T619" s="40"/>
      <c r="U619" s="40"/>
      <c r="V619" s="40"/>
      <c r="W619" s="40"/>
      <c r="X619" s="41" t="str">
        <f>_xlfn.LET(
    _xlpm.MacVal, _xlfn.XLOOKUP($A619, Output_Mac!$A:$A, Output_Mac!AB:AB, ""),
    _xlpm.MyAuditVal, _xlfn.XLOOKUP($A619, My_Audit!$A:$A, My_Audit!N:N, ""),
    _xlfn.TEXTJOIN(", ", TRUE, _xlpm.MyAuditVal, _xlpm.MacVal)
)</f>
        <v/>
      </c>
    </row>
    <row r="620" spans="1:24">
      <c r="A620" s="40" t="str">
        <f>_xlfn.TEXTJOIN("",TRUE,Input!$B$2,ROW(My_Audit!A619))</f>
        <v>X619</v>
      </c>
      <c r="B620" s="40" t="str">
        <f>_xlfn.TEXTJOIN("-",TRUE,"ITD",Input!$A$2,A620)</f>
        <v>ITD-X619</v>
      </c>
      <c r="C620" s="40" t="str" cm="1">
        <f t="array" ref="C620">IFERROR(_xlfn.LET(
_xlpm.CSVVal,_xlfn.XLOOKUP($A620,CSV!$A:$A,CSV!B:B,""),
_xlpm.MacVal,_xlfn.XLOOKUP($A620,Output_Mac!$A:$A,Output_Mac!B:B,""),
_xlpm.MyAuditVal,_xlfn.XLOOKUP($A620,My_Audit!$A:$A,My_Audit!B:B,""),
_xlfn.IFS(_xlpm.MyAuditVal&lt;&gt;"",UPPER(_xlpm.MyAuditVal),_xlpm.MacVal&lt;&gt;"",_xlpm.MacVal,_xlpm.CSVVal&lt;&gt;"",_xlpm.CSVVal
)),"")</f>
        <v/>
      </c>
      <c r="D620" s="40" t="str" cm="1">
        <f t="array" ref="D620">IFERROR(_xlfn.LET(
_xlpm.CSVVal,_xlfn.XLOOKUP($A620,CSV!$A:$A,CSV!D:D,""),
_xlpm.MacVal,_xlfn.XLOOKUP($A620,Output_Mac!$A:$A,Output_Mac!C:C,""),
_xlpm.MyAuditVal,_xlfn.XLOOKUP($A620,My_Audit!$A:$A,My_Audit!C:C,""),
_xlfn.IFS(_xlpm.MyAuditVal&lt;&gt;"",_xlpm.MyAuditVal,_xlpm.MacVal&lt;&gt;"",_xlpm.MacVal,_xlpm.CSVVal&lt;&gt;"",_xlpm.CSVVal
)),"")</f>
        <v/>
      </c>
      <c r="E620" s="40" t="str">
        <f>_xlfn.XLOOKUP(A620,My_Audit!A:A,My_Audit!D:D,"")</f>
        <v/>
      </c>
      <c r="F620" s="40" t="str" cm="1">
        <f t="array" ref="F620">IFERROR(_xlfn.LET(
_xlpm.CSVVal,_xlfn.XLOOKUP($A620,CSV!$A:$A,CSV!F:F,""),
_xlpm.MacVal,_xlfn.XLOOKUP($A620,Output_Mac!$A:$A,Output_Mac!E:E,""),
_xlpm.MyAuditVal,_xlfn.XLOOKUP($A620,My_Audit!$A:$A,My_Audit!E:E,""),
_xlfn.IFS(_xlpm.MyAuditVal&lt;&gt;"",_xlpm.MyAuditVal,_xlpm.MacVal&lt;&gt;"",_xlpm.MacVal,_xlpm.CSVVal&lt;&gt;"",_xlpm.CSVVal
)),"")</f>
        <v/>
      </c>
      <c r="G620" s="40" t="str" cm="1">
        <f t="array" ref="G620">IFERROR(_xlfn.LET(
_xlpm.CSVVal,_xlfn.XLOOKUP($A620,CSV!$A:$A,CSV!G:G,""),
_xlpm.MacVal,_xlfn.XLOOKUP($A620,Output_Mac!$A:$A,Output_Mac!F:F,""),
_xlpm.MyAuditVal,_xlfn.XLOOKUP($A620,My_Audit!$A:$A,My_Audit!F:F,""),
_xlfn.IFS(_xlpm.MyAuditVal&lt;&gt;"",_xlpm.MyAuditVal,_xlpm.MacVal&lt;&gt;"",_xlpm.MacVal,_xlpm.CSVVal&lt;&gt;"",PROPER(_xlpm.CSVVal)
)),"")</f>
        <v/>
      </c>
      <c r="H620" s="40" t="str" cm="1">
        <f t="array" ref="H620">IFERROR(_xlfn.LET(
_xlpm.CSVVal,_xlfn.XLOOKUP($A620,CSV!$A:$A,CSV!H:H,""),
_xlpm.MacVal,_xlfn.XLOOKUP($A620,Output_Mac!$A:$A,Output_Mac!H:H,""),
_xlpm.MyAuditVal,_xlfn.XLOOKUP($A620,My_Audit!$A:$A,My_Audit!G:G,""),
_xlfn.IFS(_xlpm.MyAuditVal&lt;&gt;"",_xlpm.MyAuditVal,_xlpm.MacVal&lt;&gt;"",_xlpm.MacVal,_xlpm.CSVVal&lt;&gt;"",_xlpm.CSVVal
)),"")</f>
        <v/>
      </c>
      <c r="I620" s="40" t="str">
        <f>_xlfn.XLOOKUP(A620,Output_Mac!A:A,Output_Mac!I:I,"")</f>
        <v/>
      </c>
      <c r="J620" s="40" t="str" cm="1">
        <f t="array" ref="J620">IFERROR(_xlfn.LET(
_xlpm.CSVVal,_xlfn.XLOOKUP($A620,CSV!$A:$A,CSV!I:I,""),
_xlpm.MacVal,_xlfn.XLOOKUP($A620,Output_Mac!$A:$A,Output_Mac!J:J,""),
_xlpm.MyAuditVal,_xlfn.XLOOKUP($A620,My_Audit!$A:$A,My_Audit!I:I,""),
_xlfn.IFS(_xlpm.MyAuditVal&lt;&gt;"",UPPER(_xlpm.MyAuditVal),_xlpm.MacVal&lt;&gt;"",_xlpm.MacVal,_xlpm.CSVVal&lt;&gt;"",_xlpm.CSVVal
)),"")</f>
        <v/>
      </c>
      <c r="K620" s="40" t="str" cm="1">
        <f t="array" ref="K620">IFERROR(_xlfn.LET(
_xlpm.CSVVal,_xlfn.XLOOKUP($A620,CSV!$A:$A,CSV!K:K,""),
_xlpm.MacVal,_xlfn.XLOOKUP($A620,Output_Mac!$A:$A,Output_Mac!K:K,""),
_xlpm.MyAuditVal,_xlfn.XLOOKUP($A620,My_Audit!$A:$A,My_Audit!J:J,""),
_xlfn.IFS(_xlpm.MyAuditVal&lt;&gt;"",UPPER(_xlpm.MyAuditVal),_xlpm.MacVal&lt;&gt;"",_xlpm.MacVal,_xlpm.CSVVal&lt;&gt;"",_xlpm.CSVVal
)),"")</f>
        <v/>
      </c>
      <c r="L620" s="40" t="str" cm="1">
        <f t="array" ref="L620">IFERROR(_xlfn.LET(
_xlpm.CSVVal,_xlfn.XLOOKUP($A620,CSV!$A:$A,CSV!P:P,""),
_xlpm.MacVal,_xlfn.XLOOKUP($A620,Output_Mac!$A:$A,Output_Mac!L:L,""),
_xlpm.MyAuditVal,_xlfn.XLOOKUP($A620,My_Audit!$A:$A,My_Audit!K:K,""),
_xlfn.IFS(_xlpm.MyAuditVal&lt;&gt;"",UPPER(_xlpm.MyAuditVal),_xlpm.MacVal&lt;&gt;"",_xlpm.MacVal,_xlpm.CSVVal&lt;&gt;"",_xlpm.CSVVal
)),"")</f>
        <v/>
      </c>
      <c r="M620" s="40" t="str" cm="1">
        <f t="array" ref="M620">IFERROR(_xlfn.LET(
_xlpm.CSVVal,_xlfn.XLOOKUP($A620,CSV!$A:$A,CSV!Q:Q,""),
_xlpm.MacVal,_xlfn.XLOOKUP($A620,Output_Mac!$A:$A,Output_Mac!M:M,""),
_xlpm.MyAuditVal,_xlfn.XLOOKUP($A620,My_Audit!$A:$A,My_Audit!L:L,""),
_xlfn.IFS(_xlpm.MyAuditVal&lt;&gt;"",UPPER(_xlpm.MyAuditVal),_xlpm.MacVal&lt;&gt;"",_xlpm.MacVal,_xlpm.CSVVal&lt;&gt;"",_xlpm.CSVVal
)),"")</f>
        <v/>
      </c>
      <c r="N620" s="40"/>
      <c r="O620" s="40" t="str">
        <f>_xlfn.LET(
    _xlpm.CSVVal, _xlfn.XLOOKUP($A620, CSV!$A:$A, CSV!AA:AA, ""),
    _xlpm.MacVal, _xlfn.XLOOKUP($A620, Output_Mac!$A:$A, Output_Mac!S:S, ""),
    _xlpm.MyAuditVal, _xlfn.XLOOKUP($A620, My_Audit!$A:$A, My_Audit!P:P, ""),
    _xlfn.TEXTJOIN(", ", TRUE, _xlpm.MyAuditVal, _xlpm.MacVal, _xlpm.CSVVal)
)</f>
        <v/>
      </c>
      <c r="P620" s="40" t="str" cm="1">
        <f t="array" ref="P620">IFERROR(_xlfn.LET(
_xlpm.CSVVal,_xlfn.XLOOKUP($A620,CSV!$A:$A,CSV!AB:AB,""),
_xlpm.MacVal,_xlfn.XLOOKUP($A620,Output_Mac!$A:$A,Output_Mac!T:T,""),
_xlpm.MyAuditVal,_xlfn.XLOOKUP($A620,My_Audit!$A:$A,My_Audit!Q:Q,""),
_xlfn.IFS(_xlpm.MyAuditVal&lt;&gt;"",UPPER(_xlpm.MyAuditVal),_xlpm.MacVal&lt;&gt;"",_xlpm.MacVal,_xlpm.CSVVal&lt;&gt;"",_xlpm.CSVVal
)),"No")</f>
        <v>No</v>
      </c>
      <c r="Q620" s="40" t="str" cm="1">
        <f t="array" ref="Q620">IFERROR(_xlfn.LET(
_xlpm.CSVVal,_xlfn.XLOOKUP($A620,CSV!$A:$A,CSV!AC:AC,""),
_xlpm.MacVal,_xlfn.XLOOKUP($A620,Output_Mac!$A:$A,Output_Mac!U:U,""),
_xlpm.MyAuditVal,_xlfn.XLOOKUP($A620,My_Audit!$A:$A,My_Audit!R:R,""),
_xlfn.IFS(_xlpm.MyAuditVal&lt;&gt;"",UPPER(_xlpm.MyAuditVal),_xlpm.MacVal&lt;&gt;"",_xlpm.MacVal,_xlpm.CSVVal&lt;&gt;"",_xlpm.CSVVal
)),"")</f>
        <v/>
      </c>
      <c r="R620" s="40"/>
      <c r="S620" s="40"/>
      <c r="T620" s="40"/>
      <c r="U620" s="40"/>
      <c r="V620" s="40"/>
      <c r="W620" s="40"/>
      <c r="X620" s="41" t="str">
        <f>_xlfn.LET(
    _xlpm.MacVal, _xlfn.XLOOKUP($A620, Output_Mac!$A:$A, Output_Mac!AB:AB, ""),
    _xlpm.MyAuditVal, _xlfn.XLOOKUP($A620, My_Audit!$A:$A, My_Audit!N:N, ""),
    _xlfn.TEXTJOIN(", ", TRUE, _xlpm.MyAuditVal, _xlpm.MacVal)
)</f>
        <v/>
      </c>
    </row>
    <row r="621" spans="1:24">
      <c r="A621" s="40" t="str">
        <f>_xlfn.TEXTJOIN("",TRUE,Input!$B$2,ROW(My_Audit!A620))</f>
        <v>X620</v>
      </c>
      <c r="B621" s="40" t="str">
        <f>_xlfn.TEXTJOIN("-",TRUE,"ITD",Input!$A$2,A621)</f>
        <v>ITD-X620</v>
      </c>
      <c r="C621" s="40" t="str" cm="1">
        <f t="array" ref="C621">IFERROR(_xlfn.LET(
_xlpm.CSVVal,_xlfn.XLOOKUP($A621,CSV!$A:$A,CSV!B:B,""),
_xlpm.MacVal,_xlfn.XLOOKUP($A621,Output_Mac!$A:$A,Output_Mac!B:B,""),
_xlpm.MyAuditVal,_xlfn.XLOOKUP($A621,My_Audit!$A:$A,My_Audit!B:B,""),
_xlfn.IFS(_xlpm.MyAuditVal&lt;&gt;"",UPPER(_xlpm.MyAuditVal),_xlpm.MacVal&lt;&gt;"",_xlpm.MacVal,_xlpm.CSVVal&lt;&gt;"",_xlpm.CSVVal
)),"")</f>
        <v/>
      </c>
      <c r="D621" s="40" t="str" cm="1">
        <f t="array" ref="D621">IFERROR(_xlfn.LET(
_xlpm.CSVVal,_xlfn.XLOOKUP($A621,CSV!$A:$A,CSV!D:D,""),
_xlpm.MacVal,_xlfn.XLOOKUP($A621,Output_Mac!$A:$A,Output_Mac!C:C,""),
_xlpm.MyAuditVal,_xlfn.XLOOKUP($A621,My_Audit!$A:$A,My_Audit!C:C,""),
_xlfn.IFS(_xlpm.MyAuditVal&lt;&gt;"",_xlpm.MyAuditVal,_xlpm.MacVal&lt;&gt;"",_xlpm.MacVal,_xlpm.CSVVal&lt;&gt;"",_xlpm.CSVVal
)),"")</f>
        <v/>
      </c>
      <c r="E621" s="40" t="str">
        <f>_xlfn.XLOOKUP(A621,My_Audit!A:A,My_Audit!D:D,"")</f>
        <v/>
      </c>
      <c r="F621" s="40" t="str" cm="1">
        <f t="array" ref="F621">IFERROR(_xlfn.LET(
_xlpm.CSVVal,_xlfn.XLOOKUP($A621,CSV!$A:$A,CSV!F:F,""),
_xlpm.MacVal,_xlfn.XLOOKUP($A621,Output_Mac!$A:$A,Output_Mac!E:E,""),
_xlpm.MyAuditVal,_xlfn.XLOOKUP($A621,My_Audit!$A:$A,My_Audit!E:E,""),
_xlfn.IFS(_xlpm.MyAuditVal&lt;&gt;"",_xlpm.MyAuditVal,_xlpm.MacVal&lt;&gt;"",_xlpm.MacVal,_xlpm.CSVVal&lt;&gt;"",_xlpm.CSVVal
)),"")</f>
        <v/>
      </c>
      <c r="G621" s="40" t="str" cm="1">
        <f t="array" ref="G621">IFERROR(_xlfn.LET(
_xlpm.CSVVal,_xlfn.XLOOKUP($A621,CSV!$A:$A,CSV!G:G,""),
_xlpm.MacVal,_xlfn.XLOOKUP($A621,Output_Mac!$A:$A,Output_Mac!F:F,""),
_xlpm.MyAuditVal,_xlfn.XLOOKUP($A621,My_Audit!$A:$A,My_Audit!F:F,""),
_xlfn.IFS(_xlpm.MyAuditVal&lt;&gt;"",_xlpm.MyAuditVal,_xlpm.MacVal&lt;&gt;"",_xlpm.MacVal,_xlpm.CSVVal&lt;&gt;"",PROPER(_xlpm.CSVVal)
)),"")</f>
        <v/>
      </c>
      <c r="H621" s="40" t="str" cm="1">
        <f t="array" ref="H621">IFERROR(_xlfn.LET(
_xlpm.CSVVal,_xlfn.XLOOKUP($A621,CSV!$A:$A,CSV!H:H,""),
_xlpm.MacVal,_xlfn.XLOOKUP($A621,Output_Mac!$A:$A,Output_Mac!H:H,""),
_xlpm.MyAuditVal,_xlfn.XLOOKUP($A621,My_Audit!$A:$A,My_Audit!G:G,""),
_xlfn.IFS(_xlpm.MyAuditVal&lt;&gt;"",_xlpm.MyAuditVal,_xlpm.MacVal&lt;&gt;"",_xlpm.MacVal,_xlpm.CSVVal&lt;&gt;"",_xlpm.CSVVal
)),"")</f>
        <v/>
      </c>
      <c r="I621" s="40" t="str">
        <f>_xlfn.XLOOKUP(A621,Output_Mac!A:A,Output_Mac!I:I,"")</f>
        <v/>
      </c>
      <c r="J621" s="40" t="str" cm="1">
        <f t="array" ref="J621">IFERROR(_xlfn.LET(
_xlpm.CSVVal,_xlfn.XLOOKUP($A621,CSV!$A:$A,CSV!I:I,""),
_xlpm.MacVal,_xlfn.XLOOKUP($A621,Output_Mac!$A:$A,Output_Mac!J:J,""),
_xlpm.MyAuditVal,_xlfn.XLOOKUP($A621,My_Audit!$A:$A,My_Audit!I:I,""),
_xlfn.IFS(_xlpm.MyAuditVal&lt;&gt;"",UPPER(_xlpm.MyAuditVal),_xlpm.MacVal&lt;&gt;"",_xlpm.MacVal,_xlpm.CSVVal&lt;&gt;"",_xlpm.CSVVal
)),"")</f>
        <v/>
      </c>
      <c r="K621" s="40" t="str" cm="1">
        <f t="array" ref="K621">IFERROR(_xlfn.LET(
_xlpm.CSVVal,_xlfn.XLOOKUP($A621,CSV!$A:$A,CSV!K:K,""),
_xlpm.MacVal,_xlfn.XLOOKUP($A621,Output_Mac!$A:$A,Output_Mac!K:K,""),
_xlpm.MyAuditVal,_xlfn.XLOOKUP($A621,My_Audit!$A:$A,My_Audit!J:J,""),
_xlfn.IFS(_xlpm.MyAuditVal&lt;&gt;"",UPPER(_xlpm.MyAuditVal),_xlpm.MacVal&lt;&gt;"",_xlpm.MacVal,_xlpm.CSVVal&lt;&gt;"",_xlpm.CSVVal
)),"")</f>
        <v/>
      </c>
      <c r="L621" s="40" t="str" cm="1">
        <f t="array" ref="L621">IFERROR(_xlfn.LET(
_xlpm.CSVVal,_xlfn.XLOOKUP($A621,CSV!$A:$A,CSV!P:P,""),
_xlpm.MacVal,_xlfn.XLOOKUP($A621,Output_Mac!$A:$A,Output_Mac!L:L,""),
_xlpm.MyAuditVal,_xlfn.XLOOKUP($A621,My_Audit!$A:$A,My_Audit!K:K,""),
_xlfn.IFS(_xlpm.MyAuditVal&lt;&gt;"",UPPER(_xlpm.MyAuditVal),_xlpm.MacVal&lt;&gt;"",_xlpm.MacVal,_xlpm.CSVVal&lt;&gt;"",_xlpm.CSVVal
)),"")</f>
        <v/>
      </c>
      <c r="M621" s="40" t="str" cm="1">
        <f t="array" ref="M621">IFERROR(_xlfn.LET(
_xlpm.CSVVal,_xlfn.XLOOKUP($A621,CSV!$A:$A,CSV!Q:Q,""),
_xlpm.MacVal,_xlfn.XLOOKUP($A621,Output_Mac!$A:$A,Output_Mac!M:M,""),
_xlpm.MyAuditVal,_xlfn.XLOOKUP($A621,My_Audit!$A:$A,My_Audit!L:L,""),
_xlfn.IFS(_xlpm.MyAuditVal&lt;&gt;"",UPPER(_xlpm.MyAuditVal),_xlpm.MacVal&lt;&gt;"",_xlpm.MacVal,_xlpm.CSVVal&lt;&gt;"",_xlpm.CSVVal
)),"")</f>
        <v/>
      </c>
      <c r="N621" s="40"/>
      <c r="O621" s="40" t="str">
        <f>_xlfn.LET(
    _xlpm.CSVVal, _xlfn.XLOOKUP($A621, CSV!$A:$A, CSV!AA:AA, ""),
    _xlpm.MacVal, _xlfn.XLOOKUP($A621, Output_Mac!$A:$A, Output_Mac!S:S, ""),
    _xlpm.MyAuditVal, _xlfn.XLOOKUP($A621, My_Audit!$A:$A, My_Audit!P:P, ""),
    _xlfn.TEXTJOIN(", ", TRUE, _xlpm.MyAuditVal, _xlpm.MacVal, _xlpm.CSVVal)
)</f>
        <v/>
      </c>
      <c r="P621" s="40" t="str" cm="1">
        <f t="array" ref="P621">IFERROR(_xlfn.LET(
_xlpm.CSVVal,_xlfn.XLOOKUP($A621,CSV!$A:$A,CSV!AB:AB,""),
_xlpm.MacVal,_xlfn.XLOOKUP($A621,Output_Mac!$A:$A,Output_Mac!T:T,""),
_xlpm.MyAuditVal,_xlfn.XLOOKUP($A621,My_Audit!$A:$A,My_Audit!Q:Q,""),
_xlfn.IFS(_xlpm.MyAuditVal&lt;&gt;"",UPPER(_xlpm.MyAuditVal),_xlpm.MacVal&lt;&gt;"",_xlpm.MacVal,_xlpm.CSVVal&lt;&gt;"",_xlpm.CSVVal
)),"No")</f>
        <v>No</v>
      </c>
      <c r="Q621" s="40" t="str" cm="1">
        <f t="array" ref="Q621">IFERROR(_xlfn.LET(
_xlpm.CSVVal,_xlfn.XLOOKUP($A621,CSV!$A:$A,CSV!AC:AC,""),
_xlpm.MacVal,_xlfn.XLOOKUP($A621,Output_Mac!$A:$A,Output_Mac!U:U,""),
_xlpm.MyAuditVal,_xlfn.XLOOKUP($A621,My_Audit!$A:$A,My_Audit!R:R,""),
_xlfn.IFS(_xlpm.MyAuditVal&lt;&gt;"",UPPER(_xlpm.MyAuditVal),_xlpm.MacVal&lt;&gt;"",_xlpm.MacVal,_xlpm.CSVVal&lt;&gt;"",_xlpm.CSVVal
)),"")</f>
        <v/>
      </c>
      <c r="R621" s="40"/>
      <c r="S621" s="40"/>
      <c r="T621" s="40"/>
      <c r="U621" s="40"/>
      <c r="V621" s="40"/>
      <c r="W621" s="40"/>
      <c r="X621" s="41" t="str">
        <f>_xlfn.LET(
    _xlpm.MacVal, _xlfn.XLOOKUP($A621, Output_Mac!$A:$A, Output_Mac!AB:AB, ""),
    _xlpm.MyAuditVal, _xlfn.XLOOKUP($A621, My_Audit!$A:$A, My_Audit!N:N, ""),
    _xlfn.TEXTJOIN(", ", TRUE, _xlpm.MyAuditVal, _xlpm.MacVal)
)</f>
        <v/>
      </c>
    </row>
    <row r="622" spans="1:24">
      <c r="A622" s="40" t="str">
        <f>_xlfn.TEXTJOIN("",TRUE,Input!$B$2,ROW(My_Audit!A621))</f>
        <v>X621</v>
      </c>
      <c r="B622" s="40" t="str">
        <f>_xlfn.TEXTJOIN("-",TRUE,"ITD",Input!$A$2,A622)</f>
        <v>ITD-X621</v>
      </c>
      <c r="C622" s="40" t="str" cm="1">
        <f t="array" ref="C622">IFERROR(_xlfn.LET(
_xlpm.CSVVal,_xlfn.XLOOKUP($A622,CSV!$A:$A,CSV!B:B,""),
_xlpm.MacVal,_xlfn.XLOOKUP($A622,Output_Mac!$A:$A,Output_Mac!B:B,""),
_xlpm.MyAuditVal,_xlfn.XLOOKUP($A622,My_Audit!$A:$A,My_Audit!B:B,""),
_xlfn.IFS(_xlpm.MyAuditVal&lt;&gt;"",UPPER(_xlpm.MyAuditVal),_xlpm.MacVal&lt;&gt;"",_xlpm.MacVal,_xlpm.CSVVal&lt;&gt;"",_xlpm.CSVVal
)),"")</f>
        <v/>
      </c>
      <c r="D622" s="40" t="str" cm="1">
        <f t="array" ref="D622">IFERROR(_xlfn.LET(
_xlpm.CSVVal,_xlfn.XLOOKUP($A622,CSV!$A:$A,CSV!D:D,""),
_xlpm.MacVal,_xlfn.XLOOKUP($A622,Output_Mac!$A:$A,Output_Mac!C:C,""),
_xlpm.MyAuditVal,_xlfn.XLOOKUP($A622,My_Audit!$A:$A,My_Audit!C:C,""),
_xlfn.IFS(_xlpm.MyAuditVal&lt;&gt;"",_xlpm.MyAuditVal,_xlpm.MacVal&lt;&gt;"",_xlpm.MacVal,_xlpm.CSVVal&lt;&gt;"",_xlpm.CSVVal
)),"")</f>
        <v/>
      </c>
      <c r="E622" s="40" t="str">
        <f>_xlfn.XLOOKUP(A622,My_Audit!A:A,My_Audit!D:D,"")</f>
        <v/>
      </c>
      <c r="F622" s="40" t="str" cm="1">
        <f t="array" ref="F622">IFERROR(_xlfn.LET(
_xlpm.CSVVal,_xlfn.XLOOKUP($A622,CSV!$A:$A,CSV!F:F,""),
_xlpm.MacVal,_xlfn.XLOOKUP($A622,Output_Mac!$A:$A,Output_Mac!E:E,""),
_xlpm.MyAuditVal,_xlfn.XLOOKUP($A622,My_Audit!$A:$A,My_Audit!E:E,""),
_xlfn.IFS(_xlpm.MyAuditVal&lt;&gt;"",_xlpm.MyAuditVal,_xlpm.MacVal&lt;&gt;"",_xlpm.MacVal,_xlpm.CSVVal&lt;&gt;"",_xlpm.CSVVal
)),"")</f>
        <v/>
      </c>
      <c r="G622" s="40" t="str" cm="1">
        <f t="array" ref="G622">IFERROR(_xlfn.LET(
_xlpm.CSVVal,_xlfn.XLOOKUP($A622,CSV!$A:$A,CSV!G:G,""),
_xlpm.MacVal,_xlfn.XLOOKUP($A622,Output_Mac!$A:$A,Output_Mac!F:F,""),
_xlpm.MyAuditVal,_xlfn.XLOOKUP($A622,My_Audit!$A:$A,My_Audit!F:F,""),
_xlfn.IFS(_xlpm.MyAuditVal&lt;&gt;"",_xlpm.MyAuditVal,_xlpm.MacVal&lt;&gt;"",_xlpm.MacVal,_xlpm.CSVVal&lt;&gt;"",PROPER(_xlpm.CSVVal)
)),"")</f>
        <v/>
      </c>
      <c r="H622" s="40" t="str" cm="1">
        <f t="array" ref="H622">IFERROR(_xlfn.LET(
_xlpm.CSVVal,_xlfn.XLOOKUP($A622,CSV!$A:$A,CSV!H:H,""),
_xlpm.MacVal,_xlfn.XLOOKUP($A622,Output_Mac!$A:$A,Output_Mac!H:H,""),
_xlpm.MyAuditVal,_xlfn.XLOOKUP($A622,My_Audit!$A:$A,My_Audit!G:G,""),
_xlfn.IFS(_xlpm.MyAuditVal&lt;&gt;"",_xlpm.MyAuditVal,_xlpm.MacVal&lt;&gt;"",_xlpm.MacVal,_xlpm.CSVVal&lt;&gt;"",_xlpm.CSVVal
)),"")</f>
        <v/>
      </c>
      <c r="I622" s="40" t="str">
        <f>_xlfn.XLOOKUP(A622,Output_Mac!A:A,Output_Mac!I:I,"")</f>
        <v/>
      </c>
      <c r="J622" s="40" t="str" cm="1">
        <f t="array" ref="J622">IFERROR(_xlfn.LET(
_xlpm.CSVVal,_xlfn.XLOOKUP($A622,CSV!$A:$A,CSV!I:I,""),
_xlpm.MacVal,_xlfn.XLOOKUP($A622,Output_Mac!$A:$A,Output_Mac!J:J,""),
_xlpm.MyAuditVal,_xlfn.XLOOKUP($A622,My_Audit!$A:$A,My_Audit!I:I,""),
_xlfn.IFS(_xlpm.MyAuditVal&lt;&gt;"",UPPER(_xlpm.MyAuditVal),_xlpm.MacVal&lt;&gt;"",_xlpm.MacVal,_xlpm.CSVVal&lt;&gt;"",_xlpm.CSVVal
)),"")</f>
        <v/>
      </c>
      <c r="K622" s="40" t="str" cm="1">
        <f t="array" ref="K622">IFERROR(_xlfn.LET(
_xlpm.CSVVal,_xlfn.XLOOKUP($A622,CSV!$A:$A,CSV!K:K,""),
_xlpm.MacVal,_xlfn.XLOOKUP($A622,Output_Mac!$A:$A,Output_Mac!K:K,""),
_xlpm.MyAuditVal,_xlfn.XLOOKUP($A622,My_Audit!$A:$A,My_Audit!J:J,""),
_xlfn.IFS(_xlpm.MyAuditVal&lt;&gt;"",UPPER(_xlpm.MyAuditVal),_xlpm.MacVal&lt;&gt;"",_xlpm.MacVal,_xlpm.CSVVal&lt;&gt;"",_xlpm.CSVVal
)),"")</f>
        <v/>
      </c>
      <c r="L622" s="40" t="str" cm="1">
        <f t="array" ref="L622">IFERROR(_xlfn.LET(
_xlpm.CSVVal,_xlfn.XLOOKUP($A622,CSV!$A:$A,CSV!P:P,""),
_xlpm.MacVal,_xlfn.XLOOKUP($A622,Output_Mac!$A:$A,Output_Mac!L:L,""),
_xlpm.MyAuditVal,_xlfn.XLOOKUP($A622,My_Audit!$A:$A,My_Audit!K:K,""),
_xlfn.IFS(_xlpm.MyAuditVal&lt;&gt;"",UPPER(_xlpm.MyAuditVal),_xlpm.MacVal&lt;&gt;"",_xlpm.MacVal,_xlpm.CSVVal&lt;&gt;"",_xlpm.CSVVal
)),"")</f>
        <v/>
      </c>
      <c r="M622" s="40" t="str" cm="1">
        <f t="array" ref="M622">IFERROR(_xlfn.LET(
_xlpm.CSVVal,_xlfn.XLOOKUP($A622,CSV!$A:$A,CSV!Q:Q,""),
_xlpm.MacVal,_xlfn.XLOOKUP($A622,Output_Mac!$A:$A,Output_Mac!M:M,""),
_xlpm.MyAuditVal,_xlfn.XLOOKUP($A622,My_Audit!$A:$A,My_Audit!L:L,""),
_xlfn.IFS(_xlpm.MyAuditVal&lt;&gt;"",UPPER(_xlpm.MyAuditVal),_xlpm.MacVal&lt;&gt;"",_xlpm.MacVal,_xlpm.CSVVal&lt;&gt;"",_xlpm.CSVVal
)),"")</f>
        <v/>
      </c>
      <c r="N622" s="40"/>
      <c r="O622" s="40" t="str">
        <f>_xlfn.LET(
    _xlpm.CSVVal, _xlfn.XLOOKUP($A622, CSV!$A:$A, CSV!AA:AA, ""),
    _xlpm.MacVal, _xlfn.XLOOKUP($A622, Output_Mac!$A:$A, Output_Mac!S:S, ""),
    _xlpm.MyAuditVal, _xlfn.XLOOKUP($A622, My_Audit!$A:$A, My_Audit!P:P, ""),
    _xlfn.TEXTJOIN(", ", TRUE, _xlpm.MyAuditVal, _xlpm.MacVal, _xlpm.CSVVal)
)</f>
        <v/>
      </c>
      <c r="P622" s="40" t="str" cm="1">
        <f t="array" ref="P622">IFERROR(_xlfn.LET(
_xlpm.CSVVal,_xlfn.XLOOKUP($A622,CSV!$A:$A,CSV!AB:AB,""),
_xlpm.MacVal,_xlfn.XLOOKUP($A622,Output_Mac!$A:$A,Output_Mac!T:T,""),
_xlpm.MyAuditVal,_xlfn.XLOOKUP($A622,My_Audit!$A:$A,My_Audit!Q:Q,""),
_xlfn.IFS(_xlpm.MyAuditVal&lt;&gt;"",UPPER(_xlpm.MyAuditVal),_xlpm.MacVal&lt;&gt;"",_xlpm.MacVal,_xlpm.CSVVal&lt;&gt;"",_xlpm.CSVVal
)),"No")</f>
        <v>No</v>
      </c>
      <c r="Q622" s="40" t="str" cm="1">
        <f t="array" ref="Q622">IFERROR(_xlfn.LET(
_xlpm.CSVVal,_xlfn.XLOOKUP($A622,CSV!$A:$A,CSV!AC:AC,""),
_xlpm.MacVal,_xlfn.XLOOKUP($A622,Output_Mac!$A:$A,Output_Mac!U:U,""),
_xlpm.MyAuditVal,_xlfn.XLOOKUP($A622,My_Audit!$A:$A,My_Audit!R:R,""),
_xlfn.IFS(_xlpm.MyAuditVal&lt;&gt;"",UPPER(_xlpm.MyAuditVal),_xlpm.MacVal&lt;&gt;"",_xlpm.MacVal,_xlpm.CSVVal&lt;&gt;"",_xlpm.CSVVal
)),"")</f>
        <v/>
      </c>
      <c r="R622" s="40"/>
      <c r="S622" s="40"/>
      <c r="T622" s="40"/>
      <c r="U622" s="40"/>
      <c r="V622" s="40"/>
      <c r="W622" s="40"/>
      <c r="X622" s="41" t="str">
        <f>_xlfn.LET(
    _xlpm.MacVal, _xlfn.XLOOKUP($A622, Output_Mac!$A:$A, Output_Mac!AB:AB, ""),
    _xlpm.MyAuditVal, _xlfn.XLOOKUP($A622, My_Audit!$A:$A, My_Audit!N:N, ""),
    _xlfn.TEXTJOIN(", ", TRUE, _xlpm.MyAuditVal, _xlpm.MacVal)
)</f>
        <v/>
      </c>
    </row>
    <row r="623" spans="1:24">
      <c r="A623" s="40" t="str">
        <f>_xlfn.TEXTJOIN("",TRUE,Input!$B$2,ROW(My_Audit!A622))</f>
        <v>X622</v>
      </c>
      <c r="B623" s="40" t="str">
        <f>_xlfn.TEXTJOIN("-",TRUE,"ITD",Input!$A$2,A623)</f>
        <v>ITD-X622</v>
      </c>
      <c r="C623" s="40" t="str" cm="1">
        <f t="array" ref="C623">IFERROR(_xlfn.LET(
_xlpm.CSVVal,_xlfn.XLOOKUP($A623,CSV!$A:$A,CSV!B:B,""),
_xlpm.MacVal,_xlfn.XLOOKUP($A623,Output_Mac!$A:$A,Output_Mac!B:B,""),
_xlpm.MyAuditVal,_xlfn.XLOOKUP($A623,My_Audit!$A:$A,My_Audit!B:B,""),
_xlfn.IFS(_xlpm.MyAuditVal&lt;&gt;"",UPPER(_xlpm.MyAuditVal),_xlpm.MacVal&lt;&gt;"",_xlpm.MacVal,_xlpm.CSVVal&lt;&gt;"",_xlpm.CSVVal
)),"")</f>
        <v/>
      </c>
      <c r="D623" s="40" t="str" cm="1">
        <f t="array" ref="D623">IFERROR(_xlfn.LET(
_xlpm.CSVVal,_xlfn.XLOOKUP($A623,CSV!$A:$A,CSV!D:D,""),
_xlpm.MacVal,_xlfn.XLOOKUP($A623,Output_Mac!$A:$A,Output_Mac!C:C,""),
_xlpm.MyAuditVal,_xlfn.XLOOKUP($A623,My_Audit!$A:$A,My_Audit!C:C,""),
_xlfn.IFS(_xlpm.MyAuditVal&lt;&gt;"",_xlpm.MyAuditVal,_xlpm.MacVal&lt;&gt;"",_xlpm.MacVal,_xlpm.CSVVal&lt;&gt;"",_xlpm.CSVVal
)),"")</f>
        <v/>
      </c>
      <c r="E623" s="40" t="str">
        <f>_xlfn.XLOOKUP(A623,My_Audit!A:A,My_Audit!D:D,"")</f>
        <v/>
      </c>
      <c r="F623" s="40" t="str" cm="1">
        <f t="array" ref="F623">IFERROR(_xlfn.LET(
_xlpm.CSVVal,_xlfn.XLOOKUP($A623,CSV!$A:$A,CSV!F:F,""),
_xlpm.MacVal,_xlfn.XLOOKUP($A623,Output_Mac!$A:$A,Output_Mac!E:E,""),
_xlpm.MyAuditVal,_xlfn.XLOOKUP($A623,My_Audit!$A:$A,My_Audit!E:E,""),
_xlfn.IFS(_xlpm.MyAuditVal&lt;&gt;"",_xlpm.MyAuditVal,_xlpm.MacVal&lt;&gt;"",_xlpm.MacVal,_xlpm.CSVVal&lt;&gt;"",_xlpm.CSVVal
)),"")</f>
        <v/>
      </c>
      <c r="G623" s="40" t="str" cm="1">
        <f t="array" ref="G623">IFERROR(_xlfn.LET(
_xlpm.CSVVal,_xlfn.XLOOKUP($A623,CSV!$A:$A,CSV!G:G,""),
_xlpm.MacVal,_xlfn.XLOOKUP($A623,Output_Mac!$A:$A,Output_Mac!F:F,""),
_xlpm.MyAuditVal,_xlfn.XLOOKUP($A623,My_Audit!$A:$A,My_Audit!F:F,""),
_xlfn.IFS(_xlpm.MyAuditVal&lt;&gt;"",_xlpm.MyAuditVal,_xlpm.MacVal&lt;&gt;"",_xlpm.MacVal,_xlpm.CSVVal&lt;&gt;"",PROPER(_xlpm.CSVVal)
)),"")</f>
        <v/>
      </c>
      <c r="H623" s="40" t="str" cm="1">
        <f t="array" ref="H623">IFERROR(_xlfn.LET(
_xlpm.CSVVal,_xlfn.XLOOKUP($A623,CSV!$A:$A,CSV!H:H,""),
_xlpm.MacVal,_xlfn.XLOOKUP($A623,Output_Mac!$A:$A,Output_Mac!H:H,""),
_xlpm.MyAuditVal,_xlfn.XLOOKUP($A623,My_Audit!$A:$A,My_Audit!G:G,""),
_xlfn.IFS(_xlpm.MyAuditVal&lt;&gt;"",_xlpm.MyAuditVal,_xlpm.MacVal&lt;&gt;"",_xlpm.MacVal,_xlpm.CSVVal&lt;&gt;"",_xlpm.CSVVal
)),"")</f>
        <v/>
      </c>
      <c r="I623" s="40" t="str">
        <f>_xlfn.XLOOKUP(A623,Output_Mac!A:A,Output_Mac!I:I,"")</f>
        <v/>
      </c>
      <c r="J623" s="40" t="str" cm="1">
        <f t="array" ref="J623">IFERROR(_xlfn.LET(
_xlpm.CSVVal,_xlfn.XLOOKUP($A623,CSV!$A:$A,CSV!I:I,""),
_xlpm.MacVal,_xlfn.XLOOKUP($A623,Output_Mac!$A:$A,Output_Mac!J:J,""),
_xlpm.MyAuditVal,_xlfn.XLOOKUP($A623,My_Audit!$A:$A,My_Audit!I:I,""),
_xlfn.IFS(_xlpm.MyAuditVal&lt;&gt;"",UPPER(_xlpm.MyAuditVal),_xlpm.MacVal&lt;&gt;"",_xlpm.MacVal,_xlpm.CSVVal&lt;&gt;"",_xlpm.CSVVal
)),"")</f>
        <v/>
      </c>
      <c r="K623" s="40" t="str" cm="1">
        <f t="array" ref="K623">IFERROR(_xlfn.LET(
_xlpm.CSVVal,_xlfn.XLOOKUP($A623,CSV!$A:$A,CSV!K:K,""),
_xlpm.MacVal,_xlfn.XLOOKUP($A623,Output_Mac!$A:$A,Output_Mac!K:K,""),
_xlpm.MyAuditVal,_xlfn.XLOOKUP($A623,My_Audit!$A:$A,My_Audit!J:J,""),
_xlfn.IFS(_xlpm.MyAuditVal&lt;&gt;"",UPPER(_xlpm.MyAuditVal),_xlpm.MacVal&lt;&gt;"",_xlpm.MacVal,_xlpm.CSVVal&lt;&gt;"",_xlpm.CSVVal
)),"")</f>
        <v/>
      </c>
      <c r="L623" s="40" t="str" cm="1">
        <f t="array" ref="L623">IFERROR(_xlfn.LET(
_xlpm.CSVVal,_xlfn.XLOOKUP($A623,CSV!$A:$A,CSV!P:P,""),
_xlpm.MacVal,_xlfn.XLOOKUP($A623,Output_Mac!$A:$A,Output_Mac!L:L,""),
_xlpm.MyAuditVal,_xlfn.XLOOKUP($A623,My_Audit!$A:$A,My_Audit!K:K,""),
_xlfn.IFS(_xlpm.MyAuditVal&lt;&gt;"",UPPER(_xlpm.MyAuditVal),_xlpm.MacVal&lt;&gt;"",_xlpm.MacVal,_xlpm.CSVVal&lt;&gt;"",_xlpm.CSVVal
)),"")</f>
        <v/>
      </c>
      <c r="M623" s="40" t="str" cm="1">
        <f t="array" ref="M623">IFERROR(_xlfn.LET(
_xlpm.CSVVal,_xlfn.XLOOKUP($A623,CSV!$A:$A,CSV!Q:Q,""),
_xlpm.MacVal,_xlfn.XLOOKUP($A623,Output_Mac!$A:$A,Output_Mac!M:M,""),
_xlpm.MyAuditVal,_xlfn.XLOOKUP($A623,My_Audit!$A:$A,My_Audit!L:L,""),
_xlfn.IFS(_xlpm.MyAuditVal&lt;&gt;"",UPPER(_xlpm.MyAuditVal),_xlpm.MacVal&lt;&gt;"",_xlpm.MacVal,_xlpm.CSVVal&lt;&gt;"",_xlpm.CSVVal
)),"")</f>
        <v/>
      </c>
      <c r="N623" s="40"/>
      <c r="O623" s="40" t="str">
        <f>_xlfn.LET(
    _xlpm.CSVVal, _xlfn.XLOOKUP($A623, CSV!$A:$A, CSV!AA:AA, ""),
    _xlpm.MacVal, _xlfn.XLOOKUP($A623, Output_Mac!$A:$A, Output_Mac!S:S, ""),
    _xlpm.MyAuditVal, _xlfn.XLOOKUP($A623, My_Audit!$A:$A, My_Audit!P:P, ""),
    _xlfn.TEXTJOIN(", ", TRUE, _xlpm.MyAuditVal, _xlpm.MacVal, _xlpm.CSVVal)
)</f>
        <v/>
      </c>
      <c r="P623" s="40" t="str" cm="1">
        <f t="array" ref="P623">IFERROR(_xlfn.LET(
_xlpm.CSVVal,_xlfn.XLOOKUP($A623,CSV!$A:$A,CSV!AB:AB,""),
_xlpm.MacVal,_xlfn.XLOOKUP($A623,Output_Mac!$A:$A,Output_Mac!T:T,""),
_xlpm.MyAuditVal,_xlfn.XLOOKUP($A623,My_Audit!$A:$A,My_Audit!Q:Q,""),
_xlfn.IFS(_xlpm.MyAuditVal&lt;&gt;"",UPPER(_xlpm.MyAuditVal),_xlpm.MacVal&lt;&gt;"",_xlpm.MacVal,_xlpm.CSVVal&lt;&gt;"",_xlpm.CSVVal
)),"No")</f>
        <v>No</v>
      </c>
      <c r="Q623" s="40" t="str" cm="1">
        <f t="array" ref="Q623">IFERROR(_xlfn.LET(
_xlpm.CSVVal,_xlfn.XLOOKUP($A623,CSV!$A:$A,CSV!AC:AC,""),
_xlpm.MacVal,_xlfn.XLOOKUP($A623,Output_Mac!$A:$A,Output_Mac!U:U,""),
_xlpm.MyAuditVal,_xlfn.XLOOKUP($A623,My_Audit!$A:$A,My_Audit!R:R,""),
_xlfn.IFS(_xlpm.MyAuditVal&lt;&gt;"",UPPER(_xlpm.MyAuditVal),_xlpm.MacVal&lt;&gt;"",_xlpm.MacVal,_xlpm.CSVVal&lt;&gt;"",_xlpm.CSVVal
)),"")</f>
        <v/>
      </c>
      <c r="R623" s="40"/>
      <c r="S623" s="40"/>
      <c r="T623" s="40"/>
      <c r="U623" s="40"/>
      <c r="V623" s="40"/>
      <c r="W623" s="40"/>
      <c r="X623" s="41" t="str">
        <f>_xlfn.LET(
    _xlpm.MacVal, _xlfn.XLOOKUP($A623, Output_Mac!$A:$A, Output_Mac!AB:AB, ""),
    _xlpm.MyAuditVal, _xlfn.XLOOKUP($A623, My_Audit!$A:$A, My_Audit!N:N, ""),
    _xlfn.TEXTJOIN(", ", TRUE, _xlpm.MyAuditVal, _xlpm.MacVal)
)</f>
        <v/>
      </c>
    </row>
    <row r="624" spans="1:24">
      <c r="A624" s="40" t="str">
        <f>_xlfn.TEXTJOIN("",TRUE,Input!$B$2,ROW(My_Audit!A623))</f>
        <v>X623</v>
      </c>
      <c r="B624" s="40" t="str">
        <f>_xlfn.TEXTJOIN("-",TRUE,"ITD",Input!$A$2,A624)</f>
        <v>ITD-X623</v>
      </c>
      <c r="C624" s="40" t="str" cm="1">
        <f t="array" ref="C624">IFERROR(_xlfn.LET(
_xlpm.CSVVal,_xlfn.XLOOKUP($A624,CSV!$A:$A,CSV!B:B,""),
_xlpm.MacVal,_xlfn.XLOOKUP($A624,Output_Mac!$A:$A,Output_Mac!B:B,""),
_xlpm.MyAuditVal,_xlfn.XLOOKUP($A624,My_Audit!$A:$A,My_Audit!B:B,""),
_xlfn.IFS(_xlpm.MyAuditVal&lt;&gt;"",UPPER(_xlpm.MyAuditVal),_xlpm.MacVal&lt;&gt;"",_xlpm.MacVal,_xlpm.CSVVal&lt;&gt;"",_xlpm.CSVVal
)),"")</f>
        <v/>
      </c>
      <c r="D624" s="40" t="str" cm="1">
        <f t="array" ref="D624">IFERROR(_xlfn.LET(
_xlpm.CSVVal,_xlfn.XLOOKUP($A624,CSV!$A:$A,CSV!D:D,""),
_xlpm.MacVal,_xlfn.XLOOKUP($A624,Output_Mac!$A:$A,Output_Mac!C:C,""),
_xlpm.MyAuditVal,_xlfn.XLOOKUP($A624,My_Audit!$A:$A,My_Audit!C:C,""),
_xlfn.IFS(_xlpm.MyAuditVal&lt;&gt;"",_xlpm.MyAuditVal,_xlpm.MacVal&lt;&gt;"",_xlpm.MacVal,_xlpm.CSVVal&lt;&gt;"",_xlpm.CSVVal
)),"")</f>
        <v/>
      </c>
      <c r="E624" s="40" t="str">
        <f>_xlfn.XLOOKUP(A624,My_Audit!A:A,My_Audit!D:D,"")</f>
        <v/>
      </c>
      <c r="F624" s="40" t="str" cm="1">
        <f t="array" ref="F624">IFERROR(_xlfn.LET(
_xlpm.CSVVal,_xlfn.XLOOKUP($A624,CSV!$A:$A,CSV!F:F,""),
_xlpm.MacVal,_xlfn.XLOOKUP($A624,Output_Mac!$A:$A,Output_Mac!E:E,""),
_xlpm.MyAuditVal,_xlfn.XLOOKUP($A624,My_Audit!$A:$A,My_Audit!E:E,""),
_xlfn.IFS(_xlpm.MyAuditVal&lt;&gt;"",_xlpm.MyAuditVal,_xlpm.MacVal&lt;&gt;"",_xlpm.MacVal,_xlpm.CSVVal&lt;&gt;"",_xlpm.CSVVal
)),"")</f>
        <v/>
      </c>
      <c r="G624" s="40" t="str" cm="1">
        <f t="array" ref="G624">IFERROR(_xlfn.LET(
_xlpm.CSVVal,_xlfn.XLOOKUP($A624,CSV!$A:$A,CSV!G:G,""),
_xlpm.MacVal,_xlfn.XLOOKUP($A624,Output_Mac!$A:$A,Output_Mac!F:F,""),
_xlpm.MyAuditVal,_xlfn.XLOOKUP($A624,My_Audit!$A:$A,My_Audit!F:F,""),
_xlfn.IFS(_xlpm.MyAuditVal&lt;&gt;"",_xlpm.MyAuditVal,_xlpm.MacVal&lt;&gt;"",_xlpm.MacVal,_xlpm.CSVVal&lt;&gt;"",PROPER(_xlpm.CSVVal)
)),"")</f>
        <v/>
      </c>
      <c r="H624" s="40" t="str" cm="1">
        <f t="array" ref="H624">IFERROR(_xlfn.LET(
_xlpm.CSVVal,_xlfn.XLOOKUP($A624,CSV!$A:$A,CSV!H:H,""),
_xlpm.MacVal,_xlfn.XLOOKUP($A624,Output_Mac!$A:$A,Output_Mac!H:H,""),
_xlpm.MyAuditVal,_xlfn.XLOOKUP($A624,My_Audit!$A:$A,My_Audit!G:G,""),
_xlfn.IFS(_xlpm.MyAuditVal&lt;&gt;"",_xlpm.MyAuditVal,_xlpm.MacVal&lt;&gt;"",_xlpm.MacVal,_xlpm.CSVVal&lt;&gt;"",_xlpm.CSVVal
)),"")</f>
        <v/>
      </c>
      <c r="I624" s="40" t="str">
        <f>_xlfn.XLOOKUP(A624,Output_Mac!A:A,Output_Mac!I:I,"")</f>
        <v/>
      </c>
      <c r="J624" s="40" t="str" cm="1">
        <f t="array" ref="J624">IFERROR(_xlfn.LET(
_xlpm.CSVVal,_xlfn.XLOOKUP($A624,CSV!$A:$A,CSV!I:I,""),
_xlpm.MacVal,_xlfn.XLOOKUP($A624,Output_Mac!$A:$A,Output_Mac!J:J,""),
_xlpm.MyAuditVal,_xlfn.XLOOKUP($A624,My_Audit!$A:$A,My_Audit!I:I,""),
_xlfn.IFS(_xlpm.MyAuditVal&lt;&gt;"",UPPER(_xlpm.MyAuditVal),_xlpm.MacVal&lt;&gt;"",_xlpm.MacVal,_xlpm.CSVVal&lt;&gt;"",_xlpm.CSVVal
)),"")</f>
        <v/>
      </c>
      <c r="K624" s="40" t="str" cm="1">
        <f t="array" ref="K624">IFERROR(_xlfn.LET(
_xlpm.CSVVal,_xlfn.XLOOKUP($A624,CSV!$A:$A,CSV!K:K,""),
_xlpm.MacVal,_xlfn.XLOOKUP($A624,Output_Mac!$A:$A,Output_Mac!K:K,""),
_xlpm.MyAuditVal,_xlfn.XLOOKUP($A624,My_Audit!$A:$A,My_Audit!J:J,""),
_xlfn.IFS(_xlpm.MyAuditVal&lt;&gt;"",UPPER(_xlpm.MyAuditVal),_xlpm.MacVal&lt;&gt;"",_xlpm.MacVal,_xlpm.CSVVal&lt;&gt;"",_xlpm.CSVVal
)),"")</f>
        <v/>
      </c>
      <c r="L624" s="40" t="str" cm="1">
        <f t="array" ref="L624">IFERROR(_xlfn.LET(
_xlpm.CSVVal,_xlfn.XLOOKUP($A624,CSV!$A:$A,CSV!P:P,""),
_xlpm.MacVal,_xlfn.XLOOKUP($A624,Output_Mac!$A:$A,Output_Mac!L:L,""),
_xlpm.MyAuditVal,_xlfn.XLOOKUP($A624,My_Audit!$A:$A,My_Audit!K:K,""),
_xlfn.IFS(_xlpm.MyAuditVal&lt;&gt;"",UPPER(_xlpm.MyAuditVal),_xlpm.MacVal&lt;&gt;"",_xlpm.MacVal,_xlpm.CSVVal&lt;&gt;"",_xlpm.CSVVal
)),"")</f>
        <v/>
      </c>
      <c r="M624" s="40" t="str" cm="1">
        <f t="array" ref="M624">IFERROR(_xlfn.LET(
_xlpm.CSVVal,_xlfn.XLOOKUP($A624,CSV!$A:$A,CSV!Q:Q,""),
_xlpm.MacVal,_xlfn.XLOOKUP($A624,Output_Mac!$A:$A,Output_Mac!M:M,""),
_xlpm.MyAuditVal,_xlfn.XLOOKUP($A624,My_Audit!$A:$A,My_Audit!L:L,""),
_xlfn.IFS(_xlpm.MyAuditVal&lt;&gt;"",UPPER(_xlpm.MyAuditVal),_xlpm.MacVal&lt;&gt;"",_xlpm.MacVal,_xlpm.CSVVal&lt;&gt;"",_xlpm.CSVVal
)),"")</f>
        <v/>
      </c>
      <c r="N624" s="40"/>
      <c r="O624" s="40" t="str">
        <f>_xlfn.LET(
    _xlpm.CSVVal, _xlfn.XLOOKUP($A624, CSV!$A:$A, CSV!AA:AA, ""),
    _xlpm.MacVal, _xlfn.XLOOKUP($A624, Output_Mac!$A:$A, Output_Mac!S:S, ""),
    _xlpm.MyAuditVal, _xlfn.XLOOKUP($A624, My_Audit!$A:$A, My_Audit!P:P, ""),
    _xlfn.TEXTJOIN(", ", TRUE, _xlpm.MyAuditVal, _xlpm.MacVal, _xlpm.CSVVal)
)</f>
        <v/>
      </c>
      <c r="P624" s="40" t="str" cm="1">
        <f t="array" ref="P624">IFERROR(_xlfn.LET(
_xlpm.CSVVal,_xlfn.XLOOKUP($A624,CSV!$A:$A,CSV!AB:AB,""),
_xlpm.MacVal,_xlfn.XLOOKUP($A624,Output_Mac!$A:$A,Output_Mac!T:T,""),
_xlpm.MyAuditVal,_xlfn.XLOOKUP($A624,My_Audit!$A:$A,My_Audit!Q:Q,""),
_xlfn.IFS(_xlpm.MyAuditVal&lt;&gt;"",UPPER(_xlpm.MyAuditVal),_xlpm.MacVal&lt;&gt;"",_xlpm.MacVal,_xlpm.CSVVal&lt;&gt;"",_xlpm.CSVVal
)),"No")</f>
        <v>No</v>
      </c>
      <c r="Q624" s="40" t="str" cm="1">
        <f t="array" ref="Q624">IFERROR(_xlfn.LET(
_xlpm.CSVVal,_xlfn.XLOOKUP($A624,CSV!$A:$A,CSV!AC:AC,""),
_xlpm.MacVal,_xlfn.XLOOKUP($A624,Output_Mac!$A:$A,Output_Mac!U:U,""),
_xlpm.MyAuditVal,_xlfn.XLOOKUP($A624,My_Audit!$A:$A,My_Audit!R:R,""),
_xlfn.IFS(_xlpm.MyAuditVal&lt;&gt;"",UPPER(_xlpm.MyAuditVal),_xlpm.MacVal&lt;&gt;"",_xlpm.MacVal,_xlpm.CSVVal&lt;&gt;"",_xlpm.CSVVal
)),"")</f>
        <v/>
      </c>
      <c r="R624" s="40"/>
      <c r="S624" s="40"/>
      <c r="T624" s="40"/>
      <c r="U624" s="40"/>
      <c r="V624" s="40"/>
      <c r="W624" s="40"/>
      <c r="X624" s="41" t="str">
        <f>_xlfn.LET(
    _xlpm.MacVal, _xlfn.XLOOKUP($A624, Output_Mac!$A:$A, Output_Mac!AB:AB, ""),
    _xlpm.MyAuditVal, _xlfn.XLOOKUP($A624, My_Audit!$A:$A, My_Audit!N:N, ""),
    _xlfn.TEXTJOIN(", ", TRUE, _xlpm.MyAuditVal, _xlpm.MacVal)
)</f>
        <v/>
      </c>
    </row>
    <row r="625" spans="1:24">
      <c r="A625" s="40" t="str">
        <f>_xlfn.TEXTJOIN("",TRUE,Input!$B$2,ROW(My_Audit!A624))</f>
        <v>X624</v>
      </c>
      <c r="B625" s="40" t="str">
        <f>_xlfn.TEXTJOIN("-",TRUE,"ITD",Input!$A$2,A625)</f>
        <v>ITD-X624</v>
      </c>
      <c r="C625" s="40" t="str" cm="1">
        <f t="array" ref="C625">IFERROR(_xlfn.LET(
_xlpm.CSVVal,_xlfn.XLOOKUP($A625,CSV!$A:$A,CSV!B:B,""),
_xlpm.MacVal,_xlfn.XLOOKUP($A625,Output_Mac!$A:$A,Output_Mac!B:B,""),
_xlpm.MyAuditVal,_xlfn.XLOOKUP($A625,My_Audit!$A:$A,My_Audit!B:B,""),
_xlfn.IFS(_xlpm.MyAuditVal&lt;&gt;"",UPPER(_xlpm.MyAuditVal),_xlpm.MacVal&lt;&gt;"",_xlpm.MacVal,_xlpm.CSVVal&lt;&gt;"",_xlpm.CSVVal
)),"")</f>
        <v/>
      </c>
      <c r="D625" s="40" t="str" cm="1">
        <f t="array" ref="D625">IFERROR(_xlfn.LET(
_xlpm.CSVVal,_xlfn.XLOOKUP($A625,CSV!$A:$A,CSV!D:D,""),
_xlpm.MacVal,_xlfn.XLOOKUP($A625,Output_Mac!$A:$A,Output_Mac!C:C,""),
_xlpm.MyAuditVal,_xlfn.XLOOKUP($A625,My_Audit!$A:$A,My_Audit!C:C,""),
_xlfn.IFS(_xlpm.MyAuditVal&lt;&gt;"",_xlpm.MyAuditVal,_xlpm.MacVal&lt;&gt;"",_xlpm.MacVal,_xlpm.CSVVal&lt;&gt;"",_xlpm.CSVVal
)),"")</f>
        <v/>
      </c>
      <c r="E625" s="40" t="str">
        <f>_xlfn.XLOOKUP(A625,My_Audit!A:A,My_Audit!D:D,"")</f>
        <v/>
      </c>
      <c r="F625" s="40" t="str" cm="1">
        <f t="array" ref="F625">IFERROR(_xlfn.LET(
_xlpm.CSVVal,_xlfn.XLOOKUP($A625,CSV!$A:$A,CSV!F:F,""),
_xlpm.MacVal,_xlfn.XLOOKUP($A625,Output_Mac!$A:$A,Output_Mac!E:E,""),
_xlpm.MyAuditVal,_xlfn.XLOOKUP($A625,My_Audit!$A:$A,My_Audit!E:E,""),
_xlfn.IFS(_xlpm.MyAuditVal&lt;&gt;"",_xlpm.MyAuditVal,_xlpm.MacVal&lt;&gt;"",_xlpm.MacVal,_xlpm.CSVVal&lt;&gt;"",_xlpm.CSVVal
)),"")</f>
        <v/>
      </c>
      <c r="G625" s="40" t="str" cm="1">
        <f t="array" ref="G625">IFERROR(_xlfn.LET(
_xlpm.CSVVal,_xlfn.XLOOKUP($A625,CSV!$A:$A,CSV!G:G,""),
_xlpm.MacVal,_xlfn.XLOOKUP($A625,Output_Mac!$A:$A,Output_Mac!F:F,""),
_xlpm.MyAuditVal,_xlfn.XLOOKUP($A625,My_Audit!$A:$A,My_Audit!F:F,""),
_xlfn.IFS(_xlpm.MyAuditVal&lt;&gt;"",_xlpm.MyAuditVal,_xlpm.MacVal&lt;&gt;"",_xlpm.MacVal,_xlpm.CSVVal&lt;&gt;"",PROPER(_xlpm.CSVVal)
)),"")</f>
        <v/>
      </c>
      <c r="H625" s="40" t="str" cm="1">
        <f t="array" ref="H625">IFERROR(_xlfn.LET(
_xlpm.CSVVal,_xlfn.XLOOKUP($A625,CSV!$A:$A,CSV!H:H,""),
_xlpm.MacVal,_xlfn.XLOOKUP($A625,Output_Mac!$A:$A,Output_Mac!H:H,""),
_xlpm.MyAuditVal,_xlfn.XLOOKUP($A625,My_Audit!$A:$A,My_Audit!G:G,""),
_xlfn.IFS(_xlpm.MyAuditVal&lt;&gt;"",_xlpm.MyAuditVal,_xlpm.MacVal&lt;&gt;"",_xlpm.MacVal,_xlpm.CSVVal&lt;&gt;"",_xlpm.CSVVal
)),"")</f>
        <v/>
      </c>
      <c r="I625" s="40" t="str">
        <f>_xlfn.XLOOKUP(A625,Output_Mac!A:A,Output_Mac!I:I,"")</f>
        <v/>
      </c>
      <c r="J625" s="40" t="str" cm="1">
        <f t="array" ref="J625">IFERROR(_xlfn.LET(
_xlpm.CSVVal,_xlfn.XLOOKUP($A625,CSV!$A:$A,CSV!I:I,""),
_xlpm.MacVal,_xlfn.XLOOKUP($A625,Output_Mac!$A:$A,Output_Mac!J:J,""),
_xlpm.MyAuditVal,_xlfn.XLOOKUP($A625,My_Audit!$A:$A,My_Audit!I:I,""),
_xlfn.IFS(_xlpm.MyAuditVal&lt;&gt;"",UPPER(_xlpm.MyAuditVal),_xlpm.MacVal&lt;&gt;"",_xlpm.MacVal,_xlpm.CSVVal&lt;&gt;"",_xlpm.CSVVal
)),"")</f>
        <v/>
      </c>
      <c r="K625" s="40" t="str" cm="1">
        <f t="array" ref="K625">IFERROR(_xlfn.LET(
_xlpm.CSVVal,_xlfn.XLOOKUP($A625,CSV!$A:$A,CSV!K:K,""),
_xlpm.MacVal,_xlfn.XLOOKUP($A625,Output_Mac!$A:$A,Output_Mac!K:K,""),
_xlpm.MyAuditVal,_xlfn.XLOOKUP($A625,My_Audit!$A:$A,My_Audit!J:J,""),
_xlfn.IFS(_xlpm.MyAuditVal&lt;&gt;"",UPPER(_xlpm.MyAuditVal),_xlpm.MacVal&lt;&gt;"",_xlpm.MacVal,_xlpm.CSVVal&lt;&gt;"",_xlpm.CSVVal
)),"")</f>
        <v/>
      </c>
      <c r="L625" s="40" t="str" cm="1">
        <f t="array" ref="L625">IFERROR(_xlfn.LET(
_xlpm.CSVVal,_xlfn.XLOOKUP($A625,CSV!$A:$A,CSV!P:P,""),
_xlpm.MacVal,_xlfn.XLOOKUP($A625,Output_Mac!$A:$A,Output_Mac!L:L,""),
_xlpm.MyAuditVal,_xlfn.XLOOKUP($A625,My_Audit!$A:$A,My_Audit!K:K,""),
_xlfn.IFS(_xlpm.MyAuditVal&lt;&gt;"",UPPER(_xlpm.MyAuditVal),_xlpm.MacVal&lt;&gt;"",_xlpm.MacVal,_xlpm.CSVVal&lt;&gt;"",_xlpm.CSVVal
)),"")</f>
        <v/>
      </c>
      <c r="M625" s="40" t="str" cm="1">
        <f t="array" ref="M625">IFERROR(_xlfn.LET(
_xlpm.CSVVal,_xlfn.XLOOKUP($A625,CSV!$A:$A,CSV!Q:Q,""),
_xlpm.MacVal,_xlfn.XLOOKUP($A625,Output_Mac!$A:$A,Output_Mac!M:M,""),
_xlpm.MyAuditVal,_xlfn.XLOOKUP($A625,My_Audit!$A:$A,My_Audit!L:L,""),
_xlfn.IFS(_xlpm.MyAuditVal&lt;&gt;"",UPPER(_xlpm.MyAuditVal),_xlpm.MacVal&lt;&gt;"",_xlpm.MacVal,_xlpm.CSVVal&lt;&gt;"",_xlpm.CSVVal
)),"")</f>
        <v/>
      </c>
      <c r="N625" s="40"/>
      <c r="O625" s="40" t="str">
        <f>_xlfn.LET(
    _xlpm.CSVVal, _xlfn.XLOOKUP($A625, CSV!$A:$A, CSV!AA:AA, ""),
    _xlpm.MacVal, _xlfn.XLOOKUP($A625, Output_Mac!$A:$A, Output_Mac!S:S, ""),
    _xlpm.MyAuditVal, _xlfn.XLOOKUP($A625, My_Audit!$A:$A, My_Audit!P:P, ""),
    _xlfn.TEXTJOIN(", ", TRUE, _xlpm.MyAuditVal, _xlpm.MacVal, _xlpm.CSVVal)
)</f>
        <v/>
      </c>
      <c r="P625" s="40" t="str" cm="1">
        <f t="array" ref="P625">IFERROR(_xlfn.LET(
_xlpm.CSVVal,_xlfn.XLOOKUP($A625,CSV!$A:$A,CSV!AB:AB,""),
_xlpm.MacVal,_xlfn.XLOOKUP($A625,Output_Mac!$A:$A,Output_Mac!T:T,""),
_xlpm.MyAuditVal,_xlfn.XLOOKUP($A625,My_Audit!$A:$A,My_Audit!Q:Q,""),
_xlfn.IFS(_xlpm.MyAuditVal&lt;&gt;"",UPPER(_xlpm.MyAuditVal),_xlpm.MacVal&lt;&gt;"",_xlpm.MacVal,_xlpm.CSVVal&lt;&gt;"",_xlpm.CSVVal
)),"No")</f>
        <v>No</v>
      </c>
      <c r="Q625" s="40" t="str" cm="1">
        <f t="array" ref="Q625">IFERROR(_xlfn.LET(
_xlpm.CSVVal,_xlfn.XLOOKUP($A625,CSV!$A:$A,CSV!AC:AC,""),
_xlpm.MacVal,_xlfn.XLOOKUP($A625,Output_Mac!$A:$A,Output_Mac!U:U,""),
_xlpm.MyAuditVal,_xlfn.XLOOKUP($A625,My_Audit!$A:$A,My_Audit!R:R,""),
_xlfn.IFS(_xlpm.MyAuditVal&lt;&gt;"",UPPER(_xlpm.MyAuditVal),_xlpm.MacVal&lt;&gt;"",_xlpm.MacVal,_xlpm.CSVVal&lt;&gt;"",_xlpm.CSVVal
)),"")</f>
        <v/>
      </c>
      <c r="R625" s="40"/>
      <c r="S625" s="40"/>
      <c r="T625" s="40"/>
      <c r="U625" s="40"/>
      <c r="V625" s="40"/>
      <c r="W625" s="40"/>
      <c r="X625" s="41" t="str">
        <f>_xlfn.LET(
    _xlpm.MacVal, _xlfn.XLOOKUP($A625, Output_Mac!$A:$A, Output_Mac!AB:AB, ""),
    _xlpm.MyAuditVal, _xlfn.XLOOKUP($A625, My_Audit!$A:$A, My_Audit!N:N, ""),
    _xlfn.TEXTJOIN(", ", TRUE, _xlpm.MyAuditVal, _xlpm.MacVal)
)</f>
        <v/>
      </c>
    </row>
    <row r="626" spans="1:24">
      <c r="A626" s="40" t="str">
        <f>_xlfn.TEXTJOIN("",TRUE,Input!$B$2,ROW(My_Audit!A625))</f>
        <v>X625</v>
      </c>
      <c r="B626" s="40" t="str">
        <f>_xlfn.TEXTJOIN("-",TRUE,"ITD",Input!$A$2,A626)</f>
        <v>ITD-X625</v>
      </c>
      <c r="C626" s="40" t="str" cm="1">
        <f t="array" ref="C626">IFERROR(_xlfn.LET(
_xlpm.CSVVal,_xlfn.XLOOKUP($A626,CSV!$A:$A,CSV!B:B,""),
_xlpm.MacVal,_xlfn.XLOOKUP($A626,Output_Mac!$A:$A,Output_Mac!B:B,""),
_xlpm.MyAuditVal,_xlfn.XLOOKUP($A626,My_Audit!$A:$A,My_Audit!B:B,""),
_xlfn.IFS(_xlpm.MyAuditVal&lt;&gt;"",UPPER(_xlpm.MyAuditVal),_xlpm.MacVal&lt;&gt;"",_xlpm.MacVal,_xlpm.CSVVal&lt;&gt;"",_xlpm.CSVVal
)),"")</f>
        <v/>
      </c>
      <c r="D626" s="40" t="str" cm="1">
        <f t="array" ref="D626">IFERROR(_xlfn.LET(
_xlpm.CSVVal,_xlfn.XLOOKUP($A626,CSV!$A:$A,CSV!D:D,""),
_xlpm.MacVal,_xlfn.XLOOKUP($A626,Output_Mac!$A:$A,Output_Mac!C:C,""),
_xlpm.MyAuditVal,_xlfn.XLOOKUP($A626,My_Audit!$A:$A,My_Audit!C:C,""),
_xlfn.IFS(_xlpm.MyAuditVal&lt;&gt;"",_xlpm.MyAuditVal,_xlpm.MacVal&lt;&gt;"",_xlpm.MacVal,_xlpm.CSVVal&lt;&gt;"",_xlpm.CSVVal
)),"")</f>
        <v/>
      </c>
      <c r="E626" s="40" t="str">
        <f>_xlfn.XLOOKUP(A626,My_Audit!A:A,My_Audit!D:D,"")</f>
        <v/>
      </c>
      <c r="F626" s="40" t="str" cm="1">
        <f t="array" ref="F626">IFERROR(_xlfn.LET(
_xlpm.CSVVal,_xlfn.XLOOKUP($A626,CSV!$A:$A,CSV!F:F,""),
_xlpm.MacVal,_xlfn.XLOOKUP($A626,Output_Mac!$A:$A,Output_Mac!E:E,""),
_xlpm.MyAuditVal,_xlfn.XLOOKUP($A626,My_Audit!$A:$A,My_Audit!E:E,""),
_xlfn.IFS(_xlpm.MyAuditVal&lt;&gt;"",_xlpm.MyAuditVal,_xlpm.MacVal&lt;&gt;"",_xlpm.MacVal,_xlpm.CSVVal&lt;&gt;"",_xlpm.CSVVal
)),"")</f>
        <v/>
      </c>
      <c r="G626" s="40" t="str" cm="1">
        <f t="array" ref="G626">IFERROR(_xlfn.LET(
_xlpm.CSVVal,_xlfn.XLOOKUP($A626,CSV!$A:$A,CSV!G:G,""),
_xlpm.MacVal,_xlfn.XLOOKUP($A626,Output_Mac!$A:$A,Output_Mac!F:F,""),
_xlpm.MyAuditVal,_xlfn.XLOOKUP($A626,My_Audit!$A:$A,My_Audit!F:F,""),
_xlfn.IFS(_xlpm.MyAuditVal&lt;&gt;"",_xlpm.MyAuditVal,_xlpm.MacVal&lt;&gt;"",_xlpm.MacVal,_xlpm.CSVVal&lt;&gt;"",PROPER(_xlpm.CSVVal)
)),"")</f>
        <v/>
      </c>
      <c r="H626" s="40" t="str" cm="1">
        <f t="array" ref="H626">IFERROR(_xlfn.LET(
_xlpm.CSVVal,_xlfn.XLOOKUP($A626,CSV!$A:$A,CSV!H:H,""),
_xlpm.MacVal,_xlfn.XLOOKUP($A626,Output_Mac!$A:$A,Output_Mac!H:H,""),
_xlpm.MyAuditVal,_xlfn.XLOOKUP($A626,My_Audit!$A:$A,My_Audit!G:G,""),
_xlfn.IFS(_xlpm.MyAuditVal&lt;&gt;"",_xlpm.MyAuditVal,_xlpm.MacVal&lt;&gt;"",_xlpm.MacVal,_xlpm.CSVVal&lt;&gt;"",_xlpm.CSVVal
)),"")</f>
        <v/>
      </c>
      <c r="I626" s="40" t="str">
        <f>_xlfn.XLOOKUP(A626,Output_Mac!A:A,Output_Mac!I:I,"")</f>
        <v/>
      </c>
      <c r="J626" s="40" t="str" cm="1">
        <f t="array" ref="J626">IFERROR(_xlfn.LET(
_xlpm.CSVVal,_xlfn.XLOOKUP($A626,CSV!$A:$A,CSV!I:I,""),
_xlpm.MacVal,_xlfn.XLOOKUP($A626,Output_Mac!$A:$A,Output_Mac!J:J,""),
_xlpm.MyAuditVal,_xlfn.XLOOKUP($A626,My_Audit!$A:$A,My_Audit!I:I,""),
_xlfn.IFS(_xlpm.MyAuditVal&lt;&gt;"",UPPER(_xlpm.MyAuditVal),_xlpm.MacVal&lt;&gt;"",_xlpm.MacVal,_xlpm.CSVVal&lt;&gt;"",_xlpm.CSVVal
)),"")</f>
        <v/>
      </c>
      <c r="K626" s="40" t="str" cm="1">
        <f t="array" ref="K626">IFERROR(_xlfn.LET(
_xlpm.CSVVal,_xlfn.XLOOKUP($A626,CSV!$A:$A,CSV!K:K,""),
_xlpm.MacVal,_xlfn.XLOOKUP($A626,Output_Mac!$A:$A,Output_Mac!K:K,""),
_xlpm.MyAuditVal,_xlfn.XLOOKUP($A626,My_Audit!$A:$A,My_Audit!J:J,""),
_xlfn.IFS(_xlpm.MyAuditVal&lt;&gt;"",UPPER(_xlpm.MyAuditVal),_xlpm.MacVal&lt;&gt;"",_xlpm.MacVal,_xlpm.CSVVal&lt;&gt;"",_xlpm.CSVVal
)),"")</f>
        <v/>
      </c>
      <c r="L626" s="40" t="str" cm="1">
        <f t="array" ref="L626">IFERROR(_xlfn.LET(
_xlpm.CSVVal,_xlfn.XLOOKUP($A626,CSV!$A:$A,CSV!P:P,""),
_xlpm.MacVal,_xlfn.XLOOKUP($A626,Output_Mac!$A:$A,Output_Mac!L:L,""),
_xlpm.MyAuditVal,_xlfn.XLOOKUP($A626,My_Audit!$A:$A,My_Audit!K:K,""),
_xlfn.IFS(_xlpm.MyAuditVal&lt;&gt;"",UPPER(_xlpm.MyAuditVal),_xlpm.MacVal&lt;&gt;"",_xlpm.MacVal,_xlpm.CSVVal&lt;&gt;"",_xlpm.CSVVal
)),"")</f>
        <v/>
      </c>
      <c r="M626" s="40" t="str" cm="1">
        <f t="array" ref="M626">IFERROR(_xlfn.LET(
_xlpm.CSVVal,_xlfn.XLOOKUP($A626,CSV!$A:$A,CSV!Q:Q,""),
_xlpm.MacVal,_xlfn.XLOOKUP($A626,Output_Mac!$A:$A,Output_Mac!M:M,""),
_xlpm.MyAuditVal,_xlfn.XLOOKUP($A626,My_Audit!$A:$A,My_Audit!L:L,""),
_xlfn.IFS(_xlpm.MyAuditVal&lt;&gt;"",UPPER(_xlpm.MyAuditVal),_xlpm.MacVal&lt;&gt;"",_xlpm.MacVal,_xlpm.CSVVal&lt;&gt;"",_xlpm.CSVVal
)),"")</f>
        <v/>
      </c>
      <c r="N626" s="40"/>
      <c r="O626" s="40" t="str">
        <f>_xlfn.LET(
    _xlpm.CSVVal, _xlfn.XLOOKUP($A626, CSV!$A:$A, CSV!AA:AA, ""),
    _xlpm.MacVal, _xlfn.XLOOKUP($A626, Output_Mac!$A:$A, Output_Mac!S:S, ""),
    _xlpm.MyAuditVal, _xlfn.XLOOKUP($A626, My_Audit!$A:$A, My_Audit!P:P, ""),
    _xlfn.TEXTJOIN(", ", TRUE, _xlpm.MyAuditVal, _xlpm.MacVal, _xlpm.CSVVal)
)</f>
        <v/>
      </c>
      <c r="P626" s="40" t="str" cm="1">
        <f t="array" ref="P626">IFERROR(_xlfn.LET(
_xlpm.CSVVal,_xlfn.XLOOKUP($A626,CSV!$A:$A,CSV!AB:AB,""),
_xlpm.MacVal,_xlfn.XLOOKUP($A626,Output_Mac!$A:$A,Output_Mac!T:T,""),
_xlpm.MyAuditVal,_xlfn.XLOOKUP($A626,My_Audit!$A:$A,My_Audit!Q:Q,""),
_xlfn.IFS(_xlpm.MyAuditVal&lt;&gt;"",UPPER(_xlpm.MyAuditVal),_xlpm.MacVal&lt;&gt;"",_xlpm.MacVal,_xlpm.CSVVal&lt;&gt;"",_xlpm.CSVVal
)),"No")</f>
        <v>No</v>
      </c>
      <c r="Q626" s="40" t="str" cm="1">
        <f t="array" ref="Q626">IFERROR(_xlfn.LET(
_xlpm.CSVVal,_xlfn.XLOOKUP($A626,CSV!$A:$A,CSV!AC:AC,""),
_xlpm.MacVal,_xlfn.XLOOKUP($A626,Output_Mac!$A:$A,Output_Mac!U:U,""),
_xlpm.MyAuditVal,_xlfn.XLOOKUP($A626,My_Audit!$A:$A,My_Audit!R:R,""),
_xlfn.IFS(_xlpm.MyAuditVal&lt;&gt;"",UPPER(_xlpm.MyAuditVal),_xlpm.MacVal&lt;&gt;"",_xlpm.MacVal,_xlpm.CSVVal&lt;&gt;"",_xlpm.CSVVal
)),"")</f>
        <v/>
      </c>
      <c r="R626" s="40"/>
      <c r="S626" s="40"/>
      <c r="T626" s="40"/>
      <c r="U626" s="40"/>
      <c r="V626" s="40"/>
      <c r="W626" s="40"/>
      <c r="X626" s="41" t="str">
        <f>_xlfn.LET(
    _xlpm.MacVal, _xlfn.XLOOKUP($A626, Output_Mac!$A:$A, Output_Mac!AB:AB, ""),
    _xlpm.MyAuditVal, _xlfn.XLOOKUP($A626, My_Audit!$A:$A, My_Audit!N:N, ""),
    _xlfn.TEXTJOIN(", ", TRUE, _xlpm.MyAuditVal, _xlpm.MacVal)
)</f>
        <v/>
      </c>
    </row>
    <row r="627" spans="1:24">
      <c r="A627" s="40" t="str">
        <f>_xlfn.TEXTJOIN("",TRUE,Input!$B$2,ROW(My_Audit!A626))</f>
        <v>X626</v>
      </c>
      <c r="B627" s="40" t="str">
        <f>_xlfn.TEXTJOIN("-",TRUE,"ITD",Input!$A$2,A627)</f>
        <v>ITD-X626</v>
      </c>
      <c r="C627" s="40" t="str" cm="1">
        <f t="array" ref="C627">IFERROR(_xlfn.LET(
_xlpm.CSVVal,_xlfn.XLOOKUP($A627,CSV!$A:$A,CSV!B:B,""),
_xlpm.MacVal,_xlfn.XLOOKUP($A627,Output_Mac!$A:$A,Output_Mac!B:B,""),
_xlpm.MyAuditVal,_xlfn.XLOOKUP($A627,My_Audit!$A:$A,My_Audit!B:B,""),
_xlfn.IFS(_xlpm.MyAuditVal&lt;&gt;"",UPPER(_xlpm.MyAuditVal),_xlpm.MacVal&lt;&gt;"",_xlpm.MacVal,_xlpm.CSVVal&lt;&gt;"",_xlpm.CSVVal
)),"")</f>
        <v/>
      </c>
      <c r="D627" s="40" t="str" cm="1">
        <f t="array" ref="D627">IFERROR(_xlfn.LET(
_xlpm.CSVVal,_xlfn.XLOOKUP($A627,CSV!$A:$A,CSV!D:D,""),
_xlpm.MacVal,_xlfn.XLOOKUP($A627,Output_Mac!$A:$A,Output_Mac!C:C,""),
_xlpm.MyAuditVal,_xlfn.XLOOKUP($A627,My_Audit!$A:$A,My_Audit!C:C,""),
_xlfn.IFS(_xlpm.MyAuditVal&lt;&gt;"",_xlpm.MyAuditVal,_xlpm.MacVal&lt;&gt;"",_xlpm.MacVal,_xlpm.CSVVal&lt;&gt;"",_xlpm.CSVVal
)),"")</f>
        <v/>
      </c>
      <c r="E627" s="40" t="str">
        <f>_xlfn.XLOOKUP(A627,My_Audit!A:A,My_Audit!D:D,"")</f>
        <v/>
      </c>
      <c r="F627" s="40" t="str" cm="1">
        <f t="array" ref="F627">IFERROR(_xlfn.LET(
_xlpm.CSVVal,_xlfn.XLOOKUP($A627,CSV!$A:$A,CSV!F:F,""),
_xlpm.MacVal,_xlfn.XLOOKUP($A627,Output_Mac!$A:$A,Output_Mac!E:E,""),
_xlpm.MyAuditVal,_xlfn.XLOOKUP($A627,My_Audit!$A:$A,My_Audit!E:E,""),
_xlfn.IFS(_xlpm.MyAuditVal&lt;&gt;"",_xlpm.MyAuditVal,_xlpm.MacVal&lt;&gt;"",_xlpm.MacVal,_xlpm.CSVVal&lt;&gt;"",_xlpm.CSVVal
)),"")</f>
        <v/>
      </c>
      <c r="G627" s="40" t="str" cm="1">
        <f t="array" ref="G627">IFERROR(_xlfn.LET(
_xlpm.CSVVal,_xlfn.XLOOKUP($A627,CSV!$A:$A,CSV!G:G,""),
_xlpm.MacVal,_xlfn.XLOOKUP($A627,Output_Mac!$A:$A,Output_Mac!F:F,""),
_xlpm.MyAuditVal,_xlfn.XLOOKUP($A627,My_Audit!$A:$A,My_Audit!F:F,""),
_xlfn.IFS(_xlpm.MyAuditVal&lt;&gt;"",_xlpm.MyAuditVal,_xlpm.MacVal&lt;&gt;"",_xlpm.MacVal,_xlpm.CSVVal&lt;&gt;"",PROPER(_xlpm.CSVVal)
)),"")</f>
        <v/>
      </c>
      <c r="H627" s="40" t="str" cm="1">
        <f t="array" ref="H627">IFERROR(_xlfn.LET(
_xlpm.CSVVal,_xlfn.XLOOKUP($A627,CSV!$A:$A,CSV!H:H,""),
_xlpm.MacVal,_xlfn.XLOOKUP($A627,Output_Mac!$A:$A,Output_Mac!H:H,""),
_xlpm.MyAuditVal,_xlfn.XLOOKUP($A627,My_Audit!$A:$A,My_Audit!G:G,""),
_xlfn.IFS(_xlpm.MyAuditVal&lt;&gt;"",_xlpm.MyAuditVal,_xlpm.MacVal&lt;&gt;"",_xlpm.MacVal,_xlpm.CSVVal&lt;&gt;"",_xlpm.CSVVal
)),"")</f>
        <v/>
      </c>
      <c r="I627" s="40" t="str">
        <f>_xlfn.XLOOKUP(A627,Output_Mac!A:A,Output_Mac!I:I,"")</f>
        <v/>
      </c>
      <c r="J627" s="40" t="str" cm="1">
        <f t="array" ref="J627">IFERROR(_xlfn.LET(
_xlpm.CSVVal,_xlfn.XLOOKUP($A627,CSV!$A:$A,CSV!I:I,""),
_xlpm.MacVal,_xlfn.XLOOKUP($A627,Output_Mac!$A:$A,Output_Mac!J:J,""),
_xlpm.MyAuditVal,_xlfn.XLOOKUP($A627,My_Audit!$A:$A,My_Audit!I:I,""),
_xlfn.IFS(_xlpm.MyAuditVal&lt;&gt;"",UPPER(_xlpm.MyAuditVal),_xlpm.MacVal&lt;&gt;"",_xlpm.MacVal,_xlpm.CSVVal&lt;&gt;"",_xlpm.CSVVal
)),"")</f>
        <v/>
      </c>
      <c r="K627" s="40" t="str" cm="1">
        <f t="array" ref="K627">IFERROR(_xlfn.LET(
_xlpm.CSVVal,_xlfn.XLOOKUP($A627,CSV!$A:$A,CSV!K:K,""),
_xlpm.MacVal,_xlfn.XLOOKUP($A627,Output_Mac!$A:$A,Output_Mac!K:K,""),
_xlpm.MyAuditVal,_xlfn.XLOOKUP($A627,My_Audit!$A:$A,My_Audit!J:J,""),
_xlfn.IFS(_xlpm.MyAuditVal&lt;&gt;"",UPPER(_xlpm.MyAuditVal),_xlpm.MacVal&lt;&gt;"",_xlpm.MacVal,_xlpm.CSVVal&lt;&gt;"",_xlpm.CSVVal
)),"")</f>
        <v/>
      </c>
      <c r="L627" s="40" t="str" cm="1">
        <f t="array" ref="L627">IFERROR(_xlfn.LET(
_xlpm.CSVVal,_xlfn.XLOOKUP($A627,CSV!$A:$A,CSV!P:P,""),
_xlpm.MacVal,_xlfn.XLOOKUP($A627,Output_Mac!$A:$A,Output_Mac!L:L,""),
_xlpm.MyAuditVal,_xlfn.XLOOKUP($A627,My_Audit!$A:$A,My_Audit!K:K,""),
_xlfn.IFS(_xlpm.MyAuditVal&lt;&gt;"",UPPER(_xlpm.MyAuditVal),_xlpm.MacVal&lt;&gt;"",_xlpm.MacVal,_xlpm.CSVVal&lt;&gt;"",_xlpm.CSVVal
)),"")</f>
        <v/>
      </c>
      <c r="M627" s="40" t="str" cm="1">
        <f t="array" ref="M627">IFERROR(_xlfn.LET(
_xlpm.CSVVal,_xlfn.XLOOKUP($A627,CSV!$A:$A,CSV!Q:Q,""),
_xlpm.MacVal,_xlfn.XLOOKUP($A627,Output_Mac!$A:$A,Output_Mac!M:M,""),
_xlpm.MyAuditVal,_xlfn.XLOOKUP($A627,My_Audit!$A:$A,My_Audit!L:L,""),
_xlfn.IFS(_xlpm.MyAuditVal&lt;&gt;"",UPPER(_xlpm.MyAuditVal),_xlpm.MacVal&lt;&gt;"",_xlpm.MacVal,_xlpm.CSVVal&lt;&gt;"",_xlpm.CSVVal
)),"")</f>
        <v/>
      </c>
      <c r="N627" s="40"/>
      <c r="O627" s="40" t="str">
        <f>_xlfn.LET(
    _xlpm.CSVVal, _xlfn.XLOOKUP($A627, CSV!$A:$A, CSV!AA:AA, ""),
    _xlpm.MacVal, _xlfn.XLOOKUP($A627, Output_Mac!$A:$A, Output_Mac!S:S, ""),
    _xlpm.MyAuditVal, _xlfn.XLOOKUP($A627, My_Audit!$A:$A, My_Audit!P:P, ""),
    _xlfn.TEXTJOIN(", ", TRUE, _xlpm.MyAuditVal, _xlpm.MacVal, _xlpm.CSVVal)
)</f>
        <v/>
      </c>
      <c r="P627" s="40" t="str" cm="1">
        <f t="array" ref="P627">IFERROR(_xlfn.LET(
_xlpm.CSVVal,_xlfn.XLOOKUP($A627,CSV!$A:$A,CSV!AB:AB,""),
_xlpm.MacVal,_xlfn.XLOOKUP($A627,Output_Mac!$A:$A,Output_Mac!T:T,""),
_xlpm.MyAuditVal,_xlfn.XLOOKUP($A627,My_Audit!$A:$A,My_Audit!Q:Q,""),
_xlfn.IFS(_xlpm.MyAuditVal&lt;&gt;"",UPPER(_xlpm.MyAuditVal),_xlpm.MacVal&lt;&gt;"",_xlpm.MacVal,_xlpm.CSVVal&lt;&gt;"",_xlpm.CSVVal
)),"No")</f>
        <v>No</v>
      </c>
      <c r="Q627" s="40" t="str" cm="1">
        <f t="array" ref="Q627">IFERROR(_xlfn.LET(
_xlpm.CSVVal,_xlfn.XLOOKUP($A627,CSV!$A:$A,CSV!AC:AC,""),
_xlpm.MacVal,_xlfn.XLOOKUP($A627,Output_Mac!$A:$A,Output_Mac!U:U,""),
_xlpm.MyAuditVal,_xlfn.XLOOKUP($A627,My_Audit!$A:$A,My_Audit!R:R,""),
_xlfn.IFS(_xlpm.MyAuditVal&lt;&gt;"",UPPER(_xlpm.MyAuditVal),_xlpm.MacVal&lt;&gt;"",_xlpm.MacVal,_xlpm.CSVVal&lt;&gt;"",_xlpm.CSVVal
)),"")</f>
        <v/>
      </c>
      <c r="R627" s="40"/>
      <c r="S627" s="40"/>
      <c r="T627" s="40"/>
      <c r="U627" s="40"/>
      <c r="V627" s="40"/>
      <c r="W627" s="40"/>
      <c r="X627" s="41" t="str">
        <f>_xlfn.LET(
    _xlpm.MacVal, _xlfn.XLOOKUP($A627, Output_Mac!$A:$A, Output_Mac!AB:AB, ""),
    _xlpm.MyAuditVal, _xlfn.XLOOKUP($A627, My_Audit!$A:$A, My_Audit!N:N, ""),
    _xlfn.TEXTJOIN(", ", TRUE, _xlpm.MyAuditVal, _xlpm.MacVal)
)</f>
        <v/>
      </c>
    </row>
    <row r="628" spans="1:24">
      <c r="A628" s="40" t="str">
        <f>_xlfn.TEXTJOIN("",TRUE,Input!$B$2,ROW(My_Audit!A627))</f>
        <v>X627</v>
      </c>
      <c r="B628" s="40" t="str">
        <f>_xlfn.TEXTJOIN("-",TRUE,"ITD",Input!$A$2,A628)</f>
        <v>ITD-X627</v>
      </c>
      <c r="C628" s="40" t="str" cm="1">
        <f t="array" ref="C628">IFERROR(_xlfn.LET(
_xlpm.CSVVal,_xlfn.XLOOKUP($A628,CSV!$A:$A,CSV!B:B,""),
_xlpm.MacVal,_xlfn.XLOOKUP($A628,Output_Mac!$A:$A,Output_Mac!B:B,""),
_xlpm.MyAuditVal,_xlfn.XLOOKUP($A628,My_Audit!$A:$A,My_Audit!B:B,""),
_xlfn.IFS(_xlpm.MyAuditVal&lt;&gt;"",UPPER(_xlpm.MyAuditVal),_xlpm.MacVal&lt;&gt;"",_xlpm.MacVal,_xlpm.CSVVal&lt;&gt;"",_xlpm.CSVVal
)),"")</f>
        <v/>
      </c>
      <c r="D628" s="40" t="str" cm="1">
        <f t="array" ref="D628">IFERROR(_xlfn.LET(
_xlpm.CSVVal,_xlfn.XLOOKUP($A628,CSV!$A:$A,CSV!D:D,""),
_xlpm.MacVal,_xlfn.XLOOKUP($A628,Output_Mac!$A:$A,Output_Mac!C:C,""),
_xlpm.MyAuditVal,_xlfn.XLOOKUP($A628,My_Audit!$A:$A,My_Audit!C:C,""),
_xlfn.IFS(_xlpm.MyAuditVal&lt;&gt;"",_xlpm.MyAuditVal,_xlpm.MacVal&lt;&gt;"",_xlpm.MacVal,_xlpm.CSVVal&lt;&gt;"",_xlpm.CSVVal
)),"")</f>
        <v/>
      </c>
      <c r="E628" s="40" t="str">
        <f>_xlfn.XLOOKUP(A628,My_Audit!A:A,My_Audit!D:D,"")</f>
        <v/>
      </c>
      <c r="F628" s="40" t="str" cm="1">
        <f t="array" ref="F628">IFERROR(_xlfn.LET(
_xlpm.CSVVal,_xlfn.XLOOKUP($A628,CSV!$A:$A,CSV!F:F,""),
_xlpm.MacVal,_xlfn.XLOOKUP($A628,Output_Mac!$A:$A,Output_Mac!E:E,""),
_xlpm.MyAuditVal,_xlfn.XLOOKUP($A628,My_Audit!$A:$A,My_Audit!E:E,""),
_xlfn.IFS(_xlpm.MyAuditVal&lt;&gt;"",_xlpm.MyAuditVal,_xlpm.MacVal&lt;&gt;"",_xlpm.MacVal,_xlpm.CSVVal&lt;&gt;"",_xlpm.CSVVal
)),"")</f>
        <v/>
      </c>
      <c r="G628" s="40" t="str" cm="1">
        <f t="array" ref="G628">IFERROR(_xlfn.LET(
_xlpm.CSVVal,_xlfn.XLOOKUP($A628,CSV!$A:$A,CSV!G:G,""),
_xlpm.MacVal,_xlfn.XLOOKUP($A628,Output_Mac!$A:$A,Output_Mac!F:F,""),
_xlpm.MyAuditVal,_xlfn.XLOOKUP($A628,My_Audit!$A:$A,My_Audit!F:F,""),
_xlfn.IFS(_xlpm.MyAuditVal&lt;&gt;"",_xlpm.MyAuditVal,_xlpm.MacVal&lt;&gt;"",_xlpm.MacVal,_xlpm.CSVVal&lt;&gt;"",PROPER(_xlpm.CSVVal)
)),"")</f>
        <v/>
      </c>
      <c r="H628" s="40" t="str" cm="1">
        <f t="array" ref="H628">IFERROR(_xlfn.LET(
_xlpm.CSVVal,_xlfn.XLOOKUP($A628,CSV!$A:$A,CSV!H:H,""),
_xlpm.MacVal,_xlfn.XLOOKUP($A628,Output_Mac!$A:$A,Output_Mac!H:H,""),
_xlpm.MyAuditVal,_xlfn.XLOOKUP($A628,My_Audit!$A:$A,My_Audit!G:G,""),
_xlfn.IFS(_xlpm.MyAuditVal&lt;&gt;"",_xlpm.MyAuditVal,_xlpm.MacVal&lt;&gt;"",_xlpm.MacVal,_xlpm.CSVVal&lt;&gt;"",_xlpm.CSVVal
)),"")</f>
        <v/>
      </c>
      <c r="I628" s="40" t="str">
        <f>_xlfn.XLOOKUP(A628,Output_Mac!A:A,Output_Mac!I:I,"")</f>
        <v/>
      </c>
      <c r="J628" s="40" t="str" cm="1">
        <f t="array" ref="J628">IFERROR(_xlfn.LET(
_xlpm.CSVVal,_xlfn.XLOOKUP($A628,CSV!$A:$A,CSV!I:I,""),
_xlpm.MacVal,_xlfn.XLOOKUP($A628,Output_Mac!$A:$A,Output_Mac!J:J,""),
_xlpm.MyAuditVal,_xlfn.XLOOKUP($A628,My_Audit!$A:$A,My_Audit!I:I,""),
_xlfn.IFS(_xlpm.MyAuditVal&lt;&gt;"",UPPER(_xlpm.MyAuditVal),_xlpm.MacVal&lt;&gt;"",_xlpm.MacVal,_xlpm.CSVVal&lt;&gt;"",_xlpm.CSVVal
)),"")</f>
        <v/>
      </c>
      <c r="K628" s="40" t="str" cm="1">
        <f t="array" ref="K628">IFERROR(_xlfn.LET(
_xlpm.CSVVal,_xlfn.XLOOKUP($A628,CSV!$A:$A,CSV!K:K,""),
_xlpm.MacVal,_xlfn.XLOOKUP($A628,Output_Mac!$A:$A,Output_Mac!K:K,""),
_xlpm.MyAuditVal,_xlfn.XLOOKUP($A628,My_Audit!$A:$A,My_Audit!J:J,""),
_xlfn.IFS(_xlpm.MyAuditVal&lt;&gt;"",UPPER(_xlpm.MyAuditVal),_xlpm.MacVal&lt;&gt;"",_xlpm.MacVal,_xlpm.CSVVal&lt;&gt;"",_xlpm.CSVVal
)),"")</f>
        <v/>
      </c>
      <c r="L628" s="40" t="str" cm="1">
        <f t="array" ref="L628">IFERROR(_xlfn.LET(
_xlpm.CSVVal,_xlfn.XLOOKUP($A628,CSV!$A:$A,CSV!P:P,""),
_xlpm.MacVal,_xlfn.XLOOKUP($A628,Output_Mac!$A:$A,Output_Mac!L:L,""),
_xlpm.MyAuditVal,_xlfn.XLOOKUP($A628,My_Audit!$A:$A,My_Audit!K:K,""),
_xlfn.IFS(_xlpm.MyAuditVal&lt;&gt;"",UPPER(_xlpm.MyAuditVal),_xlpm.MacVal&lt;&gt;"",_xlpm.MacVal,_xlpm.CSVVal&lt;&gt;"",_xlpm.CSVVal
)),"")</f>
        <v/>
      </c>
      <c r="M628" s="40" t="str" cm="1">
        <f t="array" ref="M628">IFERROR(_xlfn.LET(
_xlpm.CSVVal,_xlfn.XLOOKUP($A628,CSV!$A:$A,CSV!Q:Q,""),
_xlpm.MacVal,_xlfn.XLOOKUP($A628,Output_Mac!$A:$A,Output_Mac!M:M,""),
_xlpm.MyAuditVal,_xlfn.XLOOKUP($A628,My_Audit!$A:$A,My_Audit!L:L,""),
_xlfn.IFS(_xlpm.MyAuditVal&lt;&gt;"",UPPER(_xlpm.MyAuditVal),_xlpm.MacVal&lt;&gt;"",_xlpm.MacVal,_xlpm.CSVVal&lt;&gt;"",_xlpm.CSVVal
)),"")</f>
        <v/>
      </c>
      <c r="N628" s="40"/>
      <c r="O628" s="40" t="str">
        <f>_xlfn.LET(
    _xlpm.CSVVal, _xlfn.XLOOKUP($A628, CSV!$A:$A, CSV!AA:AA, ""),
    _xlpm.MacVal, _xlfn.XLOOKUP($A628, Output_Mac!$A:$A, Output_Mac!S:S, ""),
    _xlpm.MyAuditVal, _xlfn.XLOOKUP($A628, My_Audit!$A:$A, My_Audit!P:P, ""),
    _xlfn.TEXTJOIN(", ", TRUE, _xlpm.MyAuditVal, _xlpm.MacVal, _xlpm.CSVVal)
)</f>
        <v/>
      </c>
      <c r="P628" s="40" t="str" cm="1">
        <f t="array" ref="P628">IFERROR(_xlfn.LET(
_xlpm.CSVVal,_xlfn.XLOOKUP($A628,CSV!$A:$A,CSV!AB:AB,""),
_xlpm.MacVal,_xlfn.XLOOKUP($A628,Output_Mac!$A:$A,Output_Mac!T:T,""),
_xlpm.MyAuditVal,_xlfn.XLOOKUP($A628,My_Audit!$A:$A,My_Audit!Q:Q,""),
_xlfn.IFS(_xlpm.MyAuditVal&lt;&gt;"",UPPER(_xlpm.MyAuditVal),_xlpm.MacVal&lt;&gt;"",_xlpm.MacVal,_xlpm.CSVVal&lt;&gt;"",_xlpm.CSVVal
)),"No")</f>
        <v>No</v>
      </c>
      <c r="Q628" s="40" t="str" cm="1">
        <f t="array" ref="Q628">IFERROR(_xlfn.LET(
_xlpm.CSVVal,_xlfn.XLOOKUP($A628,CSV!$A:$A,CSV!AC:AC,""),
_xlpm.MacVal,_xlfn.XLOOKUP($A628,Output_Mac!$A:$A,Output_Mac!U:U,""),
_xlpm.MyAuditVal,_xlfn.XLOOKUP($A628,My_Audit!$A:$A,My_Audit!R:R,""),
_xlfn.IFS(_xlpm.MyAuditVal&lt;&gt;"",UPPER(_xlpm.MyAuditVal),_xlpm.MacVal&lt;&gt;"",_xlpm.MacVal,_xlpm.CSVVal&lt;&gt;"",_xlpm.CSVVal
)),"")</f>
        <v/>
      </c>
      <c r="R628" s="40"/>
      <c r="S628" s="40"/>
      <c r="T628" s="40"/>
      <c r="U628" s="40"/>
      <c r="V628" s="40"/>
      <c r="W628" s="40"/>
      <c r="X628" s="41" t="str">
        <f>_xlfn.LET(
    _xlpm.MacVal, _xlfn.XLOOKUP($A628, Output_Mac!$A:$A, Output_Mac!AB:AB, ""),
    _xlpm.MyAuditVal, _xlfn.XLOOKUP($A628, My_Audit!$A:$A, My_Audit!N:N, ""),
    _xlfn.TEXTJOIN(", ", TRUE, _xlpm.MyAuditVal, _xlpm.MacVal)
)</f>
        <v/>
      </c>
    </row>
    <row r="629" spans="1:24">
      <c r="A629" s="40" t="str">
        <f>_xlfn.TEXTJOIN("",TRUE,Input!$B$2,ROW(My_Audit!A628))</f>
        <v>X628</v>
      </c>
      <c r="B629" s="40" t="str">
        <f>_xlfn.TEXTJOIN("-",TRUE,"ITD",Input!$A$2,A629)</f>
        <v>ITD-X628</v>
      </c>
      <c r="C629" s="40" t="str" cm="1">
        <f t="array" ref="C629">IFERROR(_xlfn.LET(
_xlpm.CSVVal,_xlfn.XLOOKUP($A629,CSV!$A:$A,CSV!B:B,""),
_xlpm.MacVal,_xlfn.XLOOKUP($A629,Output_Mac!$A:$A,Output_Mac!B:B,""),
_xlpm.MyAuditVal,_xlfn.XLOOKUP($A629,My_Audit!$A:$A,My_Audit!B:B,""),
_xlfn.IFS(_xlpm.MyAuditVal&lt;&gt;"",UPPER(_xlpm.MyAuditVal),_xlpm.MacVal&lt;&gt;"",_xlpm.MacVal,_xlpm.CSVVal&lt;&gt;"",_xlpm.CSVVal
)),"")</f>
        <v/>
      </c>
      <c r="D629" s="40" t="str" cm="1">
        <f t="array" ref="D629">IFERROR(_xlfn.LET(
_xlpm.CSVVal,_xlfn.XLOOKUP($A629,CSV!$A:$A,CSV!D:D,""),
_xlpm.MacVal,_xlfn.XLOOKUP($A629,Output_Mac!$A:$A,Output_Mac!C:C,""),
_xlpm.MyAuditVal,_xlfn.XLOOKUP($A629,My_Audit!$A:$A,My_Audit!C:C,""),
_xlfn.IFS(_xlpm.MyAuditVal&lt;&gt;"",_xlpm.MyAuditVal,_xlpm.MacVal&lt;&gt;"",_xlpm.MacVal,_xlpm.CSVVal&lt;&gt;"",_xlpm.CSVVal
)),"")</f>
        <v/>
      </c>
      <c r="E629" s="40" t="str">
        <f>_xlfn.XLOOKUP(A629,My_Audit!A:A,My_Audit!D:D,"")</f>
        <v/>
      </c>
      <c r="F629" s="40" t="str" cm="1">
        <f t="array" ref="F629">IFERROR(_xlfn.LET(
_xlpm.CSVVal,_xlfn.XLOOKUP($A629,CSV!$A:$A,CSV!F:F,""),
_xlpm.MacVal,_xlfn.XLOOKUP($A629,Output_Mac!$A:$A,Output_Mac!E:E,""),
_xlpm.MyAuditVal,_xlfn.XLOOKUP($A629,My_Audit!$A:$A,My_Audit!E:E,""),
_xlfn.IFS(_xlpm.MyAuditVal&lt;&gt;"",_xlpm.MyAuditVal,_xlpm.MacVal&lt;&gt;"",_xlpm.MacVal,_xlpm.CSVVal&lt;&gt;"",_xlpm.CSVVal
)),"")</f>
        <v/>
      </c>
      <c r="G629" s="40" t="str" cm="1">
        <f t="array" ref="G629">IFERROR(_xlfn.LET(
_xlpm.CSVVal,_xlfn.XLOOKUP($A629,CSV!$A:$A,CSV!G:G,""),
_xlpm.MacVal,_xlfn.XLOOKUP($A629,Output_Mac!$A:$A,Output_Mac!F:F,""),
_xlpm.MyAuditVal,_xlfn.XLOOKUP($A629,My_Audit!$A:$A,My_Audit!F:F,""),
_xlfn.IFS(_xlpm.MyAuditVal&lt;&gt;"",_xlpm.MyAuditVal,_xlpm.MacVal&lt;&gt;"",_xlpm.MacVal,_xlpm.CSVVal&lt;&gt;"",PROPER(_xlpm.CSVVal)
)),"")</f>
        <v/>
      </c>
      <c r="H629" s="40" t="str" cm="1">
        <f t="array" ref="H629">IFERROR(_xlfn.LET(
_xlpm.CSVVal,_xlfn.XLOOKUP($A629,CSV!$A:$A,CSV!H:H,""),
_xlpm.MacVal,_xlfn.XLOOKUP($A629,Output_Mac!$A:$A,Output_Mac!H:H,""),
_xlpm.MyAuditVal,_xlfn.XLOOKUP($A629,My_Audit!$A:$A,My_Audit!G:G,""),
_xlfn.IFS(_xlpm.MyAuditVal&lt;&gt;"",_xlpm.MyAuditVal,_xlpm.MacVal&lt;&gt;"",_xlpm.MacVal,_xlpm.CSVVal&lt;&gt;"",_xlpm.CSVVal
)),"")</f>
        <v/>
      </c>
      <c r="I629" s="40" t="str">
        <f>_xlfn.XLOOKUP(A629,Output_Mac!A:A,Output_Mac!I:I,"")</f>
        <v/>
      </c>
      <c r="J629" s="40" t="str" cm="1">
        <f t="array" ref="J629">IFERROR(_xlfn.LET(
_xlpm.CSVVal,_xlfn.XLOOKUP($A629,CSV!$A:$A,CSV!I:I,""),
_xlpm.MacVal,_xlfn.XLOOKUP($A629,Output_Mac!$A:$A,Output_Mac!J:J,""),
_xlpm.MyAuditVal,_xlfn.XLOOKUP($A629,My_Audit!$A:$A,My_Audit!I:I,""),
_xlfn.IFS(_xlpm.MyAuditVal&lt;&gt;"",UPPER(_xlpm.MyAuditVal),_xlpm.MacVal&lt;&gt;"",_xlpm.MacVal,_xlpm.CSVVal&lt;&gt;"",_xlpm.CSVVal
)),"")</f>
        <v/>
      </c>
      <c r="K629" s="40" t="str" cm="1">
        <f t="array" ref="K629">IFERROR(_xlfn.LET(
_xlpm.CSVVal,_xlfn.XLOOKUP($A629,CSV!$A:$A,CSV!K:K,""),
_xlpm.MacVal,_xlfn.XLOOKUP($A629,Output_Mac!$A:$A,Output_Mac!K:K,""),
_xlpm.MyAuditVal,_xlfn.XLOOKUP($A629,My_Audit!$A:$A,My_Audit!J:J,""),
_xlfn.IFS(_xlpm.MyAuditVal&lt;&gt;"",UPPER(_xlpm.MyAuditVal),_xlpm.MacVal&lt;&gt;"",_xlpm.MacVal,_xlpm.CSVVal&lt;&gt;"",_xlpm.CSVVal
)),"")</f>
        <v/>
      </c>
      <c r="L629" s="40" t="str" cm="1">
        <f t="array" ref="L629">IFERROR(_xlfn.LET(
_xlpm.CSVVal,_xlfn.XLOOKUP($A629,CSV!$A:$A,CSV!P:P,""),
_xlpm.MacVal,_xlfn.XLOOKUP($A629,Output_Mac!$A:$A,Output_Mac!L:L,""),
_xlpm.MyAuditVal,_xlfn.XLOOKUP($A629,My_Audit!$A:$A,My_Audit!K:K,""),
_xlfn.IFS(_xlpm.MyAuditVal&lt;&gt;"",UPPER(_xlpm.MyAuditVal),_xlpm.MacVal&lt;&gt;"",_xlpm.MacVal,_xlpm.CSVVal&lt;&gt;"",_xlpm.CSVVal
)),"")</f>
        <v/>
      </c>
      <c r="M629" s="40" t="str" cm="1">
        <f t="array" ref="M629">IFERROR(_xlfn.LET(
_xlpm.CSVVal,_xlfn.XLOOKUP($A629,CSV!$A:$A,CSV!Q:Q,""),
_xlpm.MacVal,_xlfn.XLOOKUP($A629,Output_Mac!$A:$A,Output_Mac!M:M,""),
_xlpm.MyAuditVal,_xlfn.XLOOKUP($A629,My_Audit!$A:$A,My_Audit!L:L,""),
_xlfn.IFS(_xlpm.MyAuditVal&lt;&gt;"",UPPER(_xlpm.MyAuditVal),_xlpm.MacVal&lt;&gt;"",_xlpm.MacVal,_xlpm.CSVVal&lt;&gt;"",_xlpm.CSVVal
)),"")</f>
        <v/>
      </c>
      <c r="N629" s="40"/>
      <c r="O629" s="40" t="str">
        <f>_xlfn.LET(
    _xlpm.CSVVal, _xlfn.XLOOKUP($A629, CSV!$A:$A, CSV!AA:AA, ""),
    _xlpm.MacVal, _xlfn.XLOOKUP($A629, Output_Mac!$A:$A, Output_Mac!S:S, ""),
    _xlpm.MyAuditVal, _xlfn.XLOOKUP($A629, My_Audit!$A:$A, My_Audit!P:P, ""),
    _xlfn.TEXTJOIN(", ", TRUE, _xlpm.MyAuditVal, _xlpm.MacVal, _xlpm.CSVVal)
)</f>
        <v/>
      </c>
      <c r="P629" s="40" t="str" cm="1">
        <f t="array" ref="P629">IFERROR(_xlfn.LET(
_xlpm.CSVVal,_xlfn.XLOOKUP($A629,CSV!$A:$A,CSV!AB:AB,""),
_xlpm.MacVal,_xlfn.XLOOKUP($A629,Output_Mac!$A:$A,Output_Mac!T:T,""),
_xlpm.MyAuditVal,_xlfn.XLOOKUP($A629,My_Audit!$A:$A,My_Audit!Q:Q,""),
_xlfn.IFS(_xlpm.MyAuditVal&lt;&gt;"",UPPER(_xlpm.MyAuditVal),_xlpm.MacVal&lt;&gt;"",_xlpm.MacVal,_xlpm.CSVVal&lt;&gt;"",_xlpm.CSVVal
)),"No")</f>
        <v>No</v>
      </c>
      <c r="Q629" s="40" t="str" cm="1">
        <f t="array" ref="Q629">IFERROR(_xlfn.LET(
_xlpm.CSVVal,_xlfn.XLOOKUP($A629,CSV!$A:$A,CSV!AC:AC,""),
_xlpm.MacVal,_xlfn.XLOOKUP($A629,Output_Mac!$A:$A,Output_Mac!U:U,""),
_xlpm.MyAuditVal,_xlfn.XLOOKUP($A629,My_Audit!$A:$A,My_Audit!R:R,""),
_xlfn.IFS(_xlpm.MyAuditVal&lt;&gt;"",UPPER(_xlpm.MyAuditVal),_xlpm.MacVal&lt;&gt;"",_xlpm.MacVal,_xlpm.CSVVal&lt;&gt;"",_xlpm.CSVVal
)),"")</f>
        <v/>
      </c>
      <c r="R629" s="40"/>
      <c r="S629" s="40"/>
      <c r="T629" s="40"/>
      <c r="U629" s="40"/>
      <c r="V629" s="40"/>
      <c r="W629" s="40"/>
      <c r="X629" s="41" t="str">
        <f>_xlfn.LET(
    _xlpm.MacVal, _xlfn.XLOOKUP($A629, Output_Mac!$A:$A, Output_Mac!AB:AB, ""),
    _xlpm.MyAuditVal, _xlfn.XLOOKUP($A629, My_Audit!$A:$A, My_Audit!N:N, ""),
    _xlfn.TEXTJOIN(", ", TRUE, _xlpm.MyAuditVal, _xlpm.MacVal)
)</f>
        <v/>
      </c>
    </row>
    <row r="630" spans="1:24">
      <c r="A630" s="40" t="str">
        <f>_xlfn.TEXTJOIN("",TRUE,Input!$B$2,ROW(My_Audit!A629))</f>
        <v>X629</v>
      </c>
      <c r="B630" s="40" t="str">
        <f>_xlfn.TEXTJOIN("-",TRUE,"ITD",Input!$A$2,A630)</f>
        <v>ITD-X629</v>
      </c>
      <c r="C630" s="40" t="str" cm="1">
        <f t="array" ref="C630">IFERROR(_xlfn.LET(
_xlpm.CSVVal,_xlfn.XLOOKUP($A630,CSV!$A:$A,CSV!B:B,""),
_xlpm.MacVal,_xlfn.XLOOKUP($A630,Output_Mac!$A:$A,Output_Mac!B:B,""),
_xlpm.MyAuditVal,_xlfn.XLOOKUP($A630,My_Audit!$A:$A,My_Audit!B:B,""),
_xlfn.IFS(_xlpm.MyAuditVal&lt;&gt;"",UPPER(_xlpm.MyAuditVal),_xlpm.MacVal&lt;&gt;"",_xlpm.MacVal,_xlpm.CSVVal&lt;&gt;"",_xlpm.CSVVal
)),"")</f>
        <v/>
      </c>
      <c r="D630" s="40" t="str" cm="1">
        <f t="array" ref="D630">IFERROR(_xlfn.LET(
_xlpm.CSVVal,_xlfn.XLOOKUP($A630,CSV!$A:$A,CSV!D:D,""),
_xlpm.MacVal,_xlfn.XLOOKUP($A630,Output_Mac!$A:$A,Output_Mac!C:C,""),
_xlpm.MyAuditVal,_xlfn.XLOOKUP($A630,My_Audit!$A:$A,My_Audit!C:C,""),
_xlfn.IFS(_xlpm.MyAuditVal&lt;&gt;"",_xlpm.MyAuditVal,_xlpm.MacVal&lt;&gt;"",_xlpm.MacVal,_xlpm.CSVVal&lt;&gt;"",_xlpm.CSVVal
)),"")</f>
        <v/>
      </c>
      <c r="E630" s="40" t="str">
        <f>_xlfn.XLOOKUP(A630,My_Audit!A:A,My_Audit!D:D,"")</f>
        <v/>
      </c>
      <c r="F630" s="40" t="str" cm="1">
        <f t="array" ref="F630">IFERROR(_xlfn.LET(
_xlpm.CSVVal,_xlfn.XLOOKUP($A630,CSV!$A:$A,CSV!F:F,""),
_xlpm.MacVal,_xlfn.XLOOKUP($A630,Output_Mac!$A:$A,Output_Mac!E:E,""),
_xlpm.MyAuditVal,_xlfn.XLOOKUP($A630,My_Audit!$A:$A,My_Audit!E:E,""),
_xlfn.IFS(_xlpm.MyAuditVal&lt;&gt;"",_xlpm.MyAuditVal,_xlpm.MacVal&lt;&gt;"",_xlpm.MacVal,_xlpm.CSVVal&lt;&gt;"",_xlpm.CSVVal
)),"")</f>
        <v/>
      </c>
      <c r="G630" s="40" t="str" cm="1">
        <f t="array" ref="G630">IFERROR(_xlfn.LET(
_xlpm.CSVVal,_xlfn.XLOOKUP($A630,CSV!$A:$A,CSV!G:G,""),
_xlpm.MacVal,_xlfn.XLOOKUP($A630,Output_Mac!$A:$A,Output_Mac!F:F,""),
_xlpm.MyAuditVal,_xlfn.XLOOKUP($A630,My_Audit!$A:$A,My_Audit!F:F,""),
_xlfn.IFS(_xlpm.MyAuditVal&lt;&gt;"",_xlpm.MyAuditVal,_xlpm.MacVal&lt;&gt;"",_xlpm.MacVal,_xlpm.CSVVal&lt;&gt;"",PROPER(_xlpm.CSVVal)
)),"")</f>
        <v/>
      </c>
      <c r="H630" s="40" t="str" cm="1">
        <f t="array" ref="H630">IFERROR(_xlfn.LET(
_xlpm.CSVVal,_xlfn.XLOOKUP($A630,CSV!$A:$A,CSV!H:H,""),
_xlpm.MacVal,_xlfn.XLOOKUP($A630,Output_Mac!$A:$A,Output_Mac!H:H,""),
_xlpm.MyAuditVal,_xlfn.XLOOKUP($A630,My_Audit!$A:$A,My_Audit!G:G,""),
_xlfn.IFS(_xlpm.MyAuditVal&lt;&gt;"",_xlpm.MyAuditVal,_xlpm.MacVal&lt;&gt;"",_xlpm.MacVal,_xlpm.CSVVal&lt;&gt;"",_xlpm.CSVVal
)),"")</f>
        <v/>
      </c>
      <c r="I630" s="40" t="str">
        <f>_xlfn.XLOOKUP(A630,Output_Mac!A:A,Output_Mac!I:I,"")</f>
        <v/>
      </c>
      <c r="J630" s="40" t="str" cm="1">
        <f t="array" ref="J630">IFERROR(_xlfn.LET(
_xlpm.CSVVal,_xlfn.XLOOKUP($A630,CSV!$A:$A,CSV!I:I,""),
_xlpm.MacVal,_xlfn.XLOOKUP($A630,Output_Mac!$A:$A,Output_Mac!J:J,""),
_xlpm.MyAuditVal,_xlfn.XLOOKUP($A630,My_Audit!$A:$A,My_Audit!I:I,""),
_xlfn.IFS(_xlpm.MyAuditVal&lt;&gt;"",UPPER(_xlpm.MyAuditVal),_xlpm.MacVal&lt;&gt;"",_xlpm.MacVal,_xlpm.CSVVal&lt;&gt;"",_xlpm.CSVVal
)),"")</f>
        <v/>
      </c>
      <c r="K630" s="40" t="str" cm="1">
        <f t="array" ref="K630">IFERROR(_xlfn.LET(
_xlpm.CSVVal,_xlfn.XLOOKUP($A630,CSV!$A:$A,CSV!K:K,""),
_xlpm.MacVal,_xlfn.XLOOKUP($A630,Output_Mac!$A:$A,Output_Mac!K:K,""),
_xlpm.MyAuditVal,_xlfn.XLOOKUP($A630,My_Audit!$A:$A,My_Audit!J:J,""),
_xlfn.IFS(_xlpm.MyAuditVal&lt;&gt;"",UPPER(_xlpm.MyAuditVal),_xlpm.MacVal&lt;&gt;"",_xlpm.MacVal,_xlpm.CSVVal&lt;&gt;"",_xlpm.CSVVal
)),"")</f>
        <v/>
      </c>
      <c r="L630" s="40" t="str" cm="1">
        <f t="array" ref="L630">IFERROR(_xlfn.LET(
_xlpm.CSVVal,_xlfn.XLOOKUP($A630,CSV!$A:$A,CSV!P:P,""),
_xlpm.MacVal,_xlfn.XLOOKUP($A630,Output_Mac!$A:$A,Output_Mac!L:L,""),
_xlpm.MyAuditVal,_xlfn.XLOOKUP($A630,My_Audit!$A:$A,My_Audit!K:K,""),
_xlfn.IFS(_xlpm.MyAuditVal&lt;&gt;"",UPPER(_xlpm.MyAuditVal),_xlpm.MacVal&lt;&gt;"",_xlpm.MacVal,_xlpm.CSVVal&lt;&gt;"",_xlpm.CSVVal
)),"")</f>
        <v/>
      </c>
      <c r="M630" s="40" t="str" cm="1">
        <f t="array" ref="M630">IFERROR(_xlfn.LET(
_xlpm.CSVVal,_xlfn.XLOOKUP($A630,CSV!$A:$A,CSV!Q:Q,""),
_xlpm.MacVal,_xlfn.XLOOKUP($A630,Output_Mac!$A:$A,Output_Mac!M:M,""),
_xlpm.MyAuditVal,_xlfn.XLOOKUP($A630,My_Audit!$A:$A,My_Audit!L:L,""),
_xlfn.IFS(_xlpm.MyAuditVal&lt;&gt;"",UPPER(_xlpm.MyAuditVal),_xlpm.MacVal&lt;&gt;"",_xlpm.MacVal,_xlpm.CSVVal&lt;&gt;"",_xlpm.CSVVal
)),"")</f>
        <v/>
      </c>
      <c r="N630" s="40"/>
      <c r="O630" s="40" t="str">
        <f>_xlfn.LET(
    _xlpm.CSVVal, _xlfn.XLOOKUP($A630, CSV!$A:$A, CSV!AA:AA, ""),
    _xlpm.MacVal, _xlfn.XLOOKUP($A630, Output_Mac!$A:$A, Output_Mac!S:S, ""),
    _xlpm.MyAuditVal, _xlfn.XLOOKUP($A630, My_Audit!$A:$A, My_Audit!P:P, ""),
    _xlfn.TEXTJOIN(", ", TRUE, _xlpm.MyAuditVal, _xlpm.MacVal, _xlpm.CSVVal)
)</f>
        <v/>
      </c>
      <c r="P630" s="40" t="str" cm="1">
        <f t="array" ref="P630">IFERROR(_xlfn.LET(
_xlpm.CSVVal,_xlfn.XLOOKUP($A630,CSV!$A:$A,CSV!AB:AB,""),
_xlpm.MacVal,_xlfn.XLOOKUP($A630,Output_Mac!$A:$A,Output_Mac!T:T,""),
_xlpm.MyAuditVal,_xlfn.XLOOKUP($A630,My_Audit!$A:$A,My_Audit!Q:Q,""),
_xlfn.IFS(_xlpm.MyAuditVal&lt;&gt;"",UPPER(_xlpm.MyAuditVal),_xlpm.MacVal&lt;&gt;"",_xlpm.MacVal,_xlpm.CSVVal&lt;&gt;"",_xlpm.CSVVal
)),"No")</f>
        <v>No</v>
      </c>
      <c r="Q630" s="40" t="str" cm="1">
        <f t="array" ref="Q630">IFERROR(_xlfn.LET(
_xlpm.CSVVal,_xlfn.XLOOKUP($A630,CSV!$A:$A,CSV!AC:AC,""),
_xlpm.MacVal,_xlfn.XLOOKUP($A630,Output_Mac!$A:$A,Output_Mac!U:U,""),
_xlpm.MyAuditVal,_xlfn.XLOOKUP($A630,My_Audit!$A:$A,My_Audit!R:R,""),
_xlfn.IFS(_xlpm.MyAuditVal&lt;&gt;"",UPPER(_xlpm.MyAuditVal),_xlpm.MacVal&lt;&gt;"",_xlpm.MacVal,_xlpm.CSVVal&lt;&gt;"",_xlpm.CSVVal
)),"")</f>
        <v/>
      </c>
      <c r="R630" s="40"/>
      <c r="S630" s="40"/>
      <c r="T630" s="40"/>
      <c r="U630" s="40"/>
      <c r="V630" s="40"/>
      <c r="W630" s="40"/>
      <c r="X630" s="41" t="str">
        <f>_xlfn.LET(
    _xlpm.MacVal, _xlfn.XLOOKUP($A630, Output_Mac!$A:$A, Output_Mac!AB:AB, ""),
    _xlpm.MyAuditVal, _xlfn.XLOOKUP($A630, My_Audit!$A:$A, My_Audit!N:N, ""),
    _xlfn.TEXTJOIN(", ", TRUE, _xlpm.MyAuditVal, _xlpm.MacVal)
)</f>
        <v/>
      </c>
    </row>
    <row r="631" spans="1:24">
      <c r="A631" s="40" t="str">
        <f>_xlfn.TEXTJOIN("",TRUE,Input!$B$2,ROW(My_Audit!A630))</f>
        <v>X630</v>
      </c>
      <c r="B631" s="40" t="str">
        <f>_xlfn.TEXTJOIN("-",TRUE,"ITD",Input!$A$2,A631)</f>
        <v>ITD-X630</v>
      </c>
      <c r="C631" s="40" t="str" cm="1">
        <f t="array" ref="C631">IFERROR(_xlfn.LET(
_xlpm.CSVVal,_xlfn.XLOOKUP($A631,CSV!$A:$A,CSV!B:B,""),
_xlpm.MacVal,_xlfn.XLOOKUP($A631,Output_Mac!$A:$A,Output_Mac!B:B,""),
_xlpm.MyAuditVal,_xlfn.XLOOKUP($A631,My_Audit!$A:$A,My_Audit!B:B,""),
_xlfn.IFS(_xlpm.MyAuditVal&lt;&gt;"",UPPER(_xlpm.MyAuditVal),_xlpm.MacVal&lt;&gt;"",_xlpm.MacVal,_xlpm.CSVVal&lt;&gt;"",_xlpm.CSVVal
)),"")</f>
        <v/>
      </c>
      <c r="D631" s="40" t="str" cm="1">
        <f t="array" ref="D631">IFERROR(_xlfn.LET(
_xlpm.CSVVal,_xlfn.XLOOKUP($A631,CSV!$A:$A,CSV!D:D,""),
_xlpm.MacVal,_xlfn.XLOOKUP($A631,Output_Mac!$A:$A,Output_Mac!C:C,""),
_xlpm.MyAuditVal,_xlfn.XLOOKUP($A631,My_Audit!$A:$A,My_Audit!C:C,""),
_xlfn.IFS(_xlpm.MyAuditVal&lt;&gt;"",_xlpm.MyAuditVal,_xlpm.MacVal&lt;&gt;"",_xlpm.MacVal,_xlpm.CSVVal&lt;&gt;"",_xlpm.CSVVal
)),"")</f>
        <v/>
      </c>
      <c r="E631" s="40" t="str">
        <f>_xlfn.XLOOKUP(A631,My_Audit!A:A,My_Audit!D:D,"")</f>
        <v/>
      </c>
      <c r="F631" s="40" t="str" cm="1">
        <f t="array" ref="F631">IFERROR(_xlfn.LET(
_xlpm.CSVVal,_xlfn.XLOOKUP($A631,CSV!$A:$A,CSV!F:F,""),
_xlpm.MacVal,_xlfn.XLOOKUP($A631,Output_Mac!$A:$A,Output_Mac!E:E,""),
_xlpm.MyAuditVal,_xlfn.XLOOKUP($A631,My_Audit!$A:$A,My_Audit!E:E,""),
_xlfn.IFS(_xlpm.MyAuditVal&lt;&gt;"",_xlpm.MyAuditVal,_xlpm.MacVal&lt;&gt;"",_xlpm.MacVal,_xlpm.CSVVal&lt;&gt;"",_xlpm.CSVVal
)),"")</f>
        <v/>
      </c>
      <c r="G631" s="40" t="str" cm="1">
        <f t="array" ref="G631">IFERROR(_xlfn.LET(
_xlpm.CSVVal,_xlfn.XLOOKUP($A631,CSV!$A:$A,CSV!G:G,""),
_xlpm.MacVal,_xlfn.XLOOKUP($A631,Output_Mac!$A:$A,Output_Mac!F:F,""),
_xlpm.MyAuditVal,_xlfn.XLOOKUP($A631,My_Audit!$A:$A,My_Audit!F:F,""),
_xlfn.IFS(_xlpm.MyAuditVal&lt;&gt;"",_xlpm.MyAuditVal,_xlpm.MacVal&lt;&gt;"",_xlpm.MacVal,_xlpm.CSVVal&lt;&gt;"",PROPER(_xlpm.CSVVal)
)),"")</f>
        <v/>
      </c>
      <c r="H631" s="40" t="str" cm="1">
        <f t="array" ref="H631">IFERROR(_xlfn.LET(
_xlpm.CSVVal,_xlfn.XLOOKUP($A631,CSV!$A:$A,CSV!H:H,""),
_xlpm.MacVal,_xlfn.XLOOKUP($A631,Output_Mac!$A:$A,Output_Mac!H:H,""),
_xlpm.MyAuditVal,_xlfn.XLOOKUP($A631,My_Audit!$A:$A,My_Audit!G:G,""),
_xlfn.IFS(_xlpm.MyAuditVal&lt;&gt;"",_xlpm.MyAuditVal,_xlpm.MacVal&lt;&gt;"",_xlpm.MacVal,_xlpm.CSVVal&lt;&gt;"",_xlpm.CSVVal
)),"")</f>
        <v/>
      </c>
      <c r="I631" s="40" t="str">
        <f>_xlfn.XLOOKUP(A631,Output_Mac!A:A,Output_Mac!I:I,"")</f>
        <v/>
      </c>
      <c r="J631" s="40" t="str" cm="1">
        <f t="array" ref="J631">IFERROR(_xlfn.LET(
_xlpm.CSVVal,_xlfn.XLOOKUP($A631,CSV!$A:$A,CSV!I:I,""),
_xlpm.MacVal,_xlfn.XLOOKUP($A631,Output_Mac!$A:$A,Output_Mac!J:J,""),
_xlpm.MyAuditVal,_xlfn.XLOOKUP($A631,My_Audit!$A:$A,My_Audit!I:I,""),
_xlfn.IFS(_xlpm.MyAuditVal&lt;&gt;"",UPPER(_xlpm.MyAuditVal),_xlpm.MacVal&lt;&gt;"",_xlpm.MacVal,_xlpm.CSVVal&lt;&gt;"",_xlpm.CSVVal
)),"")</f>
        <v/>
      </c>
      <c r="K631" s="40" t="str" cm="1">
        <f t="array" ref="K631">IFERROR(_xlfn.LET(
_xlpm.CSVVal,_xlfn.XLOOKUP($A631,CSV!$A:$A,CSV!K:K,""),
_xlpm.MacVal,_xlfn.XLOOKUP($A631,Output_Mac!$A:$A,Output_Mac!K:K,""),
_xlpm.MyAuditVal,_xlfn.XLOOKUP($A631,My_Audit!$A:$A,My_Audit!J:J,""),
_xlfn.IFS(_xlpm.MyAuditVal&lt;&gt;"",UPPER(_xlpm.MyAuditVal),_xlpm.MacVal&lt;&gt;"",_xlpm.MacVal,_xlpm.CSVVal&lt;&gt;"",_xlpm.CSVVal
)),"")</f>
        <v/>
      </c>
      <c r="L631" s="40" t="str" cm="1">
        <f t="array" ref="L631">IFERROR(_xlfn.LET(
_xlpm.CSVVal,_xlfn.XLOOKUP($A631,CSV!$A:$A,CSV!P:P,""),
_xlpm.MacVal,_xlfn.XLOOKUP($A631,Output_Mac!$A:$A,Output_Mac!L:L,""),
_xlpm.MyAuditVal,_xlfn.XLOOKUP($A631,My_Audit!$A:$A,My_Audit!K:K,""),
_xlfn.IFS(_xlpm.MyAuditVal&lt;&gt;"",UPPER(_xlpm.MyAuditVal),_xlpm.MacVal&lt;&gt;"",_xlpm.MacVal,_xlpm.CSVVal&lt;&gt;"",_xlpm.CSVVal
)),"")</f>
        <v/>
      </c>
      <c r="M631" s="40" t="str" cm="1">
        <f t="array" ref="M631">IFERROR(_xlfn.LET(
_xlpm.CSVVal,_xlfn.XLOOKUP($A631,CSV!$A:$A,CSV!Q:Q,""),
_xlpm.MacVal,_xlfn.XLOOKUP($A631,Output_Mac!$A:$A,Output_Mac!M:M,""),
_xlpm.MyAuditVal,_xlfn.XLOOKUP($A631,My_Audit!$A:$A,My_Audit!L:L,""),
_xlfn.IFS(_xlpm.MyAuditVal&lt;&gt;"",UPPER(_xlpm.MyAuditVal),_xlpm.MacVal&lt;&gt;"",_xlpm.MacVal,_xlpm.CSVVal&lt;&gt;"",_xlpm.CSVVal
)),"")</f>
        <v/>
      </c>
      <c r="N631" s="40"/>
      <c r="O631" s="40" t="str">
        <f>_xlfn.LET(
    _xlpm.CSVVal, _xlfn.XLOOKUP($A631, CSV!$A:$A, CSV!AA:AA, ""),
    _xlpm.MacVal, _xlfn.XLOOKUP($A631, Output_Mac!$A:$A, Output_Mac!S:S, ""),
    _xlpm.MyAuditVal, _xlfn.XLOOKUP($A631, My_Audit!$A:$A, My_Audit!P:P, ""),
    _xlfn.TEXTJOIN(", ", TRUE, _xlpm.MyAuditVal, _xlpm.MacVal, _xlpm.CSVVal)
)</f>
        <v/>
      </c>
      <c r="P631" s="40" t="str" cm="1">
        <f t="array" ref="P631">IFERROR(_xlfn.LET(
_xlpm.CSVVal,_xlfn.XLOOKUP($A631,CSV!$A:$A,CSV!AB:AB,""),
_xlpm.MacVal,_xlfn.XLOOKUP($A631,Output_Mac!$A:$A,Output_Mac!T:T,""),
_xlpm.MyAuditVal,_xlfn.XLOOKUP($A631,My_Audit!$A:$A,My_Audit!Q:Q,""),
_xlfn.IFS(_xlpm.MyAuditVal&lt;&gt;"",UPPER(_xlpm.MyAuditVal),_xlpm.MacVal&lt;&gt;"",_xlpm.MacVal,_xlpm.CSVVal&lt;&gt;"",_xlpm.CSVVal
)),"No")</f>
        <v>No</v>
      </c>
      <c r="Q631" s="40" t="str" cm="1">
        <f t="array" ref="Q631">IFERROR(_xlfn.LET(
_xlpm.CSVVal,_xlfn.XLOOKUP($A631,CSV!$A:$A,CSV!AC:AC,""),
_xlpm.MacVal,_xlfn.XLOOKUP($A631,Output_Mac!$A:$A,Output_Mac!U:U,""),
_xlpm.MyAuditVal,_xlfn.XLOOKUP($A631,My_Audit!$A:$A,My_Audit!R:R,""),
_xlfn.IFS(_xlpm.MyAuditVal&lt;&gt;"",UPPER(_xlpm.MyAuditVal),_xlpm.MacVal&lt;&gt;"",_xlpm.MacVal,_xlpm.CSVVal&lt;&gt;"",_xlpm.CSVVal
)),"")</f>
        <v/>
      </c>
      <c r="R631" s="40"/>
      <c r="S631" s="40"/>
      <c r="T631" s="40"/>
      <c r="U631" s="40"/>
      <c r="V631" s="40"/>
      <c r="W631" s="40"/>
      <c r="X631" s="41" t="str">
        <f>_xlfn.LET(
    _xlpm.MacVal, _xlfn.XLOOKUP($A631, Output_Mac!$A:$A, Output_Mac!AB:AB, ""),
    _xlpm.MyAuditVal, _xlfn.XLOOKUP($A631, My_Audit!$A:$A, My_Audit!N:N, ""),
    _xlfn.TEXTJOIN(", ", TRUE, _xlpm.MyAuditVal, _xlpm.MacVal)
)</f>
        <v/>
      </c>
    </row>
    <row r="632" spans="1:24">
      <c r="A632" s="40" t="str">
        <f>_xlfn.TEXTJOIN("",TRUE,Input!$B$2,ROW(My_Audit!A631))</f>
        <v>X631</v>
      </c>
      <c r="B632" s="40" t="str">
        <f>_xlfn.TEXTJOIN("-",TRUE,"ITD",Input!$A$2,A632)</f>
        <v>ITD-X631</v>
      </c>
      <c r="C632" s="40" t="str" cm="1">
        <f t="array" ref="C632">IFERROR(_xlfn.LET(
_xlpm.CSVVal,_xlfn.XLOOKUP($A632,CSV!$A:$A,CSV!B:B,""),
_xlpm.MacVal,_xlfn.XLOOKUP($A632,Output_Mac!$A:$A,Output_Mac!B:B,""),
_xlpm.MyAuditVal,_xlfn.XLOOKUP($A632,My_Audit!$A:$A,My_Audit!B:B,""),
_xlfn.IFS(_xlpm.MyAuditVal&lt;&gt;"",UPPER(_xlpm.MyAuditVal),_xlpm.MacVal&lt;&gt;"",_xlpm.MacVal,_xlpm.CSVVal&lt;&gt;"",_xlpm.CSVVal
)),"")</f>
        <v/>
      </c>
      <c r="D632" s="40" t="str" cm="1">
        <f t="array" ref="D632">IFERROR(_xlfn.LET(
_xlpm.CSVVal,_xlfn.XLOOKUP($A632,CSV!$A:$A,CSV!D:D,""),
_xlpm.MacVal,_xlfn.XLOOKUP($A632,Output_Mac!$A:$A,Output_Mac!C:C,""),
_xlpm.MyAuditVal,_xlfn.XLOOKUP($A632,My_Audit!$A:$A,My_Audit!C:C,""),
_xlfn.IFS(_xlpm.MyAuditVal&lt;&gt;"",_xlpm.MyAuditVal,_xlpm.MacVal&lt;&gt;"",_xlpm.MacVal,_xlpm.CSVVal&lt;&gt;"",_xlpm.CSVVal
)),"")</f>
        <v/>
      </c>
      <c r="E632" s="40" t="str">
        <f>_xlfn.XLOOKUP(A632,My_Audit!A:A,My_Audit!D:D,"")</f>
        <v/>
      </c>
      <c r="F632" s="40" t="str" cm="1">
        <f t="array" ref="F632">IFERROR(_xlfn.LET(
_xlpm.CSVVal,_xlfn.XLOOKUP($A632,CSV!$A:$A,CSV!F:F,""),
_xlpm.MacVal,_xlfn.XLOOKUP($A632,Output_Mac!$A:$A,Output_Mac!E:E,""),
_xlpm.MyAuditVal,_xlfn.XLOOKUP($A632,My_Audit!$A:$A,My_Audit!E:E,""),
_xlfn.IFS(_xlpm.MyAuditVal&lt;&gt;"",_xlpm.MyAuditVal,_xlpm.MacVal&lt;&gt;"",_xlpm.MacVal,_xlpm.CSVVal&lt;&gt;"",_xlpm.CSVVal
)),"")</f>
        <v/>
      </c>
      <c r="G632" s="40" t="str" cm="1">
        <f t="array" ref="G632">IFERROR(_xlfn.LET(
_xlpm.CSVVal,_xlfn.XLOOKUP($A632,CSV!$A:$A,CSV!G:G,""),
_xlpm.MacVal,_xlfn.XLOOKUP($A632,Output_Mac!$A:$A,Output_Mac!F:F,""),
_xlpm.MyAuditVal,_xlfn.XLOOKUP($A632,My_Audit!$A:$A,My_Audit!F:F,""),
_xlfn.IFS(_xlpm.MyAuditVal&lt;&gt;"",_xlpm.MyAuditVal,_xlpm.MacVal&lt;&gt;"",_xlpm.MacVal,_xlpm.CSVVal&lt;&gt;"",PROPER(_xlpm.CSVVal)
)),"")</f>
        <v/>
      </c>
      <c r="H632" s="40" t="str" cm="1">
        <f t="array" ref="H632">IFERROR(_xlfn.LET(
_xlpm.CSVVal,_xlfn.XLOOKUP($A632,CSV!$A:$A,CSV!H:H,""),
_xlpm.MacVal,_xlfn.XLOOKUP($A632,Output_Mac!$A:$A,Output_Mac!H:H,""),
_xlpm.MyAuditVal,_xlfn.XLOOKUP($A632,My_Audit!$A:$A,My_Audit!G:G,""),
_xlfn.IFS(_xlpm.MyAuditVal&lt;&gt;"",_xlpm.MyAuditVal,_xlpm.MacVal&lt;&gt;"",_xlpm.MacVal,_xlpm.CSVVal&lt;&gt;"",_xlpm.CSVVal
)),"")</f>
        <v/>
      </c>
      <c r="I632" s="40" t="str">
        <f>_xlfn.XLOOKUP(A632,Output_Mac!A:A,Output_Mac!I:I,"")</f>
        <v/>
      </c>
      <c r="J632" s="40" t="str" cm="1">
        <f t="array" ref="J632">IFERROR(_xlfn.LET(
_xlpm.CSVVal,_xlfn.XLOOKUP($A632,CSV!$A:$A,CSV!I:I,""),
_xlpm.MacVal,_xlfn.XLOOKUP($A632,Output_Mac!$A:$A,Output_Mac!J:J,""),
_xlpm.MyAuditVal,_xlfn.XLOOKUP($A632,My_Audit!$A:$A,My_Audit!I:I,""),
_xlfn.IFS(_xlpm.MyAuditVal&lt;&gt;"",UPPER(_xlpm.MyAuditVal),_xlpm.MacVal&lt;&gt;"",_xlpm.MacVal,_xlpm.CSVVal&lt;&gt;"",_xlpm.CSVVal
)),"")</f>
        <v/>
      </c>
      <c r="K632" s="40" t="str" cm="1">
        <f t="array" ref="K632">IFERROR(_xlfn.LET(
_xlpm.CSVVal,_xlfn.XLOOKUP($A632,CSV!$A:$A,CSV!K:K,""),
_xlpm.MacVal,_xlfn.XLOOKUP($A632,Output_Mac!$A:$A,Output_Mac!K:K,""),
_xlpm.MyAuditVal,_xlfn.XLOOKUP($A632,My_Audit!$A:$A,My_Audit!J:J,""),
_xlfn.IFS(_xlpm.MyAuditVal&lt;&gt;"",UPPER(_xlpm.MyAuditVal),_xlpm.MacVal&lt;&gt;"",_xlpm.MacVal,_xlpm.CSVVal&lt;&gt;"",_xlpm.CSVVal
)),"")</f>
        <v/>
      </c>
      <c r="L632" s="40" t="str" cm="1">
        <f t="array" ref="L632">IFERROR(_xlfn.LET(
_xlpm.CSVVal,_xlfn.XLOOKUP($A632,CSV!$A:$A,CSV!P:P,""),
_xlpm.MacVal,_xlfn.XLOOKUP($A632,Output_Mac!$A:$A,Output_Mac!L:L,""),
_xlpm.MyAuditVal,_xlfn.XLOOKUP($A632,My_Audit!$A:$A,My_Audit!K:K,""),
_xlfn.IFS(_xlpm.MyAuditVal&lt;&gt;"",UPPER(_xlpm.MyAuditVal),_xlpm.MacVal&lt;&gt;"",_xlpm.MacVal,_xlpm.CSVVal&lt;&gt;"",_xlpm.CSVVal
)),"")</f>
        <v/>
      </c>
      <c r="M632" s="40" t="str" cm="1">
        <f t="array" ref="M632">IFERROR(_xlfn.LET(
_xlpm.CSVVal,_xlfn.XLOOKUP($A632,CSV!$A:$A,CSV!Q:Q,""),
_xlpm.MacVal,_xlfn.XLOOKUP($A632,Output_Mac!$A:$A,Output_Mac!M:M,""),
_xlpm.MyAuditVal,_xlfn.XLOOKUP($A632,My_Audit!$A:$A,My_Audit!L:L,""),
_xlfn.IFS(_xlpm.MyAuditVal&lt;&gt;"",UPPER(_xlpm.MyAuditVal),_xlpm.MacVal&lt;&gt;"",_xlpm.MacVal,_xlpm.CSVVal&lt;&gt;"",_xlpm.CSVVal
)),"")</f>
        <v/>
      </c>
      <c r="N632" s="40"/>
      <c r="O632" s="40" t="str">
        <f>_xlfn.LET(
    _xlpm.CSVVal, _xlfn.XLOOKUP($A632, CSV!$A:$A, CSV!AA:AA, ""),
    _xlpm.MacVal, _xlfn.XLOOKUP($A632, Output_Mac!$A:$A, Output_Mac!S:S, ""),
    _xlpm.MyAuditVal, _xlfn.XLOOKUP($A632, My_Audit!$A:$A, My_Audit!P:P, ""),
    _xlfn.TEXTJOIN(", ", TRUE, _xlpm.MyAuditVal, _xlpm.MacVal, _xlpm.CSVVal)
)</f>
        <v/>
      </c>
      <c r="P632" s="40" t="str" cm="1">
        <f t="array" ref="P632">IFERROR(_xlfn.LET(
_xlpm.CSVVal,_xlfn.XLOOKUP($A632,CSV!$A:$A,CSV!AB:AB,""),
_xlpm.MacVal,_xlfn.XLOOKUP($A632,Output_Mac!$A:$A,Output_Mac!T:T,""),
_xlpm.MyAuditVal,_xlfn.XLOOKUP($A632,My_Audit!$A:$A,My_Audit!Q:Q,""),
_xlfn.IFS(_xlpm.MyAuditVal&lt;&gt;"",UPPER(_xlpm.MyAuditVal),_xlpm.MacVal&lt;&gt;"",_xlpm.MacVal,_xlpm.CSVVal&lt;&gt;"",_xlpm.CSVVal
)),"No")</f>
        <v>No</v>
      </c>
      <c r="Q632" s="40" t="str" cm="1">
        <f t="array" ref="Q632">IFERROR(_xlfn.LET(
_xlpm.CSVVal,_xlfn.XLOOKUP($A632,CSV!$A:$A,CSV!AC:AC,""),
_xlpm.MacVal,_xlfn.XLOOKUP($A632,Output_Mac!$A:$A,Output_Mac!U:U,""),
_xlpm.MyAuditVal,_xlfn.XLOOKUP($A632,My_Audit!$A:$A,My_Audit!R:R,""),
_xlfn.IFS(_xlpm.MyAuditVal&lt;&gt;"",UPPER(_xlpm.MyAuditVal),_xlpm.MacVal&lt;&gt;"",_xlpm.MacVal,_xlpm.CSVVal&lt;&gt;"",_xlpm.CSVVal
)),"")</f>
        <v/>
      </c>
      <c r="R632" s="40"/>
      <c r="S632" s="40"/>
      <c r="T632" s="40"/>
      <c r="U632" s="40"/>
      <c r="V632" s="40"/>
      <c r="W632" s="40"/>
      <c r="X632" s="41" t="str">
        <f>_xlfn.LET(
    _xlpm.MacVal, _xlfn.XLOOKUP($A632, Output_Mac!$A:$A, Output_Mac!AB:AB, ""),
    _xlpm.MyAuditVal, _xlfn.XLOOKUP($A632, My_Audit!$A:$A, My_Audit!N:N, ""),
    _xlfn.TEXTJOIN(", ", TRUE, _xlpm.MyAuditVal, _xlpm.MacVal)
)</f>
        <v/>
      </c>
    </row>
    <row r="633" spans="1:24">
      <c r="A633" s="40" t="str">
        <f>_xlfn.TEXTJOIN("",TRUE,Input!$B$2,ROW(My_Audit!A632))</f>
        <v>X632</v>
      </c>
      <c r="B633" s="40" t="str">
        <f>_xlfn.TEXTJOIN("-",TRUE,"ITD",Input!$A$2,A633)</f>
        <v>ITD-X632</v>
      </c>
      <c r="C633" s="40" t="str" cm="1">
        <f t="array" ref="C633">IFERROR(_xlfn.LET(
_xlpm.CSVVal,_xlfn.XLOOKUP($A633,CSV!$A:$A,CSV!B:B,""),
_xlpm.MacVal,_xlfn.XLOOKUP($A633,Output_Mac!$A:$A,Output_Mac!B:B,""),
_xlpm.MyAuditVal,_xlfn.XLOOKUP($A633,My_Audit!$A:$A,My_Audit!B:B,""),
_xlfn.IFS(_xlpm.MyAuditVal&lt;&gt;"",UPPER(_xlpm.MyAuditVal),_xlpm.MacVal&lt;&gt;"",_xlpm.MacVal,_xlpm.CSVVal&lt;&gt;"",_xlpm.CSVVal
)),"")</f>
        <v/>
      </c>
      <c r="D633" s="40" t="str" cm="1">
        <f t="array" ref="D633">IFERROR(_xlfn.LET(
_xlpm.CSVVal,_xlfn.XLOOKUP($A633,CSV!$A:$A,CSV!D:D,""),
_xlpm.MacVal,_xlfn.XLOOKUP($A633,Output_Mac!$A:$A,Output_Mac!C:C,""),
_xlpm.MyAuditVal,_xlfn.XLOOKUP($A633,My_Audit!$A:$A,My_Audit!C:C,""),
_xlfn.IFS(_xlpm.MyAuditVal&lt;&gt;"",_xlpm.MyAuditVal,_xlpm.MacVal&lt;&gt;"",_xlpm.MacVal,_xlpm.CSVVal&lt;&gt;"",_xlpm.CSVVal
)),"")</f>
        <v/>
      </c>
      <c r="E633" s="40" t="str">
        <f>_xlfn.XLOOKUP(A633,My_Audit!A:A,My_Audit!D:D,"")</f>
        <v/>
      </c>
      <c r="F633" s="40" t="str" cm="1">
        <f t="array" ref="F633">IFERROR(_xlfn.LET(
_xlpm.CSVVal,_xlfn.XLOOKUP($A633,CSV!$A:$A,CSV!F:F,""),
_xlpm.MacVal,_xlfn.XLOOKUP($A633,Output_Mac!$A:$A,Output_Mac!E:E,""),
_xlpm.MyAuditVal,_xlfn.XLOOKUP($A633,My_Audit!$A:$A,My_Audit!E:E,""),
_xlfn.IFS(_xlpm.MyAuditVal&lt;&gt;"",_xlpm.MyAuditVal,_xlpm.MacVal&lt;&gt;"",_xlpm.MacVal,_xlpm.CSVVal&lt;&gt;"",_xlpm.CSVVal
)),"")</f>
        <v/>
      </c>
      <c r="G633" s="40" t="str" cm="1">
        <f t="array" ref="G633">IFERROR(_xlfn.LET(
_xlpm.CSVVal,_xlfn.XLOOKUP($A633,CSV!$A:$A,CSV!G:G,""),
_xlpm.MacVal,_xlfn.XLOOKUP($A633,Output_Mac!$A:$A,Output_Mac!F:F,""),
_xlpm.MyAuditVal,_xlfn.XLOOKUP($A633,My_Audit!$A:$A,My_Audit!F:F,""),
_xlfn.IFS(_xlpm.MyAuditVal&lt;&gt;"",_xlpm.MyAuditVal,_xlpm.MacVal&lt;&gt;"",_xlpm.MacVal,_xlpm.CSVVal&lt;&gt;"",PROPER(_xlpm.CSVVal)
)),"")</f>
        <v/>
      </c>
      <c r="H633" s="40" t="str" cm="1">
        <f t="array" ref="H633">IFERROR(_xlfn.LET(
_xlpm.CSVVal,_xlfn.XLOOKUP($A633,CSV!$A:$A,CSV!H:H,""),
_xlpm.MacVal,_xlfn.XLOOKUP($A633,Output_Mac!$A:$A,Output_Mac!H:H,""),
_xlpm.MyAuditVal,_xlfn.XLOOKUP($A633,My_Audit!$A:$A,My_Audit!G:G,""),
_xlfn.IFS(_xlpm.MyAuditVal&lt;&gt;"",_xlpm.MyAuditVal,_xlpm.MacVal&lt;&gt;"",_xlpm.MacVal,_xlpm.CSVVal&lt;&gt;"",_xlpm.CSVVal
)),"")</f>
        <v/>
      </c>
      <c r="I633" s="40" t="str">
        <f>_xlfn.XLOOKUP(A633,Output_Mac!A:A,Output_Mac!I:I,"")</f>
        <v/>
      </c>
      <c r="J633" s="40" t="str" cm="1">
        <f t="array" ref="J633">IFERROR(_xlfn.LET(
_xlpm.CSVVal,_xlfn.XLOOKUP($A633,CSV!$A:$A,CSV!I:I,""),
_xlpm.MacVal,_xlfn.XLOOKUP($A633,Output_Mac!$A:$A,Output_Mac!J:J,""),
_xlpm.MyAuditVal,_xlfn.XLOOKUP($A633,My_Audit!$A:$A,My_Audit!I:I,""),
_xlfn.IFS(_xlpm.MyAuditVal&lt;&gt;"",UPPER(_xlpm.MyAuditVal),_xlpm.MacVal&lt;&gt;"",_xlpm.MacVal,_xlpm.CSVVal&lt;&gt;"",_xlpm.CSVVal
)),"")</f>
        <v/>
      </c>
      <c r="K633" s="40" t="str" cm="1">
        <f t="array" ref="K633">IFERROR(_xlfn.LET(
_xlpm.CSVVal,_xlfn.XLOOKUP($A633,CSV!$A:$A,CSV!K:K,""),
_xlpm.MacVal,_xlfn.XLOOKUP($A633,Output_Mac!$A:$A,Output_Mac!K:K,""),
_xlpm.MyAuditVal,_xlfn.XLOOKUP($A633,My_Audit!$A:$A,My_Audit!J:J,""),
_xlfn.IFS(_xlpm.MyAuditVal&lt;&gt;"",UPPER(_xlpm.MyAuditVal),_xlpm.MacVal&lt;&gt;"",_xlpm.MacVal,_xlpm.CSVVal&lt;&gt;"",_xlpm.CSVVal
)),"")</f>
        <v/>
      </c>
      <c r="L633" s="40" t="str" cm="1">
        <f t="array" ref="L633">IFERROR(_xlfn.LET(
_xlpm.CSVVal,_xlfn.XLOOKUP($A633,CSV!$A:$A,CSV!P:P,""),
_xlpm.MacVal,_xlfn.XLOOKUP($A633,Output_Mac!$A:$A,Output_Mac!L:L,""),
_xlpm.MyAuditVal,_xlfn.XLOOKUP($A633,My_Audit!$A:$A,My_Audit!K:K,""),
_xlfn.IFS(_xlpm.MyAuditVal&lt;&gt;"",UPPER(_xlpm.MyAuditVal),_xlpm.MacVal&lt;&gt;"",_xlpm.MacVal,_xlpm.CSVVal&lt;&gt;"",_xlpm.CSVVal
)),"")</f>
        <v/>
      </c>
      <c r="M633" s="40" t="str" cm="1">
        <f t="array" ref="M633">IFERROR(_xlfn.LET(
_xlpm.CSVVal,_xlfn.XLOOKUP($A633,CSV!$A:$A,CSV!Q:Q,""),
_xlpm.MacVal,_xlfn.XLOOKUP($A633,Output_Mac!$A:$A,Output_Mac!M:M,""),
_xlpm.MyAuditVal,_xlfn.XLOOKUP($A633,My_Audit!$A:$A,My_Audit!L:L,""),
_xlfn.IFS(_xlpm.MyAuditVal&lt;&gt;"",UPPER(_xlpm.MyAuditVal),_xlpm.MacVal&lt;&gt;"",_xlpm.MacVal,_xlpm.CSVVal&lt;&gt;"",_xlpm.CSVVal
)),"")</f>
        <v/>
      </c>
      <c r="N633" s="40"/>
      <c r="O633" s="40" t="str">
        <f>_xlfn.LET(
    _xlpm.CSVVal, _xlfn.XLOOKUP($A633, CSV!$A:$A, CSV!AA:AA, ""),
    _xlpm.MacVal, _xlfn.XLOOKUP($A633, Output_Mac!$A:$A, Output_Mac!S:S, ""),
    _xlpm.MyAuditVal, _xlfn.XLOOKUP($A633, My_Audit!$A:$A, My_Audit!P:P, ""),
    _xlfn.TEXTJOIN(", ", TRUE, _xlpm.MyAuditVal, _xlpm.MacVal, _xlpm.CSVVal)
)</f>
        <v/>
      </c>
      <c r="P633" s="40" t="str" cm="1">
        <f t="array" ref="P633">IFERROR(_xlfn.LET(
_xlpm.CSVVal,_xlfn.XLOOKUP($A633,CSV!$A:$A,CSV!AB:AB,""),
_xlpm.MacVal,_xlfn.XLOOKUP($A633,Output_Mac!$A:$A,Output_Mac!T:T,""),
_xlpm.MyAuditVal,_xlfn.XLOOKUP($A633,My_Audit!$A:$A,My_Audit!Q:Q,""),
_xlfn.IFS(_xlpm.MyAuditVal&lt;&gt;"",UPPER(_xlpm.MyAuditVal),_xlpm.MacVal&lt;&gt;"",_xlpm.MacVal,_xlpm.CSVVal&lt;&gt;"",_xlpm.CSVVal
)),"No")</f>
        <v>No</v>
      </c>
      <c r="Q633" s="40" t="str" cm="1">
        <f t="array" ref="Q633">IFERROR(_xlfn.LET(
_xlpm.CSVVal,_xlfn.XLOOKUP($A633,CSV!$A:$A,CSV!AC:AC,""),
_xlpm.MacVal,_xlfn.XLOOKUP($A633,Output_Mac!$A:$A,Output_Mac!U:U,""),
_xlpm.MyAuditVal,_xlfn.XLOOKUP($A633,My_Audit!$A:$A,My_Audit!R:R,""),
_xlfn.IFS(_xlpm.MyAuditVal&lt;&gt;"",UPPER(_xlpm.MyAuditVal),_xlpm.MacVal&lt;&gt;"",_xlpm.MacVal,_xlpm.CSVVal&lt;&gt;"",_xlpm.CSVVal
)),"")</f>
        <v/>
      </c>
      <c r="R633" s="40"/>
      <c r="S633" s="40"/>
      <c r="T633" s="40"/>
      <c r="U633" s="40"/>
      <c r="V633" s="40"/>
      <c r="W633" s="40"/>
      <c r="X633" s="41" t="str">
        <f>_xlfn.LET(
    _xlpm.MacVal, _xlfn.XLOOKUP($A633, Output_Mac!$A:$A, Output_Mac!AB:AB, ""),
    _xlpm.MyAuditVal, _xlfn.XLOOKUP($A633, My_Audit!$A:$A, My_Audit!N:N, ""),
    _xlfn.TEXTJOIN(", ", TRUE, _xlpm.MyAuditVal, _xlpm.MacVal)
)</f>
        <v/>
      </c>
    </row>
    <row r="634" spans="1:24">
      <c r="A634" s="40" t="str">
        <f>_xlfn.TEXTJOIN("",TRUE,Input!$B$2,ROW(My_Audit!A633))</f>
        <v>X633</v>
      </c>
      <c r="B634" s="40" t="str">
        <f>_xlfn.TEXTJOIN("-",TRUE,"ITD",Input!$A$2,A634)</f>
        <v>ITD-X633</v>
      </c>
      <c r="C634" s="40" t="str" cm="1">
        <f t="array" ref="C634">IFERROR(_xlfn.LET(
_xlpm.CSVVal,_xlfn.XLOOKUP($A634,CSV!$A:$A,CSV!B:B,""),
_xlpm.MacVal,_xlfn.XLOOKUP($A634,Output_Mac!$A:$A,Output_Mac!B:B,""),
_xlpm.MyAuditVal,_xlfn.XLOOKUP($A634,My_Audit!$A:$A,My_Audit!B:B,""),
_xlfn.IFS(_xlpm.MyAuditVal&lt;&gt;"",UPPER(_xlpm.MyAuditVal),_xlpm.MacVal&lt;&gt;"",_xlpm.MacVal,_xlpm.CSVVal&lt;&gt;"",_xlpm.CSVVal
)),"")</f>
        <v/>
      </c>
      <c r="D634" s="40" t="str" cm="1">
        <f t="array" ref="D634">IFERROR(_xlfn.LET(
_xlpm.CSVVal,_xlfn.XLOOKUP($A634,CSV!$A:$A,CSV!D:D,""),
_xlpm.MacVal,_xlfn.XLOOKUP($A634,Output_Mac!$A:$A,Output_Mac!C:C,""),
_xlpm.MyAuditVal,_xlfn.XLOOKUP($A634,My_Audit!$A:$A,My_Audit!C:C,""),
_xlfn.IFS(_xlpm.MyAuditVal&lt;&gt;"",_xlpm.MyAuditVal,_xlpm.MacVal&lt;&gt;"",_xlpm.MacVal,_xlpm.CSVVal&lt;&gt;"",_xlpm.CSVVal
)),"")</f>
        <v/>
      </c>
      <c r="E634" s="40" t="str">
        <f>_xlfn.XLOOKUP(A634,My_Audit!A:A,My_Audit!D:D,"")</f>
        <v/>
      </c>
      <c r="F634" s="40" t="str" cm="1">
        <f t="array" ref="F634">IFERROR(_xlfn.LET(
_xlpm.CSVVal,_xlfn.XLOOKUP($A634,CSV!$A:$A,CSV!F:F,""),
_xlpm.MacVal,_xlfn.XLOOKUP($A634,Output_Mac!$A:$A,Output_Mac!E:E,""),
_xlpm.MyAuditVal,_xlfn.XLOOKUP($A634,My_Audit!$A:$A,My_Audit!E:E,""),
_xlfn.IFS(_xlpm.MyAuditVal&lt;&gt;"",_xlpm.MyAuditVal,_xlpm.MacVal&lt;&gt;"",_xlpm.MacVal,_xlpm.CSVVal&lt;&gt;"",_xlpm.CSVVal
)),"")</f>
        <v/>
      </c>
      <c r="G634" s="40" t="str" cm="1">
        <f t="array" ref="G634">IFERROR(_xlfn.LET(
_xlpm.CSVVal,_xlfn.XLOOKUP($A634,CSV!$A:$A,CSV!G:G,""),
_xlpm.MacVal,_xlfn.XLOOKUP($A634,Output_Mac!$A:$A,Output_Mac!F:F,""),
_xlpm.MyAuditVal,_xlfn.XLOOKUP($A634,My_Audit!$A:$A,My_Audit!F:F,""),
_xlfn.IFS(_xlpm.MyAuditVal&lt;&gt;"",_xlpm.MyAuditVal,_xlpm.MacVal&lt;&gt;"",_xlpm.MacVal,_xlpm.CSVVal&lt;&gt;"",PROPER(_xlpm.CSVVal)
)),"")</f>
        <v/>
      </c>
      <c r="H634" s="40" t="str" cm="1">
        <f t="array" ref="H634">IFERROR(_xlfn.LET(
_xlpm.CSVVal,_xlfn.XLOOKUP($A634,CSV!$A:$A,CSV!H:H,""),
_xlpm.MacVal,_xlfn.XLOOKUP($A634,Output_Mac!$A:$A,Output_Mac!H:H,""),
_xlpm.MyAuditVal,_xlfn.XLOOKUP($A634,My_Audit!$A:$A,My_Audit!G:G,""),
_xlfn.IFS(_xlpm.MyAuditVal&lt;&gt;"",_xlpm.MyAuditVal,_xlpm.MacVal&lt;&gt;"",_xlpm.MacVal,_xlpm.CSVVal&lt;&gt;"",_xlpm.CSVVal
)),"")</f>
        <v/>
      </c>
      <c r="I634" s="40" t="str">
        <f>_xlfn.XLOOKUP(A634,Output_Mac!A:A,Output_Mac!I:I,"")</f>
        <v/>
      </c>
      <c r="J634" s="40" t="str" cm="1">
        <f t="array" ref="J634">IFERROR(_xlfn.LET(
_xlpm.CSVVal,_xlfn.XLOOKUP($A634,CSV!$A:$A,CSV!I:I,""),
_xlpm.MacVal,_xlfn.XLOOKUP($A634,Output_Mac!$A:$A,Output_Mac!J:J,""),
_xlpm.MyAuditVal,_xlfn.XLOOKUP($A634,My_Audit!$A:$A,My_Audit!I:I,""),
_xlfn.IFS(_xlpm.MyAuditVal&lt;&gt;"",UPPER(_xlpm.MyAuditVal),_xlpm.MacVal&lt;&gt;"",_xlpm.MacVal,_xlpm.CSVVal&lt;&gt;"",_xlpm.CSVVal
)),"")</f>
        <v/>
      </c>
      <c r="K634" s="40" t="str" cm="1">
        <f t="array" ref="K634">IFERROR(_xlfn.LET(
_xlpm.CSVVal,_xlfn.XLOOKUP($A634,CSV!$A:$A,CSV!K:K,""),
_xlpm.MacVal,_xlfn.XLOOKUP($A634,Output_Mac!$A:$A,Output_Mac!K:K,""),
_xlpm.MyAuditVal,_xlfn.XLOOKUP($A634,My_Audit!$A:$A,My_Audit!J:J,""),
_xlfn.IFS(_xlpm.MyAuditVal&lt;&gt;"",UPPER(_xlpm.MyAuditVal),_xlpm.MacVal&lt;&gt;"",_xlpm.MacVal,_xlpm.CSVVal&lt;&gt;"",_xlpm.CSVVal
)),"")</f>
        <v/>
      </c>
      <c r="L634" s="40" t="str" cm="1">
        <f t="array" ref="L634">IFERROR(_xlfn.LET(
_xlpm.CSVVal,_xlfn.XLOOKUP($A634,CSV!$A:$A,CSV!P:P,""),
_xlpm.MacVal,_xlfn.XLOOKUP($A634,Output_Mac!$A:$A,Output_Mac!L:L,""),
_xlpm.MyAuditVal,_xlfn.XLOOKUP($A634,My_Audit!$A:$A,My_Audit!K:K,""),
_xlfn.IFS(_xlpm.MyAuditVal&lt;&gt;"",UPPER(_xlpm.MyAuditVal),_xlpm.MacVal&lt;&gt;"",_xlpm.MacVal,_xlpm.CSVVal&lt;&gt;"",_xlpm.CSVVal
)),"")</f>
        <v/>
      </c>
      <c r="M634" s="40" t="str" cm="1">
        <f t="array" ref="M634">IFERROR(_xlfn.LET(
_xlpm.CSVVal,_xlfn.XLOOKUP($A634,CSV!$A:$A,CSV!Q:Q,""),
_xlpm.MacVal,_xlfn.XLOOKUP($A634,Output_Mac!$A:$A,Output_Mac!M:M,""),
_xlpm.MyAuditVal,_xlfn.XLOOKUP($A634,My_Audit!$A:$A,My_Audit!L:L,""),
_xlfn.IFS(_xlpm.MyAuditVal&lt;&gt;"",UPPER(_xlpm.MyAuditVal),_xlpm.MacVal&lt;&gt;"",_xlpm.MacVal,_xlpm.CSVVal&lt;&gt;"",_xlpm.CSVVal
)),"")</f>
        <v/>
      </c>
      <c r="N634" s="40"/>
      <c r="O634" s="40" t="str">
        <f>_xlfn.LET(
    _xlpm.CSVVal, _xlfn.XLOOKUP($A634, CSV!$A:$A, CSV!AA:AA, ""),
    _xlpm.MacVal, _xlfn.XLOOKUP($A634, Output_Mac!$A:$A, Output_Mac!S:S, ""),
    _xlpm.MyAuditVal, _xlfn.XLOOKUP($A634, My_Audit!$A:$A, My_Audit!P:P, ""),
    _xlfn.TEXTJOIN(", ", TRUE, _xlpm.MyAuditVal, _xlpm.MacVal, _xlpm.CSVVal)
)</f>
        <v/>
      </c>
      <c r="P634" s="40" t="str" cm="1">
        <f t="array" ref="P634">IFERROR(_xlfn.LET(
_xlpm.CSVVal,_xlfn.XLOOKUP($A634,CSV!$A:$A,CSV!AB:AB,""),
_xlpm.MacVal,_xlfn.XLOOKUP($A634,Output_Mac!$A:$A,Output_Mac!T:T,""),
_xlpm.MyAuditVal,_xlfn.XLOOKUP($A634,My_Audit!$A:$A,My_Audit!Q:Q,""),
_xlfn.IFS(_xlpm.MyAuditVal&lt;&gt;"",UPPER(_xlpm.MyAuditVal),_xlpm.MacVal&lt;&gt;"",_xlpm.MacVal,_xlpm.CSVVal&lt;&gt;"",_xlpm.CSVVal
)),"No")</f>
        <v>No</v>
      </c>
      <c r="Q634" s="40" t="str" cm="1">
        <f t="array" ref="Q634">IFERROR(_xlfn.LET(
_xlpm.CSVVal,_xlfn.XLOOKUP($A634,CSV!$A:$A,CSV!AC:AC,""),
_xlpm.MacVal,_xlfn.XLOOKUP($A634,Output_Mac!$A:$A,Output_Mac!U:U,""),
_xlpm.MyAuditVal,_xlfn.XLOOKUP($A634,My_Audit!$A:$A,My_Audit!R:R,""),
_xlfn.IFS(_xlpm.MyAuditVal&lt;&gt;"",UPPER(_xlpm.MyAuditVal),_xlpm.MacVal&lt;&gt;"",_xlpm.MacVal,_xlpm.CSVVal&lt;&gt;"",_xlpm.CSVVal
)),"")</f>
        <v/>
      </c>
      <c r="R634" s="40"/>
      <c r="S634" s="40"/>
      <c r="T634" s="40"/>
      <c r="U634" s="40"/>
      <c r="V634" s="40"/>
      <c r="W634" s="40"/>
      <c r="X634" s="41" t="str">
        <f>_xlfn.LET(
    _xlpm.MacVal, _xlfn.XLOOKUP($A634, Output_Mac!$A:$A, Output_Mac!AB:AB, ""),
    _xlpm.MyAuditVal, _xlfn.XLOOKUP($A634, My_Audit!$A:$A, My_Audit!N:N, ""),
    _xlfn.TEXTJOIN(", ", TRUE, _xlpm.MyAuditVal, _xlpm.MacVal)
)</f>
        <v/>
      </c>
    </row>
    <row r="635" spans="1:24">
      <c r="A635" s="40" t="str">
        <f>_xlfn.TEXTJOIN("",TRUE,Input!$B$2,ROW(My_Audit!A634))</f>
        <v>X634</v>
      </c>
      <c r="B635" s="40" t="str">
        <f>_xlfn.TEXTJOIN("-",TRUE,"ITD",Input!$A$2,A635)</f>
        <v>ITD-X634</v>
      </c>
      <c r="C635" s="40" t="str" cm="1">
        <f t="array" ref="C635">IFERROR(_xlfn.LET(
_xlpm.CSVVal,_xlfn.XLOOKUP($A635,CSV!$A:$A,CSV!B:B,""),
_xlpm.MacVal,_xlfn.XLOOKUP($A635,Output_Mac!$A:$A,Output_Mac!B:B,""),
_xlpm.MyAuditVal,_xlfn.XLOOKUP($A635,My_Audit!$A:$A,My_Audit!B:B,""),
_xlfn.IFS(_xlpm.MyAuditVal&lt;&gt;"",UPPER(_xlpm.MyAuditVal),_xlpm.MacVal&lt;&gt;"",_xlpm.MacVal,_xlpm.CSVVal&lt;&gt;"",_xlpm.CSVVal
)),"")</f>
        <v/>
      </c>
      <c r="D635" s="40" t="str" cm="1">
        <f t="array" ref="D635">IFERROR(_xlfn.LET(
_xlpm.CSVVal,_xlfn.XLOOKUP($A635,CSV!$A:$A,CSV!D:D,""),
_xlpm.MacVal,_xlfn.XLOOKUP($A635,Output_Mac!$A:$A,Output_Mac!C:C,""),
_xlpm.MyAuditVal,_xlfn.XLOOKUP($A635,My_Audit!$A:$A,My_Audit!C:C,""),
_xlfn.IFS(_xlpm.MyAuditVal&lt;&gt;"",_xlpm.MyAuditVal,_xlpm.MacVal&lt;&gt;"",_xlpm.MacVal,_xlpm.CSVVal&lt;&gt;"",_xlpm.CSVVal
)),"")</f>
        <v/>
      </c>
      <c r="E635" s="40" t="str">
        <f>_xlfn.XLOOKUP(A635,My_Audit!A:A,My_Audit!D:D,"")</f>
        <v/>
      </c>
      <c r="F635" s="40" t="str" cm="1">
        <f t="array" ref="F635">IFERROR(_xlfn.LET(
_xlpm.CSVVal,_xlfn.XLOOKUP($A635,CSV!$A:$A,CSV!F:F,""),
_xlpm.MacVal,_xlfn.XLOOKUP($A635,Output_Mac!$A:$A,Output_Mac!E:E,""),
_xlpm.MyAuditVal,_xlfn.XLOOKUP($A635,My_Audit!$A:$A,My_Audit!E:E,""),
_xlfn.IFS(_xlpm.MyAuditVal&lt;&gt;"",_xlpm.MyAuditVal,_xlpm.MacVal&lt;&gt;"",_xlpm.MacVal,_xlpm.CSVVal&lt;&gt;"",_xlpm.CSVVal
)),"")</f>
        <v/>
      </c>
      <c r="G635" s="40" t="str" cm="1">
        <f t="array" ref="G635">IFERROR(_xlfn.LET(
_xlpm.CSVVal,_xlfn.XLOOKUP($A635,CSV!$A:$A,CSV!G:G,""),
_xlpm.MacVal,_xlfn.XLOOKUP($A635,Output_Mac!$A:$A,Output_Mac!F:F,""),
_xlpm.MyAuditVal,_xlfn.XLOOKUP($A635,My_Audit!$A:$A,My_Audit!F:F,""),
_xlfn.IFS(_xlpm.MyAuditVal&lt;&gt;"",_xlpm.MyAuditVal,_xlpm.MacVal&lt;&gt;"",_xlpm.MacVal,_xlpm.CSVVal&lt;&gt;"",PROPER(_xlpm.CSVVal)
)),"")</f>
        <v/>
      </c>
      <c r="H635" s="40" t="str" cm="1">
        <f t="array" ref="H635">IFERROR(_xlfn.LET(
_xlpm.CSVVal,_xlfn.XLOOKUP($A635,CSV!$A:$A,CSV!H:H,""),
_xlpm.MacVal,_xlfn.XLOOKUP($A635,Output_Mac!$A:$A,Output_Mac!H:H,""),
_xlpm.MyAuditVal,_xlfn.XLOOKUP($A635,My_Audit!$A:$A,My_Audit!G:G,""),
_xlfn.IFS(_xlpm.MyAuditVal&lt;&gt;"",_xlpm.MyAuditVal,_xlpm.MacVal&lt;&gt;"",_xlpm.MacVal,_xlpm.CSVVal&lt;&gt;"",_xlpm.CSVVal
)),"")</f>
        <v/>
      </c>
      <c r="I635" s="40" t="str">
        <f>_xlfn.XLOOKUP(A635,Output_Mac!A:A,Output_Mac!I:I,"")</f>
        <v/>
      </c>
      <c r="J635" s="40" t="str" cm="1">
        <f t="array" ref="J635">IFERROR(_xlfn.LET(
_xlpm.CSVVal,_xlfn.XLOOKUP($A635,CSV!$A:$A,CSV!I:I,""),
_xlpm.MacVal,_xlfn.XLOOKUP($A635,Output_Mac!$A:$A,Output_Mac!J:J,""),
_xlpm.MyAuditVal,_xlfn.XLOOKUP($A635,My_Audit!$A:$A,My_Audit!I:I,""),
_xlfn.IFS(_xlpm.MyAuditVal&lt;&gt;"",UPPER(_xlpm.MyAuditVal),_xlpm.MacVal&lt;&gt;"",_xlpm.MacVal,_xlpm.CSVVal&lt;&gt;"",_xlpm.CSVVal
)),"")</f>
        <v/>
      </c>
      <c r="K635" s="40" t="str" cm="1">
        <f t="array" ref="K635">IFERROR(_xlfn.LET(
_xlpm.CSVVal,_xlfn.XLOOKUP($A635,CSV!$A:$A,CSV!K:K,""),
_xlpm.MacVal,_xlfn.XLOOKUP($A635,Output_Mac!$A:$A,Output_Mac!K:K,""),
_xlpm.MyAuditVal,_xlfn.XLOOKUP($A635,My_Audit!$A:$A,My_Audit!J:J,""),
_xlfn.IFS(_xlpm.MyAuditVal&lt;&gt;"",UPPER(_xlpm.MyAuditVal),_xlpm.MacVal&lt;&gt;"",_xlpm.MacVal,_xlpm.CSVVal&lt;&gt;"",_xlpm.CSVVal
)),"")</f>
        <v/>
      </c>
      <c r="L635" s="40" t="str" cm="1">
        <f t="array" ref="L635">IFERROR(_xlfn.LET(
_xlpm.CSVVal,_xlfn.XLOOKUP($A635,CSV!$A:$A,CSV!P:P,""),
_xlpm.MacVal,_xlfn.XLOOKUP($A635,Output_Mac!$A:$A,Output_Mac!L:L,""),
_xlpm.MyAuditVal,_xlfn.XLOOKUP($A635,My_Audit!$A:$A,My_Audit!K:K,""),
_xlfn.IFS(_xlpm.MyAuditVal&lt;&gt;"",UPPER(_xlpm.MyAuditVal),_xlpm.MacVal&lt;&gt;"",_xlpm.MacVal,_xlpm.CSVVal&lt;&gt;"",_xlpm.CSVVal
)),"")</f>
        <v/>
      </c>
      <c r="M635" s="40" t="str" cm="1">
        <f t="array" ref="M635">IFERROR(_xlfn.LET(
_xlpm.CSVVal,_xlfn.XLOOKUP($A635,CSV!$A:$A,CSV!Q:Q,""),
_xlpm.MacVal,_xlfn.XLOOKUP($A635,Output_Mac!$A:$A,Output_Mac!M:M,""),
_xlpm.MyAuditVal,_xlfn.XLOOKUP($A635,My_Audit!$A:$A,My_Audit!L:L,""),
_xlfn.IFS(_xlpm.MyAuditVal&lt;&gt;"",UPPER(_xlpm.MyAuditVal),_xlpm.MacVal&lt;&gt;"",_xlpm.MacVal,_xlpm.CSVVal&lt;&gt;"",_xlpm.CSVVal
)),"")</f>
        <v/>
      </c>
      <c r="N635" s="40"/>
      <c r="O635" s="40" t="str">
        <f>_xlfn.LET(
    _xlpm.CSVVal, _xlfn.XLOOKUP($A635, CSV!$A:$A, CSV!AA:AA, ""),
    _xlpm.MacVal, _xlfn.XLOOKUP($A635, Output_Mac!$A:$A, Output_Mac!S:S, ""),
    _xlpm.MyAuditVal, _xlfn.XLOOKUP($A635, My_Audit!$A:$A, My_Audit!P:P, ""),
    _xlfn.TEXTJOIN(", ", TRUE, _xlpm.MyAuditVal, _xlpm.MacVal, _xlpm.CSVVal)
)</f>
        <v/>
      </c>
      <c r="P635" s="40" t="str" cm="1">
        <f t="array" ref="P635">IFERROR(_xlfn.LET(
_xlpm.CSVVal,_xlfn.XLOOKUP($A635,CSV!$A:$A,CSV!AB:AB,""),
_xlpm.MacVal,_xlfn.XLOOKUP($A635,Output_Mac!$A:$A,Output_Mac!T:T,""),
_xlpm.MyAuditVal,_xlfn.XLOOKUP($A635,My_Audit!$A:$A,My_Audit!Q:Q,""),
_xlfn.IFS(_xlpm.MyAuditVal&lt;&gt;"",UPPER(_xlpm.MyAuditVal),_xlpm.MacVal&lt;&gt;"",_xlpm.MacVal,_xlpm.CSVVal&lt;&gt;"",_xlpm.CSVVal
)),"No")</f>
        <v>No</v>
      </c>
      <c r="Q635" s="40" t="str" cm="1">
        <f t="array" ref="Q635">IFERROR(_xlfn.LET(
_xlpm.CSVVal,_xlfn.XLOOKUP($A635,CSV!$A:$A,CSV!AC:AC,""),
_xlpm.MacVal,_xlfn.XLOOKUP($A635,Output_Mac!$A:$A,Output_Mac!U:U,""),
_xlpm.MyAuditVal,_xlfn.XLOOKUP($A635,My_Audit!$A:$A,My_Audit!R:R,""),
_xlfn.IFS(_xlpm.MyAuditVal&lt;&gt;"",UPPER(_xlpm.MyAuditVal),_xlpm.MacVal&lt;&gt;"",_xlpm.MacVal,_xlpm.CSVVal&lt;&gt;"",_xlpm.CSVVal
)),"")</f>
        <v/>
      </c>
      <c r="R635" s="40"/>
      <c r="S635" s="40"/>
      <c r="T635" s="40"/>
      <c r="U635" s="40"/>
      <c r="V635" s="40"/>
      <c r="W635" s="40"/>
      <c r="X635" s="41" t="str">
        <f>_xlfn.LET(
    _xlpm.MacVal, _xlfn.XLOOKUP($A635, Output_Mac!$A:$A, Output_Mac!AB:AB, ""),
    _xlpm.MyAuditVal, _xlfn.XLOOKUP($A635, My_Audit!$A:$A, My_Audit!N:N, ""),
    _xlfn.TEXTJOIN(", ", TRUE, _xlpm.MyAuditVal, _xlpm.MacVal)
)</f>
        <v/>
      </c>
    </row>
    <row r="636" spans="1:24">
      <c r="A636" s="40" t="str">
        <f>_xlfn.TEXTJOIN("",TRUE,Input!$B$2,ROW(My_Audit!A635))</f>
        <v>X635</v>
      </c>
      <c r="B636" s="40" t="str">
        <f>_xlfn.TEXTJOIN("-",TRUE,"ITD",Input!$A$2,A636)</f>
        <v>ITD-X635</v>
      </c>
      <c r="C636" s="40" t="str" cm="1">
        <f t="array" ref="C636">IFERROR(_xlfn.LET(
_xlpm.CSVVal,_xlfn.XLOOKUP($A636,CSV!$A:$A,CSV!B:B,""),
_xlpm.MacVal,_xlfn.XLOOKUP($A636,Output_Mac!$A:$A,Output_Mac!B:B,""),
_xlpm.MyAuditVal,_xlfn.XLOOKUP($A636,My_Audit!$A:$A,My_Audit!B:B,""),
_xlfn.IFS(_xlpm.MyAuditVal&lt;&gt;"",UPPER(_xlpm.MyAuditVal),_xlpm.MacVal&lt;&gt;"",_xlpm.MacVal,_xlpm.CSVVal&lt;&gt;"",_xlpm.CSVVal
)),"")</f>
        <v/>
      </c>
      <c r="D636" s="40" t="str" cm="1">
        <f t="array" ref="D636">IFERROR(_xlfn.LET(
_xlpm.CSVVal,_xlfn.XLOOKUP($A636,CSV!$A:$A,CSV!D:D,""),
_xlpm.MacVal,_xlfn.XLOOKUP($A636,Output_Mac!$A:$A,Output_Mac!C:C,""),
_xlpm.MyAuditVal,_xlfn.XLOOKUP($A636,My_Audit!$A:$A,My_Audit!C:C,""),
_xlfn.IFS(_xlpm.MyAuditVal&lt;&gt;"",_xlpm.MyAuditVal,_xlpm.MacVal&lt;&gt;"",_xlpm.MacVal,_xlpm.CSVVal&lt;&gt;"",_xlpm.CSVVal
)),"")</f>
        <v/>
      </c>
      <c r="E636" s="40" t="str">
        <f>_xlfn.XLOOKUP(A636,My_Audit!A:A,My_Audit!D:D,"")</f>
        <v/>
      </c>
      <c r="F636" s="40" t="str" cm="1">
        <f t="array" ref="F636">IFERROR(_xlfn.LET(
_xlpm.CSVVal,_xlfn.XLOOKUP($A636,CSV!$A:$A,CSV!F:F,""),
_xlpm.MacVal,_xlfn.XLOOKUP($A636,Output_Mac!$A:$A,Output_Mac!E:E,""),
_xlpm.MyAuditVal,_xlfn.XLOOKUP($A636,My_Audit!$A:$A,My_Audit!E:E,""),
_xlfn.IFS(_xlpm.MyAuditVal&lt;&gt;"",_xlpm.MyAuditVal,_xlpm.MacVal&lt;&gt;"",_xlpm.MacVal,_xlpm.CSVVal&lt;&gt;"",_xlpm.CSVVal
)),"")</f>
        <v/>
      </c>
      <c r="G636" s="40" t="str" cm="1">
        <f t="array" ref="G636">IFERROR(_xlfn.LET(
_xlpm.CSVVal,_xlfn.XLOOKUP($A636,CSV!$A:$A,CSV!G:G,""),
_xlpm.MacVal,_xlfn.XLOOKUP($A636,Output_Mac!$A:$A,Output_Mac!F:F,""),
_xlpm.MyAuditVal,_xlfn.XLOOKUP($A636,My_Audit!$A:$A,My_Audit!F:F,""),
_xlfn.IFS(_xlpm.MyAuditVal&lt;&gt;"",_xlpm.MyAuditVal,_xlpm.MacVal&lt;&gt;"",_xlpm.MacVal,_xlpm.CSVVal&lt;&gt;"",PROPER(_xlpm.CSVVal)
)),"")</f>
        <v/>
      </c>
      <c r="H636" s="40" t="str" cm="1">
        <f t="array" ref="H636">IFERROR(_xlfn.LET(
_xlpm.CSVVal,_xlfn.XLOOKUP($A636,CSV!$A:$A,CSV!H:H,""),
_xlpm.MacVal,_xlfn.XLOOKUP($A636,Output_Mac!$A:$A,Output_Mac!H:H,""),
_xlpm.MyAuditVal,_xlfn.XLOOKUP($A636,My_Audit!$A:$A,My_Audit!G:G,""),
_xlfn.IFS(_xlpm.MyAuditVal&lt;&gt;"",_xlpm.MyAuditVal,_xlpm.MacVal&lt;&gt;"",_xlpm.MacVal,_xlpm.CSVVal&lt;&gt;"",_xlpm.CSVVal
)),"")</f>
        <v/>
      </c>
      <c r="I636" s="40" t="str">
        <f>_xlfn.XLOOKUP(A636,Output_Mac!A:A,Output_Mac!I:I,"")</f>
        <v/>
      </c>
      <c r="J636" s="40" t="str" cm="1">
        <f t="array" ref="J636">IFERROR(_xlfn.LET(
_xlpm.CSVVal,_xlfn.XLOOKUP($A636,CSV!$A:$A,CSV!I:I,""),
_xlpm.MacVal,_xlfn.XLOOKUP($A636,Output_Mac!$A:$A,Output_Mac!J:J,""),
_xlpm.MyAuditVal,_xlfn.XLOOKUP($A636,My_Audit!$A:$A,My_Audit!I:I,""),
_xlfn.IFS(_xlpm.MyAuditVal&lt;&gt;"",UPPER(_xlpm.MyAuditVal),_xlpm.MacVal&lt;&gt;"",_xlpm.MacVal,_xlpm.CSVVal&lt;&gt;"",_xlpm.CSVVal
)),"")</f>
        <v/>
      </c>
      <c r="K636" s="40" t="str" cm="1">
        <f t="array" ref="K636">IFERROR(_xlfn.LET(
_xlpm.CSVVal,_xlfn.XLOOKUP($A636,CSV!$A:$A,CSV!K:K,""),
_xlpm.MacVal,_xlfn.XLOOKUP($A636,Output_Mac!$A:$A,Output_Mac!K:K,""),
_xlpm.MyAuditVal,_xlfn.XLOOKUP($A636,My_Audit!$A:$A,My_Audit!J:J,""),
_xlfn.IFS(_xlpm.MyAuditVal&lt;&gt;"",UPPER(_xlpm.MyAuditVal),_xlpm.MacVal&lt;&gt;"",_xlpm.MacVal,_xlpm.CSVVal&lt;&gt;"",_xlpm.CSVVal
)),"")</f>
        <v/>
      </c>
      <c r="L636" s="40" t="str" cm="1">
        <f t="array" ref="L636">IFERROR(_xlfn.LET(
_xlpm.CSVVal,_xlfn.XLOOKUP($A636,CSV!$A:$A,CSV!P:P,""),
_xlpm.MacVal,_xlfn.XLOOKUP($A636,Output_Mac!$A:$A,Output_Mac!L:L,""),
_xlpm.MyAuditVal,_xlfn.XLOOKUP($A636,My_Audit!$A:$A,My_Audit!K:K,""),
_xlfn.IFS(_xlpm.MyAuditVal&lt;&gt;"",UPPER(_xlpm.MyAuditVal),_xlpm.MacVal&lt;&gt;"",_xlpm.MacVal,_xlpm.CSVVal&lt;&gt;"",_xlpm.CSVVal
)),"")</f>
        <v/>
      </c>
      <c r="M636" s="40" t="str" cm="1">
        <f t="array" ref="M636">IFERROR(_xlfn.LET(
_xlpm.CSVVal,_xlfn.XLOOKUP($A636,CSV!$A:$A,CSV!Q:Q,""),
_xlpm.MacVal,_xlfn.XLOOKUP($A636,Output_Mac!$A:$A,Output_Mac!M:M,""),
_xlpm.MyAuditVal,_xlfn.XLOOKUP($A636,My_Audit!$A:$A,My_Audit!L:L,""),
_xlfn.IFS(_xlpm.MyAuditVal&lt;&gt;"",UPPER(_xlpm.MyAuditVal),_xlpm.MacVal&lt;&gt;"",_xlpm.MacVal,_xlpm.CSVVal&lt;&gt;"",_xlpm.CSVVal
)),"")</f>
        <v/>
      </c>
      <c r="N636" s="40"/>
      <c r="O636" s="40" t="str">
        <f>_xlfn.LET(
    _xlpm.CSVVal, _xlfn.XLOOKUP($A636, CSV!$A:$A, CSV!AA:AA, ""),
    _xlpm.MacVal, _xlfn.XLOOKUP($A636, Output_Mac!$A:$A, Output_Mac!S:S, ""),
    _xlpm.MyAuditVal, _xlfn.XLOOKUP($A636, My_Audit!$A:$A, My_Audit!P:P, ""),
    _xlfn.TEXTJOIN(", ", TRUE, _xlpm.MyAuditVal, _xlpm.MacVal, _xlpm.CSVVal)
)</f>
        <v/>
      </c>
      <c r="P636" s="40" t="str" cm="1">
        <f t="array" ref="P636">IFERROR(_xlfn.LET(
_xlpm.CSVVal,_xlfn.XLOOKUP($A636,CSV!$A:$A,CSV!AB:AB,""),
_xlpm.MacVal,_xlfn.XLOOKUP($A636,Output_Mac!$A:$A,Output_Mac!T:T,""),
_xlpm.MyAuditVal,_xlfn.XLOOKUP($A636,My_Audit!$A:$A,My_Audit!Q:Q,""),
_xlfn.IFS(_xlpm.MyAuditVal&lt;&gt;"",UPPER(_xlpm.MyAuditVal),_xlpm.MacVal&lt;&gt;"",_xlpm.MacVal,_xlpm.CSVVal&lt;&gt;"",_xlpm.CSVVal
)),"No")</f>
        <v>No</v>
      </c>
      <c r="Q636" s="40" t="str" cm="1">
        <f t="array" ref="Q636">IFERROR(_xlfn.LET(
_xlpm.CSVVal,_xlfn.XLOOKUP($A636,CSV!$A:$A,CSV!AC:AC,""),
_xlpm.MacVal,_xlfn.XLOOKUP($A636,Output_Mac!$A:$A,Output_Mac!U:U,""),
_xlpm.MyAuditVal,_xlfn.XLOOKUP($A636,My_Audit!$A:$A,My_Audit!R:R,""),
_xlfn.IFS(_xlpm.MyAuditVal&lt;&gt;"",UPPER(_xlpm.MyAuditVal),_xlpm.MacVal&lt;&gt;"",_xlpm.MacVal,_xlpm.CSVVal&lt;&gt;"",_xlpm.CSVVal
)),"")</f>
        <v/>
      </c>
      <c r="R636" s="40"/>
      <c r="S636" s="40"/>
      <c r="T636" s="40"/>
      <c r="U636" s="40"/>
      <c r="V636" s="40"/>
      <c r="W636" s="40"/>
      <c r="X636" s="41" t="str">
        <f>_xlfn.LET(
    _xlpm.MacVal, _xlfn.XLOOKUP($A636, Output_Mac!$A:$A, Output_Mac!AB:AB, ""),
    _xlpm.MyAuditVal, _xlfn.XLOOKUP($A636, My_Audit!$A:$A, My_Audit!N:N, ""),
    _xlfn.TEXTJOIN(", ", TRUE, _xlpm.MyAuditVal, _xlpm.MacVal)
)</f>
        <v/>
      </c>
    </row>
    <row r="637" spans="1:24">
      <c r="A637" s="40" t="str">
        <f>_xlfn.TEXTJOIN("",TRUE,Input!$B$2,ROW(My_Audit!A636))</f>
        <v>X636</v>
      </c>
      <c r="B637" s="40" t="str">
        <f>_xlfn.TEXTJOIN("-",TRUE,"ITD",Input!$A$2,A637)</f>
        <v>ITD-X636</v>
      </c>
      <c r="C637" s="40" t="str" cm="1">
        <f t="array" ref="C637">IFERROR(_xlfn.LET(
_xlpm.CSVVal,_xlfn.XLOOKUP($A637,CSV!$A:$A,CSV!B:B,""),
_xlpm.MacVal,_xlfn.XLOOKUP($A637,Output_Mac!$A:$A,Output_Mac!B:B,""),
_xlpm.MyAuditVal,_xlfn.XLOOKUP($A637,My_Audit!$A:$A,My_Audit!B:B,""),
_xlfn.IFS(_xlpm.MyAuditVal&lt;&gt;"",UPPER(_xlpm.MyAuditVal),_xlpm.MacVal&lt;&gt;"",_xlpm.MacVal,_xlpm.CSVVal&lt;&gt;"",_xlpm.CSVVal
)),"")</f>
        <v/>
      </c>
      <c r="D637" s="40" t="str" cm="1">
        <f t="array" ref="D637">IFERROR(_xlfn.LET(
_xlpm.CSVVal,_xlfn.XLOOKUP($A637,CSV!$A:$A,CSV!D:D,""),
_xlpm.MacVal,_xlfn.XLOOKUP($A637,Output_Mac!$A:$A,Output_Mac!C:C,""),
_xlpm.MyAuditVal,_xlfn.XLOOKUP($A637,My_Audit!$A:$A,My_Audit!C:C,""),
_xlfn.IFS(_xlpm.MyAuditVal&lt;&gt;"",_xlpm.MyAuditVal,_xlpm.MacVal&lt;&gt;"",_xlpm.MacVal,_xlpm.CSVVal&lt;&gt;"",_xlpm.CSVVal
)),"")</f>
        <v/>
      </c>
      <c r="E637" s="40" t="str">
        <f>_xlfn.XLOOKUP(A637,My_Audit!A:A,My_Audit!D:D,"")</f>
        <v/>
      </c>
      <c r="F637" s="40" t="str" cm="1">
        <f t="array" ref="F637">IFERROR(_xlfn.LET(
_xlpm.CSVVal,_xlfn.XLOOKUP($A637,CSV!$A:$A,CSV!F:F,""),
_xlpm.MacVal,_xlfn.XLOOKUP($A637,Output_Mac!$A:$A,Output_Mac!E:E,""),
_xlpm.MyAuditVal,_xlfn.XLOOKUP($A637,My_Audit!$A:$A,My_Audit!E:E,""),
_xlfn.IFS(_xlpm.MyAuditVal&lt;&gt;"",_xlpm.MyAuditVal,_xlpm.MacVal&lt;&gt;"",_xlpm.MacVal,_xlpm.CSVVal&lt;&gt;"",_xlpm.CSVVal
)),"")</f>
        <v/>
      </c>
      <c r="G637" s="40" t="str" cm="1">
        <f t="array" ref="G637">IFERROR(_xlfn.LET(
_xlpm.CSVVal,_xlfn.XLOOKUP($A637,CSV!$A:$A,CSV!G:G,""),
_xlpm.MacVal,_xlfn.XLOOKUP($A637,Output_Mac!$A:$A,Output_Mac!F:F,""),
_xlpm.MyAuditVal,_xlfn.XLOOKUP($A637,My_Audit!$A:$A,My_Audit!F:F,""),
_xlfn.IFS(_xlpm.MyAuditVal&lt;&gt;"",_xlpm.MyAuditVal,_xlpm.MacVal&lt;&gt;"",_xlpm.MacVal,_xlpm.CSVVal&lt;&gt;"",PROPER(_xlpm.CSVVal)
)),"")</f>
        <v/>
      </c>
      <c r="H637" s="40" t="str" cm="1">
        <f t="array" ref="H637">IFERROR(_xlfn.LET(
_xlpm.CSVVal,_xlfn.XLOOKUP($A637,CSV!$A:$A,CSV!H:H,""),
_xlpm.MacVal,_xlfn.XLOOKUP($A637,Output_Mac!$A:$A,Output_Mac!H:H,""),
_xlpm.MyAuditVal,_xlfn.XLOOKUP($A637,My_Audit!$A:$A,My_Audit!G:G,""),
_xlfn.IFS(_xlpm.MyAuditVal&lt;&gt;"",_xlpm.MyAuditVal,_xlpm.MacVal&lt;&gt;"",_xlpm.MacVal,_xlpm.CSVVal&lt;&gt;"",_xlpm.CSVVal
)),"")</f>
        <v/>
      </c>
      <c r="I637" s="40" t="str">
        <f>_xlfn.XLOOKUP(A637,Output_Mac!A:A,Output_Mac!I:I,"")</f>
        <v/>
      </c>
      <c r="J637" s="40" t="str" cm="1">
        <f t="array" ref="J637">IFERROR(_xlfn.LET(
_xlpm.CSVVal,_xlfn.XLOOKUP($A637,CSV!$A:$A,CSV!I:I,""),
_xlpm.MacVal,_xlfn.XLOOKUP($A637,Output_Mac!$A:$A,Output_Mac!J:J,""),
_xlpm.MyAuditVal,_xlfn.XLOOKUP($A637,My_Audit!$A:$A,My_Audit!I:I,""),
_xlfn.IFS(_xlpm.MyAuditVal&lt;&gt;"",UPPER(_xlpm.MyAuditVal),_xlpm.MacVal&lt;&gt;"",_xlpm.MacVal,_xlpm.CSVVal&lt;&gt;"",_xlpm.CSVVal
)),"")</f>
        <v/>
      </c>
      <c r="K637" s="40" t="str" cm="1">
        <f t="array" ref="K637">IFERROR(_xlfn.LET(
_xlpm.CSVVal,_xlfn.XLOOKUP($A637,CSV!$A:$A,CSV!K:K,""),
_xlpm.MacVal,_xlfn.XLOOKUP($A637,Output_Mac!$A:$A,Output_Mac!K:K,""),
_xlpm.MyAuditVal,_xlfn.XLOOKUP($A637,My_Audit!$A:$A,My_Audit!J:J,""),
_xlfn.IFS(_xlpm.MyAuditVal&lt;&gt;"",UPPER(_xlpm.MyAuditVal),_xlpm.MacVal&lt;&gt;"",_xlpm.MacVal,_xlpm.CSVVal&lt;&gt;"",_xlpm.CSVVal
)),"")</f>
        <v/>
      </c>
      <c r="L637" s="40" t="str" cm="1">
        <f t="array" ref="L637">IFERROR(_xlfn.LET(
_xlpm.CSVVal,_xlfn.XLOOKUP($A637,CSV!$A:$A,CSV!P:P,""),
_xlpm.MacVal,_xlfn.XLOOKUP($A637,Output_Mac!$A:$A,Output_Mac!L:L,""),
_xlpm.MyAuditVal,_xlfn.XLOOKUP($A637,My_Audit!$A:$A,My_Audit!K:K,""),
_xlfn.IFS(_xlpm.MyAuditVal&lt;&gt;"",UPPER(_xlpm.MyAuditVal),_xlpm.MacVal&lt;&gt;"",_xlpm.MacVal,_xlpm.CSVVal&lt;&gt;"",_xlpm.CSVVal
)),"")</f>
        <v/>
      </c>
      <c r="M637" s="40" t="str" cm="1">
        <f t="array" ref="M637">IFERROR(_xlfn.LET(
_xlpm.CSVVal,_xlfn.XLOOKUP($A637,CSV!$A:$A,CSV!Q:Q,""),
_xlpm.MacVal,_xlfn.XLOOKUP($A637,Output_Mac!$A:$A,Output_Mac!M:M,""),
_xlpm.MyAuditVal,_xlfn.XLOOKUP($A637,My_Audit!$A:$A,My_Audit!L:L,""),
_xlfn.IFS(_xlpm.MyAuditVal&lt;&gt;"",UPPER(_xlpm.MyAuditVal),_xlpm.MacVal&lt;&gt;"",_xlpm.MacVal,_xlpm.CSVVal&lt;&gt;"",_xlpm.CSVVal
)),"")</f>
        <v/>
      </c>
      <c r="N637" s="40"/>
      <c r="O637" s="40" t="str">
        <f>_xlfn.LET(
    _xlpm.CSVVal, _xlfn.XLOOKUP($A637, CSV!$A:$A, CSV!AA:AA, ""),
    _xlpm.MacVal, _xlfn.XLOOKUP($A637, Output_Mac!$A:$A, Output_Mac!S:S, ""),
    _xlpm.MyAuditVal, _xlfn.XLOOKUP($A637, My_Audit!$A:$A, My_Audit!P:P, ""),
    _xlfn.TEXTJOIN(", ", TRUE, _xlpm.MyAuditVal, _xlpm.MacVal, _xlpm.CSVVal)
)</f>
        <v/>
      </c>
      <c r="P637" s="40" t="str" cm="1">
        <f t="array" ref="P637">IFERROR(_xlfn.LET(
_xlpm.CSVVal,_xlfn.XLOOKUP($A637,CSV!$A:$A,CSV!AB:AB,""),
_xlpm.MacVal,_xlfn.XLOOKUP($A637,Output_Mac!$A:$A,Output_Mac!T:T,""),
_xlpm.MyAuditVal,_xlfn.XLOOKUP($A637,My_Audit!$A:$A,My_Audit!Q:Q,""),
_xlfn.IFS(_xlpm.MyAuditVal&lt;&gt;"",UPPER(_xlpm.MyAuditVal),_xlpm.MacVal&lt;&gt;"",_xlpm.MacVal,_xlpm.CSVVal&lt;&gt;"",_xlpm.CSVVal
)),"No")</f>
        <v>No</v>
      </c>
      <c r="Q637" s="40" t="str" cm="1">
        <f t="array" ref="Q637">IFERROR(_xlfn.LET(
_xlpm.CSVVal,_xlfn.XLOOKUP($A637,CSV!$A:$A,CSV!AC:AC,""),
_xlpm.MacVal,_xlfn.XLOOKUP($A637,Output_Mac!$A:$A,Output_Mac!U:U,""),
_xlpm.MyAuditVal,_xlfn.XLOOKUP($A637,My_Audit!$A:$A,My_Audit!R:R,""),
_xlfn.IFS(_xlpm.MyAuditVal&lt;&gt;"",UPPER(_xlpm.MyAuditVal),_xlpm.MacVal&lt;&gt;"",_xlpm.MacVal,_xlpm.CSVVal&lt;&gt;"",_xlpm.CSVVal
)),"")</f>
        <v/>
      </c>
      <c r="R637" s="40"/>
      <c r="S637" s="40"/>
      <c r="T637" s="40"/>
      <c r="U637" s="40"/>
      <c r="V637" s="40"/>
      <c r="W637" s="40"/>
      <c r="X637" s="41" t="str">
        <f>_xlfn.LET(
    _xlpm.MacVal, _xlfn.XLOOKUP($A637, Output_Mac!$A:$A, Output_Mac!AB:AB, ""),
    _xlpm.MyAuditVal, _xlfn.XLOOKUP($A637, My_Audit!$A:$A, My_Audit!N:N, ""),
    _xlfn.TEXTJOIN(", ", TRUE, _xlpm.MyAuditVal, _xlpm.MacVal)
)</f>
        <v/>
      </c>
    </row>
    <row r="638" spans="1:24">
      <c r="A638" s="40" t="str">
        <f>_xlfn.TEXTJOIN("",TRUE,Input!$B$2,ROW(My_Audit!A637))</f>
        <v>X637</v>
      </c>
      <c r="B638" s="40" t="str">
        <f>_xlfn.TEXTJOIN("-",TRUE,"ITD",Input!$A$2,A638)</f>
        <v>ITD-X637</v>
      </c>
      <c r="C638" s="40" t="str" cm="1">
        <f t="array" ref="C638">IFERROR(_xlfn.LET(
_xlpm.CSVVal,_xlfn.XLOOKUP($A638,CSV!$A:$A,CSV!B:B,""),
_xlpm.MacVal,_xlfn.XLOOKUP($A638,Output_Mac!$A:$A,Output_Mac!B:B,""),
_xlpm.MyAuditVal,_xlfn.XLOOKUP($A638,My_Audit!$A:$A,My_Audit!B:B,""),
_xlfn.IFS(_xlpm.MyAuditVal&lt;&gt;"",UPPER(_xlpm.MyAuditVal),_xlpm.MacVal&lt;&gt;"",_xlpm.MacVal,_xlpm.CSVVal&lt;&gt;"",_xlpm.CSVVal
)),"")</f>
        <v/>
      </c>
      <c r="D638" s="40" t="str" cm="1">
        <f t="array" ref="D638">IFERROR(_xlfn.LET(
_xlpm.CSVVal,_xlfn.XLOOKUP($A638,CSV!$A:$A,CSV!D:D,""),
_xlpm.MacVal,_xlfn.XLOOKUP($A638,Output_Mac!$A:$A,Output_Mac!C:C,""),
_xlpm.MyAuditVal,_xlfn.XLOOKUP($A638,My_Audit!$A:$A,My_Audit!C:C,""),
_xlfn.IFS(_xlpm.MyAuditVal&lt;&gt;"",_xlpm.MyAuditVal,_xlpm.MacVal&lt;&gt;"",_xlpm.MacVal,_xlpm.CSVVal&lt;&gt;"",_xlpm.CSVVal
)),"")</f>
        <v/>
      </c>
      <c r="E638" s="40" t="str">
        <f>_xlfn.XLOOKUP(A638,My_Audit!A:A,My_Audit!D:D,"")</f>
        <v/>
      </c>
      <c r="F638" s="40" t="str" cm="1">
        <f t="array" ref="F638">IFERROR(_xlfn.LET(
_xlpm.CSVVal,_xlfn.XLOOKUP($A638,CSV!$A:$A,CSV!F:F,""),
_xlpm.MacVal,_xlfn.XLOOKUP($A638,Output_Mac!$A:$A,Output_Mac!E:E,""),
_xlpm.MyAuditVal,_xlfn.XLOOKUP($A638,My_Audit!$A:$A,My_Audit!E:E,""),
_xlfn.IFS(_xlpm.MyAuditVal&lt;&gt;"",_xlpm.MyAuditVal,_xlpm.MacVal&lt;&gt;"",_xlpm.MacVal,_xlpm.CSVVal&lt;&gt;"",_xlpm.CSVVal
)),"")</f>
        <v/>
      </c>
      <c r="G638" s="40" t="str" cm="1">
        <f t="array" ref="G638">IFERROR(_xlfn.LET(
_xlpm.CSVVal,_xlfn.XLOOKUP($A638,CSV!$A:$A,CSV!G:G,""),
_xlpm.MacVal,_xlfn.XLOOKUP($A638,Output_Mac!$A:$A,Output_Mac!F:F,""),
_xlpm.MyAuditVal,_xlfn.XLOOKUP($A638,My_Audit!$A:$A,My_Audit!F:F,""),
_xlfn.IFS(_xlpm.MyAuditVal&lt;&gt;"",_xlpm.MyAuditVal,_xlpm.MacVal&lt;&gt;"",_xlpm.MacVal,_xlpm.CSVVal&lt;&gt;"",PROPER(_xlpm.CSVVal)
)),"")</f>
        <v/>
      </c>
      <c r="H638" s="40" t="str" cm="1">
        <f t="array" ref="H638">IFERROR(_xlfn.LET(
_xlpm.CSVVal,_xlfn.XLOOKUP($A638,CSV!$A:$A,CSV!H:H,""),
_xlpm.MacVal,_xlfn.XLOOKUP($A638,Output_Mac!$A:$A,Output_Mac!H:H,""),
_xlpm.MyAuditVal,_xlfn.XLOOKUP($A638,My_Audit!$A:$A,My_Audit!G:G,""),
_xlfn.IFS(_xlpm.MyAuditVal&lt;&gt;"",_xlpm.MyAuditVal,_xlpm.MacVal&lt;&gt;"",_xlpm.MacVal,_xlpm.CSVVal&lt;&gt;"",_xlpm.CSVVal
)),"")</f>
        <v/>
      </c>
      <c r="I638" s="40" t="str">
        <f>_xlfn.XLOOKUP(A638,Output_Mac!A:A,Output_Mac!I:I,"")</f>
        <v/>
      </c>
      <c r="J638" s="40" t="str" cm="1">
        <f t="array" ref="J638">IFERROR(_xlfn.LET(
_xlpm.CSVVal,_xlfn.XLOOKUP($A638,CSV!$A:$A,CSV!I:I,""),
_xlpm.MacVal,_xlfn.XLOOKUP($A638,Output_Mac!$A:$A,Output_Mac!J:J,""),
_xlpm.MyAuditVal,_xlfn.XLOOKUP($A638,My_Audit!$A:$A,My_Audit!I:I,""),
_xlfn.IFS(_xlpm.MyAuditVal&lt;&gt;"",UPPER(_xlpm.MyAuditVal),_xlpm.MacVal&lt;&gt;"",_xlpm.MacVal,_xlpm.CSVVal&lt;&gt;"",_xlpm.CSVVal
)),"")</f>
        <v/>
      </c>
      <c r="K638" s="40" t="str" cm="1">
        <f t="array" ref="K638">IFERROR(_xlfn.LET(
_xlpm.CSVVal,_xlfn.XLOOKUP($A638,CSV!$A:$A,CSV!K:K,""),
_xlpm.MacVal,_xlfn.XLOOKUP($A638,Output_Mac!$A:$A,Output_Mac!K:K,""),
_xlpm.MyAuditVal,_xlfn.XLOOKUP($A638,My_Audit!$A:$A,My_Audit!J:J,""),
_xlfn.IFS(_xlpm.MyAuditVal&lt;&gt;"",UPPER(_xlpm.MyAuditVal),_xlpm.MacVal&lt;&gt;"",_xlpm.MacVal,_xlpm.CSVVal&lt;&gt;"",_xlpm.CSVVal
)),"")</f>
        <v/>
      </c>
      <c r="L638" s="40" t="str" cm="1">
        <f t="array" ref="L638">IFERROR(_xlfn.LET(
_xlpm.CSVVal,_xlfn.XLOOKUP($A638,CSV!$A:$A,CSV!P:P,""),
_xlpm.MacVal,_xlfn.XLOOKUP($A638,Output_Mac!$A:$A,Output_Mac!L:L,""),
_xlpm.MyAuditVal,_xlfn.XLOOKUP($A638,My_Audit!$A:$A,My_Audit!K:K,""),
_xlfn.IFS(_xlpm.MyAuditVal&lt;&gt;"",UPPER(_xlpm.MyAuditVal),_xlpm.MacVal&lt;&gt;"",_xlpm.MacVal,_xlpm.CSVVal&lt;&gt;"",_xlpm.CSVVal
)),"")</f>
        <v/>
      </c>
      <c r="M638" s="40" t="str" cm="1">
        <f t="array" ref="M638">IFERROR(_xlfn.LET(
_xlpm.CSVVal,_xlfn.XLOOKUP($A638,CSV!$A:$A,CSV!Q:Q,""),
_xlpm.MacVal,_xlfn.XLOOKUP($A638,Output_Mac!$A:$A,Output_Mac!M:M,""),
_xlpm.MyAuditVal,_xlfn.XLOOKUP($A638,My_Audit!$A:$A,My_Audit!L:L,""),
_xlfn.IFS(_xlpm.MyAuditVal&lt;&gt;"",UPPER(_xlpm.MyAuditVal),_xlpm.MacVal&lt;&gt;"",_xlpm.MacVal,_xlpm.CSVVal&lt;&gt;"",_xlpm.CSVVal
)),"")</f>
        <v/>
      </c>
      <c r="N638" s="40"/>
      <c r="O638" s="40" t="str">
        <f>_xlfn.LET(
    _xlpm.CSVVal, _xlfn.XLOOKUP($A638, CSV!$A:$A, CSV!AA:AA, ""),
    _xlpm.MacVal, _xlfn.XLOOKUP($A638, Output_Mac!$A:$A, Output_Mac!S:S, ""),
    _xlpm.MyAuditVal, _xlfn.XLOOKUP($A638, My_Audit!$A:$A, My_Audit!P:P, ""),
    _xlfn.TEXTJOIN(", ", TRUE, _xlpm.MyAuditVal, _xlpm.MacVal, _xlpm.CSVVal)
)</f>
        <v/>
      </c>
      <c r="P638" s="40" t="str" cm="1">
        <f t="array" ref="P638">IFERROR(_xlfn.LET(
_xlpm.CSVVal,_xlfn.XLOOKUP($A638,CSV!$A:$A,CSV!AB:AB,""),
_xlpm.MacVal,_xlfn.XLOOKUP($A638,Output_Mac!$A:$A,Output_Mac!T:T,""),
_xlpm.MyAuditVal,_xlfn.XLOOKUP($A638,My_Audit!$A:$A,My_Audit!Q:Q,""),
_xlfn.IFS(_xlpm.MyAuditVal&lt;&gt;"",UPPER(_xlpm.MyAuditVal),_xlpm.MacVal&lt;&gt;"",_xlpm.MacVal,_xlpm.CSVVal&lt;&gt;"",_xlpm.CSVVal
)),"No")</f>
        <v>No</v>
      </c>
      <c r="Q638" s="40" t="str" cm="1">
        <f t="array" ref="Q638">IFERROR(_xlfn.LET(
_xlpm.CSVVal,_xlfn.XLOOKUP($A638,CSV!$A:$A,CSV!AC:AC,""),
_xlpm.MacVal,_xlfn.XLOOKUP($A638,Output_Mac!$A:$A,Output_Mac!U:U,""),
_xlpm.MyAuditVal,_xlfn.XLOOKUP($A638,My_Audit!$A:$A,My_Audit!R:R,""),
_xlfn.IFS(_xlpm.MyAuditVal&lt;&gt;"",UPPER(_xlpm.MyAuditVal),_xlpm.MacVal&lt;&gt;"",_xlpm.MacVal,_xlpm.CSVVal&lt;&gt;"",_xlpm.CSVVal
)),"")</f>
        <v/>
      </c>
      <c r="R638" s="40"/>
      <c r="S638" s="40"/>
      <c r="T638" s="40"/>
      <c r="U638" s="40"/>
      <c r="V638" s="40"/>
      <c r="W638" s="40"/>
      <c r="X638" s="41" t="str">
        <f>_xlfn.LET(
    _xlpm.MacVal, _xlfn.XLOOKUP($A638, Output_Mac!$A:$A, Output_Mac!AB:AB, ""),
    _xlpm.MyAuditVal, _xlfn.XLOOKUP($A638, My_Audit!$A:$A, My_Audit!N:N, ""),
    _xlfn.TEXTJOIN(", ", TRUE, _xlpm.MyAuditVal, _xlpm.MacVal)
)</f>
        <v/>
      </c>
    </row>
    <row r="639" spans="1:24">
      <c r="A639" s="40" t="str">
        <f>_xlfn.TEXTJOIN("",TRUE,Input!$B$2,ROW(My_Audit!A638))</f>
        <v>X638</v>
      </c>
      <c r="B639" s="40" t="str">
        <f>_xlfn.TEXTJOIN("-",TRUE,"ITD",Input!$A$2,A639)</f>
        <v>ITD-X638</v>
      </c>
      <c r="C639" s="40" t="str" cm="1">
        <f t="array" ref="C639">IFERROR(_xlfn.LET(
_xlpm.CSVVal,_xlfn.XLOOKUP($A639,CSV!$A:$A,CSV!B:B,""),
_xlpm.MacVal,_xlfn.XLOOKUP($A639,Output_Mac!$A:$A,Output_Mac!B:B,""),
_xlpm.MyAuditVal,_xlfn.XLOOKUP($A639,My_Audit!$A:$A,My_Audit!B:B,""),
_xlfn.IFS(_xlpm.MyAuditVal&lt;&gt;"",UPPER(_xlpm.MyAuditVal),_xlpm.MacVal&lt;&gt;"",_xlpm.MacVal,_xlpm.CSVVal&lt;&gt;"",_xlpm.CSVVal
)),"")</f>
        <v/>
      </c>
      <c r="D639" s="40" t="str" cm="1">
        <f t="array" ref="D639">IFERROR(_xlfn.LET(
_xlpm.CSVVal,_xlfn.XLOOKUP($A639,CSV!$A:$A,CSV!D:D,""),
_xlpm.MacVal,_xlfn.XLOOKUP($A639,Output_Mac!$A:$A,Output_Mac!C:C,""),
_xlpm.MyAuditVal,_xlfn.XLOOKUP($A639,My_Audit!$A:$A,My_Audit!C:C,""),
_xlfn.IFS(_xlpm.MyAuditVal&lt;&gt;"",_xlpm.MyAuditVal,_xlpm.MacVal&lt;&gt;"",_xlpm.MacVal,_xlpm.CSVVal&lt;&gt;"",_xlpm.CSVVal
)),"")</f>
        <v/>
      </c>
      <c r="E639" s="40" t="str">
        <f>_xlfn.XLOOKUP(A639,My_Audit!A:A,My_Audit!D:D,"")</f>
        <v/>
      </c>
      <c r="F639" s="40" t="str" cm="1">
        <f t="array" ref="F639">IFERROR(_xlfn.LET(
_xlpm.CSVVal,_xlfn.XLOOKUP($A639,CSV!$A:$A,CSV!F:F,""),
_xlpm.MacVal,_xlfn.XLOOKUP($A639,Output_Mac!$A:$A,Output_Mac!E:E,""),
_xlpm.MyAuditVal,_xlfn.XLOOKUP($A639,My_Audit!$A:$A,My_Audit!E:E,""),
_xlfn.IFS(_xlpm.MyAuditVal&lt;&gt;"",_xlpm.MyAuditVal,_xlpm.MacVal&lt;&gt;"",_xlpm.MacVal,_xlpm.CSVVal&lt;&gt;"",_xlpm.CSVVal
)),"")</f>
        <v/>
      </c>
      <c r="G639" s="40" t="str" cm="1">
        <f t="array" ref="G639">IFERROR(_xlfn.LET(
_xlpm.CSVVal,_xlfn.XLOOKUP($A639,CSV!$A:$A,CSV!G:G,""),
_xlpm.MacVal,_xlfn.XLOOKUP($A639,Output_Mac!$A:$A,Output_Mac!F:F,""),
_xlpm.MyAuditVal,_xlfn.XLOOKUP($A639,My_Audit!$A:$A,My_Audit!F:F,""),
_xlfn.IFS(_xlpm.MyAuditVal&lt;&gt;"",_xlpm.MyAuditVal,_xlpm.MacVal&lt;&gt;"",_xlpm.MacVal,_xlpm.CSVVal&lt;&gt;"",PROPER(_xlpm.CSVVal)
)),"")</f>
        <v/>
      </c>
      <c r="H639" s="40" t="str" cm="1">
        <f t="array" ref="H639">IFERROR(_xlfn.LET(
_xlpm.CSVVal,_xlfn.XLOOKUP($A639,CSV!$A:$A,CSV!H:H,""),
_xlpm.MacVal,_xlfn.XLOOKUP($A639,Output_Mac!$A:$A,Output_Mac!H:H,""),
_xlpm.MyAuditVal,_xlfn.XLOOKUP($A639,My_Audit!$A:$A,My_Audit!G:G,""),
_xlfn.IFS(_xlpm.MyAuditVal&lt;&gt;"",_xlpm.MyAuditVal,_xlpm.MacVal&lt;&gt;"",_xlpm.MacVal,_xlpm.CSVVal&lt;&gt;"",_xlpm.CSVVal
)),"")</f>
        <v/>
      </c>
      <c r="I639" s="40" t="str">
        <f>_xlfn.XLOOKUP(A639,Output_Mac!A:A,Output_Mac!I:I,"")</f>
        <v/>
      </c>
      <c r="J639" s="40" t="str" cm="1">
        <f t="array" ref="J639">IFERROR(_xlfn.LET(
_xlpm.CSVVal,_xlfn.XLOOKUP($A639,CSV!$A:$A,CSV!I:I,""),
_xlpm.MacVal,_xlfn.XLOOKUP($A639,Output_Mac!$A:$A,Output_Mac!J:J,""),
_xlpm.MyAuditVal,_xlfn.XLOOKUP($A639,My_Audit!$A:$A,My_Audit!I:I,""),
_xlfn.IFS(_xlpm.MyAuditVal&lt;&gt;"",UPPER(_xlpm.MyAuditVal),_xlpm.MacVal&lt;&gt;"",_xlpm.MacVal,_xlpm.CSVVal&lt;&gt;"",_xlpm.CSVVal
)),"")</f>
        <v/>
      </c>
      <c r="K639" s="40" t="str" cm="1">
        <f t="array" ref="K639">IFERROR(_xlfn.LET(
_xlpm.CSVVal,_xlfn.XLOOKUP($A639,CSV!$A:$A,CSV!K:K,""),
_xlpm.MacVal,_xlfn.XLOOKUP($A639,Output_Mac!$A:$A,Output_Mac!K:K,""),
_xlpm.MyAuditVal,_xlfn.XLOOKUP($A639,My_Audit!$A:$A,My_Audit!J:J,""),
_xlfn.IFS(_xlpm.MyAuditVal&lt;&gt;"",UPPER(_xlpm.MyAuditVal),_xlpm.MacVal&lt;&gt;"",_xlpm.MacVal,_xlpm.CSVVal&lt;&gt;"",_xlpm.CSVVal
)),"")</f>
        <v/>
      </c>
      <c r="L639" s="40" t="str" cm="1">
        <f t="array" ref="L639">IFERROR(_xlfn.LET(
_xlpm.CSVVal,_xlfn.XLOOKUP($A639,CSV!$A:$A,CSV!P:P,""),
_xlpm.MacVal,_xlfn.XLOOKUP($A639,Output_Mac!$A:$A,Output_Mac!L:L,""),
_xlpm.MyAuditVal,_xlfn.XLOOKUP($A639,My_Audit!$A:$A,My_Audit!K:K,""),
_xlfn.IFS(_xlpm.MyAuditVal&lt;&gt;"",UPPER(_xlpm.MyAuditVal),_xlpm.MacVal&lt;&gt;"",_xlpm.MacVal,_xlpm.CSVVal&lt;&gt;"",_xlpm.CSVVal
)),"")</f>
        <v/>
      </c>
      <c r="M639" s="40" t="str" cm="1">
        <f t="array" ref="M639">IFERROR(_xlfn.LET(
_xlpm.CSVVal,_xlfn.XLOOKUP($A639,CSV!$A:$A,CSV!Q:Q,""),
_xlpm.MacVal,_xlfn.XLOOKUP($A639,Output_Mac!$A:$A,Output_Mac!M:M,""),
_xlpm.MyAuditVal,_xlfn.XLOOKUP($A639,My_Audit!$A:$A,My_Audit!L:L,""),
_xlfn.IFS(_xlpm.MyAuditVal&lt;&gt;"",UPPER(_xlpm.MyAuditVal),_xlpm.MacVal&lt;&gt;"",_xlpm.MacVal,_xlpm.CSVVal&lt;&gt;"",_xlpm.CSVVal
)),"")</f>
        <v/>
      </c>
      <c r="N639" s="40"/>
      <c r="O639" s="40" t="str">
        <f>_xlfn.LET(
    _xlpm.CSVVal, _xlfn.XLOOKUP($A639, CSV!$A:$A, CSV!AA:AA, ""),
    _xlpm.MacVal, _xlfn.XLOOKUP($A639, Output_Mac!$A:$A, Output_Mac!S:S, ""),
    _xlpm.MyAuditVal, _xlfn.XLOOKUP($A639, My_Audit!$A:$A, My_Audit!P:P, ""),
    _xlfn.TEXTJOIN(", ", TRUE, _xlpm.MyAuditVal, _xlpm.MacVal, _xlpm.CSVVal)
)</f>
        <v/>
      </c>
      <c r="P639" s="40" t="str" cm="1">
        <f t="array" ref="P639">IFERROR(_xlfn.LET(
_xlpm.CSVVal,_xlfn.XLOOKUP($A639,CSV!$A:$A,CSV!AB:AB,""),
_xlpm.MacVal,_xlfn.XLOOKUP($A639,Output_Mac!$A:$A,Output_Mac!T:T,""),
_xlpm.MyAuditVal,_xlfn.XLOOKUP($A639,My_Audit!$A:$A,My_Audit!Q:Q,""),
_xlfn.IFS(_xlpm.MyAuditVal&lt;&gt;"",UPPER(_xlpm.MyAuditVal),_xlpm.MacVal&lt;&gt;"",_xlpm.MacVal,_xlpm.CSVVal&lt;&gt;"",_xlpm.CSVVal
)),"No")</f>
        <v>No</v>
      </c>
      <c r="Q639" s="40" t="str" cm="1">
        <f t="array" ref="Q639">IFERROR(_xlfn.LET(
_xlpm.CSVVal,_xlfn.XLOOKUP($A639,CSV!$A:$A,CSV!AC:AC,""),
_xlpm.MacVal,_xlfn.XLOOKUP($A639,Output_Mac!$A:$A,Output_Mac!U:U,""),
_xlpm.MyAuditVal,_xlfn.XLOOKUP($A639,My_Audit!$A:$A,My_Audit!R:R,""),
_xlfn.IFS(_xlpm.MyAuditVal&lt;&gt;"",UPPER(_xlpm.MyAuditVal),_xlpm.MacVal&lt;&gt;"",_xlpm.MacVal,_xlpm.CSVVal&lt;&gt;"",_xlpm.CSVVal
)),"")</f>
        <v/>
      </c>
      <c r="R639" s="40"/>
      <c r="S639" s="40"/>
      <c r="T639" s="40"/>
      <c r="U639" s="40"/>
      <c r="V639" s="40"/>
      <c r="W639" s="40"/>
      <c r="X639" s="41" t="str">
        <f>_xlfn.LET(
    _xlpm.MacVal, _xlfn.XLOOKUP($A639, Output_Mac!$A:$A, Output_Mac!AB:AB, ""),
    _xlpm.MyAuditVal, _xlfn.XLOOKUP($A639, My_Audit!$A:$A, My_Audit!N:N, ""),
    _xlfn.TEXTJOIN(", ", TRUE, _xlpm.MyAuditVal, _xlpm.MacVal)
)</f>
        <v/>
      </c>
    </row>
    <row r="640" spans="1:24">
      <c r="A640" s="40" t="str">
        <f>_xlfn.TEXTJOIN("",TRUE,Input!$B$2,ROW(My_Audit!A639))</f>
        <v>X639</v>
      </c>
      <c r="B640" s="40" t="str">
        <f>_xlfn.TEXTJOIN("-",TRUE,"ITD",Input!$A$2,A640)</f>
        <v>ITD-X639</v>
      </c>
      <c r="C640" s="40" t="str" cm="1">
        <f t="array" ref="C640">IFERROR(_xlfn.LET(
_xlpm.CSVVal,_xlfn.XLOOKUP($A640,CSV!$A:$A,CSV!B:B,""),
_xlpm.MacVal,_xlfn.XLOOKUP($A640,Output_Mac!$A:$A,Output_Mac!B:B,""),
_xlpm.MyAuditVal,_xlfn.XLOOKUP($A640,My_Audit!$A:$A,My_Audit!B:B,""),
_xlfn.IFS(_xlpm.MyAuditVal&lt;&gt;"",UPPER(_xlpm.MyAuditVal),_xlpm.MacVal&lt;&gt;"",_xlpm.MacVal,_xlpm.CSVVal&lt;&gt;"",_xlpm.CSVVal
)),"")</f>
        <v/>
      </c>
      <c r="D640" s="40" t="str" cm="1">
        <f t="array" ref="D640">IFERROR(_xlfn.LET(
_xlpm.CSVVal,_xlfn.XLOOKUP($A640,CSV!$A:$A,CSV!D:D,""),
_xlpm.MacVal,_xlfn.XLOOKUP($A640,Output_Mac!$A:$A,Output_Mac!C:C,""),
_xlpm.MyAuditVal,_xlfn.XLOOKUP($A640,My_Audit!$A:$A,My_Audit!C:C,""),
_xlfn.IFS(_xlpm.MyAuditVal&lt;&gt;"",_xlpm.MyAuditVal,_xlpm.MacVal&lt;&gt;"",_xlpm.MacVal,_xlpm.CSVVal&lt;&gt;"",_xlpm.CSVVal
)),"")</f>
        <v/>
      </c>
      <c r="E640" s="40" t="str">
        <f>_xlfn.XLOOKUP(A640,My_Audit!A:A,My_Audit!D:D,"")</f>
        <v/>
      </c>
      <c r="F640" s="40" t="str" cm="1">
        <f t="array" ref="F640">IFERROR(_xlfn.LET(
_xlpm.CSVVal,_xlfn.XLOOKUP($A640,CSV!$A:$A,CSV!F:F,""),
_xlpm.MacVal,_xlfn.XLOOKUP($A640,Output_Mac!$A:$A,Output_Mac!E:E,""),
_xlpm.MyAuditVal,_xlfn.XLOOKUP($A640,My_Audit!$A:$A,My_Audit!E:E,""),
_xlfn.IFS(_xlpm.MyAuditVal&lt;&gt;"",_xlpm.MyAuditVal,_xlpm.MacVal&lt;&gt;"",_xlpm.MacVal,_xlpm.CSVVal&lt;&gt;"",_xlpm.CSVVal
)),"")</f>
        <v/>
      </c>
      <c r="G640" s="40" t="str" cm="1">
        <f t="array" ref="G640">IFERROR(_xlfn.LET(
_xlpm.CSVVal,_xlfn.XLOOKUP($A640,CSV!$A:$A,CSV!G:G,""),
_xlpm.MacVal,_xlfn.XLOOKUP($A640,Output_Mac!$A:$A,Output_Mac!F:F,""),
_xlpm.MyAuditVal,_xlfn.XLOOKUP($A640,My_Audit!$A:$A,My_Audit!F:F,""),
_xlfn.IFS(_xlpm.MyAuditVal&lt;&gt;"",_xlpm.MyAuditVal,_xlpm.MacVal&lt;&gt;"",_xlpm.MacVal,_xlpm.CSVVal&lt;&gt;"",PROPER(_xlpm.CSVVal)
)),"")</f>
        <v/>
      </c>
      <c r="H640" s="40" t="str" cm="1">
        <f t="array" ref="H640">IFERROR(_xlfn.LET(
_xlpm.CSVVal,_xlfn.XLOOKUP($A640,CSV!$A:$A,CSV!H:H,""),
_xlpm.MacVal,_xlfn.XLOOKUP($A640,Output_Mac!$A:$A,Output_Mac!H:H,""),
_xlpm.MyAuditVal,_xlfn.XLOOKUP($A640,My_Audit!$A:$A,My_Audit!G:G,""),
_xlfn.IFS(_xlpm.MyAuditVal&lt;&gt;"",_xlpm.MyAuditVal,_xlpm.MacVal&lt;&gt;"",_xlpm.MacVal,_xlpm.CSVVal&lt;&gt;"",_xlpm.CSVVal
)),"")</f>
        <v/>
      </c>
      <c r="I640" s="40" t="str">
        <f>_xlfn.XLOOKUP(A640,Output_Mac!A:A,Output_Mac!I:I,"")</f>
        <v/>
      </c>
      <c r="J640" s="40" t="str" cm="1">
        <f t="array" ref="J640">IFERROR(_xlfn.LET(
_xlpm.CSVVal,_xlfn.XLOOKUP($A640,CSV!$A:$A,CSV!I:I,""),
_xlpm.MacVal,_xlfn.XLOOKUP($A640,Output_Mac!$A:$A,Output_Mac!J:J,""),
_xlpm.MyAuditVal,_xlfn.XLOOKUP($A640,My_Audit!$A:$A,My_Audit!I:I,""),
_xlfn.IFS(_xlpm.MyAuditVal&lt;&gt;"",UPPER(_xlpm.MyAuditVal),_xlpm.MacVal&lt;&gt;"",_xlpm.MacVal,_xlpm.CSVVal&lt;&gt;"",_xlpm.CSVVal
)),"")</f>
        <v/>
      </c>
      <c r="K640" s="40" t="str" cm="1">
        <f t="array" ref="K640">IFERROR(_xlfn.LET(
_xlpm.CSVVal,_xlfn.XLOOKUP($A640,CSV!$A:$A,CSV!K:K,""),
_xlpm.MacVal,_xlfn.XLOOKUP($A640,Output_Mac!$A:$A,Output_Mac!K:K,""),
_xlpm.MyAuditVal,_xlfn.XLOOKUP($A640,My_Audit!$A:$A,My_Audit!J:J,""),
_xlfn.IFS(_xlpm.MyAuditVal&lt;&gt;"",UPPER(_xlpm.MyAuditVal),_xlpm.MacVal&lt;&gt;"",_xlpm.MacVal,_xlpm.CSVVal&lt;&gt;"",_xlpm.CSVVal
)),"")</f>
        <v/>
      </c>
      <c r="L640" s="40" t="str" cm="1">
        <f t="array" ref="L640">IFERROR(_xlfn.LET(
_xlpm.CSVVal,_xlfn.XLOOKUP($A640,CSV!$A:$A,CSV!P:P,""),
_xlpm.MacVal,_xlfn.XLOOKUP($A640,Output_Mac!$A:$A,Output_Mac!L:L,""),
_xlpm.MyAuditVal,_xlfn.XLOOKUP($A640,My_Audit!$A:$A,My_Audit!K:K,""),
_xlfn.IFS(_xlpm.MyAuditVal&lt;&gt;"",UPPER(_xlpm.MyAuditVal),_xlpm.MacVal&lt;&gt;"",_xlpm.MacVal,_xlpm.CSVVal&lt;&gt;"",_xlpm.CSVVal
)),"")</f>
        <v/>
      </c>
      <c r="M640" s="40" t="str" cm="1">
        <f t="array" ref="M640">IFERROR(_xlfn.LET(
_xlpm.CSVVal,_xlfn.XLOOKUP($A640,CSV!$A:$A,CSV!Q:Q,""),
_xlpm.MacVal,_xlfn.XLOOKUP($A640,Output_Mac!$A:$A,Output_Mac!M:M,""),
_xlpm.MyAuditVal,_xlfn.XLOOKUP($A640,My_Audit!$A:$A,My_Audit!L:L,""),
_xlfn.IFS(_xlpm.MyAuditVal&lt;&gt;"",UPPER(_xlpm.MyAuditVal),_xlpm.MacVal&lt;&gt;"",_xlpm.MacVal,_xlpm.CSVVal&lt;&gt;"",_xlpm.CSVVal
)),"")</f>
        <v/>
      </c>
      <c r="N640" s="40"/>
      <c r="O640" s="40" t="str">
        <f>_xlfn.LET(
    _xlpm.CSVVal, _xlfn.XLOOKUP($A640, CSV!$A:$A, CSV!AA:AA, ""),
    _xlpm.MacVal, _xlfn.XLOOKUP($A640, Output_Mac!$A:$A, Output_Mac!S:S, ""),
    _xlpm.MyAuditVal, _xlfn.XLOOKUP($A640, My_Audit!$A:$A, My_Audit!P:P, ""),
    _xlfn.TEXTJOIN(", ", TRUE, _xlpm.MyAuditVal, _xlpm.MacVal, _xlpm.CSVVal)
)</f>
        <v/>
      </c>
      <c r="P640" s="40" t="str" cm="1">
        <f t="array" ref="P640">IFERROR(_xlfn.LET(
_xlpm.CSVVal,_xlfn.XLOOKUP($A640,CSV!$A:$A,CSV!AB:AB,""),
_xlpm.MacVal,_xlfn.XLOOKUP($A640,Output_Mac!$A:$A,Output_Mac!T:T,""),
_xlpm.MyAuditVal,_xlfn.XLOOKUP($A640,My_Audit!$A:$A,My_Audit!Q:Q,""),
_xlfn.IFS(_xlpm.MyAuditVal&lt;&gt;"",UPPER(_xlpm.MyAuditVal),_xlpm.MacVal&lt;&gt;"",_xlpm.MacVal,_xlpm.CSVVal&lt;&gt;"",_xlpm.CSVVal
)),"No")</f>
        <v>No</v>
      </c>
      <c r="Q640" s="40" t="str" cm="1">
        <f t="array" ref="Q640">IFERROR(_xlfn.LET(
_xlpm.CSVVal,_xlfn.XLOOKUP($A640,CSV!$A:$A,CSV!AC:AC,""),
_xlpm.MacVal,_xlfn.XLOOKUP($A640,Output_Mac!$A:$A,Output_Mac!U:U,""),
_xlpm.MyAuditVal,_xlfn.XLOOKUP($A640,My_Audit!$A:$A,My_Audit!R:R,""),
_xlfn.IFS(_xlpm.MyAuditVal&lt;&gt;"",UPPER(_xlpm.MyAuditVal),_xlpm.MacVal&lt;&gt;"",_xlpm.MacVal,_xlpm.CSVVal&lt;&gt;"",_xlpm.CSVVal
)),"")</f>
        <v/>
      </c>
      <c r="R640" s="40"/>
      <c r="S640" s="40"/>
      <c r="T640" s="40"/>
      <c r="U640" s="40"/>
      <c r="V640" s="40"/>
      <c r="W640" s="40"/>
      <c r="X640" s="41" t="str">
        <f>_xlfn.LET(
    _xlpm.MacVal, _xlfn.XLOOKUP($A640, Output_Mac!$A:$A, Output_Mac!AB:AB, ""),
    _xlpm.MyAuditVal, _xlfn.XLOOKUP($A640, My_Audit!$A:$A, My_Audit!N:N, ""),
    _xlfn.TEXTJOIN(", ", TRUE, _xlpm.MyAuditVal, _xlpm.MacVal)
)</f>
        <v/>
      </c>
    </row>
    <row r="641" spans="1:24">
      <c r="A641" s="40" t="str">
        <f>_xlfn.TEXTJOIN("",TRUE,Input!$B$2,ROW(My_Audit!A640))</f>
        <v>X640</v>
      </c>
      <c r="B641" s="40" t="str">
        <f>_xlfn.TEXTJOIN("-",TRUE,"ITD",Input!$A$2,A641)</f>
        <v>ITD-X640</v>
      </c>
      <c r="C641" s="40" t="str" cm="1">
        <f t="array" ref="C641">IFERROR(_xlfn.LET(
_xlpm.CSVVal,_xlfn.XLOOKUP($A641,CSV!$A:$A,CSV!B:B,""),
_xlpm.MacVal,_xlfn.XLOOKUP($A641,Output_Mac!$A:$A,Output_Mac!B:B,""),
_xlpm.MyAuditVal,_xlfn.XLOOKUP($A641,My_Audit!$A:$A,My_Audit!B:B,""),
_xlfn.IFS(_xlpm.MyAuditVal&lt;&gt;"",UPPER(_xlpm.MyAuditVal),_xlpm.MacVal&lt;&gt;"",_xlpm.MacVal,_xlpm.CSVVal&lt;&gt;"",_xlpm.CSVVal
)),"")</f>
        <v/>
      </c>
      <c r="D641" s="40" t="str" cm="1">
        <f t="array" ref="D641">IFERROR(_xlfn.LET(
_xlpm.CSVVal,_xlfn.XLOOKUP($A641,CSV!$A:$A,CSV!D:D,""),
_xlpm.MacVal,_xlfn.XLOOKUP($A641,Output_Mac!$A:$A,Output_Mac!C:C,""),
_xlpm.MyAuditVal,_xlfn.XLOOKUP($A641,My_Audit!$A:$A,My_Audit!C:C,""),
_xlfn.IFS(_xlpm.MyAuditVal&lt;&gt;"",_xlpm.MyAuditVal,_xlpm.MacVal&lt;&gt;"",_xlpm.MacVal,_xlpm.CSVVal&lt;&gt;"",_xlpm.CSVVal
)),"")</f>
        <v/>
      </c>
      <c r="E641" s="40" t="str">
        <f>_xlfn.XLOOKUP(A641,My_Audit!A:A,My_Audit!D:D,"")</f>
        <v/>
      </c>
      <c r="F641" s="40" t="str" cm="1">
        <f t="array" ref="F641">IFERROR(_xlfn.LET(
_xlpm.CSVVal,_xlfn.XLOOKUP($A641,CSV!$A:$A,CSV!F:F,""),
_xlpm.MacVal,_xlfn.XLOOKUP($A641,Output_Mac!$A:$A,Output_Mac!E:E,""),
_xlpm.MyAuditVal,_xlfn.XLOOKUP($A641,My_Audit!$A:$A,My_Audit!E:E,""),
_xlfn.IFS(_xlpm.MyAuditVal&lt;&gt;"",_xlpm.MyAuditVal,_xlpm.MacVal&lt;&gt;"",_xlpm.MacVal,_xlpm.CSVVal&lt;&gt;"",_xlpm.CSVVal
)),"")</f>
        <v/>
      </c>
      <c r="G641" s="40" t="str" cm="1">
        <f t="array" ref="G641">IFERROR(_xlfn.LET(
_xlpm.CSVVal,_xlfn.XLOOKUP($A641,CSV!$A:$A,CSV!G:G,""),
_xlpm.MacVal,_xlfn.XLOOKUP($A641,Output_Mac!$A:$A,Output_Mac!F:F,""),
_xlpm.MyAuditVal,_xlfn.XLOOKUP($A641,My_Audit!$A:$A,My_Audit!F:F,""),
_xlfn.IFS(_xlpm.MyAuditVal&lt;&gt;"",_xlpm.MyAuditVal,_xlpm.MacVal&lt;&gt;"",_xlpm.MacVal,_xlpm.CSVVal&lt;&gt;"",PROPER(_xlpm.CSVVal)
)),"")</f>
        <v/>
      </c>
      <c r="H641" s="40" t="str" cm="1">
        <f t="array" ref="H641">IFERROR(_xlfn.LET(
_xlpm.CSVVal,_xlfn.XLOOKUP($A641,CSV!$A:$A,CSV!H:H,""),
_xlpm.MacVal,_xlfn.XLOOKUP($A641,Output_Mac!$A:$A,Output_Mac!H:H,""),
_xlpm.MyAuditVal,_xlfn.XLOOKUP($A641,My_Audit!$A:$A,My_Audit!G:G,""),
_xlfn.IFS(_xlpm.MyAuditVal&lt;&gt;"",_xlpm.MyAuditVal,_xlpm.MacVal&lt;&gt;"",_xlpm.MacVal,_xlpm.CSVVal&lt;&gt;"",_xlpm.CSVVal
)),"")</f>
        <v/>
      </c>
      <c r="I641" s="40" t="str">
        <f>_xlfn.XLOOKUP(A641,Output_Mac!A:A,Output_Mac!I:I,"")</f>
        <v/>
      </c>
      <c r="J641" s="40" t="str" cm="1">
        <f t="array" ref="J641">IFERROR(_xlfn.LET(
_xlpm.CSVVal,_xlfn.XLOOKUP($A641,CSV!$A:$A,CSV!I:I,""),
_xlpm.MacVal,_xlfn.XLOOKUP($A641,Output_Mac!$A:$A,Output_Mac!J:J,""),
_xlpm.MyAuditVal,_xlfn.XLOOKUP($A641,My_Audit!$A:$A,My_Audit!I:I,""),
_xlfn.IFS(_xlpm.MyAuditVal&lt;&gt;"",UPPER(_xlpm.MyAuditVal),_xlpm.MacVal&lt;&gt;"",_xlpm.MacVal,_xlpm.CSVVal&lt;&gt;"",_xlpm.CSVVal
)),"")</f>
        <v/>
      </c>
      <c r="K641" s="40" t="str" cm="1">
        <f t="array" ref="K641">IFERROR(_xlfn.LET(
_xlpm.CSVVal,_xlfn.XLOOKUP($A641,CSV!$A:$A,CSV!K:K,""),
_xlpm.MacVal,_xlfn.XLOOKUP($A641,Output_Mac!$A:$A,Output_Mac!K:K,""),
_xlpm.MyAuditVal,_xlfn.XLOOKUP($A641,My_Audit!$A:$A,My_Audit!J:J,""),
_xlfn.IFS(_xlpm.MyAuditVal&lt;&gt;"",UPPER(_xlpm.MyAuditVal),_xlpm.MacVal&lt;&gt;"",_xlpm.MacVal,_xlpm.CSVVal&lt;&gt;"",_xlpm.CSVVal
)),"")</f>
        <v/>
      </c>
      <c r="L641" s="40" t="str" cm="1">
        <f t="array" ref="L641">IFERROR(_xlfn.LET(
_xlpm.CSVVal,_xlfn.XLOOKUP($A641,CSV!$A:$A,CSV!P:P,""),
_xlpm.MacVal,_xlfn.XLOOKUP($A641,Output_Mac!$A:$A,Output_Mac!L:L,""),
_xlpm.MyAuditVal,_xlfn.XLOOKUP($A641,My_Audit!$A:$A,My_Audit!K:K,""),
_xlfn.IFS(_xlpm.MyAuditVal&lt;&gt;"",UPPER(_xlpm.MyAuditVal),_xlpm.MacVal&lt;&gt;"",_xlpm.MacVal,_xlpm.CSVVal&lt;&gt;"",_xlpm.CSVVal
)),"")</f>
        <v/>
      </c>
      <c r="M641" s="40" t="str" cm="1">
        <f t="array" ref="M641">IFERROR(_xlfn.LET(
_xlpm.CSVVal,_xlfn.XLOOKUP($A641,CSV!$A:$A,CSV!Q:Q,""),
_xlpm.MacVal,_xlfn.XLOOKUP($A641,Output_Mac!$A:$A,Output_Mac!M:M,""),
_xlpm.MyAuditVal,_xlfn.XLOOKUP($A641,My_Audit!$A:$A,My_Audit!L:L,""),
_xlfn.IFS(_xlpm.MyAuditVal&lt;&gt;"",UPPER(_xlpm.MyAuditVal),_xlpm.MacVal&lt;&gt;"",_xlpm.MacVal,_xlpm.CSVVal&lt;&gt;"",_xlpm.CSVVal
)),"")</f>
        <v/>
      </c>
      <c r="N641" s="40"/>
      <c r="O641" s="40" t="str">
        <f>_xlfn.LET(
    _xlpm.CSVVal, _xlfn.XLOOKUP($A641, CSV!$A:$A, CSV!AA:AA, ""),
    _xlpm.MacVal, _xlfn.XLOOKUP($A641, Output_Mac!$A:$A, Output_Mac!S:S, ""),
    _xlpm.MyAuditVal, _xlfn.XLOOKUP($A641, My_Audit!$A:$A, My_Audit!P:P, ""),
    _xlfn.TEXTJOIN(", ", TRUE, _xlpm.MyAuditVal, _xlpm.MacVal, _xlpm.CSVVal)
)</f>
        <v/>
      </c>
      <c r="P641" s="40" t="str" cm="1">
        <f t="array" ref="P641">IFERROR(_xlfn.LET(
_xlpm.CSVVal,_xlfn.XLOOKUP($A641,CSV!$A:$A,CSV!AB:AB,""),
_xlpm.MacVal,_xlfn.XLOOKUP($A641,Output_Mac!$A:$A,Output_Mac!T:T,""),
_xlpm.MyAuditVal,_xlfn.XLOOKUP($A641,My_Audit!$A:$A,My_Audit!Q:Q,""),
_xlfn.IFS(_xlpm.MyAuditVal&lt;&gt;"",UPPER(_xlpm.MyAuditVal),_xlpm.MacVal&lt;&gt;"",_xlpm.MacVal,_xlpm.CSVVal&lt;&gt;"",_xlpm.CSVVal
)),"No")</f>
        <v>No</v>
      </c>
      <c r="Q641" s="40" t="str" cm="1">
        <f t="array" ref="Q641">IFERROR(_xlfn.LET(
_xlpm.CSVVal,_xlfn.XLOOKUP($A641,CSV!$A:$A,CSV!AC:AC,""),
_xlpm.MacVal,_xlfn.XLOOKUP($A641,Output_Mac!$A:$A,Output_Mac!U:U,""),
_xlpm.MyAuditVal,_xlfn.XLOOKUP($A641,My_Audit!$A:$A,My_Audit!R:R,""),
_xlfn.IFS(_xlpm.MyAuditVal&lt;&gt;"",UPPER(_xlpm.MyAuditVal),_xlpm.MacVal&lt;&gt;"",_xlpm.MacVal,_xlpm.CSVVal&lt;&gt;"",_xlpm.CSVVal
)),"")</f>
        <v/>
      </c>
      <c r="R641" s="40"/>
      <c r="S641" s="40"/>
      <c r="T641" s="40"/>
      <c r="U641" s="40"/>
      <c r="V641" s="40"/>
      <c r="W641" s="40"/>
      <c r="X641" s="41" t="str">
        <f>_xlfn.LET(
    _xlpm.MacVal, _xlfn.XLOOKUP($A641, Output_Mac!$A:$A, Output_Mac!AB:AB, ""),
    _xlpm.MyAuditVal, _xlfn.XLOOKUP($A641, My_Audit!$A:$A, My_Audit!N:N, ""),
    _xlfn.TEXTJOIN(", ", TRUE, _xlpm.MyAuditVal, _xlpm.MacVal)
)</f>
        <v/>
      </c>
    </row>
    <row r="642" spans="1:24">
      <c r="A642" s="40" t="str">
        <f>_xlfn.TEXTJOIN("",TRUE,Input!$B$2,ROW(My_Audit!A641))</f>
        <v>X641</v>
      </c>
      <c r="B642" s="40" t="str">
        <f>_xlfn.TEXTJOIN("-",TRUE,"ITD",Input!$A$2,A642)</f>
        <v>ITD-X641</v>
      </c>
      <c r="C642" s="40" t="str" cm="1">
        <f t="array" ref="C642">IFERROR(_xlfn.LET(
_xlpm.CSVVal,_xlfn.XLOOKUP($A642,CSV!$A:$A,CSV!B:B,""),
_xlpm.MacVal,_xlfn.XLOOKUP($A642,Output_Mac!$A:$A,Output_Mac!B:B,""),
_xlpm.MyAuditVal,_xlfn.XLOOKUP($A642,My_Audit!$A:$A,My_Audit!B:B,""),
_xlfn.IFS(_xlpm.MyAuditVal&lt;&gt;"",UPPER(_xlpm.MyAuditVal),_xlpm.MacVal&lt;&gt;"",_xlpm.MacVal,_xlpm.CSVVal&lt;&gt;"",_xlpm.CSVVal
)),"")</f>
        <v/>
      </c>
      <c r="D642" s="40" t="str" cm="1">
        <f t="array" ref="D642">IFERROR(_xlfn.LET(
_xlpm.CSVVal,_xlfn.XLOOKUP($A642,CSV!$A:$A,CSV!D:D,""),
_xlpm.MacVal,_xlfn.XLOOKUP($A642,Output_Mac!$A:$A,Output_Mac!C:C,""),
_xlpm.MyAuditVal,_xlfn.XLOOKUP($A642,My_Audit!$A:$A,My_Audit!C:C,""),
_xlfn.IFS(_xlpm.MyAuditVal&lt;&gt;"",_xlpm.MyAuditVal,_xlpm.MacVal&lt;&gt;"",_xlpm.MacVal,_xlpm.CSVVal&lt;&gt;"",_xlpm.CSVVal
)),"")</f>
        <v/>
      </c>
      <c r="E642" s="40" t="str">
        <f>_xlfn.XLOOKUP(A642,My_Audit!A:A,My_Audit!D:D,"")</f>
        <v/>
      </c>
      <c r="F642" s="40" t="str" cm="1">
        <f t="array" ref="F642">IFERROR(_xlfn.LET(
_xlpm.CSVVal,_xlfn.XLOOKUP($A642,CSV!$A:$A,CSV!F:F,""),
_xlpm.MacVal,_xlfn.XLOOKUP($A642,Output_Mac!$A:$A,Output_Mac!E:E,""),
_xlpm.MyAuditVal,_xlfn.XLOOKUP($A642,My_Audit!$A:$A,My_Audit!E:E,""),
_xlfn.IFS(_xlpm.MyAuditVal&lt;&gt;"",_xlpm.MyAuditVal,_xlpm.MacVal&lt;&gt;"",_xlpm.MacVal,_xlpm.CSVVal&lt;&gt;"",_xlpm.CSVVal
)),"")</f>
        <v/>
      </c>
      <c r="G642" s="40" t="str" cm="1">
        <f t="array" ref="G642">IFERROR(_xlfn.LET(
_xlpm.CSVVal,_xlfn.XLOOKUP($A642,CSV!$A:$A,CSV!G:G,""),
_xlpm.MacVal,_xlfn.XLOOKUP($A642,Output_Mac!$A:$A,Output_Mac!F:F,""),
_xlpm.MyAuditVal,_xlfn.XLOOKUP($A642,My_Audit!$A:$A,My_Audit!F:F,""),
_xlfn.IFS(_xlpm.MyAuditVal&lt;&gt;"",_xlpm.MyAuditVal,_xlpm.MacVal&lt;&gt;"",_xlpm.MacVal,_xlpm.CSVVal&lt;&gt;"",PROPER(_xlpm.CSVVal)
)),"")</f>
        <v/>
      </c>
      <c r="H642" s="40" t="str" cm="1">
        <f t="array" ref="H642">IFERROR(_xlfn.LET(
_xlpm.CSVVal,_xlfn.XLOOKUP($A642,CSV!$A:$A,CSV!H:H,""),
_xlpm.MacVal,_xlfn.XLOOKUP($A642,Output_Mac!$A:$A,Output_Mac!H:H,""),
_xlpm.MyAuditVal,_xlfn.XLOOKUP($A642,My_Audit!$A:$A,My_Audit!G:G,""),
_xlfn.IFS(_xlpm.MyAuditVal&lt;&gt;"",_xlpm.MyAuditVal,_xlpm.MacVal&lt;&gt;"",_xlpm.MacVal,_xlpm.CSVVal&lt;&gt;"",_xlpm.CSVVal
)),"")</f>
        <v/>
      </c>
      <c r="I642" s="40" t="str">
        <f>_xlfn.XLOOKUP(A642,Output_Mac!A:A,Output_Mac!I:I,"")</f>
        <v/>
      </c>
      <c r="J642" s="40" t="str" cm="1">
        <f t="array" ref="J642">IFERROR(_xlfn.LET(
_xlpm.CSVVal,_xlfn.XLOOKUP($A642,CSV!$A:$A,CSV!I:I,""),
_xlpm.MacVal,_xlfn.XLOOKUP($A642,Output_Mac!$A:$A,Output_Mac!J:J,""),
_xlpm.MyAuditVal,_xlfn.XLOOKUP($A642,My_Audit!$A:$A,My_Audit!I:I,""),
_xlfn.IFS(_xlpm.MyAuditVal&lt;&gt;"",UPPER(_xlpm.MyAuditVal),_xlpm.MacVal&lt;&gt;"",_xlpm.MacVal,_xlpm.CSVVal&lt;&gt;"",_xlpm.CSVVal
)),"")</f>
        <v/>
      </c>
      <c r="K642" s="40" t="str" cm="1">
        <f t="array" ref="K642">IFERROR(_xlfn.LET(
_xlpm.CSVVal,_xlfn.XLOOKUP($A642,CSV!$A:$A,CSV!K:K,""),
_xlpm.MacVal,_xlfn.XLOOKUP($A642,Output_Mac!$A:$A,Output_Mac!K:K,""),
_xlpm.MyAuditVal,_xlfn.XLOOKUP($A642,My_Audit!$A:$A,My_Audit!J:J,""),
_xlfn.IFS(_xlpm.MyAuditVal&lt;&gt;"",UPPER(_xlpm.MyAuditVal),_xlpm.MacVal&lt;&gt;"",_xlpm.MacVal,_xlpm.CSVVal&lt;&gt;"",_xlpm.CSVVal
)),"")</f>
        <v/>
      </c>
      <c r="L642" s="40" t="str" cm="1">
        <f t="array" ref="L642">IFERROR(_xlfn.LET(
_xlpm.CSVVal,_xlfn.XLOOKUP($A642,CSV!$A:$A,CSV!P:P,""),
_xlpm.MacVal,_xlfn.XLOOKUP($A642,Output_Mac!$A:$A,Output_Mac!L:L,""),
_xlpm.MyAuditVal,_xlfn.XLOOKUP($A642,My_Audit!$A:$A,My_Audit!K:K,""),
_xlfn.IFS(_xlpm.MyAuditVal&lt;&gt;"",UPPER(_xlpm.MyAuditVal),_xlpm.MacVal&lt;&gt;"",_xlpm.MacVal,_xlpm.CSVVal&lt;&gt;"",_xlpm.CSVVal
)),"")</f>
        <v/>
      </c>
      <c r="M642" s="40" t="str" cm="1">
        <f t="array" ref="M642">IFERROR(_xlfn.LET(
_xlpm.CSVVal,_xlfn.XLOOKUP($A642,CSV!$A:$A,CSV!Q:Q,""),
_xlpm.MacVal,_xlfn.XLOOKUP($A642,Output_Mac!$A:$A,Output_Mac!M:M,""),
_xlpm.MyAuditVal,_xlfn.XLOOKUP($A642,My_Audit!$A:$A,My_Audit!L:L,""),
_xlfn.IFS(_xlpm.MyAuditVal&lt;&gt;"",UPPER(_xlpm.MyAuditVal),_xlpm.MacVal&lt;&gt;"",_xlpm.MacVal,_xlpm.CSVVal&lt;&gt;"",_xlpm.CSVVal
)),"")</f>
        <v/>
      </c>
      <c r="N642" s="40"/>
      <c r="O642" s="40" t="str">
        <f>_xlfn.LET(
    _xlpm.CSVVal, _xlfn.XLOOKUP($A642, CSV!$A:$A, CSV!AA:AA, ""),
    _xlpm.MacVal, _xlfn.XLOOKUP($A642, Output_Mac!$A:$A, Output_Mac!S:S, ""),
    _xlpm.MyAuditVal, _xlfn.XLOOKUP($A642, My_Audit!$A:$A, My_Audit!P:P, ""),
    _xlfn.TEXTJOIN(", ", TRUE, _xlpm.MyAuditVal, _xlpm.MacVal, _xlpm.CSVVal)
)</f>
        <v/>
      </c>
      <c r="P642" s="40" t="str" cm="1">
        <f t="array" ref="P642">IFERROR(_xlfn.LET(
_xlpm.CSVVal,_xlfn.XLOOKUP($A642,CSV!$A:$A,CSV!AB:AB,""),
_xlpm.MacVal,_xlfn.XLOOKUP($A642,Output_Mac!$A:$A,Output_Mac!T:T,""),
_xlpm.MyAuditVal,_xlfn.XLOOKUP($A642,My_Audit!$A:$A,My_Audit!Q:Q,""),
_xlfn.IFS(_xlpm.MyAuditVal&lt;&gt;"",UPPER(_xlpm.MyAuditVal),_xlpm.MacVal&lt;&gt;"",_xlpm.MacVal,_xlpm.CSVVal&lt;&gt;"",_xlpm.CSVVal
)),"No")</f>
        <v>No</v>
      </c>
      <c r="Q642" s="40" t="str" cm="1">
        <f t="array" ref="Q642">IFERROR(_xlfn.LET(
_xlpm.CSVVal,_xlfn.XLOOKUP($A642,CSV!$A:$A,CSV!AC:AC,""),
_xlpm.MacVal,_xlfn.XLOOKUP($A642,Output_Mac!$A:$A,Output_Mac!U:U,""),
_xlpm.MyAuditVal,_xlfn.XLOOKUP($A642,My_Audit!$A:$A,My_Audit!R:R,""),
_xlfn.IFS(_xlpm.MyAuditVal&lt;&gt;"",UPPER(_xlpm.MyAuditVal),_xlpm.MacVal&lt;&gt;"",_xlpm.MacVal,_xlpm.CSVVal&lt;&gt;"",_xlpm.CSVVal
)),"")</f>
        <v/>
      </c>
      <c r="R642" s="40"/>
      <c r="S642" s="40"/>
      <c r="T642" s="40"/>
      <c r="U642" s="40"/>
      <c r="V642" s="40"/>
      <c r="W642" s="40"/>
      <c r="X642" s="41" t="str">
        <f>_xlfn.LET(
    _xlpm.MacVal, _xlfn.XLOOKUP($A642, Output_Mac!$A:$A, Output_Mac!AB:AB, ""),
    _xlpm.MyAuditVal, _xlfn.XLOOKUP($A642, My_Audit!$A:$A, My_Audit!N:N, ""),
    _xlfn.TEXTJOIN(", ", TRUE, _xlpm.MyAuditVal, _xlpm.MacVal)
)</f>
        <v/>
      </c>
    </row>
    <row r="643" spans="1:24">
      <c r="A643" s="40" t="str">
        <f>_xlfn.TEXTJOIN("",TRUE,Input!$B$2,ROW(My_Audit!A642))</f>
        <v>X642</v>
      </c>
      <c r="B643" s="40" t="str">
        <f>_xlfn.TEXTJOIN("-",TRUE,"ITD",Input!$A$2,A643)</f>
        <v>ITD-X642</v>
      </c>
      <c r="C643" s="40" t="str" cm="1">
        <f t="array" ref="C643">IFERROR(_xlfn.LET(
_xlpm.CSVVal,_xlfn.XLOOKUP($A643,CSV!$A:$A,CSV!B:B,""),
_xlpm.MacVal,_xlfn.XLOOKUP($A643,Output_Mac!$A:$A,Output_Mac!B:B,""),
_xlpm.MyAuditVal,_xlfn.XLOOKUP($A643,My_Audit!$A:$A,My_Audit!B:B,""),
_xlfn.IFS(_xlpm.MyAuditVal&lt;&gt;"",UPPER(_xlpm.MyAuditVal),_xlpm.MacVal&lt;&gt;"",_xlpm.MacVal,_xlpm.CSVVal&lt;&gt;"",_xlpm.CSVVal
)),"")</f>
        <v/>
      </c>
      <c r="D643" s="40" t="str" cm="1">
        <f t="array" ref="D643">IFERROR(_xlfn.LET(
_xlpm.CSVVal,_xlfn.XLOOKUP($A643,CSV!$A:$A,CSV!D:D,""),
_xlpm.MacVal,_xlfn.XLOOKUP($A643,Output_Mac!$A:$A,Output_Mac!C:C,""),
_xlpm.MyAuditVal,_xlfn.XLOOKUP($A643,My_Audit!$A:$A,My_Audit!C:C,""),
_xlfn.IFS(_xlpm.MyAuditVal&lt;&gt;"",_xlpm.MyAuditVal,_xlpm.MacVal&lt;&gt;"",_xlpm.MacVal,_xlpm.CSVVal&lt;&gt;"",_xlpm.CSVVal
)),"")</f>
        <v/>
      </c>
      <c r="E643" s="40" t="str">
        <f>_xlfn.XLOOKUP(A643,My_Audit!A:A,My_Audit!D:D,"")</f>
        <v/>
      </c>
      <c r="F643" s="40" t="str" cm="1">
        <f t="array" ref="F643">IFERROR(_xlfn.LET(
_xlpm.CSVVal,_xlfn.XLOOKUP($A643,CSV!$A:$A,CSV!F:F,""),
_xlpm.MacVal,_xlfn.XLOOKUP($A643,Output_Mac!$A:$A,Output_Mac!E:E,""),
_xlpm.MyAuditVal,_xlfn.XLOOKUP($A643,My_Audit!$A:$A,My_Audit!E:E,""),
_xlfn.IFS(_xlpm.MyAuditVal&lt;&gt;"",_xlpm.MyAuditVal,_xlpm.MacVal&lt;&gt;"",_xlpm.MacVal,_xlpm.CSVVal&lt;&gt;"",_xlpm.CSVVal
)),"")</f>
        <v/>
      </c>
      <c r="G643" s="40" t="str" cm="1">
        <f t="array" ref="G643">IFERROR(_xlfn.LET(
_xlpm.CSVVal,_xlfn.XLOOKUP($A643,CSV!$A:$A,CSV!G:G,""),
_xlpm.MacVal,_xlfn.XLOOKUP($A643,Output_Mac!$A:$A,Output_Mac!F:F,""),
_xlpm.MyAuditVal,_xlfn.XLOOKUP($A643,My_Audit!$A:$A,My_Audit!F:F,""),
_xlfn.IFS(_xlpm.MyAuditVal&lt;&gt;"",_xlpm.MyAuditVal,_xlpm.MacVal&lt;&gt;"",_xlpm.MacVal,_xlpm.CSVVal&lt;&gt;"",PROPER(_xlpm.CSVVal)
)),"")</f>
        <v/>
      </c>
      <c r="H643" s="40" t="str" cm="1">
        <f t="array" ref="H643">IFERROR(_xlfn.LET(
_xlpm.CSVVal,_xlfn.XLOOKUP($A643,CSV!$A:$A,CSV!H:H,""),
_xlpm.MacVal,_xlfn.XLOOKUP($A643,Output_Mac!$A:$A,Output_Mac!H:H,""),
_xlpm.MyAuditVal,_xlfn.XLOOKUP($A643,My_Audit!$A:$A,My_Audit!G:G,""),
_xlfn.IFS(_xlpm.MyAuditVal&lt;&gt;"",_xlpm.MyAuditVal,_xlpm.MacVal&lt;&gt;"",_xlpm.MacVal,_xlpm.CSVVal&lt;&gt;"",_xlpm.CSVVal
)),"")</f>
        <v/>
      </c>
      <c r="I643" s="40" t="str">
        <f>_xlfn.XLOOKUP(A643,Output_Mac!A:A,Output_Mac!I:I,"")</f>
        <v/>
      </c>
      <c r="J643" s="40" t="str" cm="1">
        <f t="array" ref="J643">IFERROR(_xlfn.LET(
_xlpm.CSVVal,_xlfn.XLOOKUP($A643,CSV!$A:$A,CSV!I:I,""),
_xlpm.MacVal,_xlfn.XLOOKUP($A643,Output_Mac!$A:$A,Output_Mac!J:J,""),
_xlpm.MyAuditVal,_xlfn.XLOOKUP($A643,My_Audit!$A:$A,My_Audit!I:I,""),
_xlfn.IFS(_xlpm.MyAuditVal&lt;&gt;"",UPPER(_xlpm.MyAuditVal),_xlpm.MacVal&lt;&gt;"",_xlpm.MacVal,_xlpm.CSVVal&lt;&gt;"",_xlpm.CSVVal
)),"")</f>
        <v/>
      </c>
      <c r="K643" s="40" t="str" cm="1">
        <f t="array" ref="K643">IFERROR(_xlfn.LET(
_xlpm.CSVVal,_xlfn.XLOOKUP($A643,CSV!$A:$A,CSV!K:K,""),
_xlpm.MacVal,_xlfn.XLOOKUP($A643,Output_Mac!$A:$A,Output_Mac!K:K,""),
_xlpm.MyAuditVal,_xlfn.XLOOKUP($A643,My_Audit!$A:$A,My_Audit!J:J,""),
_xlfn.IFS(_xlpm.MyAuditVal&lt;&gt;"",UPPER(_xlpm.MyAuditVal),_xlpm.MacVal&lt;&gt;"",_xlpm.MacVal,_xlpm.CSVVal&lt;&gt;"",_xlpm.CSVVal
)),"")</f>
        <v/>
      </c>
      <c r="L643" s="40" t="str" cm="1">
        <f t="array" ref="L643">IFERROR(_xlfn.LET(
_xlpm.CSVVal,_xlfn.XLOOKUP($A643,CSV!$A:$A,CSV!P:P,""),
_xlpm.MacVal,_xlfn.XLOOKUP($A643,Output_Mac!$A:$A,Output_Mac!L:L,""),
_xlpm.MyAuditVal,_xlfn.XLOOKUP($A643,My_Audit!$A:$A,My_Audit!K:K,""),
_xlfn.IFS(_xlpm.MyAuditVal&lt;&gt;"",UPPER(_xlpm.MyAuditVal),_xlpm.MacVal&lt;&gt;"",_xlpm.MacVal,_xlpm.CSVVal&lt;&gt;"",_xlpm.CSVVal
)),"")</f>
        <v/>
      </c>
      <c r="M643" s="40" t="str" cm="1">
        <f t="array" ref="M643">IFERROR(_xlfn.LET(
_xlpm.CSVVal,_xlfn.XLOOKUP($A643,CSV!$A:$A,CSV!Q:Q,""),
_xlpm.MacVal,_xlfn.XLOOKUP($A643,Output_Mac!$A:$A,Output_Mac!M:M,""),
_xlpm.MyAuditVal,_xlfn.XLOOKUP($A643,My_Audit!$A:$A,My_Audit!L:L,""),
_xlfn.IFS(_xlpm.MyAuditVal&lt;&gt;"",UPPER(_xlpm.MyAuditVal),_xlpm.MacVal&lt;&gt;"",_xlpm.MacVal,_xlpm.CSVVal&lt;&gt;"",_xlpm.CSVVal
)),"")</f>
        <v/>
      </c>
      <c r="N643" s="40"/>
      <c r="O643" s="40" t="str">
        <f>_xlfn.LET(
    _xlpm.CSVVal, _xlfn.XLOOKUP($A643, CSV!$A:$A, CSV!AA:AA, ""),
    _xlpm.MacVal, _xlfn.XLOOKUP($A643, Output_Mac!$A:$A, Output_Mac!S:S, ""),
    _xlpm.MyAuditVal, _xlfn.XLOOKUP($A643, My_Audit!$A:$A, My_Audit!P:P, ""),
    _xlfn.TEXTJOIN(", ", TRUE, _xlpm.MyAuditVal, _xlpm.MacVal, _xlpm.CSVVal)
)</f>
        <v/>
      </c>
      <c r="P643" s="40" t="str" cm="1">
        <f t="array" ref="P643">IFERROR(_xlfn.LET(
_xlpm.CSVVal,_xlfn.XLOOKUP($A643,CSV!$A:$A,CSV!AB:AB,""),
_xlpm.MacVal,_xlfn.XLOOKUP($A643,Output_Mac!$A:$A,Output_Mac!T:T,""),
_xlpm.MyAuditVal,_xlfn.XLOOKUP($A643,My_Audit!$A:$A,My_Audit!Q:Q,""),
_xlfn.IFS(_xlpm.MyAuditVal&lt;&gt;"",UPPER(_xlpm.MyAuditVal),_xlpm.MacVal&lt;&gt;"",_xlpm.MacVal,_xlpm.CSVVal&lt;&gt;"",_xlpm.CSVVal
)),"No")</f>
        <v>No</v>
      </c>
      <c r="Q643" s="40" t="str" cm="1">
        <f t="array" ref="Q643">IFERROR(_xlfn.LET(
_xlpm.CSVVal,_xlfn.XLOOKUP($A643,CSV!$A:$A,CSV!AC:AC,""),
_xlpm.MacVal,_xlfn.XLOOKUP($A643,Output_Mac!$A:$A,Output_Mac!U:U,""),
_xlpm.MyAuditVal,_xlfn.XLOOKUP($A643,My_Audit!$A:$A,My_Audit!R:R,""),
_xlfn.IFS(_xlpm.MyAuditVal&lt;&gt;"",UPPER(_xlpm.MyAuditVal),_xlpm.MacVal&lt;&gt;"",_xlpm.MacVal,_xlpm.CSVVal&lt;&gt;"",_xlpm.CSVVal
)),"")</f>
        <v/>
      </c>
      <c r="R643" s="40"/>
      <c r="S643" s="40"/>
      <c r="T643" s="40"/>
      <c r="U643" s="40"/>
      <c r="V643" s="40"/>
      <c r="W643" s="40"/>
      <c r="X643" s="41" t="str">
        <f>_xlfn.LET(
    _xlpm.MacVal, _xlfn.XLOOKUP($A643, Output_Mac!$A:$A, Output_Mac!AB:AB, ""),
    _xlpm.MyAuditVal, _xlfn.XLOOKUP($A643, My_Audit!$A:$A, My_Audit!N:N, ""),
    _xlfn.TEXTJOIN(", ", TRUE, _xlpm.MyAuditVal, _xlpm.MacVal)
)</f>
        <v/>
      </c>
    </row>
    <row r="644" spans="1:24">
      <c r="A644" s="40" t="str">
        <f>_xlfn.TEXTJOIN("",TRUE,Input!$B$2,ROW(My_Audit!A643))</f>
        <v>X643</v>
      </c>
      <c r="B644" s="40" t="str">
        <f>_xlfn.TEXTJOIN("-",TRUE,"ITD",Input!$A$2,A644)</f>
        <v>ITD-X643</v>
      </c>
      <c r="C644" s="40" t="str" cm="1">
        <f t="array" ref="C644">IFERROR(_xlfn.LET(
_xlpm.CSVVal,_xlfn.XLOOKUP($A644,CSV!$A:$A,CSV!B:B,""),
_xlpm.MacVal,_xlfn.XLOOKUP($A644,Output_Mac!$A:$A,Output_Mac!B:B,""),
_xlpm.MyAuditVal,_xlfn.XLOOKUP($A644,My_Audit!$A:$A,My_Audit!B:B,""),
_xlfn.IFS(_xlpm.MyAuditVal&lt;&gt;"",UPPER(_xlpm.MyAuditVal),_xlpm.MacVal&lt;&gt;"",_xlpm.MacVal,_xlpm.CSVVal&lt;&gt;"",_xlpm.CSVVal
)),"")</f>
        <v/>
      </c>
      <c r="D644" s="40" t="str" cm="1">
        <f t="array" ref="D644">IFERROR(_xlfn.LET(
_xlpm.CSVVal,_xlfn.XLOOKUP($A644,CSV!$A:$A,CSV!D:D,""),
_xlpm.MacVal,_xlfn.XLOOKUP($A644,Output_Mac!$A:$A,Output_Mac!C:C,""),
_xlpm.MyAuditVal,_xlfn.XLOOKUP($A644,My_Audit!$A:$A,My_Audit!C:C,""),
_xlfn.IFS(_xlpm.MyAuditVal&lt;&gt;"",_xlpm.MyAuditVal,_xlpm.MacVal&lt;&gt;"",_xlpm.MacVal,_xlpm.CSVVal&lt;&gt;"",_xlpm.CSVVal
)),"")</f>
        <v/>
      </c>
      <c r="E644" s="40" t="str">
        <f>_xlfn.XLOOKUP(A644,My_Audit!A:A,My_Audit!D:D,"")</f>
        <v/>
      </c>
      <c r="F644" s="40" t="str" cm="1">
        <f t="array" ref="F644">IFERROR(_xlfn.LET(
_xlpm.CSVVal,_xlfn.XLOOKUP($A644,CSV!$A:$A,CSV!F:F,""),
_xlpm.MacVal,_xlfn.XLOOKUP($A644,Output_Mac!$A:$A,Output_Mac!E:E,""),
_xlpm.MyAuditVal,_xlfn.XLOOKUP($A644,My_Audit!$A:$A,My_Audit!E:E,""),
_xlfn.IFS(_xlpm.MyAuditVal&lt;&gt;"",_xlpm.MyAuditVal,_xlpm.MacVal&lt;&gt;"",_xlpm.MacVal,_xlpm.CSVVal&lt;&gt;"",_xlpm.CSVVal
)),"")</f>
        <v/>
      </c>
      <c r="G644" s="40" t="str" cm="1">
        <f t="array" ref="G644">IFERROR(_xlfn.LET(
_xlpm.CSVVal,_xlfn.XLOOKUP($A644,CSV!$A:$A,CSV!G:G,""),
_xlpm.MacVal,_xlfn.XLOOKUP($A644,Output_Mac!$A:$A,Output_Mac!F:F,""),
_xlpm.MyAuditVal,_xlfn.XLOOKUP($A644,My_Audit!$A:$A,My_Audit!F:F,""),
_xlfn.IFS(_xlpm.MyAuditVal&lt;&gt;"",_xlpm.MyAuditVal,_xlpm.MacVal&lt;&gt;"",_xlpm.MacVal,_xlpm.CSVVal&lt;&gt;"",PROPER(_xlpm.CSVVal)
)),"")</f>
        <v/>
      </c>
      <c r="H644" s="40" t="str" cm="1">
        <f t="array" ref="H644">IFERROR(_xlfn.LET(
_xlpm.CSVVal,_xlfn.XLOOKUP($A644,CSV!$A:$A,CSV!H:H,""),
_xlpm.MacVal,_xlfn.XLOOKUP($A644,Output_Mac!$A:$A,Output_Mac!H:H,""),
_xlpm.MyAuditVal,_xlfn.XLOOKUP($A644,My_Audit!$A:$A,My_Audit!G:G,""),
_xlfn.IFS(_xlpm.MyAuditVal&lt;&gt;"",_xlpm.MyAuditVal,_xlpm.MacVal&lt;&gt;"",_xlpm.MacVal,_xlpm.CSVVal&lt;&gt;"",_xlpm.CSVVal
)),"")</f>
        <v/>
      </c>
      <c r="I644" s="40" t="str">
        <f>_xlfn.XLOOKUP(A644,Output_Mac!A:A,Output_Mac!I:I,"")</f>
        <v/>
      </c>
      <c r="J644" s="40" t="str" cm="1">
        <f t="array" ref="J644">IFERROR(_xlfn.LET(
_xlpm.CSVVal,_xlfn.XLOOKUP($A644,CSV!$A:$A,CSV!I:I,""),
_xlpm.MacVal,_xlfn.XLOOKUP($A644,Output_Mac!$A:$A,Output_Mac!J:J,""),
_xlpm.MyAuditVal,_xlfn.XLOOKUP($A644,My_Audit!$A:$A,My_Audit!I:I,""),
_xlfn.IFS(_xlpm.MyAuditVal&lt;&gt;"",UPPER(_xlpm.MyAuditVal),_xlpm.MacVal&lt;&gt;"",_xlpm.MacVal,_xlpm.CSVVal&lt;&gt;"",_xlpm.CSVVal
)),"")</f>
        <v/>
      </c>
      <c r="K644" s="40" t="str" cm="1">
        <f t="array" ref="K644">IFERROR(_xlfn.LET(
_xlpm.CSVVal,_xlfn.XLOOKUP($A644,CSV!$A:$A,CSV!K:K,""),
_xlpm.MacVal,_xlfn.XLOOKUP($A644,Output_Mac!$A:$A,Output_Mac!K:K,""),
_xlpm.MyAuditVal,_xlfn.XLOOKUP($A644,My_Audit!$A:$A,My_Audit!J:J,""),
_xlfn.IFS(_xlpm.MyAuditVal&lt;&gt;"",UPPER(_xlpm.MyAuditVal),_xlpm.MacVal&lt;&gt;"",_xlpm.MacVal,_xlpm.CSVVal&lt;&gt;"",_xlpm.CSVVal
)),"")</f>
        <v/>
      </c>
      <c r="L644" s="40" t="str" cm="1">
        <f t="array" ref="L644">IFERROR(_xlfn.LET(
_xlpm.CSVVal,_xlfn.XLOOKUP($A644,CSV!$A:$A,CSV!P:P,""),
_xlpm.MacVal,_xlfn.XLOOKUP($A644,Output_Mac!$A:$A,Output_Mac!L:L,""),
_xlpm.MyAuditVal,_xlfn.XLOOKUP($A644,My_Audit!$A:$A,My_Audit!K:K,""),
_xlfn.IFS(_xlpm.MyAuditVal&lt;&gt;"",UPPER(_xlpm.MyAuditVal),_xlpm.MacVal&lt;&gt;"",_xlpm.MacVal,_xlpm.CSVVal&lt;&gt;"",_xlpm.CSVVal
)),"")</f>
        <v/>
      </c>
      <c r="M644" s="40" t="str" cm="1">
        <f t="array" ref="M644">IFERROR(_xlfn.LET(
_xlpm.CSVVal,_xlfn.XLOOKUP($A644,CSV!$A:$A,CSV!Q:Q,""),
_xlpm.MacVal,_xlfn.XLOOKUP($A644,Output_Mac!$A:$A,Output_Mac!M:M,""),
_xlpm.MyAuditVal,_xlfn.XLOOKUP($A644,My_Audit!$A:$A,My_Audit!L:L,""),
_xlfn.IFS(_xlpm.MyAuditVal&lt;&gt;"",UPPER(_xlpm.MyAuditVal),_xlpm.MacVal&lt;&gt;"",_xlpm.MacVal,_xlpm.CSVVal&lt;&gt;"",_xlpm.CSVVal
)),"")</f>
        <v/>
      </c>
      <c r="N644" s="40"/>
      <c r="O644" s="40" t="str">
        <f>_xlfn.LET(
    _xlpm.CSVVal, _xlfn.XLOOKUP($A644, CSV!$A:$A, CSV!AA:AA, ""),
    _xlpm.MacVal, _xlfn.XLOOKUP($A644, Output_Mac!$A:$A, Output_Mac!S:S, ""),
    _xlpm.MyAuditVal, _xlfn.XLOOKUP($A644, My_Audit!$A:$A, My_Audit!P:P, ""),
    _xlfn.TEXTJOIN(", ", TRUE, _xlpm.MyAuditVal, _xlpm.MacVal, _xlpm.CSVVal)
)</f>
        <v/>
      </c>
      <c r="P644" s="40" t="str" cm="1">
        <f t="array" ref="P644">IFERROR(_xlfn.LET(
_xlpm.CSVVal,_xlfn.XLOOKUP($A644,CSV!$A:$A,CSV!AB:AB,""),
_xlpm.MacVal,_xlfn.XLOOKUP($A644,Output_Mac!$A:$A,Output_Mac!T:T,""),
_xlpm.MyAuditVal,_xlfn.XLOOKUP($A644,My_Audit!$A:$A,My_Audit!Q:Q,""),
_xlfn.IFS(_xlpm.MyAuditVal&lt;&gt;"",UPPER(_xlpm.MyAuditVal),_xlpm.MacVal&lt;&gt;"",_xlpm.MacVal,_xlpm.CSVVal&lt;&gt;"",_xlpm.CSVVal
)),"No")</f>
        <v>No</v>
      </c>
      <c r="Q644" s="40" t="str" cm="1">
        <f t="array" ref="Q644">IFERROR(_xlfn.LET(
_xlpm.CSVVal,_xlfn.XLOOKUP($A644,CSV!$A:$A,CSV!AC:AC,""),
_xlpm.MacVal,_xlfn.XLOOKUP($A644,Output_Mac!$A:$A,Output_Mac!U:U,""),
_xlpm.MyAuditVal,_xlfn.XLOOKUP($A644,My_Audit!$A:$A,My_Audit!R:R,""),
_xlfn.IFS(_xlpm.MyAuditVal&lt;&gt;"",UPPER(_xlpm.MyAuditVal),_xlpm.MacVal&lt;&gt;"",_xlpm.MacVal,_xlpm.CSVVal&lt;&gt;"",_xlpm.CSVVal
)),"")</f>
        <v/>
      </c>
      <c r="R644" s="40"/>
      <c r="S644" s="40"/>
      <c r="T644" s="40"/>
      <c r="U644" s="40"/>
      <c r="V644" s="40"/>
      <c r="W644" s="40"/>
      <c r="X644" s="41" t="str">
        <f>_xlfn.LET(
    _xlpm.MacVal, _xlfn.XLOOKUP($A644, Output_Mac!$A:$A, Output_Mac!AB:AB, ""),
    _xlpm.MyAuditVal, _xlfn.XLOOKUP($A644, My_Audit!$A:$A, My_Audit!N:N, ""),
    _xlfn.TEXTJOIN(", ", TRUE, _xlpm.MyAuditVal, _xlpm.MacVal)
)</f>
        <v/>
      </c>
    </row>
    <row r="645" spans="1:24">
      <c r="A645" s="40" t="str">
        <f>_xlfn.TEXTJOIN("",TRUE,Input!$B$2,ROW(My_Audit!A644))</f>
        <v>X644</v>
      </c>
      <c r="B645" s="40" t="str">
        <f>_xlfn.TEXTJOIN("-",TRUE,"ITD",Input!$A$2,A645)</f>
        <v>ITD-X644</v>
      </c>
      <c r="C645" s="40" t="str" cm="1">
        <f t="array" ref="C645">IFERROR(_xlfn.LET(
_xlpm.CSVVal,_xlfn.XLOOKUP($A645,CSV!$A:$A,CSV!B:B,""),
_xlpm.MacVal,_xlfn.XLOOKUP($A645,Output_Mac!$A:$A,Output_Mac!B:B,""),
_xlpm.MyAuditVal,_xlfn.XLOOKUP($A645,My_Audit!$A:$A,My_Audit!B:B,""),
_xlfn.IFS(_xlpm.MyAuditVal&lt;&gt;"",UPPER(_xlpm.MyAuditVal),_xlpm.MacVal&lt;&gt;"",_xlpm.MacVal,_xlpm.CSVVal&lt;&gt;"",_xlpm.CSVVal
)),"")</f>
        <v/>
      </c>
      <c r="D645" s="40" t="str" cm="1">
        <f t="array" ref="D645">IFERROR(_xlfn.LET(
_xlpm.CSVVal,_xlfn.XLOOKUP($A645,CSV!$A:$A,CSV!D:D,""),
_xlpm.MacVal,_xlfn.XLOOKUP($A645,Output_Mac!$A:$A,Output_Mac!C:C,""),
_xlpm.MyAuditVal,_xlfn.XLOOKUP($A645,My_Audit!$A:$A,My_Audit!C:C,""),
_xlfn.IFS(_xlpm.MyAuditVal&lt;&gt;"",_xlpm.MyAuditVal,_xlpm.MacVal&lt;&gt;"",_xlpm.MacVal,_xlpm.CSVVal&lt;&gt;"",_xlpm.CSVVal
)),"")</f>
        <v/>
      </c>
      <c r="E645" s="40" t="str">
        <f>_xlfn.XLOOKUP(A645,My_Audit!A:A,My_Audit!D:D,"")</f>
        <v/>
      </c>
      <c r="F645" s="40" t="str" cm="1">
        <f t="array" ref="F645">IFERROR(_xlfn.LET(
_xlpm.CSVVal,_xlfn.XLOOKUP($A645,CSV!$A:$A,CSV!F:F,""),
_xlpm.MacVal,_xlfn.XLOOKUP($A645,Output_Mac!$A:$A,Output_Mac!E:E,""),
_xlpm.MyAuditVal,_xlfn.XLOOKUP($A645,My_Audit!$A:$A,My_Audit!E:E,""),
_xlfn.IFS(_xlpm.MyAuditVal&lt;&gt;"",_xlpm.MyAuditVal,_xlpm.MacVal&lt;&gt;"",_xlpm.MacVal,_xlpm.CSVVal&lt;&gt;"",_xlpm.CSVVal
)),"")</f>
        <v/>
      </c>
      <c r="G645" s="40" t="str" cm="1">
        <f t="array" ref="G645">IFERROR(_xlfn.LET(
_xlpm.CSVVal,_xlfn.XLOOKUP($A645,CSV!$A:$A,CSV!G:G,""),
_xlpm.MacVal,_xlfn.XLOOKUP($A645,Output_Mac!$A:$A,Output_Mac!F:F,""),
_xlpm.MyAuditVal,_xlfn.XLOOKUP($A645,My_Audit!$A:$A,My_Audit!F:F,""),
_xlfn.IFS(_xlpm.MyAuditVal&lt;&gt;"",_xlpm.MyAuditVal,_xlpm.MacVal&lt;&gt;"",_xlpm.MacVal,_xlpm.CSVVal&lt;&gt;"",PROPER(_xlpm.CSVVal)
)),"")</f>
        <v/>
      </c>
      <c r="H645" s="40" t="str" cm="1">
        <f t="array" ref="H645">IFERROR(_xlfn.LET(
_xlpm.CSVVal,_xlfn.XLOOKUP($A645,CSV!$A:$A,CSV!H:H,""),
_xlpm.MacVal,_xlfn.XLOOKUP($A645,Output_Mac!$A:$A,Output_Mac!H:H,""),
_xlpm.MyAuditVal,_xlfn.XLOOKUP($A645,My_Audit!$A:$A,My_Audit!G:G,""),
_xlfn.IFS(_xlpm.MyAuditVal&lt;&gt;"",_xlpm.MyAuditVal,_xlpm.MacVal&lt;&gt;"",_xlpm.MacVal,_xlpm.CSVVal&lt;&gt;"",_xlpm.CSVVal
)),"")</f>
        <v/>
      </c>
      <c r="I645" s="40" t="str">
        <f>_xlfn.XLOOKUP(A645,Output_Mac!A:A,Output_Mac!I:I,"")</f>
        <v/>
      </c>
      <c r="J645" s="40" t="str" cm="1">
        <f t="array" ref="J645">IFERROR(_xlfn.LET(
_xlpm.CSVVal,_xlfn.XLOOKUP($A645,CSV!$A:$A,CSV!I:I,""),
_xlpm.MacVal,_xlfn.XLOOKUP($A645,Output_Mac!$A:$A,Output_Mac!J:J,""),
_xlpm.MyAuditVal,_xlfn.XLOOKUP($A645,My_Audit!$A:$A,My_Audit!I:I,""),
_xlfn.IFS(_xlpm.MyAuditVal&lt;&gt;"",UPPER(_xlpm.MyAuditVal),_xlpm.MacVal&lt;&gt;"",_xlpm.MacVal,_xlpm.CSVVal&lt;&gt;"",_xlpm.CSVVal
)),"")</f>
        <v/>
      </c>
      <c r="K645" s="40" t="str" cm="1">
        <f t="array" ref="K645">IFERROR(_xlfn.LET(
_xlpm.CSVVal,_xlfn.XLOOKUP($A645,CSV!$A:$A,CSV!K:K,""),
_xlpm.MacVal,_xlfn.XLOOKUP($A645,Output_Mac!$A:$A,Output_Mac!K:K,""),
_xlpm.MyAuditVal,_xlfn.XLOOKUP($A645,My_Audit!$A:$A,My_Audit!J:J,""),
_xlfn.IFS(_xlpm.MyAuditVal&lt;&gt;"",UPPER(_xlpm.MyAuditVal),_xlpm.MacVal&lt;&gt;"",_xlpm.MacVal,_xlpm.CSVVal&lt;&gt;"",_xlpm.CSVVal
)),"")</f>
        <v/>
      </c>
      <c r="L645" s="40" t="str" cm="1">
        <f t="array" ref="L645">IFERROR(_xlfn.LET(
_xlpm.CSVVal,_xlfn.XLOOKUP($A645,CSV!$A:$A,CSV!P:P,""),
_xlpm.MacVal,_xlfn.XLOOKUP($A645,Output_Mac!$A:$A,Output_Mac!L:L,""),
_xlpm.MyAuditVal,_xlfn.XLOOKUP($A645,My_Audit!$A:$A,My_Audit!K:K,""),
_xlfn.IFS(_xlpm.MyAuditVal&lt;&gt;"",UPPER(_xlpm.MyAuditVal),_xlpm.MacVal&lt;&gt;"",_xlpm.MacVal,_xlpm.CSVVal&lt;&gt;"",_xlpm.CSVVal
)),"")</f>
        <v/>
      </c>
      <c r="M645" s="40" t="str" cm="1">
        <f t="array" ref="M645">IFERROR(_xlfn.LET(
_xlpm.CSVVal,_xlfn.XLOOKUP($A645,CSV!$A:$A,CSV!Q:Q,""),
_xlpm.MacVal,_xlfn.XLOOKUP($A645,Output_Mac!$A:$A,Output_Mac!M:M,""),
_xlpm.MyAuditVal,_xlfn.XLOOKUP($A645,My_Audit!$A:$A,My_Audit!L:L,""),
_xlfn.IFS(_xlpm.MyAuditVal&lt;&gt;"",UPPER(_xlpm.MyAuditVal),_xlpm.MacVal&lt;&gt;"",_xlpm.MacVal,_xlpm.CSVVal&lt;&gt;"",_xlpm.CSVVal
)),"")</f>
        <v/>
      </c>
      <c r="N645" s="40"/>
      <c r="O645" s="40" t="str">
        <f>_xlfn.LET(
    _xlpm.CSVVal, _xlfn.XLOOKUP($A645, CSV!$A:$A, CSV!AA:AA, ""),
    _xlpm.MacVal, _xlfn.XLOOKUP($A645, Output_Mac!$A:$A, Output_Mac!S:S, ""),
    _xlpm.MyAuditVal, _xlfn.XLOOKUP($A645, My_Audit!$A:$A, My_Audit!P:P, ""),
    _xlfn.TEXTJOIN(", ", TRUE, _xlpm.MyAuditVal, _xlpm.MacVal, _xlpm.CSVVal)
)</f>
        <v/>
      </c>
      <c r="P645" s="40" t="str" cm="1">
        <f t="array" ref="P645">IFERROR(_xlfn.LET(
_xlpm.CSVVal,_xlfn.XLOOKUP($A645,CSV!$A:$A,CSV!AB:AB,""),
_xlpm.MacVal,_xlfn.XLOOKUP($A645,Output_Mac!$A:$A,Output_Mac!T:T,""),
_xlpm.MyAuditVal,_xlfn.XLOOKUP($A645,My_Audit!$A:$A,My_Audit!Q:Q,""),
_xlfn.IFS(_xlpm.MyAuditVal&lt;&gt;"",UPPER(_xlpm.MyAuditVal),_xlpm.MacVal&lt;&gt;"",_xlpm.MacVal,_xlpm.CSVVal&lt;&gt;"",_xlpm.CSVVal
)),"No")</f>
        <v>No</v>
      </c>
      <c r="Q645" s="40" t="str" cm="1">
        <f t="array" ref="Q645">IFERROR(_xlfn.LET(
_xlpm.CSVVal,_xlfn.XLOOKUP($A645,CSV!$A:$A,CSV!AC:AC,""),
_xlpm.MacVal,_xlfn.XLOOKUP($A645,Output_Mac!$A:$A,Output_Mac!U:U,""),
_xlpm.MyAuditVal,_xlfn.XLOOKUP($A645,My_Audit!$A:$A,My_Audit!R:R,""),
_xlfn.IFS(_xlpm.MyAuditVal&lt;&gt;"",UPPER(_xlpm.MyAuditVal),_xlpm.MacVal&lt;&gt;"",_xlpm.MacVal,_xlpm.CSVVal&lt;&gt;"",_xlpm.CSVVal
)),"")</f>
        <v/>
      </c>
      <c r="R645" s="40"/>
      <c r="S645" s="40"/>
      <c r="T645" s="40"/>
      <c r="U645" s="40"/>
      <c r="V645" s="40"/>
      <c r="W645" s="40"/>
      <c r="X645" s="41" t="str">
        <f>_xlfn.LET(
    _xlpm.MacVal, _xlfn.XLOOKUP($A645, Output_Mac!$A:$A, Output_Mac!AB:AB, ""),
    _xlpm.MyAuditVal, _xlfn.XLOOKUP($A645, My_Audit!$A:$A, My_Audit!N:N, ""),
    _xlfn.TEXTJOIN(", ", TRUE, _xlpm.MyAuditVal, _xlpm.MacVal)
)</f>
        <v/>
      </c>
    </row>
    <row r="646" spans="1:24">
      <c r="A646" s="40" t="str">
        <f>_xlfn.TEXTJOIN("",TRUE,Input!$B$2,ROW(My_Audit!A645))</f>
        <v>X645</v>
      </c>
      <c r="B646" s="40" t="str">
        <f>_xlfn.TEXTJOIN("-",TRUE,"ITD",Input!$A$2,A646)</f>
        <v>ITD-X645</v>
      </c>
      <c r="C646" s="40" t="str" cm="1">
        <f t="array" ref="C646">IFERROR(_xlfn.LET(
_xlpm.CSVVal,_xlfn.XLOOKUP($A646,CSV!$A:$A,CSV!B:B,""),
_xlpm.MacVal,_xlfn.XLOOKUP($A646,Output_Mac!$A:$A,Output_Mac!B:B,""),
_xlpm.MyAuditVal,_xlfn.XLOOKUP($A646,My_Audit!$A:$A,My_Audit!B:B,""),
_xlfn.IFS(_xlpm.MyAuditVal&lt;&gt;"",UPPER(_xlpm.MyAuditVal),_xlpm.MacVal&lt;&gt;"",_xlpm.MacVal,_xlpm.CSVVal&lt;&gt;"",_xlpm.CSVVal
)),"")</f>
        <v/>
      </c>
      <c r="D646" s="40" t="str" cm="1">
        <f t="array" ref="D646">IFERROR(_xlfn.LET(
_xlpm.CSVVal,_xlfn.XLOOKUP($A646,CSV!$A:$A,CSV!D:D,""),
_xlpm.MacVal,_xlfn.XLOOKUP($A646,Output_Mac!$A:$A,Output_Mac!C:C,""),
_xlpm.MyAuditVal,_xlfn.XLOOKUP($A646,My_Audit!$A:$A,My_Audit!C:C,""),
_xlfn.IFS(_xlpm.MyAuditVal&lt;&gt;"",_xlpm.MyAuditVal,_xlpm.MacVal&lt;&gt;"",_xlpm.MacVal,_xlpm.CSVVal&lt;&gt;"",_xlpm.CSVVal
)),"")</f>
        <v/>
      </c>
      <c r="E646" s="40" t="str">
        <f>_xlfn.XLOOKUP(A646,My_Audit!A:A,My_Audit!D:D,"")</f>
        <v/>
      </c>
      <c r="F646" s="40" t="str" cm="1">
        <f t="array" ref="F646">IFERROR(_xlfn.LET(
_xlpm.CSVVal,_xlfn.XLOOKUP($A646,CSV!$A:$A,CSV!F:F,""),
_xlpm.MacVal,_xlfn.XLOOKUP($A646,Output_Mac!$A:$A,Output_Mac!E:E,""),
_xlpm.MyAuditVal,_xlfn.XLOOKUP($A646,My_Audit!$A:$A,My_Audit!E:E,""),
_xlfn.IFS(_xlpm.MyAuditVal&lt;&gt;"",_xlpm.MyAuditVal,_xlpm.MacVal&lt;&gt;"",_xlpm.MacVal,_xlpm.CSVVal&lt;&gt;"",_xlpm.CSVVal
)),"")</f>
        <v/>
      </c>
      <c r="G646" s="40" t="str" cm="1">
        <f t="array" ref="G646">IFERROR(_xlfn.LET(
_xlpm.CSVVal,_xlfn.XLOOKUP($A646,CSV!$A:$A,CSV!G:G,""),
_xlpm.MacVal,_xlfn.XLOOKUP($A646,Output_Mac!$A:$A,Output_Mac!F:F,""),
_xlpm.MyAuditVal,_xlfn.XLOOKUP($A646,My_Audit!$A:$A,My_Audit!F:F,""),
_xlfn.IFS(_xlpm.MyAuditVal&lt;&gt;"",_xlpm.MyAuditVal,_xlpm.MacVal&lt;&gt;"",_xlpm.MacVal,_xlpm.CSVVal&lt;&gt;"",PROPER(_xlpm.CSVVal)
)),"")</f>
        <v/>
      </c>
      <c r="H646" s="40" t="str" cm="1">
        <f t="array" ref="H646">IFERROR(_xlfn.LET(
_xlpm.CSVVal,_xlfn.XLOOKUP($A646,CSV!$A:$A,CSV!H:H,""),
_xlpm.MacVal,_xlfn.XLOOKUP($A646,Output_Mac!$A:$A,Output_Mac!H:H,""),
_xlpm.MyAuditVal,_xlfn.XLOOKUP($A646,My_Audit!$A:$A,My_Audit!G:G,""),
_xlfn.IFS(_xlpm.MyAuditVal&lt;&gt;"",_xlpm.MyAuditVal,_xlpm.MacVal&lt;&gt;"",_xlpm.MacVal,_xlpm.CSVVal&lt;&gt;"",_xlpm.CSVVal
)),"")</f>
        <v/>
      </c>
      <c r="I646" s="40" t="str">
        <f>_xlfn.XLOOKUP(A646,Output_Mac!A:A,Output_Mac!I:I,"")</f>
        <v/>
      </c>
      <c r="J646" s="40" t="str" cm="1">
        <f t="array" ref="J646">IFERROR(_xlfn.LET(
_xlpm.CSVVal,_xlfn.XLOOKUP($A646,CSV!$A:$A,CSV!I:I,""),
_xlpm.MacVal,_xlfn.XLOOKUP($A646,Output_Mac!$A:$A,Output_Mac!J:J,""),
_xlpm.MyAuditVal,_xlfn.XLOOKUP($A646,My_Audit!$A:$A,My_Audit!I:I,""),
_xlfn.IFS(_xlpm.MyAuditVal&lt;&gt;"",UPPER(_xlpm.MyAuditVal),_xlpm.MacVal&lt;&gt;"",_xlpm.MacVal,_xlpm.CSVVal&lt;&gt;"",_xlpm.CSVVal
)),"")</f>
        <v/>
      </c>
      <c r="K646" s="40" t="str" cm="1">
        <f t="array" ref="K646">IFERROR(_xlfn.LET(
_xlpm.CSVVal,_xlfn.XLOOKUP($A646,CSV!$A:$A,CSV!K:K,""),
_xlpm.MacVal,_xlfn.XLOOKUP($A646,Output_Mac!$A:$A,Output_Mac!K:K,""),
_xlpm.MyAuditVal,_xlfn.XLOOKUP($A646,My_Audit!$A:$A,My_Audit!J:J,""),
_xlfn.IFS(_xlpm.MyAuditVal&lt;&gt;"",UPPER(_xlpm.MyAuditVal),_xlpm.MacVal&lt;&gt;"",_xlpm.MacVal,_xlpm.CSVVal&lt;&gt;"",_xlpm.CSVVal
)),"")</f>
        <v/>
      </c>
      <c r="L646" s="40" t="str" cm="1">
        <f t="array" ref="L646">IFERROR(_xlfn.LET(
_xlpm.CSVVal,_xlfn.XLOOKUP($A646,CSV!$A:$A,CSV!P:P,""),
_xlpm.MacVal,_xlfn.XLOOKUP($A646,Output_Mac!$A:$A,Output_Mac!L:L,""),
_xlpm.MyAuditVal,_xlfn.XLOOKUP($A646,My_Audit!$A:$A,My_Audit!K:K,""),
_xlfn.IFS(_xlpm.MyAuditVal&lt;&gt;"",UPPER(_xlpm.MyAuditVal),_xlpm.MacVal&lt;&gt;"",_xlpm.MacVal,_xlpm.CSVVal&lt;&gt;"",_xlpm.CSVVal
)),"")</f>
        <v/>
      </c>
      <c r="M646" s="40" t="str" cm="1">
        <f t="array" ref="M646">IFERROR(_xlfn.LET(
_xlpm.CSVVal,_xlfn.XLOOKUP($A646,CSV!$A:$A,CSV!Q:Q,""),
_xlpm.MacVal,_xlfn.XLOOKUP($A646,Output_Mac!$A:$A,Output_Mac!M:M,""),
_xlpm.MyAuditVal,_xlfn.XLOOKUP($A646,My_Audit!$A:$A,My_Audit!L:L,""),
_xlfn.IFS(_xlpm.MyAuditVal&lt;&gt;"",UPPER(_xlpm.MyAuditVal),_xlpm.MacVal&lt;&gt;"",_xlpm.MacVal,_xlpm.CSVVal&lt;&gt;"",_xlpm.CSVVal
)),"")</f>
        <v/>
      </c>
      <c r="N646" s="40"/>
      <c r="O646" s="40" t="str">
        <f>_xlfn.LET(
    _xlpm.CSVVal, _xlfn.XLOOKUP($A646, CSV!$A:$A, CSV!AA:AA, ""),
    _xlpm.MacVal, _xlfn.XLOOKUP($A646, Output_Mac!$A:$A, Output_Mac!S:S, ""),
    _xlpm.MyAuditVal, _xlfn.XLOOKUP($A646, My_Audit!$A:$A, My_Audit!P:P, ""),
    _xlfn.TEXTJOIN(", ", TRUE, _xlpm.MyAuditVal, _xlpm.MacVal, _xlpm.CSVVal)
)</f>
        <v/>
      </c>
      <c r="P646" s="40" t="str" cm="1">
        <f t="array" ref="P646">IFERROR(_xlfn.LET(
_xlpm.CSVVal,_xlfn.XLOOKUP($A646,CSV!$A:$A,CSV!AB:AB,""),
_xlpm.MacVal,_xlfn.XLOOKUP($A646,Output_Mac!$A:$A,Output_Mac!T:T,""),
_xlpm.MyAuditVal,_xlfn.XLOOKUP($A646,My_Audit!$A:$A,My_Audit!Q:Q,""),
_xlfn.IFS(_xlpm.MyAuditVal&lt;&gt;"",UPPER(_xlpm.MyAuditVal),_xlpm.MacVal&lt;&gt;"",_xlpm.MacVal,_xlpm.CSVVal&lt;&gt;"",_xlpm.CSVVal
)),"No")</f>
        <v>No</v>
      </c>
      <c r="Q646" s="40" t="str" cm="1">
        <f t="array" ref="Q646">IFERROR(_xlfn.LET(
_xlpm.CSVVal,_xlfn.XLOOKUP($A646,CSV!$A:$A,CSV!AC:AC,""),
_xlpm.MacVal,_xlfn.XLOOKUP($A646,Output_Mac!$A:$A,Output_Mac!U:U,""),
_xlpm.MyAuditVal,_xlfn.XLOOKUP($A646,My_Audit!$A:$A,My_Audit!R:R,""),
_xlfn.IFS(_xlpm.MyAuditVal&lt;&gt;"",UPPER(_xlpm.MyAuditVal),_xlpm.MacVal&lt;&gt;"",_xlpm.MacVal,_xlpm.CSVVal&lt;&gt;"",_xlpm.CSVVal
)),"")</f>
        <v/>
      </c>
      <c r="R646" s="40"/>
      <c r="S646" s="40"/>
      <c r="T646" s="40"/>
      <c r="U646" s="40"/>
      <c r="V646" s="40"/>
      <c r="W646" s="40"/>
      <c r="X646" s="41" t="str">
        <f>_xlfn.LET(
    _xlpm.MacVal, _xlfn.XLOOKUP($A646, Output_Mac!$A:$A, Output_Mac!AB:AB, ""),
    _xlpm.MyAuditVal, _xlfn.XLOOKUP($A646, My_Audit!$A:$A, My_Audit!N:N, ""),
    _xlfn.TEXTJOIN(", ", TRUE, _xlpm.MyAuditVal, _xlpm.MacVal)
)</f>
        <v/>
      </c>
    </row>
    <row r="647" spans="1:24">
      <c r="A647" s="40" t="str">
        <f>_xlfn.TEXTJOIN("",TRUE,Input!$B$2,ROW(My_Audit!A646))</f>
        <v>X646</v>
      </c>
      <c r="B647" s="40" t="str">
        <f>_xlfn.TEXTJOIN("-",TRUE,"ITD",Input!$A$2,A647)</f>
        <v>ITD-X646</v>
      </c>
      <c r="C647" s="40" t="str" cm="1">
        <f t="array" ref="C647">IFERROR(_xlfn.LET(
_xlpm.CSVVal,_xlfn.XLOOKUP($A647,CSV!$A:$A,CSV!B:B,""),
_xlpm.MacVal,_xlfn.XLOOKUP($A647,Output_Mac!$A:$A,Output_Mac!B:B,""),
_xlpm.MyAuditVal,_xlfn.XLOOKUP($A647,My_Audit!$A:$A,My_Audit!B:B,""),
_xlfn.IFS(_xlpm.MyAuditVal&lt;&gt;"",UPPER(_xlpm.MyAuditVal),_xlpm.MacVal&lt;&gt;"",_xlpm.MacVal,_xlpm.CSVVal&lt;&gt;"",_xlpm.CSVVal
)),"")</f>
        <v/>
      </c>
      <c r="D647" s="40" t="str" cm="1">
        <f t="array" ref="D647">IFERROR(_xlfn.LET(
_xlpm.CSVVal,_xlfn.XLOOKUP($A647,CSV!$A:$A,CSV!D:D,""),
_xlpm.MacVal,_xlfn.XLOOKUP($A647,Output_Mac!$A:$A,Output_Mac!C:C,""),
_xlpm.MyAuditVal,_xlfn.XLOOKUP($A647,My_Audit!$A:$A,My_Audit!C:C,""),
_xlfn.IFS(_xlpm.MyAuditVal&lt;&gt;"",_xlpm.MyAuditVal,_xlpm.MacVal&lt;&gt;"",_xlpm.MacVal,_xlpm.CSVVal&lt;&gt;"",_xlpm.CSVVal
)),"")</f>
        <v/>
      </c>
      <c r="E647" s="40" t="str">
        <f>_xlfn.XLOOKUP(A647,My_Audit!A:A,My_Audit!D:D,"")</f>
        <v/>
      </c>
      <c r="F647" s="40" t="str" cm="1">
        <f t="array" ref="F647">IFERROR(_xlfn.LET(
_xlpm.CSVVal,_xlfn.XLOOKUP($A647,CSV!$A:$A,CSV!F:F,""),
_xlpm.MacVal,_xlfn.XLOOKUP($A647,Output_Mac!$A:$A,Output_Mac!E:E,""),
_xlpm.MyAuditVal,_xlfn.XLOOKUP($A647,My_Audit!$A:$A,My_Audit!E:E,""),
_xlfn.IFS(_xlpm.MyAuditVal&lt;&gt;"",_xlpm.MyAuditVal,_xlpm.MacVal&lt;&gt;"",_xlpm.MacVal,_xlpm.CSVVal&lt;&gt;"",_xlpm.CSVVal
)),"")</f>
        <v/>
      </c>
      <c r="G647" s="40" t="str" cm="1">
        <f t="array" ref="G647">IFERROR(_xlfn.LET(
_xlpm.CSVVal,_xlfn.XLOOKUP($A647,CSV!$A:$A,CSV!G:G,""),
_xlpm.MacVal,_xlfn.XLOOKUP($A647,Output_Mac!$A:$A,Output_Mac!F:F,""),
_xlpm.MyAuditVal,_xlfn.XLOOKUP($A647,My_Audit!$A:$A,My_Audit!F:F,""),
_xlfn.IFS(_xlpm.MyAuditVal&lt;&gt;"",_xlpm.MyAuditVal,_xlpm.MacVal&lt;&gt;"",_xlpm.MacVal,_xlpm.CSVVal&lt;&gt;"",PROPER(_xlpm.CSVVal)
)),"")</f>
        <v/>
      </c>
      <c r="H647" s="40" t="str" cm="1">
        <f t="array" ref="H647">IFERROR(_xlfn.LET(
_xlpm.CSVVal,_xlfn.XLOOKUP($A647,CSV!$A:$A,CSV!H:H,""),
_xlpm.MacVal,_xlfn.XLOOKUP($A647,Output_Mac!$A:$A,Output_Mac!H:H,""),
_xlpm.MyAuditVal,_xlfn.XLOOKUP($A647,My_Audit!$A:$A,My_Audit!G:G,""),
_xlfn.IFS(_xlpm.MyAuditVal&lt;&gt;"",_xlpm.MyAuditVal,_xlpm.MacVal&lt;&gt;"",_xlpm.MacVal,_xlpm.CSVVal&lt;&gt;"",_xlpm.CSVVal
)),"")</f>
        <v/>
      </c>
      <c r="I647" s="40" t="str">
        <f>_xlfn.XLOOKUP(A647,Output_Mac!A:A,Output_Mac!I:I,"")</f>
        <v/>
      </c>
      <c r="J647" s="40" t="str" cm="1">
        <f t="array" ref="J647">IFERROR(_xlfn.LET(
_xlpm.CSVVal,_xlfn.XLOOKUP($A647,CSV!$A:$A,CSV!I:I,""),
_xlpm.MacVal,_xlfn.XLOOKUP($A647,Output_Mac!$A:$A,Output_Mac!J:J,""),
_xlpm.MyAuditVal,_xlfn.XLOOKUP($A647,My_Audit!$A:$A,My_Audit!I:I,""),
_xlfn.IFS(_xlpm.MyAuditVal&lt;&gt;"",UPPER(_xlpm.MyAuditVal),_xlpm.MacVal&lt;&gt;"",_xlpm.MacVal,_xlpm.CSVVal&lt;&gt;"",_xlpm.CSVVal
)),"")</f>
        <v/>
      </c>
      <c r="K647" s="40" t="str" cm="1">
        <f t="array" ref="K647">IFERROR(_xlfn.LET(
_xlpm.CSVVal,_xlfn.XLOOKUP($A647,CSV!$A:$A,CSV!K:K,""),
_xlpm.MacVal,_xlfn.XLOOKUP($A647,Output_Mac!$A:$A,Output_Mac!K:K,""),
_xlpm.MyAuditVal,_xlfn.XLOOKUP($A647,My_Audit!$A:$A,My_Audit!J:J,""),
_xlfn.IFS(_xlpm.MyAuditVal&lt;&gt;"",UPPER(_xlpm.MyAuditVal),_xlpm.MacVal&lt;&gt;"",_xlpm.MacVal,_xlpm.CSVVal&lt;&gt;"",_xlpm.CSVVal
)),"")</f>
        <v/>
      </c>
      <c r="L647" s="40" t="str" cm="1">
        <f t="array" ref="L647">IFERROR(_xlfn.LET(
_xlpm.CSVVal,_xlfn.XLOOKUP($A647,CSV!$A:$A,CSV!P:P,""),
_xlpm.MacVal,_xlfn.XLOOKUP($A647,Output_Mac!$A:$A,Output_Mac!L:L,""),
_xlpm.MyAuditVal,_xlfn.XLOOKUP($A647,My_Audit!$A:$A,My_Audit!K:K,""),
_xlfn.IFS(_xlpm.MyAuditVal&lt;&gt;"",UPPER(_xlpm.MyAuditVal),_xlpm.MacVal&lt;&gt;"",_xlpm.MacVal,_xlpm.CSVVal&lt;&gt;"",_xlpm.CSVVal
)),"")</f>
        <v/>
      </c>
      <c r="M647" s="40" t="str" cm="1">
        <f t="array" ref="M647">IFERROR(_xlfn.LET(
_xlpm.CSVVal,_xlfn.XLOOKUP($A647,CSV!$A:$A,CSV!Q:Q,""),
_xlpm.MacVal,_xlfn.XLOOKUP($A647,Output_Mac!$A:$A,Output_Mac!M:M,""),
_xlpm.MyAuditVal,_xlfn.XLOOKUP($A647,My_Audit!$A:$A,My_Audit!L:L,""),
_xlfn.IFS(_xlpm.MyAuditVal&lt;&gt;"",UPPER(_xlpm.MyAuditVal),_xlpm.MacVal&lt;&gt;"",_xlpm.MacVal,_xlpm.CSVVal&lt;&gt;"",_xlpm.CSVVal
)),"")</f>
        <v/>
      </c>
      <c r="N647" s="40"/>
      <c r="O647" s="40" t="str">
        <f>_xlfn.LET(
    _xlpm.CSVVal, _xlfn.XLOOKUP($A647, CSV!$A:$A, CSV!AA:AA, ""),
    _xlpm.MacVal, _xlfn.XLOOKUP($A647, Output_Mac!$A:$A, Output_Mac!S:S, ""),
    _xlpm.MyAuditVal, _xlfn.XLOOKUP($A647, My_Audit!$A:$A, My_Audit!P:P, ""),
    _xlfn.TEXTJOIN(", ", TRUE, _xlpm.MyAuditVal, _xlpm.MacVal, _xlpm.CSVVal)
)</f>
        <v/>
      </c>
      <c r="P647" s="40" t="str" cm="1">
        <f t="array" ref="P647">IFERROR(_xlfn.LET(
_xlpm.CSVVal,_xlfn.XLOOKUP($A647,CSV!$A:$A,CSV!AB:AB,""),
_xlpm.MacVal,_xlfn.XLOOKUP($A647,Output_Mac!$A:$A,Output_Mac!T:T,""),
_xlpm.MyAuditVal,_xlfn.XLOOKUP($A647,My_Audit!$A:$A,My_Audit!Q:Q,""),
_xlfn.IFS(_xlpm.MyAuditVal&lt;&gt;"",UPPER(_xlpm.MyAuditVal),_xlpm.MacVal&lt;&gt;"",_xlpm.MacVal,_xlpm.CSVVal&lt;&gt;"",_xlpm.CSVVal
)),"No")</f>
        <v>No</v>
      </c>
      <c r="Q647" s="40" t="str" cm="1">
        <f t="array" ref="Q647">IFERROR(_xlfn.LET(
_xlpm.CSVVal,_xlfn.XLOOKUP($A647,CSV!$A:$A,CSV!AC:AC,""),
_xlpm.MacVal,_xlfn.XLOOKUP($A647,Output_Mac!$A:$A,Output_Mac!U:U,""),
_xlpm.MyAuditVal,_xlfn.XLOOKUP($A647,My_Audit!$A:$A,My_Audit!R:R,""),
_xlfn.IFS(_xlpm.MyAuditVal&lt;&gt;"",UPPER(_xlpm.MyAuditVal),_xlpm.MacVal&lt;&gt;"",_xlpm.MacVal,_xlpm.CSVVal&lt;&gt;"",_xlpm.CSVVal
)),"")</f>
        <v/>
      </c>
      <c r="R647" s="40"/>
      <c r="S647" s="40"/>
      <c r="T647" s="40"/>
      <c r="U647" s="40"/>
      <c r="V647" s="40"/>
      <c r="W647" s="40"/>
      <c r="X647" s="41" t="str">
        <f>_xlfn.LET(
    _xlpm.MacVal, _xlfn.XLOOKUP($A647, Output_Mac!$A:$A, Output_Mac!AB:AB, ""),
    _xlpm.MyAuditVal, _xlfn.XLOOKUP($A647, My_Audit!$A:$A, My_Audit!N:N, ""),
    _xlfn.TEXTJOIN(", ", TRUE, _xlpm.MyAuditVal, _xlpm.MacVal)
)</f>
        <v/>
      </c>
    </row>
    <row r="648" spans="1:24">
      <c r="A648" s="40" t="str">
        <f>_xlfn.TEXTJOIN("",TRUE,Input!$B$2,ROW(My_Audit!A647))</f>
        <v>X647</v>
      </c>
      <c r="B648" s="40" t="str">
        <f>_xlfn.TEXTJOIN("-",TRUE,"ITD",Input!$A$2,A648)</f>
        <v>ITD-X647</v>
      </c>
      <c r="C648" s="40" t="str" cm="1">
        <f t="array" ref="C648">IFERROR(_xlfn.LET(
_xlpm.CSVVal,_xlfn.XLOOKUP($A648,CSV!$A:$A,CSV!B:B,""),
_xlpm.MacVal,_xlfn.XLOOKUP($A648,Output_Mac!$A:$A,Output_Mac!B:B,""),
_xlpm.MyAuditVal,_xlfn.XLOOKUP($A648,My_Audit!$A:$A,My_Audit!B:B,""),
_xlfn.IFS(_xlpm.MyAuditVal&lt;&gt;"",UPPER(_xlpm.MyAuditVal),_xlpm.MacVal&lt;&gt;"",_xlpm.MacVal,_xlpm.CSVVal&lt;&gt;"",_xlpm.CSVVal
)),"")</f>
        <v/>
      </c>
      <c r="D648" s="40" t="str" cm="1">
        <f t="array" ref="D648">IFERROR(_xlfn.LET(
_xlpm.CSVVal,_xlfn.XLOOKUP($A648,CSV!$A:$A,CSV!D:D,""),
_xlpm.MacVal,_xlfn.XLOOKUP($A648,Output_Mac!$A:$A,Output_Mac!C:C,""),
_xlpm.MyAuditVal,_xlfn.XLOOKUP($A648,My_Audit!$A:$A,My_Audit!C:C,""),
_xlfn.IFS(_xlpm.MyAuditVal&lt;&gt;"",_xlpm.MyAuditVal,_xlpm.MacVal&lt;&gt;"",_xlpm.MacVal,_xlpm.CSVVal&lt;&gt;"",_xlpm.CSVVal
)),"")</f>
        <v/>
      </c>
      <c r="E648" s="40" t="str">
        <f>_xlfn.XLOOKUP(A648,My_Audit!A:A,My_Audit!D:D,"")</f>
        <v/>
      </c>
      <c r="F648" s="40" t="str" cm="1">
        <f t="array" ref="F648">IFERROR(_xlfn.LET(
_xlpm.CSVVal,_xlfn.XLOOKUP($A648,CSV!$A:$A,CSV!F:F,""),
_xlpm.MacVal,_xlfn.XLOOKUP($A648,Output_Mac!$A:$A,Output_Mac!E:E,""),
_xlpm.MyAuditVal,_xlfn.XLOOKUP($A648,My_Audit!$A:$A,My_Audit!E:E,""),
_xlfn.IFS(_xlpm.MyAuditVal&lt;&gt;"",_xlpm.MyAuditVal,_xlpm.MacVal&lt;&gt;"",_xlpm.MacVal,_xlpm.CSVVal&lt;&gt;"",_xlpm.CSVVal
)),"")</f>
        <v/>
      </c>
      <c r="G648" s="40" t="str" cm="1">
        <f t="array" ref="G648">IFERROR(_xlfn.LET(
_xlpm.CSVVal,_xlfn.XLOOKUP($A648,CSV!$A:$A,CSV!G:G,""),
_xlpm.MacVal,_xlfn.XLOOKUP($A648,Output_Mac!$A:$A,Output_Mac!F:F,""),
_xlpm.MyAuditVal,_xlfn.XLOOKUP($A648,My_Audit!$A:$A,My_Audit!F:F,""),
_xlfn.IFS(_xlpm.MyAuditVal&lt;&gt;"",_xlpm.MyAuditVal,_xlpm.MacVal&lt;&gt;"",_xlpm.MacVal,_xlpm.CSVVal&lt;&gt;"",PROPER(_xlpm.CSVVal)
)),"")</f>
        <v/>
      </c>
      <c r="H648" s="40" t="str" cm="1">
        <f t="array" ref="H648">IFERROR(_xlfn.LET(
_xlpm.CSVVal,_xlfn.XLOOKUP($A648,CSV!$A:$A,CSV!H:H,""),
_xlpm.MacVal,_xlfn.XLOOKUP($A648,Output_Mac!$A:$A,Output_Mac!H:H,""),
_xlpm.MyAuditVal,_xlfn.XLOOKUP($A648,My_Audit!$A:$A,My_Audit!G:G,""),
_xlfn.IFS(_xlpm.MyAuditVal&lt;&gt;"",_xlpm.MyAuditVal,_xlpm.MacVal&lt;&gt;"",_xlpm.MacVal,_xlpm.CSVVal&lt;&gt;"",_xlpm.CSVVal
)),"")</f>
        <v/>
      </c>
      <c r="I648" s="40" t="str">
        <f>_xlfn.XLOOKUP(A648,Output_Mac!A:A,Output_Mac!I:I,"")</f>
        <v/>
      </c>
      <c r="J648" s="40" t="str" cm="1">
        <f t="array" ref="J648">IFERROR(_xlfn.LET(
_xlpm.CSVVal,_xlfn.XLOOKUP($A648,CSV!$A:$A,CSV!I:I,""),
_xlpm.MacVal,_xlfn.XLOOKUP($A648,Output_Mac!$A:$A,Output_Mac!J:J,""),
_xlpm.MyAuditVal,_xlfn.XLOOKUP($A648,My_Audit!$A:$A,My_Audit!I:I,""),
_xlfn.IFS(_xlpm.MyAuditVal&lt;&gt;"",UPPER(_xlpm.MyAuditVal),_xlpm.MacVal&lt;&gt;"",_xlpm.MacVal,_xlpm.CSVVal&lt;&gt;"",_xlpm.CSVVal
)),"")</f>
        <v/>
      </c>
      <c r="K648" s="40" t="str" cm="1">
        <f t="array" ref="K648">IFERROR(_xlfn.LET(
_xlpm.CSVVal,_xlfn.XLOOKUP($A648,CSV!$A:$A,CSV!K:K,""),
_xlpm.MacVal,_xlfn.XLOOKUP($A648,Output_Mac!$A:$A,Output_Mac!K:K,""),
_xlpm.MyAuditVal,_xlfn.XLOOKUP($A648,My_Audit!$A:$A,My_Audit!J:J,""),
_xlfn.IFS(_xlpm.MyAuditVal&lt;&gt;"",UPPER(_xlpm.MyAuditVal),_xlpm.MacVal&lt;&gt;"",_xlpm.MacVal,_xlpm.CSVVal&lt;&gt;"",_xlpm.CSVVal
)),"")</f>
        <v/>
      </c>
      <c r="L648" s="40" t="str" cm="1">
        <f t="array" ref="L648">IFERROR(_xlfn.LET(
_xlpm.CSVVal,_xlfn.XLOOKUP($A648,CSV!$A:$A,CSV!P:P,""),
_xlpm.MacVal,_xlfn.XLOOKUP($A648,Output_Mac!$A:$A,Output_Mac!L:L,""),
_xlpm.MyAuditVal,_xlfn.XLOOKUP($A648,My_Audit!$A:$A,My_Audit!K:K,""),
_xlfn.IFS(_xlpm.MyAuditVal&lt;&gt;"",UPPER(_xlpm.MyAuditVal),_xlpm.MacVal&lt;&gt;"",_xlpm.MacVal,_xlpm.CSVVal&lt;&gt;"",_xlpm.CSVVal
)),"")</f>
        <v/>
      </c>
      <c r="M648" s="40" t="str" cm="1">
        <f t="array" ref="M648">IFERROR(_xlfn.LET(
_xlpm.CSVVal,_xlfn.XLOOKUP($A648,CSV!$A:$A,CSV!Q:Q,""),
_xlpm.MacVal,_xlfn.XLOOKUP($A648,Output_Mac!$A:$A,Output_Mac!M:M,""),
_xlpm.MyAuditVal,_xlfn.XLOOKUP($A648,My_Audit!$A:$A,My_Audit!L:L,""),
_xlfn.IFS(_xlpm.MyAuditVal&lt;&gt;"",UPPER(_xlpm.MyAuditVal),_xlpm.MacVal&lt;&gt;"",_xlpm.MacVal,_xlpm.CSVVal&lt;&gt;"",_xlpm.CSVVal
)),"")</f>
        <v/>
      </c>
      <c r="N648" s="40"/>
      <c r="O648" s="40" t="str">
        <f>_xlfn.LET(
    _xlpm.CSVVal, _xlfn.XLOOKUP($A648, CSV!$A:$A, CSV!AA:AA, ""),
    _xlpm.MacVal, _xlfn.XLOOKUP($A648, Output_Mac!$A:$A, Output_Mac!S:S, ""),
    _xlpm.MyAuditVal, _xlfn.XLOOKUP($A648, My_Audit!$A:$A, My_Audit!P:P, ""),
    _xlfn.TEXTJOIN(", ", TRUE, _xlpm.MyAuditVal, _xlpm.MacVal, _xlpm.CSVVal)
)</f>
        <v/>
      </c>
      <c r="P648" s="40" t="str" cm="1">
        <f t="array" ref="P648">IFERROR(_xlfn.LET(
_xlpm.CSVVal,_xlfn.XLOOKUP($A648,CSV!$A:$A,CSV!AB:AB,""),
_xlpm.MacVal,_xlfn.XLOOKUP($A648,Output_Mac!$A:$A,Output_Mac!T:T,""),
_xlpm.MyAuditVal,_xlfn.XLOOKUP($A648,My_Audit!$A:$A,My_Audit!Q:Q,""),
_xlfn.IFS(_xlpm.MyAuditVal&lt;&gt;"",UPPER(_xlpm.MyAuditVal),_xlpm.MacVal&lt;&gt;"",_xlpm.MacVal,_xlpm.CSVVal&lt;&gt;"",_xlpm.CSVVal
)),"No")</f>
        <v>No</v>
      </c>
      <c r="Q648" s="40" t="str" cm="1">
        <f t="array" ref="Q648">IFERROR(_xlfn.LET(
_xlpm.CSVVal,_xlfn.XLOOKUP($A648,CSV!$A:$A,CSV!AC:AC,""),
_xlpm.MacVal,_xlfn.XLOOKUP($A648,Output_Mac!$A:$A,Output_Mac!U:U,""),
_xlpm.MyAuditVal,_xlfn.XLOOKUP($A648,My_Audit!$A:$A,My_Audit!R:R,""),
_xlfn.IFS(_xlpm.MyAuditVal&lt;&gt;"",UPPER(_xlpm.MyAuditVal),_xlpm.MacVal&lt;&gt;"",_xlpm.MacVal,_xlpm.CSVVal&lt;&gt;"",_xlpm.CSVVal
)),"")</f>
        <v/>
      </c>
      <c r="R648" s="40"/>
      <c r="S648" s="40"/>
      <c r="T648" s="40"/>
      <c r="U648" s="40"/>
      <c r="V648" s="40"/>
      <c r="W648" s="40"/>
      <c r="X648" s="41" t="str">
        <f>_xlfn.LET(
    _xlpm.MacVal, _xlfn.XLOOKUP($A648, Output_Mac!$A:$A, Output_Mac!AB:AB, ""),
    _xlpm.MyAuditVal, _xlfn.XLOOKUP($A648, My_Audit!$A:$A, My_Audit!N:N, ""),
    _xlfn.TEXTJOIN(", ", TRUE, _xlpm.MyAuditVal, _xlpm.MacVal)
)</f>
        <v/>
      </c>
    </row>
    <row r="649" spans="1:24">
      <c r="A649" s="40" t="str">
        <f>_xlfn.TEXTJOIN("",TRUE,Input!$B$2,ROW(My_Audit!A648))</f>
        <v>X648</v>
      </c>
      <c r="B649" s="40" t="str">
        <f>_xlfn.TEXTJOIN("-",TRUE,"ITD",Input!$A$2,A649)</f>
        <v>ITD-X648</v>
      </c>
      <c r="C649" s="40" t="str" cm="1">
        <f t="array" ref="C649">IFERROR(_xlfn.LET(
_xlpm.CSVVal,_xlfn.XLOOKUP($A649,CSV!$A:$A,CSV!B:B,""),
_xlpm.MacVal,_xlfn.XLOOKUP($A649,Output_Mac!$A:$A,Output_Mac!B:B,""),
_xlpm.MyAuditVal,_xlfn.XLOOKUP($A649,My_Audit!$A:$A,My_Audit!B:B,""),
_xlfn.IFS(_xlpm.MyAuditVal&lt;&gt;"",UPPER(_xlpm.MyAuditVal),_xlpm.MacVal&lt;&gt;"",_xlpm.MacVal,_xlpm.CSVVal&lt;&gt;"",_xlpm.CSVVal
)),"")</f>
        <v/>
      </c>
      <c r="D649" s="40" t="str" cm="1">
        <f t="array" ref="D649">IFERROR(_xlfn.LET(
_xlpm.CSVVal,_xlfn.XLOOKUP($A649,CSV!$A:$A,CSV!D:D,""),
_xlpm.MacVal,_xlfn.XLOOKUP($A649,Output_Mac!$A:$A,Output_Mac!C:C,""),
_xlpm.MyAuditVal,_xlfn.XLOOKUP($A649,My_Audit!$A:$A,My_Audit!C:C,""),
_xlfn.IFS(_xlpm.MyAuditVal&lt;&gt;"",_xlpm.MyAuditVal,_xlpm.MacVal&lt;&gt;"",_xlpm.MacVal,_xlpm.CSVVal&lt;&gt;"",_xlpm.CSVVal
)),"")</f>
        <v/>
      </c>
      <c r="E649" s="40" t="str">
        <f>_xlfn.XLOOKUP(A649,My_Audit!A:A,My_Audit!D:D,"")</f>
        <v/>
      </c>
      <c r="F649" s="40" t="str" cm="1">
        <f t="array" ref="F649">IFERROR(_xlfn.LET(
_xlpm.CSVVal,_xlfn.XLOOKUP($A649,CSV!$A:$A,CSV!F:F,""),
_xlpm.MacVal,_xlfn.XLOOKUP($A649,Output_Mac!$A:$A,Output_Mac!E:E,""),
_xlpm.MyAuditVal,_xlfn.XLOOKUP($A649,My_Audit!$A:$A,My_Audit!E:E,""),
_xlfn.IFS(_xlpm.MyAuditVal&lt;&gt;"",_xlpm.MyAuditVal,_xlpm.MacVal&lt;&gt;"",_xlpm.MacVal,_xlpm.CSVVal&lt;&gt;"",_xlpm.CSVVal
)),"")</f>
        <v/>
      </c>
      <c r="G649" s="40" t="str" cm="1">
        <f t="array" ref="G649">IFERROR(_xlfn.LET(
_xlpm.CSVVal,_xlfn.XLOOKUP($A649,CSV!$A:$A,CSV!G:G,""),
_xlpm.MacVal,_xlfn.XLOOKUP($A649,Output_Mac!$A:$A,Output_Mac!F:F,""),
_xlpm.MyAuditVal,_xlfn.XLOOKUP($A649,My_Audit!$A:$A,My_Audit!F:F,""),
_xlfn.IFS(_xlpm.MyAuditVal&lt;&gt;"",_xlpm.MyAuditVal,_xlpm.MacVal&lt;&gt;"",_xlpm.MacVal,_xlpm.CSVVal&lt;&gt;"",PROPER(_xlpm.CSVVal)
)),"")</f>
        <v/>
      </c>
      <c r="H649" s="40" t="str" cm="1">
        <f t="array" ref="H649">IFERROR(_xlfn.LET(
_xlpm.CSVVal,_xlfn.XLOOKUP($A649,CSV!$A:$A,CSV!H:H,""),
_xlpm.MacVal,_xlfn.XLOOKUP($A649,Output_Mac!$A:$A,Output_Mac!H:H,""),
_xlpm.MyAuditVal,_xlfn.XLOOKUP($A649,My_Audit!$A:$A,My_Audit!G:G,""),
_xlfn.IFS(_xlpm.MyAuditVal&lt;&gt;"",_xlpm.MyAuditVal,_xlpm.MacVal&lt;&gt;"",_xlpm.MacVal,_xlpm.CSVVal&lt;&gt;"",_xlpm.CSVVal
)),"")</f>
        <v/>
      </c>
      <c r="I649" s="40" t="str">
        <f>_xlfn.XLOOKUP(A649,Output_Mac!A:A,Output_Mac!I:I,"")</f>
        <v/>
      </c>
      <c r="J649" s="40" t="str" cm="1">
        <f t="array" ref="J649">IFERROR(_xlfn.LET(
_xlpm.CSVVal,_xlfn.XLOOKUP($A649,CSV!$A:$A,CSV!I:I,""),
_xlpm.MacVal,_xlfn.XLOOKUP($A649,Output_Mac!$A:$A,Output_Mac!J:J,""),
_xlpm.MyAuditVal,_xlfn.XLOOKUP($A649,My_Audit!$A:$A,My_Audit!I:I,""),
_xlfn.IFS(_xlpm.MyAuditVal&lt;&gt;"",UPPER(_xlpm.MyAuditVal),_xlpm.MacVal&lt;&gt;"",_xlpm.MacVal,_xlpm.CSVVal&lt;&gt;"",_xlpm.CSVVal
)),"")</f>
        <v/>
      </c>
      <c r="K649" s="40" t="str" cm="1">
        <f t="array" ref="K649">IFERROR(_xlfn.LET(
_xlpm.CSVVal,_xlfn.XLOOKUP($A649,CSV!$A:$A,CSV!K:K,""),
_xlpm.MacVal,_xlfn.XLOOKUP($A649,Output_Mac!$A:$A,Output_Mac!K:K,""),
_xlpm.MyAuditVal,_xlfn.XLOOKUP($A649,My_Audit!$A:$A,My_Audit!J:J,""),
_xlfn.IFS(_xlpm.MyAuditVal&lt;&gt;"",UPPER(_xlpm.MyAuditVal),_xlpm.MacVal&lt;&gt;"",_xlpm.MacVal,_xlpm.CSVVal&lt;&gt;"",_xlpm.CSVVal
)),"")</f>
        <v/>
      </c>
      <c r="L649" s="40" t="str" cm="1">
        <f t="array" ref="L649">IFERROR(_xlfn.LET(
_xlpm.CSVVal,_xlfn.XLOOKUP($A649,CSV!$A:$A,CSV!P:P,""),
_xlpm.MacVal,_xlfn.XLOOKUP($A649,Output_Mac!$A:$A,Output_Mac!L:L,""),
_xlpm.MyAuditVal,_xlfn.XLOOKUP($A649,My_Audit!$A:$A,My_Audit!K:K,""),
_xlfn.IFS(_xlpm.MyAuditVal&lt;&gt;"",UPPER(_xlpm.MyAuditVal),_xlpm.MacVal&lt;&gt;"",_xlpm.MacVal,_xlpm.CSVVal&lt;&gt;"",_xlpm.CSVVal
)),"")</f>
        <v/>
      </c>
      <c r="M649" s="40" t="str" cm="1">
        <f t="array" ref="M649">IFERROR(_xlfn.LET(
_xlpm.CSVVal,_xlfn.XLOOKUP($A649,CSV!$A:$A,CSV!Q:Q,""),
_xlpm.MacVal,_xlfn.XLOOKUP($A649,Output_Mac!$A:$A,Output_Mac!M:M,""),
_xlpm.MyAuditVal,_xlfn.XLOOKUP($A649,My_Audit!$A:$A,My_Audit!L:L,""),
_xlfn.IFS(_xlpm.MyAuditVal&lt;&gt;"",UPPER(_xlpm.MyAuditVal),_xlpm.MacVal&lt;&gt;"",_xlpm.MacVal,_xlpm.CSVVal&lt;&gt;"",_xlpm.CSVVal
)),"")</f>
        <v/>
      </c>
      <c r="N649" s="40"/>
      <c r="O649" s="40" t="str">
        <f>_xlfn.LET(
    _xlpm.CSVVal, _xlfn.XLOOKUP($A649, CSV!$A:$A, CSV!AA:AA, ""),
    _xlpm.MacVal, _xlfn.XLOOKUP($A649, Output_Mac!$A:$A, Output_Mac!S:S, ""),
    _xlpm.MyAuditVal, _xlfn.XLOOKUP($A649, My_Audit!$A:$A, My_Audit!P:P, ""),
    _xlfn.TEXTJOIN(", ", TRUE, _xlpm.MyAuditVal, _xlpm.MacVal, _xlpm.CSVVal)
)</f>
        <v/>
      </c>
      <c r="P649" s="40" t="str" cm="1">
        <f t="array" ref="P649">IFERROR(_xlfn.LET(
_xlpm.CSVVal,_xlfn.XLOOKUP($A649,CSV!$A:$A,CSV!AB:AB,""),
_xlpm.MacVal,_xlfn.XLOOKUP($A649,Output_Mac!$A:$A,Output_Mac!T:T,""),
_xlpm.MyAuditVal,_xlfn.XLOOKUP($A649,My_Audit!$A:$A,My_Audit!Q:Q,""),
_xlfn.IFS(_xlpm.MyAuditVal&lt;&gt;"",UPPER(_xlpm.MyAuditVal),_xlpm.MacVal&lt;&gt;"",_xlpm.MacVal,_xlpm.CSVVal&lt;&gt;"",_xlpm.CSVVal
)),"No")</f>
        <v>No</v>
      </c>
      <c r="Q649" s="40" t="str" cm="1">
        <f t="array" ref="Q649">IFERROR(_xlfn.LET(
_xlpm.CSVVal,_xlfn.XLOOKUP($A649,CSV!$A:$A,CSV!AC:AC,""),
_xlpm.MacVal,_xlfn.XLOOKUP($A649,Output_Mac!$A:$A,Output_Mac!U:U,""),
_xlpm.MyAuditVal,_xlfn.XLOOKUP($A649,My_Audit!$A:$A,My_Audit!R:R,""),
_xlfn.IFS(_xlpm.MyAuditVal&lt;&gt;"",UPPER(_xlpm.MyAuditVal),_xlpm.MacVal&lt;&gt;"",_xlpm.MacVal,_xlpm.CSVVal&lt;&gt;"",_xlpm.CSVVal
)),"")</f>
        <v/>
      </c>
      <c r="R649" s="40"/>
      <c r="S649" s="40"/>
      <c r="T649" s="40"/>
      <c r="U649" s="40"/>
      <c r="V649" s="40"/>
      <c r="W649" s="40"/>
      <c r="X649" s="41" t="str">
        <f>_xlfn.LET(
    _xlpm.MacVal, _xlfn.XLOOKUP($A649, Output_Mac!$A:$A, Output_Mac!AB:AB, ""),
    _xlpm.MyAuditVal, _xlfn.XLOOKUP($A649, My_Audit!$A:$A, My_Audit!N:N, ""),
    _xlfn.TEXTJOIN(", ", TRUE, _xlpm.MyAuditVal, _xlpm.MacVal)
)</f>
        <v/>
      </c>
    </row>
    <row r="650" spans="1:24">
      <c r="A650" s="40" t="str">
        <f>_xlfn.TEXTJOIN("",TRUE,Input!$B$2,ROW(My_Audit!A649))</f>
        <v>X649</v>
      </c>
      <c r="B650" s="40" t="str">
        <f>_xlfn.TEXTJOIN("-",TRUE,"ITD",Input!$A$2,A650)</f>
        <v>ITD-X649</v>
      </c>
      <c r="C650" s="40" t="str" cm="1">
        <f t="array" ref="C650">IFERROR(_xlfn.LET(
_xlpm.CSVVal,_xlfn.XLOOKUP($A650,CSV!$A:$A,CSV!B:B,""),
_xlpm.MacVal,_xlfn.XLOOKUP($A650,Output_Mac!$A:$A,Output_Mac!B:B,""),
_xlpm.MyAuditVal,_xlfn.XLOOKUP($A650,My_Audit!$A:$A,My_Audit!B:B,""),
_xlfn.IFS(_xlpm.MyAuditVal&lt;&gt;"",UPPER(_xlpm.MyAuditVal),_xlpm.MacVal&lt;&gt;"",_xlpm.MacVal,_xlpm.CSVVal&lt;&gt;"",_xlpm.CSVVal
)),"")</f>
        <v/>
      </c>
      <c r="D650" s="40" t="str" cm="1">
        <f t="array" ref="D650">IFERROR(_xlfn.LET(
_xlpm.CSVVal,_xlfn.XLOOKUP($A650,CSV!$A:$A,CSV!D:D,""),
_xlpm.MacVal,_xlfn.XLOOKUP($A650,Output_Mac!$A:$A,Output_Mac!C:C,""),
_xlpm.MyAuditVal,_xlfn.XLOOKUP($A650,My_Audit!$A:$A,My_Audit!C:C,""),
_xlfn.IFS(_xlpm.MyAuditVal&lt;&gt;"",_xlpm.MyAuditVal,_xlpm.MacVal&lt;&gt;"",_xlpm.MacVal,_xlpm.CSVVal&lt;&gt;"",_xlpm.CSVVal
)),"")</f>
        <v/>
      </c>
      <c r="E650" s="40" t="str">
        <f>_xlfn.XLOOKUP(A650,My_Audit!A:A,My_Audit!D:D,"")</f>
        <v/>
      </c>
      <c r="F650" s="40" t="str" cm="1">
        <f t="array" ref="F650">IFERROR(_xlfn.LET(
_xlpm.CSVVal,_xlfn.XLOOKUP($A650,CSV!$A:$A,CSV!F:F,""),
_xlpm.MacVal,_xlfn.XLOOKUP($A650,Output_Mac!$A:$A,Output_Mac!E:E,""),
_xlpm.MyAuditVal,_xlfn.XLOOKUP($A650,My_Audit!$A:$A,My_Audit!E:E,""),
_xlfn.IFS(_xlpm.MyAuditVal&lt;&gt;"",_xlpm.MyAuditVal,_xlpm.MacVal&lt;&gt;"",_xlpm.MacVal,_xlpm.CSVVal&lt;&gt;"",_xlpm.CSVVal
)),"")</f>
        <v/>
      </c>
      <c r="G650" s="40" t="str" cm="1">
        <f t="array" ref="G650">IFERROR(_xlfn.LET(
_xlpm.CSVVal,_xlfn.XLOOKUP($A650,CSV!$A:$A,CSV!G:G,""),
_xlpm.MacVal,_xlfn.XLOOKUP($A650,Output_Mac!$A:$A,Output_Mac!F:F,""),
_xlpm.MyAuditVal,_xlfn.XLOOKUP($A650,My_Audit!$A:$A,My_Audit!F:F,""),
_xlfn.IFS(_xlpm.MyAuditVal&lt;&gt;"",_xlpm.MyAuditVal,_xlpm.MacVal&lt;&gt;"",_xlpm.MacVal,_xlpm.CSVVal&lt;&gt;"",PROPER(_xlpm.CSVVal)
)),"")</f>
        <v/>
      </c>
      <c r="H650" s="40" t="str" cm="1">
        <f t="array" ref="H650">IFERROR(_xlfn.LET(
_xlpm.CSVVal,_xlfn.XLOOKUP($A650,CSV!$A:$A,CSV!H:H,""),
_xlpm.MacVal,_xlfn.XLOOKUP($A650,Output_Mac!$A:$A,Output_Mac!H:H,""),
_xlpm.MyAuditVal,_xlfn.XLOOKUP($A650,My_Audit!$A:$A,My_Audit!G:G,""),
_xlfn.IFS(_xlpm.MyAuditVal&lt;&gt;"",_xlpm.MyAuditVal,_xlpm.MacVal&lt;&gt;"",_xlpm.MacVal,_xlpm.CSVVal&lt;&gt;"",_xlpm.CSVVal
)),"")</f>
        <v/>
      </c>
      <c r="I650" s="40" t="str">
        <f>_xlfn.XLOOKUP(A650,Output_Mac!A:A,Output_Mac!I:I,"")</f>
        <v/>
      </c>
      <c r="J650" s="40" t="str" cm="1">
        <f t="array" ref="J650">IFERROR(_xlfn.LET(
_xlpm.CSVVal,_xlfn.XLOOKUP($A650,CSV!$A:$A,CSV!I:I,""),
_xlpm.MacVal,_xlfn.XLOOKUP($A650,Output_Mac!$A:$A,Output_Mac!J:J,""),
_xlpm.MyAuditVal,_xlfn.XLOOKUP($A650,My_Audit!$A:$A,My_Audit!I:I,""),
_xlfn.IFS(_xlpm.MyAuditVal&lt;&gt;"",UPPER(_xlpm.MyAuditVal),_xlpm.MacVal&lt;&gt;"",_xlpm.MacVal,_xlpm.CSVVal&lt;&gt;"",_xlpm.CSVVal
)),"")</f>
        <v/>
      </c>
      <c r="K650" s="40" t="str" cm="1">
        <f t="array" ref="K650">IFERROR(_xlfn.LET(
_xlpm.CSVVal,_xlfn.XLOOKUP($A650,CSV!$A:$A,CSV!K:K,""),
_xlpm.MacVal,_xlfn.XLOOKUP($A650,Output_Mac!$A:$A,Output_Mac!K:K,""),
_xlpm.MyAuditVal,_xlfn.XLOOKUP($A650,My_Audit!$A:$A,My_Audit!J:J,""),
_xlfn.IFS(_xlpm.MyAuditVal&lt;&gt;"",UPPER(_xlpm.MyAuditVal),_xlpm.MacVal&lt;&gt;"",_xlpm.MacVal,_xlpm.CSVVal&lt;&gt;"",_xlpm.CSVVal
)),"")</f>
        <v/>
      </c>
      <c r="L650" s="40" t="str" cm="1">
        <f t="array" ref="L650">IFERROR(_xlfn.LET(
_xlpm.CSVVal,_xlfn.XLOOKUP($A650,CSV!$A:$A,CSV!P:P,""),
_xlpm.MacVal,_xlfn.XLOOKUP($A650,Output_Mac!$A:$A,Output_Mac!L:L,""),
_xlpm.MyAuditVal,_xlfn.XLOOKUP($A650,My_Audit!$A:$A,My_Audit!K:K,""),
_xlfn.IFS(_xlpm.MyAuditVal&lt;&gt;"",UPPER(_xlpm.MyAuditVal),_xlpm.MacVal&lt;&gt;"",_xlpm.MacVal,_xlpm.CSVVal&lt;&gt;"",_xlpm.CSVVal
)),"")</f>
        <v/>
      </c>
      <c r="M650" s="40" t="str" cm="1">
        <f t="array" ref="M650">IFERROR(_xlfn.LET(
_xlpm.CSVVal,_xlfn.XLOOKUP($A650,CSV!$A:$A,CSV!Q:Q,""),
_xlpm.MacVal,_xlfn.XLOOKUP($A650,Output_Mac!$A:$A,Output_Mac!M:M,""),
_xlpm.MyAuditVal,_xlfn.XLOOKUP($A650,My_Audit!$A:$A,My_Audit!L:L,""),
_xlfn.IFS(_xlpm.MyAuditVal&lt;&gt;"",UPPER(_xlpm.MyAuditVal),_xlpm.MacVal&lt;&gt;"",_xlpm.MacVal,_xlpm.CSVVal&lt;&gt;"",_xlpm.CSVVal
)),"")</f>
        <v/>
      </c>
      <c r="N650" s="40"/>
      <c r="O650" s="40" t="str">
        <f>_xlfn.LET(
    _xlpm.CSVVal, _xlfn.XLOOKUP($A650, CSV!$A:$A, CSV!AA:AA, ""),
    _xlpm.MacVal, _xlfn.XLOOKUP($A650, Output_Mac!$A:$A, Output_Mac!S:S, ""),
    _xlpm.MyAuditVal, _xlfn.XLOOKUP($A650, My_Audit!$A:$A, My_Audit!P:P, ""),
    _xlfn.TEXTJOIN(", ", TRUE, _xlpm.MyAuditVal, _xlpm.MacVal, _xlpm.CSVVal)
)</f>
        <v/>
      </c>
      <c r="P650" s="40" t="str" cm="1">
        <f t="array" ref="P650">IFERROR(_xlfn.LET(
_xlpm.CSVVal,_xlfn.XLOOKUP($A650,CSV!$A:$A,CSV!AB:AB,""),
_xlpm.MacVal,_xlfn.XLOOKUP($A650,Output_Mac!$A:$A,Output_Mac!T:T,""),
_xlpm.MyAuditVal,_xlfn.XLOOKUP($A650,My_Audit!$A:$A,My_Audit!Q:Q,""),
_xlfn.IFS(_xlpm.MyAuditVal&lt;&gt;"",UPPER(_xlpm.MyAuditVal),_xlpm.MacVal&lt;&gt;"",_xlpm.MacVal,_xlpm.CSVVal&lt;&gt;"",_xlpm.CSVVal
)),"No")</f>
        <v>No</v>
      </c>
      <c r="Q650" s="40" t="str" cm="1">
        <f t="array" ref="Q650">IFERROR(_xlfn.LET(
_xlpm.CSVVal,_xlfn.XLOOKUP($A650,CSV!$A:$A,CSV!AC:AC,""),
_xlpm.MacVal,_xlfn.XLOOKUP($A650,Output_Mac!$A:$A,Output_Mac!U:U,""),
_xlpm.MyAuditVal,_xlfn.XLOOKUP($A650,My_Audit!$A:$A,My_Audit!R:R,""),
_xlfn.IFS(_xlpm.MyAuditVal&lt;&gt;"",UPPER(_xlpm.MyAuditVal),_xlpm.MacVal&lt;&gt;"",_xlpm.MacVal,_xlpm.CSVVal&lt;&gt;"",_xlpm.CSVVal
)),"")</f>
        <v/>
      </c>
      <c r="R650" s="40"/>
      <c r="S650" s="40"/>
      <c r="T650" s="40"/>
      <c r="U650" s="40"/>
      <c r="V650" s="40"/>
      <c r="W650" s="40"/>
      <c r="X650" s="41" t="str">
        <f>_xlfn.LET(
    _xlpm.MacVal, _xlfn.XLOOKUP($A650, Output_Mac!$A:$A, Output_Mac!AB:AB, ""),
    _xlpm.MyAuditVal, _xlfn.XLOOKUP($A650, My_Audit!$A:$A, My_Audit!N:N, ""),
    _xlfn.TEXTJOIN(", ", TRUE, _xlpm.MyAuditVal, _xlpm.MacVal)
)</f>
        <v/>
      </c>
    </row>
    <row r="651" spans="1:24">
      <c r="A651" s="40" t="str">
        <f>_xlfn.TEXTJOIN("",TRUE,Input!$B$2,ROW(My_Audit!A650))</f>
        <v>X650</v>
      </c>
      <c r="B651" s="40" t="str">
        <f>_xlfn.TEXTJOIN("-",TRUE,"ITD",Input!$A$2,A651)</f>
        <v>ITD-X650</v>
      </c>
      <c r="C651" s="40" t="str" cm="1">
        <f t="array" ref="C651">IFERROR(_xlfn.LET(
_xlpm.CSVVal,_xlfn.XLOOKUP($A651,CSV!$A:$A,CSV!B:B,""),
_xlpm.MacVal,_xlfn.XLOOKUP($A651,Output_Mac!$A:$A,Output_Mac!B:B,""),
_xlpm.MyAuditVal,_xlfn.XLOOKUP($A651,My_Audit!$A:$A,My_Audit!B:B,""),
_xlfn.IFS(_xlpm.MyAuditVal&lt;&gt;"",UPPER(_xlpm.MyAuditVal),_xlpm.MacVal&lt;&gt;"",_xlpm.MacVal,_xlpm.CSVVal&lt;&gt;"",_xlpm.CSVVal
)),"")</f>
        <v/>
      </c>
      <c r="D651" s="40" t="str" cm="1">
        <f t="array" ref="D651">IFERROR(_xlfn.LET(
_xlpm.CSVVal,_xlfn.XLOOKUP($A651,CSV!$A:$A,CSV!D:D,""),
_xlpm.MacVal,_xlfn.XLOOKUP($A651,Output_Mac!$A:$A,Output_Mac!C:C,""),
_xlpm.MyAuditVal,_xlfn.XLOOKUP($A651,My_Audit!$A:$A,My_Audit!C:C,""),
_xlfn.IFS(_xlpm.MyAuditVal&lt;&gt;"",_xlpm.MyAuditVal,_xlpm.MacVal&lt;&gt;"",_xlpm.MacVal,_xlpm.CSVVal&lt;&gt;"",_xlpm.CSVVal
)),"")</f>
        <v/>
      </c>
      <c r="E651" s="40" t="str">
        <f>_xlfn.XLOOKUP(A651,My_Audit!A:A,My_Audit!D:D,"")</f>
        <v/>
      </c>
      <c r="F651" s="40" t="str" cm="1">
        <f t="array" ref="F651">IFERROR(_xlfn.LET(
_xlpm.CSVVal,_xlfn.XLOOKUP($A651,CSV!$A:$A,CSV!F:F,""),
_xlpm.MacVal,_xlfn.XLOOKUP($A651,Output_Mac!$A:$A,Output_Mac!E:E,""),
_xlpm.MyAuditVal,_xlfn.XLOOKUP($A651,My_Audit!$A:$A,My_Audit!E:E,""),
_xlfn.IFS(_xlpm.MyAuditVal&lt;&gt;"",_xlpm.MyAuditVal,_xlpm.MacVal&lt;&gt;"",_xlpm.MacVal,_xlpm.CSVVal&lt;&gt;"",_xlpm.CSVVal
)),"")</f>
        <v/>
      </c>
      <c r="G651" s="40" t="str" cm="1">
        <f t="array" ref="G651">IFERROR(_xlfn.LET(
_xlpm.CSVVal,_xlfn.XLOOKUP($A651,CSV!$A:$A,CSV!G:G,""),
_xlpm.MacVal,_xlfn.XLOOKUP($A651,Output_Mac!$A:$A,Output_Mac!F:F,""),
_xlpm.MyAuditVal,_xlfn.XLOOKUP($A651,My_Audit!$A:$A,My_Audit!F:F,""),
_xlfn.IFS(_xlpm.MyAuditVal&lt;&gt;"",_xlpm.MyAuditVal,_xlpm.MacVal&lt;&gt;"",_xlpm.MacVal,_xlpm.CSVVal&lt;&gt;"",PROPER(_xlpm.CSVVal)
)),"")</f>
        <v/>
      </c>
      <c r="H651" s="40" t="str" cm="1">
        <f t="array" ref="H651">IFERROR(_xlfn.LET(
_xlpm.CSVVal,_xlfn.XLOOKUP($A651,CSV!$A:$A,CSV!H:H,""),
_xlpm.MacVal,_xlfn.XLOOKUP($A651,Output_Mac!$A:$A,Output_Mac!H:H,""),
_xlpm.MyAuditVal,_xlfn.XLOOKUP($A651,My_Audit!$A:$A,My_Audit!G:G,""),
_xlfn.IFS(_xlpm.MyAuditVal&lt;&gt;"",_xlpm.MyAuditVal,_xlpm.MacVal&lt;&gt;"",_xlpm.MacVal,_xlpm.CSVVal&lt;&gt;"",_xlpm.CSVVal
)),"")</f>
        <v/>
      </c>
      <c r="I651" s="40" t="str">
        <f>_xlfn.XLOOKUP(A651,Output_Mac!A:A,Output_Mac!I:I,"")</f>
        <v/>
      </c>
      <c r="J651" s="40" t="str" cm="1">
        <f t="array" ref="J651">IFERROR(_xlfn.LET(
_xlpm.CSVVal,_xlfn.XLOOKUP($A651,CSV!$A:$A,CSV!I:I,""),
_xlpm.MacVal,_xlfn.XLOOKUP($A651,Output_Mac!$A:$A,Output_Mac!J:J,""),
_xlpm.MyAuditVal,_xlfn.XLOOKUP($A651,My_Audit!$A:$A,My_Audit!I:I,""),
_xlfn.IFS(_xlpm.MyAuditVal&lt;&gt;"",UPPER(_xlpm.MyAuditVal),_xlpm.MacVal&lt;&gt;"",_xlpm.MacVal,_xlpm.CSVVal&lt;&gt;"",_xlpm.CSVVal
)),"")</f>
        <v/>
      </c>
      <c r="K651" s="40" t="str" cm="1">
        <f t="array" ref="K651">IFERROR(_xlfn.LET(
_xlpm.CSVVal,_xlfn.XLOOKUP($A651,CSV!$A:$A,CSV!K:K,""),
_xlpm.MacVal,_xlfn.XLOOKUP($A651,Output_Mac!$A:$A,Output_Mac!K:K,""),
_xlpm.MyAuditVal,_xlfn.XLOOKUP($A651,My_Audit!$A:$A,My_Audit!J:J,""),
_xlfn.IFS(_xlpm.MyAuditVal&lt;&gt;"",UPPER(_xlpm.MyAuditVal),_xlpm.MacVal&lt;&gt;"",_xlpm.MacVal,_xlpm.CSVVal&lt;&gt;"",_xlpm.CSVVal
)),"")</f>
        <v/>
      </c>
      <c r="L651" s="40" t="str" cm="1">
        <f t="array" ref="L651">IFERROR(_xlfn.LET(
_xlpm.CSVVal,_xlfn.XLOOKUP($A651,CSV!$A:$A,CSV!P:P,""),
_xlpm.MacVal,_xlfn.XLOOKUP($A651,Output_Mac!$A:$A,Output_Mac!L:L,""),
_xlpm.MyAuditVal,_xlfn.XLOOKUP($A651,My_Audit!$A:$A,My_Audit!K:K,""),
_xlfn.IFS(_xlpm.MyAuditVal&lt;&gt;"",UPPER(_xlpm.MyAuditVal),_xlpm.MacVal&lt;&gt;"",_xlpm.MacVal,_xlpm.CSVVal&lt;&gt;"",_xlpm.CSVVal
)),"")</f>
        <v/>
      </c>
      <c r="M651" s="40" t="str" cm="1">
        <f t="array" ref="M651">IFERROR(_xlfn.LET(
_xlpm.CSVVal,_xlfn.XLOOKUP($A651,CSV!$A:$A,CSV!Q:Q,""),
_xlpm.MacVal,_xlfn.XLOOKUP($A651,Output_Mac!$A:$A,Output_Mac!M:M,""),
_xlpm.MyAuditVal,_xlfn.XLOOKUP($A651,My_Audit!$A:$A,My_Audit!L:L,""),
_xlfn.IFS(_xlpm.MyAuditVal&lt;&gt;"",UPPER(_xlpm.MyAuditVal),_xlpm.MacVal&lt;&gt;"",_xlpm.MacVal,_xlpm.CSVVal&lt;&gt;"",_xlpm.CSVVal
)),"")</f>
        <v/>
      </c>
      <c r="N651" s="40"/>
      <c r="O651" s="40" t="str">
        <f>_xlfn.LET(
    _xlpm.CSVVal, _xlfn.XLOOKUP($A651, CSV!$A:$A, CSV!AA:AA, ""),
    _xlpm.MacVal, _xlfn.XLOOKUP($A651, Output_Mac!$A:$A, Output_Mac!S:S, ""),
    _xlpm.MyAuditVal, _xlfn.XLOOKUP($A651, My_Audit!$A:$A, My_Audit!P:P, ""),
    _xlfn.TEXTJOIN(", ", TRUE, _xlpm.MyAuditVal, _xlpm.MacVal, _xlpm.CSVVal)
)</f>
        <v/>
      </c>
      <c r="P651" s="40" t="str" cm="1">
        <f t="array" ref="P651">IFERROR(_xlfn.LET(
_xlpm.CSVVal,_xlfn.XLOOKUP($A651,CSV!$A:$A,CSV!AB:AB,""),
_xlpm.MacVal,_xlfn.XLOOKUP($A651,Output_Mac!$A:$A,Output_Mac!T:T,""),
_xlpm.MyAuditVal,_xlfn.XLOOKUP($A651,My_Audit!$A:$A,My_Audit!Q:Q,""),
_xlfn.IFS(_xlpm.MyAuditVal&lt;&gt;"",UPPER(_xlpm.MyAuditVal),_xlpm.MacVal&lt;&gt;"",_xlpm.MacVal,_xlpm.CSVVal&lt;&gt;"",_xlpm.CSVVal
)),"No")</f>
        <v>No</v>
      </c>
      <c r="Q651" s="40" t="str" cm="1">
        <f t="array" ref="Q651">IFERROR(_xlfn.LET(
_xlpm.CSVVal,_xlfn.XLOOKUP($A651,CSV!$A:$A,CSV!AC:AC,""),
_xlpm.MacVal,_xlfn.XLOOKUP($A651,Output_Mac!$A:$A,Output_Mac!U:U,""),
_xlpm.MyAuditVal,_xlfn.XLOOKUP($A651,My_Audit!$A:$A,My_Audit!R:R,""),
_xlfn.IFS(_xlpm.MyAuditVal&lt;&gt;"",UPPER(_xlpm.MyAuditVal),_xlpm.MacVal&lt;&gt;"",_xlpm.MacVal,_xlpm.CSVVal&lt;&gt;"",_xlpm.CSVVal
)),"")</f>
        <v/>
      </c>
      <c r="R651" s="40"/>
      <c r="S651" s="40"/>
      <c r="T651" s="40"/>
      <c r="U651" s="40"/>
      <c r="V651" s="40"/>
      <c r="W651" s="40"/>
      <c r="X651" s="41" t="str">
        <f>_xlfn.LET(
    _xlpm.MacVal, _xlfn.XLOOKUP($A651, Output_Mac!$A:$A, Output_Mac!AB:AB, ""),
    _xlpm.MyAuditVal, _xlfn.XLOOKUP($A651, My_Audit!$A:$A, My_Audit!N:N, ""),
    _xlfn.TEXTJOIN(", ", TRUE, _xlpm.MyAuditVal, _xlpm.MacVal)
)</f>
        <v/>
      </c>
    </row>
    <row r="652" spans="1:24">
      <c r="A652" s="40" t="str">
        <f>_xlfn.TEXTJOIN("",TRUE,Input!$B$2,ROW(My_Audit!A651))</f>
        <v>X651</v>
      </c>
      <c r="B652" s="40" t="str">
        <f>_xlfn.TEXTJOIN("-",TRUE,"ITD",Input!$A$2,A652)</f>
        <v>ITD-X651</v>
      </c>
      <c r="C652" s="40" t="str" cm="1">
        <f t="array" ref="C652">IFERROR(_xlfn.LET(
_xlpm.CSVVal,_xlfn.XLOOKUP($A652,CSV!$A:$A,CSV!B:B,""),
_xlpm.MacVal,_xlfn.XLOOKUP($A652,Output_Mac!$A:$A,Output_Mac!B:B,""),
_xlpm.MyAuditVal,_xlfn.XLOOKUP($A652,My_Audit!$A:$A,My_Audit!B:B,""),
_xlfn.IFS(_xlpm.MyAuditVal&lt;&gt;"",UPPER(_xlpm.MyAuditVal),_xlpm.MacVal&lt;&gt;"",_xlpm.MacVal,_xlpm.CSVVal&lt;&gt;"",_xlpm.CSVVal
)),"")</f>
        <v/>
      </c>
      <c r="D652" s="40" t="str" cm="1">
        <f t="array" ref="D652">IFERROR(_xlfn.LET(
_xlpm.CSVVal,_xlfn.XLOOKUP($A652,CSV!$A:$A,CSV!D:D,""),
_xlpm.MacVal,_xlfn.XLOOKUP($A652,Output_Mac!$A:$A,Output_Mac!C:C,""),
_xlpm.MyAuditVal,_xlfn.XLOOKUP($A652,My_Audit!$A:$A,My_Audit!C:C,""),
_xlfn.IFS(_xlpm.MyAuditVal&lt;&gt;"",_xlpm.MyAuditVal,_xlpm.MacVal&lt;&gt;"",_xlpm.MacVal,_xlpm.CSVVal&lt;&gt;"",_xlpm.CSVVal
)),"")</f>
        <v/>
      </c>
      <c r="E652" s="40" t="str">
        <f>_xlfn.XLOOKUP(A652,My_Audit!A:A,My_Audit!D:D,"")</f>
        <v/>
      </c>
      <c r="F652" s="40" t="str" cm="1">
        <f t="array" ref="F652">IFERROR(_xlfn.LET(
_xlpm.CSVVal,_xlfn.XLOOKUP($A652,CSV!$A:$A,CSV!F:F,""),
_xlpm.MacVal,_xlfn.XLOOKUP($A652,Output_Mac!$A:$A,Output_Mac!E:E,""),
_xlpm.MyAuditVal,_xlfn.XLOOKUP($A652,My_Audit!$A:$A,My_Audit!E:E,""),
_xlfn.IFS(_xlpm.MyAuditVal&lt;&gt;"",_xlpm.MyAuditVal,_xlpm.MacVal&lt;&gt;"",_xlpm.MacVal,_xlpm.CSVVal&lt;&gt;"",_xlpm.CSVVal
)),"")</f>
        <v/>
      </c>
      <c r="G652" s="40" t="str" cm="1">
        <f t="array" ref="G652">IFERROR(_xlfn.LET(
_xlpm.CSVVal,_xlfn.XLOOKUP($A652,CSV!$A:$A,CSV!G:G,""),
_xlpm.MacVal,_xlfn.XLOOKUP($A652,Output_Mac!$A:$A,Output_Mac!F:F,""),
_xlpm.MyAuditVal,_xlfn.XLOOKUP($A652,My_Audit!$A:$A,My_Audit!F:F,""),
_xlfn.IFS(_xlpm.MyAuditVal&lt;&gt;"",_xlpm.MyAuditVal,_xlpm.MacVal&lt;&gt;"",_xlpm.MacVal,_xlpm.CSVVal&lt;&gt;"",PROPER(_xlpm.CSVVal)
)),"")</f>
        <v/>
      </c>
      <c r="H652" s="40" t="str" cm="1">
        <f t="array" ref="H652">IFERROR(_xlfn.LET(
_xlpm.CSVVal,_xlfn.XLOOKUP($A652,CSV!$A:$A,CSV!H:H,""),
_xlpm.MacVal,_xlfn.XLOOKUP($A652,Output_Mac!$A:$A,Output_Mac!H:H,""),
_xlpm.MyAuditVal,_xlfn.XLOOKUP($A652,My_Audit!$A:$A,My_Audit!G:G,""),
_xlfn.IFS(_xlpm.MyAuditVal&lt;&gt;"",_xlpm.MyAuditVal,_xlpm.MacVal&lt;&gt;"",_xlpm.MacVal,_xlpm.CSVVal&lt;&gt;"",_xlpm.CSVVal
)),"")</f>
        <v/>
      </c>
      <c r="I652" s="40" t="str">
        <f>_xlfn.XLOOKUP(A652,Output_Mac!A:A,Output_Mac!I:I,"")</f>
        <v/>
      </c>
      <c r="J652" s="40" t="str" cm="1">
        <f t="array" ref="J652">IFERROR(_xlfn.LET(
_xlpm.CSVVal,_xlfn.XLOOKUP($A652,CSV!$A:$A,CSV!I:I,""),
_xlpm.MacVal,_xlfn.XLOOKUP($A652,Output_Mac!$A:$A,Output_Mac!J:J,""),
_xlpm.MyAuditVal,_xlfn.XLOOKUP($A652,My_Audit!$A:$A,My_Audit!I:I,""),
_xlfn.IFS(_xlpm.MyAuditVal&lt;&gt;"",UPPER(_xlpm.MyAuditVal),_xlpm.MacVal&lt;&gt;"",_xlpm.MacVal,_xlpm.CSVVal&lt;&gt;"",_xlpm.CSVVal
)),"")</f>
        <v/>
      </c>
      <c r="K652" s="40" t="str" cm="1">
        <f t="array" ref="K652">IFERROR(_xlfn.LET(
_xlpm.CSVVal,_xlfn.XLOOKUP($A652,CSV!$A:$A,CSV!K:K,""),
_xlpm.MacVal,_xlfn.XLOOKUP($A652,Output_Mac!$A:$A,Output_Mac!K:K,""),
_xlpm.MyAuditVal,_xlfn.XLOOKUP($A652,My_Audit!$A:$A,My_Audit!J:J,""),
_xlfn.IFS(_xlpm.MyAuditVal&lt;&gt;"",UPPER(_xlpm.MyAuditVal),_xlpm.MacVal&lt;&gt;"",_xlpm.MacVal,_xlpm.CSVVal&lt;&gt;"",_xlpm.CSVVal
)),"")</f>
        <v/>
      </c>
      <c r="L652" s="40" t="str" cm="1">
        <f t="array" ref="L652">IFERROR(_xlfn.LET(
_xlpm.CSVVal,_xlfn.XLOOKUP($A652,CSV!$A:$A,CSV!P:P,""),
_xlpm.MacVal,_xlfn.XLOOKUP($A652,Output_Mac!$A:$A,Output_Mac!L:L,""),
_xlpm.MyAuditVal,_xlfn.XLOOKUP($A652,My_Audit!$A:$A,My_Audit!K:K,""),
_xlfn.IFS(_xlpm.MyAuditVal&lt;&gt;"",UPPER(_xlpm.MyAuditVal),_xlpm.MacVal&lt;&gt;"",_xlpm.MacVal,_xlpm.CSVVal&lt;&gt;"",_xlpm.CSVVal
)),"")</f>
        <v/>
      </c>
      <c r="M652" s="40" t="str" cm="1">
        <f t="array" ref="M652">IFERROR(_xlfn.LET(
_xlpm.CSVVal,_xlfn.XLOOKUP($A652,CSV!$A:$A,CSV!Q:Q,""),
_xlpm.MacVal,_xlfn.XLOOKUP($A652,Output_Mac!$A:$A,Output_Mac!M:M,""),
_xlpm.MyAuditVal,_xlfn.XLOOKUP($A652,My_Audit!$A:$A,My_Audit!L:L,""),
_xlfn.IFS(_xlpm.MyAuditVal&lt;&gt;"",UPPER(_xlpm.MyAuditVal),_xlpm.MacVal&lt;&gt;"",_xlpm.MacVal,_xlpm.CSVVal&lt;&gt;"",_xlpm.CSVVal
)),"")</f>
        <v/>
      </c>
      <c r="N652" s="40"/>
      <c r="O652" s="40" t="str">
        <f>_xlfn.LET(
    _xlpm.CSVVal, _xlfn.XLOOKUP($A652, CSV!$A:$A, CSV!AA:AA, ""),
    _xlpm.MacVal, _xlfn.XLOOKUP($A652, Output_Mac!$A:$A, Output_Mac!S:S, ""),
    _xlpm.MyAuditVal, _xlfn.XLOOKUP($A652, My_Audit!$A:$A, My_Audit!P:P, ""),
    _xlfn.TEXTJOIN(", ", TRUE, _xlpm.MyAuditVal, _xlpm.MacVal, _xlpm.CSVVal)
)</f>
        <v/>
      </c>
      <c r="P652" s="40" t="str" cm="1">
        <f t="array" ref="P652">IFERROR(_xlfn.LET(
_xlpm.CSVVal,_xlfn.XLOOKUP($A652,CSV!$A:$A,CSV!AB:AB,""),
_xlpm.MacVal,_xlfn.XLOOKUP($A652,Output_Mac!$A:$A,Output_Mac!T:T,""),
_xlpm.MyAuditVal,_xlfn.XLOOKUP($A652,My_Audit!$A:$A,My_Audit!Q:Q,""),
_xlfn.IFS(_xlpm.MyAuditVal&lt;&gt;"",UPPER(_xlpm.MyAuditVal),_xlpm.MacVal&lt;&gt;"",_xlpm.MacVal,_xlpm.CSVVal&lt;&gt;"",_xlpm.CSVVal
)),"No")</f>
        <v>No</v>
      </c>
      <c r="Q652" s="40" t="str" cm="1">
        <f t="array" ref="Q652">IFERROR(_xlfn.LET(
_xlpm.CSVVal,_xlfn.XLOOKUP($A652,CSV!$A:$A,CSV!AC:AC,""),
_xlpm.MacVal,_xlfn.XLOOKUP($A652,Output_Mac!$A:$A,Output_Mac!U:U,""),
_xlpm.MyAuditVal,_xlfn.XLOOKUP($A652,My_Audit!$A:$A,My_Audit!R:R,""),
_xlfn.IFS(_xlpm.MyAuditVal&lt;&gt;"",UPPER(_xlpm.MyAuditVal),_xlpm.MacVal&lt;&gt;"",_xlpm.MacVal,_xlpm.CSVVal&lt;&gt;"",_xlpm.CSVVal
)),"")</f>
        <v/>
      </c>
      <c r="R652" s="40"/>
      <c r="S652" s="40"/>
      <c r="T652" s="40"/>
      <c r="U652" s="40"/>
      <c r="V652" s="40"/>
      <c r="W652" s="40"/>
      <c r="X652" s="41" t="str">
        <f>_xlfn.LET(
    _xlpm.MacVal, _xlfn.XLOOKUP($A652, Output_Mac!$A:$A, Output_Mac!AB:AB, ""),
    _xlpm.MyAuditVal, _xlfn.XLOOKUP($A652, My_Audit!$A:$A, My_Audit!N:N, ""),
    _xlfn.TEXTJOIN(", ", TRUE, _xlpm.MyAuditVal, _xlpm.MacVal)
)</f>
        <v/>
      </c>
    </row>
    <row r="653" spans="1:24">
      <c r="A653" s="40" t="str">
        <f>_xlfn.TEXTJOIN("",TRUE,Input!$B$2,ROW(My_Audit!A652))</f>
        <v>X652</v>
      </c>
      <c r="B653" s="40" t="str">
        <f>_xlfn.TEXTJOIN("-",TRUE,"ITD",Input!$A$2,A653)</f>
        <v>ITD-X652</v>
      </c>
      <c r="C653" s="40" t="str" cm="1">
        <f t="array" ref="C653">IFERROR(_xlfn.LET(
_xlpm.CSVVal,_xlfn.XLOOKUP($A653,CSV!$A:$A,CSV!B:B,""),
_xlpm.MacVal,_xlfn.XLOOKUP($A653,Output_Mac!$A:$A,Output_Mac!B:B,""),
_xlpm.MyAuditVal,_xlfn.XLOOKUP($A653,My_Audit!$A:$A,My_Audit!B:B,""),
_xlfn.IFS(_xlpm.MyAuditVal&lt;&gt;"",UPPER(_xlpm.MyAuditVal),_xlpm.MacVal&lt;&gt;"",_xlpm.MacVal,_xlpm.CSVVal&lt;&gt;"",_xlpm.CSVVal
)),"")</f>
        <v/>
      </c>
      <c r="D653" s="40" t="str" cm="1">
        <f t="array" ref="D653">IFERROR(_xlfn.LET(
_xlpm.CSVVal,_xlfn.XLOOKUP($A653,CSV!$A:$A,CSV!D:D,""),
_xlpm.MacVal,_xlfn.XLOOKUP($A653,Output_Mac!$A:$A,Output_Mac!C:C,""),
_xlpm.MyAuditVal,_xlfn.XLOOKUP($A653,My_Audit!$A:$A,My_Audit!C:C,""),
_xlfn.IFS(_xlpm.MyAuditVal&lt;&gt;"",_xlpm.MyAuditVal,_xlpm.MacVal&lt;&gt;"",_xlpm.MacVal,_xlpm.CSVVal&lt;&gt;"",_xlpm.CSVVal
)),"")</f>
        <v/>
      </c>
      <c r="E653" s="40" t="str">
        <f>_xlfn.XLOOKUP(A653,My_Audit!A:A,My_Audit!D:D,"")</f>
        <v/>
      </c>
      <c r="F653" s="40" t="str" cm="1">
        <f t="array" ref="F653">IFERROR(_xlfn.LET(
_xlpm.CSVVal,_xlfn.XLOOKUP($A653,CSV!$A:$A,CSV!F:F,""),
_xlpm.MacVal,_xlfn.XLOOKUP($A653,Output_Mac!$A:$A,Output_Mac!E:E,""),
_xlpm.MyAuditVal,_xlfn.XLOOKUP($A653,My_Audit!$A:$A,My_Audit!E:E,""),
_xlfn.IFS(_xlpm.MyAuditVal&lt;&gt;"",_xlpm.MyAuditVal,_xlpm.MacVal&lt;&gt;"",_xlpm.MacVal,_xlpm.CSVVal&lt;&gt;"",_xlpm.CSVVal
)),"")</f>
        <v/>
      </c>
      <c r="G653" s="40" t="str" cm="1">
        <f t="array" ref="G653">IFERROR(_xlfn.LET(
_xlpm.CSVVal,_xlfn.XLOOKUP($A653,CSV!$A:$A,CSV!G:G,""),
_xlpm.MacVal,_xlfn.XLOOKUP($A653,Output_Mac!$A:$A,Output_Mac!F:F,""),
_xlpm.MyAuditVal,_xlfn.XLOOKUP($A653,My_Audit!$A:$A,My_Audit!F:F,""),
_xlfn.IFS(_xlpm.MyAuditVal&lt;&gt;"",_xlpm.MyAuditVal,_xlpm.MacVal&lt;&gt;"",_xlpm.MacVal,_xlpm.CSVVal&lt;&gt;"",PROPER(_xlpm.CSVVal)
)),"")</f>
        <v/>
      </c>
      <c r="H653" s="40" t="str" cm="1">
        <f t="array" ref="H653">IFERROR(_xlfn.LET(
_xlpm.CSVVal,_xlfn.XLOOKUP($A653,CSV!$A:$A,CSV!H:H,""),
_xlpm.MacVal,_xlfn.XLOOKUP($A653,Output_Mac!$A:$A,Output_Mac!H:H,""),
_xlpm.MyAuditVal,_xlfn.XLOOKUP($A653,My_Audit!$A:$A,My_Audit!G:G,""),
_xlfn.IFS(_xlpm.MyAuditVal&lt;&gt;"",_xlpm.MyAuditVal,_xlpm.MacVal&lt;&gt;"",_xlpm.MacVal,_xlpm.CSVVal&lt;&gt;"",_xlpm.CSVVal
)),"")</f>
        <v/>
      </c>
      <c r="I653" s="40" t="str">
        <f>_xlfn.XLOOKUP(A653,Output_Mac!A:A,Output_Mac!I:I,"")</f>
        <v/>
      </c>
      <c r="J653" s="40" t="str" cm="1">
        <f t="array" ref="J653">IFERROR(_xlfn.LET(
_xlpm.CSVVal,_xlfn.XLOOKUP($A653,CSV!$A:$A,CSV!I:I,""),
_xlpm.MacVal,_xlfn.XLOOKUP($A653,Output_Mac!$A:$A,Output_Mac!J:J,""),
_xlpm.MyAuditVal,_xlfn.XLOOKUP($A653,My_Audit!$A:$A,My_Audit!I:I,""),
_xlfn.IFS(_xlpm.MyAuditVal&lt;&gt;"",UPPER(_xlpm.MyAuditVal),_xlpm.MacVal&lt;&gt;"",_xlpm.MacVal,_xlpm.CSVVal&lt;&gt;"",_xlpm.CSVVal
)),"")</f>
        <v/>
      </c>
      <c r="K653" s="40" t="str" cm="1">
        <f t="array" ref="K653">IFERROR(_xlfn.LET(
_xlpm.CSVVal,_xlfn.XLOOKUP($A653,CSV!$A:$A,CSV!K:K,""),
_xlpm.MacVal,_xlfn.XLOOKUP($A653,Output_Mac!$A:$A,Output_Mac!K:K,""),
_xlpm.MyAuditVal,_xlfn.XLOOKUP($A653,My_Audit!$A:$A,My_Audit!J:J,""),
_xlfn.IFS(_xlpm.MyAuditVal&lt;&gt;"",UPPER(_xlpm.MyAuditVal),_xlpm.MacVal&lt;&gt;"",_xlpm.MacVal,_xlpm.CSVVal&lt;&gt;"",_xlpm.CSVVal
)),"")</f>
        <v/>
      </c>
      <c r="L653" s="40" t="str" cm="1">
        <f t="array" ref="L653">IFERROR(_xlfn.LET(
_xlpm.CSVVal,_xlfn.XLOOKUP($A653,CSV!$A:$A,CSV!P:P,""),
_xlpm.MacVal,_xlfn.XLOOKUP($A653,Output_Mac!$A:$A,Output_Mac!L:L,""),
_xlpm.MyAuditVal,_xlfn.XLOOKUP($A653,My_Audit!$A:$A,My_Audit!K:K,""),
_xlfn.IFS(_xlpm.MyAuditVal&lt;&gt;"",UPPER(_xlpm.MyAuditVal),_xlpm.MacVal&lt;&gt;"",_xlpm.MacVal,_xlpm.CSVVal&lt;&gt;"",_xlpm.CSVVal
)),"")</f>
        <v/>
      </c>
      <c r="M653" s="40" t="str" cm="1">
        <f t="array" ref="M653">IFERROR(_xlfn.LET(
_xlpm.CSVVal,_xlfn.XLOOKUP($A653,CSV!$A:$A,CSV!Q:Q,""),
_xlpm.MacVal,_xlfn.XLOOKUP($A653,Output_Mac!$A:$A,Output_Mac!M:M,""),
_xlpm.MyAuditVal,_xlfn.XLOOKUP($A653,My_Audit!$A:$A,My_Audit!L:L,""),
_xlfn.IFS(_xlpm.MyAuditVal&lt;&gt;"",UPPER(_xlpm.MyAuditVal),_xlpm.MacVal&lt;&gt;"",_xlpm.MacVal,_xlpm.CSVVal&lt;&gt;"",_xlpm.CSVVal
)),"")</f>
        <v/>
      </c>
      <c r="N653" s="40"/>
      <c r="O653" s="40" t="str">
        <f>_xlfn.LET(
    _xlpm.CSVVal, _xlfn.XLOOKUP($A653, CSV!$A:$A, CSV!AA:AA, ""),
    _xlpm.MacVal, _xlfn.XLOOKUP($A653, Output_Mac!$A:$A, Output_Mac!S:S, ""),
    _xlpm.MyAuditVal, _xlfn.XLOOKUP($A653, My_Audit!$A:$A, My_Audit!P:P, ""),
    _xlfn.TEXTJOIN(", ", TRUE, _xlpm.MyAuditVal, _xlpm.MacVal, _xlpm.CSVVal)
)</f>
        <v/>
      </c>
      <c r="P653" s="40" t="str" cm="1">
        <f t="array" ref="P653">IFERROR(_xlfn.LET(
_xlpm.CSVVal,_xlfn.XLOOKUP($A653,CSV!$A:$A,CSV!AB:AB,""),
_xlpm.MacVal,_xlfn.XLOOKUP($A653,Output_Mac!$A:$A,Output_Mac!T:T,""),
_xlpm.MyAuditVal,_xlfn.XLOOKUP($A653,My_Audit!$A:$A,My_Audit!Q:Q,""),
_xlfn.IFS(_xlpm.MyAuditVal&lt;&gt;"",UPPER(_xlpm.MyAuditVal),_xlpm.MacVal&lt;&gt;"",_xlpm.MacVal,_xlpm.CSVVal&lt;&gt;"",_xlpm.CSVVal
)),"No")</f>
        <v>No</v>
      </c>
      <c r="Q653" s="40" t="str" cm="1">
        <f t="array" ref="Q653">IFERROR(_xlfn.LET(
_xlpm.CSVVal,_xlfn.XLOOKUP($A653,CSV!$A:$A,CSV!AC:AC,""),
_xlpm.MacVal,_xlfn.XLOOKUP($A653,Output_Mac!$A:$A,Output_Mac!U:U,""),
_xlpm.MyAuditVal,_xlfn.XLOOKUP($A653,My_Audit!$A:$A,My_Audit!R:R,""),
_xlfn.IFS(_xlpm.MyAuditVal&lt;&gt;"",UPPER(_xlpm.MyAuditVal),_xlpm.MacVal&lt;&gt;"",_xlpm.MacVal,_xlpm.CSVVal&lt;&gt;"",_xlpm.CSVVal
)),"")</f>
        <v/>
      </c>
      <c r="R653" s="40"/>
      <c r="S653" s="40"/>
      <c r="T653" s="40"/>
      <c r="U653" s="40"/>
      <c r="V653" s="40"/>
      <c r="W653" s="40"/>
      <c r="X653" s="41" t="str">
        <f>_xlfn.LET(
    _xlpm.MacVal, _xlfn.XLOOKUP($A653, Output_Mac!$A:$A, Output_Mac!AB:AB, ""),
    _xlpm.MyAuditVal, _xlfn.XLOOKUP($A653, My_Audit!$A:$A, My_Audit!N:N, ""),
    _xlfn.TEXTJOIN(", ", TRUE, _xlpm.MyAuditVal, _xlpm.MacVal)
)</f>
        <v/>
      </c>
    </row>
    <row r="654" spans="1:24">
      <c r="A654" s="40" t="str">
        <f>_xlfn.TEXTJOIN("",TRUE,Input!$B$2,ROW(My_Audit!A653))</f>
        <v>X653</v>
      </c>
      <c r="B654" s="40" t="str">
        <f>_xlfn.TEXTJOIN("-",TRUE,"ITD",Input!$A$2,A654)</f>
        <v>ITD-X653</v>
      </c>
      <c r="C654" s="40" t="str" cm="1">
        <f t="array" ref="C654">IFERROR(_xlfn.LET(
_xlpm.CSVVal,_xlfn.XLOOKUP($A654,CSV!$A:$A,CSV!B:B,""),
_xlpm.MacVal,_xlfn.XLOOKUP($A654,Output_Mac!$A:$A,Output_Mac!B:B,""),
_xlpm.MyAuditVal,_xlfn.XLOOKUP($A654,My_Audit!$A:$A,My_Audit!B:B,""),
_xlfn.IFS(_xlpm.MyAuditVal&lt;&gt;"",UPPER(_xlpm.MyAuditVal),_xlpm.MacVal&lt;&gt;"",_xlpm.MacVal,_xlpm.CSVVal&lt;&gt;"",_xlpm.CSVVal
)),"")</f>
        <v/>
      </c>
      <c r="D654" s="40" t="str" cm="1">
        <f t="array" ref="D654">IFERROR(_xlfn.LET(
_xlpm.CSVVal,_xlfn.XLOOKUP($A654,CSV!$A:$A,CSV!D:D,""),
_xlpm.MacVal,_xlfn.XLOOKUP($A654,Output_Mac!$A:$A,Output_Mac!C:C,""),
_xlpm.MyAuditVal,_xlfn.XLOOKUP($A654,My_Audit!$A:$A,My_Audit!C:C,""),
_xlfn.IFS(_xlpm.MyAuditVal&lt;&gt;"",_xlpm.MyAuditVal,_xlpm.MacVal&lt;&gt;"",_xlpm.MacVal,_xlpm.CSVVal&lt;&gt;"",_xlpm.CSVVal
)),"")</f>
        <v/>
      </c>
      <c r="E654" s="40" t="str">
        <f>_xlfn.XLOOKUP(A654,My_Audit!A:A,My_Audit!D:D,"")</f>
        <v/>
      </c>
      <c r="F654" s="40" t="str" cm="1">
        <f t="array" ref="F654">IFERROR(_xlfn.LET(
_xlpm.CSVVal,_xlfn.XLOOKUP($A654,CSV!$A:$A,CSV!F:F,""),
_xlpm.MacVal,_xlfn.XLOOKUP($A654,Output_Mac!$A:$A,Output_Mac!E:E,""),
_xlpm.MyAuditVal,_xlfn.XLOOKUP($A654,My_Audit!$A:$A,My_Audit!E:E,""),
_xlfn.IFS(_xlpm.MyAuditVal&lt;&gt;"",_xlpm.MyAuditVal,_xlpm.MacVal&lt;&gt;"",_xlpm.MacVal,_xlpm.CSVVal&lt;&gt;"",_xlpm.CSVVal
)),"")</f>
        <v/>
      </c>
      <c r="G654" s="40" t="str" cm="1">
        <f t="array" ref="G654">IFERROR(_xlfn.LET(
_xlpm.CSVVal,_xlfn.XLOOKUP($A654,CSV!$A:$A,CSV!G:G,""),
_xlpm.MacVal,_xlfn.XLOOKUP($A654,Output_Mac!$A:$A,Output_Mac!F:F,""),
_xlpm.MyAuditVal,_xlfn.XLOOKUP($A654,My_Audit!$A:$A,My_Audit!F:F,""),
_xlfn.IFS(_xlpm.MyAuditVal&lt;&gt;"",_xlpm.MyAuditVal,_xlpm.MacVal&lt;&gt;"",_xlpm.MacVal,_xlpm.CSVVal&lt;&gt;"",PROPER(_xlpm.CSVVal)
)),"")</f>
        <v/>
      </c>
      <c r="H654" s="40" t="str" cm="1">
        <f t="array" ref="H654">IFERROR(_xlfn.LET(
_xlpm.CSVVal,_xlfn.XLOOKUP($A654,CSV!$A:$A,CSV!H:H,""),
_xlpm.MacVal,_xlfn.XLOOKUP($A654,Output_Mac!$A:$A,Output_Mac!H:H,""),
_xlpm.MyAuditVal,_xlfn.XLOOKUP($A654,My_Audit!$A:$A,My_Audit!G:G,""),
_xlfn.IFS(_xlpm.MyAuditVal&lt;&gt;"",_xlpm.MyAuditVal,_xlpm.MacVal&lt;&gt;"",_xlpm.MacVal,_xlpm.CSVVal&lt;&gt;"",_xlpm.CSVVal
)),"")</f>
        <v/>
      </c>
      <c r="I654" s="40" t="str">
        <f>_xlfn.XLOOKUP(A654,Output_Mac!A:A,Output_Mac!I:I,"")</f>
        <v/>
      </c>
      <c r="J654" s="40" t="str" cm="1">
        <f t="array" ref="J654">IFERROR(_xlfn.LET(
_xlpm.CSVVal,_xlfn.XLOOKUP($A654,CSV!$A:$A,CSV!I:I,""),
_xlpm.MacVal,_xlfn.XLOOKUP($A654,Output_Mac!$A:$A,Output_Mac!J:J,""),
_xlpm.MyAuditVal,_xlfn.XLOOKUP($A654,My_Audit!$A:$A,My_Audit!I:I,""),
_xlfn.IFS(_xlpm.MyAuditVal&lt;&gt;"",UPPER(_xlpm.MyAuditVal),_xlpm.MacVal&lt;&gt;"",_xlpm.MacVal,_xlpm.CSVVal&lt;&gt;"",_xlpm.CSVVal
)),"")</f>
        <v/>
      </c>
      <c r="K654" s="40" t="str" cm="1">
        <f t="array" ref="K654">IFERROR(_xlfn.LET(
_xlpm.CSVVal,_xlfn.XLOOKUP($A654,CSV!$A:$A,CSV!K:K,""),
_xlpm.MacVal,_xlfn.XLOOKUP($A654,Output_Mac!$A:$A,Output_Mac!K:K,""),
_xlpm.MyAuditVal,_xlfn.XLOOKUP($A654,My_Audit!$A:$A,My_Audit!J:J,""),
_xlfn.IFS(_xlpm.MyAuditVal&lt;&gt;"",UPPER(_xlpm.MyAuditVal),_xlpm.MacVal&lt;&gt;"",_xlpm.MacVal,_xlpm.CSVVal&lt;&gt;"",_xlpm.CSVVal
)),"")</f>
        <v/>
      </c>
      <c r="L654" s="40" t="str" cm="1">
        <f t="array" ref="L654">IFERROR(_xlfn.LET(
_xlpm.CSVVal,_xlfn.XLOOKUP($A654,CSV!$A:$A,CSV!P:P,""),
_xlpm.MacVal,_xlfn.XLOOKUP($A654,Output_Mac!$A:$A,Output_Mac!L:L,""),
_xlpm.MyAuditVal,_xlfn.XLOOKUP($A654,My_Audit!$A:$A,My_Audit!K:K,""),
_xlfn.IFS(_xlpm.MyAuditVal&lt;&gt;"",UPPER(_xlpm.MyAuditVal),_xlpm.MacVal&lt;&gt;"",_xlpm.MacVal,_xlpm.CSVVal&lt;&gt;"",_xlpm.CSVVal
)),"")</f>
        <v/>
      </c>
      <c r="M654" s="40" t="str" cm="1">
        <f t="array" ref="M654">IFERROR(_xlfn.LET(
_xlpm.CSVVal,_xlfn.XLOOKUP($A654,CSV!$A:$A,CSV!Q:Q,""),
_xlpm.MacVal,_xlfn.XLOOKUP($A654,Output_Mac!$A:$A,Output_Mac!M:M,""),
_xlpm.MyAuditVal,_xlfn.XLOOKUP($A654,My_Audit!$A:$A,My_Audit!L:L,""),
_xlfn.IFS(_xlpm.MyAuditVal&lt;&gt;"",UPPER(_xlpm.MyAuditVal),_xlpm.MacVal&lt;&gt;"",_xlpm.MacVal,_xlpm.CSVVal&lt;&gt;"",_xlpm.CSVVal
)),"")</f>
        <v/>
      </c>
      <c r="N654" s="40"/>
      <c r="O654" s="40" t="str">
        <f>_xlfn.LET(
    _xlpm.CSVVal, _xlfn.XLOOKUP($A654, CSV!$A:$A, CSV!AA:AA, ""),
    _xlpm.MacVal, _xlfn.XLOOKUP($A654, Output_Mac!$A:$A, Output_Mac!S:S, ""),
    _xlpm.MyAuditVal, _xlfn.XLOOKUP($A654, My_Audit!$A:$A, My_Audit!P:P, ""),
    _xlfn.TEXTJOIN(", ", TRUE, _xlpm.MyAuditVal, _xlpm.MacVal, _xlpm.CSVVal)
)</f>
        <v/>
      </c>
      <c r="P654" s="40" t="str" cm="1">
        <f t="array" ref="P654">IFERROR(_xlfn.LET(
_xlpm.CSVVal,_xlfn.XLOOKUP($A654,CSV!$A:$A,CSV!AB:AB,""),
_xlpm.MacVal,_xlfn.XLOOKUP($A654,Output_Mac!$A:$A,Output_Mac!T:T,""),
_xlpm.MyAuditVal,_xlfn.XLOOKUP($A654,My_Audit!$A:$A,My_Audit!Q:Q,""),
_xlfn.IFS(_xlpm.MyAuditVal&lt;&gt;"",UPPER(_xlpm.MyAuditVal),_xlpm.MacVal&lt;&gt;"",_xlpm.MacVal,_xlpm.CSVVal&lt;&gt;"",_xlpm.CSVVal
)),"No")</f>
        <v>No</v>
      </c>
      <c r="Q654" s="40" t="str" cm="1">
        <f t="array" ref="Q654">IFERROR(_xlfn.LET(
_xlpm.CSVVal,_xlfn.XLOOKUP($A654,CSV!$A:$A,CSV!AC:AC,""),
_xlpm.MacVal,_xlfn.XLOOKUP($A654,Output_Mac!$A:$A,Output_Mac!U:U,""),
_xlpm.MyAuditVal,_xlfn.XLOOKUP($A654,My_Audit!$A:$A,My_Audit!R:R,""),
_xlfn.IFS(_xlpm.MyAuditVal&lt;&gt;"",UPPER(_xlpm.MyAuditVal),_xlpm.MacVal&lt;&gt;"",_xlpm.MacVal,_xlpm.CSVVal&lt;&gt;"",_xlpm.CSVVal
)),"")</f>
        <v/>
      </c>
      <c r="R654" s="40"/>
      <c r="S654" s="40"/>
      <c r="T654" s="40"/>
      <c r="U654" s="40"/>
      <c r="V654" s="40"/>
      <c r="W654" s="40"/>
      <c r="X654" s="41" t="str">
        <f>_xlfn.LET(
    _xlpm.MacVal, _xlfn.XLOOKUP($A654, Output_Mac!$A:$A, Output_Mac!AB:AB, ""),
    _xlpm.MyAuditVal, _xlfn.XLOOKUP($A654, My_Audit!$A:$A, My_Audit!N:N, ""),
    _xlfn.TEXTJOIN(", ", TRUE, _xlpm.MyAuditVal, _xlpm.MacVal)
)</f>
        <v/>
      </c>
    </row>
    <row r="655" spans="1:24">
      <c r="A655" s="40" t="str">
        <f>_xlfn.TEXTJOIN("",TRUE,Input!$B$2,ROW(My_Audit!A654))</f>
        <v>X654</v>
      </c>
      <c r="B655" s="40" t="str">
        <f>_xlfn.TEXTJOIN("-",TRUE,"ITD",Input!$A$2,A655)</f>
        <v>ITD-X654</v>
      </c>
      <c r="C655" s="40" t="str" cm="1">
        <f t="array" ref="C655">IFERROR(_xlfn.LET(
_xlpm.CSVVal,_xlfn.XLOOKUP($A655,CSV!$A:$A,CSV!B:B,""),
_xlpm.MacVal,_xlfn.XLOOKUP($A655,Output_Mac!$A:$A,Output_Mac!B:B,""),
_xlpm.MyAuditVal,_xlfn.XLOOKUP($A655,My_Audit!$A:$A,My_Audit!B:B,""),
_xlfn.IFS(_xlpm.MyAuditVal&lt;&gt;"",UPPER(_xlpm.MyAuditVal),_xlpm.MacVal&lt;&gt;"",_xlpm.MacVal,_xlpm.CSVVal&lt;&gt;"",_xlpm.CSVVal
)),"")</f>
        <v/>
      </c>
      <c r="D655" s="40" t="str" cm="1">
        <f t="array" ref="D655">IFERROR(_xlfn.LET(
_xlpm.CSVVal,_xlfn.XLOOKUP($A655,CSV!$A:$A,CSV!D:D,""),
_xlpm.MacVal,_xlfn.XLOOKUP($A655,Output_Mac!$A:$A,Output_Mac!C:C,""),
_xlpm.MyAuditVal,_xlfn.XLOOKUP($A655,My_Audit!$A:$A,My_Audit!C:C,""),
_xlfn.IFS(_xlpm.MyAuditVal&lt;&gt;"",_xlpm.MyAuditVal,_xlpm.MacVal&lt;&gt;"",_xlpm.MacVal,_xlpm.CSVVal&lt;&gt;"",_xlpm.CSVVal
)),"")</f>
        <v/>
      </c>
      <c r="E655" s="40" t="str">
        <f>_xlfn.XLOOKUP(A655,My_Audit!A:A,My_Audit!D:D,"")</f>
        <v/>
      </c>
      <c r="F655" s="40" t="str" cm="1">
        <f t="array" ref="F655">IFERROR(_xlfn.LET(
_xlpm.CSVVal,_xlfn.XLOOKUP($A655,CSV!$A:$A,CSV!F:F,""),
_xlpm.MacVal,_xlfn.XLOOKUP($A655,Output_Mac!$A:$A,Output_Mac!E:E,""),
_xlpm.MyAuditVal,_xlfn.XLOOKUP($A655,My_Audit!$A:$A,My_Audit!E:E,""),
_xlfn.IFS(_xlpm.MyAuditVal&lt;&gt;"",_xlpm.MyAuditVal,_xlpm.MacVal&lt;&gt;"",_xlpm.MacVal,_xlpm.CSVVal&lt;&gt;"",_xlpm.CSVVal
)),"")</f>
        <v/>
      </c>
      <c r="G655" s="40" t="str" cm="1">
        <f t="array" ref="G655">IFERROR(_xlfn.LET(
_xlpm.CSVVal,_xlfn.XLOOKUP($A655,CSV!$A:$A,CSV!G:G,""),
_xlpm.MacVal,_xlfn.XLOOKUP($A655,Output_Mac!$A:$A,Output_Mac!F:F,""),
_xlpm.MyAuditVal,_xlfn.XLOOKUP($A655,My_Audit!$A:$A,My_Audit!F:F,""),
_xlfn.IFS(_xlpm.MyAuditVal&lt;&gt;"",_xlpm.MyAuditVal,_xlpm.MacVal&lt;&gt;"",_xlpm.MacVal,_xlpm.CSVVal&lt;&gt;"",PROPER(_xlpm.CSVVal)
)),"")</f>
        <v/>
      </c>
      <c r="H655" s="40" t="str" cm="1">
        <f t="array" ref="H655">IFERROR(_xlfn.LET(
_xlpm.CSVVal,_xlfn.XLOOKUP($A655,CSV!$A:$A,CSV!H:H,""),
_xlpm.MacVal,_xlfn.XLOOKUP($A655,Output_Mac!$A:$A,Output_Mac!H:H,""),
_xlpm.MyAuditVal,_xlfn.XLOOKUP($A655,My_Audit!$A:$A,My_Audit!G:G,""),
_xlfn.IFS(_xlpm.MyAuditVal&lt;&gt;"",_xlpm.MyAuditVal,_xlpm.MacVal&lt;&gt;"",_xlpm.MacVal,_xlpm.CSVVal&lt;&gt;"",_xlpm.CSVVal
)),"")</f>
        <v/>
      </c>
      <c r="I655" s="40" t="str">
        <f>_xlfn.XLOOKUP(A655,Output_Mac!A:A,Output_Mac!I:I,"")</f>
        <v/>
      </c>
      <c r="J655" s="40" t="str" cm="1">
        <f t="array" ref="J655">IFERROR(_xlfn.LET(
_xlpm.CSVVal,_xlfn.XLOOKUP($A655,CSV!$A:$A,CSV!I:I,""),
_xlpm.MacVal,_xlfn.XLOOKUP($A655,Output_Mac!$A:$A,Output_Mac!J:J,""),
_xlpm.MyAuditVal,_xlfn.XLOOKUP($A655,My_Audit!$A:$A,My_Audit!I:I,""),
_xlfn.IFS(_xlpm.MyAuditVal&lt;&gt;"",UPPER(_xlpm.MyAuditVal),_xlpm.MacVal&lt;&gt;"",_xlpm.MacVal,_xlpm.CSVVal&lt;&gt;"",_xlpm.CSVVal
)),"")</f>
        <v/>
      </c>
      <c r="K655" s="40" t="str" cm="1">
        <f t="array" ref="K655">IFERROR(_xlfn.LET(
_xlpm.CSVVal,_xlfn.XLOOKUP($A655,CSV!$A:$A,CSV!K:K,""),
_xlpm.MacVal,_xlfn.XLOOKUP($A655,Output_Mac!$A:$A,Output_Mac!K:K,""),
_xlpm.MyAuditVal,_xlfn.XLOOKUP($A655,My_Audit!$A:$A,My_Audit!J:J,""),
_xlfn.IFS(_xlpm.MyAuditVal&lt;&gt;"",UPPER(_xlpm.MyAuditVal),_xlpm.MacVal&lt;&gt;"",_xlpm.MacVal,_xlpm.CSVVal&lt;&gt;"",_xlpm.CSVVal
)),"")</f>
        <v/>
      </c>
      <c r="L655" s="40" t="str" cm="1">
        <f t="array" ref="L655">IFERROR(_xlfn.LET(
_xlpm.CSVVal,_xlfn.XLOOKUP($A655,CSV!$A:$A,CSV!P:P,""),
_xlpm.MacVal,_xlfn.XLOOKUP($A655,Output_Mac!$A:$A,Output_Mac!L:L,""),
_xlpm.MyAuditVal,_xlfn.XLOOKUP($A655,My_Audit!$A:$A,My_Audit!K:K,""),
_xlfn.IFS(_xlpm.MyAuditVal&lt;&gt;"",UPPER(_xlpm.MyAuditVal),_xlpm.MacVal&lt;&gt;"",_xlpm.MacVal,_xlpm.CSVVal&lt;&gt;"",_xlpm.CSVVal
)),"")</f>
        <v/>
      </c>
      <c r="M655" s="40" t="str" cm="1">
        <f t="array" ref="M655">IFERROR(_xlfn.LET(
_xlpm.CSVVal,_xlfn.XLOOKUP($A655,CSV!$A:$A,CSV!Q:Q,""),
_xlpm.MacVal,_xlfn.XLOOKUP($A655,Output_Mac!$A:$A,Output_Mac!M:M,""),
_xlpm.MyAuditVal,_xlfn.XLOOKUP($A655,My_Audit!$A:$A,My_Audit!L:L,""),
_xlfn.IFS(_xlpm.MyAuditVal&lt;&gt;"",UPPER(_xlpm.MyAuditVal),_xlpm.MacVal&lt;&gt;"",_xlpm.MacVal,_xlpm.CSVVal&lt;&gt;"",_xlpm.CSVVal
)),"")</f>
        <v/>
      </c>
      <c r="N655" s="40"/>
      <c r="O655" s="40" t="str">
        <f>_xlfn.LET(
    _xlpm.CSVVal, _xlfn.XLOOKUP($A655, CSV!$A:$A, CSV!AA:AA, ""),
    _xlpm.MacVal, _xlfn.XLOOKUP($A655, Output_Mac!$A:$A, Output_Mac!S:S, ""),
    _xlpm.MyAuditVal, _xlfn.XLOOKUP($A655, My_Audit!$A:$A, My_Audit!P:P, ""),
    _xlfn.TEXTJOIN(", ", TRUE, _xlpm.MyAuditVal, _xlpm.MacVal, _xlpm.CSVVal)
)</f>
        <v/>
      </c>
      <c r="P655" s="40" t="str" cm="1">
        <f t="array" ref="P655">IFERROR(_xlfn.LET(
_xlpm.CSVVal,_xlfn.XLOOKUP($A655,CSV!$A:$A,CSV!AB:AB,""),
_xlpm.MacVal,_xlfn.XLOOKUP($A655,Output_Mac!$A:$A,Output_Mac!T:T,""),
_xlpm.MyAuditVal,_xlfn.XLOOKUP($A655,My_Audit!$A:$A,My_Audit!Q:Q,""),
_xlfn.IFS(_xlpm.MyAuditVal&lt;&gt;"",UPPER(_xlpm.MyAuditVal),_xlpm.MacVal&lt;&gt;"",_xlpm.MacVal,_xlpm.CSVVal&lt;&gt;"",_xlpm.CSVVal
)),"No")</f>
        <v>No</v>
      </c>
      <c r="Q655" s="40" t="str" cm="1">
        <f t="array" ref="Q655">IFERROR(_xlfn.LET(
_xlpm.CSVVal,_xlfn.XLOOKUP($A655,CSV!$A:$A,CSV!AC:AC,""),
_xlpm.MacVal,_xlfn.XLOOKUP($A655,Output_Mac!$A:$A,Output_Mac!U:U,""),
_xlpm.MyAuditVal,_xlfn.XLOOKUP($A655,My_Audit!$A:$A,My_Audit!R:R,""),
_xlfn.IFS(_xlpm.MyAuditVal&lt;&gt;"",UPPER(_xlpm.MyAuditVal),_xlpm.MacVal&lt;&gt;"",_xlpm.MacVal,_xlpm.CSVVal&lt;&gt;"",_xlpm.CSVVal
)),"")</f>
        <v/>
      </c>
      <c r="R655" s="40"/>
      <c r="S655" s="40"/>
      <c r="T655" s="40"/>
      <c r="U655" s="40"/>
      <c r="V655" s="40"/>
      <c r="W655" s="40"/>
      <c r="X655" s="41" t="str">
        <f>_xlfn.LET(
    _xlpm.MacVal, _xlfn.XLOOKUP($A655, Output_Mac!$A:$A, Output_Mac!AB:AB, ""),
    _xlpm.MyAuditVal, _xlfn.XLOOKUP($A655, My_Audit!$A:$A, My_Audit!N:N, ""),
    _xlfn.TEXTJOIN(", ", TRUE, _xlpm.MyAuditVal, _xlpm.MacVal)
)</f>
        <v/>
      </c>
    </row>
    <row r="656" spans="1:24">
      <c r="A656" s="40" t="str">
        <f>_xlfn.TEXTJOIN("",TRUE,Input!$B$2,ROW(My_Audit!A655))</f>
        <v>X655</v>
      </c>
      <c r="B656" s="40" t="str">
        <f>_xlfn.TEXTJOIN("-",TRUE,"ITD",Input!$A$2,A656)</f>
        <v>ITD-X655</v>
      </c>
      <c r="C656" s="40" t="str" cm="1">
        <f t="array" ref="C656">IFERROR(_xlfn.LET(
_xlpm.CSVVal,_xlfn.XLOOKUP($A656,CSV!$A:$A,CSV!B:B,""),
_xlpm.MacVal,_xlfn.XLOOKUP($A656,Output_Mac!$A:$A,Output_Mac!B:B,""),
_xlpm.MyAuditVal,_xlfn.XLOOKUP($A656,My_Audit!$A:$A,My_Audit!B:B,""),
_xlfn.IFS(_xlpm.MyAuditVal&lt;&gt;"",UPPER(_xlpm.MyAuditVal),_xlpm.MacVal&lt;&gt;"",_xlpm.MacVal,_xlpm.CSVVal&lt;&gt;"",_xlpm.CSVVal
)),"")</f>
        <v/>
      </c>
      <c r="D656" s="40" t="str" cm="1">
        <f t="array" ref="D656">IFERROR(_xlfn.LET(
_xlpm.CSVVal,_xlfn.XLOOKUP($A656,CSV!$A:$A,CSV!D:D,""),
_xlpm.MacVal,_xlfn.XLOOKUP($A656,Output_Mac!$A:$A,Output_Mac!C:C,""),
_xlpm.MyAuditVal,_xlfn.XLOOKUP($A656,My_Audit!$A:$A,My_Audit!C:C,""),
_xlfn.IFS(_xlpm.MyAuditVal&lt;&gt;"",_xlpm.MyAuditVal,_xlpm.MacVal&lt;&gt;"",_xlpm.MacVal,_xlpm.CSVVal&lt;&gt;"",_xlpm.CSVVal
)),"")</f>
        <v/>
      </c>
      <c r="E656" s="40" t="str">
        <f>_xlfn.XLOOKUP(A656,My_Audit!A:A,My_Audit!D:D,"")</f>
        <v/>
      </c>
      <c r="F656" s="40" t="str" cm="1">
        <f t="array" ref="F656">IFERROR(_xlfn.LET(
_xlpm.CSVVal,_xlfn.XLOOKUP($A656,CSV!$A:$A,CSV!F:F,""),
_xlpm.MacVal,_xlfn.XLOOKUP($A656,Output_Mac!$A:$A,Output_Mac!E:E,""),
_xlpm.MyAuditVal,_xlfn.XLOOKUP($A656,My_Audit!$A:$A,My_Audit!E:E,""),
_xlfn.IFS(_xlpm.MyAuditVal&lt;&gt;"",_xlpm.MyAuditVal,_xlpm.MacVal&lt;&gt;"",_xlpm.MacVal,_xlpm.CSVVal&lt;&gt;"",_xlpm.CSVVal
)),"")</f>
        <v/>
      </c>
      <c r="G656" s="40" t="str" cm="1">
        <f t="array" ref="G656">IFERROR(_xlfn.LET(
_xlpm.CSVVal,_xlfn.XLOOKUP($A656,CSV!$A:$A,CSV!G:G,""),
_xlpm.MacVal,_xlfn.XLOOKUP($A656,Output_Mac!$A:$A,Output_Mac!F:F,""),
_xlpm.MyAuditVal,_xlfn.XLOOKUP($A656,My_Audit!$A:$A,My_Audit!F:F,""),
_xlfn.IFS(_xlpm.MyAuditVal&lt;&gt;"",_xlpm.MyAuditVal,_xlpm.MacVal&lt;&gt;"",_xlpm.MacVal,_xlpm.CSVVal&lt;&gt;"",PROPER(_xlpm.CSVVal)
)),"")</f>
        <v/>
      </c>
      <c r="H656" s="40" t="str" cm="1">
        <f t="array" ref="H656">IFERROR(_xlfn.LET(
_xlpm.CSVVal,_xlfn.XLOOKUP($A656,CSV!$A:$A,CSV!H:H,""),
_xlpm.MacVal,_xlfn.XLOOKUP($A656,Output_Mac!$A:$A,Output_Mac!H:H,""),
_xlpm.MyAuditVal,_xlfn.XLOOKUP($A656,My_Audit!$A:$A,My_Audit!G:G,""),
_xlfn.IFS(_xlpm.MyAuditVal&lt;&gt;"",_xlpm.MyAuditVal,_xlpm.MacVal&lt;&gt;"",_xlpm.MacVal,_xlpm.CSVVal&lt;&gt;"",_xlpm.CSVVal
)),"")</f>
        <v/>
      </c>
      <c r="I656" s="40" t="str">
        <f>_xlfn.XLOOKUP(A656,Output_Mac!A:A,Output_Mac!I:I,"")</f>
        <v/>
      </c>
      <c r="J656" s="40" t="str" cm="1">
        <f t="array" ref="J656">IFERROR(_xlfn.LET(
_xlpm.CSVVal,_xlfn.XLOOKUP($A656,CSV!$A:$A,CSV!I:I,""),
_xlpm.MacVal,_xlfn.XLOOKUP($A656,Output_Mac!$A:$A,Output_Mac!J:J,""),
_xlpm.MyAuditVal,_xlfn.XLOOKUP($A656,My_Audit!$A:$A,My_Audit!I:I,""),
_xlfn.IFS(_xlpm.MyAuditVal&lt;&gt;"",UPPER(_xlpm.MyAuditVal),_xlpm.MacVal&lt;&gt;"",_xlpm.MacVal,_xlpm.CSVVal&lt;&gt;"",_xlpm.CSVVal
)),"")</f>
        <v/>
      </c>
      <c r="K656" s="40" t="str" cm="1">
        <f t="array" ref="K656">IFERROR(_xlfn.LET(
_xlpm.CSVVal,_xlfn.XLOOKUP($A656,CSV!$A:$A,CSV!K:K,""),
_xlpm.MacVal,_xlfn.XLOOKUP($A656,Output_Mac!$A:$A,Output_Mac!K:K,""),
_xlpm.MyAuditVal,_xlfn.XLOOKUP($A656,My_Audit!$A:$A,My_Audit!J:J,""),
_xlfn.IFS(_xlpm.MyAuditVal&lt;&gt;"",UPPER(_xlpm.MyAuditVal),_xlpm.MacVal&lt;&gt;"",_xlpm.MacVal,_xlpm.CSVVal&lt;&gt;"",_xlpm.CSVVal
)),"")</f>
        <v/>
      </c>
      <c r="L656" s="40" t="str" cm="1">
        <f t="array" ref="L656">IFERROR(_xlfn.LET(
_xlpm.CSVVal,_xlfn.XLOOKUP($A656,CSV!$A:$A,CSV!P:P,""),
_xlpm.MacVal,_xlfn.XLOOKUP($A656,Output_Mac!$A:$A,Output_Mac!L:L,""),
_xlpm.MyAuditVal,_xlfn.XLOOKUP($A656,My_Audit!$A:$A,My_Audit!K:K,""),
_xlfn.IFS(_xlpm.MyAuditVal&lt;&gt;"",UPPER(_xlpm.MyAuditVal),_xlpm.MacVal&lt;&gt;"",_xlpm.MacVal,_xlpm.CSVVal&lt;&gt;"",_xlpm.CSVVal
)),"")</f>
        <v/>
      </c>
      <c r="M656" s="40" t="str" cm="1">
        <f t="array" ref="M656">IFERROR(_xlfn.LET(
_xlpm.CSVVal,_xlfn.XLOOKUP($A656,CSV!$A:$A,CSV!Q:Q,""),
_xlpm.MacVal,_xlfn.XLOOKUP($A656,Output_Mac!$A:$A,Output_Mac!M:M,""),
_xlpm.MyAuditVal,_xlfn.XLOOKUP($A656,My_Audit!$A:$A,My_Audit!L:L,""),
_xlfn.IFS(_xlpm.MyAuditVal&lt;&gt;"",UPPER(_xlpm.MyAuditVal),_xlpm.MacVal&lt;&gt;"",_xlpm.MacVal,_xlpm.CSVVal&lt;&gt;"",_xlpm.CSVVal
)),"")</f>
        <v/>
      </c>
      <c r="N656" s="40"/>
      <c r="O656" s="40" t="str">
        <f>_xlfn.LET(
    _xlpm.CSVVal, _xlfn.XLOOKUP($A656, CSV!$A:$A, CSV!AA:AA, ""),
    _xlpm.MacVal, _xlfn.XLOOKUP($A656, Output_Mac!$A:$A, Output_Mac!S:S, ""),
    _xlpm.MyAuditVal, _xlfn.XLOOKUP($A656, My_Audit!$A:$A, My_Audit!P:P, ""),
    _xlfn.TEXTJOIN(", ", TRUE, _xlpm.MyAuditVal, _xlpm.MacVal, _xlpm.CSVVal)
)</f>
        <v/>
      </c>
      <c r="P656" s="40" t="str" cm="1">
        <f t="array" ref="P656">IFERROR(_xlfn.LET(
_xlpm.CSVVal,_xlfn.XLOOKUP($A656,CSV!$A:$A,CSV!AB:AB,""),
_xlpm.MacVal,_xlfn.XLOOKUP($A656,Output_Mac!$A:$A,Output_Mac!T:T,""),
_xlpm.MyAuditVal,_xlfn.XLOOKUP($A656,My_Audit!$A:$A,My_Audit!Q:Q,""),
_xlfn.IFS(_xlpm.MyAuditVal&lt;&gt;"",UPPER(_xlpm.MyAuditVal),_xlpm.MacVal&lt;&gt;"",_xlpm.MacVal,_xlpm.CSVVal&lt;&gt;"",_xlpm.CSVVal
)),"No")</f>
        <v>No</v>
      </c>
      <c r="Q656" s="40" t="str" cm="1">
        <f t="array" ref="Q656">IFERROR(_xlfn.LET(
_xlpm.CSVVal,_xlfn.XLOOKUP($A656,CSV!$A:$A,CSV!AC:AC,""),
_xlpm.MacVal,_xlfn.XLOOKUP($A656,Output_Mac!$A:$A,Output_Mac!U:U,""),
_xlpm.MyAuditVal,_xlfn.XLOOKUP($A656,My_Audit!$A:$A,My_Audit!R:R,""),
_xlfn.IFS(_xlpm.MyAuditVal&lt;&gt;"",UPPER(_xlpm.MyAuditVal),_xlpm.MacVal&lt;&gt;"",_xlpm.MacVal,_xlpm.CSVVal&lt;&gt;"",_xlpm.CSVVal
)),"")</f>
        <v/>
      </c>
      <c r="R656" s="40"/>
      <c r="S656" s="40"/>
      <c r="T656" s="40"/>
      <c r="U656" s="40"/>
      <c r="V656" s="40"/>
      <c r="W656" s="40"/>
      <c r="X656" s="41" t="str">
        <f>_xlfn.LET(
    _xlpm.MacVal, _xlfn.XLOOKUP($A656, Output_Mac!$A:$A, Output_Mac!AB:AB, ""),
    _xlpm.MyAuditVal, _xlfn.XLOOKUP($A656, My_Audit!$A:$A, My_Audit!N:N, ""),
    _xlfn.TEXTJOIN(", ", TRUE, _xlpm.MyAuditVal, _xlpm.MacVal)
)</f>
        <v/>
      </c>
    </row>
    <row r="657" spans="1:24">
      <c r="A657" s="40" t="str">
        <f>_xlfn.TEXTJOIN("",TRUE,Input!$B$2,ROW(My_Audit!A656))</f>
        <v>X656</v>
      </c>
      <c r="B657" s="40" t="str">
        <f>_xlfn.TEXTJOIN("-",TRUE,"ITD",Input!$A$2,A657)</f>
        <v>ITD-X656</v>
      </c>
      <c r="C657" s="40" t="str" cm="1">
        <f t="array" ref="C657">IFERROR(_xlfn.LET(
_xlpm.CSVVal,_xlfn.XLOOKUP($A657,CSV!$A:$A,CSV!B:B,""),
_xlpm.MacVal,_xlfn.XLOOKUP($A657,Output_Mac!$A:$A,Output_Mac!B:B,""),
_xlpm.MyAuditVal,_xlfn.XLOOKUP($A657,My_Audit!$A:$A,My_Audit!B:B,""),
_xlfn.IFS(_xlpm.MyAuditVal&lt;&gt;"",UPPER(_xlpm.MyAuditVal),_xlpm.MacVal&lt;&gt;"",_xlpm.MacVal,_xlpm.CSVVal&lt;&gt;"",_xlpm.CSVVal
)),"")</f>
        <v/>
      </c>
      <c r="D657" s="40" t="str" cm="1">
        <f t="array" ref="D657">IFERROR(_xlfn.LET(
_xlpm.CSVVal,_xlfn.XLOOKUP($A657,CSV!$A:$A,CSV!D:D,""),
_xlpm.MacVal,_xlfn.XLOOKUP($A657,Output_Mac!$A:$A,Output_Mac!C:C,""),
_xlpm.MyAuditVal,_xlfn.XLOOKUP($A657,My_Audit!$A:$A,My_Audit!C:C,""),
_xlfn.IFS(_xlpm.MyAuditVal&lt;&gt;"",_xlpm.MyAuditVal,_xlpm.MacVal&lt;&gt;"",_xlpm.MacVal,_xlpm.CSVVal&lt;&gt;"",_xlpm.CSVVal
)),"")</f>
        <v/>
      </c>
      <c r="E657" s="40" t="str">
        <f>_xlfn.XLOOKUP(A657,My_Audit!A:A,My_Audit!D:D,"")</f>
        <v/>
      </c>
      <c r="F657" s="40" t="str" cm="1">
        <f t="array" ref="F657">IFERROR(_xlfn.LET(
_xlpm.CSVVal,_xlfn.XLOOKUP($A657,CSV!$A:$A,CSV!F:F,""),
_xlpm.MacVal,_xlfn.XLOOKUP($A657,Output_Mac!$A:$A,Output_Mac!E:E,""),
_xlpm.MyAuditVal,_xlfn.XLOOKUP($A657,My_Audit!$A:$A,My_Audit!E:E,""),
_xlfn.IFS(_xlpm.MyAuditVal&lt;&gt;"",_xlpm.MyAuditVal,_xlpm.MacVal&lt;&gt;"",_xlpm.MacVal,_xlpm.CSVVal&lt;&gt;"",_xlpm.CSVVal
)),"")</f>
        <v/>
      </c>
      <c r="G657" s="40" t="str" cm="1">
        <f t="array" ref="G657">IFERROR(_xlfn.LET(
_xlpm.CSVVal,_xlfn.XLOOKUP($A657,CSV!$A:$A,CSV!G:G,""),
_xlpm.MacVal,_xlfn.XLOOKUP($A657,Output_Mac!$A:$A,Output_Mac!F:F,""),
_xlpm.MyAuditVal,_xlfn.XLOOKUP($A657,My_Audit!$A:$A,My_Audit!F:F,""),
_xlfn.IFS(_xlpm.MyAuditVal&lt;&gt;"",_xlpm.MyAuditVal,_xlpm.MacVal&lt;&gt;"",_xlpm.MacVal,_xlpm.CSVVal&lt;&gt;"",PROPER(_xlpm.CSVVal)
)),"")</f>
        <v/>
      </c>
      <c r="H657" s="40" t="str" cm="1">
        <f t="array" ref="H657">IFERROR(_xlfn.LET(
_xlpm.CSVVal,_xlfn.XLOOKUP($A657,CSV!$A:$A,CSV!H:H,""),
_xlpm.MacVal,_xlfn.XLOOKUP($A657,Output_Mac!$A:$A,Output_Mac!H:H,""),
_xlpm.MyAuditVal,_xlfn.XLOOKUP($A657,My_Audit!$A:$A,My_Audit!G:G,""),
_xlfn.IFS(_xlpm.MyAuditVal&lt;&gt;"",_xlpm.MyAuditVal,_xlpm.MacVal&lt;&gt;"",_xlpm.MacVal,_xlpm.CSVVal&lt;&gt;"",_xlpm.CSVVal
)),"")</f>
        <v/>
      </c>
      <c r="I657" s="40" t="str">
        <f>_xlfn.XLOOKUP(A657,Output_Mac!A:A,Output_Mac!I:I,"")</f>
        <v/>
      </c>
      <c r="J657" s="40" t="str" cm="1">
        <f t="array" ref="J657">IFERROR(_xlfn.LET(
_xlpm.CSVVal,_xlfn.XLOOKUP($A657,CSV!$A:$A,CSV!I:I,""),
_xlpm.MacVal,_xlfn.XLOOKUP($A657,Output_Mac!$A:$A,Output_Mac!J:J,""),
_xlpm.MyAuditVal,_xlfn.XLOOKUP($A657,My_Audit!$A:$A,My_Audit!I:I,""),
_xlfn.IFS(_xlpm.MyAuditVal&lt;&gt;"",UPPER(_xlpm.MyAuditVal),_xlpm.MacVal&lt;&gt;"",_xlpm.MacVal,_xlpm.CSVVal&lt;&gt;"",_xlpm.CSVVal
)),"")</f>
        <v/>
      </c>
      <c r="K657" s="40" t="str" cm="1">
        <f t="array" ref="K657">IFERROR(_xlfn.LET(
_xlpm.CSVVal,_xlfn.XLOOKUP($A657,CSV!$A:$A,CSV!K:K,""),
_xlpm.MacVal,_xlfn.XLOOKUP($A657,Output_Mac!$A:$A,Output_Mac!K:K,""),
_xlpm.MyAuditVal,_xlfn.XLOOKUP($A657,My_Audit!$A:$A,My_Audit!J:J,""),
_xlfn.IFS(_xlpm.MyAuditVal&lt;&gt;"",UPPER(_xlpm.MyAuditVal),_xlpm.MacVal&lt;&gt;"",_xlpm.MacVal,_xlpm.CSVVal&lt;&gt;"",_xlpm.CSVVal
)),"")</f>
        <v/>
      </c>
      <c r="L657" s="40" t="str" cm="1">
        <f t="array" ref="L657">IFERROR(_xlfn.LET(
_xlpm.CSVVal,_xlfn.XLOOKUP($A657,CSV!$A:$A,CSV!P:P,""),
_xlpm.MacVal,_xlfn.XLOOKUP($A657,Output_Mac!$A:$A,Output_Mac!L:L,""),
_xlpm.MyAuditVal,_xlfn.XLOOKUP($A657,My_Audit!$A:$A,My_Audit!K:K,""),
_xlfn.IFS(_xlpm.MyAuditVal&lt;&gt;"",UPPER(_xlpm.MyAuditVal),_xlpm.MacVal&lt;&gt;"",_xlpm.MacVal,_xlpm.CSVVal&lt;&gt;"",_xlpm.CSVVal
)),"")</f>
        <v/>
      </c>
      <c r="M657" s="40" t="str" cm="1">
        <f t="array" ref="M657">IFERROR(_xlfn.LET(
_xlpm.CSVVal,_xlfn.XLOOKUP($A657,CSV!$A:$A,CSV!Q:Q,""),
_xlpm.MacVal,_xlfn.XLOOKUP($A657,Output_Mac!$A:$A,Output_Mac!M:M,""),
_xlpm.MyAuditVal,_xlfn.XLOOKUP($A657,My_Audit!$A:$A,My_Audit!L:L,""),
_xlfn.IFS(_xlpm.MyAuditVal&lt;&gt;"",UPPER(_xlpm.MyAuditVal),_xlpm.MacVal&lt;&gt;"",_xlpm.MacVal,_xlpm.CSVVal&lt;&gt;"",_xlpm.CSVVal
)),"")</f>
        <v/>
      </c>
      <c r="N657" s="40"/>
      <c r="O657" s="40" t="str">
        <f>_xlfn.LET(
    _xlpm.CSVVal, _xlfn.XLOOKUP($A657, CSV!$A:$A, CSV!AA:AA, ""),
    _xlpm.MacVal, _xlfn.XLOOKUP($A657, Output_Mac!$A:$A, Output_Mac!S:S, ""),
    _xlpm.MyAuditVal, _xlfn.XLOOKUP($A657, My_Audit!$A:$A, My_Audit!P:P, ""),
    _xlfn.TEXTJOIN(", ", TRUE, _xlpm.MyAuditVal, _xlpm.MacVal, _xlpm.CSVVal)
)</f>
        <v/>
      </c>
      <c r="P657" s="40" t="str" cm="1">
        <f t="array" ref="P657">IFERROR(_xlfn.LET(
_xlpm.CSVVal,_xlfn.XLOOKUP($A657,CSV!$A:$A,CSV!AB:AB,""),
_xlpm.MacVal,_xlfn.XLOOKUP($A657,Output_Mac!$A:$A,Output_Mac!T:T,""),
_xlpm.MyAuditVal,_xlfn.XLOOKUP($A657,My_Audit!$A:$A,My_Audit!Q:Q,""),
_xlfn.IFS(_xlpm.MyAuditVal&lt;&gt;"",UPPER(_xlpm.MyAuditVal),_xlpm.MacVal&lt;&gt;"",_xlpm.MacVal,_xlpm.CSVVal&lt;&gt;"",_xlpm.CSVVal
)),"No")</f>
        <v>No</v>
      </c>
      <c r="Q657" s="40" t="str" cm="1">
        <f t="array" ref="Q657">IFERROR(_xlfn.LET(
_xlpm.CSVVal,_xlfn.XLOOKUP($A657,CSV!$A:$A,CSV!AC:AC,""),
_xlpm.MacVal,_xlfn.XLOOKUP($A657,Output_Mac!$A:$A,Output_Mac!U:U,""),
_xlpm.MyAuditVal,_xlfn.XLOOKUP($A657,My_Audit!$A:$A,My_Audit!R:R,""),
_xlfn.IFS(_xlpm.MyAuditVal&lt;&gt;"",UPPER(_xlpm.MyAuditVal),_xlpm.MacVal&lt;&gt;"",_xlpm.MacVal,_xlpm.CSVVal&lt;&gt;"",_xlpm.CSVVal
)),"")</f>
        <v/>
      </c>
      <c r="R657" s="40"/>
      <c r="S657" s="40"/>
      <c r="T657" s="40"/>
      <c r="U657" s="40"/>
      <c r="V657" s="40"/>
      <c r="W657" s="40"/>
      <c r="X657" s="41" t="str">
        <f>_xlfn.LET(
    _xlpm.MacVal, _xlfn.XLOOKUP($A657, Output_Mac!$A:$A, Output_Mac!AB:AB, ""),
    _xlpm.MyAuditVal, _xlfn.XLOOKUP($A657, My_Audit!$A:$A, My_Audit!N:N, ""),
    _xlfn.TEXTJOIN(", ", TRUE, _xlpm.MyAuditVal, _xlpm.MacVal)
)</f>
        <v/>
      </c>
    </row>
    <row r="658" spans="1:24">
      <c r="A658" s="40" t="str">
        <f>_xlfn.TEXTJOIN("",TRUE,Input!$B$2,ROW(My_Audit!A657))</f>
        <v>X657</v>
      </c>
      <c r="B658" s="40" t="str">
        <f>_xlfn.TEXTJOIN("-",TRUE,"ITD",Input!$A$2,A658)</f>
        <v>ITD-X657</v>
      </c>
      <c r="C658" s="40" t="str" cm="1">
        <f t="array" ref="C658">IFERROR(_xlfn.LET(
_xlpm.CSVVal,_xlfn.XLOOKUP($A658,CSV!$A:$A,CSV!B:B,""),
_xlpm.MacVal,_xlfn.XLOOKUP($A658,Output_Mac!$A:$A,Output_Mac!B:B,""),
_xlpm.MyAuditVal,_xlfn.XLOOKUP($A658,My_Audit!$A:$A,My_Audit!B:B,""),
_xlfn.IFS(_xlpm.MyAuditVal&lt;&gt;"",UPPER(_xlpm.MyAuditVal),_xlpm.MacVal&lt;&gt;"",_xlpm.MacVal,_xlpm.CSVVal&lt;&gt;"",_xlpm.CSVVal
)),"")</f>
        <v/>
      </c>
      <c r="D658" s="40" t="str" cm="1">
        <f t="array" ref="D658">IFERROR(_xlfn.LET(
_xlpm.CSVVal,_xlfn.XLOOKUP($A658,CSV!$A:$A,CSV!D:D,""),
_xlpm.MacVal,_xlfn.XLOOKUP($A658,Output_Mac!$A:$A,Output_Mac!C:C,""),
_xlpm.MyAuditVal,_xlfn.XLOOKUP($A658,My_Audit!$A:$A,My_Audit!C:C,""),
_xlfn.IFS(_xlpm.MyAuditVal&lt;&gt;"",_xlpm.MyAuditVal,_xlpm.MacVal&lt;&gt;"",_xlpm.MacVal,_xlpm.CSVVal&lt;&gt;"",_xlpm.CSVVal
)),"")</f>
        <v/>
      </c>
      <c r="E658" s="40" t="str">
        <f>_xlfn.XLOOKUP(A658,My_Audit!A:A,My_Audit!D:D,"")</f>
        <v/>
      </c>
      <c r="F658" s="40" t="str" cm="1">
        <f t="array" ref="F658">IFERROR(_xlfn.LET(
_xlpm.CSVVal,_xlfn.XLOOKUP($A658,CSV!$A:$A,CSV!F:F,""),
_xlpm.MacVal,_xlfn.XLOOKUP($A658,Output_Mac!$A:$A,Output_Mac!E:E,""),
_xlpm.MyAuditVal,_xlfn.XLOOKUP($A658,My_Audit!$A:$A,My_Audit!E:E,""),
_xlfn.IFS(_xlpm.MyAuditVal&lt;&gt;"",_xlpm.MyAuditVal,_xlpm.MacVal&lt;&gt;"",_xlpm.MacVal,_xlpm.CSVVal&lt;&gt;"",_xlpm.CSVVal
)),"")</f>
        <v/>
      </c>
      <c r="G658" s="40" t="str" cm="1">
        <f t="array" ref="G658">IFERROR(_xlfn.LET(
_xlpm.CSVVal,_xlfn.XLOOKUP($A658,CSV!$A:$A,CSV!G:G,""),
_xlpm.MacVal,_xlfn.XLOOKUP($A658,Output_Mac!$A:$A,Output_Mac!F:F,""),
_xlpm.MyAuditVal,_xlfn.XLOOKUP($A658,My_Audit!$A:$A,My_Audit!F:F,""),
_xlfn.IFS(_xlpm.MyAuditVal&lt;&gt;"",_xlpm.MyAuditVal,_xlpm.MacVal&lt;&gt;"",_xlpm.MacVal,_xlpm.CSVVal&lt;&gt;"",PROPER(_xlpm.CSVVal)
)),"")</f>
        <v/>
      </c>
      <c r="H658" s="40" t="str" cm="1">
        <f t="array" ref="H658">IFERROR(_xlfn.LET(
_xlpm.CSVVal,_xlfn.XLOOKUP($A658,CSV!$A:$A,CSV!H:H,""),
_xlpm.MacVal,_xlfn.XLOOKUP($A658,Output_Mac!$A:$A,Output_Mac!H:H,""),
_xlpm.MyAuditVal,_xlfn.XLOOKUP($A658,My_Audit!$A:$A,My_Audit!G:G,""),
_xlfn.IFS(_xlpm.MyAuditVal&lt;&gt;"",_xlpm.MyAuditVal,_xlpm.MacVal&lt;&gt;"",_xlpm.MacVal,_xlpm.CSVVal&lt;&gt;"",_xlpm.CSVVal
)),"")</f>
        <v/>
      </c>
      <c r="I658" s="40" t="str">
        <f>_xlfn.XLOOKUP(A658,Output_Mac!A:A,Output_Mac!I:I,"")</f>
        <v/>
      </c>
      <c r="J658" s="40" t="str" cm="1">
        <f t="array" ref="J658">IFERROR(_xlfn.LET(
_xlpm.CSVVal,_xlfn.XLOOKUP($A658,CSV!$A:$A,CSV!I:I,""),
_xlpm.MacVal,_xlfn.XLOOKUP($A658,Output_Mac!$A:$A,Output_Mac!J:J,""),
_xlpm.MyAuditVal,_xlfn.XLOOKUP($A658,My_Audit!$A:$A,My_Audit!I:I,""),
_xlfn.IFS(_xlpm.MyAuditVal&lt;&gt;"",UPPER(_xlpm.MyAuditVal),_xlpm.MacVal&lt;&gt;"",_xlpm.MacVal,_xlpm.CSVVal&lt;&gt;"",_xlpm.CSVVal
)),"")</f>
        <v/>
      </c>
      <c r="K658" s="40" t="str" cm="1">
        <f t="array" ref="K658">IFERROR(_xlfn.LET(
_xlpm.CSVVal,_xlfn.XLOOKUP($A658,CSV!$A:$A,CSV!K:K,""),
_xlpm.MacVal,_xlfn.XLOOKUP($A658,Output_Mac!$A:$A,Output_Mac!K:K,""),
_xlpm.MyAuditVal,_xlfn.XLOOKUP($A658,My_Audit!$A:$A,My_Audit!J:J,""),
_xlfn.IFS(_xlpm.MyAuditVal&lt;&gt;"",UPPER(_xlpm.MyAuditVal),_xlpm.MacVal&lt;&gt;"",_xlpm.MacVal,_xlpm.CSVVal&lt;&gt;"",_xlpm.CSVVal
)),"")</f>
        <v/>
      </c>
      <c r="L658" s="40" t="str" cm="1">
        <f t="array" ref="L658">IFERROR(_xlfn.LET(
_xlpm.CSVVal,_xlfn.XLOOKUP($A658,CSV!$A:$A,CSV!P:P,""),
_xlpm.MacVal,_xlfn.XLOOKUP($A658,Output_Mac!$A:$A,Output_Mac!L:L,""),
_xlpm.MyAuditVal,_xlfn.XLOOKUP($A658,My_Audit!$A:$A,My_Audit!K:K,""),
_xlfn.IFS(_xlpm.MyAuditVal&lt;&gt;"",UPPER(_xlpm.MyAuditVal),_xlpm.MacVal&lt;&gt;"",_xlpm.MacVal,_xlpm.CSVVal&lt;&gt;"",_xlpm.CSVVal
)),"")</f>
        <v/>
      </c>
      <c r="M658" s="40" t="str" cm="1">
        <f t="array" ref="M658">IFERROR(_xlfn.LET(
_xlpm.CSVVal,_xlfn.XLOOKUP($A658,CSV!$A:$A,CSV!Q:Q,""),
_xlpm.MacVal,_xlfn.XLOOKUP($A658,Output_Mac!$A:$A,Output_Mac!M:M,""),
_xlpm.MyAuditVal,_xlfn.XLOOKUP($A658,My_Audit!$A:$A,My_Audit!L:L,""),
_xlfn.IFS(_xlpm.MyAuditVal&lt;&gt;"",UPPER(_xlpm.MyAuditVal),_xlpm.MacVal&lt;&gt;"",_xlpm.MacVal,_xlpm.CSVVal&lt;&gt;"",_xlpm.CSVVal
)),"")</f>
        <v/>
      </c>
      <c r="N658" s="40"/>
      <c r="O658" s="40" t="str">
        <f>_xlfn.LET(
    _xlpm.CSVVal, _xlfn.XLOOKUP($A658, CSV!$A:$A, CSV!AA:AA, ""),
    _xlpm.MacVal, _xlfn.XLOOKUP($A658, Output_Mac!$A:$A, Output_Mac!S:S, ""),
    _xlpm.MyAuditVal, _xlfn.XLOOKUP($A658, My_Audit!$A:$A, My_Audit!P:P, ""),
    _xlfn.TEXTJOIN(", ", TRUE, _xlpm.MyAuditVal, _xlpm.MacVal, _xlpm.CSVVal)
)</f>
        <v/>
      </c>
      <c r="P658" s="40" t="str" cm="1">
        <f t="array" ref="P658">IFERROR(_xlfn.LET(
_xlpm.CSVVal,_xlfn.XLOOKUP($A658,CSV!$A:$A,CSV!AB:AB,""),
_xlpm.MacVal,_xlfn.XLOOKUP($A658,Output_Mac!$A:$A,Output_Mac!T:T,""),
_xlpm.MyAuditVal,_xlfn.XLOOKUP($A658,My_Audit!$A:$A,My_Audit!Q:Q,""),
_xlfn.IFS(_xlpm.MyAuditVal&lt;&gt;"",UPPER(_xlpm.MyAuditVal),_xlpm.MacVal&lt;&gt;"",_xlpm.MacVal,_xlpm.CSVVal&lt;&gt;"",_xlpm.CSVVal
)),"No")</f>
        <v>No</v>
      </c>
      <c r="Q658" s="40" t="str" cm="1">
        <f t="array" ref="Q658">IFERROR(_xlfn.LET(
_xlpm.CSVVal,_xlfn.XLOOKUP($A658,CSV!$A:$A,CSV!AC:AC,""),
_xlpm.MacVal,_xlfn.XLOOKUP($A658,Output_Mac!$A:$A,Output_Mac!U:U,""),
_xlpm.MyAuditVal,_xlfn.XLOOKUP($A658,My_Audit!$A:$A,My_Audit!R:R,""),
_xlfn.IFS(_xlpm.MyAuditVal&lt;&gt;"",UPPER(_xlpm.MyAuditVal),_xlpm.MacVal&lt;&gt;"",_xlpm.MacVal,_xlpm.CSVVal&lt;&gt;"",_xlpm.CSVVal
)),"")</f>
        <v/>
      </c>
      <c r="R658" s="40"/>
      <c r="S658" s="40"/>
      <c r="T658" s="40"/>
      <c r="U658" s="40"/>
      <c r="V658" s="40"/>
      <c r="W658" s="40"/>
      <c r="X658" s="41" t="str">
        <f>_xlfn.LET(
    _xlpm.MacVal, _xlfn.XLOOKUP($A658, Output_Mac!$A:$A, Output_Mac!AB:AB, ""),
    _xlpm.MyAuditVal, _xlfn.XLOOKUP($A658, My_Audit!$A:$A, My_Audit!N:N, ""),
    _xlfn.TEXTJOIN(", ", TRUE, _xlpm.MyAuditVal, _xlpm.MacVal)
)</f>
        <v/>
      </c>
    </row>
    <row r="659" spans="1:24">
      <c r="A659" s="40" t="str">
        <f>_xlfn.TEXTJOIN("",TRUE,Input!$B$2,ROW(My_Audit!A658))</f>
        <v>X658</v>
      </c>
      <c r="B659" s="40" t="str">
        <f>_xlfn.TEXTJOIN("-",TRUE,"ITD",Input!$A$2,A659)</f>
        <v>ITD-X658</v>
      </c>
      <c r="C659" s="40" t="str" cm="1">
        <f t="array" ref="C659">IFERROR(_xlfn.LET(
_xlpm.CSVVal,_xlfn.XLOOKUP($A659,CSV!$A:$A,CSV!B:B,""),
_xlpm.MacVal,_xlfn.XLOOKUP($A659,Output_Mac!$A:$A,Output_Mac!B:B,""),
_xlpm.MyAuditVal,_xlfn.XLOOKUP($A659,My_Audit!$A:$A,My_Audit!B:B,""),
_xlfn.IFS(_xlpm.MyAuditVal&lt;&gt;"",UPPER(_xlpm.MyAuditVal),_xlpm.MacVal&lt;&gt;"",_xlpm.MacVal,_xlpm.CSVVal&lt;&gt;"",_xlpm.CSVVal
)),"")</f>
        <v/>
      </c>
      <c r="D659" s="40" t="str" cm="1">
        <f t="array" ref="D659">IFERROR(_xlfn.LET(
_xlpm.CSVVal,_xlfn.XLOOKUP($A659,CSV!$A:$A,CSV!D:D,""),
_xlpm.MacVal,_xlfn.XLOOKUP($A659,Output_Mac!$A:$A,Output_Mac!C:C,""),
_xlpm.MyAuditVal,_xlfn.XLOOKUP($A659,My_Audit!$A:$A,My_Audit!C:C,""),
_xlfn.IFS(_xlpm.MyAuditVal&lt;&gt;"",_xlpm.MyAuditVal,_xlpm.MacVal&lt;&gt;"",_xlpm.MacVal,_xlpm.CSVVal&lt;&gt;"",_xlpm.CSVVal
)),"")</f>
        <v/>
      </c>
      <c r="E659" s="40" t="str">
        <f>_xlfn.XLOOKUP(A659,My_Audit!A:A,My_Audit!D:D,"")</f>
        <v/>
      </c>
      <c r="F659" s="40" t="str" cm="1">
        <f t="array" ref="F659">IFERROR(_xlfn.LET(
_xlpm.CSVVal,_xlfn.XLOOKUP($A659,CSV!$A:$A,CSV!F:F,""),
_xlpm.MacVal,_xlfn.XLOOKUP($A659,Output_Mac!$A:$A,Output_Mac!E:E,""),
_xlpm.MyAuditVal,_xlfn.XLOOKUP($A659,My_Audit!$A:$A,My_Audit!E:E,""),
_xlfn.IFS(_xlpm.MyAuditVal&lt;&gt;"",_xlpm.MyAuditVal,_xlpm.MacVal&lt;&gt;"",_xlpm.MacVal,_xlpm.CSVVal&lt;&gt;"",_xlpm.CSVVal
)),"")</f>
        <v/>
      </c>
      <c r="G659" s="40" t="str" cm="1">
        <f t="array" ref="G659">IFERROR(_xlfn.LET(
_xlpm.CSVVal,_xlfn.XLOOKUP($A659,CSV!$A:$A,CSV!G:G,""),
_xlpm.MacVal,_xlfn.XLOOKUP($A659,Output_Mac!$A:$A,Output_Mac!F:F,""),
_xlpm.MyAuditVal,_xlfn.XLOOKUP($A659,My_Audit!$A:$A,My_Audit!F:F,""),
_xlfn.IFS(_xlpm.MyAuditVal&lt;&gt;"",_xlpm.MyAuditVal,_xlpm.MacVal&lt;&gt;"",_xlpm.MacVal,_xlpm.CSVVal&lt;&gt;"",PROPER(_xlpm.CSVVal)
)),"")</f>
        <v/>
      </c>
      <c r="H659" s="40" t="str" cm="1">
        <f t="array" ref="H659">IFERROR(_xlfn.LET(
_xlpm.CSVVal,_xlfn.XLOOKUP($A659,CSV!$A:$A,CSV!H:H,""),
_xlpm.MacVal,_xlfn.XLOOKUP($A659,Output_Mac!$A:$A,Output_Mac!H:H,""),
_xlpm.MyAuditVal,_xlfn.XLOOKUP($A659,My_Audit!$A:$A,My_Audit!G:G,""),
_xlfn.IFS(_xlpm.MyAuditVal&lt;&gt;"",_xlpm.MyAuditVal,_xlpm.MacVal&lt;&gt;"",_xlpm.MacVal,_xlpm.CSVVal&lt;&gt;"",_xlpm.CSVVal
)),"")</f>
        <v/>
      </c>
      <c r="I659" s="40" t="str">
        <f>_xlfn.XLOOKUP(A659,Output_Mac!A:A,Output_Mac!I:I,"")</f>
        <v/>
      </c>
      <c r="J659" s="40" t="str" cm="1">
        <f t="array" ref="J659">IFERROR(_xlfn.LET(
_xlpm.CSVVal,_xlfn.XLOOKUP($A659,CSV!$A:$A,CSV!I:I,""),
_xlpm.MacVal,_xlfn.XLOOKUP($A659,Output_Mac!$A:$A,Output_Mac!J:J,""),
_xlpm.MyAuditVal,_xlfn.XLOOKUP($A659,My_Audit!$A:$A,My_Audit!I:I,""),
_xlfn.IFS(_xlpm.MyAuditVal&lt;&gt;"",UPPER(_xlpm.MyAuditVal),_xlpm.MacVal&lt;&gt;"",_xlpm.MacVal,_xlpm.CSVVal&lt;&gt;"",_xlpm.CSVVal
)),"")</f>
        <v/>
      </c>
      <c r="K659" s="40" t="str" cm="1">
        <f t="array" ref="K659">IFERROR(_xlfn.LET(
_xlpm.CSVVal,_xlfn.XLOOKUP($A659,CSV!$A:$A,CSV!K:K,""),
_xlpm.MacVal,_xlfn.XLOOKUP($A659,Output_Mac!$A:$A,Output_Mac!K:K,""),
_xlpm.MyAuditVal,_xlfn.XLOOKUP($A659,My_Audit!$A:$A,My_Audit!J:J,""),
_xlfn.IFS(_xlpm.MyAuditVal&lt;&gt;"",UPPER(_xlpm.MyAuditVal),_xlpm.MacVal&lt;&gt;"",_xlpm.MacVal,_xlpm.CSVVal&lt;&gt;"",_xlpm.CSVVal
)),"")</f>
        <v/>
      </c>
      <c r="L659" s="40" t="str" cm="1">
        <f t="array" ref="L659">IFERROR(_xlfn.LET(
_xlpm.CSVVal,_xlfn.XLOOKUP($A659,CSV!$A:$A,CSV!P:P,""),
_xlpm.MacVal,_xlfn.XLOOKUP($A659,Output_Mac!$A:$A,Output_Mac!L:L,""),
_xlpm.MyAuditVal,_xlfn.XLOOKUP($A659,My_Audit!$A:$A,My_Audit!K:K,""),
_xlfn.IFS(_xlpm.MyAuditVal&lt;&gt;"",UPPER(_xlpm.MyAuditVal),_xlpm.MacVal&lt;&gt;"",_xlpm.MacVal,_xlpm.CSVVal&lt;&gt;"",_xlpm.CSVVal
)),"")</f>
        <v/>
      </c>
      <c r="M659" s="40" t="str" cm="1">
        <f t="array" ref="M659">IFERROR(_xlfn.LET(
_xlpm.CSVVal,_xlfn.XLOOKUP($A659,CSV!$A:$A,CSV!Q:Q,""),
_xlpm.MacVal,_xlfn.XLOOKUP($A659,Output_Mac!$A:$A,Output_Mac!M:M,""),
_xlpm.MyAuditVal,_xlfn.XLOOKUP($A659,My_Audit!$A:$A,My_Audit!L:L,""),
_xlfn.IFS(_xlpm.MyAuditVal&lt;&gt;"",UPPER(_xlpm.MyAuditVal),_xlpm.MacVal&lt;&gt;"",_xlpm.MacVal,_xlpm.CSVVal&lt;&gt;"",_xlpm.CSVVal
)),"")</f>
        <v/>
      </c>
      <c r="N659" s="40"/>
      <c r="O659" s="40" t="str">
        <f>_xlfn.LET(
    _xlpm.CSVVal, _xlfn.XLOOKUP($A659, CSV!$A:$A, CSV!AA:AA, ""),
    _xlpm.MacVal, _xlfn.XLOOKUP($A659, Output_Mac!$A:$A, Output_Mac!S:S, ""),
    _xlpm.MyAuditVal, _xlfn.XLOOKUP($A659, My_Audit!$A:$A, My_Audit!P:P, ""),
    _xlfn.TEXTJOIN(", ", TRUE, _xlpm.MyAuditVal, _xlpm.MacVal, _xlpm.CSVVal)
)</f>
        <v/>
      </c>
      <c r="P659" s="40" t="str" cm="1">
        <f t="array" ref="P659">IFERROR(_xlfn.LET(
_xlpm.CSVVal,_xlfn.XLOOKUP($A659,CSV!$A:$A,CSV!AB:AB,""),
_xlpm.MacVal,_xlfn.XLOOKUP($A659,Output_Mac!$A:$A,Output_Mac!T:T,""),
_xlpm.MyAuditVal,_xlfn.XLOOKUP($A659,My_Audit!$A:$A,My_Audit!Q:Q,""),
_xlfn.IFS(_xlpm.MyAuditVal&lt;&gt;"",UPPER(_xlpm.MyAuditVal),_xlpm.MacVal&lt;&gt;"",_xlpm.MacVal,_xlpm.CSVVal&lt;&gt;"",_xlpm.CSVVal
)),"No")</f>
        <v>No</v>
      </c>
      <c r="Q659" s="40" t="str" cm="1">
        <f t="array" ref="Q659">IFERROR(_xlfn.LET(
_xlpm.CSVVal,_xlfn.XLOOKUP($A659,CSV!$A:$A,CSV!AC:AC,""),
_xlpm.MacVal,_xlfn.XLOOKUP($A659,Output_Mac!$A:$A,Output_Mac!U:U,""),
_xlpm.MyAuditVal,_xlfn.XLOOKUP($A659,My_Audit!$A:$A,My_Audit!R:R,""),
_xlfn.IFS(_xlpm.MyAuditVal&lt;&gt;"",UPPER(_xlpm.MyAuditVal),_xlpm.MacVal&lt;&gt;"",_xlpm.MacVal,_xlpm.CSVVal&lt;&gt;"",_xlpm.CSVVal
)),"")</f>
        <v/>
      </c>
      <c r="R659" s="40"/>
      <c r="S659" s="40"/>
      <c r="T659" s="40"/>
      <c r="U659" s="40"/>
      <c r="V659" s="40"/>
      <c r="W659" s="40"/>
      <c r="X659" s="41" t="str">
        <f>_xlfn.LET(
    _xlpm.MacVal, _xlfn.XLOOKUP($A659, Output_Mac!$A:$A, Output_Mac!AB:AB, ""),
    _xlpm.MyAuditVal, _xlfn.XLOOKUP($A659, My_Audit!$A:$A, My_Audit!N:N, ""),
    _xlfn.TEXTJOIN(", ", TRUE, _xlpm.MyAuditVal, _xlpm.MacVal)
)</f>
        <v/>
      </c>
    </row>
    <row r="660" spans="1:24">
      <c r="A660" s="40" t="str">
        <f>_xlfn.TEXTJOIN("",TRUE,Input!$B$2,ROW(My_Audit!A659))</f>
        <v>X659</v>
      </c>
      <c r="B660" s="40" t="str">
        <f>_xlfn.TEXTJOIN("-",TRUE,"ITD",Input!$A$2,A660)</f>
        <v>ITD-X659</v>
      </c>
      <c r="C660" s="40" t="str" cm="1">
        <f t="array" ref="C660">IFERROR(_xlfn.LET(
_xlpm.CSVVal,_xlfn.XLOOKUP($A660,CSV!$A:$A,CSV!B:B,""),
_xlpm.MacVal,_xlfn.XLOOKUP($A660,Output_Mac!$A:$A,Output_Mac!B:B,""),
_xlpm.MyAuditVal,_xlfn.XLOOKUP($A660,My_Audit!$A:$A,My_Audit!B:B,""),
_xlfn.IFS(_xlpm.MyAuditVal&lt;&gt;"",UPPER(_xlpm.MyAuditVal),_xlpm.MacVal&lt;&gt;"",_xlpm.MacVal,_xlpm.CSVVal&lt;&gt;"",_xlpm.CSVVal
)),"")</f>
        <v/>
      </c>
      <c r="D660" s="40" t="str" cm="1">
        <f t="array" ref="D660">IFERROR(_xlfn.LET(
_xlpm.CSVVal,_xlfn.XLOOKUP($A660,CSV!$A:$A,CSV!D:D,""),
_xlpm.MacVal,_xlfn.XLOOKUP($A660,Output_Mac!$A:$A,Output_Mac!C:C,""),
_xlpm.MyAuditVal,_xlfn.XLOOKUP($A660,My_Audit!$A:$A,My_Audit!C:C,""),
_xlfn.IFS(_xlpm.MyAuditVal&lt;&gt;"",_xlpm.MyAuditVal,_xlpm.MacVal&lt;&gt;"",_xlpm.MacVal,_xlpm.CSVVal&lt;&gt;"",_xlpm.CSVVal
)),"")</f>
        <v/>
      </c>
      <c r="E660" s="40" t="str">
        <f>_xlfn.XLOOKUP(A660,My_Audit!A:A,My_Audit!D:D,"")</f>
        <v/>
      </c>
      <c r="F660" s="40" t="str" cm="1">
        <f t="array" ref="F660">IFERROR(_xlfn.LET(
_xlpm.CSVVal,_xlfn.XLOOKUP($A660,CSV!$A:$A,CSV!F:F,""),
_xlpm.MacVal,_xlfn.XLOOKUP($A660,Output_Mac!$A:$A,Output_Mac!E:E,""),
_xlpm.MyAuditVal,_xlfn.XLOOKUP($A660,My_Audit!$A:$A,My_Audit!E:E,""),
_xlfn.IFS(_xlpm.MyAuditVal&lt;&gt;"",_xlpm.MyAuditVal,_xlpm.MacVal&lt;&gt;"",_xlpm.MacVal,_xlpm.CSVVal&lt;&gt;"",_xlpm.CSVVal
)),"")</f>
        <v/>
      </c>
      <c r="G660" s="40" t="str" cm="1">
        <f t="array" ref="G660">IFERROR(_xlfn.LET(
_xlpm.CSVVal,_xlfn.XLOOKUP($A660,CSV!$A:$A,CSV!G:G,""),
_xlpm.MacVal,_xlfn.XLOOKUP($A660,Output_Mac!$A:$A,Output_Mac!F:F,""),
_xlpm.MyAuditVal,_xlfn.XLOOKUP($A660,My_Audit!$A:$A,My_Audit!F:F,""),
_xlfn.IFS(_xlpm.MyAuditVal&lt;&gt;"",_xlpm.MyAuditVal,_xlpm.MacVal&lt;&gt;"",_xlpm.MacVal,_xlpm.CSVVal&lt;&gt;"",PROPER(_xlpm.CSVVal)
)),"")</f>
        <v/>
      </c>
      <c r="H660" s="40" t="str" cm="1">
        <f t="array" ref="H660">IFERROR(_xlfn.LET(
_xlpm.CSVVal,_xlfn.XLOOKUP($A660,CSV!$A:$A,CSV!H:H,""),
_xlpm.MacVal,_xlfn.XLOOKUP($A660,Output_Mac!$A:$A,Output_Mac!H:H,""),
_xlpm.MyAuditVal,_xlfn.XLOOKUP($A660,My_Audit!$A:$A,My_Audit!G:G,""),
_xlfn.IFS(_xlpm.MyAuditVal&lt;&gt;"",_xlpm.MyAuditVal,_xlpm.MacVal&lt;&gt;"",_xlpm.MacVal,_xlpm.CSVVal&lt;&gt;"",_xlpm.CSVVal
)),"")</f>
        <v/>
      </c>
      <c r="I660" s="40" t="str">
        <f>_xlfn.XLOOKUP(A660,Output_Mac!A:A,Output_Mac!I:I,"")</f>
        <v/>
      </c>
      <c r="J660" s="40" t="str" cm="1">
        <f t="array" ref="J660">IFERROR(_xlfn.LET(
_xlpm.CSVVal,_xlfn.XLOOKUP($A660,CSV!$A:$A,CSV!I:I,""),
_xlpm.MacVal,_xlfn.XLOOKUP($A660,Output_Mac!$A:$A,Output_Mac!J:J,""),
_xlpm.MyAuditVal,_xlfn.XLOOKUP($A660,My_Audit!$A:$A,My_Audit!I:I,""),
_xlfn.IFS(_xlpm.MyAuditVal&lt;&gt;"",UPPER(_xlpm.MyAuditVal),_xlpm.MacVal&lt;&gt;"",_xlpm.MacVal,_xlpm.CSVVal&lt;&gt;"",_xlpm.CSVVal
)),"")</f>
        <v/>
      </c>
      <c r="K660" s="40" t="str" cm="1">
        <f t="array" ref="K660">IFERROR(_xlfn.LET(
_xlpm.CSVVal,_xlfn.XLOOKUP($A660,CSV!$A:$A,CSV!K:K,""),
_xlpm.MacVal,_xlfn.XLOOKUP($A660,Output_Mac!$A:$A,Output_Mac!K:K,""),
_xlpm.MyAuditVal,_xlfn.XLOOKUP($A660,My_Audit!$A:$A,My_Audit!J:J,""),
_xlfn.IFS(_xlpm.MyAuditVal&lt;&gt;"",UPPER(_xlpm.MyAuditVal),_xlpm.MacVal&lt;&gt;"",_xlpm.MacVal,_xlpm.CSVVal&lt;&gt;"",_xlpm.CSVVal
)),"")</f>
        <v/>
      </c>
      <c r="L660" s="40" t="str" cm="1">
        <f t="array" ref="L660">IFERROR(_xlfn.LET(
_xlpm.CSVVal,_xlfn.XLOOKUP($A660,CSV!$A:$A,CSV!P:P,""),
_xlpm.MacVal,_xlfn.XLOOKUP($A660,Output_Mac!$A:$A,Output_Mac!L:L,""),
_xlpm.MyAuditVal,_xlfn.XLOOKUP($A660,My_Audit!$A:$A,My_Audit!K:K,""),
_xlfn.IFS(_xlpm.MyAuditVal&lt;&gt;"",UPPER(_xlpm.MyAuditVal),_xlpm.MacVal&lt;&gt;"",_xlpm.MacVal,_xlpm.CSVVal&lt;&gt;"",_xlpm.CSVVal
)),"")</f>
        <v/>
      </c>
      <c r="M660" s="40" t="str" cm="1">
        <f t="array" ref="M660">IFERROR(_xlfn.LET(
_xlpm.CSVVal,_xlfn.XLOOKUP($A660,CSV!$A:$A,CSV!Q:Q,""),
_xlpm.MacVal,_xlfn.XLOOKUP($A660,Output_Mac!$A:$A,Output_Mac!M:M,""),
_xlpm.MyAuditVal,_xlfn.XLOOKUP($A660,My_Audit!$A:$A,My_Audit!L:L,""),
_xlfn.IFS(_xlpm.MyAuditVal&lt;&gt;"",UPPER(_xlpm.MyAuditVal),_xlpm.MacVal&lt;&gt;"",_xlpm.MacVal,_xlpm.CSVVal&lt;&gt;"",_xlpm.CSVVal
)),"")</f>
        <v/>
      </c>
      <c r="N660" s="40"/>
      <c r="O660" s="40" t="str">
        <f>_xlfn.LET(
    _xlpm.CSVVal, _xlfn.XLOOKUP($A660, CSV!$A:$A, CSV!AA:AA, ""),
    _xlpm.MacVal, _xlfn.XLOOKUP($A660, Output_Mac!$A:$A, Output_Mac!S:S, ""),
    _xlpm.MyAuditVal, _xlfn.XLOOKUP($A660, My_Audit!$A:$A, My_Audit!P:P, ""),
    _xlfn.TEXTJOIN(", ", TRUE, _xlpm.MyAuditVal, _xlpm.MacVal, _xlpm.CSVVal)
)</f>
        <v/>
      </c>
      <c r="P660" s="40" t="str" cm="1">
        <f t="array" ref="P660">IFERROR(_xlfn.LET(
_xlpm.CSVVal,_xlfn.XLOOKUP($A660,CSV!$A:$A,CSV!AB:AB,""),
_xlpm.MacVal,_xlfn.XLOOKUP($A660,Output_Mac!$A:$A,Output_Mac!T:T,""),
_xlpm.MyAuditVal,_xlfn.XLOOKUP($A660,My_Audit!$A:$A,My_Audit!Q:Q,""),
_xlfn.IFS(_xlpm.MyAuditVal&lt;&gt;"",UPPER(_xlpm.MyAuditVal),_xlpm.MacVal&lt;&gt;"",_xlpm.MacVal,_xlpm.CSVVal&lt;&gt;"",_xlpm.CSVVal
)),"No")</f>
        <v>No</v>
      </c>
      <c r="Q660" s="40" t="str" cm="1">
        <f t="array" ref="Q660">IFERROR(_xlfn.LET(
_xlpm.CSVVal,_xlfn.XLOOKUP($A660,CSV!$A:$A,CSV!AC:AC,""),
_xlpm.MacVal,_xlfn.XLOOKUP($A660,Output_Mac!$A:$A,Output_Mac!U:U,""),
_xlpm.MyAuditVal,_xlfn.XLOOKUP($A660,My_Audit!$A:$A,My_Audit!R:R,""),
_xlfn.IFS(_xlpm.MyAuditVal&lt;&gt;"",UPPER(_xlpm.MyAuditVal),_xlpm.MacVal&lt;&gt;"",_xlpm.MacVal,_xlpm.CSVVal&lt;&gt;"",_xlpm.CSVVal
)),"")</f>
        <v/>
      </c>
      <c r="R660" s="40"/>
      <c r="S660" s="40"/>
      <c r="T660" s="40"/>
      <c r="U660" s="40"/>
      <c r="V660" s="40"/>
      <c r="W660" s="40"/>
      <c r="X660" s="41" t="str">
        <f>_xlfn.LET(
    _xlpm.MacVal, _xlfn.XLOOKUP($A660, Output_Mac!$A:$A, Output_Mac!AB:AB, ""),
    _xlpm.MyAuditVal, _xlfn.XLOOKUP($A660, My_Audit!$A:$A, My_Audit!N:N, ""),
    _xlfn.TEXTJOIN(", ", TRUE, _xlpm.MyAuditVal, _xlpm.MacVal)
)</f>
        <v/>
      </c>
    </row>
    <row r="661" spans="1:24">
      <c r="A661" s="40" t="str">
        <f>_xlfn.TEXTJOIN("",TRUE,Input!$B$2,ROW(My_Audit!A660))</f>
        <v>X660</v>
      </c>
      <c r="B661" s="40" t="str">
        <f>_xlfn.TEXTJOIN("-",TRUE,"ITD",Input!$A$2,A661)</f>
        <v>ITD-X660</v>
      </c>
      <c r="C661" s="40" t="str" cm="1">
        <f t="array" ref="C661">IFERROR(_xlfn.LET(
_xlpm.CSVVal,_xlfn.XLOOKUP($A661,CSV!$A:$A,CSV!B:B,""),
_xlpm.MacVal,_xlfn.XLOOKUP($A661,Output_Mac!$A:$A,Output_Mac!B:B,""),
_xlpm.MyAuditVal,_xlfn.XLOOKUP($A661,My_Audit!$A:$A,My_Audit!B:B,""),
_xlfn.IFS(_xlpm.MyAuditVal&lt;&gt;"",UPPER(_xlpm.MyAuditVal),_xlpm.MacVal&lt;&gt;"",_xlpm.MacVal,_xlpm.CSVVal&lt;&gt;"",_xlpm.CSVVal
)),"")</f>
        <v/>
      </c>
      <c r="D661" s="40" t="str" cm="1">
        <f t="array" ref="D661">IFERROR(_xlfn.LET(
_xlpm.CSVVal,_xlfn.XLOOKUP($A661,CSV!$A:$A,CSV!D:D,""),
_xlpm.MacVal,_xlfn.XLOOKUP($A661,Output_Mac!$A:$A,Output_Mac!C:C,""),
_xlpm.MyAuditVal,_xlfn.XLOOKUP($A661,My_Audit!$A:$A,My_Audit!C:C,""),
_xlfn.IFS(_xlpm.MyAuditVal&lt;&gt;"",_xlpm.MyAuditVal,_xlpm.MacVal&lt;&gt;"",_xlpm.MacVal,_xlpm.CSVVal&lt;&gt;"",_xlpm.CSVVal
)),"")</f>
        <v/>
      </c>
      <c r="E661" s="40" t="str">
        <f>_xlfn.XLOOKUP(A661,My_Audit!A:A,My_Audit!D:D,"")</f>
        <v/>
      </c>
      <c r="F661" s="40" t="str" cm="1">
        <f t="array" ref="F661">IFERROR(_xlfn.LET(
_xlpm.CSVVal,_xlfn.XLOOKUP($A661,CSV!$A:$A,CSV!F:F,""),
_xlpm.MacVal,_xlfn.XLOOKUP($A661,Output_Mac!$A:$A,Output_Mac!E:E,""),
_xlpm.MyAuditVal,_xlfn.XLOOKUP($A661,My_Audit!$A:$A,My_Audit!E:E,""),
_xlfn.IFS(_xlpm.MyAuditVal&lt;&gt;"",_xlpm.MyAuditVal,_xlpm.MacVal&lt;&gt;"",_xlpm.MacVal,_xlpm.CSVVal&lt;&gt;"",_xlpm.CSVVal
)),"")</f>
        <v/>
      </c>
      <c r="G661" s="40" t="str" cm="1">
        <f t="array" ref="G661">IFERROR(_xlfn.LET(
_xlpm.CSVVal,_xlfn.XLOOKUP($A661,CSV!$A:$A,CSV!G:G,""),
_xlpm.MacVal,_xlfn.XLOOKUP($A661,Output_Mac!$A:$A,Output_Mac!F:F,""),
_xlpm.MyAuditVal,_xlfn.XLOOKUP($A661,My_Audit!$A:$A,My_Audit!F:F,""),
_xlfn.IFS(_xlpm.MyAuditVal&lt;&gt;"",_xlpm.MyAuditVal,_xlpm.MacVal&lt;&gt;"",_xlpm.MacVal,_xlpm.CSVVal&lt;&gt;"",PROPER(_xlpm.CSVVal)
)),"")</f>
        <v/>
      </c>
      <c r="H661" s="40" t="str" cm="1">
        <f t="array" ref="H661">IFERROR(_xlfn.LET(
_xlpm.CSVVal,_xlfn.XLOOKUP($A661,CSV!$A:$A,CSV!H:H,""),
_xlpm.MacVal,_xlfn.XLOOKUP($A661,Output_Mac!$A:$A,Output_Mac!H:H,""),
_xlpm.MyAuditVal,_xlfn.XLOOKUP($A661,My_Audit!$A:$A,My_Audit!G:G,""),
_xlfn.IFS(_xlpm.MyAuditVal&lt;&gt;"",_xlpm.MyAuditVal,_xlpm.MacVal&lt;&gt;"",_xlpm.MacVal,_xlpm.CSVVal&lt;&gt;"",_xlpm.CSVVal
)),"")</f>
        <v/>
      </c>
      <c r="I661" s="40" t="str">
        <f>_xlfn.XLOOKUP(A661,Output_Mac!A:A,Output_Mac!I:I,"")</f>
        <v/>
      </c>
      <c r="J661" s="40" t="str" cm="1">
        <f t="array" ref="J661">IFERROR(_xlfn.LET(
_xlpm.CSVVal,_xlfn.XLOOKUP($A661,CSV!$A:$A,CSV!I:I,""),
_xlpm.MacVal,_xlfn.XLOOKUP($A661,Output_Mac!$A:$A,Output_Mac!J:J,""),
_xlpm.MyAuditVal,_xlfn.XLOOKUP($A661,My_Audit!$A:$A,My_Audit!I:I,""),
_xlfn.IFS(_xlpm.MyAuditVal&lt;&gt;"",UPPER(_xlpm.MyAuditVal),_xlpm.MacVal&lt;&gt;"",_xlpm.MacVal,_xlpm.CSVVal&lt;&gt;"",_xlpm.CSVVal
)),"")</f>
        <v/>
      </c>
      <c r="K661" s="40" t="str" cm="1">
        <f t="array" ref="K661">IFERROR(_xlfn.LET(
_xlpm.CSVVal,_xlfn.XLOOKUP($A661,CSV!$A:$A,CSV!K:K,""),
_xlpm.MacVal,_xlfn.XLOOKUP($A661,Output_Mac!$A:$A,Output_Mac!K:K,""),
_xlpm.MyAuditVal,_xlfn.XLOOKUP($A661,My_Audit!$A:$A,My_Audit!J:J,""),
_xlfn.IFS(_xlpm.MyAuditVal&lt;&gt;"",UPPER(_xlpm.MyAuditVal),_xlpm.MacVal&lt;&gt;"",_xlpm.MacVal,_xlpm.CSVVal&lt;&gt;"",_xlpm.CSVVal
)),"")</f>
        <v/>
      </c>
      <c r="L661" s="40" t="str" cm="1">
        <f t="array" ref="L661">IFERROR(_xlfn.LET(
_xlpm.CSVVal,_xlfn.XLOOKUP($A661,CSV!$A:$A,CSV!P:P,""),
_xlpm.MacVal,_xlfn.XLOOKUP($A661,Output_Mac!$A:$A,Output_Mac!L:L,""),
_xlpm.MyAuditVal,_xlfn.XLOOKUP($A661,My_Audit!$A:$A,My_Audit!K:K,""),
_xlfn.IFS(_xlpm.MyAuditVal&lt;&gt;"",UPPER(_xlpm.MyAuditVal),_xlpm.MacVal&lt;&gt;"",_xlpm.MacVal,_xlpm.CSVVal&lt;&gt;"",_xlpm.CSVVal
)),"")</f>
        <v/>
      </c>
      <c r="M661" s="40" t="str" cm="1">
        <f t="array" ref="M661">IFERROR(_xlfn.LET(
_xlpm.CSVVal,_xlfn.XLOOKUP($A661,CSV!$A:$A,CSV!Q:Q,""),
_xlpm.MacVal,_xlfn.XLOOKUP($A661,Output_Mac!$A:$A,Output_Mac!M:M,""),
_xlpm.MyAuditVal,_xlfn.XLOOKUP($A661,My_Audit!$A:$A,My_Audit!L:L,""),
_xlfn.IFS(_xlpm.MyAuditVal&lt;&gt;"",UPPER(_xlpm.MyAuditVal),_xlpm.MacVal&lt;&gt;"",_xlpm.MacVal,_xlpm.CSVVal&lt;&gt;"",_xlpm.CSVVal
)),"")</f>
        <v/>
      </c>
      <c r="N661" s="40"/>
      <c r="O661" s="40" t="str">
        <f>_xlfn.LET(
    _xlpm.CSVVal, _xlfn.XLOOKUP($A661, CSV!$A:$A, CSV!AA:AA, ""),
    _xlpm.MacVal, _xlfn.XLOOKUP($A661, Output_Mac!$A:$A, Output_Mac!S:S, ""),
    _xlpm.MyAuditVal, _xlfn.XLOOKUP($A661, My_Audit!$A:$A, My_Audit!P:P, ""),
    _xlfn.TEXTJOIN(", ", TRUE, _xlpm.MyAuditVal, _xlpm.MacVal, _xlpm.CSVVal)
)</f>
        <v/>
      </c>
      <c r="P661" s="40" t="str" cm="1">
        <f t="array" ref="P661">IFERROR(_xlfn.LET(
_xlpm.CSVVal,_xlfn.XLOOKUP($A661,CSV!$A:$A,CSV!AB:AB,""),
_xlpm.MacVal,_xlfn.XLOOKUP($A661,Output_Mac!$A:$A,Output_Mac!T:T,""),
_xlpm.MyAuditVal,_xlfn.XLOOKUP($A661,My_Audit!$A:$A,My_Audit!Q:Q,""),
_xlfn.IFS(_xlpm.MyAuditVal&lt;&gt;"",UPPER(_xlpm.MyAuditVal),_xlpm.MacVal&lt;&gt;"",_xlpm.MacVal,_xlpm.CSVVal&lt;&gt;"",_xlpm.CSVVal
)),"No")</f>
        <v>No</v>
      </c>
      <c r="Q661" s="40" t="str" cm="1">
        <f t="array" ref="Q661">IFERROR(_xlfn.LET(
_xlpm.CSVVal,_xlfn.XLOOKUP($A661,CSV!$A:$A,CSV!AC:AC,""),
_xlpm.MacVal,_xlfn.XLOOKUP($A661,Output_Mac!$A:$A,Output_Mac!U:U,""),
_xlpm.MyAuditVal,_xlfn.XLOOKUP($A661,My_Audit!$A:$A,My_Audit!R:R,""),
_xlfn.IFS(_xlpm.MyAuditVal&lt;&gt;"",UPPER(_xlpm.MyAuditVal),_xlpm.MacVal&lt;&gt;"",_xlpm.MacVal,_xlpm.CSVVal&lt;&gt;"",_xlpm.CSVVal
)),"")</f>
        <v/>
      </c>
      <c r="R661" s="40"/>
      <c r="S661" s="40"/>
      <c r="T661" s="40"/>
      <c r="U661" s="40"/>
      <c r="V661" s="40"/>
      <c r="W661" s="40"/>
      <c r="X661" s="41" t="str">
        <f>_xlfn.LET(
    _xlpm.MacVal, _xlfn.XLOOKUP($A661, Output_Mac!$A:$A, Output_Mac!AB:AB, ""),
    _xlpm.MyAuditVal, _xlfn.XLOOKUP($A661, My_Audit!$A:$A, My_Audit!N:N, ""),
    _xlfn.TEXTJOIN(", ", TRUE, _xlpm.MyAuditVal, _xlpm.MacVal)
)</f>
        <v/>
      </c>
    </row>
    <row r="662" spans="1:24">
      <c r="A662" s="40" t="str">
        <f>_xlfn.TEXTJOIN("",TRUE,Input!$B$2,ROW(My_Audit!A661))</f>
        <v>X661</v>
      </c>
      <c r="B662" s="40" t="str">
        <f>_xlfn.TEXTJOIN("-",TRUE,"ITD",Input!$A$2,A662)</f>
        <v>ITD-X661</v>
      </c>
      <c r="C662" s="40" t="str" cm="1">
        <f t="array" ref="C662">IFERROR(_xlfn.LET(
_xlpm.CSVVal,_xlfn.XLOOKUP($A662,CSV!$A:$A,CSV!B:B,""),
_xlpm.MacVal,_xlfn.XLOOKUP($A662,Output_Mac!$A:$A,Output_Mac!B:B,""),
_xlpm.MyAuditVal,_xlfn.XLOOKUP($A662,My_Audit!$A:$A,My_Audit!B:B,""),
_xlfn.IFS(_xlpm.MyAuditVal&lt;&gt;"",UPPER(_xlpm.MyAuditVal),_xlpm.MacVal&lt;&gt;"",_xlpm.MacVal,_xlpm.CSVVal&lt;&gt;"",_xlpm.CSVVal
)),"")</f>
        <v/>
      </c>
      <c r="D662" s="40" t="str" cm="1">
        <f t="array" ref="D662">IFERROR(_xlfn.LET(
_xlpm.CSVVal,_xlfn.XLOOKUP($A662,CSV!$A:$A,CSV!D:D,""),
_xlpm.MacVal,_xlfn.XLOOKUP($A662,Output_Mac!$A:$A,Output_Mac!C:C,""),
_xlpm.MyAuditVal,_xlfn.XLOOKUP($A662,My_Audit!$A:$A,My_Audit!C:C,""),
_xlfn.IFS(_xlpm.MyAuditVal&lt;&gt;"",_xlpm.MyAuditVal,_xlpm.MacVal&lt;&gt;"",_xlpm.MacVal,_xlpm.CSVVal&lt;&gt;"",_xlpm.CSVVal
)),"")</f>
        <v/>
      </c>
      <c r="E662" s="40" t="str">
        <f>_xlfn.XLOOKUP(A662,My_Audit!A:A,My_Audit!D:D,"")</f>
        <v/>
      </c>
      <c r="F662" s="40" t="str" cm="1">
        <f t="array" ref="F662">IFERROR(_xlfn.LET(
_xlpm.CSVVal,_xlfn.XLOOKUP($A662,CSV!$A:$A,CSV!F:F,""),
_xlpm.MacVal,_xlfn.XLOOKUP($A662,Output_Mac!$A:$A,Output_Mac!E:E,""),
_xlpm.MyAuditVal,_xlfn.XLOOKUP($A662,My_Audit!$A:$A,My_Audit!E:E,""),
_xlfn.IFS(_xlpm.MyAuditVal&lt;&gt;"",_xlpm.MyAuditVal,_xlpm.MacVal&lt;&gt;"",_xlpm.MacVal,_xlpm.CSVVal&lt;&gt;"",_xlpm.CSVVal
)),"")</f>
        <v/>
      </c>
      <c r="G662" s="40" t="str" cm="1">
        <f t="array" ref="G662">IFERROR(_xlfn.LET(
_xlpm.CSVVal,_xlfn.XLOOKUP($A662,CSV!$A:$A,CSV!G:G,""),
_xlpm.MacVal,_xlfn.XLOOKUP($A662,Output_Mac!$A:$A,Output_Mac!F:F,""),
_xlpm.MyAuditVal,_xlfn.XLOOKUP($A662,My_Audit!$A:$A,My_Audit!F:F,""),
_xlfn.IFS(_xlpm.MyAuditVal&lt;&gt;"",_xlpm.MyAuditVal,_xlpm.MacVal&lt;&gt;"",_xlpm.MacVal,_xlpm.CSVVal&lt;&gt;"",PROPER(_xlpm.CSVVal)
)),"")</f>
        <v/>
      </c>
      <c r="H662" s="40" t="str" cm="1">
        <f t="array" ref="H662">IFERROR(_xlfn.LET(
_xlpm.CSVVal,_xlfn.XLOOKUP($A662,CSV!$A:$A,CSV!H:H,""),
_xlpm.MacVal,_xlfn.XLOOKUP($A662,Output_Mac!$A:$A,Output_Mac!H:H,""),
_xlpm.MyAuditVal,_xlfn.XLOOKUP($A662,My_Audit!$A:$A,My_Audit!G:G,""),
_xlfn.IFS(_xlpm.MyAuditVal&lt;&gt;"",_xlpm.MyAuditVal,_xlpm.MacVal&lt;&gt;"",_xlpm.MacVal,_xlpm.CSVVal&lt;&gt;"",_xlpm.CSVVal
)),"")</f>
        <v/>
      </c>
      <c r="I662" s="40" t="str">
        <f>_xlfn.XLOOKUP(A662,Output_Mac!A:A,Output_Mac!I:I,"")</f>
        <v/>
      </c>
      <c r="J662" s="40" t="str" cm="1">
        <f t="array" ref="J662">IFERROR(_xlfn.LET(
_xlpm.CSVVal,_xlfn.XLOOKUP($A662,CSV!$A:$A,CSV!I:I,""),
_xlpm.MacVal,_xlfn.XLOOKUP($A662,Output_Mac!$A:$A,Output_Mac!J:J,""),
_xlpm.MyAuditVal,_xlfn.XLOOKUP($A662,My_Audit!$A:$A,My_Audit!I:I,""),
_xlfn.IFS(_xlpm.MyAuditVal&lt;&gt;"",UPPER(_xlpm.MyAuditVal),_xlpm.MacVal&lt;&gt;"",_xlpm.MacVal,_xlpm.CSVVal&lt;&gt;"",_xlpm.CSVVal
)),"")</f>
        <v/>
      </c>
      <c r="K662" s="40" t="str" cm="1">
        <f t="array" ref="K662">IFERROR(_xlfn.LET(
_xlpm.CSVVal,_xlfn.XLOOKUP($A662,CSV!$A:$A,CSV!K:K,""),
_xlpm.MacVal,_xlfn.XLOOKUP($A662,Output_Mac!$A:$A,Output_Mac!K:K,""),
_xlpm.MyAuditVal,_xlfn.XLOOKUP($A662,My_Audit!$A:$A,My_Audit!J:J,""),
_xlfn.IFS(_xlpm.MyAuditVal&lt;&gt;"",UPPER(_xlpm.MyAuditVal),_xlpm.MacVal&lt;&gt;"",_xlpm.MacVal,_xlpm.CSVVal&lt;&gt;"",_xlpm.CSVVal
)),"")</f>
        <v/>
      </c>
      <c r="L662" s="40" t="str" cm="1">
        <f t="array" ref="L662">IFERROR(_xlfn.LET(
_xlpm.CSVVal,_xlfn.XLOOKUP($A662,CSV!$A:$A,CSV!P:P,""),
_xlpm.MacVal,_xlfn.XLOOKUP($A662,Output_Mac!$A:$A,Output_Mac!L:L,""),
_xlpm.MyAuditVal,_xlfn.XLOOKUP($A662,My_Audit!$A:$A,My_Audit!K:K,""),
_xlfn.IFS(_xlpm.MyAuditVal&lt;&gt;"",UPPER(_xlpm.MyAuditVal),_xlpm.MacVal&lt;&gt;"",_xlpm.MacVal,_xlpm.CSVVal&lt;&gt;"",_xlpm.CSVVal
)),"")</f>
        <v/>
      </c>
      <c r="M662" s="40" t="str" cm="1">
        <f t="array" ref="M662">IFERROR(_xlfn.LET(
_xlpm.CSVVal,_xlfn.XLOOKUP($A662,CSV!$A:$A,CSV!Q:Q,""),
_xlpm.MacVal,_xlfn.XLOOKUP($A662,Output_Mac!$A:$A,Output_Mac!M:M,""),
_xlpm.MyAuditVal,_xlfn.XLOOKUP($A662,My_Audit!$A:$A,My_Audit!L:L,""),
_xlfn.IFS(_xlpm.MyAuditVal&lt;&gt;"",UPPER(_xlpm.MyAuditVal),_xlpm.MacVal&lt;&gt;"",_xlpm.MacVal,_xlpm.CSVVal&lt;&gt;"",_xlpm.CSVVal
)),"")</f>
        <v/>
      </c>
      <c r="N662" s="40"/>
      <c r="O662" s="40" t="str">
        <f>_xlfn.LET(
    _xlpm.CSVVal, _xlfn.XLOOKUP($A662, CSV!$A:$A, CSV!AA:AA, ""),
    _xlpm.MacVal, _xlfn.XLOOKUP($A662, Output_Mac!$A:$A, Output_Mac!S:S, ""),
    _xlpm.MyAuditVal, _xlfn.XLOOKUP($A662, My_Audit!$A:$A, My_Audit!P:P, ""),
    _xlfn.TEXTJOIN(", ", TRUE, _xlpm.MyAuditVal, _xlpm.MacVal, _xlpm.CSVVal)
)</f>
        <v/>
      </c>
      <c r="P662" s="40" t="str" cm="1">
        <f t="array" ref="P662">IFERROR(_xlfn.LET(
_xlpm.CSVVal,_xlfn.XLOOKUP($A662,CSV!$A:$A,CSV!AB:AB,""),
_xlpm.MacVal,_xlfn.XLOOKUP($A662,Output_Mac!$A:$A,Output_Mac!T:T,""),
_xlpm.MyAuditVal,_xlfn.XLOOKUP($A662,My_Audit!$A:$A,My_Audit!Q:Q,""),
_xlfn.IFS(_xlpm.MyAuditVal&lt;&gt;"",UPPER(_xlpm.MyAuditVal),_xlpm.MacVal&lt;&gt;"",_xlpm.MacVal,_xlpm.CSVVal&lt;&gt;"",_xlpm.CSVVal
)),"No")</f>
        <v>No</v>
      </c>
      <c r="Q662" s="40" t="str" cm="1">
        <f t="array" ref="Q662">IFERROR(_xlfn.LET(
_xlpm.CSVVal,_xlfn.XLOOKUP($A662,CSV!$A:$A,CSV!AC:AC,""),
_xlpm.MacVal,_xlfn.XLOOKUP($A662,Output_Mac!$A:$A,Output_Mac!U:U,""),
_xlpm.MyAuditVal,_xlfn.XLOOKUP($A662,My_Audit!$A:$A,My_Audit!R:R,""),
_xlfn.IFS(_xlpm.MyAuditVal&lt;&gt;"",UPPER(_xlpm.MyAuditVal),_xlpm.MacVal&lt;&gt;"",_xlpm.MacVal,_xlpm.CSVVal&lt;&gt;"",_xlpm.CSVVal
)),"")</f>
        <v/>
      </c>
      <c r="R662" s="40"/>
      <c r="S662" s="40"/>
      <c r="T662" s="40"/>
      <c r="U662" s="40"/>
      <c r="V662" s="40"/>
      <c r="W662" s="40"/>
      <c r="X662" s="41" t="str">
        <f>_xlfn.LET(
    _xlpm.MacVal, _xlfn.XLOOKUP($A662, Output_Mac!$A:$A, Output_Mac!AB:AB, ""),
    _xlpm.MyAuditVal, _xlfn.XLOOKUP($A662, My_Audit!$A:$A, My_Audit!N:N, ""),
    _xlfn.TEXTJOIN(", ", TRUE, _xlpm.MyAuditVal, _xlpm.MacVal)
)</f>
        <v/>
      </c>
    </row>
    <row r="663" spans="1:24">
      <c r="A663" s="40" t="str">
        <f>_xlfn.TEXTJOIN("",TRUE,Input!$B$2,ROW(My_Audit!A662))</f>
        <v>X662</v>
      </c>
      <c r="B663" s="40" t="str">
        <f>_xlfn.TEXTJOIN("-",TRUE,"ITD",Input!$A$2,A663)</f>
        <v>ITD-X662</v>
      </c>
      <c r="C663" s="40" t="str" cm="1">
        <f t="array" ref="C663">IFERROR(_xlfn.LET(
_xlpm.CSVVal,_xlfn.XLOOKUP($A663,CSV!$A:$A,CSV!B:B,""),
_xlpm.MacVal,_xlfn.XLOOKUP($A663,Output_Mac!$A:$A,Output_Mac!B:B,""),
_xlpm.MyAuditVal,_xlfn.XLOOKUP($A663,My_Audit!$A:$A,My_Audit!B:B,""),
_xlfn.IFS(_xlpm.MyAuditVal&lt;&gt;"",UPPER(_xlpm.MyAuditVal),_xlpm.MacVal&lt;&gt;"",_xlpm.MacVal,_xlpm.CSVVal&lt;&gt;"",_xlpm.CSVVal
)),"")</f>
        <v/>
      </c>
      <c r="D663" s="40" t="str" cm="1">
        <f t="array" ref="D663">IFERROR(_xlfn.LET(
_xlpm.CSVVal,_xlfn.XLOOKUP($A663,CSV!$A:$A,CSV!D:D,""),
_xlpm.MacVal,_xlfn.XLOOKUP($A663,Output_Mac!$A:$A,Output_Mac!C:C,""),
_xlpm.MyAuditVal,_xlfn.XLOOKUP($A663,My_Audit!$A:$A,My_Audit!C:C,""),
_xlfn.IFS(_xlpm.MyAuditVal&lt;&gt;"",_xlpm.MyAuditVal,_xlpm.MacVal&lt;&gt;"",_xlpm.MacVal,_xlpm.CSVVal&lt;&gt;"",_xlpm.CSVVal
)),"")</f>
        <v/>
      </c>
      <c r="E663" s="40" t="str">
        <f>_xlfn.XLOOKUP(A663,My_Audit!A:A,My_Audit!D:D,"")</f>
        <v/>
      </c>
      <c r="F663" s="40" t="str" cm="1">
        <f t="array" ref="F663">IFERROR(_xlfn.LET(
_xlpm.CSVVal,_xlfn.XLOOKUP($A663,CSV!$A:$A,CSV!F:F,""),
_xlpm.MacVal,_xlfn.XLOOKUP($A663,Output_Mac!$A:$A,Output_Mac!E:E,""),
_xlpm.MyAuditVal,_xlfn.XLOOKUP($A663,My_Audit!$A:$A,My_Audit!E:E,""),
_xlfn.IFS(_xlpm.MyAuditVal&lt;&gt;"",_xlpm.MyAuditVal,_xlpm.MacVal&lt;&gt;"",_xlpm.MacVal,_xlpm.CSVVal&lt;&gt;"",_xlpm.CSVVal
)),"")</f>
        <v/>
      </c>
      <c r="G663" s="40" t="str" cm="1">
        <f t="array" ref="G663">IFERROR(_xlfn.LET(
_xlpm.CSVVal,_xlfn.XLOOKUP($A663,CSV!$A:$A,CSV!G:G,""),
_xlpm.MacVal,_xlfn.XLOOKUP($A663,Output_Mac!$A:$A,Output_Mac!F:F,""),
_xlpm.MyAuditVal,_xlfn.XLOOKUP($A663,My_Audit!$A:$A,My_Audit!F:F,""),
_xlfn.IFS(_xlpm.MyAuditVal&lt;&gt;"",_xlpm.MyAuditVal,_xlpm.MacVal&lt;&gt;"",_xlpm.MacVal,_xlpm.CSVVal&lt;&gt;"",PROPER(_xlpm.CSVVal)
)),"")</f>
        <v/>
      </c>
      <c r="H663" s="40" t="str" cm="1">
        <f t="array" ref="H663">IFERROR(_xlfn.LET(
_xlpm.CSVVal,_xlfn.XLOOKUP($A663,CSV!$A:$A,CSV!H:H,""),
_xlpm.MacVal,_xlfn.XLOOKUP($A663,Output_Mac!$A:$A,Output_Mac!H:H,""),
_xlpm.MyAuditVal,_xlfn.XLOOKUP($A663,My_Audit!$A:$A,My_Audit!G:G,""),
_xlfn.IFS(_xlpm.MyAuditVal&lt;&gt;"",_xlpm.MyAuditVal,_xlpm.MacVal&lt;&gt;"",_xlpm.MacVal,_xlpm.CSVVal&lt;&gt;"",_xlpm.CSVVal
)),"")</f>
        <v/>
      </c>
      <c r="I663" s="40" t="str">
        <f>_xlfn.XLOOKUP(A663,Output_Mac!A:A,Output_Mac!I:I,"")</f>
        <v/>
      </c>
      <c r="J663" s="40" t="str" cm="1">
        <f t="array" ref="J663">IFERROR(_xlfn.LET(
_xlpm.CSVVal,_xlfn.XLOOKUP($A663,CSV!$A:$A,CSV!I:I,""),
_xlpm.MacVal,_xlfn.XLOOKUP($A663,Output_Mac!$A:$A,Output_Mac!J:J,""),
_xlpm.MyAuditVal,_xlfn.XLOOKUP($A663,My_Audit!$A:$A,My_Audit!I:I,""),
_xlfn.IFS(_xlpm.MyAuditVal&lt;&gt;"",UPPER(_xlpm.MyAuditVal),_xlpm.MacVal&lt;&gt;"",_xlpm.MacVal,_xlpm.CSVVal&lt;&gt;"",_xlpm.CSVVal
)),"")</f>
        <v/>
      </c>
      <c r="K663" s="40" t="str" cm="1">
        <f t="array" ref="K663">IFERROR(_xlfn.LET(
_xlpm.CSVVal,_xlfn.XLOOKUP($A663,CSV!$A:$A,CSV!K:K,""),
_xlpm.MacVal,_xlfn.XLOOKUP($A663,Output_Mac!$A:$A,Output_Mac!K:K,""),
_xlpm.MyAuditVal,_xlfn.XLOOKUP($A663,My_Audit!$A:$A,My_Audit!J:J,""),
_xlfn.IFS(_xlpm.MyAuditVal&lt;&gt;"",UPPER(_xlpm.MyAuditVal),_xlpm.MacVal&lt;&gt;"",_xlpm.MacVal,_xlpm.CSVVal&lt;&gt;"",_xlpm.CSVVal
)),"")</f>
        <v/>
      </c>
      <c r="L663" s="40" t="str" cm="1">
        <f t="array" ref="L663">IFERROR(_xlfn.LET(
_xlpm.CSVVal,_xlfn.XLOOKUP($A663,CSV!$A:$A,CSV!P:P,""),
_xlpm.MacVal,_xlfn.XLOOKUP($A663,Output_Mac!$A:$A,Output_Mac!L:L,""),
_xlpm.MyAuditVal,_xlfn.XLOOKUP($A663,My_Audit!$A:$A,My_Audit!K:K,""),
_xlfn.IFS(_xlpm.MyAuditVal&lt;&gt;"",UPPER(_xlpm.MyAuditVal),_xlpm.MacVal&lt;&gt;"",_xlpm.MacVal,_xlpm.CSVVal&lt;&gt;"",_xlpm.CSVVal
)),"")</f>
        <v/>
      </c>
      <c r="M663" s="40" t="str" cm="1">
        <f t="array" ref="M663">IFERROR(_xlfn.LET(
_xlpm.CSVVal,_xlfn.XLOOKUP($A663,CSV!$A:$A,CSV!Q:Q,""),
_xlpm.MacVal,_xlfn.XLOOKUP($A663,Output_Mac!$A:$A,Output_Mac!M:M,""),
_xlpm.MyAuditVal,_xlfn.XLOOKUP($A663,My_Audit!$A:$A,My_Audit!L:L,""),
_xlfn.IFS(_xlpm.MyAuditVal&lt;&gt;"",UPPER(_xlpm.MyAuditVal),_xlpm.MacVal&lt;&gt;"",_xlpm.MacVal,_xlpm.CSVVal&lt;&gt;"",_xlpm.CSVVal
)),"")</f>
        <v/>
      </c>
      <c r="N663" s="40"/>
      <c r="O663" s="40" t="str">
        <f>_xlfn.LET(
    _xlpm.CSVVal, _xlfn.XLOOKUP($A663, CSV!$A:$A, CSV!AA:AA, ""),
    _xlpm.MacVal, _xlfn.XLOOKUP($A663, Output_Mac!$A:$A, Output_Mac!S:S, ""),
    _xlpm.MyAuditVal, _xlfn.XLOOKUP($A663, My_Audit!$A:$A, My_Audit!P:P, ""),
    _xlfn.TEXTJOIN(", ", TRUE, _xlpm.MyAuditVal, _xlpm.MacVal, _xlpm.CSVVal)
)</f>
        <v/>
      </c>
      <c r="P663" s="40" t="str" cm="1">
        <f t="array" ref="P663">IFERROR(_xlfn.LET(
_xlpm.CSVVal,_xlfn.XLOOKUP($A663,CSV!$A:$A,CSV!AB:AB,""),
_xlpm.MacVal,_xlfn.XLOOKUP($A663,Output_Mac!$A:$A,Output_Mac!T:T,""),
_xlpm.MyAuditVal,_xlfn.XLOOKUP($A663,My_Audit!$A:$A,My_Audit!Q:Q,""),
_xlfn.IFS(_xlpm.MyAuditVal&lt;&gt;"",UPPER(_xlpm.MyAuditVal),_xlpm.MacVal&lt;&gt;"",_xlpm.MacVal,_xlpm.CSVVal&lt;&gt;"",_xlpm.CSVVal
)),"No")</f>
        <v>No</v>
      </c>
      <c r="Q663" s="40" t="str" cm="1">
        <f t="array" ref="Q663">IFERROR(_xlfn.LET(
_xlpm.CSVVal,_xlfn.XLOOKUP($A663,CSV!$A:$A,CSV!AC:AC,""),
_xlpm.MacVal,_xlfn.XLOOKUP($A663,Output_Mac!$A:$A,Output_Mac!U:U,""),
_xlpm.MyAuditVal,_xlfn.XLOOKUP($A663,My_Audit!$A:$A,My_Audit!R:R,""),
_xlfn.IFS(_xlpm.MyAuditVal&lt;&gt;"",UPPER(_xlpm.MyAuditVal),_xlpm.MacVal&lt;&gt;"",_xlpm.MacVal,_xlpm.CSVVal&lt;&gt;"",_xlpm.CSVVal
)),"")</f>
        <v/>
      </c>
      <c r="R663" s="40"/>
      <c r="S663" s="40"/>
      <c r="T663" s="40"/>
      <c r="U663" s="40"/>
      <c r="V663" s="40"/>
      <c r="W663" s="40"/>
      <c r="X663" s="41" t="str">
        <f>_xlfn.LET(
    _xlpm.MacVal, _xlfn.XLOOKUP($A663, Output_Mac!$A:$A, Output_Mac!AB:AB, ""),
    _xlpm.MyAuditVal, _xlfn.XLOOKUP($A663, My_Audit!$A:$A, My_Audit!N:N, ""),
    _xlfn.TEXTJOIN(", ", TRUE, _xlpm.MyAuditVal, _xlpm.MacVal)
)</f>
        <v/>
      </c>
    </row>
    <row r="664" spans="1:24">
      <c r="A664" s="40" t="str">
        <f>_xlfn.TEXTJOIN("",TRUE,Input!$B$2,ROW(My_Audit!A663))</f>
        <v>X663</v>
      </c>
      <c r="B664" s="40" t="str">
        <f>_xlfn.TEXTJOIN("-",TRUE,"ITD",Input!$A$2,A664)</f>
        <v>ITD-X663</v>
      </c>
      <c r="C664" s="40" t="str" cm="1">
        <f t="array" ref="C664">IFERROR(_xlfn.LET(
_xlpm.CSVVal,_xlfn.XLOOKUP($A664,CSV!$A:$A,CSV!B:B,""),
_xlpm.MacVal,_xlfn.XLOOKUP($A664,Output_Mac!$A:$A,Output_Mac!B:B,""),
_xlpm.MyAuditVal,_xlfn.XLOOKUP($A664,My_Audit!$A:$A,My_Audit!B:B,""),
_xlfn.IFS(_xlpm.MyAuditVal&lt;&gt;"",UPPER(_xlpm.MyAuditVal),_xlpm.MacVal&lt;&gt;"",_xlpm.MacVal,_xlpm.CSVVal&lt;&gt;"",_xlpm.CSVVal
)),"")</f>
        <v/>
      </c>
      <c r="D664" s="40" t="str" cm="1">
        <f t="array" ref="D664">IFERROR(_xlfn.LET(
_xlpm.CSVVal,_xlfn.XLOOKUP($A664,CSV!$A:$A,CSV!D:D,""),
_xlpm.MacVal,_xlfn.XLOOKUP($A664,Output_Mac!$A:$A,Output_Mac!C:C,""),
_xlpm.MyAuditVal,_xlfn.XLOOKUP($A664,My_Audit!$A:$A,My_Audit!C:C,""),
_xlfn.IFS(_xlpm.MyAuditVal&lt;&gt;"",_xlpm.MyAuditVal,_xlpm.MacVal&lt;&gt;"",_xlpm.MacVal,_xlpm.CSVVal&lt;&gt;"",_xlpm.CSVVal
)),"")</f>
        <v/>
      </c>
      <c r="E664" s="40" t="str">
        <f>_xlfn.XLOOKUP(A664,My_Audit!A:A,My_Audit!D:D,"")</f>
        <v/>
      </c>
      <c r="F664" s="40" t="str" cm="1">
        <f t="array" ref="F664">IFERROR(_xlfn.LET(
_xlpm.CSVVal,_xlfn.XLOOKUP($A664,CSV!$A:$A,CSV!F:F,""),
_xlpm.MacVal,_xlfn.XLOOKUP($A664,Output_Mac!$A:$A,Output_Mac!E:E,""),
_xlpm.MyAuditVal,_xlfn.XLOOKUP($A664,My_Audit!$A:$A,My_Audit!E:E,""),
_xlfn.IFS(_xlpm.MyAuditVal&lt;&gt;"",_xlpm.MyAuditVal,_xlpm.MacVal&lt;&gt;"",_xlpm.MacVal,_xlpm.CSVVal&lt;&gt;"",_xlpm.CSVVal
)),"")</f>
        <v/>
      </c>
      <c r="G664" s="40" t="str" cm="1">
        <f t="array" ref="G664">IFERROR(_xlfn.LET(
_xlpm.CSVVal,_xlfn.XLOOKUP($A664,CSV!$A:$A,CSV!G:G,""),
_xlpm.MacVal,_xlfn.XLOOKUP($A664,Output_Mac!$A:$A,Output_Mac!F:F,""),
_xlpm.MyAuditVal,_xlfn.XLOOKUP($A664,My_Audit!$A:$A,My_Audit!F:F,""),
_xlfn.IFS(_xlpm.MyAuditVal&lt;&gt;"",_xlpm.MyAuditVal,_xlpm.MacVal&lt;&gt;"",_xlpm.MacVal,_xlpm.CSVVal&lt;&gt;"",PROPER(_xlpm.CSVVal)
)),"")</f>
        <v/>
      </c>
      <c r="H664" s="40" t="str" cm="1">
        <f t="array" ref="H664">IFERROR(_xlfn.LET(
_xlpm.CSVVal,_xlfn.XLOOKUP($A664,CSV!$A:$A,CSV!H:H,""),
_xlpm.MacVal,_xlfn.XLOOKUP($A664,Output_Mac!$A:$A,Output_Mac!H:H,""),
_xlpm.MyAuditVal,_xlfn.XLOOKUP($A664,My_Audit!$A:$A,My_Audit!G:G,""),
_xlfn.IFS(_xlpm.MyAuditVal&lt;&gt;"",_xlpm.MyAuditVal,_xlpm.MacVal&lt;&gt;"",_xlpm.MacVal,_xlpm.CSVVal&lt;&gt;"",_xlpm.CSVVal
)),"")</f>
        <v/>
      </c>
      <c r="I664" s="40" t="str">
        <f>_xlfn.XLOOKUP(A664,Output_Mac!A:A,Output_Mac!I:I,"")</f>
        <v/>
      </c>
      <c r="J664" s="40" t="str" cm="1">
        <f t="array" ref="J664">IFERROR(_xlfn.LET(
_xlpm.CSVVal,_xlfn.XLOOKUP($A664,CSV!$A:$A,CSV!I:I,""),
_xlpm.MacVal,_xlfn.XLOOKUP($A664,Output_Mac!$A:$A,Output_Mac!J:J,""),
_xlpm.MyAuditVal,_xlfn.XLOOKUP($A664,My_Audit!$A:$A,My_Audit!I:I,""),
_xlfn.IFS(_xlpm.MyAuditVal&lt;&gt;"",UPPER(_xlpm.MyAuditVal),_xlpm.MacVal&lt;&gt;"",_xlpm.MacVal,_xlpm.CSVVal&lt;&gt;"",_xlpm.CSVVal
)),"")</f>
        <v/>
      </c>
      <c r="K664" s="40" t="str" cm="1">
        <f t="array" ref="K664">IFERROR(_xlfn.LET(
_xlpm.CSVVal,_xlfn.XLOOKUP($A664,CSV!$A:$A,CSV!K:K,""),
_xlpm.MacVal,_xlfn.XLOOKUP($A664,Output_Mac!$A:$A,Output_Mac!K:K,""),
_xlpm.MyAuditVal,_xlfn.XLOOKUP($A664,My_Audit!$A:$A,My_Audit!J:J,""),
_xlfn.IFS(_xlpm.MyAuditVal&lt;&gt;"",UPPER(_xlpm.MyAuditVal),_xlpm.MacVal&lt;&gt;"",_xlpm.MacVal,_xlpm.CSVVal&lt;&gt;"",_xlpm.CSVVal
)),"")</f>
        <v/>
      </c>
      <c r="L664" s="40" t="str" cm="1">
        <f t="array" ref="L664">IFERROR(_xlfn.LET(
_xlpm.CSVVal,_xlfn.XLOOKUP($A664,CSV!$A:$A,CSV!P:P,""),
_xlpm.MacVal,_xlfn.XLOOKUP($A664,Output_Mac!$A:$A,Output_Mac!L:L,""),
_xlpm.MyAuditVal,_xlfn.XLOOKUP($A664,My_Audit!$A:$A,My_Audit!K:K,""),
_xlfn.IFS(_xlpm.MyAuditVal&lt;&gt;"",UPPER(_xlpm.MyAuditVal),_xlpm.MacVal&lt;&gt;"",_xlpm.MacVal,_xlpm.CSVVal&lt;&gt;"",_xlpm.CSVVal
)),"")</f>
        <v/>
      </c>
      <c r="M664" s="40" t="str" cm="1">
        <f t="array" ref="M664">IFERROR(_xlfn.LET(
_xlpm.CSVVal,_xlfn.XLOOKUP($A664,CSV!$A:$A,CSV!Q:Q,""),
_xlpm.MacVal,_xlfn.XLOOKUP($A664,Output_Mac!$A:$A,Output_Mac!M:M,""),
_xlpm.MyAuditVal,_xlfn.XLOOKUP($A664,My_Audit!$A:$A,My_Audit!L:L,""),
_xlfn.IFS(_xlpm.MyAuditVal&lt;&gt;"",UPPER(_xlpm.MyAuditVal),_xlpm.MacVal&lt;&gt;"",_xlpm.MacVal,_xlpm.CSVVal&lt;&gt;"",_xlpm.CSVVal
)),"")</f>
        <v/>
      </c>
      <c r="N664" s="40"/>
      <c r="O664" s="40" t="str">
        <f>_xlfn.LET(
    _xlpm.CSVVal, _xlfn.XLOOKUP($A664, CSV!$A:$A, CSV!AA:AA, ""),
    _xlpm.MacVal, _xlfn.XLOOKUP($A664, Output_Mac!$A:$A, Output_Mac!S:S, ""),
    _xlpm.MyAuditVal, _xlfn.XLOOKUP($A664, My_Audit!$A:$A, My_Audit!P:P, ""),
    _xlfn.TEXTJOIN(", ", TRUE, _xlpm.MyAuditVal, _xlpm.MacVal, _xlpm.CSVVal)
)</f>
        <v/>
      </c>
      <c r="P664" s="40" t="str" cm="1">
        <f t="array" ref="P664">IFERROR(_xlfn.LET(
_xlpm.CSVVal,_xlfn.XLOOKUP($A664,CSV!$A:$A,CSV!AB:AB,""),
_xlpm.MacVal,_xlfn.XLOOKUP($A664,Output_Mac!$A:$A,Output_Mac!T:T,""),
_xlpm.MyAuditVal,_xlfn.XLOOKUP($A664,My_Audit!$A:$A,My_Audit!Q:Q,""),
_xlfn.IFS(_xlpm.MyAuditVal&lt;&gt;"",UPPER(_xlpm.MyAuditVal),_xlpm.MacVal&lt;&gt;"",_xlpm.MacVal,_xlpm.CSVVal&lt;&gt;"",_xlpm.CSVVal
)),"No")</f>
        <v>No</v>
      </c>
      <c r="Q664" s="40" t="str" cm="1">
        <f t="array" ref="Q664">IFERROR(_xlfn.LET(
_xlpm.CSVVal,_xlfn.XLOOKUP($A664,CSV!$A:$A,CSV!AC:AC,""),
_xlpm.MacVal,_xlfn.XLOOKUP($A664,Output_Mac!$A:$A,Output_Mac!U:U,""),
_xlpm.MyAuditVal,_xlfn.XLOOKUP($A664,My_Audit!$A:$A,My_Audit!R:R,""),
_xlfn.IFS(_xlpm.MyAuditVal&lt;&gt;"",UPPER(_xlpm.MyAuditVal),_xlpm.MacVal&lt;&gt;"",_xlpm.MacVal,_xlpm.CSVVal&lt;&gt;"",_xlpm.CSVVal
)),"")</f>
        <v/>
      </c>
      <c r="R664" s="40"/>
      <c r="S664" s="40"/>
      <c r="T664" s="40"/>
      <c r="U664" s="40"/>
      <c r="V664" s="40"/>
      <c r="W664" s="40"/>
      <c r="X664" s="41" t="str">
        <f>_xlfn.LET(
    _xlpm.MacVal, _xlfn.XLOOKUP($A664, Output_Mac!$A:$A, Output_Mac!AB:AB, ""),
    _xlpm.MyAuditVal, _xlfn.XLOOKUP($A664, My_Audit!$A:$A, My_Audit!N:N, ""),
    _xlfn.TEXTJOIN(", ", TRUE, _xlpm.MyAuditVal, _xlpm.MacVal)
)</f>
        <v/>
      </c>
    </row>
    <row r="665" spans="1:24">
      <c r="A665" s="40" t="str">
        <f>_xlfn.TEXTJOIN("",TRUE,Input!$B$2,ROW(My_Audit!A664))</f>
        <v>X664</v>
      </c>
      <c r="B665" s="40" t="str">
        <f>_xlfn.TEXTJOIN("-",TRUE,"ITD",Input!$A$2,A665)</f>
        <v>ITD-X664</v>
      </c>
      <c r="C665" s="40" t="str" cm="1">
        <f t="array" ref="C665">IFERROR(_xlfn.LET(
_xlpm.CSVVal,_xlfn.XLOOKUP($A665,CSV!$A:$A,CSV!B:B,""),
_xlpm.MacVal,_xlfn.XLOOKUP($A665,Output_Mac!$A:$A,Output_Mac!B:B,""),
_xlpm.MyAuditVal,_xlfn.XLOOKUP($A665,My_Audit!$A:$A,My_Audit!B:B,""),
_xlfn.IFS(_xlpm.MyAuditVal&lt;&gt;"",UPPER(_xlpm.MyAuditVal),_xlpm.MacVal&lt;&gt;"",_xlpm.MacVal,_xlpm.CSVVal&lt;&gt;"",_xlpm.CSVVal
)),"")</f>
        <v/>
      </c>
      <c r="D665" s="40" t="str" cm="1">
        <f t="array" ref="D665">IFERROR(_xlfn.LET(
_xlpm.CSVVal,_xlfn.XLOOKUP($A665,CSV!$A:$A,CSV!D:D,""),
_xlpm.MacVal,_xlfn.XLOOKUP($A665,Output_Mac!$A:$A,Output_Mac!C:C,""),
_xlpm.MyAuditVal,_xlfn.XLOOKUP($A665,My_Audit!$A:$A,My_Audit!C:C,""),
_xlfn.IFS(_xlpm.MyAuditVal&lt;&gt;"",_xlpm.MyAuditVal,_xlpm.MacVal&lt;&gt;"",_xlpm.MacVal,_xlpm.CSVVal&lt;&gt;"",_xlpm.CSVVal
)),"")</f>
        <v/>
      </c>
      <c r="E665" s="40" t="str">
        <f>_xlfn.XLOOKUP(A665,My_Audit!A:A,My_Audit!D:D,"")</f>
        <v/>
      </c>
      <c r="F665" s="40" t="str" cm="1">
        <f t="array" ref="F665">IFERROR(_xlfn.LET(
_xlpm.CSVVal,_xlfn.XLOOKUP($A665,CSV!$A:$A,CSV!F:F,""),
_xlpm.MacVal,_xlfn.XLOOKUP($A665,Output_Mac!$A:$A,Output_Mac!E:E,""),
_xlpm.MyAuditVal,_xlfn.XLOOKUP($A665,My_Audit!$A:$A,My_Audit!E:E,""),
_xlfn.IFS(_xlpm.MyAuditVal&lt;&gt;"",_xlpm.MyAuditVal,_xlpm.MacVal&lt;&gt;"",_xlpm.MacVal,_xlpm.CSVVal&lt;&gt;"",_xlpm.CSVVal
)),"")</f>
        <v/>
      </c>
      <c r="G665" s="40" t="str" cm="1">
        <f t="array" ref="G665">IFERROR(_xlfn.LET(
_xlpm.CSVVal,_xlfn.XLOOKUP($A665,CSV!$A:$A,CSV!G:G,""),
_xlpm.MacVal,_xlfn.XLOOKUP($A665,Output_Mac!$A:$A,Output_Mac!F:F,""),
_xlpm.MyAuditVal,_xlfn.XLOOKUP($A665,My_Audit!$A:$A,My_Audit!F:F,""),
_xlfn.IFS(_xlpm.MyAuditVal&lt;&gt;"",_xlpm.MyAuditVal,_xlpm.MacVal&lt;&gt;"",_xlpm.MacVal,_xlpm.CSVVal&lt;&gt;"",PROPER(_xlpm.CSVVal)
)),"")</f>
        <v/>
      </c>
      <c r="H665" s="40" t="str" cm="1">
        <f t="array" ref="H665">IFERROR(_xlfn.LET(
_xlpm.CSVVal,_xlfn.XLOOKUP($A665,CSV!$A:$A,CSV!H:H,""),
_xlpm.MacVal,_xlfn.XLOOKUP($A665,Output_Mac!$A:$A,Output_Mac!H:H,""),
_xlpm.MyAuditVal,_xlfn.XLOOKUP($A665,My_Audit!$A:$A,My_Audit!G:G,""),
_xlfn.IFS(_xlpm.MyAuditVal&lt;&gt;"",_xlpm.MyAuditVal,_xlpm.MacVal&lt;&gt;"",_xlpm.MacVal,_xlpm.CSVVal&lt;&gt;"",_xlpm.CSVVal
)),"")</f>
        <v/>
      </c>
      <c r="I665" s="40" t="str">
        <f>_xlfn.XLOOKUP(A665,Output_Mac!A:A,Output_Mac!I:I,"")</f>
        <v/>
      </c>
      <c r="J665" s="40" t="str" cm="1">
        <f t="array" ref="J665">IFERROR(_xlfn.LET(
_xlpm.CSVVal,_xlfn.XLOOKUP($A665,CSV!$A:$A,CSV!I:I,""),
_xlpm.MacVal,_xlfn.XLOOKUP($A665,Output_Mac!$A:$A,Output_Mac!J:J,""),
_xlpm.MyAuditVal,_xlfn.XLOOKUP($A665,My_Audit!$A:$A,My_Audit!I:I,""),
_xlfn.IFS(_xlpm.MyAuditVal&lt;&gt;"",UPPER(_xlpm.MyAuditVal),_xlpm.MacVal&lt;&gt;"",_xlpm.MacVal,_xlpm.CSVVal&lt;&gt;"",_xlpm.CSVVal
)),"")</f>
        <v/>
      </c>
      <c r="K665" s="40" t="str" cm="1">
        <f t="array" ref="K665">IFERROR(_xlfn.LET(
_xlpm.CSVVal,_xlfn.XLOOKUP($A665,CSV!$A:$A,CSV!K:K,""),
_xlpm.MacVal,_xlfn.XLOOKUP($A665,Output_Mac!$A:$A,Output_Mac!K:K,""),
_xlpm.MyAuditVal,_xlfn.XLOOKUP($A665,My_Audit!$A:$A,My_Audit!J:J,""),
_xlfn.IFS(_xlpm.MyAuditVal&lt;&gt;"",UPPER(_xlpm.MyAuditVal),_xlpm.MacVal&lt;&gt;"",_xlpm.MacVal,_xlpm.CSVVal&lt;&gt;"",_xlpm.CSVVal
)),"")</f>
        <v/>
      </c>
      <c r="L665" s="40" t="str" cm="1">
        <f t="array" ref="L665">IFERROR(_xlfn.LET(
_xlpm.CSVVal,_xlfn.XLOOKUP($A665,CSV!$A:$A,CSV!P:P,""),
_xlpm.MacVal,_xlfn.XLOOKUP($A665,Output_Mac!$A:$A,Output_Mac!L:L,""),
_xlpm.MyAuditVal,_xlfn.XLOOKUP($A665,My_Audit!$A:$A,My_Audit!K:K,""),
_xlfn.IFS(_xlpm.MyAuditVal&lt;&gt;"",UPPER(_xlpm.MyAuditVal),_xlpm.MacVal&lt;&gt;"",_xlpm.MacVal,_xlpm.CSVVal&lt;&gt;"",_xlpm.CSVVal
)),"")</f>
        <v/>
      </c>
      <c r="M665" s="40" t="str" cm="1">
        <f t="array" ref="M665">IFERROR(_xlfn.LET(
_xlpm.CSVVal,_xlfn.XLOOKUP($A665,CSV!$A:$A,CSV!Q:Q,""),
_xlpm.MacVal,_xlfn.XLOOKUP($A665,Output_Mac!$A:$A,Output_Mac!M:M,""),
_xlpm.MyAuditVal,_xlfn.XLOOKUP($A665,My_Audit!$A:$A,My_Audit!L:L,""),
_xlfn.IFS(_xlpm.MyAuditVal&lt;&gt;"",UPPER(_xlpm.MyAuditVal),_xlpm.MacVal&lt;&gt;"",_xlpm.MacVal,_xlpm.CSVVal&lt;&gt;"",_xlpm.CSVVal
)),"")</f>
        <v/>
      </c>
      <c r="N665" s="40"/>
      <c r="O665" s="40" t="str">
        <f>_xlfn.LET(
    _xlpm.CSVVal, _xlfn.XLOOKUP($A665, CSV!$A:$A, CSV!AA:AA, ""),
    _xlpm.MacVal, _xlfn.XLOOKUP($A665, Output_Mac!$A:$A, Output_Mac!S:S, ""),
    _xlpm.MyAuditVal, _xlfn.XLOOKUP($A665, My_Audit!$A:$A, My_Audit!P:P, ""),
    _xlfn.TEXTJOIN(", ", TRUE, _xlpm.MyAuditVal, _xlpm.MacVal, _xlpm.CSVVal)
)</f>
        <v/>
      </c>
      <c r="P665" s="40" t="str" cm="1">
        <f t="array" ref="P665">IFERROR(_xlfn.LET(
_xlpm.CSVVal,_xlfn.XLOOKUP($A665,CSV!$A:$A,CSV!AB:AB,""),
_xlpm.MacVal,_xlfn.XLOOKUP($A665,Output_Mac!$A:$A,Output_Mac!T:T,""),
_xlpm.MyAuditVal,_xlfn.XLOOKUP($A665,My_Audit!$A:$A,My_Audit!Q:Q,""),
_xlfn.IFS(_xlpm.MyAuditVal&lt;&gt;"",UPPER(_xlpm.MyAuditVal),_xlpm.MacVal&lt;&gt;"",_xlpm.MacVal,_xlpm.CSVVal&lt;&gt;"",_xlpm.CSVVal
)),"No")</f>
        <v>No</v>
      </c>
      <c r="Q665" s="40" t="str" cm="1">
        <f t="array" ref="Q665">IFERROR(_xlfn.LET(
_xlpm.CSVVal,_xlfn.XLOOKUP($A665,CSV!$A:$A,CSV!AC:AC,""),
_xlpm.MacVal,_xlfn.XLOOKUP($A665,Output_Mac!$A:$A,Output_Mac!U:U,""),
_xlpm.MyAuditVal,_xlfn.XLOOKUP($A665,My_Audit!$A:$A,My_Audit!R:R,""),
_xlfn.IFS(_xlpm.MyAuditVal&lt;&gt;"",UPPER(_xlpm.MyAuditVal),_xlpm.MacVal&lt;&gt;"",_xlpm.MacVal,_xlpm.CSVVal&lt;&gt;"",_xlpm.CSVVal
)),"")</f>
        <v/>
      </c>
      <c r="R665" s="40"/>
      <c r="S665" s="40"/>
      <c r="T665" s="40"/>
      <c r="U665" s="40"/>
      <c r="V665" s="40"/>
      <c r="W665" s="40"/>
      <c r="X665" s="41" t="str">
        <f>_xlfn.LET(
    _xlpm.MacVal, _xlfn.XLOOKUP($A665, Output_Mac!$A:$A, Output_Mac!AB:AB, ""),
    _xlpm.MyAuditVal, _xlfn.XLOOKUP($A665, My_Audit!$A:$A, My_Audit!N:N, ""),
    _xlfn.TEXTJOIN(", ", TRUE, _xlpm.MyAuditVal, _xlpm.MacVal)
)</f>
        <v/>
      </c>
    </row>
    <row r="666" spans="1:24">
      <c r="A666" s="40" t="str">
        <f>_xlfn.TEXTJOIN("",TRUE,Input!$B$2,ROW(My_Audit!A665))</f>
        <v>X665</v>
      </c>
      <c r="B666" s="40" t="str">
        <f>_xlfn.TEXTJOIN("-",TRUE,"ITD",Input!$A$2,A666)</f>
        <v>ITD-X665</v>
      </c>
      <c r="C666" s="40" t="str" cm="1">
        <f t="array" ref="C666">IFERROR(_xlfn.LET(
_xlpm.CSVVal,_xlfn.XLOOKUP($A666,CSV!$A:$A,CSV!B:B,""),
_xlpm.MacVal,_xlfn.XLOOKUP($A666,Output_Mac!$A:$A,Output_Mac!B:B,""),
_xlpm.MyAuditVal,_xlfn.XLOOKUP($A666,My_Audit!$A:$A,My_Audit!B:B,""),
_xlfn.IFS(_xlpm.MyAuditVal&lt;&gt;"",UPPER(_xlpm.MyAuditVal),_xlpm.MacVal&lt;&gt;"",_xlpm.MacVal,_xlpm.CSVVal&lt;&gt;"",_xlpm.CSVVal
)),"")</f>
        <v/>
      </c>
      <c r="D666" s="40" t="str" cm="1">
        <f t="array" ref="D666">IFERROR(_xlfn.LET(
_xlpm.CSVVal,_xlfn.XLOOKUP($A666,CSV!$A:$A,CSV!D:D,""),
_xlpm.MacVal,_xlfn.XLOOKUP($A666,Output_Mac!$A:$A,Output_Mac!C:C,""),
_xlpm.MyAuditVal,_xlfn.XLOOKUP($A666,My_Audit!$A:$A,My_Audit!C:C,""),
_xlfn.IFS(_xlpm.MyAuditVal&lt;&gt;"",_xlpm.MyAuditVal,_xlpm.MacVal&lt;&gt;"",_xlpm.MacVal,_xlpm.CSVVal&lt;&gt;"",_xlpm.CSVVal
)),"")</f>
        <v/>
      </c>
      <c r="E666" s="40" t="str">
        <f>_xlfn.XLOOKUP(A666,My_Audit!A:A,My_Audit!D:D,"")</f>
        <v/>
      </c>
      <c r="F666" s="40" t="str" cm="1">
        <f t="array" ref="F666">IFERROR(_xlfn.LET(
_xlpm.CSVVal,_xlfn.XLOOKUP($A666,CSV!$A:$A,CSV!F:F,""),
_xlpm.MacVal,_xlfn.XLOOKUP($A666,Output_Mac!$A:$A,Output_Mac!E:E,""),
_xlpm.MyAuditVal,_xlfn.XLOOKUP($A666,My_Audit!$A:$A,My_Audit!E:E,""),
_xlfn.IFS(_xlpm.MyAuditVal&lt;&gt;"",_xlpm.MyAuditVal,_xlpm.MacVal&lt;&gt;"",_xlpm.MacVal,_xlpm.CSVVal&lt;&gt;"",_xlpm.CSVVal
)),"")</f>
        <v/>
      </c>
      <c r="G666" s="40" t="str" cm="1">
        <f t="array" ref="G666">IFERROR(_xlfn.LET(
_xlpm.CSVVal,_xlfn.XLOOKUP($A666,CSV!$A:$A,CSV!G:G,""),
_xlpm.MacVal,_xlfn.XLOOKUP($A666,Output_Mac!$A:$A,Output_Mac!F:F,""),
_xlpm.MyAuditVal,_xlfn.XLOOKUP($A666,My_Audit!$A:$A,My_Audit!F:F,""),
_xlfn.IFS(_xlpm.MyAuditVal&lt;&gt;"",_xlpm.MyAuditVal,_xlpm.MacVal&lt;&gt;"",_xlpm.MacVal,_xlpm.CSVVal&lt;&gt;"",PROPER(_xlpm.CSVVal)
)),"")</f>
        <v/>
      </c>
      <c r="H666" s="40" t="str" cm="1">
        <f t="array" ref="H666">IFERROR(_xlfn.LET(
_xlpm.CSVVal,_xlfn.XLOOKUP($A666,CSV!$A:$A,CSV!H:H,""),
_xlpm.MacVal,_xlfn.XLOOKUP($A666,Output_Mac!$A:$A,Output_Mac!H:H,""),
_xlpm.MyAuditVal,_xlfn.XLOOKUP($A666,My_Audit!$A:$A,My_Audit!G:G,""),
_xlfn.IFS(_xlpm.MyAuditVal&lt;&gt;"",_xlpm.MyAuditVal,_xlpm.MacVal&lt;&gt;"",_xlpm.MacVal,_xlpm.CSVVal&lt;&gt;"",_xlpm.CSVVal
)),"")</f>
        <v/>
      </c>
      <c r="I666" s="40" t="str">
        <f>_xlfn.XLOOKUP(A666,Output_Mac!A:A,Output_Mac!I:I,"")</f>
        <v/>
      </c>
      <c r="J666" s="40" t="str" cm="1">
        <f t="array" ref="J666">IFERROR(_xlfn.LET(
_xlpm.CSVVal,_xlfn.XLOOKUP($A666,CSV!$A:$A,CSV!I:I,""),
_xlpm.MacVal,_xlfn.XLOOKUP($A666,Output_Mac!$A:$A,Output_Mac!J:J,""),
_xlpm.MyAuditVal,_xlfn.XLOOKUP($A666,My_Audit!$A:$A,My_Audit!I:I,""),
_xlfn.IFS(_xlpm.MyAuditVal&lt;&gt;"",UPPER(_xlpm.MyAuditVal),_xlpm.MacVal&lt;&gt;"",_xlpm.MacVal,_xlpm.CSVVal&lt;&gt;"",_xlpm.CSVVal
)),"")</f>
        <v/>
      </c>
      <c r="K666" s="40" t="str" cm="1">
        <f t="array" ref="K666">IFERROR(_xlfn.LET(
_xlpm.CSVVal,_xlfn.XLOOKUP($A666,CSV!$A:$A,CSV!K:K,""),
_xlpm.MacVal,_xlfn.XLOOKUP($A666,Output_Mac!$A:$A,Output_Mac!K:K,""),
_xlpm.MyAuditVal,_xlfn.XLOOKUP($A666,My_Audit!$A:$A,My_Audit!J:J,""),
_xlfn.IFS(_xlpm.MyAuditVal&lt;&gt;"",UPPER(_xlpm.MyAuditVal),_xlpm.MacVal&lt;&gt;"",_xlpm.MacVal,_xlpm.CSVVal&lt;&gt;"",_xlpm.CSVVal
)),"")</f>
        <v/>
      </c>
      <c r="L666" s="40" t="str" cm="1">
        <f t="array" ref="L666">IFERROR(_xlfn.LET(
_xlpm.CSVVal,_xlfn.XLOOKUP($A666,CSV!$A:$A,CSV!P:P,""),
_xlpm.MacVal,_xlfn.XLOOKUP($A666,Output_Mac!$A:$A,Output_Mac!L:L,""),
_xlpm.MyAuditVal,_xlfn.XLOOKUP($A666,My_Audit!$A:$A,My_Audit!K:K,""),
_xlfn.IFS(_xlpm.MyAuditVal&lt;&gt;"",UPPER(_xlpm.MyAuditVal),_xlpm.MacVal&lt;&gt;"",_xlpm.MacVal,_xlpm.CSVVal&lt;&gt;"",_xlpm.CSVVal
)),"")</f>
        <v/>
      </c>
      <c r="M666" s="40" t="str" cm="1">
        <f t="array" ref="M666">IFERROR(_xlfn.LET(
_xlpm.CSVVal,_xlfn.XLOOKUP($A666,CSV!$A:$A,CSV!Q:Q,""),
_xlpm.MacVal,_xlfn.XLOOKUP($A666,Output_Mac!$A:$A,Output_Mac!M:M,""),
_xlpm.MyAuditVal,_xlfn.XLOOKUP($A666,My_Audit!$A:$A,My_Audit!L:L,""),
_xlfn.IFS(_xlpm.MyAuditVal&lt;&gt;"",UPPER(_xlpm.MyAuditVal),_xlpm.MacVal&lt;&gt;"",_xlpm.MacVal,_xlpm.CSVVal&lt;&gt;"",_xlpm.CSVVal
)),"")</f>
        <v/>
      </c>
      <c r="N666" s="40"/>
      <c r="O666" s="40" t="str">
        <f>_xlfn.LET(
    _xlpm.CSVVal, _xlfn.XLOOKUP($A666, CSV!$A:$A, CSV!AA:AA, ""),
    _xlpm.MacVal, _xlfn.XLOOKUP($A666, Output_Mac!$A:$A, Output_Mac!S:S, ""),
    _xlpm.MyAuditVal, _xlfn.XLOOKUP($A666, My_Audit!$A:$A, My_Audit!P:P, ""),
    _xlfn.TEXTJOIN(", ", TRUE, _xlpm.MyAuditVal, _xlpm.MacVal, _xlpm.CSVVal)
)</f>
        <v/>
      </c>
      <c r="P666" s="40" t="str" cm="1">
        <f t="array" ref="P666">IFERROR(_xlfn.LET(
_xlpm.CSVVal,_xlfn.XLOOKUP($A666,CSV!$A:$A,CSV!AB:AB,""),
_xlpm.MacVal,_xlfn.XLOOKUP($A666,Output_Mac!$A:$A,Output_Mac!T:T,""),
_xlpm.MyAuditVal,_xlfn.XLOOKUP($A666,My_Audit!$A:$A,My_Audit!Q:Q,""),
_xlfn.IFS(_xlpm.MyAuditVal&lt;&gt;"",UPPER(_xlpm.MyAuditVal),_xlpm.MacVal&lt;&gt;"",_xlpm.MacVal,_xlpm.CSVVal&lt;&gt;"",_xlpm.CSVVal
)),"No")</f>
        <v>No</v>
      </c>
      <c r="Q666" s="40" t="str" cm="1">
        <f t="array" ref="Q666">IFERROR(_xlfn.LET(
_xlpm.CSVVal,_xlfn.XLOOKUP($A666,CSV!$A:$A,CSV!AC:AC,""),
_xlpm.MacVal,_xlfn.XLOOKUP($A666,Output_Mac!$A:$A,Output_Mac!U:U,""),
_xlpm.MyAuditVal,_xlfn.XLOOKUP($A666,My_Audit!$A:$A,My_Audit!R:R,""),
_xlfn.IFS(_xlpm.MyAuditVal&lt;&gt;"",UPPER(_xlpm.MyAuditVal),_xlpm.MacVal&lt;&gt;"",_xlpm.MacVal,_xlpm.CSVVal&lt;&gt;"",_xlpm.CSVVal
)),"")</f>
        <v/>
      </c>
      <c r="R666" s="40"/>
      <c r="S666" s="40"/>
      <c r="T666" s="40"/>
      <c r="U666" s="40"/>
      <c r="V666" s="40"/>
      <c r="W666" s="40"/>
      <c r="X666" s="41" t="str">
        <f>_xlfn.LET(
    _xlpm.MacVal, _xlfn.XLOOKUP($A666, Output_Mac!$A:$A, Output_Mac!AB:AB, ""),
    _xlpm.MyAuditVal, _xlfn.XLOOKUP($A666, My_Audit!$A:$A, My_Audit!N:N, ""),
    _xlfn.TEXTJOIN(", ", TRUE, _xlpm.MyAuditVal, _xlpm.MacVal)
)</f>
        <v/>
      </c>
    </row>
    <row r="667" spans="1:24">
      <c r="A667" s="40" t="str">
        <f>_xlfn.TEXTJOIN("",TRUE,Input!$B$2,ROW(My_Audit!A666))</f>
        <v>X666</v>
      </c>
      <c r="B667" s="40" t="str">
        <f>_xlfn.TEXTJOIN("-",TRUE,"ITD",Input!$A$2,A667)</f>
        <v>ITD-X666</v>
      </c>
      <c r="C667" s="40" t="str" cm="1">
        <f t="array" ref="C667">IFERROR(_xlfn.LET(
_xlpm.CSVVal,_xlfn.XLOOKUP($A667,CSV!$A:$A,CSV!B:B,""),
_xlpm.MacVal,_xlfn.XLOOKUP($A667,Output_Mac!$A:$A,Output_Mac!B:B,""),
_xlpm.MyAuditVal,_xlfn.XLOOKUP($A667,My_Audit!$A:$A,My_Audit!B:B,""),
_xlfn.IFS(_xlpm.MyAuditVal&lt;&gt;"",UPPER(_xlpm.MyAuditVal),_xlpm.MacVal&lt;&gt;"",_xlpm.MacVal,_xlpm.CSVVal&lt;&gt;"",_xlpm.CSVVal
)),"")</f>
        <v/>
      </c>
      <c r="D667" s="40" t="str" cm="1">
        <f t="array" ref="D667">IFERROR(_xlfn.LET(
_xlpm.CSVVal,_xlfn.XLOOKUP($A667,CSV!$A:$A,CSV!D:D,""),
_xlpm.MacVal,_xlfn.XLOOKUP($A667,Output_Mac!$A:$A,Output_Mac!C:C,""),
_xlpm.MyAuditVal,_xlfn.XLOOKUP($A667,My_Audit!$A:$A,My_Audit!C:C,""),
_xlfn.IFS(_xlpm.MyAuditVal&lt;&gt;"",_xlpm.MyAuditVal,_xlpm.MacVal&lt;&gt;"",_xlpm.MacVal,_xlpm.CSVVal&lt;&gt;"",_xlpm.CSVVal
)),"")</f>
        <v/>
      </c>
      <c r="E667" s="40" t="str">
        <f>_xlfn.XLOOKUP(A667,My_Audit!A:A,My_Audit!D:D,"")</f>
        <v/>
      </c>
      <c r="F667" s="40" t="str" cm="1">
        <f t="array" ref="F667">IFERROR(_xlfn.LET(
_xlpm.CSVVal,_xlfn.XLOOKUP($A667,CSV!$A:$A,CSV!F:F,""),
_xlpm.MacVal,_xlfn.XLOOKUP($A667,Output_Mac!$A:$A,Output_Mac!E:E,""),
_xlpm.MyAuditVal,_xlfn.XLOOKUP($A667,My_Audit!$A:$A,My_Audit!E:E,""),
_xlfn.IFS(_xlpm.MyAuditVal&lt;&gt;"",_xlpm.MyAuditVal,_xlpm.MacVal&lt;&gt;"",_xlpm.MacVal,_xlpm.CSVVal&lt;&gt;"",_xlpm.CSVVal
)),"")</f>
        <v/>
      </c>
      <c r="G667" s="40" t="str" cm="1">
        <f t="array" ref="G667">IFERROR(_xlfn.LET(
_xlpm.CSVVal,_xlfn.XLOOKUP($A667,CSV!$A:$A,CSV!G:G,""),
_xlpm.MacVal,_xlfn.XLOOKUP($A667,Output_Mac!$A:$A,Output_Mac!F:F,""),
_xlpm.MyAuditVal,_xlfn.XLOOKUP($A667,My_Audit!$A:$A,My_Audit!F:F,""),
_xlfn.IFS(_xlpm.MyAuditVal&lt;&gt;"",_xlpm.MyAuditVal,_xlpm.MacVal&lt;&gt;"",_xlpm.MacVal,_xlpm.CSVVal&lt;&gt;"",PROPER(_xlpm.CSVVal)
)),"")</f>
        <v/>
      </c>
      <c r="H667" s="40" t="str" cm="1">
        <f t="array" ref="H667">IFERROR(_xlfn.LET(
_xlpm.CSVVal,_xlfn.XLOOKUP($A667,CSV!$A:$A,CSV!H:H,""),
_xlpm.MacVal,_xlfn.XLOOKUP($A667,Output_Mac!$A:$A,Output_Mac!H:H,""),
_xlpm.MyAuditVal,_xlfn.XLOOKUP($A667,My_Audit!$A:$A,My_Audit!G:G,""),
_xlfn.IFS(_xlpm.MyAuditVal&lt;&gt;"",_xlpm.MyAuditVal,_xlpm.MacVal&lt;&gt;"",_xlpm.MacVal,_xlpm.CSVVal&lt;&gt;"",_xlpm.CSVVal
)),"")</f>
        <v/>
      </c>
      <c r="I667" s="40" t="str">
        <f>_xlfn.XLOOKUP(A667,Output_Mac!A:A,Output_Mac!I:I,"")</f>
        <v/>
      </c>
      <c r="J667" s="40" t="str" cm="1">
        <f t="array" ref="J667">IFERROR(_xlfn.LET(
_xlpm.CSVVal,_xlfn.XLOOKUP($A667,CSV!$A:$A,CSV!I:I,""),
_xlpm.MacVal,_xlfn.XLOOKUP($A667,Output_Mac!$A:$A,Output_Mac!J:J,""),
_xlpm.MyAuditVal,_xlfn.XLOOKUP($A667,My_Audit!$A:$A,My_Audit!I:I,""),
_xlfn.IFS(_xlpm.MyAuditVal&lt;&gt;"",UPPER(_xlpm.MyAuditVal),_xlpm.MacVal&lt;&gt;"",_xlpm.MacVal,_xlpm.CSVVal&lt;&gt;"",_xlpm.CSVVal
)),"")</f>
        <v/>
      </c>
      <c r="K667" s="40" t="str" cm="1">
        <f t="array" ref="K667">IFERROR(_xlfn.LET(
_xlpm.CSVVal,_xlfn.XLOOKUP($A667,CSV!$A:$A,CSV!K:K,""),
_xlpm.MacVal,_xlfn.XLOOKUP($A667,Output_Mac!$A:$A,Output_Mac!K:K,""),
_xlpm.MyAuditVal,_xlfn.XLOOKUP($A667,My_Audit!$A:$A,My_Audit!J:J,""),
_xlfn.IFS(_xlpm.MyAuditVal&lt;&gt;"",UPPER(_xlpm.MyAuditVal),_xlpm.MacVal&lt;&gt;"",_xlpm.MacVal,_xlpm.CSVVal&lt;&gt;"",_xlpm.CSVVal
)),"")</f>
        <v/>
      </c>
      <c r="L667" s="40" t="str" cm="1">
        <f t="array" ref="L667">IFERROR(_xlfn.LET(
_xlpm.CSVVal,_xlfn.XLOOKUP($A667,CSV!$A:$A,CSV!P:P,""),
_xlpm.MacVal,_xlfn.XLOOKUP($A667,Output_Mac!$A:$A,Output_Mac!L:L,""),
_xlpm.MyAuditVal,_xlfn.XLOOKUP($A667,My_Audit!$A:$A,My_Audit!K:K,""),
_xlfn.IFS(_xlpm.MyAuditVal&lt;&gt;"",UPPER(_xlpm.MyAuditVal),_xlpm.MacVal&lt;&gt;"",_xlpm.MacVal,_xlpm.CSVVal&lt;&gt;"",_xlpm.CSVVal
)),"")</f>
        <v/>
      </c>
      <c r="M667" s="40" t="str" cm="1">
        <f t="array" ref="M667">IFERROR(_xlfn.LET(
_xlpm.CSVVal,_xlfn.XLOOKUP($A667,CSV!$A:$A,CSV!Q:Q,""),
_xlpm.MacVal,_xlfn.XLOOKUP($A667,Output_Mac!$A:$A,Output_Mac!M:M,""),
_xlpm.MyAuditVal,_xlfn.XLOOKUP($A667,My_Audit!$A:$A,My_Audit!L:L,""),
_xlfn.IFS(_xlpm.MyAuditVal&lt;&gt;"",UPPER(_xlpm.MyAuditVal),_xlpm.MacVal&lt;&gt;"",_xlpm.MacVal,_xlpm.CSVVal&lt;&gt;"",_xlpm.CSVVal
)),"")</f>
        <v/>
      </c>
      <c r="N667" s="40"/>
      <c r="O667" s="40" t="str">
        <f>_xlfn.LET(
    _xlpm.CSVVal, _xlfn.XLOOKUP($A667, CSV!$A:$A, CSV!AA:AA, ""),
    _xlpm.MacVal, _xlfn.XLOOKUP($A667, Output_Mac!$A:$A, Output_Mac!S:S, ""),
    _xlpm.MyAuditVal, _xlfn.XLOOKUP($A667, My_Audit!$A:$A, My_Audit!P:P, ""),
    _xlfn.TEXTJOIN(", ", TRUE, _xlpm.MyAuditVal, _xlpm.MacVal, _xlpm.CSVVal)
)</f>
        <v/>
      </c>
      <c r="P667" s="40" t="str" cm="1">
        <f t="array" ref="P667">IFERROR(_xlfn.LET(
_xlpm.CSVVal,_xlfn.XLOOKUP($A667,CSV!$A:$A,CSV!AB:AB,""),
_xlpm.MacVal,_xlfn.XLOOKUP($A667,Output_Mac!$A:$A,Output_Mac!T:T,""),
_xlpm.MyAuditVal,_xlfn.XLOOKUP($A667,My_Audit!$A:$A,My_Audit!Q:Q,""),
_xlfn.IFS(_xlpm.MyAuditVal&lt;&gt;"",UPPER(_xlpm.MyAuditVal),_xlpm.MacVal&lt;&gt;"",_xlpm.MacVal,_xlpm.CSVVal&lt;&gt;"",_xlpm.CSVVal
)),"No")</f>
        <v>No</v>
      </c>
      <c r="Q667" s="40" t="str" cm="1">
        <f t="array" ref="Q667">IFERROR(_xlfn.LET(
_xlpm.CSVVal,_xlfn.XLOOKUP($A667,CSV!$A:$A,CSV!AC:AC,""),
_xlpm.MacVal,_xlfn.XLOOKUP($A667,Output_Mac!$A:$A,Output_Mac!U:U,""),
_xlpm.MyAuditVal,_xlfn.XLOOKUP($A667,My_Audit!$A:$A,My_Audit!R:R,""),
_xlfn.IFS(_xlpm.MyAuditVal&lt;&gt;"",UPPER(_xlpm.MyAuditVal),_xlpm.MacVal&lt;&gt;"",_xlpm.MacVal,_xlpm.CSVVal&lt;&gt;"",_xlpm.CSVVal
)),"")</f>
        <v/>
      </c>
      <c r="R667" s="40"/>
      <c r="S667" s="40"/>
      <c r="T667" s="40"/>
      <c r="U667" s="40"/>
      <c r="V667" s="40"/>
      <c r="W667" s="40"/>
      <c r="X667" s="41" t="str">
        <f>_xlfn.LET(
    _xlpm.MacVal, _xlfn.XLOOKUP($A667, Output_Mac!$A:$A, Output_Mac!AB:AB, ""),
    _xlpm.MyAuditVal, _xlfn.XLOOKUP($A667, My_Audit!$A:$A, My_Audit!N:N, ""),
    _xlfn.TEXTJOIN(", ", TRUE, _xlpm.MyAuditVal, _xlpm.MacVal)
)</f>
        <v/>
      </c>
    </row>
    <row r="668" spans="1:24">
      <c r="A668" s="40" t="str">
        <f>_xlfn.TEXTJOIN("",TRUE,Input!$B$2,ROW(My_Audit!A667))</f>
        <v>X667</v>
      </c>
      <c r="B668" s="40" t="str">
        <f>_xlfn.TEXTJOIN("-",TRUE,"ITD",Input!$A$2,A668)</f>
        <v>ITD-X667</v>
      </c>
      <c r="C668" s="40" t="str" cm="1">
        <f t="array" ref="C668">IFERROR(_xlfn.LET(
_xlpm.CSVVal,_xlfn.XLOOKUP($A668,CSV!$A:$A,CSV!B:B,""),
_xlpm.MacVal,_xlfn.XLOOKUP($A668,Output_Mac!$A:$A,Output_Mac!B:B,""),
_xlpm.MyAuditVal,_xlfn.XLOOKUP($A668,My_Audit!$A:$A,My_Audit!B:B,""),
_xlfn.IFS(_xlpm.MyAuditVal&lt;&gt;"",UPPER(_xlpm.MyAuditVal),_xlpm.MacVal&lt;&gt;"",_xlpm.MacVal,_xlpm.CSVVal&lt;&gt;"",_xlpm.CSVVal
)),"")</f>
        <v/>
      </c>
      <c r="D668" s="40" t="str" cm="1">
        <f t="array" ref="D668">IFERROR(_xlfn.LET(
_xlpm.CSVVal,_xlfn.XLOOKUP($A668,CSV!$A:$A,CSV!D:D,""),
_xlpm.MacVal,_xlfn.XLOOKUP($A668,Output_Mac!$A:$A,Output_Mac!C:C,""),
_xlpm.MyAuditVal,_xlfn.XLOOKUP($A668,My_Audit!$A:$A,My_Audit!C:C,""),
_xlfn.IFS(_xlpm.MyAuditVal&lt;&gt;"",_xlpm.MyAuditVal,_xlpm.MacVal&lt;&gt;"",_xlpm.MacVal,_xlpm.CSVVal&lt;&gt;"",_xlpm.CSVVal
)),"")</f>
        <v/>
      </c>
      <c r="E668" s="40" t="str">
        <f>_xlfn.XLOOKUP(A668,My_Audit!A:A,My_Audit!D:D,"")</f>
        <v/>
      </c>
      <c r="F668" s="40" t="str" cm="1">
        <f t="array" ref="F668">IFERROR(_xlfn.LET(
_xlpm.CSVVal,_xlfn.XLOOKUP($A668,CSV!$A:$A,CSV!F:F,""),
_xlpm.MacVal,_xlfn.XLOOKUP($A668,Output_Mac!$A:$A,Output_Mac!E:E,""),
_xlpm.MyAuditVal,_xlfn.XLOOKUP($A668,My_Audit!$A:$A,My_Audit!E:E,""),
_xlfn.IFS(_xlpm.MyAuditVal&lt;&gt;"",_xlpm.MyAuditVal,_xlpm.MacVal&lt;&gt;"",_xlpm.MacVal,_xlpm.CSVVal&lt;&gt;"",_xlpm.CSVVal
)),"")</f>
        <v/>
      </c>
      <c r="G668" s="40" t="str" cm="1">
        <f t="array" ref="G668">IFERROR(_xlfn.LET(
_xlpm.CSVVal,_xlfn.XLOOKUP($A668,CSV!$A:$A,CSV!G:G,""),
_xlpm.MacVal,_xlfn.XLOOKUP($A668,Output_Mac!$A:$A,Output_Mac!F:F,""),
_xlpm.MyAuditVal,_xlfn.XLOOKUP($A668,My_Audit!$A:$A,My_Audit!F:F,""),
_xlfn.IFS(_xlpm.MyAuditVal&lt;&gt;"",_xlpm.MyAuditVal,_xlpm.MacVal&lt;&gt;"",_xlpm.MacVal,_xlpm.CSVVal&lt;&gt;"",PROPER(_xlpm.CSVVal)
)),"")</f>
        <v/>
      </c>
      <c r="H668" s="40" t="str" cm="1">
        <f t="array" ref="H668">IFERROR(_xlfn.LET(
_xlpm.CSVVal,_xlfn.XLOOKUP($A668,CSV!$A:$A,CSV!H:H,""),
_xlpm.MacVal,_xlfn.XLOOKUP($A668,Output_Mac!$A:$A,Output_Mac!H:H,""),
_xlpm.MyAuditVal,_xlfn.XLOOKUP($A668,My_Audit!$A:$A,My_Audit!G:G,""),
_xlfn.IFS(_xlpm.MyAuditVal&lt;&gt;"",_xlpm.MyAuditVal,_xlpm.MacVal&lt;&gt;"",_xlpm.MacVal,_xlpm.CSVVal&lt;&gt;"",_xlpm.CSVVal
)),"")</f>
        <v/>
      </c>
      <c r="I668" s="40" t="str">
        <f>_xlfn.XLOOKUP(A668,Output_Mac!A:A,Output_Mac!I:I,"")</f>
        <v/>
      </c>
      <c r="J668" s="40" t="str" cm="1">
        <f t="array" ref="J668">IFERROR(_xlfn.LET(
_xlpm.CSVVal,_xlfn.XLOOKUP($A668,CSV!$A:$A,CSV!I:I,""),
_xlpm.MacVal,_xlfn.XLOOKUP($A668,Output_Mac!$A:$A,Output_Mac!J:J,""),
_xlpm.MyAuditVal,_xlfn.XLOOKUP($A668,My_Audit!$A:$A,My_Audit!I:I,""),
_xlfn.IFS(_xlpm.MyAuditVal&lt;&gt;"",UPPER(_xlpm.MyAuditVal),_xlpm.MacVal&lt;&gt;"",_xlpm.MacVal,_xlpm.CSVVal&lt;&gt;"",_xlpm.CSVVal
)),"")</f>
        <v/>
      </c>
      <c r="K668" s="40" t="str" cm="1">
        <f t="array" ref="K668">IFERROR(_xlfn.LET(
_xlpm.CSVVal,_xlfn.XLOOKUP($A668,CSV!$A:$A,CSV!K:K,""),
_xlpm.MacVal,_xlfn.XLOOKUP($A668,Output_Mac!$A:$A,Output_Mac!K:K,""),
_xlpm.MyAuditVal,_xlfn.XLOOKUP($A668,My_Audit!$A:$A,My_Audit!J:J,""),
_xlfn.IFS(_xlpm.MyAuditVal&lt;&gt;"",UPPER(_xlpm.MyAuditVal),_xlpm.MacVal&lt;&gt;"",_xlpm.MacVal,_xlpm.CSVVal&lt;&gt;"",_xlpm.CSVVal
)),"")</f>
        <v/>
      </c>
      <c r="L668" s="40" t="str" cm="1">
        <f t="array" ref="L668">IFERROR(_xlfn.LET(
_xlpm.CSVVal,_xlfn.XLOOKUP($A668,CSV!$A:$A,CSV!P:P,""),
_xlpm.MacVal,_xlfn.XLOOKUP($A668,Output_Mac!$A:$A,Output_Mac!L:L,""),
_xlpm.MyAuditVal,_xlfn.XLOOKUP($A668,My_Audit!$A:$A,My_Audit!K:K,""),
_xlfn.IFS(_xlpm.MyAuditVal&lt;&gt;"",UPPER(_xlpm.MyAuditVal),_xlpm.MacVal&lt;&gt;"",_xlpm.MacVal,_xlpm.CSVVal&lt;&gt;"",_xlpm.CSVVal
)),"")</f>
        <v/>
      </c>
      <c r="M668" s="40" t="str" cm="1">
        <f t="array" ref="M668">IFERROR(_xlfn.LET(
_xlpm.CSVVal,_xlfn.XLOOKUP($A668,CSV!$A:$A,CSV!Q:Q,""),
_xlpm.MacVal,_xlfn.XLOOKUP($A668,Output_Mac!$A:$A,Output_Mac!M:M,""),
_xlpm.MyAuditVal,_xlfn.XLOOKUP($A668,My_Audit!$A:$A,My_Audit!L:L,""),
_xlfn.IFS(_xlpm.MyAuditVal&lt;&gt;"",UPPER(_xlpm.MyAuditVal),_xlpm.MacVal&lt;&gt;"",_xlpm.MacVal,_xlpm.CSVVal&lt;&gt;"",_xlpm.CSVVal
)),"")</f>
        <v/>
      </c>
      <c r="N668" s="40"/>
      <c r="O668" s="40" t="str">
        <f>_xlfn.LET(
    _xlpm.CSVVal, _xlfn.XLOOKUP($A668, CSV!$A:$A, CSV!AA:AA, ""),
    _xlpm.MacVal, _xlfn.XLOOKUP($A668, Output_Mac!$A:$A, Output_Mac!S:S, ""),
    _xlpm.MyAuditVal, _xlfn.XLOOKUP($A668, My_Audit!$A:$A, My_Audit!P:P, ""),
    _xlfn.TEXTJOIN(", ", TRUE, _xlpm.MyAuditVal, _xlpm.MacVal, _xlpm.CSVVal)
)</f>
        <v/>
      </c>
      <c r="P668" s="40" t="str" cm="1">
        <f t="array" ref="P668">IFERROR(_xlfn.LET(
_xlpm.CSVVal,_xlfn.XLOOKUP($A668,CSV!$A:$A,CSV!AB:AB,""),
_xlpm.MacVal,_xlfn.XLOOKUP($A668,Output_Mac!$A:$A,Output_Mac!T:T,""),
_xlpm.MyAuditVal,_xlfn.XLOOKUP($A668,My_Audit!$A:$A,My_Audit!Q:Q,""),
_xlfn.IFS(_xlpm.MyAuditVal&lt;&gt;"",UPPER(_xlpm.MyAuditVal),_xlpm.MacVal&lt;&gt;"",_xlpm.MacVal,_xlpm.CSVVal&lt;&gt;"",_xlpm.CSVVal
)),"No")</f>
        <v>No</v>
      </c>
      <c r="Q668" s="40" t="str" cm="1">
        <f t="array" ref="Q668">IFERROR(_xlfn.LET(
_xlpm.CSVVal,_xlfn.XLOOKUP($A668,CSV!$A:$A,CSV!AC:AC,""),
_xlpm.MacVal,_xlfn.XLOOKUP($A668,Output_Mac!$A:$A,Output_Mac!U:U,""),
_xlpm.MyAuditVal,_xlfn.XLOOKUP($A668,My_Audit!$A:$A,My_Audit!R:R,""),
_xlfn.IFS(_xlpm.MyAuditVal&lt;&gt;"",UPPER(_xlpm.MyAuditVal),_xlpm.MacVal&lt;&gt;"",_xlpm.MacVal,_xlpm.CSVVal&lt;&gt;"",_xlpm.CSVVal
)),"")</f>
        <v/>
      </c>
      <c r="R668" s="40"/>
      <c r="S668" s="40"/>
      <c r="T668" s="40"/>
      <c r="U668" s="40"/>
      <c r="V668" s="40"/>
      <c r="W668" s="40"/>
      <c r="X668" s="41" t="str">
        <f>_xlfn.LET(
    _xlpm.MacVal, _xlfn.XLOOKUP($A668, Output_Mac!$A:$A, Output_Mac!AB:AB, ""),
    _xlpm.MyAuditVal, _xlfn.XLOOKUP($A668, My_Audit!$A:$A, My_Audit!N:N, ""),
    _xlfn.TEXTJOIN(", ", TRUE, _xlpm.MyAuditVal, _xlpm.MacVal)
)</f>
        <v/>
      </c>
    </row>
    <row r="669" spans="1:24">
      <c r="A669" s="40" t="str">
        <f>_xlfn.TEXTJOIN("",TRUE,Input!$B$2,ROW(My_Audit!A668))</f>
        <v>X668</v>
      </c>
      <c r="B669" s="40" t="str">
        <f>_xlfn.TEXTJOIN("-",TRUE,"ITD",Input!$A$2,A669)</f>
        <v>ITD-X668</v>
      </c>
      <c r="C669" s="40" t="str" cm="1">
        <f t="array" ref="C669">IFERROR(_xlfn.LET(
_xlpm.CSVVal,_xlfn.XLOOKUP($A669,CSV!$A:$A,CSV!B:B,""),
_xlpm.MacVal,_xlfn.XLOOKUP($A669,Output_Mac!$A:$A,Output_Mac!B:B,""),
_xlpm.MyAuditVal,_xlfn.XLOOKUP($A669,My_Audit!$A:$A,My_Audit!B:B,""),
_xlfn.IFS(_xlpm.MyAuditVal&lt;&gt;"",UPPER(_xlpm.MyAuditVal),_xlpm.MacVal&lt;&gt;"",_xlpm.MacVal,_xlpm.CSVVal&lt;&gt;"",_xlpm.CSVVal
)),"")</f>
        <v/>
      </c>
      <c r="D669" s="40" t="str" cm="1">
        <f t="array" ref="D669">IFERROR(_xlfn.LET(
_xlpm.CSVVal,_xlfn.XLOOKUP($A669,CSV!$A:$A,CSV!D:D,""),
_xlpm.MacVal,_xlfn.XLOOKUP($A669,Output_Mac!$A:$A,Output_Mac!C:C,""),
_xlpm.MyAuditVal,_xlfn.XLOOKUP($A669,My_Audit!$A:$A,My_Audit!C:C,""),
_xlfn.IFS(_xlpm.MyAuditVal&lt;&gt;"",_xlpm.MyAuditVal,_xlpm.MacVal&lt;&gt;"",_xlpm.MacVal,_xlpm.CSVVal&lt;&gt;"",_xlpm.CSVVal
)),"")</f>
        <v/>
      </c>
      <c r="E669" s="40" t="str">
        <f>_xlfn.XLOOKUP(A669,My_Audit!A:A,My_Audit!D:D,"")</f>
        <v/>
      </c>
      <c r="F669" s="40" t="str" cm="1">
        <f t="array" ref="F669">IFERROR(_xlfn.LET(
_xlpm.CSVVal,_xlfn.XLOOKUP($A669,CSV!$A:$A,CSV!F:F,""),
_xlpm.MacVal,_xlfn.XLOOKUP($A669,Output_Mac!$A:$A,Output_Mac!E:E,""),
_xlpm.MyAuditVal,_xlfn.XLOOKUP($A669,My_Audit!$A:$A,My_Audit!E:E,""),
_xlfn.IFS(_xlpm.MyAuditVal&lt;&gt;"",_xlpm.MyAuditVal,_xlpm.MacVal&lt;&gt;"",_xlpm.MacVal,_xlpm.CSVVal&lt;&gt;"",_xlpm.CSVVal
)),"")</f>
        <v/>
      </c>
      <c r="G669" s="40" t="str" cm="1">
        <f t="array" ref="G669">IFERROR(_xlfn.LET(
_xlpm.CSVVal,_xlfn.XLOOKUP($A669,CSV!$A:$A,CSV!G:G,""),
_xlpm.MacVal,_xlfn.XLOOKUP($A669,Output_Mac!$A:$A,Output_Mac!F:F,""),
_xlpm.MyAuditVal,_xlfn.XLOOKUP($A669,My_Audit!$A:$A,My_Audit!F:F,""),
_xlfn.IFS(_xlpm.MyAuditVal&lt;&gt;"",_xlpm.MyAuditVal,_xlpm.MacVal&lt;&gt;"",_xlpm.MacVal,_xlpm.CSVVal&lt;&gt;"",PROPER(_xlpm.CSVVal)
)),"")</f>
        <v/>
      </c>
      <c r="H669" s="40" t="str" cm="1">
        <f t="array" ref="H669">IFERROR(_xlfn.LET(
_xlpm.CSVVal,_xlfn.XLOOKUP($A669,CSV!$A:$A,CSV!H:H,""),
_xlpm.MacVal,_xlfn.XLOOKUP($A669,Output_Mac!$A:$A,Output_Mac!H:H,""),
_xlpm.MyAuditVal,_xlfn.XLOOKUP($A669,My_Audit!$A:$A,My_Audit!G:G,""),
_xlfn.IFS(_xlpm.MyAuditVal&lt;&gt;"",_xlpm.MyAuditVal,_xlpm.MacVal&lt;&gt;"",_xlpm.MacVal,_xlpm.CSVVal&lt;&gt;"",_xlpm.CSVVal
)),"")</f>
        <v/>
      </c>
      <c r="I669" s="40" t="str">
        <f>_xlfn.XLOOKUP(A669,Output_Mac!A:A,Output_Mac!I:I,"")</f>
        <v/>
      </c>
      <c r="J669" s="40" t="str" cm="1">
        <f t="array" ref="J669">IFERROR(_xlfn.LET(
_xlpm.CSVVal,_xlfn.XLOOKUP($A669,CSV!$A:$A,CSV!I:I,""),
_xlpm.MacVal,_xlfn.XLOOKUP($A669,Output_Mac!$A:$A,Output_Mac!J:J,""),
_xlpm.MyAuditVal,_xlfn.XLOOKUP($A669,My_Audit!$A:$A,My_Audit!I:I,""),
_xlfn.IFS(_xlpm.MyAuditVal&lt;&gt;"",UPPER(_xlpm.MyAuditVal),_xlpm.MacVal&lt;&gt;"",_xlpm.MacVal,_xlpm.CSVVal&lt;&gt;"",_xlpm.CSVVal
)),"")</f>
        <v/>
      </c>
      <c r="K669" s="40" t="str" cm="1">
        <f t="array" ref="K669">IFERROR(_xlfn.LET(
_xlpm.CSVVal,_xlfn.XLOOKUP($A669,CSV!$A:$A,CSV!K:K,""),
_xlpm.MacVal,_xlfn.XLOOKUP($A669,Output_Mac!$A:$A,Output_Mac!K:K,""),
_xlpm.MyAuditVal,_xlfn.XLOOKUP($A669,My_Audit!$A:$A,My_Audit!J:J,""),
_xlfn.IFS(_xlpm.MyAuditVal&lt;&gt;"",UPPER(_xlpm.MyAuditVal),_xlpm.MacVal&lt;&gt;"",_xlpm.MacVal,_xlpm.CSVVal&lt;&gt;"",_xlpm.CSVVal
)),"")</f>
        <v/>
      </c>
      <c r="L669" s="40" t="str" cm="1">
        <f t="array" ref="L669">IFERROR(_xlfn.LET(
_xlpm.CSVVal,_xlfn.XLOOKUP($A669,CSV!$A:$A,CSV!P:P,""),
_xlpm.MacVal,_xlfn.XLOOKUP($A669,Output_Mac!$A:$A,Output_Mac!L:L,""),
_xlpm.MyAuditVal,_xlfn.XLOOKUP($A669,My_Audit!$A:$A,My_Audit!K:K,""),
_xlfn.IFS(_xlpm.MyAuditVal&lt;&gt;"",UPPER(_xlpm.MyAuditVal),_xlpm.MacVal&lt;&gt;"",_xlpm.MacVal,_xlpm.CSVVal&lt;&gt;"",_xlpm.CSVVal
)),"")</f>
        <v/>
      </c>
      <c r="M669" s="40" t="str" cm="1">
        <f t="array" ref="M669">IFERROR(_xlfn.LET(
_xlpm.CSVVal,_xlfn.XLOOKUP($A669,CSV!$A:$A,CSV!Q:Q,""),
_xlpm.MacVal,_xlfn.XLOOKUP($A669,Output_Mac!$A:$A,Output_Mac!M:M,""),
_xlpm.MyAuditVal,_xlfn.XLOOKUP($A669,My_Audit!$A:$A,My_Audit!L:L,""),
_xlfn.IFS(_xlpm.MyAuditVal&lt;&gt;"",UPPER(_xlpm.MyAuditVal),_xlpm.MacVal&lt;&gt;"",_xlpm.MacVal,_xlpm.CSVVal&lt;&gt;"",_xlpm.CSVVal
)),"")</f>
        <v/>
      </c>
      <c r="N669" s="40"/>
      <c r="O669" s="40" t="str">
        <f>_xlfn.LET(
    _xlpm.CSVVal, _xlfn.XLOOKUP($A669, CSV!$A:$A, CSV!AA:AA, ""),
    _xlpm.MacVal, _xlfn.XLOOKUP($A669, Output_Mac!$A:$A, Output_Mac!S:S, ""),
    _xlpm.MyAuditVal, _xlfn.XLOOKUP($A669, My_Audit!$A:$A, My_Audit!P:P, ""),
    _xlfn.TEXTJOIN(", ", TRUE, _xlpm.MyAuditVal, _xlpm.MacVal, _xlpm.CSVVal)
)</f>
        <v/>
      </c>
      <c r="P669" s="40" t="str" cm="1">
        <f t="array" ref="P669">IFERROR(_xlfn.LET(
_xlpm.CSVVal,_xlfn.XLOOKUP($A669,CSV!$A:$A,CSV!AB:AB,""),
_xlpm.MacVal,_xlfn.XLOOKUP($A669,Output_Mac!$A:$A,Output_Mac!T:T,""),
_xlpm.MyAuditVal,_xlfn.XLOOKUP($A669,My_Audit!$A:$A,My_Audit!Q:Q,""),
_xlfn.IFS(_xlpm.MyAuditVal&lt;&gt;"",UPPER(_xlpm.MyAuditVal),_xlpm.MacVal&lt;&gt;"",_xlpm.MacVal,_xlpm.CSVVal&lt;&gt;"",_xlpm.CSVVal
)),"No")</f>
        <v>No</v>
      </c>
      <c r="Q669" s="40" t="str" cm="1">
        <f t="array" ref="Q669">IFERROR(_xlfn.LET(
_xlpm.CSVVal,_xlfn.XLOOKUP($A669,CSV!$A:$A,CSV!AC:AC,""),
_xlpm.MacVal,_xlfn.XLOOKUP($A669,Output_Mac!$A:$A,Output_Mac!U:U,""),
_xlpm.MyAuditVal,_xlfn.XLOOKUP($A669,My_Audit!$A:$A,My_Audit!R:R,""),
_xlfn.IFS(_xlpm.MyAuditVal&lt;&gt;"",UPPER(_xlpm.MyAuditVal),_xlpm.MacVal&lt;&gt;"",_xlpm.MacVal,_xlpm.CSVVal&lt;&gt;"",_xlpm.CSVVal
)),"")</f>
        <v/>
      </c>
      <c r="R669" s="40"/>
      <c r="S669" s="40"/>
      <c r="T669" s="40"/>
      <c r="U669" s="40"/>
      <c r="V669" s="40"/>
      <c r="W669" s="40"/>
      <c r="X669" s="41" t="str">
        <f>_xlfn.LET(
    _xlpm.MacVal, _xlfn.XLOOKUP($A669, Output_Mac!$A:$A, Output_Mac!AB:AB, ""),
    _xlpm.MyAuditVal, _xlfn.XLOOKUP($A669, My_Audit!$A:$A, My_Audit!N:N, ""),
    _xlfn.TEXTJOIN(", ", TRUE, _xlpm.MyAuditVal, _xlpm.MacVal)
)</f>
        <v/>
      </c>
    </row>
    <row r="670" spans="1:24">
      <c r="A670" s="40" t="str">
        <f>_xlfn.TEXTJOIN("",TRUE,Input!$B$2,ROW(My_Audit!A669))</f>
        <v>X669</v>
      </c>
      <c r="B670" s="40" t="str">
        <f>_xlfn.TEXTJOIN("-",TRUE,"ITD",Input!$A$2,A670)</f>
        <v>ITD-X669</v>
      </c>
      <c r="C670" s="40" t="str" cm="1">
        <f t="array" ref="C670">IFERROR(_xlfn.LET(
_xlpm.CSVVal,_xlfn.XLOOKUP($A670,CSV!$A:$A,CSV!B:B,""),
_xlpm.MacVal,_xlfn.XLOOKUP($A670,Output_Mac!$A:$A,Output_Mac!B:B,""),
_xlpm.MyAuditVal,_xlfn.XLOOKUP($A670,My_Audit!$A:$A,My_Audit!B:B,""),
_xlfn.IFS(_xlpm.MyAuditVal&lt;&gt;"",UPPER(_xlpm.MyAuditVal),_xlpm.MacVal&lt;&gt;"",_xlpm.MacVal,_xlpm.CSVVal&lt;&gt;"",_xlpm.CSVVal
)),"")</f>
        <v/>
      </c>
      <c r="D670" s="40" t="str" cm="1">
        <f t="array" ref="D670">IFERROR(_xlfn.LET(
_xlpm.CSVVal,_xlfn.XLOOKUP($A670,CSV!$A:$A,CSV!D:D,""),
_xlpm.MacVal,_xlfn.XLOOKUP($A670,Output_Mac!$A:$A,Output_Mac!C:C,""),
_xlpm.MyAuditVal,_xlfn.XLOOKUP($A670,My_Audit!$A:$A,My_Audit!C:C,""),
_xlfn.IFS(_xlpm.MyAuditVal&lt;&gt;"",_xlpm.MyAuditVal,_xlpm.MacVal&lt;&gt;"",_xlpm.MacVal,_xlpm.CSVVal&lt;&gt;"",_xlpm.CSVVal
)),"")</f>
        <v/>
      </c>
      <c r="E670" s="40" t="str">
        <f>_xlfn.XLOOKUP(A670,My_Audit!A:A,My_Audit!D:D,"")</f>
        <v/>
      </c>
      <c r="F670" s="40" t="str" cm="1">
        <f t="array" ref="F670">IFERROR(_xlfn.LET(
_xlpm.CSVVal,_xlfn.XLOOKUP($A670,CSV!$A:$A,CSV!F:F,""),
_xlpm.MacVal,_xlfn.XLOOKUP($A670,Output_Mac!$A:$A,Output_Mac!E:E,""),
_xlpm.MyAuditVal,_xlfn.XLOOKUP($A670,My_Audit!$A:$A,My_Audit!E:E,""),
_xlfn.IFS(_xlpm.MyAuditVal&lt;&gt;"",_xlpm.MyAuditVal,_xlpm.MacVal&lt;&gt;"",_xlpm.MacVal,_xlpm.CSVVal&lt;&gt;"",_xlpm.CSVVal
)),"")</f>
        <v/>
      </c>
      <c r="G670" s="40" t="str" cm="1">
        <f t="array" ref="G670">IFERROR(_xlfn.LET(
_xlpm.CSVVal,_xlfn.XLOOKUP($A670,CSV!$A:$A,CSV!G:G,""),
_xlpm.MacVal,_xlfn.XLOOKUP($A670,Output_Mac!$A:$A,Output_Mac!F:F,""),
_xlpm.MyAuditVal,_xlfn.XLOOKUP($A670,My_Audit!$A:$A,My_Audit!F:F,""),
_xlfn.IFS(_xlpm.MyAuditVal&lt;&gt;"",_xlpm.MyAuditVal,_xlpm.MacVal&lt;&gt;"",_xlpm.MacVal,_xlpm.CSVVal&lt;&gt;"",PROPER(_xlpm.CSVVal)
)),"")</f>
        <v/>
      </c>
      <c r="H670" s="40" t="str" cm="1">
        <f t="array" ref="H670">IFERROR(_xlfn.LET(
_xlpm.CSVVal,_xlfn.XLOOKUP($A670,CSV!$A:$A,CSV!H:H,""),
_xlpm.MacVal,_xlfn.XLOOKUP($A670,Output_Mac!$A:$A,Output_Mac!H:H,""),
_xlpm.MyAuditVal,_xlfn.XLOOKUP($A670,My_Audit!$A:$A,My_Audit!G:G,""),
_xlfn.IFS(_xlpm.MyAuditVal&lt;&gt;"",_xlpm.MyAuditVal,_xlpm.MacVal&lt;&gt;"",_xlpm.MacVal,_xlpm.CSVVal&lt;&gt;"",_xlpm.CSVVal
)),"")</f>
        <v/>
      </c>
      <c r="I670" s="40" t="str">
        <f>_xlfn.XLOOKUP(A670,Output_Mac!A:A,Output_Mac!I:I,"")</f>
        <v/>
      </c>
      <c r="J670" s="40" t="str" cm="1">
        <f t="array" ref="J670">IFERROR(_xlfn.LET(
_xlpm.CSVVal,_xlfn.XLOOKUP($A670,CSV!$A:$A,CSV!I:I,""),
_xlpm.MacVal,_xlfn.XLOOKUP($A670,Output_Mac!$A:$A,Output_Mac!J:J,""),
_xlpm.MyAuditVal,_xlfn.XLOOKUP($A670,My_Audit!$A:$A,My_Audit!I:I,""),
_xlfn.IFS(_xlpm.MyAuditVal&lt;&gt;"",UPPER(_xlpm.MyAuditVal),_xlpm.MacVal&lt;&gt;"",_xlpm.MacVal,_xlpm.CSVVal&lt;&gt;"",_xlpm.CSVVal
)),"")</f>
        <v/>
      </c>
      <c r="K670" s="40" t="str" cm="1">
        <f t="array" ref="K670">IFERROR(_xlfn.LET(
_xlpm.CSVVal,_xlfn.XLOOKUP($A670,CSV!$A:$A,CSV!K:K,""),
_xlpm.MacVal,_xlfn.XLOOKUP($A670,Output_Mac!$A:$A,Output_Mac!K:K,""),
_xlpm.MyAuditVal,_xlfn.XLOOKUP($A670,My_Audit!$A:$A,My_Audit!J:J,""),
_xlfn.IFS(_xlpm.MyAuditVal&lt;&gt;"",UPPER(_xlpm.MyAuditVal),_xlpm.MacVal&lt;&gt;"",_xlpm.MacVal,_xlpm.CSVVal&lt;&gt;"",_xlpm.CSVVal
)),"")</f>
        <v/>
      </c>
      <c r="L670" s="40" t="str" cm="1">
        <f t="array" ref="L670">IFERROR(_xlfn.LET(
_xlpm.CSVVal,_xlfn.XLOOKUP($A670,CSV!$A:$A,CSV!P:P,""),
_xlpm.MacVal,_xlfn.XLOOKUP($A670,Output_Mac!$A:$A,Output_Mac!L:L,""),
_xlpm.MyAuditVal,_xlfn.XLOOKUP($A670,My_Audit!$A:$A,My_Audit!K:K,""),
_xlfn.IFS(_xlpm.MyAuditVal&lt;&gt;"",UPPER(_xlpm.MyAuditVal),_xlpm.MacVal&lt;&gt;"",_xlpm.MacVal,_xlpm.CSVVal&lt;&gt;"",_xlpm.CSVVal
)),"")</f>
        <v/>
      </c>
      <c r="M670" s="40" t="str" cm="1">
        <f t="array" ref="M670">IFERROR(_xlfn.LET(
_xlpm.CSVVal,_xlfn.XLOOKUP($A670,CSV!$A:$A,CSV!Q:Q,""),
_xlpm.MacVal,_xlfn.XLOOKUP($A670,Output_Mac!$A:$A,Output_Mac!M:M,""),
_xlpm.MyAuditVal,_xlfn.XLOOKUP($A670,My_Audit!$A:$A,My_Audit!L:L,""),
_xlfn.IFS(_xlpm.MyAuditVal&lt;&gt;"",UPPER(_xlpm.MyAuditVal),_xlpm.MacVal&lt;&gt;"",_xlpm.MacVal,_xlpm.CSVVal&lt;&gt;"",_xlpm.CSVVal
)),"")</f>
        <v/>
      </c>
      <c r="N670" s="40"/>
      <c r="O670" s="40" t="str">
        <f>_xlfn.LET(
    _xlpm.CSVVal, _xlfn.XLOOKUP($A670, CSV!$A:$A, CSV!AA:AA, ""),
    _xlpm.MacVal, _xlfn.XLOOKUP($A670, Output_Mac!$A:$A, Output_Mac!S:S, ""),
    _xlpm.MyAuditVal, _xlfn.XLOOKUP($A670, My_Audit!$A:$A, My_Audit!P:P, ""),
    _xlfn.TEXTJOIN(", ", TRUE, _xlpm.MyAuditVal, _xlpm.MacVal, _xlpm.CSVVal)
)</f>
        <v/>
      </c>
      <c r="P670" s="40" t="str" cm="1">
        <f t="array" ref="P670">IFERROR(_xlfn.LET(
_xlpm.CSVVal,_xlfn.XLOOKUP($A670,CSV!$A:$A,CSV!AB:AB,""),
_xlpm.MacVal,_xlfn.XLOOKUP($A670,Output_Mac!$A:$A,Output_Mac!T:T,""),
_xlpm.MyAuditVal,_xlfn.XLOOKUP($A670,My_Audit!$A:$A,My_Audit!Q:Q,""),
_xlfn.IFS(_xlpm.MyAuditVal&lt;&gt;"",UPPER(_xlpm.MyAuditVal),_xlpm.MacVal&lt;&gt;"",_xlpm.MacVal,_xlpm.CSVVal&lt;&gt;"",_xlpm.CSVVal
)),"No")</f>
        <v>No</v>
      </c>
      <c r="Q670" s="40" t="str" cm="1">
        <f t="array" ref="Q670">IFERROR(_xlfn.LET(
_xlpm.CSVVal,_xlfn.XLOOKUP($A670,CSV!$A:$A,CSV!AC:AC,""),
_xlpm.MacVal,_xlfn.XLOOKUP($A670,Output_Mac!$A:$A,Output_Mac!U:U,""),
_xlpm.MyAuditVal,_xlfn.XLOOKUP($A670,My_Audit!$A:$A,My_Audit!R:R,""),
_xlfn.IFS(_xlpm.MyAuditVal&lt;&gt;"",UPPER(_xlpm.MyAuditVal),_xlpm.MacVal&lt;&gt;"",_xlpm.MacVal,_xlpm.CSVVal&lt;&gt;"",_xlpm.CSVVal
)),"")</f>
        <v/>
      </c>
      <c r="R670" s="40"/>
      <c r="S670" s="40"/>
      <c r="T670" s="40"/>
      <c r="U670" s="40"/>
      <c r="V670" s="40"/>
      <c r="W670" s="40"/>
      <c r="X670" s="41" t="str">
        <f>_xlfn.LET(
    _xlpm.MacVal, _xlfn.XLOOKUP($A670, Output_Mac!$A:$A, Output_Mac!AB:AB, ""),
    _xlpm.MyAuditVal, _xlfn.XLOOKUP($A670, My_Audit!$A:$A, My_Audit!N:N, ""),
    _xlfn.TEXTJOIN(", ", TRUE, _xlpm.MyAuditVal, _xlpm.MacVal)
)</f>
        <v/>
      </c>
    </row>
    <row r="671" spans="1:24">
      <c r="A671" s="40" t="str">
        <f>_xlfn.TEXTJOIN("",TRUE,Input!$B$2,ROW(My_Audit!A670))</f>
        <v>X670</v>
      </c>
      <c r="B671" s="40" t="str">
        <f>_xlfn.TEXTJOIN("-",TRUE,"ITD",Input!$A$2,A671)</f>
        <v>ITD-X670</v>
      </c>
      <c r="C671" s="40" t="str" cm="1">
        <f t="array" ref="C671">IFERROR(_xlfn.LET(
_xlpm.CSVVal,_xlfn.XLOOKUP($A671,CSV!$A:$A,CSV!B:B,""),
_xlpm.MacVal,_xlfn.XLOOKUP($A671,Output_Mac!$A:$A,Output_Mac!B:B,""),
_xlpm.MyAuditVal,_xlfn.XLOOKUP($A671,My_Audit!$A:$A,My_Audit!B:B,""),
_xlfn.IFS(_xlpm.MyAuditVal&lt;&gt;"",UPPER(_xlpm.MyAuditVal),_xlpm.MacVal&lt;&gt;"",_xlpm.MacVal,_xlpm.CSVVal&lt;&gt;"",_xlpm.CSVVal
)),"")</f>
        <v/>
      </c>
      <c r="D671" s="40" t="str" cm="1">
        <f t="array" ref="D671">IFERROR(_xlfn.LET(
_xlpm.CSVVal,_xlfn.XLOOKUP($A671,CSV!$A:$A,CSV!D:D,""),
_xlpm.MacVal,_xlfn.XLOOKUP($A671,Output_Mac!$A:$A,Output_Mac!C:C,""),
_xlpm.MyAuditVal,_xlfn.XLOOKUP($A671,My_Audit!$A:$A,My_Audit!C:C,""),
_xlfn.IFS(_xlpm.MyAuditVal&lt;&gt;"",_xlpm.MyAuditVal,_xlpm.MacVal&lt;&gt;"",_xlpm.MacVal,_xlpm.CSVVal&lt;&gt;"",_xlpm.CSVVal
)),"")</f>
        <v/>
      </c>
      <c r="E671" s="40" t="str">
        <f>_xlfn.XLOOKUP(A671,My_Audit!A:A,My_Audit!D:D,"")</f>
        <v/>
      </c>
      <c r="F671" s="40" t="str" cm="1">
        <f t="array" ref="F671">IFERROR(_xlfn.LET(
_xlpm.CSVVal,_xlfn.XLOOKUP($A671,CSV!$A:$A,CSV!F:F,""),
_xlpm.MacVal,_xlfn.XLOOKUP($A671,Output_Mac!$A:$A,Output_Mac!E:E,""),
_xlpm.MyAuditVal,_xlfn.XLOOKUP($A671,My_Audit!$A:$A,My_Audit!E:E,""),
_xlfn.IFS(_xlpm.MyAuditVal&lt;&gt;"",_xlpm.MyAuditVal,_xlpm.MacVal&lt;&gt;"",_xlpm.MacVal,_xlpm.CSVVal&lt;&gt;"",_xlpm.CSVVal
)),"")</f>
        <v/>
      </c>
      <c r="G671" s="40" t="str" cm="1">
        <f t="array" ref="G671">IFERROR(_xlfn.LET(
_xlpm.CSVVal,_xlfn.XLOOKUP($A671,CSV!$A:$A,CSV!G:G,""),
_xlpm.MacVal,_xlfn.XLOOKUP($A671,Output_Mac!$A:$A,Output_Mac!F:F,""),
_xlpm.MyAuditVal,_xlfn.XLOOKUP($A671,My_Audit!$A:$A,My_Audit!F:F,""),
_xlfn.IFS(_xlpm.MyAuditVal&lt;&gt;"",_xlpm.MyAuditVal,_xlpm.MacVal&lt;&gt;"",_xlpm.MacVal,_xlpm.CSVVal&lt;&gt;"",PROPER(_xlpm.CSVVal)
)),"")</f>
        <v/>
      </c>
      <c r="H671" s="40" t="str" cm="1">
        <f t="array" ref="H671">IFERROR(_xlfn.LET(
_xlpm.CSVVal,_xlfn.XLOOKUP($A671,CSV!$A:$A,CSV!H:H,""),
_xlpm.MacVal,_xlfn.XLOOKUP($A671,Output_Mac!$A:$A,Output_Mac!H:H,""),
_xlpm.MyAuditVal,_xlfn.XLOOKUP($A671,My_Audit!$A:$A,My_Audit!G:G,""),
_xlfn.IFS(_xlpm.MyAuditVal&lt;&gt;"",_xlpm.MyAuditVal,_xlpm.MacVal&lt;&gt;"",_xlpm.MacVal,_xlpm.CSVVal&lt;&gt;"",_xlpm.CSVVal
)),"")</f>
        <v/>
      </c>
      <c r="I671" s="40" t="str">
        <f>_xlfn.XLOOKUP(A671,Output_Mac!A:A,Output_Mac!I:I,"")</f>
        <v/>
      </c>
      <c r="J671" s="40" t="str" cm="1">
        <f t="array" ref="J671">IFERROR(_xlfn.LET(
_xlpm.CSVVal,_xlfn.XLOOKUP($A671,CSV!$A:$A,CSV!I:I,""),
_xlpm.MacVal,_xlfn.XLOOKUP($A671,Output_Mac!$A:$A,Output_Mac!J:J,""),
_xlpm.MyAuditVal,_xlfn.XLOOKUP($A671,My_Audit!$A:$A,My_Audit!I:I,""),
_xlfn.IFS(_xlpm.MyAuditVal&lt;&gt;"",UPPER(_xlpm.MyAuditVal),_xlpm.MacVal&lt;&gt;"",_xlpm.MacVal,_xlpm.CSVVal&lt;&gt;"",_xlpm.CSVVal
)),"")</f>
        <v/>
      </c>
      <c r="K671" s="40" t="str" cm="1">
        <f t="array" ref="K671">IFERROR(_xlfn.LET(
_xlpm.CSVVal,_xlfn.XLOOKUP($A671,CSV!$A:$A,CSV!K:K,""),
_xlpm.MacVal,_xlfn.XLOOKUP($A671,Output_Mac!$A:$A,Output_Mac!K:K,""),
_xlpm.MyAuditVal,_xlfn.XLOOKUP($A671,My_Audit!$A:$A,My_Audit!J:J,""),
_xlfn.IFS(_xlpm.MyAuditVal&lt;&gt;"",UPPER(_xlpm.MyAuditVal),_xlpm.MacVal&lt;&gt;"",_xlpm.MacVal,_xlpm.CSVVal&lt;&gt;"",_xlpm.CSVVal
)),"")</f>
        <v/>
      </c>
      <c r="L671" s="40" t="str" cm="1">
        <f t="array" ref="L671">IFERROR(_xlfn.LET(
_xlpm.CSVVal,_xlfn.XLOOKUP($A671,CSV!$A:$A,CSV!P:P,""),
_xlpm.MacVal,_xlfn.XLOOKUP($A671,Output_Mac!$A:$A,Output_Mac!L:L,""),
_xlpm.MyAuditVal,_xlfn.XLOOKUP($A671,My_Audit!$A:$A,My_Audit!K:K,""),
_xlfn.IFS(_xlpm.MyAuditVal&lt;&gt;"",UPPER(_xlpm.MyAuditVal),_xlpm.MacVal&lt;&gt;"",_xlpm.MacVal,_xlpm.CSVVal&lt;&gt;"",_xlpm.CSVVal
)),"")</f>
        <v/>
      </c>
      <c r="M671" s="40" t="str" cm="1">
        <f t="array" ref="M671">IFERROR(_xlfn.LET(
_xlpm.CSVVal,_xlfn.XLOOKUP($A671,CSV!$A:$A,CSV!Q:Q,""),
_xlpm.MacVal,_xlfn.XLOOKUP($A671,Output_Mac!$A:$A,Output_Mac!M:M,""),
_xlpm.MyAuditVal,_xlfn.XLOOKUP($A671,My_Audit!$A:$A,My_Audit!L:L,""),
_xlfn.IFS(_xlpm.MyAuditVal&lt;&gt;"",UPPER(_xlpm.MyAuditVal),_xlpm.MacVal&lt;&gt;"",_xlpm.MacVal,_xlpm.CSVVal&lt;&gt;"",_xlpm.CSVVal
)),"")</f>
        <v/>
      </c>
      <c r="N671" s="40"/>
      <c r="O671" s="40" t="str">
        <f>_xlfn.LET(
    _xlpm.CSVVal, _xlfn.XLOOKUP($A671, CSV!$A:$A, CSV!AA:AA, ""),
    _xlpm.MacVal, _xlfn.XLOOKUP($A671, Output_Mac!$A:$A, Output_Mac!S:S, ""),
    _xlpm.MyAuditVal, _xlfn.XLOOKUP($A671, My_Audit!$A:$A, My_Audit!P:P, ""),
    _xlfn.TEXTJOIN(", ", TRUE, _xlpm.MyAuditVal, _xlpm.MacVal, _xlpm.CSVVal)
)</f>
        <v/>
      </c>
      <c r="P671" s="40" t="str" cm="1">
        <f t="array" ref="P671">IFERROR(_xlfn.LET(
_xlpm.CSVVal,_xlfn.XLOOKUP($A671,CSV!$A:$A,CSV!AB:AB,""),
_xlpm.MacVal,_xlfn.XLOOKUP($A671,Output_Mac!$A:$A,Output_Mac!T:T,""),
_xlpm.MyAuditVal,_xlfn.XLOOKUP($A671,My_Audit!$A:$A,My_Audit!Q:Q,""),
_xlfn.IFS(_xlpm.MyAuditVal&lt;&gt;"",UPPER(_xlpm.MyAuditVal),_xlpm.MacVal&lt;&gt;"",_xlpm.MacVal,_xlpm.CSVVal&lt;&gt;"",_xlpm.CSVVal
)),"No")</f>
        <v>No</v>
      </c>
      <c r="Q671" s="40" t="str" cm="1">
        <f t="array" ref="Q671">IFERROR(_xlfn.LET(
_xlpm.CSVVal,_xlfn.XLOOKUP($A671,CSV!$A:$A,CSV!AC:AC,""),
_xlpm.MacVal,_xlfn.XLOOKUP($A671,Output_Mac!$A:$A,Output_Mac!U:U,""),
_xlpm.MyAuditVal,_xlfn.XLOOKUP($A671,My_Audit!$A:$A,My_Audit!R:R,""),
_xlfn.IFS(_xlpm.MyAuditVal&lt;&gt;"",UPPER(_xlpm.MyAuditVal),_xlpm.MacVal&lt;&gt;"",_xlpm.MacVal,_xlpm.CSVVal&lt;&gt;"",_xlpm.CSVVal
)),"")</f>
        <v/>
      </c>
      <c r="R671" s="40"/>
      <c r="S671" s="40"/>
      <c r="T671" s="40"/>
      <c r="U671" s="40"/>
      <c r="V671" s="40"/>
      <c r="W671" s="40"/>
      <c r="X671" s="41" t="str">
        <f>_xlfn.LET(
    _xlpm.MacVal, _xlfn.XLOOKUP($A671, Output_Mac!$A:$A, Output_Mac!AB:AB, ""),
    _xlpm.MyAuditVal, _xlfn.XLOOKUP($A671, My_Audit!$A:$A, My_Audit!N:N, ""),
    _xlfn.TEXTJOIN(", ", TRUE, _xlpm.MyAuditVal, _xlpm.MacVal)
)</f>
        <v/>
      </c>
    </row>
    <row r="672" spans="1:24">
      <c r="A672" s="40" t="str">
        <f>_xlfn.TEXTJOIN("",TRUE,Input!$B$2,ROW(My_Audit!A671))</f>
        <v>X671</v>
      </c>
      <c r="B672" s="40" t="str">
        <f>_xlfn.TEXTJOIN("-",TRUE,"ITD",Input!$A$2,A672)</f>
        <v>ITD-X671</v>
      </c>
      <c r="C672" s="40" t="str" cm="1">
        <f t="array" ref="C672">IFERROR(_xlfn.LET(
_xlpm.CSVVal,_xlfn.XLOOKUP($A672,CSV!$A:$A,CSV!B:B,""),
_xlpm.MacVal,_xlfn.XLOOKUP($A672,Output_Mac!$A:$A,Output_Mac!B:B,""),
_xlpm.MyAuditVal,_xlfn.XLOOKUP($A672,My_Audit!$A:$A,My_Audit!B:B,""),
_xlfn.IFS(_xlpm.MyAuditVal&lt;&gt;"",UPPER(_xlpm.MyAuditVal),_xlpm.MacVal&lt;&gt;"",_xlpm.MacVal,_xlpm.CSVVal&lt;&gt;"",_xlpm.CSVVal
)),"")</f>
        <v/>
      </c>
      <c r="D672" s="40" t="str" cm="1">
        <f t="array" ref="D672">IFERROR(_xlfn.LET(
_xlpm.CSVVal,_xlfn.XLOOKUP($A672,CSV!$A:$A,CSV!D:D,""),
_xlpm.MacVal,_xlfn.XLOOKUP($A672,Output_Mac!$A:$A,Output_Mac!C:C,""),
_xlpm.MyAuditVal,_xlfn.XLOOKUP($A672,My_Audit!$A:$A,My_Audit!C:C,""),
_xlfn.IFS(_xlpm.MyAuditVal&lt;&gt;"",_xlpm.MyAuditVal,_xlpm.MacVal&lt;&gt;"",_xlpm.MacVal,_xlpm.CSVVal&lt;&gt;"",_xlpm.CSVVal
)),"")</f>
        <v/>
      </c>
      <c r="E672" s="40" t="str">
        <f>_xlfn.XLOOKUP(A672,My_Audit!A:A,My_Audit!D:D,"")</f>
        <v/>
      </c>
      <c r="F672" s="40" t="str" cm="1">
        <f t="array" ref="F672">IFERROR(_xlfn.LET(
_xlpm.CSVVal,_xlfn.XLOOKUP($A672,CSV!$A:$A,CSV!F:F,""),
_xlpm.MacVal,_xlfn.XLOOKUP($A672,Output_Mac!$A:$A,Output_Mac!E:E,""),
_xlpm.MyAuditVal,_xlfn.XLOOKUP($A672,My_Audit!$A:$A,My_Audit!E:E,""),
_xlfn.IFS(_xlpm.MyAuditVal&lt;&gt;"",_xlpm.MyAuditVal,_xlpm.MacVal&lt;&gt;"",_xlpm.MacVal,_xlpm.CSVVal&lt;&gt;"",_xlpm.CSVVal
)),"")</f>
        <v/>
      </c>
      <c r="G672" s="40" t="str" cm="1">
        <f t="array" ref="G672">IFERROR(_xlfn.LET(
_xlpm.CSVVal,_xlfn.XLOOKUP($A672,CSV!$A:$A,CSV!G:G,""),
_xlpm.MacVal,_xlfn.XLOOKUP($A672,Output_Mac!$A:$A,Output_Mac!F:F,""),
_xlpm.MyAuditVal,_xlfn.XLOOKUP($A672,My_Audit!$A:$A,My_Audit!F:F,""),
_xlfn.IFS(_xlpm.MyAuditVal&lt;&gt;"",_xlpm.MyAuditVal,_xlpm.MacVal&lt;&gt;"",_xlpm.MacVal,_xlpm.CSVVal&lt;&gt;"",PROPER(_xlpm.CSVVal)
)),"")</f>
        <v/>
      </c>
      <c r="H672" s="40" t="str" cm="1">
        <f t="array" ref="H672">IFERROR(_xlfn.LET(
_xlpm.CSVVal,_xlfn.XLOOKUP($A672,CSV!$A:$A,CSV!H:H,""),
_xlpm.MacVal,_xlfn.XLOOKUP($A672,Output_Mac!$A:$A,Output_Mac!H:H,""),
_xlpm.MyAuditVal,_xlfn.XLOOKUP($A672,My_Audit!$A:$A,My_Audit!G:G,""),
_xlfn.IFS(_xlpm.MyAuditVal&lt;&gt;"",_xlpm.MyAuditVal,_xlpm.MacVal&lt;&gt;"",_xlpm.MacVal,_xlpm.CSVVal&lt;&gt;"",_xlpm.CSVVal
)),"")</f>
        <v/>
      </c>
      <c r="I672" s="40" t="str">
        <f>_xlfn.XLOOKUP(A672,Output_Mac!A:A,Output_Mac!I:I,"")</f>
        <v/>
      </c>
      <c r="J672" s="40" t="str" cm="1">
        <f t="array" ref="J672">IFERROR(_xlfn.LET(
_xlpm.CSVVal,_xlfn.XLOOKUP($A672,CSV!$A:$A,CSV!I:I,""),
_xlpm.MacVal,_xlfn.XLOOKUP($A672,Output_Mac!$A:$A,Output_Mac!J:J,""),
_xlpm.MyAuditVal,_xlfn.XLOOKUP($A672,My_Audit!$A:$A,My_Audit!I:I,""),
_xlfn.IFS(_xlpm.MyAuditVal&lt;&gt;"",UPPER(_xlpm.MyAuditVal),_xlpm.MacVal&lt;&gt;"",_xlpm.MacVal,_xlpm.CSVVal&lt;&gt;"",_xlpm.CSVVal
)),"")</f>
        <v/>
      </c>
      <c r="K672" s="40" t="str" cm="1">
        <f t="array" ref="K672">IFERROR(_xlfn.LET(
_xlpm.CSVVal,_xlfn.XLOOKUP($A672,CSV!$A:$A,CSV!K:K,""),
_xlpm.MacVal,_xlfn.XLOOKUP($A672,Output_Mac!$A:$A,Output_Mac!K:K,""),
_xlpm.MyAuditVal,_xlfn.XLOOKUP($A672,My_Audit!$A:$A,My_Audit!J:J,""),
_xlfn.IFS(_xlpm.MyAuditVal&lt;&gt;"",UPPER(_xlpm.MyAuditVal),_xlpm.MacVal&lt;&gt;"",_xlpm.MacVal,_xlpm.CSVVal&lt;&gt;"",_xlpm.CSVVal
)),"")</f>
        <v/>
      </c>
      <c r="L672" s="40" t="str" cm="1">
        <f t="array" ref="L672">IFERROR(_xlfn.LET(
_xlpm.CSVVal,_xlfn.XLOOKUP($A672,CSV!$A:$A,CSV!P:P,""),
_xlpm.MacVal,_xlfn.XLOOKUP($A672,Output_Mac!$A:$A,Output_Mac!L:L,""),
_xlpm.MyAuditVal,_xlfn.XLOOKUP($A672,My_Audit!$A:$A,My_Audit!K:K,""),
_xlfn.IFS(_xlpm.MyAuditVal&lt;&gt;"",UPPER(_xlpm.MyAuditVal),_xlpm.MacVal&lt;&gt;"",_xlpm.MacVal,_xlpm.CSVVal&lt;&gt;"",_xlpm.CSVVal
)),"")</f>
        <v/>
      </c>
      <c r="M672" s="40" t="str" cm="1">
        <f t="array" ref="M672">IFERROR(_xlfn.LET(
_xlpm.CSVVal,_xlfn.XLOOKUP($A672,CSV!$A:$A,CSV!Q:Q,""),
_xlpm.MacVal,_xlfn.XLOOKUP($A672,Output_Mac!$A:$A,Output_Mac!M:M,""),
_xlpm.MyAuditVal,_xlfn.XLOOKUP($A672,My_Audit!$A:$A,My_Audit!L:L,""),
_xlfn.IFS(_xlpm.MyAuditVal&lt;&gt;"",UPPER(_xlpm.MyAuditVal),_xlpm.MacVal&lt;&gt;"",_xlpm.MacVal,_xlpm.CSVVal&lt;&gt;"",_xlpm.CSVVal
)),"")</f>
        <v/>
      </c>
      <c r="N672" s="40"/>
      <c r="O672" s="40" t="str">
        <f>_xlfn.LET(
    _xlpm.CSVVal, _xlfn.XLOOKUP($A672, CSV!$A:$A, CSV!AA:AA, ""),
    _xlpm.MacVal, _xlfn.XLOOKUP($A672, Output_Mac!$A:$A, Output_Mac!S:S, ""),
    _xlpm.MyAuditVal, _xlfn.XLOOKUP($A672, My_Audit!$A:$A, My_Audit!P:P, ""),
    _xlfn.TEXTJOIN(", ", TRUE, _xlpm.MyAuditVal, _xlpm.MacVal, _xlpm.CSVVal)
)</f>
        <v/>
      </c>
      <c r="P672" s="40" t="str" cm="1">
        <f t="array" ref="P672">IFERROR(_xlfn.LET(
_xlpm.CSVVal,_xlfn.XLOOKUP($A672,CSV!$A:$A,CSV!AB:AB,""),
_xlpm.MacVal,_xlfn.XLOOKUP($A672,Output_Mac!$A:$A,Output_Mac!T:T,""),
_xlpm.MyAuditVal,_xlfn.XLOOKUP($A672,My_Audit!$A:$A,My_Audit!Q:Q,""),
_xlfn.IFS(_xlpm.MyAuditVal&lt;&gt;"",UPPER(_xlpm.MyAuditVal),_xlpm.MacVal&lt;&gt;"",_xlpm.MacVal,_xlpm.CSVVal&lt;&gt;"",_xlpm.CSVVal
)),"No")</f>
        <v>No</v>
      </c>
      <c r="Q672" s="40" t="str" cm="1">
        <f t="array" ref="Q672">IFERROR(_xlfn.LET(
_xlpm.CSVVal,_xlfn.XLOOKUP($A672,CSV!$A:$A,CSV!AC:AC,""),
_xlpm.MacVal,_xlfn.XLOOKUP($A672,Output_Mac!$A:$A,Output_Mac!U:U,""),
_xlpm.MyAuditVal,_xlfn.XLOOKUP($A672,My_Audit!$A:$A,My_Audit!R:R,""),
_xlfn.IFS(_xlpm.MyAuditVal&lt;&gt;"",UPPER(_xlpm.MyAuditVal),_xlpm.MacVal&lt;&gt;"",_xlpm.MacVal,_xlpm.CSVVal&lt;&gt;"",_xlpm.CSVVal
)),"")</f>
        <v/>
      </c>
      <c r="R672" s="40"/>
      <c r="S672" s="40"/>
      <c r="T672" s="40"/>
      <c r="U672" s="40"/>
      <c r="V672" s="40"/>
      <c r="W672" s="40"/>
      <c r="X672" s="41" t="str">
        <f>_xlfn.LET(
    _xlpm.MacVal, _xlfn.XLOOKUP($A672, Output_Mac!$A:$A, Output_Mac!AB:AB, ""),
    _xlpm.MyAuditVal, _xlfn.XLOOKUP($A672, My_Audit!$A:$A, My_Audit!N:N, ""),
    _xlfn.TEXTJOIN(", ", TRUE, _xlpm.MyAuditVal, _xlpm.MacVal)
)</f>
        <v/>
      </c>
    </row>
    <row r="673" spans="1:24">
      <c r="A673" s="40" t="str">
        <f>_xlfn.TEXTJOIN("",TRUE,Input!$B$2,ROW(My_Audit!A672))</f>
        <v>X672</v>
      </c>
      <c r="B673" s="40" t="str">
        <f>_xlfn.TEXTJOIN("-",TRUE,"ITD",Input!$A$2,A673)</f>
        <v>ITD-X672</v>
      </c>
      <c r="C673" s="40" t="str" cm="1">
        <f t="array" ref="C673">IFERROR(_xlfn.LET(
_xlpm.CSVVal,_xlfn.XLOOKUP($A673,CSV!$A:$A,CSV!B:B,""),
_xlpm.MacVal,_xlfn.XLOOKUP($A673,Output_Mac!$A:$A,Output_Mac!B:B,""),
_xlpm.MyAuditVal,_xlfn.XLOOKUP($A673,My_Audit!$A:$A,My_Audit!B:B,""),
_xlfn.IFS(_xlpm.MyAuditVal&lt;&gt;"",UPPER(_xlpm.MyAuditVal),_xlpm.MacVal&lt;&gt;"",_xlpm.MacVal,_xlpm.CSVVal&lt;&gt;"",_xlpm.CSVVal
)),"")</f>
        <v/>
      </c>
      <c r="D673" s="40" t="str" cm="1">
        <f t="array" ref="D673">IFERROR(_xlfn.LET(
_xlpm.CSVVal,_xlfn.XLOOKUP($A673,CSV!$A:$A,CSV!D:D,""),
_xlpm.MacVal,_xlfn.XLOOKUP($A673,Output_Mac!$A:$A,Output_Mac!C:C,""),
_xlpm.MyAuditVal,_xlfn.XLOOKUP($A673,My_Audit!$A:$A,My_Audit!C:C,""),
_xlfn.IFS(_xlpm.MyAuditVal&lt;&gt;"",_xlpm.MyAuditVal,_xlpm.MacVal&lt;&gt;"",_xlpm.MacVal,_xlpm.CSVVal&lt;&gt;"",_xlpm.CSVVal
)),"")</f>
        <v/>
      </c>
      <c r="E673" s="40" t="str">
        <f>_xlfn.XLOOKUP(A673,My_Audit!A:A,My_Audit!D:D,"")</f>
        <v/>
      </c>
      <c r="F673" s="40" t="str" cm="1">
        <f t="array" ref="F673">IFERROR(_xlfn.LET(
_xlpm.CSVVal,_xlfn.XLOOKUP($A673,CSV!$A:$A,CSV!F:F,""),
_xlpm.MacVal,_xlfn.XLOOKUP($A673,Output_Mac!$A:$A,Output_Mac!E:E,""),
_xlpm.MyAuditVal,_xlfn.XLOOKUP($A673,My_Audit!$A:$A,My_Audit!E:E,""),
_xlfn.IFS(_xlpm.MyAuditVal&lt;&gt;"",_xlpm.MyAuditVal,_xlpm.MacVal&lt;&gt;"",_xlpm.MacVal,_xlpm.CSVVal&lt;&gt;"",_xlpm.CSVVal
)),"")</f>
        <v/>
      </c>
      <c r="G673" s="40" t="str" cm="1">
        <f t="array" ref="G673">IFERROR(_xlfn.LET(
_xlpm.CSVVal,_xlfn.XLOOKUP($A673,CSV!$A:$A,CSV!G:G,""),
_xlpm.MacVal,_xlfn.XLOOKUP($A673,Output_Mac!$A:$A,Output_Mac!F:F,""),
_xlpm.MyAuditVal,_xlfn.XLOOKUP($A673,My_Audit!$A:$A,My_Audit!F:F,""),
_xlfn.IFS(_xlpm.MyAuditVal&lt;&gt;"",_xlpm.MyAuditVal,_xlpm.MacVal&lt;&gt;"",_xlpm.MacVal,_xlpm.CSVVal&lt;&gt;"",PROPER(_xlpm.CSVVal)
)),"")</f>
        <v/>
      </c>
      <c r="H673" s="40" t="str" cm="1">
        <f t="array" ref="H673">IFERROR(_xlfn.LET(
_xlpm.CSVVal,_xlfn.XLOOKUP($A673,CSV!$A:$A,CSV!H:H,""),
_xlpm.MacVal,_xlfn.XLOOKUP($A673,Output_Mac!$A:$A,Output_Mac!H:H,""),
_xlpm.MyAuditVal,_xlfn.XLOOKUP($A673,My_Audit!$A:$A,My_Audit!G:G,""),
_xlfn.IFS(_xlpm.MyAuditVal&lt;&gt;"",_xlpm.MyAuditVal,_xlpm.MacVal&lt;&gt;"",_xlpm.MacVal,_xlpm.CSVVal&lt;&gt;"",_xlpm.CSVVal
)),"")</f>
        <v/>
      </c>
      <c r="I673" s="40" t="str">
        <f>_xlfn.XLOOKUP(A673,Output_Mac!A:A,Output_Mac!I:I,"")</f>
        <v/>
      </c>
      <c r="J673" s="40" t="str" cm="1">
        <f t="array" ref="J673">IFERROR(_xlfn.LET(
_xlpm.CSVVal,_xlfn.XLOOKUP($A673,CSV!$A:$A,CSV!I:I,""),
_xlpm.MacVal,_xlfn.XLOOKUP($A673,Output_Mac!$A:$A,Output_Mac!J:J,""),
_xlpm.MyAuditVal,_xlfn.XLOOKUP($A673,My_Audit!$A:$A,My_Audit!I:I,""),
_xlfn.IFS(_xlpm.MyAuditVal&lt;&gt;"",UPPER(_xlpm.MyAuditVal),_xlpm.MacVal&lt;&gt;"",_xlpm.MacVal,_xlpm.CSVVal&lt;&gt;"",_xlpm.CSVVal
)),"")</f>
        <v/>
      </c>
      <c r="K673" s="40" t="str" cm="1">
        <f t="array" ref="K673">IFERROR(_xlfn.LET(
_xlpm.CSVVal,_xlfn.XLOOKUP($A673,CSV!$A:$A,CSV!K:K,""),
_xlpm.MacVal,_xlfn.XLOOKUP($A673,Output_Mac!$A:$A,Output_Mac!K:K,""),
_xlpm.MyAuditVal,_xlfn.XLOOKUP($A673,My_Audit!$A:$A,My_Audit!J:J,""),
_xlfn.IFS(_xlpm.MyAuditVal&lt;&gt;"",UPPER(_xlpm.MyAuditVal),_xlpm.MacVal&lt;&gt;"",_xlpm.MacVal,_xlpm.CSVVal&lt;&gt;"",_xlpm.CSVVal
)),"")</f>
        <v/>
      </c>
      <c r="L673" s="40" t="str" cm="1">
        <f t="array" ref="L673">IFERROR(_xlfn.LET(
_xlpm.CSVVal,_xlfn.XLOOKUP($A673,CSV!$A:$A,CSV!P:P,""),
_xlpm.MacVal,_xlfn.XLOOKUP($A673,Output_Mac!$A:$A,Output_Mac!L:L,""),
_xlpm.MyAuditVal,_xlfn.XLOOKUP($A673,My_Audit!$A:$A,My_Audit!K:K,""),
_xlfn.IFS(_xlpm.MyAuditVal&lt;&gt;"",UPPER(_xlpm.MyAuditVal),_xlpm.MacVal&lt;&gt;"",_xlpm.MacVal,_xlpm.CSVVal&lt;&gt;"",_xlpm.CSVVal
)),"")</f>
        <v/>
      </c>
      <c r="M673" s="40" t="str" cm="1">
        <f t="array" ref="M673">IFERROR(_xlfn.LET(
_xlpm.CSVVal,_xlfn.XLOOKUP($A673,CSV!$A:$A,CSV!Q:Q,""),
_xlpm.MacVal,_xlfn.XLOOKUP($A673,Output_Mac!$A:$A,Output_Mac!M:M,""),
_xlpm.MyAuditVal,_xlfn.XLOOKUP($A673,My_Audit!$A:$A,My_Audit!L:L,""),
_xlfn.IFS(_xlpm.MyAuditVal&lt;&gt;"",UPPER(_xlpm.MyAuditVal),_xlpm.MacVal&lt;&gt;"",_xlpm.MacVal,_xlpm.CSVVal&lt;&gt;"",_xlpm.CSVVal
)),"")</f>
        <v/>
      </c>
      <c r="N673" s="40"/>
      <c r="O673" s="40" t="str">
        <f>_xlfn.LET(
    _xlpm.CSVVal, _xlfn.XLOOKUP($A673, CSV!$A:$A, CSV!AA:AA, ""),
    _xlpm.MacVal, _xlfn.XLOOKUP($A673, Output_Mac!$A:$A, Output_Mac!S:S, ""),
    _xlpm.MyAuditVal, _xlfn.XLOOKUP($A673, My_Audit!$A:$A, My_Audit!P:P, ""),
    _xlfn.TEXTJOIN(", ", TRUE, _xlpm.MyAuditVal, _xlpm.MacVal, _xlpm.CSVVal)
)</f>
        <v/>
      </c>
      <c r="P673" s="40" t="str" cm="1">
        <f t="array" ref="P673">IFERROR(_xlfn.LET(
_xlpm.CSVVal,_xlfn.XLOOKUP($A673,CSV!$A:$A,CSV!AB:AB,""),
_xlpm.MacVal,_xlfn.XLOOKUP($A673,Output_Mac!$A:$A,Output_Mac!T:T,""),
_xlpm.MyAuditVal,_xlfn.XLOOKUP($A673,My_Audit!$A:$A,My_Audit!Q:Q,""),
_xlfn.IFS(_xlpm.MyAuditVal&lt;&gt;"",UPPER(_xlpm.MyAuditVal),_xlpm.MacVal&lt;&gt;"",_xlpm.MacVal,_xlpm.CSVVal&lt;&gt;"",_xlpm.CSVVal
)),"No")</f>
        <v>No</v>
      </c>
      <c r="Q673" s="40" t="str" cm="1">
        <f t="array" ref="Q673">IFERROR(_xlfn.LET(
_xlpm.CSVVal,_xlfn.XLOOKUP($A673,CSV!$A:$A,CSV!AC:AC,""),
_xlpm.MacVal,_xlfn.XLOOKUP($A673,Output_Mac!$A:$A,Output_Mac!U:U,""),
_xlpm.MyAuditVal,_xlfn.XLOOKUP($A673,My_Audit!$A:$A,My_Audit!R:R,""),
_xlfn.IFS(_xlpm.MyAuditVal&lt;&gt;"",UPPER(_xlpm.MyAuditVal),_xlpm.MacVal&lt;&gt;"",_xlpm.MacVal,_xlpm.CSVVal&lt;&gt;"",_xlpm.CSVVal
)),"")</f>
        <v/>
      </c>
      <c r="R673" s="40"/>
      <c r="S673" s="40"/>
      <c r="T673" s="40"/>
      <c r="U673" s="40"/>
      <c r="V673" s="40"/>
      <c r="W673" s="40"/>
      <c r="X673" s="41" t="str">
        <f>_xlfn.LET(
    _xlpm.MacVal, _xlfn.XLOOKUP($A673, Output_Mac!$A:$A, Output_Mac!AB:AB, ""),
    _xlpm.MyAuditVal, _xlfn.XLOOKUP($A673, My_Audit!$A:$A, My_Audit!N:N, ""),
    _xlfn.TEXTJOIN(", ", TRUE, _xlpm.MyAuditVal, _xlpm.MacVal)
)</f>
        <v/>
      </c>
    </row>
    <row r="674" spans="1:24">
      <c r="A674" s="40" t="str">
        <f>_xlfn.TEXTJOIN("",TRUE,Input!$B$2,ROW(My_Audit!A673))</f>
        <v>X673</v>
      </c>
      <c r="B674" s="40" t="str">
        <f>_xlfn.TEXTJOIN("-",TRUE,"ITD",Input!$A$2,A674)</f>
        <v>ITD-X673</v>
      </c>
      <c r="C674" s="40" t="str" cm="1">
        <f t="array" ref="C674">IFERROR(_xlfn.LET(
_xlpm.CSVVal,_xlfn.XLOOKUP($A674,CSV!$A:$A,CSV!B:B,""),
_xlpm.MacVal,_xlfn.XLOOKUP($A674,Output_Mac!$A:$A,Output_Mac!B:B,""),
_xlpm.MyAuditVal,_xlfn.XLOOKUP($A674,My_Audit!$A:$A,My_Audit!B:B,""),
_xlfn.IFS(_xlpm.MyAuditVal&lt;&gt;"",UPPER(_xlpm.MyAuditVal),_xlpm.MacVal&lt;&gt;"",_xlpm.MacVal,_xlpm.CSVVal&lt;&gt;"",_xlpm.CSVVal
)),"")</f>
        <v/>
      </c>
      <c r="D674" s="40" t="str" cm="1">
        <f t="array" ref="D674">IFERROR(_xlfn.LET(
_xlpm.CSVVal,_xlfn.XLOOKUP($A674,CSV!$A:$A,CSV!D:D,""),
_xlpm.MacVal,_xlfn.XLOOKUP($A674,Output_Mac!$A:$A,Output_Mac!C:C,""),
_xlpm.MyAuditVal,_xlfn.XLOOKUP($A674,My_Audit!$A:$A,My_Audit!C:C,""),
_xlfn.IFS(_xlpm.MyAuditVal&lt;&gt;"",_xlpm.MyAuditVal,_xlpm.MacVal&lt;&gt;"",_xlpm.MacVal,_xlpm.CSVVal&lt;&gt;"",_xlpm.CSVVal
)),"")</f>
        <v/>
      </c>
      <c r="E674" s="40" t="str">
        <f>_xlfn.XLOOKUP(A674,My_Audit!A:A,My_Audit!D:D,"")</f>
        <v/>
      </c>
      <c r="F674" s="40" t="str" cm="1">
        <f t="array" ref="F674">IFERROR(_xlfn.LET(
_xlpm.CSVVal,_xlfn.XLOOKUP($A674,CSV!$A:$A,CSV!F:F,""),
_xlpm.MacVal,_xlfn.XLOOKUP($A674,Output_Mac!$A:$A,Output_Mac!E:E,""),
_xlpm.MyAuditVal,_xlfn.XLOOKUP($A674,My_Audit!$A:$A,My_Audit!E:E,""),
_xlfn.IFS(_xlpm.MyAuditVal&lt;&gt;"",_xlpm.MyAuditVal,_xlpm.MacVal&lt;&gt;"",_xlpm.MacVal,_xlpm.CSVVal&lt;&gt;"",_xlpm.CSVVal
)),"")</f>
        <v/>
      </c>
      <c r="G674" s="40" t="str" cm="1">
        <f t="array" ref="G674">IFERROR(_xlfn.LET(
_xlpm.CSVVal,_xlfn.XLOOKUP($A674,CSV!$A:$A,CSV!G:G,""),
_xlpm.MacVal,_xlfn.XLOOKUP($A674,Output_Mac!$A:$A,Output_Mac!F:F,""),
_xlpm.MyAuditVal,_xlfn.XLOOKUP($A674,My_Audit!$A:$A,My_Audit!F:F,""),
_xlfn.IFS(_xlpm.MyAuditVal&lt;&gt;"",_xlpm.MyAuditVal,_xlpm.MacVal&lt;&gt;"",_xlpm.MacVal,_xlpm.CSVVal&lt;&gt;"",PROPER(_xlpm.CSVVal)
)),"")</f>
        <v/>
      </c>
      <c r="H674" s="40" t="str" cm="1">
        <f t="array" ref="H674">IFERROR(_xlfn.LET(
_xlpm.CSVVal,_xlfn.XLOOKUP($A674,CSV!$A:$A,CSV!H:H,""),
_xlpm.MacVal,_xlfn.XLOOKUP($A674,Output_Mac!$A:$A,Output_Mac!H:H,""),
_xlpm.MyAuditVal,_xlfn.XLOOKUP($A674,My_Audit!$A:$A,My_Audit!G:G,""),
_xlfn.IFS(_xlpm.MyAuditVal&lt;&gt;"",_xlpm.MyAuditVal,_xlpm.MacVal&lt;&gt;"",_xlpm.MacVal,_xlpm.CSVVal&lt;&gt;"",_xlpm.CSVVal
)),"")</f>
        <v/>
      </c>
      <c r="I674" s="40" t="str">
        <f>_xlfn.XLOOKUP(A674,Output_Mac!A:A,Output_Mac!I:I,"")</f>
        <v/>
      </c>
      <c r="J674" s="40" t="str" cm="1">
        <f t="array" ref="J674">IFERROR(_xlfn.LET(
_xlpm.CSVVal,_xlfn.XLOOKUP($A674,CSV!$A:$A,CSV!I:I,""),
_xlpm.MacVal,_xlfn.XLOOKUP($A674,Output_Mac!$A:$A,Output_Mac!J:J,""),
_xlpm.MyAuditVal,_xlfn.XLOOKUP($A674,My_Audit!$A:$A,My_Audit!I:I,""),
_xlfn.IFS(_xlpm.MyAuditVal&lt;&gt;"",UPPER(_xlpm.MyAuditVal),_xlpm.MacVal&lt;&gt;"",_xlpm.MacVal,_xlpm.CSVVal&lt;&gt;"",_xlpm.CSVVal
)),"")</f>
        <v/>
      </c>
      <c r="K674" s="40" t="str" cm="1">
        <f t="array" ref="K674">IFERROR(_xlfn.LET(
_xlpm.CSVVal,_xlfn.XLOOKUP($A674,CSV!$A:$A,CSV!K:K,""),
_xlpm.MacVal,_xlfn.XLOOKUP($A674,Output_Mac!$A:$A,Output_Mac!K:K,""),
_xlpm.MyAuditVal,_xlfn.XLOOKUP($A674,My_Audit!$A:$A,My_Audit!J:J,""),
_xlfn.IFS(_xlpm.MyAuditVal&lt;&gt;"",UPPER(_xlpm.MyAuditVal),_xlpm.MacVal&lt;&gt;"",_xlpm.MacVal,_xlpm.CSVVal&lt;&gt;"",_xlpm.CSVVal
)),"")</f>
        <v/>
      </c>
      <c r="L674" s="40" t="str" cm="1">
        <f t="array" ref="L674">IFERROR(_xlfn.LET(
_xlpm.CSVVal,_xlfn.XLOOKUP($A674,CSV!$A:$A,CSV!P:P,""),
_xlpm.MacVal,_xlfn.XLOOKUP($A674,Output_Mac!$A:$A,Output_Mac!L:L,""),
_xlpm.MyAuditVal,_xlfn.XLOOKUP($A674,My_Audit!$A:$A,My_Audit!K:K,""),
_xlfn.IFS(_xlpm.MyAuditVal&lt;&gt;"",UPPER(_xlpm.MyAuditVal),_xlpm.MacVal&lt;&gt;"",_xlpm.MacVal,_xlpm.CSVVal&lt;&gt;"",_xlpm.CSVVal
)),"")</f>
        <v/>
      </c>
      <c r="M674" s="40" t="str" cm="1">
        <f t="array" ref="M674">IFERROR(_xlfn.LET(
_xlpm.CSVVal,_xlfn.XLOOKUP($A674,CSV!$A:$A,CSV!Q:Q,""),
_xlpm.MacVal,_xlfn.XLOOKUP($A674,Output_Mac!$A:$A,Output_Mac!M:M,""),
_xlpm.MyAuditVal,_xlfn.XLOOKUP($A674,My_Audit!$A:$A,My_Audit!L:L,""),
_xlfn.IFS(_xlpm.MyAuditVal&lt;&gt;"",UPPER(_xlpm.MyAuditVal),_xlpm.MacVal&lt;&gt;"",_xlpm.MacVal,_xlpm.CSVVal&lt;&gt;"",_xlpm.CSVVal
)),"")</f>
        <v/>
      </c>
      <c r="N674" s="40"/>
      <c r="O674" s="40" t="str">
        <f>_xlfn.LET(
    _xlpm.CSVVal, _xlfn.XLOOKUP($A674, CSV!$A:$A, CSV!AA:AA, ""),
    _xlpm.MacVal, _xlfn.XLOOKUP($A674, Output_Mac!$A:$A, Output_Mac!S:S, ""),
    _xlpm.MyAuditVal, _xlfn.XLOOKUP($A674, My_Audit!$A:$A, My_Audit!P:P, ""),
    _xlfn.TEXTJOIN(", ", TRUE, _xlpm.MyAuditVal, _xlpm.MacVal, _xlpm.CSVVal)
)</f>
        <v/>
      </c>
      <c r="P674" s="40" t="str" cm="1">
        <f t="array" ref="P674">IFERROR(_xlfn.LET(
_xlpm.CSVVal,_xlfn.XLOOKUP($A674,CSV!$A:$A,CSV!AB:AB,""),
_xlpm.MacVal,_xlfn.XLOOKUP($A674,Output_Mac!$A:$A,Output_Mac!T:T,""),
_xlpm.MyAuditVal,_xlfn.XLOOKUP($A674,My_Audit!$A:$A,My_Audit!Q:Q,""),
_xlfn.IFS(_xlpm.MyAuditVal&lt;&gt;"",UPPER(_xlpm.MyAuditVal),_xlpm.MacVal&lt;&gt;"",_xlpm.MacVal,_xlpm.CSVVal&lt;&gt;"",_xlpm.CSVVal
)),"No")</f>
        <v>No</v>
      </c>
      <c r="Q674" s="40" t="str" cm="1">
        <f t="array" ref="Q674">IFERROR(_xlfn.LET(
_xlpm.CSVVal,_xlfn.XLOOKUP($A674,CSV!$A:$A,CSV!AC:AC,""),
_xlpm.MacVal,_xlfn.XLOOKUP($A674,Output_Mac!$A:$A,Output_Mac!U:U,""),
_xlpm.MyAuditVal,_xlfn.XLOOKUP($A674,My_Audit!$A:$A,My_Audit!R:R,""),
_xlfn.IFS(_xlpm.MyAuditVal&lt;&gt;"",UPPER(_xlpm.MyAuditVal),_xlpm.MacVal&lt;&gt;"",_xlpm.MacVal,_xlpm.CSVVal&lt;&gt;"",_xlpm.CSVVal
)),"")</f>
        <v/>
      </c>
      <c r="R674" s="40"/>
      <c r="S674" s="40"/>
      <c r="T674" s="40"/>
      <c r="U674" s="40"/>
      <c r="V674" s="40"/>
      <c r="W674" s="40"/>
      <c r="X674" s="41" t="str">
        <f>_xlfn.LET(
    _xlpm.MacVal, _xlfn.XLOOKUP($A674, Output_Mac!$A:$A, Output_Mac!AB:AB, ""),
    _xlpm.MyAuditVal, _xlfn.XLOOKUP($A674, My_Audit!$A:$A, My_Audit!N:N, ""),
    _xlfn.TEXTJOIN(", ", TRUE, _xlpm.MyAuditVal, _xlpm.MacVal)
)</f>
        <v/>
      </c>
    </row>
    <row r="675" spans="1:24">
      <c r="A675" s="40" t="str">
        <f>_xlfn.TEXTJOIN("",TRUE,Input!$B$2,ROW(My_Audit!A674))</f>
        <v>X674</v>
      </c>
      <c r="B675" s="40" t="str">
        <f>_xlfn.TEXTJOIN("-",TRUE,"ITD",Input!$A$2,A675)</f>
        <v>ITD-X674</v>
      </c>
      <c r="C675" s="40" t="str" cm="1">
        <f t="array" ref="C675">IFERROR(_xlfn.LET(
_xlpm.CSVVal,_xlfn.XLOOKUP($A675,CSV!$A:$A,CSV!B:B,""),
_xlpm.MacVal,_xlfn.XLOOKUP($A675,Output_Mac!$A:$A,Output_Mac!B:B,""),
_xlpm.MyAuditVal,_xlfn.XLOOKUP($A675,My_Audit!$A:$A,My_Audit!B:B,""),
_xlfn.IFS(_xlpm.MyAuditVal&lt;&gt;"",UPPER(_xlpm.MyAuditVal),_xlpm.MacVal&lt;&gt;"",_xlpm.MacVal,_xlpm.CSVVal&lt;&gt;"",_xlpm.CSVVal
)),"")</f>
        <v/>
      </c>
      <c r="D675" s="40" t="str" cm="1">
        <f t="array" ref="D675">IFERROR(_xlfn.LET(
_xlpm.CSVVal,_xlfn.XLOOKUP($A675,CSV!$A:$A,CSV!D:D,""),
_xlpm.MacVal,_xlfn.XLOOKUP($A675,Output_Mac!$A:$A,Output_Mac!C:C,""),
_xlpm.MyAuditVal,_xlfn.XLOOKUP($A675,My_Audit!$A:$A,My_Audit!C:C,""),
_xlfn.IFS(_xlpm.MyAuditVal&lt;&gt;"",_xlpm.MyAuditVal,_xlpm.MacVal&lt;&gt;"",_xlpm.MacVal,_xlpm.CSVVal&lt;&gt;"",_xlpm.CSVVal
)),"")</f>
        <v/>
      </c>
      <c r="E675" s="40" t="str">
        <f>_xlfn.XLOOKUP(A675,My_Audit!A:A,My_Audit!D:D,"")</f>
        <v/>
      </c>
      <c r="F675" s="40" t="str" cm="1">
        <f t="array" ref="F675">IFERROR(_xlfn.LET(
_xlpm.CSVVal,_xlfn.XLOOKUP($A675,CSV!$A:$A,CSV!F:F,""),
_xlpm.MacVal,_xlfn.XLOOKUP($A675,Output_Mac!$A:$A,Output_Mac!E:E,""),
_xlpm.MyAuditVal,_xlfn.XLOOKUP($A675,My_Audit!$A:$A,My_Audit!E:E,""),
_xlfn.IFS(_xlpm.MyAuditVal&lt;&gt;"",_xlpm.MyAuditVal,_xlpm.MacVal&lt;&gt;"",_xlpm.MacVal,_xlpm.CSVVal&lt;&gt;"",_xlpm.CSVVal
)),"")</f>
        <v/>
      </c>
      <c r="G675" s="40" t="str" cm="1">
        <f t="array" ref="G675">IFERROR(_xlfn.LET(
_xlpm.CSVVal,_xlfn.XLOOKUP($A675,CSV!$A:$A,CSV!G:G,""),
_xlpm.MacVal,_xlfn.XLOOKUP($A675,Output_Mac!$A:$A,Output_Mac!F:F,""),
_xlpm.MyAuditVal,_xlfn.XLOOKUP($A675,My_Audit!$A:$A,My_Audit!F:F,""),
_xlfn.IFS(_xlpm.MyAuditVal&lt;&gt;"",_xlpm.MyAuditVal,_xlpm.MacVal&lt;&gt;"",_xlpm.MacVal,_xlpm.CSVVal&lt;&gt;"",PROPER(_xlpm.CSVVal)
)),"")</f>
        <v/>
      </c>
      <c r="H675" s="40" t="str" cm="1">
        <f t="array" ref="H675">IFERROR(_xlfn.LET(
_xlpm.CSVVal,_xlfn.XLOOKUP($A675,CSV!$A:$A,CSV!H:H,""),
_xlpm.MacVal,_xlfn.XLOOKUP($A675,Output_Mac!$A:$A,Output_Mac!H:H,""),
_xlpm.MyAuditVal,_xlfn.XLOOKUP($A675,My_Audit!$A:$A,My_Audit!G:G,""),
_xlfn.IFS(_xlpm.MyAuditVal&lt;&gt;"",_xlpm.MyAuditVal,_xlpm.MacVal&lt;&gt;"",_xlpm.MacVal,_xlpm.CSVVal&lt;&gt;"",_xlpm.CSVVal
)),"")</f>
        <v/>
      </c>
      <c r="I675" s="40" t="str">
        <f>_xlfn.XLOOKUP(A675,Output_Mac!A:A,Output_Mac!I:I,"")</f>
        <v/>
      </c>
      <c r="J675" s="40" t="str" cm="1">
        <f t="array" ref="J675">IFERROR(_xlfn.LET(
_xlpm.CSVVal,_xlfn.XLOOKUP($A675,CSV!$A:$A,CSV!I:I,""),
_xlpm.MacVal,_xlfn.XLOOKUP($A675,Output_Mac!$A:$A,Output_Mac!J:J,""),
_xlpm.MyAuditVal,_xlfn.XLOOKUP($A675,My_Audit!$A:$A,My_Audit!I:I,""),
_xlfn.IFS(_xlpm.MyAuditVal&lt;&gt;"",UPPER(_xlpm.MyAuditVal),_xlpm.MacVal&lt;&gt;"",_xlpm.MacVal,_xlpm.CSVVal&lt;&gt;"",_xlpm.CSVVal
)),"")</f>
        <v/>
      </c>
      <c r="K675" s="40" t="str" cm="1">
        <f t="array" ref="K675">IFERROR(_xlfn.LET(
_xlpm.CSVVal,_xlfn.XLOOKUP($A675,CSV!$A:$A,CSV!K:K,""),
_xlpm.MacVal,_xlfn.XLOOKUP($A675,Output_Mac!$A:$A,Output_Mac!K:K,""),
_xlpm.MyAuditVal,_xlfn.XLOOKUP($A675,My_Audit!$A:$A,My_Audit!J:J,""),
_xlfn.IFS(_xlpm.MyAuditVal&lt;&gt;"",UPPER(_xlpm.MyAuditVal),_xlpm.MacVal&lt;&gt;"",_xlpm.MacVal,_xlpm.CSVVal&lt;&gt;"",_xlpm.CSVVal
)),"")</f>
        <v/>
      </c>
      <c r="L675" s="40" t="str" cm="1">
        <f t="array" ref="L675">IFERROR(_xlfn.LET(
_xlpm.CSVVal,_xlfn.XLOOKUP($A675,CSV!$A:$A,CSV!P:P,""),
_xlpm.MacVal,_xlfn.XLOOKUP($A675,Output_Mac!$A:$A,Output_Mac!L:L,""),
_xlpm.MyAuditVal,_xlfn.XLOOKUP($A675,My_Audit!$A:$A,My_Audit!K:K,""),
_xlfn.IFS(_xlpm.MyAuditVal&lt;&gt;"",UPPER(_xlpm.MyAuditVal),_xlpm.MacVal&lt;&gt;"",_xlpm.MacVal,_xlpm.CSVVal&lt;&gt;"",_xlpm.CSVVal
)),"")</f>
        <v/>
      </c>
      <c r="M675" s="40" t="str" cm="1">
        <f t="array" ref="M675">IFERROR(_xlfn.LET(
_xlpm.CSVVal,_xlfn.XLOOKUP($A675,CSV!$A:$A,CSV!Q:Q,""),
_xlpm.MacVal,_xlfn.XLOOKUP($A675,Output_Mac!$A:$A,Output_Mac!M:M,""),
_xlpm.MyAuditVal,_xlfn.XLOOKUP($A675,My_Audit!$A:$A,My_Audit!L:L,""),
_xlfn.IFS(_xlpm.MyAuditVal&lt;&gt;"",UPPER(_xlpm.MyAuditVal),_xlpm.MacVal&lt;&gt;"",_xlpm.MacVal,_xlpm.CSVVal&lt;&gt;"",_xlpm.CSVVal
)),"")</f>
        <v/>
      </c>
      <c r="N675" s="40"/>
      <c r="O675" s="40" t="str">
        <f>_xlfn.LET(
    _xlpm.CSVVal, _xlfn.XLOOKUP($A675, CSV!$A:$A, CSV!AA:AA, ""),
    _xlpm.MacVal, _xlfn.XLOOKUP($A675, Output_Mac!$A:$A, Output_Mac!S:S, ""),
    _xlpm.MyAuditVal, _xlfn.XLOOKUP($A675, My_Audit!$A:$A, My_Audit!P:P, ""),
    _xlfn.TEXTJOIN(", ", TRUE, _xlpm.MyAuditVal, _xlpm.MacVal, _xlpm.CSVVal)
)</f>
        <v/>
      </c>
      <c r="P675" s="40" t="str" cm="1">
        <f t="array" ref="P675">IFERROR(_xlfn.LET(
_xlpm.CSVVal,_xlfn.XLOOKUP($A675,CSV!$A:$A,CSV!AB:AB,""),
_xlpm.MacVal,_xlfn.XLOOKUP($A675,Output_Mac!$A:$A,Output_Mac!T:T,""),
_xlpm.MyAuditVal,_xlfn.XLOOKUP($A675,My_Audit!$A:$A,My_Audit!Q:Q,""),
_xlfn.IFS(_xlpm.MyAuditVal&lt;&gt;"",UPPER(_xlpm.MyAuditVal),_xlpm.MacVal&lt;&gt;"",_xlpm.MacVal,_xlpm.CSVVal&lt;&gt;"",_xlpm.CSVVal
)),"No")</f>
        <v>No</v>
      </c>
      <c r="Q675" s="40" t="str" cm="1">
        <f t="array" ref="Q675">IFERROR(_xlfn.LET(
_xlpm.CSVVal,_xlfn.XLOOKUP($A675,CSV!$A:$A,CSV!AC:AC,""),
_xlpm.MacVal,_xlfn.XLOOKUP($A675,Output_Mac!$A:$A,Output_Mac!U:U,""),
_xlpm.MyAuditVal,_xlfn.XLOOKUP($A675,My_Audit!$A:$A,My_Audit!R:R,""),
_xlfn.IFS(_xlpm.MyAuditVal&lt;&gt;"",UPPER(_xlpm.MyAuditVal),_xlpm.MacVal&lt;&gt;"",_xlpm.MacVal,_xlpm.CSVVal&lt;&gt;"",_xlpm.CSVVal
)),"")</f>
        <v/>
      </c>
      <c r="R675" s="40"/>
      <c r="S675" s="40"/>
      <c r="T675" s="40"/>
      <c r="U675" s="40"/>
      <c r="V675" s="40"/>
      <c r="W675" s="40"/>
      <c r="X675" s="41" t="str">
        <f>_xlfn.LET(
    _xlpm.MacVal, _xlfn.XLOOKUP($A675, Output_Mac!$A:$A, Output_Mac!AB:AB, ""),
    _xlpm.MyAuditVal, _xlfn.XLOOKUP($A675, My_Audit!$A:$A, My_Audit!N:N, ""),
    _xlfn.TEXTJOIN(", ", TRUE, _xlpm.MyAuditVal, _xlpm.MacVal)
)</f>
        <v/>
      </c>
    </row>
    <row r="676" spans="1:24">
      <c r="A676" s="40" t="str">
        <f>_xlfn.TEXTJOIN("",TRUE,Input!$B$2,ROW(My_Audit!A675))</f>
        <v>X675</v>
      </c>
      <c r="B676" s="40" t="str">
        <f>_xlfn.TEXTJOIN("-",TRUE,"ITD",Input!$A$2,A676)</f>
        <v>ITD-X675</v>
      </c>
      <c r="C676" s="40" t="str" cm="1">
        <f t="array" ref="C676">IFERROR(_xlfn.LET(
_xlpm.CSVVal,_xlfn.XLOOKUP($A676,CSV!$A:$A,CSV!B:B,""),
_xlpm.MacVal,_xlfn.XLOOKUP($A676,Output_Mac!$A:$A,Output_Mac!B:B,""),
_xlpm.MyAuditVal,_xlfn.XLOOKUP($A676,My_Audit!$A:$A,My_Audit!B:B,""),
_xlfn.IFS(_xlpm.MyAuditVal&lt;&gt;"",UPPER(_xlpm.MyAuditVal),_xlpm.MacVal&lt;&gt;"",_xlpm.MacVal,_xlpm.CSVVal&lt;&gt;"",_xlpm.CSVVal
)),"")</f>
        <v/>
      </c>
      <c r="D676" s="40" t="str" cm="1">
        <f t="array" ref="D676">IFERROR(_xlfn.LET(
_xlpm.CSVVal,_xlfn.XLOOKUP($A676,CSV!$A:$A,CSV!D:D,""),
_xlpm.MacVal,_xlfn.XLOOKUP($A676,Output_Mac!$A:$A,Output_Mac!C:C,""),
_xlpm.MyAuditVal,_xlfn.XLOOKUP($A676,My_Audit!$A:$A,My_Audit!C:C,""),
_xlfn.IFS(_xlpm.MyAuditVal&lt;&gt;"",_xlpm.MyAuditVal,_xlpm.MacVal&lt;&gt;"",_xlpm.MacVal,_xlpm.CSVVal&lt;&gt;"",_xlpm.CSVVal
)),"")</f>
        <v/>
      </c>
      <c r="E676" s="40" t="str">
        <f>_xlfn.XLOOKUP(A676,My_Audit!A:A,My_Audit!D:D,"")</f>
        <v/>
      </c>
      <c r="F676" s="40" t="str" cm="1">
        <f t="array" ref="F676">IFERROR(_xlfn.LET(
_xlpm.CSVVal,_xlfn.XLOOKUP($A676,CSV!$A:$A,CSV!F:F,""),
_xlpm.MacVal,_xlfn.XLOOKUP($A676,Output_Mac!$A:$A,Output_Mac!E:E,""),
_xlpm.MyAuditVal,_xlfn.XLOOKUP($A676,My_Audit!$A:$A,My_Audit!E:E,""),
_xlfn.IFS(_xlpm.MyAuditVal&lt;&gt;"",_xlpm.MyAuditVal,_xlpm.MacVal&lt;&gt;"",_xlpm.MacVal,_xlpm.CSVVal&lt;&gt;"",_xlpm.CSVVal
)),"")</f>
        <v/>
      </c>
      <c r="G676" s="40" t="str" cm="1">
        <f t="array" ref="G676">IFERROR(_xlfn.LET(
_xlpm.CSVVal,_xlfn.XLOOKUP($A676,CSV!$A:$A,CSV!G:G,""),
_xlpm.MacVal,_xlfn.XLOOKUP($A676,Output_Mac!$A:$A,Output_Mac!F:F,""),
_xlpm.MyAuditVal,_xlfn.XLOOKUP($A676,My_Audit!$A:$A,My_Audit!F:F,""),
_xlfn.IFS(_xlpm.MyAuditVal&lt;&gt;"",_xlpm.MyAuditVal,_xlpm.MacVal&lt;&gt;"",_xlpm.MacVal,_xlpm.CSVVal&lt;&gt;"",PROPER(_xlpm.CSVVal)
)),"")</f>
        <v/>
      </c>
      <c r="H676" s="40" t="str" cm="1">
        <f t="array" ref="H676">IFERROR(_xlfn.LET(
_xlpm.CSVVal,_xlfn.XLOOKUP($A676,CSV!$A:$A,CSV!H:H,""),
_xlpm.MacVal,_xlfn.XLOOKUP($A676,Output_Mac!$A:$A,Output_Mac!H:H,""),
_xlpm.MyAuditVal,_xlfn.XLOOKUP($A676,My_Audit!$A:$A,My_Audit!G:G,""),
_xlfn.IFS(_xlpm.MyAuditVal&lt;&gt;"",_xlpm.MyAuditVal,_xlpm.MacVal&lt;&gt;"",_xlpm.MacVal,_xlpm.CSVVal&lt;&gt;"",_xlpm.CSVVal
)),"")</f>
        <v/>
      </c>
      <c r="I676" s="40" t="str">
        <f>_xlfn.XLOOKUP(A676,Output_Mac!A:A,Output_Mac!I:I,"")</f>
        <v/>
      </c>
      <c r="J676" s="40" t="str" cm="1">
        <f t="array" ref="J676">IFERROR(_xlfn.LET(
_xlpm.CSVVal,_xlfn.XLOOKUP($A676,CSV!$A:$A,CSV!I:I,""),
_xlpm.MacVal,_xlfn.XLOOKUP($A676,Output_Mac!$A:$A,Output_Mac!J:J,""),
_xlpm.MyAuditVal,_xlfn.XLOOKUP($A676,My_Audit!$A:$A,My_Audit!I:I,""),
_xlfn.IFS(_xlpm.MyAuditVal&lt;&gt;"",UPPER(_xlpm.MyAuditVal),_xlpm.MacVal&lt;&gt;"",_xlpm.MacVal,_xlpm.CSVVal&lt;&gt;"",_xlpm.CSVVal
)),"")</f>
        <v/>
      </c>
      <c r="K676" s="40" t="str" cm="1">
        <f t="array" ref="K676">IFERROR(_xlfn.LET(
_xlpm.CSVVal,_xlfn.XLOOKUP($A676,CSV!$A:$A,CSV!K:K,""),
_xlpm.MacVal,_xlfn.XLOOKUP($A676,Output_Mac!$A:$A,Output_Mac!K:K,""),
_xlpm.MyAuditVal,_xlfn.XLOOKUP($A676,My_Audit!$A:$A,My_Audit!J:J,""),
_xlfn.IFS(_xlpm.MyAuditVal&lt;&gt;"",UPPER(_xlpm.MyAuditVal),_xlpm.MacVal&lt;&gt;"",_xlpm.MacVal,_xlpm.CSVVal&lt;&gt;"",_xlpm.CSVVal
)),"")</f>
        <v/>
      </c>
      <c r="L676" s="40" t="str" cm="1">
        <f t="array" ref="L676">IFERROR(_xlfn.LET(
_xlpm.CSVVal,_xlfn.XLOOKUP($A676,CSV!$A:$A,CSV!P:P,""),
_xlpm.MacVal,_xlfn.XLOOKUP($A676,Output_Mac!$A:$A,Output_Mac!L:L,""),
_xlpm.MyAuditVal,_xlfn.XLOOKUP($A676,My_Audit!$A:$A,My_Audit!K:K,""),
_xlfn.IFS(_xlpm.MyAuditVal&lt;&gt;"",UPPER(_xlpm.MyAuditVal),_xlpm.MacVal&lt;&gt;"",_xlpm.MacVal,_xlpm.CSVVal&lt;&gt;"",_xlpm.CSVVal
)),"")</f>
        <v/>
      </c>
      <c r="M676" s="40" t="str" cm="1">
        <f t="array" ref="M676">IFERROR(_xlfn.LET(
_xlpm.CSVVal,_xlfn.XLOOKUP($A676,CSV!$A:$A,CSV!Q:Q,""),
_xlpm.MacVal,_xlfn.XLOOKUP($A676,Output_Mac!$A:$A,Output_Mac!M:M,""),
_xlpm.MyAuditVal,_xlfn.XLOOKUP($A676,My_Audit!$A:$A,My_Audit!L:L,""),
_xlfn.IFS(_xlpm.MyAuditVal&lt;&gt;"",UPPER(_xlpm.MyAuditVal),_xlpm.MacVal&lt;&gt;"",_xlpm.MacVal,_xlpm.CSVVal&lt;&gt;"",_xlpm.CSVVal
)),"")</f>
        <v/>
      </c>
      <c r="N676" s="40"/>
      <c r="O676" s="40" t="str">
        <f>_xlfn.LET(
    _xlpm.CSVVal, _xlfn.XLOOKUP($A676, CSV!$A:$A, CSV!AA:AA, ""),
    _xlpm.MacVal, _xlfn.XLOOKUP($A676, Output_Mac!$A:$A, Output_Mac!S:S, ""),
    _xlpm.MyAuditVal, _xlfn.XLOOKUP($A676, My_Audit!$A:$A, My_Audit!P:P, ""),
    _xlfn.TEXTJOIN(", ", TRUE, _xlpm.MyAuditVal, _xlpm.MacVal, _xlpm.CSVVal)
)</f>
        <v/>
      </c>
      <c r="P676" s="40" t="str" cm="1">
        <f t="array" ref="P676">IFERROR(_xlfn.LET(
_xlpm.CSVVal,_xlfn.XLOOKUP($A676,CSV!$A:$A,CSV!AB:AB,""),
_xlpm.MacVal,_xlfn.XLOOKUP($A676,Output_Mac!$A:$A,Output_Mac!T:T,""),
_xlpm.MyAuditVal,_xlfn.XLOOKUP($A676,My_Audit!$A:$A,My_Audit!Q:Q,""),
_xlfn.IFS(_xlpm.MyAuditVal&lt;&gt;"",UPPER(_xlpm.MyAuditVal),_xlpm.MacVal&lt;&gt;"",_xlpm.MacVal,_xlpm.CSVVal&lt;&gt;"",_xlpm.CSVVal
)),"No")</f>
        <v>No</v>
      </c>
      <c r="Q676" s="40" t="str" cm="1">
        <f t="array" ref="Q676">IFERROR(_xlfn.LET(
_xlpm.CSVVal,_xlfn.XLOOKUP($A676,CSV!$A:$A,CSV!AC:AC,""),
_xlpm.MacVal,_xlfn.XLOOKUP($A676,Output_Mac!$A:$A,Output_Mac!U:U,""),
_xlpm.MyAuditVal,_xlfn.XLOOKUP($A676,My_Audit!$A:$A,My_Audit!R:R,""),
_xlfn.IFS(_xlpm.MyAuditVal&lt;&gt;"",UPPER(_xlpm.MyAuditVal),_xlpm.MacVal&lt;&gt;"",_xlpm.MacVal,_xlpm.CSVVal&lt;&gt;"",_xlpm.CSVVal
)),"")</f>
        <v/>
      </c>
      <c r="R676" s="40"/>
      <c r="S676" s="40"/>
      <c r="T676" s="40"/>
      <c r="U676" s="40"/>
      <c r="V676" s="40"/>
      <c r="W676" s="40"/>
      <c r="X676" s="41" t="str">
        <f>_xlfn.LET(
    _xlpm.MacVal, _xlfn.XLOOKUP($A676, Output_Mac!$A:$A, Output_Mac!AB:AB, ""),
    _xlpm.MyAuditVal, _xlfn.XLOOKUP($A676, My_Audit!$A:$A, My_Audit!N:N, ""),
    _xlfn.TEXTJOIN(", ", TRUE, _xlpm.MyAuditVal, _xlpm.MacVal)
)</f>
        <v/>
      </c>
    </row>
    <row r="677" spans="1:24">
      <c r="A677" s="40" t="str">
        <f>_xlfn.TEXTJOIN("",TRUE,Input!$B$2,ROW(My_Audit!A676))</f>
        <v>X676</v>
      </c>
      <c r="B677" s="40" t="str">
        <f>_xlfn.TEXTJOIN("-",TRUE,"ITD",Input!$A$2,A677)</f>
        <v>ITD-X676</v>
      </c>
      <c r="C677" s="40" t="str" cm="1">
        <f t="array" ref="C677">IFERROR(_xlfn.LET(
_xlpm.CSVVal,_xlfn.XLOOKUP($A677,CSV!$A:$A,CSV!B:B,""),
_xlpm.MacVal,_xlfn.XLOOKUP($A677,Output_Mac!$A:$A,Output_Mac!B:B,""),
_xlpm.MyAuditVal,_xlfn.XLOOKUP($A677,My_Audit!$A:$A,My_Audit!B:B,""),
_xlfn.IFS(_xlpm.MyAuditVal&lt;&gt;"",UPPER(_xlpm.MyAuditVal),_xlpm.MacVal&lt;&gt;"",_xlpm.MacVal,_xlpm.CSVVal&lt;&gt;"",_xlpm.CSVVal
)),"")</f>
        <v/>
      </c>
      <c r="D677" s="40" t="str" cm="1">
        <f t="array" ref="D677">IFERROR(_xlfn.LET(
_xlpm.CSVVal,_xlfn.XLOOKUP($A677,CSV!$A:$A,CSV!D:D,""),
_xlpm.MacVal,_xlfn.XLOOKUP($A677,Output_Mac!$A:$A,Output_Mac!C:C,""),
_xlpm.MyAuditVal,_xlfn.XLOOKUP($A677,My_Audit!$A:$A,My_Audit!C:C,""),
_xlfn.IFS(_xlpm.MyAuditVal&lt;&gt;"",_xlpm.MyAuditVal,_xlpm.MacVal&lt;&gt;"",_xlpm.MacVal,_xlpm.CSVVal&lt;&gt;"",_xlpm.CSVVal
)),"")</f>
        <v/>
      </c>
      <c r="E677" s="40" t="str">
        <f>_xlfn.XLOOKUP(A677,My_Audit!A:A,My_Audit!D:D,"")</f>
        <v/>
      </c>
      <c r="F677" s="40" t="str" cm="1">
        <f t="array" ref="F677">IFERROR(_xlfn.LET(
_xlpm.CSVVal,_xlfn.XLOOKUP($A677,CSV!$A:$A,CSV!F:F,""),
_xlpm.MacVal,_xlfn.XLOOKUP($A677,Output_Mac!$A:$A,Output_Mac!E:E,""),
_xlpm.MyAuditVal,_xlfn.XLOOKUP($A677,My_Audit!$A:$A,My_Audit!E:E,""),
_xlfn.IFS(_xlpm.MyAuditVal&lt;&gt;"",_xlpm.MyAuditVal,_xlpm.MacVal&lt;&gt;"",_xlpm.MacVal,_xlpm.CSVVal&lt;&gt;"",_xlpm.CSVVal
)),"")</f>
        <v/>
      </c>
      <c r="G677" s="40" t="str" cm="1">
        <f t="array" ref="G677">IFERROR(_xlfn.LET(
_xlpm.CSVVal,_xlfn.XLOOKUP($A677,CSV!$A:$A,CSV!G:G,""),
_xlpm.MacVal,_xlfn.XLOOKUP($A677,Output_Mac!$A:$A,Output_Mac!F:F,""),
_xlpm.MyAuditVal,_xlfn.XLOOKUP($A677,My_Audit!$A:$A,My_Audit!F:F,""),
_xlfn.IFS(_xlpm.MyAuditVal&lt;&gt;"",_xlpm.MyAuditVal,_xlpm.MacVal&lt;&gt;"",_xlpm.MacVal,_xlpm.CSVVal&lt;&gt;"",PROPER(_xlpm.CSVVal)
)),"")</f>
        <v/>
      </c>
      <c r="H677" s="40" t="str" cm="1">
        <f t="array" ref="H677">IFERROR(_xlfn.LET(
_xlpm.CSVVal,_xlfn.XLOOKUP($A677,CSV!$A:$A,CSV!H:H,""),
_xlpm.MacVal,_xlfn.XLOOKUP($A677,Output_Mac!$A:$A,Output_Mac!H:H,""),
_xlpm.MyAuditVal,_xlfn.XLOOKUP($A677,My_Audit!$A:$A,My_Audit!G:G,""),
_xlfn.IFS(_xlpm.MyAuditVal&lt;&gt;"",_xlpm.MyAuditVal,_xlpm.MacVal&lt;&gt;"",_xlpm.MacVal,_xlpm.CSVVal&lt;&gt;"",_xlpm.CSVVal
)),"")</f>
        <v/>
      </c>
      <c r="I677" s="40" t="str">
        <f>_xlfn.XLOOKUP(A677,Output_Mac!A:A,Output_Mac!I:I,"")</f>
        <v/>
      </c>
      <c r="J677" s="40" t="str" cm="1">
        <f t="array" ref="J677">IFERROR(_xlfn.LET(
_xlpm.CSVVal,_xlfn.XLOOKUP($A677,CSV!$A:$A,CSV!I:I,""),
_xlpm.MacVal,_xlfn.XLOOKUP($A677,Output_Mac!$A:$A,Output_Mac!J:J,""),
_xlpm.MyAuditVal,_xlfn.XLOOKUP($A677,My_Audit!$A:$A,My_Audit!I:I,""),
_xlfn.IFS(_xlpm.MyAuditVal&lt;&gt;"",UPPER(_xlpm.MyAuditVal),_xlpm.MacVal&lt;&gt;"",_xlpm.MacVal,_xlpm.CSVVal&lt;&gt;"",_xlpm.CSVVal
)),"")</f>
        <v/>
      </c>
      <c r="K677" s="40" t="str" cm="1">
        <f t="array" ref="K677">IFERROR(_xlfn.LET(
_xlpm.CSVVal,_xlfn.XLOOKUP($A677,CSV!$A:$A,CSV!K:K,""),
_xlpm.MacVal,_xlfn.XLOOKUP($A677,Output_Mac!$A:$A,Output_Mac!K:K,""),
_xlpm.MyAuditVal,_xlfn.XLOOKUP($A677,My_Audit!$A:$A,My_Audit!J:J,""),
_xlfn.IFS(_xlpm.MyAuditVal&lt;&gt;"",UPPER(_xlpm.MyAuditVal),_xlpm.MacVal&lt;&gt;"",_xlpm.MacVal,_xlpm.CSVVal&lt;&gt;"",_xlpm.CSVVal
)),"")</f>
        <v/>
      </c>
      <c r="L677" s="40" t="str" cm="1">
        <f t="array" ref="L677">IFERROR(_xlfn.LET(
_xlpm.CSVVal,_xlfn.XLOOKUP($A677,CSV!$A:$A,CSV!P:P,""),
_xlpm.MacVal,_xlfn.XLOOKUP($A677,Output_Mac!$A:$A,Output_Mac!L:L,""),
_xlpm.MyAuditVal,_xlfn.XLOOKUP($A677,My_Audit!$A:$A,My_Audit!K:K,""),
_xlfn.IFS(_xlpm.MyAuditVal&lt;&gt;"",UPPER(_xlpm.MyAuditVal),_xlpm.MacVal&lt;&gt;"",_xlpm.MacVal,_xlpm.CSVVal&lt;&gt;"",_xlpm.CSVVal
)),"")</f>
        <v/>
      </c>
      <c r="M677" s="40" t="str" cm="1">
        <f t="array" ref="M677">IFERROR(_xlfn.LET(
_xlpm.CSVVal,_xlfn.XLOOKUP($A677,CSV!$A:$A,CSV!Q:Q,""),
_xlpm.MacVal,_xlfn.XLOOKUP($A677,Output_Mac!$A:$A,Output_Mac!M:M,""),
_xlpm.MyAuditVal,_xlfn.XLOOKUP($A677,My_Audit!$A:$A,My_Audit!L:L,""),
_xlfn.IFS(_xlpm.MyAuditVal&lt;&gt;"",UPPER(_xlpm.MyAuditVal),_xlpm.MacVal&lt;&gt;"",_xlpm.MacVal,_xlpm.CSVVal&lt;&gt;"",_xlpm.CSVVal
)),"")</f>
        <v/>
      </c>
      <c r="N677" s="40"/>
      <c r="O677" s="40" t="str">
        <f>_xlfn.LET(
    _xlpm.CSVVal, _xlfn.XLOOKUP($A677, CSV!$A:$A, CSV!AA:AA, ""),
    _xlpm.MacVal, _xlfn.XLOOKUP($A677, Output_Mac!$A:$A, Output_Mac!S:S, ""),
    _xlpm.MyAuditVal, _xlfn.XLOOKUP($A677, My_Audit!$A:$A, My_Audit!P:P, ""),
    _xlfn.TEXTJOIN(", ", TRUE, _xlpm.MyAuditVal, _xlpm.MacVal, _xlpm.CSVVal)
)</f>
        <v/>
      </c>
      <c r="P677" s="40" t="str" cm="1">
        <f t="array" ref="P677">IFERROR(_xlfn.LET(
_xlpm.CSVVal,_xlfn.XLOOKUP($A677,CSV!$A:$A,CSV!AB:AB,""),
_xlpm.MacVal,_xlfn.XLOOKUP($A677,Output_Mac!$A:$A,Output_Mac!T:T,""),
_xlpm.MyAuditVal,_xlfn.XLOOKUP($A677,My_Audit!$A:$A,My_Audit!Q:Q,""),
_xlfn.IFS(_xlpm.MyAuditVal&lt;&gt;"",UPPER(_xlpm.MyAuditVal),_xlpm.MacVal&lt;&gt;"",_xlpm.MacVal,_xlpm.CSVVal&lt;&gt;"",_xlpm.CSVVal
)),"No")</f>
        <v>No</v>
      </c>
      <c r="Q677" s="40" t="str" cm="1">
        <f t="array" ref="Q677">IFERROR(_xlfn.LET(
_xlpm.CSVVal,_xlfn.XLOOKUP($A677,CSV!$A:$A,CSV!AC:AC,""),
_xlpm.MacVal,_xlfn.XLOOKUP($A677,Output_Mac!$A:$A,Output_Mac!U:U,""),
_xlpm.MyAuditVal,_xlfn.XLOOKUP($A677,My_Audit!$A:$A,My_Audit!R:R,""),
_xlfn.IFS(_xlpm.MyAuditVal&lt;&gt;"",UPPER(_xlpm.MyAuditVal),_xlpm.MacVal&lt;&gt;"",_xlpm.MacVal,_xlpm.CSVVal&lt;&gt;"",_xlpm.CSVVal
)),"")</f>
        <v/>
      </c>
      <c r="R677" s="40"/>
      <c r="S677" s="40"/>
      <c r="T677" s="40"/>
      <c r="U677" s="40"/>
      <c r="V677" s="40"/>
      <c r="W677" s="40"/>
      <c r="X677" s="41" t="str">
        <f>_xlfn.LET(
    _xlpm.MacVal, _xlfn.XLOOKUP($A677, Output_Mac!$A:$A, Output_Mac!AB:AB, ""),
    _xlpm.MyAuditVal, _xlfn.XLOOKUP($A677, My_Audit!$A:$A, My_Audit!N:N, ""),
    _xlfn.TEXTJOIN(", ", TRUE, _xlpm.MyAuditVal, _xlpm.MacVal)
)</f>
        <v/>
      </c>
    </row>
    <row r="678" spans="1:24">
      <c r="A678" s="40" t="str">
        <f>_xlfn.TEXTJOIN("",TRUE,Input!$B$2,ROW(My_Audit!A677))</f>
        <v>X677</v>
      </c>
      <c r="B678" s="40" t="str">
        <f>_xlfn.TEXTJOIN("-",TRUE,"ITD",Input!$A$2,A678)</f>
        <v>ITD-X677</v>
      </c>
      <c r="C678" s="40" t="str" cm="1">
        <f t="array" ref="C678">IFERROR(_xlfn.LET(
_xlpm.CSVVal,_xlfn.XLOOKUP($A678,CSV!$A:$A,CSV!B:B,""),
_xlpm.MacVal,_xlfn.XLOOKUP($A678,Output_Mac!$A:$A,Output_Mac!B:B,""),
_xlpm.MyAuditVal,_xlfn.XLOOKUP($A678,My_Audit!$A:$A,My_Audit!B:B,""),
_xlfn.IFS(_xlpm.MyAuditVal&lt;&gt;"",UPPER(_xlpm.MyAuditVal),_xlpm.MacVal&lt;&gt;"",_xlpm.MacVal,_xlpm.CSVVal&lt;&gt;"",_xlpm.CSVVal
)),"")</f>
        <v/>
      </c>
      <c r="D678" s="40" t="str" cm="1">
        <f t="array" ref="D678">IFERROR(_xlfn.LET(
_xlpm.CSVVal,_xlfn.XLOOKUP($A678,CSV!$A:$A,CSV!D:D,""),
_xlpm.MacVal,_xlfn.XLOOKUP($A678,Output_Mac!$A:$A,Output_Mac!C:C,""),
_xlpm.MyAuditVal,_xlfn.XLOOKUP($A678,My_Audit!$A:$A,My_Audit!C:C,""),
_xlfn.IFS(_xlpm.MyAuditVal&lt;&gt;"",_xlpm.MyAuditVal,_xlpm.MacVal&lt;&gt;"",_xlpm.MacVal,_xlpm.CSVVal&lt;&gt;"",_xlpm.CSVVal
)),"")</f>
        <v/>
      </c>
      <c r="E678" s="40" t="str">
        <f>_xlfn.XLOOKUP(A678,My_Audit!A:A,My_Audit!D:D,"")</f>
        <v/>
      </c>
      <c r="F678" s="40" t="str" cm="1">
        <f t="array" ref="F678">IFERROR(_xlfn.LET(
_xlpm.CSVVal,_xlfn.XLOOKUP($A678,CSV!$A:$A,CSV!F:F,""),
_xlpm.MacVal,_xlfn.XLOOKUP($A678,Output_Mac!$A:$A,Output_Mac!E:E,""),
_xlpm.MyAuditVal,_xlfn.XLOOKUP($A678,My_Audit!$A:$A,My_Audit!E:E,""),
_xlfn.IFS(_xlpm.MyAuditVal&lt;&gt;"",_xlpm.MyAuditVal,_xlpm.MacVal&lt;&gt;"",_xlpm.MacVal,_xlpm.CSVVal&lt;&gt;"",_xlpm.CSVVal
)),"")</f>
        <v/>
      </c>
      <c r="G678" s="40" t="str" cm="1">
        <f t="array" ref="G678">IFERROR(_xlfn.LET(
_xlpm.CSVVal,_xlfn.XLOOKUP($A678,CSV!$A:$A,CSV!G:G,""),
_xlpm.MacVal,_xlfn.XLOOKUP($A678,Output_Mac!$A:$A,Output_Mac!F:F,""),
_xlpm.MyAuditVal,_xlfn.XLOOKUP($A678,My_Audit!$A:$A,My_Audit!F:F,""),
_xlfn.IFS(_xlpm.MyAuditVal&lt;&gt;"",_xlpm.MyAuditVal,_xlpm.MacVal&lt;&gt;"",_xlpm.MacVal,_xlpm.CSVVal&lt;&gt;"",PROPER(_xlpm.CSVVal)
)),"")</f>
        <v/>
      </c>
      <c r="H678" s="40" t="str" cm="1">
        <f t="array" ref="H678">IFERROR(_xlfn.LET(
_xlpm.CSVVal,_xlfn.XLOOKUP($A678,CSV!$A:$A,CSV!H:H,""),
_xlpm.MacVal,_xlfn.XLOOKUP($A678,Output_Mac!$A:$A,Output_Mac!H:H,""),
_xlpm.MyAuditVal,_xlfn.XLOOKUP($A678,My_Audit!$A:$A,My_Audit!G:G,""),
_xlfn.IFS(_xlpm.MyAuditVal&lt;&gt;"",_xlpm.MyAuditVal,_xlpm.MacVal&lt;&gt;"",_xlpm.MacVal,_xlpm.CSVVal&lt;&gt;"",_xlpm.CSVVal
)),"")</f>
        <v/>
      </c>
      <c r="I678" s="40" t="str">
        <f>_xlfn.XLOOKUP(A678,Output_Mac!A:A,Output_Mac!I:I,"")</f>
        <v/>
      </c>
      <c r="J678" s="40" t="str" cm="1">
        <f t="array" ref="J678">IFERROR(_xlfn.LET(
_xlpm.CSVVal,_xlfn.XLOOKUP($A678,CSV!$A:$A,CSV!I:I,""),
_xlpm.MacVal,_xlfn.XLOOKUP($A678,Output_Mac!$A:$A,Output_Mac!J:J,""),
_xlpm.MyAuditVal,_xlfn.XLOOKUP($A678,My_Audit!$A:$A,My_Audit!I:I,""),
_xlfn.IFS(_xlpm.MyAuditVal&lt;&gt;"",UPPER(_xlpm.MyAuditVal),_xlpm.MacVal&lt;&gt;"",_xlpm.MacVal,_xlpm.CSVVal&lt;&gt;"",_xlpm.CSVVal
)),"")</f>
        <v/>
      </c>
      <c r="K678" s="40" t="str" cm="1">
        <f t="array" ref="K678">IFERROR(_xlfn.LET(
_xlpm.CSVVal,_xlfn.XLOOKUP($A678,CSV!$A:$A,CSV!K:K,""),
_xlpm.MacVal,_xlfn.XLOOKUP($A678,Output_Mac!$A:$A,Output_Mac!K:K,""),
_xlpm.MyAuditVal,_xlfn.XLOOKUP($A678,My_Audit!$A:$A,My_Audit!J:J,""),
_xlfn.IFS(_xlpm.MyAuditVal&lt;&gt;"",UPPER(_xlpm.MyAuditVal),_xlpm.MacVal&lt;&gt;"",_xlpm.MacVal,_xlpm.CSVVal&lt;&gt;"",_xlpm.CSVVal
)),"")</f>
        <v/>
      </c>
      <c r="L678" s="40" t="str" cm="1">
        <f t="array" ref="L678">IFERROR(_xlfn.LET(
_xlpm.CSVVal,_xlfn.XLOOKUP($A678,CSV!$A:$A,CSV!P:P,""),
_xlpm.MacVal,_xlfn.XLOOKUP($A678,Output_Mac!$A:$A,Output_Mac!L:L,""),
_xlpm.MyAuditVal,_xlfn.XLOOKUP($A678,My_Audit!$A:$A,My_Audit!K:K,""),
_xlfn.IFS(_xlpm.MyAuditVal&lt;&gt;"",UPPER(_xlpm.MyAuditVal),_xlpm.MacVal&lt;&gt;"",_xlpm.MacVal,_xlpm.CSVVal&lt;&gt;"",_xlpm.CSVVal
)),"")</f>
        <v/>
      </c>
      <c r="M678" s="40" t="str" cm="1">
        <f t="array" ref="M678">IFERROR(_xlfn.LET(
_xlpm.CSVVal,_xlfn.XLOOKUP($A678,CSV!$A:$A,CSV!Q:Q,""),
_xlpm.MacVal,_xlfn.XLOOKUP($A678,Output_Mac!$A:$A,Output_Mac!M:M,""),
_xlpm.MyAuditVal,_xlfn.XLOOKUP($A678,My_Audit!$A:$A,My_Audit!L:L,""),
_xlfn.IFS(_xlpm.MyAuditVal&lt;&gt;"",UPPER(_xlpm.MyAuditVal),_xlpm.MacVal&lt;&gt;"",_xlpm.MacVal,_xlpm.CSVVal&lt;&gt;"",_xlpm.CSVVal
)),"")</f>
        <v/>
      </c>
      <c r="N678" s="40"/>
      <c r="O678" s="40" t="str">
        <f>_xlfn.LET(
    _xlpm.CSVVal, _xlfn.XLOOKUP($A678, CSV!$A:$A, CSV!AA:AA, ""),
    _xlpm.MacVal, _xlfn.XLOOKUP($A678, Output_Mac!$A:$A, Output_Mac!S:S, ""),
    _xlpm.MyAuditVal, _xlfn.XLOOKUP($A678, My_Audit!$A:$A, My_Audit!P:P, ""),
    _xlfn.TEXTJOIN(", ", TRUE, _xlpm.MyAuditVal, _xlpm.MacVal, _xlpm.CSVVal)
)</f>
        <v/>
      </c>
      <c r="P678" s="40" t="str" cm="1">
        <f t="array" ref="P678">IFERROR(_xlfn.LET(
_xlpm.CSVVal,_xlfn.XLOOKUP($A678,CSV!$A:$A,CSV!AB:AB,""),
_xlpm.MacVal,_xlfn.XLOOKUP($A678,Output_Mac!$A:$A,Output_Mac!T:T,""),
_xlpm.MyAuditVal,_xlfn.XLOOKUP($A678,My_Audit!$A:$A,My_Audit!Q:Q,""),
_xlfn.IFS(_xlpm.MyAuditVal&lt;&gt;"",UPPER(_xlpm.MyAuditVal),_xlpm.MacVal&lt;&gt;"",_xlpm.MacVal,_xlpm.CSVVal&lt;&gt;"",_xlpm.CSVVal
)),"No")</f>
        <v>No</v>
      </c>
      <c r="Q678" s="40" t="str" cm="1">
        <f t="array" ref="Q678">IFERROR(_xlfn.LET(
_xlpm.CSVVal,_xlfn.XLOOKUP($A678,CSV!$A:$A,CSV!AC:AC,""),
_xlpm.MacVal,_xlfn.XLOOKUP($A678,Output_Mac!$A:$A,Output_Mac!U:U,""),
_xlpm.MyAuditVal,_xlfn.XLOOKUP($A678,My_Audit!$A:$A,My_Audit!R:R,""),
_xlfn.IFS(_xlpm.MyAuditVal&lt;&gt;"",UPPER(_xlpm.MyAuditVal),_xlpm.MacVal&lt;&gt;"",_xlpm.MacVal,_xlpm.CSVVal&lt;&gt;"",_xlpm.CSVVal
)),"")</f>
        <v/>
      </c>
      <c r="R678" s="40"/>
      <c r="S678" s="40"/>
      <c r="T678" s="40"/>
      <c r="U678" s="40"/>
      <c r="V678" s="40"/>
      <c r="W678" s="40"/>
      <c r="X678" s="41" t="str">
        <f>_xlfn.LET(
    _xlpm.MacVal, _xlfn.XLOOKUP($A678, Output_Mac!$A:$A, Output_Mac!AB:AB, ""),
    _xlpm.MyAuditVal, _xlfn.XLOOKUP($A678, My_Audit!$A:$A, My_Audit!N:N, ""),
    _xlfn.TEXTJOIN(", ", TRUE, _xlpm.MyAuditVal, _xlpm.MacVal)
)</f>
        <v/>
      </c>
    </row>
    <row r="679" spans="1:24">
      <c r="A679" s="40" t="str">
        <f>_xlfn.TEXTJOIN("",TRUE,Input!$B$2,ROW(My_Audit!A678))</f>
        <v>X678</v>
      </c>
      <c r="B679" s="40" t="str">
        <f>_xlfn.TEXTJOIN("-",TRUE,"ITD",Input!$A$2,A679)</f>
        <v>ITD-X678</v>
      </c>
      <c r="C679" s="40" t="str" cm="1">
        <f t="array" ref="C679">IFERROR(_xlfn.LET(
_xlpm.CSVVal,_xlfn.XLOOKUP($A679,CSV!$A:$A,CSV!B:B,""),
_xlpm.MacVal,_xlfn.XLOOKUP($A679,Output_Mac!$A:$A,Output_Mac!B:B,""),
_xlpm.MyAuditVal,_xlfn.XLOOKUP($A679,My_Audit!$A:$A,My_Audit!B:B,""),
_xlfn.IFS(_xlpm.MyAuditVal&lt;&gt;"",UPPER(_xlpm.MyAuditVal),_xlpm.MacVal&lt;&gt;"",_xlpm.MacVal,_xlpm.CSVVal&lt;&gt;"",_xlpm.CSVVal
)),"")</f>
        <v/>
      </c>
      <c r="D679" s="40" t="str" cm="1">
        <f t="array" ref="D679">IFERROR(_xlfn.LET(
_xlpm.CSVVal,_xlfn.XLOOKUP($A679,CSV!$A:$A,CSV!D:D,""),
_xlpm.MacVal,_xlfn.XLOOKUP($A679,Output_Mac!$A:$A,Output_Mac!C:C,""),
_xlpm.MyAuditVal,_xlfn.XLOOKUP($A679,My_Audit!$A:$A,My_Audit!C:C,""),
_xlfn.IFS(_xlpm.MyAuditVal&lt;&gt;"",_xlpm.MyAuditVal,_xlpm.MacVal&lt;&gt;"",_xlpm.MacVal,_xlpm.CSVVal&lt;&gt;"",_xlpm.CSVVal
)),"")</f>
        <v/>
      </c>
      <c r="E679" s="40" t="str">
        <f>_xlfn.XLOOKUP(A679,My_Audit!A:A,My_Audit!D:D,"")</f>
        <v/>
      </c>
      <c r="F679" s="40" t="str" cm="1">
        <f t="array" ref="F679">IFERROR(_xlfn.LET(
_xlpm.CSVVal,_xlfn.XLOOKUP($A679,CSV!$A:$A,CSV!F:F,""),
_xlpm.MacVal,_xlfn.XLOOKUP($A679,Output_Mac!$A:$A,Output_Mac!E:E,""),
_xlpm.MyAuditVal,_xlfn.XLOOKUP($A679,My_Audit!$A:$A,My_Audit!E:E,""),
_xlfn.IFS(_xlpm.MyAuditVal&lt;&gt;"",_xlpm.MyAuditVal,_xlpm.MacVal&lt;&gt;"",_xlpm.MacVal,_xlpm.CSVVal&lt;&gt;"",_xlpm.CSVVal
)),"")</f>
        <v/>
      </c>
      <c r="G679" s="40" t="str" cm="1">
        <f t="array" ref="G679">IFERROR(_xlfn.LET(
_xlpm.CSVVal,_xlfn.XLOOKUP($A679,CSV!$A:$A,CSV!G:G,""),
_xlpm.MacVal,_xlfn.XLOOKUP($A679,Output_Mac!$A:$A,Output_Mac!F:F,""),
_xlpm.MyAuditVal,_xlfn.XLOOKUP($A679,My_Audit!$A:$A,My_Audit!F:F,""),
_xlfn.IFS(_xlpm.MyAuditVal&lt;&gt;"",_xlpm.MyAuditVal,_xlpm.MacVal&lt;&gt;"",_xlpm.MacVal,_xlpm.CSVVal&lt;&gt;"",PROPER(_xlpm.CSVVal)
)),"")</f>
        <v/>
      </c>
      <c r="H679" s="40" t="str" cm="1">
        <f t="array" ref="H679">IFERROR(_xlfn.LET(
_xlpm.CSVVal,_xlfn.XLOOKUP($A679,CSV!$A:$A,CSV!H:H,""),
_xlpm.MacVal,_xlfn.XLOOKUP($A679,Output_Mac!$A:$A,Output_Mac!H:H,""),
_xlpm.MyAuditVal,_xlfn.XLOOKUP($A679,My_Audit!$A:$A,My_Audit!G:G,""),
_xlfn.IFS(_xlpm.MyAuditVal&lt;&gt;"",_xlpm.MyAuditVal,_xlpm.MacVal&lt;&gt;"",_xlpm.MacVal,_xlpm.CSVVal&lt;&gt;"",_xlpm.CSVVal
)),"")</f>
        <v/>
      </c>
      <c r="I679" s="40" t="str">
        <f>_xlfn.XLOOKUP(A679,Output_Mac!A:A,Output_Mac!I:I,"")</f>
        <v/>
      </c>
      <c r="J679" s="40" t="str" cm="1">
        <f t="array" ref="J679">IFERROR(_xlfn.LET(
_xlpm.CSVVal,_xlfn.XLOOKUP($A679,CSV!$A:$A,CSV!I:I,""),
_xlpm.MacVal,_xlfn.XLOOKUP($A679,Output_Mac!$A:$A,Output_Mac!J:J,""),
_xlpm.MyAuditVal,_xlfn.XLOOKUP($A679,My_Audit!$A:$A,My_Audit!I:I,""),
_xlfn.IFS(_xlpm.MyAuditVal&lt;&gt;"",UPPER(_xlpm.MyAuditVal),_xlpm.MacVal&lt;&gt;"",_xlpm.MacVal,_xlpm.CSVVal&lt;&gt;"",_xlpm.CSVVal
)),"")</f>
        <v/>
      </c>
      <c r="K679" s="40" t="str" cm="1">
        <f t="array" ref="K679">IFERROR(_xlfn.LET(
_xlpm.CSVVal,_xlfn.XLOOKUP($A679,CSV!$A:$A,CSV!K:K,""),
_xlpm.MacVal,_xlfn.XLOOKUP($A679,Output_Mac!$A:$A,Output_Mac!K:K,""),
_xlpm.MyAuditVal,_xlfn.XLOOKUP($A679,My_Audit!$A:$A,My_Audit!J:J,""),
_xlfn.IFS(_xlpm.MyAuditVal&lt;&gt;"",UPPER(_xlpm.MyAuditVal),_xlpm.MacVal&lt;&gt;"",_xlpm.MacVal,_xlpm.CSVVal&lt;&gt;"",_xlpm.CSVVal
)),"")</f>
        <v/>
      </c>
      <c r="L679" s="40" t="str" cm="1">
        <f t="array" ref="L679">IFERROR(_xlfn.LET(
_xlpm.CSVVal,_xlfn.XLOOKUP($A679,CSV!$A:$A,CSV!P:P,""),
_xlpm.MacVal,_xlfn.XLOOKUP($A679,Output_Mac!$A:$A,Output_Mac!L:L,""),
_xlpm.MyAuditVal,_xlfn.XLOOKUP($A679,My_Audit!$A:$A,My_Audit!K:K,""),
_xlfn.IFS(_xlpm.MyAuditVal&lt;&gt;"",UPPER(_xlpm.MyAuditVal),_xlpm.MacVal&lt;&gt;"",_xlpm.MacVal,_xlpm.CSVVal&lt;&gt;"",_xlpm.CSVVal
)),"")</f>
        <v/>
      </c>
      <c r="M679" s="40" t="str" cm="1">
        <f t="array" ref="M679">IFERROR(_xlfn.LET(
_xlpm.CSVVal,_xlfn.XLOOKUP($A679,CSV!$A:$A,CSV!Q:Q,""),
_xlpm.MacVal,_xlfn.XLOOKUP($A679,Output_Mac!$A:$A,Output_Mac!M:M,""),
_xlpm.MyAuditVal,_xlfn.XLOOKUP($A679,My_Audit!$A:$A,My_Audit!L:L,""),
_xlfn.IFS(_xlpm.MyAuditVal&lt;&gt;"",UPPER(_xlpm.MyAuditVal),_xlpm.MacVal&lt;&gt;"",_xlpm.MacVal,_xlpm.CSVVal&lt;&gt;"",_xlpm.CSVVal
)),"")</f>
        <v/>
      </c>
      <c r="N679" s="40"/>
      <c r="O679" s="40" t="str">
        <f>_xlfn.LET(
    _xlpm.CSVVal, _xlfn.XLOOKUP($A679, CSV!$A:$A, CSV!AA:AA, ""),
    _xlpm.MacVal, _xlfn.XLOOKUP($A679, Output_Mac!$A:$A, Output_Mac!S:S, ""),
    _xlpm.MyAuditVal, _xlfn.XLOOKUP($A679, My_Audit!$A:$A, My_Audit!P:P, ""),
    _xlfn.TEXTJOIN(", ", TRUE, _xlpm.MyAuditVal, _xlpm.MacVal, _xlpm.CSVVal)
)</f>
        <v/>
      </c>
      <c r="P679" s="40" t="str" cm="1">
        <f t="array" ref="P679">IFERROR(_xlfn.LET(
_xlpm.CSVVal,_xlfn.XLOOKUP($A679,CSV!$A:$A,CSV!AB:AB,""),
_xlpm.MacVal,_xlfn.XLOOKUP($A679,Output_Mac!$A:$A,Output_Mac!T:T,""),
_xlpm.MyAuditVal,_xlfn.XLOOKUP($A679,My_Audit!$A:$A,My_Audit!Q:Q,""),
_xlfn.IFS(_xlpm.MyAuditVal&lt;&gt;"",UPPER(_xlpm.MyAuditVal),_xlpm.MacVal&lt;&gt;"",_xlpm.MacVal,_xlpm.CSVVal&lt;&gt;"",_xlpm.CSVVal
)),"No")</f>
        <v>No</v>
      </c>
      <c r="Q679" s="40" t="str" cm="1">
        <f t="array" ref="Q679">IFERROR(_xlfn.LET(
_xlpm.CSVVal,_xlfn.XLOOKUP($A679,CSV!$A:$A,CSV!AC:AC,""),
_xlpm.MacVal,_xlfn.XLOOKUP($A679,Output_Mac!$A:$A,Output_Mac!U:U,""),
_xlpm.MyAuditVal,_xlfn.XLOOKUP($A679,My_Audit!$A:$A,My_Audit!R:R,""),
_xlfn.IFS(_xlpm.MyAuditVal&lt;&gt;"",UPPER(_xlpm.MyAuditVal),_xlpm.MacVal&lt;&gt;"",_xlpm.MacVal,_xlpm.CSVVal&lt;&gt;"",_xlpm.CSVVal
)),"")</f>
        <v/>
      </c>
      <c r="R679" s="40"/>
      <c r="S679" s="40"/>
      <c r="T679" s="40"/>
      <c r="U679" s="40"/>
      <c r="V679" s="40"/>
      <c r="W679" s="40"/>
      <c r="X679" s="41" t="str">
        <f>_xlfn.LET(
    _xlpm.MacVal, _xlfn.XLOOKUP($A679, Output_Mac!$A:$A, Output_Mac!AB:AB, ""),
    _xlpm.MyAuditVal, _xlfn.XLOOKUP($A679, My_Audit!$A:$A, My_Audit!N:N, ""),
    _xlfn.TEXTJOIN(", ", TRUE, _xlpm.MyAuditVal, _xlpm.MacVal)
)</f>
        <v/>
      </c>
    </row>
    <row r="680" spans="1:24">
      <c r="A680" s="40" t="str">
        <f>_xlfn.TEXTJOIN("",TRUE,Input!$B$2,ROW(My_Audit!A679))</f>
        <v>X679</v>
      </c>
      <c r="B680" s="40" t="str">
        <f>_xlfn.TEXTJOIN("-",TRUE,"ITD",Input!$A$2,A680)</f>
        <v>ITD-X679</v>
      </c>
      <c r="C680" s="40" t="str" cm="1">
        <f t="array" ref="C680">IFERROR(_xlfn.LET(
_xlpm.CSVVal,_xlfn.XLOOKUP($A680,CSV!$A:$A,CSV!B:B,""),
_xlpm.MacVal,_xlfn.XLOOKUP($A680,Output_Mac!$A:$A,Output_Mac!B:B,""),
_xlpm.MyAuditVal,_xlfn.XLOOKUP($A680,My_Audit!$A:$A,My_Audit!B:B,""),
_xlfn.IFS(_xlpm.MyAuditVal&lt;&gt;"",UPPER(_xlpm.MyAuditVal),_xlpm.MacVal&lt;&gt;"",_xlpm.MacVal,_xlpm.CSVVal&lt;&gt;"",_xlpm.CSVVal
)),"")</f>
        <v/>
      </c>
      <c r="D680" s="40" t="str" cm="1">
        <f t="array" ref="D680">IFERROR(_xlfn.LET(
_xlpm.CSVVal,_xlfn.XLOOKUP($A680,CSV!$A:$A,CSV!D:D,""),
_xlpm.MacVal,_xlfn.XLOOKUP($A680,Output_Mac!$A:$A,Output_Mac!C:C,""),
_xlpm.MyAuditVal,_xlfn.XLOOKUP($A680,My_Audit!$A:$A,My_Audit!C:C,""),
_xlfn.IFS(_xlpm.MyAuditVal&lt;&gt;"",_xlpm.MyAuditVal,_xlpm.MacVal&lt;&gt;"",_xlpm.MacVal,_xlpm.CSVVal&lt;&gt;"",_xlpm.CSVVal
)),"")</f>
        <v/>
      </c>
      <c r="E680" s="40" t="str">
        <f>_xlfn.XLOOKUP(A680,My_Audit!A:A,My_Audit!D:D,"")</f>
        <v/>
      </c>
      <c r="F680" s="40" t="str" cm="1">
        <f t="array" ref="F680">IFERROR(_xlfn.LET(
_xlpm.CSVVal,_xlfn.XLOOKUP($A680,CSV!$A:$A,CSV!F:F,""),
_xlpm.MacVal,_xlfn.XLOOKUP($A680,Output_Mac!$A:$A,Output_Mac!E:E,""),
_xlpm.MyAuditVal,_xlfn.XLOOKUP($A680,My_Audit!$A:$A,My_Audit!E:E,""),
_xlfn.IFS(_xlpm.MyAuditVal&lt;&gt;"",_xlpm.MyAuditVal,_xlpm.MacVal&lt;&gt;"",_xlpm.MacVal,_xlpm.CSVVal&lt;&gt;"",_xlpm.CSVVal
)),"")</f>
        <v/>
      </c>
      <c r="G680" s="40" t="str" cm="1">
        <f t="array" ref="G680">IFERROR(_xlfn.LET(
_xlpm.CSVVal,_xlfn.XLOOKUP($A680,CSV!$A:$A,CSV!G:G,""),
_xlpm.MacVal,_xlfn.XLOOKUP($A680,Output_Mac!$A:$A,Output_Mac!F:F,""),
_xlpm.MyAuditVal,_xlfn.XLOOKUP($A680,My_Audit!$A:$A,My_Audit!F:F,""),
_xlfn.IFS(_xlpm.MyAuditVal&lt;&gt;"",_xlpm.MyAuditVal,_xlpm.MacVal&lt;&gt;"",_xlpm.MacVal,_xlpm.CSVVal&lt;&gt;"",PROPER(_xlpm.CSVVal)
)),"")</f>
        <v/>
      </c>
      <c r="H680" s="40" t="str" cm="1">
        <f t="array" ref="H680">IFERROR(_xlfn.LET(
_xlpm.CSVVal,_xlfn.XLOOKUP($A680,CSV!$A:$A,CSV!H:H,""),
_xlpm.MacVal,_xlfn.XLOOKUP($A680,Output_Mac!$A:$A,Output_Mac!H:H,""),
_xlpm.MyAuditVal,_xlfn.XLOOKUP($A680,My_Audit!$A:$A,My_Audit!G:G,""),
_xlfn.IFS(_xlpm.MyAuditVal&lt;&gt;"",_xlpm.MyAuditVal,_xlpm.MacVal&lt;&gt;"",_xlpm.MacVal,_xlpm.CSVVal&lt;&gt;"",_xlpm.CSVVal
)),"")</f>
        <v/>
      </c>
      <c r="I680" s="40" t="str">
        <f>_xlfn.XLOOKUP(A680,Output_Mac!A:A,Output_Mac!I:I,"")</f>
        <v/>
      </c>
      <c r="J680" s="40" t="str" cm="1">
        <f t="array" ref="J680">IFERROR(_xlfn.LET(
_xlpm.CSVVal,_xlfn.XLOOKUP($A680,CSV!$A:$A,CSV!I:I,""),
_xlpm.MacVal,_xlfn.XLOOKUP($A680,Output_Mac!$A:$A,Output_Mac!J:J,""),
_xlpm.MyAuditVal,_xlfn.XLOOKUP($A680,My_Audit!$A:$A,My_Audit!I:I,""),
_xlfn.IFS(_xlpm.MyAuditVal&lt;&gt;"",UPPER(_xlpm.MyAuditVal),_xlpm.MacVal&lt;&gt;"",_xlpm.MacVal,_xlpm.CSVVal&lt;&gt;"",_xlpm.CSVVal
)),"")</f>
        <v/>
      </c>
      <c r="K680" s="40" t="str" cm="1">
        <f t="array" ref="K680">IFERROR(_xlfn.LET(
_xlpm.CSVVal,_xlfn.XLOOKUP($A680,CSV!$A:$A,CSV!K:K,""),
_xlpm.MacVal,_xlfn.XLOOKUP($A680,Output_Mac!$A:$A,Output_Mac!K:K,""),
_xlpm.MyAuditVal,_xlfn.XLOOKUP($A680,My_Audit!$A:$A,My_Audit!J:J,""),
_xlfn.IFS(_xlpm.MyAuditVal&lt;&gt;"",UPPER(_xlpm.MyAuditVal),_xlpm.MacVal&lt;&gt;"",_xlpm.MacVal,_xlpm.CSVVal&lt;&gt;"",_xlpm.CSVVal
)),"")</f>
        <v/>
      </c>
      <c r="L680" s="40" t="str" cm="1">
        <f t="array" ref="L680">IFERROR(_xlfn.LET(
_xlpm.CSVVal,_xlfn.XLOOKUP($A680,CSV!$A:$A,CSV!P:P,""),
_xlpm.MacVal,_xlfn.XLOOKUP($A680,Output_Mac!$A:$A,Output_Mac!L:L,""),
_xlpm.MyAuditVal,_xlfn.XLOOKUP($A680,My_Audit!$A:$A,My_Audit!K:K,""),
_xlfn.IFS(_xlpm.MyAuditVal&lt;&gt;"",UPPER(_xlpm.MyAuditVal),_xlpm.MacVal&lt;&gt;"",_xlpm.MacVal,_xlpm.CSVVal&lt;&gt;"",_xlpm.CSVVal
)),"")</f>
        <v/>
      </c>
      <c r="M680" s="40" t="str" cm="1">
        <f t="array" ref="M680">IFERROR(_xlfn.LET(
_xlpm.CSVVal,_xlfn.XLOOKUP($A680,CSV!$A:$A,CSV!Q:Q,""),
_xlpm.MacVal,_xlfn.XLOOKUP($A680,Output_Mac!$A:$A,Output_Mac!M:M,""),
_xlpm.MyAuditVal,_xlfn.XLOOKUP($A680,My_Audit!$A:$A,My_Audit!L:L,""),
_xlfn.IFS(_xlpm.MyAuditVal&lt;&gt;"",UPPER(_xlpm.MyAuditVal),_xlpm.MacVal&lt;&gt;"",_xlpm.MacVal,_xlpm.CSVVal&lt;&gt;"",_xlpm.CSVVal
)),"")</f>
        <v/>
      </c>
      <c r="N680" s="40"/>
      <c r="O680" s="40" t="str">
        <f>_xlfn.LET(
    _xlpm.CSVVal, _xlfn.XLOOKUP($A680, CSV!$A:$A, CSV!AA:AA, ""),
    _xlpm.MacVal, _xlfn.XLOOKUP($A680, Output_Mac!$A:$A, Output_Mac!S:S, ""),
    _xlpm.MyAuditVal, _xlfn.XLOOKUP($A680, My_Audit!$A:$A, My_Audit!P:P, ""),
    _xlfn.TEXTJOIN(", ", TRUE, _xlpm.MyAuditVal, _xlpm.MacVal, _xlpm.CSVVal)
)</f>
        <v/>
      </c>
      <c r="P680" s="40" t="str" cm="1">
        <f t="array" ref="P680">IFERROR(_xlfn.LET(
_xlpm.CSVVal,_xlfn.XLOOKUP($A680,CSV!$A:$A,CSV!AB:AB,""),
_xlpm.MacVal,_xlfn.XLOOKUP($A680,Output_Mac!$A:$A,Output_Mac!T:T,""),
_xlpm.MyAuditVal,_xlfn.XLOOKUP($A680,My_Audit!$A:$A,My_Audit!Q:Q,""),
_xlfn.IFS(_xlpm.MyAuditVal&lt;&gt;"",UPPER(_xlpm.MyAuditVal),_xlpm.MacVal&lt;&gt;"",_xlpm.MacVal,_xlpm.CSVVal&lt;&gt;"",_xlpm.CSVVal
)),"No")</f>
        <v>No</v>
      </c>
      <c r="Q680" s="40" t="str" cm="1">
        <f t="array" ref="Q680">IFERROR(_xlfn.LET(
_xlpm.CSVVal,_xlfn.XLOOKUP($A680,CSV!$A:$A,CSV!AC:AC,""),
_xlpm.MacVal,_xlfn.XLOOKUP($A680,Output_Mac!$A:$A,Output_Mac!U:U,""),
_xlpm.MyAuditVal,_xlfn.XLOOKUP($A680,My_Audit!$A:$A,My_Audit!R:R,""),
_xlfn.IFS(_xlpm.MyAuditVal&lt;&gt;"",UPPER(_xlpm.MyAuditVal),_xlpm.MacVal&lt;&gt;"",_xlpm.MacVal,_xlpm.CSVVal&lt;&gt;"",_xlpm.CSVVal
)),"")</f>
        <v/>
      </c>
      <c r="R680" s="40"/>
      <c r="S680" s="40"/>
      <c r="T680" s="40"/>
      <c r="U680" s="40"/>
      <c r="V680" s="40"/>
      <c r="W680" s="40"/>
      <c r="X680" s="41" t="str">
        <f>_xlfn.LET(
    _xlpm.MacVal, _xlfn.XLOOKUP($A680, Output_Mac!$A:$A, Output_Mac!AB:AB, ""),
    _xlpm.MyAuditVal, _xlfn.XLOOKUP($A680, My_Audit!$A:$A, My_Audit!N:N, ""),
    _xlfn.TEXTJOIN(", ", TRUE, _xlpm.MyAuditVal, _xlpm.MacVal)
)</f>
        <v/>
      </c>
    </row>
    <row r="681" spans="1:24">
      <c r="A681" s="40" t="str">
        <f>_xlfn.TEXTJOIN("",TRUE,Input!$B$2,ROW(My_Audit!A680))</f>
        <v>X680</v>
      </c>
      <c r="B681" s="40" t="str">
        <f>_xlfn.TEXTJOIN("-",TRUE,"ITD",Input!$A$2,A681)</f>
        <v>ITD-X680</v>
      </c>
      <c r="C681" s="40" t="str" cm="1">
        <f t="array" ref="C681">IFERROR(_xlfn.LET(
_xlpm.CSVVal,_xlfn.XLOOKUP($A681,CSV!$A:$A,CSV!B:B,""),
_xlpm.MacVal,_xlfn.XLOOKUP($A681,Output_Mac!$A:$A,Output_Mac!B:B,""),
_xlpm.MyAuditVal,_xlfn.XLOOKUP($A681,My_Audit!$A:$A,My_Audit!B:B,""),
_xlfn.IFS(_xlpm.MyAuditVal&lt;&gt;"",UPPER(_xlpm.MyAuditVal),_xlpm.MacVal&lt;&gt;"",_xlpm.MacVal,_xlpm.CSVVal&lt;&gt;"",_xlpm.CSVVal
)),"")</f>
        <v/>
      </c>
      <c r="D681" s="40" t="str" cm="1">
        <f t="array" ref="D681">IFERROR(_xlfn.LET(
_xlpm.CSVVal,_xlfn.XLOOKUP($A681,CSV!$A:$A,CSV!D:D,""),
_xlpm.MacVal,_xlfn.XLOOKUP($A681,Output_Mac!$A:$A,Output_Mac!C:C,""),
_xlpm.MyAuditVal,_xlfn.XLOOKUP($A681,My_Audit!$A:$A,My_Audit!C:C,""),
_xlfn.IFS(_xlpm.MyAuditVal&lt;&gt;"",_xlpm.MyAuditVal,_xlpm.MacVal&lt;&gt;"",_xlpm.MacVal,_xlpm.CSVVal&lt;&gt;"",_xlpm.CSVVal
)),"")</f>
        <v/>
      </c>
      <c r="E681" s="40" t="str">
        <f>_xlfn.XLOOKUP(A681,My_Audit!A:A,My_Audit!D:D,"")</f>
        <v/>
      </c>
      <c r="F681" s="40" t="str" cm="1">
        <f t="array" ref="F681">IFERROR(_xlfn.LET(
_xlpm.CSVVal,_xlfn.XLOOKUP($A681,CSV!$A:$A,CSV!F:F,""),
_xlpm.MacVal,_xlfn.XLOOKUP($A681,Output_Mac!$A:$A,Output_Mac!E:E,""),
_xlpm.MyAuditVal,_xlfn.XLOOKUP($A681,My_Audit!$A:$A,My_Audit!E:E,""),
_xlfn.IFS(_xlpm.MyAuditVal&lt;&gt;"",_xlpm.MyAuditVal,_xlpm.MacVal&lt;&gt;"",_xlpm.MacVal,_xlpm.CSVVal&lt;&gt;"",_xlpm.CSVVal
)),"")</f>
        <v/>
      </c>
      <c r="G681" s="40" t="str" cm="1">
        <f t="array" ref="G681">IFERROR(_xlfn.LET(
_xlpm.CSVVal,_xlfn.XLOOKUP($A681,CSV!$A:$A,CSV!G:G,""),
_xlpm.MacVal,_xlfn.XLOOKUP($A681,Output_Mac!$A:$A,Output_Mac!F:F,""),
_xlpm.MyAuditVal,_xlfn.XLOOKUP($A681,My_Audit!$A:$A,My_Audit!F:F,""),
_xlfn.IFS(_xlpm.MyAuditVal&lt;&gt;"",_xlpm.MyAuditVal,_xlpm.MacVal&lt;&gt;"",_xlpm.MacVal,_xlpm.CSVVal&lt;&gt;"",PROPER(_xlpm.CSVVal)
)),"")</f>
        <v/>
      </c>
      <c r="H681" s="40" t="str" cm="1">
        <f t="array" ref="H681">IFERROR(_xlfn.LET(
_xlpm.CSVVal,_xlfn.XLOOKUP($A681,CSV!$A:$A,CSV!H:H,""),
_xlpm.MacVal,_xlfn.XLOOKUP($A681,Output_Mac!$A:$A,Output_Mac!H:H,""),
_xlpm.MyAuditVal,_xlfn.XLOOKUP($A681,My_Audit!$A:$A,My_Audit!G:G,""),
_xlfn.IFS(_xlpm.MyAuditVal&lt;&gt;"",_xlpm.MyAuditVal,_xlpm.MacVal&lt;&gt;"",_xlpm.MacVal,_xlpm.CSVVal&lt;&gt;"",_xlpm.CSVVal
)),"")</f>
        <v/>
      </c>
      <c r="I681" s="40" t="str">
        <f>_xlfn.XLOOKUP(A681,Output_Mac!A:A,Output_Mac!I:I,"")</f>
        <v/>
      </c>
      <c r="J681" s="40" t="str" cm="1">
        <f t="array" ref="J681">IFERROR(_xlfn.LET(
_xlpm.CSVVal,_xlfn.XLOOKUP($A681,CSV!$A:$A,CSV!I:I,""),
_xlpm.MacVal,_xlfn.XLOOKUP($A681,Output_Mac!$A:$A,Output_Mac!J:J,""),
_xlpm.MyAuditVal,_xlfn.XLOOKUP($A681,My_Audit!$A:$A,My_Audit!I:I,""),
_xlfn.IFS(_xlpm.MyAuditVal&lt;&gt;"",UPPER(_xlpm.MyAuditVal),_xlpm.MacVal&lt;&gt;"",_xlpm.MacVal,_xlpm.CSVVal&lt;&gt;"",_xlpm.CSVVal
)),"")</f>
        <v/>
      </c>
      <c r="K681" s="40" t="str" cm="1">
        <f t="array" ref="K681">IFERROR(_xlfn.LET(
_xlpm.CSVVal,_xlfn.XLOOKUP($A681,CSV!$A:$A,CSV!K:K,""),
_xlpm.MacVal,_xlfn.XLOOKUP($A681,Output_Mac!$A:$A,Output_Mac!K:K,""),
_xlpm.MyAuditVal,_xlfn.XLOOKUP($A681,My_Audit!$A:$A,My_Audit!J:J,""),
_xlfn.IFS(_xlpm.MyAuditVal&lt;&gt;"",UPPER(_xlpm.MyAuditVal),_xlpm.MacVal&lt;&gt;"",_xlpm.MacVal,_xlpm.CSVVal&lt;&gt;"",_xlpm.CSVVal
)),"")</f>
        <v/>
      </c>
      <c r="L681" s="40" t="str" cm="1">
        <f t="array" ref="L681">IFERROR(_xlfn.LET(
_xlpm.CSVVal,_xlfn.XLOOKUP($A681,CSV!$A:$A,CSV!P:P,""),
_xlpm.MacVal,_xlfn.XLOOKUP($A681,Output_Mac!$A:$A,Output_Mac!L:L,""),
_xlpm.MyAuditVal,_xlfn.XLOOKUP($A681,My_Audit!$A:$A,My_Audit!K:K,""),
_xlfn.IFS(_xlpm.MyAuditVal&lt;&gt;"",UPPER(_xlpm.MyAuditVal),_xlpm.MacVal&lt;&gt;"",_xlpm.MacVal,_xlpm.CSVVal&lt;&gt;"",_xlpm.CSVVal
)),"")</f>
        <v/>
      </c>
      <c r="M681" s="40" t="str" cm="1">
        <f t="array" ref="M681">IFERROR(_xlfn.LET(
_xlpm.CSVVal,_xlfn.XLOOKUP($A681,CSV!$A:$A,CSV!Q:Q,""),
_xlpm.MacVal,_xlfn.XLOOKUP($A681,Output_Mac!$A:$A,Output_Mac!M:M,""),
_xlpm.MyAuditVal,_xlfn.XLOOKUP($A681,My_Audit!$A:$A,My_Audit!L:L,""),
_xlfn.IFS(_xlpm.MyAuditVal&lt;&gt;"",UPPER(_xlpm.MyAuditVal),_xlpm.MacVal&lt;&gt;"",_xlpm.MacVal,_xlpm.CSVVal&lt;&gt;"",_xlpm.CSVVal
)),"")</f>
        <v/>
      </c>
      <c r="N681" s="40"/>
      <c r="O681" s="40" t="str">
        <f>_xlfn.LET(
    _xlpm.CSVVal, _xlfn.XLOOKUP($A681, CSV!$A:$A, CSV!AA:AA, ""),
    _xlpm.MacVal, _xlfn.XLOOKUP($A681, Output_Mac!$A:$A, Output_Mac!S:S, ""),
    _xlpm.MyAuditVal, _xlfn.XLOOKUP($A681, My_Audit!$A:$A, My_Audit!P:P, ""),
    _xlfn.TEXTJOIN(", ", TRUE, _xlpm.MyAuditVal, _xlpm.MacVal, _xlpm.CSVVal)
)</f>
        <v/>
      </c>
      <c r="P681" s="40" t="str" cm="1">
        <f t="array" ref="P681">IFERROR(_xlfn.LET(
_xlpm.CSVVal,_xlfn.XLOOKUP($A681,CSV!$A:$A,CSV!AB:AB,""),
_xlpm.MacVal,_xlfn.XLOOKUP($A681,Output_Mac!$A:$A,Output_Mac!T:T,""),
_xlpm.MyAuditVal,_xlfn.XLOOKUP($A681,My_Audit!$A:$A,My_Audit!Q:Q,""),
_xlfn.IFS(_xlpm.MyAuditVal&lt;&gt;"",UPPER(_xlpm.MyAuditVal),_xlpm.MacVal&lt;&gt;"",_xlpm.MacVal,_xlpm.CSVVal&lt;&gt;"",_xlpm.CSVVal
)),"No")</f>
        <v>No</v>
      </c>
      <c r="Q681" s="40" t="str" cm="1">
        <f t="array" ref="Q681">IFERROR(_xlfn.LET(
_xlpm.CSVVal,_xlfn.XLOOKUP($A681,CSV!$A:$A,CSV!AC:AC,""),
_xlpm.MacVal,_xlfn.XLOOKUP($A681,Output_Mac!$A:$A,Output_Mac!U:U,""),
_xlpm.MyAuditVal,_xlfn.XLOOKUP($A681,My_Audit!$A:$A,My_Audit!R:R,""),
_xlfn.IFS(_xlpm.MyAuditVal&lt;&gt;"",UPPER(_xlpm.MyAuditVal),_xlpm.MacVal&lt;&gt;"",_xlpm.MacVal,_xlpm.CSVVal&lt;&gt;"",_xlpm.CSVVal
)),"")</f>
        <v/>
      </c>
      <c r="R681" s="40"/>
      <c r="S681" s="40"/>
      <c r="T681" s="40"/>
      <c r="U681" s="40"/>
      <c r="V681" s="40"/>
      <c r="W681" s="40"/>
      <c r="X681" s="41" t="str">
        <f>_xlfn.LET(
    _xlpm.MacVal, _xlfn.XLOOKUP($A681, Output_Mac!$A:$A, Output_Mac!AB:AB, ""),
    _xlpm.MyAuditVal, _xlfn.XLOOKUP($A681, My_Audit!$A:$A, My_Audit!N:N, ""),
    _xlfn.TEXTJOIN(", ", TRUE, _xlpm.MyAuditVal, _xlpm.MacVal)
)</f>
        <v/>
      </c>
    </row>
    <row r="682" spans="1:24">
      <c r="A682" s="40" t="str">
        <f>_xlfn.TEXTJOIN("",TRUE,Input!$B$2,ROW(My_Audit!A681))</f>
        <v>X681</v>
      </c>
      <c r="B682" s="40" t="str">
        <f>_xlfn.TEXTJOIN("-",TRUE,"ITD",Input!$A$2,A682)</f>
        <v>ITD-X681</v>
      </c>
      <c r="C682" s="40" t="str" cm="1">
        <f t="array" ref="C682">IFERROR(_xlfn.LET(
_xlpm.CSVVal,_xlfn.XLOOKUP($A682,CSV!$A:$A,CSV!B:B,""),
_xlpm.MacVal,_xlfn.XLOOKUP($A682,Output_Mac!$A:$A,Output_Mac!B:B,""),
_xlpm.MyAuditVal,_xlfn.XLOOKUP($A682,My_Audit!$A:$A,My_Audit!B:B,""),
_xlfn.IFS(_xlpm.MyAuditVal&lt;&gt;"",UPPER(_xlpm.MyAuditVal),_xlpm.MacVal&lt;&gt;"",_xlpm.MacVal,_xlpm.CSVVal&lt;&gt;"",_xlpm.CSVVal
)),"")</f>
        <v/>
      </c>
      <c r="D682" s="40" t="str" cm="1">
        <f t="array" ref="D682">IFERROR(_xlfn.LET(
_xlpm.CSVVal,_xlfn.XLOOKUP($A682,CSV!$A:$A,CSV!D:D,""),
_xlpm.MacVal,_xlfn.XLOOKUP($A682,Output_Mac!$A:$A,Output_Mac!C:C,""),
_xlpm.MyAuditVal,_xlfn.XLOOKUP($A682,My_Audit!$A:$A,My_Audit!C:C,""),
_xlfn.IFS(_xlpm.MyAuditVal&lt;&gt;"",_xlpm.MyAuditVal,_xlpm.MacVal&lt;&gt;"",_xlpm.MacVal,_xlpm.CSVVal&lt;&gt;"",_xlpm.CSVVal
)),"")</f>
        <v/>
      </c>
      <c r="E682" s="40" t="str">
        <f>_xlfn.XLOOKUP(A682,My_Audit!A:A,My_Audit!D:D,"")</f>
        <v/>
      </c>
      <c r="F682" s="40" t="str" cm="1">
        <f t="array" ref="F682">IFERROR(_xlfn.LET(
_xlpm.CSVVal,_xlfn.XLOOKUP($A682,CSV!$A:$A,CSV!F:F,""),
_xlpm.MacVal,_xlfn.XLOOKUP($A682,Output_Mac!$A:$A,Output_Mac!E:E,""),
_xlpm.MyAuditVal,_xlfn.XLOOKUP($A682,My_Audit!$A:$A,My_Audit!E:E,""),
_xlfn.IFS(_xlpm.MyAuditVal&lt;&gt;"",_xlpm.MyAuditVal,_xlpm.MacVal&lt;&gt;"",_xlpm.MacVal,_xlpm.CSVVal&lt;&gt;"",_xlpm.CSVVal
)),"")</f>
        <v/>
      </c>
      <c r="G682" s="40" t="str" cm="1">
        <f t="array" ref="G682">IFERROR(_xlfn.LET(
_xlpm.CSVVal,_xlfn.XLOOKUP($A682,CSV!$A:$A,CSV!G:G,""),
_xlpm.MacVal,_xlfn.XLOOKUP($A682,Output_Mac!$A:$A,Output_Mac!F:F,""),
_xlpm.MyAuditVal,_xlfn.XLOOKUP($A682,My_Audit!$A:$A,My_Audit!F:F,""),
_xlfn.IFS(_xlpm.MyAuditVal&lt;&gt;"",_xlpm.MyAuditVal,_xlpm.MacVal&lt;&gt;"",_xlpm.MacVal,_xlpm.CSVVal&lt;&gt;"",PROPER(_xlpm.CSVVal)
)),"")</f>
        <v/>
      </c>
      <c r="H682" s="40" t="str" cm="1">
        <f t="array" ref="H682">IFERROR(_xlfn.LET(
_xlpm.CSVVal,_xlfn.XLOOKUP($A682,CSV!$A:$A,CSV!H:H,""),
_xlpm.MacVal,_xlfn.XLOOKUP($A682,Output_Mac!$A:$A,Output_Mac!H:H,""),
_xlpm.MyAuditVal,_xlfn.XLOOKUP($A682,My_Audit!$A:$A,My_Audit!G:G,""),
_xlfn.IFS(_xlpm.MyAuditVal&lt;&gt;"",_xlpm.MyAuditVal,_xlpm.MacVal&lt;&gt;"",_xlpm.MacVal,_xlpm.CSVVal&lt;&gt;"",_xlpm.CSVVal
)),"")</f>
        <v/>
      </c>
      <c r="I682" s="40" t="str">
        <f>_xlfn.XLOOKUP(A682,Output_Mac!A:A,Output_Mac!I:I,"")</f>
        <v/>
      </c>
      <c r="J682" s="40" t="str" cm="1">
        <f t="array" ref="J682">IFERROR(_xlfn.LET(
_xlpm.CSVVal,_xlfn.XLOOKUP($A682,CSV!$A:$A,CSV!I:I,""),
_xlpm.MacVal,_xlfn.XLOOKUP($A682,Output_Mac!$A:$A,Output_Mac!J:J,""),
_xlpm.MyAuditVal,_xlfn.XLOOKUP($A682,My_Audit!$A:$A,My_Audit!I:I,""),
_xlfn.IFS(_xlpm.MyAuditVal&lt;&gt;"",UPPER(_xlpm.MyAuditVal),_xlpm.MacVal&lt;&gt;"",_xlpm.MacVal,_xlpm.CSVVal&lt;&gt;"",_xlpm.CSVVal
)),"")</f>
        <v/>
      </c>
      <c r="K682" s="40" t="str" cm="1">
        <f t="array" ref="K682">IFERROR(_xlfn.LET(
_xlpm.CSVVal,_xlfn.XLOOKUP($A682,CSV!$A:$A,CSV!K:K,""),
_xlpm.MacVal,_xlfn.XLOOKUP($A682,Output_Mac!$A:$A,Output_Mac!K:K,""),
_xlpm.MyAuditVal,_xlfn.XLOOKUP($A682,My_Audit!$A:$A,My_Audit!J:J,""),
_xlfn.IFS(_xlpm.MyAuditVal&lt;&gt;"",UPPER(_xlpm.MyAuditVal),_xlpm.MacVal&lt;&gt;"",_xlpm.MacVal,_xlpm.CSVVal&lt;&gt;"",_xlpm.CSVVal
)),"")</f>
        <v/>
      </c>
      <c r="L682" s="40" t="str" cm="1">
        <f t="array" ref="L682">IFERROR(_xlfn.LET(
_xlpm.CSVVal,_xlfn.XLOOKUP($A682,CSV!$A:$A,CSV!P:P,""),
_xlpm.MacVal,_xlfn.XLOOKUP($A682,Output_Mac!$A:$A,Output_Mac!L:L,""),
_xlpm.MyAuditVal,_xlfn.XLOOKUP($A682,My_Audit!$A:$A,My_Audit!K:K,""),
_xlfn.IFS(_xlpm.MyAuditVal&lt;&gt;"",UPPER(_xlpm.MyAuditVal),_xlpm.MacVal&lt;&gt;"",_xlpm.MacVal,_xlpm.CSVVal&lt;&gt;"",_xlpm.CSVVal
)),"")</f>
        <v/>
      </c>
      <c r="M682" s="40" t="str" cm="1">
        <f t="array" ref="M682">IFERROR(_xlfn.LET(
_xlpm.CSVVal,_xlfn.XLOOKUP($A682,CSV!$A:$A,CSV!Q:Q,""),
_xlpm.MacVal,_xlfn.XLOOKUP($A682,Output_Mac!$A:$A,Output_Mac!M:M,""),
_xlpm.MyAuditVal,_xlfn.XLOOKUP($A682,My_Audit!$A:$A,My_Audit!L:L,""),
_xlfn.IFS(_xlpm.MyAuditVal&lt;&gt;"",UPPER(_xlpm.MyAuditVal),_xlpm.MacVal&lt;&gt;"",_xlpm.MacVal,_xlpm.CSVVal&lt;&gt;"",_xlpm.CSVVal
)),"")</f>
        <v/>
      </c>
      <c r="N682" s="40"/>
      <c r="O682" s="40" t="str">
        <f>_xlfn.LET(
    _xlpm.CSVVal, _xlfn.XLOOKUP($A682, CSV!$A:$A, CSV!AA:AA, ""),
    _xlpm.MacVal, _xlfn.XLOOKUP($A682, Output_Mac!$A:$A, Output_Mac!S:S, ""),
    _xlpm.MyAuditVal, _xlfn.XLOOKUP($A682, My_Audit!$A:$A, My_Audit!P:P, ""),
    _xlfn.TEXTJOIN(", ", TRUE, _xlpm.MyAuditVal, _xlpm.MacVal, _xlpm.CSVVal)
)</f>
        <v/>
      </c>
      <c r="P682" s="40" t="str" cm="1">
        <f t="array" ref="P682">IFERROR(_xlfn.LET(
_xlpm.CSVVal,_xlfn.XLOOKUP($A682,CSV!$A:$A,CSV!AB:AB,""),
_xlpm.MacVal,_xlfn.XLOOKUP($A682,Output_Mac!$A:$A,Output_Mac!T:T,""),
_xlpm.MyAuditVal,_xlfn.XLOOKUP($A682,My_Audit!$A:$A,My_Audit!Q:Q,""),
_xlfn.IFS(_xlpm.MyAuditVal&lt;&gt;"",UPPER(_xlpm.MyAuditVal),_xlpm.MacVal&lt;&gt;"",_xlpm.MacVal,_xlpm.CSVVal&lt;&gt;"",_xlpm.CSVVal
)),"No")</f>
        <v>No</v>
      </c>
      <c r="Q682" s="40" t="str" cm="1">
        <f t="array" ref="Q682">IFERROR(_xlfn.LET(
_xlpm.CSVVal,_xlfn.XLOOKUP($A682,CSV!$A:$A,CSV!AC:AC,""),
_xlpm.MacVal,_xlfn.XLOOKUP($A682,Output_Mac!$A:$A,Output_Mac!U:U,""),
_xlpm.MyAuditVal,_xlfn.XLOOKUP($A682,My_Audit!$A:$A,My_Audit!R:R,""),
_xlfn.IFS(_xlpm.MyAuditVal&lt;&gt;"",UPPER(_xlpm.MyAuditVal),_xlpm.MacVal&lt;&gt;"",_xlpm.MacVal,_xlpm.CSVVal&lt;&gt;"",_xlpm.CSVVal
)),"")</f>
        <v/>
      </c>
      <c r="R682" s="40"/>
      <c r="S682" s="40"/>
      <c r="T682" s="40"/>
      <c r="U682" s="40"/>
      <c r="V682" s="40"/>
      <c r="W682" s="40"/>
      <c r="X682" s="41" t="str">
        <f>_xlfn.LET(
    _xlpm.MacVal, _xlfn.XLOOKUP($A682, Output_Mac!$A:$A, Output_Mac!AB:AB, ""),
    _xlpm.MyAuditVal, _xlfn.XLOOKUP($A682, My_Audit!$A:$A, My_Audit!N:N, ""),
    _xlfn.TEXTJOIN(", ", TRUE, _xlpm.MyAuditVal, _xlpm.MacVal)
)</f>
        <v/>
      </c>
    </row>
    <row r="683" spans="1:24">
      <c r="A683" s="40" t="str">
        <f>_xlfn.TEXTJOIN("",TRUE,Input!$B$2,ROW(My_Audit!A682))</f>
        <v>X682</v>
      </c>
      <c r="B683" s="40" t="str">
        <f>_xlfn.TEXTJOIN("-",TRUE,"ITD",Input!$A$2,A683)</f>
        <v>ITD-X682</v>
      </c>
      <c r="C683" s="40" t="str" cm="1">
        <f t="array" ref="C683">IFERROR(_xlfn.LET(
_xlpm.CSVVal,_xlfn.XLOOKUP($A683,CSV!$A:$A,CSV!B:B,""),
_xlpm.MacVal,_xlfn.XLOOKUP($A683,Output_Mac!$A:$A,Output_Mac!B:B,""),
_xlpm.MyAuditVal,_xlfn.XLOOKUP($A683,My_Audit!$A:$A,My_Audit!B:B,""),
_xlfn.IFS(_xlpm.MyAuditVal&lt;&gt;"",UPPER(_xlpm.MyAuditVal),_xlpm.MacVal&lt;&gt;"",_xlpm.MacVal,_xlpm.CSVVal&lt;&gt;"",_xlpm.CSVVal
)),"")</f>
        <v/>
      </c>
      <c r="D683" s="40" t="str" cm="1">
        <f t="array" ref="D683">IFERROR(_xlfn.LET(
_xlpm.CSVVal,_xlfn.XLOOKUP($A683,CSV!$A:$A,CSV!D:D,""),
_xlpm.MacVal,_xlfn.XLOOKUP($A683,Output_Mac!$A:$A,Output_Mac!C:C,""),
_xlpm.MyAuditVal,_xlfn.XLOOKUP($A683,My_Audit!$A:$A,My_Audit!C:C,""),
_xlfn.IFS(_xlpm.MyAuditVal&lt;&gt;"",_xlpm.MyAuditVal,_xlpm.MacVal&lt;&gt;"",_xlpm.MacVal,_xlpm.CSVVal&lt;&gt;"",_xlpm.CSVVal
)),"")</f>
        <v/>
      </c>
      <c r="E683" s="40" t="str">
        <f>_xlfn.XLOOKUP(A683,My_Audit!A:A,My_Audit!D:D,"")</f>
        <v/>
      </c>
      <c r="F683" s="40" t="str" cm="1">
        <f t="array" ref="F683">IFERROR(_xlfn.LET(
_xlpm.CSVVal,_xlfn.XLOOKUP($A683,CSV!$A:$A,CSV!F:F,""),
_xlpm.MacVal,_xlfn.XLOOKUP($A683,Output_Mac!$A:$A,Output_Mac!E:E,""),
_xlpm.MyAuditVal,_xlfn.XLOOKUP($A683,My_Audit!$A:$A,My_Audit!E:E,""),
_xlfn.IFS(_xlpm.MyAuditVal&lt;&gt;"",_xlpm.MyAuditVal,_xlpm.MacVal&lt;&gt;"",_xlpm.MacVal,_xlpm.CSVVal&lt;&gt;"",_xlpm.CSVVal
)),"")</f>
        <v/>
      </c>
      <c r="G683" s="40" t="str" cm="1">
        <f t="array" ref="G683">IFERROR(_xlfn.LET(
_xlpm.CSVVal,_xlfn.XLOOKUP($A683,CSV!$A:$A,CSV!G:G,""),
_xlpm.MacVal,_xlfn.XLOOKUP($A683,Output_Mac!$A:$A,Output_Mac!F:F,""),
_xlpm.MyAuditVal,_xlfn.XLOOKUP($A683,My_Audit!$A:$A,My_Audit!F:F,""),
_xlfn.IFS(_xlpm.MyAuditVal&lt;&gt;"",_xlpm.MyAuditVal,_xlpm.MacVal&lt;&gt;"",_xlpm.MacVal,_xlpm.CSVVal&lt;&gt;"",PROPER(_xlpm.CSVVal)
)),"")</f>
        <v/>
      </c>
      <c r="H683" s="40" t="str" cm="1">
        <f t="array" ref="H683">IFERROR(_xlfn.LET(
_xlpm.CSVVal,_xlfn.XLOOKUP($A683,CSV!$A:$A,CSV!H:H,""),
_xlpm.MacVal,_xlfn.XLOOKUP($A683,Output_Mac!$A:$A,Output_Mac!H:H,""),
_xlpm.MyAuditVal,_xlfn.XLOOKUP($A683,My_Audit!$A:$A,My_Audit!G:G,""),
_xlfn.IFS(_xlpm.MyAuditVal&lt;&gt;"",_xlpm.MyAuditVal,_xlpm.MacVal&lt;&gt;"",_xlpm.MacVal,_xlpm.CSVVal&lt;&gt;"",_xlpm.CSVVal
)),"")</f>
        <v/>
      </c>
      <c r="I683" s="40" t="str">
        <f>_xlfn.XLOOKUP(A683,Output_Mac!A:A,Output_Mac!I:I,"")</f>
        <v/>
      </c>
      <c r="J683" s="40" t="str" cm="1">
        <f t="array" ref="J683">IFERROR(_xlfn.LET(
_xlpm.CSVVal,_xlfn.XLOOKUP($A683,CSV!$A:$A,CSV!I:I,""),
_xlpm.MacVal,_xlfn.XLOOKUP($A683,Output_Mac!$A:$A,Output_Mac!J:J,""),
_xlpm.MyAuditVal,_xlfn.XLOOKUP($A683,My_Audit!$A:$A,My_Audit!I:I,""),
_xlfn.IFS(_xlpm.MyAuditVal&lt;&gt;"",UPPER(_xlpm.MyAuditVal),_xlpm.MacVal&lt;&gt;"",_xlpm.MacVal,_xlpm.CSVVal&lt;&gt;"",_xlpm.CSVVal
)),"")</f>
        <v/>
      </c>
      <c r="K683" s="40" t="str" cm="1">
        <f t="array" ref="K683">IFERROR(_xlfn.LET(
_xlpm.CSVVal,_xlfn.XLOOKUP($A683,CSV!$A:$A,CSV!K:K,""),
_xlpm.MacVal,_xlfn.XLOOKUP($A683,Output_Mac!$A:$A,Output_Mac!K:K,""),
_xlpm.MyAuditVal,_xlfn.XLOOKUP($A683,My_Audit!$A:$A,My_Audit!J:J,""),
_xlfn.IFS(_xlpm.MyAuditVal&lt;&gt;"",UPPER(_xlpm.MyAuditVal),_xlpm.MacVal&lt;&gt;"",_xlpm.MacVal,_xlpm.CSVVal&lt;&gt;"",_xlpm.CSVVal
)),"")</f>
        <v/>
      </c>
      <c r="L683" s="40" t="str" cm="1">
        <f t="array" ref="L683">IFERROR(_xlfn.LET(
_xlpm.CSVVal,_xlfn.XLOOKUP($A683,CSV!$A:$A,CSV!P:P,""),
_xlpm.MacVal,_xlfn.XLOOKUP($A683,Output_Mac!$A:$A,Output_Mac!L:L,""),
_xlpm.MyAuditVal,_xlfn.XLOOKUP($A683,My_Audit!$A:$A,My_Audit!K:K,""),
_xlfn.IFS(_xlpm.MyAuditVal&lt;&gt;"",UPPER(_xlpm.MyAuditVal),_xlpm.MacVal&lt;&gt;"",_xlpm.MacVal,_xlpm.CSVVal&lt;&gt;"",_xlpm.CSVVal
)),"")</f>
        <v/>
      </c>
      <c r="M683" s="40" t="str" cm="1">
        <f t="array" ref="M683">IFERROR(_xlfn.LET(
_xlpm.CSVVal,_xlfn.XLOOKUP($A683,CSV!$A:$A,CSV!Q:Q,""),
_xlpm.MacVal,_xlfn.XLOOKUP($A683,Output_Mac!$A:$A,Output_Mac!M:M,""),
_xlpm.MyAuditVal,_xlfn.XLOOKUP($A683,My_Audit!$A:$A,My_Audit!L:L,""),
_xlfn.IFS(_xlpm.MyAuditVal&lt;&gt;"",UPPER(_xlpm.MyAuditVal),_xlpm.MacVal&lt;&gt;"",_xlpm.MacVal,_xlpm.CSVVal&lt;&gt;"",_xlpm.CSVVal
)),"")</f>
        <v/>
      </c>
      <c r="N683" s="40"/>
      <c r="O683" s="40" t="str">
        <f>_xlfn.LET(
    _xlpm.CSVVal, _xlfn.XLOOKUP($A683, CSV!$A:$A, CSV!AA:AA, ""),
    _xlpm.MacVal, _xlfn.XLOOKUP($A683, Output_Mac!$A:$A, Output_Mac!S:S, ""),
    _xlpm.MyAuditVal, _xlfn.XLOOKUP($A683, My_Audit!$A:$A, My_Audit!P:P, ""),
    _xlfn.TEXTJOIN(", ", TRUE, _xlpm.MyAuditVal, _xlpm.MacVal, _xlpm.CSVVal)
)</f>
        <v/>
      </c>
      <c r="P683" s="40" t="str" cm="1">
        <f t="array" ref="P683">IFERROR(_xlfn.LET(
_xlpm.CSVVal,_xlfn.XLOOKUP($A683,CSV!$A:$A,CSV!AB:AB,""),
_xlpm.MacVal,_xlfn.XLOOKUP($A683,Output_Mac!$A:$A,Output_Mac!T:T,""),
_xlpm.MyAuditVal,_xlfn.XLOOKUP($A683,My_Audit!$A:$A,My_Audit!Q:Q,""),
_xlfn.IFS(_xlpm.MyAuditVal&lt;&gt;"",UPPER(_xlpm.MyAuditVal),_xlpm.MacVal&lt;&gt;"",_xlpm.MacVal,_xlpm.CSVVal&lt;&gt;"",_xlpm.CSVVal
)),"No")</f>
        <v>No</v>
      </c>
      <c r="Q683" s="40" t="str" cm="1">
        <f t="array" ref="Q683">IFERROR(_xlfn.LET(
_xlpm.CSVVal,_xlfn.XLOOKUP($A683,CSV!$A:$A,CSV!AC:AC,""),
_xlpm.MacVal,_xlfn.XLOOKUP($A683,Output_Mac!$A:$A,Output_Mac!U:U,""),
_xlpm.MyAuditVal,_xlfn.XLOOKUP($A683,My_Audit!$A:$A,My_Audit!R:R,""),
_xlfn.IFS(_xlpm.MyAuditVal&lt;&gt;"",UPPER(_xlpm.MyAuditVal),_xlpm.MacVal&lt;&gt;"",_xlpm.MacVal,_xlpm.CSVVal&lt;&gt;"",_xlpm.CSVVal
)),"")</f>
        <v/>
      </c>
      <c r="R683" s="40"/>
      <c r="S683" s="40"/>
      <c r="T683" s="40"/>
      <c r="U683" s="40"/>
      <c r="V683" s="40"/>
      <c r="W683" s="40"/>
      <c r="X683" s="41" t="str">
        <f>_xlfn.LET(
    _xlpm.MacVal, _xlfn.XLOOKUP($A683, Output_Mac!$A:$A, Output_Mac!AB:AB, ""),
    _xlpm.MyAuditVal, _xlfn.XLOOKUP($A683, My_Audit!$A:$A, My_Audit!N:N, ""),
    _xlfn.TEXTJOIN(", ", TRUE, _xlpm.MyAuditVal, _xlpm.MacVal)
)</f>
        <v/>
      </c>
    </row>
    <row r="684" spans="1:24">
      <c r="A684" s="40" t="str">
        <f>_xlfn.TEXTJOIN("",TRUE,Input!$B$2,ROW(My_Audit!A683))</f>
        <v>X683</v>
      </c>
      <c r="B684" s="40" t="str">
        <f>_xlfn.TEXTJOIN("-",TRUE,"ITD",Input!$A$2,A684)</f>
        <v>ITD-X683</v>
      </c>
      <c r="C684" s="40" t="str" cm="1">
        <f t="array" ref="C684">IFERROR(_xlfn.LET(
_xlpm.CSVVal,_xlfn.XLOOKUP($A684,CSV!$A:$A,CSV!B:B,""),
_xlpm.MacVal,_xlfn.XLOOKUP($A684,Output_Mac!$A:$A,Output_Mac!B:B,""),
_xlpm.MyAuditVal,_xlfn.XLOOKUP($A684,My_Audit!$A:$A,My_Audit!B:B,""),
_xlfn.IFS(_xlpm.MyAuditVal&lt;&gt;"",UPPER(_xlpm.MyAuditVal),_xlpm.MacVal&lt;&gt;"",_xlpm.MacVal,_xlpm.CSVVal&lt;&gt;"",_xlpm.CSVVal
)),"")</f>
        <v/>
      </c>
      <c r="D684" s="40" t="str" cm="1">
        <f t="array" ref="D684">IFERROR(_xlfn.LET(
_xlpm.CSVVal,_xlfn.XLOOKUP($A684,CSV!$A:$A,CSV!D:D,""),
_xlpm.MacVal,_xlfn.XLOOKUP($A684,Output_Mac!$A:$A,Output_Mac!C:C,""),
_xlpm.MyAuditVal,_xlfn.XLOOKUP($A684,My_Audit!$A:$A,My_Audit!C:C,""),
_xlfn.IFS(_xlpm.MyAuditVal&lt;&gt;"",_xlpm.MyAuditVal,_xlpm.MacVal&lt;&gt;"",_xlpm.MacVal,_xlpm.CSVVal&lt;&gt;"",_xlpm.CSVVal
)),"")</f>
        <v/>
      </c>
      <c r="E684" s="40" t="str">
        <f>_xlfn.XLOOKUP(A684,My_Audit!A:A,My_Audit!D:D,"")</f>
        <v/>
      </c>
      <c r="F684" s="40" t="str" cm="1">
        <f t="array" ref="F684">IFERROR(_xlfn.LET(
_xlpm.CSVVal,_xlfn.XLOOKUP($A684,CSV!$A:$A,CSV!F:F,""),
_xlpm.MacVal,_xlfn.XLOOKUP($A684,Output_Mac!$A:$A,Output_Mac!E:E,""),
_xlpm.MyAuditVal,_xlfn.XLOOKUP($A684,My_Audit!$A:$A,My_Audit!E:E,""),
_xlfn.IFS(_xlpm.MyAuditVal&lt;&gt;"",_xlpm.MyAuditVal,_xlpm.MacVal&lt;&gt;"",_xlpm.MacVal,_xlpm.CSVVal&lt;&gt;"",_xlpm.CSVVal
)),"")</f>
        <v/>
      </c>
      <c r="G684" s="40" t="str" cm="1">
        <f t="array" ref="G684">IFERROR(_xlfn.LET(
_xlpm.CSVVal,_xlfn.XLOOKUP($A684,CSV!$A:$A,CSV!G:G,""),
_xlpm.MacVal,_xlfn.XLOOKUP($A684,Output_Mac!$A:$A,Output_Mac!F:F,""),
_xlpm.MyAuditVal,_xlfn.XLOOKUP($A684,My_Audit!$A:$A,My_Audit!F:F,""),
_xlfn.IFS(_xlpm.MyAuditVal&lt;&gt;"",_xlpm.MyAuditVal,_xlpm.MacVal&lt;&gt;"",_xlpm.MacVal,_xlpm.CSVVal&lt;&gt;"",PROPER(_xlpm.CSVVal)
)),"")</f>
        <v/>
      </c>
      <c r="H684" s="40" t="str" cm="1">
        <f t="array" ref="H684">IFERROR(_xlfn.LET(
_xlpm.CSVVal,_xlfn.XLOOKUP($A684,CSV!$A:$A,CSV!H:H,""),
_xlpm.MacVal,_xlfn.XLOOKUP($A684,Output_Mac!$A:$A,Output_Mac!H:H,""),
_xlpm.MyAuditVal,_xlfn.XLOOKUP($A684,My_Audit!$A:$A,My_Audit!G:G,""),
_xlfn.IFS(_xlpm.MyAuditVal&lt;&gt;"",_xlpm.MyAuditVal,_xlpm.MacVal&lt;&gt;"",_xlpm.MacVal,_xlpm.CSVVal&lt;&gt;"",_xlpm.CSVVal
)),"")</f>
        <v/>
      </c>
      <c r="I684" s="40" t="str">
        <f>_xlfn.XLOOKUP(A684,Output_Mac!A:A,Output_Mac!I:I,"")</f>
        <v/>
      </c>
      <c r="J684" s="40" t="str" cm="1">
        <f t="array" ref="J684">IFERROR(_xlfn.LET(
_xlpm.CSVVal,_xlfn.XLOOKUP($A684,CSV!$A:$A,CSV!I:I,""),
_xlpm.MacVal,_xlfn.XLOOKUP($A684,Output_Mac!$A:$A,Output_Mac!J:J,""),
_xlpm.MyAuditVal,_xlfn.XLOOKUP($A684,My_Audit!$A:$A,My_Audit!I:I,""),
_xlfn.IFS(_xlpm.MyAuditVal&lt;&gt;"",UPPER(_xlpm.MyAuditVal),_xlpm.MacVal&lt;&gt;"",_xlpm.MacVal,_xlpm.CSVVal&lt;&gt;"",_xlpm.CSVVal
)),"")</f>
        <v/>
      </c>
      <c r="K684" s="40" t="str" cm="1">
        <f t="array" ref="K684">IFERROR(_xlfn.LET(
_xlpm.CSVVal,_xlfn.XLOOKUP($A684,CSV!$A:$A,CSV!K:K,""),
_xlpm.MacVal,_xlfn.XLOOKUP($A684,Output_Mac!$A:$A,Output_Mac!K:K,""),
_xlpm.MyAuditVal,_xlfn.XLOOKUP($A684,My_Audit!$A:$A,My_Audit!J:J,""),
_xlfn.IFS(_xlpm.MyAuditVal&lt;&gt;"",UPPER(_xlpm.MyAuditVal),_xlpm.MacVal&lt;&gt;"",_xlpm.MacVal,_xlpm.CSVVal&lt;&gt;"",_xlpm.CSVVal
)),"")</f>
        <v/>
      </c>
      <c r="L684" s="40" t="str" cm="1">
        <f t="array" ref="L684">IFERROR(_xlfn.LET(
_xlpm.CSVVal,_xlfn.XLOOKUP($A684,CSV!$A:$A,CSV!P:P,""),
_xlpm.MacVal,_xlfn.XLOOKUP($A684,Output_Mac!$A:$A,Output_Mac!L:L,""),
_xlpm.MyAuditVal,_xlfn.XLOOKUP($A684,My_Audit!$A:$A,My_Audit!K:K,""),
_xlfn.IFS(_xlpm.MyAuditVal&lt;&gt;"",UPPER(_xlpm.MyAuditVal),_xlpm.MacVal&lt;&gt;"",_xlpm.MacVal,_xlpm.CSVVal&lt;&gt;"",_xlpm.CSVVal
)),"")</f>
        <v/>
      </c>
      <c r="M684" s="40" t="str" cm="1">
        <f t="array" ref="M684">IFERROR(_xlfn.LET(
_xlpm.CSVVal,_xlfn.XLOOKUP($A684,CSV!$A:$A,CSV!Q:Q,""),
_xlpm.MacVal,_xlfn.XLOOKUP($A684,Output_Mac!$A:$A,Output_Mac!M:M,""),
_xlpm.MyAuditVal,_xlfn.XLOOKUP($A684,My_Audit!$A:$A,My_Audit!L:L,""),
_xlfn.IFS(_xlpm.MyAuditVal&lt;&gt;"",UPPER(_xlpm.MyAuditVal),_xlpm.MacVal&lt;&gt;"",_xlpm.MacVal,_xlpm.CSVVal&lt;&gt;"",_xlpm.CSVVal
)),"")</f>
        <v/>
      </c>
      <c r="N684" s="40"/>
      <c r="O684" s="40" t="str">
        <f>_xlfn.LET(
    _xlpm.CSVVal, _xlfn.XLOOKUP($A684, CSV!$A:$A, CSV!AA:AA, ""),
    _xlpm.MacVal, _xlfn.XLOOKUP($A684, Output_Mac!$A:$A, Output_Mac!S:S, ""),
    _xlpm.MyAuditVal, _xlfn.XLOOKUP($A684, My_Audit!$A:$A, My_Audit!P:P, ""),
    _xlfn.TEXTJOIN(", ", TRUE, _xlpm.MyAuditVal, _xlpm.MacVal, _xlpm.CSVVal)
)</f>
        <v/>
      </c>
      <c r="P684" s="40" t="str" cm="1">
        <f t="array" ref="P684">IFERROR(_xlfn.LET(
_xlpm.CSVVal,_xlfn.XLOOKUP($A684,CSV!$A:$A,CSV!AB:AB,""),
_xlpm.MacVal,_xlfn.XLOOKUP($A684,Output_Mac!$A:$A,Output_Mac!T:T,""),
_xlpm.MyAuditVal,_xlfn.XLOOKUP($A684,My_Audit!$A:$A,My_Audit!Q:Q,""),
_xlfn.IFS(_xlpm.MyAuditVal&lt;&gt;"",UPPER(_xlpm.MyAuditVal),_xlpm.MacVal&lt;&gt;"",_xlpm.MacVal,_xlpm.CSVVal&lt;&gt;"",_xlpm.CSVVal
)),"No")</f>
        <v>No</v>
      </c>
      <c r="Q684" s="40" t="str" cm="1">
        <f t="array" ref="Q684">IFERROR(_xlfn.LET(
_xlpm.CSVVal,_xlfn.XLOOKUP($A684,CSV!$A:$A,CSV!AC:AC,""),
_xlpm.MacVal,_xlfn.XLOOKUP($A684,Output_Mac!$A:$A,Output_Mac!U:U,""),
_xlpm.MyAuditVal,_xlfn.XLOOKUP($A684,My_Audit!$A:$A,My_Audit!R:R,""),
_xlfn.IFS(_xlpm.MyAuditVal&lt;&gt;"",UPPER(_xlpm.MyAuditVal),_xlpm.MacVal&lt;&gt;"",_xlpm.MacVal,_xlpm.CSVVal&lt;&gt;"",_xlpm.CSVVal
)),"")</f>
        <v/>
      </c>
      <c r="R684" s="40"/>
      <c r="S684" s="40"/>
      <c r="T684" s="40"/>
      <c r="U684" s="40"/>
      <c r="V684" s="40"/>
      <c r="W684" s="40"/>
      <c r="X684" s="41" t="str">
        <f>_xlfn.LET(
    _xlpm.MacVal, _xlfn.XLOOKUP($A684, Output_Mac!$A:$A, Output_Mac!AB:AB, ""),
    _xlpm.MyAuditVal, _xlfn.XLOOKUP($A684, My_Audit!$A:$A, My_Audit!N:N, ""),
    _xlfn.TEXTJOIN(", ", TRUE, _xlpm.MyAuditVal, _xlpm.MacVal)
)</f>
        <v/>
      </c>
    </row>
    <row r="685" spans="1:24">
      <c r="A685" s="40" t="str">
        <f>_xlfn.TEXTJOIN("",TRUE,Input!$B$2,ROW(My_Audit!A684))</f>
        <v>X684</v>
      </c>
      <c r="B685" s="40" t="str">
        <f>_xlfn.TEXTJOIN("-",TRUE,"ITD",Input!$A$2,A685)</f>
        <v>ITD-X684</v>
      </c>
      <c r="C685" s="40" t="str" cm="1">
        <f t="array" ref="C685">IFERROR(_xlfn.LET(
_xlpm.CSVVal,_xlfn.XLOOKUP($A685,CSV!$A:$A,CSV!B:B,""),
_xlpm.MacVal,_xlfn.XLOOKUP($A685,Output_Mac!$A:$A,Output_Mac!B:B,""),
_xlpm.MyAuditVal,_xlfn.XLOOKUP($A685,My_Audit!$A:$A,My_Audit!B:B,""),
_xlfn.IFS(_xlpm.MyAuditVal&lt;&gt;"",UPPER(_xlpm.MyAuditVal),_xlpm.MacVal&lt;&gt;"",_xlpm.MacVal,_xlpm.CSVVal&lt;&gt;"",_xlpm.CSVVal
)),"")</f>
        <v/>
      </c>
      <c r="D685" s="40" t="str" cm="1">
        <f t="array" ref="D685">IFERROR(_xlfn.LET(
_xlpm.CSVVal,_xlfn.XLOOKUP($A685,CSV!$A:$A,CSV!D:D,""),
_xlpm.MacVal,_xlfn.XLOOKUP($A685,Output_Mac!$A:$A,Output_Mac!C:C,""),
_xlpm.MyAuditVal,_xlfn.XLOOKUP($A685,My_Audit!$A:$A,My_Audit!C:C,""),
_xlfn.IFS(_xlpm.MyAuditVal&lt;&gt;"",_xlpm.MyAuditVal,_xlpm.MacVal&lt;&gt;"",_xlpm.MacVal,_xlpm.CSVVal&lt;&gt;"",_xlpm.CSVVal
)),"")</f>
        <v/>
      </c>
      <c r="E685" s="40" t="str">
        <f>_xlfn.XLOOKUP(A685,My_Audit!A:A,My_Audit!D:D,"")</f>
        <v/>
      </c>
      <c r="F685" s="40" t="str" cm="1">
        <f t="array" ref="F685">IFERROR(_xlfn.LET(
_xlpm.CSVVal,_xlfn.XLOOKUP($A685,CSV!$A:$A,CSV!F:F,""),
_xlpm.MacVal,_xlfn.XLOOKUP($A685,Output_Mac!$A:$A,Output_Mac!E:E,""),
_xlpm.MyAuditVal,_xlfn.XLOOKUP($A685,My_Audit!$A:$A,My_Audit!E:E,""),
_xlfn.IFS(_xlpm.MyAuditVal&lt;&gt;"",_xlpm.MyAuditVal,_xlpm.MacVal&lt;&gt;"",_xlpm.MacVal,_xlpm.CSVVal&lt;&gt;"",_xlpm.CSVVal
)),"")</f>
        <v/>
      </c>
      <c r="G685" s="40" t="str" cm="1">
        <f t="array" ref="G685">IFERROR(_xlfn.LET(
_xlpm.CSVVal,_xlfn.XLOOKUP($A685,CSV!$A:$A,CSV!G:G,""),
_xlpm.MacVal,_xlfn.XLOOKUP($A685,Output_Mac!$A:$A,Output_Mac!F:F,""),
_xlpm.MyAuditVal,_xlfn.XLOOKUP($A685,My_Audit!$A:$A,My_Audit!F:F,""),
_xlfn.IFS(_xlpm.MyAuditVal&lt;&gt;"",_xlpm.MyAuditVal,_xlpm.MacVal&lt;&gt;"",_xlpm.MacVal,_xlpm.CSVVal&lt;&gt;"",PROPER(_xlpm.CSVVal)
)),"")</f>
        <v/>
      </c>
      <c r="H685" s="40" t="str" cm="1">
        <f t="array" ref="H685">IFERROR(_xlfn.LET(
_xlpm.CSVVal,_xlfn.XLOOKUP($A685,CSV!$A:$A,CSV!H:H,""),
_xlpm.MacVal,_xlfn.XLOOKUP($A685,Output_Mac!$A:$A,Output_Mac!H:H,""),
_xlpm.MyAuditVal,_xlfn.XLOOKUP($A685,My_Audit!$A:$A,My_Audit!G:G,""),
_xlfn.IFS(_xlpm.MyAuditVal&lt;&gt;"",_xlpm.MyAuditVal,_xlpm.MacVal&lt;&gt;"",_xlpm.MacVal,_xlpm.CSVVal&lt;&gt;"",_xlpm.CSVVal
)),"")</f>
        <v/>
      </c>
      <c r="I685" s="40" t="str">
        <f>_xlfn.XLOOKUP(A685,Output_Mac!A:A,Output_Mac!I:I,"")</f>
        <v/>
      </c>
      <c r="J685" s="40" t="str" cm="1">
        <f t="array" ref="J685">IFERROR(_xlfn.LET(
_xlpm.CSVVal,_xlfn.XLOOKUP($A685,CSV!$A:$A,CSV!I:I,""),
_xlpm.MacVal,_xlfn.XLOOKUP($A685,Output_Mac!$A:$A,Output_Mac!J:J,""),
_xlpm.MyAuditVal,_xlfn.XLOOKUP($A685,My_Audit!$A:$A,My_Audit!I:I,""),
_xlfn.IFS(_xlpm.MyAuditVal&lt;&gt;"",UPPER(_xlpm.MyAuditVal),_xlpm.MacVal&lt;&gt;"",_xlpm.MacVal,_xlpm.CSVVal&lt;&gt;"",_xlpm.CSVVal
)),"")</f>
        <v/>
      </c>
      <c r="K685" s="40" t="str" cm="1">
        <f t="array" ref="K685">IFERROR(_xlfn.LET(
_xlpm.CSVVal,_xlfn.XLOOKUP($A685,CSV!$A:$A,CSV!K:K,""),
_xlpm.MacVal,_xlfn.XLOOKUP($A685,Output_Mac!$A:$A,Output_Mac!K:K,""),
_xlpm.MyAuditVal,_xlfn.XLOOKUP($A685,My_Audit!$A:$A,My_Audit!J:J,""),
_xlfn.IFS(_xlpm.MyAuditVal&lt;&gt;"",UPPER(_xlpm.MyAuditVal),_xlpm.MacVal&lt;&gt;"",_xlpm.MacVal,_xlpm.CSVVal&lt;&gt;"",_xlpm.CSVVal
)),"")</f>
        <v/>
      </c>
      <c r="L685" s="40" t="str" cm="1">
        <f t="array" ref="L685">IFERROR(_xlfn.LET(
_xlpm.CSVVal,_xlfn.XLOOKUP($A685,CSV!$A:$A,CSV!P:P,""),
_xlpm.MacVal,_xlfn.XLOOKUP($A685,Output_Mac!$A:$A,Output_Mac!L:L,""),
_xlpm.MyAuditVal,_xlfn.XLOOKUP($A685,My_Audit!$A:$A,My_Audit!K:K,""),
_xlfn.IFS(_xlpm.MyAuditVal&lt;&gt;"",UPPER(_xlpm.MyAuditVal),_xlpm.MacVal&lt;&gt;"",_xlpm.MacVal,_xlpm.CSVVal&lt;&gt;"",_xlpm.CSVVal
)),"")</f>
        <v/>
      </c>
      <c r="M685" s="40" t="str" cm="1">
        <f t="array" ref="M685">IFERROR(_xlfn.LET(
_xlpm.CSVVal,_xlfn.XLOOKUP($A685,CSV!$A:$A,CSV!Q:Q,""),
_xlpm.MacVal,_xlfn.XLOOKUP($A685,Output_Mac!$A:$A,Output_Mac!M:M,""),
_xlpm.MyAuditVal,_xlfn.XLOOKUP($A685,My_Audit!$A:$A,My_Audit!L:L,""),
_xlfn.IFS(_xlpm.MyAuditVal&lt;&gt;"",UPPER(_xlpm.MyAuditVal),_xlpm.MacVal&lt;&gt;"",_xlpm.MacVal,_xlpm.CSVVal&lt;&gt;"",_xlpm.CSVVal
)),"")</f>
        <v/>
      </c>
      <c r="N685" s="40"/>
      <c r="O685" s="40" t="str">
        <f>_xlfn.LET(
    _xlpm.CSVVal, _xlfn.XLOOKUP($A685, CSV!$A:$A, CSV!AA:AA, ""),
    _xlpm.MacVal, _xlfn.XLOOKUP($A685, Output_Mac!$A:$A, Output_Mac!S:S, ""),
    _xlpm.MyAuditVal, _xlfn.XLOOKUP($A685, My_Audit!$A:$A, My_Audit!P:P, ""),
    _xlfn.TEXTJOIN(", ", TRUE, _xlpm.MyAuditVal, _xlpm.MacVal, _xlpm.CSVVal)
)</f>
        <v/>
      </c>
      <c r="P685" s="40" t="str" cm="1">
        <f t="array" ref="P685">IFERROR(_xlfn.LET(
_xlpm.CSVVal,_xlfn.XLOOKUP($A685,CSV!$A:$A,CSV!AB:AB,""),
_xlpm.MacVal,_xlfn.XLOOKUP($A685,Output_Mac!$A:$A,Output_Mac!T:T,""),
_xlpm.MyAuditVal,_xlfn.XLOOKUP($A685,My_Audit!$A:$A,My_Audit!Q:Q,""),
_xlfn.IFS(_xlpm.MyAuditVal&lt;&gt;"",UPPER(_xlpm.MyAuditVal),_xlpm.MacVal&lt;&gt;"",_xlpm.MacVal,_xlpm.CSVVal&lt;&gt;"",_xlpm.CSVVal
)),"No")</f>
        <v>No</v>
      </c>
      <c r="Q685" s="40" t="str" cm="1">
        <f t="array" ref="Q685">IFERROR(_xlfn.LET(
_xlpm.CSVVal,_xlfn.XLOOKUP($A685,CSV!$A:$A,CSV!AC:AC,""),
_xlpm.MacVal,_xlfn.XLOOKUP($A685,Output_Mac!$A:$A,Output_Mac!U:U,""),
_xlpm.MyAuditVal,_xlfn.XLOOKUP($A685,My_Audit!$A:$A,My_Audit!R:R,""),
_xlfn.IFS(_xlpm.MyAuditVal&lt;&gt;"",UPPER(_xlpm.MyAuditVal),_xlpm.MacVal&lt;&gt;"",_xlpm.MacVal,_xlpm.CSVVal&lt;&gt;"",_xlpm.CSVVal
)),"")</f>
        <v/>
      </c>
      <c r="R685" s="40"/>
      <c r="S685" s="40"/>
      <c r="T685" s="40"/>
      <c r="U685" s="40"/>
      <c r="V685" s="40"/>
      <c r="W685" s="40"/>
      <c r="X685" s="41" t="str">
        <f>_xlfn.LET(
    _xlpm.MacVal, _xlfn.XLOOKUP($A685, Output_Mac!$A:$A, Output_Mac!AB:AB, ""),
    _xlpm.MyAuditVal, _xlfn.XLOOKUP($A685, My_Audit!$A:$A, My_Audit!N:N, ""),
    _xlfn.TEXTJOIN(", ", TRUE, _xlpm.MyAuditVal, _xlpm.MacVal)
)</f>
        <v/>
      </c>
    </row>
    <row r="686" spans="1:24">
      <c r="A686" s="40" t="str">
        <f>_xlfn.TEXTJOIN("",TRUE,Input!$B$2,ROW(My_Audit!A685))</f>
        <v>X685</v>
      </c>
      <c r="B686" s="40" t="str">
        <f>_xlfn.TEXTJOIN("-",TRUE,"ITD",Input!$A$2,A686)</f>
        <v>ITD-X685</v>
      </c>
      <c r="C686" s="40" t="str" cm="1">
        <f t="array" ref="C686">IFERROR(_xlfn.LET(
_xlpm.CSVVal,_xlfn.XLOOKUP($A686,CSV!$A:$A,CSV!B:B,""),
_xlpm.MacVal,_xlfn.XLOOKUP($A686,Output_Mac!$A:$A,Output_Mac!B:B,""),
_xlpm.MyAuditVal,_xlfn.XLOOKUP($A686,My_Audit!$A:$A,My_Audit!B:B,""),
_xlfn.IFS(_xlpm.MyAuditVal&lt;&gt;"",UPPER(_xlpm.MyAuditVal),_xlpm.MacVal&lt;&gt;"",_xlpm.MacVal,_xlpm.CSVVal&lt;&gt;"",_xlpm.CSVVal
)),"")</f>
        <v/>
      </c>
      <c r="D686" s="40" t="str" cm="1">
        <f t="array" ref="D686">IFERROR(_xlfn.LET(
_xlpm.CSVVal,_xlfn.XLOOKUP($A686,CSV!$A:$A,CSV!D:D,""),
_xlpm.MacVal,_xlfn.XLOOKUP($A686,Output_Mac!$A:$A,Output_Mac!C:C,""),
_xlpm.MyAuditVal,_xlfn.XLOOKUP($A686,My_Audit!$A:$A,My_Audit!C:C,""),
_xlfn.IFS(_xlpm.MyAuditVal&lt;&gt;"",_xlpm.MyAuditVal,_xlpm.MacVal&lt;&gt;"",_xlpm.MacVal,_xlpm.CSVVal&lt;&gt;"",_xlpm.CSVVal
)),"")</f>
        <v/>
      </c>
      <c r="E686" s="40" t="str">
        <f>_xlfn.XLOOKUP(A686,My_Audit!A:A,My_Audit!D:D,"")</f>
        <v/>
      </c>
      <c r="F686" s="40" t="str" cm="1">
        <f t="array" ref="F686">IFERROR(_xlfn.LET(
_xlpm.CSVVal,_xlfn.XLOOKUP($A686,CSV!$A:$A,CSV!F:F,""),
_xlpm.MacVal,_xlfn.XLOOKUP($A686,Output_Mac!$A:$A,Output_Mac!E:E,""),
_xlpm.MyAuditVal,_xlfn.XLOOKUP($A686,My_Audit!$A:$A,My_Audit!E:E,""),
_xlfn.IFS(_xlpm.MyAuditVal&lt;&gt;"",_xlpm.MyAuditVal,_xlpm.MacVal&lt;&gt;"",_xlpm.MacVal,_xlpm.CSVVal&lt;&gt;"",_xlpm.CSVVal
)),"")</f>
        <v/>
      </c>
      <c r="G686" s="40" t="str" cm="1">
        <f t="array" ref="G686">IFERROR(_xlfn.LET(
_xlpm.CSVVal,_xlfn.XLOOKUP($A686,CSV!$A:$A,CSV!G:G,""),
_xlpm.MacVal,_xlfn.XLOOKUP($A686,Output_Mac!$A:$A,Output_Mac!F:F,""),
_xlpm.MyAuditVal,_xlfn.XLOOKUP($A686,My_Audit!$A:$A,My_Audit!F:F,""),
_xlfn.IFS(_xlpm.MyAuditVal&lt;&gt;"",_xlpm.MyAuditVal,_xlpm.MacVal&lt;&gt;"",_xlpm.MacVal,_xlpm.CSVVal&lt;&gt;"",PROPER(_xlpm.CSVVal)
)),"")</f>
        <v/>
      </c>
      <c r="H686" s="40" t="str" cm="1">
        <f t="array" ref="H686">IFERROR(_xlfn.LET(
_xlpm.CSVVal,_xlfn.XLOOKUP($A686,CSV!$A:$A,CSV!H:H,""),
_xlpm.MacVal,_xlfn.XLOOKUP($A686,Output_Mac!$A:$A,Output_Mac!H:H,""),
_xlpm.MyAuditVal,_xlfn.XLOOKUP($A686,My_Audit!$A:$A,My_Audit!G:G,""),
_xlfn.IFS(_xlpm.MyAuditVal&lt;&gt;"",_xlpm.MyAuditVal,_xlpm.MacVal&lt;&gt;"",_xlpm.MacVal,_xlpm.CSVVal&lt;&gt;"",_xlpm.CSVVal
)),"")</f>
        <v/>
      </c>
      <c r="I686" s="40" t="str">
        <f>_xlfn.XLOOKUP(A686,Output_Mac!A:A,Output_Mac!I:I,"")</f>
        <v/>
      </c>
      <c r="J686" s="40" t="str" cm="1">
        <f t="array" ref="J686">IFERROR(_xlfn.LET(
_xlpm.CSVVal,_xlfn.XLOOKUP($A686,CSV!$A:$A,CSV!I:I,""),
_xlpm.MacVal,_xlfn.XLOOKUP($A686,Output_Mac!$A:$A,Output_Mac!J:J,""),
_xlpm.MyAuditVal,_xlfn.XLOOKUP($A686,My_Audit!$A:$A,My_Audit!I:I,""),
_xlfn.IFS(_xlpm.MyAuditVal&lt;&gt;"",UPPER(_xlpm.MyAuditVal),_xlpm.MacVal&lt;&gt;"",_xlpm.MacVal,_xlpm.CSVVal&lt;&gt;"",_xlpm.CSVVal
)),"")</f>
        <v/>
      </c>
      <c r="K686" s="40" t="str" cm="1">
        <f t="array" ref="K686">IFERROR(_xlfn.LET(
_xlpm.CSVVal,_xlfn.XLOOKUP($A686,CSV!$A:$A,CSV!K:K,""),
_xlpm.MacVal,_xlfn.XLOOKUP($A686,Output_Mac!$A:$A,Output_Mac!K:K,""),
_xlpm.MyAuditVal,_xlfn.XLOOKUP($A686,My_Audit!$A:$A,My_Audit!J:J,""),
_xlfn.IFS(_xlpm.MyAuditVal&lt;&gt;"",UPPER(_xlpm.MyAuditVal),_xlpm.MacVal&lt;&gt;"",_xlpm.MacVal,_xlpm.CSVVal&lt;&gt;"",_xlpm.CSVVal
)),"")</f>
        <v/>
      </c>
      <c r="L686" s="40" t="str" cm="1">
        <f t="array" ref="L686">IFERROR(_xlfn.LET(
_xlpm.CSVVal,_xlfn.XLOOKUP($A686,CSV!$A:$A,CSV!P:P,""),
_xlpm.MacVal,_xlfn.XLOOKUP($A686,Output_Mac!$A:$A,Output_Mac!L:L,""),
_xlpm.MyAuditVal,_xlfn.XLOOKUP($A686,My_Audit!$A:$A,My_Audit!K:K,""),
_xlfn.IFS(_xlpm.MyAuditVal&lt;&gt;"",UPPER(_xlpm.MyAuditVal),_xlpm.MacVal&lt;&gt;"",_xlpm.MacVal,_xlpm.CSVVal&lt;&gt;"",_xlpm.CSVVal
)),"")</f>
        <v/>
      </c>
      <c r="M686" s="40" t="str" cm="1">
        <f t="array" ref="M686">IFERROR(_xlfn.LET(
_xlpm.CSVVal,_xlfn.XLOOKUP($A686,CSV!$A:$A,CSV!Q:Q,""),
_xlpm.MacVal,_xlfn.XLOOKUP($A686,Output_Mac!$A:$A,Output_Mac!M:M,""),
_xlpm.MyAuditVal,_xlfn.XLOOKUP($A686,My_Audit!$A:$A,My_Audit!L:L,""),
_xlfn.IFS(_xlpm.MyAuditVal&lt;&gt;"",UPPER(_xlpm.MyAuditVal),_xlpm.MacVal&lt;&gt;"",_xlpm.MacVal,_xlpm.CSVVal&lt;&gt;"",_xlpm.CSVVal
)),"")</f>
        <v/>
      </c>
      <c r="N686" s="40"/>
      <c r="O686" s="40" t="str">
        <f>_xlfn.LET(
    _xlpm.CSVVal, _xlfn.XLOOKUP($A686, CSV!$A:$A, CSV!AA:AA, ""),
    _xlpm.MacVal, _xlfn.XLOOKUP($A686, Output_Mac!$A:$A, Output_Mac!S:S, ""),
    _xlpm.MyAuditVal, _xlfn.XLOOKUP($A686, My_Audit!$A:$A, My_Audit!P:P, ""),
    _xlfn.TEXTJOIN(", ", TRUE, _xlpm.MyAuditVal, _xlpm.MacVal, _xlpm.CSVVal)
)</f>
        <v/>
      </c>
      <c r="P686" s="40" t="str" cm="1">
        <f t="array" ref="P686">IFERROR(_xlfn.LET(
_xlpm.CSVVal,_xlfn.XLOOKUP($A686,CSV!$A:$A,CSV!AB:AB,""),
_xlpm.MacVal,_xlfn.XLOOKUP($A686,Output_Mac!$A:$A,Output_Mac!T:T,""),
_xlpm.MyAuditVal,_xlfn.XLOOKUP($A686,My_Audit!$A:$A,My_Audit!Q:Q,""),
_xlfn.IFS(_xlpm.MyAuditVal&lt;&gt;"",UPPER(_xlpm.MyAuditVal),_xlpm.MacVal&lt;&gt;"",_xlpm.MacVal,_xlpm.CSVVal&lt;&gt;"",_xlpm.CSVVal
)),"No")</f>
        <v>No</v>
      </c>
      <c r="Q686" s="40" t="str" cm="1">
        <f t="array" ref="Q686">IFERROR(_xlfn.LET(
_xlpm.CSVVal,_xlfn.XLOOKUP($A686,CSV!$A:$A,CSV!AC:AC,""),
_xlpm.MacVal,_xlfn.XLOOKUP($A686,Output_Mac!$A:$A,Output_Mac!U:U,""),
_xlpm.MyAuditVal,_xlfn.XLOOKUP($A686,My_Audit!$A:$A,My_Audit!R:R,""),
_xlfn.IFS(_xlpm.MyAuditVal&lt;&gt;"",UPPER(_xlpm.MyAuditVal),_xlpm.MacVal&lt;&gt;"",_xlpm.MacVal,_xlpm.CSVVal&lt;&gt;"",_xlpm.CSVVal
)),"")</f>
        <v/>
      </c>
      <c r="R686" s="40"/>
      <c r="S686" s="40"/>
      <c r="T686" s="40"/>
      <c r="U686" s="40"/>
      <c r="V686" s="40"/>
      <c r="W686" s="40"/>
      <c r="X686" s="41" t="str">
        <f>_xlfn.LET(
    _xlpm.MacVal, _xlfn.XLOOKUP($A686, Output_Mac!$A:$A, Output_Mac!AB:AB, ""),
    _xlpm.MyAuditVal, _xlfn.XLOOKUP($A686, My_Audit!$A:$A, My_Audit!N:N, ""),
    _xlfn.TEXTJOIN(", ", TRUE, _xlpm.MyAuditVal, _xlpm.MacVal)
)</f>
        <v/>
      </c>
    </row>
    <row r="687" spans="1:24">
      <c r="A687" s="40" t="str">
        <f>_xlfn.TEXTJOIN("",TRUE,Input!$B$2,ROW(My_Audit!A686))</f>
        <v>X686</v>
      </c>
      <c r="B687" s="40" t="str">
        <f>_xlfn.TEXTJOIN("-",TRUE,"ITD",Input!$A$2,A687)</f>
        <v>ITD-X686</v>
      </c>
      <c r="C687" s="40" t="str" cm="1">
        <f t="array" ref="C687">IFERROR(_xlfn.LET(
_xlpm.CSVVal,_xlfn.XLOOKUP($A687,CSV!$A:$A,CSV!B:B,""),
_xlpm.MacVal,_xlfn.XLOOKUP($A687,Output_Mac!$A:$A,Output_Mac!B:B,""),
_xlpm.MyAuditVal,_xlfn.XLOOKUP($A687,My_Audit!$A:$A,My_Audit!B:B,""),
_xlfn.IFS(_xlpm.MyAuditVal&lt;&gt;"",UPPER(_xlpm.MyAuditVal),_xlpm.MacVal&lt;&gt;"",_xlpm.MacVal,_xlpm.CSVVal&lt;&gt;"",_xlpm.CSVVal
)),"")</f>
        <v/>
      </c>
      <c r="D687" s="40" t="str" cm="1">
        <f t="array" ref="D687">IFERROR(_xlfn.LET(
_xlpm.CSVVal,_xlfn.XLOOKUP($A687,CSV!$A:$A,CSV!D:D,""),
_xlpm.MacVal,_xlfn.XLOOKUP($A687,Output_Mac!$A:$A,Output_Mac!C:C,""),
_xlpm.MyAuditVal,_xlfn.XLOOKUP($A687,My_Audit!$A:$A,My_Audit!C:C,""),
_xlfn.IFS(_xlpm.MyAuditVal&lt;&gt;"",_xlpm.MyAuditVal,_xlpm.MacVal&lt;&gt;"",_xlpm.MacVal,_xlpm.CSVVal&lt;&gt;"",_xlpm.CSVVal
)),"")</f>
        <v/>
      </c>
      <c r="E687" s="40" t="str">
        <f>_xlfn.XLOOKUP(A687,My_Audit!A:A,My_Audit!D:D,"")</f>
        <v/>
      </c>
      <c r="F687" s="40" t="str" cm="1">
        <f t="array" ref="F687">IFERROR(_xlfn.LET(
_xlpm.CSVVal,_xlfn.XLOOKUP($A687,CSV!$A:$A,CSV!F:F,""),
_xlpm.MacVal,_xlfn.XLOOKUP($A687,Output_Mac!$A:$A,Output_Mac!E:E,""),
_xlpm.MyAuditVal,_xlfn.XLOOKUP($A687,My_Audit!$A:$A,My_Audit!E:E,""),
_xlfn.IFS(_xlpm.MyAuditVal&lt;&gt;"",_xlpm.MyAuditVal,_xlpm.MacVal&lt;&gt;"",_xlpm.MacVal,_xlpm.CSVVal&lt;&gt;"",_xlpm.CSVVal
)),"")</f>
        <v/>
      </c>
      <c r="G687" s="40" t="str" cm="1">
        <f t="array" ref="G687">IFERROR(_xlfn.LET(
_xlpm.CSVVal,_xlfn.XLOOKUP($A687,CSV!$A:$A,CSV!G:G,""),
_xlpm.MacVal,_xlfn.XLOOKUP($A687,Output_Mac!$A:$A,Output_Mac!F:F,""),
_xlpm.MyAuditVal,_xlfn.XLOOKUP($A687,My_Audit!$A:$A,My_Audit!F:F,""),
_xlfn.IFS(_xlpm.MyAuditVal&lt;&gt;"",_xlpm.MyAuditVal,_xlpm.MacVal&lt;&gt;"",_xlpm.MacVal,_xlpm.CSVVal&lt;&gt;"",PROPER(_xlpm.CSVVal)
)),"")</f>
        <v/>
      </c>
      <c r="H687" s="40" t="str" cm="1">
        <f t="array" ref="H687">IFERROR(_xlfn.LET(
_xlpm.CSVVal,_xlfn.XLOOKUP($A687,CSV!$A:$A,CSV!H:H,""),
_xlpm.MacVal,_xlfn.XLOOKUP($A687,Output_Mac!$A:$A,Output_Mac!H:H,""),
_xlpm.MyAuditVal,_xlfn.XLOOKUP($A687,My_Audit!$A:$A,My_Audit!G:G,""),
_xlfn.IFS(_xlpm.MyAuditVal&lt;&gt;"",_xlpm.MyAuditVal,_xlpm.MacVal&lt;&gt;"",_xlpm.MacVal,_xlpm.CSVVal&lt;&gt;"",_xlpm.CSVVal
)),"")</f>
        <v/>
      </c>
      <c r="I687" s="40" t="str">
        <f>_xlfn.XLOOKUP(A687,Output_Mac!A:A,Output_Mac!I:I,"")</f>
        <v/>
      </c>
      <c r="J687" s="40" t="str" cm="1">
        <f t="array" ref="J687">IFERROR(_xlfn.LET(
_xlpm.CSVVal,_xlfn.XLOOKUP($A687,CSV!$A:$A,CSV!I:I,""),
_xlpm.MacVal,_xlfn.XLOOKUP($A687,Output_Mac!$A:$A,Output_Mac!J:J,""),
_xlpm.MyAuditVal,_xlfn.XLOOKUP($A687,My_Audit!$A:$A,My_Audit!I:I,""),
_xlfn.IFS(_xlpm.MyAuditVal&lt;&gt;"",UPPER(_xlpm.MyAuditVal),_xlpm.MacVal&lt;&gt;"",_xlpm.MacVal,_xlpm.CSVVal&lt;&gt;"",_xlpm.CSVVal
)),"")</f>
        <v/>
      </c>
      <c r="K687" s="40" t="str" cm="1">
        <f t="array" ref="K687">IFERROR(_xlfn.LET(
_xlpm.CSVVal,_xlfn.XLOOKUP($A687,CSV!$A:$A,CSV!K:K,""),
_xlpm.MacVal,_xlfn.XLOOKUP($A687,Output_Mac!$A:$A,Output_Mac!K:K,""),
_xlpm.MyAuditVal,_xlfn.XLOOKUP($A687,My_Audit!$A:$A,My_Audit!J:J,""),
_xlfn.IFS(_xlpm.MyAuditVal&lt;&gt;"",UPPER(_xlpm.MyAuditVal),_xlpm.MacVal&lt;&gt;"",_xlpm.MacVal,_xlpm.CSVVal&lt;&gt;"",_xlpm.CSVVal
)),"")</f>
        <v/>
      </c>
      <c r="L687" s="40" t="str" cm="1">
        <f t="array" ref="L687">IFERROR(_xlfn.LET(
_xlpm.CSVVal,_xlfn.XLOOKUP($A687,CSV!$A:$A,CSV!P:P,""),
_xlpm.MacVal,_xlfn.XLOOKUP($A687,Output_Mac!$A:$A,Output_Mac!L:L,""),
_xlpm.MyAuditVal,_xlfn.XLOOKUP($A687,My_Audit!$A:$A,My_Audit!K:K,""),
_xlfn.IFS(_xlpm.MyAuditVal&lt;&gt;"",UPPER(_xlpm.MyAuditVal),_xlpm.MacVal&lt;&gt;"",_xlpm.MacVal,_xlpm.CSVVal&lt;&gt;"",_xlpm.CSVVal
)),"")</f>
        <v/>
      </c>
      <c r="M687" s="40" t="str" cm="1">
        <f t="array" ref="M687">IFERROR(_xlfn.LET(
_xlpm.CSVVal,_xlfn.XLOOKUP($A687,CSV!$A:$A,CSV!Q:Q,""),
_xlpm.MacVal,_xlfn.XLOOKUP($A687,Output_Mac!$A:$A,Output_Mac!M:M,""),
_xlpm.MyAuditVal,_xlfn.XLOOKUP($A687,My_Audit!$A:$A,My_Audit!L:L,""),
_xlfn.IFS(_xlpm.MyAuditVal&lt;&gt;"",UPPER(_xlpm.MyAuditVal),_xlpm.MacVal&lt;&gt;"",_xlpm.MacVal,_xlpm.CSVVal&lt;&gt;"",_xlpm.CSVVal
)),"")</f>
        <v/>
      </c>
      <c r="N687" s="40"/>
      <c r="O687" s="40" t="str">
        <f>_xlfn.LET(
    _xlpm.CSVVal, _xlfn.XLOOKUP($A687, CSV!$A:$A, CSV!AA:AA, ""),
    _xlpm.MacVal, _xlfn.XLOOKUP($A687, Output_Mac!$A:$A, Output_Mac!S:S, ""),
    _xlpm.MyAuditVal, _xlfn.XLOOKUP($A687, My_Audit!$A:$A, My_Audit!P:P, ""),
    _xlfn.TEXTJOIN(", ", TRUE, _xlpm.MyAuditVal, _xlpm.MacVal, _xlpm.CSVVal)
)</f>
        <v/>
      </c>
      <c r="P687" s="40" t="str" cm="1">
        <f t="array" ref="P687">IFERROR(_xlfn.LET(
_xlpm.CSVVal,_xlfn.XLOOKUP($A687,CSV!$A:$A,CSV!AB:AB,""),
_xlpm.MacVal,_xlfn.XLOOKUP($A687,Output_Mac!$A:$A,Output_Mac!T:T,""),
_xlpm.MyAuditVal,_xlfn.XLOOKUP($A687,My_Audit!$A:$A,My_Audit!Q:Q,""),
_xlfn.IFS(_xlpm.MyAuditVal&lt;&gt;"",UPPER(_xlpm.MyAuditVal),_xlpm.MacVal&lt;&gt;"",_xlpm.MacVal,_xlpm.CSVVal&lt;&gt;"",_xlpm.CSVVal
)),"No")</f>
        <v>No</v>
      </c>
      <c r="Q687" s="40" t="str" cm="1">
        <f t="array" ref="Q687">IFERROR(_xlfn.LET(
_xlpm.CSVVal,_xlfn.XLOOKUP($A687,CSV!$A:$A,CSV!AC:AC,""),
_xlpm.MacVal,_xlfn.XLOOKUP($A687,Output_Mac!$A:$A,Output_Mac!U:U,""),
_xlpm.MyAuditVal,_xlfn.XLOOKUP($A687,My_Audit!$A:$A,My_Audit!R:R,""),
_xlfn.IFS(_xlpm.MyAuditVal&lt;&gt;"",UPPER(_xlpm.MyAuditVal),_xlpm.MacVal&lt;&gt;"",_xlpm.MacVal,_xlpm.CSVVal&lt;&gt;"",_xlpm.CSVVal
)),"")</f>
        <v/>
      </c>
      <c r="R687" s="40"/>
      <c r="S687" s="40"/>
      <c r="T687" s="40"/>
      <c r="U687" s="40"/>
      <c r="V687" s="40"/>
      <c r="W687" s="40"/>
      <c r="X687" s="41" t="str">
        <f>_xlfn.LET(
    _xlpm.MacVal, _xlfn.XLOOKUP($A687, Output_Mac!$A:$A, Output_Mac!AB:AB, ""),
    _xlpm.MyAuditVal, _xlfn.XLOOKUP($A687, My_Audit!$A:$A, My_Audit!N:N, ""),
    _xlfn.TEXTJOIN(", ", TRUE, _xlpm.MyAuditVal, _xlpm.MacVal)
)</f>
        <v/>
      </c>
    </row>
    <row r="688" spans="1:24">
      <c r="A688" s="40" t="str">
        <f>_xlfn.TEXTJOIN("",TRUE,Input!$B$2,ROW(My_Audit!A687))</f>
        <v>X687</v>
      </c>
      <c r="B688" s="40" t="str">
        <f>_xlfn.TEXTJOIN("-",TRUE,"ITD",Input!$A$2,A688)</f>
        <v>ITD-X687</v>
      </c>
      <c r="C688" s="40" t="str" cm="1">
        <f t="array" ref="C688">IFERROR(_xlfn.LET(
_xlpm.CSVVal,_xlfn.XLOOKUP($A688,CSV!$A:$A,CSV!B:B,""),
_xlpm.MacVal,_xlfn.XLOOKUP($A688,Output_Mac!$A:$A,Output_Mac!B:B,""),
_xlpm.MyAuditVal,_xlfn.XLOOKUP($A688,My_Audit!$A:$A,My_Audit!B:B,""),
_xlfn.IFS(_xlpm.MyAuditVal&lt;&gt;"",UPPER(_xlpm.MyAuditVal),_xlpm.MacVal&lt;&gt;"",_xlpm.MacVal,_xlpm.CSVVal&lt;&gt;"",_xlpm.CSVVal
)),"")</f>
        <v/>
      </c>
      <c r="D688" s="40" t="str" cm="1">
        <f t="array" ref="D688">IFERROR(_xlfn.LET(
_xlpm.CSVVal,_xlfn.XLOOKUP($A688,CSV!$A:$A,CSV!D:D,""),
_xlpm.MacVal,_xlfn.XLOOKUP($A688,Output_Mac!$A:$A,Output_Mac!C:C,""),
_xlpm.MyAuditVal,_xlfn.XLOOKUP($A688,My_Audit!$A:$A,My_Audit!C:C,""),
_xlfn.IFS(_xlpm.MyAuditVal&lt;&gt;"",_xlpm.MyAuditVal,_xlpm.MacVal&lt;&gt;"",_xlpm.MacVal,_xlpm.CSVVal&lt;&gt;"",_xlpm.CSVVal
)),"")</f>
        <v/>
      </c>
      <c r="E688" s="40" t="str">
        <f>_xlfn.XLOOKUP(A688,My_Audit!A:A,My_Audit!D:D,"")</f>
        <v/>
      </c>
      <c r="F688" s="40" t="str" cm="1">
        <f t="array" ref="F688">IFERROR(_xlfn.LET(
_xlpm.CSVVal,_xlfn.XLOOKUP($A688,CSV!$A:$A,CSV!F:F,""),
_xlpm.MacVal,_xlfn.XLOOKUP($A688,Output_Mac!$A:$A,Output_Mac!E:E,""),
_xlpm.MyAuditVal,_xlfn.XLOOKUP($A688,My_Audit!$A:$A,My_Audit!E:E,""),
_xlfn.IFS(_xlpm.MyAuditVal&lt;&gt;"",_xlpm.MyAuditVal,_xlpm.MacVal&lt;&gt;"",_xlpm.MacVal,_xlpm.CSVVal&lt;&gt;"",_xlpm.CSVVal
)),"")</f>
        <v/>
      </c>
      <c r="G688" s="40" t="str" cm="1">
        <f t="array" ref="G688">IFERROR(_xlfn.LET(
_xlpm.CSVVal,_xlfn.XLOOKUP($A688,CSV!$A:$A,CSV!G:G,""),
_xlpm.MacVal,_xlfn.XLOOKUP($A688,Output_Mac!$A:$A,Output_Mac!F:F,""),
_xlpm.MyAuditVal,_xlfn.XLOOKUP($A688,My_Audit!$A:$A,My_Audit!F:F,""),
_xlfn.IFS(_xlpm.MyAuditVal&lt;&gt;"",_xlpm.MyAuditVal,_xlpm.MacVal&lt;&gt;"",_xlpm.MacVal,_xlpm.CSVVal&lt;&gt;"",PROPER(_xlpm.CSVVal)
)),"")</f>
        <v/>
      </c>
      <c r="H688" s="40" t="str" cm="1">
        <f t="array" ref="H688">IFERROR(_xlfn.LET(
_xlpm.CSVVal,_xlfn.XLOOKUP($A688,CSV!$A:$A,CSV!H:H,""),
_xlpm.MacVal,_xlfn.XLOOKUP($A688,Output_Mac!$A:$A,Output_Mac!H:H,""),
_xlpm.MyAuditVal,_xlfn.XLOOKUP($A688,My_Audit!$A:$A,My_Audit!G:G,""),
_xlfn.IFS(_xlpm.MyAuditVal&lt;&gt;"",_xlpm.MyAuditVal,_xlpm.MacVal&lt;&gt;"",_xlpm.MacVal,_xlpm.CSVVal&lt;&gt;"",_xlpm.CSVVal
)),"")</f>
        <v/>
      </c>
      <c r="I688" s="40" t="str">
        <f>_xlfn.XLOOKUP(A688,Output_Mac!A:A,Output_Mac!I:I,"")</f>
        <v/>
      </c>
      <c r="J688" s="40" t="str" cm="1">
        <f t="array" ref="J688">IFERROR(_xlfn.LET(
_xlpm.CSVVal,_xlfn.XLOOKUP($A688,CSV!$A:$A,CSV!I:I,""),
_xlpm.MacVal,_xlfn.XLOOKUP($A688,Output_Mac!$A:$A,Output_Mac!J:J,""),
_xlpm.MyAuditVal,_xlfn.XLOOKUP($A688,My_Audit!$A:$A,My_Audit!I:I,""),
_xlfn.IFS(_xlpm.MyAuditVal&lt;&gt;"",UPPER(_xlpm.MyAuditVal),_xlpm.MacVal&lt;&gt;"",_xlpm.MacVal,_xlpm.CSVVal&lt;&gt;"",_xlpm.CSVVal
)),"")</f>
        <v/>
      </c>
      <c r="K688" s="40" t="str" cm="1">
        <f t="array" ref="K688">IFERROR(_xlfn.LET(
_xlpm.CSVVal,_xlfn.XLOOKUP($A688,CSV!$A:$A,CSV!K:K,""),
_xlpm.MacVal,_xlfn.XLOOKUP($A688,Output_Mac!$A:$A,Output_Mac!K:K,""),
_xlpm.MyAuditVal,_xlfn.XLOOKUP($A688,My_Audit!$A:$A,My_Audit!J:J,""),
_xlfn.IFS(_xlpm.MyAuditVal&lt;&gt;"",UPPER(_xlpm.MyAuditVal),_xlpm.MacVal&lt;&gt;"",_xlpm.MacVal,_xlpm.CSVVal&lt;&gt;"",_xlpm.CSVVal
)),"")</f>
        <v/>
      </c>
      <c r="L688" s="40" t="str" cm="1">
        <f t="array" ref="L688">IFERROR(_xlfn.LET(
_xlpm.CSVVal,_xlfn.XLOOKUP($A688,CSV!$A:$A,CSV!P:P,""),
_xlpm.MacVal,_xlfn.XLOOKUP($A688,Output_Mac!$A:$A,Output_Mac!L:L,""),
_xlpm.MyAuditVal,_xlfn.XLOOKUP($A688,My_Audit!$A:$A,My_Audit!K:K,""),
_xlfn.IFS(_xlpm.MyAuditVal&lt;&gt;"",UPPER(_xlpm.MyAuditVal),_xlpm.MacVal&lt;&gt;"",_xlpm.MacVal,_xlpm.CSVVal&lt;&gt;"",_xlpm.CSVVal
)),"")</f>
        <v/>
      </c>
      <c r="M688" s="40" t="str" cm="1">
        <f t="array" ref="M688">IFERROR(_xlfn.LET(
_xlpm.CSVVal,_xlfn.XLOOKUP($A688,CSV!$A:$A,CSV!Q:Q,""),
_xlpm.MacVal,_xlfn.XLOOKUP($A688,Output_Mac!$A:$A,Output_Mac!M:M,""),
_xlpm.MyAuditVal,_xlfn.XLOOKUP($A688,My_Audit!$A:$A,My_Audit!L:L,""),
_xlfn.IFS(_xlpm.MyAuditVal&lt;&gt;"",UPPER(_xlpm.MyAuditVal),_xlpm.MacVal&lt;&gt;"",_xlpm.MacVal,_xlpm.CSVVal&lt;&gt;"",_xlpm.CSVVal
)),"")</f>
        <v/>
      </c>
      <c r="N688" s="40"/>
      <c r="O688" s="40" t="str">
        <f>_xlfn.LET(
    _xlpm.CSVVal, _xlfn.XLOOKUP($A688, CSV!$A:$A, CSV!AA:AA, ""),
    _xlpm.MacVal, _xlfn.XLOOKUP($A688, Output_Mac!$A:$A, Output_Mac!S:S, ""),
    _xlpm.MyAuditVal, _xlfn.XLOOKUP($A688, My_Audit!$A:$A, My_Audit!P:P, ""),
    _xlfn.TEXTJOIN(", ", TRUE, _xlpm.MyAuditVal, _xlpm.MacVal, _xlpm.CSVVal)
)</f>
        <v/>
      </c>
      <c r="P688" s="40" t="str" cm="1">
        <f t="array" ref="P688">IFERROR(_xlfn.LET(
_xlpm.CSVVal,_xlfn.XLOOKUP($A688,CSV!$A:$A,CSV!AB:AB,""),
_xlpm.MacVal,_xlfn.XLOOKUP($A688,Output_Mac!$A:$A,Output_Mac!T:T,""),
_xlpm.MyAuditVal,_xlfn.XLOOKUP($A688,My_Audit!$A:$A,My_Audit!Q:Q,""),
_xlfn.IFS(_xlpm.MyAuditVal&lt;&gt;"",UPPER(_xlpm.MyAuditVal),_xlpm.MacVal&lt;&gt;"",_xlpm.MacVal,_xlpm.CSVVal&lt;&gt;"",_xlpm.CSVVal
)),"No")</f>
        <v>No</v>
      </c>
      <c r="Q688" s="40" t="str" cm="1">
        <f t="array" ref="Q688">IFERROR(_xlfn.LET(
_xlpm.CSVVal,_xlfn.XLOOKUP($A688,CSV!$A:$A,CSV!AC:AC,""),
_xlpm.MacVal,_xlfn.XLOOKUP($A688,Output_Mac!$A:$A,Output_Mac!U:U,""),
_xlpm.MyAuditVal,_xlfn.XLOOKUP($A688,My_Audit!$A:$A,My_Audit!R:R,""),
_xlfn.IFS(_xlpm.MyAuditVal&lt;&gt;"",UPPER(_xlpm.MyAuditVal),_xlpm.MacVal&lt;&gt;"",_xlpm.MacVal,_xlpm.CSVVal&lt;&gt;"",_xlpm.CSVVal
)),"")</f>
        <v/>
      </c>
      <c r="R688" s="40"/>
      <c r="S688" s="40"/>
      <c r="T688" s="40"/>
      <c r="U688" s="40"/>
      <c r="V688" s="40"/>
      <c r="W688" s="40"/>
      <c r="X688" s="41" t="str">
        <f>_xlfn.LET(
    _xlpm.MacVal, _xlfn.XLOOKUP($A688, Output_Mac!$A:$A, Output_Mac!AB:AB, ""),
    _xlpm.MyAuditVal, _xlfn.XLOOKUP($A688, My_Audit!$A:$A, My_Audit!N:N, ""),
    _xlfn.TEXTJOIN(", ", TRUE, _xlpm.MyAuditVal, _xlpm.MacVal)
)</f>
        <v/>
      </c>
    </row>
    <row r="689" spans="1:24">
      <c r="A689" s="40" t="str">
        <f>_xlfn.TEXTJOIN("",TRUE,Input!$B$2,ROW(My_Audit!A688))</f>
        <v>X688</v>
      </c>
      <c r="B689" s="40" t="str">
        <f>_xlfn.TEXTJOIN("-",TRUE,"ITD",Input!$A$2,A689)</f>
        <v>ITD-X688</v>
      </c>
      <c r="C689" s="40" t="str" cm="1">
        <f t="array" ref="C689">IFERROR(_xlfn.LET(
_xlpm.CSVVal,_xlfn.XLOOKUP($A689,CSV!$A:$A,CSV!B:B,""),
_xlpm.MacVal,_xlfn.XLOOKUP($A689,Output_Mac!$A:$A,Output_Mac!B:B,""),
_xlpm.MyAuditVal,_xlfn.XLOOKUP($A689,My_Audit!$A:$A,My_Audit!B:B,""),
_xlfn.IFS(_xlpm.MyAuditVal&lt;&gt;"",UPPER(_xlpm.MyAuditVal),_xlpm.MacVal&lt;&gt;"",_xlpm.MacVal,_xlpm.CSVVal&lt;&gt;"",_xlpm.CSVVal
)),"")</f>
        <v/>
      </c>
      <c r="D689" s="40" t="str" cm="1">
        <f t="array" ref="D689">IFERROR(_xlfn.LET(
_xlpm.CSVVal,_xlfn.XLOOKUP($A689,CSV!$A:$A,CSV!D:D,""),
_xlpm.MacVal,_xlfn.XLOOKUP($A689,Output_Mac!$A:$A,Output_Mac!C:C,""),
_xlpm.MyAuditVal,_xlfn.XLOOKUP($A689,My_Audit!$A:$A,My_Audit!C:C,""),
_xlfn.IFS(_xlpm.MyAuditVal&lt;&gt;"",_xlpm.MyAuditVal,_xlpm.MacVal&lt;&gt;"",_xlpm.MacVal,_xlpm.CSVVal&lt;&gt;"",_xlpm.CSVVal
)),"")</f>
        <v/>
      </c>
      <c r="E689" s="40" t="str">
        <f>_xlfn.XLOOKUP(A689,My_Audit!A:A,My_Audit!D:D,"")</f>
        <v/>
      </c>
      <c r="F689" s="40" t="str" cm="1">
        <f t="array" ref="F689">IFERROR(_xlfn.LET(
_xlpm.CSVVal,_xlfn.XLOOKUP($A689,CSV!$A:$A,CSV!F:F,""),
_xlpm.MacVal,_xlfn.XLOOKUP($A689,Output_Mac!$A:$A,Output_Mac!E:E,""),
_xlpm.MyAuditVal,_xlfn.XLOOKUP($A689,My_Audit!$A:$A,My_Audit!E:E,""),
_xlfn.IFS(_xlpm.MyAuditVal&lt;&gt;"",_xlpm.MyAuditVal,_xlpm.MacVal&lt;&gt;"",_xlpm.MacVal,_xlpm.CSVVal&lt;&gt;"",_xlpm.CSVVal
)),"")</f>
        <v/>
      </c>
      <c r="G689" s="40" t="str" cm="1">
        <f t="array" ref="G689">IFERROR(_xlfn.LET(
_xlpm.CSVVal,_xlfn.XLOOKUP($A689,CSV!$A:$A,CSV!G:G,""),
_xlpm.MacVal,_xlfn.XLOOKUP($A689,Output_Mac!$A:$A,Output_Mac!F:F,""),
_xlpm.MyAuditVal,_xlfn.XLOOKUP($A689,My_Audit!$A:$A,My_Audit!F:F,""),
_xlfn.IFS(_xlpm.MyAuditVal&lt;&gt;"",_xlpm.MyAuditVal,_xlpm.MacVal&lt;&gt;"",_xlpm.MacVal,_xlpm.CSVVal&lt;&gt;"",PROPER(_xlpm.CSVVal)
)),"")</f>
        <v/>
      </c>
      <c r="H689" s="40" t="str" cm="1">
        <f t="array" ref="H689">IFERROR(_xlfn.LET(
_xlpm.CSVVal,_xlfn.XLOOKUP($A689,CSV!$A:$A,CSV!H:H,""),
_xlpm.MacVal,_xlfn.XLOOKUP($A689,Output_Mac!$A:$A,Output_Mac!H:H,""),
_xlpm.MyAuditVal,_xlfn.XLOOKUP($A689,My_Audit!$A:$A,My_Audit!G:G,""),
_xlfn.IFS(_xlpm.MyAuditVal&lt;&gt;"",_xlpm.MyAuditVal,_xlpm.MacVal&lt;&gt;"",_xlpm.MacVal,_xlpm.CSVVal&lt;&gt;"",_xlpm.CSVVal
)),"")</f>
        <v/>
      </c>
      <c r="I689" s="40" t="str">
        <f>_xlfn.XLOOKUP(A689,Output_Mac!A:A,Output_Mac!I:I,"")</f>
        <v/>
      </c>
      <c r="J689" s="40" t="str" cm="1">
        <f t="array" ref="J689">IFERROR(_xlfn.LET(
_xlpm.CSVVal,_xlfn.XLOOKUP($A689,CSV!$A:$A,CSV!I:I,""),
_xlpm.MacVal,_xlfn.XLOOKUP($A689,Output_Mac!$A:$A,Output_Mac!J:J,""),
_xlpm.MyAuditVal,_xlfn.XLOOKUP($A689,My_Audit!$A:$A,My_Audit!I:I,""),
_xlfn.IFS(_xlpm.MyAuditVal&lt;&gt;"",UPPER(_xlpm.MyAuditVal),_xlpm.MacVal&lt;&gt;"",_xlpm.MacVal,_xlpm.CSVVal&lt;&gt;"",_xlpm.CSVVal
)),"")</f>
        <v/>
      </c>
      <c r="K689" s="40" t="str" cm="1">
        <f t="array" ref="K689">IFERROR(_xlfn.LET(
_xlpm.CSVVal,_xlfn.XLOOKUP($A689,CSV!$A:$A,CSV!K:K,""),
_xlpm.MacVal,_xlfn.XLOOKUP($A689,Output_Mac!$A:$A,Output_Mac!K:K,""),
_xlpm.MyAuditVal,_xlfn.XLOOKUP($A689,My_Audit!$A:$A,My_Audit!J:J,""),
_xlfn.IFS(_xlpm.MyAuditVal&lt;&gt;"",UPPER(_xlpm.MyAuditVal),_xlpm.MacVal&lt;&gt;"",_xlpm.MacVal,_xlpm.CSVVal&lt;&gt;"",_xlpm.CSVVal
)),"")</f>
        <v/>
      </c>
      <c r="L689" s="40" t="str" cm="1">
        <f t="array" ref="L689">IFERROR(_xlfn.LET(
_xlpm.CSVVal,_xlfn.XLOOKUP($A689,CSV!$A:$A,CSV!P:P,""),
_xlpm.MacVal,_xlfn.XLOOKUP($A689,Output_Mac!$A:$A,Output_Mac!L:L,""),
_xlpm.MyAuditVal,_xlfn.XLOOKUP($A689,My_Audit!$A:$A,My_Audit!K:K,""),
_xlfn.IFS(_xlpm.MyAuditVal&lt;&gt;"",UPPER(_xlpm.MyAuditVal),_xlpm.MacVal&lt;&gt;"",_xlpm.MacVal,_xlpm.CSVVal&lt;&gt;"",_xlpm.CSVVal
)),"")</f>
        <v/>
      </c>
      <c r="M689" s="40" t="str" cm="1">
        <f t="array" ref="M689">IFERROR(_xlfn.LET(
_xlpm.CSVVal,_xlfn.XLOOKUP($A689,CSV!$A:$A,CSV!Q:Q,""),
_xlpm.MacVal,_xlfn.XLOOKUP($A689,Output_Mac!$A:$A,Output_Mac!M:M,""),
_xlpm.MyAuditVal,_xlfn.XLOOKUP($A689,My_Audit!$A:$A,My_Audit!L:L,""),
_xlfn.IFS(_xlpm.MyAuditVal&lt;&gt;"",UPPER(_xlpm.MyAuditVal),_xlpm.MacVal&lt;&gt;"",_xlpm.MacVal,_xlpm.CSVVal&lt;&gt;"",_xlpm.CSVVal
)),"")</f>
        <v/>
      </c>
      <c r="N689" s="40"/>
      <c r="O689" s="40" t="str">
        <f>_xlfn.LET(
    _xlpm.CSVVal, _xlfn.XLOOKUP($A689, CSV!$A:$A, CSV!AA:AA, ""),
    _xlpm.MacVal, _xlfn.XLOOKUP($A689, Output_Mac!$A:$A, Output_Mac!S:S, ""),
    _xlpm.MyAuditVal, _xlfn.XLOOKUP($A689, My_Audit!$A:$A, My_Audit!P:P, ""),
    _xlfn.TEXTJOIN(", ", TRUE, _xlpm.MyAuditVal, _xlpm.MacVal, _xlpm.CSVVal)
)</f>
        <v/>
      </c>
      <c r="P689" s="40" t="str" cm="1">
        <f t="array" ref="P689">IFERROR(_xlfn.LET(
_xlpm.CSVVal,_xlfn.XLOOKUP($A689,CSV!$A:$A,CSV!AB:AB,""),
_xlpm.MacVal,_xlfn.XLOOKUP($A689,Output_Mac!$A:$A,Output_Mac!T:T,""),
_xlpm.MyAuditVal,_xlfn.XLOOKUP($A689,My_Audit!$A:$A,My_Audit!Q:Q,""),
_xlfn.IFS(_xlpm.MyAuditVal&lt;&gt;"",UPPER(_xlpm.MyAuditVal),_xlpm.MacVal&lt;&gt;"",_xlpm.MacVal,_xlpm.CSVVal&lt;&gt;"",_xlpm.CSVVal
)),"No")</f>
        <v>No</v>
      </c>
      <c r="Q689" s="40" t="str" cm="1">
        <f t="array" ref="Q689">IFERROR(_xlfn.LET(
_xlpm.CSVVal,_xlfn.XLOOKUP($A689,CSV!$A:$A,CSV!AC:AC,""),
_xlpm.MacVal,_xlfn.XLOOKUP($A689,Output_Mac!$A:$A,Output_Mac!U:U,""),
_xlpm.MyAuditVal,_xlfn.XLOOKUP($A689,My_Audit!$A:$A,My_Audit!R:R,""),
_xlfn.IFS(_xlpm.MyAuditVal&lt;&gt;"",UPPER(_xlpm.MyAuditVal),_xlpm.MacVal&lt;&gt;"",_xlpm.MacVal,_xlpm.CSVVal&lt;&gt;"",_xlpm.CSVVal
)),"")</f>
        <v/>
      </c>
      <c r="R689" s="40"/>
      <c r="S689" s="40"/>
      <c r="T689" s="40"/>
      <c r="U689" s="40"/>
      <c r="V689" s="40"/>
      <c r="W689" s="40"/>
      <c r="X689" s="41" t="str">
        <f>_xlfn.LET(
    _xlpm.MacVal, _xlfn.XLOOKUP($A689, Output_Mac!$A:$A, Output_Mac!AB:AB, ""),
    _xlpm.MyAuditVal, _xlfn.XLOOKUP($A689, My_Audit!$A:$A, My_Audit!N:N, ""),
    _xlfn.TEXTJOIN(", ", TRUE, _xlpm.MyAuditVal, _xlpm.MacVal)
)</f>
        <v/>
      </c>
    </row>
    <row r="690" spans="1:24">
      <c r="A690" s="40" t="str">
        <f>_xlfn.TEXTJOIN("",TRUE,Input!$B$2,ROW(My_Audit!A689))</f>
        <v>X689</v>
      </c>
      <c r="B690" s="40" t="str">
        <f>_xlfn.TEXTJOIN("-",TRUE,"ITD",Input!$A$2,A690)</f>
        <v>ITD-X689</v>
      </c>
      <c r="C690" s="40" t="str" cm="1">
        <f t="array" ref="C690">IFERROR(_xlfn.LET(
_xlpm.CSVVal,_xlfn.XLOOKUP($A690,CSV!$A:$A,CSV!B:B,""),
_xlpm.MacVal,_xlfn.XLOOKUP($A690,Output_Mac!$A:$A,Output_Mac!B:B,""),
_xlpm.MyAuditVal,_xlfn.XLOOKUP($A690,My_Audit!$A:$A,My_Audit!B:B,""),
_xlfn.IFS(_xlpm.MyAuditVal&lt;&gt;"",UPPER(_xlpm.MyAuditVal),_xlpm.MacVal&lt;&gt;"",_xlpm.MacVal,_xlpm.CSVVal&lt;&gt;"",_xlpm.CSVVal
)),"")</f>
        <v/>
      </c>
      <c r="D690" s="40" t="str" cm="1">
        <f t="array" ref="D690">IFERROR(_xlfn.LET(
_xlpm.CSVVal,_xlfn.XLOOKUP($A690,CSV!$A:$A,CSV!D:D,""),
_xlpm.MacVal,_xlfn.XLOOKUP($A690,Output_Mac!$A:$A,Output_Mac!C:C,""),
_xlpm.MyAuditVal,_xlfn.XLOOKUP($A690,My_Audit!$A:$A,My_Audit!C:C,""),
_xlfn.IFS(_xlpm.MyAuditVal&lt;&gt;"",_xlpm.MyAuditVal,_xlpm.MacVal&lt;&gt;"",_xlpm.MacVal,_xlpm.CSVVal&lt;&gt;"",_xlpm.CSVVal
)),"")</f>
        <v/>
      </c>
      <c r="E690" s="40" t="str">
        <f>_xlfn.XLOOKUP(A690,My_Audit!A:A,My_Audit!D:D,"")</f>
        <v/>
      </c>
      <c r="F690" s="40" t="str" cm="1">
        <f t="array" ref="F690">IFERROR(_xlfn.LET(
_xlpm.CSVVal,_xlfn.XLOOKUP($A690,CSV!$A:$A,CSV!F:F,""),
_xlpm.MacVal,_xlfn.XLOOKUP($A690,Output_Mac!$A:$A,Output_Mac!E:E,""),
_xlpm.MyAuditVal,_xlfn.XLOOKUP($A690,My_Audit!$A:$A,My_Audit!E:E,""),
_xlfn.IFS(_xlpm.MyAuditVal&lt;&gt;"",_xlpm.MyAuditVal,_xlpm.MacVal&lt;&gt;"",_xlpm.MacVal,_xlpm.CSVVal&lt;&gt;"",_xlpm.CSVVal
)),"")</f>
        <v/>
      </c>
      <c r="G690" s="40" t="str" cm="1">
        <f t="array" ref="G690">IFERROR(_xlfn.LET(
_xlpm.CSVVal,_xlfn.XLOOKUP($A690,CSV!$A:$A,CSV!G:G,""),
_xlpm.MacVal,_xlfn.XLOOKUP($A690,Output_Mac!$A:$A,Output_Mac!F:F,""),
_xlpm.MyAuditVal,_xlfn.XLOOKUP($A690,My_Audit!$A:$A,My_Audit!F:F,""),
_xlfn.IFS(_xlpm.MyAuditVal&lt;&gt;"",_xlpm.MyAuditVal,_xlpm.MacVal&lt;&gt;"",_xlpm.MacVal,_xlpm.CSVVal&lt;&gt;"",PROPER(_xlpm.CSVVal)
)),"")</f>
        <v/>
      </c>
      <c r="H690" s="40" t="str" cm="1">
        <f t="array" ref="H690">IFERROR(_xlfn.LET(
_xlpm.CSVVal,_xlfn.XLOOKUP($A690,CSV!$A:$A,CSV!H:H,""),
_xlpm.MacVal,_xlfn.XLOOKUP($A690,Output_Mac!$A:$A,Output_Mac!H:H,""),
_xlpm.MyAuditVal,_xlfn.XLOOKUP($A690,My_Audit!$A:$A,My_Audit!G:G,""),
_xlfn.IFS(_xlpm.MyAuditVal&lt;&gt;"",_xlpm.MyAuditVal,_xlpm.MacVal&lt;&gt;"",_xlpm.MacVal,_xlpm.CSVVal&lt;&gt;"",_xlpm.CSVVal
)),"")</f>
        <v/>
      </c>
      <c r="I690" s="40" t="str">
        <f>_xlfn.XLOOKUP(A690,Output_Mac!A:A,Output_Mac!I:I,"")</f>
        <v/>
      </c>
      <c r="J690" s="40" t="str" cm="1">
        <f t="array" ref="J690">IFERROR(_xlfn.LET(
_xlpm.CSVVal,_xlfn.XLOOKUP($A690,CSV!$A:$A,CSV!I:I,""),
_xlpm.MacVal,_xlfn.XLOOKUP($A690,Output_Mac!$A:$A,Output_Mac!J:J,""),
_xlpm.MyAuditVal,_xlfn.XLOOKUP($A690,My_Audit!$A:$A,My_Audit!I:I,""),
_xlfn.IFS(_xlpm.MyAuditVal&lt;&gt;"",UPPER(_xlpm.MyAuditVal),_xlpm.MacVal&lt;&gt;"",_xlpm.MacVal,_xlpm.CSVVal&lt;&gt;"",_xlpm.CSVVal
)),"")</f>
        <v/>
      </c>
      <c r="K690" s="40" t="str" cm="1">
        <f t="array" ref="K690">IFERROR(_xlfn.LET(
_xlpm.CSVVal,_xlfn.XLOOKUP($A690,CSV!$A:$A,CSV!K:K,""),
_xlpm.MacVal,_xlfn.XLOOKUP($A690,Output_Mac!$A:$A,Output_Mac!K:K,""),
_xlpm.MyAuditVal,_xlfn.XLOOKUP($A690,My_Audit!$A:$A,My_Audit!J:J,""),
_xlfn.IFS(_xlpm.MyAuditVal&lt;&gt;"",UPPER(_xlpm.MyAuditVal),_xlpm.MacVal&lt;&gt;"",_xlpm.MacVal,_xlpm.CSVVal&lt;&gt;"",_xlpm.CSVVal
)),"")</f>
        <v/>
      </c>
      <c r="L690" s="40" t="str" cm="1">
        <f t="array" ref="L690">IFERROR(_xlfn.LET(
_xlpm.CSVVal,_xlfn.XLOOKUP($A690,CSV!$A:$A,CSV!P:P,""),
_xlpm.MacVal,_xlfn.XLOOKUP($A690,Output_Mac!$A:$A,Output_Mac!L:L,""),
_xlpm.MyAuditVal,_xlfn.XLOOKUP($A690,My_Audit!$A:$A,My_Audit!K:K,""),
_xlfn.IFS(_xlpm.MyAuditVal&lt;&gt;"",UPPER(_xlpm.MyAuditVal),_xlpm.MacVal&lt;&gt;"",_xlpm.MacVal,_xlpm.CSVVal&lt;&gt;"",_xlpm.CSVVal
)),"")</f>
        <v/>
      </c>
      <c r="M690" s="40" t="str" cm="1">
        <f t="array" ref="M690">IFERROR(_xlfn.LET(
_xlpm.CSVVal,_xlfn.XLOOKUP($A690,CSV!$A:$A,CSV!Q:Q,""),
_xlpm.MacVal,_xlfn.XLOOKUP($A690,Output_Mac!$A:$A,Output_Mac!M:M,""),
_xlpm.MyAuditVal,_xlfn.XLOOKUP($A690,My_Audit!$A:$A,My_Audit!L:L,""),
_xlfn.IFS(_xlpm.MyAuditVal&lt;&gt;"",UPPER(_xlpm.MyAuditVal),_xlpm.MacVal&lt;&gt;"",_xlpm.MacVal,_xlpm.CSVVal&lt;&gt;"",_xlpm.CSVVal
)),"")</f>
        <v/>
      </c>
      <c r="N690" s="40"/>
      <c r="O690" s="40" t="str">
        <f>_xlfn.LET(
    _xlpm.CSVVal, _xlfn.XLOOKUP($A690, CSV!$A:$A, CSV!AA:AA, ""),
    _xlpm.MacVal, _xlfn.XLOOKUP($A690, Output_Mac!$A:$A, Output_Mac!S:S, ""),
    _xlpm.MyAuditVal, _xlfn.XLOOKUP($A690, My_Audit!$A:$A, My_Audit!P:P, ""),
    _xlfn.TEXTJOIN(", ", TRUE, _xlpm.MyAuditVal, _xlpm.MacVal, _xlpm.CSVVal)
)</f>
        <v/>
      </c>
      <c r="P690" s="40" t="str" cm="1">
        <f t="array" ref="P690">IFERROR(_xlfn.LET(
_xlpm.CSVVal,_xlfn.XLOOKUP($A690,CSV!$A:$A,CSV!AB:AB,""),
_xlpm.MacVal,_xlfn.XLOOKUP($A690,Output_Mac!$A:$A,Output_Mac!T:T,""),
_xlpm.MyAuditVal,_xlfn.XLOOKUP($A690,My_Audit!$A:$A,My_Audit!Q:Q,""),
_xlfn.IFS(_xlpm.MyAuditVal&lt;&gt;"",UPPER(_xlpm.MyAuditVal),_xlpm.MacVal&lt;&gt;"",_xlpm.MacVal,_xlpm.CSVVal&lt;&gt;"",_xlpm.CSVVal
)),"No")</f>
        <v>No</v>
      </c>
      <c r="Q690" s="40" t="str" cm="1">
        <f t="array" ref="Q690">IFERROR(_xlfn.LET(
_xlpm.CSVVal,_xlfn.XLOOKUP($A690,CSV!$A:$A,CSV!AC:AC,""),
_xlpm.MacVal,_xlfn.XLOOKUP($A690,Output_Mac!$A:$A,Output_Mac!U:U,""),
_xlpm.MyAuditVal,_xlfn.XLOOKUP($A690,My_Audit!$A:$A,My_Audit!R:R,""),
_xlfn.IFS(_xlpm.MyAuditVal&lt;&gt;"",UPPER(_xlpm.MyAuditVal),_xlpm.MacVal&lt;&gt;"",_xlpm.MacVal,_xlpm.CSVVal&lt;&gt;"",_xlpm.CSVVal
)),"")</f>
        <v/>
      </c>
      <c r="R690" s="40"/>
      <c r="S690" s="40"/>
      <c r="T690" s="40"/>
      <c r="U690" s="40"/>
      <c r="V690" s="40"/>
      <c r="W690" s="40"/>
      <c r="X690" s="41" t="str">
        <f>_xlfn.LET(
    _xlpm.MacVal, _xlfn.XLOOKUP($A690, Output_Mac!$A:$A, Output_Mac!AB:AB, ""),
    _xlpm.MyAuditVal, _xlfn.XLOOKUP($A690, My_Audit!$A:$A, My_Audit!N:N, ""),
    _xlfn.TEXTJOIN(", ", TRUE, _xlpm.MyAuditVal, _xlpm.MacVal)
)</f>
        <v/>
      </c>
    </row>
    <row r="691" spans="1:24">
      <c r="A691" s="40" t="str">
        <f>_xlfn.TEXTJOIN("",TRUE,Input!$B$2,ROW(My_Audit!A690))</f>
        <v>X690</v>
      </c>
      <c r="B691" s="40" t="str">
        <f>_xlfn.TEXTJOIN("-",TRUE,"ITD",Input!$A$2,A691)</f>
        <v>ITD-X690</v>
      </c>
      <c r="C691" s="40" t="str" cm="1">
        <f t="array" ref="C691">IFERROR(_xlfn.LET(
_xlpm.CSVVal,_xlfn.XLOOKUP($A691,CSV!$A:$A,CSV!B:B,""),
_xlpm.MacVal,_xlfn.XLOOKUP($A691,Output_Mac!$A:$A,Output_Mac!B:B,""),
_xlpm.MyAuditVal,_xlfn.XLOOKUP($A691,My_Audit!$A:$A,My_Audit!B:B,""),
_xlfn.IFS(_xlpm.MyAuditVal&lt;&gt;"",UPPER(_xlpm.MyAuditVal),_xlpm.MacVal&lt;&gt;"",_xlpm.MacVal,_xlpm.CSVVal&lt;&gt;"",_xlpm.CSVVal
)),"")</f>
        <v/>
      </c>
      <c r="D691" s="40" t="str" cm="1">
        <f t="array" ref="D691">IFERROR(_xlfn.LET(
_xlpm.CSVVal,_xlfn.XLOOKUP($A691,CSV!$A:$A,CSV!D:D,""),
_xlpm.MacVal,_xlfn.XLOOKUP($A691,Output_Mac!$A:$A,Output_Mac!C:C,""),
_xlpm.MyAuditVal,_xlfn.XLOOKUP($A691,My_Audit!$A:$A,My_Audit!C:C,""),
_xlfn.IFS(_xlpm.MyAuditVal&lt;&gt;"",_xlpm.MyAuditVal,_xlpm.MacVal&lt;&gt;"",_xlpm.MacVal,_xlpm.CSVVal&lt;&gt;"",_xlpm.CSVVal
)),"")</f>
        <v/>
      </c>
      <c r="E691" s="40" t="str">
        <f>_xlfn.XLOOKUP(A691,My_Audit!A:A,My_Audit!D:D,"")</f>
        <v/>
      </c>
      <c r="F691" s="40" t="str" cm="1">
        <f t="array" ref="F691">IFERROR(_xlfn.LET(
_xlpm.CSVVal,_xlfn.XLOOKUP($A691,CSV!$A:$A,CSV!F:F,""),
_xlpm.MacVal,_xlfn.XLOOKUP($A691,Output_Mac!$A:$A,Output_Mac!E:E,""),
_xlpm.MyAuditVal,_xlfn.XLOOKUP($A691,My_Audit!$A:$A,My_Audit!E:E,""),
_xlfn.IFS(_xlpm.MyAuditVal&lt;&gt;"",_xlpm.MyAuditVal,_xlpm.MacVal&lt;&gt;"",_xlpm.MacVal,_xlpm.CSVVal&lt;&gt;"",_xlpm.CSVVal
)),"")</f>
        <v/>
      </c>
      <c r="G691" s="40" t="str" cm="1">
        <f t="array" ref="G691">IFERROR(_xlfn.LET(
_xlpm.CSVVal,_xlfn.XLOOKUP($A691,CSV!$A:$A,CSV!G:G,""),
_xlpm.MacVal,_xlfn.XLOOKUP($A691,Output_Mac!$A:$A,Output_Mac!F:F,""),
_xlpm.MyAuditVal,_xlfn.XLOOKUP($A691,My_Audit!$A:$A,My_Audit!F:F,""),
_xlfn.IFS(_xlpm.MyAuditVal&lt;&gt;"",_xlpm.MyAuditVal,_xlpm.MacVal&lt;&gt;"",_xlpm.MacVal,_xlpm.CSVVal&lt;&gt;"",PROPER(_xlpm.CSVVal)
)),"")</f>
        <v/>
      </c>
      <c r="H691" s="40" t="str" cm="1">
        <f t="array" ref="H691">IFERROR(_xlfn.LET(
_xlpm.CSVVal,_xlfn.XLOOKUP($A691,CSV!$A:$A,CSV!H:H,""),
_xlpm.MacVal,_xlfn.XLOOKUP($A691,Output_Mac!$A:$A,Output_Mac!H:H,""),
_xlpm.MyAuditVal,_xlfn.XLOOKUP($A691,My_Audit!$A:$A,My_Audit!G:G,""),
_xlfn.IFS(_xlpm.MyAuditVal&lt;&gt;"",_xlpm.MyAuditVal,_xlpm.MacVal&lt;&gt;"",_xlpm.MacVal,_xlpm.CSVVal&lt;&gt;"",_xlpm.CSVVal
)),"")</f>
        <v/>
      </c>
      <c r="I691" s="40" t="str">
        <f>_xlfn.XLOOKUP(A691,Output_Mac!A:A,Output_Mac!I:I,"")</f>
        <v/>
      </c>
      <c r="J691" s="40" t="str" cm="1">
        <f t="array" ref="J691">IFERROR(_xlfn.LET(
_xlpm.CSVVal,_xlfn.XLOOKUP($A691,CSV!$A:$A,CSV!I:I,""),
_xlpm.MacVal,_xlfn.XLOOKUP($A691,Output_Mac!$A:$A,Output_Mac!J:J,""),
_xlpm.MyAuditVal,_xlfn.XLOOKUP($A691,My_Audit!$A:$A,My_Audit!I:I,""),
_xlfn.IFS(_xlpm.MyAuditVal&lt;&gt;"",UPPER(_xlpm.MyAuditVal),_xlpm.MacVal&lt;&gt;"",_xlpm.MacVal,_xlpm.CSVVal&lt;&gt;"",_xlpm.CSVVal
)),"")</f>
        <v/>
      </c>
      <c r="K691" s="40" t="str" cm="1">
        <f t="array" ref="K691">IFERROR(_xlfn.LET(
_xlpm.CSVVal,_xlfn.XLOOKUP($A691,CSV!$A:$A,CSV!K:K,""),
_xlpm.MacVal,_xlfn.XLOOKUP($A691,Output_Mac!$A:$A,Output_Mac!K:K,""),
_xlpm.MyAuditVal,_xlfn.XLOOKUP($A691,My_Audit!$A:$A,My_Audit!J:J,""),
_xlfn.IFS(_xlpm.MyAuditVal&lt;&gt;"",UPPER(_xlpm.MyAuditVal),_xlpm.MacVal&lt;&gt;"",_xlpm.MacVal,_xlpm.CSVVal&lt;&gt;"",_xlpm.CSVVal
)),"")</f>
        <v/>
      </c>
      <c r="L691" s="40" t="str" cm="1">
        <f t="array" ref="L691">IFERROR(_xlfn.LET(
_xlpm.CSVVal,_xlfn.XLOOKUP($A691,CSV!$A:$A,CSV!P:P,""),
_xlpm.MacVal,_xlfn.XLOOKUP($A691,Output_Mac!$A:$A,Output_Mac!L:L,""),
_xlpm.MyAuditVal,_xlfn.XLOOKUP($A691,My_Audit!$A:$A,My_Audit!K:K,""),
_xlfn.IFS(_xlpm.MyAuditVal&lt;&gt;"",UPPER(_xlpm.MyAuditVal),_xlpm.MacVal&lt;&gt;"",_xlpm.MacVal,_xlpm.CSVVal&lt;&gt;"",_xlpm.CSVVal
)),"")</f>
        <v/>
      </c>
      <c r="M691" s="40" t="str" cm="1">
        <f t="array" ref="M691">IFERROR(_xlfn.LET(
_xlpm.CSVVal,_xlfn.XLOOKUP($A691,CSV!$A:$A,CSV!Q:Q,""),
_xlpm.MacVal,_xlfn.XLOOKUP($A691,Output_Mac!$A:$A,Output_Mac!M:M,""),
_xlpm.MyAuditVal,_xlfn.XLOOKUP($A691,My_Audit!$A:$A,My_Audit!L:L,""),
_xlfn.IFS(_xlpm.MyAuditVal&lt;&gt;"",UPPER(_xlpm.MyAuditVal),_xlpm.MacVal&lt;&gt;"",_xlpm.MacVal,_xlpm.CSVVal&lt;&gt;"",_xlpm.CSVVal
)),"")</f>
        <v/>
      </c>
      <c r="N691" s="40"/>
      <c r="O691" s="40" t="str">
        <f>_xlfn.LET(
    _xlpm.CSVVal, _xlfn.XLOOKUP($A691, CSV!$A:$A, CSV!AA:AA, ""),
    _xlpm.MacVal, _xlfn.XLOOKUP($A691, Output_Mac!$A:$A, Output_Mac!S:S, ""),
    _xlpm.MyAuditVal, _xlfn.XLOOKUP($A691, My_Audit!$A:$A, My_Audit!P:P, ""),
    _xlfn.TEXTJOIN(", ", TRUE, _xlpm.MyAuditVal, _xlpm.MacVal, _xlpm.CSVVal)
)</f>
        <v/>
      </c>
      <c r="P691" s="40" t="str" cm="1">
        <f t="array" ref="P691">IFERROR(_xlfn.LET(
_xlpm.CSVVal,_xlfn.XLOOKUP($A691,CSV!$A:$A,CSV!AB:AB,""),
_xlpm.MacVal,_xlfn.XLOOKUP($A691,Output_Mac!$A:$A,Output_Mac!T:T,""),
_xlpm.MyAuditVal,_xlfn.XLOOKUP($A691,My_Audit!$A:$A,My_Audit!Q:Q,""),
_xlfn.IFS(_xlpm.MyAuditVal&lt;&gt;"",UPPER(_xlpm.MyAuditVal),_xlpm.MacVal&lt;&gt;"",_xlpm.MacVal,_xlpm.CSVVal&lt;&gt;"",_xlpm.CSVVal
)),"No")</f>
        <v>No</v>
      </c>
      <c r="Q691" s="40" t="str" cm="1">
        <f t="array" ref="Q691">IFERROR(_xlfn.LET(
_xlpm.CSVVal,_xlfn.XLOOKUP($A691,CSV!$A:$A,CSV!AC:AC,""),
_xlpm.MacVal,_xlfn.XLOOKUP($A691,Output_Mac!$A:$A,Output_Mac!U:U,""),
_xlpm.MyAuditVal,_xlfn.XLOOKUP($A691,My_Audit!$A:$A,My_Audit!R:R,""),
_xlfn.IFS(_xlpm.MyAuditVal&lt;&gt;"",UPPER(_xlpm.MyAuditVal),_xlpm.MacVal&lt;&gt;"",_xlpm.MacVal,_xlpm.CSVVal&lt;&gt;"",_xlpm.CSVVal
)),"")</f>
        <v/>
      </c>
      <c r="R691" s="40"/>
      <c r="S691" s="40"/>
      <c r="T691" s="40"/>
      <c r="U691" s="40"/>
      <c r="V691" s="40"/>
      <c r="W691" s="40"/>
      <c r="X691" s="41" t="str">
        <f>_xlfn.LET(
    _xlpm.MacVal, _xlfn.XLOOKUP($A691, Output_Mac!$A:$A, Output_Mac!AB:AB, ""),
    _xlpm.MyAuditVal, _xlfn.XLOOKUP($A691, My_Audit!$A:$A, My_Audit!N:N, ""),
    _xlfn.TEXTJOIN(", ", TRUE, _xlpm.MyAuditVal, _xlpm.MacVal)
)</f>
        <v/>
      </c>
    </row>
    <row r="692" spans="1:24">
      <c r="A692" s="40" t="str">
        <f>_xlfn.TEXTJOIN("",TRUE,Input!$B$2,ROW(My_Audit!A691))</f>
        <v>X691</v>
      </c>
      <c r="B692" s="40" t="str">
        <f>_xlfn.TEXTJOIN("-",TRUE,"ITD",Input!$A$2,A692)</f>
        <v>ITD-X691</v>
      </c>
      <c r="C692" s="40" t="str" cm="1">
        <f t="array" ref="C692">IFERROR(_xlfn.LET(
_xlpm.CSVVal,_xlfn.XLOOKUP($A692,CSV!$A:$A,CSV!B:B,""),
_xlpm.MacVal,_xlfn.XLOOKUP($A692,Output_Mac!$A:$A,Output_Mac!B:B,""),
_xlpm.MyAuditVal,_xlfn.XLOOKUP($A692,My_Audit!$A:$A,My_Audit!B:B,""),
_xlfn.IFS(_xlpm.MyAuditVal&lt;&gt;"",UPPER(_xlpm.MyAuditVal),_xlpm.MacVal&lt;&gt;"",_xlpm.MacVal,_xlpm.CSVVal&lt;&gt;"",_xlpm.CSVVal
)),"")</f>
        <v/>
      </c>
      <c r="D692" s="40" t="str" cm="1">
        <f t="array" ref="D692">IFERROR(_xlfn.LET(
_xlpm.CSVVal,_xlfn.XLOOKUP($A692,CSV!$A:$A,CSV!D:D,""),
_xlpm.MacVal,_xlfn.XLOOKUP($A692,Output_Mac!$A:$A,Output_Mac!C:C,""),
_xlpm.MyAuditVal,_xlfn.XLOOKUP($A692,My_Audit!$A:$A,My_Audit!C:C,""),
_xlfn.IFS(_xlpm.MyAuditVal&lt;&gt;"",_xlpm.MyAuditVal,_xlpm.MacVal&lt;&gt;"",_xlpm.MacVal,_xlpm.CSVVal&lt;&gt;"",_xlpm.CSVVal
)),"")</f>
        <v/>
      </c>
      <c r="E692" s="40" t="str">
        <f>_xlfn.XLOOKUP(A692,My_Audit!A:A,My_Audit!D:D,"")</f>
        <v/>
      </c>
      <c r="F692" s="40" t="str" cm="1">
        <f t="array" ref="F692">IFERROR(_xlfn.LET(
_xlpm.CSVVal,_xlfn.XLOOKUP($A692,CSV!$A:$A,CSV!F:F,""),
_xlpm.MacVal,_xlfn.XLOOKUP($A692,Output_Mac!$A:$A,Output_Mac!E:E,""),
_xlpm.MyAuditVal,_xlfn.XLOOKUP($A692,My_Audit!$A:$A,My_Audit!E:E,""),
_xlfn.IFS(_xlpm.MyAuditVal&lt;&gt;"",_xlpm.MyAuditVal,_xlpm.MacVal&lt;&gt;"",_xlpm.MacVal,_xlpm.CSVVal&lt;&gt;"",_xlpm.CSVVal
)),"")</f>
        <v/>
      </c>
      <c r="G692" s="40" t="str" cm="1">
        <f t="array" ref="G692">IFERROR(_xlfn.LET(
_xlpm.CSVVal,_xlfn.XLOOKUP($A692,CSV!$A:$A,CSV!G:G,""),
_xlpm.MacVal,_xlfn.XLOOKUP($A692,Output_Mac!$A:$A,Output_Mac!F:F,""),
_xlpm.MyAuditVal,_xlfn.XLOOKUP($A692,My_Audit!$A:$A,My_Audit!F:F,""),
_xlfn.IFS(_xlpm.MyAuditVal&lt;&gt;"",_xlpm.MyAuditVal,_xlpm.MacVal&lt;&gt;"",_xlpm.MacVal,_xlpm.CSVVal&lt;&gt;"",PROPER(_xlpm.CSVVal)
)),"")</f>
        <v/>
      </c>
      <c r="H692" s="40" t="str" cm="1">
        <f t="array" ref="H692">IFERROR(_xlfn.LET(
_xlpm.CSVVal,_xlfn.XLOOKUP($A692,CSV!$A:$A,CSV!H:H,""),
_xlpm.MacVal,_xlfn.XLOOKUP($A692,Output_Mac!$A:$A,Output_Mac!H:H,""),
_xlpm.MyAuditVal,_xlfn.XLOOKUP($A692,My_Audit!$A:$A,My_Audit!G:G,""),
_xlfn.IFS(_xlpm.MyAuditVal&lt;&gt;"",_xlpm.MyAuditVal,_xlpm.MacVal&lt;&gt;"",_xlpm.MacVal,_xlpm.CSVVal&lt;&gt;"",_xlpm.CSVVal
)),"")</f>
        <v/>
      </c>
      <c r="I692" s="40" t="str">
        <f>_xlfn.XLOOKUP(A692,Output_Mac!A:A,Output_Mac!I:I,"")</f>
        <v/>
      </c>
      <c r="J692" s="40" t="str" cm="1">
        <f t="array" ref="J692">IFERROR(_xlfn.LET(
_xlpm.CSVVal,_xlfn.XLOOKUP($A692,CSV!$A:$A,CSV!I:I,""),
_xlpm.MacVal,_xlfn.XLOOKUP($A692,Output_Mac!$A:$A,Output_Mac!J:J,""),
_xlpm.MyAuditVal,_xlfn.XLOOKUP($A692,My_Audit!$A:$A,My_Audit!I:I,""),
_xlfn.IFS(_xlpm.MyAuditVal&lt;&gt;"",UPPER(_xlpm.MyAuditVal),_xlpm.MacVal&lt;&gt;"",_xlpm.MacVal,_xlpm.CSVVal&lt;&gt;"",_xlpm.CSVVal
)),"")</f>
        <v/>
      </c>
      <c r="K692" s="40" t="str" cm="1">
        <f t="array" ref="K692">IFERROR(_xlfn.LET(
_xlpm.CSVVal,_xlfn.XLOOKUP($A692,CSV!$A:$A,CSV!K:K,""),
_xlpm.MacVal,_xlfn.XLOOKUP($A692,Output_Mac!$A:$A,Output_Mac!K:K,""),
_xlpm.MyAuditVal,_xlfn.XLOOKUP($A692,My_Audit!$A:$A,My_Audit!J:J,""),
_xlfn.IFS(_xlpm.MyAuditVal&lt;&gt;"",UPPER(_xlpm.MyAuditVal),_xlpm.MacVal&lt;&gt;"",_xlpm.MacVal,_xlpm.CSVVal&lt;&gt;"",_xlpm.CSVVal
)),"")</f>
        <v/>
      </c>
      <c r="L692" s="40" t="str" cm="1">
        <f t="array" ref="L692">IFERROR(_xlfn.LET(
_xlpm.CSVVal,_xlfn.XLOOKUP($A692,CSV!$A:$A,CSV!P:P,""),
_xlpm.MacVal,_xlfn.XLOOKUP($A692,Output_Mac!$A:$A,Output_Mac!L:L,""),
_xlpm.MyAuditVal,_xlfn.XLOOKUP($A692,My_Audit!$A:$A,My_Audit!K:K,""),
_xlfn.IFS(_xlpm.MyAuditVal&lt;&gt;"",UPPER(_xlpm.MyAuditVal),_xlpm.MacVal&lt;&gt;"",_xlpm.MacVal,_xlpm.CSVVal&lt;&gt;"",_xlpm.CSVVal
)),"")</f>
        <v/>
      </c>
      <c r="M692" s="40" t="str" cm="1">
        <f t="array" ref="M692">IFERROR(_xlfn.LET(
_xlpm.CSVVal,_xlfn.XLOOKUP($A692,CSV!$A:$A,CSV!Q:Q,""),
_xlpm.MacVal,_xlfn.XLOOKUP($A692,Output_Mac!$A:$A,Output_Mac!M:M,""),
_xlpm.MyAuditVal,_xlfn.XLOOKUP($A692,My_Audit!$A:$A,My_Audit!L:L,""),
_xlfn.IFS(_xlpm.MyAuditVal&lt;&gt;"",UPPER(_xlpm.MyAuditVal),_xlpm.MacVal&lt;&gt;"",_xlpm.MacVal,_xlpm.CSVVal&lt;&gt;"",_xlpm.CSVVal
)),"")</f>
        <v/>
      </c>
      <c r="N692" s="40"/>
      <c r="O692" s="40" t="str">
        <f>_xlfn.LET(
    _xlpm.CSVVal, _xlfn.XLOOKUP($A692, CSV!$A:$A, CSV!AA:AA, ""),
    _xlpm.MacVal, _xlfn.XLOOKUP($A692, Output_Mac!$A:$A, Output_Mac!S:S, ""),
    _xlpm.MyAuditVal, _xlfn.XLOOKUP($A692, My_Audit!$A:$A, My_Audit!P:P, ""),
    _xlfn.TEXTJOIN(", ", TRUE, _xlpm.MyAuditVal, _xlpm.MacVal, _xlpm.CSVVal)
)</f>
        <v/>
      </c>
      <c r="P692" s="40" t="str" cm="1">
        <f t="array" ref="P692">IFERROR(_xlfn.LET(
_xlpm.CSVVal,_xlfn.XLOOKUP($A692,CSV!$A:$A,CSV!AB:AB,""),
_xlpm.MacVal,_xlfn.XLOOKUP($A692,Output_Mac!$A:$A,Output_Mac!T:T,""),
_xlpm.MyAuditVal,_xlfn.XLOOKUP($A692,My_Audit!$A:$A,My_Audit!Q:Q,""),
_xlfn.IFS(_xlpm.MyAuditVal&lt;&gt;"",UPPER(_xlpm.MyAuditVal),_xlpm.MacVal&lt;&gt;"",_xlpm.MacVal,_xlpm.CSVVal&lt;&gt;"",_xlpm.CSVVal
)),"No")</f>
        <v>No</v>
      </c>
      <c r="Q692" s="40" t="str" cm="1">
        <f t="array" ref="Q692">IFERROR(_xlfn.LET(
_xlpm.CSVVal,_xlfn.XLOOKUP($A692,CSV!$A:$A,CSV!AC:AC,""),
_xlpm.MacVal,_xlfn.XLOOKUP($A692,Output_Mac!$A:$A,Output_Mac!U:U,""),
_xlpm.MyAuditVal,_xlfn.XLOOKUP($A692,My_Audit!$A:$A,My_Audit!R:R,""),
_xlfn.IFS(_xlpm.MyAuditVal&lt;&gt;"",UPPER(_xlpm.MyAuditVal),_xlpm.MacVal&lt;&gt;"",_xlpm.MacVal,_xlpm.CSVVal&lt;&gt;"",_xlpm.CSVVal
)),"")</f>
        <v/>
      </c>
      <c r="R692" s="40"/>
      <c r="S692" s="40"/>
      <c r="T692" s="40"/>
      <c r="U692" s="40"/>
      <c r="V692" s="40"/>
      <c r="W692" s="40"/>
      <c r="X692" s="41" t="str">
        <f>_xlfn.LET(
    _xlpm.MacVal, _xlfn.XLOOKUP($A692, Output_Mac!$A:$A, Output_Mac!AB:AB, ""),
    _xlpm.MyAuditVal, _xlfn.XLOOKUP($A692, My_Audit!$A:$A, My_Audit!N:N, ""),
    _xlfn.TEXTJOIN(", ", TRUE, _xlpm.MyAuditVal, _xlpm.MacVal)
)</f>
        <v/>
      </c>
    </row>
    <row r="693" spans="1:24">
      <c r="A693" s="40" t="str">
        <f>_xlfn.TEXTJOIN("",TRUE,Input!$B$2,ROW(My_Audit!A692))</f>
        <v>X692</v>
      </c>
      <c r="B693" s="40" t="str">
        <f>_xlfn.TEXTJOIN("-",TRUE,"ITD",Input!$A$2,A693)</f>
        <v>ITD-X692</v>
      </c>
      <c r="C693" s="40" t="str" cm="1">
        <f t="array" ref="C693">IFERROR(_xlfn.LET(
_xlpm.CSVVal,_xlfn.XLOOKUP($A693,CSV!$A:$A,CSV!B:B,""),
_xlpm.MacVal,_xlfn.XLOOKUP($A693,Output_Mac!$A:$A,Output_Mac!B:B,""),
_xlpm.MyAuditVal,_xlfn.XLOOKUP($A693,My_Audit!$A:$A,My_Audit!B:B,""),
_xlfn.IFS(_xlpm.MyAuditVal&lt;&gt;"",UPPER(_xlpm.MyAuditVal),_xlpm.MacVal&lt;&gt;"",_xlpm.MacVal,_xlpm.CSVVal&lt;&gt;"",_xlpm.CSVVal
)),"")</f>
        <v/>
      </c>
      <c r="D693" s="40" t="str" cm="1">
        <f t="array" ref="D693">IFERROR(_xlfn.LET(
_xlpm.CSVVal,_xlfn.XLOOKUP($A693,CSV!$A:$A,CSV!D:D,""),
_xlpm.MacVal,_xlfn.XLOOKUP($A693,Output_Mac!$A:$A,Output_Mac!C:C,""),
_xlpm.MyAuditVal,_xlfn.XLOOKUP($A693,My_Audit!$A:$A,My_Audit!C:C,""),
_xlfn.IFS(_xlpm.MyAuditVal&lt;&gt;"",_xlpm.MyAuditVal,_xlpm.MacVal&lt;&gt;"",_xlpm.MacVal,_xlpm.CSVVal&lt;&gt;"",_xlpm.CSVVal
)),"")</f>
        <v/>
      </c>
      <c r="E693" s="40" t="str">
        <f>_xlfn.XLOOKUP(A693,My_Audit!A:A,My_Audit!D:D,"")</f>
        <v/>
      </c>
      <c r="F693" s="40" t="str" cm="1">
        <f t="array" ref="F693">IFERROR(_xlfn.LET(
_xlpm.CSVVal,_xlfn.XLOOKUP($A693,CSV!$A:$A,CSV!F:F,""),
_xlpm.MacVal,_xlfn.XLOOKUP($A693,Output_Mac!$A:$A,Output_Mac!E:E,""),
_xlpm.MyAuditVal,_xlfn.XLOOKUP($A693,My_Audit!$A:$A,My_Audit!E:E,""),
_xlfn.IFS(_xlpm.MyAuditVal&lt;&gt;"",_xlpm.MyAuditVal,_xlpm.MacVal&lt;&gt;"",_xlpm.MacVal,_xlpm.CSVVal&lt;&gt;"",_xlpm.CSVVal
)),"")</f>
        <v/>
      </c>
      <c r="G693" s="40" t="str" cm="1">
        <f t="array" ref="G693">IFERROR(_xlfn.LET(
_xlpm.CSVVal,_xlfn.XLOOKUP($A693,CSV!$A:$A,CSV!G:G,""),
_xlpm.MacVal,_xlfn.XLOOKUP($A693,Output_Mac!$A:$A,Output_Mac!F:F,""),
_xlpm.MyAuditVal,_xlfn.XLOOKUP($A693,My_Audit!$A:$A,My_Audit!F:F,""),
_xlfn.IFS(_xlpm.MyAuditVal&lt;&gt;"",_xlpm.MyAuditVal,_xlpm.MacVal&lt;&gt;"",_xlpm.MacVal,_xlpm.CSVVal&lt;&gt;"",PROPER(_xlpm.CSVVal)
)),"")</f>
        <v/>
      </c>
      <c r="H693" s="40" t="str" cm="1">
        <f t="array" ref="H693">IFERROR(_xlfn.LET(
_xlpm.CSVVal,_xlfn.XLOOKUP($A693,CSV!$A:$A,CSV!H:H,""),
_xlpm.MacVal,_xlfn.XLOOKUP($A693,Output_Mac!$A:$A,Output_Mac!H:H,""),
_xlpm.MyAuditVal,_xlfn.XLOOKUP($A693,My_Audit!$A:$A,My_Audit!G:G,""),
_xlfn.IFS(_xlpm.MyAuditVal&lt;&gt;"",_xlpm.MyAuditVal,_xlpm.MacVal&lt;&gt;"",_xlpm.MacVal,_xlpm.CSVVal&lt;&gt;"",_xlpm.CSVVal
)),"")</f>
        <v/>
      </c>
      <c r="I693" s="40" t="str">
        <f>_xlfn.XLOOKUP(A693,Output_Mac!A:A,Output_Mac!I:I,"")</f>
        <v/>
      </c>
      <c r="J693" s="40" t="str" cm="1">
        <f t="array" ref="J693">IFERROR(_xlfn.LET(
_xlpm.CSVVal,_xlfn.XLOOKUP($A693,CSV!$A:$A,CSV!I:I,""),
_xlpm.MacVal,_xlfn.XLOOKUP($A693,Output_Mac!$A:$A,Output_Mac!J:J,""),
_xlpm.MyAuditVal,_xlfn.XLOOKUP($A693,My_Audit!$A:$A,My_Audit!I:I,""),
_xlfn.IFS(_xlpm.MyAuditVal&lt;&gt;"",UPPER(_xlpm.MyAuditVal),_xlpm.MacVal&lt;&gt;"",_xlpm.MacVal,_xlpm.CSVVal&lt;&gt;"",_xlpm.CSVVal
)),"")</f>
        <v/>
      </c>
      <c r="K693" s="40" t="str" cm="1">
        <f t="array" ref="K693">IFERROR(_xlfn.LET(
_xlpm.CSVVal,_xlfn.XLOOKUP($A693,CSV!$A:$A,CSV!K:K,""),
_xlpm.MacVal,_xlfn.XLOOKUP($A693,Output_Mac!$A:$A,Output_Mac!K:K,""),
_xlpm.MyAuditVal,_xlfn.XLOOKUP($A693,My_Audit!$A:$A,My_Audit!J:J,""),
_xlfn.IFS(_xlpm.MyAuditVal&lt;&gt;"",UPPER(_xlpm.MyAuditVal),_xlpm.MacVal&lt;&gt;"",_xlpm.MacVal,_xlpm.CSVVal&lt;&gt;"",_xlpm.CSVVal
)),"")</f>
        <v/>
      </c>
      <c r="L693" s="40" t="str" cm="1">
        <f t="array" ref="L693">IFERROR(_xlfn.LET(
_xlpm.CSVVal,_xlfn.XLOOKUP($A693,CSV!$A:$A,CSV!P:P,""),
_xlpm.MacVal,_xlfn.XLOOKUP($A693,Output_Mac!$A:$A,Output_Mac!L:L,""),
_xlpm.MyAuditVal,_xlfn.XLOOKUP($A693,My_Audit!$A:$A,My_Audit!K:K,""),
_xlfn.IFS(_xlpm.MyAuditVal&lt;&gt;"",UPPER(_xlpm.MyAuditVal),_xlpm.MacVal&lt;&gt;"",_xlpm.MacVal,_xlpm.CSVVal&lt;&gt;"",_xlpm.CSVVal
)),"")</f>
        <v/>
      </c>
      <c r="M693" s="40" t="str" cm="1">
        <f t="array" ref="M693">IFERROR(_xlfn.LET(
_xlpm.CSVVal,_xlfn.XLOOKUP($A693,CSV!$A:$A,CSV!Q:Q,""),
_xlpm.MacVal,_xlfn.XLOOKUP($A693,Output_Mac!$A:$A,Output_Mac!M:M,""),
_xlpm.MyAuditVal,_xlfn.XLOOKUP($A693,My_Audit!$A:$A,My_Audit!L:L,""),
_xlfn.IFS(_xlpm.MyAuditVal&lt;&gt;"",UPPER(_xlpm.MyAuditVal),_xlpm.MacVal&lt;&gt;"",_xlpm.MacVal,_xlpm.CSVVal&lt;&gt;"",_xlpm.CSVVal
)),"")</f>
        <v/>
      </c>
      <c r="N693" s="40"/>
      <c r="O693" s="40" t="str">
        <f>_xlfn.LET(
    _xlpm.CSVVal, _xlfn.XLOOKUP($A693, CSV!$A:$A, CSV!AA:AA, ""),
    _xlpm.MacVal, _xlfn.XLOOKUP($A693, Output_Mac!$A:$A, Output_Mac!S:S, ""),
    _xlpm.MyAuditVal, _xlfn.XLOOKUP($A693, My_Audit!$A:$A, My_Audit!P:P, ""),
    _xlfn.TEXTJOIN(", ", TRUE, _xlpm.MyAuditVal, _xlpm.MacVal, _xlpm.CSVVal)
)</f>
        <v/>
      </c>
      <c r="P693" s="40" t="str" cm="1">
        <f t="array" ref="P693">IFERROR(_xlfn.LET(
_xlpm.CSVVal,_xlfn.XLOOKUP($A693,CSV!$A:$A,CSV!AB:AB,""),
_xlpm.MacVal,_xlfn.XLOOKUP($A693,Output_Mac!$A:$A,Output_Mac!T:T,""),
_xlpm.MyAuditVal,_xlfn.XLOOKUP($A693,My_Audit!$A:$A,My_Audit!Q:Q,""),
_xlfn.IFS(_xlpm.MyAuditVal&lt;&gt;"",UPPER(_xlpm.MyAuditVal),_xlpm.MacVal&lt;&gt;"",_xlpm.MacVal,_xlpm.CSVVal&lt;&gt;"",_xlpm.CSVVal
)),"No")</f>
        <v>No</v>
      </c>
      <c r="Q693" s="40" t="str" cm="1">
        <f t="array" ref="Q693">IFERROR(_xlfn.LET(
_xlpm.CSVVal,_xlfn.XLOOKUP($A693,CSV!$A:$A,CSV!AC:AC,""),
_xlpm.MacVal,_xlfn.XLOOKUP($A693,Output_Mac!$A:$A,Output_Mac!U:U,""),
_xlpm.MyAuditVal,_xlfn.XLOOKUP($A693,My_Audit!$A:$A,My_Audit!R:R,""),
_xlfn.IFS(_xlpm.MyAuditVal&lt;&gt;"",UPPER(_xlpm.MyAuditVal),_xlpm.MacVal&lt;&gt;"",_xlpm.MacVal,_xlpm.CSVVal&lt;&gt;"",_xlpm.CSVVal
)),"")</f>
        <v/>
      </c>
      <c r="R693" s="40"/>
      <c r="S693" s="40"/>
      <c r="T693" s="40"/>
      <c r="U693" s="40"/>
      <c r="V693" s="40"/>
      <c r="W693" s="40"/>
      <c r="X693" s="41" t="str">
        <f>_xlfn.LET(
    _xlpm.MacVal, _xlfn.XLOOKUP($A693, Output_Mac!$A:$A, Output_Mac!AB:AB, ""),
    _xlpm.MyAuditVal, _xlfn.XLOOKUP($A693, My_Audit!$A:$A, My_Audit!N:N, ""),
    _xlfn.TEXTJOIN(", ", TRUE, _xlpm.MyAuditVal, _xlpm.MacVal)
)</f>
        <v/>
      </c>
    </row>
    <row r="694" spans="1:24">
      <c r="A694" s="40" t="str">
        <f>_xlfn.TEXTJOIN("",TRUE,Input!$B$2,ROW(My_Audit!A693))</f>
        <v>X693</v>
      </c>
      <c r="B694" s="40" t="str">
        <f>_xlfn.TEXTJOIN("-",TRUE,"ITD",Input!$A$2,A694)</f>
        <v>ITD-X693</v>
      </c>
      <c r="C694" s="40" t="str" cm="1">
        <f t="array" ref="C694">IFERROR(_xlfn.LET(
_xlpm.CSVVal,_xlfn.XLOOKUP($A694,CSV!$A:$A,CSV!B:B,""),
_xlpm.MacVal,_xlfn.XLOOKUP($A694,Output_Mac!$A:$A,Output_Mac!B:B,""),
_xlpm.MyAuditVal,_xlfn.XLOOKUP($A694,My_Audit!$A:$A,My_Audit!B:B,""),
_xlfn.IFS(_xlpm.MyAuditVal&lt;&gt;"",UPPER(_xlpm.MyAuditVal),_xlpm.MacVal&lt;&gt;"",_xlpm.MacVal,_xlpm.CSVVal&lt;&gt;"",_xlpm.CSVVal
)),"")</f>
        <v/>
      </c>
      <c r="D694" s="40" t="str" cm="1">
        <f t="array" ref="D694">IFERROR(_xlfn.LET(
_xlpm.CSVVal,_xlfn.XLOOKUP($A694,CSV!$A:$A,CSV!D:D,""),
_xlpm.MacVal,_xlfn.XLOOKUP($A694,Output_Mac!$A:$A,Output_Mac!C:C,""),
_xlpm.MyAuditVal,_xlfn.XLOOKUP($A694,My_Audit!$A:$A,My_Audit!C:C,""),
_xlfn.IFS(_xlpm.MyAuditVal&lt;&gt;"",_xlpm.MyAuditVal,_xlpm.MacVal&lt;&gt;"",_xlpm.MacVal,_xlpm.CSVVal&lt;&gt;"",_xlpm.CSVVal
)),"")</f>
        <v/>
      </c>
      <c r="E694" s="40" t="str">
        <f>_xlfn.XLOOKUP(A694,My_Audit!A:A,My_Audit!D:D,"")</f>
        <v/>
      </c>
      <c r="F694" s="40" t="str" cm="1">
        <f t="array" ref="F694">IFERROR(_xlfn.LET(
_xlpm.CSVVal,_xlfn.XLOOKUP($A694,CSV!$A:$A,CSV!F:F,""),
_xlpm.MacVal,_xlfn.XLOOKUP($A694,Output_Mac!$A:$A,Output_Mac!E:E,""),
_xlpm.MyAuditVal,_xlfn.XLOOKUP($A694,My_Audit!$A:$A,My_Audit!E:E,""),
_xlfn.IFS(_xlpm.MyAuditVal&lt;&gt;"",_xlpm.MyAuditVal,_xlpm.MacVal&lt;&gt;"",_xlpm.MacVal,_xlpm.CSVVal&lt;&gt;"",_xlpm.CSVVal
)),"")</f>
        <v/>
      </c>
      <c r="G694" s="40" t="str" cm="1">
        <f t="array" ref="G694">IFERROR(_xlfn.LET(
_xlpm.CSVVal,_xlfn.XLOOKUP($A694,CSV!$A:$A,CSV!G:G,""),
_xlpm.MacVal,_xlfn.XLOOKUP($A694,Output_Mac!$A:$A,Output_Mac!F:F,""),
_xlpm.MyAuditVal,_xlfn.XLOOKUP($A694,My_Audit!$A:$A,My_Audit!F:F,""),
_xlfn.IFS(_xlpm.MyAuditVal&lt;&gt;"",_xlpm.MyAuditVal,_xlpm.MacVal&lt;&gt;"",_xlpm.MacVal,_xlpm.CSVVal&lt;&gt;"",PROPER(_xlpm.CSVVal)
)),"")</f>
        <v/>
      </c>
      <c r="H694" s="40" t="str" cm="1">
        <f t="array" ref="H694">IFERROR(_xlfn.LET(
_xlpm.CSVVal,_xlfn.XLOOKUP($A694,CSV!$A:$A,CSV!H:H,""),
_xlpm.MacVal,_xlfn.XLOOKUP($A694,Output_Mac!$A:$A,Output_Mac!H:H,""),
_xlpm.MyAuditVal,_xlfn.XLOOKUP($A694,My_Audit!$A:$A,My_Audit!G:G,""),
_xlfn.IFS(_xlpm.MyAuditVal&lt;&gt;"",_xlpm.MyAuditVal,_xlpm.MacVal&lt;&gt;"",_xlpm.MacVal,_xlpm.CSVVal&lt;&gt;"",_xlpm.CSVVal
)),"")</f>
        <v/>
      </c>
      <c r="I694" s="40" t="str">
        <f>_xlfn.XLOOKUP(A694,Output_Mac!A:A,Output_Mac!I:I,"")</f>
        <v/>
      </c>
      <c r="J694" s="40" t="str" cm="1">
        <f t="array" ref="J694">IFERROR(_xlfn.LET(
_xlpm.CSVVal,_xlfn.XLOOKUP($A694,CSV!$A:$A,CSV!I:I,""),
_xlpm.MacVal,_xlfn.XLOOKUP($A694,Output_Mac!$A:$A,Output_Mac!J:J,""),
_xlpm.MyAuditVal,_xlfn.XLOOKUP($A694,My_Audit!$A:$A,My_Audit!I:I,""),
_xlfn.IFS(_xlpm.MyAuditVal&lt;&gt;"",UPPER(_xlpm.MyAuditVal),_xlpm.MacVal&lt;&gt;"",_xlpm.MacVal,_xlpm.CSVVal&lt;&gt;"",_xlpm.CSVVal
)),"")</f>
        <v/>
      </c>
      <c r="K694" s="40" t="str" cm="1">
        <f t="array" ref="K694">IFERROR(_xlfn.LET(
_xlpm.CSVVal,_xlfn.XLOOKUP($A694,CSV!$A:$A,CSV!K:K,""),
_xlpm.MacVal,_xlfn.XLOOKUP($A694,Output_Mac!$A:$A,Output_Mac!K:K,""),
_xlpm.MyAuditVal,_xlfn.XLOOKUP($A694,My_Audit!$A:$A,My_Audit!J:J,""),
_xlfn.IFS(_xlpm.MyAuditVal&lt;&gt;"",UPPER(_xlpm.MyAuditVal),_xlpm.MacVal&lt;&gt;"",_xlpm.MacVal,_xlpm.CSVVal&lt;&gt;"",_xlpm.CSVVal
)),"")</f>
        <v/>
      </c>
      <c r="L694" s="40" t="str" cm="1">
        <f t="array" ref="L694">IFERROR(_xlfn.LET(
_xlpm.CSVVal,_xlfn.XLOOKUP($A694,CSV!$A:$A,CSV!P:P,""),
_xlpm.MacVal,_xlfn.XLOOKUP($A694,Output_Mac!$A:$A,Output_Mac!L:L,""),
_xlpm.MyAuditVal,_xlfn.XLOOKUP($A694,My_Audit!$A:$A,My_Audit!K:K,""),
_xlfn.IFS(_xlpm.MyAuditVal&lt;&gt;"",UPPER(_xlpm.MyAuditVal),_xlpm.MacVal&lt;&gt;"",_xlpm.MacVal,_xlpm.CSVVal&lt;&gt;"",_xlpm.CSVVal
)),"")</f>
        <v/>
      </c>
      <c r="M694" s="40" t="str" cm="1">
        <f t="array" ref="M694">IFERROR(_xlfn.LET(
_xlpm.CSVVal,_xlfn.XLOOKUP($A694,CSV!$A:$A,CSV!Q:Q,""),
_xlpm.MacVal,_xlfn.XLOOKUP($A694,Output_Mac!$A:$A,Output_Mac!M:M,""),
_xlpm.MyAuditVal,_xlfn.XLOOKUP($A694,My_Audit!$A:$A,My_Audit!L:L,""),
_xlfn.IFS(_xlpm.MyAuditVal&lt;&gt;"",UPPER(_xlpm.MyAuditVal),_xlpm.MacVal&lt;&gt;"",_xlpm.MacVal,_xlpm.CSVVal&lt;&gt;"",_xlpm.CSVVal
)),"")</f>
        <v/>
      </c>
      <c r="N694" s="40"/>
      <c r="O694" s="40" t="str">
        <f>_xlfn.LET(
    _xlpm.CSVVal, _xlfn.XLOOKUP($A694, CSV!$A:$A, CSV!AA:AA, ""),
    _xlpm.MacVal, _xlfn.XLOOKUP($A694, Output_Mac!$A:$A, Output_Mac!S:S, ""),
    _xlpm.MyAuditVal, _xlfn.XLOOKUP($A694, My_Audit!$A:$A, My_Audit!P:P, ""),
    _xlfn.TEXTJOIN(", ", TRUE, _xlpm.MyAuditVal, _xlpm.MacVal, _xlpm.CSVVal)
)</f>
        <v/>
      </c>
      <c r="P694" s="40" t="str" cm="1">
        <f t="array" ref="P694">IFERROR(_xlfn.LET(
_xlpm.CSVVal,_xlfn.XLOOKUP($A694,CSV!$A:$A,CSV!AB:AB,""),
_xlpm.MacVal,_xlfn.XLOOKUP($A694,Output_Mac!$A:$A,Output_Mac!T:T,""),
_xlpm.MyAuditVal,_xlfn.XLOOKUP($A694,My_Audit!$A:$A,My_Audit!Q:Q,""),
_xlfn.IFS(_xlpm.MyAuditVal&lt;&gt;"",UPPER(_xlpm.MyAuditVal),_xlpm.MacVal&lt;&gt;"",_xlpm.MacVal,_xlpm.CSVVal&lt;&gt;"",_xlpm.CSVVal
)),"No")</f>
        <v>No</v>
      </c>
      <c r="Q694" s="40" t="str" cm="1">
        <f t="array" ref="Q694">IFERROR(_xlfn.LET(
_xlpm.CSVVal,_xlfn.XLOOKUP($A694,CSV!$A:$A,CSV!AC:AC,""),
_xlpm.MacVal,_xlfn.XLOOKUP($A694,Output_Mac!$A:$A,Output_Mac!U:U,""),
_xlpm.MyAuditVal,_xlfn.XLOOKUP($A694,My_Audit!$A:$A,My_Audit!R:R,""),
_xlfn.IFS(_xlpm.MyAuditVal&lt;&gt;"",UPPER(_xlpm.MyAuditVal),_xlpm.MacVal&lt;&gt;"",_xlpm.MacVal,_xlpm.CSVVal&lt;&gt;"",_xlpm.CSVVal
)),"")</f>
        <v/>
      </c>
      <c r="R694" s="40"/>
      <c r="S694" s="40"/>
      <c r="T694" s="40"/>
      <c r="U694" s="40"/>
      <c r="V694" s="40"/>
      <c r="W694" s="40"/>
      <c r="X694" s="41" t="str">
        <f>_xlfn.LET(
    _xlpm.MacVal, _xlfn.XLOOKUP($A694, Output_Mac!$A:$A, Output_Mac!AB:AB, ""),
    _xlpm.MyAuditVal, _xlfn.XLOOKUP($A694, My_Audit!$A:$A, My_Audit!N:N, ""),
    _xlfn.TEXTJOIN(", ", TRUE, _xlpm.MyAuditVal, _xlpm.MacVal)
)</f>
        <v/>
      </c>
    </row>
    <row r="695" spans="1:24">
      <c r="A695" s="40" t="str">
        <f>_xlfn.TEXTJOIN("",TRUE,Input!$B$2,ROW(My_Audit!A694))</f>
        <v>X694</v>
      </c>
      <c r="B695" s="40" t="str">
        <f>_xlfn.TEXTJOIN("-",TRUE,"ITD",Input!$A$2,A695)</f>
        <v>ITD-X694</v>
      </c>
      <c r="C695" s="40" t="str" cm="1">
        <f t="array" ref="C695">IFERROR(_xlfn.LET(
_xlpm.CSVVal,_xlfn.XLOOKUP($A695,CSV!$A:$A,CSV!B:B,""),
_xlpm.MacVal,_xlfn.XLOOKUP($A695,Output_Mac!$A:$A,Output_Mac!B:B,""),
_xlpm.MyAuditVal,_xlfn.XLOOKUP($A695,My_Audit!$A:$A,My_Audit!B:B,""),
_xlfn.IFS(_xlpm.MyAuditVal&lt;&gt;"",UPPER(_xlpm.MyAuditVal),_xlpm.MacVal&lt;&gt;"",_xlpm.MacVal,_xlpm.CSVVal&lt;&gt;"",_xlpm.CSVVal
)),"")</f>
        <v/>
      </c>
      <c r="D695" s="40" t="str" cm="1">
        <f t="array" ref="D695">IFERROR(_xlfn.LET(
_xlpm.CSVVal,_xlfn.XLOOKUP($A695,CSV!$A:$A,CSV!D:D,""),
_xlpm.MacVal,_xlfn.XLOOKUP($A695,Output_Mac!$A:$A,Output_Mac!C:C,""),
_xlpm.MyAuditVal,_xlfn.XLOOKUP($A695,My_Audit!$A:$A,My_Audit!C:C,""),
_xlfn.IFS(_xlpm.MyAuditVal&lt;&gt;"",_xlpm.MyAuditVal,_xlpm.MacVal&lt;&gt;"",_xlpm.MacVal,_xlpm.CSVVal&lt;&gt;"",_xlpm.CSVVal
)),"")</f>
        <v/>
      </c>
      <c r="E695" s="40" t="str">
        <f>_xlfn.XLOOKUP(A695,My_Audit!A:A,My_Audit!D:D,"")</f>
        <v/>
      </c>
      <c r="F695" s="40" t="str" cm="1">
        <f t="array" ref="F695">IFERROR(_xlfn.LET(
_xlpm.CSVVal,_xlfn.XLOOKUP($A695,CSV!$A:$A,CSV!F:F,""),
_xlpm.MacVal,_xlfn.XLOOKUP($A695,Output_Mac!$A:$A,Output_Mac!E:E,""),
_xlpm.MyAuditVal,_xlfn.XLOOKUP($A695,My_Audit!$A:$A,My_Audit!E:E,""),
_xlfn.IFS(_xlpm.MyAuditVal&lt;&gt;"",_xlpm.MyAuditVal,_xlpm.MacVal&lt;&gt;"",_xlpm.MacVal,_xlpm.CSVVal&lt;&gt;"",_xlpm.CSVVal
)),"")</f>
        <v/>
      </c>
      <c r="G695" s="40" t="str" cm="1">
        <f t="array" ref="G695">IFERROR(_xlfn.LET(
_xlpm.CSVVal,_xlfn.XLOOKUP($A695,CSV!$A:$A,CSV!G:G,""),
_xlpm.MacVal,_xlfn.XLOOKUP($A695,Output_Mac!$A:$A,Output_Mac!F:F,""),
_xlpm.MyAuditVal,_xlfn.XLOOKUP($A695,My_Audit!$A:$A,My_Audit!F:F,""),
_xlfn.IFS(_xlpm.MyAuditVal&lt;&gt;"",_xlpm.MyAuditVal,_xlpm.MacVal&lt;&gt;"",_xlpm.MacVal,_xlpm.CSVVal&lt;&gt;"",PROPER(_xlpm.CSVVal)
)),"")</f>
        <v/>
      </c>
      <c r="H695" s="40" t="str" cm="1">
        <f t="array" ref="H695">IFERROR(_xlfn.LET(
_xlpm.CSVVal,_xlfn.XLOOKUP($A695,CSV!$A:$A,CSV!H:H,""),
_xlpm.MacVal,_xlfn.XLOOKUP($A695,Output_Mac!$A:$A,Output_Mac!H:H,""),
_xlpm.MyAuditVal,_xlfn.XLOOKUP($A695,My_Audit!$A:$A,My_Audit!G:G,""),
_xlfn.IFS(_xlpm.MyAuditVal&lt;&gt;"",_xlpm.MyAuditVal,_xlpm.MacVal&lt;&gt;"",_xlpm.MacVal,_xlpm.CSVVal&lt;&gt;"",_xlpm.CSVVal
)),"")</f>
        <v/>
      </c>
      <c r="I695" s="40" t="str">
        <f>_xlfn.XLOOKUP(A695,Output_Mac!A:A,Output_Mac!I:I,"")</f>
        <v/>
      </c>
      <c r="J695" s="40" t="str" cm="1">
        <f t="array" ref="J695">IFERROR(_xlfn.LET(
_xlpm.CSVVal,_xlfn.XLOOKUP($A695,CSV!$A:$A,CSV!I:I,""),
_xlpm.MacVal,_xlfn.XLOOKUP($A695,Output_Mac!$A:$A,Output_Mac!J:J,""),
_xlpm.MyAuditVal,_xlfn.XLOOKUP($A695,My_Audit!$A:$A,My_Audit!I:I,""),
_xlfn.IFS(_xlpm.MyAuditVal&lt;&gt;"",UPPER(_xlpm.MyAuditVal),_xlpm.MacVal&lt;&gt;"",_xlpm.MacVal,_xlpm.CSVVal&lt;&gt;"",_xlpm.CSVVal
)),"")</f>
        <v/>
      </c>
      <c r="K695" s="40" t="str" cm="1">
        <f t="array" ref="K695">IFERROR(_xlfn.LET(
_xlpm.CSVVal,_xlfn.XLOOKUP($A695,CSV!$A:$A,CSV!K:K,""),
_xlpm.MacVal,_xlfn.XLOOKUP($A695,Output_Mac!$A:$A,Output_Mac!K:K,""),
_xlpm.MyAuditVal,_xlfn.XLOOKUP($A695,My_Audit!$A:$A,My_Audit!J:J,""),
_xlfn.IFS(_xlpm.MyAuditVal&lt;&gt;"",UPPER(_xlpm.MyAuditVal),_xlpm.MacVal&lt;&gt;"",_xlpm.MacVal,_xlpm.CSVVal&lt;&gt;"",_xlpm.CSVVal
)),"")</f>
        <v/>
      </c>
      <c r="L695" s="40" t="str" cm="1">
        <f t="array" ref="L695">IFERROR(_xlfn.LET(
_xlpm.CSVVal,_xlfn.XLOOKUP($A695,CSV!$A:$A,CSV!P:P,""),
_xlpm.MacVal,_xlfn.XLOOKUP($A695,Output_Mac!$A:$A,Output_Mac!L:L,""),
_xlpm.MyAuditVal,_xlfn.XLOOKUP($A695,My_Audit!$A:$A,My_Audit!K:K,""),
_xlfn.IFS(_xlpm.MyAuditVal&lt;&gt;"",UPPER(_xlpm.MyAuditVal),_xlpm.MacVal&lt;&gt;"",_xlpm.MacVal,_xlpm.CSVVal&lt;&gt;"",_xlpm.CSVVal
)),"")</f>
        <v/>
      </c>
      <c r="M695" s="40" t="str" cm="1">
        <f t="array" ref="M695">IFERROR(_xlfn.LET(
_xlpm.CSVVal,_xlfn.XLOOKUP($A695,CSV!$A:$A,CSV!Q:Q,""),
_xlpm.MacVal,_xlfn.XLOOKUP($A695,Output_Mac!$A:$A,Output_Mac!M:M,""),
_xlpm.MyAuditVal,_xlfn.XLOOKUP($A695,My_Audit!$A:$A,My_Audit!L:L,""),
_xlfn.IFS(_xlpm.MyAuditVal&lt;&gt;"",UPPER(_xlpm.MyAuditVal),_xlpm.MacVal&lt;&gt;"",_xlpm.MacVal,_xlpm.CSVVal&lt;&gt;"",_xlpm.CSVVal
)),"")</f>
        <v/>
      </c>
      <c r="N695" s="40"/>
      <c r="O695" s="40" t="str">
        <f>_xlfn.LET(
    _xlpm.CSVVal, _xlfn.XLOOKUP($A695, CSV!$A:$A, CSV!AA:AA, ""),
    _xlpm.MacVal, _xlfn.XLOOKUP($A695, Output_Mac!$A:$A, Output_Mac!S:S, ""),
    _xlpm.MyAuditVal, _xlfn.XLOOKUP($A695, My_Audit!$A:$A, My_Audit!P:P, ""),
    _xlfn.TEXTJOIN(", ", TRUE, _xlpm.MyAuditVal, _xlpm.MacVal, _xlpm.CSVVal)
)</f>
        <v/>
      </c>
      <c r="P695" s="40" t="str" cm="1">
        <f t="array" ref="P695">IFERROR(_xlfn.LET(
_xlpm.CSVVal,_xlfn.XLOOKUP($A695,CSV!$A:$A,CSV!AB:AB,""),
_xlpm.MacVal,_xlfn.XLOOKUP($A695,Output_Mac!$A:$A,Output_Mac!T:T,""),
_xlpm.MyAuditVal,_xlfn.XLOOKUP($A695,My_Audit!$A:$A,My_Audit!Q:Q,""),
_xlfn.IFS(_xlpm.MyAuditVal&lt;&gt;"",UPPER(_xlpm.MyAuditVal),_xlpm.MacVal&lt;&gt;"",_xlpm.MacVal,_xlpm.CSVVal&lt;&gt;"",_xlpm.CSVVal
)),"No")</f>
        <v>No</v>
      </c>
      <c r="Q695" s="40" t="str" cm="1">
        <f t="array" ref="Q695">IFERROR(_xlfn.LET(
_xlpm.CSVVal,_xlfn.XLOOKUP($A695,CSV!$A:$A,CSV!AC:AC,""),
_xlpm.MacVal,_xlfn.XLOOKUP($A695,Output_Mac!$A:$A,Output_Mac!U:U,""),
_xlpm.MyAuditVal,_xlfn.XLOOKUP($A695,My_Audit!$A:$A,My_Audit!R:R,""),
_xlfn.IFS(_xlpm.MyAuditVal&lt;&gt;"",UPPER(_xlpm.MyAuditVal),_xlpm.MacVal&lt;&gt;"",_xlpm.MacVal,_xlpm.CSVVal&lt;&gt;"",_xlpm.CSVVal
)),"")</f>
        <v/>
      </c>
      <c r="R695" s="40"/>
      <c r="S695" s="40"/>
      <c r="T695" s="40"/>
      <c r="U695" s="40"/>
      <c r="V695" s="40"/>
      <c r="W695" s="40"/>
      <c r="X695" s="41" t="str">
        <f>_xlfn.LET(
    _xlpm.MacVal, _xlfn.XLOOKUP($A695, Output_Mac!$A:$A, Output_Mac!AB:AB, ""),
    _xlpm.MyAuditVal, _xlfn.XLOOKUP($A695, My_Audit!$A:$A, My_Audit!N:N, ""),
    _xlfn.TEXTJOIN(", ", TRUE, _xlpm.MyAuditVal, _xlpm.MacVal)
)</f>
        <v/>
      </c>
    </row>
    <row r="696" spans="1:24">
      <c r="A696" s="40" t="str">
        <f>_xlfn.TEXTJOIN("",TRUE,Input!$B$2,ROW(My_Audit!A695))</f>
        <v>X695</v>
      </c>
      <c r="B696" s="40" t="str">
        <f>_xlfn.TEXTJOIN("-",TRUE,"ITD",Input!$A$2,A696)</f>
        <v>ITD-X695</v>
      </c>
      <c r="C696" s="40" t="str" cm="1">
        <f t="array" ref="C696">IFERROR(_xlfn.LET(
_xlpm.CSVVal,_xlfn.XLOOKUP($A696,CSV!$A:$A,CSV!B:B,""),
_xlpm.MacVal,_xlfn.XLOOKUP($A696,Output_Mac!$A:$A,Output_Mac!B:B,""),
_xlpm.MyAuditVal,_xlfn.XLOOKUP($A696,My_Audit!$A:$A,My_Audit!B:B,""),
_xlfn.IFS(_xlpm.MyAuditVal&lt;&gt;"",UPPER(_xlpm.MyAuditVal),_xlpm.MacVal&lt;&gt;"",_xlpm.MacVal,_xlpm.CSVVal&lt;&gt;"",_xlpm.CSVVal
)),"")</f>
        <v/>
      </c>
      <c r="D696" s="40" t="str" cm="1">
        <f t="array" ref="D696">IFERROR(_xlfn.LET(
_xlpm.CSVVal,_xlfn.XLOOKUP($A696,CSV!$A:$A,CSV!D:D,""),
_xlpm.MacVal,_xlfn.XLOOKUP($A696,Output_Mac!$A:$A,Output_Mac!C:C,""),
_xlpm.MyAuditVal,_xlfn.XLOOKUP($A696,My_Audit!$A:$A,My_Audit!C:C,""),
_xlfn.IFS(_xlpm.MyAuditVal&lt;&gt;"",_xlpm.MyAuditVal,_xlpm.MacVal&lt;&gt;"",_xlpm.MacVal,_xlpm.CSVVal&lt;&gt;"",_xlpm.CSVVal
)),"")</f>
        <v/>
      </c>
      <c r="E696" s="40" t="str">
        <f>_xlfn.XLOOKUP(A696,My_Audit!A:A,My_Audit!D:D,"")</f>
        <v/>
      </c>
      <c r="F696" s="40" t="str" cm="1">
        <f t="array" ref="F696">IFERROR(_xlfn.LET(
_xlpm.CSVVal,_xlfn.XLOOKUP($A696,CSV!$A:$A,CSV!F:F,""),
_xlpm.MacVal,_xlfn.XLOOKUP($A696,Output_Mac!$A:$A,Output_Mac!E:E,""),
_xlpm.MyAuditVal,_xlfn.XLOOKUP($A696,My_Audit!$A:$A,My_Audit!E:E,""),
_xlfn.IFS(_xlpm.MyAuditVal&lt;&gt;"",_xlpm.MyAuditVal,_xlpm.MacVal&lt;&gt;"",_xlpm.MacVal,_xlpm.CSVVal&lt;&gt;"",_xlpm.CSVVal
)),"")</f>
        <v/>
      </c>
      <c r="G696" s="40" t="str" cm="1">
        <f t="array" ref="G696">IFERROR(_xlfn.LET(
_xlpm.CSVVal,_xlfn.XLOOKUP($A696,CSV!$A:$A,CSV!G:G,""),
_xlpm.MacVal,_xlfn.XLOOKUP($A696,Output_Mac!$A:$A,Output_Mac!F:F,""),
_xlpm.MyAuditVal,_xlfn.XLOOKUP($A696,My_Audit!$A:$A,My_Audit!F:F,""),
_xlfn.IFS(_xlpm.MyAuditVal&lt;&gt;"",_xlpm.MyAuditVal,_xlpm.MacVal&lt;&gt;"",_xlpm.MacVal,_xlpm.CSVVal&lt;&gt;"",PROPER(_xlpm.CSVVal)
)),"")</f>
        <v/>
      </c>
      <c r="H696" s="40" t="str" cm="1">
        <f t="array" ref="H696">IFERROR(_xlfn.LET(
_xlpm.CSVVal,_xlfn.XLOOKUP($A696,CSV!$A:$A,CSV!H:H,""),
_xlpm.MacVal,_xlfn.XLOOKUP($A696,Output_Mac!$A:$A,Output_Mac!H:H,""),
_xlpm.MyAuditVal,_xlfn.XLOOKUP($A696,My_Audit!$A:$A,My_Audit!G:G,""),
_xlfn.IFS(_xlpm.MyAuditVal&lt;&gt;"",_xlpm.MyAuditVal,_xlpm.MacVal&lt;&gt;"",_xlpm.MacVal,_xlpm.CSVVal&lt;&gt;"",_xlpm.CSVVal
)),"")</f>
        <v/>
      </c>
      <c r="I696" s="40" t="str">
        <f>_xlfn.XLOOKUP(A696,Output_Mac!A:A,Output_Mac!I:I,"")</f>
        <v/>
      </c>
      <c r="J696" s="40" t="str" cm="1">
        <f t="array" ref="J696">IFERROR(_xlfn.LET(
_xlpm.CSVVal,_xlfn.XLOOKUP($A696,CSV!$A:$A,CSV!I:I,""),
_xlpm.MacVal,_xlfn.XLOOKUP($A696,Output_Mac!$A:$A,Output_Mac!J:J,""),
_xlpm.MyAuditVal,_xlfn.XLOOKUP($A696,My_Audit!$A:$A,My_Audit!I:I,""),
_xlfn.IFS(_xlpm.MyAuditVal&lt;&gt;"",UPPER(_xlpm.MyAuditVal),_xlpm.MacVal&lt;&gt;"",_xlpm.MacVal,_xlpm.CSVVal&lt;&gt;"",_xlpm.CSVVal
)),"")</f>
        <v/>
      </c>
      <c r="K696" s="40" t="str" cm="1">
        <f t="array" ref="K696">IFERROR(_xlfn.LET(
_xlpm.CSVVal,_xlfn.XLOOKUP($A696,CSV!$A:$A,CSV!K:K,""),
_xlpm.MacVal,_xlfn.XLOOKUP($A696,Output_Mac!$A:$A,Output_Mac!K:K,""),
_xlpm.MyAuditVal,_xlfn.XLOOKUP($A696,My_Audit!$A:$A,My_Audit!J:J,""),
_xlfn.IFS(_xlpm.MyAuditVal&lt;&gt;"",UPPER(_xlpm.MyAuditVal),_xlpm.MacVal&lt;&gt;"",_xlpm.MacVal,_xlpm.CSVVal&lt;&gt;"",_xlpm.CSVVal
)),"")</f>
        <v/>
      </c>
      <c r="L696" s="40" t="str" cm="1">
        <f t="array" ref="L696">IFERROR(_xlfn.LET(
_xlpm.CSVVal,_xlfn.XLOOKUP($A696,CSV!$A:$A,CSV!P:P,""),
_xlpm.MacVal,_xlfn.XLOOKUP($A696,Output_Mac!$A:$A,Output_Mac!L:L,""),
_xlpm.MyAuditVal,_xlfn.XLOOKUP($A696,My_Audit!$A:$A,My_Audit!K:K,""),
_xlfn.IFS(_xlpm.MyAuditVal&lt;&gt;"",UPPER(_xlpm.MyAuditVal),_xlpm.MacVal&lt;&gt;"",_xlpm.MacVal,_xlpm.CSVVal&lt;&gt;"",_xlpm.CSVVal
)),"")</f>
        <v/>
      </c>
      <c r="M696" s="40" t="str" cm="1">
        <f t="array" ref="M696">IFERROR(_xlfn.LET(
_xlpm.CSVVal,_xlfn.XLOOKUP($A696,CSV!$A:$A,CSV!Q:Q,""),
_xlpm.MacVal,_xlfn.XLOOKUP($A696,Output_Mac!$A:$A,Output_Mac!M:M,""),
_xlpm.MyAuditVal,_xlfn.XLOOKUP($A696,My_Audit!$A:$A,My_Audit!L:L,""),
_xlfn.IFS(_xlpm.MyAuditVal&lt;&gt;"",UPPER(_xlpm.MyAuditVal),_xlpm.MacVal&lt;&gt;"",_xlpm.MacVal,_xlpm.CSVVal&lt;&gt;"",_xlpm.CSVVal
)),"")</f>
        <v/>
      </c>
      <c r="N696" s="40"/>
      <c r="O696" s="40" t="str">
        <f>_xlfn.LET(
    _xlpm.CSVVal, _xlfn.XLOOKUP($A696, CSV!$A:$A, CSV!AA:AA, ""),
    _xlpm.MacVal, _xlfn.XLOOKUP($A696, Output_Mac!$A:$A, Output_Mac!S:S, ""),
    _xlpm.MyAuditVal, _xlfn.XLOOKUP($A696, My_Audit!$A:$A, My_Audit!P:P, ""),
    _xlfn.TEXTJOIN(", ", TRUE, _xlpm.MyAuditVal, _xlpm.MacVal, _xlpm.CSVVal)
)</f>
        <v/>
      </c>
      <c r="P696" s="40" t="str" cm="1">
        <f t="array" ref="P696">IFERROR(_xlfn.LET(
_xlpm.CSVVal,_xlfn.XLOOKUP($A696,CSV!$A:$A,CSV!AB:AB,""),
_xlpm.MacVal,_xlfn.XLOOKUP($A696,Output_Mac!$A:$A,Output_Mac!T:T,""),
_xlpm.MyAuditVal,_xlfn.XLOOKUP($A696,My_Audit!$A:$A,My_Audit!Q:Q,""),
_xlfn.IFS(_xlpm.MyAuditVal&lt;&gt;"",UPPER(_xlpm.MyAuditVal),_xlpm.MacVal&lt;&gt;"",_xlpm.MacVal,_xlpm.CSVVal&lt;&gt;"",_xlpm.CSVVal
)),"No")</f>
        <v>No</v>
      </c>
      <c r="Q696" s="40" t="str" cm="1">
        <f t="array" ref="Q696">IFERROR(_xlfn.LET(
_xlpm.CSVVal,_xlfn.XLOOKUP($A696,CSV!$A:$A,CSV!AC:AC,""),
_xlpm.MacVal,_xlfn.XLOOKUP($A696,Output_Mac!$A:$A,Output_Mac!U:U,""),
_xlpm.MyAuditVal,_xlfn.XLOOKUP($A696,My_Audit!$A:$A,My_Audit!R:R,""),
_xlfn.IFS(_xlpm.MyAuditVal&lt;&gt;"",UPPER(_xlpm.MyAuditVal),_xlpm.MacVal&lt;&gt;"",_xlpm.MacVal,_xlpm.CSVVal&lt;&gt;"",_xlpm.CSVVal
)),"")</f>
        <v/>
      </c>
      <c r="R696" s="40"/>
      <c r="S696" s="40"/>
      <c r="T696" s="40"/>
      <c r="U696" s="40"/>
      <c r="V696" s="40"/>
      <c r="W696" s="40"/>
      <c r="X696" s="41" t="str">
        <f>_xlfn.LET(
    _xlpm.MacVal, _xlfn.XLOOKUP($A696, Output_Mac!$A:$A, Output_Mac!AB:AB, ""),
    _xlpm.MyAuditVal, _xlfn.XLOOKUP($A696, My_Audit!$A:$A, My_Audit!N:N, ""),
    _xlfn.TEXTJOIN(", ", TRUE, _xlpm.MyAuditVal, _xlpm.MacVal)
)</f>
        <v/>
      </c>
    </row>
    <row r="697" spans="1:24">
      <c r="A697" s="40" t="str">
        <f>_xlfn.TEXTJOIN("",TRUE,Input!$B$2,ROW(My_Audit!A696))</f>
        <v>X696</v>
      </c>
      <c r="B697" s="40" t="str">
        <f>_xlfn.TEXTJOIN("-",TRUE,"ITD",Input!$A$2,A697)</f>
        <v>ITD-X696</v>
      </c>
      <c r="C697" s="40" t="str" cm="1">
        <f t="array" ref="C697">IFERROR(_xlfn.LET(
_xlpm.CSVVal,_xlfn.XLOOKUP($A697,CSV!$A:$A,CSV!B:B,""),
_xlpm.MacVal,_xlfn.XLOOKUP($A697,Output_Mac!$A:$A,Output_Mac!B:B,""),
_xlpm.MyAuditVal,_xlfn.XLOOKUP($A697,My_Audit!$A:$A,My_Audit!B:B,""),
_xlfn.IFS(_xlpm.MyAuditVal&lt;&gt;"",UPPER(_xlpm.MyAuditVal),_xlpm.MacVal&lt;&gt;"",_xlpm.MacVal,_xlpm.CSVVal&lt;&gt;"",_xlpm.CSVVal
)),"")</f>
        <v/>
      </c>
      <c r="D697" s="40" t="str" cm="1">
        <f t="array" ref="D697">IFERROR(_xlfn.LET(
_xlpm.CSVVal,_xlfn.XLOOKUP($A697,CSV!$A:$A,CSV!D:D,""),
_xlpm.MacVal,_xlfn.XLOOKUP($A697,Output_Mac!$A:$A,Output_Mac!C:C,""),
_xlpm.MyAuditVal,_xlfn.XLOOKUP($A697,My_Audit!$A:$A,My_Audit!C:C,""),
_xlfn.IFS(_xlpm.MyAuditVal&lt;&gt;"",_xlpm.MyAuditVal,_xlpm.MacVal&lt;&gt;"",_xlpm.MacVal,_xlpm.CSVVal&lt;&gt;"",_xlpm.CSVVal
)),"")</f>
        <v/>
      </c>
      <c r="E697" s="40" t="str">
        <f>_xlfn.XLOOKUP(A697,My_Audit!A:A,My_Audit!D:D,"")</f>
        <v/>
      </c>
      <c r="F697" s="40" t="str" cm="1">
        <f t="array" ref="F697">IFERROR(_xlfn.LET(
_xlpm.CSVVal,_xlfn.XLOOKUP($A697,CSV!$A:$A,CSV!F:F,""),
_xlpm.MacVal,_xlfn.XLOOKUP($A697,Output_Mac!$A:$A,Output_Mac!E:E,""),
_xlpm.MyAuditVal,_xlfn.XLOOKUP($A697,My_Audit!$A:$A,My_Audit!E:E,""),
_xlfn.IFS(_xlpm.MyAuditVal&lt;&gt;"",_xlpm.MyAuditVal,_xlpm.MacVal&lt;&gt;"",_xlpm.MacVal,_xlpm.CSVVal&lt;&gt;"",_xlpm.CSVVal
)),"")</f>
        <v/>
      </c>
      <c r="G697" s="40" t="str" cm="1">
        <f t="array" ref="G697">IFERROR(_xlfn.LET(
_xlpm.CSVVal,_xlfn.XLOOKUP($A697,CSV!$A:$A,CSV!G:G,""),
_xlpm.MacVal,_xlfn.XLOOKUP($A697,Output_Mac!$A:$A,Output_Mac!F:F,""),
_xlpm.MyAuditVal,_xlfn.XLOOKUP($A697,My_Audit!$A:$A,My_Audit!F:F,""),
_xlfn.IFS(_xlpm.MyAuditVal&lt;&gt;"",_xlpm.MyAuditVal,_xlpm.MacVal&lt;&gt;"",_xlpm.MacVal,_xlpm.CSVVal&lt;&gt;"",PROPER(_xlpm.CSVVal)
)),"")</f>
        <v/>
      </c>
      <c r="H697" s="40" t="str" cm="1">
        <f t="array" ref="H697">IFERROR(_xlfn.LET(
_xlpm.CSVVal,_xlfn.XLOOKUP($A697,CSV!$A:$A,CSV!H:H,""),
_xlpm.MacVal,_xlfn.XLOOKUP($A697,Output_Mac!$A:$A,Output_Mac!H:H,""),
_xlpm.MyAuditVal,_xlfn.XLOOKUP($A697,My_Audit!$A:$A,My_Audit!G:G,""),
_xlfn.IFS(_xlpm.MyAuditVal&lt;&gt;"",_xlpm.MyAuditVal,_xlpm.MacVal&lt;&gt;"",_xlpm.MacVal,_xlpm.CSVVal&lt;&gt;"",_xlpm.CSVVal
)),"")</f>
        <v/>
      </c>
      <c r="I697" s="40" t="str">
        <f>_xlfn.XLOOKUP(A697,Output_Mac!A:A,Output_Mac!I:I,"")</f>
        <v/>
      </c>
      <c r="J697" s="40" t="str" cm="1">
        <f t="array" ref="J697">IFERROR(_xlfn.LET(
_xlpm.CSVVal,_xlfn.XLOOKUP($A697,CSV!$A:$A,CSV!I:I,""),
_xlpm.MacVal,_xlfn.XLOOKUP($A697,Output_Mac!$A:$A,Output_Mac!J:J,""),
_xlpm.MyAuditVal,_xlfn.XLOOKUP($A697,My_Audit!$A:$A,My_Audit!I:I,""),
_xlfn.IFS(_xlpm.MyAuditVal&lt;&gt;"",UPPER(_xlpm.MyAuditVal),_xlpm.MacVal&lt;&gt;"",_xlpm.MacVal,_xlpm.CSVVal&lt;&gt;"",_xlpm.CSVVal
)),"")</f>
        <v/>
      </c>
      <c r="K697" s="40" t="str" cm="1">
        <f t="array" ref="K697">IFERROR(_xlfn.LET(
_xlpm.CSVVal,_xlfn.XLOOKUP($A697,CSV!$A:$A,CSV!K:K,""),
_xlpm.MacVal,_xlfn.XLOOKUP($A697,Output_Mac!$A:$A,Output_Mac!K:K,""),
_xlpm.MyAuditVal,_xlfn.XLOOKUP($A697,My_Audit!$A:$A,My_Audit!J:J,""),
_xlfn.IFS(_xlpm.MyAuditVal&lt;&gt;"",UPPER(_xlpm.MyAuditVal),_xlpm.MacVal&lt;&gt;"",_xlpm.MacVal,_xlpm.CSVVal&lt;&gt;"",_xlpm.CSVVal
)),"")</f>
        <v/>
      </c>
      <c r="L697" s="40" t="str" cm="1">
        <f t="array" ref="L697">IFERROR(_xlfn.LET(
_xlpm.CSVVal,_xlfn.XLOOKUP($A697,CSV!$A:$A,CSV!P:P,""),
_xlpm.MacVal,_xlfn.XLOOKUP($A697,Output_Mac!$A:$A,Output_Mac!L:L,""),
_xlpm.MyAuditVal,_xlfn.XLOOKUP($A697,My_Audit!$A:$A,My_Audit!K:K,""),
_xlfn.IFS(_xlpm.MyAuditVal&lt;&gt;"",UPPER(_xlpm.MyAuditVal),_xlpm.MacVal&lt;&gt;"",_xlpm.MacVal,_xlpm.CSVVal&lt;&gt;"",_xlpm.CSVVal
)),"")</f>
        <v/>
      </c>
      <c r="M697" s="40" t="str" cm="1">
        <f t="array" ref="M697">IFERROR(_xlfn.LET(
_xlpm.CSVVal,_xlfn.XLOOKUP($A697,CSV!$A:$A,CSV!Q:Q,""),
_xlpm.MacVal,_xlfn.XLOOKUP($A697,Output_Mac!$A:$A,Output_Mac!M:M,""),
_xlpm.MyAuditVal,_xlfn.XLOOKUP($A697,My_Audit!$A:$A,My_Audit!L:L,""),
_xlfn.IFS(_xlpm.MyAuditVal&lt;&gt;"",UPPER(_xlpm.MyAuditVal),_xlpm.MacVal&lt;&gt;"",_xlpm.MacVal,_xlpm.CSVVal&lt;&gt;"",_xlpm.CSVVal
)),"")</f>
        <v/>
      </c>
      <c r="N697" s="40"/>
      <c r="O697" s="40" t="str">
        <f>_xlfn.LET(
    _xlpm.CSVVal, _xlfn.XLOOKUP($A697, CSV!$A:$A, CSV!AA:AA, ""),
    _xlpm.MacVal, _xlfn.XLOOKUP($A697, Output_Mac!$A:$A, Output_Mac!S:S, ""),
    _xlpm.MyAuditVal, _xlfn.XLOOKUP($A697, My_Audit!$A:$A, My_Audit!P:P, ""),
    _xlfn.TEXTJOIN(", ", TRUE, _xlpm.MyAuditVal, _xlpm.MacVal, _xlpm.CSVVal)
)</f>
        <v/>
      </c>
      <c r="P697" s="40" t="str" cm="1">
        <f t="array" ref="P697">IFERROR(_xlfn.LET(
_xlpm.CSVVal,_xlfn.XLOOKUP($A697,CSV!$A:$A,CSV!AB:AB,""),
_xlpm.MacVal,_xlfn.XLOOKUP($A697,Output_Mac!$A:$A,Output_Mac!T:T,""),
_xlpm.MyAuditVal,_xlfn.XLOOKUP($A697,My_Audit!$A:$A,My_Audit!Q:Q,""),
_xlfn.IFS(_xlpm.MyAuditVal&lt;&gt;"",UPPER(_xlpm.MyAuditVal),_xlpm.MacVal&lt;&gt;"",_xlpm.MacVal,_xlpm.CSVVal&lt;&gt;"",_xlpm.CSVVal
)),"No")</f>
        <v>No</v>
      </c>
      <c r="Q697" s="40" t="str" cm="1">
        <f t="array" ref="Q697">IFERROR(_xlfn.LET(
_xlpm.CSVVal,_xlfn.XLOOKUP($A697,CSV!$A:$A,CSV!AC:AC,""),
_xlpm.MacVal,_xlfn.XLOOKUP($A697,Output_Mac!$A:$A,Output_Mac!U:U,""),
_xlpm.MyAuditVal,_xlfn.XLOOKUP($A697,My_Audit!$A:$A,My_Audit!R:R,""),
_xlfn.IFS(_xlpm.MyAuditVal&lt;&gt;"",UPPER(_xlpm.MyAuditVal),_xlpm.MacVal&lt;&gt;"",_xlpm.MacVal,_xlpm.CSVVal&lt;&gt;"",_xlpm.CSVVal
)),"")</f>
        <v/>
      </c>
      <c r="R697" s="40"/>
      <c r="S697" s="40"/>
      <c r="T697" s="40"/>
      <c r="U697" s="40"/>
      <c r="V697" s="40"/>
      <c r="W697" s="40"/>
      <c r="X697" s="41" t="str">
        <f>_xlfn.LET(
    _xlpm.MacVal, _xlfn.XLOOKUP($A697, Output_Mac!$A:$A, Output_Mac!AB:AB, ""),
    _xlpm.MyAuditVal, _xlfn.XLOOKUP($A697, My_Audit!$A:$A, My_Audit!N:N, ""),
    _xlfn.TEXTJOIN(", ", TRUE, _xlpm.MyAuditVal, _xlpm.MacVal)
)</f>
        <v/>
      </c>
    </row>
    <row r="698" spans="1:24">
      <c r="A698" s="40" t="str">
        <f>_xlfn.TEXTJOIN("",TRUE,Input!$B$2,ROW(My_Audit!A697))</f>
        <v>X697</v>
      </c>
      <c r="B698" s="40" t="str">
        <f>_xlfn.TEXTJOIN("-",TRUE,"ITD",Input!$A$2,A698)</f>
        <v>ITD-X697</v>
      </c>
      <c r="C698" s="40" t="str" cm="1">
        <f t="array" ref="C698">IFERROR(_xlfn.LET(
_xlpm.CSVVal,_xlfn.XLOOKUP($A698,CSV!$A:$A,CSV!B:B,""),
_xlpm.MacVal,_xlfn.XLOOKUP($A698,Output_Mac!$A:$A,Output_Mac!B:B,""),
_xlpm.MyAuditVal,_xlfn.XLOOKUP($A698,My_Audit!$A:$A,My_Audit!B:B,""),
_xlfn.IFS(_xlpm.MyAuditVal&lt;&gt;"",UPPER(_xlpm.MyAuditVal),_xlpm.MacVal&lt;&gt;"",_xlpm.MacVal,_xlpm.CSVVal&lt;&gt;"",_xlpm.CSVVal
)),"")</f>
        <v/>
      </c>
      <c r="D698" s="40" t="str" cm="1">
        <f t="array" ref="D698">IFERROR(_xlfn.LET(
_xlpm.CSVVal,_xlfn.XLOOKUP($A698,CSV!$A:$A,CSV!D:D,""),
_xlpm.MacVal,_xlfn.XLOOKUP($A698,Output_Mac!$A:$A,Output_Mac!C:C,""),
_xlpm.MyAuditVal,_xlfn.XLOOKUP($A698,My_Audit!$A:$A,My_Audit!C:C,""),
_xlfn.IFS(_xlpm.MyAuditVal&lt;&gt;"",_xlpm.MyAuditVal,_xlpm.MacVal&lt;&gt;"",_xlpm.MacVal,_xlpm.CSVVal&lt;&gt;"",_xlpm.CSVVal
)),"")</f>
        <v/>
      </c>
      <c r="E698" s="40" t="str">
        <f>_xlfn.XLOOKUP(A698,My_Audit!A:A,My_Audit!D:D,"")</f>
        <v/>
      </c>
      <c r="F698" s="40" t="str" cm="1">
        <f t="array" ref="F698">IFERROR(_xlfn.LET(
_xlpm.CSVVal,_xlfn.XLOOKUP($A698,CSV!$A:$A,CSV!F:F,""),
_xlpm.MacVal,_xlfn.XLOOKUP($A698,Output_Mac!$A:$A,Output_Mac!E:E,""),
_xlpm.MyAuditVal,_xlfn.XLOOKUP($A698,My_Audit!$A:$A,My_Audit!E:E,""),
_xlfn.IFS(_xlpm.MyAuditVal&lt;&gt;"",_xlpm.MyAuditVal,_xlpm.MacVal&lt;&gt;"",_xlpm.MacVal,_xlpm.CSVVal&lt;&gt;"",_xlpm.CSVVal
)),"")</f>
        <v/>
      </c>
      <c r="G698" s="40" t="str" cm="1">
        <f t="array" ref="G698">IFERROR(_xlfn.LET(
_xlpm.CSVVal,_xlfn.XLOOKUP($A698,CSV!$A:$A,CSV!G:G,""),
_xlpm.MacVal,_xlfn.XLOOKUP($A698,Output_Mac!$A:$A,Output_Mac!F:F,""),
_xlpm.MyAuditVal,_xlfn.XLOOKUP($A698,My_Audit!$A:$A,My_Audit!F:F,""),
_xlfn.IFS(_xlpm.MyAuditVal&lt;&gt;"",_xlpm.MyAuditVal,_xlpm.MacVal&lt;&gt;"",_xlpm.MacVal,_xlpm.CSVVal&lt;&gt;"",PROPER(_xlpm.CSVVal)
)),"")</f>
        <v/>
      </c>
      <c r="H698" s="40" t="str" cm="1">
        <f t="array" ref="H698">IFERROR(_xlfn.LET(
_xlpm.CSVVal,_xlfn.XLOOKUP($A698,CSV!$A:$A,CSV!H:H,""),
_xlpm.MacVal,_xlfn.XLOOKUP($A698,Output_Mac!$A:$A,Output_Mac!H:H,""),
_xlpm.MyAuditVal,_xlfn.XLOOKUP($A698,My_Audit!$A:$A,My_Audit!G:G,""),
_xlfn.IFS(_xlpm.MyAuditVal&lt;&gt;"",_xlpm.MyAuditVal,_xlpm.MacVal&lt;&gt;"",_xlpm.MacVal,_xlpm.CSVVal&lt;&gt;"",_xlpm.CSVVal
)),"")</f>
        <v/>
      </c>
      <c r="I698" s="40" t="str">
        <f>_xlfn.XLOOKUP(A698,Output_Mac!A:A,Output_Mac!I:I,"")</f>
        <v/>
      </c>
      <c r="J698" s="40" t="str" cm="1">
        <f t="array" ref="J698">IFERROR(_xlfn.LET(
_xlpm.CSVVal,_xlfn.XLOOKUP($A698,CSV!$A:$A,CSV!I:I,""),
_xlpm.MacVal,_xlfn.XLOOKUP($A698,Output_Mac!$A:$A,Output_Mac!J:J,""),
_xlpm.MyAuditVal,_xlfn.XLOOKUP($A698,My_Audit!$A:$A,My_Audit!I:I,""),
_xlfn.IFS(_xlpm.MyAuditVal&lt;&gt;"",UPPER(_xlpm.MyAuditVal),_xlpm.MacVal&lt;&gt;"",_xlpm.MacVal,_xlpm.CSVVal&lt;&gt;"",_xlpm.CSVVal
)),"")</f>
        <v/>
      </c>
      <c r="K698" s="40" t="str" cm="1">
        <f t="array" ref="K698">IFERROR(_xlfn.LET(
_xlpm.CSVVal,_xlfn.XLOOKUP($A698,CSV!$A:$A,CSV!K:K,""),
_xlpm.MacVal,_xlfn.XLOOKUP($A698,Output_Mac!$A:$A,Output_Mac!K:K,""),
_xlpm.MyAuditVal,_xlfn.XLOOKUP($A698,My_Audit!$A:$A,My_Audit!J:J,""),
_xlfn.IFS(_xlpm.MyAuditVal&lt;&gt;"",UPPER(_xlpm.MyAuditVal),_xlpm.MacVal&lt;&gt;"",_xlpm.MacVal,_xlpm.CSVVal&lt;&gt;"",_xlpm.CSVVal
)),"")</f>
        <v/>
      </c>
      <c r="L698" s="40" t="str" cm="1">
        <f t="array" ref="L698">IFERROR(_xlfn.LET(
_xlpm.CSVVal,_xlfn.XLOOKUP($A698,CSV!$A:$A,CSV!P:P,""),
_xlpm.MacVal,_xlfn.XLOOKUP($A698,Output_Mac!$A:$A,Output_Mac!L:L,""),
_xlpm.MyAuditVal,_xlfn.XLOOKUP($A698,My_Audit!$A:$A,My_Audit!K:K,""),
_xlfn.IFS(_xlpm.MyAuditVal&lt;&gt;"",UPPER(_xlpm.MyAuditVal),_xlpm.MacVal&lt;&gt;"",_xlpm.MacVal,_xlpm.CSVVal&lt;&gt;"",_xlpm.CSVVal
)),"")</f>
        <v/>
      </c>
      <c r="M698" s="40" t="str" cm="1">
        <f t="array" ref="M698">IFERROR(_xlfn.LET(
_xlpm.CSVVal,_xlfn.XLOOKUP($A698,CSV!$A:$A,CSV!Q:Q,""),
_xlpm.MacVal,_xlfn.XLOOKUP($A698,Output_Mac!$A:$A,Output_Mac!M:M,""),
_xlpm.MyAuditVal,_xlfn.XLOOKUP($A698,My_Audit!$A:$A,My_Audit!L:L,""),
_xlfn.IFS(_xlpm.MyAuditVal&lt;&gt;"",UPPER(_xlpm.MyAuditVal),_xlpm.MacVal&lt;&gt;"",_xlpm.MacVal,_xlpm.CSVVal&lt;&gt;"",_xlpm.CSVVal
)),"")</f>
        <v/>
      </c>
      <c r="N698" s="40"/>
      <c r="O698" s="40" t="str">
        <f>_xlfn.LET(
    _xlpm.CSVVal, _xlfn.XLOOKUP($A698, CSV!$A:$A, CSV!AA:AA, ""),
    _xlpm.MacVal, _xlfn.XLOOKUP($A698, Output_Mac!$A:$A, Output_Mac!S:S, ""),
    _xlpm.MyAuditVal, _xlfn.XLOOKUP($A698, My_Audit!$A:$A, My_Audit!P:P, ""),
    _xlfn.TEXTJOIN(", ", TRUE, _xlpm.MyAuditVal, _xlpm.MacVal, _xlpm.CSVVal)
)</f>
        <v/>
      </c>
      <c r="P698" s="40" t="str" cm="1">
        <f t="array" ref="P698">IFERROR(_xlfn.LET(
_xlpm.CSVVal,_xlfn.XLOOKUP($A698,CSV!$A:$A,CSV!AB:AB,""),
_xlpm.MacVal,_xlfn.XLOOKUP($A698,Output_Mac!$A:$A,Output_Mac!T:T,""),
_xlpm.MyAuditVal,_xlfn.XLOOKUP($A698,My_Audit!$A:$A,My_Audit!Q:Q,""),
_xlfn.IFS(_xlpm.MyAuditVal&lt;&gt;"",UPPER(_xlpm.MyAuditVal),_xlpm.MacVal&lt;&gt;"",_xlpm.MacVal,_xlpm.CSVVal&lt;&gt;"",_xlpm.CSVVal
)),"No")</f>
        <v>No</v>
      </c>
      <c r="Q698" s="40" t="str" cm="1">
        <f t="array" ref="Q698">IFERROR(_xlfn.LET(
_xlpm.CSVVal,_xlfn.XLOOKUP($A698,CSV!$A:$A,CSV!AC:AC,""),
_xlpm.MacVal,_xlfn.XLOOKUP($A698,Output_Mac!$A:$A,Output_Mac!U:U,""),
_xlpm.MyAuditVal,_xlfn.XLOOKUP($A698,My_Audit!$A:$A,My_Audit!R:R,""),
_xlfn.IFS(_xlpm.MyAuditVal&lt;&gt;"",UPPER(_xlpm.MyAuditVal),_xlpm.MacVal&lt;&gt;"",_xlpm.MacVal,_xlpm.CSVVal&lt;&gt;"",_xlpm.CSVVal
)),"")</f>
        <v/>
      </c>
      <c r="R698" s="40"/>
      <c r="S698" s="40"/>
      <c r="T698" s="40"/>
      <c r="U698" s="40"/>
      <c r="V698" s="40"/>
      <c r="W698" s="40"/>
      <c r="X698" s="41" t="str">
        <f>_xlfn.LET(
    _xlpm.MacVal, _xlfn.XLOOKUP($A698, Output_Mac!$A:$A, Output_Mac!AB:AB, ""),
    _xlpm.MyAuditVal, _xlfn.XLOOKUP($A698, My_Audit!$A:$A, My_Audit!N:N, ""),
    _xlfn.TEXTJOIN(", ", TRUE, _xlpm.MyAuditVal, _xlpm.MacVal)
)</f>
        <v/>
      </c>
    </row>
    <row r="699" spans="1:24">
      <c r="A699" s="40" t="str">
        <f>_xlfn.TEXTJOIN("",TRUE,Input!$B$2,ROW(My_Audit!A698))</f>
        <v>X698</v>
      </c>
      <c r="B699" s="40" t="str">
        <f>_xlfn.TEXTJOIN("-",TRUE,"ITD",Input!$A$2,A699)</f>
        <v>ITD-X698</v>
      </c>
      <c r="C699" s="40" t="str" cm="1">
        <f t="array" ref="C699">IFERROR(_xlfn.LET(
_xlpm.CSVVal,_xlfn.XLOOKUP($A699,CSV!$A:$A,CSV!B:B,""),
_xlpm.MacVal,_xlfn.XLOOKUP($A699,Output_Mac!$A:$A,Output_Mac!B:B,""),
_xlpm.MyAuditVal,_xlfn.XLOOKUP($A699,My_Audit!$A:$A,My_Audit!B:B,""),
_xlfn.IFS(_xlpm.MyAuditVal&lt;&gt;"",UPPER(_xlpm.MyAuditVal),_xlpm.MacVal&lt;&gt;"",_xlpm.MacVal,_xlpm.CSVVal&lt;&gt;"",_xlpm.CSVVal
)),"")</f>
        <v/>
      </c>
      <c r="D699" s="40" t="str" cm="1">
        <f t="array" ref="D699">IFERROR(_xlfn.LET(
_xlpm.CSVVal,_xlfn.XLOOKUP($A699,CSV!$A:$A,CSV!D:D,""),
_xlpm.MacVal,_xlfn.XLOOKUP($A699,Output_Mac!$A:$A,Output_Mac!C:C,""),
_xlpm.MyAuditVal,_xlfn.XLOOKUP($A699,My_Audit!$A:$A,My_Audit!C:C,""),
_xlfn.IFS(_xlpm.MyAuditVal&lt;&gt;"",_xlpm.MyAuditVal,_xlpm.MacVal&lt;&gt;"",_xlpm.MacVal,_xlpm.CSVVal&lt;&gt;"",_xlpm.CSVVal
)),"")</f>
        <v/>
      </c>
      <c r="E699" s="40" t="str">
        <f>_xlfn.XLOOKUP(A699,My_Audit!A:A,My_Audit!D:D,"")</f>
        <v/>
      </c>
      <c r="F699" s="40" t="str" cm="1">
        <f t="array" ref="F699">IFERROR(_xlfn.LET(
_xlpm.CSVVal,_xlfn.XLOOKUP($A699,CSV!$A:$A,CSV!F:F,""),
_xlpm.MacVal,_xlfn.XLOOKUP($A699,Output_Mac!$A:$A,Output_Mac!E:E,""),
_xlpm.MyAuditVal,_xlfn.XLOOKUP($A699,My_Audit!$A:$A,My_Audit!E:E,""),
_xlfn.IFS(_xlpm.MyAuditVal&lt;&gt;"",_xlpm.MyAuditVal,_xlpm.MacVal&lt;&gt;"",_xlpm.MacVal,_xlpm.CSVVal&lt;&gt;"",_xlpm.CSVVal
)),"")</f>
        <v/>
      </c>
      <c r="G699" s="40" t="str" cm="1">
        <f t="array" ref="G699">IFERROR(_xlfn.LET(
_xlpm.CSVVal,_xlfn.XLOOKUP($A699,CSV!$A:$A,CSV!G:G,""),
_xlpm.MacVal,_xlfn.XLOOKUP($A699,Output_Mac!$A:$A,Output_Mac!F:F,""),
_xlpm.MyAuditVal,_xlfn.XLOOKUP($A699,My_Audit!$A:$A,My_Audit!F:F,""),
_xlfn.IFS(_xlpm.MyAuditVal&lt;&gt;"",_xlpm.MyAuditVal,_xlpm.MacVal&lt;&gt;"",_xlpm.MacVal,_xlpm.CSVVal&lt;&gt;"",PROPER(_xlpm.CSVVal)
)),"")</f>
        <v/>
      </c>
      <c r="H699" s="40" t="str" cm="1">
        <f t="array" ref="H699">IFERROR(_xlfn.LET(
_xlpm.CSVVal,_xlfn.XLOOKUP($A699,CSV!$A:$A,CSV!H:H,""),
_xlpm.MacVal,_xlfn.XLOOKUP($A699,Output_Mac!$A:$A,Output_Mac!H:H,""),
_xlpm.MyAuditVal,_xlfn.XLOOKUP($A699,My_Audit!$A:$A,My_Audit!G:G,""),
_xlfn.IFS(_xlpm.MyAuditVal&lt;&gt;"",_xlpm.MyAuditVal,_xlpm.MacVal&lt;&gt;"",_xlpm.MacVal,_xlpm.CSVVal&lt;&gt;"",_xlpm.CSVVal
)),"")</f>
        <v/>
      </c>
      <c r="I699" s="40" t="str">
        <f>_xlfn.XLOOKUP(A699,Output_Mac!A:A,Output_Mac!I:I,"")</f>
        <v/>
      </c>
      <c r="J699" s="40" t="str" cm="1">
        <f t="array" ref="J699">IFERROR(_xlfn.LET(
_xlpm.CSVVal,_xlfn.XLOOKUP($A699,CSV!$A:$A,CSV!I:I,""),
_xlpm.MacVal,_xlfn.XLOOKUP($A699,Output_Mac!$A:$A,Output_Mac!J:J,""),
_xlpm.MyAuditVal,_xlfn.XLOOKUP($A699,My_Audit!$A:$A,My_Audit!I:I,""),
_xlfn.IFS(_xlpm.MyAuditVal&lt;&gt;"",UPPER(_xlpm.MyAuditVal),_xlpm.MacVal&lt;&gt;"",_xlpm.MacVal,_xlpm.CSVVal&lt;&gt;"",_xlpm.CSVVal
)),"")</f>
        <v/>
      </c>
      <c r="K699" s="40" t="str" cm="1">
        <f t="array" ref="K699">IFERROR(_xlfn.LET(
_xlpm.CSVVal,_xlfn.XLOOKUP($A699,CSV!$A:$A,CSV!K:K,""),
_xlpm.MacVal,_xlfn.XLOOKUP($A699,Output_Mac!$A:$A,Output_Mac!K:K,""),
_xlpm.MyAuditVal,_xlfn.XLOOKUP($A699,My_Audit!$A:$A,My_Audit!J:J,""),
_xlfn.IFS(_xlpm.MyAuditVal&lt;&gt;"",UPPER(_xlpm.MyAuditVal),_xlpm.MacVal&lt;&gt;"",_xlpm.MacVal,_xlpm.CSVVal&lt;&gt;"",_xlpm.CSVVal
)),"")</f>
        <v/>
      </c>
      <c r="L699" s="40" t="str" cm="1">
        <f t="array" ref="L699">IFERROR(_xlfn.LET(
_xlpm.CSVVal,_xlfn.XLOOKUP($A699,CSV!$A:$A,CSV!P:P,""),
_xlpm.MacVal,_xlfn.XLOOKUP($A699,Output_Mac!$A:$A,Output_Mac!L:L,""),
_xlpm.MyAuditVal,_xlfn.XLOOKUP($A699,My_Audit!$A:$A,My_Audit!K:K,""),
_xlfn.IFS(_xlpm.MyAuditVal&lt;&gt;"",UPPER(_xlpm.MyAuditVal),_xlpm.MacVal&lt;&gt;"",_xlpm.MacVal,_xlpm.CSVVal&lt;&gt;"",_xlpm.CSVVal
)),"")</f>
        <v/>
      </c>
      <c r="M699" s="40" t="str" cm="1">
        <f t="array" ref="M699">IFERROR(_xlfn.LET(
_xlpm.CSVVal,_xlfn.XLOOKUP($A699,CSV!$A:$A,CSV!Q:Q,""),
_xlpm.MacVal,_xlfn.XLOOKUP($A699,Output_Mac!$A:$A,Output_Mac!M:M,""),
_xlpm.MyAuditVal,_xlfn.XLOOKUP($A699,My_Audit!$A:$A,My_Audit!L:L,""),
_xlfn.IFS(_xlpm.MyAuditVal&lt;&gt;"",UPPER(_xlpm.MyAuditVal),_xlpm.MacVal&lt;&gt;"",_xlpm.MacVal,_xlpm.CSVVal&lt;&gt;"",_xlpm.CSVVal
)),"")</f>
        <v/>
      </c>
      <c r="N699" s="40"/>
      <c r="O699" s="40" t="str">
        <f>_xlfn.LET(
    _xlpm.CSVVal, _xlfn.XLOOKUP($A699, CSV!$A:$A, CSV!AA:AA, ""),
    _xlpm.MacVal, _xlfn.XLOOKUP($A699, Output_Mac!$A:$A, Output_Mac!S:S, ""),
    _xlpm.MyAuditVal, _xlfn.XLOOKUP($A699, My_Audit!$A:$A, My_Audit!P:P, ""),
    _xlfn.TEXTJOIN(", ", TRUE, _xlpm.MyAuditVal, _xlpm.MacVal, _xlpm.CSVVal)
)</f>
        <v/>
      </c>
      <c r="P699" s="40" t="str" cm="1">
        <f t="array" ref="P699">IFERROR(_xlfn.LET(
_xlpm.CSVVal,_xlfn.XLOOKUP($A699,CSV!$A:$A,CSV!AB:AB,""),
_xlpm.MacVal,_xlfn.XLOOKUP($A699,Output_Mac!$A:$A,Output_Mac!T:T,""),
_xlpm.MyAuditVal,_xlfn.XLOOKUP($A699,My_Audit!$A:$A,My_Audit!Q:Q,""),
_xlfn.IFS(_xlpm.MyAuditVal&lt;&gt;"",UPPER(_xlpm.MyAuditVal),_xlpm.MacVal&lt;&gt;"",_xlpm.MacVal,_xlpm.CSVVal&lt;&gt;"",_xlpm.CSVVal
)),"No")</f>
        <v>No</v>
      </c>
      <c r="Q699" s="40" t="str" cm="1">
        <f t="array" ref="Q699">IFERROR(_xlfn.LET(
_xlpm.CSVVal,_xlfn.XLOOKUP($A699,CSV!$A:$A,CSV!AC:AC,""),
_xlpm.MacVal,_xlfn.XLOOKUP($A699,Output_Mac!$A:$A,Output_Mac!U:U,""),
_xlpm.MyAuditVal,_xlfn.XLOOKUP($A699,My_Audit!$A:$A,My_Audit!R:R,""),
_xlfn.IFS(_xlpm.MyAuditVal&lt;&gt;"",UPPER(_xlpm.MyAuditVal),_xlpm.MacVal&lt;&gt;"",_xlpm.MacVal,_xlpm.CSVVal&lt;&gt;"",_xlpm.CSVVal
)),"")</f>
        <v/>
      </c>
      <c r="R699" s="40"/>
      <c r="S699" s="40"/>
      <c r="T699" s="40"/>
      <c r="U699" s="40"/>
      <c r="V699" s="40"/>
      <c r="W699" s="40"/>
      <c r="X699" s="41" t="str">
        <f>_xlfn.LET(
    _xlpm.MacVal, _xlfn.XLOOKUP($A699, Output_Mac!$A:$A, Output_Mac!AB:AB, ""),
    _xlpm.MyAuditVal, _xlfn.XLOOKUP($A699, My_Audit!$A:$A, My_Audit!N:N, ""),
    _xlfn.TEXTJOIN(", ", TRUE, _xlpm.MyAuditVal, _xlpm.MacVal)
)</f>
        <v/>
      </c>
    </row>
    <row r="700" spans="1:24">
      <c r="A700" s="40" t="str">
        <f>_xlfn.TEXTJOIN("",TRUE,Input!$B$2,ROW(My_Audit!A699))</f>
        <v>X699</v>
      </c>
      <c r="B700" s="40" t="str">
        <f>_xlfn.TEXTJOIN("-",TRUE,"ITD",Input!$A$2,A700)</f>
        <v>ITD-X699</v>
      </c>
      <c r="C700" s="40" t="str" cm="1">
        <f t="array" ref="C700">IFERROR(_xlfn.LET(
_xlpm.CSVVal,_xlfn.XLOOKUP($A700,CSV!$A:$A,CSV!B:B,""),
_xlpm.MacVal,_xlfn.XLOOKUP($A700,Output_Mac!$A:$A,Output_Mac!B:B,""),
_xlpm.MyAuditVal,_xlfn.XLOOKUP($A700,My_Audit!$A:$A,My_Audit!B:B,""),
_xlfn.IFS(_xlpm.MyAuditVal&lt;&gt;"",UPPER(_xlpm.MyAuditVal),_xlpm.MacVal&lt;&gt;"",_xlpm.MacVal,_xlpm.CSVVal&lt;&gt;"",_xlpm.CSVVal
)),"")</f>
        <v/>
      </c>
      <c r="D700" s="40" t="str" cm="1">
        <f t="array" ref="D700">IFERROR(_xlfn.LET(
_xlpm.CSVVal,_xlfn.XLOOKUP($A700,CSV!$A:$A,CSV!D:D,""),
_xlpm.MacVal,_xlfn.XLOOKUP($A700,Output_Mac!$A:$A,Output_Mac!C:C,""),
_xlpm.MyAuditVal,_xlfn.XLOOKUP($A700,My_Audit!$A:$A,My_Audit!C:C,""),
_xlfn.IFS(_xlpm.MyAuditVal&lt;&gt;"",_xlpm.MyAuditVal,_xlpm.MacVal&lt;&gt;"",_xlpm.MacVal,_xlpm.CSVVal&lt;&gt;"",_xlpm.CSVVal
)),"")</f>
        <v/>
      </c>
      <c r="E700" s="40" t="str">
        <f>_xlfn.XLOOKUP(A700,My_Audit!A:A,My_Audit!D:D,"")</f>
        <v/>
      </c>
      <c r="F700" s="40" t="str" cm="1">
        <f t="array" ref="F700">IFERROR(_xlfn.LET(
_xlpm.CSVVal,_xlfn.XLOOKUP($A700,CSV!$A:$A,CSV!F:F,""),
_xlpm.MacVal,_xlfn.XLOOKUP($A700,Output_Mac!$A:$A,Output_Mac!E:E,""),
_xlpm.MyAuditVal,_xlfn.XLOOKUP($A700,My_Audit!$A:$A,My_Audit!E:E,""),
_xlfn.IFS(_xlpm.MyAuditVal&lt;&gt;"",_xlpm.MyAuditVal,_xlpm.MacVal&lt;&gt;"",_xlpm.MacVal,_xlpm.CSVVal&lt;&gt;"",_xlpm.CSVVal
)),"")</f>
        <v/>
      </c>
      <c r="G700" s="40" t="str" cm="1">
        <f t="array" ref="G700">IFERROR(_xlfn.LET(
_xlpm.CSVVal,_xlfn.XLOOKUP($A700,CSV!$A:$A,CSV!G:G,""),
_xlpm.MacVal,_xlfn.XLOOKUP($A700,Output_Mac!$A:$A,Output_Mac!F:F,""),
_xlpm.MyAuditVal,_xlfn.XLOOKUP($A700,My_Audit!$A:$A,My_Audit!F:F,""),
_xlfn.IFS(_xlpm.MyAuditVal&lt;&gt;"",_xlpm.MyAuditVal,_xlpm.MacVal&lt;&gt;"",_xlpm.MacVal,_xlpm.CSVVal&lt;&gt;"",PROPER(_xlpm.CSVVal)
)),"")</f>
        <v/>
      </c>
      <c r="H700" s="40" t="str" cm="1">
        <f t="array" ref="H700">IFERROR(_xlfn.LET(
_xlpm.CSVVal,_xlfn.XLOOKUP($A700,CSV!$A:$A,CSV!H:H,""),
_xlpm.MacVal,_xlfn.XLOOKUP($A700,Output_Mac!$A:$A,Output_Mac!H:H,""),
_xlpm.MyAuditVal,_xlfn.XLOOKUP($A700,My_Audit!$A:$A,My_Audit!G:G,""),
_xlfn.IFS(_xlpm.MyAuditVal&lt;&gt;"",_xlpm.MyAuditVal,_xlpm.MacVal&lt;&gt;"",_xlpm.MacVal,_xlpm.CSVVal&lt;&gt;"",_xlpm.CSVVal
)),"")</f>
        <v/>
      </c>
      <c r="I700" s="40" t="str">
        <f>_xlfn.XLOOKUP(A700,Output_Mac!A:A,Output_Mac!I:I,"")</f>
        <v/>
      </c>
      <c r="J700" s="40" t="str" cm="1">
        <f t="array" ref="J700">IFERROR(_xlfn.LET(
_xlpm.CSVVal,_xlfn.XLOOKUP($A700,CSV!$A:$A,CSV!I:I,""),
_xlpm.MacVal,_xlfn.XLOOKUP($A700,Output_Mac!$A:$A,Output_Mac!J:J,""),
_xlpm.MyAuditVal,_xlfn.XLOOKUP($A700,My_Audit!$A:$A,My_Audit!I:I,""),
_xlfn.IFS(_xlpm.MyAuditVal&lt;&gt;"",UPPER(_xlpm.MyAuditVal),_xlpm.MacVal&lt;&gt;"",_xlpm.MacVal,_xlpm.CSVVal&lt;&gt;"",_xlpm.CSVVal
)),"")</f>
        <v/>
      </c>
      <c r="K700" s="40" t="str" cm="1">
        <f t="array" ref="K700">IFERROR(_xlfn.LET(
_xlpm.CSVVal,_xlfn.XLOOKUP($A700,CSV!$A:$A,CSV!K:K,""),
_xlpm.MacVal,_xlfn.XLOOKUP($A700,Output_Mac!$A:$A,Output_Mac!K:K,""),
_xlpm.MyAuditVal,_xlfn.XLOOKUP($A700,My_Audit!$A:$A,My_Audit!J:J,""),
_xlfn.IFS(_xlpm.MyAuditVal&lt;&gt;"",UPPER(_xlpm.MyAuditVal),_xlpm.MacVal&lt;&gt;"",_xlpm.MacVal,_xlpm.CSVVal&lt;&gt;"",_xlpm.CSVVal
)),"")</f>
        <v/>
      </c>
      <c r="L700" s="40" t="str" cm="1">
        <f t="array" ref="L700">IFERROR(_xlfn.LET(
_xlpm.CSVVal,_xlfn.XLOOKUP($A700,CSV!$A:$A,CSV!P:P,""),
_xlpm.MacVal,_xlfn.XLOOKUP($A700,Output_Mac!$A:$A,Output_Mac!L:L,""),
_xlpm.MyAuditVal,_xlfn.XLOOKUP($A700,My_Audit!$A:$A,My_Audit!K:K,""),
_xlfn.IFS(_xlpm.MyAuditVal&lt;&gt;"",UPPER(_xlpm.MyAuditVal),_xlpm.MacVal&lt;&gt;"",_xlpm.MacVal,_xlpm.CSVVal&lt;&gt;"",_xlpm.CSVVal
)),"")</f>
        <v/>
      </c>
      <c r="M700" s="40" t="str" cm="1">
        <f t="array" ref="M700">IFERROR(_xlfn.LET(
_xlpm.CSVVal,_xlfn.XLOOKUP($A700,CSV!$A:$A,CSV!Q:Q,""),
_xlpm.MacVal,_xlfn.XLOOKUP($A700,Output_Mac!$A:$A,Output_Mac!M:M,""),
_xlpm.MyAuditVal,_xlfn.XLOOKUP($A700,My_Audit!$A:$A,My_Audit!L:L,""),
_xlfn.IFS(_xlpm.MyAuditVal&lt;&gt;"",UPPER(_xlpm.MyAuditVal),_xlpm.MacVal&lt;&gt;"",_xlpm.MacVal,_xlpm.CSVVal&lt;&gt;"",_xlpm.CSVVal
)),"")</f>
        <v/>
      </c>
      <c r="N700" s="40"/>
      <c r="O700" s="40" t="str">
        <f>_xlfn.LET(
    _xlpm.CSVVal, _xlfn.XLOOKUP($A700, CSV!$A:$A, CSV!AA:AA, ""),
    _xlpm.MacVal, _xlfn.XLOOKUP($A700, Output_Mac!$A:$A, Output_Mac!S:S, ""),
    _xlpm.MyAuditVal, _xlfn.XLOOKUP($A700, My_Audit!$A:$A, My_Audit!P:P, ""),
    _xlfn.TEXTJOIN(", ", TRUE, _xlpm.MyAuditVal, _xlpm.MacVal, _xlpm.CSVVal)
)</f>
        <v/>
      </c>
      <c r="P700" s="40" t="str" cm="1">
        <f t="array" ref="P700">IFERROR(_xlfn.LET(
_xlpm.CSVVal,_xlfn.XLOOKUP($A700,CSV!$A:$A,CSV!AB:AB,""),
_xlpm.MacVal,_xlfn.XLOOKUP($A700,Output_Mac!$A:$A,Output_Mac!T:T,""),
_xlpm.MyAuditVal,_xlfn.XLOOKUP($A700,My_Audit!$A:$A,My_Audit!Q:Q,""),
_xlfn.IFS(_xlpm.MyAuditVal&lt;&gt;"",UPPER(_xlpm.MyAuditVal),_xlpm.MacVal&lt;&gt;"",_xlpm.MacVal,_xlpm.CSVVal&lt;&gt;"",_xlpm.CSVVal
)),"No")</f>
        <v>No</v>
      </c>
      <c r="Q700" s="40" t="str" cm="1">
        <f t="array" ref="Q700">IFERROR(_xlfn.LET(
_xlpm.CSVVal,_xlfn.XLOOKUP($A700,CSV!$A:$A,CSV!AC:AC,""),
_xlpm.MacVal,_xlfn.XLOOKUP($A700,Output_Mac!$A:$A,Output_Mac!U:U,""),
_xlpm.MyAuditVal,_xlfn.XLOOKUP($A700,My_Audit!$A:$A,My_Audit!R:R,""),
_xlfn.IFS(_xlpm.MyAuditVal&lt;&gt;"",UPPER(_xlpm.MyAuditVal),_xlpm.MacVal&lt;&gt;"",_xlpm.MacVal,_xlpm.CSVVal&lt;&gt;"",_xlpm.CSVVal
)),"")</f>
        <v/>
      </c>
      <c r="R700" s="40"/>
      <c r="S700" s="40"/>
      <c r="T700" s="40"/>
      <c r="U700" s="40"/>
      <c r="V700" s="40"/>
      <c r="W700" s="40"/>
      <c r="X700" s="41" t="str">
        <f>_xlfn.LET(
    _xlpm.MacVal, _xlfn.XLOOKUP($A700, Output_Mac!$A:$A, Output_Mac!AB:AB, ""),
    _xlpm.MyAuditVal, _xlfn.XLOOKUP($A700, My_Audit!$A:$A, My_Audit!N:N, ""),
    _xlfn.TEXTJOIN(", ", TRUE, _xlpm.MyAuditVal, _xlpm.MacVal)
)</f>
        <v/>
      </c>
    </row>
    <row r="701" spans="1:24">
      <c r="A701" s="40" t="str">
        <f>_xlfn.TEXTJOIN("",TRUE,Input!$B$2,ROW(My_Audit!A700))</f>
        <v>X700</v>
      </c>
      <c r="B701" s="40" t="str">
        <f>_xlfn.TEXTJOIN("-",TRUE,"ITD",Input!$A$2,A701)</f>
        <v>ITD-X700</v>
      </c>
      <c r="C701" s="40" t="str" cm="1">
        <f t="array" ref="C701">IFERROR(_xlfn.LET(
_xlpm.CSVVal,_xlfn.XLOOKUP($A701,CSV!$A:$A,CSV!B:B,""),
_xlpm.MacVal,_xlfn.XLOOKUP($A701,Output_Mac!$A:$A,Output_Mac!B:B,""),
_xlpm.MyAuditVal,_xlfn.XLOOKUP($A701,My_Audit!$A:$A,My_Audit!B:B,""),
_xlfn.IFS(_xlpm.MyAuditVal&lt;&gt;"",UPPER(_xlpm.MyAuditVal),_xlpm.MacVal&lt;&gt;"",_xlpm.MacVal,_xlpm.CSVVal&lt;&gt;"",_xlpm.CSVVal
)),"")</f>
        <v/>
      </c>
      <c r="D701" s="40" t="str" cm="1">
        <f t="array" ref="D701">IFERROR(_xlfn.LET(
_xlpm.CSVVal,_xlfn.XLOOKUP($A701,CSV!$A:$A,CSV!D:D,""),
_xlpm.MacVal,_xlfn.XLOOKUP($A701,Output_Mac!$A:$A,Output_Mac!C:C,""),
_xlpm.MyAuditVal,_xlfn.XLOOKUP($A701,My_Audit!$A:$A,My_Audit!C:C,""),
_xlfn.IFS(_xlpm.MyAuditVal&lt;&gt;"",_xlpm.MyAuditVal,_xlpm.MacVal&lt;&gt;"",_xlpm.MacVal,_xlpm.CSVVal&lt;&gt;"",_xlpm.CSVVal
)),"")</f>
        <v/>
      </c>
      <c r="E701" s="40" t="str">
        <f>_xlfn.XLOOKUP(A701,My_Audit!A:A,My_Audit!D:D,"")</f>
        <v/>
      </c>
      <c r="F701" s="40" t="str" cm="1">
        <f t="array" ref="F701">IFERROR(_xlfn.LET(
_xlpm.CSVVal,_xlfn.XLOOKUP($A701,CSV!$A:$A,CSV!F:F,""),
_xlpm.MacVal,_xlfn.XLOOKUP($A701,Output_Mac!$A:$A,Output_Mac!E:E,""),
_xlpm.MyAuditVal,_xlfn.XLOOKUP($A701,My_Audit!$A:$A,My_Audit!E:E,""),
_xlfn.IFS(_xlpm.MyAuditVal&lt;&gt;"",_xlpm.MyAuditVal,_xlpm.MacVal&lt;&gt;"",_xlpm.MacVal,_xlpm.CSVVal&lt;&gt;"",_xlpm.CSVVal
)),"")</f>
        <v/>
      </c>
      <c r="G701" s="40" t="str" cm="1">
        <f t="array" ref="G701">IFERROR(_xlfn.LET(
_xlpm.CSVVal,_xlfn.XLOOKUP($A701,CSV!$A:$A,CSV!G:G,""),
_xlpm.MacVal,_xlfn.XLOOKUP($A701,Output_Mac!$A:$A,Output_Mac!F:F,""),
_xlpm.MyAuditVal,_xlfn.XLOOKUP($A701,My_Audit!$A:$A,My_Audit!F:F,""),
_xlfn.IFS(_xlpm.MyAuditVal&lt;&gt;"",_xlpm.MyAuditVal,_xlpm.MacVal&lt;&gt;"",_xlpm.MacVal,_xlpm.CSVVal&lt;&gt;"",PROPER(_xlpm.CSVVal)
)),"")</f>
        <v/>
      </c>
      <c r="H701" s="40" t="str" cm="1">
        <f t="array" ref="H701">IFERROR(_xlfn.LET(
_xlpm.CSVVal,_xlfn.XLOOKUP($A701,CSV!$A:$A,CSV!H:H,""),
_xlpm.MacVal,_xlfn.XLOOKUP($A701,Output_Mac!$A:$A,Output_Mac!H:H,""),
_xlpm.MyAuditVal,_xlfn.XLOOKUP($A701,My_Audit!$A:$A,My_Audit!G:G,""),
_xlfn.IFS(_xlpm.MyAuditVal&lt;&gt;"",_xlpm.MyAuditVal,_xlpm.MacVal&lt;&gt;"",_xlpm.MacVal,_xlpm.CSVVal&lt;&gt;"",_xlpm.CSVVal
)),"")</f>
        <v/>
      </c>
      <c r="I701" s="40" t="str">
        <f>_xlfn.XLOOKUP(A701,Output_Mac!A:A,Output_Mac!I:I,"")</f>
        <v/>
      </c>
      <c r="J701" s="40" t="str" cm="1">
        <f t="array" ref="J701">IFERROR(_xlfn.LET(
_xlpm.CSVVal,_xlfn.XLOOKUP($A701,CSV!$A:$A,CSV!I:I,""),
_xlpm.MacVal,_xlfn.XLOOKUP($A701,Output_Mac!$A:$A,Output_Mac!J:J,""),
_xlpm.MyAuditVal,_xlfn.XLOOKUP($A701,My_Audit!$A:$A,My_Audit!I:I,""),
_xlfn.IFS(_xlpm.MyAuditVal&lt;&gt;"",UPPER(_xlpm.MyAuditVal),_xlpm.MacVal&lt;&gt;"",_xlpm.MacVal,_xlpm.CSVVal&lt;&gt;"",_xlpm.CSVVal
)),"")</f>
        <v/>
      </c>
      <c r="K701" s="40" t="str" cm="1">
        <f t="array" ref="K701">IFERROR(_xlfn.LET(
_xlpm.CSVVal,_xlfn.XLOOKUP($A701,CSV!$A:$A,CSV!K:K,""),
_xlpm.MacVal,_xlfn.XLOOKUP($A701,Output_Mac!$A:$A,Output_Mac!K:K,""),
_xlpm.MyAuditVal,_xlfn.XLOOKUP($A701,My_Audit!$A:$A,My_Audit!J:J,""),
_xlfn.IFS(_xlpm.MyAuditVal&lt;&gt;"",UPPER(_xlpm.MyAuditVal),_xlpm.MacVal&lt;&gt;"",_xlpm.MacVal,_xlpm.CSVVal&lt;&gt;"",_xlpm.CSVVal
)),"")</f>
        <v/>
      </c>
      <c r="L701" s="40" t="str" cm="1">
        <f t="array" ref="L701">IFERROR(_xlfn.LET(
_xlpm.CSVVal,_xlfn.XLOOKUP($A701,CSV!$A:$A,CSV!P:P,""),
_xlpm.MacVal,_xlfn.XLOOKUP($A701,Output_Mac!$A:$A,Output_Mac!L:L,""),
_xlpm.MyAuditVal,_xlfn.XLOOKUP($A701,My_Audit!$A:$A,My_Audit!K:K,""),
_xlfn.IFS(_xlpm.MyAuditVal&lt;&gt;"",UPPER(_xlpm.MyAuditVal),_xlpm.MacVal&lt;&gt;"",_xlpm.MacVal,_xlpm.CSVVal&lt;&gt;"",_xlpm.CSVVal
)),"")</f>
        <v/>
      </c>
      <c r="M701" s="40" t="str" cm="1">
        <f t="array" ref="M701">IFERROR(_xlfn.LET(
_xlpm.CSVVal,_xlfn.XLOOKUP($A701,CSV!$A:$A,CSV!Q:Q,""),
_xlpm.MacVal,_xlfn.XLOOKUP($A701,Output_Mac!$A:$A,Output_Mac!M:M,""),
_xlpm.MyAuditVal,_xlfn.XLOOKUP($A701,My_Audit!$A:$A,My_Audit!L:L,""),
_xlfn.IFS(_xlpm.MyAuditVal&lt;&gt;"",UPPER(_xlpm.MyAuditVal),_xlpm.MacVal&lt;&gt;"",_xlpm.MacVal,_xlpm.CSVVal&lt;&gt;"",_xlpm.CSVVal
)),"")</f>
        <v/>
      </c>
      <c r="N701" s="40"/>
      <c r="O701" s="40" t="str">
        <f>_xlfn.LET(
    _xlpm.CSVVal, _xlfn.XLOOKUP($A701, CSV!$A:$A, CSV!AA:AA, ""),
    _xlpm.MacVal, _xlfn.XLOOKUP($A701, Output_Mac!$A:$A, Output_Mac!S:S, ""),
    _xlpm.MyAuditVal, _xlfn.XLOOKUP($A701, My_Audit!$A:$A, My_Audit!P:P, ""),
    _xlfn.TEXTJOIN(", ", TRUE, _xlpm.MyAuditVal, _xlpm.MacVal, _xlpm.CSVVal)
)</f>
        <v/>
      </c>
      <c r="P701" s="40" t="str" cm="1">
        <f t="array" ref="P701">IFERROR(_xlfn.LET(
_xlpm.CSVVal,_xlfn.XLOOKUP($A701,CSV!$A:$A,CSV!AB:AB,""),
_xlpm.MacVal,_xlfn.XLOOKUP($A701,Output_Mac!$A:$A,Output_Mac!T:T,""),
_xlpm.MyAuditVal,_xlfn.XLOOKUP($A701,My_Audit!$A:$A,My_Audit!Q:Q,""),
_xlfn.IFS(_xlpm.MyAuditVal&lt;&gt;"",UPPER(_xlpm.MyAuditVal),_xlpm.MacVal&lt;&gt;"",_xlpm.MacVal,_xlpm.CSVVal&lt;&gt;"",_xlpm.CSVVal
)),"No")</f>
        <v>No</v>
      </c>
      <c r="Q701" s="40" t="str" cm="1">
        <f t="array" ref="Q701">IFERROR(_xlfn.LET(
_xlpm.CSVVal,_xlfn.XLOOKUP($A701,CSV!$A:$A,CSV!AC:AC,""),
_xlpm.MacVal,_xlfn.XLOOKUP($A701,Output_Mac!$A:$A,Output_Mac!U:U,""),
_xlpm.MyAuditVal,_xlfn.XLOOKUP($A701,My_Audit!$A:$A,My_Audit!R:R,""),
_xlfn.IFS(_xlpm.MyAuditVal&lt;&gt;"",UPPER(_xlpm.MyAuditVal),_xlpm.MacVal&lt;&gt;"",_xlpm.MacVal,_xlpm.CSVVal&lt;&gt;"",_xlpm.CSVVal
)),"")</f>
        <v/>
      </c>
      <c r="R701" s="40"/>
      <c r="S701" s="40"/>
      <c r="T701" s="40"/>
      <c r="U701" s="40"/>
      <c r="V701" s="40"/>
      <c r="W701" s="40"/>
      <c r="X701" s="41" t="str">
        <f>_xlfn.LET(
    _xlpm.MacVal, _xlfn.XLOOKUP($A701, Output_Mac!$A:$A, Output_Mac!AB:AB, ""),
    _xlpm.MyAuditVal, _xlfn.XLOOKUP($A701, My_Audit!$A:$A, My_Audit!N:N, ""),
    _xlfn.TEXTJOIN(", ", TRUE, _xlpm.MyAuditVal, _xlpm.MacVal)
)</f>
        <v/>
      </c>
    </row>
    <row r="702" spans="1:24">
      <c r="A702" s="40" t="str">
        <f>_xlfn.TEXTJOIN("",TRUE,Input!$B$2,ROW(My_Audit!A701))</f>
        <v>X701</v>
      </c>
      <c r="B702" s="40" t="str">
        <f>_xlfn.TEXTJOIN("-",TRUE,"ITD",Input!$A$2,A702)</f>
        <v>ITD-X701</v>
      </c>
      <c r="C702" s="40" t="str" cm="1">
        <f t="array" ref="C702">IFERROR(_xlfn.LET(
_xlpm.CSVVal,_xlfn.XLOOKUP($A702,CSV!$A:$A,CSV!B:B,""),
_xlpm.MacVal,_xlfn.XLOOKUP($A702,Output_Mac!$A:$A,Output_Mac!B:B,""),
_xlpm.MyAuditVal,_xlfn.XLOOKUP($A702,My_Audit!$A:$A,My_Audit!B:B,""),
_xlfn.IFS(_xlpm.MyAuditVal&lt;&gt;"",UPPER(_xlpm.MyAuditVal),_xlpm.MacVal&lt;&gt;"",_xlpm.MacVal,_xlpm.CSVVal&lt;&gt;"",_xlpm.CSVVal
)),"")</f>
        <v/>
      </c>
      <c r="D702" s="40" t="str" cm="1">
        <f t="array" ref="D702">IFERROR(_xlfn.LET(
_xlpm.CSVVal,_xlfn.XLOOKUP($A702,CSV!$A:$A,CSV!D:D,""),
_xlpm.MacVal,_xlfn.XLOOKUP($A702,Output_Mac!$A:$A,Output_Mac!C:C,""),
_xlpm.MyAuditVal,_xlfn.XLOOKUP($A702,My_Audit!$A:$A,My_Audit!C:C,""),
_xlfn.IFS(_xlpm.MyAuditVal&lt;&gt;"",_xlpm.MyAuditVal,_xlpm.MacVal&lt;&gt;"",_xlpm.MacVal,_xlpm.CSVVal&lt;&gt;"",_xlpm.CSVVal
)),"")</f>
        <v/>
      </c>
      <c r="E702" s="40" t="str">
        <f>_xlfn.XLOOKUP(A702,My_Audit!A:A,My_Audit!D:D,"")</f>
        <v/>
      </c>
      <c r="F702" s="40" t="str" cm="1">
        <f t="array" ref="F702">IFERROR(_xlfn.LET(
_xlpm.CSVVal,_xlfn.XLOOKUP($A702,CSV!$A:$A,CSV!F:F,""),
_xlpm.MacVal,_xlfn.XLOOKUP($A702,Output_Mac!$A:$A,Output_Mac!E:E,""),
_xlpm.MyAuditVal,_xlfn.XLOOKUP($A702,My_Audit!$A:$A,My_Audit!E:E,""),
_xlfn.IFS(_xlpm.MyAuditVal&lt;&gt;"",_xlpm.MyAuditVal,_xlpm.MacVal&lt;&gt;"",_xlpm.MacVal,_xlpm.CSVVal&lt;&gt;"",_xlpm.CSVVal
)),"")</f>
        <v/>
      </c>
      <c r="G702" s="40" t="str" cm="1">
        <f t="array" ref="G702">IFERROR(_xlfn.LET(
_xlpm.CSVVal,_xlfn.XLOOKUP($A702,CSV!$A:$A,CSV!G:G,""),
_xlpm.MacVal,_xlfn.XLOOKUP($A702,Output_Mac!$A:$A,Output_Mac!F:F,""),
_xlpm.MyAuditVal,_xlfn.XLOOKUP($A702,My_Audit!$A:$A,My_Audit!F:F,""),
_xlfn.IFS(_xlpm.MyAuditVal&lt;&gt;"",_xlpm.MyAuditVal,_xlpm.MacVal&lt;&gt;"",_xlpm.MacVal,_xlpm.CSVVal&lt;&gt;"",PROPER(_xlpm.CSVVal)
)),"")</f>
        <v/>
      </c>
      <c r="H702" s="40" t="str" cm="1">
        <f t="array" ref="H702">IFERROR(_xlfn.LET(
_xlpm.CSVVal,_xlfn.XLOOKUP($A702,CSV!$A:$A,CSV!H:H,""),
_xlpm.MacVal,_xlfn.XLOOKUP($A702,Output_Mac!$A:$A,Output_Mac!H:H,""),
_xlpm.MyAuditVal,_xlfn.XLOOKUP($A702,My_Audit!$A:$A,My_Audit!G:G,""),
_xlfn.IFS(_xlpm.MyAuditVal&lt;&gt;"",_xlpm.MyAuditVal,_xlpm.MacVal&lt;&gt;"",_xlpm.MacVal,_xlpm.CSVVal&lt;&gt;"",_xlpm.CSVVal
)),"")</f>
        <v/>
      </c>
      <c r="I702" s="40" t="str">
        <f>_xlfn.XLOOKUP(A702,Output_Mac!A:A,Output_Mac!I:I,"")</f>
        <v/>
      </c>
      <c r="J702" s="40" t="str" cm="1">
        <f t="array" ref="J702">IFERROR(_xlfn.LET(
_xlpm.CSVVal,_xlfn.XLOOKUP($A702,CSV!$A:$A,CSV!I:I,""),
_xlpm.MacVal,_xlfn.XLOOKUP($A702,Output_Mac!$A:$A,Output_Mac!J:J,""),
_xlpm.MyAuditVal,_xlfn.XLOOKUP($A702,My_Audit!$A:$A,My_Audit!I:I,""),
_xlfn.IFS(_xlpm.MyAuditVal&lt;&gt;"",UPPER(_xlpm.MyAuditVal),_xlpm.MacVal&lt;&gt;"",_xlpm.MacVal,_xlpm.CSVVal&lt;&gt;"",_xlpm.CSVVal
)),"")</f>
        <v/>
      </c>
      <c r="K702" s="40" t="str" cm="1">
        <f t="array" ref="K702">IFERROR(_xlfn.LET(
_xlpm.CSVVal,_xlfn.XLOOKUP($A702,CSV!$A:$A,CSV!K:K,""),
_xlpm.MacVal,_xlfn.XLOOKUP($A702,Output_Mac!$A:$A,Output_Mac!K:K,""),
_xlpm.MyAuditVal,_xlfn.XLOOKUP($A702,My_Audit!$A:$A,My_Audit!J:J,""),
_xlfn.IFS(_xlpm.MyAuditVal&lt;&gt;"",UPPER(_xlpm.MyAuditVal),_xlpm.MacVal&lt;&gt;"",_xlpm.MacVal,_xlpm.CSVVal&lt;&gt;"",_xlpm.CSVVal
)),"")</f>
        <v/>
      </c>
      <c r="L702" s="40" t="str" cm="1">
        <f t="array" ref="L702">IFERROR(_xlfn.LET(
_xlpm.CSVVal,_xlfn.XLOOKUP($A702,CSV!$A:$A,CSV!P:P,""),
_xlpm.MacVal,_xlfn.XLOOKUP($A702,Output_Mac!$A:$A,Output_Mac!L:L,""),
_xlpm.MyAuditVal,_xlfn.XLOOKUP($A702,My_Audit!$A:$A,My_Audit!K:K,""),
_xlfn.IFS(_xlpm.MyAuditVal&lt;&gt;"",UPPER(_xlpm.MyAuditVal),_xlpm.MacVal&lt;&gt;"",_xlpm.MacVal,_xlpm.CSVVal&lt;&gt;"",_xlpm.CSVVal
)),"")</f>
        <v/>
      </c>
      <c r="M702" s="40" t="str" cm="1">
        <f t="array" ref="M702">IFERROR(_xlfn.LET(
_xlpm.CSVVal,_xlfn.XLOOKUP($A702,CSV!$A:$A,CSV!Q:Q,""),
_xlpm.MacVal,_xlfn.XLOOKUP($A702,Output_Mac!$A:$A,Output_Mac!M:M,""),
_xlpm.MyAuditVal,_xlfn.XLOOKUP($A702,My_Audit!$A:$A,My_Audit!L:L,""),
_xlfn.IFS(_xlpm.MyAuditVal&lt;&gt;"",UPPER(_xlpm.MyAuditVal),_xlpm.MacVal&lt;&gt;"",_xlpm.MacVal,_xlpm.CSVVal&lt;&gt;"",_xlpm.CSVVal
)),"")</f>
        <v/>
      </c>
      <c r="N702" s="40"/>
      <c r="O702" s="40" t="str">
        <f>_xlfn.LET(
    _xlpm.CSVVal, _xlfn.XLOOKUP($A702, CSV!$A:$A, CSV!AA:AA, ""),
    _xlpm.MacVal, _xlfn.XLOOKUP($A702, Output_Mac!$A:$A, Output_Mac!S:S, ""),
    _xlpm.MyAuditVal, _xlfn.XLOOKUP($A702, My_Audit!$A:$A, My_Audit!P:P, ""),
    _xlfn.TEXTJOIN(", ", TRUE, _xlpm.MyAuditVal, _xlpm.MacVal, _xlpm.CSVVal)
)</f>
        <v/>
      </c>
      <c r="P702" s="40" t="str" cm="1">
        <f t="array" ref="P702">IFERROR(_xlfn.LET(
_xlpm.CSVVal,_xlfn.XLOOKUP($A702,CSV!$A:$A,CSV!AB:AB,""),
_xlpm.MacVal,_xlfn.XLOOKUP($A702,Output_Mac!$A:$A,Output_Mac!T:T,""),
_xlpm.MyAuditVal,_xlfn.XLOOKUP($A702,My_Audit!$A:$A,My_Audit!Q:Q,""),
_xlfn.IFS(_xlpm.MyAuditVal&lt;&gt;"",UPPER(_xlpm.MyAuditVal),_xlpm.MacVal&lt;&gt;"",_xlpm.MacVal,_xlpm.CSVVal&lt;&gt;"",_xlpm.CSVVal
)),"No")</f>
        <v>No</v>
      </c>
      <c r="Q702" s="40" t="str" cm="1">
        <f t="array" ref="Q702">IFERROR(_xlfn.LET(
_xlpm.CSVVal,_xlfn.XLOOKUP($A702,CSV!$A:$A,CSV!AC:AC,""),
_xlpm.MacVal,_xlfn.XLOOKUP($A702,Output_Mac!$A:$A,Output_Mac!U:U,""),
_xlpm.MyAuditVal,_xlfn.XLOOKUP($A702,My_Audit!$A:$A,My_Audit!R:R,""),
_xlfn.IFS(_xlpm.MyAuditVal&lt;&gt;"",UPPER(_xlpm.MyAuditVal),_xlpm.MacVal&lt;&gt;"",_xlpm.MacVal,_xlpm.CSVVal&lt;&gt;"",_xlpm.CSVVal
)),"")</f>
        <v/>
      </c>
      <c r="R702" s="40"/>
      <c r="S702" s="40"/>
      <c r="T702" s="40"/>
      <c r="U702" s="40"/>
      <c r="V702" s="40"/>
      <c r="W702" s="40"/>
      <c r="X702" s="41" t="str">
        <f>_xlfn.LET(
    _xlpm.MacVal, _xlfn.XLOOKUP($A702, Output_Mac!$A:$A, Output_Mac!AB:AB, ""),
    _xlpm.MyAuditVal, _xlfn.XLOOKUP($A702, My_Audit!$A:$A, My_Audit!N:N, ""),
    _xlfn.TEXTJOIN(", ", TRUE, _xlpm.MyAuditVal, _xlpm.MacVal)
)</f>
        <v/>
      </c>
    </row>
    <row r="703" spans="1:24">
      <c r="A703" s="40" t="str">
        <f>_xlfn.TEXTJOIN("",TRUE,Input!$B$2,ROW(My_Audit!A702))</f>
        <v>X702</v>
      </c>
      <c r="B703" s="40" t="str">
        <f>_xlfn.TEXTJOIN("-",TRUE,"ITD",Input!$A$2,A703)</f>
        <v>ITD-X702</v>
      </c>
      <c r="C703" s="40" t="str" cm="1">
        <f t="array" ref="C703">IFERROR(_xlfn.LET(
_xlpm.CSVVal,_xlfn.XLOOKUP($A703,CSV!$A:$A,CSV!B:B,""),
_xlpm.MacVal,_xlfn.XLOOKUP($A703,Output_Mac!$A:$A,Output_Mac!B:B,""),
_xlpm.MyAuditVal,_xlfn.XLOOKUP($A703,My_Audit!$A:$A,My_Audit!B:B,""),
_xlfn.IFS(_xlpm.MyAuditVal&lt;&gt;"",UPPER(_xlpm.MyAuditVal),_xlpm.MacVal&lt;&gt;"",_xlpm.MacVal,_xlpm.CSVVal&lt;&gt;"",_xlpm.CSVVal
)),"")</f>
        <v/>
      </c>
      <c r="D703" s="40" t="str" cm="1">
        <f t="array" ref="D703">IFERROR(_xlfn.LET(
_xlpm.CSVVal,_xlfn.XLOOKUP($A703,CSV!$A:$A,CSV!D:D,""),
_xlpm.MacVal,_xlfn.XLOOKUP($A703,Output_Mac!$A:$A,Output_Mac!C:C,""),
_xlpm.MyAuditVal,_xlfn.XLOOKUP($A703,My_Audit!$A:$A,My_Audit!C:C,""),
_xlfn.IFS(_xlpm.MyAuditVal&lt;&gt;"",_xlpm.MyAuditVal,_xlpm.MacVal&lt;&gt;"",_xlpm.MacVal,_xlpm.CSVVal&lt;&gt;"",_xlpm.CSVVal
)),"")</f>
        <v/>
      </c>
      <c r="E703" s="40" t="str">
        <f>_xlfn.XLOOKUP(A703,My_Audit!A:A,My_Audit!D:D,"")</f>
        <v/>
      </c>
      <c r="F703" s="40" t="str" cm="1">
        <f t="array" ref="F703">IFERROR(_xlfn.LET(
_xlpm.CSVVal,_xlfn.XLOOKUP($A703,CSV!$A:$A,CSV!F:F,""),
_xlpm.MacVal,_xlfn.XLOOKUP($A703,Output_Mac!$A:$A,Output_Mac!E:E,""),
_xlpm.MyAuditVal,_xlfn.XLOOKUP($A703,My_Audit!$A:$A,My_Audit!E:E,""),
_xlfn.IFS(_xlpm.MyAuditVal&lt;&gt;"",_xlpm.MyAuditVal,_xlpm.MacVal&lt;&gt;"",_xlpm.MacVal,_xlpm.CSVVal&lt;&gt;"",_xlpm.CSVVal
)),"")</f>
        <v/>
      </c>
      <c r="G703" s="40" t="str" cm="1">
        <f t="array" ref="G703">IFERROR(_xlfn.LET(
_xlpm.CSVVal,_xlfn.XLOOKUP($A703,CSV!$A:$A,CSV!G:G,""),
_xlpm.MacVal,_xlfn.XLOOKUP($A703,Output_Mac!$A:$A,Output_Mac!F:F,""),
_xlpm.MyAuditVal,_xlfn.XLOOKUP($A703,My_Audit!$A:$A,My_Audit!F:F,""),
_xlfn.IFS(_xlpm.MyAuditVal&lt;&gt;"",_xlpm.MyAuditVal,_xlpm.MacVal&lt;&gt;"",_xlpm.MacVal,_xlpm.CSVVal&lt;&gt;"",PROPER(_xlpm.CSVVal)
)),"")</f>
        <v/>
      </c>
      <c r="H703" s="40" t="str" cm="1">
        <f t="array" ref="H703">IFERROR(_xlfn.LET(
_xlpm.CSVVal,_xlfn.XLOOKUP($A703,CSV!$A:$A,CSV!H:H,""),
_xlpm.MacVal,_xlfn.XLOOKUP($A703,Output_Mac!$A:$A,Output_Mac!H:H,""),
_xlpm.MyAuditVal,_xlfn.XLOOKUP($A703,My_Audit!$A:$A,My_Audit!G:G,""),
_xlfn.IFS(_xlpm.MyAuditVal&lt;&gt;"",_xlpm.MyAuditVal,_xlpm.MacVal&lt;&gt;"",_xlpm.MacVal,_xlpm.CSVVal&lt;&gt;"",_xlpm.CSVVal
)),"")</f>
        <v/>
      </c>
      <c r="I703" s="40" t="str">
        <f>_xlfn.XLOOKUP(A703,Output_Mac!A:A,Output_Mac!I:I,"")</f>
        <v/>
      </c>
      <c r="J703" s="40" t="str" cm="1">
        <f t="array" ref="J703">IFERROR(_xlfn.LET(
_xlpm.CSVVal,_xlfn.XLOOKUP($A703,CSV!$A:$A,CSV!I:I,""),
_xlpm.MacVal,_xlfn.XLOOKUP($A703,Output_Mac!$A:$A,Output_Mac!J:J,""),
_xlpm.MyAuditVal,_xlfn.XLOOKUP($A703,My_Audit!$A:$A,My_Audit!I:I,""),
_xlfn.IFS(_xlpm.MyAuditVal&lt;&gt;"",UPPER(_xlpm.MyAuditVal),_xlpm.MacVal&lt;&gt;"",_xlpm.MacVal,_xlpm.CSVVal&lt;&gt;"",_xlpm.CSVVal
)),"")</f>
        <v/>
      </c>
      <c r="K703" s="40" t="str" cm="1">
        <f t="array" ref="K703">IFERROR(_xlfn.LET(
_xlpm.CSVVal,_xlfn.XLOOKUP($A703,CSV!$A:$A,CSV!K:K,""),
_xlpm.MacVal,_xlfn.XLOOKUP($A703,Output_Mac!$A:$A,Output_Mac!K:K,""),
_xlpm.MyAuditVal,_xlfn.XLOOKUP($A703,My_Audit!$A:$A,My_Audit!J:J,""),
_xlfn.IFS(_xlpm.MyAuditVal&lt;&gt;"",UPPER(_xlpm.MyAuditVal),_xlpm.MacVal&lt;&gt;"",_xlpm.MacVal,_xlpm.CSVVal&lt;&gt;"",_xlpm.CSVVal
)),"")</f>
        <v/>
      </c>
      <c r="L703" s="40" t="str" cm="1">
        <f t="array" ref="L703">IFERROR(_xlfn.LET(
_xlpm.CSVVal,_xlfn.XLOOKUP($A703,CSV!$A:$A,CSV!P:P,""),
_xlpm.MacVal,_xlfn.XLOOKUP($A703,Output_Mac!$A:$A,Output_Mac!L:L,""),
_xlpm.MyAuditVal,_xlfn.XLOOKUP($A703,My_Audit!$A:$A,My_Audit!K:K,""),
_xlfn.IFS(_xlpm.MyAuditVal&lt;&gt;"",UPPER(_xlpm.MyAuditVal),_xlpm.MacVal&lt;&gt;"",_xlpm.MacVal,_xlpm.CSVVal&lt;&gt;"",_xlpm.CSVVal
)),"")</f>
        <v/>
      </c>
      <c r="M703" s="40" t="str" cm="1">
        <f t="array" ref="M703">IFERROR(_xlfn.LET(
_xlpm.CSVVal,_xlfn.XLOOKUP($A703,CSV!$A:$A,CSV!Q:Q,""),
_xlpm.MacVal,_xlfn.XLOOKUP($A703,Output_Mac!$A:$A,Output_Mac!M:M,""),
_xlpm.MyAuditVal,_xlfn.XLOOKUP($A703,My_Audit!$A:$A,My_Audit!L:L,""),
_xlfn.IFS(_xlpm.MyAuditVal&lt;&gt;"",UPPER(_xlpm.MyAuditVal),_xlpm.MacVal&lt;&gt;"",_xlpm.MacVal,_xlpm.CSVVal&lt;&gt;"",_xlpm.CSVVal
)),"")</f>
        <v/>
      </c>
      <c r="N703" s="40"/>
      <c r="O703" s="40" t="str">
        <f>_xlfn.LET(
    _xlpm.CSVVal, _xlfn.XLOOKUP($A703, CSV!$A:$A, CSV!AA:AA, ""),
    _xlpm.MacVal, _xlfn.XLOOKUP($A703, Output_Mac!$A:$A, Output_Mac!S:S, ""),
    _xlpm.MyAuditVal, _xlfn.XLOOKUP($A703, My_Audit!$A:$A, My_Audit!P:P, ""),
    _xlfn.TEXTJOIN(", ", TRUE, _xlpm.MyAuditVal, _xlpm.MacVal, _xlpm.CSVVal)
)</f>
        <v/>
      </c>
      <c r="P703" s="40" t="str" cm="1">
        <f t="array" ref="P703">IFERROR(_xlfn.LET(
_xlpm.CSVVal,_xlfn.XLOOKUP($A703,CSV!$A:$A,CSV!AB:AB,""),
_xlpm.MacVal,_xlfn.XLOOKUP($A703,Output_Mac!$A:$A,Output_Mac!T:T,""),
_xlpm.MyAuditVal,_xlfn.XLOOKUP($A703,My_Audit!$A:$A,My_Audit!Q:Q,""),
_xlfn.IFS(_xlpm.MyAuditVal&lt;&gt;"",UPPER(_xlpm.MyAuditVal),_xlpm.MacVal&lt;&gt;"",_xlpm.MacVal,_xlpm.CSVVal&lt;&gt;"",_xlpm.CSVVal
)),"No")</f>
        <v>No</v>
      </c>
      <c r="Q703" s="40" t="str" cm="1">
        <f t="array" ref="Q703">IFERROR(_xlfn.LET(
_xlpm.CSVVal,_xlfn.XLOOKUP($A703,CSV!$A:$A,CSV!AC:AC,""),
_xlpm.MacVal,_xlfn.XLOOKUP($A703,Output_Mac!$A:$A,Output_Mac!U:U,""),
_xlpm.MyAuditVal,_xlfn.XLOOKUP($A703,My_Audit!$A:$A,My_Audit!R:R,""),
_xlfn.IFS(_xlpm.MyAuditVal&lt;&gt;"",UPPER(_xlpm.MyAuditVal),_xlpm.MacVal&lt;&gt;"",_xlpm.MacVal,_xlpm.CSVVal&lt;&gt;"",_xlpm.CSVVal
)),"")</f>
        <v/>
      </c>
      <c r="R703" s="40"/>
      <c r="S703" s="40"/>
      <c r="T703" s="40"/>
      <c r="U703" s="40"/>
      <c r="V703" s="40"/>
      <c r="W703" s="40"/>
      <c r="X703" s="41" t="str">
        <f>_xlfn.LET(
    _xlpm.MacVal, _xlfn.XLOOKUP($A703, Output_Mac!$A:$A, Output_Mac!AB:AB, ""),
    _xlpm.MyAuditVal, _xlfn.XLOOKUP($A703, My_Audit!$A:$A, My_Audit!N:N, ""),
    _xlfn.TEXTJOIN(", ", TRUE, _xlpm.MyAuditVal, _xlpm.MacVal)
)</f>
        <v/>
      </c>
    </row>
    <row r="704" spans="1:24">
      <c r="A704" s="40" t="str">
        <f>_xlfn.TEXTJOIN("",TRUE,Input!$B$2,ROW(My_Audit!A703))</f>
        <v>X703</v>
      </c>
      <c r="B704" s="40" t="str">
        <f>_xlfn.TEXTJOIN("-",TRUE,"ITD",Input!$A$2,A704)</f>
        <v>ITD-X703</v>
      </c>
      <c r="C704" s="40" t="str" cm="1">
        <f t="array" ref="C704">IFERROR(_xlfn.LET(
_xlpm.CSVVal,_xlfn.XLOOKUP($A704,CSV!$A:$A,CSV!B:B,""),
_xlpm.MacVal,_xlfn.XLOOKUP($A704,Output_Mac!$A:$A,Output_Mac!B:B,""),
_xlpm.MyAuditVal,_xlfn.XLOOKUP($A704,My_Audit!$A:$A,My_Audit!B:B,""),
_xlfn.IFS(_xlpm.MyAuditVal&lt;&gt;"",UPPER(_xlpm.MyAuditVal),_xlpm.MacVal&lt;&gt;"",_xlpm.MacVal,_xlpm.CSVVal&lt;&gt;"",_xlpm.CSVVal
)),"")</f>
        <v/>
      </c>
      <c r="D704" s="40" t="str" cm="1">
        <f t="array" ref="D704">IFERROR(_xlfn.LET(
_xlpm.CSVVal,_xlfn.XLOOKUP($A704,CSV!$A:$A,CSV!D:D,""),
_xlpm.MacVal,_xlfn.XLOOKUP($A704,Output_Mac!$A:$A,Output_Mac!C:C,""),
_xlpm.MyAuditVal,_xlfn.XLOOKUP($A704,My_Audit!$A:$A,My_Audit!C:C,""),
_xlfn.IFS(_xlpm.MyAuditVal&lt;&gt;"",_xlpm.MyAuditVal,_xlpm.MacVal&lt;&gt;"",_xlpm.MacVal,_xlpm.CSVVal&lt;&gt;"",_xlpm.CSVVal
)),"")</f>
        <v/>
      </c>
      <c r="E704" s="40" t="str">
        <f>_xlfn.XLOOKUP(A704,My_Audit!A:A,My_Audit!D:D,"")</f>
        <v/>
      </c>
      <c r="F704" s="40" t="str" cm="1">
        <f t="array" ref="F704">IFERROR(_xlfn.LET(
_xlpm.CSVVal,_xlfn.XLOOKUP($A704,CSV!$A:$A,CSV!F:F,""),
_xlpm.MacVal,_xlfn.XLOOKUP($A704,Output_Mac!$A:$A,Output_Mac!E:E,""),
_xlpm.MyAuditVal,_xlfn.XLOOKUP($A704,My_Audit!$A:$A,My_Audit!E:E,""),
_xlfn.IFS(_xlpm.MyAuditVal&lt;&gt;"",_xlpm.MyAuditVal,_xlpm.MacVal&lt;&gt;"",_xlpm.MacVal,_xlpm.CSVVal&lt;&gt;"",_xlpm.CSVVal
)),"")</f>
        <v/>
      </c>
      <c r="G704" s="40" t="str" cm="1">
        <f t="array" ref="G704">IFERROR(_xlfn.LET(
_xlpm.CSVVal,_xlfn.XLOOKUP($A704,CSV!$A:$A,CSV!G:G,""),
_xlpm.MacVal,_xlfn.XLOOKUP($A704,Output_Mac!$A:$A,Output_Mac!F:F,""),
_xlpm.MyAuditVal,_xlfn.XLOOKUP($A704,My_Audit!$A:$A,My_Audit!F:F,""),
_xlfn.IFS(_xlpm.MyAuditVal&lt;&gt;"",_xlpm.MyAuditVal,_xlpm.MacVal&lt;&gt;"",_xlpm.MacVal,_xlpm.CSVVal&lt;&gt;"",PROPER(_xlpm.CSVVal)
)),"")</f>
        <v/>
      </c>
      <c r="H704" s="40" t="str" cm="1">
        <f t="array" ref="H704">IFERROR(_xlfn.LET(
_xlpm.CSVVal,_xlfn.XLOOKUP($A704,CSV!$A:$A,CSV!H:H,""),
_xlpm.MacVal,_xlfn.XLOOKUP($A704,Output_Mac!$A:$A,Output_Mac!H:H,""),
_xlpm.MyAuditVal,_xlfn.XLOOKUP($A704,My_Audit!$A:$A,My_Audit!G:G,""),
_xlfn.IFS(_xlpm.MyAuditVal&lt;&gt;"",_xlpm.MyAuditVal,_xlpm.MacVal&lt;&gt;"",_xlpm.MacVal,_xlpm.CSVVal&lt;&gt;"",_xlpm.CSVVal
)),"")</f>
        <v/>
      </c>
      <c r="I704" s="40" t="str">
        <f>_xlfn.XLOOKUP(A704,Output_Mac!A:A,Output_Mac!I:I,"")</f>
        <v/>
      </c>
      <c r="J704" s="40" t="str" cm="1">
        <f t="array" ref="J704">IFERROR(_xlfn.LET(
_xlpm.CSVVal,_xlfn.XLOOKUP($A704,CSV!$A:$A,CSV!I:I,""),
_xlpm.MacVal,_xlfn.XLOOKUP($A704,Output_Mac!$A:$A,Output_Mac!J:J,""),
_xlpm.MyAuditVal,_xlfn.XLOOKUP($A704,My_Audit!$A:$A,My_Audit!I:I,""),
_xlfn.IFS(_xlpm.MyAuditVal&lt;&gt;"",UPPER(_xlpm.MyAuditVal),_xlpm.MacVal&lt;&gt;"",_xlpm.MacVal,_xlpm.CSVVal&lt;&gt;"",_xlpm.CSVVal
)),"")</f>
        <v/>
      </c>
      <c r="K704" s="40" t="str" cm="1">
        <f t="array" ref="K704">IFERROR(_xlfn.LET(
_xlpm.CSVVal,_xlfn.XLOOKUP($A704,CSV!$A:$A,CSV!K:K,""),
_xlpm.MacVal,_xlfn.XLOOKUP($A704,Output_Mac!$A:$A,Output_Mac!K:K,""),
_xlpm.MyAuditVal,_xlfn.XLOOKUP($A704,My_Audit!$A:$A,My_Audit!J:J,""),
_xlfn.IFS(_xlpm.MyAuditVal&lt;&gt;"",UPPER(_xlpm.MyAuditVal),_xlpm.MacVal&lt;&gt;"",_xlpm.MacVal,_xlpm.CSVVal&lt;&gt;"",_xlpm.CSVVal
)),"")</f>
        <v/>
      </c>
      <c r="L704" s="40" t="str" cm="1">
        <f t="array" ref="L704">IFERROR(_xlfn.LET(
_xlpm.CSVVal,_xlfn.XLOOKUP($A704,CSV!$A:$A,CSV!P:P,""),
_xlpm.MacVal,_xlfn.XLOOKUP($A704,Output_Mac!$A:$A,Output_Mac!L:L,""),
_xlpm.MyAuditVal,_xlfn.XLOOKUP($A704,My_Audit!$A:$A,My_Audit!K:K,""),
_xlfn.IFS(_xlpm.MyAuditVal&lt;&gt;"",UPPER(_xlpm.MyAuditVal),_xlpm.MacVal&lt;&gt;"",_xlpm.MacVal,_xlpm.CSVVal&lt;&gt;"",_xlpm.CSVVal
)),"")</f>
        <v/>
      </c>
      <c r="M704" s="40" t="str" cm="1">
        <f t="array" ref="M704">IFERROR(_xlfn.LET(
_xlpm.CSVVal,_xlfn.XLOOKUP($A704,CSV!$A:$A,CSV!Q:Q,""),
_xlpm.MacVal,_xlfn.XLOOKUP($A704,Output_Mac!$A:$A,Output_Mac!M:M,""),
_xlpm.MyAuditVal,_xlfn.XLOOKUP($A704,My_Audit!$A:$A,My_Audit!L:L,""),
_xlfn.IFS(_xlpm.MyAuditVal&lt;&gt;"",UPPER(_xlpm.MyAuditVal),_xlpm.MacVal&lt;&gt;"",_xlpm.MacVal,_xlpm.CSVVal&lt;&gt;"",_xlpm.CSVVal
)),"")</f>
        <v/>
      </c>
      <c r="N704" s="40"/>
      <c r="O704" s="40" t="str">
        <f>_xlfn.LET(
    _xlpm.CSVVal, _xlfn.XLOOKUP($A704, CSV!$A:$A, CSV!AA:AA, ""),
    _xlpm.MacVal, _xlfn.XLOOKUP($A704, Output_Mac!$A:$A, Output_Mac!S:S, ""),
    _xlpm.MyAuditVal, _xlfn.XLOOKUP($A704, My_Audit!$A:$A, My_Audit!P:P, ""),
    _xlfn.TEXTJOIN(", ", TRUE, _xlpm.MyAuditVal, _xlpm.MacVal, _xlpm.CSVVal)
)</f>
        <v/>
      </c>
      <c r="P704" s="40" t="str" cm="1">
        <f t="array" ref="P704">IFERROR(_xlfn.LET(
_xlpm.CSVVal,_xlfn.XLOOKUP($A704,CSV!$A:$A,CSV!AB:AB,""),
_xlpm.MacVal,_xlfn.XLOOKUP($A704,Output_Mac!$A:$A,Output_Mac!T:T,""),
_xlpm.MyAuditVal,_xlfn.XLOOKUP($A704,My_Audit!$A:$A,My_Audit!Q:Q,""),
_xlfn.IFS(_xlpm.MyAuditVal&lt;&gt;"",UPPER(_xlpm.MyAuditVal),_xlpm.MacVal&lt;&gt;"",_xlpm.MacVal,_xlpm.CSVVal&lt;&gt;"",_xlpm.CSVVal
)),"No")</f>
        <v>No</v>
      </c>
      <c r="Q704" s="40" t="str" cm="1">
        <f t="array" ref="Q704">IFERROR(_xlfn.LET(
_xlpm.CSVVal,_xlfn.XLOOKUP($A704,CSV!$A:$A,CSV!AC:AC,""),
_xlpm.MacVal,_xlfn.XLOOKUP($A704,Output_Mac!$A:$A,Output_Mac!U:U,""),
_xlpm.MyAuditVal,_xlfn.XLOOKUP($A704,My_Audit!$A:$A,My_Audit!R:R,""),
_xlfn.IFS(_xlpm.MyAuditVal&lt;&gt;"",UPPER(_xlpm.MyAuditVal),_xlpm.MacVal&lt;&gt;"",_xlpm.MacVal,_xlpm.CSVVal&lt;&gt;"",_xlpm.CSVVal
)),"")</f>
        <v/>
      </c>
      <c r="R704" s="40"/>
      <c r="S704" s="40"/>
      <c r="T704" s="40"/>
      <c r="U704" s="40"/>
      <c r="V704" s="40"/>
      <c r="W704" s="40"/>
      <c r="X704" s="41" t="str">
        <f>_xlfn.LET(
    _xlpm.MacVal, _xlfn.XLOOKUP($A704, Output_Mac!$A:$A, Output_Mac!AB:AB, ""),
    _xlpm.MyAuditVal, _xlfn.XLOOKUP($A704, My_Audit!$A:$A, My_Audit!N:N, ""),
    _xlfn.TEXTJOIN(", ", TRUE, _xlpm.MyAuditVal, _xlpm.MacVal)
)</f>
        <v/>
      </c>
    </row>
    <row r="705" spans="1:24">
      <c r="A705" s="40" t="str">
        <f>_xlfn.TEXTJOIN("",TRUE,Input!$B$2,ROW(My_Audit!A704))</f>
        <v>X704</v>
      </c>
      <c r="B705" s="40" t="str">
        <f>_xlfn.TEXTJOIN("-",TRUE,"ITD",Input!$A$2,A705)</f>
        <v>ITD-X704</v>
      </c>
      <c r="C705" s="40" t="str" cm="1">
        <f t="array" ref="C705">IFERROR(_xlfn.LET(
_xlpm.CSVVal,_xlfn.XLOOKUP($A705,CSV!$A:$A,CSV!B:B,""),
_xlpm.MacVal,_xlfn.XLOOKUP($A705,Output_Mac!$A:$A,Output_Mac!B:B,""),
_xlpm.MyAuditVal,_xlfn.XLOOKUP($A705,My_Audit!$A:$A,My_Audit!B:B,""),
_xlfn.IFS(_xlpm.MyAuditVal&lt;&gt;"",UPPER(_xlpm.MyAuditVal),_xlpm.MacVal&lt;&gt;"",_xlpm.MacVal,_xlpm.CSVVal&lt;&gt;"",_xlpm.CSVVal
)),"")</f>
        <v/>
      </c>
      <c r="D705" s="40" t="str" cm="1">
        <f t="array" ref="D705">IFERROR(_xlfn.LET(
_xlpm.CSVVal,_xlfn.XLOOKUP($A705,CSV!$A:$A,CSV!D:D,""),
_xlpm.MacVal,_xlfn.XLOOKUP($A705,Output_Mac!$A:$A,Output_Mac!C:C,""),
_xlpm.MyAuditVal,_xlfn.XLOOKUP($A705,My_Audit!$A:$A,My_Audit!C:C,""),
_xlfn.IFS(_xlpm.MyAuditVal&lt;&gt;"",_xlpm.MyAuditVal,_xlpm.MacVal&lt;&gt;"",_xlpm.MacVal,_xlpm.CSVVal&lt;&gt;"",_xlpm.CSVVal
)),"")</f>
        <v/>
      </c>
      <c r="E705" s="40" t="str">
        <f>_xlfn.XLOOKUP(A705,My_Audit!A:A,My_Audit!D:D,"")</f>
        <v/>
      </c>
      <c r="F705" s="40" t="str" cm="1">
        <f t="array" ref="F705">IFERROR(_xlfn.LET(
_xlpm.CSVVal,_xlfn.XLOOKUP($A705,CSV!$A:$A,CSV!F:F,""),
_xlpm.MacVal,_xlfn.XLOOKUP($A705,Output_Mac!$A:$A,Output_Mac!E:E,""),
_xlpm.MyAuditVal,_xlfn.XLOOKUP($A705,My_Audit!$A:$A,My_Audit!E:E,""),
_xlfn.IFS(_xlpm.MyAuditVal&lt;&gt;"",_xlpm.MyAuditVal,_xlpm.MacVal&lt;&gt;"",_xlpm.MacVal,_xlpm.CSVVal&lt;&gt;"",_xlpm.CSVVal
)),"")</f>
        <v/>
      </c>
      <c r="G705" s="40" t="str" cm="1">
        <f t="array" ref="G705">IFERROR(_xlfn.LET(
_xlpm.CSVVal,_xlfn.XLOOKUP($A705,CSV!$A:$A,CSV!G:G,""),
_xlpm.MacVal,_xlfn.XLOOKUP($A705,Output_Mac!$A:$A,Output_Mac!F:F,""),
_xlpm.MyAuditVal,_xlfn.XLOOKUP($A705,My_Audit!$A:$A,My_Audit!F:F,""),
_xlfn.IFS(_xlpm.MyAuditVal&lt;&gt;"",_xlpm.MyAuditVal,_xlpm.MacVal&lt;&gt;"",_xlpm.MacVal,_xlpm.CSVVal&lt;&gt;"",PROPER(_xlpm.CSVVal)
)),"")</f>
        <v/>
      </c>
      <c r="H705" s="40" t="str" cm="1">
        <f t="array" ref="H705">IFERROR(_xlfn.LET(
_xlpm.CSVVal,_xlfn.XLOOKUP($A705,CSV!$A:$A,CSV!H:H,""),
_xlpm.MacVal,_xlfn.XLOOKUP($A705,Output_Mac!$A:$A,Output_Mac!H:H,""),
_xlpm.MyAuditVal,_xlfn.XLOOKUP($A705,My_Audit!$A:$A,My_Audit!G:G,""),
_xlfn.IFS(_xlpm.MyAuditVal&lt;&gt;"",_xlpm.MyAuditVal,_xlpm.MacVal&lt;&gt;"",_xlpm.MacVal,_xlpm.CSVVal&lt;&gt;"",_xlpm.CSVVal
)),"")</f>
        <v/>
      </c>
      <c r="I705" s="40" t="str">
        <f>_xlfn.XLOOKUP(A705,Output_Mac!A:A,Output_Mac!I:I,"")</f>
        <v/>
      </c>
      <c r="J705" s="40" t="str" cm="1">
        <f t="array" ref="J705">IFERROR(_xlfn.LET(
_xlpm.CSVVal,_xlfn.XLOOKUP($A705,CSV!$A:$A,CSV!I:I,""),
_xlpm.MacVal,_xlfn.XLOOKUP($A705,Output_Mac!$A:$A,Output_Mac!J:J,""),
_xlpm.MyAuditVal,_xlfn.XLOOKUP($A705,My_Audit!$A:$A,My_Audit!I:I,""),
_xlfn.IFS(_xlpm.MyAuditVal&lt;&gt;"",UPPER(_xlpm.MyAuditVal),_xlpm.MacVal&lt;&gt;"",_xlpm.MacVal,_xlpm.CSVVal&lt;&gt;"",_xlpm.CSVVal
)),"")</f>
        <v/>
      </c>
      <c r="K705" s="40" t="str" cm="1">
        <f t="array" ref="K705">IFERROR(_xlfn.LET(
_xlpm.CSVVal,_xlfn.XLOOKUP($A705,CSV!$A:$A,CSV!K:K,""),
_xlpm.MacVal,_xlfn.XLOOKUP($A705,Output_Mac!$A:$A,Output_Mac!K:K,""),
_xlpm.MyAuditVal,_xlfn.XLOOKUP($A705,My_Audit!$A:$A,My_Audit!J:J,""),
_xlfn.IFS(_xlpm.MyAuditVal&lt;&gt;"",UPPER(_xlpm.MyAuditVal),_xlpm.MacVal&lt;&gt;"",_xlpm.MacVal,_xlpm.CSVVal&lt;&gt;"",_xlpm.CSVVal
)),"")</f>
        <v/>
      </c>
      <c r="L705" s="40" t="str" cm="1">
        <f t="array" ref="L705">IFERROR(_xlfn.LET(
_xlpm.CSVVal,_xlfn.XLOOKUP($A705,CSV!$A:$A,CSV!P:P,""),
_xlpm.MacVal,_xlfn.XLOOKUP($A705,Output_Mac!$A:$A,Output_Mac!L:L,""),
_xlpm.MyAuditVal,_xlfn.XLOOKUP($A705,My_Audit!$A:$A,My_Audit!K:K,""),
_xlfn.IFS(_xlpm.MyAuditVal&lt;&gt;"",UPPER(_xlpm.MyAuditVal),_xlpm.MacVal&lt;&gt;"",_xlpm.MacVal,_xlpm.CSVVal&lt;&gt;"",_xlpm.CSVVal
)),"")</f>
        <v/>
      </c>
      <c r="M705" s="40" t="str" cm="1">
        <f t="array" ref="M705">IFERROR(_xlfn.LET(
_xlpm.CSVVal,_xlfn.XLOOKUP($A705,CSV!$A:$A,CSV!Q:Q,""),
_xlpm.MacVal,_xlfn.XLOOKUP($A705,Output_Mac!$A:$A,Output_Mac!M:M,""),
_xlpm.MyAuditVal,_xlfn.XLOOKUP($A705,My_Audit!$A:$A,My_Audit!L:L,""),
_xlfn.IFS(_xlpm.MyAuditVal&lt;&gt;"",UPPER(_xlpm.MyAuditVal),_xlpm.MacVal&lt;&gt;"",_xlpm.MacVal,_xlpm.CSVVal&lt;&gt;"",_xlpm.CSVVal
)),"")</f>
        <v/>
      </c>
      <c r="N705" s="40"/>
      <c r="O705" s="40" t="str">
        <f>_xlfn.LET(
    _xlpm.CSVVal, _xlfn.XLOOKUP($A705, CSV!$A:$A, CSV!AA:AA, ""),
    _xlpm.MacVal, _xlfn.XLOOKUP($A705, Output_Mac!$A:$A, Output_Mac!S:S, ""),
    _xlpm.MyAuditVal, _xlfn.XLOOKUP($A705, My_Audit!$A:$A, My_Audit!P:P, ""),
    _xlfn.TEXTJOIN(", ", TRUE, _xlpm.MyAuditVal, _xlpm.MacVal, _xlpm.CSVVal)
)</f>
        <v/>
      </c>
      <c r="P705" s="40" t="str" cm="1">
        <f t="array" ref="P705">IFERROR(_xlfn.LET(
_xlpm.CSVVal,_xlfn.XLOOKUP($A705,CSV!$A:$A,CSV!AB:AB,""),
_xlpm.MacVal,_xlfn.XLOOKUP($A705,Output_Mac!$A:$A,Output_Mac!T:T,""),
_xlpm.MyAuditVal,_xlfn.XLOOKUP($A705,My_Audit!$A:$A,My_Audit!Q:Q,""),
_xlfn.IFS(_xlpm.MyAuditVal&lt;&gt;"",UPPER(_xlpm.MyAuditVal),_xlpm.MacVal&lt;&gt;"",_xlpm.MacVal,_xlpm.CSVVal&lt;&gt;"",_xlpm.CSVVal
)),"No")</f>
        <v>No</v>
      </c>
      <c r="Q705" s="40" t="str" cm="1">
        <f t="array" ref="Q705">IFERROR(_xlfn.LET(
_xlpm.CSVVal,_xlfn.XLOOKUP($A705,CSV!$A:$A,CSV!AC:AC,""),
_xlpm.MacVal,_xlfn.XLOOKUP($A705,Output_Mac!$A:$A,Output_Mac!U:U,""),
_xlpm.MyAuditVal,_xlfn.XLOOKUP($A705,My_Audit!$A:$A,My_Audit!R:R,""),
_xlfn.IFS(_xlpm.MyAuditVal&lt;&gt;"",UPPER(_xlpm.MyAuditVal),_xlpm.MacVal&lt;&gt;"",_xlpm.MacVal,_xlpm.CSVVal&lt;&gt;"",_xlpm.CSVVal
)),"")</f>
        <v/>
      </c>
      <c r="R705" s="40"/>
      <c r="S705" s="40"/>
      <c r="T705" s="40"/>
      <c r="U705" s="40"/>
      <c r="V705" s="40"/>
      <c r="W705" s="40"/>
      <c r="X705" s="41" t="str">
        <f>_xlfn.LET(
    _xlpm.MacVal, _xlfn.XLOOKUP($A705, Output_Mac!$A:$A, Output_Mac!AB:AB, ""),
    _xlpm.MyAuditVal, _xlfn.XLOOKUP($A705, My_Audit!$A:$A, My_Audit!N:N, ""),
    _xlfn.TEXTJOIN(", ", TRUE, _xlpm.MyAuditVal, _xlpm.MacVal)
)</f>
        <v/>
      </c>
    </row>
    <row r="706" spans="1:24">
      <c r="A706" s="40" t="str">
        <f>_xlfn.TEXTJOIN("",TRUE,Input!$B$2,ROW(My_Audit!A705))</f>
        <v>X705</v>
      </c>
      <c r="B706" s="40" t="str">
        <f>_xlfn.TEXTJOIN("-",TRUE,"ITD",Input!$A$2,A706)</f>
        <v>ITD-X705</v>
      </c>
      <c r="C706" s="40" t="str" cm="1">
        <f t="array" ref="C706">IFERROR(_xlfn.LET(
_xlpm.CSVVal,_xlfn.XLOOKUP($A706,CSV!$A:$A,CSV!B:B,""),
_xlpm.MacVal,_xlfn.XLOOKUP($A706,Output_Mac!$A:$A,Output_Mac!B:B,""),
_xlpm.MyAuditVal,_xlfn.XLOOKUP($A706,My_Audit!$A:$A,My_Audit!B:B,""),
_xlfn.IFS(_xlpm.MyAuditVal&lt;&gt;"",UPPER(_xlpm.MyAuditVal),_xlpm.MacVal&lt;&gt;"",_xlpm.MacVal,_xlpm.CSVVal&lt;&gt;"",_xlpm.CSVVal
)),"")</f>
        <v/>
      </c>
      <c r="D706" s="40" t="str" cm="1">
        <f t="array" ref="D706">IFERROR(_xlfn.LET(
_xlpm.CSVVal,_xlfn.XLOOKUP($A706,CSV!$A:$A,CSV!D:D,""),
_xlpm.MacVal,_xlfn.XLOOKUP($A706,Output_Mac!$A:$A,Output_Mac!C:C,""),
_xlpm.MyAuditVal,_xlfn.XLOOKUP($A706,My_Audit!$A:$A,My_Audit!C:C,""),
_xlfn.IFS(_xlpm.MyAuditVal&lt;&gt;"",_xlpm.MyAuditVal,_xlpm.MacVal&lt;&gt;"",_xlpm.MacVal,_xlpm.CSVVal&lt;&gt;"",_xlpm.CSVVal
)),"")</f>
        <v/>
      </c>
      <c r="E706" s="40" t="str">
        <f>_xlfn.XLOOKUP(A706,My_Audit!A:A,My_Audit!D:D,"")</f>
        <v/>
      </c>
      <c r="F706" s="40" t="str" cm="1">
        <f t="array" ref="F706">IFERROR(_xlfn.LET(
_xlpm.CSVVal,_xlfn.XLOOKUP($A706,CSV!$A:$A,CSV!F:F,""),
_xlpm.MacVal,_xlfn.XLOOKUP($A706,Output_Mac!$A:$A,Output_Mac!E:E,""),
_xlpm.MyAuditVal,_xlfn.XLOOKUP($A706,My_Audit!$A:$A,My_Audit!E:E,""),
_xlfn.IFS(_xlpm.MyAuditVal&lt;&gt;"",_xlpm.MyAuditVal,_xlpm.MacVal&lt;&gt;"",_xlpm.MacVal,_xlpm.CSVVal&lt;&gt;"",_xlpm.CSVVal
)),"")</f>
        <v/>
      </c>
      <c r="G706" s="40" t="str" cm="1">
        <f t="array" ref="G706">IFERROR(_xlfn.LET(
_xlpm.CSVVal,_xlfn.XLOOKUP($A706,CSV!$A:$A,CSV!G:G,""),
_xlpm.MacVal,_xlfn.XLOOKUP($A706,Output_Mac!$A:$A,Output_Mac!F:F,""),
_xlpm.MyAuditVal,_xlfn.XLOOKUP($A706,My_Audit!$A:$A,My_Audit!F:F,""),
_xlfn.IFS(_xlpm.MyAuditVal&lt;&gt;"",_xlpm.MyAuditVal,_xlpm.MacVal&lt;&gt;"",_xlpm.MacVal,_xlpm.CSVVal&lt;&gt;"",PROPER(_xlpm.CSVVal)
)),"")</f>
        <v/>
      </c>
      <c r="H706" s="40" t="str" cm="1">
        <f t="array" ref="H706">IFERROR(_xlfn.LET(
_xlpm.CSVVal,_xlfn.XLOOKUP($A706,CSV!$A:$A,CSV!H:H,""),
_xlpm.MacVal,_xlfn.XLOOKUP($A706,Output_Mac!$A:$A,Output_Mac!H:H,""),
_xlpm.MyAuditVal,_xlfn.XLOOKUP($A706,My_Audit!$A:$A,My_Audit!G:G,""),
_xlfn.IFS(_xlpm.MyAuditVal&lt;&gt;"",_xlpm.MyAuditVal,_xlpm.MacVal&lt;&gt;"",_xlpm.MacVal,_xlpm.CSVVal&lt;&gt;"",_xlpm.CSVVal
)),"")</f>
        <v/>
      </c>
      <c r="I706" s="40" t="str">
        <f>_xlfn.XLOOKUP(A706,Output_Mac!A:A,Output_Mac!I:I,"")</f>
        <v/>
      </c>
      <c r="J706" s="40" t="str" cm="1">
        <f t="array" ref="J706">IFERROR(_xlfn.LET(
_xlpm.CSVVal,_xlfn.XLOOKUP($A706,CSV!$A:$A,CSV!I:I,""),
_xlpm.MacVal,_xlfn.XLOOKUP($A706,Output_Mac!$A:$A,Output_Mac!J:J,""),
_xlpm.MyAuditVal,_xlfn.XLOOKUP($A706,My_Audit!$A:$A,My_Audit!I:I,""),
_xlfn.IFS(_xlpm.MyAuditVal&lt;&gt;"",UPPER(_xlpm.MyAuditVal),_xlpm.MacVal&lt;&gt;"",_xlpm.MacVal,_xlpm.CSVVal&lt;&gt;"",_xlpm.CSVVal
)),"")</f>
        <v/>
      </c>
      <c r="K706" s="40" t="str" cm="1">
        <f t="array" ref="K706">IFERROR(_xlfn.LET(
_xlpm.CSVVal,_xlfn.XLOOKUP($A706,CSV!$A:$A,CSV!K:K,""),
_xlpm.MacVal,_xlfn.XLOOKUP($A706,Output_Mac!$A:$A,Output_Mac!K:K,""),
_xlpm.MyAuditVal,_xlfn.XLOOKUP($A706,My_Audit!$A:$A,My_Audit!J:J,""),
_xlfn.IFS(_xlpm.MyAuditVal&lt;&gt;"",UPPER(_xlpm.MyAuditVal),_xlpm.MacVal&lt;&gt;"",_xlpm.MacVal,_xlpm.CSVVal&lt;&gt;"",_xlpm.CSVVal
)),"")</f>
        <v/>
      </c>
      <c r="L706" s="40" t="str" cm="1">
        <f t="array" ref="L706">IFERROR(_xlfn.LET(
_xlpm.CSVVal,_xlfn.XLOOKUP($A706,CSV!$A:$A,CSV!P:P,""),
_xlpm.MacVal,_xlfn.XLOOKUP($A706,Output_Mac!$A:$A,Output_Mac!L:L,""),
_xlpm.MyAuditVal,_xlfn.XLOOKUP($A706,My_Audit!$A:$A,My_Audit!K:K,""),
_xlfn.IFS(_xlpm.MyAuditVal&lt;&gt;"",UPPER(_xlpm.MyAuditVal),_xlpm.MacVal&lt;&gt;"",_xlpm.MacVal,_xlpm.CSVVal&lt;&gt;"",_xlpm.CSVVal
)),"")</f>
        <v/>
      </c>
      <c r="M706" s="40" t="str" cm="1">
        <f t="array" ref="M706">IFERROR(_xlfn.LET(
_xlpm.CSVVal,_xlfn.XLOOKUP($A706,CSV!$A:$A,CSV!Q:Q,""),
_xlpm.MacVal,_xlfn.XLOOKUP($A706,Output_Mac!$A:$A,Output_Mac!M:M,""),
_xlpm.MyAuditVal,_xlfn.XLOOKUP($A706,My_Audit!$A:$A,My_Audit!L:L,""),
_xlfn.IFS(_xlpm.MyAuditVal&lt;&gt;"",UPPER(_xlpm.MyAuditVal),_xlpm.MacVal&lt;&gt;"",_xlpm.MacVal,_xlpm.CSVVal&lt;&gt;"",_xlpm.CSVVal
)),"")</f>
        <v/>
      </c>
      <c r="N706" s="40"/>
      <c r="O706" s="40" t="str">
        <f>_xlfn.LET(
    _xlpm.CSVVal, _xlfn.XLOOKUP($A706, CSV!$A:$A, CSV!AA:AA, ""),
    _xlpm.MacVal, _xlfn.XLOOKUP($A706, Output_Mac!$A:$A, Output_Mac!S:S, ""),
    _xlpm.MyAuditVal, _xlfn.XLOOKUP($A706, My_Audit!$A:$A, My_Audit!P:P, ""),
    _xlfn.TEXTJOIN(", ", TRUE, _xlpm.MyAuditVal, _xlpm.MacVal, _xlpm.CSVVal)
)</f>
        <v/>
      </c>
      <c r="P706" s="40" t="str" cm="1">
        <f t="array" ref="P706">IFERROR(_xlfn.LET(
_xlpm.CSVVal,_xlfn.XLOOKUP($A706,CSV!$A:$A,CSV!AB:AB,""),
_xlpm.MacVal,_xlfn.XLOOKUP($A706,Output_Mac!$A:$A,Output_Mac!T:T,""),
_xlpm.MyAuditVal,_xlfn.XLOOKUP($A706,My_Audit!$A:$A,My_Audit!Q:Q,""),
_xlfn.IFS(_xlpm.MyAuditVal&lt;&gt;"",UPPER(_xlpm.MyAuditVal),_xlpm.MacVal&lt;&gt;"",_xlpm.MacVal,_xlpm.CSVVal&lt;&gt;"",_xlpm.CSVVal
)),"No")</f>
        <v>No</v>
      </c>
      <c r="Q706" s="40" t="str" cm="1">
        <f t="array" ref="Q706">IFERROR(_xlfn.LET(
_xlpm.CSVVal,_xlfn.XLOOKUP($A706,CSV!$A:$A,CSV!AC:AC,""),
_xlpm.MacVal,_xlfn.XLOOKUP($A706,Output_Mac!$A:$A,Output_Mac!U:U,""),
_xlpm.MyAuditVal,_xlfn.XLOOKUP($A706,My_Audit!$A:$A,My_Audit!R:R,""),
_xlfn.IFS(_xlpm.MyAuditVal&lt;&gt;"",UPPER(_xlpm.MyAuditVal),_xlpm.MacVal&lt;&gt;"",_xlpm.MacVal,_xlpm.CSVVal&lt;&gt;"",_xlpm.CSVVal
)),"")</f>
        <v/>
      </c>
      <c r="R706" s="40"/>
      <c r="S706" s="40"/>
      <c r="T706" s="40"/>
      <c r="U706" s="40"/>
      <c r="V706" s="40"/>
      <c r="W706" s="40"/>
      <c r="X706" s="41" t="str">
        <f>_xlfn.LET(
    _xlpm.MacVal, _xlfn.XLOOKUP($A706, Output_Mac!$A:$A, Output_Mac!AB:AB, ""),
    _xlpm.MyAuditVal, _xlfn.XLOOKUP($A706, My_Audit!$A:$A, My_Audit!N:N, ""),
    _xlfn.TEXTJOIN(", ", TRUE, _xlpm.MyAuditVal, _xlpm.MacVal)
)</f>
        <v/>
      </c>
    </row>
    <row r="707" spans="1:24">
      <c r="A707" s="40" t="str">
        <f>_xlfn.TEXTJOIN("",TRUE,Input!$B$2,ROW(My_Audit!A706))</f>
        <v>X706</v>
      </c>
      <c r="B707" s="40" t="str">
        <f>_xlfn.TEXTJOIN("-",TRUE,"ITD",Input!$A$2,A707)</f>
        <v>ITD-X706</v>
      </c>
      <c r="C707" s="40" t="str" cm="1">
        <f t="array" ref="C707">IFERROR(_xlfn.LET(
_xlpm.CSVVal,_xlfn.XLOOKUP($A707,CSV!$A:$A,CSV!B:B,""),
_xlpm.MacVal,_xlfn.XLOOKUP($A707,Output_Mac!$A:$A,Output_Mac!B:B,""),
_xlpm.MyAuditVal,_xlfn.XLOOKUP($A707,My_Audit!$A:$A,My_Audit!B:B,""),
_xlfn.IFS(_xlpm.MyAuditVal&lt;&gt;"",UPPER(_xlpm.MyAuditVal),_xlpm.MacVal&lt;&gt;"",_xlpm.MacVal,_xlpm.CSVVal&lt;&gt;"",_xlpm.CSVVal
)),"")</f>
        <v/>
      </c>
      <c r="D707" s="40" t="str" cm="1">
        <f t="array" ref="D707">IFERROR(_xlfn.LET(
_xlpm.CSVVal,_xlfn.XLOOKUP($A707,CSV!$A:$A,CSV!D:D,""),
_xlpm.MacVal,_xlfn.XLOOKUP($A707,Output_Mac!$A:$A,Output_Mac!C:C,""),
_xlpm.MyAuditVal,_xlfn.XLOOKUP($A707,My_Audit!$A:$A,My_Audit!C:C,""),
_xlfn.IFS(_xlpm.MyAuditVal&lt;&gt;"",_xlpm.MyAuditVal,_xlpm.MacVal&lt;&gt;"",_xlpm.MacVal,_xlpm.CSVVal&lt;&gt;"",_xlpm.CSVVal
)),"")</f>
        <v/>
      </c>
      <c r="E707" s="40" t="str">
        <f>_xlfn.XLOOKUP(A707,My_Audit!A:A,My_Audit!D:D,"")</f>
        <v/>
      </c>
      <c r="F707" s="40" t="str" cm="1">
        <f t="array" ref="F707">IFERROR(_xlfn.LET(
_xlpm.CSVVal,_xlfn.XLOOKUP($A707,CSV!$A:$A,CSV!F:F,""),
_xlpm.MacVal,_xlfn.XLOOKUP($A707,Output_Mac!$A:$A,Output_Mac!E:E,""),
_xlpm.MyAuditVal,_xlfn.XLOOKUP($A707,My_Audit!$A:$A,My_Audit!E:E,""),
_xlfn.IFS(_xlpm.MyAuditVal&lt;&gt;"",_xlpm.MyAuditVal,_xlpm.MacVal&lt;&gt;"",_xlpm.MacVal,_xlpm.CSVVal&lt;&gt;"",_xlpm.CSVVal
)),"")</f>
        <v/>
      </c>
      <c r="G707" s="40" t="str" cm="1">
        <f t="array" ref="G707">IFERROR(_xlfn.LET(
_xlpm.CSVVal,_xlfn.XLOOKUP($A707,CSV!$A:$A,CSV!G:G,""),
_xlpm.MacVal,_xlfn.XLOOKUP($A707,Output_Mac!$A:$A,Output_Mac!F:F,""),
_xlpm.MyAuditVal,_xlfn.XLOOKUP($A707,My_Audit!$A:$A,My_Audit!F:F,""),
_xlfn.IFS(_xlpm.MyAuditVal&lt;&gt;"",_xlpm.MyAuditVal,_xlpm.MacVal&lt;&gt;"",_xlpm.MacVal,_xlpm.CSVVal&lt;&gt;"",PROPER(_xlpm.CSVVal)
)),"")</f>
        <v/>
      </c>
      <c r="H707" s="40" t="str" cm="1">
        <f t="array" ref="H707">IFERROR(_xlfn.LET(
_xlpm.CSVVal,_xlfn.XLOOKUP($A707,CSV!$A:$A,CSV!H:H,""),
_xlpm.MacVal,_xlfn.XLOOKUP($A707,Output_Mac!$A:$A,Output_Mac!H:H,""),
_xlpm.MyAuditVal,_xlfn.XLOOKUP($A707,My_Audit!$A:$A,My_Audit!G:G,""),
_xlfn.IFS(_xlpm.MyAuditVal&lt;&gt;"",_xlpm.MyAuditVal,_xlpm.MacVal&lt;&gt;"",_xlpm.MacVal,_xlpm.CSVVal&lt;&gt;"",_xlpm.CSVVal
)),"")</f>
        <v/>
      </c>
      <c r="I707" s="40" t="str">
        <f>_xlfn.XLOOKUP(A707,Output_Mac!A:A,Output_Mac!I:I,"")</f>
        <v/>
      </c>
      <c r="J707" s="40" t="str" cm="1">
        <f t="array" ref="J707">IFERROR(_xlfn.LET(
_xlpm.CSVVal,_xlfn.XLOOKUP($A707,CSV!$A:$A,CSV!I:I,""),
_xlpm.MacVal,_xlfn.XLOOKUP($A707,Output_Mac!$A:$A,Output_Mac!J:J,""),
_xlpm.MyAuditVal,_xlfn.XLOOKUP($A707,My_Audit!$A:$A,My_Audit!I:I,""),
_xlfn.IFS(_xlpm.MyAuditVal&lt;&gt;"",UPPER(_xlpm.MyAuditVal),_xlpm.MacVal&lt;&gt;"",_xlpm.MacVal,_xlpm.CSVVal&lt;&gt;"",_xlpm.CSVVal
)),"")</f>
        <v/>
      </c>
      <c r="K707" s="40" t="str" cm="1">
        <f t="array" ref="K707">IFERROR(_xlfn.LET(
_xlpm.CSVVal,_xlfn.XLOOKUP($A707,CSV!$A:$A,CSV!K:K,""),
_xlpm.MacVal,_xlfn.XLOOKUP($A707,Output_Mac!$A:$A,Output_Mac!K:K,""),
_xlpm.MyAuditVal,_xlfn.XLOOKUP($A707,My_Audit!$A:$A,My_Audit!J:J,""),
_xlfn.IFS(_xlpm.MyAuditVal&lt;&gt;"",UPPER(_xlpm.MyAuditVal),_xlpm.MacVal&lt;&gt;"",_xlpm.MacVal,_xlpm.CSVVal&lt;&gt;"",_xlpm.CSVVal
)),"")</f>
        <v/>
      </c>
      <c r="L707" s="40" t="str" cm="1">
        <f t="array" ref="L707">IFERROR(_xlfn.LET(
_xlpm.CSVVal,_xlfn.XLOOKUP($A707,CSV!$A:$A,CSV!P:P,""),
_xlpm.MacVal,_xlfn.XLOOKUP($A707,Output_Mac!$A:$A,Output_Mac!L:L,""),
_xlpm.MyAuditVal,_xlfn.XLOOKUP($A707,My_Audit!$A:$A,My_Audit!K:K,""),
_xlfn.IFS(_xlpm.MyAuditVal&lt;&gt;"",UPPER(_xlpm.MyAuditVal),_xlpm.MacVal&lt;&gt;"",_xlpm.MacVal,_xlpm.CSVVal&lt;&gt;"",_xlpm.CSVVal
)),"")</f>
        <v/>
      </c>
      <c r="M707" s="40" t="str" cm="1">
        <f t="array" ref="M707">IFERROR(_xlfn.LET(
_xlpm.CSVVal,_xlfn.XLOOKUP($A707,CSV!$A:$A,CSV!Q:Q,""),
_xlpm.MacVal,_xlfn.XLOOKUP($A707,Output_Mac!$A:$A,Output_Mac!M:M,""),
_xlpm.MyAuditVal,_xlfn.XLOOKUP($A707,My_Audit!$A:$A,My_Audit!L:L,""),
_xlfn.IFS(_xlpm.MyAuditVal&lt;&gt;"",UPPER(_xlpm.MyAuditVal),_xlpm.MacVal&lt;&gt;"",_xlpm.MacVal,_xlpm.CSVVal&lt;&gt;"",_xlpm.CSVVal
)),"")</f>
        <v/>
      </c>
      <c r="N707" s="40"/>
      <c r="O707" s="40" t="str">
        <f>_xlfn.LET(
    _xlpm.CSVVal, _xlfn.XLOOKUP($A707, CSV!$A:$A, CSV!AA:AA, ""),
    _xlpm.MacVal, _xlfn.XLOOKUP($A707, Output_Mac!$A:$A, Output_Mac!S:S, ""),
    _xlpm.MyAuditVal, _xlfn.XLOOKUP($A707, My_Audit!$A:$A, My_Audit!P:P, ""),
    _xlfn.TEXTJOIN(", ", TRUE, _xlpm.MyAuditVal, _xlpm.MacVal, _xlpm.CSVVal)
)</f>
        <v/>
      </c>
      <c r="P707" s="40" t="str" cm="1">
        <f t="array" ref="P707">IFERROR(_xlfn.LET(
_xlpm.CSVVal,_xlfn.XLOOKUP($A707,CSV!$A:$A,CSV!AB:AB,""),
_xlpm.MacVal,_xlfn.XLOOKUP($A707,Output_Mac!$A:$A,Output_Mac!T:T,""),
_xlpm.MyAuditVal,_xlfn.XLOOKUP($A707,My_Audit!$A:$A,My_Audit!Q:Q,""),
_xlfn.IFS(_xlpm.MyAuditVal&lt;&gt;"",UPPER(_xlpm.MyAuditVal),_xlpm.MacVal&lt;&gt;"",_xlpm.MacVal,_xlpm.CSVVal&lt;&gt;"",_xlpm.CSVVal
)),"No")</f>
        <v>No</v>
      </c>
      <c r="Q707" s="40" t="str" cm="1">
        <f t="array" ref="Q707">IFERROR(_xlfn.LET(
_xlpm.CSVVal,_xlfn.XLOOKUP($A707,CSV!$A:$A,CSV!AC:AC,""),
_xlpm.MacVal,_xlfn.XLOOKUP($A707,Output_Mac!$A:$A,Output_Mac!U:U,""),
_xlpm.MyAuditVal,_xlfn.XLOOKUP($A707,My_Audit!$A:$A,My_Audit!R:R,""),
_xlfn.IFS(_xlpm.MyAuditVal&lt;&gt;"",UPPER(_xlpm.MyAuditVal),_xlpm.MacVal&lt;&gt;"",_xlpm.MacVal,_xlpm.CSVVal&lt;&gt;"",_xlpm.CSVVal
)),"")</f>
        <v/>
      </c>
      <c r="R707" s="40"/>
      <c r="S707" s="40"/>
      <c r="T707" s="40"/>
      <c r="U707" s="40"/>
      <c r="V707" s="40"/>
      <c r="W707" s="40"/>
      <c r="X707" s="41" t="str">
        <f>_xlfn.LET(
    _xlpm.MacVal, _xlfn.XLOOKUP($A707, Output_Mac!$A:$A, Output_Mac!AB:AB, ""),
    _xlpm.MyAuditVal, _xlfn.XLOOKUP($A707, My_Audit!$A:$A, My_Audit!N:N, ""),
    _xlfn.TEXTJOIN(", ", TRUE, _xlpm.MyAuditVal, _xlpm.MacVal)
)</f>
        <v/>
      </c>
    </row>
    <row r="708" spans="1:24">
      <c r="A708" s="40" t="str">
        <f>_xlfn.TEXTJOIN("",TRUE,Input!$B$2,ROW(My_Audit!A707))</f>
        <v>X707</v>
      </c>
      <c r="B708" s="40" t="str">
        <f>_xlfn.TEXTJOIN("-",TRUE,"ITD",Input!$A$2,A708)</f>
        <v>ITD-X707</v>
      </c>
      <c r="C708" s="40" t="str" cm="1">
        <f t="array" ref="C708">IFERROR(_xlfn.LET(
_xlpm.CSVVal,_xlfn.XLOOKUP($A708,CSV!$A:$A,CSV!B:B,""),
_xlpm.MacVal,_xlfn.XLOOKUP($A708,Output_Mac!$A:$A,Output_Mac!B:B,""),
_xlpm.MyAuditVal,_xlfn.XLOOKUP($A708,My_Audit!$A:$A,My_Audit!B:B,""),
_xlfn.IFS(_xlpm.MyAuditVal&lt;&gt;"",UPPER(_xlpm.MyAuditVal),_xlpm.MacVal&lt;&gt;"",_xlpm.MacVal,_xlpm.CSVVal&lt;&gt;"",_xlpm.CSVVal
)),"")</f>
        <v/>
      </c>
      <c r="D708" s="40" t="str" cm="1">
        <f t="array" ref="D708">IFERROR(_xlfn.LET(
_xlpm.CSVVal,_xlfn.XLOOKUP($A708,CSV!$A:$A,CSV!D:D,""),
_xlpm.MacVal,_xlfn.XLOOKUP($A708,Output_Mac!$A:$A,Output_Mac!C:C,""),
_xlpm.MyAuditVal,_xlfn.XLOOKUP($A708,My_Audit!$A:$A,My_Audit!C:C,""),
_xlfn.IFS(_xlpm.MyAuditVal&lt;&gt;"",_xlpm.MyAuditVal,_xlpm.MacVal&lt;&gt;"",_xlpm.MacVal,_xlpm.CSVVal&lt;&gt;"",_xlpm.CSVVal
)),"")</f>
        <v/>
      </c>
      <c r="E708" s="40" t="str">
        <f>_xlfn.XLOOKUP(A708,My_Audit!A:A,My_Audit!D:D,"")</f>
        <v/>
      </c>
      <c r="F708" s="40" t="str" cm="1">
        <f t="array" ref="F708">IFERROR(_xlfn.LET(
_xlpm.CSVVal,_xlfn.XLOOKUP($A708,CSV!$A:$A,CSV!F:F,""),
_xlpm.MacVal,_xlfn.XLOOKUP($A708,Output_Mac!$A:$A,Output_Mac!E:E,""),
_xlpm.MyAuditVal,_xlfn.XLOOKUP($A708,My_Audit!$A:$A,My_Audit!E:E,""),
_xlfn.IFS(_xlpm.MyAuditVal&lt;&gt;"",_xlpm.MyAuditVal,_xlpm.MacVal&lt;&gt;"",_xlpm.MacVal,_xlpm.CSVVal&lt;&gt;"",_xlpm.CSVVal
)),"")</f>
        <v/>
      </c>
      <c r="G708" s="40" t="str" cm="1">
        <f t="array" ref="G708">IFERROR(_xlfn.LET(
_xlpm.CSVVal,_xlfn.XLOOKUP($A708,CSV!$A:$A,CSV!G:G,""),
_xlpm.MacVal,_xlfn.XLOOKUP($A708,Output_Mac!$A:$A,Output_Mac!F:F,""),
_xlpm.MyAuditVal,_xlfn.XLOOKUP($A708,My_Audit!$A:$A,My_Audit!F:F,""),
_xlfn.IFS(_xlpm.MyAuditVal&lt;&gt;"",_xlpm.MyAuditVal,_xlpm.MacVal&lt;&gt;"",_xlpm.MacVal,_xlpm.CSVVal&lt;&gt;"",PROPER(_xlpm.CSVVal)
)),"")</f>
        <v/>
      </c>
      <c r="H708" s="40" t="str" cm="1">
        <f t="array" ref="H708">IFERROR(_xlfn.LET(
_xlpm.CSVVal,_xlfn.XLOOKUP($A708,CSV!$A:$A,CSV!H:H,""),
_xlpm.MacVal,_xlfn.XLOOKUP($A708,Output_Mac!$A:$A,Output_Mac!H:H,""),
_xlpm.MyAuditVal,_xlfn.XLOOKUP($A708,My_Audit!$A:$A,My_Audit!G:G,""),
_xlfn.IFS(_xlpm.MyAuditVal&lt;&gt;"",_xlpm.MyAuditVal,_xlpm.MacVal&lt;&gt;"",_xlpm.MacVal,_xlpm.CSVVal&lt;&gt;"",_xlpm.CSVVal
)),"")</f>
        <v/>
      </c>
      <c r="I708" s="40" t="str">
        <f>_xlfn.XLOOKUP(A708,Output_Mac!A:A,Output_Mac!I:I,"")</f>
        <v/>
      </c>
      <c r="J708" s="40" t="str" cm="1">
        <f t="array" ref="J708">IFERROR(_xlfn.LET(
_xlpm.CSVVal,_xlfn.XLOOKUP($A708,CSV!$A:$A,CSV!I:I,""),
_xlpm.MacVal,_xlfn.XLOOKUP($A708,Output_Mac!$A:$A,Output_Mac!J:J,""),
_xlpm.MyAuditVal,_xlfn.XLOOKUP($A708,My_Audit!$A:$A,My_Audit!I:I,""),
_xlfn.IFS(_xlpm.MyAuditVal&lt;&gt;"",UPPER(_xlpm.MyAuditVal),_xlpm.MacVal&lt;&gt;"",_xlpm.MacVal,_xlpm.CSVVal&lt;&gt;"",_xlpm.CSVVal
)),"")</f>
        <v/>
      </c>
      <c r="K708" s="40" t="str" cm="1">
        <f t="array" ref="K708">IFERROR(_xlfn.LET(
_xlpm.CSVVal,_xlfn.XLOOKUP($A708,CSV!$A:$A,CSV!K:K,""),
_xlpm.MacVal,_xlfn.XLOOKUP($A708,Output_Mac!$A:$A,Output_Mac!K:K,""),
_xlpm.MyAuditVal,_xlfn.XLOOKUP($A708,My_Audit!$A:$A,My_Audit!J:J,""),
_xlfn.IFS(_xlpm.MyAuditVal&lt;&gt;"",UPPER(_xlpm.MyAuditVal),_xlpm.MacVal&lt;&gt;"",_xlpm.MacVal,_xlpm.CSVVal&lt;&gt;"",_xlpm.CSVVal
)),"")</f>
        <v/>
      </c>
      <c r="L708" s="40" t="str" cm="1">
        <f t="array" ref="L708">IFERROR(_xlfn.LET(
_xlpm.CSVVal,_xlfn.XLOOKUP($A708,CSV!$A:$A,CSV!P:P,""),
_xlpm.MacVal,_xlfn.XLOOKUP($A708,Output_Mac!$A:$A,Output_Mac!L:L,""),
_xlpm.MyAuditVal,_xlfn.XLOOKUP($A708,My_Audit!$A:$A,My_Audit!K:K,""),
_xlfn.IFS(_xlpm.MyAuditVal&lt;&gt;"",UPPER(_xlpm.MyAuditVal),_xlpm.MacVal&lt;&gt;"",_xlpm.MacVal,_xlpm.CSVVal&lt;&gt;"",_xlpm.CSVVal
)),"")</f>
        <v/>
      </c>
      <c r="M708" s="40" t="str" cm="1">
        <f t="array" ref="M708">IFERROR(_xlfn.LET(
_xlpm.CSVVal,_xlfn.XLOOKUP($A708,CSV!$A:$A,CSV!Q:Q,""),
_xlpm.MacVal,_xlfn.XLOOKUP($A708,Output_Mac!$A:$A,Output_Mac!M:M,""),
_xlpm.MyAuditVal,_xlfn.XLOOKUP($A708,My_Audit!$A:$A,My_Audit!L:L,""),
_xlfn.IFS(_xlpm.MyAuditVal&lt;&gt;"",UPPER(_xlpm.MyAuditVal),_xlpm.MacVal&lt;&gt;"",_xlpm.MacVal,_xlpm.CSVVal&lt;&gt;"",_xlpm.CSVVal
)),"")</f>
        <v/>
      </c>
      <c r="N708" s="40"/>
      <c r="O708" s="40" t="str">
        <f>_xlfn.LET(
    _xlpm.CSVVal, _xlfn.XLOOKUP($A708, CSV!$A:$A, CSV!AA:AA, ""),
    _xlpm.MacVal, _xlfn.XLOOKUP($A708, Output_Mac!$A:$A, Output_Mac!S:S, ""),
    _xlpm.MyAuditVal, _xlfn.XLOOKUP($A708, My_Audit!$A:$A, My_Audit!P:P, ""),
    _xlfn.TEXTJOIN(", ", TRUE, _xlpm.MyAuditVal, _xlpm.MacVal, _xlpm.CSVVal)
)</f>
        <v/>
      </c>
      <c r="P708" s="40" t="str" cm="1">
        <f t="array" ref="P708">IFERROR(_xlfn.LET(
_xlpm.CSVVal,_xlfn.XLOOKUP($A708,CSV!$A:$A,CSV!AB:AB,""),
_xlpm.MacVal,_xlfn.XLOOKUP($A708,Output_Mac!$A:$A,Output_Mac!T:T,""),
_xlpm.MyAuditVal,_xlfn.XLOOKUP($A708,My_Audit!$A:$A,My_Audit!Q:Q,""),
_xlfn.IFS(_xlpm.MyAuditVal&lt;&gt;"",UPPER(_xlpm.MyAuditVal),_xlpm.MacVal&lt;&gt;"",_xlpm.MacVal,_xlpm.CSVVal&lt;&gt;"",_xlpm.CSVVal
)),"No")</f>
        <v>No</v>
      </c>
      <c r="Q708" s="40" t="str" cm="1">
        <f t="array" ref="Q708">IFERROR(_xlfn.LET(
_xlpm.CSVVal,_xlfn.XLOOKUP($A708,CSV!$A:$A,CSV!AC:AC,""),
_xlpm.MacVal,_xlfn.XLOOKUP($A708,Output_Mac!$A:$A,Output_Mac!U:U,""),
_xlpm.MyAuditVal,_xlfn.XLOOKUP($A708,My_Audit!$A:$A,My_Audit!R:R,""),
_xlfn.IFS(_xlpm.MyAuditVal&lt;&gt;"",UPPER(_xlpm.MyAuditVal),_xlpm.MacVal&lt;&gt;"",_xlpm.MacVal,_xlpm.CSVVal&lt;&gt;"",_xlpm.CSVVal
)),"")</f>
        <v/>
      </c>
      <c r="R708" s="40"/>
      <c r="S708" s="40"/>
      <c r="T708" s="40"/>
      <c r="U708" s="40"/>
      <c r="V708" s="40"/>
      <c r="W708" s="40"/>
      <c r="X708" s="41" t="str">
        <f>_xlfn.LET(
    _xlpm.MacVal, _xlfn.XLOOKUP($A708, Output_Mac!$A:$A, Output_Mac!AB:AB, ""),
    _xlpm.MyAuditVal, _xlfn.XLOOKUP($A708, My_Audit!$A:$A, My_Audit!N:N, ""),
    _xlfn.TEXTJOIN(", ", TRUE, _xlpm.MyAuditVal, _xlpm.MacVal)
)</f>
        <v/>
      </c>
    </row>
    <row r="709" spans="1:24">
      <c r="A709" s="40" t="str">
        <f>_xlfn.TEXTJOIN("",TRUE,Input!$B$2,ROW(My_Audit!A708))</f>
        <v>X708</v>
      </c>
      <c r="B709" s="40" t="str">
        <f>_xlfn.TEXTJOIN("-",TRUE,"ITD",Input!$A$2,A709)</f>
        <v>ITD-X708</v>
      </c>
      <c r="C709" s="40" t="str" cm="1">
        <f t="array" ref="C709">IFERROR(_xlfn.LET(
_xlpm.CSVVal,_xlfn.XLOOKUP($A709,CSV!$A:$A,CSV!B:B,""),
_xlpm.MacVal,_xlfn.XLOOKUP($A709,Output_Mac!$A:$A,Output_Mac!B:B,""),
_xlpm.MyAuditVal,_xlfn.XLOOKUP($A709,My_Audit!$A:$A,My_Audit!B:B,""),
_xlfn.IFS(_xlpm.MyAuditVal&lt;&gt;"",UPPER(_xlpm.MyAuditVal),_xlpm.MacVal&lt;&gt;"",_xlpm.MacVal,_xlpm.CSVVal&lt;&gt;"",_xlpm.CSVVal
)),"")</f>
        <v/>
      </c>
      <c r="D709" s="40" t="str" cm="1">
        <f t="array" ref="D709">IFERROR(_xlfn.LET(
_xlpm.CSVVal,_xlfn.XLOOKUP($A709,CSV!$A:$A,CSV!D:D,""),
_xlpm.MacVal,_xlfn.XLOOKUP($A709,Output_Mac!$A:$A,Output_Mac!C:C,""),
_xlpm.MyAuditVal,_xlfn.XLOOKUP($A709,My_Audit!$A:$A,My_Audit!C:C,""),
_xlfn.IFS(_xlpm.MyAuditVal&lt;&gt;"",_xlpm.MyAuditVal,_xlpm.MacVal&lt;&gt;"",_xlpm.MacVal,_xlpm.CSVVal&lt;&gt;"",_xlpm.CSVVal
)),"")</f>
        <v/>
      </c>
      <c r="E709" s="40" t="str">
        <f>_xlfn.XLOOKUP(A709,My_Audit!A:A,My_Audit!D:D,"")</f>
        <v/>
      </c>
      <c r="F709" s="40" t="str" cm="1">
        <f t="array" ref="F709">IFERROR(_xlfn.LET(
_xlpm.CSVVal,_xlfn.XLOOKUP($A709,CSV!$A:$A,CSV!F:F,""),
_xlpm.MacVal,_xlfn.XLOOKUP($A709,Output_Mac!$A:$A,Output_Mac!E:E,""),
_xlpm.MyAuditVal,_xlfn.XLOOKUP($A709,My_Audit!$A:$A,My_Audit!E:E,""),
_xlfn.IFS(_xlpm.MyAuditVal&lt;&gt;"",_xlpm.MyAuditVal,_xlpm.MacVal&lt;&gt;"",_xlpm.MacVal,_xlpm.CSVVal&lt;&gt;"",_xlpm.CSVVal
)),"")</f>
        <v/>
      </c>
      <c r="G709" s="40" t="str" cm="1">
        <f t="array" ref="G709">IFERROR(_xlfn.LET(
_xlpm.CSVVal,_xlfn.XLOOKUP($A709,CSV!$A:$A,CSV!G:G,""),
_xlpm.MacVal,_xlfn.XLOOKUP($A709,Output_Mac!$A:$A,Output_Mac!F:F,""),
_xlpm.MyAuditVal,_xlfn.XLOOKUP($A709,My_Audit!$A:$A,My_Audit!F:F,""),
_xlfn.IFS(_xlpm.MyAuditVal&lt;&gt;"",_xlpm.MyAuditVal,_xlpm.MacVal&lt;&gt;"",_xlpm.MacVal,_xlpm.CSVVal&lt;&gt;"",PROPER(_xlpm.CSVVal)
)),"")</f>
        <v/>
      </c>
      <c r="H709" s="40" t="str" cm="1">
        <f t="array" ref="H709">IFERROR(_xlfn.LET(
_xlpm.CSVVal,_xlfn.XLOOKUP($A709,CSV!$A:$A,CSV!H:H,""),
_xlpm.MacVal,_xlfn.XLOOKUP($A709,Output_Mac!$A:$A,Output_Mac!H:H,""),
_xlpm.MyAuditVal,_xlfn.XLOOKUP($A709,My_Audit!$A:$A,My_Audit!G:G,""),
_xlfn.IFS(_xlpm.MyAuditVal&lt;&gt;"",_xlpm.MyAuditVal,_xlpm.MacVal&lt;&gt;"",_xlpm.MacVal,_xlpm.CSVVal&lt;&gt;"",_xlpm.CSVVal
)),"")</f>
        <v/>
      </c>
      <c r="I709" s="40" t="str">
        <f>_xlfn.XLOOKUP(A709,Output_Mac!A:A,Output_Mac!I:I,"")</f>
        <v/>
      </c>
      <c r="J709" s="40" t="str" cm="1">
        <f t="array" ref="J709">IFERROR(_xlfn.LET(
_xlpm.CSVVal,_xlfn.XLOOKUP($A709,CSV!$A:$A,CSV!I:I,""),
_xlpm.MacVal,_xlfn.XLOOKUP($A709,Output_Mac!$A:$A,Output_Mac!J:J,""),
_xlpm.MyAuditVal,_xlfn.XLOOKUP($A709,My_Audit!$A:$A,My_Audit!I:I,""),
_xlfn.IFS(_xlpm.MyAuditVal&lt;&gt;"",UPPER(_xlpm.MyAuditVal),_xlpm.MacVal&lt;&gt;"",_xlpm.MacVal,_xlpm.CSVVal&lt;&gt;"",_xlpm.CSVVal
)),"")</f>
        <v/>
      </c>
      <c r="K709" s="40" t="str" cm="1">
        <f t="array" ref="K709">IFERROR(_xlfn.LET(
_xlpm.CSVVal,_xlfn.XLOOKUP($A709,CSV!$A:$A,CSV!K:K,""),
_xlpm.MacVal,_xlfn.XLOOKUP($A709,Output_Mac!$A:$A,Output_Mac!K:K,""),
_xlpm.MyAuditVal,_xlfn.XLOOKUP($A709,My_Audit!$A:$A,My_Audit!J:J,""),
_xlfn.IFS(_xlpm.MyAuditVal&lt;&gt;"",UPPER(_xlpm.MyAuditVal),_xlpm.MacVal&lt;&gt;"",_xlpm.MacVal,_xlpm.CSVVal&lt;&gt;"",_xlpm.CSVVal
)),"")</f>
        <v/>
      </c>
      <c r="L709" s="40" t="str" cm="1">
        <f t="array" ref="L709">IFERROR(_xlfn.LET(
_xlpm.CSVVal,_xlfn.XLOOKUP($A709,CSV!$A:$A,CSV!P:P,""),
_xlpm.MacVal,_xlfn.XLOOKUP($A709,Output_Mac!$A:$A,Output_Mac!L:L,""),
_xlpm.MyAuditVal,_xlfn.XLOOKUP($A709,My_Audit!$A:$A,My_Audit!K:K,""),
_xlfn.IFS(_xlpm.MyAuditVal&lt;&gt;"",UPPER(_xlpm.MyAuditVal),_xlpm.MacVal&lt;&gt;"",_xlpm.MacVal,_xlpm.CSVVal&lt;&gt;"",_xlpm.CSVVal
)),"")</f>
        <v/>
      </c>
      <c r="M709" s="40" t="str" cm="1">
        <f t="array" ref="M709">IFERROR(_xlfn.LET(
_xlpm.CSVVal,_xlfn.XLOOKUP($A709,CSV!$A:$A,CSV!Q:Q,""),
_xlpm.MacVal,_xlfn.XLOOKUP($A709,Output_Mac!$A:$A,Output_Mac!M:M,""),
_xlpm.MyAuditVal,_xlfn.XLOOKUP($A709,My_Audit!$A:$A,My_Audit!L:L,""),
_xlfn.IFS(_xlpm.MyAuditVal&lt;&gt;"",UPPER(_xlpm.MyAuditVal),_xlpm.MacVal&lt;&gt;"",_xlpm.MacVal,_xlpm.CSVVal&lt;&gt;"",_xlpm.CSVVal
)),"")</f>
        <v/>
      </c>
      <c r="N709" s="40"/>
      <c r="O709" s="40" t="str">
        <f>_xlfn.LET(
    _xlpm.CSVVal, _xlfn.XLOOKUP($A709, CSV!$A:$A, CSV!AA:AA, ""),
    _xlpm.MacVal, _xlfn.XLOOKUP($A709, Output_Mac!$A:$A, Output_Mac!S:S, ""),
    _xlpm.MyAuditVal, _xlfn.XLOOKUP($A709, My_Audit!$A:$A, My_Audit!P:P, ""),
    _xlfn.TEXTJOIN(", ", TRUE, _xlpm.MyAuditVal, _xlpm.MacVal, _xlpm.CSVVal)
)</f>
        <v/>
      </c>
      <c r="P709" s="40" t="str" cm="1">
        <f t="array" ref="P709">IFERROR(_xlfn.LET(
_xlpm.CSVVal,_xlfn.XLOOKUP($A709,CSV!$A:$A,CSV!AB:AB,""),
_xlpm.MacVal,_xlfn.XLOOKUP($A709,Output_Mac!$A:$A,Output_Mac!T:T,""),
_xlpm.MyAuditVal,_xlfn.XLOOKUP($A709,My_Audit!$A:$A,My_Audit!Q:Q,""),
_xlfn.IFS(_xlpm.MyAuditVal&lt;&gt;"",UPPER(_xlpm.MyAuditVal),_xlpm.MacVal&lt;&gt;"",_xlpm.MacVal,_xlpm.CSVVal&lt;&gt;"",_xlpm.CSVVal
)),"No")</f>
        <v>No</v>
      </c>
      <c r="Q709" s="40" t="str" cm="1">
        <f t="array" ref="Q709">IFERROR(_xlfn.LET(
_xlpm.CSVVal,_xlfn.XLOOKUP($A709,CSV!$A:$A,CSV!AC:AC,""),
_xlpm.MacVal,_xlfn.XLOOKUP($A709,Output_Mac!$A:$A,Output_Mac!U:U,""),
_xlpm.MyAuditVal,_xlfn.XLOOKUP($A709,My_Audit!$A:$A,My_Audit!R:R,""),
_xlfn.IFS(_xlpm.MyAuditVal&lt;&gt;"",UPPER(_xlpm.MyAuditVal),_xlpm.MacVal&lt;&gt;"",_xlpm.MacVal,_xlpm.CSVVal&lt;&gt;"",_xlpm.CSVVal
)),"")</f>
        <v/>
      </c>
      <c r="R709" s="40"/>
      <c r="S709" s="40"/>
      <c r="T709" s="40"/>
      <c r="U709" s="40"/>
      <c r="V709" s="40"/>
      <c r="W709" s="40"/>
      <c r="X709" s="41" t="str">
        <f>_xlfn.LET(
    _xlpm.MacVal, _xlfn.XLOOKUP($A709, Output_Mac!$A:$A, Output_Mac!AB:AB, ""),
    _xlpm.MyAuditVal, _xlfn.XLOOKUP($A709, My_Audit!$A:$A, My_Audit!N:N, ""),
    _xlfn.TEXTJOIN(", ", TRUE, _xlpm.MyAuditVal, _xlpm.MacVal)
)</f>
        <v/>
      </c>
    </row>
    <row r="710" spans="1:24">
      <c r="A710" s="40" t="str">
        <f>_xlfn.TEXTJOIN("",TRUE,Input!$B$2,ROW(My_Audit!A709))</f>
        <v>X709</v>
      </c>
      <c r="B710" s="40" t="str">
        <f>_xlfn.TEXTJOIN("-",TRUE,"ITD",Input!$A$2,A710)</f>
        <v>ITD-X709</v>
      </c>
      <c r="C710" s="40" t="str" cm="1">
        <f t="array" ref="C710">IFERROR(_xlfn.LET(
_xlpm.CSVVal,_xlfn.XLOOKUP($A710,CSV!$A:$A,CSV!B:B,""),
_xlpm.MacVal,_xlfn.XLOOKUP($A710,Output_Mac!$A:$A,Output_Mac!B:B,""),
_xlpm.MyAuditVal,_xlfn.XLOOKUP($A710,My_Audit!$A:$A,My_Audit!B:B,""),
_xlfn.IFS(_xlpm.MyAuditVal&lt;&gt;"",UPPER(_xlpm.MyAuditVal),_xlpm.MacVal&lt;&gt;"",_xlpm.MacVal,_xlpm.CSVVal&lt;&gt;"",_xlpm.CSVVal
)),"")</f>
        <v/>
      </c>
      <c r="D710" s="40" t="str" cm="1">
        <f t="array" ref="D710">IFERROR(_xlfn.LET(
_xlpm.CSVVal,_xlfn.XLOOKUP($A710,CSV!$A:$A,CSV!D:D,""),
_xlpm.MacVal,_xlfn.XLOOKUP($A710,Output_Mac!$A:$A,Output_Mac!C:C,""),
_xlpm.MyAuditVal,_xlfn.XLOOKUP($A710,My_Audit!$A:$A,My_Audit!C:C,""),
_xlfn.IFS(_xlpm.MyAuditVal&lt;&gt;"",_xlpm.MyAuditVal,_xlpm.MacVal&lt;&gt;"",_xlpm.MacVal,_xlpm.CSVVal&lt;&gt;"",_xlpm.CSVVal
)),"")</f>
        <v/>
      </c>
      <c r="E710" s="40" t="str">
        <f>_xlfn.XLOOKUP(A710,My_Audit!A:A,My_Audit!D:D,"")</f>
        <v/>
      </c>
      <c r="F710" s="40" t="str" cm="1">
        <f t="array" ref="F710">IFERROR(_xlfn.LET(
_xlpm.CSVVal,_xlfn.XLOOKUP($A710,CSV!$A:$A,CSV!F:F,""),
_xlpm.MacVal,_xlfn.XLOOKUP($A710,Output_Mac!$A:$A,Output_Mac!E:E,""),
_xlpm.MyAuditVal,_xlfn.XLOOKUP($A710,My_Audit!$A:$A,My_Audit!E:E,""),
_xlfn.IFS(_xlpm.MyAuditVal&lt;&gt;"",_xlpm.MyAuditVal,_xlpm.MacVal&lt;&gt;"",_xlpm.MacVal,_xlpm.CSVVal&lt;&gt;"",_xlpm.CSVVal
)),"")</f>
        <v/>
      </c>
      <c r="G710" s="40" t="str" cm="1">
        <f t="array" ref="G710">IFERROR(_xlfn.LET(
_xlpm.CSVVal,_xlfn.XLOOKUP($A710,CSV!$A:$A,CSV!G:G,""),
_xlpm.MacVal,_xlfn.XLOOKUP($A710,Output_Mac!$A:$A,Output_Mac!F:F,""),
_xlpm.MyAuditVal,_xlfn.XLOOKUP($A710,My_Audit!$A:$A,My_Audit!F:F,""),
_xlfn.IFS(_xlpm.MyAuditVal&lt;&gt;"",_xlpm.MyAuditVal,_xlpm.MacVal&lt;&gt;"",_xlpm.MacVal,_xlpm.CSVVal&lt;&gt;"",PROPER(_xlpm.CSVVal)
)),"")</f>
        <v/>
      </c>
      <c r="H710" s="40" t="str" cm="1">
        <f t="array" ref="H710">IFERROR(_xlfn.LET(
_xlpm.CSVVal,_xlfn.XLOOKUP($A710,CSV!$A:$A,CSV!H:H,""),
_xlpm.MacVal,_xlfn.XLOOKUP($A710,Output_Mac!$A:$A,Output_Mac!H:H,""),
_xlpm.MyAuditVal,_xlfn.XLOOKUP($A710,My_Audit!$A:$A,My_Audit!G:G,""),
_xlfn.IFS(_xlpm.MyAuditVal&lt;&gt;"",_xlpm.MyAuditVal,_xlpm.MacVal&lt;&gt;"",_xlpm.MacVal,_xlpm.CSVVal&lt;&gt;"",_xlpm.CSVVal
)),"")</f>
        <v/>
      </c>
      <c r="I710" s="40" t="str">
        <f>_xlfn.XLOOKUP(A710,Output_Mac!A:A,Output_Mac!I:I,"")</f>
        <v/>
      </c>
      <c r="J710" s="40" t="str" cm="1">
        <f t="array" ref="J710">IFERROR(_xlfn.LET(
_xlpm.CSVVal,_xlfn.XLOOKUP($A710,CSV!$A:$A,CSV!I:I,""),
_xlpm.MacVal,_xlfn.XLOOKUP($A710,Output_Mac!$A:$A,Output_Mac!J:J,""),
_xlpm.MyAuditVal,_xlfn.XLOOKUP($A710,My_Audit!$A:$A,My_Audit!I:I,""),
_xlfn.IFS(_xlpm.MyAuditVal&lt;&gt;"",UPPER(_xlpm.MyAuditVal),_xlpm.MacVal&lt;&gt;"",_xlpm.MacVal,_xlpm.CSVVal&lt;&gt;"",_xlpm.CSVVal
)),"")</f>
        <v/>
      </c>
      <c r="K710" s="40" t="str" cm="1">
        <f t="array" ref="K710">IFERROR(_xlfn.LET(
_xlpm.CSVVal,_xlfn.XLOOKUP($A710,CSV!$A:$A,CSV!K:K,""),
_xlpm.MacVal,_xlfn.XLOOKUP($A710,Output_Mac!$A:$A,Output_Mac!K:K,""),
_xlpm.MyAuditVal,_xlfn.XLOOKUP($A710,My_Audit!$A:$A,My_Audit!J:J,""),
_xlfn.IFS(_xlpm.MyAuditVal&lt;&gt;"",UPPER(_xlpm.MyAuditVal),_xlpm.MacVal&lt;&gt;"",_xlpm.MacVal,_xlpm.CSVVal&lt;&gt;"",_xlpm.CSVVal
)),"")</f>
        <v/>
      </c>
      <c r="L710" s="40" t="str" cm="1">
        <f t="array" ref="L710">IFERROR(_xlfn.LET(
_xlpm.CSVVal,_xlfn.XLOOKUP($A710,CSV!$A:$A,CSV!P:P,""),
_xlpm.MacVal,_xlfn.XLOOKUP($A710,Output_Mac!$A:$A,Output_Mac!L:L,""),
_xlpm.MyAuditVal,_xlfn.XLOOKUP($A710,My_Audit!$A:$A,My_Audit!K:K,""),
_xlfn.IFS(_xlpm.MyAuditVal&lt;&gt;"",UPPER(_xlpm.MyAuditVal),_xlpm.MacVal&lt;&gt;"",_xlpm.MacVal,_xlpm.CSVVal&lt;&gt;"",_xlpm.CSVVal
)),"")</f>
        <v/>
      </c>
      <c r="M710" s="40" t="str" cm="1">
        <f t="array" ref="M710">IFERROR(_xlfn.LET(
_xlpm.CSVVal,_xlfn.XLOOKUP($A710,CSV!$A:$A,CSV!Q:Q,""),
_xlpm.MacVal,_xlfn.XLOOKUP($A710,Output_Mac!$A:$A,Output_Mac!M:M,""),
_xlpm.MyAuditVal,_xlfn.XLOOKUP($A710,My_Audit!$A:$A,My_Audit!L:L,""),
_xlfn.IFS(_xlpm.MyAuditVal&lt;&gt;"",UPPER(_xlpm.MyAuditVal),_xlpm.MacVal&lt;&gt;"",_xlpm.MacVal,_xlpm.CSVVal&lt;&gt;"",_xlpm.CSVVal
)),"")</f>
        <v/>
      </c>
      <c r="N710" s="40"/>
      <c r="O710" s="40" t="str">
        <f>_xlfn.LET(
    _xlpm.CSVVal, _xlfn.XLOOKUP($A710, CSV!$A:$A, CSV!AA:AA, ""),
    _xlpm.MacVal, _xlfn.XLOOKUP($A710, Output_Mac!$A:$A, Output_Mac!S:S, ""),
    _xlpm.MyAuditVal, _xlfn.XLOOKUP($A710, My_Audit!$A:$A, My_Audit!P:P, ""),
    _xlfn.TEXTJOIN(", ", TRUE, _xlpm.MyAuditVal, _xlpm.MacVal, _xlpm.CSVVal)
)</f>
        <v/>
      </c>
      <c r="P710" s="40" t="str" cm="1">
        <f t="array" ref="P710">IFERROR(_xlfn.LET(
_xlpm.CSVVal,_xlfn.XLOOKUP($A710,CSV!$A:$A,CSV!AB:AB,""),
_xlpm.MacVal,_xlfn.XLOOKUP($A710,Output_Mac!$A:$A,Output_Mac!T:T,""),
_xlpm.MyAuditVal,_xlfn.XLOOKUP($A710,My_Audit!$A:$A,My_Audit!Q:Q,""),
_xlfn.IFS(_xlpm.MyAuditVal&lt;&gt;"",UPPER(_xlpm.MyAuditVal),_xlpm.MacVal&lt;&gt;"",_xlpm.MacVal,_xlpm.CSVVal&lt;&gt;"",_xlpm.CSVVal
)),"No")</f>
        <v>No</v>
      </c>
      <c r="Q710" s="40" t="str" cm="1">
        <f t="array" ref="Q710">IFERROR(_xlfn.LET(
_xlpm.CSVVal,_xlfn.XLOOKUP($A710,CSV!$A:$A,CSV!AC:AC,""),
_xlpm.MacVal,_xlfn.XLOOKUP($A710,Output_Mac!$A:$A,Output_Mac!U:U,""),
_xlpm.MyAuditVal,_xlfn.XLOOKUP($A710,My_Audit!$A:$A,My_Audit!R:R,""),
_xlfn.IFS(_xlpm.MyAuditVal&lt;&gt;"",UPPER(_xlpm.MyAuditVal),_xlpm.MacVal&lt;&gt;"",_xlpm.MacVal,_xlpm.CSVVal&lt;&gt;"",_xlpm.CSVVal
)),"")</f>
        <v/>
      </c>
      <c r="R710" s="40"/>
      <c r="S710" s="40"/>
      <c r="T710" s="40"/>
      <c r="U710" s="40"/>
      <c r="V710" s="40"/>
      <c r="W710" s="40"/>
      <c r="X710" s="41" t="str">
        <f>_xlfn.LET(
    _xlpm.MacVal, _xlfn.XLOOKUP($A710, Output_Mac!$A:$A, Output_Mac!AB:AB, ""),
    _xlpm.MyAuditVal, _xlfn.XLOOKUP($A710, My_Audit!$A:$A, My_Audit!N:N, ""),
    _xlfn.TEXTJOIN(", ", TRUE, _xlpm.MyAuditVal, _xlpm.MacVal)
)</f>
        <v/>
      </c>
    </row>
    <row r="711" spans="1:24">
      <c r="A711" s="40" t="str">
        <f>_xlfn.TEXTJOIN("",TRUE,Input!$B$2,ROW(My_Audit!A710))</f>
        <v>X710</v>
      </c>
      <c r="B711" s="40" t="str">
        <f>_xlfn.TEXTJOIN("-",TRUE,"ITD",Input!$A$2,A711)</f>
        <v>ITD-X710</v>
      </c>
      <c r="C711" s="40" t="str" cm="1">
        <f t="array" ref="C711">IFERROR(_xlfn.LET(
_xlpm.CSVVal,_xlfn.XLOOKUP($A711,CSV!$A:$A,CSV!B:B,""),
_xlpm.MacVal,_xlfn.XLOOKUP($A711,Output_Mac!$A:$A,Output_Mac!B:B,""),
_xlpm.MyAuditVal,_xlfn.XLOOKUP($A711,My_Audit!$A:$A,My_Audit!B:B,""),
_xlfn.IFS(_xlpm.MyAuditVal&lt;&gt;"",UPPER(_xlpm.MyAuditVal),_xlpm.MacVal&lt;&gt;"",_xlpm.MacVal,_xlpm.CSVVal&lt;&gt;"",_xlpm.CSVVal
)),"")</f>
        <v/>
      </c>
      <c r="D711" s="40" t="str" cm="1">
        <f t="array" ref="D711">IFERROR(_xlfn.LET(
_xlpm.CSVVal,_xlfn.XLOOKUP($A711,CSV!$A:$A,CSV!D:D,""),
_xlpm.MacVal,_xlfn.XLOOKUP($A711,Output_Mac!$A:$A,Output_Mac!C:C,""),
_xlpm.MyAuditVal,_xlfn.XLOOKUP($A711,My_Audit!$A:$A,My_Audit!C:C,""),
_xlfn.IFS(_xlpm.MyAuditVal&lt;&gt;"",_xlpm.MyAuditVal,_xlpm.MacVal&lt;&gt;"",_xlpm.MacVal,_xlpm.CSVVal&lt;&gt;"",_xlpm.CSVVal
)),"")</f>
        <v/>
      </c>
      <c r="E711" s="40" t="str">
        <f>_xlfn.XLOOKUP(A711,My_Audit!A:A,My_Audit!D:D,"")</f>
        <v/>
      </c>
      <c r="F711" s="40" t="str" cm="1">
        <f t="array" ref="F711">IFERROR(_xlfn.LET(
_xlpm.CSVVal,_xlfn.XLOOKUP($A711,CSV!$A:$A,CSV!F:F,""),
_xlpm.MacVal,_xlfn.XLOOKUP($A711,Output_Mac!$A:$A,Output_Mac!E:E,""),
_xlpm.MyAuditVal,_xlfn.XLOOKUP($A711,My_Audit!$A:$A,My_Audit!E:E,""),
_xlfn.IFS(_xlpm.MyAuditVal&lt;&gt;"",_xlpm.MyAuditVal,_xlpm.MacVal&lt;&gt;"",_xlpm.MacVal,_xlpm.CSVVal&lt;&gt;"",_xlpm.CSVVal
)),"")</f>
        <v/>
      </c>
      <c r="G711" s="40" t="str" cm="1">
        <f t="array" ref="G711">IFERROR(_xlfn.LET(
_xlpm.CSVVal,_xlfn.XLOOKUP($A711,CSV!$A:$A,CSV!G:G,""),
_xlpm.MacVal,_xlfn.XLOOKUP($A711,Output_Mac!$A:$A,Output_Mac!F:F,""),
_xlpm.MyAuditVal,_xlfn.XLOOKUP($A711,My_Audit!$A:$A,My_Audit!F:F,""),
_xlfn.IFS(_xlpm.MyAuditVal&lt;&gt;"",_xlpm.MyAuditVal,_xlpm.MacVal&lt;&gt;"",_xlpm.MacVal,_xlpm.CSVVal&lt;&gt;"",PROPER(_xlpm.CSVVal)
)),"")</f>
        <v/>
      </c>
      <c r="H711" s="40" t="str" cm="1">
        <f t="array" ref="H711">IFERROR(_xlfn.LET(
_xlpm.CSVVal,_xlfn.XLOOKUP($A711,CSV!$A:$A,CSV!H:H,""),
_xlpm.MacVal,_xlfn.XLOOKUP($A711,Output_Mac!$A:$A,Output_Mac!H:H,""),
_xlpm.MyAuditVal,_xlfn.XLOOKUP($A711,My_Audit!$A:$A,My_Audit!G:G,""),
_xlfn.IFS(_xlpm.MyAuditVal&lt;&gt;"",_xlpm.MyAuditVal,_xlpm.MacVal&lt;&gt;"",_xlpm.MacVal,_xlpm.CSVVal&lt;&gt;"",_xlpm.CSVVal
)),"")</f>
        <v/>
      </c>
      <c r="I711" s="40" t="str">
        <f>_xlfn.XLOOKUP(A711,Output_Mac!A:A,Output_Mac!I:I,"")</f>
        <v/>
      </c>
      <c r="J711" s="40" t="str" cm="1">
        <f t="array" ref="J711">IFERROR(_xlfn.LET(
_xlpm.CSVVal,_xlfn.XLOOKUP($A711,CSV!$A:$A,CSV!I:I,""),
_xlpm.MacVal,_xlfn.XLOOKUP($A711,Output_Mac!$A:$A,Output_Mac!J:J,""),
_xlpm.MyAuditVal,_xlfn.XLOOKUP($A711,My_Audit!$A:$A,My_Audit!I:I,""),
_xlfn.IFS(_xlpm.MyAuditVal&lt;&gt;"",UPPER(_xlpm.MyAuditVal),_xlpm.MacVal&lt;&gt;"",_xlpm.MacVal,_xlpm.CSVVal&lt;&gt;"",_xlpm.CSVVal
)),"")</f>
        <v/>
      </c>
      <c r="K711" s="40" t="str" cm="1">
        <f t="array" ref="K711">IFERROR(_xlfn.LET(
_xlpm.CSVVal,_xlfn.XLOOKUP($A711,CSV!$A:$A,CSV!K:K,""),
_xlpm.MacVal,_xlfn.XLOOKUP($A711,Output_Mac!$A:$A,Output_Mac!K:K,""),
_xlpm.MyAuditVal,_xlfn.XLOOKUP($A711,My_Audit!$A:$A,My_Audit!J:J,""),
_xlfn.IFS(_xlpm.MyAuditVal&lt;&gt;"",UPPER(_xlpm.MyAuditVal),_xlpm.MacVal&lt;&gt;"",_xlpm.MacVal,_xlpm.CSVVal&lt;&gt;"",_xlpm.CSVVal
)),"")</f>
        <v/>
      </c>
      <c r="L711" s="40" t="str" cm="1">
        <f t="array" ref="L711">IFERROR(_xlfn.LET(
_xlpm.CSVVal,_xlfn.XLOOKUP($A711,CSV!$A:$A,CSV!P:P,""),
_xlpm.MacVal,_xlfn.XLOOKUP($A711,Output_Mac!$A:$A,Output_Mac!L:L,""),
_xlpm.MyAuditVal,_xlfn.XLOOKUP($A711,My_Audit!$A:$A,My_Audit!K:K,""),
_xlfn.IFS(_xlpm.MyAuditVal&lt;&gt;"",UPPER(_xlpm.MyAuditVal),_xlpm.MacVal&lt;&gt;"",_xlpm.MacVal,_xlpm.CSVVal&lt;&gt;"",_xlpm.CSVVal
)),"")</f>
        <v/>
      </c>
      <c r="M711" s="40" t="str" cm="1">
        <f t="array" ref="M711">IFERROR(_xlfn.LET(
_xlpm.CSVVal,_xlfn.XLOOKUP($A711,CSV!$A:$A,CSV!Q:Q,""),
_xlpm.MacVal,_xlfn.XLOOKUP($A711,Output_Mac!$A:$A,Output_Mac!M:M,""),
_xlpm.MyAuditVal,_xlfn.XLOOKUP($A711,My_Audit!$A:$A,My_Audit!L:L,""),
_xlfn.IFS(_xlpm.MyAuditVal&lt;&gt;"",UPPER(_xlpm.MyAuditVal),_xlpm.MacVal&lt;&gt;"",_xlpm.MacVal,_xlpm.CSVVal&lt;&gt;"",_xlpm.CSVVal
)),"")</f>
        <v/>
      </c>
      <c r="N711" s="40"/>
      <c r="O711" s="40" t="str">
        <f>_xlfn.LET(
    _xlpm.CSVVal, _xlfn.XLOOKUP($A711, CSV!$A:$A, CSV!AA:AA, ""),
    _xlpm.MacVal, _xlfn.XLOOKUP($A711, Output_Mac!$A:$A, Output_Mac!S:S, ""),
    _xlpm.MyAuditVal, _xlfn.XLOOKUP($A711, My_Audit!$A:$A, My_Audit!P:P, ""),
    _xlfn.TEXTJOIN(", ", TRUE, _xlpm.MyAuditVal, _xlpm.MacVal, _xlpm.CSVVal)
)</f>
        <v/>
      </c>
      <c r="P711" s="40" t="str" cm="1">
        <f t="array" ref="P711">IFERROR(_xlfn.LET(
_xlpm.CSVVal,_xlfn.XLOOKUP($A711,CSV!$A:$A,CSV!AB:AB,""),
_xlpm.MacVal,_xlfn.XLOOKUP($A711,Output_Mac!$A:$A,Output_Mac!T:T,""),
_xlpm.MyAuditVal,_xlfn.XLOOKUP($A711,My_Audit!$A:$A,My_Audit!Q:Q,""),
_xlfn.IFS(_xlpm.MyAuditVal&lt;&gt;"",UPPER(_xlpm.MyAuditVal),_xlpm.MacVal&lt;&gt;"",_xlpm.MacVal,_xlpm.CSVVal&lt;&gt;"",_xlpm.CSVVal
)),"No")</f>
        <v>No</v>
      </c>
      <c r="Q711" s="40" t="str" cm="1">
        <f t="array" ref="Q711">IFERROR(_xlfn.LET(
_xlpm.CSVVal,_xlfn.XLOOKUP($A711,CSV!$A:$A,CSV!AC:AC,""),
_xlpm.MacVal,_xlfn.XLOOKUP($A711,Output_Mac!$A:$A,Output_Mac!U:U,""),
_xlpm.MyAuditVal,_xlfn.XLOOKUP($A711,My_Audit!$A:$A,My_Audit!R:R,""),
_xlfn.IFS(_xlpm.MyAuditVal&lt;&gt;"",UPPER(_xlpm.MyAuditVal),_xlpm.MacVal&lt;&gt;"",_xlpm.MacVal,_xlpm.CSVVal&lt;&gt;"",_xlpm.CSVVal
)),"")</f>
        <v/>
      </c>
      <c r="R711" s="40"/>
      <c r="S711" s="40"/>
      <c r="T711" s="40"/>
      <c r="U711" s="40"/>
      <c r="V711" s="40"/>
      <c r="W711" s="40"/>
      <c r="X711" s="41" t="str">
        <f>_xlfn.LET(
    _xlpm.MacVal, _xlfn.XLOOKUP($A711, Output_Mac!$A:$A, Output_Mac!AB:AB, ""),
    _xlpm.MyAuditVal, _xlfn.XLOOKUP($A711, My_Audit!$A:$A, My_Audit!N:N, ""),
    _xlfn.TEXTJOIN(", ", TRUE, _xlpm.MyAuditVal, _xlpm.MacVal)
)</f>
        <v/>
      </c>
    </row>
    <row r="712" spans="1:24">
      <c r="A712" s="40" t="str">
        <f>_xlfn.TEXTJOIN("",TRUE,Input!$B$2,ROW(My_Audit!A711))</f>
        <v>X711</v>
      </c>
      <c r="B712" s="40" t="str">
        <f>_xlfn.TEXTJOIN("-",TRUE,"ITD",Input!$A$2,A712)</f>
        <v>ITD-X711</v>
      </c>
      <c r="C712" s="40" t="str" cm="1">
        <f t="array" ref="C712">IFERROR(_xlfn.LET(
_xlpm.CSVVal,_xlfn.XLOOKUP($A712,CSV!$A:$A,CSV!B:B,""),
_xlpm.MacVal,_xlfn.XLOOKUP($A712,Output_Mac!$A:$A,Output_Mac!B:B,""),
_xlpm.MyAuditVal,_xlfn.XLOOKUP($A712,My_Audit!$A:$A,My_Audit!B:B,""),
_xlfn.IFS(_xlpm.MyAuditVal&lt;&gt;"",UPPER(_xlpm.MyAuditVal),_xlpm.MacVal&lt;&gt;"",_xlpm.MacVal,_xlpm.CSVVal&lt;&gt;"",_xlpm.CSVVal
)),"")</f>
        <v/>
      </c>
      <c r="D712" s="40" t="str" cm="1">
        <f t="array" ref="D712">IFERROR(_xlfn.LET(
_xlpm.CSVVal,_xlfn.XLOOKUP($A712,CSV!$A:$A,CSV!D:D,""),
_xlpm.MacVal,_xlfn.XLOOKUP($A712,Output_Mac!$A:$A,Output_Mac!C:C,""),
_xlpm.MyAuditVal,_xlfn.XLOOKUP($A712,My_Audit!$A:$A,My_Audit!C:C,""),
_xlfn.IFS(_xlpm.MyAuditVal&lt;&gt;"",_xlpm.MyAuditVal,_xlpm.MacVal&lt;&gt;"",_xlpm.MacVal,_xlpm.CSVVal&lt;&gt;"",_xlpm.CSVVal
)),"")</f>
        <v/>
      </c>
      <c r="E712" s="40" t="str">
        <f>_xlfn.XLOOKUP(A712,My_Audit!A:A,My_Audit!D:D,"")</f>
        <v/>
      </c>
      <c r="F712" s="40" t="str" cm="1">
        <f t="array" ref="F712">IFERROR(_xlfn.LET(
_xlpm.CSVVal,_xlfn.XLOOKUP($A712,CSV!$A:$A,CSV!F:F,""),
_xlpm.MacVal,_xlfn.XLOOKUP($A712,Output_Mac!$A:$A,Output_Mac!E:E,""),
_xlpm.MyAuditVal,_xlfn.XLOOKUP($A712,My_Audit!$A:$A,My_Audit!E:E,""),
_xlfn.IFS(_xlpm.MyAuditVal&lt;&gt;"",_xlpm.MyAuditVal,_xlpm.MacVal&lt;&gt;"",_xlpm.MacVal,_xlpm.CSVVal&lt;&gt;"",_xlpm.CSVVal
)),"")</f>
        <v/>
      </c>
      <c r="G712" s="40" t="str" cm="1">
        <f t="array" ref="G712">IFERROR(_xlfn.LET(
_xlpm.CSVVal,_xlfn.XLOOKUP($A712,CSV!$A:$A,CSV!G:G,""),
_xlpm.MacVal,_xlfn.XLOOKUP($A712,Output_Mac!$A:$A,Output_Mac!F:F,""),
_xlpm.MyAuditVal,_xlfn.XLOOKUP($A712,My_Audit!$A:$A,My_Audit!F:F,""),
_xlfn.IFS(_xlpm.MyAuditVal&lt;&gt;"",_xlpm.MyAuditVal,_xlpm.MacVal&lt;&gt;"",_xlpm.MacVal,_xlpm.CSVVal&lt;&gt;"",PROPER(_xlpm.CSVVal)
)),"")</f>
        <v/>
      </c>
      <c r="H712" s="40" t="str" cm="1">
        <f t="array" ref="H712">IFERROR(_xlfn.LET(
_xlpm.CSVVal,_xlfn.XLOOKUP($A712,CSV!$A:$A,CSV!H:H,""),
_xlpm.MacVal,_xlfn.XLOOKUP($A712,Output_Mac!$A:$A,Output_Mac!H:H,""),
_xlpm.MyAuditVal,_xlfn.XLOOKUP($A712,My_Audit!$A:$A,My_Audit!G:G,""),
_xlfn.IFS(_xlpm.MyAuditVal&lt;&gt;"",_xlpm.MyAuditVal,_xlpm.MacVal&lt;&gt;"",_xlpm.MacVal,_xlpm.CSVVal&lt;&gt;"",_xlpm.CSVVal
)),"")</f>
        <v/>
      </c>
      <c r="I712" s="40" t="str">
        <f>_xlfn.XLOOKUP(A712,Output_Mac!A:A,Output_Mac!I:I,"")</f>
        <v/>
      </c>
      <c r="J712" s="40" t="str" cm="1">
        <f t="array" ref="J712">IFERROR(_xlfn.LET(
_xlpm.CSVVal,_xlfn.XLOOKUP($A712,CSV!$A:$A,CSV!I:I,""),
_xlpm.MacVal,_xlfn.XLOOKUP($A712,Output_Mac!$A:$A,Output_Mac!J:J,""),
_xlpm.MyAuditVal,_xlfn.XLOOKUP($A712,My_Audit!$A:$A,My_Audit!I:I,""),
_xlfn.IFS(_xlpm.MyAuditVal&lt;&gt;"",UPPER(_xlpm.MyAuditVal),_xlpm.MacVal&lt;&gt;"",_xlpm.MacVal,_xlpm.CSVVal&lt;&gt;"",_xlpm.CSVVal
)),"")</f>
        <v/>
      </c>
      <c r="K712" s="40" t="str" cm="1">
        <f t="array" ref="K712">IFERROR(_xlfn.LET(
_xlpm.CSVVal,_xlfn.XLOOKUP($A712,CSV!$A:$A,CSV!K:K,""),
_xlpm.MacVal,_xlfn.XLOOKUP($A712,Output_Mac!$A:$A,Output_Mac!K:K,""),
_xlpm.MyAuditVal,_xlfn.XLOOKUP($A712,My_Audit!$A:$A,My_Audit!J:J,""),
_xlfn.IFS(_xlpm.MyAuditVal&lt;&gt;"",UPPER(_xlpm.MyAuditVal),_xlpm.MacVal&lt;&gt;"",_xlpm.MacVal,_xlpm.CSVVal&lt;&gt;"",_xlpm.CSVVal
)),"")</f>
        <v/>
      </c>
      <c r="L712" s="40" t="str" cm="1">
        <f t="array" ref="L712">IFERROR(_xlfn.LET(
_xlpm.CSVVal,_xlfn.XLOOKUP($A712,CSV!$A:$A,CSV!P:P,""),
_xlpm.MacVal,_xlfn.XLOOKUP($A712,Output_Mac!$A:$A,Output_Mac!L:L,""),
_xlpm.MyAuditVal,_xlfn.XLOOKUP($A712,My_Audit!$A:$A,My_Audit!K:K,""),
_xlfn.IFS(_xlpm.MyAuditVal&lt;&gt;"",UPPER(_xlpm.MyAuditVal),_xlpm.MacVal&lt;&gt;"",_xlpm.MacVal,_xlpm.CSVVal&lt;&gt;"",_xlpm.CSVVal
)),"")</f>
        <v/>
      </c>
      <c r="M712" s="40" t="str" cm="1">
        <f t="array" ref="M712">IFERROR(_xlfn.LET(
_xlpm.CSVVal,_xlfn.XLOOKUP($A712,CSV!$A:$A,CSV!Q:Q,""),
_xlpm.MacVal,_xlfn.XLOOKUP($A712,Output_Mac!$A:$A,Output_Mac!M:M,""),
_xlpm.MyAuditVal,_xlfn.XLOOKUP($A712,My_Audit!$A:$A,My_Audit!L:L,""),
_xlfn.IFS(_xlpm.MyAuditVal&lt;&gt;"",UPPER(_xlpm.MyAuditVal),_xlpm.MacVal&lt;&gt;"",_xlpm.MacVal,_xlpm.CSVVal&lt;&gt;"",_xlpm.CSVVal
)),"")</f>
        <v/>
      </c>
      <c r="N712" s="40"/>
      <c r="O712" s="40" t="str">
        <f>_xlfn.LET(
    _xlpm.CSVVal, _xlfn.XLOOKUP($A712, CSV!$A:$A, CSV!AA:AA, ""),
    _xlpm.MacVal, _xlfn.XLOOKUP($A712, Output_Mac!$A:$A, Output_Mac!S:S, ""),
    _xlpm.MyAuditVal, _xlfn.XLOOKUP($A712, My_Audit!$A:$A, My_Audit!P:P, ""),
    _xlfn.TEXTJOIN(", ", TRUE, _xlpm.MyAuditVal, _xlpm.MacVal, _xlpm.CSVVal)
)</f>
        <v/>
      </c>
      <c r="P712" s="40" t="str" cm="1">
        <f t="array" ref="P712">IFERROR(_xlfn.LET(
_xlpm.CSVVal,_xlfn.XLOOKUP($A712,CSV!$A:$A,CSV!AB:AB,""),
_xlpm.MacVal,_xlfn.XLOOKUP($A712,Output_Mac!$A:$A,Output_Mac!T:T,""),
_xlpm.MyAuditVal,_xlfn.XLOOKUP($A712,My_Audit!$A:$A,My_Audit!Q:Q,""),
_xlfn.IFS(_xlpm.MyAuditVal&lt;&gt;"",UPPER(_xlpm.MyAuditVal),_xlpm.MacVal&lt;&gt;"",_xlpm.MacVal,_xlpm.CSVVal&lt;&gt;"",_xlpm.CSVVal
)),"No")</f>
        <v>No</v>
      </c>
      <c r="Q712" s="40" t="str" cm="1">
        <f t="array" ref="Q712">IFERROR(_xlfn.LET(
_xlpm.CSVVal,_xlfn.XLOOKUP($A712,CSV!$A:$A,CSV!AC:AC,""),
_xlpm.MacVal,_xlfn.XLOOKUP($A712,Output_Mac!$A:$A,Output_Mac!U:U,""),
_xlpm.MyAuditVal,_xlfn.XLOOKUP($A712,My_Audit!$A:$A,My_Audit!R:R,""),
_xlfn.IFS(_xlpm.MyAuditVal&lt;&gt;"",UPPER(_xlpm.MyAuditVal),_xlpm.MacVal&lt;&gt;"",_xlpm.MacVal,_xlpm.CSVVal&lt;&gt;"",_xlpm.CSVVal
)),"")</f>
        <v/>
      </c>
      <c r="R712" s="40"/>
      <c r="S712" s="40"/>
      <c r="T712" s="40"/>
      <c r="U712" s="40"/>
      <c r="V712" s="40"/>
      <c r="W712" s="40"/>
      <c r="X712" s="41" t="str">
        <f>_xlfn.LET(
    _xlpm.MacVal, _xlfn.XLOOKUP($A712, Output_Mac!$A:$A, Output_Mac!AB:AB, ""),
    _xlpm.MyAuditVal, _xlfn.XLOOKUP($A712, My_Audit!$A:$A, My_Audit!N:N, ""),
    _xlfn.TEXTJOIN(", ", TRUE, _xlpm.MyAuditVal, _xlpm.MacVal)
)</f>
        <v/>
      </c>
    </row>
    <row r="713" spans="1:24">
      <c r="A713" s="40" t="str">
        <f>_xlfn.TEXTJOIN("",TRUE,Input!$B$2,ROW(My_Audit!A712))</f>
        <v>X712</v>
      </c>
      <c r="B713" s="40" t="str">
        <f>_xlfn.TEXTJOIN("-",TRUE,"ITD",Input!$A$2,A713)</f>
        <v>ITD-X712</v>
      </c>
      <c r="C713" s="40" t="str" cm="1">
        <f t="array" ref="C713">IFERROR(_xlfn.LET(
_xlpm.CSVVal,_xlfn.XLOOKUP($A713,CSV!$A:$A,CSV!B:B,""),
_xlpm.MacVal,_xlfn.XLOOKUP($A713,Output_Mac!$A:$A,Output_Mac!B:B,""),
_xlpm.MyAuditVal,_xlfn.XLOOKUP($A713,My_Audit!$A:$A,My_Audit!B:B,""),
_xlfn.IFS(_xlpm.MyAuditVal&lt;&gt;"",UPPER(_xlpm.MyAuditVal),_xlpm.MacVal&lt;&gt;"",_xlpm.MacVal,_xlpm.CSVVal&lt;&gt;"",_xlpm.CSVVal
)),"")</f>
        <v/>
      </c>
      <c r="D713" s="40" t="str" cm="1">
        <f t="array" ref="D713">IFERROR(_xlfn.LET(
_xlpm.CSVVal,_xlfn.XLOOKUP($A713,CSV!$A:$A,CSV!D:D,""),
_xlpm.MacVal,_xlfn.XLOOKUP($A713,Output_Mac!$A:$A,Output_Mac!C:C,""),
_xlpm.MyAuditVal,_xlfn.XLOOKUP($A713,My_Audit!$A:$A,My_Audit!C:C,""),
_xlfn.IFS(_xlpm.MyAuditVal&lt;&gt;"",_xlpm.MyAuditVal,_xlpm.MacVal&lt;&gt;"",_xlpm.MacVal,_xlpm.CSVVal&lt;&gt;"",_xlpm.CSVVal
)),"")</f>
        <v/>
      </c>
      <c r="E713" s="40" t="str">
        <f>_xlfn.XLOOKUP(A713,My_Audit!A:A,My_Audit!D:D,"")</f>
        <v/>
      </c>
      <c r="F713" s="40" t="str" cm="1">
        <f t="array" ref="F713">IFERROR(_xlfn.LET(
_xlpm.CSVVal,_xlfn.XLOOKUP($A713,CSV!$A:$A,CSV!F:F,""),
_xlpm.MacVal,_xlfn.XLOOKUP($A713,Output_Mac!$A:$A,Output_Mac!E:E,""),
_xlpm.MyAuditVal,_xlfn.XLOOKUP($A713,My_Audit!$A:$A,My_Audit!E:E,""),
_xlfn.IFS(_xlpm.MyAuditVal&lt;&gt;"",_xlpm.MyAuditVal,_xlpm.MacVal&lt;&gt;"",_xlpm.MacVal,_xlpm.CSVVal&lt;&gt;"",_xlpm.CSVVal
)),"")</f>
        <v/>
      </c>
      <c r="G713" s="40" t="str" cm="1">
        <f t="array" ref="G713">IFERROR(_xlfn.LET(
_xlpm.CSVVal,_xlfn.XLOOKUP($A713,CSV!$A:$A,CSV!G:G,""),
_xlpm.MacVal,_xlfn.XLOOKUP($A713,Output_Mac!$A:$A,Output_Mac!F:F,""),
_xlpm.MyAuditVal,_xlfn.XLOOKUP($A713,My_Audit!$A:$A,My_Audit!F:F,""),
_xlfn.IFS(_xlpm.MyAuditVal&lt;&gt;"",_xlpm.MyAuditVal,_xlpm.MacVal&lt;&gt;"",_xlpm.MacVal,_xlpm.CSVVal&lt;&gt;"",PROPER(_xlpm.CSVVal)
)),"")</f>
        <v/>
      </c>
      <c r="H713" s="40" t="str" cm="1">
        <f t="array" ref="H713">IFERROR(_xlfn.LET(
_xlpm.CSVVal,_xlfn.XLOOKUP($A713,CSV!$A:$A,CSV!H:H,""),
_xlpm.MacVal,_xlfn.XLOOKUP($A713,Output_Mac!$A:$A,Output_Mac!H:H,""),
_xlpm.MyAuditVal,_xlfn.XLOOKUP($A713,My_Audit!$A:$A,My_Audit!G:G,""),
_xlfn.IFS(_xlpm.MyAuditVal&lt;&gt;"",_xlpm.MyAuditVal,_xlpm.MacVal&lt;&gt;"",_xlpm.MacVal,_xlpm.CSVVal&lt;&gt;"",_xlpm.CSVVal
)),"")</f>
        <v/>
      </c>
      <c r="I713" s="40" t="str">
        <f>_xlfn.XLOOKUP(A713,Output_Mac!A:A,Output_Mac!I:I,"")</f>
        <v/>
      </c>
      <c r="J713" s="40" t="str" cm="1">
        <f t="array" ref="J713">IFERROR(_xlfn.LET(
_xlpm.CSVVal,_xlfn.XLOOKUP($A713,CSV!$A:$A,CSV!I:I,""),
_xlpm.MacVal,_xlfn.XLOOKUP($A713,Output_Mac!$A:$A,Output_Mac!J:J,""),
_xlpm.MyAuditVal,_xlfn.XLOOKUP($A713,My_Audit!$A:$A,My_Audit!I:I,""),
_xlfn.IFS(_xlpm.MyAuditVal&lt;&gt;"",UPPER(_xlpm.MyAuditVal),_xlpm.MacVal&lt;&gt;"",_xlpm.MacVal,_xlpm.CSVVal&lt;&gt;"",_xlpm.CSVVal
)),"")</f>
        <v/>
      </c>
      <c r="K713" s="40" t="str" cm="1">
        <f t="array" ref="K713">IFERROR(_xlfn.LET(
_xlpm.CSVVal,_xlfn.XLOOKUP($A713,CSV!$A:$A,CSV!K:K,""),
_xlpm.MacVal,_xlfn.XLOOKUP($A713,Output_Mac!$A:$A,Output_Mac!K:K,""),
_xlpm.MyAuditVal,_xlfn.XLOOKUP($A713,My_Audit!$A:$A,My_Audit!J:J,""),
_xlfn.IFS(_xlpm.MyAuditVal&lt;&gt;"",UPPER(_xlpm.MyAuditVal),_xlpm.MacVal&lt;&gt;"",_xlpm.MacVal,_xlpm.CSVVal&lt;&gt;"",_xlpm.CSVVal
)),"")</f>
        <v/>
      </c>
      <c r="L713" s="40" t="str" cm="1">
        <f t="array" ref="L713">IFERROR(_xlfn.LET(
_xlpm.CSVVal,_xlfn.XLOOKUP($A713,CSV!$A:$A,CSV!P:P,""),
_xlpm.MacVal,_xlfn.XLOOKUP($A713,Output_Mac!$A:$A,Output_Mac!L:L,""),
_xlpm.MyAuditVal,_xlfn.XLOOKUP($A713,My_Audit!$A:$A,My_Audit!K:K,""),
_xlfn.IFS(_xlpm.MyAuditVal&lt;&gt;"",UPPER(_xlpm.MyAuditVal),_xlpm.MacVal&lt;&gt;"",_xlpm.MacVal,_xlpm.CSVVal&lt;&gt;"",_xlpm.CSVVal
)),"")</f>
        <v/>
      </c>
      <c r="M713" s="40" t="str" cm="1">
        <f t="array" ref="M713">IFERROR(_xlfn.LET(
_xlpm.CSVVal,_xlfn.XLOOKUP($A713,CSV!$A:$A,CSV!Q:Q,""),
_xlpm.MacVal,_xlfn.XLOOKUP($A713,Output_Mac!$A:$A,Output_Mac!M:M,""),
_xlpm.MyAuditVal,_xlfn.XLOOKUP($A713,My_Audit!$A:$A,My_Audit!L:L,""),
_xlfn.IFS(_xlpm.MyAuditVal&lt;&gt;"",UPPER(_xlpm.MyAuditVal),_xlpm.MacVal&lt;&gt;"",_xlpm.MacVal,_xlpm.CSVVal&lt;&gt;"",_xlpm.CSVVal
)),"")</f>
        <v/>
      </c>
      <c r="N713" s="40"/>
      <c r="O713" s="40" t="str">
        <f>_xlfn.LET(
    _xlpm.CSVVal, _xlfn.XLOOKUP($A713, CSV!$A:$A, CSV!AA:AA, ""),
    _xlpm.MacVal, _xlfn.XLOOKUP($A713, Output_Mac!$A:$A, Output_Mac!S:S, ""),
    _xlpm.MyAuditVal, _xlfn.XLOOKUP($A713, My_Audit!$A:$A, My_Audit!P:P, ""),
    _xlfn.TEXTJOIN(", ", TRUE, _xlpm.MyAuditVal, _xlpm.MacVal, _xlpm.CSVVal)
)</f>
        <v/>
      </c>
      <c r="P713" s="40" t="str" cm="1">
        <f t="array" ref="P713">IFERROR(_xlfn.LET(
_xlpm.CSVVal,_xlfn.XLOOKUP($A713,CSV!$A:$A,CSV!AB:AB,""),
_xlpm.MacVal,_xlfn.XLOOKUP($A713,Output_Mac!$A:$A,Output_Mac!T:T,""),
_xlpm.MyAuditVal,_xlfn.XLOOKUP($A713,My_Audit!$A:$A,My_Audit!Q:Q,""),
_xlfn.IFS(_xlpm.MyAuditVal&lt;&gt;"",UPPER(_xlpm.MyAuditVal),_xlpm.MacVal&lt;&gt;"",_xlpm.MacVal,_xlpm.CSVVal&lt;&gt;"",_xlpm.CSVVal
)),"No")</f>
        <v>No</v>
      </c>
      <c r="Q713" s="40" t="str" cm="1">
        <f t="array" ref="Q713">IFERROR(_xlfn.LET(
_xlpm.CSVVal,_xlfn.XLOOKUP($A713,CSV!$A:$A,CSV!AC:AC,""),
_xlpm.MacVal,_xlfn.XLOOKUP($A713,Output_Mac!$A:$A,Output_Mac!U:U,""),
_xlpm.MyAuditVal,_xlfn.XLOOKUP($A713,My_Audit!$A:$A,My_Audit!R:R,""),
_xlfn.IFS(_xlpm.MyAuditVal&lt;&gt;"",UPPER(_xlpm.MyAuditVal),_xlpm.MacVal&lt;&gt;"",_xlpm.MacVal,_xlpm.CSVVal&lt;&gt;"",_xlpm.CSVVal
)),"")</f>
        <v/>
      </c>
      <c r="R713" s="40"/>
      <c r="S713" s="40"/>
      <c r="T713" s="40"/>
      <c r="U713" s="40"/>
      <c r="V713" s="40"/>
      <c r="W713" s="40"/>
      <c r="X713" s="41" t="str">
        <f>_xlfn.LET(
    _xlpm.MacVal, _xlfn.XLOOKUP($A713, Output_Mac!$A:$A, Output_Mac!AB:AB, ""),
    _xlpm.MyAuditVal, _xlfn.XLOOKUP($A713, My_Audit!$A:$A, My_Audit!N:N, ""),
    _xlfn.TEXTJOIN(", ", TRUE, _xlpm.MyAuditVal, _xlpm.MacVal)
)</f>
        <v/>
      </c>
    </row>
    <row r="714" spans="1:24">
      <c r="A714" s="40" t="str">
        <f>_xlfn.TEXTJOIN("",TRUE,Input!$B$2,ROW(My_Audit!A713))</f>
        <v>X713</v>
      </c>
      <c r="B714" s="40" t="str">
        <f>_xlfn.TEXTJOIN("-",TRUE,"ITD",Input!$A$2,A714)</f>
        <v>ITD-X713</v>
      </c>
      <c r="C714" s="40" t="str" cm="1">
        <f t="array" ref="C714">IFERROR(_xlfn.LET(
_xlpm.CSVVal,_xlfn.XLOOKUP($A714,CSV!$A:$A,CSV!B:B,""),
_xlpm.MacVal,_xlfn.XLOOKUP($A714,Output_Mac!$A:$A,Output_Mac!B:B,""),
_xlpm.MyAuditVal,_xlfn.XLOOKUP($A714,My_Audit!$A:$A,My_Audit!B:B,""),
_xlfn.IFS(_xlpm.MyAuditVal&lt;&gt;"",UPPER(_xlpm.MyAuditVal),_xlpm.MacVal&lt;&gt;"",_xlpm.MacVal,_xlpm.CSVVal&lt;&gt;"",_xlpm.CSVVal
)),"")</f>
        <v/>
      </c>
      <c r="D714" s="40" t="str" cm="1">
        <f t="array" ref="D714">IFERROR(_xlfn.LET(
_xlpm.CSVVal,_xlfn.XLOOKUP($A714,CSV!$A:$A,CSV!D:D,""),
_xlpm.MacVal,_xlfn.XLOOKUP($A714,Output_Mac!$A:$A,Output_Mac!C:C,""),
_xlpm.MyAuditVal,_xlfn.XLOOKUP($A714,My_Audit!$A:$A,My_Audit!C:C,""),
_xlfn.IFS(_xlpm.MyAuditVal&lt;&gt;"",_xlpm.MyAuditVal,_xlpm.MacVal&lt;&gt;"",_xlpm.MacVal,_xlpm.CSVVal&lt;&gt;"",_xlpm.CSVVal
)),"")</f>
        <v/>
      </c>
      <c r="E714" s="40" t="str">
        <f>_xlfn.XLOOKUP(A714,My_Audit!A:A,My_Audit!D:D,"")</f>
        <v/>
      </c>
      <c r="F714" s="40" t="str" cm="1">
        <f t="array" ref="F714">IFERROR(_xlfn.LET(
_xlpm.CSVVal,_xlfn.XLOOKUP($A714,CSV!$A:$A,CSV!F:F,""),
_xlpm.MacVal,_xlfn.XLOOKUP($A714,Output_Mac!$A:$A,Output_Mac!E:E,""),
_xlpm.MyAuditVal,_xlfn.XLOOKUP($A714,My_Audit!$A:$A,My_Audit!E:E,""),
_xlfn.IFS(_xlpm.MyAuditVal&lt;&gt;"",_xlpm.MyAuditVal,_xlpm.MacVal&lt;&gt;"",_xlpm.MacVal,_xlpm.CSVVal&lt;&gt;"",_xlpm.CSVVal
)),"")</f>
        <v/>
      </c>
      <c r="G714" s="40" t="str" cm="1">
        <f t="array" ref="G714">IFERROR(_xlfn.LET(
_xlpm.CSVVal,_xlfn.XLOOKUP($A714,CSV!$A:$A,CSV!G:G,""),
_xlpm.MacVal,_xlfn.XLOOKUP($A714,Output_Mac!$A:$A,Output_Mac!F:F,""),
_xlpm.MyAuditVal,_xlfn.XLOOKUP($A714,My_Audit!$A:$A,My_Audit!F:F,""),
_xlfn.IFS(_xlpm.MyAuditVal&lt;&gt;"",_xlpm.MyAuditVal,_xlpm.MacVal&lt;&gt;"",_xlpm.MacVal,_xlpm.CSVVal&lt;&gt;"",PROPER(_xlpm.CSVVal)
)),"")</f>
        <v/>
      </c>
      <c r="H714" s="40" t="str" cm="1">
        <f t="array" ref="H714">IFERROR(_xlfn.LET(
_xlpm.CSVVal,_xlfn.XLOOKUP($A714,CSV!$A:$A,CSV!H:H,""),
_xlpm.MacVal,_xlfn.XLOOKUP($A714,Output_Mac!$A:$A,Output_Mac!H:H,""),
_xlpm.MyAuditVal,_xlfn.XLOOKUP($A714,My_Audit!$A:$A,My_Audit!G:G,""),
_xlfn.IFS(_xlpm.MyAuditVal&lt;&gt;"",_xlpm.MyAuditVal,_xlpm.MacVal&lt;&gt;"",_xlpm.MacVal,_xlpm.CSVVal&lt;&gt;"",_xlpm.CSVVal
)),"")</f>
        <v/>
      </c>
      <c r="I714" s="40" t="str">
        <f>_xlfn.XLOOKUP(A714,Output_Mac!A:A,Output_Mac!I:I,"")</f>
        <v/>
      </c>
      <c r="J714" s="40" t="str" cm="1">
        <f t="array" ref="J714">IFERROR(_xlfn.LET(
_xlpm.CSVVal,_xlfn.XLOOKUP($A714,CSV!$A:$A,CSV!I:I,""),
_xlpm.MacVal,_xlfn.XLOOKUP($A714,Output_Mac!$A:$A,Output_Mac!J:J,""),
_xlpm.MyAuditVal,_xlfn.XLOOKUP($A714,My_Audit!$A:$A,My_Audit!I:I,""),
_xlfn.IFS(_xlpm.MyAuditVal&lt;&gt;"",UPPER(_xlpm.MyAuditVal),_xlpm.MacVal&lt;&gt;"",_xlpm.MacVal,_xlpm.CSVVal&lt;&gt;"",_xlpm.CSVVal
)),"")</f>
        <v/>
      </c>
      <c r="K714" s="40" t="str" cm="1">
        <f t="array" ref="K714">IFERROR(_xlfn.LET(
_xlpm.CSVVal,_xlfn.XLOOKUP($A714,CSV!$A:$A,CSV!K:K,""),
_xlpm.MacVal,_xlfn.XLOOKUP($A714,Output_Mac!$A:$A,Output_Mac!K:K,""),
_xlpm.MyAuditVal,_xlfn.XLOOKUP($A714,My_Audit!$A:$A,My_Audit!J:J,""),
_xlfn.IFS(_xlpm.MyAuditVal&lt;&gt;"",UPPER(_xlpm.MyAuditVal),_xlpm.MacVal&lt;&gt;"",_xlpm.MacVal,_xlpm.CSVVal&lt;&gt;"",_xlpm.CSVVal
)),"")</f>
        <v/>
      </c>
      <c r="L714" s="40" t="str" cm="1">
        <f t="array" ref="L714">IFERROR(_xlfn.LET(
_xlpm.CSVVal,_xlfn.XLOOKUP($A714,CSV!$A:$A,CSV!P:P,""),
_xlpm.MacVal,_xlfn.XLOOKUP($A714,Output_Mac!$A:$A,Output_Mac!L:L,""),
_xlpm.MyAuditVal,_xlfn.XLOOKUP($A714,My_Audit!$A:$A,My_Audit!K:K,""),
_xlfn.IFS(_xlpm.MyAuditVal&lt;&gt;"",UPPER(_xlpm.MyAuditVal),_xlpm.MacVal&lt;&gt;"",_xlpm.MacVal,_xlpm.CSVVal&lt;&gt;"",_xlpm.CSVVal
)),"")</f>
        <v/>
      </c>
      <c r="M714" s="40" t="str" cm="1">
        <f t="array" ref="M714">IFERROR(_xlfn.LET(
_xlpm.CSVVal,_xlfn.XLOOKUP($A714,CSV!$A:$A,CSV!Q:Q,""),
_xlpm.MacVal,_xlfn.XLOOKUP($A714,Output_Mac!$A:$A,Output_Mac!M:M,""),
_xlpm.MyAuditVal,_xlfn.XLOOKUP($A714,My_Audit!$A:$A,My_Audit!L:L,""),
_xlfn.IFS(_xlpm.MyAuditVal&lt;&gt;"",UPPER(_xlpm.MyAuditVal),_xlpm.MacVal&lt;&gt;"",_xlpm.MacVal,_xlpm.CSVVal&lt;&gt;"",_xlpm.CSVVal
)),"")</f>
        <v/>
      </c>
      <c r="N714" s="40"/>
      <c r="O714" s="40" t="str">
        <f>_xlfn.LET(
    _xlpm.CSVVal, _xlfn.XLOOKUP($A714, CSV!$A:$A, CSV!AA:AA, ""),
    _xlpm.MacVal, _xlfn.XLOOKUP($A714, Output_Mac!$A:$A, Output_Mac!S:S, ""),
    _xlpm.MyAuditVal, _xlfn.XLOOKUP($A714, My_Audit!$A:$A, My_Audit!P:P, ""),
    _xlfn.TEXTJOIN(", ", TRUE, _xlpm.MyAuditVal, _xlpm.MacVal, _xlpm.CSVVal)
)</f>
        <v/>
      </c>
      <c r="P714" s="40" t="str" cm="1">
        <f t="array" ref="P714">IFERROR(_xlfn.LET(
_xlpm.CSVVal,_xlfn.XLOOKUP($A714,CSV!$A:$A,CSV!AB:AB,""),
_xlpm.MacVal,_xlfn.XLOOKUP($A714,Output_Mac!$A:$A,Output_Mac!T:T,""),
_xlpm.MyAuditVal,_xlfn.XLOOKUP($A714,My_Audit!$A:$A,My_Audit!Q:Q,""),
_xlfn.IFS(_xlpm.MyAuditVal&lt;&gt;"",UPPER(_xlpm.MyAuditVal),_xlpm.MacVal&lt;&gt;"",_xlpm.MacVal,_xlpm.CSVVal&lt;&gt;"",_xlpm.CSVVal
)),"No")</f>
        <v>No</v>
      </c>
      <c r="Q714" s="40" t="str" cm="1">
        <f t="array" ref="Q714">IFERROR(_xlfn.LET(
_xlpm.CSVVal,_xlfn.XLOOKUP($A714,CSV!$A:$A,CSV!AC:AC,""),
_xlpm.MacVal,_xlfn.XLOOKUP($A714,Output_Mac!$A:$A,Output_Mac!U:U,""),
_xlpm.MyAuditVal,_xlfn.XLOOKUP($A714,My_Audit!$A:$A,My_Audit!R:R,""),
_xlfn.IFS(_xlpm.MyAuditVal&lt;&gt;"",UPPER(_xlpm.MyAuditVal),_xlpm.MacVal&lt;&gt;"",_xlpm.MacVal,_xlpm.CSVVal&lt;&gt;"",_xlpm.CSVVal
)),"")</f>
        <v/>
      </c>
      <c r="R714" s="40"/>
      <c r="S714" s="40"/>
      <c r="T714" s="40"/>
      <c r="U714" s="40"/>
      <c r="V714" s="40"/>
      <c r="W714" s="40"/>
      <c r="X714" s="41" t="str">
        <f>_xlfn.LET(
    _xlpm.MacVal, _xlfn.XLOOKUP($A714, Output_Mac!$A:$A, Output_Mac!AB:AB, ""),
    _xlpm.MyAuditVal, _xlfn.XLOOKUP($A714, My_Audit!$A:$A, My_Audit!N:N, ""),
    _xlfn.TEXTJOIN(", ", TRUE, _xlpm.MyAuditVal, _xlpm.MacVal)
)</f>
        <v/>
      </c>
    </row>
    <row r="715" spans="1:24">
      <c r="A715" s="40" t="str">
        <f>_xlfn.TEXTJOIN("",TRUE,Input!$B$2,ROW(My_Audit!A714))</f>
        <v>X714</v>
      </c>
      <c r="B715" s="40" t="str">
        <f>_xlfn.TEXTJOIN("-",TRUE,"ITD",Input!$A$2,A715)</f>
        <v>ITD-X714</v>
      </c>
      <c r="C715" s="40" t="str" cm="1">
        <f t="array" ref="C715">IFERROR(_xlfn.LET(
_xlpm.CSVVal,_xlfn.XLOOKUP($A715,CSV!$A:$A,CSV!B:B,""),
_xlpm.MacVal,_xlfn.XLOOKUP($A715,Output_Mac!$A:$A,Output_Mac!B:B,""),
_xlpm.MyAuditVal,_xlfn.XLOOKUP($A715,My_Audit!$A:$A,My_Audit!B:B,""),
_xlfn.IFS(_xlpm.MyAuditVal&lt;&gt;"",UPPER(_xlpm.MyAuditVal),_xlpm.MacVal&lt;&gt;"",_xlpm.MacVal,_xlpm.CSVVal&lt;&gt;"",_xlpm.CSVVal
)),"")</f>
        <v/>
      </c>
      <c r="D715" s="40" t="str" cm="1">
        <f t="array" ref="D715">IFERROR(_xlfn.LET(
_xlpm.CSVVal,_xlfn.XLOOKUP($A715,CSV!$A:$A,CSV!D:D,""),
_xlpm.MacVal,_xlfn.XLOOKUP($A715,Output_Mac!$A:$A,Output_Mac!C:C,""),
_xlpm.MyAuditVal,_xlfn.XLOOKUP($A715,My_Audit!$A:$A,My_Audit!C:C,""),
_xlfn.IFS(_xlpm.MyAuditVal&lt;&gt;"",_xlpm.MyAuditVal,_xlpm.MacVal&lt;&gt;"",_xlpm.MacVal,_xlpm.CSVVal&lt;&gt;"",_xlpm.CSVVal
)),"")</f>
        <v/>
      </c>
      <c r="E715" s="40" t="str">
        <f>_xlfn.XLOOKUP(A715,My_Audit!A:A,My_Audit!D:D,"")</f>
        <v/>
      </c>
      <c r="F715" s="40" t="str" cm="1">
        <f t="array" ref="F715">IFERROR(_xlfn.LET(
_xlpm.CSVVal,_xlfn.XLOOKUP($A715,CSV!$A:$A,CSV!F:F,""),
_xlpm.MacVal,_xlfn.XLOOKUP($A715,Output_Mac!$A:$A,Output_Mac!E:E,""),
_xlpm.MyAuditVal,_xlfn.XLOOKUP($A715,My_Audit!$A:$A,My_Audit!E:E,""),
_xlfn.IFS(_xlpm.MyAuditVal&lt;&gt;"",_xlpm.MyAuditVal,_xlpm.MacVal&lt;&gt;"",_xlpm.MacVal,_xlpm.CSVVal&lt;&gt;"",_xlpm.CSVVal
)),"")</f>
        <v/>
      </c>
      <c r="G715" s="40" t="str" cm="1">
        <f t="array" ref="G715">IFERROR(_xlfn.LET(
_xlpm.CSVVal,_xlfn.XLOOKUP($A715,CSV!$A:$A,CSV!G:G,""),
_xlpm.MacVal,_xlfn.XLOOKUP($A715,Output_Mac!$A:$A,Output_Mac!F:F,""),
_xlpm.MyAuditVal,_xlfn.XLOOKUP($A715,My_Audit!$A:$A,My_Audit!F:F,""),
_xlfn.IFS(_xlpm.MyAuditVal&lt;&gt;"",_xlpm.MyAuditVal,_xlpm.MacVal&lt;&gt;"",_xlpm.MacVal,_xlpm.CSVVal&lt;&gt;"",PROPER(_xlpm.CSVVal)
)),"")</f>
        <v/>
      </c>
      <c r="H715" s="40" t="str" cm="1">
        <f t="array" ref="H715">IFERROR(_xlfn.LET(
_xlpm.CSVVal,_xlfn.XLOOKUP($A715,CSV!$A:$A,CSV!H:H,""),
_xlpm.MacVal,_xlfn.XLOOKUP($A715,Output_Mac!$A:$A,Output_Mac!H:H,""),
_xlpm.MyAuditVal,_xlfn.XLOOKUP($A715,My_Audit!$A:$A,My_Audit!G:G,""),
_xlfn.IFS(_xlpm.MyAuditVal&lt;&gt;"",_xlpm.MyAuditVal,_xlpm.MacVal&lt;&gt;"",_xlpm.MacVal,_xlpm.CSVVal&lt;&gt;"",_xlpm.CSVVal
)),"")</f>
        <v/>
      </c>
      <c r="I715" s="40" t="str">
        <f>_xlfn.XLOOKUP(A715,Output_Mac!A:A,Output_Mac!I:I,"")</f>
        <v/>
      </c>
      <c r="J715" s="40" t="str" cm="1">
        <f t="array" ref="J715">IFERROR(_xlfn.LET(
_xlpm.CSVVal,_xlfn.XLOOKUP($A715,CSV!$A:$A,CSV!I:I,""),
_xlpm.MacVal,_xlfn.XLOOKUP($A715,Output_Mac!$A:$A,Output_Mac!J:J,""),
_xlpm.MyAuditVal,_xlfn.XLOOKUP($A715,My_Audit!$A:$A,My_Audit!I:I,""),
_xlfn.IFS(_xlpm.MyAuditVal&lt;&gt;"",UPPER(_xlpm.MyAuditVal),_xlpm.MacVal&lt;&gt;"",_xlpm.MacVal,_xlpm.CSVVal&lt;&gt;"",_xlpm.CSVVal
)),"")</f>
        <v/>
      </c>
      <c r="K715" s="40" t="str" cm="1">
        <f t="array" ref="K715">IFERROR(_xlfn.LET(
_xlpm.CSVVal,_xlfn.XLOOKUP($A715,CSV!$A:$A,CSV!K:K,""),
_xlpm.MacVal,_xlfn.XLOOKUP($A715,Output_Mac!$A:$A,Output_Mac!K:K,""),
_xlpm.MyAuditVal,_xlfn.XLOOKUP($A715,My_Audit!$A:$A,My_Audit!J:J,""),
_xlfn.IFS(_xlpm.MyAuditVal&lt;&gt;"",UPPER(_xlpm.MyAuditVal),_xlpm.MacVal&lt;&gt;"",_xlpm.MacVal,_xlpm.CSVVal&lt;&gt;"",_xlpm.CSVVal
)),"")</f>
        <v/>
      </c>
      <c r="L715" s="40" t="str" cm="1">
        <f t="array" ref="L715">IFERROR(_xlfn.LET(
_xlpm.CSVVal,_xlfn.XLOOKUP($A715,CSV!$A:$A,CSV!P:P,""),
_xlpm.MacVal,_xlfn.XLOOKUP($A715,Output_Mac!$A:$A,Output_Mac!L:L,""),
_xlpm.MyAuditVal,_xlfn.XLOOKUP($A715,My_Audit!$A:$A,My_Audit!K:K,""),
_xlfn.IFS(_xlpm.MyAuditVal&lt;&gt;"",UPPER(_xlpm.MyAuditVal),_xlpm.MacVal&lt;&gt;"",_xlpm.MacVal,_xlpm.CSVVal&lt;&gt;"",_xlpm.CSVVal
)),"")</f>
        <v/>
      </c>
      <c r="M715" s="40" t="str" cm="1">
        <f t="array" ref="M715">IFERROR(_xlfn.LET(
_xlpm.CSVVal,_xlfn.XLOOKUP($A715,CSV!$A:$A,CSV!Q:Q,""),
_xlpm.MacVal,_xlfn.XLOOKUP($A715,Output_Mac!$A:$A,Output_Mac!M:M,""),
_xlpm.MyAuditVal,_xlfn.XLOOKUP($A715,My_Audit!$A:$A,My_Audit!L:L,""),
_xlfn.IFS(_xlpm.MyAuditVal&lt;&gt;"",UPPER(_xlpm.MyAuditVal),_xlpm.MacVal&lt;&gt;"",_xlpm.MacVal,_xlpm.CSVVal&lt;&gt;"",_xlpm.CSVVal
)),"")</f>
        <v/>
      </c>
      <c r="N715" s="40"/>
      <c r="O715" s="40" t="str">
        <f>_xlfn.LET(
    _xlpm.CSVVal, _xlfn.XLOOKUP($A715, CSV!$A:$A, CSV!AA:AA, ""),
    _xlpm.MacVal, _xlfn.XLOOKUP($A715, Output_Mac!$A:$A, Output_Mac!S:S, ""),
    _xlpm.MyAuditVal, _xlfn.XLOOKUP($A715, My_Audit!$A:$A, My_Audit!P:P, ""),
    _xlfn.TEXTJOIN(", ", TRUE, _xlpm.MyAuditVal, _xlpm.MacVal, _xlpm.CSVVal)
)</f>
        <v/>
      </c>
      <c r="P715" s="40" t="str" cm="1">
        <f t="array" ref="P715">IFERROR(_xlfn.LET(
_xlpm.CSVVal,_xlfn.XLOOKUP($A715,CSV!$A:$A,CSV!AB:AB,""),
_xlpm.MacVal,_xlfn.XLOOKUP($A715,Output_Mac!$A:$A,Output_Mac!T:T,""),
_xlpm.MyAuditVal,_xlfn.XLOOKUP($A715,My_Audit!$A:$A,My_Audit!Q:Q,""),
_xlfn.IFS(_xlpm.MyAuditVal&lt;&gt;"",UPPER(_xlpm.MyAuditVal),_xlpm.MacVal&lt;&gt;"",_xlpm.MacVal,_xlpm.CSVVal&lt;&gt;"",_xlpm.CSVVal
)),"No")</f>
        <v>No</v>
      </c>
      <c r="Q715" s="40" t="str" cm="1">
        <f t="array" ref="Q715">IFERROR(_xlfn.LET(
_xlpm.CSVVal,_xlfn.XLOOKUP($A715,CSV!$A:$A,CSV!AC:AC,""),
_xlpm.MacVal,_xlfn.XLOOKUP($A715,Output_Mac!$A:$A,Output_Mac!U:U,""),
_xlpm.MyAuditVal,_xlfn.XLOOKUP($A715,My_Audit!$A:$A,My_Audit!R:R,""),
_xlfn.IFS(_xlpm.MyAuditVal&lt;&gt;"",UPPER(_xlpm.MyAuditVal),_xlpm.MacVal&lt;&gt;"",_xlpm.MacVal,_xlpm.CSVVal&lt;&gt;"",_xlpm.CSVVal
)),"")</f>
        <v/>
      </c>
      <c r="R715" s="40"/>
      <c r="S715" s="40"/>
      <c r="T715" s="40"/>
      <c r="U715" s="40"/>
      <c r="V715" s="40"/>
      <c r="W715" s="40"/>
      <c r="X715" s="41" t="str">
        <f>_xlfn.LET(
    _xlpm.MacVal, _xlfn.XLOOKUP($A715, Output_Mac!$A:$A, Output_Mac!AB:AB, ""),
    _xlpm.MyAuditVal, _xlfn.XLOOKUP($A715, My_Audit!$A:$A, My_Audit!N:N, ""),
    _xlfn.TEXTJOIN(", ", TRUE, _xlpm.MyAuditVal, _xlpm.MacVal)
)</f>
        <v/>
      </c>
    </row>
    <row r="716" spans="1:24">
      <c r="A716" s="40" t="str">
        <f>_xlfn.TEXTJOIN("",TRUE,Input!$B$2,ROW(My_Audit!A715))</f>
        <v>X715</v>
      </c>
      <c r="B716" s="40" t="str">
        <f>_xlfn.TEXTJOIN("-",TRUE,"ITD",Input!$A$2,A716)</f>
        <v>ITD-X715</v>
      </c>
      <c r="C716" s="40" t="str" cm="1">
        <f t="array" ref="C716">IFERROR(_xlfn.LET(
_xlpm.CSVVal,_xlfn.XLOOKUP($A716,CSV!$A:$A,CSV!B:B,""),
_xlpm.MacVal,_xlfn.XLOOKUP($A716,Output_Mac!$A:$A,Output_Mac!B:B,""),
_xlpm.MyAuditVal,_xlfn.XLOOKUP($A716,My_Audit!$A:$A,My_Audit!B:B,""),
_xlfn.IFS(_xlpm.MyAuditVal&lt;&gt;"",UPPER(_xlpm.MyAuditVal),_xlpm.MacVal&lt;&gt;"",_xlpm.MacVal,_xlpm.CSVVal&lt;&gt;"",_xlpm.CSVVal
)),"")</f>
        <v/>
      </c>
      <c r="D716" s="40" t="str" cm="1">
        <f t="array" ref="D716">IFERROR(_xlfn.LET(
_xlpm.CSVVal,_xlfn.XLOOKUP($A716,CSV!$A:$A,CSV!D:D,""),
_xlpm.MacVal,_xlfn.XLOOKUP($A716,Output_Mac!$A:$A,Output_Mac!C:C,""),
_xlpm.MyAuditVal,_xlfn.XLOOKUP($A716,My_Audit!$A:$A,My_Audit!C:C,""),
_xlfn.IFS(_xlpm.MyAuditVal&lt;&gt;"",_xlpm.MyAuditVal,_xlpm.MacVal&lt;&gt;"",_xlpm.MacVal,_xlpm.CSVVal&lt;&gt;"",_xlpm.CSVVal
)),"")</f>
        <v/>
      </c>
      <c r="E716" s="40" t="str">
        <f>_xlfn.XLOOKUP(A716,My_Audit!A:A,My_Audit!D:D,"")</f>
        <v/>
      </c>
      <c r="F716" s="40" t="str" cm="1">
        <f t="array" ref="F716">IFERROR(_xlfn.LET(
_xlpm.CSVVal,_xlfn.XLOOKUP($A716,CSV!$A:$A,CSV!F:F,""),
_xlpm.MacVal,_xlfn.XLOOKUP($A716,Output_Mac!$A:$A,Output_Mac!E:E,""),
_xlpm.MyAuditVal,_xlfn.XLOOKUP($A716,My_Audit!$A:$A,My_Audit!E:E,""),
_xlfn.IFS(_xlpm.MyAuditVal&lt;&gt;"",_xlpm.MyAuditVal,_xlpm.MacVal&lt;&gt;"",_xlpm.MacVal,_xlpm.CSVVal&lt;&gt;"",_xlpm.CSVVal
)),"")</f>
        <v/>
      </c>
      <c r="G716" s="40" t="str" cm="1">
        <f t="array" ref="G716">IFERROR(_xlfn.LET(
_xlpm.CSVVal,_xlfn.XLOOKUP($A716,CSV!$A:$A,CSV!G:G,""),
_xlpm.MacVal,_xlfn.XLOOKUP($A716,Output_Mac!$A:$A,Output_Mac!F:F,""),
_xlpm.MyAuditVal,_xlfn.XLOOKUP($A716,My_Audit!$A:$A,My_Audit!F:F,""),
_xlfn.IFS(_xlpm.MyAuditVal&lt;&gt;"",_xlpm.MyAuditVal,_xlpm.MacVal&lt;&gt;"",_xlpm.MacVal,_xlpm.CSVVal&lt;&gt;"",PROPER(_xlpm.CSVVal)
)),"")</f>
        <v/>
      </c>
      <c r="H716" s="40" t="str" cm="1">
        <f t="array" ref="H716">IFERROR(_xlfn.LET(
_xlpm.CSVVal,_xlfn.XLOOKUP($A716,CSV!$A:$A,CSV!H:H,""),
_xlpm.MacVal,_xlfn.XLOOKUP($A716,Output_Mac!$A:$A,Output_Mac!H:H,""),
_xlpm.MyAuditVal,_xlfn.XLOOKUP($A716,My_Audit!$A:$A,My_Audit!G:G,""),
_xlfn.IFS(_xlpm.MyAuditVal&lt;&gt;"",_xlpm.MyAuditVal,_xlpm.MacVal&lt;&gt;"",_xlpm.MacVal,_xlpm.CSVVal&lt;&gt;"",_xlpm.CSVVal
)),"")</f>
        <v/>
      </c>
      <c r="I716" s="40" t="str">
        <f>_xlfn.XLOOKUP(A716,Output_Mac!A:A,Output_Mac!I:I,"")</f>
        <v/>
      </c>
      <c r="J716" s="40" t="str" cm="1">
        <f t="array" ref="J716">IFERROR(_xlfn.LET(
_xlpm.CSVVal,_xlfn.XLOOKUP($A716,CSV!$A:$A,CSV!I:I,""),
_xlpm.MacVal,_xlfn.XLOOKUP($A716,Output_Mac!$A:$A,Output_Mac!J:J,""),
_xlpm.MyAuditVal,_xlfn.XLOOKUP($A716,My_Audit!$A:$A,My_Audit!I:I,""),
_xlfn.IFS(_xlpm.MyAuditVal&lt;&gt;"",UPPER(_xlpm.MyAuditVal),_xlpm.MacVal&lt;&gt;"",_xlpm.MacVal,_xlpm.CSVVal&lt;&gt;"",_xlpm.CSVVal
)),"")</f>
        <v/>
      </c>
      <c r="K716" s="40" t="str" cm="1">
        <f t="array" ref="K716">IFERROR(_xlfn.LET(
_xlpm.CSVVal,_xlfn.XLOOKUP($A716,CSV!$A:$A,CSV!K:K,""),
_xlpm.MacVal,_xlfn.XLOOKUP($A716,Output_Mac!$A:$A,Output_Mac!K:K,""),
_xlpm.MyAuditVal,_xlfn.XLOOKUP($A716,My_Audit!$A:$A,My_Audit!J:J,""),
_xlfn.IFS(_xlpm.MyAuditVal&lt;&gt;"",UPPER(_xlpm.MyAuditVal),_xlpm.MacVal&lt;&gt;"",_xlpm.MacVal,_xlpm.CSVVal&lt;&gt;"",_xlpm.CSVVal
)),"")</f>
        <v/>
      </c>
      <c r="L716" s="40" t="str" cm="1">
        <f t="array" ref="L716">IFERROR(_xlfn.LET(
_xlpm.CSVVal,_xlfn.XLOOKUP($A716,CSV!$A:$A,CSV!P:P,""),
_xlpm.MacVal,_xlfn.XLOOKUP($A716,Output_Mac!$A:$A,Output_Mac!L:L,""),
_xlpm.MyAuditVal,_xlfn.XLOOKUP($A716,My_Audit!$A:$A,My_Audit!K:K,""),
_xlfn.IFS(_xlpm.MyAuditVal&lt;&gt;"",UPPER(_xlpm.MyAuditVal),_xlpm.MacVal&lt;&gt;"",_xlpm.MacVal,_xlpm.CSVVal&lt;&gt;"",_xlpm.CSVVal
)),"")</f>
        <v/>
      </c>
      <c r="M716" s="40" t="str" cm="1">
        <f t="array" ref="M716">IFERROR(_xlfn.LET(
_xlpm.CSVVal,_xlfn.XLOOKUP($A716,CSV!$A:$A,CSV!Q:Q,""),
_xlpm.MacVal,_xlfn.XLOOKUP($A716,Output_Mac!$A:$A,Output_Mac!M:M,""),
_xlpm.MyAuditVal,_xlfn.XLOOKUP($A716,My_Audit!$A:$A,My_Audit!L:L,""),
_xlfn.IFS(_xlpm.MyAuditVal&lt;&gt;"",UPPER(_xlpm.MyAuditVal),_xlpm.MacVal&lt;&gt;"",_xlpm.MacVal,_xlpm.CSVVal&lt;&gt;"",_xlpm.CSVVal
)),"")</f>
        <v/>
      </c>
      <c r="N716" s="40"/>
      <c r="O716" s="40" t="str">
        <f>_xlfn.LET(
    _xlpm.CSVVal, _xlfn.XLOOKUP($A716, CSV!$A:$A, CSV!AA:AA, ""),
    _xlpm.MacVal, _xlfn.XLOOKUP($A716, Output_Mac!$A:$A, Output_Mac!S:S, ""),
    _xlpm.MyAuditVal, _xlfn.XLOOKUP($A716, My_Audit!$A:$A, My_Audit!P:P, ""),
    _xlfn.TEXTJOIN(", ", TRUE, _xlpm.MyAuditVal, _xlpm.MacVal, _xlpm.CSVVal)
)</f>
        <v/>
      </c>
      <c r="P716" s="40" t="str" cm="1">
        <f t="array" ref="P716">IFERROR(_xlfn.LET(
_xlpm.CSVVal,_xlfn.XLOOKUP($A716,CSV!$A:$A,CSV!AB:AB,""),
_xlpm.MacVal,_xlfn.XLOOKUP($A716,Output_Mac!$A:$A,Output_Mac!T:T,""),
_xlpm.MyAuditVal,_xlfn.XLOOKUP($A716,My_Audit!$A:$A,My_Audit!Q:Q,""),
_xlfn.IFS(_xlpm.MyAuditVal&lt;&gt;"",UPPER(_xlpm.MyAuditVal),_xlpm.MacVal&lt;&gt;"",_xlpm.MacVal,_xlpm.CSVVal&lt;&gt;"",_xlpm.CSVVal
)),"No")</f>
        <v>No</v>
      </c>
      <c r="Q716" s="40" t="str" cm="1">
        <f t="array" ref="Q716">IFERROR(_xlfn.LET(
_xlpm.CSVVal,_xlfn.XLOOKUP($A716,CSV!$A:$A,CSV!AC:AC,""),
_xlpm.MacVal,_xlfn.XLOOKUP($A716,Output_Mac!$A:$A,Output_Mac!U:U,""),
_xlpm.MyAuditVal,_xlfn.XLOOKUP($A716,My_Audit!$A:$A,My_Audit!R:R,""),
_xlfn.IFS(_xlpm.MyAuditVal&lt;&gt;"",UPPER(_xlpm.MyAuditVal),_xlpm.MacVal&lt;&gt;"",_xlpm.MacVal,_xlpm.CSVVal&lt;&gt;"",_xlpm.CSVVal
)),"")</f>
        <v/>
      </c>
      <c r="R716" s="40"/>
      <c r="S716" s="40"/>
      <c r="T716" s="40"/>
      <c r="U716" s="40"/>
      <c r="V716" s="40"/>
      <c r="W716" s="40"/>
      <c r="X716" s="41" t="str">
        <f>_xlfn.LET(
    _xlpm.MacVal, _xlfn.XLOOKUP($A716, Output_Mac!$A:$A, Output_Mac!AB:AB, ""),
    _xlpm.MyAuditVal, _xlfn.XLOOKUP($A716, My_Audit!$A:$A, My_Audit!N:N, ""),
    _xlfn.TEXTJOIN(", ", TRUE, _xlpm.MyAuditVal, _xlpm.MacVal)
)</f>
        <v/>
      </c>
    </row>
    <row r="717" spans="1:24">
      <c r="A717" s="40" t="str">
        <f>_xlfn.TEXTJOIN("",TRUE,Input!$B$2,ROW(My_Audit!A716))</f>
        <v>X716</v>
      </c>
      <c r="B717" s="40" t="str">
        <f>_xlfn.TEXTJOIN("-",TRUE,"ITD",Input!$A$2,A717)</f>
        <v>ITD-X716</v>
      </c>
      <c r="C717" s="40" t="str" cm="1">
        <f t="array" ref="C717">IFERROR(_xlfn.LET(
_xlpm.CSVVal,_xlfn.XLOOKUP($A717,CSV!$A:$A,CSV!B:B,""),
_xlpm.MacVal,_xlfn.XLOOKUP($A717,Output_Mac!$A:$A,Output_Mac!B:B,""),
_xlpm.MyAuditVal,_xlfn.XLOOKUP($A717,My_Audit!$A:$A,My_Audit!B:B,""),
_xlfn.IFS(_xlpm.MyAuditVal&lt;&gt;"",UPPER(_xlpm.MyAuditVal),_xlpm.MacVal&lt;&gt;"",_xlpm.MacVal,_xlpm.CSVVal&lt;&gt;"",_xlpm.CSVVal
)),"")</f>
        <v/>
      </c>
      <c r="D717" s="40" t="str" cm="1">
        <f t="array" ref="D717">IFERROR(_xlfn.LET(
_xlpm.CSVVal,_xlfn.XLOOKUP($A717,CSV!$A:$A,CSV!D:D,""),
_xlpm.MacVal,_xlfn.XLOOKUP($A717,Output_Mac!$A:$A,Output_Mac!C:C,""),
_xlpm.MyAuditVal,_xlfn.XLOOKUP($A717,My_Audit!$A:$A,My_Audit!C:C,""),
_xlfn.IFS(_xlpm.MyAuditVal&lt;&gt;"",_xlpm.MyAuditVal,_xlpm.MacVal&lt;&gt;"",_xlpm.MacVal,_xlpm.CSVVal&lt;&gt;"",_xlpm.CSVVal
)),"")</f>
        <v/>
      </c>
      <c r="E717" s="40" t="str">
        <f>_xlfn.XLOOKUP(A717,My_Audit!A:A,My_Audit!D:D,"")</f>
        <v/>
      </c>
      <c r="F717" s="40" t="str" cm="1">
        <f t="array" ref="F717">IFERROR(_xlfn.LET(
_xlpm.CSVVal,_xlfn.XLOOKUP($A717,CSV!$A:$A,CSV!F:F,""),
_xlpm.MacVal,_xlfn.XLOOKUP($A717,Output_Mac!$A:$A,Output_Mac!E:E,""),
_xlpm.MyAuditVal,_xlfn.XLOOKUP($A717,My_Audit!$A:$A,My_Audit!E:E,""),
_xlfn.IFS(_xlpm.MyAuditVal&lt;&gt;"",_xlpm.MyAuditVal,_xlpm.MacVal&lt;&gt;"",_xlpm.MacVal,_xlpm.CSVVal&lt;&gt;"",_xlpm.CSVVal
)),"")</f>
        <v/>
      </c>
      <c r="G717" s="40" t="str" cm="1">
        <f t="array" ref="G717">IFERROR(_xlfn.LET(
_xlpm.CSVVal,_xlfn.XLOOKUP($A717,CSV!$A:$A,CSV!G:G,""),
_xlpm.MacVal,_xlfn.XLOOKUP($A717,Output_Mac!$A:$A,Output_Mac!F:F,""),
_xlpm.MyAuditVal,_xlfn.XLOOKUP($A717,My_Audit!$A:$A,My_Audit!F:F,""),
_xlfn.IFS(_xlpm.MyAuditVal&lt;&gt;"",_xlpm.MyAuditVal,_xlpm.MacVal&lt;&gt;"",_xlpm.MacVal,_xlpm.CSVVal&lt;&gt;"",PROPER(_xlpm.CSVVal)
)),"")</f>
        <v/>
      </c>
      <c r="H717" s="40" t="str" cm="1">
        <f t="array" ref="H717">IFERROR(_xlfn.LET(
_xlpm.CSVVal,_xlfn.XLOOKUP($A717,CSV!$A:$A,CSV!H:H,""),
_xlpm.MacVal,_xlfn.XLOOKUP($A717,Output_Mac!$A:$A,Output_Mac!H:H,""),
_xlpm.MyAuditVal,_xlfn.XLOOKUP($A717,My_Audit!$A:$A,My_Audit!G:G,""),
_xlfn.IFS(_xlpm.MyAuditVal&lt;&gt;"",_xlpm.MyAuditVal,_xlpm.MacVal&lt;&gt;"",_xlpm.MacVal,_xlpm.CSVVal&lt;&gt;"",_xlpm.CSVVal
)),"")</f>
        <v/>
      </c>
      <c r="I717" s="40" t="str">
        <f>_xlfn.XLOOKUP(A717,Output_Mac!A:A,Output_Mac!I:I,"")</f>
        <v/>
      </c>
      <c r="J717" s="40" t="str" cm="1">
        <f t="array" ref="J717">IFERROR(_xlfn.LET(
_xlpm.CSVVal,_xlfn.XLOOKUP($A717,CSV!$A:$A,CSV!I:I,""),
_xlpm.MacVal,_xlfn.XLOOKUP($A717,Output_Mac!$A:$A,Output_Mac!J:J,""),
_xlpm.MyAuditVal,_xlfn.XLOOKUP($A717,My_Audit!$A:$A,My_Audit!I:I,""),
_xlfn.IFS(_xlpm.MyAuditVal&lt;&gt;"",UPPER(_xlpm.MyAuditVal),_xlpm.MacVal&lt;&gt;"",_xlpm.MacVal,_xlpm.CSVVal&lt;&gt;"",_xlpm.CSVVal
)),"")</f>
        <v/>
      </c>
      <c r="K717" s="40" t="str" cm="1">
        <f t="array" ref="K717">IFERROR(_xlfn.LET(
_xlpm.CSVVal,_xlfn.XLOOKUP($A717,CSV!$A:$A,CSV!K:K,""),
_xlpm.MacVal,_xlfn.XLOOKUP($A717,Output_Mac!$A:$A,Output_Mac!K:K,""),
_xlpm.MyAuditVal,_xlfn.XLOOKUP($A717,My_Audit!$A:$A,My_Audit!J:J,""),
_xlfn.IFS(_xlpm.MyAuditVal&lt;&gt;"",UPPER(_xlpm.MyAuditVal),_xlpm.MacVal&lt;&gt;"",_xlpm.MacVal,_xlpm.CSVVal&lt;&gt;"",_xlpm.CSVVal
)),"")</f>
        <v/>
      </c>
      <c r="L717" s="40" t="str" cm="1">
        <f t="array" ref="L717">IFERROR(_xlfn.LET(
_xlpm.CSVVal,_xlfn.XLOOKUP($A717,CSV!$A:$A,CSV!P:P,""),
_xlpm.MacVal,_xlfn.XLOOKUP($A717,Output_Mac!$A:$A,Output_Mac!L:L,""),
_xlpm.MyAuditVal,_xlfn.XLOOKUP($A717,My_Audit!$A:$A,My_Audit!K:K,""),
_xlfn.IFS(_xlpm.MyAuditVal&lt;&gt;"",UPPER(_xlpm.MyAuditVal),_xlpm.MacVal&lt;&gt;"",_xlpm.MacVal,_xlpm.CSVVal&lt;&gt;"",_xlpm.CSVVal
)),"")</f>
        <v/>
      </c>
      <c r="M717" s="40" t="str" cm="1">
        <f t="array" ref="M717">IFERROR(_xlfn.LET(
_xlpm.CSVVal,_xlfn.XLOOKUP($A717,CSV!$A:$A,CSV!Q:Q,""),
_xlpm.MacVal,_xlfn.XLOOKUP($A717,Output_Mac!$A:$A,Output_Mac!M:M,""),
_xlpm.MyAuditVal,_xlfn.XLOOKUP($A717,My_Audit!$A:$A,My_Audit!L:L,""),
_xlfn.IFS(_xlpm.MyAuditVal&lt;&gt;"",UPPER(_xlpm.MyAuditVal),_xlpm.MacVal&lt;&gt;"",_xlpm.MacVal,_xlpm.CSVVal&lt;&gt;"",_xlpm.CSVVal
)),"")</f>
        <v/>
      </c>
      <c r="N717" s="40"/>
      <c r="O717" s="40" t="str">
        <f>_xlfn.LET(
    _xlpm.CSVVal, _xlfn.XLOOKUP($A717, CSV!$A:$A, CSV!AA:AA, ""),
    _xlpm.MacVal, _xlfn.XLOOKUP($A717, Output_Mac!$A:$A, Output_Mac!S:S, ""),
    _xlpm.MyAuditVal, _xlfn.XLOOKUP($A717, My_Audit!$A:$A, My_Audit!P:P, ""),
    _xlfn.TEXTJOIN(", ", TRUE, _xlpm.MyAuditVal, _xlpm.MacVal, _xlpm.CSVVal)
)</f>
        <v/>
      </c>
      <c r="P717" s="40" t="str" cm="1">
        <f t="array" ref="P717">IFERROR(_xlfn.LET(
_xlpm.CSVVal,_xlfn.XLOOKUP($A717,CSV!$A:$A,CSV!AB:AB,""),
_xlpm.MacVal,_xlfn.XLOOKUP($A717,Output_Mac!$A:$A,Output_Mac!T:T,""),
_xlpm.MyAuditVal,_xlfn.XLOOKUP($A717,My_Audit!$A:$A,My_Audit!Q:Q,""),
_xlfn.IFS(_xlpm.MyAuditVal&lt;&gt;"",UPPER(_xlpm.MyAuditVal),_xlpm.MacVal&lt;&gt;"",_xlpm.MacVal,_xlpm.CSVVal&lt;&gt;"",_xlpm.CSVVal
)),"No")</f>
        <v>No</v>
      </c>
      <c r="Q717" s="40" t="str" cm="1">
        <f t="array" ref="Q717">IFERROR(_xlfn.LET(
_xlpm.CSVVal,_xlfn.XLOOKUP($A717,CSV!$A:$A,CSV!AC:AC,""),
_xlpm.MacVal,_xlfn.XLOOKUP($A717,Output_Mac!$A:$A,Output_Mac!U:U,""),
_xlpm.MyAuditVal,_xlfn.XLOOKUP($A717,My_Audit!$A:$A,My_Audit!R:R,""),
_xlfn.IFS(_xlpm.MyAuditVal&lt;&gt;"",UPPER(_xlpm.MyAuditVal),_xlpm.MacVal&lt;&gt;"",_xlpm.MacVal,_xlpm.CSVVal&lt;&gt;"",_xlpm.CSVVal
)),"")</f>
        <v/>
      </c>
      <c r="R717" s="40"/>
      <c r="S717" s="40"/>
      <c r="T717" s="40"/>
      <c r="U717" s="40"/>
      <c r="V717" s="40"/>
      <c r="W717" s="40"/>
      <c r="X717" s="41" t="str">
        <f>_xlfn.LET(
    _xlpm.MacVal, _xlfn.XLOOKUP($A717, Output_Mac!$A:$A, Output_Mac!AB:AB, ""),
    _xlpm.MyAuditVal, _xlfn.XLOOKUP($A717, My_Audit!$A:$A, My_Audit!N:N, ""),
    _xlfn.TEXTJOIN(", ", TRUE, _xlpm.MyAuditVal, _xlpm.MacVal)
)</f>
        <v/>
      </c>
    </row>
    <row r="718" spans="1:24">
      <c r="A718" s="40" t="str">
        <f>_xlfn.TEXTJOIN("",TRUE,Input!$B$2,ROW(My_Audit!A717))</f>
        <v>X717</v>
      </c>
      <c r="B718" s="40" t="str">
        <f>_xlfn.TEXTJOIN("-",TRUE,"ITD",Input!$A$2,A718)</f>
        <v>ITD-X717</v>
      </c>
      <c r="C718" s="40" t="str" cm="1">
        <f t="array" ref="C718">IFERROR(_xlfn.LET(
_xlpm.CSVVal,_xlfn.XLOOKUP($A718,CSV!$A:$A,CSV!B:B,""),
_xlpm.MacVal,_xlfn.XLOOKUP($A718,Output_Mac!$A:$A,Output_Mac!B:B,""),
_xlpm.MyAuditVal,_xlfn.XLOOKUP($A718,My_Audit!$A:$A,My_Audit!B:B,""),
_xlfn.IFS(_xlpm.MyAuditVal&lt;&gt;"",UPPER(_xlpm.MyAuditVal),_xlpm.MacVal&lt;&gt;"",_xlpm.MacVal,_xlpm.CSVVal&lt;&gt;"",_xlpm.CSVVal
)),"")</f>
        <v/>
      </c>
      <c r="D718" s="40" t="str" cm="1">
        <f t="array" ref="D718">IFERROR(_xlfn.LET(
_xlpm.CSVVal,_xlfn.XLOOKUP($A718,CSV!$A:$A,CSV!D:D,""),
_xlpm.MacVal,_xlfn.XLOOKUP($A718,Output_Mac!$A:$A,Output_Mac!C:C,""),
_xlpm.MyAuditVal,_xlfn.XLOOKUP($A718,My_Audit!$A:$A,My_Audit!C:C,""),
_xlfn.IFS(_xlpm.MyAuditVal&lt;&gt;"",_xlpm.MyAuditVal,_xlpm.MacVal&lt;&gt;"",_xlpm.MacVal,_xlpm.CSVVal&lt;&gt;"",_xlpm.CSVVal
)),"")</f>
        <v/>
      </c>
      <c r="E718" s="40" t="str">
        <f>_xlfn.XLOOKUP(A718,My_Audit!A:A,My_Audit!D:D,"")</f>
        <v/>
      </c>
      <c r="F718" s="40" t="str" cm="1">
        <f t="array" ref="F718">IFERROR(_xlfn.LET(
_xlpm.CSVVal,_xlfn.XLOOKUP($A718,CSV!$A:$A,CSV!F:F,""),
_xlpm.MacVal,_xlfn.XLOOKUP($A718,Output_Mac!$A:$A,Output_Mac!E:E,""),
_xlpm.MyAuditVal,_xlfn.XLOOKUP($A718,My_Audit!$A:$A,My_Audit!E:E,""),
_xlfn.IFS(_xlpm.MyAuditVal&lt;&gt;"",_xlpm.MyAuditVal,_xlpm.MacVal&lt;&gt;"",_xlpm.MacVal,_xlpm.CSVVal&lt;&gt;"",_xlpm.CSVVal
)),"")</f>
        <v/>
      </c>
      <c r="G718" s="40" t="str" cm="1">
        <f t="array" ref="G718">IFERROR(_xlfn.LET(
_xlpm.CSVVal,_xlfn.XLOOKUP($A718,CSV!$A:$A,CSV!G:G,""),
_xlpm.MacVal,_xlfn.XLOOKUP($A718,Output_Mac!$A:$A,Output_Mac!F:F,""),
_xlpm.MyAuditVal,_xlfn.XLOOKUP($A718,My_Audit!$A:$A,My_Audit!F:F,""),
_xlfn.IFS(_xlpm.MyAuditVal&lt;&gt;"",_xlpm.MyAuditVal,_xlpm.MacVal&lt;&gt;"",_xlpm.MacVal,_xlpm.CSVVal&lt;&gt;"",PROPER(_xlpm.CSVVal)
)),"")</f>
        <v/>
      </c>
      <c r="H718" s="40" t="str" cm="1">
        <f t="array" ref="H718">IFERROR(_xlfn.LET(
_xlpm.CSVVal,_xlfn.XLOOKUP($A718,CSV!$A:$A,CSV!H:H,""),
_xlpm.MacVal,_xlfn.XLOOKUP($A718,Output_Mac!$A:$A,Output_Mac!H:H,""),
_xlpm.MyAuditVal,_xlfn.XLOOKUP($A718,My_Audit!$A:$A,My_Audit!G:G,""),
_xlfn.IFS(_xlpm.MyAuditVal&lt;&gt;"",_xlpm.MyAuditVal,_xlpm.MacVal&lt;&gt;"",_xlpm.MacVal,_xlpm.CSVVal&lt;&gt;"",_xlpm.CSVVal
)),"")</f>
        <v/>
      </c>
      <c r="I718" s="40" t="str">
        <f>_xlfn.XLOOKUP(A718,Output_Mac!A:A,Output_Mac!I:I,"")</f>
        <v/>
      </c>
      <c r="J718" s="40" t="str" cm="1">
        <f t="array" ref="J718">IFERROR(_xlfn.LET(
_xlpm.CSVVal,_xlfn.XLOOKUP($A718,CSV!$A:$A,CSV!I:I,""),
_xlpm.MacVal,_xlfn.XLOOKUP($A718,Output_Mac!$A:$A,Output_Mac!J:J,""),
_xlpm.MyAuditVal,_xlfn.XLOOKUP($A718,My_Audit!$A:$A,My_Audit!I:I,""),
_xlfn.IFS(_xlpm.MyAuditVal&lt;&gt;"",UPPER(_xlpm.MyAuditVal),_xlpm.MacVal&lt;&gt;"",_xlpm.MacVal,_xlpm.CSVVal&lt;&gt;"",_xlpm.CSVVal
)),"")</f>
        <v/>
      </c>
      <c r="K718" s="40" t="str" cm="1">
        <f t="array" ref="K718">IFERROR(_xlfn.LET(
_xlpm.CSVVal,_xlfn.XLOOKUP($A718,CSV!$A:$A,CSV!K:K,""),
_xlpm.MacVal,_xlfn.XLOOKUP($A718,Output_Mac!$A:$A,Output_Mac!K:K,""),
_xlpm.MyAuditVal,_xlfn.XLOOKUP($A718,My_Audit!$A:$A,My_Audit!J:J,""),
_xlfn.IFS(_xlpm.MyAuditVal&lt;&gt;"",UPPER(_xlpm.MyAuditVal),_xlpm.MacVal&lt;&gt;"",_xlpm.MacVal,_xlpm.CSVVal&lt;&gt;"",_xlpm.CSVVal
)),"")</f>
        <v/>
      </c>
      <c r="L718" s="40" t="str" cm="1">
        <f t="array" ref="L718">IFERROR(_xlfn.LET(
_xlpm.CSVVal,_xlfn.XLOOKUP($A718,CSV!$A:$A,CSV!P:P,""),
_xlpm.MacVal,_xlfn.XLOOKUP($A718,Output_Mac!$A:$A,Output_Mac!L:L,""),
_xlpm.MyAuditVal,_xlfn.XLOOKUP($A718,My_Audit!$A:$A,My_Audit!K:K,""),
_xlfn.IFS(_xlpm.MyAuditVal&lt;&gt;"",UPPER(_xlpm.MyAuditVal),_xlpm.MacVal&lt;&gt;"",_xlpm.MacVal,_xlpm.CSVVal&lt;&gt;"",_xlpm.CSVVal
)),"")</f>
        <v/>
      </c>
      <c r="M718" s="40" t="str" cm="1">
        <f t="array" ref="M718">IFERROR(_xlfn.LET(
_xlpm.CSVVal,_xlfn.XLOOKUP($A718,CSV!$A:$A,CSV!Q:Q,""),
_xlpm.MacVal,_xlfn.XLOOKUP($A718,Output_Mac!$A:$A,Output_Mac!M:M,""),
_xlpm.MyAuditVal,_xlfn.XLOOKUP($A718,My_Audit!$A:$A,My_Audit!L:L,""),
_xlfn.IFS(_xlpm.MyAuditVal&lt;&gt;"",UPPER(_xlpm.MyAuditVal),_xlpm.MacVal&lt;&gt;"",_xlpm.MacVal,_xlpm.CSVVal&lt;&gt;"",_xlpm.CSVVal
)),"")</f>
        <v/>
      </c>
      <c r="N718" s="40"/>
      <c r="O718" s="40" t="str">
        <f>_xlfn.LET(
    _xlpm.CSVVal, _xlfn.XLOOKUP($A718, CSV!$A:$A, CSV!AA:AA, ""),
    _xlpm.MacVal, _xlfn.XLOOKUP($A718, Output_Mac!$A:$A, Output_Mac!S:S, ""),
    _xlpm.MyAuditVal, _xlfn.XLOOKUP($A718, My_Audit!$A:$A, My_Audit!P:P, ""),
    _xlfn.TEXTJOIN(", ", TRUE, _xlpm.MyAuditVal, _xlpm.MacVal, _xlpm.CSVVal)
)</f>
        <v/>
      </c>
      <c r="P718" s="40" t="str" cm="1">
        <f t="array" ref="P718">IFERROR(_xlfn.LET(
_xlpm.CSVVal,_xlfn.XLOOKUP($A718,CSV!$A:$A,CSV!AB:AB,""),
_xlpm.MacVal,_xlfn.XLOOKUP($A718,Output_Mac!$A:$A,Output_Mac!T:T,""),
_xlpm.MyAuditVal,_xlfn.XLOOKUP($A718,My_Audit!$A:$A,My_Audit!Q:Q,""),
_xlfn.IFS(_xlpm.MyAuditVal&lt;&gt;"",UPPER(_xlpm.MyAuditVal),_xlpm.MacVal&lt;&gt;"",_xlpm.MacVal,_xlpm.CSVVal&lt;&gt;"",_xlpm.CSVVal
)),"No")</f>
        <v>No</v>
      </c>
      <c r="Q718" s="40" t="str" cm="1">
        <f t="array" ref="Q718">IFERROR(_xlfn.LET(
_xlpm.CSVVal,_xlfn.XLOOKUP($A718,CSV!$A:$A,CSV!AC:AC,""),
_xlpm.MacVal,_xlfn.XLOOKUP($A718,Output_Mac!$A:$A,Output_Mac!U:U,""),
_xlpm.MyAuditVal,_xlfn.XLOOKUP($A718,My_Audit!$A:$A,My_Audit!R:R,""),
_xlfn.IFS(_xlpm.MyAuditVal&lt;&gt;"",UPPER(_xlpm.MyAuditVal),_xlpm.MacVal&lt;&gt;"",_xlpm.MacVal,_xlpm.CSVVal&lt;&gt;"",_xlpm.CSVVal
)),"")</f>
        <v/>
      </c>
      <c r="R718" s="40"/>
      <c r="S718" s="40"/>
      <c r="T718" s="40"/>
      <c r="U718" s="40"/>
      <c r="V718" s="40"/>
      <c r="W718" s="40"/>
      <c r="X718" s="41" t="str">
        <f>_xlfn.LET(
    _xlpm.MacVal, _xlfn.XLOOKUP($A718, Output_Mac!$A:$A, Output_Mac!AB:AB, ""),
    _xlpm.MyAuditVal, _xlfn.XLOOKUP($A718, My_Audit!$A:$A, My_Audit!N:N, ""),
    _xlfn.TEXTJOIN(", ", TRUE, _xlpm.MyAuditVal, _xlpm.MacVal)
)</f>
        <v/>
      </c>
    </row>
    <row r="719" spans="1:24">
      <c r="A719" s="40" t="str">
        <f>_xlfn.TEXTJOIN("",TRUE,Input!$B$2,ROW(My_Audit!A718))</f>
        <v>X718</v>
      </c>
      <c r="B719" s="40" t="str">
        <f>_xlfn.TEXTJOIN("-",TRUE,"ITD",Input!$A$2,A719)</f>
        <v>ITD-X718</v>
      </c>
      <c r="C719" s="40" t="str" cm="1">
        <f t="array" ref="C719">IFERROR(_xlfn.LET(
_xlpm.CSVVal,_xlfn.XLOOKUP($A719,CSV!$A:$A,CSV!B:B,""),
_xlpm.MacVal,_xlfn.XLOOKUP($A719,Output_Mac!$A:$A,Output_Mac!B:B,""),
_xlpm.MyAuditVal,_xlfn.XLOOKUP($A719,My_Audit!$A:$A,My_Audit!B:B,""),
_xlfn.IFS(_xlpm.MyAuditVal&lt;&gt;"",UPPER(_xlpm.MyAuditVal),_xlpm.MacVal&lt;&gt;"",_xlpm.MacVal,_xlpm.CSVVal&lt;&gt;"",_xlpm.CSVVal
)),"")</f>
        <v/>
      </c>
      <c r="D719" s="40" t="str" cm="1">
        <f t="array" ref="D719">IFERROR(_xlfn.LET(
_xlpm.CSVVal,_xlfn.XLOOKUP($A719,CSV!$A:$A,CSV!D:D,""),
_xlpm.MacVal,_xlfn.XLOOKUP($A719,Output_Mac!$A:$A,Output_Mac!C:C,""),
_xlpm.MyAuditVal,_xlfn.XLOOKUP($A719,My_Audit!$A:$A,My_Audit!C:C,""),
_xlfn.IFS(_xlpm.MyAuditVal&lt;&gt;"",_xlpm.MyAuditVal,_xlpm.MacVal&lt;&gt;"",_xlpm.MacVal,_xlpm.CSVVal&lt;&gt;"",_xlpm.CSVVal
)),"")</f>
        <v/>
      </c>
      <c r="E719" s="40" t="str">
        <f>_xlfn.XLOOKUP(A719,My_Audit!A:A,My_Audit!D:D,"")</f>
        <v/>
      </c>
      <c r="F719" s="40" t="str" cm="1">
        <f t="array" ref="F719">IFERROR(_xlfn.LET(
_xlpm.CSVVal,_xlfn.XLOOKUP($A719,CSV!$A:$A,CSV!F:F,""),
_xlpm.MacVal,_xlfn.XLOOKUP($A719,Output_Mac!$A:$A,Output_Mac!E:E,""),
_xlpm.MyAuditVal,_xlfn.XLOOKUP($A719,My_Audit!$A:$A,My_Audit!E:E,""),
_xlfn.IFS(_xlpm.MyAuditVal&lt;&gt;"",_xlpm.MyAuditVal,_xlpm.MacVal&lt;&gt;"",_xlpm.MacVal,_xlpm.CSVVal&lt;&gt;"",_xlpm.CSVVal
)),"")</f>
        <v/>
      </c>
      <c r="G719" s="40" t="str" cm="1">
        <f t="array" ref="G719">IFERROR(_xlfn.LET(
_xlpm.CSVVal,_xlfn.XLOOKUP($A719,CSV!$A:$A,CSV!G:G,""),
_xlpm.MacVal,_xlfn.XLOOKUP($A719,Output_Mac!$A:$A,Output_Mac!F:F,""),
_xlpm.MyAuditVal,_xlfn.XLOOKUP($A719,My_Audit!$A:$A,My_Audit!F:F,""),
_xlfn.IFS(_xlpm.MyAuditVal&lt;&gt;"",_xlpm.MyAuditVal,_xlpm.MacVal&lt;&gt;"",_xlpm.MacVal,_xlpm.CSVVal&lt;&gt;"",PROPER(_xlpm.CSVVal)
)),"")</f>
        <v/>
      </c>
      <c r="H719" s="40" t="str" cm="1">
        <f t="array" ref="H719">IFERROR(_xlfn.LET(
_xlpm.CSVVal,_xlfn.XLOOKUP($A719,CSV!$A:$A,CSV!H:H,""),
_xlpm.MacVal,_xlfn.XLOOKUP($A719,Output_Mac!$A:$A,Output_Mac!H:H,""),
_xlpm.MyAuditVal,_xlfn.XLOOKUP($A719,My_Audit!$A:$A,My_Audit!G:G,""),
_xlfn.IFS(_xlpm.MyAuditVal&lt;&gt;"",_xlpm.MyAuditVal,_xlpm.MacVal&lt;&gt;"",_xlpm.MacVal,_xlpm.CSVVal&lt;&gt;"",_xlpm.CSVVal
)),"")</f>
        <v/>
      </c>
      <c r="I719" s="40" t="str">
        <f>_xlfn.XLOOKUP(A719,Output_Mac!A:A,Output_Mac!I:I,"")</f>
        <v/>
      </c>
      <c r="J719" s="40" t="str" cm="1">
        <f t="array" ref="J719">IFERROR(_xlfn.LET(
_xlpm.CSVVal,_xlfn.XLOOKUP($A719,CSV!$A:$A,CSV!I:I,""),
_xlpm.MacVal,_xlfn.XLOOKUP($A719,Output_Mac!$A:$A,Output_Mac!J:J,""),
_xlpm.MyAuditVal,_xlfn.XLOOKUP($A719,My_Audit!$A:$A,My_Audit!I:I,""),
_xlfn.IFS(_xlpm.MyAuditVal&lt;&gt;"",UPPER(_xlpm.MyAuditVal),_xlpm.MacVal&lt;&gt;"",_xlpm.MacVal,_xlpm.CSVVal&lt;&gt;"",_xlpm.CSVVal
)),"")</f>
        <v/>
      </c>
      <c r="K719" s="40" t="str" cm="1">
        <f t="array" ref="K719">IFERROR(_xlfn.LET(
_xlpm.CSVVal,_xlfn.XLOOKUP($A719,CSV!$A:$A,CSV!K:K,""),
_xlpm.MacVal,_xlfn.XLOOKUP($A719,Output_Mac!$A:$A,Output_Mac!K:K,""),
_xlpm.MyAuditVal,_xlfn.XLOOKUP($A719,My_Audit!$A:$A,My_Audit!J:J,""),
_xlfn.IFS(_xlpm.MyAuditVal&lt;&gt;"",UPPER(_xlpm.MyAuditVal),_xlpm.MacVal&lt;&gt;"",_xlpm.MacVal,_xlpm.CSVVal&lt;&gt;"",_xlpm.CSVVal
)),"")</f>
        <v/>
      </c>
      <c r="L719" s="40" t="str" cm="1">
        <f t="array" ref="L719">IFERROR(_xlfn.LET(
_xlpm.CSVVal,_xlfn.XLOOKUP($A719,CSV!$A:$A,CSV!P:P,""),
_xlpm.MacVal,_xlfn.XLOOKUP($A719,Output_Mac!$A:$A,Output_Mac!L:L,""),
_xlpm.MyAuditVal,_xlfn.XLOOKUP($A719,My_Audit!$A:$A,My_Audit!K:K,""),
_xlfn.IFS(_xlpm.MyAuditVal&lt;&gt;"",UPPER(_xlpm.MyAuditVal),_xlpm.MacVal&lt;&gt;"",_xlpm.MacVal,_xlpm.CSVVal&lt;&gt;"",_xlpm.CSVVal
)),"")</f>
        <v/>
      </c>
      <c r="M719" s="40" t="str" cm="1">
        <f t="array" ref="M719">IFERROR(_xlfn.LET(
_xlpm.CSVVal,_xlfn.XLOOKUP($A719,CSV!$A:$A,CSV!Q:Q,""),
_xlpm.MacVal,_xlfn.XLOOKUP($A719,Output_Mac!$A:$A,Output_Mac!M:M,""),
_xlpm.MyAuditVal,_xlfn.XLOOKUP($A719,My_Audit!$A:$A,My_Audit!L:L,""),
_xlfn.IFS(_xlpm.MyAuditVal&lt;&gt;"",UPPER(_xlpm.MyAuditVal),_xlpm.MacVal&lt;&gt;"",_xlpm.MacVal,_xlpm.CSVVal&lt;&gt;"",_xlpm.CSVVal
)),"")</f>
        <v/>
      </c>
      <c r="N719" s="40"/>
      <c r="O719" s="40" t="str">
        <f>_xlfn.LET(
    _xlpm.CSVVal, _xlfn.XLOOKUP($A719, CSV!$A:$A, CSV!AA:AA, ""),
    _xlpm.MacVal, _xlfn.XLOOKUP($A719, Output_Mac!$A:$A, Output_Mac!S:S, ""),
    _xlpm.MyAuditVal, _xlfn.XLOOKUP($A719, My_Audit!$A:$A, My_Audit!P:P, ""),
    _xlfn.TEXTJOIN(", ", TRUE, _xlpm.MyAuditVal, _xlpm.MacVal, _xlpm.CSVVal)
)</f>
        <v/>
      </c>
      <c r="P719" s="40" t="str" cm="1">
        <f t="array" ref="P719">IFERROR(_xlfn.LET(
_xlpm.CSVVal,_xlfn.XLOOKUP($A719,CSV!$A:$A,CSV!AB:AB,""),
_xlpm.MacVal,_xlfn.XLOOKUP($A719,Output_Mac!$A:$A,Output_Mac!T:T,""),
_xlpm.MyAuditVal,_xlfn.XLOOKUP($A719,My_Audit!$A:$A,My_Audit!Q:Q,""),
_xlfn.IFS(_xlpm.MyAuditVal&lt;&gt;"",UPPER(_xlpm.MyAuditVal),_xlpm.MacVal&lt;&gt;"",_xlpm.MacVal,_xlpm.CSVVal&lt;&gt;"",_xlpm.CSVVal
)),"No")</f>
        <v>No</v>
      </c>
      <c r="Q719" s="40" t="str" cm="1">
        <f t="array" ref="Q719">IFERROR(_xlfn.LET(
_xlpm.CSVVal,_xlfn.XLOOKUP($A719,CSV!$A:$A,CSV!AC:AC,""),
_xlpm.MacVal,_xlfn.XLOOKUP($A719,Output_Mac!$A:$A,Output_Mac!U:U,""),
_xlpm.MyAuditVal,_xlfn.XLOOKUP($A719,My_Audit!$A:$A,My_Audit!R:R,""),
_xlfn.IFS(_xlpm.MyAuditVal&lt;&gt;"",UPPER(_xlpm.MyAuditVal),_xlpm.MacVal&lt;&gt;"",_xlpm.MacVal,_xlpm.CSVVal&lt;&gt;"",_xlpm.CSVVal
)),"")</f>
        <v/>
      </c>
      <c r="R719" s="40"/>
      <c r="S719" s="40"/>
      <c r="T719" s="40"/>
      <c r="U719" s="40"/>
      <c r="V719" s="40"/>
      <c r="W719" s="40"/>
      <c r="X719" s="41" t="str">
        <f>_xlfn.LET(
    _xlpm.MacVal, _xlfn.XLOOKUP($A719, Output_Mac!$A:$A, Output_Mac!AB:AB, ""),
    _xlpm.MyAuditVal, _xlfn.XLOOKUP($A719, My_Audit!$A:$A, My_Audit!N:N, ""),
    _xlfn.TEXTJOIN(", ", TRUE, _xlpm.MyAuditVal, _xlpm.MacVal)
)</f>
        <v/>
      </c>
    </row>
    <row r="720" spans="1:24">
      <c r="A720" s="40" t="str">
        <f>_xlfn.TEXTJOIN("",TRUE,Input!$B$2,ROW(My_Audit!A719))</f>
        <v>X719</v>
      </c>
      <c r="B720" s="40" t="str">
        <f>_xlfn.TEXTJOIN("-",TRUE,"ITD",Input!$A$2,A720)</f>
        <v>ITD-X719</v>
      </c>
      <c r="C720" s="40" t="str" cm="1">
        <f t="array" ref="C720">IFERROR(_xlfn.LET(
_xlpm.CSVVal,_xlfn.XLOOKUP($A720,CSV!$A:$A,CSV!B:B,""),
_xlpm.MacVal,_xlfn.XLOOKUP($A720,Output_Mac!$A:$A,Output_Mac!B:B,""),
_xlpm.MyAuditVal,_xlfn.XLOOKUP($A720,My_Audit!$A:$A,My_Audit!B:B,""),
_xlfn.IFS(_xlpm.MyAuditVal&lt;&gt;"",UPPER(_xlpm.MyAuditVal),_xlpm.MacVal&lt;&gt;"",_xlpm.MacVal,_xlpm.CSVVal&lt;&gt;"",_xlpm.CSVVal
)),"")</f>
        <v/>
      </c>
      <c r="D720" s="40" t="str" cm="1">
        <f t="array" ref="D720">IFERROR(_xlfn.LET(
_xlpm.CSVVal,_xlfn.XLOOKUP($A720,CSV!$A:$A,CSV!D:D,""),
_xlpm.MacVal,_xlfn.XLOOKUP($A720,Output_Mac!$A:$A,Output_Mac!C:C,""),
_xlpm.MyAuditVal,_xlfn.XLOOKUP($A720,My_Audit!$A:$A,My_Audit!C:C,""),
_xlfn.IFS(_xlpm.MyAuditVal&lt;&gt;"",_xlpm.MyAuditVal,_xlpm.MacVal&lt;&gt;"",_xlpm.MacVal,_xlpm.CSVVal&lt;&gt;"",_xlpm.CSVVal
)),"")</f>
        <v/>
      </c>
      <c r="E720" s="40" t="str">
        <f>_xlfn.XLOOKUP(A720,My_Audit!A:A,My_Audit!D:D,"")</f>
        <v/>
      </c>
      <c r="F720" s="40" t="str" cm="1">
        <f t="array" ref="F720">IFERROR(_xlfn.LET(
_xlpm.CSVVal,_xlfn.XLOOKUP($A720,CSV!$A:$A,CSV!F:F,""),
_xlpm.MacVal,_xlfn.XLOOKUP($A720,Output_Mac!$A:$A,Output_Mac!E:E,""),
_xlpm.MyAuditVal,_xlfn.XLOOKUP($A720,My_Audit!$A:$A,My_Audit!E:E,""),
_xlfn.IFS(_xlpm.MyAuditVal&lt;&gt;"",_xlpm.MyAuditVal,_xlpm.MacVal&lt;&gt;"",_xlpm.MacVal,_xlpm.CSVVal&lt;&gt;"",_xlpm.CSVVal
)),"")</f>
        <v/>
      </c>
      <c r="G720" s="40" t="str" cm="1">
        <f t="array" ref="G720">IFERROR(_xlfn.LET(
_xlpm.CSVVal,_xlfn.XLOOKUP($A720,CSV!$A:$A,CSV!G:G,""),
_xlpm.MacVal,_xlfn.XLOOKUP($A720,Output_Mac!$A:$A,Output_Mac!F:F,""),
_xlpm.MyAuditVal,_xlfn.XLOOKUP($A720,My_Audit!$A:$A,My_Audit!F:F,""),
_xlfn.IFS(_xlpm.MyAuditVal&lt;&gt;"",_xlpm.MyAuditVal,_xlpm.MacVal&lt;&gt;"",_xlpm.MacVal,_xlpm.CSVVal&lt;&gt;"",PROPER(_xlpm.CSVVal)
)),"")</f>
        <v/>
      </c>
      <c r="H720" s="40" t="str" cm="1">
        <f t="array" ref="H720">IFERROR(_xlfn.LET(
_xlpm.CSVVal,_xlfn.XLOOKUP($A720,CSV!$A:$A,CSV!H:H,""),
_xlpm.MacVal,_xlfn.XLOOKUP($A720,Output_Mac!$A:$A,Output_Mac!H:H,""),
_xlpm.MyAuditVal,_xlfn.XLOOKUP($A720,My_Audit!$A:$A,My_Audit!G:G,""),
_xlfn.IFS(_xlpm.MyAuditVal&lt;&gt;"",_xlpm.MyAuditVal,_xlpm.MacVal&lt;&gt;"",_xlpm.MacVal,_xlpm.CSVVal&lt;&gt;"",_xlpm.CSVVal
)),"")</f>
        <v/>
      </c>
      <c r="I720" s="40" t="str">
        <f>_xlfn.XLOOKUP(A720,Output_Mac!A:A,Output_Mac!I:I,"")</f>
        <v/>
      </c>
      <c r="J720" s="40" t="str" cm="1">
        <f t="array" ref="J720">IFERROR(_xlfn.LET(
_xlpm.CSVVal,_xlfn.XLOOKUP($A720,CSV!$A:$A,CSV!I:I,""),
_xlpm.MacVal,_xlfn.XLOOKUP($A720,Output_Mac!$A:$A,Output_Mac!J:J,""),
_xlpm.MyAuditVal,_xlfn.XLOOKUP($A720,My_Audit!$A:$A,My_Audit!I:I,""),
_xlfn.IFS(_xlpm.MyAuditVal&lt;&gt;"",UPPER(_xlpm.MyAuditVal),_xlpm.MacVal&lt;&gt;"",_xlpm.MacVal,_xlpm.CSVVal&lt;&gt;"",_xlpm.CSVVal
)),"")</f>
        <v/>
      </c>
      <c r="K720" s="40" t="str" cm="1">
        <f t="array" ref="K720">IFERROR(_xlfn.LET(
_xlpm.CSVVal,_xlfn.XLOOKUP($A720,CSV!$A:$A,CSV!K:K,""),
_xlpm.MacVal,_xlfn.XLOOKUP($A720,Output_Mac!$A:$A,Output_Mac!K:K,""),
_xlpm.MyAuditVal,_xlfn.XLOOKUP($A720,My_Audit!$A:$A,My_Audit!J:J,""),
_xlfn.IFS(_xlpm.MyAuditVal&lt;&gt;"",UPPER(_xlpm.MyAuditVal),_xlpm.MacVal&lt;&gt;"",_xlpm.MacVal,_xlpm.CSVVal&lt;&gt;"",_xlpm.CSVVal
)),"")</f>
        <v/>
      </c>
      <c r="L720" s="40" t="str" cm="1">
        <f t="array" ref="L720">IFERROR(_xlfn.LET(
_xlpm.CSVVal,_xlfn.XLOOKUP($A720,CSV!$A:$A,CSV!P:P,""),
_xlpm.MacVal,_xlfn.XLOOKUP($A720,Output_Mac!$A:$A,Output_Mac!L:L,""),
_xlpm.MyAuditVal,_xlfn.XLOOKUP($A720,My_Audit!$A:$A,My_Audit!K:K,""),
_xlfn.IFS(_xlpm.MyAuditVal&lt;&gt;"",UPPER(_xlpm.MyAuditVal),_xlpm.MacVal&lt;&gt;"",_xlpm.MacVal,_xlpm.CSVVal&lt;&gt;"",_xlpm.CSVVal
)),"")</f>
        <v/>
      </c>
      <c r="M720" s="40" t="str" cm="1">
        <f t="array" ref="M720">IFERROR(_xlfn.LET(
_xlpm.CSVVal,_xlfn.XLOOKUP($A720,CSV!$A:$A,CSV!Q:Q,""),
_xlpm.MacVal,_xlfn.XLOOKUP($A720,Output_Mac!$A:$A,Output_Mac!M:M,""),
_xlpm.MyAuditVal,_xlfn.XLOOKUP($A720,My_Audit!$A:$A,My_Audit!L:L,""),
_xlfn.IFS(_xlpm.MyAuditVal&lt;&gt;"",UPPER(_xlpm.MyAuditVal),_xlpm.MacVal&lt;&gt;"",_xlpm.MacVal,_xlpm.CSVVal&lt;&gt;"",_xlpm.CSVVal
)),"")</f>
        <v/>
      </c>
      <c r="N720" s="40"/>
      <c r="O720" s="40" t="str">
        <f>_xlfn.LET(
    _xlpm.CSVVal, _xlfn.XLOOKUP($A720, CSV!$A:$A, CSV!AA:AA, ""),
    _xlpm.MacVal, _xlfn.XLOOKUP($A720, Output_Mac!$A:$A, Output_Mac!S:S, ""),
    _xlpm.MyAuditVal, _xlfn.XLOOKUP($A720, My_Audit!$A:$A, My_Audit!P:P, ""),
    _xlfn.TEXTJOIN(", ", TRUE, _xlpm.MyAuditVal, _xlpm.MacVal, _xlpm.CSVVal)
)</f>
        <v/>
      </c>
      <c r="P720" s="40" t="str" cm="1">
        <f t="array" ref="P720">IFERROR(_xlfn.LET(
_xlpm.CSVVal,_xlfn.XLOOKUP($A720,CSV!$A:$A,CSV!AB:AB,""),
_xlpm.MacVal,_xlfn.XLOOKUP($A720,Output_Mac!$A:$A,Output_Mac!T:T,""),
_xlpm.MyAuditVal,_xlfn.XLOOKUP($A720,My_Audit!$A:$A,My_Audit!Q:Q,""),
_xlfn.IFS(_xlpm.MyAuditVal&lt;&gt;"",UPPER(_xlpm.MyAuditVal),_xlpm.MacVal&lt;&gt;"",_xlpm.MacVal,_xlpm.CSVVal&lt;&gt;"",_xlpm.CSVVal
)),"No")</f>
        <v>No</v>
      </c>
      <c r="Q720" s="40" t="str" cm="1">
        <f t="array" ref="Q720">IFERROR(_xlfn.LET(
_xlpm.CSVVal,_xlfn.XLOOKUP($A720,CSV!$A:$A,CSV!AC:AC,""),
_xlpm.MacVal,_xlfn.XLOOKUP($A720,Output_Mac!$A:$A,Output_Mac!U:U,""),
_xlpm.MyAuditVal,_xlfn.XLOOKUP($A720,My_Audit!$A:$A,My_Audit!R:R,""),
_xlfn.IFS(_xlpm.MyAuditVal&lt;&gt;"",UPPER(_xlpm.MyAuditVal),_xlpm.MacVal&lt;&gt;"",_xlpm.MacVal,_xlpm.CSVVal&lt;&gt;"",_xlpm.CSVVal
)),"")</f>
        <v/>
      </c>
      <c r="R720" s="40"/>
      <c r="S720" s="40"/>
      <c r="T720" s="40"/>
      <c r="U720" s="40"/>
      <c r="V720" s="40"/>
      <c r="W720" s="40"/>
      <c r="X720" s="41" t="str">
        <f>_xlfn.LET(
    _xlpm.MacVal, _xlfn.XLOOKUP($A720, Output_Mac!$A:$A, Output_Mac!AB:AB, ""),
    _xlpm.MyAuditVal, _xlfn.XLOOKUP($A720, My_Audit!$A:$A, My_Audit!N:N, ""),
    _xlfn.TEXTJOIN(", ", TRUE, _xlpm.MyAuditVal, _xlpm.MacVal)
)</f>
        <v/>
      </c>
    </row>
    <row r="721" spans="1:24">
      <c r="A721" s="40" t="str">
        <f>_xlfn.TEXTJOIN("",TRUE,Input!$B$2,ROW(My_Audit!A720))</f>
        <v>X720</v>
      </c>
      <c r="B721" s="40" t="str">
        <f>_xlfn.TEXTJOIN("-",TRUE,"ITD",Input!$A$2,A721)</f>
        <v>ITD-X720</v>
      </c>
      <c r="C721" s="40" t="str" cm="1">
        <f t="array" ref="C721">IFERROR(_xlfn.LET(
_xlpm.CSVVal,_xlfn.XLOOKUP($A721,CSV!$A:$A,CSV!B:B,""),
_xlpm.MacVal,_xlfn.XLOOKUP($A721,Output_Mac!$A:$A,Output_Mac!B:B,""),
_xlpm.MyAuditVal,_xlfn.XLOOKUP($A721,My_Audit!$A:$A,My_Audit!B:B,""),
_xlfn.IFS(_xlpm.MyAuditVal&lt;&gt;"",UPPER(_xlpm.MyAuditVal),_xlpm.MacVal&lt;&gt;"",_xlpm.MacVal,_xlpm.CSVVal&lt;&gt;"",_xlpm.CSVVal
)),"")</f>
        <v/>
      </c>
      <c r="D721" s="40" t="str" cm="1">
        <f t="array" ref="D721">IFERROR(_xlfn.LET(
_xlpm.CSVVal,_xlfn.XLOOKUP($A721,CSV!$A:$A,CSV!D:D,""),
_xlpm.MacVal,_xlfn.XLOOKUP($A721,Output_Mac!$A:$A,Output_Mac!C:C,""),
_xlpm.MyAuditVal,_xlfn.XLOOKUP($A721,My_Audit!$A:$A,My_Audit!C:C,""),
_xlfn.IFS(_xlpm.MyAuditVal&lt;&gt;"",_xlpm.MyAuditVal,_xlpm.MacVal&lt;&gt;"",_xlpm.MacVal,_xlpm.CSVVal&lt;&gt;"",_xlpm.CSVVal
)),"")</f>
        <v/>
      </c>
      <c r="E721" s="40" t="str">
        <f>_xlfn.XLOOKUP(A721,My_Audit!A:A,My_Audit!D:D,"")</f>
        <v/>
      </c>
      <c r="F721" s="40" t="str" cm="1">
        <f t="array" ref="F721">IFERROR(_xlfn.LET(
_xlpm.CSVVal,_xlfn.XLOOKUP($A721,CSV!$A:$A,CSV!F:F,""),
_xlpm.MacVal,_xlfn.XLOOKUP($A721,Output_Mac!$A:$A,Output_Mac!E:E,""),
_xlpm.MyAuditVal,_xlfn.XLOOKUP($A721,My_Audit!$A:$A,My_Audit!E:E,""),
_xlfn.IFS(_xlpm.MyAuditVal&lt;&gt;"",_xlpm.MyAuditVal,_xlpm.MacVal&lt;&gt;"",_xlpm.MacVal,_xlpm.CSVVal&lt;&gt;"",_xlpm.CSVVal
)),"")</f>
        <v/>
      </c>
      <c r="G721" s="40" t="str" cm="1">
        <f t="array" ref="G721">IFERROR(_xlfn.LET(
_xlpm.CSVVal,_xlfn.XLOOKUP($A721,CSV!$A:$A,CSV!G:G,""),
_xlpm.MacVal,_xlfn.XLOOKUP($A721,Output_Mac!$A:$A,Output_Mac!F:F,""),
_xlpm.MyAuditVal,_xlfn.XLOOKUP($A721,My_Audit!$A:$A,My_Audit!F:F,""),
_xlfn.IFS(_xlpm.MyAuditVal&lt;&gt;"",_xlpm.MyAuditVal,_xlpm.MacVal&lt;&gt;"",_xlpm.MacVal,_xlpm.CSVVal&lt;&gt;"",PROPER(_xlpm.CSVVal)
)),"")</f>
        <v/>
      </c>
      <c r="H721" s="40" t="str" cm="1">
        <f t="array" ref="H721">IFERROR(_xlfn.LET(
_xlpm.CSVVal,_xlfn.XLOOKUP($A721,CSV!$A:$A,CSV!H:H,""),
_xlpm.MacVal,_xlfn.XLOOKUP($A721,Output_Mac!$A:$A,Output_Mac!H:H,""),
_xlpm.MyAuditVal,_xlfn.XLOOKUP($A721,My_Audit!$A:$A,My_Audit!G:G,""),
_xlfn.IFS(_xlpm.MyAuditVal&lt;&gt;"",_xlpm.MyAuditVal,_xlpm.MacVal&lt;&gt;"",_xlpm.MacVal,_xlpm.CSVVal&lt;&gt;"",_xlpm.CSVVal
)),"")</f>
        <v/>
      </c>
      <c r="I721" s="40" t="str">
        <f>_xlfn.XLOOKUP(A721,Output_Mac!A:A,Output_Mac!I:I,"")</f>
        <v/>
      </c>
      <c r="J721" s="40" t="str" cm="1">
        <f t="array" ref="J721">IFERROR(_xlfn.LET(
_xlpm.CSVVal,_xlfn.XLOOKUP($A721,CSV!$A:$A,CSV!I:I,""),
_xlpm.MacVal,_xlfn.XLOOKUP($A721,Output_Mac!$A:$A,Output_Mac!J:J,""),
_xlpm.MyAuditVal,_xlfn.XLOOKUP($A721,My_Audit!$A:$A,My_Audit!I:I,""),
_xlfn.IFS(_xlpm.MyAuditVal&lt;&gt;"",UPPER(_xlpm.MyAuditVal),_xlpm.MacVal&lt;&gt;"",_xlpm.MacVal,_xlpm.CSVVal&lt;&gt;"",_xlpm.CSVVal
)),"")</f>
        <v/>
      </c>
      <c r="K721" s="40" t="str" cm="1">
        <f t="array" ref="K721">IFERROR(_xlfn.LET(
_xlpm.CSVVal,_xlfn.XLOOKUP($A721,CSV!$A:$A,CSV!K:K,""),
_xlpm.MacVal,_xlfn.XLOOKUP($A721,Output_Mac!$A:$A,Output_Mac!K:K,""),
_xlpm.MyAuditVal,_xlfn.XLOOKUP($A721,My_Audit!$A:$A,My_Audit!J:J,""),
_xlfn.IFS(_xlpm.MyAuditVal&lt;&gt;"",UPPER(_xlpm.MyAuditVal),_xlpm.MacVal&lt;&gt;"",_xlpm.MacVal,_xlpm.CSVVal&lt;&gt;"",_xlpm.CSVVal
)),"")</f>
        <v/>
      </c>
      <c r="L721" s="40" t="str" cm="1">
        <f t="array" ref="L721">IFERROR(_xlfn.LET(
_xlpm.CSVVal,_xlfn.XLOOKUP($A721,CSV!$A:$A,CSV!P:P,""),
_xlpm.MacVal,_xlfn.XLOOKUP($A721,Output_Mac!$A:$A,Output_Mac!L:L,""),
_xlpm.MyAuditVal,_xlfn.XLOOKUP($A721,My_Audit!$A:$A,My_Audit!K:K,""),
_xlfn.IFS(_xlpm.MyAuditVal&lt;&gt;"",UPPER(_xlpm.MyAuditVal),_xlpm.MacVal&lt;&gt;"",_xlpm.MacVal,_xlpm.CSVVal&lt;&gt;"",_xlpm.CSVVal
)),"")</f>
        <v/>
      </c>
      <c r="M721" s="40" t="str" cm="1">
        <f t="array" ref="M721">IFERROR(_xlfn.LET(
_xlpm.CSVVal,_xlfn.XLOOKUP($A721,CSV!$A:$A,CSV!Q:Q,""),
_xlpm.MacVal,_xlfn.XLOOKUP($A721,Output_Mac!$A:$A,Output_Mac!M:M,""),
_xlpm.MyAuditVal,_xlfn.XLOOKUP($A721,My_Audit!$A:$A,My_Audit!L:L,""),
_xlfn.IFS(_xlpm.MyAuditVal&lt;&gt;"",UPPER(_xlpm.MyAuditVal),_xlpm.MacVal&lt;&gt;"",_xlpm.MacVal,_xlpm.CSVVal&lt;&gt;"",_xlpm.CSVVal
)),"")</f>
        <v/>
      </c>
      <c r="N721" s="40"/>
      <c r="O721" s="40" t="str">
        <f>_xlfn.LET(
    _xlpm.CSVVal, _xlfn.XLOOKUP($A721, CSV!$A:$A, CSV!AA:AA, ""),
    _xlpm.MacVal, _xlfn.XLOOKUP($A721, Output_Mac!$A:$A, Output_Mac!S:S, ""),
    _xlpm.MyAuditVal, _xlfn.XLOOKUP($A721, My_Audit!$A:$A, My_Audit!P:P, ""),
    _xlfn.TEXTJOIN(", ", TRUE, _xlpm.MyAuditVal, _xlpm.MacVal, _xlpm.CSVVal)
)</f>
        <v/>
      </c>
      <c r="P721" s="40" t="str" cm="1">
        <f t="array" ref="P721">IFERROR(_xlfn.LET(
_xlpm.CSVVal,_xlfn.XLOOKUP($A721,CSV!$A:$A,CSV!AB:AB,""),
_xlpm.MacVal,_xlfn.XLOOKUP($A721,Output_Mac!$A:$A,Output_Mac!T:T,""),
_xlpm.MyAuditVal,_xlfn.XLOOKUP($A721,My_Audit!$A:$A,My_Audit!Q:Q,""),
_xlfn.IFS(_xlpm.MyAuditVal&lt;&gt;"",UPPER(_xlpm.MyAuditVal),_xlpm.MacVal&lt;&gt;"",_xlpm.MacVal,_xlpm.CSVVal&lt;&gt;"",_xlpm.CSVVal
)),"No")</f>
        <v>No</v>
      </c>
      <c r="Q721" s="40" t="str" cm="1">
        <f t="array" ref="Q721">IFERROR(_xlfn.LET(
_xlpm.CSVVal,_xlfn.XLOOKUP($A721,CSV!$A:$A,CSV!AC:AC,""),
_xlpm.MacVal,_xlfn.XLOOKUP($A721,Output_Mac!$A:$A,Output_Mac!U:U,""),
_xlpm.MyAuditVal,_xlfn.XLOOKUP($A721,My_Audit!$A:$A,My_Audit!R:R,""),
_xlfn.IFS(_xlpm.MyAuditVal&lt;&gt;"",UPPER(_xlpm.MyAuditVal),_xlpm.MacVal&lt;&gt;"",_xlpm.MacVal,_xlpm.CSVVal&lt;&gt;"",_xlpm.CSVVal
)),"")</f>
        <v/>
      </c>
      <c r="R721" s="40"/>
      <c r="S721" s="40"/>
      <c r="T721" s="40"/>
      <c r="U721" s="40"/>
      <c r="V721" s="40"/>
      <c r="W721" s="40"/>
      <c r="X721" s="41" t="str">
        <f>_xlfn.LET(
    _xlpm.MacVal, _xlfn.XLOOKUP($A721, Output_Mac!$A:$A, Output_Mac!AB:AB, ""),
    _xlpm.MyAuditVal, _xlfn.XLOOKUP($A721, My_Audit!$A:$A, My_Audit!N:N, ""),
    _xlfn.TEXTJOIN(", ", TRUE, _xlpm.MyAuditVal, _xlpm.MacVal)
)</f>
        <v/>
      </c>
    </row>
    <row r="722" spans="1:24">
      <c r="A722" s="40" t="str">
        <f>_xlfn.TEXTJOIN("",TRUE,Input!$B$2,ROW(My_Audit!A721))</f>
        <v>X721</v>
      </c>
      <c r="B722" s="40" t="str">
        <f>_xlfn.TEXTJOIN("-",TRUE,"ITD",Input!$A$2,A722)</f>
        <v>ITD-X721</v>
      </c>
      <c r="C722" s="40" t="str" cm="1">
        <f t="array" ref="C722">IFERROR(_xlfn.LET(
_xlpm.CSVVal,_xlfn.XLOOKUP($A722,CSV!$A:$A,CSV!B:B,""),
_xlpm.MacVal,_xlfn.XLOOKUP($A722,Output_Mac!$A:$A,Output_Mac!B:B,""),
_xlpm.MyAuditVal,_xlfn.XLOOKUP($A722,My_Audit!$A:$A,My_Audit!B:B,""),
_xlfn.IFS(_xlpm.MyAuditVal&lt;&gt;"",UPPER(_xlpm.MyAuditVal),_xlpm.MacVal&lt;&gt;"",_xlpm.MacVal,_xlpm.CSVVal&lt;&gt;"",_xlpm.CSVVal
)),"")</f>
        <v/>
      </c>
      <c r="D722" s="40" t="str" cm="1">
        <f t="array" ref="D722">IFERROR(_xlfn.LET(
_xlpm.CSVVal,_xlfn.XLOOKUP($A722,CSV!$A:$A,CSV!D:D,""),
_xlpm.MacVal,_xlfn.XLOOKUP($A722,Output_Mac!$A:$A,Output_Mac!C:C,""),
_xlpm.MyAuditVal,_xlfn.XLOOKUP($A722,My_Audit!$A:$A,My_Audit!C:C,""),
_xlfn.IFS(_xlpm.MyAuditVal&lt;&gt;"",_xlpm.MyAuditVal,_xlpm.MacVal&lt;&gt;"",_xlpm.MacVal,_xlpm.CSVVal&lt;&gt;"",_xlpm.CSVVal
)),"")</f>
        <v/>
      </c>
      <c r="E722" s="40" t="str">
        <f>_xlfn.XLOOKUP(A722,My_Audit!A:A,My_Audit!D:D,"")</f>
        <v/>
      </c>
      <c r="F722" s="40" t="str" cm="1">
        <f t="array" ref="F722">IFERROR(_xlfn.LET(
_xlpm.CSVVal,_xlfn.XLOOKUP($A722,CSV!$A:$A,CSV!F:F,""),
_xlpm.MacVal,_xlfn.XLOOKUP($A722,Output_Mac!$A:$A,Output_Mac!E:E,""),
_xlpm.MyAuditVal,_xlfn.XLOOKUP($A722,My_Audit!$A:$A,My_Audit!E:E,""),
_xlfn.IFS(_xlpm.MyAuditVal&lt;&gt;"",_xlpm.MyAuditVal,_xlpm.MacVal&lt;&gt;"",_xlpm.MacVal,_xlpm.CSVVal&lt;&gt;"",_xlpm.CSVVal
)),"")</f>
        <v/>
      </c>
      <c r="G722" s="40" t="str" cm="1">
        <f t="array" ref="G722">IFERROR(_xlfn.LET(
_xlpm.CSVVal,_xlfn.XLOOKUP($A722,CSV!$A:$A,CSV!G:G,""),
_xlpm.MacVal,_xlfn.XLOOKUP($A722,Output_Mac!$A:$A,Output_Mac!F:F,""),
_xlpm.MyAuditVal,_xlfn.XLOOKUP($A722,My_Audit!$A:$A,My_Audit!F:F,""),
_xlfn.IFS(_xlpm.MyAuditVal&lt;&gt;"",_xlpm.MyAuditVal,_xlpm.MacVal&lt;&gt;"",_xlpm.MacVal,_xlpm.CSVVal&lt;&gt;"",PROPER(_xlpm.CSVVal)
)),"")</f>
        <v/>
      </c>
      <c r="H722" s="40" t="str" cm="1">
        <f t="array" ref="H722">IFERROR(_xlfn.LET(
_xlpm.CSVVal,_xlfn.XLOOKUP($A722,CSV!$A:$A,CSV!H:H,""),
_xlpm.MacVal,_xlfn.XLOOKUP($A722,Output_Mac!$A:$A,Output_Mac!H:H,""),
_xlpm.MyAuditVal,_xlfn.XLOOKUP($A722,My_Audit!$A:$A,My_Audit!G:G,""),
_xlfn.IFS(_xlpm.MyAuditVal&lt;&gt;"",_xlpm.MyAuditVal,_xlpm.MacVal&lt;&gt;"",_xlpm.MacVal,_xlpm.CSVVal&lt;&gt;"",_xlpm.CSVVal
)),"")</f>
        <v/>
      </c>
      <c r="I722" s="40" t="str">
        <f>_xlfn.XLOOKUP(A722,Output_Mac!A:A,Output_Mac!I:I,"")</f>
        <v/>
      </c>
      <c r="J722" s="40" t="str" cm="1">
        <f t="array" ref="J722">IFERROR(_xlfn.LET(
_xlpm.CSVVal,_xlfn.XLOOKUP($A722,CSV!$A:$A,CSV!I:I,""),
_xlpm.MacVal,_xlfn.XLOOKUP($A722,Output_Mac!$A:$A,Output_Mac!J:J,""),
_xlpm.MyAuditVal,_xlfn.XLOOKUP($A722,My_Audit!$A:$A,My_Audit!I:I,""),
_xlfn.IFS(_xlpm.MyAuditVal&lt;&gt;"",UPPER(_xlpm.MyAuditVal),_xlpm.MacVal&lt;&gt;"",_xlpm.MacVal,_xlpm.CSVVal&lt;&gt;"",_xlpm.CSVVal
)),"")</f>
        <v/>
      </c>
      <c r="K722" s="40" t="str" cm="1">
        <f t="array" ref="K722">IFERROR(_xlfn.LET(
_xlpm.CSVVal,_xlfn.XLOOKUP($A722,CSV!$A:$A,CSV!K:K,""),
_xlpm.MacVal,_xlfn.XLOOKUP($A722,Output_Mac!$A:$A,Output_Mac!K:K,""),
_xlpm.MyAuditVal,_xlfn.XLOOKUP($A722,My_Audit!$A:$A,My_Audit!J:J,""),
_xlfn.IFS(_xlpm.MyAuditVal&lt;&gt;"",UPPER(_xlpm.MyAuditVal),_xlpm.MacVal&lt;&gt;"",_xlpm.MacVal,_xlpm.CSVVal&lt;&gt;"",_xlpm.CSVVal
)),"")</f>
        <v/>
      </c>
      <c r="L722" s="40" t="str" cm="1">
        <f t="array" ref="L722">IFERROR(_xlfn.LET(
_xlpm.CSVVal,_xlfn.XLOOKUP($A722,CSV!$A:$A,CSV!P:P,""),
_xlpm.MacVal,_xlfn.XLOOKUP($A722,Output_Mac!$A:$A,Output_Mac!L:L,""),
_xlpm.MyAuditVal,_xlfn.XLOOKUP($A722,My_Audit!$A:$A,My_Audit!K:K,""),
_xlfn.IFS(_xlpm.MyAuditVal&lt;&gt;"",UPPER(_xlpm.MyAuditVal),_xlpm.MacVal&lt;&gt;"",_xlpm.MacVal,_xlpm.CSVVal&lt;&gt;"",_xlpm.CSVVal
)),"")</f>
        <v/>
      </c>
      <c r="M722" s="40" t="str" cm="1">
        <f t="array" ref="M722">IFERROR(_xlfn.LET(
_xlpm.CSVVal,_xlfn.XLOOKUP($A722,CSV!$A:$A,CSV!Q:Q,""),
_xlpm.MacVal,_xlfn.XLOOKUP($A722,Output_Mac!$A:$A,Output_Mac!M:M,""),
_xlpm.MyAuditVal,_xlfn.XLOOKUP($A722,My_Audit!$A:$A,My_Audit!L:L,""),
_xlfn.IFS(_xlpm.MyAuditVal&lt;&gt;"",UPPER(_xlpm.MyAuditVal),_xlpm.MacVal&lt;&gt;"",_xlpm.MacVal,_xlpm.CSVVal&lt;&gt;"",_xlpm.CSVVal
)),"")</f>
        <v/>
      </c>
      <c r="N722" s="40"/>
      <c r="O722" s="40" t="str">
        <f>_xlfn.LET(
    _xlpm.CSVVal, _xlfn.XLOOKUP($A722, CSV!$A:$A, CSV!AA:AA, ""),
    _xlpm.MacVal, _xlfn.XLOOKUP($A722, Output_Mac!$A:$A, Output_Mac!S:S, ""),
    _xlpm.MyAuditVal, _xlfn.XLOOKUP($A722, My_Audit!$A:$A, My_Audit!P:P, ""),
    _xlfn.TEXTJOIN(", ", TRUE, _xlpm.MyAuditVal, _xlpm.MacVal, _xlpm.CSVVal)
)</f>
        <v/>
      </c>
      <c r="P722" s="40" t="str" cm="1">
        <f t="array" ref="P722">IFERROR(_xlfn.LET(
_xlpm.CSVVal,_xlfn.XLOOKUP($A722,CSV!$A:$A,CSV!AB:AB,""),
_xlpm.MacVal,_xlfn.XLOOKUP($A722,Output_Mac!$A:$A,Output_Mac!T:T,""),
_xlpm.MyAuditVal,_xlfn.XLOOKUP($A722,My_Audit!$A:$A,My_Audit!Q:Q,""),
_xlfn.IFS(_xlpm.MyAuditVal&lt;&gt;"",UPPER(_xlpm.MyAuditVal),_xlpm.MacVal&lt;&gt;"",_xlpm.MacVal,_xlpm.CSVVal&lt;&gt;"",_xlpm.CSVVal
)),"No")</f>
        <v>No</v>
      </c>
      <c r="Q722" s="40" t="str" cm="1">
        <f t="array" ref="Q722">IFERROR(_xlfn.LET(
_xlpm.CSVVal,_xlfn.XLOOKUP($A722,CSV!$A:$A,CSV!AC:AC,""),
_xlpm.MacVal,_xlfn.XLOOKUP($A722,Output_Mac!$A:$A,Output_Mac!U:U,""),
_xlpm.MyAuditVal,_xlfn.XLOOKUP($A722,My_Audit!$A:$A,My_Audit!R:R,""),
_xlfn.IFS(_xlpm.MyAuditVal&lt;&gt;"",UPPER(_xlpm.MyAuditVal),_xlpm.MacVal&lt;&gt;"",_xlpm.MacVal,_xlpm.CSVVal&lt;&gt;"",_xlpm.CSVVal
)),"")</f>
        <v/>
      </c>
      <c r="R722" s="40"/>
      <c r="S722" s="40"/>
      <c r="T722" s="40"/>
      <c r="U722" s="40"/>
      <c r="V722" s="40"/>
      <c r="W722" s="40"/>
      <c r="X722" s="41" t="str">
        <f>_xlfn.LET(
    _xlpm.MacVal, _xlfn.XLOOKUP($A722, Output_Mac!$A:$A, Output_Mac!AB:AB, ""),
    _xlpm.MyAuditVal, _xlfn.XLOOKUP($A722, My_Audit!$A:$A, My_Audit!N:N, ""),
    _xlfn.TEXTJOIN(", ", TRUE, _xlpm.MyAuditVal, _xlpm.MacVal)
)</f>
        <v/>
      </c>
    </row>
    <row r="723" spans="1:24">
      <c r="A723" s="40" t="str">
        <f>_xlfn.TEXTJOIN("",TRUE,Input!$B$2,ROW(My_Audit!A722))</f>
        <v>X722</v>
      </c>
      <c r="B723" s="40" t="str">
        <f>_xlfn.TEXTJOIN("-",TRUE,"ITD",Input!$A$2,A723)</f>
        <v>ITD-X722</v>
      </c>
      <c r="C723" s="40" t="str" cm="1">
        <f t="array" ref="C723">IFERROR(_xlfn.LET(
_xlpm.CSVVal,_xlfn.XLOOKUP($A723,CSV!$A:$A,CSV!B:B,""),
_xlpm.MacVal,_xlfn.XLOOKUP($A723,Output_Mac!$A:$A,Output_Mac!B:B,""),
_xlpm.MyAuditVal,_xlfn.XLOOKUP($A723,My_Audit!$A:$A,My_Audit!B:B,""),
_xlfn.IFS(_xlpm.MyAuditVal&lt;&gt;"",UPPER(_xlpm.MyAuditVal),_xlpm.MacVal&lt;&gt;"",_xlpm.MacVal,_xlpm.CSVVal&lt;&gt;"",_xlpm.CSVVal
)),"")</f>
        <v/>
      </c>
      <c r="D723" s="40" t="str" cm="1">
        <f t="array" ref="D723">IFERROR(_xlfn.LET(
_xlpm.CSVVal,_xlfn.XLOOKUP($A723,CSV!$A:$A,CSV!D:D,""),
_xlpm.MacVal,_xlfn.XLOOKUP($A723,Output_Mac!$A:$A,Output_Mac!C:C,""),
_xlpm.MyAuditVal,_xlfn.XLOOKUP($A723,My_Audit!$A:$A,My_Audit!C:C,""),
_xlfn.IFS(_xlpm.MyAuditVal&lt;&gt;"",_xlpm.MyAuditVal,_xlpm.MacVal&lt;&gt;"",_xlpm.MacVal,_xlpm.CSVVal&lt;&gt;"",_xlpm.CSVVal
)),"")</f>
        <v/>
      </c>
      <c r="E723" s="40" t="str">
        <f>_xlfn.XLOOKUP(A723,My_Audit!A:A,My_Audit!D:D,"")</f>
        <v/>
      </c>
      <c r="F723" s="40" t="str" cm="1">
        <f t="array" ref="F723">IFERROR(_xlfn.LET(
_xlpm.CSVVal,_xlfn.XLOOKUP($A723,CSV!$A:$A,CSV!F:F,""),
_xlpm.MacVal,_xlfn.XLOOKUP($A723,Output_Mac!$A:$A,Output_Mac!E:E,""),
_xlpm.MyAuditVal,_xlfn.XLOOKUP($A723,My_Audit!$A:$A,My_Audit!E:E,""),
_xlfn.IFS(_xlpm.MyAuditVal&lt;&gt;"",_xlpm.MyAuditVal,_xlpm.MacVal&lt;&gt;"",_xlpm.MacVal,_xlpm.CSVVal&lt;&gt;"",_xlpm.CSVVal
)),"")</f>
        <v/>
      </c>
      <c r="G723" s="40" t="str" cm="1">
        <f t="array" ref="G723">IFERROR(_xlfn.LET(
_xlpm.CSVVal,_xlfn.XLOOKUP($A723,CSV!$A:$A,CSV!G:G,""),
_xlpm.MacVal,_xlfn.XLOOKUP($A723,Output_Mac!$A:$A,Output_Mac!F:F,""),
_xlpm.MyAuditVal,_xlfn.XLOOKUP($A723,My_Audit!$A:$A,My_Audit!F:F,""),
_xlfn.IFS(_xlpm.MyAuditVal&lt;&gt;"",_xlpm.MyAuditVal,_xlpm.MacVal&lt;&gt;"",_xlpm.MacVal,_xlpm.CSVVal&lt;&gt;"",PROPER(_xlpm.CSVVal)
)),"")</f>
        <v/>
      </c>
      <c r="H723" s="40" t="str" cm="1">
        <f t="array" ref="H723">IFERROR(_xlfn.LET(
_xlpm.CSVVal,_xlfn.XLOOKUP($A723,CSV!$A:$A,CSV!H:H,""),
_xlpm.MacVal,_xlfn.XLOOKUP($A723,Output_Mac!$A:$A,Output_Mac!H:H,""),
_xlpm.MyAuditVal,_xlfn.XLOOKUP($A723,My_Audit!$A:$A,My_Audit!G:G,""),
_xlfn.IFS(_xlpm.MyAuditVal&lt;&gt;"",_xlpm.MyAuditVal,_xlpm.MacVal&lt;&gt;"",_xlpm.MacVal,_xlpm.CSVVal&lt;&gt;"",_xlpm.CSVVal
)),"")</f>
        <v/>
      </c>
      <c r="I723" s="40" t="str">
        <f>_xlfn.XLOOKUP(A723,Output_Mac!A:A,Output_Mac!I:I,"")</f>
        <v/>
      </c>
      <c r="J723" s="40" t="str" cm="1">
        <f t="array" ref="J723">IFERROR(_xlfn.LET(
_xlpm.CSVVal,_xlfn.XLOOKUP($A723,CSV!$A:$A,CSV!I:I,""),
_xlpm.MacVal,_xlfn.XLOOKUP($A723,Output_Mac!$A:$A,Output_Mac!J:J,""),
_xlpm.MyAuditVal,_xlfn.XLOOKUP($A723,My_Audit!$A:$A,My_Audit!I:I,""),
_xlfn.IFS(_xlpm.MyAuditVal&lt;&gt;"",UPPER(_xlpm.MyAuditVal),_xlpm.MacVal&lt;&gt;"",_xlpm.MacVal,_xlpm.CSVVal&lt;&gt;"",_xlpm.CSVVal
)),"")</f>
        <v/>
      </c>
      <c r="K723" s="40" t="str" cm="1">
        <f t="array" ref="K723">IFERROR(_xlfn.LET(
_xlpm.CSVVal,_xlfn.XLOOKUP($A723,CSV!$A:$A,CSV!K:K,""),
_xlpm.MacVal,_xlfn.XLOOKUP($A723,Output_Mac!$A:$A,Output_Mac!K:K,""),
_xlpm.MyAuditVal,_xlfn.XLOOKUP($A723,My_Audit!$A:$A,My_Audit!J:J,""),
_xlfn.IFS(_xlpm.MyAuditVal&lt;&gt;"",UPPER(_xlpm.MyAuditVal),_xlpm.MacVal&lt;&gt;"",_xlpm.MacVal,_xlpm.CSVVal&lt;&gt;"",_xlpm.CSVVal
)),"")</f>
        <v/>
      </c>
      <c r="L723" s="40" t="str" cm="1">
        <f t="array" ref="L723">IFERROR(_xlfn.LET(
_xlpm.CSVVal,_xlfn.XLOOKUP($A723,CSV!$A:$A,CSV!P:P,""),
_xlpm.MacVal,_xlfn.XLOOKUP($A723,Output_Mac!$A:$A,Output_Mac!L:L,""),
_xlpm.MyAuditVal,_xlfn.XLOOKUP($A723,My_Audit!$A:$A,My_Audit!K:K,""),
_xlfn.IFS(_xlpm.MyAuditVal&lt;&gt;"",UPPER(_xlpm.MyAuditVal),_xlpm.MacVal&lt;&gt;"",_xlpm.MacVal,_xlpm.CSVVal&lt;&gt;"",_xlpm.CSVVal
)),"")</f>
        <v/>
      </c>
      <c r="M723" s="40" t="str" cm="1">
        <f t="array" ref="M723">IFERROR(_xlfn.LET(
_xlpm.CSVVal,_xlfn.XLOOKUP($A723,CSV!$A:$A,CSV!Q:Q,""),
_xlpm.MacVal,_xlfn.XLOOKUP($A723,Output_Mac!$A:$A,Output_Mac!M:M,""),
_xlpm.MyAuditVal,_xlfn.XLOOKUP($A723,My_Audit!$A:$A,My_Audit!L:L,""),
_xlfn.IFS(_xlpm.MyAuditVal&lt;&gt;"",UPPER(_xlpm.MyAuditVal),_xlpm.MacVal&lt;&gt;"",_xlpm.MacVal,_xlpm.CSVVal&lt;&gt;"",_xlpm.CSVVal
)),"")</f>
        <v/>
      </c>
      <c r="N723" s="40"/>
      <c r="O723" s="40" t="str">
        <f>_xlfn.LET(
    _xlpm.CSVVal, _xlfn.XLOOKUP($A723, CSV!$A:$A, CSV!AA:AA, ""),
    _xlpm.MacVal, _xlfn.XLOOKUP($A723, Output_Mac!$A:$A, Output_Mac!S:S, ""),
    _xlpm.MyAuditVal, _xlfn.XLOOKUP($A723, My_Audit!$A:$A, My_Audit!P:P, ""),
    _xlfn.TEXTJOIN(", ", TRUE, _xlpm.MyAuditVal, _xlpm.MacVal, _xlpm.CSVVal)
)</f>
        <v/>
      </c>
      <c r="P723" s="40" t="str" cm="1">
        <f t="array" ref="P723">IFERROR(_xlfn.LET(
_xlpm.CSVVal,_xlfn.XLOOKUP($A723,CSV!$A:$A,CSV!AB:AB,""),
_xlpm.MacVal,_xlfn.XLOOKUP($A723,Output_Mac!$A:$A,Output_Mac!T:T,""),
_xlpm.MyAuditVal,_xlfn.XLOOKUP($A723,My_Audit!$A:$A,My_Audit!Q:Q,""),
_xlfn.IFS(_xlpm.MyAuditVal&lt;&gt;"",UPPER(_xlpm.MyAuditVal),_xlpm.MacVal&lt;&gt;"",_xlpm.MacVal,_xlpm.CSVVal&lt;&gt;"",_xlpm.CSVVal
)),"No")</f>
        <v>No</v>
      </c>
      <c r="Q723" s="40" t="str" cm="1">
        <f t="array" ref="Q723">IFERROR(_xlfn.LET(
_xlpm.CSVVal,_xlfn.XLOOKUP($A723,CSV!$A:$A,CSV!AC:AC,""),
_xlpm.MacVal,_xlfn.XLOOKUP($A723,Output_Mac!$A:$A,Output_Mac!U:U,""),
_xlpm.MyAuditVal,_xlfn.XLOOKUP($A723,My_Audit!$A:$A,My_Audit!R:R,""),
_xlfn.IFS(_xlpm.MyAuditVal&lt;&gt;"",UPPER(_xlpm.MyAuditVal),_xlpm.MacVal&lt;&gt;"",_xlpm.MacVal,_xlpm.CSVVal&lt;&gt;"",_xlpm.CSVVal
)),"")</f>
        <v/>
      </c>
      <c r="R723" s="40"/>
      <c r="S723" s="40"/>
      <c r="T723" s="40"/>
      <c r="U723" s="40"/>
      <c r="V723" s="40"/>
      <c r="W723" s="40"/>
      <c r="X723" s="41" t="str">
        <f>_xlfn.LET(
    _xlpm.MacVal, _xlfn.XLOOKUP($A723, Output_Mac!$A:$A, Output_Mac!AB:AB, ""),
    _xlpm.MyAuditVal, _xlfn.XLOOKUP($A723, My_Audit!$A:$A, My_Audit!N:N, ""),
    _xlfn.TEXTJOIN(", ", TRUE, _xlpm.MyAuditVal, _xlpm.MacVal)
)</f>
        <v/>
      </c>
    </row>
    <row r="724" spans="1:24">
      <c r="A724" s="40" t="str">
        <f>_xlfn.TEXTJOIN("",TRUE,Input!$B$2,ROW(My_Audit!A723))</f>
        <v>X723</v>
      </c>
      <c r="B724" s="40" t="str">
        <f>_xlfn.TEXTJOIN("-",TRUE,"ITD",Input!$A$2,A724)</f>
        <v>ITD-X723</v>
      </c>
      <c r="C724" s="40" t="str" cm="1">
        <f t="array" ref="C724">IFERROR(_xlfn.LET(
_xlpm.CSVVal,_xlfn.XLOOKUP($A724,CSV!$A:$A,CSV!B:B,""),
_xlpm.MacVal,_xlfn.XLOOKUP($A724,Output_Mac!$A:$A,Output_Mac!B:B,""),
_xlpm.MyAuditVal,_xlfn.XLOOKUP($A724,My_Audit!$A:$A,My_Audit!B:B,""),
_xlfn.IFS(_xlpm.MyAuditVal&lt;&gt;"",UPPER(_xlpm.MyAuditVal),_xlpm.MacVal&lt;&gt;"",_xlpm.MacVal,_xlpm.CSVVal&lt;&gt;"",_xlpm.CSVVal
)),"")</f>
        <v/>
      </c>
      <c r="D724" s="40" t="str" cm="1">
        <f t="array" ref="D724">IFERROR(_xlfn.LET(
_xlpm.CSVVal,_xlfn.XLOOKUP($A724,CSV!$A:$A,CSV!D:D,""),
_xlpm.MacVal,_xlfn.XLOOKUP($A724,Output_Mac!$A:$A,Output_Mac!C:C,""),
_xlpm.MyAuditVal,_xlfn.XLOOKUP($A724,My_Audit!$A:$A,My_Audit!C:C,""),
_xlfn.IFS(_xlpm.MyAuditVal&lt;&gt;"",_xlpm.MyAuditVal,_xlpm.MacVal&lt;&gt;"",_xlpm.MacVal,_xlpm.CSVVal&lt;&gt;"",_xlpm.CSVVal
)),"")</f>
        <v/>
      </c>
      <c r="E724" s="40" t="str">
        <f>_xlfn.XLOOKUP(A724,My_Audit!A:A,My_Audit!D:D,"")</f>
        <v/>
      </c>
      <c r="F724" s="40" t="str" cm="1">
        <f t="array" ref="F724">IFERROR(_xlfn.LET(
_xlpm.CSVVal,_xlfn.XLOOKUP($A724,CSV!$A:$A,CSV!F:F,""),
_xlpm.MacVal,_xlfn.XLOOKUP($A724,Output_Mac!$A:$A,Output_Mac!E:E,""),
_xlpm.MyAuditVal,_xlfn.XLOOKUP($A724,My_Audit!$A:$A,My_Audit!E:E,""),
_xlfn.IFS(_xlpm.MyAuditVal&lt;&gt;"",_xlpm.MyAuditVal,_xlpm.MacVal&lt;&gt;"",_xlpm.MacVal,_xlpm.CSVVal&lt;&gt;"",_xlpm.CSVVal
)),"")</f>
        <v/>
      </c>
      <c r="G724" s="40" t="str" cm="1">
        <f t="array" ref="G724">IFERROR(_xlfn.LET(
_xlpm.CSVVal,_xlfn.XLOOKUP($A724,CSV!$A:$A,CSV!G:G,""),
_xlpm.MacVal,_xlfn.XLOOKUP($A724,Output_Mac!$A:$A,Output_Mac!F:F,""),
_xlpm.MyAuditVal,_xlfn.XLOOKUP($A724,My_Audit!$A:$A,My_Audit!F:F,""),
_xlfn.IFS(_xlpm.MyAuditVal&lt;&gt;"",_xlpm.MyAuditVal,_xlpm.MacVal&lt;&gt;"",_xlpm.MacVal,_xlpm.CSVVal&lt;&gt;"",PROPER(_xlpm.CSVVal)
)),"")</f>
        <v/>
      </c>
      <c r="H724" s="40" t="str" cm="1">
        <f t="array" ref="H724">IFERROR(_xlfn.LET(
_xlpm.CSVVal,_xlfn.XLOOKUP($A724,CSV!$A:$A,CSV!H:H,""),
_xlpm.MacVal,_xlfn.XLOOKUP($A724,Output_Mac!$A:$A,Output_Mac!H:H,""),
_xlpm.MyAuditVal,_xlfn.XLOOKUP($A724,My_Audit!$A:$A,My_Audit!G:G,""),
_xlfn.IFS(_xlpm.MyAuditVal&lt;&gt;"",_xlpm.MyAuditVal,_xlpm.MacVal&lt;&gt;"",_xlpm.MacVal,_xlpm.CSVVal&lt;&gt;"",_xlpm.CSVVal
)),"")</f>
        <v/>
      </c>
      <c r="I724" s="40" t="str">
        <f>_xlfn.XLOOKUP(A724,Output_Mac!A:A,Output_Mac!I:I,"")</f>
        <v/>
      </c>
      <c r="J724" s="40" t="str" cm="1">
        <f t="array" ref="J724">IFERROR(_xlfn.LET(
_xlpm.CSVVal,_xlfn.XLOOKUP($A724,CSV!$A:$A,CSV!I:I,""),
_xlpm.MacVal,_xlfn.XLOOKUP($A724,Output_Mac!$A:$A,Output_Mac!J:J,""),
_xlpm.MyAuditVal,_xlfn.XLOOKUP($A724,My_Audit!$A:$A,My_Audit!I:I,""),
_xlfn.IFS(_xlpm.MyAuditVal&lt;&gt;"",UPPER(_xlpm.MyAuditVal),_xlpm.MacVal&lt;&gt;"",_xlpm.MacVal,_xlpm.CSVVal&lt;&gt;"",_xlpm.CSVVal
)),"")</f>
        <v/>
      </c>
      <c r="K724" s="40" t="str" cm="1">
        <f t="array" ref="K724">IFERROR(_xlfn.LET(
_xlpm.CSVVal,_xlfn.XLOOKUP($A724,CSV!$A:$A,CSV!K:K,""),
_xlpm.MacVal,_xlfn.XLOOKUP($A724,Output_Mac!$A:$A,Output_Mac!K:K,""),
_xlpm.MyAuditVal,_xlfn.XLOOKUP($A724,My_Audit!$A:$A,My_Audit!J:J,""),
_xlfn.IFS(_xlpm.MyAuditVal&lt;&gt;"",UPPER(_xlpm.MyAuditVal),_xlpm.MacVal&lt;&gt;"",_xlpm.MacVal,_xlpm.CSVVal&lt;&gt;"",_xlpm.CSVVal
)),"")</f>
        <v/>
      </c>
      <c r="L724" s="40" t="str" cm="1">
        <f t="array" ref="L724">IFERROR(_xlfn.LET(
_xlpm.CSVVal,_xlfn.XLOOKUP($A724,CSV!$A:$A,CSV!P:P,""),
_xlpm.MacVal,_xlfn.XLOOKUP($A724,Output_Mac!$A:$A,Output_Mac!L:L,""),
_xlpm.MyAuditVal,_xlfn.XLOOKUP($A724,My_Audit!$A:$A,My_Audit!K:K,""),
_xlfn.IFS(_xlpm.MyAuditVal&lt;&gt;"",UPPER(_xlpm.MyAuditVal),_xlpm.MacVal&lt;&gt;"",_xlpm.MacVal,_xlpm.CSVVal&lt;&gt;"",_xlpm.CSVVal
)),"")</f>
        <v/>
      </c>
      <c r="M724" s="40" t="str" cm="1">
        <f t="array" ref="M724">IFERROR(_xlfn.LET(
_xlpm.CSVVal,_xlfn.XLOOKUP($A724,CSV!$A:$A,CSV!Q:Q,""),
_xlpm.MacVal,_xlfn.XLOOKUP($A724,Output_Mac!$A:$A,Output_Mac!M:M,""),
_xlpm.MyAuditVal,_xlfn.XLOOKUP($A724,My_Audit!$A:$A,My_Audit!L:L,""),
_xlfn.IFS(_xlpm.MyAuditVal&lt;&gt;"",UPPER(_xlpm.MyAuditVal),_xlpm.MacVal&lt;&gt;"",_xlpm.MacVal,_xlpm.CSVVal&lt;&gt;"",_xlpm.CSVVal
)),"")</f>
        <v/>
      </c>
      <c r="N724" s="40"/>
      <c r="O724" s="40" t="str">
        <f>_xlfn.LET(
    _xlpm.CSVVal, _xlfn.XLOOKUP($A724, CSV!$A:$A, CSV!AA:AA, ""),
    _xlpm.MacVal, _xlfn.XLOOKUP($A724, Output_Mac!$A:$A, Output_Mac!S:S, ""),
    _xlpm.MyAuditVal, _xlfn.XLOOKUP($A724, My_Audit!$A:$A, My_Audit!P:P, ""),
    _xlfn.TEXTJOIN(", ", TRUE, _xlpm.MyAuditVal, _xlpm.MacVal, _xlpm.CSVVal)
)</f>
        <v/>
      </c>
      <c r="P724" s="40" t="str" cm="1">
        <f t="array" ref="P724">IFERROR(_xlfn.LET(
_xlpm.CSVVal,_xlfn.XLOOKUP($A724,CSV!$A:$A,CSV!AB:AB,""),
_xlpm.MacVal,_xlfn.XLOOKUP($A724,Output_Mac!$A:$A,Output_Mac!T:T,""),
_xlpm.MyAuditVal,_xlfn.XLOOKUP($A724,My_Audit!$A:$A,My_Audit!Q:Q,""),
_xlfn.IFS(_xlpm.MyAuditVal&lt;&gt;"",UPPER(_xlpm.MyAuditVal),_xlpm.MacVal&lt;&gt;"",_xlpm.MacVal,_xlpm.CSVVal&lt;&gt;"",_xlpm.CSVVal
)),"No")</f>
        <v>No</v>
      </c>
      <c r="Q724" s="40" t="str" cm="1">
        <f t="array" ref="Q724">IFERROR(_xlfn.LET(
_xlpm.CSVVal,_xlfn.XLOOKUP($A724,CSV!$A:$A,CSV!AC:AC,""),
_xlpm.MacVal,_xlfn.XLOOKUP($A724,Output_Mac!$A:$A,Output_Mac!U:U,""),
_xlpm.MyAuditVal,_xlfn.XLOOKUP($A724,My_Audit!$A:$A,My_Audit!R:R,""),
_xlfn.IFS(_xlpm.MyAuditVal&lt;&gt;"",UPPER(_xlpm.MyAuditVal),_xlpm.MacVal&lt;&gt;"",_xlpm.MacVal,_xlpm.CSVVal&lt;&gt;"",_xlpm.CSVVal
)),"")</f>
        <v/>
      </c>
      <c r="R724" s="40"/>
      <c r="S724" s="40"/>
      <c r="T724" s="40"/>
      <c r="U724" s="40"/>
      <c r="V724" s="40"/>
      <c r="W724" s="40"/>
      <c r="X724" s="41" t="str">
        <f>_xlfn.LET(
    _xlpm.MacVal, _xlfn.XLOOKUP($A724, Output_Mac!$A:$A, Output_Mac!AB:AB, ""),
    _xlpm.MyAuditVal, _xlfn.XLOOKUP($A724, My_Audit!$A:$A, My_Audit!N:N, ""),
    _xlfn.TEXTJOIN(", ", TRUE, _xlpm.MyAuditVal, _xlpm.MacVal)
)</f>
        <v/>
      </c>
    </row>
    <row r="725" spans="1:24">
      <c r="A725" s="40" t="str">
        <f>_xlfn.TEXTJOIN("",TRUE,Input!$B$2,ROW(My_Audit!A724))</f>
        <v>X724</v>
      </c>
      <c r="B725" s="40" t="str">
        <f>_xlfn.TEXTJOIN("-",TRUE,"ITD",Input!$A$2,A725)</f>
        <v>ITD-X724</v>
      </c>
      <c r="C725" s="40" t="str" cm="1">
        <f t="array" ref="C725">IFERROR(_xlfn.LET(
_xlpm.CSVVal,_xlfn.XLOOKUP($A725,CSV!$A:$A,CSV!B:B,""),
_xlpm.MacVal,_xlfn.XLOOKUP($A725,Output_Mac!$A:$A,Output_Mac!B:B,""),
_xlpm.MyAuditVal,_xlfn.XLOOKUP($A725,My_Audit!$A:$A,My_Audit!B:B,""),
_xlfn.IFS(_xlpm.MyAuditVal&lt;&gt;"",UPPER(_xlpm.MyAuditVal),_xlpm.MacVal&lt;&gt;"",_xlpm.MacVal,_xlpm.CSVVal&lt;&gt;"",_xlpm.CSVVal
)),"")</f>
        <v/>
      </c>
      <c r="D725" s="40" t="str" cm="1">
        <f t="array" ref="D725">IFERROR(_xlfn.LET(
_xlpm.CSVVal,_xlfn.XLOOKUP($A725,CSV!$A:$A,CSV!D:D,""),
_xlpm.MacVal,_xlfn.XLOOKUP($A725,Output_Mac!$A:$A,Output_Mac!C:C,""),
_xlpm.MyAuditVal,_xlfn.XLOOKUP($A725,My_Audit!$A:$A,My_Audit!C:C,""),
_xlfn.IFS(_xlpm.MyAuditVal&lt;&gt;"",_xlpm.MyAuditVal,_xlpm.MacVal&lt;&gt;"",_xlpm.MacVal,_xlpm.CSVVal&lt;&gt;"",_xlpm.CSVVal
)),"")</f>
        <v/>
      </c>
      <c r="E725" s="40" t="str">
        <f>_xlfn.XLOOKUP(A725,My_Audit!A:A,My_Audit!D:D,"")</f>
        <v/>
      </c>
      <c r="F725" s="40" t="str" cm="1">
        <f t="array" ref="F725">IFERROR(_xlfn.LET(
_xlpm.CSVVal,_xlfn.XLOOKUP($A725,CSV!$A:$A,CSV!F:F,""),
_xlpm.MacVal,_xlfn.XLOOKUP($A725,Output_Mac!$A:$A,Output_Mac!E:E,""),
_xlpm.MyAuditVal,_xlfn.XLOOKUP($A725,My_Audit!$A:$A,My_Audit!E:E,""),
_xlfn.IFS(_xlpm.MyAuditVal&lt;&gt;"",_xlpm.MyAuditVal,_xlpm.MacVal&lt;&gt;"",_xlpm.MacVal,_xlpm.CSVVal&lt;&gt;"",_xlpm.CSVVal
)),"")</f>
        <v/>
      </c>
      <c r="G725" s="40" t="str" cm="1">
        <f t="array" ref="G725">IFERROR(_xlfn.LET(
_xlpm.CSVVal,_xlfn.XLOOKUP($A725,CSV!$A:$A,CSV!G:G,""),
_xlpm.MacVal,_xlfn.XLOOKUP($A725,Output_Mac!$A:$A,Output_Mac!F:F,""),
_xlpm.MyAuditVal,_xlfn.XLOOKUP($A725,My_Audit!$A:$A,My_Audit!F:F,""),
_xlfn.IFS(_xlpm.MyAuditVal&lt;&gt;"",_xlpm.MyAuditVal,_xlpm.MacVal&lt;&gt;"",_xlpm.MacVal,_xlpm.CSVVal&lt;&gt;"",PROPER(_xlpm.CSVVal)
)),"")</f>
        <v/>
      </c>
      <c r="H725" s="40" t="str" cm="1">
        <f t="array" ref="H725">IFERROR(_xlfn.LET(
_xlpm.CSVVal,_xlfn.XLOOKUP($A725,CSV!$A:$A,CSV!H:H,""),
_xlpm.MacVal,_xlfn.XLOOKUP($A725,Output_Mac!$A:$A,Output_Mac!H:H,""),
_xlpm.MyAuditVal,_xlfn.XLOOKUP($A725,My_Audit!$A:$A,My_Audit!G:G,""),
_xlfn.IFS(_xlpm.MyAuditVal&lt;&gt;"",_xlpm.MyAuditVal,_xlpm.MacVal&lt;&gt;"",_xlpm.MacVal,_xlpm.CSVVal&lt;&gt;"",_xlpm.CSVVal
)),"")</f>
        <v/>
      </c>
      <c r="I725" s="40" t="str">
        <f>_xlfn.XLOOKUP(A725,Output_Mac!A:A,Output_Mac!I:I,"")</f>
        <v/>
      </c>
      <c r="J725" s="40" t="str" cm="1">
        <f t="array" ref="J725">IFERROR(_xlfn.LET(
_xlpm.CSVVal,_xlfn.XLOOKUP($A725,CSV!$A:$A,CSV!I:I,""),
_xlpm.MacVal,_xlfn.XLOOKUP($A725,Output_Mac!$A:$A,Output_Mac!J:J,""),
_xlpm.MyAuditVal,_xlfn.XLOOKUP($A725,My_Audit!$A:$A,My_Audit!I:I,""),
_xlfn.IFS(_xlpm.MyAuditVal&lt;&gt;"",UPPER(_xlpm.MyAuditVal),_xlpm.MacVal&lt;&gt;"",_xlpm.MacVal,_xlpm.CSVVal&lt;&gt;"",_xlpm.CSVVal
)),"")</f>
        <v/>
      </c>
      <c r="K725" s="40" t="str" cm="1">
        <f t="array" ref="K725">IFERROR(_xlfn.LET(
_xlpm.CSVVal,_xlfn.XLOOKUP($A725,CSV!$A:$A,CSV!K:K,""),
_xlpm.MacVal,_xlfn.XLOOKUP($A725,Output_Mac!$A:$A,Output_Mac!K:K,""),
_xlpm.MyAuditVal,_xlfn.XLOOKUP($A725,My_Audit!$A:$A,My_Audit!J:J,""),
_xlfn.IFS(_xlpm.MyAuditVal&lt;&gt;"",UPPER(_xlpm.MyAuditVal),_xlpm.MacVal&lt;&gt;"",_xlpm.MacVal,_xlpm.CSVVal&lt;&gt;"",_xlpm.CSVVal
)),"")</f>
        <v/>
      </c>
      <c r="L725" s="40" t="str" cm="1">
        <f t="array" ref="L725">IFERROR(_xlfn.LET(
_xlpm.CSVVal,_xlfn.XLOOKUP($A725,CSV!$A:$A,CSV!P:P,""),
_xlpm.MacVal,_xlfn.XLOOKUP($A725,Output_Mac!$A:$A,Output_Mac!L:L,""),
_xlpm.MyAuditVal,_xlfn.XLOOKUP($A725,My_Audit!$A:$A,My_Audit!K:K,""),
_xlfn.IFS(_xlpm.MyAuditVal&lt;&gt;"",UPPER(_xlpm.MyAuditVal),_xlpm.MacVal&lt;&gt;"",_xlpm.MacVal,_xlpm.CSVVal&lt;&gt;"",_xlpm.CSVVal
)),"")</f>
        <v/>
      </c>
      <c r="M725" s="40" t="str" cm="1">
        <f t="array" ref="M725">IFERROR(_xlfn.LET(
_xlpm.CSVVal,_xlfn.XLOOKUP($A725,CSV!$A:$A,CSV!Q:Q,""),
_xlpm.MacVal,_xlfn.XLOOKUP($A725,Output_Mac!$A:$A,Output_Mac!M:M,""),
_xlpm.MyAuditVal,_xlfn.XLOOKUP($A725,My_Audit!$A:$A,My_Audit!L:L,""),
_xlfn.IFS(_xlpm.MyAuditVal&lt;&gt;"",UPPER(_xlpm.MyAuditVal),_xlpm.MacVal&lt;&gt;"",_xlpm.MacVal,_xlpm.CSVVal&lt;&gt;"",_xlpm.CSVVal
)),"")</f>
        <v/>
      </c>
      <c r="N725" s="40"/>
      <c r="O725" s="40" t="str">
        <f>_xlfn.LET(
    _xlpm.CSVVal, _xlfn.XLOOKUP($A725, CSV!$A:$A, CSV!AA:AA, ""),
    _xlpm.MacVal, _xlfn.XLOOKUP($A725, Output_Mac!$A:$A, Output_Mac!S:S, ""),
    _xlpm.MyAuditVal, _xlfn.XLOOKUP($A725, My_Audit!$A:$A, My_Audit!P:P, ""),
    _xlfn.TEXTJOIN(", ", TRUE, _xlpm.MyAuditVal, _xlpm.MacVal, _xlpm.CSVVal)
)</f>
        <v/>
      </c>
      <c r="P725" s="40" t="str" cm="1">
        <f t="array" ref="P725">IFERROR(_xlfn.LET(
_xlpm.CSVVal,_xlfn.XLOOKUP($A725,CSV!$A:$A,CSV!AB:AB,""),
_xlpm.MacVal,_xlfn.XLOOKUP($A725,Output_Mac!$A:$A,Output_Mac!T:T,""),
_xlpm.MyAuditVal,_xlfn.XLOOKUP($A725,My_Audit!$A:$A,My_Audit!Q:Q,""),
_xlfn.IFS(_xlpm.MyAuditVal&lt;&gt;"",UPPER(_xlpm.MyAuditVal),_xlpm.MacVal&lt;&gt;"",_xlpm.MacVal,_xlpm.CSVVal&lt;&gt;"",_xlpm.CSVVal
)),"No")</f>
        <v>No</v>
      </c>
      <c r="Q725" s="40" t="str" cm="1">
        <f t="array" ref="Q725">IFERROR(_xlfn.LET(
_xlpm.CSVVal,_xlfn.XLOOKUP($A725,CSV!$A:$A,CSV!AC:AC,""),
_xlpm.MacVal,_xlfn.XLOOKUP($A725,Output_Mac!$A:$A,Output_Mac!U:U,""),
_xlpm.MyAuditVal,_xlfn.XLOOKUP($A725,My_Audit!$A:$A,My_Audit!R:R,""),
_xlfn.IFS(_xlpm.MyAuditVal&lt;&gt;"",UPPER(_xlpm.MyAuditVal),_xlpm.MacVal&lt;&gt;"",_xlpm.MacVal,_xlpm.CSVVal&lt;&gt;"",_xlpm.CSVVal
)),"")</f>
        <v/>
      </c>
      <c r="R725" s="40"/>
      <c r="S725" s="40"/>
      <c r="T725" s="40"/>
      <c r="U725" s="40"/>
      <c r="V725" s="40"/>
      <c r="W725" s="40"/>
      <c r="X725" s="41" t="str">
        <f>_xlfn.LET(
    _xlpm.MacVal, _xlfn.XLOOKUP($A725, Output_Mac!$A:$A, Output_Mac!AB:AB, ""),
    _xlpm.MyAuditVal, _xlfn.XLOOKUP($A725, My_Audit!$A:$A, My_Audit!N:N, ""),
    _xlfn.TEXTJOIN(", ", TRUE, _xlpm.MyAuditVal, _xlpm.MacVal)
)</f>
        <v/>
      </c>
    </row>
    <row r="726" spans="1:24">
      <c r="A726" s="40" t="str">
        <f>_xlfn.TEXTJOIN("",TRUE,Input!$B$2,ROW(My_Audit!A725))</f>
        <v>X725</v>
      </c>
      <c r="B726" s="40" t="str">
        <f>_xlfn.TEXTJOIN("-",TRUE,"ITD",Input!$A$2,A726)</f>
        <v>ITD-X725</v>
      </c>
      <c r="C726" s="40" t="str" cm="1">
        <f t="array" ref="C726">IFERROR(_xlfn.LET(
_xlpm.CSVVal,_xlfn.XLOOKUP($A726,CSV!$A:$A,CSV!B:B,""),
_xlpm.MacVal,_xlfn.XLOOKUP($A726,Output_Mac!$A:$A,Output_Mac!B:B,""),
_xlpm.MyAuditVal,_xlfn.XLOOKUP($A726,My_Audit!$A:$A,My_Audit!B:B,""),
_xlfn.IFS(_xlpm.MyAuditVal&lt;&gt;"",UPPER(_xlpm.MyAuditVal),_xlpm.MacVal&lt;&gt;"",_xlpm.MacVal,_xlpm.CSVVal&lt;&gt;"",_xlpm.CSVVal
)),"")</f>
        <v/>
      </c>
      <c r="D726" s="40" t="str" cm="1">
        <f t="array" ref="D726">IFERROR(_xlfn.LET(
_xlpm.CSVVal,_xlfn.XLOOKUP($A726,CSV!$A:$A,CSV!D:D,""),
_xlpm.MacVal,_xlfn.XLOOKUP($A726,Output_Mac!$A:$A,Output_Mac!C:C,""),
_xlpm.MyAuditVal,_xlfn.XLOOKUP($A726,My_Audit!$A:$A,My_Audit!C:C,""),
_xlfn.IFS(_xlpm.MyAuditVal&lt;&gt;"",_xlpm.MyAuditVal,_xlpm.MacVal&lt;&gt;"",_xlpm.MacVal,_xlpm.CSVVal&lt;&gt;"",_xlpm.CSVVal
)),"")</f>
        <v/>
      </c>
      <c r="E726" s="40" t="str">
        <f>_xlfn.XLOOKUP(A726,My_Audit!A:A,My_Audit!D:D,"")</f>
        <v/>
      </c>
      <c r="F726" s="40" t="str" cm="1">
        <f t="array" ref="F726">IFERROR(_xlfn.LET(
_xlpm.CSVVal,_xlfn.XLOOKUP($A726,CSV!$A:$A,CSV!F:F,""),
_xlpm.MacVal,_xlfn.XLOOKUP($A726,Output_Mac!$A:$A,Output_Mac!E:E,""),
_xlpm.MyAuditVal,_xlfn.XLOOKUP($A726,My_Audit!$A:$A,My_Audit!E:E,""),
_xlfn.IFS(_xlpm.MyAuditVal&lt;&gt;"",_xlpm.MyAuditVal,_xlpm.MacVal&lt;&gt;"",_xlpm.MacVal,_xlpm.CSVVal&lt;&gt;"",_xlpm.CSVVal
)),"")</f>
        <v/>
      </c>
      <c r="G726" s="40" t="str" cm="1">
        <f t="array" ref="G726">IFERROR(_xlfn.LET(
_xlpm.CSVVal,_xlfn.XLOOKUP($A726,CSV!$A:$A,CSV!G:G,""),
_xlpm.MacVal,_xlfn.XLOOKUP($A726,Output_Mac!$A:$A,Output_Mac!F:F,""),
_xlpm.MyAuditVal,_xlfn.XLOOKUP($A726,My_Audit!$A:$A,My_Audit!F:F,""),
_xlfn.IFS(_xlpm.MyAuditVal&lt;&gt;"",_xlpm.MyAuditVal,_xlpm.MacVal&lt;&gt;"",_xlpm.MacVal,_xlpm.CSVVal&lt;&gt;"",PROPER(_xlpm.CSVVal)
)),"")</f>
        <v/>
      </c>
      <c r="H726" s="40" t="str" cm="1">
        <f t="array" ref="H726">IFERROR(_xlfn.LET(
_xlpm.CSVVal,_xlfn.XLOOKUP($A726,CSV!$A:$A,CSV!H:H,""),
_xlpm.MacVal,_xlfn.XLOOKUP($A726,Output_Mac!$A:$A,Output_Mac!H:H,""),
_xlpm.MyAuditVal,_xlfn.XLOOKUP($A726,My_Audit!$A:$A,My_Audit!G:G,""),
_xlfn.IFS(_xlpm.MyAuditVal&lt;&gt;"",_xlpm.MyAuditVal,_xlpm.MacVal&lt;&gt;"",_xlpm.MacVal,_xlpm.CSVVal&lt;&gt;"",_xlpm.CSVVal
)),"")</f>
        <v/>
      </c>
      <c r="I726" s="40" t="str">
        <f>_xlfn.XLOOKUP(A726,Output_Mac!A:A,Output_Mac!I:I,"")</f>
        <v/>
      </c>
      <c r="J726" s="40" t="str" cm="1">
        <f t="array" ref="J726">IFERROR(_xlfn.LET(
_xlpm.CSVVal,_xlfn.XLOOKUP($A726,CSV!$A:$A,CSV!I:I,""),
_xlpm.MacVal,_xlfn.XLOOKUP($A726,Output_Mac!$A:$A,Output_Mac!J:J,""),
_xlpm.MyAuditVal,_xlfn.XLOOKUP($A726,My_Audit!$A:$A,My_Audit!I:I,""),
_xlfn.IFS(_xlpm.MyAuditVal&lt;&gt;"",UPPER(_xlpm.MyAuditVal),_xlpm.MacVal&lt;&gt;"",_xlpm.MacVal,_xlpm.CSVVal&lt;&gt;"",_xlpm.CSVVal
)),"")</f>
        <v/>
      </c>
      <c r="K726" s="40" t="str" cm="1">
        <f t="array" ref="K726">IFERROR(_xlfn.LET(
_xlpm.CSVVal,_xlfn.XLOOKUP($A726,CSV!$A:$A,CSV!K:K,""),
_xlpm.MacVal,_xlfn.XLOOKUP($A726,Output_Mac!$A:$A,Output_Mac!K:K,""),
_xlpm.MyAuditVal,_xlfn.XLOOKUP($A726,My_Audit!$A:$A,My_Audit!J:J,""),
_xlfn.IFS(_xlpm.MyAuditVal&lt;&gt;"",UPPER(_xlpm.MyAuditVal),_xlpm.MacVal&lt;&gt;"",_xlpm.MacVal,_xlpm.CSVVal&lt;&gt;"",_xlpm.CSVVal
)),"")</f>
        <v/>
      </c>
      <c r="L726" s="40" t="str" cm="1">
        <f t="array" ref="L726">IFERROR(_xlfn.LET(
_xlpm.CSVVal,_xlfn.XLOOKUP($A726,CSV!$A:$A,CSV!P:P,""),
_xlpm.MacVal,_xlfn.XLOOKUP($A726,Output_Mac!$A:$A,Output_Mac!L:L,""),
_xlpm.MyAuditVal,_xlfn.XLOOKUP($A726,My_Audit!$A:$A,My_Audit!K:K,""),
_xlfn.IFS(_xlpm.MyAuditVal&lt;&gt;"",UPPER(_xlpm.MyAuditVal),_xlpm.MacVal&lt;&gt;"",_xlpm.MacVal,_xlpm.CSVVal&lt;&gt;"",_xlpm.CSVVal
)),"")</f>
        <v/>
      </c>
      <c r="M726" s="40" t="str" cm="1">
        <f t="array" ref="M726">IFERROR(_xlfn.LET(
_xlpm.CSVVal,_xlfn.XLOOKUP($A726,CSV!$A:$A,CSV!Q:Q,""),
_xlpm.MacVal,_xlfn.XLOOKUP($A726,Output_Mac!$A:$A,Output_Mac!M:M,""),
_xlpm.MyAuditVal,_xlfn.XLOOKUP($A726,My_Audit!$A:$A,My_Audit!L:L,""),
_xlfn.IFS(_xlpm.MyAuditVal&lt;&gt;"",UPPER(_xlpm.MyAuditVal),_xlpm.MacVal&lt;&gt;"",_xlpm.MacVal,_xlpm.CSVVal&lt;&gt;"",_xlpm.CSVVal
)),"")</f>
        <v/>
      </c>
      <c r="N726" s="40"/>
      <c r="O726" s="40" t="str">
        <f>_xlfn.LET(
    _xlpm.CSVVal, _xlfn.XLOOKUP($A726, CSV!$A:$A, CSV!AA:AA, ""),
    _xlpm.MacVal, _xlfn.XLOOKUP($A726, Output_Mac!$A:$A, Output_Mac!S:S, ""),
    _xlpm.MyAuditVal, _xlfn.XLOOKUP($A726, My_Audit!$A:$A, My_Audit!P:P, ""),
    _xlfn.TEXTJOIN(", ", TRUE, _xlpm.MyAuditVal, _xlpm.MacVal, _xlpm.CSVVal)
)</f>
        <v/>
      </c>
      <c r="P726" s="40" t="str" cm="1">
        <f t="array" ref="P726">IFERROR(_xlfn.LET(
_xlpm.CSVVal,_xlfn.XLOOKUP($A726,CSV!$A:$A,CSV!AB:AB,""),
_xlpm.MacVal,_xlfn.XLOOKUP($A726,Output_Mac!$A:$A,Output_Mac!T:T,""),
_xlpm.MyAuditVal,_xlfn.XLOOKUP($A726,My_Audit!$A:$A,My_Audit!Q:Q,""),
_xlfn.IFS(_xlpm.MyAuditVal&lt;&gt;"",UPPER(_xlpm.MyAuditVal),_xlpm.MacVal&lt;&gt;"",_xlpm.MacVal,_xlpm.CSVVal&lt;&gt;"",_xlpm.CSVVal
)),"No")</f>
        <v>No</v>
      </c>
      <c r="Q726" s="40" t="str" cm="1">
        <f t="array" ref="Q726">IFERROR(_xlfn.LET(
_xlpm.CSVVal,_xlfn.XLOOKUP($A726,CSV!$A:$A,CSV!AC:AC,""),
_xlpm.MacVal,_xlfn.XLOOKUP($A726,Output_Mac!$A:$A,Output_Mac!U:U,""),
_xlpm.MyAuditVal,_xlfn.XLOOKUP($A726,My_Audit!$A:$A,My_Audit!R:R,""),
_xlfn.IFS(_xlpm.MyAuditVal&lt;&gt;"",UPPER(_xlpm.MyAuditVal),_xlpm.MacVal&lt;&gt;"",_xlpm.MacVal,_xlpm.CSVVal&lt;&gt;"",_xlpm.CSVVal
)),"")</f>
        <v/>
      </c>
      <c r="R726" s="40"/>
      <c r="S726" s="40"/>
      <c r="T726" s="40"/>
      <c r="U726" s="40"/>
      <c r="V726" s="40"/>
      <c r="W726" s="40"/>
      <c r="X726" s="41" t="str">
        <f>_xlfn.LET(
    _xlpm.MacVal, _xlfn.XLOOKUP($A726, Output_Mac!$A:$A, Output_Mac!AB:AB, ""),
    _xlpm.MyAuditVal, _xlfn.XLOOKUP($A726, My_Audit!$A:$A, My_Audit!N:N, ""),
    _xlfn.TEXTJOIN(", ", TRUE, _xlpm.MyAuditVal, _xlpm.MacVal)
)</f>
        <v/>
      </c>
    </row>
    <row r="727" spans="1:24">
      <c r="A727" s="40" t="str">
        <f>_xlfn.TEXTJOIN("",TRUE,Input!$B$2,ROW(My_Audit!A726))</f>
        <v>X726</v>
      </c>
      <c r="B727" s="40" t="str">
        <f>_xlfn.TEXTJOIN("-",TRUE,"ITD",Input!$A$2,A727)</f>
        <v>ITD-X726</v>
      </c>
      <c r="C727" s="40" t="str" cm="1">
        <f t="array" ref="C727">IFERROR(_xlfn.LET(
_xlpm.CSVVal,_xlfn.XLOOKUP($A727,CSV!$A:$A,CSV!B:B,""),
_xlpm.MacVal,_xlfn.XLOOKUP($A727,Output_Mac!$A:$A,Output_Mac!B:B,""),
_xlpm.MyAuditVal,_xlfn.XLOOKUP($A727,My_Audit!$A:$A,My_Audit!B:B,""),
_xlfn.IFS(_xlpm.MyAuditVal&lt;&gt;"",UPPER(_xlpm.MyAuditVal),_xlpm.MacVal&lt;&gt;"",_xlpm.MacVal,_xlpm.CSVVal&lt;&gt;"",_xlpm.CSVVal
)),"")</f>
        <v/>
      </c>
      <c r="D727" s="40" t="str" cm="1">
        <f t="array" ref="D727">IFERROR(_xlfn.LET(
_xlpm.CSVVal,_xlfn.XLOOKUP($A727,CSV!$A:$A,CSV!D:D,""),
_xlpm.MacVal,_xlfn.XLOOKUP($A727,Output_Mac!$A:$A,Output_Mac!C:C,""),
_xlpm.MyAuditVal,_xlfn.XLOOKUP($A727,My_Audit!$A:$A,My_Audit!C:C,""),
_xlfn.IFS(_xlpm.MyAuditVal&lt;&gt;"",_xlpm.MyAuditVal,_xlpm.MacVal&lt;&gt;"",_xlpm.MacVal,_xlpm.CSVVal&lt;&gt;"",_xlpm.CSVVal
)),"")</f>
        <v/>
      </c>
      <c r="E727" s="40" t="str">
        <f>_xlfn.XLOOKUP(A727,My_Audit!A:A,My_Audit!D:D,"")</f>
        <v/>
      </c>
      <c r="F727" s="40" t="str" cm="1">
        <f t="array" ref="F727">IFERROR(_xlfn.LET(
_xlpm.CSVVal,_xlfn.XLOOKUP($A727,CSV!$A:$A,CSV!F:F,""),
_xlpm.MacVal,_xlfn.XLOOKUP($A727,Output_Mac!$A:$A,Output_Mac!E:E,""),
_xlpm.MyAuditVal,_xlfn.XLOOKUP($A727,My_Audit!$A:$A,My_Audit!E:E,""),
_xlfn.IFS(_xlpm.MyAuditVal&lt;&gt;"",_xlpm.MyAuditVal,_xlpm.MacVal&lt;&gt;"",_xlpm.MacVal,_xlpm.CSVVal&lt;&gt;"",_xlpm.CSVVal
)),"")</f>
        <v/>
      </c>
      <c r="G727" s="40" t="str" cm="1">
        <f t="array" ref="G727">IFERROR(_xlfn.LET(
_xlpm.CSVVal,_xlfn.XLOOKUP($A727,CSV!$A:$A,CSV!G:G,""),
_xlpm.MacVal,_xlfn.XLOOKUP($A727,Output_Mac!$A:$A,Output_Mac!F:F,""),
_xlpm.MyAuditVal,_xlfn.XLOOKUP($A727,My_Audit!$A:$A,My_Audit!F:F,""),
_xlfn.IFS(_xlpm.MyAuditVal&lt;&gt;"",_xlpm.MyAuditVal,_xlpm.MacVal&lt;&gt;"",_xlpm.MacVal,_xlpm.CSVVal&lt;&gt;"",PROPER(_xlpm.CSVVal)
)),"")</f>
        <v/>
      </c>
      <c r="H727" s="40" t="str" cm="1">
        <f t="array" ref="H727">IFERROR(_xlfn.LET(
_xlpm.CSVVal,_xlfn.XLOOKUP($A727,CSV!$A:$A,CSV!H:H,""),
_xlpm.MacVal,_xlfn.XLOOKUP($A727,Output_Mac!$A:$A,Output_Mac!H:H,""),
_xlpm.MyAuditVal,_xlfn.XLOOKUP($A727,My_Audit!$A:$A,My_Audit!G:G,""),
_xlfn.IFS(_xlpm.MyAuditVal&lt;&gt;"",_xlpm.MyAuditVal,_xlpm.MacVal&lt;&gt;"",_xlpm.MacVal,_xlpm.CSVVal&lt;&gt;"",_xlpm.CSVVal
)),"")</f>
        <v/>
      </c>
      <c r="I727" s="40" t="str">
        <f>_xlfn.XLOOKUP(A727,Output_Mac!A:A,Output_Mac!I:I,"")</f>
        <v/>
      </c>
      <c r="J727" s="40" t="str" cm="1">
        <f t="array" ref="J727">IFERROR(_xlfn.LET(
_xlpm.CSVVal,_xlfn.XLOOKUP($A727,CSV!$A:$A,CSV!I:I,""),
_xlpm.MacVal,_xlfn.XLOOKUP($A727,Output_Mac!$A:$A,Output_Mac!J:J,""),
_xlpm.MyAuditVal,_xlfn.XLOOKUP($A727,My_Audit!$A:$A,My_Audit!I:I,""),
_xlfn.IFS(_xlpm.MyAuditVal&lt;&gt;"",UPPER(_xlpm.MyAuditVal),_xlpm.MacVal&lt;&gt;"",_xlpm.MacVal,_xlpm.CSVVal&lt;&gt;"",_xlpm.CSVVal
)),"")</f>
        <v/>
      </c>
      <c r="K727" s="40" t="str" cm="1">
        <f t="array" ref="K727">IFERROR(_xlfn.LET(
_xlpm.CSVVal,_xlfn.XLOOKUP($A727,CSV!$A:$A,CSV!K:K,""),
_xlpm.MacVal,_xlfn.XLOOKUP($A727,Output_Mac!$A:$A,Output_Mac!K:K,""),
_xlpm.MyAuditVal,_xlfn.XLOOKUP($A727,My_Audit!$A:$A,My_Audit!J:J,""),
_xlfn.IFS(_xlpm.MyAuditVal&lt;&gt;"",UPPER(_xlpm.MyAuditVal),_xlpm.MacVal&lt;&gt;"",_xlpm.MacVal,_xlpm.CSVVal&lt;&gt;"",_xlpm.CSVVal
)),"")</f>
        <v/>
      </c>
      <c r="L727" s="40" t="str" cm="1">
        <f t="array" ref="L727">IFERROR(_xlfn.LET(
_xlpm.CSVVal,_xlfn.XLOOKUP($A727,CSV!$A:$A,CSV!P:P,""),
_xlpm.MacVal,_xlfn.XLOOKUP($A727,Output_Mac!$A:$A,Output_Mac!L:L,""),
_xlpm.MyAuditVal,_xlfn.XLOOKUP($A727,My_Audit!$A:$A,My_Audit!K:K,""),
_xlfn.IFS(_xlpm.MyAuditVal&lt;&gt;"",UPPER(_xlpm.MyAuditVal),_xlpm.MacVal&lt;&gt;"",_xlpm.MacVal,_xlpm.CSVVal&lt;&gt;"",_xlpm.CSVVal
)),"")</f>
        <v/>
      </c>
      <c r="M727" s="40" t="str" cm="1">
        <f t="array" ref="M727">IFERROR(_xlfn.LET(
_xlpm.CSVVal,_xlfn.XLOOKUP($A727,CSV!$A:$A,CSV!Q:Q,""),
_xlpm.MacVal,_xlfn.XLOOKUP($A727,Output_Mac!$A:$A,Output_Mac!M:M,""),
_xlpm.MyAuditVal,_xlfn.XLOOKUP($A727,My_Audit!$A:$A,My_Audit!L:L,""),
_xlfn.IFS(_xlpm.MyAuditVal&lt;&gt;"",UPPER(_xlpm.MyAuditVal),_xlpm.MacVal&lt;&gt;"",_xlpm.MacVal,_xlpm.CSVVal&lt;&gt;"",_xlpm.CSVVal
)),"")</f>
        <v/>
      </c>
      <c r="N727" s="40"/>
      <c r="O727" s="40" t="str">
        <f>_xlfn.LET(
    _xlpm.CSVVal, _xlfn.XLOOKUP($A727, CSV!$A:$A, CSV!AA:AA, ""),
    _xlpm.MacVal, _xlfn.XLOOKUP($A727, Output_Mac!$A:$A, Output_Mac!S:S, ""),
    _xlpm.MyAuditVal, _xlfn.XLOOKUP($A727, My_Audit!$A:$A, My_Audit!P:P, ""),
    _xlfn.TEXTJOIN(", ", TRUE, _xlpm.MyAuditVal, _xlpm.MacVal, _xlpm.CSVVal)
)</f>
        <v/>
      </c>
      <c r="P727" s="40" t="str" cm="1">
        <f t="array" ref="P727">IFERROR(_xlfn.LET(
_xlpm.CSVVal,_xlfn.XLOOKUP($A727,CSV!$A:$A,CSV!AB:AB,""),
_xlpm.MacVal,_xlfn.XLOOKUP($A727,Output_Mac!$A:$A,Output_Mac!T:T,""),
_xlpm.MyAuditVal,_xlfn.XLOOKUP($A727,My_Audit!$A:$A,My_Audit!Q:Q,""),
_xlfn.IFS(_xlpm.MyAuditVal&lt;&gt;"",UPPER(_xlpm.MyAuditVal),_xlpm.MacVal&lt;&gt;"",_xlpm.MacVal,_xlpm.CSVVal&lt;&gt;"",_xlpm.CSVVal
)),"No")</f>
        <v>No</v>
      </c>
      <c r="Q727" s="40" t="str" cm="1">
        <f t="array" ref="Q727">IFERROR(_xlfn.LET(
_xlpm.CSVVal,_xlfn.XLOOKUP($A727,CSV!$A:$A,CSV!AC:AC,""),
_xlpm.MacVal,_xlfn.XLOOKUP($A727,Output_Mac!$A:$A,Output_Mac!U:U,""),
_xlpm.MyAuditVal,_xlfn.XLOOKUP($A727,My_Audit!$A:$A,My_Audit!R:R,""),
_xlfn.IFS(_xlpm.MyAuditVal&lt;&gt;"",UPPER(_xlpm.MyAuditVal),_xlpm.MacVal&lt;&gt;"",_xlpm.MacVal,_xlpm.CSVVal&lt;&gt;"",_xlpm.CSVVal
)),"")</f>
        <v/>
      </c>
      <c r="R727" s="40"/>
      <c r="S727" s="40"/>
      <c r="T727" s="40"/>
      <c r="U727" s="40"/>
      <c r="V727" s="40"/>
      <c r="W727" s="40"/>
      <c r="X727" s="41" t="str">
        <f>_xlfn.LET(
    _xlpm.MacVal, _xlfn.XLOOKUP($A727, Output_Mac!$A:$A, Output_Mac!AB:AB, ""),
    _xlpm.MyAuditVal, _xlfn.XLOOKUP($A727, My_Audit!$A:$A, My_Audit!N:N, ""),
    _xlfn.TEXTJOIN(", ", TRUE, _xlpm.MyAuditVal, _xlpm.MacVal)
)</f>
        <v/>
      </c>
    </row>
    <row r="728" spans="1:24">
      <c r="A728" s="40" t="str">
        <f>_xlfn.TEXTJOIN("",TRUE,Input!$B$2,ROW(My_Audit!A727))</f>
        <v>X727</v>
      </c>
      <c r="B728" s="40" t="str">
        <f>_xlfn.TEXTJOIN("-",TRUE,"ITD",Input!$A$2,A728)</f>
        <v>ITD-X727</v>
      </c>
      <c r="C728" s="40" t="str" cm="1">
        <f t="array" ref="C728">IFERROR(_xlfn.LET(
_xlpm.CSVVal,_xlfn.XLOOKUP($A728,CSV!$A:$A,CSV!B:B,""),
_xlpm.MacVal,_xlfn.XLOOKUP($A728,Output_Mac!$A:$A,Output_Mac!B:B,""),
_xlpm.MyAuditVal,_xlfn.XLOOKUP($A728,My_Audit!$A:$A,My_Audit!B:B,""),
_xlfn.IFS(_xlpm.MyAuditVal&lt;&gt;"",UPPER(_xlpm.MyAuditVal),_xlpm.MacVal&lt;&gt;"",_xlpm.MacVal,_xlpm.CSVVal&lt;&gt;"",_xlpm.CSVVal
)),"")</f>
        <v/>
      </c>
      <c r="D728" s="40" t="str" cm="1">
        <f t="array" ref="D728">IFERROR(_xlfn.LET(
_xlpm.CSVVal,_xlfn.XLOOKUP($A728,CSV!$A:$A,CSV!D:D,""),
_xlpm.MacVal,_xlfn.XLOOKUP($A728,Output_Mac!$A:$A,Output_Mac!C:C,""),
_xlpm.MyAuditVal,_xlfn.XLOOKUP($A728,My_Audit!$A:$A,My_Audit!C:C,""),
_xlfn.IFS(_xlpm.MyAuditVal&lt;&gt;"",_xlpm.MyAuditVal,_xlpm.MacVal&lt;&gt;"",_xlpm.MacVal,_xlpm.CSVVal&lt;&gt;"",_xlpm.CSVVal
)),"")</f>
        <v/>
      </c>
      <c r="E728" s="40" t="str">
        <f>_xlfn.XLOOKUP(A728,My_Audit!A:A,My_Audit!D:D,"")</f>
        <v/>
      </c>
      <c r="F728" s="40" t="str" cm="1">
        <f t="array" ref="F728">IFERROR(_xlfn.LET(
_xlpm.CSVVal,_xlfn.XLOOKUP($A728,CSV!$A:$A,CSV!F:F,""),
_xlpm.MacVal,_xlfn.XLOOKUP($A728,Output_Mac!$A:$A,Output_Mac!E:E,""),
_xlpm.MyAuditVal,_xlfn.XLOOKUP($A728,My_Audit!$A:$A,My_Audit!E:E,""),
_xlfn.IFS(_xlpm.MyAuditVal&lt;&gt;"",_xlpm.MyAuditVal,_xlpm.MacVal&lt;&gt;"",_xlpm.MacVal,_xlpm.CSVVal&lt;&gt;"",_xlpm.CSVVal
)),"")</f>
        <v/>
      </c>
      <c r="G728" s="40" t="str" cm="1">
        <f t="array" ref="G728">IFERROR(_xlfn.LET(
_xlpm.CSVVal,_xlfn.XLOOKUP($A728,CSV!$A:$A,CSV!G:G,""),
_xlpm.MacVal,_xlfn.XLOOKUP($A728,Output_Mac!$A:$A,Output_Mac!F:F,""),
_xlpm.MyAuditVal,_xlfn.XLOOKUP($A728,My_Audit!$A:$A,My_Audit!F:F,""),
_xlfn.IFS(_xlpm.MyAuditVal&lt;&gt;"",_xlpm.MyAuditVal,_xlpm.MacVal&lt;&gt;"",_xlpm.MacVal,_xlpm.CSVVal&lt;&gt;"",PROPER(_xlpm.CSVVal)
)),"")</f>
        <v/>
      </c>
      <c r="H728" s="40" t="str" cm="1">
        <f t="array" ref="H728">IFERROR(_xlfn.LET(
_xlpm.CSVVal,_xlfn.XLOOKUP($A728,CSV!$A:$A,CSV!H:H,""),
_xlpm.MacVal,_xlfn.XLOOKUP($A728,Output_Mac!$A:$A,Output_Mac!H:H,""),
_xlpm.MyAuditVal,_xlfn.XLOOKUP($A728,My_Audit!$A:$A,My_Audit!G:G,""),
_xlfn.IFS(_xlpm.MyAuditVal&lt;&gt;"",_xlpm.MyAuditVal,_xlpm.MacVal&lt;&gt;"",_xlpm.MacVal,_xlpm.CSVVal&lt;&gt;"",_xlpm.CSVVal
)),"")</f>
        <v/>
      </c>
      <c r="I728" s="40" t="str">
        <f>_xlfn.XLOOKUP(A728,Output_Mac!A:A,Output_Mac!I:I,"")</f>
        <v/>
      </c>
      <c r="J728" s="40" t="str" cm="1">
        <f t="array" ref="J728">IFERROR(_xlfn.LET(
_xlpm.CSVVal,_xlfn.XLOOKUP($A728,CSV!$A:$A,CSV!I:I,""),
_xlpm.MacVal,_xlfn.XLOOKUP($A728,Output_Mac!$A:$A,Output_Mac!J:J,""),
_xlpm.MyAuditVal,_xlfn.XLOOKUP($A728,My_Audit!$A:$A,My_Audit!I:I,""),
_xlfn.IFS(_xlpm.MyAuditVal&lt;&gt;"",UPPER(_xlpm.MyAuditVal),_xlpm.MacVal&lt;&gt;"",_xlpm.MacVal,_xlpm.CSVVal&lt;&gt;"",_xlpm.CSVVal
)),"")</f>
        <v/>
      </c>
      <c r="K728" s="40" t="str" cm="1">
        <f t="array" ref="K728">IFERROR(_xlfn.LET(
_xlpm.CSVVal,_xlfn.XLOOKUP($A728,CSV!$A:$A,CSV!K:K,""),
_xlpm.MacVal,_xlfn.XLOOKUP($A728,Output_Mac!$A:$A,Output_Mac!K:K,""),
_xlpm.MyAuditVal,_xlfn.XLOOKUP($A728,My_Audit!$A:$A,My_Audit!J:J,""),
_xlfn.IFS(_xlpm.MyAuditVal&lt;&gt;"",UPPER(_xlpm.MyAuditVal),_xlpm.MacVal&lt;&gt;"",_xlpm.MacVal,_xlpm.CSVVal&lt;&gt;"",_xlpm.CSVVal
)),"")</f>
        <v/>
      </c>
      <c r="L728" s="40" t="str" cm="1">
        <f t="array" ref="L728">IFERROR(_xlfn.LET(
_xlpm.CSVVal,_xlfn.XLOOKUP($A728,CSV!$A:$A,CSV!P:P,""),
_xlpm.MacVal,_xlfn.XLOOKUP($A728,Output_Mac!$A:$A,Output_Mac!L:L,""),
_xlpm.MyAuditVal,_xlfn.XLOOKUP($A728,My_Audit!$A:$A,My_Audit!K:K,""),
_xlfn.IFS(_xlpm.MyAuditVal&lt;&gt;"",UPPER(_xlpm.MyAuditVal),_xlpm.MacVal&lt;&gt;"",_xlpm.MacVal,_xlpm.CSVVal&lt;&gt;"",_xlpm.CSVVal
)),"")</f>
        <v/>
      </c>
      <c r="M728" s="40" t="str" cm="1">
        <f t="array" ref="M728">IFERROR(_xlfn.LET(
_xlpm.CSVVal,_xlfn.XLOOKUP($A728,CSV!$A:$A,CSV!Q:Q,""),
_xlpm.MacVal,_xlfn.XLOOKUP($A728,Output_Mac!$A:$A,Output_Mac!M:M,""),
_xlpm.MyAuditVal,_xlfn.XLOOKUP($A728,My_Audit!$A:$A,My_Audit!L:L,""),
_xlfn.IFS(_xlpm.MyAuditVal&lt;&gt;"",UPPER(_xlpm.MyAuditVal),_xlpm.MacVal&lt;&gt;"",_xlpm.MacVal,_xlpm.CSVVal&lt;&gt;"",_xlpm.CSVVal
)),"")</f>
        <v/>
      </c>
      <c r="N728" s="40"/>
      <c r="O728" s="40" t="str">
        <f>_xlfn.LET(
    _xlpm.CSVVal, _xlfn.XLOOKUP($A728, CSV!$A:$A, CSV!AA:AA, ""),
    _xlpm.MacVal, _xlfn.XLOOKUP($A728, Output_Mac!$A:$A, Output_Mac!S:S, ""),
    _xlpm.MyAuditVal, _xlfn.XLOOKUP($A728, My_Audit!$A:$A, My_Audit!P:P, ""),
    _xlfn.TEXTJOIN(", ", TRUE, _xlpm.MyAuditVal, _xlpm.MacVal, _xlpm.CSVVal)
)</f>
        <v/>
      </c>
      <c r="P728" s="40" t="str" cm="1">
        <f t="array" ref="P728">IFERROR(_xlfn.LET(
_xlpm.CSVVal,_xlfn.XLOOKUP($A728,CSV!$A:$A,CSV!AB:AB,""),
_xlpm.MacVal,_xlfn.XLOOKUP($A728,Output_Mac!$A:$A,Output_Mac!T:T,""),
_xlpm.MyAuditVal,_xlfn.XLOOKUP($A728,My_Audit!$A:$A,My_Audit!Q:Q,""),
_xlfn.IFS(_xlpm.MyAuditVal&lt;&gt;"",UPPER(_xlpm.MyAuditVal),_xlpm.MacVal&lt;&gt;"",_xlpm.MacVal,_xlpm.CSVVal&lt;&gt;"",_xlpm.CSVVal
)),"No")</f>
        <v>No</v>
      </c>
      <c r="Q728" s="40" t="str" cm="1">
        <f t="array" ref="Q728">IFERROR(_xlfn.LET(
_xlpm.CSVVal,_xlfn.XLOOKUP($A728,CSV!$A:$A,CSV!AC:AC,""),
_xlpm.MacVal,_xlfn.XLOOKUP($A728,Output_Mac!$A:$A,Output_Mac!U:U,""),
_xlpm.MyAuditVal,_xlfn.XLOOKUP($A728,My_Audit!$A:$A,My_Audit!R:R,""),
_xlfn.IFS(_xlpm.MyAuditVal&lt;&gt;"",UPPER(_xlpm.MyAuditVal),_xlpm.MacVal&lt;&gt;"",_xlpm.MacVal,_xlpm.CSVVal&lt;&gt;"",_xlpm.CSVVal
)),"")</f>
        <v/>
      </c>
      <c r="R728" s="40"/>
      <c r="S728" s="40"/>
      <c r="T728" s="40"/>
      <c r="U728" s="40"/>
      <c r="V728" s="40"/>
      <c r="W728" s="40"/>
      <c r="X728" s="41" t="str">
        <f>_xlfn.LET(
    _xlpm.MacVal, _xlfn.XLOOKUP($A728, Output_Mac!$A:$A, Output_Mac!AB:AB, ""),
    _xlpm.MyAuditVal, _xlfn.XLOOKUP($A728, My_Audit!$A:$A, My_Audit!N:N, ""),
    _xlfn.TEXTJOIN(", ", TRUE, _xlpm.MyAuditVal, _xlpm.MacVal)
)</f>
        <v/>
      </c>
    </row>
    <row r="729" spans="1:24">
      <c r="A729" s="40" t="str">
        <f>_xlfn.TEXTJOIN("",TRUE,Input!$B$2,ROW(My_Audit!A728))</f>
        <v>X728</v>
      </c>
      <c r="B729" s="40" t="str">
        <f>_xlfn.TEXTJOIN("-",TRUE,"ITD",Input!$A$2,A729)</f>
        <v>ITD-X728</v>
      </c>
      <c r="C729" s="40" t="str" cm="1">
        <f t="array" ref="C729">IFERROR(_xlfn.LET(
_xlpm.CSVVal,_xlfn.XLOOKUP($A729,CSV!$A:$A,CSV!B:B,""),
_xlpm.MacVal,_xlfn.XLOOKUP($A729,Output_Mac!$A:$A,Output_Mac!B:B,""),
_xlpm.MyAuditVal,_xlfn.XLOOKUP($A729,My_Audit!$A:$A,My_Audit!B:B,""),
_xlfn.IFS(_xlpm.MyAuditVal&lt;&gt;"",UPPER(_xlpm.MyAuditVal),_xlpm.MacVal&lt;&gt;"",_xlpm.MacVal,_xlpm.CSVVal&lt;&gt;"",_xlpm.CSVVal
)),"")</f>
        <v/>
      </c>
      <c r="D729" s="40" t="str" cm="1">
        <f t="array" ref="D729">IFERROR(_xlfn.LET(
_xlpm.CSVVal,_xlfn.XLOOKUP($A729,CSV!$A:$A,CSV!D:D,""),
_xlpm.MacVal,_xlfn.XLOOKUP($A729,Output_Mac!$A:$A,Output_Mac!C:C,""),
_xlpm.MyAuditVal,_xlfn.XLOOKUP($A729,My_Audit!$A:$A,My_Audit!C:C,""),
_xlfn.IFS(_xlpm.MyAuditVal&lt;&gt;"",_xlpm.MyAuditVal,_xlpm.MacVal&lt;&gt;"",_xlpm.MacVal,_xlpm.CSVVal&lt;&gt;"",_xlpm.CSVVal
)),"")</f>
        <v/>
      </c>
      <c r="E729" s="40" t="str">
        <f>_xlfn.XLOOKUP(A729,My_Audit!A:A,My_Audit!D:D,"")</f>
        <v/>
      </c>
      <c r="F729" s="40" t="str" cm="1">
        <f t="array" ref="F729">IFERROR(_xlfn.LET(
_xlpm.CSVVal,_xlfn.XLOOKUP($A729,CSV!$A:$A,CSV!F:F,""),
_xlpm.MacVal,_xlfn.XLOOKUP($A729,Output_Mac!$A:$A,Output_Mac!E:E,""),
_xlpm.MyAuditVal,_xlfn.XLOOKUP($A729,My_Audit!$A:$A,My_Audit!E:E,""),
_xlfn.IFS(_xlpm.MyAuditVal&lt;&gt;"",_xlpm.MyAuditVal,_xlpm.MacVal&lt;&gt;"",_xlpm.MacVal,_xlpm.CSVVal&lt;&gt;"",_xlpm.CSVVal
)),"")</f>
        <v/>
      </c>
      <c r="G729" s="40" t="str" cm="1">
        <f t="array" ref="G729">IFERROR(_xlfn.LET(
_xlpm.CSVVal,_xlfn.XLOOKUP($A729,CSV!$A:$A,CSV!G:G,""),
_xlpm.MacVal,_xlfn.XLOOKUP($A729,Output_Mac!$A:$A,Output_Mac!F:F,""),
_xlpm.MyAuditVal,_xlfn.XLOOKUP($A729,My_Audit!$A:$A,My_Audit!F:F,""),
_xlfn.IFS(_xlpm.MyAuditVal&lt;&gt;"",_xlpm.MyAuditVal,_xlpm.MacVal&lt;&gt;"",_xlpm.MacVal,_xlpm.CSVVal&lt;&gt;"",PROPER(_xlpm.CSVVal)
)),"")</f>
        <v/>
      </c>
      <c r="H729" s="40" t="str" cm="1">
        <f t="array" ref="H729">IFERROR(_xlfn.LET(
_xlpm.CSVVal,_xlfn.XLOOKUP($A729,CSV!$A:$A,CSV!H:H,""),
_xlpm.MacVal,_xlfn.XLOOKUP($A729,Output_Mac!$A:$A,Output_Mac!H:H,""),
_xlpm.MyAuditVal,_xlfn.XLOOKUP($A729,My_Audit!$A:$A,My_Audit!G:G,""),
_xlfn.IFS(_xlpm.MyAuditVal&lt;&gt;"",_xlpm.MyAuditVal,_xlpm.MacVal&lt;&gt;"",_xlpm.MacVal,_xlpm.CSVVal&lt;&gt;"",_xlpm.CSVVal
)),"")</f>
        <v/>
      </c>
      <c r="I729" s="40" t="str">
        <f>_xlfn.XLOOKUP(A729,Output_Mac!A:A,Output_Mac!I:I,"")</f>
        <v/>
      </c>
      <c r="J729" s="40" t="str" cm="1">
        <f t="array" ref="J729">IFERROR(_xlfn.LET(
_xlpm.CSVVal,_xlfn.XLOOKUP($A729,CSV!$A:$A,CSV!I:I,""),
_xlpm.MacVal,_xlfn.XLOOKUP($A729,Output_Mac!$A:$A,Output_Mac!J:J,""),
_xlpm.MyAuditVal,_xlfn.XLOOKUP($A729,My_Audit!$A:$A,My_Audit!I:I,""),
_xlfn.IFS(_xlpm.MyAuditVal&lt;&gt;"",UPPER(_xlpm.MyAuditVal),_xlpm.MacVal&lt;&gt;"",_xlpm.MacVal,_xlpm.CSVVal&lt;&gt;"",_xlpm.CSVVal
)),"")</f>
        <v/>
      </c>
      <c r="K729" s="40" t="str" cm="1">
        <f t="array" ref="K729">IFERROR(_xlfn.LET(
_xlpm.CSVVal,_xlfn.XLOOKUP($A729,CSV!$A:$A,CSV!K:K,""),
_xlpm.MacVal,_xlfn.XLOOKUP($A729,Output_Mac!$A:$A,Output_Mac!K:K,""),
_xlpm.MyAuditVal,_xlfn.XLOOKUP($A729,My_Audit!$A:$A,My_Audit!J:J,""),
_xlfn.IFS(_xlpm.MyAuditVal&lt;&gt;"",UPPER(_xlpm.MyAuditVal),_xlpm.MacVal&lt;&gt;"",_xlpm.MacVal,_xlpm.CSVVal&lt;&gt;"",_xlpm.CSVVal
)),"")</f>
        <v/>
      </c>
      <c r="L729" s="40" t="str" cm="1">
        <f t="array" ref="L729">IFERROR(_xlfn.LET(
_xlpm.CSVVal,_xlfn.XLOOKUP($A729,CSV!$A:$A,CSV!P:P,""),
_xlpm.MacVal,_xlfn.XLOOKUP($A729,Output_Mac!$A:$A,Output_Mac!L:L,""),
_xlpm.MyAuditVal,_xlfn.XLOOKUP($A729,My_Audit!$A:$A,My_Audit!K:K,""),
_xlfn.IFS(_xlpm.MyAuditVal&lt;&gt;"",UPPER(_xlpm.MyAuditVal),_xlpm.MacVal&lt;&gt;"",_xlpm.MacVal,_xlpm.CSVVal&lt;&gt;"",_xlpm.CSVVal
)),"")</f>
        <v/>
      </c>
      <c r="M729" s="40" t="str" cm="1">
        <f t="array" ref="M729">IFERROR(_xlfn.LET(
_xlpm.CSVVal,_xlfn.XLOOKUP($A729,CSV!$A:$A,CSV!Q:Q,""),
_xlpm.MacVal,_xlfn.XLOOKUP($A729,Output_Mac!$A:$A,Output_Mac!M:M,""),
_xlpm.MyAuditVal,_xlfn.XLOOKUP($A729,My_Audit!$A:$A,My_Audit!L:L,""),
_xlfn.IFS(_xlpm.MyAuditVal&lt;&gt;"",UPPER(_xlpm.MyAuditVal),_xlpm.MacVal&lt;&gt;"",_xlpm.MacVal,_xlpm.CSVVal&lt;&gt;"",_xlpm.CSVVal
)),"")</f>
        <v/>
      </c>
      <c r="N729" s="40"/>
      <c r="O729" s="40" t="str">
        <f>_xlfn.LET(
    _xlpm.CSVVal, _xlfn.XLOOKUP($A729, CSV!$A:$A, CSV!AA:AA, ""),
    _xlpm.MacVal, _xlfn.XLOOKUP($A729, Output_Mac!$A:$A, Output_Mac!S:S, ""),
    _xlpm.MyAuditVal, _xlfn.XLOOKUP($A729, My_Audit!$A:$A, My_Audit!P:P, ""),
    _xlfn.TEXTJOIN(", ", TRUE, _xlpm.MyAuditVal, _xlpm.MacVal, _xlpm.CSVVal)
)</f>
        <v/>
      </c>
      <c r="P729" s="40" t="str" cm="1">
        <f t="array" ref="P729">IFERROR(_xlfn.LET(
_xlpm.CSVVal,_xlfn.XLOOKUP($A729,CSV!$A:$A,CSV!AB:AB,""),
_xlpm.MacVal,_xlfn.XLOOKUP($A729,Output_Mac!$A:$A,Output_Mac!T:T,""),
_xlpm.MyAuditVal,_xlfn.XLOOKUP($A729,My_Audit!$A:$A,My_Audit!Q:Q,""),
_xlfn.IFS(_xlpm.MyAuditVal&lt;&gt;"",UPPER(_xlpm.MyAuditVal),_xlpm.MacVal&lt;&gt;"",_xlpm.MacVal,_xlpm.CSVVal&lt;&gt;"",_xlpm.CSVVal
)),"No")</f>
        <v>No</v>
      </c>
      <c r="Q729" s="40" t="str" cm="1">
        <f t="array" ref="Q729">IFERROR(_xlfn.LET(
_xlpm.CSVVal,_xlfn.XLOOKUP($A729,CSV!$A:$A,CSV!AC:AC,""),
_xlpm.MacVal,_xlfn.XLOOKUP($A729,Output_Mac!$A:$A,Output_Mac!U:U,""),
_xlpm.MyAuditVal,_xlfn.XLOOKUP($A729,My_Audit!$A:$A,My_Audit!R:R,""),
_xlfn.IFS(_xlpm.MyAuditVal&lt;&gt;"",UPPER(_xlpm.MyAuditVal),_xlpm.MacVal&lt;&gt;"",_xlpm.MacVal,_xlpm.CSVVal&lt;&gt;"",_xlpm.CSVVal
)),"")</f>
        <v/>
      </c>
      <c r="R729" s="40"/>
      <c r="S729" s="40"/>
      <c r="T729" s="40"/>
      <c r="U729" s="40"/>
      <c r="V729" s="40"/>
      <c r="W729" s="40"/>
      <c r="X729" s="41" t="str">
        <f>_xlfn.LET(
    _xlpm.MacVal, _xlfn.XLOOKUP($A729, Output_Mac!$A:$A, Output_Mac!AB:AB, ""),
    _xlpm.MyAuditVal, _xlfn.XLOOKUP($A729, My_Audit!$A:$A, My_Audit!N:N, ""),
    _xlfn.TEXTJOIN(", ", TRUE, _xlpm.MyAuditVal, _xlpm.MacVal)
)</f>
        <v/>
      </c>
    </row>
    <row r="730" spans="1:24">
      <c r="A730" s="40" t="str">
        <f>_xlfn.TEXTJOIN("",TRUE,Input!$B$2,ROW(My_Audit!A729))</f>
        <v>X729</v>
      </c>
      <c r="B730" s="40" t="str">
        <f>_xlfn.TEXTJOIN("-",TRUE,"ITD",Input!$A$2,A730)</f>
        <v>ITD-X729</v>
      </c>
      <c r="C730" s="40" t="str" cm="1">
        <f t="array" ref="C730">IFERROR(_xlfn.LET(
_xlpm.CSVVal,_xlfn.XLOOKUP($A730,CSV!$A:$A,CSV!B:B,""),
_xlpm.MacVal,_xlfn.XLOOKUP($A730,Output_Mac!$A:$A,Output_Mac!B:B,""),
_xlpm.MyAuditVal,_xlfn.XLOOKUP($A730,My_Audit!$A:$A,My_Audit!B:B,""),
_xlfn.IFS(_xlpm.MyAuditVal&lt;&gt;"",UPPER(_xlpm.MyAuditVal),_xlpm.MacVal&lt;&gt;"",_xlpm.MacVal,_xlpm.CSVVal&lt;&gt;"",_xlpm.CSVVal
)),"")</f>
        <v/>
      </c>
      <c r="D730" s="40" t="str" cm="1">
        <f t="array" ref="D730">IFERROR(_xlfn.LET(
_xlpm.CSVVal,_xlfn.XLOOKUP($A730,CSV!$A:$A,CSV!D:D,""),
_xlpm.MacVal,_xlfn.XLOOKUP($A730,Output_Mac!$A:$A,Output_Mac!C:C,""),
_xlpm.MyAuditVal,_xlfn.XLOOKUP($A730,My_Audit!$A:$A,My_Audit!C:C,""),
_xlfn.IFS(_xlpm.MyAuditVal&lt;&gt;"",_xlpm.MyAuditVal,_xlpm.MacVal&lt;&gt;"",_xlpm.MacVal,_xlpm.CSVVal&lt;&gt;"",_xlpm.CSVVal
)),"")</f>
        <v/>
      </c>
      <c r="E730" s="40" t="str">
        <f>_xlfn.XLOOKUP(A730,My_Audit!A:A,My_Audit!D:D,"")</f>
        <v/>
      </c>
      <c r="F730" s="40" t="str" cm="1">
        <f t="array" ref="F730">IFERROR(_xlfn.LET(
_xlpm.CSVVal,_xlfn.XLOOKUP($A730,CSV!$A:$A,CSV!F:F,""),
_xlpm.MacVal,_xlfn.XLOOKUP($A730,Output_Mac!$A:$A,Output_Mac!E:E,""),
_xlpm.MyAuditVal,_xlfn.XLOOKUP($A730,My_Audit!$A:$A,My_Audit!E:E,""),
_xlfn.IFS(_xlpm.MyAuditVal&lt;&gt;"",_xlpm.MyAuditVal,_xlpm.MacVal&lt;&gt;"",_xlpm.MacVal,_xlpm.CSVVal&lt;&gt;"",_xlpm.CSVVal
)),"")</f>
        <v/>
      </c>
      <c r="G730" s="40" t="str" cm="1">
        <f t="array" ref="G730">IFERROR(_xlfn.LET(
_xlpm.CSVVal,_xlfn.XLOOKUP($A730,CSV!$A:$A,CSV!G:G,""),
_xlpm.MacVal,_xlfn.XLOOKUP($A730,Output_Mac!$A:$A,Output_Mac!F:F,""),
_xlpm.MyAuditVal,_xlfn.XLOOKUP($A730,My_Audit!$A:$A,My_Audit!F:F,""),
_xlfn.IFS(_xlpm.MyAuditVal&lt;&gt;"",_xlpm.MyAuditVal,_xlpm.MacVal&lt;&gt;"",_xlpm.MacVal,_xlpm.CSVVal&lt;&gt;"",PROPER(_xlpm.CSVVal)
)),"")</f>
        <v/>
      </c>
      <c r="H730" s="40" t="str" cm="1">
        <f t="array" ref="H730">IFERROR(_xlfn.LET(
_xlpm.CSVVal,_xlfn.XLOOKUP($A730,CSV!$A:$A,CSV!H:H,""),
_xlpm.MacVal,_xlfn.XLOOKUP($A730,Output_Mac!$A:$A,Output_Mac!H:H,""),
_xlpm.MyAuditVal,_xlfn.XLOOKUP($A730,My_Audit!$A:$A,My_Audit!G:G,""),
_xlfn.IFS(_xlpm.MyAuditVal&lt;&gt;"",_xlpm.MyAuditVal,_xlpm.MacVal&lt;&gt;"",_xlpm.MacVal,_xlpm.CSVVal&lt;&gt;"",_xlpm.CSVVal
)),"")</f>
        <v/>
      </c>
      <c r="I730" s="40" t="str">
        <f>_xlfn.XLOOKUP(A730,Output_Mac!A:A,Output_Mac!I:I,"")</f>
        <v/>
      </c>
      <c r="J730" s="40" t="str" cm="1">
        <f t="array" ref="J730">IFERROR(_xlfn.LET(
_xlpm.CSVVal,_xlfn.XLOOKUP($A730,CSV!$A:$A,CSV!I:I,""),
_xlpm.MacVal,_xlfn.XLOOKUP($A730,Output_Mac!$A:$A,Output_Mac!J:J,""),
_xlpm.MyAuditVal,_xlfn.XLOOKUP($A730,My_Audit!$A:$A,My_Audit!I:I,""),
_xlfn.IFS(_xlpm.MyAuditVal&lt;&gt;"",UPPER(_xlpm.MyAuditVal),_xlpm.MacVal&lt;&gt;"",_xlpm.MacVal,_xlpm.CSVVal&lt;&gt;"",_xlpm.CSVVal
)),"")</f>
        <v/>
      </c>
      <c r="K730" s="40" t="str" cm="1">
        <f t="array" ref="K730">IFERROR(_xlfn.LET(
_xlpm.CSVVal,_xlfn.XLOOKUP($A730,CSV!$A:$A,CSV!K:K,""),
_xlpm.MacVal,_xlfn.XLOOKUP($A730,Output_Mac!$A:$A,Output_Mac!K:K,""),
_xlpm.MyAuditVal,_xlfn.XLOOKUP($A730,My_Audit!$A:$A,My_Audit!J:J,""),
_xlfn.IFS(_xlpm.MyAuditVal&lt;&gt;"",UPPER(_xlpm.MyAuditVal),_xlpm.MacVal&lt;&gt;"",_xlpm.MacVal,_xlpm.CSVVal&lt;&gt;"",_xlpm.CSVVal
)),"")</f>
        <v/>
      </c>
      <c r="L730" s="40" t="str" cm="1">
        <f t="array" ref="L730">IFERROR(_xlfn.LET(
_xlpm.CSVVal,_xlfn.XLOOKUP($A730,CSV!$A:$A,CSV!P:P,""),
_xlpm.MacVal,_xlfn.XLOOKUP($A730,Output_Mac!$A:$A,Output_Mac!L:L,""),
_xlpm.MyAuditVal,_xlfn.XLOOKUP($A730,My_Audit!$A:$A,My_Audit!K:K,""),
_xlfn.IFS(_xlpm.MyAuditVal&lt;&gt;"",UPPER(_xlpm.MyAuditVal),_xlpm.MacVal&lt;&gt;"",_xlpm.MacVal,_xlpm.CSVVal&lt;&gt;"",_xlpm.CSVVal
)),"")</f>
        <v/>
      </c>
      <c r="M730" s="40" t="str" cm="1">
        <f t="array" ref="M730">IFERROR(_xlfn.LET(
_xlpm.CSVVal,_xlfn.XLOOKUP($A730,CSV!$A:$A,CSV!Q:Q,""),
_xlpm.MacVal,_xlfn.XLOOKUP($A730,Output_Mac!$A:$A,Output_Mac!M:M,""),
_xlpm.MyAuditVal,_xlfn.XLOOKUP($A730,My_Audit!$A:$A,My_Audit!L:L,""),
_xlfn.IFS(_xlpm.MyAuditVal&lt;&gt;"",UPPER(_xlpm.MyAuditVal),_xlpm.MacVal&lt;&gt;"",_xlpm.MacVal,_xlpm.CSVVal&lt;&gt;"",_xlpm.CSVVal
)),"")</f>
        <v/>
      </c>
      <c r="N730" s="40"/>
      <c r="O730" s="40" t="str">
        <f>_xlfn.LET(
    _xlpm.CSVVal, _xlfn.XLOOKUP($A730, CSV!$A:$A, CSV!AA:AA, ""),
    _xlpm.MacVal, _xlfn.XLOOKUP($A730, Output_Mac!$A:$A, Output_Mac!S:S, ""),
    _xlpm.MyAuditVal, _xlfn.XLOOKUP($A730, My_Audit!$A:$A, My_Audit!P:P, ""),
    _xlfn.TEXTJOIN(", ", TRUE, _xlpm.MyAuditVal, _xlpm.MacVal, _xlpm.CSVVal)
)</f>
        <v/>
      </c>
      <c r="P730" s="40" t="str" cm="1">
        <f t="array" ref="P730">IFERROR(_xlfn.LET(
_xlpm.CSVVal,_xlfn.XLOOKUP($A730,CSV!$A:$A,CSV!AB:AB,""),
_xlpm.MacVal,_xlfn.XLOOKUP($A730,Output_Mac!$A:$A,Output_Mac!T:T,""),
_xlpm.MyAuditVal,_xlfn.XLOOKUP($A730,My_Audit!$A:$A,My_Audit!Q:Q,""),
_xlfn.IFS(_xlpm.MyAuditVal&lt;&gt;"",UPPER(_xlpm.MyAuditVal),_xlpm.MacVal&lt;&gt;"",_xlpm.MacVal,_xlpm.CSVVal&lt;&gt;"",_xlpm.CSVVal
)),"No")</f>
        <v>No</v>
      </c>
      <c r="Q730" s="40" t="str" cm="1">
        <f t="array" ref="Q730">IFERROR(_xlfn.LET(
_xlpm.CSVVal,_xlfn.XLOOKUP($A730,CSV!$A:$A,CSV!AC:AC,""),
_xlpm.MacVal,_xlfn.XLOOKUP($A730,Output_Mac!$A:$A,Output_Mac!U:U,""),
_xlpm.MyAuditVal,_xlfn.XLOOKUP($A730,My_Audit!$A:$A,My_Audit!R:R,""),
_xlfn.IFS(_xlpm.MyAuditVal&lt;&gt;"",UPPER(_xlpm.MyAuditVal),_xlpm.MacVal&lt;&gt;"",_xlpm.MacVal,_xlpm.CSVVal&lt;&gt;"",_xlpm.CSVVal
)),"")</f>
        <v/>
      </c>
      <c r="R730" s="40"/>
      <c r="S730" s="40"/>
      <c r="T730" s="40"/>
      <c r="U730" s="40"/>
      <c r="V730" s="40"/>
      <c r="W730" s="40"/>
      <c r="X730" s="41" t="str">
        <f>_xlfn.LET(
    _xlpm.MacVal, _xlfn.XLOOKUP($A730, Output_Mac!$A:$A, Output_Mac!AB:AB, ""),
    _xlpm.MyAuditVal, _xlfn.XLOOKUP($A730, My_Audit!$A:$A, My_Audit!N:N, ""),
    _xlfn.TEXTJOIN(", ", TRUE, _xlpm.MyAuditVal, _xlpm.MacVal)
)</f>
        <v/>
      </c>
    </row>
    <row r="731" spans="1:24">
      <c r="A731" s="40" t="str">
        <f>_xlfn.TEXTJOIN("",TRUE,Input!$B$2,ROW(My_Audit!A730))</f>
        <v>X730</v>
      </c>
      <c r="B731" s="40" t="str">
        <f>_xlfn.TEXTJOIN("-",TRUE,"ITD",Input!$A$2,A731)</f>
        <v>ITD-X730</v>
      </c>
      <c r="C731" s="40" t="str" cm="1">
        <f t="array" ref="C731">IFERROR(_xlfn.LET(
_xlpm.CSVVal,_xlfn.XLOOKUP($A731,CSV!$A:$A,CSV!B:B,""),
_xlpm.MacVal,_xlfn.XLOOKUP($A731,Output_Mac!$A:$A,Output_Mac!B:B,""),
_xlpm.MyAuditVal,_xlfn.XLOOKUP($A731,My_Audit!$A:$A,My_Audit!B:B,""),
_xlfn.IFS(_xlpm.MyAuditVal&lt;&gt;"",UPPER(_xlpm.MyAuditVal),_xlpm.MacVal&lt;&gt;"",_xlpm.MacVal,_xlpm.CSVVal&lt;&gt;"",_xlpm.CSVVal
)),"")</f>
        <v/>
      </c>
      <c r="D731" s="40" t="str" cm="1">
        <f t="array" ref="D731">IFERROR(_xlfn.LET(
_xlpm.CSVVal,_xlfn.XLOOKUP($A731,CSV!$A:$A,CSV!D:D,""),
_xlpm.MacVal,_xlfn.XLOOKUP($A731,Output_Mac!$A:$A,Output_Mac!C:C,""),
_xlpm.MyAuditVal,_xlfn.XLOOKUP($A731,My_Audit!$A:$A,My_Audit!C:C,""),
_xlfn.IFS(_xlpm.MyAuditVal&lt;&gt;"",_xlpm.MyAuditVal,_xlpm.MacVal&lt;&gt;"",_xlpm.MacVal,_xlpm.CSVVal&lt;&gt;"",_xlpm.CSVVal
)),"")</f>
        <v/>
      </c>
      <c r="E731" s="40" t="str">
        <f>_xlfn.XLOOKUP(A731,My_Audit!A:A,My_Audit!D:D,"")</f>
        <v/>
      </c>
      <c r="F731" s="40" t="str" cm="1">
        <f t="array" ref="F731">IFERROR(_xlfn.LET(
_xlpm.CSVVal,_xlfn.XLOOKUP($A731,CSV!$A:$A,CSV!F:F,""),
_xlpm.MacVal,_xlfn.XLOOKUP($A731,Output_Mac!$A:$A,Output_Mac!E:E,""),
_xlpm.MyAuditVal,_xlfn.XLOOKUP($A731,My_Audit!$A:$A,My_Audit!E:E,""),
_xlfn.IFS(_xlpm.MyAuditVal&lt;&gt;"",_xlpm.MyAuditVal,_xlpm.MacVal&lt;&gt;"",_xlpm.MacVal,_xlpm.CSVVal&lt;&gt;"",_xlpm.CSVVal
)),"")</f>
        <v/>
      </c>
      <c r="G731" s="40" t="str" cm="1">
        <f t="array" ref="G731">IFERROR(_xlfn.LET(
_xlpm.CSVVal,_xlfn.XLOOKUP($A731,CSV!$A:$A,CSV!G:G,""),
_xlpm.MacVal,_xlfn.XLOOKUP($A731,Output_Mac!$A:$A,Output_Mac!F:F,""),
_xlpm.MyAuditVal,_xlfn.XLOOKUP($A731,My_Audit!$A:$A,My_Audit!F:F,""),
_xlfn.IFS(_xlpm.MyAuditVal&lt;&gt;"",_xlpm.MyAuditVal,_xlpm.MacVal&lt;&gt;"",_xlpm.MacVal,_xlpm.CSVVal&lt;&gt;"",PROPER(_xlpm.CSVVal)
)),"")</f>
        <v/>
      </c>
      <c r="H731" s="40" t="str" cm="1">
        <f t="array" ref="H731">IFERROR(_xlfn.LET(
_xlpm.CSVVal,_xlfn.XLOOKUP($A731,CSV!$A:$A,CSV!H:H,""),
_xlpm.MacVal,_xlfn.XLOOKUP($A731,Output_Mac!$A:$A,Output_Mac!H:H,""),
_xlpm.MyAuditVal,_xlfn.XLOOKUP($A731,My_Audit!$A:$A,My_Audit!G:G,""),
_xlfn.IFS(_xlpm.MyAuditVal&lt;&gt;"",_xlpm.MyAuditVal,_xlpm.MacVal&lt;&gt;"",_xlpm.MacVal,_xlpm.CSVVal&lt;&gt;"",_xlpm.CSVVal
)),"")</f>
        <v/>
      </c>
      <c r="I731" s="40" t="str">
        <f>_xlfn.XLOOKUP(A731,Output_Mac!A:A,Output_Mac!I:I,"")</f>
        <v/>
      </c>
      <c r="J731" s="40" t="str" cm="1">
        <f t="array" ref="J731">IFERROR(_xlfn.LET(
_xlpm.CSVVal,_xlfn.XLOOKUP($A731,CSV!$A:$A,CSV!I:I,""),
_xlpm.MacVal,_xlfn.XLOOKUP($A731,Output_Mac!$A:$A,Output_Mac!J:J,""),
_xlpm.MyAuditVal,_xlfn.XLOOKUP($A731,My_Audit!$A:$A,My_Audit!I:I,""),
_xlfn.IFS(_xlpm.MyAuditVal&lt;&gt;"",UPPER(_xlpm.MyAuditVal),_xlpm.MacVal&lt;&gt;"",_xlpm.MacVal,_xlpm.CSVVal&lt;&gt;"",_xlpm.CSVVal
)),"")</f>
        <v/>
      </c>
      <c r="K731" s="40" t="str" cm="1">
        <f t="array" ref="K731">IFERROR(_xlfn.LET(
_xlpm.CSVVal,_xlfn.XLOOKUP($A731,CSV!$A:$A,CSV!K:K,""),
_xlpm.MacVal,_xlfn.XLOOKUP($A731,Output_Mac!$A:$A,Output_Mac!K:K,""),
_xlpm.MyAuditVal,_xlfn.XLOOKUP($A731,My_Audit!$A:$A,My_Audit!J:J,""),
_xlfn.IFS(_xlpm.MyAuditVal&lt;&gt;"",UPPER(_xlpm.MyAuditVal),_xlpm.MacVal&lt;&gt;"",_xlpm.MacVal,_xlpm.CSVVal&lt;&gt;"",_xlpm.CSVVal
)),"")</f>
        <v/>
      </c>
      <c r="L731" s="40" t="str" cm="1">
        <f t="array" ref="L731">IFERROR(_xlfn.LET(
_xlpm.CSVVal,_xlfn.XLOOKUP($A731,CSV!$A:$A,CSV!P:P,""),
_xlpm.MacVal,_xlfn.XLOOKUP($A731,Output_Mac!$A:$A,Output_Mac!L:L,""),
_xlpm.MyAuditVal,_xlfn.XLOOKUP($A731,My_Audit!$A:$A,My_Audit!K:K,""),
_xlfn.IFS(_xlpm.MyAuditVal&lt;&gt;"",UPPER(_xlpm.MyAuditVal),_xlpm.MacVal&lt;&gt;"",_xlpm.MacVal,_xlpm.CSVVal&lt;&gt;"",_xlpm.CSVVal
)),"")</f>
        <v/>
      </c>
      <c r="M731" s="40" t="str" cm="1">
        <f t="array" ref="M731">IFERROR(_xlfn.LET(
_xlpm.CSVVal,_xlfn.XLOOKUP($A731,CSV!$A:$A,CSV!Q:Q,""),
_xlpm.MacVal,_xlfn.XLOOKUP($A731,Output_Mac!$A:$A,Output_Mac!M:M,""),
_xlpm.MyAuditVal,_xlfn.XLOOKUP($A731,My_Audit!$A:$A,My_Audit!L:L,""),
_xlfn.IFS(_xlpm.MyAuditVal&lt;&gt;"",UPPER(_xlpm.MyAuditVal),_xlpm.MacVal&lt;&gt;"",_xlpm.MacVal,_xlpm.CSVVal&lt;&gt;"",_xlpm.CSVVal
)),"")</f>
        <v/>
      </c>
      <c r="N731" s="40"/>
      <c r="O731" s="40" t="str">
        <f>_xlfn.LET(
    _xlpm.CSVVal, _xlfn.XLOOKUP($A731, CSV!$A:$A, CSV!AA:AA, ""),
    _xlpm.MacVal, _xlfn.XLOOKUP($A731, Output_Mac!$A:$A, Output_Mac!S:S, ""),
    _xlpm.MyAuditVal, _xlfn.XLOOKUP($A731, My_Audit!$A:$A, My_Audit!P:P, ""),
    _xlfn.TEXTJOIN(", ", TRUE, _xlpm.MyAuditVal, _xlpm.MacVal, _xlpm.CSVVal)
)</f>
        <v/>
      </c>
      <c r="P731" s="40" t="str" cm="1">
        <f t="array" ref="P731">IFERROR(_xlfn.LET(
_xlpm.CSVVal,_xlfn.XLOOKUP($A731,CSV!$A:$A,CSV!AB:AB,""),
_xlpm.MacVal,_xlfn.XLOOKUP($A731,Output_Mac!$A:$A,Output_Mac!T:T,""),
_xlpm.MyAuditVal,_xlfn.XLOOKUP($A731,My_Audit!$A:$A,My_Audit!Q:Q,""),
_xlfn.IFS(_xlpm.MyAuditVal&lt;&gt;"",UPPER(_xlpm.MyAuditVal),_xlpm.MacVal&lt;&gt;"",_xlpm.MacVal,_xlpm.CSVVal&lt;&gt;"",_xlpm.CSVVal
)),"No")</f>
        <v>No</v>
      </c>
      <c r="Q731" s="40" t="str" cm="1">
        <f t="array" ref="Q731">IFERROR(_xlfn.LET(
_xlpm.CSVVal,_xlfn.XLOOKUP($A731,CSV!$A:$A,CSV!AC:AC,""),
_xlpm.MacVal,_xlfn.XLOOKUP($A731,Output_Mac!$A:$A,Output_Mac!U:U,""),
_xlpm.MyAuditVal,_xlfn.XLOOKUP($A731,My_Audit!$A:$A,My_Audit!R:R,""),
_xlfn.IFS(_xlpm.MyAuditVal&lt;&gt;"",UPPER(_xlpm.MyAuditVal),_xlpm.MacVal&lt;&gt;"",_xlpm.MacVal,_xlpm.CSVVal&lt;&gt;"",_xlpm.CSVVal
)),"")</f>
        <v/>
      </c>
      <c r="R731" s="40"/>
      <c r="S731" s="40"/>
      <c r="T731" s="40"/>
      <c r="U731" s="40"/>
      <c r="V731" s="40"/>
      <c r="W731" s="40"/>
      <c r="X731" s="41" t="str">
        <f>_xlfn.LET(
    _xlpm.MacVal, _xlfn.XLOOKUP($A731, Output_Mac!$A:$A, Output_Mac!AB:AB, ""),
    _xlpm.MyAuditVal, _xlfn.XLOOKUP($A731, My_Audit!$A:$A, My_Audit!N:N, ""),
    _xlfn.TEXTJOIN(", ", TRUE, _xlpm.MyAuditVal, _xlpm.MacVal)
)</f>
        <v/>
      </c>
    </row>
    <row r="732" spans="1:24">
      <c r="A732" s="40" t="str">
        <f>_xlfn.TEXTJOIN("",TRUE,Input!$B$2,ROW(My_Audit!A731))</f>
        <v>X731</v>
      </c>
      <c r="B732" s="40" t="str">
        <f>_xlfn.TEXTJOIN("-",TRUE,"ITD",Input!$A$2,A732)</f>
        <v>ITD-X731</v>
      </c>
      <c r="C732" s="40" t="str" cm="1">
        <f t="array" ref="C732">IFERROR(_xlfn.LET(
_xlpm.CSVVal,_xlfn.XLOOKUP($A732,CSV!$A:$A,CSV!B:B,""),
_xlpm.MacVal,_xlfn.XLOOKUP($A732,Output_Mac!$A:$A,Output_Mac!B:B,""),
_xlpm.MyAuditVal,_xlfn.XLOOKUP($A732,My_Audit!$A:$A,My_Audit!B:B,""),
_xlfn.IFS(_xlpm.MyAuditVal&lt;&gt;"",UPPER(_xlpm.MyAuditVal),_xlpm.MacVal&lt;&gt;"",_xlpm.MacVal,_xlpm.CSVVal&lt;&gt;"",_xlpm.CSVVal
)),"")</f>
        <v/>
      </c>
      <c r="D732" s="40" t="str" cm="1">
        <f t="array" ref="D732">IFERROR(_xlfn.LET(
_xlpm.CSVVal,_xlfn.XLOOKUP($A732,CSV!$A:$A,CSV!D:D,""),
_xlpm.MacVal,_xlfn.XLOOKUP($A732,Output_Mac!$A:$A,Output_Mac!C:C,""),
_xlpm.MyAuditVal,_xlfn.XLOOKUP($A732,My_Audit!$A:$A,My_Audit!C:C,""),
_xlfn.IFS(_xlpm.MyAuditVal&lt;&gt;"",_xlpm.MyAuditVal,_xlpm.MacVal&lt;&gt;"",_xlpm.MacVal,_xlpm.CSVVal&lt;&gt;"",_xlpm.CSVVal
)),"")</f>
        <v/>
      </c>
      <c r="E732" s="40" t="str">
        <f>_xlfn.XLOOKUP(A732,My_Audit!A:A,My_Audit!D:D,"")</f>
        <v/>
      </c>
      <c r="F732" s="40" t="str" cm="1">
        <f t="array" ref="F732">IFERROR(_xlfn.LET(
_xlpm.CSVVal,_xlfn.XLOOKUP($A732,CSV!$A:$A,CSV!F:F,""),
_xlpm.MacVal,_xlfn.XLOOKUP($A732,Output_Mac!$A:$A,Output_Mac!E:E,""),
_xlpm.MyAuditVal,_xlfn.XLOOKUP($A732,My_Audit!$A:$A,My_Audit!E:E,""),
_xlfn.IFS(_xlpm.MyAuditVal&lt;&gt;"",_xlpm.MyAuditVal,_xlpm.MacVal&lt;&gt;"",_xlpm.MacVal,_xlpm.CSVVal&lt;&gt;"",_xlpm.CSVVal
)),"")</f>
        <v/>
      </c>
      <c r="G732" s="40" t="str" cm="1">
        <f t="array" ref="G732">IFERROR(_xlfn.LET(
_xlpm.CSVVal,_xlfn.XLOOKUP($A732,CSV!$A:$A,CSV!G:G,""),
_xlpm.MacVal,_xlfn.XLOOKUP($A732,Output_Mac!$A:$A,Output_Mac!F:F,""),
_xlpm.MyAuditVal,_xlfn.XLOOKUP($A732,My_Audit!$A:$A,My_Audit!F:F,""),
_xlfn.IFS(_xlpm.MyAuditVal&lt;&gt;"",_xlpm.MyAuditVal,_xlpm.MacVal&lt;&gt;"",_xlpm.MacVal,_xlpm.CSVVal&lt;&gt;"",PROPER(_xlpm.CSVVal)
)),"")</f>
        <v/>
      </c>
      <c r="H732" s="40" t="str" cm="1">
        <f t="array" ref="H732">IFERROR(_xlfn.LET(
_xlpm.CSVVal,_xlfn.XLOOKUP($A732,CSV!$A:$A,CSV!H:H,""),
_xlpm.MacVal,_xlfn.XLOOKUP($A732,Output_Mac!$A:$A,Output_Mac!H:H,""),
_xlpm.MyAuditVal,_xlfn.XLOOKUP($A732,My_Audit!$A:$A,My_Audit!G:G,""),
_xlfn.IFS(_xlpm.MyAuditVal&lt;&gt;"",_xlpm.MyAuditVal,_xlpm.MacVal&lt;&gt;"",_xlpm.MacVal,_xlpm.CSVVal&lt;&gt;"",_xlpm.CSVVal
)),"")</f>
        <v/>
      </c>
      <c r="I732" s="40" t="str">
        <f>_xlfn.XLOOKUP(A732,Output_Mac!A:A,Output_Mac!I:I,"")</f>
        <v/>
      </c>
      <c r="J732" s="40" t="str" cm="1">
        <f t="array" ref="J732">IFERROR(_xlfn.LET(
_xlpm.CSVVal,_xlfn.XLOOKUP($A732,CSV!$A:$A,CSV!I:I,""),
_xlpm.MacVal,_xlfn.XLOOKUP($A732,Output_Mac!$A:$A,Output_Mac!J:J,""),
_xlpm.MyAuditVal,_xlfn.XLOOKUP($A732,My_Audit!$A:$A,My_Audit!I:I,""),
_xlfn.IFS(_xlpm.MyAuditVal&lt;&gt;"",UPPER(_xlpm.MyAuditVal),_xlpm.MacVal&lt;&gt;"",_xlpm.MacVal,_xlpm.CSVVal&lt;&gt;"",_xlpm.CSVVal
)),"")</f>
        <v/>
      </c>
      <c r="K732" s="40" t="str" cm="1">
        <f t="array" ref="K732">IFERROR(_xlfn.LET(
_xlpm.CSVVal,_xlfn.XLOOKUP($A732,CSV!$A:$A,CSV!K:K,""),
_xlpm.MacVal,_xlfn.XLOOKUP($A732,Output_Mac!$A:$A,Output_Mac!K:K,""),
_xlpm.MyAuditVal,_xlfn.XLOOKUP($A732,My_Audit!$A:$A,My_Audit!J:J,""),
_xlfn.IFS(_xlpm.MyAuditVal&lt;&gt;"",UPPER(_xlpm.MyAuditVal),_xlpm.MacVal&lt;&gt;"",_xlpm.MacVal,_xlpm.CSVVal&lt;&gt;"",_xlpm.CSVVal
)),"")</f>
        <v/>
      </c>
      <c r="L732" s="40" t="str" cm="1">
        <f t="array" ref="L732">IFERROR(_xlfn.LET(
_xlpm.CSVVal,_xlfn.XLOOKUP($A732,CSV!$A:$A,CSV!P:P,""),
_xlpm.MacVal,_xlfn.XLOOKUP($A732,Output_Mac!$A:$A,Output_Mac!L:L,""),
_xlpm.MyAuditVal,_xlfn.XLOOKUP($A732,My_Audit!$A:$A,My_Audit!K:K,""),
_xlfn.IFS(_xlpm.MyAuditVal&lt;&gt;"",UPPER(_xlpm.MyAuditVal),_xlpm.MacVal&lt;&gt;"",_xlpm.MacVal,_xlpm.CSVVal&lt;&gt;"",_xlpm.CSVVal
)),"")</f>
        <v/>
      </c>
      <c r="M732" s="40" t="str" cm="1">
        <f t="array" ref="M732">IFERROR(_xlfn.LET(
_xlpm.CSVVal,_xlfn.XLOOKUP($A732,CSV!$A:$A,CSV!Q:Q,""),
_xlpm.MacVal,_xlfn.XLOOKUP($A732,Output_Mac!$A:$A,Output_Mac!M:M,""),
_xlpm.MyAuditVal,_xlfn.XLOOKUP($A732,My_Audit!$A:$A,My_Audit!L:L,""),
_xlfn.IFS(_xlpm.MyAuditVal&lt;&gt;"",UPPER(_xlpm.MyAuditVal),_xlpm.MacVal&lt;&gt;"",_xlpm.MacVal,_xlpm.CSVVal&lt;&gt;"",_xlpm.CSVVal
)),"")</f>
        <v/>
      </c>
      <c r="N732" s="40"/>
      <c r="O732" s="40" t="str">
        <f>_xlfn.LET(
    _xlpm.CSVVal, _xlfn.XLOOKUP($A732, CSV!$A:$A, CSV!AA:AA, ""),
    _xlpm.MacVal, _xlfn.XLOOKUP($A732, Output_Mac!$A:$A, Output_Mac!S:S, ""),
    _xlpm.MyAuditVal, _xlfn.XLOOKUP($A732, My_Audit!$A:$A, My_Audit!P:P, ""),
    _xlfn.TEXTJOIN(", ", TRUE, _xlpm.MyAuditVal, _xlpm.MacVal, _xlpm.CSVVal)
)</f>
        <v/>
      </c>
      <c r="P732" s="40" t="str" cm="1">
        <f t="array" ref="P732">IFERROR(_xlfn.LET(
_xlpm.CSVVal,_xlfn.XLOOKUP($A732,CSV!$A:$A,CSV!AB:AB,""),
_xlpm.MacVal,_xlfn.XLOOKUP($A732,Output_Mac!$A:$A,Output_Mac!T:T,""),
_xlpm.MyAuditVal,_xlfn.XLOOKUP($A732,My_Audit!$A:$A,My_Audit!Q:Q,""),
_xlfn.IFS(_xlpm.MyAuditVal&lt;&gt;"",UPPER(_xlpm.MyAuditVal),_xlpm.MacVal&lt;&gt;"",_xlpm.MacVal,_xlpm.CSVVal&lt;&gt;"",_xlpm.CSVVal
)),"No")</f>
        <v>No</v>
      </c>
      <c r="Q732" s="40" t="str" cm="1">
        <f t="array" ref="Q732">IFERROR(_xlfn.LET(
_xlpm.CSVVal,_xlfn.XLOOKUP($A732,CSV!$A:$A,CSV!AC:AC,""),
_xlpm.MacVal,_xlfn.XLOOKUP($A732,Output_Mac!$A:$A,Output_Mac!U:U,""),
_xlpm.MyAuditVal,_xlfn.XLOOKUP($A732,My_Audit!$A:$A,My_Audit!R:R,""),
_xlfn.IFS(_xlpm.MyAuditVal&lt;&gt;"",UPPER(_xlpm.MyAuditVal),_xlpm.MacVal&lt;&gt;"",_xlpm.MacVal,_xlpm.CSVVal&lt;&gt;"",_xlpm.CSVVal
)),"")</f>
        <v/>
      </c>
      <c r="R732" s="40"/>
      <c r="S732" s="40"/>
      <c r="T732" s="40"/>
      <c r="U732" s="40"/>
      <c r="V732" s="40"/>
      <c r="W732" s="40"/>
      <c r="X732" s="41" t="str">
        <f>_xlfn.LET(
    _xlpm.MacVal, _xlfn.XLOOKUP($A732, Output_Mac!$A:$A, Output_Mac!AB:AB, ""),
    _xlpm.MyAuditVal, _xlfn.XLOOKUP($A732, My_Audit!$A:$A, My_Audit!N:N, ""),
    _xlfn.TEXTJOIN(", ", TRUE, _xlpm.MyAuditVal, _xlpm.MacVal)
)</f>
        <v/>
      </c>
    </row>
    <row r="733" spans="1:24">
      <c r="A733" s="40" t="str">
        <f>_xlfn.TEXTJOIN("",TRUE,Input!$B$2,ROW(My_Audit!A732))</f>
        <v>X732</v>
      </c>
      <c r="B733" s="40" t="str">
        <f>_xlfn.TEXTJOIN("-",TRUE,"ITD",Input!$A$2,A733)</f>
        <v>ITD-X732</v>
      </c>
      <c r="C733" s="40" t="str" cm="1">
        <f t="array" ref="C733">IFERROR(_xlfn.LET(
_xlpm.CSVVal,_xlfn.XLOOKUP($A733,CSV!$A:$A,CSV!B:B,""),
_xlpm.MacVal,_xlfn.XLOOKUP($A733,Output_Mac!$A:$A,Output_Mac!B:B,""),
_xlpm.MyAuditVal,_xlfn.XLOOKUP($A733,My_Audit!$A:$A,My_Audit!B:B,""),
_xlfn.IFS(_xlpm.MyAuditVal&lt;&gt;"",UPPER(_xlpm.MyAuditVal),_xlpm.MacVal&lt;&gt;"",_xlpm.MacVal,_xlpm.CSVVal&lt;&gt;"",_xlpm.CSVVal
)),"")</f>
        <v/>
      </c>
      <c r="D733" s="40" t="str" cm="1">
        <f t="array" ref="D733">IFERROR(_xlfn.LET(
_xlpm.CSVVal,_xlfn.XLOOKUP($A733,CSV!$A:$A,CSV!D:D,""),
_xlpm.MacVal,_xlfn.XLOOKUP($A733,Output_Mac!$A:$A,Output_Mac!C:C,""),
_xlpm.MyAuditVal,_xlfn.XLOOKUP($A733,My_Audit!$A:$A,My_Audit!C:C,""),
_xlfn.IFS(_xlpm.MyAuditVal&lt;&gt;"",_xlpm.MyAuditVal,_xlpm.MacVal&lt;&gt;"",_xlpm.MacVal,_xlpm.CSVVal&lt;&gt;"",_xlpm.CSVVal
)),"")</f>
        <v/>
      </c>
      <c r="E733" s="40" t="str">
        <f>_xlfn.XLOOKUP(A733,My_Audit!A:A,My_Audit!D:D,"")</f>
        <v/>
      </c>
      <c r="F733" s="40" t="str" cm="1">
        <f t="array" ref="F733">IFERROR(_xlfn.LET(
_xlpm.CSVVal,_xlfn.XLOOKUP($A733,CSV!$A:$A,CSV!F:F,""),
_xlpm.MacVal,_xlfn.XLOOKUP($A733,Output_Mac!$A:$A,Output_Mac!E:E,""),
_xlpm.MyAuditVal,_xlfn.XLOOKUP($A733,My_Audit!$A:$A,My_Audit!E:E,""),
_xlfn.IFS(_xlpm.MyAuditVal&lt;&gt;"",_xlpm.MyAuditVal,_xlpm.MacVal&lt;&gt;"",_xlpm.MacVal,_xlpm.CSVVal&lt;&gt;"",_xlpm.CSVVal
)),"")</f>
        <v/>
      </c>
      <c r="G733" s="40" t="str" cm="1">
        <f t="array" ref="G733">IFERROR(_xlfn.LET(
_xlpm.CSVVal,_xlfn.XLOOKUP($A733,CSV!$A:$A,CSV!G:G,""),
_xlpm.MacVal,_xlfn.XLOOKUP($A733,Output_Mac!$A:$A,Output_Mac!F:F,""),
_xlpm.MyAuditVal,_xlfn.XLOOKUP($A733,My_Audit!$A:$A,My_Audit!F:F,""),
_xlfn.IFS(_xlpm.MyAuditVal&lt;&gt;"",_xlpm.MyAuditVal,_xlpm.MacVal&lt;&gt;"",_xlpm.MacVal,_xlpm.CSVVal&lt;&gt;"",PROPER(_xlpm.CSVVal)
)),"")</f>
        <v/>
      </c>
      <c r="H733" s="40" t="str" cm="1">
        <f t="array" ref="H733">IFERROR(_xlfn.LET(
_xlpm.CSVVal,_xlfn.XLOOKUP($A733,CSV!$A:$A,CSV!H:H,""),
_xlpm.MacVal,_xlfn.XLOOKUP($A733,Output_Mac!$A:$A,Output_Mac!H:H,""),
_xlpm.MyAuditVal,_xlfn.XLOOKUP($A733,My_Audit!$A:$A,My_Audit!G:G,""),
_xlfn.IFS(_xlpm.MyAuditVal&lt;&gt;"",_xlpm.MyAuditVal,_xlpm.MacVal&lt;&gt;"",_xlpm.MacVal,_xlpm.CSVVal&lt;&gt;"",_xlpm.CSVVal
)),"")</f>
        <v/>
      </c>
      <c r="I733" s="40" t="str">
        <f>_xlfn.XLOOKUP(A733,Output_Mac!A:A,Output_Mac!I:I,"")</f>
        <v/>
      </c>
      <c r="J733" s="40" t="str" cm="1">
        <f t="array" ref="J733">IFERROR(_xlfn.LET(
_xlpm.CSVVal,_xlfn.XLOOKUP($A733,CSV!$A:$A,CSV!I:I,""),
_xlpm.MacVal,_xlfn.XLOOKUP($A733,Output_Mac!$A:$A,Output_Mac!J:J,""),
_xlpm.MyAuditVal,_xlfn.XLOOKUP($A733,My_Audit!$A:$A,My_Audit!I:I,""),
_xlfn.IFS(_xlpm.MyAuditVal&lt;&gt;"",UPPER(_xlpm.MyAuditVal),_xlpm.MacVal&lt;&gt;"",_xlpm.MacVal,_xlpm.CSVVal&lt;&gt;"",_xlpm.CSVVal
)),"")</f>
        <v/>
      </c>
      <c r="K733" s="40" t="str" cm="1">
        <f t="array" ref="K733">IFERROR(_xlfn.LET(
_xlpm.CSVVal,_xlfn.XLOOKUP($A733,CSV!$A:$A,CSV!K:K,""),
_xlpm.MacVal,_xlfn.XLOOKUP($A733,Output_Mac!$A:$A,Output_Mac!K:K,""),
_xlpm.MyAuditVal,_xlfn.XLOOKUP($A733,My_Audit!$A:$A,My_Audit!J:J,""),
_xlfn.IFS(_xlpm.MyAuditVal&lt;&gt;"",UPPER(_xlpm.MyAuditVal),_xlpm.MacVal&lt;&gt;"",_xlpm.MacVal,_xlpm.CSVVal&lt;&gt;"",_xlpm.CSVVal
)),"")</f>
        <v/>
      </c>
      <c r="L733" s="40" t="str" cm="1">
        <f t="array" ref="L733">IFERROR(_xlfn.LET(
_xlpm.CSVVal,_xlfn.XLOOKUP($A733,CSV!$A:$A,CSV!P:P,""),
_xlpm.MacVal,_xlfn.XLOOKUP($A733,Output_Mac!$A:$A,Output_Mac!L:L,""),
_xlpm.MyAuditVal,_xlfn.XLOOKUP($A733,My_Audit!$A:$A,My_Audit!K:K,""),
_xlfn.IFS(_xlpm.MyAuditVal&lt;&gt;"",UPPER(_xlpm.MyAuditVal),_xlpm.MacVal&lt;&gt;"",_xlpm.MacVal,_xlpm.CSVVal&lt;&gt;"",_xlpm.CSVVal
)),"")</f>
        <v/>
      </c>
      <c r="M733" s="40" t="str" cm="1">
        <f t="array" ref="M733">IFERROR(_xlfn.LET(
_xlpm.CSVVal,_xlfn.XLOOKUP($A733,CSV!$A:$A,CSV!Q:Q,""),
_xlpm.MacVal,_xlfn.XLOOKUP($A733,Output_Mac!$A:$A,Output_Mac!M:M,""),
_xlpm.MyAuditVal,_xlfn.XLOOKUP($A733,My_Audit!$A:$A,My_Audit!L:L,""),
_xlfn.IFS(_xlpm.MyAuditVal&lt;&gt;"",UPPER(_xlpm.MyAuditVal),_xlpm.MacVal&lt;&gt;"",_xlpm.MacVal,_xlpm.CSVVal&lt;&gt;"",_xlpm.CSVVal
)),"")</f>
        <v/>
      </c>
      <c r="N733" s="40"/>
      <c r="O733" s="40" t="str">
        <f>_xlfn.LET(
    _xlpm.CSVVal, _xlfn.XLOOKUP($A733, CSV!$A:$A, CSV!AA:AA, ""),
    _xlpm.MacVal, _xlfn.XLOOKUP($A733, Output_Mac!$A:$A, Output_Mac!S:S, ""),
    _xlpm.MyAuditVal, _xlfn.XLOOKUP($A733, My_Audit!$A:$A, My_Audit!P:P, ""),
    _xlfn.TEXTJOIN(", ", TRUE, _xlpm.MyAuditVal, _xlpm.MacVal, _xlpm.CSVVal)
)</f>
        <v/>
      </c>
      <c r="P733" s="40" t="str" cm="1">
        <f t="array" ref="P733">IFERROR(_xlfn.LET(
_xlpm.CSVVal,_xlfn.XLOOKUP($A733,CSV!$A:$A,CSV!AB:AB,""),
_xlpm.MacVal,_xlfn.XLOOKUP($A733,Output_Mac!$A:$A,Output_Mac!T:T,""),
_xlpm.MyAuditVal,_xlfn.XLOOKUP($A733,My_Audit!$A:$A,My_Audit!Q:Q,""),
_xlfn.IFS(_xlpm.MyAuditVal&lt;&gt;"",UPPER(_xlpm.MyAuditVal),_xlpm.MacVal&lt;&gt;"",_xlpm.MacVal,_xlpm.CSVVal&lt;&gt;"",_xlpm.CSVVal
)),"No")</f>
        <v>No</v>
      </c>
      <c r="Q733" s="40" t="str" cm="1">
        <f t="array" ref="Q733">IFERROR(_xlfn.LET(
_xlpm.CSVVal,_xlfn.XLOOKUP($A733,CSV!$A:$A,CSV!AC:AC,""),
_xlpm.MacVal,_xlfn.XLOOKUP($A733,Output_Mac!$A:$A,Output_Mac!U:U,""),
_xlpm.MyAuditVal,_xlfn.XLOOKUP($A733,My_Audit!$A:$A,My_Audit!R:R,""),
_xlfn.IFS(_xlpm.MyAuditVal&lt;&gt;"",UPPER(_xlpm.MyAuditVal),_xlpm.MacVal&lt;&gt;"",_xlpm.MacVal,_xlpm.CSVVal&lt;&gt;"",_xlpm.CSVVal
)),"")</f>
        <v/>
      </c>
      <c r="R733" s="40"/>
      <c r="S733" s="40"/>
      <c r="T733" s="40"/>
      <c r="U733" s="40"/>
      <c r="V733" s="40"/>
      <c r="W733" s="40"/>
      <c r="X733" s="41" t="str">
        <f>_xlfn.LET(
    _xlpm.MacVal, _xlfn.XLOOKUP($A733, Output_Mac!$A:$A, Output_Mac!AB:AB, ""),
    _xlpm.MyAuditVal, _xlfn.XLOOKUP($A733, My_Audit!$A:$A, My_Audit!N:N, ""),
    _xlfn.TEXTJOIN(", ", TRUE, _xlpm.MyAuditVal, _xlpm.MacVal)
)</f>
        <v/>
      </c>
    </row>
    <row r="734" spans="1:24">
      <c r="A734" s="40" t="str">
        <f>_xlfn.TEXTJOIN("",TRUE,Input!$B$2,ROW(My_Audit!A733))</f>
        <v>X733</v>
      </c>
      <c r="B734" s="40" t="str">
        <f>_xlfn.TEXTJOIN("-",TRUE,"ITD",Input!$A$2,A734)</f>
        <v>ITD-X733</v>
      </c>
      <c r="C734" s="40" t="str" cm="1">
        <f t="array" ref="C734">IFERROR(_xlfn.LET(
_xlpm.CSVVal,_xlfn.XLOOKUP($A734,CSV!$A:$A,CSV!B:B,""),
_xlpm.MacVal,_xlfn.XLOOKUP($A734,Output_Mac!$A:$A,Output_Mac!B:B,""),
_xlpm.MyAuditVal,_xlfn.XLOOKUP($A734,My_Audit!$A:$A,My_Audit!B:B,""),
_xlfn.IFS(_xlpm.MyAuditVal&lt;&gt;"",UPPER(_xlpm.MyAuditVal),_xlpm.MacVal&lt;&gt;"",_xlpm.MacVal,_xlpm.CSVVal&lt;&gt;"",_xlpm.CSVVal
)),"")</f>
        <v/>
      </c>
      <c r="D734" s="40" t="str" cm="1">
        <f t="array" ref="D734">IFERROR(_xlfn.LET(
_xlpm.CSVVal,_xlfn.XLOOKUP($A734,CSV!$A:$A,CSV!D:D,""),
_xlpm.MacVal,_xlfn.XLOOKUP($A734,Output_Mac!$A:$A,Output_Mac!C:C,""),
_xlpm.MyAuditVal,_xlfn.XLOOKUP($A734,My_Audit!$A:$A,My_Audit!C:C,""),
_xlfn.IFS(_xlpm.MyAuditVal&lt;&gt;"",_xlpm.MyAuditVal,_xlpm.MacVal&lt;&gt;"",_xlpm.MacVal,_xlpm.CSVVal&lt;&gt;"",_xlpm.CSVVal
)),"")</f>
        <v/>
      </c>
      <c r="E734" s="40" t="str">
        <f>_xlfn.XLOOKUP(A734,My_Audit!A:A,My_Audit!D:D,"")</f>
        <v/>
      </c>
      <c r="F734" s="40" t="str" cm="1">
        <f t="array" ref="F734">IFERROR(_xlfn.LET(
_xlpm.CSVVal,_xlfn.XLOOKUP($A734,CSV!$A:$A,CSV!F:F,""),
_xlpm.MacVal,_xlfn.XLOOKUP($A734,Output_Mac!$A:$A,Output_Mac!E:E,""),
_xlpm.MyAuditVal,_xlfn.XLOOKUP($A734,My_Audit!$A:$A,My_Audit!E:E,""),
_xlfn.IFS(_xlpm.MyAuditVal&lt;&gt;"",_xlpm.MyAuditVal,_xlpm.MacVal&lt;&gt;"",_xlpm.MacVal,_xlpm.CSVVal&lt;&gt;"",_xlpm.CSVVal
)),"")</f>
        <v/>
      </c>
      <c r="G734" s="40" t="str" cm="1">
        <f t="array" ref="G734">IFERROR(_xlfn.LET(
_xlpm.CSVVal,_xlfn.XLOOKUP($A734,CSV!$A:$A,CSV!G:G,""),
_xlpm.MacVal,_xlfn.XLOOKUP($A734,Output_Mac!$A:$A,Output_Mac!F:F,""),
_xlpm.MyAuditVal,_xlfn.XLOOKUP($A734,My_Audit!$A:$A,My_Audit!F:F,""),
_xlfn.IFS(_xlpm.MyAuditVal&lt;&gt;"",_xlpm.MyAuditVal,_xlpm.MacVal&lt;&gt;"",_xlpm.MacVal,_xlpm.CSVVal&lt;&gt;"",PROPER(_xlpm.CSVVal)
)),"")</f>
        <v/>
      </c>
      <c r="H734" s="40" t="str" cm="1">
        <f t="array" ref="H734">IFERROR(_xlfn.LET(
_xlpm.CSVVal,_xlfn.XLOOKUP($A734,CSV!$A:$A,CSV!H:H,""),
_xlpm.MacVal,_xlfn.XLOOKUP($A734,Output_Mac!$A:$A,Output_Mac!H:H,""),
_xlpm.MyAuditVal,_xlfn.XLOOKUP($A734,My_Audit!$A:$A,My_Audit!G:G,""),
_xlfn.IFS(_xlpm.MyAuditVal&lt;&gt;"",_xlpm.MyAuditVal,_xlpm.MacVal&lt;&gt;"",_xlpm.MacVal,_xlpm.CSVVal&lt;&gt;"",_xlpm.CSVVal
)),"")</f>
        <v/>
      </c>
      <c r="I734" s="40" t="str">
        <f>_xlfn.XLOOKUP(A734,Output_Mac!A:A,Output_Mac!I:I,"")</f>
        <v/>
      </c>
      <c r="J734" s="40" t="str" cm="1">
        <f t="array" ref="J734">IFERROR(_xlfn.LET(
_xlpm.CSVVal,_xlfn.XLOOKUP($A734,CSV!$A:$A,CSV!I:I,""),
_xlpm.MacVal,_xlfn.XLOOKUP($A734,Output_Mac!$A:$A,Output_Mac!J:J,""),
_xlpm.MyAuditVal,_xlfn.XLOOKUP($A734,My_Audit!$A:$A,My_Audit!I:I,""),
_xlfn.IFS(_xlpm.MyAuditVal&lt;&gt;"",UPPER(_xlpm.MyAuditVal),_xlpm.MacVal&lt;&gt;"",_xlpm.MacVal,_xlpm.CSVVal&lt;&gt;"",_xlpm.CSVVal
)),"")</f>
        <v/>
      </c>
      <c r="K734" s="40" t="str" cm="1">
        <f t="array" ref="K734">IFERROR(_xlfn.LET(
_xlpm.CSVVal,_xlfn.XLOOKUP($A734,CSV!$A:$A,CSV!K:K,""),
_xlpm.MacVal,_xlfn.XLOOKUP($A734,Output_Mac!$A:$A,Output_Mac!K:K,""),
_xlpm.MyAuditVal,_xlfn.XLOOKUP($A734,My_Audit!$A:$A,My_Audit!J:J,""),
_xlfn.IFS(_xlpm.MyAuditVal&lt;&gt;"",UPPER(_xlpm.MyAuditVal),_xlpm.MacVal&lt;&gt;"",_xlpm.MacVal,_xlpm.CSVVal&lt;&gt;"",_xlpm.CSVVal
)),"")</f>
        <v/>
      </c>
      <c r="L734" s="40" t="str" cm="1">
        <f t="array" ref="L734">IFERROR(_xlfn.LET(
_xlpm.CSVVal,_xlfn.XLOOKUP($A734,CSV!$A:$A,CSV!P:P,""),
_xlpm.MacVal,_xlfn.XLOOKUP($A734,Output_Mac!$A:$A,Output_Mac!L:L,""),
_xlpm.MyAuditVal,_xlfn.XLOOKUP($A734,My_Audit!$A:$A,My_Audit!K:K,""),
_xlfn.IFS(_xlpm.MyAuditVal&lt;&gt;"",UPPER(_xlpm.MyAuditVal),_xlpm.MacVal&lt;&gt;"",_xlpm.MacVal,_xlpm.CSVVal&lt;&gt;"",_xlpm.CSVVal
)),"")</f>
        <v/>
      </c>
      <c r="M734" s="40" t="str" cm="1">
        <f t="array" ref="M734">IFERROR(_xlfn.LET(
_xlpm.CSVVal,_xlfn.XLOOKUP($A734,CSV!$A:$A,CSV!Q:Q,""),
_xlpm.MacVal,_xlfn.XLOOKUP($A734,Output_Mac!$A:$A,Output_Mac!M:M,""),
_xlpm.MyAuditVal,_xlfn.XLOOKUP($A734,My_Audit!$A:$A,My_Audit!L:L,""),
_xlfn.IFS(_xlpm.MyAuditVal&lt;&gt;"",UPPER(_xlpm.MyAuditVal),_xlpm.MacVal&lt;&gt;"",_xlpm.MacVal,_xlpm.CSVVal&lt;&gt;"",_xlpm.CSVVal
)),"")</f>
        <v/>
      </c>
      <c r="N734" s="40"/>
      <c r="O734" s="40" t="str">
        <f>_xlfn.LET(
    _xlpm.CSVVal, _xlfn.XLOOKUP($A734, CSV!$A:$A, CSV!AA:AA, ""),
    _xlpm.MacVal, _xlfn.XLOOKUP($A734, Output_Mac!$A:$A, Output_Mac!S:S, ""),
    _xlpm.MyAuditVal, _xlfn.XLOOKUP($A734, My_Audit!$A:$A, My_Audit!P:P, ""),
    _xlfn.TEXTJOIN(", ", TRUE, _xlpm.MyAuditVal, _xlpm.MacVal, _xlpm.CSVVal)
)</f>
        <v/>
      </c>
      <c r="P734" s="40" t="str" cm="1">
        <f t="array" ref="P734">IFERROR(_xlfn.LET(
_xlpm.CSVVal,_xlfn.XLOOKUP($A734,CSV!$A:$A,CSV!AB:AB,""),
_xlpm.MacVal,_xlfn.XLOOKUP($A734,Output_Mac!$A:$A,Output_Mac!T:T,""),
_xlpm.MyAuditVal,_xlfn.XLOOKUP($A734,My_Audit!$A:$A,My_Audit!Q:Q,""),
_xlfn.IFS(_xlpm.MyAuditVal&lt;&gt;"",UPPER(_xlpm.MyAuditVal),_xlpm.MacVal&lt;&gt;"",_xlpm.MacVal,_xlpm.CSVVal&lt;&gt;"",_xlpm.CSVVal
)),"No")</f>
        <v>No</v>
      </c>
      <c r="Q734" s="40" t="str" cm="1">
        <f t="array" ref="Q734">IFERROR(_xlfn.LET(
_xlpm.CSVVal,_xlfn.XLOOKUP($A734,CSV!$A:$A,CSV!AC:AC,""),
_xlpm.MacVal,_xlfn.XLOOKUP($A734,Output_Mac!$A:$A,Output_Mac!U:U,""),
_xlpm.MyAuditVal,_xlfn.XLOOKUP($A734,My_Audit!$A:$A,My_Audit!R:R,""),
_xlfn.IFS(_xlpm.MyAuditVal&lt;&gt;"",UPPER(_xlpm.MyAuditVal),_xlpm.MacVal&lt;&gt;"",_xlpm.MacVal,_xlpm.CSVVal&lt;&gt;"",_xlpm.CSVVal
)),"")</f>
        <v/>
      </c>
      <c r="R734" s="40"/>
      <c r="S734" s="40"/>
      <c r="T734" s="40"/>
      <c r="U734" s="40"/>
      <c r="V734" s="40"/>
      <c r="W734" s="40"/>
      <c r="X734" s="41" t="str">
        <f>_xlfn.LET(
    _xlpm.MacVal, _xlfn.XLOOKUP($A734, Output_Mac!$A:$A, Output_Mac!AB:AB, ""),
    _xlpm.MyAuditVal, _xlfn.XLOOKUP($A734, My_Audit!$A:$A, My_Audit!N:N, ""),
    _xlfn.TEXTJOIN(", ", TRUE, _xlpm.MyAuditVal, _xlpm.MacVal)
)</f>
        <v/>
      </c>
    </row>
    <row r="735" spans="1:24">
      <c r="A735" s="40" t="str">
        <f>_xlfn.TEXTJOIN("",TRUE,Input!$B$2,ROW(My_Audit!A734))</f>
        <v>X734</v>
      </c>
      <c r="B735" s="40" t="str">
        <f>_xlfn.TEXTJOIN("-",TRUE,"ITD",Input!$A$2,A735)</f>
        <v>ITD-X734</v>
      </c>
      <c r="C735" s="40" t="str" cm="1">
        <f t="array" ref="C735">IFERROR(_xlfn.LET(
_xlpm.CSVVal,_xlfn.XLOOKUP($A735,CSV!$A:$A,CSV!B:B,""),
_xlpm.MacVal,_xlfn.XLOOKUP($A735,Output_Mac!$A:$A,Output_Mac!B:B,""),
_xlpm.MyAuditVal,_xlfn.XLOOKUP($A735,My_Audit!$A:$A,My_Audit!B:B,""),
_xlfn.IFS(_xlpm.MyAuditVal&lt;&gt;"",UPPER(_xlpm.MyAuditVal),_xlpm.MacVal&lt;&gt;"",_xlpm.MacVal,_xlpm.CSVVal&lt;&gt;"",_xlpm.CSVVal
)),"")</f>
        <v/>
      </c>
      <c r="D735" s="40" t="str" cm="1">
        <f t="array" ref="D735">IFERROR(_xlfn.LET(
_xlpm.CSVVal,_xlfn.XLOOKUP($A735,CSV!$A:$A,CSV!D:D,""),
_xlpm.MacVal,_xlfn.XLOOKUP($A735,Output_Mac!$A:$A,Output_Mac!C:C,""),
_xlpm.MyAuditVal,_xlfn.XLOOKUP($A735,My_Audit!$A:$A,My_Audit!C:C,""),
_xlfn.IFS(_xlpm.MyAuditVal&lt;&gt;"",_xlpm.MyAuditVal,_xlpm.MacVal&lt;&gt;"",_xlpm.MacVal,_xlpm.CSVVal&lt;&gt;"",_xlpm.CSVVal
)),"")</f>
        <v/>
      </c>
      <c r="E735" s="40" t="str">
        <f>_xlfn.XLOOKUP(A735,My_Audit!A:A,My_Audit!D:D,"")</f>
        <v/>
      </c>
      <c r="F735" s="40" t="str" cm="1">
        <f t="array" ref="F735">IFERROR(_xlfn.LET(
_xlpm.CSVVal,_xlfn.XLOOKUP($A735,CSV!$A:$A,CSV!F:F,""),
_xlpm.MacVal,_xlfn.XLOOKUP($A735,Output_Mac!$A:$A,Output_Mac!E:E,""),
_xlpm.MyAuditVal,_xlfn.XLOOKUP($A735,My_Audit!$A:$A,My_Audit!E:E,""),
_xlfn.IFS(_xlpm.MyAuditVal&lt;&gt;"",_xlpm.MyAuditVal,_xlpm.MacVal&lt;&gt;"",_xlpm.MacVal,_xlpm.CSVVal&lt;&gt;"",_xlpm.CSVVal
)),"")</f>
        <v/>
      </c>
      <c r="G735" s="40" t="str" cm="1">
        <f t="array" ref="G735">IFERROR(_xlfn.LET(
_xlpm.CSVVal,_xlfn.XLOOKUP($A735,CSV!$A:$A,CSV!G:G,""),
_xlpm.MacVal,_xlfn.XLOOKUP($A735,Output_Mac!$A:$A,Output_Mac!F:F,""),
_xlpm.MyAuditVal,_xlfn.XLOOKUP($A735,My_Audit!$A:$A,My_Audit!F:F,""),
_xlfn.IFS(_xlpm.MyAuditVal&lt;&gt;"",_xlpm.MyAuditVal,_xlpm.MacVal&lt;&gt;"",_xlpm.MacVal,_xlpm.CSVVal&lt;&gt;"",PROPER(_xlpm.CSVVal)
)),"")</f>
        <v/>
      </c>
      <c r="H735" s="40" t="str" cm="1">
        <f t="array" ref="H735">IFERROR(_xlfn.LET(
_xlpm.CSVVal,_xlfn.XLOOKUP($A735,CSV!$A:$A,CSV!H:H,""),
_xlpm.MacVal,_xlfn.XLOOKUP($A735,Output_Mac!$A:$A,Output_Mac!H:H,""),
_xlpm.MyAuditVal,_xlfn.XLOOKUP($A735,My_Audit!$A:$A,My_Audit!G:G,""),
_xlfn.IFS(_xlpm.MyAuditVal&lt;&gt;"",_xlpm.MyAuditVal,_xlpm.MacVal&lt;&gt;"",_xlpm.MacVal,_xlpm.CSVVal&lt;&gt;"",_xlpm.CSVVal
)),"")</f>
        <v/>
      </c>
      <c r="I735" s="40" t="str">
        <f>_xlfn.XLOOKUP(A735,Output_Mac!A:A,Output_Mac!I:I,"")</f>
        <v/>
      </c>
      <c r="J735" s="40" t="str" cm="1">
        <f t="array" ref="J735">IFERROR(_xlfn.LET(
_xlpm.CSVVal,_xlfn.XLOOKUP($A735,CSV!$A:$A,CSV!I:I,""),
_xlpm.MacVal,_xlfn.XLOOKUP($A735,Output_Mac!$A:$A,Output_Mac!J:J,""),
_xlpm.MyAuditVal,_xlfn.XLOOKUP($A735,My_Audit!$A:$A,My_Audit!I:I,""),
_xlfn.IFS(_xlpm.MyAuditVal&lt;&gt;"",UPPER(_xlpm.MyAuditVal),_xlpm.MacVal&lt;&gt;"",_xlpm.MacVal,_xlpm.CSVVal&lt;&gt;"",_xlpm.CSVVal
)),"")</f>
        <v/>
      </c>
      <c r="K735" s="40" t="str" cm="1">
        <f t="array" ref="K735">IFERROR(_xlfn.LET(
_xlpm.CSVVal,_xlfn.XLOOKUP($A735,CSV!$A:$A,CSV!K:K,""),
_xlpm.MacVal,_xlfn.XLOOKUP($A735,Output_Mac!$A:$A,Output_Mac!K:K,""),
_xlpm.MyAuditVal,_xlfn.XLOOKUP($A735,My_Audit!$A:$A,My_Audit!J:J,""),
_xlfn.IFS(_xlpm.MyAuditVal&lt;&gt;"",UPPER(_xlpm.MyAuditVal),_xlpm.MacVal&lt;&gt;"",_xlpm.MacVal,_xlpm.CSVVal&lt;&gt;"",_xlpm.CSVVal
)),"")</f>
        <v/>
      </c>
      <c r="L735" s="40" t="str" cm="1">
        <f t="array" ref="L735">IFERROR(_xlfn.LET(
_xlpm.CSVVal,_xlfn.XLOOKUP($A735,CSV!$A:$A,CSV!P:P,""),
_xlpm.MacVal,_xlfn.XLOOKUP($A735,Output_Mac!$A:$A,Output_Mac!L:L,""),
_xlpm.MyAuditVal,_xlfn.XLOOKUP($A735,My_Audit!$A:$A,My_Audit!K:K,""),
_xlfn.IFS(_xlpm.MyAuditVal&lt;&gt;"",UPPER(_xlpm.MyAuditVal),_xlpm.MacVal&lt;&gt;"",_xlpm.MacVal,_xlpm.CSVVal&lt;&gt;"",_xlpm.CSVVal
)),"")</f>
        <v/>
      </c>
      <c r="M735" s="40" t="str" cm="1">
        <f t="array" ref="M735">IFERROR(_xlfn.LET(
_xlpm.CSVVal,_xlfn.XLOOKUP($A735,CSV!$A:$A,CSV!Q:Q,""),
_xlpm.MacVal,_xlfn.XLOOKUP($A735,Output_Mac!$A:$A,Output_Mac!M:M,""),
_xlpm.MyAuditVal,_xlfn.XLOOKUP($A735,My_Audit!$A:$A,My_Audit!L:L,""),
_xlfn.IFS(_xlpm.MyAuditVal&lt;&gt;"",UPPER(_xlpm.MyAuditVal),_xlpm.MacVal&lt;&gt;"",_xlpm.MacVal,_xlpm.CSVVal&lt;&gt;"",_xlpm.CSVVal
)),"")</f>
        <v/>
      </c>
      <c r="N735" s="40"/>
      <c r="O735" s="40" t="str">
        <f>_xlfn.LET(
    _xlpm.CSVVal, _xlfn.XLOOKUP($A735, CSV!$A:$A, CSV!AA:AA, ""),
    _xlpm.MacVal, _xlfn.XLOOKUP($A735, Output_Mac!$A:$A, Output_Mac!S:S, ""),
    _xlpm.MyAuditVal, _xlfn.XLOOKUP($A735, My_Audit!$A:$A, My_Audit!P:P, ""),
    _xlfn.TEXTJOIN(", ", TRUE, _xlpm.MyAuditVal, _xlpm.MacVal, _xlpm.CSVVal)
)</f>
        <v/>
      </c>
      <c r="P735" s="40" t="str" cm="1">
        <f t="array" ref="P735">IFERROR(_xlfn.LET(
_xlpm.CSVVal,_xlfn.XLOOKUP($A735,CSV!$A:$A,CSV!AB:AB,""),
_xlpm.MacVal,_xlfn.XLOOKUP($A735,Output_Mac!$A:$A,Output_Mac!T:T,""),
_xlpm.MyAuditVal,_xlfn.XLOOKUP($A735,My_Audit!$A:$A,My_Audit!Q:Q,""),
_xlfn.IFS(_xlpm.MyAuditVal&lt;&gt;"",UPPER(_xlpm.MyAuditVal),_xlpm.MacVal&lt;&gt;"",_xlpm.MacVal,_xlpm.CSVVal&lt;&gt;"",_xlpm.CSVVal
)),"No")</f>
        <v>No</v>
      </c>
      <c r="Q735" s="40" t="str" cm="1">
        <f t="array" ref="Q735">IFERROR(_xlfn.LET(
_xlpm.CSVVal,_xlfn.XLOOKUP($A735,CSV!$A:$A,CSV!AC:AC,""),
_xlpm.MacVal,_xlfn.XLOOKUP($A735,Output_Mac!$A:$A,Output_Mac!U:U,""),
_xlpm.MyAuditVal,_xlfn.XLOOKUP($A735,My_Audit!$A:$A,My_Audit!R:R,""),
_xlfn.IFS(_xlpm.MyAuditVal&lt;&gt;"",UPPER(_xlpm.MyAuditVal),_xlpm.MacVal&lt;&gt;"",_xlpm.MacVal,_xlpm.CSVVal&lt;&gt;"",_xlpm.CSVVal
)),"")</f>
        <v/>
      </c>
      <c r="R735" s="40"/>
      <c r="S735" s="40"/>
      <c r="T735" s="40"/>
      <c r="U735" s="40"/>
      <c r="V735" s="40"/>
      <c r="W735" s="40"/>
      <c r="X735" s="41" t="str">
        <f>_xlfn.LET(
    _xlpm.MacVal, _xlfn.XLOOKUP($A735, Output_Mac!$A:$A, Output_Mac!AB:AB, ""),
    _xlpm.MyAuditVal, _xlfn.XLOOKUP($A735, My_Audit!$A:$A, My_Audit!N:N, ""),
    _xlfn.TEXTJOIN(", ", TRUE, _xlpm.MyAuditVal, _xlpm.MacVal)
)</f>
        <v/>
      </c>
    </row>
    <row r="736" spans="1:24">
      <c r="A736" s="40" t="str">
        <f>_xlfn.TEXTJOIN("",TRUE,Input!$B$2,ROW(My_Audit!A735))</f>
        <v>X735</v>
      </c>
      <c r="B736" s="40" t="str">
        <f>_xlfn.TEXTJOIN("-",TRUE,"ITD",Input!$A$2,A736)</f>
        <v>ITD-X735</v>
      </c>
      <c r="C736" s="40" t="str" cm="1">
        <f t="array" ref="C736">IFERROR(_xlfn.LET(
_xlpm.CSVVal,_xlfn.XLOOKUP($A736,CSV!$A:$A,CSV!B:B,""),
_xlpm.MacVal,_xlfn.XLOOKUP($A736,Output_Mac!$A:$A,Output_Mac!B:B,""),
_xlpm.MyAuditVal,_xlfn.XLOOKUP($A736,My_Audit!$A:$A,My_Audit!B:B,""),
_xlfn.IFS(_xlpm.MyAuditVal&lt;&gt;"",UPPER(_xlpm.MyAuditVal),_xlpm.MacVal&lt;&gt;"",_xlpm.MacVal,_xlpm.CSVVal&lt;&gt;"",_xlpm.CSVVal
)),"")</f>
        <v/>
      </c>
      <c r="D736" s="40" t="str" cm="1">
        <f t="array" ref="D736">IFERROR(_xlfn.LET(
_xlpm.CSVVal,_xlfn.XLOOKUP($A736,CSV!$A:$A,CSV!D:D,""),
_xlpm.MacVal,_xlfn.XLOOKUP($A736,Output_Mac!$A:$A,Output_Mac!C:C,""),
_xlpm.MyAuditVal,_xlfn.XLOOKUP($A736,My_Audit!$A:$A,My_Audit!C:C,""),
_xlfn.IFS(_xlpm.MyAuditVal&lt;&gt;"",_xlpm.MyAuditVal,_xlpm.MacVal&lt;&gt;"",_xlpm.MacVal,_xlpm.CSVVal&lt;&gt;"",_xlpm.CSVVal
)),"")</f>
        <v/>
      </c>
      <c r="E736" s="40" t="str">
        <f>_xlfn.XLOOKUP(A736,My_Audit!A:A,My_Audit!D:D,"")</f>
        <v/>
      </c>
      <c r="F736" s="40" t="str" cm="1">
        <f t="array" ref="F736">IFERROR(_xlfn.LET(
_xlpm.CSVVal,_xlfn.XLOOKUP($A736,CSV!$A:$A,CSV!F:F,""),
_xlpm.MacVal,_xlfn.XLOOKUP($A736,Output_Mac!$A:$A,Output_Mac!E:E,""),
_xlpm.MyAuditVal,_xlfn.XLOOKUP($A736,My_Audit!$A:$A,My_Audit!E:E,""),
_xlfn.IFS(_xlpm.MyAuditVal&lt;&gt;"",_xlpm.MyAuditVal,_xlpm.MacVal&lt;&gt;"",_xlpm.MacVal,_xlpm.CSVVal&lt;&gt;"",_xlpm.CSVVal
)),"")</f>
        <v/>
      </c>
      <c r="G736" s="40" t="str" cm="1">
        <f t="array" ref="G736">IFERROR(_xlfn.LET(
_xlpm.CSVVal,_xlfn.XLOOKUP($A736,CSV!$A:$A,CSV!G:G,""),
_xlpm.MacVal,_xlfn.XLOOKUP($A736,Output_Mac!$A:$A,Output_Mac!F:F,""),
_xlpm.MyAuditVal,_xlfn.XLOOKUP($A736,My_Audit!$A:$A,My_Audit!F:F,""),
_xlfn.IFS(_xlpm.MyAuditVal&lt;&gt;"",_xlpm.MyAuditVal,_xlpm.MacVal&lt;&gt;"",_xlpm.MacVal,_xlpm.CSVVal&lt;&gt;"",PROPER(_xlpm.CSVVal)
)),"")</f>
        <v/>
      </c>
      <c r="H736" s="40" t="str" cm="1">
        <f t="array" ref="H736">IFERROR(_xlfn.LET(
_xlpm.CSVVal,_xlfn.XLOOKUP($A736,CSV!$A:$A,CSV!H:H,""),
_xlpm.MacVal,_xlfn.XLOOKUP($A736,Output_Mac!$A:$A,Output_Mac!H:H,""),
_xlpm.MyAuditVal,_xlfn.XLOOKUP($A736,My_Audit!$A:$A,My_Audit!G:G,""),
_xlfn.IFS(_xlpm.MyAuditVal&lt;&gt;"",_xlpm.MyAuditVal,_xlpm.MacVal&lt;&gt;"",_xlpm.MacVal,_xlpm.CSVVal&lt;&gt;"",_xlpm.CSVVal
)),"")</f>
        <v/>
      </c>
      <c r="I736" s="40" t="str">
        <f>_xlfn.XLOOKUP(A736,Output_Mac!A:A,Output_Mac!I:I,"")</f>
        <v/>
      </c>
      <c r="J736" s="40" t="str" cm="1">
        <f t="array" ref="J736">IFERROR(_xlfn.LET(
_xlpm.CSVVal,_xlfn.XLOOKUP($A736,CSV!$A:$A,CSV!I:I,""),
_xlpm.MacVal,_xlfn.XLOOKUP($A736,Output_Mac!$A:$A,Output_Mac!J:J,""),
_xlpm.MyAuditVal,_xlfn.XLOOKUP($A736,My_Audit!$A:$A,My_Audit!I:I,""),
_xlfn.IFS(_xlpm.MyAuditVal&lt;&gt;"",UPPER(_xlpm.MyAuditVal),_xlpm.MacVal&lt;&gt;"",_xlpm.MacVal,_xlpm.CSVVal&lt;&gt;"",_xlpm.CSVVal
)),"")</f>
        <v/>
      </c>
      <c r="K736" s="40" t="str" cm="1">
        <f t="array" ref="K736">IFERROR(_xlfn.LET(
_xlpm.CSVVal,_xlfn.XLOOKUP($A736,CSV!$A:$A,CSV!K:K,""),
_xlpm.MacVal,_xlfn.XLOOKUP($A736,Output_Mac!$A:$A,Output_Mac!K:K,""),
_xlpm.MyAuditVal,_xlfn.XLOOKUP($A736,My_Audit!$A:$A,My_Audit!J:J,""),
_xlfn.IFS(_xlpm.MyAuditVal&lt;&gt;"",UPPER(_xlpm.MyAuditVal),_xlpm.MacVal&lt;&gt;"",_xlpm.MacVal,_xlpm.CSVVal&lt;&gt;"",_xlpm.CSVVal
)),"")</f>
        <v/>
      </c>
      <c r="L736" s="40" t="str" cm="1">
        <f t="array" ref="L736">IFERROR(_xlfn.LET(
_xlpm.CSVVal,_xlfn.XLOOKUP($A736,CSV!$A:$A,CSV!P:P,""),
_xlpm.MacVal,_xlfn.XLOOKUP($A736,Output_Mac!$A:$A,Output_Mac!L:L,""),
_xlpm.MyAuditVal,_xlfn.XLOOKUP($A736,My_Audit!$A:$A,My_Audit!K:K,""),
_xlfn.IFS(_xlpm.MyAuditVal&lt;&gt;"",UPPER(_xlpm.MyAuditVal),_xlpm.MacVal&lt;&gt;"",_xlpm.MacVal,_xlpm.CSVVal&lt;&gt;"",_xlpm.CSVVal
)),"")</f>
        <v/>
      </c>
      <c r="M736" s="40" t="str" cm="1">
        <f t="array" ref="M736">IFERROR(_xlfn.LET(
_xlpm.CSVVal,_xlfn.XLOOKUP($A736,CSV!$A:$A,CSV!Q:Q,""),
_xlpm.MacVal,_xlfn.XLOOKUP($A736,Output_Mac!$A:$A,Output_Mac!M:M,""),
_xlpm.MyAuditVal,_xlfn.XLOOKUP($A736,My_Audit!$A:$A,My_Audit!L:L,""),
_xlfn.IFS(_xlpm.MyAuditVal&lt;&gt;"",UPPER(_xlpm.MyAuditVal),_xlpm.MacVal&lt;&gt;"",_xlpm.MacVal,_xlpm.CSVVal&lt;&gt;"",_xlpm.CSVVal
)),"")</f>
        <v/>
      </c>
      <c r="N736" s="40"/>
      <c r="O736" s="40" t="str">
        <f>_xlfn.LET(
    _xlpm.CSVVal, _xlfn.XLOOKUP($A736, CSV!$A:$A, CSV!AA:AA, ""),
    _xlpm.MacVal, _xlfn.XLOOKUP($A736, Output_Mac!$A:$A, Output_Mac!S:S, ""),
    _xlpm.MyAuditVal, _xlfn.XLOOKUP($A736, My_Audit!$A:$A, My_Audit!P:P, ""),
    _xlfn.TEXTJOIN(", ", TRUE, _xlpm.MyAuditVal, _xlpm.MacVal, _xlpm.CSVVal)
)</f>
        <v/>
      </c>
      <c r="P736" s="40" t="str" cm="1">
        <f t="array" ref="P736">IFERROR(_xlfn.LET(
_xlpm.CSVVal,_xlfn.XLOOKUP($A736,CSV!$A:$A,CSV!AB:AB,""),
_xlpm.MacVal,_xlfn.XLOOKUP($A736,Output_Mac!$A:$A,Output_Mac!T:T,""),
_xlpm.MyAuditVal,_xlfn.XLOOKUP($A736,My_Audit!$A:$A,My_Audit!Q:Q,""),
_xlfn.IFS(_xlpm.MyAuditVal&lt;&gt;"",UPPER(_xlpm.MyAuditVal),_xlpm.MacVal&lt;&gt;"",_xlpm.MacVal,_xlpm.CSVVal&lt;&gt;"",_xlpm.CSVVal
)),"No")</f>
        <v>No</v>
      </c>
      <c r="Q736" s="40" t="str" cm="1">
        <f t="array" ref="Q736">IFERROR(_xlfn.LET(
_xlpm.CSVVal,_xlfn.XLOOKUP($A736,CSV!$A:$A,CSV!AC:AC,""),
_xlpm.MacVal,_xlfn.XLOOKUP($A736,Output_Mac!$A:$A,Output_Mac!U:U,""),
_xlpm.MyAuditVal,_xlfn.XLOOKUP($A736,My_Audit!$A:$A,My_Audit!R:R,""),
_xlfn.IFS(_xlpm.MyAuditVal&lt;&gt;"",UPPER(_xlpm.MyAuditVal),_xlpm.MacVal&lt;&gt;"",_xlpm.MacVal,_xlpm.CSVVal&lt;&gt;"",_xlpm.CSVVal
)),"")</f>
        <v/>
      </c>
      <c r="R736" s="40"/>
      <c r="S736" s="40"/>
      <c r="T736" s="40"/>
      <c r="U736" s="40"/>
      <c r="V736" s="40"/>
      <c r="W736" s="40"/>
      <c r="X736" s="41" t="str">
        <f>_xlfn.LET(
    _xlpm.MacVal, _xlfn.XLOOKUP($A736, Output_Mac!$A:$A, Output_Mac!AB:AB, ""),
    _xlpm.MyAuditVal, _xlfn.XLOOKUP($A736, My_Audit!$A:$A, My_Audit!N:N, ""),
    _xlfn.TEXTJOIN(", ", TRUE, _xlpm.MyAuditVal, _xlpm.MacVal)
)</f>
        <v/>
      </c>
    </row>
    <row r="737" spans="1:24">
      <c r="A737" s="40" t="str">
        <f>_xlfn.TEXTJOIN("",TRUE,Input!$B$2,ROW(My_Audit!A736))</f>
        <v>X736</v>
      </c>
      <c r="B737" s="40" t="str">
        <f>_xlfn.TEXTJOIN("-",TRUE,"ITD",Input!$A$2,A737)</f>
        <v>ITD-X736</v>
      </c>
      <c r="C737" s="40" t="str" cm="1">
        <f t="array" ref="C737">IFERROR(_xlfn.LET(
_xlpm.CSVVal,_xlfn.XLOOKUP($A737,CSV!$A:$A,CSV!B:B,""),
_xlpm.MacVal,_xlfn.XLOOKUP($A737,Output_Mac!$A:$A,Output_Mac!B:B,""),
_xlpm.MyAuditVal,_xlfn.XLOOKUP($A737,My_Audit!$A:$A,My_Audit!B:B,""),
_xlfn.IFS(_xlpm.MyAuditVal&lt;&gt;"",UPPER(_xlpm.MyAuditVal),_xlpm.MacVal&lt;&gt;"",_xlpm.MacVal,_xlpm.CSVVal&lt;&gt;"",_xlpm.CSVVal
)),"")</f>
        <v/>
      </c>
      <c r="D737" s="40" t="str" cm="1">
        <f t="array" ref="D737">IFERROR(_xlfn.LET(
_xlpm.CSVVal,_xlfn.XLOOKUP($A737,CSV!$A:$A,CSV!D:D,""),
_xlpm.MacVal,_xlfn.XLOOKUP($A737,Output_Mac!$A:$A,Output_Mac!C:C,""),
_xlpm.MyAuditVal,_xlfn.XLOOKUP($A737,My_Audit!$A:$A,My_Audit!C:C,""),
_xlfn.IFS(_xlpm.MyAuditVal&lt;&gt;"",_xlpm.MyAuditVal,_xlpm.MacVal&lt;&gt;"",_xlpm.MacVal,_xlpm.CSVVal&lt;&gt;"",_xlpm.CSVVal
)),"")</f>
        <v/>
      </c>
      <c r="E737" s="40" t="str">
        <f>_xlfn.XLOOKUP(A737,My_Audit!A:A,My_Audit!D:D,"")</f>
        <v/>
      </c>
      <c r="F737" s="40" t="str" cm="1">
        <f t="array" ref="F737">IFERROR(_xlfn.LET(
_xlpm.CSVVal,_xlfn.XLOOKUP($A737,CSV!$A:$A,CSV!F:F,""),
_xlpm.MacVal,_xlfn.XLOOKUP($A737,Output_Mac!$A:$A,Output_Mac!E:E,""),
_xlpm.MyAuditVal,_xlfn.XLOOKUP($A737,My_Audit!$A:$A,My_Audit!E:E,""),
_xlfn.IFS(_xlpm.MyAuditVal&lt;&gt;"",_xlpm.MyAuditVal,_xlpm.MacVal&lt;&gt;"",_xlpm.MacVal,_xlpm.CSVVal&lt;&gt;"",_xlpm.CSVVal
)),"")</f>
        <v/>
      </c>
      <c r="G737" s="40" t="str" cm="1">
        <f t="array" ref="G737">IFERROR(_xlfn.LET(
_xlpm.CSVVal,_xlfn.XLOOKUP($A737,CSV!$A:$A,CSV!G:G,""),
_xlpm.MacVal,_xlfn.XLOOKUP($A737,Output_Mac!$A:$A,Output_Mac!F:F,""),
_xlpm.MyAuditVal,_xlfn.XLOOKUP($A737,My_Audit!$A:$A,My_Audit!F:F,""),
_xlfn.IFS(_xlpm.MyAuditVal&lt;&gt;"",_xlpm.MyAuditVal,_xlpm.MacVal&lt;&gt;"",_xlpm.MacVal,_xlpm.CSVVal&lt;&gt;"",PROPER(_xlpm.CSVVal)
)),"")</f>
        <v/>
      </c>
      <c r="H737" s="40" t="str" cm="1">
        <f t="array" ref="H737">IFERROR(_xlfn.LET(
_xlpm.CSVVal,_xlfn.XLOOKUP($A737,CSV!$A:$A,CSV!H:H,""),
_xlpm.MacVal,_xlfn.XLOOKUP($A737,Output_Mac!$A:$A,Output_Mac!H:H,""),
_xlpm.MyAuditVal,_xlfn.XLOOKUP($A737,My_Audit!$A:$A,My_Audit!G:G,""),
_xlfn.IFS(_xlpm.MyAuditVal&lt;&gt;"",_xlpm.MyAuditVal,_xlpm.MacVal&lt;&gt;"",_xlpm.MacVal,_xlpm.CSVVal&lt;&gt;"",_xlpm.CSVVal
)),"")</f>
        <v/>
      </c>
      <c r="I737" s="40" t="str">
        <f>_xlfn.XLOOKUP(A737,Output_Mac!A:A,Output_Mac!I:I,"")</f>
        <v/>
      </c>
      <c r="J737" s="40" t="str" cm="1">
        <f t="array" ref="J737">IFERROR(_xlfn.LET(
_xlpm.CSVVal,_xlfn.XLOOKUP($A737,CSV!$A:$A,CSV!I:I,""),
_xlpm.MacVal,_xlfn.XLOOKUP($A737,Output_Mac!$A:$A,Output_Mac!J:J,""),
_xlpm.MyAuditVal,_xlfn.XLOOKUP($A737,My_Audit!$A:$A,My_Audit!I:I,""),
_xlfn.IFS(_xlpm.MyAuditVal&lt;&gt;"",UPPER(_xlpm.MyAuditVal),_xlpm.MacVal&lt;&gt;"",_xlpm.MacVal,_xlpm.CSVVal&lt;&gt;"",_xlpm.CSVVal
)),"")</f>
        <v/>
      </c>
      <c r="K737" s="40" t="str" cm="1">
        <f t="array" ref="K737">IFERROR(_xlfn.LET(
_xlpm.CSVVal,_xlfn.XLOOKUP($A737,CSV!$A:$A,CSV!K:K,""),
_xlpm.MacVal,_xlfn.XLOOKUP($A737,Output_Mac!$A:$A,Output_Mac!K:K,""),
_xlpm.MyAuditVal,_xlfn.XLOOKUP($A737,My_Audit!$A:$A,My_Audit!J:J,""),
_xlfn.IFS(_xlpm.MyAuditVal&lt;&gt;"",UPPER(_xlpm.MyAuditVal),_xlpm.MacVal&lt;&gt;"",_xlpm.MacVal,_xlpm.CSVVal&lt;&gt;"",_xlpm.CSVVal
)),"")</f>
        <v/>
      </c>
      <c r="L737" s="40" t="str" cm="1">
        <f t="array" ref="L737">IFERROR(_xlfn.LET(
_xlpm.CSVVal,_xlfn.XLOOKUP($A737,CSV!$A:$A,CSV!P:P,""),
_xlpm.MacVal,_xlfn.XLOOKUP($A737,Output_Mac!$A:$A,Output_Mac!L:L,""),
_xlpm.MyAuditVal,_xlfn.XLOOKUP($A737,My_Audit!$A:$A,My_Audit!K:K,""),
_xlfn.IFS(_xlpm.MyAuditVal&lt;&gt;"",UPPER(_xlpm.MyAuditVal),_xlpm.MacVal&lt;&gt;"",_xlpm.MacVal,_xlpm.CSVVal&lt;&gt;"",_xlpm.CSVVal
)),"")</f>
        <v/>
      </c>
      <c r="M737" s="40" t="str" cm="1">
        <f t="array" ref="M737">IFERROR(_xlfn.LET(
_xlpm.CSVVal,_xlfn.XLOOKUP($A737,CSV!$A:$A,CSV!Q:Q,""),
_xlpm.MacVal,_xlfn.XLOOKUP($A737,Output_Mac!$A:$A,Output_Mac!M:M,""),
_xlpm.MyAuditVal,_xlfn.XLOOKUP($A737,My_Audit!$A:$A,My_Audit!L:L,""),
_xlfn.IFS(_xlpm.MyAuditVal&lt;&gt;"",UPPER(_xlpm.MyAuditVal),_xlpm.MacVal&lt;&gt;"",_xlpm.MacVal,_xlpm.CSVVal&lt;&gt;"",_xlpm.CSVVal
)),"")</f>
        <v/>
      </c>
      <c r="N737" s="40"/>
      <c r="O737" s="40" t="str">
        <f>_xlfn.LET(
    _xlpm.CSVVal, _xlfn.XLOOKUP($A737, CSV!$A:$A, CSV!AA:AA, ""),
    _xlpm.MacVal, _xlfn.XLOOKUP($A737, Output_Mac!$A:$A, Output_Mac!S:S, ""),
    _xlpm.MyAuditVal, _xlfn.XLOOKUP($A737, My_Audit!$A:$A, My_Audit!P:P, ""),
    _xlfn.TEXTJOIN(", ", TRUE, _xlpm.MyAuditVal, _xlpm.MacVal, _xlpm.CSVVal)
)</f>
        <v/>
      </c>
      <c r="P737" s="40" t="str" cm="1">
        <f t="array" ref="P737">IFERROR(_xlfn.LET(
_xlpm.CSVVal,_xlfn.XLOOKUP($A737,CSV!$A:$A,CSV!AB:AB,""),
_xlpm.MacVal,_xlfn.XLOOKUP($A737,Output_Mac!$A:$A,Output_Mac!T:T,""),
_xlpm.MyAuditVal,_xlfn.XLOOKUP($A737,My_Audit!$A:$A,My_Audit!Q:Q,""),
_xlfn.IFS(_xlpm.MyAuditVal&lt;&gt;"",UPPER(_xlpm.MyAuditVal),_xlpm.MacVal&lt;&gt;"",_xlpm.MacVal,_xlpm.CSVVal&lt;&gt;"",_xlpm.CSVVal
)),"No")</f>
        <v>No</v>
      </c>
      <c r="Q737" s="40" t="str" cm="1">
        <f t="array" ref="Q737">IFERROR(_xlfn.LET(
_xlpm.CSVVal,_xlfn.XLOOKUP($A737,CSV!$A:$A,CSV!AC:AC,""),
_xlpm.MacVal,_xlfn.XLOOKUP($A737,Output_Mac!$A:$A,Output_Mac!U:U,""),
_xlpm.MyAuditVal,_xlfn.XLOOKUP($A737,My_Audit!$A:$A,My_Audit!R:R,""),
_xlfn.IFS(_xlpm.MyAuditVal&lt;&gt;"",UPPER(_xlpm.MyAuditVal),_xlpm.MacVal&lt;&gt;"",_xlpm.MacVal,_xlpm.CSVVal&lt;&gt;"",_xlpm.CSVVal
)),"")</f>
        <v/>
      </c>
      <c r="R737" s="40"/>
      <c r="S737" s="40"/>
      <c r="T737" s="40"/>
      <c r="U737" s="40"/>
      <c r="V737" s="40"/>
      <c r="W737" s="40"/>
      <c r="X737" s="41" t="str">
        <f>_xlfn.LET(
    _xlpm.MacVal, _xlfn.XLOOKUP($A737, Output_Mac!$A:$A, Output_Mac!AB:AB, ""),
    _xlpm.MyAuditVal, _xlfn.XLOOKUP($A737, My_Audit!$A:$A, My_Audit!N:N, ""),
    _xlfn.TEXTJOIN(", ", TRUE, _xlpm.MyAuditVal, _xlpm.MacVal)
)</f>
        <v/>
      </c>
    </row>
    <row r="738" spans="1:24">
      <c r="A738" s="40" t="str">
        <f>_xlfn.TEXTJOIN("",TRUE,Input!$B$2,ROW(My_Audit!A737))</f>
        <v>X737</v>
      </c>
      <c r="B738" s="40" t="str">
        <f>_xlfn.TEXTJOIN("-",TRUE,"ITD",Input!$A$2,A738)</f>
        <v>ITD-X737</v>
      </c>
      <c r="C738" s="40" t="str" cm="1">
        <f t="array" ref="C738">IFERROR(_xlfn.LET(
_xlpm.CSVVal,_xlfn.XLOOKUP($A738,CSV!$A:$A,CSV!B:B,""),
_xlpm.MacVal,_xlfn.XLOOKUP($A738,Output_Mac!$A:$A,Output_Mac!B:B,""),
_xlpm.MyAuditVal,_xlfn.XLOOKUP($A738,My_Audit!$A:$A,My_Audit!B:B,""),
_xlfn.IFS(_xlpm.MyAuditVal&lt;&gt;"",UPPER(_xlpm.MyAuditVal),_xlpm.MacVal&lt;&gt;"",_xlpm.MacVal,_xlpm.CSVVal&lt;&gt;"",_xlpm.CSVVal
)),"")</f>
        <v/>
      </c>
      <c r="D738" s="40" t="str" cm="1">
        <f t="array" ref="D738">IFERROR(_xlfn.LET(
_xlpm.CSVVal,_xlfn.XLOOKUP($A738,CSV!$A:$A,CSV!D:D,""),
_xlpm.MacVal,_xlfn.XLOOKUP($A738,Output_Mac!$A:$A,Output_Mac!C:C,""),
_xlpm.MyAuditVal,_xlfn.XLOOKUP($A738,My_Audit!$A:$A,My_Audit!C:C,""),
_xlfn.IFS(_xlpm.MyAuditVal&lt;&gt;"",_xlpm.MyAuditVal,_xlpm.MacVal&lt;&gt;"",_xlpm.MacVal,_xlpm.CSVVal&lt;&gt;"",_xlpm.CSVVal
)),"")</f>
        <v/>
      </c>
      <c r="E738" s="40" t="str">
        <f>_xlfn.XLOOKUP(A738,My_Audit!A:A,My_Audit!D:D,"")</f>
        <v/>
      </c>
      <c r="F738" s="40" t="str" cm="1">
        <f t="array" ref="F738">IFERROR(_xlfn.LET(
_xlpm.CSVVal,_xlfn.XLOOKUP($A738,CSV!$A:$A,CSV!F:F,""),
_xlpm.MacVal,_xlfn.XLOOKUP($A738,Output_Mac!$A:$A,Output_Mac!E:E,""),
_xlpm.MyAuditVal,_xlfn.XLOOKUP($A738,My_Audit!$A:$A,My_Audit!E:E,""),
_xlfn.IFS(_xlpm.MyAuditVal&lt;&gt;"",_xlpm.MyAuditVal,_xlpm.MacVal&lt;&gt;"",_xlpm.MacVal,_xlpm.CSVVal&lt;&gt;"",_xlpm.CSVVal
)),"")</f>
        <v/>
      </c>
      <c r="G738" s="40" t="str" cm="1">
        <f t="array" ref="G738">IFERROR(_xlfn.LET(
_xlpm.CSVVal,_xlfn.XLOOKUP($A738,CSV!$A:$A,CSV!G:G,""),
_xlpm.MacVal,_xlfn.XLOOKUP($A738,Output_Mac!$A:$A,Output_Mac!F:F,""),
_xlpm.MyAuditVal,_xlfn.XLOOKUP($A738,My_Audit!$A:$A,My_Audit!F:F,""),
_xlfn.IFS(_xlpm.MyAuditVal&lt;&gt;"",_xlpm.MyAuditVal,_xlpm.MacVal&lt;&gt;"",_xlpm.MacVal,_xlpm.CSVVal&lt;&gt;"",PROPER(_xlpm.CSVVal)
)),"")</f>
        <v/>
      </c>
      <c r="H738" s="40" t="str" cm="1">
        <f t="array" ref="H738">IFERROR(_xlfn.LET(
_xlpm.CSVVal,_xlfn.XLOOKUP($A738,CSV!$A:$A,CSV!H:H,""),
_xlpm.MacVal,_xlfn.XLOOKUP($A738,Output_Mac!$A:$A,Output_Mac!H:H,""),
_xlpm.MyAuditVal,_xlfn.XLOOKUP($A738,My_Audit!$A:$A,My_Audit!G:G,""),
_xlfn.IFS(_xlpm.MyAuditVal&lt;&gt;"",_xlpm.MyAuditVal,_xlpm.MacVal&lt;&gt;"",_xlpm.MacVal,_xlpm.CSVVal&lt;&gt;"",_xlpm.CSVVal
)),"")</f>
        <v/>
      </c>
      <c r="I738" s="40" t="str">
        <f>_xlfn.XLOOKUP(A738,Output_Mac!A:A,Output_Mac!I:I,"")</f>
        <v/>
      </c>
      <c r="J738" s="40" t="str" cm="1">
        <f t="array" ref="J738">IFERROR(_xlfn.LET(
_xlpm.CSVVal,_xlfn.XLOOKUP($A738,CSV!$A:$A,CSV!I:I,""),
_xlpm.MacVal,_xlfn.XLOOKUP($A738,Output_Mac!$A:$A,Output_Mac!J:J,""),
_xlpm.MyAuditVal,_xlfn.XLOOKUP($A738,My_Audit!$A:$A,My_Audit!I:I,""),
_xlfn.IFS(_xlpm.MyAuditVal&lt;&gt;"",UPPER(_xlpm.MyAuditVal),_xlpm.MacVal&lt;&gt;"",_xlpm.MacVal,_xlpm.CSVVal&lt;&gt;"",_xlpm.CSVVal
)),"")</f>
        <v/>
      </c>
      <c r="K738" s="40" t="str" cm="1">
        <f t="array" ref="K738">IFERROR(_xlfn.LET(
_xlpm.CSVVal,_xlfn.XLOOKUP($A738,CSV!$A:$A,CSV!K:K,""),
_xlpm.MacVal,_xlfn.XLOOKUP($A738,Output_Mac!$A:$A,Output_Mac!K:K,""),
_xlpm.MyAuditVal,_xlfn.XLOOKUP($A738,My_Audit!$A:$A,My_Audit!J:J,""),
_xlfn.IFS(_xlpm.MyAuditVal&lt;&gt;"",UPPER(_xlpm.MyAuditVal),_xlpm.MacVal&lt;&gt;"",_xlpm.MacVal,_xlpm.CSVVal&lt;&gt;"",_xlpm.CSVVal
)),"")</f>
        <v/>
      </c>
      <c r="L738" s="40" t="str" cm="1">
        <f t="array" ref="L738">IFERROR(_xlfn.LET(
_xlpm.CSVVal,_xlfn.XLOOKUP($A738,CSV!$A:$A,CSV!P:P,""),
_xlpm.MacVal,_xlfn.XLOOKUP($A738,Output_Mac!$A:$A,Output_Mac!L:L,""),
_xlpm.MyAuditVal,_xlfn.XLOOKUP($A738,My_Audit!$A:$A,My_Audit!K:K,""),
_xlfn.IFS(_xlpm.MyAuditVal&lt;&gt;"",UPPER(_xlpm.MyAuditVal),_xlpm.MacVal&lt;&gt;"",_xlpm.MacVal,_xlpm.CSVVal&lt;&gt;"",_xlpm.CSVVal
)),"")</f>
        <v/>
      </c>
      <c r="M738" s="40" t="str" cm="1">
        <f t="array" ref="M738">IFERROR(_xlfn.LET(
_xlpm.CSVVal,_xlfn.XLOOKUP($A738,CSV!$A:$A,CSV!Q:Q,""),
_xlpm.MacVal,_xlfn.XLOOKUP($A738,Output_Mac!$A:$A,Output_Mac!M:M,""),
_xlpm.MyAuditVal,_xlfn.XLOOKUP($A738,My_Audit!$A:$A,My_Audit!L:L,""),
_xlfn.IFS(_xlpm.MyAuditVal&lt;&gt;"",UPPER(_xlpm.MyAuditVal),_xlpm.MacVal&lt;&gt;"",_xlpm.MacVal,_xlpm.CSVVal&lt;&gt;"",_xlpm.CSVVal
)),"")</f>
        <v/>
      </c>
      <c r="N738" s="40"/>
      <c r="O738" s="40" t="str">
        <f>_xlfn.LET(
    _xlpm.CSVVal, _xlfn.XLOOKUP($A738, CSV!$A:$A, CSV!AA:AA, ""),
    _xlpm.MacVal, _xlfn.XLOOKUP($A738, Output_Mac!$A:$A, Output_Mac!S:S, ""),
    _xlpm.MyAuditVal, _xlfn.XLOOKUP($A738, My_Audit!$A:$A, My_Audit!P:P, ""),
    _xlfn.TEXTJOIN(", ", TRUE, _xlpm.MyAuditVal, _xlpm.MacVal, _xlpm.CSVVal)
)</f>
        <v/>
      </c>
      <c r="P738" s="40" t="str" cm="1">
        <f t="array" ref="P738">IFERROR(_xlfn.LET(
_xlpm.CSVVal,_xlfn.XLOOKUP($A738,CSV!$A:$A,CSV!AB:AB,""),
_xlpm.MacVal,_xlfn.XLOOKUP($A738,Output_Mac!$A:$A,Output_Mac!T:T,""),
_xlpm.MyAuditVal,_xlfn.XLOOKUP($A738,My_Audit!$A:$A,My_Audit!Q:Q,""),
_xlfn.IFS(_xlpm.MyAuditVal&lt;&gt;"",UPPER(_xlpm.MyAuditVal),_xlpm.MacVal&lt;&gt;"",_xlpm.MacVal,_xlpm.CSVVal&lt;&gt;"",_xlpm.CSVVal
)),"No")</f>
        <v>No</v>
      </c>
      <c r="Q738" s="40" t="str" cm="1">
        <f t="array" ref="Q738">IFERROR(_xlfn.LET(
_xlpm.CSVVal,_xlfn.XLOOKUP($A738,CSV!$A:$A,CSV!AC:AC,""),
_xlpm.MacVal,_xlfn.XLOOKUP($A738,Output_Mac!$A:$A,Output_Mac!U:U,""),
_xlpm.MyAuditVal,_xlfn.XLOOKUP($A738,My_Audit!$A:$A,My_Audit!R:R,""),
_xlfn.IFS(_xlpm.MyAuditVal&lt;&gt;"",UPPER(_xlpm.MyAuditVal),_xlpm.MacVal&lt;&gt;"",_xlpm.MacVal,_xlpm.CSVVal&lt;&gt;"",_xlpm.CSVVal
)),"")</f>
        <v/>
      </c>
      <c r="R738" s="40"/>
      <c r="S738" s="40"/>
      <c r="T738" s="40"/>
      <c r="U738" s="40"/>
      <c r="V738" s="40"/>
      <c r="W738" s="40"/>
      <c r="X738" s="41" t="str">
        <f>_xlfn.LET(
    _xlpm.MacVal, _xlfn.XLOOKUP($A738, Output_Mac!$A:$A, Output_Mac!AB:AB, ""),
    _xlpm.MyAuditVal, _xlfn.XLOOKUP($A738, My_Audit!$A:$A, My_Audit!N:N, ""),
    _xlfn.TEXTJOIN(", ", TRUE, _xlpm.MyAuditVal, _xlpm.MacVal)
)</f>
        <v/>
      </c>
    </row>
    <row r="739" spans="1:24">
      <c r="A739" s="40" t="str">
        <f>_xlfn.TEXTJOIN("",TRUE,Input!$B$2,ROW(My_Audit!A738))</f>
        <v>X738</v>
      </c>
      <c r="B739" s="40" t="str">
        <f>_xlfn.TEXTJOIN("-",TRUE,"ITD",Input!$A$2,A739)</f>
        <v>ITD-X738</v>
      </c>
      <c r="C739" s="40" t="str" cm="1">
        <f t="array" ref="C739">IFERROR(_xlfn.LET(
_xlpm.CSVVal,_xlfn.XLOOKUP($A739,CSV!$A:$A,CSV!B:B,""),
_xlpm.MacVal,_xlfn.XLOOKUP($A739,Output_Mac!$A:$A,Output_Mac!B:B,""),
_xlpm.MyAuditVal,_xlfn.XLOOKUP($A739,My_Audit!$A:$A,My_Audit!B:B,""),
_xlfn.IFS(_xlpm.MyAuditVal&lt;&gt;"",UPPER(_xlpm.MyAuditVal),_xlpm.MacVal&lt;&gt;"",_xlpm.MacVal,_xlpm.CSVVal&lt;&gt;"",_xlpm.CSVVal
)),"")</f>
        <v/>
      </c>
      <c r="D739" s="40" t="str" cm="1">
        <f t="array" ref="D739">IFERROR(_xlfn.LET(
_xlpm.CSVVal,_xlfn.XLOOKUP($A739,CSV!$A:$A,CSV!D:D,""),
_xlpm.MacVal,_xlfn.XLOOKUP($A739,Output_Mac!$A:$A,Output_Mac!C:C,""),
_xlpm.MyAuditVal,_xlfn.XLOOKUP($A739,My_Audit!$A:$A,My_Audit!C:C,""),
_xlfn.IFS(_xlpm.MyAuditVal&lt;&gt;"",_xlpm.MyAuditVal,_xlpm.MacVal&lt;&gt;"",_xlpm.MacVal,_xlpm.CSVVal&lt;&gt;"",_xlpm.CSVVal
)),"")</f>
        <v/>
      </c>
      <c r="E739" s="40" t="str">
        <f>_xlfn.XLOOKUP(A739,My_Audit!A:A,My_Audit!D:D,"")</f>
        <v/>
      </c>
      <c r="F739" s="40" t="str" cm="1">
        <f t="array" ref="F739">IFERROR(_xlfn.LET(
_xlpm.CSVVal,_xlfn.XLOOKUP($A739,CSV!$A:$A,CSV!F:F,""),
_xlpm.MacVal,_xlfn.XLOOKUP($A739,Output_Mac!$A:$A,Output_Mac!E:E,""),
_xlpm.MyAuditVal,_xlfn.XLOOKUP($A739,My_Audit!$A:$A,My_Audit!E:E,""),
_xlfn.IFS(_xlpm.MyAuditVal&lt;&gt;"",_xlpm.MyAuditVal,_xlpm.MacVal&lt;&gt;"",_xlpm.MacVal,_xlpm.CSVVal&lt;&gt;"",_xlpm.CSVVal
)),"")</f>
        <v/>
      </c>
      <c r="G739" s="40" t="str" cm="1">
        <f t="array" ref="G739">IFERROR(_xlfn.LET(
_xlpm.CSVVal,_xlfn.XLOOKUP($A739,CSV!$A:$A,CSV!G:G,""),
_xlpm.MacVal,_xlfn.XLOOKUP($A739,Output_Mac!$A:$A,Output_Mac!F:F,""),
_xlpm.MyAuditVal,_xlfn.XLOOKUP($A739,My_Audit!$A:$A,My_Audit!F:F,""),
_xlfn.IFS(_xlpm.MyAuditVal&lt;&gt;"",_xlpm.MyAuditVal,_xlpm.MacVal&lt;&gt;"",_xlpm.MacVal,_xlpm.CSVVal&lt;&gt;"",PROPER(_xlpm.CSVVal)
)),"")</f>
        <v/>
      </c>
      <c r="H739" s="40" t="str" cm="1">
        <f t="array" ref="H739">IFERROR(_xlfn.LET(
_xlpm.CSVVal,_xlfn.XLOOKUP($A739,CSV!$A:$A,CSV!H:H,""),
_xlpm.MacVal,_xlfn.XLOOKUP($A739,Output_Mac!$A:$A,Output_Mac!H:H,""),
_xlpm.MyAuditVal,_xlfn.XLOOKUP($A739,My_Audit!$A:$A,My_Audit!G:G,""),
_xlfn.IFS(_xlpm.MyAuditVal&lt;&gt;"",_xlpm.MyAuditVal,_xlpm.MacVal&lt;&gt;"",_xlpm.MacVal,_xlpm.CSVVal&lt;&gt;"",_xlpm.CSVVal
)),"")</f>
        <v/>
      </c>
      <c r="I739" s="40" t="str">
        <f>_xlfn.XLOOKUP(A739,Output_Mac!A:A,Output_Mac!I:I,"")</f>
        <v/>
      </c>
      <c r="J739" s="40" t="str" cm="1">
        <f t="array" ref="J739">IFERROR(_xlfn.LET(
_xlpm.CSVVal,_xlfn.XLOOKUP($A739,CSV!$A:$A,CSV!I:I,""),
_xlpm.MacVal,_xlfn.XLOOKUP($A739,Output_Mac!$A:$A,Output_Mac!J:J,""),
_xlpm.MyAuditVal,_xlfn.XLOOKUP($A739,My_Audit!$A:$A,My_Audit!I:I,""),
_xlfn.IFS(_xlpm.MyAuditVal&lt;&gt;"",UPPER(_xlpm.MyAuditVal),_xlpm.MacVal&lt;&gt;"",_xlpm.MacVal,_xlpm.CSVVal&lt;&gt;"",_xlpm.CSVVal
)),"")</f>
        <v/>
      </c>
      <c r="K739" s="40" t="str" cm="1">
        <f t="array" ref="K739">IFERROR(_xlfn.LET(
_xlpm.CSVVal,_xlfn.XLOOKUP($A739,CSV!$A:$A,CSV!K:K,""),
_xlpm.MacVal,_xlfn.XLOOKUP($A739,Output_Mac!$A:$A,Output_Mac!K:K,""),
_xlpm.MyAuditVal,_xlfn.XLOOKUP($A739,My_Audit!$A:$A,My_Audit!J:J,""),
_xlfn.IFS(_xlpm.MyAuditVal&lt;&gt;"",UPPER(_xlpm.MyAuditVal),_xlpm.MacVal&lt;&gt;"",_xlpm.MacVal,_xlpm.CSVVal&lt;&gt;"",_xlpm.CSVVal
)),"")</f>
        <v/>
      </c>
      <c r="L739" s="40" t="str" cm="1">
        <f t="array" ref="L739">IFERROR(_xlfn.LET(
_xlpm.CSVVal,_xlfn.XLOOKUP($A739,CSV!$A:$A,CSV!P:P,""),
_xlpm.MacVal,_xlfn.XLOOKUP($A739,Output_Mac!$A:$A,Output_Mac!L:L,""),
_xlpm.MyAuditVal,_xlfn.XLOOKUP($A739,My_Audit!$A:$A,My_Audit!K:K,""),
_xlfn.IFS(_xlpm.MyAuditVal&lt;&gt;"",UPPER(_xlpm.MyAuditVal),_xlpm.MacVal&lt;&gt;"",_xlpm.MacVal,_xlpm.CSVVal&lt;&gt;"",_xlpm.CSVVal
)),"")</f>
        <v/>
      </c>
      <c r="M739" s="40" t="str" cm="1">
        <f t="array" ref="M739">IFERROR(_xlfn.LET(
_xlpm.CSVVal,_xlfn.XLOOKUP($A739,CSV!$A:$A,CSV!Q:Q,""),
_xlpm.MacVal,_xlfn.XLOOKUP($A739,Output_Mac!$A:$A,Output_Mac!M:M,""),
_xlpm.MyAuditVal,_xlfn.XLOOKUP($A739,My_Audit!$A:$A,My_Audit!L:L,""),
_xlfn.IFS(_xlpm.MyAuditVal&lt;&gt;"",UPPER(_xlpm.MyAuditVal),_xlpm.MacVal&lt;&gt;"",_xlpm.MacVal,_xlpm.CSVVal&lt;&gt;"",_xlpm.CSVVal
)),"")</f>
        <v/>
      </c>
      <c r="N739" s="40"/>
      <c r="O739" s="40" t="str">
        <f>_xlfn.LET(
    _xlpm.CSVVal, _xlfn.XLOOKUP($A739, CSV!$A:$A, CSV!AA:AA, ""),
    _xlpm.MacVal, _xlfn.XLOOKUP($A739, Output_Mac!$A:$A, Output_Mac!S:S, ""),
    _xlpm.MyAuditVal, _xlfn.XLOOKUP($A739, My_Audit!$A:$A, My_Audit!P:P, ""),
    _xlfn.TEXTJOIN(", ", TRUE, _xlpm.MyAuditVal, _xlpm.MacVal, _xlpm.CSVVal)
)</f>
        <v/>
      </c>
      <c r="P739" s="40" t="str" cm="1">
        <f t="array" ref="P739">IFERROR(_xlfn.LET(
_xlpm.CSVVal,_xlfn.XLOOKUP($A739,CSV!$A:$A,CSV!AB:AB,""),
_xlpm.MacVal,_xlfn.XLOOKUP($A739,Output_Mac!$A:$A,Output_Mac!T:T,""),
_xlpm.MyAuditVal,_xlfn.XLOOKUP($A739,My_Audit!$A:$A,My_Audit!Q:Q,""),
_xlfn.IFS(_xlpm.MyAuditVal&lt;&gt;"",UPPER(_xlpm.MyAuditVal),_xlpm.MacVal&lt;&gt;"",_xlpm.MacVal,_xlpm.CSVVal&lt;&gt;"",_xlpm.CSVVal
)),"No")</f>
        <v>No</v>
      </c>
      <c r="Q739" s="40" t="str" cm="1">
        <f t="array" ref="Q739">IFERROR(_xlfn.LET(
_xlpm.CSVVal,_xlfn.XLOOKUP($A739,CSV!$A:$A,CSV!AC:AC,""),
_xlpm.MacVal,_xlfn.XLOOKUP($A739,Output_Mac!$A:$A,Output_Mac!U:U,""),
_xlpm.MyAuditVal,_xlfn.XLOOKUP($A739,My_Audit!$A:$A,My_Audit!R:R,""),
_xlfn.IFS(_xlpm.MyAuditVal&lt;&gt;"",UPPER(_xlpm.MyAuditVal),_xlpm.MacVal&lt;&gt;"",_xlpm.MacVal,_xlpm.CSVVal&lt;&gt;"",_xlpm.CSVVal
)),"")</f>
        <v/>
      </c>
      <c r="R739" s="40"/>
      <c r="S739" s="40"/>
      <c r="T739" s="40"/>
      <c r="U739" s="40"/>
      <c r="V739" s="40"/>
      <c r="W739" s="40"/>
      <c r="X739" s="41" t="str">
        <f>_xlfn.LET(
    _xlpm.MacVal, _xlfn.XLOOKUP($A739, Output_Mac!$A:$A, Output_Mac!AB:AB, ""),
    _xlpm.MyAuditVal, _xlfn.XLOOKUP($A739, My_Audit!$A:$A, My_Audit!N:N, ""),
    _xlfn.TEXTJOIN(", ", TRUE, _xlpm.MyAuditVal, _xlpm.MacVal)
)</f>
        <v/>
      </c>
    </row>
    <row r="740" spans="1:24">
      <c r="A740" s="40" t="str">
        <f>_xlfn.TEXTJOIN("",TRUE,Input!$B$2,ROW(My_Audit!A739))</f>
        <v>X739</v>
      </c>
      <c r="B740" s="40" t="str">
        <f>_xlfn.TEXTJOIN("-",TRUE,"ITD",Input!$A$2,A740)</f>
        <v>ITD-X739</v>
      </c>
      <c r="C740" s="40" t="str" cm="1">
        <f t="array" ref="C740">IFERROR(_xlfn.LET(
_xlpm.CSVVal,_xlfn.XLOOKUP($A740,CSV!$A:$A,CSV!B:B,""),
_xlpm.MacVal,_xlfn.XLOOKUP($A740,Output_Mac!$A:$A,Output_Mac!B:B,""),
_xlpm.MyAuditVal,_xlfn.XLOOKUP($A740,My_Audit!$A:$A,My_Audit!B:B,""),
_xlfn.IFS(_xlpm.MyAuditVal&lt;&gt;"",UPPER(_xlpm.MyAuditVal),_xlpm.MacVal&lt;&gt;"",_xlpm.MacVal,_xlpm.CSVVal&lt;&gt;"",_xlpm.CSVVal
)),"")</f>
        <v/>
      </c>
      <c r="D740" s="40" t="str" cm="1">
        <f t="array" ref="D740">IFERROR(_xlfn.LET(
_xlpm.CSVVal,_xlfn.XLOOKUP($A740,CSV!$A:$A,CSV!D:D,""),
_xlpm.MacVal,_xlfn.XLOOKUP($A740,Output_Mac!$A:$A,Output_Mac!C:C,""),
_xlpm.MyAuditVal,_xlfn.XLOOKUP($A740,My_Audit!$A:$A,My_Audit!C:C,""),
_xlfn.IFS(_xlpm.MyAuditVal&lt;&gt;"",_xlpm.MyAuditVal,_xlpm.MacVal&lt;&gt;"",_xlpm.MacVal,_xlpm.CSVVal&lt;&gt;"",_xlpm.CSVVal
)),"")</f>
        <v/>
      </c>
      <c r="E740" s="40" t="str">
        <f>_xlfn.XLOOKUP(A740,My_Audit!A:A,My_Audit!D:D,"")</f>
        <v/>
      </c>
      <c r="F740" s="40" t="str" cm="1">
        <f t="array" ref="F740">IFERROR(_xlfn.LET(
_xlpm.CSVVal,_xlfn.XLOOKUP($A740,CSV!$A:$A,CSV!F:F,""),
_xlpm.MacVal,_xlfn.XLOOKUP($A740,Output_Mac!$A:$A,Output_Mac!E:E,""),
_xlpm.MyAuditVal,_xlfn.XLOOKUP($A740,My_Audit!$A:$A,My_Audit!E:E,""),
_xlfn.IFS(_xlpm.MyAuditVal&lt;&gt;"",_xlpm.MyAuditVal,_xlpm.MacVal&lt;&gt;"",_xlpm.MacVal,_xlpm.CSVVal&lt;&gt;"",_xlpm.CSVVal
)),"")</f>
        <v/>
      </c>
      <c r="G740" s="40" t="str" cm="1">
        <f t="array" ref="G740">IFERROR(_xlfn.LET(
_xlpm.CSVVal,_xlfn.XLOOKUP($A740,CSV!$A:$A,CSV!G:G,""),
_xlpm.MacVal,_xlfn.XLOOKUP($A740,Output_Mac!$A:$A,Output_Mac!F:F,""),
_xlpm.MyAuditVal,_xlfn.XLOOKUP($A740,My_Audit!$A:$A,My_Audit!F:F,""),
_xlfn.IFS(_xlpm.MyAuditVal&lt;&gt;"",_xlpm.MyAuditVal,_xlpm.MacVal&lt;&gt;"",_xlpm.MacVal,_xlpm.CSVVal&lt;&gt;"",PROPER(_xlpm.CSVVal)
)),"")</f>
        <v/>
      </c>
      <c r="H740" s="40" t="str" cm="1">
        <f t="array" ref="H740">IFERROR(_xlfn.LET(
_xlpm.CSVVal,_xlfn.XLOOKUP($A740,CSV!$A:$A,CSV!H:H,""),
_xlpm.MacVal,_xlfn.XLOOKUP($A740,Output_Mac!$A:$A,Output_Mac!H:H,""),
_xlpm.MyAuditVal,_xlfn.XLOOKUP($A740,My_Audit!$A:$A,My_Audit!G:G,""),
_xlfn.IFS(_xlpm.MyAuditVal&lt;&gt;"",_xlpm.MyAuditVal,_xlpm.MacVal&lt;&gt;"",_xlpm.MacVal,_xlpm.CSVVal&lt;&gt;"",_xlpm.CSVVal
)),"")</f>
        <v/>
      </c>
      <c r="I740" s="40" t="str">
        <f>_xlfn.XLOOKUP(A740,Output_Mac!A:A,Output_Mac!I:I,"")</f>
        <v/>
      </c>
      <c r="J740" s="40" t="str" cm="1">
        <f t="array" ref="J740">IFERROR(_xlfn.LET(
_xlpm.CSVVal,_xlfn.XLOOKUP($A740,CSV!$A:$A,CSV!I:I,""),
_xlpm.MacVal,_xlfn.XLOOKUP($A740,Output_Mac!$A:$A,Output_Mac!J:J,""),
_xlpm.MyAuditVal,_xlfn.XLOOKUP($A740,My_Audit!$A:$A,My_Audit!I:I,""),
_xlfn.IFS(_xlpm.MyAuditVal&lt;&gt;"",UPPER(_xlpm.MyAuditVal),_xlpm.MacVal&lt;&gt;"",_xlpm.MacVal,_xlpm.CSVVal&lt;&gt;"",_xlpm.CSVVal
)),"")</f>
        <v/>
      </c>
      <c r="K740" s="40" t="str" cm="1">
        <f t="array" ref="K740">IFERROR(_xlfn.LET(
_xlpm.CSVVal,_xlfn.XLOOKUP($A740,CSV!$A:$A,CSV!K:K,""),
_xlpm.MacVal,_xlfn.XLOOKUP($A740,Output_Mac!$A:$A,Output_Mac!K:K,""),
_xlpm.MyAuditVal,_xlfn.XLOOKUP($A740,My_Audit!$A:$A,My_Audit!J:J,""),
_xlfn.IFS(_xlpm.MyAuditVal&lt;&gt;"",UPPER(_xlpm.MyAuditVal),_xlpm.MacVal&lt;&gt;"",_xlpm.MacVal,_xlpm.CSVVal&lt;&gt;"",_xlpm.CSVVal
)),"")</f>
        <v/>
      </c>
      <c r="L740" s="40" t="str" cm="1">
        <f t="array" ref="L740">IFERROR(_xlfn.LET(
_xlpm.CSVVal,_xlfn.XLOOKUP($A740,CSV!$A:$A,CSV!P:P,""),
_xlpm.MacVal,_xlfn.XLOOKUP($A740,Output_Mac!$A:$A,Output_Mac!L:L,""),
_xlpm.MyAuditVal,_xlfn.XLOOKUP($A740,My_Audit!$A:$A,My_Audit!K:K,""),
_xlfn.IFS(_xlpm.MyAuditVal&lt;&gt;"",UPPER(_xlpm.MyAuditVal),_xlpm.MacVal&lt;&gt;"",_xlpm.MacVal,_xlpm.CSVVal&lt;&gt;"",_xlpm.CSVVal
)),"")</f>
        <v/>
      </c>
      <c r="M740" s="40" t="str" cm="1">
        <f t="array" ref="M740">IFERROR(_xlfn.LET(
_xlpm.CSVVal,_xlfn.XLOOKUP($A740,CSV!$A:$A,CSV!Q:Q,""),
_xlpm.MacVal,_xlfn.XLOOKUP($A740,Output_Mac!$A:$A,Output_Mac!M:M,""),
_xlpm.MyAuditVal,_xlfn.XLOOKUP($A740,My_Audit!$A:$A,My_Audit!L:L,""),
_xlfn.IFS(_xlpm.MyAuditVal&lt;&gt;"",UPPER(_xlpm.MyAuditVal),_xlpm.MacVal&lt;&gt;"",_xlpm.MacVal,_xlpm.CSVVal&lt;&gt;"",_xlpm.CSVVal
)),"")</f>
        <v/>
      </c>
      <c r="N740" s="40"/>
      <c r="O740" s="40" t="str">
        <f>_xlfn.LET(
    _xlpm.CSVVal, _xlfn.XLOOKUP($A740, CSV!$A:$A, CSV!AA:AA, ""),
    _xlpm.MacVal, _xlfn.XLOOKUP($A740, Output_Mac!$A:$A, Output_Mac!S:S, ""),
    _xlpm.MyAuditVal, _xlfn.XLOOKUP($A740, My_Audit!$A:$A, My_Audit!P:P, ""),
    _xlfn.TEXTJOIN(", ", TRUE, _xlpm.MyAuditVal, _xlpm.MacVal, _xlpm.CSVVal)
)</f>
        <v/>
      </c>
      <c r="P740" s="40" t="str" cm="1">
        <f t="array" ref="P740">IFERROR(_xlfn.LET(
_xlpm.CSVVal,_xlfn.XLOOKUP($A740,CSV!$A:$A,CSV!AB:AB,""),
_xlpm.MacVal,_xlfn.XLOOKUP($A740,Output_Mac!$A:$A,Output_Mac!T:T,""),
_xlpm.MyAuditVal,_xlfn.XLOOKUP($A740,My_Audit!$A:$A,My_Audit!Q:Q,""),
_xlfn.IFS(_xlpm.MyAuditVal&lt;&gt;"",UPPER(_xlpm.MyAuditVal),_xlpm.MacVal&lt;&gt;"",_xlpm.MacVal,_xlpm.CSVVal&lt;&gt;"",_xlpm.CSVVal
)),"No")</f>
        <v>No</v>
      </c>
      <c r="Q740" s="40" t="str" cm="1">
        <f t="array" ref="Q740">IFERROR(_xlfn.LET(
_xlpm.CSVVal,_xlfn.XLOOKUP($A740,CSV!$A:$A,CSV!AC:AC,""),
_xlpm.MacVal,_xlfn.XLOOKUP($A740,Output_Mac!$A:$A,Output_Mac!U:U,""),
_xlpm.MyAuditVal,_xlfn.XLOOKUP($A740,My_Audit!$A:$A,My_Audit!R:R,""),
_xlfn.IFS(_xlpm.MyAuditVal&lt;&gt;"",UPPER(_xlpm.MyAuditVal),_xlpm.MacVal&lt;&gt;"",_xlpm.MacVal,_xlpm.CSVVal&lt;&gt;"",_xlpm.CSVVal
)),"")</f>
        <v/>
      </c>
      <c r="R740" s="40"/>
      <c r="S740" s="40"/>
      <c r="T740" s="40"/>
      <c r="U740" s="40"/>
      <c r="V740" s="40"/>
      <c r="W740" s="40"/>
      <c r="X740" s="41" t="str">
        <f>_xlfn.LET(
    _xlpm.MacVal, _xlfn.XLOOKUP($A740, Output_Mac!$A:$A, Output_Mac!AB:AB, ""),
    _xlpm.MyAuditVal, _xlfn.XLOOKUP($A740, My_Audit!$A:$A, My_Audit!N:N, ""),
    _xlfn.TEXTJOIN(", ", TRUE, _xlpm.MyAuditVal, _xlpm.MacVal)
)</f>
        <v/>
      </c>
    </row>
    <row r="741" spans="1:24">
      <c r="A741" s="40" t="str">
        <f>_xlfn.TEXTJOIN("",TRUE,Input!$B$2,ROW(My_Audit!A740))</f>
        <v>X740</v>
      </c>
      <c r="B741" s="40" t="str">
        <f>_xlfn.TEXTJOIN("-",TRUE,"ITD",Input!$A$2,A741)</f>
        <v>ITD-X740</v>
      </c>
      <c r="C741" s="40" t="str" cm="1">
        <f t="array" ref="C741">IFERROR(_xlfn.LET(
_xlpm.CSVVal,_xlfn.XLOOKUP($A741,CSV!$A:$A,CSV!B:B,""),
_xlpm.MacVal,_xlfn.XLOOKUP($A741,Output_Mac!$A:$A,Output_Mac!B:B,""),
_xlpm.MyAuditVal,_xlfn.XLOOKUP($A741,My_Audit!$A:$A,My_Audit!B:B,""),
_xlfn.IFS(_xlpm.MyAuditVal&lt;&gt;"",UPPER(_xlpm.MyAuditVal),_xlpm.MacVal&lt;&gt;"",_xlpm.MacVal,_xlpm.CSVVal&lt;&gt;"",_xlpm.CSVVal
)),"")</f>
        <v/>
      </c>
      <c r="D741" s="40" t="str" cm="1">
        <f t="array" ref="D741">IFERROR(_xlfn.LET(
_xlpm.CSVVal,_xlfn.XLOOKUP($A741,CSV!$A:$A,CSV!D:D,""),
_xlpm.MacVal,_xlfn.XLOOKUP($A741,Output_Mac!$A:$A,Output_Mac!C:C,""),
_xlpm.MyAuditVal,_xlfn.XLOOKUP($A741,My_Audit!$A:$A,My_Audit!C:C,""),
_xlfn.IFS(_xlpm.MyAuditVal&lt;&gt;"",_xlpm.MyAuditVal,_xlpm.MacVal&lt;&gt;"",_xlpm.MacVal,_xlpm.CSVVal&lt;&gt;"",_xlpm.CSVVal
)),"")</f>
        <v/>
      </c>
      <c r="E741" s="40" t="str">
        <f>_xlfn.XLOOKUP(A741,My_Audit!A:A,My_Audit!D:D,"")</f>
        <v/>
      </c>
      <c r="F741" s="40" t="str" cm="1">
        <f t="array" ref="F741">IFERROR(_xlfn.LET(
_xlpm.CSVVal,_xlfn.XLOOKUP($A741,CSV!$A:$A,CSV!F:F,""),
_xlpm.MacVal,_xlfn.XLOOKUP($A741,Output_Mac!$A:$A,Output_Mac!E:E,""),
_xlpm.MyAuditVal,_xlfn.XLOOKUP($A741,My_Audit!$A:$A,My_Audit!E:E,""),
_xlfn.IFS(_xlpm.MyAuditVal&lt;&gt;"",_xlpm.MyAuditVal,_xlpm.MacVal&lt;&gt;"",_xlpm.MacVal,_xlpm.CSVVal&lt;&gt;"",_xlpm.CSVVal
)),"")</f>
        <v/>
      </c>
      <c r="G741" s="40" t="str" cm="1">
        <f t="array" ref="G741">IFERROR(_xlfn.LET(
_xlpm.CSVVal,_xlfn.XLOOKUP($A741,CSV!$A:$A,CSV!G:G,""),
_xlpm.MacVal,_xlfn.XLOOKUP($A741,Output_Mac!$A:$A,Output_Mac!F:F,""),
_xlpm.MyAuditVal,_xlfn.XLOOKUP($A741,My_Audit!$A:$A,My_Audit!F:F,""),
_xlfn.IFS(_xlpm.MyAuditVal&lt;&gt;"",_xlpm.MyAuditVal,_xlpm.MacVal&lt;&gt;"",_xlpm.MacVal,_xlpm.CSVVal&lt;&gt;"",PROPER(_xlpm.CSVVal)
)),"")</f>
        <v/>
      </c>
      <c r="H741" s="40" t="str" cm="1">
        <f t="array" ref="H741">IFERROR(_xlfn.LET(
_xlpm.CSVVal,_xlfn.XLOOKUP($A741,CSV!$A:$A,CSV!H:H,""),
_xlpm.MacVal,_xlfn.XLOOKUP($A741,Output_Mac!$A:$A,Output_Mac!H:H,""),
_xlpm.MyAuditVal,_xlfn.XLOOKUP($A741,My_Audit!$A:$A,My_Audit!G:G,""),
_xlfn.IFS(_xlpm.MyAuditVal&lt;&gt;"",_xlpm.MyAuditVal,_xlpm.MacVal&lt;&gt;"",_xlpm.MacVal,_xlpm.CSVVal&lt;&gt;"",_xlpm.CSVVal
)),"")</f>
        <v/>
      </c>
      <c r="I741" s="40" t="str">
        <f>_xlfn.XLOOKUP(A741,Output_Mac!A:A,Output_Mac!I:I,"")</f>
        <v/>
      </c>
      <c r="J741" s="40" t="str" cm="1">
        <f t="array" ref="J741">IFERROR(_xlfn.LET(
_xlpm.CSVVal,_xlfn.XLOOKUP($A741,CSV!$A:$A,CSV!I:I,""),
_xlpm.MacVal,_xlfn.XLOOKUP($A741,Output_Mac!$A:$A,Output_Mac!J:J,""),
_xlpm.MyAuditVal,_xlfn.XLOOKUP($A741,My_Audit!$A:$A,My_Audit!I:I,""),
_xlfn.IFS(_xlpm.MyAuditVal&lt;&gt;"",UPPER(_xlpm.MyAuditVal),_xlpm.MacVal&lt;&gt;"",_xlpm.MacVal,_xlpm.CSVVal&lt;&gt;"",_xlpm.CSVVal
)),"")</f>
        <v/>
      </c>
      <c r="K741" s="40" t="str" cm="1">
        <f t="array" ref="K741">IFERROR(_xlfn.LET(
_xlpm.CSVVal,_xlfn.XLOOKUP($A741,CSV!$A:$A,CSV!K:K,""),
_xlpm.MacVal,_xlfn.XLOOKUP($A741,Output_Mac!$A:$A,Output_Mac!K:K,""),
_xlpm.MyAuditVal,_xlfn.XLOOKUP($A741,My_Audit!$A:$A,My_Audit!J:J,""),
_xlfn.IFS(_xlpm.MyAuditVal&lt;&gt;"",UPPER(_xlpm.MyAuditVal),_xlpm.MacVal&lt;&gt;"",_xlpm.MacVal,_xlpm.CSVVal&lt;&gt;"",_xlpm.CSVVal
)),"")</f>
        <v/>
      </c>
      <c r="L741" s="40" t="str" cm="1">
        <f t="array" ref="L741">IFERROR(_xlfn.LET(
_xlpm.CSVVal,_xlfn.XLOOKUP($A741,CSV!$A:$A,CSV!P:P,""),
_xlpm.MacVal,_xlfn.XLOOKUP($A741,Output_Mac!$A:$A,Output_Mac!L:L,""),
_xlpm.MyAuditVal,_xlfn.XLOOKUP($A741,My_Audit!$A:$A,My_Audit!K:K,""),
_xlfn.IFS(_xlpm.MyAuditVal&lt;&gt;"",UPPER(_xlpm.MyAuditVal),_xlpm.MacVal&lt;&gt;"",_xlpm.MacVal,_xlpm.CSVVal&lt;&gt;"",_xlpm.CSVVal
)),"")</f>
        <v/>
      </c>
      <c r="M741" s="40" t="str" cm="1">
        <f t="array" ref="M741">IFERROR(_xlfn.LET(
_xlpm.CSVVal,_xlfn.XLOOKUP($A741,CSV!$A:$A,CSV!Q:Q,""),
_xlpm.MacVal,_xlfn.XLOOKUP($A741,Output_Mac!$A:$A,Output_Mac!M:M,""),
_xlpm.MyAuditVal,_xlfn.XLOOKUP($A741,My_Audit!$A:$A,My_Audit!L:L,""),
_xlfn.IFS(_xlpm.MyAuditVal&lt;&gt;"",UPPER(_xlpm.MyAuditVal),_xlpm.MacVal&lt;&gt;"",_xlpm.MacVal,_xlpm.CSVVal&lt;&gt;"",_xlpm.CSVVal
)),"")</f>
        <v/>
      </c>
      <c r="N741" s="40"/>
      <c r="O741" s="40" t="str">
        <f>_xlfn.LET(
    _xlpm.CSVVal, _xlfn.XLOOKUP($A741, CSV!$A:$A, CSV!AA:AA, ""),
    _xlpm.MacVal, _xlfn.XLOOKUP($A741, Output_Mac!$A:$A, Output_Mac!S:S, ""),
    _xlpm.MyAuditVal, _xlfn.XLOOKUP($A741, My_Audit!$A:$A, My_Audit!P:P, ""),
    _xlfn.TEXTJOIN(", ", TRUE, _xlpm.MyAuditVal, _xlpm.MacVal, _xlpm.CSVVal)
)</f>
        <v/>
      </c>
      <c r="P741" s="40" t="str" cm="1">
        <f t="array" ref="P741">IFERROR(_xlfn.LET(
_xlpm.CSVVal,_xlfn.XLOOKUP($A741,CSV!$A:$A,CSV!AB:AB,""),
_xlpm.MacVal,_xlfn.XLOOKUP($A741,Output_Mac!$A:$A,Output_Mac!T:T,""),
_xlpm.MyAuditVal,_xlfn.XLOOKUP($A741,My_Audit!$A:$A,My_Audit!Q:Q,""),
_xlfn.IFS(_xlpm.MyAuditVal&lt;&gt;"",UPPER(_xlpm.MyAuditVal),_xlpm.MacVal&lt;&gt;"",_xlpm.MacVal,_xlpm.CSVVal&lt;&gt;"",_xlpm.CSVVal
)),"No")</f>
        <v>No</v>
      </c>
      <c r="Q741" s="40" t="str" cm="1">
        <f t="array" ref="Q741">IFERROR(_xlfn.LET(
_xlpm.CSVVal,_xlfn.XLOOKUP($A741,CSV!$A:$A,CSV!AC:AC,""),
_xlpm.MacVal,_xlfn.XLOOKUP($A741,Output_Mac!$A:$A,Output_Mac!U:U,""),
_xlpm.MyAuditVal,_xlfn.XLOOKUP($A741,My_Audit!$A:$A,My_Audit!R:R,""),
_xlfn.IFS(_xlpm.MyAuditVal&lt;&gt;"",UPPER(_xlpm.MyAuditVal),_xlpm.MacVal&lt;&gt;"",_xlpm.MacVal,_xlpm.CSVVal&lt;&gt;"",_xlpm.CSVVal
)),"")</f>
        <v/>
      </c>
      <c r="R741" s="40"/>
      <c r="S741" s="40"/>
      <c r="T741" s="40"/>
      <c r="U741" s="40"/>
      <c r="V741" s="40"/>
      <c r="W741" s="40"/>
      <c r="X741" s="41" t="str">
        <f>_xlfn.LET(
    _xlpm.MacVal, _xlfn.XLOOKUP($A741, Output_Mac!$A:$A, Output_Mac!AB:AB, ""),
    _xlpm.MyAuditVal, _xlfn.XLOOKUP($A741, My_Audit!$A:$A, My_Audit!N:N, ""),
    _xlfn.TEXTJOIN(", ", TRUE, _xlpm.MyAuditVal, _xlpm.MacVal)
)</f>
        <v/>
      </c>
    </row>
    <row r="742" spans="1:24">
      <c r="A742" s="40" t="str">
        <f>_xlfn.TEXTJOIN("",TRUE,Input!$B$2,ROW(My_Audit!A741))</f>
        <v>X741</v>
      </c>
      <c r="B742" s="40" t="str">
        <f>_xlfn.TEXTJOIN("-",TRUE,"ITD",Input!$A$2,A742)</f>
        <v>ITD-X741</v>
      </c>
      <c r="C742" s="40" t="str" cm="1">
        <f t="array" ref="C742">IFERROR(_xlfn.LET(
_xlpm.CSVVal,_xlfn.XLOOKUP($A742,CSV!$A:$A,CSV!B:B,""),
_xlpm.MacVal,_xlfn.XLOOKUP($A742,Output_Mac!$A:$A,Output_Mac!B:B,""),
_xlpm.MyAuditVal,_xlfn.XLOOKUP($A742,My_Audit!$A:$A,My_Audit!B:B,""),
_xlfn.IFS(_xlpm.MyAuditVal&lt;&gt;"",UPPER(_xlpm.MyAuditVal),_xlpm.MacVal&lt;&gt;"",_xlpm.MacVal,_xlpm.CSVVal&lt;&gt;"",_xlpm.CSVVal
)),"")</f>
        <v/>
      </c>
      <c r="D742" s="40" t="str" cm="1">
        <f t="array" ref="D742">IFERROR(_xlfn.LET(
_xlpm.CSVVal,_xlfn.XLOOKUP($A742,CSV!$A:$A,CSV!D:D,""),
_xlpm.MacVal,_xlfn.XLOOKUP($A742,Output_Mac!$A:$A,Output_Mac!C:C,""),
_xlpm.MyAuditVal,_xlfn.XLOOKUP($A742,My_Audit!$A:$A,My_Audit!C:C,""),
_xlfn.IFS(_xlpm.MyAuditVal&lt;&gt;"",_xlpm.MyAuditVal,_xlpm.MacVal&lt;&gt;"",_xlpm.MacVal,_xlpm.CSVVal&lt;&gt;"",_xlpm.CSVVal
)),"")</f>
        <v/>
      </c>
      <c r="E742" s="40" t="str">
        <f>_xlfn.XLOOKUP(A742,My_Audit!A:A,My_Audit!D:D,"")</f>
        <v/>
      </c>
      <c r="F742" s="40" t="str" cm="1">
        <f t="array" ref="F742">IFERROR(_xlfn.LET(
_xlpm.CSVVal,_xlfn.XLOOKUP($A742,CSV!$A:$A,CSV!F:F,""),
_xlpm.MacVal,_xlfn.XLOOKUP($A742,Output_Mac!$A:$A,Output_Mac!E:E,""),
_xlpm.MyAuditVal,_xlfn.XLOOKUP($A742,My_Audit!$A:$A,My_Audit!E:E,""),
_xlfn.IFS(_xlpm.MyAuditVal&lt;&gt;"",_xlpm.MyAuditVal,_xlpm.MacVal&lt;&gt;"",_xlpm.MacVal,_xlpm.CSVVal&lt;&gt;"",_xlpm.CSVVal
)),"")</f>
        <v/>
      </c>
      <c r="G742" s="40" t="str" cm="1">
        <f t="array" ref="G742">IFERROR(_xlfn.LET(
_xlpm.CSVVal,_xlfn.XLOOKUP($A742,CSV!$A:$A,CSV!G:G,""),
_xlpm.MacVal,_xlfn.XLOOKUP($A742,Output_Mac!$A:$A,Output_Mac!F:F,""),
_xlpm.MyAuditVal,_xlfn.XLOOKUP($A742,My_Audit!$A:$A,My_Audit!F:F,""),
_xlfn.IFS(_xlpm.MyAuditVal&lt;&gt;"",_xlpm.MyAuditVal,_xlpm.MacVal&lt;&gt;"",_xlpm.MacVal,_xlpm.CSVVal&lt;&gt;"",PROPER(_xlpm.CSVVal)
)),"")</f>
        <v/>
      </c>
      <c r="H742" s="40" t="str" cm="1">
        <f t="array" ref="H742">IFERROR(_xlfn.LET(
_xlpm.CSVVal,_xlfn.XLOOKUP($A742,CSV!$A:$A,CSV!H:H,""),
_xlpm.MacVal,_xlfn.XLOOKUP($A742,Output_Mac!$A:$A,Output_Mac!H:H,""),
_xlpm.MyAuditVal,_xlfn.XLOOKUP($A742,My_Audit!$A:$A,My_Audit!G:G,""),
_xlfn.IFS(_xlpm.MyAuditVal&lt;&gt;"",_xlpm.MyAuditVal,_xlpm.MacVal&lt;&gt;"",_xlpm.MacVal,_xlpm.CSVVal&lt;&gt;"",_xlpm.CSVVal
)),"")</f>
        <v/>
      </c>
      <c r="I742" s="40" t="str">
        <f>_xlfn.XLOOKUP(A742,Output_Mac!A:A,Output_Mac!I:I,"")</f>
        <v/>
      </c>
      <c r="J742" s="40" t="str" cm="1">
        <f t="array" ref="J742">IFERROR(_xlfn.LET(
_xlpm.CSVVal,_xlfn.XLOOKUP($A742,CSV!$A:$A,CSV!I:I,""),
_xlpm.MacVal,_xlfn.XLOOKUP($A742,Output_Mac!$A:$A,Output_Mac!J:J,""),
_xlpm.MyAuditVal,_xlfn.XLOOKUP($A742,My_Audit!$A:$A,My_Audit!I:I,""),
_xlfn.IFS(_xlpm.MyAuditVal&lt;&gt;"",UPPER(_xlpm.MyAuditVal),_xlpm.MacVal&lt;&gt;"",_xlpm.MacVal,_xlpm.CSVVal&lt;&gt;"",_xlpm.CSVVal
)),"")</f>
        <v/>
      </c>
      <c r="K742" s="40" t="str" cm="1">
        <f t="array" ref="K742">IFERROR(_xlfn.LET(
_xlpm.CSVVal,_xlfn.XLOOKUP($A742,CSV!$A:$A,CSV!K:K,""),
_xlpm.MacVal,_xlfn.XLOOKUP($A742,Output_Mac!$A:$A,Output_Mac!K:K,""),
_xlpm.MyAuditVal,_xlfn.XLOOKUP($A742,My_Audit!$A:$A,My_Audit!J:J,""),
_xlfn.IFS(_xlpm.MyAuditVal&lt;&gt;"",UPPER(_xlpm.MyAuditVal),_xlpm.MacVal&lt;&gt;"",_xlpm.MacVal,_xlpm.CSVVal&lt;&gt;"",_xlpm.CSVVal
)),"")</f>
        <v/>
      </c>
      <c r="L742" s="40" t="str" cm="1">
        <f t="array" ref="L742">IFERROR(_xlfn.LET(
_xlpm.CSVVal,_xlfn.XLOOKUP($A742,CSV!$A:$A,CSV!P:P,""),
_xlpm.MacVal,_xlfn.XLOOKUP($A742,Output_Mac!$A:$A,Output_Mac!L:L,""),
_xlpm.MyAuditVal,_xlfn.XLOOKUP($A742,My_Audit!$A:$A,My_Audit!K:K,""),
_xlfn.IFS(_xlpm.MyAuditVal&lt;&gt;"",UPPER(_xlpm.MyAuditVal),_xlpm.MacVal&lt;&gt;"",_xlpm.MacVal,_xlpm.CSVVal&lt;&gt;"",_xlpm.CSVVal
)),"")</f>
        <v/>
      </c>
      <c r="M742" s="40" t="str" cm="1">
        <f t="array" ref="M742">IFERROR(_xlfn.LET(
_xlpm.CSVVal,_xlfn.XLOOKUP($A742,CSV!$A:$A,CSV!Q:Q,""),
_xlpm.MacVal,_xlfn.XLOOKUP($A742,Output_Mac!$A:$A,Output_Mac!M:M,""),
_xlpm.MyAuditVal,_xlfn.XLOOKUP($A742,My_Audit!$A:$A,My_Audit!L:L,""),
_xlfn.IFS(_xlpm.MyAuditVal&lt;&gt;"",UPPER(_xlpm.MyAuditVal),_xlpm.MacVal&lt;&gt;"",_xlpm.MacVal,_xlpm.CSVVal&lt;&gt;"",_xlpm.CSVVal
)),"")</f>
        <v/>
      </c>
      <c r="N742" s="40"/>
      <c r="O742" s="40" t="str">
        <f>_xlfn.LET(
    _xlpm.CSVVal, _xlfn.XLOOKUP($A742, CSV!$A:$A, CSV!AA:AA, ""),
    _xlpm.MacVal, _xlfn.XLOOKUP($A742, Output_Mac!$A:$A, Output_Mac!S:S, ""),
    _xlpm.MyAuditVal, _xlfn.XLOOKUP($A742, My_Audit!$A:$A, My_Audit!P:P, ""),
    _xlfn.TEXTJOIN(", ", TRUE, _xlpm.MyAuditVal, _xlpm.MacVal, _xlpm.CSVVal)
)</f>
        <v/>
      </c>
      <c r="P742" s="40" t="str" cm="1">
        <f t="array" ref="P742">IFERROR(_xlfn.LET(
_xlpm.CSVVal,_xlfn.XLOOKUP($A742,CSV!$A:$A,CSV!AB:AB,""),
_xlpm.MacVal,_xlfn.XLOOKUP($A742,Output_Mac!$A:$A,Output_Mac!T:T,""),
_xlpm.MyAuditVal,_xlfn.XLOOKUP($A742,My_Audit!$A:$A,My_Audit!Q:Q,""),
_xlfn.IFS(_xlpm.MyAuditVal&lt;&gt;"",UPPER(_xlpm.MyAuditVal),_xlpm.MacVal&lt;&gt;"",_xlpm.MacVal,_xlpm.CSVVal&lt;&gt;"",_xlpm.CSVVal
)),"No")</f>
        <v>No</v>
      </c>
      <c r="Q742" s="40" t="str" cm="1">
        <f t="array" ref="Q742">IFERROR(_xlfn.LET(
_xlpm.CSVVal,_xlfn.XLOOKUP($A742,CSV!$A:$A,CSV!AC:AC,""),
_xlpm.MacVal,_xlfn.XLOOKUP($A742,Output_Mac!$A:$A,Output_Mac!U:U,""),
_xlpm.MyAuditVal,_xlfn.XLOOKUP($A742,My_Audit!$A:$A,My_Audit!R:R,""),
_xlfn.IFS(_xlpm.MyAuditVal&lt;&gt;"",UPPER(_xlpm.MyAuditVal),_xlpm.MacVal&lt;&gt;"",_xlpm.MacVal,_xlpm.CSVVal&lt;&gt;"",_xlpm.CSVVal
)),"")</f>
        <v/>
      </c>
      <c r="R742" s="40"/>
      <c r="S742" s="40"/>
      <c r="T742" s="40"/>
      <c r="U742" s="40"/>
      <c r="V742" s="40"/>
      <c r="W742" s="40"/>
      <c r="X742" s="41" t="str">
        <f>_xlfn.LET(
    _xlpm.MacVal, _xlfn.XLOOKUP($A742, Output_Mac!$A:$A, Output_Mac!AB:AB, ""),
    _xlpm.MyAuditVal, _xlfn.XLOOKUP($A742, My_Audit!$A:$A, My_Audit!N:N, ""),
    _xlfn.TEXTJOIN(", ", TRUE, _xlpm.MyAuditVal, _xlpm.MacVal)
)</f>
        <v/>
      </c>
    </row>
    <row r="743" spans="1:24">
      <c r="A743" s="40" t="str">
        <f>_xlfn.TEXTJOIN("",TRUE,Input!$B$2,ROW(My_Audit!A742))</f>
        <v>X742</v>
      </c>
      <c r="B743" s="40" t="str">
        <f>_xlfn.TEXTJOIN("-",TRUE,"ITD",Input!$A$2,A743)</f>
        <v>ITD-X742</v>
      </c>
      <c r="C743" s="40" t="str" cm="1">
        <f t="array" ref="C743">IFERROR(_xlfn.LET(
_xlpm.CSVVal,_xlfn.XLOOKUP($A743,CSV!$A:$A,CSV!B:B,""),
_xlpm.MacVal,_xlfn.XLOOKUP($A743,Output_Mac!$A:$A,Output_Mac!B:B,""),
_xlpm.MyAuditVal,_xlfn.XLOOKUP($A743,My_Audit!$A:$A,My_Audit!B:B,""),
_xlfn.IFS(_xlpm.MyAuditVal&lt;&gt;"",UPPER(_xlpm.MyAuditVal),_xlpm.MacVal&lt;&gt;"",_xlpm.MacVal,_xlpm.CSVVal&lt;&gt;"",_xlpm.CSVVal
)),"")</f>
        <v/>
      </c>
      <c r="D743" s="40" t="str" cm="1">
        <f t="array" ref="D743">IFERROR(_xlfn.LET(
_xlpm.CSVVal,_xlfn.XLOOKUP($A743,CSV!$A:$A,CSV!D:D,""),
_xlpm.MacVal,_xlfn.XLOOKUP($A743,Output_Mac!$A:$A,Output_Mac!C:C,""),
_xlpm.MyAuditVal,_xlfn.XLOOKUP($A743,My_Audit!$A:$A,My_Audit!C:C,""),
_xlfn.IFS(_xlpm.MyAuditVal&lt;&gt;"",_xlpm.MyAuditVal,_xlpm.MacVal&lt;&gt;"",_xlpm.MacVal,_xlpm.CSVVal&lt;&gt;"",_xlpm.CSVVal
)),"")</f>
        <v/>
      </c>
      <c r="E743" s="40" t="str">
        <f>_xlfn.XLOOKUP(A743,My_Audit!A:A,My_Audit!D:D,"")</f>
        <v/>
      </c>
      <c r="F743" s="40" t="str" cm="1">
        <f t="array" ref="F743">IFERROR(_xlfn.LET(
_xlpm.CSVVal,_xlfn.XLOOKUP($A743,CSV!$A:$A,CSV!F:F,""),
_xlpm.MacVal,_xlfn.XLOOKUP($A743,Output_Mac!$A:$A,Output_Mac!E:E,""),
_xlpm.MyAuditVal,_xlfn.XLOOKUP($A743,My_Audit!$A:$A,My_Audit!E:E,""),
_xlfn.IFS(_xlpm.MyAuditVal&lt;&gt;"",_xlpm.MyAuditVal,_xlpm.MacVal&lt;&gt;"",_xlpm.MacVal,_xlpm.CSVVal&lt;&gt;"",_xlpm.CSVVal
)),"")</f>
        <v/>
      </c>
      <c r="G743" s="40" t="str" cm="1">
        <f t="array" ref="G743">IFERROR(_xlfn.LET(
_xlpm.CSVVal,_xlfn.XLOOKUP($A743,CSV!$A:$A,CSV!G:G,""),
_xlpm.MacVal,_xlfn.XLOOKUP($A743,Output_Mac!$A:$A,Output_Mac!F:F,""),
_xlpm.MyAuditVal,_xlfn.XLOOKUP($A743,My_Audit!$A:$A,My_Audit!F:F,""),
_xlfn.IFS(_xlpm.MyAuditVal&lt;&gt;"",_xlpm.MyAuditVal,_xlpm.MacVal&lt;&gt;"",_xlpm.MacVal,_xlpm.CSVVal&lt;&gt;"",PROPER(_xlpm.CSVVal)
)),"")</f>
        <v/>
      </c>
      <c r="H743" s="40" t="str" cm="1">
        <f t="array" ref="H743">IFERROR(_xlfn.LET(
_xlpm.CSVVal,_xlfn.XLOOKUP($A743,CSV!$A:$A,CSV!H:H,""),
_xlpm.MacVal,_xlfn.XLOOKUP($A743,Output_Mac!$A:$A,Output_Mac!H:H,""),
_xlpm.MyAuditVal,_xlfn.XLOOKUP($A743,My_Audit!$A:$A,My_Audit!G:G,""),
_xlfn.IFS(_xlpm.MyAuditVal&lt;&gt;"",_xlpm.MyAuditVal,_xlpm.MacVal&lt;&gt;"",_xlpm.MacVal,_xlpm.CSVVal&lt;&gt;"",_xlpm.CSVVal
)),"")</f>
        <v/>
      </c>
      <c r="I743" s="40" t="str">
        <f>_xlfn.XLOOKUP(A743,Output_Mac!A:A,Output_Mac!I:I,"")</f>
        <v/>
      </c>
      <c r="J743" s="40" t="str" cm="1">
        <f t="array" ref="J743">IFERROR(_xlfn.LET(
_xlpm.CSVVal,_xlfn.XLOOKUP($A743,CSV!$A:$A,CSV!I:I,""),
_xlpm.MacVal,_xlfn.XLOOKUP($A743,Output_Mac!$A:$A,Output_Mac!J:J,""),
_xlpm.MyAuditVal,_xlfn.XLOOKUP($A743,My_Audit!$A:$A,My_Audit!I:I,""),
_xlfn.IFS(_xlpm.MyAuditVal&lt;&gt;"",UPPER(_xlpm.MyAuditVal),_xlpm.MacVal&lt;&gt;"",_xlpm.MacVal,_xlpm.CSVVal&lt;&gt;"",_xlpm.CSVVal
)),"")</f>
        <v/>
      </c>
      <c r="K743" s="40" t="str" cm="1">
        <f t="array" ref="K743">IFERROR(_xlfn.LET(
_xlpm.CSVVal,_xlfn.XLOOKUP($A743,CSV!$A:$A,CSV!K:K,""),
_xlpm.MacVal,_xlfn.XLOOKUP($A743,Output_Mac!$A:$A,Output_Mac!K:K,""),
_xlpm.MyAuditVal,_xlfn.XLOOKUP($A743,My_Audit!$A:$A,My_Audit!J:J,""),
_xlfn.IFS(_xlpm.MyAuditVal&lt;&gt;"",UPPER(_xlpm.MyAuditVal),_xlpm.MacVal&lt;&gt;"",_xlpm.MacVal,_xlpm.CSVVal&lt;&gt;"",_xlpm.CSVVal
)),"")</f>
        <v/>
      </c>
      <c r="L743" s="40" t="str" cm="1">
        <f t="array" ref="L743">IFERROR(_xlfn.LET(
_xlpm.CSVVal,_xlfn.XLOOKUP($A743,CSV!$A:$A,CSV!P:P,""),
_xlpm.MacVal,_xlfn.XLOOKUP($A743,Output_Mac!$A:$A,Output_Mac!L:L,""),
_xlpm.MyAuditVal,_xlfn.XLOOKUP($A743,My_Audit!$A:$A,My_Audit!K:K,""),
_xlfn.IFS(_xlpm.MyAuditVal&lt;&gt;"",UPPER(_xlpm.MyAuditVal),_xlpm.MacVal&lt;&gt;"",_xlpm.MacVal,_xlpm.CSVVal&lt;&gt;"",_xlpm.CSVVal
)),"")</f>
        <v/>
      </c>
      <c r="M743" s="40" t="str" cm="1">
        <f t="array" ref="M743">IFERROR(_xlfn.LET(
_xlpm.CSVVal,_xlfn.XLOOKUP($A743,CSV!$A:$A,CSV!Q:Q,""),
_xlpm.MacVal,_xlfn.XLOOKUP($A743,Output_Mac!$A:$A,Output_Mac!M:M,""),
_xlpm.MyAuditVal,_xlfn.XLOOKUP($A743,My_Audit!$A:$A,My_Audit!L:L,""),
_xlfn.IFS(_xlpm.MyAuditVal&lt;&gt;"",UPPER(_xlpm.MyAuditVal),_xlpm.MacVal&lt;&gt;"",_xlpm.MacVal,_xlpm.CSVVal&lt;&gt;"",_xlpm.CSVVal
)),"")</f>
        <v/>
      </c>
      <c r="N743" s="40"/>
      <c r="O743" s="40" t="str">
        <f>_xlfn.LET(
    _xlpm.CSVVal, _xlfn.XLOOKUP($A743, CSV!$A:$A, CSV!AA:AA, ""),
    _xlpm.MacVal, _xlfn.XLOOKUP($A743, Output_Mac!$A:$A, Output_Mac!S:S, ""),
    _xlpm.MyAuditVal, _xlfn.XLOOKUP($A743, My_Audit!$A:$A, My_Audit!P:P, ""),
    _xlfn.TEXTJOIN(", ", TRUE, _xlpm.MyAuditVal, _xlpm.MacVal, _xlpm.CSVVal)
)</f>
        <v/>
      </c>
      <c r="P743" s="40" t="str" cm="1">
        <f t="array" ref="P743">IFERROR(_xlfn.LET(
_xlpm.CSVVal,_xlfn.XLOOKUP($A743,CSV!$A:$A,CSV!AB:AB,""),
_xlpm.MacVal,_xlfn.XLOOKUP($A743,Output_Mac!$A:$A,Output_Mac!T:T,""),
_xlpm.MyAuditVal,_xlfn.XLOOKUP($A743,My_Audit!$A:$A,My_Audit!Q:Q,""),
_xlfn.IFS(_xlpm.MyAuditVal&lt;&gt;"",UPPER(_xlpm.MyAuditVal),_xlpm.MacVal&lt;&gt;"",_xlpm.MacVal,_xlpm.CSVVal&lt;&gt;"",_xlpm.CSVVal
)),"No")</f>
        <v>No</v>
      </c>
      <c r="Q743" s="40" t="str" cm="1">
        <f t="array" ref="Q743">IFERROR(_xlfn.LET(
_xlpm.CSVVal,_xlfn.XLOOKUP($A743,CSV!$A:$A,CSV!AC:AC,""),
_xlpm.MacVal,_xlfn.XLOOKUP($A743,Output_Mac!$A:$A,Output_Mac!U:U,""),
_xlpm.MyAuditVal,_xlfn.XLOOKUP($A743,My_Audit!$A:$A,My_Audit!R:R,""),
_xlfn.IFS(_xlpm.MyAuditVal&lt;&gt;"",UPPER(_xlpm.MyAuditVal),_xlpm.MacVal&lt;&gt;"",_xlpm.MacVal,_xlpm.CSVVal&lt;&gt;"",_xlpm.CSVVal
)),"")</f>
        <v/>
      </c>
      <c r="R743" s="40"/>
      <c r="S743" s="40"/>
      <c r="T743" s="40"/>
      <c r="U743" s="40"/>
      <c r="V743" s="40"/>
      <c r="W743" s="40"/>
      <c r="X743" s="41" t="str">
        <f>_xlfn.LET(
    _xlpm.MacVal, _xlfn.XLOOKUP($A743, Output_Mac!$A:$A, Output_Mac!AB:AB, ""),
    _xlpm.MyAuditVal, _xlfn.XLOOKUP($A743, My_Audit!$A:$A, My_Audit!N:N, ""),
    _xlfn.TEXTJOIN(", ", TRUE, _xlpm.MyAuditVal, _xlpm.MacVal)
)</f>
        <v/>
      </c>
    </row>
    <row r="744" spans="1:24">
      <c r="A744" s="40" t="str">
        <f>_xlfn.TEXTJOIN("",TRUE,Input!$B$2,ROW(My_Audit!A743))</f>
        <v>X743</v>
      </c>
      <c r="B744" s="40" t="str">
        <f>_xlfn.TEXTJOIN("-",TRUE,"ITD",Input!$A$2,A744)</f>
        <v>ITD-X743</v>
      </c>
      <c r="C744" s="40" t="str" cm="1">
        <f t="array" ref="C744">IFERROR(_xlfn.LET(
_xlpm.CSVVal,_xlfn.XLOOKUP($A744,CSV!$A:$A,CSV!B:B,""),
_xlpm.MacVal,_xlfn.XLOOKUP($A744,Output_Mac!$A:$A,Output_Mac!B:B,""),
_xlpm.MyAuditVal,_xlfn.XLOOKUP($A744,My_Audit!$A:$A,My_Audit!B:B,""),
_xlfn.IFS(_xlpm.MyAuditVal&lt;&gt;"",UPPER(_xlpm.MyAuditVal),_xlpm.MacVal&lt;&gt;"",_xlpm.MacVal,_xlpm.CSVVal&lt;&gt;"",_xlpm.CSVVal
)),"")</f>
        <v/>
      </c>
      <c r="D744" s="40" t="str" cm="1">
        <f t="array" ref="D744">IFERROR(_xlfn.LET(
_xlpm.CSVVal,_xlfn.XLOOKUP($A744,CSV!$A:$A,CSV!D:D,""),
_xlpm.MacVal,_xlfn.XLOOKUP($A744,Output_Mac!$A:$A,Output_Mac!C:C,""),
_xlpm.MyAuditVal,_xlfn.XLOOKUP($A744,My_Audit!$A:$A,My_Audit!C:C,""),
_xlfn.IFS(_xlpm.MyAuditVal&lt;&gt;"",_xlpm.MyAuditVal,_xlpm.MacVal&lt;&gt;"",_xlpm.MacVal,_xlpm.CSVVal&lt;&gt;"",_xlpm.CSVVal
)),"")</f>
        <v/>
      </c>
      <c r="E744" s="40" t="str">
        <f>_xlfn.XLOOKUP(A744,My_Audit!A:A,My_Audit!D:D,"")</f>
        <v/>
      </c>
      <c r="F744" s="40" t="str" cm="1">
        <f t="array" ref="F744">IFERROR(_xlfn.LET(
_xlpm.CSVVal,_xlfn.XLOOKUP($A744,CSV!$A:$A,CSV!F:F,""),
_xlpm.MacVal,_xlfn.XLOOKUP($A744,Output_Mac!$A:$A,Output_Mac!E:E,""),
_xlpm.MyAuditVal,_xlfn.XLOOKUP($A744,My_Audit!$A:$A,My_Audit!E:E,""),
_xlfn.IFS(_xlpm.MyAuditVal&lt;&gt;"",_xlpm.MyAuditVal,_xlpm.MacVal&lt;&gt;"",_xlpm.MacVal,_xlpm.CSVVal&lt;&gt;"",_xlpm.CSVVal
)),"")</f>
        <v/>
      </c>
      <c r="G744" s="40" t="str" cm="1">
        <f t="array" ref="G744">IFERROR(_xlfn.LET(
_xlpm.CSVVal,_xlfn.XLOOKUP($A744,CSV!$A:$A,CSV!G:G,""),
_xlpm.MacVal,_xlfn.XLOOKUP($A744,Output_Mac!$A:$A,Output_Mac!F:F,""),
_xlpm.MyAuditVal,_xlfn.XLOOKUP($A744,My_Audit!$A:$A,My_Audit!F:F,""),
_xlfn.IFS(_xlpm.MyAuditVal&lt;&gt;"",_xlpm.MyAuditVal,_xlpm.MacVal&lt;&gt;"",_xlpm.MacVal,_xlpm.CSVVal&lt;&gt;"",PROPER(_xlpm.CSVVal)
)),"")</f>
        <v/>
      </c>
      <c r="H744" s="40" t="str" cm="1">
        <f t="array" ref="H744">IFERROR(_xlfn.LET(
_xlpm.CSVVal,_xlfn.XLOOKUP($A744,CSV!$A:$A,CSV!H:H,""),
_xlpm.MacVal,_xlfn.XLOOKUP($A744,Output_Mac!$A:$A,Output_Mac!H:H,""),
_xlpm.MyAuditVal,_xlfn.XLOOKUP($A744,My_Audit!$A:$A,My_Audit!G:G,""),
_xlfn.IFS(_xlpm.MyAuditVal&lt;&gt;"",_xlpm.MyAuditVal,_xlpm.MacVal&lt;&gt;"",_xlpm.MacVal,_xlpm.CSVVal&lt;&gt;"",_xlpm.CSVVal
)),"")</f>
        <v/>
      </c>
      <c r="I744" s="40" t="str">
        <f>_xlfn.XLOOKUP(A744,Output_Mac!A:A,Output_Mac!I:I,"")</f>
        <v/>
      </c>
      <c r="J744" s="40" t="str" cm="1">
        <f t="array" ref="J744">IFERROR(_xlfn.LET(
_xlpm.CSVVal,_xlfn.XLOOKUP($A744,CSV!$A:$A,CSV!I:I,""),
_xlpm.MacVal,_xlfn.XLOOKUP($A744,Output_Mac!$A:$A,Output_Mac!J:J,""),
_xlpm.MyAuditVal,_xlfn.XLOOKUP($A744,My_Audit!$A:$A,My_Audit!I:I,""),
_xlfn.IFS(_xlpm.MyAuditVal&lt;&gt;"",UPPER(_xlpm.MyAuditVal),_xlpm.MacVal&lt;&gt;"",_xlpm.MacVal,_xlpm.CSVVal&lt;&gt;"",_xlpm.CSVVal
)),"")</f>
        <v/>
      </c>
      <c r="K744" s="40" t="str" cm="1">
        <f t="array" ref="K744">IFERROR(_xlfn.LET(
_xlpm.CSVVal,_xlfn.XLOOKUP($A744,CSV!$A:$A,CSV!K:K,""),
_xlpm.MacVal,_xlfn.XLOOKUP($A744,Output_Mac!$A:$A,Output_Mac!K:K,""),
_xlpm.MyAuditVal,_xlfn.XLOOKUP($A744,My_Audit!$A:$A,My_Audit!J:J,""),
_xlfn.IFS(_xlpm.MyAuditVal&lt;&gt;"",UPPER(_xlpm.MyAuditVal),_xlpm.MacVal&lt;&gt;"",_xlpm.MacVal,_xlpm.CSVVal&lt;&gt;"",_xlpm.CSVVal
)),"")</f>
        <v/>
      </c>
      <c r="L744" s="40" t="str" cm="1">
        <f t="array" ref="L744">IFERROR(_xlfn.LET(
_xlpm.CSVVal,_xlfn.XLOOKUP($A744,CSV!$A:$A,CSV!P:P,""),
_xlpm.MacVal,_xlfn.XLOOKUP($A744,Output_Mac!$A:$A,Output_Mac!L:L,""),
_xlpm.MyAuditVal,_xlfn.XLOOKUP($A744,My_Audit!$A:$A,My_Audit!K:K,""),
_xlfn.IFS(_xlpm.MyAuditVal&lt;&gt;"",UPPER(_xlpm.MyAuditVal),_xlpm.MacVal&lt;&gt;"",_xlpm.MacVal,_xlpm.CSVVal&lt;&gt;"",_xlpm.CSVVal
)),"")</f>
        <v/>
      </c>
      <c r="M744" s="40" t="str" cm="1">
        <f t="array" ref="M744">IFERROR(_xlfn.LET(
_xlpm.CSVVal,_xlfn.XLOOKUP($A744,CSV!$A:$A,CSV!Q:Q,""),
_xlpm.MacVal,_xlfn.XLOOKUP($A744,Output_Mac!$A:$A,Output_Mac!M:M,""),
_xlpm.MyAuditVal,_xlfn.XLOOKUP($A744,My_Audit!$A:$A,My_Audit!L:L,""),
_xlfn.IFS(_xlpm.MyAuditVal&lt;&gt;"",UPPER(_xlpm.MyAuditVal),_xlpm.MacVal&lt;&gt;"",_xlpm.MacVal,_xlpm.CSVVal&lt;&gt;"",_xlpm.CSVVal
)),"")</f>
        <v/>
      </c>
      <c r="N744" s="40"/>
      <c r="O744" s="40" t="str">
        <f>_xlfn.LET(
    _xlpm.CSVVal, _xlfn.XLOOKUP($A744, CSV!$A:$A, CSV!AA:AA, ""),
    _xlpm.MacVal, _xlfn.XLOOKUP($A744, Output_Mac!$A:$A, Output_Mac!S:S, ""),
    _xlpm.MyAuditVal, _xlfn.XLOOKUP($A744, My_Audit!$A:$A, My_Audit!P:P, ""),
    _xlfn.TEXTJOIN(", ", TRUE, _xlpm.MyAuditVal, _xlpm.MacVal, _xlpm.CSVVal)
)</f>
        <v/>
      </c>
      <c r="P744" s="40" t="str" cm="1">
        <f t="array" ref="P744">IFERROR(_xlfn.LET(
_xlpm.CSVVal,_xlfn.XLOOKUP($A744,CSV!$A:$A,CSV!AB:AB,""),
_xlpm.MacVal,_xlfn.XLOOKUP($A744,Output_Mac!$A:$A,Output_Mac!T:T,""),
_xlpm.MyAuditVal,_xlfn.XLOOKUP($A744,My_Audit!$A:$A,My_Audit!Q:Q,""),
_xlfn.IFS(_xlpm.MyAuditVal&lt;&gt;"",UPPER(_xlpm.MyAuditVal),_xlpm.MacVal&lt;&gt;"",_xlpm.MacVal,_xlpm.CSVVal&lt;&gt;"",_xlpm.CSVVal
)),"No")</f>
        <v>No</v>
      </c>
      <c r="Q744" s="40" t="str" cm="1">
        <f t="array" ref="Q744">IFERROR(_xlfn.LET(
_xlpm.CSVVal,_xlfn.XLOOKUP($A744,CSV!$A:$A,CSV!AC:AC,""),
_xlpm.MacVal,_xlfn.XLOOKUP($A744,Output_Mac!$A:$A,Output_Mac!U:U,""),
_xlpm.MyAuditVal,_xlfn.XLOOKUP($A744,My_Audit!$A:$A,My_Audit!R:R,""),
_xlfn.IFS(_xlpm.MyAuditVal&lt;&gt;"",UPPER(_xlpm.MyAuditVal),_xlpm.MacVal&lt;&gt;"",_xlpm.MacVal,_xlpm.CSVVal&lt;&gt;"",_xlpm.CSVVal
)),"")</f>
        <v/>
      </c>
      <c r="R744" s="40"/>
      <c r="S744" s="40"/>
      <c r="T744" s="40"/>
      <c r="U744" s="40"/>
      <c r="V744" s="40"/>
      <c r="W744" s="40"/>
      <c r="X744" s="41" t="str">
        <f>_xlfn.LET(
    _xlpm.MacVal, _xlfn.XLOOKUP($A744, Output_Mac!$A:$A, Output_Mac!AB:AB, ""),
    _xlpm.MyAuditVal, _xlfn.XLOOKUP($A744, My_Audit!$A:$A, My_Audit!N:N, ""),
    _xlfn.TEXTJOIN(", ", TRUE, _xlpm.MyAuditVal, _xlpm.MacVal)
)</f>
        <v/>
      </c>
    </row>
    <row r="745" spans="1:24">
      <c r="A745" s="40" t="str">
        <f>_xlfn.TEXTJOIN("",TRUE,Input!$B$2,ROW(My_Audit!A744))</f>
        <v>X744</v>
      </c>
      <c r="B745" s="40" t="str">
        <f>_xlfn.TEXTJOIN("-",TRUE,"ITD",Input!$A$2,A745)</f>
        <v>ITD-X744</v>
      </c>
      <c r="C745" s="40" t="str" cm="1">
        <f t="array" ref="C745">IFERROR(_xlfn.LET(
_xlpm.CSVVal,_xlfn.XLOOKUP($A745,CSV!$A:$A,CSV!B:B,""),
_xlpm.MacVal,_xlfn.XLOOKUP($A745,Output_Mac!$A:$A,Output_Mac!B:B,""),
_xlpm.MyAuditVal,_xlfn.XLOOKUP($A745,My_Audit!$A:$A,My_Audit!B:B,""),
_xlfn.IFS(_xlpm.MyAuditVal&lt;&gt;"",UPPER(_xlpm.MyAuditVal),_xlpm.MacVal&lt;&gt;"",_xlpm.MacVal,_xlpm.CSVVal&lt;&gt;"",_xlpm.CSVVal
)),"")</f>
        <v/>
      </c>
      <c r="D745" s="40" t="str" cm="1">
        <f t="array" ref="D745">IFERROR(_xlfn.LET(
_xlpm.CSVVal,_xlfn.XLOOKUP($A745,CSV!$A:$A,CSV!D:D,""),
_xlpm.MacVal,_xlfn.XLOOKUP($A745,Output_Mac!$A:$A,Output_Mac!C:C,""),
_xlpm.MyAuditVal,_xlfn.XLOOKUP($A745,My_Audit!$A:$A,My_Audit!C:C,""),
_xlfn.IFS(_xlpm.MyAuditVal&lt;&gt;"",_xlpm.MyAuditVal,_xlpm.MacVal&lt;&gt;"",_xlpm.MacVal,_xlpm.CSVVal&lt;&gt;"",_xlpm.CSVVal
)),"")</f>
        <v/>
      </c>
      <c r="E745" s="40" t="str">
        <f>_xlfn.XLOOKUP(A745,My_Audit!A:A,My_Audit!D:D,"")</f>
        <v/>
      </c>
      <c r="F745" s="40" t="str" cm="1">
        <f t="array" ref="F745">IFERROR(_xlfn.LET(
_xlpm.CSVVal,_xlfn.XLOOKUP($A745,CSV!$A:$A,CSV!F:F,""),
_xlpm.MacVal,_xlfn.XLOOKUP($A745,Output_Mac!$A:$A,Output_Mac!E:E,""),
_xlpm.MyAuditVal,_xlfn.XLOOKUP($A745,My_Audit!$A:$A,My_Audit!E:E,""),
_xlfn.IFS(_xlpm.MyAuditVal&lt;&gt;"",_xlpm.MyAuditVal,_xlpm.MacVal&lt;&gt;"",_xlpm.MacVal,_xlpm.CSVVal&lt;&gt;"",_xlpm.CSVVal
)),"")</f>
        <v/>
      </c>
      <c r="G745" s="40" t="str" cm="1">
        <f t="array" ref="G745">IFERROR(_xlfn.LET(
_xlpm.CSVVal,_xlfn.XLOOKUP($A745,CSV!$A:$A,CSV!G:G,""),
_xlpm.MacVal,_xlfn.XLOOKUP($A745,Output_Mac!$A:$A,Output_Mac!F:F,""),
_xlpm.MyAuditVal,_xlfn.XLOOKUP($A745,My_Audit!$A:$A,My_Audit!F:F,""),
_xlfn.IFS(_xlpm.MyAuditVal&lt;&gt;"",_xlpm.MyAuditVal,_xlpm.MacVal&lt;&gt;"",_xlpm.MacVal,_xlpm.CSVVal&lt;&gt;"",PROPER(_xlpm.CSVVal)
)),"")</f>
        <v/>
      </c>
      <c r="H745" s="40" t="str" cm="1">
        <f t="array" ref="H745">IFERROR(_xlfn.LET(
_xlpm.CSVVal,_xlfn.XLOOKUP($A745,CSV!$A:$A,CSV!H:H,""),
_xlpm.MacVal,_xlfn.XLOOKUP($A745,Output_Mac!$A:$A,Output_Mac!H:H,""),
_xlpm.MyAuditVal,_xlfn.XLOOKUP($A745,My_Audit!$A:$A,My_Audit!G:G,""),
_xlfn.IFS(_xlpm.MyAuditVal&lt;&gt;"",_xlpm.MyAuditVal,_xlpm.MacVal&lt;&gt;"",_xlpm.MacVal,_xlpm.CSVVal&lt;&gt;"",_xlpm.CSVVal
)),"")</f>
        <v/>
      </c>
      <c r="I745" s="40" t="str">
        <f>_xlfn.XLOOKUP(A745,Output_Mac!A:A,Output_Mac!I:I,"")</f>
        <v/>
      </c>
      <c r="J745" s="40" t="str" cm="1">
        <f t="array" ref="J745">IFERROR(_xlfn.LET(
_xlpm.CSVVal,_xlfn.XLOOKUP($A745,CSV!$A:$A,CSV!I:I,""),
_xlpm.MacVal,_xlfn.XLOOKUP($A745,Output_Mac!$A:$A,Output_Mac!J:J,""),
_xlpm.MyAuditVal,_xlfn.XLOOKUP($A745,My_Audit!$A:$A,My_Audit!I:I,""),
_xlfn.IFS(_xlpm.MyAuditVal&lt;&gt;"",UPPER(_xlpm.MyAuditVal),_xlpm.MacVal&lt;&gt;"",_xlpm.MacVal,_xlpm.CSVVal&lt;&gt;"",_xlpm.CSVVal
)),"")</f>
        <v/>
      </c>
      <c r="K745" s="40" t="str" cm="1">
        <f t="array" ref="K745">IFERROR(_xlfn.LET(
_xlpm.CSVVal,_xlfn.XLOOKUP($A745,CSV!$A:$A,CSV!K:K,""),
_xlpm.MacVal,_xlfn.XLOOKUP($A745,Output_Mac!$A:$A,Output_Mac!K:K,""),
_xlpm.MyAuditVal,_xlfn.XLOOKUP($A745,My_Audit!$A:$A,My_Audit!J:J,""),
_xlfn.IFS(_xlpm.MyAuditVal&lt;&gt;"",UPPER(_xlpm.MyAuditVal),_xlpm.MacVal&lt;&gt;"",_xlpm.MacVal,_xlpm.CSVVal&lt;&gt;"",_xlpm.CSVVal
)),"")</f>
        <v/>
      </c>
      <c r="L745" s="40" t="str" cm="1">
        <f t="array" ref="L745">IFERROR(_xlfn.LET(
_xlpm.CSVVal,_xlfn.XLOOKUP($A745,CSV!$A:$A,CSV!P:P,""),
_xlpm.MacVal,_xlfn.XLOOKUP($A745,Output_Mac!$A:$A,Output_Mac!L:L,""),
_xlpm.MyAuditVal,_xlfn.XLOOKUP($A745,My_Audit!$A:$A,My_Audit!K:K,""),
_xlfn.IFS(_xlpm.MyAuditVal&lt;&gt;"",UPPER(_xlpm.MyAuditVal),_xlpm.MacVal&lt;&gt;"",_xlpm.MacVal,_xlpm.CSVVal&lt;&gt;"",_xlpm.CSVVal
)),"")</f>
        <v/>
      </c>
      <c r="M745" s="40" t="str" cm="1">
        <f t="array" ref="M745">IFERROR(_xlfn.LET(
_xlpm.CSVVal,_xlfn.XLOOKUP($A745,CSV!$A:$A,CSV!Q:Q,""),
_xlpm.MacVal,_xlfn.XLOOKUP($A745,Output_Mac!$A:$A,Output_Mac!M:M,""),
_xlpm.MyAuditVal,_xlfn.XLOOKUP($A745,My_Audit!$A:$A,My_Audit!L:L,""),
_xlfn.IFS(_xlpm.MyAuditVal&lt;&gt;"",UPPER(_xlpm.MyAuditVal),_xlpm.MacVal&lt;&gt;"",_xlpm.MacVal,_xlpm.CSVVal&lt;&gt;"",_xlpm.CSVVal
)),"")</f>
        <v/>
      </c>
      <c r="N745" s="40"/>
      <c r="O745" s="40" t="str">
        <f>_xlfn.LET(
    _xlpm.CSVVal, _xlfn.XLOOKUP($A745, CSV!$A:$A, CSV!AA:AA, ""),
    _xlpm.MacVal, _xlfn.XLOOKUP($A745, Output_Mac!$A:$A, Output_Mac!S:S, ""),
    _xlpm.MyAuditVal, _xlfn.XLOOKUP($A745, My_Audit!$A:$A, My_Audit!P:P, ""),
    _xlfn.TEXTJOIN(", ", TRUE, _xlpm.MyAuditVal, _xlpm.MacVal, _xlpm.CSVVal)
)</f>
        <v/>
      </c>
      <c r="P745" s="40" t="str" cm="1">
        <f t="array" ref="P745">IFERROR(_xlfn.LET(
_xlpm.CSVVal,_xlfn.XLOOKUP($A745,CSV!$A:$A,CSV!AB:AB,""),
_xlpm.MacVal,_xlfn.XLOOKUP($A745,Output_Mac!$A:$A,Output_Mac!T:T,""),
_xlpm.MyAuditVal,_xlfn.XLOOKUP($A745,My_Audit!$A:$A,My_Audit!Q:Q,""),
_xlfn.IFS(_xlpm.MyAuditVal&lt;&gt;"",UPPER(_xlpm.MyAuditVal),_xlpm.MacVal&lt;&gt;"",_xlpm.MacVal,_xlpm.CSVVal&lt;&gt;"",_xlpm.CSVVal
)),"No")</f>
        <v>No</v>
      </c>
      <c r="Q745" s="40" t="str" cm="1">
        <f t="array" ref="Q745">IFERROR(_xlfn.LET(
_xlpm.CSVVal,_xlfn.XLOOKUP($A745,CSV!$A:$A,CSV!AC:AC,""),
_xlpm.MacVal,_xlfn.XLOOKUP($A745,Output_Mac!$A:$A,Output_Mac!U:U,""),
_xlpm.MyAuditVal,_xlfn.XLOOKUP($A745,My_Audit!$A:$A,My_Audit!R:R,""),
_xlfn.IFS(_xlpm.MyAuditVal&lt;&gt;"",UPPER(_xlpm.MyAuditVal),_xlpm.MacVal&lt;&gt;"",_xlpm.MacVal,_xlpm.CSVVal&lt;&gt;"",_xlpm.CSVVal
)),"")</f>
        <v/>
      </c>
      <c r="R745" s="40"/>
      <c r="S745" s="40"/>
      <c r="T745" s="40"/>
      <c r="U745" s="40"/>
      <c r="V745" s="40"/>
      <c r="W745" s="40"/>
      <c r="X745" s="41" t="str">
        <f>_xlfn.LET(
    _xlpm.MacVal, _xlfn.XLOOKUP($A745, Output_Mac!$A:$A, Output_Mac!AB:AB, ""),
    _xlpm.MyAuditVal, _xlfn.XLOOKUP($A745, My_Audit!$A:$A, My_Audit!N:N, ""),
    _xlfn.TEXTJOIN(", ", TRUE, _xlpm.MyAuditVal, _xlpm.MacVal)
)</f>
        <v/>
      </c>
    </row>
    <row r="746" spans="1:24">
      <c r="A746" s="40" t="str">
        <f>_xlfn.TEXTJOIN("",TRUE,Input!$B$2,ROW(My_Audit!A745))</f>
        <v>X745</v>
      </c>
      <c r="B746" s="40" t="str">
        <f>_xlfn.TEXTJOIN("-",TRUE,"ITD",Input!$A$2,A746)</f>
        <v>ITD-X745</v>
      </c>
      <c r="C746" s="40" t="str" cm="1">
        <f t="array" ref="C746">IFERROR(_xlfn.LET(
_xlpm.CSVVal,_xlfn.XLOOKUP($A746,CSV!$A:$A,CSV!B:B,""),
_xlpm.MacVal,_xlfn.XLOOKUP($A746,Output_Mac!$A:$A,Output_Mac!B:B,""),
_xlpm.MyAuditVal,_xlfn.XLOOKUP($A746,My_Audit!$A:$A,My_Audit!B:B,""),
_xlfn.IFS(_xlpm.MyAuditVal&lt;&gt;"",UPPER(_xlpm.MyAuditVal),_xlpm.MacVal&lt;&gt;"",_xlpm.MacVal,_xlpm.CSVVal&lt;&gt;"",_xlpm.CSVVal
)),"")</f>
        <v/>
      </c>
      <c r="D746" s="40" t="str" cm="1">
        <f t="array" ref="D746">IFERROR(_xlfn.LET(
_xlpm.CSVVal,_xlfn.XLOOKUP($A746,CSV!$A:$A,CSV!D:D,""),
_xlpm.MacVal,_xlfn.XLOOKUP($A746,Output_Mac!$A:$A,Output_Mac!C:C,""),
_xlpm.MyAuditVal,_xlfn.XLOOKUP($A746,My_Audit!$A:$A,My_Audit!C:C,""),
_xlfn.IFS(_xlpm.MyAuditVal&lt;&gt;"",_xlpm.MyAuditVal,_xlpm.MacVal&lt;&gt;"",_xlpm.MacVal,_xlpm.CSVVal&lt;&gt;"",_xlpm.CSVVal
)),"")</f>
        <v/>
      </c>
      <c r="E746" s="40" t="str">
        <f>_xlfn.XLOOKUP(A746,My_Audit!A:A,My_Audit!D:D,"")</f>
        <v/>
      </c>
      <c r="F746" s="40" t="str" cm="1">
        <f t="array" ref="F746">IFERROR(_xlfn.LET(
_xlpm.CSVVal,_xlfn.XLOOKUP($A746,CSV!$A:$A,CSV!F:F,""),
_xlpm.MacVal,_xlfn.XLOOKUP($A746,Output_Mac!$A:$A,Output_Mac!E:E,""),
_xlpm.MyAuditVal,_xlfn.XLOOKUP($A746,My_Audit!$A:$A,My_Audit!E:E,""),
_xlfn.IFS(_xlpm.MyAuditVal&lt;&gt;"",_xlpm.MyAuditVal,_xlpm.MacVal&lt;&gt;"",_xlpm.MacVal,_xlpm.CSVVal&lt;&gt;"",_xlpm.CSVVal
)),"")</f>
        <v/>
      </c>
      <c r="G746" s="40" t="str" cm="1">
        <f t="array" ref="G746">IFERROR(_xlfn.LET(
_xlpm.CSVVal,_xlfn.XLOOKUP($A746,CSV!$A:$A,CSV!G:G,""),
_xlpm.MacVal,_xlfn.XLOOKUP($A746,Output_Mac!$A:$A,Output_Mac!F:F,""),
_xlpm.MyAuditVal,_xlfn.XLOOKUP($A746,My_Audit!$A:$A,My_Audit!F:F,""),
_xlfn.IFS(_xlpm.MyAuditVal&lt;&gt;"",_xlpm.MyAuditVal,_xlpm.MacVal&lt;&gt;"",_xlpm.MacVal,_xlpm.CSVVal&lt;&gt;"",PROPER(_xlpm.CSVVal)
)),"")</f>
        <v/>
      </c>
      <c r="H746" s="40" t="str" cm="1">
        <f t="array" ref="H746">IFERROR(_xlfn.LET(
_xlpm.CSVVal,_xlfn.XLOOKUP($A746,CSV!$A:$A,CSV!H:H,""),
_xlpm.MacVal,_xlfn.XLOOKUP($A746,Output_Mac!$A:$A,Output_Mac!H:H,""),
_xlpm.MyAuditVal,_xlfn.XLOOKUP($A746,My_Audit!$A:$A,My_Audit!G:G,""),
_xlfn.IFS(_xlpm.MyAuditVal&lt;&gt;"",_xlpm.MyAuditVal,_xlpm.MacVal&lt;&gt;"",_xlpm.MacVal,_xlpm.CSVVal&lt;&gt;"",_xlpm.CSVVal
)),"")</f>
        <v/>
      </c>
      <c r="I746" s="40" t="str">
        <f>_xlfn.XLOOKUP(A746,Output_Mac!A:A,Output_Mac!I:I,"")</f>
        <v/>
      </c>
      <c r="J746" s="40" t="str" cm="1">
        <f t="array" ref="J746">IFERROR(_xlfn.LET(
_xlpm.CSVVal,_xlfn.XLOOKUP($A746,CSV!$A:$A,CSV!I:I,""),
_xlpm.MacVal,_xlfn.XLOOKUP($A746,Output_Mac!$A:$A,Output_Mac!J:J,""),
_xlpm.MyAuditVal,_xlfn.XLOOKUP($A746,My_Audit!$A:$A,My_Audit!I:I,""),
_xlfn.IFS(_xlpm.MyAuditVal&lt;&gt;"",UPPER(_xlpm.MyAuditVal),_xlpm.MacVal&lt;&gt;"",_xlpm.MacVal,_xlpm.CSVVal&lt;&gt;"",_xlpm.CSVVal
)),"")</f>
        <v/>
      </c>
      <c r="K746" s="40" t="str" cm="1">
        <f t="array" ref="K746">IFERROR(_xlfn.LET(
_xlpm.CSVVal,_xlfn.XLOOKUP($A746,CSV!$A:$A,CSV!K:K,""),
_xlpm.MacVal,_xlfn.XLOOKUP($A746,Output_Mac!$A:$A,Output_Mac!K:K,""),
_xlpm.MyAuditVal,_xlfn.XLOOKUP($A746,My_Audit!$A:$A,My_Audit!J:J,""),
_xlfn.IFS(_xlpm.MyAuditVal&lt;&gt;"",UPPER(_xlpm.MyAuditVal),_xlpm.MacVal&lt;&gt;"",_xlpm.MacVal,_xlpm.CSVVal&lt;&gt;"",_xlpm.CSVVal
)),"")</f>
        <v/>
      </c>
      <c r="L746" s="40" t="str" cm="1">
        <f t="array" ref="L746">IFERROR(_xlfn.LET(
_xlpm.CSVVal,_xlfn.XLOOKUP($A746,CSV!$A:$A,CSV!P:P,""),
_xlpm.MacVal,_xlfn.XLOOKUP($A746,Output_Mac!$A:$A,Output_Mac!L:L,""),
_xlpm.MyAuditVal,_xlfn.XLOOKUP($A746,My_Audit!$A:$A,My_Audit!K:K,""),
_xlfn.IFS(_xlpm.MyAuditVal&lt;&gt;"",UPPER(_xlpm.MyAuditVal),_xlpm.MacVal&lt;&gt;"",_xlpm.MacVal,_xlpm.CSVVal&lt;&gt;"",_xlpm.CSVVal
)),"")</f>
        <v/>
      </c>
      <c r="M746" s="40" t="str" cm="1">
        <f t="array" ref="M746">IFERROR(_xlfn.LET(
_xlpm.CSVVal,_xlfn.XLOOKUP($A746,CSV!$A:$A,CSV!Q:Q,""),
_xlpm.MacVal,_xlfn.XLOOKUP($A746,Output_Mac!$A:$A,Output_Mac!M:M,""),
_xlpm.MyAuditVal,_xlfn.XLOOKUP($A746,My_Audit!$A:$A,My_Audit!L:L,""),
_xlfn.IFS(_xlpm.MyAuditVal&lt;&gt;"",UPPER(_xlpm.MyAuditVal),_xlpm.MacVal&lt;&gt;"",_xlpm.MacVal,_xlpm.CSVVal&lt;&gt;"",_xlpm.CSVVal
)),"")</f>
        <v/>
      </c>
      <c r="N746" s="40"/>
      <c r="O746" s="40" t="str">
        <f>_xlfn.LET(
    _xlpm.CSVVal, _xlfn.XLOOKUP($A746, CSV!$A:$A, CSV!AA:AA, ""),
    _xlpm.MacVal, _xlfn.XLOOKUP($A746, Output_Mac!$A:$A, Output_Mac!S:S, ""),
    _xlpm.MyAuditVal, _xlfn.XLOOKUP($A746, My_Audit!$A:$A, My_Audit!P:P, ""),
    _xlfn.TEXTJOIN(", ", TRUE, _xlpm.MyAuditVal, _xlpm.MacVal, _xlpm.CSVVal)
)</f>
        <v/>
      </c>
      <c r="P746" s="40" t="str" cm="1">
        <f t="array" ref="P746">IFERROR(_xlfn.LET(
_xlpm.CSVVal,_xlfn.XLOOKUP($A746,CSV!$A:$A,CSV!AB:AB,""),
_xlpm.MacVal,_xlfn.XLOOKUP($A746,Output_Mac!$A:$A,Output_Mac!T:T,""),
_xlpm.MyAuditVal,_xlfn.XLOOKUP($A746,My_Audit!$A:$A,My_Audit!Q:Q,""),
_xlfn.IFS(_xlpm.MyAuditVal&lt;&gt;"",UPPER(_xlpm.MyAuditVal),_xlpm.MacVal&lt;&gt;"",_xlpm.MacVal,_xlpm.CSVVal&lt;&gt;"",_xlpm.CSVVal
)),"No")</f>
        <v>No</v>
      </c>
      <c r="Q746" s="40" t="str" cm="1">
        <f t="array" ref="Q746">IFERROR(_xlfn.LET(
_xlpm.CSVVal,_xlfn.XLOOKUP($A746,CSV!$A:$A,CSV!AC:AC,""),
_xlpm.MacVal,_xlfn.XLOOKUP($A746,Output_Mac!$A:$A,Output_Mac!U:U,""),
_xlpm.MyAuditVal,_xlfn.XLOOKUP($A746,My_Audit!$A:$A,My_Audit!R:R,""),
_xlfn.IFS(_xlpm.MyAuditVal&lt;&gt;"",UPPER(_xlpm.MyAuditVal),_xlpm.MacVal&lt;&gt;"",_xlpm.MacVal,_xlpm.CSVVal&lt;&gt;"",_xlpm.CSVVal
)),"")</f>
        <v/>
      </c>
      <c r="R746" s="40"/>
      <c r="S746" s="40"/>
      <c r="T746" s="40"/>
      <c r="U746" s="40"/>
      <c r="V746" s="40"/>
      <c r="W746" s="40"/>
      <c r="X746" s="41" t="str">
        <f>_xlfn.LET(
    _xlpm.MacVal, _xlfn.XLOOKUP($A746, Output_Mac!$A:$A, Output_Mac!AB:AB, ""),
    _xlpm.MyAuditVal, _xlfn.XLOOKUP($A746, My_Audit!$A:$A, My_Audit!N:N, ""),
    _xlfn.TEXTJOIN(", ", TRUE, _xlpm.MyAuditVal, _xlpm.MacVal)
)</f>
        <v/>
      </c>
    </row>
    <row r="747" spans="1:24">
      <c r="A747" s="40" t="str">
        <f>_xlfn.TEXTJOIN("",TRUE,Input!$B$2,ROW(My_Audit!A746))</f>
        <v>X746</v>
      </c>
      <c r="B747" s="40" t="str">
        <f>_xlfn.TEXTJOIN("-",TRUE,"ITD",Input!$A$2,A747)</f>
        <v>ITD-X746</v>
      </c>
      <c r="C747" s="40" t="str" cm="1">
        <f t="array" ref="C747">IFERROR(_xlfn.LET(
_xlpm.CSVVal,_xlfn.XLOOKUP($A747,CSV!$A:$A,CSV!B:B,""),
_xlpm.MacVal,_xlfn.XLOOKUP($A747,Output_Mac!$A:$A,Output_Mac!B:B,""),
_xlpm.MyAuditVal,_xlfn.XLOOKUP($A747,My_Audit!$A:$A,My_Audit!B:B,""),
_xlfn.IFS(_xlpm.MyAuditVal&lt;&gt;"",UPPER(_xlpm.MyAuditVal),_xlpm.MacVal&lt;&gt;"",_xlpm.MacVal,_xlpm.CSVVal&lt;&gt;"",_xlpm.CSVVal
)),"")</f>
        <v/>
      </c>
      <c r="D747" s="40" t="str" cm="1">
        <f t="array" ref="D747">IFERROR(_xlfn.LET(
_xlpm.CSVVal,_xlfn.XLOOKUP($A747,CSV!$A:$A,CSV!D:D,""),
_xlpm.MacVal,_xlfn.XLOOKUP($A747,Output_Mac!$A:$A,Output_Mac!C:C,""),
_xlpm.MyAuditVal,_xlfn.XLOOKUP($A747,My_Audit!$A:$A,My_Audit!C:C,""),
_xlfn.IFS(_xlpm.MyAuditVal&lt;&gt;"",_xlpm.MyAuditVal,_xlpm.MacVal&lt;&gt;"",_xlpm.MacVal,_xlpm.CSVVal&lt;&gt;"",_xlpm.CSVVal
)),"")</f>
        <v/>
      </c>
      <c r="E747" s="40" t="str">
        <f>_xlfn.XLOOKUP(A747,My_Audit!A:A,My_Audit!D:D,"")</f>
        <v/>
      </c>
      <c r="F747" s="40" t="str" cm="1">
        <f t="array" ref="F747">IFERROR(_xlfn.LET(
_xlpm.CSVVal,_xlfn.XLOOKUP($A747,CSV!$A:$A,CSV!F:F,""),
_xlpm.MacVal,_xlfn.XLOOKUP($A747,Output_Mac!$A:$A,Output_Mac!E:E,""),
_xlpm.MyAuditVal,_xlfn.XLOOKUP($A747,My_Audit!$A:$A,My_Audit!E:E,""),
_xlfn.IFS(_xlpm.MyAuditVal&lt;&gt;"",_xlpm.MyAuditVal,_xlpm.MacVal&lt;&gt;"",_xlpm.MacVal,_xlpm.CSVVal&lt;&gt;"",_xlpm.CSVVal
)),"")</f>
        <v/>
      </c>
      <c r="G747" s="40" t="str" cm="1">
        <f t="array" ref="G747">IFERROR(_xlfn.LET(
_xlpm.CSVVal,_xlfn.XLOOKUP($A747,CSV!$A:$A,CSV!G:G,""),
_xlpm.MacVal,_xlfn.XLOOKUP($A747,Output_Mac!$A:$A,Output_Mac!F:F,""),
_xlpm.MyAuditVal,_xlfn.XLOOKUP($A747,My_Audit!$A:$A,My_Audit!F:F,""),
_xlfn.IFS(_xlpm.MyAuditVal&lt;&gt;"",_xlpm.MyAuditVal,_xlpm.MacVal&lt;&gt;"",_xlpm.MacVal,_xlpm.CSVVal&lt;&gt;"",PROPER(_xlpm.CSVVal)
)),"")</f>
        <v/>
      </c>
      <c r="H747" s="40" t="str" cm="1">
        <f t="array" ref="H747">IFERROR(_xlfn.LET(
_xlpm.CSVVal,_xlfn.XLOOKUP($A747,CSV!$A:$A,CSV!H:H,""),
_xlpm.MacVal,_xlfn.XLOOKUP($A747,Output_Mac!$A:$A,Output_Mac!H:H,""),
_xlpm.MyAuditVal,_xlfn.XLOOKUP($A747,My_Audit!$A:$A,My_Audit!G:G,""),
_xlfn.IFS(_xlpm.MyAuditVal&lt;&gt;"",_xlpm.MyAuditVal,_xlpm.MacVal&lt;&gt;"",_xlpm.MacVal,_xlpm.CSVVal&lt;&gt;"",_xlpm.CSVVal
)),"")</f>
        <v/>
      </c>
      <c r="I747" s="40" t="str">
        <f>_xlfn.XLOOKUP(A747,Output_Mac!A:A,Output_Mac!I:I,"")</f>
        <v/>
      </c>
      <c r="J747" s="40" t="str" cm="1">
        <f t="array" ref="J747">IFERROR(_xlfn.LET(
_xlpm.CSVVal,_xlfn.XLOOKUP($A747,CSV!$A:$A,CSV!I:I,""),
_xlpm.MacVal,_xlfn.XLOOKUP($A747,Output_Mac!$A:$A,Output_Mac!J:J,""),
_xlpm.MyAuditVal,_xlfn.XLOOKUP($A747,My_Audit!$A:$A,My_Audit!I:I,""),
_xlfn.IFS(_xlpm.MyAuditVal&lt;&gt;"",UPPER(_xlpm.MyAuditVal),_xlpm.MacVal&lt;&gt;"",_xlpm.MacVal,_xlpm.CSVVal&lt;&gt;"",_xlpm.CSVVal
)),"")</f>
        <v/>
      </c>
      <c r="K747" s="40" t="str" cm="1">
        <f t="array" ref="K747">IFERROR(_xlfn.LET(
_xlpm.CSVVal,_xlfn.XLOOKUP($A747,CSV!$A:$A,CSV!K:K,""),
_xlpm.MacVal,_xlfn.XLOOKUP($A747,Output_Mac!$A:$A,Output_Mac!K:K,""),
_xlpm.MyAuditVal,_xlfn.XLOOKUP($A747,My_Audit!$A:$A,My_Audit!J:J,""),
_xlfn.IFS(_xlpm.MyAuditVal&lt;&gt;"",UPPER(_xlpm.MyAuditVal),_xlpm.MacVal&lt;&gt;"",_xlpm.MacVal,_xlpm.CSVVal&lt;&gt;"",_xlpm.CSVVal
)),"")</f>
        <v/>
      </c>
      <c r="L747" s="40" t="str" cm="1">
        <f t="array" ref="L747">IFERROR(_xlfn.LET(
_xlpm.CSVVal,_xlfn.XLOOKUP($A747,CSV!$A:$A,CSV!P:P,""),
_xlpm.MacVal,_xlfn.XLOOKUP($A747,Output_Mac!$A:$A,Output_Mac!L:L,""),
_xlpm.MyAuditVal,_xlfn.XLOOKUP($A747,My_Audit!$A:$A,My_Audit!K:K,""),
_xlfn.IFS(_xlpm.MyAuditVal&lt;&gt;"",UPPER(_xlpm.MyAuditVal),_xlpm.MacVal&lt;&gt;"",_xlpm.MacVal,_xlpm.CSVVal&lt;&gt;"",_xlpm.CSVVal
)),"")</f>
        <v/>
      </c>
      <c r="M747" s="40" t="str" cm="1">
        <f t="array" ref="M747">IFERROR(_xlfn.LET(
_xlpm.CSVVal,_xlfn.XLOOKUP($A747,CSV!$A:$A,CSV!Q:Q,""),
_xlpm.MacVal,_xlfn.XLOOKUP($A747,Output_Mac!$A:$A,Output_Mac!M:M,""),
_xlpm.MyAuditVal,_xlfn.XLOOKUP($A747,My_Audit!$A:$A,My_Audit!L:L,""),
_xlfn.IFS(_xlpm.MyAuditVal&lt;&gt;"",UPPER(_xlpm.MyAuditVal),_xlpm.MacVal&lt;&gt;"",_xlpm.MacVal,_xlpm.CSVVal&lt;&gt;"",_xlpm.CSVVal
)),"")</f>
        <v/>
      </c>
      <c r="N747" s="40"/>
      <c r="O747" s="40" t="str">
        <f>_xlfn.LET(
    _xlpm.CSVVal, _xlfn.XLOOKUP($A747, CSV!$A:$A, CSV!AA:AA, ""),
    _xlpm.MacVal, _xlfn.XLOOKUP($A747, Output_Mac!$A:$A, Output_Mac!S:S, ""),
    _xlpm.MyAuditVal, _xlfn.XLOOKUP($A747, My_Audit!$A:$A, My_Audit!P:P, ""),
    _xlfn.TEXTJOIN(", ", TRUE, _xlpm.MyAuditVal, _xlpm.MacVal, _xlpm.CSVVal)
)</f>
        <v/>
      </c>
      <c r="P747" s="40" t="str" cm="1">
        <f t="array" ref="P747">IFERROR(_xlfn.LET(
_xlpm.CSVVal,_xlfn.XLOOKUP($A747,CSV!$A:$A,CSV!AB:AB,""),
_xlpm.MacVal,_xlfn.XLOOKUP($A747,Output_Mac!$A:$A,Output_Mac!T:T,""),
_xlpm.MyAuditVal,_xlfn.XLOOKUP($A747,My_Audit!$A:$A,My_Audit!Q:Q,""),
_xlfn.IFS(_xlpm.MyAuditVal&lt;&gt;"",UPPER(_xlpm.MyAuditVal),_xlpm.MacVal&lt;&gt;"",_xlpm.MacVal,_xlpm.CSVVal&lt;&gt;"",_xlpm.CSVVal
)),"No")</f>
        <v>No</v>
      </c>
      <c r="Q747" s="40" t="str" cm="1">
        <f t="array" ref="Q747">IFERROR(_xlfn.LET(
_xlpm.CSVVal,_xlfn.XLOOKUP($A747,CSV!$A:$A,CSV!AC:AC,""),
_xlpm.MacVal,_xlfn.XLOOKUP($A747,Output_Mac!$A:$A,Output_Mac!U:U,""),
_xlpm.MyAuditVal,_xlfn.XLOOKUP($A747,My_Audit!$A:$A,My_Audit!R:R,""),
_xlfn.IFS(_xlpm.MyAuditVal&lt;&gt;"",UPPER(_xlpm.MyAuditVal),_xlpm.MacVal&lt;&gt;"",_xlpm.MacVal,_xlpm.CSVVal&lt;&gt;"",_xlpm.CSVVal
)),"")</f>
        <v/>
      </c>
      <c r="R747" s="40"/>
      <c r="S747" s="40"/>
      <c r="T747" s="40"/>
      <c r="U747" s="40"/>
      <c r="V747" s="40"/>
      <c r="W747" s="40"/>
      <c r="X747" s="41" t="str">
        <f>_xlfn.LET(
    _xlpm.MacVal, _xlfn.XLOOKUP($A747, Output_Mac!$A:$A, Output_Mac!AB:AB, ""),
    _xlpm.MyAuditVal, _xlfn.XLOOKUP($A747, My_Audit!$A:$A, My_Audit!N:N, ""),
    _xlfn.TEXTJOIN(", ", TRUE, _xlpm.MyAuditVal, _xlpm.MacVal)
)</f>
        <v/>
      </c>
    </row>
    <row r="748" spans="1:24">
      <c r="A748" s="40" t="str">
        <f>_xlfn.TEXTJOIN("",TRUE,Input!$B$2,ROW(My_Audit!A747))</f>
        <v>X747</v>
      </c>
      <c r="B748" s="40" t="str">
        <f>_xlfn.TEXTJOIN("-",TRUE,"ITD",Input!$A$2,A748)</f>
        <v>ITD-X747</v>
      </c>
      <c r="C748" s="40" t="str" cm="1">
        <f t="array" ref="C748">IFERROR(_xlfn.LET(
_xlpm.CSVVal,_xlfn.XLOOKUP($A748,CSV!$A:$A,CSV!B:B,""),
_xlpm.MacVal,_xlfn.XLOOKUP($A748,Output_Mac!$A:$A,Output_Mac!B:B,""),
_xlpm.MyAuditVal,_xlfn.XLOOKUP($A748,My_Audit!$A:$A,My_Audit!B:B,""),
_xlfn.IFS(_xlpm.MyAuditVal&lt;&gt;"",UPPER(_xlpm.MyAuditVal),_xlpm.MacVal&lt;&gt;"",_xlpm.MacVal,_xlpm.CSVVal&lt;&gt;"",_xlpm.CSVVal
)),"")</f>
        <v/>
      </c>
      <c r="D748" s="40" t="str" cm="1">
        <f t="array" ref="D748">IFERROR(_xlfn.LET(
_xlpm.CSVVal,_xlfn.XLOOKUP($A748,CSV!$A:$A,CSV!D:D,""),
_xlpm.MacVal,_xlfn.XLOOKUP($A748,Output_Mac!$A:$A,Output_Mac!C:C,""),
_xlpm.MyAuditVal,_xlfn.XLOOKUP($A748,My_Audit!$A:$A,My_Audit!C:C,""),
_xlfn.IFS(_xlpm.MyAuditVal&lt;&gt;"",_xlpm.MyAuditVal,_xlpm.MacVal&lt;&gt;"",_xlpm.MacVal,_xlpm.CSVVal&lt;&gt;"",_xlpm.CSVVal
)),"")</f>
        <v/>
      </c>
      <c r="E748" s="40" t="str">
        <f>_xlfn.XLOOKUP(A748,My_Audit!A:A,My_Audit!D:D,"")</f>
        <v/>
      </c>
      <c r="F748" s="40" t="str" cm="1">
        <f t="array" ref="F748">IFERROR(_xlfn.LET(
_xlpm.CSVVal,_xlfn.XLOOKUP($A748,CSV!$A:$A,CSV!F:F,""),
_xlpm.MacVal,_xlfn.XLOOKUP($A748,Output_Mac!$A:$A,Output_Mac!E:E,""),
_xlpm.MyAuditVal,_xlfn.XLOOKUP($A748,My_Audit!$A:$A,My_Audit!E:E,""),
_xlfn.IFS(_xlpm.MyAuditVal&lt;&gt;"",_xlpm.MyAuditVal,_xlpm.MacVal&lt;&gt;"",_xlpm.MacVal,_xlpm.CSVVal&lt;&gt;"",_xlpm.CSVVal
)),"")</f>
        <v/>
      </c>
      <c r="G748" s="40" t="str" cm="1">
        <f t="array" ref="G748">IFERROR(_xlfn.LET(
_xlpm.CSVVal,_xlfn.XLOOKUP($A748,CSV!$A:$A,CSV!G:G,""),
_xlpm.MacVal,_xlfn.XLOOKUP($A748,Output_Mac!$A:$A,Output_Mac!F:F,""),
_xlpm.MyAuditVal,_xlfn.XLOOKUP($A748,My_Audit!$A:$A,My_Audit!F:F,""),
_xlfn.IFS(_xlpm.MyAuditVal&lt;&gt;"",_xlpm.MyAuditVal,_xlpm.MacVal&lt;&gt;"",_xlpm.MacVal,_xlpm.CSVVal&lt;&gt;"",PROPER(_xlpm.CSVVal)
)),"")</f>
        <v/>
      </c>
      <c r="H748" s="40" t="str" cm="1">
        <f t="array" ref="H748">IFERROR(_xlfn.LET(
_xlpm.CSVVal,_xlfn.XLOOKUP($A748,CSV!$A:$A,CSV!H:H,""),
_xlpm.MacVal,_xlfn.XLOOKUP($A748,Output_Mac!$A:$A,Output_Mac!H:H,""),
_xlpm.MyAuditVal,_xlfn.XLOOKUP($A748,My_Audit!$A:$A,My_Audit!G:G,""),
_xlfn.IFS(_xlpm.MyAuditVal&lt;&gt;"",_xlpm.MyAuditVal,_xlpm.MacVal&lt;&gt;"",_xlpm.MacVal,_xlpm.CSVVal&lt;&gt;"",_xlpm.CSVVal
)),"")</f>
        <v/>
      </c>
      <c r="I748" s="40" t="str">
        <f>_xlfn.XLOOKUP(A748,Output_Mac!A:A,Output_Mac!I:I,"")</f>
        <v/>
      </c>
      <c r="J748" s="40" t="str" cm="1">
        <f t="array" ref="J748">IFERROR(_xlfn.LET(
_xlpm.CSVVal,_xlfn.XLOOKUP($A748,CSV!$A:$A,CSV!I:I,""),
_xlpm.MacVal,_xlfn.XLOOKUP($A748,Output_Mac!$A:$A,Output_Mac!J:J,""),
_xlpm.MyAuditVal,_xlfn.XLOOKUP($A748,My_Audit!$A:$A,My_Audit!I:I,""),
_xlfn.IFS(_xlpm.MyAuditVal&lt;&gt;"",UPPER(_xlpm.MyAuditVal),_xlpm.MacVal&lt;&gt;"",_xlpm.MacVal,_xlpm.CSVVal&lt;&gt;"",_xlpm.CSVVal
)),"")</f>
        <v/>
      </c>
      <c r="K748" s="40" t="str" cm="1">
        <f t="array" ref="K748">IFERROR(_xlfn.LET(
_xlpm.CSVVal,_xlfn.XLOOKUP($A748,CSV!$A:$A,CSV!K:K,""),
_xlpm.MacVal,_xlfn.XLOOKUP($A748,Output_Mac!$A:$A,Output_Mac!K:K,""),
_xlpm.MyAuditVal,_xlfn.XLOOKUP($A748,My_Audit!$A:$A,My_Audit!J:J,""),
_xlfn.IFS(_xlpm.MyAuditVal&lt;&gt;"",UPPER(_xlpm.MyAuditVal),_xlpm.MacVal&lt;&gt;"",_xlpm.MacVal,_xlpm.CSVVal&lt;&gt;"",_xlpm.CSVVal
)),"")</f>
        <v/>
      </c>
      <c r="L748" s="40" t="str" cm="1">
        <f t="array" ref="L748">IFERROR(_xlfn.LET(
_xlpm.CSVVal,_xlfn.XLOOKUP($A748,CSV!$A:$A,CSV!P:P,""),
_xlpm.MacVal,_xlfn.XLOOKUP($A748,Output_Mac!$A:$A,Output_Mac!L:L,""),
_xlpm.MyAuditVal,_xlfn.XLOOKUP($A748,My_Audit!$A:$A,My_Audit!K:K,""),
_xlfn.IFS(_xlpm.MyAuditVal&lt;&gt;"",UPPER(_xlpm.MyAuditVal),_xlpm.MacVal&lt;&gt;"",_xlpm.MacVal,_xlpm.CSVVal&lt;&gt;"",_xlpm.CSVVal
)),"")</f>
        <v/>
      </c>
      <c r="M748" s="40" t="str" cm="1">
        <f t="array" ref="M748">IFERROR(_xlfn.LET(
_xlpm.CSVVal,_xlfn.XLOOKUP($A748,CSV!$A:$A,CSV!Q:Q,""),
_xlpm.MacVal,_xlfn.XLOOKUP($A748,Output_Mac!$A:$A,Output_Mac!M:M,""),
_xlpm.MyAuditVal,_xlfn.XLOOKUP($A748,My_Audit!$A:$A,My_Audit!L:L,""),
_xlfn.IFS(_xlpm.MyAuditVal&lt;&gt;"",UPPER(_xlpm.MyAuditVal),_xlpm.MacVal&lt;&gt;"",_xlpm.MacVal,_xlpm.CSVVal&lt;&gt;"",_xlpm.CSVVal
)),"")</f>
        <v/>
      </c>
      <c r="N748" s="40"/>
      <c r="O748" s="40" t="str">
        <f>_xlfn.LET(
    _xlpm.CSVVal, _xlfn.XLOOKUP($A748, CSV!$A:$A, CSV!AA:AA, ""),
    _xlpm.MacVal, _xlfn.XLOOKUP($A748, Output_Mac!$A:$A, Output_Mac!S:S, ""),
    _xlpm.MyAuditVal, _xlfn.XLOOKUP($A748, My_Audit!$A:$A, My_Audit!P:P, ""),
    _xlfn.TEXTJOIN(", ", TRUE, _xlpm.MyAuditVal, _xlpm.MacVal, _xlpm.CSVVal)
)</f>
        <v/>
      </c>
      <c r="P748" s="40" t="str" cm="1">
        <f t="array" ref="P748">IFERROR(_xlfn.LET(
_xlpm.CSVVal,_xlfn.XLOOKUP($A748,CSV!$A:$A,CSV!AB:AB,""),
_xlpm.MacVal,_xlfn.XLOOKUP($A748,Output_Mac!$A:$A,Output_Mac!T:T,""),
_xlpm.MyAuditVal,_xlfn.XLOOKUP($A748,My_Audit!$A:$A,My_Audit!Q:Q,""),
_xlfn.IFS(_xlpm.MyAuditVal&lt;&gt;"",UPPER(_xlpm.MyAuditVal),_xlpm.MacVal&lt;&gt;"",_xlpm.MacVal,_xlpm.CSVVal&lt;&gt;"",_xlpm.CSVVal
)),"No")</f>
        <v>No</v>
      </c>
      <c r="Q748" s="40" t="str" cm="1">
        <f t="array" ref="Q748">IFERROR(_xlfn.LET(
_xlpm.CSVVal,_xlfn.XLOOKUP($A748,CSV!$A:$A,CSV!AC:AC,""),
_xlpm.MacVal,_xlfn.XLOOKUP($A748,Output_Mac!$A:$A,Output_Mac!U:U,""),
_xlpm.MyAuditVal,_xlfn.XLOOKUP($A748,My_Audit!$A:$A,My_Audit!R:R,""),
_xlfn.IFS(_xlpm.MyAuditVal&lt;&gt;"",UPPER(_xlpm.MyAuditVal),_xlpm.MacVal&lt;&gt;"",_xlpm.MacVal,_xlpm.CSVVal&lt;&gt;"",_xlpm.CSVVal
)),"")</f>
        <v/>
      </c>
      <c r="R748" s="40"/>
      <c r="S748" s="40"/>
      <c r="T748" s="40"/>
      <c r="U748" s="40"/>
      <c r="V748" s="40"/>
      <c r="W748" s="40"/>
      <c r="X748" s="41" t="str">
        <f>_xlfn.LET(
    _xlpm.MacVal, _xlfn.XLOOKUP($A748, Output_Mac!$A:$A, Output_Mac!AB:AB, ""),
    _xlpm.MyAuditVal, _xlfn.XLOOKUP($A748, My_Audit!$A:$A, My_Audit!N:N, ""),
    _xlfn.TEXTJOIN(", ", TRUE, _xlpm.MyAuditVal, _xlpm.MacVal)
)</f>
        <v/>
      </c>
    </row>
    <row r="749" spans="1:24">
      <c r="A749" s="40" t="str">
        <f>_xlfn.TEXTJOIN("",TRUE,Input!$B$2,ROW(My_Audit!A748))</f>
        <v>X748</v>
      </c>
      <c r="B749" s="40" t="str">
        <f>_xlfn.TEXTJOIN("-",TRUE,"ITD",Input!$A$2,A749)</f>
        <v>ITD-X748</v>
      </c>
      <c r="C749" s="40" t="str" cm="1">
        <f t="array" ref="C749">IFERROR(_xlfn.LET(
_xlpm.CSVVal,_xlfn.XLOOKUP($A749,CSV!$A:$A,CSV!B:B,""),
_xlpm.MacVal,_xlfn.XLOOKUP($A749,Output_Mac!$A:$A,Output_Mac!B:B,""),
_xlpm.MyAuditVal,_xlfn.XLOOKUP($A749,My_Audit!$A:$A,My_Audit!B:B,""),
_xlfn.IFS(_xlpm.MyAuditVal&lt;&gt;"",UPPER(_xlpm.MyAuditVal),_xlpm.MacVal&lt;&gt;"",_xlpm.MacVal,_xlpm.CSVVal&lt;&gt;"",_xlpm.CSVVal
)),"")</f>
        <v/>
      </c>
      <c r="D749" s="40" t="str" cm="1">
        <f t="array" ref="D749">IFERROR(_xlfn.LET(
_xlpm.CSVVal,_xlfn.XLOOKUP($A749,CSV!$A:$A,CSV!D:D,""),
_xlpm.MacVal,_xlfn.XLOOKUP($A749,Output_Mac!$A:$A,Output_Mac!C:C,""),
_xlpm.MyAuditVal,_xlfn.XLOOKUP($A749,My_Audit!$A:$A,My_Audit!C:C,""),
_xlfn.IFS(_xlpm.MyAuditVal&lt;&gt;"",_xlpm.MyAuditVal,_xlpm.MacVal&lt;&gt;"",_xlpm.MacVal,_xlpm.CSVVal&lt;&gt;"",_xlpm.CSVVal
)),"")</f>
        <v/>
      </c>
      <c r="E749" s="40" t="str">
        <f>_xlfn.XLOOKUP(A749,My_Audit!A:A,My_Audit!D:D,"")</f>
        <v/>
      </c>
      <c r="F749" s="40" t="str" cm="1">
        <f t="array" ref="F749">IFERROR(_xlfn.LET(
_xlpm.CSVVal,_xlfn.XLOOKUP($A749,CSV!$A:$A,CSV!F:F,""),
_xlpm.MacVal,_xlfn.XLOOKUP($A749,Output_Mac!$A:$A,Output_Mac!E:E,""),
_xlpm.MyAuditVal,_xlfn.XLOOKUP($A749,My_Audit!$A:$A,My_Audit!E:E,""),
_xlfn.IFS(_xlpm.MyAuditVal&lt;&gt;"",_xlpm.MyAuditVal,_xlpm.MacVal&lt;&gt;"",_xlpm.MacVal,_xlpm.CSVVal&lt;&gt;"",_xlpm.CSVVal
)),"")</f>
        <v/>
      </c>
      <c r="G749" s="40" t="str" cm="1">
        <f t="array" ref="G749">IFERROR(_xlfn.LET(
_xlpm.CSVVal,_xlfn.XLOOKUP($A749,CSV!$A:$A,CSV!G:G,""),
_xlpm.MacVal,_xlfn.XLOOKUP($A749,Output_Mac!$A:$A,Output_Mac!F:F,""),
_xlpm.MyAuditVal,_xlfn.XLOOKUP($A749,My_Audit!$A:$A,My_Audit!F:F,""),
_xlfn.IFS(_xlpm.MyAuditVal&lt;&gt;"",_xlpm.MyAuditVal,_xlpm.MacVal&lt;&gt;"",_xlpm.MacVal,_xlpm.CSVVal&lt;&gt;"",PROPER(_xlpm.CSVVal)
)),"")</f>
        <v/>
      </c>
      <c r="H749" s="40" t="str" cm="1">
        <f t="array" ref="H749">IFERROR(_xlfn.LET(
_xlpm.CSVVal,_xlfn.XLOOKUP($A749,CSV!$A:$A,CSV!H:H,""),
_xlpm.MacVal,_xlfn.XLOOKUP($A749,Output_Mac!$A:$A,Output_Mac!H:H,""),
_xlpm.MyAuditVal,_xlfn.XLOOKUP($A749,My_Audit!$A:$A,My_Audit!G:G,""),
_xlfn.IFS(_xlpm.MyAuditVal&lt;&gt;"",_xlpm.MyAuditVal,_xlpm.MacVal&lt;&gt;"",_xlpm.MacVal,_xlpm.CSVVal&lt;&gt;"",_xlpm.CSVVal
)),"")</f>
        <v/>
      </c>
      <c r="I749" s="40" t="str">
        <f>_xlfn.XLOOKUP(A749,Output_Mac!A:A,Output_Mac!I:I,"")</f>
        <v/>
      </c>
      <c r="J749" s="40" t="str" cm="1">
        <f t="array" ref="J749">IFERROR(_xlfn.LET(
_xlpm.CSVVal,_xlfn.XLOOKUP($A749,CSV!$A:$A,CSV!I:I,""),
_xlpm.MacVal,_xlfn.XLOOKUP($A749,Output_Mac!$A:$A,Output_Mac!J:J,""),
_xlpm.MyAuditVal,_xlfn.XLOOKUP($A749,My_Audit!$A:$A,My_Audit!I:I,""),
_xlfn.IFS(_xlpm.MyAuditVal&lt;&gt;"",UPPER(_xlpm.MyAuditVal),_xlpm.MacVal&lt;&gt;"",_xlpm.MacVal,_xlpm.CSVVal&lt;&gt;"",_xlpm.CSVVal
)),"")</f>
        <v/>
      </c>
      <c r="K749" s="40" t="str" cm="1">
        <f t="array" ref="K749">IFERROR(_xlfn.LET(
_xlpm.CSVVal,_xlfn.XLOOKUP($A749,CSV!$A:$A,CSV!K:K,""),
_xlpm.MacVal,_xlfn.XLOOKUP($A749,Output_Mac!$A:$A,Output_Mac!K:K,""),
_xlpm.MyAuditVal,_xlfn.XLOOKUP($A749,My_Audit!$A:$A,My_Audit!J:J,""),
_xlfn.IFS(_xlpm.MyAuditVal&lt;&gt;"",UPPER(_xlpm.MyAuditVal),_xlpm.MacVal&lt;&gt;"",_xlpm.MacVal,_xlpm.CSVVal&lt;&gt;"",_xlpm.CSVVal
)),"")</f>
        <v/>
      </c>
      <c r="L749" s="40" t="str" cm="1">
        <f t="array" ref="L749">IFERROR(_xlfn.LET(
_xlpm.CSVVal,_xlfn.XLOOKUP($A749,CSV!$A:$A,CSV!P:P,""),
_xlpm.MacVal,_xlfn.XLOOKUP($A749,Output_Mac!$A:$A,Output_Mac!L:L,""),
_xlpm.MyAuditVal,_xlfn.XLOOKUP($A749,My_Audit!$A:$A,My_Audit!K:K,""),
_xlfn.IFS(_xlpm.MyAuditVal&lt;&gt;"",UPPER(_xlpm.MyAuditVal),_xlpm.MacVal&lt;&gt;"",_xlpm.MacVal,_xlpm.CSVVal&lt;&gt;"",_xlpm.CSVVal
)),"")</f>
        <v/>
      </c>
      <c r="M749" s="40" t="str" cm="1">
        <f t="array" ref="M749">IFERROR(_xlfn.LET(
_xlpm.CSVVal,_xlfn.XLOOKUP($A749,CSV!$A:$A,CSV!Q:Q,""),
_xlpm.MacVal,_xlfn.XLOOKUP($A749,Output_Mac!$A:$A,Output_Mac!M:M,""),
_xlpm.MyAuditVal,_xlfn.XLOOKUP($A749,My_Audit!$A:$A,My_Audit!L:L,""),
_xlfn.IFS(_xlpm.MyAuditVal&lt;&gt;"",UPPER(_xlpm.MyAuditVal),_xlpm.MacVal&lt;&gt;"",_xlpm.MacVal,_xlpm.CSVVal&lt;&gt;"",_xlpm.CSVVal
)),"")</f>
        <v/>
      </c>
      <c r="N749" s="40"/>
      <c r="O749" s="40" t="str">
        <f>_xlfn.LET(
    _xlpm.CSVVal, _xlfn.XLOOKUP($A749, CSV!$A:$A, CSV!AA:AA, ""),
    _xlpm.MacVal, _xlfn.XLOOKUP($A749, Output_Mac!$A:$A, Output_Mac!S:S, ""),
    _xlpm.MyAuditVal, _xlfn.XLOOKUP($A749, My_Audit!$A:$A, My_Audit!P:P, ""),
    _xlfn.TEXTJOIN(", ", TRUE, _xlpm.MyAuditVal, _xlpm.MacVal, _xlpm.CSVVal)
)</f>
        <v/>
      </c>
      <c r="P749" s="40" t="str" cm="1">
        <f t="array" ref="P749">IFERROR(_xlfn.LET(
_xlpm.CSVVal,_xlfn.XLOOKUP($A749,CSV!$A:$A,CSV!AB:AB,""),
_xlpm.MacVal,_xlfn.XLOOKUP($A749,Output_Mac!$A:$A,Output_Mac!T:T,""),
_xlpm.MyAuditVal,_xlfn.XLOOKUP($A749,My_Audit!$A:$A,My_Audit!Q:Q,""),
_xlfn.IFS(_xlpm.MyAuditVal&lt;&gt;"",UPPER(_xlpm.MyAuditVal),_xlpm.MacVal&lt;&gt;"",_xlpm.MacVal,_xlpm.CSVVal&lt;&gt;"",_xlpm.CSVVal
)),"No")</f>
        <v>No</v>
      </c>
      <c r="Q749" s="40" t="str" cm="1">
        <f t="array" ref="Q749">IFERROR(_xlfn.LET(
_xlpm.CSVVal,_xlfn.XLOOKUP($A749,CSV!$A:$A,CSV!AC:AC,""),
_xlpm.MacVal,_xlfn.XLOOKUP($A749,Output_Mac!$A:$A,Output_Mac!U:U,""),
_xlpm.MyAuditVal,_xlfn.XLOOKUP($A749,My_Audit!$A:$A,My_Audit!R:R,""),
_xlfn.IFS(_xlpm.MyAuditVal&lt;&gt;"",UPPER(_xlpm.MyAuditVal),_xlpm.MacVal&lt;&gt;"",_xlpm.MacVal,_xlpm.CSVVal&lt;&gt;"",_xlpm.CSVVal
)),"")</f>
        <v/>
      </c>
      <c r="R749" s="40"/>
      <c r="S749" s="40"/>
      <c r="T749" s="40"/>
      <c r="U749" s="40"/>
      <c r="V749" s="40"/>
      <c r="W749" s="40"/>
      <c r="X749" s="41" t="str">
        <f>_xlfn.LET(
    _xlpm.MacVal, _xlfn.XLOOKUP($A749, Output_Mac!$A:$A, Output_Mac!AB:AB, ""),
    _xlpm.MyAuditVal, _xlfn.XLOOKUP($A749, My_Audit!$A:$A, My_Audit!N:N, ""),
    _xlfn.TEXTJOIN(", ", TRUE, _xlpm.MyAuditVal, _xlpm.MacVal)
)</f>
        <v/>
      </c>
    </row>
    <row r="750" spans="1:24">
      <c r="A750" s="40" t="str">
        <f>_xlfn.TEXTJOIN("",TRUE,Input!$B$2,ROW(My_Audit!A749))</f>
        <v>X749</v>
      </c>
      <c r="B750" s="40" t="str">
        <f>_xlfn.TEXTJOIN("-",TRUE,"ITD",Input!$A$2,A750)</f>
        <v>ITD-X749</v>
      </c>
      <c r="C750" s="40" t="str" cm="1">
        <f t="array" ref="C750">IFERROR(_xlfn.LET(
_xlpm.CSVVal,_xlfn.XLOOKUP($A750,CSV!$A:$A,CSV!B:B,""),
_xlpm.MacVal,_xlfn.XLOOKUP($A750,Output_Mac!$A:$A,Output_Mac!B:B,""),
_xlpm.MyAuditVal,_xlfn.XLOOKUP($A750,My_Audit!$A:$A,My_Audit!B:B,""),
_xlfn.IFS(_xlpm.MyAuditVal&lt;&gt;"",UPPER(_xlpm.MyAuditVal),_xlpm.MacVal&lt;&gt;"",_xlpm.MacVal,_xlpm.CSVVal&lt;&gt;"",_xlpm.CSVVal
)),"")</f>
        <v/>
      </c>
      <c r="D750" s="40" t="str" cm="1">
        <f t="array" ref="D750">IFERROR(_xlfn.LET(
_xlpm.CSVVal,_xlfn.XLOOKUP($A750,CSV!$A:$A,CSV!D:D,""),
_xlpm.MacVal,_xlfn.XLOOKUP($A750,Output_Mac!$A:$A,Output_Mac!C:C,""),
_xlpm.MyAuditVal,_xlfn.XLOOKUP($A750,My_Audit!$A:$A,My_Audit!C:C,""),
_xlfn.IFS(_xlpm.MyAuditVal&lt;&gt;"",_xlpm.MyAuditVal,_xlpm.MacVal&lt;&gt;"",_xlpm.MacVal,_xlpm.CSVVal&lt;&gt;"",_xlpm.CSVVal
)),"")</f>
        <v/>
      </c>
      <c r="E750" s="40" t="str">
        <f>_xlfn.XLOOKUP(A750,My_Audit!A:A,My_Audit!D:D,"")</f>
        <v/>
      </c>
      <c r="F750" s="40" t="str" cm="1">
        <f t="array" ref="F750">IFERROR(_xlfn.LET(
_xlpm.CSVVal,_xlfn.XLOOKUP($A750,CSV!$A:$A,CSV!F:F,""),
_xlpm.MacVal,_xlfn.XLOOKUP($A750,Output_Mac!$A:$A,Output_Mac!E:E,""),
_xlpm.MyAuditVal,_xlfn.XLOOKUP($A750,My_Audit!$A:$A,My_Audit!E:E,""),
_xlfn.IFS(_xlpm.MyAuditVal&lt;&gt;"",_xlpm.MyAuditVal,_xlpm.MacVal&lt;&gt;"",_xlpm.MacVal,_xlpm.CSVVal&lt;&gt;"",_xlpm.CSVVal
)),"")</f>
        <v/>
      </c>
      <c r="G750" s="40" t="str" cm="1">
        <f t="array" ref="G750">IFERROR(_xlfn.LET(
_xlpm.CSVVal,_xlfn.XLOOKUP($A750,CSV!$A:$A,CSV!G:G,""),
_xlpm.MacVal,_xlfn.XLOOKUP($A750,Output_Mac!$A:$A,Output_Mac!F:F,""),
_xlpm.MyAuditVal,_xlfn.XLOOKUP($A750,My_Audit!$A:$A,My_Audit!F:F,""),
_xlfn.IFS(_xlpm.MyAuditVal&lt;&gt;"",_xlpm.MyAuditVal,_xlpm.MacVal&lt;&gt;"",_xlpm.MacVal,_xlpm.CSVVal&lt;&gt;"",PROPER(_xlpm.CSVVal)
)),"")</f>
        <v/>
      </c>
      <c r="H750" s="40" t="str" cm="1">
        <f t="array" ref="H750">IFERROR(_xlfn.LET(
_xlpm.CSVVal,_xlfn.XLOOKUP($A750,CSV!$A:$A,CSV!H:H,""),
_xlpm.MacVal,_xlfn.XLOOKUP($A750,Output_Mac!$A:$A,Output_Mac!H:H,""),
_xlpm.MyAuditVal,_xlfn.XLOOKUP($A750,My_Audit!$A:$A,My_Audit!G:G,""),
_xlfn.IFS(_xlpm.MyAuditVal&lt;&gt;"",_xlpm.MyAuditVal,_xlpm.MacVal&lt;&gt;"",_xlpm.MacVal,_xlpm.CSVVal&lt;&gt;"",_xlpm.CSVVal
)),"")</f>
        <v/>
      </c>
      <c r="I750" s="40" t="str">
        <f>_xlfn.XLOOKUP(A750,Output_Mac!A:A,Output_Mac!I:I,"")</f>
        <v/>
      </c>
      <c r="J750" s="40" t="str" cm="1">
        <f t="array" ref="J750">IFERROR(_xlfn.LET(
_xlpm.CSVVal,_xlfn.XLOOKUP($A750,CSV!$A:$A,CSV!I:I,""),
_xlpm.MacVal,_xlfn.XLOOKUP($A750,Output_Mac!$A:$A,Output_Mac!J:J,""),
_xlpm.MyAuditVal,_xlfn.XLOOKUP($A750,My_Audit!$A:$A,My_Audit!I:I,""),
_xlfn.IFS(_xlpm.MyAuditVal&lt;&gt;"",UPPER(_xlpm.MyAuditVal),_xlpm.MacVal&lt;&gt;"",_xlpm.MacVal,_xlpm.CSVVal&lt;&gt;"",_xlpm.CSVVal
)),"")</f>
        <v/>
      </c>
      <c r="K750" s="40" t="str" cm="1">
        <f t="array" ref="K750">IFERROR(_xlfn.LET(
_xlpm.CSVVal,_xlfn.XLOOKUP($A750,CSV!$A:$A,CSV!K:K,""),
_xlpm.MacVal,_xlfn.XLOOKUP($A750,Output_Mac!$A:$A,Output_Mac!K:K,""),
_xlpm.MyAuditVal,_xlfn.XLOOKUP($A750,My_Audit!$A:$A,My_Audit!J:J,""),
_xlfn.IFS(_xlpm.MyAuditVal&lt;&gt;"",UPPER(_xlpm.MyAuditVal),_xlpm.MacVal&lt;&gt;"",_xlpm.MacVal,_xlpm.CSVVal&lt;&gt;"",_xlpm.CSVVal
)),"")</f>
        <v/>
      </c>
      <c r="L750" s="40" t="str" cm="1">
        <f t="array" ref="L750">IFERROR(_xlfn.LET(
_xlpm.CSVVal,_xlfn.XLOOKUP($A750,CSV!$A:$A,CSV!P:P,""),
_xlpm.MacVal,_xlfn.XLOOKUP($A750,Output_Mac!$A:$A,Output_Mac!L:L,""),
_xlpm.MyAuditVal,_xlfn.XLOOKUP($A750,My_Audit!$A:$A,My_Audit!K:K,""),
_xlfn.IFS(_xlpm.MyAuditVal&lt;&gt;"",UPPER(_xlpm.MyAuditVal),_xlpm.MacVal&lt;&gt;"",_xlpm.MacVal,_xlpm.CSVVal&lt;&gt;"",_xlpm.CSVVal
)),"")</f>
        <v/>
      </c>
      <c r="M750" s="40" t="str" cm="1">
        <f t="array" ref="M750">IFERROR(_xlfn.LET(
_xlpm.CSVVal,_xlfn.XLOOKUP($A750,CSV!$A:$A,CSV!Q:Q,""),
_xlpm.MacVal,_xlfn.XLOOKUP($A750,Output_Mac!$A:$A,Output_Mac!M:M,""),
_xlpm.MyAuditVal,_xlfn.XLOOKUP($A750,My_Audit!$A:$A,My_Audit!L:L,""),
_xlfn.IFS(_xlpm.MyAuditVal&lt;&gt;"",UPPER(_xlpm.MyAuditVal),_xlpm.MacVal&lt;&gt;"",_xlpm.MacVal,_xlpm.CSVVal&lt;&gt;"",_xlpm.CSVVal
)),"")</f>
        <v/>
      </c>
      <c r="N750" s="40"/>
      <c r="O750" s="40" t="str">
        <f>_xlfn.LET(
    _xlpm.CSVVal, _xlfn.XLOOKUP($A750, CSV!$A:$A, CSV!AA:AA, ""),
    _xlpm.MacVal, _xlfn.XLOOKUP($A750, Output_Mac!$A:$A, Output_Mac!S:S, ""),
    _xlpm.MyAuditVal, _xlfn.XLOOKUP($A750, My_Audit!$A:$A, My_Audit!P:P, ""),
    _xlfn.TEXTJOIN(", ", TRUE, _xlpm.MyAuditVal, _xlpm.MacVal, _xlpm.CSVVal)
)</f>
        <v/>
      </c>
      <c r="P750" s="40" t="str" cm="1">
        <f t="array" ref="P750">IFERROR(_xlfn.LET(
_xlpm.CSVVal,_xlfn.XLOOKUP($A750,CSV!$A:$A,CSV!AB:AB,""),
_xlpm.MacVal,_xlfn.XLOOKUP($A750,Output_Mac!$A:$A,Output_Mac!T:T,""),
_xlpm.MyAuditVal,_xlfn.XLOOKUP($A750,My_Audit!$A:$A,My_Audit!Q:Q,""),
_xlfn.IFS(_xlpm.MyAuditVal&lt;&gt;"",UPPER(_xlpm.MyAuditVal),_xlpm.MacVal&lt;&gt;"",_xlpm.MacVal,_xlpm.CSVVal&lt;&gt;"",_xlpm.CSVVal
)),"No")</f>
        <v>No</v>
      </c>
      <c r="Q750" s="40" t="str" cm="1">
        <f t="array" ref="Q750">IFERROR(_xlfn.LET(
_xlpm.CSVVal,_xlfn.XLOOKUP($A750,CSV!$A:$A,CSV!AC:AC,""),
_xlpm.MacVal,_xlfn.XLOOKUP($A750,Output_Mac!$A:$A,Output_Mac!U:U,""),
_xlpm.MyAuditVal,_xlfn.XLOOKUP($A750,My_Audit!$A:$A,My_Audit!R:R,""),
_xlfn.IFS(_xlpm.MyAuditVal&lt;&gt;"",UPPER(_xlpm.MyAuditVal),_xlpm.MacVal&lt;&gt;"",_xlpm.MacVal,_xlpm.CSVVal&lt;&gt;"",_xlpm.CSVVal
)),"")</f>
        <v/>
      </c>
      <c r="R750" s="40"/>
      <c r="S750" s="40"/>
      <c r="T750" s="40"/>
      <c r="U750" s="40"/>
      <c r="V750" s="40"/>
      <c r="W750" s="40"/>
      <c r="X750" s="41" t="str">
        <f>_xlfn.LET(
    _xlpm.MacVal, _xlfn.XLOOKUP($A750, Output_Mac!$A:$A, Output_Mac!AB:AB, ""),
    _xlpm.MyAuditVal, _xlfn.XLOOKUP($A750, My_Audit!$A:$A, My_Audit!N:N, ""),
    _xlfn.TEXTJOIN(", ", TRUE, _xlpm.MyAuditVal, _xlpm.MacVal)
)</f>
        <v/>
      </c>
    </row>
    <row r="751" spans="1:24">
      <c r="A751" s="40" t="str">
        <f>_xlfn.TEXTJOIN("",TRUE,Input!$B$2,ROW(My_Audit!A750))</f>
        <v>X750</v>
      </c>
      <c r="B751" s="40" t="str">
        <f>_xlfn.TEXTJOIN("-",TRUE,"ITD",Input!$A$2,A751)</f>
        <v>ITD-X750</v>
      </c>
      <c r="C751" s="40" t="str" cm="1">
        <f t="array" ref="C751">IFERROR(_xlfn.LET(
_xlpm.CSVVal,_xlfn.XLOOKUP($A751,CSV!$A:$A,CSV!B:B,""),
_xlpm.MacVal,_xlfn.XLOOKUP($A751,Output_Mac!$A:$A,Output_Mac!B:B,""),
_xlpm.MyAuditVal,_xlfn.XLOOKUP($A751,My_Audit!$A:$A,My_Audit!B:B,""),
_xlfn.IFS(_xlpm.MyAuditVal&lt;&gt;"",UPPER(_xlpm.MyAuditVal),_xlpm.MacVal&lt;&gt;"",_xlpm.MacVal,_xlpm.CSVVal&lt;&gt;"",_xlpm.CSVVal
)),"")</f>
        <v/>
      </c>
      <c r="D751" s="40" t="str" cm="1">
        <f t="array" ref="D751">IFERROR(_xlfn.LET(
_xlpm.CSVVal,_xlfn.XLOOKUP($A751,CSV!$A:$A,CSV!D:D,""),
_xlpm.MacVal,_xlfn.XLOOKUP($A751,Output_Mac!$A:$A,Output_Mac!C:C,""),
_xlpm.MyAuditVal,_xlfn.XLOOKUP($A751,My_Audit!$A:$A,My_Audit!C:C,""),
_xlfn.IFS(_xlpm.MyAuditVal&lt;&gt;"",_xlpm.MyAuditVal,_xlpm.MacVal&lt;&gt;"",_xlpm.MacVal,_xlpm.CSVVal&lt;&gt;"",_xlpm.CSVVal
)),"")</f>
        <v/>
      </c>
      <c r="E751" s="40" t="str">
        <f>_xlfn.XLOOKUP(A751,My_Audit!A:A,My_Audit!D:D,"")</f>
        <v/>
      </c>
      <c r="F751" s="40" t="str" cm="1">
        <f t="array" ref="F751">IFERROR(_xlfn.LET(
_xlpm.CSVVal,_xlfn.XLOOKUP($A751,CSV!$A:$A,CSV!F:F,""),
_xlpm.MacVal,_xlfn.XLOOKUP($A751,Output_Mac!$A:$A,Output_Mac!E:E,""),
_xlpm.MyAuditVal,_xlfn.XLOOKUP($A751,My_Audit!$A:$A,My_Audit!E:E,""),
_xlfn.IFS(_xlpm.MyAuditVal&lt;&gt;"",_xlpm.MyAuditVal,_xlpm.MacVal&lt;&gt;"",_xlpm.MacVal,_xlpm.CSVVal&lt;&gt;"",_xlpm.CSVVal
)),"")</f>
        <v/>
      </c>
      <c r="G751" s="40" t="str" cm="1">
        <f t="array" ref="G751">IFERROR(_xlfn.LET(
_xlpm.CSVVal,_xlfn.XLOOKUP($A751,CSV!$A:$A,CSV!G:G,""),
_xlpm.MacVal,_xlfn.XLOOKUP($A751,Output_Mac!$A:$A,Output_Mac!F:F,""),
_xlpm.MyAuditVal,_xlfn.XLOOKUP($A751,My_Audit!$A:$A,My_Audit!F:F,""),
_xlfn.IFS(_xlpm.MyAuditVal&lt;&gt;"",_xlpm.MyAuditVal,_xlpm.MacVal&lt;&gt;"",_xlpm.MacVal,_xlpm.CSVVal&lt;&gt;"",PROPER(_xlpm.CSVVal)
)),"")</f>
        <v/>
      </c>
      <c r="H751" s="40" t="str" cm="1">
        <f t="array" ref="H751">IFERROR(_xlfn.LET(
_xlpm.CSVVal,_xlfn.XLOOKUP($A751,CSV!$A:$A,CSV!H:H,""),
_xlpm.MacVal,_xlfn.XLOOKUP($A751,Output_Mac!$A:$A,Output_Mac!H:H,""),
_xlpm.MyAuditVal,_xlfn.XLOOKUP($A751,My_Audit!$A:$A,My_Audit!G:G,""),
_xlfn.IFS(_xlpm.MyAuditVal&lt;&gt;"",_xlpm.MyAuditVal,_xlpm.MacVal&lt;&gt;"",_xlpm.MacVal,_xlpm.CSVVal&lt;&gt;"",_xlpm.CSVVal
)),"")</f>
        <v/>
      </c>
      <c r="I751" s="40" t="str">
        <f>_xlfn.XLOOKUP(A751,Output_Mac!A:A,Output_Mac!I:I,"")</f>
        <v/>
      </c>
      <c r="J751" s="40" t="str" cm="1">
        <f t="array" ref="J751">IFERROR(_xlfn.LET(
_xlpm.CSVVal,_xlfn.XLOOKUP($A751,CSV!$A:$A,CSV!I:I,""),
_xlpm.MacVal,_xlfn.XLOOKUP($A751,Output_Mac!$A:$A,Output_Mac!J:J,""),
_xlpm.MyAuditVal,_xlfn.XLOOKUP($A751,My_Audit!$A:$A,My_Audit!I:I,""),
_xlfn.IFS(_xlpm.MyAuditVal&lt;&gt;"",UPPER(_xlpm.MyAuditVal),_xlpm.MacVal&lt;&gt;"",_xlpm.MacVal,_xlpm.CSVVal&lt;&gt;"",_xlpm.CSVVal
)),"")</f>
        <v/>
      </c>
      <c r="K751" s="40" t="str" cm="1">
        <f t="array" ref="K751">IFERROR(_xlfn.LET(
_xlpm.CSVVal,_xlfn.XLOOKUP($A751,CSV!$A:$A,CSV!K:K,""),
_xlpm.MacVal,_xlfn.XLOOKUP($A751,Output_Mac!$A:$A,Output_Mac!K:K,""),
_xlpm.MyAuditVal,_xlfn.XLOOKUP($A751,My_Audit!$A:$A,My_Audit!J:J,""),
_xlfn.IFS(_xlpm.MyAuditVal&lt;&gt;"",UPPER(_xlpm.MyAuditVal),_xlpm.MacVal&lt;&gt;"",_xlpm.MacVal,_xlpm.CSVVal&lt;&gt;"",_xlpm.CSVVal
)),"")</f>
        <v/>
      </c>
      <c r="L751" s="40" t="str" cm="1">
        <f t="array" ref="L751">IFERROR(_xlfn.LET(
_xlpm.CSVVal,_xlfn.XLOOKUP($A751,CSV!$A:$A,CSV!P:P,""),
_xlpm.MacVal,_xlfn.XLOOKUP($A751,Output_Mac!$A:$A,Output_Mac!L:L,""),
_xlpm.MyAuditVal,_xlfn.XLOOKUP($A751,My_Audit!$A:$A,My_Audit!K:K,""),
_xlfn.IFS(_xlpm.MyAuditVal&lt;&gt;"",UPPER(_xlpm.MyAuditVal),_xlpm.MacVal&lt;&gt;"",_xlpm.MacVal,_xlpm.CSVVal&lt;&gt;"",_xlpm.CSVVal
)),"")</f>
        <v/>
      </c>
      <c r="M751" s="40" t="str" cm="1">
        <f t="array" ref="M751">IFERROR(_xlfn.LET(
_xlpm.CSVVal,_xlfn.XLOOKUP($A751,CSV!$A:$A,CSV!Q:Q,""),
_xlpm.MacVal,_xlfn.XLOOKUP($A751,Output_Mac!$A:$A,Output_Mac!M:M,""),
_xlpm.MyAuditVal,_xlfn.XLOOKUP($A751,My_Audit!$A:$A,My_Audit!L:L,""),
_xlfn.IFS(_xlpm.MyAuditVal&lt;&gt;"",UPPER(_xlpm.MyAuditVal),_xlpm.MacVal&lt;&gt;"",_xlpm.MacVal,_xlpm.CSVVal&lt;&gt;"",_xlpm.CSVVal
)),"")</f>
        <v/>
      </c>
      <c r="N751" s="40"/>
      <c r="O751" s="40" t="str">
        <f>_xlfn.LET(
    _xlpm.CSVVal, _xlfn.XLOOKUP($A751, CSV!$A:$A, CSV!AA:AA, ""),
    _xlpm.MacVal, _xlfn.XLOOKUP($A751, Output_Mac!$A:$A, Output_Mac!S:S, ""),
    _xlpm.MyAuditVal, _xlfn.XLOOKUP($A751, My_Audit!$A:$A, My_Audit!P:P, ""),
    _xlfn.TEXTJOIN(", ", TRUE, _xlpm.MyAuditVal, _xlpm.MacVal, _xlpm.CSVVal)
)</f>
        <v/>
      </c>
      <c r="P751" s="40" t="str" cm="1">
        <f t="array" ref="P751">IFERROR(_xlfn.LET(
_xlpm.CSVVal,_xlfn.XLOOKUP($A751,CSV!$A:$A,CSV!AB:AB,""),
_xlpm.MacVal,_xlfn.XLOOKUP($A751,Output_Mac!$A:$A,Output_Mac!T:T,""),
_xlpm.MyAuditVal,_xlfn.XLOOKUP($A751,My_Audit!$A:$A,My_Audit!Q:Q,""),
_xlfn.IFS(_xlpm.MyAuditVal&lt;&gt;"",UPPER(_xlpm.MyAuditVal),_xlpm.MacVal&lt;&gt;"",_xlpm.MacVal,_xlpm.CSVVal&lt;&gt;"",_xlpm.CSVVal
)),"No")</f>
        <v>No</v>
      </c>
      <c r="Q751" s="40" t="str" cm="1">
        <f t="array" ref="Q751">IFERROR(_xlfn.LET(
_xlpm.CSVVal,_xlfn.XLOOKUP($A751,CSV!$A:$A,CSV!AC:AC,""),
_xlpm.MacVal,_xlfn.XLOOKUP($A751,Output_Mac!$A:$A,Output_Mac!U:U,""),
_xlpm.MyAuditVal,_xlfn.XLOOKUP($A751,My_Audit!$A:$A,My_Audit!R:R,""),
_xlfn.IFS(_xlpm.MyAuditVal&lt;&gt;"",UPPER(_xlpm.MyAuditVal),_xlpm.MacVal&lt;&gt;"",_xlpm.MacVal,_xlpm.CSVVal&lt;&gt;"",_xlpm.CSVVal
)),"")</f>
        <v/>
      </c>
      <c r="R751" s="40"/>
      <c r="S751" s="40"/>
      <c r="T751" s="40"/>
      <c r="U751" s="40"/>
      <c r="V751" s="40"/>
      <c r="W751" s="40"/>
      <c r="X751" s="41" t="str">
        <f>_xlfn.LET(
    _xlpm.MacVal, _xlfn.XLOOKUP($A751, Output_Mac!$A:$A, Output_Mac!AB:AB, ""),
    _xlpm.MyAuditVal, _xlfn.XLOOKUP($A751, My_Audit!$A:$A, My_Audit!N:N, ""),
    _xlfn.TEXTJOIN(", ", TRUE, _xlpm.MyAuditVal, _xlpm.MacVal)
)</f>
        <v/>
      </c>
    </row>
    <row r="752" spans="1:24">
      <c r="A752" s="40" t="str">
        <f>_xlfn.TEXTJOIN("",TRUE,Input!$B$2,ROW(My_Audit!A751))</f>
        <v>X751</v>
      </c>
      <c r="B752" s="40" t="str">
        <f>_xlfn.TEXTJOIN("-",TRUE,"ITD",Input!$A$2,A752)</f>
        <v>ITD-X751</v>
      </c>
      <c r="C752" s="40" t="str" cm="1">
        <f t="array" ref="C752">IFERROR(_xlfn.LET(
_xlpm.CSVVal,_xlfn.XLOOKUP($A752,CSV!$A:$A,CSV!B:B,""),
_xlpm.MacVal,_xlfn.XLOOKUP($A752,Output_Mac!$A:$A,Output_Mac!B:B,""),
_xlpm.MyAuditVal,_xlfn.XLOOKUP($A752,My_Audit!$A:$A,My_Audit!B:B,""),
_xlfn.IFS(_xlpm.MyAuditVal&lt;&gt;"",UPPER(_xlpm.MyAuditVal),_xlpm.MacVal&lt;&gt;"",_xlpm.MacVal,_xlpm.CSVVal&lt;&gt;"",_xlpm.CSVVal
)),"")</f>
        <v/>
      </c>
      <c r="D752" s="40" t="str" cm="1">
        <f t="array" ref="D752">IFERROR(_xlfn.LET(
_xlpm.CSVVal,_xlfn.XLOOKUP($A752,CSV!$A:$A,CSV!D:D,""),
_xlpm.MacVal,_xlfn.XLOOKUP($A752,Output_Mac!$A:$A,Output_Mac!C:C,""),
_xlpm.MyAuditVal,_xlfn.XLOOKUP($A752,My_Audit!$A:$A,My_Audit!C:C,""),
_xlfn.IFS(_xlpm.MyAuditVal&lt;&gt;"",_xlpm.MyAuditVal,_xlpm.MacVal&lt;&gt;"",_xlpm.MacVal,_xlpm.CSVVal&lt;&gt;"",_xlpm.CSVVal
)),"")</f>
        <v/>
      </c>
      <c r="E752" s="40" t="str">
        <f>_xlfn.XLOOKUP(A752,My_Audit!A:A,My_Audit!D:D,"")</f>
        <v/>
      </c>
      <c r="F752" s="40" t="str" cm="1">
        <f t="array" ref="F752">IFERROR(_xlfn.LET(
_xlpm.CSVVal,_xlfn.XLOOKUP($A752,CSV!$A:$A,CSV!F:F,""),
_xlpm.MacVal,_xlfn.XLOOKUP($A752,Output_Mac!$A:$A,Output_Mac!E:E,""),
_xlpm.MyAuditVal,_xlfn.XLOOKUP($A752,My_Audit!$A:$A,My_Audit!E:E,""),
_xlfn.IFS(_xlpm.MyAuditVal&lt;&gt;"",_xlpm.MyAuditVal,_xlpm.MacVal&lt;&gt;"",_xlpm.MacVal,_xlpm.CSVVal&lt;&gt;"",_xlpm.CSVVal
)),"")</f>
        <v/>
      </c>
      <c r="G752" s="40" t="str" cm="1">
        <f t="array" ref="G752">IFERROR(_xlfn.LET(
_xlpm.CSVVal,_xlfn.XLOOKUP($A752,CSV!$A:$A,CSV!G:G,""),
_xlpm.MacVal,_xlfn.XLOOKUP($A752,Output_Mac!$A:$A,Output_Mac!F:F,""),
_xlpm.MyAuditVal,_xlfn.XLOOKUP($A752,My_Audit!$A:$A,My_Audit!F:F,""),
_xlfn.IFS(_xlpm.MyAuditVal&lt;&gt;"",_xlpm.MyAuditVal,_xlpm.MacVal&lt;&gt;"",_xlpm.MacVal,_xlpm.CSVVal&lt;&gt;"",PROPER(_xlpm.CSVVal)
)),"")</f>
        <v/>
      </c>
      <c r="H752" s="40" t="str" cm="1">
        <f t="array" ref="H752">IFERROR(_xlfn.LET(
_xlpm.CSVVal,_xlfn.XLOOKUP($A752,CSV!$A:$A,CSV!H:H,""),
_xlpm.MacVal,_xlfn.XLOOKUP($A752,Output_Mac!$A:$A,Output_Mac!H:H,""),
_xlpm.MyAuditVal,_xlfn.XLOOKUP($A752,My_Audit!$A:$A,My_Audit!G:G,""),
_xlfn.IFS(_xlpm.MyAuditVal&lt;&gt;"",_xlpm.MyAuditVal,_xlpm.MacVal&lt;&gt;"",_xlpm.MacVal,_xlpm.CSVVal&lt;&gt;"",_xlpm.CSVVal
)),"")</f>
        <v/>
      </c>
      <c r="I752" s="40" t="str">
        <f>_xlfn.XLOOKUP(A752,Output_Mac!A:A,Output_Mac!I:I,"")</f>
        <v/>
      </c>
      <c r="J752" s="40" t="str" cm="1">
        <f t="array" ref="J752">IFERROR(_xlfn.LET(
_xlpm.CSVVal,_xlfn.XLOOKUP($A752,CSV!$A:$A,CSV!I:I,""),
_xlpm.MacVal,_xlfn.XLOOKUP($A752,Output_Mac!$A:$A,Output_Mac!J:J,""),
_xlpm.MyAuditVal,_xlfn.XLOOKUP($A752,My_Audit!$A:$A,My_Audit!I:I,""),
_xlfn.IFS(_xlpm.MyAuditVal&lt;&gt;"",UPPER(_xlpm.MyAuditVal),_xlpm.MacVal&lt;&gt;"",_xlpm.MacVal,_xlpm.CSVVal&lt;&gt;"",_xlpm.CSVVal
)),"")</f>
        <v/>
      </c>
      <c r="K752" s="40" t="str" cm="1">
        <f t="array" ref="K752">IFERROR(_xlfn.LET(
_xlpm.CSVVal,_xlfn.XLOOKUP($A752,CSV!$A:$A,CSV!K:K,""),
_xlpm.MacVal,_xlfn.XLOOKUP($A752,Output_Mac!$A:$A,Output_Mac!K:K,""),
_xlpm.MyAuditVal,_xlfn.XLOOKUP($A752,My_Audit!$A:$A,My_Audit!J:J,""),
_xlfn.IFS(_xlpm.MyAuditVal&lt;&gt;"",UPPER(_xlpm.MyAuditVal),_xlpm.MacVal&lt;&gt;"",_xlpm.MacVal,_xlpm.CSVVal&lt;&gt;"",_xlpm.CSVVal
)),"")</f>
        <v/>
      </c>
      <c r="L752" s="40" t="str" cm="1">
        <f t="array" ref="L752">IFERROR(_xlfn.LET(
_xlpm.CSVVal,_xlfn.XLOOKUP($A752,CSV!$A:$A,CSV!P:P,""),
_xlpm.MacVal,_xlfn.XLOOKUP($A752,Output_Mac!$A:$A,Output_Mac!L:L,""),
_xlpm.MyAuditVal,_xlfn.XLOOKUP($A752,My_Audit!$A:$A,My_Audit!K:K,""),
_xlfn.IFS(_xlpm.MyAuditVal&lt;&gt;"",UPPER(_xlpm.MyAuditVal),_xlpm.MacVal&lt;&gt;"",_xlpm.MacVal,_xlpm.CSVVal&lt;&gt;"",_xlpm.CSVVal
)),"")</f>
        <v/>
      </c>
      <c r="M752" s="40" t="str" cm="1">
        <f t="array" ref="M752">IFERROR(_xlfn.LET(
_xlpm.CSVVal,_xlfn.XLOOKUP($A752,CSV!$A:$A,CSV!Q:Q,""),
_xlpm.MacVal,_xlfn.XLOOKUP($A752,Output_Mac!$A:$A,Output_Mac!M:M,""),
_xlpm.MyAuditVal,_xlfn.XLOOKUP($A752,My_Audit!$A:$A,My_Audit!L:L,""),
_xlfn.IFS(_xlpm.MyAuditVal&lt;&gt;"",UPPER(_xlpm.MyAuditVal),_xlpm.MacVal&lt;&gt;"",_xlpm.MacVal,_xlpm.CSVVal&lt;&gt;"",_xlpm.CSVVal
)),"")</f>
        <v/>
      </c>
      <c r="N752" s="40"/>
      <c r="O752" s="40" t="str">
        <f>_xlfn.LET(
    _xlpm.CSVVal, _xlfn.XLOOKUP($A752, CSV!$A:$A, CSV!AA:AA, ""),
    _xlpm.MacVal, _xlfn.XLOOKUP($A752, Output_Mac!$A:$A, Output_Mac!S:S, ""),
    _xlpm.MyAuditVal, _xlfn.XLOOKUP($A752, My_Audit!$A:$A, My_Audit!P:P, ""),
    _xlfn.TEXTJOIN(", ", TRUE, _xlpm.MyAuditVal, _xlpm.MacVal, _xlpm.CSVVal)
)</f>
        <v/>
      </c>
      <c r="P752" s="40" t="str" cm="1">
        <f t="array" ref="P752">IFERROR(_xlfn.LET(
_xlpm.CSVVal,_xlfn.XLOOKUP($A752,CSV!$A:$A,CSV!AB:AB,""),
_xlpm.MacVal,_xlfn.XLOOKUP($A752,Output_Mac!$A:$A,Output_Mac!T:T,""),
_xlpm.MyAuditVal,_xlfn.XLOOKUP($A752,My_Audit!$A:$A,My_Audit!Q:Q,""),
_xlfn.IFS(_xlpm.MyAuditVal&lt;&gt;"",UPPER(_xlpm.MyAuditVal),_xlpm.MacVal&lt;&gt;"",_xlpm.MacVal,_xlpm.CSVVal&lt;&gt;"",_xlpm.CSVVal
)),"No")</f>
        <v>No</v>
      </c>
      <c r="Q752" s="40" t="str" cm="1">
        <f t="array" ref="Q752">IFERROR(_xlfn.LET(
_xlpm.CSVVal,_xlfn.XLOOKUP($A752,CSV!$A:$A,CSV!AC:AC,""),
_xlpm.MacVal,_xlfn.XLOOKUP($A752,Output_Mac!$A:$A,Output_Mac!U:U,""),
_xlpm.MyAuditVal,_xlfn.XLOOKUP($A752,My_Audit!$A:$A,My_Audit!R:R,""),
_xlfn.IFS(_xlpm.MyAuditVal&lt;&gt;"",UPPER(_xlpm.MyAuditVal),_xlpm.MacVal&lt;&gt;"",_xlpm.MacVal,_xlpm.CSVVal&lt;&gt;"",_xlpm.CSVVal
)),"")</f>
        <v/>
      </c>
      <c r="R752" s="40"/>
      <c r="S752" s="40"/>
      <c r="T752" s="40"/>
      <c r="U752" s="40"/>
      <c r="V752" s="40"/>
      <c r="W752" s="40"/>
      <c r="X752" s="41" t="str">
        <f>_xlfn.LET(
    _xlpm.MacVal, _xlfn.XLOOKUP($A752, Output_Mac!$A:$A, Output_Mac!AB:AB, ""),
    _xlpm.MyAuditVal, _xlfn.XLOOKUP($A752, My_Audit!$A:$A, My_Audit!N:N, ""),
    _xlfn.TEXTJOIN(", ", TRUE, _xlpm.MyAuditVal, _xlpm.MacVal)
)</f>
        <v/>
      </c>
    </row>
    <row r="753" spans="1:24">
      <c r="A753" s="40" t="str">
        <f>_xlfn.TEXTJOIN("",TRUE,Input!$B$2,ROW(My_Audit!A752))</f>
        <v>X752</v>
      </c>
      <c r="B753" s="40" t="str">
        <f>_xlfn.TEXTJOIN("-",TRUE,"ITD",Input!$A$2,A753)</f>
        <v>ITD-X752</v>
      </c>
      <c r="C753" s="40" t="str" cm="1">
        <f t="array" ref="C753">IFERROR(_xlfn.LET(
_xlpm.CSVVal,_xlfn.XLOOKUP($A753,CSV!$A:$A,CSV!B:B,""),
_xlpm.MacVal,_xlfn.XLOOKUP($A753,Output_Mac!$A:$A,Output_Mac!B:B,""),
_xlpm.MyAuditVal,_xlfn.XLOOKUP($A753,My_Audit!$A:$A,My_Audit!B:B,""),
_xlfn.IFS(_xlpm.MyAuditVal&lt;&gt;"",UPPER(_xlpm.MyAuditVal),_xlpm.MacVal&lt;&gt;"",_xlpm.MacVal,_xlpm.CSVVal&lt;&gt;"",_xlpm.CSVVal
)),"")</f>
        <v/>
      </c>
      <c r="D753" s="40" t="str" cm="1">
        <f t="array" ref="D753">IFERROR(_xlfn.LET(
_xlpm.CSVVal,_xlfn.XLOOKUP($A753,CSV!$A:$A,CSV!D:D,""),
_xlpm.MacVal,_xlfn.XLOOKUP($A753,Output_Mac!$A:$A,Output_Mac!C:C,""),
_xlpm.MyAuditVal,_xlfn.XLOOKUP($A753,My_Audit!$A:$A,My_Audit!C:C,""),
_xlfn.IFS(_xlpm.MyAuditVal&lt;&gt;"",_xlpm.MyAuditVal,_xlpm.MacVal&lt;&gt;"",_xlpm.MacVal,_xlpm.CSVVal&lt;&gt;"",_xlpm.CSVVal
)),"")</f>
        <v/>
      </c>
      <c r="E753" s="40" t="str">
        <f>_xlfn.XLOOKUP(A753,My_Audit!A:A,My_Audit!D:D,"")</f>
        <v/>
      </c>
      <c r="F753" s="40" t="str" cm="1">
        <f t="array" ref="F753">IFERROR(_xlfn.LET(
_xlpm.CSVVal,_xlfn.XLOOKUP($A753,CSV!$A:$A,CSV!F:F,""),
_xlpm.MacVal,_xlfn.XLOOKUP($A753,Output_Mac!$A:$A,Output_Mac!E:E,""),
_xlpm.MyAuditVal,_xlfn.XLOOKUP($A753,My_Audit!$A:$A,My_Audit!E:E,""),
_xlfn.IFS(_xlpm.MyAuditVal&lt;&gt;"",_xlpm.MyAuditVal,_xlpm.MacVal&lt;&gt;"",_xlpm.MacVal,_xlpm.CSVVal&lt;&gt;"",_xlpm.CSVVal
)),"")</f>
        <v/>
      </c>
      <c r="G753" s="40" t="str" cm="1">
        <f t="array" ref="G753">IFERROR(_xlfn.LET(
_xlpm.CSVVal,_xlfn.XLOOKUP($A753,CSV!$A:$A,CSV!G:G,""),
_xlpm.MacVal,_xlfn.XLOOKUP($A753,Output_Mac!$A:$A,Output_Mac!F:F,""),
_xlpm.MyAuditVal,_xlfn.XLOOKUP($A753,My_Audit!$A:$A,My_Audit!F:F,""),
_xlfn.IFS(_xlpm.MyAuditVal&lt;&gt;"",_xlpm.MyAuditVal,_xlpm.MacVal&lt;&gt;"",_xlpm.MacVal,_xlpm.CSVVal&lt;&gt;"",PROPER(_xlpm.CSVVal)
)),"")</f>
        <v/>
      </c>
      <c r="H753" s="40" t="str" cm="1">
        <f t="array" ref="H753">IFERROR(_xlfn.LET(
_xlpm.CSVVal,_xlfn.XLOOKUP($A753,CSV!$A:$A,CSV!H:H,""),
_xlpm.MacVal,_xlfn.XLOOKUP($A753,Output_Mac!$A:$A,Output_Mac!H:H,""),
_xlpm.MyAuditVal,_xlfn.XLOOKUP($A753,My_Audit!$A:$A,My_Audit!G:G,""),
_xlfn.IFS(_xlpm.MyAuditVal&lt;&gt;"",_xlpm.MyAuditVal,_xlpm.MacVal&lt;&gt;"",_xlpm.MacVal,_xlpm.CSVVal&lt;&gt;"",_xlpm.CSVVal
)),"")</f>
        <v/>
      </c>
      <c r="I753" s="40" t="str">
        <f>_xlfn.XLOOKUP(A753,Output_Mac!A:A,Output_Mac!I:I,"")</f>
        <v/>
      </c>
      <c r="J753" s="40" t="str" cm="1">
        <f t="array" ref="J753">IFERROR(_xlfn.LET(
_xlpm.CSVVal,_xlfn.XLOOKUP($A753,CSV!$A:$A,CSV!I:I,""),
_xlpm.MacVal,_xlfn.XLOOKUP($A753,Output_Mac!$A:$A,Output_Mac!J:J,""),
_xlpm.MyAuditVal,_xlfn.XLOOKUP($A753,My_Audit!$A:$A,My_Audit!I:I,""),
_xlfn.IFS(_xlpm.MyAuditVal&lt;&gt;"",UPPER(_xlpm.MyAuditVal),_xlpm.MacVal&lt;&gt;"",_xlpm.MacVal,_xlpm.CSVVal&lt;&gt;"",_xlpm.CSVVal
)),"")</f>
        <v/>
      </c>
      <c r="K753" s="40" t="str" cm="1">
        <f t="array" ref="K753">IFERROR(_xlfn.LET(
_xlpm.CSVVal,_xlfn.XLOOKUP($A753,CSV!$A:$A,CSV!K:K,""),
_xlpm.MacVal,_xlfn.XLOOKUP($A753,Output_Mac!$A:$A,Output_Mac!K:K,""),
_xlpm.MyAuditVal,_xlfn.XLOOKUP($A753,My_Audit!$A:$A,My_Audit!J:J,""),
_xlfn.IFS(_xlpm.MyAuditVal&lt;&gt;"",UPPER(_xlpm.MyAuditVal),_xlpm.MacVal&lt;&gt;"",_xlpm.MacVal,_xlpm.CSVVal&lt;&gt;"",_xlpm.CSVVal
)),"")</f>
        <v/>
      </c>
      <c r="L753" s="40" t="str" cm="1">
        <f t="array" ref="L753">IFERROR(_xlfn.LET(
_xlpm.CSVVal,_xlfn.XLOOKUP($A753,CSV!$A:$A,CSV!P:P,""),
_xlpm.MacVal,_xlfn.XLOOKUP($A753,Output_Mac!$A:$A,Output_Mac!L:L,""),
_xlpm.MyAuditVal,_xlfn.XLOOKUP($A753,My_Audit!$A:$A,My_Audit!K:K,""),
_xlfn.IFS(_xlpm.MyAuditVal&lt;&gt;"",UPPER(_xlpm.MyAuditVal),_xlpm.MacVal&lt;&gt;"",_xlpm.MacVal,_xlpm.CSVVal&lt;&gt;"",_xlpm.CSVVal
)),"")</f>
        <v/>
      </c>
      <c r="M753" s="40" t="str" cm="1">
        <f t="array" ref="M753">IFERROR(_xlfn.LET(
_xlpm.CSVVal,_xlfn.XLOOKUP($A753,CSV!$A:$A,CSV!Q:Q,""),
_xlpm.MacVal,_xlfn.XLOOKUP($A753,Output_Mac!$A:$A,Output_Mac!M:M,""),
_xlpm.MyAuditVal,_xlfn.XLOOKUP($A753,My_Audit!$A:$A,My_Audit!L:L,""),
_xlfn.IFS(_xlpm.MyAuditVal&lt;&gt;"",UPPER(_xlpm.MyAuditVal),_xlpm.MacVal&lt;&gt;"",_xlpm.MacVal,_xlpm.CSVVal&lt;&gt;"",_xlpm.CSVVal
)),"")</f>
        <v/>
      </c>
      <c r="N753" s="40"/>
      <c r="O753" s="40" t="str">
        <f>_xlfn.LET(
    _xlpm.CSVVal, _xlfn.XLOOKUP($A753, CSV!$A:$A, CSV!AA:AA, ""),
    _xlpm.MacVal, _xlfn.XLOOKUP($A753, Output_Mac!$A:$A, Output_Mac!S:S, ""),
    _xlpm.MyAuditVal, _xlfn.XLOOKUP($A753, My_Audit!$A:$A, My_Audit!P:P, ""),
    _xlfn.TEXTJOIN(", ", TRUE, _xlpm.MyAuditVal, _xlpm.MacVal, _xlpm.CSVVal)
)</f>
        <v/>
      </c>
      <c r="P753" s="40" t="str" cm="1">
        <f t="array" ref="P753">IFERROR(_xlfn.LET(
_xlpm.CSVVal,_xlfn.XLOOKUP($A753,CSV!$A:$A,CSV!AB:AB,""),
_xlpm.MacVal,_xlfn.XLOOKUP($A753,Output_Mac!$A:$A,Output_Mac!T:T,""),
_xlpm.MyAuditVal,_xlfn.XLOOKUP($A753,My_Audit!$A:$A,My_Audit!Q:Q,""),
_xlfn.IFS(_xlpm.MyAuditVal&lt;&gt;"",UPPER(_xlpm.MyAuditVal),_xlpm.MacVal&lt;&gt;"",_xlpm.MacVal,_xlpm.CSVVal&lt;&gt;"",_xlpm.CSVVal
)),"No")</f>
        <v>No</v>
      </c>
      <c r="Q753" s="40" t="str" cm="1">
        <f t="array" ref="Q753">IFERROR(_xlfn.LET(
_xlpm.CSVVal,_xlfn.XLOOKUP($A753,CSV!$A:$A,CSV!AC:AC,""),
_xlpm.MacVal,_xlfn.XLOOKUP($A753,Output_Mac!$A:$A,Output_Mac!U:U,""),
_xlpm.MyAuditVal,_xlfn.XLOOKUP($A753,My_Audit!$A:$A,My_Audit!R:R,""),
_xlfn.IFS(_xlpm.MyAuditVal&lt;&gt;"",UPPER(_xlpm.MyAuditVal),_xlpm.MacVal&lt;&gt;"",_xlpm.MacVal,_xlpm.CSVVal&lt;&gt;"",_xlpm.CSVVal
)),"")</f>
        <v/>
      </c>
      <c r="R753" s="40"/>
      <c r="S753" s="40"/>
      <c r="T753" s="40"/>
      <c r="U753" s="40"/>
      <c r="V753" s="40"/>
      <c r="W753" s="40"/>
      <c r="X753" s="41" t="str">
        <f>_xlfn.LET(
    _xlpm.MacVal, _xlfn.XLOOKUP($A753, Output_Mac!$A:$A, Output_Mac!AB:AB, ""),
    _xlpm.MyAuditVal, _xlfn.XLOOKUP($A753, My_Audit!$A:$A, My_Audit!N:N, ""),
    _xlfn.TEXTJOIN(", ", TRUE, _xlpm.MyAuditVal, _xlpm.MacVal)
)</f>
        <v/>
      </c>
    </row>
    <row r="754" spans="1:24">
      <c r="A754" s="40" t="str">
        <f>_xlfn.TEXTJOIN("",TRUE,Input!$B$2,ROW(My_Audit!A753))</f>
        <v>X753</v>
      </c>
      <c r="B754" s="40" t="str">
        <f>_xlfn.TEXTJOIN("-",TRUE,"ITD",Input!$A$2,A754)</f>
        <v>ITD-X753</v>
      </c>
      <c r="C754" s="40" t="str" cm="1">
        <f t="array" ref="C754">IFERROR(_xlfn.LET(
_xlpm.CSVVal,_xlfn.XLOOKUP($A754,CSV!$A:$A,CSV!B:B,""),
_xlpm.MacVal,_xlfn.XLOOKUP($A754,Output_Mac!$A:$A,Output_Mac!B:B,""),
_xlpm.MyAuditVal,_xlfn.XLOOKUP($A754,My_Audit!$A:$A,My_Audit!B:B,""),
_xlfn.IFS(_xlpm.MyAuditVal&lt;&gt;"",UPPER(_xlpm.MyAuditVal),_xlpm.MacVal&lt;&gt;"",_xlpm.MacVal,_xlpm.CSVVal&lt;&gt;"",_xlpm.CSVVal
)),"")</f>
        <v/>
      </c>
      <c r="D754" s="40" t="str" cm="1">
        <f t="array" ref="D754">IFERROR(_xlfn.LET(
_xlpm.CSVVal,_xlfn.XLOOKUP($A754,CSV!$A:$A,CSV!D:D,""),
_xlpm.MacVal,_xlfn.XLOOKUP($A754,Output_Mac!$A:$A,Output_Mac!C:C,""),
_xlpm.MyAuditVal,_xlfn.XLOOKUP($A754,My_Audit!$A:$A,My_Audit!C:C,""),
_xlfn.IFS(_xlpm.MyAuditVal&lt;&gt;"",_xlpm.MyAuditVal,_xlpm.MacVal&lt;&gt;"",_xlpm.MacVal,_xlpm.CSVVal&lt;&gt;"",_xlpm.CSVVal
)),"")</f>
        <v/>
      </c>
      <c r="E754" s="40" t="str">
        <f>_xlfn.XLOOKUP(A754,My_Audit!A:A,My_Audit!D:D,"")</f>
        <v/>
      </c>
      <c r="F754" s="40" t="str" cm="1">
        <f t="array" ref="F754">IFERROR(_xlfn.LET(
_xlpm.CSVVal,_xlfn.XLOOKUP($A754,CSV!$A:$A,CSV!F:F,""),
_xlpm.MacVal,_xlfn.XLOOKUP($A754,Output_Mac!$A:$A,Output_Mac!E:E,""),
_xlpm.MyAuditVal,_xlfn.XLOOKUP($A754,My_Audit!$A:$A,My_Audit!E:E,""),
_xlfn.IFS(_xlpm.MyAuditVal&lt;&gt;"",_xlpm.MyAuditVal,_xlpm.MacVal&lt;&gt;"",_xlpm.MacVal,_xlpm.CSVVal&lt;&gt;"",_xlpm.CSVVal
)),"")</f>
        <v/>
      </c>
      <c r="G754" s="40" t="str" cm="1">
        <f t="array" ref="G754">IFERROR(_xlfn.LET(
_xlpm.CSVVal,_xlfn.XLOOKUP($A754,CSV!$A:$A,CSV!G:G,""),
_xlpm.MacVal,_xlfn.XLOOKUP($A754,Output_Mac!$A:$A,Output_Mac!F:F,""),
_xlpm.MyAuditVal,_xlfn.XLOOKUP($A754,My_Audit!$A:$A,My_Audit!F:F,""),
_xlfn.IFS(_xlpm.MyAuditVal&lt;&gt;"",_xlpm.MyAuditVal,_xlpm.MacVal&lt;&gt;"",_xlpm.MacVal,_xlpm.CSVVal&lt;&gt;"",PROPER(_xlpm.CSVVal)
)),"")</f>
        <v/>
      </c>
      <c r="H754" s="40" t="str" cm="1">
        <f t="array" ref="H754">IFERROR(_xlfn.LET(
_xlpm.CSVVal,_xlfn.XLOOKUP($A754,CSV!$A:$A,CSV!H:H,""),
_xlpm.MacVal,_xlfn.XLOOKUP($A754,Output_Mac!$A:$A,Output_Mac!H:H,""),
_xlpm.MyAuditVal,_xlfn.XLOOKUP($A754,My_Audit!$A:$A,My_Audit!G:G,""),
_xlfn.IFS(_xlpm.MyAuditVal&lt;&gt;"",_xlpm.MyAuditVal,_xlpm.MacVal&lt;&gt;"",_xlpm.MacVal,_xlpm.CSVVal&lt;&gt;"",_xlpm.CSVVal
)),"")</f>
        <v/>
      </c>
      <c r="I754" s="40" t="str">
        <f>_xlfn.XLOOKUP(A754,Output_Mac!A:A,Output_Mac!I:I,"")</f>
        <v/>
      </c>
      <c r="J754" s="40" t="str" cm="1">
        <f t="array" ref="J754">IFERROR(_xlfn.LET(
_xlpm.CSVVal,_xlfn.XLOOKUP($A754,CSV!$A:$A,CSV!I:I,""),
_xlpm.MacVal,_xlfn.XLOOKUP($A754,Output_Mac!$A:$A,Output_Mac!J:J,""),
_xlpm.MyAuditVal,_xlfn.XLOOKUP($A754,My_Audit!$A:$A,My_Audit!I:I,""),
_xlfn.IFS(_xlpm.MyAuditVal&lt;&gt;"",UPPER(_xlpm.MyAuditVal),_xlpm.MacVal&lt;&gt;"",_xlpm.MacVal,_xlpm.CSVVal&lt;&gt;"",_xlpm.CSVVal
)),"")</f>
        <v/>
      </c>
      <c r="K754" s="40" t="str" cm="1">
        <f t="array" ref="K754">IFERROR(_xlfn.LET(
_xlpm.CSVVal,_xlfn.XLOOKUP($A754,CSV!$A:$A,CSV!K:K,""),
_xlpm.MacVal,_xlfn.XLOOKUP($A754,Output_Mac!$A:$A,Output_Mac!K:K,""),
_xlpm.MyAuditVal,_xlfn.XLOOKUP($A754,My_Audit!$A:$A,My_Audit!J:J,""),
_xlfn.IFS(_xlpm.MyAuditVal&lt;&gt;"",UPPER(_xlpm.MyAuditVal),_xlpm.MacVal&lt;&gt;"",_xlpm.MacVal,_xlpm.CSVVal&lt;&gt;"",_xlpm.CSVVal
)),"")</f>
        <v/>
      </c>
      <c r="L754" s="40" t="str" cm="1">
        <f t="array" ref="L754">IFERROR(_xlfn.LET(
_xlpm.CSVVal,_xlfn.XLOOKUP($A754,CSV!$A:$A,CSV!P:P,""),
_xlpm.MacVal,_xlfn.XLOOKUP($A754,Output_Mac!$A:$A,Output_Mac!L:L,""),
_xlpm.MyAuditVal,_xlfn.XLOOKUP($A754,My_Audit!$A:$A,My_Audit!K:K,""),
_xlfn.IFS(_xlpm.MyAuditVal&lt;&gt;"",UPPER(_xlpm.MyAuditVal),_xlpm.MacVal&lt;&gt;"",_xlpm.MacVal,_xlpm.CSVVal&lt;&gt;"",_xlpm.CSVVal
)),"")</f>
        <v/>
      </c>
      <c r="M754" s="40" t="str" cm="1">
        <f t="array" ref="M754">IFERROR(_xlfn.LET(
_xlpm.CSVVal,_xlfn.XLOOKUP($A754,CSV!$A:$A,CSV!Q:Q,""),
_xlpm.MacVal,_xlfn.XLOOKUP($A754,Output_Mac!$A:$A,Output_Mac!M:M,""),
_xlpm.MyAuditVal,_xlfn.XLOOKUP($A754,My_Audit!$A:$A,My_Audit!L:L,""),
_xlfn.IFS(_xlpm.MyAuditVal&lt;&gt;"",UPPER(_xlpm.MyAuditVal),_xlpm.MacVal&lt;&gt;"",_xlpm.MacVal,_xlpm.CSVVal&lt;&gt;"",_xlpm.CSVVal
)),"")</f>
        <v/>
      </c>
      <c r="N754" s="40"/>
      <c r="O754" s="40" t="str">
        <f>_xlfn.LET(
    _xlpm.CSVVal, _xlfn.XLOOKUP($A754, CSV!$A:$A, CSV!AA:AA, ""),
    _xlpm.MacVal, _xlfn.XLOOKUP($A754, Output_Mac!$A:$A, Output_Mac!S:S, ""),
    _xlpm.MyAuditVal, _xlfn.XLOOKUP($A754, My_Audit!$A:$A, My_Audit!P:P, ""),
    _xlfn.TEXTJOIN(", ", TRUE, _xlpm.MyAuditVal, _xlpm.MacVal, _xlpm.CSVVal)
)</f>
        <v/>
      </c>
      <c r="P754" s="40" t="str" cm="1">
        <f t="array" ref="P754">IFERROR(_xlfn.LET(
_xlpm.CSVVal,_xlfn.XLOOKUP($A754,CSV!$A:$A,CSV!AB:AB,""),
_xlpm.MacVal,_xlfn.XLOOKUP($A754,Output_Mac!$A:$A,Output_Mac!T:T,""),
_xlpm.MyAuditVal,_xlfn.XLOOKUP($A754,My_Audit!$A:$A,My_Audit!Q:Q,""),
_xlfn.IFS(_xlpm.MyAuditVal&lt;&gt;"",UPPER(_xlpm.MyAuditVal),_xlpm.MacVal&lt;&gt;"",_xlpm.MacVal,_xlpm.CSVVal&lt;&gt;"",_xlpm.CSVVal
)),"No")</f>
        <v>No</v>
      </c>
      <c r="Q754" s="40" t="str" cm="1">
        <f t="array" ref="Q754">IFERROR(_xlfn.LET(
_xlpm.CSVVal,_xlfn.XLOOKUP($A754,CSV!$A:$A,CSV!AC:AC,""),
_xlpm.MacVal,_xlfn.XLOOKUP($A754,Output_Mac!$A:$A,Output_Mac!U:U,""),
_xlpm.MyAuditVal,_xlfn.XLOOKUP($A754,My_Audit!$A:$A,My_Audit!R:R,""),
_xlfn.IFS(_xlpm.MyAuditVal&lt;&gt;"",UPPER(_xlpm.MyAuditVal),_xlpm.MacVal&lt;&gt;"",_xlpm.MacVal,_xlpm.CSVVal&lt;&gt;"",_xlpm.CSVVal
)),"")</f>
        <v/>
      </c>
      <c r="R754" s="40"/>
      <c r="S754" s="40"/>
      <c r="T754" s="40"/>
      <c r="U754" s="40"/>
      <c r="V754" s="40"/>
      <c r="W754" s="40"/>
      <c r="X754" s="41" t="str">
        <f>_xlfn.LET(
    _xlpm.MacVal, _xlfn.XLOOKUP($A754, Output_Mac!$A:$A, Output_Mac!AB:AB, ""),
    _xlpm.MyAuditVal, _xlfn.XLOOKUP($A754, My_Audit!$A:$A, My_Audit!N:N, ""),
    _xlfn.TEXTJOIN(", ", TRUE, _xlpm.MyAuditVal, _xlpm.MacVal)
)</f>
        <v/>
      </c>
    </row>
    <row r="755" spans="1:24">
      <c r="A755" s="40" t="str">
        <f>_xlfn.TEXTJOIN("",TRUE,Input!$B$2,ROW(My_Audit!A754))</f>
        <v>X754</v>
      </c>
      <c r="B755" s="40" t="str">
        <f>_xlfn.TEXTJOIN("-",TRUE,"ITD",Input!$A$2,A755)</f>
        <v>ITD-X754</v>
      </c>
      <c r="C755" s="40" t="str" cm="1">
        <f t="array" ref="C755">IFERROR(_xlfn.LET(
_xlpm.CSVVal,_xlfn.XLOOKUP($A755,CSV!$A:$A,CSV!B:B,""),
_xlpm.MacVal,_xlfn.XLOOKUP($A755,Output_Mac!$A:$A,Output_Mac!B:B,""),
_xlpm.MyAuditVal,_xlfn.XLOOKUP($A755,My_Audit!$A:$A,My_Audit!B:B,""),
_xlfn.IFS(_xlpm.MyAuditVal&lt;&gt;"",UPPER(_xlpm.MyAuditVal),_xlpm.MacVal&lt;&gt;"",_xlpm.MacVal,_xlpm.CSVVal&lt;&gt;"",_xlpm.CSVVal
)),"")</f>
        <v/>
      </c>
      <c r="D755" s="40" t="str" cm="1">
        <f t="array" ref="D755">IFERROR(_xlfn.LET(
_xlpm.CSVVal,_xlfn.XLOOKUP($A755,CSV!$A:$A,CSV!D:D,""),
_xlpm.MacVal,_xlfn.XLOOKUP($A755,Output_Mac!$A:$A,Output_Mac!C:C,""),
_xlpm.MyAuditVal,_xlfn.XLOOKUP($A755,My_Audit!$A:$A,My_Audit!C:C,""),
_xlfn.IFS(_xlpm.MyAuditVal&lt;&gt;"",_xlpm.MyAuditVal,_xlpm.MacVal&lt;&gt;"",_xlpm.MacVal,_xlpm.CSVVal&lt;&gt;"",_xlpm.CSVVal
)),"")</f>
        <v/>
      </c>
      <c r="E755" s="40" t="str">
        <f>_xlfn.XLOOKUP(A755,My_Audit!A:A,My_Audit!D:D,"")</f>
        <v/>
      </c>
      <c r="F755" s="40" t="str" cm="1">
        <f t="array" ref="F755">IFERROR(_xlfn.LET(
_xlpm.CSVVal,_xlfn.XLOOKUP($A755,CSV!$A:$A,CSV!F:F,""),
_xlpm.MacVal,_xlfn.XLOOKUP($A755,Output_Mac!$A:$A,Output_Mac!E:E,""),
_xlpm.MyAuditVal,_xlfn.XLOOKUP($A755,My_Audit!$A:$A,My_Audit!E:E,""),
_xlfn.IFS(_xlpm.MyAuditVal&lt;&gt;"",_xlpm.MyAuditVal,_xlpm.MacVal&lt;&gt;"",_xlpm.MacVal,_xlpm.CSVVal&lt;&gt;"",_xlpm.CSVVal
)),"")</f>
        <v/>
      </c>
      <c r="G755" s="40" t="str" cm="1">
        <f t="array" ref="G755">IFERROR(_xlfn.LET(
_xlpm.CSVVal,_xlfn.XLOOKUP($A755,CSV!$A:$A,CSV!G:G,""),
_xlpm.MacVal,_xlfn.XLOOKUP($A755,Output_Mac!$A:$A,Output_Mac!F:F,""),
_xlpm.MyAuditVal,_xlfn.XLOOKUP($A755,My_Audit!$A:$A,My_Audit!F:F,""),
_xlfn.IFS(_xlpm.MyAuditVal&lt;&gt;"",_xlpm.MyAuditVal,_xlpm.MacVal&lt;&gt;"",_xlpm.MacVal,_xlpm.CSVVal&lt;&gt;"",PROPER(_xlpm.CSVVal)
)),"")</f>
        <v/>
      </c>
      <c r="H755" s="40" t="str" cm="1">
        <f t="array" ref="H755">IFERROR(_xlfn.LET(
_xlpm.CSVVal,_xlfn.XLOOKUP($A755,CSV!$A:$A,CSV!H:H,""),
_xlpm.MacVal,_xlfn.XLOOKUP($A755,Output_Mac!$A:$A,Output_Mac!H:H,""),
_xlpm.MyAuditVal,_xlfn.XLOOKUP($A755,My_Audit!$A:$A,My_Audit!G:G,""),
_xlfn.IFS(_xlpm.MyAuditVal&lt;&gt;"",_xlpm.MyAuditVal,_xlpm.MacVal&lt;&gt;"",_xlpm.MacVal,_xlpm.CSVVal&lt;&gt;"",_xlpm.CSVVal
)),"")</f>
        <v/>
      </c>
      <c r="I755" s="40" t="str">
        <f>_xlfn.XLOOKUP(A755,Output_Mac!A:A,Output_Mac!I:I,"")</f>
        <v/>
      </c>
      <c r="J755" s="40" t="str" cm="1">
        <f t="array" ref="J755">IFERROR(_xlfn.LET(
_xlpm.CSVVal,_xlfn.XLOOKUP($A755,CSV!$A:$A,CSV!I:I,""),
_xlpm.MacVal,_xlfn.XLOOKUP($A755,Output_Mac!$A:$A,Output_Mac!J:J,""),
_xlpm.MyAuditVal,_xlfn.XLOOKUP($A755,My_Audit!$A:$A,My_Audit!I:I,""),
_xlfn.IFS(_xlpm.MyAuditVal&lt;&gt;"",UPPER(_xlpm.MyAuditVal),_xlpm.MacVal&lt;&gt;"",_xlpm.MacVal,_xlpm.CSVVal&lt;&gt;"",_xlpm.CSVVal
)),"")</f>
        <v/>
      </c>
      <c r="K755" s="40" t="str" cm="1">
        <f t="array" ref="K755">IFERROR(_xlfn.LET(
_xlpm.CSVVal,_xlfn.XLOOKUP($A755,CSV!$A:$A,CSV!K:K,""),
_xlpm.MacVal,_xlfn.XLOOKUP($A755,Output_Mac!$A:$A,Output_Mac!K:K,""),
_xlpm.MyAuditVal,_xlfn.XLOOKUP($A755,My_Audit!$A:$A,My_Audit!J:J,""),
_xlfn.IFS(_xlpm.MyAuditVal&lt;&gt;"",UPPER(_xlpm.MyAuditVal),_xlpm.MacVal&lt;&gt;"",_xlpm.MacVal,_xlpm.CSVVal&lt;&gt;"",_xlpm.CSVVal
)),"")</f>
        <v/>
      </c>
      <c r="L755" s="40" t="str" cm="1">
        <f t="array" ref="L755">IFERROR(_xlfn.LET(
_xlpm.CSVVal,_xlfn.XLOOKUP($A755,CSV!$A:$A,CSV!P:P,""),
_xlpm.MacVal,_xlfn.XLOOKUP($A755,Output_Mac!$A:$A,Output_Mac!L:L,""),
_xlpm.MyAuditVal,_xlfn.XLOOKUP($A755,My_Audit!$A:$A,My_Audit!K:K,""),
_xlfn.IFS(_xlpm.MyAuditVal&lt;&gt;"",UPPER(_xlpm.MyAuditVal),_xlpm.MacVal&lt;&gt;"",_xlpm.MacVal,_xlpm.CSVVal&lt;&gt;"",_xlpm.CSVVal
)),"")</f>
        <v/>
      </c>
      <c r="M755" s="40" t="str" cm="1">
        <f t="array" ref="M755">IFERROR(_xlfn.LET(
_xlpm.CSVVal,_xlfn.XLOOKUP($A755,CSV!$A:$A,CSV!Q:Q,""),
_xlpm.MacVal,_xlfn.XLOOKUP($A755,Output_Mac!$A:$A,Output_Mac!M:M,""),
_xlpm.MyAuditVal,_xlfn.XLOOKUP($A755,My_Audit!$A:$A,My_Audit!L:L,""),
_xlfn.IFS(_xlpm.MyAuditVal&lt;&gt;"",UPPER(_xlpm.MyAuditVal),_xlpm.MacVal&lt;&gt;"",_xlpm.MacVal,_xlpm.CSVVal&lt;&gt;"",_xlpm.CSVVal
)),"")</f>
        <v/>
      </c>
      <c r="N755" s="40"/>
      <c r="O755" s="40" t="str">
        <f>_xlfn.LET(
    _xlpm.CSVVal, _xlfn.XLOOKUP($A755, CSV!$A:$A, CSV!AA:AA, ""),
    _xlpm.MacVal, _xlfn.XLOOKUP($A755, Output_Mac!$A:$A, Output_Mac!S:S, ""),
    _xlpm.MyAuditVal, _xlfn.XLOOKUP($A755, My_Audit!$A:$A, My_Audit!P:P, ""),
    _xlfn.TEXTJOIN(", ", TRUE, _xlpm.MyAuditVal, _xlpm.MacVal, _xlpm.CSVVal)
)</f>
        <v/>
      </c>
      <c r="P755" s="40" t="str" cm="1">
        <f t="array" ref="P755">IFERROR(_xlfn.LET(
_xlpm.CSVVal,_xlfn.XLOOKUP($A755,CSV!$A:$A,CSV!AB:AB,""),
_xlpm.MacVal,_xlfn.XLOOKUP($A755,Output_Mac!$A:$A,Output_Mac!T:T,""),
_xlpm.MyAuditVal,_xlfn.XLOOKUP($A755,My_Audit!$A:$A,My_Audit!Q:Q,""),
_xlfn.IFS(_xlpm.MyAuditVal&lt;&gt;"",UPPER(_xlpm.MyAuditVal),_xlpm.MacVal&lt;&gt;"",_xlpm.MacVal,_xlpm.CSVVal&lt;&gt;"",_xlpm.CSVVal
)),"No")</f>
        <v>No</v>
      </c>
      <c r="Q755" s="40" t="str" cm="1">
        <f t="array" ref="Q755">IFERROR(_xlfn.LET(
_xlpm.CSVVal,_xlfn.XLOOKUP($A755,CSV!$A:$A,CSV!AC:AC,""),
_xlpm.MacVal,_xlfn.XLOOKUP($A755,Output_Mac!$A:$A,Output_Mac!U:U,""),
_xlpm.MyAuditVal,_xlfn.XLOOKUP($A755,My_Audit!$A:$A,My_Audit!R:R,""),
_xlfn.IFS(_xlpm.MyAuditVal&lt;&gt;"",UPPER(_xlpm.MyAuditVal),_xlpm.MacVal&lt;&gt;"",_xlpm.MacVal,_xlpm.CSVVal&lt;&gt;"",_xlpm.CSVVal
)),"")</f>
        <v/>
      </c>
      <c r="R755" s="40"/>
      <c r="S755" s="40"/>
      <c r="T755" s="40"/>
      <c r="U755" s="40"/>
      <c r="V755" s="40"/>
      <c r="W755" s="40"/>
      <c r="X755" s="41" t="str">
        <f>_xlfn.LET(
    _xlpm.MacVal, _xlfn.XLOOKUP($A755, Output_Mac!$A:$A, Output_Mac!AB:AB, ""),
    _xlpm.MyAuditVal, _xlfn.XLOOKUP($A755, My_Audit!$A:$A, My_Audit!N:N, ""),
    _xlfn.TEXTJOIN(", ", TRUE, _xlpm.MyAuditVal, _xlpm.MacVal)
)</f>
        <v/>
      </c>
    </row>
    <row r="756" spans="1:24">
      <c r="A756" s="40" t="str">
        <f>_xlfn.TEXTJOIN("",TRUE,Input!$B$2,ROW(My_Audit!A755))</f>
        <v>X755</v>
      </c>
      <c r="B756" s="40" t="str">
        <f>_xlfn.TEXTJOIN("-",TRUE,"ITD",Input!$A$2,A756)</f>
        <v>ITD-X755</v>
      </c>
      <c r="C756" s="40" t="str" cm="1">
        <f t="array" ref="C756">IFERROR(_xlfn.LET(
_xlpm.CSVVal,_xlfn.XLOOKUP($A756,CSV!$A:$A,CSV!B:B,""),
_xlpm.MacVal,_xlfn.XLOOKUP($A756,Output_Mac!$A:$A,Output_Mac!B:B,""),
_xlpm.MyAuditVal,_xlfn.XLOOKUP($A756,My_Audit!$A:$A,My_Audit!B:B,""),
_xlfn.IFS(_xlpm.MyAuditVal&lt;&gt;"",UPPER(_xlpm.MyAuditVal),_xlpm.MacVal&lt;&gt;"",_xlpm.MacVal,_xlpm.CSVVal&lt;&gt;"",_xlpm.CSVVal
)),"")</f>
        <v/>
      </c>
      <c r="D756" s="40" t="str" cm="1">
        <f t="array" ref="D756">IFERROR(_xlfn.LET(
_xlpm.CSVVal,_xlfn.XLOOKUP($A756,CSV!$A:$A,CSV!D:D,""),
_xlpm.MacVal,_xlfn.XLOOKUP($A756,Output_Mac!$A:$A,Output_Mac!C:C,""),
_xlpm.MyAuditVal,_xlfn.XLOOKUP($A756,My_Audit!$A:$A,My_Audit!C:C,""),
_xlfn.IFS(_xlpm.MyAuditVal&lt;&gt;"",_xlpm.MyAuditVal,_xlpm.MacVal&lt;&gt;"",_xlpm.MacVal,_xlpm.CSVVal&lt;&gt;"",_xlpm.CSVVal
)),"")</f>
        <v/>
      </c>
      <c r="E756" s="40" t="str">
        <f>_xlfn.XLOOKUP(A756,My_Audit!A:A,My_Audit!D:D,"")</f>
        <v/>
      </c>
      <c r="F756" s="40" t="str" cm="1">
        <f t="array" ref="F756">IFERROR(_xlfn.LET(
_xlpm.CSVVal,_xlfn.XLOOKUP($A756,CSV!$A:$A,CSV!F:F,""),
_xlpm.MacVal,_xlfn.XLOOKUP($A756,Output_Mac!$A:$A,Output_Mac!E:E,""),
_xlpm.MyAuditVal,_xlfn.XLOOKUP($A756,My_Audit!$A:$A,My_Audit!E:E,""),
_xlfn.IFS(_xlpm.MyAuditVal&lt;&gt;"",_xlpm.MyAuditVal,_xlpm.MacVal&lt;&gt;"",_xlpm.MacVal,_xlpm.CSVVal&lt;&gt;"",_xlpm.CSVVal
)),"")</f>
        <v/>
      </c>
      <c r="G756" s="40" t="str" cm="1">
        <f t="array" ref="G756">IFERROR(_xlfn.LET(
_xlpm.CSVVal,_xlfn.XLOOKUP($A756,CSV!$A:$A,CSV!G:G,""),
_xlpm.MacVal,_xlfn.XLOOKUP($A756,Output_Mac!$A:$A,Output_Mac!F:F,""),
_xlpm.MyAuditVal,_xlfn.XLOOKUP($A756,My_Audit!$A:$A,My_Audit!F:F,""),
_xlfn.IFS(_xlpm.MyAuditVal&lt;&gt;"",_xlpm.MyAuditVal,_xlpm.MacVal&lt;&gt;"",_xlpm.MacVal,_xlpm.CSVVal&lt;&gt;"",PROPER(_xlpm.CSVVal)
)),"")</f>
        <v/>
      </c>
      <c r="H756" s="40" t="str" cm="1">
        <f t="array" ref="H756">IFERROR(_xlfn.LET(
_xlpm.CSVVal,_xlfn.XLOOKUP($A756,CSV!$A:$A,CSV!H:H,""),
_xlpm.MacVal,_xlfn.XLOOKUP($A756,Output_Mac!$A:$A,Output_Mac!H:H,""),
_xlpm.MyAuditVal,_xlfn.XLOOKUP($A756,My_Audit!$A:$A,My_Audit!G:G,""),
_xlfn.IFS(_xlpm.MyAuditVal&lt;&gt;"",_xlpm.MyAuditVal,_xlpm.MacVal&lt;&gt;"",_xlpm.MacVal,_xlpm.CSVVal&lt;&gt;"",_xlpm.CSVVal
)),"")</f>
        <v/>
      </c>
      <c r="I756" s="40" t="str">
        <f>_xlfn.XLOOKUP(A756,Output_Mac!A:A,Output_Mac!I:I,"")</f>
        <v/>
      </c>
      <c r="J756" s="40" t="str" cm="1">
        <f t="array" ref="J756">IFERROR(_xlfn.LET(
_xlpm.CSVVal,_xlfn.XLOOKUP($A756,CSV!$A:$A,CSV!I:I,""),
_xlpm.MacVal,_xlfn.XLOOKUP($A756,Output_Mac!$A:$A,Output_Mac!J:J,""),
_xlpm.MyAuditVal,_xlfn.XLOOKUP($A756,My_Audit!$A:$A,My_Audit!I:I,""),
_xlfn.IFS(_xlpm.MyAuditVal&lt;&gt;"",UPPER(_xlpm.MyAuditVal),_xlpm.MacVal&lt;&gt;"",_xlpm.MacVal,_xlpm.CSVVal&lt;&gt;"",_xlpm.CSVVal
)),"")</f>
        <v/>
      </c>
      <c r="K756" s="40" t="str" cm="1">
        <f t="array" ref="K756">IFERROR(_xlfn.LET(
_xlpm.CSVVal,_xlfn.XLOOKUP($A756,CSV!$A:$A,CSV!K:K,""),
_xlpm.MacVal,_xlfn.XLOOKUP($A756,Output_Mac!$A:$A,Output_Mac!K:K,""),
_xlpm.MyAuditVal,_xlfn.XLOOKUP($A756,My_Audit!$A:$A,My_Audit!J:J,""),
_xlfn.IFS(_xlpm.MyAuditVal&lt;&gt;"",UPPER(_xlpm.MyAuditVal),_xlpm.MacVal&lt;&gt;"",_xlpm.MacVal,_xlpm.CSVVal&lt;&gt;"",_xlpm.CSVVal
)),"")</f>
        <v/>
      </c>
      <c r="L756" s="40" t="str" cm="1">
        <f t="array" ref="L756">IFERROR(_xlfn.LET(
_xlpm.CSVVal,_xlfn.XLOOKUP($A756,CSV!$A:$A,CSV!P:P,""),
_xlpm.MacVal,_xlfn.XLOOKUP($A756,Output_Mac!$A:$A,Output_Mac!L:L,""),
_xlpm.MyAuditVal,_xlfn.XLOOKUP($A756,My_Audit!$A:$A,My_Audit!K:K,""),
_xlfn.IFS(_xlpm.MyAuditVal&lt;&gt;"",UPPER(_xlpm.MyAuditVal),_xlpm.MacVal&lt;&gt;"",_xlpm.MacVal,_xlpm.CSVVal&lt;&gt;"",_xlpm.CSVVal
)),"")</f>
        <v/>
      </c>
      <c r="M756" s="40" t="str" cm="1">
        <f t="array" ref="M756">IFERROR(_xlfn.LET(
_xlpm.CSVVal,_xlfn.XLOOKUP($A756,CSV!$A:$A,CSV!Q:Q,""),
_xlpm.MacVal,_xlfn.XLOOKUP($A756,Output_Mac!$A:$A,Output_Mac!M:M,""),
_xlpm.MyAuditVal,_xlfn.XLOOKUP($A756,My_Audit!$A:$A,My_Audit!L:L,""),
_xlfn.IFS(_xlpm.MyAuditVal&lt;&gt;"",UPPER(_xlpm.MyAuditVal),_xlpm.MacVal&lt;&gt;"",_xlpm.MacVal,_xlpm.CSVVal&lt;&gt;"",_xlpm.CSVVal
)),"")</f>
        <v/>
      </c>
      <c r="N756" s="40"/>
      <c r="O756" s="40" t="str">
        <f>_xlfn.LET(
    _xlpm.CSVVal, _xlfn.XLOOKUP($A756, CSV!$A:$A, CSV!AA:AA, ""),
    _xlpm.MacVal, _xlfn.XLOOKUP($A756, Output_Mac!$A:$A, Output_Mac!S:S, ""),
    _xlpm.MyAuditVal, _xlfn.XLOOKUP($A756, My_Audit!$A:$A, My_Audit!P:P, ""),
    _xlfn.TEXTJOIN(", ", TRUE, _xlpm.MyAuditVal, _xlpm.MacVal, _xlpm.CSVVal)
)</f>
        <v/>
      </c>
      <c r="P756" s="40" t="str" cm="1">
        <f t="array" ref="P756">IFERROR(_xlfn.LET(
_xlpm.CSVVal,_xlfn.XLOOKUP($A756,CSV!$A:$A,CSV!AB:AB,""),
_xlpm.MacVal,_xlfn.XLOOKUP($A756,Output_Mac!$A:$A,Output_Mac!T:T,""),
_xlpm.MyAuditVal,_xlfn.XLOOKUP($A756,My_Audit!$A:$A,My_Audit!Q:Q,""),
_xlfn.IFS(_xlpm.MyAuditVal&lt;&gt;"",UPPER(_xlpm.MyAuditVal),_xlpm.MacVal&lt;&gt;"",_xlpm.MacVal,_xlpm.CSVVal&lt;&gt;"",_xlpm.CSVVal
)),"No")</f>
        <v>No</v>
      </c>
      <c r="Q756" s="40" t="str" cm="1">
        <f t="array" ref="Q756">IFERROR(_xlfn.LET(
_xlpm.CSVVal,_xlfn.XLOOKUP($A756,CSV!$A:$A,CSV!AC:AC,""),
_xlpm.MacVal,_xlfn.XLOOKUP($A756,Output_Mac!$A:$A,Output_Mac!U:U,""),
_xlpm.MyAuditVal,_xlfn.XLOOKUP($A756,My_Audit!$A:$A,My_Audit!R:R,""),
_xlfn.IFS(_xlpm.MyAuditVal&lt;&gt;"",UPPER(_xlpm.MyAuditVal),_xlpm.MacVal&lt;&gt;"",_xlpm.MacVal,_xlpm.CSVVal&lt;&gt;"",_xlpm.CSVVal
)),"")</f>
        <v/>
      </c>
      <c r="R756" s="40"/>
      <c r="S756" s="40"/>
      <c r="T756" s="40"/>
      <c r="U756" s="40"/>
      <c r="V756" s="40"/>
      <c r="W756" s="40"/>
      <c r="X756" s="41" t="str">
        <f>_xlfn.LET(
    _xlpm.MacVal, _xlfn.XLOOKUP($A756, Output_Mac!$A:$A, Output_Mac!AB:AB, ""),
    _xlpm.MyAuditVal, _xlfn.XLOOKUP($A756, My_Audit!$A:$A, My_Audit!N:N, ""),
    _xlfn.TEXTJOIN(", ", TRUE, _xlpm.MyAuditVal, _xlpm.MacVal)
)</f>
        <v/>
      </c>
    </row>
    <row r="757" spans="1:24">
      <c r="A757" s="40" t="str">
        <f>_xlfn.TEXTJOIN("",TRUE,Input!$B$2,ROW(My_Audit!A756))</f>
        <v>X756</v>
      </c>
      <c r="B757" s="40" t="str">
        <f>_xlfn.TEXTJOIN("-",TRUE,"ITD",Input!$A$2,A757)</f>
        <v>ITD-X756</v>
      </c>
      <c r="C757" s="40" t="str" cm="1">
        <f t="array" ref="C757">IFERROR(_xlfn.LET(
_xlpm.CSVVal,_xlfn.XLOOKUP($A757,CSV!$A:$A,CSV!B:B,""),
_xlpm.MacVal,_xlfn.XLOOKUP($A757,Output_Mac!$A:$A,Output_Mac!B:B,""),
_xlpm.MyAuditVal,_xlfn.XLOOKUP($A757,My_Audit!$A:$A,My_Audit!B:B,""),
_xlfn.IFS(_xlpm.MyAuditVal&lt;&gt;"",UPPER(_xlpm.MyAuditVal),_xlpm.MacVal&lt;&gt;"",_xlpm.MacVal,_xlpm.CSVVal&lt;&gt;"",_xlpm.CSVVal
)),"")</f>
        <v/>
      </c>
      <c r="D757" s="40" t="str" cm="1">
        <f t="array" ref="D757">IFERROR(_xlfn.LET(
_xlpm.CSVVal,_xlfn.XLOOKUP($A757,CSV!$A:$A,CSV!D:D,""),
_xlpm.MacVal,_xlfn.XLOOKUP($A757,Output_Mac!$A:$A,Output_Mac!C:C,""),
_xlpm.MyAuditVal,_xlfn.XLOOKUP($A757,My_Audit!$A:$A,My_Audit!C:C,""),
_xlfn.IFS(_xlpm.MyAuditVal&lt;&gt;"",_xlpm.MyAuditVal,_xlpm.MacVal&lt;&gt;"",_xlpm.MacVal,_xlpm.CSVVal&lt;&gt;"",_xlpm.CSVVal
)),"")</f>
        <v/>
      </c>
      <c r="E757" s="40" t="str">
        <f>_xlfn.XLOOKUP(A757,My_Audit!A:A,My_Audit!D:D,"")</f>
        <v/>
      </c>
      <c r="F757" s="40" t="str" cm="1">
        <f t="array" ref="F757">IFERROR(_xlfn.LET(
_xlpm.CSVVal,_xlfn.XLOOKUP($A757,CSV!$A:$A,CSV!F:F,""),
_xlpm.MacVal,_xlfn.XLOOKUP($A757,Output_Mac!$A:$A,Output_Mac!E:E,""),
_xlpm.MyAuditVal,_xlfn.XLOOKUP($A757,My_Audit!$A:$A,My_Audit!E:E,""),
_xlfn.IFS(_xlpm.MyAuditVal&lt;&gt;"",_xlpm.MyAuditVal,_xlpm.MacVal&lt;&gt;"",_xlpm.MacVal,_xlpm.CSVVal&lt;&gt;"",_xlpm.CSVVal
)),"")</f>
        <v/>
      </c>
      <c r="G757" s="40" t="str" cm="1">
        <f t="array" ref="G757">IFERROR(_xlfn.LET(
_xlpm.CSVVal,_xlfn.XLOOKUP($A757,CSV!$A:$A,CSV!G:G,""),
_xlpm.MacVal,_xlfn.XLOOKUP($A757,Output_Mac!$A:$A,Output_Mac!F:F,""),
_xlpm.MyAuditVal,_xlfn.XLOOKUP($A757,My_Audit!$A:$A,My_Audit!F:F,""),
_xlfn.IFS(_xlpm.MyAuditVal&lt;&gt;"",_xlpm.MyAuditVal,_xlpm.MacVal&lt;&gt;"",_xlpm.MacVal,_xlpm.CSVVal&lt;&gt;"",PROPER(_xlpm.CSVVal)
)),"")</f>
        <v/>
      </c>
      <c r="H757" s="40" t="str" cm="1">
        <f t="array" ref="H757">IFERROR(_xlfn.LET(
_xlpm.CSVVal,_xlfn.XLOOKUP($A757,CSV!$A:$A,CSV!H:H,""),
_xlpm.MacVal,_xlfn.XLOOKUP($A757,Output_Mac!$A:$A,Output_Mac!H:H,""),
_xlpm.MyAuditVal,_xlfn.XLOOKUP($A757,My_Audit!$A:$A,My_Audit!G:G,""),
_xlfn.IFS(_xlpm.MyAuditVal&lt;&gt;"",_xlpm.MyAuditVal,_xlpm.MacVal&lt;&gt;"",_xlpm.MacVal,_xlpm.CSVVal&lt;&gt;"",_xlpm.CSVVal
)),"")</f>
        <v/>
      </c>
      <c r="I757" s="40" t="str">
        <f>_xlfn.XLOOKUP(A757,Output_Mac!A:A,Output_Mac!I:I,"")</f>
        <v/>
      </c>
      <c r="J757" s="40" t="str" cm="1">
        <f t="array" ref="J757">IFERROR(_xlfn.LET(
_xlpm.CSVVal,_xlfn.XLOOKUP($A757,CSV!$A:$A,CSV!I:I,""),
_xlpm.MacVal,_xlfn.XLOOKUP($A757,Output_Mac!$A:$A,Output_Mac!J:J,""),
_xlpm.MyAuditVal,_xlfn.XLOOKUP($A757,My_Audit!$A:$A,My_Audit!I:I,""),
_xlfn.IFS(_xlpm.MyAuditVal&lt;&gt;"",UPPER(_xlpm.MyAuditVal),_xlpm.MacVal&lt;&gt;"",_xlpm.MacVal,_xlpm.CSVVal&lt;&gt;"",_xlpm.CSVVal
)),"")</f>
        <v/>
      </c>
      <c r="K757" s="40" t="str" cm="1">
        <f t="array" ref="K757">IFERROR(_xlfn.LET(
_xlpm.CSVVal,_xlfn.XLOOKUP($A757,CSV!$A:$A,CSV!K:K,""),
_xlpm.MacVal,_xlfn.XLOOKUP($A757,Output_Mac!$A:$A,Output_Mac!K:K,""),
_xlpm.MyAuditVal,_xlfn.XLOOKUP($A757,My_Audit!$A:$A,My_Audit!J:J,""),
_xlfn.IFS(_xlpm.MyAuditVal&lt;&gt;"",UPPER(_xlpm.MyAuditVal),_xlpm.MacVal&lt;&gt;"",_xlpm.MacVal,_xlpm.CSVVal&lt;&gt;"",_xlpm.CSVVal
)),"")</f>
        <v/>
      </c>
      <c r="L757" s="40" t="str" cm="1">
        <f t="array" ref="L757">IFERROR(_xlfn.LET(
_xlpm.CSVVal,_xlfn.XLOOKUP($A757,CSV!$A:$A,CSV!P:P,""),
_xlpm.MacVal,_xlfn.XLOOKUP($A757,Output_Mac!$A:$A,Output_Mac!L:L,""),
_xlpm.MyAuditVal,_xlfn.XLOOKUP($A757,My_Audit!$A:$A,My_Audit!K:K,""),
_xlfn.IFS(_xlpm.MyAuditVal&lt;&gt;"",UPPER(_xlpm.MyAuditVal),_xlpm.MacVal&lt;&gt;"",_xlpm.MacVal,_xlpm.CSVVal&lt;&gt;"",_xlpm.CSVVal
)),"")</f>
        <v/>
      </c>
      <c r="M757" s="40" t="str" cm="1">
        <f t="array" ref="M757">IFERROR(_xlfn.LET(
_xlpm.CSVVal,_xlfn.XLOOKUP($A757,CSV!$A:$A,CSV!Q:Q,""),
_xlpm.MacVal,_xlfn.XLOOKUP($A757,Output_Mac!$A:$A,Output_Mac!M:M,""),
_xlpm.MyAuditVal,_xlfn.XLOOKUP($A757,My_Audit!$A:$A,My_Audit!L:L,""),
_xlfn.IFS(_xlpm.MyAuditVal&lt;&gt;"",UPPER(_xlpm.MyAuditVal),_xlpm.MacVal&lt;&gt;"",_xlpm.MacVal,_xlpm.CSVVal&lt;&gt;"",_xlpm.CSVVal
)),"")</f>
        <v/>
      </c>
      <c r="N757" s="40"/>
      <c r="O757" s="40" t="str">
        <f>_xlfn.LET(
    _xlpm.CSVVal, _xlfn.XLOOKUP($A757, CSV!$A:$A, CSV!AA:AA, ""),
    _xlpm.MacVal, _xlfn.XLOOKUP($A757, Output_Mac!$A:$A, Output_Mac!S:S, ""),
    _xlpm.MyAuditVal, _xlfn.XLOOKUP($A757, My_Audit!$A:$A, My_Audit!P:P, ""),
    _xlfn.TEXTJOIN(", ", TRUE, _xlpm.MyAuditVal, _xlpm.MacVal, _xlpm.CSVVal)
)</f>
        <v/>
      </c>
      <c r="P757" s="40" t="str" cm="1">
        <f t="array" ref="P757">IFERROR(_xlfn.LET(
_xlpm.CSVVal,_xlfn.XLOOKUP($A757,CSV!$A:$A,CSV!AB:AB,""),
_xlpm.MacVal,_xlfn.XLOOKUP($A757,Output_Mac!$A:$A,Output_Mac!T:T,""),
_xlpm.MyAuditVal,_xlfn.XLOOKUP($A757,My_Audit!$A:$A,My_Audit!Q:Q,""),
_xlfn.IFS(_xlpm.MyAuditVal&lt;&gt;"",UPPER(_xlpm.MyAuditVal),_xlpm.MacVal&lt;&gt;"",_xlpm.MacVal,_xlpm.CSVVal&lt;&gt;"",_xlpm.CSVVal
)),"No")</f>
        <v>No</v>
      </c>
      <c r="Q757" s="40" t="str" cm="1">
        <f t="array" ref="Q757">IFERROR(_xlfn.LET(
_xlpm.CSVVal,_xlfn.XLOOKUP($A757,CSV!$A:$A,CSV!AC:AC,""),
_xlpm.MacVal,_xlfn.XLOOKUP($A757,Output_Mac!$A:$A,Output_Mac!U:U,""),
_xlpm.MyAuditVal,_xlfn.XLOOKUP($A757,My_Audit!$A:$A,My_Audit!R:R,""),
_xlfn.IFS(_xlpm.MyAuditVal&lt;&gt;"",UPPER(_xlpm.MyAuditVal),_xlpm.MacVal&lt;&gt;"",_xlpm.MacVal,_xlpm.CSVVal&lt;&gt;"",_xlpm.CSVVal
)),"")</f>
        <v/>
      </c>
      <c r="R757" s="40"/>
      <c r="S757" s="40"/>
      <c r="T757" s="40"/>
      <c r="U757" s="40"/>
      <c r="V757" s="40"/>
      <c r="W757" s="40"/>
      <c r="X757" s="41" t="str">
        <f>_xlfn.LET(
    _xlpm.MacVal, _xlfn.XLOOKUP($A757, Output_Mac!$A:$A, Output_Mac!AB:AB, ""),
    _xlpm.MyAuditVal, _xlfn.XLOOKUP($A757, My_Audit!$A:$A, My_Audit!N:N, ""),
    _xlfn.TEXTJOIN(", ", TRUE, _xlpm.MyAuditVal, _xlpm.MacVal)
)</f>
        <v/>
      </c>
    </row>
    <row r="758" spans="1:24">
      <c r="A758" s="40" t="str">
        <f>_xlfn.TEXTJOIN("",TRUE,Input!$B$2,ROW(My_Audit!A757))</f>
        <v>X757</v>
      </c>
      <c r="B758" s="40" t="str">
        <f>_xlfn.TEXTJOIN("-",TRUE,"ITD",Input!$A$2,A758)</f>
        <v>ITD-X757</v>
      </c>
      <c r="C758" s="40" t="str" cm="1">
        <f t="array" ref="C758">IFERROR(_xlfn.LET(
_xlpm.CSVVal,_xlfn.XLOOKUP($A758,CSV!$A:$A,CSV!B:B,""),
_xlpm.MacVal,_xlfn.XLOOKUP($A758,Output_Mac!$A:$A,Output_Mac!B:B,""),
_xlpm.MyAuditVal,_xlfn.XLOOKUP($A758,My_Audit!$A:$A,My_Audit!B:B,""),
_xlfn.IFS(_xlpm.MyAuditVal&lt;&gt;"",UPPER(_xlpm.MyAuditVal),_xlpm.MacVal&lt;&gt;"",_xlpm.MacVal,_xlpm.CSVVal&lt;&gt;"",_xlpm.CSVVal
)),"")</f>
        <v/>
      </c>
      <c r="D758" s="40" t="str" cm="1">
        <f t="array" ref="D758">IFERROR(_xlfn.LET(
_xlpm.CSVVal,_xlfn.XLOOKUP($A758,CSV!$A:$A,CSV!D:D,""),
_xlpm.MacVal,_xlfn.XLOOKUP($A758,Output_Mac!$A:$A,Output_Mac!C:C,""),
_xlpm.MyAuditVal,_xlfn.XLOOKUP($A758,My_Audit!$A:$A,My_Audit!C:C,""),
_xlfn.IFS(_xlpm.MyAuditVal&lt;&gt;"",_xlpm.MyAuditVal,_xlpm.MacVal&lt;&gt;"",_xlpm.MacVal,_xlpm.CSVVal&lt;&gt;"",_xlpm.CSVVal
)),"")</f>
        <v/>
      </c>
      <c r="E758" s="40" t="str">
        <f>_xlfn.XLOOKUP(A758,My_Audit!A:A,My_Audit!D:D,"")</f>
        <v/>
      </c>
      <c r="F758" s="40" t="str" cm="1">
        <f t="array" ref="F758">IFERROR(_xlfn.LET(
_xlpm.CSVVal,_xlfn.XLOOKUP($A758,CSV!$A:$A,CSV!F:F,""),
_xlpm.MacVal,_xlfn.XLOOKUP($A758,Output_Mac!$A:$A,Output_Mac!E:E,""),
_xlpm.MyAuditVal,_xlfn.XLOOKUP($A758,My_Audit!$A:$A,My_Audit!E:E,""),
_xlfn.IFS(_xlpm.MyAuditVal&lt;&gt;"",_xlpm.MyAuditVal,_xlpm.MacVal&lt;&gt;"",_xlpm.MacVal,_xlpm.CSVVal&lt;&gt;"",_xlpm.CSVVal
)),"")</f>
        <v/>
      </c>
      <c r="G758" s="40" t="str" cm="1">
        <f t="array" ref="G758">IFERROR(_xlfn.LET(
_xlpm.CSVVal,_xlfn.XLOOKUP($A758,CSV!$A:$A,CSV!G:G,""),
_xlpm.MacVal,_xlfn.XLOOKUP($A758,Output_Mac!$A:$A,Output_Mac!F:F,""),
_xlpm.MyAuditVal,_xlfn.XLOOKUP($A758,My_Audit!$A:$A,My_Audit!F:F,""),
_xlfn.IFS(_xlpm.MyAuditVal&lt;&gt;"",_xlpm.MyAuditVal,_xlpm.MacVal&lt;&gt;"",_xlpm.MacVal,_xlpm.CSVVal&lt;&gt;"",PROPER(_xlpm.CSVVal)
)),"")</f>
        <v/>
      </c>
      <c r="H758" s="40" t="str" cm="1">
        <f t="array" ref="H758">IFERROR(_xlfn.LET(
_xlpm.CSVVal,_xlfn.XLOOKUP($A758,CSV!$A:$A,CSV!H:H,""),
_xlpm.MacVal,_xlfn.XLOOKUP($A758,Output_Mac!$A:$A,Output_Mac!H:H,""),
_xlpm.MyAuditVal,_xlfn.XLOOKUP($A758,My_Audit!$A:$A,My_Audit!G:G,""),
_xlfn.IFS(_xlpm.MyAuditVal&lt;&gt;"",_xlpm.MyAuditVal,_xlpm.MacVal&lt;&gt;"",_xlpm.MacVal,_xlpm.CSVVal&lt;&gt;"",_xlpm.CSVVal
)),"")</f>
        <v/>
      </c>
      <c r="I758" s="40" t="str">
        <f>_xlfn.XLOOKUP(A758,Output_Mac!A:A,Output_Mac!I:I,"")</f>
        <v/>
      </c>
      <c r="J758" s="40" t="str" cm="1">
        <f t="array" ref="J758">IFERROR(_xlfn.LET(
_xlpm.CSVVal,_xlfn.XLOOKUP($A758,CSV!$A:$A,CSV!I:I,""),
_xlpm.MacVal,_xlfn.XLOOKUP($A758,Output_Mac!$A:$A,Output_Mac!J:J,""),
_xlpm.MyAuditVal,_xlfn.XLOOKUP($A758,My_Audit!$A:$A,My_Audit!I:I,""),
_xlfn.IFS(_xlpm.MyAuditVal&lt;&gt;"",UPPER(_xlpm.MyAuditVal),_xlpm.MacVal&lt;&gt;"",_xlpm.MacVal,_xlpm.CSVVal&lt;&gt;"",_xlpm.CSVVal
)),"")</f>
        <v/>
      </c>
      <c r="K758" s="40" t="str" cm="1">
        <f t="array" ref="K758">IFERROR(_xlfn.LET(
_xlpm.CSVVal,_xlfn.XLOOKUP($A758,CSV!$A:$A,CSV!K:K,""),
_xlpm.MacVal,_xlfn.XLOOKUP($A758,Output_Mac!$A:$A,Output_Mac!K:K,""),
_xlpm.MyAuditVal,_xlfn.XLOOKUP($A758,My_Audit!$A:$A,My_Audit!J:J,""),
_xlfn.IFS(_xlpm.MyAuditVal&lt;&gt;"",UPPER(_xlpm.MyAuditVal),_xlpm.MacVal&lt;&gt;"",_xlpm.MacVal,_xlpm.CSVVal&lt;&gt;"",_xlpm.CSVVal
)),"")</f>
        <v/>
      </c>
      <c r="L758" s="40" t="str" cm="1">
        <f t="array" ref="L758">IFERROR(_xlfn.LET(
_xlpm.CSVVal,_xlfn.XLOOKUP($A758,CSV!$A:$A,CSV!P:P,""),
_xlpm.MacVal,_xlfn.XLOOKUP($A758,Output_Mac!$A:$A,Output_Mac!L:L,""),
_xlpm.MyAuditVal,_xlfn.XLOOKUP($A758,My_Audit!$A:$A,My_Audit!K:K,""),
_xlfn.IFS(_xlpm.MyAuditVal&lt;&gt;"",UPPER(_xlpm.MyAuditVal),_xlpm.MacVal&lt;&gt;"",_xlpm.MacVal,_xlpm.CSVVal&lt;&gt;"",_xlpm.CSVVal
)),"")</f>
        <v/>
      </c>
      <c r="M758" s="40" t="str" cm="1">
        <f t="array" ref="M758">IFERROR(_xlfn.LET(
_xlpm.CSVVal,_xlfn.XLOOKUP($A758,CSV!$A:$A,CSV!Q:Q,""),
_xlpm.MacVal,_xlfn.XLOOKUP($A758,Output_Mac!$A:$A,Output_Mac!M:M,""),
_xlpm.MyAuditVal,_xlfn.XLOOKUP($A758,My_Audit!$A:$A,My_Audit!L:L,""),
_xlfn.IFS(_xlpm.MyAuditVal&lt;&gt;"",UPPER(_xlpm.MyAuditVal),_xlpm.MacVal&lt;&gt;"",_xlpm.MacVal,_xlpm.CSVVal&lt;&gt;"",_xlpm.CSVVal
)),"")</f>
        <v/>
      </c>
      <c r="N758" s="40"/>
      <c r="O758" s="40" t="str">
        <f>_xlfn.LET(
    _xlpm.CSVVal, _xlfn.XLOOKUP($A758, CSV!$A:$A, CSV!AA:AA, ""),
    _xlpm.MacVal, _xlfn.XLOOKUP($A758, Output_Mac!$A:$A, Output_Mac!S:S, ""),
    _xlpm.MyAuditVal, _xlfn.XLOOKUP($A758, My_Audit!$A:$A, My_Audit!P:P, ""),
    _xlfn.TEXTJOIN(", ", TRUE, _xlpm.MyAuditVal, _xlpm.MacVal, _xlpm.CSVVal)
)</f>
        <v/>
      </c>
      <c r="P758" s="40" t="str" cm="1">
        <f t="array" ref="P758">IFERROR(_xlfn.LET(
_xlpm.CSVVal,_xlfn.XLOOKUP($A758,CSV!$A:$A,CSV!AB:AB,""),
_xlpm.MacVal,_xlfn.XLOOKUP($A758,Output_Mac!$A:$A,Output_Mac!T:T,""),
_xlpm.MyAuditVal,_xlfn.XLOOKUP($A758,My_Audit!$A:$A,My_Audit!Q:Q,""),
_xlfn.IFS(_xlpm.MyAuditVal&lt;&gt;"",UPPER(_xlpm.MyAuditVal),_xlpm.MacVal&lt;&gt;"",_xlpm.MacVal,_xlpm.CSVVal&lt;&gt;"",_xlpm.CSVVal
)),"No")</f>
        <v>No</v>
      </c>
      <c r="Q758" s="40" t="str" cm="1">
        <f t="array" ref="Q758">IFERROR(_xlfn.LET(
_xlpm.CSVVal,_xlfn.XLOOKUP($A758,CSV!$A:$A,CSV!AC:AC,""),
_xlpm.MacVal,_xlfn.XLOOKUP($A758,Output_Mac!$A:$A,Output_Mac!U:U,""),
_xlpm.MyAuditVal,_xlfn.XLOOKUP($A758,My_Audit!$A:$A,My_Audit!R:R,""),
_xlfn.IFS(_xlpm.MyAuditVal&lt;&gt;"",UPPER(_xlpm.MyAuditVal),_xlpm.MacVal&lt;&gt;"",_xlpm.MacVal,_xlpm.CSVVal&lt;&gt;"",_xlpm.CSVVal
)),"")</f>
        <v/>
      </c>
      <c r="R758" s="40"/>
      <c r="S758" s="40"/>
      <c r="T758" s="40"/>
      <c r="U758" s="40"/>
      <c r="V758" s="40"/>
      <c r="W758" s="40"/>
      <c r="X758" s="41" t="str">
        <f>_xlfn.LET(
    _xlpm.MacVal, _xlfn.XLOOKUP($A758, Output_Mac!$A:$A, Output_Mac!AB:AB, ""),
    _xlpm.MyAuditVal, _xlfn.XLOOKUP($A758, My_Audit!$A:$A, My_Audit!N:N, ""),
    _xlfn.TEXTJOIN(", ", TRUE, _xlpm.MyAuditVal, _xlpm.MacVal)
)</f>
        <v/>
      </c>
    </row>
    <row r="759" spans="1:24">
      <c r="A759" s="40" t="str">
        <f>_xlfn.TEXTJOIN("",TRUE,Input!$B$2,ROW(My_Audit!A758))</f>
        <v>X758</v>
      </c>
      <c r="B759" s="40" t="str">
        <f>_xlfn.TEXTJOIN("-",TRUE,"ITD",Input!$A$2,A759)</f>
        <v>ITD-X758</v>
      </c>
      <c r="C759" s="40" t="str" cm="1">
        <f t="array" ref="C759">IFERROR(_xlfn.LET(
_xlpm.CSVVal,_xlfn.XLOOKUP($A759,CSV!$A:$A,CSV!B:B,""),
_xlpm.MacVal,_xlfn.XLOOKUP($A759,Output_Mac!$A:$A,Output_Mac!B:B,""),
_xlpm.MyAuditVal,_xlfn.XLOOKUP($A759,My_Audit!$A:$A,My_Audit!B:B,""),
_xlfn.IFS(_xlpm.MyAuditVal&lt;&gt;"",UPPER(_xlpm.MyAuditVal),_xlpm.MacVal&lt;&gt;"",_xlpm.MacVal,_xlpm.CSVVal&lt;&gt;"",_xlpm.CSVVal
)),"")</f>
        <v/>
      </c>
      <c r="D759" s="40" t="str" cm="1">
        <f t="array" ref="D759">IFERROR(_xlfn.LET(
_xlpm.CSVVal,_xlfn.XLOOKUP($A759,CSV!$A:$A,CSV!D:D,""),
_xlpm.MacVal,_xlfn.XLOOKUP($A759,Output_Mac!$A:$A,Output_Mac!C:C,""),
_xlpm.MyAuditVal,_xlfn.XLOOKUP($A759,My_Audit!$A:$A,My_Audit!C:C,""),
_xlfn.IFS(_xlpm.MyAuditVal&lt;&gt;"",_xlpm.MyAuditVal,_xlpm.MacVal&lt;&gt;"",_xlpm.MacVal,_xlpm.CSVVal&lt;&gt;"",_xlpm.CSVVal
)),"")</f>
        <v/>
      </c>
      <c r="E759" s="40" t="str">
        <f>_xlfn.XLOOKUP(A759,My_Audit!A:A,My_Audit!D:D,"")</f>
        <v/>
      </c>
      <c r="F759" s="40" t="str" cm="1">
        <f t="array" ref="F759">IFERROR(_xlfn.LET(
_xlpm.CSVVal,_xlfn.XLOOKUP($A759,CSV!$A:$A,CSV!F:F,""),
_xlpm.MacVal,_xlfn.XLOOKUP($A759,Output_Mac!$A:$A,Output_Mac!E:E,""),
_xlpm.MyAuditVal,_xlfn.XLOOKUP($A759,My_Audit!$A:$A,My_Audit!E:E,""),
_xlfn.IFS(_xlpm.MyAuditVal&lt;&gt;"",_xlpm.MyAuditVal,_xlpm.MacVal&lt;&gt;"",_xlpm.MacVal,_xlpm.CSVVal&lt;&gt;"",_xlpm.CSVVal
)),"")</f>
        <v/>
      </c>
      <c r="G759" s="40" t="str" cm="1">
        <f t="array" ref="G759">IFERROR(_xlfn.LET(
_xlpm.CSVVal,_xlfn.XLOOKUP($A759,CSV!$A:$A,CSV!G:G,""),
_xlpm.MacVal,_xlfn.XLOOKUP($A759,Output_Mac!$A:$A,Output_Mac!F:F,""),
_xlpm.MyAuditVal,_xlfn.XLOOKUP($A759,My_Audit!$A:$A,My_Audit!F:F,""),
_xlfn.IFS(_xlpm.MyAuditVal&lt;&gt;"",_xlpm.MyAuditVal,_xlpm.MacVal&lt;&gt;"",_xlpm.MacVal,_xlpm.CSVVal&lt;&gt;"",PROPER(_xlpm.CSVVal)
)),"")</f>
        <v/>
      </c>
      <c r="H759" s="40" t="str" cm="1">
        <f t="array" ref="H759">IFERROR(_xlfn.LET(
_xlpm.CSVVal,_xlfn.XLOOKUP($A759,CSV!$A:$A,CSV!H:H,""),
_xlpm.MacVal,_xlfn.XLOOKUP($A759,Output_Mac!$A:$A,Output_Mac!H:H,""),
_xlpm.MyAuditVal,_xlfn.XLOOKUP($A759,My_Audit!$A:$A,My_Audit!G:G,""),
_xlfn.IFS(_xlpm.MyAuditVal&lt;&gt;"",_xlpm.MyAuditVal,_xlpm.MacVal&lt;&gt;"",_xlpm.MacVal,_xlpm.CSVVal&lt;&gt;"",_xlpm.CSVVal
)),"")</f>
        <v/>
      </c>
      <c r="I759" s="40" t="str">
        <f>_xlfn.XLOOKUP(A759,Output_Mac!A:A,Output_Mac!I:I,"")</f>
        <v/>
      </c>
      <c r="J759" s="40" t="str" cm="1">
        <f t="array" ref="J759">IFERROR(_xlfn.LET(
_xlpm.CSVVal,_xlfn.XLOOKUP($A759,CSV!$A:$A,CSV!I:I,""),
_xlpm.MacVal,_xlfn.XLOOKUP($A759,Output_Mac!$A:$A,Output_Mac!J:J,""),
_xlpm.MyAuditVal,_xlfn.XLOOKUP($A759,My_Audit!$A:$A,My_Audit!I:I,""),
_xlfn.IFS(_xlpm.MyAuditVal&lt;&gt;"",UPPER(_xlpm.MyAuditVal),_xlpm.MacVal&lt;&gt;"",_xlpm.MacVal,_xlpm.CSVVal&lt;&gt;"",_xlpm.CSVVal
)),"")</f>
        <v/>
      </c>
      <c r="K759" s="40" t="str" cm="1">
        <f t="array" ref="K759">IFERROR(_xlfn.LET(
_xlpm.CSVVal,_xlfn.XLOOKUP($A759,CSV!$A:$A,CSV!K:K,""),
_xlpm.MacVal,_xlfn.XLOOKUP($A759,Output_Mac!$A:$A,Output_Mac!K:K,""),
_xlpm.MyAuditVal,_xlfn.XLOOKUP($A759,My_Audit!$A:$A,My_Audit!J:J,""),
_xlfn.IFS(_xlpm.MyAuditVal&lt;&gt;"",UPPER(_xlpm.MyAuditVal),_xlpm.MacVal&lt;&gt;"",_xlpm.MacVal,_xlpm.CSVVal&lt;&gt;"",_xlpm.CSVVal
)),"")</f>
        <v/>
      </c>
      <c r="L759" s="40" t="str" cm="1">
        <f t="array" ref="L759">IFERROR(_xlfn.LET(
_xlpm.CSVVal,_xlfn.XLOOKUP($A759,CSV!$A:$A,CSV!P:P,""),
_xlpm.MacVal,_xlfn.XLOOKUP($A759,Output_Mac!$A:$A,Output_Mac!L:L,""),
_xlpm.MyAuditVal,_xlfn.XLOOKUP($A759,My_Audit!$A:$A,My_Audit!K:K,""),
_xlfn.IFS(_xlpm.MyAuditVal&lt;&gt;"",UPPER(_xlpm.MyAuditVal),_xlpm.MacVal&lt;&gt;"",_xlpm.MacVal,_xlpm.CSVVal&lt;&gt;"",_xlpm.CSVVal
)),"")</f>
        <v/>
      </c>
      <c r="M759" s="40" t="str" cm="1">
        <f t="array" ref="M759">IFERROR(_xlfn.LET(
_xlpm.CSVVal,_xlfn.XLOOKUP($A759,CSV!$A:$A,CSV!Q:Q,""),
_xlpm.MacVal,_xlfn.XLOOKUP($A759,Output_Mac!$A:$A,Output_Mac!M:M,""),
_xlpm.MyAuditVal,_xlfn.XLOOKUP($A759,My_Audit!$A:$A,My_Audit!L:L,""),
_xlfn.IFS(_xlpm.MyAuditVal&lt;&gt;"",UPPER(_xlpm.MyAuditVal),_xlpm.MacVal&lt;&gt;"",_xlpm.MacVal,_xlpm.CSVVal&lt;&gt;"",_xlpm.CSVVal
)),"")</f>
        <v/>
      </c>
      <c r="N759" s="40"/>
      <c r="O759" s="40" t="str">
        <f>_xlfn.LET(
    _xlpm.CSVVal, _xlfn.XLOOKUP($A759, CSV!$A:$A, CSV!AA:AA, ""),
    _xlpm.MacVal, _xlfn.XLOOKUP($A759, Output_Mac!$A:$A, Output_Mac!S:S, ""),
    _xlpm.MyAuditVal, _xlfn.XLOOKUP($A759, My_Audit!$A:$A, My_Audit!P:P, ""),
    _xlfn.TEXTJOIN(", ", TRUE, _xlpm.MyAuditVal, _xlpm.MacVal, _xlpm.CSVVal)
)</f>
        <v/>
      </c>
      <c r="P759" s="40" t="str" cm="1">
        <f t="array" ref="P759">IFERROR(_xlfn.LET(
_xlpm.CSVVal,_xlfn.XLOOKUP($A759,CSV!$A:$A,CSV!AB:AB,""),
_xlpm.MacVal,_xlfn.XLOOKUP($A759,Output_Mac!$A:$A,Output_Mac!T:T,""),
_xlpm.MyAuditVal,_xlfn.XLOOKUP($A759,My_Audit!$A:$A,My_Audit!Q:Q,""),
_xlfn.IFS(_xlpm.MyAuditVal&lt;&gt;"",UPPER(_xlpm.MyAuditVal),_xlpm.MacVal&lt;&gt;"",_xlpm.MacVal,_xlpm.CSVVal&lt;&gt;"",_xlpm.CSVVal
)),"No")</f>
        <v>No</v>
      </c>
      <c r="Q759" s="40" t="str" cm="1">
        <f t="array" ref="Q759">IFERROR(_xlfn.LET(
_xlpm.CSVVal,_xlfn.XLOOKUP($A759,CSV!$A:$A,CSV!AC:AC,""),
_xlpm.MacVal,_xlfn.XLOOKUP($A759,Output_Mac!$A:$A,Output_Mac!U:U,""),
_xlpm.MyAuditVal,_xlfn.XLOOKUP($A759,My_Audit!$A:$A,My_Audit!R:R,""),
_xlfn.IFS(_xlpm.MyAuditVal&lt;&gt;"",UPPER(_xlpm.MyAuditVal),_xlpm.MacVal&lt;&gt;"",_xlpm.MacVal,_xlpm.CSVVal&lt;&gt;"",_xlpm.CSVVal
)),"")</f>
        <v/>
      </c>
      <c r="R759" s="40"/>
      <c r="S759" s="40"/>
      <c r="T759" s="40"/>
      <c r="U759" s="40"/>
      <c r="V759" s="40"/>
      <c r="W759" s="40"/>
      <c r="X759" s="41" t="str">
        <f>_xlfn.LET(
    _xlpm.MacVal, _xlfn.XLOOKUP($A759, Output_Mac!$A:$A, Output_Mac!AB:AB, ""),
    _xlpm.MyAuditVal, _xlfn.XLOOKUP($A759, My_Audit!$A:$A, My_Audit!N:N, ""),
    _xlfn.TEXTJOIN(", ", TRUE, _xlpm.MyAuditVal, _xlpm.MacVal)
)</f>
        <v/>
      </c>
    </row>
    <row r="760" spans="1:24">
      <c r="A760" s="40" t="str">
        <f>_xlfn.TEXTJOIN("",TRUE,Input!$B$2,ROW(My_Audit!A759))</f>
        <v>X759</v>
      </c>
      <c r="B760" s="40" t="str">
        <f>_xlfn.TEXTJOIN("-",TRUE,"ITD",Input!$A$2,A760)</f>
        <v>ITD-X759</v>
      </c>
      <c r="C760" s="40" t="str" cm="1">
        <f t="array" ref="C760">IFERROR(_xlfn.LET(
_xlpm.CSVVal,_xlfn.XLOOKUP($A760,CSV!$A:$A,CSV!B:B,""),
_xlpm.MacVal,_xlfn.XLOOKUP($A760,Output_Mac!$A:$A,Output_Mac!B:B,""),
_xlpm.MyAuditVal,_xlfn.XLOOKUP($A760,My_Audit!$A:$A,My_Audit!B:B,""),
_xlfn.IFS(_xlpm.MyAuditVal&lt;&gt;"",UPPER(_xlpm.MyAuditVal),_xlpm.MacVal&lt;&gt;"",_xlpm.MacVal,_xlpm.CSVVal&lt;&gt;"",_xlpm.CSVVal
)),"")</f>
        <v/>
      </c>
      <c r="D760" s="40" t="str" cm="1">
        <f t="array" ref="D760">IFERROR(_xlfn.LET(
_xlpm.CSVVal,_xlfn.XLOOKUP($A760,CSV!$A:$A,CSV!D:D,""),
_xlpm.MacVal,_xlfn.XLOOKUP($A760,Output_Mac!$A:$A,Output_Mac!C:C,""),
_xlpm.MyAuditVal,_xlfn.XLOOKUP($A760,My_Audit!$A:$A,My_Audit!C:C,""),
_xlfn.IFS(_xlpm.MyAuditVal&lt;&gt;"",_xlpm.MyAuditVal,_xlpm.MacVal&lt;&gt;"",_xlpm.MacVal,_xlpm.CSVVal&lt;&gt;"",_xlpm.CSVVal
)),"")</f>
        <v/>
      </c>
      <c r="E760" s="40" t="str">
        <f>_xlfn.XLOOKUP(A760,My_Audit!A:A,My_Audit!D:D,"")</f>
        <v/>
      </c>
      <c r="F760" s="40" t="str" cm="1">
        <f t="array" ref="F760">IFERROR(_xlfn.LET(
_xlpm.CSVVal,_xlfn.XLOOKUP($A760,CSV!$A:$A,CSV!F:F,""),
_xlpm.MacVal,_xlfn.XLOOKUP($A760,Output_Mac!$A:$A,Output_Mac!E:E,""),
_xlpm.MyAuditVal,_xlfn.XLOOKUP($A760,My_Audit!$A:$A,My_Audit!E:E,""),
_xlfn.IFS(_xlpm.MyAuditVal&lt;&gt;"",_xlpm.MyAuditVal,_xlpm.MacVal&lt;&gt;"",_xlpm.MacVal,_xlpm.CSVVal&lt;&gt;"",_xlpm.CSVVal
)),"")</f>
        <v/>
      </c>
      <c r="G760" s="40" t="str" cm="1">
        <f t="array" ref="G760">IFERROR(_xlfn.LET(
_xlpm.CSVVal,_xlfn.XLOOKUP($A760,CSV!$A:$A,CSV!G:G,""),
_xlpm.MacVal,_xlfn.XLOOKUP($A760,Output_Mac!$A:$A,Output_Mac!F:F,""),
_xlpm.MyAuditVal,_xlfn.XLOOKUP($A760,My_Audit!$A:$A,My_Audit!F:F,""),
_xlfn.IFS(_xlpm.MyAuditVal&lt;&gt;"",_xlpm.MyAuditVal,_xlpm.MacVal&lt;&gt;"",_xlpm.MacVal,_xlpm.CSVVal&lt;&gt;"",PROPER(_xlpm.CSVVal)
)),"")</f>
        <v/>
      </c>
      <c r="H760" s="40" t="str" cm="1">
        <f t="array" ref="H760">IFERROR(_xlfn.LET(
_xlpm.CSVVal,_xlfn.XLOOKUP($A760,CSV!$A:$A,CSV!H:H,""),
_xlpm.MacVal,_xlfn.XLOOKUP($A760,Output_Mac!$A:$A,Output_Mac!H:H,""),
_xlpm.MyAuditVal,_xlfn.XLOOKUP($A760,My_Audit!$A:$A,My_Audit!G:G,""),
_xlfn.IFS(_xlpm.MyAuditVal&lt;&gt;"",_xlpm.MyAuditVal,_xlpm.MacVal&lt;&gt;"",_xlpm.MacVal,_xlpm.CSVVal&lt;&gt;"",_xlpm.CSVVal
)),"")</f>
        <v/>
      </c>
      <c r="I760" s="40" t="str">
        <f>_xlfn.XLOOKUP(A760,Output_Mac!A:A,Output_Mac!I:I,"")</f>
        <v/>
      </c>
      <c r="J760" s="40" t="str" cm="1">
        <f t="array" ref="J760">IFERROR(_xlfn.LET(
_xlpm.CSVVal,_xlfn.XLOOKUP($A760,CSV!$A:$A,CSV!I:I,""),
_xlpm.MacVal,_xlfn.XLOOKUP($A760,Output_Mac!$A:$A,Output_Mac!J:J,""),
_xlpm.MyAuditVal,_xlfn.XLOOKUP($A760,My_Audit!$A:$A,My_Audit!I:I,""),
_xlfn.IFS(_xlpm.MyAuditVal&lt;&gt;"",UPPER(_xlpm.MyAuditVal),_xlpm.MacVal&lt;&gt;"",_xlpm.MacVal,_xlpm.CSVVal&lt;&gt;"",_xlpm.CSVVal
)),"")</f>
        <v/>
      </c>
      <c r="K760" s="40" t="str" cm="1">
        <f t="array" ref="K760">IFERROR(_xlfn.LET(
_xlpm.CSVVal,_xlfn.XLOOKUP($A760,CSV!$A:$A,CSV!K:K,""),
_xlpm.MacVal,_xlfn.XLOOKUP($A760,Output_Mac!$A:$A,Output_Mac!K:K,""),
_xlpm.MyAuditVal,_xlfn.XLOOKUP($A760,My_Audit!$A:$A,My_Audit!J:J,""),
_xlfn.IFS(_xlpm.MyAuditVal&lt;&gt;"",UPPER(_xlpm.MyAuditVal),_xlpm.MacVal&lt;&gt;"",_xlpm.MacVal,_xlpm.CSVVal&lt;&gt;"",_xlpm.CSVVal
)),"")</f>
        <v/>
      </c>
      <c r="L760" s="40" t="str" cm="1">
        <f t="array" ref="L760">IFERROR(_xlfn.LET(
_xlpm.CSVVal,_xlfn.XLOOKUP($A760,CSV!$A:$A,CSV!P:P,""),
_xlpm.MacVal,_xlfn.XLOOKUP($A760,Output_Mac!$A:$A,Output_Mac!L:L,""),
_xlpm.MyAuditVal,_xlfn.XLOOKUP($A760,My_Audit!$A:$A,My_Audit!K:K,""),
_xlfn.IFS(_xlpm.MyAuditVal&lt;&gt;"",UPPER(_xlpm.MyAuditVal),_xlpm.MacVal&lt;&gt;"",_xlpm.MacVal,_xlpm.CSVVal&lt;&gt;"",_xlpm.CSVVal
)),"")</f>
        <v/>
      </c>
      <c r="M760" s="40" t="str" cm="1">
        <f t="array" ref="M760">IFERROR(_xlfn.LET(
_xlpm.CSVVal,_xlfn.XLOOKUP($A760,CSV!$A:$A,CSV!Q:Q,""),
_xlpm.MacVal,_xlfn.XLOOKUP($A760,Output_Mac!$A:$A,Output_Mac!M:M,""),
_xlpm.MyAuditVal,_xlfn.XLOOKUP($A760,My_Audit!$A:$A,My_Audit!L:L,""),
_xlfn.IFS(_xlpm.MyAuditVal&lt;&gt;"",UPPER(_xlpm.MyAuditVal),_xlpm.MacVal&lt;&gt;"",_xlpm.MacVal,_xlpm.CSVVal&lt;&gt;"",_xlpm.CSVVal
)),"")</f>
        <v/>
      </c>
      <c r="N760" s="40"/>
      <c r="O760" s="40" t="str">
        <f>_xlfn.LET(
    _xlpm.CSVVal, _xlfn.XLOOKUP($A760, CSV!$A:$A, CSV!AA:AA, ""),
    _xlpm.MacVal, _xlfn.XLOOKUP($A760, Output_Mac!$A:$A, Output_Mac!S:S, ""),
    _xlpm.MyAuditVal, _xlfn.XLOOKUP($A760, My_Audit!$A:$A, My_Audit!P:P, ""),
    _xlfn.TEXTJOIN(", ", TRUE, _xlpm.MyAuditVal, _xlpm.MacVal, _xlpm.CSVVal)
)</f>
        <v/>
      </c>
      <c r="P760" s="40" t="str" cm="1">
        <f t="array" ref="P760">IFERROR(_xlfn.LET(
_xlpm.CSVVal,_xlfn.XLOOKUP($A760,CSV!$A:$A,CSV!AB:AB,""),
_xlpm.MacVal,_xlfn.XLOOKUP($A760,Output_Mac!$A:$A,Output_Mac!T:T,""),
_xlpm.MyAuditVal,_xlfn.XLOOKUP($A760,My_Audit!$A:$A,My_Audit!Q:Q,""),
_xlfn.IFS(_xlpm.MyAuditVal&lt;&gt;"",UPPER(_xlpm.MyAuditVal),_xlpm.MacVal&lt;&gt;"",_xlpm.MacVal,_xlpm.CSVVal&lt;&gt;"",_xlpm.CSVVal
)),"No")</f>
        <v>No</v>
      </c>
      <c r="Q760" s="40" t="str" cm="1">
        <f t="array" ref="Q760">IFERROR(_xlfn.LET(
_xlpm.CSVVal,_xlfn.XLOOKUP($A760,CSV!$A:$A,CSV!AC:AC,""),
_xlpm.MacVal,_xlfn.XLOOKUP($A760,Output_Mac!$A:$A,Output_Mac!U:U,""),
_xlpm.MyAuditVal,_xlfn.XLOOKUP($A760,My_Audit!$A:$A,My_Audit!R:R,""),
_xlfn.IFS(_xlpm.MyAuditVal&lt;&gt;"",UPPER(_xlpm.MyAuditVal),_xlpm.MacVal&lt;&gt;"",_xlpm.MacVal,_xlpm.CSVVal&lt;&gt;"",_xlpm.CSVVal
)),"")</f>
        <v/>
      </c>
      <c r="R760" s="40"/>
      <c r="S760" s="40"/>
      <c r="T760" s="40"/>
      <c r="U760" s="40"/>
      <c r="V760" s="40"/>
      <c r="W760" s="40"/>
      <c r="X760" s="41" t="str">
        <f>_xlfn.LET(
    _xlpm.MacVal, _xlfn.XLOOKUP($A760, Output_Mac!$A:$A, Output_Mac!AB:AB, ""),
    _xlpm.MyAuditVal, _xlfn.XLOOKUP($A760, My_Audit!$A:$A, My_Audit!N:N, ""),
    _xlfn.TEXTJOIN(", ", TRUE, _xlpm.MyAuditVal, _xlpm.MacVal)
)</f>
        <v/>
      </c>
    </row>
    <row r="761" spans="1:24">
      <c r="A761" s="40" t="str">
        <f>_xlfn.TEXTJOIN("",TRUE,Input!$B$2,ROW(My_Audit!A760))</f>
        <v>X760</v>
      </c>
      <c r="B761" s="40" t="str">
        <f>_xlfn.TEXTJOIN("-",TRUE,"ITD",Input!$A$2,A761)</f>
        <v>ITD-X760</v>
      </c>
      <c r="C761" s="40" t="str" cm="1">
        <f t="array" ref="C761">IFERROR(_xlfn.LET(
_xlpm.CSVVal,_xlfn.XLOOKUP($A761,CSV!$A:$A,CSV!B:B,""),
_xlpm.MacVal,_xlfn.XLOOKUP($A761,Output_Mac!$A:$A,Output_Mac!B:B,""),
_xlpm.MyAuditVal,_xlfn.XLOOKUP($A761,My_Audit!$A:$A,My_Audit!B:B,""),
_xlfn.IFS(_xlpm.MyAuditVal&lt;&gt;"",UPPER(_xlpm.MyAuditVal),_xlpm.MacVal&lt;&gt;"",_xlpm.MacVal,_xlpm.CSVVal&lt;&gt;"",_xlpm.CSVVal
)),"")</f>
        <v/>
      </c>
      <c r="D761" s="40" t="str" cm="1">
        <f t="array" ref="D761">IFERROR(_xlfn.LET(
_xlpm.CSVVal,_xlfn.XLOOKUP($A761,CSV!$A:$A,CSV!D:D,""),
_xlpm.MacVal,_xlfn.XLOOKUP($A761,Output_Mac!$A:$A,Output_Mac!C:C,""),
_xlpm.MyAuditVal,_xlfn.XLOOKUP($A761,My_Audit!$A:$A,My_Audit!C:C,""),
_xlfn.IFS(_xlpm.MyAuditVal&lt;&gt;"",_xlpm.MyAuditVal,_xlpm.MacVal&lt;&gt;"",_xlpm.MacVal,_xlpm.CSVVal&lt;&gt;"",_xlpm.CSVVal
)),"")</f>
        <v/>
      </c>
      <c r="E761" s="40" t="str">
        <f>_xlfn.XLOOKUP(A761,My_Audit!A:A,My_Audit!D:D,"")</f>
        <v/>
      </c>
      <c r="F761" s="40" t="str" cm="1">
        <f t="array" ref="F761">IFERROR(_xlfn.LET(
_xlpm.CSVVal,_xlfn.XLOOKUP($A761,CSV!$A:$A,CSV!F:F,""),
_xlpm.MacVal,_xlfn.XLOOKUP($A761,Output_Mac!$A:$A,Output_Mac!E:E,""),
_xlpm.MyAuditVal,_xlfn.XLOOKUP($A761,My_Audit!$A:$A,My_Audit!E:E,""),
_xlfn.IFS(_xlpm.MyAuditVal&lt;&gt;"",_xlpm.MyAuditVal,_xlpm.MacVal&lt;&gt;"",_xlpm.MacVal,_xlpm.CSVVal&lt;&gt;"",_xlpm.CSVVal
)),"")</f>
        <v/>
      </c>
      <c r="G761" s="40" t="str" cm="1">
        <f t="array" ref="G761">IFERROR(_xlfn.LET(
_xlpm.CSVVal,_xlfn.XLOOKUP($A761,CSV!$A:$A,CSV!G:G,""),
_xlpm.MacVal,_xlfn.XLOOKUP($A761,Output_Mac!$A:$A,Output_Mac!F:F,""),
_xlpm.MyAuditVal,_xlfn.XLOOKUP($A761,My_Audit!$A:$A,My_Audit!F:F,""),
_xlfn.IFS(_xlpm.MyAuditVal&lt;&gt;"",_xlpm.MyAuditVal,_xlpm.MacVal&lt;&gt;"",_xlpm.MacVal,_xlpm.CSVVal&lt;&gt;"",PROPER(_xlpm.CSVVal)
)),"")</f>
        <v/>
      </c>
      <c r="H761" s="40" t="str" cm="1">
        <f t="array" ref="H761">IFERROR(_xlfn.LET(
_xlpm.CSVVal,_xlfn.XLOOKUP($A761,CSV!$A:$A,CSV!H:H,""),
_xlpm.MacVal,_xlfn.XLOOKUP($A761,Output_Mac!$A:$A,Output_Mac!H:H,""),
_xlpm.MyAuditVal,_xlfn.XLOOKUP($A761,My_Audit!$A:$A,My_Audit!G:G,""),
_xlfn.IFS(_xlpm.MyAuditVal&lt;&gt;"",_xlpm.MyAuditVal,_xlpm.MacVal&lt;&gt;"",_xlpm.MacVal,_xlpm.CSVVal&lt;&gt;"",_xlpm.CSVVal
)),"")</f>
        <v/>
      </c>
      <c r="I761" s="40" t="str">
        <f>_xlfn.XLOOKUP(A761,Output_Mac!A:A,Output_Mac!I:I,"")</f>
        <v/>
      </c>
      <c r="J761" s="40" t="str" cm="1">
        <f t="array" ref="J761">IFERROR(_xlfn.LET(
_xlpm.CSVVal,_xlfn.XLOOKUP($A761,CSV!$A:$A,CSV!I:I,""),
_xlpm.MacVal,_xlfn.XLOOKUP($A761,Output_Mac!$A:$A,Output_Mac!J:J,""),
_xlpm.MyAuditVal,_xlfn.XLOOKUP($A761,My_Audit!$A:$A,My_Audit!I:I,""),
_xlfn.IFS(_xlpm.MyAuditVal&lt;&gt;"",UPPER(_xlpm.MyAuditVal),_xlpm.MacVal&lt;&gt;"",_xlpm.MacVal,_xlpm.CSVVal&lt;&gt;"",_xlpm.CSVVal
)),"")</f>
        <v/>
      </c>
      <c r="K761" s="40" t="str" cm="1">
        <f t="array" ref="K761">IFERROR(_xlfn.LET(
_xlpm.CSVVal,_xlfn.XLOOKUP($A761,CSV!$A:$A,CSV!K:K,""),
_xlpm.MacVal,_xlfn.XLOOKUP($A761,Output_Mac!$A:$A,Output_Mac!K:K,""),
_xlpm.MyAuditVal,_xlfn.XLOOKUP($A761,My_Audit!$A:$A,My_Audit!J:J,""),
_xlfn.IFS(_xlpm.MyAuditVal&lt;&gt;"",UPPER(_xlpm.MyAuditVal),_xlpm.MacVal&lt;&gt;"",_xlpm.MacVal,_xlpm.CSVVal&lt;&gt;"",_xlpm.CSVVal
)),"")</f>
        <v/>
      </c>
      <c r="L761" s="40" t="str" cm="1">
        <f t="array" ref="L761">IFERROR(_xlfn.LET(
_xlpm.CSVVal,_xlfn.XLOOKUP($A761,CSV!$A:$A,CSV!P:P,""),
_xlpm.MacVal,_xlfn.XLOOKUP($A761,Output_Mac!$A:$A,Output_Mac!L:L,""),
_xlpm.MyAuditVal,_xlfn.XLOOKUP($A761,My_Audit!$A:$A,My_Audit!K:K,""),
_xlfn.IFS(_xlpm.MyAuditVal&lt;&gt;"",UPPER(_xlpm.MyAuditVal),_xlpm.MacVal&lt;&gt;"",_xlpm.MacVal,_xlpm.CSVVal&lt;&gt;"",_xlpm.CSVVal
)),"")</f>
        <v/>
      </c>
      <c r="M761" s="40" t="str" cm="1">
        <f t="array" ref="M761">IFERROR(_xlfn.LET(
_xlpm.CSVVal,_xlfn.XLOOKUP($A761,CSV!$A:$A,CSV!Q:Q,""),
_xlpm.MacVal,_xlfn.XLOOKUP($A761,Output_Mac!$A:$A,Output_Mac!M:M,""),
_xlpm.MyAuditVal,_xlfn.XLOOKUP($A761,My_Audit!$A:$A,My_Audit!L:L,""),
_xlfn.IFS(_xlpm.MyAuditVal&lt;&gt;"",UPPER(_xlpm.MyAuditVal),_xlpm.MacVal&lt;&gt;"",_xlpm.MacVal,_xlpm.CSVVal&lt;&gt;"",_xlpm.CSVVal
)),"")</f>
        <v/>
      </c>
      <c r="N761" s="40"/>
      <c r="O761" s="40" t="str">
        <f>_xlfn.LET(
    _xlpm.CSVVal, _xlfn.XLOOKUP($A761, CSV!$A:$A, CSV!AA:AA, ""),
    _xlpm.MacVal, _xlfn.XLOOKUP($A761, Output_Mac!$A:$A, Output_Mac!S:S, ""),
    _xlpm.MyAuditVal, _xlfn.XLOOKUP($A761, My_Audit!$A:$A, My_Audit!P:P, ""),
    _xlfn.TEXTJOIN(", ", TRUE, _xlpm.MyAuditVal, _xlpm.MacVal, _xlpm.CSVVal)
)</f>
        <v/>
      </c>
      <c r="P761" s="40" t="str" cm="1">
        <f t="array" ref="P761">IFERROR(_xlfn.LET(
_xlpm.CSVVal,_xlfn.XLOOKUP($A761,CSV!$A:$A,CSV!AB:AB,""),
_xlpm.MacVal,_xlfn.XLOOKUP($A761,Output_Mac!$A:$A,Output_Mac!T:T,""),
_xlpm.MyAuditVal,_xlfn.XLOOKUP($A761,My_Audit!$A:$A,My_Audit!Q:Q,""),
_xlfn.IFS(_xlpm.MyAuditVal&lt;&gt;"",UPPER(_xlpm.MyAuditVal),_xlpm.MacVal&lt;&gt;"",_xlpm.MacVal,_xlpm.CSVVal&lt;&gt;"",_xlpm.CSVVal
)),"No")</f>
        <v>No</v>
      </c>
      <c r="Q761" s="40" t="str" cm="1">
        <f t="array" ref="Q761">IFERROR(_xlfn.LET(
_xlpm.CSVVal,_xlfn.XLOOKUP($A761,CSV!$A:$A,CSV!AC:AC,""),
_xlpm.MacVal,_xlfn.XLOOKUP($A761,Output_Mac!$A:$A,Output_Mac!U:U,""),
_xlpm.MyAuditVal,_xlfn.XLOOKUP($A761,My_Audit!$A:$A,My_Audit!R:R,""),
_xlfn.IFS(_xlpm.MyAuditVal&lt;&gt;"",UPPER(_xlpm.MyAuditVal),_xlpm.MacVal&lt;&gt;"",_xlpm.MacVal,_xlpm.CSVVal&lt;&gt;"",_xlpm.CSVVal
)),"")</f>
        <v/>
      </c>
      <c r="R761" s="40"/>
      <c r="S761" s="40"/>
      <c r="T761" s="40"/>
      <c r="U761" s="40"/>
      <c r="V761" s="40"/>
      <c r="W761" s="40"/>
      <c r="X761" s="41" t="str">
        <f>_xlfn.LET(
    _xlpm.MacVal, _xlfn.XLOOKUP($A761, Output_Mac!$A:$A, Output_Mac!AB:AB, ""),
    _xlpm.MyAuditVal, _xlfn.XLOOKUP($A761, My_Audit!$A:$A, My_Audit!N:N, ""),
    _xlfn.TEXTJOIN(", ", TRUE, _xlpm.MyAuditVal, _xlpm.MacVal)
)</f>
        <v/>
      </c>
    </row>
    <row r="762" spans="1:24">
      <c r="A762" s="40" t="str">
        <f>_xlfn.TEXTJOIN("",TRUE,Input!$B$2,ROW(My_Audit!A761))</f>
        <v>X761</v>
      </c>
      <c r="B762" s="40" t="str">
        <f>_xlfn.TEXTJOIN("-",TRUE,"ITD",Input!$A$2,A762)</f>
        <v>ITD-X761</v>
      </c>
      <c r="C762" s="40" t="str" cm="1">
        <f t="array" ref="C762">IFERROR(_xlfn.LET(
_xlpm.CSVVal,_xlfn.XLOOKUP($A762,CSV!$A:$A,CSV!B:B,""),
_xlpm.MacVal,_xlfn.XLOOKUP($A762,Output_Mac!$A:$A,Output_Mac!B:B,""),
_xlpm.MyAuditVal,_xlfn.XLOOKUP($A762,My_Audit!$A:$A,My_Audit!B:B,""),
_xlfn.IFS(_xlpm.MyAuditVal&lt;&gt;"",UPPER(_xlpm.MyAuditVal),_xlpm.MacVal&lt;&gt;"",_xlpm.MacVal,_xlpm.CSVVal&lt;&gt;"",_xlpm.CSVVal
)),"")</f>
        <v/>
      </c>
      <c r="D762" s="40" t="str" cm="1">
        <f t="array" ref="D762">IFERROR(_xlfn.LET(
_xlpm.CSVVal,_xlfn.XLOOKUP($A762,CSV!$A:$A,CSV!D:D,""),
_xlpm.MacVal,_xlfn.XLOOKUP($A762,Output_Mac!$A:$A,Output_Mac!C:C,""),
_xlpm.MyAuditVal,_xlfn.XLOOKUP($A762,My_Audit!$A:$A,My_Audit!C:C,""),
_xlfn.IFS(_xlpm.MyAuditVal&lt;&gt;"",_xlpm.MyAuditVal,_xlpm.MacVal&lt;&gt;"",_xlpm.MacVal,_xlpm.CSVVal&lt;&gt;"",_xlpm.CSVVal
)),"")</f>
        <v/>
      </c>
      <c r="E762" s="40" t="str">
        <f>_xlfn.XLOOKUP(A762,My_Audit!A:A,My_Audit!D:D,"")</f>
        <v/>
      </c>
      <c r="F762" s="40" t="str" cm="1">
        <f t="array" ref="F762">IFERROR(_xlfn.LET(
_xlpm.CSVVal,_xlfn.XLOOKUP($A762,CSV!$A:$A,CSV!F:F,""),
_xlpm.MacVal,_xlfn.XLOOKUP($A762,Output_Mac!$A:$A,Output_Mac!E:E,""),
_xlpm.MyAuditVal,_xlfn.XLOOKUP($A762,My_Audit!$A:$A,My_Audit!E:E,""),
_xlfn.IFS(_xlpm.MyAuditVal&lt;&gt;"",_xlpm.MyAuditVal,_xlpm.MacVal&lt;&gt;"",_xlpm.MacVal,_xlpm.CSVVal&lt;&gt;"",_xlpm.CSVVal
)),"")</f>
        <v/>
      </c>
      <c r="G762" s="40" t="str" cm="1">
        <f t="array" ref="G762">IFERROR(_xlfn.LET(
_xlpm.CSVVal,_xlfn.XLOOKUP($A762,CSV!$A:$A,CSV!G:G,""),
_xlpm.MacVal,_xlfn.XLOOKUP($A762,Output_Mac!$A:$A,Output_Mac!F:F,""),
_xlpm.MyAuditVal,_xlfn.XLOOKUP($A762,My_Audit!$A:$A,My_Audit!F:F,""),
_xlfn.IFS(_xlpm.MyAuditVal&lt;&gt;"",_xlpm.MyAuditVal,_xlpm.MacVal&lt;&gt;"",_xlpm.MacVal,_xlpm.CSVVal&lt;&gt;"",PROPER(_xlpm.CSVVal)
)),"")</f>
        <v/>
      </c>
      <c r="H762" s="40" t="str" cm="1">
        <f t="array" ref="H762">IFERROR(_xlfn.LET(
_xlpm.CSVVal,_xlfn.XLOOKUP($A762,CSV!$A:$A,CSV!H:H,""),
_xlpm.MacVal,_xlfn.XLOOKUP($A762,Output_Mac!$A:$A,Output_Mac!H:H,""),
_xlpm.MyAuditVal,_xlfn.XLOOKUP($A762,My_Audit!$A:$A,My_Audit!G:G,""),
_xlfn.IFS(_xlpm.MyAuditVal&lt;&gt;"",_xlpm.MyAuditVal,_xlpm.MacVal&lt;&gt;"",_xlpm.MacVal,_xlpm.CSVVal&lt;&gt;"",_xlpm.CSVVal
)),"")</f>
        <v/>
      </c>
      <c r="I762" s="40" t="str">
        <f>_xlfn.XLOOKUP(A762,Output_Mac!A:A,Output_Mac!I:I,"")</f>
        <v/>
      </c>
      <c r="J762" s="40" t="str" cm="1">
        <f t="array" ref="J762">IFERROR(_xlfn.LET(
_xlpm.CSVVal,_xlfn.XLOOKUP($A762,CSV!$A:$A,CSV!I:I,""),
_xlpm.MacVal,_xlfn.XLOOKUP($A762,Output_Mac!$A:$A,Output_Mac!J:J,""),
_xlpm.MyAuditVal,_xlfn.XLOOKUP($A762,My_Audit!$A:$A,My_Audit!I:I,""),
_xlfn.IFS(_xlpm.MyAuditVal&lt;&gt;"",UPPER(_xlpm.MyAuditVal),_xlpm.MacVal&lt;&gt;"",_xlpm.MacVal,_xlpm.CSVVal&lt;&gt;"",_xlpm.CSVVal
)),"")</f>
        <v/>
      </c>
      <c r="K762" s="40" t="str" cm="1">
        <f t="array" ref="K762">IFERROR(_xlfn.LET(
_xlpm.CSVVal,_xlfn.XLOOKUP($A762,CSV!$A:$A,CSV!K:K,""),
_xlpm.MacVal,_xlfn.XLOOKUP($A762,Output_Mac!$A:$A,Output_Mac!K:K,""),
_xlpm.MyAuditVal,_xlfn.XLOOKUP($A762,My_Audit!$A:$A,My_Audit!J:J,""),
_xlfn.IFS(_xlpm.MyAuditVal&lt;&gt;"",UPPER(_xlpm.MyAuditVal),_xlpm.MacVal&lt;&gt;"",_xlpm.MacVal,_xlpm.CSVVal&lt;&gt;"",_xlpm.CSVVal
)),"")</f>
        <v/>
      </c>
      <c r="L762" s="40" t="str" cm="1">
        <f t="array" ref="L762">IFERROR(_xlfn.LET(
_xlpm.CSVVal,_xlfn.XLOOKUP($A762,CSV!$A:$A,CSV!P:P,""),
_xlpm.MacVal,_xlfn.XLOOKUP($A762,Output_Mac!$A:$A,Output_Mac!L:L,""),
_xlpm.MyAuditVal,_xlfn.XLOOKUP($A762,My_Audit!$A:$A,My_Audit!K:K,""),
_xlfn.IFS(_xlpm.MyAuditVal&lt;&gt;"",UPPER(_xlpm.MyAuditVal),_xlpm.MacVal&lt;&gt;"",_xlpm.MacVal,_xlpm.CSVVal&lt;&gt;"",_xlpm.CSVVal
)),"")</f>
        <v/>
      </c>
      <c r="M762" s="40" t="str" cm="1">
        <f t="array" ref="M762">IFERROR(_xlfn.LET(
_xlpm.CSVVal,_xlfn.XLOOKUP($A762,CSV!$A:$A,CSV!Q:Q,""),
_xlpm.MacVal,_xlfn.XLOOKUP($A762,Output_Mac!$A:$A,Output_Mac!M:M,""),
_xlpm.MyAuditVal,_xlfn.XLOOKUP($A762,My_Audit!$A:$A,My_Audit!L:L,""),
_xlfn.IFS(_xlpm.MyAuditVal&lt;&gt;"",UPPER(_xlpm.MyAuditVal),_xlpm.MacVal&lt;&gt;"",_xlpm.MacVal,_xlpm.CSVVal&lt;&gt;"",_xlpm.CSVVal
)),"")</f>
        <v/>
      </c>
      <c r="N762" s="40"/>
      <c r="O762" s="40" t="str">
        <f>_xlfn.LET(
    _xlpm.CSVVal, _xlfn.XLOOKUP($A762, CSV!$A:$A, CSV!AA:AA, ""),
    _xlpm.MacVal, _xlfn.XLOOKUP($A762, Output_Mac!$A:$A, Output_Mac!S:S, ""),
    _xlpm.MyAuditVal, _xlfn.XLOOKUP($A762, My_Audit!$A:$A, My_Audit!P:P, ""),
    _xlfn.TEXTJOIN(", ", TRUE, _xlpm.MyAuditVal, _xlpm.MacVal, _xlpm.CSVVal)
)</f>
        <v/>
      </c>
      <c r="P762" s="40" t="str" cm="1">
        <f t="array" ref="P762">IFERROR(_xlfn.LET(
_xlpm.CSVVal,_xlfn.XLOOKUP($A762,CSV!$A:$A,CSV!AB:AB,""),
_xlpm.MacVal,_xlfn.XLOOKUP($A762,Output_Mac!$A:$A,Output_Mac!T:T,""),
_xlpm.MyAuditVal,_xlfn.XLOOKUP($A762,My_Audit!$A:$A,My_Audit!Q:Q,""),
_xlfn.IFS(_xlpm.MyAuditVal&lt;&gt;"",UPPER(_xlpm.MyAuditVal),_xlpm.MacVal&lt;&gt;"",_xlpm.MacVal,_xlpm.CSVVal&lt;&gt;"",_xlpm.CSVVal
)),"No")</f>
        <v>No</v>
      </c>
      <c r="Q762" s="40" t="str" cm="1">
        <f t="array" ref="Q762">IFERROR(_xlfn.LET(
_xlpm.CSVVal,_xlfn.XLOOKUP($A762,CSV!$A:$A,CSV!AC:AC,""),
_xlpm.MacVal,_xlfn.XLOOKUP($A762,Output_Mac!$A:$A,Output_Mac!U:U,""),
_xlpm.MyAuditVal,_xlfn.XLOOKUP($A762,My_Audit!$A:$A,My_Audit!R:R,""),
_xlfn.IFS(_xlpm.MyAuditVal&lt;&gt;"",UPPER(_xlpm.MyAuditVal),_xlpm.MacVal&lt;&gt;"",_xlpm.MacVal,_xlpm.CSVVal&lt;&gt;"",_xlpm.CSVVal
)),"")</f>
        <v/>
      </c>
      <c r="R762" s="40"/>
      <c r="S762" s="40"/>
      <c r="T762" s="40"/>
      <c r="U762" s="40"/>
      <c r="V762" s="40"/>
      <c r="W762" s="40"/>
      <c r="X762" s="41" t="str">
        <f>_xlfn.LET(
    _xlpm.MacVal, _xlfn.XLOOKUP($A762, Output_Mac!$A:$A, Output_Mac!AB:AB, ""),
    _xlpm.MyAuditVal, _xlfn.XLOOKUP($A762, My_Audit!$A:$A, My_Audit!N:N, ""),
    _xlfn.TEXTJOIN(", ", TRUE, _xlpm.MyAuditVal, _xlpm.MacVal)
)</f>
        <v/>
      </c>
    </row>
    <row r="763" spans="1:24">
      <c r="A763" s="40" t="str">
        <f>_xlfn.TEXTJOIN("",TRUE,Input!$B$2,ROW(My_Audit!A762))</f>
        <v>X762</v>
      </c>
      <c r="B763" s="40" t="str">
        <f>_xlfn.TEXTJOIN("-",TRUE,"ITD",Input!$A$2,A763)</f>
        <v>ITD-X762</v>
      </c>
      <c r="C763" s="40" t="str" cm="1">
        <f t="array" ref="C763">IFERROR(_xlfn.LET(
_xlpm.CSVVal,_xlfn.XLOOKUP($A763,CSV!$A:$A,CSV!B:B,""),
_xlpm.MacVal,_xlfn.XLOOKUP($A763,Output_Mac!$A:$A,Output_Mac!B:B,""),
_xlpm.MyAuditVal,_xlfn.XLOOKUP($A763,My_Audit!$A:$A,My_Audit!B:B,""),
_xlfn.IFS(_xlpm.MyAuditVal&lt;&gt;"",UPPER(_xlpm.MyAuditVal),_xlpm.MacVal&lt;&gt;"",_xlpm.MacVal,_xlpm.CSVVal&lt;&gt;"",_xlpm.CSVVal
)),"")</f>
        <v/>
      </c>
      <c r="D763" s="40" t="str" cm="1">
        <f t="array" ref="D763">IFERROR(_xlfn.LET(
_xlpm.CSVVal,_xlfn.XLOOKUP($A763,CSV!$A:$A,CSV!D:D,""),
_xlpm.MacVal,_xlfn.XLOOKUP($A763,Output_Mac!$A:$A,Output_Mac!C:C,""),
_xlpm.MyAuditVal,_xlfn.XLOOKUP($A763,My_Audit!$A:$A,My_Audit!C:C,""),
_xlfn.IFS(_xlpm.MyAuditVal&lt;&gt;"",_xlpm.MyAuditVal,_xlpm.MacVal&lt;&gt;"",_xlpm.MacVal,_xlpm.CSVVal&lt;&gt;"",_xlpm.CSVVal
)),"")</f>
        <v/>
      </c>
      <c r="E763" s="40" t="str">
        <f>_xlfn.XLOOKUP(A763,My_Audit!A:A,My_Audit!D:D,"")</f>
        <v/>
      </c>
      <c r="F763" s="40" t="str" cm="1">
        <f t="array" ref="F763">IFERROR(_xlfn.LET(
_xlpm.CSVVal,_xlfn.XLOOKUP($A763,CSV!$A:$A,CSV!F:F,""),
_xlpm.MacVal,_xlfn.XLOOKUP($A763,Output_Mac!$A:$A,Output_Mac!E:E,""),
_xlpm.MyAuditVal,_xlfn.XLOOKUP($A763,My_Audit!$A:$A,My_Audit!E:E,""),
_xlfn.IFS(_xlpm.MyAuditVal&lt;&gt;"",_xlpm.MyAuditVal,_xlpm.MacVal&lt;&gt;"",_xlpm.MacVal,_xlpm.CSVVal&lt;&gt;"",_xlpm.CSVVal
)),"")</f>
        <v/>
      </c>
      <c r="G763" s="40" t="str" cm="1">
        <f t="array" ref="G763">IFERROR(_xlfn.LET(
_xlpm.CSVVal,_xlfn.XLOOKUP($A763,CSV!$A:$A,CSV!G:G,""),
_xlpm.MacVal,_xlfn.XLOOKUP($A763,Output_Mac!$A:$A,Output_Mac!F:F,""),
_xlpm.MyAuditVal,_xlfn.XLOOKUP($A763,My_Audit!$A:$A,My_Audit!F:F,""),
_xlfn.IFS(_xlpm.MyAuditVal&lt;&gt;"",_xlpm.MyAuditVal,_xlpm.MacVal&lt;&gt;"",_xlpm.MacVal,_xlpm.CSVVal&lt;&gt;"",PROPER(_xlpm.CSVVal)
)),"")</f>
        <v/>
      </c>
      <c r="H763" s="40" t="str" cm="1">
        <f t="array" ref="H763">IFERROR(_xlfn.LET(
_xlpm.CSVVal,_xlfn.XLOOKUP($A763,CSV!$A:$A,CSV!H:H,""),
_xlpm.MacVal,_xlfn.XLOOKUP($A763,Output_Mac!$A:$A,Output_Mac!H:H,""),
_xlpm.MyAuditVal,_xlfn.XLOOKUP($A763,My_Audit!$A:$A,My_Audit!G:G,""),
_xlfn.IFS(_xlpm.MyAuditVal&lt;&gt;"",_xlpm.MyAuditVal,_xlpm.MacVal&lt;&gt;"",_xlpm.MacVal,_xlpm.CSVVal&lt;&gt;"",_xlpm.CSVVal
)),"")</f>
        <v/>
      </c>
      <c r="I763" s="40" t="str">
        <f>_xlfn.XLOOKUP(A763,Output_Mac!A:A,Output_Mac!I:I,"")</f>
        <v/>
      </c>
      <c r="J763" s="40" t="str" cm="1">
        <f t="array" ref="J763">IFERROR(_xlfn.LET(
_xlpm.CSVVal,_xlfn.XLOOKUP($A763,CSV!$A:$A,CSV!I:I,""),
_xlpm.MacVal,_xlfn.XLOOKUP($A763,Output_Mac!$A:$A,Output_Mac!J:J,""),
_xlpm.MyAuditVal,_xlfn.XLOOKUP($A763,My_Audit!$A:$A,My_Audit!I:I,""),
_xlfn.IFS(_xlpm.MyAuditVal&lt;&gt;"",UPPER(_xlpm.MyAuditVal),_xlpm.MacVal&lt;&gt;"",_xlpm.MacVal,_xlpm.CSVVal&lt;&gt;"",_xlpm.CSVVal
)),"")</f>
        <v/>
      </c>
      <c r="K763" s="40" t="str" cm="1">
        <f t="array" ref="K763">IFERROR(_xlfn.LET(
_xlpm.CSVVal,_xlfn.XLOOKUP($A763,CSV!$A:$A,CSV!K:K,""),
_xlpm.MacVal,_xlfn.XLOOKUP($A763,Output_Mac!$A:$A,Output_Mac!K:K,""),
_xlpm.MyAuditVal,_xlfn.XLOOKUP($A763,My_Audit!$A:$A,My_Audit!J:J,""),
_xlfn.IFS(_xlpm.MyAuditVal&lt;&gt;"",UPPER(_xlpm.MyAuditVal),_xlpm.MacVal&lt;&gt;"",_xlpm.MacVal,_xlpm.CSVVal&lt;&gt;"",_xlpm.CSVVal
)),"")</f>
        <v/>
      </c>
      <c r="L763" s="40" t="str" cm="1">
        <f t="array" ref="L763">IFERROR(_xlfn.LET(
_xlpm.CSVVal,_xlfn.XLOOKUP($A763,CSV!$A:$A,CSV!P:P,""),
_xlpm.MacVal,_xlfn.XLOOKUP($A763,Output_Mac!$A:$A,Output_Mac!L:L,""),
_xlpm.MyAuditVal,_xlfn.XLOOKUP($A763,My_Audit!$A:$A,My_Audit!K:K,""),
_xlfn.IFS(_xlpm.MyAuditVal&lt;&gt;"",UPPER(_xlpm.MyAuditVal),_xlpm.MacVal&lt;&gt;"",_xlpm.MacVal,_xlpm.CSVVal&lt;&gt;"",_xlpm.CSVVal
)),"")</f>
        <v/>
      </c>
      <c r="M763" s="40" t="str" cm="1">
        <f t="array" ref="M763">IFERROR(_xlfn.LET(
_xlpm.CSVVal,_xlfn.XLOOKUP($A763,CSV!$A:$A,CSV!Q:Q,""),
_xlpm.MacVal,_xlfn.XLOOKUP($A763,Output_Mac!$A:$A,Output_Mac!M:M,""),
_xlpm.MyAuditVal,_xlfn.XLOOKUP($A763,My_Audit!$A:$A,My_Audit!L:L,""),
_xlfn.IFS(_xlpm.MyAuditVal&lt;&gt;"",UPPER(_xlpm.MyAuditVal),_xlpm.MacVal&lt;&gt;"",_xlpm.MacVal,_xlpm.CSVVal&lt;&gt;"",_xlpm.CSVVal
)),"")</f>
        <v/>
      </c>
      <c r="N763" s="40"/>
      <c r="O763" s="40" t="str">
        <f>_xlfn.LET(
    _xlpm.CSVVal, _xlfn.XLOOKUP($A763, CSV!$A:$A, CSV!AA:AA, ""),
    _xlpm.MacVal, _xlfn.XLOOKUP($A763, Output_Mac!$A:$A, Output_Mac!S:S, ""),
    _xlpm.MyAuditVal, _xlfn.XLOOKUP($A763, My_Audit!$A:$A, My_Audit!P:P, ""),
    _xlfn.TEXTJOIN(", ", TRUE, _xlpm.MyAuditVal, _xlpm.MacVal, _xlpm.CSVVal)
)</f>
        <v/>
      </c>
      <c r="P763" s="40" t="str" cm="1">
        <f t="array" ref="P763">IFERROR(_xlfn.LET(
_xlpm.CSVVal,_xlfn.XLOOKUP($A763,CSV!$A:$A,CSV!AB:AB,""),
_xlpm.MacVal,_xlfn.XLOOKUP($A763,Output_Mac!$A:$A,Output_Mac!T:T,""),
_xlpm.MyAuditVal,_xlfn.XLOOKUP($A763,My_Audit!$A:$A,My_Audit!Q:Q,""),
_xlfn.IFS(_xlpm.MyAuditVal&lt;&gt;"",UPPER(_xlpm.MyAuditVal),_xlpm.MacVal&lt;&gt;"",_xlpm.MacVal,_xlpm.CSVVal&lt;&gt;"",_xlpm.CSVVal
)),"No")</f>
        <v>No</v>
      </c>
      <c r="Q763" s="40" t="str" cm="1">
        <f t="array" ref="Q763">IFERROR(_xlfn.LET(
_xlpm.CSVVal,_xlfn.XLOOKUP($A763,CSV!$A:$A,CSV!AC:AC,""),
_xlpm.MacVal,_xlfn.XLOOKUP($A763,Output_Mac!$A:$A,Output_Mac!U:U,""),
_xlpm.MyAuditVal,_xlfn.XLOOKUP($A763,My_Audit!$A:$A,My_Audit!R:R,""),
_xlfn.IFS(_xlpm.MyAuditVal&lt;&gt;"",UPPER(_xlpm.MyAuditVal),_xlpm.MacVal&lt;&gt;"",_xlpm.MacVal,_xlpm.CSVVal&lt;&gt;"",_xlpm.CSVVal
)),"")</f>
        <v/>
      </c>
      <c r="R763" s="40"/>
      <c r="S763" s="40"/>
      <c r="T763" s="40"/>
      <c r="U763" s="40"/>
      <c r="V763" s="40"/>
      <c r="W763" s="40"/>
      <c r="X763" s="41" t="str">
        <f>_xlfn.LET(
    _xlpm.MacVal, _xlfn.XLOOKUP($A763, Output_Mac!$A:$A, Output_Mac!AB:AB, ""),
    _xlpm.MyAuditVal, _xlfn.XLOOKUP($A763, My_Audit!$A:$A, My_Audit!N:N, ""),
    _xlfn.TEXTJOIN(", ", TRUE, _xlpm.MyAuditVal, _xlpm.MacVal)
)</f>
        <v/>
      </c>
    </row>
    <row r="764" spans="1:24">
      <c r="A764" s="40" t="str">
        <f>_xlfn.TEXTJOIN("",TRUE,Input!$B$2,ROW(My_Audit!A763))</f>
        <v>X763</v>
      </c>
      <c r="B764" s="40" t="str">
        <f>_xlfn.TEXTJOIN("-",TRUE,"ITD",Input!$A$2,A764)</f>
        <v>ITD-X763</v>
      </c>
      <c r="C764" s="40" t="str" cm="1">
        <f t="array" ref="C764">IFERROR(_xlfn.LET(
_xlpm.CSVVal,_xlfn.XLOOKUP($A764,CSV!$A:$A,CSV!B:B,""),
_xlpm.MacVal,_xlfn.XLOOKUP($A764,Output_Mac!$A:$A,Output_Mac!B:B,""),
_xlpm.MyAuditVal,_xlfn.XLOOKUP($A764,My_Audit!$A:$A,My_Audit!B:B,""),
_xlfn.IFS(_xlpm.MyAuditVal&lt;&gt;"",UPPER(_xlpm.MyAuditVal),_xlpm.MacVal&lt;&gt;"",_xlpm.MacVal,_xlpm.CSVVal&lt;&gt;"",_xlpm.CSVVal
)),"")</f>
        <v/>
      </c>
      <c r="D764" s="40" t="str" cm="1">
        <f t="array" ref="D764">IFERROR(_xlfn.LET(
_xlpm.CSVVal,_xlfn.XLOOKUP($A764,CSV!$A:$A,CSV!D:D,""),
_xlpm.MacVal,_xlfn.XLOOKUP($A764,Output_Mac!$A:$A,Output_Mac!C:C,""),
_xlpm.MyAuditVal,_xlfn.XLOOKUP($A764,My_Audit!$A:$A,My_Audit!C:C,""),
_xlfn.IFS(_xlpm.MyAuditVal&lt;&gt;"",_xlpm.MyAuditVal,_xlpm.MacVal&lt;&gt;"",_xlpm.MacVal,_xlpm.CSVVal&lt;&gt;"",_xlpm.CSVVal
)),"")</f>
        <v/>
      </c>
      <c r="E764" s="40" t="str">
        <f>_xlfn.XLOOKUP(A764,My_Audit!A:A,My_Audit!D:D,"")</f>
        <v/>
      </c>
      <c r="F764" s="40" t="str" cm="1">
        <f t="array" ref="F764">IFERROR(_xlfn.LET(
_xlpm.CSVVal,_xlfn.XLOOKUP($A764,CSV!$A:$A,CSV!F:F,""),
_xlpm.MacVal,_xlfn.XLOOKUP($A764,Output_Mac!$A:$A,Output_Mac!E:E,""),
_xlpm.MyAuditVal,_xlfn.XLOOKUP($A764,My_Audit!$A:$A,My_Audit!E:E,""),
_xlfn.IFS(_xlpm.MyAuditVal&lt;&gt;"",_xlpm.MyAuditVal,_xlpm.MacVal&lt;&gt;"",_xlpm.MacVal,_xlpm.CSVVal&lt;&gt;"",_xlpm.CSVVal
)),"")</f>
        <v/>
      </c>
      <c r="G764" s="40" t="str" cm="1">
        <f t="array" ref="G764">IFERROR(_xlfn.LET(
_xlpm.CSVVal,_xlfn.XLOOKUP($A764,CSV!$A:$A,CSV!G:G,""),
_xlpm.MacVal,_xlfn.XLOOKUP($A764,Output_Mac!$A:$A,Output_Mac!F:F,""),
_xlpm.MyAuditVal,_xlfn.XLOOKUP($A764,My_Audit!$A:$A,My_Audit!F:F,""),
_xlfn.IFS(_xlpm.MyAuditVal&lt;&gt;"",_xlpm.MyAuditVal,_xlpm.MacVal&lt;&gt;"",_xlpm.MacVal,_xlpm.CSVVal&lt;&gt;"",PROPER(_xlpm.CSVVal)
)),"")</f>
        <v/>
      </c>
      <c r="H764" s="40" t="str" cm="1">
        <f t="array" ref="H764">IFERROR(_xlfn.LET(
_xlpm.CSVVal,_xlfn.XLOOKUP($A764,CSV!$A:$A,CSV!H:H,""),
_xlpm.MacVal,_xlfn.XLOOKUP($A764,Output_Mac!$A:$A,Output_Mac!H:H,""),
_xlpm.MyAuditVal,_xlfn.XLOOKUP($A764,My_Audit!$A:$A,My_Audit!G:G,""),
_xlfn.IFS(_xlpm.MyAuditVal&lt;&gt;"",_xlpm.MyAuditVal,_xlpm.MacVal&lt;&gt;"",_xlpm.MacVal,_xlpm.CSVVal&lt;&gt;"",_xlpm.CSVVal
)),"")</f>
        <v/>
      </c>
      <c r="I764" s="40" t="str">
        <f>_xlfn.XLOOKUP(A764,Output_Mac!A:A,Output_Mac!I:I,"")</f>
        <v/>
      </c>
      <c r="J764" s="40" t="str" cm="1">
        <f t="array" ref="J764">IFERROR(_xlfn.LET(
_xlpm.CSVVal,_xlfn.XLOOKUP($A764,CSV!$A:$A,CSV!I:I,""),
_xlpm.MacVal,_xlfn.XLOOKUP($A764,Output_Mac!$A:$A,Output_Mac!J:J,""),
_xlpm.MyAuditVal,_xlfn.XLOOKUP($A764,My_Audit!$A:$A,My_Audit!I:I,""),
_xlfn.IFS(_xlpm.MyAuditVal&lt;&gt;"",UPPER(_xlpm.MyAuditVal),_xlpm.MacVal&lt;&gt;"",_xlpm.MacVal,_xlpm.CSVVal&lt;&gt;"",_xlpm.CSVVal
)),"")</f>
        <v/>
      </c>
      <c r="K764" s="40" t="str" cm="1">
        <f t="array" ref="K764">IFERROR(_xlfn.LET(
_xlpm.CSVVal,_xlfn.XLOOKUP($A764,CSV!$A:$A,CSV!K:K,""),
_xlpm.MacVal,_xlfn.XLOOKUP($A764,Output_Mac!$A:$A,Output_Mac!K:K,""),
_xlpm.MyAuditVal,_xlfn.XLOOKUP($A764,My_Audit!$A:$A,My_Audit!J:J,""),
_xlfn.IFS(_xlpm.MyAuditVal&lt;&gt;"",UPPER(_xlpm.MyAuditVal),_xlpm.MacVal&lt;&gt;"",_xlpm.MacVal,_xlpm.CSVVal&lt;&gt;"",_xlpm.CSVVal
)),"")</f>
        <v/>
      </c>
      <c r="L764" s="40" t="str" cm="1">
        <f t="array" ref="L764">IFERROR(_xlfn.LET(
_xlpm.CSVVal,_xlfn.XLOOKUP($A764,CSV!$A:$A,CSV!P:P,""),
_xlpm.MacVal,_xlfn.XLOOKUP($A764,Output_Mac!$A:$A,Output_Mac!L:L,""),
_xlpm.MyAuditVal,_xlfn.XLOOKUP($A764,My_Audit!$A:$A,My_Audit!K:K,""),
_xlfn.IFS(_xlpm.MyAuditVal&lt;&gt;"",UPPER(_xlpm.MyAuditVal),_xlpm.MacVal&lt;&gt;"",_xlpm.MacVal,_xlpm.CSVVal&lt;&gt;"",_xlpm.CSVVal
)),"")</f>
        <v/>
      </c>
      <c r="M764" s="40" t="str" cm="1">
        <f t="array" ref="M764">IFERROR(_xlfn.LET(
_xlpm.CSVVal,_xlfn.XLOOKUP($A764,CSV!$A:$A,CSV!Q:Q,""),
_xlpm.MacVal,_xlfn.XLOOKUP($A764,Output_Mac!$A:$A,Output_Mac!M:M,""),
_xlpm.MyAuditVal,_xlfn.XLOOKUP($A764,My_Audit!$A:$A,My_Audit!L:L,""),
_xlfn.IFS(_xlpm.MyAuditVal&lt;&gt;"",UPPER(_xlpm.MyAuditVal),_xlpm.MacVal&lt;&gt;"",_xlpm.MacVal,_xlpm.CSVVal&lt;&gt;"",_xlpm.CSVVal
)),"")</f>
        <v/>
      </c>
      <c r="N764" s="40"/>
      <c r="O764" s="40" t="str">
        <f>_xlfn.LET(
    _xlpm.CSVVal, _xlfn.XLOOKUP($A764, CSV!$A:$A, CSV!AA:AA, ""),
    _xlpm.MacVal, _xlfn.XLOOKUP($A764, Output_Mac!$A:$A, Output_Mac!S:S, ""),
    _xlpm.MyAuditVal, _xlfn.XLOOKUP($A764, My_Audit!$A:$A, My_Audit!P:P, ""),
    _xlfn.TEXTJOIN(", ", TRUE, _xlpm.MyAuditVal, _xlpm.MacVal, _xlpm.CSVVal)
)</f>
        <v/>
      </c>
      <c r="P764" s="40" t="str" cm="1">
        <f t="array" ref="P764">IFERROR(_xlfn.LET(
_xlpm.CSVVal,_xlfn.XLOOKUP($A764,CSV!$A:$A,CSV!AB:AB,""),
_xlpm.MacVal,_xlfn.XLOOKUP($A764,Output_Mac!$A:$A,Output_Mac!T:T,""),
_xlpm.MyAuditVal,_xlfn.XLOOKUP($A764,My_Audit!$A:$A,My_Audit!Q:Q,""),
_xlfn.IFS(_xlpm.MyAuditVal&lt;&gt;"",UPPER(_xlpm.MyAuditVal),_xlpm.MacVal&lt;&gt;"",_xlpm.MacVal,_xlpm.CSVVal&lt;&gt;"",_xlpm.CSVVal
)),"No")</f>
        <v>No</v>
      </c>
      <c r="Q764" s="40" t="str" cm="1">
        <f t="array" ref="Q764">IFERROR(_xlfn.LET(
_xlpm.CSVVal,_xlfn.XLOOKUP($A764,CSV!$A:$A,CSV!AC:AC,""),
_xlpm.MacVal,_xlfn.XLOOKUP($A764,Output_Mac!$A:$A,Output_Mac!U:U,""),
_xlpm.MyAuditVal,_xlfn.XLOOKUP($A764,My_Audit!$A:$A,My_Audit!R:R,""),
_xlfn.IFS(_xlpm.MyAuditVal&lt;&gt;"",UPPER(_xlpm.MyAuditVal),_xlpm.MacVal&lt;&gt;"",_xlpm.MacVal,_xlpm.CSVVal&lt;&gt;"",_xlpm.CSVVal
)),"")</f>
        <v/>
      </c>
      <c r="R764" s="40"/>
      <c r="S764" s="40"/>
      <c r="T764" s="40"/>
      <c r="U764" s="40"/>
      <c r="V764" s="40"/>
      <c r="W764" s="40"/>
      <c r="X764" s="41" t="str">
        <f>_xlfn.LET(
    _xlpm.MacVal, _xlfn.XLOOKUP($A764, Output_Mac!$A:$A, Output_Mac!AB:AB, ""),
    _xlpm.MyAuditVal, _xlfn.XLOOKUP($A764, My_Audit!$A:$A, My_Audit!N:N, ""),
    _xlfn.TEXTJOIN(", ", TRUE, _xlpm.MyAuditVal, _xlpm.MacVal)
)</f>
        <v/>
      </c>
    </row>
    <row r="765" spans="1:24">
      <c r="A765" s="40" t="str">
        <f>_xlfn.TEXTJOIN("",TRUE,Input!$B$2,ROW(My_Audit!A764))</f>
        <v>X764</v>
      </c>
      <c r="B765" s="40" t="str">
        <f>_xlfn.TEXTJOIN("-",TRUE,"ITD",Input!$A$2,A765)</f>
        <v>ITD-X764</v>
      </c>
      <c r="C765" s="40" t="str" cm="1">
        <f t="array" ref="C765">IFERROR(_xlfn.LET(
_xlpm.CSVVal,_xlfn.XLOOKUP($A765,CSV!$A:$A,CSV!B:B,""),
_xlpm.MacVal,_xlfn.XLOOKUP($A765,Output_Mac!$A:$A,Output_Mac!B:B,""),
_xlpm.MyAuditVal,_xlfn.XLOOKUP($A765,My_Audit!$A:$A,My_Audit!B:B,""),
_xlfn.IFS(_xlpm.MyAuditVal&lt;&gt;"",UPPER(_xlpm.MyAuditVal),_xlpm.MacVal&lt;&gt;"",_xlpm.MacVal,_xlpm.CSVVal&lt;&gt;"",_xlpm.CSVVal
)),"")</f>
        <v/>
      </c>
      <c r="D765" s="40" t="str" cm="1">
        <f t="array" ref="D765">IFERROR(_xlfn.LET(
_xlpm.CSVVal,_xlfn.XLOOKUP($A765,CSV!$A:$A,CSV!D:D,""),
_xlpm.MacVal,_xlfn.XLOOKUP($A765,Output_Mac!$A:$A,Output_Mac!C:C,""),
_xlpm.MyAuditVal,_xlfn.XLOOKUP($A765,My_Audit!$A:$A,My_Audit!C:C,""),
_xlfn.IFS(_xlpm.MyAuditVal&lt;&gt;"",_xlpm.MyAuditVal,_xlpm.MacVal&lt;&gt;"",_xlpm.MacVal,_xlpm.CSVVal&lt;&gt;"",_xlpm.CSVVal
)),"")</f>
        <v/>
      </c>
      <c r="E765" s="40" t="str">
        <f>_xlfn.XLOOKUP(A765,My_Audit!A:A,My_Audit!D:D,"")</f>
        <v/>
      </c>
      <c r="F765" s="40" t="str" cm="1">
        <f t="array" ref="F765">IFERROR(_xlfn.LET(
_xlpm.CSVVal,_xlfn.XLOOKUP($A765,CSV!$A:$A,CSV!F:F,""),
_xlpm.MacVal,_xlfn.XLOOKUP($A765,Output_Mac!$A:$A,Output_Mac!E:E,""),
_xlpm.MyAuditVal,_xlfn.XLOOKUP($A765,My_Audit!$A:$A,My_Audit!E:E,""),
_xlfn.IFS(_xlpm.MyAuditVal&lt;&gt;"",_xlpm.MyAuditVal,_xlpm.MacVal&lt;&gt;"",_xlpm.MacVal,_xlpm.CSVVal&lt;&gt;"",_xlpm.CSVVal
)),"")</f>
        <v/>
      </c>
      <c r="G765" s="40" t="str" cm="1">
        <f t="array" ref="G765">IFERROR(_xlfn.LET(
_xlpm.CSVVal,_xlfn.XLOOKUP($A765,CSV!$A:$A,CSV!G:G,""),
_xlpm.MacVal,_xlfn.XLOOKUP($A765,Output_Mac!$A:$A,Output_Mac!F:F,""),
_xlpm.MyAuditVal,_xlfn.XLOOKUP($A765,My_Audit!$A:$A,My_Audit!F:F,""),
_xlfn.IFS(_xlpm.MyAuditVal&lt;&gt;"",_xlpm.MyAuditVal,_xlpm.MacVal&lt;&gt;"",_xlpm.MacVal,_xlpm.CSVVal&lt;&gt;"",PROPER(_xlpm.CSVVal)
)),"")</f>
        <v/>
      </c>
      <c r="H765" s="40" t="str" cm="1">
        <f t="array" ref="H765">IFERROR(_xlfn.LET(
_xlpm.CSVVal,_xlfn.XLOOKUP($A765,CSV!$A:$A,CSV!H:H,""),
_xlpm.MacVal,_xlfn.XLOOKUP($A765,Output_Mac!$A:$A,Output_Mac!H:H,""),
_xlpm.MyAuditVal,_xlfn.XLOOKUP($A765,My_Audit!$A:$A,My_Audit!G:G,""),
_xlfn.IFS(_xlpm.MyAuditVal&lt;&gt;"",_xlpm.MyAuditVal,_xlpm.MacVal&lt;&gt;"",_xlpm.MacVal,_xlpm.CSVVal&lt;&gt;"",_xlpm.CSVVal
)),"")</f>
        <v/>
      </c>
      <c r="I765" s="40" t="str">
        <f>_xlfn.XLOOKUP(A765,Output_Mac!A:A,Output_Mac!I:I,"")</f>
        <v/>
      </c>
      <c r="J765" s="40" t="str" cm="1">
        <f t="array" ref="J765">IFERROR(_xlfn.LET(
_xlpm.CSVVal,_xlfn.XLOOKUP($A765,CSV!$A:$A,CSV!I:I,""),
_xlpm.MacVal,_xlfn.XLOOKUP($A765,Output_Mac!$A:$A,Output_Mac!J:J,""),
_xlpm.MyAuditVal,_xlfn.XLOOKUP($A765,My_Audit!$A:$A,My_Audit!I:I,""),
_xlfn.IFS(_xlpm.MyAuditVal&lt;&gt;"",UPPER(_xlpm.MyAuditVal),_xlpm.MacVal&lt;&gt;"",_xlpm.MacVal,_xlpm.CSVVal&lt;&gt;"",_xlpm.CSVVal
)),"")</f>
        <v/>
      </c>
      <c r="K765" s="40" t="str" cm="1">
        <f t="array" ref="K765">IFERROR(_xlfn.LET(
_xlpm.CSVVal,_xlfn.XLOOKUP($A765,CSV!$A:$A,CSV!K:K,""),
_xlpm.MacVal,_xlfn.XLOOKUP($A765,Output_Mac!$A:$A,Output_Mac!K:K,""),
_xlpm.MyAuditVal,_xlfn.XLOOKUP($A765,My_Audit!$A:$A,My_Audit!J:J,""),
_xlfn.IFS(_xlpm.MyAuditVal&lt;&gt;"",UPPER(_xlpm.MyAuditVal),_xlpm.MacVal&lt;&gt;"",_xlpm.MacVal,_xlpm.CSVVal&lt;&gt;"",_xlpm.CSVVal
)),"")</f>
        <v/>
      </c>
      <c r="L765" s="40" t="str" cm="1">
        <f t="array" ref="L765">IFERROR(_xlfn.LET(
_xlpm.CSVVal,_xlfn.XLOOKUP($A765,CSV!$A:$A,CSV!P:P,""),
_xlpm.MacVal,_xlfn.XLOOKUP($A765,Output_Mac!$A:$A,Output_Mac!L:L,""),
_xlpm.MyAuditVal,_xlfn.XLOOKUP($A765,My_Audit!$A:$A,My_Audit!K:K,""),
_xlfn.IFS(_xlpm.MyAuditVal&lt;&gt;"",UPPER(_xlpm.MyAuditVal),_xlpm.MacVal&lt;&gt;"",_xlpm.MacVal,_xlpm.CSVVal&lt;&gt;"",_xlpm.CSVVal
)),"")</f>
        <v/>
      </c>
      <c r="M765" s="40" t="str" cm="1">
        <f t="array" ref="M765">IFERROR(_xlfn.LET(
_xlpm.CSVVal,_xlfn.XLOOKUP($A765,CSV!$A:$A,CSV!Q:Q,""),
_xlpm.MacVal,_xlfn.XLOOKUP($A765,Output_Mac!$A:$A,Output_Mac!M:M,""),
_xlpm.MyAuditVal,_xlfn.XLOOKUP($A765,My_Audit!$A:$A,My_Audit!L:L,""),
_xlfn.IFS(_xlpm.MyAuditVal&lt;&gt;"",UPPER(_xlpm.MyAuditVal),_xlpm.MacVal&lt;&gt;"",_xlpm.MacVal,_xlpm.CSVVal&lt;&gt;"",_xlpm.CSVVal
)),"")</f>
        <v/>
      </c>
      <c r="N765" s="40"/>
      <c r="O765" s="40" t="str">
        <f>_xlfn.LET(
    _xlpm.CSVVal, _xlfn.XLOOKUP($A765, CSV!$A:$A, CSV!AA:AA, ""),
    _xlpm.MacVal, _xlfn.XLOOKUP($A765, Output_Mac!$A:$A, Output_Mac!S:S, ""),
    _xlpm.MyAuditVal, _xlfn.XLOOKUP($A765, My_Audit!$A:$A, My_Audit!P:P, ""),
    _xlfn.TEXTJOIN(", ", TRUE, _xlpm.MyAuditVal, _xlpm.MacVal, _xlpm.CSVVal)
)</f>
        <v/>
      </c>
      <c r="P765" s="40" t="str" cm="1">
        <f t="array" ref="P765">IFERROR(_xlfn.LET(
_xlpm.CSVVal,_xlfn.XLOOKUP($A765,CSV!$A:$A,CSV!AB:AB,""),
_xlpm.MacVal,_xlfn.XLOOKUP($A765,Output_Mac!$A:$A,Output_Mac!T:T,""),
_xlpm.MyAuditVal,_xlfn.XLOOKUP($A765,My_Audit!$A:$A,My_Audit!Q:Q,""),
_xlfn.IFS(_xlpm.MyAuditVal&lt;&gt;"",UPPER(_xlpm.MyAuditVal),_xlpm.MacVal&lt;&gt;"",_xlpm.MacVal,_xlpm.CSVVal&lt;&gt;"",_xlpm.CSVVal
)),"No")</f>
        <v>No</v>
      </c>
      <c r="Q765" s="40" t="str" cm="1">
        <f t="array" ref="Q765">IFERROR(_xlfn.LET(
_xlpm.CSVVal,_xlfn.XLOOKUP($A765,CSV!$A:$A,CSV!AC:AC,""),
_xlpm.MacVal,_xlfn.XLOOKUP($A765,Output_Mac!$A:$A,Output_Mac!U:U,""),
_xlpm.MyAuditVal,_xlfn.XLOOKUP($A765,My_Audit!$A:$A,My_Audit!R:R,""),
_xlfn.IFS(_xlpm.MyAuditVal&lt;&gt;"",UPPER(_xlpm.MyAuditVal),_xlpm.MacVal&lt;&gt;"",_xlpm.MacVal,_xlpm.CSVVal&lt;&gt;"",_xlpm.CSVVal
)),"")</f>
        <v/>
      </c>
      <c r="R765" s="40"/>
      <c r="S765" s="40"/>
      <c r="T765" s="40"/>
      <c r="U765" s="40"/>
      <c r="V765" s="40"/>
      <c r="W765" s="40"/>
      <c r="X765" s="41" t="str">
        <f>_xlfn.LET(
    _xlpm.MacVal, _xlfn.XLOOKUP($A765, Output_Mac!$A:$A, Output_Mac!AB:AB, ""),
    _xlpm.MyAuditVal, _xlfn.XLOOKUP($A765, My_Audit!$A:$A, My_Audit!N:N, ""),
    _xlfn.TEXTJOIN(", ", TRUE, _xlpm.MyAuditVal, _xlpm.MacVal)
)</f>
        <v/>
      </c>
    </row>
    <row r="766" spans="1:24">
      <c r="A766" s="40" t="str">
        <f>_xlfn.TEXTJOIN("",TRUE,Input!$B$2,ROW(My_Audit!A765))</f>
        <v>X765</v>
      </c>
      <c r="B766" s="40" t="str">
        <f>_xlfn.TEXTJOIN("-",TRUE,"ITD",Input!$A$2,A766)</f>
        <v>ITD-X765</v>
      </c>
      <c r="C766" s="40" t="str" cm="1">
        <f t="array" ref="C766">IFERROR(_xlfn.LET(
_xlpm.CSVVal,_xlfn.XLOOKUP($A766,CSV!$A:$A,CSV!B:B,""),
_xlpm.MacVal,_xlfn.XLOOKUP($A766,Output_Mac!$A:$A,Output_Mac!B:B,""),
_xlpm.MyAuditVal,_xlfn.XLOOKUP($A766,My_Audit!$A:$A,My_Audit!B:B,""),
_xlfn.IFS(_xlpm.MyAuditVal&lt;&gt;"",UPPER(_xlpm.MyAuditVal),_xlpm.MacVal&lt;&gt;"",_xlpm.MacVal,_xlpm.CSVVal&lt;&gt;"",_xlpm.CSVVal
)),"")</f>
        <v/>
      </c>
      <c r="D766" s="40" t="str" cm="1">
        <f t="array" ref="D766">IFERROR(_xlfn.LET(
_xlpm.CSVVal,_xlfn.XLOOKUP($A766,CSV!$A:$A,CSV!D:D,""),
_xlpm.MacVal,_xlfn.XLOOKUP($A766,Output_Mac!$A:$A,Output_Mac!C:C,""),
_xlpm.MyAuditVal,_xlfn.XLOOKUP($A766,My_Audit!$A:$A,My_Audit!C:C,""),
_xlfn.IFS(_xlpm.MyAuditVal&lt;&gt;"",_xlpm.MyAuditVal,_xlpm.MacVal&lt;&gt;"",_xlpm.MacVal,_xlpm.CSVVal&lt;&gt;"",_xlpm.CSVVal
)),"")</f>
        <v/>
      </c>
      <c r="E766" s="40" t="str">
        <f>_xlfn.XLOOKUP(A766,My_Audit!A:A,My_Audit!D:D,"")</f>
        <v/>
      </c>
      <c r="F766" s="40" t="str" cm="1">
        <f t="array" ref="F766">IFERROR(_xlfn.LET(
_xlpm.CSVVal,_xlfn.XLOOKUP($A766,CSV!$A:$A,CSV!F:F,""),
_xlpm.MacVal,_xlfn.XLOOKUP($A766,Output_Mac!$A:$A,Output_Mac!E:E,""),
_xlpm.MyAuditVal,_xlfn.XLOOKUP($A766,My_Audit!$A:$A,My_Audit!E:E,""),
_xlfn.IFS(_xlpm.MyAuditVal&lt;&gt;"",_xlpm.MyAuditVal,_xlpm.MacVal&lt;&gt;"",_xlpm.MacVal,_xlpm.CSVVal&lt;&gt;"",_xlpm.CSVVal
)),"")</f>
        <v/>
      </c>
      <c r="G766" s="40" t="str" cm="1">
        <f t="array" ref="G766">IFERROR(_xlfn.LET(
_xlpm.CSVVal,_xlfn.XLOOKUP($A766,CSV!$A:$A,CSV!G:G,""),
_xlpm.MacVal,_xlfn.XLOOKUP($A766,Output_Mac!$A:$A,Output_Mac!F:F,""),
_xlpm.MyAuditVal,_xlfn.XLOOKUP($A766,My_Audit!$A:$A,My_Audit!F:F,""),
_xlfn.IFS(_xlpm.MyAuditVal&lt;&gt;"",_xlpm.MyAuditVal,_xlpm.MacVal&lt;&gt;"",_xlpm.MacVal,_xlpm.CSVVal&lt;&gt;"",PROPER(_xlpm.CSVVal)
)),"")</f>
        <v/>
      </c>
      <c r="H766" s="40" t="str" cm="1">
        <f t="array" ref="H766">IFERROR(_xlfn.LET(
_xlpm.CSVVal,_xlfn.XLOOKUP($A766,CSV!$A:$A,CSV!H:H,""),
_xlpm.MacVal,_xlfn.XLOOKUP($A766,Output_Mac!$A:$A,Output_Mac!H:H,""),
_xlpm.MyAuditVal,_xlfn.XLOOKUP($A766,My_Audit!$A:$A,My_Audit!G:G,""),
_xlfn.IFS(_xlpm.MyAuditVal&lt;&gt;"",_xlpm.MyAuditVal,_xlpm.MacVal&lt;&gt;"",_xlpm.MacVal,_xlpm.CSVVal&lt;&gt;"",_xlpm.CSVVal
)),"")</f>
        <v/>
      </c>
      <c r="I766" s="40" t="str">
        <f>_xlfn.XLOOKUP(A766,Output_Mac!A:A,Output_Mac!I:I,"")</f>
        <v/>
      </c>
      <c r="J766" s="40" t="str" cm="1">
        <f t="array" ref="J766">IFERROR(_xlfn.LET(
_xlpm.CSVVal,_xlfn.XLOOKUP($A766,CSV!$A:$A,CSV!I:I,""),
_xlpm.MacVal,_xlfn.XLOOKUP($A766,Output_Mac!$A:$A,Output_Mac!J:J,""),
_xlpm.MyAuditVal,_xlfn.XLOOKUP($A766,My_Audit!$A:$A,My_Audit!I:I,""),
_xlfn.IFS(_xlpm.MyAuditVal&lt;&gt;"",UPPER(_xlpm.MyAuditVal),_xlpm.MacVal&lt;&gt;"",_xlpm.MacVal,_xlpm.CSVVal&lt;&gt;"",_xlpm.CSVVal
)),"")</f>
        <v/>
      </c>
      <c r="K766" s="40" t="str" cm="1">
        <f t="array" ref="K766">IFERROR(_xlfn.LET(
_xlpm.CSVVal,_xlfn.XLOOKUP($A766,CSV!$A:$A,CSV!K:K,""),
_xlpm.MacVal,_xlfn.XLOOKUP($A766,Output_Mac!$A:$A,Output_Mac!K:K,""),
_xlpm.MyAuditVal,_xlfn.XLOOKUP($A766,My_Audit!$A:$A,My_Audit!J:J,""),
_xlfn.IFS(_xlpm.MyAuditVal&lt;&gt;"",UPPER(_xlpm.MyAuditVal),_xlpm.MacVal&lt;&gt;"",_xlpm.MacVal,_xlpm.CSVVal&lt;&gt;"",_xlpm.CSVVal
)),"")</f>
        <v/>
      </c>
      <c r="L766" s="40" t="str" cm="1">
        <f t="array" ref="L766">IFERROR(_xlfn.LET(
_xlpm.CSVVal,_xlfn.XLOOKUP($A766,CSV!$A:$A,CSV!P:P,""),
_xlpm.MacVal,_xlfn.XLOOKUP($A766,Output_Mac!$A:$A,Output_Mac!L:L,""),
_xlpm.MyAuditVal,_xlfn.XLOOKUP($A766,My_Audit!$A:$A,My_Audit!K:K,""),
_xlfn.IFS(_xlpm.MyAuditVal&lt;&gt;"",UPPER(_xlpm.MyAuditVal),_xlpm.MacVal&lt;&gt;"",_xlpm.MacVal,_xlpm.CSVVal&lt;&gt;"",_xlpm.CSVVal
)),"")</f>
        <v/>
      </c>
      <c r="M766" s="40" t="str" cm="1">
        <f t="array" ref="M766">IFERROR(_xlfn.LET(
_xlpm.CSVVal,_xlfn.XLOOKUP($A766,CSV!$A:$A,CSV!Q:Q,""),
_xlpm.MacVal,_xlfn.XLOOKUP($A766,Output_Mac!$A:$A,Output_Mac!M:M,""),
_xlpm.MyAuditVal,_xlfn.XLOOKUP($A766,My_Audit!$A:$A,My_Audit!L:L,""),
_xlfn.IFS(_xlpm.MyAuditVal&lt;&gt;"",UPPER(_xlpm.MyAuditVal),_xlpm.MacVal&lt;&gt;"",_xlpm.MacVal,_xlpm.CSVVal&lt;&gt;"",_xlpm.CSVVal
)),"")</f>
        <v/>
      </c>
      <c r="N766" s="40"/>
      <c r="O766" s="40" t="str">
        <f>_xlfn.LET(
    _xlpm.CSVVal, _xlfn.XLOOKUP($A766, CSV!$A:$A, CSV!AA:AA, ""),
    _xlpm.MacVal, _xlfn.XLOOKUP($A766, Output_Mac!$A:$A, Output_Mac!S:S, ""),
    _xlpm.MyAuditVal, _xlfn.XLOOKUP($A766, My_Audit!$A:$A, My_Audit!P:P, ""),
    _xlfn.TEXTJOIN(", ", TRUE, _xlpm.MyAuditVal, _xlpm.MacVal, _xlpm.CSVVal)
)</f>
        <v/>
      </c>
      <c r="P766" s="40" t="str" cm="1">
        <f t="array" ref="P766">IFERROR(_xlfn.LET(
_xlpm.CSVVal,_xlfn.XLOOKUP($A766,CSV!$A:$A,CSV!AB:AB,""),
_xlpm.MacVal,_xlfn.XLOOKUP($A766,Output_Mac!$A:$A,Output_Mac!T:T,""),
_xlpm.MyAuditVal,_xlfn.XLOOKUP($A766,My_Audit!$A:$A,My_Audit!Q:Q,""),
_xlfn.IFS(_xlpm.MyAuditVal&lt;&gt;"",UPPER(_xlpm.MyAuditVal),_xlpm.MacVal&lt;&gt;"",_xlpm.MacVal,_xlpm.CSVVal&lt;&gt;"",_xlpm.CSVVal
)),"No")</f>
        <v>No</v>
      </c>
      <c r="Q766" s="40" t="str" cm="1">
        <f t="array" ref="Q766">IFERROR(_xlfn.LET(
_xlpm.CSVVal,_xlfn.XLOOKUP($A766,CSV!$A:$A,CSV!AC:AC,""),
_xlpm.MacVal,_xlfn.XLOOKUP($A766,Output_Mac!$A:$A,Output_Mac!U:U,""),
_xlpm.MyAuditVal,_xlfn.XLOOKUP($A766,My_Audit!$A:$A,My_Audit!R:R,""),
_xlfn.IFS(_xlpm.MyAuditVal&lt;&gt;"",UPPER(_xlpm.MyAuditVal),_xlpm.MacVal&lt;&gt;"",_xlpm.MacVal,_xlpm.CSVVal&lt;&gt;"",_xlpm.CSVVal
)),"")</f>
        <v/>
      </c>
      <c r="R766" s="40"/>
      <c r="S766" s="40"/>
      <c r="T766" s="40"/>
      <c r="U766" s="40"/>
      <c r="V766" s="40"/>
      <c r="W766" s="40"/>
      <c r="X766" s="41" t="str">
        <f>_xlfn.LET(
    _xlpm.MacVal, _xlfn.XLOOKUP($A766, Output_Mac!$A:$A, Output_Mac!AB:AB, ""),
    _xlpm.MyAuditVal, _xlfn.XLOOKUP($A766, My_Audit!$A:$A, My_Audit!N:N, ""),
    _xlfn.TEXTJOIN(", ", TRUE, _xlpm.MyAuditVal, _xlpm.MacVal)
)</f>
        <v/>
      </c>
    </row>
    <row r="767" spans="1:24">
      <c r="A767" s="40" t="str">
        <f>_xlfn.TEXTJOIN("",TRUE,Input!$B$2,ROW(My_Audit!A766))</f>
        <v>X766</v>
      </c>
      <c r="B767" s="40" t="str">
        <f>_xlfn.TEXTJOIN("-",TRUE,"ITD",Input!$A$2,A767)</f>
        <v>ITD-X766</v>
      </c>
      <c r="C767" s="40" t="str" cm="1">
        <f t="array" ref="C767">IFERROR(_xlfn.LET(
_xlpm.CSVVal,_xlfn.XLOOKUP($A767,CSV!$A:$A,CSV!B:B,""),
_xlpm.MacVal,_xlfn.XLOOKUP($A767,Output_Mac!$A:$A,Output_Mac!B:B,""),
_xlpm.MyAuditVal,_xlfn.XLOOKUP($A767,My_Audit!$A:$A,My_Audit!B:B,""),
_xlfn.IFS(_xlpm.MyAuditVal&lt;&gt;"",UPPER(_xlpm.MyAuditVal),_xlpm.MacVal&lt;&gt;"",_xlpm.MacVal,_xlpm.CSVVal&lt;&gt;"",_xlpm.CSVVal
)),"")</f>
        <v/>
      </c>
      <c r="D767" s="40" t="str" cm="1">
        <f t="array" ref="D767">IFERROR(_xlfn.LET(
_xlpm.CSVVal,_xlfn.XLOOKUP($A767,CSV!$A:$A,CSV!D:D,""),
_xlpm.MacVal,_xlfn.XLOOKUP($A767,Output_Mac!$A:$A,Output_Mac!C:C,""),
_xlpm.MyAuditVal,_xlfn.XLOOKUP($A767,My_Audit!$A:$A,My_Audit!C:C,""),
_xlfn.IFS(_xlpm.MyAuditVal&lt;&gt;"",_xlpm.MyAuditVal,_xlpm.MacVal&lt;&gt;"",_xlpm.MacVal,_xlpm.CSVVal&lt;&gt;"",_xlpm.CSVVal
)),"")</f>
        <v/>
      </c>
      <c r="E767" s="40" t="str">
        <f>_xlfn.XLOOKUP(A767,My_Audit!A:A,My_Audit!D:D,"")</f>
        <v/>
      </c>
      <c r="F767" s="40" t="str" cm="1">
        <f t="array" ref="F767">IFERROR(_xlfn.LET(
_xlpm.CSVVal,_xlfn.XLOOKUP($A767,CSV!$A:$A,CSV!F:F,""),
_xlpm.MacVal,_xlfn.XLOOKUP($A767,Output_Mac!$A:$A,Output_Mac!E:E,""),
_xlpm.MyAuditVal,_xlfn.XLOOKUP($A767,My_Audit!$A:$A,My_Audit!E:E,""),
_xlfn.IFS(_xlpm.MyAuditVal&lt;&gt;"",_xlpm.MyAuditVal,_xlpm.MacVal&lt;&gt;"",_xlpm.MacVal,_xlpm.CSVVal&lt;&gt;"",_xlpm.CSVVal
)),"")</f>
        <v/>
      </c>
      <c r="G767" s="40" t="str" cm="1">
        <f t="array" ref="G767">IFERROR(_xlfn.LET(
_xlpm.CSVVal,_xlfn.XLOOKUP($A767,CSV!$A:$A,CSV!G:G,""),
_xlpm.MacVal,_xlfn.XLOOKUP($A767,Output_Mac!$A:$A,Output_Mac!F:F,""),
_xlpm.MyAuditVal,_xlfn.XLOOKUP($A767,My_Audit!$A:$A,My_Audit!F:F,""),
_xlfn.IFS(_xlpm.MyAuditVal&lt;&gt;"",_xlpm.MyAuditVal,_xlpm.MacVal&lt;&gt;"",_xlpm.MacVal,_xlpm.CSVVal&lt;&gt;"",PROPER(_xlpm.CSVVal)
)),"")</f>
        <v/>
      </c>
      <c r="H767" s="40" t="str" cm="1">
        <f t="array" ref="H767">IFERROR(_xlfn.LET(
_xlpm.CSVVal,_xlfn.XLOOKUP($A767,CSV!$A:$A,CSV!H:H,""),
_xlpm.MacVal,_xlfn.XLOOKUP($A767,Output_Mac!$A:$A,Output_Mac!H:H,""),
_xlpm.MyAuditVal,_xlfn.XLOOKUP($A767,My_Audit!$A:$A,My_Audit!G:G,""),
_xlfn.IFS(_xlpm.MyAuditVal&lt;&gt;"",_xlpm.MyAuditVal,_xlpm.MacVal&lt;&gt;"",_xlpm.MacVal,_xlpm.CSVVal&lt;&gt;"",_xlpm.CSVVal
)),"")</f>
        <v/>
      </c>
      <c r="I767" s="40" t="str">
        <f>_xlfn.XLOOKUP(A767,Output_Mac!A:A,Output_Mac!I:I,"")</f>
        <v/>
      </c>
      <c r="J767" s="40" t="str" cm="1">
        <f t="array" ref="J767">IFERROR(_xlfn.LET(
_xlpm.CSVVal,_xlfn.XLOOKUP($A767,CSV!$A:$A,CSV!I:I,""),
_xlpm.MacVal,_xlfn.XLOOKUP($A767,Output_Mac!$A:$A,Output_Mac!J:J,""),
_xlpm.MyAuditVal,_xlfn.XLOOKUP($A767,My_Audit!$A:$A,My_Audit!I:I,""),
_xlfn.IFS(_xlpm.MyAuditVal&lt;&gt;"",UPPER(_xlpm.MyAuditVal),_xlpm.MacVal&lt;&gt;"",_xlpm.MacVal,_xlpm.CSVVal&lt;&gt;"",_xlpm.CSVVal
)),"")</f>
        <v/>
      </c>
      <c r="K767" s="40" t="str" cm="1">
        <f t="array" ref="K767">IFERROR(_xlfn.LET(
_xlpm.CSVVal,_xlfn.XLOOKUP($A767,CSV!$A:$A,CSV!K:K,""),
_xlpm.MacVal,_xlfn.XLOOKUP($A767,Output_Mac!$A:$A,Output_Mac!K:K,""),
_xlpm.MyAuditVal,_xlfn.XLOOKUP($A767,My_Audit!$A:$A,My_Audit!J:J,""),
_xlfn.IFS(_xlpm.MyAuditVal&lt;&gt;"",UPPER(_xlpm.MyAuditVal),_xlpm.MacVal&lt;&gt;"",_xlpm.MacVal,_xlpm.CSVVal&lt;&gt;"",_xlpm.CSVVal
)),"")</f>
        <v/>
      </c>
      <c r="L767" s="40" t="str" cm="1">
        <f t="array" ref="L767">IFERROR(_xlfn.LET(
_xlpm.CSVVal,_xlfn.XLOOKUP($A767,CSV!$A:$A,CSV!P:P,""),
_xlpm.MacVal,_xlfn.XLOOKUP($A767,Output_Mac!$A:$A,Output_Mac!L:L,""),
_xlpm.MyAuditVal,_xlfn.XLOOKUP($A767,My_Audit!$A:$A,My_Audit!K:K,""),
_xlfn.IFS(_xlpm.MyAuditVal&lt;&gt;"",UPPER(_xlpm.MyAuditVal),_xlpm.MacVal&lt;&gt;"",_xlpm.MacVal,_xlpm.CSVVal&lt;&gt;"",_xlpm.CSVVal
)),"")</f>
        <v/>
      </c>
      <c r="M767" s="40" t="str" cm="1">
        <f t="array" ref="M767">IFERROR(_xlfn.LET(
_xlpm.CSVVal,_xlfn.XLOOKUP($A767,CSV!$A:$A,CSV!Q:Q,""),
_xlpm.MacVal,_xlfn.XLOOKUP($A767,Output_Mac!$A:$A,Output_Mac!M:M,""),
_xlpm.MyAuditVal,_xlfn.XLOOKUP($A767,My_Audit!$A:$A,My_Audit!L:L,""),
_xlfn.IFS(_xlpm.MyAuditVal&lt;&gt;"",UPPER(_xlpm.MyAuditVal),_xlpm.MacVal&lt;&gt;"",_xlpm.MacVal,_xlpm.CSVVal&lt;&gt;"",_xlpm.CSVVal
)),"")</f>
        <v/>
      </c>
      <c r="N767" s="40"/>
      <c r="O767" s="40" t="str">
        <f>_xlfn.LET(
    _xlpm.CSVVal, _xlfn.XLOOKUP($A767, CSV!$A:$A, CSV!AA:AA, ""),
    _xlpm.MacVal, _xlfn.XLOOKUP($A767, Output_Mac!$A:$A, Output_Mac!S:S, ""),
    _xlpm.MyAuditVal, _xlfn.XLOOKUP($A767, My_Audit!$A:$A, My_Audit!P:P, ""),
    _xlfn.TEXTJOIN(", ", TRUE, _xlpm.MyAuditVal, _xlpm.MacVal, _xlpm.CSVVal)
)</f>
        <v/>
      </c>
      <c r="P767" s="40" t="str" cm="1">
        <f t="array" ref="P767">IFERROR(_xlfn.LET(
_xlpm.CSVVal,_xlfn.XLOOKUP($A767,CSV!$A:$A,CSV!AB:AB,""),
_xlpm.MacVal,_xlfn.XLOOKUP($A767,Output_Mac!$A:$A,Output_Mac!T:T,""),
_xlpm.MyAuditVal,_xlfn.XLOOKUP($A767,My_Audit!$A:$A,My_Audit!Q:Q,""),
_xlfn.IFS(_xlpm.MyAuditVal&lt;&gt;"",UPPER(_xlpm.MyAuditVal),_xlpm.MacVal&lt;&gt;"",_xlpm.MacVal,_xlpm.CSVVal&lt;&gt;"",_xlpm.CSVVal
)),"No")</f>
        <v>No</v>
      </c>
      <c r="Q767" s="40" t="str" cm="1">
        <f t="array" ref="Q767">IFERROR(_xlfn.LET(
_xlpm.CSVVal,_xlfn.XLOOKUP($A767,CSV!$A:$A,CSV!AC:AC,""),
_xlpm.MacVal,_xlfn.XLOOKUP($A767,Output_Mac!$A:$A,Output_Mac!U:U,""),
_xlpm.MyAuditVal,_xlfn.XLOOKUP($A767,My_Audit!$A:$A,My_Audit!R:R,""),
_xlfn.IFS(_xlpm.MyAuditVal&lt;&gt;"",UPPER(_xlpm.MyAuditVal),_xlpm.MacVal&lt;&gt;"",_xlpm.MacVal,_xlpm.CSVVal&lt;&gt;"",_xlpm.CSVVal
)),"")</f>
        <v/>
      </c>
      <c r="R767" s="40"/>
      <c r="S767" s="40"/>
      <c r="T767" s="40"/>
      <c r="U767" s="40"/>
      <c r="V767" s="40"/>
      <c r="W767" s="40"/>
      <c r="X767" s="41" t="str">
        <f>_xlfn.LET(
    _xlpm.MacVal, _xlfn.XLOOKUP($A767, Output_Mac!$A:$A, Output_Mac!AB:AB, ""),
    _xlpm.MyAuditVal, _xlfn.XLOOKUP($A767, My_Audit!$A:$A, My_Audit!N:N, ""),
    _xlfn.TEXTJOIN(", ", TRUE, _xlpm.MyAuditVal, _xlpm.MacVal)
)</f>
        <v/>
      </c>
    </row>
    <row r="768" spans="1:24">
      <c r="A768" s="40" t="str">
        <f>_xlfn.TEXTJOIN("",TRUE,Input!$B$2,ROW(My_Audit!A767))</f>
        <v>X767</v>
      </c>
      <c r="B768" s="40" t="str">
        <f>_xlfn.TEXTJOIN("-",TRUE,"ITD",Input!$A$2,A768)</f>
        <v>ITD-X767</v>
      </c>
      <c r="C768" s="40" t="str" cm="1">
        <f t="array" ref="C768">IFERROR(_xlfn.LET(
_xlpm.CSVVal,_xlfn.XLOOKUP($A768,CSV!$A:$A,CSV!B:B,""),
_xlpm.MacVal,_xlfn.XLOOKUP($A768,Output_Mac!$A:$A,Output_Mac!B:B,""),
_xlpm.MyAuditVal,_xlfn.XLOOKUP($A768,My_Audit!$A:$A,My_Audit!B:B,""),
_xlfn.IFS(_xlpm.MyAuditVal&lt;&gt;"",UPPER(_xlpm.MyAuditVal),_xlpm.MacVal&lt;&gt;"",_xlpm.MacVal,_xlpm.CSVVal&lt;&gt;"",_xlpm.CSVVal
)),"")</f>
        <v/>
      </c>
      <c r="D768" s="40" t="str" cm="1">
        <f t="array" ref="D768">IFERROR(_xlfn.LET(
_xlpm.CSVVal,_xlfn.XLOOKUP($A768,CSV!$A:$A,CSV!D:D,""),
_xlpm.MacVal,_xlfn.XLOOKUP($A768,Output_Mac!$A:$A,Output_Mac!C:C,""),
_xlpm.MyAuditVal,_xlfn.XLOOKUP($A768,My_Audit!$A:$A,My_Audit!C:C,""),
_xlfn.IFS(_xlpm.MyAuditVal&lt;&gt;"",_xlpm.MyAuditVal,_xlpm.MacVal&lt;&gt;"",_xlpm.MacVal,_xlpm.CSVVal&lt;&gt;"",_xlpm.CSVVal
)),"")</f>
        <v/>
      </c>
      <c r="E768" s="40" t="str">
        <f>_xlfn.XLOOKUP(A768,My_Audit!A:A,My_Audit!D:D,"")</f>
        <v/>
      </c>
      <c r="F768" s="40" t="str" cm="1">
        <f t="array" ref="F768">IFERROR(_xlfn.LET(
_xlpm.CSVVal,_xlfn.XLOOKUP($A768,CSV!$A:$A,CSV!F:F,""),
_xlpm.MacVal,_xlfn.XLOOKUP($A768,Output_Mac!$A:$A,Output_Mac!E:E,""),
_xlpm.MyAuditVal,_xlfn.XLOOKUP($A768,My_Audit!$A:$A,My_Audit!E:E,""),
_xlfn.IFS(_xlpm.MyAuditVal&lt;&gt;"",_xlpm.MyAuditVal,_xlpm.MacVal&lt;&gt;"",_xlpm.MacVal,_xlpm.CSVVal&lt;&gt;"",_xlpm.CSVVal
)),"")</f>
        <v/>
      </c>
      <c r="G768" s="40" t="str" cm="1">
        <f t="array" ref="G768">IFERROR(_xlfn.LET(
_xlpm.CSVVal,_xlfn.XLOOKUP($A768,CSV!$A:$A,CSV!G:G,""),
_xlpm.MacVal,_xlfn.XLOOKUP($A768,Output_Mac!$A:$A,Output_Mac!F:F,""),
_xlpm.MyAuditVal,_xlfn.XLOOKUP($A768,My_Audit!$A:$A,My_Audit!F:F,""),
_xlfn.IFS(_xlpm.MyAuditVal&lt;&gt;"",_xlpm.MyAuditVal,_xlpm.MacVal&lt;&gt;"",_xlpm.MacVal,_xlpm.CSVVal&lt;&gt;"",PROPER(_xlpm.CSVVal)
)),"")</f>
        <v/>
      </c>
      <c r="H768" s="40" t="str" cm="1">
        <f t="array" ref="H768">IFERROR(_xlfn.LET(
_xlpm.CSVVal,_xlfn.XLOOKUP($A768,CSV!$A:$A,CSV!H:H,""),
_xlpm.MacVal,_xlfn.XLOOKUP($A768,Output_Mac!$A:$A,Output_Mac!H:H,""),
_xlpm.MyAuditVal,_xlfn.XLOOKUP($A768,My_Audit!$A:$A,My_Audit!G:G,""),
_xlfn.IFS(_xlpm.MyAuditVal&lt;&gt;"",_xlpm.MyAuditVal,_xlpm.MacVal&lt;&gt;"",_xlpm.MacVal,_xlpm.CSVVal&lt;&gt;"",_xlpm.CSVVal
)),"")</f>
        <v/>
      </c>
      <c r="I768" s="40" t="str">
        <f>_xlfn.XLOOKUP(A768,Output_Mac!A:A,Output_Mac!I:I,"")</f>
        <v/>
      </c>
      <c r="J768" s="40" t="str" cm="1">
        <f t="array" ref="J768">IFERROR(_xlfn.LET(
_xlpm.CSVVal,_xlfn.XLOOKUP($A768,CSV!$A:$A,CSV!I:I,""),
_xlpm.MacVal,_xlfn.XLOOKUP($A768,Output_Mac!$A:$A,Output_Mac!J:J,""),
_xlpm.MyAuditVal,_xlfn.XLOOKUP($A768,My_Audit!$A:$A,My_Audit!I:I,""),
_xlfn.IFS(_xlpm.MyAuditVal&lt;&gt;"",UPPER(_xlpm.MyAuditVal),_xlpm.MacVal&lt;&gt;"",_xlpm.MacVal,_xlpm.CSVVal&lt;&gt;"",_xlpm.CSVVal
)),"")</f>
        <v/>
      </c>
      <c r="K768" s="40" t="str" cm="1">
        <f t="array" ref="K768">IFERROR(_xlfn.LET(
_xlpm.CSVVal,_xlfn.XLOOKUP($A768,CSV!$A:$A,CSV!K:K,""),
_xlpm.MacVal,_xlfn.XLOOKUP($A768,Output_Mac!$A:$A,Output_Mac!K:K,""),
_xlpm.MyAuditVal,_xlfn.XLOOKUP($A768,My_Audit!$A:$A,My_Audit!J:J,""),
_xlfn.IFS(_xlpm.MyAuditVal&lt;&gt;"",UPPER(_xlpm.MyAuditVal),_xlpm.MacVal&lt;&gt;"",_xlpm.MacVal,_xlpm.CSVVal&lt;&gt;"",_xlpm.CSVVal
)),"")</f>
        <v/>
      </c>
      <c r="L768" s="40" t="str" cm="1">
        <f t="array" ref="L768">IFERROR(_xlfn.LET(
_xlpm.CSVVal,_xlfn.XLOOKUP($A768,CSV!$A:$A,CSV!P:P,""),
_xlpm.MacVal,_xlfn.XLOOKUP($A768,Output_Mac!$A:$A,Output_Mac!L:L,""),
_xlpm.MyAuditVal,_xlfn.XLOOKUP($A768,My_Audit!$A:$A,My_Audit!K:K,""),
_xlfn.IFS(_xlpm.MyAuditVal&lt;&gt;"",UPPER(_xlpm.MyAuditVal),_xlpm.MacVal&lt;&gt;"",_xlpm.MacVal,_xlpm.CSVVal&lt;&gt;"",_xlpm.CSVVal
)),"")</f>
        <v/>
      </c>
      <c r="M768" s="40" t="str" cm="1">
        <f t="array" ref="M768">IFERROR(_xlfn.LET(
_xlpm.CSVVal,_xlfn.XLOOKUP($A768,CSV!$A:$A,CSV!Q:Q,""),
_xlpm.MacVal,_xlfn.XLOOKUP($A768,Output_Mac!$A:$A,Output_Mac!M:M,""),
_xlpm.MyAuditVal,_xlfn.XLOOKUP($A768,My_Audit!$A:$A,My_Audit!L:L,""),
_xlfn.IFS(_xlpm.MyAuditVal&lt;&gt;"",UPPER(_xlpm.MyAuditVal),_xlpm.MacVal&lt;&gt;"",_xlpm.MacVal,_xlpm.CSVVal&lt;&gt;"",_xlpm.CSVVal
)),"")</f>
        <v/>
      </c>
      <c r="N768" s="40"/>
      <c r="O768" s="40" t="str">
        <f>_xlfn.LET(
    _xlpm.CSVVal, _xlfn.XLOOKUP($A768, CSV!$A:$A, CSV!AA:AA, ""),
    _xlpm.MacVal, _xlfn.XLOOKUP($A768, Output_Mac!$A:$A, Output_Mac!S:S, ""),
    _xlpm.MyAuditVal, _xlfn.XLOOKUP($A768, My_Audit!$A:$A, My_Audit!P:P, ""),
    _xlfn.TEXTJOIN(", ", TRUE, _xlpm.MyAuditVal, _xlpm.MacVal, _xlpm.CSVVal)
)</f>
        <v/>
      </c>
      <c r="P768" s="40" t="str" cm="1">
        <f t="array" ref="P768">IFERROR(_xlfn.LET(
_xlpm.CSVVal,_xlfn.XLOOKUP($A768,CSV!$A:$A,CSV!AB:AB,""),
_xlpm.MacVal,_xlfn.XLOOKUP($A768,Output_Mac!$A:$A,Output_Mac!T:T,""),
_xlpm.MyAuditVal,_xlfn.XLOOKUP($A768,My_Audit!$A:$A,My_Audit!Q:Q,""),
_xlfn.IFS(_xlpm.MyAuditVal&lt;&gt;"",UPPER(_xlpm.MyAuditVal),_xlpm.MacVal&lt;&gt;"",_xlpm.MacVal,_xlpm.CSVVal&lt;&gt;"",_xlpm.CSVVal
)),"No")</f>
        <v>No</v>
      </c>
      <c r="Q768" s="40" t="str" cm="1">
        <f t="array" ref="Q768">IFERROR(_xlfn.LET(
_xlpm.CSVVal,_xlfn.XLOOKUP($A768,CSV!$A:$A,CSV!AC:AC,""),
_xlpm.MacVal,_xlfn.XLOOKUP($A768,Output_Mac!$A:$A,Output_Mac!U:U,""),
_xlpm.MyAuditVal,_xlfn.XLOOKUP($A768,My_Audit!$A:$A,My_Audit!R:R,""),
_xlfn.IFS(_xlpm.MyAuditVal&lt;&gt;"",UPPER(_xlpm.MyAuditVal),_xlpm.MacVal&lt;&gt;"",_xlpm.MacVal,_xlpm.CSVVal&lt;&gt;"",_xlpm.CSVVal
)),"")</f>
        <v/>
      </c>
      <c r="R768" s="40"/>
      <c r="S768" s="40"/>
      <c r="T768" s="40"/>
      <c r="U768" s="40"/>
      <c r="V768" s="40"/>
      <c r="W768" s="40"/>
      <c r="X768" s="41" t="str">
        <f>_xlfn.LET(
    _xlpm.MacVal, _xlfn.XLOOKUP($A768, Output_Mac!$A:$A, Output_Mac!AB:AB, ""),
    _xlpm.MyAuditVal, _xlfn.XLOOKUP($A768, My_Audit!$A:$A, My_Audit!N:N, ""),
    _xlfn.TEXTJOIN(", ", TRUE, _xlpm.MyAuditVal, _xlpm.MacVal)
)</f>
        <v/>
      </c>
    </row>
    <row r="769" spans="1:24">
      <c r="A769" s="40" t="str">
        <f>_xlfn.TEXTJOIN("",TRUE,Input!$B$2,ROW(My_Audit!A768))</f>
        <v>X768</v>
      </c>
      <c r="B769" s="40" t="str">
        <f>_xlfn.TEXTJOIN("-",TRUE,"ITD",Input!$A$2,A769)</f>
        <v>ITD-X768</v>
      </c>
      <c r="C769" s="40" t="str" cm="1">
        <f t="array" ref="C769">IFERROR(_xlfn.LET(
_xlpm.CSVVal,_xlfn.XLOOKUP($A769,CSV!$A:$A,CSV!B:B,""),
_xlpm.MacVal,_xlfn.XLOOKUP($A769,Output_Mac!$A:$A,Output_Mac!B:B,""),
_xlpm.MyAuditVal,_xlfn.XLOOKUP($A769,My_Audit!$A:$A,My_Audit!B:B,""),
_xlfn.IFS(_xlpm.MyAuditVal&lt;&gt;"",UPPER(_xlpm.MyAuditVal),_xlpm.MacVal&lt;&gt;"",_xlpm.MacVal,_xlpm.CSVVal&lt;&gt;"",_xlpm.CSVVal
)),"")</f>
        <v/>
      </c>
      <c r="D769" s="40" t="str" cm="1">
        <f t="array" ref="D769">IFERROR(_xlfn.LET(
_xlpm.CSVVal,_xlfn.XLOOKUP($A769,CSV!$A:$A,CSV!D:D,""),
_xlpm.MacVal,_xlfn.XLOOKUP($A769,Output_Mac!$A:$A,Output_Mac!C:C,""),
_xlpm.MyAuditVal,_xlfn.XLOOKUP($A769,My_Audit!$A:$A,My_Audit!C:C,""),
_xlfn.IFS(_xlpm.MyAuditVal&lt;&gt;"",_xlpm.MyAuditVal,_xlpm.MacVal&lt;&gt;"",_xlpm.MacVal,_xlpm.CSVVal&lt;&gt;"",_xlpm.CSVVal
)),"")</f>
        <v/>
      </c>
      <c r="E769" s="40" t="str">
        <f>_xlfn.XLOOKUP(A769,My_Audit!A:A,My_Audit!D:D,"")</f>
        <v/>
      </c>
      <c r="F769" s="40" t="str" cm="1">
        <f t="array" ref="F769">IFERROR(_xlfn.LET(
_xlpm.CSVVal,_xlfn.XLOOKUP($A769,CSV!$A:$A,CSV!F:F,""),
_xlpm.MacVal,_xlfn.XLOOKUP($A769,Output_Mac!$A:$A,Output_Mac!E:E,""),
_xlpm.MyAuditVal,_xlfn.XLOOKUP($A769,My_Audit!$A:$A,My_Audit!E:E,""),
_xlfn.IFS(_xlpm.MyAuditVal&lt;&gt;"",_xlpm.MyAuditVal,_xlpm.MacVal&lt;&gt;"",_xlpm.MacVal,_xlpm.CSVVal&lt;&gt;"",_xlpm.CSVVal
)),"")</f>
        <v/>
      </c>
      <c r="G769" s="40" t="str" cm="1">
        <f t="array" ref="G769">IFERROR(_xlfn.LET(
_xlpm.CSVVal,_xlfn.XLOOKUP($A769,CSV!$A:$A,CSV!G:G,""),
_xlpm.MacVal,_xlfn.XLOOKUP($A769,Output_Mac!$A:$A,Output_Mac!F:F,""),
_xlpm.MyAuditVal,_xlfn.XLOOKUP($A769,My_Audit!$A:$A,My_Audit!F:F,""),
_xlfn.IFS(_xlpm.MyAuditVal&lt;&gt;"",_xlpm.MyAuditVal,_xlpm.MacVal&lt;&gt;"",_xlpm.MacVal,_xlpm.CSVVal&lt;&gt;"",PROPER(_xlpm.CSVVal)
)),"")</f>
        <v/>
      </c>
      <c r="H769" s="40" t="str" cm="1">
        <f t="array" ref="H769">IFERROR(_xlfn.LET(
_xlpm.CSVVal,_xlfn.XLOOKUP($A769,CSV!$A:$A,CSV!H:H,""),
_xlpm.MacVal,_xlfn.XLOOKUP($A769,Output_Mac!$A:$A,Output_Mac!H:H,""),
_xlpm.MyAuditVal,_xlfn.XLOOKUP($A769,My_Audit!$A:$A,My_Audit!G:G,""),
_xlfn.IFS(_xlpm.MyAuditVal&lt;&gt;"",_xlpm.MyAuditVal,_xlpm.MacVal&lt;&gt;"",_xlpm.MacVal,_xlpm.CSVVal&lt;&gt;"",_xlpm.CSVVal
)),"")</f>
        <v/>
      </c>
      <c r="I769" s="40" t="str">
        <f>_xlfn.XLOOKUP(A769,Output_Mac!A:A,Output_Mac!I:I,"")</f>
        <v/>
      </c>
      <c r="J769" s="40" t="str" cm="1">
        <f t="array" ref="J769">IFERROR(_xlfn.LET(
_xlpm.CSVVal,_xlfn.XLOOKUP($A769,CSV!$A:$A,CSV!I:I,""),
_xlpm.MacVal,_xlfn.XLOOKUP($A769,Output_Mac!$A:$A,Output_Mac!J:J,""),
_xlpm.MyAuditVal,_xlfn.XLOOKUP($A769,My_Audit!$A:$A,My_Audit!I:I,""),
_xlfn.IFS(_xlpm.MyAuditVal&lt;&gt;"",UPPER(_xlpm.MyAuditVal),_xlpm.MacVal&lt;&gt;"",_xlpm.MacVal,_xlpm.CSVVal&lt;&gt;"",_xlpm.CSVVal
)),"")</f>
        <v/>
      </c>
      <c r="K769" s="40" t="str" cm="1">
        <f t="array" ref="K769">IFERROR(_xlfn.LET(
_xlpm.CSVVal,_xlfn.XLOOKUP($A769,CSV!$A:$A,CSV!K:K,""),
_xlpm.MacVal,_xlfn.XLOOKUP($A769,Output_Mac!$A:$A,Output_Mac!K:K,""),
_xlpm.MyAuditVal,_xlfn.XLOOKUP($A769,My_Audit!$A:$A,My_Audit!J:J,""),
_xlfn.IFS(_xlpm.MyAuditVal&lt;&gt;"",UPPER(_xlpm.MyAuditVal),_xlpm.MacVal&lt;&gt;"",_xlpm.MacVal,_xlpm.CSVVal&lt;&gt;"",_xlpm.CSVVal
)),"")</f>
        <v/>
      </c>
      <c r="L769" s="40" t="str" cm="1">
        <f t="array" ref="L769">IFERROR(_xlfn.LET(
_xlpm.CSVVal,_xlfn.XLOOKUP($A769,CSV!$A:$A,CSV!P:P,""),
_xlpm.MacVal,_xlfn.XLOOKUP($A769,Output_Mac!$A:$A,Output_Mac!L:L,""),
_xlpm.MyAuditVal,_xlfn.XLOOKUP($A769,My_Audit!$A:$A,My_Audit!K:K,""),
_xlfn.IFS(_xlpm.MyAuditVal&lt;&gt;"",UPPER(_xlpm.MyAuditVal),_xlpm.MacVal&lt;&gt;"",_xlpm.MacVal,_xlpm.CSVVal&lt;&gt;"",_xlpm.CSVVal
)),"")</f>
        <v/>
      </c>
      <c r="M769" s="40" t="str" cm="1">
        <f t="array" ref="M769">IFERROR(_xlfn.LET(
_xlpm.CSVVal,_xlfn.XLOOKUP($A769,CSV!$A:$A,CSV!Q:Q,""),
_xlpm.MacVal,_xlfn.XLOOKUP($A769,Output_Mac!$A:$A,Output_Mac!M:M,""),
_xlpm.MyAuditVal,_xlfn.XLOOKUP($A769,My_Audit!$A:$A,My_Audit!L:L,""),
_xlfn.IFS(_xlpm.MyAuditVal&lt;&gt;"",UPPER(_xlpm.MyAuditVal),_xlpm.MacVal&lt;&gt;"",_xlpm.MacVal,_xlpm.CSVVal&lt;&gt;"",_xlpm.CSVVal
)),"")</f>
        <v/>
      </c>
      <c r="N769" s="40"/>
      <c r="O769" s="40" t="str">
        <f>_xlfn.LET(
    _xlpm.CSVVal, _xlfn.XLOOKUP($A769, CSV!$A:$A, CSV!AA:AA, ""),
    _xlpm.MacVal, _xlfn.XLOOKUP($A769, Output_Mac!$A:$A, Output_Mac!S:S, ""),
    _xlpm.MyAuditVal, _xlfn.XLOOKUP($A769, My_Audit!$A:$A, My_Audit!P:P, ""),
    _xlfn.TEXTJOIN(", ", TRUE, _xlpm.MyAuditVal, _xlpm.MacVal, _xlpm.CSVVal)
)</f>
        <v/>
      </c>
      <c r="P769" s="40" t="str" cm="1">
        <f t="array" ref="P769">IFERROR(_xlfn.LET(
_xlpm.CSVVal,_xlfn.XLOOKUP($A769,CSV!$A:$A,CSV!AB:AB,""),
_xlpm.MacVal,_xlfn.XLOOKUP($A769,Output_Mac!$A:$A,Output_Mac!T:T,""),
_xlpm.MyAuditVal,_xlfn.XLOOKUP($A769,My_Audit!$A:$A,My_Audit!Q:Q,""),
_xlfn.IFS(_xlpm.MyAuditVal&lt;&gt;"",UPPER(_xlpm.MyAuditVal),_xlpm.MacVal&lt;&gt;"",_xlpm.MacVal,_xlpm.CSVVal&lt;&gt;"",_xlpm.CSVVal
)),"No")</f>
        <v>No</v>
      </c>
      <c r="Q769" s="40" t="str" cm="1">
        <f t="array" ref="Q769">IFERROR(_xlfn.LET(
_xlpm.CSVVal,_xlfn.XLOOKUP($A769,CSV!$A:$A,CSV!AC:AC,""),
_xlpm.MacVal,_xlfn.XLOOKUP($A769,Output_Mac!$A:$A,Output_Mac!U:U,""),
_xlpm.MyAuditVal,_xlfn.XLOOKUP($A769,My_Audit!$A:$A,My_Audit!R:R,""),
_xlfn.IFS(_xlpm.MyAuditVal&lt;&gt;"",UPPER(_xlpm.MyAuditVal),_xlpm.MacVal&lt;&gt;"",_xlpm.MacVal,_xlpm.CSVVal&lt;&gt;"",_xlpm.CSVVal
)),"")</f>
        <v/>
      </c>
      <c r="R769" s="40"/>
      <c r="S769" s="40"/>
      <c r="T769" s="40"/>
      <c r="U769" s="40"/>
      <c r="V769" s="40"/>
      <c r="W769" s="40"/>
      <c r="X769" s="41" t="str">
        <f>_xlfn.LET(
    _xlpm.MacVal, _xlfn.XLOOKUP($A769, Output_Mac!$A:$A, Output_Mac!AB:AB, ""),
    _xlpm.MyAuditVal, _xlfn.XLOOKUP($A769, My_Audit!$A:$A, My_Audit!N:N, ""),
    _xlfn.TEXTJOIN(", ", TRUE, _xlpm.MyAuditVal, _xlpm.MacVal)
)</f>
        <v/>
      </c>
    </row>
    <row r="770" spans="1:24">
      <c r="A770" s="40" t="str">
        <f>_xlfn.TEXTJOIN("",TRUE,Input!$B$2,ROW(My_Audit!A769))</f>
        <v>X769</v>
      </c>
      <c r="B770" s="40" t="str">
        <f>_xlfn.TEXTJOIN("-",TRUE,"ITD",Input!$A$2,A770)</f>
        <v>ITD-X769</v>
      </c>
      <c r="C770" s="40" t="str" cm="1">
        <f t="array" ref="C770">IFERROR(_xlfn.LET(
_xlpm.CSVVal,_xlfn.XLOOKUP($A770,CSV!$A:$A,CSV!B:B,""),
_xlpm.MacVal,_xlfn.XLOOKUP($A770,Output_Mac!$A:$A,Output_Mac!B:B,""),
_xlpm.MyAuditVal,_xlfn.XLOOKUP($A770,My_Audit!$A:$A,My_Audit!B:B,""),
_xlfn.IFS(_xlpm.MyAuditVal&lt;&gt;"",UPPER(_xlpm.MyAuditVal),_xlpm.MacVal&lt;&gt;"",_xlpm.MacVal,_xlpm.CSVVal&lt;&gt;"",_xlpm.CSVVal
)),"")</f>
        <v/>
      </c>
      <c r="D770" s="40" t="str" cm="1">
        <f t="array" ref="D770">IFERROR(_xlfn.LET(
_xlpm.CSVVal,_xlfn.XLOOKUP($A770,CSV!$A:$A,CSV!D:D,""),
_xlpm.MacVal,_xlfn.XLOOKUP($A770,Output_Mac!$A:$A,Output_Mac!C:C,""),
_xlpm.MyAuditVal,_xlfn.XLOOKUP($A770,My_Audit!$A:$A,My_Audit!C:C,""),
_xlfn.IFS(_xlpm.MyAuditVal&lt;&gt;"",_xlpm.MyAuditVal,_xlpm.MacVal&lt;&gt;"",_xlpm.MacVal,_xlpm.CSVVal&lt;&gt;"",_xlpm.CSVVal
)),"")</f>
        <v/>
      </c>
      <c r="E770" s="40" t="str">
        <f>_xlfn.XLOOKUP(A770,My_Audit!A:A,My_Audit!D:D,"")</f>
        <v/>
      </c>
      <c r="F770" s="40" t="str" cm="1">
        <f t="array" ref="F770">IFERROR(_xlfn.LET(
_xlpm.CSVVal,_xlfn.XLOOKUP($A770,CSV!$A:$A,CSV!F:F,""),
_xlpm.MacVal,_xlfn.XLOOKUP($A770,Output_Mac!$A:$A,Output_Mac!E:E,""),
_xlpm.MyAuditVal,_xlfn.XLOOKUP($A770,My_Audit!$A:$A,My_Audit!E:E,""),
_xlfn.IFS(_xlpm.MyAuditVal&lt;&gt;"",_xlpm.MyAuditVal,_xlpm.MacVal&lt;&gt;"",_xlpm.MacVal,_xlpm.CSVVal&lt;&gt;"",_xlpm.CSVVal
)),"")</f>
        <v/>
      </c>
      <c r="G770" s="40" t="str" cm="1">
        <f t="array" ref="G770">IFERROR(_xlfn.LET(
_xlpm.CSVVal,_xlfn.XLOOKUP($A770,CSV!$A:$A,CSV!G:G,""),
_xlpm.MacVal,_xlfn.XLOOKUP($A770,Output_Mac!$A:$A,Output_Mac!F:F,""),
_xlpm.MyAuditVal,_xlfn.XLOOKUP($A770,My_Audit!$A:$A,My_Audit!F:F,""),
_xlfn.IFS(_xlpm.MyAuditVal&lt;&gt;"",_xlpm.MyAuditVal,_xlpm.MacVal&lt;&gt;"",_xlpm.MacVal,_xlpm.CSVVal&lt;&gt;"",PROPER(_xlpm.CSVVal)
)),"")</f>
        <v/>
      </c>
      <c r="H770" s="40" t="str" cm="1">
        <f t="array" ref="H770">IFERROR(_xlfn.LET(
_xlpm.CSVVal,_xlfn.XLOOKUP($A770,CSV!$A:$A,CSV!H:H,""),
_xlpm.MacVal,_xlfn.XLOOKUP($A770,Output_Mac!$A:$A,Output_Mac!H:H,""),
_xlpm.MyAuditVal,_xlfn.XLOOKUP($A770,My_Audit!$A:$A,My_Audit!G:G,""),
_xlfn.IFS(_xlpm.MyAuditVal&lt;&gt;"",_xlpm.MyAuditVal,_xlpm.MacVal&lt;&gt;"",_xlpm.MacVal,_xlpm.CSVVal&lt;&gt;"",_xlpm.CSVVal
)),"")</f>
        <v/>
      </c>
      <c r="I770" s="40" t="str">
        <f>_xlfn.XLOOKUP(A770,Output_Mac!A:A,Output_Mac!I:I,"")</f>
        <v/>
      </c>
      <c r="J770" s="40" t="str" cm="1">
        <f t="array" ref="J770">IFERROR(_xlfn.LET(
_xlpm.CSVVal,_xlfn.XLOOKUP($A770,CSV!$A:$A,CSV!I:I,""),
_xlpm.MacVal,_xlfn.XLOOKUP($A770,Output_Mac!$A:$A,Output_Mac!J:J,""),
_xlpm.MyAuditVal,_xlfn.XLOOKUP($A770,My_Audit!$A:$A,My_Audit!I:I,""),
_xlfn.IFS(_xlpm.MyAuditVal&lt;&gt;"",UPPER(_xlpm.MyAuditVal),_xlpm.MacVal&lt;&gt;"",_xlpm.MacVal,_xlpm.CSVVal&lt;&gt;"",_xlpm.CSVVal
)),"")</f>
        <v/>
      </c>
      <c r="K770" s="40" t="str" cm="1">
        <f t="array" ref="K770">IFERROR(_xlfn.LET(
_xlpm.CSVVal,_xlfn.XLOOKUP($A770,CSV!$A:$A,CSV!K:K,""),
_xlpm.MacVal,_xlfn.XLOOKUP($A770,Output_Mac!$A:$A,Output_Mac!K:K,""),
_xlpm.MyAuditVal,_xlfn.XLOOKUP($A770,My_Audit!$A:$A,My_Audit!J:J,""),
_xlfn.IFS(_xlpm.MyAuditVal&lt;&gt;"",UPPER(_xlpm.MyAuditVal),_xlpm.MacVal&lt;&gt;"",_xlpm.MacVal,_xlpm.CSVVal&lt;&gt;"",_xlpm.CSVVal
)),"")</f>
        <v/>
      </c>
      <c r="L770" s="40" t="str" cm="1">
        <f t="array" ref="L770">IFERROR(_xlfn.LET(
_xlpm.CSVVal,_xlfn.XLOOKUP($A770,CSV!$A:$A,CSV!P:P,""),
_xlpm.MacVal,_xlfn.XLOOKUP($A770,Output_Mac!$A:$A,Output_Mac!L:L,""),
_xlpm.MyAuditVal,_xlfn.XLOOKUP($A770,My_Audit!$A:$A,My_Audit!K:K,""),
_xlfn.IFS(_xlpm.MyAuditVal&lt;&gt;"",UPPER(_xlpm.MyAuditVal),_xlpm.MacVal&lt;&gt;"",_xlpm.MacVal,_xlpm.CSVVal&lt;&gt;"",_xlpm.CSVVal
)),"")</f>
        <v/>
      </c>
      <c r="M770" s="40" t="str" cm="1">
        <f t="array" ref="M770">IFERROR(_xlfn.LET(
_xlpm.CSVVal,_xlfn.XLOOKUP($A770,CSV!$A:$A,CSV!Q:Q,""),
_xlpm.MacVal,_xlfn.XLOOKUP($A770,Output_Mac!$A:$A,Output_Mac!M:M,""),
_xlpm.MyAuditVal,_xlfn.XLOOKUP($A770,My_Audit!$A:$A,My_Audit!L:L,""),
_xlfn.IFS(_xlpm.MyAuditVal&lt;&gt;"",UPPER(_xlpm.MyAuditVal),_xlpm.MacVal&lt;&gt;"",_xlpm.MacVal,_xlpm.CSVVal&lt;&gt;"",_xlpm.CSVVal
)),"")</f>
        <v/>
      </c>
      <c r="N770" s="40"/>
      <c r="O770" s="40" t="str">
        <f>_xlfn.LET(
    _xlpm.CSVVal, _xlfn.XLOOKUP($A770, CSV!$A:$A, CSV!AA:AA, ""),
    _xlpm.MacVal, _xlfn.XLOOKUP($A770, Output_Mac!$A:$A, Output_Mac!S:S, ""),
    _xlpm.MyAuditVal, _xlfn.XLOOKUP($A770, My_Audit!$A:$A, My_Audit!P:P, ""),
    _xlfn.TEXTJOIN(", ", TRUE, _xlpm.MyAuditVal, _xlpm.MacVal, _xlpm.CSVVal)
)</f>
        <v/>
      </c>
      <c r="P770" s="40" t="str" cm="1">
        <f t="array" ref="P770">IFERROR(_xlfn.LET(
_xlpm.CSVVal,_xlfn.XLOOKUP($A770,CSV!$A:$A,CSV!AB:AB,""),
_xlpm.MacVal,_xlfn.XLOOKUP($A770,Output_Mac!$A:$A,Output_Mac!T:T,""),
_xlpm.MyAuditVal,_xlfn.XLOOKUP($A770,My_Audit!$A:$A,My_Audit!Q:Q,""),
_xlfn.IFS(_xlpm.MyAuditVal&lt;&gt;"",UPPER(_xlpm.MyAuditVal),_xlpm.MacVal&lt;&gt;"",_xlpm.MacVal,_xlpm.CSVVal&lt;&gt;"",_xlpm.CSVVal
)),"No")</f>
        <v>No</v>
      </c>
      <c r="Q770" s="40" t="str" cm="1">
        <f t="array" ref="Q770">IFERROR(_xlfn.LET(
_xlpm.CSVVal,_xlfn.XLOOKUP($A770,CSV!$A:$A,CSV!AC:AC,""),
_xlpm.MacVal,_xlfn.XLOOKUP($A770,Output_Mac!$A:$A,Output_Mac!U:U,""),
_xlpm.MyAuditVal,_xlfn.XLOOKUP($A770,My_Audit!$A:$A,My_Audit!R:R,""),
_xlfn.IFS(_xlpm.MyAuditVal&lt;&gt;"",UPPER(_xlpm.MyAuditVal),_xlpm.MacVal&lt;&gt;"",_xlpm.MacVal,_xlpm.CSVVal&lt;&gt;"",_xlpm.CSVVal
)),"")</f>
        <v/>
      </c>
      <c r="R770" s="40"/>
      <c r="S770" s="40"/>
      <c r="T770" s="40"/>
      <c r="U770" s="40"/>
      <c r="V770" s="40"/>
      <c r="W770" s="40"/>
      <c r="X770" s="41" t="str">
        <f>_xlfn.LET(
    _xlpm.MacVal, _xlfn.XLOOKUP($A770, Output_Mac!$A:$A, Output_Mac!AB:AB, ""),
    _xlpm.MyAuditVal, _xlfn.XLOOKUP($A770, My_Audit!$A:$A, My_Audit!N:N, ""),
    _xlfn.TEXTJOIN(", ", TRUE, _xlpm.MyAuditVal, _xlpm.MacVal)
)</f>
        <v/>
      </c>
    </row>
    <row r="771" spans="1:24">
      <c r="A771" s="40" t="str">
        <f>_xlfn.TEXTJOIN("",TRUE,Input!$B$2,ROW(My_Audit!A770))</f>
        <v>X770</v>
      </c>
      <c r="B771" s="40" t="str">
        <f>_xlfn.TEXTJOIN("-",TRUE,"ITD",Input!$A$2,A771)</f>
        <v>ITD-X770</v>
      </c>
      <c r="C771" s="40" t="str" cm="1">
        <f t="array" ref="C771">IFERROR(_xlfn.LET(
_xlpm.CSVVal,_xlfn.XLOOKUP($A771,CSV!$A:$A,CSV!B:B,""),
_xlpm.MacVal,_xlfn.XLOOKUP($A771,Output_Mac!$A:$A,Output_Mac!B:B,""),
_xlpm.MyAuditVal,_xlfn.XLOOKUP($A771,My_Audit!$A:$A,My_Audit!B:B,""),
_xlfn.IFS(_xlpm.MyAuditVal&lt;&gt;"",UPPER(_xlpm.MyAuditVal),_xlpm.MacVal&lt;&gt;"",_xlpm.MacVal,_xlpm.CSVVal&lt;&gt;"",_xlpm.CSVVal
)),"")</f>
        <v/>
      </c>
      <c r="D771" s="40" t="str" cm="1">
        <f t="array" ref="D771">IFERROR(_xlfn.LET(
_xlpm.CSVVal,_xlfn.XLOOKUP($A771,CSV!$A:$A,CSV!D:D,""),
_xlpm.MacVal,_xlfn.XLOOKUP($A771,Output_Mac!$A:$A,Output_Mac!C:C,""),
_xlpm.MyAuditVal,_xlfn.XLOOKUP($A771,My_Audit!$A:$A,My_Audit!C:C,""),
_xlfn.IFS(_xlpm.MyAuditVal&lt;&gt;"",_xlpm.MyAuditVal,_xlpm.MacVal&lt;&gt;"",_xlpm.MacVal,_xlpm.CSVVal&lt;&gt;"",_xlpm.CSVVal
)),"")</f>
        <v/>
      </c>
      <c r="E771" s="40" t="str">
        <f>_xlfn.XLOOKUP(A771,My_Audit!A:A,My_Audit!D:D,"")</f>
        <v/>
      </c>
      <c r="F771" s="40" t="str" cm="1">
        <f t="array" ref="F771">IFERROR(_xlfn.LET(
_xlpm.CSVVal,_xlfn.XLOOKUP($A771,CSV!$A:$A,CSV!F:F,""),
_xlpm.MacVal,_xlfn.XLOOKUP($A771,Output_Mac!$A:$A,Output_Mac!E:E,""),
_xlpm.MyAuditVal,_xlfn.XLOOKUP($A771,My_Audit!$A:$A,My_Audit!E:E,""),
_xlfn.IFS(_xlpm.MyAuditVal&lt;&gt;"",_xlpm.MyAuditVal,_xlpm.MacVal&lt;&gt;"",_xlpm.MacVal,_xlpm.CSVVal&lt;&gt;"",_xlpm.CSVVal
)),"")</f>
        <v/>
      </c>
      <c r="G771" s="40" t="str" cm="1">
        <f t="array" ref="G771">IFERROR(_xlfn.LET(
_xlpm.CSVVal,_xlfn.XLOOKUP($A771,CSV!$A:$A,CSV!G:G,""),
_xlpm.MacVal,_xlfn.XLOOKUP($A771,Output_Mac!$A:$A,Output_Mac!F:F,""),
_xlpm.MyAuditVal,_xlfn.XLOOKUP($A771,My_Audit!$A:$A,My_Audit!F:F,""),
_xlfn.IFS(_xlpm.MyAuditVal&lt;&gt;"",_xlpm.MyAuditVal,_xlpm.MacVal&lt;&gt;"",_xlpm.MacVal,_xlpm.CSVVal&lt;&gt;"",PROPER(_xlpm.CSVVal)
)),"")</f>
        <v/>
      </c>
      <c r="H771" s="40" t="str" cm="1">
        <f t="array" ref="H771">IFERROR(_xlfn.LET(
_xlpm.CSVVal,_xlfn.XLOOKUP($A771,CSV!$A:$A,CSV!H:H,""),
_xlpm.MacVal,_xlfn.XLOOKUP($A771,Output_Mac!$A:$A,Output_Mac!H:H,""),
_xlpm.MyAuditVal,_xlfn.XLOOKUP($A771,My_Audit!$A:$A,My_Audit!G:G,""),
_xlfn.IFS(_xlpm.MyAuditVal&lt;&gt;"",_xlpm.MyAuditVal,_xlpm.MacVal&lt;&gt;"",_xlpm.MacVal,_xlpm.CSVVal&lt;&gt;"",_xlpm.CSVVal
)),"")</f>
        <v/>
      </c>
      <c r="I771" s="40" t="str">
        <f>_xlfn.XLOOKUP(A771,Output_Mac!A:A,Output_Mac!I:I,"")</f>
        <v/>
      </c>
      <c r="J771" s="40" t="str" cm="1">
        <f t="array" ref="J771">IFERROR(_xlfn.LET(
_xlpm.CSVVal,_xlfn.XLOOKUP($A771,CSV!$A:$A,CSV!I:I,""),
_xlpm.MacVal,_xlfn.XLOOKUP($A771,Output_Mac!$A:$A,Output_Mac!J:J,""),
_xlpm.MyAuditVal,_xlfn.XLOOKUP($A771,My_Audit!$A:$A,My_Audit!I:I,""),
_xlfn.IFS(_xlpm.MyAuditVal&lt;&gt;"",UPPER(_xlpm.MyAuditVal),_xlpm.MacVal&lt;&gt;"",_xlpm.MacVal,_xlpm.CSVVal&lt;&gt;"",_xlpm.CSVVal
)),"")</f>
        <v/>
      </c>
      <c r="K771" s="40" t="str" cm="1">
        <f t="array" ref="K771">IFERROR(_xlfn.LET(
_xlpm.CSVVal,_xlfn.XLOOKUP($A771,CSV!$A:$A,CSV!K:K,""),
_xlpm.MacVal,_xlfn.XLOOKUP($A771,Output_Mac!$A:$A,Output_Mac!K:K,""),
_xlpm.MyAuditVal,_xlfn.XLOOKUP($A771,My_Audit!$A:$A,My_Audit!J:J,""),
_xlfn.IFS(_xlpm.MyAuditVal&lt;&gt;"",UPPER(_xlpm.MyAuditVal),_xlpm.MacVal&lt;&gt;"",_xlpm.MacVal,_xlpm.CSVVal&lt;&gt;"",_xlpm.CSVVal
)),"")</f>
        <v/>
      </c>
      <c r="L771" s="40" t="str" cm="1">
        <f t="array" ref="L771">IFERROR(_xlfn.LET(
_xlpm.CSVVal,_xlfn.XLOOKUP($A771,CSV!$A:$A,CSV!P:P,""),
_xlpm.MacVal,_xlfn.XLOOKUP($A771,Output_Mac!$A:$A,Output_Mac!L:L,""),
_xlpm.MyAuditVal,_xlfn.XLOOKUP($A771,My_Audit!$A:$A,My_Audit!K:K,""),
_xlfn.IFS(_xlpm.MyAuditVal&lt;&gt;"",UPPER(_xlpm.MyAuditVal),_xlpm.MacVal&lt;&gt;"",_xlpm.MacVal,_xlpm.CSVVal&lt;&gt;"",_xlpm.CSVVal
)),"")</f>
        <v/>
      </c>
      <c r="M771" s="40" t="str" cm="1">
        <f t="array" ref="M771">IFERROR(_xlfn.LET(
_xlpm.CSVVal,_xlfn.XLOOKUP($A771,CSV!$A:$A,CSV!Q:Q,""),
_xlpm.MacVal,_xlfn.XLOOKUP($A771,Output_Mac!$A:$A,Output_Mac!M:M,""),
_xlpm.MyAuditVal,_xlfn.XLOOKUP($A771,My_Audit!$A:$A,My_Audit!L:L,""),
_xlfn.IFS(_xlpm.MyAuditVal&lt;&gt;"",UPPER(_xlpm.MyAuditVal),_xlpm.MacVal&lt;&gt;"",_xlpm.MacVal,_xlpm.CSVVal&lt;&gt;"",_xlpm.CSVVal
)),"")</f>
        <v/>
      </c>
      <c r="N771" s="40"/>
      <c r="O771" s="40" t="str">
        <f>_xlfn.LET(
    _xlpm.CSVVal, _xlfn.XLOOKUP($A771, CSV!$A:$A, CSV!AA:AA, ""),
    _xlpm.MacVal, _xlfn.XLOOKUP($A771, Output_Mac!$A:$A, Output_Mac!S:S, ""),
    _xlpm.MyAuditVal, _xlfn.XLOOKUP($A771, My_Audit!$A:$A, My_Audit!P:P, ""),
    _xlfn.TEXTJOIN(", ", TRUE, _xlpm.MyAuditVal, _xlpm.MacVal, _xlpm.CSVVal)
)</f>
        <v/>
      </c>
      <c r="P771" s="40" t="str" cm="1">
        <f t="array" ref="P771">IFERROR(_xlfn.LET(
_xlpm.CSVVal,_xlfn.XLOOKUP($A771,CSV!$A:$A,CSV!AB:AB,""),
_xlpm.MacVal,_xlfn.XLOOKUP($A771,Output_Mac!$A:$A,Output_Mac!T:T,""),
_xlpm.MyAuditVal,_xlfn.XLOOKUP($A771,My_Audit!$A:$A,My_Audit!Q:Q,""),
_xlfn.IFS(_xlpm.MyAuditVal&lt;&gt;"",UPPER(_xlpm.MyAuditVal),_xlpm.MacVal&lt;&gt;"",_xlpm.MacVal,_xlpm.CSVVal&lt;&gt;"",_xlpm.CSVVal
)),"No")</f>
        <v>No</v>
      </c>
      <c r="Q771" s="40" t="str" cm="1">
        <f t="array" ref="Q771">IFERROR(_xlfn.LET(
_xlpm.CSVVal,_xlfn.XLOOKUP($A771,CSV!$A:$A,CSV!AC:AC,""),
_xlpm.MacVal,_xlfn.XLOOKUP($A771,Output_Mac!$A:$A,Output_Mac!U:U,""),
_xlpm.MyAuditVal,_xlfn.XLOOKUP($A771,My_Audit!$A:$A,My_Audit!R:R,""),
_xlfn.IFS(_xlpm.MyAuditVal&lt;&gt;"",UPPER(_xlpm.MyAuditVal),_xlpm.MacVal&lt;&gt;"",_xlpm.MacVal,_xlpm.CSVVal&lt;&gt;"",_xlpm.CSVVal
)),"")</f>
        <v/>
      </c>
      <c r="R771" s="40"/>
      <c r="S771" s="40"/>
      <c r="T771" s="40"/>
      <c r="U771" s="40"/>
      <c r="V771" s="40"/>
      <c r="W771" s="40"/>
      <c r="X771" s="41" t="str">
        <f>_xlfn.LET(
    _xlpm.MacVal, _xlfn.XLOOKUP($A771, Output_Mac!$A:$A, Output_Mac!AB:AB, ""),
    _xlpm.MyAuditVal, _xlfn.XLOOKUP($A771, My_Audit!$A:$A, My_Audit!N:N, ""),
    _xlfn.TEXTJOIN(", ", TRUE, _xlpm.MyAuditVal, _xlpm.MacVal)
)</f>
        <v/>
      </c>
    </row>
    <row r="772" spans="1:24">
      <c r="A772" s="40" t="str">
        <f>_xlfn.TEXTJOIN("",TRUE,Input!$B$2,ROW(My_Audit!A771))</f>
        <v>X771</v>
      </c>
      <c r="B772" s="40" t="str">
        <f>_xlfn.TEXTJOIN("-",TRUE,"ITD",Input!$A$2,A772)</f>
        <v>ITD-X771</v>
      </c>
      <c r="C772" s="40" t="str" cm="1">
        <f t="array" ref="C772">IFERROR(_xlfn.LET(
_xlpm.CSVVal,_xlfn.XLOOKUP($A772,CSV!$A:$A,CSV!B:B,""),
_xlpm.MacVal,_xlfn.XLOOKUP($A772,Output_Mac!$A:$A,Output_Mac!B:B,""),
_xlpm.MyAuditVal,_xlfn.XLOOKUP($A772,My_Audit!$A:$A,My_Audit!B:B,""),
_xlfn.IFS(_xlpm.MyAuditVal&lt;&gt;"",UPPER(_xlpm.MyAuditVal),_xlpm.MacVal&lt;&gt;"",_xlpm.MacVal,_xlpm.CSVVal&lt;&gt;"",_xlpm.CSVVal
)),"")</f>
        <v/>
      </c>
      <c r="D772" s="40" t="str" cm="1">
        <f t="array" ref="D772">IFERROR(_xlfn.LET(
_xlpm.CSVVal,_xlfn.XLOOKUP($A772,CSV!$A:$A,CSV!D:D,""),
_xlpm.MacVal,_xlfn.XLOOKUP($A772,Output_Mac!$A:$A,Output_Mac!C:C,""),
_xlpm.MyAuditVal,_xlfn.XLOOKUP($A772,My_Audit!$A:$A,My_Audit!C:C,""),
_xlfn.IFS(_xlpm.MyAuditVal&lt;&gt;"",_xlpm.MyAuditVal,_xlpm.MacVal&lt;&gt;"",_xlpm.MacVal,_xlpm.CSVVal&lt;&gt;"",_xlpm.CSVVal
)),"")</f>
        <v/>
      </c>
      <c r="E772" s="40" t="str">
        <f>_xlfn.XLOOKUP(A772,My_Audit!A:A,My_Audit!D:D,"")</f>
        <v/>
      </c>
      <c r="F772" s="40" t="str" cm="1">
        <f t="array" ref="F772">IFERROR(_xlfn.LET(
_xlpm.CSVVal,_xlfn.XLOOKUP($A772,CSV!$A:$A,CSV!F:F,""),
_xlpm.MacVal,_xlfn.XLOOKUP($A772,Output_Mac!$A:$A,Output_Mac!E:E,""),
_xlpm.MyAuditVal,_xlfn.XLOOKUP($A772,My_Audit!$A:$A,My_Audit!E:E,""),
_xlfn.IFS(_xlpm.MyAuditVal&lt;&gt;"",_xlpm.MyAuditVal,_xlpm.MacVal&lt;&gt;"",_xlpm.MacVal,_xlpm.CSVVal&lt;&gt;"",_xlpm.CSVVal
)),"")</f>
        <v/>
      </c>
      <c r="G772" s="40" t="str" cm="1">
        <f t="array" ref="G772">IFERROR(_xlfn.LET(
_xlpm.CSVVal,_xlfn.XLOOKUP($A772,CSV!$A:$A,CSV!G:G,""),
_xlpm.MacVal,_xlfn.XLOOKUP($A772,Output_Mac!$A:$A,Output_Mac!F:F,""),
_xlpm.MyAuditVal,_xlfn.XLOOKUP($A772,My_Audit!$A:$A,My_Audit!F:F,""),
_xlfn.IFS(_xlpm.MyAuditVal&lt;&gt;"",_xlpm.MyAuditVal,_xlpm.MacVal&lt;&gt;"",_xlpm.MacVal,_xlpm.CSVVal&lt;&gt;"",PROPER(_xlpm.CSVVal)
)),"")</f>
        <v/>
      </c>
      <c r="H772" s="40" t="str" cm="1">
        <f t="array" ref="H772">IFERROR(_xlfn.LET(
_xlpm.CSVVal,_xlfn.XLOOKUP($A772,CSV!$A:$A,CSV!H:H,""),
_xlpm.MacVal,_xlfn.XLOOKUP($A772,Output_Mac!$A:$A,Output_Mac!H:H,""),
_xlpm.MyAuditVal,_xlfn.XLOOKUP($A772,My_Audit!$A:$A,My_Audit!G:G,""),
_xlfn.IFS(_xlpm.MyAuditVal&lt;&gt;"",_xlpm.MyAuditVal,_xlpm.MacVal&lt;&gt;"",_xlpm.MacVal,_xlpm.CSVVal&lt;&gt;"",_xlpm.CSVVal
)),"")</f>
        <v/>
      </c>
      <c r="I772" s="40" t="str">
        <f>_xlfn.XLOOKUP(A772,Output_Mac!A:A,Output_Mac!I:I,"")</f>
        <v/>
      </c>
      <c r="J772" s="40" t="str" cm="1">
        <f t="array" ref="J772">IFERROR(_xlfn.LET(
_xlpm.CSVVal,_xlfn.XLOOKUP($A772,CSV!$A:$A,CSV!I:I,""),
_xlpm.MacVal,_xlfn.XLOOKUP($A772,Output_Mac!$A:$A,Output_Mac!J:J,""),
_xlpm.MyAuditVal,_xlfn.XLOOKUP($A772,My_Audit!$A:$A,My_Audit!I:I,""),
_xlfn.IFS(_xlpm.MyAuditVal&lt;&gt;"",UPPER(_xlpm.MyAuditVal),_xlpm.MacVal&lt;&gt;"",_xlpm.MacVal,_xlpm.CSVVal&lt;&gt;"",_xlpm.CSVVal
)),"")</f>
        <v/>
      </c>
      <c r="K772" s="40" t="str" cm="1">
        <f t="array" ref="K772">IFERROR(_xlfn.LET(
_xlpm.CSVVal,_xlfn.XLOOKUP($A772,CSV!$A:$A,CSV!K:K,""),
_xlpm.MacVal,_xlfn.XLOOKUP($A772,Output_Mac!$A:$A,Output_Mac!K:K,""),
_xlpm.MyAuditVal,_xlfn.XLOOKUP($A772,My_Audit!$A:$A,My_Audit!J:J,""),
_xlfn.IFS(_xlpm.MyAuditVal&lt;&gt;"",UPPER(_xlpm.MyAuditVal),_xlpm.MacVal&lt;&gt;"",_xlpm.MacVal,_xlpm.CSVVal&lt;&gt;"",_xlpm.CSVVal
)),"")</f>
        <v/>
      </c>
      <c r="L772" s="40" t="str" cm="1">
        <f t="array" ref="L772">IFERROR(_xlfn.LET(
_xlpm.CSVVal,_xlfn.XLOOKUP($A772,CSV!$A:$A,CSV!P:P,""),
_xlpm.MacVal,_xlfn.XLOOKUP($A772,Output_Mac!$A:$A,Output_Mac!L:L,""),
_xlpm.MyAuditVal,_xlfn.XLOOKUP($A772,My_Audit!$A:$A,My_Audit!K:K,""),
_xlfn.IFS(_xlpm.MyAuditVal&lt;&gt;"",UPPER(_xlpm.MyAuditVal),_xlpm.MacVal&lt;&gt;"",_xlpm.MacVal,_xlpm.CSVVal&lt;&gt;"",_xlpm.CSVVal
)),"")</f>
        <v/>
      </c>
      <c r="M772" s="40" t="str" cm="1">
        <f t="array" ref="M772">IFERROR(_xlfn.LET(
_xlpm.CSVVal,_xlfn.XLOOKUP($A772,CSV!$A:$A,CSV!Q:Q,""),
_xlpm.MacVal,_xlfn.XLOOKUP($A772,Output_Mac!$A:$A,Output_Mac!M:M,""),
_xlpm.MyAuditVal,_xlfn.XLOOKUP($A772,My_Audit!$A:$A,My_Audit!L:L,""),
_xlfn.IFS(_xlpm.MyAuditVal&lt;&gt;"",UPPER(_xlpm.MyAuditVal),_xlpm.MacVal&lt;&gt;"",_xlpm.MacVal,_xlpm.CSVVal&lt;&gt;"",_xlpm.CSVVal
)),"")</f>
        <v/>
      </c>
      <c r="N772" s="40"/>
      <c r="O772" s="40" t="str">
        <f>_xlfn.LET(
    _xlpm.CSVVal, _xlfn.XLOOKUP($A772, CSV!$A:$A, CSV!AA:AA, ""),
    _xlpm.MacVal, _xlfn.XLOOKUP($A772, Output_Mac!$A:$A, Output_Mac!S:S, ""),
    _xlpm.MyAuditVal, _xlfn.XLOOKUP($A772, My_Audit!$A:$A, My_Audit!P:P, ""),
    _xlfn.TEXTJOIN(", ", TRUE, _xlpm.MyAuditVal, _xlpm.MacVal, _xlpm.CSVVal)
)</f>
        <v/>
      </c>
      <c r="P772" s="40" t="str" cm="1">
        <f t="array" ref="P772">IFERROR(_xlfn.LET(
_xlpm.CSVVal,_xlfn.XLOOKUP($A772,CSV!$A:$A,CSV!AB:AB,""),
_xlpm.MacVal,_xlfn.XLOOKUP($A772,Output_Mac!$A:$A,Output_Mac!T:T,""),
_xlpm.MyAuditVal,_xlfn.XLOOKUP($A772,My_Audit!$A:$A,My_Audit!Q:Q,""),
_xlfn.IFS(_xlpm.MyAuditVal&lt;&gt;"",UPPER(_xlpm.MyAuditVal),_xlpm.MacVal&lt;&gt;"",_xlpm.MacVal,_xlpm.CSVVal&lt;&gt;"",_xlpm.CSVVal
)),"No")</f>
        <v>No</v>
      </c>
      <c r="Q772" s="40" t="str" cm="1">
        <f t="array" ref="Q772">IFERROR(_xlfn.LET(
_xlpm.CSVVal,_xlfn.XLOOKUP($A772,CSV!$A:$A,CSV!AC:AC,""),
_xlpm.MacVal,_xlfn.XLOOKUP($A772,Output_Mac!$A:$A,Output_Mac!U:U,""),
_xlpm.MyAuditVal,_xlfn.XLOOKUP($A772,My_Audit!$A:$A,My_Audit!R:R,""),
_xlfn.IFS(_xlpm.MyAuditVal&lt;&gt;"",UPPER(_xlpm.MyAuditVal),_xlpm.MacVal&lt;&gt;"",_xlpm.MacVal,_xlpm.CSVVal&lt;&gt;"",_xlpm.CSVVal
)),"")</f>
        <v/>
      </c>
      <c r="R772" s="40"/>
      <c r="S772" s="40"/>
      <c r="T772" s="40"/>
      <c r="U772" s="40"/>
      <c r="V772" s="40"/>
      <c r="W772" s="40"/>
      <c r="X772" s="41" t="str">
        <f>_xlfn.LET(
    _xlpm.MacVal, _xlfn.XLOOKUP($A772, Output_Mac!$A:$A, Output_Mac!AB:AB, ""),
    _xlpm.MyAuditVal, _xlfn.XLOOKUP($A772, My_Audit!$A:$A, My_Audit!N:N, ""),
    _xlfn.TEXTJOIN(", ", TRUE, _xlpm.MyAuditVal, _xlpm.MacVal)
)</f>
        <v/>
      </c>
    </row>
    <row r="773" spans="1:24">
      <c r="A773" s="40" t="str">
        <f>_xlfn.TEXTJOIN("",TRUE,Input!$B$2,ROW(My_Audit!A772))</f>
        <v>X772</v>
      </c>
      <c r="B773" s="40" t="str">
        <f>_xlfn.TEXTJOIN("-",TRUE,"ITD",Input!$A$2,A773)</f>
        <v>ITD-X772</v>
      </c>
      <c r="C773" s="40" t="str" cm="1">
        <f t="array" ref="C773">IFERROR(_xlfn.LET(
_xlpm.CSVVal,_xlfn.XLOOKUP($A773,CSV!$A:$A,CSV!B:B,""),
_xlpm.MacVal,_xlfn.XLOOKUP($A773,Output_Mac!$A:$A,Output_Mac!B:B,""),
_xlpm.MyAuditVal,_xlfn.XLOOKUP($A773,My_Audit!$A:$A,My_Audit!B:B,""),
_xlfn.IFS(_xlpm.MyAuditVal&lt;&gt;"",UPPER(_xlpm.MyAuditVal),_xlpm.MacVal&lt;&gt;"",_xlpm.MacVal,_xlpm.CSVVal&lt;&gt;"",_xlpm.CSVVal
)),"")</f>
        <v/>
      </c>
      <c r="D773" s="40" t="str" cm="1">
        <f t="array" ref="D773">IFERROR(_xlfn.LET(
_xlpm.CSVVal,_xlfn.XLOOKUP($A773,CSV!$A:$A,CSV!D:D,""),
_xlpm.MacVal,_xlfn.XLOOKUP($A773,Output_Mac!$A:$A,Output_Mac!C:C,""),
_xlpm.MyAuditVal,_xlfn.XLOOKUP($A773,My_Audit!$A:$A,My_Audit!C:C,""),
_xlfn.IFS(_xlpm.MyAuditVal&lt;&gt;"",_xlpm.MyAuditVal,_xlpm.MacVal&lt;&gt;"",_xlpm.MacVal,_xlpm.CSVVal&lt;&gt;"",_xlpm.CSVVal
)),"")</f>
        <v/>
      </c>
      <c r="E773" s="40" t="str">
        <f>_xlfn.XLOOKUP(A773,My_Audit!A:A,My_Audit!D:D,"")</f>
        <v/>
      </c>
      <c r="F773" s="40" t="str" cm="1">
        <f t="array" ref="F773">IFERROR(_xlfn.LET(
_xlpm.CSVVal,_xlfn.XLOOKUP($A773,CSV!$A:$A,CSV!F:F,""),
_xlpm.MacVal,_xlfn.XLOOKUP($A773,Output_Mac!$A:$A,Output_Mac!E:E,""),
_xlpm.MyAuditVal,_xlfn.XLOOKUP($A773,My_Audit!$A:$A,My_Audit!E:E,""),
_xlfn.IFS(_xlpm.MyAuditVal&lt;&gt;"",_xlpm.MyAuditVal,_xlpm.MacVal&lt;&gt;"",_xlpm.MacVal,_xlpm.CSVVal&lt;&gt;"",_xlpm.CSVVal
)),"")</f>
        <v/>
      </c>
      <c r="G773" s="40" t="str" cm="1">
        <f t="array" ref="G773">IFERROR(_xlfn.LET(
_xlpm.CSVVal,_xlfn.XLOOKUP($A773,CSV!$A:$A,CSV!G:G,""),
_xlpm.MacVal,_xlfn.XLOOKUP($A773,Output_Mac!$A:$A,Output_Mac!F:F,""),
_xlpm.MyAuditVal,_xlfn.XLOOKUP($A773,My_Audit!$A:$A,My_Audit!F:F,""),
_xlfn.IFS(_xlpm.MyAuditVal&lt;&gt;"",_xlpm.MyAuditVal,_xlpm.MacVal&lt;&gt;"",_xlpm.MacVal,_xlpm.CSVVal&lt;&gt;"",PROPER(_xlpm.CSVVal)
)),"")</f>
        <v/>
      </c>
      <c r="H773" s="40" t="str" cm="1">
        <f t="array" ref="H773">IFERROR(_xlfn.LET(
_xlpm.CSVVal,_xlfn.XLOOKUP($A773,CSV!$A:$A,CSV!H:H,""),
_xlpm.MacVal,_xlfn.XLOOKUP($A773,Output_Mac!$A:$A,Output_Mac!H:H,""),
_xlpm.MyAuditVal,_xlfn.XLOOKUP($A773,My_Audit!$A:$A,My_Audit!G:G,""),
_xlfn.IFS(_xlpm.MyAuditVal&lt;&gt;"",_xlpm.MyAuditVal,_xlpm.MacVal&lt;&gt;"",_xlpm.MacVal,_xlpm.CSVVal&lt;&gt;"",_xlpm.CSVVal
)),"")</f>
        <v/>
      </c>
      <c r="I773" s="40" t="str">
        <f>_xlfn.XLOOKUP(A773,Output_Mac!A:A,Output_Mac!I:I,"")</f>
        <v/>
      </c>
      <c r="J773" s="40" t="str" cm="1">
        <f t="array" ref="J773">IFERROR(_xlfn.LET(
_xlpm.CSVVal,_xlfn.XLOOKUP($A773,CSV!$A:$A,CSV!I:I,""),
_xlpm.MacVal,_xlfn.XLOOKUP($A773,Output_Mac!$A:$A,Output_Mac!J:J,""),
_xlpm.MyAuditVal,_xlfn.XLOOKUP($A773,My_Audit!$A:$A,My_Audit!I:I,""),
_xlfn.IFS(_xlpm.MyAuditVal&lt;&gt;"",UPPER(_xlpm.MyAuditVal),_xlpm.MacVal&lt;&gt;"",_xlpm.MacVal,_xlpm.CSVVal&lt;&gt;"",_xlpm.CSVVal
)),"")</f>
        <v/>
      </c>
      <c r="K773" s="40" t="str" cm="1">
        <f t="array" ref="K773">IFERROR(_xlfn.LET(
_xlpm.CSVVal,_xlfn.XLOOKUP($A773,CSV!$A:$A,CSV!K:K,""),
_xlpm.MacVal,_xlfn.XLOOKUP($A773,Output_Mac!$A:$A,Output_Mac!K:K,""),
_xlpm.MyAuditVal,_xlfn.XLOOKUP($A773,My_Audit!$A:$A,My_Audit!J:J,""),
_xlfn.IFS(_xlpm.MyAuditVal&lt;&gt;"",UPPER(_xlpm.MyAuditVal),_xlpm.MacVal&lt;&gt;"",_xlpm.MacVal,_xlpm.CSVVal&lt;&gt;"",_xlpm.CSVVal
)),"")</f>
        <v/>
      </c>
      <c r="L773" s="40" t="str" cm="1">
        <f t="array" ref="L773">IFERROR(_xlfn.LET(
_xlpm.CSVVal,_xlfn.XLOOKUP($A773,CSV!$A:$A,CSV!P:P,""),
_xlpm.MacVal,_xlfn.XLOOKUP($A773,Output_Mac!$A:$A,Output_Mac!L:L,""),
_xlpm.MyAuditVal,_xlfn.XLOOKUP($A773,My_Audit!$A:$A,My_Audit!K:K,""),
_xlfn.IFS(_xlpm.MyAuditVal&lt;&gt;"",UPPER(_xlpm.MyAuditVal),_xlpm.MacVal&lt;&gt;"",_xlpm.MacVal,_xlpm.CSVVal&lt;&gt;"",_xlpm.CSVVal
)),"")</f>
        <v/>
      </c>
      <c r="M773" s="40" t="str" cm="1">
        <f t="array" ref="M773">IFERROR(_xlfn.LET(
_xlpm.CSVVal,_xlfn.XLOOKUP($A773,CSV!$A:$A,CSV!Q:Q,""),
_xlpm.MacVal,_xlfn.XLOOKUP($A773,Output_Mac!$A:$A,Output_Mac!M:M,""),
_xlpm.MyAuditVal,_xlfn.XLOOKUP($A773,My_Audit!$A:$A,My_Audit!L:L,""),
_xlfn.IFS(_xlpm.MyAuditVal&lt;&gt;"",UPPER(_xlpm.MyAuditVal),_xlpm.MacVal&lt;&gt;"",_xlpm.MacVal,_xlpm.CSVVal&lt;&gt;"",_xlpm.CSVVal
)),"")</f>
        <v/>
      </c>
      <c r="N773" s="40"/>
      <c r="O773" s="40" t="str">
        <f>_xlfn.LET(
    _xlpm.CSVVal, _xlfn.XLOOKUP($A773, CSV!$A:$A, CSV!AA:AA, ""),
    _xlpm.MacVal, _xlfn.XLOOKUP($A773, Output_Mac!$A:$A, Output_Mac!S:S, ""),
    _xlpm.MyAuditVal, _xlfn.XLOOKUP($A773, My_Audit!$A:$A, My_Audit!P:P, ""),
    _xlfn.TEXTJOIN(", ", TRUE, _xlpm.MyAuditVal, _xlpm.MacVal, _xlpm.CSVVal)
)</f>
        <v/>
      </c>
      <c r="P773" s="40" t="str" cm="1">
        <f t="array" ref="P773">IFERROR(_xlfn.LET(
_xlpm.CSVVal,_xlfn.XLOOKUP($A773,CSV!$A:$A,CSV!AB:AB,""),
_xlpm.MacVal,_xlfn.XLOOKUP($A773,Output_Mac!$A:$A,Output_Mac!T:T,""),
_xlpm.MyAuditVal,_xlfn.XLOOKUP($A773,My_Audit!$A:$A,My_Audit!Q:Q,""),
_xlfn.IFS(_xlpm.MyAuditVal&lt;&gt;"",UPPER(_xlpm.MyAuditVal),_xlpm.MacVal&lt;&gt;"",_xlpm.MacVal,_xlpm.CSVVal&lt;&gt;"",_xlpm.CSVVal
)),"No")</f>
        <v>No</v>
      </c>
      <c r="Q773" s="40" t="str" cm="1">
        <f t="array" ref="Q773">IFERROR(_xlfn.LET(
_xlpm.CSVVal,_xlfn.XLOOKUP($A773,CSV!$A:$A,CSV!AC:AC,""),
_xlpm.MacVal,_xlfn.XLOOKUP($A773,Output_Mac!$A:$A,Output_Mac!U:U,""),
_xlpm.MyAuditVal,_xlfn.XLOOKUP($A773,My_Audit!$A:$A,My_Audit!R:R,""),
_xlfn.IFS(_xlpm.MyAuditVal&lt;&gt;"",UPPER(_xlpm.MyAuditVal),_xlpm.MacVal&lt;&gt;"",_xlpm.MacVal,_xlpm.CSVVal&lt;&gt;"",_xlpm.CSVVal
)),"")</f>
        <v/>
      </c>
      <c r="R773" s="40"/>
      <c r="S773" s="40"/>
      <c r="T773" s="40"/>
      <c r="U773" s="40"/>
      <c r="V773" s="40"/>
      <c r="W773" s="40"/>
      <c r="X773" s="41" t="str">
        <f>_xlfn.LET(
    _xlpm.MacVal, _xlfn.XLOOKUP($A773, Output_Mac!$A:$A, Output_Mac!AB:AB, ""),
    _xlpm.MyAuditVal, _xlfn.XLOOKUP($A773, My_Audit!$A:$A, My_Audit!N:N, ""),
    _xlfn.TEXTJOIN(", ", TRUE, _xlpm.MyAuditVal, _xlpm.MacVal)
)</f>
        <v/>
      </c>
    </row>
    <row r="774" spans="1:24">
      <c r="A774" s="40" t="str">
        <f>_xlfn.TEXTJOIN("",TRUE,Input!$B$2,ROW(My_Audit!A773))</f>
        <v>X773</v>
      </c>
      <c r="B774" s="40" t="str">
        <f>_xlfn.TEXTJOIN("-",TRUE,"ITD",Input!$A$2,A774)</f>
        <v>ITD-X773</v>
      </c>
      <c r="C774" s="40" t="str" cm="1">
        <f t="array" ref="C774">IFERROR(_xlfn.LET(
_xlpm.CSVVal,_xlfn.XLOOKUP($A774,CSV!$A:$A,CSV!B:B,""),
_xlpm.MacVal,_xlfn.XLOOKUP($A774,Output_Mac!$A:$A,Output_Mac!B:B,""),
_xlpm.MyAuditVal,_xlfn.XLOOKUP($A774,My_Audit!$A:$A,My_Audit!B:B,""),
_xlfn.IFS(_xlpm.MyAuditVal&lt;&gt;"",UPPER(_xlpm.MyAuditVal),_xlpm.MacVal&lt;&gt;"",_xlpm.MacVal,_xlpm.CSVVal&lt;&gt;"",_xlpm.CSVVal
)),"")</f>
        <v/>
      </c>
      <c r="D774" s="40" t="str" cm="1">
        <f t="array" ref="D774">IFERROR(_xlfn.LET(
_xlpm.CSVVal,_xlfn.XLOOKUP($A774,CSV!$A:$A,CSV!D:D,""),
_xlpm.MacVal,_xlfn.XLOOKUP($A774,Output_Mac!$A:$A,Output_Mac!C:C,""),
_xlpm.MyAuditVal,_xlfn.XLOOKUP($A774,My_Audit!$A:$A,My_Audit!C:C,""),
_xlfn.IFS(_xlpm.MyAuditVal&lt;&gt;"",_xlpm.MyAuditVal,_xlpm.MacVal&lt;&gt;"",_xlpm.MacVal,_xlpm.CSVVal&lt;&gt;"",_xlpm.CSVVal
)),"")</f>
        <v/>
      </c>
      <c r="E774" s="40" t="str">
        <f>_xlfn.XLOOKUP(A774,My_Audit!A:A,My_Audit!D:D,"")</f>
        <v/>
      </c>
      <c r="F774" s="40" t="str" cm="1">
        <f t="array" ref="F774">IFERROR(_xlfn.LET(
_xlpm.CSVVal,_xlfn.XLOOKUP($A774,CSV!$A:$A,CSV!F:F,""),
_xlpm.MacVal,_xlfn.XLOOKUP($A774,Output_Mac!$A:$A,Output_Mac!E:E,""),
_xlpm.MyAuditVal,_xlfn.XLOOKUP($A774,My_Audit!$A:$A,My_Audit!E:E,""),
_xlfn.IFS(_xlpm.MyAuditVal&lt;&gt;"",_xlpm.MyAuditVal,_xlpm.MacVal&lt;&gt;"",_xlpm.MacVal,_xlpm.CSVVal&lt;&gt;"",_xlpm.CSVVal
)),"")</f>
        <v/>
      </c>
      <c r="G774" s="40" t="str" cm="1">
        <f t="array" ref="G774">IFERROR(_xlfn.LET(
_xlpm.CSVVal,_xlfn.XLOOKUP($A774,CSV!$A:$A,CSV!G:G,""),
_xlpm.MacVal,_xlfn.XLOOKUP($A774,Output_Mac!$A:$A,Output_Mac!F:F,""),
_xlpm.MyAuditVal,_xlfn.XLOOKUP($A774,My_Audit!$A:$A,My_Audit!F:F,""),
_xlfn.IFS(_xlpm.MyAuditVal&lt;&gt;"",_xlpm.MyAuditVal,_xlpm.MacVal&lt;&gt;"",_xlpm.MacVal,_xlpm.CSVVal&lt;&gt;"",PROPER(_xlpm.CSVVal)
)),"")</f>
        <v/>
      </c>
      <c r="H774" s="40" t="str" cm="1">
        <f t="array" ref="H774">IFERROR(_xlfn.LET(
_xlpm.CSVVal,_xlfn.XLOOKUP($A774,CSV!$A:$A,CSV!H:H,""),
_xlpm.MacVal,_xlfn.XLOOKUP($A774,Output_Mac!$A:$A,Output_Mac!H:H,""),
_xlpm.MyAuditVal,_xlfn.XLOOKUP($A774,My_Audit!$A:$A,My_Audit!G:G,""),
_xlfn.IFS(_xlpm.MyAuditVal&lt;&gt;"",_xlpm.MyAuditVal,_xlpm.MacVal&lt;&gt;"",_xlpm.MacVal,_xlpm.CSVVal&lt;&gt;"",_xlpm.CSVVal
)),"")</f>
        <v/>
      </c>
      <c r="I774" s="40" t="str">
        <f>_xlfn.XLOOKUP(A774,Output_Mac!A:A,Output_Mac!I:I,"")</f>
        <v/>
      </c>
      <c r="J774" s="40" t="str" cm="1">
        <f t="array" ref="J774">IFERROR(_xlfn.LET(
_xlpm.CSVVal,_xlfn.XLOOKUP($A774,CSV!$A:$A,CSV!I:I,""),
_xlpm.MacVal,_xlfn.XLOOKUP($A774,Output_Mac!$A:$A,Output_Mac!J:J,""),
_xlpm.MyAuditVal,_xlfn.XLOOKUP($A774,My_Audit!$A:$A,My_Audit!I:I,""),
_xlfn.IFS(_xlpm.MyAuditVal&lt;&gt;"",UPPER(_xlpm.MyAuditVal),_xlpm.MacVal&lt;&gt;"",_xlpm.MacVal,_xlpm.CSVVal&lt;&gt;"",_xlpm.CSVVal
)),"")</f>
        <v/>
      </c>
      <c r="K774" s="40" t="str" cm="1">
        <f t="array" ref="K774">IFERROR(_xlfn.LET(
_xlpm.CSVVal,_xlfn.XLOOKUP($A774,CSV!$A:$A,CSV!K:K,""),
_xlpm.MacVal,_xlfn.XLOOKUP($A774,Output_Mac!$A:$A,Output_Mac!K:K,""),
_xlpm.MyAuditVal,_xlfn.XLOOKUP($A774,My_Audit!$A:$A,My_Audit!J:J,""),
_xlfn.IFS(_xlpm.MyAuditVal&lt;&gt;"",UPPER(_xlpm.MyAuditVal),_xlpm.MacVal&lt;&gt;"",_xlpm.MacVal,_xlpm.CSVVal&lt;&gt;"",_xlpm.CSVVal
)),"")</f>
        <v/>
      </c>
      <c r="L774" s="40" t="str" cm="1">
        <f t="array" ref="L774">IFERROR(_xlfn.LET(
_xlpm.CSVVal,_xlfn.XLOOKUP($A774,CSV!$A:$A,CSV!P:P,""),
_xlpm.MacVal,_xlfn.XLOOKUP($A774,Output_Mac!$A:$A,Output_Mac!L:L,""),
_xlpm.MyAuditVal,_xlfn.XLOOKUP($A774,My_Audit!$A:$A,My_Audit!K:K,""),
_xlfn.IFS(_xlpm.MyAuditVal&lt;&gt;"",UPPER(_xlpm.MyAuditVal),_xlpm.MacVal&lt;&gt;"",_xlpm.MacVal,_xlpm.CSVVal&lt;&gt;"",_xlpm.CSVVal
)),"")</f>
        <v/>
      </c>
      <c r="M774" s="40" t="str" cm="1">
        <f t="array" ref="M774">IFERROR(_xlfn.LET(
_xlpm.CSVVal,_xlfn.XLOOKUP($A774,CSV!$A:$A,CSV!Q:Q,""),
_xlpm.MacVal,_xlfn.XLOOKUP($A774,Output_Mac!$A:$A,Output_Mac!M:M,""),
_xlpm.MyAuditVal,_xlfn.XLOOKUP($A774,My_Audit!$A:$A,My_Audit!L:L,""),
_xlfn.IFS(_xlpm.MyAuditVal&lt;&gt;"",UPPER(_xlpm.MyAuditVal),_xlpm.MacVal&lt;&gt;"",_xlpm.MacVal,_xlpm.CSVVal&lt;&gt;"",_xlpm.CSVVal
)),"")</f>
        <v/>
      </c>
      <c r="N774" s="40"/>
      <c r="O774" s="40" t="str">
        <f>_xlfn.LET(
    _xlpm.CSVVal, _xlfn.XLOOKUP($A774, CSV!$A:$A, CSV!AA:AA, ""),
    _xlpm.MacVal, _xlfn.XLOOKUP($A774, Output_Mac!$A:$A, Output_Mac!S:S, ""),
    _xlpm.MyAuditVal, _xlfn.XLOOKUP($A774, My_Audit!$A:$A, My_Audit!P:P, ""),
    _xlfn.TEXTJOIN(", ", TRUE, _xlpm.MyAuditVal, _xlpm.MacVal, _xlpm.CSVVal)
)</f>
        <v/>
      </c>
      <c r="P774" s="40" t="str" cm="1">
        <f t="array" ref="P774">IFERROR(_xlfn.LET(
_xlpm.CSVVal,_xlfn.XLOOKUP($A774,CSV!$A:$A,CSV!AB:AB,""),
_xlpm.MacVal,_xlfn.XLOOKUP($A774,Output_Mac!$A:$A,Output_Mac!T:T,""),
_xlpm.MyAuditVal,_xlfn.XLOOKUP($A774,My_Audit!$A:$A,My_Audit!Q:Q,""),
_xlfn.IFS(_xlpm.MyAuditVal&lt;&gt;"",UPPER(_xlpm.MyAuditVal),_xlpm.MacVal&lt;&gt;"",_xlpm.MacVal,_xlpm.CSVVal&lt;&gt;"",_xlpm.CSVVal
)),"No")</f>
        <v>No</v>
      </c>
      <c r="Q774" s="40" t="str" cm="1">
        <f t="array" ref="Q774">IFERROR(_xlfn.LET(
_xlpm.CSVVal,_xlfn.XLOOKUP($A774,CSV!$A:$A,CSV!AC:AC,""),
_xlpm.MacVal,_xlfn.XLOOKUP($A774,Output_Mac!$A:$A,Output_Mac!U:U,""),
_xlpm.MyAuditVal,_xlfn.XLOOKUP($A774,My_Audit!$A:$A,My_Audit!R:R,""),
_xlfn.IFS(_xlpm.MyAuditVal&lt;&gt;"",UPPER(_xlpm.MyAuditVal),_xlpm.MacVal&lt;&gt;"",_xlpm.MacVal,_xlpm.CSVVal&lt;&gt;"",_xlpm.CSVVal
)),"")</f>
        <v/>
      </c>
      <c r="R774" s="40"/>
      <c r="S774" s="40"/>
      <c r="T774" s="40"/>
      <c r="U774" s="40"/>
      <c r="V774" s="40"/>
      <c r="W774" s="40"/>
      <c r="X774" s="41" t="str">
        <f>_xlfn.LET(
    _xlpm.MacVal, _xlfn.XLOOKUP($A774, Output_Mac!$A:$A, Output_Mac!AB:AB, ""),
    _xlpm.MyAuditVal, _xlfn.XLOOKUP($A774, My_Audit!$A:$A, My_Audit!N:N, ""),
    _xlfn.TEXTJOIN(", ", TRUE, _xlpm.MyAuditVal, _xlpm.MacVal)
)</f>
        <v/>
      </c>
    </row>
    <row r="775" spans="1:24">
      <c r="A775" s="40" t="str">
        <f>_xlfn.TEXTJOIN("",TRUE,Input!$B$2,ROW(My_Audit!A774))</f>
        <v>X774</v>
      </c>
      <c r="B775" s="40" t="str">
        <f>_xlfn.TEXTJOIN("-",TRUE,"ITD",Input!$A$2,A775)</f>
        <v>ITD-X774</v>
      </c>
      <c r="C775" s="40" t="str" cm="1">
        <f t="array" ref="C775">IFERROR(_xlfn.LET(
_xlpm.CSVVal,_xlfn.XLOOKUP($A775,CSV!$A:$A,CSV!B:B,""),
_xlpm.MacVal,_xlfn.XLOOKUP($A775,Output_Mac!$A:$A,Output_Mac!B:B,""),
_xlpm.MyAuditVal,_xlfn.XLOOKUP($A775,My_Audit!$A:$A,My_Audit!B:B,""),
_xlfn.IFS(_xlpm.MyAuditVal&lt;&gt;"",UPPER(_xlpm.MyAuditVal),_xlpm.MacVal&lt;&gt;"",_xlpm.MacVal,_xlpm.CSVVal&lt;&gt;"",_xlpm.CSVVal
)),"")</f>
        <v/>
      </c>
      <c r="D775" s="40" t="str" cm="1">
        <f t="array" ref="D775">IFERROR(_xlfn.LET(
_xlpm.CSVVal,_xlfn.XLOOKUP($A775,CSV!$A:$A,CSV!D:D,""),
_xlpm.MacVal,_xlfn.XLOOKUP($A775,Output_Mac!$A:$A,Output_Mac!C:C,""),
_xlpm.MyAuditVal,_xlfn.XLOOKUP($A775,My_Audit!$A:$A,My_Audit!C:C,""),
_xlfn.IFS(_xlpm.MyAuditVal&lt;&gt;"",_xlpm.MyAuditVal,_xlpm.MacVal&lt;&gt;"",_xlpm.MacVal,_xlpm.CSVVal&lt;&gt;"",_xlpm.CSVVal
)),"")</f>
        <v/>
      </c>
      <c r="E775" s="40" t="str">
        <f>_xlfn.XLOOKUP(A775,My_Audit!A:A,My_Audit!D:D,"")</f>
        <v/>
      </c>
      <c r="F775" s="40" t="str" cm="1">
        <f t="array" ref="F775">IFERROR(_xlfn.LET(
_xlpm.CSVVal,_xlfn.XLOOKUP($A775,CSV!$A:$A,CSV!F:F,""),
_xlpm.MacVal,_xlfn.XLOOKUP($A775,Output_Mac!$A:$A,Output_Mac!E:E,""),
_xlpm.MyAuditVal,_xlfn.XLOOKUP($A775,My_Audit!$A:$A,My_Audit!E:E,""),
_xlfn.IFS(_xlpm.MyAuditVal&lt;&gt;"",_xlpm.MyAuditVal,_xlpm.MacVal&lt;&gt;"",_xlpm.MacVal,_xlpm.CSVVal&lt;&gt;"",_xlpm.CSVVal
)),"")</f>
        <v/>
      </c>
      <c r="G775" s="40" t="str" cm="1">
        <f t="array" ref="G775">IFERROR(_xlfn.LET(
_xlpm.CSVVal,_xlfn.XLOOKUP($A775,CSV!$A:$A,CSV!G:G,""),
_xlpm.MacVal,_xlfn.XLOOKUP($A775,Output_Mac!$A:$A,Output_Mac!F:F,""),
_xlpm.MyAuditVal,_xlfn.XLOOKUP($A775,My_Audit!$A:$A,My_Audit!F:F,""),
_xlfn.IFS(_xlpm.MyAuditVal&lt;&gt;"",_xlpm.MyAuditVal,_xlpm.MacVal&lt;&gt;"",_xlpm.MacVal,_xlpm.CSVVal&lt;&gt;"",PROPER(_xlpm.CSVVal)
)),"")</f>
        <v/>
      </c>
      <c r="H775" s="40" t="str" cm="1">
        <f t="array" ref="H775">IFERROR(_xlfn.LET(
_xlpm.CSVVal,_xlfn.XLOOKUP($A775,CSV!$A:$A,CSV!H:H,""),
_xlpm.MacVal,_xlfn.XLOOKUP($A775,Output_Mac!$A:$A,Output_Mac!H:H,""),
_xlpm.MyAuditVal,_xlfn.XLOOKUP($A775,My_Audit!$A:$A,My_Audit!G:G,""),
_xlfn.IFS(_xlpm.MyAuditVal&lt;&gt;"",_xlpm.MyAuditVal,_xlpm.MacVal&lt;&gt;"",_xlpm.MacVal,_xlpm.CSVVal&lt;&gt;"",_xlpm.CSVVal
)),"")</f>
        <v/>
      </c>
      <c r="I775" s="40" t="str">
        <f>_xlfn.XLOOKUP(A775,Output_Mac!A:A,Output_Mac!I:I,"")</f>
        <v/>
      </c>
      <c r="J775" s="40" t="str" cm="1">
        <f t="array" ref="J775">IFERROR(_xlfn.LET(
_xlpm.CSVVal,_xlfn.XLOOKUP($A775,CSV!$A:$A,CSV!I:I,""),
_xlpm.MacVal,_xlfn.XLOOKUP($A775,Output_Mac!$A:$A,Output_Mac!J:J,""),
_xlpm.MyAuditVal,_xlfn.XLOOKUP($A775,My_Audit!$A:$A,My_Audit!I:I,""),
_xlfn.IFS(_xlpm.MyAuditVal&lt;&gt;"",UPPER(_xlpm.MyAuditVal),_xlpm.MacVal&lt;&gt;"",_xlpm.MacVal,_xlpm.CSVVal&lt;&gt;"",_xlpm.CSVVal
)),"")</f>
        <v/>
      </c>
      <c r="K775" s="40" t="str" cm="1">
        <f t="array" ref="K775">IFERROR(_xlfn.LET(
_xlpm.CSVVal,_xlfn.XLOOKUP($A775,CSV!$A:$A,CSV!K:K,""),
_xlpm.MacVal,_xlfn.XLOOKUP($A775,Output_Mac!$A:$A,Output_Mac!K:K,""),
_xlpm.MyAuditVal,_xlfn.XLOOKUP($A775,My_Audit!$A:$A,My_Audit!J:J,""),
_xlfn.IFS(_xlpm.MyAuditVal&lt;&gt;"",UPPER(_xlpm.MyAuditVal),_xlpm.MacVal&lt;&gt;"",_xlpm.MacVal,_xlpm.CSVVal&lt;&gt;"",_xlpm.CSVVal
)),"")</f>
        <v/>
      </c>
      <c r="L775" s="40" t="str" cm="1">
        <f t="array" ref="L775">IFERROR(_xlfn.LET(
_xlpm.CSVVal,_xlfn.XLOOKUP($A775,CSV!$A:$A,CSV!P:P,""),
_xlpm.MacVal,_xlfn.XLOOKUP($A775,Output_Mac!$A:$A,Output_Mac!L:L,""),
_xlpm.MyAuditVal,_xlfn.XLOOKUP($A775,My_Audit!$A:$A,My_Audit!K:K,""),
_xlfn.IFS(_xlpm.MyAuditVal&lt;&gt;"",UPPER(_xlpm.MyAuditVal),_xlpm.MacVal&lt;&gt;"",_xlpm.MacVal,_xlpm.CSVVal&lt;&gt;"",_xlpm.CSVVal
)),"")</f>
        <v/>
      </c>
      <c r="M775" s="40" t="str" cm="1">
        <f t="array" ref="M775">IFERROR(_xlfn.LET(
_xlpm.CSVVal,_xlfn.XLOOKUP($A775,CSV!$A:$A,CSV!Q:Q,""),
_xlpm.MacVal,_xlfn.XLOOKUP($A775,Output_Mac!$A:$A,Output_Mac!M:M,""),
_xlpm.MyAuditVal,_xlfn.XLOOKUP($A775,My_Audit!$A:$A,My_Audit!L:L,""),
_xlfn.IFS(_xlpm.MyAuditVal&lt;&gt;"",UPPER(_xlpm.MyAuditVal),_xlpm.MacVal&lt;&gt;"",_xlpm.MacVal,_xlpm.CSVVal&lt;&gt;"",_xlpm.CSVVal
)),"")</f>
        <v/>
      </c>
      <c r="N775" s="40"/>
      <c r="O775" s="40" t="str">
        <f>_xlfn.LET(
    _xlpm.CSVVal, _xlfn.XLOOKUP($A775, CSV!$A:$A, CSV!AA:AA, ""),
    _xlpm.MacVal, _xlfn.XLOOKUP($A775, Output_Mac!$A:$A, Output_Mac!S:S, ""),
    _xlpm.MyAuditVal, _xlfn.XLOOKUP($A775, My_Audit!$A:$A, My_Audit!P:P, ""),
    _xlfn.TEXTJOIN(", ", TRUE, _xlpm.MyAuditVal, _xlpm.MacVal, _xlpm.CSVVal)
)</f>
        <v/>
      </c>
      <c r="P775" s="40" t="str" cm="1">
        <f t="array" ref="P775">IFERROR(_xlfn.LET(
_xlpm.CSVVal,_xlfn.XLOOKUP($A775,CSV!$A:$A,CSV!AB:AB,""),
_xlpm.MacVal,_xlfn.XLOOKUP($A775,Output_Mac!$A:$A,Output_Mac!T:T,""),
_xlpm.MyAuditVal,_xlfn.XLOOKUP($A775,My_Audit!$A:$A,My_Audit!Q:Q,""),
_xlfn.IFS(_xlpm.MyAuditVal&lt;&gt;"",UPPER(_xlpm.MyAuditVal),_xlpm.MacVal&lt;&gt;"",_xlpm.MacVal,_xlpm.CSVVal&lt;&gt;"",_xlpm.CSVVal
)),"No")</f>
        <v>No</v>
      </c>
      <c r="Q775" s="40" t="str" cm="1">
        <f t="array" ref="Q775">IFERROR(_xlfn.LET(
_xlpm.CSVVal,_xlfn.XLOOKUP($A775,CSV!$A:$A,CSV!AC:AC,""),
_xlpm.MacVal,_xlfn.XLOOKUP($A775,Output_Mac!$A:$A,Output_Mac!U:U,""),
_xlpm.MyAuditVal,_xlfn.XLOOKUP($A775,My_Audit!$A:$A,My_Audit!R:R,""),
_xlfn.IFS(_xlpm.MyAuditVal&lt;&gt;"",UPPER(_xlpm.MyAuditVal),_xlpm.MacVal&lt;&gt;"",_xlpm.MacVal,_xlpm.CSVVal&lt;&gt;"",_xlpm.CSVVal
)),"")</f>
        <v/>
      </c>
      <c r="R775" s="40"/>
      <c r="S775" s="40"/>
      <c r="T775" s="40"/>
      <c r="U775" s="40"/>
      <c r="V775" s="40"/>
      <c r="W775" s="40"/>
      <c r="X775" s="41" t="str">
        <f>_xlfn.LET(
    _xlpm.MacVal, _xlfn.XLOOKUP($A775, Output_Mac!$A:$A, Output_Mac!AB:AB, ""),
    _xlpm.MyAuditVal, _xlfn.XLOOKUP($A775, My_Audit!$A:$A, My_Audit!N:N, ""),
    _xlfn.TEXTJOIN(", ", TRUE, _xlpm.MyAuditVal, _xlpm.MacVal)
)</f>
        <v/>
      </c>
    </row>
    <row r="776" spans="1:24">
      <c r="A776" s="40" t="str">
        <f>_xlfn.TEXTJOIN("",TRUE,Input!$B$2,ROW(My_Audit!A775))</f>
        <v>X775</v>
      </c>
      <c r="B776" s="40" t="str">
        <f>_xlfn.TEXTJOIN("-",TRUE,"ITD",Input!$A$2,A776)</f>
        <v>ITD-X775</v>
      </c>
      <c r="C776" s="40" t="str" cm="1">
        <f t="array" ref="C776">IFERROR(_xlfn.LET(
_xlpm.CSVVal,_xlfn.XLOOKUP($A776,CSV!$A:$A,CSV!B:B,""),
_xlpm.MacVal,_xlfn.XLOOKUP($A776,Output_Mac!$A:$A,Output_Mac!B:B,""),
_xlpm.MyAuditVal,_xlfn.XLOOKUP($A776,My_Audit!$A:$A,My_Audit!B:B,""),
_xlfn.IFS(_xlpm.MyAuditVal&lt;&gt;"",UPPER(_xlpm.MyAuditVal),_xlpm.MacVal&lt;&gt;"",_xlpm.MacVal,_xlpm.CSVVal&lt;&gt;"",_xlpm.CSVVal
)),"")</f>
        <v/>
      </c>
      <c r="D776" s="40" t="str" cm="1">
        <f t="array" ref="D776">IFERROR(_xlfn.LET(
_xlpm.CSVVal,_xlfn.XLOOKUP($A776,CSV!$A:$A,CSV!D:D,""),
_xlpm.MacVal,_xlfn.XLOOKUP($A776,Output_Mac!$A:$A,Output_Mac!C:C,""),
_xlpm.MyAuditVal,_xlfn.XLOOKUP($A776,My_Audit!$A:$A,My_Audit!C:C,""),
_xlfn.IFS(_xlpm.MyAuditVal&lt;&gt;"",_xlpm.MyAuditVal,_xlpm.MacVal&lt;&gt;"",_xlpm.MacVal,_xlpm.CSVVal&lt;&gt;"",_xlpm.CSVVal
)),"")</f>
        <v/>
      </c>
      <c r="E776" s="40" t="str">
        <f>_xlfn.XLOOKUP(A776,My_Audit!A:A,My_Audit!D:D,"")</f>
        <v/>
      </c>
      <c r="F776" s="40" t="str" cm="1">
        <f t="array" ref="F776">IFERROR(_xlfn.LET(
_xlpm.CSVVal,_xlfn.XLOOKUP($A776,CSV!$A:$A,CSV!F:F,""),
_xlpm.MacVal,_xlfn.XLOOKUP($A776,Output_Mac!$A:$A,Output_Mac!E:E,""),
_xlpm.MyAuditVal,_xlfn.XLOOKUP($A776,My_Audit!$A:$A,My_Audit!E:E,""),
_xlfn.IFS(_xlpm.MyAuditVal&lt;&gt;"",_xlpm.MyAuditVal,_xlpm.MacVal&lt;&gt;"",_xlpm.MacVal,_xlpm.CSVVal&lt;&gt;"",_xlpm.CSVVal
)),"")</f>
        <v/>
      </c>
      <c r="G776" s="40" t="str" cm="1">
        <f t="array" ref="G776">IFERROR(_xlfn.LET(
_xlpm.CSVVal,_xlfn.XLOOKUP($A776,CSV!$A:$A,CSV!G:G,""),
_xlpm.MacVal,_xlfn.XLOOKUP($A776,Output_Mac!$A:$A,Output_Mac!F:F,""),
_xlpm.MyAuditVal,_xlfn.XLOOKUP($A776,My_Audit!$A:$A,My_Audit!F:F,""),
_xlfn.IFS(_xlpm.MyAuditVal&lt;&gt;"",_xlpm.MyAuditVal,_xlpm.MacVal&lt;&gt;"",_xlpm.MacVal,_xlpm.CSVVal&lt;&gt;"",PROPER(_xlpm.CSVVal)
)),"")</f>
        <v/>
      </c>
      <c r="H776" s="40" t="str" cm="1">
        <f t="array" ref="H776">IFERROR(_xlfn.LET(
_xlpm.CSVVal,_xlfn.XLOOKUP($A776,CSV!$A:$A,CSV!H:H,""),
_xlpm.MacVal,_xlfn.XLOOKUP($A776,Output_Mac!$A:$A,Output_Mac!H:H,""),
_xlpm.MyAuditVal,_xlfn.XLOOKUP($A776,My_Audit!$A:$A,My_Audit!G:G,""),
_xlfn.IFS(_xlpm.MyAuditVal&lt;&gt;"",_xlpm.MyAuditVal,_xlpm.MacVal&lt;&gt;"",_xlpm.MacVal,_xlpm.CSVVal&lt;&gt;"",_xlpm.CSVVal
)),"")</f>
        <v/>
      </c>
      <c r="I776" s="40" t="str">
        <f>_xlfn.XLOOKUP(A776,Output_Mac!A:A,Output_Mac!I:I,"")</f>
        <v/>
      </c>
      <c r="J776" s="40" t="str" cm="1">
        <f t="array" ref="J776">IFERROR(_xlfn.LET(
_xlpm.CSVVal,_xlfn.XLOOKUP($A776,CSV!$A:$A,CSV!I:I,""),
_xlpm.MacVal,_xlfn.XLOOKUP($A776,Output_Mac!$A:$A,Output_Mac!J:J,""),
_xlpm.MyAuditVal,_xlfn.XLOOKUP($A776,My_Audit!$A:$A,My_Audit!I:I,""),
_xlfn.IFS(_xlpm.MyAuditVal&lt;&gt;"",UPPER(_xlpm.MyAuditVal),_xlpm.MacVal&lt;&gt;"",_xlpm.MacVal,_xlpm.CSVVal&lt;&gt;"",_xlpm.CSVVal
)),"")</f>
        <v/>
      </c>
      <c r="K776" s="40" t="str" cm="1">
        <f t="array" ref="K776">IFERROR(_xlfn.LET(
_xlpm.CSVVal,_xlfn.XLOOKUP($A776,CSV!$A:$A,CSV!K:K,""),
_xlpm.MacVal,_xlfn.XLOOKUP($A776,Output_Mac!$A:$A,Output_Mac!K:K,""),
_xlpm.MyAuditVal,_xlfn.XLOOKUP($A776,My_Audit!$A:$A,My_Audit!J:J,""),
_xlfn.IFS(_xlpm.MyAuditVal&lt;&gt;"",UPPER(_xlpm.MyAuditVal),_xlpm.MacVal&lt;&gt;"",_xlpm.MacVal,_xlpm.CSVVal&lt;&gt;"",_xlpm.CSVVal
)),"")</f>
        <v/>
      </c>
      <c r="L776" s="40" t="str" cm="1">
        <f t="array" ref="L776">IFERROR(_xlfn.LET(
_xlpm.CSVVal,_xlfn.XLOOKUP($A776,CSV!$A:$A,CSV!P:P,""),
_xlpm.MacVal,_xlfn.XLOOKUP($A776,Output_Mac!$A:$A,Output_Mac!L:L,""),
_xlpm.MyAuditVal,_xlfn.XLOOKUP($A776,My_Audit!$A:$A,My_Audit!K:K,""),
_xlfn.IFS(_xlpm.MyAuditVal&lt;&gt;"",UPPER(_xlpm.MyAuditVal),_xlpm.MacVal&lt;&gt;"",_xlpm.MacVal,_xlpm.CSVVal&lt;&gt;"",_xlpm.CSVVal
)),"")</f>
        <v/>
      </c>
      <c r="M776" s="40" t="str" cm="1">
        <f t="array" ref="M776">IFERROR(_xlfn.LET(
_xlpm.CSVVal,_xlfn.XLOOKUP($A776,CSV!$A:$A,CSV!Q:Q,""),
_xlpm.MacVal,_xlfn.XLOOKUP($A776,Output_Mac!$A:$A,Output_Mac!M:M,""),
_xlpm.MyAuditVal,_xlfn.XLOOKUP($A776,My_Audit!$A:$A,My_Audit!L:L,""),
_xlfn.IFS(_xlpm.MyAuditVal&lt;&gt;"",UPPER(_xlpm.MyAuditVal),_xlpm.MacVal&lt;&gt;"",_xlpm.MacVal,_xlpm.CSVVal&lt;&gt;"",_xlpm.CSVVal
)),"")</f>
        <v/>
      </c>
      <c r="N776" s="40"/>
      <c r="O776" s="40" t="str">
        <f>_xlfn.LET(
    _xlpm.CSVVal, _xlfn.XLOOKUP($A776, CSV!$A:$A, CSV!AA:AA, ""),
    _xlpm.MacVal, _xlfn.XLOOKUP($A776, Output_Mac!$A:$A, Output_Mac!S:S, ""),
    _xlpm.MyAuditVal, _xlfn.XLOOKUP($A776, My_Audit!$A:$A, My_Audit!P:P, ""),
    _xlfn.TEXTJOIN(", ", TRUE, _xlpm.MyAuditVal, _xlpm.MacVal, _xlpm.CSVVal)
)</f>
        <v/>
      </c>
      <c r="P776" s="40" t="str" cm="1">
        <f t="array" ref="P776">IFERROR(_xlfn.LET(
_xlpm.CSVVal,_xlfn.XLOOKUP($A776,CSV!$A:$A,CSV!AB:AB,""),
_xlpm.MacVal,_xlfn.XLOOKUP($A776,Output_Mac!$A:$A,Output_Mac!T:T,""),
_xlpm.MyAuditVal,_xlfn.XLOOKUP($A776,My_Audit!$A:$A,My_Audit!Q:Q,""),
_xlfn.IFS(_xlpm.MyAuditVal&lt;&gt;"",UPPER(_xlpm.MyAuditVal),_xlpm.MacVal&lt;&gt;"",_xlpm.MacVal,_xlpm.CSVVal&lt;&gt;"",_xlpm.CSVVal
)),"No")</f>
        <v>No</v>
      </c>
      <c r="Q776" s="40" t="str" cm="1">
        <f t="array" ref="Q776">IFERROR(_xlfn.LET(
_xlpm.CSVVal,_xlfn.XLOOKUP($A776,CSV!$A:$A,CSV!AC:AC,""),
_xlpm.MacVal,_xlfn.XLOOKUP($A776,Output_Mac!$A:$A,Output_Mac!U:U,""),
_xlpm.MyAuditVal,_xlfn.XLOOKUP($A776,My_Audit!$A:$A,My_Audit!R:R,""),
_xlfn.IFS(_xlpm.MyAuditVal&lt;&gt;"",UPPER(_xlpm.MyAuditVal),_xlpm.MacVal&lt;&gt;"",_xlpm.MacVal,_xlpm.CSVVal&lt;&gt;"",_xlpm.CSVVal
)),"")</f>
        <v/>
      </c>
      <c r="R776" s="40"/>
      <c r="S776" s="40"/>
      <c r="T776" s="40"/>
      <c r="U776" s="40"/>
      <c r="V776" s="40"/>
      <c r="W776" s="40"/>
      <c r="X776" s="41" t="str">
        <f>_xlfn.LET(
    _xlpm.MacVal, _xlfn.XLOOKUP($A776, Output_Mac!$A:$A, Output_Mac!AB:AB, ""),
    _xlpm.MyAuditVal, _xlfn.XLOOKUP($A776, My_Audit!$A:$A, My_Audit!N:N, ""),
    _xlfn.TEXTJOIN(", ", TRUE, _xlpm.MyAuditVal, _xlpm.MacVal)
)</f>
        <v/>
      </c>
    </row>
    <row r="777" spans="1:24">
      <c r="A777" s="40" t="str">
        <f>_xlfn.TEXTJOIN("",TRUE,Input!$B$2,ROW(My_Audit!A776))</f>
        <v>X776</v>
      </c>
      <c r="B777" s="40" t="str">
        <f>_xlfn.TEXTJOIN("-",TRUE,"ITD",Input!$A$2,A777)</f>
        <v>ITD-X776</v>
      </c>
      <c r="C777" s="40" t="str" cm="1">
        <f t="array" ref="C777">IFERROR(_xlfn.LET(
_xlpm.CSVVal,_xlfn.XLOOKUP($A777,CSV!$A:$A,CSV!B:B,""),
_xlpm.MacVal,_xlfn.XLOOKUP($A777,Output_Mac!$A:$A,Output_Mac!B:B,""),
_xlpm.MyAuditVal,_xlfn.XLOOKUP($A777,My_Audit!$A:$A,My_Audit!B:B,""),
_xlfn.IFS(_xlpm.MyAuditVal&lt;&gt;"",UPPER(_xlpm.MyAuditVal),_xlpm.MacVal&lt;&gt;"",_xlpm.MacVal,_xlpm.CSVVal&lt;&gt;"",_xlpm.CSVVal
)),"")</f>
        <v/>
      </c>
      <c r="D777" s="40" t="str" cm="1">
        <f t="array" ref="D777">IFERROR(_xlfn.LET(
_xlpm.CSVVal,_xlfn.XLOOKUP($A777,CSV!$A:$A,CSV!D:D,""),
_xlpm.MacVal,_xlfn.XLOOKUP($A777,Output_Mac!$A:$A,Output_Mac!C:C,""),
_xlpm.MyAuditVal,_xlfn.XLOOKUP($A777,My_Audit!$A:$A,My_Audit!C:C,""),
_xlfn.IFS(_xlpm.MyAuditVal&lt;&gt;"",_xlpm.MyAuditVal,_xlpm.MacVal&lt;&gt;"",_xlpm.MacVal,_xlpm.CSVVal&lt;&gt;"",_xlpm.CSVVal
)),"")</f>
        <v/>
      </c>
      <c r="E777" s="40" t="str">
        <f>_xlfn.XLOOKUP(A777,My_Audit!A:A,My_Audit!D:D,"")</f>
        <v/>
      </c>
      <c r="F777" s="40" t="str" cm="1">
        <f t="array" ref="F777">IFERROR(_xlfn.LET(
_xlpm.CSVVal,_xlfn.XLOOKUP($A777,CSV!$A:$A,CSV!F:F,""),
_xlpm.MacVal,_xlfn.XLOOKUP($A777,Output_Mac!$A:$A,Output_Mac!E:E,""),
_xlpm.MyAuditVal,_xlfn.XLOOKUP($A777,My_Audit!$A:$A,My_Audit!E:E,""),
_xlfn.IFS(_xlpm.MyAuditVal&lt;&gt;"",_xlpm.MyAuditVal,_xlpm.MacVal&lt;&gt;"",_xlpm.MacVal,_xlpm.CSVVal&lt;&gt;"",_xlpm.CSVVal
)),"")</f>
        <v/>
      </c>
      <c r="G777" s="40" t="str" cm="1">
        <f t="array" ref="G777">IFERROR(_xlfn.LET(
_xlpm.CSVVal,_xlfn.XLOOKUP($A777,CSV!$A:$A,CSV!G:G,""),
_xlpm.MacVal,_xlfn.XLOOKUP($A777,Output_Mac!$A:$A,Output_Mac!F:F,""),
_xlpm.MyAuditVal,_xlfn.XLOOKUP($A777,My_Audit!$A:$A,My_Audit!F:F,""),
_xlfn.IFS(_xlpm.MyAuditVal&lt;&gt;"",_xlpm.MyAuditVal,_xlpm.MacVal&lt;&gt;"",_xlpm.MacVal,_xlpm.CSVVal&lt;&gt;"",PROPER(_xlpm.CSVVal)
)),"")</f>
        <v/>
      </c>
      <c r="H777" s="40" t="str" cm="1">
        <f t="array" ref="H777">IFERROR(_xlfn.LET(
_xlpm.CSVVal,_xlfn.XLOOKUP($A777,CSV!$A:$A,CSV!H:H,""),
_xlpm.MacVal,_xlfn.XLOOKUP($A777,Output_Mac!$A:$A,Output_Mac!H:H,""),
_xlpm.MyAuditVal,_xlfn.XLOOKUP($A777,My_Audit!$A:$A,My_Audit!G:G,""),
_xlfn.IFS(_xlpm.MyAuditVal&lt;&gt;"",_xlpm.MyAuditVal,_xlpm.MacVal&lt;&gt;"",_xlpm.MacVal,_xlpm.CSVVal&lt;&gt;"",_xlpm.CSVVal
)),"")</f>
        <v/>
      </c>
      <c r="I777" s="40" t="str">
        <f>_xlfn.XLOOKUP(A777,Output_Mac!A:A,Output_Mac!I:I,"")</f>
        <v/>
      </c>
      <c r="J777" s="40" t="str" cm="1">
        <f t="array" ref="J777">IFERROR(_xlfn.LET(
_xlpm.CSVVal,_xlfn.XLOOKUP($A777,CSV!$A:$A,CSV!I:I,""),
_xlpm.MacVal,_xlfn.XLOOKUP($A777,Output_Mac!$A:$A,Output_Mac!J:J,""),
_xlpm.MyAuditVal,_xlfn.XLOOKUP($A777,My_Audit!$A:$A,My_Audit!I:I,""),
_xlfn.IFS(_xlpm.MyAuditVal&lt;&gt;"",UPPER(_xlpm.MyAuditVal),_xlpm.MacVal&lt;&gt;"",_xlpm.MacVal,_xlpm.CSVVal&lt;&gt;"",_xlpm.CSVVal
)),"")</f>
        <v/>
      </c>
      <c r="K777" s="40" t="str" cm="1">
        <f t="array" ref="K777">IFERROR(_xlfn.LET(
_xlpm.CSVVal,_xlfn.XLOOKUP($A777,CSV!$A:$A,CSV!K:K,""),
_xlpm.MacVal,_xlfn.XLOOKUP($A777,Output_Mac!$A:$A,Output_Mac!K:K,""),
_xlpm.MyAuditVal,_xlfn.XLOOKUP($A777,My_Audit!$A:$A,My_Audit!J:J,""),
_xlfn.IFS(_xlpm.MyAuditVal&lt;&gt;"",UPPER(_xlpm.MyAuditVal),_xlpm.MacVal&lt;&gt;"",_xlpm.MacVal,_xlpm.CSVVal&lt;&gt;"",_xlpm.CSVVal
)),"")</f>
        <v/>
      </c>
      <c r="L777" s="40" t="str" cm="1">
        <f t="array" ref="L777">IFERROR(_xlfn.LET(
_xlpm.CSVVal,_xlfn.XLOOKUP($A777,CSV!$A:$A,CSV!P:P,""),
_xlpm.MacVal,_xlfn.XLOOKUP($A777,Output_Mac!$A:$A,Output_Mac!L:L,""),
_xlpm.MyAuditVal,_xlfn.XLOOKUP($A777,My_Audit!$A:$A,My_Audit!K:K,""),
_xlfn.IFS(_xlpm.MyAuditVal&lt;&gt;"",UPPER(_xlpm.MyAuditVal),_xlpm.MacVal&lt;&gt;"",_xlpm.MacVal,_xlpm.CSVVal&lt;&gt;"",_xlpm.CSVVal
)),"")</f>
        <v/>
      </c>
      <c r="M777" s="40" t="str" cm="1">
        <f t="array" ref="M777">IFERROR(_xlfn.LET(
_xlpm.CSVVal,_xlfn.XLOOKUP($A777,CSV!$A:$A,CSV!Q:Q,""),
_xlpm.MacVal,_xlfn.XLOOKUP($A777,Output_Mac!$A:$A,Output_Mac!M:M,""),
_xlpm.MyAuditVal,_xlfn.XLOOKUP($A777,My_Audit!$A:$A,My_Audit!L:L,""),
_xlfn.IFS(_xlpm.MyAuditVal&lt;&gt;"",UPPER(_xlpm.MyAuditVal),_xlpm.MacVal&lt;&gt;"",_xlpm.MacVal,_xlpm.CSVVal&lt;&gt;"",_xlpm.CSVVal
)),"")</f>
        <v/>
      </c>
      <c r="N777" s="40"/>
      <c r="O777" s="40" t="str">
        <f>_xlfn.LET(
    _xlpm.CSVVal, _xlfn.XLOOKUP($A777, CSV!$A:$A, CSV!AA:AA, ""),
    _xlpm.MacVal, _xlfn.XLOOKUP($A777, Output_Mac!$A:$A, Output_Mac!S:S, ""),
    _xlpm.MyAuditVal, _xlfn.XLOOKUP($A777, My_Audit!$A:$A, My_Audit!P:P, ""),
    _xlfn.TEXTJOIN(", ", TRUE, _xlpm.MyAuditVal, _xlpm.MacVal, _xlpm.CSVVal)
)</f>
        <v/>
      </c>
      <c r="P777" s="40" t="str" cm="1">
        <f t="array" ref="P777">IFERROR(_xlfn.LET(
_xlpm.CSVVal,_xlfn.XLOOKUP($A777,CSV!$A:$A,CSV!AB:AB,""),
_xlpm.MacVal,_xlfn.XLOOKUP($A777,Output_Mac!$A:$A,Output_Mac!T:T,""),
_xlpm.MyAuditVal,_xlfn.XLOOKUP($A777,My_Audit!$A:$A,My_Audit!Q:Q,""),
_xlfn.IFS(_xlpm.MyAuditVal&lt;&gt;"",UPPER(_xlpm.MyAuditVal),_xlpm.MacVal&lt;&gt;"",_xlpm.MacVal,_xlpm.CSVVal&lt;&gt;"",_xlpm.CSVVal
)),"No")</f>
        <v>No</v>
      </c>
      <c r="Q777" s="40" t="str" cm="1">
        <f t="array" ref="Q777">IFERROR(_xlfn.LET(
_xlpm.CSVVal,_xlfn.XLOOKUP($A777,CSV!$A:$A,CSV!AC:AC,""),
_xlpm.MacVal,_xlfn.XLOOKUP($A777,Output_Mac!$A:$A,Output_Mac!U:U,""),
_xlpm.MyAuditVal,_xlfn.XLOOKUP($A777,My_Audit!$A:$A,My_Audit!R:R,""),
_xlfn.IFS(_xlpm.MyAuditVal&lt;&gt;"",UPPER(_xlpm.MyAuditVal),_xlpm.MacVal&lt;&gt;"",_xlpm.MacVal,_xlpm.CSVVal&lt;&gt;"",_xlpm.CSVVal
)),"")</f>
        <v/>
      </c>
      <c r="R777" s="40"/>
      <c r="S777" s="40"/>
      <c r="T777" s="40"/>
      <c r="U777" s="40"/>
      <c r="V777" s="40"/>
      <c r="W777" s="40"/>
      <c r="X777" s="41" t="str">
        <f>_xlfn.LET(
    _xlpm.MacVal, _xlfn.XLOOKUP($A777, Output_Mac!$A:$A, Output_Mac!AB:AB, ""),
    _xlpm.MyAuditVal, _xlfn.XLOOKUP($A777, My_Audit!$A:$A, My_Audit!N:N, ""),
    _xlfn.TEXTJOIN(", ", TRUE, _xlpm.MyAuditVal, _xlpm.MacVal)
)</f>
        <v/>
      </c>
    </row>
    <row r="778" spans="1:24">
      <c r="A778" s="40" t="str">
        <f>_xlfn.TEXTJOIN("",TRUE,Input!$B$2,ROW(My_Audit!A777))</f>
        <v>X777</v>
      </c>
      <c r="B778" s="40" t="str">
        <f>_xlfn.TEXTJOIN("-",TRUE,"ITD",Input!$A$2,A778)</f>
        <v>ITD-X777</v>
      </c>
      <c r="C778" s="40" t="str" cm="1">
        <f t="array" ref="C778">IFERROR(_xlfn.LET(
_xlpm.CSVVal,_xlfn.XLOOKUP($A778,CSV!$A:$A,CSV!B:B,""),
_xlpm.MacVal,_xlfn.XLOOKUP($A778,Output_Mac!$A:$A,Output_Mac!B:B,""),
_xlpm.MyAuditVal,_xlfn.XLOOKUP($A778,My_Audit!$A:$A,My_Audit!B:B,""),
_xlfn.IFS(_xlpm.MyAuditVal&lt;&gt;"",UPPER(_xlpm.MyAuditVal),_xlpm.MacVal&lt;&gt;"",_xlpm.MacVal,_xlpm.CSVVal&lt;&gt;"",_xlpm.CSVVal
)),"")</f>
        <v/>
      </c>
      <c r="D778" s="40" t="str" cm="1">
        <f t="array" ref="D778">IFERROR(_xlfn.LET(
_xlpm.CSVVal,_xlfn.XLOOKUP($A778,CSV!$A:$A,CSV!D:D,""),
_xlpm.MacVal,_xlfn.XLOOKUP($A778,Output_Mac!$A:$A,Output_Mac!C:C,""),
_xlpm.MyAuditVal,_xlfn.XLOOKUP($A778,My_Audit!$A:$A,My_Audit!C:C,""),
_xlfn.IFS(_xlpm.MyAuditVal&lt;&gt;"",_xlpm.MyAuditVal,_xlpm.MacVal&lt;&gt;"",_xlpm.MacVal,_xlpm.CSVVal&lt;&gt;"",_xlpm.CSVVal
)),"")</f>
        <v/>
      </c>
      <c r="E778" s="40" t="str">
        <f>_xlfn.XLOOKUP(A778,My_Audit!A:A,My_Audit!D:D,"")</f>
        <v/>
      </c>
      <c r="F778" s="40" t="str" cm="1">
        <f t="array" ref="F778">IFERROR(_xlfn.LET(
_xlpm.CSVVal,_xlfn.XLOOKUP($A778,CSV!$A:$A,CSV!F:F,""),
_xlpm.MacVal,_xlfn.XLOOKUP($A778,Output_Mac!$A:$A,Output_Mac!E:E,""),
_xlpm.MyAuditVal,_xlfn.XLOOKUP($A778,My_Audit!$A:$A,My_Audit!E:E,""),
_xlfn.IFS(_xlpm.MyAuditVal&lt;&gt;"",_xlpm.MyAuditVal,_xlpm.MacVal&lt;&gt;"",_xlpm.MacVal,_xlpm.CSVVal&lt;&gt;"",_xlpm.CSVVal
)),"")</f>
        <v/>
      </c>
      <c r="G778" s="40" t="str" cm="1">
        <f t="array" ref="G778">IFERROR(_xlfn.LET(
_xlpm.CSVVal,_xlfn.XLOOKUP($A778,CSV!$A:$A,CSV!G:G,""),
_xlpm.MacVal,_xlfn.XLOOKUP($A778,Output_Mac!$A:$A,Output_Mac!F:F,""),
_xlpm.MyAuditVal,_xlfn.XLOOKUP($A778,My_Audit!$A:$A,My_Audit!F:F,""),
_xlfn.IFS(_xlpm.MyAuditVal&lt;&gt;"",_xlpm.MyAuditVal,_xlpm.MacVal&lt;&gt;"",_xlpm.MacVal,_xlpm.CSVVal&lt;&gt;"",PROPER(_xlpm.CSVVal)
)),"")</f>
        <v/>
      </c>
      <c r="H778" s="40" t="str" cm="1">
        <f t="array" ref="H778">IFERROR(_xlfn.LET(
_xlpm.CSVVal,_xlfn.XLOOKUP($A778,CSV!$A:$A,CSV!H:H,""),
_xlpm.MacVal,_xlfn.XLOOKUP($A778,Output_Mac!$A:$A,Output_Mac!H:H,""),
_xlpm.MyAuditVal,_xlfn.XLOOKUP($A778,My_Audit!$A:$A,My_Audit!G:G,""),
_xlfn.IFS(_xlpm.MyAuditVal&lt;&gt;"",_xlpm.MyAuditVal,_xlpm.MacVal&lt;&gt;"",_xlpm.MacVal,_xlpm.CSVVal&lt;&gt;"",_xlpm.CSVVal
)),"")</f>
        <v/>
      </c>
      <c r="I778" s="40" t="str">
        <f>_xlfn.XLOOKUP(A778,Output_Mac!A:A,Output_Mac!I:I,"")</f>
        <v/>
      </c>
      <c r="J778" s="40" t="str" cm="1">
        <f t="array" ref="J778">IFERROR(_xlfn.LET(
_xlpm.CSVVal,_xlfn.XLOOKUP($A778,CSV!$A:$A,CSV!I:I,""),
_xlpm.MacVal,_xlfn.XLOOKUP($A778,Output_Mac!$A:$A,Output_Mac!J:J,""),
_xlpm.MyAuditVal,_xlfn.XLOOKUP($A778,My_Audit!$A:$A,My_Audit!I:I,""),
_xlfn.IFS(_xlpm.MyAuditVal&lt;&gt;"",UPPER(_xlpm.MyAuditVal),_xlpm.MacVal&lt;&gt;"",_xlpm.MacVal,_xlpm.CSVVal&lt;&gt;"",_xlpm.CSVVal
)),"")</f>
        <v/>
      </c>
      <c r="K778" s="40" t="str" cm="1">
        <f t="array" ref="K778">IFERROR(_xlfn.LET(
_xlpm.CSVVal,_xlfn.XLOOKUP($A778,CSV!$A:$A,CSV!K:K,""),
_xlpm.MacVal,_xlfn.XLOOKUP($A778,Output_Mac!$A:$A,Output_Mac!K:K,""),
_xlpm.MyAuditVal,_xlfn.XLOOKUP($A778,My_Audit!$A:$A,My_Audit!J:J,""),
_xlfn.IFS(_xlpm.MyAuditVal&lt;&gt;"",UPPER(_xlpm.MyAuditVal),_xlpm.MacVal&lt;&gt;"",_xlpm.MacVal,_xlpm.CSVVal&lt;&gt;"",_xlpm.CSVVal
)),"")</f>
        <v/>
      </c>
      <c r="L778" s="40" t="str" cm="1">
        <f t="array" ref="L778">IFERROR(_xlfn.LET(
_xlpm.CSVVal,_xlfn.XLOOKUP($A778,CSV!$A:$A,CSV!P:P,""),
_xlpm.MacVal,_xlfn.XLOOKUP($A778,Output_Mac!$A:$A,Output_Mac!L:L,""),
_xlpm.MyAuditVal,_xlfn.XLOOKUP($A778,My_Audit!$A:$A,My_Audit!K:K,""),
_xlfn.IFS(_xlpm.MyAuditVal&lt;&gt;"",UPPER(_xlpm.MyAuditVal),_xlpm.MacVal&lt;&gt;"",_xlpm.MacVal,_xlpm.CSVVal&lt;&gt;"",_xlpm.CSVVal
)),"")</f>
        <v/>
      </c>
      <c r="M778" s="40" t="str" cm="1">
        <f t="array" ref="M778">IFERROR(_xlfn.LET(
_xlpm.CSVVal,_xlfn.XLOOKUP($A778,CSV!$A:$A,CSV!Q:Q,""),
_xlpm.MacVal,_xlfn.XLOOKUP($A778,Output_Mac!$A:$A,Output_Mac!M:M,""),
_xlpm.MyAuditVal,_xlfn.XLOOKUP($A778,My_Audit!$A:$A,My_Audit!L:L,""),
_xlfn.IFS(_xlpm.MyAuditVal&lt;&gt;"",UPPER(_xlpm.MyAuditVal),_xlpm.MacVal&lt;&gt;"",_xlpm.MacVal,_xlpm.CSVVal&lt;&gt;"",_xlpm.CSVVal
)),"")</f>
        <v/>
      </c>
      <c r="N778" s="40"/>
      <c r="O778" s="40" t="str">
        <f>_xlfn.LET(
    _xlpm.CSVVal, _xlfn.XLOOKUP($A778, CSV!$A:$A, CSV!AA:AA, ""),
    _xlpm.MacVal, _xlfn.XLOOKUP($A778, Output_Mac!$A:$A, Output_Mac!S:S, ""),
    _xlpm.MyAuditVal, _xlfn.XLOOKUP($A778, My_Audit!$A:$A, My_Audit!P:P, ""),
    _xlfn.TEXTJOIN(", ", TRUE, _xlpm.MyAuditVal, _xlpm.MacVal, _xlpm.CSVVal)
)</f>
        <v/>
      </c>
      <c r="P778" s="40" t="str" cm="1">
        <f t="array" ref="P778">IFERROR(_xlfn.LET(
_xlpm.CSVVal,_xlfn.XLOOKUP($A778,CSV!$A:$A,CSV!AB:AB,""),
_xlpm.MacVal,_xlfn.XLOOKUP($A778,Output_Mac!$A:$A,Output_Mac!T:T,""),
_xlpm.MyAuditVal,_xlfn.XLOOKUP($A778,My_Audit!$A:$A,My_Audit!Q:Q,""),
_xlfn.IFS(_xlpm.MyAuditVal&lt;&gt;"",UPPER(_xlpm.MyAuditVal),_xlpm.MacVal&lt;&gt;"",_xlpm.MacVal,_xlpm.CSVVal&lt;&gt;"",_xlpm.CSVVal
)),"No")</f>
        <v>No</v>
      </c>
      <c r="Q778" s="40" t="str" cm="1">
        <f t="array" ref="Q778">IFERROR(_xlfn.LET(
_xlpm.CSVVal,_xlfn.XLOOKUP($A778,CSV!$A:$A,CSV!AC:AC,""),
_xlpm.MacVal,_xlfn.XLOOKUP($A778,Output_Mac!$A:$A,Output_Mac!U:U,""),
_xlpm.MyAuditVal,_xlfn.XLOOKUP($A778,My_Audit!$A:$A,My_Audit!R:R,""),
_xlfn.IFS(_xlpm.MyAuditVal&lt;&gt;"",UPPER(_xlpm.MyAuditVal),_xlpm.MacVal&lt;&gt;"",_xlpm.MacVal,_xlpm.CSVVal&lt;&gt;"",_xlpm.CSVVal
)),"")</f>
        <v/>
      </c>
      <c r="R778" s="40"/>
      <c r="S778" s="40"/>
      <c r="T778" s="40"/>
      <c r="U778" s="40"/>
      <c r="V778" s="40"/>
      <c r="W778" s="40"/>
      <c r="X778" s="41" t="str">
        <f>_xlfn.LET(
    _xlpm.MacVal, _xlfn.XLOOKUP($A778, Output_Mac!$A:$A, Output_Mac!AB:AB, ""),
    _xlpm.MyAuditVal, _xlfn.XLOOKUP($A778, My_Audit!$A:$A, My_Audit!N:N, ""),
    _xlfn.TEXTJOIN(", ", TRUE, _xlpm.MyAuditVal, _xlpm.MacVal)
)</f>
        <v/>
      </c>
    </row>
    <row r="779" spans="1:24">
      <c r="A779" s="40" t="str">
        <f>_xlfn.TEXTJOIN("",TRUE,Input!$B$2,ROW(My_Audit!A778))</f>
        <v>X778</v>
      </c>
      <c r="B779" s="40" t="str">
        <f>_xlfn.TEXTJOIN("-",TRUE,"ITD",Input!$A$2,A779)</f>
        <v>ITD-X778</v>
      </c>
      <c r="C779" s="40" t="str" cm="1">
        <f t="array" ref="C779">IFERROR(_xlfn.LET(
_xlpm.CSVVal,_xlfn.XLOOKUP($A779,CSV!$A:$A,CSV!B:B,""),
_xlpm.MacVal,_xlfn.XLOOKUP($A779,Output_Mac!$A:$A,Output_Mac!B:B,""),
_xlpm.MyAuditVal,_xlfn.XLOOKUP($A779,My_Audit!$A:$A,My_Audit!B:B,""),
_xlfn.IFS(_xlpm.MyAuditVal&lt;&gt;"",UPPER(_xlpm.MyAuditVal),_xlpm.MacVal&lt;&gt;"",_xlpm.MacVal,_xlpm.CSVVal&lt;&gt;"",_xlpm.CSVVal
)),"")</f>
        <v/>
      </c>
      <c r="D779" s="40" t="str" cm="1">
        <f t="array" ref="D779">IFERROR(_xlfn.LET(
_xlpm.CSVVal,_xlfn.XLOOKUP($A779,CSV!$A:$A,CSV!D:D,""),
_xlpm.MacVal,_xlfn.XLOOKUP($A779,Output_Mac!$A:$A,Output_Mac!C:C,""),
_xlpm.MyAuditVal,_xlfn.XLOOKUP($A779,My_Audit!$A:$A,My_Audit!C:C,""),
_xlfn.IFS(_xlpm.MyAuditVal&lt;&gt;"",_xlpm.MyAuditVal,_xlpm.MacVal&lt;&gt;"",_xlpm.MacVal,_xlpm.CSVVal&lt;&gt;"",_xlpm.CSVVal
)),"")</f>
        <v/>
      </c>
      <c r="E779" s="40" t="str">
        <f>_xlfn.XLOOKUP(A779,My_Audit!A:A,My_Audit!D:D,"")</f>
        <v/>
      </c>
      <c r="F779" s="40" t="str" cm="1">
        <f t="array" ref="F779">IFERROR(_xlfn.LET(
_xlpm.CSVVal,_xlfn.XLOOKUP($A779,CSV!$A:$A,CSV!F:F,""),
_xlpm.MacVal,_xlfn.XLOOKUP($A779,Output_Mac!$A:$A,Output_Mac!E:E,""),
_xlpm.MyAuditVal,_xlfn.XLOOKUP($A779,My_Audit!$A:$A,My_Audit!E:E,""),
_xlfn.IFS(_xlpm.MyAuditVal&lt;&gt;"",_xlpm.MyAuditVal,_xlpm.MacVal&lt;&gt;"",_xlpm.MacVal,_xlpm.CSVVal&lt;&gt;"",_xlpm.CSVVal
)),"")</f>
        <v/>
      </c>
      <c r="G779" s="40" t="str" cm="1">
        <f t="array" ref="G779">IFERROR(_xlfn.LET(
_xlpm.CSVVal,_xlfn.XLOOKUP($A779,CSV!$A:$A,CSV!G:G,""),
_xlpm.MacVal,_xlfn.XLOOKUP($A779,Output_Mac!$A:$A,Output_Mac!F:F,""),
_xlpm.MyAuditVal,_xlfn.XLOOKUP($A779,My_Audit!$A:$A,My_Audit!F:F,""),
_xlfn.IFS(_xlpm.MyAuditVal&lt;&gt;"",_xlpm.MyAuditVal,_xlpm.MacVal&lt;&gt;"",_xlpm.MacVal,_xlpm.CSVVal&lt;&gt;"",PROPER(_xlpm.CSVVal)
)),"")</f>
        <v/>
      </c>
      <c r="H779" s="40" t="str" cm="1">
        <f t="array" ref="H779">IFERROR(_xlfn.LET(
_xlpm.CSVVal,_xlfn.XLOOKUP($A779,CSV!$A:$A,CSV!H:H,""),
_xlpm.MacVal,_xlfn.XLOOKUP($A779,Output_Mac!$A:$A,Output_Mac!H:H,""),
_xlpm.MyAuditVal,_xlfn.XLOOKUP($A779,My_Audit!$A:$A,My_Audit!G:G,""),
_xlfn.IFS(_xlpm.MyAuditVal&lt;&gt;"",_xlpm.MyAuditVal,_xlpm.MacVal&lt;&gt;"",_xlpm.MacVal,_xlpm.CSVVal&lt;&gt;"",_xlpm.CSVVal
)),"")</f>
        <v/>
      </c>
      <c r="I779" s="40" t="str">
        <f>_xlfn.XLOOKUP(A779,Output_Mac!A:A,Output_Mac!I:I,"")</f>
        <v/>
      </c>
      <c r="J779" s="40" t="str" cm="1">
        <f t="array" ref="J779">IFERROR(_xlfn.LET(
_xlpm.CSVVal,_xlfn.XLOOKUP($A779,CSV!$A:$A,CSV!I:I,""),
_xlpm.MacVal,_xlfn.XLOOKUP($A779,Output_Mac!$A:$A,Output_Mac!J:J,""),
_xlpm.MyAuditVal,_xlfn.XLOOKUP($A779,My_Audit!$A:$A,My_Audit!I:I,""),
_xlfn.IFS(_xlpm.MyAuditVal&lt;&gt;"",UPPER(_xlpm.MyAuditVal),_xlpm.MacVal&lt;&gt;"",_xlpm.MacVal,_xlpm.CSVVal&lt;&gt;"",_xlpm.CSVVal
)),"")</f>
        <v/>
      </c>
      <c r="K779" s="40" t="str" cm="1">
        <f t="array" ref="K779">IFERROR(_xlfn.LET(
_xlpm.CSVVal,_xlfn.XLOOKUP($A779,CSV!$A:$A,CSV!K:K,""),
_xlpm.MacVal,_xlfn.XLOOKUP($A779,Output_Mac!$A:$A,Output_Mac!K:K,""),
_xlpm.MyAuditVal,_xlfn.XLOOKUP($A779,My_Audit!$A:$A,My_Audit!J:J,""),
_xlfn.IFS(_xlpm.MyAuditVal&lt;&gt;"",UPPER(_xlpm.MyAuditVal),_xlpm.MacVal&lt;&gt;"",_xlpm.MacVal,_xlpm.CSVVal&lt;&gt;"",_xlpm.CSVVal
)),"")</f>
        <v/>
      </c>
      <c r="L779" s="40" t="str" cm="1">
        <f t="array" ref="L779">IFERROR(_xlfn.LET(
_xlpm.CSVVal,_xlfn.XLOOKUP($A779,CSV!$A:$A,CSV!P:P,""),
_xlpm.MacVal,_xlfn.XLOOKUP($A779,Output_Mac!$A:$A,Output_Mac!L:L,""),
_xlpm.MyAuditVal,_xlfn.XLOOKUP($A779,My_Audit!$A:$A,My_Audit!K:K,""),
_xlfn.IFS(_xlpm.MyAuditVal&lt;&gt;"",UPPER(_xlpm.MyAuditVal),_xlpm.MacVal&lt;&gt;"",_xlpm.MacVal,_xlpm.CSVVal&lt;&gt;"",_xlpm.CSVVal
)),"")</f>
        <v/>
      </c>
      <c r="M779" s="40" t="str" cm="1">
        <f t="array" ref="M779">IFERROR(_xlfn.LET(
_xlpm.CSVVal,_xlfn.XLOOKUP($A779,CSV!$A:$A,CSV!Q:Q,""),
_xlpm.MacVal,_xlfn.XLOOKUP($A779,Output_Mac!$A:$A,Output_Mac!M:M,""),
_xlpm.MyAuditVal,_xlfn.XLOOKUP($A779,My_Audit!$A:$A,My_Audit!L:L,""),
_xlfn.IFS(_xlpm.MyAuditVal&lt;&gt;"",UPPER(_xlpm.MyAuditVal),_xlpm.MacVal&lt;&gt;"",_xlpm.MacVal,_xlpm.CSVVal&lt;&gt;"",_xlpm.CSVVal
)),"")</f>
        <v/>
      </c>
      <c r="N779" s="40"/>
      <c r="O779" s="40" t="str">
        <f>_xlfn.LET(
    _xlpm.CSVVal, _xlfn.XLOOKUP($A779, CSV!$A:$A, CSV!AA:AA, ""),
    _xlpm.MacVal, _xlfn.XLOOKUP($A779, Output_Mac!$A:$A, Output_Mac!S:S, ""),
    _xlpm.MyAuditVal, _xlfn.XLOOKUP($A779, My_Audit!$A:$A, My_Audit!P:P, ""),
    _xlfn.TEXTJOIN(", ", TRUE, _xlpm.MyAuditVal, _xlpm.MacVal, _xlpm.CSVVal)
)</f>
        <v/>
      </c>
      <c r="P779" s="40" t="str" cm="1">
        <f t="array" ref="P779">IFERROR(_xlfn.LET(
_xlpm.CSVVal,_xlfn.XLOOKUP($A779,CSV!$A:$A,CSV!AB:AB,""),
_xlpm.MacVal,_xlfn.XLOOKUP($A779,Output_Mac!$A:$A,Output_Mac!T:T,""),
_xlpm.MyAuditVal,_xlfn.XLOOKUP($A779,My_Audit!$A:$A,My_Audit!Q:Q,""),
_xlfn.IFS(_xlpm.MyAuditVal&lt;&gt;"",UPPER(_xlpm.MyAuditVal),_xlpm.MacVal&lt;&gt;"",_xlpm.MacVal,_xlpm.CSVVal&lt;&gt;"",_xlpm.CSVVal
)),"No")</f>
        <v>No</v>
      </c>
      <c r="Q779" s="40" t="str" cm="1">
        <f t="array" ref="Q779">IFERROR(_xlfn.LET(
_xlpm.CSVVal,_xlfn.XLOOKUP($A779,CSV!$A:$A,CSV!AC:AC,""),
_xlpm.MacVal,_xlfn.XLOOKUP($A779,Output_Mac!$A:$A,Output_Mac!U:U,""),
_xlpm.MyAuditVal,_xlfn.XLOOKUP($A779,My_Audit!$A:$A,My_Audit!R:R,""),
_xlfn.IFS(_xlpm.MyAuditVal&lt;&gt;"",UPPER(_xlpm.MyAuditVal),_xlpm.MacVal&lt;&gt;"",_xlpm.MacVal,_xlpm.CSVVal&lt;&gt;"",_xlpm.CSVVal
)),"")</f>
        <v/>
      </c>
      <c r="R779" s="40"/>
      <c r="S779" s="40"/>
      <c r="T779" s="40"/>
      <c r="U779" s="40"/>
      <c r="V779" s="40"/>
      <c r="W779" s="40"/>
      <c r="X779" s="41" t="str">
        <f>_xlfn.LET(
    _xlpm.MacVal, _xlfn.XLOOKUP($A779, Output_Mac!$A:$A, Output_Mac!AB:AB, ""),
    _xlpm.MyAuditVal, _xlfn.XLOOKUP($A779, My_Audit!$A:$A, My_Audit!N:N, ""),
    _xlfn.TEXTJOIN(", ", TRUE, _xlpm.MyAuditVal, _xlpm.MacVal)
)</f>
        <v/>
      </c>
    </row>
    <row r="780" spans="1:24">
      <c r="A780" s="40" t="str">
        <f>_xlfn.TEXTJOIN("",TRUE,Input!$B$2,ROW(My_Audit!A779))</f>
        <v>X779</v>
      </c>
      <c r="B780" s="40" t="str">
        <f>_xlfn.TEXTJOIN("-",TRUE,"ITD",Input!$A$2,A780)</f>
        <v>ITD-X779</v>
      </c>
      <c r="C780" s="40" t="str" cm="1">
        <f t="array" ref="C780">IFERROR(_xlfn.LET(
_xlpm.CSVVal,_xlfn.XLOOKUP($A780,CSV!$A:$A,CSV!B:B,""),
_xlpm.MacVal,_xlfn.XLOOKUP($A780,Output_Mac!$A:$A,Output_Mac!B:B,""),
_xlpm.MyAuditVal,_xlfn.XLOOKUP($A780,My_Audit!$A:$A,My_Audit!B:B,""),
_xlfn.IFS(_xlpm.MyAuditVal&lt;&gt;"",UPPER(_xlpm.MyAuditVal),_xlpm.MacVal&lt;&gt;"",_xlpm.MacVal,_xlpm.CSVVal&lt;&gt;"",_xlpm.CSVVal
)),"")</f>
        <v/>
      </c>
      <c r="D780" s="40" t="str" cm="1">
        <f t="array" ref="D780">IFERROR(_xlfn.LET(
_xlpm.CSVVal,_xlfn.XLOOKUP($A780,CSV!$A:$A,CSV!D:D,""),
_xlpm.MacVal,_xlfn.XLOOKUP($A780,Output_Mac!$A:$A,Output_Mac!C:C,""),
_xlpm.MyAuditVal,_xlfn.XLOOKUP($A780,My_Audit!$A:$A,My_Audit!C:C,""),
_xlfn.IFS(_xlpm.MyAuditVal&lt;&gt;"",_xlpm.MyAuditVal,_xlpm.MacVal&lt;&gt;"",_xlpm.MacVal,_xlpm.CSVVal&lt;&gt;"",_xlpm.CSVVal
)),"")</f>
        <v/>
      </c>
      <c r="E780" s="40" t="str">
        <f>_xlfn.XLOOKUP(A780,My_Audit!A:A,My_Audit!D:D,"")</f>
        <v/>
      </c>
      <c r="F780" s="40" t="str" cm="1">
        <f t="array" ref="F780">IFERROR(_xlfn.LET(
_xlpm.CSVVal,_xlfn.XLOOKUP($A780,CSV!$A:$A,CSV!F:F,""),
_xlpm.MacVal,_xlfn.XLOOKUP($A780,Output_Mac!$A:$A,Output_Mac!E:E,""),
_xlpm.MyAuditVal,_xlfn.XLOOKUP($A780,My_Audit!$A:$A,My_Audit!E:E,""),
_xlfn.IFS(_xlpm.MyAuditVal&lt;&gt;"",_xlpm.MyAuditVal,_xlpm.MacVal&lt;&gt;"",_xlpm.MacVal,_xlpm.CSVVal&lt;&gt;"",_xlpm.CSVVal
)),"")</f>
        <v/>
      </c>
      <c r="G780" s="40" t="str" cm="1">
        <f t="array" ref="G780">IFERROR(_xlfn.LET(
_xlpm.CSVVal,_xlfn.XLOOKUP($A780,CSV!$A:$A,CSV!G:G,""),
_xlpm.MacVal,_xlfn.XLOOKUP($A780,Output_Mac!$A:$A,Output_Mac!F:F,""),
_xlpm.MyAuditVal,_xlfn.XLOOKUP($A780,My_Audit!$A:$A,My_Audit!F:F,""),
_xlfn.IFS(_xlpm.MyAuditVal&lt;&gt;"",_xlpm.MyAuditVal,_xlpm.MacVal&lt;&gt;"",_xlpm.MacVal,_xlpm.CSVVal&lt;&gt;"",PROPER(_xlpm.CSVVal)
)),"")</f>
        <v/>
      </c>
      <c r="H780" s="40" t="str" cm="1">
        <f t="array" ref="H780">IFERROR(_xlfn.LET(
_xlpm.CSVVal,_xlfn.XLOOKUP($A780,CSV!$A:$A,CSV!H:H,""),
_xlpm.MacVal,_xlfn.XLOOKUP($A780,Output_Mac!$A:$A,Output_Mac!H:H,""),
_xlpm.MyAuditVal,_xlfn.XLOOKUP($A780,My_Audit!$A:$A,My_Audit!G:G,""),
_xlfn.IFS(_xlpm.MyAuditVal&lt;&gt;"",_xlpm.MyAuditVal,_xlpm.MacVal&lt;&gt;"",_xlpm.MacVal,_xlpm.CSVVal&lt;&gt;"",_xlpm.CSVVal
)),"")</f>
        <v/>
      </c>
      <c r="I780" s="40" t="str">
        <f>_xlfn.XLOOKUP(A780,Output_Mac!A:A,Output_Mac!I:I,"")</f>
        <v/>
      </c>
      <c r="J780" s="40" t="str" cm="1">
        <f t="array" ref="J780">IFERROR(_xlfn.LET(
_xlpm.CSVVal,_xlfn.XLOOKUP($A780,CSV!$A:$A,CSV!I:I,""),
_xlpm.MacVal,_xlfn.XLOOKUP($A780,Output_Mac!$A:$A,Output_Mac!J:J,""),
_xlpm.MyAuditVal,_xlfn.XLOOKUP($A780,My_Audit!$A:$A,My_Audit!I:I,""),
_xlfn.IFS(_xlpm.MyAuditVal&lt;&gt;"",UPPER(_xlpm.MyAuditVal),_xlpm.MacVal&lt;&gt;"",_xlpm.MacVal,_xlpm.CSVVal&lt;&gt;"",_xlpm.CSVVal
)),"")</f>
        <v/>
      </c>
      <c r="K780" s="40" t="str" cm="1">
        <f t="array" ref="K780">IFERROR(_xlfn.LET(
_xlpm.CSVVal,_xlfn.XLOOKUP($A780,CSV!$A:$A,CSV!K:K,""),
_xlpm.MacVal,_xlfn.XLOOKUP($A780,Output_Mac!$A:$A,Output_Mac!K:K,""),
_xlpm.MyAuditVal,_xlfn.XLOOKUP($A780,My_Audit!$A:$A,My_Audit!J:J,""),
_xlfn.IFS(_xlpm.MyAuditVal&lt;&gt;"",UPPER(_xlpm.MyAuditVal),_xlpm.MacVal&lt;&gt;"",_xlpm.MacVal,_xlpm.CSVVal&lt;&gt;"",_xlpm.CSVVal
)),"")</f>
        <v/>
      </c>
      <c r="L780" s="40" t="str" cm="1">
        <f t="array" ref="L780">IFERROR(_xlfn.LET(
_xlpm.CSVVal,_xlfn.XLOOKUP($A780,CSV!$A:$A,CSV!P:P,""),
_xlpm.MacVal,_xlfn.XLOOKUP($A780,Output_Mac!$A:$A,Output_Mac!L:L,""),
_xlpm.MyAuditVal,_xlfn.XLOOKUP($A780,My_Audit!$A:$A,My_Audit!K:K,""),
_xlfn.IFS(_xlpm.MyAuditVal&lt;&gt;"",UPPER(_xlpm.MyAuditVal),_xlpm.MacVal&lt;&gt;"",_xlpm.MacVal,_xlpm.CSVVal&lt;&gt;"",_xlpm.CSVVal
)),"")</f>
        <v/>
      </c>
      <c r="M780" s="40" t="str" cm="1">
        <f t="array" ref="M780">IFERROR(_xlfn.LET(
_xlpm.CSVVal,_xlfn.XLOOKUP($A780,CSV!$A:$A,CSV!Q:Q,""),
_xlpm.MacVal,_xlfn.XLOOKUP($A780,Output_Mac!$A:$A,Output_Mac!M:M,""),
_xlpm.MyAuditVal,_xlfn.XLOOKUP($A780,My_Audit!$A:$A,My_Audit!L:L,""),
_xlfn.IFS(_xlpm.MyAuditVal&lt;&gt;"",UPPER(_xlpm.MyAuditVal),_xlpm.MacVal&lt;&gt;"",_xlpm.MacVal,_xlpm.CSVVal&lt;&gt;"",_xlpm.CSVVal
)),"")</f>
        <v/>
      </c>
      <c r="N780" s="40"/>
      <c r="O780" s="40" t="str">
        <f>_xlfn.LET(
    _xlpm.CSVVal, _xlfn.XLOOKUP($A780, CSV!$A:$A, CSV!AA:AA, ""),
    _xlpm.MacVal, _xlfn.XLOOKUP($A780, Output_Mac!$A:$A, Output_Mac!S:S, ""),
    _xlpm.MyAuditVal, _xlfn.XLOOKUP($A780, My_Audit!$A:$A, My_Audit!P:P, ""),
    _xlfn.TEXTJOIN(", ", TRUE, _xlpm.MyAuditVal, _xlpm.MacVal, _xlpm.CSVVal)
)</f>
        <v/>
      </c>
      <c r="P780" s="40" t="str" cm="1">
        <f t="array" ref="P780">IFERROR(_xlfn.LET(
_xlpm.CSVVal,_xlfn.XLOOKUP($A780,CSV!$A:$A,CSV!AB:AB,""),
_xlpm.MacVal,_xlfn.XLOOKUP($A780,Output_Mac!$A:$A,Output_Mac!T:T,""),
_xlpm.MyAuditVal,_xlfn.XLOOKUP($A780,My_Audit!$A:$A,My_Audit!Q:Q,""),
_xlfn.IFS(_xlpm.MyAuditVal&lt;&gt;"",UPPER(_xlpm.MyAuditVal),_xlpm.MacVal&lt;&gt;"",_xlpm.MacVal,_xlpm.CSVVal&lt;&gt;"",_xlpm.CSVVal
)),"No")</f>
        <v>No</v>
      </c>
      <c r="Q780" s="40" t="str" cm="1">
        <f t="array" ref="Q780">IFERROR(_xlfn.LET(
_xlpm.CSVVal,_xlfn.XLOOKUP($A780,CSV!$A:$A,CSV!AC:AC,""),
_xlpm.MacVal,_xlfn.XLOOKUP($A780,Output_Mac!$A:$A,Output_Mac!U:U,""),
_xlpm.MyAuditVal,_xlfn.XLOOKUP($A780,My_Audit!$A:$A,My_Audit!R:R,""),
_xlfn.IFS(_xlpm.MyAuditVal&lt;&gt;"",UPPER(_xlpm.MyAuditVal),_xlpm.MacVal&lt;&gt;"",_xlpm.MacVal,_xlpm.CSVVal&lt;&gt;"",_xlpm.CSVVal
)),"")</f>
        <v/>
      </c>
      <c r="R780" s="40"/>
      <c r="S780" s="40"/>
      <c r="T780" s="40"/>
      <c r="U780" s="40"/>
      <c r="V780" s="40"/>
      <c r="W780" s="40"/>
      <c r="X780" s="41" t="str">
        <f>_xlfn.LET(
    _xlpm.MacVal, _xlfn.XLOOKUP($A780, Output_Mac!$A:$A, Output_Mac!AB:AB, ""),
    _xlpm.MyAuditVal, _xlfn.XLOOKUP($A780, My_Audit!$A:$A, My_Audit!N:N, ""),
    _xlfn.TEXTJOIN(", ", TRUE, _xlpm.MyAuditVal, _xlpm.MacVal)
)</f>
        <v/>
      </c>
    </row>
    <row r="781" spans="1:24">
      <c r="A781" s="40" t="str">
        <f>_xlfn.TEXTJOIN("",TRUE,Input!$B$2,ROW(My_Audit!A780))</f>
        <v>X780</v>
      </c>
      <c r="B781" s="40" t="str">
        <f>_xlfn.TEXTJOIN("-",TRUE,"ITD",Input!$A$2,A781)</f>
        <v>ITD-X780</v>
      </c>
      <c r="C781" s="40" t="str" cm="1">
        <f t="array" ref="C781">IFERROR(_xlfn.LET(
_xlpm.CSVVal,_xlfn.XLOOKUP($A781,CSV!$A:$A,CSV!B:B,""),
_xlpm.MacVal,_xlfn.XLOOKUP($A781,Output_Mac!$A:$A,Output_Mac!B:B,""),
_xlpm.MyAuditVal,_xlfn.XLOOKUP($A781,My_Audit!$A:$A,My_Audit!B:B,""),
_xlfn.IFS(_xlpm.MyAuditVal&lt;&gt;"",UPPER(_xlpm.MyAuditVal),_xlpm.MacVal&lt;&gt;"",_xlpm.MacVal,_xlpm.CSVVal&lt;&gt;"",_xlpm.CSVVal
)),"")</f>
        <v/>
      </c>
      <c r="D781" s="40" t="str" cm="1">
        <f t="array" ref="D781">IFERROR(_xlfn.LET(
_xlpm.CSVVal,_xlfn.XLOOKUP($A781,CSV!$A:$A,CSV!D:D,""),
_xlpm.MacVal,_xlfn.XLOOKUP($A781,Output_Mac!$A:$A,Output_Mac!C:C,""),
_xlpm.MyAuditVal,_xlfn.XLOOKUP($A781,My_Audit!$A:$A,My_Audit!C:C,""),
_xlfn.IFS(_xlpm.MyAuditVal&lt;&gt;"",_xlpm.MyAuditVal,_xlpm.MacVal&lt;&gt;"",_xlpm.MacVal,_xlpm.CSVVal&lt;&gt;"",_xlpm.CSVVal
)),"")</f>
        <v/>
      </c>
      <c r="E781" s="40" t="str">
        <f>_xlfn.XLOOKUP(A781,My_Audit!A:A,My_Audit!D:D,"")</f>
        <v/>
      </c>
      <c r="F781" s="40" t="str" cm="1">
        <f t="array" ref="F781">IFERROR(_xlfn.LET(
_xlpm.CSVVal,_xlfn.XLOOKUP($A781,CSV!$A:$A,CSV!F:F,""),
_xlpm.MacVal,_xlfn.XLOOKUP($A781,Output_Mac!$A:$A,Output_Mac!E:E,""),
_xlpm.MyAuditVal,_xlfn.XLOOKUP($A781,My_Audit!$A:$A,My_Audit!E:E,""),
_xlfn.IFS(_xlpm.MyAuditVal&lt;&gt;"",_xlpm.MyAuditVal,_xlpm.MacVal&lt;&gt;"",_xlpm.MacVal,_xlpm.CSVVal&lt;&gt;"",_xlpm.CSVVal
)),"")</f>
        <v/>
      </c>
      <c r="G781" s="40" t="str" cm="1">
        <f t="array" ref="G781">IFERROR(_xlfn.LET(
_xlpm.CSVVal,_xlfn.XLOOKUP($A781,CSV!$A:$A,CSV!G:G,""),
_xlpm.MacVal,_xlfn.XLOOKUP($A781,Output_Mac!$A:$A,Output_Mac!F:F,""),
_xlpm.MyAuditVal,_xlfn.XLOOKUP($A781,My_Audit!$A:$A,My_Audit!F:F,""),
_xlfn.IFS(_xlpm.MyAuditVal&lt;&gt;"",_xlpm.MyAuditVal,_xlpm.MacVal&lt;&gt;"",_xlpm.MacVal,_xlpm.CSVVal&lt;&gt;"",PROPER(_xlpm.CSVVal)
)),"")</f>
        <v/>
      </c>
      <c r="H781" s="40" t="str" cm="1">
        <f t="array" ref="H781">IFERROR(_xlfn.LET(
_xlpm.CSVVal,_xlfn.XLOOKUP($A781,CSV!$A:$A,CSV!H:H,""),
_xlpm.MacVal,_xlfn.XLOOKUP($A781,Output_Mac!$A:$A,Output_Mac!H:H,""),
_xlpm.MyAuditVal,_xlfn.XLOOKUP($A781,My_Audit!$A:$A,My_Audit!G:G,""),
_xlfn.IFS(_xlpm.MyAuditVal&lt;&gt;"",_xlpm.MyAuditVal,_xlpm.MacVal&lt;&gt;"",_xlpm.MacVal,_xlpm.CSVVal&lt;&gt;"",_xlpm.CSVVal
)),"")</f>
        <v/>
      </c>
      <c r="I781" s="40" t="str">
        <f>_xlfn.XLOOKUP(A781,Output_Mac!A:A,Output_Mac!I:I,"")</f>
        <v/>
      </c>
      <c r="J781" s="40" t="str" cm="1">
        <f t="array" ref="J781">IFERROR(_xlfn.LET(
_xlpm.CSVVal,_xlfn.XLOOKUP($A781,CSV!$A:$A,CSV!I:I,""),
_xlpm.MacVal,_xlfn.XLOOKUP($A781,Output_Mac!$A:$A,Output_Mac!J:J,""),
_xlpm.MyAuditVal,_xlfn.XLOOKUP($A781,My_Audit!$A:$A,My_Audit!I:I,""),
_xlfn.IFS(_xlpm.MyAuditVal&lt;&gt;"",UPPER(_xlpm.MyAuditVal),_xlpm.MacVal&lt;&gt;"",_xlpm.MacVal,_xlpm.CSVVal&lt;&gt;"",_xlpm.CSVVal
)),"")</f>
        <v/>
      </c>
      <c r="K781" s="40" t="str" cm="1">
        <f t="array" ref="K781">IFERROR(_xlfn.LET(
_xlpm.CSVVal,_xlfn.XLOOKUP($A781,CSV!$A:$A,CSV!K:K,""),
_xlpm.MacVal,_xlfn.XLOOKUP($A781,Output_Mac!$A:$A,Output_Mac!K:K,""),
_xlpm.MyAuditVal,_xlfn.XLOOKUP($A781,My_Audit!$A:$A,My_Audit!J:J,""),
_xlfn.IFS(_xlpm.MyAuditVal&lt;&gt;"",UPPER(_xlpm.MyAuditVal),_xlpm.MacVal&lt;&gt;"",_xlpm.MacVal,_xlpm.CSVVal&lt;&gt;"",_xlpm.CSVVal
)),"")</f>
        <v/>
      </c>
      <c r="L781" s="40" t="str" cm="1">
        <f t="array" ref="L781">IFERROR(_xlfn.LET(
_xlpm.CSVVal,_xlfn.XLOOKUP($A781,CSV!$A:$A,CSV!P:P,""),
_xlpm.MacVal,_xlfn.XLOOKUP($A781,Output_Mac!$A:$A,Output_Mac!L:L,""),
_xlpm.MyAuditVal,_xlfn.XLOOKUP($A781,My_Audit!$A:$A,My_Audit!K:K,""),
_xlfn.IFS(_xlpm.MyAuditVal&lt;&gt;"",UPPER(_xlpm.MyAuditVal),_xlpm.MacVal&lt;&gt;"",_xlpm.MacVal,_xlpm.CSVVal&lt;&gt;"",_xlpm.CSVVal
)),"")</f>
        <v/>
      </c>
      <c r="M781" s="40" t="str" cm="1">
        <f t="array" ref="M781">IFERROR(_xlfn.LET(
_xlpm.CSVVal,_xlfn.XLOOKUP($A781,CSV!$A:$A,CSV!Q:Q,""),
_xlpm.MacVal,_xlfn.XLOOKUP($A781,Output_Mac!$A:$A,Output_Mac!M:M,""),
_xlpm.MyAuditVal,_xlfn.XLOOKUP($A781,My_Audit!$A:$A,My_Audit!L:L,""),
_xlfn.IFS(_xlpm.MyAuditVal&lt;&gt;"",UPPER(_xlpm.MyAuditVal),_xlpm.MacVal&lt;&gt;"",_xlpm.MacVal,_xlpm.CSVVal&lt;&gt;"",_xlpm.CSVVal
)),"")</f>
        <v/>
      </c>
      <c r="N781" s="40"/>
      <c r="O781" s="40" t="str">
        <f>_xlfn.LET(
    _xlpm.CSVVal, _xlfn.XLOOKUP($A781, CSV!$A:$A, CSV!AA:AA, ""),
    _xlpm.MacVal, _xlfn.XLOOKUP($A781, Output_Mac!$A:$A, Output_Mac!S:S, ""),
    _xlpm.MyAuditVal, _xlfn.XLOOKUP($A781, My_Audit!$A:$A, My_Audit!P:P, ""),
    _xlfn.TEXTJOIN(", ", TRUE, _xlpm.MyAuditVal, _xlpm.MacVal, _xlpm.CSVVal)
)</f>
        <v/>
      </c>
      <c r="P781" s="40" t="str" cm="1">
        <f t="array" ref="P781">IFERROR(_xlfn.LET(
_xlpm.CSVVal,_xlfn.XLOOKUP($A781,CSV!$A:$A,CSV!AB:AB,""),
_xlpm.MacVal,_xlfn.XLOOKUP($A781,Output_Mac!$A:$A,Output_Mac!T:T,""),
_xlpm.MyAuditVal,_xlfn.XLOOKUP($A781,My_Audit!$A:$A,My_Audit!Q:Q,""),
_xlfn.IFS(_xlpm.MyAuditVal&lt;&gt;"",UPPER(_xlpm.MyAuditVal),_xlpm.MacVal&lt;&gt;"",_xlpm.MacVal,_xlpm.CSVVal&lt;&gt;"",_xlpm.CSVVal
)),"No")</f>
        <v>No</v>
      </c>
      <c r="Q781" s="40" t="str" cm="1">
        <f t="array" ref="Q781">IFERROR(_xlfn.LET(
_xlpm.CSVVal,_xlfn.XLOOKUP($A781,CSV!$A:$A,CSV!AC:AC,""),
_xlpm.MacVal,_xlfn.XLOOKUP($A781,Output_Mac!$A:$A,Output_Mac!U:U,""),
_xlpm.MyAuditVal,_xlfn.XLOOKUP($A781,My_Audit!$A:$A,My_Audit!R:R,""),
_xlfn.IFS(_xlpm.MyAuditVal&lt;&gt;"",UPPER(_xlpm.MyAuditVal),_xlpm.MacVal&lt;&gt;"",_xlpm.MacVal,_xlpm.CSVVal&lt;&gt;"",_xlpm.CSVVal
)),"")</f>
        <v/>
      </c>
      <c r="R781" s="40"/>
      <c r="S781" s="40"/>
      <c r="T781" s="40"/>
      <c r="U781" s="40"/>
      <c r="V781" s="40"/>
      <c r="W781" s="40"/>
      <c r="X781" s="41" t="str">
        <f>_xlfn.LET(
    _xlpm.MacVal, _xlfn.XLOOKUP($A781, Output_Mac!$A:$A, Output_Mac!AB:AB, ""),
    _xlpm.MyAuditVal, _xlfn.XLOOKUP($A781, My_Audit!$A:$A, My_Audit!N:N, ""),
    _xlfn.TEXTJOIN(", ", TRUE, _xlpm.MyAuditVal, _xlpm.MacVal)
)</f>
        <v/>
      </c>
    </row>
    <row r="782" spans="1:24">
      <c r="A782" s="40" t="str">
        <f>_xlfn.TEXTJOIN("",TRUE,Input!$B$2,ROW(My_Audit!A781))</f>
        <v>X781</v>
      </c>
      <c r="B782" s="40" t="str">
        <f>_xlfn.TEXTJOIN("-",TRUE,"ITD",Input!$A$2,A782)</f>
        <v>ITD-X781</v>
      </c>
      <c r="C782" s="40" t="str" cm="1">
        <f t="array" ref="C782">IFERROR(_xlfn.LET(
_xlpm.CSVVal,_xlfn.XLOOKUP($A782,CSV!$A:$A,CSV!B:B,""),
_xlpm.MacVal,_xlfn.XLOOKUP($A782,Output_Mac!$A:$A,Output_Mac!B:B,""),
_xlpm.MyAuditVal,_xlfn.XLOOKUP($A782,My_Audit!$A:$A,My_Audit!B:B,""),
_xlfn.IFS(_xlpm.MyAuditVal&lt;&gt;"",UPPER(_xlpm.MyAuditVal),_xlpm.MacVal&lt;&gt;"",_xlpm.MacVal,_xlpm.CSVVal&lt;&gt;"",_xlpm.CSVVal
)),"")</f>
        <v/>
      </c>
      <c r="D782" s="40" t="str" cm="1">
        <f t="array" ref="D782">IFERROR(_xlfn.LET(
_xlpm.CSVVal,_xlfn.XLOOKUP($A782,CSV!$A:$A,CSV!D:D,""),
_xlpm.MacVal,_xlfn.XLOOKUP($A782,Output_Mac!$A:$A,Output_Mac!C:C,""),
_xlpm.MyAuditVal,_xlfn.XLOOKUP($A782,My_Audit!$A:$A,My_Audit!C:C,""),
_xlfn.IFS(_xlpm.MyAuditVal&lt;&gt;"",_xlpm.MyAuditVal,_xlpm.MacVal&lt;&gt;"",_xlpm.MacVal,_xlpm.CSVVal&lt;&gt;"",_xlpm.CSVVal
)),"")</f>
        <v/>
      </c>
      <c r="E782" s="40" t="str">
        <f>_xlfn.XLOOKUP(A782,My_Audit!A:A,My_Audit!D:D,"")</f>
        <v/>
      </c>
      <c r="F782" s="40" t="str" cm="1">
        <f t="array" ref="F782">IFERROR(_xlfn.LET(
_xlpm.CSVVal,_xlfn.XLOOKUP($A782,CSV!$A:$A,CSV!F:F,""),
_xlpm.MacVal,_xlfn.XLOOKUP($A782,Output_Mac!$A:$A,Output_Mac!E:E,""),
_xlpm.MyAuditVal,_xlfn.XLOOKUP($A782,My_Audit!$A:$A,My_Audit!E:E,""),
_xlfn.IFS(_xlpm.MyAuditVal&lt;&gt;"",_xlpm.MyAuditVal,_xlpm.MacVal&lt;&gt;"",_xlpm.MacVal,_xlpm.CSVVal&lt;&gt;"",_xlpm.CSVVal
)),"")</f>
        <v/>
      </c>
      <c r="G782" s="40" t="str" cm="1">
        <f t="array" ref="G782">IFERROR(_xlfn.LET(
_xlpm.CSVVal,_xlfn.XLOOKUP($A782,CSV!$A:$A,CSV!G:G,""),
_xlpm.MacVal,_xlfn.XLOOKUP($A782,Output_Mac!$A:$A,Output_Mac!F:F,""),
_xlpm.MyAuditVal,_xlfn.XLOOKUP($A782,My_Audit!$A:$A,My_Audit!F:F,""),
_xlfn.IFS(_xlpm.MyAuditVal&lt;&gt;"",_xlpm.MyAuditVal,_xlpm.MacVal&lt;&gt;"",_xlpm.MacVal,_xlpm.CSVVal&lt;&gt;"",PROPER(_xlpm.CSVVal)
)),"")</f>
        <v/>
      </c>
      <c r="H782" s="40" t="str" cm="1">
        <f t="array" ref="H782">IFERROR(_xlfn.LET(
_xlpm.CSVVal,_xlfn.XLOOKUP($A782,CSV!$A:$A,CSV!H:H,""),
_xlpm.MacVal,_xlfn.XLOOKUP($A782,Output_Mac!$A:$A,Output_Mac!H:H,""),
_xlpm.MyAuditVal,_xlfn.XLOOKUP($A782,My_Audit!$A:$A,My_Audit!G:G,""),
_xlfn.IFS(_xlpm.MyAuditVal&lt;&gt;"",_xlpm.MyAuditVal,_xlpm.MacVal&lt;&gt;"",_xlpm.MacVal,_xlpm.CSVVal&lt;&gt;"",_xlpm.CSVVal
)),"")</f>
        <v/>
      </c>
      <c r="I782" s="40" t="str">
        <f>_xlfn.XLOOKUP(A782,Output_Mac!A:A,Output_Mac!I:I,"")</f>
        <v/>
      </c>
      <c r="J782" s="40" t="str" cm="1">
        <f t="array" ref="J782">IFERROR(_xlfn.LET(
_xlpm.CSVVal,_xlfn.XLOOKUP($A782,CSV!$A:$A,CSV!I:I,""),
_xlpm.MacVal,_xlfn.XLOOKUP($A782,Output_Mac!$A:$A,Output_Mac!J:J,""),
_xlpm.MyAuditVal,_xlfn.XLOOKUP($A782,My_Audit!$A:$A,My_Audit!I:I,""),
_xlfn.IFS(_xlpm.MyAuditVal&lt;&gt;"",UPPER(_xlpm.MyAuditVal),_xlpm.MacVal&lt;&gt;"",_xlpm.MacVal,_xlpm.CSVVal&lt;&gt;"",_xlpm.CSVVal
)),"")</f>
        <v/>
      </c>
      <c r="K782" s="40" t="str" cm="1">
        <f t="array" ref="K782">IFERROR(_xlfn.LET(
_xlpm.CSVVal,_xlfn.XLOOKUP($A782,CSV!$A:$A,CSV!K:K,""),
_xlpm.MacVal,_xlfn.XLOOKUP($A782,Output_Mac!$A:$A,Output_Mac!K:K,""),
_xlpm.MyAuditVal,_xlfn.XLOOKUP($A782,My_Audit!$A:$A,My_Audit!J:J,""),
_xlfn.IFS(_xlpm.MyAuditVal&lt;&gt;"",UPPER(_xlpm.MyAuditVal),_xlpm.MacVal&lt;&gt;"",_xlpm.MacVal,_xlpm.CSVVal&lt;&gt;"",_xlpm.CSVVal
)),"")</f>
        <v/>
      </c>
      <c r="L782" s="40" t="str" cm="1">
        <f t="array" ref="L782">IFERROR(_xlfn.LET(
_xlpm.CSVVal,_xlfn.XLOOKUP($A782,CSV!$A:$A,CSV!P:P,""),
_xlpm.MacVal,_xlfn.XLOOKUP($A782,Output_Mac!$A:$A,Output_Mac!L:L,""),
_xlpm.MyAuditVal,_xlfn.XLOOKUP($A782,My_Audit!$A:$A,My_Audit!K:K,""),
_xlfn.IFS(_xlpm.MyAuditVal&lt;&gt;"",UPPER(_xlpm.MyAuditVal),_xlpm.MacVal&lt;&gt;"",_xlpm.MacVal,_xlpm.CSVVal&lt;&gt;"",_xlpm.CSVVal
)),"")</f>
        <v/>
      </c>
      <c r="M782" s="40" t="str" cm="1">
        <f t="array" ref="M782">IFERROR(_xlfn.LET(
_xlpm.CSVVal,_xlfn.XLOOKUP($A782,CSV!$A:$A,CSV!Q:Q,""),
_xlpm.MacVal,_xlfn.XLOOKUP($A782,Output_Mac!$A:$A,Output_Mac!M:M,""),
_xlpm.MyAuditVal,_xlfn.XLOOKUP($A782,My_Audit!$A:$A,My_Audit!L:L,""),
_xlfn.IFS(_xlpm.MyAuditVal&lt;&gt;"",UPPER(_xlpm.MyAuditVal),_xlpm.MacVal&lt;&gt;"",_xlpm.MacVal,_xlpm.CSVVal&lt;&gt;"",_xlpm.CSVVal
)),"")</f>
        <v/>
      </c>
      <c r="N782" s="40"/>
      <c r="O782" s="40" t="str">
        <f>_xlfn.LET(
    _xlpm.CSVVal, _xlfn.XLOOKUP($A782, CSV!$A:$A, CSV!AA:AA, ""),
    _xlpm.MacVal, _xlfn.XLOOKUP($A782, Output_Mac!$A:$A, Output_Mac!S:S, ""),
    _xlpm.MyAuditVal, _xlfn.XLOOKUP($A782, My_Audit!$A:$A, My_Audit!P:P, ""),
    _xlfn.TEXTJOIN(", ", TRUE, _xlpm.MyAuditVal, _xlpm.MacVal, _xlpm.CSVVal)
)</f>
        <v/>
      </c>
      <c r="P782" s="40" t="str" cm="1">
        <f t="array" ref="P782">IFERROR(_xlfn.LET(
_xlpm.CSVVal,_xlfn.XLOOKUP($A782,CSV!$A:$A,CSV!AB:AB,""),
_xlpm.MacVal,_xlfn.XLOOKUP($A782,Output_Mac!$A:$A,Output_Mac!T:T,""),
_xlpm.MyAuditVal,_xlfn.XLOOKUP($A782,My_Audit!$A:$A,My_Audit!Q:Q,""),
_xlfn.IFS(_xlpm.MyAuditVal&lt;&gt;"",UPPER(_xlpm.MyAuditVal),_xlpm.MacVal&lt;&gt;"",_xlpm.MacVal,_xlpm.CSVVal&lt;&gt;"",_xlpm.CSVVal
)),"No")</f>
        <v>No</v>
      </c>
      <c r="Q782" s="40" t="str" cm="1">
        <f t="array" ref="Q782">IFERROR(_xlfn.LET(
_xlpm.CSVVal,_xlfn.XLOOKUP($A782,CSV!$A:$A,CSV!AC:AC,""),
_xlpm.MacVal,_xlfn.XLOOKUP($A782,Output_Mac!$A:$A,Output_Mac!U:U,""),
_xlpm.MyAuditVal,_xlfn.XLOOKUP($A782,My_Audit!$A:$A,My_Audit!R:R,""),
_xlfn.IFS(_xlpm.MyAuditVal&lt;&gt;"",UPPER(_xlpm.MyAuditVal),_xlpm.MacVal&lt;&gt;"",_xlpm.MacVal,_xlpm.CSVVal&lt;&gt;"",_xlpm.CSVVal
)),"")</f>
        <v/>
      </c>
      <c r="R782" s="40"/>
      <c r="S782" s="40"/>
      <c r="T782" s="40"/>
      <c r="U782" s="40"/>
      <c r="V782" s="40"/>
      <c r="W782" s="40"/>
      <c r="X782" s="41" t="str">
        <f>_xlfn.LET(
    _xlpm.MacVal, _xlfn.XLOOKUP($A782, Output_Mac!$A:$A, Output_Mac!AB:AB, ""),
    _xlpm.MyAuditVal, _xlfn.XLOOKUP($A782, My_Audit!$A:$A, My_Audit!N:N, ""),
    _xlfn.TEXTJOIN(", ", TRUE, _xlpm.MyAuditVal, _xlpm.MacVal)
)</f>
        <v/>
      </c>
    </row>
    <row r="783" spans="1:24">
      <c r="A783" s="40" t="str">
        <f>_xlfn.TEXTJOIN("",TRUE,Input!$B$2,ROW(My_Audit!A782))</f>
        <v>X782</v>
      </c>
      <c r="B783" s="40" t="str">
        <f>_xlfn.TEXTJOIN("-",TRUE,"ITD",Input!$A$2,A783)</f>
        <v>ITD-X782</v>
      </c>
      <c r="C783" s="40" t="str" cm="1">
        <f t="array" ref="C783">IFERROR(_xlfn.LET(
_xlpm.CSVVal,_xlfn.XLOOKUP($A783,CSV!$A:$A,CSV!B:B,""),
_xlpm.MacVal,_xlfn.XLOOKUP($A783,Output_Mac!$A:$A,Output_Mac!B:B,""),
_xlpm.MyAuditVal,_xlfn.XLOOKUP($A783,My_Audit!$A:$A,My_Audit!B:B,""),
_xlfn.IFS(_xlpm.MyAuditVal&lt;&gt;"",UPPER(_xlpm.MyAuditVal),_xlpm.MacVal&lt;&gt;"",_xlpm.MacVal,_xlpm.CSVVal&lt;&gt;"",_xlpm.CSVVal
)),"")</f>
        <v/>
      </c>
      <c r="D783" s="40" t="str" cm="1">
        <f t="array" ref="D783">IFERROR(_xlfn.LET(
_xlpm.CSVVal,_xlfn.XLOOKUP($A783,CSV!$A:$A,CSV!D:D,""),
_xlpm.MacVal,_xlfn.XLOOKUP($A783,Output_Mac!$A:$A,Output_Mac!C:C,""),
_xlpm.MyAuditVal,_xlfn.XLOOKUP($A783,My_Audit!$A:$A,My_Audit!C:C,""),
_xlfn.IFS(_xlpm.MyAuditVal&lt;&gt;"",_xlpm.MyAuditVal,_xlpm.MacVal&lt;&gt;"",_xlpm.MacVal,_xlpm.CSVVal&lt;&gt;"",_xlpm.CSVVal
)),"")</f>
        <v/>
      </c>
      <c r="E783" s="40" t="str">
        <f>_xlfn.XLOOKUP(A783,My_Audit!A:A,My_Audit!D:D,"")</f>
        <v/>
      </c>
      <c r="F783" s="40" t="str" cm="1">
        <f t="array" ref="F783">IFERROR(_xlfn.LET(
_xlpm.CSVVal,_xlfn.XLOOKUP($A783,CSV!$A:$A,CSV!F:F,""),
_xlpm.MacVal,_xlfn.XLOOKUP($A783,Output_Mac!$A:$A,Output_Mac!E:E,""),
_xlpm.MyAuditVal,_xlfn.XLOOKUP($A783,My_Audit!$A:$A,My_Audit!E:E,""),
_xlfn.IFS(_xlpm.MyAuditVal&lt;&gt;"",_xlpm.MyAuditVal,_xlpm.MacVal&lt;&gt;"",_xlpm.MacVal,_xlpm.CSVVal&lt;&gt;"",_xlpm.CSVVal
)),"")</f>
        <v/>
      </c>
      <c r="G783" s="40" t="str" cm="1">
        <f t="array" ref="G783">IFERROR(_xlfn.LET(
_xlpm.CSVVal,_xlfn.XLOOKUP($A783,CSV!$A:$A,CSV!G:G,""),
_xlpm.MacVal,_xlfn.XLOOKUP($A783,Output_Mac!$A:$A,Output_Mac!F:F,""),
_xlpm.MyAuditVal,_xlfn.XLOOKUP($A783,My_Audit!$A:$A,My_Audit!F:F,""),
_xlfn.IFS(_xlpm.MyAuditVal&lt;&gt;"",_xlpm.MyAuditVal,_xlpm.MacVal&lt;&gt;"",_xlpm.MacVal,_xlpm.CSVVal&lt;&gt;"",PROPER(_xlpm.CSVVal)
)),"")</f>
        <v/>
      </c>
      <c r="H783" s="40" t="str" cm="1">
        <f t="array" ref="H783">IFERROR(_xlfn.LET(
_xlpm.CSVVal,_xlfn.XLOOKUP($A783,CSV!$A:$A,CSV!H:H,""),
_xlpm.MacVal,_xlfn.XLOOKUP($A783,Output_Mac!$A:$A,Output_Mac!H:H,""),
_xlpm.MyAuditVal,_xlfn.XLOOKUP($A783,My_Audit!$A:$A,My_Audit!G:G,""),
_xlfn.IFS(_xlpm.MyAuditVal&lt;&gt;"",_xlpm.MyAuditVal,_xlpm.MacVal&lt;&gt;"",_xlpm.MacVal,_xlpm.CSVVal&lt;&gt;"",_xlpm.CSVVal
)),"")</f>
        <v/>
      </c>
      <c r="I783" s="40" t="str">
        <f>_xlfn.XLOOKUP(A783,Output_Mac!A:A,Output_Mac!I:I,"")</f>
        <v/>
      </c>
      <c r="J783" s="40" t="str" cm="1">
        <f t="array" ref="J783">IFERROR(_xlfn.LET(
_xlpm.CSVVal,_xlfn.XLOOKUP($A783,CSV!$A:$A,CSV!I:I,""),
_xlpm.MacVal,_xlfn.XLOOKUP($A783,Output_Mac!$A:$A,Output_Mac!J:J,""),
_xlpm.MyAuditVal,_xlfn.XLOOKUP($A783,My_Audit!$A:$A,My_Audit!I:I,""),
_xlfn.IFS(_xlpm.MyAuditVal&lt;&gt;"",UPPER(_xlpm.MyAuditVal),_xlpm.MacVal&lt;&gt;"",_xlpm.MacVal,_xlpm.CSVVal&lt;&gt;"",_xlpm.CSVVal
)),"")</f>
        <v/>
      </c>
      <c r="K783" s="40" t="str" cm="1">
        <f t="array" ref="K783">IFERROR(_xlfn.LET(
_xlpm.CSVVal,_xlfn.XLOOKUP($A783,CSV!$A:$A,CSV!K:K,""),
_xlpm.MacVal,_xlfn.XLOOKUP($A783,Output_Mac!$A:$A,Output_Mac!K:K,""),
_xlpm.MyAuditVal,_xlfn.XLOOKUP($A783,My_Audit!$A:$A,My_Audit!J:J,""),
_xlfn.IFS(_xlpm.MyAuditVal&lt;&gt;"",UPPER(_xlpm.MyAuditVal),_xlpm.MacVal&lt;&gt;"",_xlpm.MacVal,_xlpm.CSVVal&lt;&gt;"",_xlpm.CSVVal
)),"")</f>
        <v/>
      </c>
      <c r="L783" s="40" t="str" cm="1">
        <f t="array" ref="L783">IFERROR(_xlfn.LET(
_xlpm.CSVVal,_xlfn.XLOOKUP($A783,CSV!$A:$A,CSV!P:P,""),
_xlpm.MacVal,_xlfn.XLOOKUP($A783,Output_Mac!$A:$A,Output_Mac!L:L,""),
_xlpm.MyAuditVal,_xlfn.XLOOKUP($A783,My_Audit!$A:$A,My_Audit!K:K,""),
_xlfn.IFS(_xlpm.MyAuditVal&lt;&gt;"",UPPER(_xlpm.MyAuditVal),_xlpm.MacVal&lt;&gt;"",_xlpm.MacVal,_xlpm.CSVVal&lt;&gt;"",_xlpm.CSVVal
)),"")</f>
        <v/>
      </c>
      <c r="M783" s="40" t="str" cm="1">
        <f t="array" ref="M783">IFERROR(_xlfn.LET(
_xlpm.CSVVal,_xlfn.XLOOKUP($A783,CSV!$A:$A,CSV!Q:Q,""),
_xlpm.MacVal,_xlfn.XLOOKUP($A783,Output_Mac!$A:$A,Output_Mac!M:M,""),
_xlpm.MyAuditVal,_xlfn.XLOOKUP($A783,My_Audit!$A:$A,My_Audit!L:L,""),
_xlfn.IFS(_xlpm.MyAuditVal&lt;&gt;"",UPPER(_xlpm.MyAuditVal),_xlpm.MacVal&lt;&gt;"",_xlpm.MacVal,_xlpm.CSVVal&lt;&gt;"",_xlpm.CSVVal
)),"")</f>
        <v/>
      </c>
      <c r="N783" s="40"/>
      <c r="O783" s="40" t="str">
        <f>_xlfn.LET(
    _xlpm.CSVVal, _xlfn.XLOOKUP($A783, CSV!$A:$A, CSV!AA:AA, ""),
    _xlpm.MacVal, _xlfn.XLOOKUP($A783, Output_Mac!$A:$A, Output_Mac!S:S, ""),
    _xlpm.MyAuditVal, _xlfn.XLOOKUP($A783, My_Audit!$A:$A, My_Audit!P:P, ""),
    _xlfn.TEXTJOIN(", ", TRUE, _xlpm.MyAuditVal, _xlpm.MacVal, _xlpm.CSVVal)
)</f>
        <v/>
      </c>
      <c r="P783" s="40" t="str" cm="1">
        <f t="array" ref="P783">IFERROR(_xlfn.LET(
_xlpm.CSVVal,_xlfn.XLOOKUP($A783,CSV!$A:$A,CSV!AB:AB,""),
_xlpm.MacVal,_xlfn.XLOOKUP($A783,Output_Mac!$A:$A,Output_Mac!T:T,""),
_xlpm.MyAuditVal,_xlfn.XLOOKUP($A783,My_Audit!$A:$A,My_Audit!Q:Q,""),
_xlfn.IFS(_xlpm.MyAuditVal&lt;&gt;"",UPPER(_xlpm.MyAuditVal),_xlpm.MacVal&lt;&gt;"",_xlpm.MacVal,_xlpm.CSVVal&lt;&gt;"",_xlpm.CSVVal
)),"No")</f>
        <v>No</v>
      </c>
      <c r="Q783" s="40" t="str" cm="1">
        <f t="array" ref="Q783">IFERROR(_xlfn.LET(
_xlpm.CSVVal,_xlfn.XLOOKUP($A783,CSV!$A:$A,CSV!AC:AC,""),
_xlpm.MacVal,_xlfn.XLOOKUP($A783,Output_Mac!$A:$A,Output_Mac!U:U,""),
_xlpm.MyAuditVal,_xlfn.XLOOKUP($A783,My_Audit!$A:$A,My_Audit!R:R,""),
_xlfn.IFS(_xlpm.MyAuditVal&lt;&gt;"",UPPER(_xlpm.MyAuditVal),_xlpm.MacVal&lt;&gt;"",_xlpm.MacVal,_xlpm.CSVVal&lt;&gt;"",_xlpm.CSVVal
)),"")</f>
        <v/>
      </c>
      <c r="R783" s="40"/>
      <c r="S783" s="40"/>
      <c r="T783" s="40"/>
      <c r="U783" s="40"/>
      <c r="V783" s="40"/>
      <c r="W783" s="40"/>
      <c r="X783" s="41" t="str">
        <f>_xlfn.LET(
    _xlpm.MacVal, _xlfn.XLOOKUP($A783, Output_Mac!$A:$A, Output_Mac!AB:AB, ""),
    _xlpm.MyAuditVal, _xlfn.XLOOKUP($A783, My_Audit!$A:$A, My_Audit!N:N, ""),
    _xlfn.TEXTJOIN(", ", TRUE, _xlpm.MyAuditVal, _xlpm.MacVal)
)</f>
        <v/>
      </c>
    </row>
    <row r="784" spans="1:24">
      <c r="A784" s="40" t="str">
        <f>_xlfn.TEXTJOIN("",TRUE,Input!$B$2,ROW(My_Audit!A783))</f>
        <v>X783</v>
      </c>
      <c r="B784" s="40" t="str">
        <f>_xlfn.TEXTJOIN("-",TRUE,"ITD",Input!$A$2,A784)</f>
        <v>ITD-X783</v>
      </c>
      <c r="C784" s="40" t="str" cm="1">
        <f t="array" ref="C784">IFERROR(_xlfn.LET(
_xlpm.CSVVal,_xlfn.XLOOKUP($A784,CSV!$A:$A,CSV!B:B,""),
_xlpm.MacVal,_xlfn.XLOOKUP($A784,Output_Mac!$A:$A,Output_Mac!B:B,""),
_xlpm.MyAuditVal,_xlfn.XLOOKUP($A784,My_Audit!$A:$A,My_Audit!B:B,""),
_xlfn.IFS(_xlpm.MyAuditVal&lt;&gt;"",UPPER(_xlpm.MyAuditVal),_xlpm.MacVal&lt;&gt;"",_xlpm.MacVal,_xlpm.CSVVal&lt;&gt;"",_xlpm.CSVVal
)),"")</f>
        <v/>
      </c>
      <c r="D784" s="40" t="str" cm="1">
        <f t="array" ref="D784">IFERROR(_xlfn.LET(
_xlpm.CSVVal,_xlfn.XLOOKUP($A784,CSV!$A:$A,CSV!D:D,""),
_xlpm.MacVal,_xlfn.XLOOKUP($A784,Output_Mac!$A:$A,Output_Mac!C:C,""),
_xlpm.MyAuditVal,_xlfn.XLOOKUP($A784,My_Audit!$A:$A,My_Audit!C:C,""),
_xlfn.IFS(_xlpm.MyAuditVal&lt;&gt;"",_xlpm.MyAuditVal,_xlpm.MacVal&lt;&gt;"",_xlpm.MacVal,_xlpm.CSVVal&lt;&gt;"",_xlpm.CSVVal
)),"")</f>
        <v/>
      </c>
      <c r="E784" s="40" t="str">
        <f>_xlfn.XLOOKUP(A784,My_Audit!A:A,My_Audit!D:D,"")</f>
        <v/>
      </c>
      <c r="F784" s="40" t="str" cm="1">
        <f t="array" ref="F784">IFERROR(_xlfn.LET(
_xlpm.CSVVal,_xlfn.XLOOKUP($A784,CSV!$A:$A,CSV!F:F,""),
_xlpm.MacVal,_xlfn.XLOOKUP($A784,Output_Mac!$A:$A,Output_Mac!E:E,""),
_xlpm.MyAuditVal,_xlfn.XLOOKUP($A784,My_Audit!$A:$A,My_Audit!E:E,""),
_xlfn.IFS(_xlpm.MyAuditVal&lt;&gt;"",_xlpm.MyAuditVal,_xlpm.MacVal&lt;&gt;"",_xlpm.MacVal,_xlpm.CSVVal&lt;&gt;"",_xlpm.CSVVal
)),"")</f>
        <v/>
      </c>
      <c r="G784" s="40" t="str" cm="1">
        <f t="array" ref="G784">IFERROR(_xlfn.LET(
_xlpm.CSVVal,_xlfn.XLOOKUP($A784,CSV!$A:$A,CSV!G:G,""),
_xlpm.MacVal,_xlfn.XLOOKUP($A784,Output_Mac!$A:$A,Output_Mac!F:F,""),
_xlpm.MyAuditVal,_xlfn.XLOOKUP($A784,My_Audit!$A:$A,My_Audit!F:F,""),
_xlfn.IFS(_xlpm.MyAuditVal&lt;&gt;"",_xlpm.MyAuditVal,_xlpm.MacVal&lt;&gt;"",_xlpm.MacVal,_xlpm.CSVVal&lt;&gt;"",PROPER(_xlpm.CSVVal)
)),"")</f>
        <v/>
      </c>
      <c r="H784" s="40" t="str" cm="1">
        <f t="array" ref="H784">IFERROR(_xlfn.LET(
_xlpm.CSVVal,_xlfn.XLOOKUP($A784,CSV!$A:$A,CSV!H:H,""),
_xlpm.MacVal,_xlfn.XLOOKUP($A784,Output_Mac!$A:$A,Output_Mac!H:H,""),
_xlpm.MyAuditVal,_xlfn.XLOOKUP($A784,My_Audit!$A:$A,My_Audit!G:G,""),
_xlfn.IFS(_xlpm.MyAuditVal&lt;&gt;"",_xlpm.MyAuditVal,_xlpm.MacVal&lt;&gt;"",_xlpm.MacVal,_xlpm.CSVVal&lt;&gt;"",_xlpm.CSVVal
)),"")</f>
        <v/>
      </c>
      <c r="I784" s="40" t="str">
        <f>_xlfn.XLOOKUP(A784,Output_Mac!A:A,Output_Mac!I:I,"")</f>
        <v/>
      </c>
      <c r="J784" s="40" t="str" cm="1">
        <f t="array" ref="J784">IFERROR(_xlfn.LET(
_xlpm.CSVVal,_xlfn.XLOOKUP($A784,CSV!$A:$A,CSV!I:I,""),
_xlpm.MacVal,_xlfn.XLOOKUP($A784,Output_Mac!$A:$A,Output_Mac!J:J,""),
_xlpm.MyAuditVal,_xlfn.XLOOKUP($A784,My_Audit!$A:$A,My_Audit!I:I,""),
_xlfn.IFS(_xlpm.MyAuditVal&lt;&gt;"",UPPER(_xlpm.MyAuditVal),_xlpm.MacVal&lt;&gt;"",_xlpm.MacVal,_xlpm.CSVVal&lt;&gt;"",_xlpm.CSVVal
)),"")</f>
        <v/>
      </c>
      <c r="K784" s="40" t="str" cm="1">
        <f t="array" ref="K784">IFERROR(_xlfn.LET(
_xlpm.CSVVal,_xlfn.XLOOKUP($A784,CSV!$A:$A,CSV!K:K,""),
_xlpm.MacVal,_xlfn.XLOOKUP($A784,Output_Mac!$A:$A,Output_Mac!K:K,""),
_xlpm.MyAuditVal,_xlfn.XLOOKUP($A784,My_Audit!$A:$A,My_Audit!J:J,""),
_xlfn.IFS(_xlpm.MyAuditVal&lt;&gt;"",UPPER(_xlpm.MyAuditVal),_xlpm.MacVal&lt;&gt;"",_xlpm.MacVal,_xlpm.CSVVal&lt;&gt;"",_xlpm.CSVVal
)),"")</f>
        <v/>
      </c>
      <c r="L784" s="40" t="str" cm="1">
        <f t="array" ref="L784">IFERROR(_xlfn.LET(
_xlpm.CSVVal,_xlfn.XLOOKUP($A784,CSV!$A:$A,CSV!P:P,""),
_xlpm.MacVal,_xlfn.XLOOKUP($A784,Output_Mac!$A:$A,Output_Mac!L:L,""),
_xlpm.MyAuditVal,_xlfn.XLOOKUP($A784,My_Audit!$A:$A,My_Audit!K:K,""),
_xlfn.IFS(_xlpm.MyAuditVal&lt;&gt;"",UPPER(_xlpm.MyAuditVal),_xlpm.MacVal&lt;&gt;"",_xlpm.MacVal,_xlpm.CSVVal&lt;&gt;"",_xlpm.CSVVal
)),"")</f>
        <v/>
      </c>
      <c r="M784" s="40" t="str" cm="1">
        <f t="array" ref="M784">IFERROR(_xlfn.LET(
_xlpm.CSVVal,_xlfn.XLOOKUP($A784,CSV!$A:$A,CSV!Q:Q,""),
_xlpm.MacVal,_xlfn.XLOOKUP($A784,Output_Mac!$A:$A,Output_Mac!M:M,""),
_xlpm.MyAuditVal,_xlfn.XLOOKUP($A784,My_Audit!$A:$A,My_Audit!L:L,""),
_xlfn.IFS(_xlpm.MyAuditVal&lt;&gt;"",UPPER(_xlpm.MyAuditVal),_xlpm.MacVal&lt;&gt;"",_xlpm.MacVal,_xlpm.CSVVal&lt;&gt;"",_xlpm.CSVVal
)),"")</f>
        <v/>
      </c>
      <c r="N784" s="40"/>
      <c r="O784" s="40" t="str">
        <f>_xlfn.LET(
    _xlpm.CSVVal, _xlfn.XLOOKUP($A784, CSV!$A:$A, CSV!AA:AA, ""),
    _xlpm.MacVal, _xlfn.XLOOKUP($A784, Output_Mac!$A:$A, Output_Mac!S:S, ""),
    _xlpm.MyAuditVal, _xlfn.XLOOKUP($A784, My_Audit!$A:$A, My_Audit!P:P, ""),
    _xlfn.TEXTJOIN(", ", TRUE, _xlpm.MyAuditVal, _xlpm.MacVal, _xlpm.CSVVal)
)</f>
        <v/>
      </c>
      <c r="P784" s="40" t="str" cm="1">
        <f t="array" ref="P784">IFERROR(_xlfn.LET(
_xlpm.CSVVal,_xlfn.XLOOKUP($A784,CSV!$A:$A,CSV!AB:AB,""),
_xlpm.MacVal,_xlfn.XLOOKUP($A784,Output_Mac!$A:$A,Output_Mac!T:T,""),
_xlpm.MyAuditVal,_xlfn.XLOOKUP($A784,My_Audit!$A:$A,My_Audit!Q:Q,""),
_xlfn.IFS(_xlpm.MyAuditVal&lt;&gt;"",UPPER(_xlpm.MyAuditVal),_xlpm.MacVal&lt;&gt;"",_xlpm.MacVal,_xlpm.CSVVal&lt;&gt;"",_xlpm.CSVVal
)),"No")</f>
        <v>No</v>
      </c>
      <c r="Q784" s="40" t="str" cm="1">
        <f t="array" ref="Q784">IFERROR(_xlfn.LET(
_xlpm.CSVVal,_xlfn.XLOOKUP($A784,CSV!$A:$A,CSV!AC:AC,""),
_xlpm.MacVal,_xlfn.XLOOKUP($A784,Output_Mac!$A:$A,Output_Mac!U:U,""),
_xlpm.MyAuditVal,_xlfn.XLOOKUP($A784,My_Audit!$A:$A,My_Audit!R:R,""),
_xlfn.IFS(_xlpm.MyAuditVal&lt;&gt;"",UPPER(_xlpm.MyAuditVal),_xlpm.MacVal&lt;&gt;"",_xlpm.MacVal,_xlpm.CSVVal&lt;&gt;"",_xlpm.CSVVal
)),"")</f>
        <v/>
      </c>
      <c r="R784" s="40"/>
      <c r="S784" s="40"/>
      <c r="T784" s="40"/>
      <c r="U784" s="40"/>
      <c r="V784" s="40"/>
      <c r="W784" s="40"/>
      <c r="X784" s="41" t="str">
        <f>_xlfn.LET(
    _xlpm.MacVal, _xlfn.XLOOKUP($A784, Output_Mac!$A:$A, Output_Mac!AB:AB, ""),
    _xlpm.MyAuditVal, _xlfn.XLOOKUP($A784, My_Audit!$A:$A, My_Audit!N:N, ""),
    _xlfn.TEXTJOIN(", ", TRUE, _xlpm.MyAuditVal, _xlpm.MacVal)
)</f>
        <v/>
      </c>
    </row>
    <row r="785" spans="1:24">
      <c r="A785" s="40" t="str">
        <f>_xlfn.TEXTJOIN("",TRUE,Input!$B$2,ROW(My_Audit!A784))</f>
        <v>X784</v>
      </c>
      <c r="B785" s="40" t="str">
        <f>_xlfn.TEXTJOIN("-",TRUE,"ITD",Input!$A$2,A785)</f>
        <v>ITD-X784</v>
      </c>
      <c r="C785" s="40" t="str" cm="1">
        <f t="array" ref="C785">IFERROR(_xlfn.LET(
_xlpm.CSVVal,_xlfn.XLOOKUP($A785,CSV!$A:$A,CSV!B:B,""),
_xlpm.MacVal,_xlfn.XLOOKUP($A785,Output_Mac!$A:$A,Output_Mac!B:B,""),
_xlpm.MyAuditVal,_xlfn.XLOOKUP($A785,My_Audit!$A:$A,My_Audit!B:B,""),
_xlfn.IFS(_xlpm.MyAuditVal&lt;&gt;"",UPPER(_xlpm.MyAuditVal),_xlpm.MacVal&lt;&gt;"",_xlpm.MacVal,_xlpm.CSVVal&lt;&gt;"",_xlpm.CSVVal
)),"")</f>
        <v/>
      </c>
      <c r="D785" s="40" t="str" cm="1">
        <f t="array" ref="D785">IFERROR(_xlfn.LET(
_xlpm.CSVVal,_xlfn.XLOOKUP($A785,CSV!$A:$A,CSV!D:D,""),
_xlpm.MacVal,_xlfn.XLOOKUP($A785,Output_Mac!$A:$A,Output_Mac!C:C,""),
_xlpm.MyAuditVal,_xlfn.XLOOKUP($A785,My_Audit!$A:$A,My_Audit!C:C,""),
_xlfn.IFS(_xlpm.MyAuditVal&lt;&gt;"",_xlpm.MyAuditVal,_xlpm.MacVal&lt;&gt;"",_xlpm.MacVal,_xlpm.CSVVal&lt;&gt;"",_xlpm.CSVVal
)),"")</f>
        <v/>
      </c>
      <c r="E785" s="40" t="str">
        <f>_xlfn.XLOOKUP(A785,My_Audit!A:A,My_Audit!D:D,"")</f>
        <v/>
      </c>
      <c r="F785" s="40" t="str" cm="1">
        <f t="array" ref="F785">IFERROR(_xlfn.LET(
_xlpm.CSVVal,_xlfn.XLOOKUP($A785,CSV!$A:$A,CSV!F:F,""),
_xlpm.MacVal,_xlfn.XLOOKUP($A785,Output_Mac!$A:$A,Output_Mac!E:E,""),
_xlpm.MyAuditVal,_xlfn.XLOOKUP($A785,My_Audit!$A:$A,My_Audit!E:E,""),
_xlfn.IFS(_xlpm.MyAuditVal&lt;&gt;"",_xlpm.MyAuditVal,_xlpm.MacVal&lt;&gt;"",_xlpm.MacVal,_xlpm.CSVVal&lt;&gt;"",_xlpm.CSVVal
)),"")</f>
        <v/>
      </c>
      <c r="G785" s="40" t="str" cm="1">
        <f t="array" ref="G785">IFERROR(_xlfn.LET(
_xlpm.CSVVal,_xlfn.XLOOKUP($A785,CSV!$A:$A,CSV!G:G,""),
_xlpm.MacVal,_xlfn.XLOOKUP($A785,Output_Mac!$A:$A,Output_Mac!F:F,""),
_xlpm.MyAuditVal,_xlfn.XLOOKUP($A785,My_Audit!$A:$A,My_Audit!F:F,""),
_xlfn.IFS(_xlpm.MyAuditVal&lt;&gt;"",_xlpm.MyAuditVal,_xlpm.MacVal&lt;&gt;"",_xlpm.MacVal,_xlpm.CSVVal&lt;&gt;"",PROPER(_xlpm.CSVVal)
)),"")</f>
        <v/>
      </c>
      <c r="H785" s="40" t="str" cm="1">
        <f t="array" ref="H785">IFERROR(_xlfn.LET(
_xlpm.CSVVal,_xlfn.XLOOKUP($A785,CSV!$A:$A,CSV!H:H,""),
_xlpm.MacVal,_xlfn.XLOOKUP($A785,Output_Mac!$A:$A,Output_Mac!H:H,""),
_xlpm.MyAuditVal,_xlfn.XLOOKUP($A785,My_Audit!$A:$A,My_Audit!G:G,""),
_xlfn.IFS(_xlpm.MyAuditVal&lt;&gt;"",_xlpm.MyAuditVal,_xlpm.MacVal&lt;&gt;"",_xlpm.MacVal,_xlpm.CSVVal&lt;&gt;"",_xlpm.CSVVal
)),"")</f>
        <v/>
      </c>
      <c r="I785" s="40" t="str">
        <f>_xlfn.XLOOKUP(A785,Output_Mac!A:A,Output_Mac!I:I,"")</f>
        <v/>
      </c>
      <c r="J785" s="40" t="str" cm="1">
        <f t="array" ref="J785">IFERROR(_xlfn.LET(
_xlpm.CSVVal,_xlfn.XLOOKUP($A785,CSV!$A:$A,CSV!I:I,""),
_xlpm.MacVal,_xlfn.XLOOKUP($A785,Output_Mac!$A:$A,Output_Mac!J:J,""),
_xlpm.MyAuditVal,_xlfn.XLOOKUP($A785,My_Audit!$A:$A,My_Audit!I:I,""),
_xlfn.IFS(_xlpm.MyAuditVal&lt;&gt;"",UPPER(_xlpm.MyAuditVal),_xlpm.MacVal&lt;&gt;"",_xlpm.MacVal,_xlpm.CSVVal&lt;&gt;"",_xlpm.CSVVal
)),"")</f>
        <v/>
      </c>
      <c r="K785" s="40" t="str" cm="1">
        <f t="array" ref="K785">IFERROR(_xlfn.LET(
_xlpm.CSVVal,_xlfn.XLOOKUP($A785,CSV!$A:$A,CSV!K:K,""),
_xlpm.MacVal,_xlfn.XLOOKUP($A785,Output_Mac!$A:$A,Output_Mac!K:K,""),
_xlpm.MyAuditVal,_xlfn.XLOOKUP($A785,My_Audit!$A:$A,My_Audit!J:J,""),
_xlfn.IFS(_xlpm.MyAuditVal&lt;&gt;"",UPPER(_xlpm.MyAuditVal),_xlpm.MacVal&lt;&gt;"",_xlpm.MacVal,_xlpm.CSVVal&lt;&gt;"",_xlpm.CSVVal
)),"")</f>
        <v/>
      </c>
      <c r="L785" s="40" t="str" cm="1">
        <f t="array" ref="L785">IFERROR(_xlfn.LET(
_xlpm.CSVVal,_xlfn.XLOOKUP($A785,CSV!$A:$A,CSV!P:P,""),
_xlpm.MacVal,_xlfn.XLOOKUP($A785,Output_Mac!$A:$A,Output_Mac!L:L,""),
_xlpm.MyAuditVal,_xlfn.XLOOKUP($A785,My_Audit!$A:$A,My_Audit!K:K,""),
_xlfn.IFS(_xlpm.MyAuditVal&lt;&gt;"",UPPER(_xlpm.MyAuditVal),_xlpm.MacVal&lt;&gt;"",_xlpm.MacVal,_xlpm.CSVVal&lt;&gt;"",_xlpm.CSVVal
)),"")</f>
        <v/>
      </c>
      <c r="M785" s="40" t="str" cm="1">
        <f t="array" ref="M785">IFERROR(_xlfn.LET(
_xlpm.CSVVal,_xlfn.XLOOKUP($A785,CSV!$A:$A,CSV!Q:Q,""),
_xlpm.MacVal,_xlfn.XLOOKUP($A785,Output_Mac!$A:$A,Output_Mac!M:M,""),
_xlpm.MyAuditVal,_xlfn.XLOOKUP($A785,My_Audit!$A:$A,My_Audit!L:L,""),
_xlfn.IFS(_xlpm.MyAuditVal&lt;&gt;"",UPPER(_xlpm.MyAuditVal),_xlpm.MacVal&lt;&gt;"",_xlpm.MacVal,_xlpm.CSVVal&lt;&gt;"",_xlpm.CSVVal
)),"")</f>
        <v/>
      </c>
      <c r="N785" s="40"/>
      <c r="O785" s="40" t="str">
        <f>_xlfn.LET(
    _xlpm.CSVVal, _xlfn.XLOOKUP($A785, CSV!$A:$A, CSV!AA:AA, ""),
    _xlpm.MacVal, _xlfn.XLOOKUP($A785, Output_Mac!$A:$A, Output_Mac!S:S, ""),
    _xlpm.MyAuditVal, _xlfn.XLOOKUP($A785, My_Audit!$A:$A, My_Audit!P:P, ""),
    _xlfn.TEXTJOIN(", ", TRUE, _xlpm.MyAuditVal, _xlpm.MacVal, _xlpm.CSVVal)
)</f>
        <v/>
      </c>
      <c r="P785" s="40" t="str" cm="1">
        <f t="array" ref="P785">IFERROR(_xlfn.LET(
_xlpm.CSVVal,_xlfn.XLOOKUP($A785,CSV!$A:$A,CSV!AB:AB,""),
_xlpm.MacVal,_xlfn.XLOOKUP($A785,Output_Mac!$A:$A,Output_Mac!T:T,""),
_xlpm.MyAuditVal,_xlfn.XLOOKUP($A785,My_Audit!$A:$A,My_Audit!Q:Q,""),
_xlfn.IFS(_xlpm.MyAuditVal&lt;&gt;"",UPPER(_xlpm.MyAuditVal),_xlpm.MacVal&lt;&gt;"",_xlpm.MacVal,_xlpm.CSVVal&lt;&gt;"",_xlpm.CSVVal
)),"No")</f>
        <v>No</v>
      </c>
      <c r="Q785" s="40" t="str" cm="1">
        <f t="array" ref="Q785">IFERROR(_xlfn.LET(
_xlpm.CSVVal,_xlfn.XLOOKUP($A785,CSV!$A:$A,CSV!AC:AC,""),
_xlpm.MacVal,_xlfn.XLOOKUP($A785,Output_Mac!$A:$A,Output_Mac!U:U,""),
_xlpm.MyAuditVal,_xlfn.XLOOKUP($A785,My_Audit!$A:$A,My_Audit!R:R,""),
_xlfn.IFS(_xlpm.MyAuditVal&lt;&gt;"",UPPER(_xlpm.MyAuditVal),_xlpm.MacVal&lt;&gt;"",_xlpm.MacVal,_xlpm.CSVVal&lt;&gt;"",_xlpm.CSVVal
)),"")</f>
        <v/>
      </c>
      <c r="R785" s="40"/>
      <c r="S785" s="40"/>
      <c r="T785" s="40"/>
      <c r="U785" s="40"/>
      <c r="V785" s="40"/>
      <c r="W785" s="40"/>
      <c r="X785" s="41" t="str">
        <f>_xlfn.LET(
    _xlpm.MacVal, _xlfn.XLOOKUP($A785, Output_Mac!$A:$A, Output_Mac!AB:AB, ""),
    _xlpm.MyAuditVal, _xlfn.XLOOKUP($A785, My_Audit!$A:$A, My_Audit!N:N, ""),
    _xlfn.TEXTJOIN(", ", TRUE, _xlpm.MyAuditVal, _xlpm.MacVal)
)</f>
        <v/>
      </c>
    </row>
    <row r="786" spans="1:24">
      <c r="A786" s="40" t="str">
        <f>_xlfn.TEXTJOIN("",TRUE,Input!$B$2,ROW(My_Audit!A785))</f>
        <v>X785</v>
      </c>
      <c r="B786" s="40" t="str">
        <f>_xlfn.TEXTJOIN("-",TRUE,"ITD",Input!$A$2,A786)</f>
        <v>ITD-X785</v>
      </c>
      <c r="C786" s="40" t="str" cm="1">
        <f t="array" ref="C786">IFERROR(_xlfn.LET(
_xlpm.CSVVal,_xlfn.XLOOKUP($A786,CSV!$A:$A,CSV!B:B,""),
_xlpm.MacVal,_xlfn.XLOOKUP($A786,Output_Mac!$A:$A,Output_Mac!B:B,""),
_xlpm.MyAuditVal,_xlfn.XLOOKUP($A786,My_Audit!$A:$A,My_Audit!B:B,""),
_xlfn.IFS(_xlpm.MyAuditVal&lt;&gt;"",UPPER(_xlpm.MyAuditVal),_xlpm.MacVal&lt;&gt;"",_xlpm.MacVal,_xlpm.CSVVal&lt;&gt;"",_xlpm.CSVVal
)),"")</f>
        <v/>
      </c>
      <c r="D786" s="40" t="str" cm="1">
        <f t="array" ref="D786">IFERROR(_xlfn.LET(
_xlpm.CSVVal,_xlfn.XLOOKUP($A786,CSV!$A:$A,CSV!D:D,""),
_xlpm.MacVal,_xlfn.XLOOKUP($A786,Output_Mac!$A:$A,Output_Mac!C:C,""),
_xlpm.MyAuditVal,_xlfn.XLOOKUP($A786,My_Audit!$A:$A,My_Audit!C:C,""),
_xlfn.IFS(_xlpm.MyAuditVal&lt;&gt;"",_xlpm.MyAuditVal,_xlpm.MacVal&lt;&gt;"",_xlpm.MacVal,_xlpm.CSVVal&lt;&gt;"",_xlpm.CSVVal
)),"")</f>
        <v/>
      </c>
      <c r="E786" s="40" t="str">
        <f>_xlfn.XLOOKUP(A786,My_Audit!A:A,My_Audit!D:D,"")</f>
        <v/>
      </c>
      <c r="F786" s="40" t="str" cm="1">
        <f t="array" ref="F786">IFERROR(_xlfn.LET(
_xlpm.CSVVal,_xlfn.XLOOKUP($A786,CSV!$A:$A,CSV!F:F,""),
_xlpm.MacVal,_xlfn.XLOOKUP($A786,Output_Mac!$A:$A,Output_Mac!E:E,""),
_xlpm.MyAuditVal,_xlfn.XLOOKUP($A786,My_Audit!$A:$A,My_Audit!E:E,""),
_xlfn.IFS(_xlpm.MyAuditVal&lt;&gt;"",_xlpm.MyAuditVal,_xlpm.MacVal&lt;&gt;"",_xlpm.MacVal,_xlpm.CSVVal&lt;&gt;"",_xlpm.CSVVal
)),"")</f>
        <v/>
      </c>
      <c r="G786" s="40" t="str" cm="1">
        <f t="array" ref="G786">IFERROR(_xlfn.LET(
_xlpm.CSVVal,_xlfn.XLOOKUP($A786,CSV!$A:$A,CSV!G:G,""),
_xlpm.MacVal,_xlfn.XLOOKUP($A786,Output_Mac!$A:$A,Output_Mac!F:F,""),
_xlpm.MyAuditVal,_xlfn.XLOOKUP($A786,My_Audit!$A:$A,My_Audit!F:F,""),
_xlfn.IFS(_xlpm.MyAuditVal&lt;&gt;"",_xlpm.MyAuditVal,_xlpm.MacVal&lt;&gt;"",_xlpm.MacVal,_xlpm.CSVVal&lt;&gt;"",PROPER(_xlpm.CSVVal)
)),"")</f>
        <v/>
      </c>
      <c r="H786" s="40" t="str" cm="1">
        <f t="array" ref="H786">IFERROR(_xlfn.LET(
_xlpm.CSVVal,_xlfn.XLOOKUP($A786,CSV!$A:$A,CSV!H:H,""),
_xlpm.MacVal,_xlfn.XLOOKUP($A786,Output_Mac!$A:$A,Output_Mac!H:H,""),
_xlpm.MyAuditVal,_xlfn.XLOOKUP($A786,My_Audit!$A:$A,My_Audit!G:G,""),
_xlfn.IFS(_xlpm.MyAuditVal&lt;&gt;"",_xlpm.MyAuditVal,_xlpm.MacVal&lt;&gt;"",_xlpm.MacVal,_xlpm.CSVVal&lt;&gt;"",_xlpm.CSVVal
)),"")</f>
        <v/>
      </c>
      <c r="I786" s="40" t="str">
        <f>_xlfn.XLOOKUP(A786,Output_Mac!A:A,Output_Mac!I:I,"")</f>
        <v/>
      </c>
      <c r="J786" s="40" t="str" cm="1">
        <f t="array" ref="J786">IFERROR(_xlfn.LET(
_xlpm.CSVVal,_xlfn.XLOOKUP($A786,CSV!$A:$A,CSV!I:I,""),
_xlpm.MacVal,_xlfn.XLOOKUP($A786,Output_Mac!$A:$A,Output_Mac!J:J,""),
_xlpm.MyAuditVal,_xlfn.XLOOKUP($A786,My_Audit!$A:$A,My_Audit!I:I,""),
_xlfn.IFS(_xlpm.MyAuditVal&lt;&gt;"",UPPER(_xlpm.MyAuditVal),_xlpm.MacVal&lt;&gt;"",_xlpm.MacVal,_xlpm.CSVVal&lt;&gt;"",_xlpm.CSVVal
)),"")</f>
        <v/>
      </c>
      <c r="K786" s="40" t="str" cm="1">
        <f t="array" ref="K786">IFERROR(_xlfn.LET(
_xlpm.CSVVal,_xlfn.XLOOKUP($A786,CSV!$A:$A,CSV!K:K,""),
_xlpm.MacVal,_xlfn.XLOOKUP($A786,Output_Mac!$A:$A,Output_Mac!K:K,""),
_xlpm.MyAuditVal,_xlfn.XLOOKUP($A786,My_Audit!$A:$A,My_Audit!J:J,""),
_xlfn.IFS(_xlpm.MyAuditVal&lt;&gt;"",UPPER(_xlpm.MyAuditVal),_xlpm.MacVal&lt;&gt;"",_xlpm.MacVal,_xlpm.CSVVal&lt;&gt;"",_xlpm.CSVVal
)),"")</f>
        <v/>
      </c>
      <c r="L786" s="40" t="str" cm="1">
        <f t="array" ref="L786">IFERROR(_xlfn.LET(
_xlpm.CSVVal,_xlfn.XLOOKUP($A786,CSV!$A:$A,CSV!P:P,""),
_xlpm.MacVal,_xlfn.XLOOKUP($A786,Output_Mac!$A:$A,Output_Mac!L:L,""),
_xlpm.MyAuditVal,_xlfn.XLOOKUP($A786,My_Audit!$A:$A,My_Audit!K:K,""),
_xlfn.IFS(_xlpm.MyAuditVal&lt;&gt;"",UPPER(_xlpm.MyAuditVal),_xlpm.MacVal&lt;&gt;"",_xlpm.MacVal,_xlpm.CSVVal&lt;&gt;"",_xlpm.CSVVal
)),"")</f>
        <v/>
      </c>
      <c r="M786" s="40" t="str" cm="1">
        <f t="array" ref="M786">IFERROR(_xlfn.LET(
_xlpm.CSVVal,_xlfn.XLOOKUP($A786,CSV!$A:$A,CSV!Q:Q,""),
_xlpm.MacVal,_xlfn.XLOOKUP($A786,Output_Mac!$A:$A,Output_Mac!M:M,""),
_xlpm.MyAuditVal,_xlfn.XLOOKUP($A786,My_Audit!$A:$A,My_Audit!L:L,""),
_xlfn.IFS(_xlpm.MyAuditVal&lt;&gt;"",UPPER(_xlpm.MyAuditVal),_xlpm.MacVal&lt;&gt;"",_xlpm.MacVal,_xlpm.CSVVal&lt;&gt;"",_xlpm.CSVVal
)),"")</f>
        <v/>
      </c>
      <c r="N786" s="40"/>
      <c r="O786" s="40" t="str">
        <f>_xlfn.LET(
    _xlpm.CSVVal, _xlfn.XLOOKUP($A786, CSV!$A:$A, CSV!AA:AA, ""),
    _xlpm.MacVal, _xlfn.XLOOKUP($A786, Output_Mac!$A:$A, Output_Mac!S:S, ""),
    _xlpm.MyAuditVal, _xlfn.XLOOKUP($A786, My_Audit!$A:$A, My_Audit!P:P, ""),
    _xlfn.TEXTJOIN(", ", TRUE, _xlpm.MyAuditVal, _xlpm.MacVal, _xlpm.CSVVal)
)</f>
        <v/>
      </c>
      <c r="P786" s="40" t="str" cm="1">
        <f t="array" ref="P786">IFERROR(_xlfn.LET(
_xlpm.CSVVal,_xlfn.XLOOKUP($A786,CSV!$A:$A,CSV!AB:AB,""),
_xlpm.MacVal,_xlfn.XLOOKUP($A786,Output_Mac!$A:$A,Output_Mac!T:T,""),
_xlpm.MyAuditVal,_xlfn.XLOOKUP($A786,My_Audit!$A:$A,My_Audit!Q:Q,""),
_xlfn.IFS(_xlpm.MyAuditVal&lt;&gt;"",UPPER(_xlpm.MyAuditVal),_xlpm.MacVal&lt;&gt;"",_xlpm.MacVal,_xlpm.CSVVal&lt;&gt;"",_xlpm.CSVVal
)),"No")</f>
        <v>No</v>
      </c>
      <c r="Q786" s="40" t="str" cm="1">
        <f t="array" ref="Q786">IFERROR(_xlfn.LET(
_xlpm.CSVVal,_xlfn.XLOOKUP($A786,CSV!$A:$A,CSV!AC:AC,""),
_xlpm.MacVal,_xlfn.XLOOKUP($A786,Output_Mac!$A:$A,Output_Mac!U:U,""),
_xlpm.MyAuditVal,_xlfn.XLOOKUP($A786,My_Audit!$A:$A,My_Audit!R:R,""),
_xlfn.IFS(_xlpm.MyAuditVal&lt;&gt;"",UPPER(_xlpm.MyAuditVal),_xlpm.MacVal&lt;&gt;"",_xlpm.MacVal,_xlpm.CSVVal&lt;&gt;"",_xlpm.CSVVal
)),"")</f>
        <v/>
      </c>
      <c r="R786" s="40"/>
      <c r="S786" s="40"/>
      <c r="T786" s="40"/>
      <c r="U786" s="40"/>
      <c r="V786" s="40"/>
      <c r="W786" s="40"/>
      <c r="X786" s="41" t="str">
        <f>_xlfn.LET(
    _xlpm.MacVal, _xlfn.XLOOKUP($A786, Output_Mac!$A:$A, Output_Mac!AB:AB, ""),
    _xlpm.MyAuditVal, _xlfn.XLOOKUP($A786, My_Audit!$A:$A, My_Audit!N:N, ""),
    _xlfn.TEXTJOIN(", ", TRUE, _xlpm.MyAuditVal, _xlpm.MacVal)
)</f>
        <v/>
      </c>
    </row>
    <row r="787" spans="1:24">
      <c r="A787" s="40" t="str">
        <f>_xlfn.TEXTJOIN("",TRUE,Input!$B$2,ROW(My_Audit!A786))</f>
        <v>X786</v>
      </c>
      <c r="B787" s="40" t="str">
        <f>_xlfn.TEXTJOIN("-",TRUE,"ITD",Input!$A$2,A787)</f>
        <v>ITD-X786</v>
      </c>
      <c r="C787" s="40" t="str" cm="1">
        <f t="array" ref="C787">IFERROR(_xlfn.LET(
_xlpm.CSVVal,_xlfn.XLOOKUP($A787,CSV!$A:$A,CSV!B:B,""),
_xlpm.MacVal,_xlfn.XLOOKUP($A787,Output_Mac!$A:$A,Output_Mac!B:B,""),
_xlpm.MyAuditVal,_xlfn.XLOOKUP($A787,My_Audit!$A:$A,My_Audit!B:B,""),
_xlfn.IFS(_xlpm.MyAuditVal&lt;&gt;"",UPPER(_xlpm.MyAuditVal),_xlpm.MacVal&lt;&gt;"",_xlpm.MacVal,_xlpm.CSVVal&lt;&gt;"",_xlpm.CSVVal
)),"")</f>
        <v/>
      </c>
      <c r="D787" s="40" t="str" cm="1">
        <f t="array" ref="D787">IFERROR(_xlfn.LET(
_xlpm.CSVVal,_xlfn.XLOOKUP($A787,CSV!$A:$A,CSV!D:D,""),
_xlpm.MacVal,_xlfn.XLOOKUP($A787,Output_Mac!$A:$A,Output_Mac!C:C,""),
_xlpm.MyAuditVal,_xlfn.XLOOKUP($A787,My_Audit!$A:$A,My_Audit!C:C,""),
_xlfn.IFS(_xlpm.MyAuditVal&lt;&gt;"",_xlpm.MyAuditVal,_xlpm.MacVal&lt;&gt;"",_xlpm.MacVal,_xlpm.CSVVal&lt;&gt;"",_xlpm.CSVVal
)),"")</f>
        <v/>
      </c>
      <c r="E787" s="40" t="str">
        <f>_xlfn.XLOOKUP(A787,My_Audit!A:A,My_Audit!D:D,"")</f>
        <v/>
      </c>
      <c r="F787" s="40" t="str" cm="1">
        <f t="array" ref="F787">IFERROR(_xlfn.LET(
_xlpm.CSVVal,_xlfn.XLOOKUP($A787,CSV!$A:$A,CSV!F:F,""),
_xlpm.MacVal,_xlfn.XLOOKUP($A787,Output_Mac!$A:$A,Output_Mac!E:E,""),
_xlpm.MyAuditVal,_xlfn.XLOOKUP($A787,My_Audit!$A:$A,My_Audit!E:E,""),
_xlfn.IFS(_xlpm.MyAuditVal&lt;&gt;"",_xlpm.MyAuditVal,_xlpm.MacVal&lt;&gt;"",_xlpm.MacVal,_xlpm.CSVVal&lt;&gt;"",_xlpm.CSVVal
)),"")</f>
        <v/>
      </c>
      <c r="G787" s="40" t="str" cm="1">
        <f t="array" ref="G787">IFERROR(_xlfn.LET(
_xlpm.CSVVal,_xlfn.XLOOKUP($A787,CSV!$A:$A,CSV!G:G,""),
_xlpm.MacVal,_xlfn.XLOOKUP($A787,Output_Mac!$A:$A,Output_Mac!F:F,""),
_xlpm.MyAuditVal,_xlfn.XLOOKUP($A787,My_Audit!$A:$A,My_Audit!F:F,""),
_xlfn.IFS(_xlpm.MyAuditVal&lt;&gt;"",_xlpm.MyAuditVal,_xlpm.MacVal&lt;&gt;"",_xlpm.MacVal,_xlpm.CSVVal&lt;&gt;"",PROPER(_xlpm.CSVVal)
)),"")</f>
        <v/>
      </c>
      <c r="H787" s="40" t="str" cm="1">
        <f t="array" ref="H787">IFERROR(_xlfn.LET(
_xlpm.CSVVal,_xlfn.XLOOKUP($A787,CSV!$A:$A,CSV!H:H,""),
_xlpm.MacVal,_xlfn.XLOOKUP($A787,Output_Mac!$A:$A,Output_Mac!H:H,""),
_xlpm.MyAuditVal,_xlfn.XLOOKUP($A787,My_Audit!$A:$A,My_Audit!G:G,""),
_xlfn.IFS(_xlpm.MyAuditVal&lt;&gt;"",_xlpm.MyAuditVal,_xlpm.MacVal&lt;&gt;"",_xlpm.MacVal,_xlpm.CSVVal&lt;&gt;"",_xlpm.CSVVal
)),"")</f>
        <v/>
      </c>
      <c r="I787" s="40" t="str">
        <f>_xlfn.XLOOKUP(A787,Output_Mac!A:A,Output_Mac!I:I,"")</f>
        <v/>
      </c>
      <c r="J787" s="40" t="str" cm="1">
        <f t="array" ref="J787">IFERROR(_xlfn.LET(
_xlpm.CSVVal,_xlfn.XLOOKUP($A787,CSV!$A:$A,CSV!I:I,""),
_xlpm.MacVal,_xlfn.XLOOKUP($A787,Output_Mac!$A:$A,Output_Mac!J:J,""),
_xlpm.MyAuditVal,_xlfn.XLOOKUP($A787,My_Audit!$A:$A,My_Audit!I:I,""),
_xlfn.IFS(_xlpm.MyAuditVal&lt;&gt;"",UPPER(_xlpm.MyAuditVal),_xlpm.MacVal&lt;&gt;"",_xlpm.MacVal,_xlpm.CSVVal&lt;&gt;"",_xlpm.CSVVal
)),"")</f>
        <v/>
      </c>
      <c r="K787" s="40" t="str" cm="1">
        <f t="array" ref="K787">IFERROR(_xlfn.LET(
_xlpm.CSVVal,_xlfn.XLOOKUP($A787,CSV!$A:$A,CSV!K:K,""),
_xlpm.MacVal,_xlfn.XLOOKUP($A787,Output_Mac!$A:$A,Output_Mac!K:K,""),
_xlpm.MyAuditVal,_xlfn.XLOOKUP($A787,My_Audit!$A:$A,My_Audit!J:J,""),
_xlfn.IFS(_xlpm.MyAuditVal&lt;&gt;"",UPPER(_xlpm.MyAuditVal),_xlpm.MacVal&lt;&gt;"",_xlpm.MacVal,_xlpm.CSVVal&lt;&gt;"",_xlpm.CSVVal
)),"")</f>
        <v/>
      </c>
      <c r="L787" s="40" t="str" cm="1">
        <f t="array" ref="L787">IFERROR(_xlfn.LET(
_xlpm.CSVVal,_xlfn.XLOOKUP($A787,CSV!$A:$A,CSV!P:P,""),
_xlpm.MacVal,_xlfn.XLOOKUP($A787,Output_Mac!$A:$A,Output_Mac!L:L,""),
_xlpm.MyAuditVal,_xlfn.XLOOKUP($A787,My_Audit!$A:$A,My_Audit!K:K,""),
_xlfn.IFS(_xlpm.MyAuditVal&lt;&gt;"",UPPER(_xlpm.MyAuditVal),_xlpm.MacVal&lt;&gt;"",_xlpm.MacVal,_xlpm.CSVVal&lt;&gt;"",_xlpm.CSVVal
)),"")</f>
        <v/>
      </c>
      <c r="M787" s="40" t="str" cm="1">
        <f t="array" ref="M787">IFERROR(_xlfn.LET(
_xlpm.CSVVal,_xlfn.XLOOKUP($A787,CSV!$A:$A,CSV!Q:Q,""),
_xlpm.MacVal,_xlfn.XLOOKUP($A787,Output_Mac!$A:$A,Output_Mac!M:M,""),
_xlpm.MyAuditVal,_xlfn.XLOOKUP($A787,My_Audit!$A:$A,My_Audit!L:L,""),
_xlfn.IFS(_xlpm.MyAuditVal&lt;&gt;"",UPPER(_xlpm.MyAuditVal),_xlpm.MacVal&lt;&gt;"",_xlpm.MacVal,_xlpm.CSVVal&lt;&gt;"",_xlpm.CSVVal
)),"")</f>
        <v/>
      </c>
      <c r="N787" s="40"/>
      <c r="O787" s="40" t="str">
        <f>_xlfn.LET(
    _xlpm.CSVVal, _xlfn.XLOOKUP($A787, CSV!$A:$A, CSV!AA:AA, ""),
    _xlpm.MacVal, _xlfn.XLOOKUP($A787, Output_Mac!$A:$A, Output_Mac!S:S, ""),
    _xlpm.MyAuditVal, _xlfn.XLOOKUP($A787, My_Audit!$A:$A, My_Audit!P:P, ""),
    _xlfn.TEXTJOIN(", ", TRUE, _xlpm.MyAuditVal, _xlpm.MacVal, _xlpm.CSVVal)
)</f>
        <v/>
      </c>
      <c r="P787" s="40" t="str" cm="1">
        <f t="array" ref="P787">IFERROR(_xlfn.LET(
_xlpm.CSVVal,_xlfn.XLOOKUP($A787,CSV!$A:$A,CSV!AB:AB,""),
_xlpm.MacVal,_xlfn.XLOOKUP($A787,Output_Mac!$A:$A,Output_Mac!T:T,""),
_xlpm.MyAuditVal,_xlfn.XLOOKUP($A787,My_Audit!$A:$A,My_Audit!Q:Q,""),
_xlfn.IFS(_xlpm.MyAuditVal&lt;&gt;"",UPPER(_xlpm.MyAuditVal),_xlpm.MacVal&lt;&gt;"",_xlpm.MacVal,_xlpm.CSVVal&lt;&gt;"",_xlpm.CSVVal
)),"No")</f>
        <v>No</v>
      </c>
      <c r="Q787" s="40" t="str" cm="1">
        <f t="array" ref="Q787">IFERROR(_xlfn.LET(
_xlpm.CSVVal,_xlfn.XLOOKUP($A787,CSV!$A:$A,CSV!AC:AC,""),
_xlpm.MacVal,_xlfn.XLOOKUP($A787,Output_Mac!$A:$A,Output_Mac!U:U,""),
_xlpm.MyAuditVal,_xlfn.XLOOKUP($A787,My_Audit!$A:$A,My_Audit!R:R,""),
_xlfn.IFS(_xlpm.MyAuditVal&lt;&gt;"",UPPER(_xlpm.MyAuditVal),_xlpm.MacVal&lt;&gt;"",_xlpm.MacVal,_xlpm.CSVVal&lt;&gt;"",_xlpm.CSVVal
)),"")</f>
        <v/>
      </c>
      <c r="R787" s="40"/>
      <c r="S787" s="40"/>
      <c r="T787" s="40"/>
      <c r="U787" s="40"/>
      <c r="V787" s="40"/>
      <c r="W787" s="40"/>
      <c r="X787" s="41" t="str">
        <f>_xlfn.LET(
    _xlpm.MacVal, _xlfn.XLOOKUP($A787, Output_Mac!$A:$A, Output_Mac!AB:AB, ""),
    _xlpm.MyAuditVal, _xlfn.XLOOKUP($A787, My_Audit!$A:$A, My_Audit!N:N, ""),
    _xlfn.TEXTJOIN(", ", TRUE, _xlpm.MyAuditVal, _xlpm.MacVal)
)</f>
        <v/>
      </c>
    </row>
    <row r="788" spans="1:24">
      <c r="A788" s="40" t="str">
        <f>_xlfn.TEXTJOIN("",TRUE,Input!$B$2,ROW(My_Audit!A787))</f>
        <v>X787</v>
      </c>
      <c r="B788" s="40" t="str">
        <f>_xlfn.TEXTJOIN("-",TRUE,"ITD",Input!$A$2,A788)</f>
        <v>ITD-X787</v>
      </c>
      <c r="C788" s="40" t="str" cm="1">
        <f t="array" ref="C788">IFERROR(_xlfn.LET(
_xlpm.CSVVal,_xlfn.XLOOKUP($A788,CSV!$A:$A,CSV!B:B,""),
_xlpm.MacVal,_xlfn.XLOOKUP($A788,Output_Mac!$A:$A,Output_Mac!B:B,""),
_xlpm.MyAuditVal,_xlfn.XLOOKUP($A788,My_Audit!$A:$A,My_Audit!B:B,""),
_xlfn.IFS(_xlpm.MyAuditVal&lt;&gt;"",UPPER(_xlpm.MyAuditVal),_xlpm.MacVal&lt;&gt;"",_xlpm.MacVal,_xlpm.CSVVal&lt;&gt;"",_xlpm.CSVVal
)),"")</f>
        <v/>
      </c>
      <c r="D788" s="40" t="str" cm="1">
        <f t="array" ref="D788">IFERROR(_xlfn.LET(
_xlpm.CSVVal,_xlfn.XLOOKUP($A788,CSV!$A:$A,CSV!D:D,""),
_xlpm.MacVal,_xlfn.XLOOKUP($A788,Output_Mac!$A:$A,Output_Mac!C:C,""),
_xlpm.MyAuditVal,_xlfn.XLOOKUP($A788,My_Audit!$A:$A,My_Audit!C:C,""),
_xlfn.IFS(_xlpm.MyAuditVal&lt;&gt;"",_xlpm.MyAuditVal,_xlpm.MacVal&lt;&gt;"",_xlpm.MacVal,_xlpm.CSVVal&lt;&gt;"",_xlpm.CSVVal
)),"")</f>
        <v/>
      </c>
      <c r="E788" s="40" t="str">
        <f>_xlfn.XLOOKUP(A788,My_Audit!A:A,My_Audit!D:D,"")</f>
        <v/>
      </c>
      <c r="F788" s="40" t="str" cm="1">
        <f t="array" ref="F788">IFERROR(_xlfn.LET(
_xlpm.CSVVal,_xlfn.XLOOKUP($A788,CSV!$A:$A,CSV!F:F,""),
_xlpm.MacVal,_xlfn.XLOOKUP($A788,Output_Mac!$A:$A,Output_Mac!E:E,""),
_xlpm.MyAuditVal,_xlfn.XLOOKUP($A788,My_Audit!$A:$A,My_Audit!E:E,""),
_xlfn.IFS(_xlpm.MyAuditVal&lt;&gt;"",_xlpm.MyAuditVal,_xlpm.MacVal&lt;&gt;"",_xlpm.MacVal,_xlpm.CSVVal&lt;&gt;"",_xlpm.CSVVal
)),"")</f>
        <v/>
      </c>
      <c r="G788" s="40" t="str" cm="1">
        <f t="array" ref="G788">IFERROR(_xlfn.LET(
_xlpm.CSVVal,_xlfn.XLOOKUP($A788,CSV!$A:$A,CSV!G:G,""),
_xlpm.MacVal,_xlfn.XLOOKUP($A788,Output_Mac!$A:$A,Output_Mac!F:F,""),
_xlpm.MyAuditVal,_xlfn.XLOOKUP($A788,My_Audit!$A:$A,My_Audit!F:F,""),
_xlfn.IFS(_xlpm.MyAuditVal&lt;&gt;"",_xlpm.MyAuditVal,_xlpm.MacVal&lt;&gt;"",_xlpm.MacVal,_xlpm.CSVVal&lt;&gt;"",PROPER(_xlpm.CSVVal)
)),"")</f>
        <v/>
      </c>
      <c r="H788" s="40" t="str" cm="1">
        <f t="array" ref="H788">IFERROR(_xlfn.LET(
_xlpm.CSVVal,_xlfn.XLOOKUP($A788,CSV!$A:$A,CSV!H:H,""),
_xlpm.MacVal,_xlfn.XLOOKUP($A788,Output_Mac!$A:$A,Output_Mac!H:H,""),
_xlpm.MyAuditVal,_xlfn.XLOOKUP($A788,My_Audit!$A:$A,My_Audit!G:G,""),
_xlfn.IFS(_xlpm.MyAuditVal&lt;&gt;"",_xlpm.MyAuditVal,_xlpm.MacVal&lt;&gt;"",_xlpm.MacVal,_xlpm.CSVVal&lt;&gt;"",_xlpm.CSVVal
)),"")</f>
        <v/>
      </c>
      <c r="I788" s="40" t="str">
        <f>_xlfn.XLOOKUP(A788,Output_Mac!A:A,Output_Mac!I:I,"")</f>
        <v/>
      </c>
      <c r="J788" s="40" t="str" cm="1">
        <f t="array" ref="J788">IFERROR(_xlfn.LET(
_xlpm.CSVVal,_xlfn.XLOOKUP($A788,CSV!$A:$A,CSV!I:I,""),
_xlpm.MacVal,_xlfn.XLOOKUP($A788,Output_Mac!$A:$A,Output_Mac!J:J,""),
_xlpm.MyAuditVal,_xlfn.XLOOKUP($A788,My_Audit!$A:$A,My_Audit!I:I,""),
_xlfn.IFS(_xlpm.MyAuditVal&lt;&gt;"",UPPER(_xlpm.MyAuditVal),_xlpm.MacVal&lt;&gt;"",_xlpm.MacVal,_xlpm.CSVVal&lt;&gt;"",_xlpm.CSVVal
)),"")</f>
        <v/>
      </c>
      <c r="K788" s="40" t="str" cm="1">
        <f t="array" ref="K788">IFERROR(_xlfn.LET(
_xlpm.CSVVal,_xlfn.XLOOKUP($A788,CSV!$A:$A,CSV!K:K,""),
_xlpm.MacVal,_xlfn.XLOOKUP($A788,Output_Mac!$A:$A,Output_Mac!K:K,""),
_xlpm.MyAuditVal,_xlfn.XLOOKUP($A788,My_Audit!$A:$A,My_Audit!J:J,""),
_xlfn.IFS(_xlpm.MyAuditVal&lt;&gt;"",UPPER(_xlpm.MyAuditVal),_xlpm.MacVal&lt;&gt;"",_xlpm.MacVal,_xlpm.CSVVal&lt;&gt;"",_xlpm.CSVVal
)),"")</f>
        <v/>
      </c>
      <c r="L788" s="40" t="str" cm="1">
        <f t="array" ref="L788">IFERROR(_xlfn.LET(
_xlpm.CSVVal,_xlfn.XLOOKUP($A788,CSV!$A:$A,CSV!P:P,""),
_xlpm.MacVal,_xlfn.XLOOKUP($A788,Output_Mac!$A:$A,Output_Mac!L:L,""),
_xlpm.MyAuditVal,_xlfn.XLOOKUP($A788,My_Audit!$A:$A,My_Audit!K:K,""),
_xlfn.IFS(_xlpm.MyAuditVal&lt;&gt;"",UPPER(_xlpm.MyAuditVal),_xlpm.MacVal&lt;&gt;"",_xlpm.MacVal,_xlpm.CSVVal&lt;&gt;"",_xlpm.CSVVal
)),"")</f>
        <v/>
      </c>
      <c r="M788" s="40" t="str" cm="1">
        <f t="array" ref="M788">IFERROR(_xlfn.LET(
_xlpm.CSVVal,_xlfn.XLOOKUP($A788,CSV!$A:$A,CSV!Q:Q,""),
_xlpm.MacVal,_xlfn.XLOOKUP($A788,Output_Mac!$A:$A,Output_Mac!M:M,""),
_xlpm.MyAuditVal,_xlfn.XLOOKUP($A788,My_Audit!$A:$A,My_Audit!L:L,""),
_xlfn.IFS(_xlpm.MyAuditVal&lt;&gt;"",UPPER(_xlpm.MyAuditVal),_xlpm.MacVal&lt;&gt;"",_xlpm.MacVal,_xlpm.CSVVal&lt;&gt;"",_xlpm.CSVVal
)),"")</f>
        <v/>
      </c>
      <c r="N788" s="40"/>
      <c r="O788" s="40" t="str">
        <f>_xlfn.LET(
    _xlpm.CSVVal, _xlfn.XLOOKUP($A788, CSV!$A:$A, CSV!AA:AA, ""),
    _xlpm.MacVal, _xlfn.XLOOKUP($A788, Output_Mac!$A:$A, Output_Mac!S:S, ""),
    _xlpm.MyAuditVal, _xlfn.XLOOKUP($A788, My_Audit!$A:$A, My_Audit!P:P, ""),
    _xlfn.TEXTJOIN(", ", TRUE, _xlpm.MyAuditVal, _xlpm.MacVal, _xlpm.CSVVal)
)</f>
        <v/>
      </c>
      <c r="P788" s="40" t="str" cm="1">
        <f t="array" ref="P788">IFERROR(_xlfn.LET(
_xlpm.CSVVal,_xlfn.XLOOKUP($A788,CSV!$A:$A,CSV!AB:AB,""),
_xlpm.MacVal,_xlfn.XLOOKUP($A788,Output_Mac!$A:$A,Output_Mac!T:T,""),
_xlpm.MyAuditVal,_xlfn.XLOOKUP($A788,My_Audit!$A:$A,My_Audit!Q:Q,""),
_xlfn.IFS(_xlpm.MyAuditVal&lt;&gt;"",UPPER(_xlpm.MyAuditVal),_xlpm.MacVal&lt;&gt;"",_xlpm.MacVal,_xlpm.CSVVal&lt;&gt;"",_xlpm.CSVVal
)),"No")</f>
        <v>No</v>
      </c>
      <c r="Q788" s="40" t="str" cm="1">
        <f t="array" ref="Q788">IFERROR(_xlfn.LET(
_xlpm.CSVVal,_xlfn.XLOOKUP($A788,CSV!$A:$A,CSV!AC:AC,""),
_xlpm.MacVal,_xlfn.XLOOKUP($A788,Output_Mac!$A:$A,Output_Mac!U:U,""),
_xlpm.MyAuditVal,_xlfn.XLOOKUP($A788,My_Audit!$A:$A,My_Audit!R:R,""),
_xlfn.IFS(_xlpm.MyAuditVal&lt;&gt;"",UPPER(_xlpm.MyAuditVal),_xlpm.MacVal&lt;&gt;"",_xlpm.MacVal,_xlpm.CSVVal&lt;&gt;"",_xlpm.CSVVal
)),"")</f>
        <v/>
      </c>
      <c r="R788" s="40"/>
      <c r="S788" s="40"/>
      <c r="T788" s="40"/>
      <c r="U788" s="40"/>
      <c r="V788" s="40"/>
      <c r="W788" s="40"/>
      <c r="X788" s="41" t="str">
        <f>_xlfn.LET(
    _xlpm.MacVal, _xlfn.XLOOKUP($A788, Output_Mac!$A:$A, Output_Mac!AB:AB, ""),
    _xlpm.MyAuditVal, _xlfn.XLOOKUP($A788, My_Audit!$A:$A, My_Audit!N:N, ""),
    _xlfn.TEXTJOIN(", ", TRUE, _xlpm.MyAuditVal, _xlpm.MacVal)
)</f>
        <v/>
      </c>
    </row>
    <row r="789" spans="1:24">
      <c r="A789" s="40" t="str">
        <f>_xlfn.TEXTJOIN("",TRUE,Input!$B$2,ROW(My_Audit!A788))</f>
        <v>X788</v>
      </c>
      <c r="B789" s="40" t="str">
        <f>_xlfn.TEXTJOIN("-",TRUE,"ITD",Input!$A$2,A789)</f>
        <v>ITD-X788</v>
      </c>
      <c r="C789" s="40" t="str" cm="1">
        <f t="array" ref="C789">IFERROR(_xlfn.LET(
_xlpm.CSVVal,_xlfn.XLOOKUP($A789,CSV!$A:$A,CSV!B:B,""),
_xlpm.MacVal,_xlfn.XLOOKUP($A789,Output_Mac!$A:$A,Output_Mac!B:B,""),
_xlpm.MyAuditVal,_xlfn.XLOOKUP($A789,My_Audit!$A:$A,My_Audit!B:B,""),
_xlfn.IFS(_xlpm.MyAuditVal&lt;&gt;"",UPPER(_xlpm.MyAuditVal),_xlpm.MacVal&lt;&gt;"",_xlpm.MacVal,_xlpm.CSVVal&lt;&gt;"",_xlpm.CSVVal
)),"")</f>
        <v/>
      </c>
      <c r="D789" s="40" t="str" cm="1">
        <f t="array" ref="D789">IFERROR(_xlfn.LET(
_xlpm.CSVVal,_xlfn.XLOOKUP($A789,CSV!$A:$A,CSV!D:D,""),
_xlpm.MacVal,_xlfn.XLOOKUP($A789,Output_Mac!$A:$A,Output_Mac!C:C,""),
_xlpm.MyAuditVal,_xlfn.XLOOKUP($A789,My_Audit!$A:$A,My_Audit!C:C,""),
_xlfn.IFS(_xlpm.MyAuditVal&lt;&gt;"",_xlpm.MyAuditVal,_xlpm.MacVal&lt;&gt;"",_xlpm.MacVal,_xlpm.CSVVal&lt;&gt;"",_xlpm.CSVVal
)),"")</f>
        <v/>
      </c>
      <c r="E789" s="40" t="str">
        <f>_xlfn.XLOOKUP(A789,My_Audit!A:A,My_Audit!D:D,"")</f>
        <v/>
      </c>
      <c r="F789" s="40" t="str" cm="1">
        <f t="array" ref="F789">IFERROR(_xlfn.LET(
_xlpm.CSVVal,_xlfn.XLOOKUP($A789,CSV!$A:$A,CSV!F:F,""),
_xlpm.MacVal,_xlfn.XLOOKUP($A789,Output_Mac!$A:$A,Output_Mac!E:E,""),
_xlpm.MyAuditVal,_xlfn.XLOOKUP($A789,My_Audit!$A:$A,My_Audit!E:E,""),
_xlfn.IFS(_xlpm.MyAuditVal&lt;&gt;"",_xlpm.MyAuditVal,_xlpm.MacVal&lt;&gt;"",_xlpm.MacVal,_xlpm.CSVVal&lt;&gt;"",_xlpm.CSVVal
)),"")</f>
        <v/>
      </c>
      <c r="G789" s="40" t="str" cm="1">
        <f t="array" ref="G789">IFERROR(_xlfn.LET(
_xlpm.CSVVal,_xlfn.XLOOKUP($A789,CSV!$A:$A,CSV!G:G,""),
_xlpm.MacVal,_xlfn.XLOOKUP($A789,Output_Mac!$A:$A,Output_Mac!F:F,""),
_xlpm.MyAuditVal,_xlfn.XLOOKUP($A789,My_Audit!$A:$A,My_Audit!F:F,""),
_xlfn.IFS(_xlpm.MyAuditVal&lt;&gt;"",_xlpm.MyAuditVal,_xlpm.MacVal&lt;&gt;"",_xlpm.MacVal,_xlpm.CSVVal&lt;&gt;"",PROPER(_xlpm.CSVVal)
)),"")</f>
        <v/>
      </c>
      <c r="H789" s="40" t="str" cm="1">
        <f t="array" ref="H789">IFERROR(_xlfn.LET(
_xlpm.CSVVal,_xlfn.XLOOKUP($A789,CSV!$A:$A,CSV!H:H,""),
_xlpm.MacVal,_xlfn.XLOOKUP($A789,Output_Mac!$A:$A,Output_Mac!H:H,""),
_xlpm.MyAuditVal,_xlfn.XLOOKUP($A789,My_Audit!$A:$A,My_Audit!G:G,""),
_xlfn.IFS(_xlpm.MyAuditVal&lt;&gt;"",_xlpm.MyAuditVal,_xlpm.MacVal&lt;&gt;"",_xlpm.MacVal,_xlpm.CSVVal&lt;&gt;"",_xlpm.CSVVal
)),"")</f>
        <v/>
      </c>
      <c r="I789" s="40" t="str">
        <f>_xlfn.XLOOKUP(A789,Output_Mac!A:A,Output_Mac!I:I,"")</f>
        <v/>
      </c>
      <c r="J789" s="40" t="str" cm="1">
        <f t="array" ref="J789">IFERROR(_xlfn.LET(
_xlpm.CSVVal,_xlfn.XLOOKUP($A789,CSV!$A:$A,CSV!I:I,""),
_xlpm.MacVal,_xlfn.XLOOKUP($A789,Output_Mac!$A:$A,Output_Mac!J:J,""),
_xlpm.MyAuditVal,_xlfn.XLOOKUP($A789,My_Audit!$A:$A,My_Audit!I:I,""),
_xlfn.IFS(_xlpm.MyAuditVal&lt;&gt;"",UPPER(_xlpm.MyAuditVal),_xlpm.MacVal&lt;&gt;"",_xlpm.MacVal,_xlpm.CSVVal&lt;&gt;"",_xlpm.CSVVal
)),"")</f>
        <v/>
      </c>
      <c r="K789" s="40" t="str" cm="1">
        <f t="array" ref="K789">IFERROR(_xlfn.LET(
_xlpm.CSVVal,_xlfn.XLOOKUP($A789,CSV!$A:$A,CSV!K:K,""),
_xlpm.MacVal,_xlfn.XLOOKUP($A789,Output_Mac!$A:$A,Output_Mac!K:K,""),
_xlpm.MyAuditVal,_xlfn.XLOOKUP($A789,My_Audit!$A:$A,My_Audit!J:J,""),
_xlfn.IFS(_xlpm.MyAuditVal&lt;&gt;"",UPPER(_xlpm.MyAuditVal),_xlpm.MacVal&lt;&gt;"",_xlpm.MacVal,_xlpm.CSVVal&lt;&gt;"",_xlpm.CSVVal
)),"")</f>
        <v/>
      </c>
      <c r="L789" s="40" t="str" cm="1">
        <f t="array" ref="L789">IFERROR(_xlfn.LET(
_xlpm.CSVVal,_xlfn.XLOOKUP($A789,CSV!$A:$A,CSV!P:P,""),
_xlpm.MacVal,_xlfn.XLOOKUP($A789,Output_Mac!$A:$A,Output_Mac!L:L,""),
_xlpm.MyAuditVal,_xlfn.XLOOKUP($A789,My_Audit!$A:$A,My_Audit!K:K,""),
_xlfn.IFS(_xlpm.MyAuditVal&lt;&gt;"",UPPER(_xlpm.MyAuditVal),_xlpm.MacVal&lt;&gt;"",_xlpm.MacVal,_xlpm.CSVVal&lt;&gt;"",_xlpm.CSVVal
)),"")</f>
        <v/>
      </c>
      <c r="M789" s="40" t="str" cm="1">
        <f t="array" ref="M789">IFERROR(_xlfn.LET(
_xlpm.CSVVal,_xlfn.XLOOKUP($A789,CSV!$A:$A,CSV!Q:Q,""),
_xlpm.MacVal,_xlfn.XLOOKUP($A789,Output_Mac!$A:$A,Output_Mac!M:M,""),
_xlpm.MyAuditVal,_xlfn.XLOOKUP($A789,My_Audit!$A:$A,My_Audit!L:L,""),
_xlfn.IFS(_xlpm.MyAuditVal&lt;&gt;"",UPPER(_xlpm.MyAuditVal),_xlpm.MacVal&lt;&gt;"",_xlpm.MacVal,_xlpm.CSVVal&lt;&gt;"",_xlpm.CSVVal
)),"")</f>
        <v/>
      </c>
      <c r="N789" s="40"/>
      <c r="O789" s="40" t="str">
        <f>_xlfn.LET(
    _xlpm.CSVVal, _xlfn.XLOOKUP($A789, CSV!$A:$A, CSV!AA:AA, ""),
    _xlpm.MacVal, _xlfn.XLOOKUP($A789, Output_Mac!$A:$A, Output_Mac!S:S, ""),
    _xlpm.MyAuditVal, _xlfn.XLOOKUP($A789, My_Audit!$A:$A, My_Audit!P:P, ""),
    _xlfn.TEXTJOIN(", ", TRUE, _xlpm.MyAuditVal, _xlpm.MacVal, _xlpm.CSVVal)
)</f>
        <v/>
      </c>
      <c r="P789" s="40" t="str" cm="1">
        <f t="array" ref="P789">IFERROR(_xlfn.LET(
_xlpm.CSVVal,_xlfn.XLOOKUP($A789,CSV!$A:$A,CSV!AB:AB,""),
_xlpm.MacVal,_xlfn.XLOOKUP($A789,Output_Mac!$A:$A,Output_Mac!T:T,""),
_xlpm.MyAuditVal,_xlfn.XLOOKUP($A789,My_Audit!$A:$A,My_Audit!Q:Q,""),
_xlfn.IFS(_xlpm.MyAuditVal&lt;&gt;"",UPPER(_xlpm.MyAuditVal),_xlpm.MacVal&lt;&gt;"",_xlpm.MacVal,_xlpm.CSVVal&lt;&gt;"",_xlpm.CSVVal
)),"No")</f>
        <v>No</v>
      </c>
      <c r="Q789" s="40" t="str" cm="1">
        <f t="array" ref="Q789">IFERROR(_xlfn.LET(
_xlpm.CSVVal,_xlfn.XLOOKUP($A789,CSV!$A:$A,CSV!AC:AC,""),
_xlpm.MacVal,_xlfn.XLOOKUP($A789,Output_Mac!$A:$A,Output_Mac!U:U,""),
_xlpm.MyAuditVal,_xlfn.XLOOKUP($A789,My_Audit!$A:$A,My_Audit!R:R,""),
_xlfn.IFS(_xlpm.MyAuditVal&lt;&gt;"",UPPER(_xlpm.MyAuditVal),_xlpm.MacVal&lt;&gt;"",_xlpm.MacVal,_xlpm.CSVVal&lt;&gt;"",_xlpm.CSVVal
)),"")</f>
        <v/>
      </c>
      <c r="R789" s="40"/>
      <c r="S789" s="40"/>
      <c r="T789" s="40"/>
      <c r="U789" s="40"/>
      <c r="V789" s="40"/>
      <c r="W789" s="40"/>
      <c r="X789" s="41" t="str">
        <f>_xlfn.LET(
    _xlpm.MacVal, _xlfn.XLOOKUP($A789, Output_Mac!$A:$A, Output_Mac!AB:AB, ""),
    _xlpm.MyAuditVal, _xlfn.XLOOKUP($A789, My_Audit!$A:$A, My_Audit!N:N, ""),
    _xlfn.TEXTJOIN(", ", TRUE, _xlpm.MyAuditVal, _xlpm.MacVal)
)</f>
        <v/>
      </c>
    </row>
    <row r="790" spans="1:24">
      <c r="A790" s="40" t="str">
        <f>_xlfn.TEXTJOIN("",TRUE,Input!$B$2,ROW(My_Audit!A789))</f>
        <v>X789</v>
      </c>
      <c r="B790" s="40" t="str">
        <f>_xlfn.TEXTJOIN("-",TRUE,"ITD",Input!$A$2,A790)</f>
        <v>ITD-X789</v>
      </c>
      <c r="C790" s="40" t="str" cm="1">
        <f t="array" ref="C790">IFERROR(_xlfn.LET(
_xlpm.CSVVal,_xlfn.XLOOKUP($A790,CSV!$A:$A,CSV!B:B,""),
_xlpm.MacVal,_xlfn.XLOOKUP($A790,Output_Mac!$A:$A,Output_Mac!B:B,""),
_xlpm.MyAuditVal,_xlfn.XLOOKUP($A790,My_Audit!$A:$A,My_Audit!B:B,""),
_xlfn.IFS(_xlpm.MyAuditVal&lt;&gt;"",UPPER(_xlpm.MyAuditVal),_xlpm.MacVal&lt;&gt;"",_xlpm.MacVal,_xlpm.CSVVal&lt;&gt;"",_xlpm.CSVVal
)),"")</f>
        <v/>
      </c>
      <c r="D790" s="40" t="str" cm="1">
        <f t="array" ref="D790">IFERROR(_xlfn.LET(
_xlpm.CSVVal,_xlfn.XLOOKUP($A790,CSV!$A:$A,CSV!D:D,""),
_xlpm.MacVal,_xlfn.XLOOKUP($A790,Output_Mac!$A:$A,Output_Mac!C:C,""),
_xlpm.MyAuditVal,_xlfn.XLOOKUP($A790,My_Audit!$A:$A,My_Audit!C:C,""),
_xlfn.IFS(_xlpm.MyAuditVal&lt;&gt;"",_xlpm.MyAuditVal,_xlpm.MacVal&lt;&gt;"",_xlpm.MacVal,_xlpm.CSVVal&lt;&gt;"",_xlpm.CSVVal
)),"")</f>
        <v/>
      </c>
      <c r="E790" s="40" t="str">
        <f>_xlfn.XLOOKUP(A790,My_Audit!A:A,My_Audit!D:D,"")</f>
        <v/>
      </c>
      <c r="F790" s="40" t="str" cm="1">
        <f t="array" ref="F790">IFERROR(_xlfn.LET(
_xlpm.CSVVal,_xlfn.XLOOKUP($A790,CSV!$A:$A,CSV!F:F,""),
_xlpm.MacVal,_xlfn.XLOOKUP($A790,Output_Mac!$A:$A,Output_Mac!E:E,""),
_xlpm.MyAuditVal,_xlfn.XLOOKUP($A790,My_Audit!$A:$A,My_Audit!E:E,""),
_xlfn.IFS(_xlpm.MyAuditVal&lt;&gt;"",_xlpm.MyAuditVal,_xlpm.MacVal&lt;&gt;"",_xlpm.MacVal,_xlpm.CSVVal&lt;&gt;"",_xlpm.CSVVal
)),"")</f>
        <v/>
      </c>
      <c r="G790" s="40" t="str" cm="1">
        <f t="array" ref="G790">IFERROR(_xlfn.LET(
_xlpm.CSVVal,_xlfn.XLOOKUP($A790,CSV!$A:$A,CSV!G:G,""),
_xlpm.MacVal,_xlfn.XLOOKUP($A790,Output_Mac!$A:$A,Output_Mac!F:F,""),
_xlpm.MyAuditVal,_xlfn.XLOOKUP($A790,My_Audit!$A:$A,My_Audit!F:F,""),
_xlfn.IFS(_xlpm.MyAuditVal&lt;&gt;"",_xlpm.MyAuditVal,_xlpm.MacVal&lt;&gt;"",_xlpm.MacVal,_xlpm.CSVVal&lt;&gt;"",PROPER(_xlpm.CSVVal)
)),"")</f>
        <v/>
      </c>
      <c r="H790" s="40" t="str" cm="1">
        <f t="array" ref="H790">IFERROR(_xlfn.LET(
_xlpm.CSVVal,_xlfn.XLOOKUP($A790,CSV!$A:$A,CSV!H:H,""),
_xlpm.MacVal,_xlfn.XLOOKUP($A790,Output_Mac!$A:$A,Output_Mac!H:H,""),
_xlpm.MyAuditVal,_xlfn.XLOOKUP($A790,My_Audit!$A:$A,My_Audit!G:G,""),
_xlfn.IFS(_xlpm.MyAuditVal&lt;&gt;"",_xlpm.MyAuditVal,_xlpm.MacVal&lt;&gt;"",_xlpm.MacVal,_xlpm.CSVVal&lt;&gt;"",_xlpm.CSVVal
)),"")</f>
        <v/>
      </c>
      <c r="I790" s="40" t="str">
        <f>_xlfn.XLOOKUP(A790,Output_Mac!A:A,Output_Mac!I:I,"")</f>
        <v/>
      </c>
      <c r="J790" s="40" t="str" cm="1">
        <f t="array" ref="J790">IFERROR(_xlfn.LET(
_xlpm.CSVVal,_xlfn.XLOOKUP($A790,CSV!$A:$A,CSV!I:I,""),
_xlpm.MacVal,_xlfn.XLOOKUP($A790,Output_Mac!$A:$A,Output_Mac!J:J,""),
_xlpm.MyAuditVal,_xlfn.XLOOKUP($A790,My_Audit!$A:$A,My_Audit!I:I,""),
_xlfn.IFS(_xlpm.MyAuditVal&lt;&gt;"",UPPER(_xlpm.MyAuditVal),_xlpm.MacVal&lt;&gt;"",_xlpm.MacVal,_xlpm.CSVVal&lt;&gt;"",_xlpm.CSVVal
)),"")</f>
        <v/>
      </c>
      <c r="K790" s="40" t="str" cm="1">
        <f t="array" ref="K790">IFERROR(_xlfn.LET(
_xlpm.CSVVal,_xlfn.XLOOKUP($A790,CSV!$A:$A,CSV!K:K,""),
_xlpm.MacVal,_xlfn.XLOOKUP($A790,Output_Mac!$A:$A,Output_Mac!K:K,""),
_xlpm.MyAuditVal,_xlfn.XLOOKUP($A790,My_Audit!$A:$A,My_Audit!J:J,""),
_xlfn.IFS(_xlpm.MyAuditVal&lt;&gt;"",UPPER(_xlpm.MyAuditVal),_xlpm.MacVal&lt;&gt;"",_xlpm.MacVal,_xlpm.CSVVal&lt;&gt;"",_xlpm.CSVVal
)),"")</f>
        <v/>
      </c>
      <c r="L790" s="40" t="str" cm="1">
        <f t="array" ref="L790">IFERROR(_xlfn.LET(
_xlpm.CSVVal,_xlfn.XLOOKUP($A790,CSV!$A:$A,CSV!P:P,""),
_xlpm.MacVal,_xlfn.XLOOKUP($A790,Output_Mac!$A:$A,Output_Mac!L:L,""),
_xlpm.MyAuditVal,_xlfn.XLOOKUP($A790,My_Audit!$A:$A,My_Audit!K:K,""),
_xlfn.IFS(_xlpm.MyAuditVal&lt;&gt;"",UPPER(_xlpm.MyAuditVal),_xlpm.MacVal&lt;&gt;"",_xlpm.MacVal,_xlpm.CSVVal&lt;&gt;"",_xlpm.CSVVal
)),"")</f>
        <v/>
      </c>
      <c r="M790" s="40" t="str" cm="1">
        <f t="array" ref="M790">IFERROR(_xlfn.LET(
_xlpm.CSVVal,_xlfn.XLOOKUP($A790,CSV!$A:$A,CSV!Q:Q,""),
_xlpm.MacVal,_xlfn.XLOOKUP($A790,Output_Mac!$A:$A,Output_Mac!M:M,""),
_xlpm.MyAuditVal,_xlfn.XLOOKUP($A790,My_Audit!$A:$A,My_Audit!L:L,""),
_xlfn.IFS(_xlpm.MyAuditVal&lt;&gt;"",UPPER(_xlpm.MyAuditVal),_xlpm.MacVal&lt;&gt;"",_xlpm.MacVal,_xlpm.CSVVal&lt;&gt;"",_xlpm.CSVVal
)),"")</f>
        <v/>
      </c>
      <c r="N790" s="40"/>
      <c r="O790" s="40" t="str">
        <f>_xlfn.LET(
    _xlpm.CSVVal, _xlfn.XLOOKUP($A790, CSV!$A:$A, CSV!AA:AA, ""),
    _xlpm.MacVal, _xlfn.XLOOKUP($A790, Output_Mac!$A:$A, Output_Mac!S:S, ""),
    _xlpm.MyAuditVal, _xlfn.XLOOKUP($A790, My_Audit!$A:$A, My_Audit!P:P, ""),
    _xlfn.TEXTJOIN(", ", TRUE, _xlpm.MyAuditVal, _xlpm.MacVal, _xlpm.CSVVal)
)</f>
        <v/>
      </c>
      <c r="P790" s="40" t="str" cm="1">
        <f t="array" ref="P790">IFERROR(_xlfn.LET(
_xlpm.CSVVal,_xlfn.XLOOKUP($A790,CSV!$A:$A,CSV!AB:AB,""),
_xlpm.MacVal,_xlfn.XLOOKUP($A790,Output_Mac!$A:$A,Output_Mac!T:T,""),
_xlpm.MyAuditVal,_xlfn.XLOOKUP($A790,My_Audit!$A:$A,My_Audit!Q:Q,""),
_xlfn.IFS(_xlpm.MyAuditVal&lt;&gt;"",UPPER(_xlpm.MyAuditVal),_xlpm.MacVal&lt;&gt;"",_xlpm.MacVal,_xlpm.CSVVal&lt;&gt;"",_xlpm.CSVVal
)),"No")</f>
        <v>No</v>
      </c>
      <c r="Q790" s="40" t="str" cm="1">
        <f t="array" ref="Q790">IFERROR(_xlfn.LET(
_xlpm.CSVVal,_xlfn.XLOOKUP($A790,CSV!$A:$A,CSV!AC:AC,""),
_xlpm.MacVal,_xlfn.XLOOKUP($A790,Output_Mac!$A:$A,Output_Mac!U:U,""),
_xlpm.MyAuditVal,_xlfn.XLOOKUP($A790,My_Audit!$A:$A,My_Audit!R:R,""),
_xlfn.IFS(_xlpm.MyAuditVal&lt;&gt;"",UPPER(_xlpm.MyAuditVal),_xlpm.MacVal&lt;&gt;"",_xlpm.MacVal,_xlpm.CSVVal&lt;&gt;"",_xlpm.CSVVal
)),"")</f>
        <v/>
      </c>
      <c r="R790" s="40"/>
      <c r="S790" s="40"/>
      <c r="T790" s="40"/>
      <c r="U790" s="40"/>
      <c r="V790" s="40"/>
      <c r="W790" s="40"/>
      <c r="X790" s="41" t="str">
        <f>_xlfn.LET(
    _xlpm.MacVal, _xlfn.XLOOKUP($A790, Output_Mac!$A:$A, Output_Mac!AB:AB, ""),
    _xlpm.MyAuditVal, _xlfn.XLOOKUP($A790, My_Audit!$A:$A, My_Audit!N:N, ""),
    _xlfn.TEXTJOIN(", ", TRUE, _xlpm.MyAuditVal, _xlpm.MacVal)
)</f>
        <v/>
      </c>
    </row>
    <row r="791" spans="1:24">
      <c r="A791" s="40" t="str">
        <f>_xlfn.TEXTJOIN("",TRUE,Input!$B$2,ROW(My_Audit!A790))</f>
        <v>X790</v>
      </c>
      <c r="B791" s="40" t="str">
        <f>_xlfn.TEXTJOIN("-",TRUE,"ITD",Input!$A$2,A791)</f>
        <v>ITD-X790</v>
      </c>
      <c r="C791" s="40" t="str" cm="1">
        <f t="array" ref="C791">IFERROR(_xlfn.LET(
_xlpm.CSVVal,_xlfn.XLOOKUP($A791,CSV!$A:$A,CSV!B:B,""),
_xlpm.MacVal,_xlfn.XLOOKUP($A791,Output_Mac!$A:$A,Output_Mac!B:B,""),
_xlpm.MyAuditVal,_xlfn.XLOOKUP($A791,My_Audit!$A:$A,My_Audit!B:B,""),
_xlfn.IFS(_xlpm.MyAuditVal&lt;&gt;"",UPPER(_xlpm.MyAuditVal),_xlpm.MacVal&lt;&gt;"",_xlpm.MacVal,_xlpm.CSVVal&lt;&gt;"",_xlpm.CSVVal
)),"")</f>
        <v/>
      </c>
      <c r="D791" s="40" t="str" cm="1">
        <f t="array" ref="D791">IFERROR(_xlfn.LET(
_xlpm.CSVVal,_xlfn.XLOOKUP($A791,CSV!$A:$A,CSV!D:D,""),
_xlpm.MacVal,_xlfn.XLOOKUP($A791,Output_Mac!$A:$A,Output_Mac!C:C,""),
_xlpm.MyAuditVal,_xlfn.XLOOKUP($A791,My_Audit!$A:$A,My_Audit!C:C,""),
_xlfn.IFS(_xlpm.MyAuditVal&lt;&gt;"",_xlpm.MyAuditVal,_xlpm.MacVal&lt;&gt;"",_xlpm.MacVal,_xlpm.CSVVal&lt;&gt;"",_xlpm.CSVVal
)),"")</f>
        <v/>
      </c>
      <c r="E791" s="40" t="str">
        <f>_xlfn.XLOOKUP(A791,My_Audit!A:A,My_Audit!D:D,"")</f>
        <v/>
      </c>
      <c r="F791" s="40" t="str" cm="1">
        <f t="array" ref="F791">IFERROR(_xlfn.LET(
_xlpm.CSVVal,_xlfn.XLOOKUP($A791,CSV!$A:$A,CSV!F:F,""),
_xlpm.MacVal,_xlfn.XLOOKUP($A791,Output_Mac!$A:$A,Output_Mac!E:E,""),
_xlpm.MyAuditVal,_xlfn.XLOOKUP($A791,My_Audit!$A:$A,My_Audit!E:E,""),
_xlfn.IFS(_xlpm.MyAuditVal&lt;&gt;"",_xlpm.MyAuditVal,_xlpm.MacVal&lt;&gt;"",_xlpm.MacVal,_xlpm.CSVVal&lt;&gt;"",_xlpm.CSVVal
)),"")</f>
        <v/>
      </c>
      <c r="G791" s="40" t="str" cm="1">
        <f t="array" ref="G791">IFERROR(_xlfn.LET(
_xlpm.CSVVal,_xlfn.XLOOKUP($A791,CSV!$A:$A,CSV!G:G,""),
_xlpm.MacVal,_xlfn.XLOOKUP($A791,Output_Mac!$A:$A,Output_Mac!F:F,""),
_xlpm.MyAuditVal,_xlfn.XLOOKUP($A791,My_Audit!$A:$A,My_Audit!F:F,""),
_xlfn.IFS(_xlpm.MyAuditVal&lt;&gt;"",_xlpm.MyAuditVal,_xlpm.MacVal&lt;&gt;"",_xlpm.MacVal,_xlpm.CSVVal&lt;&gt;"",PROPER(_xlpm.CSVVal)
)),"")</f>
        <v/>
      </c>
      <c r="H791" s="40" t="str" cm="1">
        <f t="array" ref="H791">IFERROR(_xlfn.LET(
_xlpm.CSVVal,_xlfn.XLOOKUP($A791,CSV!$A:$A,CSV!H:H,""),
_xlpm.MacVal,_xlfn.XLOOKUP($A791,Output_Mac!$A:$A,Output_Mac!H:H,""),
_xlpm.MyAuditVal,_xlfn.XLOOKUP($A791,My_Audit!$A:$A,My_Audit!G:G,""),
_xlfn.IFS(_xlpm.MyAuditVal&lt;&gt;"",_xlpm.MyAuditVal,_xlpm.MacVal&lt;&gt;"",_xlpm.MacVal,_xlpm.CSVVal&lt;&gt;"",_xlpm.CSVVal
)),"")</f>
        <v/>
      </c>
      <c r="I791" s="40" t="str">
        <f>_xlfn.XLOOKUP(A791,Output_Mac!A:A,Output_Mac!I:I,"")</f>
        <v/>
      </c>
      <c r="J791" s="40" t="str" cm="1">
        <f t="array" ref="J791">IFERROR(_xlfn.LET(
_xlpm.CSVVal,_xlfn.XLOOKUP($A791,CSV!$A:$A,CSV!I:I,""),
_xlpm.MacVal,_xlfn.XLOOKUP($A791,Output_Mac!$A:$A,Output_Mac!J:J,""),
_xlpm.MyAuditVal,_xlfn.XLOOKUP($A791,My_Audit!$A:$A,My_Audit!I:I,""),
_xlfn.IFS(_xlpm.MyAuditVal&lt;&gt;"",UPPER(_xlpm.MyAuditVal),_xlpm.MacVal&lt;&gt;"",_xlpm.MacVal,_xlpm.CSVVal&lt;&gt;"",_xlpm.CSVVal
)),"")</f>
        <v/>
      </c>
      <c r="K791" s="40" t="str" cm="1">
        <f t="array" ref="K791">IFERROR(_xlfn.LET(
_xlpm.CSVVal,_xlfn.XLOOKUP($A791,CSV!$A:$A,CSV!K:K,""),
_xlpm.MacVal,_xlfn.XLOOKUP($A791,Output_Mac!$A:$A,Output_Mac!K:K,""),
_xlpm.MyAuditVal,_xlfn.XLOOKUP($A791,My_Audit!$A:$A,My_Audit!J:J,""),
_xlfn.IFS(_xlpm.MyAuditVal&lt;&gt;"",UPPER(_xlpm.MyAuditVal),_xlpm.MacVal&lt;&gt;"",_xlpm.MacVal,_xlpm.CSVVal&lt;&gt;"",_xlpm.CSVVal
)),"")</f>
        <v/>
      </c>
      <c r="L791" s="40" t="str" cm="1">
        <f t="array" ref="L791">IFERROR(_xlfn.LET(
_xlpm.CSVVal,_xlfn.XLOOKUP($A791,CSV!$A:$A,CSV!P:P,""),
_xlpm.MacVal,_xlfn.XLOOKUP($A791,Output_Mac!$A:$A,Output_Mac!L:L,""),
_xlpm.MyAuditVal,_xlfn.XLOOKUP($A791,My_Audit!$A:$A,My_Audit!K:K,""),
_xlfn.IFS(_xlpm.MyAuditVal&lt;&gt;"",UPPER(_xlpm.MyAuditVal),_xlpm.MacVal&lt;&gt;"",_xlpm.MacVal,_xlpm.CSVVal&lt;&gt;"",_xlpm.CSVVal
)),"")</f>
        <v/>
      </c>
      <c r="M791" s="40" t="str" cm="1">
        <f t="array" ref="M791">IFERROR(_xlfn.LET(
_xlpm.CSVVal,_xlfn.XLOOKUP($A791,CSV!$A:$A,CSV!Q:Q,""),
_xlpm.MacVal,_xlfn.XLOOKUP($A791,Output_Mac!$A:$A,Output_Mac!M:M,""),
_xlpm.MyAuditVal,_xlfn.XLOOKUP($A791,My_Audit!$A:$A,My_Audit!L:L,""),
_xlfn.IFS(_xlpm.MyAuditVal&lt;&gt;"",UPPER(_xlpm.MyAuditVal),_xlpm.MacVal&lt;&gt;"",_xlpm.MacVal,_xlpm.CSVVal&lt;&gt;"",_xlpm.CSVVal
)),"")</f>
        <v/>
      </c>
      <c r="N791" s="40"/>
      <c r="O791" s="40" t="str">
        <f>_xlfn.LET(
    _xlpm.CSVVal, _xlfn.XLOOKUP($A791, CSV!$A:$A, CSV!AA:AA, ""),
    _xlpm.MacVal, _xlfn.XLOOKUP($A791, Output_Mac!$A:$A, Output_Mac!S:S, ""),
    _xlpm.MyAuditVal, _xlfn.XLOOKUP($A791, My_Audit!$A:$A, My_Audit!P:P, ""),
    _xlfn.TEXTJOIN(", ", TRUE, _xlpm.MyAuditVal, _xlpm.MacVal, _xlpm.CSVVal)
)</f>
        <v/>
      </c>
      <c r="P791" s="40" t="str" cm="1">
        <f t="array" ref="P791">IFERROR(_xlfn.LET(
_xlpm.CSVVal,_xlfn.XLOOKUP($A791,CSV!$A:$A,CSV!AB:AB,""),
_xlpm.MacVal,_xlfn.XLOOKUP($A791,Output_Mac!$A:$A,Output_Mac!T:T,""),
_xlpm.MyAuditVal,_xlfn.XLOOKUP($A791,My_Audit!$A:$A,My_Audit!Q:Q,""),
_xlfn.IFS(_xlpm.MyAuditVal&lt;&gt;"",UPPER(_xlpm.MyAuditVal),_xlpm.MacVal&lt;&gt;"",_xlpm.MacVal,_xlpm.CSVVal&lt;&gt;"",_xlpm.CSVVal
)),"No")</f>
        <v>No</v>
      </c>
      <c r="Q791" s="40" t="str" cm="1">
        <f t="array" ref="Q791">IFERROR(_xlfn.LET(
_xlpm.CSVVal,_xlfn.XLOOKUP($A791,CSV!$A:$A,CSV!AC:AC,""),
_xlpm.MacVal,_xlfn.XLOOKUP($A791,Output_Mac!$A:$A,Output_Mac!U:U,""),
_xlpm.MyAuditVal,_xlfn.XLOOKUP($A791,My_Audit!$A:$A,My_Audit!R:R,""),
_xlfn.IFS(_xlpm.MyAuditVal&lt;&gt;"",UPPER(_xlpm.MyAuditVal),_xlpm.MacVal&lt;&gt;"",_xlpm.MacVal,_xlpm.CSVVal&lt;&gt;"",_xlpm.CSVVal
)),"")</f>
        <v/>
      </c>
      <c r="R791" s="40"/>
      <c r="S791" s="40"/>
      <c r="T791" s="40"/>
      <c r="U791" s="40"/>
      <c r="V791" s="40"/>
      <c r="W791" s="40"/>
      <c r="X791" s="41" t="str">
        <f>_xlfn.LET(
    _xlpm.MacVal, _xlfn.XLOOKUP($A791, Output_Mac!$A:$A, Output_Mac!AB:AB, ""),
    _xlpm.MyAuditVal, _xlfn.XLOOKUP($A791, My_Audit!$A:$A, My_Audit!N:N, ""),
    _xlfn.TEXTJOIN(", ", TRUE, _xlpm.MyAuditVal, _xlpm.MacVal)
)</f>
        <v/>
      </c>
    </row>
    <row r="792" spans="1:24">
      <c r="A792" s="40" t="str">
        <f>_xlfn.TEXTJOIN("",TRUE,Input!$B$2,ROW(My_Audit!A791))</f>
        <v>X791</v>
      </c>
      <c r="B792" s="40" t="str">
        <f>_xlfn.TEXTJOIN("-",TRUE,"ITD",Input!$A$2,A792)</f>
        <v>ITD-X791</v>
      </c>
      <c r="C792" s="40" t="str" cm="1">
        <f t="array" ref="C792">IFERROR(_xlfn.LET(
_xlpm.CSVVal,_xlfn.XLOOKUP($A792,CSV!$A:$A,CSV!B:B,""),
_xlpm.MacVal,_xlfn.XLOOKUP($A792,Output_Mac!$A:$A,Output_Mac!B:B,""),
_xlpm.MyAuditVal,_xlfn.XLOOKUP($A792,My_Audit!$A:$A,My_Audit!B:B,""),
_xlfn.IFS(_xlpm.MyAuditVal&lt;&gt;"",UPPER(_xlpm.MyAuditVal),_xlpm.MacVal&lt;&gt;"",_xlpm.MacVal,_xlpm.CSVVal&lt;&gt;"",_xlpm.CSVVal
)),"")</f>
        <v/>
      </c>
      <c r="D792" s="40" t="str" cm="1">
        <f t="array" ref="D792">IFERROR(_xlfn.LET(
_xlpm.CSVVal,_xlfn.XLOOKUP($A792,CSV!$A:$A,CSV!D:D,""),
_xlpm.MacVal,_xlfn.XLOOKUP($A792,Output_Mac!$A:$A,Output_Mac!C:C,""),
_xlpm.MyAuditVal,_xlfn.XLOOKUP($A792,My_Audit!$A:$A,My_Audit!C:C,""),
_xlfn.IFS(_xlpm.MyAuditVal&lt;&gt;"",_xlpm.MyAuditVal,_xlpm.MacVal&lt;&gt;"",_xlpm.MacVal,_xlpm.CSVVal&lt;&gt;"",_xlpm.CSVVal
)),"")</f>
        <v/>
      </c>
      <c r="E792" s="40" t="str">
        <f>_xlfn.XLOOKUP(A792,My_Audit!A:A,My_Audit!D:D,"")</f>
        <v/>
      </c>
      <c r="F792" s="40" t="str" cm="1">
        <f t="array" ref="F792">IFERROR(_xlfn.LET(
_xlpm.CSVVal,_xlfn.XLOOKUP($A792,CSV!$A:$A,CSV!F:F,""),
_xlpm.MacVal,_xlfn.XLOOKUP($A792,Output_Mac!$A:$A,Output_Mac!E:E,""),
_xlpm.MyAuditVal,_xlfn.XLOOKUP($A792,My_Audit!$A:$A,My_Audit!E:E,""),
_xlfn.IFS(_xlpm.MyAuditVal&lt;&gt;"",_xlpm.MyAuditVal,_xlpm.MacVal&lt;&gt;"",_xlpm.MacVal,_xlpm.CSVVal&lt;&gt;"",_xlpm.CSVVal
)),"")</f>
        <v/>
      </c>
      <c r="G792" s="40" t="str" cm="1">
        <f t="array" ref="G792">IFERROR(_xlfn.LET(
_xlpm.CSVVal,_xlfn.XLOOKUP($A792,CSV!$A:$A,CSV!G:G,""),
_xlpm.MacVal,_xlfn.XLOOKUP($A792,Output_Mac!$A:$A,Output_Mac!F:F,""),
_xlpm.MyAuditVal,_xlfn.XLOOKUP($A792,My_Audit!$A:$A,My_Audit!F:F,""),
_xlfn.IFS(_xlpm.MyAuditVal&lt;&gt;"",_xlpm.MyAuditVal,_xlpm.MacVal&lt;&gt;"",_xlpm.MacVal,_xlpm.CSVVal&lt;&gt;"",PROPER(_xlpm.CSVVal)
)),"")</f>
        <v/>
      </c>
      <c r="H792" s="40" t="str" cm="1">
        <f t="array" ref="H792">IFERROR(_xlfn.LET(
_xlpm.CSVVal,_xlfn.XLOOKUP($A792,CSV!$A:$A,CSV!H:H,""),
_xlpm.MacVal,_xlfn.XLOOKUP($A792,Output_Mac!$A:$A,Output_Mac!H:H,""),
_xlpm.MyAuditVal,_xlfn.XLOOKUP($A792,My_Audit!$A:$A,My_Audit!G:G,""),
_xlfn.IFS(_xlpm.MyAuditVal&lt;&gt;"",_xlpm.MyAuditVal,_xlpm.MacVal&lt;&gt;"",_xlpm.MacVal,_xlpm.CSVVal&lt;&gt;"",_xlpm.CSVVal
)),"")</f>
        <v/>
      </c>
      <c r="I792" s="40" t="str">
        <f>_xlfn.XLOOKUP(A792,Output_Mac!A:A,Output_Mac!I:I,"")</f>
        <v/>
      </c>
      <c r="J792" s="40" t="str" cm="1">
        <f t="array" ref="J792">IFERROR(_xlfn.LET(
_xlpm.CSVVal,_xlfn.XLOOKUP($A792,CSV!$A:$A,CSV!I:I,""),
_xlpm.MacVal,_xlfn.XLOOKUP($A792,Output_Mac!$A:$A,Output_Mac!J:J,""),
_xlpm.MyAuditVal,_xlfn.XLOOKUP($A792,My_Audit!$A:$A,My_Audit!I:I,""),
_xlfn.IFS(_xlpm.MyAuditVal&lt;&gt;"",UPPER(_xlpm.MyAuditVal),_xlpm.MacVal&lt;&gt;"",_xlpm.MacVal,_xlpm.CSVVal&lt;&gt;"",_xlpm.CSVVal
)),"")</f>
        <v/>
      </c>
      <c r="K792" s="40" t="str" cm="1">
        <f t="array" ref="K792">IFERROR(_xlfn.LET(
_xlpm.CSVVal,_xlfn.XLOOKUP($A792,CSV!$A:$A,CSV!K:K,""),
_xlpm.MacVal,_xlfn.XLOOKUP($A792,Output_Mac!$A:$A,Output_Mac!K:K,""),
_xlpm.MyAuditVal,_xlfn.XLOOKUP($A792,My_Audit!$A:$A,My_Audit!J:J,""),
_xlfn.IFS(_xlpm.MyAuditVal&lt;&gt;"",UPPER(_xlpm.MyAuditVal),_xlpm.MacVal&lt;&gt;"",_xlpm.MacVal,_xlpm.CSVVal&lt;&gt;"",_xlpm.CSVVal
)),"")</f>
        <v/>
      </c>
      <c r="L792" s="40" t="str" cm="1">
        <f t="array" ref="L792">IFERROR(_xlfn.LET(
_xlpm.CSVVal,_xlfn.XLOOKUP($A792,CSV!$A:$A,CSV!P:P,""),
_xlpm.MacVal,_xlfn.XLOOKUP($A792,Output_Mac!$A:$A,Output_Mac!L:L,""),
_xlpm.MyAuditVal,_xlfn.XLOOKUP($A792,My_Audit!$A:$A,My_Audit!K:K,""),
_xlfn.IFS(_xlpm.MyAuditVal&lt;&gt;"",UPPER(_xlpm.MyAuditVal),_xlpm.MacVal&lt;&gt;"",_xlpm.MacVal,_xlpm.CSVVal&lt;&gt;"",_xlpm.CSVVal
)),"")</f>
        <v/>
      </c>
      <c r="M792" s="40" t="str" cm="1">
        <f t="array" ref="M792">IFERROR(_xlfn.LET(
_xlpm.CSVVal,_xlfn.XLOOKUP($A792,CSV!$A:$A,CSV!Q:Q,""),
_xlpm.MacVal,_xlfn.XLOOKUP($A792,Output_Mac!$A:$A,Output_Mac!M:M,""),
_xlpm.MyAuditVal,_xlfn.XLOOKUP($A792,My_Audit!$A:$A,My_Audit!L:L,""),
_xlfn.IFS(_xlpm.MyAuditVal&lt;&gt;"",UPPER(_xlpm.MyAuditVal),_xlpm.MacVal&lt;&gt;"",_xlpm.MacVal,_xlpm.CSVVal&lt;&gt;"",_xlpm.CSVVal
)),"")</f>
        <v/>
      </c>
      <c r="N792" s="40"/>
      <c r="O792" s="40" t="str">
        <f>_xlfn.LET(
    _xlpm.CSVVal, _xlfn.XLOOKUP($A792, CSV!$A:$A, CSV!AA:AA, ""),
    _xlpm.MacVal, _xlfn.XLOOKUP($A792, Output_Mac!$A:$A, Output_Mac!S:S, ""),
    _xlpm.MyAuditVal, _xlfn.XLOOKUP($A792, My_Audit!$A:$A, My_Audit!P:P, ""),
    _xlfn.TEXTJOIN(", ", TRUE, _xlpm.MyAuditVal, _xlpm.MacVal, _xlpm.CSVVal)
)</f>
        <v/>
      </c>
      <c r="P792" s="40" t="str" cm="1">
        <f t="array" ref="P792">IFERROR(_xlfn.LET(
_xlpm.CSVVal,_xlfn.XLOOKUP($A792,CSV!$A:$A,CSV!AB:AB,""),
_xlpm.MacVal,_xlfn.XLOOKUP($A792,Output_Mac!$A:$A,Output_Mac!T:T,""),
_xlpm.MyAuditVal,_xlfn.XLOOKUP($A792,My_Audit!$A:$A,My_Audit!Q:Q,""),
_xlfn.IFS(_xlpm.MyAuditVal&lt;&gt;"",UPPER(_xlpm.MyAuditVal),_xlpm.MacVal&lt;&gt;"",_xlpm.MacVal,_xlpm.CSVVal&lt;&gt;"",_xlpm.CSVVal
)),"No")</f>
        <v>No</v>
      </c>
      <c r="Q792" s="40" t="str" cm="1">
        <f t="array" ref="Q792">IFERROR(_xlfn.LET(
_xlpm.CSVVal,_xlfn.XLOOKUP($A792,CSV!$A:$A,CSV!AC:AC,""),
_xlpm.MacVal,_xlfn.XLOOKUP($A792,Output_Mac!$A:$A,Output_Mac!U:U,""),
_xlpm.MyAuditVal,_xlfn.XLOOKUP($A792,My_Audit!$A:$A,My_Audit!R:R,""),
_xlfn.IFS(_xlpm.MyAuditVal&lt;&gt;"",UPPER(_xlpm.MyAuditVal),_xlpm.MacVal&lt;&gt;"",_xlpm.MacVal,_xlpm.CSVVal&lt;&gt;"",_xlpm.CSVVal
)),"")</f>
        <v/>
      </c>
      <c r="R792" s="40"/>
      <c r="S792" s="40"/>
      <c r="T792" s="40"/>
      <c r="U792" s="40"/>
      <c r="V792" s="40"/>
      <c r="W792" s="40"/>
      <c r="X792" s="41" t="str">
        <f>_xlfn.LET(
    _xlpm.MacVal, _xlfn.XLOOKUP($A792, Output_Mac!$A:$A, Output_Mac!AB:AB, ""),
    _xlpm.MyAuditVal, _xlfn.XLOOKUP($A792, My_Audit!$A:$A, My_Audit!N:N, ""),
    _xlfn.TEXTJOIN(", ", TRUE, _xlpm.MyAuditVal, _xlpm.MacVal)
)</f>
        <v/>
      </c>
    </row>
    <row r="793" spans="1:24">
      <c r="A793" s="40" t="str">
        <f>_xlfn.TEXTJOIN("",TRUE,Input!$B$2,ROW(My_Audit!A792))</f>
        <v>X792</v>
      </c>
      <c r="B793" s="40" t="str">
        <f>_xlfn.TEXTJOIN("-",TRUE,"ITD",Input!$A$2,A793)</f>
        <v>ITD-X792</v>
      </c>
      <c r="C793" s="40" t="str" cm="1">
        <f t="array" ref="C793">IFERROR(_xlfn.LET(
_xlpm.CSVVal,_xlfn.XLOOKUP($A793,CSV!$A:$A,CSV!B:B,""),
_xlpm.MacVal,_xlfn.XLOOKUP($A793,Output_Mac!$A:$A,Output_Mac!B:B,""),
_xlpm.MyAuditVal,_xlfn.XLOOKUP($A793,My_Audit!$A:$A,My_Audit!B:B,""),
_xlfn.IFS(_xlpm.MyAuditVal&lt;&gt;"",UPPER(_xlpm.MyAuditVal),_xlpm.MacVal&lt;&gt;"",_xlpm.MacVal,_xlpm.CSVVal&lt;&gt;"",_xlpm.CSVVal
)),"")</f>
        <v/>
      </c>
      <c r="D793" s="40" t="str" cm="1">
        <f t="array" ref="D793">IFERROR(_xlfn.LET(
_xlpm.CSVVal,_xlfn.XLOOKUP($A793,CSV!$A:$A,CSV!D:D,""),
_xlpm.MacVal,_xlfn.XLOOKUP($A793,Output_Mac!$A:$A,Output_Mac!C:C,""),
_xlpm.MyAuditVal,_xlfn.XLOOKUP($A793,My_Audit!$A:$A,My_Audit!C:C,""),
_xlfn.IFS(_xlpm.MyAuditVal&lt;&gt;"",_xlpm.MyAuditVal,_xlpm.MacVal&lt;&gt;"",_xlpm.MacVal,_xlpm.CSVVal&lt;&gt;"",_xlpm.CSVVal
)),"")</f>
        <v/>
      </c>
      <c r="E793" s="40" t="str">
        <f>_xlfn.XLOOKUP(A793,My_Audit!A:A,My_Audit!D:D,"")</f>
        <v/>
      </c>
      <c r="F793" s="40" t="str" cm="1">
        <f t="array" ref="F793">IFERROR(_xlfn.LET(
_xlpm.CSVVal,_xlfn.XLOOKUP($A793,CSV!$A:$A,CSV!F:F,""),
_xlpm.MacVal,_xlfn.XLOOKUP($A793,Output_Mac!$A:$A,Output_Mac!E:E,""),
_xlpm.MyAuditVal,_xlfn.XLOOKUP($A793,My_Audit!$A:$A,My_Audit!E:E,""),
_xlfn.IFS(_xlpm.MyAuditVal&lt;&gt;"",_xlpm.MyAuditVal,_xlpm.MacVal&lt;&gt;"",_xlpm.MacVal,_xlpm.CSVVal&lt;&gt;"",_xlpm.CSVVal
)),"")</f>
        <v/>
      </c>
      <c r="G793" s="40" t="str" cm="1">
        <f t="array" ref="G793">IFERROR(_xlfn.LET(
_xlpm.CSVVal,_xlfn.XLOOKUP($A793,CSV!$A:$A,CSV!G:G,""),
_xlpm.MacVal,_xlfn.XLOOKUP($A793,Output_Mac!$A:$A,Output_Mac!F:F,""),
_xlpm.MyAuditVal,_xlfn.XLOOKUP($A793,My_Audit!$A:$A,My_Audit!F:F,""),
_xlfn.IFS(_xlpm.MyAuditVal&lt;&gt;"",_xlpm.MyAuditVal,_xlpm.MacVal&lt;&gt;"",_xlpm.MacVal,_xlpm.CSVVal&lt;&gt;"",PROPER(_xlpm.CSVVal)
)),"")</f>
        <v/>
      </c>
      <c r="H793" s="40" t="str" cm="1">
        <f t="array" ref="H793">IFERROR(_xlfn.LET(
_xlpm.CSVVal,_xlfn.XLOOKUP($A793,CSV!$A:$A,CSV!H:H,""),
_xlpm.MacVal,_xlfn.XLOOKUP($A793,Output_Mac!$A:$A,Output_Mac!H:H,""),
_xlpm.MyAuditVal,_xlfn.XLOOKUP($A793,My_Audit!$A:$A,My_Audit!G:G,""),
_xlfn.IFS(_xlpm.MyAuditVal&lt;&gt;"",_xlpm.MyAuditVal,_xlpm.MacVal&lt;&gt;"",_xlpm.MacVal,_xlpm.CSVVal&lt;&gt;"",_xlpm.CSVVal
)),"")</f>
        <v/>
      </c>
      <c r="I793" s="40" t="str">
        <f>_xlfn.XLOOKUP(A793,Output_Mac!A:A,Output_Mac!I:I,"")</f>
        <v/>
      </c>
      <c r="J793" s="40" t="str" cm="1">
        <f t="array" ref="J793">IFERROR(_xlfn.LET(
_xlpm.CSVVal,_xlfn.XLOOKUP($A793,CSV!$A:$A,CSV!I:I,""),
_xlpm.MacVal,_xlfn.XLOOKUP($A793,Output_Mac!$A:$A,Output_Mac!J:J,""),
_xlpm.MyAuditVal,_xlfn.XLOOKUP($A793,My_Audit!$A:$A,My_Audit!I:I,""),
_xlfn.IFS(_xlpm.MyAuditVal&lt;&gt;"",UPPER(_xlpm.MyAuditVal),_xlpm.MacVal&lt;&gt;"",_xlpm.MacVal,_xlpm.CSVVal&lt;&gt;"",_xlpm.CSVVal
)),"")</f>
        <v/>
      </c>
      <c r="K793" s="40" t="str" cm="1">
        <f t="array" ref="K793">IFERROR(_xlfn.LET(
_xlpm.CSVVal,_xlfn.XLOOKUP($A793,CSV!$A:$A,CSV!K:K,""),
_xlpm.MacVal,_xlfn.XLOOKUP($A793,Output_Mac!$A:$A,Output_Mac!K:K,""),
_xlpm.MyAuditVal,_xlfn.XLOOKUP($A793,My_Audit!$A:$A,My_Audit!J:J,""),
_xlfn.IFS(_xlpm.MyAuditVal&lt;&gt;"",UPPER(_xlpm.MyAuditVal),_xlpm.MacVal&lt;&gt;"",_xlpm.MacVal,_xlpm.CSVVal&lt;&gt;"",_xlpm.CSVVal
)),"")</f>
        <v/>
      </c>
      <c r="L793" s="40" t="str" cm="1">
        <f t="array" ref="L793">IFERROR(_xlfn.LET(
_xlpm.CSVVal,_xlfn.XLOOKUP($A793,CSV!$A:$A,CSV!P:P,""),
_xlpm.MacVal,_xlfn.XLOOKUP($A793,Output_Mac!$A:$A,Output_Mac!L:L,""),
_xlpm.MyAuditVal,_xlfn.XLOOKUP($A793,My_Audit!$A:$A,My_Audit!K:K,""),
_xlfn.IFS(_xlpm.MyAuditVal&lt;&gt;"",UPPER(_xlpm.MyAuditVal),_xlpm.MacVal&lt;&gt;"",_xlpm.MacVal,_xlpm.CSVVal&lt;&gt;"",_xlpm.CSVVal
)),"")</f>
        <v/>
      </c>
      <c r="M793" s="40" t="str" cm="1">
        <f t="array" ref="M793">IFERROR(_xlfn.LET(
_xlpm.CSVVal,_xlfn.XLOOKUP($A793,CSV!$A:$A,CSV!Q:Q,""),
_xlpm.MacVal,_xlfn.XLOOKUP($A793,Output_Mac!$A:$A,Output_Mac!M:M,""),
_xlpm.MyAuditVal,_xlfn.XLOOKUP($A793,My_Audit!$A:$A,My_Audit!L:L,""),
_xlfn.IFS(_xlpm.MyAuditVal&lt;&gt;"",UPPER(_xlpm.MyAuditVal),_xlpm.MacVal&lt;&gt;"",_xlpm.MacVal,_xlpm.CSVVal&lt;&gt;"",_xlpm.CSVVal
)),"")</f>
        <v/>
      </c>
      <c r="N793" s="40"/>
      <c r="O793" s="40" t="str">
        <f>_xlfn.LET(
    _xlpm.CSVVal, _xlfn.XLOOKUP($A793, CSV!$A:$A, CSV!AA:AA, ""),
    _xlpm.MacVal, _xlfn.XLOOKUP($A793, Output_Mac!$A:$A, Output_Mac!S:S, ""),
    _xlpm.MyAuditVal, _xlfn.XLOOKUP($A793, My_Audit!$A:$A, My_Audit!P:P, ""),
    _xlfn.TEXTJOIN(", ", TRUE, _xlpm.MyAuditVal, _xlpm.MacVal, _xlpm.CSVVal)
)</f>
        <v/>
      </c>
      <c r="P793" s="40" t="str" cm="1">
        <f t="array" ref="P793">IFERROR(_xlfn.LET(
_xlpm.CSVVal,_xlfn.XLOOKUP($A793,CSV!$A:$A,CSV!AB:AB,""),
_xlpm.MacVal,_xlfn.XLOOKUP($A793,Output_Mac!$A:$A,Output_Mac!T:T,""),
_xlpm.MyAuditVal,_xlfn.XLOOKUP($A793,My_Audit!$A:$A,My_Audit!Q:Q,""),
_xlfn.IFS(_xlpm.MyAuditVal&lt;&gt;"",UPPER(_xlpm.MyAuditVal),_xlpm.MacVal&lt;&gt;"",_xlpm.MacVal,_xlpm.CSVVal&lt;&gt;"",_xlpm.CSVVal
)),"No")</f>
        <v>No</v>
      </c>
      <c r="Q793" s="40" t="str" cm="1">
        <f t="array" ref="Q793">IFERROR(_xlfn.LET(
_xlpm.CSVVal,_xlfn.XLOOKUP($A793,CSV!$A:$A,CSV!AC:AC,""),
_xlpm.MacVal,_xlfn.XLOOKUP($A793,Output_Mac!$A:$A,Output_Mac!U:U,""),
_xlpm.MyAuditVal,_xlfn.XLOOKUP($A793,My_Audit!$A:$A,My_Audit!R:R,""),
_xlfn.IFS(_xlpm.MyAuditVal&lt;&gt;"",UPPER(_xlpm.MyAuditVal),_xlpm.MacVal&lt;&gt;"",_xlpm.MacVal,_xlpm.CSVVal&lt;&gt;"",_xlpm.CSVVal
)),"")</f>
        <v/>
      </c>
      <c r="R793" s="40"/>
      <c r="S793" s="40"/>
      <c r="T793" s="40"/>
      <c r="U793" s="40"/>
      <c r="V793" s="40"/>
      <c r="W793" s="40"/>
      <c r="X793" s="41" t="str">
        <f>_xlfn.LET(
    _xlpm.MacVal, _xlfn.XLOOKUP($A793, Output_Mac!$A:$A, Output_Mac!AB:AB, ""),
    _xlpm.MyAuditVal, _xlfn.XLOOKUP($A793, My_Audit!$A:$A, My_Audit!N:N, ""),
    _xlfn.TEXTJOIN(", ", TRUE, _xlpm.MyAuditVal, _xlpm.MacVal)
)</f>
        <v/>
      </c>
    </row>
    <row r="794" spans="1:24">
      <c r="A794" s="40" t="str">
        <f>_xlfn.TEXTJOIN("",TRUE,Input!$B$2,ROW(My_Audit!A793))</f>
        <v>X793</v>
      </c>
      <c r="B794" s="40" t="str">
        <f>_xlfn.TEXTJOIN("-",TRUE,"ITD",Input!$A$2,A794)</f>
        <v>ITD-X793</v>
      </c>
      <c r="C794" s="40" t="str" cm="1">
        <f t="array" ref="C794">IFERROR(_xlfn.LET(
_xlpm.CSVVal,_xlfn.XLOOKUP($A794,CSV!$A:$A,CSV!B:B,""),
_xlpm.MacVal,_xlfn.XLOOKUP($A794,Output_Mac!$A:$A,Output_Mac!B:B,""),
_xlpm.MyAuditVal,_xlfn.XLOOKUP($A794,My_Audit!$A:$A,My_Audit!B:B,""),
_xlfn.IFS(_xlpm.MyAuditVal&lt;&gt;"",UPPER(_xlpm.MyAuditVal),_xlpm.MacVal&lt;&gt;"",_xlpm.MacVal,_xlpm.CSVVal&lt;&gt;"",_xlpm.CSVVal
)),"")</f>
        <v/>
      </c>
      <c r="D794" s="40" t="str" cm="1">
        <f t="array" ref="D794">IFERROR(_xlfn.LET(
_xlpm.CSVVal,_xlfn.XLOOKUP($A794,CSV!$A:$A,CSV!D:D,""),
_xlpm.MacVal,_xlfn.XLOOKUP($A794,Output_Mac!$A:$A,Output_Mac!C:C,""),
_xlpm.MyAuditVal,_xlfn.XLOOKUP($A794,My_Audit!$A:$A,My_Audit!C:C,""),
_xlfn.IFS(_xlpm.MyAuditVal&lt;&gt;"",_xlpm.MyAuditVal,_xlpm.MacVal&lt;&gt;"",_xlpm.MacVal,_xlpm.CSVVal&lt;&gt;"",_xlpm.CSVVal
)),"")</f>
        <v/>
      </c>
      <c r="E794" s="40" t="str">
        <f>_xlfn.XLOOKUP(A794,My_Audit!A:A,My_Audit!D:D,"")</f>
        <v/>
      </c>
      <c r="F794" s="40" t="str" cm="1">
        <f t="array" ref="F794">IFERROR(_xlfn.LET(
_xlpm.CSVVal,_xlfn.XLOOKUP($A794,CSV!$A:$A,CSV!F:F,""),
_xlpm.MacVal,_xlfn.XLOOKUP($A794,Output_Mac!$A:$A,Output_Mac!E:E,""),
_xlpm.MyAuditVal,_xlfn.XLOOKUP($A794,My_Audit!$A:$A,My_Audit!E:E,""),
_xlfn.IFS(_xlpm.MyAuditVal&lt;&gt;"",_xlpm.MyAuditVal,_xlpm.MacVal&lt;&gt;"",_xlpm.MacVal,_xlpm.CSVVal&lt;&gt;"",_xlpm.CSVVal
)),"")</f>
        <v/>
      </c>
      <c r="G794" s="40" t="str" cm="1">
        <f t="array" ref="G794">IFERROR(_xlfn.LET(
_xlpm.CSVVal,_xlfn.XLOOKUP($A794,CSV!$A:$A,CSV!G:G,""),
_xlpm.MacVal,_xlfn.XLOOKUP($A794,Output_Mac!$A:$A,Output_Mac!F:F,""),
_xlpm.MyAuditVal,_xlfn.XLOOKUP($A794,My_Audit!$A:$A,My_Audit!F:F,""),
_xlfn.IFS(_xlpm.MyAuditVal&lt;&gt;"",_xlpm.MyAuditVal,_xlpm.MacVal&lt;&gt;"",_xlpm.MacVal,_xlpm.CSVVal&lt;&gt;"",PROPER(_xlpm.CSVVal)
)),"")</f>
        <v/>
      </c>
      <c r="H794" s="40" t="str" cm="1">
        <f t="array" ref="H794">IFERROR(_xlfn.LET(
_xlpm.CSVVal,_xlfn.XLOOKUP($A794,CSV!$A:$A,CSV!H:H,""),
_xlpm.MacVal,_xlfn.XLOOKUP($A794,Output_Mac!$A:$A,Output_Mac!H:H,""),
_xlpm.MyAuditVal,_xlfn.XLOOKUP($A794,My_Audit!$A:$A,My_Audit!G:G,""),
_xlfn.IFS(_xlpm.MyAuditVal&lt;&gt;"",_xlpm.MyAuditVal,_xlpm.MacVal&lt;&gt;"",_xlpm.MacVal,_xlpm.CSVVal&lt;&gt;"",_xlpm.CSVVal
)),"")</f>
        <v/>
      </c>
      <c r="I794" s="40" t="str">
        <f>_xlfn.XLOOKUP(A794,Output_Mac!A:A,Output_Mac!I:I,"")</f>
        <v/>
      </c>
      <c r="J794" s="40" t="str" cm="1">
        <f t="array" ref="J794">IFERROR(_xlfn.LET(
_xlpm.CSVVal,_xlfn.XLOOKUP($A794,CSV!$A:$A,CSV!I:I,""),
_xlpm.MacVal,_xlfn.XLOOKUP($A794,Output_Mac!$A:$A,Output_Mac!J:J,""),
_xlpm.MyAuditVal,_xlfn.XLOOKUP($A794,My_Audit!$A:$A,My_Audit!I:I,""),
_xlfn.IFS(_xlpm.MyAuditVal&lt;&gt;"",UPPER(_xlpm.MyAuditVal),_xlpm.MacVal&lt;&gt;"",_xlpm.MacVal,_xlpm.CSVVal&lt;&gt;"",_xlpm.CSVVal
)),"")</f>
        <v/>
      </c>
      <c r="K794" s="40" t="str" cm="1">
        <f t="array" ref="K794">IFERROR(_xlfn.LET(
_xlpm.CSVVal,_xlfn.XLOOKUP($A794,CSV!$A:$A,CSV!K:K,""),
_xlpm.MacVal,_xlfn.XLOOKUP($A794,Output_Mac!$A:$A,Output_Mac!K:K,""),
_xlpm.MyAuditVal,_xlfn.XLOOKUP($A794,My_Audit!$A:$A,My_Audit!J:J,""),
_xlfn.IFS(_xlpm.MyAuditVal&lt;&gt;"",UPPER(_xlpm.MyAuditVal),_xlpm.MacVal&lt;&gt;"",_xlpm.MacVal,_xlpm.CSVVal&lt;&gt;"",_xlpm.CSVVal
)),"")</f>
        <v/>
      </c>
      <c r="L794" s="40" t="str" cm="1">
        <f t="array" ref="L794">IFERROR(_xlfn.LET(
_xlpm.CSVVal,_xlfn.XLOOKUP($A794,CSV!$A:$A,CSV!P:P,""),
_xlpm.MacVal,_xlfn.XLOOKUP($A794,Output_Mac!$A:$A,Output_Mac!L:L,""),
_xlpm.MyAuditVal,_xlfn.XLOOKUP($A794,My_Audit!$A:$A,My_Audit!K:K,""),
_xlfn.IFS(_xlpm.MyAuditVal&lt;&gt;"",UPPER(_xlpm.MyAuditVal),_xlpm.MacVal&lt;&gt;"",_xlpm.MacVal,_xlpm.CSVVal&lt;&gt;"",_xlpm.CSVVal
)),"")</f>
        <v/>
      </c>
      <c r="M794" s="40" t="str" cm="1">
        <f t="array" ref="M794">IFERROR(_xlfn.LET(
_xlpm.CSVVal,_xlfn.XLOOKUP($A794,CSV!$A:$A,CSV!Q:Q,""),
_xlpm.MacVal,_xlfn.XLOOKUP($A794,Output_Mac!$A:$A,Output_Mac!M:M,""),
_xlpm.MyAuditVal,_xlfn.XLOOKUP($A794,My_Audit!$A:$A,My_Audit!L:L,""),
_xlfn.IFS(_xlpm.MyAuditVal&lt;&gt;"",UPPER(_xlpm.MyAuditVal),_xlpm.MacVal&lt;&gt;"",_xlpm.MacVal,_xlpm.CSVVal&lt;&gt;"",_xlpm.CSVVal
)),"")</f>
        <v/>
      </c>
      <c r="N794" s="40"/>
      <c r="O794" s="40" t="str">
        <f>_xlfn.LET(
    _xlpm.CSVVal, _xlfn.XLOOKUP($A794, CSV!$A:$A, CSV!AA:AA, ""),
    _xlpm.MacVal, _xlfn.XLOOKUP($A794, Output_Mac!$A:$A, Output_Mac!S:S, ""),
    _xlpm.MyAuditVal, _xlfn.XLOOKUP($A794, My_Audit!$A:$A, My_Audit!P:P, ""),
    _xlfn.TEXTJOIN(", ", TRUE, _xlpm.MyAuditVal, _xlpm.MacVal, _xlpm.CSVVal)
)</f>
        <v/>
      </c>
      <c r="P794" s="40" t="str" cm="1">
        <f t="array" ref="P794">IFERROR(_xlfn.LET(
_xlpm.CSVVal,_xlfn.XLOOKUP($A794,CSV!$A:$A,CSV!AB:AB,""),
_xlpm.MacVal,_xlfn.XLOOKUP($A794,Output_Mac!$A:$A,Output_Mac!T:T,""),
_xlpm.MyAuditVal,_xlfn.XLOOKUP($A794,My_Audit!$A:$A,My_Audit!Q:Q,""),
_xlfn.IFS(_xlpm.MyAuditVal&lt;&gt;"",UPPER(_xlpm.MyAuditVal),_xlpm.MacVal&lt;&gt;"",_xlpm.MacVal,_xlpm.CSVVal&lt;&gt;"",_xlpm.CSVVal
)),"No")</f>
        <v>No</v>
      </c>
      <c r="Q794" s="40" t="str" cm="1">
        <f t="array" ref="Q794">IFERROR(_xlfn.LET(
_xlpm.CSVVal,_xlfn.XLOOKUP($A794,CSV!$A:$A,CSV!AC:AC,""),
_xlpm.MacVal,_xlfn.XLOOKUP($A794,Output_Mac!$A:$A,Output_Mac!U:U,""),
_xlpm.MyAuditVal,_xlfn.XLOOKUP($A794,My_Audit!$A:$A,My_Audit!R:R,""),
_xlfn.IFS(_xlpm.MyAuditVal&lt;&gt;"",UPPER(_xlpm.MyAuditVal),_xlpm.MacVal&lt;&gt;"",_xlpm.MacVal,_xlpm.CSVVal&lt;&gt;"",_xlpm.CSVVal
)),"")</f>
        <v/>
      </c>
      <c r="R794" s="40"/>
      <c r="S794" s="40"/>
      <c r="T794" s="40"/>
      <c r="U794" s="40"/>
      <c r="V794" s="40"/>
      <c r="W794" s="40"/>
      <c r="X794" s="41" t="str">
        <f>_xlfn.LET(
    _xlpm.MacVal, _xlfn.XLOOKUP($A794, Output_Mac!$A:$A, Output_Mac!AB:AB, ""),
    _xlpm.MyAuditVal, _xlfn.XLOOKUP($A794, My_Audit!$A:$A, My_Audit!N:N, ""),
    _xlfn.TEXTJOIN(", ", TRUE, _xlpm.MyAuditVal, _xlpm.MacVal)
)</f>
        <v/>
      </c>
    </row>
    <row r="795" spans="1:24">
      <c r="A795" s="40" t="str">
        <f>_xlfn.TEXTJOIN("",TRUE,Input!$B$2,ROW(My_Audit!A794))</f>
        <v>X794</v>
      </c>
      <c r="B795" s="40" t="str">
        <f>_xlfn.TEXTJOIN("-",TRUE,"ITD",Input!$A$2,A795)</f>
        <v>ITD-X794</v>
      </c>
      <c r="C795" s="40" t="str" cm="1">
        <f t="array" ref="C795">IFERROR(_xlfn.LET(
_xlpm.CSVVal,_xlfn.XLOOKUP($A795,CSV!$A:$A,CSV!B:B,""),
_xlpm.MacVal,_xlfn.XLOOKUP($A795,Output_Mac!$A:$A,Output_Mac!B:B,""),
_xlpm.MyAuditVal,_xlfn.XLOOKUP($A795,My_Audit!$A:$A,My_Audit!B:B,""),
_xlfn.IFS(_xlpm.MyAuditVal&lt;&gt;"",UPPER(_xlpm.MyAuditVal),_xlpm.MacVal&lt;&gt;"",_xlpm.MacVal,_xlpm.CSVVal&lt;&gt;"",_xlpm.CSVVal
)),"")</f>
        <v/>
      </c>
      <c r="D795" s="40" t="str" cm="1">
        <f t="array" ref="D795">IFERROR(_xlfn.LET(
_xlpm.CSVVal,_xlfn.XLOOKUP($A795,CSV!$A:$A,CSV!D:D,""),
_xlpm.MacVal,_xlfn.XLOOKUP($A795,Output_Mac!$A:$A,Output_Mac!C:C,""),
_xlpm.MyAuditVal,_xlfn.XLOOKUP($A795,My_Audit!$A:$A,My_Audit!C:C,""),
_xlfn.IFS(_xlpm.MyAuditVal&lt;&gt;"",_xlpm.MyAuditVal,_xlpm.MacVal&lt;&gt;"",_xlpm.MacVal,_xlpm.CSVVal&lt;&gt;"",_xlpm.CSVVal
)),"")</f>
        <v/>
      </c>
      <c r="E795" s="40" t="str">
        <f>_xlfn.XLOOKUP(A795,My_Audit!A:A,My_Audit!D:D,"")</f>
        <v/>
      </c>
      <c r="F795" s="40" t="str" cm="1">
        <f t="array" ref="F795">IFERROR(_xlfn.LET(
_xlpm.CSVVal,_xlfn.XLOOKUP($A795,CSV!$A:$A,CSV!F:F,""),
_xlpm.MacVal,_xlfn.XLOOKUP($A795,Output_Mac!$A:$A,Output_Mac!E:E,""),
_xlpm.MyAuditVal,_xlfn.XLOOKUP($A795,My_Audit!$A:$A,My_Audit!E:E,""),
_xlfn.IFS(_xlpm.MyAuditVal&lt;&gt;"",_xlpm.MyAuditVal,_xlpm.MacVal&lt;&gt;"",_xlpm.MacVal,_xlpm.CSVVal&lt;&gt;"",_xlpm.CSVVal
)),"")</f>
        <v/>
      </c>
      <c r="G795" s="40" t="str" cm="1">
        <f t="array" ref="G795">IFERROR(_xlfn.LET(
_xlpm.CSVVal,_xlfn.XLOOKUP($A795,CSV!$A:$A,CSV!G:G,""),
_xlpm.MacVal,_xlfn.XLOOKUP($A795,Output_Mac!$A:$A,Output_Mac!F:F,""),
_xlpm.MyAuditVal,_xlfn.XLOOKUP($A795,My_Audit!$A:$A,My_Audit!F:F,""),
_xlfn.IFS(_xlpm.MyAuditVal&lt;&gt;"",_xlpm.MyAuditVal,_xlpm.MacVal&lt;&gt;"",_xlpm.MacVal,_xlpm.CSVVal&lt;&gt;"",PROPER(_xlpm.CSVVal)
)),"")</f>
        <v/>
      </c>
      <c r="H795" s="40" t="str" cm="1">
        <f t="array" ref="H795">IFERROR(_xlfn.LET(
_xlpm.CSVVal,_xlfn.XLOOKUP($A795,CSV!$A:$A,CSV!H:H,""),
_xlpm.MacVal,_xlfn.XLOOKUP($A795,Output_Mac!$A:$A,Output_Mac!H:H,""),
_xlpm.MyAuditVal,_xlfn.XLOOKUP($A795,My_Audit!$A:$A,My_Audit!G:G,""),
_xlfn.IFS(_xlpm.MyAuditVal&lt;&gt;"",_xlpm.MyAuditVal,_xlpm.MacVal&lt;&gt;"",_xlpm.MacVal,_xlpm.CSVVal&lt;&gt;"",_xlpm.CSVVal
)),"")</f>
        <v/>
      </c>
      <c r="I795" s="40" t="str">
        <f>_xlfn.XLOOKUP(A795,Output_Mac!A:A,Output_Mac!I:I,"")</f>
        <v/>
      </c>
      <c r="J795" s="40" t="str" cm="1">
        <f t="array" ref="J795">IFERROR(_xlfn.LET(
_xlpm.CSVVal,_xlfn.XLOOKUP($A795,CSV!$A:$A,CSV!I:I,""),
_xlpm.MacVal,_xlfn.XLOOKUP($A795,Output_Mac!$A:$A,Output_Mac!J:J,""),
_xlpm.MyAuditVal,_xlfn.XLOOKUP($A795,My_Audit!$A:$A,My_Audit!I:I,""),
_xlfn.IFS(_xlpm.MyAuditVal&lt;&gt;"",UPPER(_xlpm.MyAuditVal),_xlpm.MacVal&lt;&gt;"",_xlpm.MacVal,_xlpm.CSVVal&lt;&gt;"",_xlpm.CSVVal
)),"")</f>
        <v/>
      </c>
      <c r="K795" s="40" t="str" cm="1">
        <f t="array" ref="K795">IFERROR(_xlfn.LET(
_xlpm.CSVVal,_xlfn.XLOOKUP($A795,CSV!$A:$A,CSV!K:K,""),
_xlpm.MacVal,_xlfn.XLOOKUP($A795,Output_Mac!$A:$A,Output_Mac!K:K,""),
_xlpm.MyAuditVal,_xlfn.XLOOKUP($A795,My_Audit!$A:$A,My_Audit!J:J,""),
_xlfn.IFS(_xlpm.MyAuditVal&lt;&gt;"",UPPER(_xlpm.MyAuditVal),_xlpm.MacVal&lt;&gt;"",_xlpm.MacVal,_xlpm.CSVVal&lt;&gt;"",_xlpm.CSVVal
)),"")</f>
        <v/>
      </c>
      <c r="L795" s="40" t="str" cm="1">
        <f t="array" ref="L795">IFERROR(_xlfn.LET(
_xlpm.CSVVal,_xlfn.XLOOKUP($A795,CSV!$A:$A,CSV!P:P,""),
_xlpm.MacVal,_xlfn.XLOOKUP($A795,Output_Mac!$A:$A,Output_Mac!L:L,""),
_xlpm.MyAuditVal,_xlfn.XLOOKUP($A795,My_Audit!$A:$A,My_Audit!K:K,""),
_xlfn.IFS(_xlpm.MyAuditVal&lt;&gt;"",UPPER(_xlpm.MyAuditVal),_xlpm.MacVal&lt;&gt;"",_xlpm.MacVal,_xlpm.CSVVal&lt;&gt;"",_xlpm.CSVVal
)),"")</f>
        <v/>
      </c>
      <c r="M795" s="40" t="str" cm="1">
        <f t="array" ref="M795">IFERROR(_xlfn.LET(
_xlpm.CSVVal,_xlfn.XLOOKUP($A795,CSV!$A:$A,CSV!Q:Q,""),
_xlpm.MacVal,_xlfn.XLOOKUP($A795,Output_Mac!$A:$A,Output_Mac!M:M,""),
_xlpm.MyAuditVal,_xlfn.XLOOKUP($A795,My_Audit!$A:$A,My_Audit!L:L,""),
_xlfn.IFS(_xlpm.MyAuditVal&lt;&gt;"",UPPER(_xlpm.MyAuditVal),_xlpm.MacVal&lt;&gt;"",_xlpm.MacVal,_xlpm.CSVVal&lt;&gt;"",_xlpm.CSVVal
)),"")</f>
        <v/>
      </c>
      <c r="N795" s="40"/>
      <c r="O795" s="40" t="str">
        <f>_xlfn.LET(
    _xlpm.CSVVal, _xlfn.XLOOKUP($A795, CSV!$A:$A, CSV!AA:AA, ""),
    _xlpm.MacVal, _xlfn.XLOOKUP($A795, Output_Mac!$A:$A, Output_Mac!S:S, ""),
    _xlpm.MyAuditVal, _xlfn.XLOOKUP($A795, My_Audit!$A:$A, My_Audit!P:P, ""),
    _xlfn.TEXTJOIN(", ", TRUE, _xlpm.MyAuditVal, _xlpm.MacVal, _xlpm.CSVVal)
)</f>
        <v/>
      </c>
      <c r="P795" s="40" t="str" cm="1">
        <f t="array" ref="P795">IFERROR(_xlfn.LET(
_xlpm.CSVVal,_xlfn.XLOOKUP($A795,CSV!$A:$A,CSV!AB:AB,""),
_xlpm.MacVal,_xlfn.XLOOKUP($A795,Output_Mac!$A:$A,Output_Mac!T:T,""),
_xlpm.MyAuditVal,_xlfn.XLOOKUP($A795,My_Audit!$A:$A,My_Audit!Q:Q,""),
_xlfn.IFS(_xlpm.MyAuditVal&lt;&gt;"",UPPER(_xlpm.MyAuditVal),_xlpm.MacVal&lt;&gt;"",_xlpm.MacVal,_xlpm.CSVVal&lt;&gt;"",_xlpm.CSVVal
)),"No")</f>
        <v>No</v>
      </c>
      <c r="Q795" s="40" t="str" cm="1">
        <f t="array" ref="Q795">IFERROR(_xlfn.LET(
_xlpm.CSVVal,_xlfn.XLOOKUP($A795,CSV!$A:$A,CSV!AC:AC,""),
_xlpm.MacVal,_xlfn.XLOOKUP($A795,Output_Mac!$A:$A,Output_Mac!U:U,""),
_xlpm.MyAuditVal,_xlfn.XLOOKUP($A795,My_Audit!$A:$A,My_Audit!R:R,""),
_xlfn.IFS(_xlpm.MyAuditVal&lt;&gt;"",UPPER(_xlpm.MyAuditVal),_xlpm.MacVal&lt;&gt;"",_xlpm.MacVal,_xlpm.CSVVal&lt;&gt;"",_xlpm.CSVVal
)),"")</f>
        <v/>
      </c>
      <c r="R795" s="40"/>
      <c r="S795" s="40"/>
      <c r="T795" s="40"/>
      <c r="U795" s="40"/>
      <c r="V795" s="40"/>
      <c r="W795" s="40"/>
      <c r="X795" s="41" t="str">
        <f>_xlfn.LET(
    _xlpm.MacVal, _xlfn.XLOOKUP($A795, Output_Mac!$A:$A, Output_Mac!AB:AB, ""),
    _xlpm.MyAuditVal, _xlfn.XLOOKUP($A795, My_Audit!$A:$A, My_Audit!N:N, ""),
    _xlfn.TEXTJOIN(", ", TRUE, _xlpm.MyAuditVal, _xlpm.MacVal)
)</f>
        <v/>
      </c>
    </row>
    <row r="796" spans="1:24">
      <c r="A796" s="40" t="str">
        <f>_xlfn.TEXTJOIN("",TRUE,Input!$B$2,ROW(My_Audit!A795))</f>
        <v>X795</v>
      </c>
      <c r="B796" s="40" t="str">
        <f>_xlfn.TEXTJOIN("-",TRUE,"ITD",Input!$A$2,A796)</f>
        <v>ITD-X795</v>
      </c>
      <c r="C796" s="40" t="str" cm="1">
        <f t="array" ref="C796">IFERROR(_xlfn.LET(
_xlpm.CSVVal,_xlfn.XLOOKUP($A796,CSV!$A:$A,CSV!B:B,""),
_xlpm.MacVal,_xlfn.XLOOKUP($A796,Output_Mac!$A:$A,Output_Mac!B:B,""),
_xlpm.MyAuditVal,_xlfn.XLOOKUP($A796,My_Audit!$A:$A,My_Audit!B:B,""),
_xlfn.IFS(_xlpm.MyAuditVal&lt;&gt;"",UPPER(_xlpm.MyAuditVal),_xlpm.MacVal&lt;&gt;"",_xlpm.MacVal,_xlpm.CSVVal&lt;&gt;"",_xlpm.CSVVal
)),"")</f>
        <v/>
      </c>
      <c r="D796" s="40" t="str" cm="1">
        <f t="array" ref="D796">IFERROR(_xlfn.LET(
_xlpm.CSVVal,_xlfn.XLOOKUP($A796,CSV!$A:$A,CSV!D:D,""),
_xlpm.MacVal,_xlfn.XLOOKUP($A796,Output_Mac!$A:$A,Output_Mac!C:C,""),
_xlpm.MyAuditVal,_xlfn.XLOOKUP($A796,My_Audit!$A:$A,My_Audit!C:C,""),
_xlfn.IFS(_xlpm.MyAuditVal&lt;&gt;"",_xlpm.MyAuditVal,_xlpm.MacVal&lt;&gt;"",_xlpm.MacVal,_xlpm.CSVVal&lt;&gt;"",_xlpm.CSVVal
)),"")</f>
        <v/>
      </c>
      <c r="E796" s="40" t="str">
        <f>_xlfn.XLOOKUP(A796,My_Audit!A:A,My_Audit!D:D,"")</f>
        <v/>
      </c>
      <c r="F796" s="40" t="str" cm="1">
        <f t="array" ref="F796">IFERROR(_xlfn.LET(
_xlpm.CSVVal,_xlfn.XLOOKUP($A796,CSV!$A:$A,CSV!F:F,""),
_xlpm.MacVal,_xlfn.XLOOKUP($A796,Output_Mac!$A:$A,Output_Mac!E:E,""),
_xlpm.MyAuditVal,_xlfn.XLOOKUP($A796,My_Audit!$A:$A,My_Audit!E:E,""),
_xlfn.IFS(_xlpm.MyAuditVal&lt;&gt;"",_xlpm.MyAuditVal,_xlpm.MacVal&lt;&gt;"",_xlpm.MacVal,_xlpm.CSVVal&lt;&gt;"",_xlpm.CSVVal
)),"")</f>
        <v/>
      </c>
      <c r="G796" s="40" t="str" cm="1">
        <f t="array" ref="G796">IFERROR(_xlfn.LET(
_xlpm.CSVVal,_xlfn.XLOOKUP($A796,CSV!$A:$A,CSV!G:G,""),
_xlpm.MacVal,_xlfn.XLOOKUP($A796,Output_Mac!$A:$A,Output_Mac!F:F,""),
_xlpm.MyAuditVal,_xlfn.XLOOKUP($A796,My_Audit!$A:$A,My_Audit!F:F,""),
_xlfn.IFS(_xlpm.MyAuditVal&lt;&gt;"",_xlpm.MyAuditVal,_xlpm.MacVal&lt;&gt;"",_xlpm.MacVal,_xlpm.CSVVal&lt;&gt;"",PROPER(_xlpm.CSVVal)
)),"")</f>
        <v/>
      </c>
      <c r="H796" s="40" t="str" cm="1">
        <f t="array" ref="H796">IFERROR(_xlfn.LET(
_xlpm.CSVVal,_xlfn.XLOOKUP($A796,CSV!$A:$A,CSV!H:H,""),
_xlpm.MacVal,_xlfn.XLOOKUP($A796,Output_Mac!$A:$A,Output_Mac!H:H,""),
_xlpm.MyAuditVal,_xlfn.XLOOKUP($A796,My_Audit!$A:$A,My_Audit!G:G,""),
_xlfn.IFS(_xlpm.MyAuditVal&lt;&gt;"",_xlpm.MyAuditVal,_xlpm.MacVal&lt;&gt;"",_xlpm.MacVal,_xlpm.CSVVal&lt;&gt;"",_xlpm.CSVVal
)),"")</f>
        <v/>
      </c>
      <c r="I796" s="40" t="str">
        <f>_xlfn.XLOOKUP(A796,Output_Mac!A:A,Output_Mac!I:I,"")</f>
        <v/>
      </c>
      <c r="J796" s="40" t="str" cm="1">
        <f t="array" ref="J796">IFERROR(_xlfn.LET(
_xlpm.CSVVal,_xlfn.XLOOKUP($A796,CSV!$A:$A,CSV!I:I,""),
_xlpm.MacVal,_xlfn.XLOOKUP($A796,Output_Mac!$A:$A,Output_Mac!J:J,""),
_xlpm.MyAuditVal,_xlfn.XLOOKUP($A796,My_Audit!$A:$A,My_Audit!I:I,""),
_xlfn.IFS(_xlpm.MyAuditVal&lt;&gt;"",UPPER(_xlpm.MyAuditVal),_xlpm.MacVal&lt;&gt;"",_xlpm.MacVal,_xlpm.CSVVal&lt;&gt;"",_xlpm.CSVVal
)),"")</f>
        <v/>
      </c>
      <c r="K796" s="40" t="str" cm="1">
        <f t="array" ref="K796">IFERROR(_xlfn.LET(
_xlpm.CSVVal,_xlfn.XLOOKUP($A796,CSV!$A:$A,CSV!K:K,""),
_xlpm.MacVal,_xlfn.XLOOKUP($A796,Output_Mac!$A:$A,Output_Mac!K:K,""),
_xlpm.MyAuditVal,_xlfn.XLOOKUP($A796,My_Audit!$A:$A,My_Audit!J:J,""),
_xlfn.IFS(_xlpm.MyAuditVal&lt;&gt;"",UPPER(_xlpm.MyAuditVal),_xlpm.MacVal&lt;&gt;"",_xlpm.MacVal,_xlpm.CSVVal&lt;&gt;"",_xlpm.CSVVal
)),"")</f>
        <v/>
      </c>
      <c r="L796" s="40" t="str" cm="1">
        <f t="array" ref="L796">IFERROR(_xlfn.LET(
_xlpm.CSVVal,_xlfn.XLOOKUP($A796,CSV!$A:$A,CSV!P:P,""),
_xlpm.MacVal,_xlfn.XLOOKUP($A796,Output_Mac!$A:$A,Output_Mac!L:L,""),
_xlpm.MyAuditVal,_xlfn.XLOOKUP($A796,My_Audit!$A:$A,My_Audit!K:K,""),
_xlfn.IFS(_xlpm.MyAuditVal&lt;&gt;"",UPPER(_xlpm.MyAuditVal),_xlpm.MacVal&lt;&gt;"",_xlpm.MacVal,_xlpm.CSVVal&lt;&gt;"",_xlpm.CSVVal
)),"")</f>
        <v/>
      </c>
      <c r="M796" s="40" t="str" cm="1">
        <f t="array" ref="M796">IFERROR(_xlfn.LET(
_xlpm.CSVVal,_xlfn.XLOOKUP($A796,CSV!$A:$A,CSV!Q:Q,""),
_xlpm.MacVal,_xlfn.XLOOKUP($A796,Output_Mac!$A:$A,Output_Mac!M:M,""),
_xlpm.MyAuditVal,_xlfn.XLOOKUP($A796,My_Audit!$A:$A,My_Audit!L:L,""),
_xlfn.IFS(_xlpm.MyAuditVal&lt;&gt;"",UPPER(_xlpm.MyAuditVal),_xlpm.MacVal&lt;&gt;"",_xlpm.MacVal,_xlpm.CSVVal&lt;&gt;"",_xlpm.CSVVal
)),"")</f>
        <v/>
      </c>
      <c r="N796" s="40"/>
      <c r="O796" s="40" t="str">
        <f>_xlfn.LET(
    _xlpm.CSVVal, _xlfn.XLOOKUP($A796, CSV!$A:$A, CSV!AA:AA, ""),
    _xlpm.MacVal, _xlfn.XLOOKUP($A796, Output_Mac!$A:$A, Output_Mac!S:S, ""),
    _xlpm.MyAuditVal, _xlfn.XLOOKUP($A796, My_Audit!$A:$A, My_Audit!P:P, ""),
    _xlfn.TEXTJOIN(", ", TRUE, _xlpm.MyAuditVal, _xlpm.MacVal, _xlpm.CSVVal)
)</f>
        <v/>
      </c>
      <c r="P796" s="40" t="str" cm="1">
        <f t="array" ref="P796">IFERROR(_xlfn.LET(
_xlpm.CSVVal,_xlfn.XLOOKUP($A796,CSV!$A:$A,CSV!AB:AB,""),
_xlpm.MacVal,_xlfn.XLOOKUP($A796,Output_Mac!$A:$A,Output_Mac!T:T,""),
_xlpm.MyAuditVal,_xlfn.XLOOKUP($A796,My_Audit!$A:$A,My_Audit!Q:Q,""),
_xlfn.IFS(_xlpm.MyAuditVal&lt;&gt;"",UPPER(_xlpm.MyAuditVal),_xlpm.MacVal&lt;&gt;"",_xlpm.MacVal,_xlpm.CSVVal&lt;&gt;"",_xlpm.CSVVal
)),"No")</f>
        <v>No</v>
      </c>
      <c r="Q796" s="40" t="str" cm="1">
        <f t="array" ref="Q796">IFERROR(_xlfn.LET(
_xlpm.CSVVal,_xlfn.XLOOKUP($A796,CSV!$A:$A,CSV!AC:AC,""),
_xlpm.MacVal,_xlfn.XLOOKUP($A796,Output_Mac!$A:$A,Output_Mac!U:U,""),
_xlpm.MyAuditVal,_xlfn.XLOOKUP($A796,My_Audit!$A:$A,My_Audit!R:R,""),
_xlfn.IFS(_xlpm.MyAuditVal&lt;&gt;"",UPPER(_xlpm.MyAuditVal),_xlpm.MacVal&lt;&gt;"",_xlpm.MacVal,_xlpm.CSVVal&lt;&gt;"",_xlpm.CSVVal
)),"")</f>
        <v/>
      </c>
      <c r="R796" s="40"/>
      <c r="S796" s="40"/>
      <c r="T796" s="40"/>
      <c r="U796" s="40"/>
      <c r="V796" s="40"/>
      <c r="W796" s="40"/>
      <c r="X796" s="41" t="str">
        <f>_xlfn.LET(
    _xlpm.MacVal, _xlfn.XLOOKUP($A796, Output_Mac!$A:$A, Output_Mac!AB:AB, ""),
    _xlpm.MyAuditVal, _xlfn.XLOOKUP($A796, My_Audit!$A:$A, My_Audit!N:N, ""),
    _xlfn.TEXTJOIN(", ", TRUE, _xlpm.MyAuditVal, _xlpm.MacVal)
)</f>
        <v/>
      </c>
    </row>
    <row r="797" spans="1:24">
      <c r="A797" s="40" t="str">
        <f>_xlfn.TEXTJOIN("",TRUE,Input!$B$2,ROW(My_Audit!A796))</f>
        <v>X796</v>
      </c>
      <c r="B797" s="40" t="str">
        <f>_xlfn.TEXTJOIN("-",TRUE,"ITD",Input!$A$2,A797)</f>
        <v>ITD-X796</v>
      </c>
      <c r="C797" s="40" t="str" cm="1">
        <f t="array" ref="C797">IFERROR(_xlfn.LET(
_xlpm.CSVVal,_xlfn.XLOOKUP($A797,CSV!$A:$A,CSV!B:B,""),
_xlpm.MacVal,_xlfn.XLOOKUP($A797,Output_Mac!$A:$A,Output_Mac!B:B,""),
_xlpm.MyAuditVal,_xlfn.XLOOKUP($A797,My_Audit!$A:$A,My_Audit!B:B,""),
_xlfn.IFS(_xlpm.MyAuditVal&lt;&gt;"",UPPER(_xlpm.MyAuditVal),_xlpm.MacVal&lt;&gt;"",_xlpm.MacVal,_xlpm.CSVVal&lt;&gt;"",_xlpm.CSVVal
)),"")</f>
        <v/>
      </c>
      <c r="D797" s="40" t="str" cm="1">
        <f t="array" ref="D797">IFERROR(_xlfn.LET(
_xlpm.CSVVal,_xlfn.XLOOKUP($A797,CSV!$A:$A,CSV!D:D,""),
_xlpm.MacVal,_xlfn.XLOOKUP($A797,Output_Mac!$A:$A,Output_Mac!C:C,""),
_xlpm.MyAuditVal,_xlfn.XLOOKUP($A797,My_Audit!$A:$A,My_Audit!C:C,""),
_xlfn.IFS(_xlpm.MyAuditVal&lt;&gt;"",_xlpm.MyAuditVal,_xlpm.MacVal&lt;&gt;"",_xlpm.MacVal,_xlpm.CSVVal&lt;&gt;"",_xlpm.CSVVal
)),"")</f>
        <v/>
      </c>
      <c r="E797" s="40" t="str">
        <f>_xlfn.XLOOKUP(A797,My_Audit!A:A,My_Audit!D:D,"")</f>
        <v/>
      </c>
      <c r="F797" s="40" t="str" cm="1">
        <f t="array" ref="F797">IFERROR(_xlfn.LET(
_xlpm.CSVVal,_xlfn.XLOOKUP($A797,CSV!$A:$A,CSV!F:F,""),
_xlpm.MacVal,_xlfn.XLOOKUP($A797,Output_Mac!$A:$A,Output_Mac!E:E,""),
_xlpm.MyAuditVal,_xlfn.XLOOKUP($A797,My_Audit!$A:$A,My_Audit!E:E,""),
_xlfn.IFS(_xlpm.MyAuditVal&lt;&gt;"",_xlpm.MyAuditVal,_xlpm.MacVal&lt;&gt;"",_xlpm.MacVal,_xlpm.CSVVal&lt;&gt;"",_xlpm.CSVVal
)),"")</f>
        <v/>
      </c>
      <c r="G797" s="40" t="str" cm="1">
        <f t="array" ref="G797">IFERROR(_xlfn.LET(
_xlpm.CSVVal,_xlfn.XLOOKUP($A797,CSV!$A:$A,CSV!G:G,""),
_xlpm.MacVal,_xlfn.XLOOKUP($A797,Output_Mac!$A:$A,Output_Mac!F:F,""),
_xlpm.MyAuditVal,_xlfn.XLOOKUP($A797,My_Audit!$A:$A,My_Audit!F:F,""),
_xlfn.IFS(_xlpm.MyAuditVal&lt;&gt;"",_xlpm.MyAuditVal,_xlpm.MacVal&lt;&gt;"",_xlpm.MacVal,_xlpm.CSVVal&lt;&gt;"",PROPER(_xlpm.CSVVal)
)),"")</f>
        <v/>
      </c>
      <c r="H797" s="40" t="str" cm="1">
        <f t="array" ref="H797">IFERROR(_xlfn.LET(
_xlpm.CSVVal,_xlfn.XLOOKUP($A797,CSV!$A:$A,CSV!H:H,""),
_xlpm.MacVal,_xlfn.XLOOKUP($A797,Output_Mac!$A:$A,Output_Mac!H:H,""),
_xlpm.MyAuditVal,_xlfn.XLOOKUP($A797,My_Audit!$A:$A,My_Audit!G:G,""),
_xlfn.IFS(_xlpm.MyAuditVal&lt;&gt;"",_xlpm.MyAuditVal,_xlpm.MacVal&lt;&gt;"",_xlpm.MacVal,_xlpm.CSVVal&lt;&gt;"",_xlpm.CSVVal
)),"")</f>
        <v/>
      </c>
      <c r="I797" s="40" t="str">
        <f>_xlfn.XLOOKUP(A797,Output_Mac!A:A,Output_Mac!I:I,"")</f>
        <v/>
      </c>
      <c r="J797" s="40" t="str" cm="1">
        <f t="array" ref="J797">IFERROR(_xlfn.LET(
_xlpm.CSVVal,_xlfn.XLOOKUP($A797,CSV!$A:$A,CSV!I:I,""),
_xlpm.MacVal,_xlfn.XLOOKUP($A797,Output_Mac!$A:$A,Output_Mac!J:J,""),
_xlpm.MyAuditVal,_xlfn.XLOOKUP($A797,My_Audit!$A:$A,My_Audit!I:I,""),
_xlfn.IFS(_xlpm.MyAuditVal&lt;&gt;"",UPPER(_xlpm.MyAuditVal),_xlpm.MacVal&lt;&gt;"",_xlpm.MacVal,_xlpm.CSVVal&lt;&gt;"",_xlpm.CSVVal
)),"")</f>
        <v/>
      </c>
      <c r="K797" s="40" t="str" cm="1">
        <f t="array" ref="K797">IFERROR(_xlfn.LET(
_xlpm.CSVVal,_xlfn.XLOOKUP($A797,CSV!$A:$A,CSV!K:K,""),
_xlpm.MacVal,_xlfn.XLOOKUP($A797,Output_Mac!$A:$A,Output_Mac!K:K,""),
_xlpm.MyAuditVal,_xlfn.XLOOKUP($A797,My_Audit!$A:$A,My_Audit!J:J,""),
_xlfn.IFS(_xlpm.MyAuditVal&lt;&gt;"",UPPER(_xlpm.MyAuditVal),_xlpm.MacVal&lt;&gt;"",_xlpm.MacVal,_xlpm.CSVVal&lt;&gt;"",_xlpm.CSVVal
)),"")</f>
        <v/>
      </c>
      <c r="L797" s="40" t="str" cm="1">
        <f t="array" ref="L797">IFERROR(_xlfn.LET(
_xlpm.CSVVal,_xlfn.XLOOKUP($A797,CSV!$A:$A,CSV!P:P,""),
_xlpm.MacVal,_xlfn.XLOOKUP($A797,Output_Mac!$A:$A,Output_Mac!L:L,""),
_xlpm.MyAuditVal,_xlfn.XLOOKUP($A797,My_Audit!$A:$A,My_Audit!K:K,""),
_xlfn.IFS(_xlpm.MyAuditVal&lt;&gt;"",UPPER(_xlpm.MyAuditVal),_xlpm.MacVal&lt;&gt;"",_xlpm.MacVal,_xlpm.CSVVal&lt;&gt;"",_xlpm.CSVVal
)),"")</f>
        <v/>
      </c>
      <c r="M797" s="40" t="str" cm="1">
        <f t="array" ref="M797">IFERROR(_xlfn.LET(
_xlpm.CSVVal,_xlfn.XLOOKUP($A797,CSV!$A:$A,CSV!Q:Q,""),
_xlpm.MacVal,_xlfn.XLOOKUP($A797,Output_Mac!$A:$A,Output_Mac!M:M,""),
_xlpm.MyAuditVal,_xlfn.XLOOKUP($A797,My_Audit!$A:$A,My_Audit!L:L,""),
_xlfn.IFS(_xlpm.MyAuditVal&lt;&gt;"",UPPER(_xlpm.MyAuditVal),_xlpm.MacVal&lt;&gt;"",_xlpm.MacVal,_xlpm.CSVVal&lt;&gt;"",_xlpm.CSVVal
)),"")</f>
        <v/>
      </c>
      <c r="N797" s="40"/>
      <c r="O797" s="40" t="str">
        <f>_xlfn.LET(
    _xlpm.CSVVal, _xlfn.XLOOKUP($A797, CSV!$A:$A, CSV!AA:AA, ""),
    _xlpm.MacVal, _xlfn.XLOOKUP($A797, Output_Mac!$A:$A, Output_Mac!S:S, ""),
    _xlpm.MyAuditVal, _xlfn.XLOOKUP($A797, My_Audit!$A:$A, My_Audit!P:P, ""),
    _xlfn.TEXTJOIN(", ", TRUE, _xlpm.MyAuditVal, _xlpm.MacVal, _xlpm.CSVVal)
)</f>
        <v/>
      </c>
      <c r="P797" s="40" t="str" cm="1">
        <f t="array" ref="P797">IFERROR(_xlfn.LET(
_xlpm.CSVVal,_xlfn.XLOOKUP($A797,CSV!$A:$A,CSV!AB:AB,""),
_xlpm.MacVal,_xlfn.XLOOKUP($A797,Output_Mac!$A:$A,Output_Mac!T:T,""),
_xlpm.MyAuditVal,_xlfn.XLOOKUP($A797,My_Audit!$A:$A,My_Audit!Q:Q,""),
_xlfn.IFS(_xlpm.MyAuditVal&lt;&gt;"",UPPER(_xlpm.MyAuditVal),_xlpm.MacVal&lt;&gt;"",_xlpm.MacVal,_xlpm.CSVVal&lt;&gt;"",_xlpm.CSVVal
)),"No")</f>
        <v>No</v>
      </c>
      <c r="Q797" s="40" t="str" cm="1">
        <f t="array" ref="Q797">IFERROR(_xlfn.LET(
_xlpm.CSVVal,_xlfn.XLOOKUP($A797,CSV!$A:$A,CSV!AC:AC,""),
_xlpm.MacVal,_xlfn.XLOOKUP($A797,Output_Mac!$A:$A,Output_Mac!U:U,""),
_xlpm.MyAuditVal,_xlfn.XLOOKUP($A797,My_Audit!$A:$A,My_Audit!R:R,""),
_xlfn.IFS(_xlpm.MyAuditVal&lt;&gt;"",UPPER(_xlpm.MyAuditVal),_xlpm.MacVal&lt;&gt;"",_xlpm.MacVal,_xlpm.CSVVal&lt;&gt;"",_xlpm.CSVVal
)),"")</f>
        <v/>
      </c>
      <c r="R797" s="40"/>
      <c r="S797" s="40"/>
      <c r="T797" s="40"/>
      <c r="U797" s="40"/>
      <c r="V797" s="40"/>
      <c r="W797" s="40"/>
      <c r="X797" s="41" t="str">
        <f>_xlfn.LET(
    _xlpm.MacVal, _xlfn.XLOOKUP($A797, Output_Mac!$A:$A, Output_Mac!AB:AB, ""),
    _xlpm.MyAuditVal, _xlfn.XLOOKUP($A797, My_Audit!$A:$A, My_Audit!N:N, ""),
    _xlfn.TEXTJOIN(", ", TRUE, _xlpm.MyAuditVal, _xlpm.MacVal)
)</f>
        <v/>
      </c>
    </row>
    <row r="798" spans="1:24">
      <c r="A798" s="40" t="str">
        <f>_xlfn.TEXTJOIN("",TRUE,Input!$B$2,ROW(My_Audit!A797))</f>
        <v>X797</v>
      </c>
      <c r="B798" s="40" t="str">
        <f>_xlfn.TEXTJOIN("-",TRUE,"ITD",Input!$A$2,A798)</f>
        <v>ITD-X797</v>
      </c>
      <c r="C798" s="40" t="str" cm="1">
        <f t="array" ref="C798">IFERROR(_xlfn.LET(
_xlpm.CSVVal,_xlfn.XLOOKUP($A798,CSV!$A:$A,CSV!B:B,""),
_xlpm.MacVal,_xlfn.XLOOKUP($A798,Output_Mac!$A:$A,Output_Mac!B:B,""),
_xlpm.MyAuditVal,_xlfn.XLOOKUP($A798,My_Audit!$A:$A,My_Audit!B:B,""),
_xlfn.IFS(_xlpm.MyAuditVal&lt;&gt;"",UPPER(_xlpm.MyAuditVal),_xlpm.MacVal&lt;&gt;"",_xlpm.MacVal,_xlpm.CSVVal&lt;&gt;"",_xlpm.CSVVal
)),"")</f>
        <v/>
      </c>
      <c r="D798" s="40" t="str" cm="1">
        <f t="array" ref="D798">IFERROR(_xlfn.LET(
_xlpm.CSVVal,_xlfn.XLOOKUP($A798,CSV!$A:$A,CSV!D:D,""),
_xlpm.MacVal,_xlfn.XLOOKUP($A798,Output_Mac!$A:$A,Output_Mac!C:C,""),
_xlpm.MyAuditVal,_xlfn.XLOOKUP($A798,My_Audit!$A:$A,My_Audit!C:C,""),
_xlfn.IFS(_xlpm.MyAuditVal&lt;&gt;"",_xlpm.MyAuditVal,_xlpm.MacVal&lt;&gt;"",_xlpm.MacVal,_xlpm.CSVVal&lt;&gt;"",_xlpm.CSVVal
)),"")</f>
        <v/>
      </c>
      <c r="E798" s="40" t="str">
        <f>_xlfn.XLOOKUP(A798,My_Audit!A:A,My_Audit!D:D,"")</f>
        <v/>
      </c>
      <c r="F798" s="40" t="str" cm="1">
        <f t="array" ref="F798">IFERROR(_xlfn.LET(
_xlpm.CSVVal,_xlfn.XLOOKUP($A798,CSV!$A:$A,CSV!F:F,""),
_xlpm.MacVal,_xlfn.XLOOKUP($A798,Output_Mac!$A:$A,Output_Mac!E:E,""),
_xlpm.MyAuditVal,_xlfn.XLOOKUP($A798,My_Audit!$A:$A,My_Audit!E:E,""),
_xlfn.IFS(_xlpm.MyAuditVal&lt;&gt;"",_xlpm.MyAuditVal,_xlpm.MacVal&lt;&gt;"",_xlpm.MacVal,_xlpm.CSVVal&lt;&gt;"",_xlpm.CSVVal
)),"")</f>
        <v/>
      </c>
      <c r="G798" s="40" t="str" cm="1">
        <f t="array" ref="G798">IFERROR(_xlfn.LET(
_xlpm.CSVVal,_xlfn.XLOOKUP($A798,CSV!$A:$A,CSV!G:G,""),
_xlpm.MacVal,_xlfn.XLOOKUP($A798,Output_Mac!$A:$A,Output_Mac!F:F,""),
_xlpm.MyAuditVal,_xlfn.XLOOKUP($A798,My_Audit!$A:$A,My_Audit!F:F,""),
_xlfn.IFS(_xlpm.MyAuditVal&lt;&gt;"",_xlpm.MyAuditVal,_xlpm.MacVal&lt;&gt;"",_xlpm.MacVal,_xlpm.CSVVal&lt;&gt;"",PROPER(_xlpm.CSVVal)
)),"")</f>
        <v/>
      </c>
      <c r="H798" s="40" t="str" cm="1">
        <f t="array" ref="H798">IFERROR(_xlfn.LET(
_xlpm.CSVVal,_xlfn.XLOOKUP($A798,CSV!$A:$A,CSV!H:H,""),
_xlpm.MacVal,_xlfn.XLOOKUP($A798,Output_Mac!$A:$A,Output_Mac!H:H,""),
_xlpm.MyAuditVal,_xlfn.XLOOKUP($A798,My_Audit!$A:$A,My_Audit!G:G,""),
_xlfn.IFS(_xlpm.MyAuditVal&lt;&gt;"",_xlpm.MyAuditVal,_xlpm.MacVal&lt;&gt;"",_xlpm.MacVal,_xlpm.CSVVal&lt;&gt;"",_xlpm.CSVVal
)),"")</f>
        <v/>
      </c>
      <c r="I798" s="40" t="str">
        <f>_xlfn.XLOOKUP(A798,Output_Mac!A:A,Output_Mac!I:I,"")</f>
        <v/>
      </c>
      <c r="J798" s="40" t="str" cm="1">
        <f t="array" ref="J798">IFERROR(_xlfn.LET(
_xlpm.CSVVal,_xlfn.XLOOKUP($A798,CSV!$A:$A,CSV!I:I,""),
_xlpm.MacVal,_xlfn.XLOOKUP($A798,Output_Mac!$A:$A,Output_Mac!J:J,""),
_xlpm.MyAuditVal,_xlfn.XLOOKUP($A798,My_Audit!$A:$A,My_Audit!I:I,""),
_xlfn.IFS(_xlpm.MyAuditVal&lt;&gt;"",UPPER(_xlpm.MyAuditVal),_xlpm.MacVal&lt;&gt;"",_xlpm.MacVal,_xlpm.CSVVal&lt;&gt;"",_xlpm.CSVVal
)),"")</f>
        <v/>
      </c>
      <c r="K798" s="40" t="str" cm="1">
        <f t="array" ref="K798">IFERROR(_xlfn.LET(
_xlpm.CSVVal,_xlfn.XLOOKUP($A798,CSV!$A:$A,CSV!K:K,""),
_xlpm.MacVal,_xlfn.XLOOKUP($A798,Output_Mac!$A:$A,Output_Mac!K:K,""),
_xlpm.MyAuditVal,_xlfn.XLOOKUP($A798,My_Audit!$A:$A,My_Audit!J:J,""),
_xlfn.IFS(_xlpm.MyAuditVal&lt;&gt;"",UPPER(_xlpm.MyAuditVal),_xlpm.MacVal&lt;&gt;"",_xlpm.MacVal,_xlpm.CSVVal&lt;&gt;"",_xlpm.CSVVal
)),"")</f>
        <v/>
      </c>
      <c r="L798" s="40" t="str" cm="1">
        <f t="array" ref="L798">IFERROR(_xlfn.LET(
_xlpm.CSVVal,_xlfn.XLOOKUP($A798,CSV!$A:$A,CSV!P:P,""),
_xlpm.MacVal,_xlfn.XLOOKUP($A798,Output_Mac!$A:$A,Output_Mac!L:L,""),
_xlpm.MyAuditVal,_xlfn.XLOOKUP($A798,My_Audit!$A:$A,My_Audit!K:K,""),
_xlfn.IFS(_xlpm.MyAuditVal&lt;&gt;"",UPPER(_xlpm.MyAuditVal),_xlpm.MacVal&lt;&gt;"",_xlpm.MacVal,_xlpm.CSVVal&lt;&gt;"",_xlpm.CSVVal
)),"")</f>
        <v/>
      </c>
      <c r="M798" s="40" t="str" cm="1">
        <f t="array" ref="M798">IFERROR(_xlfn.LET(
_xlpm.CSVVal,_xlfn.XLOOKUP($A798,CSV!$A:$A,CSV!Q:Q,""),
_xlpm.MacVal,_xlfn.XLOOKUP($A798,Output_Mac!$A:$A,Output_Mac!M:M,""),
_xlpm.MyAuditVal,_xlfn.XLOOKUP($A798,My_Audit!$A:$A,My_Audit!L:L,""),
_xlfn.IFS(_xlpm.MyAuditVal&lt;&gt;"",UPPER(_xlpm.MyAuditVal),_xlpm.MacVal&lt;&gt;"",_xlpm.MacVal,_xlpm.CSVVal&lt;&gt;"",_xlpm.CSVVal
)),"")</f>
        <v/>
      </c>
      <c r="N798" s="40"/>
      <c r="O798" s="40" t="str">
        <f>_xlfn.LET(
    _xlpm.CSVVal, _xlfn.XLOOKUP($A798, CSV!$A:$A, CSV!AA:AA, ""),
    _xlpm.MacVal, _xlfn.XLOOKUP($A798, Output_Mac!$A:$A, Output_Mac!S:S, ""),
    _xlpm.MyAuditVal, _xlfn.XLOOKUP($A798, My_Audit!$A:$A, My_Audit!P:P, ""),
    _xlfn.TEXTJOIN(", ", TRUE, _xlpm.MyAuditVal, _xlpm.MacVal, _xlpm.CSVVal)
)</f>
        <v/>
      </c>
      <c r="P798" s="40" t="str" cm="1">
        <f t="array" ref="P798">IFERROR(_xlfn.LET(
_xlpm.CSVVal,_xlfn.XLOOKUP($A798,CSV!$A:$A,CSV!AB:AB,""),
_xlpm.MacVal,_xlfn.XLOOKUP($A798,Output_Mac!$A:$A,Output_Mac!T:T,""),
_xlpm.MyAuditVal,_xlfn.XLOOKUP($A798,My_Audit!$A:$A,My_Audit!Q:Q,""),
_xlfn.IFS(_xlpm.MyAuditVal&lt;&gt;"",UPPER(_xlpm.MyAuditVal),_xlpm.MacVal&lt;&gt;"",_xlpm.MacVal,_xlpm.CSVVal&lt;&gt;"",_xlpm.CSVVal
)),"No")</f>
        <v>No</v>
      </c>
      <c r="Q798" s="40" t="str" cm="1">
        <f t="array" ref="Q798">IFERROR(_xlfn.LET(
_xlpm.CSVVal,_xlfn.XLOOKUP($A798,CSV!$A:$A,CSV!AC:AC,""),
_xlpm.MacVal,_xlfn.XLOOKUP($A798,Output_Mac!$A:$A,Output_Mac!U:U,""),
_xlpm.MyAuditVal,_xlfn.XLOOKUP($A798,My_Audit!$A:$A,My_Audit!R:R,""),
_xlfn.IFS(_xlpm.MyAuditVal&lt;&gt;"",UPPER(_xlpm.MyAuditVal),_xlpm.MacVal&lt;&gt;"",_xlpm.MacVal,_xlpm.CSVVal&lt;&gt;"",_xlpm.CSVVal
)),"")</f>
        <v/>
      </c>
      <c r="R798" s="40"/>
      <c r="S798" s="40"/>
      <c r="T798" s="40"/>
      <c r="U798" s="40"/>
      <c r="V798" s="40"/>
      <c r="W798" s="40"/>
      <c r="X798" s="41" t="str">
        <f>_xlfn.LET(
    _xlpm.MacVal, _xlfn.XLOOKUP($A798, Output_Mac!$A:$A, Output_Mac!AB:AB, ""),
    _xlpm.MyAuditVal, _xlfn.XLOOKUP($A798, My_Audit!$A:$A, My_Audit!N:N, ""),
    _xlfn.TEXTJOIN(", ", TRUE, _xlpm.MyAuditVal, _xlpm.MacVal)
)</f>
        <v/>
      </c>
    </row>
    <row r="799" spans="1:24">
      <c r="A799" s="40" t="str">
        <f>_xlfn.TEXTJOIN("",TRUE,Input!$B$2,ROW(My_Audit!A798))</f>
        <v>X798</v>
      </c>
      <c r="B799" s="40" t="str">
        <f>_xlfn.TEXTJOIN("-",TRUE,"ITD",Input!$A$2,A799)</f>
        <v>ITD-X798</v>
      </c>
      <c r="C799" s="40" t="str" cm="1">
        <f t="array" ref="C799">IFERROR(_xlfn.LET(
_xlpm.CSVVal,_xlfn.XLOOKUP($A799,CSV!$A:$A,CSV!B:B,""),
_xlpm.MacVal,_xlfn.XLOOKUP($A799,Output_Mac!$A:$A,Output_Mac!B:B,""),
_xlpm.MyAuditVal,_xlfn.XLOOKUP($A799,My_Audit!$A:$A,My_Audit!B:B,""),
_xlfn.IFS(_xlpm.MyAuditVal&lt;&gt;"",UPPER(_xlpm.MyAuditVal),_xlpm.MacVal&lt;&gt;"",_xlpm.MacVal,_xlpm.CSVVal&lt;&gt;"",_xlpm.CSVVal
)),"")</f>
        <v/>
      </c>
      <c r="D799" s="40" t="str" cm="1">
        <f t="array" ref="D799">IFERROR(_xlfn.LET(
_xlpm.CSVVal,_xlfn.XLOOKUP($A799,CSV!$A:$A,CSV!D:D,""),
_xlpm.MacVal,_xlfn.XLOOKUP($A799,Output_Mac!$A:$A,Output_Mac!C:C,""),
_xlpm.MyAuditVal,_xlfn.XLOOKUP($A799,My_Audit!$A:$A,My_Audit!C:C,""),
_xlfn.IFS(_xlpm.MyAuditVal&lt;&gt;"",_xlpm.MyAuditVal,_xlpm.MacVal&lt;&gt;"",_xlpm.MacVal,_xlpm.CSVVal&lt;&gt;"",_xlpm.CSVVal
)),"")</f>
        <v/>
      </c>
      <c r="E799" s="40" t="str">
        <f>_xlfn.XLOOKUP(A799,My_Audit!A:A,My_Audit!D:D,"")</f>
        <v/>
      </c>
      <c r="F799" s="40" t="str" cm="1">
        <f t="array" ref="F799">IFERROR(_xlfn.LET(
_xlpm.CSVVal,_xlfn.XLOOKUP($A799,CSV!$A:$A,CSV!F:F,""),
_xlpm.MacVal,_xlfn.XLOOKUP($A799,Output_Mac!$A:$A,Output_Mac!E:E,""),
_xlpm.MyAuditVal,_xlfn.XLOOKUP($A799,My_Audit!$A:$A,My_Audit!E:E,""),
_xlfn.IFS(_xlpm.MyAuditVal&lt;&gt;"",_xlpm.MyAuditVal,_xlpm.MacVal&lt;&gt;"",_xlpm.MacVal,_xlpm.CSVVal&lt;&gt;"",_xlpm.CSVVal
)),"")</f>
        <v/>
      </c>
      <c r="G799" s="40" t="str" cm="1">
        <f t="array" ref="G799">IFERROR(_xlfn.LET(
_xlpm.CSVVal,_xlfn.XLOOKUP($A799,CSV!$A:$A,CSV!G:G,""),
_xlpm.MacVal,_xlfn.XLOOKUP($A799,Output_Mac!$A:$A,Output_Mac!F:F,""),
_xlpm.MyAuditVal,_xlfn.XLOOKUP($A799,My_Audit!$A:$A,My_Audit!F:F,""),
_xlfn.IFS(_xlpm.MyAuditVal&lt;&gt;"",_xlpm.MyAuditVal,_xlpm.MacVal&lt;&gt;"",_xlpm.MacVal,_xlpm.CSVVal&lt;&gt;"",PROPER(_xlpm.CSVVal)
)),"")</f>
        <v/>
      </c>
      <c r="H799" s="40" t="str" cm="1">
        <f t="array" ref="H799">IFERROR(_xlfn.LET(
_xlpm.CSVVal,_xlfn.XLOOKUP($A799,CSV!$A:$A,CSV!H:H,""),
_xlpm.MacVal,_xlfn.XLOOKUP($A799,Output_Mac!$A:$A,Output_Mac!H:H,""),
_xlpm.MyAuditVal,_xlfn.XLOOKUP($A799,My_Audit!$A:$A,My_Audit!G:G,""),
_xlfn.IFS(_xlpm.MyAuditVal&lt;&gt;"",_xlpm.MyAuditVal,_xlpm.MacVal&lt;&gt;"",_xlpm.MacVal,_xlpm.CSVVal&lt;&gt;"",_xlpm.CSVVal
)),"")</f>
        <v/>
      </c>
      <c r="I799" s="40" t="str">
        <f>_xlfn.XLOOKUP(A799,Output_Mac!A:A,Output_Mac!I:I,"")</f>
        <v/>
      </c>
      <c r="J799" s="40" t="str" cm="1">
        <f t="array" ref="J799">IFERROR(_xlfn.LET(
_xlpm.CSVVal,_xlfn.XLOOKUP($A799,CSV!$A:$A,CSV!I:I,""),
_xlpm.MacVal,_xlfn.XLOOKUP($A799,Output_Mac!$A:$A,Output_Mac!J:J,""),
_xlpm.MyAuditVal,_xlfn.XLOOKUP($A799,My_Audit!$A:$A,My_Audit!I:I,""),
_xlfn.IFS(_xlpm.MyAuditVal&lt;&gt;"",UPPER(_xlpm.MyAuditVal),_xlpm.MacVal&lt;&gt;"",_xlpm.MacVal,_xlpm.CSVVal&lt;&gt;"",_xlpm.CSVVal
)),"")</f>
        <v/>
      </c>
      <c r="K799" s="40" t="str" cm="1">
        <f t="array" ref="K799">IFERROR(_xlfn.LET(
_xlpm.CSVVal,_xlfn.XLOOKUP($A799,CSV!$A:$A,CSV!K:K,""),
_xlpm.MacVal,_xlfn.XLOOKUP($A799,Output_Mac!$A:$A,Output_Mac!K:K,""),
_xlpm.MyAuditVal,_xlfn.XLOOKUP($A799,My_Audit!$A:$A,My_Audit!J:J,""),
_xlfn.IFS(_xlpm.MyAuditVal&lt;&gt;"",UPPER(_xlpm.MyAuditVal),_xlpm.MacVal&lt;&gt;"",_xlpm.MacVal,_xlpm.CSVVal&lt;&gt;"",_xlpm.CSVVal
)),"")</f>
        <v/>
      </c>
      <c r="L799" s="40" t="str" cm="1">
        <f t="array" ref="L799">IFERROR(_xlfn.LET(
_xlpm.CSVVal,_xlfn.XLOOKUP($A799,CSV!$A:$A,CSV!P:P,""),
_xlpm.MacVal,_xlfn.XLOOKUP($A799,Output_Mac!$A:$A,Output_Mac!L:L,""),
_xlpm.MyAuditVal,_xlfn.XLOOKUP($A799,My_Audit!$A:$A,My_Audit!K:K,""),
_xlfn.IFS(_xlpm.MyAuditVal&lt;&gt;"",UPPER(_xlpm.MyAuditVal),_xlpm.MacVal&lt;&gt;"",_xlpm.MacVal,_xlpm.CSVVal&lt;&gt;"",_xlpm.CSVVal
)),"")</f>
        <v/>
      </c>
      <c r="M799" s="40" t="str" cm="1">
        <f t="array" ref="M799">IFERROR(_xlfn.LET(
_xlpm.CSVVal,_xlfn.XLOOKUP($A799,CSV!$A:$A,CSV!Q:Q,""),
_xlpm.MacVal,_xlfn.XLOOKUP($A799,Output_Mac!$A:$A,Output_Mac!M:M,""),
_xlpm.MyAuditVal,_xlfn.XLOOKUP($A799,My_Audit!$A:$A,My_Audit!L:L,""),
_xlfn.IFS(_xlpm.MyAuditVal&lt;&gt;"",UPPER(_xlpm.MyAuditVal),_xlpm.MacVal&lt;&gt;"",_xlpm.MacVal,_xlpm.CSVVal&lt;&gt;"",_xlpm.CSVVal
)),"")</f>
        <v/>
      </c>
      <c r="N799" s="40"/>
      <c r="O799" s="40" t="str">
        <f>_xlfn.LET(
    _xlpm.CSVVal, _xlfn.XLOOKUP($A799, CSV!$A:$A, CSV!AA:AA, ""),
    _xlpm.MacVal, _xlfn.XLOOKUP($A799, Output_Mac!$A:$A, Output_Mac!S:S, ""),
    _xlpm.MyAuditVal, _xlfn.XLOOKUP($A799, My_Audit!$A:$A, My_Audit!P:P, ""),
    _xlfn.TEXTJOIN(", ", TRUE, _xlpm.MyAuditVal, _xlpm.MacVal, _xlpm.CSVVal)
)</f>
        <v/>
      </c>
      <c r="P799" s="40" t="str" cm="1">
        <f t="array" ref="P799">IFERROR(_xlfn.LET(
_xlpm.CSVVal,_xlfn.XLOOKUP($A799,CSV!$A:$A,CSV!AB:AB,""),
_xlpm.MacVal,_xlfn.XLOOKUP($A799,Output_Mac!$A:$A,Output_Mac!T:T,""),
_xlpm.MyAuditVal,_xlfn.XLOOKUP($A799,My_Audit!$A:$A,My_Audit!Q:Q,""),
_xlfn.IFS(_xlpm.MyAuditVal&lt;&gt;"",UPPER(_xlpm.MyAuditVal),_xlpm.MacVal&lt;&gt;"",_xlpm.MacVal,_xlpm.CSVVal&lt;&gt;"",_xlpm.CSVVal
)),"No")</f>
        <v>No</v>
      </c>
      <c r="Q799" s="40" t="str" cm="1">
        <f t="array" ref="Q799">IFERROR(_xlfn.LET(
_xlpm.CSVVal,_xlfn.XLOOKUP($A799,CSV!$A:$A,CSV!AC:AC,""),
_xlpm.MacVal,_xlfn.XLOOKUP($A799,Output_Mac!$A:$A,Output_Mac!U:U,""),
_xlpm.MyAuditVal,_xlfn.XLOOKUP($A799,My_Audit!$A:$A,My_Audit!R:R,""),
_xlfn.IFS(_xlpm.MyAuditVal&lt;&gt;"",UPPER(_xlpm.MyAuditVal),_xlpm.MacVal&lt;&gt;"",_xlpm.MacVal,_xlpm.CSVVal&lt;&gt;"",_xlpm.CSVVal
)),"")</f>
        <v/>
      </c>
      <c r="R799" s="40"/>
      <c r="S799" s="40"/>
      <c r="T799" s="40"/>
      <c r="U799" s="40"/>
      <c r="V799" s="40"/>
      <c r="W799" s="40"/>
      <c r="X799" s="41" t="str">
        <f>_xlfn.LET(
    _xlpm.MacVal, _xlfn.XLOOKUP($A799, Output_Mac!$A:$A, Output_Mac!AB:AB, ""),
    _xlpm.MyAuditVal, _xlfn.XLOOKUP($A799, My_Audit!$A:$A, My_Audit!N:N, ""),
    _xlfn.TEXTJOIN(", ", TRUE, _xlpm.MyAuditVal, _xlpm.MacVal)
)</f>
        <v/>
      </c>
    </row>
    <row r="800" spans="1:24">
      <c r="A800" s="40" t="str">
        <f>_xlfn.TEXTJOIN("",TRUE,Input!$B$2,ROW(My_Audit!A799))</f>
        <v>X799</v>
      </c>
      <c r="B800" s="40" t="str">
        <f>_xlfn.TEXTJOIN("-",TRUE,"ITD",Input!$A$2,A800)</f>
        <v>ITD-X799</v>
      </c>
      <c r="C800" s="40" t="str" cm="1">
        <f t="array" ref="C800">IFERROR(_xlfn.LET(
_xlpm.CSVVal,_xlfn.XLOOKUP($A800,CSV!$A:$A,CSV!B:B,""),
_xlpm.MacVal,_xlfn.XLOOKUP($A800,Output_Mac!$A:$A,Output_Mac!B:B,""),
_xlpm.MyAuditVal,_xlfn.XLOOKUP($A800,My_Audit!$A:$A,My_Audit!B:B,""),
_xlfn.IFS(_xlpm.MyAuditVal&lt;&gt;"",UPPER(_xlpm.MyAuditVal),_xlpm.MacVal&lt;&gt;"",_xlpm.MacVal,_xlpm.CSVVal&lt;&gt;"",_xlpm.CSVVal
)),"")</f>
        <v/>
      </c>
      <c r="D800" s="40" t="str" cm="1">
        <f t="array" ref="D800">IFERROR(_xlfn.LET(
_xlpm.CSVVal,_xlfn.XLOOKUP($A800,CSV!$A:$A,CSV!D:D,""),
_xlpm.MacVal,_xlfn.XLOOKUP($A800,Output_Mac!$A:$A,Output_Mac!C:C,""),
_xlpm.MyAuditVal,_xlfn.XLOOKUP($A800,My_Audit!$A:$A,My_Audit!C:C,""),
_xlfn.IFS(_xlpm.MyAuditVal&lt;&gt;"",_xlpm.MyAuditVal,_xlpm.MacVal&lt;&gt;"",_xlpm.MacVal,_xlpm.CSVVal&lt;&gt;"",_xlpm.CSVVal
)),"")</f>
        <v/>
      </c>
      <c r="E800" s="40" t="str">
        <f>_xlfn.XLOOKUP(A800,My_Audit!A:A,My_Audit!D:D,"")</f>
        <v/>
      </c>
      <c r="F800" s="40" t="str" cm="1">
        <f t="array" ref="F800">IFERROR(_xlfn.LET(
_xlpm.CSVVal,_xlfn.XLOOKUP($A800,CSV!$A:$A,CSV!F:F,""),
_xlpm.MacVal,_xlfn.XLOOKUP($A800,Output_Mac!$A:$A,Output_Mac!E:E,""),
_xlpm.MyAuditVal,_xlfn.XLOOKUP($A800,My_Audit!$A:$A,My_Audit!E:E,""),
_xlfn.IFS(_xlpm.MyAuditVal&lt;&gt;"",_xlpm.MyAuditVal,_xlpm.MacVal&lt;&gt;"",_xlpm.MacVal,_xlpm.CSVVal&lt;&gt;"",_xlpm.CSVVal
)),"")</f>
        <v/>
      </c>
      <c r="G800" s="40" t="str" cm="1">
        <f t="array" ref="G800">IFERROR(_xlfn.LET(
_xlpm.CSVVal,_xlfn.XLOOKUP($A800,CSV!$A:$A,CSV!G:G,""),
_xlpm.MacVal,_xlfn.XLOOKUP($A800,Output_Mac!$A:$A,Output_Mac!F:F,""),
_xlpm.MyAuditVal,_xlfn.XLOOKUP($A800,My_Audit!$A:$A,My_Audit!F:F,""),
_xlfn.IFS(_xlpm.MyAuditVal&lt;&gt;"",_xlpm.MyAuditVal,_xlpm.MacVal&lt;&gt;"",_xlpm.MacVal,_xlpm.CSVVal&lt;&gt;"",PROPER(_xlpm.CSVVal)
)),"")</f>
        <v/>
      </c>
      <c r="H800" s="40" t="str" cm="1">
        <f t="array" ref="H800">IFERROR(_xlfn.LET(
_xlpm.CSVVal,_xlfn.XLOOKUP($A800,CSV!$A:$A,CSV!H:H,""),
_xlpm.MacVal,_xlfn.XLOOKUP($A800,Output_Mac!$A:$A,Output_Mac!H:H,""),
_xlpm.MyAuditVal,_xlfn.XLOOKUP($A800,My_Audit!$A:$A,My_Audit!G:G,""),
_xlfn.IFS(_xlpm.MyAuditVal&lt;&gt;"",_xlpm.MyAuditVal,_xlpm.MacVal&lt;&gt;"",_xlpm.MacVal,_xlpm.CSVVal&lt;&gt;"",_xlpm.CSVVal
)),"")</f>
        <v/>
      </c>
      <c r="I800" s="40" t="str">
        <f>_xlfn.XLOOKUP(A800,Output_Mac!A:A,Output_Mac!I:I,"")</f>
        <v/>
      </c>
      <c r="J800" s="40" t="str" cm="1">
        <f t="array" ref="J800">IFERROR(_xlfn.LET(
_xlpm.CSVVal,_xlfn.XLOOKUP($A800,CSV!$A:$A,CSV!I:I,""),
_xlpm.MacVal,_xlfn.XLOOKUP($A800,Output_Mac!$A:$A,Output_Mac!J:J,""),
_xlpm.MyAuditVal,_xlfn.XLOOKUP($A800,My_Audit!$A:$A,My_Audit!I:I,""),
_xlfn.IFS(_xlpm.MyAuditVal&lt;&gt;"",UPPER(_xlpm.MyAuditVal),_xlpm.MacVal&lt;&gt;"",_xlpm.MacVal,_xlpm.CSVVal&lt;&gt;"",_xlpm.CSVVal
)),"")</f>
        <v/>
      </c>
      <c r="K800" s="40" t="str" cm="1">
        <f t="array" ref="K800">IFERROR(_xlfn.LET(
_xlpm.CSVVal,_xlfn.XLOOKUP($A800,CSV!$A:$A,CSV!K:K,""),
_xlpm.MacVal,_xlfn.XLOOKUP($A800,Output_Mac!$A:$A,Output_Mac!K:K,""),
_xlpm.MyAuditVal,_xlfn.XLOOKUP($A800,My_Audit!$A:$A,My_Audit!J:J,""),
_xlfn.IFS(_xlpm.MyAuditVal&lt;&gt;"",UPPER(_xlpm.MyAuditVal),_xlpm.MacVal&lt;&gt;"",_xlpm.MacVal,_xlpm.CSVVal&lt;&gt;"",_xlpm.CSVVal
)),"")</f>
        <v/>
      </c>
      <c r="L800" s="40" t="str" cm="1">
        <f t="array" ref="L800">IFERROR(_xlfn.LET(
_xlpm.CSVVal,_xlfn.XLOOKUP($A800,CSV!$A:$A,CSV!P:P,""),
_xlpm.MacVal,_xlfn.XLOOKUP($A800,Output_Mac!$A:$A,Output_Mac!L:L,""),
_xlpm.MyAuditVal,_xlfn.XLOOKUP($A800,My_Audit!$A:$A,My_Audit!K:K,""),
_xlfn.IFS(_xlpm.MyAuditVal&lt;&gt;"",UPPER(_xlpm.MyAuditVal),_xlpm.MacVal&lt;&gt;"",_xlpm.MacVal,_xlpm.CSVVal&lt;&gt;"",_xlpm.CSVVal
)),"")</f>
        <v/>
      </c>
      <c r="M800" s="40" t="str" cm="1">
        <f t="array" ref="M800">IFERROR(_xlfn.LET(
_xlpm.CSVVal,_xlfn.XLOOKUP($A800,CSV!$A:$A,CSV!Q:Q,""),
_xlpm.MacVal,_xlfn.XLOOKUP($A800,Output_Mac!$A:$A,Output_Mac!M:M,""),
_xlpm.MyAuditVal,_xlfn.XLOOKUP($A800,My_Audit!$A:$A,My_Audit!L:L,""),
_xlfn.IFS(_xlpm.MyAuditVal&lt;&gt;"",UPPER(_xlpm.MyAuditVal),_xlpm.MacVal&lt;&gt;"",_xlpm.MacVal,_xlpm.CSVVal&lt;&gt;"",_xlpm.CSVVal
)),"")</f>
        <v/>
      </c>
      <c r="N800" s="40"/>
      <c r="O800" s="40" t="str">
        <f>_xlfn.LET(
    _xlpm.CSVVal, _xlfn.XLOOKUP($A800, CSV!$A:$A, CSV!AA:AA, ""),
    _xlpm.MacVal, _xlfn.XLOOKUP($A800, Output_Mac!$A:$A, Output_Mac!S:S, ""),
    _xlpm.MyAuditVal, _xlfn.XLOOKUP($A800, My_Audit!$A:$A, My_Audit!P:P, ""),
    _xlfn.TEXTJOIN(", ", TRUE, _xlpm.MyAuditVal, _xlpm.MacVal, _xlpm.CSVVal)
)</f>
        <v/>
      </c>
      <c r="P800" s="40" t="str" cm="1">
        <f t="array" ref="P800">IFERROR(_xlfn.LET(
_xlpm.CSVVal,_xlfn.XLOOKUP($A800,CSV!$A:$A,CSV!AB:AB,""),
_xlpm.MacVal,_xlfn.XLOOKUP($A800,Output_Mac!$A:$A,Output_Mac!T:T,""),
_xlpm.MyAuditVal,_xlfn.XLOOKUP($A800,My_Audit!$A:$A,My_Audit!Q:Q,""),
_xlfn.IFS(_xlpm.MyAuditVal&lt;&gt;"",UPPER(_xlpm.MyAuditVal),_xlpm.MacVal&lt;&gt;"",_xlpm.MacVal,_xlpm.CSVVal&lt;&gt;"",_xlpm.CSVVal
)),"No")</f>
        <v>No</v>
      </c>
      <c r="Q800" s="40" t="str" cm="1">
        <f t="array" ref="Q800">IFERROR(_xlfn.LET(
_xlpm.CSVVal,_xlfn.XLOOKUP($A800,CSV!$A:$A,CSV!AC:AC,""),
_xlpm.MacVal,_xlfn.XLOOKUP($A800,Output_Mac!$A:$A,Output_Mac!U:U,""),
_xlpm.MyAuditVal,_xlfn.XLOOKUP($A800,My_Audit!$A:$A,My_Audit!R:R,""),
_xlfn.IFS(_xlpm.MyAuditVal&lt;&gt;"",UPPER(_xlpm.MyAuditVal),_xlpm.MacVal&lt;&gt;"",_xlpm.MacVal,_xlpm.CSVVal&lt;&gt;"",_xlpm.CSVVal
)),"")</f>
        <v/>
      </c>
      <c r="R800" s="40"/>
      <c r="S800" s="40"/>
      <c r="T800" s="40"/>
      <c r="U800" s="40"/>
      <c r="V800" s="40"/>
      <c r="W800" s="40"/>
      <c r="X800" s="41" t="str">
        <f>_xlfn.LET(
    _xlpm.MacVal, _xlfn.XLOOKUP($A800, Output_Mac!$A:$A, Output_Mac!AB:AB, ""),
    _xlpm.MyAuditVal, _xlfn.XLOOKUP($A800, My_Audit!$A:$A, My_Audit!N:N, ""),
    _xlfn.TEXTJOIN(", ", TRUE, _xlpm.MyAuditVal, _xlpm.MacVal)
)</f>
        <v/>
      </c>
    </row>
    <row r="801" spans="1:24">
      <c r="A801" s="40" t="str">
        <f>_xlfn.TEXTJOIN("",TRUE,Input!$B$2,ROW(My_Audit!A800))</f>
        <v>X800</v>
      </c>
      <c r="B801" s="40" t="str">
        <f>_xlfn.TEXTJOIN("-",TRUE,"ITD",Input!$A$2,A801)</f>
        <v>ITD-X800</v>
      </c>
      <c r="C801" s="40" t="str" cm="1">
        <f t="array" ref="C801">IFERROR(_xlfn.LET(
_xlpm.CSVVal,_xlfn.XLOOKUP($A801,CSV!$A:$A,CSV!B:B,""),
_xlpm.MacVal,_xlfn.XLOOKUP($A801,Output_Mac!$A:$A,Output_Mac!B:B,""),
_xlpm.MyAuditVal,_xlfn.XLOOKUP($A801,My_Audit!$A:$A,My_Audit!B:B,""),
_xlfn.IFS(_xlpm.MyAuditVal&lt;&gt;"",UPPER(_xlpm.MyAuditVal),_xlpm.MacVal&lt;&gt;"",_xlpm.MacVal,_xlpm.CSVVal&lt;&gt;"",_xlpm.CSVVal
)),"")</f>
        <v/>
      </c>
      <c r="D801" s="40" t="str" cm="1">
        <f t="array" ref="D801">IFERROR(_xlfn.LET(
_xlpm.CSVVal,_xlfn.XLOOKUP($A801,CSV!$A:$A,CSV!D:D,""),
_xlpm.MacVal,_xlfn.XLOOKUP($A801,Output_Mac!$A:$A,Output_Mac!C:C,""),
_xlpm.MyAuditVal,_xlfn.XLOOKUP($A801,My_Audit!$A:$A,My_Audit!C:C,""),
_xlfn.IFS(_xlpm.MyAuditVal&lt;&gt;"",_xlpm.MyAuditVal,_xlpm.MacVal&lt;&gt;"",_xlpm.MacVal,_xlpm.CSVVal&lt;&gt;"",_xlpm.CSVVal
)),"")</f>
        <v/>
      </c>
      <c r="E801" s="40" t="str">
        <f>_xlfn.XLOOKUP(A801,My_Audit!A:A,My_Audit!D:D,"")</f>
        <v/>
      </c>
      <c r="F801" s="40" t="str" cm="1">
        <f t="array" ref="F801">IFERROR(_xlfn.LET(
_xlpm.CSVVal,_xlfn.XLOOKUP($A801,CSV!$A:$A,CSV!F:F,""),
_xlpm.MacVal,_xlfn.XLOOKUP($A801,Output_Mac!$A:$A,Output_Mac!E:E,""),
_xlpm.MyAuditVal,_xlfn.XLOOKUP($A801,My_Audit!$A:$A,My_Audit!E:E,""),
_xlfn.IFS(_xlpm.MyAuditVal&lt;&gt;"",_xlpm.MyAuditVal,_xlpm.MacVal&lt;&gt;"",_xlpm.MacVal,_xlpm.CSVVal&lt;&gt;"",_xlpm.CSVVal
)),"")</f>
        <v/>
      </c>
      <c r="G801" s="40" t="str" cm="1">
        <f t="array" ref="G801">IFERROR(_xlfn.LET(
_xlpm.CSVVal,_xlfn.XLOOKUP($A801,CSV!$A:$A,CSV!G:G,""),
_xlpm.MacVal,_xlfn.XLOOKUP($A801,Output_Mac!$A:$A,Output_Mac!F:F,""),
_xlpm.MyAuditVal,_xlfn.XLOOKUP($A801,My_Audit!$A:$A,My_Audit!F:F,""),
_xlfn.IFS(_xlpm.MyAuditVal&lt;&gt;"",_xlpm.MyAuditVal,_xlpm.MacVal&lt;&gt;"",_xlpm.MacVal,_xlpm.CSVVal&lt;&gt;"",PROPER(_xlpm.CSVVal)
)),"")</f>
        <v/>
      </c>
      <c r="H801" s="40" t="str" cm="1">
        <f t="array" ref="H801">IFERROR(_xlfn.LET(
_xlpm.CSVVal,_xlfn.XLOOKUP($A801,CSV!$A:$A,CSV!H:H,""),
_xlpm.MacVal,_xlfn.XLOOKUP($A801,Output_Mac!$A:$A,Output_Mac!H:H,""),
_xlpm.MyAuditVal,_xlfn.XLOOKUP($A801,My_Audit!$A:$A,My_Audit!G:G,""),
_xlfn.IFS(_xlpm.MyAuditVal&lt;&gt;"",_xlpm.MyAuditVal,_xlpm.MacVal&lt;&gt;"",_xlpm.MacVal,_xlpm.CSVVal&lt;&gt;"",_xlpm.CSVVal
)),"")</f>
        <v/>
      </c>
      <c r="I801" s="40" t="str">
        <f>_xlfn.XLOOKUP(A801,Output_Mac!A:A,Output_Mac!I:I,"")</f>
        <v/>
      </c>
      <c r="J801" s="40" t="str" cm="1">
        <f t="array" ref="J801">IFERROR(_xlfn.LET(
_xlpm.CSVVal,_xlfn.XLOOKUP($A801,CSV!$A:$A,CSV!I:I,""),
_xlpm.MacVal,_xlfn.XLOOKUP($A801,Output_Mac!$A:$A,Output_Mac!J:J,""),
_xlpm.MyAuditVal,_xlfn.XLOOKUP($A801,My_Audit!$A:$A,My_Audit!I:I,""),
_xlfn.IFS(_xlpm.MyAuditVal&lt;&gt;"",UPPER(_xlpm.MyAuditVal),_xlpm.MacVal&lt;&gt;"",_xlpm.MacVal,_xlpm.CSVVal&lt;&gt;"",_xlpm.CSVVal
)),"")</f>
        <v/>
      </c>
      <c r="K801" s="40" t="str" cm="1">
        <f t="array" ref="K801">IFERROR(_xlfn.LET(
_xlpm.CSVVal,_xlfn.XLOOKUP($A801,CSV!$A:$A,CSV!K:K,""),
_xlpm.MacVal,_xlfn.XLOOKUP($A801,Output_Mac!$A:$A,Output_Mac!K:K,""),
_xlpm.MyAuditVal,_xlfn.XLOOKUP($A801,My_Audit!$A:$A,My_Audit!J:J,""),
_xlfn.IFS(_xlpm.MyAuditVal&lt;&gt;"",UPPER(_xlpm.MyAuditVal),_xlpm.MacVal&lt;&gt;"",_xlpm.MacVal,_xlpm.CSVVal&lt;&gt;"",_xlpm.CSVVal
)),"")</f>
        <v/>
      </c>
      <c r="L801" s="40" t="str" cm="1">
        <f t="array" ref="L801">IFERROR(_xlfn.LET(
_xlpm.CSVVal,_xlfn.XLOOKUP($A801,CSV!$A:$A,CSV!P:P,""),
_xlpm.MacVal,_xlfn.XLOOKUP($A801,Output_Mac!$A:$A,Output_Mac!L:L,""),
_xlpm.MyAuditVal,_xlfn.XLOOKUP($A801,My_Audit!$A:$A,My_Audit!K:K,""),
_xlfn.IFS(_xlpm.MyAuditVal&lt;&gt;"",UPPER(_xlpm.MyAuditVal),_xlpm.MacVal&lt;&gt;"",_xlpm.MacVal,_xlpm.CSVVal&lt;&gt;"",_xlpm.CSVVal
)),"")</f>
        <v/>
      </c>
      <c r="M801" s="40" t="str" cm="1">
        <f t="array" ref="M801">IFERROR(_xlfn.LET(
_xlpm.CSVVal,_xlfn.XLOOKUP($A801,CSV!$A:$A,CSV!Q:Q,""),
_xlpm.MacVal,_xlfn.XLOOKUP($A801,Output_Mac!$A:$A,Output_Mac!M:M,""),
_xlpm.MyAuditVal,_xlfn.XLOOKUP($A801,My_Audit!$A:$A,My_Audit!L:L,""),
_xlfn.IFS(_xlpm.MyAuditVal&lt;&gt;"",UPPER(_xlpm.MyAuditVal),_xlpm.MacVal&lt;&gt;"",_xlpm.MacVal,_xlpm.CSVVal&lt;&gt;"",_xlpm.CSVVal
)),"")</f>
        <v/>
      </c>
      <c r="N801" s="40"/>
      <c r="O801" s="40" t="str">
        <f>_xlfn.LET(
    _xlpm.CSVVal, _xlfn.XLOOKUP($A801, CSV!$A:$A, CSV!AA:AA, ""),
    _xlpm.MacVal, _xlfn.XLOOKUP($A801, Output_Mac!$A:$A, Output_Mac!S:S, ""),
    _xlpm.MyAuditVal, _xlfn.XLOOKUP($A801, My_Audit!$A:$A, My_Audit!P:P, ""),
    _xlfn.TEXTJOIN(", ", TRUE, _xlpm.MyAuditVal, _xlpm.MacVal, _xlpm.CSVVal)
)</f>
        <v/>
      </c>
      <c r="P801" s="40" t="str" cm="1">
        <f t="array" ref="P801">IFERROR(_xlfn.LET(
_xlpm.CSVVal,_xlfn.XLOOKUP($A801,CSV!$A:$A,CSV!AB:AB,""),
_xlpm.MacVal,_xlfn.XLOOKUP($A801,Output_Mac!$A:$A,Output_Mac!T:T,""),
_xlpm.MyAuditVal,_xlfn.XLOOKUP($A801,My_Audit!$A:$A,My_Audit!Q:Q,""),
_xlfn.IFS(_xlpm.MyAuditVal&lt;&gt;"",UPPER(_xlpm.MyAuditVal),_xlpm.MacVal&lt;&gt;"",_xlpm.MacVal,_xlpm.CSVVal&lt;&gt;"",_xlpm.CSVVal
)),"No")</f>
        <v>No</v>
      </c>
      <c r="Q801" s="40" t="str" cm="1">
        <f t="array" ref="Q801">IFERROR(_xlfn.LET(
_xlpm.CSVVal,_xlfn.XLOOKUP($A801,CSV!$A:$A,CSV!AC:AC,""),
_xlpm.MacVal,_xlfn.XLOOKUP($A801,Output_Mac!$A:$A,Output_Mac!U:U,""),
_xlpm.MyAuditVal,_xlfn.XLOOKUP($A801,My_Audit!$A:$A,My_Audit!R:R,""),
_xlfn.IFS(_xlpm.MyAuditVal&lt;&gt;"",UPPER(_xlpm.MyAuditVal),_xlpm.MacVal&lt;&gt;"",_xlpm.MacVal,_xlpm.CSVVal&lt;&gt;"",_xlpm.CSVVal
)),"")</f>
        <v/>
      </c>
      <c r="R801" s="40"/>
      <c r="S801" s="40"/>
      <c r="T801" s="40"/>
      <c r="U801" s="40"/>
      <c r="V801" s="40"/>
      <c r="W801" s="40"/>
      <c r="X801" s="41" t="str">
        <f>_xlfn.LET(
    _xlpm.MacVal, _xlfn.XLOOKUP($A801, Output_Mac!$A:$A, Output_Mac!AB:AB, ""),
    _xlpm.MyAuditVal, _xlfn.XLOOKUP($A801, My_Audit!$A:$A, My_Audit!N:N, ""),
    _xlfn.TEXTJOIN(", ", TRUE, _xlpm.MyAuditVal, _xlpm.MacVal)
)</f>
        <v/>
      </c>
    </row>
    <row r="802" spans="1:24">
      <c r="A802" s="40" t="str">
        <f>_xlfn.TEXTJOIN("",TRUE,Input!$B$2,ROW(My_Audit!A801))</f>
        <v>X801</v>
      </c>
      <c r="B802" s="40" t="str">
        <f>_xlfn.TEXTJOIN("-",TRUE,"ITD",Input!$A$2,A802)</f>
        <v>ITD-X801</v>
      </c>
      <c r="C802" s="40" t="str" cm="1">
        <f t="array" ref="C802">IFERROR(_xlfn.LET(
_xlpm.CSVVal,_xlfn.XLOOKUP($A802,CSV!$A:$A,CSV!B:B,""),
_xlpm.MacVal,_xlfn.XLOOKUP($A802,Output_Mac!$A:$A,Output_Mac!B:B,""),
_xlpm.MyAuditVal,_xlfn.XLOOKUP($A802,My_Audit!$A:$A,My_Audit!B:B,""),
_xlfn.IFS(_xlpm.MyAuditVal&lt;&gt;"",UPPER(_xlpm.MyAuditVal),_xlpm.MacVal&lt;&gt;"",_xlpm.MacVal,_xlpm.CSVVal&lt;&gt;"",_xlpm.CSVVal
)),"")</f>
        <v/>
      </c>
      <c r="D802" s="40" t="str" cm="1">
        <f t="array" ref="D802">IFERROR(_xlfn.LET(
_xlpm.CSVVal,_xlfn.XLOOKUP($A802,CSV!$A:$A,CSV!D:D,""),
_xlpm.MacVal,_xlfn.XLOOKUP($A802,Output_Mac!$A:$A,Output_Mac!C:C,""),
_xlpm.MyAuditVal,_xlfn.XLOOKUP($A802,My_Audit!$A:$A,My_Audit!C:C,""),
_xlfn.IFS(_xlpm.MyAuditVal&lt;&gt;"",_xlpm.MyAuditVal,_xlpm.MacVal&lt;&gt;"",_xlpm.MacVal,_xlpm.CSVVal&lt;&gt;"",_xlpm.CSVVal
)),"")</f>
        <v/>
      </c>
      <c r="E802" s="40" t="str">
        <f>_xlfn.XLOOKUP(A802,My_Audit!A:A,My_Audit!D:D,"")</f>
        <v/>
      </c>
      <c r="F802" s="40" t="str" cm="1">
        <f t="array" ref="F802">IFERROR(_xlfn.LET(
_xlpm.CSVVal,_xlfn.XLOOKUP($A802,CSV!$A:$A,CSV!F:F,""),
_xlpm.MacVal,_xlfn.XLOOKUP($A802,Output_Mac!$A:$A,Output_Mac!E:E,""),
_xlpm.MyAuditVal,_xlfn.XLOOKUP($A802,My_Audit!$A:$A,My_Audit!E:E,""),
_xlfn.IFS(_xlpm.MyAuditVal&lt;&gt;"",_xlpm.MyAuditVal,_xlpm.MacVal&lt;&gt;"",_xlpm.MacVal,_xlpm.CSVVal&lt;&gt;"",_xlpm.CSVVal
)),"")</f>
        <v/>
      </c>
      <c r="G802" s="40" t="str" cm="1">
        <f t="array" ref="G802">IFERROR(_xlfn.LET(
_xlpm.CSVVal,_xlfn.XLOOKUP($A802,CSV!$A:$A,CSV!G:G,""),
_xlpm.MacVal,_xlfn.XLOOKUP($A802,Output_Mac!$A:$A,Output_Mac!F:F,""),
_xlpm.MyAuditVal,_xlfn.XLOOKUP($A802,My_Audit!$A:$A,My_Audit!F:F,""),
_xlfn.IFS(_xlpm.MyAuditVal&lt;&gt;"",_xlpm.MyAuditVal,_xlpm.MacVal&lt;&gt;"",_xlpm.MacVal,_xlpm.CSVVal&lt;&gt;"",PROPER(_xlpm.CSVVal)
)),"")</f>
        <v/>
      </c>
      <c r="H802" s="40" t="str" cm="1">
        <f t="array" ref="H802">IFERROR(_xlfn.LET(
_xlpm.CSVVal,_xlfn.XLOOKUP($A802,CSV!$A:$A,CSV!H:H,""),
_xlpm.MacVal,_xlfn.XLOOKUP($A802,Output_Mac!$A:$A,Output_Mac!H:H,""),
_xlpm.MyAuditVal,_xlfn.XLOOKUP($A802,My_Audit!$A:$A,My_Audit!G:G,""),
_xlfn.IFS(_xlpm.MyAuditVal&lt;&gt;"",_xlpm.MyAuditVal,_xlpm.MacVal&lt;&gt;"",_xlpm.MacVal,_xlpm.CSVVal&lt;&gt;"",_xlpm.CSVVal
)),"")</f>
        <v/>
      </c>
      <c r="I802" s="40" t="str">
        <f>_xlfn.XLOOKUP(A802,Output_Mac!A:A,Output_Mac!I:I,"")</f>
        <v/>
      </c>
      <c r="J802" s="40" t="str" cm="1">
        <f t="array" ref="J802">IFERROR(_xlfn.LET(
_xlpm.CSVVal,_xlfn.XLOOKUP($A802,CSV!$A:$A,CSV!I:I,""),
_xlpm.MacVal,_xlfn.XLOOKUP($A802,Output_Mac!$A:$A,Output_Mac!J:J,""),
_xlpm.MyAuditVal,_xlfn.XLOOKUP($A802,My_Audit!$A:$A,My_Audit!I:I,""),
_xlfn.IFS(_xlpm.MyAuditVal&lt;&gt;"",UPPER(_xlpm.MyAuditVal),_xlpm.MacVal&lt;&gt;"",_xlpm.MacVal,_xlpm.CSVVal&lt;&gt;"",_xlpm.CSVVal
)),"")</f>
        <v/>
      </c>
      <c r="K802" s="40" t="str" cm="1">
        <f t="array" ref="K802">IFERROR(_xlfn.LET(
_xlpm.CSVVal,_xlfn.XLOOKUP($A802,CSV!$A:$A,CSV!K:K,""),
_xlpm.MacVal,_xlfn.XLOOKUP($A802,Output_Mac!$A:$A,Output_Mac!K:K,""),
_xlpm.MyAuditVal,_xlfn.XLOOKUP($A802,My_Audit!$A:$A,My_Audit!J:J,""),
_xlfn.IFS(_xlpm.MyAuditVal&lt;&gt;"",UPPER(_xlpm.MyAuditVal),_xlpm.MacVal&lt;&gt;"",_xlpm.MacVal,_xlpm.CSVVal&lt;&gt;"",_xlpm.CSVVal
)),"")</f>
        <v/>
      </c>
      <c r="L802" s="40" t="str" cm="1">
        <f t="array" ref="L802">IFERROR(_xlfn.LET(
_xlpm.CSVVal,_xlfn.XLOOKUP($A802,CSV!$A:$A,CSV!P:P,""),
_xlpm.MacVal,_xlfn.XLOOKUP($A802,Output_Mac!$A:$A,Output_Mac!L:L,""),
_xlpm.MyAuditVal,_xlfn.XLOOKUP($A802,My_Audit!$A:$A,My_Audit!K:K,""),
_xlfn.IFS(_xlpm.MyAuditVal&lt;&gt;"",UPPER(_xlpm.MyAuditVal),_xlpm.MacVal&lt;&gt;"",_xlpm.MacVal,_xlpm.CSVVal&lt;&gt;"",_xlpm.CSVVal
)),"")</f>
        <v/>
      </c>
      <c r="M802" s="40" t="str" cm="1">
        <f t="array" ref="M802">IFERROR(_xlfn.LET(
_xlpm.CSVVal,_xlfn.XLOOKUP($A802,CSV!$A:$A,CSV!Q:Q,""),
_xlpm.MacVal,_xlfn.XLOOKUP($A802,Output_Mac!$A:$A,Output_Mac!M:M,""),
_xlpm.MyAuditVal,_xlfn.XLOOKUP($A802,My_Audit!$A:$A,My_Audit!L:L,""),
_xlfn.IFS(_xlpm.MyAuditVal&lt;&gt;"",UPPER(_xlpm.MyAuditVal),_xlpm.MacVal&lt;&gt;"",_xlpm.MacVal,_xlpm.CSVVal&lt;&gt;"",_xlpm.CSVVal
)),"")</f>
        <v/>
      </c>
      <c r="N802" s="40"/>
      <c r="O802" s="40" t="str">
        <f>_xlfn.LET(
    _xlpm.CSVVal, _xlfn.XLOOKUP($A802, CSV!$A:$A, CSV!AA:AA, ""),
    _xlpm.MacVal, _xlfn.XLOOKUP($A802, Output_Mac!$A:$A, Output_Mac!S:S, ""),
    _xlpm.MyAuditVal, _xlfn.XLOOKUP($A802, My_Audit!$A:$A, My_Audit!P:P, ""),
    _xlfn.TEXTJOIN(", ", TRUE, _xlpm.MyAuditVal, _xlpm.MacVal, _xlpm.CSVVal)
)</f>
        <v/>
      </c>
      <c r="P802" s="40" t="str" cm="1">
        <f t="array" ref="P802">IFERROR(_xlfn.LET(
_xlpm.CSVVal,_xlfn.XLOOKUP($A802,CSV!$A:$A,CSV!AB:AB,""),
_xlpm.MacVal,_xlfn.XLOOKUP($A802,Output_Mac!$A:$A,Output_Mac!T:T,""),
_xlpm.MyAuditVal,_xlfn.XLOOKUP($A802,My_Audit!$A:$A,My_Audit!Q:Q,""),
_xlfn.IFS(_xlpm.MyAuditVal&lt;&gt;"",UPPER(_xlpm.MyAuditVal),_xlpm.MacVal&lt;&gt;"",_xlpm.MacVal,_xlpm.CSVVal&lt;&gt;"",_xlpm.CSVVal
)),"No")</f>
        <v>No</v>
      </c>
      <c r="Q802" s="40" t="str" cm="1">
        <f t="array" ref="Q802">IFERROR(_xlfn.LET(
_xlpm.CSVVal,_xlfn.XLOOKUP($A802,CSV!$A:$A,CSV!AC:AC,""),
_xlpm.MacVal,_xlfn.XLOOKUP($A802,Output_Mac!$A:$A,Output_Mac!U:U,""),
_xlpm.MyAuditVal,_xlfn.XLOOKUP($A802,My_Audit!$A:$A,My_Audit!R:R,""),
_xlfn.IFS(_xlpm.MyAuditVal&lt;&gt;"",UPPER(_xlpm.MyAuditVal),_xlpm.MacVal&lt;&gt;"",_xlpm.MacVal,_xlpm.CSVVal&lt;&gt;"",_xlpm.CSVVal
)),"")</f>
        <v/>
      </c>
      <c r="R802" s="40"/>
      <c r="S802" s="40"/>
      <c r="T802" s="40"/>
      <c r="U802" s="40"/>
      <c r="V802" s="40"/>
      <c r="W802" s="40"/>
      <c r="X802" s="41" t="str">
        <f>_xlfn.LET(
    _xlpm.MacVal, _xlfn.XLOOKUP($A802, Output_Mac!$A:$A, Output_Mac!AB:AB, ""),
    _xlpm.MyAuditVal, _xlfn.XLOOKUP($A802, My_Audit!$A:$A, My_Audit!N:N, ""),
    _xlfn.TEXTJOIN(", ", TRUE, _xlpm.MyAuditVal, _xlpm.MacVal)
)</f>
        <v/>
      </c>
    </row>
    <row r="803" spans="1:24">
      <c r="A803" s="40" t="str">
        <f>_xlfn.TEXTJOIN("",TRUE,Input!$B$2,ROW(My_Audit!A802))</f>
        <v>X802</v>
      </c>
      <c r="B803" s="40" t="str">
        <f>_xlfn.TEXTJOIN("-",TRUE,"ITD",Input!$A$2,A803)</f>
        <v>ITD-X802</v>
      </c>
      <c r="C803" s="40" t="str" cm="1">
        <f t="array" ref="C803">IFERROR(_xlfn.LET(
_xlpm.CSVVal,_xlfn.XLOOKUP($A803,CSV!$A:$A,CSV!B:B,""),
_xlpm.MacVal,_xlfn.XLOOKUP($A803,Output_Mac!$A:$A,Output_Mac!B:B,""),
_xlpm.MyAuditVal,_xlfn.XLOOKUP($A803,My_Audit!$A:$A,My_Audit!B:B,""),
_xlfn.IFS(_xlpm.MyAuditVal&lt;&gt;"",UPPER(_xlpm.MyAuditVal),_xlpm.MacVal&lt;&gt;"",_xlpm.MacVal,_xlpm.CSVVal&lt;&gt;"",_xlpm.CSVVal
)),"")</f>
        <v/>
      </c>
      <c r="D803" s="40" t="str" cm="1">
        <f t="array" ref="D803">IFERROR(_xlfn.LET(
_xlpm.CSVVal,_xlfn.XLOOKUP($A803,CSV!$A:$A,CSV!D:D,""),
_xlpm.MacVal,_xlfn.XLOOKUP($A803,Output_Mac!$A:$A,Output_Mac!C:C,""),
_xlpm.MyAuditVal,_xlfn.XLOOKUP($A803,My_Audit!$A:$A,My_Audit!C:C,""),
_xlfn.IFS(_xlpm.MyAuditVal&lt;&gt;"",_xlpm.MyAuditVal,_xlpm.MacVal&lt;&gt;"",_xlpm.MacVal,_xlpm.CSVVal&lt;&gt;"",_xlpm.CSVVal
)),"")</f>
        <v/>
      </c>
      <c r="E803" s="40" t="str">
        <f>_xlfn.XLOOKUP(A803,My_Audit!A:A,My_Audit!D:D,"")</f>
        <v/>
      </c>
      <c r="F803" s="40" t="str" cm="1">
        <f t="array" ref="F803">IFERROR(_xlfn.LET(
_xlpm.CSVVal,_xlfn.XLOOKUP($A803,CSV!$A:$A,CSV!F:F,""),
_xlpm.MacVal,_xlfn.XLOOKUP($A803,Output_Mac!$A:$A,Output_Mac!E:E,""),
_xlpm.MyAuditVal,_xlfn.XLOOKUP($A803,My_Audit!$A:$A,My_Audit!E:E,""),
_xlfn.IFS(_xlpm.MyAuditVal&lt;&gt;"",_xlpm.MyAuditVal,_xlpm.MacVal&lt;&gt;"",_xlpm.MacVal,_xlpm.CSVVal&lt;&gt;"",_xlpm.CSVVal
)),"")</f>
        <v/>
      </c>
      <c r="G803" s="40" t="str" cm="1">
        <f t="array" ref="G803">IFERROR(_xlfn.LET(
_xlpm.CSVVal,_xlfn.XLOOKUP($A803,CSV!$A:$A,CSV!G:G,""),
_xlpm.MacVal,_xlfn.XLOOKUP($A803,Output_Mac!$A:$A,Output_Mac!F:F,""),
_xlpm.MyAuditVal,_xlfn.XLOOKUP($A803,My_Audit!$A:$A,My_Audit!F:F,""),
_xlfn.IFS(_xlpm.MyAuditVal&lt;&gt;"",_xlpm.MyAuditVal,_xlpm.MacVal&lt;&gt;"",_xlpm.MacVal,_xlpm.CSVVal&lt;&gt;"",PROPER(_xlpm.CSVVal)
)),"")</f>
        <v/>
      </c>
      <c r="H803" s="40" t="str" cm="1">
        <f t="array" ref="H803">IFERROR(_xlfn.LET(
_xlpm.CSVVal,_xlfn.XLOOKUP($A803,CSV!$A:$A,CSV!H:H,""),
_xlpm.MacVal,_xlfn.XLOOKUP($A803,Output_Mac!$A:$A,Output_Mac!H:H,""),
_xlpm.MyAuditVal,_xlfn.XLOOKUP($A803,My_Audit!$A:$A,My_Audit!G:G,""),
_xlfn.IFS(_xlpm.MyAuditVal&lt;&gt;"",_xlpm.MyAuditVal,_xlpm.MacVal&lt;&gt;"",_xlpm.MacVal,_xlpm.CSVVal&lt;&gt;"",_xlpm.CSVVal
)),"")</f>
        <v/>
      </c>
      <c r="I803" s="40" t="str">
        <f>_xlfn.XLOOKUP(A803,Output_Mac!A:A,Output_Mac!I:I,"")</f>
        <v/>
      </c>
      <c r="J803" s="40" t="str" cm="1">
        <f t="array" ref="J803">IFERROR(_xlfn.LET(
_xlpm.CSVVal,_xlfn.XLOOKUP($A803,CSV!$A:$A,CSV!I:I,""),
_xlpm.MacVal,_xlfn.XLOOKUP($A803,Output_Mac!$A:$A,Output_Mac!J:J,""),
_xlpm.MyAuditVal,_xlfn.XLOOKUP($A803,My_Audit!$A:$A,My_Audit!I:I,""),
_xlfn.IFS(_xlpm.MyAuditVal&lt;&gt;"",UPPER(_xlpm.MyAuditVal),_xlpm.MacVal&lt;&gt;"",_xlpm.MacVal,_xlpm.CSVVal&lt;&gt;"",_xlpm.CSVVal
)),"")</f>
        <v/>
      </c>
      <c r="K803" s="40" t="str" cm="1">
        <f t="array" ref="K803">IFERROR(_xlfn.LET(
_xlpm.CSVVal,_xlfn.XLOOKUP($A803,CSV!$A:$A,CSV!K:K,""),
_xlpm.MacVal,_xlfn.XLOOKUP($A803,Output_Mac!$A:$A,Output_Mac!K:K,""),
_xlpm.MyAuditVal,_xlfn.XLOOKUP($A803,My_Audit!$A:$A,My_Audit!J:J,""),
_xlfn.IFS(_xlpm.MyAuditVal&lt;&gt;"",UPPER(_xlpm.MyAuditVal),_xlpm.MacVal&lt;&gt;"",_xlpm.MacVal,_xlpm.CSVVal&lt;&gt;"",_xlpm.CSVVal
)),"")</f>
        <v/>
      </c>
      <c r="L803" s="40" t="str" cm="1">
        <f t="array" ref="L803">IFERROR(_xlfn.LET(
_xlpm.CSVVal,_xlfn.XLOOKUP($A803,CSV!$A:$A,CSV!P:P,""),
_xlpm.MacVal,_xlfn.XLOOKUP($A803,Output_Mac!$A:$A,Output_Mac!L:L,""),
_xlpm.MyAuditVal,_xlfn.XLOOKUP($A803,My_Audit!$A:$A,My_Audit!K:K,""),
_xlfn.IFS(_xlpm.MyAuditVal&lt;&gt;"",UPPER(_xlpm.MyAuditVal),_xlpm.MacVal&lt;&gt;"",_xlpm.MacVal,_xlpm.CSVVal&lt;&gt;"",_xlpm.CSVVal
)),"")</f>
        <v/>
      </c>
      <c r="M803" s="40" t="str" cm="1">
        <f t="array" ref="M803">IFERROR(_xlfn.LET(
_xlpm.CSVVal,_xlfn.XLOOKUP($A803,CSV!$A:$A,CSV!Q:Q,""),
_xlpm.MacVal,_xlfn.XLOOKUP($A803,Output_Mac!$A:$A,Output_Mac!M:M,""),
_xlpm.MyAuditVal,_xlfn.XLOOKUP($A803,My_Audit!$A:$A,My_Audit!L:L,""),
_xlfn.IFS(_xlpm.MyAuditVal&lt;&gt;"",UPPER(_xlpm.MyAuditVal),_xlpm.MacVal&lt;&gt;"",_xlpm.MacVal,_xlpm.CSVVal&lt;&gt;"",_xlpm.CSVVal
)),"")</f>
        <v/>
      </c>
      <c r="N803" s="40"/>
      <c r="O803" s="40" t="str">
        <f>_xlfn.LET(
    _xlpm.CSVVal, _xlfn.XLOOKUP($A803, CSV!$A:$A, CSV!AA:AA, ""),
    _xlpm.MacVal, _xlfn.XLOOKUP($A803, Output_Mac!$A:$A, Output_Mac!S:S, ""),
    _xlpm.MyAuditVal, _xlfn.XLOOKUP($A803, My_Audit!$A:$A, My_Audit!P:P, ""),
    _xlfn.TEXTJOIN(", ", TRUE, _xlpm.MyAuditVal, _xlpm.MacVal, _xlpm.CSVVal)
)</f>
        <v/>
      </c>
      <c r="P803" s="40" t="str" cm="1">
        <f t="array" ref="P803">IFERROR(_xlfn.LET(
_xlpm.CSVVal,_xlfn.XLOOKUP($A803,CSV!$A:$A,CSV!AB:AB,""),
_xlpm.MacVal,_xlfn.XLOOKUP($A803,Output_Mac!$A:$A,Output_Mac!T:T,""),
_xlpm.MyAuditVal,_xlfn.XLOOKUP($A803,My_Audit!$A:$A,My_Audit!Q:Q,""),
_xlfn.IFS(_xlpm.MyAuditVal&lt;&gt;"",UPPER(_xlpm.MyAuditVal),_xlpm.MacVal&lt;&gt;"",_xlpm.MacVal,_xlpm.CSVVal&lt;&gt;"",_xlpm.CSVVal
)),"No")</f>
        <v>No</v>
      </c>
      <c r="Q803" s="40" t="str" cm="1">
        <f t="array" ref="Q803">IFERROR(_xlfn.LET(
_xlpm.CSVVal,_xlfn.XLOOKUP($A803,CSV!$A:$A,CSV!AC:AC,""),
_xlpm.MacVal,_xlfn.XLOOKUP($A803,Output_Mac!$A:$A,Output_Mac!U:U,""),
_xlpm.MyAuditVal,_xlfn.XLOOKUP($A803,My_Audit!$A:$A,My_Audit!R:R,""),
_xlfn.IFS(_xlpm.MyAuditVal&lt;&gt;"",UPPER(_xlpm.MyAuditVal),_xlpm.MacVal&lt;&gt;"",_xlpm.MacVal,_xlpm.CSVVal&lt;&gt;"",_xlpm.CSVVal
)),"")</f>
        <v/>
      </c>
      <c r="R803" s="40"/>
      <c r="S803" s="40"/>
      <c r="T803" s="40"/>
      <c r="U803" s="40"/>
      <c r="V803" s="40"/>
      <c r="W803" s="40"/>
      <c r="X803" s="41" t="str">
        <f>_xlfn.LET(
    _xlpm.MacVal, _xlfn.XLOOKUP($A803, Output_Mac!$A:$A, Output_Mac!AB:AB, ""),
    _xlpm.MyAuditVal, _xlfn.XLOOKUP($A803, My_Audit!$A:$A, My_Audit!N:N, ""),
    _xlfn.TEXTJOIN(", ", TRUE, _xlpm.MyAuditVal, _xlpm.MacVal)
)</f>
        <v/>
      </c>
    </row>
    <row r="804" spans="1:24">
      <c r="A804" s="40" t="str">
        <f>_xlfn.TEXTJOIN("",TRUE,Input!$B$2,ROW(My_Audit!A803))</f>
        <v>X803</v>
      </c>
      <c r="B804" s="40" t="str">
        <f>_xlfn.TEXTJOIN("-",TRUE,"ITD",Input!$A$2,A804)</f>
        <v>ITD-X803</v>
      </c>
      <c r="C804" s="40" t="str" cm="1">
        <f t="array" ref="C804">IFERROR(_xlfn.LET(
_xlpm.CSVVal,_xlfn.XLOOKUP($A804,CSV!$A:$A,CSV!B:B,""),
_xlpm.MacVal,_xlfn.XLOOKUP($A804,Output_Mac!$A:$A,Output_Mac!B:B,""),
_xlpm.MyAuditVal,_xlfn.XLOOKUP($A804,My_Audit!$A:$A,My_Audit!B:B,""),
_xlfn.IFS(_xlpm.MyAuditVal&lt;&gt;"",UPPER(_xlpm.MyAuditVal),_xlpm.MacVal&lt;&gt;"",_xlpm.MacVal,_xlpm.CSVVal&lt;&gt;"",_xlpm.CSVVal
)),"")</f>
        <v/>
      </c>
      <c r="D804" s="40" t="str" cm="1">
        <f t="array" ref="D804">IFERROR(_xlfn.LET(
_xlpm.CSVVal,_xlfn.XLOOKUP($A804,CSV!$A:$A,CSV!D:D,""),
_xlpm.MacVal,_xlfn.XLOOKUP($A804,Output_Mac!$A:$A,Output_Mac!C:C,""),
_xlpm.MyAuditVal,_xlfn.XLOOKUP($A804,My_Audit!$A:$A,My_Audit!C:C,""),
_xlfn.IFS(_xlpm.MyAuditVal&lt;&gt;"",_xlpm.MyAuditVal,_xlpm.MacVal&lt;&gt;"",_xlpm.MacVal,_xlpm.CSVVal&lt;&gt;"",_xlpm.CSVVal
)),"")</f>
        <v/>
      </c>
      <c r="E804" s="40" t="str">
        <f>_xlfn.XLOOKUP(A804,My_Audit!A:A,My_Audit!D:D,"")</f>
        <v/>
      </c>
      <c r="F804" s="40" t="str" cm="1">
        <f t="array" ref="F804">IFERROR(_xlfn.LET(
_xlpm.CSVVal,_xlfn.XLOOKUP($A804,CSV!$A:$A,CSV!F:F,""),
_xlpm.MacVal,_xlfn.XLOOKUP($A804,Output_Mac!$A:$A,Output_Mac!E:E,""),
_xlpm.MyAuditVal,_xlfn.XLOOKUP($A804,My_Audit!$A:$A,My_Audit!E:E,""),
_xlfn.IFS(_xlpm.MyAuditVal&lt;&gt;"",_xlpm.MyAuditVal,_xlpm.MacVal&lt;&gt;"",_xlpm.MacVal,_xlpm.CSVVal&lt;&gt;"",_xlpm.CSVVal
)),"")</f>
        <v/>
      </c>
      <c r="G804" s="40" t="str" cm="1">
        <f t="array" ref="G804">IFERROR(_xlfn.LET(
_xlpm.CSVVal,_xlfn.XLOOKUP($A804,CSV!$A:$A,CSV!G:G,""),
_xlpm.MacVal,_xlfn.XLOOKUP($A804,Output_Mac!$A:$A,Output_Mac!F:F,""),
_xlpm.MyAuditVal,_xlfn.XLOOKUP($A804,My_Audit!$A:$A,My_Audit!F:F,""),
_xlfn.IFS(_xlpm.MyAuditVal&lt;&gt;"",_xlpm.MyAuditVal,_xlpm.MacVal&lt;&gt;"",_xlpm.MacVal,_xlpm.CSVVal&lt;&gt;"",PROPER(_xlpm.CSVVal)
)),"")</f>
        <v/>
      </c>
      <c r="H804" s="40" t="str" cm="1">
        <f t="array" ref="H804">IFERROR(_xlfn.LET(
_xlpm.CSVVal,_xlfn.XLOOKUP($A804,CSV!$A:$A,CSV!H:H,""),
_xlpm.MacVal,_xlfn.XLOOKUP($A804,Output_Mac!$A:$A,Output_Mac!H:H,""),
_xlpm.MyAuditVal,_xlfn.XLOOKUP($A804,My_Audit!$A:$A,My_Audit!G:G,""),
_xlfn.IFS(_xlpm.MyAuditVal&lt;&gt;"",_xlpm.MyAuditVal,_xlpm.MacVal&lt;&gt;"",_xlpm.MacVal,_xlpm.CSVVal&lt;&gt;"",_xlpm.CSVVal
)),"")</f>
        <v/>
      </c>
      <c r="I804" s="40" t="str">
        <f>_xlfn.XLOOKUP(A804,Output_Mac!A:A,Output_Mac!I:I,"")</f>
        <v/>
      </c>
      <c r="J804" s="40" t="str" cm="1">
        <f t="array" ref="J804">IFERROR(_xlfn.LET(
_xlpm.CSVVal,_xlfn.XLOOKUP($A804,CSV!$A:$A,CSV!I:I,""),
_xlpm.MacVal,_xlfn.XLOOKUP($A804,Output_Mac!$A:$A,Output_Mac!J:J,""),
_xlpm.MyAuditVal,_xlfn.XLOOKUP($A804,My_Audit!$A:$A,My_Audit!I:I,""),
_xlfn.IFS(_xlpm.MyAuditVal&lt;&gt;"",UPPER(_xlpm.MyAuditVal),_xlpm.MacVal&lt;&gt;"",_xlpm.MacVal,_xlpm.CSVVal&lt;&gt;"",_xlpm.CSVVal
)),"")</f>
        <v/>
      </c>
      <c r="K804" s="40" t="str" cm="1">
        <f t="array" ref="K804">IFERROR(_xlfn.LET(
_xlpm.CSVVal,_xlfn.XLOOKUP($A804,CSV!$A:$A,CSV!K:K,""),
_xlpm.MacVal,_xlfn.XLOOKUP($A804,Output_Mac!$A:$A,Output_Mac!K:K,""),
_xlpm.MyAuditVal,_xlfn.XLOOKUP($A804,My_Audit!$A:$A,My_Audit!J:J,""),
_xlfn.IFS(_xlpm.MyAuditVal&lt;&gt;"",UPPER(_xlpm.MyAuditVal),_xlpm.MacVal&lt;&gt;"",_xlpm.MacVal,_xlpm.CSVVal&lt;&gt;"",_xlpm.CSVVal
)),"")</f>
        <v/>
      </c>
      <c r="L804" s="40" t="str" cm="1">
        <f t="array" ref="L804">IFERROR(_xlfn.LET(
_xlpm.CSVVal,_xlfn.XLOOKUP($A804,CSV!$A:$A,CSV!P:P,""),
_xlpm.MacVal,_xlfn.XLOOKUP($A804,Output_Mac!$A:$A,Output_Mac!L:L,""),
_xlpm.MyAuditVal,_xlfn.XLOOKUP($A804,My_Audit!$A:$A,My_Audit!K:K,""),
_xlfn.IFS(_xlpm.MyAuditVal&lt;&gt;"",UPPER(_xlpm.MyAuditVal),_xlpm.MacVal&lt;&gt;"",_xlpm.MacVal,_xlpm.CSVVal&lt;&gt;"",_xlpm.CSVVal
)),"")</f>
        <v/>
      </c>
      <c r="M804" s="40" t="str" cm="1">
        <f t="array" ref="M804">IFERROR(_xlfn.LET(
_xlpm.CSVVal,_xlfn.XLOOKUP($A804,CSV!$A:$A,CSV!Q:Q,""),
_xlpm.MacVal,_xlfn.XLOOKUP($A804,Output_Mac!$A:$A,Output_Mac!M:M,""),
_xlpm.MyAuditVal,_xlfn.XLOOKUP($A804,My_Audit!$A:$A,My_Audit!L:L,""),
_xlfn.IFS(_xlpm.MyAuditVal&lt;&gt;"",UPPER(_xlpm.MyAuditVal),_xlpm.MacVal&lt;&gt;"",_xlpm.MacVal,_xlpm.CSVVal&lt;&gt;"",_xlpm.CSVVal
)),"")</f>
        <v/>
      </c>
      <c r="N804" s="40"/>
      <c r="O804" s="40" t="str">
        <f>_xlfn.LET(
    _xlpm.CSVVal, _xlfn.XLOOKUP($A804, CSV!$A:$A, CSV!AA:AA, ""),
    _xlpm.MacVal, _xlfn.XLOOKUP($A804, Output_Mac!$A:$A, Output_Mac!S:S, ""),
    _xlpm.MyAuditVal, _xlfn.XLOOKUP($A804, My_Audit!$A:$A, My_Audit!P:P, ""),
    _xlfn.TEXTJOIN(", ", TRUE, _xlpm.MyAuditVal, _xlpm.MacVal, _xlpm.CSVVal)
)</f>
        <v/>
      </c>
      <c r="P804" s="40" t="str" cm="1">
        <f t="array" ref="P804">IFERROR(_xlfn.LET(
_xlpm.CSVVal,_xlfn.XLOOKUP($A804,CSV!$A:$A,CSV!AB:AB,""),
_xlpm.MacVal,_xlfn.XLOOKUP($A804,Output_Mac!$A:$A,Output_Mac!T:T,""),
_xlpm.MyAuditVal,_xlfn.XLOOKUP($A804,My_Audit!$A:$A,My_Audit!Q:Q,""),
_xlfn.IFS(_xlpm.MyAuditVal&lt;&gt;"",UPPER(_xlpm.MyAuditVal),_xlpm.MacVal&lt;&gt;"",_xlpm.MacVal,_xlpm.CSVVal&lt;&gt;"",_xlpm.CSVVal
)),"No")</f>
        <v>No</v>
      </c>
      <c r="Q804" s="40" t="str" cm="1">
        <f t="array" ref="Q804">IFERROR(_xlfn.LET(
_xlpm.CSVVal,_xlfn.XLOOKUP($A804,CSV!$A:$A,CSV!AC:AC,""),
_xlpm.MacVal,_xlfn.XLOOKUP($A804,Output_Mac!$A:$A,Output_Mac!U:U,""),
_xlpm.MyAuditVal,_xlfn.XLOOKUP($A804,My_Audit!$A:$A,My_Audit!R:R,""),
_xlfn.IFS(_xlpm.MyAuditVal&lt;&gt;"",UPPER(_xlpm.MyAuditVal),_xlpm.MacVal&lt;&gt;"",_xlpm.MacVal,_xlpm.CSVVal&lt;&gt;"",_xlpm.CSVVal
)),"")</f>
        <v/>
      </c>
      <c r="R804" s="40"/>
      <c r="S804" s="40"/>
      <c r="T804" s="40"/>
      <c r="U804" s="40"/>
      <c r="V804" s="40"/>
      <c r="W804" s="40"/>
      <c r="X804" s="41" t="str">
        <f>_xlfn.LET(
    _xlpm.MacVal, _xlfn.XLOOKUP($A804, Output_Mac!$A:$A, Output_Mac!AB:AB, ""),
    _xlpm.MyAuditVal, _xlfn.XLOOKUP($A804, My_Audit!$A:$A, My_Audit!N:N, ""),
    _xlfn.TEXTJOIN(", ", TRUE, _xlpm.MyAuditVal, _xlpm.MacVal)
)</f>
        <v/>
      </c>
    </row>
    <row r="805" spans="1:24">
      <c r="A805" s="40" t="str">
        <f>_xlfn.TEXTJOIN("",TRUE,Input!$B$2,ROW(My_Audit!A804))</f>
        <v>X804</v>
      </c>
      <c r="B805" s="40" t="str">
        <f>_xlfn.TEXTJOIN("-",TRUE,"ITD",Input!$A$2,A805)</f>
        <v>ITD-X804</v>
      </c>
      <c r="C805" s="40" t="str" cm="1">
        <f t="array" ref="C805">IFERROR(_xlfn.LET(
_xlpm.CSVVal,_xlfn.XLOOKUP($A805,CSV!$A:$A,CSV!B:B,""),
_xlpm.MacVal,_xlfn.XLOOKUP($A805,Output_Mac!$A:$A,Output_Mac!B:B,""),
_xlpm.MyAuditVal,_xlfn.XLOOKUP($A805,My_Audit!$A:$A,My_Audit!B:B,""),
_xlfn.IFS(_xlpm.MyAuditVal&lt;&gt;"",UPPER(_xlpm.MyAuditVal),_xlpm.MacVal&lt;&gt;"",_xlpm.MacVal,_xlpm.CSVVal&lt;&gt;"",_xlpm.CSVVal
)),"")</f>
        <v/>
      </c>
      <c r="D805" s="40" t="str" cm="1">
        <f t="array" ref="D805">IFERROR(_xlfn.LET(
_xlpm.CSVVal,_xlfn.XLOOKUP($A805,CSV!$A:$A,CSV!D:D,""),
_xlpm.MacVal,_xlfn.XLOOKUP($A805,Output_Mac!$A:$A,Output_Mac!C:C,""),
_xlpm.MyAuditVal,_xlfn.XLOOKUP($A805,My_Audit!$A:$A,My_Audit!C:C,""),
_xlfn.IFS(_xlpm.MyAuditVal&lt;&gt;"",_xlpm.MyAuditVal,_xlpm.MacVal&lt;&gt;"",_xlpm.MacVal,_xlpm.CSVVal&lt;&gt;"",_xlpm.CSVVal
)),"")</f>
        <v/>
      </c>
      <c r="E805" s="40" t="str">
        <f>_xlfn.XLOOKUP(A805,My_Audit!A:A,My_Audit!D:D,"")</f>
        <v/>
      </c>
      <c r="F805" s="40" t="str" cm="1">
        <f t="array" ref="F805">IFERROR(_xlfn.LET(
_xlpm.CSVVal,_xlfn.XLOOKUP($A805,CSV!$A:$A,CSV!F:F,""),
_xlpm.MacVal,_xlfn.XLOOKUP($A805,Output_Mac!$A:$A,Output_Mac!E:E,""),
_xlpm.MyAuditVal,_xlfn.XLOOKUP($A805,My_Audit!$A:$A,My_Audit!E:E,""),
_xlfn.IFS(_xlpm.MyAuditVal&lt;&gt;"",_xlpm.MyAuditVal,_xlpm.MacVal&lt;&gt;"",_xlpm.MacVal,_xlpm.CSVVal&lt;&gt;"",_xlpm.CSVVal
)),"")</f>
        <v/>
      </c>
      <c r="G805" s="40" t="str" cm="1">
        <f t="array" ref="G805">IFERROR(_xlfn.LET(
_xlpm.CSVVal,_xlfn.XLOOKUP($A805,CSV!$A:$A,CSV!G:G,""),
_xlpm.MacVal,_xlfn.XLOOKUP($A805,Output_Mac!$A:$A,Output_Mac!F:F,""),
_xlpm.MyAuditVal,_xlfn.XLOOKUP($A805,My_Audit!$A:$A,My_Audit!F:F,""),
_xlfn.IFS(_xlpm.MyAuditVal&lt;&gt;"",_xlpm.MyAuditVal,_xlpm.MacVal&lt;&gt;"",_xlpm.MacVal,_xlpm.CSVVal&lt;&gt;"",PROPER(_xlpm.CSVVal)
)),"")</f>
        <v/>
      </c>
      <c r="H805" s="40" t="str" cm="1">
        <f t="array" ref="H805">IFERROR(_xlfn.LET(
_xlpm.CSVVal,_xlfn.XLOOKUP($A805,CSV!$A:$A,CSV!H:H,""),
_xlpm.MacVal,_xlfn.XLOOKUP($A805,Output_Mac!$A:$A,Output_Mac!H:H,""),
_xlpm.MyAuditVal,_xlfn.XLOOKUP($A805,My_Audit!$A:$A,My_Audit!G:G,""),
_xlfn.IFS(_xlpm.MyAuditVal&lt;&gt;"",_xlpm.MyAuditVal,_xlpm.MacVal&lt;&gt;"",_xlpm.MacVal,_xlpm.CSVVal&lt;&gt;"",_xlpm.CSVVal
)),"")</f>
        <v/>
      </c>
      <c r="I805" s="40" t="str">
        <f>_xlfn.XLOOKUP(A805,Output_Mac!A:A,Output_Mac!I:I,"")</f>
        <v/>
      </c>
      <c r="J805" s="40" t="str" cm="1">
        <f t="array" ref="J805">IFERROR(_xlfn.LET(
_xlpm.CSVVal,_xlfn.XLOOKUP($A805,CSV!$A:$A,CSV!I:I,""),
_xlpm.MacVal,_xlfn.XLOOKUP($A805,Output_Mac!$A:$A,Output_Mac!J:J,""),
_xlpm.MyAuditVal,_xlfn.XLOOKUP($A805,My_Audit!$A:$A,My_Audit!I:I,""),
_xlfn.IFS(_xlpm.MyAuditVal&lt;&gt;"",UPPER(_xlpm.MyAuditVal),_xlpm.MacVal&lt;&gt;"",_xlpm.MacVal,_xlpm.CSVVal&lt;&gt;"",_xlpm.CSVVal
)),"")</f>
        <v/>
      </c>
      <c r="K805" s="40" t="str" cm="1">
        <f t="array" ref="K805">IFERROR(_xlfn.LET(
_xlpm.CSVVal,_xlfn.XLOOKUP($A805,CSV!$A:$A,CSV!K:K,""),
_xlpm.MacVal,_xlfn.XLOOKUP($A805,Output_Mac!$A:$A,Output_Mac!K:K,""),
_xlpm.MyAuditVal,_xlfn.XLOOKUP($A805,My_Audit!$A:$A,My_Audit!J:J,""),
_xlfn.IFS(_xlpm.MyAuditVal&lt;&gt;"",UPPER(_xlpm.MyAuditVal),_xlpm.MacVal&lt;&gt;"",_xlpm.MacVal,_xlpm.CSVVal&lt;&gt;"",_xlpm.CSVVal
)),"")</f>
        <v/>
      </c>
      <c r="L805" s="40" t="str" cm="1">
        <f t="array" ref="L805">IFERROR(_xlfn.LET(
_xlpm.CSVVal,_xlfn.XLOOKUP($A805,CSV!$A:$A,CSV!P:P,""),
_xlpm.MacVal,_xlfn.XLOOKUP($A805,Output_Mac!$A:$A,Output_Mac!L:L,""),
_xlpm.MyAuditVal,_xlfn.XLOOKUP($A805,My_Audit!$A:$A,My_Audit!K:K,""),
_xlfn.IFS(_xlpm.MyAuditVal&lt;&gt;"",UPPER(_xlpm.MyAuditVal),_xlpm.MacVal&lt;&gt;"",_xlpm.MacVal,_xlpm.CSVVal&lt;&gt;"",_xlpm.CSVVal
)),"")</f>
        <v/>
      </c>
      <c r="M805" s="40" t="str" cm="1">
        <f t="array" ref="M805">IFERROR(_xlfn.LET(
_xlpm.CSVVal,_xlfn.XLOOKUP($A805,CSV!$A:$A,CSV!Q:Q,""),
_xlpm.MacVal,_xlfn.XLOOKUP($A805,Output_Mac!$A:$A,Output_Mac!M:M,""),
_xlpm.MyAuditVal,_xlfn.XLOOKUP($A805,My_Audit!$A:$A,My_Audit!L:L,""),
_xlfn.IFS(_xlpm.MyAuditVal&lt;&gt;"",UPPER(_xlpm.MyAuditVal),_xlpm.MacVal&lt;&gt;"",_xlpm.MacVal,_xlpm.CSVVal&lt;&gt;"",_xlpm.CSVVal
)),"")</f>
        <v/>
      </c>
      <c r="N805" s="40"/>
      <c r="O805" s="40" t="str">
        <f>_xlfn.LET(
    _xlpm.CSVVal, _xlfn.XLOOKUP($A805, CSV!$A:$A, CSV!AA:AA, ""),
    _xlpm.MacVal, _xlfn.XLOOKUP($A805, Output_Mac!$A:$A, Output_Mac!S:S, ""),
    _xlpm.MyAuditVal, _xlfn.XLOOKUP($A805, My_Audit!$A:$A, My_Audit!P:P, ""),
    _xlfn.TEXTJOIN(", ", TRUE, _xlpm.MyAuditVal, _xlpm.MacVal, _xlpm.CSVVal)
)</f>
        <v/>
      </c>
      <c r="P805" s="40" t="str" cm="1">
        <f t="array" ref="P805">IFERROR(_xlfn.LET(
_xlpm.CSVVal,_xlfn.XLOOKUP($A805,CSV!$A:$A,CSV!AB:AB,""),
_xlpm.MacVal,_xlfn.XLOOKUP($A805,Output_Mac!$A:$A,Output_Mac!T:T,""),
_xlpm.MyAuditVal,_xlfn.XLOOKUP($A805,My_Audit!$A:$A,My_Audit!Q:Q,""),
_xlfn.IFS(_xlpm.MyAuditVal&lt;&gt;"",UPPER(_xlpm.MyAuditVal),_xlpm.MacVal&lt;&gt;"",_xlpm.MacVal,_xlpm.CSVVal&lt;&gt;"",_xlpm.CSVVal
)),"No")</f>
        <v>No</v>
      </c>
      <c r="Q805" s="40" t="str" cm="1">
        <f t="array" ref="Q805">IFERROR(_xlfn.LET(
_xlpm.CSVVal,_xlfn.XLOOKUP($A805,CSV!$A:$A,CSV!AC:AC,""),
_xlpm.MacVal,_xlfn.XLOOKUP($A805,Output_Mac!$A:$A,Output_Mac!U:U,""),
_xlpm.MyAuditVal,_xlfn.XLOOKUP($A805,My_Audit!$A:$A,My_Audit!R:R,""),
_xlfn.IFS(_xlpm.MyAuditVal&lt;&gt;"",UPPER(_xlpm.MyAuditVal),_xlpm.MacVal&lt;&gt;"",_xlpm.MacVal,_xlpm.CSVVal&lt;&gt;"",_xlpm.CSVVal
)),"")</f>
        <v/>
      </c>
      <c r="R805" s="40"/>
      <c r="S805" s="40"/>
      <c r="T805" s="40"/>
      <c r="U805" s="40"/>
      <c r="V805" s="40"/>
      <c r="W805" s="40"/>
      <c r="X805" s="41" t="str">
        <f>_xlfn.LET(
    _xlpm.MacVal, _xlfn.XLOOKUP($A805, Output_Mac!$A:$A, Output_Mac!AB:AB, ""),
    _xlpm.MyAuditVal, _xlfn.XLOOKUP($A805, My_Audit!$A:$A, My_Audit!N:N, ""),
    _xlfn.TEXTJOIN(", ", TRUE, _xlpm.MyAuditVal, _xlpm.MacVal)
)</f>
        <v/>
      </c>
    </row>
    <row r="806" spans="1:24">
      <c r="A806" s="40" t="str">
        <f>_xlfn.TEXTJOIN("",TRUE,Input!$B$2,ROW(My_Audit!A805))</f>
        <v>X805</v>
      </c>
      <c r="B806" s="40" t="str">
        <f>_xlfn.TEXTJOIN("-",TRUE,"ITD",Input!$A$2,A806)</f>
        <v>ITD-X805</v>
      </c>
      <c r="C806" s="40" t="str" cm="1">
        <f t="array" ref="C806">IFERROR(_xlfn.LET(
_xlpm.CSVVal,_xlfn.XLOOKUP($A806,CSV!$A:$A,CSV!B:B,""),
_xlpm.MacVal,_xlfn.XLOOKUP($A806,Output_Mac!$A:$A,Output_Mac!B:B,""),
_xlpm.MyAuditVal,_xlfn.XLOOKUP($A806,My_Audit!$A:$A,My_Audit!B:B,""),
_xlfn.IFS(_xlpm.MyAuditVal&lt;&gt;"",UPPER(_xlpm.MyAuditVal),_xlpm.MacVal&lt;&gt;"",_xlpm.MacVal,_xlpm.CSVVal&lt;&gt;"",_xlpm.CSVVal
)),"")</f>
        <v/>
      </c>
      <c r="D806" s="40" t="str" cm="1">
        <f t="array" ref="D806">IFERROR(_xlfn.LET(
_xlpm.CSVVal,_xlfn.XLOOKUP($A806,CSV!$A:$A,CSV!D:D,""),
_xlpm.MacVal,_xlfn.XLOOKUP($A806,Output_Mac!$A:$A,Output_Mac!C:C,""),
_xlpm.MyAuditVal,_xlfn.XLOOKUP($A806,My_Audit!$A:$A,My_Audit!C:C,""),
_xlfn.IFS(_xlpm.MyAuditVal&lt;&gt;"",_xlpm.MyAuditVal,_xlpm.MacVal&lt;&gt;"",_xlpm.MacVal,_xlpm.CSVVal&lt;&gt;"",_xlpm.CSVVal
)),"")</f>
        <v/>
      </c>
      <c r="E806" s="40" t="str">
        <f>_xlfn.XLOOKUP(A806,My_Audit!A:A,My_Audit!D:D,"")</f>
        <v/>
      </c>
      <c r="F806" s="40" t="str" cm="1">
        <f t="array" ref="F806">IFERROR(_xlfn.LET(
_xlpm.CSVVal,_xlfn.XLOOKUP($A806,CSV!$A:$A,CSV!F:F,""),
_xlpm.MacVal,_xlfn.XLOOKUP($A806,Output_Mac!$A:$A,Output_Mac!E:E,""),
_xlpm.MyAuditVal,_xlfn.XLOOKUP($A806,My_Audit!$A:$A,My_Audit!E:E,""),
_xlfn.IFS(_xlpm.MyAuditVal&lt;&gt;"",_xlpm.MyAuditVal,_xlpm.MacVal&lt;&gt;"",_xlpm.MacVal,_xlpm.CSVVal&lt;&gt;"",_xlpm.CSVVal
)),"")</f>
        <v/>
      </c>
      <c r="G806" s="40" t="str" cm="1">
        <f t="array" ref="G806">IFERROR(_xlfn.LET(
_xlpm.CSVVal,_xlfn.XLOOKUP($A806,CSV!$A:$A,CSV!G:G,""),
_xlpm.MacVal,_xlfn.XLOOKUP($A806,Output_Mac!$A:$A,Output_Mac!F:F,""),
_xlpm.MyAuditVal,_xlfn.XLOOKUP($A806,My_Audit!$A:$A,My_Audit!F:F,""),
_xlfn.IFS(_xlpm.MyAuditVal&lt;&gt;"",_xlpm.MyAuditVal,_xlpm.MacVal&lt;&gt;"",_xlpm.MacVal,_xlpm.CSVVal&lt;&gt;"",PROPER(_xlpm.CSVVal)
)),"")</f>
        <v/>
      </c>
      <c r="H806" s="40" t="str" cm="1">
        <f t="array" ref="H806">IFERROR(_xlfn.LET(
_xlpm.CSVVal,_xlfn.XLOOKUP($A806,CSV!$A:$A,CSV!H:H,""),
_xlpm.MacVal,_xlfn.XLOOKUP($A806,Output_Mac!$A:$A,Output_Mac!H:H,""),
_xlpm.MyAuditVal,_xlfn.XLOOKUP($A806,My_Audit!$A:$A,My_Audit!G:G,""),
_xlfn.IFS(_xlpm.MyAuditVal&lt;&gt;"",_xlpm.MyAuditVal,_xlpm.MacVal&lt;&gt;"",_xlpm.MacVal,_xlpm.CSVVal&lt;&gt;"",_xlpm.CSVVal
)),"")</f>
        <v/>
      </c>
      <c r="I806" s="40" t="str">
        <f>_xlfn.XLOOKUP(A806,Output_Mac!A:A,Output_Mac!I:I,"")</f>
        <v/>
      </c>
      <c r="J806" s="40" t="str" cm="1">
        <f t="array" ref="J806">IFERROR(_xlfn.LET(
_xlpm.CSVVal,_xlfn.XLOOKUP($A806,CSV!$A:$A,CSV!I:I,""),
_xlpm.MacVal,_xlfn.XLOOKUP($A806,Output_Mac!$A:$A,Output_Mac!J:J,""),
_xlpm.MyAuditVal,_xlfn.XLOOKUP($A806,My_Audit!$A:$A,My_Audit!I:I,""),
_xlfn.IFS(_xlpm.MyAuditVal&lt;&gt;"",UPPER(_xlpm.MyAuditVal),_xlpm.MacVal&lt;&gt;"",_xlpm.MacVal,_xlpm.CSVVal&lt;&gt;"",_xlpm.CSVVal
)),"")</f>
        <v/>
      </c>
      <c r="K806" s="40" t="str" cm="1">
        <f t="array" ref="K806">IFERROR(_xlfn.LET(
_xlpm.CSVVal,_xlfn.XLOOKUP($A806,CSV!$A:$A,CSV!K:K,""),
_xlpm.MacVal,_xlfn.XLOOKUP($A806,Output_Mac!$A:$A,Output_Mac!K:K,""),
_xlpm.MyAuditVal,_xlfn.XLOOKUP($A806,My_Audit!$A:$A,My_Audit!J:J,""),
_xlfn.IFS(_xlpm.MyAuditVal&lt;&gt;"",UPPER(_xlpm.MyAuditVal),_xlpm.MacVal&lt;&gt;"",_xlpm.MacVal,_xlpm.CSVVal&lt;&gt;"",_xlpm.CSVVal
)),"")</f>
        <v/>
      </c>
      <c r="L806" s="40" t="str" cm="1">
        <f t="array" ref="L806">IFERROR(_xlfn.LET(
_xlpm.CSVVal,_xlfn.XLOOKUP($A806,CSV!$A:$A,CSV!P:P,""),
_xlpm.MacVal,_xlfn.XLOOKUP($A806,Output_Mac!$A:$A,Output_Mac!L:L,""),
_xlpm.MyAuditVal,_xlfn.XLOOKUP($A806,My_Audit!$A:$A,My_Audit!K:K,""),
_xlfn.IFS(_xlpm.MyAuditVal&lt;&gt;"",UPPER(_xlpm.MyAuditVal),_xlpm.MacVal&lt;&gt;"",_xlpm.MacVal,_xlpm.CSVVal&lt;&gt;"",_xlpm.CSVVal
)),"")</f>
        <v/>
      </c>
      <c r="M806" s="40" t="str" cm="1">
        <f t="array" ref="M806">IFERROR(_xlfn.LET(
_xlpm.CSVVal,_xlfn.XLOOKUP($A806,CSV!$A:$A,CSV!Q:Q,""),
_xlpm.MacVal,_xlfn.XLOOKUP($A806,Output_Mac!$A:$A,Output_Mac!M:M,""),
_xlpm.MyAuditVal,_xlfn.XLOOKUP($A806,My_Audit!$A:$A,My_Audit!L:L,""),
_xlfn.IFS(_xlpm.MyAuditVal&lt;&gt;"",UPPER(_xlpm.MyAuditVal),_xlpm.MacVal&lt;&gt;"",_xlpm.MacVal,_xlpm.CSVVal&lt;&gt;"",_xlpm.CSVVal
)),"")</f>
        <v/>
      </c>
      <c r="N806" s="40"/>
      <c r="O806" s="40" t="str">
        <f>_xlfn.LET(
    _xlpm.CSVVal, _xlfn.XLOOKUP($A806, CSV!$A:$A, CSV!AA:AA, ""),
    _xlpm.MacVal, _xlfn.XLOOKUP($A806, Output_Mac!$A:$A, Output_Mac!S:S, ""),
    _xlpm.MyAuditVal, _xlfn.XLOOKUP($A806, My_Audit!$A:$A, My_Audit!P:P, ""),
    _xlfn.TEXTJOIN(", ", TRUE, _xlpm.MyAuditVal, _xlpm.MacVal, _xlpm.CSVVal)
)</f>
        <v/>
      </c>
      <c r="P806" s="40" t="str" cm="1">
        <f t="array" ref="P806">IFERROR(_xlfn.LET(
_xlpm.CSVVal,_xlfn.XLOOKUP($A806,CSV!$A:$A,CSV!AB:AB,""),
_xlpm.MacVal,_xlfn.XLOOKUP($A806,Output_Mac!$A:$A,Output_Mac!T:T,""),
_xlpm.MyAuditVal,_xlfn.XLOOKUP($A806,My_Audit!$A:$A,My_Audit!Q:Q,""),
_xlfn.IFS(_xlpm.MyAuditVal&lt;&gt;"",UPPER(_xlpm.MyAuditVal),_xlpm.MacVal&lt;&gt;"",_xlpm.MacVal,_xlpm.CSVVal&lt;&gt;"",_xlpm.CSVVal
)),"No")</f>
        <v>No</v>
      </c>
      <c r="Q806" s="40" t="str" cm="1">
        <f t="array" ref="Q806">IFERROR(_xlfn.LET(
_xlpm.CSVVal,_xlfn.XLOOKUP($A806,CSV!$A:$A,CSV!AC:AC,""),
_xlpm.MacVal,_xlfn.XLOOKUP($A806,Output_Mac!$A:$A,Output_Mac!U:U,""),
_xlpm.MyAuditVal,_xlfn.XLOOKUP($A806,My_Audit!$A:$A,My_Audit!R:R,""),
_xlfn.IFS(_xlpm.MyAuditVal&lt;&gt;"",UPPER(_xlpm.MyAuditVal),_xlpm.MacVal&lt;&gt;"",_xlpm.MacVal,_xlpm.CSVVal&lt;&gt;"",_xlpm.CSVVal
)),"")</f>
        <v/>
      </c>
      <c r="R806" s="40"/>
      <c r="S806" s="40"/>
      <c r="T806" s="40"/>
      <c r="U806" s="40"/>
      <c r="V806" s="40"/>
      <c r="W806" s="40"/>
      <c r="X806" s="41" t="str">
        <f>_xlfn.LET(
    _xlpm.MacVal, _xlfn.XLOOKUP($A806, Output_Mac!$A:$A, Output_Mac!AB:AB, ""),
    _xlpm.MyAuditVal, _xlfn.XLOOKUP($A806, My_Audit!$A:$A, My_Audit!N:N, ""),
    _xlfn.TEXTJOIN(", ", TRUE, _xlpm.MyAuditVal, _xlpm.MacVal)
)</f>
        <v/>
      </c>
    </row>
    <row r="807" spans="1:24">
      <c r="A807" s="40" t="str">
        <f>_xlfn.TEXTJOIN("",TRUE,Input!$B$2,ROW(My_Audit!A806))</f>
        <v>X806</v>
      </c>
      <c r="B807" s="40" t="str">
        <f>_xlfn.TEXTJOIN("-",TRUE,"ITD",Input!$A$2,A807)</f>
        <v>ITD-X806</v>
      </c>
      <c r="C807" s="40" t="str" cm="1">
        <f t="array" ref="C807">IFERROR(_xlfn.LET(
_xlpm.CSVVal,_xlfn.XLOOKUP($A807,CSV!$A:$A,CSV!B:B,""),
_xlpm.MacVal,_xlfn.XLOOKUP($A807,Output_Mac!$A:$A,Output_Mac!B:B,""),
_xlpm.MyAuditVal,_xlfn.XLOOKUP($A807,My_Audit!$A:$A,My_Audit!B:B,""),
_xlfn.IFS(_xlpm.MyAuditVal&lt;&gt;"",UPPER(_xlpm.MyAuditVal),_xlpm.MacVal&lt;&gt;"",_xlpm.MacVal,_xlpm.CSVVal&lt;&gt;"",_xlpm.CSVVal
)),"")</f>
        <v/>
      </c>
      <c r="D807" s="40" t="str" cm="1">
        <f t="array" ref="D807">IFERROR(_xlfn.LET(
_xlpm.CSVVal,_xlfn.XLOOKUP($A807,CSV!$A:$A,CSV!D:D,""),
_xlpm.MacVal,_xlfn.XLOOKUP($A807,Output_Mac!$A:$A,Output_Mac!C:C,""),
_xlpm.MyAuditVal,_xlfn.XLOOKUP($A807,My_Audit!$A:$A,My_Audit!C:C,""),
_xlfn.IFS(_xlpm.MyAuditVal&lt;&gt;"",_xlpm.MyAuditVal,_xlpm.MacVal&lt;&gt;"",_xlpm.MacVal,_xlpm.CSVVal&lt;&gt;"",_xlpm.CSVVal
)),"")</f>
        <v/>
      </c>
      <c r="E807" s="40" t="str">
        <f>_xlfn.XLOOKUP(A807,My_Audit!A:A,My_Audit!D:D,"")</f>
        <v/>
      </c>
      <c r="F807" s="40" t="str" cm="1">
        <f t="array" ref="F807">IFERROR(_xlfn.LET(
_xlpm.CSVVal,_xlfn.XLOOKUP($A807,CSV!$A:$A,CSV!F:F,""),
_xlpm.MacVal,_xlfn.XLOOKUP($A807,Output_Mac!$A:$A,Output_Mac!E:E,""),
_xlpm.MyAuditVal,_xlfn.XLOOKUP($A807,My_Audit!$A:$A,My_Audit!E:E,""),
_xlfn.IFS(_xlpm.MyAuditVal&lt;&gt;"",_xlpm.MyAuditVal,_xlpm.MacVal&lt;&gt;"",_xlpm.MacVal,_xlpm.CSVVal&lt;&gt;"",_xlpm.CSVVal
)),"")</f>
        <v/>
      </c>
      <c r="G807" s="40" t="str" cm="1">
        <f t="array" ref="G807">IFERROR(_xlfn.LET(
_xlpm.CSVVal,_xlfn.XLOOKUP($A807,CSV!$A:$A,CSV!G:G,""),
_xlpm.MacVal,_xlfn.XLOOKUP($A807,Output_Mac!$A:$A,Output_Mac!F:F,""),
_xlpm.MyAuditVal,_xlfn.XLOOKUP($A807,My_Audit!$A:$A,My_Audit!F:F,""),
_xlfn.IFS(_xlpm.MyAuditVal&lt;&gt;"",_xlpm.MyAuditVal,_xlpm.MacVal&lt;&gt;"",_xlpm.MacVal,_xlpm.CSVVal&lt;&gt;"",PROPER(_xlpm.CSVVal)
)),"")</f>
        <v/>
      </c>
      <c r="H807" s="40" t="str" cm="1">
        <f t="array" ref="H807">IFERROR(_xlfn.LET(
_xlpm.CSVVal,_xlfn.XLOOKUP($A807,CSV!$A:$A,CSV!H:H,""),
_xlpm.MacVal,_xlfn.XLOOKUP($A807,Output_Mac!$A:$A,Output_Mac!H:H,""),
_xlpm.MyAuditVal,_xlfn.XLOOKUP($A807,My_Audit!$A:$A,My_Audit!G:G,""),
_xlfn.IFS(_xlpm.MyAuditVal&lt;&gt;"",_xlpm.MyAuditVal,_xlpm.MacVal&lt;&gt;"",_xlpm.MacVal,_xlpm.CSVVal&lt;&gt;"",_xlpm.CSVVal
)),"")</f>
        <v/>
      </c>
      <c r="I807" s="40" t="str">
        <f>_xlfn.XLOOKUP(A807,Output_Mac!A:A,Output_Mac!I:I,"")</f>
        <v/>
      </c>
      <c r="J807" s="40" t="str" cm="1">
        <f t="array" ref="J807">IFERROR(_xlfn.LET(
_xlpm.CSVVal,_xlfn.XLOOKUP($A807,CSV!$A:$A,CSV!I:I,""),
_xlpm.MacVal,_xlfn.XLOOKUP($A807,Output_Mac!$A:$A,Output_Mac!J:J,""),
_xlpm.MyAuditVal,_xlfn.XLOOKUP($A807,My_Audit!$A:$A,My_Audit!I:I,""),
_xlfn.IFS(_xlpm.MyAuditVal&lt;&gt;"",UPPER(_xlpm.MyAuditVal),_xlpm.MacVal&lt;&gt;"",_xlpm.MacVal,_xlpm.CSVVal&lt;&gt;"",_xlpm.CSVVal
)),"")</f>
        <v/>
      </c>
      <c r="K807" s="40" t="str" cm="1">
        <f t="array" ref="K807">IFERROR(_xlfn.LET(
_xlpm.CSVVal,_xlfn.XLOOKUP($A807,CSV!$A:$A,CSV!K:K,""),
_xlpm.MacVal,_xlfn.XLOOKUP($A807,Output_Mac!$A:$A,Output_Mac!K:K,""),
_xlpm.MyAuditVal,_xlfn.XLOOKUP($A807,My_Audit!$A:$A,My_Audit!J:J,""),
_xlfn.IFS(_xlpm.MyAuditVal&lt;&gt;"",UPPER(_xlpm.MyAuditVal),_xlpm.MacVal&lt;&gt;"",_xlpm.MacVal,_xlpm.CSVVal&lt;&gt;"",_xlpm.CSVVal
)),"")</f>
        <v/>
      </c>
      <c r="L807" s="40" t="str" cm="1">
        <f t="array" ref="L807">IFERROR(_xlfn.LET(
_xlpm.CSVVal,_xlfn.XLOOKUP($A807,CSV!$A:$A,CSV!P:P,""),
_xlpm.MacVal,_xlfn.XLOOKUP($A807,Output_Mac!$A:$A,Output_Mac!L:L,""),
_xlpm.MyAuditVal,_xlfn.XLOOKUP($A807,My_Audit!$A:$A,My_Audit!K:K,""),
_xlfn.IFS(_xlpm.MyAuditVal&lt;&gt;"",UPPER(_xlpm.MyAuditVal),_xlpm.MacVal&lt;&gt;"",_xlpm.MacVal,_xlpm.CSVVal&lt;&gt;"",_xlpm.CSVVal
)),"")</f>
        <v/>
      </c>
      <c r="M807" s="40" t="str" cm="1">
        <f t="array" ref="M807">IFERROR(_xlfn.LET(
_xlpm.CSVVal,_xlfn.XLOOKUP($A807,CSV!$A:$A,CSV!Q:Q,""),
_xlpm.MacVal,_xlfn.XLOOKUP($A807,Output_Mac!$A:$A,Output_Mac!M:M,""),
_xlpm.MyAuditVal,_xlfn.XLOOKUP($A807,My_Audit!$A:$A,My_Audit!L:L,""),
_xlfn.IFS(_xlpm.MyAuditVal&lt;&gt;"",UPPER(_xlpm.MyAuditVal),_xlpm.MacVal&lt;&gt;"",_xlpm.MacVal,_xlpm.CSVVal&lt;&gt;"",_xlpm.CSVVal
)),"")</f>
        <v/>
      </c>
      <c r="N807" s="40"/>
      <c r="O807" s="40" t="str">
        <f>_xlfn.LET(
    _xlpm.CSVVal, _xlfn.XLOOKUP($A807, CSV!$A:$A, CSV!AA:AA, ""),
    _xlpm.MacVal, _xlfn.XLOOKUP($A807, Output_Mac!$A:$A, Output_Mac!S:S, ""),
    _xlpm.MyAuditVal, _xlfn.XLOOKUP($A807, My_Audit!$A:$A, My_Audit!P:P, ""),
    _xlfn.TEXTJOIN(", ", TRUE, _xlpm.MyAuditVal, _xlpm.MacVal, _xlpm.CSVVal)
)</f>
        <v/>
      </c>
      <c r="P807" s="40" t="str" cm="1">
        <f t="array" ref="P807">IFERROR(_xlfn.LET(
_xlpm.CSVVal,_xlfn.XLOOKUP($A807,CSV!$A:$A,CSV!AB:AB,""),
_xlpm.MacVal,_xlfn.XLOOKUP($A807,Output_Mac!$A:$A,Output_Mac!T:T,""),
_xlpm.MyAuditVal,_xlfn.XLOOKUP($A807,My_Audit!$A:$A,My_Audit!Q:Q,""),
_xlfn.IFS(_xlpm.MyAuditVal&lt;&gt;"",UPPER(_xlpm.MyAuditVal),_xlpm.MacVal&lt;&gt;"",_xlpm.MacVal,_xlpm.CSVVal&lt;&gt;"",_xlpm.CSVVal
)),"No")</f>
        <v>No</v>
      </c>
      <c r="Q807" s="40" t="str" cm="1">
        <f t="array" ref="Q807">IFERROR(_xlfn.LET(
_xlpm.CSVVal,_xlfn.XLOOKUP($A807,CSV!$A:$A,CSV!AC:AC,""),
_xlpm.MacVal,_xlfn.XLOOKUP($A807,Output_Mac!$A:$A,Output_Mac!U:U,""),
_xlpm.MyAuditVal,_xlfn.XLOOKUP($A807,My_Audit!$A:$A,My_Audit!R:R,""),
_xlfn.IFS(_xlpm.MyAuditVal&lt;&gt;"",UPPER(_xlpm.MyAuditVal),_xlpm.MacVal&lt;&gt;"",_xlpm.MacVal,_xlpm.CSVVal&lt;&gt;"",_xlpm.CSVVal
)),"")</f>
        <v/>
      </c>
      <c r="R807" s="40"/>
      <c r="S807" s="40"/>
      <c r="T807" s="40"/>
      <c r="U807" s="40"/>
      <c r="V807" s="40"/>
      <c r="W807" s="40"/>
      <c r="X807" s="41" t="str">
        <f>_xlfn.LET(
    _xlpm.MacVal, _xlfn.XLOOKUP($A807, Output_Mac!$A:$A, Output_Mac!AB:AB, ""),
    _xlpm.MyAuditVal, _xlfn.XLOOKUP($A807, My_Audit!$A:$A, My_Audit!N:N, ""),
    _xlfn.TEXTJOIN(", ", TRUE, _xlpm.MyAuditVal, _xlpm.MacVal)
)</f>
        <v/>
      </c>
    </row>
    <row r="808" spans="1:24">
      <c r="A808" s="40" t="str">
        <f>_xlfn.TEXTJOIN("",TRUE,Input!$B$2,ROW(My_Audit!A807))</f>
        <v>X807</v>
      </c>
      <c r="B808" s="40" t="str">
        <f>_xlfn.TEXTJOIN("-",TRUE,"ITD",Input!$A$2,A808)</f>
        <v>ITD-X807</v>
      </c>
      <c r="C808" s="40" t="str" cm="1">
        <f t="array" ref="C808">IFERROR(_xlfn.LET(
_xlpm.CSVVal,_xlfn.XLOOKUP($A808,CSV!$A:$A,CSV!B:B,""),
_xlpm.MacVal,_xlfn.XLOOKUP($A808,Output_Mac!$A:$A,Output_Mac!B:B,""),
_xlpm.MyAuditVal,_xlfn.XLOOKUP($A808,My_Audit!$A:$A,My_Audit!B:B,""),
_xlfn.IFS(_xlpm.MyAuditVal&lt;&gt;"",UPPER(_xlpm.MyAuditVal),_xlpm.MacVal&lt;&gt;"",_xlpm.MacVal,_xlpm.CSVVal&lt;&gt;"",_xlpm.CSVVal
)),"")</f>
        <v/>
      </c>
      <c r="D808" s="40" t="str" cm="1">
        <f t="array" ref="D808">IFERROR(_xlfn.LET(
_xlpm.CSVVal,_xlfn.XLOOKUP($A808,CSV!$A:$A,CSV!D:D,""),
_xlpm.MacVal,_xlfn.XLOOKUP($A808,Output_Mac!$A:$A,Output_Mac!C:C,""),
_xlpm.MyAuditVal,_xlfn.XLOOKUP($A808,My_Audit!$A:$A,My_Audit!C:C,""),
_xlfn.IFS(_xlpm.MyAuditVal&lt;&gt;"",_xlpm.MyAuditVal,_xlpm.MacVal&lt;&gt;"",_xlpm.MacVal,_xlpm.CSVVal&lt;&gt;"",_xlpm.CSVVal
)),"")</f>
        <v/>
      </c>
      <c r="E808" s="40" t="str">
        <f>_xlfn.XLOOKUP(A808,My_Audit!A:A,My_Audit!D:D,"")</f>
        <v/>
      </c>
      <c r="F808" s="40" t="str" cm="1">
        <f t="array" ref="F808">IFERROR(_xlfn.LET(
_xlpm.CSVVal,_xlfn.XLOOKUP($A808,CSV!$A:$A,CSV!F:F,""),
_xlpm.MacVal,_xlfn.XLOOKUP($A808,Output_Mac!$A:$A,Output_Mac!E:E,""),
_xlpm.MyAuditVal,_xlfn.XLOOKUP($A808,My_Audit!$A:$A,My_Audit!E:E,""),
_xlfn.IFS(_xlpm.MyAuditVal&lt;&gt;"",_xlpm.MyAuditVal,_xlpm.MacVal&lt;&gt;"",_xlpm.MacVal,_xlpm.CSVVal&lt;&gt;"",_xlpm.CSVVal
)),"")</f>
        <v/>
      </c>
      <c r="G808" s="40" t="str" cm="1">
        <f t="array" ref="G808">IFERROR(_xlfn.LET(
_xlpm.CSVVal,_xlfn.XLOOKUP($A808,CSV!$A:$A,CSV!G:G,""),
_xlpm.MacVal,_xlfn.XLOOKUP($A808,Output_Mac!$A:$A,Output_Mac!F:F,""),
_xlpm.MyAuditVal,_xlfn.XLOOKUP($A808,My_Audit!$A:$A,My_Audit!F:F,""),
_xlfn.IFS(_xlpm.MyAuditVal&lt;&gt;"",_xlpm.MyAuditVal,_xlpm.MacVal&lt;&gt;"",_xlpm.MacVal,_xlpm.CSVVal&lt;&gt;"",PROPER(_xlpm.CSVVal)
)),"")</f>
        <v/>
      </c>
      <c r="H808" s="40" t="str" cm="1">
        <f t="array" ref="H808">IFERROR(_xlfn.LET(
_xlpm.CSVVal,_xlfn.XLOOKUP($A808,CSV!$A:$A,CSV!H:H,""),
_xlpm.MacVal,_xlfn.XLOOKUP($A808,Output_Mac!$A:$A,Output_Mac!H:H,""),
_xlpm.MyAuditVal,_xlfn.XLOOKUP($A808,My_Audit!$A:$A,My_Audit!G:G,""),
_xlfn.IFS(_xlpm.MyAuditVal&lt;&gt;"",_xlpm.MyAuditVal,_xlpm.MacVal&lt;&gt;"",_xlpm.MacVal,_xlpm.CSVVal&lt;&gt;"",_xlpm.CSVVal
)),"")</f>
        <v/>
      </c>
      <c r="I808" s="40" t="str">
        <f>_xlfn.XLOOKUP(A808,Output_Mac!A:A,Output_Mac!I:I,"")</f>
        <v/>
      </c>
      <c r="J808" s="40" t="str" cm="1">
        <f t="array" ref="J808">IFERROR(_xlfn.LET(
_xlpm.CSVVal,_xlfn.XLOOKUP($A808,CSV!$A:$A,CSV!I:I,""),
_xlpm.MacVal,_xlfn.XLOOKUP($A808,Output_Mac!$A:$A,Output_Mac!J:J,""),
_xlpm.MyAuditVal,_xlfn.XLOOKUP($A808,My_Audit!$A:$A,My_Audit!I:I,""),
_xlfn.IFS(_xlpm.MyAuditVal&lt;&gt;"",UPPER(_xlpm.MyAuditVal),_xlpm.MacVal&lt;&gt;"",_xlpm.MacVal,_xlpm.CSVVal&lt;&gt;"",_xlpm.CSVVal
)),"")</f>
        <v/>
      </c>
      <c r="K808" s="40" t="str" cm="1">
        <f t="array" ref="K808">IFERROR(_xlfn.LET(
_xlpm.CSVVal,_xlfn.XLOOKUP($A808,CSV!$A:$A,CSV!K:K,""),
_xlpm.MacVal,_xlfn.XLOOKUP($A808,Output_Mac!$A:$A,Output_Mac!K:K,""),
_xlpm.MyAuditVal,_xlfn.XLOOKUP($A808,My_Audit!$A:$A,My_Audit!J:J,""),
_xlfn.IFS(_xlpm.MyAuditVal&lt;&gt;"",UPPER(_xlpm.MyAuditVal),_xlpm.MacVal&lt;&gt;"",_xlpm.MacVal,_xlpm.CSVVal&lt;&gt;"",_xlpm.CSVVal
)),"")</f>
        <v/>
      </c>
      <c r="L808" s="40" t="str" cm="1">
        <f t="array" ref="L808">IFERROR(_xlfn.LET(
_xlpm.CSVVal,_xlfn.XLOOKUP($A808,CSV!$A:$A,CSV!P:P,""),
_xlpm.MacVal,_xlfn.XLOOKUP($A808,Output_Mac!$A:$A,Output_Mac!L:L,""),
_xlpm.MyAuditVal,_xlfn.XLOOKUP($A808,My_Audit!$A:$A,My_Audit!K:K,""),
_xlfn.IFS(_xlpm.MyAuditVal&lt;&gt;"",UPPER(_xlpm.MyAuditVal),_xlpm.MacVal&lt;&gt;"",_xlpm.MacVal,_xlpm.CSVVal&lt;&gt;"",_xlpm.CSVVal
)),"")</f>
        <v/>
      </c>
      <c r="M808" s="40" t="str" cm="1">
        <f t="array" ref="M808">IFERROR(_xlfn.LET(
_xlpm.CSVVal,_xlfn.XLOOKUP($A808,CSV!$A:$A,CSV!Q:Q,""),
_xlpm.MacVal,_xlfn.XLOOKUP($A808,Output_Mac!$A:$A,Output_Mac!M:M,""),
_xlpm.MyAuditVal,_xlfn.XLOOKUP($A808,My_Audit!$A:$A,My_Audit!L:L,""),
_xlfn.IFS(_xlpm.MyAuditVal&lt;&gt;"",UPPER(_xlpm.MyAuditVal),_xlpm.MacVal&lt;&gt;"",_xlpm.MacVal,_xlpm.CSVVal&lt;&gt;"",_xlpm.CSVVal
)),"")</f>
        <v/>
      </c>
      <c r="N808" s="40"/>
      <c r="O808" s="40" t="str">
        <f>_xlfn.LET(
    _xlpm.CSVVal, _xlfn.XLOOKUP($A808, CSV!$A:$A, CSV!AA:AA, ""),
    _xlpm.MacVal, _xlfn.XLOOKUP($A808, Output_Mac!$A:$A, Output_Mac!S:S, ""),
    _xlpm.MyAuditVal, _xlfn.XLOOKUP($A808, My_Audit!$A:$A, My_Audit!P:P, ""),
    _xlfn.TEXTJOIN(", ", TRUE, _xlpm.MyAuditVal, _xlpm.MacVal, _xlpm.CSVVal)
)</f>
        <v/>
      </c>
      <c r="P808" s="40" t="str" cm="1">
        <f t="array" ref="P808">IFERROR(_xlfn.LET(
_xlpm.CSVVal,_xlfn.XLOOKUP($A808,CSV!$A:$A,CSV!AB:AB,""),
_xlpm.MacVal,_xlfn.XLOOKUP($A808,Output_Mac!$A:$A,Output_Mac!T:T,""),
_xlpm.MyAuditVal,_xlfn.XLOOKUP($A808,My_Audit!$A:$A,My_Audit!Q:Q,""),
_xlfn.IFS(_xlpm.MyAuditVal&lt;&gt;"",UPPER(_xlpm.MyAuditVal),_xlpm.MacVal&lt;&gt;"",_xlpm.MacVal,_xlpm.CSVVal&lt;&gt;"",_xlpm.CSVVal
)),"No")</f>
        <v>No</v>
      </c>
      <c r="Q808" s="40" t="str" cm="1">
        <f t="array" ref="Q808">IFERROR(_xlfn.LET(
_xlpm.CSVVal,_xlfn.XLOOKUP($A808,CSV!$A:$A,CSV!AC:AC,""),
_xlpm.MacVal,_xlfn.XLOOKUP($A808,Output_Mac!$A:$A,Output_Mac!U:U,""),
_xlpm.MyAuditVal,_xlfn.XLOOKUP($A808,My_Audit!$A:$A,My_Audit!R:R,""),
_xlfn.IFS(_xlpm.MyAuditVal&lt;&gt;"",UPPER(_xlpm.MyAuditVal),_xlpm.MacVal&lt;&gt;"",_xlpm.MacVal,_xlpm.CSVVal&lt;&gt;"",_xlpm.CSVVal
)),"")</f>
        <v/>
      </c>
      <c r="R808" s="40"/>
      <c r="S808" s="40"/>
      <c r="T808" s="40"/>
      <c r="U808" s="40"/>
      <c r="V808" s="40"/>
      <c r="W808" s="40"/>
      <c r="X808" s="41" t="str">
        <f>_xlfn.LET(
    _xlpm.MacVal, _xlfn.XLOOKUP($A808, Output_Mac!$A:$A, Output_Mac!AB:AB, ""),
    _xlpm.MyAuditVal, _xlfn.XLOOKUP($A808, My_Audit!$A:$A, My_Audit!N:N, ""),
    _xlfn.TEXTJOIN(", ", TRUE, _xlpm.MyAuditVal, _xlpm.MacVal)
)</f>
        <v/>
      </c>
    </row>
    <row r="809" spans="1:24">
      <c r="A809" s="40" t="str">
        <f>_xlfn.TEXTJOIN("",TRUE,Input!$B$2,ROW(My_Audit!A808))</f>
        <v>X808</v>
      </c>
      <c r="B809" s="40" t="str">
        <f>_xlfn.TEXTJOIN("-",TRUE,"ITD",Input!$A$2,A809)</f>
        <v>ITD-X808</v>
      </c>
      <c r="C809" s="40" t="str" cm="1">
        <f t="array" ref="C809">IFERROR(_xlfn.LET(
_xlpm.CSVVal,_xlfn.XLOOKUP($A809,CSV!$A:$A,CSV!B:B,""),
_xlpm.MacVal,_xlfn.XLOOKUP($A809,Output_Mac!$A:$A,Output_Mac!B:B,""),
_xlpm.MyAuditVal,_xlfn.XLOOKUP($A809,My_Audit!$A:$A,My_Audit!B:B,""),
_xlfn.IFS(_xlpm.MyAuditVal&lt;&gt;"",UPPER(_xlpm.MyAuditVal),_xlpm.MacVal&lt;&gt;"",_xlpm.MacVal,_xlpm.CSVVal&lt;&gt;"",_xlpm.CSVVal
)),"")</f>
        <v/>
      </c>
      <c r="D809" s="40" t="str" cm="1">
        <f t="array" ref="D809">IFERROR(_xlfn.LET(
_xlpm.CSVVal,_xlfn.XLOOKUP($A809,CSV!$A:$A,CSV!D:D,""),
_xlpm.MacVal,_xlfn.XLOOKUP($A809,Output_Mac!$A:$A,Output_Mac!C:C,""),
_xlpm.MyAuditVal,_xlfn.XLOOKUP($A809,My_Audit!$A:$A,My_Audit!C:C,""),
_xlfn.IFS(_xlpm.MyAuditVal&lt;&gt;"",_xlpm.MyAuditVal,_xlpm.MacVal&lt;&gt;"",_xlpm.MacVal,_xlpm.CSVVal&lt;&gt;"",_xlpm.CSVVal
)),"")</f>
        <v/>
      </c>
      <c r="E809" s="40" t="str">
        <f>_xlfn.XLOOKUP(A809,My_Audit!A:A,My_Audit!D:D,"")</f>
        <v/>
      </c>
      <c r="F809" s="40" t="str" cm="1">
        <f t="array" ref="F809">IFERROR(_xlfn.LET(
_xlpm.CSVVal,_xlfn.XLOOKUP($A809,CSV!$A:$A,CSV!F:F,""),
_xlpm.MacVal,_xlfn.XLOOKUP($A809,Output_Mac!$A:$A,Output_Mac!E:E,""),
_xlpm.MyAuditVal,_xlfn.XLOOKUP($A809,My_Audit!$A:$A,My_Audit!E:E,""),
_xlfn.IFS(_xlpm.MyAuditVal&lt;&gt;"",_xlpm.MyAuditVal,_xlpm.MacVal&lt;&gt;"",_xlpm.MacVal,_xlpm.CSVVal&lt;&gt;"",_xlpm.CSVVal
)),"")</f>
        <v/>
      </c>
      <c r="G809" s="40" t="str" cm="1">
        <f t="array" ref="G809">IFERROR(_xlfn.LET(
_xlpm.CSVVal,_xlfn.XLOOKUP($A809,CSV!$A:$A,CSV!G:G,""),
_xlpm.MacVal,_xlfn.XLOOKUP($A809,Output_Mac!$A:$A,Output_Mac!F:F,""),
_xlpm.MyAuditVal,_xlfn.XLOOKUP($A809,My_Audit!$A:$A,My_Audit!F:F,""),
_xlfn.IFS(_xlpm.MyAuditVal&lt;&gt;"",_xlpm.MyAuditVal,_xlpm.MacVal&lt;&gt;"",_xlpm.MacVal,_xlpm.CSVVal&lt;&gt;"",PROPER(_xlpm.CSVVal)
)),"")</f>
        <v/>
      </c>
      <c r="H809" s="40" t="str" cm="1">
        <f t="array" ref="H809">IFERROR(_xlfn.LET(
_xlpm.CSVVal,_xlfn.XLOOKUP($A809,CSV!$A:$A,CSV!H:H,""),
_xlpm.MacVal,_xlfn.XLOOKUP($A809,Output_Mac!$A:$A,Output_Mac!H:H,""),
_xlpm.MyAuditVal,_xlfn.XLOOKUP($A809,My_Audit!$A:$A,My_Audit!G:G,""),
_xlfn.IFS(_xlpm.MyAuditVal&lt;&gt;"",_xlpm.MyAuditVal,_xlpm.MacVal&lt;&gt;"",_xlpm.MacVal,_xlpm.CSVVal&lt;&gt;"",_xlpm.CSVVal
)),"")</f>
        <v/>
      </c>
      <c r="I809" s="40" t="str">
        <f>_xlfn.XLOOKUP(A809,Output_Mac!A:A,Output_Mac!I:I,"")</f>
        <v/>
      </c>
      <c r="J809" s="40" t="str" cm="1">
        <f t="array" ref="J809">IFERROR(_xlfn.LET(
_xlpm.CSVVal,_xlfn.XLOOKUP($A809,CSV!$A:$A,CSV!I:I,""),
_xlpm.MacVal,_xlfn.XLOOKUP($A809,Output_Mac!$A:$A,Output_Mac!J:J,""),
_xlpm.MyAuditVal,_xlfn.XLOOKUP($A809,My_Audit!$A:$A,My_Audit!I:I,""),
_xlfn.IFS(_xlpm.MyAuditVal&lt;&gt;"",UPPER(_xlpm.MyAuditVal),_xlpm.MacVal&lt;&gt;"",_xlpm.MacVal,_xlpm.CSVVal&lt;&gt;"",_xlpm.CSVVal
)),"")</f>
        <v/>
      </c>
      <c r="K809" s="40" t="str" cm="1">
        <f t="array" ref="K809">IFERROR(_xlfn.LET(
_xlpm.CSVVal,_xlfn.XLOOKUP($A809,CSV!$A:$A,CSV!K:K,""),
_xlpm.MacVal,_xlfn.XLOOKUP($A809,Output_Mac!$A:$A,Output_Mac!K:K,""),
_xlpm.MyAuditVal,_xlfn.XLOOKUP($A809,My_Audit!$A:$A,My_Audit!J:J,""),
_xlfn.IFS(_xlpm.MyAuditVal&lt;&gt;"",UPPER(_xlpm.MyAuditVal),_xlpm.MacVal&lt;&gt;"",_xlpm.MacVal,_xlpm.CSVVal&lt;&gt;"",_xlpm.CSVVal
)),"")</f>
        <v/>
      </c>
      <c r="L809" s="40" t="str" cm="1">
        <f t="array" ref="L809">IFERROR(_xlfn.LET(
_xlpm.CSVVal,_xlfn.XLOOKUP($A809,CSV!$A:$A,CSV!P:P,""),
_xlpm.MacVal,_xlfn.XLOOKUP($A809,Output_Mac!$A:$A,Output_Mac!L:L,""),
_xlpm.MyAuditVal,_xlfn.XLOOKUP($A809,My_Audit!$A:$A,My_Audit!K:K,""),
_xlfn.IFS(_xlpm.MyAuditVal&lt;&gt;"",UPPER(_xlpm.MyAuditVal),_xlpm.MacVal&lt;&gt;"",_xlpm.MacVal,_xlpm.CSVVal&lt;&gt;"",_xlpm.CSVVal
)),"")</f>
        <v/>
      </c>
      <c r="M809" s="40" t="str" cm="1">
        <f t="array" ref="M809">IFERROR(_xlfn.LET(
_xlpm.CSVVal,_xlfn.XLOOKUP($A809,CSV!$A:$A,CSV!Q:Q,""),
_xlpm.MacVal,_xlfn.XLOOKUP($A809,Output_Mac!$A:$A,Output_Mac!M:M,""),
_xlpm.MyAuditVal,_xlfn.XLOOKUP($A809,My_Audit!$A:$A,My_Audit!L:L,""),
_xlfn.IFS(_xlpm.MyAuditVal&lt;&gt;"",UPPER(_xlpm.MyAuditVal),_xlpm.MacVal&lt;&gt;"",_xlpm.MacVal,_xlpm.CSVVal&lt;&gt;"",_xlpm.CSVVal
)),"")</f>
        <v/>
      </c>
      <c r="N809" s="40"/>
      <c r="O809" s="40" t="str">
        <f>_xlfn.LET(
    _xlpm.CSVVal, _xlfn.XLOOKUP($A809, CSV!$A:$A, CSV!AA:AA, ""),
    _xlpm.MacVal, _xlfn.XLOOKUP($A809, Output_Mac!$A:$A, Output_Mac!S:S, ""),
    _xlpm.MyAuditVal, _xlfn.XLOOKUP($A809, My_Audit!$A:$A, My_Audit!P:P, ""),
    _xlfn.TEXTJOIN(", ", TRUE, _xlpm.MyAuditVal, _xlpm.MacVal, _xlpm.CSVVal)
)</f>
        <v/>
      </c>
      <c r="P809" s="40" t="str" cm="1">
        <f t="array" ref="P809">IFERROR(_xlfn.LET(
_xlpm.CSVVal,_xlfn.XLOOKUP($A809,CSV!$A:$A,CSV!AB:AB,""),
_xlpm.MacVal,_xlfn.XLOOKUP($A809,Output_Mac!$A:$A,Output_Mac!T:T,""),
_xlpm.MyAuditVal,_xlfn.XLOOKUP($A809,My_Audit!$A:$A,My_Audit!Q:Q,""),
_xlfn.IFS(_xlpm.MyAuditVal&lt;&gt;"",UPPER(_xlpm.MyAuditVal),_xlpm.MacVal&lt;&gt;"",_xlpm.MacVal,_xlpm.CSVVal&lt;&gt;"",_xlpm.CSVVal
)),"No")</f>
        <v>No</v>
      </c>
      <c r="Q809" s="40" t="str" cm="1">
        <f t="array" ref="Q809">IFERROR(_xlfn.LET(
_xlpm.CSVVal,_xlfn.XLOOKUP($A809,CSV!$A:$A,CSV!AC:AC,""),
_xlpm.MacVal,_xlfn.XLOOKUP($A809,Output_Mac!$A:$A,Output_Mac!U:U,""),
_xlpm.MyAuditVal,_xlfn.XLOOKUP($A809,My_Audit!$A:$A,My_Audit!R:R,""),
_xlfn.IFS(_xlpm.MyAuditVal&lt;&gt;"",UPPER(_xlpm.MyAuditVal),_xlpm.MacVal&lt;&gt;"",_xlpm.MacVal,_xlpm.CSVVal&lt;&gt;"",_xlpm.CSVVal
)),"")</f>
        <v/>
      </c>
      <c r="R809" s="40"/>
      <c r="S809" s="40"/>
      <c r="T809" s="40"/>
      <c r="U809" s="40"/>
      <c r="V809" s="40"/>
      <c r="W809" s="40"/>
      <c r="X809" s="41" t="str">
        <f>_xlfn.LET(
    _xlpm.MacVal, _xlfn.XLOOKUP($A809, Output_Mac!$A:$A, Output_Mac!AB:AB, ""),
    _xlpm.MyAuditVal, _xlfn.XLOOKUP($A809, My_Audit!$A:$A, My_Audit!N:N, ""),
    _xlfn.TEXTJOIN(", ", TRUE, _xlpm.MyAuditVal, _xlpm.MacVal)
)</f>
        <v/>
      </c>
    </row>
    <row r="810" spans="1:24">
      <c r="A810" s="40" t="str">
        <f>_xlfn.TEXTJOIN("",TRUE,Input!$B$2,ROW(My_Audit!A809))</f>
        <v>X809</v>
      </c>
      <c r="B810" s="40" t="str">
        <f>_xlfn.TEXTJOIN("-",TRUE,"ITD",Input!$A$2,A810)</f>
        <v>ITD-X809</v>
      </c>
      <c r="C810" s="40" t="str" cm="1">
        <f t="array" ref="C810">IFERROR(_xlfn.LET(
_xlpm.CSVVal,_xlfn.XLOOKUP($A810,CSV!$A:$A,CSV!B:B,""),
_xlpm.MacVal,_xlfn.XLOOKUP($A810,Output_Mac!$A:$A,Output_Mac!B:B,""),
_xlpm.MyAuditVal,_xlfn.XLOOKUP($A810,My_Audit!$A:$A,My_Audit!B:B,""),
_xlfn.IFS(_xlpm.MyAuditVal&lt;&gt;"",UPPER(_xlpm.MyAuditVal),_xlpm.MacVal&lt;&gt;"",_xlpm.MacVal,_xlpm.CSVVal&lt;&gt;"",_xlpm.CSVVal
)),"")</f>
        <v/>
      </c>
      <c r="D810" s="40" t="str" cm="1">
        <f t="array" ref="D810">IFERROR(_xlfn.LET(
_xlpm.CSVVal,_xlfn.XLOOKUP($A810,CSV!$A:$A,CSV!D:D,""),
_xlpm.MacVal,_xlfn.XLOOKUP($A810,Output_Mac!$A:$A,Output_Mac!C:C,""),
_xlpm.MyAuditVal,_xlfn.XLOOKUP($A810,My_Audit!$A:$A,My_Audit!C:C,""),
_xlfn.IFS(_xlpm.MyAuditVal&lt;&gt;"",_xlpm.MyAuditVal,_xlpm.MacVal&lt;&gt;"",_xlpm.MacVal,_xlpm.CSVVal&lt;&gt;"",_xlpm.CSVVal
)),"")</f>
        <v/>
      </c>
      <c r="E810" s="40" t="str">
        <f>_xlfn.XLOOKUP(A810,My_Audit!A:A,My_Audit!D:D,"")</f>
        <v/>
      </c>
      <c r="F810" s="40" t="str" cm="1">
        <f t="array" ref="F810">IFERROR(_xlfn.LET(
_xlpm.CSVVal,_xlfn.XLOOKUP($A810,CSV!$A:$A,CSV!F:F,""),
_xlpm.MacVal,_xlfn.XLOOKUP($A810,Output_Mac!$A:$A,Output_Mac!E:E,""),
_xlpm.MyAuditVal,_xlfn.XLOOKUP($A810,My_Audit!$A:$A,My_Audit!E:E,""),
_xlfn.IFS(_xlpm.MyAuditVal&lt;&gt;"",_xlpm.MyAuditVal,_xlpm.MacVal&lt;&gt;"",_xlpm.MacVal,_xlpm.CSVVal&lt;&gt;"",_xlpm.CSVVal
)),"")</f>
        <v/>
      </c>
      <c r="G810" s="40" t="str" cm="1">
        <f t="array" ref="G810">IFERROR(_xlfn.LET(
_xlpm.CSVVal,_xlfn.XLOOKUP($A810,CSV!$A:$A,CSV!G:G,""),
_xlpm.MacVal,_xlfn.XLOOKUP($A810,Output_Mac!$A:$A,Output_Mac!F:F,""),
_xlpm.MyAuditVal,_xlfn.XLOOKUP($A810,My_Audit!$A:$A,My_Audit!F:F,""),
_xlfn.IFS(_xlpm.MyAuditVal&lt;&gt;"",_xlpm.MyAuditVal,_xlpm.MacVal&lt;&gt;"",_xlpm.MacVal,_xlpm.CSVVal&lt;&gt;"",PROPER(_xlpm.CSVVal)
)),"")</f>
        <v/>
      </c>
      <c r="H810" s="40" t="str" cm="1">
        <f t="array" ref="H810">IFERROR(_xlfn.LET(
_xlpm.CSVVal,_xlfn.XLOOKUP($A810,CSV!$A:$A,CSV!H:H,""),
_xlpm.MacVal,_xlfn.XLOOKUP($A810,Output_Mac!$A:$A,Output_Mac!H:H,""),
_xlpm.MyAuditVal,_xlfn.XLOOKUP($A810,My_Audit!$A:$A,My_Audit!G:G,""),
_xlfn.IFS(_xlpm.MyAuditVal&lt;&gt;"",_xlpm.MyAuditVal,_xlpm.MacVal&lt;&gt;"",_xlpm.MacVal,_xlpm.CSVVal&lt;&gt;"",_xlpm.CSVVal
)),"")</f>
        <v/>
      </c>
      <c r="I810" s="40" t="str">
        <f>_xlfn.XLOOKUP(A810,Output_Mac!A:A,Output_Mac!I:I,"")</f>
        <v/>
      </c>
      <c r="J810" s="40" t="str" cm="1">
        <f t="array" ref="J810">IFERROR(_xlfn.LET(
_xlpm.CSVVal,_xlfn.XLOOKUP($A810,CSV!$A:$A,CSV!I:I,""),
_xlpm.MacVal,_xlfn.XLOOKUP($A810,Output_Mac!$A:$A,Output_Mac!J:J,""),
_xlpm.MyAuditVal,_xlfn.XLOOKUP($A810,My_Audit!$A:$A,My_Audit!I:I,""),
_xlfn.IFS(_xlpm.MyAuditVal&lt;&gt;"",UPPER(_xlpm.MyAuditVal),_xlpm.MacVal&lt;&gt;"",_xlpm.MacVal,_xlpm.CSVVal&lt;&gt;"",_xlpm.CSVVal
)),"")</f>
        <v/>
      </c>
      <c r="K810" s="40" t="str" cm="1">
        <f t="array" ref="K810">IFERROR(_xlfn.LET(
_xlpm.CSVVal,_xlfn.XLOOKUP($A810,CSV!$A:$A,CSV!K:K,""),
_xlpm.MacVal,_xlfn.XLOOKUP($A810,Output_Mac!$A:$A,Output_Mac!K:K,""),
_xlpm.MyAuditVal,_xlfn.XLOOKUP($A810,My_Audit!$A:$A,My_Audit!J:J,""),
_xlfn.IFS(_xlpm.MyAuditVal&lt;&gt;"",UPPER(_xlpm.MyAuditVal),_xlpm.MacVal&lt;&gt;"",_xlpm.MacVal,_xlpm.CSVVal&lt;&gt;"",_xlpm.CSVVal
)),"")</f>
        <v/>
      </c>
      <c r="L810" s="40" t="str" cm="1">
        <f t="array" ref="L810">IFERROR(_xlfn.LET(
_xlpm.CSVVal,_xlfn.XLOOKUP($A810,CSV!$A:$A,CSV!P:P,""),
_xlpm.MacVal,_xlfn.XLOOKUP($A810,Output_Mac!$A:$A,Output_Mac!L:L,""),
_xlpm.MyAuditVal,_xlfn.XLOOKUP($A810,My_Audit!$A:$A,My_Audit!K:K,""),
_xlfn.IFS(_xlpm.MyAuditVal&lt;&gt;"",UPPER(_xlpm.MyAuditVal),_xlpm.MacVal&lt;&gt;"",_xlpm.MacVal,_xlpm.CSVVal&lt;&gt;"",_xlpm.CSVVal
)),"")</f>
        <v/>
      </c>
      <c r="M810" s="40" t="str" cm="1">
        <f t="array" ref="M810">IFERROR(_xlfn.LET(
_xlpm.CSVVal,_xlfn.XLOOKUP($A810,CSV!$A:$A,CSV!Q:Q,""),
_xlpm.MacVal,_xlfn.XLOOKUP($A810,Output_Mac!$A:$A,Output_Mac!M:M,""),
_xlpm.MyAuditVal,_xlfn.XLOOKUP($A810,My_Audit!$A:$A,My_Audit!L:L,""),
_xlfn.IFS(_xlpm.MyAuditVal&lt;&gt;"",UPPER(_xlpm.MyAuditVal),_xlpm.MacVal&lt;&gt;"",_xlpm.MacVal,_xlpm.CSVVal&lt;&gt;"",_xlpm.CSVVal
)),"")</f>
        <v/>
      </c>
      <c r="N810" s="40"/>
      <c r="O810" s="40" t="str">
        <f>_xlfn.LET(
    _xlpm.CSVVal, _xlfn.XLOOKUP($A810, CSV!$A:$A, CSV!AA:AA, ""),
    _xlpm.MacVal, _xlfn.XLOOKUP($A810, Output_Mac!$A:$A, Output_Mac!S:S, ""),
    _xlpm.MyAuditVal, _xlfn.XLOOKUP($A810, My_Audit!$A:$A, My_Audit!P:P, ""),
    _xlfn.TEXTJOIN(", ", TRUE, _xlpm.MyAuditVal, _xlpm.MacVal, _xlpm.CSVVal)
)</f>
        <v/>
      </c>
      <c r="P810" s="40" t="str" cm="1">
        <f t="array" ref="P810">IFERROR(_xlfn.LET(
_xlpm.CSVVal,_xlfn.XLOOKUP($A810,CSV!$A:$A,CSV!AB:AB,""),
_xlpm.MacVal,_xlfn.XLOOKUP($A810,Output_Mac!$A:$A,Output_Mac!T:T,""),
_xlpm.MyAuditVal,_xlfn.XLOOKUP($A810,My_Audit!$A:$A,My_Audit!Q:Q,""),
_xlfn.IFS(_xlpm.MyAuditVal&lt;&gt;"",UPPER(_xlpm.MyAuditVal),_xlpm.MacVal&lt;&gt;"",_xlpm.MacVal,_xlpm.CSVVal&lt;&gt;"",_xlpm.CSVVal
)),"No")</f>
        <v>No</v>
      </c>
      <c r="Q810" s="40" t="str" cm="1">
        <f t="array" ref="Q810">IFERROR(_xlfn.LET(
_xlpm.CSVVal,_xlfn.XLOOKUP($A810,CSV!$A:$A,CSV!AC:AC,""),
_xlpm.MacVal,_xlfn.XLOOKUP($A810,Output_Mac!$A:$A,Output_Mac!U:U,""),
_xlpm.MyAuditVal,_xlfn.XLOOKUP($A810,My_Audit!$A:$A,My_Audit!R:R,""),
_xlfn.IFS(_xlpm.MyAuditVal&lt;&gt;"",UPPER(_xlpm.MyAuditVal),_xlpm.MacVal&lt;&gt;"",_xlpm.MacVal,_xlpm.CSVVal&lt;&gt;"",_xlpm.CSVVal
)),"")</f>
        <v/>
      </c>
      <c r="R810" s="40"/>
      <c r="S810" s="40"/>
      <c r="T810" s="40"/>
      <c r="U810" s="40"/>
      <c r="V810" s="40"/>
      <c r="W810" s="40"/>
      <c r="X810" s="41" t="str">
        <f>_xlfn.LET(
    _xlpm.MacVal, _xlfn.XLOOKUP($A810, Output_Mac!$A:$A, Output_Mac!AB:AB, ""),
    _xlpm.MyAuditVal, _xlfn.XLOOKUP($A810, My_Audit!$A:$A, My_Audit!N:N, ""),
    _xlfn.TEXTJOIN(", ", TRUE, _xlpm.MyAuditVal, _xlpm.MacVal)
)</f>
        <v/>
      </c>
    </row>
    <row r="811" spans="1:24">
      <c r="A811" s="40" t="str">
        <f>_xlfn.TEXTJOIN("",TRUE,Input!$B$2,ROW(My_Audit!A810))</f>
        <v>X810</v>
      </c>
      <c r="B811" s="40" t="str">
        <f>_xlfn.TEXTJOIN("-",TRUE,"ITD",Input!$A$2,A811)</f>
        <v>ITD-X810</v>
      </c>
      <c r="C811" s="40" t="str" cm="1">
        <f t="array" ref="C811">IFERROR(_xlfn.LET(
_xlpm.CSVVal,_xlfn.XLOOKUP($A811,CSV!$A:$A,CSV!B:B,""),
_xlpm.MacVal,_xlfn.XLOOKUP($A811,Output_Mac!$A:$A,Output_Mac!B:B,""),
_xlpm.MyAuditVal,_xlfn.XLOOKUP($A811,My_Audit!$A:$A,My_Audit!B:B,""),
_xlfn.IFS(_xlpm.MyAuditVal&lt;&gt;"",UPPER(_xlpm.MyAuditVal),_xlpm.MacVal&lt;&gt;"",_xlpm.MacVal,_xlpm.CSVVal&lt;&gt;"",_xlpm.CSVVal
)),"")</f>
        <v/>
      </c>
      <c r="D811" s="40" t="str" cm="1">
        <f t="array" ref="D811">IFERROR(_xlfn.LET(
_xlpm.CSVVal,_xlfn.XLOOKUP($A811,CSV!$A:$A,CSV!D:D,""),
_xlpm.MacVal,_xlfn.XLOOKUP($A811,Output_Mac!$A:$A,Output_Mac!C:C,""),
_xlpm.MyAuditVal,_xlfn.XLOOKUP($A811,My_Audit!$A:$A,My_Audit!C:C,""),
_xlfn.IFS(_xlpm.MyAuditVal&lt;&gt;"",_xlpm.MyAuditVal,_xlpm.MacVal&lt;&gt;"",_xlpm.MacVal,_xlpm.CSVVal&lt;&gt;"",_xlpm.CSVVal
)),"")</f>
        <v/>
      </c>
      <c r="E811" s="40" t="str">
        <f>_xlfn.XLOOKUP(A811,My_Audit!A:A,My_Audit!D:D,"")</f>
        <v/>
      </c>
      <c r="F811" s="40" t="str" cm="1">
        <f t="array" ref="F811">IFERROR(_xlfn.LET(
_xlpm.CSVVal,_xlfn.XLOOKUP($A811,CSV!$A:$A,CSV!F:F,""),
_xlpm.MacVal,_xlfn.XLOOKUP($A811,Output_Mac!$A:$A,Output_Mac!E:E,""),
_xlpm.MyAuditVal,_xlfn.XLOOKUP($A811,My_Audit!$A:$A,My_Audit!E:E,""),
_xlfn.IFS(_xlpm.MyAuditVal&lt;&gt;"",_xlpm.MyAuditVal,_xlpm.MacVal&lt;&gt;"",_xlpm.MacVal,_xlpm.CSVVal&lt;&gt;"",_xlpm.CSVVal
)),"")</f>
        <v/>
      </c>
      <c r="G811" s="40" t="str" cm="1">
        <f t="array" ref="G811">IFERROR(_xlfn.LET(
_xlpm.CSVVal,_xlfn.XLOOKUP($A811,CSV!$A:$A,CSV!G:G,""),
_xlpm.MacVal,_xlfn.XLOOKUP($A811,Output_Mac!$A:$A,Output_Mac!F:F,""),
_xlpm.MyAuditVal,_xlfn.XLOOKUP($A811,My_Audit!$A:$A,My_Audit!F:F,""),
_xlfn.IFS(_xlpm.MyAuditVal&lt;&gt;"",_xlpm.MyAuditVal,_xlpm.MacVal&lt;&gt;"",_xlpm.MacVal,_xlpm.CSVVal&lt;&gt;"",PROPER(_xlpm.CSVVal)
)),"")</f>
        <v/>
      </c>
      <c r="H811" s="40" t="str" cm="1">
        <f t="array" ref="H811">IFERROR(_xlfn.LET(
_xlpm.CSVVal,_xlfn.XLOOKUP($A811,CSV!$A:$A,CSV!H:H,""),
_xlpm.MacVal,_xlfn.XLOOKUP($A811,Output_Mac!$A:$A,Output_Mac!H:H,""),
_xlpm.MyAuditVal,_xlfn.XLOOKUP($A811,My_Audit!$A:$A,My_Audit!G:G,""),
_xlfn.IFS(_xlpm.MyAuditVal&lt;&gt;"",_xlpm.MyAuditVal,_xlpm.MacVal&lt;&gt;"",_xlpm.MacVal,_xlpm.CSVVal&lt;&gt;"",_xlpm.CSVVal
)),"")</f>
        <v/>
      </c>
      <c r="I811" s="40" t="str">
        <f>_xlfn.XLOOKUP(A811,Output_Mac!A:A,Output_Mac!I:I,"")</f>
        <v/>
      </c>
      <c r="J811" s="40" t="str" cm="1">
        <f t="array" ref="J811">IFERROR(_xlfn.LET(
_xlpm.CSVVal,_xlfn.XLOOKUP($A811,CSV!$A:$A,CSV!I:I,""),
_xlpm.MacVal,_xlfn.XLOOKUP($A811,Output_Mac!$A:$A,Output_Mac!J:J,""),
_xlpm.MyAuditVal,_xlfn.XLOOKUP($A811,My_Audit!$A:$A,My_Audit!I:I,""),
_xlfn.IFS(_xlpm.MyAuditVal&lt;&gt;"",UPPER(_xlpm.MyAuditVal),_xlpm.MacVal&lt;&gt;"",_xlpm.MacVal,_xlpm.CSVVal&lt;&gt;"",_xlpm.CSVVal
)),"")</f>
        <v/>
      </c>
      <c r="K811" s="40" t="str" cm="1">
        <f t="array" ref="K811">IFERROR(_xlfn.LET(
_xlpm.CSVVal,_xlfn.XLOOKUP($A811,CSV!$A:$A,CSV!K:K,""),
_xlpm.MacVal,_xlfn.XLOOKUP($A811,Output_Mac!$A:$A,Output_Mac!K:K,""),
_xlpm.MyAuditVal,_xlfn.XLOOKUP($A811,My_Audit!$A:$A,My_Audit!J:J,""),
_xlfn.IFS(_xlpm.MyAuditVal&lt;&gt;"",UPPER(_xlpm.MyAuditVal),_xlpm.MacVal&lt;&gt;"",_xlpm.MacVal,_xlpm.CSVVal&lt;&gt;"",_xlpm.CSVVal
)),"")</f>
        <v/>
      </c>
      <c r="L811" s="40" t="str" cm="1">
        <f t="array" ref="L811">IFERROR(_xlfn.LET(
_xlpm.CSVVal,_xlfn.XLOOKUP($A811,CSV!$A:$A,CSV!P:P,""),
_xlpm.MacVal,_xlfn.XLOOKUP($A811,Output_Mac!$A:$A,Output_Mac!L:L,""),
_xlpm.MyAuditVal,_xlfn.XLOOKUP($A811,My_Audit!$A:$A,My_Audit!K:K,""),
_xlfn.IFS(_xlpm.MyAuditVal&lt;&gt;"",UPPER(_xlpm.MyAuditVal),_xlpm.MacVal&lt;&gt;"",_xlpm.MacVal,_xlpm.CSVVal&lt;&gt;"",_xlpm.CSVVal
)),"")</f>
        <v/>
      </c>
      <c r="M811" s="40" t="str" cm="1">
        <f t="array" ref="M811">IFERROR(_xlfn.LET(
_xlpm.CSVVal,_xlfn.XLOOKUP($A811,CSV!$A:$A,CSV!Q:Q,""),
_xlpm.MacVal,_xlfn.XLOOKUP($A811,Output_Mac!$A:$A,Output_Mac!M:M,""),
_xlpm.MyAuditVal,_xlfn.XLOOKUP($A811,My_Audit!$A:$A,My_Audit!L:L,""),
_xlfn.IFS(_xlpm.MyAuditVal&lt;&gt;"",UPPER(_xlpm.MyAuditVal),_xlpm.MacVal&lt;&gt;"",_xlpm.MacVal,_xlpm.CSVVal&lt;&gt;"",_xlpm.CSVVal
)),"")</f>
        <v/>
      </c>
      <c r="N811" s="40"/>
      <c r="O811" s="40" t="str">
        <f>_xlfn.LET(
    _xlpm.CSVVal, _xlfn.XLOOKUP($A811, CSV!$A:$A, CSV!AA:AA, ""),
    _xlpm.MacVal, _xlfn.XLOOKUP($A811, Output_Mac!$A:$A, Output_Mac!S:S, ""),
    _xlpm.MyAuditVal, _xlfn.XLOOKUP($A811, My_Audit!$A:$A, My_Audit!P:P, ""),
    _xlfn.TEXTJOIN(", ", TRUE, _xlpm.MyAuditVal, _xlpm.MacVal, _xlpm.CSVVal)
)</f>
        <v/>
      </c>
      <c r="P811" s="40" t="str" cm="1">
        <f t="array" ref="P811">IFERROR(_xlfn.LET(
_xlpm.CSVVal,_xlfn.XLOOKUP($A811,CSV!$A:$A,CSV!AB:AB,""),
_xlpm.MacVal,_xlfn.XLOOKUP($A811,Output_Mac!$A:$A,Output_Mac!T:T,""),
_xlpm.MyAuditVal,_xlfn.XLOOKUP($A811,My_Audit!$A:$A,My_Audit!Q:Q,""),
_xlfn.IFS(_xlpm.MyAuditVal&lt;&gt;"",UPPER(_xlpm.MyAuditVal),_xlpm.MacVal&lt;&gt;"",_xlpm.MacVal,_xlpm.CSVVal&lt;&gt;"",_xlpm.CSVVal
)),"No")</f>
        <v>No</v>
      </c>
      <c r="Q811" s="40" t="str" cm="1">
        <f t="array" ref="Q811">IFERROR(_xlfn.LET(
_xlpm.CSVVal,_xlfn.XLOOKUP($A811,CSV!$A:$A,CSV!AC:AC,""),
_xlpm.MacVal,_xlfn.XLOOKUP($A811,Output_Mac!$A:$A,Output_Mac!U:U,""),
_xlpm.MyAuditVal,_xlfn.XLOOKUP($A811,My_Audit!$A:$A,My_Audit!R:R,""),
_xlfn.IFS(_xlpm.MyAuditVal&lt;&gt;"",UPPER(_xlpm.MyAuditVal),_xlpm.MacVal&lt;&gt;"",_xlpm.MacVal,_xlpm.CSVVal&lt;&gt;"",_xlpm.CSVVal
)),"")</f>
        <v/>
      </c>
      <c r="R811" s="40"/>
      <c r="S811" s="40"/>
      <c r="T811" s="40"/>
      <c r="U811" s="40"/>
      <c r="V811" s="40"/>
      <c r="W811" s="40"/>
      <c r="X811" s="41" t="str">
        <f>_xlfn.LET(
    _xlpm.MacVal, _xlfn.XLOOKUP($A811, Output_Mac!$A:$A, Output_Mac!AB:AB, ""),
    _xlpm.MyAuditVal, _xlfn.XLOOKUP($A811, My_Audit!$A:$A, My_Audit!N:N, ""),
    _xlfn.TEXTJOIN(", ", TRUE, _xlpm.MyAuditVal, _xlpm.MacVal)
)</f>
        <v/>
      </c>
    </row>
    <row r="812" spans="1:24">
      <c r="A812" s="40" t="str">
        <f>_xlfn.TEXTJOIN("",TRUE,Input!$B$2,ROW(My_Audit!A811))</f>
        <v>X811</v>
      </c>
      <c r="B812" s="40" t="str">
        <f>_xlfn.TEXTJOIN("-",TRUE,"ITD",Input!$A$2,A812)</f>
        <v>ITD-X811</v>
      </c>
      <c r="C812" s="40" t="str" cm="1">
        <f t="array" ref="C812">IFERROR(_xlfn.LET(
_xlpm.CSVVal,_xlfn.XLOOKUP($A812,CSV!$A:$A,CSV!B:B,""),
_xlpm.MacVal,_xlfn.XLOOKUP($A812,Output_Mac!$A:$A,Output_Mac!B:B,""),
_xlpm.MyAuditVal,_xlfn.XLOOKUP($A812,My_Audit!$A:$A,My_Audit!B:B,""),
_xlfn.IFS(_xlpm.MyAuditVal&lt;&gt;"",UPPER(_xlpm.MyAuditVal),_xlpm.MacVal&lt;&gt;"",_xlpm.MacVal,_xlpm.CSVVal&lt;&gt;"",_xlpm.CSVVal
)),"")</f>
        <v/>
      </c>
      <c r="D812" s="40" t="str" cm="1">
        <f t="array" ref="D812">IFERROR(_xlfn.LET(
_xlpm.CSVVal,_xlfn.XLOOKUP($A812,CSV!$A:$A,CSV!D:D,""),
_xlpm.MacVal,_xlfn.XLOOKUP($A812,Output_Mac!$A:$A,Output_Mac!C:C,""),
_xlpm.MyAuditVal,_xlfn.XLOOKUP($A812,My_Audit!$A:$A,My_Audit!C:C,""),
_xlfn.IFS(_xlpm.MyAuditVal&lt;&gt;"",_xlpm.MyAuditVal,_xlpm.MacVal&lt;&gt;"",_xlpm.MacVal,_xlpm.CSVVal&lt;&gt;"",_xlpm.CSVVal
)),"")</f>
        <v/>
      </c>
      <c r="E812" s="40" t="str">
        <f>_xlfn.XLOOKUP(A812,My_Audit!A:A,My_Audit!D:D,"")</f>
        <v/>
      </c>
      <c r="F812" s="40" t="str" cm="1">
        <f t="array" ref="F812">IFERROR(_xlfn.LET(
_xlpm.CSVVal,_xlfn.XLOOKUP($A812,CSV!$A:$A,CSV!F:F,""),
_xlpm.MacVal,_xlfn.XLOOKUP($A812,Output_Mac!$A:$A,Output_Mac!E:E,""),
_xlpm.MyAuditVal,_xlfn.XLOOKUP($A812,My_Audit!$A:$A,My_Audit!E:E,""),
_xlfn.IFS(_xlpm.MyAuditVal&lt;&gt;"",_xlpm.MyAuditVal,_xlpm.MacVal&lt;&gt;"",_xlpm.MacVal,_xlpm.CSVVal&lt;&gt;"",_xlpm.CSVVal
)),"")</f>
        <v/>
      </c>
      <c r="G812" s="40" t="str" cm="1">
        <f t="array" ref="G812">IFERROR(_xlfn.LET(
_xlpm.CSVVal,_xlfn.XLOOKUP($A812,CSV!$A:$A,CSV!G:G,""),
_xlpm.MacVal,_xlfn.XLOOKUP($A812,Output_Mac!$A:$A,Output_Mac!F:F,""),
_xlpm.MyAuditVal,_xlfn.XLOOKUP($A812,My_Audit!$A:$A,My_Audit!F:F,""),
_xlfn.IFS(_xlpm.MyAuditVal&lt;&gt;"",_xlpm.MyAuditVal,_xlpm.MacVal&lt;&gt;"",_xlpm.MacVal,_xlpm.CSVVal&lt;&gt;"",PROPER(_xlpm.CSVVal)
)),"")</f>
        <v/>
      </c>
      <c r="H812" s="40" t="str" cm="1">
        <f t="array" ref="H812">IFERROR(_xlfn.LET(
_xlpm.CSVVal,_xlfn.XLOOKUP($A812,CSV!$A:$A,CSV!H:H,""),
_xlpm.MacVal,_xlfn.XLOOKUP($A812,Output_Mac!$A:$A,Output_Mac!H:H,""),
_xlpm.MyAuditVal,_xlfn.XLOOKUP($A812,My_Audit!$A:$A,My_Audit!G:G,""),
_xlfn.IFS(_xlpm.MyAuditVal&lt;&gt;"",_xlpm.MyAuditVal,_xlpm.MacVal&lt;&gt;"",_xlpm.MacVal,_xlpm.CSVVal&lt;&gt;"",_xlpm.CSVVal
)),"")</f>
        <v/>
      </c>
      <c r="I812" s="40" t="str">
        <f>_xlfn.XLOOKUP(A812,Output_Mac!A:A,Output_Mac!I:I,"")</f>
        <v/>
      </c>
      <c r="J812" s="40" t="str" cm="1">
        <f t="array" ref="J812">IFERROR(_xlfn.LET(
_xlpm.CSVVal,_xlfn.XLOOKUP($A812,CSV!$A:$A,CSV!I:I,""),
_xlpm.MacVal,_xlfn.XLOOKUP($A812,Output_Mac!$A:$A,Output_Mac!J:J,""),
_xlpm.MyAuditVal,_xlfn.XLOOKUP($A812,My_Audit!$A:$A,My_Audit!I:I,""),
_xlfn.IFS(_xlpm.MyAuditVal&lt;&gt;"",UPPER(_xlpm.MyAuditVal),_xlpm.MacVal&lt;&gt;"",_xlpm.MacVal,_xlpm.CSVVal&lt;&gt;"",_xlpm.CSVVal
)),"")</f>
        <v/>
      </c>
      <c r="K812" s="40" t="str" cm="1">
        <f t="array" ref="K812">IFERROR(_xlfn.LET(
_xlpm.CSVVal,_xlfn.XLOOKUP($A812,CSV!$A:$A,CSV!K:K,""),
_xlpm.MacVal,_xlfn.XLOOKUP($A812,Output_Mac!$A:$A,Output_Mac!K:K,""),
_xlpm.MyAuditVal,_xlfn.XLOOKUP($A812,My_Audit!$A:$A,My_Audit!J:J,""),
_xlfn.IFS(_xlpm.MyAuditVal&lt;&gt;"",UPPER(_xlpm.MyAuditVal),_xlpm.MacVal&lt;&gt;"",_xlpm.MacVal,_xlpm.CSVVal&lt;&gt;"",_xlpm.CSVVal
)),"")</f>
        <v/>
      </c>
      <c r="L812" s="40" t="str" cm="1">
        <f t="array" ref="L812">IFERROR(_xlfn.LET(
_xlpm.CSVVal,_xlfn.XLOOKUP($A812,CSV!$A:$A,CSV!P:P,""),
_xlpm.MacVal,_xlfn.XLOOKUP($A812,Output_Mac!$A:$A,Output_Mac!L:L,""),
_xlpm.MyAuditVal,_xlfn.XLOOKUP($A812,My_Audit!$A:$A,My_Audit!K:K,""),
_xlfn.IFS(_xlpm.MyAuditVal&lt;&gt;"",UPPER(_xlpm.MyAuditVal),_xlpm.MacVal&lt;&gt;"",_xlpm.MacVal,_xlpm.CSVVal&lt;&gt;"",_xlpm.CSVVal
)),"")</f>
        <v/>
      </c>
      <c r="M812" s="40" t="str" cm="1">
        <f t="array" ref="M812">IFERROR(_xlfn.LET(
_xlpm.CSVVal,_xlfn.XLOOKUP($A812,CSV!$A:$A,CSV!Q:Q,""),
_xlpm.MacVal,_xlfn.XLOOKUP($A812,Output_Mac!$A:$A,Output_Mac!M:M,""),
_xlpm.MyAuditVal,_xlfn.XLOOKUP($A812,My_Audit!$A:$A,My_Audit!L:L,""),
_xlfn.IFS(_xlpm.MyAuditVal&lt;&gt;"",UPPER(_xlpm.MyAuditVal),_xlpm.MacVal&lt;&gt;"",_xlpm.MacVal,_xlpm.CSVVal&lt;&gt;"",_xlpm.CSVVal
)),"")</f>
        <v/>
      </c>
      <c r="N812" s="40"/>
      <c r="O812" s="40" t="str">
        <f>_xlfn.LET(
    _xlpm.CSVVal, _xlfn.XLOOKUP($A812, CSV!$A:$A, CSV!AA:AA, ""),
    _xlpm.MacVal, _xlfn.XLOOKUP($A812, Output_Mac!$A:$A, Output_Mac!S:S, ""),
    _xlpm.MyAuditVal, _xlfn.XLOOKUP($A812, My_Audit!$A:$A, My_Audit!P:P, ""),
    _xlfn.TEXTJOIN(", ", TRUE, _xlpm.MyAuditVal, _xlpm.MacVal, _xlpm.CSVVal)
)</f>
        <v/>
      </c>
      <c r="P812" s="40" t="str" cm="1">
        <f t="array" ref="P812">IFERROR(_xlfn.LET(
_xlpm.CSVVal,_xlfn.XLOOKUP($A812,CSV!$A:$A,CSV!AB:AB,""),
_xlpm.MacVal,_xlfn.XLOOKUP($A812,Output_Mac!$A:$A,Output_Mac!T:T,""),
_xlpm.MyAuditVal,_xlfn.XLOOKUP($A812,My_Audit!$A:$A,My_Audit!Q:Q,""),
_xlfn.IFS(_xlpm.MyAuditVal&lt;&gt;"",UPPER(_xlpm.MyAuditVal),_xlpm.MacVal&lt;&gt;"",_xlpm.MacVal,_xlpm.CSVVal&lt;&gt;"",_xlpm.CSVVal
)),"No")</f>
        <v>No</v>
      </c>
      <c r="Q812" s="40" t="str" cm="1">
        <f t="array" ref="Q812">IFERROR(_xlfn.LET(
_xlpm.CSVVal,_xlfn.XLOOKUP($A812,CSV!$A:$A,CSV!AC:AC,""),
_xlpm.MacVal,_xlfn.XLOOKUP($A812,Output_Mac!$A:$A,Output_Mac!U:U,""),
_xlpm.MyAuditVal,_xlfn.XLOOKUP($A812,My_Audit!$A:$A,My_Audit!R:R,""),
_xlfn.IFS(_xlpm.MyAuditVal&lt;&gt;"",UPPER(_xlpm.MyAuditVal),_xlpm.MacVal&lt;&gt;"",_xlpm.MacVal,_xlpm.CSVVal&lt;&gt;"",_xlpm.CSVVal
)),"")</f>
        <v/>
      </c>
      <c r="R812" s="40"/>
      <c r="S812" s="40"/>
      <c r="T812" s="40"/>
      <c r="U812" s="40"/>
      <c r="V812" s="40"/>
      <c r="W812" s="40"/>
      <c r="X812" s="41" t="str">
        <f>_xlfn.LET(
    _xlpm.MacVal, _xlfn.XLOOKUP($A812, Output_Mac!$A:$A, Output_Mac!AB:AB, ""),
    _xlpm.MyAuditVal, _xlfn.XLOOKUP($A812, My_Audit!$A:$A, My_Audit!N:N, ""),
    _xlfn.TEXTJOIN(", ", TRUE, _xlpm.MyAuditVal, _xlpm.MacVal)
)</f>
        <v/>
      </c>
    </row>
    <row r="813" spans="1:24">
      <c r="A813" s="40" t="str">
        <f>_xlfn.TEXTJOIN("",TRUE,Input!$B$2,ROW(My_Audit!A812))</f>
        <v>X812</v>
      </c>
      <c r="B813" s="40" t="str">
        <f>_xlfn.TEXTJOIN("-",TRUE,"ITD",Input!$A$2,A813)</f>
        <v>ITD-X812</v>
      </c>
      <c r="C813" s="40" t="str" cm="1">
        <f t="array" ref="C813">IFERROR(_xlfn.LET(
_xlpm.CSVVal,_xlfn.XLOOKUP($A813,CSV!$A:$A,CSV!B:B,""),
_xlpm.MacVal,_xlfn.XLOOKUP($A813,Output_Mac!$A:$A,Output_Mac!B:B,""),
_xlpm.MyAuditVal,_xlfn.XLOOKUP($A813,My_Audit!$A:$A,My_Audit!B:B,""),
_xlfn.IFS(_xlpm.MyAuditVal&lt;&gt;"",UPPER(_xlpm.MyAuditVal),_xlpm.MacVal&lt;&gt;"",_xlpm.MacVal,_xlpm.CSVVal&lt;&gt;"",_xlpm.CSVVal
)),"")</f>
        <v/>
      </c>
      <c r="D813" s="40" t="str" cm="1">
        <f t="array" ref="D813">IFERROR(_xlfn.LET(
_xlpm.CSVVal,_xlfn.XLOOKUP($A813,CSV!$A:$A,CSV!D:D,""),
_xlpm.MacVal,_xlfn.XLOOKUP($A813,Output_Mac!$A:$A,Output_Mac!C:C,""),
_xlpm.MyAuditVal,_xlfn.XLOOKUP($A813,My_Audit!$A:$A,My_Audit!C:C,""),
_xlfn.IFS(_xlpm.MyAuditVal&lt;&gt;"",_xlpm.MyAuditVal,_xlpm.MacVal&lt;&gt;"",_xlpm.MacVal,_xlpm.CSVVal&lt;&gt;"",_xlpm.CSVVal
)),"")</f>
        <v/>
      </c>
      <c r="E813" s="40" t="str">
        <f>_xlfn.XLOOKUP(A813,My_Audit!A:A,My_Audit!D:D,"")</f>
        <v/>
      </c>
      <c r="F813" s="40" t="str" cm="1">
        <f t="array" ref="F813">IFERROR(_xlfn.LET(
_xlpm.CSVVal,_xlfn.XLOOKUP($A813,CSV!$A:$A,CSV!F:F,""),
_xlpm.MacVal,_xlfn.XLOOKUP($A813,Output_Mac!$A:$A,Output_Mac!E:E,""),
_xlpm.MyAuditVal,_xlfn.XLOOKUP($A813,My_Audit!$A:$A,My_Audit!E:E,""),
_xlfn.IFS(_xlpm.MyAuditVal&lt;&gt;"",_xlpm.MyAuditVal,_xlpm.MacVal&lt;&gt;"",_xlpm.MacVal,_xlpm.CSVVal&lt;&gt;"",_xlpm.CSVVal
)),"")</f>
        <v/>
      </c>
      <c r="G813" s="40" t="str" cm="1">
        <f t="array" ref="G813">IFERROR(_xlfn.LET(
_xlpm.CSVVal,_xlfn.XLOOKUP($A813,CSV!$A:$A,CSV!G:G,""),
_xlpm.MacVal,_xlfn.XLOOKUP($A813,Output_Mac!$A:$A,Output_Mac!F:F,""),
_xlpm.MyAuditVal,_xlfn.XLOOKUP($A813,My_Audit!$A:$A,My_Audit!F:F,""),
_xlfn.IFS(_xlpm.MyAuditVal&lt;&gt;"",_xlpm.MyAuditVal,_xlpm.MacVal&lt;&gt;"",_xlpm.MacVal,_xlpm.CSVVal&lt;&gt;"",PROPER(_xlpm.CSVVal)
)),"")</f>
        <v/>
      </c>
      <c r="H813" s="40" t="str" cm="1">
        <f t="array" ref="H813">IFERROR(_xlfn.LET(
_xlpm.CSVVal,_xlfn.XLOOKUP($A813,CSV!$A:$A,CSV!H:H,""),
_xlpm.MacVal,_xlfn.XLOOKUP($A813,Output_Mac!$A:$A,Output_Mac!H:H,""),
_xlpm.MyAuditVal,_xlfn.XLOOKUP($A813,My_Audit!$A:$A,My_Audit!G:G,""),
_xlfn.IFS(_xlpm.MyAuditVal&lt;&gt;"",_xlpm.MyAuditVal,_xlpm.MacVal&lt;&gt;"",_xlpm.MacVal,_xlpm.CSVVal&lt;&gt;"",_xlpm.CSVVal
)),"")</f>
        <v/>
      </c>
      <c r="I813" s="40" t="str">
        <f>_xlfn.XLOOKUP(A813,Output_Mac!A:A,Output_Mac!I:I,"")</f>
        <v/>
      </c>
      <c r="J813" s="40" t="str" cm="1">
        <f t="array" ref="J813">IFERROR(_xlfn.LET(
_xlpm.CSVVal,_xlfn.XLOOKUP($A813,CSV!$A:$A,CSV!I:I,""),
_xlpm.MacVal,_xlfn.XLOOKUP($A813,Output_Mac!$A:$A,Output_Mac!J:J,""),
_xlpm.MyAuditVal,_xlfn.XLOOKUP($A813,My_Audit!$A:$A,My_Audit!I:I,""),
_xlfn.IFS(_xlpm.MyAuditVal&lt;&gt;"",UPPER(_xlpm.MyAuditVal),_xlpm.MacVal&lt;&gt;"",_xlpm.MacVal,_xlpm.CSVVal&lt;&gt;"",_xlpm.CSVVal
)),"")</f>
        <v/>
      </c>
      <c r="K813" s="40" t="str" cm="1">
        <f t="array" ref="K813">IFERROR(_xlfn.LET(
_xlpm.CSVVal,_xlfn.XLOOKUP($A813,CSV!$A:$A,CSV!K:K,""),
_xlpm.MacVal,_xlfn.XLOOKUP($A813,Output_Mac!$A:$A,Output_Mac!K:K,""),
_xlpm.MyAuditVal,_xlfn.XLOOKUP($A813,My_Audit!$A:$A,My_Audit!J:J,""),
_xlfn.IFS(_xlpm.MyAuditVal&lt;&gt;"",UPPER(_xlpm.MyAuditVal),_xlpm.MacVal&lt;&gt;"",_xlpm.MacVal,_xlpm.CSVVal&lt;&gt;"",_xlpm.CSVVal
)),"")</f>
        <v/>
      </c>
      <c r="L813" s="40" t="str" cm="1">
        <f t="array" ref="L813">IFERROR(_xlfn.LET(
_xlpm.CSVVal,_xlfn.XLOOKUP($A813,CSV!$A:$A,CSV!P:P,""),
_xlpm.MacVal,_xlfn.XLOOKUP($A813,Output_Mac!$A:$A,Output_Mac!L:L,""),
_xlpm.MyAuditVal,_xlfn.XLOOKUP($A813,My_Audit!$A:$A,My_Audit!K:K,""),
_xlfn.IFS(_xlpm.MyAuditVal&lt;&gt;"",UPPER(_xlpm.MyAuditVal),_xlpm.MacVal&lt;&gt;"",_xlpm.MacVal,_xlpm.CSVVal&lt;&gt;"",_xlpm.CSVVal
)),"")</f>
        <v/>
      </c>
      <c r="M813" s="40" t="str" cm="1">
        <f t="array" ref="M813">IFERROR(_xlfn.LET(
_xlpm.CSVVal,_xlfn.XLOOKUP($A813,CSV!$A:$A,CSV!Q:Q,""),
_xlpm.MacVal,_xlfn.XLOOKUP($A813,Output_Mac!$A:$A,Output_Mac!M:M,""),
_xlpm.MyAuditVal,_xlfn.XLOOKUP($A813,My_Audit!$A:$A,My_Audit!L:L,""),
_xlfn.IFS(_xlpm.MyAuditVal&lt;&gt;"",UPPER(_xlpm.MyAuditVal),_xlpm.MacVal&lt;&gt;"",_xlpm.MacVal,_xlpm.CSVVal&lt;&gt;"",_xlpm.CSVVal
)),"")</f>
        <v/>
      </c>
      <c r="N813" s="40"/>
      <c r="O813" s="40" t="str">
        <f>_xlfn.LET(
    _xlpm.CSVVal, _xlfn.XLOOKUP($A813, CSV!$A:$A, CSV!AA:AA, ""),
    _xlpm.MacVal, _xlfn.XLOOKUP($A813, Output_Mac!$A:$A, Output_Mac!S:S, ""),
    _xlpm.MyAuditVal, _xlfn.XLOOKUP($A813, My_Audit!$A:$A, My_Audit!P:P, ""),
    _xlfn.TEXTJOIN(", ", TRUE, _xlpm.MyAuditVal, _xlpm.MacVal, _xlpm.CSVVal)
)</f>
        <v/>
      </c>
      <c r="P813" s="40" t="str" cm="1">
        <f t="array" ref="P813">IFERROR(_xlfn.LET(
_xlpm.CSVVal,_xlfn.XLOOKUP($A813,CSV!$A:$A,CSV!AB:AB,""),
_xlpm.MacVal,_xlfn.XLOOKUP($A813,Output_Mac!$A:$A,Output_Mac!T:T,""),
_xlpm.MyAuditVal,_xlfn.XLOOKUP($A813,My_Audit!$A:$A,My_Audit!Q:Q,""),
_xlfn.IFS(_xlpm.MyAuditVal&lt;&gt;"",UPPER(_xlpm.MyAuditVal),_xlpm.MacVal&lt;&gt;"",_xlpm.MacVal,_xlpm.CSVVal&lt;&gt;"",_xlpm.CSVVal
)),"No")</f>
        <v>No</v>
      </c>
      <c r="Q813" s="40" t="str" cm="1">
        <f t="array" ref="Q813">IFERROR(_xlfn.LET(
_xlpm.CSVVal,_xlfn.XLOOKUP($A813,CSV!$A:$A,CSV!AC:AC,""),
_xlpm.MacVal,_xlfn.XLOOKUP($A813,Output_Mac!$A:$A,Output_Mac!U:U,""),
_xlpm.MyAuditVal,_xlfn.XLOOKUP($A813,My_Audit!$A:$A,My_Audit!R:R,""),
_xlfn.IFS(_xlpm.MyAuditVal&lt;&gt;"",UPPER(_xlpm.MyAuditVal),_xlpm.MacVal&lt;&gt;"",_xlpm.MacVal,_xlpm.CSVVal&lt;&gt;"",_xlpm.CSVVal
)),"")</f>
        <v/>
      </c>
      <c r="R813" s="40"/>
      <c r="S813" s="40"/>
      <c r="T813" s="40"/>
      <c r="U813" s="40"/>
      <c r="V813" s="40"/>
      <c r="W813" s="40"/>
      <c r="X813" s="41" t="str">
        <f>_xlfn.LET(
    _xlpm.MacVal, _xlfn.XLOOKUP($A813, Output_Mac!$A:$A, Output_Mac!AB:AB, ""),
    _xlpm.MyAuditVal, _xlfn.XLOOKUP($A813, My_Audit!$A:$A, My_Audit!N:N, ""),
    _xlfn.TEXTJOIN(", ", TRUE, _xlpm.MyAuditVal, _xlpm.MacVal)
)</f>
        <v/>
      </c>
    </row>
    <row r="814" spans="1:24">
      <c r="A814" s="40" t="str">
        <f>_xlfn.TEXTJOIN("",TRUE,Input!$B$2,ROW(My_Audit!A813))</f>
        <v>X813</v>
      </c>
      <c r="B814" s="40" t="str">
        <f>_xlfn.TEXTJOIN("-",TRUE,"ITD",Input!$A$2,A814)</f>
        <v>ITD-X813</v>
      </c>
      <c r="C814" s="40" t="str" cm="1">
        <f t="array" ref="C814">IFERROR(_xlfn.LET(
_xlpm.CSVVal,_xlfn.XLOOKUP($A814,CSV!$A:$A,CSV!B:B,""),
_xlpm.MacVal,_xlfn.XLOOKUP($A814,Output_Mac!$A:$A,Output_Mac!B:B,""),
_xlpm.MyAuditVal,_xlfn.XLOOKUP($A814,My_Audit!$A:$A,My_Audit!B:B,""),
_xlfn.IFS(_xlpm.MyAuditVal&lt;&gt;"",UPPER(_xlpm.MyAuditVal),_xlpm.MacVal&lt;&gt;"",_xlpm.MacVal,_xlpm.CSVVal&lt;&gt;"",_xlpm.CSVVal
)),"")</f>
        <v/>
      </c>
      <c r="D814" s="40" t="str" cm="1">
        <f t="array" ref="D814">IFERROR(_xlfn.LET(
_xlpm.CSVVal,_xlfn.XLOOKUP($A814,CSV!$A:$A,CSV!D:D,""),
_xlpm.MacVal,_xlfn.XLOOKUP($A814,Output_Mac!$A:$A,Output_Mac!C:C,""),
_xlpm.MyAuditVal,_xlfn.XLOOKUP($A814,My_Audit!$A:$A,My_Audit!C:C,""),
_xlfn.IFS(_xlpm.MyAuditVal&lt;&gt;"",_xlpm.MyAuditVal,_xlpm.MacVal&lt;&gt;"",_xlpm.MacVal,_xlpm.CSVVal&lt;&gt;"",_xlpm.CSVVal
)),"")</f>
        <v/>
      </c>
      <c r="E814" s="40" t="str">
        <f>_xlfn.XLOOKUP(A814,My_Audit!A:A,My_Audit!D:D,"")</f>
        <v/>
      </c>
      <c r="F814" s="40" t="str" cm="1">
        <f t="array" ref="F814">IFERROR(_xlfn.LET(
_xlpm.CSVVal,_xlfn.XLOOKUP($A814,CSV!$A:$A,CSV!F:F,""),
_xlpm.MacVal,_xlfn.XLOOKUP($A814,Output_Mac!$A:$A,Output_Mac!E:E,""),
_xlpm.MyAuditVal,_xlfn.XLOOKUP($A814,My_Audit!$A:$A,My_Audit!E:E,""),
_xlfn.IFS(_xlpm.MyAuditVal&lt;&gt;"",_xlpm.MyAuditVal,_xlpm.MacVal&lt;&gt;"",_xlpm.MacVal,_xlpm.CSVVal&lt;&gt;"",_xlpm.CSVVal
)),"")</f>
        <v/>
      </c>
      <c r="G814" s="40" t="str" cm="1">
        <f t="array" ref="G814">IFERROR(_xlfn.LET(
_xlpm.CSVVal,_xlfn.XLOOKUP($A814,CSV!$A:$A,CSV!G:G,""),
_xlpm.MacVal,_xlfn.XLOOKUP($A814,Output_Mac!$A:$A,Output_Mac!F:F,""),
_xlpm.MyAuditVal,_xlfn.XLOOKUP($A814,My_Audit!$A:$A,My_Audit!F:F,""),
_xlfn.IFS(_xlpm.MyAuditVal&lt;&gt;"",_xlpm.MyAuditVal,_xlpm.MacVal&lt;&gt;"",_xlpm.MacVal,_xlpm.CSVVal&lt;&gt;"",PROPER(_xlpm.CSVVal)
)),"")</f>
        <v/>
      </c>
      <c r="H814" s="40" t="str" cm="1">
        <f t="array" ref="H814">IFERROR(_xlfn.LET(
_xlpm.CSVVal,_xlfn.XLOOKUP($A814,CSV!$A:$A,CSV!H:H,""),
_xlpm.MacVal,_xlfn.XLOOKUP($A814,Output_Mac!$A:$A,Output_Mac!H:H,""),
_xlpm.MyAuditVal,_xlfn.XLOOKUP($A814,My_Audit!$A:$A,My_Audit!G:G,""),
_xlfn.IFS(_xlpm.MyAuditVal&lt;&gt;"",_xlpm.MyAuditVal,_xlpm.MacVal&lt;&gt;"",_xlpm.MacVal,_xlpm.CSVVal&lt;&gt;"",_xlpm.CSVVal
)),"")</f>
        <v/>
      </c>
      <c r="I814" s="40" t="str">
        <f>_xlfn.XLOOKUP(A814,Output_Mac!A:A,Output_Mac!I:I,"")</f>
        <v/>
      </c>
      <c r="J814" s="40" t="str" cm="1">
        <f t="array" ref="J814">IFERROR(_xlfn.LET(
_xlpm.CSVVal,_xlfn.XLOOKUP($A814,CSV!$A:$A,CSV!I:I,""),
_xlpm.MacVal,_xlfn.XLOOKUP($A814,Output_Mac!$A:$A,Output_Mac!J:J,""),
_xlpm.MyAuditVal,_xlfn.XLOOKUP($A814,My_Audit!$A:$A,My_Audit!I:I,""),
_xlfn.IFS(_xlpm.MyAuditVal&lt;&gt;"",UPPER(_xlpm.MyAuditVal),_xlpm.MacVal&lt;&gt;"",_xlpm.MacVal,_xlpm.CSVVal&lt;&gt;"",_xlpm.CSVVal
)),"")</f>
        <v/>
      </c>
      <c r="K814" s="40" t="str" cm="1">
        <f t="array" ref="K814">IFERROR(_xlfn.LET(
_xlpm.CSVVal,_xlfn.XLOOKUP($A814,CSV!$A:$A,CSV!K:K,""),
_xlpm.MacVal,_xlfn.XLOOKUP($A814,Output_Mac!$A:$A,Output_Mac!K:K,""),
_xlpm.MyAuditVal,_xlfn.XLOOKUP($A814,My_Audit!$A:$A,My_Audit!J:J,""),
_xlfn.IFS(_xlpm.MyAuditVal&lt;&gt;"",UPPER(_xlpm.MyAuditVal),_xlpm.MacVal&lt;&gt;"",_xlpm.MacVal,_xlpm.CSVVal&lt;&gt;"",_xlpm.CSVVal
)),"")</f>
        <v/>
      </c>
      <c r="L814" s="40" t="str" cm="1">
        <f t="array" ref="L814">IFERROR(_xlfn.LET(
_xlpm.CSVVal,_xlfn.XLOOKUP($A814,CSV!$A:$A,CSV!P:P,""),
_xlpm.MacVal,_xlfn.XLOOKUP($A814,Output_Mac!$A:$A,Output_Mac!L:L,""),
_xlpm.MyAuditVal,_xlfn.XLOOKUP($A814,My_Audit!$A:$A,My_Audit!K:K,""),
_xlfn.IFS(_xlpm.MyAuditVal&lt;&gt;"",UPPER(_xlpm.MyAuditVal),_xlpm.MacVal&lt;&gt;"",_xlpm.MacVal,_xlpm.CSVVal&lt;&gt;"",_xlpm.CSVVal
)),"")</f>
        <v/>
      </c>
      <c r="M814" s="40" t="str" cm="1">
        <f t="array" ref="M814">IFERROR(_xlfn.LET(
_xlpm.CSVVal,_xlfn.XLOOKUP($A814,CSV!$A:$A,CSV!Q:Q,""),
_xlpm.MacVal,_xlfn.XLOOKUP($A814,Output_Mac!$A:$A,Output_Mac!M:M,""),
_xlpm.MyAuditVal,_xlfn.XLOOKUP($A814,My_Audit!$A:$A,My_Audit!L:L,""),
_xlfn.IFS(_xlpm.MyAuditVal&lt;&gt;"",UPPER(_xlpm.MyAuditVal),_xlpm.MacVal&lt;&gt;"",_xlpm.MacVal,_xlpm.CSVVal&lt;&gt;"",_xlpm.CSVVal
)),"")</f>
        <v/>
      </c>
      <c r="N814" s="40"/>
      <c r="O814" s="40" t="str">
        <f>_xlfn.LET(
    _xlpm.CSVVal, _xlfn.XLOOKUP($A814, CSV!$A:$A, CSV!AA:AA, ""),
    _xlpm.MacVal, _xlfn.XLOOKUP($A814, Output_Mac!$A:$A, Output_Mac!S:S, ""),
    _xlpm.MyAuditVal, _xlfn.XLOOKUP($A814, My_Audit!$A:$A, My_Audit!P:P, ""),
    _xlfn.TEXTJOIN(", ", TRUE, _xlpm.MyAuditVal, _xlpm.MacVal, _xlpm.CSVVal)
)</f>
        <v/>
      </c>
      <c r="P814" s="40" t="str" cm="1">
        <f t="array" ref="P814">IFERROR(_xlfn.LET(
_xlpm.CSVVal,_xlfn.XLOOKUP($A814,CSV!$A:$A,CSV!AB:AB,""),
_xlpm.MacVal,_xlfn.XLOOKUP($A814,Output_Mac!$A:$A,Output_Mac!T:T,""),
_xlpm.MyAuditVal,_xlfn.XLOOKUP($A814,My_Audit!$A:$A,My_Audit!Q:Q,""),
_xlfn.IFS(_xlpm.MyAuditVal&lt;&gt;"",UPPER(_xlpm.MyAuditVal),_xlpm.MacVal&lt;&gt;"",_xlpm.MacVal,_xlpm.CSVVal&lt;&gt;"",_xlpm.CSVVal
)),"No")</f>
        <v>No</v>
      </c>
      <c r="Q814" s="40" t="str" cm="1">
        <f t="array" ref="Q814">IFERROR(_xlfn.LET(
_xlpm.CSVVal,_xlfn.XLOOKUP($A814,CSV!$A:$A,CSV!AC:AC,""),
_xlpm.MacVal,_xlfn.XLOOKUP($A814,Output_Mac!$A:$A,Output_Mac!U:U,""),
_xlpm.MyAuditVal,_xlfn.XLOOKUP($A814,My_Audit!$A:$A,My_Audit!R:R,""),
_xlfn.IFS(_xlpm.MyAuditVal&lt;&gt;"",UPPER(_xlpm.MyAuditVal),_xlpm.MacVal&lt;&gt;"",_xlpm.MacVal,_xlpm.CSVVal&lt;&gt;"",_xlpm.CSVVal
)),"")</f>
        <v/>
      </c>
      <c r="R814" s="40"/>
      <c r="S814" s="40"/>
      <c r="T814" s="40"/>
      <c r="U814" s="40"/>
      <c r="V814" s="40"/>
      <c r="W814" s="40"/>
      <c r="X814" s="41" t="str">
        <f>_xlfn.LET(
    _xlpm.MacVal, _xlfn.XLOOKUP($A814, Output_Mac!$A:$A, Output_Mac!AB:AB, ""),
    _xlpm.MyAuditVal, _xlfn.XLOOKUP($A814, My_Audit!$A:$A, My_Audit!N:N, ""),
    _xlfn.TEXTJOIN(", ", TRUE, _xlpm.MyAuditVal, _xlpm.MacVal)
)</f>
        <v/>
      </c>
    </row>
    <row r="815" spans="1:24">
      <c r="A815" s="40" t="str">
        <f>_xlfn.TEXTJOIN("",TRUE,Input!$B$2,ROW(My_Audit!A814))</f>
        <v>X814</v>
      </c>
      <c r="B815" s="40" t="str">
        <f>_xlfn.TEXTJOIN("-",TRUE,"ITD",Input!$A$2,A815)</f>
        <v>ITD-X814</v>
      </c>
      <c r="C815" s="40" t="str" cm="1">
        <f t="array" ref="C815">IFERROR(_xlfn.LET(
_xlpm.CSVVal,_xlfn.XLOOKUP($A815,CSV!$A:$A,CSV!B:B,""),
_xlpm.MacVal,_xlfn.XLOOKUP($A815,Output_Mac!$A:$A,Output_Mac!B:B,""),
_xlpm.MyAuditVal,_xlfn.XLOOKUP($A815,My_Audit!$A:$A,My_Audit!B:B,""),
_xlfn.IFS(_xlpm.MyAuditVal&lt;&gt;"",UPPER(_xlpm.MyAuditVal),_xlpm.MacVal&lt;&gt;"",_xlpm.MacVal,_xlpm.CSVVal&lt;&gt;"",_xlpm.CSVVal
)),"")</f>
        <v/>
      </c>
      <c r="D815" s="40" t="str" cm="1">
        <f t="array" ref="D815">IFERROR(_xlfn.LET(
_xlpm.CSVVal,_xlfn.XLOOKUP($A815,CSV!$A:$A,CSV!D:D,""),
_xlpm.MacVal,_xlfn.XLOOKUP($A815,Output_Mac!$A:$A,Output_Mac!C:C,""),
_xlpm.MyAuditVal,_xlfn.XLOOKUP($A815,My_Audit!$A:$A,My_Audit!C:C,""),
_xlfn.IFS(_xlpm.MyAuditVal&lt;&gt;"",_xlpm.MyAuditVal,_xlpm.MacVal&lt;&gt;"",_xlpm.MacVal,_xlpm.CSVVal&lt;&gt;"",_xlpm.CSVVal
)),"")</f>
        <v/>
      </c>
      <c r="E815" s="40" t="str">
        <f>_xlfn.XLOOKUP(A815,My_Audit!A:A,My_Audit!D:D,"")</f>
        <v/>
      </c>
      <c r="F815" s="40" t="str" cm="1">
        <f t="array" ref="F815">IFERROR(_xlfn.LET(
_xlpm.CSVVal,_xlfn.XLOOKUP($A815,CSV!$A:$A,CSV!F:F,""),
_xlpm.MacVal,_xlfn.XLOOKUP($A815,Output_Mac!$A:$A,Output_Mac!E:E,""),
_xlpm.MyAuditVal,_xlfn.XLOOKUP($A815,My_Audit!$A:$A,My_Audit!E:E,""),
_xlfn.IFS(_xlpm.MyAuditVal&lt;&gt;"",_xlpm.MyAuditVal,_xlpm.MacVal&lt;&gt;"",_xlpm.MacVal,_xlpm.CSVVal&lt;&gt;"",_xlpm.CSVVal
)),"")</f>
        <v/>
      </c>
      <c r="G815" s="40" t="str" cm="1">
        <f t="array" ref="G815">IFERROR(_xlfn.LET(
_xlpm.CSVVal,_xlfn.XLOOKUP($A815,CSV!$A:$A,CSV!G:G,""),
_xlpm.MacVal,_xlfn.XLOOKUP($A815,Output_Mac!$A:$A,Output_Mac!F:F,""),
_xlpm.MyAuditVal,_xlfn.XLOOKUP($A815,My_Audit!$A:$A,My_Audit!F:F,""),
_xlfn.IFS(_xlpm.MyAuditVal&lt;&gt;"",_xlpm.MyAuditVal,_xlpm.MacVal&lt;&gt;"",_xlpm.MacVal,_xlpm.CSVVal&lt;&gt;"",PROPER(_xlpm.CSVVal)
)),"")</f>
        <v/>
      </c>
      <c r="H815" s="40" t="str" cm="1">
        <f t="array" ref="H815">IFERROR(_xlfn.LET(
_xlpm.CSVVal,_xlfn.XLOOKUP($A815,CSV!$A:$A,CSV!H:H,""),
_xlpm.MacVal,_xlfn.XLOOKUP($A815,Output_Mac!$A:$A,Output_Mac!H:H,""),
_xlpm.MyAuditVal,_xlfn.XLOOKUP($A815,My_Audit!$A:$A,My_Audit!G:G,""),
_xlfn.IFS(_xlpm.MyAuditVal&lt;&gt;"",_xlpm.MyAuditVal,_xlpm.MacVal&lt;&gt;"",_xlpm.MacVal,_xlpm.CSVVal&lt;&gt;"",_xlpm.CSVVal
)),"")</f>
        <v/>
      </c>
      <c r="I815" s="40" t="str">
        <f>_xlfn.XLOOKUP(A815,Output_Mac!A:A,Output_Mac!I:I,"")</f>
        <v/>
      </c>
      <c r="J815" s="40" t="str" cm="1">
        <f t="array" ref="J815">IFERROR(_xlfn.LET(
_xlpm.CSVVal,_xlfn.XLOOKUP($A815,CSV!$A:$A,CSV!I:I,""),
_xlpm.MacVal,_xlfn.XLOOKUP($A815,Output_Mac!$A:$A,Output_Mac!J:J,""),
_xlpm.MyAuditVal,_xlfn.XLOOKUP($A815,My_Audit!$A:$A,My_Audit!I:I,""),
_xlfn.IFS(_xlpm.MyAuditVal&lt;&gt;"",UPPER(_xlpm.MyAuditVal),_xlpm.MacVal&lt;&gt;"",_xlpm.MacVal,_xlpm.CSVVal&lt;&gt;"",_xlpm.CSVVal
)),"")</f>
        <v/>
      </c>
      <c r="K815" s="40" t="str" cm="1">
        <f t="array" ref="K815">IFERROR(_xlfn.LET(
_xlpm.CSVVal,_xlfn.XLOOKUP($A815,CSV!$A:$A,CSV!K:K,""),
_xlpm.MacVal,_xlfn.XLOOKUP($A815,Output_Mac!$A:$A,Output_Mac!K:K,""),
_xlpm.MyAuditVal,_xlfn.XLOOKUP($A815,My_Audit!$A:$A,My_Audit!J:J,""),
_xlfn.IFS(_xlpm.MyAuditVal&lt;&gt;"",UPPER(_xlpm.MyAuditVal),_xlpm.MacVal&lt;&gt;"",_xlpm.MacVal,_xlpm.CSVVal&lt;&gt;"",_xlpm.CSVVal
)),"")</f>
        <v/>
      </c>
      <c r="L815" s="40" t="str" cm="1">
        <f t="array" ref="L815">IFERROR(_xlfn.LET(
_xlpm.CSVVal,_xlfn.XLOOKUP($A815,CSV!$A:$A,CSV!P:P,""),
_xlpm.MacVal,_xlfn.XLOOKUP($A815,Output_Mac!$A:$A,Output_Mac!L:L,""),
_xlpm.MyAuditVal,_xlfn.XLOOKUP($A815,My_Audit!$A:$A,My_Audit!K:K,""),
_xlfn.IFS(_xlpm.MyAuditVal&lt;&gt;"",UPPER(_xlpm.MyAuditVal),_xlpm.MacVal&lt;&gt;"",_xlpm.MacVal,_xlpm.CSVVal&lt;&gt;"",_xlpm.CSVVal
)),"")</f>
        <v/>
      </c>
      <c r="M815" s="40" t="str" cm="1">
        <f t="array" ref="M815">IFERROR(_xlfn.LET(
_xlpm.CSVVal,_xlfn.XLOOKUP($A815,CSV!$A:$A,CSV!Q:Q,""),
_xlpm.MacVal,_xlfn.XLOOKUP($A815,Output_Mac!$A:$A,Output_Mac!M:M,""),
_xlpm.MyAuditVal,_xlfn.XLOOKUP($A815,My_Audit!$A:$A,My_Audit!L:L,""),
_xlfn.IFS(_xlpm.MyAuditVal&lt;&gt;"",UPPER(_xlpm.MyAuditVal),_xlpm.MacVal&lt;&gt;"",_xlpm.MacVal,_xlpm.CSVVal&lt;&gt;"",_xlpm.CSVVal
)),"")</f>
        <v/>
      </c>
      <c r="N815" s="40"/>
      <c r="O815" s="40" t="str">
        <f>_xlfn.LET(
    _xlpm.CSVVal, _xlfn.XLOOKUP($A815, CSV!$A:$A, CSV!AA:AA, ""),
    _xlpm.MacVal, _xlfn.XLOOKUP($A815, Output_Mac!$A:$A, Output_Mac!S:S, ""),
    _xlpm.MyAuditVal, _xlfn.XLOOKUP($A815, My_Audit!$A:$A, My_Audit!P:P, ""),
    _xlfn.TEXTJOIN(", ", TRUE, _xlpm.MyAuditVal, _xlpm.MacVal, _xlpm.CSVVal)
)</f>
        <v/>
      </c>
      <c r="P815" s="40" t="str" cm="1">
        <f t="array" ref="P815">IFERROR(_xlfn.LET(
_xlpm.CSVVal,_xlfn.XLOOKUP($A815,CSV!$A:$A,CSV!AB:AB,""),
_xlpm.MacVal,_xlfn.XLOOKUP($A815,Output_Mac!$A:$A,Output_Mac!T:T,""),
_xlpm.MyAuditVal,_xlfn.XLOOKUP($A815,My_Audit!$A:$A,My_Audit!Q:Q,""),
_xlfn.IFS(_xlpm.MyAuditVal&lt;&gt;"",UPPER(_xlpm.MyAuditVal),_xlpm.MacVal&lt;&gt;"",_xlpm.MacVal,_xlpm.CSVVal&lt;&gt;"",_xlpm.CSVVal
)),"No")</f>
        <v>No</v>
      </c>
      <c r="Q815" s="40" t="str" cm="1">
        <f t="array" ref="Q815">IFERROR(_xlfn.LET(
_xlpm.CSVVal,_xlfn.XLOOKUP($A815,CSV!$A:$A,CSV!AC:AC,""),
_xlpm.MacVal,_xlfn.XLOOKUP($A815,Output_Mac!$A:$A,Output_Mac!U:U,""),
_xlpm.MyAuditVal,_xlfn.XLOOKUP($A815,My_Audit!$A:$A,My_Audit!R:R,""),
_xlfn.IFS(_xlpm.MyAuditVal&lt;&gt;"",UPPER(_xlpm.MyAuditVal),_xlpm.MacVal&lt;&gt;"",_xlpm.MacVal,_xlpm.CSVVal&lt;&gt;"",_xlpm.CSVVal
)),"")</f>
        <v/>
      </c>
      <c r="R815" s="40"/>
      <c r="S815" s="40"/>
      <c r="T815" s="40"/>
      <c r="U815" s="40"/>
      <c r="V815" s="40"/>
      <c r="W815" s="40"/>
      <c r="X815" s="41" t="str">
        <f>_xlfn.LET(
    _xlpm.MacVal, _xlfn.XLOOKUP($A815, Output_Mac!$A:$A, Output_Mac!AB:AB, ""),
    _xlpm.MyAuditVal, _xlfn.XLOOKUP($A815, My_Audit!$A:$A, My_Audit!N:N, ""),
    _xlfn.TEXTJOIN(", ", TRUE, _xlpm.MyAuditVal, _xlpm.MacVal)
)</f>
        <v/>
      </c>
    </row>
    <row r="816" spans="1:24">
      <c r="A816" s="40" t="str">
        <f>_xlfn.TEXTJOIN("",TRUE,Input!$B$2,ROW(My_Audit!A815))</f>
        <v>X815</v>
      </c>
      <c r="B816" s="40" t="str">
        <f>_xlfn.TEXTJOIN("-",TRUE,"ITD",Input!$A$2,A816)</f>
        <v>ITD-X815</v>
      </c>
      <c r="C816" s="40" t="str" cm="1">
        <f t="array" ref="C816">IFERROR(_xlfn.LET(
_xlpm.CSVVal,_xlfn.XLOOKUP($A816,CSV!$A:$A,CSV!B:B,""),
_xlpm.MacVal,_xlfn.XLOOKUP($A816,Output_Mac!$A:$A,Output_Mac!B:B,""),
_xlpm.MyAuditVal,_xlfn.XLOOKUP($A816,My_Audit!$A:$A,My_Audit!B:B,""),
_xlfn.IFS(_xlpm.MyAuditVal&lt;&gt;"",UPPER(_xlpm.MyAuditVal),_xlpm.MacVal&lt;&gt;"",_xlpm.MacVal,_xlpm.CSVVal&lt;&gt;"",_xlpm.CSVVal
)),"")</f>
        <v/>
      </c>
      <c r="D816" s="40" t="str" cm="1">
        <f t="array" ref="D816">IFERROR(_xlfn.LET(
_xlpm.CSVVal,_xlfn.XLOOKUP($A816,CSV!$A:$A,CSV!D:D,""),
_xlpm.MacVal,_xlfn.XLOOKUP($A816,Output_Mac!$A:$A,Output_Mac!C:C,""),
_xlpm.MyAuditVal,_xlfn.XLOOKUP($A816,My_Audit!$A:$A,My_Audit!C:C,""),
_xlfn.IFS(_xlpm.MyAuditVal&lt;&gt;"",_xlpm.MyAuditVal,_xlpm.MacVal&lt;&gt;"",_xlpm.MacVal,_xlpm.CSVVal&lt;&gt;"",_xlpm.CSVVal
)),"")</f>
        <v/>
      </c>
      <c r="E816" s="40" t="str">
        <f>_xlfn.XLOOKUP(A816,My_Audit!A:A,My_Audit!D:D,"")</f>
        <v/>
      </c>
      <c r="F816" s="40" t="str" cm="1">
        <f t="array" ref="F816">IFERROR(_xlfn.LET(
_xlpm.CSVVal,_xlfn.XLOOKUP($A816,CSV!$A:$A,CSV!F:F,""),
_xlpm.MacVal,_xlfn.XLOOKUP($A816,Output_Mac!$A:$A,Output_Mac!E:E,""),
_xlpm.MyAuditVal,_xlfn.XLOOKUP($A816,My_Audit!$A:$A,My_Audit!E:E,""),
_xlfn.IFS(_xlpm.MyAuditVal&lt;&gt;"",_xlpm.MyAuditVal,_xlpm.MacVal&lt;&gt;"",_xlpm.MacVal,_xlpm.CSVVal&lt;&gt;"",_xlpm.CSVVal
)),"")</f>
        <v/>
      </c>
      <c r="G816" s="40" t="str" cm="1">
        <f t="array" ref="G816">IFERROR(_xlfn.LET(
_xlpm.CSVVal,_xlfn.XLOOKUP($A816,CSV!$A:$A,CSV!G:G,""),
_xlpm.MacVal,_xlfn.XLOOKUP($A816,Output_Mac!$A:$A,Output_Mac!F:F,""),
_xlpm.MyAuditVal,_xlfn.XLOOKUP($A816,My_Audit!$A:$A,My_Audit!F:F,""),
_xlfn.IFS(_xlpm.MyAuditVal&lt;&gt;"",_xlpm.MyAuditVal,_xlpm.MacVal&lt;&gt;"",_xlpm.MacVal,_xlpm.CSVVal&lt;&gt;"",PROPER(_xlpm.CSVVal)
)),"")</f>
        <v/>
      </c>
      <c r="H816" s="40" t="str" cm="1">
        <f t="array" ref="H816">IFERROR(_xlfn.LET(
_xlpm.CSVVal,_xlfn.XLOOKUP($A816,CSV!$A:$A,CSV!H:H,""),
_xlpm.MacVal,_xlfn.XLOOKUP($A816,Output_Mac!$A:$A,Output_Mac!H:H,""),
_xlpm.MyAuditVal,_xlfn.XLOOKUP($A816,My_Audit!$A:$A,My_Audit!G:G,""),
_xlfn.IFS(_xlpm.MyAuditVal&lt;&gt;"",_xlpm.MyAuditVal,_xlpm.MacVal&lt;&gt;"",_xlpm.MacVal,_xlpm.CSVVal&lt;&gt;"",_xlpm.CSVVal
)),"")</f>
        <v/>
      </c>
      <c r="I816" s="40" t="str">
        <f>_xlfn.XLOOKUP(A816,Output_Mac!A:A,Output_Mac!I:I,"")</f>
        <v/>
      </c>
      <c r="J816" s="40" t="str" cm="1">
        <f t="array" ref="J816">IFERROR(_xlfn.LET(
_xlpm.CSVVal,_xlfn.XLOOKUP($A816,CSV!$A:$A,CSV!I:I,""),
_xlpm.MacVal,_xlfn.XLOOKUP($A816,Output_Mac!$A:$A,Output_Mac!J:J,""),
_xlpm.MyAuditVal,_xlfn.XLOOKUP($A816,My_Audit!$A:$A,My_Audit!I:I,""),
_xlfn.IFS(_xlpm.MyAuditVal&lt;&gt;"",UPPER(_xlpm.MyAuditVal),_xlpm.MacVal&lt;&gt;"",_xlpm.MacVal,_xlpm.CSVVal&lt;&gt;"",_xlpm.CSVVal
)),"")</f>
        <v/>
      </c>
      <c r="K816" s="40" t="str" cm="1">
        <f t="array" ref="K816">IFERROR(_xlfn.LET(
_xlpm.CSVVal,_xlfn.XLOOKUP($A816,CSV!$A:$A,CSV!K:K,""),
_xlpm.MacVal,_xlfn.XLOOKUP($A816,Output_Mac!$A:$A,Output_Mac!K:K,""),
_xlpm.MyAuditVal,_xlfn.XLOOKUP($A816,My_Audit!$A:$A,My_Audit!J:J,""),
_xlfn.IFS(_xlpm.MyAuditVal&lt;&gt;"",UPPER(_xlpm.MyAuditVal),_xlpm.MacVal&lt;&gt;"",_xlpm.MacVal,_xlpm.CSVVal&lt;&gt;"",_xlpm.CSVVal
)),"")</f>
        <v/>
      </c>
      <c r="L816" s="40" t="str" cm="1">
        <f t="array" ref="L816">IFERROR(_xlfn.LET(
_xlpm.CSVVal,_xlfn.XLOOKUP($A816,CSV!$A:$A,CSV!P:P,""),
_xlpm.MacVal,_xlfn.XLOOKUP($A816,Output_Mac!$A:$A,Output_Mac!L:L,""),
_xlpm.MyAuditVal,_xlfn.XLOOKUP($A816,My_Audit!$A:$A,My_Audit!K:K,""),
_xlfn.IFS(_xlpm.MyAuditVal&lt;&gt;"",UPPER(_xlpm.MyAuditVal),_xlpm.MacVal&lt;&gt;"",_xlpm.MacVal,_xlpm.CSVVal&lt;&gt;"",_xlpm.CSVVal
)),"")</f>
        <v/>
      </c>
      <c r="M816" s="40" t="str" cm="1">
        <f t="array" ref="M816">IFERROR(_xlfn.LET(
_xlpm.CSVVal,_xlfn.XLOOKUP($A816,CSV!$A:$A,CSV!Q:Q,""),
_xlpm.MacVal,_xlfn.XLOOKUP($A816,Output_Mac!$A:$A,Output_Mac!M:M,""),
_xlpm.MyAuditVal,_xlfn.XLOOKUP($A816,My_Audit!$A:$A,My_Audit!L:L,""),
_xlfn.IFS(_xlpm.MyAuditVal&lt;&gt;"",UPPER(_xlpm.MyAuditVal),_xlpm.MacVal&lt;&gt;"",_xlpm.MacVal,_xlpm.CSVVal&lt;&gt;"",_xlpm.CSVVal
)),"")</f>
        <v/>
      </c>
      <c r="N816" s="40"/>
      <c r="O816" s="40" t="str">
        <f>_xlfn.LET(
    _xlpm.CSVVal, _xlfn.XLOOKUP($A816, CSV!$A:$A, CSV!AA:AA, ""),
    _xlpm.MacVal, _xlfn.XLOOKUP($A816, Output_Mac!$A:$A, Output_Mac!S:S, ""),
    _xlpm.MyAuditVal, _xlfn.XLOOKUP($A816, My_Audit!$A:$A, My_Audit!P:P, ""),
    _xlfn.TEXTJOIN(", ", TRUE, _xlpm.MyAuditVal, _xlpm.MacVal, _xlpm.CSVVal)
)</f>
        <v/>
      </c>
      <c r="P816" s="40" t="str" cm="1">
        <f t="array" ref="P816">IFERROR(_xlfn.LET(
_xlpm.CSVVal,_xlfn.XLOOKUP($A816,CSV!$A:$A,CSV!AB:AB,""),
_xlpm.MacVal,_xlfn.XLOOKUP($A816,Output_Mac!$A:$A,Output_Mac!T:T,""),
_xlpm.MyAuditVal,_xlfn.XLOOKUP($A816,My_Audit!$A:$A,My_Audit!Q:Q,""),
_xlfn.IFS(_xlpm.MyAuditVal&lt;&gt;"",UPPER(_xlpm.MyAuditVal),_xlpm.MacVal&lt;&gt;"",_xlpm.MacVal,_xlpm.CSVVal&lt;&gt;"",_xlpm.CSVVal
)),"No")</f>
        <v>No</v>
      </c>
      <c r="Q816" s="40" t="str" cm="1">
        <f t="array" ref="Q816">IFERROR(_xlfn.LET(
_xlpm.CSVVal,_xlfn.XLOOKUP($A816,CSV!$A:$A,CSV!AC:AC,""),
_xlpm.MacVal,_xlfn.XLOOKUP($A816,Output_Mac!$A:$A,Output_Mac!U:U,""),
_xlpm.MyAuditVal,_xlfn.XLOOKUP($A816,My_Audit!$A:$A,My_Audit!R:R,""),
_xlfn.IFS(_xlpm.MyAuditVal&lt;&gt;"",UPPER(_xlpm.MyAuditVal),_xlpm.MacVal&lt;&gt;"",_xlpm.MacVal,_xlpm.CSVVal&lt;&gt;"",_xlpm.CSVVal
)),"")</f>
        <v/>
      </c>
      <c r="R816" s="40"/>
      <c r="S816" s="40"/>
      <c r="T816" s="40"/>
      <c r="U816" s="40"/>
      <c r="V816" s="40"/>
      <c r="W816" s="40"/>
      <c r="X816" s="41" t="str">
        <f>_xlfn.LET(
    _xlpm.MacVal, _xlfn.XLOOKUP($A816, Output_Mac!$A:$A, Output_Mac!AB:AB, ""),
    _xlpm.MyAuditVal, _xlfn.XLOOKUP($A816, My_Audit!$A:$A, My_Audit!N:N, ""),
    _xlfn.TEXTJOIN(", ", TRUE, _xlpm.MyAuditVal, _xlpm.MacVal)
)</f>
        <v/>
      </c>
    </row>
    <row r="817" spans="1:24">
      <c r="A817" s="40" t="str">
        <f>_xlfn.TEXTJOIN("",TRUE,Input!$B$2,ROW(My_Audit!A816))</f>
        <v>X816</v>
      </c>
      <c r="B817" s="40" t="str">
        <f>_xlfn.TEXTJOIN("-",TRUE,"ITD",Input!$A$2,A817)</f>
        <v>ITD-X816</v>
      </c>
      <c r="C817" s="40" t="str" cm="1">
        <f t="array" ref="C817">IFERROR(_xlfn.LET(
_xlpm.CSVVal,_xlfn.XLOOKUP($A817,CSV!$A:$A,CSV!B:B,""),
_xlpm.MacVal,_xlfn.XLOOKUP($A817,Output_Mac!$A:$A,Output_Mac!B:B,""),
_xlpm.MyAuditVal,_xlfn.XLOOKUP($A817,My_Audit!$A:$A,My_Audit!B:B,""),
_xlfn.IFS(_xlpm.MyAuditVal&lt;&gt;"",UPPER(_xlpm.MyAuditVal),_xlpm.MacVal&lt;&gt;"",_xlpm.MacVal,_xlpm.CSVVal&lt;&gt;"",_xlpm.CSVVal
)),"")</f>
        <v/>
      </c>
      <c r="D817" s="40" t="str" cm="1">
        <f t="array" ref="D817">IFERROR(_xlfn.LET(
_xlpm.CSVVal,_xlfn.XLOOKUP($A817,CSV!$A:$A,CSV!D:D,""),
_xlpm.MacVal,_xlfn.XLOOKUP($A817,Output_Mac!$A:$A,Output_Mac!C:C,""),
_xlpm.MyAuditVal,_xlfn.XLOOKUP($A817,My_Audit!$A:$A,My_Audit!C:C,""),
_xlfn.IFS(_xlpm.MyAuditVal&lt;&gt;"",_xlpm.MyAuditVal,_xlpm.MacVal&lt;&gt;"",_xlpm.MacVal,_xlpm.CSVVal&lt;&gt;"",_xlpm.CSVVal
)),"")</f>
        <v/>
      </c>
      <c r="E817" s="40" t="str">
        <f>_xlfn.XLOOKUP(A817,My_Audit!A:A,My_Audit!D:D,"")</f>
        <v/>
      </c>
      <c r="F817" s="40" t="str" cm="1">
        <f t="array" ref="F817">IFERROR(_xlfn.LET(
_xlpm.CSVVal,_xlfn.XLOOKUP($A817,CSV!$A:$A,CSV!F:F,""),
_xlpm.MacVal,_xlfn.XLOOKUP($A817,Output_Mac!$A:$A,Output_Mac!E:E,""),
_xlpm.MyAuditVal,_xlfn.XLOOKUP($A817,My_Audit!$A:$A,My_Audit!E:E,""),
_xlfn.IFS(_xlpm.MyAuditVal&lt;&gt;"",_xlpm.MyAuditVal,_xlpm.MacVal&lt;&gt;"",_xlpm.MacVal,_xlpm.CSVVal&lt;&gt;"",_xlpm.CSVVal
)),"")</f>
        <v/>
      </c>
      <c r="G817" s="40" t="str" cm="1">
        <f t="array" ref="G817">IFERROR(_xlfn.LET(
_xlpm.CSVVal,_xlfn.XLOOKUP($A817,CSV!$A:$A,CSV!G:G,""),
_xlpm.MacVal,_xlfn.XLOOKUP($A817,Output_Mac!$A:$A,Output_Mac!F:F,""),
_xlpm.MyAuditVal,_xlfn.XLOOKUP($A817,My_Audit!$A:$A,My_Audit!F:F,""),
_xlfn.IFS(_xlpm.MyAuditVal&lt;&gt;"",_xlpm.MyAuditVal,_xlpm.MacVal&lt;&gt;"",_xlpm.MacVal,_xlpm.CSVVal&lt;&gt;"",PROPER(_xlpm.CSVVal)
)),"")</f>
        <v/>
      </c>
      <c r="H817" s="40" t="str" cm="1">
        <f t="array" ref="H817">IFERROR(_xlfn.LET(
_xlpm.CSVVal,_xlfn.XLOOKUP($A817,CSV!$A:$A,CSV!H:H,""),
_xlpm.MacVal,_xlfn.XLOOKUP($A817,Output_Mac!$A:$A,Output_Mac!H:H,""),
_xlpm.MyAuditVal,_xlfn.XLOOKUP($A817,My_Audit!$A:$A,My_Audit!G:G,""),
_xlfn.IFS(_xlpm.MyAuditVal&lt;&gt;"",_xlpm.MyAuditVal,_xlpm.MacVal&lt;&gt;"",_xlpm.MacVal,_xlpm.CSVVal&lt;&gt;"",_xlpm.CSVVal
)),"")</f>
        <v/>
      </c>
      <c r="I817" s="40" t="str">
        <f>_xlfn.XLOOKUP(A817,Output_Mac!A:A,Output_Mac!I:I,"")</f>
        <v/>
      </c>
      <c r="J817" s="40" t="str" cm="1">
        <f t="array" ref="J817">IFERROR(_xlfn.LET(
_xlpm.CSVVal,_xlfn.XLOOKUP($A817,CSV!$A:$A,CSV!I:I,""),
_xlpm.MacVal,_xlfn.XLOOKUP($A817,Output_Mac!$A:$A,Output_Mac!J:J,""),
_xlpm.MyAuditVal,_xlfn.XLOOKUP($A817,My_Audit!$A:$A,My_Audit!I:I,""),
_xlfn.IFS(_xlpm.MyAuditVal&lt;&gt;"",UPPER(_xlpm.MyAuditVal),_xlpm.MacVal&lt;&gt;"",_xlpm.MacVal,_xlpm.CSVVal&lt;&gt;"",_xlpm.CSVVal
)),"")</f>
        <v/>
      </c>
      <c r="K817" s="40" t="str" cm="1">
        <f t="array" ref="K817">IFERROR(_xlfn.LET(
_xlpm.CSVVal,_xlfn.XLOOKUP($A817,CSV!$A:$A,CSV!K:K,""),
_xlpm.MacVal,_xlfn.XLOOKUP($A817,Output_Mac!$A:$A,Output_Mac!K:K,""),
_xlpm.MyAuditVal,_xlfn.XLOOKUP($A817,My_Audit!$A:$A,My_Audit!J:J,""),
_xlfn.IFS(_xlpm.MyAuditVal&lt;&gt;"",UPPER(_xlpm.MyAuditVal),_xlpm.MacVal&lt;&gt;"",_xlpm.MacVal,_xlpm.CSVVal&lt;&gt;"",_xlpm.CSVVal
)),"")</f>
        <v/>
      </c>
      <c r="L817" s="40" t="str" cm="1">
        <f t="array" ref="L817">IFERROR(_xlfn.LET(
_xlpm.CSVVal,_xlfn.XLOOKUP($A817,CSV!$A:$A,CSV!P:P,""),
_xlpm.MacVal,_xlfn.XLOOKUP($A817,Output_Mac!$A:$A,Output_Mac!L:L,""),
_xlpm.MyAuditVal,_xlfn.XLOOKUP($A817,My_Audit!$A:$A,My_Audit!K:K,""),
_xlfn.IFS(_xlpm.MyAuditVal&lt;&gt;"",UPPER(_xlpm.MyAuditVal),_xlpm.MacVal&lt;&gt;"",_xlpm.MacVal,_xlpm.CSVVal&lt;&gt;"",_xlpm.CSVVal
)),"")</f>
        <v/>
      </c>
      <c r="M817" s="40" t="str" cm="1">
        <f t="array" ref="M817">IFERROR(_xlfn.LET(
_xlpm.CSVVal,_xlfn.XLOOKUP($A817,CSV!$A:$A,CSV!Q:Q,""),
_xlpm.MacVal,_xlfn.XLOOKUP($A817,Output_Mac!$A:$A,Output_Mac!M:M,""),
_xlpm.MyAuditVal,_xlfn.XLOOKUP($A817,My_Audit!$A:$A,My_Audit!L:L,""),
_xlfn.IFS(_xlpm.MyAuditVal&lt;&gt;"",UPPER(_xlpm.MyAuditVal),_xlpm.MacVal&lt;&gt;"",_xlpm.MacVal,_xlpm.CSVVal&lt;&gt;"",_xlpm.CSVVal
)),"")</f>
        <v/>
      </c>
      <c r="N817" s="40"/>
      <c r="O817" s="40" t="str">
        <f>_xlfn.LET(
    _xlpm.CSVVal, _xlfn.XLOOKUP($A817, CSV!$A:$A, CSV!AA:AA, ""),
    _xlpm.MacVal, _xlfn.XLOOKUP($A817, Output_Mac!$A:$A, Output_Mac!S:S, ""),
    _xlpm.MyAuditVal, _xlfn.XLOOKUP($A817, My_Audit!$A:$A, My_Audit!P:P, ""),
    _xlfn.TEXTJOIN(", ", TRUE, _xlpm.MyAuditVal, _xlpm.MacVal, _xlpm.CSVVal)
)</f>
        <v/>
      </c>
      <c r="P817" s="40" t="str" cm="1">
        <f t="array" ref="P817">IFERROR(_xlfn.LET(
_xlpm.CSVVal,_xlfn.XLOOKUP($A817,CSV!$A:$A,CSV!AB:AB,""),
_xlpm.MacVal,_xlfn.XLOOKUP($A817,Output_Mac!$A:$A,Output_Mac!T:T,""),
_xlpm.MyAuditVal,_xlfn.XLOOKUP($A817,My_Audit!$A:$A,My_Audit!Q:Q,""),
_xlfn.IFS(_xlpm.MyAuditVal&lt;&gt;"",UPPER(_xlpm.MyAuditVal),_xlpm.MacVal&lt;&gt;"",_xlpm.MacVal,_xlpm.CSVVal&lt;&gt;"",_xlpm.CSVVal
)),"No")</f>
        <v>No</v>
      </c>
      <c r="Q817" s="40" t="str" cm="1">
        <f t="array" ref="Q817">IFERROR(_xlfn.LET(
_xlpm.CSVVal,_xlfn.XLOOKUP($A817,CSV!$A:$A,CSV!AC:AC,""),
_xlpm.MacVal,_xlfn.XLOOKUP($A817,Output_Mac!$A:$A,Output_Mac!U:U,""),
_xlpm.MyAuditVal,_xlfn.XLOOKUP($A817,My_Audit!$A:$A,My_Audit!R:R,""),
_xlfn.IFS(_xlpm.MyAuditVal&lt;&gt;"",UPPER(_xlpm.MyAuditVal),_xlpm.MacVal&lt;&gt;"",_xlpm.MacVal,_xlpm.CSVVal&lt;&gt;"",_xlpm.CSVVal
)),"")</f>
        <v/>
      </c>
      <c r="R817" s="40"/>
      <c r="S817" s="40"/>
      <c r="T817" s="40"/>
      <c r="U817" s="40"/>
      <c r="V817" s="40"/>
      <c r="W817" s="40"/>
      <c r="X817" s="41" t="str">
        <f>_xlfn.LET(
    _xlpm.MacVal, _xlfn.XLOOKUP($A817, Output_Mac!$A:$A, Output_Mac!AB:AB, ""),
    _xlpm.MyAuditVal, _xlfn.XLOOKUP($A817, My_Audit!$A:$A, My_Audit!N:N, ""),
    _xlfn.TEXTJOIN(", ", TRUE, _xlpm.MyAuditVal, _xlpm.MacVal)
)</f>
        <v/>
      </c>
    </row>
    <row r="818" spans="1:24">
      <c r="A818" s="40" t="str">
        <f>_xlfn.TEXTJOIN("",TRUE,Input!$B$2,ROW(My_Audit!A817))</f>
        <v>X817</v>
      </c>
      <c r="B818" s="40" t="str">
        <f>_xlfn.TEXTJOIN("-",TRUE,"ITD",Input!$A$2,A818)</f>
        <v>ITD-X817</v>
      </c>
      <c r="C818" s="40" t="str" cm="1">
        <f t="array" ref="C818">IFERROR(_xlfn.LET(
_xlpm.CSVVal,_xlfn.XLOOKUP($A818,CSV!$A:$A,CSV!B:B,""),
_xlpm.MacVal,_xlfn.XLOOKUP($A818,Output_Mac!$A:$A,Output_Mac!B:B,""),
_xlpm.MyAuditVal,_xlfn.XLOOKUP($A818,My_Audit!$A:$A,My_Audit!B:B,""),
_xlfn.IFS(_xlpm.MyAuditVal&lt;&gt;"",UPPER(_xlpm.MyAuditVal),_xlpm.MacVal&lt;&gt;"",_xlpm.MacVal,_xlpm.CSVVal&lt;&gt;"",_xlpm.CSVVal
)),"")</f>
        <v/>
      </c>
      <c r="D818" s="40" t="str" cm="1">
        <f t="array" ref="D818">IFERROR(_xlfn.LET(
_xlpm.CSVVal,_xlfn.XLOOKUP($A818,CSV!$A:$A,CSV!D:D,""),
_xlpm.MacVal,_xlfn.XLOOKUP($A818,Output_Mac!$A:$A,Output_Mac!C:C,""),
_xlpm.MyAuditVal,_xlfn.XLOOKUP($A818,My_Audit!$A:$A,My_Audit!C:C,""),
_xlfn.IFS(_xlpm.MyAuditVal&lt;&gt;"",_xlpm.MyAuditVal,_xlpm.MacVal&lt;&gt;"",_xlpm.MacVal,_xlpm.CSVVal&lt;&gt;"",_xlpm.CSVVal
)),"")</f>
        <v/>
      </c>
      <c r="E818" s="40" t="str">
        <f>_xlfn.XLOOKUP(A818,My_Audit!A:A,My_Audit!D:D,"")</f>
        <v/>
      </c>
      <c r="F818" s="40" t="str" cm="1">
        <f t="array" ref="F818">IFERROR(_xlfn.LET(
_xlpm.CSVVal,_xlfn.XLOOKUP($A818,CSV!$A:$A,CSV!F:F,""),
_xlpm.MacVal,_xlfn.XLOOKUP($A818,Output_Mac!$A:$A,Output_Mac!E:E,""),
_xlpm.MyAuditVal,_xlfn.XLOOKUP($A818,My_Audit!$A:$A,My_Audit!E:E,""),
_xlfn.IFS(_xlpm.MyAuditVal&lt;&gt;"",_xlpm.MyAuditVal,_xlpm.MacVal&lt;&gt;"",_xlpm.MacVal,_xlpm.CSVVal&lt;&gt;"",_xlpm.CSVVal
)),"")</f>
        <v/>
      </c>
      <c r="G818" s="40" t="str" cm="1">
        <f t="array" ref="G818">IFERROR(_xlfn.LET(
_xlpm.CSVVal,_xlfn.XLOOKUP($A818,CSV!$A:$A,CSV!G:G,""),
_xlpm.MacVal,_xlfn.XLOOKUP($A818,Output_Mac!$A:$A,Output_Mac!F:F,""),
_xlpm.MyAuditVal,_xlfn.XLOOKUP($A818,My_Audit!$A:$A,My_Audit!F:F,""),
_xlfn.IFS(_xlpm.MyAuditVal&lt;&gt;"",_xlpm.MyAuditVal,_xlpm.MacVal&lt;&gt;"",_xlpm.MacVal,_xlpm.CSVVal&lt;&gt;"",PROPER(_xlpm.CSVVal)
)),"")</f>
        <v/>
      </c>
      <c r="H818" s="40" t="str" cm="1">
        <f t="array" ref="H818">IFERROR(_xlfn.LET(
_xlpm.CSVVal,_xlfn.XLOOKUP($A818,CSV!$A:$A,CSV!H:H,""),
_xlpm.MacVal,_xlfn.XLOOKUP($A818,Output_Mac!$A:$A,Output_Mac!H:H,""),
_xlpm.MyAuditVal,_xlfn.XLOOKUP($A818,My_Audit!$A:$A,My_Audit!G:G,""),
_xlfn.IFS(_xlpm.MyAuditVal&lt;&gt;"",_xlpm.MyAuditVal,_xlpm.MacVal&lt;&gt;"",_xlpm.MacVal,_xlpm.CSVVal&lt;&gt;"",_xlpm.CSVVal
)),"")</f>
        <v/>
      </c>
      <c r="I818" s="40" t="str">
        <f>_xlfn.XLOOKUP(A818,Output_Mac!A:A,Output_Mac!I:I,"")</f>
        <v/>
      </c>
      <c r="J818" s="40" t="str" cm="1">
        <f t="array" ref="J818">IFERROR(_xlfn.LET(
_xlpm.CSVVal,_xlfn.XLOOKUP($A818,CSV!$A:$A,CSV!I:I,""),
_xlpm.MacVal,_xlfn.XLOOKUP($A818,Output_Mac!$A:$A,Output_Mac!J:J,""),
_xlpm.MyAuditVal,_xlfn.XLOOKUP($A818,My_Audit!$A:$A,My_Audit!I:I,""),
_xlfn.IFS(_xlpm.MyAuditVal&lt;&gt;"",UPPER(_xlpm.MyAuditVal),_xlpm.MacVal&lt;&gt;"",_xlpm.MacVal,_xlpm.CSVVal&lt;&gt;"",_xlpm.CSVVal
)),"")</f>
        <v/>
      </c>
      <c r="K818" s="40" t="str" cm="1">
        <f t="array" ref="K818">IFERROR(_xlfn.LET(
_xlpm.CSVVal,_xlfn.XLOOKUP($A818,CSV!$A:$A,CSV!K:K,""),
_xlpm.MacVal,_xlfn.XLOOKUP($A818,Output_Mac!$A:$A,Output_Mac!K:K,""),
_xlpm.MyAuditVal,_xlfn.XLOOKUP($A818,My_Audit!$A:$A,My_Audit!J:J,""),
_xlfn.IFS(_xlpm.MyAuditVal&lt;&gt;"",UPPER(_xlpm.MyAuditVal),_xlpm.MacVal&lt;&gt;"",_xlpm.MacVal,_xlpm.CSVVal&lt;&gt;"",_xlpm.CSVVal
)),"")</f>
        <v/>
      </c>
      <c r="L818" s="40" t="str" cm="1">
        <f t="array" ref="L818">IFERROR(_xlfn.LET(
_xlpm.CSVVal,_xlfn.XLOOKUP($A818,CSV!$A:$A,CSV!P:P,""),
_xlpm.MacVal,_xlfn.XLOOKUP($A818,Output_Mac!$A:$A,Output_Mac!L:L,""),
_xlpm.MyAuditVal,_xlfn.XLOOKUP($A818,My_Audit!$A:$A,My_Audit!K:K,""),
_xlfn.IFS(_xlpm.MyAuditVal&lt;&gt;"",UPPER(_xlpm.MyAuditVal),_xlpm.MacVal&lt;&gt;"",_xlpm.MacVal,_xlpm.CSVVal&lt;&gt;"",_xlpm.CSVVal
)),"")</f>
        <v/>
      </c>
      <c r="M818" s="40" t="str" cm="1">
        <f t="array" ref="M818">IFERROR(_xlfn.LET(
_xlpm.CSVVal,_xlfn.XLOOKUP($A818,CSV!$A:$A,CSV!Q:Q,""),
_xlpm.MacVal,_xlfn.XLOOKUP($A818,Output_Mac!$A:$A,Output_Mac!M:M,""),
_xlpm.MyAuditVal,_xlfn.XLOOKUP($A818,My_Audit!$A:$A,My_Audit!L:L,""),
_xlfn.IFS(_xlpm.MyAuditVal&lt;&gt;"",UPPER(_xlpm.MyAuditVal),_xlpm.MacVal&lt;&gt;"",_xlpm.MacVal,_xlpm.CSVVal&lt;&gt;"",_xlpm.CSVVal
)),"")</f>
        <v/>
      </c>
      <c r="N818" s="40"/>
      <c r="O818" s="40" t="str">
        <f>_xlfn.LET(
    _xlpm.CSVVal, _xlfn.XLOOKUP($A818, CSV!$A:$A, CSV!AA:AA, ""),
    _xlpm.MacVal, _xlfn.XLOOKUP($A818, Output_Mac!$A:$A, Output_Mac!S:S, ""),
    _xlpm.MyAuditVal, _xlfn.XLOOKUP($A818, My_Audit!$A:$A, My_Audit!P:P, ""),
    _xlfn.TEXTJOIN(", ", TRUE, _xlpm.MyAuditVal, _xlpm.MacVal, _xlpm.CSVVal)
)</f>
        <v/>
      </c>
      <c r="P818" s="40" t="str" cm="1">
        <f t="array" ref="P818">IFERROR(_xlfn.LET(
_xlpm.CSVVal,_xlfn.XLOOKUP($A818,CSV!$A:$A,CSV!AB:AB,""),
_xlpm.MacVal,_xlfn.XLOOKUP($A818,Output_Mac!$A:$A,Output_Mac!T:T,""),
_xlpm.MyAuditVal,_xlfn.XLOOKUP($A818,My_Audit!$A:$A,My_Audit!Q:Q,""),
_xlfn.IFS(_xlpm.MyAuditVal&lt;&gt;"",UPPER(_xlpm.MyAuditVal),_xlpm.MacVal&lt;&gt;"",_xlpm.MacVal,_xlpm.CSVVal&lt;&gt;"",_xlpm.CSVVal
)),"No")</f>
        <v>No</v>
      </c>
      <c r="Q818" s="40" t="str" cm="1">
        <f t="array" ref="Q818">IFERROR(_xlfn.LET(
_xlpm.CSVVal,_xlfn.XLOOKUP($A818,CSV!$A:$A,CSV!AC:AC,""),
_xlpm.MacVal,_xlfn.XLOOKUP($A818,Output_Mac!$A:$A,Output_Mac!U:U,""),
_xlpm.MyAuditVal,_xlfn.XLOOKUP($A818,My_Audit!$A:$A,My_Audit!R:R,""),
_xlfn.IFS(_xlpm.MyAuditVal&lt;&gt;"",UPPER(_xlpm.MyAuditVal),_xlpm.MacVal&lt;&gt;"",_xlpm.MacVal,_xlpm.CSVVal&lt;&gt;"",_xlpm.CSVVal
)),"")</f>
        <v/>
      </c>
      <c r="R818" s="40"/>
      <c r="S818" s="40"/>
      <c r="T818" s="40"/>
      <c r="U818" s="40"/>
      <c r="V818" s="40"/>
      <c r="W818" s="40"/>
      <c r="X818" s="41" t="str">
        <f>_xlfn.LET(
    _xlpm.MacVal, _xlfn.XLOOKUP($A818, Output_Mac!$A:$A, Output_Mac!AB:AB, ""),
    _xlpm.MyAuditVal, _xlfn.XLOOKUP($A818, My_Audit!$A:$A, My_Audit!N:N, ""),
    _xlfn.TEXTJOIN(", ", TRUE, _xlpm.MyAuditVal, _xlpm.MacVal)
)</f>
        <v/>
      </c>
    </row>
    <row r="819" spans="1:24">
      <c r="A819" s="40" t="str">
        <f>_xlfn.TEXTJOIN("",TRUE,Input!$B$2,ROW(My_Audit!A818))</f>
        <v>X818</v>
      </c>
      <c r="B819" s="40" t="str">
        <f>_xlfn.TEXTJOIN("-",TRUE,"ITD",Input!$A$2,A819)</f>
        <v>ITD-X818</v>
      </c>
      <c r="C819" s="40" t="str" cm="1">
        <f t="array" ref="C819">IFERROR(_xlfn.LET(
_xlpm.CSVVal,_xlfn.XLOOKUP($A819,CSV!$A:$A,CSV!B:B,""),
_xlpm.MacVal,_xlfn.XLOOKUP($A819,Output_Mac!$A:$A,Output_Mac!B:B,""),
_xlpm.MyAuditVal,_xlfn.XLOOKUP($A819,My_Audit!$A:$A,My_Audit!B:B,""),
_xlfn.IFS(_xlpm.MyAuditVal&lt;&gt;"",UPPER(_xlpm.MyAuditVal),_xlpm.MacVal&lt;&gt;"",_xlpm.MacVal,_xlpm.CSVVal&lt;&gt;"",_xlpm.CSVVal
)),"")</f>
        <v/>
      </c>
      <c r="D819" s="40" t="str" cm="1">
        <f t="array" ref="D819">IFERROR(_xlfn.LET(
_xlpm.CSVVal,_xlfn.XLOOKUP($A819,CSV!$A:$A,CSV!D:D,""),
_xlpm.MacVal,_xlfn.XLOOKUP($A819,Output_Mac!$A:$A,Output_Mac!C:C,""),
_xlpm.MyAuditVal,_xlfn.XLOOKUP($A819,My_Audit!$A:$A,My_Audit!C:C,""),
_xlfn.IFS(_xlpm.MyAuditVal&lt;&gt;"",_xlpm.MyAuditVal,_xlpm.MacVal&lt;&gt;"",_xlpm.MacVal,_xlpm.CSVVal&lt;&gt;"",_xlpm.CSVVal
)),"")</f>
        <v/>
      </c>
      <c r="E819" s="40" t="str">
        <f>_xlfn.XLOOKUP(A819,My_Audit!A:A,My_Audit!D:D,"")</f>
        <v/>
      </c>
      <c r="F819" s="40" t="str" cm="1">
        <f t="array" ref="F819">IFERROR(_xlfn.LET(
_xlpm.CSVVal,_xlfn.XLOOKUP($A819,CSV!$A:$A,CSV!F:F,""),
_xlpm.MacVal,_xlfn.XLOOKUP($A819,Output_Mac!$A:$A,Output_Mac!E:E,""),
_xlpm.MyAuditVal,_xlfn.XLOOKUP($A819,My_Audit!$A:$A,My_Audit!E:E,""),
_xlfn.IFS(_xlpm.MyAuditVal&lt;&gt;"",_xlpm.MyAuditVal,_xlpm.MacVal&lt;&gt;"",_xlpm.MacVal,_xlpm.CSVVal&lt;&gt;"",_xlpm.CSVVal
)),"")</f>
        <v/>
      </c>
      <c r="G819" s="40" t="str" cm="1">
        <f t="array" ref="G819">IFERROR(_xlfn.LET(
_xlpm.CSVVal,_xlfn.XLOOKUP($A819,CSV!$A:$A,CSV!G:G,""),
_xlpm.MacVal,_xlfn.XLOOKUP($A819,Output_Mac!$A:$A,Output_Mac!F:F,""),
_xlpm.MyAuditVal,_xlfn.XLOOKUP($A819,My_Audit!$A:$A,My_Audit!F:F,""),
_xlfn.IFS(_xlpm.MyAuditVal&lt;&gt;"",_xlpm.MyAuditVal,_xlpm.MacVal&lt;&gt;"",_xlpm.MacVal,_xlpm.CSVVal&lt;&gt;"",PROPER(_xlpm.CSVVal)
)),"")</f>
        <v/>
      </c>
      <c r="H819" s="40" t="str" cm="1">
        <f t="array" ref="H819">IFERROR(_xlfn.LET(
_xlpm.CSVVal,_xlfn.XLOOKUP($A819,CSV!$A:$A,CSV!H:H,""),
_xlpm.MacVal,_xlfn.XLOOKUP($A819,Output_Mac!$A:$A,Output_Mac!H:H,""),
_xlpm.MyAuditVal,_xlfn.XLOOKUP($A819,My_Audit!$A:$A,My_Audit!G:G,""),
_xlfn.IFS(_xlpm.MyAuditVal&lt;&gt;"",_xlpm.MyAuditVal,_xlpm.MacVal&lt;&gt;"",_xlpm.MacVal,_xlpm.CSVVal&lt;&gt;"",_xlpm.CSVVal
)),"")</f>
        <v/>
      </c>
      <c r="I819" s="40" t="str">
        <f>_xlfn.XLOOKUP(A819,Output_Mac!A:A,Output_Mac!I:I,"")</f>
        <v/>
      </c>
      <c r="J819" s="40" t="str" cm="1">
        <f t="array" ref="J819">IFERROR(_xlfn.LET(
_xlpm.CSVVal,_xlfn.XLOOKUP($A819,CSV!$A:$A,CSV!I:I,""),
_xlpm.MacVal,_xlfn.XLOOKUP($A819,Output_Mac!$A:$A,Output_Mac!J:J,""),
_xlpm.MyAuditVal,_xlfn.XLOOKUP($A819,My_Audit!$A:$A,My_Audit!I:I,""),
_xlfn.IFS(_xlpm.MyAuditVal&lt;&gt;"",UPPER(_xlpm.MyAuditVal),_xlpm.MacVal&lt;&gt;"",_xlpm.MacVal,_xlpm.CSVVal&lt;&gt;"",_xlpm.CSVVal
)),"")</f>
        <v/>
      </c>
      <c r="K819" s="40" t="str" cm="1">
        <f t="array" ref="K819">IFERROR(_xlfn.LET(
_xlpm.CSVVal,_xlfn.XLOOKUP($A819,CSV!$A:$A,CSV!K:K,""),
_xlpm.MacVal,_xlfn.XLOOKUP($A819,Output_Mac!$A:$A,Output_Mac!K:K,""),
_xlpm.MyAuditVal,_xlfn.XLOOKUP($A819,My_Audit!$A:$A,My_Audit!J:J,""),
_xlfn.IFS(_xlpm.MyAuditVal&lt;&gt;"",UPPER(_xlpm.MyAuditVal),_xlpm.MacVal&lt;&gt;"",_xlpm.MacVal,_xlpm.CSVVal&lt;&gt;"",_xlpm.CSVVal
)),"")</f>
        <v/>
      </c>
      <c r="L819" s="40" t="str" cm="1">
        <f t="array" ref="L819">IFERROR(_xlfn.LET(
_xlpm.CSVVal,_xlfn.XLOOKUP($A819,CSV!$A:$A,CSV!P:P,""),
_xlpm.MacVal,_xlfn.XLOOKUP($A819,Output_Mac!$A:$A,Output_Mac!L:L,""),
_xlpm.MyAuditVal,_xlfn.XLOOKUP($A819,My_Audit!$A:$A,My_Audit!K:K,""),
_xlfn.IFS(_xlpm.MyAuditVal&lt;&gt;"",UPPER(_xlpm.MyAuditVal),_xlpm.MacVal&lt;&gt;"",_xlpm.MacVal,_xlpm.CSVVal&lt;&gt;"",_xlpm.CSVVal
)),"")</f>
        <v/>
      </c>
      <c r="M819" s="40" t="str" cm="1">
        <f t="array" ref="M819">IFERROR(_xlfn.LET(
_xlpm.CSVVal,_xlfn.XLOOKUP($A819,CSV!$A:$A,CSV!Q:Q,""),
_xlpm.MacVal,_xlfn.XLOOKUP($A819,Output_Mac!$A:$A,Output_Mac!M:M,""),
_xlpm.MyAuditVal,_xlfn.XLOOKUP($A819,My_Audit!$A:$A,My_Audit!L:L,""),
_xlfn.IFS(_xlpm.MyAuditVal&lt;&gt;"",UPPER(_xlpm.MyAuditVal),_xlpm.MacVal&lt;&gt;"",_xlpm.MacVal,_xlpm.CSVVal&lt;&gt;"",_xlpm.CSVVal
)),"")</f>
        <v/>
      </c>
      <c r="N819" s="40"/>
      <c r="O819" s="40" t="str">
        <f>_xlfn.LET(
    _xlpm.CSVVal, _xlfn.XLOOKUP($A819, CSV!$A:$A, CSV!AA:AA, ""),
    _xlpm.MacVal, _xlfn.XLOOKUP($A819, Output_Mac!$A:$A, Output_Mac!S:S, ""),
    _xlpm.MyAuditVal, _xlfn.XLOOKUP($A819, My_Audit!$A:$A, My_Audit!P:P, ""),
    _xlfn.TEXTJOIN(", ", TRUE, _xlpm.MyAuditVal, _xlpm.MacVal, _xlpm.CSVVal)
)</f>
        <v/>
      </c>
      <c r="P819" s="40" t="str" cm="1">
        <f t="array" ref="P819">IFERROR(_xlfn.LET(
_xlpm.CSVVal,_xlfn.XLOOKUP($A819,CSV!$A:$A,CSV!AB:AB,""),
_xlpm.MacVal,_xlfn.XLOOKUP($A819,Output_Mac!$A:$A,Output_Mac!T:T,""),
_xlpm.MyAuditVal,_xlfn.XLOOKUP($A819,My_Audit!$A:$A,My_Audit!Q:Q,""),
_xlfn.IFS(_xlpm.MyAuditVal&lt;&gt;"",UPPER(_xlpm.MyAuditVal),_xlpm.MacVal&lt;&gt;"",_xlpm.MacVal,_xlpm.CSVVal&lt;&gt;"",_xlpm.CSVVal
)),"No")</f>
        <v>No</v>
      </c>
      <c r="Q819" s="40" t="str" cm="1">
        <f t="array" ref="Q819">IFERROR(_xlfn.LET(
_xlpm.CSVVal,_xlfn.XLOOKUP($A819,CSV!$A:$A,CSV!AC:AC,""),
_xlpm.MacVal,_xlfn.XLOOKUP($A819,Output_Mac!$A:$A,Output_Mac!U:U,""),
_xlpm.MyAuditVal,_xlfn.XLOOKUP($A819,My_Audit!$A:$A,My_Audit!R:R,""),
_xlfn.IFS(_xlpm.MyAuditVal&lt;&gt;"",UPPER(_xlpm.MyAuditVal),_xlpm.MacVal&lt;&gt;"",_xlpm.MacVal,_xlpm.CSVVal&lt;&gt;"",_xlpm.CSVVal
)),"")</f>
        <v/>
      </c>
      <c r="R819" s="40"/>
      <c r="S819" s="40"/>
      <c r="T819" s="40"/>
      <c r="U819" s="40"/>
      <c r="V819" s="40"/>
      <c r="W819" s="40"/>
      <c r="X819" s="41" t="str">
        <f>_xlfn.LET(
    _xlpm.MacVal, _xlfn.XLOOKUP($A819, Output_Mac!$A:$A, Output_Mac!AB:AB, ""),
    _xlpm.MyAuditVal, _xlfn.XLOOKUP($A819, My_Audit!$A:$A, My_Audit!N:N, ""),
    _xlfn.TEXTJOIN(", ", TRUE, _xlpm.MyAuditVal, _xlpm.MacVal)
)</f>
        <v/>
      </c>
    </row>
    <row r="820" spans="1:24">
      <c r="A820" s="40" t="str">
        <f>_xlfn.TEXTJOIN("",TRUE,Input!$B$2,ROW(My_Audit!A819))</f>
        <v>X819</v>
      </c>
      <c r="B820" s="40" t="str">
        <f>_xlfn.TEXTJOIN("-",TRUE,"ITD",Input!$A$2,A820)</f>
        <v>ITD-X819</v>
      </c>
      <c r="C820" s="40" t="str" cm="1">
        <f t="array" ref="C820">IFERROR(_xlfn.LET(
_xlpm.CSVVal,_xlfn.XLOOKUP($A820,CSV!$A:$A,CSV!B:B,""),
_xlpm.MacVal,_xlfn.XLOOKUP($A820,Output_Mac!$A:$A,Output_Mac!B:B,""),
_xlpm.MyAuditVal,_xlfn.XLOOKUP($A820,My_Audit!$A:$A,My_Audit!B:B,""),
_xlfn.IFS(_xlpm.MyAuditVal&lt;&gt;"",UPPER(_xlpm.MyAuditVal),_xlpm.MacVal&lt;&gt;"",_xlpm.MacVal,_xlpm.CSVVal&lt;&gt;"",_xlpm.CSVVal
)),"")</f>
        <v/>
      </c>
      <c r="D820" s="40" t="str" cm="1">
        <f t="array" ref="D820">IFERROR(_xlfn.LET(
_xlpm.CSVVal,_xlfn.XLOOKUP($A820,CSV!$A:$A,CSV!D:D,""),
_xlpm.MacVal,_xlfn.XLOOKUP($A820,Output_Mac!$A:$A,Output_Mac!C:C,""),
_xlpm.MyAuditVal,_xlfn.XLOOKUP($A820,My_Audit!$A:$A,My_Audit!C:C,""),
_xlfn.IFS(_xlpm.MyAuditVal&lt;&gt;"",_xlpm.MyAuditVal,_xlpm.MacVal&lt;&gt;"",_xlpm.MacVal,_xlpm.CSVVal&lt;&gt;"",_xlpm.CSVVal
)),"")</f>
        <v/>
      </c>
      <c r="E820" s="40" t="str">
        <f>_xlfn.XLOOKUP(A820,My_Audit!A:A,My_Audit!D:D,"")</f>
        <v/>
      </c>
      <c r="F820" s="40" t="str" cm="1">
        <f t="array" ref="F820">IFERROR(_xlfn.LET(
_xlpm.CSVVal,_xlfn.XLOOKUP($A820,CSV!$A:$A,CSV!F:F,""),
_xlpm.MacVal,_xlfn.XLOOKUP($A820,Output_Mac!$A:$A,Output_Mac!E:E,""),
_xlpm.MyAuditVal,_xlfn.XLOOKUP($A820,My_Audit!$A:$A,My_Audit!E:E,""),
_xlfn.IFS(_xlpm.MyAuditVal&lt;&gt;"",_xlpm.MyAuditVal,_xlpm.MacVal&lt;&gt;"",_xlpm.MacVal,_xlpm.CSVVal&lt;&gt;"",_xlpm.CSVVal
)),"")</f>
        <v/>
      </c>
      <c r="G820" s="40" t="str" cm="1">
        <f t="array" ref="G820">IFERROR(_xlfn.LET(
_xlpm.CSVVal,_xlfn.XLOOKUP($A820,CSV!$A:$A,CSV!G:G,""),
_xlpm.MacVal,_xlfn.XLOOKUP($A820,Output_Mac!$A:$A,Output_Mac!F:F,""),
_xlpm.MyAuditVal,_xlfn.XLOOKUP($A820,My_Audit!$A:$A,My_Audit!F:F,""),
_xlfn.IFS(_xlpm.MyAuditVal&lt;&gt;"",_xlpm.MyAuditVal,_xlpm.MacVal&lt;&gt;"",_xlpm.MacVal,_xlpm.CSVVal&lt;&gt;"",PROPER(_xlpm.CSVVal)
)),"")</f>
        <v/>
      </c>
      <c r="H820" s="40" t="str" cm="1">
        <f t="array" ref="H820">IFERROR(_xlfn.LET(
_xlpm.CSVVal,_xlfn.XLOOKUP($A820,CSV!$A:$A,CSV!H:H,""),
_xlpm.MacVal,_xlfn.XLOOKUP($A820,Output_Mac!$A:$A,Output_Mac!H:H,""),
_xlpm.MyAuditVal,_xlfn.XLOOKUP($A820,My_Audit!$A:$A,My_Audit!G:G,""),
_xlfn.IFS(_xlpm.MyAuditVal&lt;&gt;"",_xlpm.MyAuditVal,_xlpm.MacVal&lt;&gt;"",_xlpm.MacVal,_xlpm.CSVVal&lt;&gt;"",_xlpm.CSVVal
)),"")</f>
        <v/>
      </c>
      <c r="I820" s="40" t="str">
        <f>_xlfn.XLOOKUP(A820,Output_Mac!A:A,Output_Mac!I:I,"")</f>
        <v/>
      </c>
      <c r="J820" s="40" t="str" cm="1">
        <f t="array" ref="J820">IFERROR(_xlfn.LET(
_xlpm.CSVVal,_xlfn.XLOOKUP($A820,CSV!$A:$A,CSV!I:I,""),
_xlpm.MacVal,_xlfn.XLOOKUP($A820,Output_Mac!$A:$A,Output_Mac!J:J,""),
_xlpm.MyAuditVal,_xlfn.XLOOKUP($A820,My_Audit!$A:$A,My_Audit!I:I,""),
_xlfn.IFS(_xlpm.MyAuditVal&lt;&gt;"",UPPER(_xlpm.MyAuditVal),_xlpm.MacVal&lt;&gt;"",_xlpm.MacVal,_xlpm.CSVVal&lt;&gt;"",_xlpm.CSVVal
)),"")</f>
        <v/>
      </c>
      <c r="K820" s="40" t="str" cm="1">
        <f t="array" ref="K820">IFERROR(_xlfn.LET(
_xlpm.CSVVal,_xlfn.XLOOKUP($A820,CSV!$A:$A,CSV!K:K,""),
_xlpm.MacVal,_xlfn.XLOOKUP($A820,Output_Mac!$A:$A,Output_Mac!K:K,""),
_xlpm.MyAuditVal,_xlfn.XLOOKUP($A820,My_Audit!$A:$A,My_Audit!J:J,""),
_xlfn.IFS(_xlpm.MyAuditVal&lt;&gt;"",UPPER(_xlpm.MyAuditVal),_xlpm.MacVal&lt;&gt;"",_xlpm.MacVal,_xlpm.CSVVal&lt;&gt;"",_xlpm.CSVVal
)),"")</f>
        <v/>
      </c>
      <c r="L820" s="40" t="str" cm="1">
        <f t="array" ref="L820">IFERROR(_xlfn.LET(
_xlpm.CSVVal,_xlfn.XLOOKUP($A820,CSV!$A:$A,CSV!P:P,""),
_xlpm.MacVal,_xlfn.XLOOKUP($A820,Output_Mac!$A:$A,Output_Mac!L:L,""),
_xlpm.MyAuditVal,_xlfn.XLOOKUP($A820,My_Audit!$A:$A,My_Audit!K:K,""),
_xlfn.IFS(_xlpm.MyAuditVal&lt;&gt;"",UPPER(_xlpm.MyAuditVal),_xlpm.MacVal&lt;&gt;"",_xlpm.MacVal,_xlpm.CSVVal&lt;&gt;"",_xlpm.CSVVal
)),"")</f>
        <v/>
      </c>
      <c r="M820" s="40" t="str" cm="1">
        <f t="array" ref="M820">IFERROR(_xlfn.LET(
_xlpm.CSVVal,_xlfn.XLOOKUP($A820,CSV!$A:$A,CSV!Q:Q,""),
_xlpm.MacVal,_xlfn.XLOOKUP($A820,Output_Mac!$A:$A,Output_Mac!M:M,""),
_xlpm.MyAuditVal,_xlfn.XLOOKUP($A820,My_Audit!$A:$A,My_Audit!L:L,""),
_xlfn.IFS(_xlpm.MyAuditVal&lt;&gt;"",UPPER(_xlpm.MyAuditVal),_xlpm.MacVal&lt;&gt;"",_xlpm.MacVal,_xlpm.CSVVal&lt;&gt;"",_xlpm.CSVVal
)),"")</f>
        <v/>
      </c>
      <c r="N820" s="40"/>
      <c r="O820" s="40" t="str">
        <f>_xlfn.LET(
    _xlpm.CSVVal, _xlfn.XLOOKUP($A820, CSV!$A:$A, CSV!AA:AA, ""),
    _xlpm.MacVal, _xlfn.XLOOKUP($A820, Output_Mac!$A:$A, Output_Mac!S:S, ""),
    _xlpm.MyAuditVal, _xlfn.XLOOKUP($A820, My_Audit!$A:$A, My_Audit!P:P, ""),
    _xlfn.TEXTJOIN(", ", TRUE, _xlpm.MyAuditVal, _xlpm.MacVal, _xlpm.CSVVal)
)</f>
        <v/>
      </c>
      <c r="P820" s="40" t="str" cm="1">
        <f t="array" ref="P820">IFERROR(_xlfn.LET(
_xlpm.CSVVal,_xlfn.XLOOKUP($A820,CSV!$A:$A,CSV!AB:AB,""),
_xlpm.MacVal,_xlfn.XLOOKUP($A820,Output_Mac!$A:$A,Output_Mac!T:T,""),
_xlpm.MyAuditVal,_xlfn.XLOOKUP($A820,My_Audit!$A:$A,My_Audit!Q:Q,""),
_xlfn.IFS(_xlpm.MyAuditVal&lt;&gt;"",UPPER(_xlpm.MyAuditVal),_xlpm.MacVal&lt;&gt;"",_xlpm.MacVal,_xlpm.CSVVal&lt;&gt;"",_xlpm.CSVVal
)),"No")</f>
        <v>No</v>
      </c>
      <c r="Q820" s="40" t="str" cm="1">
        <f t="array" ref="Q820">IFERROR(_xlfn.LET(
_xlpm.CSVVal,_xlfn.XLOOKUP($A820,CSV!$A:$A,CSV!AC:AC,""),
_xlpm.MacVal,_xlfn.XLOOKUP($A820,Output_Mac!$A:$A,Output_Mac!U:U,""),
_xlpm.MyAuditVal,_xlfn.XLOOKUP($A820,My_Audit!$A:$A,My_Audit!R:R,""),
_xlfn.IFS(_xlpm.MyAuditVal&lt;&gt;"",UPPER(_xlpm.MyAuditVal),_xlpm.MacVal&lt;&gt;"",_xlpm.MacVal,_xlpm.CSVVal&lt;&gt;"",_xlpm.CSVVal
)),"")</f>
        <v/>
      </c>
      <c r="R820" s="40"/>
      <c r="S820" s="40"/>
      <c r="T820" s="40"/>
      <c r="U820" s="40"/>
      <c r="V820" s="40"/>
      <c r="W820" s="40"/>
      <c r="X820" s="41" t="str">
        <f>_xlfn.LET(
    _xlpm.MacVal, _xlfn.XLOOKUP($A820, Output_Mac!$A:$A, Output_Mac!AB:AB, ""),
    _xlpm.MyAuditVal, _xlfn.XLOOKUP($A820, My_Audit!$A:$A, My_Audit!N:N, ""),
    _xlfn.TEXTJOIN(", ", TRUE, _xlpm.MyAuditVal, _xlpm.MacVal)
)</f>
        <v/>
      </c>
    </row>
    <row r="821" spans="1:24">
      <c r="A821" s="40" t="str">
        <f>_xlfn.TEXTJOIN("",TRUE,Input!$B$2,ROW(My_Audit!A820))</f>
        <v>X820</v>
      </c>
      <c r="B821" s="40" t="str">
        <f>_xlfn.TEXTJOIN("-",TRUE,"ITD",Input!$A$2,A821)</f>
        <v>ITD-X820</v>
      </c>
      <c r="C821" s="40" t="str" cm="1">
        <f t="array" ref="C821">IFERROR(_xlfn.LET(
_xlpm.CSVVal,_xlfn.XLOOKUP($A821,CSV!$A:$A,CSV!B:B,""),
_xlpm.MacVal,_xlfn.XLOOKUP($A821,Output_Mac!$A:$A,Output_Mac!B:B,""),
_xlpm.MyAuditVal,_xlfn.XLOOKUP($A821,My_Audit!$A:$A,My_Audit!B:B,""),
_xlfn.IFS(_xlpm.MyAuditVal&lt;&gt;"",UPPER(_xlpm.MyAuditVal),_xlpm.MacVal&lt;&gt;"",_xlpm.MacVal,_xlpm.CSVVal&lt;&gt;"",_xlpm.CSVVal
)),"")</f>
        <v/>
      </c>
      <c r="D821" s="40" t="str" cm="1">
        <f t="array" ref="D821">IFERROR(_xlfn.LET(
_xlpm.CSVVal,_xlfn.XLOOKUP($A821,CSV!$A:$A,CSV!D:D,""),
_xlpm.MacVal,_xlfn.XLOOKUP($A821,Output_Mac!$A:$A,Output_Mac!C:C,""),
_xlpm.MyAuditVal,_xlfn.XLOOKUP($A821,My_Audit!$A:$A,My_Audit!C:C,""),
_xlfn.IFS(_xlpm.MyAuditVal&lt;&gt;"",_xlpm.MyAuditVal,_xlpm.MacVal&lt;&gt;"",_xlpm.MacVal,_xlpm.CSVVal&lt;&gt;"",_xlpm.CSVVal
)),"")</f>
        <v/>
      </c>
      <c r="E821" s="40" t="str">
        <f>_xlfn.XLOOKUP(A821,My_Audit!A:A,My_Audit!D:D,"")</f>
        <v/>
      </c>
      <c r="F821" s="40" t="str" cm="1">
        <f t="array" ref="F821">IFERROR(_xlfn.LET(
_xlpm.CSVVal,_xlfn.XLOOKUP($A821,CSV!$A:$A,CSV!F:F,""),
_xlpm.MacVal,_xlfn.XLOOKUP($A821,Output_Mac!$A:$A,Output_Mac!E:E,""),
_xlpm.MyAuditVal,_xlfn.XLOOKUP($A821,My_Audit!$A:$A,My_Audit!E:E,""),
_xlfn.IFS(_xlpm.MyAuditVal&lt;&gt;"",_xlpm.MyAuditVal,_xlpm.MacVal&lt;&gt;"",_xlpm.MacVal,_xlpm.CSVVal&lt;&gt;"",_xlpm.CSVVal
)),"")</f>
        <v/>
      </c>
      <c r="G821" s="40" t="str" cm="1">
        <f t="array" ref="G821">IFERROR(_xlfn.LET(
_xlpm.CSVVal,_xlfn.XLOOKUP($A821,CSV!$A:$A,CSV!G:G,""),
_xlpm.MacVal,_xlfn.XLOOKUP($A821,Output_Mac!$A:$A,Output_Mac!F:F,""),
_xlpm.MyAuditVal,_xlfn.XLOOKUP($A821,My_Audit!$A:$A,My_Audit!F:F,""),
_xlfn.IFS(_xlpm.MyAuditVal&lt;&gt;"",_xlpm.MyAuditVal,_xlpm.MacVal&lt;&gt;"",_xlpm.MacVal,_xlpm.CSVVal&lt;&gt;"",PROPER(_xlpm.CSVVal)
)),"")</f>
        <v/>
      </c>
      <c r="H821" s="40" t="str" cm="1">
        <f t="array" ref="H821">IFERROR(_xlfn.LET(
_xlpm.CSVVal,_xlfn.XLOOKUP($A821,CSV!$A:$A,CSV!H:H,""),
_xlpm.MacVal,_xlfn.XLOOKUP($A821,Output_Mac!$A:$A,Output_Mac!H:H,""),
_xlpm.MyAuditVal,_xlfn.XLOOKUP($A821,My_Audit!$A:$A,My_Audit!G:G,""),
_xlfn.IFS(_xlpm.MyAuditVal&lt;&gt;"",_xlpm.MyAuditVal,_xlpm.MacVal&lt;&gt;"",_xlpm.MacVal,_xlpm.CSVVal&lt;&gt;"",_xlpm.CSVVal
)),"")</f>
        <v/>
      </c>
      <c r="I821" s="40" t="str">
        <f>_xlfn.XLOOKUP(A821,Output_Mac!A:A,Output_Mac!I:I,"")</f>
        <v/>
      </c>
      <c r="J821" s="40" t="str" cm="1">
        <f t="array" ref="J821">IFERROR(_xlfn.LET(
_xlpm.CSVVal,_xlfn.XLOOKUP($A821,CSV!$A:$A,CSV!I:I,""),
_xlpm.MacVal,_xlfn.XLOOKUP($A821,Output_Mac!$A:$A,Output_Mac!J:J,""),
_xlpm.MyAuditVal,_xlfn.XLOOKUP($A821,My_Audit!$A:$A,My_Audit!I:I,""),
_xlfn.IFS(_xlpm.MyAuditVal&lt;&gt;"",UPPER(_xlpm.MyAuditVal),_xlpm.MacVal&lt;&gt;"",_xlpm.MacVal,_xlpm.CSVVal&lt;&gt;"",_xlpm.CSVVal
)),"")</f>
        <v/>
      </c>
      <c r="K821" s="40" t="str" cm="1">
        <f t="array" ref="K821">IFERROR(_xlfn.LET(
_xlpm.CSVVal,_xlfn.XLOOKUP($A821,CSV!$A:$A,CSV!K:K,""),
_xlpm.MacVal,_xlfn.XLOOKUP($A821,Output_Mac!$A:$A,Output_Mac!K:K,""),
_xlpm.MyAuditVal,_xlfn.XLOOKUP($A821,My_Audit!$A:$A,My_Audit!J:J,""),
_xlfn.IFS(_xlpm.MyAuditVal&lt;&gt;"",UPPER(_xlpm.MyAuditVal),_xlpm.MacVal&lt;&gt;"",_xlpm.MacVal,_xlpm.CSVVal&lt;&gt;"",_xlpm.CSVVal
)),"")</f>
        <v/>
      </c>
      <c r="L821" s="40" t="str" cm="1">
        <f t="array" ref="L821">IFERROR(_xlfn.LET(
_xlpm.CSVVal,_xlfn.XLOOKUP($A821,CSV!$A:$A,CSV!P:P,""),
_xlpm.MacVal,_xlfn.XLOOKUP($A821,Output_Mac!$A:$A,Output_Mac!L:L,""),
_xlpm.MyAuditVal,_xlfn.XLOOKUP($A821,My_Audit!$A:$A,My_Audit!K:K,""),
_xlfn.IFS(_xlpm.MyAuditVal&lt;&gt;"",UPPER(_xlpm.MyAuditVal),_xlpm.MacVal&lt;&gt;"",_xlpm.MacVal,_xlpm.CSVVal&lt;&gt;"",_xlpm.CSVVal
)),"")</f>
        <v/>
      </c>
      <c r="M821" s="40" t="str" cm="1">
        <f t="array" ref="M821">IFERROR(_xlfn.LET(
_xlpm.CSVVal,_xlfn.XLOOKUP($A821,CSV!$A:$A,CSV!Q:Q,""),
_xlpm.MacVal,_xlfn.XLOOKUP($A821,Output_Mac!$A:$A,Output_Mac!M:M,""),
_xlpm.MyAuditVal,_xlfn.XLOOKUP($A821,My_Audit!$A:$A,My_Audit!L:L,""),
_xlfn.IFS(_xlpm.MyAuditVal&lt;&gt;"",UPPER(_xlpm.MyAuditVal),_xlpm.MacVal&lt;&gt;"",_xlpm.MacVal,_xlpm.CSVVal&lt;&gt;"",_xlpm.CSVVal
)),"")</f>
        <v/>
      </c>
      <c r="N821" s="40"/>
      <c r="O821" s="40" t="str">
        <f>_xlfn.LET(
    _xlpm.CSVVal, _xlfn.XLOOKUP($A821, CSV!$A:$A, CSV!AA:AA, ""),
    _xlpm.MacVal, _xlfn.XLOOKUP($A821, Output_Mac!$A:$A, Output_Mac!S:S, ""),
    _xlpm.MyAuditVal, _xlfn.XLOOKUP($A821, My_Audit!$A:$A, My_Audit!P:P, ""),
    _xlfn.TEXTJOIN(", ", TRUE, _xlpm.MyAuditVal, _xlpm.MacVal, _xlpm.CSVVal)
)</f>
        <v/>
      </c>
      <c r="P821" s="40" t="str" cm="1">
        <f t="array" ref="P821">IFERROR(_xlfn.LET(
_xlpm.CSVVal,_xlfn.XLOOKUP($A821,CSV!$A:$A,CSV!AB:AB,""),
_xlpm.MacVal,_xlfn.XLOOKUP($A821,Output_Mac!$A:$A,Output_Mac!T:T,""),
_xlpm.MyAuditVal,_xlfn.XLOOKUP($A821,My_Audit!$A:$A,My_Audit!Q:Q,""),
_xlfn.IFS(_xlpm.MyAuditVal&lt;&gt;"",UPPER(_xlpm.MyAuditVal),_xlpm.MacVal&lt;&gt;"",_xlpm.MacVal,_xlpm.CSVVal&lt;&gt;"",_xlpm.CSVVal
)),"No")</f>
        <v>No</v>
      </c>
      <c r="Q821" s="40" t="str" cm="1">
        <f t="array" ref="Q821">IFERROR(_xlfn.LET(
_xlpm.CSVVal,_xlfn.XLOOKUP($A821,CSV!$A:$A,CSV!AC:AC,""),
_xlpm.MacVal,_xlfn.XLOOKUP($A821,Output_Mac!$A:$A,Output_Mac!U:U,""),
_xlpm.MyAuditVal,_xlfn.XLOOKUP($A821,My_Audit!$A:$A,My_Audit!R:R,""),
_xlfn.IFS(_xlpm.MyAuditVal&lt;&gt;"",UPPER(_xlpm.MyAuditVal),_xlpm.MacVal&lt;&gt;"",_xlpm.MacVal,_xlpm.CSVVal&lt;&gt;"",_xlpm.CSVVal
)),"")</f>
        <v/>
      </c>
      <c r="R821" s="40"/>
      <c r="S821" s="40"/>
      <c r="T821" s="40"/>
      <c r="U821" s="40"/>
      <c r="V821" s="40"/>
      <c r="W821" s="40"/>
      <c r="X821" s="41" t="str">
        <f>_xlfn.LET(
    _xlpm.MacVal, _xlfn.XLOOKUP($A821, Output_Mac!$A:$A, Output_Mac!AB:AB, ""),
    _xlpm.MyAuditVal, _xlfn.XLOOKUP($A821, My_Audit!$A:$A, My_Audit!N:N, ""),
    _xlfn.TEXTJOIN(", ", TRUE, _xlpm.MyAuditVal, _xlpm.MacVal)
)</f>
        <v/>
      </c>
    </row>
    <row r="822" spans="1:24">
      <c r="A822" s="40" t="str">
        <f>_xlfn.TEXTJOIN("",TRUE,Input!$B$2,ROW(My_Audit!A821))</f>
        <v>X821</v>
      </c>
      <c r="B822" s="40" t="str">
        <f>_xlfn.TEXTJOIN("-",TRUE,"ITD",Input!$A$2,A822)</f>
        <v>ITD-X821</v>
      </c>
      <c r="C822" s="40" t="str" cm="1">
        <f t="array" ref="C822">IFERROR(_xlfn.LET(
_xlpm.CSVVal,_xlfn.XLOOKUP($A822,CSV!$A:$A,CSV!B:B,""),
_xlpm.MacVal,_xlfn.XLOOKUP($A822,Output_Mac!$A:$A,Output_Mac!B:B,""),
_xlpm.MyAuditVal,_xlfn.XLOOKUP($A822,My_Audit!$A:$A,My_Audit!B:B,""),
_xlfn.IFS(_xlpm.MyAuditVal&lt;&gt;"",UPPER(_xlpm.MyAuditVal),_xlpm.MacVal&lt;&gt;"",_xlpm.MacVal,_xlpm.CSVVal&lt;&gt;"",_xlpm.CSVVal
)),"")</f>
        <v/>
      </c>
      <c r="D822" s="40" t="str" cm="1">
        <f t="array" ref="D822">IFERROR(_xlfn.LET(
_xlpm.CSVVal,_xlfn.XLOOKUP($A822,CSV!$A:$A,CSV!D:D,""),
_xlpm.MacVal,_xlfn.XLOOKUP($A822,Output_Mac!$A:$A,Output_Mac!C:C,""),
_xlpm.MyAuditVal,_xlfn.XLOOKUP($A822,My_Audit!$A:$A,My_Audit!C:C,""),
_xlfn.IFS(_xlpm.MyAuditVal&lt;&gt;"",_xlpm.MyAuditVal,_xlpm.MacVal&lt;&gt;"",_xlpm.MacVal,_xlpm.CSVVal&lt;&gt;"",_xlpm.CSVVal
)),"")</f>
        <v/>
      </c>
      <c r="E822" s="40" t="str">
        <f>_xlfn.XLOOKUP(A822,My_Audit!A:A,My_Audit!D:D,"")</f>
        <v/>
      </c>
      <c r="F822" s="40" t="str" cm="1">
        <f t="array" ref="F822">IFERROR(_xlfn.LET(
_xlpm.CSVVal,_xlfn.XLOOKUP($A822,CSV!$A:$A,CSV!F:F,""),
_xlpm.MacVal,_xlfn.XLOOKUP($A822,Output_Mac!$A:$A,Output_Mac!E:E,""),
_xlpm.MyAuditVal,_xlfn.XLOOKUP($A822,My_Audit!$A:$A,My_Audit!E:E,""),
_xlfn.IFS(_xlpm.MyAuditVal&lt;&gt;"",_xlpm.MyAuditVal,_xlpm.MacVal&lt;&gt;"",_xlpm.MacVal,_xlpm.CSVVal&lt;&gt;"",_xlpm.CSVVal
)),"")</f>
        <v/>
      </c>
      <c r="G822" s="40" t="str" cm="1">
        <f t="array" ref="G822">IFERROR(_xlfn.LET(
_xlpm.CSVVal,_xlfn.XLOOKUP($A822,CSV!$A:$A,CSV!G:G,""),
_xlpm.MacVal,_xlfn.XLOOKUP($A822,Output_Mac!$A:$A,Output_Mac!F:F,""),
_xlpm.MyAuditVal,_xlfn.XLOOKUP($A822,My_Audit!$A:$A,My_Audit!F:F,""),
_xlfn.IFS(_xlpm.MyAuditVal&lt;&gt;"",_xlpm.MyAuditVal,_xlpm.MacVal&lt;&gt;"",_xlpm.MacVal,_xlpm.CSVVal&lt;&gt;"",PROPER(_xlpm.CSVVal)
)),"")</f>
        <v/>
      </c>
      <c r="H822" s="40" t="str" cm="1">
        <f t="array" ref="H822">IFERROR(_xlfn.LET(
_xlpm.CSVVal,_xlfn.XLOOKUP($A822,CSV!$A:$A,CSV!H:H,""),
_xlpm.MacVal,_xlfn.XLOOKUP($A822,Output_Mac!$A:$A,Output_Mac!H:H,""),
_xlpm.MyAuditVal,_xlfn.XLOOKUP($A822,My_Audit!$A:$A,My_Audit!G:G,""),
_xlfn.IFS(_xlpm.MyAuditVal&lt;&gt;"",_xlpm.MyAuditVal,_xlpm.MacVal&lt;&gt;"",_xlpm.MacVal,_xlpm.CSVVal&lt;&gt;"",_xlpm.CSVVal
)),"")</f>
        <v/>
      </c>
      <c r="I822" s="40" t="str">
        <f>_xlfn.XLOOKUP(A822,Output_Mac!A:A,Output_Mac!I:I,"")</f>
        <v/>
      </c>
      <c r="J822" s="40" t="str" cm="1">
        <f t="array" ref="J822">IFERROR(_xlfn.LET(
_xlpm.CSVVal,_xlfn.XLOOKUP($A822,CSV!$A:$A,CSV!I:I,""),
_xlpm.MacVal,_xlfn.XLOOKUP($A822,Output_Mac!$A:$A,Output_Mac!J:J,""),
_xlpm.MyAuditVal,_xlfn.XLOOKUP($A822,My_Audit!$A:$A,My_Audit!I:I,""),
_xlfn.IFS(_xlpm.MyAuditVal&lt;&gt;"",UPPER(_xlpm.MyAuditVal),_xlpm.MacVal&lt;&gt;"",_xlpm.MacVal,_xlpm.CSVVal&lt;&gt;"",_xlpm.CSVVal
)),"")</f>
        <v/>
      </c>
      <c r="K822" s="40" t="str" cm="1">
        <f t="array" ref="K822">IFERROR(_xlfn.LET(
_xlpm.CSVVal,_xlfn.XLOOKUP($A822,CSV!$A:$A,CSV!K:K,""),
_xlpm.MacVal,_xlfn.XLOOKUP($A822,Output_Mac!$A:$A,Output_Mac!K:K,""),
_xlpm.MyAuditVal,_xlfn.XLOOKUP($A822,My_Audit!$A:$A,My_Audit!J:J,""),
_xlfn.IFS(_xlpm.MyAuditVal&lt;&gt;"",UPPER(_xlpm.MyAuditVal),_xlpm.MacVal&lt;&gt;"",_xlpm.MacVal,_xlpm.CSVVal&lt;&gt;"",_xlpm.CSVVal
)),"")</f>
        <v/>
      </c>
      <c r="L822" s="40" t="str" cm="1">
        <f t="array" ref="L822">IFERROR(_xlfn.LET(
_xlpm.CSVVal,_xlfn.XLOOKUP($A822,CSV!$A:$A,CSV!P:P,""),
_xlpm.MacVal,_xlfn.XLOOKUP($A822,Output_Mac!$A:$A,Output_Mac!L:L,""),
_xlpm.MyAuditVal,_xlfn.XLOOKUP($A822,My_Audit!$A:$A,My_Audit!K:K,""),
_xlfn.IFS(_xlpm.MyAuditVal&lt;&gt;"",UPPER(_xlpm.MyAuditVal),_xlpm.MacVal&lt;&gt;"",_xlpm.MacVal,_xlpm.CSVVal&lt;&gt;"",_xlpm.CSVVal
)),"")</f>
        <v/>
      </c>
      <c r="M822" s="40" t="str" cm="1">
        <f t="array" ref="M822">IFERROR(_xlfn.LET(
_xlpm.CSVVal,_xlfn.XLOOKUP($A822,CSV!$A:$A,CSV!Q:Q,""),
_xlpm.MacVal,_xlfn.XLOOKUP($A822,Output_Mac!$A:$A,Output_Mac!M:M,""),
_xlpm.MyAuditVal,_xlfn.XLOOKUP($A822,My_Audit!$A:$A,My_Audit!L:L,""),
_xlfn.IFS(_xlpm.MyAuditVal&lt;&gt;"",UPPER(_xlpm.MyAuditVal),_xlpm.MacVal&lt;&gt;"",_xlpm.MacVal,_xlpm.CSVVal&lt;&gt;"",_xlpm.CSVVal
)),"")</f>
        <v/>
      </c>
      <c r="N822" s="40"/>
      <c r="O822" s="40" t="str">
        <f>_xlfn.LET(
    _xlpm.CSVVal, _xlfn.XLOOKUP($A822, CSV!$A:$A, CSV!AA:AA, ""),
    _xlpm.MacVal, _xlfn.XLOOKUP($A822, Output_Mac!$A:$A, Output_Mac!S:S, ""),
    _xlpm.MyAuditVal, _xlfn.XLOOKUP($A822, My_Audit!$A:$A, My_Audit!P:P, ""),
    _xlfn.TEXTJOIN(", ", TRUE, _xlpm.MyAuditVal, _xlpm.MacVal, _xlpm.CSVVal)
)</f>
        <v/>
      </c>
      <c r="P822" s="40" t="str" cm="1">
        <f t="array" ref="P822">IFERROR(_xlfn.LET(
_xlpm.CSVVal,_xlfn.XLOOKUP($A822,CSV!$A:$A,CSV!AB:AB,""),
_xlpm.MacVal,_xlfn.XLOOKUP($A822,Output_Mac!$A:$A,Output_Mac!T:T,""),
_xlpm.MyAuditVal,_xlfn.XLOOKUP($A822,My_Audit!$A:$A,My_Audit!Q:Q,""),
_xlfn.IFS(_xlpm.MyAuditVal&lt;&gt;"",UPPER(_xlpm.MyAuditVal),_xlpm.MacVal&lt;&gt;"",_xlpm.MacVal,_xlpm.CSVVal&lt;&gt;"",_xlpm.CSVVal
)),"No")</f>
        <v>No</v>
      </c>
      <c r="Q822" s="40" t="str" cm="1">
        <f t="array" ref="Q822">IFERROR(_xlfn.LET(
_xlpm.CSVVal,_xlfn.XLOOKUP($A822,CSV!$A:$A,CSV!AC:AC,""),
_xlpm.MacVal,_xlfn.XLOOKUP($A822,Output_Mac!$A:$A,Output_Mac!U:U,""),
_xlpm.MyAuditVal,_xlfn.XLOOKUP($A822,My_Audit!$A:$A,My_Audit!R:R,""),
_xlfn.IFS(_xlpm.MyAuditVal&lt;&gt;"",UPPER(_xlpm.MyAuditVal),_xlpm.MacVal&lt;&gt;"",_xlpm.MacVal,_xlpm.CSVVal&lt;&gt;"",_xlpm.CSVVal
)),"")</f>
        <v/>
      </c>
      <c r="R822" s="40"/>
      <c r="S822" s="40"/>
      <c r="T822" s="40"/>
      <c r="U822" s="40"/>
      <c r="V822" s="40"/>
      <c r="W822" s="40"/>
      <c r="X822" s="41" t="str">
        <f>_xlfn.LET(
    _xlpm.MacVal, _xlfn.XLOOKUP($A822, Output_Mac!$A:$A, Output_Mac!AB:AB, ""),
    _xlpm.MyAuditVal, _xlfn.XLOOKUP($A822, My_Audit!$A:$A, My_Audit!N:N, ""),
    _xlfn.TEXTJOIN(", ", TRUE, _xlpm.MyAuditVal, _xlpm.MacVal)
)</f>
        <v/>
      </c>
    </row>
    <row r="823" spans="1:24">
      <c r="A823" s="40" t="str">
        <f>_xlfn.TEXTJOIN("",TRUE,Input!$B$2,ROW(My_Audit!A822))</f>
        <v>X822</v>
      </c>
      <c r="B823" s="40" t="str">
        <f>_xlfn.TEXTJOIN("-",TRUE,"ITD",Input!$A$2,A823)</f>
        <v>ITD-X822</v>
      </c>
      <c r="C823" s="40" t="str" cm="1">
        <f t="array" ref="C823">IFERROR(_xlfn.LET(
_xlpm.CSVVal,_xlfn.XLOOKUP($A823,CSV!$A:$A,CSV!B:B,""),
_xlpm.MacVal,_xlfn.XLOOKUP($A823,Output_Mac!$A:$A,Output_Mac!B:B,""),
_xlpm.MyAuditVal,_xlfn.XLOOKUP($A823,My_Audit!$A:$A,My_Audit!B:B,""),
_xlfn.IFS(_xlpm.MyAuditVal&lt;&gt;"",UPPER(_xlpm.MyAuditVal),_xlpm.MacVal&lt;&gt;"",_xlpm.MacVal,_xlpm.CSVVal&lt;&gt;"",_xlpm.CSVVal
)),"")</f>
        <v/>
      </c>
      <c r="D823" s="40" t="str" cm="1">
        <f t="array" ref="D823">IFERROR(_xlfn.LET(
_xlpm.CSVVal,_xlfn.XLOOKUP($A823,CSV!$A:$A,CSV!D:D,""),
_xlpm.MacVal,_xlfn.XLOOKUP($A823,Output_Mac!$A:$A,Output_Mac!C:C,""),
_xlpm.MyAuditVal,_xlfn.XLOOKUP($A823,My_Audit!$A:$A,My_Audit!C:C,""),
_xlfn.IFS(_xlpm.MyAuditVal&lt;&gt;"",_xlpm.MyAuditVal,_xlpm.MacVal&lt;&gt;"",_xlpm.MacVal,_xlpm.CSVVal&lt;&gt;"",_xlpm.CSVVal
)),"")</f>
        <v/>
      </c>
      <c r="E823" s="40" t="str">
        <f>_xlfn.XLOOKUP(A823,My_Audit!A:A,My_Audit!D:D,"")</f>
        <v/>
      </c>
      <c r="F823" s="40" t="str" cm="1">
        <f t="array" ref="F823">IFERROR(_xlfn.LET(
_xlpm.CSVVal,_xlfn.XLOOKUP($A823,CSV!$A:$A,CSV!F:F,""),
_xlpm.MacVal,_xlfn.XLOOKUP($A823,Output_Mac!$A:$A,Output_Mac!E:E,""),
_xlpm.MyAuditVal,_xlfn.XLOOKUP($A823,My_Audit!$A:$A,My_Audit!E:E,""),
_xlfn.IFS(_xlpm.MyAuditVal&lt;&gt;"",_xlpm.MyAuditVal,_xlpm.MacVal&lt;&gt;"",_xlpm.MacVal,_xlpm.CSVVal&lt;&gt;"",_xlpm.CSVVal
)),"")</f>
        <v/>
      </c>
      <c r="G823" s="40" t="str" cm="1">
        <f t="array" ref="G823">IFERROR(_xlfn.LET(
_xlpm.CSVVal,_xlfn.XLOOKUP($A823,CSV!$A:$A,CSV!G:G,""),
_xlpm.MacVal,_xlfn.XLOOKUP($A823,Output_Mac!$A:$A,Output_Mac!F:F,""),
_xlpm.MyAuditVal,_xlfn.XLOOKUP($A823,My_Audit!$A:$A,My_Audit!F:F,""),
_xlfn.IFS(_xlpm.MyAuditVal&lt;&gt;"",_xlpm.MyAuditVal,_xlpm.MacVal&lt;&gt;"",_xlpm.MacVal,_xlpm.CSVVal&lt;&gt;"",PROPER(_xlpm.CSVVal)
)),"")</f>
        <v/>
      </c>
      <c r="H823" s="40" t="str" cm="1">
        <f t="array" ref="H823">IFERROR(_xlfn.LET(
_xlpm.CSVVal,_xlfn.XLOOKUP($A823,CSV!$A:$A,CSV!H:H,""),
_xlpm.MacVal,_xlfn.XLOOKUP($A823,Output_Mac!$A:$A,Output_Mac!H:H,""),
_xlpm.MyAuditVal,_xlfn.XLOOKUP($A823,My_Audit!$A:$A,My_Audit!G:G,""),
_xlfn.IFS(_xlpm.MyAuditVal&lt;&gt;"",_xlpm.MyAuditVal,_xlpm.MacVal&lt;&gt;"",_xlpm.MacVal,_xlpm.CSVVal&lt;&gt;"",_xlpm.CSVVal
)),"")</f>
        <v/>
      </c>
      <c r="I823" s="40" t="str">
        <f>_xlfn.XLOOKUP(A823,Output_Mac!A:A,Output_Mac!I:I,"")</f>
        <v/>
      </c>
      <c r="J823" s="40" t="str" cm="1">
        <f t="array" ref="J823">IFERROR(_xlfn.LET(
_xlpm.CSVVal,_xlfn.XLOOKUP($A823,CSV!$A:$A,CSV!I:I,""),
_xlpm.MacVal,_xlfn.XLOOKUP($A823,Output_Mac!$A:$A,Output_Mac!J:J,""),
_xlpm.MyAuditVal,_xlfn.XLOOKUP($A823,My_Audit!$A:$A,My_Audit!I:I,""),
_xlfn.IFS(_xlpm.MyAuditVal&lt;&gt;"",UPPER(_xlpm.MyAuditVal),_xlpm.MacVal&lt;&gt;"",_xlpm.MacVal,_xlpm.CSVVal&lt;&gt;"",_xlpm.CSVVal
)),"")</f>
        <v/>
      </c>
      <c r="K823" s="40" t="str" cm="1">
        <f t="array" ref="K823">IFERROR(_xlfn.LET(
_xlpm.CSVVal,_xlfn.XLOOKUP($A823,CSV!$A:$A,CSV!K:K,""),
_xlpm.MacVal,_xlfn.XLOOKUP($A823,Output_Mac!$A:$A,Output_Mac!K:K,""),
_xlpm.MyAuditVal,_xlfn.XLOOKUP($A823,My_Audit!$A:$A,My_Audit!J:J,""),
_xlfn.IFS(_xlpm.MyAuditVal&lt;&gt;"",UPPER(_xlpm.MyAuditVal),_xlpm.MacVal&lt;&gt;"",_xlpm.MacVal,_xlpm.CSVVal&lt;&gt;"",_xlpm.CSVVal
)),"")</f>
        <v/>
      </c>
      <c r="L823" s="40" t="str" cm="1">
        <f t="array" ref="L823">IFERROR(_xlfn.LET(
_xlpm.CSVVal,_xlfn.XLOOKUP($A823,CSV!$A:$A,CSV!P:P,""),
_xlpm.MacVal,_xlfn.XLOOKUP($A823,Output_Mac!$A:$A,Output_Mac!L:L,""),
_xlpm.MyAuditVal,_xlfn.XLOOKUP($A823,My_Audit!$A:$A,My_Audit!K:K,""),
_xlfn.IFS(_xlpm.MyAuditVal&lt;&gt;"",UPPER(_xlpm.MyAuditVal),_xlpm.MacVal&lt;&gt;"",_xlpm.MacVal,_xlpm.CSVVal&lt;&gt;"",_xlpm.CSVVal
)),"")</f>
        <v/>
      </c>
      <c r="M823" s="40" t="str" cm="1">
        <f t="array" ref="M823">IFERROR(_xlfn.LET(
_xlpm.CSVVal,_xlfn.XLOOKUP($A823,CSV!$A:$A,CSV!Q:Q,""),
_xlpm.MacVal,_xlfn.XLOOKUP($A823,Output_Mac!$A:$A,Output_Mac!M:M,""),
_xlpm.MyAuditVal,_xlfn.XLOOKUP($A823,My_Audit!$A:$A,My_Audit!L:L,""),
_xlfn.IFS(_xlpm.MyAuditVal&lt;&gt;"",UPPER(_xlpm.MyAuditVal),_xlpm.MacVal&lt;&gt;"",_xlpm.MacVal,_xlpm.CSVVal&lt;&gt;"",_xlpm.CSVVal
)),"")</f>
        <v/>
      </c>
      <c r="N823" s="40"/>
      <c r="O823" s="40" t="str">
        <f>_xlfn.LET(
    _xlpm.CSVVal, _xlfn.XLOOKUP($A823, CSV!$A:$A, CSV!AA:AA, ""),
    _xlpm.MacVal, _xlfn.XLOOKUP($A823, Output_Mac!$A:$A, Output_Mac!S:S, ""),
    _xlpm.MyAuditVal, _xlfn.XLOOKUP($A823, My_Audit!$A:$A, My_Audit!P:P, ""),
    _xlfn.TEXTJOIN(", ", TRUE, _xlpm.MyAuditVal, _xlpm.MacVal, _xlpm.CSVVal)
)</f>
        <v/>
      </c>
      <c r="P823" s="40" t="str" cm="1">
        <f t="array" ref="P823">IFERROR(_xlfn.LET(
_xlpm.CSVVal,_xlfn.XLOOKUP($A823,CSV!$A:$A,CSV!AB:AB,""),
_xlpm.MacVal,_xlfn.XLOOKUP($A823,Output_Mac!$A:$A,Output_Mac!T:T,""),
_xlpm.MyAuditVal,_xlfn.XLOOKUP($A823,My_Audit!$A:$A,My_Audit!Q:Q,""),
_xlfn.IFS(_xlpm.MyAuditVal&lt;&gt;"",UPPER(_xlpm.MyAuditVal),_xlpm.MacVal&lt;&gt;"",_xlpm.MacVal,_xlpm.CSVVal&lt;&gt;"",_xlpm.CSVVal
)),"No")</f>
        <v>No</v>
      </c>
      <c r="Q823" s="40" t="str" cm="1">
        <f t="array" ref="Q823">IFERROR(_xlfn.LET(
_xlpm.CSVVal,_xlfn.XLOOKUP($A823,CSV!$A:$A,CSV!AC:AC,""),
_xlpm.MacVal,_xlfn.XLOOKUP($A823,Output_Mac!$A:$A,Output_Mac!U:U,""),
_xlpm.MyAuditVal,_xlfn.XLOOKUP($A823,My_Audit!$A:$A,My_Audit!R:R,""),
_xlfn.IFS(_xlpm.MyAuditVal&lt;&gt;"",UPPER(_xlpm.MyAuditVal),_xlpm.MacVal&lt;&gt;"",_xlpm.MacVal,_xlpm.CSVVal&lt;&gt;"",_xlpm.CSVVal
)),"")</f>
        <v/>
      </c>
      <c r="R823" s="40"/>
      <c r="S823" s="40"/>
      <c r="T823" s="40"/>
      <c r="U823" s="40"/>
      <c r="V823" s="40"/>
      <c r="W823" s="40"/>
      <c r="X823" s="41" t="str">
        <f>_xlfn.LET(
    _xlpm.MacVal, _xlfn.XLOOKUP($A823, Output_Mac!$A:$A, Output_Mac!AB:AB, ""),
    _xlpm.MyAuditVal, _xlfn.XLOOKUP($A823, My_Audit!$A:$A, My_Audit!N:N, ""),
    _xlfn.TEXTJOIN(", ", TRUE, _xlpm.MyAuditVal, _xlpm.MacVal)
)</f>
        <v/>
      </c>
    </row>
    <row r="824" spans="1:24">
      <c r="A824" s="40" t="str">
        <f>_xlfn.TEXTJOIN("",TRUE,Input!$B$2,ROW(My_Audit!A823))</f>
        <v>X823</v>
      </c>
      <c r="B824" s="40" t="str">
        <f>_xlfn.TEXTJOIN("-",TRUE,"ITD",Input!$A$2,A824)</f>
        <v>ITD-X823</v>
      </c>
      <c r="C824" s="40" t="str" cm="1">
        <f t="array" ref="C824">IFERROR(_xlfn.LET(
_xlpm.CSVVal,_xlfn.XLOOKUP($A824,CSV!$A:$A,CSV!B:B,""),
_xlpm.MacVal,_xlfn.XLOOKUP($A824,Output_Mac!$A:$A,Output_Mac!B:B,""),
_xlpm.MyAuditVal,_xlfn.XLOOKUP($A824,My_Audit!$A:$A,My_Audit!B:B,""),
_xlfn.IFS(_xlpm.MyAuditVal&lt;&gt;"",UPPER(_xlpm.MyAuditVal),_xlpm.MacVal&lt;&gt;"",_xlpm.MacVal,_xlpm.CSVVal&lt;&gt;"",_xlpm.CSVVal
)),"")</f>
        <v/>
      </c>
      <c r="D824" s="40" t="str" cm="1">
        <f t="array" ref="D824">IFERROR(_xlfn.LET(
_xlpm.CSVVal,_xlfn.XLOOKUP($A824,CSV!$A:$A,CSV!D:D,""),
_xlpm.MacVal,_xlfn.XLOOKUP($A824,Output_Mac!$A:$A,Output_Mac!C:C,""),
_xlpm.MyAuditVal,_xlfn.XLOOKUP($A824,My_Audit!$A:$A,My_Audit!C:C,""),
_xlfn.IFS(_xlpm.MyAuditVal&lt;&gt;"",_xlpm.MyAuditVal,_xlpm.MacVal&lt;&gt;"",_xlpm.MacVal,_xlpm.CSVVal&lt;&gt;"",_xlpm.CSVVal
)),"")</f>
        <v/>
      </c>
      <c r="E824" s="40" t="str">
        <f>_xlfn.XLOOKUP(A824,My_Audit!A:A,My_Audit!D:D,"")</f>
        <v/>
      </c>
      <c r="F824" s="40" t="str" cm="1">
        <f t="array" ref="F824">IFERROR(_xlfn.LET(
_xlpm.CSVVal,_xlfn.XLOOKUP($A824,CSV!$A:$A,CSV!F:F,""),
_xlpm.MacVal,_xlfn.XLOOKUP($A824,Output_Mac!$A:$A,Output_Mac!E:E,""),
_xlpm.MyAuditVal,_xlfn.XLOOKUP($A824,My_Audit!$A:$A,My_Audit!E:E,""),
_xlfn.IFS(_xlpm.MyAuditVal&lt;&gt;"",_xlpm.MyAuditVal,_xlpm.MacVal&lt;&gt;"",_xlpm.MacVal,_xlpm.CSVVal&lt;&gt;"",_xlpm.CSVVal
)),"")</f>
        <v/>
      </c>
      <c r="G824" s="40" t="str" cm="1">
        <f t="array" ref="G824">IFERROR(_xlfn.LET(
_xlpm.CSVVal,_xlfn.XLOOKUP($A824,CSV!$A:$A,CSV!G:G,""),
_xlpm.MacVal,_xlfn.XLOOKUP($A824,Output_Mac!$A:$A,Output_Mac!F:F,""),
_xlpm.MyAuditVal,_xlfn.XLOOKUP($A824,My_Audit!$A:$A,My_Audit!F:F,""),
_xlfn.IFS(_xlpm.MyAuditVal&lt;&gt;"",_xlpm.MyAuditVal,_xlpm.MacVal&lt;&gt;"",_xlpm.MacVal,_xlpm.CSVVal&lt;&gt;"",PROPER(_xlpm.CSVVal)
)),"")</f>
        <v/>
      </c>
      <c r="H824" s="40" t="str" cm="1">
        <f t="array" ref="H824">IFERROR(_xlfn.LET(
_xlpm.CSVVal,_xlfn.XLOOKUP($A824,CSV!$A:$A,CSV!H:H,""),
_xlpm.MacVal,_xlfn.XLOOKUP($A824,Output_Mac!$A:$A,Output_Mac!H:H,""),
_xlpm.MyAuditVal,_xlfn.XLOOKUP($A824,My_Audit!$A:$A,My_Audit!G:G,""),
_xlfn.IFS(_xlpm.MyAuditVal&lt;&gt;"",_xlpm.MyAuditVal,_xlpm.MacVal&lt;&gt;"",_xlpm.MacVal,_xlpm.CSVVal&lt;&gt;"",_xlpm.CSVVal
)),"")</f>
        <v/>
      </c>
      <c r="I824" s="40" t="str">
        <f>_xlfn.XLOOKUP(A824,Output_Mac!A:A,Output_Mac!I:I,"")</f>
        <v/>
      </c>
      <c r="J824" s="40" t="str" cm="1">
        <f t="array" ref="J824">IFERROR(_xlfn.LET(
_xlpm.CSVVal,_xlfn.XLOOKUP($A824,CSV!$A:$A,CSV!I:I,""),
_xlpm.MacVal,_xlfn.XLOOKUP($A824,Output_Mac!$A:$A,Output_Mac!J:J,""),
_xlpm.MyAuditVal,_xlfn.XLOOKUP($A824,My_Audit!$A:$A,My_Audit!I:I,""),
_xlfn.IFS(_xlpm.MyAuditVal&lt;&gt;"",UPPER(_xlpm.MyAuditVal),_xlpm.MacVal&lt;&gt;"",_xlpm.MacVal,_xlpm.CSVVal&lt;&gt;"",_xlpm.CSVVal
)),"")</f>
        <v/>
      </c>
      <c r="K824" s="40" t="str" cm="1">
        <f t="array" ref="K824">IFERROR(_xlfn.LET(
_xlpm.CSVVal,_xlfn.XLOOKUP($A824,CSV!$A:$A,CSV!K:K,""),
_xlpm.MacVal,_xlfn.XLOOKUP($A824,Output_Mac!$A:$A,Output_Mac!K:K,""),
_xlpm.MyAuditVal,_xlfn.XLOOKUP($A824,My_Audit!$A:$A,My_Audit!J:J,""),
_xlfn.IFS(_xlpm.MyAuditVal&lt;&gt;"",UPPER(_xlpm.MyAuditVal),_xlpm.MacVal&lt;&gt;"",_xlpm.MacVal,_xlpm.CSVVal&lt;&gt;"",_xlpm.CSVVal
)),"")</f>
        <v/>
      </c>
      <c r="L824" s="40" t="str" cm="1">
        <f t="array" ref="L824">IFERROR(_xlfn.LET(
_xlpm.CSVVal,_xlfn.XLOOKUP($A824,CSV!$A:$A,CSV!P:P,""),
_xlpm.MacVal,_xlfn.XLOOKUP($A824,Output_Mac!$A:$A,Output_Mac!L:L,""),
_xlpm.MyAuditVal,_xlfn.XLOOKUP($A824,My_Audit!$A:$A,My_Audit!K:K,""),
_xlfn.IFS(_xlpm.MyAuditVal&lt;&gt;"",UPPER(_xlpm.MyAuditVal),_xlpm.MacVal&lt;&gt;"",_xlpm.MacVal,_xlpm.CSVVal&lt;&gt;"",_xlpm.CSVVal
)),"")</f>
        <v/>
      </c>
      <c r="M824" s="40" t="str" cm="1">
        <f t="array" ref="M824">IFERROR(_xlfn.LET(
_xlpm.CSVVal,_xlfn.XLOOKUP($A824,CSV!$A:$A,CSV!Q:Q,""),
_xlpm.MacVal,_xlfn.XLOOKUP($A824,Output_Mac!$A:$A,Output_Mac!M:M,""),
_xlpm.MyAuditVal,_xlfn.XLOOKUP($A824,My_Audit!$A:$A,My_Audit!L:L,""),
_xlfn.IFS(_xlpm.MyAuditVal&lt;&gt;"",UPPER(_xlpm.MyAuditVal),_xlpm.MacVal&lt;&gt;"",_xlpm.MacVal,_xlpm.CSVVal&lt;&gt;"",_xlpm.CSVVal
)),"")</f>
        <v/>
      </c>
      <c r="N824" s="40"/>
      <c r="O824" s="40" t="str">
        <f>_xlfn.LET(
    _xlpm.CSVVal, _xlfn.XLOOKUP($A824, CSV!$A:$A, CSV!AA:AA, ""),
    _xlpm.MacVal, _xlfn.XLOOKUP($A824, Output_Mac!$A:$A, Output_Mac!S:S, ""),
    _xlpm.MyAuditVal, _xlfn.XLOOKUP($A824, My_Audit!$A:$A, My_Audit!P:P, ""),
    _xlfn.TEXTJOIN(", ", TRUE, _xlpm.MyAuditVal, _xlpm.MacVal, _xlpm.CSVVal)
)</f>
        <v/>
      </c>
      <c r="P824" s="40" t="str" cm="1">
        <f t="array" ref="P824">IFERROR(_xlfn.LET(
_xlpm.CSVVal,_xlfn.XLOOKUP($A824,CSV!$A:$A,CSV!AB:AB,""),
_xlpm.MacVal,_xlfn.XLOOKUP($A824,Output_Mac!$A:$A,Output_Mac!T:T,""),
_xlpm.MyAuditVal,_xlfn.XLOOKUP($A824,My_Audit!$A:$A,My_Audit!Q:Q,""),
_xlfn.IFS(_xlpm.MyAuditVal&lt;&gt;"",UPPER(_xlpm.MyAuditVal),_xlpm.MacVal&lt;&gt;"",_xlpm.MacVal,_xlpm.CSVVal&lt;&gt;"",_xlpm.CSVVal
)),"No")</f>
        <v>No</v>
      </c>
      <c r="Q824" s="40" t="str" cm="1">
        <f t="array" ref="Q824">IFERROR(_xlfn.LET(
_xlpm.CSVVal,_xlfn.XLOOKUP($A824,CSV!$A:$A,CSV!AC:AC,""),
_xlpm.MacVal,_xlfn.XLOOKUP($A824,Output_Mac!$A:$A,Output_Mac!U:U,""),
_xlpm.MyAuditVal,_xlfn.XLOOKUP($A824,My_Audit!$A:$A,My_Audit!R:R,""),
_xlfn.IFS(_xlpm.MyAuditVal&lt;&gt;"",UPPER(_xlpm.MyAuditVal),_xlpm.MacVal&lt;&gt;"",_xlpm.MacVal,_xlpm.CSVVal&lt;&gt;"",_xlpm.CSVVal
)),"")</f>
        <v/>
      </c>
      <c r="R824" s="40"/>
      <c r="S824" s="40"/>
      <c r="T824" s="40"/>
      <c r="U824" s="40"/>
      <c r="V824" s="40"/>
      <c r="W824" s="40"/>
      <c r="X824" s="41" t="str">
        <f>_xlfn.LET(
    _xlpm.MacVal, _xlfn.XLOOKUP($A824, Output_Mac!$A:$A, Output_Mac!AB:AB, ""),
    _xlpm.MyAuditVal, _xlfn.XLOOKUP($A824, My_Audit!$A:$A, My_Audit!N:N, ""),
    _xlfn.TEXTJOIN(", ", TRUE, _xlpm.MyAuditVal, _xlpm.MacVal)
)</f>
        <v/>
      </c>
    </row>
    <row r="825" spans="1:24">
      <c r="A825" s="40" t="str">
        <f>_xlfn.TEXTJOIN("",TRUE,Input!$B$2,ROW(My_Audit!A824))</f>
        <v>X824</v>
      </c>
      <c r="B825" s="40" t="str">
        <f>_xlfn.TEXTJOIN("-",TRUE,"ITD",Input!$A$2,A825)</f>
        <v>ITD-X824</v>
      </c>
      <c r="C825" s="40" t="str" cm="1">
        <f t="array" ref="C825">IFERROR(_xlfn.LET(
_xlpm.CSVVal,_xlfn.XLOOKUP($A825,CSV!$A:$A,CSV!B:B,""),
_xlpm.MacVal,_xlfn.XLOOKUP($A825,Output_Mac!$A:$A,Output_Mac!B:B,""),
_xlpm.MyAuditVal,_xlfn.XLOOKUP($A825,My_Audit!$A:$A,My_Audit!B:B,""),
_xlfn.IFS(_xlpm.MyAuditVal&lt;&gt;"",UPPER(_xlpm.MyAuditVal),_xlpm.MacVal&lt;&gt;"",_xlpm.MacVal,_xlpm.CSVVal&lt;&gt;"",_xlpm.CSVVal
)),"")</f>
        <v/>
      </c>
      <c r="D825" s="40" t="str" cm="1">
        <f t="array" ref="D825">IFERROR(_xlfn.LET(
_xlpm.CSVVal,_xlfn.XLOOKUP($A825,CSV!$A:$A,CSV!D:D,""),
_xlpm.MacVal,_xlfn.XLOOKUP($A825,Output_Mac!$A:$A,Output_Mac!C:C,""),
_xlpm.MyAuditVal,_xlfn.XLOOKUP($A825,My_Audit!$A:$A,My_Audit!C:C,""),
_xlfn.IFS(_xlpm.MyAuditVal&lt;&gt;"",_xlpm.MyAuditVal,_xlpm.MacVal&lt;&gt;"",_xlpm.MacVal,_xlpm.CSVVal&lt;&gt;"",_xlpm.CSVVal
)),"")</f>
        <v/>
      </c>
      <c r="E825" s="40" t="str">
        <f>_xlfn.XLOOKUP(A825,My_Audit!A:A,My_Audit!D:D,"")</f>
        <v/>
      </c>
      <c r="F825" s="40" t="str" cm="1">
        <f t="array" ref="F825">IFERROR(_xlfn.LET(
_xlpm.CSVVal,_xlfn.XLOOKUP($A825,CSV!$A:$A,CSV!F:F,""),
_xlpm.MacVal,_xlfn.XLOOKUP($A825,Output_Mac!$A:$A,Output_Mac!E:E,""),
_xlpm.MyAuditVal,_xlfn.XLOOKUP($A825,My_Audit!$A:$A,My_Audit!E:E,""),
_xlfn.IFS(_xlpm.MyAuditVal&lt;&gt;"",_xlpm.MyAuditVal,_xlpm.MacVal&lt;&gt;"",_xlpm.MacVal,_xlpm.CSVVal&lt;&gt;"",_xlpm.CSVVal
)),"")</f>
        <v/>
      </c>
      <c r="G825" s="40" t="str" cm="1">
        <f t="array" ref="G825">IFERROR(_xlfn.LET(
_xlpm.CSVVal,_xlfn.XLOOKUP($A825,CSV!$A:$A,CSV!G:G,""),
_xlpm.MacVal,_xlfn.XLOOKUP($A825,Output_Mac!$A:$A,Output_Mac!F:F,""),
_xlpm.MyAuditVal,_xlfn.XLOOKUP($A825,My_Audit!$A:$A,My_Audit!F:F,""),
_xlfn.IFS(_xlpm.MyAuditVal&lt;&gt;"",_xlpm.MyAuditVal,_xlpm.MacVal&lt;&gt;"",_xlpm.MacVal,_xlpm.CSVVal&lt;&gt;"",PROPER(_xlpm.CSVVal)
)),"")</f>
        <v/>
      </c>
      <c r="H825" s="40" t="str" cm="1">
        <f t="array" ref="H825">IFERROR(_xlfn.LET(
_xlpm.CSVVal,_xlfn.XLOOKUP($A825,CSV!$A:$A,CSV!H:H,""),
_xlpm.MacVal,_xlfn.XLOOKUP($A825,Output_Mac!$A:$A,Output_Mac!H:H,""),
_xlpm.MyAuditVal,_xlfn.XLOOKUP($A825,My_Audit!$A:$A,My_Audit!G:G,""),
_xlfn.IFS(_xlpm.MyAuditVal&lt;&gt;"",_xlpm.MyAuditVal,_xlpm.MacVal&lt;&gt;"",_xlpm.MacVal,_xlpm.CSVVal&lt;&gt;"",_xlpm.CSVVal
)),"")</f>
        <v/>
      </c>
      <c r="I825" s="40" t="str">
        <f>_xlfn.XLOOKUP(A825,Output_Mac!A:A,Output_Mac!I:I,"")</f>
        <v/>
      </c>
      <c r="J825" s="40" t="str" cm="1">
        <f t="array" ref="J825">IFERROR(_xlfn.LET(
_xlpm.CSVVal,_xlfn.XLOOKUP($A825,CSV!$A:$A,CSV!I:I,""),
_xlpm.MacVal,_xlfn.XLOOKUP($A825,Output_Mac!$A:$A,Output_Mac!J:J,""),
_xlpm.MyAuditVal,_xlfn.XLOOKUP($A825,My_Audit!$A:$A,My_Audit!I:I,""),
_xlfn.IFS(_xlpm.MyAuditVal&lt;&gt;"",UPPER(_xlpm.MyAuditVal),_xlpm.MacVal&lt;&gt;"",_xlpm.MacVal,_xlpm.CSVVal&lt;&gt;"",_xlpm.CSVVal
)),"")</f>
        <v/>
      </c>
      <c r="K825" s="40" t="str" cm="1">
        <f t="array" ref="K825">IFERROR(_xlfn.LET(
_xlpm.CSVVal,_xlfn.XLOOKUP($A825,CSV!$A:$A,CSV!K:K,""),
_xlpm.MacVal,_xlfn.XLOOKUP($A825,Output_Mac!$A:$A,Output_Mac!K:K,""),
_xlpm.MyAuditVal,_xlfn.XLOOKUP($A825,My_Audit!$A:$A,My_Audit!J:J,""),
_xlfn.IFS(_xlpm.MyAuditVal&lt;&gt;"",UPPER(_xlpm.MyAuditVal),_xlpm.MacVal&lt;&gt;"",_xlpm.MacVal,_xlpm.CSVVal&lt;&gt;"",_xlpm.CSVVal
)),"")</f>
        <v/>
      </c>
      <c r="L825" s="40" t="str" cm="1">
        <f t="array" ref="L825">IFERROR(_xlfn.LET(
_xlpm.CSVVal,_xlfn.XLOOKUP($A825,CSV!$A:$A,CSV!P:P,""),
_xlpm.MacVal,_xlfn.XLOOKUP($A825,Output_Mac!$A:$A,Output_Mac!L:L,""),
_xlpm.MyAuditVal,_xlfn.XLOOKUP($A825,My_Audit!$A:$A,My_Audit!K:K,""),
_xlfn.IFS(_xlpm.MyAuditVal&lt;&gt;"",UPPER(_xlpm.MyAuditVal),_xlpm.MacVal&lt;&gt;"",_xlpm.MacVal,_xlpm.CSVVal&lt;&gt;"",_xlpm.CSVVal
)),"")</f>
        <v/>
      </c>
      <c r="M825" s="40" t="str" cm="1">
        <f t="array" ref="M825">IFERROR(_xlfn.LET(
_xlpm.CSVVal,_xlfn.XLOOKUP($A825,CSV!$A:$A,CSV!Q:Q,""),
_xlpm.MacVal,_xlfn.XLOOKUP($A825,Output_Mac!$A:$A,Output_Mac!M:M,""),
_xlpm.MyAuditVal,_xlfn.XLOOKUP($A825,My_Audit!$A:$A,My_Audit!L:L,""),
_xlfn.IFS(_xlpm.MyAuditVal&lt;&gt;"",UPPER(_xlpm.MyAuditVal),_xlpm.MacVal&lt;&gt;"",_xlpm.MacVal,_xlpm.CSVVal&lt;&gt;"",_xlpm.CSVVal
)),"")</f>
        <v/>
      </c>
      <c r="N825" s="40"/>
      <c r="O825" s="40" t="str">
        <f>_xlfn.LET(
    _xlpm.CSVVal, _xlfn.XLOOKUP($A825, CSV!$A:$A, CSV!AA:AA, ""),
    _xlpm.MacVal, _xlfn.XLOOKUP($A825, Output_Mac!$A:$A, Output_Mac!S:S, ""),
    _xlpm.MyAuditVal, _xlfn.XLOOKUP($A825, My_Audit!$A:$A, My_Audit!P:P, ""),
    _xlfn.TEXTJOIN(", ", TRUE, _xlpm.MyAuditVal, _xlpm.MacVal, _xlpm.CSVVal)
)</f>
        <v/>
      </c>
      <c r="P825" s="40" t="str" cm="1">
        <f t="array" ref="P825">IFERROR(_xlfn.LET(
_xlpm.CSVVal,_xlfn.XLOOKUP($A825,CSV!$A:$A,CSV!AB:AB,""),
_xlpm.MacVal,_xlfn.XLOOKUP($A825,Output_Mac!$A:$A,Output_Mac!T:T,""),
_xlpm.MyAuditVal,_xlfn.XLOOKUP($A825,My_Audit!$A:$A,My_Audit!Q:Q,""),
_xlfn.IFS(_xlpm.MyAuditVal&lt;&gt;"",UPPER(_xlpm.MyAuditVal),_xlpm.MacVal&lt;&gt;"",_xlpm.MacVal,_xlpm.CSVVal&lt;&gt;"",_xlpm.CSVVal
)),"No")</f>
        <v>No</v>
      </c>
      <c r="Q825" s="40" t="str" cm="1">
        <f t="array" ref="Q825">IFERROR(_xlfn.LET(
_xlpm.CSVVal,_xlfn.XLOOKUP($A825,CSV!$A:$A,CSV!AC:AC,""),
_xlpm.MacVal,_xlfn.XLOOKUP($A825,Output_Mac!$A:$A,Output_Mac!U:U,""),
_xlpm.MyAuditVal,_xlfn.XLOOKUP($A825,My_Audit!$A:$A,My_Audit!R:R,""),
_xlfn.IFS(_xlpm.MyAuditVal&lt;&gt;"",UPPER(_xlpm.MyAuditVal),_xlpm.MacVal&lt;&gt;"",_xlpm.MacVal,_xlpm.CSVVal&lt;&gt;"",_xlpm.CSVVal
)),"")</f>
        <v/>
      </c>
      <c r="R825" s="40"/>
      <c r="S825" s="40"/>
      <c r="T825" s="40"/>
      <c r="U825" s="40"/>
      <c r="V825" s="40"/>
      <c r="W825" s="40"/>
      <c r="X825" s="41" t="str">
        <f>_xlfn.LET(
    _xlpm.MacVal, _xlfn.XLOOKUP($A825, Output_Mac!$A:$A, Output_Mac!AB:AB, ""),
    _xlpm.MyAuditVal, _xlfn.XLOOKUP($A825, My_Audit!$A:$A, My_Audit!N:N, ""),
    _xlfn.TEXTJOIN(", ", TRUE, _xlpm.MyAuditVal, _xlpm.MacVal)
)</f>
        <v/>
      </c>
    </row>
    <row r="826" spans="1:24">
      <c r="A826" s="40" t="str">
        <f>_xlfn.TEXTJOIN("",TRUE,Input!$B$2,ROW(My_Audit!A825))</f>
        <v>X825</v>
      </c>
      <c r="B826" s="40" t="str">
        <f>_xlfn.TEXTJOIN("-",TRUE,"ITD",Input!$A$2,A826)</f>
        <v>ITD-X825</v>
      </c>
      <c r="C826" s="40" t="str" cm="1">
        <f t="array" ref="C826">IFERROR(_xlfn.LET(
_xlpm.CSVVal,_xlfn.XLOOKUP($A826,CSV!$A:$A,CSV!B:B,""),
_xlpm.MacVal,_xlfn.XLOOKUP($A826,Output_Mac!$A:$A,Output_Mac!B:B,""),
_xlpm.MyAuditVal,_xlfn.XLOOKUP($A826,My_Audit!$A:$A,My_Audit!B:B,""),
_xlfn.IFS(_xlpm.MyAuditVal&lt;&gt;"",UPPER(_xlpm.MyAuditVal),_xlpm.MacVal&lt;&gt;"",_xlpm.MacVal,_xlpm.CSVVal&lt;&gt;"",_xlpm.CSVVal
)),"")</f>
        <v/>
      </c>
      <c r="D826" s="40" t="str" cm="1">
        <f t="array" ref="D826">IFERROR(_xlfn.LET(
_xlpm.CSVVal,_xlfn.XLOOKUP($A826,CSV!$A:$A,CSV!D:D,""),
_xlpm.MacVal,_xlfn.XLOOKUP($A826,Output_Mac!$A:$A,Output_Mac!C:C,""),
_xlpm.MyAuditVal,_xlfn.XLOOKUP($A826,My_Audit!$A:$A,My_Audit!C:C,""),
_xlfn.IFS(_xlpm.MyAuditVal&lt;&gt;"",_xlpm.MyAuditVal,_xlpm.MacVal&lt;&gt;"",_xlpm.MacVal,_xlpm.CSVVal&lt;&gt;"",_xlpm.CSVVal
)),"")</f>
        <v/>
      </c>
      <c r="E826" s="40" t="str">
        <f>_xlfn.XLOOKUP(A826,My_Audit!A:A,My_Audit!D:D,"")</f>
        <v/>
      </c>
      <c r="F826" s="40" t="str" cm="1">
        <f t="array" ref="F826">IFERROR(_xlfn.LET(
_xlpm.CSVVal,_xlfn.XLOOKUP($A826,CSV!$A:$A,CSV!F:F,""),
_xlpm.MacVal,_xlfn.XLOOKUP($A826,Output_Mac!$A:$A,Output_Mac!E:E,""),
_xlpm.MyAuditVal,_xlfn.XLOOKUP($A826,My_Audit!$A:$A,My_Audit!E:E,""),
_xlfn.IFS(_xlpm.MyAuditVal&lt;&gt;"",_xlpm.MyAuditVal,_xlpm.MacVal&lt;&gt;"",_xlpm.MacVal,_xlpm.CSVVal&lt;&gt;"",_xlpm.CSVVal
)),"")</f>
        <v/>
      </c>
      <c r="G826" s="40" t="str" cm="1">
        <f t="array" ref="G826">IFERROR(_xlfn.LET(
_xlpm.CSVVal,_xlfn.XLOOKUP($A826,CSV!$A:$A,CSV!G:G,""),
_xlpm.MacVal,_xlfn.XLOOKUP($A826,Output_Mac!$A:$A,Output_Mac!F:F,""),
_xlpm.MyAuditVal,_xlfn.XLOOKUP($A826,My_Audit!$A:$A,My_Audit!F:F,""),
_xlfn.IFS(_xlpm.MyAuditVal&lt;&gt;"",_xlpm.MyAuditVal,_xlpm.MacVal&lt;&gt;"",_xlpm.MacVal,_xlpm.CSVVal&lt;&gt;"",PROPER(_xlpm.CSVVal)
)),"")</f>
        <v/>
      </c>
      <c r="H826" s="40" t="str" cm="1">
        <f t="array" ref="H826">IFERROR(_xlfn.LET(
_xlpm.CSVVal,_xlfn.XLOOKUP($A826,CSV!$A:$A,CSV!H:H,""),
_xlpm.MacVal,_xlfn.XLOOKUP($A826,Output_Mac!$A:$A,Output_Mac!H:H,""),
_xlpm.MyAuditVal,_xlfn.XLOOKUP($A826,My_Audit!$A:$A,My_Audit!G:G,""),
_xlfn.IFS(_xlpm.MyAuditVal&lt;&gt;"",_xlpm.MyAuditVal,_xlpm.MacVal&lt;&gt;"",_xlpm.MacVal,_xlpm.CSVVal&lt;&gt;"",_xlpm.CSVVal
)),"")</f>
        <v/>
      </c>
      <c r="I826" s="40" t="str">
        <f>_xlfn.XLOOKUP(A826,Output_Mac!A:A,Output_Mac!I:I,"")</f>
        <v/>
      </c>
      <c r="J826" s="40" t="str" cm="1">
        <f t="array" ref="J826">IFERROR(_xlfn.LET(
_xlpm.CSVVal,_xlfn.XLOOKUP($A826,CSV!$A:$A,CSV!I:I,""),
_xlpm.MacVal,_xlfn.XLOOKUP($A826,Output_Mac!$A:$A,Output_Mac!J:J,""),
_xlpm.MyAuditVal,_xlfn.XLOOKUP($A826,My_Audit!$A:$A,My_Audit!I:I,""),
_xlfn.IFS(_xlpm.MyAuditVal&lt;&gt;"",UPPER(_xlpm.MyAuditVal),_xlpm.MacVal&lt;&gt;"",_xlpm.MacVal,_xlpm.CSVVal&lt;&gt;"",_xlpm.CSVVal
)),"")</f>
        <v/>
      </c>
      <c r="K826" s="40" t="str" cm="1">
        <f t="array" ref="K826">IFERROR(_xlfn.LET(
_xlpm.CSVVal,_xlfn.XLOOKUP($A826,CSV!$A:$A,CSV!K:K,""),
_xlpm.MacVal,_xlfn.XLOOKUP($A826,Output_Mac!$A:$A,Output_Mac!K:K,""),
_xlpm.MyAuditVal,_xlfn.XLOOKUP($A826,My_Audit!$A:$A,My_Audit!J:J,""),
_xlfn.IFS(_xlpm.MyAuditVal&lt;&gt;"",UPPER(_xlpm.MyAuditVal),_xlpm.MacVal&lt;&gt;"",_xlpm.MacVal,_xlpm.CSVVal&lt;&gt;"",_xlpm.CSVVal
)),"")</f>
        <v/>
      </c>
      <c r="L826" s="40" t="str" cm="1">
        <f t="array" ref="L826">IFERROR(_xlfn.LET(
_xlpm.CSVVal,_xlfn.XLOOKUP($A826,CSV!$A:$A,CSV!P:P,""),
_xlpm.MacVal,_xlfn.XLOOKUP($A826,Output_Mac!$A:$A,Output_Mac!L:L,""),
_xlpm.MyAuditVal,_xlfn.XLOOKUP($A826,My_Audit!$A:$A,My_Audit!K:K,""),
_xlfn.IFS(_xlpm.MyAuditVal&lt;&gt;"",UPPER(_xlpm.MyAuditVal),_xlpm.MacVal&lt;&gt;"",_xlpm.MacVal,_xlpm.CSVVal&lt;&gt;"",_xlpm.CSVVal
)),"")</f>
        <v/>
      </c>
      <c r="M826" s="40" t="str" cm="1">
        <f t="array" ref="M826">IFERROR(_xlfn.LET(
_xlpm.CSVVal,_xlfn.XLOOKUP($A826,CSV!$A:$A,CSV!Q:Q,""),
_xlpm.MacVal,_xlfn.XLOOKUP($A826,Output_Mac!$A:$A,Output_Mac!M:M,""),
_xlpm.MyAuditVal,_xlfn.XLOOKUP($A826,My_Audit!$A:$A,My_Audit!L:L,""),
_xlfn.IFS(_xlpm.MyAuditVal&lt;&gt;"",UPPER(_xlpm.MyAuditVal),_xlpm.MacVal&lt;&gt;"",_xlpm.MacVal,_xlpm.CSVVal&lt;&gt;"",_xlpm.CSVVal
)),"")</f>
        <v/>
      </c>
      <c r="N826" s="40"/>
      <c r="O826" s="40" t="str">
        <f>_xlfn.LET(
    _xlpm.CSVVal, _xlfn.XLOOKUP($A826, CSV!$A:$A, CSV!AA:AA, ""),
    _xlpm.MacVal, _xlfn.XLOOKUP($A826, Output_Mac!$A:$A, Output_Mac!S:S, ""),
    _xlpm.MyAuditVal, _xlfn.XLOOKUP($A826, My_Audit!$A:$A, My_Audit!P:P, ""),
    _xlfn.TEXTJOIN(", ", TRUE, _xlpm.MyAuditVal, _xlpm.MacVal, _xlpm.CSVVal)
)</f>
        <v/>
      </c>
      <c r="P826" s="40" t="str" cm="1">
        <f t="array" ref="P826">IFERROR(_xlfn.LET(
_xlpm.CSVVal,_xlfn.XLOOKUP($A826,CSV!$A:$A,CSV!AB:AB,""),
_xlpm.MacVal,_xlfn.XLOOKUP($A826,Output_Mac!$A:$A,Output_Mac!T:T,""),
_xlpm.MyAuditVal,_xlfn.XLOOKUP($A826,My_Audit!$A:$A,My_Audit!Q:Q,""),
_xlfn.IFS(_xlpm.MyAuditVal&lt;&gt;"",UPPER(_xlpm.MyAuditVal),_xlpm.MacVal&lt;&gt;"",_xlpm.MacVal,_xlpm.CSVVal&lt;&gt;"",_xlpm.CSVVal
)),"No")</f>
        <v>No</v>
      </c>
      <c r="Q826" s="40" t="str" cm="1">
        <f t="array" ref="Q826">IFERROR(_xlfn.LET(
_xlpm.CSVVal,_xlfn.XLOOKUP($A826,CSV!$A:$A,CSV!AC:AC,""),
_xlpm.MacVal,_xlfn.XLOOKUP($A826,Output_Mac!$A:$A,Output_Mac!U:U,""),
_xlpm.MyAuditVal,_xlfn.XLOOKUP($A826,My_Audit!$A:$A,My_Audit!R:R,""),
_xlfn.IFS(_xlpm.MyAuditVal&lt;&gt;"",UPPER(_xlpm.MyAuditVal),_xlpm.MacVal&lt;&gt;"",_xlpm.MacVal,_xlpm.CSVVal&lt;&gt;"",_xlpm.CSVVal
)),"")</f>
        <v/>
      </c>
      <c r="R826" s="40"/>
      <c r="S826" s="40"/>
      <c r="T826" s="40"/>
      <c r="U826" s="40"/>
      <c r="V826" s="40"/>
      <c r="W826" s="40"/>
      <c r="X826" s="41" t="str">
        <f>_xlfn.LET(
    _xlpm.MacVal, _xlfn.XLOOKUP($A826, Output_Mac!$A:$A, Output_Mac!AB:AB, ""),
    _xlpm.MyAuditVal, _xlfn.XLOOKUP($A826, My_Audit!$A:$A, My_Audit!N:N, ""),
    _xlfn.TEXTJOIN(", ", TRUE, _xlpm.MyAuditVal, _xlpm.MacVal)
)</f>
        <v/>
      </c>
    </row>
    <row r="827" spans="1:24">
      <c r="A827" s="40" t="str">
        <f>_xlfn.TEXTJOIN("",TRUE,Input!$B$2,ROW(My_Audit!A826))</f>
        <v>X826</v>
      </c>
      <c r="B827" s="40" t="str">
        <f>_xlfn.TEXTJOIN("-",TRUE,"ITD",Input!$A$2,A827)</f>
        <v>ITD-X826</v>
      </c>
      <c r="C827" s="40" t="str" cm="1">
        <f t="array" ref="C827">IFERROR(_xlfn.LET(
_xlpm.CSVVal,_xlfn.XLOOKUP($A827,CSV!$A:$A,CSV!B:B,""),
_xlpm.MacVal,_xlfn.XLOOKUP($A827,Output_Mac!$A:$A,Output_Mac!B:B,""),
_xlpm.MyAuditVal,_xlfn.XLOOKUP($A827,My_Audit!$A:$A,My_Audit!B:B,""),
_xlfn.IFS(_xlpm.MyAuditVal&lt;&gt;"",UPPER(_xlpm.MyAuditVal),_xlpm.MacVal&lt;&gt;"",_xlpm.MacVal,_xlpm.CSVVal&lt;&gt;"",_xlpm.CSVVal
)),"")</f>
        <v/>
      </c>
      <c r="D827" s="40" t="str" cm="1">
        <f t="array" ref="D827">IFERROR(_xlfn.LET(
_xlpm.CSVVal,_xlfn.XLOOKUP($A827,CSV!$A:$A,CSV!D:D,""),
_xlpm.MacVal,_xlfn.XLOOKUP($A827,Output_Mac!$A:$A,Output_Mac!C:C,""),
_xlpm.MyAuditVal,_xlfn.XLOOKUP($A827,My_Audit!$A:$A,My_Audit!C:C,""),
_xlfn.IFS(_xlpm.MyAuditVal&lt;&gt;"",_xlpm.MyAuditVal,_xlpm.MacVal&lt;&gt;"",_xlpm.MacVal,_xlpm.CSVVal&lt;&gt;"",_xlpm.CSVVal
)),"")</f>
        <v/>
      </c>
      <c r="E827" s="40" t="str">
        <f>_xlfn.XLOOKUP(A827,My_Audit!A:A,My_Audit!D:D,"")</f>
        <v/>
      </c>
      <c r="F827" s="40" t="str" cm="1">
        <f t="array" ref="F827">IFERROR(_xlfn.LET(
_xlpm.CSVVal,_xlfn.XLOOKUP($A827,CSV!$A:$A,CSV!F:F,""),
_xlpm.MacVal,_xlfn.XLOOKUP($A827,Output_Mac!$A:$A,Output_Mac!E:E,""),
_xlpm.MyAuditVal,_xlfn.XLOOKUP($A827,My_Audit!$A:$A,My_Audit!E:E,""),
_xlfn.IFS(_xlpm.MyAuditVal&lt;&gt;"",_xlpm.MyAuditVal,_xlpm.MacVal&lt;&gt;"",_xlpm.MacVal,_xlpm.CSVVal&lt;&gt;"",_xlpm.CSVVal
)),"")</f>
        <v/>
      </c>
      <c r="G827" s="40" t="str" cm="1">
        <f t="array" ref="G827">IFERROR(_xlfn.LET(
_xlpm.CSVVal,_xlfn.XLOOKUP($A827,CSV!$A:$A,CSV!G:G,""),
_xlpm.MacVal,_xlfn.XLOOKUP($A827,Output_Mac!$A:$A,Output_Mac!F:F,""),
_xlpm.MyAuditVal,_xlfn.XLOOKUP($A827,My_Audit!$A:$A,My_Audit!F:F,""),
_xlfn.IFS(_xlpm.MyAuditVal&lt;&gt;"",_xlpm.MyAuditVal,_xlpm.MacVal&lt;&gt;"",_xlpm.MacVal,_xlpm.CSVVal&lt;&gt;"",PROPER(_xlpm.CSVVal)
)),"")</f>
        <v/>
      </c>
      <c r="H827" s="40" t="str" cm="1">
        <f t="array" ref="H827">IFERROR(_xlfn.LET(
_xlpm.CSVVal,_xlfn.XLOOKUP($A827,CSV!$A:$A,CSV!H:H,""),
_xlpm.MacVal,_xlfn.XLOOKUP($A827,Output_Mac!$A:$A,Output_Mac!H:H,""),
_xlpm.MyAuditVal,_xlfn.XLOOKUP($A827,My_Audit!$A:$A,My_Audit!G:G,""),
_xlfn.IFS(_xlpm.MyAuditVal&lt;&gt;"",_xlpm.MyAuditVal,_xlpm.MacVal&lt;&gt;"",_xlpm.MacVal,_xlpm.CSVVal&lt;&gt;"",_xlpm.CSVVal
)),"")</f>
        <v/>
      </c>
      <c r="I827" s="40" t="str">
        <f>_xlfn.XLOOKUP(A827,Output_Mac!A:A,Output_Mac!I:I,"")</f>
        <v/>
      </c>
      <c r="J827" s="40" t="str" cm="1">
        <f t="array" ref="J827">IFERROR(_xlfn.LET(
_xlpm.CSVVal,_xlfn.XLOOKUP($A827,CSV!$A:$A,CSV!I:I,""),
_xlpm.MacVal,_xlfn.XLOOKUP($A827,Output_Mac!$A:$A,Output_Mac!J:J,""),
_xlpm.MyAuditVal,_xlfn.XLOOKUP($A827,My_Audit!$A:$A,My_Audit!I:I,""),
_xlfn.IFS(_xlpm.MyAuditVal&lt;&gt;"",UPPER(_xlpm.MyAuditVal),_xlpm.MacVal&lt;&gt;"",_xlpm.MacVal,_xlpm.CSVVal&lt;&gt;"",_xlpm.CSVVal
)),"")</f>
        <v/>
      </c>
      <c r="K827" s="40" t="str" cm="1">
        <f t="array" ref="K827">IFERROR(_xlfn.LET(
_xlpm.CSVVal,_xlfn.XLOOKUP($A827,CSV!$A:$A,CSV!K:K,""),
_xlpm.MacVal,_xlfn.XLOOKUP($A827,Output_Mac!$A:$A,Output_Mac!K:K,""),
_xlpm.MyAuditVal,_xlfn.XLOOKUP($A827,My_Audit!$A:$A,My_Audit!J:J,""),
_xlfn.IFS(_xlpm.MyAuditVal&lt;&gt;"",UPPER(_xlpm.MyAuditVal),_xlpm.MacVal&lt;&gt;"",_xlpm.MacVal,_xlpm.CSVVal&lt;&gt;"",_xlpm.CSVVal
)),"")</f>
        <v/>
      </c>
      <c r="L827" s="40" t="str" cm="1">
        <f t="array" ref="L827">IFERROR(_xlfn.LET(
_xlpm.CSVVal,_xlfn.XLOOKUP($A827,CSV!$A:$A,CSV!P:P,""),
_xlpm.MacVal,_xlfn.XLOOKUP($A827,Output_Mac!$A:$A,Output_Mac!L:L,""),
_xlpm.MyAuditVal,_xlfn.XLOOKUP($A827,My_Audit!$A:$A,My_Audit!K:K,""),
_xlfn.IFS(_xlpm.MyAuditVal&lt;&gt;"",UPPER(_xlpm.MyAuditVal),_xlpm.MacVal&lt;&gt;"",_xlpm.MacVal,_xlpm.CSVVal&lt;&gt;"",_xlpm.CSVVal
)),"")</f>
        <v/>
      </c>
      <c r="M827" s="40" t="str" cm="1">
        <f t="array" ref="M827">IFERROR(_xlfn.LET(
_xlpm.CSVVal,_xlfn.XLOOKUP($A827,CSV!$A:$A,CSV!Q:Q,""),
_xlpm.MacVal,_xlfn.XLOOKUP($A827,Output_Mac!$A:$A,Output_Mac!M:M,""),
_xlpm.MyAuditVal,_xlfn.XLOOKUP($A827,My_Audit!$A:$A,My_Audit!L:L,""),
_xlfn.IFS(_xlpm.MyAuditVal&lt;&gt;"",UPPER(_xlpm.MyAuditVal),_xlpm.MacVal&lt;&gt;"",_xlpm.MacVal,_xlpm.CSVVal&lt;&gt;"",_xlpm.CSVVal
)),"")</f>
        <v/>
      </c>
      <c r="N827" s="40"/>
      <c r="O827" s="40" t="str">
        <f>_xlfn.LET(
    _xlpm.CSVVal, _xlfn.XLOOKUP($A827, CSV!$A:$A, CSV!AA:AA, ""),
    _xlpm.MacVal, _xlfn.XLOOKUP($A827, Output_Mac!$A:$A, Output_Mac!S:S, ""),
    _xlpm.MyAuditVal, _xlfn.XLOOKUP($A827, My_Audit!$A:$A, My_Audit!P:P, ""),
    _xlfn.TEXTJOIN(", ", TRUE, _xlpm.MyAuditVal, _xlpm.MacVal, _xlpm.CSVVal)
)</f>
        <v/>
      </c>
      <c r="P827" s="40" t="str" cm="1">
        <f t="array" ref="P827">IFERROR(_xlfn.LET(
_xlpm.CSVVal,_xlfn.XLOOKUP($A827,CSV!$A:$A,CSV!AB:AB,""),
_xlpm.MacVal,_xlfn.XLOOKUP($A827,Output_Mac!$A:$A,Output_Mac!T:T,""),
_xlpm.MyAuditVal,_xlfn.XLOOKUP($A827,My_Audit!$A:$A,My_Audit!Q:Q,""),
_xlfn.IFS(_xlpm.MyAuditVal&lt;&gt;"",UPPER(_xlpm.MyAuditVal),_xlpm.MacVal&lt;&gt;"",_xlpm.MacVal,_xlpm.CSVVal&lt;&gt;"",_xlpm.CSVVal
)),"No")</f>
        <v>No</v>
      </c>
      <c r="Q827" s="40" t="str" cm="1">
        <f t="array" ref="Q827">IFERROR(_xlfn.LET(
_xlpm.CSVVal,_xlfn.XLOOKUP($A827,CSV!$A:$A,CSV!AC:AC,""),
_xlpm.MacVal,_xlfn.XLOOKUP($A827,Output_Mac!$A:$A,Output_Mac!U:U,""),
_xlpm.MyAuditVal,_xlfn.XLOOKUP($A827,My_Audit!$A:$A,My_Audit!R:R,""),
_xlfn.IFS(_xlpm.MyAuditVal&lt;&gt;"",UPPER(_xlpm.MyAuditVal),_xlpm.MacVal&lt;&gt;"",_xlpm.MacVal,_xlpm.CSVVal&lt;&gt;"",_xlpm.CSVVal
)),"")</f>
        <v/>
      </c>
      <c r="R827" s="40"/>
      <c r="S827" s="40"/>
      <c r="T827" s="40"/>
      <c r="U827" s="40"/>
      <c r="V827" s="40"/>
      <c r="W827" s="40"/>
      <c r="X827" s="41" t="str">
        <f>_xlfn.LET(
    _xlpm.MacVal, _xlfn.XLOOKUP($A827, Output_Mac!$A:$A, Output_Mac!AB:AB, ""),
    _xlpm.MyAuditVal, _xlfn.XLOOKUP($A827, My_Audit!$A:$A, My_Audit!N:N, ""),
    _xlfn.TEXTJOIN(", ", TRUE, _xlpm.MyAuditVal, _xlpm.MacVal)
)</f>
        <v/>
      </c>
    </row>
    <row r="828" spans="1:24">
      <c r="A828" s="40" t="str">
        <f>_xlfn.TEXTJOIN("",TRUE,Input!$B$2,ROW(My_Audit!A827))</f>
        <v>X827</v>
      </c>
      <c r="B828" s="40" t="str">
        <f>_xlfn.TEXTJOIN("-",TRUE,"ITD",Input!$A$2,A828)</f>
        <v>ITD-X827</v>
      </c>
      <c r="C828" s="40" t="str" cm="1">
        <f t="array" ref="C828">IFERROR(_xlfn.LET(
_xlpm.CSVVal,_xlfn.XLOOKUP($A828,CSV!$A:$A,CSV!B:B,""),
_xlpm.MacVal,_xlfn.XLOOKUP($A828,Output_Mac!$A:$A,Output_Mac!B:B,""),
_xlpm.MyAuditVal,_xlfn.XLOOKUP($A828,My_Audit!$A:$A,My_Audit!B:B,""),
_xlfn.IFS(_xlpm.MyAuditVal&lt;&gt;"",UPPER(_xlpm.MyAuditVal),_xlpm.MacVal&lt;&gt;"",_xlpm.MacVal,_xlpm.CSVVal&lt;&gt;"",_xlpm.CSVVal
)),"")</f>
        <v/>
      </c>
      <c r="D828" s="40" t="str" cm="1">
        <f t="array" ref="D828">IFERROR(_xlfn.LET(
_xlpm.CSVVal,_xlfn.XLOOKUP($A828,CSV!$A:$A,CSV!D:D,""),
_xlpm.MacVal,_xlfn.XLOOKUP($A828,Output_Mac!$A:$A,Output_Mac!C:C,""),
_xlpm.MyAuditVal,_xlfn.XLOOKUP($A828,My_Audit!$A:$A,My_Audit!C:C,""),
_xlfn.IFS(_xlpm.MyAuditVal&lt;&gt;"",_xlpm.MyAuditVal,_xlpm.MacVal&lt;&gt;"",_xlpm.MacVal,_xlpm.CSVVal&lt;&gt;"",_xlpm.CSVVal
)),"")</f>
        <v/>
      </c>
      <c r="E828" s="40" t="str">
        <f>_xlfn.XLOOKUP(A828,My_Audit!A:A,My_Audit!D:D,"")</f>
        <v/>
      </c>
      <c r="F828" s="40" t="str" cm="1">
        <f t="array" ref="F828">IFERROR(_xlfn.LET(
_xlpm.CSVVal,_xlfn.XLOOKUP($A828,CSV!$A:$A,CSV!F:F,""),
_xlpm.MacVal,_xlfn.XLOOKUP($A828,Output_Mac!$A:$A,Output_Mac!E:E,""),
_xlpm.MyAuditVal,_xlfn.XLOOKUP($A828,My_Audit!$A:$A,My_Audit!E:E,""),
_xlfn.IFS(_xlpm.MyAuditVal&lt;&gt;"",_xlpm.MyAuditVal,_xlpm.MacVal&lt;&gt;"",_xlpm.MacVal,_xlpm.CSVVal&lt;&gt;"",_xlpm.CSVVal
)),"")</f>
        <v/>
      </c>
      <c r="G828" s="40" t="str" cm="1">
        <f t="array" ref="G828">IFERROR(_xlfn.LET(
_xlpm.CSVVal,_xlfn.XLOOKUP($A828,CSV!$A:$A,CSV!G:G,""),
_xlpm.MacVal,_xlfn.XLOOKUP($A828,Output_Mac!$A:$A,Output_Mac!F:F,""),
_xlpm.MyAuditVal,_xlfn.XLOOKUP($A828,My_Audit!$A:$A,My_Audit!F:F,""),
_xlfn.IFS(_xlpm.MyAuditVal&lt;&gt;"",_xlpm.MyAuditVal,_xlpm.MacVal&lt;&gt;"",_xlpm.MacVal,_xlpm.CSVVal&lt;&gt;"",PROPER(_xlpm.CSVVal)
)),"")</f>
        <v/>
      </c>
      <c r="H828" s="40" t="str" cm="1">
        <f t="array" ref="H828">IFERROR(_xlfn.LET(
_xlpm.CSVVal,_xlfn.XLOOKUP($A828,CSV!$A:$A,CSV!H:H,""),
_xlpm.MacVal,_xlfn.XLOOKUP($A828,Output_Mac!$A:$A,Output_Mac!H:H,""),
_xlpm.MyAuditVal,_xlfn.XLOOKUP($A828,My_Audit!$A:$A,My_Audit!G:G,""),
_xlfn.IFS(_xlpm.MyAuditVal&lt;&gt;"",_xlpm.MyAuditVal,_xlpm.MacVal&lt;&gt;"",_xlpm.MacVal,_xlpm.CSVVal&lt;&gt;"",_xlpm.CSVVal
)),"")</f>
        <v/>
      </c>
      <c r="I828" s="40" t="str">
        <f>_xlfn.XLOOKUP(A828,Output_Mac!A:A,Output_Mac!I:I,"")</f>
        <v/>
      </c>
      <c r="J828" s="40" t="str" cm="1">
        <f t="array" ref="J828">IFERROR(_xlfn.LET(
_xlpm.CSVVal,_xlfn.XLOOKUP($A828,CSV!$A:$A,CSV!I:I,""),
_xlpm.MacVal,_xlfn.XLOOKUP($A828,Output_Mac!$A:$A,Output_Mac!J:J,""),
_xlpm.MyAuditVal,_xlfn.XLOOKUP($A828,My_Audit!$A:$A,My_Audit!I:I,""),
_xlfn.IFS(_xlpm.MyAuditVal&lt;&gt;"",UPPER(_xlpm.MyAuditVal),_xlpm.MacVal&lt;&gt;"",_xlpm.MacVal,_xlpm.CSVVal&lt;&gt;"",_xlpm.CSVVal
)),"")</f>
        <v/>
      </c>
      <c r="K828" s="40" t="str" cm="1">
        <f t="array" ref="K828">IFERROR(_xlfn.LET(
_xlpm.CSVVal,_xlfn.XLOOKUP($A828,CSV!$A:$A,CSV!K:K,""),
_xlpm.MacVal,_xlfn.XLOOKUP($A828,Output_Mac!$A:$A,Output_Mac!K:K,""),
_xlpm.MyAuditVal,_xlfn.XLOOKUP($A828,My_Audit!$A:$A,My_Audit!J:J,""),
_xlfn.IFS(_xlpm.MyAuditVal&lt;&gt;"",UPPER(_xlpm.MyAuditVal),_xlpm.MacVal&lt;&gt;"",_xlpm.MacVal,_xlpm.CSVVal&lt;&gt;"",_xlpm.CSVVal
)),"")</f>
        <v/>
      </c>
      <c r="L828" s="40" t="str" cm="1">
        <f t="array" ref="L828">IFERROR(_xlfn.LET(
_xlpm.CSVVal,_xlfn.XLOOKUP($A828,CSV!$A:$A,CSV!P:P,""),
_xlpm.MacVal,_xlfn.XLOOKUP($A828,Output_Mac!$A:$A,Output_Mac!L:L,""),
_xlpm.MyAuditVal,_xlfn.XLOOKUP($A828,My_Audit!$A:$A,My_Audit!K:K,""),
_xlfn.IFS(_xlpm.MyAuditVal&lt;&gt;"",UPPER(_xlpm.MyAuditVal),_xlpm.MacVal&lt;&gt;"",_xlpm.MacVal,_xlpm.CSVVal&lt;&gt;"",_xlpm.CSVVal
)),"")</f>
        <v/>
      </c>
      <c r="M828" s="40" t="str" cm="1">
        <f t="array" ref="M828">IFERROR(_xlfn.LET(
_xlpm.CSVVal,_xlfn.XLOOKUP($A828,CSV!$A:$A,CSV!Q:Q,""),
_xlpm.MacVal,_xlfn.XLOOKUP($A828,Output_Mac!$A:$A,Output_Mac!M:M,""),
_xlpm.MyAuditVal,_xlfn.XLOOKUP($A828,My_Audit!$A:$A,My_Audit!L:L,""),
_xlfn.IFS(_xlpm.MyAuditVal&lt;&gt;"",UPPER(_xlpm.MyAuditVal),_xlpm.MacVal&lt;&gt;"",_xlpm.MacVal,_xlpm.CSVVal&lt;&gt;"",_xlpm.CSVVal
)),"")</f>
        <v/>
      </c>
      <c r="N828" s="40"/>
      <c r="O828" s="40" t="str">
        <f>_xlfn.LET(
    _xlpm.CSVVal, _xlfn.XLOOKUP($A828, CSV!$A:$A, CSV!AA:AA, ""),
    _xlpm.MacVal, _xlfn.XLOOKUP($A828, Output_Mac!$A:$A, Output_Mac!S:S, ""),
    _xlpm.MyAuditVal, _xlfn.XLOOKUP($A828, My_Audit!$A:$A, My_Audit!P:P, ""),
    _xlfn.TEXTJOIN(", ", TRUE, _xlpm.MyAuditVal, _xlpm.MacVal, _xlpm.CSVVal)
)</f>
        <v/>
      </c>
      <c r="P828" s="40" t="str" cm="1">
        <f t="array" ref="P828">IFERROR(_xlfn.LET(
_xlpm.CSVVal,_xlfn.XLOOKUP($A828,CSV!$A:$A,CSV!AB:AB,""),
_xlpm.MacVal,_xlfn.XLOOKUP($A828,Output_Mac!$A:$A,Output_Mac!T:T,""),
_xlpm.MyAuditVal,_xlfn.XLOOKUP($A828,My_Audit!$A:$A,My_Audit!Q:Q,""),
_xlfn.IFS(_xlpm.MyAuditVal&lt;&gt;"",UPPER(_xlpm.MyAuditVal),_xlpm.MacVal&lt;&gt;"",_xlpm.MacVal,_xlpm.CSVVal&lt;&gt;"",_xlpm.CSVVal
)),"No")</f>
        <v>No</v>
      </c>
      <c r="Q828" s="40" t="str" cm="1">
        <f t="array" ref="Q828">IFERROR(_xlfn.LET(
_xlpm.CSVVal,_xlfn.XLOOKUP($A828,CSV!$A:$A,CSV!AC:AC,""),
_xlpm.MacVal,_xlfn.XLOOKUP($A828,Output_Mac!$A:$A,Output_Mac!U:U,""),
_xlpm.MyAuditVal,_xlfn.XLOOKUP($A828,My_Audit!$A:$A,My_Audit!R:R,""),
_xlfn.IFS(_xlpm.MyAuditVal&lt;&gt;"",UPPER(_xlpm.MyAuditVal),_xlpm.MacVal&lt;&gt;"",_xlpm.MacVal,_xlpm.CSVVal&lt;&gt;"",_xlpm.CSVVal
)),"")</f>
        <v/>
      </c>
      <c r="R828" s="40"/>
      <c r="S828" s="40"/>
      <c r="T828" s="40"/>
      <c r="U828" s="40"/>
      <c r="V828" s="40"/>
      <c r="W828" s="40"/>
      <c r="X828" s="41" t="str">
        <f>_xlfn.LET(
    _xlpm.MacVal, _xlfn.XLOOKUP($A828, Output_Mac!$A:$A, Output_Mac!AB:AB, ""),
    _xlpm.MyAuditVal, _xlfn.XLOOKUP($A828, My_Audit!$A:$A, My_Audit!N:N, ""),
    _xlfn.TEXTJOIN(", ", TRUE, _xlpm.MyAuditVal, _xlpm.MacVal)
)</f>
        <v/>
      </c>
    </row>
    <row r="829" spans="1:24">
      <c r="A829" s="40" t="str">
        <f>_xlfn.TEXTJOIN("",TRUE,Input!$B$2,ROW(My_Audit!A828))</f>
        <v>X828</v>
      </c>
      <c r="B829" s="40" t="str">
        <f>_xlfn.TEXTJOIN("-",TRUE,"ITD",Input!$A$2,A829)</f>
        <v>ITD-X828</v>
      </c>
      <c r="C829" s="40" t="str" cm="1">
        <f t="array" ref="C829">IFERROR(_xlfn.LET(
_xlpm.CSVVal,_xlfn.XLOOKUP($A829,CSV!$A:$A,CSV!B:B,""),
_xlpm.MacVal,_xlfn.XLOOKUP($A829,Output_Mac!$A:$A,Output_Mac!B:B,""),
_xlpm.MyAuditVal,_xlfn.XLOOKUP($A829,My_Audit!$A:$A,My_Audit!B:B,""),
_xlfn.IFS(_xlpm.MyAuditVal&lt;&gt;"",UPPER(_xlpm.MyAuditVal),_xlpm.MacVal&lt;&gt;"",_xlpm.MacVal,_xlpm.CSVVal&lt;&gt;"",_xlpm.CSVVal
)),"")</f>
        <v/>
      </c>
      <c r="D829" s="40" t="str" cm="1">
        <f t="array" ref="D829">IFERROR(_xlfn.LET(
_xlpm.CSVVal,_xlfn.XLOOKUP($A829,CSV!$A:$A,CSV!D:D,""),
_xlpm.MacVal,_xlfn.XLOOKUP($A829,Output_Mac!$A:$A,Output_Mac!C:C,""),
_xlpm.MyAuditVal,_xlfn.XLOOKUP($A829,My_Audit!$A:$A,My_Audit!C:C,""),
_xlfn.IFS(_xlpm.MyAuditVal&lt;&gt;"",_xlpm.MyAuditVal,_xlpm.MacVal&lt;&gt;"",_xlpm.MacVal,_xlpm.CSVVal&lt;&gt;"",_xlpm.CSVVal
)),"")</f>
        <v/>
      </c>
      <c r="E829" s="40" t="str">
        <f>_xlfn.XLOOKUP(A829,My_Audit!A:A,My_Audit!D:D,"")</f>
        <v/>
      </c>
      <c r="F829" s="40" t="str" cm="1">
        <f t="array" ref="F829">IFERROR(_xlfn.LET(
_xlpm.CSVVal,_xlfn.XLOOKUP($A829,CSV!$A:$A,CSV!F:F,""),
_xlpm.MacVal,_xlfn.XLOOKUP($A829,Output_Mac!$A:$A,Output_Mac!E:E,""),
_xlpm.MyAuditVal,_xlfn.XLOOKUP($A829,My_Audit!$A:$A,My_Audit!E:E,""),
_xlfn.IFS(_xlpm.MyAuditVal&lt;&gt;"",_xlpm.MyAuditVal,_xlpm.MacVal&lt;&gt;"",_xlpm.MacVal,_xlpm.CSVVal&lt;&gt;"",_xlpm.CSVVal
)),"")</f>
        <v/>
      </c>
      <c r="G829" s="40" t="str" cm="1">
        <f t="array" ref="G829">IFERROR(_xlfn.LET(
_xlpm.CSVVal,_xlfn.XLOOKUP($A829,CSV!$A:$A,CSV!G:G,""),
_xlpm.MacVal,_xlfn.XLOOKUP($A829,Output_Mac!$A:$A,Output_Mac!F:F,""),
_xlpm.MyAuditVal,_xlfn.XLOOKUP($A829,My_Audit!$A:$A,My_Audit!F:F,""),
_xlfn.IFS(_xlpm.MyAuditVal&lt;&gt;"",_xlpm.MyAuditVal,_xlpm.MacVal&lt;&gt;"",_xlpm.MacVal,_xlpm.CSVVal&lt;&gt;"",PROPER(_xlpm.CSVVal)
)),"")</f>
        <v/>
      </c>
      <c r="H829" s="40" t="str" cm="1">
        <f t="array" ref="H829">IFERROR(_xlfn.LET(
_xlpm.CSVVal,_xlfn.XLOOKUP($A829,CSV!$A:$A,CSV!H:H,""),
_xlpm.MacVal,_xlfn.XLOOKUP($A829,Output_Mac!$A:$A,Output_Mac!H:H,""),
_xlpm.MyAuditVal,_xlfn.XLOOKUP($A829,My_Audit!$A:$A,My_Audit!G:G,""),
_xlfn.IFS(_xlpm.MyAuditVal&lt;&gt;"",_xlpm.MyAuditVal,_xlpm.MacVal&lt;&gt;"",_xlpm.MacVal,_xlpm.CSVVal&lt;&gt;"",_xlpm.CSVVal
)),"")</f>
        <v/>
      </c>
      <c r="I829" s="40" t="str">
        <f>_xlfn.XLOOKUP(A829,Output_Mac!A:A,Output_Mac!I:I,"")</f>
        <v/>
      </c>
      <c r="J829" s="40" t="str" cm="1">
        <f t="array" ref="J829">IFERROR(_xlfn.LET(
_xlpm.CSVVal,_xlfn.XLOOKUP($A829,CSV!$A:$A,CSV!I:I,""),
_xlpm.MacVal,_xlfn.XLOOKUP($A829,Output_Mac!$A:$A,Output_Mac!J:J,""),
_xlpm.MyAuditVal,_xlfn.XLOOKUP($A829,My_Audit!$A:$A,My_Audit!I:I,""),
_xlfn.IFS(_xlpm.MyAuditVal&lt;&gt;"",UPPER(_xlpm.MyAuditVal),_xlpm.MacVal&lt;&gt;"",_xlpm.MacVal,_xlpm.CSVVal&lt;&gt;"",_xlpm.CSVVal
)),"")</f>
        <v/>
      </c>
      <c r="K829" s="40" t="str" cm="1">
        <f t="array" ref="K829">IFERROR(_xlfn.LET(
_xlpm.CSVVal,_xlfn.XLOOKUP($A829,CSV!$A:$A,CSV!K:K,""),
_xlpm.MacVal,_xlfn.XLOOKUP($A829,Output_Mac!$A:$A,Output_Mac!K:K,""),
_xlpm.MyAuditVal,_xlfn.XLOOKUP($A829,My_Audit!$A:$A,My_Audit!J:J,""),
_xlfn.IFS(_xlpm.MyAuditVal&lt;&gt;"",UPPER(_xlpm.MyAuditVal),_xlpm.MacVal&lt;&gt;"",_xlpm.MacVal,_xlpm.CSVVal&lt;&gt;"",_xlpm.CSVVal
)),"")</f>
        <v/>
      </c>
      <c r="L829" s="40" t="str" cm="1">
        <f t="array" ref="L829">IFERROR(_xlfn.LET(
_xlpm.CSVVal,_xlfn.XLOOKUP($A829,CSV!$A:$A,CSV!P:P,""),
_xlpm.MacVal,_xlfn.XLOOKUP($A829,Output_Mac!$A:$A,Output_Mac!L:L,""),
_xlpm.MyAuditVal,_xlfn.XLOOKUP($A829,My_Audit!$A:$A,My_Audit!K:K,""),
_xlfn.IFS(_xlpm.MyAuditVal&lt;&gt;"",UPPER(_xlpm.MyAuditVal),_xlpm.MacVal&lt;&gt;"",_xlpm.MacVal,_xlpm.CSVVal&lt;&gt;"",_xlpm.CSVVal
)),"")</f>
        <v/>
      </c>
      <c r="M829" s="40" t="str" cm="1">
        <f t="array" ref="M829">IFERROR(_xlfn.LET(
_xlpm.CSVVal,_xlfn.XLOOKUP($A829,CSV!$A:$A,CSV!Q:Q,""),
_xlpm.MacVal,_xlfn.XLOOKUP($A829,Output_Mac!$A:$A,Output_Mac!M:M,""),
_xlpm.MyAuditVal,_xlfn.XLOOKUP($A829,My_Audit!$A:$A,My_Audit!L:L,""),
_xlfn.IFS(_xlpm.MyAuditVal&lt;&gt;"",UPPER(_xlpm.MyAuditVal),_xlpm.MacVal&lt;&gt;"",_xlpm.MacVal,_xlpm.CSVVal&lt;&gt;"",_xlpm.CSVVal
)),"")</f>
        <v/>
      </c>
      <c r="N829" s="40"/>
      <c r="O829" s="40" t="str">
        <f>_xlfn.LET(
    _xlpm.CSVVal, _xlfn.XLOOKUP($A829, CSV!$A:$A, CSV!AA:AA, ""),
    _xlpm.MacVal, _xlfn.XLOOKUP($A829, Output_Mac!$A:$A, Output_Mac!S:S, ""),
    _xlpm.MyAuditVal, _xlfn.XLOOKUP($A829, My_Audit!$A:$A, My_Audit!P:P, ""),
    _xlfn.TEXTJOIN(", ", TRUE, _xlpm.MyAuditVal, _xlpm.MacVal, _xlpm.CSVVal)
)</f>
        <v/>
      </c>
      <c r="P829" s="40" t="str" cm="1">
        <f t="array" ref="P829">IFERROR(_xlfn.LET(
_xlpm.CSVVal,_xlfn.XLOOKUP($A829,CSV!$A:$A,CSV!AB:AB,""),
_xlpm.MacVal,_xlfn.XLOOKUP($A829,Output_Mac!$A:$A,Output_Mac!T:T,""),
_xlpm.MyAuditVal,_xlfn.XLOOKUP($A829,My_Audit!$A:$A,My_Audit!Q:Q,""),
_xlfn.IFS(_xlpm.MyAuditVal&lt;&gt;"",UPPER(_xlpm.MyAuditVal),_xlpm.MacVal&lt;&gt;"",_xlpm.MacVal,_xlpm.CSVVal&lt;&gt;"",_xlpm.CSVVal
)),"No")</f>
        <v>No</v>
      </c>
      <c r="Q829" s="40" t="str" cm="1">
        <f t="array" ref="Q829">IFERROR(_xlfn.LET(
_xlpm.CSVVal,_xlfn.XLOOKUP($A829,CSV!$A:$A,CSV!AC:AC,""),
_xlpm.MacVal,_xlfn.XLOOKUP($A829,Output_Mac!$A:$A,Output_Mac!U:U,""),
_xlpm.MyAuditVal,_xlfn.XLOOKUP($A829,My_Audit!$A:$A,My_Audit!R:R,""),
_xlfn.IFS(_xlpm.MyAuditVal&lt;&gt;"",UPPER(_xlpm.MyAuditVal),_xlpm.MacVal&lt;&gt;"",_xlpm.MacVal,_xlpm.CSVVal&lt;&gt;"",_xlpm.CSVVal
)),"")</f>
        <v/>
      </c>
      <c r="R829" s="40"/>
      <c r="S829" s="40"/>
      <c r="T829" s="40"/>
      <c r="U829" s="40"/>
      <c r="V829" s="40"/>
      <c r="W829" s="40"/>
      <c r="X829" s="41" t="str">
        <f>_xlfn.LET(
    _xlpm.MacVal, _xlfn.XLOOKUP($A829, Output_Mac!$A:$A, Output_Mac!AB:AB, ""),
    _xlpm.MyAuditVal, _xlfn.XLOOKUP($A829, My_Audit!$A:$A, My_Audit!N:N, ""),
    _xlfn.TEXTJOIN(", ", TRUE, _xlpm.MyAuditVal, _xlpm.MacVal)
)</f>
        <v/>
      </c>
    </row>
    <row r="830" spans="1:24">
      <c r="A830" s="40" t="str">
        <f>_xlfn.TEXTJOIN("",TRUE,Input!$B$2,ROW(My_Audit!A829))</f>
        <v>X829</v>
      </c>
      <c r="B830" s="40" t="str">
        <f>_xlfn.TEXTJOIN("-",TRUE,"ITD",Input!$A$2,A830)</f>
        <v>ITD-X829</v>
      </c>
      <c r="C830" s="40" t="str" cm="1">
        <f t="array" ref="C830">IFERROR(_xlfn.LET(
_xlpm.CSVVal,_xlfn.XLOOKUP($A830,CSV!$A:$A,CSV!B:B,""),
_xlpm.MacVal,_xlfn.XLOOKUP($A830,Output_Mac!$A:$A,Output_Mac!B:B,""),
_xlpm.MyAuditVal,_xlfn.XLOOKUP($A830,My_Audit!$A:$A,My_Audit!B:B,""),
_xlfn.IFS(_xlpm.MyAuditVal&lt;&gt;"",UPPER(_xlpm.MyAuditVal),_xlpm.MacVal&lt;&gt;"",_xlpm.MacVal,_xlpm.CSVVal&lt;&gt;"",_xlpm.CSVVal
)),"")</f>
        <v/>
      </c>
      <c r="D830" s="40" t="str" cm="1">
        <f t="array" ref="D830">IFERROR(_xlfn.LET(
_xlpm.CSVVal,_xlfn.XLOOKUP($A830,CSV!$A:$A,CSV!D:D,""),
_xlpm.MacVal,_xlfn.XLOOKUP($A830,Output_Mac!$A:$A,Output_Mac!C:C,""),
_xlpm.MyAuditVal,_xlfn.XLOOKUP($A830,My_Audit!$A:$A,My_Audit!C:C,""),
_xlfn.IFS(_xlpm.MyAuditVal&lt;&gt;"",_xlpm.MyAuditVal,_xlpm.MacVal&lt;&gt;"",_xlpm.MacVal,_xlpm.CSVVal&lt;&gt;"",_xlpm.CSVVal
)),"")</f>
        <v/>
      </c>
      <c r="E830" s="40" t="str">
        <f>_xlfn.XLOOKUP(A830,My_Audit!A:A,My_Audit!D:D,"")</f>
        <v/>
      </c>
      <c r="F830" s="40" t="str" cm="1">
        <f t="array" ref="F830">IFERROR(_xlfn.LET(
_xlpm.CSVVal,_xlfn.XLOOKUP($A830,CSV!$A:$A,CSV!F:F,""),
_xlpm.MacVal,_xlfn.XLOOKUP($A830,Output_Mac!$A:$A,Output_Mac!E:E,""),
_xlpm.MyAuditVal,_xlfn.XLOOKUP($A830,My_Audit!$A:$A,My_Audit!E:E,""),
_xlfn.IFS(_xlpm.MyAuditVal&lt;&gt;"",_xlpm.MyAuditVal,_xlpm.MacVal&lt;&gt;"",_xlpm.MacVal,_xlpm.CSVVal&lt;&gt;"",_xlpm.CSVVal
)),"")</f>
        <v/>
      </c>
      <c r="G830" s="40" t="str" cm="1">
        <f t="array" ref="G830">IFERROR(_xlfn.LET(
_xlpm.CSVVal,_xlfn.XLOOKUP($A830,CSV!$A:$A,CSV!G:G,""),
_xlpm.MacVal,_xlfn.XLOOKUP($A830,Output_Mac!$A:$A,Output_Mac!F:F,""),
_xlpm.MyAuditVal,_xlfn.XLOOKUP($A830,My_Audit!$A:$A,My_Audit!F:F,""),
_xlfn.IFS(_xlpm.MyAuditVal&lt;&gt;"",_xlpm.MyAuditVal,_xlpm.MacVal&lt;&gt;"",_xlpm.MacVal,_xlpm.CSVVal&lt;&gt;"",PROPER(_xlpm.CSVVal)
)),"")</f>
        <v/>
      </c>
      <c r="H830" s="40" t="str" cm="1">
        <f t="array" ref="H830">IFERROR(_xlfn.LET(
_xlpm.CSVVal,_xlfn.XLOOKUP($A830,CSV!$A:$A,CSV!H:H,""),
_xlpm.MacVal,_xlfn.XLOOKUP($A830,Output_Mac!$A:$A,Output_Mac!H:H,""),
_xlpm.MyAuditVal,_xlfn.XLOOKUP($A830,My_Audit!$A:$A,My_Audit!G:G,""),
_xlfn.IFS(_xlpm.MyAuditVal&lt;&gt;"",_xlpm.MyAuditVal,_xlpm.MacVal&lt;&gt;"",_xlpm.MacVal,_xlpm.CSVVal&lt;&gt;"",_xlpm.CSVVal
)),"")</f>
        <v/>
      </c>
      <c r="I830" s="40" t="str">
        <f>_xlfn.XLOOKUP(A830,Output_Mac!A:A,Output_Mac!I:I,"")</f>
        <v/>
      </c>
      <c r="J830" s="40" t="str" cm="1">
        <f t="array" ref="J830">IFERROR(_xlfn.LET(
_xlpm.CSVVal,_xlfn.XLOOKUP($A830,CSV!$A:$A,CSV!I:I,""),
_xlpm.MacVal,_xlfn.XLOOKUP($A830,Output_Mac!$A:$A,Output_Mac!J:J,""),
_xlpm.MyAuditVal,_xlfn.XLOOKUP($A830,My_Audit!$A:$A,My_Audit!I:I,""),
_xlfn.IFS(_xlpm.MyAuditVal&lt;&gt;"",UPPER(_xlpm.MyAuditVal),_xlpm.MacVal&lt;&gt;"",_xlpm.MacVal,_xlpm.CSVVal&lt;&gt;"",_xlpm.CSVVal
)),"")</f>
        <v/>
      </c>
      <c r="K830" s="40" t="str" cm="1">
        <f t="array" ref="K830">IFERROR(_xlfn.LET(
_xlpm.CSVVal,_xlfn.XLOOKUP($A830,CSV!$A:$A,CSV!K:K,""),
_xlpm.MacVal,_xlfn.XLOOKUP($A830,Output_Mac!$A:$A,Output_Mac!K:K,""),
_xlpm.MyAuditVal,_xlfn.XLOOKUP($A830,My_Audit!$A:$A,My_Audit!J:J,""),
_xlfn.IFS(_xlpm.MyAuditVal&lt;&gt;"",UPPER(_xlpm.MyAuditVal),_xlpm.MacVal&lt;&gt;"",_xlpm.MacVal,_xlpm.CSVVal&lt;&gt;"",_xlpm.CSVVal
)),"")</f>
        <v/>
      </c>
      <c r="L830" s="40" t="str" cm="1">
        <f t="array" ref="L830">IFERROR(_xlfn.LET(
_xlpm.CSVVal,_xlfn.XLOOKUP($A830,CSV!$A:$A,CSV!P:P,""),
_xlpm.MacVal,_xlfn.XLOOKUP($A830,Output_Mac!$A:$A,Output_Mac!L:L,""),
_xlpm.MyAuditVal,_xlfn.XLOOKUP($A830,My_Audit!$A:$A,My_Audit!K:K,""),
_xlfn.IFS(_xlpm.MyAuditVal&lt;&gt;"",UPPER(_xlpm.MyAuditVal),_xlpm.MacVal&lt;&gt;"",_xlpm.MacVal,_xlpm.CSVVal&lt;&gt;"",_xlpm.CSVVal
)),"")</f>
        <v/>
      </c>
      <c r="M830" s="40" t="str" cm="1">
        <f t="array" ref="M830">IFERROR(_xlfn.LET(
_xlpm.CSVVal,_xlfn.XLOOKUP($A830,CSV!$A:$A,CSV!Q:Q,""),
_xlpm.MacVal,_xlfn.XLOOKUP($A830,Output_Mac!$A:$A,Output_Mac!M:M,""),
_xlpm.MyAuditVal,_xlfn.XLOOKUP($A830,My_Audit!$A:$A,My_Audit!L:L,""),
_xlfn.IFS(_xlpm.MyAuditVal&lt;&gt;"",UPPER(_xlpm.MyAuditVal),_xlpm.MacVal&lt;&gt;"",_xlpm.MacVal,_xlpm.CSVVal&lt;&gt;"",_xlpm.CSVVal
)),"")</f>
        <v/>
      </c>
      <c r="N830" s="40"/>
      <c r="O830" s="40" t="str">
        <f>_xlfn.LET(
    _xlpm.CSVVal, _xlfn.XLOOKUP($A830, CSV!$A:$A, CSV!AA:AA, ""),
    _xlpm.MacVal, _xlfn.XLOOKUP($A830, Output_Mac!$A:$A, Output_Mac!S:S, ""),
    _xlpm.MyAuditVal, _xlfn.XLOOKUP($A830, My_Audit!$A:$A, My_Audit!P:P, ""),
    _xlfn.TEXTJOIN(", ", TRUE, _xlpm.MyAuditVal, _xlpm.MacVal, _xlpm.CSVVal)
)</f>
        <v/>
      </c>
      <c r="P830" s="40" t="str" cm="1">
        <f t="array" ref="P830">IFERROR(_xlfn.LET(
_xlpm.CSVVal,_xlfn.XLOOKUP($A830,CSV!$A:$A,CSV!AB:AB,""),
_xlpm.MacVal,_xlfn.XLOOKUP($A830,Output_Mac!$A:$A,Output_Mac!T:T,""),
_xlpm.MyAuditVal,_xlfn.XLOOKUP($A830,My_Audit!$A:$A,My_Audit!Q:Q,""),
_xlfn.IFS(_xlpm.MyAuditVal&lt;&gt;"",UPPER(_xlpm.MyAuditVal),_xlpm.MacVal&lt;&gt;"",_xlpm.MacVal,_xlpm.CSVVal&lt;&gt;"",_xlpm.CSVVal
)),"No")</f>
        <v>No</v>
      </c>
      <c r="Q830" s="40" t="str" cm="1">
        <f t="array" ref="Q830">IFERROR(_xlfn.LET(
_xlpm.CSVVal,_xlfn.XLOOKUP($A830,CSV!$A:$A,CSV!AC:AC,""),
_xlpm.MacVal,_xlfn.XLOOKUP($A830,Output_Mac!$A:$A,Output_Mac!U:U,""),
_xlpm.MyAuditVal,_xlfn.XLOOKUP($A830,My_Audit!$A:$A,My_Audit!R:R,""),
_xlfn.IFS(_xlpm.MyAuditVal&lt;&gt;"",UPPER(_xlpm.MyAuditVal),_xlpm.MacVal&lt;&gt;"",_xlpm.MacVal,_xlpm.CSVVal&lt;&gt;"",_xlpm.CSVVal
)),"")</f>
        <v/>
      </c>
      <c r="R830" s="40"/>
      <c r="S830" s="40"/>
      <c r="T830" s="40"/>
      <c r="U830" s="40"/>
      <c r="V830" s="40"/>
      <c r="W830" s="40"/>
      <c r="X830" s="41" t="str">
        <f>_xlfn.LET(
    _xlpm.MacVal, _xlfn.XLOOKUP($A830, Output_Mac!$A:$A, Output_Mac!AB:AB, ""),
    _xlpm.MyAuditVal, _xlfn.XLOOKUP($A830, My_Audit!$A:$A, My_Audit!N:N, ""),
    _xlfn.TEXTJOIN(", ", TRUE, _xlpm.MyAuditVal, _xlpm.MacVal)
)</f>
        <v/>
      </c>
    </row>
    <row r="831" spans="1:24">
      <c r="A831" s="40" t="str">
        <f>_xlfn.TEXTJOIN("",TRUE,Input!$B$2,ROW(My_Audit!A830))</f>
        <v>X830</v>
      </c>
      <c r="B831" s="40" t="str">
        <f>_xlfn.TEXTJOIN("-",TRUE,"ITD",Input!$A$2,A831)</f>
        <v>ITD-X830</v>
      </c>
      <c r="C831" s="40" t="str" cm="1">
        <f t="array" ref="C831">IFERROR(_xlfn.LET(
_xlpm.CSVVal,_xlfn.XLOOKUP($A831,CSV!$A:$A,CSV!B:B,""),
_xlpm.MacVal,_xlfn.XLOOKUP($A831,Output_Mac!$A:$A,Output_Mac!B:B,""),
_xlpm.MyAuditVal,_xlfn.XLOOKUP($A831,My_Audit!$A:$A,My_Audit!B:B,""),
_xlfn.IFS(_xlpm.MyAuditVal&lt;&gt;"",UPPER(_xlpm.MyAuditVal),_xlpm.MacVal&lt;&gt;"",_xlpm.MacVal,_xlpm.CSVVal&lt;&gt;"",_xlpm.CSVVal
)),"")</f>
        <v/>
      </c>
      <c r="D831" s="40" t="str" cm="1">
        <f t="array" ref="D831">IFERROR(_xlfn.LET(
_xlpm.CSVVal,_xlfn.XLOOKUP($A831,CSV!$A:$A,CSV!D:D,""),
_xlpm.MacVal,_xlfn.XLOOKUP($A831,Output_Mac!$A:$A,Output_Mac!C:C,""),
_xlpm.MyAuditVal,_xlfn.XLOOKUP($A831,My_Audit!$A:$A,My_Audit!C:C,""),
_xlfn.IFS(_xlpm.MyAuditVal&lt;&gt;"",_xlpm.MyAuditVal,_xlpm.MacVal&lt;&gt;"",_xlpm.MacVal,_xlpm.CSVVal&lt;&gt;"",_xlpm.CSVVal
)),"")</f>
        <v/>
      </c>
      <c r="E831" s="40" t="str">
        <f>_xlfn.XLOOKUP(A831,My_Audit!A:A,My_Audit!D:D,"")</f>
        <v/>
      </c>
      <c r="F831" s="40" t="str" cm="1">
        <f t="array" ref="F831">IFERROR(_xlfn.LET(
_xlpm.CSVVal,_xlfn.XLOOKUP($A831,CSV!$A:$A,CSV!F:F,""),
_xlpm.MacVal,_xlfn.XLOOKUP($A831,Output_Mac!$A:$A,Output_Mac!E:E,""),
_xlpm.MyAuditVal,_xlfn.XLOOKUP($A831,My_Audit!$A:$A,My_Audit!E:E,""),
_xlfn.IFS(_xlpm.MyAuditVal&lt;&gt;"",_xlpm.MyAuditVal,_xlpm.MacVal&lt;&gt;"",_xlpm.MacVal,_xlpm.CSVVal&lt;&gt;"",_xlpm.CSVVal
)),"")</f>
        <v/>
      </c>
      <c r="G831" s="40" t="str" cm="1">
        <f t="array" ref="G831">IFERROR(_xlfn.LET(
_xlpm.CSVVal,_xlfn.XLOOKUP($A831,CSV!$A:$A,CSV!G:G,""),
_xlpm.MacVal,_xlfn.XLOOKUP($A831,Output_Mac!$A:$A,Output_Mac!F:F,""),
_xlpm.MyAuditVal,_xlfn.XLOOKUP($A831,My_Audit!$A:$A,My_Audit!F:F,""),
_xlfn.IFS(_xlpm.MyAuditVal&lt;&gt;"",_xlpm.MyAuditVal,_xlpm.MacVal&lt;&gt;"",_xlpm.MacVal,_xlpm.CSVVal&lt;&gt;"",PROPER(_xlpm.CSVVal)
)),"")</f>
        <v/>
      </c>
      <c r="H831" s="40" t="str" cm="1">
        <f t="array" ref="H831">IFERROR(_xlfn.LET(
_xlpm.CSVVal,_xlfn.XLOOKUP($A831,CSV!$A:$A,CSV!H:H,""),
_xlpm.MacVal,_xlfn.XLOOKUP($A831,Output_Mac!$A:$A,Output_Mac!H:H,""),
_xlpm.MyAuditVal,_xlfn.XLOOKUP($A831,My_Audit!$A:$A,My_Audit!G:G,""),
_xlfn.IFS(_xlpm.MyAuditVal&lt;&gt;"",_xlpm.MyAuditVal,_xlpm.MacVal&lt;&gt;"",_xlpm.MacVal,_xlpm.CSVVal&lt;&gt;"",_xlpm.CSVVal
)),"")</f>
        <v/>
      </c>
      <c r="I831" s="40" t="str">
        <f>_xlfn.XLOOKUP(A831,Output_Mac!A:A,Output_Mac!I:I,"")</f>
        <v/>
      </c>
      <c r="J831" s="40" t="str" cm="1">
        <f t="array" ref="J831">IFERROR(_xlfn.LET(
_xlpm.CSVVal,_xlfn.XLOOKUP($A831,CSV!$A:$A,CSV!I:I,""),
_xlpm.MacVal,_xlfn.XLOOKUP($A831,Output_Mac!$A:$A,Output_Mac!J:J,""),
_xlpm.MyAuditVal,_xlfn.XLOOKUP($A831,My_Audit!$A:$A,My_Audit!I:I,""),
_xlfn.IFS(_xlpm.MyAuditVal&lt;&gt;"",UPPER(_xlpm.MyAuditVal),_xlpm.MacVal&lt;&gt;"",_xlpm.MacVal,_xlpm.CSVVal&lt;&gt;"",_xlpm.CSVVal
)),"")</f>
        <v/>
      </c>
      <c r="K831" s="40" t="str" cm="1">
        <f t="array" ref="K831">IFERROR(_xlfn.LET(
_xlpm.CSVVal,_xlfn.XLOOKUP($A831,CSV!$A:$A,CSV!K:K,""),
_xlpm.MacVal,_xlfn.XLOOKUP($A831,Output_Mac!$A:$A,Output_Mac!K:K,""),
_xlpm.MyAuditVal,_xlfn.XLOOKUP($A831,My_Audit!$A:$A,My_Audit!J:J,""),
_xlfn.IFS(_xlpm.MyAuditVal&lt;&gt;"",UPPER(_xlpm.MyAuditVal),_xlpm.MacVal&lt;&gt;"",_xlpm.MacVal,_xlpm.CSVVal&lt;&gt;"",_xlpm.CSVVal
)),"")</f>
        <v/>
      </c>
      <c r="L831" s="40" t="str" cm="1">
        <f t="array" ref="L831">IFERROR(_xlfn.LET(
_xlpm.CSVVal,_xlfn.XLOOKUP($A831,CSV!$A:$A,CSV!P:P,""),
_xlpm.MacVal,_xlfn.XLOOKUP($A831,Output_Mac!$A:$A,Output_Mac!L:L,""),
_xlpm.MyAuditVal,_xlfn.XLOOKUP($A831,My_Audit!$A:$A,My_Audit!K:K,""),
_xlfn.IFS(_xlpm.MyAuditVal&lt;&gt;"",UPPER(_xlpm.MyAuditVal),_xlpm.MacVal&lt;&gt;"",_xlpm.MacVal,_xlpm.CSVVal&lt;&gt;"",_xlpm.CSVVal
)),"")</f>
        <v/>
      </c>
      <c r="M831" s="40" t="str" cm="1">
        <f t="array" ref="M831">IFERROR(_xlfn.LET(
_xlpm.CSVVal,_xlfn.XLOOKUP($A831,CSV!$A:$A,CSV!Q:Q,""),
_xlpm.MacVal,_xlfn.XLOOKUP($A831,Output_Mac!$A:$A,Output_Mac!M:M,""),
_xlpm.MyAuditVal,_xlfn.XLOOKUP($A831,My_Audit!$A:$A,My_Audit!L:L,""),
_xlfn.IFS(_xlpm.MyAuditVal&lt;&gt;"",UPPER(_xlpm.MyAuditVal),_xlpm.MacVal&lt;&gt;"",_xlpm.MacVal,_xlpm.CSVVal&lt;&gt;"",_xlpm.CSVVal
)),"")</f>
        <v/>
      </c>
      <c r="N831" s="40"/>
      <c r="O831" s="40" t="str">
        <f>_xlfn.LET(
    _xlpm.CSVVal, _xlfn.XLOOKUP($A831, CSV!$A:$A, CSV!AA:AA, ""),
    _xlpm.MacVal, _xlfn.XLOOKUP($A831, Output_Mac!$A:$A, Output_Mac!S:S, ""),
    _xlpm.MyAuditVal, _xlfn.XLOOKUP($A831, My_Audit!$A:$A, My_Audit!P:P, ""),
    _xlfn.TEXTJOIN(", ", TRUE, _xlpm.MyAuditVal, _xlpm.MacVal, _xlpm.CSVVal)
)</f>
        <v/>
      </c>
      <c r="P831" s="40" t="str" cm="1">
        <f t="array" ref="P831">IFERROR(_xlfn.LET(
_xlpm.CSVVal,_xlfn.XLOOKUP($A831,CSV!$A:$A,CSV!AB:AB,""),
_xlpm.MacVal,_xlfn.XLOOKUP($A831,Output_Mac!$A:$A,Output_Mac!T:T,""),
_xlpm.MyAuditVal,_xlfn.XLOOKUP($A831,My_Audit!$A:$A,My_Audit!Q:Q,""),
_xlfn.IFS(_xlpm.MyAuditVal&lt;&gt;"",UPPER(_xlpm.MyAuditVal),_xlpm.MacVal&lt;&gt;"",_xlpm.MacVal,_xlpm.CSVVal&lt;&gt;"",_xlpm.CSVVal
)),"No")</f>
        <v>No</v>
      </c>
      <c r="Q831" s="40" t="str" cm="1">
        <f t="array" ref="Q831">IFERROR(_xlfn.LET(
_xlpm.CSVVal,_xlfn.XLOOKUP($A831,CSV!$A:$A,CSV!AC:AC,""),
_xlpm.MacVal,_xlfn.XLOOKUP($A831,Output_Mac!$A:$A,Output_Mac!U:U,""),
_xlpm.MyAuditVal,_xlfn.XLOOKUP($A831,My_Audit!$A:$A,My_Audit!R:R,""),
_xlfn.IFS(_xlpm.MyAuditVal&lt;&gt;"",UPPER(_xlpm.MyAuditVal),_xlpm.MacVal&lt;&gt;"",_xlpm.MacVal,_xlpm.CSVVal&lt;&gt;"",_xlpm.CSVVal
)),"")</f>
        <v/>
      </c>
      <c r="R831" s="40"/>
      <c r="S831" s="40"/>
      <c r="T831" s="40"/>
      <c r="U831" s="40"/>
      <c r="V831" s="40"/>
      <c r="W831" s="40"/>
      <c r="X831" s="41" t="str">
        <f>_xlfn.LET(
    _xlpm.MacVal, _xlfn.XLOOKUP($A831, Output_Mac!$A:$A, Output_Mac!AB:AB, ""),
    _xlpm.MyAuditVal, _xlfn.XLOOKUP($A831, My_Audit!$A:$A, My_Audit!N:N, ""),
    _xlfn.TEXTJOIN(", ", TRUE, _xlpm.MyAuditVal, _xlpm.MacVal)
)</f>
        <v/>
      </c>
    </row>
    <row r="832" spans="1:24">
      <c r="A832" s="40" t="str">
        <f>_xlfn.TEXTJOIN("",TRUE,Input!$B$2,ROW(My_Audit!A831))</f>
        <v>X831</v>
      </c>
      <c r="B832" s="40" t="str">
        <f>_xlfn.TEXTJOIN("-",TRUE,"ITD",Input!$A$2,A832)</f>
        <v>ITD-X831</v>
      </c>
      <c r="C832" s="40" t="str" cm="1">
        <f t="array" ref="C832">IFERROR(_xlfn.LET(
_xlpm.CSVVal,_xlfn.XLOOKUP($A832,CSV!$A:$A,CSV!B:B,""),
_xlpm.MacVal,_xlfn.XLOOKUP($A832,Output_Mac!$A:$A,Output_Mac!B:B,""),
_xlpm.MyAuditVal,_xlfn.XLOOKUP($A832,My_Audit!$A:$A,My_Audit!B:B,""),
_xlfn.IFS(_xlpm.MyAuditVal&lt;&gt;"",UPPER(_xlpm.MyAuditVal),_xlpm.MacVal&lt;&gt;"",_xlpm.MacVal,_xlpm.CSVVal&lt;&gt;"",_xlpm.CSVVal
)),"")</f>
        <v/>
      </c>
      <c r="D832" s="40" t="str" cm="1">
        <f t="array" ref="D832">IFERROR(_xlfn.LET(
_xlpm.CSVVal,_xlfn.XLOOKUP($A832,CSV!$A:$A,CSV!D:D,""),
_xlpm.MacVal,_xlfn.XLOOKUP($A832,Output_Mac!$A:$A,Output_Mac!C:C,""),
_xlpm.MyAuditVal,_xlfn.XLOOKUP($A832,My_Audit!$A:$A,My_Audit!C:C,""),
_xlfn.IFS(_xlpm.MyAuditVal&lt;&gt;"",_xlpm.MyAuditVal,_xlpm.MacVal&lt;&gt;"",_xlpm.MacVal,_xlpm.CSVVal&lt;&gt;"",_xlpm.CSVVal
)),"")</f>
        <v/>
      </c>
      <c r="E832" s="40" t="str">
        <f>_xlfn.XLOOKUP(A832,My_Audit!A:A,My_Audit!D:D,"")</f>
        <v/>
      </c>
      <c r="F832" s="40" t="str" cm="1">
        <f t="array" ref="F832">IFERROR(_xlfn.LET(
_xlpm.CSVVal,_xlfn.XLOOKUP($A832,CSV!$A:$A,CSV!F:F,""),
_xlpm.MacVal,_xlfn.XLOOKUP($A832,Output_Mac!$A:$A,Output_Mac!E:E,""),
_xlpm.MyAuditVal,_xlfn.XLOOKUP($A832,My_Audit!$A:$A,My_Audit!E:E,""),
_xlfn.IFS(_xlpm.MyAuditVal&lt;&gt;"",_xlpm.MyAuditVal,_xlpm.MacVal&lt;&gt;"",_xlpm.MacVal,_xlpm.CSVVal&lt;&gt;"",_xlpm.CSVVal
)),"")</f>
        <v/>
      </c>
      <c r="G832" s="40" t="str" cm="1">
        <f t="array" ref="G832">IFERROR(_xlfn.LET(
_xlpm.CSVVal,_xlfn.XLOOKUP($A832,CSV!$A:$A,CSV!G:G,""),
_xlpm.MacVal,_xlfn.XLOOKUP($A832,Output_Mac!$A:$A,Output_Mac!F:F,""),
_xlpm.MyAuditVal,_xlfn.XLOOKUP($A832,My_Audit!$A:$A,My_Audit!F:F,""),
_xlfn.IFS(_xlpm.MyAuditVal&lt;&gt;"",_xlpm.MyAuditVal,_xlpm.MacVal&lt;&gt;"",_xlpm.MacVal,_xlpm.CSVVal&lt;&gt;"",PROPER(_xlpm.CSVVal)
)),"")</f>
        <v/>
      </c>
      <c r="H832" s="40" t="str" cm="1">
        <f t="array" ref="H832">IFERROR(_xlfn.LET(
_xlpm.CSVVal,_xlfn.XLOOKUP($A832,CSV!$A:$A,CSV!H:H,""),
_xlpm.MacVal,_xlfn.XLOOKUP($A832,Output_Mac!$A:$A,Output_Mac!H:H,""),
_xlpm.MyAuditVal,_xlfn.XLOOKUP($A832,My_Audit!$A:$A,My_Audit!G:G,""),
_xlfn.IFS(_xlpm.MyAuditVal&lt;&gt;"",_xlpm.MyAuditVal,_xlpm.MacVal&lt;&gt;"",_xlpm.MacVal,_xlpm.CSVVal&lt;&gt;"",_xlpm.CSVVal
)),"")</f>
        <v/>
      </c>
      <c r="I832" s="40" t="str">
        <f>_xlfn.XLOOKUP(A832,Output_Mac!A:A,Output_Mac!I:I,"")</f>
        <v/>
      </c>
      <c r="J832" s="40" t="str" cm="1">
        <f t="array" ref="J832">IFERROR(_xlfn.LET(
_xlpm.CSVVal,_xlfn.XLOOKUP($A832,CSV!$A:$A,CSV!I:I,""),
_xlpm.MacVal,_xlfn.XLOOKUP($A832,Output_Mac!$A:$A,Output_Mac!J:J,""),
_xlpm.MyAuditVal,_xlfn.XLOOKUP($A832,My_Audit!$A:$A,My_Audit!I:I,""),
_xlfn.IFS(_xlpm.MyAuditVal&lt;&gt;"",UPPER(_xlpm.MyAuditVal),_xlpm.MacVal&lt;&gt;"",_xlpm.MacVal,_xlpm.CSVVal&lt;&gt;"",_xlpm.CSVVal
)),"")</f>
        <v/>
      </c>
      <c r="K832" s="40" t="str" cm="1">
        <f t="array" ref="K832">IFERROR(_xlfn.LET(
_xlpm.CSVVal,_xlfn.XLOOKUP($A832,CSV!$A:$A,CSV!K:K,""),
_xlpm.MacVal,_xlfn.XLOOKUP($A832,Output_Mac!$A:$A,Output_Mac!K:K,""),
_xlpm.MyAuditVal,_xlfn.XLOOKUP($A832,My_Audit!$A:$A,My_Audit!J:J,""),
_xlfn.IFS(_xlpm.MyAuditVal&lt;&gt;"",UPPER(_xlpm.MyAuditVal),_xlpm.MacVal&lt;&gt;"",_xlpm.MacVal,_xlpm.CSVVal&lt;&gt;"",_xlpm.CSVVal
)),"")</f>
        <v/>
      </c>
      <c r="L832" s="40" t="str" cm="1">
        <f t="array" ref="L832">IFERROR(_xlfn.LET(
_xlpm.CSVVal,_xlfn.XLOOKUP($A832,CSV!$A:$A,CSV!P:P,""),
_xlpm.MacVal,_xlfn.XLOOKUP($A832,Output_Mac!$A:$A,Output_Mac!L:L,""),
_xlpm.MyAuditVal,_xlfn.XLOOKUP($A832,My_Audit!$A:$A,My_Audit!K:K,""),
_xlfn.IFS(_xlpm.MyAuditVal&lt;&gt;"",UPPER(_xlpm.MyAuditVal),_xlpm.MacVal&lt;&gt;"",_xlpm.MacVal,_xlpm.CSVVal&lt;&gt;"",_xlpm.CSVVal
)),"")</f>
        <v/>
      </c>
      <c r="M832" s="40" t="str" cm="1">
        <f t="array" ref="M832">IFERROR(_xlfn.LET(
_xlpm.CSVVal,_xlfn.XLOOKUP($A832,CSV!$A:$A,CSV!Q:Q,""),
_xlpm.MacVal,_xlfn.XLOOKUP($A832,Output_Mac!$A:$A,Output_Mac!M:M,""),
_xlpm.MyAuditVal,_xlfn.XLOOKUP($A832,My_Audit!$A:$A,My_Audit!L:L,""),
_xlfn.IFS(_xlpm.MyAuditVal&lt;&gt;"",UPPER(_xlpm.MyAuditVal),_xlpm.MacVal&lt;&gt;"",_xlpm.MacVal,_xlpm.CSVVal&lt;&gt;"",_xlpm.CSVVal
)),"")</f>
        <v/>
      </c>
      <c r="N832" s="40"/>
      <c r="O832" s="40" t="str">
        <f>_xlfn.LET(
    _xlpm.CSVVal, _xlfn.XLOOKUP($A832, CSV!$A:$A, CSV!AA:AA, ""),
    _xlpm.MacVal, _xlfn.XLOOKUP($A832, Output_Mac!$A:$A, Output_Mac!S:S, ""),
    _xlpm.MyAuditVal, _xlfn.XLOOKUP($A832, My_Audit!$A:$A, My_Audit!P:P, ""),
    _xlfn.TEXTJOIN(", ", TRUE, _xlpm.MyAuditVal, _xlpm.MacVal, _xlpm.CSVVal)
)</f>
        <v/>
      </c>
      <c r="P832" s="40" t="str" cm="1">
        <f t="array" ref="P832">IFERROR(_xlfn.LET(
_xlpm.CSVVal,_xlfn.XLOOKUP($A832,CSV!$A:$A,CSV!AB:AB,""),
_xlpm.MacVal,_xlfn.XLOOKUP($A832,Output_Mac!$A:$A,Output_Mac!T:T,""),
_xlpm.MyAuditVal,_xlfn.XLOOKUP($A832,My_Audit!$A:$A,My_Audit!Q:Q,""),
_xlfn.IFS(_xlpm.MyAuditVal&lt;&gt;"",UPPER(_xlpm.MyAuditVal),_xlpm.MacVal&lt;&gt;"",_xlpm.MacVal,_xlpm.CSVVal&lt;&gt;"",_xlpm.CSVVal
)),"No")</f>
        <v>No</v>
      </c>
      <c r="Q832" s="40" t="str" cm="1">
        <f t="array" ref="Q832">IFERROR(_xlfn.LET(
_xlpm.CSVVal,_xlfn.XLOOKUP($A832,CSV!$A:$A,CSV!AC:AC,""),
_xlpm.MacVal,_xlfn.XLOOKUP($A832,Output_Mac!$A:$A,Output_Mac!U:U,""),
_xlpm.MyAuditVal,_xlfn.XLOOKUP($A832,My_Audit!$A:$A,My_Audit!R:R,""),
_xlfn.IFS(_xlpm.MyAuditVal&lt;&gt;"",UPPER(_xlpm.MyAuditVal),_xlpm.MacVal&lt;&gt;"",_xlpm.MacVal,_xlpm.CSVVal&lt;&gt;"",_xlpm.CSVVal
)),"")</f>
        <v/>
      </c>
      <c r="R832" s="40"/>
      <c r="S832" s="40"/>
      <c r="T832" s="40"/>
      <c r="U832" s="40"/>
      <c r="V832" s="40"/>
      <c r="W832" s="40"/>
      <c r="X832" s="41" t="str">
        <f>_xlfn.LET(
    _xlpm.MacVal, _xlfn.XLOOKUP($A832, Output_Mac!$A:$A, Output_Mac!AB:AB, ""),
    _xlpm.MyAuditVal, _xlfn.XLOOKUP($A832, My_Audit!$A:$A, My_Audit!N:N, ""),
    _xlfn.TEXTJOIN(", ", TRUE, _xlpm.MyAuditVal, _xlpm.MacVal)
)</f>
        <v/>
      </c>
    </row>
    <row r="833" spans="1:24">
      <c r="A833" s="40" t="str">
        <f>_xlfn.TEXTJOIN("",TRUE,Input!$B$2,ROW(My_Audit!A832))</f>
        <v>X832</v>
      </c>
      <c r="B833" s="40" t="str">
        <f>_xlfn.TEXTJOIN("-",TRUE,"ITD",Input!$A$2,A833)</f>
        <v>ITD-X832</v>
      </c>
      <c r="C833" s="40" t="str" cm="1">
        <f t="array" ref="C833">IFERROR(_xlfn.LET(
_xlpm.CSVVal,_xlfn.XLOOKUP($A833,CSV!$A:$A,CSV!B:B,""),
_xlpm.MacVal,_xlfn.XLOOKUP($A833,Output_Mac!$A:$A,Output_Mac!B:B,""),
_xlpm.MyAuditVal,_xlfn.XLOOKUP($A833,My_Audit!$A:$A,My_Audit!B:B,""),
_xlfn.IFS(_xlpm.MyAuditVal&lt;&gt;"",UPPER(_xlpm.MyAuditVal),_xlpm.MacVal&lt;&gt;"",_xlpm.MacVal,_xlpm.CSVVal&lt;&gt;"",_xlpm.CSVVal
)),"")</f>
        <v/>
      </c>
      <c r="D833" s="40" t="str" cm="1">
        <f t="array" ref="D833">IFERROR(_xlfn.LET(
_xlpm.CSVVal,_xlfn.XLOOKUP($A833,CSV!$A:$A,CSV!D:D,""),
_xlpm.MacVal,_xlfn.XLOOKUP($A833,Output_Mac!$A:$A,Output_Mac!C:C,""),
_xlpm.MyAuditVal,_xlfn.XLOOKUP($A833,My_Audit!$A:$A,My_Audit!C:C,""),
_xlfn.IFS(_xlpm.MyAuditVal&lt;&gt;"",_xlpm.MyAuditVal,_xlpm.MacVal&lt;&gt;"",_xlpm.MacVal,_xlpm.CSVVal&lt;&gt;"",_xlpm.CSVVal
)),"")</f>
        <v/>
      </c>
      <c r="E833" s="40" t="str">
        <f>_xlfn.XLOOKUP(A833,My_Audit!A:A,My_Audit!D:D,"")</f>
        <v/>
      </c>
      <c r="F833" s="40" t="str" cm="1">
        <f t="array" ref="F833">IFERROR(_xlfn.LET(
_xlpm.CSVVal,_xlfn.XLOOKUP($A833,CSV!$A:$A,CSV!F:F,""),
_xlpm.MacVal,_xlfn.XLOOKUP($A833,Output_Mac!$A:$A,Output_Mac!E:E,""),
_xlpm.MyAuditVal,_xlfn.XLOOKUP($A833,My_Audit!$A:$A,My_Audit!E:E,""),
_xlfn.IFS(_xlpm.MyAuditVal&lt;&gt;"",_xlpm.MyAuditVal,_xlpm.MacVal&lt;&gt;"",_xlpm.MacVal,_xlpm.CSVVal&lt;&gt;"",_xlpm.CSVVal
)),"")</f>
        <v/>
      </c>
      <c r="G833" s="40" t="str" cm="1">
        <f t="array" ref="G833">IFERROR(_xlfn.LET(
_xlpm.CSVVal,_xlfn.XLOOKUP($A833,CSV!$A:$A,CSV!G:G,""),
_xlpm.MacVal,_xlfn.XLOOKUP($A833,Output_Mac!$A:$A,Output_Mac!F:F,""),
_xlpm.MyAuditVal,_xlfn.XLOOKUP($A833,My_Audit!$A:$A,My_Audit!F:F,""),
_xlfn.IFS(_xlpm.MyAuditVal&lt;&gt;"",_xlpm.MyAuditVal,_xlpm.MacVal&lt;&gt;"",_xlpm.MacVal,_xlpm.CSVVal&lt;&gt;"",PROPER(_xlpm.CSVVal)
)),"")</f>
        <v/>
      </c>
      <c r="H833" s="40" t="str" cm="1">
        <f t="array" ref="H833">IFERROR(_xlfn.LET(
_xlpm.CSVVal,_xlfn.XLOOKUP($A833,CSV!$A:$A,CSV!H:H,""),
_xlpm.MacVal,_xlfn.XLOOKUP($A833,Output_Mac!$A:$A,Output_Mac!H:H,""),
_xlpm.MyAuditVal,_xlfn.XLOOKUP($A833,My_Audit!$A:$A,My_Audit!G:G,""),
_xlfn.IFS(_xlpm.MyAuditVal&lt;&gt;"",_xlpm.MyAuditVal,_xlpm.MacVal&lt;&gt;"",_xlpm.MacVal,_xlpm.CSVVal&lt;&gt;"",_xlpm.CSVVal
)),"")</f>
        <v/>
      </c>
      <c r="I833" s="40" t="str">
        <f>_xlfn.XLOOKUP(A833,Output_Mac!A:A,Output_Mac!I:I,"")</f>
        <v/>
      </c>
      <c r="J833" s="40" t="str" cm="1">
        <f t="array" ref="J833">IFERROR(_xlfn.LET(
_xlpm.CSVVal,_xlfn.XLOOKUP($A833,CSV!$A:$A,CSV!I:I,""),
_xlpm.MacVal,_xlfn.XLOOKUP($A833,Output_Mac!$A:$A,Output_Mac!J:J,""),
_xlpm.MyAuditVal,_xlfn.XLOOKUP($A833,My_Audit!$A:$A,My_Audit!I:I,""),
_xlfn.IFS(_xlpm.MyAuditVal&lt;&gt;"",UPPER(_xlpm.MyAuditVal),_xlpm.MacVal&lt;&gt;"",_xlpm.MacVal,_xlpm.CSVVal&lt;&gt;"",_xlpm.CSVVal
)),"")</f>
        <v/>
      </c>
      <c r="K833" s="40" t="str" cm="1">
        <f t="array" ref="K833">IFERROR(_xlfn.LET(
_xlpm.CSVVal,_xlfn.XLOOKUP($A833,CSV!$A:$A,CSV!K:K,""),
_xlpm.MacVal,_xlfn.XLOOKUP($A833,Output_Mac!$A:$A,Output_Mac!K:K,""),
_xlpm.MyAuditVal,_xlfn.XLOOKUP($A833,My_Audit!$A:$A,My_Audit!J:J,""),
_xlfn.IFS(_xlpm.MyAuditVal&lt;&gt;"",UPPER(_xlpm.MyAuditVal),_xlpm.MacVal&lt;&gt;"",_xlpm.MacVal,_xlpm.CSVVal&lt;&gt;"",_xlpm.CSVVal
)),"")</f>
        <v/>
      </c>
      <c r="L833" s="40" t="str" cm="1">
        <f t="array" ref="L833">IFERROR(_xlfn.LET(
_xlpm.CSVVal,_xlfn.XLOOKUP($A833,CSV!$A:$A,CSV!P:P,""),
_xlpm.MacVal,_xlfn.XLOOKUP($A833,Output_Mac!$A:$A,Output_Mac!L:L,""),
_xlpm.MyAuditVal,_xlfn.XLOOKUP($A833,My_Audit!$A:$A,My_Audit!K:K,""),
_xlfn.IFS(_xlpm.MyAuditVal&lt;&gt;"",UPPER(_xlpm.MyAuditVal),_xlpm.MacVal&lt;&gt;"",_xlpm.MacVal,_xlpm.CSVVal&lt;&gt;"",_xlpm.CSVVal
)),"")</f>
        <v/>
      </c>
      <c r="M833" s="40" t="str" cm="1">
        <f t="array" ref="M833">IFERROR(_xlfn.LET(
_xlpm.CSVVal,_xlfn.XLOOKUP($A833,CSV!$A:$A,CSV!Q:Q,""),
_xlpm.MacVal,_xlfn.XLOOKUP($A833,Output_Mac!$A:$A,Output_Mac!M:M,""),
_xlpm.MyAuditVal,_xlfn.XLOOKUP($A833,My_Audit!$A:$A,My_Audit!L:L,""),
_xlfn.IFS(_xlpm.MyAuditVal&lt;&gt;"",UPPER(_xlpm.MyAuditVal),_xlpm.MacVal&lt;&gt;"",_xlpm.MacVal,_xlpm.CSVVal&lt;&gt;"",_xlpm.CSVVal
)),"")</f>
        <v/>
      </c>
      <c r="N833" s="40"/>
      <c r="O833" s="40" t="str">
        <f>_xlfn.LET(
    _xlpm.CSVVal, _xlfn.XLOOKUP($A833, CSV!$A:$A, CSV!AA:AA, ""),
    _xlpm.MacVal, _xlfn.XLOOKUP($A833, Output_Mac!$A:$A, Output_Mac!S:S, ""),
    _xlpm.MyAuditVal, _xlfn.XLOOKUP($A833, My_Audit!$A:$A, My_Audit!P:P, ""),
    _xlfn.TEXTJOIN(", ", TRUE, _xlpm.MyAuditVal, _xlpm.MacVal, _xlpm.CSVVal)
)</f>
        <v/>
      </c>
      <c r="P833" s="40" t="str" cm="1">
        <f t="array" ref="P833">IFERROR(_xlfn.LET(
_xlpm.CSVVal,_xlfn.XLOOKUP($A833,CSV!$A:$A,CSV!AB:AB,""),
_xlpm.MacVal,_xlfn.XLOOKUP($A833,Output_Mac!$A:$A,Output_Mac!T:T,""),
_xlpm.MyAuditVal,_xlfn.XLOOKUP($A833,My_Audit!$A:$A,My_Audit!Q:Q,""),
_xlfn.IFS(_xlpm.MyAuditVal&lt;&gt;"",UPPER(_xlpm.MyAuditVal),_xlpm.MacVal&lt;&gt;"",_xlpm.MacVal,_xlpm.CSVVal&lt;&gt;"",_xlpm.CSVVal
)),"No")</f>
        <v>No</v>
      </c>
      <c r="Q833" s="40" t="str" cm="1">
        <f t="array" ref="Q833">IFERROR(_xlfn.LET(
_xlpm.CSVVal,_xlfn.XLOOKUP($A833,CSV!$A:$A,CSV!AC:AC,""),
_xlpm.MacVal,_xlfn.XLOOKUP($A833,Output_Mac!$A:$A,Output_Mac!U:U,""),
_xlpm.MyAuditVal,_xlfn.XLOOKUP($A833,My_Audit!$A:$A,My_Audit!R:R,""),
_xlfn.IFS(_xlpm.MyAuditVal&lt;&gt;"",UPPER(_xlpm.MyAuditVal),_xlpm.MacVal&lt;&gt;"",_xlpm.MacVal,_xlpm.CSVVal&lt;&gt;"",_xlpm.CSVVal
)),"")</f>
        <v/>
      </c>
      <c r="R833" s="40"/>
      <c r="S833" s="40"/>
      <c r="T833" s="40"/>
      <c r="U833" s="40"/>
      <c r="V833" s="40"/>
      <c r="W833" s="40"/>
      <c r="X833" s="41" t="str">
        <f>_xlfn.LET(
    _xlpm.MacVal, _xlfn.XLOOKUP($A833, Output_Mac!$A:$A, Output_Mac!AB:AB, ""),
    _xlpm.MyAuditVal, _xlfn.XLOOKUP($A833, My_Audit!$A:$A, My_Audit!N:N, ""),
    _xlfn.TEXTJOIN(", ", TRUE, _xlpm.MyAuditVal, _xlpm.MacVal)
)</f>
        <v/>
      </c>
    </row>
    <row r="834" spans="1:24">
      <c r="A834" s="40" t="str">
        <f>_xlfn.TEXTJOIN("",TRUE,Input!$B$2,ROW(My_Audit!A833))</f>
        <v>X833</v>
      </c>
      <c r="B834" s="40" t="str">
        <f>_xlfn.TEXTJOIN("-",TRUE,"ITD",Input!$A$2,A834)</f>
        <v>ITD-X833</v>
      </c>
      <c r="C834" s="40" t="str" cm="1">
        <f t="array" ref="C834">IFERROR(_xlfn.LET(
_xlpm.CSVVal,_xlfn.XLOOKUP($A834,CSV!$A:$A,CSV!B:B,""),
_xlpm.MacVal,_xlfn.XLOOKUP($A834,Output_Mac!$A:$A,Output_Mac!B:B,""),
_xlpm.MyAuditVal,_xlfn.XLOOKUP($A834,My_Audit!$A:$A,My_Audit!B:B,""),
_xlfn.IFS(_xlpm.MyAuditVal&lt;&gt;"",UPPER(_xlpm.MyAuditVal),_xlpm.MacVal&lt;&gt;"",_xlpm.MacVal,_xlpm.CSVVal&lt;&gt;"",_xlpm.CSVVal
)),"")</f>
        <v/>
      </c>
      <c r="D834" s="40" t="str" cm="1">
        <f t="array" ref="D834">IFERROR(_xlfn.LET(
_xlpm.CSVVal,_xlfn.XLOOKUP($A834,CSV!$A:$A,CSV!D:D,""),
_xlpm.MacVal,_xlfn.XLOOKUP($A834,Output_Mac!$A:$A,Output_Mac!C:C,""),
_xlpm.MyAuditVal,_xlfn.XLOOKUP($A834,My_Audit!$A:$A,My_Audit!C:C,""),
_xlfn.IFS(_xlpm.MyAuditVal&lt;&gt;"",_xlpm.MyAuditVal,_xlpm.MacVal&lt;&gt;"",_xlpm.MacVal,_xlpm.CSVVal&lt;&gt;"",_xlpm.CSVVal
)),"")</f>
        <v/>
      </c>
      <c r="E834" s="40" t="str">
        <f>_xlfn.XLOOKUP(A834,My_Audit!A:A,My_Audit!D:D,"")</f>
        <v/>
      </c>
      <c r="F834" s="40" t="str" cm="1">
        <f t="array" ref="F834">IFERROR(_xlfn.LET(
_xlpm.CSVVal,_xlfn.XLOOKUP($A834,CSV!$A:$A,CSV!F:F,""),
_xlpm.MacVal,_xlfn.XLOOKUP($A834,Output_Mac!$A:$A,Output_Mac!E:E,""),
_xlpm.MyAuditVal,_xlfn.XLOOKUP($A834,My_Audit!$A:$A,My_Audit!E:E,""),
_xlfn.IFS(_xlpm.MyAuditVal&lt;&gt;"",_xlpm.MyAuditVal,_xlpm.MacVal&lt;&gt;"",_xlpm.MacVal,_xlpm.CSVVal&lt;&gt;"",_xlpm.CSVVal
)),"")</f>
        <v/>
      </c>
      <c r="G834" s="40" t="str" cm="1">
        <f t="array" ref="G834">IFERROR(_xlfn.LET(
_xlpm.CSVVal,_xlfn.XLOOKUP($A834,CSV!$A:$A,CSV!G:G,""),
_xlpm.MacVal,_xlfn.XLOOKUP($A834,Output_Mac!$A:$A,Output_Mac!F:F,""),
_xlpm.MyAuditVal,_xlfn.XLOOKUP($A834,My_Audit!$A:$A,My_Audit!F:F,""),
_xlfn.IFS(_xlpm.MyAuditVal&lt;&gt;"",_xlpm.MyAuditVal,_xlpm.MacVal&lt;&gt;"",_xlpm.MacVal,_xlpm.CSVVal&lt;&gt;"",PROPER(_xlpm.CSVVal)
)),"")</f>
        <v/>
      </c>
      <c r="H834" s="40" t="str" cm="1">
        <f t="array" ref="H834">IFERROR(_xlfn.LET(
_xlpm.CSVVal,_xlfn.XLOOKUP($A834,CSV!$A:$A,CSV!H:H,""),
_xlpm.MacVal,_xlfn.XLOOKUP($A834,Output_Mac!$A:$A,Output_Mac!H:H,""),
_xlpm.MyAuditVal,_xlfn.XLOOKUP($A834,My_Audit!$A:$A,My_Audit!G:G,""),
_xlfn.IFS(_xlpm.MyAuditVal&lt;&gt;"",_xlpm.MyAuditVal,_xlpm.MacVal&lt;&gt;"",_xlpm.MacVal,_xlpm.CSVVal&lt;&gt;"",_xlpm.CSVVal
)),"")</f>
        <v/>
      </c>
      <c r="I834" s="40" t="str">
        <f>_xlfn.XLOOKUP(A834,Output_Mac!A:A,Output_Mac!I:I,"")</f>
        <v/>
      </c>
      <c r="J834" s="40" t="str" cm="1">
        <f t="array" ref="J834">IFERROR(_xlfn.LET(
_xlpm.CSVVal,_xlfn.XLOOKUP($A834,CSV!$A:$A,CSV!I:I,""),
_xlpm.MacVal,_xlfn.XLOOKUP($A834,Output_Mac!$A:$A,Output_Mac!J:J,""),
_xlpm.MyAuditVal,_xlfn.XLOOKUP($A834,My_Audit!$A:$A,My_Audit!I:I,""),
_xlfn.IFS(_xlpm.MyAuditVal&lt;&gt;"",UPPER(_xlpm.MyAuditVal),_xlpm.MacVal&lt;&gt;"",_xlpm.MacVal,_xlpm.CSVVal&lt;&gt;"",_xlpm.CSVVal
)),"")</f>
        <v/>
      </c>
      <c r="K834" s="40" t="str" cm="1">
        <f t="array" ref="K834">IFERROR(_xlfn.LET(
_xlpm.CSVVal,_xlfn.XLOOKUP($A834,CSV!$A:$A,CSV!K:K,""),
_xlpm.MacVal,_xlfn.XLOOKUP($A834,Output_Mac!$A:$A,Output_Mac!K:K,""),
_xlpm.MyAuditVal,_xlfn.XLOOKUP($A834,My_Audit!$A:$A,My_Audit!J:J,""),
_xlfn.IFS(_xlpm.MyAuditVal&lt;&gt;"",UPPER(_xlpm.MyAuditVal),_xlpm.MacVal&lt;&gt;"",_xlpm.MacVal,_xlpm.CSVVal&lt;&gt;"",_xlpm.CSVVal
)),"")</f>
        <v/>
      </c>
      <c r="L834" s="40" t="str" cm="1">
        <f t="array" ref="L834">IFERROR(_xlfn.LET(
_xlpm.CSVVal,_xlfn.XLOOKUP($A834,CSV!$A:$A,CSV!P:P,""),
_xlpm.MacVal,_xlfn.XLOOKUP($A834,Output_Mac!$A:$A,Output_Mac!L:L,""),
_xlpm.MyAuditVal,_xlfn.XLOOKUP($A834,My_Audit!$A:$A,My_Audit!K:K,""),
_xlfn.IFS(_xlpm.MyAuditVal&lt;&gt;"",UPPER(_xlpm.MyAuditVal),_xlpm.MacVal&lt;&gt;"",_xlpm.MacVal,_xlpm.CSVVal&lt;&gt;"",_xlpm.CSVVal
)),"")</f>
        <v/>
      </c>
      <c r="M834" s="40" t="str" cm="1">
        <f t="array" ref="M834">IFERROR(_xlfn.LET(
_xlpm.CSVVal,_xlfn.XLOOKUP($A834,CSV!$A:$A,CSV!Q:Q,""),
_xlpm.MacVal,_xlfn.XLOOKUP($A834,Output_Mac!$A:$A,Output_Mac!M:M,""),
_xlpm.MyAuditVal,_xlfn.XLOOKUP($A834,My_Audit!$A:$A,My_Audit!L:L,""),
_xlfn.IFS(_xlpm.MyAuditVal&lt;&gt;"",UPPER(_xlpm.MyAuditVal),_xlpm.MacVal&lt;&gt;"",_xlpm.MacVal,_xlpm.CSVVal&lt;&gt;"",_xlpm.CSVVal
)),"")</f>
        <v/>
      </c>
      <c r="N834" s="40"/>
      <c r="O834" s="40" t="str">
        <f>_xlfn.LET(
    _xlpm.CSVVal, _xlfn.XLOOKUP($A834, CSV!$A:$A, CSV!AA:AA, ""),
    _xlpm.MacVal, _xlfn.XLOOKUP($A834, Output_Mac!$A:$A, Output_Mac!S:S, ""),
    _xlpm.MyAuditVal, _xlfn.XLOOKUP($A834, My_Audit!$A:$A, My_Audit!P:P, ""),
    _xlfn.TEXTJOIN(", ", TRUE, _xlpm.MyAuditVal, _xlpm.MacVal, _xlpm.CSVVal)
)</f>
        <v/>
      </c>
      <c r="P834" s="40" t="str" cm="1">
        <f t="array" ref="P834">IFERROR(_xlfn.LET(
_xlpm.CSVVal,_xlfn.XLOOKUP($A834,CSV!$A:$A,CSV!AB:AB,""),
_xlpm.MacVal,_xlfn.XLOOKUP($A834,Output_Mac!$A:$A,Output_Mac!T:T,""),
_xlpm.MyAuditVal,_xlfn.XLOOKUP($A834,My_Audit!$A:$A,My_Audit!Q:Q,""),
_xlfn.IFS(_xlpm.MyAuditVal&lt;&gt;"",UPPER(_xlpm.MyAuditVal),_xlpm.MacVal&lt;&gt;"",_xlpm.MacVal,_xlpm.CSVVal&lt;&gt;"",_xlpm.CSVVal
)),"No")</f>
        <v>No</v>
      </c>
      <c r="Q834" s="40" t="str" cm="1">
        <f t="array" ref="Q834">IFERROR(_xlfn.LET(
_xlpm.CSVVal,_xlfn.XLOOKUP($A834,CSV!$A:$A,CSV!AC:AC,""),
_xlpm.MacVal,_xlfn.XLOOKUP($A834,Output_Mac!$A:$A,Output_Mac!U:U,""),
_xlpm.MyAuditVal,_xlfn.XLOOKUP($A834,My_Audit!$A:$A,My_Audit!R:R,""),
_xlfn.IFS(_xlpm.MyAuditVal&lt;&gt;"",UPPER(_xlpm.MyAuditVal),_xlpm.MacVal&lt;&gt;"",_xlpm.MacVal,_xlpm.CSVVal&lt;&gt;"",_xlpm.CSVVal
)),"")</f>
        <v/>
      </c>
      <c r="R834" s="40"/>
      <c r="S834" s="40"/>
      <c r="T834" s="40"/>
      <c r="U834" s="40"/>
      <c r="V834" s="40"/>
      <c r="W834" s="40"/>
      <c r="X834" s="41" t="str">
        <f>_xlfn.LET(
    _xlpm.MacVal, _xlfn.XLOOKUP($A834, Output_Mac!$A:$A, Output_Mac!AB:AB, ""),
    _xlpm.MyAuditVal, _xlfn.XLOOKUP($A834, My_Audit!$A:$A, My_Audit!N:N, ""),
    _xlfn.TEXTJOIN(", ", TRUE, _xlpm.MyAuditVal, _xlpm.MacVal)
)</f>
        <v/>
      </c>
    </row>
    <row r="835" spans="1:24">
      <c r="A835" s="40" t="str">
        <f>_xlfn.TEXTJOIN("",TRUE,Input!$B$2,ROW(My_Audit!A834))</f>
        <v>X834</v>
      </c>
      <c r="B835" s="40" t="str">
        <f>_xlfn.TEXTJOIN("-",TRUE,"ITD",Input!$A$2,A835)</f>
        <v>ITD-X834</v>
      </c>
      <c r="C835" s="40" t="str" cm="1">
        <f t="array" ref="C835">IFERROR(_xlfn.LET(
_xlpm.CSVVal,_xlfn.XLOOKUP($A835,CSV!$A:$A,CSV!B:B,""),
_xlpm.MacVal,_xlfn.XLOOKUP($A835,Output_Mac!$A:$A,Output_Mac!B:B,""),
_xlpm.MyAuditVal,_xlfn.XLOOKUP($A835,My_Audit!$A:$A,My_Audit!B:B,""),
_xlfn.IFS(_xlpm.MyAuditVal&lt;&gt;"",UPPER(_xlpm.MyAuditVal),_xlpm.MacVal&lt;&gt;"",_xlpm.MacVal,_xlpm.CSVVal&lt;&gt;"",_xlpm.CSVVal
)),"")</f>
        <v/>
      </c>
      <c r="D835" s="40" t="str" cm="1">
        <f t="array" ref="D835">IFERROR(_xlfn.LET(
_xlpm.CSVVal,_xlfn.XLOOKUP($A835,CSV!$A:$A,CSV!D:D,""),
_xlpm.MacVal,_xlfn.XLOOKUP($A835,Output_Mac!$A:$A,Output_Mac!C:C,""),
_xlpm.MyAuditVal,_xlfn.XLOOKUP($A835,My_Audit!$A:$A,My_Audit!C:C,""),
_xlfn.IFS(_xlpm.MyAuditVal&lt;&gt;"",_xlpm.MyAuditVal,_xlpm.MacVal&lt;&gt;"",_xlpm.MacVal,_xlpm.CSVVal&lt;&gt;"",_xlpm.CSVVal
)),"")</f>
        <v/>
      </c>
      <c r="E835" s="40" t="str">
        <f>_xlfn.XLOOKUP(A835,My_Audit!A:A,My_Audit!D:D,"")</f>
        <v/>
      </c>
      <c r="F835" s="40" t="str" cm="1">
        <f t="array" ref="F835">IFERROR(_xlfn.LET(
_xlpm.CSVVal,_xlfn.XLOOKUP($A835,CSV!$A:$A,CSV!F:F,""),
_xlpm.MacVal,_xlfn.XLOOKUP($A835,Output_Mac!$A:$A,Output_Mac!E:E,""),
_xlpm.MyAuditVal,_xlfn.XLOOKUP($A835,My_Audit!$A:$A,My_Audit!E:E,""),
_xlfn.IFS(_xlpm.MyAuditVal&lt;&gt;"",_xlpm.MyAuditVal,_xlpm.MacVal&lt;&gt;"",_xlpm.MacVal,_xlpm.CSVVal&lt;&gt;"",_xlpm.CSVVal
)),"")</f>
        <v/>
      </c>
      <c r="G835" s="40" t="str" cm="1">
        <f t="array" ref="G835">IFERROR(_xlfn.LET(
_xlpm.CSVVal,_xlfn.XLOOKUP($A835,CSV!$A:$A,CSV!G:G,""),
_xlpm.MacVal,_xlfn.XLOOKUP($A835,Output_Mac!$A:$A,Output_Mac!F:F,""),
_xlpm.MyAuditVal,_xlfn.XLOOKUP($A835,My_Audit!$A:$A,My_Audit!F:F,""),
_xlfn.IFS(_xlpm.MyAuditVal&lt;&gt;"",_xlpm.MyAuditVal,_xlpm.MacVal&lt;&gt;"",_xlpm.MacVal,_xlpm.CSVVal&lt;&gt;"",PROPER(_xlpm.CSVVal)
)),"")</f>
        <v/>
      </c>
      <c r="H835" s="40" t="str" cm="1">
        <f t="array" ref="H835">IFERROR(_xlfn.LET(
_xlpm.CSVVal,_xlfn.XLOOKUP($A835,CSV!$A:$A,CSV!H:H,""),
_xlpm.MacVal,_xlfn.XLOOKUP($A835,Output_Mac!$A:$A,Output_Mac!H:H,""),
_xlpm.MyAuditVal,_xlfn.XLOOKUP($A835,My_Audit!$A:$A,My_Audit!G:G,""),
_xlfn.IFS(_xlpm.MyAuditVal&lt;&gt;"",_xlpm.MyAuditVal,_xlpm.MacVal&lt;&gt;"",_xlpm.MacVal,_xlpm.CSVVal&lt;&gt;"",_xlpm.CSVVal
)),"")</f>
        <v/>
      </c>
      <c r="I835" s="40" t="str">
        <f>_xlfn.XLOOKUP(A835,Output_Mac!A:A,Output_Mac!I:I,"")</f>
        <v/>
      </c>
      <c r="J835" s="40" t="str" cm="1">
        <f t="array" ref="J835">IFERROR(_xlfn.LET(
_xlpm.CSVVal,_xlfn.XLOOKUP($A835,CSV!$A:$A,CSV!I:I,""),
_xlpm.MacVal,_xlfn.XLOOKUP($A835,Output_Mac!$A:$A,Output_Mac!J:J,""),
_xlpm.MyAuditVal,_xlfn.XLOOKUP($A835,My_Audit!$A:$A,My_Audit!I:I,""),
_xlfn.IFS(_xlpm.MyAuditVal&lt;&gt;"",UPPER(_xlpm.MyAuditVal),_xlpm.MacVal&lt;&gt;"",_xlpm.MacVal,_xlpm.CSVVal&lt;&gt;"",_xlpm.CSVVal
)),"")</f>
        <v/>
      </c>
      <c r="K835" s="40" t="str" cm="1">
        <f t="array" ref="K835">IFERROR(_xlfn.LET(
_xlpm.CSVVal,_xlfn.XLOOKUP($A835,CSV!$A:$A,CSV!K:K,""),
_xlpm.MacVal,_xlfn.XLOOKUP($A835,Output_Mac!$A:$A,Output_Mac!K:K,""),
_xlpm.MyAuditVal,_xlfn.XLOOKUP($A835,My_Audit!$A:$A,My_Audit!J:J,""),
_xlfn.IFS(_xlpm.MyAuditVal&lt;&gt;"",UPPER(_xlpm.MyAuditVal),_xlpm.MacVal&lt;&gt;"",_xlpm.MacVal,_xlpm.CSVVal&lt;&gt;"",_xlpm.CSVVal
)),"")</f>
        <v/>
      </c>
      <c r="L835" s="40" t="str" cm="1">
        <f t="array" ref="L835">IFERROR(_xlfn.LET(
_xlpm.CSVVal,_xlfn.XLOOKUP($A835,CSV!$A:$A,CSV!P:P,""),
_xlpm.MacVal,_xlfn.XLOOKUP($A835,Output_Mac!$A:$A,Output_Mac!L:L,""),
_xlpm.MyAuditVal,_xlfn.XLOOKUP($A835,My_Audit!$A:$A,My_Audit!K:K,""),
_xlfn.IFS(_xlpm.MyAuditVal&lt;&gt;"",UPPER(_xlpm.MyAuditVal),_xlpm.MacVal&lt;&gt;"",_xlpm.MacVal,_xlpm.CSVVal&lt;&gt;"",_xlpm.CSVVal
)),"")</f>
        <v/>
      </c>
      <c r="M835" s="40" t="str" cm="1">
        <f t="array" ref="M835">IFERROR(_xlfn.LET(
_xlpm.CSVVal,_xlfn.XLOOKUP($A835,CSV!$A:$A,CSV!Q:Q,""),
_xlpm.MacVal,_xlfn.XLOOKUP($A835,Output_Mac!$A:$A,Output_Mac!M:M,""),
_xlpm.MyAuditVal,_xlfn.XLOOKUP($A835,My_Audit!$A:$A,My_Audit!L:L,""),
_xlfn.IFS(_xlpm.MyAuditVal&lt;&gt;"",UPPER(_xlpm.MyAuditVal),_xlpm.MacVal&lt;&gt;"",_xlpm.MacVal,_xlpm.CSVVal&lt;&gt;"",_xlpm.CSVVal
)),"")</f>
        <v/>
      </c>
      <c r="N835" s="40"/>
      <c r="O835" s="40" t="str">
        <f>_xlfn.LET(
    _xlpm.CSVVal, _xlfn.XLOOKUP($A835, CSV!$A:$A, CSV!AA:AA, ""),
    _xlpm.MacVal, _xlfn.XLOOKUP($A835, Output_Mac!$A:$A, Output_Mac!S:S, ""),
    _xlpm.MyAuditVal, _xlfn.XLOOKUP($A835, My_Audit!$A:$A, My_Audit!P:P, ""),
    _xlfn.TEXTJOIN(", ", TRUE, _xlpm.MyAuditVal, _xlpm.MacVal, _xlpm.CSVVal)
)</f>
        <v/>
      </c>
      <c r="P835" s="40" t="str" cm="1">
        <f t="array" ref="P835">IFERROR(_xlfn.LET(
_xlpm.CSVVal,_xlfn.XLOOKUP($A835,CSV!$A:$A,CSV!AB:AB,""),
_xlpm.MacVal,_xlfn.XLOOKUP($A835,Output_Mac!$A:$A,Output_Mac!T:T,""),
_xlpm.MyAuditVal,_xlfn.XLOOKUP($A835,My_Audit!$A:$A,My_Audit!Q:Q,""),
_xlfn.IFS(_xlpm.MyAuditVal&lt;&gt;"",UPPER(_xlpm.MyAuditVal),_xlpm.MacVal&lt;&gt;"",_xlpm.MacVal,_xlpm.CSVVal&lt;&gt;"",_xlpm.CSVVal
)),"No")</f>
        <v>No</v>
      </c>
      <c r="Q835" s="40" t="str" cm="1">
        <f t="array" ref="Q835">IFERROR(_xlfn.LET(
_xlpm.CSVVal,_xlfn.XLOOKUP($A835,CSV!$A:$A,CSV!AC:AC,""),
_xlpm.MacVal,_xlfn.XLOOKUP($A835,Output_Mac!$A:$A,Output_Mac!U:U,""),
_xlpm.MyAuditVal,_xlfn.XLOOKUP($A835,My_Audit!$A:$A,My_Audit!R:R,""),
_xlfn.IFS(_xlpm.MyAuditVal&lt;&gt;"",UPPER(_xlpm.MyAuditVal),_xlpm.MacVal&lt;&gt;"",_xlpm.MacVal,_xlpm.CSVVal&lt;&gt;"",_xlpm.CSVVal
)),"")</f>
        <v/>
      </c>
      <c r="R835" s="40"/>
      <c r="S835" s="40"/>
      <c r="T835" s="40"/>
      <c r="U835" s="40"/>
      <c r="V835" s="40"/>
      <c r="W835" s="40"/>
      <c r="X835" s="41" t="str">
        <f>_xlfn.LET(
    _xlpm.MacVal, _xlfn.XLOOKUP($A835, Output_Mac!$A:$A, Output_Mac!AB:AB, ""),
    _xlpm.MyAuditVal, _xlfn.XLOOKUP($A835, My_Audit!$A:$A, My_Audit!N:N, ""),
    _xlfn.TEXTJOIN(", ", TRUE, _xlpm.MyAuditVal, _xlpm.MacVal)
)</f>
        <v/>
      </c>
    </row>
    <row r="836" spans="1:24">
      <c r="A836" s="40" t="str">
        <f>_xlfn.TEXTJOIN("",TRUE,Input!$B$2,ROW(My_Audit!A835))</f>
        <v>X835</v>
      </c>
      <c r="B836" s="40" t="str">
        <f>_xlfn.TEXTJOIN("-",TRUE,"ITD",Input!$A$2,A836)</f>
        <v>ITD-X835</v>
      </c>
      <c r="C836" s="40" t="str" cm="1">
        <f t="array" ref="C836">IFERROR(_xlfn.LET(
_xlpm.CSVVal,_xlfn.XLOOKUP($A836,CSV!$A:$A,CSV!B:B,""),
_xlpm.MacVal,_xlfn.XLOOKUP($A836,Output_Mac!$A:$A,Output_Mac!B:B,""),
_xlpm.MyAuditVal,_xlfn.XLOOKUP($A836,My_Audit!$A:$A,My_Audit!B:B,""),
_xlfn.IFS(_xlpm.MyAuditVal&lt;&gt;"",UPPER(_xlpm.MyAuditVal),_xlpm.MacVal&lt;&gt;"",_xlpm.MacVal,_xlpm.CSVVal&lt;&gt;"",_xlpm.CSVVal
)),"")</f>
        <v/>
      </c>
      <c r="D836" s="40" t="str" cm="1">
        <f t="array" ref="D836">IFERROR(_xlfn.LET(
_xlpm.CSVVal,_xlfn.XLOOKUP($A836,CSV!$A:$A,CSV!D:D,""),
_xlpm.MacVal,_xlfn.XLOOKUP($A836,Output_Mac!$A:$A,Output_Mac!C:C,""),
_xlpm.MyAuditVal,_xlfn.XLOOKUP($A836,My_Audit!$A:$A,My_Audit!C:C,""),
_xlfn.IFS(_xlpm.MyAuditVal&lt;&gt;"",_xlpm.MyAuditVal,_xlpm.MacVal&lt;&gt;"",_xlpm.MacVal,_xlpm.CSVVal&lt;&gt;"",_xlpm.CSVVal
)),"")</f>
        <v/>
      </c>
      <c r="E836" s="40" t="str">
        <f>_xlfn.XLOOKUP(A836,My_Audit!A:A,My_Audit!D:D,"")</f>
        <v/>
      </c>
      <c r="F836" s="40" t="str" cm="1">
        <f t="array" ref="F836">IFERROR(_xlfn.LET(
_xlpm.CSVVal,_xlfn.XLOOKUP($A836,CSV!$A:$A,CSV!F:F,""),
_xlpm.MacVal,_xlfn.XLOOKUP($A836,Output_Mac!$A:$A,Output_Mac!E:E,""),
_xlpm.MyAuditVal,_xlfn.XLOOKUP($A836,My_Audit!$A:$A,My_Audit!E:E,""),
_xlfn.IFS(_xlpm.MyAuditVal&lt;&gt;"",_xlpm.MyAuditVal,_xlpm.MacVal&lt;&gt;"",_xlpm.MacVal,_xlpm.CSVVal&lt;&gt;"",_xlpm.CSVVal
)),"")</f>
        <v/>
      </c>
      <c r="G836" s="40" t="str" cm="1">
        <f t="array" ref="G836">IFERROR(_xlfn.LET(
_xlpm.CSVVal,_xlfn.XLOOKUP($A836,CSV!$A:$A,CSV!G:G,""),
_xlpm.MacVal,_xlfn.XLOOKUP($A836,Output_Mac!$A:$A,Output_Mac!F:F,""),
_xlpm.MyAuditVal,_xlfn.XLOOKUP($A836,My_Audit!$A:$A,My_Audit!F:F,""),
_xlfn.IFS(_xlpm.MyAuditVal&lt;&gt;"",_xlpm.MyAuditVal,_xlpm.MacVal&lt;&gt;"",_xlpm.MacVal,_xlpm.CSVVal&lt;&gt;"",PROPER(_xlpm.CSVVal)
)),"")</f>
        <v/>
      </c>
      <c r="H836" s="40" t="str" cm="1">
        <f t="array" ref="H836">IFERROR(_xlfn.LET(
_xlpm.CSVVal,_xlfn.XLOOKUP($A836,CSV!$A:$A,CSV!H:H,""),
_xlpm.MacVal,_xlfn.XLOOKUP($A836,Output_Mac!$A:$A,Output_Mac!H:H,""),
_xlpm.MyAuditVal,_xlfn.XLOOKUP($A836,My_Audit!$A:$A,My_Audit!G:G,""),
_xlfn.IFS(_xlpm.MyAuditVal&lt;&gt;"",_xlpm.MyAuditVal,_xlpm.MacVal&lt;&gt;"",_xlpm.MacVal,_xlpm.CSVVal&lt;&gt;"",_xlpm.CSVVal
)),"")</f>
        <v/>
      </c>
      <c r="I836" s="40" t="str">
        <f>_xlfn.XLOOKUP(A836,Output_Mac!A:A,Output_Mac!I:I,"")</f>
        <v/>
      </c>
      <c r="J836" s="40" t="str" cm="1">
        <f t="array" ref="J836">IFERROR(_xlfn.LET(
_xlpm.CSVVal,_xlfn.XLOOKUP($A836,CSV!$A:$A,CSV!I:I,""),
_xlpm.MacVal,_xlfn.XLOOKUP($A836,Output_Mac!$A:$A,Output_Mac!J:J,""),
_xlpm.MyAuditVal,_xlfn.XLOOKUP($A836,My_Audit!$A:$A,My_Audit!I:I,""),
_xlfn.IFS(_xlpm.MyAuditVal&lt;&gt;"",UPPER(_xlpm.MyAuditVal),_xlpm.MacVal&lt;&gt;"",_xlpm.MacVal,_xlpm.CSVVal&lt;&gt;"",_xlpm.CSVVal
)),"")</f>
        <v/>
      </c>
      <c r="K836" s="40" t="str" cm="1">
        <f t="array" ref="K836">IFERROR(_xlfn.LET(
_xlpm.CSVVal,_xlfn.XLOOKUP($A836,CSV!$A:$A,CSV!K:K,""),
_xlpm.MacVal,_xlfn.XLOOKUP($A836,Output_Mac!$A:$A,Output_Mac!K:K,""),
_xlpm.MyAuditVal,_xlfn.XLOOKUP($A836,My_Audit!$A:$A,My_Audit!J:J,""),
_xlfn.IFS(_xlpm.MyAuditVal&lt;&gt;"",UPPER(_xlpm.MyAuditVal),_xlpm.MacVal&lt;&gt;"",_xlpm.MacVal,_xlpm.CSVVal&lt;&gt;"",_xlpm.CSVVal
)),"")</f>
        <v/>
      </c>
      <c r="L836" s="40" t="str" cm="1">
        <f t="array" ref="L836">IFERROR(_xlfn.LET(
_xlpm.CSVVal,_xlfn.XLOOKUP($A836,CSV!$A:$A,CSV!P:P,""),
_xlpm.MacVal,_xlfn.XLOOKUP($A836,Output_Mac!$A:$A,Output_Mac!L:L,""),
_xlpm.MyAuditVal,_xlfn.XLOOKUP($A836,My_Audit!$A:$A,My_Audit!K:K,""),
_xlfn.IFS(_xlpm.MyAuditVal&lt;&gt;"",UPPER(_xlpm.MyAuditVal),_xlpm.MacVal&lt;&gt;"",_xlpm.MacVal,_xlpm.CSVVal&lt;&gt;"",_xlpm.CSVVal
)),"")</f>
        <v/>
      </c>
      <c r="M836" s="40" t="str" cm="1">
        <f t="array" ref="M836">IFERROR(_xlfn.LET(
_xlpm.CSVVal,_xlfn.XLOOKUP($A836,CSV!$A:$A,CSV!Q:Q,""),
_xlpm.MacVal,_xlfn.XLOOKUP($A836,Output_Mac!$A:$A,Output_Mac!M:M,""),
_xlpm.MyAuditVal,_xlfn.XLOOKUP($A836,My_Audit!$A:$A,My_Audit!L:L,""),
_xlfn.IFS(_xlpm.MyAuditVal&lt;&gt;"",UPPER(_xlpm.MyAuditVal),_xlpm.MacVal&lt;&gt;"",_xlpm.MacVal,_xlpm.CSVVal&lt;&gt;"",_xlpm.CSVVal
)),"")</f>
        <v/>
      </c>
      <c r="N836" s="40"/>
      <c r="O836" s="40" t="str">
        <f>_xlfn.LET(
    _xlpm.CSVVal, _xlfn.XLOOKUP($A836, CSV!$A:$A, CSV!AA:AA, ""),
    _xlpm.MacVal, _xlfn.XLOOKUP($A836, Output_Mac!$A:$A, Output_Mac!S:S, ""),
    _xlpm.MyAuditVal, _xlfn.XLOOKUP($A836, My_Audit!$A:$A, My_Audit!P:P, ""),
    _xlfn.TEXTJOIN(", ", TRUE, _xlpm.MyAuditVal, _xlpm.MacVal, _xlpm.CSVVal)
)</f>
        <v/>
      </c>
      <c r="P836" s="40" t="str" cm="1">
        <f t="array" ref="P836">IFERROR(_xlfn.LET(
_xlpm.CSVVal,_xlfn.XLOOKUP($A836,CSV!$A:$A,CSV!AB:AB,""),
_xlpm.MacVal,_xlfn.XLOOKUP($A836,Output_Mac!$A:$A,Output_Mac!T:T,""),
_xlpm.MyAuditVal,_xlfn.XLOOKUP($A836,My_Audit!$A:$A,My_Audit!Q:Q,""),
_xlfn.IFS(_xlpm.MyAuditVal&lt;&gt;"",UPPER(_xlpm.MyAuditVal),_xlpm.MacVal&lt;&gt;"",_xlpm.MacVal,_xlpm.CSVVal&lt;&gt;"",_xlpm.CSVVal
)),"No")</f>
        <v>No</v>
      </c>
      <c r="Q836" s="40" t="str" cm="1">
        <f t="array" ref="Q836">IFERROR(_xlfn.LET(
_xlpm.CSVVal,_xlfn.XLOOKUP($A836,CSV!$A:$A,CSV!AC:AC,""),
_xlpm.MacVal,_xlfn.XLOOKUP($A836,Output_Mac!$A:$A,Output_Mac!U:U,""),
_xlpm.MyAuditVal,_xlfn.XLOOKUP($A836,My_Audit!$A:$A,My_Audit!R:R,""),
_xlfn.IFS(_xlpm.MyAuditVal&lt;&gt;"",UPPER(_xlpm.MyAuditVal),_xlpm.MacVal&lt;&gt;"",_xlpm.MacVal,_xlpm.CSVVal&lt;&gt;"",_xlpm.CSVVal
)),"")</f>
        <v/>
      </c>
      <c r="R836" s="40"/>
      <c r="S836" s="40"/>
      <c r="T836" s="40"/>
      <c r="U836" s="40"/>
      <c r="V836" s="40"/>
      <c r="W836" s="40"/>
      <c r="X836" s="41" t="str">
        <f>_xlfn.LET(
    _xlpm.MacVal, _xlfn.XLOOKUP($A836, Output_Mac!$A:$A, Output_Mac!AB:AB, ""),
    _xlpm.MyAuditVal, _xlfn.XLOOKUP($A836, My_Audit!$A:$A, My_Audit!N:N, ""),
    _xlfn.TEXTJOIN(", ", TRUE, _xlpm.MyAuditVal, _xlpm.MacVal)
)</f>
        <v/>
      </c>
    </row>
    <row r="837" spans="1:24">
      <c r="A837" s="40" t="str">
        <f>_xlfn.TEXTJOIN("",TRUE,Input!$B$2,ROW(My_Audit!A836))</f>
        <v>X836</v>
      </c>
      <c r="B837" s="40" t="str">
        <f>_xlfn.TEXTJOIN("-",TRUE,"ITD",Input!$A$2,A837)</f>
        <v>ITD-X836</v>
      </c>
      <c r="C837" s="40" t="str" cm="1">
        <f t="array" ref="C837">IFERROR(_xlfn.LET(
_xlpm.CSVVal,_xlfn.XLOOKUP($A837,CSV!$A:$A,CSV!B:B,""),
_xlpm.MacVal,_xlfn.XLOOKUP($A837,Output_Mac!$A:$A,Output_Mac!B:B,""),
_xlpm.MyAuditVal,_xlfn.XLOOKUP($A837,My_Audit!$A:$A,My_Audit!B:B,""),
_xlfn.IFS(_xlpm.MyAuditVal&lt;&gt;"",UPPER(_xlpm.MyAuditVal),_xlpm.MacVal&lt;&gt;"",_xlpm.MacVal,_xlpm.CSVVal&lt;&gt;"",_xlpm.CSVVal
)),"")</f>
        <v/>
      </c>
      <c r="D837" s="40" t="str" cm="1">
        <f t="array" ref="D837">IFERROR(_xlfn.LET(
_xlpm.CSVVal,_xlfn.XLOOKUP($A837,CSV!$A:$A,CSV!D:D,""),
_xlpm.MacVal,_xlfn.XLOOKUP($A837,Output_Mac!$A:$A,Output_Mac!C:C,""),
_xlpm.MyAuditVal,_xlfn.XLOOKUP($A837,My_Audit!$A:$A,My_Audit!C:C,""),
_xlfn.IFS(_xlpm.MyAuditVal&lt;&gt;"",_xlpm.MyAuditVal,_xlpm.MacVal&lt;&gt;"",_xlpm.MacVal,_xlpm.CSVVal&lt;&gt;"",_xlpm.CSVVal
)),"")</f>
        <v/>
      </c>
      <c r="E837" s="40" t="str">
        <f>_xlfn.XLOOKUP(A837,My_Audit!A:A,My_Audit!D:D,"")</f>
        <v/>
      </c>
      <c r="F837" s="40" t="str" cm="1">
        <f t="array" ref="F837">IFERROR(_xlfn.LET(
_xlpm.CSVVal,_xlfn.XLOOKUP($A837,CSV!$A:$A,CSV!F:F,""),
_xlpm.MacVal,_xlfn.XLOOKUP($A837,Output_Mac!$A:$A,Output_Mac!E:E,""),
_xlpm.MyAuditVal,_xlfn.XLOOKUP($A837,My_Audit!$A:$A,My_Audit!E:E,""),
_xlfn.IFS(_xlpm.MyAuditVal&lt;&gt;"",_xlpm.MyAuditVal,_xlpm.MacVal&lt;&gt;"",_xlpm.MacVal,_xlpm.CSVVal&lt;&gt;"",_xlpm.CSVVal
)),"")</f>
        <v/>
      </c>
      <c r="G837" s="40" t="str" cm="1">
        <f t="array" ref="G837">IFERROR(_xlfn.LET(
_xlpm.CSVVal,_xlfn.XLOOKUP($A837,CSV!$A:$A,CSV!G:G,""),
_xlpm.MacVal,_xlfn.XLOOKUP($A837,Output_Mac!$A:$A,Output_Mac!F:F,""),
_xlpm.MyAuditVal,_xlfn.XLOOKUP($A837,My_Audit!$A:$A,My_Audit!F:F,""),
_xlfn.IFS(_xlpm.MyAuditVal&lt;&gt;"",_xlpm.MyAuditVal,_xlpm.MacVal&lt;&gt;"",_xlpm.MacVal,_xlpm.CSVVal&lt;&gt;"",PROPER(_xlpm.CSVVal)
)),"")</f>
        <v/>
      </c>
      <c r="H837" s="40" t="str" cm="1">
        <f t="array" ref="H837">IFERROR(_xlfn.LET(
_xlpm.CSVVal,_xlfn.XLOOKUP($A837,CSV!$A:$A,CSV!H:H,""),
_xlpm.MacVal,_xlfn.XLOOKUP($A837,Output_Mac!$A:$A,Output_Mac!H:H,""),
_xlpm.MyAuditVal,_xlfn.XLOOKUP($A837,My_Audit!$A:$A,My_Audit!G:G,""),
_xlfn.IFS(_xlpm.MyAuditVal&lt;&gt;"",_xlpm.MyAuditVal,_xlpm.MacVal&lt;&gt;"",_xlpm.MacVal,_xlpm.CSVVal&lt;&gt;"",_xlpm.CSVVal
)),"")</f>
        <v/>
      </c>
      <c r="I837" s="40" t="str">
        <f>_xlfn.XLOOKUP(A837,Output_Mac!A:A,Output_Mac!I:I,"")</f>
        <v/>
      </c>
      <c r="J837" s="40" t="str" cm="1">
        <f t="array" ref="J837">IFERROR(_xlfn.LET(
_xlpm.CSVVal,_xlfn.XLOOKUP($A837,CSV!$A:$A,CSV!I:I,""),
_xlpm.MacVal,_xlfn.XLOOKUP($A837,Output_Mac!$A:$A,Output_Mac!J:J,""),
_xlpm.MyAuditVal,_xlfn.XLOOKUP($A837,My_Audit!$A:$A,My_Audit!I:I,""),
_xlfn.IFS(_xlpm.MyAuditVal&lt;&gt;"",UPPER(_xlpm.MyAuditVal),_xlpm.MacVal&lt;&gt;"",_xlpm.MacVal,_xlpm.CSVVal&lt;&gt;"",_xlpm.CSVVal
)),"")</f>
        <v/>
      </c>
      <c r="K837" s="40" t="str" cm="1">
        <f t="array" ref="K837">IFERROR(_xlfn.LET(
_xlpm.CSVVal,_xlfn.XLOOKUP($A837,CSV!$A:$A,CSV!K:K,""),
_xlpm.MacVal,_xlfn.XLOOKUP($A837,Output_Mac!$A:$A,Output_Mac!K:K,""),
_xlpm.MyAuditVal,_xlfn.XLOOKUP($A837,My_Audit!$A:$A,My_Audit!J:J,""),
_xlfn.IFS(_xlpm.MyAuditVal&lt;&gt;"",UPPER(_xlpm.MyAuditVal),_xlpm.MacVal&lt;&gt;"",_xlpm.MacVal,_xlpm.CSVVal&lt;&gt;"",_xlpm.CSVVal
)),"")</f>
        <v/>
      </c>
      <c r="L837" s="40" t="str" cm="1">
        <f t="array" ref="L837">IFERROR(_xlfn.LET(
_xlpm.CSVVal,_xlfn.XLOOKUP($A837,CSV!$A:$A,CSV!P:P,""),
_xlpm.MacVal,_xlfn.XLOOKUP($A837,Output_Mac!$A:$A,Output_Mac!L:L,""),
_xlpm.MyAuditVal,_xlfn.XLOOKUP($A837,My_Audit!$A:$A,My_Audit!K:K,""),
_xlfn.IFS(_xlpm.MyAuditVal&lt;&gt;"",UPPER(_xlpm.MyAuditVal),_xlpm.MacVal&lt;&gt;"",_xlpm.MacVal,_xlpm.CSVVal&lt;&gt;"",_xlpm.CSVVal
)),"")</f>
        <v/>
      </c>
      <c r="M837" s="40" t="str" cm="1">
        <f t="array" ref="M837">IFERROR(_xlfn.LET(
_xlpm.CSVVal,_xlfn.XLOOKUP($A837,CSV!$A:$A,CSV!Q:Q,""),
_xlpm.MacVal,_xlfn.XLOOKUP($A837,Output_Mac!$A:$A,Output_Mac!M:M,""),
_xlpm.MyAuditVal,_xlfn.XLOOKUP($A837,My_Audit!$A:$A,My_Audit!L:L,""),
_xlfn.IFS(_xlpm.MyAuditVal&lt;&gt;"",UPPER(_xlpm.MyAuditVal),_xlpm.MacVal&lt;&gt;"",_xlpm.MacVal,_xlpm.CSVVal&lt;&gt;"",_xlpm.CSVVal
)),"")</f>
        <v/>
      </c>
      <c r="N837" s="40"/>
      <c r="O837" s="40" t="str">
        <f>_xlfn.LET(
    _xlpm.CSVVal, _xlfn.XLOOKUP($A837, CSV!$A:$A, CSV!AA:AA, ""),
    _xlpm.MacVal, _xlfn.XLOOKUP($A837, Output_Mac!$A:$A, Output_Mac!S:S, ""),
    _xlpm.MyAuditVal, _xlfn.XLOOKUP($A837, My_Audit!$A:$A, My_Audit!P:P, ""),
    _xlfn.TEXTJOIN(", ", TRUE, _xlpm.MyAuditVal, _xlpm.MacVal, _xlpm.CSVVal)
)</f>
        <v/>
      </c>
      <c r="P837" s="40" t="str" cm="1">
        <f t="array" ref="P837">IFERROR(_xlfn.LET(
_xlpm.CSVVal,_xlfn.XLOOKUP($A837,CSV!$A:$A,CSV!AB:AB,""),
_xlpm.MacVal,_xlfn.XLOOKUP($A837,Output_Mac!$A:$A,Output_Mac!T:T,""),
_xlpm.MyAuditVal,_xlfn.XLOOKUP($A837,My_Audit!$A:$A,My_Audit!Q:Q,""),
_xlfn.IFS(_xlpm.MyAuditVal&lt;&gt;"",UPPER(_xlpm.MyAuditVal),_xlpm.MacVal&lt;&gt;"",_xlpm.MacVal,_xlpm.CSVVal&lt;&gt;"",_xlpm.CSVVal
)),"No")</f>
        <v>No</v>
      </c>
      <c r="Q837" s="40" t="str" cm="1">
        <f t="array" ref="Q837">IFERROR(_xlfn.LET(
_xlpm.CSVVal,_xlfn.XLOOKUP($A837,CSV!$A:$A,CSV!AC:AC,""),
_xlpm.MacVal,_xlfn.XLOOKUP($A837,Output_Mac!$A:$A,Output_Mac!U:U,""),
_xlpm.MyAuditVal,_xlfn.XLOOKUP($A837,My_Audit!$A:$A,My_Audit!R:R,""),
_xlfn.IFS(_xlpm.MyAuditVal&lt;&gt;"",UPPER(_xlpm.MyAuditVal),_xlpm.MacVal&lt;&gt;"",_xlpm.MacVal,_xlpm.CSVVal&lt;&gt;"",_xlpm.CSVVal
)),"")</f>
        <v/>
      </c>
      <c r="R837" s="40"/>
      <c r="S837" s="40"/>
      <c r="T837" s="40"/>
      <c r="U837" s="40"/>
      <c r="V837" s="40"/>
      <c r="W837" s="40"/>
      <c r="X837" s="41" t="str">
        <f>_xlfn.LET(
    _xlpm.MacVal, _xlfn.XLOOKUP($A837, Output_Mac!$A:$A, Output_Mac!AB:AB, ""),
    _xlpm.MyAuditVal, _xlfn.XLOOKUP($A837, My_Audit!$A:$A, My_Audit!N:N, ""),
    _xlfn.TEXTJOIN(", ", TRUE, _xlpm.MyAuditVal, _xlpm.MacVal)
)</f>
        <v/>
      </c>
    </row>
    <row r="838" spans="1:24">
      <c r="A838" s="40" t="str">
        <f>_xlfn.TEXTJOIN("",TRUE,Input!$B$2,ROW(My_Audit!A837))</f>
        <v>X837</v>
      </c>
      <c r="B838" s="40" t="str">
        <f>_xlfn.TEXTJOIN("-",TRUE,"ITD",Input!$A$2,A838)</f>
        <v>ITD-X837</v>
      </c>
      <c r="C838" s="40" t="str" cm="1">
        <f t="array" ref="C838">IFERROR(_xlfn.LET(
_xlpm.CSVVal,_xlfn.XLOOKUP($A838,CSV!$A:$A,CSV!B:B,""),
_xlpm.MacVal,_xlfn.XLOOKUP($A838,Output_Mac!$A:$A,Output_Mac!B:B,""),
_xlpm.MyAuditVal,_xlfn.XLOOKUP($A838,My_Audit!$A:$A,My_Audit!B:B,""),
_xlfn.IFS(_xlpm.MyAuditVal&lt;&gt;"",UPPER(_xlpm.MyAuditVal),_xlpm.MacVal&lt;&gt;"",_xlpm.MacVal,_xlpm.CSVVal&lt;&gt;"",_xlpm.CSVVal
)),"")</f>
        <v/>
      </c>
      <c r="D838" s="40" t="str" cm="1">
        <f t="array" ref="D838">IFERROR(_xlfn.LET(
_xlpm.CSVVal,_xlfn.XLOOKUP($A838,CSV!$A:$A,CSV!D:D,""),
_xlpm.MacVal,_xlfn.XLOOKUP($A838,Output_Mac!$A:$A,Output_Mac!C:C,""),
_xlpm.MyAuditVal,_xlfn.XLOOKUP($A838,My_Audit!$A:$A,My_Audit!C:C,""),
_xlfn.IFS(_xlpm.MyAuditVal&lt;&gt;"",_xlpm.MyAuditVal,_xlpm.MacVal&lt;&gt;"",_xlpm.MacVal,_xlpm.CSVVal&lt;&gt;"",_xlpm.CSVVal
)),"")</f>
        <v/>
      </c>
      <c r="E838" s="40" t="str">
        <f>_xlfn.XLOOKUP(A838,My_Audit!A:A,My_Audit!D:D,"")</f>
        <v/>
      </c>
      <c r="F838" s="40" t="str" cm="1">
        <f t="array" ref="F838">IFERROR(_xlfn.LET(
_xlpm.CSVVal,_xlfn.XLOOKUP($A838,CSV!$A:$A,CSV!F:F,""),
_xlpm.MacVal,_xlfn.XLOOKUP($A838,Output_Mac!$A:$A,Output_Mac!E:E,""),
_xlpm.MyAuditVal,_xlfn.XLOOKUP($A838,My_Audit!$A:$A,My_Audit!E:E,""),
_xlfn.IFS(_xlpm.MyAuditVal&lt;&gt;"",_xlpm.MyAuditVal,_xlpm.MacVal&lt;&gt;"",_xlpm.MacVal,_xlpm.CSVVal&lt;&gt;"",_xlpm.CSVVal
)),"")</f>
        <v/>
      </c>
      <c r="G838" s="40" t="str" cm="1">
        <f t="array" ref="G838">IFERROR(_xlfn.LET(
_xlpm.CSVVal,_xlfn.XLOOKUP($A838,CSV!$A:$A,CSV!G:G,""),
_xlpm.MacVal,_xlfn.XLOOKUP($A838,Output_Mac!$A:$A,Output_Mac!F:F,""),
_xlpm.MyAuditVal,_xlfn.XLOOKUP($A838,My_Audit!$A:$A,My_Audit!F:F,""),
_xlfn.IFS(_xlpm.MyAuditVal&lt;&gt;"",_xlpm.MyAuditVal,_xlpm.MacVal&lt;&gt;"",_xlpm.MacVal,_xlpm.CSVVal&lt;&gt;"",PROPER(_xlpm.CSVVal)
)),"")</f>
        <v/>
      </c>
      <c r="H838" s="40" t="str" cm="1">
        <f t="array" ref="H838">IFERROR(_xlfn.LET(
_xlpm.CSVVal,_xlfn.XLOOKUP($A838,CSV!$A:$A,CSV!H:H,""),
_xlpm.MacVal,_xlfn.XLOOKUP($A838,Output_Mac!$A:$A,Output_Mac!H:H,""),
_xlpm.MyAuditVal,_xlfn.XLOOKUP($A838,My_Audit!$A:$A,My_Audit!G:G,""),
_xlfn.IFS(_xlpm.MyAuditVal&lt;&gt;"",_xlpm.MyAuditVal,_xlpm.MacVal&lt;&gt;"",_xlpm.MacVal,_xlpm.CSVVal&lt;&gt;"",_xlpm.CSVVal
)),"")</f>
        <v/>
      </c>
      <c r="I838" s="40" t="str">
        <f>_xlfn.XLOOKUP(A838,Output_Mac!A:A,Output_Mac!I:I,"")</f>
        <v/>
      </c>
      <c r="J838" s="40" t="str" cm="1">
        <f t="array" ref="J838">IFERROR(_xlfn.LET(
_xlpm.CSVVal,_xlfn.XLOOKUP($A838,CSV!$A:$A,CSV!I:I,""),
_xlpm.MacVal,_xlfn.XLOOKUP($A838,Output_Mac!$A:$A,Output_Mac!J:J,""),
_xlpm.MyAuditVal,_xlfn.XLOOKUP($A838,My_Audit!$A:$A,My_Audit!I:I,""),
_xlfn.IFS(_xlpm.MyAuditVal&lt;&gt;"",UPPER(_xlpm.MyAuditVal),_xlpm.MacVal&lt;&gt;"",_xlpm.MacVal,_xlpm.CSVVal&lt;&gt;"",_xlpm.CSVVal
)),"")</f>
        <v/>
      </c>
      <c r="K838" s="40" t="str" cm="1">
        <f t="array" ref="K838">IFERROR(_xlfn.LET(
_xlpm.CSVVal,_xlfn.XLOOKUP($A838,CSV!$A:$A,CSV!K:K,""),
_xlpm.MacVal,_xlfn.XLOOKUP($A838,Output_Mac!$A:$A,Output_Mac!K:K,""),
_xlpm.MyAuditVal,_xlfn.XLOOKUP($A838,My_Audit!$A:$A,My_Audit!J:J,""),
_xlfn.IFS(_xlpm.MyAuditVal&lt;&gt;"",UPPER(_xlpm.MyAuditVal),_xlpm.MacVal&lt;&gt;"",_xlpm.MacVal,_xlpm.CSVVal&lt;&gt;"",_xlpm.CSVVal
)),"")</f>
        <v/>
      </c>
      <c r="L838" s="40" t="str" cm="1">
        <f t="array" ref="L838">IFERROR(_xlfn.LET(
_xlpm.CSVVal,_xlfn.XLOOKUP($A838,CSV!$A:$A,CSV!P:P,""),
_xlpm.MacVal,_xlfn.XLOOKUP($A838,Output_Mac!$A:$A,Output_Mac!L:L,""),
_xlpm.MyAuditVal,_xlfn.XLOOKUP($A838,My_Audit!$A:$A,My_Audit!K:K,""),
_xlfn.IFS(_xlpm.MyAuditVal&lt;&gt;"",UPPER(_xlpm.MyAuditVal),_xlpm.MacVal&lt;&gt;"",_xlpm.MacVal,_xlpm.CSVVal&lt;&gt;"",_xlpm.CSVVal
)),"")</f>
        <v/>
      </c>
      <c r="M838" s="40" t="str" cm="1">
        <f t="array" ref="M838">IFERROR(_xlfn.LET(
_xlpm.CSVVal,_xlfn.XLOOKUP($A838,CSV!$A:$A,CSV!Q:Q,""),
_xlpm.MacVal,_xlfn.XLOOKUP($A838,Output_Mac!$A:$A,Output_Mac!M:M,""),
_xlpm.MyAuditVal,_xlfn.XLOOKUP($A838,My_Audit!$A:$A,My_Audit!L:L,""),
_xlfn.IFS(_xlpm.MyAuditVal&lt;&gt;"",UPPER(_xlpm.MyAuditVal),_xlpm.MacVal&lt;&gt;"",_xlpm.MacVal,_xlpm.CSVVal&lt;&gt;"",_xlpm.CSVVal
)),"")</f>
        <v/>
      </c>
      <c r="N838" s="40"/>
      <c r="O838" s="40" t="str">
        <f>_xlfn.LET(
    _xlpm.CSVVal, _xlfn.XLOOKUP($A838, CSV!$A:$A, CSV!AA:AA, ""),
    _xlpm.MacVal, _xlfn.XLOOKUP($A838, Output_Mac!$A:$A, Output_Mac!S:S, ""),
    _xlpm.MyAuditVal, _xlfn.XLOOKUP($A838, My_Audit!$A:$A, My_Audit!P:P, ""),
    _xlfn.TEXTJOIN(", ", TRUE, _xlpm.MyAuditVal, _xlpm.MacVal, _xlpm.CSVVal)
)</f>
        <v/>
      </c>
      <c r="P838" s="40" t="str" cm="1">
        <f t="array" ref="P838">IFERROR(_xlfn.LET(
_xlpm.CSVVal,_xlfn.XLOOKUP($A838,CSV!$A:$A,CSV!AB:AB,""),
_xlpm.MacVal,_xlfn.XLOOKUP($A838,Output_Mac!$A:$A,Output_Mac!T:T,""),
_xlpm.MyAuditVal,_xlfn.XLOOKUP($A838,My_Audit!$A:$A,My_Audit!Q:Q,""),
_xlfn.IFS(_xlpm.MyAuditVal&lt;&gt;"",UPPER(_xlpm.MyAuditVal),_xlpm.MacVal&lt;&gt;"",_xlpm.MacVal,_xlpm.CSVVal&lt;&gt;"",_xlpm.CSVVal
)),"No")</f>
        <v>No</v>
      </c>
      <c r="Q838" s="40" t="str" cm="1">
        <f t="array" ref="Q838">IFERROR(_xlfn.LET(
_xlpm.CSVVal,_xlfn.XLOOKUP($A838,CSV!$A:$A,CSV!AC:AC,""),
_xlpm.MacVal,_xlfn.XLOOKUP($A838,Output_Mac!$A:$A,Output_Mac!U:U,""),
_xlpm.MyAuditVal,_xlfn.XLOOKUP($A838,My_Audit!$A:$A,My_Audit!R:R,""),
_xlfn.IFS(_xlpm.MyAuditVal&lt;&gt;"",UPPER(_xlpm.MyAuditVal),_xlpm.MacVal&lt;&gt;"",_xlpm.MacVal,_xlpm.CSVVal&lt;&gt;"",_xlpm.CSVVal
)),"")</f>
        <v/>
      </c>
      <c r="R838" s="40"/>
      <c r="S838" s="40"/>
      <c r="T838" s="40"/>
      <c r="U838" s="40"/>
      <c r="V838" s="40"/>
      <c r="W838" s="40"/>
      <c r="X838" s="41" t="str">
        <f>_xlfn.LET(
    _xlpm.MacVal, _xlfn.XLOOKUP($A838, Output_Mac!$A:$A, Output_Mac!AB:AB, ""),
    _xlpm.MyAuditVal, _xlfn.XLOOKUP($A838, My_Audit!$A:$A, My_Audit!N:N, ""),
    _xlfn.TEXTJOIN(", ", TRUE, _xlpm.MyAuditVal, _xlpm.MacVal)
)</f>
        <v/>
      </c>
    </row>
    <row r="839" spans="1:24">
      <c r="A839" s="40" t="str">
        <f>_xlfn.TEXTJOIN("",TRUE,Input!$B$2,ROW(My_Audit!A838))</f>
        <v>X838</v>
      </c>
      <c r="B839" s="40" t="str">
        <f>_xlfn.TEXTJOIN("-",TRUE,"ITD",Input!$A$2,A839)</f>
        <v>ITD-X838</v>
      </c>
      <c r="C839" s="40" t="str" cm="1">
        <f t="array" ref="C839">IFERROR(_xlfn.LET(
_xlpm.CSVVal,_xlfn.XLOOKUP($A839,CSV!$A:$A,CSV!B:B,""),
_xlpm.MacVal,_xlfn.XLOOKUP($A839,Output_Mac!$A:$A,Output_Mac!B:B,""),
_xlpm.MyAuditVal,_xlfn.XLOOKUP($A839,My_Audit!$A:$A,My_Audit!B:B,""),
_xlfn.IFS(_xlpm.MyAuditVal&lt;&gt;"",UPPER(_xlpm.MyAuditVal),_xlpm.MacVal&lt;&gt;"",_xlpm.MacVal,_xlpm.CSVVal&lt;&gt;"",_xlpm.CSVVal
)),"")</f>
        <v/>
      </c>
      <c r="D839" s="40" t="str" cm="1">
        <f t="array" ref="D839">IFERROR(_xlfn.LET(
_xlpm.CSVVal,_xlfn.XLOOKUP($A839,CSV!$A:$A,CSV!D:D,""),
_xlpm.MacVal,_xlfn.XLOOKUP($A839,Output_Mac!$A:$A,Output_Mac!C:C,""),
_xlpm.MyAuditVal,_xlfn.XLOOKUP($A839,My_Audit!$A:$A,My_Audit!C:C,""),
_xlfn.IFS(_xlpm.MyAuditVal&lt;&gt;"",_xlpm.MyAuditVal,_xlpm.MacVal&lt;&gt;"",_xlpm.MacVal,_xlpm.CSVVal&lt;&gt;"",_xlpm.CSVVal
)),"")</f>
        <v/>
      </c>
      <c r="E839" s="40" t="str">
        <f>_xlfn.XLOOKUP(A839,My_Audit!A:A,My_Audit!D:D,"")</f>
        <v/>
      </c>
      <c r="F839" s="40" t="str" cm="1">
        <f t="array" ref="F839">IFERROR(_xlfn.LET(
_xlpm.CSVVal,_xlfn.XLOOKUP($A839,CSV!$A:$A,CSV!F:F,""),
_xlpm.MacVal,_xlfn.XLOOKUP($A839,Output_Mac!$A:$A,Output_Mac!E:E,""),
_xlpm.MyAuditVal,_xlfn.XLOOKUP($A839,My_Audit!$A:$A,My_Audit!E:E,""),
_xlfn.IFS(_xlpm.MyAuditVal&lt;&gt;"",_xlpm.MyAuditVal,_xlpm.MacVal&lt;&gt;"",_xlpm.MacVal,_xlpm.CSVVal&lt;&gt;"",_xlpm.CSVVal
)),"")</f>
        <v/>
      </c>
      <c r="G839" s="40" t="str" cm="1">
        <f t="array" ref="G839">IFERROR(_xlfn.LET(
_xlpm.CSVVal,_xlfn.XLOOKUP($A839,CSV!$A:$A,CSV!G:G,""),
_xlpm.MacVal,_xlfn.XLOOKUP($A839,Output_Mac!$A:$A,Output_Mac!F:F,""),
_xlpm.MyAuditVal,_xlfn.XLOOKUP($A839,My_Audit!$A:$A,My_Audit!F:F,""),
_xlfn.IFS(_xlpm.MyAuditVal&lt;&gt;"",_xlpm.MyAuditVal,_xlpm.MacVal&lt;&gt;"",_xlpm.MacVal,_xlpm.CSVVal&lt;&gt;"",PROPER(_xlpm.CSVVal)
)),"")</f>
        <v/>
      </c>
      <c r="H839" s="40" t="str" cm="1">
        <f t="array" ref="H839">IFERROR(_xlfn.LET(
_xlpm.CSVVal,_xlfn.XLOOKUP($A839,CSV!$A:$A,CSV!H:H,""),
_xlpm.MacVal,_xlfn.XLOOKUP($A839,Output_Mac!$A:$A,Output_Mac!H:H,""),
_xlpm.MyAuditVal,_xlfn.XLOOKUP($A839,My_Audit!$A:$A,My_Audit!G:G,""),
_xlfn.IFS(_xlpm.MyAuditVal&lt;&gt;"",_xlpm.MyAuditVal,_xlpm.MacVal&lt;&gt;"",_xlpm.MacVal,_xlpm.CSVVal&lt;&gt;"",_xlpm.CSVVal
)),"")</f>
        <v/>
      </c>
      <c r="I839" s="40" t="str">
        <f>_xlfn.XLOOKUP(A839,Output_Mac!A:A,Output_Mac!I:I,"")</f>
        <v/>
      </c>
      <c r="J839" s="40" t="str" cm="1">
        <f t="array" ref="J839">IFERROR(_xlfn.LET(
_xlpm.CSVVal,_xlfn.XLOOKUP($A839,CSV!$A:$A,CSV!I:I,""),
_xlpm.MacVal,_xlfn.XLOOKUP($A839,Output_Mac!$A:$A,Output_Mac!J:J,""),
_xlpm.MyAuditVal,_xlfn.XLOOKUP($A839,My_Audit!$A:$A,My_Audit!I:I,""),
_xlfn.IFS(_xlpm.MyAuditVal&lt;&gt;"",UPPER(_xlpm.MyAuditVal),_xlpm.MacVal&lt;&gt;"",_xlpm.MacVal,_xlpm.CSVVal&lt;&gt;"",_xlpm.CSVVal
)),"")</f>
        <v/>
      </c>
      <c r="K839" s="40" t="str" cm="1">
        <f t="array" ref="K839">IFERROR(_xlfn.LET(
_xlpm.CSVVal,_xlfn.XLOOKUP($A839,CSV!$A:$A,CSV!K:K,""),
_xlpm.MacVal,_xlfn.XLOOKUP($A839,Output_Mac!$A:$A,Output_Mac!K:K,""),
_xlpm.MyAuditVal,_xlfn.XLOOKUP($A839,My_Audit!$A:$A,My_Audit!J:J,""),
_xlfn.IFS(_xlpm.MyAuditVal&lt;&gt;"",UPPER(_xlpm.MyAuditVal),_xlpm.MacVal&lt;&gt;"",_xlpm.MacVal,_xlpm.CSVVal&lt;&gt;"",_xlpm.CSVVal
)),"")</f>
        <v/>
      </c>
      <c r="L839" s="40" t="str" cm="1">
        <f t="array" ref="L839">IFERROR(_xlfn.LET(
_xlpm.CSVVal,_xlfn.XLOOKUP($A839,CSV!$A:$A,CSV!P:P,""),
_xlpm.MacVal,_xlfn.XLOOKUP($A839,Output_Mac!$A:$A,Output_Mac!L:L,""),
_xlpm.MyAuditVal,_xlfn.XLOOKUP($A839,My_Audit!$A:$A,My_Audit!K:K,""),
_xlfn.IFS(_xlpm.MyAuditVal&lt;&gt;"",UPPER(_xlpm.MyAuditVal),_xlpm.MacVal&lt;&gt;"",_xlpm.MacVal,_xlpm.CSVVal&lt;&gt;"",_xlpm.CSVVal
)),"")</f>
        <v/>
      </c>
      <c r="M839" s="40" t="str" cm="1">
        <f t="array" ref="M839">IFERROR(_xlfn.LET(
_xlpm.CSVVal,_xlfn.XLOOKUP($A839,CSV!$A:$A,CSV!Q:Q,""),
_xlpm.MacVal,_xlfn.XLOOKUP($A839,Output_Mac!$A:$A,Output_Mac!M:M,""),
_xlpm.MyAuditVal,_xlfn.XLOOKUP($A839,My_Audit!$A:$A,My_Audit!L:L,""),
_xlfn.IFS(_xlpm.MyAuditVal&lt;&gt;"",UPPER(_xlpm.MyAuditVal),_xlpm.MacVal&lt;&gt;"",_xlpm.MacVal,_xlpm.CSVVal&lt;&gt;"",_xlpm.CSVVal
)),"")</f>
        <v/>
      </c>
      <c r="N839" s="40"/>
      <c r="O839" s="40" t="str">
        <f>_xlfn.LET(
    _xlpm.CSVVal, _xlfn.XLOOKUP($A839, CSV!$A:$A, CSV!AA:AA, ""),
    _xlpm.MacVal, _xlfn.XLOOKUP($A839, Output_Mac!$A:$A, Output_Mac!S:S, ""),
    _xlpm.MyAuditVal, _xlfn.XLOOKUP($A839, My_Audit!$A:$A, My_Audit!P:P, ""),
    _xlfn.TEXTJOIN(", ", TRUE, _xlpm.MyAuditVal, _xlpm.MacVal, _xlpm.CSVVal)
)</f>
        <v/>
      </c>
      <c r="P839" s="40" t="str" cm="1">
        <f t="array" ref="P839">IFERROR(_xlfn.LET(
_xlpm.CSVVal,_xlfn.XLOOKUP($A839,CSV!$A:$A,CSV!AB:AB,""),
_xlpm.MacVal,_xlfn.XLOOKUP($A839,Output_Mac!$A:$A,Output_Mac!T:T,""),
_xlpm.MyAuditVal,_xlfn.XLOOKUP($A839,My_Audit!$A:$A,My_Audit!Q:Q,""),
_xlfn.IFS(_xlpm.MyAuditVal&lt;&gt;"",UPPER(_xlpm.MyAuditVal),_xlpm.MacVal&lt;&gt;"",_xlpm.MacVal,_xlpm.CSVVal&lt;&gt;"",_xlpm.CSVVal
)),"No")</f>
        <v>No</v>
      </c>
      <c r="Q839" s="40" t="str" cm="1">
        <f t="array" ref="Q839">IFERROR(_xlfn.LET(
_xlpm.CSVVal,_xlfn.XLOOKUP($A839,CSV!$A:$A,CSV!AC:AC,""),
_xlpm.MacVal,_xlfn.XLOOKUP($A839,Output_Mac!$A:$A,Output_Mac!U:U,""),
_xlpm.MyAuditVal,_xlfn.XLOOKUP($A839,My_Audit!$A:$A,My_Audit!R:R,""),
_xlfn.IFS(_xlpm.MyAuditVal&lt;&gt;"",UPPER(_xlpm.MyAuditVal),_xlpm.MacVal&lt;&gt;"",_xlpm.MacVal,_xlpm.CSVVal&lt;&gt;"",_xlpm.CSVVal
)),"")</f>
        <v/>
      </c>
      <c r="R839" s="40"/>
      <c r="S839" s="40"/>
      <c r="T839" s="40"/>
      <c r="U839" s="40"/>
      <c r="V839" s="40"/>
      <c r="W839" s="40"/>
      <c r="X839" s="41" t="str">
        <f>_xlfn.LET(
    _xlpm.MacVal, _xlfn.XLOOKUP($A839, Output_Mac!$A:$A, Output_Mac!AB:AB, ""),
    _xlpm.MyAuditVal, _xlfn.XLOOKUP($A839, My_Audit!$A:$A, My_Audit!N:N, ""),
    _xlfn.TEXTJOIN(", ", TRUE, _xlpm.MyAuditVal, _xlpm.MacVal)
)</f>
        <v/>
      </c>
    </row>
    <row r="840" spans="1:24">
      <c r="A840" s="40" t="str">
        <f>_xlfn.TEXTJOIN("",TRUE,Input!$B$2,ROW(My_Audit!A839))</f>
        <v>X839</v>
      </c>
      <c r="B840" s="40" t="str">
        <f>_xlfn.TEXTJOIN("-",TRUE,"ITD",Input!$A$2,A840)</f>
        <v>ITD-X839</v>
      </c>
      <c r="C840" s="40" t="str" cm="1">
        <f t="array" ref="C840">IFERROR(_xlfn.LET(
_xlpm.CSVVal,_xlfn.XLOOKUP($A840,CSV!$A:$A,CSV!B:B,""),
_xlpm.MacVal,_xlfn.XLOOKUP($A840,Output_Mac!$A:$A,Output_Mac!B:B,""),
_xlpm.MyAuditVal,_xlfn.XLOOKUP($A840,My_Audit!$A:$A,My_Audit!B:B,""),
_xlfn.IFS(_xlpm.MyAuditVal&lt;&gt;"",UPPER(_xlpm.MyAuditVal),_xlpm.MacVal&lt;&gt;"",_xlpm.MacVal,_xlpm.CSVVal&lt;&gt;"",_xlpm.CSVVal
)),"")</f>
        <v/>
      </c>
      <c r="D840" s="40" t="str" cm="1">
        <f t="array" ref="D840">IFERROR(_xlfn.LET(
_xlpm.CSVVal,_xlfn.XLOOKUP($A840,CSV!$A:$A,CSV!D:D,""),
_xlpm.MacVal,_xlfn.XLOOKUP($A840,Output_Mac!$A:$A,Output_Mac!C:C,""),
_xlpm.MyAuditVal,_xlfn.XLOOKUP($A840,My_Audit!$A:$A,My_Audit!C:C,""),
_xlfn.IFS(_xlpm.MyAuditVal&lt;&gt;"",_xlpm.MyAuditVal,_xlpm.MacVal&lt;&gt;"",_xlpm.MacVal,_xlpm.CSVVal&lt;&gt;"",_xlpm.CSVVal
)),"")</f>
        <v/>
      </c>
      <c r="E840" s="40" t="str">
        <f>_xlfn.XLOOKUP(A840,My_Audit!A:A,My_Audit!D:D,"")</f>
        <v/>
      </c>
      <c r="F840" s="40" t="str" cm="1">
        <f t="array" ref="F840">IFERROR(_xlfn.LET(
_xlpm.CSVVal,_xlfn.XLOOKUP($A840,CSV!$A:$A,CSV!F:F,""),
_xlpm.MacVal,_xlfn.XLOOKUP($A840,Output_Mac!$A:$A,Output_Mac!E:E,""),
_xlpm.MyAuditVal,_xlfn.XLOOKUP($A840,My_Audit!$A:$A,My_Audit!E:E,""),
_xlfn.IFS(_xlpm.MyAuditVal&lt;&gt;"",_xlpm.MyAuditVal,_xlpm.MacVal&lt;&gt;"",_xlpm.MacVal,_xlpm.CSVVal&lt;&gt;"",_xlpm.CSVVal
)),"")</f>
        <v/>
      </c>
      <c r="G840" s="40" t="str" cm="1">
        <f t="array" ref="G840">IFERROR(_xlfn.LET(
_xlpm.CSVVal,_xlfn.XLOOKUP($A840,CSV!$A:$A,CSV!G:G,""),
_xlpm.MacVal,_xlfn.XLOOKUP($A840,Output_Mac!$A:$A,Output_Mac!F:F,""),
_xlpm.MyAuditVal,_xlfn.XLOOKUP($A840,My_Audit!$A:$A,My_Audit!F:F,""),
_xlfn.IFS(_xlpm.MyAuditVal&lt;&gt;"",_xlpm.MyAuditVal,_xlpm.MacVal&lt;&gt;"",_xlpm.MacVal,_xlpm.CSVVal&lt;&gt;"",PROPER(_xlpm.CSVVal)
)),"")</f>
        <v/>
      </c>
      <c r="H840" s="40" t="str" cm="1">
        <f t="array" ref="H840">IFERROR(_xlfn.LET(
_xlpm.CSVVal,_xlfn.XLOOKUP($A840,CSV!$A:$A,CSV!H:H,""),
_xlpm.MacVal,_xlfn.XLOOKUP($A840,Output_Mac!$A:$A,Output_Mac!H:H,""),
_xlpm.MyAuditVal,_xlfn.XLOOKUP($A840,My_Audit!$A:$A,My_Audit!G:G,""),
_xlfn.IFS(_xlpm.MyAuditVal&lt;&gt;"",_xlpm.MyAuditVal,_xlpm.MacVal&lt;&gt;"",_xlpm.MacVal,_xlpm.CSVVal&lt;&gt;"",_xlpm.CSVVal
)),"")</f>
        <v/>
      </c>
      <c r="I840" s="40" t="str">
        <f>_xlfn.XLOOKUP(A840,Output_Mac!A:A,Output_Mac!I:I,"")</f>
        <v/>
      </c>
      <c r="J840" s="40" t="str" cm="1">
        <f t="array" ref="J840">IFERROR(_xlfn.LET(
_xlpm.CSVVal,_xlfn.XLOOKUP($A840,CSV!$A:$A,CSV!I:I,""),
_xlpm.MacVal,_xlfn.XLOOKUP($A840,Output_Mac!$A:$A,Output_Mac!J:J,""),
_xlpm.MyAuditVal,_xlfn.XLOOKUP($A840,My_Audit!$A:$A,My_Audit!I:I,""),
_xlfn.IFS(_xlpm.MyAuditVal&lt;&gt;"",UPPER(_xlpm.MyAuditVal),_xlpm.MacVal&lt;&gt;"",_xlpm.MacVal,_xlpm.CSVVal&lt;&gt;"",_xlpm.CSVVal
)),"")</f>
        <v/>
      </c>
      <c r="K840" s="40" t="str" cm="1">
        <f t="array" ref="K840">IFERROR(_xlfn.LET(
_xlpm.CSVVal,_xlfn.XLOOKUP($A840,CSV!$A:$A,CSV!K:K,""),
_xlpm.MacVal,_xlfn.XLOOKUP($A840,Output_Mac!$A:$A,Output_Mac!K:K,""),
_xlpm.MyAuditVal,_xlfn.XLOOKUP($A840,My_Audit!$A:$A,My_Audit!J:J,""),
_xlfn.IFS(_xlpm.MyAuditVal&lt;&gt;"",UPPER(_xlpm.MyAuditVal),_xlpm.MacVal&lt;&gt;"",_xlpm.MacVal,_xlpm.CSVVal&lt;&gt;"",_xlpm.CSVVal
)),"")</f>
        <v/>
      </c>
      <c r="L840" s="40" t="str" cm="1">
        <f t="array" ref="L840">IFERROR(_xlfn.LET(
_xlpm.CSVVal,_xlfn.XLOOKUP($A840,CSV!$A:$A,CSV!P:P,""),
_xlpm.MacVal,_xlfn.XLOOKUP($A840,Output_Mac!$A:$A,Output_Mac!L:L,""),
_xlpm.MyAuditVal,_xlfn.XLOOKUP($A840,My_Audit!$A:$A,My_Audit!K:K,""),
_xlfn.IFS(_xlpm.MyAuditVal&lt;&gt;"",UPPER(_xlpm.MyAuditVal),_xlpm.MacVal&lt;&gt;"",_xlpm.MacVal,_xlpm.CSVVal&lt;&gt;"",_xlpm.CSVVal
)),"")</f>
        <v/>
      </c>
      <c r="M840" s="40" t="str" cm="1">
        <f t="array" ref="M840">IFERROR(_xlfn.LET(
_xlpm.CSVVal,_xlfn.XLOOKUP($A840,CSV!$A:$A,CSV!Q:Q,""),
_xlpm.MacVal,_xlfn.XLOOKUP($A840,Output_Mac!$A:$A,Output_Mac!M:M,""),
_xlpm.MyAuditVal,_xlfn.XLOOKUP($A840,My_Audit!$A:$A,My_Audit!L:L,""),
_xlfn.IFS(_xlpm.MyAuditVal&lt;&gt;"",UPPER(_xlpm.MyAuditVal),_xlpm.MacVal&lt;&gt;"",_xlpm.MacVal,_xlpm.CSVVal&lt;&gt;"",_xlpm.CSVVal
)),"")</f>
        <v/>
      </c>
      <c r="N840" s="40"/>
      <c r="O840" s="40" t="str">
        <f>_xlfn.LET(
    _xlpm.CSVVal, _xlfn.XLOOKUP($A840, CSV!$A:$A, CSV!AA:AA, ""),
    _xlpm.MacVal, _xlfn.XLOOKUP($A840, Output_Mac!$A:$A, Output_Mac!S:S, ""),
    _xlpm.MyAuditVal, _xlfn.XLOOKUP($A840, My_Audit!$A:$A, My_Audit!P:P, ""),
    _xlfn.TEXTJOIN(", ", TRUE, _xlpm.MyAuditVal, _xlpm.MacVal, _xlpm.CSVVal)
)</f>
        <v/>
      </c>
      <c r="P840" s="40" t="str" cm="1">
        <f t="array" ref="P840">IFERROR(_xlfn.LET(
_xlpm.CSVVal,_xlfn.XLOOKUP($A840,CSV!$A:$A,CSV!AB:AB,""),
_xlpm.MacVal,_xlfn.XLOOKUP($A840,Output_Mac!$A:$A,Output_Mac!T:T,""),
_xlpm.MyAuditVal,_xlfn.XLOOKUP($A840,My_Audit!$A:$A,My_Audit!Q:Q,""),
_xlfn.IFS(_xlpm.MyAuditVal&lt;&gt;"",UPPER(_xlpm.MyAuditVal),_xlpm.MacVal&lt;&gt;"",_xlpm.MacVal,_xlpm.CSVVal&lt;&gt;"",_xlpm.CSVVal
)),"No")</f>
        <v>No</v>
      </c>
      <c r="Q840" s="40" t="str" cm="1">
        <f t="array" ref="Q840">IFERROR(_xlfn.LET(
_xlpm.CSVVal,_xlfn.XLOOKUP($A840,CSV!$A:$A,CSV!AC:AC,""),
_xlpm.MacVal,_xlfn.XLOOKUP($A840,Output_Mac!$A:$A,Output_Mac!U:U,""),
_xlpm.MyAuditVal,_xlfn.XLOOKUP($A840,My_Audit!$A:$A,My_Audit!R:R,""),
_xlfn.IFS(_xlpm.MyAuditVal&lt;&gt;"",UPPER(_xlpm.MyAuditVal),_xlpm.MacVal&lt;&gt;"",_xlpm.MacVal,_xlpm.CSVVal&lt;&gt;"",_xlpm.CSVVal
)),"")</f>
        <v/>
      </c>
      <c r="R840" s="40"/>
      <c r="S840" s="40"/>
      <c r="T840" s="40"/>
      <c r="U840" s="40"/>
      <c r="V840" s="40"/>
      <c r="W840" s="40"/>
      <c r="X840" s="41" t="str">
        <f>_xlfn.LET(
    _xlpm.MacVal, _xlfn.XLOOKUP($A840, Output_Mac!$A:$A, Output_Mac!AB:AB, ""),
    _xlpm.MyAuditVal, _xlfn.XLOOKUP($A840, My_Audit!$A:$A, My_Audit!N:N, ""),
    _xlfn.TEXTJOIN(", ", TRUE, _xlpm.MyAuditVal, _xlpm.MacVal)
)</f>
        <v/>
      </c>
    </row>
    <row r="841" spans="1:24">
      <c r="A841" s="40" t="str">
        <f>_xlfn.TEXTJOIN("",TRUE,Input!$B$2,ROW(My_Audit!A840))</f>
        <v>X840</v>
      </c>
      <c r="B841" s="40" t="str">
        <f>_xlfn.TEXTJOIN("-",TRUE,"ITD",Input!$A$2,A841)</f>
        <v>ITD-X840</v>
      </c>
      <c r="C841" s="40" t="str" cm="1">
        <f t="array" ref="C841">IFERROR(_xlfn.LET(
_xlpm.CSVVal,_xlfn.XLOOKUP($A841,CSV!$A:$A,CSV!B:B,""),
_xlpm.MacVal,_xlfn.XLOOKUP($A841,Output_Mac!$A:$A,Output_Mac!B:B,""),
_xlpm.MyAuditVal,_xlfn.XLOOKUP($A841,My_Audit!$A:$A,My_Audit!B:B,""),
_xlfn.IFS(_xlpm.MyAuditVal&lt;&gt;"",UPPER(_xlpm.MyAuditVal),_xlpm.MacVal&lt;&gt;"",_xlpm.MacVal,_xlpm.CSVVal&lt;&gt;"",_xlpm.CSVVal
)),"")</f>
        <v/>
      </c>
      <c r="D841" s="40" t="str" cm="1">
        <f t="array" ref="D841">IFERROR(_xlfn.LET(
_xlpm.CSVVal,_xlfn.XLOOKUP($A841,CSV!$A:$A,CSV!D:D,""),
_xlpm.MacVal,_xlfn.XLOOKUP($A841,Output_Mac!$A:$A,Output_Mac!C:C,""),
_xlpm.MyAuditVal,_xlfn.XLOOKUP($A841,My_Audit!$A:$A,My_Audit!C:C,""),
_xlfn.IFS(_xlpm.MyAuditVal&lt;&gt;"",_xlpm.MyAuditVal,_xlpm.MacVal&lt;&gt;"",_xlpm.MacVal,_xlpm.CSVVal&lt;&gt;"",_xlpm.CSVVal
)),"")</f>
        <v/>
      </c>
      <c r="E841" s="40" t="str">
        <f>_xlfn.XLOOKUP(A841,My_Audit!A:A,My_Audit!D:D,"")</f>
        <v/>
      </c>
      <c r="F841" s="40" t="str" cm="1">
        <f t="array" ref="F841">IFERROR(_xlfn.LET(
_xlpm.CSVVal,_xlfn.XLOOKUP($A841,CSV!$A:$A,CSV!F:F,""),
_xlpm.MacVal,_xlfn.XLOOKUP($A841,Output_Mac!$A:$A,Output_Mac!E:E,""),
_xlpm.MyAuditVal,_xlfn.XLOOKUP($A841,My_Audit!$A:$A,My_Audit!E:E,""),
_xlfn.IFS(_xlpm.MyAuditVal&lt;&gt;"",_xlpm.MyAuditVal,_xlpm.MacVal&lt;&gt;"",_xlpm.MacVal,_xlpm.CSVVal&lt;&gt;"",_xlpm.CSVVal
)),"")</f>
        <v/>
      </c>
      <c r="G841" s="40" t="str" cm="1">
        <f t="array" ref="G841">IFERROR(_xlfn.LET(
_xlpm.CSVVal,_xlfn.XLOOKUP($A841,CSV!$A:$A,CSV!G:G,""),
_xlpm.MacVal,_xlfn.XLOOKUP($A841,Output_Mac!$A:$A,Output_Mac!F:F,""),
_xlpm.MyAuditVal,_xlfn.XLOOKUP($A841,My_Audit!$A:$A,My_Audit!F:F,""),
_xlfn.IFS(_xlpm.MyAuditVal&lt;&gt;"",_xlpm.MyAuditVal,_xlpm.MacVal&lt;&gt;"",_xlpm.MacVal,_xlpm.CSVVal&lt;&gt;"",PROPER(_xlpm.CSVVal)
)),"")</f>
        <v/>
      </c>
      <c r="H841" s="40" t="str" cm="1">
        <f t="array" ref="H841">IFERROR(_xlfn.LET(
_xlpm.CSVVal,_xlfn.XLOOKUP($A841,CSV!$A:$A,CSV!H:H,""),
_xlpm.MacVal,_xlfn.XLOOKUP($A841,Output_Mac!$A:$A,Output_Mac!H:H,""),
_xlpm.MyAuditVal,_xlfn.XLOOKUP($A841,My_Audit!$A:$A,My_Audit!G:G,""),
_xlfn.IFS(_xlpm.MyAuditVal&lt;&gt;"",_xlpm.MyAuditVal,_xlpm.MacVal&lt;&gt;"",_xlpm.MacVal,_xlpm.CSVVal&lt;&gt;"",_xlpm.CSVVal
)),"")</f>
        <v/>
      </c>
      <c r="I841" s="40" t="str">
        <f>_xlfn.XLOOKUP(A841,Output_Mac!A:A,Output_Mac!I:I,"")</f>
        <v/>
      </c>
      <c r="J841" s="40" t="str" cm="1">
        <f t="array" ref="J841">IFERROR(_xlfn.LET(
_xlpm.CSVVal,_xlfn.XLOOKUP($A841,CSV!$A:$A,CSV!I:I,""),
_xlpm.MacVal,_xlfn.XLOOKUP($A841,Output_Mac!$A:$A,Output_Mac!J:J,""),
_xlpm.MyAuditVal,_xlfn.XLOOKUP($A841,My_Audit!$A:$A,My_Audit!I:I,""),
_xlfn.IFS(_xlpm.MyAuditVal&lt;&gt;"",UPPER(_xlpm.MyAuditVal),_xlpm.MacVal&lt;&gt;"",_xlpm.MacVal,_xlpm.CSVVal&lt;&gt;"",_xlpm.CSVVal
)),"")</f>
        <v/>
      </c>
      <c r="K841" s="40" t="str" cm="1">
        <f t="array" ref="K841">IFERROR(_xlfn.LET(
_xlpm.CSVVal,_xlfn.XLOOKUP($A841,CSV!$A:$A,CSV!K:K,""),
_xlpm.MacVal,_xlfn.XLOOKUP($A841,Output_Mac!$A:$A,Output_Mac!K:K,""),
_xlpm.MyAuditVal,_xlfn.XLOOKUP($A841,My_Audit!$A:$A,My_Audit!J:J,""),
_xlfn.IFS(_xlpm.MyAuditVal&lt;&gt;"",UPPER(_xlpm.MyAuditVal),_xlpm.MacVal&lt;&gt;"",_xlpm.MacVal,_xlpm.CSVVal&lt;&gt;"",_xlpm.CSVVal
)),"")</f>
        <v/>
      </c>
      <c r="L841" s="40" t="str" cm="1">
        <f t="array" ref="L841">IFERROR(_xlfn.LET(
_xlpm.CSVVal,_xlfn.XLOOKUP($A841,CSV!$A:$A,CSV!P:P,""),
_xlpm.MacVal,_xlfn.XLOOKUP($A841,Output_Mac!$A:$A,Output_Mac!L:L,""),
_xlpm.MyAuditVal,_xlfn.XLOOKUP($A841,My_Audit!$A:$A,My_Audit!K:K,""),
_xlfn.IFS(_xlpm.MyAuditVal&lt;&gt;"",UPPER(_xlpm.MyAuditVal),_xlpm.MacVal&lt;&gt;"",_xlpm.MacVal,_xlpm.CSVVal&lt;&gt;"",_xlpm.CSVVal
)),"")</f>
        <v/>
      </c>
      <c r="M841" s="40" t="str" cm="1">
        <f t="array" ref="M841">IFERROR(_xlfn.LET(
_xlpm.CSVVal,_xlfn.XLOOKUP($A841,CSV!$A:$A,CSV!Q:Q,""),
_xlpm.MacVal,_xlfn.XLOOKUP($A841,Output_Mac!$A:$A,Output_Mac!M:M,""),
_xlpm.MyAuditVal,_xlfn.XLOOKUP($A841,My_Audit!$A:$A,My_Audit!L:L,""),
_xlfn.IFS(_xlpm.MyAuditVal&lt;&gt;"",UPPER(_xlpm.MyAuditVal),_xlpm.MacVal&lt;&gt;"",_xlpm.MacVal,_xlpm.CSVVal&lt;&gt;"",_xlpm.CSVVal
)),"")</f>
        <v/>
      </c>
      <c r="N841" s="40"/>
      <c r="O841" s="40" t="str">
        <f>_xlfn.LET(
    _xlpm.CSVVal, _xlfn.XLOOKUP($A841, CSV!$A:$A, CSV!AA:AA, ""),
    _xlpm.MacVal, _xlfn.XLOOKUP($A841, Output_Mac!$A:$A, Output_Mac!S:S, ""),
    _xlpm.MyAuditVal, _xlfn.XLOOKUP($A841, My_Audit!$A:$A, My_Audit!P:P, ""),
    _xlfn.TEXTJOIN(", ", TRUE, _xlpm.MyAuditVal, _xlpm.MacVal, _xlpm.CSVVal)
)</f>
        <v/>
      </c>
      <c r="P841" s="40" t="str" cm="1">
        <f t="array" ref="P841">IFERROR(_xlfn.LET(
_xlpm.CSVVal,_xlfn.XLOOKUP($A841,CSV!$A:$A,CSV!AB:AB,""),
_xlpm.MacVal,_xlfn.XLOOKUP($A841,Output_Mac!$A:$A,Output_Mac!T:T,""),
_xlpm.MyAuditVal,_xlfn.XLOOKUP($A841,My_Audit!$A:$A,My_Audit!Q:Q,""),
_xlfn.IFS(_xlpm.MyAuditVal&lt;&gt;"",UPPER(_xlpm.MyAuditVal),_xlpm.MacVal&lt;&gt;"",_xlpm.MacVal,_xlpm.CSVVal&lt;&gt;"",_xlpm.CSVVal
)),"No")</f>
        <v>No</v>
      </c>
      <c r="Q841" s="40" t="str" cm="1">
        <f t="array" ref="Q841">IFERROR(_xlfn.LET(
_xlpm.CSVVal,_xlfn.XLOOKUP($A841,CSV!$A:$A,CSV!AC:AC,""),
_xlpm.MacVal,_xlfn.XLOOKUP($A841,Output_Mac!$A:$A,Output_Mac!U:U,""),
_xlpm.MyAuditVal,_xlfn.XLOOKUP($A841,My_Audit!$A:$A,My_Audit!R:R,""),
_xlfn.IFS(_xlpm.MyAuditVal&lt;&gt;"",UPPER(_xlpm.MyAuditVal),_xlpm.MacVal&lt;&gt;"",_xlpm.MacVal,_xlpm.CSVVal&lt;&gt;"",_xlpm.CSVVal
)),"")</f>
        <v/>
      </c>
      <c r="R841" s="40"/>
      <c r="S841" s="40"/>
      <c r="T841" s="40"/>
      <c r="U841" s="40"/>
      <c r="V841" s="40"/>
      <c r="W841" s="40"/>
      <c r="X841" s="41" t="str">
        <f>_xlfn.LET(
    _xlpm.MacVal, _xlfn.XLOOKUP($A841, Output_Mac!$A:$A, Output_Mac!AB:AB, ""),
    _xlpm.MyAuditVal, _xlfn.XLOOKUP($A841, My_Audit!$A:$A, My_Audit!N:N, ""),
    _xlfn.TEXTJOIN(", ", TRUE, _xlpm.MyAuditVal, _xlpm.MacVal)
)</f>
        <v/>
      </c>
    </row>
    <row r="842" spans="1:24">
      <c r="A842" s="40" t="str">
        <f>_xlfn.TEXTJOIN("",TRUE,Input!$B$2,ROW(My_Audit!A841))</f>
        <v>X841</v>
      </c>
      <c r="B842" s="40" t="str">
        <f>_xlfn.TEXTJOIN("-",TRUE,"ITD",Input!$A$2,A842)</f>
        <v>ITD-X841</v>
      </c>
      <c r="C842" s="40" t="str" cm="1">
        <f t="array" ref="C842">IFERROR(_xlfn.LET(
_xlpm.CSVVal,_xlfn.XLOOKUP($A842,CSV!$A:$A,CSV!B:B,""),
_xlpm.MacVal,_xlfn.XLOOKUP($A842,Output_Mac!$A:$A,Output_Mac!B:B,""),
_xlpm.MyAuditVal,_xlfn.XLOOKUP($A842,My_Audit!$A:$A,My_Audit!B:B,""),
_xlfn.IFS(_xlpm.MyAuditVal&lt;&gt;"",UPPER(_xlpm.MyAuditVal),_xlpm.MacVal&lt;&gt;"",_xlpm.MacVal,_xlpm.CSVVal&lt;&gt;"",_xlpm.CSVVal
)),"")</f>
        <v/>
      </c>
      <c r="D842" s="40" t="str" cm="1">
        <f t="array" ref="D842">IFERROR(_xlfn.LET(
_xlpm.CSVVal,_xlfn.XLOOKUP($A842,CSV!$A:$A,CSV!D:D,""),
_xlpm.MacVal,_xlfn.XLOOKUP($A842,Output_Mac!$A:$A,Output_Mac!C:C,""),
_xlpm.MyAuditVal,_xlfn.XLOOKUP($A842,My_Audit!$A:$A,My_Audit!C:C,""),
_xlfn.IFS(_xlpm.MyAuditVal&lt;&gt;"",_xlpm.MyAuditVal,_xlpm.MacVal&lt;&gt;"",_xlpm.MacVal,_xlpm.CSVVal&lt;&gt;"",_xlpm.CSVVal
)),"")</f>
        <v/>
      </c>
      <c r="E842" s="40" t="str">
        <f>_xlfn.XLOOKUP(A842,My_Audit!A:A,My_Audit!D:D,"")</f>
        <v/>
      </c>
      <c r="F842" s="40" t="str" cm="1">
        <f t="array" ref="F842">IFERROR(_xlfn.LET(
_xlpm.CSVVal,_xlfn.XLOOKUP($A842,CSV!$A:$A,CSV!F:F,""),
_xlpm.MacVal,_xlfn.XLOOKUP($A842,Output_Mac!$A:$A,Output_Mac!E:E,""),
_xlpm.MyAuditVal,_xlfn.XLOOKUP($A842,My_Audit!$A:$A,My_Audit!E:E,""),
_xlfn.IFS(_xlpm.MyAuditVal&lt;&gt;"",_xlpm.MyAuditVal,_xlpm.MacVal&lt;&gt;"",_xlpm.MacVal,_xlpm.CSVVal&lt;&gt;"",_xlpm.CSVVal
)),"")</f>
        <v/>
      </c>
      <c r="G842" s="40" t="str" cm="1">
        <f t="array" ref="G842">IFERROR(_xlfn.LET(
_xlpm.CSVVal,_xlfn.XLOOKUP($A842,CSV!$A:$A,CSV!G:G,""),
_xlpm.MacVal,_xlfn.XLOOKUP($A842,Output_Mac!$A:$A,Output_Mac!F:F,""),
_xlpm.MyAuditVal,_xlfn.XLOOKUP($A842,My_Audit!$A:$A,My_Audit!F:F,""),
_xlfn.IFS(_xlpm.MyAuditVal&lt;&gt;"",_xlpm.MyAuditVal,_xlpm.MacVal&lt;&gt;"",_xlpm.MacVal,_xlpm.CSVVal&lt;&gt;"",PROPER(_xlpm.CSVVal)
)),"")</f>
        <v/>
      </c>
      <c r="H842" s="40" t="str" cm="1">
        <f t="array" ref="H842">IFERROR(_xlfn.LET(
_xlpm.CSVVal,_xlfn.XLOOKUP($A842,CSV!$A:$A,CSV!H:H,""),
_xlpm.MacVal,_xlfn.XLOOKUP($A842,Output_Mac!$A:$A,Output_Mac!H:H,""),
_xlpm.MyAuditVal,_xlfn.XLOOKUP($A842,My_Audit!$A:$A,My_Audit!G:G,""),
_xlfn.IFS(_xlpm.MyAuditVal&lt;&gt;"",_xlpm.MyAuditVal,_xlpm.MacVal&lt;&gt;"",_xlpm.MacVal,_xlpm.CSVVal&lt;&gt;"",_xlpm.CSVVal
)),"")</f>
        <v/>
      </c>
      <c r="I842" s="40" t="str">
        <f>_xlfn.XLOOKUP(A842,Output_Mac!A:A,Output_Mac!I:I,"")</f>
        <v/>
      </c>
      <c r="J842" s="40" t="str" cm="1">
        <f t="array" ref="J842">IFERROR(_xlfn.LET(
_xlpm.CSVVal,_xlfn.XLOOKUP($A842,CSV!$A:$A,CSV!I:I,""),
_xlpm.MacVal,_xlfn.XLOOKUP($A842,Output_Mac!$A:$A,Output_Mac!J:J,""),
_xlpm.MyAuditVal,_xlfn.XLOOKUP($A842,My_Audit!$A:$A,My_Audit!I:I,""),
_xlfn.IFS(_xlpm.MyAuditVal&lt;&gt;"",UPPER(_xlpm.MyAuditVal),_xlpm.MacVal&lt;&gt;"",_xlpm.MacVal,_xlpm.CSVVal&lt;&gt;"",_xlpm.CSVVal
)),"")</f>
        <v/>
      </c>
      <c r="K842" s="40" t="str" cm="1">
        <f t="array" ref="K842">IFERROR(_xlfn.LET(
_xlpm.CSVVal,_xlfn.XLOOKUP($A842,CSV!$A:$A,CSV!K:K,""),
_xlpm.MacVal,_xlfn.XLOOKUP($A842,Output_Mac!$A:$A,Output_Mac!K:K,""),
_xlpm.MyAuditVal,_xlfn.XLOOKUP($A842,My_Audit!$A:$A,My_Audit!J:J,""),
_xlfn.IFS(_xlpm.MyAuditVal&lt;&gt;"",UPPER(_xlpm.MyAuditVal),_xlpm.MacVal&lt;&gt;"",_xlpm.MacVal,_xlpm.CSVVal&lt;&gt;"",_xlpm.CSVVal
)),"")</f>
        <v/>
      </c>
      <c r="L842" s="40" t="str" cm="1">
        <f t="array" ref="L842">IFERROR(_xlfn.LET(
_xlpm.CSVVal,_xlfn.XLOOKUP($A842,CSV!$A:$A,CSV!P:P,""),
_xlpm.MacVal,_xlfn.XLOOKUP($A842,Output_Mac!$A:$A,Output_Mac!L:L,""),
_xlpm.MyAuditVal,_xlfn.XLOOKUP($A842,My_Audit!$A:$A,My_Audit!K:K,""),
_xlfn.IFS(_xlpm.MyAuditVal&lt;&gt;"",UPPER(_xlpm.MyAuditVal),_xlpm.MacVal&lt;&gt;"",_xlpm.MacVal,_xlpm.CSVVal&lt;&gt;"",_xlpm.CSVVal
)),"")</f>
        <v/>
      </c>
      <c r="M842" s="40" t="str" cm="1">
        <f t="array" ref="M842">IFERROR(_xlfn.LET(
_xlpm.CSVVal,_xlfn.XLOOKUP($A842,CSV!$A:$A,CSV!Q:Q,""),
_xlpm.MacVal,_xlfn.XLOOKUP($A842,Output_Mac!$A:$A,Output_Mac!M:M,""),
_xlpm.MyAuditVal,_xlfn.XLOOKUP($A842,My_Audit!$A:$A,My_Audit!L:L,""),
_xlfn.IFS(_xlpm.MyAuditVal&lt;&gt;"",UPPER(_xlpm.MyAuditVal),_xlpm.MacVal&lt;&gt;"",_xlpm.MacVal,_xlpm.CSVVal&lt;&gt;"",_xlpm.CSVVal
)),"")</f>
        <v/>
      </c>
      <c r="N842" s="40"/>
      <c r="O842" s="40" t="str">
        <f>_xlfn.LET(
    _xlpm.CSVVal, _xlfn.XLOOKUP($A842, CSV!$A:$A, CSV!AA:AA, ""),
    _xlpm.MacVal, _xlfn.XLOOKUP($A842, Output_Mac!$A:$A, Output_Mac!S:S, ""),
    _xlpm.MyAuditVal, _xlfn.XLOOKUP($A842, My_Audit!$A:$A, My_Audit!P:P, ""),
    _xlfn.TEXTJOIN(", ", TRUE, _xlpm.MyAuditVal, _xlpm.MacVal, _xlpm.CSVVal)
)</f>
        <v/>
      </c>
      <c r="P842" s="40" t="str" cm="1">
        <f t="array" ref="P842">IFERROR(_xlfn.LET(
_xlpm.CSVVal,_xlfn.XLOOKUP($A842,CSV!$A:$A,CSV!AB:AB,""),
_xlpm.MacVal,_xlfn.XLOOKUP($A842,Output_Mac!$A:$A,Output_Mac!T:T,""),
_xlpm.MyAuditVal,_xlfn.XLOOKUP($A842,My_Audit!$A:$A,My_Audit!Q:Q,""),
_xlfn.IFS(_xlpm.MyAuditVal&lt;&gt;"",UPPER(_xlpm.MyAuditVal),_xlpm.MacVal&lt;&gt;"",_xlpm.MacVal,_xlpm.CSVVal&lt;&gt;"",_xlpm.CSVVal
)),"No")</f>
        <v>No</v>
      </c>
      <c r="Q842" s="40" t="str" cm="1">
        <f t="array" ref="Q842">IFERROR(_xlfn.LET(
_xlpm.CSVVal,_xlfn.XLOOKUP($A842,CSV!$A:$A,CSV!AC:AC,""),
_xlpm.MacVal,_xlfn.XLOOKUP($A842,Output_Mac!$A:$A,Output_Mac!U:U,""),
_xlpm.MyAuditVal,_xlfn.XLOOKUP($A842,My_Audit!$A:$A,My_Audit!R:R,""),
_xlfn.IFS(_xlpm.MyAuditVal&lt;&gt;"",UPPER(_xlpm.MyAuditVal),_xlpm.MacVal&lt;&gt;"",_xlpm.MacVal,_xlpm.CSVVal&lt;&gt;"",_xlpm.CSVVal
)),"")</f>
        <v/>
      </c>
      <c r="R842" s="40"/>
      <c r="S842" s="40"/>
      <c r="T842" s="40"/>
      <c r="U842" s="40"/>
      <c r="V842" s="40"/>
      <c r="W842" s="40"/>
      <c r="X842" s="41" t="str">
        <f>_xlfn.LET(
    _xlpm.MacVal, _xlfn.XLOOKUP($A842, Output_Mac!$A:$A, Output_Mac!AB:AB, ""),
    _xlpm.MyAuditVal, _xlfn.XLOOKUP($A842, My_Audit!$A:$A, My_Audit!N:N, ""),
    _xlfn.TEXTJOIN(", ", TRUE, _xlpm.MyAuditVal, _xlpm.MacVal)
)</f>
        <v/>
      </c>
    </row>
    <row r="843" spans="1:24">
      <c r="A843" s="40" t="str">
        <f>_xlfn.TEXTJOIN("",TRUE,Input!$B$2,ROW(My_Audit!A842))</f>
        <v>X842</v>
      </c>
      <c r="B843" s="40" t="str">
        <f>_xlfn.TEXTJOIN("-",TRUE,"ITD",Input!$A$2,A843)</f>
        <v>ITD-X842</v>
      </c>
      <c r="C843" s="40" t="str" cm="1">
        <f t="array" ref="C843">IFERROR(_xlfn.LET(
_xlpm.CSVVal,_xlfn.XLOOKUP($A843,CSV!$A:$A,CSV!B:B,""),
_xlpm.MacVal,_xlfn.XLOOKUP($A843,Output_Mac!$A:$A,Output_Mac!B:B,""),
_xlpm.MyAuditVal,_xlfn.XLOOKUP($A843,My_Audit!$A:$A,My_Audit!B:B,""),
_xlfn.IFS(_xlpm.MyAuditVal&lt;&gt;"",UPPER(_xlpm.MyAuditVal),_xlpm.MacVal&lt;&gt;"",_xlpm.MacVal,_xlpm.CSVVal&lt;&gt;"",_xlpm.CSVVal
)),"")</f>
        <v/>
      </c>
      <c r="D843" s="40" t="str" cm="1">
        <f t="array" ref="D843">IFERROR(_xlfn.LET(
_xlpm.CSVVal,_xlfn.XLOOKUP($A843,CSV!$A:$A,CSV!D:D,""),
_xlpm.MacVal,_xlfn.XLOOKUP($A843,Output_Mac!$A:$A,Output_Mac!C:C,""),
_xlpm.MyAuditVal,_xlfn.XLOOKUP($A843,My_Audit!$A:$A,My_Audit!C:C,""),
_xlfn.IFS(_xlpm.MyAuditVal&lt;&gt;"",_xlpm.MyAuditVal,_xlpm.MacVal&lt;&gt;"",_xlpm.MacVal,_xlpm.CSVVal&lt;&gt;"",_xlpm.CSVVal
)),"")</f>
        <v/>
      </c>
      <c r="E843" s="40" t="str">
        <f>_xlfn.XLOOKUP(A843,My_Audit!A:A,My_Audit!D:D,"")</f>
        <v/>
      </c>
      <c r="F843" s="40" t="str" cm="1">
        <f t="array" ref="F843">IFERROR(_xlfn.LET(
_xlpm.CSVVal,_xlfn.XLOOKUP($A843,CSV!$A:$A,CSV!F:F,""),
_xlpm.MacVal,_xlfn.XLOOKUP($A843,Output_Mac!$A:$A,Output_Mac!E:E,""),
_xlpm.MyAuditVal,_xlfn.XLOOKUP($A843,My_Audit!$A:$A,My_Audit!E:E,""),
_xlfn.IFS(_xlpm.MyAuditVal&lt;&gt;"",_xlpm.MyAuditVal,_xlpm.MacVal&lt;&gt;"",_xlpm.MacVal,_xlpm.CSVVal&lt;&gt;"",_xlpm.CSVVal
)),"")</f>
        <v/>
      </c>
      <c r="G843" s="40" t="str" cm="1">
        <f t="array" ref="G843">IFERROR(_xlfn.LET(
_xlpm.CSVVal,_xlfn.XLOOKUP($A843,CSV!$A:$A,CSV!G:G,""),
_xlpm.MacVal,_xlfn.XLOOKUP($A843,Output_Mac!$A:$A,Output_Mac!F:F,""),
_xlpm.MyAuditVal,_xlfn.XLOOKUP($A843,My_Audit!$A:$A,My_Audit!F:F,""),
_xlfn.IFS(_xlpm.MyAuditVal&lt;&gt;"",_xlpm.MyAuditVal,_xlpm.MacVal&lt;&gt;"",_xlpm.MacVal,_xlpm.CSVVal&lt;&gt;"",PROPER(_xlpm.CSVVal)
)),"")</f>
        <v/>
      </c>
      <c r="H843" s="40" t="str" cm="1">
        <f t="array" ref="H843">IFERROR(_xlfn.LET(
_xlpm.CSVVal,_xlfn.XLOOKUP($A843,CSV!$A:$A,CSV!H:H,""),
_xlpm.MacVal,_xlfn.XLOOKUP($A843,Output_Mac!$A:$A,Output_Mac!H:H,""),
_xlpm.MyAuditVal,_xlfn.XLOOKUP($A843,My_Audit!$A:$A,My_Audit!G:G,""),
_xlfn.IFS(_xlpm.MyAuditVal&lt;&gt;"",_xlpm.MyAuditVal,_xlpm.MacVal&lt;&gt;"",_xlpm.MacVal,_xlpm.CSVVal&lt;&gt;"",_xlpm.CSVVal
)),"")</f>
        <v/>
      </c>
      <c r="I843" s="40" t="str">
        <f>_xlfn.XLOOKUP(A843,Output_Mac!A:A,Output_Mac!I:I,"")</f>
        <v/>
      </c>
      <c r="J843" s="40" t="str" cm="1">
        <f t="array" ref="J843">IFERROR(_xlfn.LET(
_xlpm.CSVVal,_xlfn.XLOOKUP($A843,CSV!$A:$A,CSV!I:I,""),
_xlpm.MacVal,_xlfn.XLOOKUP($A843,Output_Mac!$A:$A,Output_Mac!J:J,""),
_xlpm.MyAuditVal,_xlfn.XLOOKUP($A843,My_Audit!$A:$A,My_Audit!I:I,""),
_xlfn.IFS(_xlpm.MyAuditVal&lt;&gt;"",UPPER(_xlpm.MyAuditVal),_xlpm.MacVal&lt;&gt;"",_xlpm.MacVal,_xlpm.CSVVal&lt;&gt;"",_xlpm.CSVVal
)),"")</f>
        <v/>
      </c>
      <c r="K843" s="40" t="str" cm="1">
        <f t="array" ref="K843">IFERROR(_xlfn.LET(
_xlpm.CSVVal,_xlfn.XLOOKUP($A843,CSV!$A:$A,CSV!K:K,""),
_xlpm.MacVal,_xlfn.XLOOKUP($A843,Output_Mac!$A:$A,Output_Mac!K:K,""),
_xlpm.MyAuditVal,_xlfn.XLOOKUP($A843,My_Audit!$A:$A,My_Audit!J:J,""),
_xlfn.IFS(_xlpm.MyAuditVal&lt;&gt;"",UPPER(_xlpm.MyAuditVal),_xlpm.MacVal&lt;&gt;"",_xlpm.MacVal,_xlpm.CSVVal&lt;&gt;"",_xlpm.CSVVal
)),"")</f>
        <v/>
      </c>
      <c r="L843" s="40" t="str" cm="1">
        <f t="array" ref="L843">IFERROR(_xlfn.LET(
_xlpm.CSVVal,_xlfn.XLOOKUP($A843,CSV!$A:$A,CSV!P:P,""),
_xlpm.MacVal,_xlfn.XLOOKUP($A843,Output_Mac!$A:$A,Output_Mac!L:L,""),
_xlpm.MyAuditVal,_xlfn.XLOOKUP($A843,My_Audit!$A:$A,My_Audit!K:K,""),
_xlfn.IFS(_xlpm.MyAuditVal&lt;&gt;"",UPPER(_xlpm.MyAuditVal),_xlpm.MacVal&lt;&gt;"",_xlpm.MacVal,_xlpm.CSVVal&lt;&gt;"",_xlpm.CSVVal
)),"")</f>
        <v/>
      </c>
      <c r="M843" s="40" t="str" cm="1">
        <f t="array" ref="M843">IFERROR(_xlfn.LET(
_xlpm.CSVVal,_xlfn.XLOOKUP($A843,CSV!$A:$A,CSV!Q:Q,""),
_xlpm.MacVal,_xlfn.XLOOKUP($A843,Output_Mac!$A:$A,Output_Mac!M:M,""),
_xlpm.MyAuditVal,_xlfn.XLOOKUP($A843,My_Audit!$A:$A,My_Audit!L:L,""),
_xlfn.IFS(_xlpm.MyAuditVal&lt;&gt;"",UPPER(_xlpm.MyAuditVal),_xlpm.MacVal&lt;&gt;"",_xlpm.MacVal,_xlpm.CSVVal&lt;&gt;"",_xlpm.CSVVal
)),"")</f>
        <v/>
      </c>
      <c r="N843" s="40"/>
      <c r="O843" s="40" t="str">
        <f>_xlfn.LET(
    _xlpm.CSVVal, _xlfn.XLOOKUP($A843, CSV!$A:$A, CSV!AA:AA, ""),
    _xlpm.MacVal, _xlfn.XLOOKUP($A843, Output_Mac!$A:$A, Output_Mac!S:S, ""),
    _xlpm.MyAuditVal, _xlfn.XLOOKUP($A843, My_Audit!$A:$A, My_Audit!P:P, ""),
    _xlfn.TEXTJOIN(", ", TRUE, _xlpm.MyAuditVal, _xlpm.MacVal, _xlpm.CSVVal)
)</f>
        <v/>
      </c>
      <c r="P843" s="40" t="str" cm="1">
        <f t="array" ref="P843">IFERROR(_xlfn.LET(
_xlpm.CSVVal,_xlfn.XLOOKUP($A843,CSV!$A:$A,CSV!AB:AB,""),
_xlpm.MacVal,_xlfn.XLOOKUP($A843,Output_Mac!$A:$A,Output_Mac!T:T,""),
_xlpm.MyAuditVal,_xlfn.XLOOKUP($A843,My_Audit!$A:$A,My_Audit!Q:Q,""),
_xlfn.IFS(_xlpm.MyAuditVal&lt;&gt;"",UPPER(_xlpm.MyAuditVal),_xlpm.MacVal&lt;&gt;"",_xlpm.MacVal,_xlpm.CSVVal&lt;&gt;"",_xlpm.CSVVal
)),"No")</f>
        <v>No</v>
      </c>
      <c r="Q843" s="40" t="str" cm="1">
        <f t="array" ref="Q843">IFERROR(_xlfn.LET(
_xlpm.CSVVal,_xlfn.XLOOKUP($A843,CSV!$A:$A,CSV!AC:AC,""),
_xlpm.MacVal,_xlfn.XLOOKUP($A843,Output_Mac!$A:$A,Output_Mac!U:U,""),
_xlpm.MyAuditVal,_xlfn.XLOOKUP($A843,My_Audit!$A:$A,My_Audit!R:R,""),
_xlfn.IFS(_xlpm.MyAuditVal&lt;&gt;"",UPPER(_xlpm.MyAuditVal),_xlpm.MacVal&lt;&gt;"",_xlpm.MacVal,_xlpm.CSVVal&lt;&gt;"",_xlpm.CSVVal
)),"")</f>
        <v/>
      </c>
      <c r="R843" s="40"/>
      <c r="S843" s="40"/>
      <c r="T843" s="40"/>
      <c r="U843" s="40"/>
      <c r="V843" s="40"/>
      <c r="W843" s="40"/>
      <c r="X843" s="41" t="str">
        <f>_xlfn.LET(
    _xlpm.MacVal, _xlfn.XLOOKUP($A843, Output_Mac!$A:$A, Output_Mac!AB:AB, ""),
    _xlpm.MyAuditVal, _xlfn.XLOOKUP($A843, My_Audit!$A:$A, My_Audit!N:N, ""),
    _xlfn.TEXTJOIN(", ", TRUE, _xlpm.MyAuditVal, _xlpm.MacVal)
)</f>
        <v/>
      </c>
    </row>
    <row r="844" spans="1:24">
      <c r="A844" s="40" t="str">
        <f>_xlfn.TEXTJOIN("",TRUE,Input!$B$2,ROW(My_Audit!A843))</f>
        <v>X843</v>
      </c>
      <c r="B844" s="40" t="str">
        <f>_xlfn.TEXTJOIN("-",TRUE,"ITD",Input!$A$2,A844)</f>
        <v>ITD-X843</v>
      </c>
      <c r="C844" s="40" t="str" cm="1">
        <f t="array" ref="C844">IFERROR(_xlfn.LET(
_xlpm.CSVVal,_xlfn.XLOOKUP($A844,CSV!$A:$A,CSV!B:B,""),
_xlpm.MacVal,_xlfn.XLOOKUP($A844,Output_Mac!$A:$A,Output_Mac!B:B,""),
_xlpm.MyAuditVal,_xlfn.XLOOKUP($A844,My_Audit!$A:$A,My_Audit!B:B,""),
_xlfn.IFS(_xlpm.MyAuditVal&lt;&gt;"",UPPER(_xlpm.MyAuditVal),_xlpm.MacVal&lt;&gt;"",_xlpm.MacVal,_xlpm.CSVVal&lt;&gt;"",_xlpm.CSVVal
)),"")</f>
        <v/>
      </c>
      <c r="D844" s="40" t="str" cm="1">
        <f t="array" ref="D844">IFERROR(_xlfn.LET(
_xlpm.CSVVal,_xlfn.XLOOKUP($A844,CSV!$A:$A,CSV!D:D,""),
_xlpm.MacVal,_xlfn.XLOOKUP($A844,Output_Mac!$A:$A,Output_Mac!C:C,""),
_xlpm.MyAuditVal,_xlfn.XLOOKUP($A844,My_Audit!$A:$A,My_Audit!C:C,""),
_xlfn.IFS(_xlpm.MyAuditVal&lt;&gt;"",_xlpm.MyAuditVal,_xlpm.MacVal&lt;&gt;"",_xlpm.MacVal,_xlpm.CSVVal&lt;&gt;"",_xlpm.CSVVal
)),"")</f>
        <v/>
      </c>
      <c r="E844" s="40" t="str">
        <f>_xlfn.XLOOKUP(A844,My_Audit!A:A,My_Audit!D:D,"")</f>
        <v/>
      </c>
      <c r="F844" s="40" t="str" cm="1">
        <f t="array" ref="F844">IFERROR(_xlfn.LET(
_xlpm.CSVVal,_xlfn.XLOOKUP($A844,CSV!$A:$A,CSV!F:F,""),
_xlpm.MacVal,_xlfn.XLOOKUP($A844,Output_Mac!$A:$A,Output_Mac!E:E,""),
_xlpm.MyAuditVal,_xlfn.XLOOKUP($A844,My_Audit!$A:$A,My_Audit!E:E,""),
_xlfn.IFS(_xlpm.MyAuditVal&lt;&gt;"",_xlpm.MyAuditVal,_xlpm.MacVal&lt;&gt;"",_xlpm.MacVal,_xlpm.CSVVal&lt;&gt;"",_xlpm.CSVVal
)),"")</f>
        <v/>
      </c>
      <c r="G844" s="40" t="str" cm="1">
        <f t="array" ref="G844">IFERROR(_xlfn.LET(
_xlpm.CSVVal,_xlfn.XLOOKUP($A844,CSV!$A:$A,CSV!G:G,""),
_xlpm.MacVal,_xlfn.XLOOKUP($A844,Output_Mac!$A:$A,Output_Mac!F:F,""),
_xlpm.MyAuditVal,_xlfn.XLOOKUP($A844,My_Audit!$A:$A,My_Audit!F:F,""),
_xlfn.IFS(_xlpm.MyAuditVal&lt;&gt;"",_xlpm.MyAuditVal,_xlpm.MacVal&lt;&gt;"",_xlpm.MacVal,_xlpm.CSVVal&lt;&gt;"",PROPER(_xlpm.CSVVal)
)),"")</f>
        <v/>
      </c>
      <c r="H844" s="40" t="str" cm="1">
        <f t="array" ref="H844">IFERROR(_xlfn.LET(
_xlpm.CSVVal,_xlfn.XLOOKUP($A844,CSV!$A:$A,CSV!H:H,""),
_xlpm.MacVal,_xlfn.XLOOKUP($A844,Output_Mac!$A:$A,Output_Mac!H:H,""),
_xlpm.MyAuditVal,_xlfn.XLOOKUP($A844,My_Audit!$A:$A,My_Audit!G:G,""),
_xlfn.IFS(_xlpm.MyAuditVal&lt;&gt;"",_xlpm.MyAuditVal,_xlpm.MacVal&lt;&gt;"",_xlpm.MacVal,_xlpm.CSVVal&lt;&gt;"",_xlpm.CSVVal
)),"")</f>
        <v/>
      </c>
      <c r="I844" s="40" t="str">
        <f>_xlfn.XLOOKUP(A844,Output_Mac!A:A,Output_Mac!I:I,"")</f>
        <v/>
      </c>
      <c r="J844" s="40" t="str" cm="1">
        <f t="array" ref="J844">IFERROR(_xlfn.LET(
_xlpm.CSVVal,_xlfn.XLOOKUP($A844,CSV!$A:$A,CSV!I:I,""),
_xlpm.MacVal,_xlfn.XLOOKUP($A844,Output_Mac!$A:$A,Output_Mac!J:J,""),
_xlpm.MyAuditVal,_xlfn.XLOOKUP($A844,My_Audit!$A:$A,My_Audit!I:I,""),
_xlfn.IFS(_xlpm.MyAuditVal&lt;&gt;"",UPPER(_xlpm.MyAuditVal),_xlpm.MacVal&lt;&gt;"",_xlpm.MacVal,_xlpm.CSVVal&lt;&gt;"",_xlpm.CSVVal
)),"")</f>
        <v/>
      </c>
      <c r="K844" s="40" t="str" cm="1">
        <f t="array" ref="K844">IFERROR(_xlfn.LET(
_xlpm.CSVVal,_xlfn.XLOOKUP($A844,CSV!$A:$A,CSV!K:K,""),
_xlpm.MacVal,_xlfn.XLOOKUP($A844,Output_Mac!$A:$A,Output_Mac!K:K,""),
_xlpm.MyAuditVal,_xlfn.XLOOKUP($A844,My_Audit!$A:$A,My_Audit!J:J,""),
_xlfn.IFS(_xlpm.MyAuditVal&lt;&gt;"",UPPER(_xlpm.MyAuditVal),_xlpm.MacVal&lt;&gt;"",_xlpm.MacVal,_xlpm.CSVVal&lt;&gt;"",_xlpm.CSVVal
)),"")</f>
        <v/>
      </c>
      <c r="L844" s="40" t="str" cm="1">
        <f t="array" ref="L844">IFERROR(_xlfn.LET(
_xlpm.CSVVal,_xlfn.XLOOKUP($A844,CSV!$A:$A,CSV!P:P,""),
_xlpm.MacVal,_xlfn.XLOOKUP($A844,Output_Mac!$A:$A,Output_Mac!L:L,""),
_xlpm.MyAuditVal,_xlfn.XLOOKUP($A844,My_Audit!$A:$A,My_Audit!K:K,""),
_xlfn.IFS(_xlpm.MyAuditVal&lt;&gt;"",UPPER(_xlpm.MyAuditVal),_xlpm.MacVal&lt;&gt;"",_xlpm.MacVal,_xlpm.CSVVal&lt;&gt;"",_xlpm.CSVVal
)),"")</f>
        <v/>
      </c>
      <c r="M844" s="40" t="str" cm="1">
        <f t="array" ref="M844">IFERROR(_xlfn.LET(
_xlpm.CSVVal,_xlfn.XLOOKUP($A844,CSV!$A:$A,CSV!Q:Q,""),
_xlpm.MacVal,_xlfn.XLOOKUP($A844,Output_Mac!$A:$A,Output_Mac!M:M,""),
_xlpm.MyAuditVal,_xlfn.XLOOKUP($A844,My_Audit!$A:$A,My_Audit!L:L,""),
_xlfn.IFS(_xlpm.MyAuditVal&lt;&gt;"",UPPER(_xlpm.MyAuditVal),_xlpm.MacVal&lt;&gt;"",_xlpm.MacVal,_xlpm.CSVVal&lt;&gt;"",_xlpm.CSVVal
)),"")</f>
        <v/>
      </c>
      <c r="N844" s="40"/>
      <c r="O844" s="40" t="str">
        <f>_xlfn.LET(
    _xlpm.CSVVal, _xlfn.XLOOKUP($A844, CSV!$A:$A, CSV!AA:AA, ""),
    _xlpm.MacVal, _xlfn.XLOOKUP($A844, Output_Mac!$A:$A, Output_Mac!S:S, ""),
    _xlpm.MyAuditVal, _xlfn.XLOOKUP($A844, My_Audit!$A:$A, My_Audit!P:P, ""),
    _xlfn.TEXTJOIN(", ", TRUE, _xlpm.MyAuditVal, _xlpm.MacVal, _xlpm.CSVVal)
)</f>
        <v/>
      </c>
      <c r="P844" s="40" t="str" cm="1">
        <f t="array" ref="P844">IFERROR(_xlfn.LET(
_xlpm.CSVVal,_xlfn.XLOOKUP($A844,CSV!$A:$A,CSV!AB:AB,""),
_xlpm.MacVal,_xlfn.XLOOKUP($A844,Output_Mac!$A:$A,Output_Mac!T:T,""),
_xlpm.MyAuditVal,_xlfn.XLOOKUP($A844,My_Audit!$A:$A,My_Audit!Q:Q,""),
_xlfn.IFS(_xlpm.MyAuditVal&lt;&gt;"",UPPER(_xlpm.MyAuditVal),_xlpm.MacVal&lt;&gt;"",_xlpm.MacVal,_xlpm.CSVVal&lt;&gt;"",_xlpm.CSVVal
)),"No")</f>
        <v>No</v>
      </c>
      <c r="Q844" s="40" t="str" cm="1">
        <f t="array" ref="Q844">IFERROR(_xlfn.LET(
_xlpm.CSVVal,_xlfn.XLOOKUP($A844,CSV!$A:$A,CSV!AC:AC,""),
_xlpm.MacVal,_xlfn.XLOOKUP($A844,Output_Mac!$A:$A,Output_Mac!U:U,""),
_xlpm.MyAuditVal,_xlfn.XLOOKUP($A844,My_Audit!$A:$A,My_Audit!R:R,""),
_xlfn.IFS(_xlpm.MyAuditVal&lt;&gt;"",UPPER(_xlpm.MyAuditVal),_xlpm.MacVal&lt;&gt;"",_xlpm.MacVal,_xlpm.CSVVal&lt;&gt;"",_xlpm.CSVVal
)),"")</f>
        <v/>
      </c>
      <c r="R844" s="40"/>
      <c r="S844" s="40"/>
      <c r="T844" s="40"/>
      <c r="U844" s="40"/>
      <c r="V844" s="40"/>
      <c r="W844" s="40"/>
      <c r="X844" s="41" t="str">
        <f>_xlfn.LET(
    _xlpm.MacVal, _xlfn.XLOOKUP($A844, Output_Mac!$A:$A, Output_Mac!AB:AB, ""),
    _xlpm.MyAuditVal, _xlfn.XLOOKUP($A844, My_Audit!$A:$A, My_Audit!N:N, ""),
    _xlfn.TEXTJOIN(", ", TRUE, _xlpm.MyAuditVal, _xlpm.MacVal)
)</f>
        <v/>
      </c>
    </row>
    <row r="845" spans="1:24">
      <c r="A845" s="40" t="str">
        <f>_xlfn.TEXTJOIN("",TRUE,Input!$B$2,ROW(My_Audit!A844))</f>
        <v>X844</v>
      </c>
      <c r="B845" s="40" t="str">
        <f>_xlfn.TEXTJOIN("-",TRUE,"ITD",Input!$A$2,A845)</f>
        <v>ITD-X844</v>
      </c>
      <c r="C845" s="40" t="str" cm="1">
        <f t="array" ref="C845">IFERROR(_xlfn.LET(
_xlpm.CSVVal,_xlfn.XLOOKUP($A845,CSV!$A:$A,CSV!B:B,""),
_xlpm.MacVal,_xlfn.XLOOKUP($A845,Output_Mac!$A:$A,Output_Mac!B:B,""),
_xlpm.MyAuditVal,_xlfn.XLOOKUP($A845,My_Audit!$A:$A,My_Audit!B:B,""),
_xlfn.IFS(_xlpm.MyAuditVal&lt;&gt;"",UPPER(_xlpm.MyAuditVal),_xlpm.MacVal&lt;&gt;"",_xlpm.MacVal,_xlpm.CSVVal&lt;&gt;"",_xlpm.CSVVal
)),"")</f>
        <v/>
      </c>
      <c r="D845" s="40" t="str" cm="1">
        <f t="array" ref="D845">IFERROR(_xlfn.LET(
_xlpm.CSVVal,_xlfn.XLOOKUP($A845,CSV!$A:$A,CSV!D:D,""),
_xlpm.MacVal,_xlfn.XLOOKUP($A845,Output_Mac!$A:$A,Output_Mac!C:C,""),
_xlpm.MyAuditVal,_xlfn.XLOOKUP($A845,My_Audit!$A:$A,My_Audit!C:C,""),
_xlfn.IFS(_xlpm.MyAuditVal&lt;&gt;"",_xlpm.MyAuditVal,_xlpm.MacVal&lt;&gt;"",_xlpm.MacVal,_xlpm.CSVVal&lt;&gt;"",_xlpm.CSVVal
)),"")</f>
        <v/>
      </c>
      <c r="E845" s="40" t="str">
        <f>_xlfn.XLOOKUP(A845,My_Audit!A:A,My_Audit!D:D,"")</f>
        <v/>
      </c>
      <c r="F845" s="40" t="str" cm="1">
        <f t="array" ref="F845">IFERROR(_xlfn.LET(
_xlpm.CSVVal,_xlfn.XLOOKUP($A845,CSV!$A:$A,CSV!F:F,""),
_xlpm.MacVal,_xlfn.XLOOKUP($A845,Output_Mac!$A:$A,Output_Mac!E:E,""),
_xlpm.MyAuditVal,_xlfn.XLOOKUP($A845,My_Audit!$A:$A,My_Audit!E:E,""),
_xlfn.IFS(_xlpm.MyAuditVal&lt;&gt;"",_xlpm.MyAuditVal,_xlpm.MacVal&lt;&gt;"",_xlpm.MacVal,_xlpm.CSVVal&lt;&gt;"",_xlpm.CSVVal
)),"")</f>
        <v/>
      </c>
      <c r="G845" s="40" t="str" cm="1">
        <f t="array" ref="G845">IFERROR(_xlfn.LET(
_xlpm.CSVVal,_xlfn.XLOOKUP($A845,CSV!$A:$A,CSV!G:G,""),
_xlpm.MacVal,_xlfn.XLOOKUP($A845,Output_Mac!$A:$A,Output_Mac!F:F,""),
_xlpm.MyAuditVal,_xlfn.XLOOKUP($A845,My_Audit!$A:$A,My_Audit!F:F,""),
_xlfn.IFS(_xlpm.MyAuditVal&lt;&gt;"",_xlpm.MyAuditVal,_xlpm.MacVal&lt;&gt;"",_xlpm.MacVal,_xlpm.CSVVal&lt;&gt;"",PROPER(_xlpm.CSVVal)
)),"")</f>
        <v/>
      </c>
      <c r="H845" s="40" t="str" cm="1">
        <f t="array" ref="H845">IFERROR(_xlfn.LET(
_xlpm.CSVVal,_xlfn.XLOOKUP($A845,CSV!$A:$A,CSV!H:H,""),
_xlpm.MacVal,_xlfn.XLOOKUP($A845,Output_Mac!$A:$A,Output_Mac!H:H,""),
_xlpm.MyAuditVal,_xlfn.XLOOKUP($A845,My_Audit!$A:$A,My_Audit!G:G,""),
_xlfn.IFS(_xlpm.MyAuditVal&lt;&gt;"",_xlpm.MyAuditVal,_xlpm.MacVal&lt;&gt;"",_xlpm.MacVal,_xlpm.CSVVal&lt;&gt;"",_xlpm.CSVVal
)),"")</f>
        <v/>
      </c>
      <c r="I845" s="40" t="str">
        <f>_xlfn.XLOOKUP(A845,Output_Mac!A:A,Output_Mac!I:I,"")</f>
        <v/>
      </c>
      <c r="J845" s="40" t="str" cm="1">
        <f t="array" ref="J845">IFERROR(_xlfn.LET(
_xlpm.CSVVal,_xlfn.XLOOKUP($A845,CSV!$A:$A,CSV!I:I,""),
_xlpm.MacVal,_xlfn.XLOOKUP($A845,Output_Mac!$A:$A,Output_Mac!J:J,""),
_xlpm.MyAuditVal,_xlfn.XLOOKUP($A845,My_Audit!$A:$A,My_Audit!I:I,""),
_xlfn.IFS(_xlpm.MyAuditVal&lt;&gt;"",UPPER(_xlpm.MyAuditVal),_xlpm.MacVal&lt;&gt;"",_xlpm.MacVal,_xlpm.CSVVal&lt;&gt;"",_xlpm.CSVVal
)),"")</f>
        <v/>
      </c>
      <c r="K845" s="40" t="str" cm="1">
        <f t="array" ref="K845">IFERROR(_xlfn.LET(
_xlpm.CSVVal,_xlfn.XLOOKUP($A845,CSV!$A:$A,CSV!K:K,""),
_xlpm.MacVal,_xlfn.XLOOKUP($A845,Output_Mac!$A:$A,Output_Mac!K:K,""),
_xlpm.MyAuditVal,_xlfn.XLOOKUP($A845,My_Audit!$A:$A,My_Audit!J:J,""),
_xlfn.IFS(_xlpm.MyAuditVal&lt;&gt;"",UPPER(_xlpm.MyAuditVal),_xlpm.MacVal&lt;&gt;"",_xlpm.MacVal,_xlpm.CSVVal&lt;&gt;"",_xlpm.CSVVal
)),"")</f>
        <v/>
      </c>
      <c r="L845" s="40" t="str" cm="1">
        <f t="array" ref="L845">IFERROR(_xlfn.LET(
_xlpm.CSVVal,_xlfn.XLOOKUP($A845,CSV!$A:$A,CSV!P:P,""),
_xlpm.MacVal,_xlfn.XLOOKUP($A845,Output_Mac!$A:$A,Output_Mac!L:L,""),
_xlpm.MyAuditVal,_xlfn.XLOOKUP($A845,My_Audit!$A:$A,My_Audit!K:K,""),
_xlfn.IFS(_xlpm.MyAuditVal&lt;&gt;"",UPPER(_xlpm.MyAuditVal),_xlpm.MacVal&lt;&gt;"",_xlpm.MacVal,_xlpm.CSVVal&lt;&gt;"",_xlpm.CSVVal
)),"")</f>
        <v/>
      </c>
      <c r="M845" s="40" t="str" cm="1">
        <f t="array" ref="M845">IFERROR(_xlfn.LET(
_xlpm.CSVVal,_xlfn.XLOOKUP($A845,CSV!$A:$A,CSV!Q:Q,""),
_xlpm.MacVal,_xlfn.XLOOKUP($A845,Output_Mac!$A:$A,Output_Mac!M:M,""),
_xlpm.MyAuditVal,_xlfn.XLOOKUP($A845,My_Audit!$A:$A,My_Audit!L:L,""),
_xlfn.IFS(_xlpm.MyAuditVal&lt;&gt;"",UPPER(_xlpm.MyAuditVal),_xlpm.MacVal&lt;&gt;"",_xlpm.MacVal,_xlpm.CSVVal&lt;&gt;"",_xlpm.CSVVal
)),"")</f>
        <v/>
      </c>
      <c r="N845" s="40"/>
      <c r="O845" s="40" t="str">
        <f>_xlfn.LET(
    _xlpm.CSVVal, _xlfn.XLOOKUP($A845, CSV!$A:$A, CSV!AA:AA, ""),
    _xlpm.MacVal, _xlfn.XLOOKUP($A845, Output_Mac!$A:$A, Output_Mac!S:S, ""),
    _xlpm.MyAuditVal, _xlfn.XLOOKUP($A845, My_Audit!$A:$A, My_Audit!P:P, ""),
    _xlfn.TEXTJOIN(", ", TRUE, _xlpm.MyAuditVal, _xlpm.MacVal, _xlpm.CSVVal)
)</f>
        <v/>
      </c>
      <c r="P845" s="40" t="str" cm="1">
        <f t="array" ref="P845">IFERROR(_xlfn.LET(
_xlpm.CSVVal,_xlfn.XLOOKUP($A845,CSV!$A:$A,CSV!AB:AB,""),
_xlpm.MacVal,_xlfn.XLOOKUP($A845,Output_Mac!$A:$A,Output_Mac!T:T,""),
_xlpm.MyAuditVal,_xlfn.XLOOKUP($A845,My_Audit!$A:$A,My_Audit!Q:Q,""),
_xlfn.IFS(_xlpm.MyAuditVal&lt;&gt;"",UPPER(_xlpm.MyAuditVal),_xlpm.MacVal&lt;&gt;"",_xlpm.MacVal,_xlpm.CSVVal&lt;&gt;"",_xlpm.CSVVal
)),"No")</f>
        <v>No</v>
      </c>
      <c r="Q845" s="40" t="str" cm="1">
        <f t="array" ref="Q845">IFERROR(_xlfn.LET(
_xlpm.CSVVal,_xlfn.XLOOKUP($A845,CSV!$A:$A,CSV!AC:AC,""),
_xlpm.MacVal,_xlfn.XLOOKUP($A845,Output_Mac!$A:$A,Output_Mac!U:U,""),
_xlpm.MyAuditVal,_xlfn.XLOOKUP($A845,My_Audit!$A:$A,My_Audit!R:R,""),
_xlfn.IFS(_xlpm.MyAuditVal&lt;&gt;"",UPPER(_xlpm.MyAuditVal),_xlpm.MacVal&lt;&gt;"",_xlpm.MacVal,_xlpm.CSVVal&lt;&gt;"",_xlpm.CSVVal
)),"")</f>
        <v/>
      </c>
      <c r="R845" s="40"/>
      <c r="S845" s="40"/>
      <c r="T845" s="40"/>
      <c r="U845" s="40"/>
      <c r="V845" s="40"/>
      <c r="W845" s="40"/>
      <c r="X845" s="41" t="str">
        <f>_xlfn.LET(
    _xlpm.MacVal, _xlfn.XLOOKUP($A845, Output_Mac!$A:$A, Output_Mac!AB:AB, ""),
    _xlpm.MyAuditVal, _xlfn.XLOOKUP($A845, My_Audit!$A:$A, My_Audit!N:N, ""),
    _xlfn.TEXTJOIN(", ", TRUE, _xlpm.MyAuditVal, _xlpm.MacVal)
)</f>
        <v/>
      </c>
    </row>
    <row r="846" spans="1:24">
      <c r="A846" s="40" t="str">
        <f>_xlfn.TEXTJOIN("",TRUE,Input!$B$2,ROW(My_Audit!A845))</f>
        <v>X845</v>
      </c>
      <c r="B846" s="40" t="str">
        <f>_xlfn.TEXTJOIN("-",TRUE,"ITD",Input!$A$2,A846)</f>
        <v>ITD-X845</v>
      </c>
      <c r="C846" s="40" t="str" cm="1">
        <f t="array" ref="C846">IFERROR(_xlfn.LET(
_xlpm.CSVVal,_xlfn.XLOOKUP($A846,CSV!$A:$A,CSV!B:B,""),
_xlpm.MacVal,_xlfn.XLOOKUP($A846,Output_Mac!$A:$A,Output_Mac!B:B,""),
_xlpm.MyAuditVal,_xlfn.XLOOKUP($A846,My_Audit!$A:$A,My_Audit!B:B,""),
_xlfn.IFS(_xlpm.MyAuditVal&lt;&gt;"",UPPER(_xlpm.MyAuditVal),_xlpm.MacVal&lt;&gt;"",_xlpm.MacVal,_xlpm.CSVVal&lt;&gt;"",_xlpm.CSVVal
)),"")</f>
        <v/>
      </c>
      <c r="D846" s="40" t="str" cm="1">
        <f t="array" ref="D846">IFERROR(_xlfn.LET(
_xlpm.CSVVal,_xlfn.XLOOKUP($A846,CSV!$A:$A,CSV!D:D,""),
_xlpm.MacVal,_xlfn.XLOOKUP($A846,Output_Mac!$A:$A,Output_Mac!C:C,""),
_xlpm.MyAuditVal,_xlfn.XLOOKUP($A846,My_Audit!$A:$A,My_Audit!C:C,""),
_xlfn.IFS(_xlpm.MyAuditVal&lt;&gt;"",_xlpm.MyAuditVal,_xlpm.MacVal&lt;&gt;"",_xlpm.MacVal,_xlpm.CSVVal&lt;&gt;"",_xlpm.CSVVal
)),"")</f>
        <v/>
      </c>
      <c r="E846" s="40" t="str">
        <f>_xlfn.XLOOKUP(A846,My_Audit!A:A,My_Audit!D:D,"")</f>
        <v/>
      </c>
      <c r="F846" s="40" t="str" cm="1">
        <f t="array" ref="F846">IFERROR(_xlfn.LET(
_xlpm.CSVVal,_xlfn.XLOOKUP($A846,CSV!$A:$A,CSV!F:F,""),
_xlpm.MacVal,_xlfn.XLOOKUP($A846,Output_Mac!$A:$A,Output_Mac!E:E,""),
_xlpm.MyAuditVal,_xlfn.XLOOKUP($A846,My_Audit!$A:$A,My_Audit!E:E,""),
_xlfn.IFS(_xlpm.MyAuditVal&lt;&gt;"",_xlpm.MyAuditVal,_xlpm.MacVal&lt;&gt;"",_xlpm.MacVal,_xlpm.CSVVal&lt;&gt;"",_xlpm.CSVVal
)),"")</f>
        <v/>
      </c>
      <c r="G846" s="40" t="str" cm="1">
        <f t="array" ref="G846">IFERROR(_xlfn.LET(
_xlpm.CSVVal,_xlfn.XLOOKUP($A846,CSV!$A:$A,CSV!G:G,""),
_xlpm.MacVal,_xlfn.XLOOKUP($A846,Output_Mac!$A:$A,Output_Mac!F:F,""),
_xlpm.MyAuditVal,_xlfn.XLOOKUP($A846,My_Audit!$A:$A,My_Audit!F:F,""),
_xlfn.IFS(_xlpm.MyAuditVal&lt;&gt;"",_xlpm.MyAuditVal,_xlpm.MacVal&lt;&gt;"",_xlpm.MacVal,_xlpm.CSVVal&lt;&gt;"",PROPER(_xlpm.CSVVal)
)),"")</f>
        <v/>
      </c>
      <c r="H846" s="40" t="str" cm="1">
        <f t="array" ref="H846">IFERROR(_xlfn.LET(
_xlpm.CSVVal,_xlfn.XLOOKUP($A846,CSV!$A:$A,CSV!H:H,""),
_xlpm.MacVal,_xlfn.XLOOKUP($A846,Output_Mac!$A:$A,Output_Mac!H:H,""),
_xlpm.MyAuditVal,_xlfn.XLOOKUP($A846,My_Audit!$A:$A,My_Audit!G:G,""),
_xlfn.IFS(_xlpm.MyAuditVal&lt;&gt;"",_xlpm.MyAuditVal,_xlpm.MacVal&lt;&gt;"",_xlpm.MacVal,_xlpm.CSVVal&lt;&gt;"",_xlpm.CSVVal
)),"")</f>
        <v/>
      </c>
      <c r="I846" s="40" t="str">
        <f>_xlfn.XLOOKUP(A846,Output_Mac!A:A,Output_Mac!I:I,"")</f>
        <v/>
      </c>
      <c r="J846" s="40" t="str" cm="1">
        <f t="array" ref="J846">IFERROR(_xlfn.LET(
_xlpm.CSVVal,_xlfn.XLOOKUP($A846,CSV!$A:$A,CSV!I:I,""),
_xlpm.MacVal,_xlfn.XLOOKUP($A846,Output_Mac!$A:$A,Output_Mac!J:J,""),
_xlpm.MyAuditVal,_xlfn.XLOOKUP($A846,My_Audit!$A:$A,My_Audit!I:I,""),
_xlfn.IFS(_xlpm.MyAuditVal&lt;&gt;"",UPPER(_xlpm.MyAuditVal),_xlpm.MacVal&lt;&gt;"",_xlpm.MacVal,_xlpm.CSVVal&lt;&gt;"",_xlpm.CSVVal
)),"")</f>
        <v/>
      </c>
      <c r="K846" s="40" t="str" cm="1">
        <f t="array" ref="K846">IFERROR(_xlfn.LET(
_xlpm.CSVVal,_xlfn.XLOOKUP($A846,CSV!$A:$A,CSV!K:K,""),
_xlpm.MacVal,_xlfn.XLOOKUP($A846,Output_Mac!$A:$A,Output_Mac!K:K,""),
_xlpm.MyAuditVal,_xlfn.XLOOKUP($A846,My_Audit!$A:$A,My_Audit!J:J,""),
_xlfn.IFS(_xlpm.MyAuditVal&lt;&gt;"",UPPER(_xlpm.MyAuditVal),_xlpm.MacVal&lt;&gt;"",_xlpm.MacVal,_xlpm.CSVVal&lt;&gt;"",_xlpm.CSVVal
)),"")</f>
        <v/>
      </c>
      <c r="L846" s="40" t="str" cm="1">
        <f t="array" ref="L846">IFERROR(_xlfn.LET(
_xlpm.CSVVal,_xlfn.XLOOKUP($A846,CSV!$A:$A,CSV!P:P,""),
_xlpm.MacVal,_xlfn.XLOOKUP($A846,Output_Mac!$A:$A,Output_Mac!L:L,""),
_xlpm.MyAuditVal,_xlfn.XLOOKUP($A846,My_Audit!$A:$A,My_Audit!K:K,""),
_xlfn.IFS(_xlpm.MyAuditVal&lt;&gt;"",UPPER(_xlpm.MyAuditVal),_xlpm.MacVal&lt;&gt;"",_xlpm.MacVal,_xlpm.CSVVal&lt;&gt;"",_xlpm.CSVVal
)),"")</f>
        <v/>
      </c>
      <c r="M846" s="40" t="str" cm="1">
        <f t="array" ref="M846">IFERROR(_xlfn.LET(
_xlpm.CSVVal,_xlfn.XLOOKUP($A846,CSV!$A:$A,CSV!Q:Q,""),
_xlpm.MacVal,_xlfn.XLOOKUP($A846,Output_Mac!$A:$A,Output_Mac!M:M,""),
_xlpm.MyAuditVal,_xlfn.XLOOKUP($A846,My_Audit!$A:$A,My_Audit!L:L,""),
_xlfn.IFS(_xlpm.MyAuditVal&lt;&gt;"",UPPER(_xlpm.MyAuditVal),_xlpm.MacVal&lt;&gt;"",_xlpm.MacVal,_xlpm.CSVVal&lt;&gt;"",_xlpm.CSVVal
)),"")</f>
        <v/>
      </c>
      <c r="N846" s="40"/>
      <c r="O846" s="40" t="str">
        <f>_xlfn.LET(
    _xlpm.CSVVal, _xlfn.XLOOKUP($A846, CSV!$A:$A, CSV!AA:AA, ""),
    _xlpm.MacVal, _xlfn.XLOOKUP($A846, Output_Mac!$A:$A, Output_Mac!S:S, ""),
    _xlpm.MyAuditVal, _xlfn.XLOOKUP($A846, My_Audit!$A:$A, My_Audit!P:P, ""),
    _xlfn.TEXTJOIN(", ", TRUE, _xlpm.MyAuditVal, _xlpm.MacVal, _xlpm.CSVVal)
)</f>
        <v/>
      </c>
      <c r="P846" s="40" t="str" cm="1">
        <f t="array" ref="P846">IFERROR(_xlfn.LET(
_xlpm.CSVVal,_xlfn.XLOOKUP($A846,CSV!$A:$A,CSV!AB:AB,""),
_xlpm.MacVal,_xlfn.XLOOKUP($A846,Output_Mac!$A:$A,Output_Mac!T:T,""),
_xlpm.MyAuditVal,_xlfn.XLOOKUP($A846,My_Audit!$A:$A,My_Audit!Q:Q,""),
_xlfn.IFS(_xlpm.MyAuditVal&lt;&gt;"",UPPER(_xlpm.MyAuditVal),_xlpm.MacVal&lt;&gt;"",_xlpm.MacVal,_xlpm.CSVVal&lt;&gt;"",_xlpm.CSVVal
)),"No")</f>
        <v>No</v>
      </c>
      <c r="Q846" s="40" t="str" cm="1">
        <f t="array" ref="Q846">IFERROR(_xlfn.LET(
_xlpm.CSVVal,_xlfn.XLOOKUP($A846,CSV!$A:$A,CSV!AC:AC,""),
_xlpm.MacVal,_xlfn.XLOOKUP($A846,Output_Mac!$A:$A,Output_Mac!U:U,""),
_xlpm.MyAuditVal,_xlfn.XLOOKUP($A846,My_Audit!$A:$A,My_Audit!R:R,""),
_xlfn.IFS(_xlpm.MyAuditVal&lt;&gt;"",UPPER(_xlpm.MyAuditVal),_xlpm.MacVal&lt;&gt;"",_xlpm.MacVal,_xlpm.CSVVal&lt;&gt;"",_xlpm.CSVVal
)),"")</f>
        <v/>
      </c>
      <c r="R846" s="40"/>
      <c r="S846" s="40"/>
      <c r="T846" s="40"/>
      <c r="U846" s="40"/>
      <c r="V846" s="40"/>
      <c r="W846" s="40"/>
      <c r="X846" s="41" t="str">
        <f>_xlfn.LET(
    _xlpm.MacVal, _xlfn.XLOOKUP($A846, Output_Mac!$A:$A, Output_Mac!AB:AB, ""),
    _xlpm.MyAuditVal, _xlfn.XLOOKUP($A846, My_Audit!$A:$A, My_Audit!N:N, ""),
    _xlfn.TEXTJOIN(", ", TRUE, _xlpm.MyAuditVal, _xlpm.MacVal)
)</f>
        <v/>
      </c>
    </row>
    <row r="847" spans="1:24">
      <c r="A847" s="40" t="str">
        <f>_xlfn.TEXTJOIN("",TRUE,Input!$B$2,ROW(My_Audit!A846))</f>
        <v>X846</v>
      </c>
      <c r="B847" s="40" t="str">
        <f>_xlfn.TEXTJOIN("-",TRUE,"ITD",Input!$A$2,A847)</f>
        <v>ITD-X846</v>
      </c>
      <c r="C847" s="40" t="str" cm="1">
        <f t="array" ref="C847">IFERROR(_xlfn.LET(
_xlpm.CSVVal,_xlfn.XLOOKUP($A847,CSV!$A:$A,CSV!B:B,""),
_xlpm.MacVal,_xlfn.XLOOKUP($A847,Output_Mac!$A:$A,Output_Mac!B:B,""),
_xlpm.MyAuditVal,_xlfn.XLOOKUP($A847,My_Audit!$A:$A,My_Audit!B:B,""),
_xlfn.IFS(_xlpm.MyAuditVal&lt;&gt;"",UPPER(_xlpm.MyAuditVal),_xlpm.MacVal&lt;&gt;"",_xlpm.MacVal,_xlpm.CSVVal&lt;&gt;"",_xlpm.CSVVal
)),"")</f>
        <v/>
      </c>
      <c r="D847" s="40" t="str" cm="1">
        <f t="array" ref="D847">IFERROR(_xlfn.LET(
_xlpm.CSVVal,_xlfn.XLOOKUP($A847,CSV!$A:$A,CSV!D:D,""),
_xlpm.MacVal,_xlfn.XLOOKUP($A847,Output_Mac!$A:$A,Output_Mac!C:C,""),
_xlpm.MyAuditVal,_xlfn.XLOOKUP($A847,My_Audit!$A:$A,My_Audit!C:C,""),
_xlfn.IFS(_xlpm.MyAuditVal&lt;&gt;"",_xlpm.MyAuditVal,_xlpm.MacVal&lt;&gt;"",_xlpm.MacVal,_xlpm.CSVVal&lt;&gt;"",_xlpm.CSVVal
)),"")</f>
        <v/>
      </c>
      <c r="E847" s="40" t="str">
        <f>_xlfn.XLOOKUP(A847,My_Audit!A:A,My_Audit!D:D,"")</f>
        <v/>
      </c>
      <c r="F847" s="40" t="str" cm="1">
        <f t="array" ref="F847">IFERROR(_xlfn.LET(
_xlpm.CSVVal,_xlfn.XLOOKUP($A847,CSV!$A:$A,CSV!F:F,""),
_xlpm.MacVal,_xlfn.XLOOKUP($A847,Output_Mac!$A:$A,Output_Mac!E:E,""),
_xlpm.MyAuditVal,_xlfn.XLOOKUP($A847,My_Audit!$A:$A,My_Audit!E:E,""),
_xlfn.IFS(_xlpm.MyAuditVal&lt;&gt;"",_xlpm.MyAuditVal,_xlpm.MacVal&lt;&gt;"",_xlpm.MacVal,_xlpm.CSVVal&lt;&gt;"",_xlpm.CSVVal
)),"")</f>
        <v/>
      </c>
      <c r="G847" s="40" t="str" cm="1">
        <f t="array" ref="G847">IFERROR(_xlfn.LET(
_xlpm.CSVVal,_xlfn.XLOOKUP($A847,CSV!$A:$A,CSV!G:G,""),
_xlpm.MacVal,_xlfn.XLOOKUP($A847,Output_Mac!$A:$A,Output_Mac!F:F,""),
_xlpm.MyAuditVal,_xlfn.XLOOKUP($A847,My_Audit!$A:$A,My_Audit!F:F,""),
_xlfn.IFS(_xlpm.MyAuditVal&lt;&gt;"",_xlpm.MyAuditVal,_xlpm.MacVal&lt;&gt;"",_xlpm.MacVal,_xlpm.CSVVal&lt;&gt;"",PROPER(_xlpm.CSVVal)
)),"")</f>
        <v/>
      </c>
      <c r="H847" s="40" t="str" cm="1">
        <f t="array" ref="H847">IFERROR(_xlfn.LET(
_xlpm.CSVVal,_xlfn.XLOOKUP($A847,CSV!$A:$A,CSV!H:H,""),
_xlpm.MacVal,_xlfn.XLOOKUP($A847,Output_Mac!$A:$A,Output_Mac!H:H,""),
_xlpm.MyAuditVal,_xlfn.XLOOKUP($A847,My_Audit!$A:$A,My_Audit!G:G,""),
_xlfn.IFS(_xlpm.MyAuditVal&lt;&gt;"",_xlpm.MyAuditVal,_xlpm.MacVal&lt;&gt;"",_xlpm.MacVal,_xlpm.CSVVal&lt;&gt;"",_xlpm.CSVVal
)),"")</f>
        <v/>
      </c>
      <c r="I847" s="40" t="str">
        <f>_xlfn.XLOOKUP(A847,Output_Mac!A:A,Output_Mac!I:I,"")</f>
        <v/>
      </c>
      <c r="J847" s="40" t="str" cm="1">
        <f t="array" ref="J847">IFERROR(_xlfn.LET(
_xlpm.CSVVal,_xlfn.XLOOKUP($A847,CSV!$A:$A,CSV!I:I,""),
_xlpm.MacVal,_xlfn.XLOOKUP($A847,Output_Mac!$A:$A,Output_Mac!J:J,""),
_xlpm.MyAuditVal,_xlfn.XLOOKUP($A847,My_Audit!$A:$A,My_Audit!I:I,""),
_xlfn.IFS(_xlpm.MyAuditVal&lt;&gt;"",UPPER(_xlpm.MyAuditVal),_xlpm.MacVal&lt;&gt;"",_xlpm.MacVal,_xlpm.CSVVal&lt;&gt;"",_xlpm.CSVVal
)),"")</f>
        <v/>
      </c>
      <c r="K847" s="40" t="str" cm="1">
        <f t="array" ref="K847">IFERROR(_xlfn.LET(
_xlpm.CSVVal,_xlfn.XLOOKUP($A847,CSV!$A:$A,CSV!K:K,""),
_xlpm.MacVal,_xlfn.XLOOKUP($A847,Output_Mac!$A:$A,Output_Mac!K:K,""),
_xlpm.MyAuditVal,_xlfn.XLOOKUP($A847,My_Audit!$A:$A,My_Audit!J:J,""),
_xlfn.IFS(_xlpm.MyAuditVal&lt;&gt;"",UPPER(_xlpm.MyAuditVal),_xlpm.MacVal&lt;&gt;"",_xlpm.MacVal,_xlpm.CSVVal&lt;&gt;"",_xlpm.CSVVal
)),"")</f>
        <v/>
      </c>
      <c r="L847" s="40" t="str" cm="1">
        <f t="array" ref="L847">IFERROR(_xlfn.LET(
_xlpm.CSVVal,_xlfn.XLOOKUP($A847,CSV!$A:$A,CSV!P:P,""),
_xlpm.MacVal,_xlfn.XLOOKUP($A847,Output_Mac!$A:$A,Output_Mac!L:L,""),
_xlpm.MyAuditVal,_xlfn.XLOOKUP($A847,My_Audit!$A:$A,My_Audit!K:K,""),
_xlfn.IFS(_xlpm.MyAuditVal&lt;&gt;"",UPPER(_xlpm.MyAuditVal),_xlpm.MacVal&lt;&gt;"",_xlpm.MacVal,_xlpm.CSVVal&lt;&gt;"",_xlpm.CSVVal
)),"")</f>
        <v/>
      </c>
      <c r="M847" s="40" t="str" cm="1">
        <f t="array" ref="M847">IFERROR(_xlfn.LET(
_xlpm.CSVVal,_xlfn.XLOOKUP($A847,CSV!$A:$A,CSV!Q:Q,""),
_xlpm.MacVal,_xlfn.XLOOKUP($A847,Output_Mac!$A:$A,Output_Mac!M:M,""),
_xlpm.MyAuditVal,_xlfn.XLOOKUP($A847,My_Audit!$A:$A,My_Audit!L:L,""),
_xlfn.IFS(_xlpm.MyAuditVal&lt;&gt;"",UPPER(_xlpm.MyAuditVal),_xlpm.MacVal&lt;&gt;"",_xlpm.MacVal,_xlpm.CSVVal&lt;&gt;"",_xlpm.CSVVal
)),"")</f>
        <v/>
      </c>
      <c r="N847" s="40"/>
      <c r="O847" s="40" t="str">
        <f>_xlfn.LET(
    _xlpm.CSVVal, _xlfn.XLOOKUP($A847, CSV!$A:$A, CSV!AA:AA, ""),
    _xlpm.MacVal, _xlfn.XLOOKUP($A847, Output_Mac!$A:$A, Output_Mac!S:S, ""),
    _xlpm.MyAuditVal, _xlfn.XLOOKUP($A847, My_Audit!$A:$A, My_Audit!P:P, ""),
    _xlfn.TEXTJOIN(", ", TRUE, _xlpm.MyAuditVal, _xlpm.MacVal, _xlpm.CSVVal)
)</f>
        <v/>
      </c>
      <c r="P847" s="40" t="str" cm="1">
        <f t="array" ref="P847">IFERROR(_xlfn.LET(
_xlpm.CSVVal,_xlfn.XLOOKUP($A847,CSV!$A:$A,CSV!AB:AB,""),
_xlpm.MacVal,_xlfn.XLOOKUP($A847,Output_Mac!$A:$A,Output_Mac!T:T,""),
_xlpm.MyAuditVal,_xlfn.XLOOKUP($A847,My_Audit!$A:$A,My_Audit!Q:Q,""),
_xlfn.IFS(_xlpm.MyAuditVal&lt;&gt;"",UPPER(_xlpm.MyAuditVal),_xlpm.MacVal&lt;&gt;"",_xlpm.MacVal,_xlpm.CSVVal&lt;&gt;"",_xlpm.CSVVal
)),"No")</f>
        <v>No</v>
      </c>
      <c r="Q847" s="40" t="str" cm="1">
        <f t="array" ref="Q847">IFERROR(_xlfn.LET(
_xlpm.CSVVal,_xlfn.XLOOKUP($A847,CSV!$A:$A,CSV!AC:AC,""),
_xlpm.MacVal,_xlfn.XLOOKUP($A847,Output_Mac!$A:$A,Output_Mac!U:U,""),
_xlpm.MyAuditVal,_xlfn.XLOOKUP($A847,My_Audit!$A:$A,My_Audit!R:R,""),
_xlfn.IFS(_xlpm.MyAuditVal&lt;&gt;"",UPPER(_xlpm.MyAuditVal),_xlpm.MacVal&lt;&gt;"",_xlpm.MacVal,_xlpm.CSVVal&lt;&gt;"",_xlpm.CSVVal
)),"")</f>
        <v/>
      </c>
      <c r="R847" s="40"/>
      <c r="S847" s="40"/>
      <c r="T847" s="40"/>
      <c r="U847" s="40"/>
      <c r="V847" s="40"/>
      <c r="W847" s="40"/>
      <c r="X847" s="41" t="str">
        <f>_xlfn.LET(
    _xlpm.MacVal, _xlfn.XLOOKUP($A847, Output_Mac!$A:$A, Output_Mac!AB:AB, ""),
    _xlpm.MyAuditVal, _xlfn.XLOOKUP($A847, My_Audit!$A:$A, My_Audit!N:N, ""),
    _xlfn.TEXTJOIN(", ", TRUE, _xlpm.MyAuditVal, _xlpm.MacVal)
)</f>
        <v/>
      </c>
    </row>
    <row r="848" spans="1:24">
      <c r="A848" s="40" t="str">
        <f>_xlfn.TEXTJOIN("",TRUE,Input!$B$2,ROW(My_Audit!A847))</f>
        <v>X847</v>
      </c>
      <c r="B848" s="40" t="str">
        <f>_xlfn.TEXTJOIN("-",TRUE,"ITD",Input!$A$2,A848)</f>
        <v>ITD-X847</v>
      </c>
      <c r="C848" s="40" t="str" cm="1">
        <f t="array" ref="C848">IFERROR(_xlfn.LET(
_xlpm.CSVVal,_xlfn.XLOOKUP($A848,CSV!$A:$A,CSV!B:B,""),
_xlpm.MacVal,_xlfn.XLOOKUP($A848,Output_Mac!$A:$A,Output_Mac!B:B,""),
_xlpm.MyAuditVal,_xlfn.XLOOKUP($A848,My_Audit!$A:$A,My_Audit!B:B,""),
_xlfn.IFS(_xlpm.MyAuditVal&lt;&gt;"",UPPER(_xlpm.MyAuditVal),_xlpm.MacVal&lt;&gt;"",_xlpm.MacVal,_xlpm.CSVVal&lt;&gt;"",_xlpm.CSVVal
)),"")</f>
        <v/>
      </c>
      <c r="D848" s="40" t="str" cm="1">
        <f t="array" ref="D848">IFERROR(_xlfn.LET(
_xlpm.CSVVal,_xlfn.XLOOKUP($A848,CSV!$A:$A,CSV!D:D,""),
_xlpm.MacVal,_xlfn.XLOOKUP($A848,Output_Mac!$A:$A,Output_Mac!C:C,""),
_xlpm.MyAuditVal,_xlfn.XLOOKUP($A848,My_Audit!$A:$A,My_Audit!C:C,""),
_xlfn.IFS(_xlpm.MyAuditVal&lt;&gt;"",_xlpm.MyAuditVal,_xlpm.MacVal&lt;&gt;"",_xlpm.MacVal,_xlpm.CSVVal&lt;&gt;"",_xlpm.CSVVal
)),"")</f>
        <v/>
      </c>
      <c r="E848" s="40" t="str">
        <f>_xlfn.XLOOKUP(A848,My_Audit!A:A,My_Audit!D:D,"")</f>
        <v/>
      </c>
      <c r="F848" s="40" t="str" cm="1">
        <f t="array" ref="F848">IFERROR(_xlfn.LET(
_xlpm.CSVVal,_xlfn.XLOOKUP($A848,CSV!$A:$A,CSV!F:F,""),
_xlpm.MacVal,_xlfn.XLOOKUP($A848,Output_Mac!$A:$A,Output_Mac!E:E,""),
_xlpm.MyAuditVal,_xlfn.XLOOKUP($A848,My_Audit!$A:$A,My_Audit!E:E,""),
_xlfn.IFS(_xlpm.MyAuditVal&lt;&gt;"",_xlpm.MyAuditVal,_xlpm.MacVal&lt;&gt;"",_xlpm.MacVal,_xlpm.CSVVal&lt;&gt;"",_xlpm.CSVVal
)),"")</f>
        <v/>
      </c>
      <c r="G848" s="40" t="str" cm="1">
        <f t="array" ref="G848">IFERROR(_xlfn.LET(
_xlpm.CSVVal,_xlfn.XLOOKUP($A848,CSV!$A:$A,CSV!G:G,""),
_xlpm.MacVal,_xlfn.XLOOKUP($A848,Output_Mac!$A:$A,Output_Mac!F:F,""),
_xlpm.MyAuditVal,_xlfn.XLOOKUP($A848,My_Audit!$A:$A,My_Audit!F:F,""),
_xlfn.IFS(_xlpm.MyAuditVal&lt;&gt;"",_xlpm.MyAuditVal,_xlpm.MacVal&lt;&gt;"",_xlpm.MacVal,_xlpm.CSVVal&lt;&gt;"",PROPER(_xlpm.CSVVal)
)),"")</f>
        <v/>
      </c>
      <c r="H848" s="40" t="str" cm="1">
        <f t="array" ref="H848">IFERROR(_xlfn.LET(
_xlpm.CSVVal,_xlfn.XLOOKUP($A848,CSV!$A:$A,CSV!H:H,""),
_xlpm.MacVal,_xlfn.XLOOKUP($A848,Output_Mac!$A:$A,Output_Mac!H:H,""),
_xlpm.MyAuditVal,_xlfn.XLOOKUP($A848,My_Audit!$A:$A,My_Audit!G:G,""),
_xlfn.IFS(_xlpm.MyAuditVal&lt;&gt;"",_xlpm.MyAuditVal,_xlpm.MacVal&lt;&gt;"",_xlpm.MacVal,_xlpm.CSVVal&lt;&gt;"",_xlpm.CSVVal
)),"")</f>
        <v/>
      </c>
      <c r="I848" s="40" t="str">
        <f>_xlfn.XLOOKUP(A848,Output_Mac!A:A,Output_Mac!I:I,"")</f>
        <v/>
      </c>
      <c r="J848" s="40" t="str" cm="1">
        <f t="array" ref="J848">IFERROR(_xlfn.LET(
_xlpm.CSVVal,_xlfn.XLOOKUP($A848,CSV!$A:$A,CSV!I:I,""),
_xlpm.MacVal,_xlfn.XLOOKUP($A848,Output_Mac!$A:$A,Output_Mac!J:J,""),
_xlpm.MyAuditVal,_xlfn.XLOOKUP($A848,My_Audit!$A:$A,My_Audit!I:I,""),
_xlfn.IFS(_xlpm.MyAuditVal&lt;&gt;"",UPPER(_xlpm.MyAuditVal),_xlpm.MacVal&lt;&gt;"",_xlpm.MacVal,_xlpm.CSVVal&lt;&gt;"",_xlpm.CSVVal
)),"")</f>
        <v/>
      </c>
      <c r="K848" s="40" t="str" cm="1">
        <f t="array" ref="K848">IFERROR(_xlfn.LET(
_xlpm.CSVVal,_xlfn.XLOOKUP($A848,CSV!$A:$A,CSV!K:K,""),
_xlpm.MacVal,_xlfn.XLOOKUP($A848,Output_Mac!$A:$A,Output_Mac!K:K,""),
_xlpm.MyAuditVal,_xlfn.XLOOKUP($A848,My_Audit!$A:$A,My_Audit!J:J,""),
_xlfn.IFS(_xlpm.MyAuditVal&lt;&gt;"",UPPER(_xlpm.MyAuditVal),_xlpm.MacVal&lt;&gt;"",_xlpm.MacVal,_xlpm.CSVVal&lt;&gt;"",_xlpm.CSVVal
)),"")</f>
        <v/>
      </c>
      <c r="L848" s="40" t="str" cm="1">
        <f t="array" ref="L848">IFERROR(_xlfn.LET(
_xlpm.CSVVal,_xlfn.XLOOKUP($A848,CSV!$A:$A,CSV!P:P,""),
_xlpm.MacVal,_xlfn.XLOOKUP($A848,Output_Mac!$A:$A,Output_Mac!L:L,""),
_xlpm.MyAuditVal,_xlfn.XLOOKUP($A848,My_Audit!$A:$A,My_Audit!K:K,""),
_xlfn.IFS(_xlpm.MyAuditVal&lt;&gt;"",UPPER(_xlpm.MyAuditVal),_xlpm.MacVal&lt;&gt;"",_xlpm.MacVal,_xlpm.CSVVal&lt;&gt;"",_xlpm.CSVVal
)),"")</f>
        <v/>
      </c>
      <c r="M848" s="40" t="str" cm="1">
        <f t="array" ref="M848">IFERROR(_xlfn.LET(
_xlpm.CSVVal,_xlfn.XLOOKUP($A848,CSV!$A:$A,CSV!Q:Q,""),
_xlpm.MacVal,_xlfn.XLOOKUP($A848,Output_Mac!$A:$A,Output_Mac!M:M,""),
_xlpm.MyAuditVal,_xlfn.XLOOKUP($A848,My_Audit!$A:$A,My_Audit!L:L,""),
_xlfn.IFS(_xlpm.MyAuditVal&lt;&gt;"",UPPER(_xlpm.MyAuditVal),_xlpm.MacVal&lt;&gt;"",_xlpm.MacVal,_xlpm.CSVVal&lt;&gt;"",_xlpm.CSVVal
)),"")</f>
        <v/>
      </c>
      <c r="N848" s="40"/>
      <c r="O848" s="40" t="str">
        <f>_xlfn.LET(
    _xlpm.CSVVal, _xlfn.XLOOKUP($A848, CSV!$A:$A, CSV!AA:AA, ""),
    _xlpm.MacVal, _xlfn.XLOOKUP($A848, Output_Mac!$A:$A, Output_Mac!S:S, ""),
    _xlpm.MyAuditVal, _xlfn.XLOOKUP($A848, My_Audit!$A:$A, My_Audit!P:P, ""),
    _xlfn.TEXTJOIN(", ", TRUE, _xlpm.MyAuditVal, _xlpm.MacVal, _xlpm.CSVVal)
)</f>
        <v/>
      </c>
      <c r="P848" s="40" t="str" cm="1">
        <f t="array" ref="P848">IFERROR(_xlfn.LET(
_xlpm.CSVVal,_xlfn.XLOOKUP($A848,CSV!$A:$A,CSV!AB:AB,""),
_xlpm.MacVal,_xlfn.XLOOKUP($A848,Output_Mac!$A:$A,Output_Mac!T:T,""),
_xlpm.MyAuditVal,_xlfn.XLOOKUP($A848,My_Audit!$A:$A,My_Audit!Q:Q,""),
_xlfn.IFS(_xlpm.MyAuditVal&lt;&gt;"",UPPER(_xlpm.MyAuditVal),_xlpm.MacVal&lt;&gt;"",_xlpm.MacVal,_xlpm.CSVVal&lt;&gt;"",_xlpm.CSVVal
)),"No")</f>
        <v>No</v>
      </c>
      <c r="Q848" s="40" t="str" cm="1">
        <f t="array" ref="Q848">IFERROR(_xlfn.LET(
_xlpm.CSVVal,_xlfn.XLOOKUP($A848,CSV!$A:$A,CSV!AC:AC,""),
_xlpm.MacVal,_xlfn.XLOOKUP($A848,Output_Mac!$A:$A,Output_Mac!U:U,""),
_xlpm.MyAuditVal,_xlfn.XLOOKUP($A848,My_Audit!$A:$A,My_Audit!R:R,""),
_xlfn.IFS(_xlpm.MyAuditVal&lt;&gt;"",UPPER(_xlpm.MyAuditVal),_xlpm.MacVal&lt;&gt;"",_xlpm.MacVal,_xlpm.CSVVal&lt;&gt;"",_xlpm.CSVVal
)),"")</f>
        <v/>
      </c>
      <c r="R848" s="40"/>
      <c r="S848" s="40"/>
      <c r="T848" s="40"/>
      <c r="U848" s="40"/>
      <c r="V848" s="40"/>
      <c r="W848" s="40"/>
      <c r="X848" s="41" t="str">
        <f>_xlfn.LET(
    _xlpm.MacVal, _xlfn.XLOOKUP($A848, Output_Mac!$A:$A, Output_Mac!AB:AB, ""),
    _xlpm.MyAuditVal, _xlfn.XLOOKUP($A848, My_Audit!$A:$A, My_Audit!N:N, ""),
    _xlfn.TEXTJOIN(", ", TRUE, _xlpm.MyAuditVal, _xlpm.MacVal)
)</f>
        <v/>
      </c>
    </row>
    <row r="849" spans="1:24">
      <c r="A849" s="40" t="str">
        <f>_xlfn.TEXTJOIN("",TRUE,Input!$B$2,ROW(My_Audit!A848))</f>
        <v>X848</v>
      </c>
      <c r="B849" s="40" t="str">
        <f>_xlfn.TEXTJOIN("-",TRUE,"ITD",Input!$A$2,A849)</f>
        <v>ITD-X848</v>
      </c>
      <c r="C849" s="40" t="str" cm="1">
        <f t="array" ref="C849">IFERROR(_xlfn.LET(
_xlpm.CSVVal,_xlfn.XLOOKUP($A849,CSV!$A:$A,CSV!B:B,""),
_xlpm.MacVal,_xlfn.XLOOKUP($A849,Output_Mac!$A:$A,Output_Mac!B:B,""),
_xlpm.MyAuditVal,_xlfn.XLOOKUP($A849,My_Audit!$A:$A,My_Audit!B:B,""),
_xlfn.IFS(_xlpm.MyAuditVal&lt;&gt;"",UPPER(_xlpm.MyAuditVal),_xlpm.MacVal&lt;&gt;"",_xlpm.MacVal,_xlpm.CSVVal&lt;&gt;"",_xlpm.CSVVal
)),"")</f>
        <v/>
      </c>
      <c r="D849" s="40" t="str" cm="1">
        <f t="array" ref="D849">IFERROR(_xlfn.LET(
_xlpm.CSVVal,_xlfn.XLOOKUP($A849,CSV!$A:$A,CSV!D:D,""),
_xlpm.MacVal,_xlfn.XLOOKUP($A849,Output_Mac!$A:$A,Output_Mac!C:C,""),
_xlpm.MyAuditVal,_xlfn.XLOOKUP($A849,My_Audit!$A:$A,My_Audit!C:C,""),
_xlfn.IFS(_xlpm.MyAuditVal&lt;&gt;"",_xlpm.MyAuditVal,_xlpm.MacVal&lt;&gt;"",_xlpm.MacVal,_xlpm.CSVVal&lt;&gt;"",_xlpm.CSVVal
)),"")</f>
        <v/>
      </c>
      <c r="E849" s="40" t="str">
        <f>_xlfn.XLOOKUP(A849,My_Audit!A:A,My_Audit!D:D,"")</f>
        <v/>
      </c>
      <c r="F849" s="40" t="str" cm="1">
        <f t="array" ref="F849">IFERROR(_xlfn.LET(
_xlpm.CSVVal,_xlfn.XLOOKUP($A849,CSV!$A:$A,CSV!F:F,""),
_xlpm.MacVal,_xlfn.XLOOKUP($A849,Output_Mac!$A:$A,Output_Mac!E:E,""),
_xlpm.MyAuditVal,_xlfn.XLOOKUP($A849,My_Audit!$A:$A,My_Audit!E:E,""),
_xlfn.IFS(_xlpm.MyAuditVal&lt;&gt;"",_xlpm.MyAuditVal,_xlpm.MacVal&lt;&gt;"",_xlpm.MacVal,_xlpm.CSVVal&lt;&gt;"",_xlpm.CSVVal
)),"")</f>
        <v/>
      </c>
      <c r="G849" s="40" t="str" cm="1">
        <f t="array" ref="G849">IFERROR(_xlfn.LET(
_xlpm.CSVVal,_xlfn.XLOOKUP($A849,CSV!$A:$A,CSV!G:G,""),
_xlpm.MacVal,_xlfn.XLOOKUP($A849,Output_Mac!$A:$A,Output_Mac!F:F,""),
_xlpm.MyAuditVal,_xlfn.XLOOKUP($A849,My_Audit!$A:$A,My_Audit!F:F,""),
_xlfn.IFS(_xlpm.MyAuditVal&lt;&gt;"",_xlpm.MyAuditVal,_xlpm.MacVal&lt;&gt;"",_xlpm.MacVal,_xlpm.CSVVal&lt;&gt;"",PROPER(_xlpm.CSVVal)
)),"")</f>
        <v/>
      </c>
      <c r="H849" s="40" t="str" cm="1">
        <f t="array" ref="H849">IFERROR(_xlfn.LET(
_xlpm.CSVVal,_xlfn.XLOOKUP($A849,CSV!$A:$A,CSV!H:H,""),
_xlpm.MacVal,_xlfn.XLOOKUP($A849,Output_Mac!$A:$A,Output_Mac!H:H,""),
_xlpm.MyAuditVal,_xlfn.XLOOKUP($A849,My_Audit!$A:$A,My_Audit!G:G,""),
_xlfn.IFS(_xlpm.MyAuditVal&lt;&gt;"",_xlpm.MyAuditVal,_xlpm.MacVal&lt;&gt;"",_xlpm.MacVal,_xlpm.CSVVal&lt;&gt;"",_xlpm.CSVVal
)),"")</f>
        <v/>
      </c>
      <c r="I849" s="40" t="str">
        <f>_xlfn.XLOOKUP(A849,Output_Mac!A:A,Output_Mac!I:I,"")</f>
        <v/>
      </c>
      <c r="J849" s="40" t="str" cm="1">
        <f t="array" ref="J849">IFERROR(_xlfn.LET(
_xlpm.CSVVal,_xlfn.XLOOKUP($A849,CSV!$A:$A,CSV!I:I,""),
_xlpm.MacVal,_xlfn.XLOOKUP($A849,Output_Mac!$A:$A,Output_Mac!J:J,""),
_xlpm.MyAuditVal,_xlfn.XLOOKUP($A849,My_Audit!$A:$A,My_Audit!I:I,""),
_xlfn.IFS(_xlpm.MyAuditVal&lt;&gt;"",UPPER(_xlpm.MyAuditVal),_xlpm.MacVal&lt;&gt;"",_xlpm.MacVal,_xlpm.CSVVal&lt;&gt;"",_xlpm.CSVVal
)),"")</f>
        <v/>
      </c>
      <c r="K849" s="40" t="str" cm="1">
        <f t="array" ref="K849">IFERROR(_xlfn.LET(
_xlpm.CSVVal,_xlfn.XLOOKUP($A849,CSV!$A:$A,CSV!K:K,""),
_xlpm.MacVal,_xlfn.XLOOKUP($A849,Output_Mac!$A:$A,Output_Mac!K:K,""),
_xlpm.MyAuditVal,_xlfn.XLOOKUP($A849,My_Audit!$A:$A,My_Audit!J:J,""),
_xlfn.IFS(_xlpm.MyAuditVal&lt;&gt;"",UPPER(_xlpm.MyAuditVal),_xlpm.MacVal&lt;&gt;"",_xlpm.MacVal,_xlpm.CSVVal&lt;&gt;"",_xlpm.CSVVal
)),"")</f>
        <v/>
      </c>
      <c r="L849" s="40" t="str" cm="1">
        <f t="array" ref="L849">IFERROR(_xlfn.LET(
_xlpm.CSVVal,_xlfn.XLOOKUP($A849,CSV!$A:$A,CSV!P:P,""),
_xlpm.MacVal,_xlfn.XLOOKUP($A849,Output_Mac!$A:$A,Output_Mac!L:L,""),
_xlpm.MyAuditVal,_xlfn.XLOOKUP($A849,My_Audit!$A:$A,My_Audit!K:K,""),
_xlfn.IFS(_xlpm.MyAuditVal&lt;&gt;"",UPPER(_xlpm.MyAuditVal),_xlpm.MacVal&lt;&gt;"",_xlpm.MacVal,_xlpm.CSVVal&lt;&gt;"",_xlpm.CSVVal
)),"")</f>
        <v/>
      </c>
      <c r="M849" s="40" t="str" cm="1">
        <f t="array" ref="M849">IFERROR(_xlfn.LET(
_xlpm.CSVVal,_xlfn.XLOOKUP($A849,CSV!$A:$A,CSV!Q:Q,""),
_xlpm.MacVal,_xlfn.XLOOKUP($A849,Output_Mac!$A:$A,Output_Mac!M:M,""),
_xlpm.MyAuditVal,_xlfn.XLOOKUP($A849,My_Audit!$A:$A,My_Audit!L:L,""),
_xlfn.IFS(_xlpm.MyAuditVal&lt;&gt;"",UPPER(_xlpm.MyAuditVal),_xlpm.MacVal&lt;&gt;"",_xlpm.MacVal,_xlpm.CSVVal&lt;&gt;"",_xlpm.CSVVal
)),"")</f>
        <v/>
      </c>
      <c r="N849" s="40"/>
      <c r="O849" s="40" t="str">
        <f>_xlfn.LET(
    _xlpm.CSVVal, _xlfn.XLOOKUP($A849, CSV!$A:$A, CSV!AA:AA, ""),
    _xlpm.MacVal, _xlfn.XLOOKUP($A849, Output_Mac!$A:$A, Output_Mac!S:S, ""),
    _xlpm.MyAuditVal, _xlfn.XLOOKUP($A849, My_Audit!$A:$A, My_Audit!P:P, ""),
    _xlfn.TEXTJOIN(", ", TRUE, _xlpm.MyAuditVal, _xlpm.MacVal, _xlpm.CSVVal)
)</f>
        <v/>
      </c>
      <c r="P849" s="40" t="str" cm="1">
        <f t="array" ref="P849">IFERROR(_xlfn.LET(
_xlpm.CSVVal,_xlfn.XLOOKUP($A849,CSV!$A:$A,CSV!AB:AB,""),
_xlpm.MacVal,_xlfn.XLOOKUP($A849,Output_Mac!$A:$A,Output_Mac!T:T,""),
_xlpm.MyAuditVal,_xlfn.XLOOKUP($A849,My_Audit!$A:$A,My_Audit!Q:Q,""),
_xlfn.IFS(_xlpm.MyAuditVal&lt;&gt;"",UPPER(_xlpm.MyAuditVal),_xlpm.MacVal&lt;&gt;"",_xlpm.MacVal,_xlpm.CSVVal&lt;&gt;"",_xlpm.CSVVal
)),"No")</f>
        <v>No</v>
      </c>
      <c r="Q849" s="40" t="str" cm="1">
        <f t="array" ref="Q849">IFERROR(_xlfn.LET(
_xlpm.CSVVal,_xlfn.XLOOKUP($A849,CSV!$A:$A,CSV!AC:AC,""),
_xlpm.MacVal,_xlfn.XLOOKUP($A849,Output_Mac!$A:$A,Output_Mac!U:U,""),
_xlpm.MyAuditVal,_xlfn.XLOOKUP($A849,My_Audit!$A:$A,My_Audit!R:R,""),
_xlfn.IFS(_xlpm.MyAuditVal&lt;&gt;"",UPPER(_xlpm.MyAuditVal),_xlpm.MacVal&lt;&gt;"",_xlpm.MacVal,_xlpm.CSVVal&lt;&gt;"",_xlpm.CSVVal
)),"")</f>
        <v/>
      </c>
      <c r="R849" s="40"/>
      <c r="S849" s="40"/>
      <c r="T849" s="40"/>
      <c r="U849" s="40"/>
      <c r="V849" s="40"/>
      <c r="W849" s="40"/>
      <c r="X849" s="41" t="str">
        <f>_xlfn.LET(
    _xlpm.MacVal, _xlfn.XLOOKUP($A849, Output_Mac!$A:$A, Output_Mac!AB:AB, ""),
    _xlpm.MyAuditVal, _xlfn.XLOOKUP($A849, My_Audit!$A:$A, My_Audit!N:N, ""),
    _xlfn.TEXTJOIN(", ", TRUE, _xlpm.MyAuditVal, _xlpm.MacVal)
)</f>
        <v/>
      </c>
    </row>
    <row r="850" spans="1:24">
      <c r="A850" s="40" t="str">
        <f>_xlfn.TEXTJOIN("",TRUE,Input!$B$2,ROW(My_Audit!A849))</f>
        <v>X849</v>
      </c>
      <c r="B850" s="40" t="str">
        <f>_xlfn.TEXTJOIN("-",TRUE,"ITD",Input!$A$2,A850)</f>
        <v>ITD-X849</v>
      </c>
      <c r="C850" s="40" t="str" cm="1">
        <f t="array" ref="C850">IFERROR(_xlfn.LET(
_xlpm.CSVVal,_xlfn.XLOOKUP($A850,CSV!$A:$A,CSV!B:B,""),
_xlpm.MacVal,_xlfn.XLOOKUP($A850,Output_Mac!$A:$A,Output_Mac!B:B,""),
_xlpm.MyAuditVal,_xlfn.XLOOKUP($A850,My_Audit!$A:$A,My_Audit!B:B,""),
_xlfn.IFS(_xlpm.MyAuditVal&lt;&gt;"",UPPER(_xlpm.MyAuditVal),_xlpm.MacVal&lt;&gt;"",_xlpm.MacVal,_xlpm.CSVVal&lt;&gt;"",_xlpm.CSVVal
)),"")</f>
        <v/>
      </c>
      <c r="D850" s="40" t="str" cm="1">
        <f t="array" ref="D850">IFERROR(_xlfn.LET(
_xlpm.CSVVal,_xlfn.XLOOKUP($A850,CSV!$A:$A,CSV!D:D,""),
_xlpm.MacVal,_xlfn.XLOOKUP($A850,Output_Mac!$A:$A,Output_Mac!C:C,""),
_xlpm.MyAuditVal,_xlfn.XLOOKUP($A850,My_Audit!$A:$A,My_Audit!C:C,""),
_xlfn.IFS(_xlpm.MyAuditVal&lt;&gt;"",_xlpm.MyAuditVal,_xlpm.MacVal&lt;&gt;"",_xlpm.MacVal,_xlpm.CSVVal&lt;&gt;"",_xlpm.CSVVal
)),"")</f>
        <v/>
      </c>
      <c r="E850" s="40" t="str">
        <f>_xlfn.XLOOKUP(A850,My_Audit!A:A,My_Audit!D:D,"")</f>
        <v/>
      </c>
      <c r="F850" s="40" t="str" cm="1">
        <f t="array" ref="F850">IFERROR(_xlfn.LET(
_xlpm.CSVVal,_xlfn.XLOOKUP($A850,CSV!$A:$A,CSV!F:F,""),
_xlpm.MacVal,_xlfn.XLOOKUP($A850,Output_Mac!$A:$A,Output_Mac!E:E,""),
_xlpm.MyAuditVal,_xlfn.XLOOKUP($A850,My_Audit!$A:$A,My_Audit!E:E,""),
_xlfn.IFS(_xlpm.MyAuditVal&lt;&gt;"",_xlpm.MyAuditVal,_xlpm.MacVal&lt;&gt;"",_xlpm.MacVal,_xlpm.CSVVal&lt;&gt;"",_xlpm.CSVVal
)),"")</f>
        <v/>
      </c>
      <c r="G850" s="40" t="str" cm="1">
        <f t="array" ref="G850">IFERROR(_xlfn.LET(
_xlpm.CSVVal,_xlfn.XLOOKUP($A850,CSV!$A:$A,CSV!G:G,""),
_xlpm.MacVal,_xlfn.XLOOKUP($A850,Output_Mac!$A:$A,Output_Mac!F:F,""),
_xlpm.MyAuditVal,_xlfn.XLOOKUP($A850,My_Audit!$A:$A,My_Audit!F:F,""),
_xlfn.IFS(_xlpm.MyAuditVal&lt;&gt;"",_xlpm.MyAuditVal,_xlpm.MacVal&lt;&gt;"",_xlpm.MacVal,_xlpm.CSVVal&lt;&gt;"",PROPER(_xlpm.CSVVal)
)),"")</f>
        <v/>
      </c>
      <c r="H850" s="40" t="str" cm="1">
        <f t="array" ref="H850">IFERROR(_xlfn.LET(
_xlpm.CSVVal,_xlfn.XLOOKUP($A850,CSV!$A:$A,CSV!H:H,""),
_xlpm.MacVal,_xlfn.XLOOKUP($A850,Output_Mac!$A:$A,Output_Mac!H:H,""),
_xlpm.MyAuditVal,_xlfn.XLOOKUP($A850,My_Audit!$A:$A,My_Audit!G:G,""),
_xlfn.IFS(_xlpm.MyAuditVal&lt;&gt;"",_xlpm.MyAuditVal,_xlpm.MacVal&lt;&gt;"",_xlpm.MacVal,_xlpm.CSVVal&lt;&gt;"",_xlpm.CSVVal
)),"")</f>
        <v/>
      </c>
      <c r="I850" s="40" t="str">
        <f>_xlfn.XLOOKUP(A850,Output_Mac!A:A,Output_Mac!I:I,"")</f>
        <v/>
      </c>
      <c r="J850" s="40" t="str" cm="1">
        <f t="array" ref="J850">IFERROR(_xlfn.LET(
_xlpm.CSVVal,_xlfn.XLOOKUP($A850,CSV!$A:$A,CSV!I:I,""),
_xlpm.MacVal,_xlfn.XLOOKUP($A850,Output_Mac!$A:$A,Output_Mac!J:J,""),
_xlpm.MyAuditVal,_xlfn.XLOOKUP($A850,My_Audit!$A:$A,My_Audit!I:I,""),
_xlfn.IFS(_xlpm.MyAuditVal&lt;&gt;"",UPPER(_xlpm.MyAuditVal),_xlpm.MacVal&lt;&gt;"",_xlpm.MacVal,_xlpm.CSVVal&lt;&gt;"",_xlpm.CSVVal
)),"")</f>
        <v/>
      </c>
      <c r="K850" s="40" t="str" cm="1">
        <f t="array" ref="K850">IFERROR(_xlfn.LET(
_xlpm.CSVVal,_xlfn.XLOOKUP($A850,CSV!$A:$A,CSV!K:K,""),
_xlpm.MacVal,_xlfn.XLOOKUP($A850,Output_Mac!$A:$A,Output_Mac!K:K,""),
_xlpm.MyAuditVal,_xlfn.XLOOKUP($A850,My_Audit!$A:$A,My_Audit!J:J,""),
_xlfn.IFS(_xlpm.MyAuditVal&lt;&gt;"",UPPER(_xlpm.MyAuditVal),_xlpm.MacVal&lt;&gt;"",_xlpm.MacVal,_xlpm.CSVVal&lt;&gt;"",_xlpm.CSVVal
)),"")</f>
        <v/>
      </c>
      <c r="L850" s="40" t="str" cm="1">
        <f t="array" ref="L850">IFERROR(_xlfn.LET(
_xlpm.CSVVal,_xlfn.XLOOKUP($A850,CSV!$A:$A,CSV!P:P,""),
_xlpm.MacVal,_xlfn.XLOOKUP($A850,Output_Mac!$A:$A,Output_Mac!L:L,""),
_xlpm.MyAuditVal,_xlfn.XLOOKUP($A850,My_Audit!$A:$A,My_Audit!K:K,""),
_xlfn.IFS(_xlpm.MyAuditVal&lt;&gt;"",UPPER(_xlpm.MyAuditVal),_xlpm.MacVal&lt;&gt;"",_xlpm.MacVal,_xlpm.CSVVal&lt;&gt;"",_xlpm.CSVVal
)),"")</f>
        <v/>
      </c>
      <c r="M850" s="40" t="str" cm="1">
        <f t="array" ref="M850">IFERROR(_xlfn.LET(
_xlpm.CSVVal,_xlfn.XLOOKUP($A850,CSV!$A:$A,CSV!Q:Q,""),
_xlpm.MacVal,_xlfn.XLOOKUP($A850,Output_Mac!$A:$A,Output_Mac!M:M,""),
_xlpm.MyAuditVal,_xlfn.XLOOKUP($A850,My_Audit!$A:$A,My_Audit!L:L,""),
_xlfn.IFS(_xlpm.MyAuditVal&lt;&gt;"",UPPER(_xlpm.MyAuditVal),_xlpm.MacVal&lt;&gt;"",_xlpm.MacVal,_xlpm.CSVVal&lt;&gt;"",_xlpm.CSVVal
)),"")</f>
        <v/>
      </c>
      <c r="N850" s="40"/>
      <c r="O850" s="40" t="str">
        <f>_xlfn.LET(
    _xlpm.CSVVal, _xlfn.XLOOKUP($A850, CSV!$A:$A, CSV!AA:AA, ""),
    _xlpm.MacVal, _xlfn.XLOOKUP($A850, Output_Mac!$A:$A, Output_Mac!S:S, ""),
    _xlpm.MyAuditVal, _xlfn.XLOOKUP($A850, My_Audit!$A:$A, My_Audit!P:P, ""),
    _xlfn.TEXTJOIN(", ", TRUE, _xlpm.MyAuditVal, _xlpm.MacVal, _xlpm.CSVVal)
)</f>
        <v/>
      </c>
      <c r="P850" s="40" t="str" cm="1">
        <f t="array" ref="P850">IFERROR(_xlfn.LET(
_xlpm.CSVVal,_xlfn.XLOOKUP($A850,CSV!$A:$A,CSV!AB:AB,""),
_xlpm.MacVal,_xlfn.XLOOKUP($A850,Output_Mac!$A:$A,Output_Mac!T:T,""),
_xlpm.MyAuditVal,_xlfn.XLOOKUP($A850,My_Audit!$A:$A,My_Audit!Q:Q,""),
_xlfn.IFS(_xlpm.MyAuditVal&lt;&gt;"",UPPER(_xlpm.MyAuditVal),_xlpm.MacVal&lt;&gt;"",_xlpm.MacVal,_xlpm.CSVVal&lt;&gt;"",_xlpm.CSVVal
)),"No")</f>
        <v>No</v>
      </c>
      <c r="Q850" s="40" t="str" cm="1">
        <f t="array" ref="Q850">IFERROR(_xlfn.LET(
_xlpm.CSVVal,_xlfn.XLOOKUP($A850,CSV!$A:$A,CSV!AC:AC,""),
_xlpm.MacVal,_xlfn.XLOOKUP($A850,Output_Mac!$A:$A,Output_Mac!U:U,""),
_xlpm.MyAuditVal,_xlfn.XLOOKUP($A850,My_Audit!$A:$A,My_Audit!R:R,""),
_xlfn.IFS(_xlpm.MyAuditVal&lt;&gt;"",UPPER(_xlpm.MyAuditVal),_xlpm.MacVal&lt;&gt;"",_xlpm.MacVal,_xlpm.CSVVal&lt;&gt;"",_xlpm.CSVVal
)),"")</f>
        <v/>
      </c>
      <c r="R850" s="40"/>
      <c r="S850" s="40"/>
      <c r="T850" s="40"/>
      <c r="U850" s="40"/>
      <c r="V850" s="40"/>
      <c r="W850" s="40"/>
      <c r="X850" s="41" t="str">
        <f>_xlfn.LET(
    _xlpm.MacVal, _xlfn.XLOOKUP($A850, Output_Mac!$A:$A, Output_Mac!AB:AB, ""),
    _xlpm.MyAuditVal, _xlfn.XLOOKUP($A850, My_Audit!$A:$A, My_Audit!N:N, ""),
    _xlfn.TEXTJOIN(", ", TRUE, _xlpm.MyAuditVal, _xlpm.MacVal)
)</f>
        <v/>
      </c>
    </row>
    <row r="851" spans="1:24">
      <c r="A851" s="40" t="str">
        <f>_xlfn.TEXTJOIN("",TRUE,Input!$B$2,ROW(My_Audit!A850))</f>
        <v>X850</v>
      </c>
      <c r="B851" s="40" t="str">
        <f>_xlfn.TEXTJOIN("-",TRUE,"ITD",Input!$A$2,A851)</f>
        <v>ITD-X850</v>
      </c>
      <c r="C851" s="40" t="str" cm="1">
        <f t="array" ref="C851">IFERROR(_xlfn.LET(
_xlpm.CSVVal,_xlfn.XLOOKUP($A851,CSV!$A:$A,CSV!B:B,""),
_xlpm.MacVal,_xlfn.XLOOKUP($A851,Output_Mac!$A:$A,Output_Mac!B:B,""),
_xlpm.MyAuditVal,_xlfn.XLOOKUP($A851,My_Audit!$A:$A,My_Audit!B:B,""),
_xlfn.IFS(_xlpm.MyAuditVal&lt;&gt;"",UPPER(_xlpm.MyAuditVal),_xlpm.MacVal&lt;&gt;"",_xlpm.MacVal,_xlpm.CSVVal&lt;&gt;"",_xlpm.CSVVal
)),"")</f>
        <v/>
      </c>
      <c r="D851" s="40" t="str" cm="1">
        <f t="array" ref="D851">IFERROR(_xlfn.LET(
_xlpm.CSVVal,_xlfn.XLOOKUP($A851,CSV!$A:$A,CSV!D:D,""),
_xlpm.MacVal,_xlfn.XLOOKUP($A851,Output_Mac!$A:$A,Output_Mac!C:C,""),
_xlpm.MyAuditVal,_xlfn.XLOOKUP($A851,My_Audit!$A:$A,My_Audit!C:C,""),
_xlfn.IFS(_xlpm.MyAuditVal&lt;&gt;"",_xlpm.MyAuditVal,_xlpm.MacVal&lt;&gt;"",_xlpm.MacVal,_xlpm.CSVVal&lt;&gt;"",_xlpm.CSVVal
)),"")</f>
        <v/>
      </c>
      <c r="E851" s="40" t="str">
        <f>_xlfn.XLOOKUP(A851,My_Audit!A:A,My_Audit!D:D,"")</f>
        <v/>
      </c>
      <c r="F851" s="40" t="str" cm="1">
        <f t="array" ref="F851">IFERROR(_xlfn.LET(
_xlpm.CSVVal,_xlfn.XLOOKUP($A851,CSV!$A:$A,CSV!F:F,""),
_xlpm.MacVal,_xlfn.XLOOKUP($A851,Output_Mac!$A:$A,Output_Mac!E:E,""),
_xlpm.MyAuditVal,_xlfn.XLOOKUP($A851,My_Audit!$A:$A,My_Audit!E:E,""),
_xlfn.IFS(_xlpm.MyAuditVal&lt;&gt;"",_xlpm.MyAuditVal,_xlpm.MacVal&lt;&gt;"",_xlpm.MacVal,_xlpm.CSVVal&lt;&gt;"",_xlpm.CSVVal
)),"")</f>
        <v/>
      </c>
      <c r="G851" s="40" t="str" cm="1">
        <f t="array" ref="G851">IFERROR(_xlfn.LET(
_xlpm.CSVVal,_xlfn.XLOOKUP($A851,CSV!$A:$A,CSV!G:G,""),
_xlpm.MacVal,_xlfn.XLOOKUP($A851,Output_Mac!$A:$A,Output_Mac!F:F,""),
_xlpm.MyAuditVal,_xlfn.XLOOKUP($A851,My_Audit!$A:$A,My_Audit!F:F,""),
_xlfn.IFS(_xlpm.MyAuditVal&lt;&gt;"",_xlpm.MyAuditVal,_xlpm.MacVal&lt;&gt;"",_xlpm.MacVal,_xlpm.CSVVal&lt;&gt;"",PROPER(_xlpm.CSVVal)
)),"")</f>
        <v/>
      </c>
      <c r="H851" s="40" t="str" cm="1">
        <f t="array" ref="H851">IFERROR(_xlfn.LET(
_xlpm.CSVVal,_xlfn.XLOOKUP($A851,CSV!$A:$A,CSV!H:H,""),
_xlpm.MacVal,_xlfn.XLOOKUP($A851,Output_Mac!$A:$A,Output_Mac!H:H,""),
_xlpm.MyAuditVal,_xlfn.XLOOKUP($A851,My_Audit!$A:$A,My_Audit!G:G,""),
_xlfn.IFS(_xlpm.MyAuditVal&lt;&gt;"",_xlpm.MyAuditVal,_xlpm.MacVal&lt;&gt;"",_xlpm.MacVal,_xlpm.CSVVal&lt;&gt;"",_xlpm.CSVVal
)),"")</f>
        <v/>
      </c>
      <c r="I851" s="40" t="str">
        <f>_xlfn.XLOOKUP(A851,Output_Mac!A:A,Output_Mac!I:I,"")</f>
        <v/>
      </c>
      <c r="J851" s="40" t="str" cm="1">
        <f t="array" ref="J851">IFERROR(_xlfn.LET(
_xlpm.CSVVal,_xlfn.XLOOKUP($A851,CSV!$A:$A,CSV!I:I,""),
_xlpm.MacVal,_xlfn.XLOOKUP($A851,Output_Mac!$A:$A,Output_Mac!J:J,""),
_xlpm.MyAuditVal,_xlfn.XLOOKUP($A851,My_Audit!$A:$A,My_Audit!I:I,""),
_xlfn.IFS(_xlpm.MyAuditVal&lt;&gt;"",UPPER(_xlpm.MyAuditVal),_xlpm.MacVal&lt;&gt;"",_xlpm.MacVal,_xlpm.CSVVal&lt;&gt;"",_xlpm.CSVVal
)),"")</f>
        <v/>
      </c>
      <c r="K851" s="40" t="str" cm="1">
        <f t="array" ref="K851">IFERROR(_xlfn.LET(
_xlpm.CSVVal,_xlfn.XLOOKUP($A851,CSV!$A:$A,CSV!K:K,""),
_xlpm.MacVal,_xlfn.XLOOKUP($A851,Output_Mac!$A:$A,Output_Mac!K:K,""),
_xlpm.MyAuditVal,_xlfn.XLOOKUP($A851,My_Audit!$A:$A,My_Audit!J:J,""),
_xlfn.IFS(_xlpm.MyAuditVal&lt;&gt;"",UPPER(_xlpm.MyAuditVal),_xlpm.MacVal&lt;&gt;"",_xlpm.MacVal,_xlpm.CSVVal&lt;&gt;"",_xlpm.CSVVal
)),"")</f>
        <v/>
      </c>
      <c r="L851" s="40" t="str" cm="1">
        <f t="array" ref="L851">IFERROR(_xlfn.LET(
_xlpm.CSVVal,_xlfn.XLOOKUP($A851,CSV!$A:$A,CSV!P:P,""),
_xlpm.MacVal,_xlfn.XLOOKUP($A851,Output_Mac!$A:$A,Output_Mac!L:L,""),
_xlpm.MyAuditVal,_xlfn.XLOOKUP($A851,My_Audit!$A:$A,My_Audit!K:K,""),
_xlfn.IFS(_xlpm.MyAuditVal&lt;&gt;"",UPPER(_xlpm.MyAuditVal),_xlpm.MacVal&lt;&gt;"",_xlpm.MacVal,_xlpm.CSVVal&lt;&gt;"",_xlpm.CSVVal
)),"")</f>
        <v/>
      </c>
      <c r="M851" s="40" t="str" cm="1">
        <f t="array" ref="M851">IFERROR(_xlfn.LET(
_xlpm.CSVVal,_xlfn.XLOOKUP($A851,CSV!$A:$A,CSV!Q:Q,""),
_xlpm.MacVal,_xlfn.XLOOKUP($A851,Output_Mac!$A:$A,Output_Mac!M:M,""),
_xlpm.MyAuditVal,_xlfn.XLOOKUP($A851,My_Audit!$A:$A,My_Audit!L:L,""),
_xlfn.IFS(_xlpm.MyAuditVal&lt;&gt;"",UPPER(_xlpm.MyAuditVal),_xlpm.MacVal&lt;&gt;"",_xlpm.MacVal,_xlpm.CSVVal&lt;&gt;"",_xlpm.CSVVal
)),"")</f>
        <v/>
      </c>
      <c r="N851" s="40"/>
      <c r="O851" s="40" t="str">
        <f>_xlfn.LET(
    _xlpm.CSVVal, _xlfn.XLOOKUP($A851, CSV!$A:$A, CSV!AA:AA, ""),
    _xlpm.MacVal, _xlfn.XLOOKUP($A851, Output_Mac!$A:$A, Output_Mac!S:S, ""),
    _xlpm.MyAuditVal, _xlfn.XLOOKUP($A851, My_Audit!$A:$A, My_Audit!P:P, ""),
    _xlfn.TEXTJOIN(", ", TRUE, _xlpm.MyAuditVal, _xlpm.MacVal, _xlpm.CSVVal)
)</f>
        <v/>
      </c>
      <c r="P851" s="40" t="str" cm="1">
        <f t="array" ref="P851">IFERROR(_xlfn.LET(
_xlpm.CSVVal,_xlfn.XLOOKUP($A851,CSV!$A:$A,CSV!AB:AB,""),
_xlpm.MacVal,_xlfn.XLOOKUP($A851,Output_Mac!$A:$A,Output_Mac!T:T,""),
_xlpm.MyAuditVal,_xlfn.XLOOKUP($A851,My_Audit!$A:$A,My_Audit!Q:Q,""),
_xlfn.IFS(_xlpm.MyAuditVal&lt;&gt;"",UPPER(_xlpm.MyAuditVal),_xlpm.MacVal&lt;&gt;"",_xlpm.MacVal,_xlpm.CSVVal&lt;&gt;"",_xlpm.CSVVal
)),"No")</f>
        <v>No</v>
      </c>
      <c r="Q851" s="40" t="str" cm="1">
        <f t="array" ref="Q851">IFERROR(_xlfn.LET(
_xlpm.CSVVal,_xlfn.XLOOKUP($A851,CSV!$A:$A,CSV!AC:AC,""),
_xlpm.MacVal,_xlfn.XLOOKUP($A851,Output_Mac!$A:$A,Output_Mac!U:U,""),
_xlpm.MyAuditVal,_xlfn.XLOOKUP($A851,My_Audit!$A:$A,My_Audit!R:R,""),
_xlfn.IFS(_xlpm.MyAuditVal&lt;&gt;"",UPPER(_xlpm.MyAuditVal),_xlpm.MacVal&lt;&gt;"",_xlpm.MacVal,_xlpm.CSVVal&lt;&gt;"",_xlpm.CSVVal
)),"")</f>
        <v/>
      </c>
      <c r="R851" s="40"/>
      <c r="S851" s="40"/>
      <c r="T851" s="40"/>
      <c r="U851" s="40"/>
      <c r="V851" s="40"/>
      <c r="W851" s="40"/>
      <c r="X851" s="41" t="str">
        <f>_xlfn.LET(
    _xlpm.MacVal, _xlfn.XLOOKUP($A851, Output_Mac!$A:$A, Output_Mac!AB:AB, ""),
    _xlpm.MyAuditVal, _xlfn.XLOOKUP($A851, My_Audit!$A:$A, My_Audit!N:N, ""),
    _xlfn.TEXTJOIN(", ", TRUE, _xlpm.MyAuditVal, _xlpm.MacVal)
)</f>
        <v/>
      </c>
    </row>
    <row r="852" spans="1:24">
      <c r="A852" s="40" t="str">
        <f>_xlfn.TEXTJOIN("",TRUE,Input!$B$2,ROW(My_Audit!A851))</f>
        <v>X851</v>
      </c>
      <c r="B852" s="40" t="str">
        <f>_xlfn.TEXTJOIN("-",TRUE,"ITD",Input!$A$2,A852)</f>
        <v>ITD-X851</v>
      </c>
      <c r="C852" s="40" t="str" cm="1">
        <f t="array" ref="C852">IFERROR(_xlfn.LET(
_xlpm.CSVVal,_xlfn.XLOOKUP($A852,CSV!$A:$A,CSV!B:B,""),
_xlpm.MacVal,_xlfn.XLOOKUP($A852,Output_Mac!$A:$A,Output_Mac!B:B,""),
_xlpm.MyAuditVal,_xlfn.XLOOKUP($A852,My_Audit!$A:$A,My_Audit!B:B,""),
_xlfn.IFS(_xlpm.MyAuditVal&lt;&gt;"",UPPER(_xlpm.MyAuditVal),_xlpm.MacVal&lt;&gt;"",_xlpm.MacVal,_xlpm.CSVVal&lt;&gt;"",_xlpm.CSVVal
)),"")</f>
        <v/>
      </c>
      <c r="D852" s="40" t="str" cm="1">
        <f t="array" ref="D852">IFERROR(_xlfn.LET(
_xlpm.CSVVal,_xlfn.XLOOKUP($A852,CSV!$A:$A,CSV!D:D,""),
_xlpm.MacVal,_xlfn.XLOOKUP($A852,Output_Mac!$A:$A,Output_Mac!C:C,""),
_xlpm.MyAuditVal,_xlfn.XLOOKUP($A852,My_Audit!$A:$A,My_Audit!C:C,""),
_xlfn.IFS(_xlpm.MyAuditVal&lt;&gt;"",_xlpm.MyAuditVal,_xlpm.MacVal&lt;&gt;"",_xlpm.MacVal,_xlpm.CSVVal&lt;&gt;"",_xlpm.CSVVal
)),"")</f>
        <v/>
      </c>
      <c r="E852" s="40" t="str">
        <f>_xlfn.XLOOKUP(A852,My_Audit!A:A,My_Audit!D:D,"")</f>
        <v/>
      </c>
      <c r="F852" s="40" t="str" cm="1">
        <f t="array" ref="F852">IFERROR(_xlfn.LET(
_xlpm.CSVVal,_xlfn.XLOOKUP($A852,CSV!$A:$A,CSV!F:F,""),
_xlpm.MacVal,_xlfn.XLOOKUP($A852,Output_Mac!$A:$A,Output_Mac!E:E,""),
_xlpm.MyAuditVal,_xlfn.XLOOKUP($A852,My_Audit!$A:$A,My_Audit!E:E,""),
_xlfn.IFS(_xlpm.MyAuditVal&lt;&gt;"",_xlpm.MyAuditVal,_xlpm.MacVal&lt;&gt;"",_xlpm.MacVal,_xlpm.CSVVal&lt;&gt;"",_xlpm.CSVVal
)),"")</f>
        <v/>
      </c>
      <c r="G852" s="40" t="str" cm="1">
        <f t="array" ref="G852">IFERROR(_xlfn.LET(
_xlpm.CSVVal,_xlfn.XLOOKUP($A852,CSV!$A:$A,CSV!G:G,""),
_xlpm.MacVal,_xlfn.XLOOKUP($A852,Output_Mac!$A:$A,Output_Mac!F:F,""),
_xlpm.MyAuditVal,_xlfn.XLOOKUP($A852,My_Audit!$A:$A,My_Audit!F:F,""),
_xlfn.IFS(_xlpm.MyAuditVal&lt;&gt;"",_xlpm.MyAuditVal,_xlpm.MacVal&lt;&gt;"",_xlpm.MacVal,_xlpm.CSVVal&lt;&gt;"",PROPER(_xlpm.CSVVal)
)),"")</f>
        <v/>
      </c>
      <c r="H852" s="40" t="str" cm="1">
        <f t="array" ref="H852">IFERROR(_xlfn.LET(
_xlpm.CSVVal,_xlfn.XLOOKUP($A852,CSV!$A:$A,CSV!H:H,""),
_xlpm.MacVal,_xlfn.XLOOKUP($A852,Output_Mac!$A:$A,Output_Mac!H:H,""),
_xlpm.MyAuditVal,_xlfn.XLOOKUP($A852,My_Audit!$A:$A,My_Audit!G:G,""),
_xlfn.IFS(_xlpm.MyAuditVal&lt;&gt;"",_xlpm.MyAuditVal,_xlpm.MacVal&lt;&gt;"",_xlpm.MacVal,_xlpm.CSVVal&lt;&gt;"",_xlpm.CSVVal
)),"")</f>
        <v/>
      </c>
      <c r="I852" s="40" t="str">
        <f>_xlfn.XLOOKUP(A852,Output_Mac!A:A,Output_Mac!I:I,"")</f>
        <v/>
      </c>
      <c r="J852" s="40" t="str" cm="1">
        <f t="array" ref="J852">IFERROR(_xlfn.LET(
_xlpm.CSVVal,_xlfn.XLOOKUP($A852,CSV!$A:$A,CSV!I:I,""),
_xlpm.MacVal,_xlfn.XLOOKUP($A852,Output_Mac!$A:$A,Output_Mac!J:J,""),
_xlpm.MyAuditVal,_xlfn.XLOOKUP($A852,My_Audit!$A:$A,My_Audit!I:I,""),
_xlfn.IFS(_xlpm.MyAuditVal&lt;&gt;"",UPPER(_xlpm.MyAuditVal),_xlpm.MacVal&lt;&gt;"",_xlpm.MacVal,_xlpm.CSVVal&lt;&gt;"",_xlpm.CSVVal
)),"")</f>
        <v/>
      </c>
      <c r="K852" s="40" t="str" cm="1">
        <f t="array" ref="K852">IFERROR(_xlfn.LET(
_xlpm.CSVVal,_xlfn.XLOOKUP($A852,CSV!$A:$A,CSV!K:K,""),
_xlpm.MacVal,_xlfn.XLOOKUP($A852,Output_Mac!$A:$A,Output_Mac!K:K,""),
_xlpm.MyAuditVal,_xlfn.XLOOKUP($A852,My_Audit!$A:$A,My_Audit!J:J,""),
_xlfn.IFS(_xlpm.MyAuditVal&lt;&gt;"",UPPER(_xlpm.MyAuditVal),_xlpm.MacVal&lt;&gt;"",_xlpm.MacVal,_xlpm.CSVVal&lt;&gt;"",_xlpm.CSVVal
)),"")</f>
        <v/>
      </c>
      <c r="L852" s="40" t="str" cm="1">
        <f t="array" ref="L852">IFERROR(_xlfn.LET(
_xlpm.CSVVal,_xlfn.XLOOKUP($A852,CSV!$A:$A,CSV!P:P,""),
_xlpm.MacVal,_xlfn.XLOOKUP($A852,Output_Mac!$A:$A,Output_Mac!L:L,""),
_xlpm.MyAuditVal,_xlfn.XLOOKUP($A852,My_Audit!$A:$A,My_Audit!K:K,""),
_xlfn.IFS(_xlpm.MyAuditVal&lt;&gt;"",UPPER(_xlpm.MyAuditVal),_xlpm.MacVal&lt;&gt;"",_xlpm.MacVal,_xlpm.CSVVal&lt;&gt;"",_xlpm.CSVVal
)),"")</f>
        <v/>
      </c>
      <c r="M852" s="40" t="str" cm="1">
        <f t="array" ref="M852">IFERROR(_xlfn.LET(
_xlpm.CSVVal,_xlfn.XLOOKUP($A852,CSV!$A:$A,CSV!Q:Q,""),
_xlpm.MacVal,_xlfn.XLOOKUP($A852,Output_Mac!$A:$A,Output_Mac!M:M,""),
_xlpm.MyAuditVal,_xlfn.XLOOKUP($A852,My_Audit!$A:$A,My_Audit!L:L,""),
_xlfn.IFS(_xlpm.MyAuditVal&lt;&gt;"",UPPER(_xlpm.MyAuditVal),_xlpm.MacVal&lt;&gt;"",_xlpm.MacVal,_xlpm.CSVVal&lt;&gt;"",_xlpm.CSVVal
)),"")</f>
        <v/>
      </c>
      <c r="N852" s="40"/>
      <c r="O852" s="40" t="str">
        <f>_xlfn.LET(
    _xlpm.CSVVal, _xlfn.XLOOKUP($A852, CSV!$A:$A, CSV!AA:AA, ""),
    _xlpm.MacVal, _xlfn.XLOOKUP($A852, Output_Mac!$A:$A, Output_Mac!S:S, ""),
    _xlpm.MyAuditVal, _xlfn.XLOOKUP($A852, My_Audit!$A:$A, My_Audit!P:P, ""),
    _xlfn.TEXTJOIN(", ", TRUE, _xlpm.MyAuditVal, _xlpm.MacVal, _xlpm.CSVVal)
)</f>
        <v/>
      </c>
      <c r="P852" s="40" t="str" cm="1">
        <f t="array" ref="P852">IFERROR(_xlfn.LET(
_xlpm.CSVVal,_xlfn.XLOOKUP($A852,CSV!$A:$A,CSV!AB:AB,""),
_xlpm.MacVal,_xlfn.XLOOKUP($A852,Output_Mac!$A:$A,Output_Mac!T:T,""),
_xlpm.MyAuditVal,_xlfn.XLOOKUP($A852,My_Audit!$A:$A,My_Audit!Q:Q,""),
_xlfn.IFS(_xlpm.MyAuditVal&lt;&gt;"",UPPER(_xlpm.MyAuditVal),_xlpm.MacVal&lt;&gt;"",_xlpm.MacVal,_xlpm.CSVVal&lt;&gt;"",_xlpm.CSVVal
)),"No")</f>
        <v>No</v>
      </c>
      <c r="Q852" s="40" t="str" cm="1">
        <f t="array" ref="Q852">IFERROR(_xlfn.LET(
_xlpm.CSVVal,_xlfn.XLOOKUP($A852,CSV!$A:$A,CSV!AC:AC,""),
_xlpm.MacVal,_xlfn.XLOOKUP($A852,Output_Mac!$A:$A,Output_Mac!U:U,""),
_xlpm.MyAuditVal,_xlfn.XLOOKUP($A852,My_Audit!$A:$A,My_Audit!R:R,""),
_xlfn.IFS(_xlpm.MyAuditVal&lt;&gt;"",UPPER(_xlpm.MyAuditVal),_xlpm.MacVal&lt;&gt;"",_xlpm.MacVal,_xlpm.CSVVal&lt;&gt;"",_xlpm.CSVVal
)),"")</f>
        <v/>
      </c>
      <c r="R852" s="40"/>
      <c r="S852" s="40"/>
      <c r="T852" s="40"/>
      <c r="U852" s="40"/>
      <c r="V852" s="40"/>
      <c r="W852" s="40"/>
      <c r="X852" s="41" t="str">
        <f>_xlfn.LET(
    _xlpm.MacVal, _xlfn.XLOOKUP($A852, Output_Mac!$A:$A, Output_Mac!AB:AB, ""),
    _xlpm.MyAuditVal, _xlfn.XLOOKUP($A852, My_Audit!$A:$A, My_Audit!N:N, ""),
    _xlfn.TEXTJOIN(", ", TRUE, _xlpm.MyAuditVal, _xlpm.MacVal)
)</f>
        <v/>
      </c>
    </row>
    <row r="853" spans="1:24">
      <c r="A853" s="40" t="str">
        <f>_xlfn.TEXTJOIN("",TRUE,Input!$B$2,ROW(My_Audit!A852))</f>
        <v>X852</v>
      </c>
      <c r="B853" s="40" t="str">
        <f>_xlfn.TEXTJOIN("-",TRUE,"ITD",Input!$A$2,A853)</f>
        <v>ITD-X852</v>
      </c>
      <c r="C853" s="40" t="str" cm="1">
        <f t="array" ref="C853">IFERROR(_xlfn.LET(
_xlpm.CSVVal,_xlfn.XLOOKUP($A853,CSV!$A:$A,CSV!B:B,""),
_xlpm.MacVal,_xlfn.XLOOKUP($A853,Output_Mac!$A:$A,Output_Mac!B:B,""),
_xlpm.MyAuditVal,_xlfn.XLOOKUP($A853,My_Audit!$A:$A,My_Audit!B:B,""),
_xlfn.IFS(_xlpm.MyAuditVal&lt;&gt;"",UPPER(_xlpm.MyAuditVal),_xlpm.MacVal&lt;&gt;"",_xlpm.MacVal,_xlpm.CSVVal&lt;&gt;"",_xlpm.CSVVal
)),"")</f>
        <v/>
      </c>
      <c r="D853" s="40" t="str" cm="1">
        <f t="array" ref="D853">IFERROR(_xlfn.LET(
_xlpm.CSVVal,_xlfn.XLOOKUP($A853,CSV!$A:$A,CSV!D:D,""),
_xlpm.MacVal,_xlfn.XLOOKUP($A853,Output_Mac!$A:$A,Output_Mac!C:C,""),
_xlpm.MyAuditVal,_xlfn.XLOOKUP($A853,My_Audit!$A:$A,My_Audit!C:C,""),
_xlfn.IFS(_xlpm.MyAuditVal&lt;&gt;"",_xlpm.MyAuditVal,_xlpm.MacVal&lt;&gt;"",_xlpm.MacVal,_xlpm.CSVVal&lt;&gt;"",_xlpm.CSVVal
)),"")</f>
        <v/>
      </c>
      <c r="E853" s="40" t="str">
        <f>_xlfn.XLOOKUP(A853,My_Audit!A:A,My_Audit!D:D,"")</f>
        <v/>
      </c>
      <c r="F853" s="40" t="str" cm="1">
        <f t="array" ref="F853">IFERROR(_xlfn.LET(
_xlpm.CSVVal,_xlfn.XLOOKUP($A853,CSV!$A:$A,CSV!F:F,""),
_xlpm.MacVal,_xlfn.XLOOKUP($A853,Output_Mac!$A:$A,Output_Mac!E:E,""),
_xlpm.MyAuditVal,_xlfn.XLOOKUP($A853,My_Audit!$A:$A,My_Audit!E:E,""),
_xlfn.IFS(_xlpm.MyAuditVal&lt;&gt;"",_xlpm.MyAuditVal,_xlpm.MacVal&lt;&gt;"",_xlpm.MacVal,_xlpm.CSVVal&lt;&gt;"",_xlpm.CSVVal
)),"")</f>
        <v/>
      </c>
      <c r="G853" s="40" t="str" cm="1">
        <f t="array" ref="G853">IFERROR(_xlfn.LET(
_xlpm.CSVVal,_xlfn.XLOOKUP($A853,CSV!$A:$A,CSV!G:G,""),
_xlpm.MacVal,_xlfn.XLOOKUP($A853,Output_Mac!$A:$A,Output_Mac!F:F,""),
_xlpm.MyAuditVal,_xlfn.XLOOKUP($A853,My_Audit!$A:$A,My_Audit!F:F,""),
_xlfn.IFS(_xlpm.MyAuditVal&lt;&gt;"",_xlpm.MyAuditVal,_xlpm.MacVal&lt;&gt;"",_xlpm.MacVal,_xlpm.CSVVal&lt;&gt;"",PROPER(_xlpm.CSVVal)
)),"")</f>
        <v/>
      </c>
      <c r="H853" s="40" t="str" cm="1">
        <f t="array" ref="H853">IFERROR(_xlfn.LET(
_xlpm.CSVVal,_xlfn.XLOOKUP($A853,CSV!$A:$A,CSV!H:H,""),
_xlpm.MacVal,_xlfn.XLOOKUP($A853,Output_Mac!$A:$A,Output_Mac!H:H,""),
_xlpm.MyAuditVal,_xlfn.XLOOKUP($A853,My_Audit!$A:$A,My_Audit!G:G,""),
_xlfn.IFS(_xlpm.MyAuditVal&lt;&gt;"",_xlpm.MyAuditVal,_xlpm.MacVal&lt;&gt;"",_xlpm.MacVal,_xlpm.CSVVal&lt;&gt;"",_xlpm.CSVVal
)),"")</f>
        <v/>
      </c>
      <c r="I853" s="40" t="str">
        <f>_xlfn.XLOOKUP(A853,Output_Mac!A:A,Output_Mac!I:I,"")</f>
        <v/>
      </c>
      <c r="J853" s="40" t="str" cm="1">
        <f t="array" ref="J853">IFERROR(_xlfn.LET(
_xlpm.CSVVal,_xlfn.XLOOKUP($A853,CSV!$A:$A,CSV!I:I,""),
_xlpm.MacVal,_xlfn.XLOOKUP($A853,Output_Mac!$A:$A,Output_Mac!J:J,""),
_xlpm.MyAuditVal,_xlfn.XLOOKUP($A853,My_Audit!$A:$A,My_Audit!I:I,""),
_xlfn.IFS(_xlpm.MyAuditVal&lt;&gt;"",UPPER(_xlpm.MyAuditVal),_xlpm.MacVal&lt;&gt;"",_xlpm.MacVal,_xlpm.CSVVal&lt;&gt;"",_xlpm.CSVVal
)),"")</f>
        <v/>
      </c>
      <c r="K853" s="40" t="str" cm="1">
        <f t="array" ref="K853">IFERROR(_xlfn.LET(
_xlpm.CSVVal,_xlfn.XLOOKUP($A853,CSV!$A:$A,CSV!K:K,""),
_xlpm.MacVal,_xlfn.XLOOKUP($A853,Output_Mac!$A:$A,Output_Mac!K:K,""),
_xlpm.MyAuditVal,_xlfn.XLOOKUP($A853,My_Audit!$A:$A,My_Audit!J:J,""),
_xlfn.IFS(_xlpm.MyAuditVal&lt;&gt;"",UPPER(_xlpm.MyAuditVal),_xlpm.MacVal&lt;&gt;"",_xlpm.MacVal,_xlpm.CSVVal&lt;&gt;"",_xlpm.CSVVal
)),"")</f>
        <v/>
      </c>
      <c r="L853" s="40" t="str" cm="1">
        <f t="array" ref="L853">IFERROR(_xlfn.LET(
_xlpm.CSVVal,_xlfn.XLOOKUP($A853,CSV!$A:$A,CSV!P:P,""),
_xlpm.MacVal,_xlfn.XLOOKUP($A853,Output_Mac!$A:$A,Output_Mac!L:L,""),
_xlpm.MyAuditVal,_xlfn.XLOOKUP($A853,My_Audit!$A:$A,My_Audit!K:K,""),
_xlfn.IFS(_xlpm.MyAuditVal&lt;&gt;"",UPPER(_xlpm.MyAuditVal),_xlpm.MacVal&lt;&gt;"",_xlpm.MacVal,_xlpm.CSVVal&lt;&gt;"",_xlpm.CSVVal
)),"")</f>
        <v/>
      </c>
      <c r="M853" s="40" t="str" cm="1">
        <f t="array" ref="M853">IFERROR(_xlfn.LET(
_xlpm.CSVVal,_xlfn.XLOOKUP($A853,CSV!$A:$A,CSV!Q:Q,""),
_xlpm.MacVal,_xlfn.XLOOKUP($A853,Output_Mac!$A:$A,Output_Mac!M:M,""),
_xlpm.MyAuditVal,_xlfn.XLOOKUP($A853,My_Audit!$A:$A,My_Audit!L:L,""),
_xlfn.IFS(_xlpm.MyAuditVal&lt;&gt;"",UPPER(_xlpm.MyAuditVal),_xlpm.MacVal&lt;&gt;"",_xlpm.MacVal,_xlpm.CSVVal&lt;&gt;"",_xlpm.CSVVal
)),"")</f>
        <v/>
      </c>
      <c r="N853" s="40"/>
      <c r="O853" s="40" t="str">
        <f>_xlfn.LET(
    _xlpm.CSVVal, _xlfn.XLOOKUP($A853, CSV!$A:$A, CSV!AA:AA, ""),
    _xlpm.MacVal, _xlfn.XLOOKUP($A853, Output_Mac!$A:$A, Output_Mac!S:S, ""),
    _xlpm.MyAuditVal, _xlfn.XLOOKUP($A853, My_Audit!$A:$A, My_Audit!P:P, ""),
    _xlfn.TEXTJOIN(", ", TRUE, _xlpm.MyAuditVal, _xlpm.MacVal, _xlpm.CSVVal)
)</f>
        <v/>
      </c>
      <c r="P853" s="40" t="str" cm="1">
        <f t="array" ref="P853">IFERROR(_xlfn.LET(
_xlpm.CSVVal,_xlfn.XLOOKUP($A853,CSV!$A:$A,CSV!AB:AB,""),
_xlpm.MacVal,_xlfn.XLOOKUP($A853,Output_Mac!$A:$A,Output_Mac!T:T,""),
_xlpm.MyAuditVal,_xlfn.XLOOKUP($A853,My_Audit!$A:$A,My_Audit!Q:Q,""),
_xlfn.IFS(_xlpm.MyAuditVal&lt;&gt;"",UPPER(_xlpm.MyAuditVal),_xlpm.MacVal&lt;&gt;"",_xlpm.MacVal,_xlpm.CSVVal&lt;&gt;"",_xlpm.CSVVal
)),"No")</f>
        <v>No</v>
      </c>
      <c r="Q853" s="40" t="str" cm="1">
        <f t="array" ref="Q853">IFERROR(_xlfn.LET(
_xlpm.CSVVal,_xlfn.XLOOKUP($A853,CSV!$A:$A,CSV!AC:AC,""),
_xlpm.MacVal,_xlfn.XLOOKUP($A853,Output_Mac!$A:$A,Output_Mac!U:U,""),
_xlpm.MyAuditVal,_xlfn.XLOOKUP($A853,My_Audit!$A:$A,My_Audit!R:R,""),
_xlfn.IFS(_xlpm.MyAuditVal&lt;&gt;"",UPPER(_xlpm.MyAuditVal),_xlpm.MacVal&lt;&gt;"",_xlpm.MacVal,_xlpm.CSVVal&lt;&gt;"",_xlpm.CSVVal
)),"")</f>
        <v/>
      </c>
      <c r="R853" s="40"/>
      <c r="S853" s="40"/>
      <c r="T853" s="40"/>
      <c r="U853" s="40"/>
      <c r="V853" s="40"/>
      <c r="W853" s="40"/>
      <c r="X853" s="41" t="str">
        <f>_xlfn.LET(
    _xlpm.MacVal, _xlfn.XLOOKUP($A853, Output_Mac!$A:$A, Output_Mac!AB:AB, ""),
    _xlpm.MyAuditVal, _xlfn.XLOOKUP($A853, My_Audit!$A:$A, My_Audit!N:N, ""),
    _xlfn.TEXTJOIN(", ", TRUE, _xlpm.MyAuditVal, _xlpm.MacVal)
)</f>
        <v/>
      </c>
    </row>
    <row r="854" spans="1:24">
      <c r="A854" s="40" t="str">
        <f>_xlfn.TEXTJOIN("",TRUE,Input!$B$2,ROW(My_Audit!A853))</f>
        <v>X853</v>
      </c>
      <c r="B854" s="40" t="str">
        <f>_xlfn.TEXTJOIN("-",TRUE,"ITD",Input!$A$2,A854)</f>
        <v>ITD-X853</v>
      </c>
      <c r="C854" s="40" t="str" cm="1">
        <f t="array" ref="C854">IFERROR(_xlfn.LET(
_xlpm.CSVVal,_xlfn.XLOOKUP($A854,CSV!$A:$A,CSV!B:B,""),
_xlpm.MacVal,_xlfn.XLOOKUP($A854,Output_Mac!$A:$A,Output_Mac!B:B,""),
_xlpm.MyAuditVal,_xlfn.XLOOKUP($A854,My_Audit!$A:$A,My_Audit!B:B,""),
_xlfn.IFS(_xlpm.MyAuditVal&lt;&gt;"",UPPER(_xlpm.MyAuditVal),_xlpm.MacVal&lt;&gt;"",_xlpm.MacVal,_xlpm.CSVVal&lt;&gt;"",_xlpm.CSVVal
)),"")</f>
        <v/>
      </c>
      <c r="D854" s="40" t="str" cm="1">
        <f t="array" ref="D854">IFERROR(_xlfn.LET(
_xlpm.CSVVal,_xlfn.XLOOKUP($A854,CSV!$A:$A,CSV!D:D,""),
_xlpm.MacVal,_xlfn.XLOOKUP($A854,Output_Mac!$A:$A,Output_Mac!C:C,""),
_xlpm.MyAuditVal,_xlfn.XLOOKUP($A854,My_Audit!$A:$A,My_Audit!C:C,""),
_xlfn.IFS(_xlpm.MyAuditVal&lt;&gt;"",_xlpm.MyAuditVal,_xlpm.MacVal&lt;&gt;"",_xlpm.MacVal,_xlpm.CSVVal&lt;&gt;"",_xlpm.CSVVal
)),"")</f>
        <v/>
      </c>
      <c r="E854" s="40" t="str">
        <f>_xlfn.XLOOKUP(A854,My_Audit!A:A,My_Audit!D:D,"")</f>
        <v/>
      </c>
      <c r="F854" s="40" t="str" cm="1">
        <f t="array" ref="F854">IFERROR(_xlfn.LET(
_xlpm.CSVVal,_xlfn.XLOOKUP($A854,CSV!$A:$A,CSV!F:F,""),
_xlpm.MacVal,_xlfn.XLOOKUP($A854,Output_Mac!$A:$A,Output_Mac!E:E,""),
_xlpm.MyAuditVal,_xlfn.XLOOKUP($A854,My_Audit!$A:$A,My_Audit!E:E,""),
_xlfn.IFS(_xlpm.MyAuditVal&lt;&gt;"",_xlpm.MyAuditVal,_xlpm.MacVal&lt;&gt;"",_xlpm.MacVal,_xlpm.CSVVal&lt;&gt;"",_xlpm.CSVVal
)),"")</f>
        <v/>
      </c>
      <c r="G854" s="40" t="str" cm="1">
        <f t="array" ref="G854">IFERROR(_xlfn.LET(
_xlpm.CSVVal,_xlfn.XLOOKUP($A854,CSV!$A:$A,CSV!G:G,""),
_xlpm.MacVal,_xlfn.XLOOKUP($A854,Output_Mac!$A:$A,Output_Mac!F:F,""),
_xlpm.MyAuditVal,_xlfn.XLOOKUP($A854,My_Audit!$A:$A,My_Audit!F:F,""),
_xlfn.IFS(_xlpm.MyAuditVal&lt;&gt;"",_xlpm.MyAuditVal,_xlpm.MacVal&lt;&gt;"",_xlpm.MacVal,_xlpm.CSVVal&lt;&gt;"",PROPER(_xlpm.CSVVal)
)),"")</f>
        <v/>
      </c>
      <c r="H854" s="40" t="str" cm="1">
        <f t="array" ref="H854">IFERROR(_xlfn.LET(
_xlpm.CSVVal,_xlfn.XLOOKUP($A854,CSV!$A:$A,CSV!H:H,""),
_xlpm.MacVal,_xlfn.XLOOKUP($A854,Output_Mac!$A:$A,Output_Mac!H:H,""),
_xlpm.MyAuditVal,_xlfn.XLOOKUP($A854,My_Audit!$A:$A,My_Audit!G:G,""),
_xlfn.IFS(_xlpm.MyAuditVal&lt;&gt;"",_xlpm.MyAuditVal,_xlpm.MacVal&lt;&gt;"",_xlpm.MacVal,_xlpm.CSVVal&lt;&gt;"",_xlpm.CSVVal
)),"")</f>
        <v/>
      </c>
      <c r="I854" s="40" t="str">
        <f>_xlfn.XLOOKUP(A854,Output_Mac!A:A,Output_Mac!I:I,"")</f>
        <v/>
      </c>
      <c r="J854" s="40" t="str" cm="1">
        <f t="array" ref="J854">IFERROR(_xlfn.LET(
_xlpm.CSVVal,_xlfn.XLOOKUP($A854,CSV!$A:$A,CSV!I:I,""),
_xlpm.MacVal,_xlfn.XLOOKUP($A854,Output_Mac!$A:$A,Output_Mac!J:J,""),
_xlpm.MyAuditVal,_xlfn.XLOOKUP($A854,My_Audit!$A:$A,My_Audit!I:I,""),
_xlfn.IFS(_xlpm.MyAuditVal&lt;&gt;"",UPPER(_xlpm.MyAuditVal),_xlpm.MacVal&lt;&gt;"",_xlpm.MacVal,_xlpm.CSVVal&lt;&gt;"",_xlpm.CSVVal
)),"")</f>
        <v/>
      </c>
      <c r="K854" s="40" t="str" cm="1">
        <f t="array" ref="K854">IFERROR(_xlfn.LET(
_xlpm.CSVVal,_xlfn.XLOOKUP($A854,CSV!$A:$A,CSV!K:K,""),
_xlpm.MacVal,_xlfn.XLOOKUP($A854,Output_Mac!$A:$A,Output_Mac!K:K,""),
_xlpm.MyAuditVal,_xlfn.XLOOKUP($A854,My_Audit!$A:$A,My_Audit!J:J,""),
_xlfn.IFS(_xlpm.MyAuditVal&lt;&gt;"",UPPER(_xlpm.MyAuditVal),_xlpm.MacVal&lt;&gt;"",_xlpm.MacVal,_xlpm.CSVVal&lt;&gt;"",_xlpm.CSVVal
)),"")</f>
        <v/>
      </c>
      <c r="L854" s="40" t="str" cm="1">
        <f t="array" ref="L854">IFERROR(_xlfn.LET(
_xlpm.CSVVal,_xlfn.XLOOKUP($A854,CSV!$A:$A,CSV!P:P,""),
_xlpm.MacVal,_xlfn.XLOOKUP($A854,Output_Mac!$A:$A,Output_Mac!L:L,""),
_xlpm.MyAuditVal,_xlfn.XLOOKUP($A854,My_Audit!$A:$A,My_Audit!K:K,""),
_xlfn.IFS(_xlpm.MyAuditVal&lt;&gt;"",UPPER(_xlpm.MyAuditVal),_xlpm.MacVal&lt;&gt;"",_xlpm.MacVal,_xlpm.CSVVal&lt;&gt;"",_xlpm.CSVVal
)),"")</f>
        <v/>
      </c>
      <c r="M854" s="40" t="str" cm="1">
        <f t="array" ref="M854">IFERROR(_xlfn.LET(
_xlpm.CSVVal,_xlfn.XLOOKUP($A854,CSV!$A:$A,CSV!Q:Q,""),
_xlpm.MacVal,_xlfn.XLOOKUP($A854,Output_Mac!$A:$A,Output_Mac!M:M,""),
_xlpm.MyAuditVal,_xlfn.XLOOKUP($A854,My_Audit!$A:$A,My_Audit!L:L,""),
_xlfn.IFS(_xlpm.MyAuditVal&lt;&gt;"",UPPER(_xlpm.MyAuditVal),_xlpm.MacVal&lt;&gt;"",_xlpm.MacVal,_xlpm.CSVVal&lt;&gt;"",_xlpm.CSVVal
)),"")</f>
        <v/>
      </c>
      <c r="N854" s="40"/>
      <c r="O854" s="40" t="str">
        <f>_xlfn.LET(
    _xlpm.CSVVal, _xlfn.XLOOKUP($A854, CSV!$A:$A, CSV!AA:AA, ""),
    _xlpm.MacVal, _xlfn.XLOOKUP($A854, Output_Mac!$A:$A, Output_Mac!S:S, ""),
    _xlpm.MyAuditVal, _xlfn.XLOOKUP($A854, My_Audit!$A:$A, My_Audit!P:P, ""),
    _xlfn.TEXTJOIN(", ", TRUE, _xlpm.MyAuditVal, _xlpm.MacVal, _xlpm.CSVVal)
)</f>
        <v/>
      </c>
      <c r="P854" s="40" t="str" cm="1">
        <f t="array" ref="P854">IFERROR(_xlfn.LET(
_xlpm.CSVVal,_xlfn.XLOOKUP($A854,CSV!$A:$A,CSV!AB:AB,""),
_xlpm.MacVal,_xlfn.XLOOKUP($A854,Output_Mac!$A:$A,Output_Mac!T:T,""),
_xlpm.MyAuditVal,_xlfn.XLOOKUP($A854,My_Audit!$A:$A,My_Audit!Q:Q,""),
_xlfn.IFS(_xlpm.MyAuditVal&lt;&gt;"",UPPER(_xlpm.MyAuditVal),_xlpm.MacVal&lt;&gt;"",_xlpm.MacVal,_xlpm.CSVVal&lt;&gt;"",_xlpm.CSVVal
)),"No")</f>
        <v>No</v>
      </c>
      <c r="Q854" s="40" t="str" cm="1">
        <f t="array" ref="Q854">IFERROR(_xlfn.LET(
_xlpm.CSVVal,_xlfn.XLOOKUP($A854,CSV!$A:$A,CSV!AC:AC,""),
_xlpm.MacVal,_xlfn.XLOOKUP($A854,Output_Mac!$A:$A,Output_Mac!U:U,""),
_xlpm.MyAuditVal,_xlfn.XLOOKUP($A854,My_Audit!$A:$A,My_Audit!R:R,""),
_xlfn.IFS(_xlpm.MyAuditVal&lt;&gt;"",UPPER(_xlpm.MyAuditVal),_xlpm.MacVal&lt;&gt;"",_xlpm.MacVal,_xlpm.CSVVal&lt;&gt;"",_xlpm.CSVVal
)),"")</f>
        <v/>
      </c>
      <c r="R854" s="40"/>
      <c r="S854" s="40"/>
      <c r="T854" s="40"/>
      <c r="U854" s="40"/>
      <c r="V854" s="40"/>
      <c r="W854" s="40"/>
      <c r="X854" s="41" t="str">
        <f>_xlfn.LET(
    _xlpm.MacVal, _xlfn.XLOOKUP($A854, Output_Mac!$A:$A, Output_Mac!AB:AB, ""),
    _xlpm.MyAuditVal, _xlfn.XLOOKUP($A854, My_Audit!$A:$A, My_Audit!N:N, ""),
    _xlfn.TEXTJOIN(", ", TRUE, _xlpm.MyAuditVal, _xlpm.MacVal)
)</f>
        <v/>
      </c>
    </row>
    <row r="855" spans="1:24">
      <c r="A855" s="40" t="str">
        <f>_xlfn.TEXTJOIN("",TRUE,Input!$B$2,ROW(My_Audit!A854))</f>
        <v>X854</v>
      </c>
      <c r="B855" s="40" t="str">
        <f>_xlfn.TEXTJOIN("-",TRUE,"ITD",Input!$A$2,A855)</f>
        <v>ITD-X854</v>
      </c>
      <c r="C855" s="40" t="str" cm="1">
        <f t="array" ref="C855">IFERROR(_xlfn.LET(
_xlpm.CSVVal,_xlfn.XLOOKUP($A855,CSV!$A:$A,CSV!B:B,""),
_xlpm.MacVal,_xlfn.XLOOKUP($A855,Output_Mac!$A:$A,Output_Mac!B:B,""),
_xlpm.MyAuditVal,_xlfn.XLOOKUP($A855,My_Audit!$A:$A,My_Audit!B:B,""),
_xlfn.IFS(_xlpm.MyAuditVal&lt;&gt;"",UPPER(_xlpm.MyAuditVal),_xlpm.MacVal&lt;&gt;"",_xlpm.MacVal,_xlpm.CSVVal&lt;&gt;"",_xlpm.CSVVal
)),"")</f>
        <v/>
      </c>
      <c r="D855" s="40" t="str" cm="1">
        <f t="array" ref="D855">IFERROR(_xlfn.LET(
_xlpm.CSVVal,_xlfn.XLOOKUP($A855,CSV!$A:$A,CSV!D:D,""),
_xlpm.MacVal,_xlfn.XLOOKUP($A855,Output_Mac!$A:$A,Output_Mac!C:C,""),
_xlpm.MyAuditVal,_xlfn.XLOOKUP($A855,My_Audit!$A:$A,My_Audit!C:C,""),
_xlfn.IFS(_xlpm.MyAuditVal&lt;&gt;"",_xlpm.MyAuditVal,_xlpm.MacVal&lt;&gt;"",_xlpm.MacVal,_xlpm.CSVVal&lt;&gt;"",_xlpm.CSVVal
)),"")</f>
        <v/>
      </c>
      <c r="E855" s="40" t="str">
        <f>_xlfn.XLOOKUP(A855,My_Audit!A:A,My_Audit!D:D,"")</f>
        <v/>
      </c>
      <c r="F855" s="40" t="str" cm="1">
        <f t="array" ref="F855">IFERROR(_xlfn.LET(
_xlpm.CSVVal,_xlfn.XLOOKUP($A855,CSV!$A:$A,CSV!F:F,""),
_xlpm.MacVal,_xlfn.XLOOKUP($A855,Output_Mac!$A:$A,Output_Mac!E:E,""),
_xlpm.MyAuditVal,_xlfn.XLOOKUP($A855,My_Audit!$A:$A,My_Audit!E:E,""),
_xlfn.IFS(_xlpm.MyAuditVal&lt;&gt;"",_xlpm.MyAuditVal,_xlpm.MacVal&lt;&gt;"",_xlpm.MacVal,_xlpm.CSVVal&lt;&gt;"",_xlpm.CSVVal
)),"")</f>
        <v/>
      </c>
      <c r="G855" s="40" t="str" cm="1">
        <f t="array" ref="G855">IFERROR(_xlfn.LET(
_xlpm.CSVVal,_xlfn.XLOOKUP($A855,CSV!$A:$A,CSV!G:G,""),
_xlpm.MacVal,_xlfn.XLOOKUP($A855,Output_Mac!$A:$A,Output_Mac!F:F,""),
_xlpm.MyAuditVal,_xlfn.XLOOKUP($A855,My_Audit!$A:$A,My_Audit!F:F,""),
_xlfn.IFS(_xlpm.MyAuditVal&lt;&gt;"",_xlpm.MyAuditVal,_xlpm.MacVal&lt;&gt;"",_xlpm.MacVal,_xlpm.CSVVal&lt;&gt;"",PROPER(_xlpm.CSVVal)
)),"")</f>
        <v/>
      </c>
      <c r="H855" s="40" t="str" cm="1">
        <f t="array" ref="H855">IFERROR(_xlfn.LET(
_xlpm.CSVVal,_xlfn.XLOOKUP($A855,CSV!$A:$A,CSV!H:H,""),
_xlpm.MacVal,_xlfn.XLOOKUP($A855,Output_Mac!$A:$A,Output_Mac!H:H,""),
_xlpm.MyAuditVal,_xlfn.XLOOKUP($A855,My_Audit!$A:$A,My_Audit!G:G,""),
_xlfn.IFS(_xlpm.MyAuditVal&lt;&gt;"",_xlpm.MyAuditVal,_xlpm.MacVal&lt;&gt;"",_xlpm.MacVal,_xlpm.CSVVal&lt;&gt;"",_xlpm.CSVVal
)),"")</f>
        <v/>
      </c>
      <c r="I855" s="40" t="str">
        <f>_xlfn.XLOOKUP(A855,Output_Mac!A:A,Output_Mac!I:I,"")</f>
        <v/>
      </c>
      <c r="J855" s="40" t="str" cm="1">
        <f t="array" ref="J855">IFERROR(_xlfn.LET(
_xlpm.CSVVal,_xlfn.XLOOKUP($A855,CSV!$A:$A,CSV!I:I,""),
_xlpm.MacVal,_xlfn.XLOOKUP($A855,Output_Mac!$A:$A,Output_Mac!J:J,""),
_xlpm.MyAuditVal,_xlfn.XLOOKUP($A855,My_Audit!$A:$A,My_Audit!I:I,""),
_xlfn.IFS(_xlpm.MyAuditVal&lt;&gt;"",UPPER(_xlpm.MyAuditVal),_xlpm.MacVal&lt;&gt;"",_xlpm.MacVal,_xlpm.CSVVal&lt;&gt;"",_xlpm.CSVVal
)),"")</f>
        <v/>
      </c>
      <c r="K855" s="40" t="str" cm="1">
        <f t="array" ref="K855">IFERROR(_xlfn.LET(
_xlpm.CSVVal,_xlfn.XLOOKUP($A855,CSV!$A:$A,CSV!K:K,""),
_xlpm.MacVal,_xlfn.XLOOKUP($A855,Output_Mac!$A:$A,Output_Mac!K:K,""),
_xlpm.MyAuditVal,_xlfn.XLOOKUP($A855,My_Audit!$A:$A,My_Audit!J:J,""),
_xlfn.IFS(_xlpm.MyAuditVal&lt;&gt;"",UPPER(_xlpm.MyAuditVal),_xlpm.MacVal&lt;&gt;"",_xlpm.MacVal,_xlpm.CSVVal&lt;&gt;"",_xlpm.CSVVal
)),"")</f>
        <v/>
      </c>
      <c r="L855" s="40" t="str" cm="1">
        <f t="array" ref="L855">IFERROR(_xlfn.LET(
_xlpm.CSVVal,_xlfn.XLOOKUP($A855,CSV!$A:$A,CSV!P:P,""),
_xlpm.MacVal,_xlfn.XLOOKUP($A855,Output_Mac!$A:$A,Output_Mac!L:L,""),
_xlpm.MyAuditVal,_xlfn.XLOOKUP($A855,My_Audit!$A:$A,My_Audit!K:K,""),
_xlfn.IFS(_xlpm.MyAuditVal&lt;&gt;"",UPPER(_xlpm.MyAuditVal),_xlpm.MacVal&lt;&gt;"",_xlpm.MacVal,_xlpm.CSVVal&lt;&gt;"",_xlpm.CSVVal
)),"")</f>
        <v/>
      </c>
      <c r="M855" s="40" t="str" cm="1">
        <f t="array" ref="M855">IFERROR(_xlfn.LET(
_xlpm.CSVVal,_xlfn.XLOOKUP($A855,CSV!$A:$A,CSV!Q:Q,""),
_xlpm.MacVal,_xlfn.XLOOKUP($A855,Output_Mac!$A:$A,Output_Mac!M:M,""),
_xlpm.MyAuditVal,_xlfn.XLOOKUP($A855,My_Audit!$A:$A,My_Audit!L:L,""),
_xlfn.IFS(_xlpm.MyAuditVal&lt;&gt;"",UPPER(_xlpm.MyAuditVal),_xlpm.MacVal&lt;&gt;"",_xlpm.MacVal,_xlpm.CSVVal&lt;&gt;"",_xlpm.CSVVal
)),"")</f>
        <v/>
      </c>
      <c r="N855" s="40"/>
      <c r="O855" s="40" t="str">
        <f>_xlfn.LET(
    _xlpm.CSVVal, _xlfn.XLOOKUP($A855, CSV!$A:$A, CSV!AA:AA, ""),
    _xlpm.MacVal, _xlfn.XLOOKUP($A855, Output_Mac!$A:$A, Output_Mac!S:S, ""),
    _xlpm.MyAuditVal, _xlfn.XLOOKUP($A855, My_Audit!$A:$A, My_Audit!P:P, ""),
    _xlfn.TEXTJOIN(", ", TRUE, _xlpm.MyAuditVal, _xlpm.MacVal, _xlpm.CSVVal)
)</f>
        <v/>
      </c>
      <c r="P855" s="40" t="str" cm="1">
        <f t="array" ref="P855">IFERROR(_xlfn.LET(
_xlpm.CSVVal,_xlfn.XLOOKUP($A855,CSV!$A:$A,CSV!AB:AB,""),
_xlpm.MacVal,_xlfn.XLOOKUP($A855,Output_Mac!$A:$A,Output_Mac!T:T,""),
_xlpm.MyAuditVal,_xlfn.XLOOKUP($A855,My_Audit!$A:$A,My_Audit!Q:Q,""),
_xlfn.IFS(_xlpm.MyAuditVal&lt;&gt;"",UPPER(_xlpm.MyAuditVal),_xlpm.MacVal&lt;&gt;"",_xlpm.MacVal,_xlpm.CSVVal&lt;&gt;"",_xlpm.CSVVal
)),"No")</f>
        <v>No</v>
      </c>
      <c r="Q855" s="40" t="str" cm="1">
        <f t="array" ref="Q855">IFERROR(_xlfn.LET(
_xlpm.CSVVal,_xlfn.XLOOKUP($A855,CSV!$A:$A,CSV!AC:AC,""),
_xlpm.MacVal,_xlfn.XLOOKUP($A855,Output_Mac!$A:$A,Output_Mac!U:U,""),
_xlpm.MyAuditVal,_xlfn.XLOOKUP($A855,My_Audit!$A:$A,My_Audit!R:R,""),
_xlfn.IFS(_xlpm.MyAuditVal&lt;&gt;"",UPPER(_xlpm.MyAuditVal),_xlpm.MacVal&lt;&gt;"",_xlpm.MacVal,_xlpm.CSVVal&lt;&gt;"",_xlpm.CSVVal
)),"")</f>
        <v/>
      </c>
      <c r="R855" s="40"/>
      <c r="S855" s="40"/>
      <c r="T855" s="40"/>
      <c r="U855" s="40"/>
      <c r="V855" s="40"/>
      <c r="W855" s="40"/>
      <c r="X855" s="41" t="str">
        <f>_xlfn.LET(
    _xlpm.MacVal, _xlfn.XLOOKUP($A855, Output_Mac!$A:$A, Output_Mac!AB:AB, ""),
    _xlpm.MyAuditVal, _xlfn.XLOOKUP($A855, My_Audit!$A:$A, My_Audit!N:N, ""),
    _xlfn.TEXTJOIN(", ", TRUE, _xlpm.MyAuditVal, _xlpm.MacVal)
)</f>
        <v/>
      </c>
    </row>
    <row r="856" spans="1:24">
      <c r="A856" s="40" t="str">
        <f>_xlfn.TEXTJOIN("",TRUE,Input!$B$2,ROW(My_Audit!A855))</f>
        <v>X855</v>
      </c>
      <c r="B856" s="40" t="str">
        <f>_xlfn.TEXTJOIN("-",TRUE,"ITD",Input!$A$2,A856)</f>
        <v>ITD-X855</v>
      </c>
      <c r="C856" s="40" t="str" cm="1">
        <f t="array" ref="C856">IFERROR(_xlfn.LET(
_xlpm.CSVVal,_xlfn.XLOOKUP($A856,CSV!$A:$A,CSV!B:B,""),
_xlpm.MacVal,_xlfn.XLOOKUP($A856,Output_Mac!$A:$A,Output_Mac!B:B,""),
_xlpm.MyAuditVal,_xlfn.XLOOKUP($A856,My_Audit!$A:$A,My_Audit!B:B,""),
_xlfn.IFS(_xlpm.MyAuditVal&lt;&gt;"",UPPER(_xlpm.MyAuditVal),_xlpm.MacVal&lt;&gt;"",_xlpm.MacVal,_xlpm.CSVVal&lt;&gt;"",_xlpm.CSVVal
)),"")</f>
        <v/>
      </c>
      <c r="D856" s="40" t="str" cm="1">
        <f t="array" ref="D856">IFERROR(_xlfn.LET(
_xlpm.CSVVal,_xlfn.XLOOKUP($A856,CSV!$A:$A,CSV!D:D,""),
_xlpm.MacVal,_xlfn.XLOOKUP($A856,Output_Mac!$A:$A,Output_Mac!C:C,""),
_xlpm.MyAuditVal,_xlfn.XLOOKUP($A856,My_Audit!$A:$A,My_Audit!C:C,""),
_xlfn.IFS(_xlpm.MyAuditVal&lt;&gt;"",_xlpm.MyAuditVal,_xlpm.MacVal&lt;&gt;"",_xlpm.MacVal,_xlpm.CSVVal&lt;&gt;"",_xlpm.CSVVal
)),"")</f>
        <v/>
      </c>
      <c r="E856" s="40" t="str">
        <f>_xlfn.XLOOKUP(A856,My_Audit!A:A,My_Audit!D:D,"")</f>
        <v/>
      </c>
      <c r="F856" s="40" t="str" cm="1">
        <f t="array" ref="F856">IFERROR(_xlfn.LET(
_xlpm.CSVVal,_xlfn.XLOOKUP($A856,CSV!$A:$A,CSV!F:F,""),
_xlpm.MacVal,_xlfn.XLOOKUP($A856,Output_Mac!$A:$A,Output_Mac!E:E,""),
_xlpm.MyAuditVal,_xlfn.XLOOKUP($A856,My_Audit!$A:$A,My_Audit!E:E,""),
_xlfn.IFS(_xlpm.MyAuditVal&lt;&gt;"",_xlpm.MyAuditVal,_xlpm.MacVal&lt;&gt;"",_xlpm.MacVal,_xlpm.CSVVal&lt;&gt;"",_xlpm.CSVVal
)),"")</f>
        <v/>
      </c>
      <c r="G856" s="40" t="str" cm="1">
        <f t="array" ref="G856">IFERROR(_xlfn.LET(
_xlpm.CSVVal,_xlfn.XLOOKUP($A856,CSV!$A:$A,CSV!G:G,""),
_xlpm.MacVal,_xlfn.XLOOKUP($A856,Output_Mac!$A:$A,Output_Mac!F:F,""),
_xlpm.MyAuditVal,_xlfn.XLOOKUP($A856,My_Audit!$A:$A,My_Audit!F:F,""),
_xlfn.IFS(_xlpm.MyAuditVal&lt;&gt;"",_xlpm.MyAuditVal,_xlpm.MacVal&lt;&gt;"",_xlpm.MacVal,_xlpm.CSVVal&lt;&gt;"",PROPER(_xlpm.CSVVal)
)),"")</f>
        <v/>
      </c>
      <c r="H856" s="40" t="str" cm="1">
        <f t="array" ref="H856">IFERROR(_xlfn.LET(
_xlpm.CSVVal,_xlfn.XLOOKUP($A856,CSV!$A:$A,CSV!H:H,""),
_xlpm.MacVal,_xlfn.XLOOKUP($A856,Output_Mac!$A:$A,Output_Mac!H:H,""),
_xlpm.MyAuditVal,_xlfn.XLOOKUP($A856,My_Audit!$A:$A,My_Audit!G:G,""),
_xlfn.IFS(_xlpm.MyAuditVal&lt;&gt;"",_xlpm.MyAuditVal,_xlpm.MacVal&lt;&gt;"",_xlpm.MacVal,_xlpm.CSVVal&lt;&gt;"",_xlpm.CSVVal
)),"")</f>
        <v/>
      </c>
      <c r="I856" s="40" t="str">
        <f>_xlfn.XLOOKUP(A856,Output_Mac!A:A,Output_Mac!I:I,"")</f>
        <v/>
      </c>
      <c r="J856" s="40" t="str" cm="1">
        <f t="array" ref="J856">IFERROR(_xlfn.LET(
_xlpm.CSVVal,_xlfn.XLOOKUP($A856,CSV!$A:$A,CSV!I:I,""),
_xlpm.MacVal,_xlfn.XLOOKUP($A856,Output_Mac!$A:$A,Output_Mac!J:J,""),
_xlpm.MyAuditVal,_xlfn.XLOOKUP($A856,My_Audit!$A:$A,My_Audit!I:I,""),
_xlfn.IFS(_xlpm.MyAuditVal&lt;&gt;"",UPPER(_xlpm.MyAuditVal),_xlpm.MacVal&lt;&gt;"",_xlpm.MacVal,_xlpm.CSVVal&lt;&gt;"",_xlpm.CSVVal
)),"")</f>
        <v/>
      </c>
      <c r="K856" s="40" t="str" cm="1">
        <f t="array" ref="K856">IFERROR(_xlfn.LET(
_xlpm.CSVVal,_xlfn.XLOOKUP($A856,CSV!$A:$A,CSV!K:K,""),
_xlpm.MacVal,_xlfn.XLOOKUP($A856,Output_Mac!$A:$A,Output_Mac!K:K,""),
_xlpm.MyAuditVal,_xlfn.XLOOKUP($A856,My_Audit!$A:$A,My_Audit!J:J,""),
_xlfn.IFS(_xlpm.MyAuditVal&lt;&gt;"",UPPER(_xlpm.MyAuditVal),_xlpm.MacVal&lt;&gt;"",_xlpm.MacVal,_xlpm.CSVVal&lt;&gt;"",_xlpm.CSVVal
)),"")</f>
        <v/>
      </c>
      <c r="L856" s="40" t="str" cm="1">
        <f t="array" ref="L856">IFERROR(_xlfn.LET(
_xlpm.CSVVal,_xlfn.XLOOKUP($A856,CSV!$A:$A,CSV!P:P,""),
_xlpm.MacVal,_xlfn.XLOOKUP($A856,Output_Mac!$A:$A,Output_Mac!L:L,""),
_xlpm.MyAuditVal,_xlfn.XLOOKUP($A856,My_Audit!$A:$A,My_Audit!K:K,""),
_xlfn.IFS(_xlpm.MyAuditVal&lt;&gt;"",UPPER(_xlpm.MyAuditVal),_xlpm.MacVal&lt;&gt;"",_xlpm.MacVal,_xlpm.CSVVal&lt;&gt;"",_xlpm.CSVVal
)),"")</f>
        <v/>
      </c>
      <c r="M856" s="40" t="str" cm="1">
        <f t="array" ref="M856">IFERROR(_xlfn.LET(
_xlpm.CSVVal,_xlfn.XLOOKUP($A856,CSV!$A:$A,CSV!Q:Q,""),
_xlpm.MacVal,_xlfn.XLOOKUP($A856,Output_Mac!$A:$A,Output_Mac!M:M,""),
_xlpm.MyAuditVal,_xlfn.XLOOKUP($A856,My_Audit!$A:$A,My_Audit!L:L,""),
_xlfn.IFS(_xlpm.MyAuditVal&lt;&gt;"",UPPER(_xlpm.MyAuditVal),_xlpm.MacVal&lt;&gt;"",_xlpm.MacVal,_xlpm.CSVVal&lt;&gt;"",_xlpm.CSVVal
)),"")</f>
        <v/>
      </c>
      <c r="N856" s="40"/>
      <c r="O856" s="40" t="str">
        <f>_xlfn.LET(
    _xlpm.CSVVal, _xlfn.XLOOKUP($A856, CSV!$A:$A, CSV!AA:AA, ""),
    _xlpm.MacVal, _xlfn.XLOOKUP($A856, Output_Mac!$A:$A, Output_Mac!S:S, ""),
    _xlpm.MyAuditVal, _xlfn.XLOOKUP($A856, My_Audit!$A:$A, My_Audit!P:P, ""),
    _xlfn.TEXTJOIN(", ", TRUE, _xlpm.MyAuditVal, _xlpm.MacVal, _xlpm.CSVVal)
)</f>
        <v/>
      </c>
      <c r="P856" s="40" t="str" cm="1">
        <f t="array" ref="P856">IFERROR(_xlfn.LET(
_xlpm.CSVVal,_xlfn.XLOOKUP($A856,CSV!$A:$A,CSV!AB:AB,""),
_xlpm.MacVal,_xlfn.XLOOKUP($A856,Output_Mac!$A:$A,Output_Mac!T:T,""),
_xlpm.MyAuditVal,_xlfn.XLOOKUP($A856,My_Audit!$A:$A,My_Audit!Q:Q,""),
_xlfn.IFS(_xlpm.MyAuditVal&lt;&gt;"",UPPER(_xlpm.MyAuditVal),_xlpm.MacVal&lt;&gt;"",_xlpm.MacVal,_xlpm.CSVVal&lt;&gt;"",_xlpm.CSVVal
)),"No")</f>
        <v>No</v>
      </c>
      <c r="Q856" s="40" t="str" cm="1">
        <f t="array" ref="Q856">IFERROR(_xlfn.LET(
_xlpm.CSVVal,_xlfn.XLOOKUP($A856,CSV!$A:$A,CSV!AC:AC,""),
_xlpm.MacVal,_xlfn.XLOOKUP($A856,Output_Mac!$A:$A,Output_Mac!U:U,""),
_xlpm.MyAuditVal,_xlfn.XLOOKUP($A856,My_Audit!$A:$A,My_Audit!R:R,""),
_xlfn.IFS(_xlpm.MyAuditVal&lt;&gt;"",UPPER(_xlpm.MyAuditVal),_xlpm.MacVal&lt;&gt;"",_xlpm.MacVal,_xlpm.CSVVal&lt;&gt;"",_xlpm.CSVVal
)),"")</f>
        <v/>
      </c>
      <c r="R856" s="40"/>
      <c r="S856" s="40"/>
      <c r="T856" s="40"/>
      <c r="U856" s="40"/>
      <c r="V856" s="40"/>
      <c r="W856" s="40"/>
      <c r="X856" s="41" t="str">
        <f>_xlfn.LET(
    _xlpm.MacVal, _xlfn.XLOOKUP($A856, Output_Mac!$A:$A, Output_Mac!AB:AB, ""),
    _xlpm.MyAuditVal, _xlfn.XLOOKUP($A856, My_Audit!$A:$A, My_Audit!N:N, ""),
    _xlfn.TEXTJOIN(", ", TRUE, _xlpm.MyAuditVal, _xlpm.MacVal)
)</f>
        <v/>
      </c>
    </row>
    <row r="857" spans="1:24">
      <c r="A857" s="40" t="str">
        <f>_xlfn.TEXTJOIN("",TRUE,Input!$B$2,ROW(My_Audit!A856))</f>
        <v>X856</v>
      </c>
      <c r="B857" s="40" t="str">
        <f>_xlfn.TEXTJOIN("-",TRUE,"ITD",Input!$A$2,A857)</f>
        <v>ITD-X856</v>
      </c>
      <c r="C857" s="40" t="str" cm="1">
        <f t="array" ref="C857">IFERROR(_xlfn.LET(
_xlpm.CSVVal,_xlfn.XLOOKUP($A857,CSV!$A:$A,CSV!B:B,""),
_xlpm.MacVal,_xlfn.XLOOKUP($A857,Output_Mac!$A:$A,Output_Mac!B:B,""),
_xlpm.MyAuditVal,_xlfn.XLOOKUP($A857,My_Audit!$A:$A,My_Audit!B:B,""),
_xlfn.IFS(_xlpm.MyAuditVal&lt;&gt;"",UPPER(_xlpm.MyAuditVal),_xlpm.MacVal&lt;&gt;"",_xlpm.MacVal,_xlpm.CSVVal&lt;&gt;"",_xlpm.CSVVal
)),"")</f>
        <v/>
      </c>
      <c r="D857" s="40" t="str" cm="1">
        <f t="array" ref="D857">IFERROR(_xlfn.LET(
_xlpm.CSVVal,_xlfn.XLOOKUP($A857,CSV!$A:$A,CSV!D:D,""),
_xlpm.MacVal,_xlfn.XLOOKUP($A857,Output_Mac!$A:$A,Output_Mac!C:C,""),
_xlpm.MyAuditVal,_xlfn.XLOOKUP($A857,My_Audit!$A:$A,My_Audit!C:C,""),
_xlfn.IFS(_xlpm.MyAuditVal&lt;&gt;"",_xlpm.MyAuditVal,_xlpm.MacVal&lt;&gt;"",_xlpm.MacVal,_xlpm.CSVVal&lt;&gt;"",_xlpm.CSVVal
)),"")</f>
        <v/>
      </c>
      <c r="E857" s="40" t="str">
        <f>_xlfn.XLOOKUP(A857,My_Audit!A:A,My_Audit!D:D,"")</f>
        <v/>
      </c>
      <c r="F857" s="40" t="str" cm="1">
        <f t="array" ref="F857">IFERROR(_xlfn.LET(
_xlpm.CSVVal,_xlfn.XLOOKUP($A857,CSV!$A:$A,CSV!F:F,""),
_xlpm.MacVal,_xlfn.XLOOKUP($A857,Output_Mac!$A:$A,Output_Mac!E:E,""),
_xlpm.MyAuditVal,_xlfn.XLOOKUP($A857,My_Audit!$A:$A,My_Audit!E:E,""),
_xlfn.IFS(_xlpm.MyAuditVal&lt;&gt;"",_xlpm.MyAuditVal,_xlpm.MacVal&lt;&gt;"",_xlpm.MacVal,_xlpm.CSVVal&lt;&gt;"",_xlpm.CSVVal
)),"")</f>
        <v/>
      </c>
      <c r="G857" s="40" t="str" cm="1">
        <f t="array" ref="G857">IFERROR(_xlfn.LET(
_xlpm.CSVVal,_xlfn.XLOOKUP($A857,CSV!$A:$A,CSV!G:G,""),
_xlpm.MacVal,_xlfn.XLOOKUP($A857,Output_Mac!$A:$A,Output_Mac!F:F,""),
_xlpm.MyAuditVal,_xlfn.XLOOKUP($A857,My_Audit!$A:$A,My_Audit!F:F,""),
_xlfn.IFS(_xlpm.MyAuditVal&lt;&gt;"",_xlpm.MyAuditVal,_xlpm.MacVal&lt;&gt;"",_xlpm.MacVal,_xlpm.CSVVal&lt;&gt;"",PROPER(_xlpm.CSVVal)
)),"")</f>
        <v/>
      </c>
      <c r="H857" s="40" t="str" cm="1">
        <f t="array" ref="H857">IFERROR(_xlfn.LET(
_xlpm.CSVVal,_xlfn.XLOOKUP($A857,CSV!$A:$A,CSV!H:H,""),
_xlpm.MacVal,_xlfn.XLOOKUP($A857,Output_Mac!$A:$A,Output_Mac!H:H,""),
_xlpm.MyAuditVal,_xlfn.XLOOKUP($A857,My_Audit!$A:$A,My_Audit!G:G,""),
_xlfn.IFS(_xlpm.MyAuditVal&lt;&gt;"",_xlpm.MyAuditVal,_xlpm.MacVal&lt;&gt;"",_xlpm.MacVal,_xlpm.CSVVal&lt;&gt;"",_xlpm.CSVVal
)),"")</f>
        <v/>
      </c>
      <c r="I857" s="40" t="str">
        <f>_xlfn.XLOOKUP(A857,Output_Mac!A:A,Output_Mac!I:I,"")</f>
        <v/>
      </c>
      <c r="J857" s="40" t="str" cm="1">
        <f t="array" ref="J857">IFERROR(_xlfn.LET(
_xlpm.CSVVal,_xlfn.XLOOKUP($A857,CSV!$A:$A,CSV!I:I,""),
_xlpm.MacVal,_xlfn.XLOOKUP($A857,Output_Mac!$A:$A,Output_Mac!J:J,""),
_xlpm.MyAuditVal,_xlfn.XLOOKUP($A857,My_Audit!$A:$A,My_Audit!I:I,""),
_xlfn.IFS(_xlpm.MyAuditVal&lt;&gt;"",UPPER(_xlpm.MyAuditVal),_xlpm.MacVal&lt;&gt;"",_xlpm.MacVal,_xlpm.CSVVal&lt;&gt;"",_xlpm.CSVVal
)),"")</f>
        <v/>
      </c>
      <c r="K857" s="40" t="str" cm="1">
        <f t="array" ref="K857">IFERROR(_xlfn.LET(
_xlpm.CSVVal,_xlfn.XLOOKUP($A857,CSV!$A:$A,CSV!K:K,""),
_xlpm.MacVal,_xlfn.XLOOKUP($A857,Output_Mac!$A:$A,Output_Mac!K:K,""),
_xlpm.MyAuditVal,_xlfn.XLOOKUP($A857,My_Audit!$A:$A,My_Audit!J:J,""),
_xlfn.IFS(_xlpm.MyAuditVal&lt;&gt;"",UPPER(_xlpm.MyAuditVal),_xlpm.MacVal&lt;&gt;"",_xlpm.MacVal,_xlpm.CSVVal&lt;&gt;"",_xlpm.CSVVal
)),"")</f>
        <v/>
      </c>
      <c r="L857" s="40" t="str" cm="1">
        <f t="array" ref="L857">IFERROR(_xlfn.LET(
_xlpm.CSVVal,_xlfn.XLOOKUP($A857,CSV!$A:$A,CSV!P:P,""),
_xlpm.MacVal,_xlfn.XLOOKUP($A857,Output_Mac!$A:$A,Output_Mac!L:L,""),
_xlpm.MyAuditVal,_xlfn.XLOOKUP($A857,My_Audit!$A:$A,My_Audit!K:K,""),
_xlfn.IFS(_xlpm.MyAuditVal&lt;&gt;"",UPPER(_xlpm.MyAuditVal),_xlpm.MacVal&lt;&gt;"",_xlpm.MacVal,_xlpm.CSVVal&lt;&gt;"",_xlpm.CSVVal
)),"")</f>
        <v/>
      </c>
      <c r="M857" s="40" t="str" cm="1">
        <f t="array" ref="M857">IFERROR(_xlfn.LET(
_xlpm.CSVVal,_xlfn.XLOOKUP($A857,CSV!$A:$A,CSV!Q:Q,""),
_xlpm.MacVal,_xlfn.XLOOKUP($A857,Output_Mac!$A:$A,Output_Mac!M:M,""),
_xlpm.MyAuditVal,_xlfn.XLOOKUP($A857,My_Audit!$A:$A,My_Audit!L:L,""),
_xlfn.IFS(_xlpm.MyAuditVal&lt;&gt;"",UPPER(_xlpm.MyAuditVal),_xlpm.MacVal&lt;&gt;"",_xlpm.MacVal,_xlpm.CSVVal&lt;&gt;"",_xlpm.CSVVal
)),"")</f>
        <v/>
      </c>
      <c r="N857" s="40"/>
      <c r="O857" s="40" t="str">
        <f>_xlfn.LET(
    _xlpm.CSVVal, _xlfn.XLOOKUP($A857, CSV!$A:$A, CSV!AA:AA, ""),
    _xlpm.MacVal, _xlfn.XLOOKUP($A857, Output_Mac!$A:$A, Output_Mac!S:S, ""),
    _xlpm.MyAuditVal, _xlfn.XLOOKUP($A857, My_Audit!$A:$A, My_Audit!P:P, ""),
    _xlfn.TEXTJOIN(", ", TRUE, _xlpm.MyAuditVal, _xlpm.MacVal, _xlpm.CSVVal)
)</f>
        <v/>
      </c>
      <c r="P857" s="40" t="str" cm="1">
        <f t="array" ref="P857">IFERROR(_xlfn.LET(
_xlpm.CSVVal,_xlfn.XLOOKUP($A857,CSV!$A:$A,CSV!AB:AB,""),
_xlpm.MacVal,_xlfn.XLOOKUP($A857,Output_Mac!$A:$A,Output_Mac!T:T,""),
_xlpm.MyAuditVal,_xlfn.XLOOKUP($A857,My_Audit!$A:$A,My_Audit!Q:Q,""),
_xlfn.IFS(_xlpm.MyAuditVal&lt;&gt;"",UPPER(_xlpm.MyAuditVal),_xlpm.MacVal&lt;&gt;"",_xlpm.MacVal,_xlpm.CSVVal&lt;&gt;"",_xlpm.CSVVal
)),"No")</f>
        <v>No</v>
      </c>
      <c r="Q857" s="40" t="str" cm="1">
        <f t="array" ref="Q857">IFERROR(_xlfn.LET(
_xlpm.CSVVal,_xlfn.XLOOKUP($A857,CSV!$A:$A,CSV!AC:AC,""),
_xlpm.MacVal,_xlfn.XLOOKUP($A857,Output_Mac!$A:$A,Output_Mac!U:U,""),
_xlpm.MyAuditVal,_xlfn.XLOOKUP($A857,My_Audit!$A:$A,My_Audit!R:R,""),
_xlfn.IFS(_xlpm.MyAuditVal&lt;&gt;"",UPPER(_xlpm.MyAuditVal),_xlpm.MacVal&lt;&gt;"",_xlpm.MacVal,_xlpm.CSVVal&lt;&gt;"",_xlpm.CSVVal
)),"")</f>
        <v/>
      </c>
      <c r="R857" s="40"/>
      <c r="S857" s="40"/>
      <c r="T857" s="40"/>
      <c r="U857" s="40"/>
      <c r="V857" s="40"/>
      <c r="W857" s="40"/>
      <c r="X857" s="41" t="str">
        <f>_xlfn.LET(
    _xlpm.MacVal, _xlfn.XLOOKUP($A857, Output_Mac!$A:$A, Output_Mac!AB:AB, ""),
    _xlpm.MyAuditVal, _xlfn.XLOOKUP($A857, My_Audit!$A:$A, My_Audit!N:N, ""),
    _xlfn.TEXTJOIN(", ", TRUE, _xlpm.MyAuditVal, _xlpm.MacVal)
)</f>
        <v/>
      </c>
    </row>
    <row r="858" spans="1:24">
      <c r="A858" s="40" t="str">
        <f>_xlfn.TEXTJOIN("",TRUE,Input!$B$2,ROW(My_Audit!A857))</f>
        <v>X857</v>
      </c>
      <c r="B858" s="40" t="str">
        <f>_xlfn.TEXTJOIN("-",TRUE,"ITD",Input!$A$2,A858)</f>
        <v>ITD-X857</v>
      </c>
      <c r="C858" s="40" t="str" cm="1">
        <f t="array" ref="C858">IFERROR(_xlfn.LET(
_xlpm.CSVVal,_xlfn.XLOOKUP($A858,CSV!$A:$A,CSV!B:B,""),
_xlpm.MacVal,_xlfn.XLOOKUP($A858,Output_Mac!$A:$A,Output_Mac!B:B,""),
_xlpm.MyAuditVal,_xlfn.XLOOKUP($A858,My_Audit!$A:$A,My_Audit!B:B,""),
_xlfn.IFS(_xlpm.MyAuditVal&lt;&gt;"",UPPER(_xlpm.MyAuditVal),_xlpm.MacVal&lt;&gt;"",_xlpm.MacVal,_xlpm.CSVVal&lt;&gt;"",_xlpm.CSVVal
)),"")</f>
        <v/>
      </c>
      <c r="D858" s="40" t="str" cm="1">
        <f t="array" ref="D858">IFERROR(_xlfn.LET(
_xlpm.CSVVal,_xlfn.XLOOKUP($A858,CSV!$A:$A,CSV!D:D,""),
_xlpm.MacVal,_xlfn.XLOOKUP($A858,Output_Mac!$A:$A,Output_Mac!C:C,""),
_xlpm.MyAuditVal,_xlfn.XLOOKUP($A858,My_Audit!$A:$A,My_Audit!C:C,""),
_xlfn.IFS(_xlpm.MyAuditVal&lt;&gt;"",_xlpm.MyAuditVal,_xlpm.MacVal&lt;&gt;"",_xlpm.MacVal,_xlpm.CSVVal&lt;&gt;"",_xlpm.CSVVal
)),"")</f>
        <v/>
      </c>
      <c r="E858" s="40" t="str">
        <f>_xlfn.XLOOKUP(A858,My_Audit!A:A,My_Audit!D:D,"")</f>
        <v/>
      </c>
      <c r="F858" s="40" t="str" cm="1">
        <f t="array" ref="F858">IFERROR(_xlfn.LET(
_xlpm.CSVVal,_xlfn.XLOOKUP($A858,CSV!$A:$A,CSV!F:F,""),
_xlpm.MacVal,_xlfn.XLOOKUP($A858,Output_Mac!$A:$A,Output_Mac!E:E,""),
_xlpm.MyAuditVal,_xlfn.XLOOKUP($A858,My_Audit!$A:$A,My_Audit!E:E,""),
_xlfn.IFS(_xlpm.MyAuditVal&lt;&gt;"",_xlpm.MyAuditVal,_xlpm.MacVal&lt;&gt;"",_xlpm.MacVal,_xlpm.CSVVal&lt;&gt;"",_xlpm.CSVVal
)),"")</f>
        <v/>
      </c>
      <c r="G858" s="40" t="str" cm="1">
        <f t="array" ref="G858">IFERROR(_xlfn.LET(
_xlpm.CSVVal,_xlfn.XLOOKUP($A858,CSV!$A:$A,CSV!G:G,""),
_xlpm.MacVal,_xlfn.XLOOKUP($A858,Output_Mac!$A:$A,Output_Mac!F:F,""),
_xlpm.MyAuditVal,_xlfn.XLOOKUP($A858,My_Audit!$A:$A,My_Audit!F:F,""),
_xlfn.IFS(_xlpm.MyAuditVal&lt;&gt;"",_xlpm.MyAuditVal,_xlpm.MacVal&lt;&gt;"",_xlpm.MacVal,_xlpm.CSVVal&lt;&gt;"",PROPER(_xlpm.CSVVal)
)),"")</f>
        <v/>
      </c>
      <c r="H858" s="40" t="str" cm="1">
        <f t="array" ref="H858">IFERROR(_xlfn.LET(
_xlpm.CSVVal,_xlfn.XLOOKUP($A858,CSV!$A:$A,CSV!H:H,""),
_xlpm.MacVal,_xlfn.XLOOKUP($A858,Output_Mac!$A:$A,Output_Mac!H:H,""),
_xlpm.MyAuditVal,_xlfn.XLOOKUP($A858,My_Audit!$A:$A,My_Audit!G:G,""),
_xlfn.IFS(_xlpm.MyAuditVal&lt;&gt;"",_xlpm.MyAuditVal,_xlpm.MacVal&lt;&gt;"",_xlpm.MacVal,_xlpm.CSVVal&lt;&gt;"",_xlpm.CSVVal
)),"")</f>
        <v/>
      </c>
      <c r="I858" s="40" t="str">
        <f>_xlfn.XLOOKUP(A858,Output_Mac!A:A,Output_Mac!I:I,"")</f>
        <v/>
      </c>
      <c r="J858" s="40" t="str" cm="1">
        <f t="array" ref="J858">IFERROR(_xlfn.LET(
_xlpm.CSVVal,_xlfn.XLOOKUP($A858,CSV!$A:$A,CSV!I:I,""),
_xlpm.MacVal,_xlfn.XLOOKUP($A858,Output_Mac!$A:$A,Output_Mac!J:J,""),
_xlpm.MyAuditVal,_xlfn.XLOOKUP($A858,My_Audit!$A:$A,My_Audit!I:I,""),
_xlfn.IFS(_xlpm.MyAuditVal&lt;&gt;"",UPPER(_xlpm.MyAuditVal),_xlpm.MacVal&lt;&gt;"",_xlpm.MacVal,_xlpm.CSVVal&lt;&gt;"",_xlpm.CSVVal
)),"")</f>
        <v/>
      </c>
      <c r="K858" s="40" t="str" cm="1">
        <f t="array" ref="K858">IFERROR(_xlfn.LET(
_xlpm.CSVVal,_xlfn.XLOOKUP($A858,CSV!$A:$A,CSV!K:K,""),
_xlpm.MacVal,_xlfn.XLOOKUP($A858,Output_Mac!$A:$A,Output_Mac!K:K,""),
_xlpm.MyAuditVal,_xlfn.XLOOKUP($A858,My_Audit!$A:$A,My_Audit!J:J,""),
_xlfn.IFS(_xlpm.MyAuditVal&lt;&gt;"",UPPER(_xlpm.MyAuditVal),_xlpm.MacVal&lt;&gt;"",_xlpm.MacVal,_xlpm.CSVVal&lt;&gt;"",_xlpm.CSVVal
)),"")</f>
        <v/>
      </c>
      <c r="L858" s="40" t="str" cm="1">
        <f t="array" ref="L858">IFERROR(_xlfn.LET(
_xlpm.CSVVal,_xlfn.XLOOKUP($A858,CSV!$A:$A,CSV!P:P,""),
_xlpm.MacVal,_xlfn.XLOOKUP($A858,Output_Mac!$A:$A,Output_Mac!L:L,""),
_xlpm.MyAuditVal,_xlfn.XLOOKUP($A858,My_Audit!$A:$A,My_Audit!K:K,""),
_xlfn.IFS(_xlpm.MyAuditVal&lt;&gt;"",UPPER(_xlpm.MyAuditVal),_xlpm.MacVal&lt;&gt;"",_xlpm.MacVal,_xlpm.CSVVal&lt;&gt;"",_xlpm.CSVVal
)),"")</f>
        <v/>
      </c>
      <c r="M858" s="40" t="str" cm="1">
        <f t="array" ref="M858">IFERROR(_xlfn.LET(
_xlpm.CSVVal,_xlfn.XLOOKUP($A858,CSV!$A:$A,CSV!Q:Q,""),
_xlpm.MacVal,_xlfn.XLOOKUP($A858,Output_Mac!$A:$A,Output_Mac!M:M,""),
_xlpm.MyAuditVal,_xlfn.XLOOKUP($A858,My_Audit!$A:$A,My_Audit!L:L,""),
_xlfn.IFS(_xlpm.MyAuditVal&lt;&gt;"",UPPER(_xlpm.MyAuditVal),_xlpm.MacVal&lt;&gt;"",_xlpm.MacVal,_xlpm.CSVVal&lt;&gt;"",_xlpm.CSVVal
)),"")</f>
        <v/>
      </c>
      <c r="N858" s="40"/>
      <c r="O858" s="40" t="str">
        <f>_xlfn.LET(
    _xlpm.CSVVal, _xlfn.XLOOKUP($A858, CSV!$A:$A, CSV!AA:AA, ""),
    _xlpm.MacVal, _xlfn.XLOOKUP($A858, Output_Mac!$A:$A, Output_Mac!S:S, ""),
    _xlpm.MyAuditVal, _xlfn.XLOOKUP($A858, My_Audit!$A:$A, My_Audit!P:P, ""),
    _xlfn.TEXTJOIN(", ", TRUE, _xlpm.MyAuditVal, _xlpm.MacVal, _xlpm.CSVVal)
)</f>
        <v/>
      </c>
      <c r="P858" s="40" t="str" cm="1">
        <f t="array" ref="P858">IFERROR(_xlfn.LET(
_xlpm.CSVVal,_xlfn.XLOOKUP($A858,CSV!$A:$A,CSV!AB:AB,""),
_xlpm.MacVal,_xlfn.XLOOKUP($A858,Output_Mac!$A:$A,Output_Mac!T:T,""),
_xlpm.MyAuditVal,_xlfn.XLOOKUP($A858,My_Audit!$A:$A,My_Audit!Q:Q,""),
_xlfn.IFS(_xlpm.MyAuditVal&lt;&gt;"",UPPER(_xlpm.MyAuditVal),_xlpm.MacVal&lt;&gt;"",_xlpm.MacVal,_xlpm.CSVVal&lt;&gt;"",_xlpm.CSVVal
)),"No")</f>
        <v>No</v>
      </c>
      <c r="Q858" s="40" t="str" cm="1">
        <f t="array" ref="Q858">IFERROR(_xlfn.LET(
_xlpm.CSVVal,_xlfn.XLOOKUP($A858,CSV!$A:$A,CSV!AC:AC,""),
_xlpm.MacVal,_xlfn.XLOOKUP($A858,Output_Mac!$A:$A,Output_Mac!U:U,""),
_xlpm.MyAuditVal,_xlfn.XLOOKUP($A858,My_Audit!$A:$A,My_Audit!R:R,""),
_xlfn.IFS(_xlpm.MyAuditVal&lt;&gt;"",UPPER(_xlpm.MyAuditVal),_xlpm.MacVal&lt;&gt;"",_xlpm.MacVal,_xlpm.CSVVal&lt;&gt;"",_xlpm.CSVVal
)),"")</f>
        <v/>
      </c>
      <c r="R858" s="40"/>
      <c r="S858" s="40"/>
      <c r="T858" s="40"/>
      <c r="U858" s="40"/>
      <c r="V858" s="40"/>
      <c r="W858" s="40"/>
      <c r="X858" s="41" t="str">
        <f>_xlfn.LET(
    _xlpm.MacVal, _xlfn.XLOOKUP($A858, Output_Mac!$A:$A, Output_Mac!AB:AB, ""),
    _xlpm.MyAuditVal, _xlfn.XLOOKUP($A858, My_Audit!$A:$A, My_Audit!N:N, ""),
    _xlfn.TEXTJOIN(", ", TRUE, _xlpm.MyAuditVal, _xlpm.MacVal)
)</f>
        <v/>
      </c>
    </row>
    <row r="859" spans="1:24">
      <c r="A859" s="40" t="str">
        <f>_xlfn.TEXTJOIN("",TRUE,Input!$B$2,ROW(My_Audit!A858))</f>
        <v>X858</v>
      </c>
      <c r="B859" s="40" t="str">
        <f>_xlfn.TEXTJOIN("-",TRUE,"ITD",Input!$A$2,A859)</f>
        <v>ITD-X858</v>
      </c>
      <c r="C859" s="40" t="str" cm="1">
        <f t="array" ref="C859">IFERROR(_xlfn.LET(
_xlpm.CSVVal,_xlfn.XLOOKUP($A859,CSV!$A:$A,CSV!B:B,""),
_xlpm.MacVal,_xlfn.XLOOKUP($A859,Output_Mac!$A:$A,Output_Mac!B:B,""),
_xlpm.MyAuditVal,_xlfn.XLOOKUP($A859,My_Audit!$A:$A,My_Audit!B:B,""),
_xlfn.IFS(_xlpm.MyAuditVal&lt;&gt;"",UPPER(_xlpm.MyAuditVal),_xlpm.MacVal&lt;&gt;"",_xlpm.MacVal,_xlpm.CSVVal&lt;&gt;"",_xlpm.CSVVal
)),"")</f>
        <v/>
      </c>
      <c r="D859" s="40" t="str" cm="1">
        <f t="array" ref="D859">IFERROR(_xlfn.LET(
_xlpm.CSVVal,_xlfn.XLOOKUP($A859,CSV!$A:$A,CSV!D:D,""),
_xlpm.MacVal,_xlfn.XLOOKUP($A859,Output_Mac!$A:$A,Output_Mac!C:C,""),
_xlpm.MyAuditVal,_xlfn.XLOOKUP($A859,My_Audit!$A:$A,My_Audit!C:C,""),
_xlfn.IFS(_xlpm.MyAuditVal&lt;&gt;"",_xlpm.MyAuditVal,_xlpm.MacVal&lt;&gt;"",_xlpm.MacVal,_xlpm.CSVVal&lt;&gt;"",_xlpm.CSVVal
)),"")</f>
        <v/>
      </c>
      <c r="E859" s="40" t="str">
        <f>_xlfn.XLOOKUP(A859,My_Audit!A:A,My_Audit!D:D,"")</f>
        <v/>
      </c>
      <c r="F859" s="40" t="str" cm="1">
        <f t="array" ref="F859">IFERROR(_xlfn.LET(
_xlpm.CSVVal,_xlfn.XLOOKUP($A859,CSV!$A:$A,CSV!F:F,""),
_xlpm.MacVal,_xlfn.XLOOKUP($A859,Output_Mac!$A:$A,Output_Mac!E:E,""),
_xlpm.MyAuditVal,_xlfn.XLOOKUP($A859,My_Audit!$A:$A,My_Audit!E:E,""),
_xlfn.IFS(_xlpm.MyAuditVal&lt;&gt;"",_xlpm.MyAuditVal,_xlpm.MacVal&lt;&gt;"",_xlpm.MacVal,_xlpm.CSVVal&lt;&gt;"",_xlpm.CSVVal
)),"")</f>
        <v/>
      </c>
      <c r="G859" s="40" t="str" cm="1">
        <f t="array" ref="G859">IFERROR(_xlfn.LET(
_xlpm.CSVVal,_xlfn.XLOOKUP($A859,CSV!$A:$A,CSV!G:G,""),
_xlpm.MacVal,_xlfn.XLOOKUP($A859,Output_Mac!$A:$A,Output_Mac!F:F,""),
_xlpm.MyAuditVal,_xlfn.XLOOKUP($A859,My_Audit!$A:$A,My_Audit!F:F,""),
_xlfn.IFS(_xlpm.MyAuditVal&lt;&gt;"",_xlpm.MyAuditVal,_xlpm.MacVal&lt;&gt;"",_xlpm.MacVal,_xlpm.CSVVal&lt;&gt;"",PROPER(_xlpm.CSVVal)
)),"")</f>
        <v/>
      </c>
      <c r="H859" s="40" t="str" cm="1">
        <f t="array" ref="H859">IFERROR(_xlfn.LET(
_xlpm.CSVVal,_xlfn.XLOOKUP($A859,CSV!$A:$A,CSV!H:H,""),
_xlpm.MacVal,_xlfn.XLOOKUP($A859,Output_Mac!$A:$A,Output_Mac!H:H,""),
_xlpm.MyAuditVal,_xlfn.XLOOKUP($A859,My_Audit!$A:$A,My_Audit!G:G,""),
_xlfn.IFS(_xlpm.MyAuditVal&lt;&gt;"",_xlpm.MyAuditVal,_xlpm.MacVal&lt;&gt;"",_xlpm.MacVal,_xlpm.CSVVal&lt;&gt;"",_xlpm.CSVVal
)),"")</f>
        <v/>
      </c>
      <c r="I859" s="40" t="str">
        <f>_xlfn.XLOOKUP(A859,Output_Mac!A:A,Output_Mac!I:I,"")</f>
        <v/>
      </c>
      <c r="J859" s="40" t="str" cm="1">
        <f t="array" ref="J859">IFERROR(_xlfn.LET(
_xlpm.CSVVal,_xlfn.XLOOKUP($A859,CSV!$A:$A,CSV!I:I,""),
_xlpm.MacVal,_xlfn.XLOOKUP($A859,Output_Mac!$A:$A,Output_Mac!J:J,""),
_xlpm.MyAuditVal,_xlfn.XLOOKUP($A859,My_Audit!$A:$A,My_Audit!I:I,""),
_xlfn.IFS(_xlpm.MyAuditVal&lt;&gt;"",UPPER(_xlpm.MyAuditVal),_xlpm.MacVal&lt;&gt;"",_xlpm.MacVal,_xlpm.CSVVal&lt;&gt;"",_xlpm.CSVVal
)),"")</f>
        <v/>
      </c>
      <c r="K859" s="40" t="str" cm="1">
        <f t="array" ref="K859">IFERROR(_xlfn.LET(
_xlpm.CSVVal,_xlfn.XLOOKUP($A859,CSV!$A:$A,CSV!K:K,""),
_xlpm.MacVal,_xlfn.XLOOKUP($A859,Output_Mac!$A:$A,Output_Mac!K:K,""),
_xlpm.MyAuditVal,_xlfn.XLOOKUP($A859,My_Audit!$A:$A,My_Audit!J:J,""),
_xlfn.IFS(_xlpm.MyAuditVal&lt;&gt;"",UPPER(_xlpm.MyAuditVal),_xlpm.MacVal&lt;&gt;"",_xlpm.MacVal,_xlpm.CSVVal&lt;&gt;"",_xlpm.CSVVal
)),"")</f>
        <v/>
      </c>
      <c r="L859" s="40" t="str" cm="1">
        <f t="array" ref="L859">IFERROR(_xlfn.LET(
_xlpm.CSVVal,_xlfn.XLOOKUP($A859,CSV!$A:$A,CSV!P:P,""),
_xlpm.MacVal,_xlfn.XLOOKUP($A859,Output_Mac!$A:$A,Output_Mac!L:L,""),
_xlpm.MyAuditVal,_xlfn.XLOOKUP($A859,My_Audit!$A:$A,My_Audit!K:K,""),
_xlfn.IFS(_xlpm.MyAuditVal&lt;&gt;"",UPPER(_xlpm.MyAuditVal),_xlpm.MacVal&lt;&gt;"",_xlpm.MacVal,_xlpm.CSVVal&lt;&gt;"",_xlpm.CSVVal
)),"")</f>
        <v/>
      </c>
      <c r="M859" s="40" t="str" cm="1">
        <f t="array" ref="M859">IFERROR(_xlfn.LET(
_xlpm.CSVVal,_xlfn.XLOOKUP($A859,CSV!$A:$A,CSV!Q:Q,""),
_xlpm.MacVal,_xlfn.XLOOKUP($A859,Output_Mac!$A:$A,Output_Mac!M:M,""),
_xlpm.MyAuditVal,_xlfn.XLOOKUP($A859,My_Audit!$A:$A,My_Audit!L:L,""),
_xlfn.IFS(_xlpm.MyAuditVal&lt;&gt;"",UPPER(_xlpm.MyAuditVal),_xlpm.MacVal&lt;&gt;"",_xlpm.MacVal,_xlpm.CSVVal&lt;&gt;"",_xlpm.CSVVal
)),"")</f>
        <v/>
      </c>
      <c r="N859" s="40"/>
      <c r="O859" s="40" t="str">
        <f>_xlfn.LET(
    _xlpm.CSVVal, _xlfn.XLOOKUP($A859, CSV!$A:$A, CSV!AA:AA, ""),
    _xlpm.MacVal, _xlfn.XLOOKUP($A859, Output_Mac!$A:$A, Output_Mac!S:S, ""),
    _xlpm.MyAuditVal, _xlfn.XLOOKUP($A859, My_Audit!$A:$A, My_Audit!P:P, ""),
    _xlfn.TEXTJOIN(", ", TRUE, _xlpm.MyAuditVal, _xlpm.MacVal, _xlpm.CSVVal)
)</f>
        <v/>
      </c>
      <c r="P859" s="40" t="str" cm="1">
        <f t="array" ref="P859">IFERROR(_xlfn.LET(
_xlpm.CSVVal,_xlfn.XLOOKUP($A859,CSV!$A:$A,CSV!AB:AB,""),
_xlpm.MacVal,_xlfn.XLOOKUP($A859,Output_Mac!$A:$A,Output_Mac!T:T,""),
_xlpm.MyAuditVal,_xlfn.XLOOKUP($A859,My_Audit!$A:$A,My_Audit!Q:Q,""),
_xlfn.IFS(_xlpm.MyAuditVal&lt;&gt;"",UPPER(_xlpm.MyAuditVal),_xlpm.MacVal&lt;&gt;"",_xlpm.MacVal,_xlpm.CSVVal&lt;&gt;"",_xlpm.CSVVal
)),"No")</f>
        <v>No</v>
      </c>
      <c r="Q859" s="40" t="str" cm="1">
        <f t="array" ref="Q859">IFERROR(_xlfn.LET(
_xlpm.CSVVal,_xlfn.XLOOKUP($A859,CSV!$A:$A,CSV!AC:AC,""),
_xlpm.MacVal,_xlfn.XLOOKUP($A859,Output_Mac!$A:$A,Output_Mac!U:U,""),
_xlpm.MyAuditVal,_xlfn.XLOOKUP($A859,My_Audit!$A:$A,My_Audit!R:R,""),
_xlfn.IFS(_xlpm.MyAuditVal&lt;&gt;"",UPPER(_xlpm.MyAuditVal),_xlpm.MacVal&lt;&gt;"",_xlpm.MacVal,_xlpm.CSVVal&lt;&gt;"",_xlpm.CSVVal
)),"")</f>
        <v/>
      </c>
      <c r="R859" s="40"/>
      <c r="S859" s="40"/>
      <c r="T859" s="40"/>
      <c r="U859" s="40"/>
      <c r="V859" s="40"/>
      <c r="W859" s="40"/>
      <c r="X859" s="41" t="str">
        <f>_xlfn.LET(
    _xlpm.MacVal, _xlfn.XLOOKUP($A859, Output_Mac!$A:$A, Output_Mac!AB:AB, ""),
    _xlpm.MyAuditVal, _xlfn.XLOOKUP($A859, My_Audit!$A:$A, My_Audit!N:N, ""),
    _xlfn.TEXTJOIN(", ", TRUE, _xlpm.MyAuditVal, _xlpm.MacVal)
)</f>
        <v/>
      </c>
    </row>
    <row r="860" spans="1:24">
      <c r="A860" s="40" t="str">
        <f>_xlfn.TEXTJOIN("",TRUE,Input!$B$2,ROW(My_Audit!A859))</f>
        <v>X859</v>
      </c>
      <c r="B860" s="40" t="str">
        <f>_xlfn.TEXTJOIN("-",TRUE,"ITD",Input!$A$2,A860)</f>
        <v>ITD-X859</v>
      </c>
      <c r="C860" s="40" t="str" cm="1">
        <f t="array" ref="C860">IFERROR(_xlfn.LET(
_xlpm.CSVVal,_xlfn.XLOOKUP($A860,CSV!$A:$A,CSV!B:B,""),
_xlpm.MacVal,_xlfn.XLOOKUP($A860,Output_Mac!$A:$A,Output_Mac!B:B,""),
_xlpm.MyAuditVal,_xlfn.XLOOKUP($A860,My_Audit!$A:$A,My_Audit!B:B,""),
_xlfn.IFS(_xlpm.MyAuditVal&lt;&gt;"",UPPER(_xlpm.MyAuditVal),_xlpm.MacVal&lt;&gt;"",_xlpm.MacVal,_xlpm.CSVVal&lt;&gt;"",_xlpm.CSVVal
)),"")</f>
        <v/>
      </c>
      <c r="D860" s="40" t="str" cm="1">
        <f t="array" ref="D860">IFERROR(_xlfn.LET(
_xlpm.CSVVal,_xlfn.XLOOKUP($A860,CSV!$A:$A,CSV!D:D,""),
_xlpm.MacVal,_xlfn.XLOOKUP($A860,Output_Mac!$A:$A,Output_Mac!C:C,""),
_xlpm.MyAuditVal,_xlfn.XLOOKUP($A860,My_Audit!$A:$A,My_Audit!C:C,""),
_xlfn.IFS(_xlpm.MyAuditVal&lt;&gt;"",_xlpm.MyAuditVal,_xlpm.MacVal&lt;&gt;"",_xlpm.MacVal,_xlpm.CSVVal&lt;&gt;"",_xlpm.CSVVal
)),"")</f>
        <v/>
      </c>
      <c r="E860" s="40" t="str">
        <f>_xlfn.XLOOKUP(A860,My_Audit!A:A,My_Audit!D:D,"")</f>
        <v/>
      </c>
      <c r="F860" s="40" t="str" cm="1">
        <f t="array" ref="F860">IFERROR(_xlfn.LET(
_xlpm.CSVVal,_xlfn.XLOOKUP($A860,CSV!$A:$A,CSV!F:F,""),
_xlpm.MacVal,_xlfn.XLOOKUP($A860,Output_Mac!$A:$A,Output_Mac!E:E,""),
_xlpm.MyAuditVal,_xlfn.XLOOKUP($A860,My_Audit!$A:$A,My_Audit!E:E,""),
_xlfn.IFS(_xlpm.MyAuditVal&lt;&gt;"",_xlpm.MyAuditVal,_xlpm.MacVal&lt;&gt;"",_xlpm.MacVal,_xlpm.CSVVal&lt;&gt;"",_xlpm.CSVVal
)),"")</f>
        <v/>
      </c>
      <c r="G860" s="40" t="str" cm="1">
        <f t="array" ref="G860">IFERROR(_xlfn.LET(
_xlpm.CSVVal,_xlfn.XLOOKUP($A860,CSV!$A:$A,CSV!G:G,""),
_xlpm.MacVal,_xlfn.XLOOKUP($A860,Output_Mac!$A:$A,Output_Mac!F:F,""),
_xlpm.MyAuditVal,_xlfn.XLOOKUP($A860,My_Audit!$A:$A,My_Audit!F:F,""),
_xlfn.IFS(_xlpm.MyAuditVal&lt;&gt;"",_xlpm.MyAuditVal,_xlpm.MacVal&lt;&gt;"",_xlpm.MacVal,_xlpm.CSVVal&lt;&gt;"",PROPER(_xlpm.CSVVal)
)),"")</f>
        <v/>
      </c>
      <c r="H860" s="40" t="str" cm="1">
        <f t="array" ref="H860">IFERROR(_xlfn.LET(
_xlpm.CSVVal,_xlfn.XLOOKUP($A860,CSV!$A:$A,CSV!H:H,""),
_xlpm.MacVal,_xlfn.XLOOKUP($A860,Output_Mac!$A:$A,Output_Mac!H:H,""),
_xlpm.MyAuditVal,_xlfn.XLOOKUP($A860,My_Audit!$A:$A,My_Audit!G:G,""),
_xlfn.IFS(_xlpm.MyAuditVal&lt;&gt;"",_xlpm.MyAuditVal,_xlpm.MacVal&lt;&gt;"",_xlpm.MacVal,_xlpm.CSVVal&lt;&gt;"",_xlpm.CSVVal
)),"")</f>
        <v/>
      </c>
      <c r="I860" s="40" t="str">
        <f>_xlfn.XLOOKUP(A860,Output_Mac!A:A,Output_Mac!I:I,"")</f>
        <v/>
      </c>
      <c r="J860" s="40" t="str" cm="1">
        <f t="array" ref="J860">IFERROR(_xlfn.LET(
_xlpm.CSVVal,_xlfn.XLOOKUP($A860,CSV!$A:$A,CSV!I:I,""),
_xlpm.MacVal,_xlfn.XLOOKUP($A860,Output_Mac!$A:$A,Output_Mac!J:J,""),
_xlpm.MyAuditVal,_xlfn.XLOOKUP($A860,My_Audit!$A:$A,My_Audit!I:I,""),
_xlfn.IFS(_xlpm.MyAuditVal&lt;&gt;"",UPPER(_xlpm.MyAuditVal),_xlpm.MacVal&lt;&gt;"",_xlpm.MacVal,_xlpm.CSVVal&lt;&gt;"",_xlpm.CSVVal
)),"")</f>
        <v/>
      </c>
      <c r="K860" s="40" t="str" cm="1">
        <f t="array" ref="K860">IFERROR(_xlfn.LET(
_xlpm.CSVVal,_xlfn.XLOOKUP($A860,CSV!$A:$A,CSV!K:K,""),
_xlpm.MacVal,_xlfn.XLOOKUP($A860,Output_Mac!$A:$A,Output_Mac!K:K,""),
_xlpm.MyAuditVal,_xlfn.XLOOKUP($A860,My_Audit!$A:$A,My_Audit!J:J,""),
_xlfn.IFS(_xlpm.MyAuditVal&lt;&gt;"",UPPER(_xlpm.MyAuditVal),_xlpm.MacVal&lt;&gt;"",_xlpm.MacVal,_xlpm.CSVVal&lt;&gt;"",_xlpm.CSVVal
)),"")</f>
        <v/>
      </c>
      <c r="L860" s="40" t="str" cm="1">
        <f t="array" ref="L860">IFERROR(_xlfn.LET(
_xlpm.CSVVal,_xlfn.XLOOKUP($A860,CSV!$A:$A,CSV!P:P,""),
_xlpm.MacVal,_xlfn.XLOOKUP($A860,Output_Mac!$A:$A,Output_Mac!L:L,""),
_xlpm.MyAuditVal,_xlfn.XLOOKUP($A860,My_Audit!$A:$A,My_Audit!K:K,""),
_xlfn.IFS(_xlpm.MyAuditVal&lt;&gt;"",UPPER(_xlpm.MyAuditVal),_xlpm.MacVal&lt;&gt;"",_xlpm.MacVal,_xlpm.CSVVal&lt;&gt;"",_xlpm.CSVVal
)),"")</f>
        <v/>
      </c>
      <c r="M860" s="40" t="str" cm="1">
        <f t="array" ref="M860">IFERROR(_xlfn.LET(
_xlpm.CSVVal,_xlfn.XLOOKUP($A860,CSV!$A:$A,CSV!Q:Q,""),
_xlpm.MacVal,_xlfn.XLOOKUP($A860,Output_Mac!$A:$A,Output_Mac!M:M,""),
_xlpm.MyAuditVal,_xlfn.XLOOKUP($A860,My_Audit!$A:$A,My_Audit!L:L,""),
_xlfn.IFS(_xlpm.MyAuditVal&lt;&gt;"",UPPER(_xlpm.MyAuditVal),_xlpm.MacVal&lt;&gt;"",_xlpm.MacVal,_xlpm.CSVVal&lt;&gt;"",_xlpm.CSVVal
)),"")</f>
        <v/>
      </c>
      <c r="N860" s="40"/>
      <c r="O860" s="40" t="str">
        <f>_xlfn.LET(
    _xlpm.CSVVal, _xlfn.XLOOKUP($A860, CSV!$A:$A, CSV!AA:AA, ""),
    _xlpm.MacVal, _xlfn.XLOOKUP($A860, Output_Mac!$A:$A, Output_Mac!S:S, ""),
    _xlpm.MyAuditVal, _xlfn.XLOOKUP($A860, My_Audit!$A:$A, My_Audit!P:P, ""),
    _xlfn.TEXTJOIN(", ", TRUE, _xlpm.MyAuditVal, _xlpm.MacVal, _xlpm.CSVVal)
)</f>
        <v/>
      </c>
      <c r="P860" s="40" t="str" cm="1">
        <f t="array" ref="P860">IFERROR(_xlfn.LET(
_xlpm.CSVVal,_xlfn.XLOOKUP($A860,CSV!$A:$A,CSV!AB:AB,""),
_xlpm.MacVal,_xlfn.XLOOKUP($A860,Output_Mac!$A:$A,Output_Mac!T:T,""),
_xlpm.MyAuditVal,_xlfn.XLOOKUP($A860,My_Audit!$A:$A,My_Audit!Q:Q,""),
_xlfn.IFS(_xlpm.MyAuditVal&lt;&gt;"",UPPER(_xlpm.MyAuditVal),_xlpm.MacVal&lt;&gt;"",_xlpm.MacVal,_xlpm.CSVVal&lt;&gt;"",_xlpm.CSVVal
)),"No")</f>
        <v>No</v>
      </c>
      <c r="Q860" s="40" t="str" cm="1">
        <f t="array" ref="Q860">IFERROR(_xlfn.LET(
_xlpm.CSVVal,_xlfn.XLOOKUP($A860,CSV!$A:$A,CSV!AC:AC,""),
_xlpm.MacVal,_xlfn.XLOOKUP($A860,Output_Mac!$A:$A,Output_Mac!U:U,""),
_xlpm.MyAuditVal,_xlfn.XLOOKUP($A860,My_Audit!$A:$A,My_Audit!R:R,""),
_xlfn.IFS(_xlpm.MyAuditVal&lt;&gt;"",UPPER(_xlpm.MyAuditVal),_xlpm.MacVal&lt;&gt;"",_xlpm.MacVal,_xlpm.CSVVal&lt;&gt;"",_xlpm.CSVVal
)),"")</f>
        <v/>
      </c>
      <c r="R860" s="40"/>
      <c r="S860" s="40"/>
      <c r="T860" s="40"/>
      <c r="U860" s="40"/>
      <c r="V860" s="40"/>
      <c r="W860" s="40"/>
      <c r="X860" s="41" t="str">
        <f>_xlfn.LET(
    _xlpm.MacVal, _xlfn.XLOOKUP($A860, Output_Mac!$A:$A, Output_Mac!AB:AB, ""),
    _xlpm.MyAuditVal, _xlfn.XLOOKUP($A860, My_Audit!$A:$A, My_Audit!N:N, ""),
    _xlfn.TEXTJOIN(", ", TRUE, _xlpm.MyAuditVal, _xlpm.MacVal)
)</f>
        <v/>
      </c>
    </row>
    <row r="861" spans="1:24">
      <c r="A861" s="40" t="str">
        <f>_xlfn.TEXTJOIN("",TRUE,Input!$B$2,ROW(My_Audit!A860))</f>
        <v>X860</v>
      </c>
      <c r="B861" s="40" t="str">
        <f>_xlfn.TEXTJOIN("-",TRUE,"ITD",Input!$A$2,A861)</f>
        <v>ITD-X860</v>
      </c>
      <c r="C861" s="40" t="str" cm="1">
        <f t="array" ref="C861">IFERROR(_xlfn.LET(
_xlpm.CSVVal,_xlfn.XLOOKUP($A861,CSV!$A:$A,CSV!B:B,""),
_xlpm.MacVal,_xlfn.XLOOKUP($A861,Output_Mac!$A:$A,Output_Mac!B:B,""),
_xlpm.MyAuditVal,_xlfn.XLOOKUP($A861,My_Audit!$A:$A,My_Audit!B:B,""),
_xlfn.IFS(_xlpm.MyAuditVal&lt;&gt;"",UPPER(_xlpm.MyAuditVal),_xlpm.MacVal&lt;&gt;"",_xlpm.MacVal,_xlpm.CSVVal&lt;&gt;"",_xlpm.CSVVal
)),"")</f>
        <v/>
      </c>
      <c r="D861" s="40" t="str" cm="1">
        <f t="array" ref="D861">IFERROR(_xlfn.LET(
_xlpm.CSVVal,_xlfn.XLOOKUP($A861,CSV!$A:$A,CSV!D:D,""),
_xlpm.MacVal,_xlfn.XLOOKUP($A861,Output_Mac!$A:$A,Output_Mac!C:C,""),
_xlpm.MyAuditVal,_xlfn.XLOOKUP($A861,My_Audit!$A:$A,My_Audit!C:C,""),
_xlfn.IFS(_xlpm.MyAuditVal&lt;&gt;"",_xlpm.MyAuditVal,_xlpm.MacVal&lt;&gt;"",_xlpm.MacVal,_xlpm.CSVVal&lt;&gt;"",_xlpm.CSVVal
)),"")</f>
        <v/>
      </c>
      <c r="E861" s="40" t="str">
        <f>_xlfn.XLOOKUP(A861,My_Audit!A:A,My_Audit!D:D,"")</f>
        <v/>
      </c>
      <c r="F861" s="40" t="str" cm="1">
        <f t="array" ref="F861">IFERROR(_xlfn.LET(
_xlpm.CSVVal,_xlfn.XLOOKUP($A861,CSV!$A:$A,CSV!F:F,""),
_xlpm.MacVal,_xlfn.XLOOKUP($A861,Output_Mac!$A:$A,Output_Mac!E:E,""),
_xlpm.MyAuditVal,_xlfn.XLOOKUP($A861,My_Audit!$A:$A,My_Audit!E:E,""),
_xlfn.IFS(_xlpm.MyAuditVal&lt;&gt;"",_xlpm.MyAuditVal,_xlpm.MacVal&lt;&gt;"",_xlpm.MacVal,_xlpm.CSVVal&lt;&gt;"",_xlpm.CSVVal
)),"")</f>
        <v/>
      </c>
      <c r="G861" s="40" t="str" cm="1">
        <f t="array" ref="G861">IFERROR(_xlfn.LET(
_xlpm.CSVVal,_xlfn.XLOOKUP($A861,CSV!$A:$A,CSV!G:G,""),
_xlpm.MacVal,_xlfn.XLOOKUP($A861,Output_Mac!$A:$A,Output_Mac!F:F,""),
_xlpm.MyAuditVal,_xlfn.XLOOKUP($A861,My_Audit!$A:$A,My_Audit!F:F,""),
_xlfn.IFS(_xlpm.MyAuditVal&lt;&gt;"",_xlpm.MyAuditVal,_xlpm.MacVal&lt;&gt;"",_xlpm.MacVal,_xlpm.CSVVal&lt;&gt;"",PROPER(_xlpm.CSVVal)
)),"")</f>
        <v/>
      </c>
      <c r="H861" s="40" t="str" cm="1">
        <f t="array" ref="H861">IFERROR(_xlfn.LET(
_xlpm.CSVVal,_xlfn.XLOOKUP($A861,CSV!$A:$A,CSV!H:H,""),
_xlpm.MacVal,_xlfn.XLOOKUP($A861,Output_Mac!$A:$A,Output_Mac!H:H,""),
_xlpm.MyAuditVal,_xlfn.XLOOKUP($A861,My_Audit!$A:$A,My_Audit!G:G,""),
_xlfn.IFS(_xlpm.MyAuditVal&lt;&gt;"",_xlpm.MyAuditVal,_xlpm.MacVal&lt;&gt;"",_xlpm.MacVal,_xlpm.CSVVal&lt;&gt;"",_xlpm.CSVVal
)),"")</f>
        <v/>
      </c>
      <c r="I861" s="40" t="str">
        <f>_xlfn.XLOOKUP(A861,Output_Mac!A:A,Output_Mac!I:I,"")</f>
        <v/>
      </c>
      <c r="J861" s="40" t="str" cm="1">
        <f t="array" ref="J861">IFERROR(_xlfn.LET(
_xlpm.CSVVal,_xlfn.XLOOKUP($A861,CSV!$A:$A,CSV!I:I,""),
_xlpm.MacVal,_xlfn.XLOOKUP($A861,Output_Mac!$A:$A,Output_Mac!J:J,""),
_xlpm.MyAuditVal,_xlfn.XLOOKUP($A861,My_Audit!$A:$A,My_Audit!I:I,""),
_xlfn.IFS(_xlpm.MyAuditVal&lt;&gt;"",UPPER(_xlpm.MyAuditVal),_xlpm.MacVal&lt;&gt;"",_xlpm.MacVal,_xlpm.CSVVal&lt;&gt;"",_xlpm.CSVVal
)),"")</f>
        <v/>
      </c>
      <c r="K861" s="40" t="str" cm="1">
        <f t="array" ref="K861">IFERROR(_xlfn.LET(
_xlpm.CSVVal,_xlfn.XLOOKUP($A861,CSV!$A:$A,CSV!K:K,""),
_xlpm.MacVal,_xlfn.XLOOKUP($A861,Output_Mac!$A:$A,Output_Mac!K:K,""),
_xlpm.MyAuditVal,_xlfn.XLOOKUP($A861,My_Audit!$A:$A,My_Audit!J:J,""),
_xlfn.IFS(_xlpm.MyAuditVal&lt;&gt;"",UPPER(_xlpm.MyAuditVal),_xlpm.MacVal&lt;&gt;"",_xlpm.MacVal,_xlpm.CSVVal&lt;&gt;"",_xlpm.CSVVal
)),"")</f>
        <v/>
      </c>
      <c r="L861" s="40" t="str" cm="1">
        <f t="array" ref="L861">IFERROR(_xlfn.LET(
_xlpm.CSVVal,_xlfn.XLOOKUP($A861,CSV!$A:$A,CSV!P:P,""),
_xlpm.MacVal,_xlfn.XLOOKUP($A861,Output_Mac!$A:$A,Output_Mac!L:L,""),
_xlpm.MyAuditVal,_xlfn.XLOOKUP($A861,My_Audit!$A:$A,My_Audit!K:K,""),
_xlfn.IFS(_xlpm.MyAuditVal&lt;&gt;"",UPPER(_xlpm.MyAuditVal),_xlpm.MacVal&lt;&gt;"",_xlpm.MacVal,_xlpm.CSVVal&lt;&gt;"",_xlpm.CSVVal
)),"")</f>
        <v/>
      </c>
      <c r="M861" s="40" t="str" cm="1">
        <f t="array" ref="M861">IFERROR(_xlfn.LET(
_xlpm.CSVVal,_xlfn.XLOOKUP($A861,CSV!$A:$A,CSV!Q:Q,""),
_xlpm.MacVal,_xlfn.XLOOKUP($A861,Output_Mac!$A:$A,Output_Mac!M:M,""),
_xlpm.MyAuditVal,_xlfn.XLOOKUP($A861,My_Audit!$A:$A,My_Audit!L:L,""),
_xlfn.IFS(_xlpm.MyAuditVal&lt;&gt;"",UPPER(_xlpm.MyAuditVal),_xlpm.MacVal&lt;&gt;"",_xlpm.MacVal,_xlpm.CSVVal&lt;&gt;"",_xlpm.CSVVal
)),"")</f>
        <v/>
      </c>
      <c r="N861" s="40"/>
      <c r="O861" s="40" t="str">
        <f>_xlfn.LET(
    _xlpm.CSVVal, _xlfn.XLOOKUP($A861, CSV!$A:$A, CSV!AA:AA, ""),
    _xlpm.MacVal, _xlfn.XLOOKUP($A861, Output_Mac!$A:$A, Output_Mac!S:S, ""),
    _xlpm.MyAuditVal, _xlfn.XLOOKUP($A861, My_Audit!$A:$A, My_Audit!P:P, ""),
    _xlfn.TEXTJOIN(", ", TRUE, _xlpm.MyAuditVal, _xlpm.MacVal, _xlpm.CSVVal)
)</f>
        <v/>
      </c>
      <c r="P861" s="40" t="str" cm="1">
        <f t="array" ref="P861">IFERROR(_xlfn.LET(
_xlpm.CSVVal,_xlfn.XLOOKUP($A861,CSV!$A:$A,CSV!AB:AB,""),
_xlpm.MacVal,_xlfn.XLOOKUP($A861,Output_Mac!$A:$A,Output_Mac!T:T,""),
_xlpm.MyAuditVal,_xlfn.XLOOKUP($A861,My_Audit!$A:$A,My_Audit!Q:Q,""),
_xlfn.IFS(_xlpm.MyAuditVal&lt;&gt;"",UPPER(_xlpm.MyAuditVal),_xlpm.MacVal&lt;&gt;"",_xlpm.MacVal,_xlpm.CSVVal&lt;&gt;"",_xlpm.CSVVal
)),"No")</f>
        <v>No</v>
      </c>
      <c r="Q861" s="40" t="str" cm="1">
        <f t="array" ref="Q861">IFERROR(_xlfn.LET(
_xlpm.CSVVal,_xlfn.XLOOKUP($A861,CSV!$A:$A,CSV!AC:AC,""),
_xlpm.MacVal,_xlfn.XLOOKUP($A861,Output_Mac!$A:$A,Output_Mac!U:U,""),
_xlpm.MyAuditVal,_xlfn.XLOOKUP($A861,My_Audit!$A:$A,My_Audit!R:R,""),
_xlfn.IFS(_xlpm.MyAuditVal&lt;&gt;"",UPPER(_xlpm.MyAuditVal),_xlpm.MacVal&lt;&gt;"",_xlpm.MacVal,_xlpm.CSVVal&lt;&gt;"",_xlpm.CSVVal
)),"")</f>
        <v/>
      </c>
      <c r="R861" s="40"/>
      <c r="S861" s="40"/>
      <c r="T861" s="40"/>
      <c r="U861" s="40"/>
      <c r="V861" s="40"/>
      <c r="W861" s="40"/>
      <c r="X861" s="41" t="str">
        <f>_xlfn.LET(
    _xlpm.MacVal, _xlfn.XLOOKUP($A861, Output_Mac!$A:$A, Output_Mac!AB:AB, ""),
    _xlpm.MyAuditVal, _xlfn.XLOOKUP($A861, My_Audit!$A:$A, My_Audit!N:N, ""),
    _xlfn.TEXTJOIN(", ", TRUE, _xlpm.MyAuditVal, _xlpm.MacVal)
)</f>
        <v/>
      </c>
    </row>
    <row r="862" spans="1:24">
      <c r="A862" s="40" t="str">
        <f>_xlfn.TEXTJOIN("",TRUE,Input!$B$2,ROW(My_Audit!A861))</f>
        <v>X861</v>
      </c>
      <c r="B862" s="40" t="str">
        <f>_xlfn.TEXTJOIN("-",TRUE,"ITD",Input!$A$2,A862)</f>
        <v>ITD-X861</v>
      </c>
      <c r="C862" s="40" t="str" cm="1">
        <f t="array" ref="C862">IFERROR(_xlfn.LET(
_xlpm.CSVVal,_xlfn.XLOOKUP($A862,CSV!$A:$A,CSV!B:B,""),
_xlpm.MacVal,_xlfn.XLOOKUP($A862,Output_Mac!$A:$A,Output_Mac!B:B,""),
_xlpm.MyAuditVal,_xlfn.XLOOKUP($A862,My_Audit!$A:$A,My_Audit!B:B,""),
_xlfn.IFS(_xlpm.MyAuditVal&lt;&gt;"",UPPER(_xlpm.MyAuditVal),_xlpm.MacVal&lt;&gt;"",_xlpm.MacVal,_xlpm.CSVVal&lt;&gt;"",_xlpm.CSVVal
)),"")</f>
        <v/>
      </c>
      <c r="D862" s="40" t="str" cm="1">
        <f t="array" ref="D862">IFERROR(_xlfn.LET(
_xlpm.CSVVal,_xlfn.XLOOKUP($A862,CSV!$A:$A,CSV!D:D,""),
_xlpm.MacVal,_xlfn.XLOOKUP($A862,Output_Mac!$A:$A,Output_Mac!C:C,""),
_xlpm.MyAuditVal,_xlfn.XLOOKUP($A862,My_Audit!$A:$A,My_Audit!C:C,""),
_xlfn.IFS(_xlpm.MyAuditVal&lt;&gt;"",_xlpm.MyAuditVal,_xlpm.MacVal&lt;&gt;"",_xlpm.MacVal,_xlpm.CSVVal&lt;&gt;"",_xlpm.CSVVal
)),"")</f>
        <v/>
      </c>
      <c r="E862" s="40" t="str">
        <f>_xlfn.XLOOKUP(A862,My_Audit!A:A,My_Audit!D:D,"")</f>
        <v/>
      </c>
      <c r="F862" s="40" t="str" cm="1">
        <f t="array" ref="F862">IFERROR(_xlfn.LET(
_xlpm.CSVVal,_xlfn.XLOOKUP($A862,CSV!$A:$A,CSV!F:F,""),
_xlpm.MacVal,_xlfn.XLOOKUP($A862,Output_Mac!$A:$A,Output_Mac!E:E,""),
_xlpm.MyAuditVal,_xlfn.XLOOKUP($A862,My_Audit!$A:$A,My_Audit!E:E,""),
_xlfn.IFS(_xlpm.MyAuditVal&lt;&gt;"",_xlpm.MyAuditVal,_xlpm.MacVal&lt;&gt;"",_xlpm.MacVal,_xlpm.CSVVal&lt;&gt;"",_xlpm.CSVVal
)),"")</f>
        <v/>
      </c>
      <c r="G862" s="40" t="str" cm="1">
        <f t="array" ref="G862">IFERROR(_xlfn.LET(
_xlpm.CSVVal,_xlfn.XLOOKUP($A862,CSV!$A:$A,CSV!G:G,""),
_xlpm.MacVal,_xlfn.XLOOKUP($A862,Output_Mac!$A:$A,Output_Mac!F:F,""),
_xlpm.MyAuditVal,_xlfn.XLOOKUP($A862,My_Audit!$A:$A,My_Audit!F:F,""),
_xlfn.IFS(_xlpm.MyAuditVal&lt;&gt;"",_xlpm.MyAuditVal,_xlpm.MacVal&lt;&gt;"",_xlpm.MacVal,_xlpm.CSVVal&lt;&gt;"",PROPER(_xlpm.CSVVal)
)),"")</f>
        <v/>
      </c>
      <c r="H862" s="40" t="str" cm="1">
        <f t="array" ref="H862">IFERROR(_xlfn.LET(
_xlpm.CSVVal,_xlfn.XLOOKUP($A862,CSV!$A:$A,CSV!H:H,""),
_xlpm.MacVal,_xlfn.XLOOKUP($A862,Output_Mac!$A:$A,Output_Mac!H:H,""),
_xlpm.MyAuditVal,_xlfn.XLOOKUP($A862,My_Audit!$A:$A,My_Audit!G:G,""),
_xlfn.IFS(_xlpm.MyAuditVal&lt;&gt;"",_xlpm.MyAuditVal,_xlpm.MacVal&lt;&gt;"",_xlpm.MacVal,_xlpm.CSVVal&lt;&gt;"",_xlpm.CSVVal
)),"")</f>
        <v/>
      </c>
      <c r="I862" s="40" t="str">
        <f>_xlfn.XLOOKUP(A862,Output_Mac!A:A,Output_Mac!I:I,"")</f>
        <v/>
      </c>
      <c r="J862" s="40" t="str" cm="1">
        <f t="array" ref="J862">IFERROR(_xlfn.LET(
_xlpm.CSVVal,_xlfn.XLOOKUP($A862,CSV!$A:$A,CSV!I:I,""),
_xlpm.MacVal,_xlfn.XLOOKUP($A862,Output_Mac!$A:$A,Output_Mac!J:J,""),
_xlpm.MyAuditVal,_xlfn.XLOOKUP($A862,My_Audit!$A:$A,My_Audit!I:I,""),
_xlfn.IFS(_xlpm.MyAuditVal&lt;&gt;"",UPPER(_xlpm.MyAuditVal),_xlpm.MacVal&lt;&gt;"",_xlpm.MacVal,_xlpm.CSVVal&lt;&gt;"",_xlpm.CSVVal
)),"")</f>
        <v/>
      </c>
      <c r="K862" s="40" t="str" cm="1">
        <f t="array" ref="K862">IFERROR(_xlfn.LET(
_xlpm.CSVVal,_xlfn.XLOOKUP($A862,CSV!$A:$A,CSV!K:K,""),
_xlpm.MacVal,_xlfn.XLOOKUP($A862,Output_Mac!$A:$A,Output_Mac!K:K,""),
_xlpm.MyAuditVal,_xlfn.XLOOKUP($A862,My_Audit!$A:$A,My_Audit!J:J,""),
_xlfn.IFS(_xlpm.MyAuditVal&lt;&gt;"",UPPER(_xlpm.MyAuditVal),_xlpm.MacVal&lt;&gt;"",_xlpm.MacVal,_xlpm.CSVVal&lt;&gt;"",_xlpm.CSVVal
)),"")</f>
        <v/>
      </c>
      <c r="L862" s="40" t="str" cm="1">
        <f t="array" ref="L862">IFERROR(_xlfn.LET(
_xlpm.CSVVal,_xlfn.XLOOKUP($A862,CSV!$A:$A,CSV!P:P,""),
_xlpm.MacVal,_xlfn.XLOOKUP($A862,Output_Mac!$A:$A,Output_Mac!L:L,""),
_xlpm.MyAuditVal,_xlfn.XLOOKUP($A862,My_Audit!$A:$A,My_Audit!K:K,""),
_xlfn.IFS(_xlpm.MyAuditVal&lt;&gt;"",UPPER(_xlpm.MyAuditVal),_xlpm.MacVal&lt;&gt;"",_xlpm.MacVal,_xlpm.CSVVal&lt;&gt;"",_xlpm.CSVVal
)),"")</f>
        <v/>
      </c>
      <c r="M862" s="40" t="str" cm="1">
        <f t="array" ref="M862">IFERROR(_xlfn.LET(
_xlpm.CSVVal,_xlfn.XLOOKUP($A862,CSV!$A:$A,CSV!Q:Q,""),
_xlpm.MacVal,_xlfn.XLOOKUP($A862,Output_Mac!$A:$A,Output_Mac!M:M,""),
_xlpm.MyAuditVal,_xlfn.XLOOKUP($A862,My_Audit!$A:$A,My_Audit!L:L,""),
_xlfn.IFS(_xlpm.MyAuditVal&lt;&gt;"",UPPER(_xlpm.MyAuditVal),_xlpm.MacVal&lt;&gt;"",_xlpm.MacVal,_xlpm.CSVVal&lt;&gt;"",_xlpm.CSVVal
)),"")</f>
        <v/>
      </c>
      <c r="N862" s="40"/>
      <c r="O862" s="40" t="str">
        <f>_xlfn.LET(
    _xlpm.CSVVal, _xlfn.XLOOKUP($A862, CSV!$A:$A, CSV!AA:AA, ""),
    _xlpm.MacVal, _xlfn.XLOOKUP($A862, Output_Mac!$A:$A, Output_Mac!S:S, ""),
    _xlpm.MyAuditVal, _xlfn.XLOOKUP($A862, My_Audit!$A:$A, My_Audit!P:P, ""),
    _xlfn.TEXTJOIN(", ", TRUE, _xlpm.MyAuditVal, _xlpm.MacVal, _xlpm.CSVVal)
)</f>
        <v/>
      </c>
      <c r="P862" s="40" t="str" cm="1">
        <f t="array" ref="P862">IFERROR(_xlfn.LET(
_xlpm.CSVVal,_xlfn.XLOOKUP($A862,CSV!$A:$A,CSV!AB:AB,""),
_xlpm.MacVal,_xlfn.XLOOKUP($A862,Output_Mac!$A:$A,Output_Mac!T:T,""),
_xlpm.MyAuditVal,_xlfn.XLOOKUP($A862,My_Audit!$A:$A,My_Audit!Q:Q,""),
_xlfn.IFS(_xlpm.MyAuditVal&lt;&gt;"",UPPER(_xlpm.MyAuditVal),_xlpm.MacVal&lt;&gt;"",_xlpm.MacVal,_xlpm.CSVVal&lt;&gt;"",_xlpm.CSVVal
)),"No")</f>
        <v>No</v>
      </c>
      <c r="Q862" s="40" t="str" cm="1">
        <f t="array" ref="Q862">IFERROR(_xlfn.LET(
_xlpm.CSVVal,_xlfn.XLOOKUP($A862,CSV!$A:$A,CSV!AC:AC,""),
_xlpm.MacVal,_xlfn.XLOOKUP($A862,Output_Mac!$A:$A,Output_Mac!U:U,""),
_xlpm.MyAuditVal,_xlfn.XLOOKUP($A862,My_Audit!$A:$A,My_Audit!R:R,""),
_xlfn.IFS(_xlpm.MyAuditVal&lt;&gt;"",UPPER(_xlpm.MyAuditVal),_xlpm.MacVal&lt;&gt;"",_xlpm.MacVal,_xlpm.CSVVal&lt;&gt;"",_xlpm.CSVVal
)),"")</f>
        <v/>
      </c>
      <c r="R862" s="40"/>
      <c r="S862" s="40"/>
      <c r="T862" s="40"/>
      <c r="U862" s="40"/>
      <c r="V862" s="40"/>
      <c r="W862" s="40"/>
      <c r="X862" s="41" t="str">
        <f>_xlfn.LET(
    _xlpm.MacVal, _xlfn.XLOOKUP($A862, Output_Mac!$A:$A, Output_Mac!AB:AB, ""),
    _xlpm.MyAuditVal, _xlfn.XLOOKUP($A862, My_Audit!$A:$A, My_Audit!N:N, ""),
    _xlfn.TEXTJOIN(", ", TRUE, _xlpm.MyAuditVal, _xlpm.MacVal)
)</f>
        <v/>
      </c>
    </row>
    <row r="863" spans="1:24">
      <c r="A863" s="40" t="str">
        <f>_xlfn.TEXTJOIN("",TRUE,Input!$B$2,ROW(My_Audit!A862))</f>
        <v>X862</v>
      </c>
      <c r="B863" s="40" t="str">
        <f>_xlfn.TEXTJOIN("-",TRUE,"ITD",Input!$A$2,A863)</f>
        <v>ITD-X862</v>
      </c>
      <c r="C863" s="40" t="str" cm="1">
        <f t="array" ref="C863">IFERROR(_xlfn.LET(
_xlpm.CSVVal,_xlfn.XLOOKUP($A863,CSV!$A:$A,CSV!B:B,""),
_xlpm.MacVal,_xlfn.XLOOKUP($A863,Output_Mac!$A:$A,Output_Mac!B:B,""),
_xlpm.MyAuditVal,_xlfn.XLOOKUP($A863,My_Audit!$A:$A,My_Audit!B:B,""),
_xlfn.IFS(_xlpm.MyAuditVal&lt;&gt;"",UPPER(_xlpm.MyAuditVal),_xlpm.MacVal&lt;&gt;"",_xlpm.MacVal,_xlpm.CSVVal&lt;&gt;"",_xlpm.CSVVal
)),"")</f>
        <v/>
      </c>
      <c r="D863" s="40" t="str" cm="1">
        <f t="array" ref="D863">IFERROR(_xlfn.LET(
_xlpm.CSVVal,_xlfn.XLOOKUP($A863,CSV!$A:$A,CSV!D:D,""),
_xlpm.MacVal,_xlfn.XLOOKUP($A863,Output_Mac!$A:$A,Output_Mac!C:C,""),
_xlpm.MyAuditVal,_xlfn.XLOOKUP($A863,My_Audit!$A:$A,My_Audit!C:C,""),
_xlfn.IFS(_xlpm.MyAuditVal&lt;&gt;"",_xlpm.MyAuditVal,_xlpm.MacVal&lt;&gt;"",_xlpm.MacVal,_xlpm.CSVVal&lt;&gt;"",_xlpm.CSVVal
)),"")</f>
        <v/>
      </c>
      <c r="E863" s="40" t="str">
        <f>_xlfn.XLOOKUP(A863,My_Audit!A:A,My_Audit!D:D,"")</f>
        <v/>
      </c>
      <c r="F863" s="40" t="str" cm="1">
        <f t="array" ref="F863">IFERROR(_xlfn.LET(
_xlpm.CSVVal,_xlfn.XLOOKUP($A863,CSV!$A:$A,CSV!F:F,""),
_xlpm.MacVal,_xlfn.XLOOKUP($A863,Output_Mac!$A:$A,Output_Mac!E:E,""),
_xlpm.MyAuditVal,_xlfn.XLOOKUP($A863,My_Audit!$A:$A,My_Audit!E:E,""),
_xlfn.IFS(_xlpm.MyAuditVal&lt;&gt;"",_xlpm.MyAuditVal,_xlpm.MacVal&lt;&gt;"",_xlpm.MacVal,_xlpm.CSVVal&lt;&gt;"",_xlpm.CSVVal
)),"")</f>
        <v/>
      </c>
      <c r="G863" s="40" t="str" cm="1">
        <f t="array" ref="G863">IFERROR(_xlfn.LET(
_xlpm.CSVVal,_xlfn.XLOOKUP($A863,CSV!$A:$A,CSV!G:G,""),
_xlpm.MacVal,_xlfn.XLOOKUP($A863,Output_Mac!$A:$A,Output_Mac!F:F,""),
_xlpm.MyAuditVal,_xlfn.XLOOKUP($A863,My_Audit!$A:$A,My_Audit!F:F,""),
_xlfn.IFS(_xlpm.MyAuditVal&lt;&gt;"",_xlpm.MyAuditVal,_xlpm.MacVal&lt;&gt;"",_xlpm.MacVal,_xlpm.CSVVal&lt;&gt;"",PROPER(_xlpm.CSVVal)
)),"")</f>
        <v/>
      </c>
      <c r="H863" s="40" t="str" cm="1">
        <f t="array" ref="H863">IFERROR(_xlfn.LET(
_xlpm.CSVVal,_xlfn.XLOOKUP($A863,CSV!$A:$A,CSV!H:H,""),
_xlpm.MacVal,_xlfn.XLOOKUP($A863,Output_Mac!$A:$A,Output_Mac!H:H,""),
_xlpm.MyAuditVal,_xlfn.XLOOKUP($A863,My_Audit!$A:$A,My_Audit!G:G,""),
_xlfn.IFS(_xlpm.MyAuditVal&lt;&gt;"",_xlpm.MyAuditVal,_xlpm.MacVal&lt;&gt;"",_xlpm.MacVal,_xlpm.CSVVal&lt;&gt;"",_xlpm.CSVVal
)),"")</f>
        <v/>
      </c>
      <c r="I863" s="40" t="str">
        <f>_xlfn.XLOOKUP(A863,Output_Mac!A:A,Output_Mac!I:I,"")</f>
        <v/>
      </c>
      <c r="J863" s="40" t="str" cm="1">
        <f t="array" ref="J863">IFERROR(_xlfn.LET(
_xlpm.CSVVal,_xlfn.XLOOKUP($A863,CSV!$A:$A,CSV!I:I,""),
_xlpm.MacVal,_xlfn.XLOOKUP($A863,Output_Mac!$A:$A,Output_Mac!J:J,""),
_xlpm.MyAuditVal,_xlfn.XLOOKUP($A863,My_Audit!$A:$A,My_Audit!I:I,""),
_xlfn.IFS(_xlpm.MyAuditVal&lt;&gt;"",UPPER(_xlpm.MyAuditVal),_xlpm.MacVal&lt;&gt;"",_xlpm.MacVal,_xlpm.CSVVal&lt;&gt;"",_xlpm.CSVVal
)),"")</f>
        <v/>
      </c>
      <c r="K863" s="40" t="str" cm="1">
        <f t="array" ref="K863">IFERROR(_xlfn.LET(
_xlpm.CSVVal,_xlfn.XLOOKUP($A863,CSV!$A:$A,CSV!K:K,""),
_xlpm.MacVal,_xlfn.XLOOKUP($A863,Output_Mac!$A:$A,Output_Mac!K:K,""),
_xlpm.MyAuditVal,_xlfn.XLOOKUP($A863,My_Audit!$A:$A,My_Audit!J:J,""),
_xlfn.IFS(_xlpm.MyAuditVal&lt;&gt;"",UPPER(_xlpm.MyAuditVal),_xlpm.MacVal&lt;&gt;"",_xlpm.MacVal,_xlpm.CSVVal&lt;&gt;"",_xlpm.CSVVal
)),"")</f>
        <v/>
      </c>
      <c r="L863" s="40" t="str" cm="1">
        <f t="array" ref="L863">IFERROR(_xlfn.LET(
_xlpm.CSVVal,_xlfn.XLOOKUP($A863,CSV!$A:$A,CSV!P:P,""),
_xlpm.MacVal,_xlfn.XLOOKUP($A863,Output_Mac!$A:$A,Output_Mac!L:L,""),
_xlpm.MyAuditVal,_xlfn.XLOOKUP($A863,My_Audit!$A:$A,My_Audit!K:K,""),
_xlfn.IFS(_xlpm.MyAuditVal&lt;&gt;"",UPPER(_xlpm.MyAuditVal),_xlpm.MacVal&lt;&gt;"",_xlpm.MacVal,_xlpm.CSVVal&lt;&gt;"",_xlpm.CSVVal
)),"")</f>
        <v/>
      </c>
      <c r="M863" s="40" t="str" cm="1">
        <f t="array" ref="M863">IFERROR(_xlfn.LET(
_xlpm.CSVVal,_xlfn.XLOOKUP($A863,CSV!$A:$A,CSV!Q:Q,""),
_xlpm.MacVal,_xlfn.XLOOKUP($A863,Output_Mac!$A:$A,Output_Mac!M:M,""),
_xlpm.MyAuditVal,_xlfn.XLOOKUP($A863,My_Audit!$A:$A,My_Audit!L:L,""),
_xlfn.IFS(_xlpm.MyAuditVal&lt;&gt;"",UPPER(_xlpm.MyAuditVal),_xlpm.MacVal&lt;&gt;"",_xlpm.MacVal,_xlpm.CSVVal&lt;&gt;"",_xlpm.CSVVal
)),"")</f>
        <v/>
      </c>
      <c r="N863" s="40"/>
      <c r="O863" s="40" t="str">
        <f>_xlfn.LET(
    _xlpm.CSVVal, _xlfn.XLOOKUP($A863, CSV!$A:$A, CSV!AA:AA, ""),
    _xlpm.MacVal, _xlfn.XLOOKUP($A863, Output_Mac!$A:$A, Output_Mac!S:S, ""),
    _xlpm.MyAuditVal, _xlfn.XLOOKUP($A863, My_Audit!$A:$A, My_Audit!P:P, ""),
    _xlfn.TEXTJOIN(", ", TRUE, _xlpm.MyAuditVal, _xlpm.MacVal, _xlpm.CSVVal)
)</f>
        <v/>
      </c>
      <c r="P863" s="40" t="str" cm="1">
        <f t="array" ref="P863">IFERROR(_xlfn.LET(
_xlpm.CSVVal,_xlfn.XLOOKUP($A863,CSV!$A:$A,CSV!AB:AB,""),
_xlpm.MacVal,_xlfn.XLOOKUP($A863,Output_Mac!$A:$A,Output_Mac!T:T,""),
_xlpm.MyAuditVal,_xlfn.XLOOKUP($A863,My_Audit!$A:$A,My_Audit!Q:Q,""),
_xlfn.IFS(_xlpm.MyAuditVal&lt;&gt;"",UPPER(_xlpm.MyAuditVal),_xlpm.MacVal&lt;&gt;"",_xlpm.MacVal,_xlpm.CSVVal&lt;&gt;"",_xlpm.CSVVal
)),"No")</f>
        <v>No</v>
      </c>
      <c r="Q863" s="40" t="str" cm="1">
        <f t="array" ref="Q863">IFERROR(_xlfn.LET(
_xlpm.CSVVal,_xlfn.XLOOKUP($A863,CSV!$A:$A,CSV!AC:AC,""),
_xlpm.MacVal,_xlfn.XLOOKUP($A863,Output_Mac!$A:$A,Output_Mac!U:U,""),
_xlpm.MyAuditVal,_xlfn.XLOOKUP($A863,My_Audit!$A:$A,My_Audit!R:R,""),
_xlfn.IFS(_xlpm.MyAuditVal&lt;&gt;"",UPPER(_xlpm.MyAuditVal),_xlpm.MacVal&lt;&gt;"",_xlpm.MacVal,_xlpm.CSVVal&lt;&gt;"",_xlpm.CSVVal
)),"")</f>
        <v/>
      </c>
      <c r="R863" s="40"/>
      <c r="S863" s="40"/>
      <c r="T863" s="40"/>
      <c r="U863" s="40"/>
      <c r="V863" s="40"/>
      <c r="W863" s="40"/>
      <c r="X863" s="41" t="str">
        <f>_xlfn.LET(
    _xlpm.MacVal, _xlfn.XLOOKUP($A863, Output_Mac!$A:$A, Output_Mac!AB:AB, ""),
    _xlpm.MyAuditVal, _xlfn.XLOOKUP($A863, My_Audit!$A:$A, My_Audit!N:N, ""),
    _xlfn.TEXTJOIN(", ", TRUE, _xlpm.MyAuditVal, _xlpm.MacVal)
)</f>
        <v/>
      </c>
    </row>
    <row r="864" spans="1:24">
      <c r="A864" s="40" t="str">
        <f>_xlfn.TEXTJOIN("",TRUE,Input!$B$2,ROW(My_Audit!A863))</f>
        <v>X863</v>
      </c>
      <c r="B864" s="40" t="str">
        <f>_xlfn.TEXTJOIN("-",TRUE,"ITD",Input!$A$2,A864)</f>
        <v>ITD-X863</v>
      </c>
      <c r="C864" s="40" t="str" cm="1">
        <f t="array" ref="C864">IFERROR(_xlfn.LET(
_xlpm.CSVVal,_xlfn.XLOOKUP($A864,CSV!$A:$A,CSV!B:B,""),
_xlpm.MacVal,_xlfn.XLOOKUP($A864,Output_Mac!$A:$A,Output_Mac!B:B,""),
_xlpm.MyAuditVal,_xlfn.XLOOKUP($A864,My_Audit!$A:$A,My_Audit!B:B,""),
_xlfn.IFS(_xlpm.MyAuditVal&lt;&gt;"",UPPER(_xlpm.MyAuditVal),_xlpm.MacVal&lt;&gt;"",_xlpm.MacVal,_xlpm.CSVVal&lt;&gt;"",_xlpm.CSVVal
)),"")</f>
        <v/>
      </c>
      <c r="D864" s="40" t="str" cm="1">
        <f t="array" ref="D864">IFERROR(_xlfn.LET(
_xlpm.CSVVal,_xlfn.XLOOKUP($A864,CSV!$A:$A,CSV!D:D,""),
_xlpm.MacVal,_xlfn.XLOOKUP($A864,Output_Mac!$A:$A,Output_Mac!C:C,""),
_xlpm.MyAuditVal,_xlfn.XLOOKUP($A864,My_Audit!$A:$A,My_Audit!C:C,""),
_xlfn.IFS(_xlpm.MyAuditVal&lt;&gt;"",_xlpm.MyAuditVal,_xlpm.MacVal&lt;&gt;"",_xlpm.MacVal,_xlpm.CSVVal&lt;&gt;"",_xlpm.CSVVal
)),"")</f>
        <v/>
      </c>
      <c r="E864" s="40" t="str">
        <f>_xlfn.XLOOKUP(A864,My_Audit!A:A,My_Audit!D:D,"")</f>
        <v/>
      </c>
      <c r="F864" s="40" t="str" cm="1">
        <f t="array" ref="F864">IFERROR(_xlfn.LET(
_xlpm.CSVVal,_xlfn.XLOOKUP($A864,CSV!$A:$A,CSV!F:F,""),
_xlpm.MacVal,_xlfn.XLOOKUP($A864,Output_Mac!$A:$A,Output_Mac!E:E,""),
_xlpm.MyAuditVal,_xlfn.XLOOKUP($A864,My_Audit!$A:$A,My_Audit!E:E,""),
_xlfn.IFS(_xlpm.MyAuditVal&lt;&gt;"",_xlpm.MyAuditVal,_xlpm.MacVal&lt;&gt;"",_xlpm.MacVal,_xlpm.CSVVal&lt;&gt;"",_xlpm.CSVVal
)),"")</f>
        <v/>
      </c>
      <c r="G864" s="40" t="str" cm="1">
        <f t="array" ref="G864">IFERROR(_xlfn.LET(
_xlpm.CSVVal,_xlfn.XLOOKUP($A864,CSV!$A:$A,CSV!G:G,""),
_xlpm.MacVal,_xlfn.XLOOKUP($A864,Output_Mac!$A:$A,Output_Mac!F:F,""),
_xlpm.MyAuditVal,_xlfn.XLOOKUP($A864,My_Audit!$A:$A,My_Audit!F:F,""),
_xlfn.IFS(_xlpm.MyAuditVal&lt;&gt;"",_xlpm.MyAuditVal,_xlpm.MacVal&lt;&gt;"",_xlpm.MacVal,_xlpm.CSVVal&lt;&gt;"",PROPER(_xlpm.CSVVal)
)),"")</f>
        <v/>
      </c>
      <c r="H864" s="40" t="str" cm="1">
        <f t="array" ref="H864">IFERROR(_xlfn.LET(
_xlpm.CSVVal,_xlfn.XLOOKUP($A864,CSV!$A:$A,CSV!H:H,""),
_xlpm.MacVal,_xlfn.XLOOKUP($A864,Output_Mac!$A:$A,Output_Mac!H:H,""),
_xlpm.MyAuditVal,_xlfn.XLOOKUP($A864,My_Audit!$A:$A,My_Audit!G:G,""),
_xlfn.IFS(_xlpm.MyAuditVal&lt;&gt;"",_xlpm.MyAuditVal,_xlpm.MacVal&lt;&gt;"",_xlpm.MacVal,_xlpm.CSVVal&lt;&gt;"",_xlpm.CSVVal
)),"")</f>
        <v/>
      </c>
      <c r="I864" s="40" t="str">
        <f>_xlfn.XLOOKUP(A864,Output_Mac!A:A,Output_Mac!I:I,"")</f>
        <v/>
      </c>
      <c r="J864" s="40" t="str" cm="1">
        <f t="array" ref="J864">IFERROR(_xlfn.LET(
_xlpm.CSVVal,_xlfn.XLOOKUP($A864,CSV!$A:$A,CSV!I:I,""),
_xlpm.MacVal,_xlfn.XLOOKUP($A864,Output_Mac!$A:$A,Output_Mac!J:J,""),
_xlpm.MyAuditVal,_xlfn.XLOOKUP($A864,My_Audit!$A:$A,My_Audit!I:I,""),
_xlfn.IFS(_xlpm.MyAuditVal&lt;&gt;"",UPPER(_xlpm.MyAuditVal),_xlpm.MacVal&lt;&gt;"",_xlpm.MacVal,_xlpm.CSVVal&lt;&gt;"",_xlpm.CSVVal
)),"")</f>
        <v/>
      </c>
      <c r="K864" s="40" t="str" cm="1">
        <f t="array" ref="K864">IFERROR(_xlfn.LET(
_xlpm.CSVVal,_xlfn.XLOOKUP($A864,CSV!$A:$A,CSV!K:K,""),
_xlpm.MacVal,_xlfn.XLOOKUP($A864,Output_Mac!$A:$A,Output_Mac!K:K,""),
_xlpm.MyAuditVal,_xlfn.XLOOKUP($A864,My_Audit!$A:$A,My_Audit!J:J,""),
_xlfn.IFS(_xlpm.MyAuditVal&lt;&gt;"",UPPER(_xlpm.MyAuditVal),_xlpm.MacVal&lt;&gt;"",_xlpm.MacVal,_xlpm.CSVVal&lt;&gt;"",_xlpm.CSVVal
)),"")</f>
        <v/>
      </c>
      <c r="L864" s="40" t="str" cm="1">
        <f t="array" ref="L864">IFERROR(_xlfn.LET(
_xlpm.CSVVal,_xlfn.XLOOKUP($A864,CSV!$A:$A,CSV!P:P,""),
_xlpm.MacVal,_xlfn.XLOOKUP($A864,Output_Mac!$A:$A,Output_Mac!L:L,""),
_xlpm.MyAuditVal,_xlfn.XLOOKUP($A864,My_Audit!$A:$A,My_Audit!K:K,""),
_xlfn.IFS(_xlpm.MyAuditVal&lt;&gt;"",UPPER(_xlpm.MyAuditVal),_xlpm.MacVal&lt;&gt;"",_xlpm.MacVal,_xlpm.CSVVal&lt;&gt;"",_xlpm.CSVVal
)),"")</f>
        <v/>
      </c>
      <c r="M864" s="40" t="str" cm="1">
        <f t="array" ref="M864">IFERROR(_xlfn.LET(
_xlpm.CSVVal,_xlfn.XLOOKUP($A864,CSV!$A:$A,CSV!Q:Q,""),
_xlpm.MacVal,_xlfn.XLOOKUP($A864,Output_Mac!$A:$A,Output_Mac!M:M,""),
_xlpm.MyAuditVal,_xlfn.XLOOKUP($A864,My_Audit!$A:$A,My_Audit!L:L,""),
_xlfn.IFS(_xlpm.MyAuditVal&lt;&gt;"",UPPER(_xlpm.MyAuditVal),_xlpm.MacVal&lt;&gt;"",_xlpm.MacVal,_xlpm.CSVVal&lt;&gt;"",_xlpm.CSVVal
)),"")</f>
        <v/>
      </c>
      <c r="N864" s="40"/>
      <c r="O864" s="40" t="str">
        <f>_xlfn.LET(
    _xlpm.CSVVal, _xlfn.XLOOKUP($A864, CSV!$A:$A, CSV!AA:AA, ""),
    _xlpm.MacVal, _xlfn.XLOOKUP($A864, Output_Mac!$A:$A, Output_Mac!S:S, ""),
    _xlpm.MyAuditVal, _xlfn.XLOOKUP($A864, My_Audit!$A:$A, My_Audit!P:P, ""),
    _xlfn.TEXTJOIN(", ", TRUE, _xlpm.MyAuditVal, _xlpm.MacVal, _xlpm.CSVVal)
)</f>
        <v/>
      </c>
      <c r="P864" s="40" t="str" cm="1">
        <f t="array" ref="P864">IFERROR(_xlfn.LET(
_xlpm.CSVVal,_xlfn.XLOOKUP($A864,CSV!$A:$A,CSV!AB:AB,""),
_xlpm.MacVal,_xlfn.XLOOKUP($A864,Output_Mac!$A:$A,Output_Mac!T:T,""),
_xlpm.MyAuditVal,_xlfn.XLOOKUP($A864,My_Audit!$A:$A,My_Audit!Q:Q,""),
_xlfn.IFS(_xlpm.MyAuditVal&lt;&gt;"",UPPER(_xlpm.MyAuditVal),_xlpm.MacVal&lt;&gt;"",_xlpm.MacVal,_xlpm.CSVVal&lt;&gt;"",_xlpm.CSVVal
)),"No")</f>
        <v>No</v>
      </c>
      <c r="Q864" s="40" t="str" cm="1">
        <f t="array" ref="Q864">IFERROR(_xlfn.LET(
_xlpm.CSVVal,_xlfn.XLOOKUP($A864,CSV!$A:$A,CSV!AC:AC,""),
_xlpm.MacVal,_xlfn.XLOOKUP($A864,Output_Mac!$A:$A,Output_Mac!U:U,""),
_xlpm.MyAuditVal,_xlfn.XLOOKUP($A864,My_Audit!$A:$A,My_Audit!R:R,""),
_xlfn.IFS(_xlpm.MyAuditVal&lt;&gt;"",UPPER(_xlpm.MyAuditVal),_xlpm.MacVal&lt;&gt;"",_xlpm.MacVal,_xlpm.CSVVal&lt;&gt;"",_xlpm.CSVVal
)),"")</f>
        <v/>
      </c>
      <c r="R864" s="40"/>
      <c r="S864" s="40"/>
      <c r="T864" s="40"/>
      <c r="U864" s="40"/>
      <c r="V864" s="40"/>
      <c r="W864" s="40"/>
      <c r="X864" s="41" t="str">
        <f>_xlfn.LET(
    _xlpm.MacVal, _xlfn.XLOOKUP($A864, Output_Mac!$A:$A, Output_Mac!AB:AB, ""),
    _xlpm.MyAuditVal, _xlfn.XLOOKUP($A864, My_Audit!$A:$A, My_Audit!N:N, ""),
    _xlfn.TEXTJOIN(", ", TRUE, _xlpm.MyAuditVal, _xlpm.MacVal)
)</f>
        <v/>
      </c>
    </row>
    <row r="865" spans="1:24">
      <c r="A865" s="40" t="str">
        <f>_xlfn.TEXTJOIN("",TRUE,Input!$B$2,ROW(My_Audit!A864))</f>
        <v>X864</v>
      </c>
      <c r="B865" s="40" t="str">
        <f>_xlfn.TEXTJOIN("-",TRUE,"ITD",Input!$A$2,A865)</f>
        <v>ITD-X864</v>
      </c>
      <c r="C865" s="40" t="str" cm="1">
        <f t="array" ref="C865">IFERROR(_xlfn.LET(
_xlpm.CSVVal,_xlfn.XLOOKUP($A865,CSV!$A:$A,CSV!B:B,""),
_xlpm.MacVal,_xlfn.XLOOKUP($A865,Output_Mac!$A:$A,Output_Mac!B:B,""),
_xlpm.MyAuditVal,_xlfn.XLOOKUP($A865,My_Audit!$A:$A,My_Audit!B:B,""),
_xlfn.IFS(_xlpm.MyAuditVal&lt;&gt;"",UPPER(_xlpm.MyAuditVal),_xlpm.MacVal&lt;&gt;"",_xlpm.MacVal,_xlpm.CSVVal&lt;&gt;"",_xlpm.CSVVal
)),"")</f>
        <v/>
      </c>
      <c r="D865" s="40" t="str" cm="1">
        <f t="array" ref="D865">IFERROR(_xlfn.LET(
_xlpm.CSVVal,_xlfn.XLOOKUP($A865,CSV!$A:$A,CSV!D:D,""),
_xlpm.MacVal,_xlfn.XLOOKUP($A865,Output_Mac!$A:$A,Output_Mac!C:C,""),
_xlpm.MyAuditVal,_xlfn.XLOOKUP($A865,My_Audit!$A:$A,My_Audit!C:C,""),
_xlfn.IFS(_xlpm.MyAuditVal&lt;&gt;"",_xlpm.MyAuditVal,_xlpm.MacVal&lt;&gt;"",_xlpm.MacVal,_xlpm.CSVVal&lt;&gt;"",_xlpm.CSVVal
)),"")</f>
        <v/>
      </c>
      <c r="E865" s="40" t="str">
        <f>_xlfn.XLOOKUP(A865,My_Audit!A:A,My_Audit!D:D,"")</f>
        <v/>
      </c>
      <c r="F865" s="40" t="str" cm="1">
        <f t="array" ref="F865">IFERROR(_xlfn.LET(
_xlpm.CSVVal,_xlfn.XLOOKUP($A865,CSV!$A:$A,CSV!F:F,""),
_xlpm.MacVal,_xlfn.XLOOKUP($A865,Output_Mac!$A:$A,Output_Mac!E:E,""),
_xlpm.MyAuditVal,_xlfn.XLOOKUP($A865,My_Audit!$A:$A,My_Audit!E:E,""),
_xlfn.IFS(_xlpm.MyAuditVal&lt;&gt;"",_xlpm.MyAuditVal,_xlpm.MacVal&lt;&gt;"",_xlpm.MacVal,_xlpm.CSVVal&lt;&gt;"",_xlpm.CSVVal
)),"")</f>
        <v/>
      </c>
      <c r="G865" s="40" t="str" cm="1">
        <f t="array" ref="G865">IFERROR(_xlfn.LET(
_xlpm.CSVVal,_xlfn.XLOOKUP($A865,CSV!$A:$A,CSV!G:G,""),
_xlpm.MacVal,_xlfn.XLOOKUP($A865,Output_Mac!$A:$A,Output_Mac!F:F,""),
_xlpm.MyAuditVal,_xlfn.XLOOKUP($A865,My_Audit!$A:$A,My_Audit!F:F,""),
_xlfn.IFS(_xlpm.MyAuditVal&lt;&gt;"",_xlpm.MyAuditVal,_xlpm.MacVal&lt;&gt;"",_xlpm.MacVal,_xlpm.CSVVal&lt;&gt;"",PROPER(_xlpm.CSVVal)
)),"")</f>
        <v/>
      </c>
      <c r="H865" s="40" t="str" cm="1">
        <f t="array" ref="H865">IFERROR(_xlfn.LET(
_xlpm.CSVVal,_xlfn.XLOOKUP($A865,CSV!$A:$A,CSV!H:H,""),
_xlpm.MacVal,_xlfn.XLOOKUP($A865,Output_Mac!$A:$A,Output_Mac!H:H,""),
_xlpm.MyAuditVal,_xlfn.XLOOKUP($A865,My_Audit!$A:$A,My_Audit!G:G,""),
_xlfn.IFS(_xlpm.MyAuditVal&lt;&gt;"",_xlpm.MyAuditVal,_xlpm.MacVal&lt;&gt;"",_xlpm.MacVal,_xlpm.CSVVal&lt;&gt;"",_xlpm.CSVVal
)),"")</f>
        <v/>
      </c>
      <c r="I865" s="40" t="str">
        <f>_xlfn.XLOOKUP(A865,Output_Mac!A:A,Output_Mac!I:I,"")</f>
        <v/>
      </c>
      <c r="J865" s="40" t="str" cm="1">
        <f t="array" ref="J865">IFERROR(_xlfn.LET(
_xlpm.CSVVal,_xlfn.XLOOKUP($A865,CSV!$A:$A,CSV!I:I,""),
_xlpm.MacVal,_xlfn.XLOOKUP($A865,Output_Mac!$A:$A,Output_Mac!J:J,""),
_xlpm.MyAuditVal,_xlfn.XLOOKUP($A865,My_Audit!$A:$A,My_Audit!I:I,""),
_xlfn.IFS(_xlpm.MyAuditVal&lt;&gt;"",UPPER(_xlpm.MyAuditVal),_xlpm.MacVal&lt;&gt;"",_xlpm.MacVal,_xlpm.CSVVal&lt;&gt;"",_xlpm.CSVVal
)),"")</f>
        <v/>
      </c>
      <c r="K865" s="40" t="str" cm="1">
        <f t="array" ref="K865">IFERROR(_xlfn.LET(
_xlpm.CSVVal,_xlfn.XLOOKUP($A865,CSV!$A:$A,CSV!K:K,""),
_xlpm.MacVal,_xlfn.XLOOKUP($A865,Output_Mac!$A:$A,Output_Mac!K:K,""),
_xlpm.MyAuditVal,_xlfn.XLOOKUP($A865,My_Audit!$A:$A,My_Audit!J:J,""),
_xlfn.IFS(_xlpm.MyAuditVal&lt;&gt;"",UPPER(_xlpm.MyAuditVal),_xlpm.MacVal&lt;&gt;"",_xlpm.MacVal,_xlpm.CSVVal&lt;&gt;"",_xlpm.CSVVal
)),"")</f>
        <v/>
      </c>
      <c r="L865" s="40" t="str" cm="1">
        <f t="array" ref="L865">IFERROR(_xlfn.LET(
_xlpm.CSVVal,_xlfn.XLOOKUP($A865,CSV!$A:$A,CSV!P:P,""),
_xlpm.MacVal,_xlfn.XLOOKUP($A865,Output_Mac!$A:$A,Output_Mac!L:L,""),
_xlpm.MyAuditVal,_xlfn.XLOOKUP($A865,My_Audit!$A:$A,My_Audit!K:K,""),
_xlfn.IFS(_xlpm.MyAuditVal&lt;&gt;"",UPPER(_xlpm.MyAuditVal),_xlpm.MacVal&lt;&gt;"",_xlpm.MacVal,_xlpm.CSVVal&lt;&gt;"",_xlpm.CSVVal
)),"")</f>
        <v/>
      </c>
      <c r="M865" s="40" t="str" cm="1">
        <f t="array" ref="M865">IFERROR(_xlfn.LET(
_xlpm.CSVVal,_xlfn.XLOOKUP($A865,CSV!$A:$A,CSV!Q:Q,""),
_xlpm.MacVal,_xlfn.XLOOKUP($A865,Output_Mac!$A:$A,Output_Mac!M:M,""),
_xlpm.MyAuditVal,_xlfn.XLOOKUP($A865,My_Audit!$A:$A,My_Audit!L:L,""),
_xlfn.IFS(_xlpm.MyAuditVal&lt;&gt;"",UPPER(_xlpm.MyAuditVal),_xlpm.MacVal&lt;&gt;"",_xlpm.MacVal,_xlpm.CSVVal&lt;&gt;"",_xlpm.CSVVal
)),"")</f>
        <v/>
      </c>
      <c r="N865" s="40"/>
      <c r="O865" s="40" t="str">
        <f>_xlfn.LET(
    _xlpm.CSVVal, _xlfn.XLOOKUP($A865, CSV!$A:$A, CSV!AA:AA, ""),
    _xlpm.MacVal, _xlfn.XLOOKUP($A865, Output_Mac!$A:$A, Output_Mac!S:S, ""),
    _xlpm.MyAuditVal, _xlfn.XLOOKUP($A865, My_Audit!$A:$A, My_Audit!P:P, ""),
    _xlfn.TEXTJOIN(", ", TRUE, _xlpm.MyAuditVal, _xlpm.MacVal, _xlpm.CSVVal)
)</f>
        <v/>
      </c>
      <c r="P865" s="40" t="str" cm="1">
        <f t="array" ref="P865">IFERROR(_xlfn.LET(
_xlpm.CSVVal,_xlfn.XLOOKUP($A865,CSV!$A:$A,CSV!AB:AB,""),
_xlpm.MacVal,_xlfn.XLOOKUP($A865,Output_Mac!$A:$A,Output_Mac!T:T,""),
_xlpm.MyAuditVal,_xlfn.XLOOKUP($A865,My_Audit!$A:$A,My_Audit!Q:Q,""),
_xlfn.IFS(_xlpm.MyAuditVal&lt;&gt;"",UPPER(_xlpm.MyAuditVal),_xlpm.MacVal&lt;&gt;"",_xlpm.MacVal,_xlpm.CSVVal&lt;&gt;"",_xlpm.CSVVal
)),"No")</f>
        <v>No</v>
      </c>
      <c r="Q865" s="40" t="str" cm="1">
        <f t="array" ref="Q865">IFERROR(_xlfn.LET(
_xlpm.CSVVal,_xlfn.XLOOKUP($A865,CSV!$A:$A,CSV!AC:AC,""),
_xlpm.MacVal,_xlfn.XLOOKUP($A865,Output_Mac!$A:$A,Output_Mac!U:U,""),
_xlpm.MyAuditVal,_xlfn.XLOOKUP($A865,My_Audit!$A:$A,My_Audit!R:R,""),
_xlfn.IFS(_xlpm.MyAuditVal&lt;&gt;"",UPPER(_xlpm.MyAuditVal),_xlpm.MacVal&lt;&gt;"",_xlpm.MacVal,_xlpm.CSVVal&lt;&gt;"",_xlpm.CSVVal
)),"")</f>
        <v/>
      </c>
      <c r="R865" s="40"/>
      <c r="S865" s="40"/>
      <c r="T865" s="40"/>
      <c r="U865" s="40"/>
      <c r="V865" s="40"/>
      <c r="W865" s="40"/>
      <c r="X865" s="41" t="str">
        <f>_xlfn.LET(
    _xlpm.MacVal, _xlfn.XLOOKUP($A865, Output_Mac!$A:$A, Output_Mac!AB:AB, ""),
    _xlpm.MyAuditVal, _xlfn.XLOOKUP($A865, My_Audit!$A:$A, My_Audit!N:N, ""),
    _xlfn.TEXTJOIN(", ", TRUE, _xlpm.MyAuditVal, _xlpm.MacVal)
)</f>
        <v/>
      </c>
    </row>
    <row r="866" spans="1:24">
      <c r="A866" s="40" t="str">
        <f>_xlfn.TEXTJOIN("",TRUE,Input!$B$2,ROW(My_Audit!A865))</f>
        <v>X865</v>
      </c>
      <c r="B866" s="40" t="str">
        <f>_xlfn.TEXTJOIN("-",TRUE,"ITD",Input!$A$2,A866)</f>
        <v>ITD-X865</v>
      </c>
      <c r="C866" s="40" t="str" cm="1">
        <f t="array" ref="C866">IFERROR(_xlfn.LET(
_xlpm.CSVVal,_xlfn.XLOOKUP($A866,CSV!$A:$A,CSV!B:B,""),
_xlpm.MacVal,_xlfn.XLOOKUP($A866,Output_Mac!$A:$A,Output_Mac!B:B,""),
_xlpm.MyAuditVal,_xlfn.XLOOKUP($A866,My_Audit!$A:$A,My_Audit!B:B,""),
_xlfn.IFS(_xlpm.MyAuditVal&lt;&gt;"",UPPER(_xlpm.MyAuditVal),_xlpm.MacVal&lt;&gt;"",_xlpm.MacVal,_xlpm.CSVVal&lt;&gt;"",_xlpm.CSVVal
)),"")</f>
        <v/>
      </c>
      <c r="D866" s="40" t="str" cm="1">
        <f t="array" ref="D866">IFERROR(_xlfn.LET(
_xlpm.CSVVal,_xlfn.XLOOKUP($A866,CSV!$A:$A,CSV!D:D,""),
_xlpm.MacVal,_xlfn.XLOOKUP($A866,Output_Mac!$A:$A,Output_Mac!C:C,""),
_xlpm.MyAuditVal,_xlfn.XLOOKUP($A866,My_Audit!$A:$A,My_Audit!C:C,""),
_xlfn.IFS(_xlpm.MyAuditVal&lt;&gt;"",_xlpm.MyAuditVal,_xlpm.MacVal&lt;&gt;"",_xlpm.MacVal,_xlpm.CSVVal&lt;&gt;"",_xlpm.CSVVal
)),"")</f>
        <v/>
      </c>
      <c r="E866" s="40" t="str">
        <f>_xlfn.XLOOKUP(A866,My_Audit!A:A,My_Audit!D:D,"")</f>
        <v/>
      </c>
      <c r="F866" s="40" t="str" cm="1">
        <f t="array" ref="F866">IFERROR(_xlfn.LET(
_xlpm.CSVVal,_xlfn.XLOOKUP($A866,CSV!$A:$A,CSV!F:F,""),
_xlpm.MacVal,_xlfn.XLOOKUP($A866,Output_Mac!$A:$A,Output_Mac!E:E,""),
_xlpm.MyAuditVal,_xlfn.XLOOKUP($A866,My_Audit!$A:$A,My_Audit!E:E,""),
_xlfn.IFS(_xlpm.MyAuditVal&lt;&gt;"",_xlpm.MyAuditVal,_xlpm.MacVal&lt;&gt;"",_xlpm.MacVal,_xlpm.CSVVal&lt;&gt;"",_xlpm.CSVVal
)),"")</f>
        <v/>
      </c>
      <c r="G866" s="40" t="str" cm="1">
        <f t="array" ref="G866">IFERROR(_xlfn.LET(
_xlpm.CSVVal,_xlfn.XLOOKUP($A866,CSV!$A:$A,CSV!G:G,""),
_xlpm.MacVal,_xlfn.XLOOKUP($A866,Output_Mac!$A:$A,Output_Mac!F:F,""),
_xlpm.MyAuditVal,_xlfn.XLOOKUP($A866,My_Audit!$A:$A,My_Audit!F:F,""),
_xlfn.IFS(_xlpm.MyAuditVal&lt;&gt;"",_xlpm.MyAuditVal,_xlpm.MacVal&lt;&gt;"",_xlpm.MacVal,_xlpm.CSVVal&lt;&gt;"",PROPER(_xlpm.CSVVal)
)),"")</f>
        <v/>
      </c>
      <c r="H866" s="40" t="str" cm="1">
        <f t="array" ref="H866">IFERROR(_xlfn.LET(
_xlpm.CSVVal,_xlfn.XLOOKUP($A866,CSV!$A:$A,CSV!H:H,""),
_xlpm.MacVal,_xlfn.XLOOKUP($A866,Output_Mac!$A:$A,Output_Mac!H:H,""),
_xlpm.MyAuditVal,_xlfn.XLOOKUP($A866,My_Audit!$A:$A,My_Audit!G:G,""),
_xlfn.IFS(_xlpm.MyAuditVal&lt;&gt;"",_xlpm.MyAuditVal,_xlpm.MacVal&lt;&gt;"",_xlpm.MacVal,_xlpm.CSVVal&lt;&gt;"",_xlpm.CSVVal
)),"")</f>
        <v/>
      </c>
      <c r="I866" s="40" t="str">
        <f>_xlfn.XLOOKUP(A866,Output_Mac!A:A,Output_Mac!I:I,"")</f>
        <v/>
      </c>
      <c r="J866" s="40" t="str" cm="1">
        <f t="array" ref="J866">IFERROR(_xlfn.LET(
_xlpm.CSVVal,_xlfn.XLOOKUP($A866,CSV!$A:$A,CSV!I:I,""),
_xlpm.MacVal,_xlfn.XLOOKUP($A866,Output_Mac!$A:$A,Output_Mac!J:J,""),
_xlpm.MyAuditVal,_xlfn.XLOOKUP($A866,My_Audit!$A:$A,My_Audit!I:I,""),
_xlfn.IFS(_xlpm.MyAuditVal&lt;&gt;"",UPPER(_xlpm.MyAuditVal),_xlpm.MacVal&lt;&gt;"",_xlpm.MacVal,_xlpm.CSVVal&lt;&gt;"",_xlpm.CSVVal
)),"")</f>
        <v/>
      </c>
      <c r="K866" s="40" t="str" cm="1">
        <f t="array" ref="K866">IFERROR(_xlfn.LET(
_xlpm.CSVVal,_xlfn.XLOOKUP($A866,CSV!$A:$A,CSV!K:K,""),
_xlpm.MacVal,_xlfn.XLOOKUP($A866,Output_Mac!$A:$A,Output_Mac!K:K,""),
_xlpm.MyAuditVal,_xlfn.XLOOKUP($A866,My_Audit!$A:$A,My_Audit!J:J,""),
_xlfn.IFS(_xlpm.MyAuditVal&lt;&gt;"",UPPER(_xlpm.MyAuditVal),_xlpm.MacVal&lt;&gt;"",_xlpm.MacVal,_xlpm.CSVVal&lt;&gt;"",_xlpm.CSVVal
)),"")</f>
        <v/>
      </c>
      <c r="L866" s="40" t="str" cm="1">
        <f t="array" ref="L866">IFERROR(_xlfn.LET(
_xlpm.CSVVal,_xlfn.XLOOKUP($A866,CSV!$A:$A,CSV!P:P,""),
_xlpm.MacVal,_xlfn.XLOOKUP($A866,Output_Mac!$A:$A,Output_Mac!L:L,""),
_xlpm.MyAuditVal,_xlfn.XLOOKUP($A866,My_Audit!$A:$A,My_Audit!K:K,""),
_xlfn.IFS(_xlpm.MyAuditVal&lt;&gt;"",UPPER(_xlpm.MyAuditVal),_xlpm.MacVal&lt;&gt;"",_xlpm.MacVal,_xlpm.CSVVal&lt;&gt;"",_xlpm.CSVVal
)),"")</f>
        <v/>
      </c>
      <c r="M866" s="40" t="str" cm="1">
        <f t="array" ref="M866">IFERROR(_xlfn.LET(
_xlpm.CSVVal,_xlfn.XLOOKUP($A866,CSV!$A:$A,CSV!Q:Q,""),
_xlpm.MacVal,_xlfn.XLOOKUP($A866,Output_Mac!$A:$A,Output_Mac!M:M,""),
_xlpm.MyAuditVal,_xlfn.XLOOKUP($A866,My_Audit!$A:$A,My_Audit!L:L,""),
_xlfn.IFS(_xlpm.MyAuditVal&lt;&gt;"",UPPER(_xlpm.MyAuditVal),_xlpm.MacVal&lt;&gt;"",_xlpm.MacVal,_xlpm.CSVVal&lt;&gt;"",_xlpm.CSVVal
)),"")</f>
        <v/>
      </c>
      <c r="N866" s="40"/>
      <c r="O866" s="40" t="str">
        <f>_xlfn.LET(
    _xlpm.CSVVal, _xlfn.XLOOKUP($A866, CSV!$A:$A, CSV!AA:AA, ""),
    _xlpm.MacVal, _xlfn.XLOOKUP($A866, Output_Mac!$A:$A, Output_Mac!S:S, ""),
    _xlpm.MyAuditVal, _xlfn.XLOOKUP($A866, My_Audit!$A:$A, My_Audit!P:P, ""),
    _xlfn.TEXTJOIN(", ", TRUE, _xlpm.MyAuditVal, _xlpm.MacVal, _xlpm.CSVVal)
)</f>
        <v/>
      </c>
      <c r="P866" s="40" t="str" cm="1">
        <f t="array" ref="P866">IFERROR(_xlfn.LET(
_xlpm.CSVVal,_xlfn.XLOOKUP($A866,CSV!$A:$A,CSV!AB:AB,""),
_xlpm.MacVal,_xlfn.XLOOKUP($A866,Output_Mac!$A:$A,Output_Mac!T:T,""),
_xlpm.MyAuditVal,_xlfn.XLOOKUP($A866,My_Audit!$A:$A,My_Audit!Q:Q,""),
_xlfn.IFS(_xlpm.MyAuditVal&lt;&gt;"",UPPER(_xlpm.MyAuditVal),_xlpm.MacVal&lt;&gt;"",_xlpm.MacVal,_xlpm.CSVVal&lt;&gt;"",_xlpm.CSVVal
)),"No")</f>
        <v>No</v>
      </c>
      <c r="Q866" s="40" t="str" cm="1">
        <f t="array" ref="Q866">IFERROR(_xlfn.LET(
_xlpm.CSVVal,_xlfn.XLOOKUP($A866,CSV!$A:$A,CSV!AC:AC,""),
_xlpm.MacVal,_xlfn.XLOOKUP($A866,Output_Mac!$A:$A,Output_Mac!U:U,""),
_xlpm.MyAuditVal,_xlfn.XLOOKUP($A866,My_Audit!$A:$A,My_Audit!R:R,""),
_xlfn.IFS(_xlpm.MyAuditVal&lt;&gt;"",UPPER(_xlpm.MyAuditVal),_xlpm.MacVal&lt;&gt;"",_xlpm.MacVal,_xlpm.CSVVal&lt;&gt;"",_xlpm.CSVVal
)),"")</f>
        <v/>
      </c>
      <c r="R866" s="40"/>
      <c r="S866" s="40"/>
      <c r="T866" s="40"/>
      <c r="U866" s="40"/>
      <c r="V866" s="40"/>
      <c r="W866" s="40"/>
      <c r="X866" s="41" t="str">
        <f>_xlfn.LET(
    _xlpm.MacVal, _xlfn.XLOOKUP($A866, Output_Mac!$A:$A, Output_Mac!AB:AB, ""),
    _xlpm.MyAuditVal, _xlfn.XLOOKUP($A866, My_Audit!$A:$A, My_Audit!N:N, ""),
    _xlfn.TEXTJOIN(", ", TRUE, _xlpm.MyAuditVal, _xlpm.MacVal)
)</f>
        <v/>
      </c>
    </row>
    <row r="867" spans="1:24">
      <c r="A867" s="40" t="str">
        <f>_xlfn.TEXTJOIN("",TRUE,Input!$B$2,ROW(My_Audit!A866))</f>
        <v>X866</v>
      </c>
      <c r="B867" s="40" t="str">
        <f>_xlfn.TEXTJOIN("-",TRUE,"ITD",Input!$A$2,A867)</f>
        <v>ITD-X866</v>
      </c>
      <c r="C867" s="40" t="str" cm="1">
        <f t="array" ref="C867">IFERROR(_xlfn.LET(
_xlpm.CSVVal,_xlfn.XLOOKUP($A867,CSV!$A:$A,CSV!B:B,""),
_xlpm.MacVal,_xlfn.XLOOKUP($A867,Output_Mac!$A:$A,Output_Mac!B:B,""),
_xlpm.MyAuditVal,_xlfn.XLOOKUP($A867,My_Audit!$A:$A,My_Audit!B:B,""),
_xlfn.IFS(_xlpm.MyAuditVal&lt;&gt;"",UPPER(_xlpm.MyAuditVal),_xlpm.MacVal&lt;&gt;"",_xlpm.MacVal,_xlpm.CSVVal&lt;&gt;"",_xlpm.CSVVal
)),"")</f>
        <v/>
      </c>
      <c r="D867" s="40" t="str" cm="1">
        <f t="array" ref="D867">IFERROR(_xlfn.LET(
_xlpm.CSVVal,_xlfn.XLOOKUP($A867,CSV!$A:$A,CSV!D:D,""),
_xlpm.MacVal,_xlfn.XLOOKUP($A867,Output_Mac!$A:$A,Output_Mac!C:C,""),
_xlpm.MyAuditVal,_xlfn.XLOOKUP($A867,My_Audit!$A:$A,My_Audit!C:C,""),
_xlfn.IFS(_xlpm.MyAuditVal&lt;&gt;"",_xlpm.MyAuditVal,_xlpm.MacVal&lt;&gt;"",_xlpm.MacVal,_xlpm.CSVVal&lt;&gt;"",_xlpm.CSVVal
)),"")</f>
        <v/>
      </c>
      <c r="E867" s="40" t="str">
        <f>_xlfn.XLOOKUP(A867,My_Audit!A:A,My_Audit!D:D,"")</f>
        <v/>
      </c>
      <c r="F867" s="40" t="str" cm="1">
        <f t="array" ref="F867">IFERROR(_xlfn.LET(
_xlpm.CSVVal,_xlfn.XLOOKUP($A867,CSV!$A:$A,CSV!F:F,""),
_xlpm.MacVal,_xlfn.XLOOKUP($A867,Output_Mac!$A:$A,Output_Mac!E:E,""),
_xlpm.MyAuditVal,_xlfn.XLOOKUP($A867,My_Audit!$A:$A,My_Audit!E:E,""),
_xlfn.IFS(_xlpm.MyAuditVal&lt;&gt;"",_xlpm.MyAuditVal,_xlpm.MacVal&lt;&gt;"",_xlpm.MacVal,_xlpm.CSVVal&lt;&gt;"",_xlpm.CSVVal
)),"")</f>
        <v/>
      </c>
      <c r="G867" s="40" t="str" cm="1">
        <f t="array" ref="G867">IFERROR(_xlfn.LET(
_xlpm.CSVVal,_xlfn.XLOOKUP($A867,CSV!$A:$A,CSV!G:G,""),
_xlpm.MacVal,_xlfn.XLOOKUP($A867,Output_Mac!$A:$A,Output_Mac!F:F,""),
_xlpm.MyAuditVal,_xlfn.XLOOKUP($A867,My_Audit!$A:$A,My_Audit!F:F,""),
_xlfn.IFS(_xlpm.MyAuditVal&lt;&gt;"",_xlpm.MyAuditVal,_xlpm.MacVal&lt;&gt;"",_xlpm.MacVal,_xlpm.CSVVal&lt;&gt;"",PROPER(_xlpm.CSVVal)
)),"")</f>
        <v/>
      </c>
      <c r="H867" s="40" t="str" cm="1">
        <f t="array" ref="H867">IFERROR(_xlfn.LET(
_xlpm.CSVVal,_xlfn.XLOOKUP($A867,CSV!$A:$A,CSV!H:H,""),
_xlpm.MacVal,_xlfn.XLOOKUP($A867,Output_Mac!$A:$A,Output_Mac!H:H,""),
_xlpm.MyAuditVal,_xlfn.XLOOKUP($A867,My_Audit!$A:$A,My_Audit!G:G,""),
_xlfn.IFS(_xlpm.MyAuditVal&lt;&gt;"",_xlpm.MyAuditVal,_xlpm.MacVal&lt;&gt;"",_xlpm.MacVal,_xlpm.CSVVal&lt;&gt;"",_xlpm.CSVVal
)),"")</f>
        <v/>
      </c>
      <c r="I867" s="40" t="str">
        <f>_xlfn.XLOOKUP(A867,Output_Mac!A:A,Output_Mac!I:I,"")</f>
        <v/>
      </c>
      <c r="J867" s="40" t="str" cm="1">
        <f t="array" ref="J867">IFERROR(_xlfn.LET(
_xlpm.CSVVal,_xlfn.XLOOKUP($A867,CSV!$A:$A,CSV!I:I,""),
_xlpm.MacVal,_xlfn.XLOOKUP($A867,Output_Mac!$A:$A,Output_Mac!J:J,""),
_xlpm.MyAuditVal,_xlfn.XLOOKUP($A867,My_Audit!$A:$A,My_Audit!I:I,""),
_xlfn.IFS(_xlpm.MyAuditVal&lt;&gt;"",UPPER(_xlpm.MyAuditVal),_xlpm.MacVal&lt;&gt;"",_xlpm.MacVal,_xlpm.CSVVal&lt;&gt;"",_xlpm.CSVVal
)),"")</f>
        <v/>
      </c>
      <c r="K867" s="40" t="str" cm="1">
        <f t="array" ref="K867">IFERROR(_xlfn.LET(
_xlpm.CSVVal,_xlfn.XLOOKUP($A867,CSV!$A:$A,CSV!K:K,""),
_xlpm.MacVal,_xlfn.XLOOKUP($A867,Output_Mac!$A:$A,Output_Mac!K:K,""),
_xlpm.MyAuditVal,_xlfn.XLOOKUP($A867,My_Audit!$A:$A,My_Audit!J:J,""),
_xlfn.IFS(_xlpm.MyAuditVal&lt;&gt;"",UPPER(_xlpm.MyAuditVal),_xlpm.MacVal&lt;&gt;"",_xlpm.MacVal,_xlpm.CSVVal&lt;&gt;"",_xlpm.CSVVal
)),"")</f>
        <v/>
      </c>
      <c r="L867" s="40" t="str" cm="1">
        <f t="array" ref="L867">IFERROR(_xlfn.LET(
_xlpm.CSVVal,_xlfn.XLOOKUP($A867,CSV!$A:$A,CSV!P:P,""),
_xlpm.MacVal,_xlfn.XLOOKUP($A867,Output_Mac!$A:$A,Output_Mac!L:L,""),
_xlpm.MyAuditVal,_xlfn.XLOOKUP($A867,My_Audit!$A:$A,My_Audit!K:K,""),
_xlfn.IFS(_xlpm.MyAuditVal&lt;&gt;"",UPPER(_xlpm.MyAuditVal),_xlpm.MacVal&lt;&gt;"",_xlpm.MacVal,_xlpm.CSVVal&lt;&gt;"",_xlpm.CSVVal
)),"")</f>
        <v/>
      </c>
      <c r="M867" s="40" t="str" cm="1">
        <f t="array" ref="M867">IFERROR(_xlfn.LET(
_xlpm.CSVVal,_xlfn.XLOOKUP($A867,CSV!$A:$A,CSV!Q:Q,""),
_xlpm.MacVal,_xlfn.XLOOKUP($A867,Output_Mac!$A:$A,Output_Mac!M:M,""),
_xlpm.MyAuditVal,_xlfn.XLOOKUP($A867,My_Audit!$A:$A,My_Audit!L:L,""),
_xlfn.IFS(_xlpm.MyAuditVal&lt;&gt;"",UPPER(_xlpm.MyAuditVal),_xlpm.MacVal&lt;&gt;"",_xlpm.MacVal,_xlpm.CSVVal&lt;&gt;"",_xlpm.CSVVal
)),"")</f>
        <v/>
      </c>
      <c r="N867" s="40"/>
      <c r="O867" s="40" t="str">
        <f>_xlfn.LET(
    _xlpm.CSVVal, _xlfn.XLOOKUP($A867, CSV!$A:$A, CSV!AA:AA, ""),
    _xlpm.MacVal, _xlfn.XLOOKUP($A867, Output_Mac!$A:$A, Output_Mac!S:S, ""),
    _xlpm.MyAuditVal, _xlfn.XLOOKUP($A867, My_Audit!$A:$A, My_Audit!P:P, ""),
    _xlfn.TEXTJOIN(", ", TRUE, _xlpm.MyAuditVal, _xlpm.MacVal, _xlpm.CSVVal)
)</f>
        <v/>
      </c>
      <c r="P867" s="40" t="str" cm="1">
        <f t="array" ref="P867">IFERROR(_xlfn.LET(
_xlpm.CSVVal,_xlfn.XLOOKUP($A867,CSV!$A:$A,CSV!AB:AB,""),
_xlpm.MacVal,_xlfn.XLOOKUP($A867,Output_Mac!$A:$A,Output_Mac!T:T,""),
_xlpm.MyAuditVal,_xlfn.XLOOKUP($A867,My_Audit!$A:$A,My_Audit!Q:Q,""),
_xlfn.IFS(_xlpm.MyAuditVal&lt;&gt;"",UPPER(_xlpm.MyAuditVal),_xlpm.MacVal&lt;&gt;"",_xlpm.MacVal,_xlpm.CSVVal&lt;&gt;"",_xlpm.CSVVal
)),"No")</f>
        <v>No</v>
      </c>
      <c r="Q867" s="40" t="str" cm="1">
        <f t="array" ref="Q867">IFERROR(_xlfn.LET(
_xlpm.CSVVal,_xlfn.XLOOKUP($A867,CSV!$A:$A,CSV!AC:AC,""),
_xlpm.MacVal,_xlfn.XLOOKUP($A867,Output_Mac!$A:$A,Output_Mac!U:U,""),
_xlpm.MyAuditVal,_xlfn.XLOOKUP($A867,My_Audit!$A:$A,My_Audit!R:R,""),
_xlfn.IFS(_xlpm.MyAuditVal&lt;&gt;"",UPPER(_xlpm.MyAuditVal),_xlpm.MacVal&lt;&gt;"",_xlpm.MacVal,_xlpm.CSVVal&lt;&gt;"",_xlpm.CSVVal
)),"")</f>
        <v/>
      </c>
      <c r="R867" s="40"/>
      <c r="S867" s="40"/>
      <c r="T867" s="40"/>
      <c r="U867" s="40"/>
      <c r="V867" s="40"/>
      <c r="W867" s="40"/>
      <c r="X867" s="41" t="str">
        <f>_xlfn.LET(
    _xlpm.MacVal, _xlfn.XLOOKUP($A867, Output_Mac!$A:$A, Output_Mac!AB:AB, ""),
    _xlpm.MyAuditVal, _xlfn.XLOOKUP($A867, My_Audit!$A:$A, My_Audit!N:N, ""),
    _xlfn.TEXTJOIN(", ", TRUE, _xlpm.MyAuditVal, _xlpm.MacVal)
)</f>
        <v/>
      </c>
    </row>
    <row r="868" spans="1:24">
      <c r="A868" s="40" t="str">
        <f>_xlfn.TEXTJOIN("",TRUE,Input!$B$2,ROW(My_Audit!A867))</f>
        <v>X867</v>
      </c>
      <c r="B868" s="40" t="str">
        <f>_xlfn.TEXTJOIN("-",TRUE,"ITD",Input!$A$2,A868)</f>
        <v>ITD-X867</v>
      </c>
      <c r="C868" s="40" t="str" cm="1">
        <f t="array" ref="C868">IFERROR(_xlfn.LET(
_xlpm.CSVVal,_xlfn.XLOOKUP($A868,CSV!$A:$A,CSV!B:B,""),
_xlpm.MacVal,_xlfn.XLOOKUP($A868,Output_Mac!$A:$A,Output_Mac!B:B,""),
_xlpm.MyAuditVal,_xlfn.XLOOKUP($A868,My_Audit!$A:$A,My_Audit!B:B,""),
_xlfn.IFS(_xlpm.MyAuditVal&lt;&gt;"",UPPER(_xlpm.MyAuditVal),_xlpm.MacVal&lt;&gt;"",_xlpm.MacVal,_xlpm.CSVVal&lt;&gt;"",_xlpm.CSVVal
)),"")</f>
        <v/>
      </c>
      <c r="D868" s="40" t="str" cm="1">
        <f t="array" ref="D868">IFERROR(_xlfn.LET(
_xlpm.CSVVal,_xlfn.XLOOKUP($A868,CSV!$A:$A,CSV!D:D,""),
_xlpm.MacVal,_xlfn.XLOOKUP($A868,Output_Mac!$A:$A,Output_Mac!C:C,""),
_xlpm.MyAuditVal,_xlfn.XLOOKUP($A868,My_Audit!$A:$A,My_Audit!C:C,""),
_xlfn.IFS(_xlpm.MyAuditVal&lt;&gt;"",_xlpm.MyAuditVal,_xlpm.MacVal&lt;&gt;"",_xlpm.MacVal,_xlpm.CSVVal&lt;&gt;"",_xlpm.CSVVal
)),"")</f>
        <v/>
      </c>
      <c r="E868" s="40" t="str">
        <f>_xlfn.XLOOKUP(A868,My_Audit!A:A,My_Audit!D:D,"")</f>
        <v/>
      </c>
      <c r="F868" s="40" t="str" cm="1">
        <f t="array" ref="F868">IFERROR(_xlfn.LET(
_xlpm.CSVVal,_xlfn.XLOOKUP($A868,CSV!$A:$A,CSV!F:F,""),
_xlpm.MacVal,_xlfn.XLOOKUP($A868,Output_Mac!$A:$A,Output_Mac!E:E,""),
_xlpm.MyAuditVal,_xlfn.XLOOKUP($A868,My_Audit!$A:$A,My_Audit!E:E,""),
_xlfn.IFS(_xlpm.MyAuditVal&lt;&gt;"",_xlpm.MyAuditVal,_xlpm.MacVal&lt;&gt;"",_xlpm.MacVal,_xlpm.CSVVal&lt;&gt;"",_xlpm.CSVVal
)),"")</f>
        <v/>
      </c>
      <c r="G868" s="40" t="str" cm="1">
        <f t="array" ref="G868">IFERROR(_xlfn.LET(
_xlpm.CSVVal,_xlfn.XLOOKUP($A868,CSV!$A:$A,CSV!G:G,""),
_xlpm.MacVal,_xlfn.XLOOKUP($A868,Output_Mac!$A:$A,Output_Mac!F:F,""),
_xlpm.MyAuditVal,_xlfn.XLOOKUP($A868,My_Audit!$A:$A,My_Audit!F:F,""),
_xlfn.IFS(_xlpm.MyAuditVal&lt;&gt;"",_xlpm.MyAuditVal,_xlpm.MacVal&lt;&gt;"",_xlpm.MacVal,_xlpm.CSVVal&lt;&gt;"",PROPER(_xlpm.CSVVal)
)),"")</f>
        <v/>
      </c>
      <c r="H868" s="40" t="str" cm="1">
        <f t="array" ref="H868">IFERROR(_xlfn.LET(
_xlpm.CSVVal,_xlfn.XLOOKUP($A868,CSV!$A:$A,CSV!H:H,""),
_xlpm.MacVal,_xlfn.XLOOKUP($A868,Output_Mac!$A:$A,Output_Mac!H:H,""),
_xlpm.MyAuditVal,_xlfn.XLOOKUP($A868,My_Audit!$A:$A,My_Audit!G:G,""),
_xlfn.IFS(_xlpm.MyAuditVal&lt;&gt;"",_xlpm.MyAuditVal,_xlpm.MacVal&lt;&gt;"",_xlpm.MacVal,_xlpm.CSVVal&lt;&gt;"",_xlpm.CSVVal
)),"")</f>
        <v/>
      </c>
      <c r="I868" s="40" t="str">
        <f>_xlfn.XLOOKUP(A868,Output_Mac!A:A,Output_Mac!I:I,"")</f>
        <v/>
      </c>
      <c r="J868" s="40" t="str" cm="1">
        <f t="array" ref="J868">IFERROR(_xlfn.LET(
_xlpm.CSVVal,_xlfn.XLOOKUP($A868,CSV!$A:$A,CSV!I:I,""),
_xlpm.MacVal,_xlfn.XLOOKUP($A868,Output_Mac!$A:$A,Output_Mac!J:J,""),
_xlpm.MyAuditVal,_xlfn.XLOOKUP($A868,My_Audit!$A:$A,My_Audit!I:I,""),
_xlfn.IFS(_xlpm.MyAuditVal&lt;&gt;"",UPPER(_xlpm.MyAuditVal),_xlpm.MacVal&lt;&gt;"",_xlpm.MacVal,_xlpm.CSVVal&lt;&gt;"",_xlpm.CSVVal
)),"")</f>
        <v/>
      </c>
      <c r="K868" s="40" t="str" cm="1">
        <f t="array" ref="K868">IFERROR(_xlfn.LET(
_xlpm.CSVVal,_xlfn.XLOOKUP($A868,CSV!$A:$A,CSV!K:K,""),
_xlpm.MacVal,_xlfn.XLOOKUP($A868,Output_Mac!$A:$A,Output_Mac!K:K,""),
_xlpm.MyAuditVal,_xlfn.XLOOKUP($A868,My_Audit!$A:$A,My_Audit!J:J,""),
_xlfn.IFS(_xlpm.MyAuditVal&lt;&gt;"",UPPER(_xlpm.MyAuditVal),_xlpm.MacVal&lt;&gt;"",_xlpm.MacVal,_xlpm.CSVVal&lt;&gt;"",_xlpm.CSVVal
)),"")</f>
        <v/>
      </c>
      <c r="L868" s="40" t="str" cm="1">
        <f t="array" ref="L868">IFERROR(_xlfn.LET(
_xlpm.CSVVal,_xlfn.XLOOKUP($A868,CSV!$A:$A,CSV!P:P,""),
_xlpm.MacVal,_xlfn.XLOOKUP($A868,Output_Mac!$A:$A,Output_Mac!L:L,""),
_xlpm.MyAuditVal,_xlfn.XLOOKUP($A868,My_Audit!$A:$A,My_Audit!K:K,""),
_xlfn.IFS(_xlpm.MyAuditVal&lt;&gt;"",UPPER(_xlpm.MyAuditVal),_xlpm.MacVal&lt;&gt;"",_xlpm.MacVal,_xlpm.CSVVal&lt;&gt;"",_xlpm.CSVVal
)),"")</f>
        <v/>
      </c>
      <c r="M868" s="40" t="str" cm="1">
        <f t="array" ref="M868">IFERROR(_xlfn.LET(
_xlpm.CSVVal,_xlfn.XLOOKUP($A868,CSV!$A:$A,CSV!Q:Q,""),
_xlpm.MacVal,_xlfn.XLOOKUP($A868,Output_Mac!$A:$A,Output_Mac!M:M,""),
_xlpm.MyAuditVal,_xlfn.XLOOKUP($A868,My_Audit!$A:$A,My_Audit!L:L,""),
_xlfn.IFS(_xlpm.MyAuditVal&lt;&gt;"",UPPER(_xlpm.MyAuditVal),_xlpm.MacVal&lt;&gt;"",_xlpm.MacVal,_xlpm.CSVVal&lt;&gt;"",_xlpm.CSVVal
)),"")</f>
        <v/>
      </c>
      <c r="N868" s="40"/>
      <c r="O868" s="40" t="str">
        <f>_xlfn.LET(
    _xlpm.CSVVal, _xlfn.XLOOKUP($A868, CSV!$A:$A, CSV!AA:AA, ""),
    _xlpm.MacVal, _xlfn.XLOOKUP($A868, Output_Mac!$A:$A, Output_Mac!S:S, ""),
    _xlpm.MyAuditVal, _xlfn.XLOOKUP($A868, My_Audit!$A:$A, My_Audit!P:P, ""),
    _xlfn.TEXTJOIN(", ", TRUE, _xlpm.MyAuditVal, _xlpm.MacVal, _xlpm.CSVVal)
)</f>
        <v/>
      </c>
      <c r="P868" s="40" t="str" cm="1">
        <f t="array" ref="P868">IFERROR(_xlfn.LET(
_xlpm.CSVVal,_xlfn.XLOOKUP($A868,CSV!$A:$A,CSV!AB:AB,""),
_xlpm.MacVal,_xlfn.XLOOKUP($A868,Output_Mac!$A:$A,Output_Mac!T:T,""),
_xlpm.MyAuditVal,_xlfn.XLOOKUP($A868,My_Audit!$A:$A,My_Audit!Q:Q,""),
_xlfn.IFS(_xlpm.MyAuditVal&lt;&gt;"",UPPER(_xlpm.MyAuditVal),_xlpm.MacVal&lt;&gt;"",_xlpm.MacVal,_xlpm.CSVVal&lt;&gt;"",_xlpm.CSVVal
)),"No")</f>
        <v>No</v>
      </c>
      <c r="Q868" s="40" t="str" cm="1">
        <f t="array" ref="Q868">IFERROR(_xlfn.LET(
_xlpm.CSVVal,_xlfn.XLOOKUP($A868,CSV!$A:$A,CSV!AC:AC,""),
_xlpm.MacVal,_xlfn.XLOOKUP($A868,Output_Mac!$A:$A,Output_Mac!U:U,""),
_xlpm.MyAuditVal,_xlfn.XLOOKUP($A868,My_Audit!$A:$A,My_Audit!R:R,""),
_xlfn.IFS(_xlpm.MyAuditVal&lt;&gt;"",UPPER(_xlpm.MyAuditVal),_xlpm.MacVal&lt;&gt;"",_xlpm.MacVal,_xlpm.CSVVal&lt;&gt;"",_xlpm.CSVVal
)),"")</f>
        <v/>
      </c>
      <c r="R868" s="40"/>
      <c r="S868" s="40"/>
      <c r="T868" s="40"/>
      <c r="U868" s="40"/>
      <c r="V868" s="40"/>
      <c r="W868" s="40"/>
      <c r="X868" s="41" t="str">
        <f>_xlfn.LET(
    _xlpm.MacVal, _xlfn.XLOOKUP($A868, Output_Mac!$A:$A, Output_Mac!AB:AB, ""),
    _xlpm.MyAuditVal, _xlfn.XLOOKUP($A868, My_Audit!$A:$A, My_Audit!N:N, ""),
    _xlfn.TEXTJOIN(", ", TRUE, _xlpm.MyAuditVal, _xlpm.MacVal)
)</f>
        <v/>
      </c>
    </row>
    <row r="869" spans="1:24">
      <c r="A869" s="40" t="str">
        <f>_xlfn.TEXTJOIN("",TRUE,Input!$B$2,ROW(My_Audit!A868))</f>
        <v>X868</v>
      </c>
      <c r="B869" s="40" t="str">
        <f>_xlfn.TEXTJOIN("-",TRUE,"ITD",Input!$A$2,A869)</f>
        <v>ITD-X868</v>
      </c>
      <c r="C869" s="40" t="str" cm="1">
        <f t="array" ref="C869">IFERROR(_xlfn.LET(
_xlpm.CSVVal,_xlfn.XLOOKUP($A869,CSV!$A:$A,CSV!B:B,""),
_xlpm.MacVal,_xlfn.XLOOKUP($A869,Output_Mac!$A:$A,Output_Mac!B:B,""),
_xlpm.MyAuditVal,_xlfn.XLOOKUP($A869,My_Audit!$A:$A,My_Audit!B:B,""),
_xlfn.IFS(_xlpm.MyAuditVal&lt;&gt;"",UPPER(_xlpm.MyAuditVal),_xlpm.MacVal&lt;&gt;"",_xlpm.MacVal,_xlpm.CSVVal&lt;&gt;"",_xlpm.CSVVal
)),"")</f>
        <v/>
      </c>
      <c r="D869" s="40" t="str" cm="1">
        <f t="array" ref="D869">IFERROR(_xlfn.LET(
_xlpm.CSVVal,_xlfn.XLOOKUP($A869,CSV!$A:$A,CSV!D:D,""),
_xlpm.MacVal,_xlfn.XLOOKUP($A869,Output_Mac!$A:$A,Output_Mac!C:C,""),
_xlpm.MyAuditVal,_xlfn.XLOOKUP($A869,My_Audit!$A:$A,My_Audit!C:C,""),
_xlfn.IFS(_xlpm.MyAuditVal&lt;&gt;"",_xlpm.MyAuditVal,_xlpm.MacVal&lt;&gt;"",_xlpm.MacVal,_xlpm.CSVVal&lt;&gt;"",_xlpm.CSVVal
)),"")</f>
        <v/>
      </c>
      <c r="E869" s="40" t="str">
        <f>_xlfn.XLOOKUP(A869,My_Audit!A:A,My_Audit!D:D,"")</f>
        <v/>
      </c>
      <c r="F869" s="40" t="str" cm="1">
        <f t="array" ref="F869">IFERROR(_xlfn.LET(
_xlpm.CSVVal,_xlfn.XLOOKUP($A869,CSV!$A:$A,CSV!F:F,""),
_xlpm.MacVal,_xlfn.XLOOKUP($A869,Output_Mac!$A:$A,Output_Mac!E:E,""),
_xlpm.MyAuditVal,_xlfn.XLOOKUP($A869,My_Audit!$A:$A,My_Audit!E:E,""),
_xlfn.IFS(_xlpm.MyAuditVal&lt;&gt;"",_xlpm.MyAuditVal,_xlpm.MacVal&lt;&gt;"",_xlpm.MacVal,_xlpm.CSVVal&lt;&gt;"",_xlpm.CSVVal
)),"")</f>
        <v/>
      </c>
      <c r="G869" s="40" t="str" cm="1">
        <f t="array" ref="G869">IFERROR(_xlfn.LET(
_xlpm.CSVVal,_xlfn.XLOOKUP($A869,CSV!$A:$A,CSV!G:G,""),
_xlpm.MacVal,_xlfn.XLOOKUP($A869,Output_Mac!$A:$A,Output_Mac!F:F,""),
_xlpm.MyAuditVal,_xlfn.XLOOKUP($A869,My_Audit!$A:$A,My_Audit!F:F,""),
_xlfn.IFS(_xlpm.MyAuditVal&lt;&gt;"",_xlpm.MyAuditVal,_xlpm.MacVal&lt;&gt;"",_xlpm.MacVal,_xlpm.CSVVal&lt;&gt;"",PROPER(_xlpm.CSVVal)
)),"")</f>
        <v/>
      </c>
      <c r="H869" s="40" t="str" cm="1">
        <f t="array" ref="H869">IFERROR(_xlfn.LET(
_xlpm.CSVVal,_xlfn.XLOOKUP($A869,CSV!$A:$A,CSV!H:H,""),
_xlpm.MacVal,_xlfn.XLOOKUP($A869,Output_Mac!$A:$A,Output_Mac!H:H,""),
_xlpm.MyAuditVal,_xlfn.XLOOKUP($A869,My_Audit!$A:$A,My_Audit!G:G,""),
_xlfn.IFS(_xlpm.MyAuditVal&lt;&gt;"",_xlpm.MyAuditVal,_xlpm.MacVal&lt;&gt;"",_xlpm.MacVal,_xlpm.CSVVal&lt;&gt;"",_xlpm.CSVVal
)),"")</f>
        <v/>
      </c>
      <c r="I869" s="40" t="str">
        <f>_xlfn.XLOOKUP(A869,Output_Mac!A:A,Output_Mac!I:I,"")</f>
        <v/>
      </c>
      <c r="J869" s="40" t="str" cm="1">
        <f t="array" ref="J869">IFERROR(_xlfn.LET(
_xlpm.CSVVal,_xlfn.XLOOKUP($A869,CSV!$A:$A,CSV!I:I,""),
_xlpm.MacVal,_xlfn.XLOOKUP($A869,Output_Mac!$A:$A,Output_Mac!J:J,""),
_xlpm.MyAuditVal,_xlfn.XLOOKUP($A869,My_Audit!$A:$A,My_Audit!I:I,""),
_xlfn.IFS(_xlpm.MyAuditVal&lt;&gt;"",UPPER(_xlpm.MyAuditVal),_xlpm.MacVal&lt;&gt;"",_xlpm.MacVal,_xlpm.CSVVal&lt;&gt;"",_xlpm.CSVVal
)),"")</f>
        <v/>
      </c>
      <c r="K869" s="40" t="str" cm="1">
        <f t="array" ref="K869">IFERROR(_xlfn.LET(
_xlpm.CSVVal,_xlfn.XLOOKUP($A869,CSV!$A:$A,CSV!K:K,""),
_xlpm.MacVal,_xlfn.XLOOKUP($A869,Output_Mac!$A:$A,Output_Mac!K:K,""),
_xlpm.MyAuditVal,_xlfn.XLOOKUP($A869,My_Audit!$A:$A,My_Audit!J:J,""),
_xlfn.IFS(_xlpm.MyAuditVal&lt;&gt;"",UPPER(_xlpm.MyAuditVal),_xlpm.MacVal&lt;&gt;"",_xlpm.MacVal,_xlpm.CSVVal&lt;&gt;"",_xlpm.CSVVal
)),"")</f>
        <v/>
      </c>
      <c r="L869" s="40" t="str" cm="1">
        <f t="array" ref="L869">IFERROR(_xlfn.LET(
_xlpm.CSVVal,_xlfn.XLOOKUP($A869,CSV!$A:$A,CSV!P:P,""),
_xlpm.MacVal,_xlfn.XLOOKUP($A869,Output_Mac!$A:$A,Output_Mac!L:L,""),
_xlpm.MyAuditVal,_xlfn.XLOOKUP($A869,My_Audit!$A:$A,My_Audit!K:K,""),
_xlfn.IFS(_xlpm.MyAuditVal&lt;&gt;"",UPPER(_xlpm.MyAuditVal),_xlpm.MacVal&lt;&gt;"",_xlpm.MacVal,_xlpm.CSVVal&lt;&gt;"",_xlpm.CSVVal
)),"")</f>
        <v/>
      </c>
      <c r="M869" s="40" t="str" cm="1">
        <f t="array" ref="M869">IFERROR(_xlfn.LET(
_xlpm.CSVVal,_xlfn.XLOOKUP($A869,CSV!$A:$A,CSV!Q:Q,""),
_xlpm.MacVal,_xlfn.XLOOKUP($A869,Output_Mac!$A:$A,Output_Mac!M:M,""),
_xlpm.MyAuditVal,_xlfn.XLOOKUP($A869,My_Audit!$A:$A,My_Audit!L:L,""),
_xlfn.IFS(_xlpm.MyAuditVal&lt;&gt;"",UPPER(_xlpm.MyAuditVal),_xlpm.MacVal&lt;&gt;"",_xlpm.MacVal,_xlpm.CSVVal&lt;&gt;"",_xlpm.CSVVal
)),"")</f>
        <v/>
      </c>
      <c r="N869" s="40"/>
      <c r="O869" s="40" t="str">
        <f>_xlfn.LET(
    _xlpm.CSVVal, _xlfn.XLOOKUP($A869, CSV!$A:$A, CSV!AA:AA, ""),
    _xlpm.MacVal, _xlfn.XLOOKUP($A869, Output_Mac!$A:$A, Output_Mac!S:S, ""),
    _xlpm.MyAuditVal, _xlfn.XLOOKUP($A869, My_Audit!$A:$A, My_Audit!P:P, ""),
    _xlfn.TEXTJOIN(", ", TRUE, _xlpm.MyAuditVal, _xlpm.MacVal, _xlpm.CSVVal)
)</f>
        <v/>
      </c>
      <c r="P869" s="40" t="str" cm="1">
        <f t="array" ref="P869">IFERROR(_xlfn.LET(
_xlpm.CSVVal,_xlfn.XLOOKUP($A869,CSV!$A:$A,CSV!AB:AB,""),
_xlpm.MacVal,_xlfn.XLOOKUP($A869,Output_Mac!$A:$A,Output_Mac!T:T,""),
_xlpm.MyAuditVal,_xlfn.XLOOKUP($A869,My_Audit!$A:$A,My_Audit!Q:Q,""),
_xlfn.IFS(_xlpm.MyAuditVal&lt;&gt;"",UPPER(_xlpm.MyAuditVal),_xlpm.MacVal&lt;&gt;"",_xlpm.MacVal,_xlpm.CSVVal&lt;&gt;"",_xlpm.CSVVal
)),"No")</f>
        <v>No</v>
      </c>
      <c r="Q869" s="40" t="str" cm="1">
        <f t="array" ref="Q869">IFERROR(_xlfn.LET(
_xlpm.CSVVal,_xlfn.XLOOKUP($A869,CSV!$A:$A,CSV!AC:AC,""),
_xlpm.MacVal,_xlfn.XLOOKUP($A869,Output_Mac!$A:$A,Output_Mac!U:U,""),
_xlpm.MyAuditVal,_xlfn.XLOOKUP($A869,My_Audit!$A:$A,My_Audit!R:R,""),
_xlfn.IFS(_xlpm.MyAuditVal&lt;&gt;"",UPPER(_xlpm.MyAuditVal),_xlpm.MacVal&lt;&gt;"",_xlpm.MacVal,_xlpm.CSVVal&lt;&gt;"",_xlpm.CSVVal
)),"")</f>
        <v/>
      </c>
      <c r="R869" s="40"/>
      <c r="S869" s="40"/>
      <c r="T869" s="40"/>
      <c r="U869" s="40"/>
      <c r="V869" s="40"/>
      <c r="W869" s="40"/>
      <c r="X869" s="41" t="str">
        <f>_xlfn.LET(
    _xlpm.MacVal, _xlfn.XLOOKUP($A869, Output_Mac!$A:$A, Output_Mac!AB:AB, ""),
    _xlpm.MyAuditVal, _xlfn.XLOOKUP($A869, My_Audit!$A:$A, My_Audit!N:N, ""),
    _xlfn.TEXTJOIN(", ", TRUE, _xlpm.MyAuditVal, _xlpm.MacVal)
)</f>
        <v/>
      </c>
    </row>
    <row r="870" spans="1:24">
      <c r="A870" s="40" t="str">
        <f>_xlfn.TEXTJOIN("",TRUE,Input!$B$2,ROW(My_Audit!A869))</f>
        <v>X869</v>
      </c>
      <c r="B870" s="40" t="str">
        <f>_xlfn.TEXTJOIN("-",TRUE,"ITD",Input!$A$2,A870)</f>
        <v>ITD-X869</v>
      </c>
      <c r="C870" s="40" t="str" cm="1">
        <f t="array" ref="C870">IFERROR(_xlfn.LET(
_xlpm.CSVVal,_xlfn.XLOOKUP($A870,CSV!$A:$A,CSV!B:B,""),
_xlpm.MacVal,_xlfn.XLOOKUP($A870,Output_Mac!$A:$A,Output_Mac!B:B,""),
_xlpm.MyAuditVal,_xlfn.XLOOKUP($A870,My_Audit!$A:$A,My_Audit!B:B,""),
_xlfn.IFS(_xlpm.MyAuditVal&lt;&gt;"",UPPER(_xlpm.MyAuditVal),_xlpm.MacVal&lt;&gt;"",_xlpm.MacVal,_xlpm.CSVVal&lt;&gt;"",_xlpm.CSVVal
)),"")</f>
        <v/>
      </c>
      <c r="D870" s="40" t="str" cm="1">
        <f t="array" ref="D870">IFERROR(_xlfn.LET(
_xlpm.CSVVal,_xlfn.XLOOKUP($A870,CSV!$A:$A,CSV!D:D,""),
_xlpm.MacVal,_xlfn.XLOOKUP($A870,Output_Mac!$A:$A,Output_Mac!C:C,""),
_xlpm.MyAuditVal,_xlfn.XLOOKUP($A870,My_Audit!$A:$A,My_Audit!C:C,""),
_xlfn.IFS(_xlpm.MyAuditVal&lt;&gt;"",_xlpm.MyAuditVal,_xlpm.MacVal&lt;&gt;"",_xlpm.MacVal,_xlpm.CSVVal&lt;&gt;"",_xlpm.CSVVal
)),"")</f>
        <v/>
      </c>
      <c r="E870" s="40" t="str">
        <f>_xlfn.XLOOKUP(A870,My_Audit!A:A,My_Audit!D:D,"")</f>
        <v/>
      </c>
      <c r="F870" s="40" t="str" cm="1">
        <f t="array" ref="F870">IFERROR(_xlfn.LET(
_xlpm.CSVVal,_xlfn.XLOOKUP($A870,CSV!$A:$A,CSV!F:F,""),
_xlpm.MacVal,_xlfn.XLOOKUP($A870,Output_Mac!$A:$A,Output_Mac!E:E,""),
_xlpm.MyAuditVal,_xlfn.XLOOKUP($A870,My_Audit!$A:$A,My_Audit!E:E,""),
_xlfn.IFS(_xlpm.MyAuditVal&lt;&gt;"",_xlpm.MyAuditVal,_xlpm.MacVal&lt;&gt;"",_xlpm.MacVal,_xlpm.CSVVal&lt;&gt;"",_xlpm.CSVVal
)),"")</f>
        <v/>
      </c>
      <c r="G870" s="40" t="str" cm="1">
        <f t="array" ref="G870">IFERROR(_xlfn.LET(
_xlpm.CSVVal,_xlfn.XLOOKUP($A870,CSV!$A:$A,CSV!G:G,""),
_xlpm.MacVal,_xlfn.XLOOKUP($A870,Output_Mac!$A:$A,Output_Mac!F:F,""),
_xlpm.MyAuditVal,_xlfn.XLOOKUP($A870,My_Audit!$A:$A,My_Audit!F:F,""),
_xlfn.IFS(_xlpm.MyAuditVal&lt;&gt;"",_xlpm.MyAuditVal,_xlpm.MacVal&lt;&gt;"",_xlpm.MacVal,_xlpm.CSVVal&lt;&gt;"",PROPER(_xlpm.CSVVal)
)),"")</f>
        <v/>
      </c>
      <c r="H870" s="40" t="str" cm="1">
        <f t="array" ref="H870">IFERROR(_xlfn.LET(
_xlpm.CSVVal,_xlfn.XLOOKUP($A870,CSV!$A:$A,CSV!H:H,""),
_xlpm.MacVal,_xlfn.XLOOKUP($A870,Output_Mac!$A:$A,Output_Mac!H:H,""),
_xlpm.MyAuditVal,_xlfn.XLOOKUP($A870,My_Audit!$A:$A,My_Audit!G:G,""),
_xlfn.IFS(_xlpm.MyAuditVal&lt;&gt;"",_xlpm.MyAuditVal,_xlpm.MacVal&lt;&gt;"",_xlpm.MacVal,_xlpm.CSVVal&lt;&gt;"",_xlpm.CSVVal
)),"")</f>
        <v/>
      </c>
      <c r="I870" s="40" t="str">
        <f>_xlfn.XLOOKUP(A870,Output_Mac!A:A,Output_Mac!I:I,"")</f>
        <v/>
      </c>
      <c r="J870" s="40" t="str" cm="1">
        <f t="array" ref="J870">IFERROR(_xlfn.LET(
_xlpm.CSVVal,_xlfn.XLOOKUP($A870,CSV!$A:$A,CSV!I:I,""),
_xlpm.MacVal,_xlfn.XLOOKUP($A870,Output_Mac!$A:$A,Output_Mac!J:J,""),
_xlpm.MyAuditVal,_xlfn.XLOOKUP($A870,My_Audit!$A:$A,My_Audit!I:I,""),
_xlfn.IFS(_xlpm.MyAuditVal&lt;&gt;"",UPPER(_xlpm.MyAuditVal),_xlpm.MacVal&lt;&gt;"",_xlpm.MacVal,_xlpm.CSVVal&lt;&gt;"",_xlpm.CSVVal
)),"")</f>
        <v/>
      </c>
      <c r="K870" s="40" t="str" cm="1">
        <f t="array" ref="K870">IFERROR(_xlfn.LET(
_xlpm.CSVVal,_xlfn.XLOOKUP($A870,CSV!$A:$A,CSV!K:K,""),
_xlpm.MacVal,_xlfn.XLOOKUP($A870,Output_Mac!$A:$A,Output_Mac!K:K,""),
_xlpm.MyAuditVal,_xlfn.XLOOKUP($A870,My_Audit!$A:$A,My_Audit!J:J,""),
_xlfn.IFS(_xlpm.MyAuditVal&lt;&gt;"",UPPER(_xlpm.MyAuditVal),_xlpm.MacVal&lt;&gt;"",_xlpm.MacVal,_xlpm.CSVVal&lt;&gt;"",_xlpm.CSVVal
)),"")</f>
        <v/>
      </c>
      <c r="L870" s="40" t="str" cm="1">
        <f t="array" ref="L870">IFERROR(_xlfn.LET(
_xlpm.CSVVal,_xlfn.XLOOKUP($A870,CSV!$A:$A,CSV!P:P,""),
_xlpm.MacVal,_xlfn.XLOOKUP($A870,Output_Mac!$A:$A,Output_Mac!L:L,""),
_xlpm.MyAuditVal,_xlfn.XLOOKUP($A870,My_Audit!$A:$A,My_Audit!K:K,""),
_xlfn.IFS(_xlpm.MyAuditVal&lt;&gt;"",UPPER(_xlpm.MyAuditVal),_xlpm.MacVal&lt;&gt;"",_xlpm.MacVal,_xlpm.CSVVal&lt;&gt;"",_xlpm.CSVVal
)),"")</f>
        <v/>
      </c>
      <c r="M870" s="40" t="str" cm="1">
        <f t="array" ref="M870">IFERROR(_xlfn.LET(
_xlpm.CSVVal,_xlfn.XLOOKUP($A870,CSV!$A:$A,CSV!Q:Q,""),
_xlpm.MacVal,_xlfn.XLOOKUP($A870,Output_Mac!$A:$A,Output_Mac!M:M,""),
_xlpm.MyAuditVal,_xlfn.XLOOKUP($A870,My_Audit!$A:$A,My_Audit!L:L,""),
_xlfn.IFS(_xlpm.MyAuditVal&lt;&gt;"",UPPER(_xlpm.MyAuditVal),_xlpm.MacVal&lt;&gt;"",_xlpm.MacVal,_xlpm.CSVVal&lt;&gt;"",_xlpm.CSVVal
)),"")</f>
        <v/>
      </c>
      <c r="N870" s="40"/>
      <c r="O870" s="40" t="str">
        <f>_xlfn.LET(
    _xlpm.CSVVal, _xlfn.XLOOKUP($A870, CSV!$A:$A, CSV!AA:AA, ""),
    _xlpm.MacVal, _xlfn.XLOOKUP($A870, Output_Mac!$A:$A, Output_Mac!S:S, ""),
    _xlpm.MyAuditVal, _xlfn.XLOOKUP($A870, My_Audit!$A:$A, My_Audit!P:P, ""),
    _xlfn.TEXTJOIN(", ", TRUE, _xlpm.MyAuditVal, _xlpm.MacVal, _xlpm.CSVVal)
)</f>
        <v/>
      </c>
      <c r="P870" s="40" t="str" cm="1">
        <f t="array" ref="P870">IFERROR(_xlfn.LET(
_xlpm.CSVVal,_xlfn.XLOOKUP($A870,CSV!$A:$A,CSV!AB:AB,""),
_xlpm.MacVal,_xlfn.XLOOKUP($A870,Output_Mac!$A:$A,Output_Mac!T:T,""),
_xlpm.MyAuditVal,_xlfn.XLOOKUP($A870,My_Audit!$A:$A,My_Audit!Q:Q,""),
_xlfn.IFS(_xlpm.MyAuditVal&lt;&gt;"",UPPER(_xlpm.MyAuditVal),_xlpm.MacVal&lt;&gt;"",_xlpm.MacVal,_xlpm.CSVVal&lt;&gt;"",_xlpm.CSVVal
)),"No")</f>
        <v>No</v>
      </c>
      <c r="Q870" s="40" t="str" cm="1">
        <f t="array" ref="Q870">IFERROR(_xlfn.LET(
_xlpm.CSVVal,_xlfn.XLOOKUP($A870,CSV!$A:$A,CSV!AC:AC,""),
_xlpm.MacVal,_xlfn.XLOOKUP($A870,Output_Mac!$A:$A,Output_Mac!U:U,""),
_xlpm.MyAuditVal,_xlfn.XLOOKUP($A870,My_Audit!$A:$A,My_Audit!R:R,""),
_xlfn.IFS(_xlpm.MyAuditVal&lt;&gt;"",UPPER(_xlpm.MyAuditVal),_xlpm.MacVal&lt;&gt;"",_xlpm.MacVal,_xlpm.CSVVal&lt;&gt;"",_xlpm.CSVVal
)),"")</f>
        <v/>
      </c>
      <c r="R870" s="40"/>
      <c r="S870" s="40"/>
      <c r="T870" s="40"/>
      <c r="U870" s="40"/>
      <c r="V870" s="40"/>
      <c r="W870" s="40"/>
      <c r="X870" s="41" t="str">
        <f>_xlfn.LET(
    _xlpm.MacVal, _xlfn.XLOOKUP($A870, Output_Mac!$A:$A, Output_Mac!AB:AB, ""),
    _xlpm.MyAuditVal, _xlfn.XLOOKUP($A870, My_Audit!$A:$A, My_Audit!N:N, ""),
    _xlfn.TEXTJOIN(", ", TRUE, _xlpm.MyAuditVal, _xlpm.MacVal)
)</f>
        <v/>
      </c>
    </row>
    <row r="871" spans="1:24">
      <c r="A871" s="40" t="str">
        <f>_xlfn.TEXTJOIN("",TRUE,Input!$B$2,ROW(My_Audit!A870))</f>
        <v>X870</v>
      </c>
      <c r="B871" s="40" t="str">
        <f>_xlfn.TEXTJOIN("-",TRUE,"ITD",Input!$A$2,A871)</f>
        <v>ITD-X870</v>
      </c>
      <c r="C871" s="40" t="str" cm="1">
        <f t="array" ref="C871">IFERROR(_xlfn.LET(
_xlpm.CSVVal,_xlfn.XLOOKUP($A871,CSV!$A:$A,CSV!B:B,""),
_xlpm.MacVal,_xlfn.XLOOKUP($A871,Output_Mac!$A:$A,Output_Mac!B:B,""),
_xlpm.MyAuditVal,_xlfn.XLOOKUP($A871,My_Audit!$A:$A,My_Audit!B:B,""),
_xlfn.IFS(_xlpm.MyAuditVal&lt;&gt;"",UPPER(_xlpm.MyAuditVal),_xlpm.MacVal&lt;&gt;"",_xlpm.MacVal,_xlpm.CSVVal&lt;&gt;"",_xlpm.CSVVal
)),"")</f>
        <v/>
      </c>
      <c r="D871" s="40" t="str" cm="1">
        <f t="array" ref="D871">IFERROR(_xlfn.LET(
_xlpm.CSVVal,_xlfn.XLOOKUP($A871,CSV!$A:$A,CSV!D:D,""),
_xlpm.MacVal,_xlfn.XLOOKUP($A871,Output_Mac!$A:$A,Output_Mac!C:C,""),
_xlpm.MyAuditVal,_xlfn.XLOOKUP($A871,My_Audit!$A:$A,My_Audit!C:C,""),
_xlfn.IFS(_xlpm.MyAuditVal&lt;&gt;"",_xlpm.MyAuditVal,_xlpm.MacVal&lt;&gt;"",_xlpm.MacVal,_xlpm.CSVVal&lt;&gt;"",_xlpm.CSVVal
)),"")</f>
        <v/>
      </c>
      <c r="E871" s="40" t="str">
        <f>_xlfn.XLOOKUP(A871,My_Audit!A:A,My_Audit!D:D,"")</f>
        <v/>
      </c>
      <c r="F871" s="40" t="str" cm="1">
        <f t="array" ref="F871">IFERROR(_xlfn.LET(
_xlpm.CSVVal,_xlfn.XLOOKUP($A871,CSV!$A:$A,CSV!F:F,""),
_xlpm.MacVal,_xlfn.XLOOKUP($A871,Output_Mac!$A:$A,Output_Mac!E:E,""),
_xlpm.MyAuditVal,_xlfn.XLOOKUP($A871,My_Audit!$A:$A,My_Audit!E:E,""),
_xlfn.IFS(_xlpm.MyAuditVal&lt;&gt;"",_xlpm.MyAuditVal,_xlpm.MacVal&lt;&gt;"",_xlpm.MacVal,_xlpm.CSVVal&lt;&gt;"",_xlpm.CSVVal
)),"")</f>
        <v/>
      </c>
      <c r="G871" s="40" t="str" cm="1">
        <f t="array" ref="G871">IFERROR(_xlfn.LET(
_xlpm.CSVVal,_xlfn.XLOOKUP($A871,CSV!$A:$A,CSV!G:G,""),
_xlpm.MacVal,_xlfn.XLOOKUP($A871,Output_Mac!$A:$A,Output_Mac!F:F,""),
_xlpm.MyAuditVal,_xlfn.XLOOKUP($A871,My_Audit!$A:$A,My_Audit!F:F,""),
_xlfn.IFS(_xlpm.MyAuditVal&lt;&gt;"",_xlpm.MyAuditVal,_xlpm.MacVal&lt;&gt;"",_xlpm.MacVal,_xlpm.CSVVal&lt;&gt;"",PROPER(_xlpm.CSVVal)
)),"")</f>
        <v/>
      </c>
      <c r="H871" s="40" t="str" cm="1">
        <f t="array" ref="H871">IFERROR(_xlfn.LET(
_xlpm.CSVVal,_xlfn.XLOOKUP($A871,CSV!$A:$A,CSV!H:H,""),
_xlpm.MacVal,_xlfn.XLOOKUP($A871,Output_Mac!$A:$A,Output_Mac!H:H,""),
_xlpm.MyAuditVal,_xlfn.XLOOKUP($A871,My_Audit!$A:$A,My_Audit!G:G,""),
_xlfn.IFS(_xlpm.MyAuditVal&lt;&gt;"",_xlpm.MyAuditVal,_xlpm.MacVal&lt;&gt;"",_xlpm.MacVal,_xlpm.CSVVal&lt;&gt;"",_xlpm.CSVVal
)),"")</f>
        <v/>
      </c>
      <c r="I871" s="40" t="str">
        <f>_xlfn.XLOOKUP(A871,Output_Mac!A:A,Output_Mac!I:I,"")</f>
        <v/>
      </c>
      <c r="J871" s="40" t="str" cm="1">
        <f t="array" ref="J871">IFERROR(_xlfn.LET(
_xlpm.CSVVal,_xlfn.XLOOKUP($A871,CSV!$A:$A,CSV!I:I,""),
_xlpm.MacVal,_xlfn.XLOOKUP($A871,Output_Mac!$A:$A,Output_Mac!J:J,""),
_xlpm.MyAuditVal,_xlfn.XLOOKUP($A871,My_Audit!$A:$A,My_Audit!I:I,""),
_xlfn.IFS(_xlpm.MyAuditVal&lt;&gt;"",UPPER(_xlpm.MyAuditVal),_xlpm.MacVal&lt;&gt;"",_xlpm.MacVal,_xlpm.CSVVal&lt;&gt;"",_xlpm.CSVVal
)),"")</f>
        <v/>
      </c>
      <c r="K871" s="40" t="str" cm="1">
        <f t="array" ref="K871">IFERROR(_xlfn.LET(
_xlpm.CSVVal,_xlfn.XLOOKUP($A871,CSV!$A:$A,CSV!K:K,""),
_xlpm.MacVal,_xlfn.XLOOKUP($A871,Output_Mac!$A:$A,Output_Mac!K:K,""),
_xlpm.MyAuditVal,_xlfn.XLOOKUP($A871,My_Audit!$A:$A,My_Audit!J:J,""),
_xlfn.IFS(_xlpm.MyAuditVal&lt;&gt;"",UPPER(_xlpm.MyAuditVal),_xlpm.MacVal&lt;&gt;"",_xlpm.MacVal,_xlpm.CSVVal&lt;&gt;"",_xlpm.CSVVal
)),"")</f>
        <v/>
      </c>
      <c r="L871" s="40" t="str" cm="1">
        <f t="array" ref="L871">IFERROR(_xlfn.LET(
_xlpm.CSVVal,_xlfn.XLOOKUP($A871,CSV!$A:$A,CSV!P:P,""),
_xlpm.MacVal,_xlfn.XLOOKUP($A871,Output_Mac!$A:$A,Output_Mac!L:L,""),
_xlpm.MyAuditVal,_xlfn.XLOOKUP($A871,My_Audit!$A:$A,My_Audit!K:K,""),
_xlfn.IFS(_xlpm.MyAuditVal&lt;&gt;"",UPPER(_xlpm.MyAuditVal),_xlpm.MacVal&lt;&gt;"",_xlpm.MacVal,_xlpm.CSVVal&lt;&gt;"",_xlpm.CSVVal
)),"")</f>
        <v/>
      </c>
      <c r="M871" s="40" t="str" cm="1">
        <f t="array" ref="M871">IFERROR(_xlfn.LET(
_xlpm.CSVVal,_xlfn.XLOOKUP($A871,CSV!$A:$A,CSV!Q:Q,""),
_xlpm.MacVal,_xlfn.XLOOKUP($A871,Output_Mac!$A:$A,Output_Mac!M:M,""),
_xlpm.MyAuditVal,_xlfn.XLOOKUP($A871,My_Audit!$A:$A,My_Audit!L:L,""),
_xlfn.IFS(_xlpm.MyAuditVal&lt;&gt;"",UPPER(_xlpm.MyAuditVal),_xlpm.MacVal&lt;&gt;"",_xlpm.MacVal,_xlpm.CSVVal&lt;&gt;"",_xlpm.CSVVal
)),"")</f>
        <v/>
      </c>
      <c r="N871" s="40"/>
      <c r="O871" s="40" t="str">
        <f>_xlfn.LET(
    _xlpm.CSVVal, _xlfn.XLOOKUP($A871, CSV!$A:$A, CSV!AA:AA, ""),
    _xlpm.MacVal, _xlfn.XLOOKUP($A871, Output_Mac!$A:$A, Output_Mac!S:S, ""),
    _xlpm.MyAuditVal, _xlfn.XLOOKUP($A871, My_Audit!$A:$A, My_Audit!P:P, ""),
    _xlfn.TEXTJOIN(", ", TRUE, _xlpm.MyAuditVal, _xlpm.MacVal, _xlpm.CSVVal)
)</f>
        <v/>
      </c>
      <c r="P871" s="40" t="str" cm="1">
        <f t="array" ref="P871">IFERROR(_xlfn.LET(
_xlpm.CSVVal,_xlfn.XLOOKUP($A871,CSV!$A:$A,CSV!AB:AB,""),
_xlpm.MacVal,_xlfn.XLOOKUP($A871,Output_Mac!$A:$A,Output_Mac!T:T,""),
_xlpm.MyAuditVal,_xlfn.XLOOKUP($A871,My_Audit!$A:$A,My_Audit!Q:Q,""),
_xlfn.IFS(_xlpm.MyAuditVal&lt;&gt;"",UPPER(_xlpm.MyAuditVal),_xlpm.MacVal&lt;&gt;"",_xlpm.MacVal,_xlpm.CSVVal&lt;&gt;"",_xlpm.CSVVal
)),"No")</f>
        <v>No</v>
      </c>
      <c r="Q871" s="40" t="str" cm="1">
        <f t="array" ref="Q871">IFERROR(_xlfn.LET(
_xlpm.CSVVal,_xlfn.XLOOKUP($A871,CSV!$A:$A,CSV!AC:AC,""),
_xlpm.MacVal,_xlfn.XLOOKUP($A871,Output_Mac!$A:$A,Output_Mac!U:U,""),
_xlpm.MyAuditVal,_xlfn.XLOOKUP($A871,My_Audit!$A:$A,My_Audit!R:R,""),
_xlfn.IFS(_xlpm.MyAuditVal&lt;&gt;"",UPPER(_xlpm.MyAuditVal),_xlpm.MacVal&lt;&gt;"",_xlpm.MacVal,_xlpm.CSVVal&lt;&gt;"",_xlpm.CSVVal
)),"")</f>
        <v/>
      </c>
      <c r="R871" s="40"/>
      <c r="S871" s="40"/>
      <c r="T871" s="40"/>
      <c r="U871" s="40"/>
      <c r="V871" s="40"/>
      <c r="W871" s="40"/>
      <c r="X871" s="41" t="str">
        <f>_xlfn.LET(
    _xlpm.MacVal, _xlfn.XLOOKUP($A871, Output_Mac!$A:$A, Output_Mac!AB:AB, ""),
    _xlpm.MyAuditVal, _xlfn.XLOOKUP($A871, My_Audit!$A:$A, My_Audit!N:N, ""),
    _xlfn.TEXTJOIN(", ", TRUE, _xlpm.MyAuditVal, _xlpm.MacVal)
)</f>
        <v/>
      </c>
    </row>
    <row r="872" spans="1:24">
      <c r="A872" s="40" t="str">
        <f>_xlfn.TEXTJOIN("",TRUE,Input!$B$2,ROW(My_Audit!A871))</f>
        <v>X871</v>
      </c>
      <c r="B872" s="40" t="str">
        <f>_xlfn.TEXTJOIN("-",TRUE,"ITD",Input!$A$2,A872)</f>
        <v>ITD-X871</v>
      </c>
      <c r="C872" s="40" t="str" cm="1">
        <f t="array" ref="C872">IFERROR(_xlfn.LET(
_xlpm.CSVVal,_xlfn.XLOOKUP($A872,CSV!$A:$A,CSV!B:B,""),
_xlpm.MacVal,_xlfn.XLOOKUP($A872,Output_Mac!$A:$A,Output_Mac!B:B,""),
_xlpm.MyAuditVal,_xlfn.XLOOKUP($A872,My_Audit!$A:$A,My_Audit!B:B,""),
_xlfn.IFS(_xlpm.MyAuditVal&lt;&gt;"",UPPER(_xlpm.MyAuditVal),_xlpm.MacVal&lt;&gt;"",_xlpm.MacVal,_xlpm.CSVVal&lt;&gt;"",_xlpm.CSVVal
)),"")</f>
        <v/>
      </c>
      <c r="D872" s="40" t="str" cm="1">
        <f t="array" ref="D872">IFERROR(_xlfn.LET(
_xlpm.CSVVal,_xlfn.XLOOKUP($A872,CSV!$A:$A,CSV!D:D,""),
_xlpm.MacVal,_xlfn.XLOOKUP($A872,Output_Mac!$A:$A,Output_Mac!C:C,""),
_xlpm.MyAuditVal,_xlfn.XLOOKUP($A872,My_Audit!$A:$A,My_Audit!C:C,""),
_xlfn.IFS(_xlpm.MyAuditVal&lt;&gt;"",_xlpm.MyAuditVal,_xlpm.MacVal&lt;&gt;"",_xlpm.MacVal,_xlpm.CSVVal&lt;&gt;"",_xlpm.CSVVal
)),"")</f>
        <v/>
      </c>
      <c r="E872" s="40" t="str">
        <f>_xlfn.XLOOKUP(A872,My_Audit!A:A,My_Audit!D:D,"")</f>
        <v/>
      </c>
      <c r="F872" s="40" t="str" cm="1">
        <f t="array" ref="F872">IFERROR(_xlfn.LET(
_xlpm.CSVVal,_xlfn.XLOOKUP($A872,CSV!$A:$A,CSV!F:F,""),
_xlpm.MacVal,_xlfn.XLOOKUP($A872,Output_Mac!$A:$A,Output_Mac!E:E,""),
_xlpm.MyAuditVal,_xlfn.XLOOKUP($A872,My_Audit!$A:$A,My_Audit!E:E,""),
_xlfn.IFS(_xlpm.MyAuditVal&lt;&gt;"",_xlpm.MyAuditVal,_xlpm.MacVal&lt;&gt;"",_xlpm.MacVal,_xlpm.CSVVal&lt;&gt;"",_xlpm.CSVVal
)),"")</f>
        <v/>
      </c>
      <c r="G872" s="40" t="str" cm="1">
        <f t="array" ref="G872">IFERROR(_xlfn.LET(
_xlpm.CSVVal,_xlfn.XLOOKUP($A872,CSV!$A:$A,CSV!G:G,""),
_xlpm.MacVal,_xlfn.XLOOKUP($A872,Output_Mac!$A:$A,Output_Mac!F:F,""),
_xlpm.MyAuditVal,_xlfn.XLOOKUP($A872,My_Audit!$A:$A,My_Audit!F:F,""),
_xlfn.IFS(_xlpm.MyAuditVal&lt;&gt;"",_xlpm.MyAuditVal,_xlpm.MacVal&lt;&gt;"",_xlpm.MacVal,_xlpm.CSVVal&lt;&gt;"",PROPER(_xlpm.CSVVal)
)),"")</f>
        <v/>
      </c>
      <c r="H872" s="40" t="str" cm="1">
        <f t="array" ref="H872">IFERROR(_xlfn.LET(
_xlpm.CSVVal,_xlfn.XLOOKUP($A872,CSV!$A:$A,CSV!H:H,""),
_xlpm.MacVal,_xlfn.XLOOKUP($A872,Output_Mac!$A:$A,Output_Mac!H:H,""),
_xlpm.MyAuditVal,_xlfn.XLOOKUP($A872,My_Audit!$A:$A,My_Audit!G:G,""),
_xlfn.IFS(_xlpm.MyAuditVal&lt;&gt;"",_xlpm.MyAuditVal,_xlpm.MacVal&lt;&gt;"",_xlpm.MacVal,_xlpm.CSVVal&lt;&gt;"",_xlpm.CSVVal
)),"")</f>
        <v/>
      </c>
      <c r="I872" s="40" t="str">
        <f>_xlfn.XLOOKUP(A872,Output_Mac!A:A,Output_Mac!I:I,"")</f>
        <v/>
      </c>
      <c r="J872" s="40" t="str" cm="1">
        <f t="array" ref="J872">IFERROR(_xlfn.LET(
_xlpm.CSVVal,_xlfn.XLOOKUP($A872,CSV!$A:$A,CSV!I:I,""),
_xlpm.MacVal,_xlfn.XLOOKUP($A872,Output_Mac!$A:$A,Output_Mac!J:J,""),
_xlpm.MyAuditVal,_xlfn.XLOOKUP($A872,My_Audit!$A:$A,My_Audit!I:I,""),
_xlfn.IFS(_xlpm.MyAuditVal&lt;&gt;"",UPPER(_xlpm.MyAuditVal),_xlpm.MacVal&lt;&gt;"",_xlpm.MacVal,_xlpm.CSVVal&lt;&gt;"",_xlpm.CSVVal
)),"")</f>
        <v/>
      </c>
      <c r="K872" s="40" t="str" cm="1">
        <f t="array" ref="K872">IFERROR(_xlfn.LET(
_xlpm.CSVVal,_xlfn.XLOOKUP($A872,CSV!$A:$A,CSV!K:K,""),
_xlpm.MacVal,_xlfn.XLOOKUP($A872,Output_Mac!$A:$A,Output_Mac!K:K,""),
_xlpm.MyAuditVal,_xlfn.XLOOKUP($A872,My_Audit!$A:$A,My_Audit!J:J,""),
_xlfn.IFS(_xlpm.MyAuditVal&lt;&gt;"",UPPER(_xlpm.MyAuditVal),_xlpm.MacVal&lt;&gt;"",_xlpm.MacVal,_xlpm.CSVVal&lt;&gt;"",_xlpm.CSVVal
)),"")</f>
        <v/>
      </c>
      <c r="L872" s="40" t="str" cm="1">
        <f t="array" ref="L872">IFERROR(_xlfn.LET(
_xlpm.CSVVal,_xlfn.XLOOKUP($A872,CSV!$A:$A,CSV!P:P,""),
_xlpm.MacVal,_xlfn.XLOOKUP($A872,Output_Mac!$A:$A,Output_Mac!L:L,""),
_xlpm.MyAuditVal,_xlfn.XLOOKUP($A872,My_Audit!$A:$A,My_Audit!K:K,""),
_xlfn.IFS(_xlpm.MyAuditVal&lt;&gt;"",UPPER(_xlpm.MyAuditVal),_xlpm.MacVal&lt;&gt;"",_xlpm.MacVal,_xlpm.CSVVal&lt;&gt;"",_xlpm.CSVVal
)),"")</f>
        <v/>
      </c>
      <c r="M872" s="40" t="str" cm="1">
        <f t="array" ref="M872">IFERROR(_xlfn.LET(
_xlpm.CSVVal,_xlfn.XLOOKUP($A872,CSV!$A:$A,CSV!Q:Q,""),
_xlpm.MacVal,_xlfn.XLOOKUP($A872,Output_Mac!$A:$A,Output_Mac!M:M,""),
_xlpm.MyAuditVal,_xlfn.XLOOKUP($A872,My_Audit!$A:$A,My_Audit!L:L,""),
_xlfn.IFS(_xlpm.MyAuditVal&lt;&gt;"",UPPER(_xlpm.MyAuditVal),_xlpm.MacVal&lt;&gt;"",_xlpm.MacVal,_xlpm.CSVVal&lt;&gt;"",_xlpm.CSVVal
)),"")</f>
        <v/>
      </c>
      <c r="N872" s="40"/>
      <c r="O872" s="40" t="str">
        <f>_xlfn.LET(
    _xlpm.CSVVal, _xlfn.XLOOKUP($A872, CSV!$A:$A, CSV!AA:AA, ""),
    _xlpm.MacVal, _xlfn.XLOOKUP($A872, Output_Mac!$A:$A, Output_Mac!S:S, ""),
    _xlpm.MyAuditVal, _xlfn.XLOOKUP($A872, My_Audit!$A:$A, My_Audit!P:P, ""),
    _xlfn.TEXTJOIN(", ", TRUE, _xlpm.MyAuditVal, _xlpm.MacVal, _xlpm.CSVVal)
)</f>
        <v/>
      </c>
      <c r="P872" s="40" t="str" cm="1">
        <f t="array" ref="P872">IFERROR(_xlfn.LET(
_xlpm.CSVVal,_xlfn.XLOOKUP($A872,CSV!$A:$A,CSV!AB:AB,""),
_xlpm.MacVal,_xlfn.XLOOKUP($A872,Output_Mac!$A:$A,Output_Mac!T:T,""),
_xlpm.MyAuditVal,_xlfn.XLOOKUP($A872,My_Audit!$A:$A,My_Audit!Q:Q,""),
_xlfn.IFS(_xlpm.MyAuditVal&lt;&gt;"",UPPER(_xlpm.MyAuditVal),_xlpm.MacVal&lt;&gt;"",_xlpm.MacVal,_xlpm.CSVVal&lt;&gt;"",_xlpm.CSVVal
)),"No")</f>
        <v>No</v>
      </c>
      <c r="Q872" s="40" t="str" cm="1">
        <f t="array" ref="Q872">IFERROR(_xlfn.LET(
_xlpm.CSVVal,_xlfn.XLOOKUP($A872,CSV!$A:$A,CSV!AC:AC,""),
_xlpm.MacVal,_xlfn.XLOOKUP($A872,Output_Mac!$A:$A,Output_Mac!U:U,""),
_xlpm.MyAuditVal,_xlfn.XLOOKUP($A872,My_Audit!$A:$A,My_Audit!R:R,""),
_xlfn.IFS(_xlpm.MyAuditVal&lt;&gt;"",UPPER(_xlpm.MyAuditVal),_xlpm.MacVal&lt;&gt;"",_xlpm.MacVal,_xlpm.CSVVal&lt;&gt;"",_xlpm.CSVVal
)),"")</f>
        <v/>
      </c>
      <c r="R872" s="40"/>
      <c r="S872" s="40"/>
      <c r="T872" s="40"/>
      <c r="U872" s="40"/>
      <c r="V872" s="40"/>
      <c r="W872" s="40"/>
      <c r="X872" s="41" t="str">
        <f>_xlfn.LET(
    _xlpm.MacVal, _xlfn.XLOOKUP($A872, Output_Mac!$A:$A, Output_Mac!AB:AB, ""),
    _xlpm.MyAuditVal, _xlfn.XLOOKUP($A872, My_Audit!$A:$A, My_Audit!N:N, ""),
    _xlfn.TEXTJOIN(", ", TRUE, _xlpm.MyAuditVal, _xlpm.MacVal)
)</f>
        <v/>
      </c>
    </row>
    <row r="873" spans="1:24">
      <c r="A873" s="40" t="str">
        <f>_xlfn.TEXTJOIN("",TRUE,Input!$B$2,ROW(My_Audit!A872))</f>
        <v>X872</v>
      </c>
      <c r="B873" s="40" t="str">
        <f>_xlfn.TEXTJOIN("-",TRUE,"ITD",Input!$A$2,A873)</f>
        <v>ITD-X872</v>
      </c>
      <c r="C873" s="40" t="str" cm="1">
        <f t="array" ref="C873">IFERROR(_xlfn.LET(
_xlpm.CSVVal,_xlfn.XLOOKUP($A873,CSV!$A:$A,CSV!B:B,""),
_xlpm.MacVal,_xlfn.XLOOKUP($A873,Output_Mac!$A:$A,Output_Mac!B:B,""),
_xlpm.MyAuditVal,_xlfn.XLOOKUP($A873,My_Audit!$A:$A,My_Audit!B:B,""),
_xlfn.IFS(_xlpm.MyAuditVal&lt;&gt;"",UPPER(_xlpm.MyAuditVal),_xlpm.MacVal&lt;&gt;"",_xlpm.MacVal,_xlpm.CSVVal&lt;&gt;"",_xlpm.CSVVal
)),"")</f>
        <v/>
      </c>
      <c r="D873" s="40" t="str" cm="1">
        <f t="array" ref="D873">IFERROR(_xlfn.LET(
_xlpm.CSVVal,_xlfn.XLOOKUP($A873,CSV!$A:$A,CSV!D:D,""),
_xlpm.MacVal,_xlfn.XLOOKUP($A873,Output_Mac!$A:$A,Output_Mac!C:C,""),
_xlpm.MyAuditVal,_xlfn.XLOOKUP($A873,My_Audit!$A:$A,My_Audit!C:C,""),
_xlfn.IFS(_xlpm.MyAuditVal&lt;&gt;"",_xlpm.MyAuditVal,_xlpm.MacVal&lt;&gt;"",_xlpm.MacVal,_xlpm.CSVVal&lt;&gt;"",_xlpm.CSVVal
)),"")</f>
        <v/>
      </c>
      <c r="E873" s="40" t="str">
        <f>_xlfn.XLOOKUP(A873,My_Audit!A:A,My_Audit!D:D,"")</f>
        <v/>
      </c>
      <c r="F873" s="40" t="str" cm="1">
        <f t="array" ref="F873">IFERROR(_xlfn.LET(
_xlpm.CSVVal,_xlfn.XLOOKUP($A873,CSV!$A:$A,CSV!F:F,""),
_xlpm.MacVal,_xlfn.XLOOKUP($A873,Output_Mac!$A:$A,Output_Mac!E:E,""),
_xlpm.MyAuditVal,_xlfn.XLOOKUP($A873,My_Audit!$A:$A,My_Audit!E:E,""),
_xlfn.IFS(_xlpm.MyAuditVal&lt;&gt;"",_xlpm.MyAuditVal,_xlpm.MacVal&lt;&gt;"",_xlpm.MacVal,_xlpm.CSVVal&lt;&gt;"",_xlpm.CSVVal
)),"")</f>
        <v/>
      </c>
      <c r="G873" s="40" t="str" cm="1">
        <f t="array" ref="G873">IFERROR(_xlfn.LET(
_xlpm.CSVVal,_xlfn.XLOOKUP($A873,CSV!$A:$A,CSV!G:G,""),
_xlpm.MacVal,_xlfn.XLOOKUP($A873,Output_Mac!$A:$A,Output_Mac!F:F,""),
_xlpm.MyAuditVal,_xlfn.XLOOKUP($A873,My_Audit!$A:$A,My_Audit!F:F,""),
_xlfn.IFS(_xlpm.MyAuditVal&lt;&gt;"",_xlpm.MyAuditVal,_xlpm.MacVal&lt;&gt;"",_xlpm.MacVal,_xlpm.CSVVal&lt;&gt;"",PROPER(_xlpm.CSVVal)
)),"")</f>
        <v/>
      </c>
      <c r="H873" s="40" t="str" cm="1">
        <f t="array" ref="H873">IFERROR(_xlfn.LET(
_xlpm.CSVVal,_xlfn.XLOOKUP($A873,CSV!$A:$A,CSV!H:H,""),
_xlpm.MacVal,_xlfn.XLOOKUP($A873,Output_Mac!$A:$A,Output_Mac!H:H,""),
_xlpm.MyAuditVal,_xlfn.XLOOKUP($A873,My_Audit!$A:$A,My_Audit!G:G,""),
_xlfn.IFS(_xlpm.MyAuditVal&lt;&gt;"",_xlpm.MyAuditVal,_xlpm.MacVal&lt;&gt;"",_xlpm.MacVal,_xlpm.CSVVal&lt;&gt;"",_xlpm.CSVVal
)),"")</f>
        <v/>
      </c>
      <c r="I873" s="40" t="str">
        <f>_xlfn.XLOOKUP(A873,Output_Mac!A:A,Output_Mac!I:I,"")</f>
        <v/>
      </c>
      <c r="J873" s="40" t="str" cm="1">
        <f t="array" ref="J873">IFERROR(_xlfn.LET(
_xlpm.CSVVal,_xlfn.XLOOKUP($A873,CSV!$A:$A,CSV!I:I,""),
_xlpm.MacVal,_xlfn.XLOOKUP($A873,Output_Mac!$A:$A,Output_Mac!J:J,""),
_xlpm.MyAuditVal,_xlfn.XLOOKUP($A873,My_Audit!$A:$A,My_Audit!I:I,""),
_xlfn.IFS(_xlpm.MyAuditVal&lt;&gt;"",UPPER(_xlpm.MyAuditVal),_xlpm.MacVal&lt;&gt;"",_xlpm.MacVal,_xlpm.CSVVal&lt;&gt;"",_xlpm.CSVVal
)),"")</f>
        <v/>
      </c>
      <c r="K873" s="40" t="str" cm="1">
        <f t="array" ref="K873">IFERROR(_xlfn.LET(
_xlpm.CSVVal,_xlfn.XLOOKUP($A873,CSV!$A:$A,CSV!K:K,""),
_xlpm.MacVal,_xlfn.XLOOKUP($A873,Output_Mac!$A:$A,Output_Mac!K:K,""),
_xlpm.MyAuditVal,_xlfn.XLOOKUP($A873,My_Audit!$A:$A,My_Audit!J:J,""),
_xlfn.IFS(_xlpm.MyAuditVal&lt;&gt;"",UPPER(_xlpm.MyAuditVal),_xlpm.MacVal&lt;&gt;"",_xlpm.MacVal,_xlpm.CSVVal&lt;&gt;"",_xlpm.CSVVal
)),"")</f>
        <v/>
      </c>
      <c r="L873" s="40" t="str" cm="1">
        <f t="array" ref="L873">IFERROR(_xlfn.LET(
_xlpm.CSVVal,_xlfn.XLOOKUP($A873,CSV!$A:$A,CSV!P:P,""),
_xlpm.MacVal,_xlfn.XLOOKUP($A873,Output_Mac!$A:$A,Output_Mac!L:L,""),
_xlpm.MyAuditVal,_xlfn.XLOOKUP($A873,My_Audit!$A:$A,My_Audit!K:K,""),
_xlfn.IFS(_xlpm.MyAuditVal&lt;&gt;"",UPPER(_xlpm.MyAuditVal),_xlpm.MacVal&lt;&gt;"",_xlpm.MacVal,_xlpm.CSVVal&lt;&gt;"",_xlpm.CSVVal
)),"")</f>
        <v/>
      </c>
      <c r="M873" s="40" t="str" cm="1">
        <f t="array" ref="M873">IFERROR(_xlfn.LET(
_xlpm.CSVVal,_xlfn.XLOOKUP($A873,CSV!$A:$A,CSV!Q:Q,""),
_xlpm.MacVal,_xlfn.XLOOKUP($A873,Output_Mac!$A:$A,Output_Mac!M:M,""),
_xlpm.MyAuditVal,_xlfn.XLOOKUP($A873,My_Audit!$A:$A,My_Audit!L:L,""),
_xlfn.IFS(_xlpm.MyAuditVal&lt;&gt;"",UPPER(_xlpm.MyAuditVal),_xlpm.MacVal&lt;&gt;"",_xlpm.MacVal,_xlpm.CSVVal&lt;&gt;"",_xlpm.CSVVal
)),"")</f>
        <v/>
      </c>
      <c r="N873" s="40"/>
      <c r="O873" s="40" t="str">
        <f>_xlfn.LET(
    _xlpm.CSVVal, _xlfn.XLOOKUP($A873, CSV!$A:$A, CSV!AA:AA, ""),
    _xlpm.MacVal, _xlfn.XLOOKUP($A873, Output_Mac!$A:$A, Output_Mac!S:S, ""),
    _xlpm.MyAuditVal, _xlfn.XLOOKUP($A873, My_Audit!$A:$A, My_Audit!P:P, ""),
    _xlfn.TEXTJOIN(", ", TRUE, _xlpm.MyAuditVal, _xlpm.MacVal, _xlpm.CSVVal)
)</f>
        <v/>
      </c>
      <c r="P873" s="40" t="str" cm="1">
        <f t="array" ref="P873">IFERROR(_xlfn.LET(
_xlpm.CSVVal,_xlfn.XLOOKUP($A873,CSV!$A:$A,CSV!AB:AB,""),
_xlpm.MacVal,_xlfn.XLOOKUP($A873,Output_Mac!$A:$A,Output_Mac!T:T,""),
_xlpm.MyAuditVal,_xlfn.XLOOKUP($A873,My_Audit!$A:$A,My_Audit!Q:Q,""),
_xlfn.IFS(_xlpm.MyAuditVal&lt;&gt;"",UPPER(_xlpm.MyAuditVal),_xlpm.MacVal&lt;&gt;"",_xlpm.MacVal,_xlpm.CSVVal&lt;&gt;"",_xlpm.CSVVal
)),"No")</f>
        <v>No</v>
      </c>
      <c r="Q873" s="40" t="str" cm="1">
        <f t="array" ref="Q873">IFERROR(_xlfn.LET(
_xlpm.CSVVal,_xlfn.XLOOKUP($A873,CSV!$A:$A,CSV!AC:AC,""),
_xlpm.MacVal,_xlfn.XLOOKUP($A873,Output_Mac!$A:$A,Output_Mac!U:U,""),
_xlpm.MyAuditVal,_xlfn.XLOOKUP($A873,My_Audit!$A:$A,My_Audit!R:R,""),
_xlfn.IFS(_xlpm.MyAuditVal&lt;&gt;"",UPPER(_xlpm.MyAuditVal),_xlpm.MacVal&lt;&gt;"",_xlpm.MacVal,_xlpm.CSVVal&lt;&gt;"",_xlpm.CSVVal
)),"")</f>
        <v/>
      </c>
      <c r="R873" s="40"/>
      <c r="S873" s="40"/>
      <c r="T873" s="40"/>
      <c r="U873" s="40"/>
      <c r="V873" s="40"/>
      <c r="W873" s="40"/>
      <c r="X873" s="41" t="str">
        <f>_xlfn.LET(
    _xlpm.MacVal, _xlfn.XLOOKUP($A873, Output_Mac!$A:$A, Output_Mac!AB:AB, ""),
    _xlpm.MyAuditVal, _xlfn.XLOOKUP($A873, My_Audit!$A:$A, My_Audit!N:N, ""),
    _xlfn.TEXTJOIN(", ", TRUE, _xlpm.MyAuditVal, _xlpm.MacVal)
)</f>
        <v/>
      </c>
    </row>
    <row r="874" spans="1:24">
      <c r="A874" s="40" t="str">
        <f>_xlfn.TEXTJOIN("",TRUE,Input!$B$2,ROW(My_Audit!A873))</f>
        <v>X873</v>
      </c>
      <c r="B874" s="40" t="str">
        <f>_xlfn.TEXTJOIN("-",TRUE,"ITD",Input!$A$2,A874)</f>
        <v>ITD-X873</v>
      </c>
      <c r="C874" s="40" t="str" cm="1">
        <f t="array" ref="C874">IFERROR(_xlfn.LET(
_xlpm.CSVVal,_xlfn.XLOOKUP($A874,CSV!$A:$A,CSV!B:B,""),
_xlpm.MacVal,_xlfn.XLOOKUP($A874,Output_Mac!$A:$A,Output_Mac!B:B,""),
_xlpm.MyAuditVal,_xlfn.XLOOKUP($A874,My_Audit!$A:$A,My_Audit!B:B,""),
_xlfn.IFS(_xlpm.MyAuditVal&lt;&gt;"",UPPER(_xlpm.MyAuditVal),_xlpm.MacVal&lt;&gt;"",_xlpm.MacVal,_xlpm.CSVVal&lt;&gt;"",_xlpm.CSVVal
)),"")</f>
        <v/>
      </c>
      <c r="D874" s="40" t="str" cm="1">
        <f t="array" ref="D874">IFERROR(_xlfn.LET(
_xlpm.CSVVal,_xlfn.XLOOKUP($A874,CSV!$A:$A,CSV!D:D,""),
_xlpm.MacVal,_xlfn.XLOOKUP($A874,Output_Mac!$A:$A,Output_Mac!C:C,""),
_xlpm.MyAuditVal,_xlfn.XLOOKUP($A874,My_Audit!$A:$A,My_Audit!C:C,""),
_xlfn.IFS(_xlpm.MyAuditVal&lt;&gt;"",_xlpm.MyAuditVal,_xlpm.MacVal&lt;&gt;"",_xlpm.MacVal,_xlpm.CSVVal&lt;&gt;"",_xlpm.CSVVal
)),"")</f>
        <v/>
      </c>
      <c r="E874" s="40" t="str">
        <f>_xlfn.XLOOKUP(A874,My_Audit!A:A,My_Audit!D:D,"")</f>
        <v/>
      </c>
      <c r="F874" s="40" t="str" cm="1">
        <f t="array" ref="F874">IFERROR(_xlfn.LET(
_xlpm.CSVVal,_xlfn.XLOOKUP($A874,CSV!$A:$A,CSV!F:F,""),
_xlpm.MacVal,_xlfn.XLOOKUP($A874,Output_Mac!$A:$A,Output_Mac!E:E,""),
_xlpm.MyAuditVal,_xlfn.XLOOKUP($A874,My_Audit!$A:$A,My_Audit!E:E,""),
_xlfn.IFS(_xlpm.MyAuditVal&lt;&gt;"",_xlpm.MyAuditVal,_xlpm.MacVal&lt;&gt;"",_xlpm.MacVal,_xlpm.CSVVal&lt;&gt;"",_xlpm.CSVVal
)),"")</f>
        <v/>
      </c>
      <c r="G874" s="40" t="str" cm="1">
        <f t="array" ref="G874">IFERROR(_xlfn.LET(
_xlpm.CSVVal,_xlfn.XLOOKUP($A874,CSV!$A:$A,CSV!G:G,""),
_xlpm.MacVal,_xlfn.XLOOKUP($A874,Output_Mac!$A:$A,Output_Mac!F:F,""),
_xlpm.MyAuditVal,_xlfn.XLOOKUP($A874,My_Audit!$A:$A,My_Audit!F:F,""),
_xlfn.IFS(_xlpm.MyAuditVal&lt;&gt;"",_xlpm.MyAuditVal,_xlpm.MacVal&lt;&gt;"",_xlpm.MacVal,_xlpm.CSVVal&lt;&gt;"",PROPER(_xlpm.CSVVal)
)),"")</f>
        <v/>
      </c>
      <c r="H874" s="40" t="str" cm="1">
        <f t="array" ref="H874">IFERROR(_xlfn.LET(
_xlpm.CSVVal,_xlfn.XLOOKUP($A874,CSV!$A:$A,CSV!H:H,""),
_xlpm.MacVal,_xlfn.XLOOKUP($A874,Output_Mac!$A:$A,Output_Mac!H:H,""),
_xlpm.MyAuditVal,_xlfn.XLOOKUP($A874,My_Audit!$A:$A,My_Audit!G:G,""),
_xlfn.IFS(_xlpm.MyAuditVal&lt;&gt;"",_xlpm.MyAuditVal,_xlpm.MacVal&lt;&gt;"",_xlpm.MacVal,_xlpm.CSVVal&lt;&gt;"",_xlpm.CSVVal
)),"")</f>
        <v/>
      </c>
      <c r="I874" s="40" t="str">
        <f>_xlfn.XLOOKUP(A874,Output_Mac!A:A,Output_Mac!I:I,"")</f>
        <v/>
      </c>
      <c r="J874" s="40" t="str" cm="1">
        <f t="array" ref="J874">IFERROR(_xlfn.LET(
_xlpm.CSVVal,_xlfn.XLOOKUP($A874,CSV!$A:$A,CSV!I:I,""),
_xlpm.MacVal,_xlfn.XLOOKUP($A874,Output_Mac!$A:$A,Output_Mac!J:J,""),
_xlpm.MyAuditVal,_xlfn.XLOOKUP($A874,My_Audit!$A:$A,My_Audit!I:I,""),
_xlfn.IFS(_xlpm.MyAuditVal&lt;&gt;"",UPPER(_xlpm.MyAuditVal),_xlpm.MacVal&lt;&gt;"",_xlpm.MacVal,_xlpm.CSVVal&lt;&gt;"",_xlpm.CSVVal
)),"")</f>
        <v/>
      </c>
      <c r="K874" s="40" t="str" cm="1">
        <f t="array" ref="K874">IFERROR(_xlfn.LET(
_xlpm.CSVVal,_xlfn.XLOOKUP($A874,CSV!$A:$A,CSV!K:K,""),
_xlpm.MacVal,_xlfn.XLOOKUP($A874,Output_Mac!$A:$A,Output_Mac!K:K,""),
_xlpm.MyAuditVal,_xlfn.XLOOKUP($A874,My_Audit!$A:$A,My_Audit!J:J,""),
_xlfn.IFS(_xlpm.MyAuditVal&lt;&gt;"",UPPER(_xlpm.MyAuditVal),_xlpm.MacVal&lt;&gt;"",_xlpm.MacVal,_xlpm.CSVVal&lt;&gt;"",_xlpm.CSVVal
)),"")</f>
        <v/>
      </c>
      <c r="L874" s="40" t="str" cm="1">
        <f t="array" ref="L874">IFERROR(_xlfn.LET(
_xlpm.CSVVal,_xlfn.XLOOKUP($A874,CSV!$A:$A,CSV!P:P,""),
_xlpm.MacVal,_xlfn.XLOOKUP($A874,Output_Mac!$A:$A,Output_Mac!L:L,""),
_xlpm.MyAuditVal,_xlfn.XLOOKUP($A874,My_Audit!$A:$A,My_Audit!K:K,""),
_xlfn.IFS(_xlpm.MyAuditVal&lt;&gt;"",UPPER(_xlpm.MyAuditVal),_xlpm.MacVal&lt;&gt;"",_xlpm.MacVal,_xlpm.CSVVal&lt;&gt;"",_xlpm.CSVVal
)),"")</f>
        <v/>
      </c>
      <c r="M874" s="40" t="str" cm="1">
        <f t="array" ref="M874">IFERROR(_xlfn.LET(
_xlpm.CSVVal,_xlfn.XLOOKUP($A874,CSV!$A:$A,CSV!Q:Q,""),
_xlpm.MacVal,_xlfn.XLOOKUP($A874,Output_Mac!$A:$A,Output_Mac!M:M,""),
_xlpm.MyAuditVal,_xlfn.XLOOKUP($A874,My_Audit!$A:$A,My_Audit!L:L,""),
_xlfn.IFS(_xlpm.MyAuditVal&lt;&gt;"",UPPER(_xlpm.MyAuditVal),_xlpm.MacVal&lt;&gt;"",_xlpm.MacVal,_xlpm.CSVVal&lt;&gt;"",_xlpm.CSVVal
)),"")</f>
        <v/>
      </c>
      <c r="N874" s="40"/>
      <c r="O874" s="40" t="str">
        <f>_xlfn.LET(
    _xlpm.CSVVal, _xlfn.XLOOKUP($A874, CSV!$A:$A, CSV!AA:AA, ""),
    _xlpm.MacVal, _xlfn.XLOOKUP($A874, Output_Mac!$A:$A, Output_Mac!S:S, ""),
    _xlpm.MyAuditVal, _xlfn.XLOOKUP($A874, My_Audit!$A:$A, My_Audit!P:P, ""),
    _xlfn.TEXTJOIN(", ", TRUE, _xlpm.MyAuditVal, _xlpm.MacVal, _xlpm.CSVVal)
)</f>
        <v/>
      </c>
      <c r="P874" s="40" t="str" cm="1">
        <f t="array" ref="P874">IFERROR(_xlfn.LET(
_xlpm.CSVVal,_xlfn.XLOOKUP($A874,CSV!$A:$A,CSV!AB:AB,""),
_xlpm.MacVal,_xlfn.XLOOKUP($A874,Output_Mac!$A:$A,Output_Mac!T:T,""),
_xlpm.MyAuditVal,_xlfn.XLOOKUP($A874,My_Audit!$A:$A,My_Audit!Q:Q,""),
_xlfn.IFS(_xlpm.MyAuditVal&lt;&gt;"",UPPER(_xlpm.MyAuditVal),_xlpm.MacVal&lt;&gt;"",_xlpm.MacVal,_xlpm.CSVVal&lt;&gt;"",_xlpm.CSVVal
)),"No")</f>
        <v>No</v>
      </c>
      <c r="Q874" s="40" t="str" cm="1">
        <f t="array" ref="Q874">IFERROR(_xlfn.LET(
_xlpm.CSVVal,_xlfn.XLOOKUP($A874,CSV!$A:$A,CSV!AC:AC,""),
_xlpm.MacVal,_xlfn.XLOOKUP($A874,Output_Mac!$A:$A,Output_Mac!U:U,""),
_xlpm.MyAuditVal,_xlfn.XLOOKUP($A874,My_Audit!$A:$A,My_Audit!R:R,""),
_xlfn.IFS(_xlpm.MyAuditVal&lt;&gt;"",UPPER(_xlpm.MyAuditVal),_xlpm.MacVal&lt;&gt;"",_xlpm.MacVal,_xlpm.CSVVal&lt;&gt;"",_xlpm.CSVVal
)),"")</f>
        <v/>
      </c>
      <c r="R874" s="40"/>
      <c r="S874" s="40"/>
      <c r="T874" s="40"/>
      <c r="U874" s="40"/>
      <c r="V874" s="40"/>
      <c r="W874" s="40"/>
      <c r="X874" s="41" t="str">
        <f>_xlfn.LET(
    _xlpm.MacVal, _xlfn.XLOOKUP($A874, Output_Mac!$A:$A, Output_Mac!AB:AB, ""),
    _xlpm.MyAuditVal, _xlfn.XLOOKUP($A874, My_Audit!$A:$A, My_Audit!N:N, ""),
    _xlfn.TEXTJOIN(", ", TRUE, _xlpm.MyAuditVal, _xlpm.MacVal)
)</f>
        <v/>
      </c>
    </row>
    <row r="875" spans="1:24">
      <c r="A875" s="40" t="str">
        <f>_xlfn.TEXTJOIN("",TRUE,Input!$B$2,ROW(My_Audit!A874))</f>
        <v>X874</v>
      </c>
      <c r="B875" s="40" t="str">
        <f>_xlfn.TEXTJOIN("-",TRUE,"ITD",Input!$A$2,A875)</f>
        <v>ITD-X874</v>
      </c>
      <c r="C875" s="40" t="str" cm="1">
        <f t="array" ref="C875">IFERROR(_xlfn.LET(
_xlpm.CSVVal,_xlfn.XLOOKUP($A875,CSV!$A:$A,CSV!B:B,""),
_xlpm.MacVal,_xlfn.XLOOKUP($A875,Output_Mac!$A:$A,Output_Mac!B:B,""),
_xlpm.MyAuditVal,_xlfn.XLOOKUP($A875,My_Audit!$A:$A,My_Audit!B:B,""),
_xlfn.IFS(_xlpm.MyAuditVal&lt;&gt;"",UPPER(_xlpm.MyAuditVal),_xlpm.MacVal&lt;&gt;"",_xlpm.MacVal,_xlpm.CSVVal&lt;&gt;"",_xlpm.CSVVal
)),"")</f>
        <v/>
      </c>
      <c r="D875" s="40" t="str" cm="1">
        <f t="array" ref="D875">IFERROR(_xlfn.LET(
_xlpm.CSVVal,_xlfn.XLOOKUP($A875,CSV!$A:$A,CSV!D:D,""),
_xlpm.MacVal,_xlfn.XLOOKUP($A875,Output_Mac!$A:$A,Output_Mac!C:C,""),
_xlpm.MyAuditVal,_xlfn.XLOOKUP($A875,My_Audit!$A:$A,My_Audit!C:C,""),
_xlfn.IFS(_xlpm.MyAuditVal&lt;&gt;"",_xlpm.MyAuditVal,_xlpm.MacVal&lt;&gt;"",_xlpm.MacVal,_xlpm.CSVVal&lt;&gt;"",_xlpm.CSVVal
)),"")</f>
        <v/>
      </c>
      <c r="E875" s="40" t="str">
        <f>_xlfn.XLOOKUP(A875,My_Audit!A:A,My_Audit!D:D,"")</f>
        <v/>
      </c>
      <c r="F875" s="40" t="str" cm="1">
        <f t="array" ref="F875">IFERROR(_xlfn.LET(
_xlpm.CSVVal,_xlfn.XLOOKUP($A875,CSV!$A:$A,CSV!F:F,""),
_xlpm.MacVal,_xlfn.XLOOKUP($A875,Output_Mac!$A:$A,Output_Mac!E:E,""),
_xlpm.MyAuditVal,_xlfn.XLOOKUP($A875,My_Audit!$A:$A,My_Audit!E:E,""),
_xlfn.IFS(_xlpm.MyAuditVal&lt;&gt;"",_xlpm.MyAuditVal,_xlpm.MacVal&lt;&gt;"",_xlpm.MacVal,_xlpm.CSVVal&lt;&gt;"",_xlpm.CSVVal
)),"")</f>
        <v/>
      </c>
      <c r="G875" s="40" t="str" cm="1">
        <f t="array" ref="G875">IFERROR(_xlfn.LET(
_xlpm.CSVVal,_xlfn.XLOOKUP($A875,CSV!$A:$A,CSV!G:G,""),
_xlpm.MacVal,_xlfn.XLOOKUP($A875,Output_Mac!$A:$A,Output_Mac!F:F,""),
_xlpm.MyAuditVal,_xlfn.XLOOKUP($A875,My_Audit!$A:$A,My_Audit!F:F,""),
_xlfn.IFS(_xlpm.MyAuditVal&lt;&gt;"",_xlpm.MyAuditVal,_xlpm.MacVal&lt;&gt;"",_xlpm.MacVal,_xlpm.CSVVal&lt;&gt;"",PROPER(_xlpm.CSVVal)
)),"")</f>
        <v/>
      </c>
      <c r="H875" s="40" t="str" cm="1">
        <f t="array" ref="H875">IFERROR(_xlfn.LET(
_xlpm.CSVVal,_xlfn.XLOOKUP($A875,CSV!$A:$A,CSV!H:H,""),
_xlpm.MacVal,_xlfn.XLOOKUP($A875,Output_Mac!$A:$A,Output_Mac!H:H,""),
_xlpm.MyAuditVal,_xlfn.XLOOKUP($A875,My_Audit!$A:$A,My_Audit!G:G,""),
_xlfn.IFS(_xlpm.MyAuditVal&lt;&gt;"",_xlpm.MyAuditVal,_xlpm.MacVal&lt;&gt;"",_xlpm.MacVal,_xlpm.CSVVal&lt;&gt;"",_xlpm.CSVVal
)),"")</f>
        <v/>
      </c>
      <c r="I875" s="40" t="str">
        <f>_xlfn.XLOOKUP(A875,Output_Mac!A:A,Output_Mac!I:I,"")</f>
        <v/>
      </c>
      <c r="J875" s="40" t="str" cm="1">
        <f t="array" ref="J875">IFERROR(_xlfn.LET(
_xlpm.CSVVal,_xlfn.XLOOKUP($A875,CSV!$A:$A,CSV!I:I,""),
_xlpm.MacVal,_xlfn.XLOOKUP($A875,Output_Mac!$A:$A,Output_Mac!J:J,""),
_xlpm.MyAuditVal,_xlfn.XLOOKUP($A875,My_Audit!$A:$A,My_Audit!I:I,""),
_xlfn.IFS(_xlpm.MyAuditVal&lt;&gt;"",UPPER(_xlpm.MyAuditVal),_xlpm.MacVal&lt;&gt;"",_xlpm.MacVal,_xlpm.CSVVal&lt;&gt;"",_xlpm.CSVVal
)),"")</f>
        <v/>
      </c>
      <c r="K875" s="40" t="str" cm="1">
        <f t="array" ref="K875">IFERROR(_xlfn.LET(
_xlpm.CSVVal,_xlfn.XLOOKUP($A875,CSV!$A:$A,CSV!K:K,""),
_xlpm.MacVal,_xlfn.XLOOKUP($A875,Output_Mac!$A:$A,Output_Mac!K:K,""),
_xlpm.MyAuditVal,_xlfn.XLOOKUP($A875,My_Audit!$A:$A,My_Audit!J:J,""),
_xlfn.IFS(_xlpm.MyAuditVal&lt;&gt;"",UPPER(_xlpm.MyAuditVal),_xlpm.MacVal&lt;&gt;"",_xlpm.MacVal,_xlpm.CSVVal&lt;&gt;"",_xlpm.CSVVal
)),"")</f>
        <v/>
      </c>
      <c r="L875" s="40" t="str" cm="1">
        <f t="array" ref="L875">IFERROR(_xlfn.LET(
_xlpm.CSVVal,_xlfn.XLOOKUP($A875,CSV!$A:$A,CSV!P:P,""),
_xlpm.MacVal,_xlfn.XLOOKUP($A875,Output_Mac!$A:$A,Output_Mac!L:L,""),
_xlpm.MyAuditVal,_xlfn.XLOOKUP($A875,My_Audit!$A:$A,My_Audit!K:K,""),
_xlfn.IFS(_xlpm.MyAuditVal&lt;&gt;"",UPPER(_xlpm.MyAuditVal),_xlpm.MacVal&lt;&gt;"",_xlpm.MacVal,_xlpm.CSVVal&lt;&gt;"",_xlpm.CSVVal
)),"")</f>
        <v/>
      </c>
      <c r="M875" s="40" t="str" cm="1">
        <f t="array" ref="M875">IFERROR(_xlfn.LET(
_xlpm.CSVVal,_xlfn.XLOOKUP($A875,CSV!$A:$A,CSV!Q:Q,""),
_xlpm.MacVal,_xlfn.XLOOKUP($A875,Output_Mac!$A:$A,Output_Mac!M:M,""),
_xlpm.MyAuditVal,_xlfn.XLOOKUP($A875,My_Audit!$A:$A,My_Audit!L:L,""),
_xlfn.IFS(_xlpm.MyAuditVal&lt;&gt;"",UPPER(_xlpm.MyAuditVal),_xlpm.MacVal&lt;&gt;"",_xlpm.MacVal,_xlpm.CSVVal&lt;&gt;"",_xlpm.CSVVal
)),"")</f>
        <v/>
      </c>
      <c r="N875" s="40"/>
      <c r="O875" s="40" t="str">
        <f>_xlfn.LET(
    _xlpm.CSVVal, _xlfn.XLOOKUP($A875, CSV!$A:$A, CSV!AA:AA, ""),
    _xlpm.MacVal, _xlfn.XLOOKUP($A875, Output_Mac!$A:$A, Output_Mac!S:S, ""),
    _xlpm.MyAuditVal, _xlfn.XLOOKUP($A875, My_Audit!$A:$A, My_Audit!P:P, ""),
    _xlfn.TEXTJOIN(", ", TRUE, _xlpm.MyAuditVal, _xlpm.MacVal, _xlpm.CSVVal)
)</f>
        <v/>
      </c>
      <c r="P875" s="40" t="str" cm="1">
        <f t="array" ref="P875">IFERROR(_xlfn.LET(
_xlpm.CSVVal,_xlfn.XLOOKUP($A875,CSV!$A:$A,CSV!AB:AB,""),
_xlpm.MacVal,_xlfn.XLOOKUP($A875,Output_Mac!$A:$A,Output_Mac!T:T,""),
_xlpm.MyAuditVal,_xlfn.XLOOKUP($A875,My_Audit!$A:$A,My_Audit!Q:Q,""),
_xlfn.IFS(_xlpm.MyAuditVal&lt;&gt;"",UPPER(_xlpm.MyAuditVal),_xlpm.MacVal&lt;&gt;"",_xlpm.MacVal,_xlpm.CSVVal&lt;&gt;"",_xlpm.CSVVal
)),"No")</f>
        <v>No</v>
      </c>
      <c r="Q875" s="40" t="str" cm="1">
        <f t="array" ref="Q875">IFERROR(_xlfn.LET(
_xlpm.CSVVal,_xlfn.XLOOKUP($A875,CSV!$A:$A,CSV!AC:AC,""),
_xlpm.MacVal,_xlfn.XLOOKUP($A875,Output_Mac!$A:$A,Output_Mac!U:U,""),
_xlpm.MyAuditVal,_xlfn.XLOOKUP($A875,My_Audit!$A:$A,My_Audit!R:R,""),
_xlfn.IFS(_xlpm.MyAuditVal&lt;&gt;"",UPPER(_xlpm.MyAuditVal),_xlpm.MacVal&lt;&gt;"",_xlpm.MacVal,_xlpm.CSVVal&lt;&gt;"",_xlpm.CSVVal
)),"")</f>
        <v/>
      </c>
      <c r="R875" s="40"/>
      <c r="S875" s="40"/>
      <c r="T875" s="40"/>
      <c r="U875" s="40"/>
      <c r="V875" s="40"/>
      <c r="W875" s="40"/>
      <c r="X875" s="41" t="str">
        <f>_xlfn.LET(
    _xlpm.MacVal, _xlfn.XLOOKUP($A875, Output_Mac!$A:$A, Output_Mac!AB:AB, ""),
    _xlpm.MyAuditVal, _xlfn.XLOOKUP($A875, My_Audit!$A:$A, My_Audit!N:N, ""),
    _xlfn.TEXTJOIN(", ", TRUE, _xlpm.MyAuditVal, _xlpm.MacVal)
)</f>
        <v/>
      </c>
    </row>
    <row r="876" spans="1:24">
      <c r="A876" s="40" t="str">
        <f>_xlfn.TEXTJOIN("",TRUE,Input!$B$2,ROW(My_Audit!A875))</f>
        <v>X875</v>
      </c>
      <c r="B876" s="40" t="str">
        <f>_xlfn.TEXTJOIN("-",TRUE,"ITD",Input!$A$2,A876)</f>
        <v>ITD-X875</v>
      </c>
      <c r="C876" s="40" t="str" cm="1">
        <f t="array" ref="C876">IFERROR(_xlfn.LET(
_xlpm.CSVVal,_xlfn.XLOOKUP($A876,CSV!$A:$A,CSV!B:B,""),
_xlpm.MacVal,_xlfn.XLOOKUP($A876,Output_Mac!$A:$A,Output_Mac!B:B,""),
_xlpm.MyAuditVal,_xlfn.XLOOKUP($A876,My_Audit!$A:$A,My_Audit!B:B,""),
_xlfn.IFS(_xlpm.MyAuditVal&lt;&gt;"",UPPER(_xlpm.MyAuditVal),_xlpm.MacVal&lt;&gt;"",_xlpm.MacVal,_xlpm.CSVVal&lt;&gt;"",_xlpm.CSVVal
)),"")</f>
        <v/>
      </c>
      <c r="D876" s="40" t="str" cm="1">
        <f t="array" ref="D876">IFERROR(_xlfn.LET(
_xlpm.CSVVal,_xlfn.XLOOKUP($A876,CSV!$A:$A,CSV!D:D,""),
_xlpm.MacVal,_xlfn.XLOOKUP($A876,Output_Mac!$A:$A,Output_Mac!C:C,""),
_xlpm.MyAuditVal,_xlfn.XLOOKUP($A876,My_Audit!$A:$A,My_Audit!C:C,""),
_xlfn.IFS(_xlpm.MyAuditVal&lt;&gt;"",_xlpm.MyAuditVal,_xlpm.MacVal&lt;&gt;"",_xlpm.MacVal,_xlpm.CSVVal&lt;&gt;"",_xlpm.CSVVal
)),"")</f>
        <v/>
      </c>
      <c r="E876" s="40" t="str">
        <f>_xlfn.XLOOKUP(A876,My_Audit!A:A,My_Audit!D:D,"")</f>
        <v/>
      </c>
      <c r="F876" s="40" t="str" cm="1">
        <f t="array" ref="F876">IFERROR(_xlfn.LET(
_xlpm.CSVVal,_xlfn.XLOOKUP($A876,CSV!$A:$A,CSV!F:F,""),
_xlpm.MacVal,_xlfn.XLOOKUP($A876,Output_Mac!$A:$A,Output_Mac!E:E,""),
_xlpm.MyAuditVal,_xlfn.XLOOKUP($A876,My_Audit!$A:$A,My_Audit!E:E,""),
_xlfn.IFS(_xlpm.MyAuditVal&lt;&gt;"",_xlpm.MyAuditVal,_xlpm.MacVal&lt;&gt;"",_xlpm.MacVal,_xlpm.CSVVal&lt;&gt;"",_xlpm.CSVVal
)),"")</f>
        <v/>
      </c>
      <c r="G876" s="40" t="str" cm="1">
        <f t="array" ref="G876">IFERROR(_xlfn.LET(
_xlpm.CSVVal,_xlfn.XLOOKUP($A876,CSV!$A:$A,CSV!G:G,""),
_xlpm.MacVal,_xlfn.XLOOKUP($A876,Output_Mac!$A:$A,Output_Mac!F:F,""),
_xlpm.MyAuditVal,_xlfn.XLOOKUP($A876,My_Audit!$A:$A,My_Audit!F:F,""),
_xlfn.IFS(_xlpm.MyAuditVal&lt;&gt;"",_xlpm.MyAuditVal,_xlpm.MacVal&lt;&gt;"",_xlpm.MacVal,_xlpm.CSVVal&lt;&gt;"",PROPER(_xlpm.CSVVal)
)),"")</f>
        <v/>
      </c>
      <c r="H876" s="40" t="str" cm="1">
        <f t="array" ref="H876">IFERROR(_xlfn.LET(
_xlpm.CSVVal,_xlfn.XLOOKUP($A876,CSV!$A:$A,CSV!H:H,""),
_xlpm.MacVal,_xlfn.XLOOKUP($A876,Output_Mac!$A:$A,Output_Mac!H:H,""),
_xlpm.MyAuditVal,_xlfn.XLOOKUP($A876,My_Audit!$A:$A,My_Audit!G:G,""),
_xlfn.IFS(_xlpm.MyAuditVal&lt;&gt;"",_xlpm.MyAuditVal,_xlpm.MacVal&lt;&gt;"",_xlpm.MacVal,_xlpm.CSVVal&lt;&gt;"",_xlpm.CSVVal
)),"")</f>
        <v/>
      </c>
      <c r="I876" s="40" t="str">
        <f>_xlfn.XLOOKUP(A876,Output_Mac!A:A,Output_Mac!I:I,"")</f>
        <v/>
      </c>
      <c r="J876" s="40" t="str" cm="1">
        <f t="array" ref="J876">IFERROR(_xlfn.LET(
_xlpm.CSVVal,_xlfn.XLOOKUP($A876,CSV!$A:$A,CSV!I:I,""),
_xlpm.MacVal,_xlfn.XLOOKUP($A876,Output_Mac!$A:$A,Output_Mac!J:J,""),
_xlpm.MyAuditVal,_xlfn.XLOOKUP($A876,My_Audit!$A:$A,My_Audit!I:I,""),
_xlfn.IFS(_xlpm.MyAuditVal&lt;&gt;"",UPPER(_xlpm.MyAuditVal),_xlpm.MacVal&lt;&gt;"",_xlpm.MacVal,_xlpm.CSVVal&lt;&gt;"",_xlpm.CSVVal
)),"")</f>
        <v/>
      </c>
      <c r="K876" s="40" t="str" cm="1">
        <f t="array" ref="K876">IFERROR(_xlfn.LET(
_xlpm.CSVVal,_xlfn.XLOOKUP($A876,CSV!$A:$A,CSV!K:K,""),
_xlpm.MacVal,_xlfn.XLOOKUP($A876,Output_Mac!$A:$A,Output_Mac!K:K,""),
_xlpm.MyAuditVal,_xlfn.XLOOKUP($A876,My_Audit!$A:$A,My_Audit!J:J,""),
_xlfn.IFS(_xlpm.MyAuditVal&lt;&gt;"",UPPER(_xlpm.MyAuditVal),_xlpm.MacVal&lt;&gt;"",_xlpm.MacVal,_xlpm.CSVVal&lt;&gt;"",_xlpm.CSVVal
)),"")</f>
        <v/>
      </c>
      <c r="L876" s="40" t="str" cm="1">
        <f t="array" ref="L876">IFERROR(_xlfn.LET(
_xlpm.CSVVal,_xlfn.XLOOKUP($A876,CSV!$A:$A,CSV!P:P,""),
_xlpm.MacVal,_xlfn.XLOOKUP($A876,Output_Mac!$A:$A,Output_Mac!L:L,""),
_xlpm.MyAuditVal,_xlfn.XLOOKUP($A876,My_Audit!$A:$A,My_Audit!K:K,""),
_xlfn.IFS(_xlpm.MyAuditVal&lt;&gt;"",UPPER(_xlpm.MyAuditVal),_xlpm.MacVal&lt;&gt;"",_xlpm.MacVal,_xlpm.CSVVal&lt;&gt;"",_xlpm.CSVVal
)),"")</f>
        <v/>
      </c>
      <c r="M876" s="40" t="str" cm="1">
        <f t="array" ref="M876">IFERROR(_xlfn.LET(
_xlpm.CSVVal,_xlfn.XLOOKUP($A876,CSV!$A:$A,CSV!Q:Q,""),
_xlpm.MacVal,_xlfn.XLOOKUP($A876,Output_Mac!$A:$A,Output_Mac!M:M,""),
_xlpm.MyAuditVal,_xlfn.XLOOKUP($A876,My_Audit!$A:$A,My_Audit!L:L,""),
_xlfn.IFS(_xlpm.MyAuditVal&lt;&gt;"",UPPER(_xlpm.MyAuditVal),_xlpm.MacVal&lt;&gt;"",_xlpm.MacVal,_xlpm.CSVVal&lt;&gt;"",_xlpm.CSVVal
)),"")</f>
        <v/>
      </c>
      <c r="N876" s="40"/>
      <c r="O876" s="40" t="str">
        <f>_xlfn.LET(
    _xlpm.CSVVal, _xlfn.XLOOKUP($A876, CSV!$A:$A, CSV!AA:AA, ""),
    _xlpm.MacVal, _xlfn.XLOOKUP($A876, Output_Mac!$A:$A, Output_Mac!S:S, ""),
    _xlpm.MyAuditVal, _xlfn.XLOOKUP($A876, My_Audit!$A:$A, My_Audit!P:P, ""),
    _xlfn.TEXTJOIN(", ", TRUE, _xlpm.MyAuditVal, _xlpm.MacVal, _xlpm.CSVVal)
)</f>
        <v/>
      </c>
      <c r="P876" s="40" t="str" cm="1">
        <f t="array" ref="P876">IFERROR(_xlfn.LET(
_xlpm.CSVVal,_xlfn.XLOOKUP($A876,CSV!$A:$A,CSV!AB:AB,""),
_xlpm.MacVal,_xlfn.XLOOKUP($A876,Output_Mac!$A:$A,Output_Mac!T:T,""),
_xlpm.MyAuditVal,_xlfn.XLOOKUP($A876,My_Audit!$A:$A,My_Audit!Q:Q,""),
_xlfn.IFS(_xlpm.MyAuditVal&lt;&gt;"",UPPER(_xlpm.MyAuditVal),_xlpm.MacVal&lt;&gt;"",_xlpm.MacVal,_xlpm.CSVVal&lt;&gt;"",_xlpm.CSVVal
)),"No")</f>
        <v>No</v>
      </c>
      <c r="Q876" s="40" t="str" cm="1">
        <f t="array" ref="Q876">IFERROR(_xlfn.LET(
_xlpm.CSVVal,_xlfn.XLOOKUP($A876,CSV!$A:$A,CSV!AC:AC,""),
_xlpm.MacVal,_xlfn.XLOOKUP($A876,Output_Mac!$A:$A,Output_Mac!U:U,""),
_xlpm.MyAuditVal,_xlfn.XLOOKUP($A876,My_Audit!$A:$A,My_Audit!R:R,""),
_xlfn.IFS(_xlpm.MyAuditVal&lt;&gt;"",UPPER(_xlpm.MyAuditVal),_xlpm.MacVal&lt;&gt;"",_xlpm.MacVal,_xlpm.CSVVal&lt;&gt;"",_xlpm.CSVVal
)),"")</f>
        <v/>
      </c>
      <c r="R876" s="40"/>
      <c r="S876" s="40"/>
      <c r="T876" s="40"/>
      <c r="U876" s="40"/>
      <c r="V876" s="40"/>
      <c r="W876" s="40"/>
      <c r="X876" s="41" t="str">
        <f>_xlfn.LET(
    _xlpm.MacVal, _xlfn.XLOOKUP($A876, Output_Mac!$A:$A, Output_Mac!AB:AB, ""),
    _xlpm.MyAuditVal, _xlfn.XLOOKUP($A876, My_Audit!$A:$A, My_Audit!N:N, ""),
    _xlfn.TEXTJOIN(", ", TRUE, _xlpm.MyAuditVal, _xlpm.MacVal)
)</f>
        <v/>
      </c>
    </row>
    <row r="877" spans="1:24">
      <c r="A877" s="40" t="str">
        <f>_xlfn.TEXTJOIN("",TRUE,Input!$B$2,ROW(My_Audit!A876))</f>
        <v>X876</v>
      </c>
      <c r="B877" s="40" t="str">
        <f>_xlfn.TEXTJOIN("-",TRUE,"ITD",Input!$A$2,A877)</f>
        <v>ITD-X876</v>
      </c>
      <c r="C877" s="40" t="str" cm="1">
        <f t="array" ref="C877">IFERROR(_xlfn.LET(
_xlpm.CSVVal,_xlfn.XLOOKUP($A877,CSV!$A:$A,CSV!B:B,""),
_xlpm.MacVal,_xlfn.XLOOKUP($A877,Output_Mac!$A:$A,Output_Mac!B:B,""),
_xlpm.MyAuditVal,_xlfn.XLOOKUP($A877,My_Audit!$A:$A,My_Audit!B:B,""),
_xlfn.IFS(_xlpm.MyAuditVal&lt;&gt;"",UPPER(_xlpm.MyAuditVal),_xlpm.MacVal&lt;&gt;"",_xlpm.MacVal,_xlpm.CSVVal&lt;&gt;"",_xlpm.CSVVal
)),"")</f>
        <v/>
      </c>
      <c r="D877" s="40" t="str" cm="1">
        <f t="array" ref="D877">IFERROR(_xlfn.LET(
_xlpm.CSVVal,_xlfn.XLOOKUP($A877,CSV!$A:$A,CSV!D:D,""),
_xlpm.MacVal,_xlfn.XLOOKUP($A877,Output_Mac!$A:$A,Output_Mac!C:C,""),
_xlpm.MyAuditVal,_xlfn.XLOOKUP($A877,My_Audit!$A:$A,My_Audit!C:C,""),
_xlfn.IFS(_xlpm.MyAuditVal&lt;&gt;"",_xlpm.MyAuditVal,_xlpm.MacVal&lt;&gt;"",_xlpm.MacVal,_xlpm.CSVVal&lt;&gt;"",_xlpm.CSVVal
)),"")</f>
        <v/>
      </c>
      <c r="E877" s="40" t="str">
        <f>_xlfn.XLOOKUP(A877,My_Audit!A:A,My_Audit!D:D,"")</f>
        <v/>
      </c>
      <c r="F877" s="40" t="str" cm="1">
        <f t="array" ref="F877">IFERROR(_xlfn.LET(
_xlpm.CSVVal,_xlfn.XLOOKUP($A877,CSV!$A:$A,CSV!F:F,""),
_xlpm.MacVal,_xlfn.XLOOKUP($A877,Output_Mac!$A:$A,Output_Mac!E:E,""),
_xlpm.MyAuditVal,_xlfn.XLOOKUP($A877,My_Audit!$A:$A,My_Audit!E:E,""),
_xlfn.IFS(_xlpm.MyAuditVal&lt;&gt;"",_xlpm.MyAuditVal,_xlpm.MacVal&lt;&gt;"",_xlpm.MacVal,_xlpm.CSVVal&lt;&gt;"",_xlpm.CSVVal
)),"")</f>
        <v/>
      </c>
      <c r="G877" s="40" t="str" cm="1">
        <f t="array" ref="G877">IFERROR(_xlfn.LET(
_xlpm.CSVVal,_xlfn.XLOOKUP($A877,CSV!$A:$A,CSV!G:G,""),
_xlpm.MacVal,_xlfn.XLOOKUP($A877,Output_Mac!$A:$A,Output_Mac!F:F,""),
_xlpm.MyAuditVal,_xlfn.XLOOKUP($A877,My_Audit!$A:$A,My_Audit!F:F,""),
_xlfn.IFS(_xlpm.MyAuditVal&lt;&gt;"",_xlpm.MyAuditVal,_xlpm.MacVal&lt;&gt;"",_xlpm.MacVal,_xlpm.CSVVal&lt;&gt;"",PROPER(_xlpm.CSVVal)
)),"")</f>
        <v/>
      </c>
      <c r="H877" s="40" t="str" cm="1">
        <f t="array" ref="H877">IFERROR(_xlfn.LET(
_xlpm.CSVVal,_xlfn.XLOOKUP($A877,CSV!$A:$A,CSV!H:H,""),
_xlpm.MacVal,_xlfn.XLOOKUP($A877,Output_Mac!$A:$A,Output_Mac!H:H,""),
_xlpm.MyAuditVal,_xlfn.XLOOKUP($A877,My_Audit!$A:$A,My_Audit!G:G,""),
_xlfn.IFS(_xlpm.MyAuditVal&lt;&gt;"",_xlpm.MyAuditVal,_xlpm.MacVal&lt;&gt;"",_xlpm.MacVal,_xlpm.CSVVal&lt;&gt;"",_xlpm.CSVVal
)),"")</f>
        <v/>
      </c>
      <c r="I877" s="40" t="str">
        <f>_xlfn.XLOOKUP(A877,Output_Mac!A:A,Output_Mac!I:I,"")</f>
        <v/>
      </c>
      <c r="J877" s="40" t="str" cm="1">
        <f t="array" ref="J877">IFERROR(_xlfn.LET(
_xlpm.CSVVal,_xlfn.XLOOKUP($A877,CSV!$A:$A,CSV!I:I,""),
_xlpm.MacVal,_xlfn.XLOOKUP($A877,Output_Mac!$A:$A,Output_Mac!J:J,""),
_xlpm.MyAuditVal,_xlfn.XLOOKUP($A877,My_Audit!$A:$A,My_Audit!I:I,""),
_xlfn.IFS(_xlpm.MyAuditVal&lt;&gt;"",UPPER(_xlpm.MyAuditVal),_xlpm.MacVal&lt;&gt;"",_xlpm.MacVal,_xlpm.CSVVal&lt;&gt;"",_xlpm.CSVVal
)),"")</f>
        <v/>
      </c>
      <c r="K877" s="40" t="str" cm="1">
        <f t="array" ref="K877">IFERROR(_xlfn.LET(
_xlpm.CSVVal,_xlfn.XLOOKUP($A877,CSV!$A:$A,CSV!K:K,""),
_xlpm.MacVal,_xlfn.XLOOKUP($A877,Output_Mac!$A:$A,Output_Mac!K:K,""),
_xlpm.MyAuditVal,_xlfn.XLOOKUP($A877,My_Audit!$A:$A,My_Audit!J:J,""),
_xlfn.IFS(_xlpm.MyAuditVal&lt;&gt;"",UPPER(_xlpm.MyAuditVal),_xlpm.MacVal&lt;&gt;"",_xlpm.MacVal,_xlpm.CSVVal&lt;&gt;"",_xlpm.CSVVal
)),"")</f>
        <v/>
      </c>
      <c r="L877" s="40" t="str" cm="1">
        <f t="array" ref="L877">IFERROR(_xlfn.LET(
_xlpm.CSVVal,_xlfn.XLOOKUP($A877,CSV!$A:$A,CSV!P:P,""),
_xlpm.MacVal,_xlfn.XLOOKUP($A877,Output_Mac!$A:$A,Output_Mac!L:L,""),
_xlpm.MyAuditVal,_xlfn.XLOOKUP($A877,My_Audit!$A:$A,My_Audit!K:K,""),
_xlfn.IFS(_xlpm.MyAuditVal&lt;&gt;"",UPPER(_xlpm.MyAuditVal),_xlpm.MacVal&lt;&gt;"",_xlpm.MacVal,_xlpm.CSVVal&lt;&gt;"",_xlpm.CSVVal
)),"")</f>
        <v/>
      </c>
      <c r="M877" s="40" t="str" cm="1">
        <f t="array" ref="M877">IFERROR(_xlfn.LET(
_xlpm.CSVVal,_xlfn.XLOOKUP($A877,CSV!$A:$A,CSV!Q:Q,""),
_xlpm.MacVal,_xlfn.XLOOKUP($A877,Output_Mac!$A:$A,Output_Mac!M:M,""),
_xlpm.MyAuditVal,_xlfn.XLOOKUP($A877,My_Audit!$A:$A,My_Audit!L:L,""),
_xlfn.IFS(_xlpm.MyAuditVal&lt;&gt;"",UPPER(_xlpm.MyAuditVal),_xlpm.MacVal&lt;&gt;"",_xlpm.MacVal,_xlpm.CSVVal&lt;&gt;"",_xlpm.CSVVal
)),"")</f>
        <v/>
      </c>
      <c r="N877" s="40"/>
      <c r="O877" s="40" t="str">
        <f>_xlfn.LET(
    _xlpm.CSVVal, _xlfn.XLOOKUP($A877, CSV!$A:$A, CSV!AA:AA, ""),
    _xlpm.MacVal, _xlfn.XLOOKUP($A877, Output_Mac!$A:$A, Output_Mac!S:S, ""),
    _xlpm.MyAuditVal, _xlfn.XLOOKUP($A877, My_Audit!$A:$A, My_Audit!P:P, ""),
    _xlfn.TEXTJOIN(", ", TRUE, _xlpm.MyAuditVal, _xlpm.MacVal, _xlpm.CSVVal)
)</f>
        <v/>
      </c>
      <c r="P877" s="40" t="str" cm="1">
        <f t="array" ref="P877">IFERROR(_xlfn.LET(
_xlpm.CSVVal,_xlfn.XLOOKUP($A877,CSV!$A:$A,CSV!AB:AB,""),
_xlpm.MacVal,_xlfn.XLOOKUP($A877,Output_Mac!$A:$A,Output_Mac!T:T,""),
_xlpm.MyAuditVal,_xlfn.XLOOKUP($A877,My_Audit!$A:$A,My_Audit!Q:Q,""),
_xlfn.IFS(_xlpm.MyAuditVal&lt;&gt;"",UPPER(_xlpm.MyAuditVal),_xlpm.MacVal&lt;&gt;"",_xlpm.MacVal,_xlpm.CSVVal&lt;&gt;"",_xlpm.CSVVal
)),"No")</f>
        <v>No</v>
      </c>
      <c r="Q877" s="40" t="str" cm="1">
        <f t="array" ref="Q877">IFERROR(_xlfn.LET(
_xlpm.CSVVal,_xlfn.XLOOKUP($A877,CSV!$A:$A,CSV!AC:AC,""),
_xlpm.MacVal,_xlfn.XLOOKUP($A877,Output_Mac!$A:$A,Output_Mac!U:U,""),
_xlpm.MyAuditVal,_xlfn.XLOOKUP($A877,My_Audit!$A:$A,My_Audit!R:R,""),
_xlfn.IFS(_xlpm.MyAuditVal&lt;&gt;"",UPPER(_xlpm.MyAuditVal),_xlpm.MacVal&lt;&gt;"",_xlpm.MacVal,_xlpm.CSVVal&lt;&gt;"",_xlpm.CSVVal
)),"")</f>
        <v/>
      </c>
      <c r="R877" s="40"/>
      <c r="S877" s="40"/>
      <c r="T877" s="40"/>
      <c r="U877" s="40"/>
      <c r="V877" s="40"/>
      <c r="W877" s="40"/>
      <c r="X877" s="41" t="str">
        <f>_xlfn.LET(
    _xlpm.MacVal, _xlfn.XLOOKUP($A877, Output_Mac!$A:$A, Output_Mac!AB:AB, ""),
    _xlpm.MyAuditVal, _xlfn.XLOOKUP($A877, My_Audit!$A:$A, My_Audit!N:N, ""),
    _xlfn.TEXTJOIN(", ", TRUE, _xlpm.MyAuditVal, _xlpm.MacVal)
)</f>
        <v/>
      </c>
    </row>
    <row r="878" spans="1:24">
      <c r="A878" s="40" t="str">
        <f>_xlfn.TEXTJOIN("",TRUE,Input!$B$2,ROW(My_Audit!A877))</f>
        <v>X877</v>
      </c>
      <c r="B878" s="40" t="str">
        <f>_xlfn.TEXTJOIN("-",TRUE,"ITD",Input!$A$2,A878)</f>
        <v>ITD-X877</v>
      </c>
      <c r="C878" s="40" t="str" cm="1">
        <f t="array" ref="C878">IFERROR(_xlfn.LET(
_xlpm.CSVVal,_xlfn.XLOOKUP($A878,CSV!$A:$A,CSV!B:B,""),
_xlpm.MacVal,_xlfn.XLOOKUP($A878,Output_Mac!$A:$A,Output_Mac!B:B,""),
_xlpm.MyAuditVal,_xlfn.XLOOKUP($A878,My_Audit!$A:$A,My_Audit!B:B,""),
_xlfn.IFS(_xlpm.MyAuditVal&lt;&gt;"",UPPER(_xlpm.MyAuditVal),_xlpm.MacVal&lt;&gt;"",_xlpm.MacVal,_xlpm.CSVVal&lt;&gt;"",_xlpm.CSVVal
)),"")</f>
        <v/>
      </c>
      <c r="D878" s="40" t="str" cm="1">
        <f t="array" ref="D878">IFERROR(_xlfn.LET(
_xlpm.CSVVal,_xlfn.XLOOKUP($A878,CSV!$A:$A,CSV!D:D,""),
_xlpm.MacVal,_xlfn.XLOOKUP($A878,Output_Mac!$A:$A,Output_Mac!C:C,""),
_xlpm.MyAuditVal,_xlfn.XLOOKUP($A878,My_Audit!$A:$A,My_Audit!C:C,""),
_xlfn.IFS(_xlpm.MyAuditVal&lt;&gt;"",_xlpm.MyAuditVal,_xlpm.MacVal&lt;&gt;"",_xlpm.MacVal,_xlpm.CSVVal&lt;&gt;"",_xlpm.CSVVal
)),"")</f>
        <v/>
      </c>
      <c r="E878" s="40" t="str">
        <f>_xlfn.XLOOKUP(A878,My_Audit!A:A,My_Audit!D:D,"")</f>
        <v/>
      </c>
      <c r="F878" s="40" t="str" cm="1">
        <f t="array" ref="F878">IFERROR(_xlfn.LET(
_xlpm.CSVVal,_xlfn.XLOOKUP($A878,CSV!$A:$A,CSV!F:F,""),
_xlpm.MacVal,_xlfn.XLOOKUP($A878,Output_Mac!$A:$A,Output_Mac!E:E,""),
_xlpm.MyAuditVal,_xlfn.XLOOKUP($A878,My_Audit!$A:$A,My_Audit!E:E,""),
_xlfn.IFS(_xlpm.MyAuditVal&lt;&gt;"",_xlpm.MyAuditVal,_xlpm.MacVal&lt;&gt;"",_xlpm.MacVal,_xlpm.CSVVal&lt;&gt;"",_xlpm.CSVVal
)),"")</f>
        <v/>
      </c>
      <c r="G878" s="40" t="str" cm="1">
        <f t="array" ref="G878">IFERROR(_xlfn.LET(
_xlpm.CSVVal,_xlfn.XLOOKUP($A878,CSV!$A:$A,CSV!G:G,""),
_xlpm.MacVal,_xlfn.XLOOKUP($A878,Output_Mac!$A:$A,Output_Mac!F:F,""),
_xlpm.MyAuditVal,_xlfn.XLOOKUP($A878,My_Audit!$A:$A,My_Audit!F:F,""),
_xlfn.IFS(_xlpm.MyAuditVal&lt;&gt;"",_xlpm.MyAuditVal,_xlpm.MacVal&lt;&gt;"",_xlpm.MacVal,_xlpm.CSVVal&lt;&gt;"",PROPER(_xlpm.CSVVal)
)),"")</f>
        <v/>
      </c>
      <c r="H878" s="40" t="str" cm="1">
        <f t="array" ref="H878">IFERROR(_xlfn.LET(
_xlpm.CSVVal,_xlfn.XLOOKUP($A878,CSV!$A:$A,CSV!H:H,""),
_xlpm.MacVal,_xlfn.XLOOKUP($A878,Output_Mac!$A:$A,Output_Mac!H:H,""),
_xlpm.MyAuditVal,_xlfn.XLOOKUP($A878,My_Audit!$A:$A,My_Audit!G:G,""),
_xlfn.IFS(_xlpm.MyAuditVal&lt;&gt;"",_xlpm.MyAuditVal,_xlpm.MacVal&lt;&gt;"",_xlpm.MacVal,_xlpm.CSVVal&lt;&gt;"",_xlpm.CSVVal
)),"")</f>
        <v/>
      </c>
      <c r="I878" s="40" t="str">
        <f>_xlfn.XLOOKUP(A878,Output_Mac!A:A,Output_Mac!I:I,"")</f>
        <v/>
      </c>
      <c r="J878" s="40" t="str" cm="1">
        <f t="array" ref="J878">IFERROR(_xlfn.LET(
_xlpm.CSVVal,_xlfn.XLOOKUP($A878,CSV!$A:$A,CSV!I:I,""),
_xlpm.MacVal,_xlfn.XLOOKUP($A878,Output_Mac!$A:$A,Output_Mac!J:J,""),
_xlpm.MyAuditVal,_xlfn.XLOOKUP($A878,My_Audit!$A:$A,My_Audit!I:I,""),
_xlfn.IFS(_xlpm.MyAuditVal&lt;&gt;"",UPPER(_xlpm.MyAuditVal),_xlpm.MacVal&lt;&gt;"",_xlpm.MacVal,_xlpm.CSVVal&lt;&gt;"",_xlpm.CSVVal
)),"")</f>
        <v/>
      </c>
      <c r="K878" s="40" t="str" cm="1">
        <f t="array" ref="K878">IFERROR(_xlfn.LET(
_xlpm.CSVVal,_xlfn.XLOOKUP($A878,CSV!$A:$A,CSV!K:K,""),
_xlpm.MacVal,_xlfn.XLOOKUP($A878,Output_Mac!$A:$A,Output_Mac!K:K,""),
_xlpm.MyAuditVal,_xlfn.XLOOKUP($A878,My_Audit!$A:$A,My_Audit!J:J,""),
_xlfn.IFS(_xlpm.MyAuditVal&lt;&gt;"",UPPER(_xlpm.MyAuditVal),_xlpm.MacVal&lt;&gt;"",_xlpm.MacVal,_xlpm.CSVVal&lt;&gt;"",_xlpm.CSVVal
)),"")</f>
        <v/>
      </c>
      <c r="L878" s="40" t="str" cm="1">
        <f t="array" ref="L878">IFERROR(_xlfn.LET(
_xlpm.CSVVal,_xlfn.XLOOKUP($A878,CSV!$A:$A,CSV!P:P,""),
_xlpm.MacVal,_xlfn.XLOOKUP($A878,Output_Mac!$A:$A,Output_Mac!L:L,""),
_xlpm.MyAuditVal,_xlfn.XLOOKUP($A878,My_Audit!$A:$A,My_Audit!K:K,""),
_xlfn.IFS(_xlpm.MyAuditVal&lt;&gt;"",UPPER(_xlpm.MyAuditVal),_xlpm.MacVal&lt;&gt;"",_xlpm.MacVal,_xlpm.CSVVal&lt;&gt;"",_xlpm.CSVVal
)),"")</f>
        <v/>
      </c>
      <c r="M878" s="40" t="str" cm="1">
        <f t="array" ref="M878">IFERROR(_xlfn.LET(
_xlpm.CSVVal,_xlfn.XLOOKUP($A878,CSV!$A:$A,CSV!Q:Q,""),
_xlpm.MacVal,_xlfn.XLOOKUP($A878,Output_Mac!$A:$A,Output_Mac!M:M,""),
_xlpm.MyAuditVal,_xlfn.XLOOKUP($A878,My_Audit!$A:$A,My_Audit!L:L,""),
_xlfn.IFS(_xlpm.MyAuditVal&lt;&gt;"",UPPER(_xlpm.MyAuditVal),_xlpm.MacVal&lt;&gt;"",_xlpm.MacVal,_xlpm.CSVVal&lt;&gt;"",_xlpm.CSVVal
)),"")</f>
        <v/>
      </c>
      <c r="N878" s="40"/>
      <c r="O878" s="40" t="str">
        <f>_xlfn.LET(
    _xlpm.CSVVal, _xlfn.XLOOKUP($A878, CSV!$A:$A, CSV!AA:AA, ""),
    _xlpm.MacVal, _xlfn.XLOOKUP($A878, Output_Mac!$A:$A, Output_Mac!S:S, ""),
    _xlpm.MyAuditVal, _xlfn.XLOOKUP($A878, My_Audit!$A:$A, My_Audit!P:P, ""),
    _xlfn.TEXTJOIN(", ", TRUE, _xlpm.MyAuditVal, _xlpm.MacVal, _xlpm.CSVVal)
)</f>
        <v/>
      </c>
      <c r="P878" s="40" t="str" cm="1">
        <f t="array" ref="P878">IFERROR(_xlfn.LET(
_xlpm.CSVVal,_xlfn.XLOOKUP($A878,CSV!$A:$A,CSV!AB:AB,""),
_xlpm.MacVal,_xlfn.XLOOKUP($A878,Output_Mac!$A:$A,Output_Mac!T:T,""),
_xlpm.MyAuditVal,_xlfn.XLOOKUP($A878,My_Audit!$A:$A,My_Audit!Q:Q,""),
_xlfn.IFS(_xlpm.MyAuditVal&lt;&gt;"",UPPER(_xlpm.MyAuditVal),_xlpm.MacVal&lt;&gt;"",_xlpm.MacVal,_xlpm.CSVVal&lt;&gt;"",_xlpm.CSVVal
)),"No")</f>
        <v>No</v>
      </c>
      <c r="Q878" s="40" t="str" cm="1">
        <f t="array" ref="Q878">IFERROR(_xlfn.LET(
_xlpm.CSVVal,_xlfn.XLOOKUP($A878,CSV!$A:$A,CSV!AC:AC,""),
_xlpm.MacVal,_xlfn.XLOOKUP($A878,Output_Mac!$A:$A,Output_Mac!U:U,""),
_xlpm.MyAuditVal,_xlfn.XLOOKUP($A878,My_Audit!$A:$A,My_Audit!R:R,""),
_xlfn.IFS(_xlpm.MyAuditVal&lt;&gt;"",UPPER(_xlpm.MyAuditVal),_xlpm.MacVal&lt;&gt;"",_xlpm.MacVal,_xlpm.CSVVal&lt;&gt;"",_xlpm.CSVVal
)),"")</f>
        <v/>
      </c>
      <c r="R878" s="40"/>
      <c r="S878" s="40"/>
      <c r="T878" s="40"/>
      <c r="U878" s="40"/>
      <c r="V878" s="40"/>
      <c r="W878" s="40"/>
      <c r="X878" s="41" t="str">
        <f>_xlfn.LET(
    _xlpm.MacVal, _xlfn.XLOOKUP($A878, Output_Mac!$A:$A, Output_Mac!AB:AB, ""),
    _xlpm.MyAuditVal, _xlfn.XLOOKUP($A878, My_Audit!$A:$A, My_Audit!N:N, ""),
    _xlfn.TEXTJOIN(", ", TRUE, _xlpm.MyAuditVal, _xlpm.MacVal)
)</f>
        <v/>
      </c>
    </row>
    <row r="879" spans="1:24">
      <c r="A879" s="40" t="str">
        <f>_xlfn.TEXTJOIN("",TRUE,Input!$B$2,ROW(My_Audit!A878))</f>
        <v>X878</v>
      </c>
      <c r="B879" s="40" t="str">
        <f>_xlfn.TEXTJOIN("-",TRUE,"ITD",Input!$A$2,A879)</f>
        <v>ITD-X878</v>
      </c>
      <c r="C879" s="40" t="str" cm="1">
        <f t="array" ref="C879">IFERROR(_xlfn.LET(
_xlpm.CSVVal,_xlfn.XLOOKUP($A879,CSV!$A:$A,CSV!B:B,""),
_xlpm.MacVal,_xlfn.XLOOKUP($A879,Output_Mac!$A:$A,Output_Mac!B:B,""),
_xlpm.MyAuditVal,_xlfn.XLOOKUP($A879,My_Audit!$A:$A,My_Audit!B:B,""),
_xlfn.IFS(_xlpm.MyAuditVal&lt;&gt;"",UPPER(_xlpm.MyAuditVal),_xlpm.MacVal&lt;&gt;"",_xlpm.MacVal,_xlpm.CSVVal&lt;&gt;"",_xlpm.CSVVal
)),"")</f>
        <v/>
      </c>
      <c r="D879" s="40" t="str" cm="1">
        <f t="array" ref="D879">IFERROR(_xlfn.LET(
_xlpm.CSVVal,_xlfn.XLOOKUP($A879,CSV!$A:$A,CSV!D:D,""),
_xlpm.MacVal,_xlfn.XLOOKUP($A879,Output_Mac!$A:$A,Output_Mac!C:C,""),
_xlpm.MyAuditVal,_xlfn.XLOOKUP($A879,My_Audit!$A:$A,My_Audit!C:C,""),
_xlfn.IFS(_xlpm.MyAuditVal&lt;&gt;"",_xlpm.MyAuditVal,_xlpm.MacVal&lt;&gt;"",_xlpm.MacVal,_xlpm.CSVVal&lt;&gt;"",_xlpm.CSVVal
)),"")</f>
        <v/>
      </c>
      <c r="E879" s="40" t="str">
        <f>_xlfn.XLOOKUP(A879,My_Audit!A:A,My_Audit!D:D,"")</f>
        <v/>
      </c>
      <c r="F879" s="40" t="str" cm="1">
        <f t="array" ref="F879">IFERROR(_xlfn.LET(
_xlpm.CSVVal,_xlfn.XLOOKUP($A879,CSV!$A:$A,CSV!F:F,""),
_xlpm.MacVal,_xlfn.XLOOKUP($A879,Output_Mac!$A:$A,Output_Mac!E:E,""),
_xlpm.MyAuditVal,_xlfn.XLOOKUP($A879,My_Audit!$A:$A,My_Audit!E:E,""),
_xlfn.IFS(_xlpm.MyAuditVal&lt;&gt;"",_xlpm.MyAuditVal,_xlpm.MacVal&lt;&gt;"",_xlpm.MacVal,_xlpm.CSVVal&lt;&gt;"",_xlpm.CSVVal
)),"")</f>
        <v/>
      </c>
      <c r="G879" s="40" t="str" cm="1">
        <f t="array" ref="G879">IFERROR(_xlfn.LET(
_xlpm.CSVVal,_xlfn.XLOOKUP($A879,CSV!$A:$A,CSV!G:G,""),
_xlpm.MacVal,_xlfn.XLOOKUP($A879,Output_Mac!$A:$A,Output_Mac!F:F,""),
_xlpm.MyAuditVal,_xlfn.XLOOKUP($A879,My_Audit!$A:$A,My_Audit!F:F,""),
_xlfn.IFS(_xlpm.MyAuditVal&lt;&gt;"",_xlpm.MyAuditVal,_xlpm.MacVal&lt;&gt;"",_xlpm.MacVal,_xlpm.CSVVal&lt;&gt;"",PROPER(_xlpm.CSVVal)
)),"")</f>
        <v/>
      </c>
      <c r="H879" s="40" t="str" cm="1">
        <f t="array" ref="H879">IFERROR(_xlfn.LET(
_xlpm.CSVVal,_xlfn.XLOOKUP($A879,CSV!$A:$A,CSV!H:H,""),
_xlpm.MacVal,_xlfn.XLOOKUP($A879,Output_Mac!$A:$A,Output_Mac!H:H,""),
_xlpm.MyAuditVal,_xlfn.XLOOKUP($A879,My_Audit!$A:$A,My_Audit!G:G,""),
_xlfn.IFS(_xlpm.MyAuditVal&lt;&gt;"",_xlpm.MyAuditVal,_xlpm.MacVal&lt;&gt;"",_xlpm.MacVal,_xlpm.CSVVal&lt;&gt;"",_xlpm.CSVVal
)),"")</f>
        <v/>
      </c>
      <c r="I879" s="40" t="str">
        <f>_xlfn.XLOOKUP(A879,Output_Mac!A:A,Output_Mac!I:I,"")</f>
        <v/>
      </c>
      <c r="J879" s="40" t="str" cm="1">
        <f t="array" ref="J879">IFERROR(_xlfn.LET(
_xlpm.CSVVal,_xlfn.XLOOKUP($A879,CSV!$A:$A,CSV!I:I,""),
_xlpm.MacVal,_xlfn.XLOOKUP($A879,Output_Mac!$A:$A,Output_Mac!J:J,""),
_xlpm.MyAuditVal,_xlfn.XLOOKUP($A879,My_Audit!$A:$A,My_Audit!I:I,""),
_xlfn.IFS(_xlpm.MyAuditVal&lt;&gt;"",UPPER(_xlpm.MyAuditVal),_xlpm.MacVal&lt;&gt;"",_xlpm.MacVal,_xlpm.CSVVal&lt;&gt;"",_xlpm.CSVVal
)),"")</f>
        <v/>
      </c>
      <c r="K879" s="40" t="str" cm="1">
        <f t="array" ref="K879">IFERROR(_xlfn.LET(
_xlpm.CSVVal,_xlfn.XLOOKUP($A879,CSV!$A:$A,CSV!K:K,""),
_xlpm.MacVal,_xlfn.XLOOKUP($A879,Output_Mac!$A:$A,Output_Mac!K:K,""),
_xlpm.MyAuditVal,_xlfn.XLOOKUP($A879,My_Audit!$A:$A,My_Audit!J:J,""),
_xlfn.IFS(_xlpm.MyAuditVal&lt;&gt;"",UPPER(_xlpm.MyAuditVal),_xlpm.MacVal&lt;&gt;"",_xlpm.MacVal,_xlpm.CSVVal&lt;&gt;"",_xlpm.CSVVal
)),"")</f>
        <v/>
      </c>
      <c r="L879" s="40" t="str" cm="1">
        <f t="array" ref="L879">IFERROR(_xlfn.LET(
_xlpm.CSVVal,_xlfn.XLOOKUP($A879,CSV!$A:$A,CSV!P:P,""),
_xlpm.MacVal,_xlfn.XLOOKUP($A879,Output_Mac!$A:$A,Output_Mac!L:L,""),
_xlpm.MyAuditVal,_xlfn.XLOOKUP($A879,My_Audit!$A:$A,My_Audit!K:K,""),
_xlfn.IFS(_xlpm.MyAuditVal&lt;&gt;"",UPPER(_xlpm.MyAuditVal),_xlpm.MacVal&lt;&gt;"",_xlpm.MacVal,_xlpm.CSVVal&lt;&gt;"",_xlpm.CSVVal
)),"")</f>
        <v/>
      </c>
      <c r="M879" s="40" t="str" cm="1">
        <f t="array" ref="M879">IFERROR(_xlfn.LET(
_xlpm.CSVVal,_xlfn.XLOOKUP($A879,CSV!$A:$A,CSV!Q:Q,""),
_xlpm.MacVal,_xlfn.XLOOKUP($A879,Output_Mac!$A:$A,Output_Mac!M:M,""),
_xlpm.MyAuditVal,_xlfn.XLOOKUP($A879,My_Audit!$A:$A,My_Audit!L:L,""),
_xlfn.IFS(_xlpm.MyAuditVal&lt;&gt;"",UPPER(_xlpm.MyAuditVal),_xlpm.MacVal&lt;&gt;"",_xlpm.MacVal,_xlpm.CSVVal&lt;&gt;"",_xlpm.CSVVal
)),"")</f>
        <v/>
      </c>
      <c r="N879" s="40"/>
      <c r="O879" s="40" t="str">
        <f>_xlfn.LET(
    _xlpm.CSVVal, _xlfn.XLOOKUP($A879, CSV!$A:$A, CSV!AA:AA, ""),
    _xlpm.MacVal, _xlfn.XLOOKUP($A879, Output_Mac!$A:$A, Output_Mac!S:S, ""),
    _xlpm.MyAuditVal, _xlfn.XLOOKUP($A879, My_Audit!$A:$A, My_Audit!P:P, ""),
    _xlfn.TEXTJOIN(", ", TRUE, _xlpm.MyAuditVal, _xlpm.MacVal, _xlpm.CSVVal)
)</f>
        <v/>
      </c>
      <c r="P879" s="40" t="str" cm="1">
        <f t="array" ref="P879">IFERROR(_xlfn.LET(
_xlpm.CSVVal,_xlfn.XLOOKUP($A879,CSV!$A:$A,CSV!AB:AB,""),
_xlpm.MacVal,_xlfn.XLOOKUP($A879,Output_Mac!$A:$A,Output_Mac!T:T,""),
_xlpm.MyAuditVal,_xlfn.XLOOKUP($A879,My_Audit!$A:$A,My_Audit!Q:Q,""),
_xlfn.IFS(_xlpm.MyAuditVal&lt;&gt;"",UPPER(_xlpm.MyAuditVal),_xlpm.MacVal&lt;&gt;"",_xlpm.MacVal,_xlpm.CSVVal&lt;&gt;"",_xlpm.CSVVal
)),"No")</f>
        <v>No</v>
      </c>
      <c r="Q879" s="40" t="str" cm="1">
        <f t="array" ref="Q879">IFERROR(_xlfn.LET(
_xlpm.CSVVal,_xlfn.XLOOKUP($A879,CSV!$A:$A,CSV!AC:AC,""),
_xlpm.MacVal,_xlfn.XLOOKUP($A879,Output_Mac!$A:$A,Output_Mac!U:U,""),
_xlpm.MyAuditVal,_xlfn.XLOOKUP($A879,My_Audit!$A:$A,My_Audit!R:R,""),
_xlfn.IFS(_xlpm.MyAuditVal&lt;&gt;"",UPPER(_xlpm.MyAuditVal),_xlpm.MacVal&lt;&gt;"",_xlpm.MacVal,_xlpm.CSVVal&lt;&gt;"",_xlpm.CSVVal
)),"")</f>
        <v/>
      </c>
      <c r="R879" s="40"/>
      <c r="S879" s="40"/>
      <c r="T879" s="40"/>
      <c r="U879" s="40"/>
      <c r="V879" s="40"/>
      <c r="W879" s="40"/>
      <c r="X879" s="41" t="str">
        <f>_xlfn.LET(
    _xlpm.MacVal, _xlfn.XLOOKUP($A879, Output_Mac!$A:$A, Output_Mac!AB:AB, ""),
    _xlpm.MyAuditVal, _xlfn.XLOOKUP($A879, My_Audit!$A:$A, My_Audit!N:N, ""),
    _xlfn.TEXTJOIN(", ", TRUE, _xlpm.MyAuditVal, _xlpm.MacVal)
)</f>
        <v/>
      </c>
    </row>
    <row r="880" spans="1:24">
      <c r="A880" s="40" t="str">
        <f>_xlfn.TEXTJOIN("",TRUE,Input!$B$2,ROW(My_Audit!A879))</f>
        <v>X879</v>
      </c>
      <c r="B880" s="40" t="str">
        <f>_xlfn.TEXTJOIN("-",TRUE,"ITD",Input!$A$2,A880)</f>
        <v>ITD-X879</v>
      </c>
      <c r="C880" s="40" t="str" cm="1">
        <f t="array" ref="C880">IFERROR(_xlfn.LET(
_xlpm.CSVVal,_xlfn.XLOOKUP($A880,CSV!$A:$A,CSV!B:B,""),
_xlpm.MacVal,_xlfn.XLOOKUP($A880,Output_Mac!$A:$A,Output_Mac!B:B,""),
_xlpm.MyAuditVal,_xlfn.XLOOKUP($A880,My_Audit!$A:$A,My_Audit!B:B,""),
_xlfn.IFS(_xlpm.MyAuditVal&lt;&gt;"",UPPER(_xlpm.MyAuditVal),_xlpm.MacVal&lt;&gt;"",_xlpm.MacVal,_xlpm.CSVVal&lt;&gt;"",_xlpm.CSVVal
)),"")</f>
        <v/>
      </c>
      <c r="D880" s="40" t="str" cm="1">
        <f t="array" ref="D880">IFERROR(_xlfn.LET(
_xlpm.CSVVal,_xlfn.XLOOKUP($A880,CSV!$A:$A,CSV!D:D,""),
_xlpm.MacVal,_xlfn.XLOOKUP($A880,Output_Mac!$A:$A,Output_Mac!C:C,""),
_xlpm.MyAuditVal,_xlfn.XLOOKUP($A880,My_Audit!$A:$A,My_Audit!C:C,""),
_xlfn.IFS(_xlpm.MyAuditVal&lt;&gt;"",_xlpm.MyAuditVal,_xlpm.MacVal&lt;&gt;"",_xlpm.MacVal,_xlpm.CSVVal&lt;&gt;"",_xlpm.CSVVal
)),"")</f>
        <v/>
      </c>
      <c r="E880" s="40" t="str">
        <f>_xlfn.XLOOKUP(A880,My_Audit!A:A,My_Audit!D:D,"")</f>
        <v/>
      </c>
      <c r="F880" s="40" t="str" cm="1">
        <f t="array" ref="F880">IFERROR(_xlfn.LET(
_xlpm.CSVVal,_xlfn.XLOOKUP($A880,CSV!$A:$A,CSV!F:F,""),
_xlpm.MacVal,_xlfn.XLOOKUP($A880,Output_Mac!$A:$A,Output_Mac!E:E,""),
_xlpm.MyAuditVal,_xlfn.XLOOKUP($A880,My_Audit!$A:$A,My_Audit!E:E,""),
_xlfn.IFS(_xlpm.MyAuditVal&lt;&gt;"",_xlpm.MyAuditVal,_xlpm.MacVal&lt;&gt;"",_xlpm.MacVal,_xlpm.CSVVal&lt;&gt;"",_xlpm.CSVVal
)),"")</f>
        <v/>
      </c>
      <c r="G880" s="40" t="str" cm="1">
        <f t="array" ref="G880">IFERROR(_xlfn.LET(
_xlpm.CSVVal,_xlfn.XLOOKUP($A880,CSV!$A:$A,CSV!G:G,""),
_xlpm.MacVal,_xlfn.XLOOKUP($A880,Output_Mac!$A:$A,Output_Mac!F:F,""),
_xlpm.MyAuditVal,_xlfn.XLOOKUP($A880,My_Audit!$A:$A,My_Audit!F:F,""),
_xlfn.IFS(_xlpm.MyAuditVal&lt;&gt;"",_xlpm.MyAuditVal,_xlpm.MacVal&lt;&gt;"",_xlpm.MacVal,_xlpm.CSVVal&lt;&gt;"",PROPER(_xlpm.CSVVal)
)),"")</f>
        <v/>
      </c>
      <c r="H880" s="40" t="str" cm="1">
        <f t="array" ref="H880">IFERROR(_xlfn.LET(
_xlpm.CSVVal,_xlfn.XLOOKUP($A880,CSV!$A:$A,CSV!H:H,""),
_xlpm.MacVal,_xlfn.XLOOKUP($A880,Output_Mac!$A:$A,Output_Mac!H:H,""),
_xlpm.MyAuditVal,_xlfn.XLOOKUP($A880,My_Audit!$A:$A,My_Audit!G:G,""),
_xlfn.IFS(_xlpm.MyAuditVal&lt;&gt;"",_xlpm.MyAuditVal,_xlpm.MacVal&lt;&gt;"",_xlpm.MacVal,_xlpm.CSVVal&lt;&gt;"",_xlpm.CSVVal
)),"")</f>
        <v/>
      </c>
      <c r="I880" s="40" t="str">
        <f>_xlfn.XLOOKUP(A880,Output_Mac!A:A,Output_Mac!I:I,"")</f>
        <v/>
      </c>
      <c r="J880" s="40" t="str" cm="1">
        <f t="array" ref="J880">IFERROR(_xlfn.LET(
_xlpm.CSVVal,_xlfn.XLOOKUP($A880,CSV!$A:$A,CSV!I:I,""),
_xlpm.MacVal,_xlfn.XLOOKUP($A880,Output_Mac!$A:$A,Output_Mac!J:J,""),
_xlpm.MyAuditVal,_xlfn.XLOOKUP($A880,My_Audit!$A:$A,My_Audit!I:I,""),
_xlfn.IFS(_xlpm.MyAuditVal&lt;&gt;"",UPPER(_xlpm.MyAuditVal),_xlpm.MacVal&lt;&gt;"",_xlpm.MacVal,_xlpm.CSVVal&lt;&gt;"",_xlpm.CSVVal
)),"")</f>
        <v/>
      </c>
      <c r="K880" s="40" t="str" cm="1">
        <f t="array" ref="K880">IFERROR(_xlfn.LET(
_xlpm.CSVVal,_xlfn.XLOOKUP($A880,CSV!$A:$A,CSV!K:K,""),
_xlpm.MacVal,_xlfn.XLOOKUP($A880,Output_Mac!$A:$A,Output_Mac!K:K,""),
_xlpm.MyAuditVal,_xlfn.XLOOKUP($A880,My_Audit!$A:$A,My_Audit!J:J,""),
_xlfn.IFS(_xlpm.MyAuditVal&lt;&gt;"",UPPER(_xlpm.MyAuditVal),_xlpm.MacVal&lt;&gt;"",_xlpm.MacVal,_xlpm.CSVVal&lt;&gt;"",_xlpm.CSVVal
)),"")</f>
        <v/>
      </c>
      <c r="L880" s="40" t="str" cm="1">
        <f t="array" ref="L880">IFERROR(_xlfn.LET(
_xlpm.CSVVal,_xlfn.XLOOKUP($A880,CSV!$A:$A,CSV!P:P,""),
_xlpm.MacVal,_xlfn.XLOOKUP($A880,Output_Mac!$A:$A,Output_Mac!L:L,""),
_xlpm.MyAuditVal,_xlfn.XLOOKUP($A880,My_Audit!$A:$A,My_Audit!K:K,""),
_xlfn.IFS(_xlpm.MyAuditVal&lt;&gt;"",UPPER(_xlpm.MyAuditVal),_xlpm.MacVal&lt;&gt;"",_xlpm.MacVal,_xlpm.CSVVal&lt;&gt;"",_xlpm.CSVVal
)),"")</f>
        <v/>
      </c>
      <c r="M880" s="40" t="str" cm="1">
        <f t="array" ref="M880">IFERROR(_xlfn.LET(
_xlpm.CSVVal,_xlfn.XLOOKUP($A880,CSV!$A:$A,CSV!Q:Q,""),
_xlpm.MacVal,_xlfn.XLOOKUP($A880,Output_Mac!$A:$A,Output_Mac!M:M,""),
_xlpm.MyAuditVal,_xlfn.XLOOKUP($A880,My_Audit!$A:$A,My_Audit!L:L,""),
_xlfn.IFS(_xlpm.MyAuditVal&lt;&gt;"",UPPER(_xlpm.MyAuditVal),_xlpm.MacVal&lt;&gt;"",_xlpm.MacVal,_xlpm.CSVVal&lt;&gt;"",_xlpm.CSVVal
)),"")</f>
        <v/>
      </c>
      <c r="N880" s="40"/>
      <c r="O880" s="40" t="str">
        <f>_xlfn.LET(
    _xlpm.CSVVal, _xlfn.XLOOKUP($A880, CSV!$A:$A, CSV!AA:AA, ""),
    _xlpm.MacVal, _xlfn.XLOOKUP($A880, Output_Mac!$A:$A, Output_Mac!S:S, ""),
    _xlpm.MyAuditVal, _xlfn.XLOOKUP($A880, My_Audit!$A:$A, My_Audit!P:P, ""),
    _xlfn.TEXTJOIN(", ", TRUE, _xlpm.MyAuditVal, _xlpm.MacVal, _xlpm.CSVVal)
)</f>
        <v/>
      </c>
      <c r="P880" s="40" t="str" cm="1">
        <f t="array" ref="P880">IFERROR(_xlfn.LET(
_xlpm.CSVVal,_xlfn.XLOOKUP($A880,CSV!$A:$A,CSV!AB:AB,""),
_xlpm.MacVal,_xlfn.XLOOKUP($A880,Output_Mac!$A:$A,Output_Mac!T:T,""),
_xlpm.MyAuditVal,_xlfn.XLOOKUP($A880,My_Audit!$A:$A,My_Audit!Q:Q,""),
_xlfn.IFS(_xlpm.MyAuditVal&lt;&gt;"",UPPER(_xlpm.MyAuditVal),_xlpm.MacVal&lt;&gt;"",_xlpm.MacVal,_xlpm.CSVVal&lt;&gt;"",_xlpm.CSVVal
)),"No")</f>
        <v>No</v>
      </c>
      <c r="Q880" s="40" t="str" cm="1">
        <f t="array" ref="Q880">IFERROR(_xlfn.LET(
_xlpm.CSVVal,_xlfn.XLOOKUP($A880,CSV!$A:$A,CSV!AC:AC,""),
_xlpm.MacVal,_xlfn.XLOOKUP($A880,Output_Mac!$A:$A,Output_Mac!U:U,""),
_xlpm.MyAuditVal,_xlfn.XLOOKUP($A880,My_Audit!$A:$A,My_Audit!R:R,""),
_xlfn.IFS(_xlpm.MyAuditVal&lt;&gt;"",UPPER(_xlpm.MyAuditVal),_xlpm.MacVal&lt;&gt;"",_xlpm.MacVal,_xlpm.CSVVal&lt;&gt;"",_xlpm.CSVVal
)),"")</f>
        <v/>
      </c>
      <c r="R880" s="40"/>
      <c r="S880" s="40"/>
      <c r="T880" s="40"/>
      <c r="U880" s="40"/>
      <c r="V880" s="40"/>
      <c r="W880" s="40"/>
      <c r="X880" s="41" t="str">
        <f>_xlfn.LET(
    _xlpm.MacVal, _xlfn.XLOOKUP($A880, Output_Mac!$A:$A, Output_Mac!AB:AB, ""),
    _xlpm.MyAuditVal, _xlfn.XLOOKUP($A880, My_Audit!$A:$A, My_Audit!N:N, ""),
    _xlfn.TEXTJOIN(", ", TRUE, _xlpm.MyAuditVal, _xlpm.MacVal)
)</f>
        <v/>
      </c>
    </row>
    <row r="881" spans="1:24">
      <c r="A881" s="40" t="str">
        <f>_xlfn.TEXTJOIN("",TRUE,Input!$B$2,ROW(My_Audit!A880))</f>
        <v>X880</v>
      </c>
      <c r="B881" s="40" t="str">
        <f>_xlfn.TEXTJOIN("-",TRUE,"ITD",Input!$A$2,A881)</f>
        <v>ITD-X880</v>
      </c>
      <c r="C881" s="40" t="str" cm="1">
        <f t="array" ref="C881">IFERROR(_xlfn.LET(
_xlpm.CSVVal,_xlfn.XLOOKUP($A881,CSV!$A:$A,CSV!B:B,""),
_xlpm.MacVal,_xlfn.XLOOKUP($A881,Output_Mac!$A:$A,Output_Mac!B:B,""),
_xlpm.MyAuditVal,_xlfn.XLOOKUP($A881,My_Audit!$A:$A,My_Audit!B:B,""),
_xlfn.IFS(_xlpm.MyAuditVal&lt;&gt;"",UPPER(_xlpm.MyAuditVal),_xlpm.MacVal&lt;&gt;"",_xlpm.MacVal,_xlpm.CSVVal&lt;&gt;"",_xlpm.CSVVal
)),"")</f>
        <v/>
      </c>
      <c r="D881" s="40" t="str" cm="1">
        <f t="array" ref="D881">IFERROR(_xlfn.LET(
_xlpm.CSVVal,_xlfn.XLOOKUP($A881,CSV!$A:$A,CSV!D:D,""),
_xlpm.MacVal,_xlfn.XLOOKUP($A881,Output_Mac!$A:$A,Output_Mac!C:C,""),
_xlpm.MyAuditVal,_xlfn.XLOOKUP($A881,My_Audit!$A:$A,My_Audit!C:C,""),
_xlfn.IFS(_xlpm.MyAuditVal&lt;&gt;"",_xlpm.MyAuditVal,_xlpm.MacVal&lt;&gt;"",_xlpm.MacVal,_xlpm.CSVVal&lt;&gt;"",_xlpm.CSVVal
)),"")</f>
        <v/>
      </c>
      <c r="E881" s="40" t="str">
        <f>_xlfn.XLOOKUP(A881,My_Audit!A:A,My_Audit!D:D,"")</f>
        <v/>
      </c>
      <c r="F881" s="40" t="str" cm="1">
        <f t="array" ref="F881">IFERROR(_xlfn.LET(
_xlpm.CSVVal,_xlfn.XLOOKUP($A881,CSV!$A:$A,CSV!F:F,""),
_xlpm.MacVal,_xlfn.XLOOKUP($A881,Output_Mac!$A:$A,Output_Mac!E:E,""),
_xlpm.MyAuditVal,_xlfn.XLOOKUP($A881,My_Audit!$A:$A,My_Audit!E:E,""),
_xlfn.IFS(_xlpm.MyAuditVal&lt;&gt;"",_xlpm.MyAuditVal,_xlpm.MacVal&lt;&gt;"",_xlpm.MacVal,_xlpm.CSVVal&lt;&gt;"",_xlpm.CSVVal
)),"")</f>
        <v/>
      </c>
      <c r="G881" s="40" t="str" cm="1">
        <f t="array" ref="G881">IFERROR(_xlfn.LET(
_xlpm.CSVVal,_xlfn.XLOOKUP($A881,CSV!$A:$A,CSV!G:G,""),
_xlpm.MacVal,_xlfn.XLOOKUP($A881,Output_Mac!$A:$A,Output_Mac!F:F,""),
_xlpm.MyAuditVal,_xlfn.XLOOKUP($A881,My_Audit!$A:$A,My_Audit!F:F,""),
_xlfn.IFS(_xlpm.MyAuditVal&lt;&gt;"",_xlpm.MyAuditVal,_xlpm.MacVal&lt;&gt;"",_xlpm.MacVal,_xlpm.CSVVal&lt;&gt;"",PROPER(_xlpm.CSVVal)
)),"")</f>
        <v/>
      </c>
      <c r="H881" s="40" t="str" cm="1">
        <f t="array" ref="H881">IFERROR(_xlfn.LET(
_xlpm.CSVVal,_xlfn.XLOOKUP($A881,CSV!$A:$A,CSV!H:H,""),
_xlpm.MacVal,_xlfn.XLOOKUP($A881,Output_Mac!$A:$A,Output_Mac!H:H,""),
_xlpm.MyAuditVal,_xlfn.XLOOKUP($A881,My_Audit!$A:$A,My_Audit!G:G,""),
_xlfn.IFS(_xlpm.MyAuditVal&lt;&gt;"",_xlpm.MyAuditVal,_xlpm.MacVal&lt;&gt;"",_xlpm.MacVal,_xlpm.CSVVal&lt;&gt;"",_xlpm.CSVVal
)),"")</f>
        <v/>
      </c>
      <c r="I881" s="40" t="str">
        <f>_xlfn.XLOOKUP(A881,Output_Mac!A:A,Output_Mac!I:I,"")</f>
        <v/>
      </c>
      <c r="J881" s="40" t="str" cm="1">
        <f t="array" ref="J881">IFERROR(_xlfn.LET(
_xlpm.CSVVal,_xlfn.XLOOKUP($A881,CSV!$A:$A,CSV!I:I,""),
_xlpm.MacVal,_xlfn.XLOOKUP($A881,Output_Mac!$A:$A,Output_Mac!J:J,""),
_xlpm.MyAuditVal,_xlfn.XLOOKUP($A881,My_Audit!$A:$A,My_Audit!I:I,""),
_xlfn.IFS(_xlpm.MyAuditVal&lt;&gt;"",UPPER(_xlpm.MyAuditVal),_xlpm.MacVal&lt;&gt;"",_xlpm.MacVal,_xlpm.CSVVal&lt;&gt;"",_xlpm.CSVVal
)),"")</f>
        <v/>
      </c>
      <c r="K881" s="40" t="str" cm="1">
        <f t="array" ref="K881">IFERROR(_xlfn.LET(
_xlpm.CSVVal,_xlfn.XLOOKUP($A881,CSV!$A:$A,CSV!K:K,""),
_xlpm.MacVal,_xlfn.XLOOKUP($A881,Output_Mac!$A:$A,Output_Mac!K:K,""),
_xlpm.MyAuditVal,_xlfn.XLOOKUP($A881,My_Audit!$A:$A,My_Audit!J:J,""),
_xlfn.IFS(_xlpm.MyAuditVal&lt;&gt;"",UPPER(_xlpm.MyAuditVal),_xlpm.MacVal&lt;&gt;"",_xlpm.MacVal,_xlpm.CSVVal&lt;&gt;"",_xlpm.CSVVal
)),"")</f>
        <v/>
      </c>
      <c r="L881" s="40" t="str" cm="1">
        <f t="array" ref="L881">IFERROR(_xlfn.LET(
_xlpm.CSVVal,_xlfn.XLOOKUP($A881,CSV!$A:$A,CSV!P:P,""),
_xlpm.MacVal,_xlfn.XLOOKUP($A881,Output_Mac!$A:$A,Output_Mac!L:L,""),
_xlpm.MyAuditVal,_xlfn.XLOOKUP($A881,My_Audit!$A:$A,My_Audit!K:K,""),
_xlfn.IFS(_xlpm.MyAuditVal&lt;&gt;"",UPPER(_xlpm.MyAuditVal),_xlpm.MacVal&lt;&gt;"",_xlpm.MacVal,_xlpm.CSVVal&lt;&gt;"",_xlpm.CSVVal
)),"")</f>
        <v/>
      </c>
      <c r="M881" s="40" t="str" cm="1">
        <f t="array" ref="M881">IFERROR(_xlfn.LET(
_xlpm.CSVVal,_xlfn.XLOOKUP($A881,CSV!$A:$A,CSV!Q:Q,""),
_xlpm.MacVal,_xlfn.XLOOKUP($A881,Output_Mac!$A:$A,Output_Mac!M:M,""),
_xlpm.MyAuditVal,_xlfn.XLOOKUP($A881,My_Audit!$A:$A,My_Audit!L:L,""),
_xlfn.IFS(_xlpm.MyAuditVal&lt;&gt;"",UPPER(_xlpm.MyAuditVal),_xlpm.MacVal&lt;&gt;"",_xlpm.MacVal,_xlpm.CSVVal&lt;&gt;"",_xlpm.CSVVal
)),"")</f>
        <v/>
      </c>
      <c r="N881" s="40"/>
      <c r="O881" s="40" t="str">
        <f>_xlfn.LET(
    _xlpm.CSVVal, _xlfn.XLOOKUP($A881, CSV!$A:$A, CSV!AA:AA, ""),
    _xlpm.MacVal, _xlfn.XLOOKUP($A881, Output_Mac!$A:$A, Output_Mac!S:S, ""),
    _xlpm.MyAuditVal, _xlfn.XLOOKUP($A881, My_Audit!$A:$A, My_Audit!P:P, ""),
    _xlfn.TEXTJOIN(", ", TRUE, _xlpm.MyAuditVal, _xlpm.MacVal, _xlpm.CSVVal)
)</f>
        <v/>
      </c>
      <c r="P881" s="40" t="str" cm="1">
        <f t="array" ref="P881">IFERROR(_xlfn.LET(
_xlpm.CSVVal,_xlfn.XLOOKUP($A881,CSV!$A:$A,CSV!AB:AB,""),
_xlpm.MacVal,_xlfn.XLOOKUP($A881,Output_Mac!$A:$A,Output_Mac!T:T,""),
_xlpm.MyAuditVal,_xlfn.XLOOKUP($A881,My_Audit!$A:$A,My_Audit!Q:Q,""),
_xlfn.IFS(_xlpm.MyAuditVal&lt;&gt;"",UPPER(_xlpm.MyAuditVal),_xlpm.MacVal&lt;&gt;"",_xlpm.MacVal,_xlpm.CSVVal&lt;&gt;"",_xlpm.CSVVal
)),"No")</f>
        <v>No</v>
      </c>
      <c r="Q881" s="40" t="str" cm="1">
        <f t="array" ref="Q881">IFERROR(_xlfn.LET(
_xlpm.CSVVal,_xlfn.XLOOKUP($A881,CSV!$A:$A,CSV!AC:AC,""),
_xlpm.MacVal,_xlfn.XLOOKUP($A881,Output_Mac!$A:$A,Output_Mac!U:U,""),
_xlpm.MyAuditVal,_xlfn.XLOOKUP($A881,My_Audit!$A:$A,My_Audit!R:R,""),
_xlfn.IFS(_xlpm.MyAuditVal&lt;&gt;"",UPPER(_xlpm.MyAuditVal),_xlpm.MacVal&lt;&gt;"",_xlpm.MacVal,_xlpm.CSVVal&lt;&gt;"",_xlpm.CSVVal
)),"")</f>
        <v/>
      </c>
      <c r="R881" s="40"/>
      <c r="S881" s="40"/>
      <c r="T881" s="40"/>
      <c r="U881" s="40"/>
      <c r="V881" s="40"/>
      <c r="W881" s="40"/>
      <c r="X881" s="41" t="str">
        <f>_xlfn.LET(
    _xlpm.MacVal, _xlfn.XLOOKUP($A881, Output_Mac!$A:$A, Output_Mac!AB:AB, ""),
    _xlpm.MyAuditVal, _xlfn.XLOOKUP($A881, My_Audit!$A:$A, My_Audit!N:N, ""),
    _xlfn.TEXTJOIN(", ", TRUE, _xlpm.MyAuditVal, _xlpm.MacVal)
)</f>
        <v/>
      </c>
    </row>
    <row r="882" spans="1:24">
      <c r="A882" s="40" t="str">
        <f>_xlfn.TEXTJOIN("",TRUE,Input!$B$2,ROW(My_Audit!A881))</f>
        <v>X881</v>
      </c>
      <c r="B882" s="40" t="str">
        <f>_xlfn.TEXTJOIN("-",TRUE,"ITD",Input!$A$2,A882)</f>
        <v>ITD-X881</v>
      </c>
      <c r="C882" s="40" t="str" cm="1">
        <f t="array" ref="C882">IFERROR(_xlfn.LET(
_xlpm.CSVVal,_xlfn.XLOOKUP($A882,CSV!$A:$A,CSV!B:B,""),
_xlpm.MacVal,_xlfn.XLOOKUP($A882,Output_Mac!$A:$A,Output_Mac!B:B,""),
_xlpm.MyAuditVal,_xlfn.XLOOKUP($A882,My_Audit!$A:$A,My_Audit!B:B,""),
_xlfn.IFS(_xlpm.MyAuditVal&lt;&gt;"",UPPER(_xlpm.MyAuditVal),_xlpm.MacVal&lt;&gt;"",_xlpm.MacVal,_xlpm.CSVVal&lt;&gt;"",_xlpm.CSVVal
)),"")</f>
        <v/>
      </c>
      <c r="D882" s="40" t="str" cm="1">
        <f t="array" ref="D882">IFERROR(_xlfn.LET(
_xlpm.CSVVal,_xlfn.XLOOKUP($A882,CSV!$A:$A,CSV!D:D,""),
_xlpm.MacVal,_xlfn.XLOOKUP($A882,Output_Mac!$A:$A,Output_Mac!C:C,""),
_xlpm.MyAuditVal,_xlfn.XLOOKUP($A882,My_Audit!$A:$A,My_Audit!C:C,""),
_xlfn.IFS(_xlpm.MyAuditVal&lt;&gt;"",_xlpm.MyAuditVal,_xlpm.MacVal&lt;&gt;"",_xlpm.MacVal,_xlpm.CSVVal&lt;&gt;"",_xlpm.CSVVal
)),"")</f>
        <v/>
      </c>
      <c r="E882" s="40" t="str">
        <f>_xlfn.XLOOKUP(A882,My_Audit!A:A,My_Audit!D:D,"")</f>
        <v/>
      </c>
      <c r="F882" s="40" t="str" cm="1">
        <f t="array" ref="F882">IFERROR(_xlfn.LET(
_xlpm.CSVVal,_xlfn.XLOOKUP($A882,CSV!$A:$A,CSV!F:F,""),
_xlpm.MacVal,_xlfn.XLOOKUP($A882,Output_Mac!$A:$A,Output_Mac!E:E,""),
_xlpm.MyAuditVal,_xlfn.XLOOKUP($A882,My_Audit!$A:$A,My_Audit!E:E,""),
_xlfn.IFS(_xlpm.MyAuditVal&lt;&gt;"",_xlpm.MyAuditVal,_xlpm.MacVal&lt;&gt;"",_xlpm.MacVal,_xlpm.CSVVal&lt;&gt;"",_xlpm.CSVVal
)),"")</f>
        <v/>
      </c>
      <c r="G882" s="40" t="str" cm="1">
        <f t="array" ref="G882">IFERROR(_xlfn.LET(
_xlpm.CSVVal,_xlfn.XLOOKUP($A882,CSV!$A:$A,CSV!G:G,""),
_xlpm.MacVal,_xlfn.XLOOKUP($A882,Output_Mac!$A:$A,Output_Mac!F:F,""),
_xlpm.MyAuditVal,_xlfn.XLOOKUP($A882,My_Audit!$A:$A,My_Audit!F:F,""),
_xlfn.IFS(_xlpm.MyAuditVal&lt;&gt;"",_xlpm.MyAuditVal,_xlpm.MacVal&lt;&gt;"",_xlpm.MacVal,_xlpm.CSVVal&lt;&gt;"",PROPER(_xlpm.CSVVal)
)),"")</f>
        <v/>
      </c>
      <c r="H882" s="40" t="str" cm="1">
        <f t="array" ref="H882">IFERROR(_xlfn.LET(
_xlpm.CSVVal,_xlfn.XLOOKUP($A882,CSV!$A:$A,CSV!H:H,""),
_xlpm.MacVal,_xlfn.XLOOKUP($A882,Output_Mac!$A:$A,Output_Mac!H:H,""),
_xlpm.MyAuditVal,_xlfn.XLOOKUP($A882,My_Audit!$A:$A,My_Audit!G:G,""),
_xlfn.IFS(_xlpm.MyAuditVal&lt;&gt;"",_xlpm.MyAuditVal,_xlpm.MacVal&lt;&gt;"",_xlpm.MacVal,_xlpm.CSVVal&lt;&gt;"",_xlpm.CSVVal
)),"")</f>
        <v/>
      </c>
      <c r="I882" s="40" t="str">
        <f>_xlfn.XLOOKUP(A882,Output_Mac!A:A,Output_Mac!I:I,"")</f>
        <v/>
      </c>
      <c r="J882" s="40" t="str" cm="1">
        <f t="array" ref="J882">IFERROR(_xlfn.LET(
_xlpm.CSVVal,_xlfn.XLOOKUP($A882,CSV!$A:$A,CSV!I:I,""),
_xlpm.MacVal,_xlfn.XLOOKUP($A882,Output_Mac!$A:$A,Output_Mac!J:J,""),
_xlpm.MyAuditVal,_xlfn.XLOOKUP($A882,My_Audit!$A:$A,My_Audit!I:I,""),
_xlfn.IFS(_xlpm.MyAuditVal&lt;&gt;"",UPPER(_xlpm.MyAuditVal),_xlpm.MacVal&lt;&gt;"",_xlpm.MacVal,_xlpm.CSVVal&lt;&gt;"",_xlpm.CSVVal
)),"")</f>
        <v/>
      </c>
      <c r="K882" s="40" t="str" cm="1">
        <f t="array" ref="K882">IFERROR(_xlfn.LET(
_xlpm.CSVVal,_xlfn.XLOOKUP($A882,CSV!$A:$A,CSV!K:K,""),
_xlpm.MacVal,_xlfn.XLOOKUP($A882,Output_Mac!$A:$A,Output_Mac!K:K,""),
_xlpm.MyAuditVal,_xlfn.XLOOKUP($A882,My_Audit!$A:$A,My_Audit!J:J,""),
_xlfn.IFS(_xlpm.MyAuditVal&lt;&gt;"",UPPER(_xlpm.MyAuditVal),_xlpm.MacVal&lt;&gt;"",_xlpm.MacVal,_xlpm.CSVVal&lt;&gt;"",_xlpm.CSVVal
)),"")</f>
        <v/>
      </c>
      <c r="L882" s="40" t="str" cm="1">
        <f t="array" ref="L882">IFERROR(_xlfn.LET(
_xlpm.CSVVal,_xlfn.XLOOKUP($A882,CSV!$A:$A,CSV!P:P,""),
_xlpm.MacVal,_xlfn.XLOOKUP($A882,Output_Mac!$A:$A,Output_Mac!L:L,""),
_xlpm.MyAuditVal,_xlfn.XLOOKUP($A882,My_Audit!$A:$A,My_Audit!K:K,""),
_xlfn.IFS(_xlpm.MyAuditVal&lt;&gt;"",UPPER(_xlpm.MyAuditVal),_xlpm.MacVal&lt;&gt;"",_xlpm.MacVal,_xlpm.CSVVal&lt;&gt;"",_xlpm.CSVVal
)),"")</f>
        <v/>
      </c>
      <c r="M882" s="40" t="str" cm="1">
        <f t="array" ref="M882">IFERROR(_xlfn.LET(
_xlpm.CSVVal,_xlfn.XLOOKUP($A882,CSV!$A:$A,CSV!Q:Q,""),
_xlpm.MacVal,_xlfn.XLOOKUP($A882,Output_Mac!$A:$A,Output_Mac!M:M,""),
_xlpm.MyAuditVal,_xlfn.XLOOKUP($A882,My_Audit!$A:$A,My_Audit!L:L,""),
_xlfn.IFS(_xlpm.MyAuditVal&lt;&gt;"",UPPER(_xlpm.MyAuditVal),_xlpm.MacVal&lt;&gt;"",_xlpm.MacVal,_xlpm.CSVVal&lt;&gt;"",_xlpm.CSVVal
)),"")</f>
        <v/>
      </c>
      <c r="N882" s="40"/>
      <c r="O882" s="40" t="str">
        <f>_xlfn.LET(
    _xlpm.CSVVal, _xlfn.XLOOKUP($A882, CSV!$A:$A, CSV!AA:AA, ""),
    _xlpm.MacVal, _xlfn.XLOOKUP($A882, Output_Mac!$A:$A, Output_Mac!S:S, ""),
    _xlpm.MyAuditVal, _xlfn.XLOOKUP($A882, My_Audit!$A:$A, My_Audit!P:P, ""),
    _xlfn.TEXTJOIN(", ", TRUE, _xlpm.MyAuditVal, _xlpm.MacVal, _xlpm.CSVVal)
)</f>
        <v/>
      </c>
      <c r="P882" s="40" t="str" cm="1">
        <f t="array" ref="P882">IFERROR(_xlfn.LET(
_xlpm.CSVVal,_xlfn.XLOOKUP($A882,CSV!$A:$A,CSV!AB:AB,""),
_xlpm.MacVal,_xlfn.XLOOKUP($A882,Output_Mac!$A:$A,Output_Mac!T:T,""),
_xlpm.MyAuditVal,_xlfn.XLOOKUP($A882,My_Audit!$A:$A,My_Audit!Q:Q,""),
_xlfn.IFS(_xlpm.MyAuditVal&lt;&gt;"",UPPER(_xlpm.MyAuditVal),_xlpm.MacVal&lt;&gt;"",_xlpm.MacVal,_xlpm.CSVVal&lt;&gt;"",_xlpm.CSVVal
)),"No")</f>
        <v>No</v>
      </c>
      <c r="Q882" s="40" t="str" cm="1">
        <f t="array" ref="Q882">IFERROR(_xlfn.LET(
_xlpm.CSVVal,_xlfn.XLOOKUP($A882,CSV!$A:$A,CSV!AC:AC,""),
_xlpm.MacVal,_xlfn.XLOOKUP($A882,Output_Mac!$A:$A,Output_Mac!U:U,""),
_xlpm.MyAuditVal,_xlfn.XLOOKUP($A882,My_Audit!$A:$A,My_Audit!R:R,""),
_xlfn.IFS(_xlpm.MyAuditVal&lt;&gt;"",UPPER(_xlpm.MyAuditVal),_xlpm.MacVal&lt;&gt;"",_xlpm.MacVal,_xlpm.CSVVal&lt;&gt;"",_xlpm.CSVVal
)),"")</f>
        <v/>
      </c>
      <c r="R882" s="40"/>
      <c r="S882" s="40"/>
      <c r="T882" s="40"/>
      <c r="U882" s="40"/>
      <c r="V882" s="40"/>
      <c r="W882" s="40"/>
      <c r="X882" s="41" t="str">
        <f>_xlfn.LET(
    _xlpm.MacVal, _xlfn.XLOOKUP($A882, Output_Mac!$A:$A, Output_Mac!AB:AB, ""),
    _xlpm.MyAuditVal, _xlfn.XLOOKUP($A882, My_Audit!$A:$A, My_Audit!N:N, ""),
    _xlfn.TEXTJOIN(", ", TRUE, _xlpm.MyAuditVal, _xlpm.MacVal)
)</f>
        <v/>
      </c>
    </row>
    <row r="883" spans="1:24">
      <c r="A883" s="40" t="str">
        <f>_xlfn.TEXTJOIN("",TRUE,Input!$B$2,ROW(My_Audit!A882))</f>
        <v>X882</v>
      </c>
      <c r="B883" s="40" t="str">
        <f>_xlfn.TEXTJOIN("-",TRUE,"ITD",Input!$A$2,A883)</f>
        <v>ITD-X882</v>
      </c>
      <c r="C883" s="40" t="str" cm="1">
        <f t="array" ref="C883">IFERROR(_xlfn.LET(
_xlpm.CSVVal,_xlfn.XLOOKUP($A883,CSV!$A:$A,CSV!B:B,""),
_xlpm.MacVal,_xlfn.XLOOKUP($A883,Output_Mac!$A:$A,Output_Mac!B:B,""),
_xlpm.MyAuditVal,_xlfn.XLOOKUP($A883,My_Audit!$A:$A,My_Audit!B:B,""),
_xlfn.IFS(_xlpm.MyAuditVal&lt;&gt;"",UPPER(_xlpm.MyAuditVal),_xlpm.MacVal&lt;&gt;"",_xlpm.MacVal,_xlpm.CSVVal&lt;&gt;"",_xlpm.CSVVal
)),"")</f>
        <v/>
      </c>
      <c r="D883" s="40" t="str" cm="1">
        <f t="array" ref="D883">IFERROR(_xlfn.LET(
_xlpm.CSVVal,_xlfn.XLOOKUP($A883,CSV!$A:$A,CSV!D:D,""),
_xlpm.MacVal,_xlfn.XLOOKUP($A883,Output_Mac!$A:$A,Output_Mac!C:C,""),
_xlpm.MyAuditVal,_xlfn.XLOOKUP($A883,My_Audit!$A:$A,My_Audit!C:C,""),
_xlfn.IFS(_xlpm.MyAuditVal&lt;&gt;"",_xlpm.MyAuditVal,_xlpm.MacVal&lt;&gt;"",_xlpm.MacVal,_xlpm.CSVVal&lt;&gt;"",_xlpm.CSVVal
)),"")</f>
        <v/>
      </c>
      <c r="E883" s="40" t="str">
        <f>_xlfn.XLOOKUP(A883,My_Audit!A:A,My_Audit!D:D,"")</f>
        <v/>
      </c>
      <c r="F883" s="40" t="str" cm="1">
        <f t="array" ref="F883">IFERROR(_xlfn.LET(
_xlpm.CSVVal,_xlfn.XLOOKUP($A883,CSV!$A:$A,CSV!F:F,""),
_xlpm.MacVal,_xlfn.XLOOKUP($A883,Output_Mac!$A:$A,Output_Mac!E:E,""),
_xlpm.MyAuditVal,_xlfn.XLOOKUP($A883,My_Audit!$A:$A,My_Audit!E:E,""),
_xlfn.IFS(_xlpm.MyAuditVal&lt;&gt;"",_xlpm.MyAuditVal,_xlpm.MacVal&lt;&gt;"",_xlpm.MacVal,_xlpm.CSVVal&lt;&gt;"",_xlpm.CSVVal
)),"")</f>
        <v/>
      </c>
      <c r="G883" s="40" t="str" cm="1">
        <f t="array" ref="G883">IFERROR(_xlfn.LET(
_xlpm.CSVVal,_xlfn.XLOOKUP($A883,CSV!$A:$A,CSV!G:G,""),
_xlpm.MacVal,_xlfn.XLOOKUP($A883,Output_Mac!$A:$A,Output_Mac!F:F,""),
_xlpm.MyAuditVal,_xlfn.XLOOKUP($A883,My_Audit!$A:$A,My_Audit!F:F,""),
_xlfn.IFS(_xlpm.MyAuditVal&lt;&gt;"",_xlpm.MyAuditVal,_xlpm.MacVal&lt;&gt;"",_xlpm.MacVal,_xlpm.CSVVal&lt;&gt;"",PROPER(_xlpm.CSVVal)
)),"")</f>
        <v/>
      </c>
      <c r="H883" s="40" t="str" cm="1">
        <f t="array" ref="H883">IFERROR(_xlfn.LET(
_xlpm.CSVVal,_xlfn.XLOOKUP($A883,CSV!$A:$A,CSV!H:H,""),
_xlpm.MacVal,_xlfn.XLOOKUP($A883,Output_Mac!$A:$A,Output_Mac!H:H,""),
_xlpm.MyAuditVal,_xlfn.XLOOKUP($A883,My_Audit!$A:$A,My_Audit!G:G,""),
_xlfn.IFS(_xlpm.MyAuditVal&lt;&gt;"",_xlpm.MyAuditVal,_xlpm.MacVal&lt;&gt;"",_xlpm.MacVal,_xlpm.CSVVal&lt;&gt;"",_xlpm.CSVVal
)),"")</f>
        <v/>
      </c>
      <c r="I883" s="40" t="str">
        <f>_xlfn.XLOOKUP(A883,Output_Mac!A:A,Output_Mac!I:I,"")</f>
        <v/>
      </c>
      <c r="J883" s="40" t="str" cm="1">
        <f t="array" ref="J883">IFERROR(_xlfn.LET(
_xlpm.CSVVal,_xlfn.XLOOKUP($A883,CSV!$A:$A,CSV!I:I,""),
_xlpm.MacVal,_xlfn.XLOOKUP($A883,Output_Mac!$A:$A,Output_Mac!J:J,""),
_xlpm.MyAuditVal,_xlfn.XLOOKUP($A883,My_Audit!$A:$A,My_Audit!I:I,""),
_xlfn.IFS(_xlpm.MyAuditVal&lt;&gt;"",UPPER(_xlpm.MyAuditVal),_xlpm.MacVal&lt;&gt;"",_xlpm.MacVal,_xlpm.CSVVal&lt;&gt;"",_xlpm.CSVVal
)),"")</f>
        <v/>
      </c>
      <c r="K883" s="40" t="str" cm="1">
        <f t="array" ref="K883">IFERROR(_xlfn.LET(
_xlpm.CSVVal,_xlfn.XLOOKUP($A883,CSV!$A:$A,CSV!K:K,""),
_xlpm.MacVal,_xlfn.XLOOKUP($A883,Output_Mac!$A:$A,Output_Mac!K:K,""),
_xlpm.MyAuditVal,_xlfn.XLOOKUP($A883,My_Audit!$A:$A,My_Audit!J:J,""),
_xlfn.IFS(_xlpm.MyAuditVal&lt;&gt;"",UPPER(_xlpm.MyAuditVal),_xlpm.MacVal&lt;&gt;"",_xlpm.MacVal,_xlpm.CSVVal&lt;&gt;"",_xlpm.CSVVal
)),"")</f>
        <v/>
      </c>
      <c r="L883" s="40" t="str" cm="1">
        <f t="array" ref="L883">IFERROR(_xlfn.LET(
_xlpm.CSVVal,_xlfn.XLOOKUP($A883,CSV!$A:$A,CSV!P:P,""),
_xlpm.MacVal,_xlfn.XLOOKUP($A883,Output_Mac!$A:$A,Output_Mac!L:L,""),
_xlpm.MyAuditVal,_xlfn.XLOOKUP($A883,My_Audit!$A:$A,My_Audit!K:K,""),
_xlfn.IFS(_xlpm.MyAuditVal&lt;&gt;"",UPPER(_xlpm.MyAuditVal),_xlpm.MacVal&lt;&gt;"",_xlpm.MacVal,_xlpm.CSVVal&lt;&gt;"",_xlpm.CSVVal
)),"")</f>
        <v/>
      </c>
      <c r="M883" s="40" t="str" cm="1">
        <f t="array" ref="M883">IFERROR(_xlfn.LET(
_xlpm.CSVVal,_xlfn.XLOOKUP($A883,CSV!$A:$A,CSV!Q:Q,""),
_xlpm.MacVal,_xlfn.XLOOKUP($A883,Output_Mac!$A:$A,Output_Mac!M:M,""),
_xlpm.MyAuditVal,_xlfn.XLOOKUP($A883,My_Audit!$A:$A,My_Audit!L:L,""),
_xlfn.IFS(_xlpm.MyAuditVal&lt;&gt;"",UPPER(_xlpm.MyAuditVal),_xlpm.MacVal&lt;&gt;"",_xlpm.MacVal,_xlpm.CSVVal&lt;&gt;"",_xlpm.CSVVal
)),"")</f>
        <v/>
      </c>
      <c r="N883" s="40"/>
      <c r="O883" s="40" t="str">
        <f>_xlfn.LET(
    _xlpm.CSVVal, _xlfn.XLOOKUP($A883, CSV!$A:$A, CSV!AA:AA, ""),
    _xlpm.MacVal, _xlfn.XLOOKUP($A883, Output_Mac!$A:$A, Output_Mac!S:S, ""),
    _xlpm.MyAuditVal, _xlfn.XLOOKUP($A883, My_Audit!$A:$A, My_Audit!P:P, ""),
    _xlfn.TEXTJOIN(", ", TRUE, _xlpm.MyAuditVal, _xlpm.MacVal, _xlpm.CSVVal)
)</f>
        <v/>
      </c>
      <c r="P883" s="40" t="str" cm="1">
        <f t="array" ref="P883">IFERROR(_xlfn.LET(
_xlpm.CSVVal,_xlfn.XLOOKUP($A883,CSV!$A:$A,CSV!AB:AB,""),
_xlpm.MacVal,_xlfn.XLOOKUP($A883,Output_Mac!$A:$A,Output_Mac!T:T,""),
_xlpm.MyAuditVal,_xlfn.XLOOKUP($A883,My_Audit!$A:$A,My_Audit!Q:Q,""),
_xlfn.IFS(_xlpm.MyAuditVal&lt;&gt;"",UPPER(_xlpm.MyAuditVal),_xlpm.MacVal&lt;&gt;"",_xlpm.MacVal,_xlpm.CSVVal&lt;&gt;"",_xlpm.CSVVal
)),"No")</f>
        <v>No</v>
      </c>
      <c r="Q883" s="40" t="str" cm="1">
        <f t="array" ref="Q883">IFERROR(_xlfn.LET(
_xlpm.CSVVal,_xlfn.XLOOKUP($A883,CSV!$A:$A,CSV!AC:AC,""),
_xlpm.MacVal,_xlfn.XLOOKUP($A883,Output_Mac!$A:$A,Output_Mac!U:U,""),
_xlpm.MyAuditVal,_xlfn.XLOOKUP($A883,My_Audit!$A:$A,My_Audit!R:R,""),
_xlfn.IFS(_xlpm.MyAuditVal&lt;&gt;"",UPPER(_xlpm.MyAuditVal),_xlpm.MacVal&lt;&gt;"",_xlpm.MacVal,_xlpm.CSVVal&lt;&gt;"",_xlpm.CSVVal
)),"")</f>
        <v/>
      </c>
      <c r="R883" s="40"/>
      <c r="S883" s="40"/>
      <c r="T883" s="40"/>
      <c r="U883" s="40"/>
      <c r="V883" s="40"/>
      <c r="W883" s="40"/>
      <c r="X883" s="41" t="str">
        <f>_xlfn.LET(
    _xlpm.MacVal, _xlfn.XLOOKUP($A883, Output_Mac!$A:$A, Output_Mac!AB:AB, ""),
    _xlpm.MyAuditVal, _xlfn.XLOOKUP($A883, My_Audit!$A:$A, My_Audit!N:N, ""),
    _xlfn.TEXTJOIN(", ", TRUE, _xlpm.MyAuditVal, _xlpm.MacVal)
)</f>
        <v/>
      </c>
    </row>
    <row r="884" spans="1:24">
      <c r="A884" s="40" t="str">
        <f>_xlfn.TEXTJOIN("",TRUE,Input!$B$2,ROW(My_Audit!A883))</f>
        <v>X883</v>
      </c>
      <c r="B884" s="40" t="str">
        <f>_xlfn.TEXTJOIN("-",TRUE,"ITD",Input!$A$2,A884)</f>
        <v>ITD-X883</v>
      </c>
      <c r="C884" s="40" t="str" cm="1">
        <f t="array" ref="C884">IFERROR(_xlfn.LET(
_xlpm.CSVVal,_xlfn.XLOOKUP($A884,CSV!$A:$A,CSV!B:B,""),
_xlpm.MacVal,_xlfn.XLOOKUP($A884,Output_Mac!$A:$A,Output_Mac!B:B,""),
_xlpm.MyAuditVal,_xlfn.XLOOKUP($A884,My_Audit!$A:$A,My_Audit!B:B,""),
_xlfn.IFS(_xlpm.MyAuditVal&lt;&gt;"",UPPER(_xlpm.MyAuditVal),_xlpm.MacVal&lt;&gt;"",_xlpm.MacVal,_xlpm.CSVVal&lt;&gt;"",_xlpm.CSVVal
)),"")</f>
        <v/>
      </c>
      <c r="D884" s="40" t="str" cm="1">
        <f t="array" ref="D884">IFERROR(_xlfn.LET(
_xlpm.CSVVal,_xlfn.XLOOKUP($A884,CSV!$A:$A,CSV!D:D,""),
_xlpm.MacVal,_xlfn.XLOOKUP($A884,Output_Mac!$A:$A,Output_Mac!C:C,""),
_xlpm.MyAuditVal,_xlfn.XLOOKUP($A884,My_Audit!$A:$A,My_Audit!C:C,""),
_xlfn.IFS(_xlpm.MyAuditVal&lt;&gt;"",_xlpm.MyAuditVal,_xlpm.MacVal&lt;&gt;"",_xlpm.MacVal,_xlpm.CSVVal&lt;&gt;"",_xlpm.CSVVal
)),"")</f>
        <v/>
      </c>
      <c r="E884" s="40" t="str">
        <f>_xlfn.XLOOKUP(A884,My_Audit!A:A,My_Audit!D:D,"")</f>
        <v/>
      </c>
      <c r="F884" s="40" t="str" cm="1">
        <f t="array" ref="F884">IFERROR(_xlfn.LET(
_xlpm.CSVVal,_xlfn.XLOOKUP($A884,CSV!$A:$A,CSV!F:F,""),
_xlpm.MacVal,_xlfn.XLOOKUP($A884,Output_Mac!$A:$A,Output_Mac!E:E,""),
_xlpm.MyAuditVal,_xlfn.XLOOKUP($A884,My_Audit!$A:$A,My_Audit!E:E,""),
_xlfn.IFS(_xlpm.MyAuditVal&lt;&gt;"",_xlpm.MyAuditVal,_xlpm.MacVal&lt;&gt;"",_xlpm.MacVal,_xlpm.CSVVal&lt;&gt;"",_xlpm.CSVVal
)),"")</f>
        <v/>
      </c>
      <c r="G884" s="40" t="str" cm="1">
        <f t="array" ref="G884">IFERROR(_xlfn.LET(
_xlpm.CSVVal,_xlfn.XLOOKUP($A884,CSV!$A:$A,CSV!G:G,""),
_xlpm.MacVal,_xlfn.XLOOKUP($A884,Output_Mac!$A:$A,Output_Mac!F:F,""),
_xlpm.MyAuditVal,_xlfn.XLOOKUP($A884,My_Audit!$A:$A,My_Audit!F:F,""),
_xlfn.IFS(_xlpm.MyAuditVal&lt;&gt;"",_xlpm.MyAuditVal,_xlpm.MacVal&lt;&gt;"",_xlpm.MacVal,_xlpm.CSVVal&lt;&gt;"",PROPER(_xlpm.CSVVal)
)),"")</f>
        <v/>
      </c>
      <c r="H884" s="40" t="str" cm="1">
        <f t="array" ref="H884">IFERROR(_xlfn.LET(
_xlpm.CSVVal,_xlfn.XLOOKUP($A884,CSV!$A:$A,CSV!H:H,""),
_xlpm.MacVal,_xlfn.XLOOKUP($A884,Output_Mac!$A:$A,Output_Mac!H:H,""),
_xlpm.MyAuditVal,_xlfn.XLOOKUP($A884,My_Audit!$A:$A,My_Audit!G:G,""),
_xlfn.IFS(_xlpm.MyAuditVal&lt;&gt;"",_xlpm.MyAuditVal,_xlpm.MacVal&lt;&gt;"",_xlpm.MacVal,_xlpm.CSVVal&lt;&gt;"",_xlpm.CSVVal
)),"")</f>
        <v/>
      </c>
      <c r="I884" s="40" t="str">
        <f>_xlfn.XLOOKUP(A884,Output_Mac!A:A,Output_Mac!I:I,"")</f>
        <v/>
      </c>
      <c r="J884" s="40" t="str" cm="1">
        <f t="array" ref="J884">IFERROR(_xlfn.LET(
_xlpm.CSVVal,_xlfn.XLOOKUP($A884,CSV!$A:$A,CSV!I:I,""),
_xlpm.MacVal,_xlfn.XLOOKUP($A884,Output_Mac!$A:$A,Output_Mac!J:J,""),
_xlpm.MyAuditVal,_xlfn.XLOOKUP($A884,My_Audit!$A:$A,My_Audit!I:I,""),
_xlfn.IFS(_xlpm.MyAuditVal&lt;&gt;"",UPPER(_xlpm.MyAuditVal),_xlpm.MacVal&lt;&gt;"",_xlpm.MacVal,_xlpm.CSVVal&lt;&gt;"",_xlpm.CSVVal
)),"")</f>
        <v/>
      </c>
      <c r="K884" s="40" t="str" cm="1">
        <f t="array" ref="K884">IFERROR(_xlfn.LET(
_xlpm.CSVVal,_xlfn.XLOOKUP($A884,CSV!$A:$A,CSV!K:K,""),
_xlpm.MacVal,_xlfn.XLOOKUP($A884,Output_Mac!$A:$A,Output_Mac!K:K,""),
_xlpm.MyAuditVal,_xlfn.XLOOKUP($A884,My_Audit!$A:$A,My_Audit!J:J,""),
_xlfn.IFS(_xlpm.MyAuditVal&lt;&gt;"",UPPER(_xlpm.MyAuditVal),_xlpm.MacVal&lt;&gt;"",_xlpm.MacVal,_xlpm.CSVVal&lt;&gt;"",_xlpm.CSVVal
)),"")</f>
        <v/>
      </c>
      <c r="L884" s="40" t="str" cm="1">
        <f t="array" ref="L884">IFERROR(_xlfn.LET(
_xlpm.CSVVal,_xlfn.XLOOKUP($A884,CSV!$A:$A,CSV!P:P,""),
_xlpm.MacVal,_xlfn.XLOOKUP($A884,Output_Mac!$A:$A,Output_Mac!L:L,""),
_xlpm.MyAuditVal,_xlfn.XLOOKUP($A884,My_Audit!$A:$A,My_Audit!K:K,""),
_xlfn.IFS(_xlpm.MyAuditVal&lt;&gt;"",UPPER(_xlpm.MyAuditVal),_xlpm.MacVal&lt;&gt;"",_xlpm.MacVal,_xlpm.CSVVal&lt;&gt;"",_xlpm.CSVVal
)),"")</f>
        <v/>
      </c>
      <c r="M884" s="40" t="str" cm="1">
        <f t="array" ref="M884">IFERROR(_xlfn.LET(
_xlpm.CSVVal,_xlfn.XLOOKUP($A884,CSV!$A:$A,CSV!Q:Q,""),
_xlpm.MacVal,_xlfn.XLOOKUP($A884,Output_Mac!$A:$A,Output_Mac!M:M,""),
_xlpm.MyAuditVal,_xlfn.XLOOKUP($A884,My_Audit!$A:$A,My_Audit!L:L,""),
_xlfn.IFS(_xlpm.MyAuditVal&lt;&gt;"",UPPER(_xlpm.MyAuditVal),_xlpm.MacVal&lt;&gt;"",_xlpm.MacVal,_xlpm.CSVVal&lt;&gt;"",_xlpm.CSVVal
)),"")</f>
        <v/>
      </c>
      <c r="N884" s="40"/>
      <c r="O884" s="40" t="str">
        <f>_xlfn.LET(
    _xlpm.CSVVal, _xlfn.XLOOKUP($A884, CSV!$A:$A, CSV!AA:AA, ""),
    _xlpm.MacVal, _xlfn.XLOOKUP($A884, Output_Mac!$A:$A, Output_Mac!S:S, ""),
    _xlpm.MyAuditVal, _xlfn.XLOOKUP($A884, My_Audit!$A:$A, My_Audit!P:P, ""),
    _xlfn.TEXTJOIN(", ", TRUE, _xlpm.MyAuditVal, _xlpm.MacVal, _xlpm.CSVVal)
)</f>
        <v/>
      </c>
      <c r="P884" s="40" t="str" cm="1">
        <f t="array" ref="P884">IFERROR(_xlfn.LET(
_xlpm.CSVVal,_xlfn.XLOOKUP($A884,CSV!$A:$A,CSV!AB:AB,""),
_xlpm.MacVal,_xlfn.XLOOKUP($A884,Output_Mac!$A:$A,Output_Mac!T:T,""),
_xlpm.MyAuditVal,_xlfn.XLOOKUP($A884,My_Audit!$A:$A,My_Audit!Q:Q,""),
_xlfn.IFS(_xlpm.MyAuditVal&lt;&gt;"",UPPER(_xlpm.MyAuditVal),_xlpm.MacVal&lt;&gt;"",_xlpm.MacVal,_xlpm.CSVVal&lt;&gt;"",_xlpm.CSVVal
)),"No")</f>
        <v>No</v>
      </c>
      <c r="Q884" s="40" t="str" cm="1">
        <f t="array" ref="Q884">IFERROR(_xlfn.LET(
_xlpm.CSVVal,_xlfn.XLOOKUP($A884,CSV!$A:$A,CSV!AC:AC,""),
_xlpm.MacVal,_xlfn.XLOOKUP($A884,Output_Mac!$A:$A,Output_Mac!U:U,""),
_xlpm.MyAuditVal,_xlfn.XLOOKUP($A884,My_Audit!$A:$A,My_Audit!R:R,""),
_xlfn.IFS(_xlpm.MyAuditVal&lt;&gt;"",UPPER(_xlpm.MyAuditVal),_xlpm.MacVal&lt;&gt;"",_xlpm.MacVal,_xlpm.CSVVal&lt;&gt;"",_xlpm.CSVVal
)),"")</f>
        <v/>
      </c>
      <c r="R884" s="40"/>
      <c r="S884" s="40"/>
      <c r="T884" s="40"/>
      <c r="U884" s="40"/>
      <c r="V884" s="40"/>
      <c r="W884" s="40"/>
      <c r="X884" s="41" t="str">
        <f>_xlfn.LET(
    _xlpm.MacVal, _xlfn.XLOOKUP($A884, Output_Mac!$A:$A, Output_Mac!AB:AB, ""),
    _xlpm.MyAuditVal, _xlfn.XLOOKUP($A884, My_Audit!$A:$A, My_Audit!N:N, ""),
    _xlfn.TEXTJOIN(", ", TRUE, _xlpm.MyAuditVal, _xlpm.MacVal)
)</f>
        <v/>
      </c>
    </row>
    <row r="885" spans="1:24">
      <c r="A885" s="40" t="str">
        <f>_xlfn.TEXTJOIN("",TRUE,Input!$B$2,ROW(My_Audit!A884))</f>
        <v>X884</v>
      </c>
      <c r="B885" s="40" t="str">
        <f>_xlfn.TEXTJOIN("-",TRUE,"ITD",Input!$A$2,A885)</f>
        <v>ITD-X884</v>
      </c>
      <c r="C885" s="40" t="str" cm="1">
        <f t="array" ref="C885">IFERROR(_xlfn.LET(
_xlpm.CSVVal,_xlfn.XLOOKUP($A885,CSV!$A:$A,CSV!B:B,""),
_xlpm.MacVal,_xlfn.XLOOKUP($A885,Output_Mac!$A:$A,Output_Mac!B:B,""),
_xlpm.MyAuditVal,_xlfn.XLOOKUP($A885,My_Audit!$A:$A,My_Audit!B:B,""),
_xlfn.IFS(_xlpm.MyAuditVal&lt;&gt;"",UPPER(_xlpm.MyAuditVal),_xlpm.MacVal&lt;&gt;"",_xlpm.MacVal,_xlpm.CSVVal&lt;&gt;"",_xlpm.CSVVal
)),"")</f>
        <v/>
      </c>
      <c r="D885" s="40" t="str" cm="1">
        <f t="array" ref="D885">IFERROR(_xlfn.LET(
_xlpm.CSVVal,_xlfn.XLOOKUP($A885,CSV!$A:$A,CSV!D:D,""),
_xlpm.MacVal,_xlfn.XLOOKUP($A885,Output_Mac!$A:$A,Output_Mac!C:C,""),
_xlpm.MyAuditVal,_xlfn.XLOOKUP($A885,My_Audit!$A:$A,My_Audit!C:C,""),
_xlfn.IFS(_xlpm.MyAuditVal&lt;&gt;"",_xlpm.MyAuditVal,_xlpm.MacVal&lt;&gt;"",_xlpm.MacVal,_xlpm.CSVVal&lt;&gt;"",_xlpm.CSVVal
)),"")</f>
        <v/>
      </c>
      <c r="E885" s="40" t="str">
        <f>_xlfn.XLOOKUP(A885,My_Audit!A:A,My_Audit!D:D,"")</f>
        <v/>
      </c>
      <c r="F885" s="40" t="str" cm="1">
        <f t="array" ref="F885">IFERROR(_xlfn.LET(
_xlpm.CSVVal,_xlfn.XLOOKUP($A885,CSV!$A:$A,CSV!F:F,""),
_xlpm.MacVal,_xlfn.XLOOKUP($A885,Output_Mac!$A:$A,Output_Mac!E:E,""),
_xlpm.MyAuditVal,_xlfn.XLOOKUP($A885,My_Audit!$A:$A,My_Audit!E:E,""),
_xlfn.IFS(_xlpm.MyAuditVal&lt;&gt;"",_xlpm.MyAuditVal,_xlpm.MacVal&lt;&gt;"",_xlpm.MacVal,_xlpm.CSVVal&lt;&gt;"",_xlpm.CSVVal
)),"")</f>
        <v/>
      </c>
      <c r="G885" s="40" t="str" cm="1">
        <f t="array" ref="G885">IFERROR(_xlfn.LET(
_xlpm.CSVVal,_xlfn.XLOOKUP($A885,CSV!$A:$A,CSV!G:G,""),
_xlpm.MacVal,_xlfn.XLOOKUP($A885,Output_Mac!$A:$A,Output_Mac!F:F,""),
_xlpm.MyAuditVal,_xlfn.XLOOKUP($A885,My_Audit!$A:$A,My_Audit!F:F,""),
_xlfn.IFS(_xlpm.MyAuditVal&lt;&gt;"",_xlpm.MyAuditVal,_xlpm.MacVal&lt;&gt;"",_xlpm.MacVal,_xlpm.CSVVal&lt;&gt;"",PROPER(_xlpm.CSVVal)
)),"")</f>
        <v/>
      </c>
      <c r="H885" s="40" t="str" cm="1">
        <f t="array" ref="H885">IFERROR(_xlfn.LET(
_xlpm.CSVVal,_xlfn.XLOOKUP($A885,CSV!$A:$A,CSV!H:H,""),
_xlpm.MacVal,_xlfn.XLOOKUP($A885,Output_Mac!$A:$A,Output_Mac!H:H,""),
_xlpm.MyAuditVal,_xlfn.XLOOKUP($A885,My_Audit!$A:$A,My_Audit!G:G,""),
_xlfn.IFS(_xlpm.MyAuditVal&lt;&gt;"",_xlpm.MyAuditVal,_xlpm.MacVal&lt;&gt;"",_xlpm.MacVal,_xlpm.CSVVal&lt;&gt;"",_xlpm.CSVVal
)),"")</f>
        <v/>
      </c>
      <c r="I885" s="40" t="str">
        <f>_xlfn.XLOOKUP(A885,Output_Mac!A:A,Output_Mac!I:I,"")</f>
        <v/>
      </c>
      <c r="J885" s="40" t="str" cm="1">
        <f t="array" ref="J885">IFERROR(_xlfn.LET(
_xlpm.CSVVal,_xlfn.XLOOKUP($A885,CSV!$A:$A,CSV!I:I,""),
_xlpm.MacVal,_xlfn.XLOOKUP($A885,Output_Mac!$A:$A,Output_Mac!J:J,""),
_xlpm.MyAuditVal,_xlfn.XLOOKUP($A885,My_Audit!$A:$A,My_Audit!I:I,""),
_xlfn.IFS(_xlpm.MyAuditVal&lt;&gt;"",UPPER(_xlpm.MyAuditVal),_xlpm.MacVal&lt;&gt;"",_xlpm.MacVal,_xlpm.CSVVal&lt;&gt;"",_xlpm.CSVVal
)),"")</f>
        <v/>
      </c>
      <c r="K885" s="40" t="str" cm="1">
        <f t="array" ref="K885">IFERROR(_xlfn.LET(
_xlpm.CSVVal,_xlfn.XLOOKUP($A885,CSV!$A:$A,CSV!K:K,""),
_xlpm.MacVal,_xlfn.XLOOKUP($A885,Output_Mac!$A:$A,Output_Mac!K:K,""),
_xlpm.MyAuditVal,_xlfn.XLOOKUP($A885,My_Audit!$A:$A,My_Audit!J:J,""),
_xlfn.IFS(_xlpm.MyAuditVal&lt;&gt;"",UPPER(_xlpm.MyAuditVal),_xlpm.MacVal&lt;&gt;"",_xlpm.MacVal,_xlpm.CSVVal&lt;&gt;"",_xlpm.CSVVal
)),"")</f>
        <v/>
      </c>
      <c r="L885" s="40" t="str" cm="1">
        <f t="array" ref="L885">IFERROR(_xlfn.LET(
_xlpm.CSVVal,_xlfn.XLOOKUP($A885,CSV!$A:$A,CSV!P:P,""),
_xlpm.MacVal,_xlfn.XLOOKUP($A885,Output_Mac!$A:$A,Output_Mac!L:L,""),
_xlpm.MyAuditVal,_xlfn.XLOOKUP($A885,My_Audit!$A:$A,My_Audit!K:K,""),
_xlfn.IFS(_xlpm.MyAuditVal&lt;&gt;"",UPPER(_xlpm.MyAuditVal),_xlpm.MacVal&lt;&gt;"",_xlpm.MacVal,_xlpm.CSVVal&lt;&gt;"",_xlpm.CSVVal
)),"")</f>
        <v/>
      </c>
      <c r="M885" s="40" t="str" cm="1">
        <f t="array" ref="M885">IFERROR(_xlfn.LET(
_xlpm.CSVVal,_xlfn.XLOOKUP($A885,CSV!$A:$A,CSV!Q:Q,""),
_xlpm.MacVal,_xlfn.XLOOKUP($A885,Output_Mac!$A:$A,Output_Mac!M:M,""),
_xlpm.MyAuditVal,_xlfn.XLOOKUP($A885,My_Audit!$A:$A,My_Audit!L:L,""),
_xlfn.IFS(_xlpm.MyAuditVal&lt;&gt;"",UPPER(_xlpm.MyAuditVal),_xlpm.MacVal&lt;&gt;"",_xlpm.MacVal,_xlpm.CSVVal&lt;&gt;"",_xlpm.CSVVal
)),"")</f>
        <v/>
      </c>
      <c r="N885" s="40"/>
      <c r="O885" s="40" t="str">
        <f>_xlfn.LET(
    _xlpm.CSVVal, _xlfn.XLOOKUP($A885, CSV!$A:$A, CSV!AA:AA, ""),
    _xlpm.MacVal, _xlfn.XLOOKUP($A885, Output_Mac!$A:$A, Output_Mac!S:S, ""),
    _xlpm.MyAuditVal, _xlfn.XLOOKUP($A885, My_Audit!$A:$A, My_Audit!P:P, ""),
    _xlfn.TEXTJOIN(", ", TRUE, _xlpm.MyAuditVal, _xlpm.MacVal, _xlpm.CSVVal)
)</f>
        <v/>
      </c>
      <c r="P885" s="40" t="str" cm="1">
        <f t="array" ref="P885">IFERROR(_xlfn.LET(
_xlpm.CSVVal,_xlfn.XLOOKUP($A885,CSV!$A:$A,CSV!AB:AB,""),
_xlpm.MacVal,_xlfn.XLOOKUP($A885,Output_Mac!$A:$A,Output_Mac!T:T,""),
_xlpm.MyAuditVal,_xlfn.XLOOKUP($A885,My_Audit!$A:$A,My_Audit!Q:Q,""),
_xlfn.IFS(_xlpm.MyAuditVal&lt;&gt;"",UPPER(_xlpm.MyAuditVal),_xlpm.MacVal&lt;&gt;"",_xlpm.MacVal,_xlpm.CSVVal&lt;&gt;"",_xlpm.CSVVal
)),"No")</f>
        <v>No</v>
      </c>
      <c r="Q885" s="40" t="str" cm="1">
        <f t="array" ref="Q885">IFERROR(_xlfn.LET(
_xlpm.CSVVal,_xlfn.XLOOKUP($A885,CSV!$A:$A,CSV!AC:AC,""),
_xlpm.MacVal,_xlfn.XLOOKUP($A885,Output_Mac!$A:$A,Output_Mac!U:U,""),
_xlpm.MyAuditVal,_xlfn.XLOOKUP($A885,My_Audit!$A:$A,My_Audit!R:R,""),
_xlfn.IFS(_xlpm.MyAuditVal&lt;&gt;"",UPPER(_xlpm.MyAuditVal),_xlpm.MacVal&lt;&gt;"",_xlpm.MacVal,_xlpm.CSVVal&lt;&gt;"",_xlpm.CSVVal
)),"")</f>
        <v/>
      </c>
      <c r="R885" s="40"/>
      <c r="S885" s="40"/>
      <c r="T885" s="40"/>
      <c r="U885" s="40"/>
      <c r="V885" s="40"/>
      <c r="W885" s="40"/>
      <c r="X885" s="41" t="str">
        <f>_xlfn.LET(
    _xlpm.MacVal, _xlfn.XLOOKUP($A885, Output_Mac!$A:$A, Output_Mac!AB:AB, ""),
    _xlpm.MyAuditVal, _xlfn.XLOOKUP($A885, My_Audit!$A:$A, My_Audit!N:N, ""),
    _xlfn.TEXTJOIN(", ", TRUE, _xlpm.MyAuditVal, _xlpm.MacVal)
)</f>
        <v/>
      </c>
    </row>
    <row r="886" spans="1:24">
      <c r="A886" s="40" t="str">
        <f>_xlfn.TEXTJOIN("",TRUE,Input!$B$2,ROW(My_Audit!A885))</f>
        <v>X885</v>
      </c>
      <c r="B886" s="40" t="str">
        <f>_xlfn.TEXTJOIN("-",TRUE,"ITD",Input!$A$2,A886)</f>
        <v>ITD-X885</v>
      </c>
      <c r="C886" s="40" t="str" cm="1">
        <f t="array" ref="C886">IFERROR(_xlfn.LET(
_xlpm.CSVVal,_xlfn.XLOOKUP($A886,CSV!$A:$A,CSV!B:B,""),
_xlpm.MacVal,_xlfn.XLOOKUP($A886,Output_Mac!$A:$A,Output_Mac!B:B,""),
_xlpm.MyAuditVal,_xlfn.XLOOKUP($A886,My_Audit!$A:$A,My_Audit!B:B,""),
_xlfn.IFS(_xlpm.MyAuditVal&lt;&gt;"",UPPER(_xlpm.MyAuditVal),_xlpm.MacVal&lt;&gt;"",_xlpm.MacVal,_xlpm.CSVVal&lt;&gt;"",_xlpm.CSVVal
)),"")</f>
        <v/>
      </c>
      <c r="D886" s="40" t="str" cm="1">
        <f t="array" ref="D886">IFERROR(_xlfn.LET(
_xlpm.CSVVal,_xlfn.XLOOKUP($A886,CSV!$A:$A,CSV!D:D,""),
_xlpm.MacVal,_xlfn.XLOOKUP($A886,Output_Mac!$A:$A,Output_Mac!C:C,""),
_xlpm.MyAuditVal,_xlfn.XLOOKUP($A886,My_Audit!$A:$A,My_Audit!C:C,""),
_xlfn.IFS(_xlpm.MyAuditVal&lt;&gt;"",_xlpm.MyAuditVal,_xlpm.MacVal&lt;&gt;"",_xlpm.MacVal,_xlpm.CSVVal&lt;&gt;"",_xlpm.CSVVal
)),"")</f>
        <v/>
      </c>
      <c r="E886" s="40" t="str">
        <f>_xlfn.XLOOKUP(A886,My_Audit!A:A,My_Audit!D:D,"")</f>
        <v/>
      </c>
      <c r="F886" s="40" t="str" cm="1">
        <f t="array" ref="F886">IFERROR(_xlfn.LET(
_xlpm.CSVVal,_xlfn.XLOOKUP($A886,CSV!$A:$A,CSV!F:F,""),
_xlpm.MacVal,_xlfn.XLOOKUP($A886,Output_Mac!$A:$A,Output_Mac!E:E,""),
_xlpm.MyAuditVal,_xlfn.XLOOKUP($A886,My_Audit!$A:$A,My_Audit!E:E,""),
_xlfn.IFS(_xlpm.MyAuditVal&lt;&gt;"",_xlpm.MyAuditVal,_xlpm.MacVal&lt;&gt;"",_xlpm.MacVal,_xlpm.CSVVal&lt;&gt;"",_xlpm.CSVVal
)),"")</f>
        <v/>
      </c>
      <c r="G886" s="40" t="str" cm="1">
        <f t="array" ref="G886">IFERROR(_xlfn.LET(
_xlpm.CSVVal,_xlfn.XLOOKUP($A886,CSV!$A:$A,CSV!G:G,""),
_xlpm.MacVal,_xlfn.XLOOKUP($A886,Output_Mac!$A:$A,Output_Mac!F:F,""),
_xlpm.MyAuditVal,_xlfn.XLOOKUP($A886,My_Audit!$A:$A,My_Audit!F:F,""),
_xlfn.IFS(_xlpm.MyAuditVal&lt;&gt;"",_xlpm.MyAuditVal,_xlpm.MacVal&lt;&gt;"",_xlpm.MacVal,_xlpm.CSVVal&lt;&gt;"",PROPER(_xlpm.CSVVal)
)),"")</f>
        <v/>
      </c>
      <c r="H886" s="40" t="str" cm="1">
        <f t="array" ref="H886">IFERROR(_xlfn.LET(
_xlpm.CSVVal,_xlfn.XLOOKUP($A886,CSV!$A:$A,CSV!H:H,""),
_xlpm.MacVal,_xlfn.XLOOKUP($A886,Output_Mac!$A:$A,Output_Mac!H:H,""),
_xlpm.MyAuditVal,_xlfn.XLOOKUP($A886,My_Audit!$A:$A,My_Audit!G:G,""),
_xlfn.IFS(_xlpm.MyAuditVal&lt;&gt;"",_xlpm.MyAuditVal,_xlpm.MacVal&lt;&gt;"",_xlpm.MacVal,_xlpm.CSVVal&lt;&gt;"",_xlpm.CSVVal
)),"")</f>
        <v/>
      </c>
      <c r="I886" s="40" t="str">
        <f>_xlfn.XLOOKUP(A886,Output_Mac!A:A,Output_Mac!I:I,"")</f>
        <v/>
      </c>
      <c r="J886" s="40" t="str" cm="1">
        <f t="array" ref="J886">IFERROR(_xlfn.LET(
_xlpm.CSVVal,_xlfn.XLOOKUP($A886,CSV!$A:$A,CSV!I:I,""),
_xlpm.MacVal,_xlfn.XLOOKUP($A886,Output_Mac!$A:$A,Output_Mac!J:J,""),
_xlpm.MyAuditVal,_xlfn.XLOOKUP($A886,My_Audit!$A:$A,My_Audit!I:I,""),
_xlfn.IFS(_xlpm.MyAuditVal&lt;&gt;"",UPPER(_xlpm.MyAuditVal),_xlpm.MacVal&lt;&gt;"",_xlpm.MacVal,_xlpm.CSVVal&lt;&gt;"",_xlpm.CSVVal
)),"")</f>
        <v/>
      </c>
      <c r="K886" s="40" t="str" cm="1">
        <f t="array" ref="K886">IFERROR(_xlfn.LET(
_xlpm.CSVVal,_xlfn.XLOOKUP($A886,CSV!$A:$A,CSV!K:K,""),
_xlpm.MacVal,_xlfn.XLOOKUP($A886,Output_Mac!$A:$A,Output_Mac!K:K,""),
_xlpm.MyAuditVal,_xlfn.XLOOKUP($A886,My_Audit!$A:$A,My_Audit!J:J,""),
_xlfn.IFS(_xlpm.MyAuditVal&lt;&gt;"",UPPER(_xlpm.MyAuditVal),_xlpm.MacVal&lt;&gt;"",_xlpm.MacVal,_xlpm.CSVVal&lt;&gt;"",_xlpm.CSVVal
)),"")</f>
        <v/>
      </c>
      <c r="L886" s="40" t="str" cm="1">
        <f t="array" ref="L886">IFERROR(_xlfn.LET(
_xlpm.CSVVal,_xlfn.XLOOKUP($A886,CSV!$A:$A,CSV!P:P,""),
_xlpm.MacVal,_xlfn.XLOOKUP($A886,Output_Mac!$A:$A,Output_Mac!L:L,""),
_xlpm.MyAuditVal,_xlfn.XLOOKUP($A886,My_Audit!$A:$A,My_Audit!K:K,""),
_xlfn.IFS(_xlpm.MyAuditVal&lt;&gt;"",UPPER(_xlpm.MyAuditVal),_xlpm.MacVal&lt;&gt;"",_xlpm.MacVal,_xlpm.CSVVal&lt;&gt;"",_xlpm.CSVVal
)),"")</f>
        <v/>
      </c>
      <c r="M886" s="40" t="str" cm="1">
        <f t="array" ref="M886">IFERROR(_xlfn.LET(
_xlpm.CSVVal,_xlfn.XLOOKUP($A886,CSV!$A:$A,CSV!Q:Q,""),
_xlpm.MacVal,_xlfn.XLOOKUP($A886,Output_Mac!$A:$A,Output_Mac!M:M,""),
_xlpm.MyAuditVal,_xlfn.XLOOKUP($A886,My_Audit!$A:$A,My_Audit!L:L,""),
_xlfn.IFS(_xlpm.MyAuditVal&lt;&gt;"",UPPER(_xlpm.MyAuditVal),_xlpm.MacVal&lt;&gt;"",_xlpm.MacVal,_xlpm.CSVVal&lt;&gt;"",_xlpm.CSVVal
)),"")</f>
        <v/>
      </c>
      <c r="N886" s="40"/>
      <c r="O886" s="40" t="str">
        <f>_xlfn.LET(
    _xlpm.CSVVal, _xlfn.XLOOKUP($A886, CSV!$A:$A, CSV!AA:AA, ""),
    _xlpm.MacVal, _xlfn.XLOOKUP($A886, Output_Mac!$A:$A, Output_Mac!S:S, ""),
    _xlpm.MyAuditVal, _xlfn.XLOOKUP($A886, My_Audit!$A:$A, My_Audit!P:P, ""),
    _xlfn.TEXTJOIN(", ", TRUE, _xlpm.MyAuditVal, _xlpm.MacVal, _xlpm.CSVVal)
)</f>
        <v/>
      </c>
      <c r="P886" s="40" t="str" cm="1">
        <f t="array" ref="P886">IFERROR(_xlfn.LET(
_xlpm.CSVVal,_xlfn.XLOOKUP($A886,CSV!$A:$A,CSV!AB:AB,""),
_xlpm.MacVal,_xlfn.XLOOKUP($A886,Output_Mac!$A:$A,Output_Mac!T:T,""),
_xlpm.MyAuditVal,_xlfn.XLOOKUP($A886,My_Audit!$A:$A,My_Audit!Q:Q,""),
_xlfn.IFS(_xlpm.MyAuditVal&lt;&gt;"",UPPER(_xlpm.MyAuditVal),_xlpm.MacVal&lt;&gt;"",_xlpm.MacVal,_xlpm.CSVVal&lt;&gt;"",_xlpm.CSVVal
)),"No")</f>
        <v>No</v>
      </c>
      <c r="Q886" s="40" t="str" cm="1">
        <f t="array" ref="Q886">IFERROR(_xlfn.LET(
_xlpm.CSVVal,_xlfn.XLOOKUP($A886,CSV!$A:$A,CSV!AC:AC,""),
_xlpm.MacVal,_xlfn.XLOOKUP($A886,Output_Mac!$A:$A,Output_Mac!U:U,""),
_xlpm.MyAuditVal,_xlfn.XLOOKUP($A886,My_Audit!$A:$A,My_Audit!R:R,""),
_xlfn.IFS(_xlpm.MyAuditVal&lt;&gt;"",UPPER(_xlpm.MyAuditVal),_xlpm.MacVal&lt;&gt;"",_xlpm.MacVal,_xlpm.CSVVal&lt;&gt;"",_xlpm.CSVVal
)),"")</f>
        <v/>
      </c>
      <c r="R886" s="40"/>
      <c r="S886" s="40"/>
      <c r="T886" s="40"/>
      <c r="U886" s="40"/>
      <c r="V886" s="40"/>
      <c r="W886" s="40"/>
      <c r="X886" s="41" t="str">
        <f>_xlfn.LET(
    _xlpm.MacVal, _xlfn.XLOOKUP($A886, Output_Mac!$A:$A, Output_Mac!AB:AB, ""),
    _xlpm.MyAuditVal, _xlfn.XLOOKUP($A886, My_Audit!$A:$A, My_Audit!N:N, ""),
    _xlfn.TEXTJOIN(", ", TRUE, _xlpm.MyAuditVal, _xlpm.MacVal)
)</f>
        <v/>
      </c>
    </row>
    <row r="887" spans="1:24">
      <c r="A887" s="40" t="str">
        <f>_xlfn.TEXTJOIN("",TRUE,Input!$B$2,ROW(My_Audit!A886))</f>
        <v>X886</v>
      </c>
      <c r="B887" s="40" t="str">
        <f>_xlfn.TEXTJOIN("-",TRUE,"ITD",Input!$A$2,A887)</f>
        <v>ITD-X886</v>
      </c>
      <c r="C887" s="40" t="str" cm="1">
        <f t="array" ref="C887">IFERROR(_xlfn.LET(
_xlpm.CSVVal,_xlfn.XLOOKUP($A887,CSV!$A:$A,CSV!B:B,""),
_xlpm.MacVal,_xlfn.XLOOKUP($A887,Output_Mac!$A:$A,Output_Mac!B:B,""),
_xlpm.MyAuditVal,_xlfn.XLOOKUP($A887,My_Audit!$A:$A,My_Audit!B:B,""),
_xlfn.IFS(_xlpm.MyAuditVal&lt;&gt;"",UPPER(_xlpm.MyAuditVal),_xlpm.MacVal&lt;&gt;"",_xlpm.MacVal,_xlpm.CSVVal&lt;&gt;"",_xlpm.CSVVal
)),"")</f>
        <v/>
      </c>
      <c r="D887" s="40" t="str" cm="1">
        <f t="array" ref="D887">IFERROR(_xlfn.LET(
_xlpm.CSVVal,_xlfn.XLOOKUP($A887,CSV!$A:$A,CSV!D:D,""),
_xlpm.MacVal,_xlfn.XLOOKUP($A887,Output_Mac!$A:$A,Output_Mac!C:C,""),
_xlpm.MyAuditVal,_xlfn.XLOOKUP($A887,My_Audit!$A:$A,My_Audit!C:C,""),
_xlfn.IFS(_xlpm.MyAuditVal&lt;&gt;"",_xlpm.MyAuditVal,_xlpm.MacVal&lt;&gt;"",_xlpm.MacVal,_xlpm.CSVVal&lt;&gt;"",_xlpm.CSVVal
)),"")</f>
        <v/>
      </c>
      <c r="E887" s="40" t="str">
        <f>_xlfn.XLOOKUP(A887,My_Audit!A:A,My_Audit!D:D,"")</f>
        <v/>
      </c>
      <c r="F887" s="40" t="str" cm="1">
        <f t="array" ref="F887">IFERROR(_xlfn.LET(
_xlpm.CSVVal,_xlfn.XLOOKUP($A887,CSV!$A:$A,CSV!F:F,""),
_xlpm.MacVal,_xlfn.XLOOKUP($A887,Output_Mac!$A:$A,Output_Mac!E:E,""),
_xlpm.MyAuditVal,_xlfn.XLOOKUP($A887,My_Audit!$A:$A,My_Audit!E:E,""),
_xlfn.IFS(_xlpm.MyAuditVal&lt;&gt;"",_xlpm.MyAuditVal,_xlpm.MacVal&lt;&gt;"",_xlpm.MacVal,_xlpm.CSVVal&lt;&gt;"",_xlpm.CSVVal
)),"")</f>
        <v/>
      </c>
      <c r="G887" s="40" t="str" cm="1">
        <f t="array" ref="G887">IFERROR(_xlfn.LET(
_xlpm.CSVVal,_xlfn.XLOOKUP($A887,CSV!$A:$A,CSV!G:G,""),
_xlpm.MacVal,_xlfn.XLOOKUP($A887,Output_Mac!$A:$A,Output_Mac!F:F,""),
_xlpm.MyAuditVal,_xlfn.XLOOKUP($A887,My_Audit!$A:$A,My_Audit!F:F,""),
_xlfn.IFS(_xlpm.MyAuditVal&lt;&gt;"",_xlpm.MyAuditVal,_xlpm.MacVal&lt;&gt;"",_xlpm.MacVal,_xlpm.CSVVal&lt;&gt;"",PROPER(_xlpm.CSVVal)
)),"")</f>
        <v/>
      </c>
      <c r="H887" s="40" t="str" cm="1">
        <f t="array" ref="H887">IFERROR(_xlfn.LET(
_xlpm.CSVVal,_xlfn.XLOOKUP($A887,CSV!$A:$A,CSV!H:H,""),
_xlpm.MacVal,_xlfn.XLOOKUP($A887,Output_Mac!$A:$A,Output_Mac!H:H,""),
_xlpm.MyAuditVal,_xlfn.XLOOKUP($A887,My_Audit!$A:$A,My_Audit!G:G,""),
_xlfn.IFS(_xlpm.MyAuditVal&lt;&gt;"",_xlpm.MyAuditVal,_xlpm.MacVal&lt;&gt;"",_xlpm.MacVal,_xlpm.CSVVal&lt;&gt;"",_xlpm.CSVVal
)),"")</f>
        <v/>
      </c>
      <c r="I887" s="40" t="str">
        <f>_xlfn.XLOOKUP(A887,Output_Mac!A:A,Output_Mac!I:I,"")</f>
        <v/>
      </c>
      <c r="J887" s="40" t="str" cm="1">
        <f t="array" ref="J887">IFERROR(_xlfn.LET(
_xlpm.CSVVal,_xlfn.XLOOKUP($A887,CSV!$A:$A,CSV!I:I,""),
_xlpm.MacVal,_xlfn.XLOOKUP($A887,Output_Mac!$A:$A,Output_Mac!J:J,""),
_xlpm.MyAuditVal,_xlfn.XLOOKUP($A887,My_Audit!$A:$A,My_Audit!I:I,""),
_xlfn.IFS(_xlpm.MyAuditVal&lt;&gt;"",UPPER(_xlpm.MyAuditVal),_xlpm.MacVal&lt;&gt;"",_xlpm.MacVal,_xlpm.CSVVal&lt;&gt;"",_xlpm.CSVVal
)),"")</f>
        <v/>
      </c>
      <c r="K887" s="40" t="str" cm="1">
        <f t="array" ref="K887">IFERROR(_xlfn.LET(
_xlpm.CSVVal,_xlfn.XLOOKUP($A887,CSV!$A:$A,CSV!K:K,""),
_xlpm.MacVal,_xlfn.XLOOKUP($A887,Output_Mac!$A:$A,Output_Mac!K:K,""),
_xlpm.MyAuditVal,_xlfn.XLOOKUP($A887,My_Audit!$A:$A,My_Audit!J:J,""),
_xlfn.IFS(_xlpm.MyAuditVal&lt;&gt;"",UPPER(_xlpm.MyAuditVal),_xlpm.MacVal&lt;&gt;"",_xlpm.MacVal,_xlpm.CSVVal&lt;&gt;"",_xlpm.CSVVal
)),"")</f>
        <v/>
      </c>
      <c r="L887" s="40" t="str" cm="1">
        <f t="array" ref="L887">IFERROR(_xlfn.LET(
_xlpm.CSVVal,_xlfn.XLOOKUP($A887,CSV!$A:$A,CSV!P:P,""),
_xlpm.MacVal,_xlfn.XLOOKUP($A887,Output_Mac!$A:$A,Output_Mac!L:L,""),
_xlpm.MyAuditVal,_xlfn.XLOOKUP($A887,My_Audit!$A:$A,My_Audit!K:K,""),
_xlfn.IFS(_xlpm.MyAuditVal&lt;&gt;"",UPPER(_xlpm.MyAuditVal),_xlpm.MacVal&lt;&gt;"",_xlpm.MacVal,_xlpm.CSVVal&lt;&gt;"",_xlpm.CSVVal
)),"")</f>
        <v/>
      </c>
      <c r="M887" s="40" t="str" cm="1">
        <f t="array" ref="M887">IFERROR(_xlfn.LET(
_xlpm.CSVVal,_xlfn.XLOOKUP($A887,CSV!$A:$A,CSV!Q:Q,""),
_xlpm.MacVal,_xlfn.XLOOKUP($A887,Output_Mac!$A:$A,Output_Mac!M:M,""),
_xlpm.MyAuditVal,_xlfn.XLOOKUP($A887,My_Audit!$A:$A,My_Audit!L:L,""),
_xlfn.IFS(_xlpm.MyAuditVal&lt;&gt;"",UPPER(_xlpm.MyAuditVal),_xlpm.MacVal&lt;&gt;"",_xlpm.MacVal,_xlpm.CSVVal&lt;&gt;"",_xlpm.CSVVal
)),"")</f>
        <v/>
      </c>
      <c r="N887" s="40"/>
      <c r="O887" s="40" t="str">
        <f>_xlfn.LET(
    _xlpm.CSVVal, _xlfn.XLOOKUP($A887, CSV!$A:$A, CSV!AA:AA, ""),
    _xlpm.MacVal, _xlfn.XLOOKUP($A887, Output_Mac!$A:$A, Output_Mac!S:S, ""),
    _xlpm.MyAuditVal, _xlfn.XLOOKUP($A887, My_Audit!$A:$A, My_Audit!P:P, ""),
    _xlfn.TEXTJOIN(", ", TRUE, _xlpm.MyAuditVal, _xlpm.MacVal, _xlpm.CSVVal)
)</f>
        <v/>
      </c>
      <c r="P887" s="40" t="str" cm="1">
        <f t="array" ref="P887">IFERROR(_xlfn.LET(
_xlpm.CSVVal,_xlfn.XLOOKUP($A887,CSV!$A:$A,CSV!AB:AB,""),
_xlpm.MacVal,_xlfn.XLOOKUP($A887,Output_Mac!$A:$A,Output_Mac!T:T,""),
_xlpm.MyAuditVal,_xlfn.XLOOKUP($A887,My_Audit!$A:$A,My_Audit!Q:Q,""),
_xlfn.IFS(_xlpm.MyAuditVal&lt;&gt;"",UPPER(_xlpm.MyAuditVal),_xlpm.MacVal&lt;&gt;"",_xlpm.MacVal,_xlpm.CSVVal&lt;&gt;"",_xlpm.CSVVal
)),"No")</f>
        <v>No</v>
      </c>
      <c r="Q887" s="40" t="str" cm="1">
        <f t="array" ref="Q887">IFERROR(_xlfn.LET(
_xlpm.CSVVal,_xlfn.XLOOKUP($A887,CSV!$A:$A,CSV!AC:AC,""),
_xlpm.MacVal,_xlfn.XLOOKUP($A887,Output_Mac!$A:$A,Output_Mac!U:U,""),
_xlpm.MyAuditVal,_xlfn.XLOOKUP($A887,My_Audit!$A:$A,My_Audit!R:R,""),
_xlfn.IFS(_xlpm.MyAuditVal&lt;&gt;"",UPPER(_xlpm.MyAuditVal),_xlpm.MacVal&lt;&gt;"",_xlpm.MacVal,_xlpm.CSVVal&lt;&gt;"",_xlpm.CSVVal
)),"")</f>
        <v/>
      </c>
      <c r="R887" s="40"/>
      <c r="S887" s="40"/>
      <c r="T887" s="40"/>
      <c r="U887" s="40"/>
      <c r="V887" s="40"/>
      <c r="W887" s="40"/>
      <c r="X887" s="41" t="str">
        <f>_xlfn.LET(
    _xlpm.MacVal, _xlfn.XLOOKUP($A887, Output_Mac!$A:$A, Output_Mac!AB:AB, ""),
    _xlpm.MyAuditVal, _xlfn.XLOOKUP($A887, My_Audit!$A:$A, My_Audit!N:N, ""),
    _xlfn.TEXTJOIN(", ", TRUE, _xlpm.MyAuditVal, _xlpm.MacVal)
)</f>
        <v/>
      </c>
    </row>
    <row r="888" spans="1:24">
      <c r="A888" s="40" t="str">
        <f>_xlfn.TEXTJOIN("",TRUE,Input!$B$2,ROW(My_Audit!A887))</f>
        <v>X887</v>
      </c>
      <c r="B888" s="40" t="str">
        <f>_xlfn.TEXTJOIN("-",TRUE,"ITD",Input!$A$2,A888)</f>
        <v>ITD-X887</v>
      </c>
      <c r="C888" s="40" t="str" cm="1">
        <f t="array" ref="C888">IFERROR(_xlfn.LET(
_xlpm.CSVVal,_xlfn.XLOOKUP($A888,CSV!$A:$A,CSV!B:B,""),
_xlpm.MacVal,_xlfn.XLOOKUP($A888,Output_Mac!$A:$A,Output_Mac!B:B,""),
_xlpm.MyAuditVal,_xlfn.XLOOKUP($A888,My_Audit!$A:$A,My_Audit!B:B,""),
_xlfn.IFS(_xlpm.MyAuditVal&lt;&gt;"",UPPER(_xlpm.MyAuditVal),_xlpm.MacVal&lt;&gt;"",_xlpm.MacVal,_xlpm.CSVVal&lt;&gt;"",_xlpm.CSVVal
)),"")</f>
        <v/>
      </c>
      <c r="D888" s="40" t="str" cm="1">
        <f t="array" ref="D888">IFERROR(_xlfn.LET(
_xlpm.CSVVal,_xlfn.XLOOKUP($A888,CSV!$A:$A,CSV!D:D,""),
_xlpm.MacVal,_xlfn.XLOOKUP($A888,Output_Mac!$A:$A,Output_Mac!C:C,""),
_xlpm.MyAuditVal,_xlfn.XLOOKUP($A888,My_Audit!$A:$A,My_Audit!C:C,""),
_xlfn.IFS(_xlpm.MyAuditVal&lt;&gt;"",_xlpm.MyAuditVal,_xlpm.MacVal&lt;&gt;"",_xlpm.MacVal,_xlpm.CSVVal&lt;&gt;"",_xlpm.CSVVal
)),"")</f>
        <v/>
      </c>
      <c r="E888" s="40" t="str">
        <f>_xlfn.XLOOKUP(A888,My_Audit!A:A,My_Audit!D:D,"")</f>
        <v/>
      </c>
      <c r="F888" s="40" t="str" cm="1">
        <f t="array" ref="F888">IFERROR(_xlfn.LET(
_xlpm.CSVVal,_xlfn.XLOOKUP($A888,CSV!$A:$A,CSV!F:F,""),
_xlpm.MacVal,_xlfn.XLOOKUP($A888,Output_Mac!$A:$A,Output_Mac!E:E,""),
_xlpm.MyAuditVal,_xlfn.XLOOKUP($A888,My_Audit!$A:$A,My_Audit!E:E,""),
_xlfn.IFS(_xlpm.MyAuditVal&lt;&gt;"",_xlpm.MyAuditVal,_xlpm.MacVal&lt;&gt;"",_xlpm.MacVal,_xlpm.CSVVal&lt;&gt;"",_xlpm.CSVVal
)),"")</f>
        <v/>
      </c>
      <c r="G888" s="40" t="str" cm="1">
        <f t="array" ref="G888">IFERROR(_xlfn.LET(
_xlpm.CSVVal,_xlfn.XLOOKUP($A888,CSV!$A:$A,CSV!G:G,""),
_xlpm.MacVal,_xlfn.XLOOKUP($A888,Output_Mac!$A:$A,Output_Mac!F:F,""),
_xlpm.MyAuditVal,_xlfn.XLOOKUP($A888,My_Audit!$A:$A,My_Audit!F:F,""),
_xlfn.IFS(_xlpm.MyAuditVal&lt;&gt;"",_xlpm.MyAuditVal,_xlpm.MacVal&lt;&gt;"",_xlpm.MacVal,_xlpm.CSVVal&lt;&gt;"",PROPER(_xlpm.CSVVal)
)),"")</f>
        <v/>
      </c>
      <c r="H888" s="40" t="str" cm="1">
        <f t="array" ref="H888">IFERROR(_xlfn.LET(
_xlpm.CSVVal,_xlfn.XLOOKUP($A888,CSV!$A:$A,CSV!H:H,""),
_xlpm.MacVal,_xlfn.XLOOKUP($A888,Output_Mac!$A:$A,Output_Mac!H:H,""),
_xlpm.MyAuditVal,_xlfn.XLOOKUP($A888,My_Audit!$A:$A,My_Audit!G:G,""),
_xlfn.IFS(_xlpm.MyAuditVal&lt;&gt;"",_xlpm.MyAuditVal,_xlpm.MacVal&lt;&gt;"",_xlpm.MacVal,_xlpm.CSVVal&lt;&gt;"",_xlpm.CSVVal
)),"")</f>
        <v/>
      </c>
      <c r="I888" s="40" t="str">
        <f>_xlfn.XLOOKUP(A888,Output_Mac!A:A,Output_Mac!I:I,"")</f>
        <v/>
      </c>
      <c r="J888" s="40" t="str" cm="1">
        <f t="array" ref="J888">IFERROR(_xlfn.LET(
_xlpm.CSVVal,_xlfn.XLOOKUP($A888,CSV!$A:$A,CSV!I:I,""),
_xlpm.MacVal,_xlfn.XLOOKUP($A888,Output_Mac!$A:$A,Output_Mac!J:J,""),
_xlpm.MyAuditVal,_xlfn.XLOOKUP($A888,My_Audit!$A:$A,My_Audit!I:I,""),
_xlfn.IFS(_xlpm.MyAuditVal&lt;&gt;"",UPPER(_xlpm.MyAuditVal),_xlpm.MacVal&lt;&gt;"",_xlpm.MacVal,_xlpm.CSVVal&lt;&gt;"",_xlpm.CSVVal
)),"")</f>
        <v/>
      </c>
      <c r="K888" s="40" t="str" cm="1">
        <f t="array" ref="K888">IFERROR(_xlfn.LET(
_xlpm.CSVVal,_xlfn.XLOOKUP($A888,CSV!$A:$A,CSV!K:K,""),
_xlpm.MacVal,_xlfn.XLOOKUP($A888,Output_Mac!$A:$A,Output_Mac!K:K,""),
_xlpm.MyAuditVal,_xlfn.XLOOKUP($A888,My_Audit!$A:$A,My_Audit!J:J,""),
_xlfn.IFS(_xlpm.MyAuditVal&lt;&gt;"",UPPER(_xlpm.MyAuditVal),_xlpm.MacVal&lt;&gt;"",_xlpm.MacVal,_xlpm.CSVVal&lt;&gt;"",_xlpm.CSVVal
)),"")</f>
        <v/>
      </c>
      <c r="L888" s="40" t="str" cm="1">
        <f t="array" ref="L888">IFERROR(_xlfn.LET(
_xlpm.CSVVal,_xlfn.XLOOKUP($A888,CSV!$A:$A,CSV!P:P,""),
_xlpm.MacVal,_xlfn.XLOOKUP($A888,Output_Mac!$A:$A,Output_Mac!L:L,""),
_xlpm.MyAuditVal,_xlfn.XLOOKUP($A888,My_Audit!$A:$A,My_Audit!K:K,""),
_xlfn.IFS(_xlpm.MyAuditVal&lt;&gt;"",UPPER(_xlpm.MyAuditVal),_xlpm.MacVal&lt;&gt;"",_xlpm.MacVal,_xlpm.CSVVal&lt;&gt;"",_xlpm.CSVVal
)),"")</f>
        <v/>
      </c>
      <c r="M888" s="40" t="str" cm="1">
        <f t="array" ref="M888">IFERROR(_xlfn.LET(
_xlpm.CSVVal,_xlfn.XLOOKUP($A888,CSV!$A:$A,CSV!Q:Q,""),
_xlpm.MacVal,_xlfn.XLOOKUP($A888,Output_Mac!$A:$A,Output_Mac!M:M,""),
_xlpm.MyAuditVal,_xlfn.XLOOKUP($A888,My_Audit!$A:$A,My_Audit!L:L,""),
_xlfn.IFS(_xlpm.MyAuditVal&lt;&gt;"",UPPER(_xlpm.MyAuditVal),_xlpm.MacVal&lt;&gt;"",_xlpm.MacVal,_xlpm.CSVVal&lt;&gt;"",_xlpm.CSVVal
)),"")</f>
        <v/>
      </c>
      <c r="N888" s="40"/>
      <c r="O888" s="40" t="str">
        <f>_xlfn.LET(
    _xlpm.CSVVal, _xlfn.XLOOKUP($A888, CSV!$A:$A, CSV!AA:AA, ""),
    _xlpm.MacVal, _xlfn.XLOOKUP($A888, Output_Mac!$A:$A, Output_Mac!S:S, ""),
    _xlpm.MyAuditVal, _xlfn.XLOOKUP($A888, My_Audit!$A:$A, My_Audit!P:P, ""),
    _xlfn.TEXTJOIN(", ", TRUE, _xlpm.MyAuditVal, _xlpm.MacVal, _xlpm.CSVVal)
)</f>
        <v/>
      </c>
      <c r="P888" s="40" t="str" cm="1">
        <f t="array" ref="P888">IFERROR(_xlfn.LET(
_xlpm.CSVVal,_xlfn.XLOOKUP($A888,CSV!$A:$A,CSV!AB:AB,""),
_xlpm.MacVal,_xlfn.XLOOKUP($A888,Output_Mac!$A:$A,Output_Mac!T:T,""),
_xlpm.MyAuditVal,_xlfn.XLOOKUP($A888,My_Audit!$A:$A,My_Audit!Q:Q,""),
_xlfn.IFS(_xlpm.MyAuditVal&lt;&gt;"",UPPER(_xlpm.MyAuditVal),_xlpm.MacVal&lt;&gt;"",_xlpm.MacVal,_xlpm.CSVVal&lt;&gt;"",_xlpm.CSVVal
)),"No")</f>
        <v>No</v>
      </c>
      <c r="Q888" s="40" t="str" cm="1">
        <f t="array" ref="Q888">IFERROR(_xlfn.LET(
_xlpm.CSVVal,_xlfn.XLOOKUP($A888,CSV!$A:$A,CSV!AC:AC,""),
_xlpm.MacVal,_xlfn.XLOOKUP($A888,Output_Mac!$A:$A,Output_Mac!U:U,""),
_xlpm.MyAuditVal,_xlfn.XLOOKUP($A888,My_Audit!$A:$A,My_Audit!R:R,""),
_xlfn.IFS(_xlpm.MyAuditVal&lt;&gt;"",UPPER(_xlpm.MyAuditVal),_xlpm.MacVal&lt;&gt;"",_xlpm.MacVal,_xlpm.CSVVal&lt;&gt;"",_xlpm.CSVVal
)),"")</f>
        <v/>
      </c>
      <c r="R888" s="40"/>
      <c r="S888" s="40"/>
      <c r="T888" s="40"/>
      <c r="U888" s="40"/>
      <c r="V888" s="40"/>
      <c r="W888" s="40"/>
      <c r="X888" s="41" t="str">
        <f>_xlfn.LET(
    _xlpm.MacVal, _xlfn.XLOOKUP($A888, Output_Mac!$A:$A, Output_Mac!AB:AB, ""),
    _xlpm.MyAuditVal, _xlfn.XLOOKUP($A888, My_Audit!$A:$A, My_Audit!N:N, ""),
    _xlfn.TEXTJOIN(", ", TRUE, _xlpm.MyAuditVal, _xlpm.MacVal)
)</f>
        <v/>
      </c>
    </row>
    <row r="889" spans="1:24">
      <c r="A889" s="40" t="str">
        <f>_xlfn.TEXTJOIN("",TRUE,Input!$B$2,ROW(My_Audit!A888))</f>
        <v>X888</v>
      </c>
      <c r="B889" s="40" t="str">
        <f>_xlfn.TEXTJOIN("-",TRUE,"ITD",Input!$A$2,A889)</f>
        <v>ITD-X888</v>
      </c>
      <c r="C889" s="40" t="str" cm="1">
        <f t="array" ref="C889">IFERROR(_xlfn.LET(
_xlpm.CSVVal,_xlfn.XLOOKUP($A889,CSV!$A:$A,CSV!B:B,""),
_xlpm.MacVal,_xlfn.XLOOKUP($A889,Output_Mac!$A:$A,Output_Mac!B:B,""),
_xlpm.MyAuditVal,_xlfn.XLOOKUP($A889,My_Audit!$A:$A,My_Audit!B:B,""),
_xlfn.IFS(_xlpm.MyAuditVal&lt;&gt;"",UPPER(_xlpm.MyAuditVal),_xlpm.MacVal&lt;&gt;"",_xlpm.MacVal,_xlpm.CSVVal&lt;&gt;"",_xlpm.CSVVal
)),"")</f>
        <v/>
      </c>
      <c r="D889" s="40" t="str" cm="1">
        <f t="array" ref="D889">IFERROR(_xlfn.LET(
_xlpm.CSVVal,_xlfn.XLOOKUP($A889,CSV!$A:$A,CSV!D:D,""),
_xlpm.MacVal,_xlfn.XLOOKUP($A889,Output_Mac!$A:$A,Output_Mac!C:C,""),
_xlpm.MyAuditVal,_xlfn.XLOOKUP($A889,My_Audit!$A:$A,My_Audit!C:C,""),
_xlfn.IFS(_xlpm.MyAuditVal&lt;&gt;"",_xlpm.MyAuditVal,_xlpm.MacVal&lt;&gt;"",_xlpm.MacVal,_xlpm.CSVVal&lt;&gt;"",_xlpm.CSVVal
)),"")</f>
        <v/>
      </c>
      <c r="E889" s="40" t="str">
        <f>_xlfn.XLOOKUP(A889,My_Audit!A:A,My_Audit!D:D,"")</f>
        <v/>
      </c>
      <c r="F889" s="40" t="str" cm="1">
        <f t="array" ref="F889">IFERROR(_xlfn.LET(
_xlpm.CSVVal,_xlfn.XLOOKUP($A889,CSV!$A:$A,CSV!F:F,""),
_xlpm.MacVal,_xlfn.XLOOKUP($A889,Output_Mac!$A:$A,Output_Mac!E:E,""),
_xlpm.MyAuditVal,_xlfn.XLOOKUP($A889,My_Audit!$A:$A,My_Audit!E:E,""),
_xlfn.IFS(_xlpm.MyAuditVal&lt;&gt;"",_xlpm.MyAuditVal,_xlpm.MacVal&lt;&gt;"",_xlpm.MacVal,_xlpm.CSVVal&lt;&gt;"",_xlpm.CSVVal
)),"")</f>
        <v/>
      </c>
      <c r="G889" s="40" t="str" cm="1">
        <f t="array" ref="G889">IFERROR(_xlfn.LET(
_xlpm.CSVVal,_xlfn.XLOOKUP($A889,CSV!$A:$A,CSV!G:G,""),
_xlpm.MacVal,_xlfn.XLOOKUP($A889,Output_Mac!$A:$A,Output_Mac!F:F,""),
_xlpm.MyAuditVal,_xlfn.XLOOKUP($A889,My_Audit!$A:$A,My_Audit!F:F,""),
_xlfn.IFS(_xlpm.MyAuditVal&lt;&gt;"",_xlpm.MyAuditVal,_xlpm.MacVal&lt;&gt;"",_xlpm.MacVal,_xlpm.CSVVal&lt;&gt;"",PROPER(_xlpm.CSVVal)
)),"")</f>
        <v/>
      </c>
      <c r="H889" s="40" t="str" cm="1">
        <f t="array" ref="H889">IFERROR(_xlfn.LET(
_xlpm.CSVVal,_xlfn.XLOOKUP($A889,CSV!$A:$A,CSV!H:H,""),
_xlpm.MacVal,_xlfn.XLOOKUP($A889,Output_Mac!$A:$A,Output_Mac!H:H,""),
_xlpm.MyAuditVal,_xlfn.XLOOKUP($A889,My_Audit!$A:$A,My_Audit!G:G,""),
_xlfn.IFS(_xlpm.MyAuditVal&lt;&gt;"",_xlpm.MyAuditVal,_xlpm.MacVal&lt;&gt;"",_xlpm.MacVal,_xlpm.CSVVal&lt;&gt;"",_xlpm.CSVVal
)),"")</f>
        <v/>
      </c>
      <c r="I889" s="40" t="str">
        <f>_xlfn.XLOOKUP(A889,Output_Mac!A:A,Output_Mac!I:I,"")</f>
        <v/>
      </c>
      <c r="J889" s="40" t="str" cm="1">
        <f t="array" ref="J889">IFERROR(_xlfn.LET(
_xlpm.CSVVal,_xlfn.XLOOKUP($A889,CSV!$A:$A,CSV!I:I,""),
_xlpm.MacVal,_xlfn.XLOOKUP($A889,Output_Mac!$A:$A,Output_Mac!J:J,""),
_xlpm.MyAuditVal,_xlfn.XLOOKUP($A889,My_Audit!$A:$A,My_Audit!I:I,""),
_xlfn.IFS(_xlpm.MyAuditVal&lt;&gt;"",UPPER(_xlpm.MyAuditVal),_xlpm.MacVal&lt;&gt;"",_xlpm.MacVal,_xlpm.CSVVal&lt;&gt;"",_xlpm.CSVVal
)),"")</f>
        <v/>
      </c>
      <c r="K889" s="40" t="str" cm="1">
        <f t="array" ref="K889">IFERROR(_xlfn.LET(
_xlpm.CSVVal,_xlfn.XLOOKUP($A889,CSV!$A:$A,CSV!K:K,""),
_xlpm.MacVal,_xlfn.XLOOKUP($A889,Output_Mac!$A:$A,Output_Mac!K:K,""),
_xlpm.MyAuditVal,_xlfn.XLOOKUP($A889,My_Audit!$A:$A,My_Audit!J:J,""),
_xlfn.IFS(_xlpm.MyAuditVal&lt;&gt;"",UPPER(_xlpm.MyAuditVal),_xlpm.MacVal&lt;&gt;"",_xlpm.MacVal,_xlpm.CSVVal&lt;&gt;"",_xlpm.CSVVal
)),"")</f>
        <v/>
      </c>
      <c r="L889" s="40" t="str" cm="1">
        <f t="array" ref="L889">IFERROR(_xlfn.LET(
_xlpm.CSVVal,_xlfn.XLOOKUP($A889,CSV!$A:$A,CSV!P:P,""),
_xlpm.MacVal,_xlfn.XLOOKUP($A889,Output_Mac!$A:$A,Output_Mac!L:L,""),
_xlpm.MyAuditVal,_xlfn.XLOOKUP($A889,My_Audit!$A:$A,My_Audit!K:K,""),
_xlfn.IFS(_xlpm.MyAuditVal&lt;&gt;"",UPPER(_xlpm.MyAuditVal),_xlpm.MacVal&lt;&gt;"",_xlpm.MacVal,_xlpm.CSVVal&lt;&gt;"",_xlpm.CSVVal
)),"")</f>
        <v/>
      </c>
      <c r="M889" s="40" t="str" cm="1">
        <f t="array" ref="M889">IFERROR(_xlfn.LET(
_xlpm.CSVVal,_xlfn.XLOOKUP($A889,CSV!$A:$A,CSV!Q:Q,""),
_xlpm.MacVal,_xlfn.XLOOKUP($A889,Output_Mac!$A:$A,Output_Mac!M:M,""),
_xlpm.MyAuditVal,_xlfn.XLOOKUP($A889,My_Audit!$A:$A,My_Audit!L:L,""),
_xlfn.IFS(_xlpm.MyAuditVal&lt;&gt;"",UPPER(_xlpm.MyAuditVal),_xlpm.MacVal&lt;&gt;"",_xlpm.MacVal,_xlpm.CSVVal&lt;&gt;"",_xlpm.CSVVal
)),"")</f>
        <v/>
      </c>
      <c r="N889" s="40"/>
      <c r="O889" s="40" t="str">
        <f>_xlfn.LET(
    _xlpm.CSVVal, _xlfn.XLOOKUP($A889, CSV!$A:$A, CSV!AA:AA, ""),
    _xlpm.MacVal, _xlfn.XLOOKUP($A889, Output_Mac!$A:$A, Output_Mac!S:S, ""),
    _xlpm.MyAuditVal, _xlfn.XLOOKUP($A889, My_Audit!$A:$A, My_Audit!P:P, ""),
    _xlfn.TEXTJOIN(", ", TRUE, _xlpm.MyAuditVal, _xlpm.MacVal, _xlpm.CSVVal)
)</f>
        <v/>
      </c>
      <c r="P889" s="40" t="str" cm="1">
        <f t="array" ref="P889">IFERROR(_xlfn.LET(
_xlpm.CSVVal,_xlfn.XLOOKUP($A889,CSV!$A:$A,CSV!AB:AB,""),
_xlpm.MacVal,_xlfn.XLOOKUP($A889,Output_Mac!$A:$A,Output_Mac!T:T,""),
_xlpm.MyAuditVal,_xlfn.XLOOKUP($A889,My_Audit!$A:$A,My_Audit!Q:Q,""),
_xlfn.IFS(_xlpm.MyAuditVal&lt;&gt;"",UPPER(_xlpm.MyAuditVal),_xlpm.MacVal&lt;&gt;"",_xlpm.MacVal,_xlpm.CSVVal&lt;&gt;"",_xlpm.CSVVal
)),"No")</f>
        <v>No</v>
      </c>
      <c r="Q889" s="40" t="str" cm="1">
        <f t="array" ref="Q889">IFERROR(_xlfn.LET(
_xlpm.CSVVal,_xlfn.XLOOKUP($A889,CSV!$A:$A,CSV!AC:AC,""),
_xlpm.MacVal,_xlfn.XLOOKUP($A889,Output_Mac!$A:$A,Output_Mac!U:U,""),
_xlpm.MyAuditVal,_xlfn.XLOOKUP($A889,My_Audit!$A:$A,My_Audit!R:R,""),
_xlfn.IFS(_xlpm.MyAuditVal&lt;&gt;"",UPPER(_xlpm.MyAuditVal),_xlpm.MacVal&lt;&gt;"",_xlpm.MacVal,_xlpm.CSVVal&lt;&gt;"",_xlpm.CSVVal
)),"")</f>
        <v/>
      </c>
      <c r="R889" s="40"/>
      <c r="S889" s="40"/>
      <c r="T889" s="40"/>
      <c r="U889" s="40"/>
      <c r="V889" s="40"/>
      <c r="W889" s="40"/>
      <c r="X889" s="41" t="str">
        <f>_xlfn.LET(
    _xlpm.MacVal, _xlfn.XLOOKUP($A889, Output_Mac!$A:$A, Output_Mac!AB:AB, ""),
    _xlpm.MyAuditVal, _xlfn.XLOOKUP($A889, My_Audit!$A:$A, My_Audit!N:N, ""),
    _xlfn.TEXTJOIN(", ", TRUE, _xlpm.MyAuditVal, _xlpm.MacVal)
)</f>
        <v/>
      </c>
    </row>
    <row r="890" spans="1:24">
      <c r="A890" s="40" t="str">
        <f>_xlfn.TEXTJOIN("",TRUE,Input!$B$2,ROW(My_Audit!A889))</f>
        <v>X889</v>
      </c>
      <c r="B890" s="40" t="str">
        <f>_xlfn.TEXTJOIN("-",TRUE,"ITD",Input!$A$2,A890)</f>
        <v>ITD-X889</v>
      </c>
      <c r="C890" s="40" t="str" cm="1">
        <f t="array" ref="C890">IFERROR(_xlfn.LET(
_xlpm.CSVVal,_xlfn.XLOOKUP($A890,CSV!$A:$A,CSV!B:B,""),
_xlpm.MacVal,_xlfn.XLOOKUP($A890,Output_Mac!$A:$A,Output_Mac!B:B,""),
_xlpm.MyAuditVal,_xlfn.XLOOKUP($A890,My_Audit!$A:$A,My_Audit!B:B,""),
_xlfn.IFS(_xlpm.MyAuditVal&lt;&gt;"",UPPER(_xlpm.MyAuditVal),_xlpm.MacVal&lt;&gt;"",_xlpm.MacVal,_xlpm.CSVVal&lt;&gt;"",_xlpm.CSVVal
)),"")</f>
        <v/>
      </c>
      <c r="D890" s="40" t="str" cm="1">
        <f t="array" ref="D890">IFERROR(_xlfn.LET(
_xlpm.CSVVal,_xlfn.XLOOKUP($A890,CSV!$A:$A,CSV!D:D,""),
_xlpm.MacVal,_xlfn.XLOOKUP($A890,Output_Mac!$A:$A,Output_Mac!C:C,""),
_xlpm.MyAuditVal,_xlfn.XLOOKUP($A890,My_Audit!$A:$A,My_Audit!C:C,""),
_xlfn.IFS(_xlpm.MyAuditVal&lt;&gt;"",_xlpm.MyAuditVal,_xlpm.MacVal&lt;&gt;"",_xlpm.MacVal,_xlpm.CSVVal&lt;&gt;"",_xlpm.CSVVal
)),"")</f>
        <v/>
      </c>
      <c r="E890" s="40" t="str">
        <f>_xlfn.XLOOKUP(A890,My_Audit!A:A,My_Audit!D:D,"")</f>
        <v/>
      </c>
      <c r="F890" s="40" t="str" cm="1">
        <f t="array" ref="F890">IFERROR(_xlfn.LET(
_xlpm.CSVVal,_xlfn.XLOOKUP($A890,CSV!$A:$A,CSV!F:F,""),
_xlpm.MacVal,_xlfn.XLOOKUP($A890,Output_Mac!$A:$A,Output_Mac!E:E,""),
_xlpm.MyAuditVal,_xlfn.XLOOKUP($A890,My_Audit!$A:$A,My_Audit!E:E,""),
_xlfn.IFS(_xlpm.MyAuditVal&lt;&gt;"",_xlpm.MyAuditVal,_xlpm.MacVal&lt;&gt;"",_xlpm.MacVal,_xlpm.CSVVal&lt;&gt;"",_xlpm.CSVVal
)),"")</f>
        <v/>
      </c>
      <c r="G890" s="40" t="str" cm="1">
        <f t="array" ref="G890">IFERROR(_xlfn.LET(
_xlpm.CSVVal,_xlfn.XLOOKUP($A890,CSV!$A:$A,CSV!G:G,""),
_xlpm.MacVal,_xlfn.XLOOKUP($A890,Output_Mac!$A:$A,Output_Mac!F:F,""),
_xlpm.MyAuditVal,_xlfn.XLOOKUP($A890,My_Audit!$A:$A,My_Audit!F:F,""),
_xlfn.IFS(_xlpm.MyAuditVal&lt;&gt;"",_xlpm.MyAuditVal,_xlpm.MacVal&lt;&gt;"",_xlpm.MacVal,_xlpm.CSVVal&lt;&gt;"",PROPER(_xlpm.CSVVal)
)),"")</f>
        <v/>
      </c>
      <c r="H890" s="40" t="str" cm="1">
        <f t="array" ref="H890">IFERROR(_xlfn.LET(
_xlpm.CSVVal,_xlfn.XLOOKUP($A890,CSV!$A:$A,CSV!H:H,""),
_xlpm.MacVal,_xlfn.XLOOKUP($A890,Output_Mac!$A:$A,Output_Mac!H:H,""),
_xlpm.MyAuditVal,_xlfn.XLOOKUP($A890,My_Audit!$A:$A,My_Audit!G:G,""),
_xlfn.IFS(_xlpm.MyAuditVal&lt;&gt;"",_xlpm.MyAuditVal,_xlpm.MacVal&lt;&gt;"",_xlpm.MacVal,_xlpm.CSVVal&lt;&gt;"",_xlpm.CSVVal
)),"")</f>
        <v/>
      </c>
      <c r="I890" s="40" t="str">
        <f>_xlfn.XLOOKUP(A890,Output_Mac!A:A,Output_Mac!I:I,"")</f>
        <v/>
      </c>
      <c r="J890" s="40" t="str" cm="1">
        <f t="array" ref="J890">IFERROR(_xlfn.LET(
_xlpm.CSVVal,_xlfn.XLOOKUP($A890,CSV!$A:$A,CSV!I:I,""),
_xlpm.MacVal,_xlfn.XLOOKUP($A890,Output_Mac!$A:$A,Output_Mac!J:J,""),
_xlpm.MyAuditVal,_xlfn.XLOOKUP($A890,My_Audit!$A:$A,My_Audit!I:I,""),
_xlfn.IFS(_xlpm.MyAuditVal&lt;&gt;"",UPPER(_xlpm.MyAuditVal),_xlpm.MacVal&lt;&gt;"",_xlpm.MacVal,_xlpm.CSVVal&lt;&gt;"",_xlpm.CSVVal
)),"")</f>
        <v/>
      </c>
      <c r="K890" s="40" t="str" cm="1">
        <f t="array" ref="K890">IFERROR(_xlfn.LET(
_xlpm.CSVVal,_xlfn.XLOOKUP($A890,CSV!$A:$A,CSV!K:K,""),
_xlpm.MacVal,_xlfn.XLOOKUP($A890,Output_Mac!$A:$A,Output_Mac!K:K,""),
_xlpm.MyAuditVal,_xlfn.XLOOKUP($A890,My_Audit!$A:$A,My_Audit!J:J,""),
_xlfn.IFS(_xlpm.MyAuditVal&lt;&gt;"",UPPER(_xlpm.MyAuditVal),_xlpm.MacVal&lt;&gt;"",_xlpm.MacVal,_xlpm.CSVVal&lt;&gt;"",_xlpm.CSVVal
)),"")</f>
        <v/>
      </c>
      <c r="L890" s="40" t="str" cm="1">
        <f t="array" ref="L890">IFERROR(_xlfn.LET(
_xlpm.CSVVal,_xlfn.XLOOKUP($A890,CSV!$A:$A,CSV!P:P,""),
_xlpm.MacVal,_xlfn.XLOOKUP($A890,Output_Mac!$A:$A,Output_Mac!L:L,""),
_xlpm.MyAuditVal,_xlfn.XLOOKUP($A890,My_Audit!$A:$A,My_Audit!K:K,""),
_xlfn.IFS(_xlpm.MyAuditVal&lt;&gt;"",UPPER(_xlpm.MyAuditVal),_xlpm.MacVal&lt;&gt;"",_xlpm.MacVal,_xlpm.CSVVal&lt;&gt;"",_xlpm.CSVVal
)),"")</f>
        <v/>
      </c>
      <c r="M890" s="40" t="str" cm="1">
        <f t="array" ref="M890">IFERROR(_xlfn.LET(
_xlpm.CSVVal,_xlfn.XLOOKUP($A890,CSV!$A:$A,CSV!Q:Q,""),
_xlpm.MacVal,_xlfn.XLOOKUP($A890,Output_Mac!$A:$A,Output_Mac!M:M,""),
_xlpm.MyAuditVal,_xlfn.XLOOKUP($A890,My_Audit!$A:$A,My_Audit!L:L,""),
_xlfn.IFS(_xlpm.MyAuditVal&lt;&gt;"",UPPER(_xlpm.MyAuditVal),_xlpm.MacVal&lt;&gt;"",_xlpm.MacVal,_xlpm.CSVVal&lt;&gt;"",_xlpm.CSVVal
)),"")</f>
        <v/>
      </c>
      <c r="N890" s="40"/>
      <c r="O890" s="40" t="str">
        <f>_xlfn.LET(
    _xlpm.CSVVal, _xlfn.XLOOKUP($A890, CSV!$A:$A, CSV!AA:AA, ""),
    _xlpm.MacVal, _xlfn.XLOOKUP($A890, Output_Mac!$A:$A, Output_Mac!S:S, ""),
    _xlpm.MyAuditVal, _xlfn.XLOOKUP($A890, My_Audit!$A:$A, My_Audit!P:P, ""),
    _xlfn.TEXTJOIN(", ", TRUE, _xlpm.MyAuditVal, _xlpm.MacVal, _xlpm.CSVVal)
)</f>
        <v/>
      </c>
      <c r="P890" s="40" t="str" cm="1">
        <f t="array" ref="P890">IFERROR(_xlfn.LET(
_xlpm.CSVVal,_xlfn.XLOOKUP($A890,CSV!$A:$A,CSV!AB:AB,""),
_xlpm.MacVal,_xlfn.XLOOKUP($A890,Output_Mac!$A:$A,Output_Mac!T:T,""),
_xlpm.MyAuditVal,_xlfn.XLOOKUP($A890,My_Audit!$A:$A,My_Audit!Q:Q,""),
_xlfn.IFS(_xlpm.MyAuditVal&lt;&gt;"",UPPER(_xlpm.MyAuditVal),_xlpm.MacVal&lt;&gt;"",_xlpm.MacVal,_xlpm.CSVVal&lt;&gt;"",_xlpm.CSVVal
)),"No")</f>
        <v>No</v>
      </c>
      <c r="Q890" s="40" t="str" cm="1">
        <f t="array" ref="Q890">IFERROR(_xlfn.LET(
_xlpm.CSVVal,_xlfn.XLOOKUP($A890,CSV!$A:$A,CSV!AC:AC,""),
_xlpm.MacVal,_xlfn.XLOOKUP($A890,Output_Mac!$A:$A,Output_Mac!U:U,""),
_xlpm.MyAuditVal,_xlfn.XLOOKUP($A890,My_Audit!$A:$A,My_Audit!R:R,""),
_xlfn.IFS(_xlpm.MyAuditVal&lt;&gt;"",UPPER(_xlpm.MyAuditVal),_xlpm.MacVal&lt;&gt;"",_xlpm.MacVal,_xlpm.CSVVal&lt;&gt;"",_xlpm.CSVVal
)),"")</f>
        <v/>
      </c>
      <c r="R890" s="40"/>
      <c r="S890" s="40"/>
      <c r="T890" s="40"/>
      <c r="U890" s="40"/>
      <c r="V890" s="40"/>
      <c r="W890" s="40"/>
      <c r="X890" s="41" t="str">
        <f>_xlfn.LET(
    _xlpm.MacVal, _xlfn.XLOOKUP($A890, Output_Mac!$A:$A, Output_Mac!AB:AB, ""),
    _xlpm.MyAuditVal, _xlfn.XLOOKUP($A890, My_Audit!$A:$A, My_Audit!N:N, ""),
    _xlfn.TEXTJOIN(", ", TRUE, _xlpm.MyAuditVal, _xlpm.MacVal)
)</f>
        <v/>
      </c>
    </row>
    <row r="891" spans="1:24">
      <c r="A891" s="40" t="str">
        <f>_xlfn.TEXTJOIN("",TRUE,Input!$B$2,ROW(My_Audit!A890))</f>
        <v>X890</v>
      </c>
      <c r="B891" s="40" t="str">
        <f>_xlfn.TEXTJOIN("-",TRUE,"ITD",Input!$A$2,A891)</f>
        <v>ITD-X890</v>
      </c>
      <c r="C891" s="40" t="str" cm="1">
        <f t="array" ref="C891">IFERROR(_xlfn.LET(
_xlpm.CSVVal,_xlfn.XLOOKUP($A891,CSV!$A:$A,CSV!B:B,""),
_xlpm.MacVal,_xlfn.XLOOKUP($A891,Output_Mac!$A:$A,Output_Mac!B:B,""),
_xlpm.MyAuditVal,_xlfn.XLOOKUP($A891,My_Audit!$A:$A,My_Audit!B:B,""),
_xlfn.IFS(_xlpm.MyAuditVal&lt;&gt;"",UPPER(_xlpm.MyAuditVal),_xlpm.MacVal&lt;&gt;"",_xlpm.MacVal,_xlpm.CSVVal&lt;&gt;"",_xlpm.CSVVal
)),"")</f>
        <v/>
      </c>
      <c r="D891" s="40" t="str" cm="1">
        <f t="array" ref="D891">IFERROR(_xlfn.LET(
_xlpm.CSVVal,_xlfn.XLOOKUP($A891,CSV!$A:$A,CSV!D:D,""),
_xlpm.MacVal,_xlfn.XLOOKUP($A891,Output_Mac!$A:$A,Output_Mac!C:C,""),
_xlpm.MyAuditVal,_xlfn.XLOOKUP($A891,My_Audit!$A:$A,My_Audit!C:C,""),
_xlfn.IFS(_xlpm.MyAuditVal&lt;&gt;"",_xlpm.MyAuditVal,_xlpm.MacVal&lt;&gt;"",_xlpm.MacVal,_xlpm.CSVVal&lt;&gt;"",_xlpm.CSVVal
)),"")</f>
        <v/>
      </c>
      <c r="E891" s="40" t="str">
        <f>_xlfn.XLOOKUP(A891,My_Audit!A:A,My_Audit!D:D,"")</f>
        <v/>
      </c>
      <c r="F891" s="40" t="str" cm="1">
        <f t="array" ref="F891">IFERROR(_xlfn.LET(
_xlpm.CSVVal,_xlfn.XLOOKUP($A891,CSV!$A:$A,CSV!F:F,""),
_xlpm.MacVal,_xlfn.XLOOKUP($A891,Output_Mac!$A:$A,Output_Mac!E:E,""),
_xlpm.MyAuditVal,_xlfn.XLOOKUP($A891,My_Audit!$A:$A,My_Audit!E:E,""),
_xlfn.IFS(_xlpm.MyAuditVal&lt;&gt;"",_xlpm.MyAuditVal,_xlpm.MacVal&lt;&gt;"",_xlpm.MacVal,_xlpm.CSVVal&lt;&gt;"",_xlpm.CSVVal
)),"")</f>
        <v/>
      </c>
      <c r="G891" s="40" t="str" cm="1">
        <f t="array" ref="G891">IFERROR(_xlfn.LET(
_xlpm.CSVVal,_xlfn.XLOOKUP($A891,CSV!$A:$A,CSV!G:G,""),
_xlpm.MacVal,_xlfn.XLOOKUP($A891,Output_Mac!$A:$A,Output_Mac!F:F,""),
_xlpm.MyAuditVal,_xlfn.XLOOKUP($A891,My_Audit!$A:$A,My_Audit!F:F,""),
_xlfn.IFS(_xlpm.MyAuditVal&lt;&gt;"",_xlpm.MyAuditVal,_xlpm.MacVal&lt;&gt;"",_xlpm.MacVal,_xlpm.CSVVal&lt;&gt;"",PROPER(_xlpm.CSVVal)
)),"")</f>
        <v/>
      </c>
      <c r="H891" s="40" t="str" cm="1">
        <f t="array" ref="H891">IFERROR(_xlfn.LET(
_xlpm.CSVVal,_xlfn.XLOOKUP($A891,CSV!$A:$A,CSV!H:H,""),
_xlpm.MacVal,_xlfn.XLOOKUP($A891,Output_Mac!$A:$A,Output_Mac!H:H,""),
_xlpm.MyAuditVal,_xlfn.XLOOKUP($A891,My_Audit!$A:$A,My_Audit!G:G,""),
_xlfn.IFS(_xlpm.MyAuditVal&lt;&gt;"",_xlpm.MyAuditVal,_xlpm.MacVal&lt;&gt;"",_xlpm.MacVal,_xlpm.CSVVal&lt;&gt;"",_xlpm.CSVVal
)),"")</f>
        <v/>
      </c>
      <c r="I891" s="40" t="str">
        <f>_xlfn.XLOOKUP(A891,Output_Mac!A:A,Output_Mac!I:I,"")</f>
        <v/>
      </c>
      <c r="J891" s="40" t="str" cm="1">
        <f t="array" ref="J891">IFERROR(_xlfn.LET(
_xlpm.CSVVal,_xlfn.XLOOKUP($A891,CSV!$A:$A,CSV!I:I,""),
_xlpm.MacVal,_xlfn.XLOOKUP($A891,Output_Mac!$A:$A,Output_Mac!J:J,""),
_xlpm.MyAuditVal,_xlfn.XLOOKUP($A891,My_Audit!$A:$A,My_Audit!I:I,""),
_xlfn.IFS(_xlpm.MyAuditVal&lt;&gt;"",UPPER(_xlpm.MyAuditVal),_xlpm.MacVal&lt;&gt;"",_xlpm.MacVal,_xlpm.CSVVal&lt;&gt;"",_xlpm.CSVVal
)),"")</f>
        <v/>
      </c>
      <c r="K891" s="40" t="str" cm="1">
        <f t="array" ref="K891">IFERROR(_xlfn.LET(
_xlpm.CSVVal,_xlfn.XLOOKUP($A891,CSV!$A:$A,CSV!K:K,""),
_xlpm.MacVal,_xlfn.XLOOKUP($A891,Output_Mac!$A:$A,Output_Mac!K:K,""),
_xlpm.MyAuditVal,_xlfn.XLOOKUP($A891,My_Audit!$A:$A,My_Audit!J:J,""),
_xlfn.IFS(_xlpm.MyAuditVal&lt;&gt;"",UPPER(_xlpm.MyAuditVal),_xlpm.MacVal&lt;&gt;"",_xlpm.MacVal,_xlpm.CSVVal&lt;&gt;"",_xlpm.CSVVal
)),"")</f>
        <v/>
      </c>
      <c r="L891" s="40" t="str" cm="1">
        <f t="array" ref="L891">IFERROR(_xlfn.LET(
_xlpm.CSVVal,_xlfn.XLOOKUP($A891,CSV!$A:$A,CSV!P:P,""),
_xlpm.MacVal,_xlfn.XLOOKUP($A891,Output_Mac!$A:$A,Output_Mac!L:L,""),
_xlpm.MyAuditVal,_xlfn.XLOOKUP($A891,My_Audit!$A:$A,My_Audit!K:K,""),
_xlfn.IFS(_xlpm.MyAuditVal&lt;&gt;"",UPPER(_xlpm.MyAuditVal),_xlpm.MacVal&lt;&gt;"",_xlpm.MacVal,_xlpm.CSVVal&lt;&gt;"",_xlpm.CSVVal
)),"")</f>
        <v/>
      </c>
      <c r="M891" s="40" t="str" cm="1">
        <f t="array" ref="M891">IFERROR(_xlfn.LET(
_xlpm.CSVVal,_xlfn.XLOOKUP($A891,CSV!$A:$A,CSV!Q:Q,""),
_xlpm.MacVal,_xlfn.XLOOKUP($A891,Output_Mac!$A:$A,Output_Mac!M:M,""),
_xlpm.MyAuditVal,_xlfn.XLOOKUP($A891,My_Audit!$A:$A,My_Audit!L:L,""),
_xlfn.IFS(_xlpm.MyAuditVal&lt;&gt;"",UPPER(_xlpm.MyAuditVal),_xlpm.MacVal&lt;&gt;"",_xlpm.MacVal,_xlpm.CSVVal&lt;&gt;"",_xlpm.CSVVal
)),"")</f>
        <v/>
      </c>
      <c r="N891" s="40"/>
      <c r="O891" s="40" t="str">
        <f>_xlfn.LET(
    _xlpm.CSVVal, _xlfn.XLOOKUP($A891, CSV!$A:$A, CSV!AA:AA, ""),
    _xlpm.MacVal, _xlfn.XLOOKUP($A891, Output_Mac!$A:$A, Output_Mac!S:S, ""),
    _xlpm.MyAuditVal, _xlfn.XLOOKUP($A891, My_Audit!$A:$A, My_Audit!P:P, ""),
    _xlfn.TEXTJOIN(", ", TRUE, _xlpm.MyAuditVal, _xlpm.MacVal, _xlpm.CSVVal)
)</f>
        <v/>
      </c>
      <c r="P891" s="40" t="str" cm="1">
        <f t="array" ref="P891">IFERROR(_xlfn.LET(
_xlpm.CSVVal,_xlfn.XLOOKUP($A891,CSV!$A:$A,CSV!AB:AB,""),
_xlpm.MacVal,_xlfn.XLOOKUP($A891,Output_Mac!$A:$A,Output_Mac!T:T,""),
_xlpm.MyAuditVal,_xlfn.XLOOKUP($A891,My_Audit!$A:$A,My_Audit!Q:Q,""),
_xlfn.IFS(_xlpm.MyAuditVal&lt;&gt;"",UPPER(_xlpm.MyAuditVal),_xlpm.MacVal&lt;&gt;"",_xlpm.MacVal,_xlpm.CSVVal&lt;&gt;"",_xlpm.CSVVal
)),"No")</f>
        <v>No</v>
      </c>
      <c r="Q891" s="40" t="str" cm="1">
        <f t="array" ref="Q891">IFERROR(_xlfn.LET(
_xlpm.CSVVal,_xlfn.XLOOKUP($A891,CSV!$A:$A,CSV!AC:AC,""),
_xlpm.MacVal,_xlfn.XLOOKUP($A891,Output_Mac!$A:$A,Output_Mac!U:U,""),
_xlpm.MyAuditVal,_xlfn.XLOOKUP($A891,My_Audit!$A:$A,My_Audit!R:R,""),
_xlfn.IFS(_xlpm.MyAuditVal&lt;&gt;"",UPPER(_xlpm.MyAuditVal),_xlpm.MacVal&lt;&gt;"",_xlpm.MacVal,_xlpm.CSVVal&lt;&gt;"",_xlpm.CSVVal
)),"")</f>
        <v/>
      </c>
      <c r="R891" s="40"/>
      <c r="S891" s="40"/>
      <c r="T891" s="40"/>
      <c r="U891" s="40"/>
      <c r="V891" s="40"/>
      <c r="W891" s="40"/>
      <c r="X891" s="41" t="str">
        <f>_xlfn.LET(
    _xlpm.MacVal, _xlfn.XLOOKUP($A891, Output_Mac!$A:$A, Output_Mac!AB:AB, ""),
    _xlpm.MyAuditVal, _xlfn.XLOOKUP($A891, My_Audit!$A:$A, My_Audit!N:N, ""),
    _xlfn.TEXTJOIN(", ", TRUE, _xlpm.MyAuditVal, _xlpm.MacVal)
)</f>
        <v/>
      </c>
    </row>
    <row r="892" spans="1:24">
      <c r="A892" s="40" t="str">
        <f>_xlfn.TEXTJOIN("",TRUE,Input!$B$2,ROW(My_Audit!A891))</f>
        <v>X891</v>
      </c>
      <c r="B892" s="40" t="str">
        <f>_xlfn.TEXTJOIN("-",TRUE,"ITD",Input!$A$2,A892)</f>
        <v>ITD-X891</v>
      </c>
      <c r="C892" s="40" t="str" cm="1">
        <f t="array" ref="C892">IFERROR(_xlfn.LET(
_xlpm.CSVVal,_xlfn.XLOOKUP($A892,CSV!$A:$A,CSV!B:B,""),
_xlpm.MacVal,_xlfn.XLOOKUP($A892,Output_Mac!$A:$A,Output_Mac!B:B,""),
_xlpm.MyAuditVal,_xlfn.XLOOKUP($A892,My_Audit!$A:$A,My_Audit!B:B,""),
_xlfn.IFS(_xlpm.MyAuditVal&lt;&gt;"",UPPER(_xlpm.MyAuditVal),_xlpm.MacVal&lt;&gt;"",_xlpm.MacVal,_xlpm.CSVVal&lt;&gt;"",_xlpm.CSVVal
)),"")</f>
        <v/>
      </c>
      <c r="D892" s="40" t="str" cm="1">
        <f t="array" ref="D892">IFERROR(_xlfn.LET(
_xlpm.CSVVal,_xlfn.XLOOKUP($A892,CSV!$A:$A,CSV!D:D,""),
_xlpm.MacVal,_xlfn.XLOOKUP($A892,Output_Mac!$A:$A,Output_Mac!C:C,""),
_xlpm.MyAuditVal,_xlfn.XLOOKUP($A892,My_Audit!$A:$A,My_Audit!C:C,""),
_xlfn.IFS(_xlpm.MyAuditVal&lt;&gt;"",_xlpm.MyAuditVal,_xlpm.MacVal&lt;&gt;"",_xlpm.MacVal,_xlpm.CSVVal&lt;&gt;"",_xlpm.CSVVal
)),"")</f>
        <v/>
      </c>
      <c r="E892" s="40" t="str">
        <f>_xlfn.XLOOKUP(A892,My_Audit!A:A,My_Audit!D:D,"")</f>
        <v/>
      </c>
      <c r="F892" s="40" t="str" cm="1">
        <f t="array" ref="F892">IFERROR(_xlfn.LET(
_xlpm.CSVVal,_xlfn.XLOOKUP($A892,CSV!$A:$A,CSV!F:F,""),
_xlpm.MacVal,_xlfn.XLOOKUP($A892,Output_Mac!$A:$A,Output_Mac!E:E,""),
_xlpm.MyAuditVal,_xlfn.XLOOKUP($A892,My_Audit!$A:$A,My_Audit!E:E,""),
_xlfn.IFS(_xlpm.MyAuditVal&lt;&gt;"",_xlpm.MyAuditVal,_xlpm.MacVal&lt;&gt;"",_xlpm.MacVal,_xlpm.CSVVal&lt;&gt;"",_xlpm.CSVVal
)),"")</f>
        <v/>
      </c>
      <c r="G892" s="40" t="str" cm="1">
        <f t="array" ref="G892">IFERROR(_xlfn.LET(
_xlpm.CSVVal,_xlfn.XLOOKUP($A892,CSV!$A:$A,CSV!G:G,""),
_xlpm.MacVal,_xlfn.XLOOKUP($A892,Output_Mac!$A:$A,Output_Mac!F:F,""),
_xlpm.MyAuditVal,_xlfn.XLOOKUP($A892,My_Audit!$A:$A,My_Audit!F:F,""),
_xlfn.IFS(_xlpm.MyAuditVal&lt;&gt;"",_xlpm.MyAuditVal,_xlpm.MacVal&lt;&gt;"",_xlpm.MacVal,_xlpm.CSVVal&lt;&gt;"",PROPER(_xlpm.CSVVal)
)),"")</f>
        <v/>
      </c>
      <c r="H892" s="40" t="str" cm="1">
        <f t="array" ref="H892">IFERROR(_xlfn.LET(
_xlpm.CSVVal,_xlfn.XLOOKUP($A892,CSV!$A:$A,CSV!H:H,""),
_xlpm.MacVal,_xlfn.XLOOKUP($A892,Output_Mac!$A:$A,Output_Mac!H:H,""),
_xlpm.MyAuditVal,_xlfn.XLOOKUP($A892,My_Audit!$A:$A,My_Audit!G:G,""),
_xlfn.IFS(_xlpm.MyAuditVal&lt;&gt;"",_xlpm.MyAuditVal,_xlpm.MacVal&lt;&gt;"",_xlpm.MacVal,_xlpm.CSVVal&lt;&gt;"",_xlpm.CSVVal
)),"")</f>
        <v/>
      </c>
      <c r="I892" s="40" t="str">
        <f>_xlfn.XLOOKUP(A892,Output_Mac!A:A,Output_Mac!I:I,"")</f>
        <v/>
      </c>
      <c r="J892" s="40" t="str" cm="1">
        <f t="array" ref="J892">IFERROR(_xlfn.LET(
_xlpm.CSVVal,_xlfn.XLOOKUP($A892,CSV!$A:$A,CSV!I:I,""),
_xlpm.MacVal,_xlfn.XLOOKUP($A892,Output_Mac!$A:$A,Output_Mac!J:J,""),
_xlpm.MyAuditVal,_xlfn.XLOOKUP($A892,My_Audit!$A:$A,My_Audit!I:I,""),
_xlfn.IFS(_xlpm.MyAuditVal&lt;&gt;"",UPPER(_xlpm.MyAuditVal),_xlpm.MacVal&lt;&gt;"",_xlpm.MacVal,_xlpm.CSVVal&lt;&gt;"",_xlpm.CSVVal
)),"")</f>
        <v/>
      </c>
      <c r="K892" s="40" t="str" cm="1">
        <f t="array" ref="K892">IFERROR(_xlfn.LET(
_xlpm.CSVVal,_xlfn.XLOOKUP($A892,CSV!$A:$A,CSV!K:K,""),
_xlpm.MacVal,_xlfn.XLOOKUP($A892,Output_Mac!$A:$A,Output_Mac!K:K,""),
_xlpm.MyAuditVal,_xlfn.XLOOKUP($A892,My_Audit!$A:$A,My_Audit!J:J,""),
_xlfn.IFS(_xlpm.MyAuditVal&lt;&gt;"",UPPER(_xlpm.MyAuditVal),_xlpm.MacVal&lt;&gt;"",_xlpm.MacVal,_xlpm.CSVVal&lt;&gt;"",_xlpm.CSVVal
)),"")</f>
        <v/>
      </c>
      <c r="L892" s="40" t="str" cm="1">
        <f t="array" ref="L892">IFERROR(_xlfn.LET(
_xlpm.CSVVal,_xlfn.XLOOKUP($A892,CSV!$A:$A,CSV!P:P,""),
_xlpm.MacVal,_xlfn.XLOOKUP($A892,Output_Mac!$A:$A,Output_Mac!L:L,""),
_xlpm.MyAuditVal,_xlfn.XLOOKUP($A892,My_Audit!$A:$A,My_Audit!K:K,""),
_xlfn.IFS(_xlpm.MyAuditVal&lt;&gt;"",UPPER(_xlpm.MyAuditVal),_xlpm.MacVal&lt;&gt;"",_xlpm.MacVal,_xlpm.CSVVal&lt;&gt;"",_xlpm.CSVVal
)),"")</f>
        <v/>
      </c>
      <c r="M892" s="40" t="str" cm="1">
        <f t="array" ref="M892">IFERROR(_xlfn.LET(
_xlpm.CSVVal,_xlfn.XLOOKUP($A892,CSV!$A:$A,CSV!Q:Q,""),
_xlpm.MacVal,_xlfn.XLOOKUP($A892,Output_Mac!$A:$A,Output_Mac!M:M,""),
_xlpm.MyAuditVal,_xlfn.XLOOKUP($A892,My_Audit!$A:$A,My_Audit!L:L,""),
_xlfn.IFS(_xlpm.MyAuditVal&lt;&gt;"",UPPER(_xlpm.MyAuditVal),_xlpm.MacVal&lt;&gt;"",_xlpm.MacVal,_xlpm.CSVVal&lt;&gt;"",_xlpm.CSVVal
)),"")</f>
        <v/>
      </c>
      <c r="N892" s="40"/>
      <c r="O892" s="40" t="str">
        <f>_xlfn.LET(
    _xlpm.CSVVal, _xlfn.XLOOKUP($A892, CSV!$A:$A, CSV!AA:AA, ""),
    _xlpm.MacVal, _xlfn.XLOOKUP($A892, Output_Mac!$A:$A, Output_Mac!S:S, ""),
    _xlpm.MyAuditVal, _xlfn.XLOOKUP($A892, My_Audit!$A:$A, My_Audit!P:P, ""),
    _xlfn.TEXTJOIN(", ", TRUE, _xlpm.MyAuditVal, _xlpm.MacVal, _xlpm.CSVVal)
)</f>
        <v/>
      </c>
      <c r="P892" s="40" t="str" cm="1">
        <f t="array" ref="P892">IFERROR(_xlfn.LET(
_xlpm.CSVVal,_xlfn.XLOOKUP($A892,CSV!$A:$A,CSV!AB:AB,""),
_xlpm.MacVal,_xlfn.XLOOKUP($A892,Output_Mac!$A:$A,Output_Mac!T:T,""),
_xlpm.MyAuditVal,_xlfn.XLOOKUP($A892,My_Audit!$A:$A,My_Audit!Q:Q,""),
_xlfn.IFS(_xlpm.MyAuditVal&lt;&gt;"",UPPER(_xlpm.MyAuditVal),_xlpm.MacVal&lt;&gt;"",_xlpm.MacVal,_xlpm.CSVVal&lt;&gt;"",_xlpm.CSVVal
)),"No")</f>
        <v>No</v>
      </c>
      <c r="Q892" s="40" t="str" cm="1">
        <f t="array" ref="Q892">IFERROR(_xlfn.LET(
_xlpm.CSVVal,_xlfn.XLOOKUP($A892,CSV!$A:$A,CSV!AC:AC,""),
_xlpm.MacVal,_xlfn.XLOOKUP($A892,Output_Mac!$A:$A,Output_Mac!U:U,""),
_xlpm.MyAuditVal,_xlfn.XLOOKUP($A892,My_Audit!$A:$A,My_Audit!R:R,""),
_xlfn.IFS(_xlpm.MyAuditVal&lt;&gt;"",UPPER(_xlpm.MyAuditVal),_xlpm.MacVal&lt;&gt;"",_xlpm.MacVal,_xlpm.CSVVal&lt;&gt;"",_xlpm.CSVVal
)),"")</f>
        <v/>
      </c>
      <c r="R892" s="40"/>
      <c r="S892" s="40"/>
      <c r="T892" s="40"/>
      <c r="U892" s="40"/>
      <c r="V892" s="40"/>
      <c r="W892" s="40"/>
      <c r="X892" s="41" t="str">
        <f>_xlfn.LET(
    _xlpm.MacVal, _xlfn.XLOOKUP($A892, Output_Mac!$A:$A, Output_Mac!AB:AB, ""),
    _xlpm.MyAuditVal, _xlfn.XLOOKUP($A892, My_Audit!$A:$A, My_Audit!N:N, ""),
    _xlfn.TEXTJOIN(", ", TRUE, _xlpm.MyAuditVal, _xlpm.MacVal)
)</f>
        <v/>
      </c>
    </row>
    <row r="893" spans="1:24">
      <c r="A893" s="40" t="str">
        <f>_xlfn.TEXTJOIN("",TRUE,Input!$B$2,ROW(My_Audit!A892))</f>
        <v>X892</v>
      </c>
      <c r="B893" s="40" t="str">
        <f>_xlfn.TEXTJOIN("-",TRUE,"ITD",Input!$A$2,A893)</f>
        <v>ITD-X892</v>
      </c>
      <c r="C893" s="40" t="str" cm="1">
        <f t="array" ref="C893">IFERROR(_xlfn.LET(
_xlpm.CSVVal,_xlfn.XLOOKUP($A893,CSV!$A:$A,CSV!B:B,""),
_xlpm.MacVal,_xlfn.XLOOKUP($A893,Output_Mac!$A:$A,Output_Mac!B:B,""),
_xlpm.MyAuditVal,_xlfn.XLOOKUP($A893,My_Audit!$A:$A,My_Audit!B:B,""),
_xlfn.IFS(_xlpm.MyAuditVal&lt;&gt;"",UPPER(_xlpm.MyAuditVal),_xlpm.MacVal&lt;&gt;"",_xlpm.MacVal,_xlpm.CSVVal&lt;&gt;"",_xlpm.CSVVal
)),"")</f>
        <v/>
      </c>
      <c r="D893" s="40" t="str" cm="1">
        <f t="array" ref="D893">IFERROR(_xlfn.LET(
_xlpm.CSVVal,_xlfn.XLOOKUP($A893,CSV!$A:$A,CSV!D:D,""),
_xlpm.MacVal,_xlfn.XLOOKUP($A893,Output_Mac!$A:$A,Output_Mac!C:C,""),
_xlpm.MyAuditVal,_xlfn.XLOOKUP($A893,My_Audit!$A:$A,My_Audit!C:C,""),
_xlfn.IFS(_xlpm.MyAuditVal&lt;&gt;"",_xlpm.MyAuditVal,_xlpm.MacVal&lt;&gt;"",_xlpm.MacVal,_xlpm.CSVVal&lt;&gt;"",_xlpm.CSVVal
)),"")</f>
        <v/>
      </c>
      <c r="E893" s="40" t="str">
        <f>_xlfn.XLOOKUP(A893,My_Audit!A:A,My_Audit!D:D,"")</f>
        <v/>
      </c>
      <c r="F893" s="40" t="str" cm="1">
        <f t="array" ref="F893">IFERROR(_xlfn.LET(
_xlpm.CSVVal,_xlfn.XLOOKUP($A893,CSV!$A:$A,CSV!F:F,""),
_xlpm.MacVal,_xlfn.XLOOKUP($A893,Output_Mac!$A:$A,Output_Mac!E:E,""),
_xlpm.MyAuditVal,_xlfn.XLOOKUP($A893,My_Audit!$A:$A,My_Audit!E:E,""),
_xlfn.IFS(_xlpm.MyAuditVal&lt;&gt;"",_xlpm.MyAuditVal,_xlpm.MacVal&lt;&gt;"",_xlpm.MacVal,_xlpm.CSVVal&lt;&gt;"",_xlpm.CSVVal
)),"")</f>
        <v/>
      </c>
      <c r="G893" s="40" t="str" cm="1">
        <f t="array" ref="G893">IFERROR(_xlfn.LET(
_xlpm.CSVVal,_xlfn.XLOOKUP($A893,CSV!$A:$A,CSV!G:G,""),
_xlpm.MacVal,_xlfn.XLOOKUP($A893,Output_Mac!$A:$A,Output_Mac!F:F,""),
_xlpm.MyAuditVal,_xlfn.XLOOKUP($A893,My_Audit!$A:$A,My_Audit!F:F,""),
_xlfn.IFS(_xlpm.MyAuditVal&lt;&gt;"",_xlpm.MyAuditVal,_xlpm.MacVal&lt;&gt;"",_xlpm.MacVal,_xlpm.CSVVal&lt;&gt;"",PROPER(_xlpm.CSVVal)
)),"")</f>
        <v/>
      </c>
      <c r="H893" s="40" t="str" cm="1">
        <f t="array" ref="H893">IFERROR(_xlfn.LET(
_xlpm.CSVVal,_xlfn.XLOOKUP($A893,CSV!$A:$A,CSV!H:H,""),
_xlpm.MacVal,_xlfn.XLOOKUP($A893,Output_Mac!$A:$A,Output_Mac!H:H,""),
_xlpm.MyAuditVal,_xlfn.XLOOKUP($A893,My_Audit!$A:$A,My_Audit!G:G,""),
_xlfn.IFS(_xlpm.MyAuditVal&lt;&gt;"",_xlpm.MyAuditVal,_xlpm.MacVal&lt;&gt;"",_xlpm.MacVal,_xlpm.CSVVal&lt;&gt;"",_xlpm.CSVVal
)),"")</f>
        <v/>
      </c>
      <c r="I893" s="40" t="str">
        <f>_xlfn.XLOOKUP(A893,Output_Mac!A:A,Output_Mac!I:I,"")</f>
        <v/>
      </c>
      <c r="J893" s="40" t="str" cm="1">
        <f t="array" ref="J893">IFERROR(_xlfn.LET(
_xlpm.CSVVal,_xlfn.XLOOKUP($A893,CSV!$A:$A,CSV!I:I,""),
_xlpm.MacVal,_xlfn.XLOOKUP($A893,Output_Mac!$A:$A,Output_Mac!J:J,""),
_xlpm.MyAuditVal,_xlfn.XLOOKUP($A893,My_Audit!$A:$A,My_Audit!I:I,""),
_xlfn.IFS(_xlpm.MyAuditVal&lt;&gt;"",UPPER(_xlpm.MyAuditVal),_xlpm.MacVal&lt;&gt;"",_xlpm.MacVal,_xlpm.CSVVal&lt;&gt;"",_xlpm.CSVVal
)),"")</f>
        <v/>
      </c>
      <c r="K893" s="40" t="str" cm="1">
        <f t="array" ref="K893">IFERROR(_xlfn.LET(
_xlpm.CSVVal,_xlfn.XLOOKUP($A893,CSV!$A:$A,CSV!K:K,""),
_xlpm.MacVal,_xlfn.XLOOKUP($A893,Output_Mac!$A:$A,Output_Mac!K:K,""),
_xlpm.MyAuditVal,_xlfn.XLOOKUP($A893,My_Audit!$A:$A,My_Audit!J:J,""),
_xlfn.IFS(_xlpm.MyAuditVal&lt;&gt;"",UPPER(_xlpm.MyAuditVal),_xlpm.MacVal&lt;&gt;"",_xlpm.MacVal,_xlpm.CSVVal&lt;&gt;"",_xlpm.CSVVal
)),"")</f>
        <v/>
      </c>
      <c r="L893" s="40" t="str" cm="1">
        <f t="array" ref="L893">IFERROR(_xlfn.LET(
_xlpm.CSVVal,_xlfn.XLOOKUP($A893,CSV!$A:$A,CSV!P:P,""),
_xlpm.MacVal,_xlfn.XLOOKUP($A893,Output_Mac!$A:$A,Output_Mac!L:L,""),
_xlpm.MyAuditVal,_xlfn.XLOOKUP($A893,My_Audit!$A:$A,My_Audit!K:K,""),
_xlfn.IFS(_xlpm.MyAuditVal&lt;&gt;"",UPPER(_xlpm.MyAuditVal),_xlpm.MacVal&lt;&gt;"",_xlpm.MacVal,_xlpm.CSVVal&lt;&gt;"",_xlpm.CSVVal
)),"")</f>
        <v/>
      </c>
      <c r="M893" s="40" t="str" cm="1">
        <f t="array" ref="M893">IFERROR(_xlfn.LET(
_xlpm.CSVVal,_xlfn.XLOOKUP($A893,CSV!$A:$A,CSV!Q:Q,""),
_xlpm.MacVal,_xlfn.XLOOKUP($A893,Output_Mac!$A:$A,Output_Mac!M:M,""),
_xlpm.MyAuditVal,_xlfn.XLOOKUP($A893,My_Audit!$A:$A,My_Audit!L:L,""),
_xlfn.IFS(_xlpm.MyAuditVal&lt;&gt;"",UPPER(_xlpm.MyAuditVal),_xlpm.MacVal&lt;&gt;"",_xlpm.MacVal,_xlpm.CSVVal&lt;&gt;"",_xlpm.CSVVal
)),"")</f>
        <v/>
      </c>
      <c r="N893" s="40"/>
      <c r="O893" s="40" t="str">
        <f>_xlfn.LET(
    _xlpm.CSVVal, _xlfn.XLOOKUP($A893, CSV!$A:$A, CSV!AA:AA, ""),
    _xlpm.MacVal, _xlfn.XLOOKUP($A893, Output_Mac!$A:$A, Output_Mac!S:S, ""),
    _xlpm.MyAuditVal, _xlfn.XLOOKUP($A893, My_Audit!$A:$A, My_Audit!P:P, ""),
    _xlfn.TEXTJOIN(", ", TRUE, _xlpm.MyAuditVal, _xlpm.MacVal, _xlpm.CSVVal)
)</f>
        <v/>
      </c>
      <c r="P893" s="40" t="str" cm="1">
        <f t="array" ref="P893">IFERROR(_xlfn.LET(
_xlpm.CSVVal,_xlfn.XLOOKUP($A893,CSV!$A:$A,CSV!AB:AB,""),
_xlpm.MacVal,_xlfn.XLOOKUP($A893,Output_Mac!$A:$A,Output_Mac!T:T,""),
_xlpm.MyAuditVal,_xlfn.XLOOKUP($A893,My_Audit!$A:$A,My_Audit!Q:Q,""),
_xlfn.IFS(_xlpm.MyAuditVal&lt;&gt;"",UPPER(_xlpm.MyAuditVal),_xlpm.MacVal&lt;&gt;"",_xlpm.MacVal,_xlpm.CSVVal&lt;&gt;"",_xlpm.CSVVal
)),"No")</f>
        <v>No</v>
      </c>
      <c r="Q893" s="40" t="str" cm="1">
        <f t="array" ref="Q893">IFERROR(_xlfn.LET(
_xlpm.CSVVal,_xlfn.XLOOKUP($A893,CSV!$A:$A,CSV!AC:AC,""),
_xlpm.MacVal,_xlfn.XLOOKUP($A893,Output_Mac!$A:$A,Output_Mac!U:U,""),
_xlpm.MyAuditVal,_xlfn.XLOOKUP($A893,My_Audit!$A:$A,My_Audit!R:R,""),
_xlfn.IFS(_xlpm.MyAuditVal&lt;&gt;"",UPPER(_xlpm.MyAuditVal),_xlpm.MacVal&lt;&gt;"",_xlpm.MacVal,_xlpm.CSVVal&lt;&gt;"",_xlpm.CSVVal
)),"")</f>
        <v/>
      </c>
      <c r="R893" s="40"/>
      <c r="S893" s="40"/>
      <c r="T893" s="40"/>
      <c r="U893" s="40"/>
      <c r="V893" s="40"/>
      <c r="W893" s="40"/>
      <c r="X893" s="41" t="str">
        <f>_xlfn.LET(
    _xlpm.MacVal, _xlfn.XLOOKUP($A893, Output_Mac!$A:$A, Output_Mac!AB:AB, ""),
    _xlpm.MyAuditVal, _xlfn.XLOOKUP($A893, My_Audit!$A:$A, My_Audit!N:N, ""),
    _xlfn.TEXTJOIN(", ", TRUE, _xlpm.MyAuditVal, _xlpm.MacVal)
)</f>
        <v/>
      </c>
    </row>
    <row r="894" spans="1:24">
      <c r="A894" s="40" t="str">
        <f>_xlfn.TEXTJOIN("",TRUE,Input!$B$2,ROW(My_Audit!A893))</f>
        <v>X893</v>
      </c>
      <c r="B894" s="40" t="str">
        <f>_xlfn.TEXTJOIN("-",TRUE,"ITD",Input!$A$2,A894)</f>
        <v>ITD-X893</v>
      </c>
      <c r="C894" s="40" t="str" cm="1">
        <f t="array" ref="C894">IFERROR(_xlfn.LET(
_xlpm.CSVVal,_xlfn.XLOOKUP($A894,CSV!$A:$A,CSV!B:B,""),
_xlpm.MacVal,_xlfn.XLOOKUP($A894,Output_Mac!$A:$A,Output_Mac!B:B,""),
_xlpm.MyAuditVal,_xlfn.XLOOKUP($A894,My_Audit!$A:$A,My_Audit!B:B,""),
_xlfn.IFS(_xlpm.MyAuditVal&lt;&gt;"",UPPER(_xlpm.MyAuditVal),_xlpm.MacVal&lt;&gt;"",_xlpm.MacVal,_xlpm.CSVVal&lt;&gt;"",_xlpm.CSVVal
)),"")</f>
        <v/>
      </c>
      <c r="D894" s="40" t="str" cm="1">
        <f t="array" ref="D894">IFERROR(_xlfn.LET(
_xlpm.CSVVal,_xlfn.XLOOKUP($A894,CSV!$A:$A,CSV!D:D,""),
_xlpm.MacVal,_xlfn.XLOOKUP($A894,Output_Mac!$A:$A,Output_Mac!C:C,""),
_xlpm.MyAuditVal,_xlfn.XLOOKUP($A894,My_Audit!$A:$A,My_Audit!C:C,""),
_xlfn.IFS(_xlpm.MyAuditVal&lt;&gt;"",_xlpm.MyAuditVal,_xlpm.MacVal&lt;&gt;"",_xlpm.MacVal,_xlpm.CSVVal&lt;&gt;"",_xlpm.CSVVal
)),"")</f>
        <v/>
      </c>
      <c r="E894" s="40" t="str">
        <f>_xlfn.XLOOKUP(A894,My_Audit!A:A,My_Audit!D:D,"")</f>
        <v/>
      </c>
      <c r="F894" s="40" t="str" cm="1">
        <f t="array" ref="F894">IFERROR(_xlfn.LET(
_xlpm.CSVVal,_xlfn.XLOOKUP($A894,CSV!$A:$A,CSV!F:F,""),
_xlpm.MacVal,_xlfn.XLOOKUP($A894,Output_Mac!$A:$A,Output_Mac!E:E,""),
_xlpm.MyAuditVal,_xlfn.XLOOKUP($A894,My_Audit!$A:$A,My_Audit!E:E,""),
_xlfn.IFS(_xlpm.MyAuditVal&lt;&gt;"",_xlpm.MyAuditVal,_xlpm.MacVal&lt;&gt;"",_xlpm.MacVal,_xlpm.CSVVal&lt;&gt;"",_xlpm.CSVVal
)),"")</f>
        <v/>
      </c>
      <c r="G894" s="40" t="str" cm="1">
        <f t="array" ref="G894">IFERROR(_xlfn.LET(
_xlpm.CSVVal,_xlfn.XLOOKUP($A894,CSV!$A:$A,CSV!G:G,""),
_xlpm.MacVal,_xlfn.XLOOKUP($A894,Output_Mac!$A:$A,Output_Mac!F:F,""),
_xlpm.MyAuditVal,_xlfn.XLOOKUP($A894,My_Audit!$A:$A,My_Audit!F:F,""),
_xlfn.IFS(_xlpm.MyAuditVal&lt;&gt;"",_xlpm.MyAuditVal,_xlpm.MacVal&lt;&gt;"",_xlpm.MacVal,_xlpm.CSVVal&lt;&gt;"",PROPER(_xlpm.CSVVal)
)),"")</f>
        <v/>
      </c>
      <c r="H894" s="40" t="str" cm="1">
        <f t="array" ref="H894">IFERROR(_xlfn.LET(
_xlpm.CSVVal,_xlfn.XLOOKUP($A894,CSV!$A:$A,CSV!H:H,""),
_xlpm.MacVal,_xlfn.XLOOKUP($A894,Output_Mac!$A:$A,Output_Mac!H:H,""),
_xlpm.MyAuditVal,_xlfn.XLOOKUP($A894,My_Audit!$A:$A,My_Audit!G:G,""),
_xlfn.IFS(_xlpm.MyAuditVal&lt;&gt;"",_xlpm.MyAuditVal,_xlpm.MacVal&lt;&gt;"",_xlpm.MacVal,_xlpm.CSVVal&lt;&gt;"",_xlpm.CSVVal
)),"")</f>
        <v/>
      </c>
      <c r="I894" s="40" t="str">
        <f>_xlfn.XLOOKUP(A894,Output_Mac!A:A,Output_Mac!I:I,"")</f>
        <v/>
      </c>
      <c r="J894" s="40" t="str" cm="1">
        <f t="array" ref="J894">IFERROR(_xlfn.LET(
_xlpm.CSVVal,_xlfn.XLOOKUP($A894,CSV!$A:$A,CSV!I:I,""),
_xlpm.MacVal,_xlfn.XLOOKUP($A894,Output_Mac!$A:$A,Output_Mac!J:J,""),
_xlpm.MyAuditVal,_xlfn.XLOOKUP($A894,My_Audit!$A:$A,My_Audit!I:I,""),
_xlfn.IFS(_xlpm.MyAuditVal&lt;&gt;"",UPPER(_xlpm.MyAuditVal),_xlpm.MacVal&lt;&gt;"",_xlpm.MacVal,_xlpm.CSVVal&lt;&gt;"",_xlpm.CSVVal
)),"")</f>
        <v/>
      </c>
      <c r="K894" s="40" t="str" cm="1">
        <f t="array" ref="K894">IFERROR(_xlfn.LET(
_xlpm.CSVVal,_xlfn.XLOOKUP($A894,CSV!$A:$A,CSV!K:K,""),
_xlpm.MacVal,_xlfn.XLOOKUP($A894,Output_Mac!$A:$A,Output_Mac!K:K,""),
_xlpm.MyAuditVal,_xlfn.XLOOKUP($A894,My_Audit!$A:$A,My_Audit!J:J,""),
_xlfn.IFS(_xlpm.MyAuditVal&lt;&gt;"",UPPER(_xlpm.MyAuditVal),_xlpm.MacVal&lt;&gt;"",_xlpm.MacVal,_xlpm.CSVVal&lt;&gt;"",_xlpm.CSVVal
)),"")</f>
        <v/>
      </c>
      <c r="L894" s="40" t="str" cm="1">
        <f t="array" ref="L894">IFERROR(_xlfn.LET(
_xlpm.CSVVal,_xlfn.XLOOKUP($A894,CSV!$A:$A,CSV!P:P,""),
_xlpm.MacVal,_xlfn.XLOOKUP($A894,Output_Mac!$A:$A,Output_Mac!L:L,""),
_xlpm.MyAuditVal,_xlfn.XLOOKUP($A894,My_Audit!$A:$A,My_Audit!K:K,""),
_xlfn.IFS(_xlpm.MyAuditVal&lt;&gt;"",UPPER(_xlpm.MyAuditVal),_xlpm.MacVal&lt;&gt;"",_xlpm.MacVal,_xlpm.CSVVal&lt;&gt;"",_xlpm.CSVVal
)),"")</f>
        <v/>
      </c>
      <c r="M894" s="40" t="str" cm="1">
        <f t="array" ref="M894">IFERROR(_xlfn.LET(
_xlpm.CSVVal,_xlfn.XLOOKUP($A894,CSV!$A:$A,CSV!Q:Q,""),
_xlpm.MacVal,_xlfn.XLOOKUP($A894,Output_Mac!$A:$A,Output_Mac!M:M,""),
_xlpm.MyAuditVal,_xlfn.XLOOKUP($A894,My_Audit!$A:$A,My_Audit!L:L,""),
_xlfn.IFS(_xlpm.MyAuditVal&lt;&gt;"",UPPER(_xlpm.MyAuditVal),_xlpm.MacVal&lt;&gt;"",_xlpm.MacVal,_xlpm.CSVVal&lt;&gt;"",_xlpm.CSVVal
)),"")</f>
        <v/>
      </c>
      <c r="N894" s="40"/>
      <c r="O894" s="40" t="str">
        <f>_xlfn.LET(
    _xlpm.CSVVal, _xlfn.XLOOKUP($A894, CSV!$A:$A, CSV!AA:AA, ""),
    _xlpm.MacVal, _xlfn.XLOOKUP($A894, Output_Mac!$A:$A, Output_Mac!S:S, ""),
    _xlpm.MyAuditVal, _xlfn.XLOOKUP($A894, My_Audit!$A:$A, My_Audit!P:P, ""),
    _xlfn.TEXTJOIN(", ", TRUE, _xlpm.MyAuditVal, _xlpm.MacVal, _xlpm.CSVVal)
)</f>
        <v/>
      </c>
      <c r="P894" s="40" t="str" cm="1">
        <f t="array" ref="P894">IFERROR(_xlfn.LET(
_xlpm.CSVVal,_xlfn.XLOOKUP($A894,CSV!$A:$A,CSV!AB:AB,""),
_xlpm.MacVal,_xlfn.XLOOKUP($A894,Output_Mac!$A:$A,Output_Mac!T:T,""),
_xlpm.MyAuditVal,_xlfn.XLOOKUP($A894,My_Audit!$A:$A,My_Audit!Q:Q,""),
_xlfn.IFS(_xlpm.MyAuditVal&lt;&gt;"",UPPER(_xlpm.MyAuditVal),_xlpm.MacVal&lt;&gt;"",_xlpm.MacVal,_xlpm.CSVVal&lt;&gt;"",_xlpm.CSVVal
)),"No")</f>
        <v>No</v>
      </c>
      <c r="Q894" s="40" t="str" cm="1">
        <f t="array" ref="Q894">IFERROR(_xlfn.LET(
_xlpm.CSVVal,_xlfn.XLOOKUP($A894,CSV!$A:$A,CSV!AC:AC,""),
_xlpm.MacVal,_xlfn.XLOOKUP($A894,Output_Mac!$A:$A,Output_Mac!U:U,""),
_xlpm.MyAuditVal,_xlfn.XLOOKUP($A894,My_Audit!$A:$A,My_Audit!R:R,""),
_xlfn.IFS(_xlpm.MyAuditVal&lt;&gt;"",UPPER(_xlpm.MyAuditVal),_xlpm.MacVal&lt;&gt;"",_xlpm.MacVal,_xlpm.CSVVal&lt;&gt;"",_xlpm.CSVVal
)),"")</f>
        <v/>
      </c>
      <c r="R894" s="40"/>
      <c r="S894" s="40"/>
      <c r="T894" s="40"/>
      <c r="U894" s="40"/>
      <c r="V894" s="40"/>
      <c r="W894" s="40"/>
      <c r="X894" s="41" t="str">
        <f>_xlfn.LET(
    _xlpm.MacVal, _xlfn.XLOOKUP($A894, Output_Mac!$A:$A, Output_Mac!AB:AB, ""),
    _xlpm.MyAuditVal, _xlfn.XLOOKUP($A894, My_Audit!$A:$A, My_Audit!N:N, ""),
    _xlfn.TEXTJOIN(", ", TRUE, _xlpm.MyAuditVal, _xlpm.MacVal)
)</f>
        <v/>
      </c>
    </row>
    <row r="895" spans="1:24">
      <c r="A895" s="40" t="str">
        <f>_xlfn.TEXTJOIN("",TRUE,Input!$B$2,ROW(My_Audit!A894))</f>
        <v>X894</v>
      </c>
      <c r="B895" s="40" t="str">
        <f>_xlfn.TEXTJOIN("-",TRUE,"ITD",Input!$A$2,A895)</f>
        <v>ITD-X894</v>
      </c>
      <c r="C895" s="40" t="str" cm="1">
        <f t="array" ref="C895">IFERROR(_xlfn.LET(
_xlpm.CSVVal,_xlfn.XLOOKUP($A895,CSV!$A:$A,CSV!B:B,""),
_xlpm.MacVal,_xlfn.XLOOKUP($A895,Output_Mac!$A:$A,Output_Mac!B:B,""),
_xlpm.MyAuditVal,_xlfn.XLOOKUP($A895,My_Audit!$A:$A,My_Audit!B:B,""),
_xlfn.IFS(_xlpm.MyAuditVal&lt;&gt;"",UPPER(_xlpm.MyAuditVal),_xlpm.MacVal&lt;&gt;"",_xlpm.MacVal,_xlpm.CSVVal&lt;&gt;"",_xlpm.CSVVal
)),"")</f>
        <v/>
      </c>
      <c r="D895" s="40" t="str" cm="1">
        <f t="array" ref="D895">IFERROR(_xlfn.LET(
_xlpm.CSVVal,_xlfn.XLOOKUP($A895,CSV!$A:$A,CSV!D:D,""),
_xlpm.MacVal,_xlfn.XLOOKUP($A895,Output_Mac!$A:$A,Output_Mac!C:C,""),
_xlpm.MyAuditVal,_xlfn.XLOOKUP($A895,My_Audit!$A:$A,My_Audit!C:C,""),
_xlfn.IFS(_xlpm.MyAuditVal&lt;&gt;"",_xlpm.MyAuditVal,_xlpm.MacVal&lt;&gt;"",_xlpm.MacVal,_xlpm.CSVVal&lt;&gt;"",_xlpm.CSVVal
)),"")</f>
        <v/>
      </c>
      <c r="E895" s="40" t="str">
        <f>_xlfn.XLOOKUP(A895,My_Audit!A:A,My_Audit!D:D,"")</f>
        <v/>
      </c>
      <c r="F895" s="40" t="str" cm="1">
        <f t="array" ref="F895">IFERROR(_xlfn.LET(
_xlpm.CSVVal,_xlfn.XLOOKUP($A895,CSV!$A:$A,CSV!F:F,""),
_xlpm.MacVal,_xlfn.XLOOKUP($A895,Output_Mac!$A:$A,Output_Mac!E:E,""),
_xlpm.MyAuditVal,_xlfn.XLOOKUP($A895,My_Audit!$A:$A,My_Audit!E:E,""),
_xlfn.IFS(_xlpm.MyAuditVal&lt;&gt;"",_xlpm.MyAuditVal,_xlpm.MacVal&lt;&gt;"",_xlpm.MacVal,_xlpm.CSVVal&lt;&gt;"",_xlpm.CSVVal
)),"")</f>
        <v/>
      </c>
      <c r="G895" s="40" t="str" cm="1">
        <f t="array" ref="G895">IFERROR(_xlfn.LET(
_xlpm.CSVVal,_xlfn.XLOOKUP($A895,CSV!$A:$A,CSV!G:G,""),
_xlpm.MacVal,_xlfn.XLOOKUP($A895,Output_Mac!$A:$A,Output_Mac!F:F,""),
_xlpm.MyAuditVal,_xlfn.XLOOKUP($A895,My_Audit!$A:$A,My_Audit!F:F,""),
_xlfn.IFS(_xlpm.MyAuditVal&lt;&gt;"",_xlpm.MyAuditVal,_xlpm.MacVal&lt;&gt;"",_xlpm.MacVal,_xlpm.CSVVal&lt;&gt;"",PROPER(_xlpm.CSVVal)
)),"")</f>
        <v/>
      </c>
      <c r="H895" s="40" t="str" cm="1">
        <f t="array" ref="H895">IFERROR(_xlfn.LET(
_xlpm.CSVVal,_xlfn.XLOOKUP($A895,CSV!$A:$A,CSV!H:H,""),
_xlpm.MacVal,_xlfn.XLOOKUP($A895,Output_Mac!$A:$A,Output_Mac!H:H,""),
_xlpm.MyAuditVal,_xlfn.XLOOKUP($A895,My_Audit!$A:$A,My_Audit!G:G,""),
_xlfn.IFS(_xlpm.MyAuditVal&lt;&gt;"",_xlpm.MyAuditVal,_xlpm.MacVal&lt;&gt;"",_xlpm.MacVal,_xlpm.CSVVal&lt;&gt;"",_xlpm.CSVVal
)),"")</f>
        <v/>
      </c>
      <c r="I895" s="40" t="str">
        <f>_xlfn.XLOOKUP(A895,Output_Mac!A:A,Output_Mac!I:I,"")</f>
        <v/>
      </c>
      <c r="J895" s="40" t="str" cm="1">
        <f t="array" ref="J895">IFERROR(_xlfn.LET(
_xlpm.CSVVal,_xlfn.XLOOKUP($A895,CSV!$A:$A,CSV!I:I,""),
_xlpm.MacVal,_xlfn.XLOOKUP($A895,Output_Mac!$A:$A,Output_Mac!J:J,""),
_xlpm.MyAuditVal,_xlfn.XLOOKUP($A895,My_Audit!$A:$A,My_Audit!I:I,""),
_xlfn.IFS(_xlpm.MyAuditVal&lt;&gt;"",UPPER(_xlpm.MyAuditVal),_xlpm.MacVal&lt;&gt;"",_xlpm.MacVal,_xlpm.CSVVal&lt;&gt;"",_xlpm.CSVVal
)),"")</f>
        <v/>
      </c>
      <c r="K895" s="40" t="str" cm="1">
        <f t="array" ref="K895">IFERROR(_xlfn.LET(
_xlpm.CSVVal,_xlfn.XLOOKUP($A895,CSV!$A:$A,CSV!K:K,""),
_xlpm.MacVal,_xlfn.XLOOKUP($A895,Output_Mac!$A:$A,Output_Mac!K:K,""),
_xlpm.MyAuditVal,_xlfn.XLOOKUP($A895,My_Audit!$A:$A,My_Audit!J:J,""),
_xlfn.IFS(_xlpm.MyAuditVal&lt;&gt;"",UPPER(_xlpm.MyAuditVal),_xlpm.MacVal&lt;&gt;"",_xlpm.MacVal,_xlpm.CSVVal&lt;&gt;"",_xlpm.CSVVal
)),"")</f>
        <v/>
      </c>
      <c r="L895" s="40" t="str" cm="1">
        <f t="array" ref="L895">IFERROR(_xlfn.LET(
_xlpm.CSVVal,_xlfn.XLOOKUP($A895,CSV!$A:$A,CSV!P:P,""),
_xlpm.MacVal,_xlfn.XLOOKUP($A895,Output_Mac!$A:$A,Output_Mac!L:L,""),
_xlpm.MyAuditVal,_xlfn.XLOOKUP($A895,My_Audit!$A:$A,My_Audit!K:K,""),
_xlfn.IFS(_xlpm.MyAuditVal&lt;&gt;"",UPPER(_xlpm.MyAuditVal),_xlpm.MacVal&lt;&gt;"",_xlpm.MacVal,_xlpm.CSVVal&lt;&gt;"",_xlpm.CSVVal
)),"")</f>
        <v/>
      </c>
      <c r="M895" s="40" t="str" cm="1">
        <f t="array" ref="M895">IFERROR(_xlfn.LET(
_xlpm.CSVVal,_xlfn.XLOOKUP($A895,CSV!$A:$A,CSV!Q:Q,""),
_xlpm.MacVal,_xlfn.XLOOKUP($A895,Output_Mac!$A:$A,Output_Mac!M:M,""),
_xlpm.MyAuditVal,_xlfn.XLOOKUP($A895,My_Audit!$A:$A,My_Audit!L:L,""),
_xlfn.IFS(_xlpm.MyAuditVal&lt;&gt;"",UPPER(_xlpm.MyAuditVal),_xlpm.MacVal&lt;&gt;"",_xlpm.MacVal,_xlpm.CSVVal&lt;&gt;"",_xlpm.CSVVal
)),"")</f>
        <v/>
      </c>
      <c r="N895" s="40"/>
      <c r="O895" s="40" t="str">
        <f>_xlfn.LET(
    _xlpm.CSVVal, _xlfn.XLOOKUP($A895, CSV!$A:$A, CSV!AA:AA, ""),
    _xlpm.MacVal, _xlfn.XLOOKUP($A895, Output_Mac!$A:$A, Output_Mac!S:S, ""),
    _xlpm.MyAuditVal, _xlfn.XLOOKUP($A895, My_Audit!$A:$A, My_Audit!P:P, ""),
    _xlfn.TEXTJOIN(", ", TRUE, _xlpm.MyAuditVal, _xlpm.MacVal, _xlpm.CSVVal)
)</f>
        <v/>
      </c>
      <c r="P895" s="40" t="str" cm="1">
        <f t="array" ref="P895">IFERROR(_xlfn.LET(
_xlpm.CSVVal,_xlfn.XLOOKUP($A895,CSV!$A:$A,CSV!AB:AB,""),
_xlpm.MacVal,_xlfn.XLOOKUP($A895,Output_Mac!$A:$A,Output_Mac!T:T,""),
_xlpm.MyAuditVal,_xlfn.XLOOKUP($A895,My_Audit!$A:$A,My_Audit!Q:Q,""),
_xlfn.IFS(_xlpm.MyAuditVal&lt;&gt;"",UPPER(_xlpm.MyAuditVal),_xlpm.MacVal&lt;&gt;"",_xlpm.MacVal,_xlpm.CSVVal&lt;&gt;"",_xlpm.CSVVal
)),"No")</f>
        <v>No</v>
      </c>
      <c r="Q895" s="40" t="str" cm="1">
        <f t="array" ref="Q895">IFERROR(_xlfn.LET(
_xlpm.CSVVal,_xlfn.XLOOKUP($A895,CSV!$A:$A,CSV!AC:AC,""),
_xlpm.MacVal,_xlfn.XLOOKUP($A895,Output_Mac!$A:$A,Output_Mac!U:U,""),
_xlpm.MyAuditVal,_xlfn.XLOOKUP($A895,My_Audit!$A:$A,My_Audit!R:R,""),
_xlfn.IFS(_xlpm.MyAuditVal&lt;&gt;"",UPPER(_xlpm.MyAuditVal),_xlpm.MacVal&lt;&gt;"",_xlpm.MacVal,_xlpm.CSVVal&lt;&gt;"",_xlpm.CSVVal
)),"")</f>
        <v/>
      </c>
      <c r="R895" s="40"/>
      <c r="S895" s="40"/>
      <c r="T895" s="40"/>
      <c r="U895" s="40"/>
      <c r="V895" s="40"/>
      <c r="W895" s="40"/>
      <c r="X895" s="41" t="str">
        <f>_xlfn.LET(
    _xlpm.MacVal, _xlfn.XLOOKUP($A895, Output_Mac!$A:$A, Output_Mac!AB:AB, ""),
    _xlpm.MyAuditVal, _xlfn.XLOOKUP($A895, My_Audit!$A:$A, My_Audit!N:N, ""),
    _xlfn.TEXTJOIN(", ", TRUE, _xlpm.MyAuditVal, _xlpm.MacVal)
)</f>
        <v/>
      </c>
    </row>
    <row r="896" spans="1:24">
      <c r="A896" s="40" t="str">
        <f>_xlfn.TEXTJOIN("",TRUE,Input!$B$2,ROW(My_Audit!A895))</f>
        <v>X895</v>
      </c>
      <c r="B896" s="40" t="str">
        <f>_xlfn.TEXTJOIN("-",TRUE,"ITD",Input!$A$2,A896)</f>
        <v>ITD-X895</v>
      </c>
      <c r="C896" s="40" t="str" cm="1">
        <f t="array" ref="C896">IFERROR(_xlfn.LET(
_xlpm.CSVVal,_xlfn.XLOOKUP($A896,CSV!$A:$A,CSV!B:B,""),
_xlpm.MacVal,_xlfn.XLOOKUP($A896,Output_Mac!$A:$A,Output_Mac!B:B,""),
_xlpm.MyAuditVal,_xlfn.XLOOKUP($A896,My_Audit!$A:$A,My_Audit!B:B,""),
_xlfn.IFS(_xlpm.MyAuditVal&lt;&gt;"",UPPER(_xlpm.MyAuditVal),_xlpm.MacVal&lt;&gt;"",_xlpm.MacVal,_xlpm.CSVVal&lt;&gt;"",_xlpm.CSVVal
)),"")</f>
        <v/>
      </c>
      <c r="D896" s="40" t="str" cm="1">
        <f t="array" ref="D896">IFERROR(_xlfn.LET(
_xlpm.CSVVal,_xlfn.XLOOKUP($A896,CSV!$A:$A,CSV!D:D,""),
_xlpm.MacVal,_xlfn.XLOOKUP($A896,Output_Mac!$A:$A,Output_Mac!C:C,""),
_xlpm.MyAuditVal,_xlfn.XLOOKUP($A896,My_Audit!$A:$A,My_Audit!C:C,""),
_xlfn.IFS(_xlpm.MyAuditVal&lt;&gt;"",_xlpm.MyAuditVal,_xlpm.MacVal&lt;&gt;"",_xlpm.MacVal,_xlpm.CSVVal&lt;&gt;"",_xlpm.CSVVal
)),"")</f>
        <v/>
      </c>
      <c r="E896" s="40" t="str">
        <f>_xlfn.XLOOKUP(A896,My_Audit!A:A,My_Audit!D:D,"")</f>
        <v/>
      </c>
      <c r="F896" s="40" t="str" cm="1">
        <f t="array" ref="F896">IFERROR(_xlfn.LET(
_xlpm.CSVVal,_xlfn.XLOOKUP($A896,CSV!$A:$A,CSV!F:F,""),
_xlpm.MacVal,_xlfn.XLOOKUP($A896,Output_Mac!$A:$A,Output_Mac!E:E,""),
_xlpm.MyAuditVal,_xlfn.XLOOKUP($A896,My_Audit!$A:$A,My_Audit!E:E,""),
_xlfn.IFS(_xlpm.MyAuditVal&lt;&gt;"",_xlpm.MyAuditVal,_xlpm.MacVal&lt;&gt;"",_xlpm.MacVal,_xlpm.CSVVal&lt;&gt;"",_xlpm.CSVVal
)),"")</f>
        <v/>
      </c>
      <c r="G896" s="40" t="str" cm="1">
        <f t="array" ref="G896">IFERROR(_xlfn.LET(
_xlpm.CSVVal,_xlfn.XLOOKUP($A896,CSV!$A:$A,CSV!G:G,""),
_xlpm.MacVal,_xlfn.XLOOKUP($A896,Output_Mac!$A:$A,Output_Mac!F:F,""),
_xlpm.MyAuditVal,_xlfn.XLOOKUP($A896,My_Audit!$A:$A,My_Audit!F:F,""),
_xlfn.IFS(_xlpm.MyAuditVal&lt;&gt;"",_xlpm.MyAuditVal,_xlpm.MacVal&lt;&gt;"",_xlpm.MacVal,_xlpm.CSVVal&lt;&gt;"",PROPER(_xlpm.CSVVal)
)),"")</f>
        <v/>
      </c>
      <c r="H896" s="40" t="str" cm="1">
        <f t="array" ref="H896">IFERROR(_xlfn.LET(
_xlpm.CSVVal,_xlfn.XLOOKUP($A896,CSV!$A:$A,CSV!H:H,""),
_xlpm.MacVal,_xlfn.XLOOKUP($A896,Output_Mac!$A:$A,Output_Mac!H:H,""),
_xlpm.MyAuditVal,_xlfn.XLOOKUP($A896,My_Audit!$A:$A,My_Audit!G:G,""),
_xlfn.IFS(_xlpm.MyAuditVal&lt;&gt;"",_xlpm.MyAuditVal,_xlpm.MacVal&lt;&gt;"",_xlpm.MacVal,_xlpm.CSVVal&lt;&gt;"",_xlpm.CSVVal
)),"")</f>
        <v/>
      </c>
      <c r="I896" s="40" t="str">
        <f>_xlfn.XLOOKUP(A896,Output_Mac!A:A,Output_Mac!I:I,"")</f>
        <v/>
      </c>
      <c r="J896" s="40" t="str" cm="1">
        <f t="array" ref="J896">IFERROR(_xlfn.LET(
_xlpm.CSVVal,_xlfn.XLOOKUP($A896,CSV!$A:$A,CSV!I:I,""),
_xlpm.MacVal,_xlfn.XLOOKUP($A896,Output_Mac!$A:$A,Output_Mac!J:J,""),
_xlpm.MyAuditVal,_xlfn.XLOOKUP($A896,My_Audit!$A:$A,My_Audit!I:I,""),
_xlfn.IFS(_xlpm.MyAuditVal&lt;&gt;"",UPPER(_xlpm.MyAuditVal),_xlpm.MacVal&lt;&gt;"",_xlpm.MacVal,_xlpm.CSVVal&lt;&gt;"",_xlpm.CSVVal
)),"")</f>
        <v/>
      </c>
      <c r="K896" s="40" t="str" cm="1">
        <f t="array" ref="K896">IFERROR(_xlfn.LET(
_xlpm.CSVVal,_xlfn.XLOOKUP($A896,CSV!$A:$A,CSV!K:K,""),
_xlpm.MacVal,_xlfn.XLOOKUP($A896,Output_Mac!$A:$A,Output_Mac!K:K,""),
_xlpm.MyAuditVal,_xlfn.XLOOKUP($A896,My_Audit!$A:$A,My_Audit!J:J,""),
_xlfn.IFS(_xlpm.MyAuditVal&lt;&gt;"",UPPER(_xlpm.MyAuditVal),_xlpm.MacVal&lt;&gt;"",_xlpm.MacVal,_xlpm.CSVVal&lt;&gt;"",_xlpm.CSVVal
)),"")</f>
        <v/>
      </c>
      <c r="L896" s="40" t="str" cm="1">
        <f t="array" ref="L896">IFERROR(_xlfn.LET(
_xlpm.CSVVal,_xlfn.XLOOKUP($A896,CSV!$A:$A,CSV!P:P,""),
_xlpm.MacVal,_xlfn.XLOOKUP($A896,Output_Mac!$A:$A,Output_Mac!L:L,""),
_xlpm.MyAuditVal,_xlfn.XLOOKUP($A896,My_Audit!$A:$A,My_Audit!K:K,""),
_xlfn.IFS(_xlpm.MyAuditVal&lt;&gt;"",UPPER(_xlpm.MyAuditVal),_xlpm.MacVal&lt;&gt;"",_xlpm.MacVal,_xlpm.CSVVal&lt;&gt;"",_xlpm.CSVVal
)),"")</f>
        <v/>
      </c>
      <c r="M896" s="40" t="str" cm="1">
        <f t="array" ref="M896">IFERROR(_xlfn.LET(
_xlpm.CSVVal,_xlfn.XLOOKUP($A896,CSV!$A:$A,CSV!Q:Q,""),
_xlpm.MacVal,_xlfn.XLOOKUP($A896,Output_Mac!$A:$A,Output_Mac!M:M,""),
_xlpm.MyAuditVal,_xlfn.XLOOKUP($A896,My_Audit!$A:$A,My_Audit!L:L,""),
_xlfn.IFS(_xlpm.MyAuditVal&lt;&gt;"",UPPER(_xlpm.MyAuditVal),_xlpm.MacVal&lt;&gt;"",_xlpm.MacVal,_xlpm.CSVVal&lt;&gt;"",_xlpm.CSVVal
)),"")</f>
        <v/>
      </c>
      <c r="N896" s="40"/>
      <c r="O896" s="40" t="str">
        <f>_xlfn.LET(
    _xlpm.CSVVal, _xlfn.XLOOKUP($A896, CSV!$A:$A, CSV!AA:AA, ""),
    _xlpm.MacVal, _xlfn.XLOOKUP($A896, Output_Mac!$A:$A, Output_Mac!S:S, ""),
    _xlpm.MyAuditVal, _xlfn.XLOOKUP($A896, My_Audit!$A:$A, My_Audit!P:P, ""),
    _xlfn.TEXTJOIN(", ", TRUE, _xlpm.MyAuditVal, _xlpm.MacVal, _xlpm.CSVVal)
)</f>
        <v/>
      </c>
      <c r="P896" s="40" t="str" cm="1">
        <f t="array" ref="P896">IFERROR(_xlfn.LET(
_xlpm.CSVVal,_xlfn.XLOOKUP($A896,CSV!$A:$A,CSV!AB:AB,""),
_xlpm.MacVal,_xlfn.XLOOKUP($A896,Output_Mac!$A:$A,Output_Mac!T:T,""),
_xlpm.MyAuditVal,_xlfn.XLOOKUP($A896,My_Audit!$A:$A,My_Audit!Q:Q,""),
_xlfn.IFS(_xlpm.MyAuditVal&lt;&gt;"",UPPER(_xlpm.MyAuditVal),_xlpm.MacVal&lt;&gt;"",_xlpm.MacVal,_xlpm.CSVVal&lt;&gt;"",_xlpm.CSVVal
)),"No")</f>
        <v>No</v>
      </c>
      <c r="Q896" s="40" t="str" cm="1">
        <f t="array" ref="Q896">IFERROR(_xlfn.LET(
_xlpm.CSVVal,_xlfn.XLOOKUP($A896,CSV!$A:$A,CSV!AC:AC,""),
_xlpm.MacVal,_xlfn.XLOOKUP($A896,Output_Mac!$A:$A,Output_Mac!U:U,""),
_xlpm.MyAuditVal,_xlfn.XLOOKUP($A896,My_Audit!$A:$A,My_Audit!R:R,""),
_xlfn.IFS(_xlpm.MyAuditVal&lt;&gt;"",UPPER(_xlpm.MyAuditVal),_xlpm.MacVal&lt;&gt;"",_xlpm.MacVal,_xlpm.CSVVal&lt;&gt;"",_xlpm.CSVVal
)),"")</f>
        <v/>
      </c>
      <c r="R896" s="40"/>
      <c r="S896" s="40"/>
      <c r="T896" s="40"/>
      <c r="U896" s="40"/>
      <c r="V896" s="40"/>
      <c r="W896" s="40"/>
      <c r="X896" s="41" t="str">
        <f>_xlfn.LET(
    _xlpm.MacVal, _xlfn.XLOOKUP($A896, Output_Mac!$A:$A, Output_Mac!AB:AB, ""),
    _xlpm.MyAuditVal, _xlfn.XLOOKUP($A896, My_Audit!$A:$A, My_Audit!N:N, ""),
    _xlfn.TEXTJOIN(", ", TRUE, _xlpm.MyAuditVal, _xlpm.MacVal)
)</f>
        <v/>
      </c>
    </row>
    <row r="897" spans="1:24">
      <c r="A897" s="40" t="str">
        <f>_xlfn.TEXTJOIN("",TRUE,Input!$B$2,ROW(My_Audit!A896))</f>
        <v>X896</v>
      </c>
      <c r="B897" s="40" t="str">
        <f>_xlfn.TEXTJOIN("-",TRUE,"ITD",Input!$A$2,A897)</f>
        <v>ITD-X896</v>
      </c>
      <c r="C897" s="40" t="str" cm="1">
        <f t="array" ref="C897">IFERROR(_xlfn.LET(
_xlpm.CSVVal,_xlfn.XLOOKUP($A897,CSV!$A:$A,CSV!B:B,""),
_xlpm.MacVal,_xlfn.XLOOKUP($A897,Output_Mac!$A:$A,Output_Mac!B:B,""),
_xlpm.MyAuditVal,_xlfn.XLOOKUP($A897,My_Audit!$A:$A,My_Audit!B:B,""),
_xlfn.IFS(_xlpm.MyAuditVal&lt;&gt;"",UPPER(_xlpm.MyAuditVal),_xlpm.MacVal&lt;&gt;"",_xlpm.MacVal,_xlpm.CSVVal&lt;&gt;"",_xlpm.CSVVal
)),"")</f>
        <v/>
      </c>
      <c r="D897" s="40" t="str" cm="1">
        <f t="array" ref="D897">IFERROR(_xlfn.LET(
_xlpm.CSVVal,_xlfn.XLOOKUP($A897,CSV!$A:$A,CSV!D:D,""),
_xlpm.MacVal,_xlfn.XLOOKUP($A897,Output_Mac!$A:$A,Output_Mac!C:C,""),
_xlpm.MyAuditVal,_xlfn.XLOOKUP($A897,My_Audit!$A:$A,My_Audit!C:C,""),
_xlfn.IFS(_xlpm.MyAuditVal&lt;&gt;"",_xlpm.MyAuditVal,_xlpm.MacVal&lt;&gt;"",_xlpm.MacVal,_xlpm.CSVVal&lt;&gt;"",_xlpm.CSVVal
)),"")</f>
        <v/>
      </c>
      <c r="E897" s="40" t="str">
        <f>_xlfn.XLOOKUP(A897,My_Audit!A:A,My_Audit!D:D,"")</f>
        <v/>
      </c>
      <c r="F897" s="40" t="str" cm="1">
        <f t="array" ref="F897">IFERROR(_xlfn.LET(
_xlpm.CSVVal,_xlfn.XLOOKUP($A897,CSV!$A:$A,CSV!F:F,""),
_xlpm.MacVal,_xlfn.XLOOKUP($A897,Output_Mac!$A:$A,Output_Mac!E:E,""),
_xlpm.MyAuditVal,_xlfn.XLOOKUP($A897,My_Audit!$A:$A,My_Audit!E:E,""),
_xlfn.IFS(_xlpm.MyAuditVal&lt;&gt;"",_xlpm.MyAuditVal,_xlpm.MacVal&lt;&gt;"",_xlpm.MacVal,_xlpm.CSVVal&lt;&gt;"",_xlpm.CSVVal
)),"")</f>
        <v/>
      </c>
      <c r="G897" s="40" t="str" cm="1">
        <f t="array" ref="G897">IFERROR(_xlfn.LET(
_xlpm.CSVVal,_xlfn.XLOOKUP($A897,CSV!$A:$A,CSV!G:G,""),
_xlpm.MacVal,_xlfn.XLOOKUP($A897,Output_Mac!$A:$A,Output_Mac!F:F,""),
_xlpm.MyAuditVal,_xlfn.XLOOKUP($A897,My_Audit!$A:$A,My_Audit!F:F,""),
_xlfn.IFS(_xlpm.MyAuditVal&lt;&gt;"",_xlpm.MyAuditVal,_xlpm.MacVal&lt;&gt;"",_xlpm.MacVal,_xlpm.CSVVal&lt;&gt;"",PROPER(_xlpm.CSVVal)
)),"")</f>
        <v/>
      </c>
      <c r="H897" s="40" t="str" cm="1">
        <f t="array" ref="H897">IFERROR(_xlfn.LET(
_xlpm.CSVVal,_xlfn.XLOOKUP($A897,CSV!$A:$A,CSV!H:H,""),
_xlpm.MacVal,_xlfn.XLOOKUP($A897,Output_Mac!$A:$A,Output_Mac!H:H,""),
_xlpm.MyAuditVal,_xlfn.XLOOKUP($A897,My_Audit!$A:$A,My_Audit!G:G,""),
_xlfn.IFS(_xlpm.MyAuditVal&lt;&gt;"",_xlpm.MyAuditVal,_xlpm.MacVal&lt;&gt;"",_xlpm.MacVal,_xlpm.CSVVal&lt;&gt;"",_xlpm.CSVVal
)),"")</f>
        <v/>
      </c>
      <c r="I897" s="40" t="str">
        <f>_xlfn.XLOOKUP(A897,Output_Mac!A:A,Output_Mac!I:I,"")</f>
        <v/>
      </c>
      <c r="J897" s="40" t="str" cm="1">
        <f t="array" ref="J897">IFERROR(_xlfn.LET(
_xlpm.CSVVal,_xlfn.XLOOKUP($A897,CSV!$A:$A,CSV!I:I,""),
_xlpm.MacVal,_xlfn.XLOOKUP($A897,Output_Mac!$A:$A,Output_Mac!J:J,""),
_xlpm.MyAuditVal,_xlfn.XLOOKUP($A897,My_Audit!$A:$A,My_Audit!I:I,""),
_xlfn.IFS(_xlpm.MyAuditVal&lt;&gt;"",UPPER(_xlpm.MyAuditVal),_xlpm.MacVal&lt;&gt;"",_xlpm.MacVal,_xlpm.CSVVal&lt;&gt;"",_xlpm.CSVVal
)),"")</f>
        <v/>
      </c>
      <c r="K897" s="40" t="str" cm="1">
        <f t="array" ref="K897">IFERROR(_xlfn.LET(
_xlpm.CSVVal,_xlfn.XLOOKUP($A897,CSV!$A:$A,CSV!K:K,""),
_xlpm.MacVal,_xlfn.XLOOKUP($A897,Output_Mac!$A:$A,Output_Mac!K:K,""),
_xlpm.MyAuditVal,_xlfn.XLOOKUP($A897,My_Audit!$A:$A,My_Audit!J:J,""),
_xlfn.IFS(_xlpm.MyAuditVal&lt;&gt;"",UPPER(_xlpm.MyAuditVal),_xlpm.MacVal&lt;&gt;"",_xlpm.MacVal,_xlpm.CSVVal&lt;&gt;"",_xlpm.CSVVal
)),"")</f>
        <v/>
      </c>
      <c r="L897" s="40" t="str" cm="1">
        <f t="array" ref="L897">IFERROR(_xlfn.LET(
_xlpm.CSVVal,_xlfn.XLOOKUP($A897,CSV!$A:$A,CSV!P:P,""),
_xlpm.MacVal,_xlfn.XLOOKUP($A897,Output_Mac!$A:$A,Output_Mac!L:L,""),
_xlpm.MyAuditVal,_xlfn.XLOOKUP($A897,My_Audit!$A:$A,My_Audit!K:K,""),
_xlfn.IFS(_xlpm.MyAuditVal&lt;&gt;"",UPPER(_xlpm.MyAuditVal),_xlpm.MacVal&lt;&gt;"",_xlpm.MacVal,_xlpm.CSVVal&lt;&gt;"",_xlpm.CSVVal
)),"")</f>
        <v/>
      </c>
      <c r="M897" s="40" t="str" cm="1">
        <f t="array" ref="M897">IFERROR(_xlfn.LET(
_xlpm.CSVVal,_xlfn.XLOOKUP($A897,CSV!$A:$A,CSV!Q:Q,""),
_xlpm.MacVal,_xlfn.XLOOKUP($A897,Output_Mac!$A:$A,Output_Mac!M:M,""),
_xlpm.MyAuditVal,_xlfn.XLOOKUP($A897,My_Audit!$A:$A,My_Audit!L:L,""),
_xlfn.IFS(_xlpm.MyAuditVal&lt;&gt;"",UPPER(_xlpm.MyAuditVal),_xlpm.MacVal&lt;&gt;"",_xlpm.MacVal,_xlpm.CSVVal&lt;&gt;"",_xlpm.CSVVal
)),"")</f>
        <v/>
      </c>
      <c r="N897" s="40"/>
      <c r="O897" s="40" t="str">
        <f>_xlfn.LET(
    _xlpm.CSVVal, _xlfn.XLOOKUP($A897, CSV!$A:$A, CSV!AA:AA, ""),
    _xlpm.MacVal, _xlfn.XLOOKUP($A897, Output_Mac!$A:$A, Output_Mac!S:S, ""),
    _xlpm.MyAuditVal, _xlfn.XLOOKUP($A897, My_Audit!$A:$A, My_Audit!P:P, ""),
    _xlfn.TEXTJOIN(", ", TRUE, _xlpm.MyAuditVal, _xlpm.MacVal, _xlpm.CSVVal)
)</f>
        <v/>
      </c>
      <c r="P897" s="40" t="str" cm="1">
        <f t="array" ref="P897">IFERROR(_xlfn.LET(
_xlpm.CSVVal,_xlfn.XLOOKUP($A897,CSV!$A:$A,CSV!AB:AB,""),
_xlpm.MacVal,_xlfn.XLOOKUP($A897,Output_Mac!$A:$A,Output_Mac!T:T,""),
_xlpm.MyAuditVal,_xlfn.XLOOKUP($A897,My_Audit!$A:$A,My_Audit!Q:Q,""),
_xlfn.IFS(_xlpm.MyAuditVal&lt;&gt;"",UPPER(_xlpm.MyAuditVal),_xlpm.MacVal&lt;&gt;"",_xlpm.MacVal,_xlpm.CSVVal&lt;&gt;"",_xlpm.CSVVal
)),"No")</f>
        <v>No</v>
      </c>
      <c r="Q897" s="40" t="str" cm="1">
        <f t="array" ref="Q897">IFERROR(_xlfn.LET(
_xlpm.CSVVal,_xlfn.XLOOKUP($A897,CSV!$A:$A,CSV!AC:AC,""),
_xlpm.MacVal,_xlfn.XLOOKUP($A897,Output_Mac!$A:$A,Output_Mac!U:U,""),
_xlpm.MyAuditVal,_xlfn.XLOOKUP($A897,My_Audit!$A:$A,My_Audit!R:R,""),
_xlfn.IFS(_xlpm.MyAuditVal&lt;&gt;"",UPPER(_xlpm.MyAuditVal),_xlpm.MacVal&lt;&gt;"",_xlpm.MacVal,_xlpm.CSVVal&lt;&gt;"",_xlpm.CSVVal
)),"")</f>
        <v/>
      </c>
      <c r="R897" s="40"/>
      <c r="S897" s="40"/>
      <c r="T897" s="40"/>
      <c r="U897" s="40"/>
      <c r="V897" s="40"/>
      <c r="W897" s="40"/>
      <c r="X897" s="41" t="str">
        <f>_xlfn.LET(
    _xlpm.MacVal, _xlfn.XLOOKUP($A897, Output_Mac!$A:$A, Output_Mac!AB:AB, ""),
    _xlpm.MyAuditVal, _xlfn.XLOOKUP($A897, My_Audit!$A:$A, My_Audit!N:N, ""),
    _xlfn.TEXTJOIN(", ", TRUE, _xlpm.MyAuditVal, _xlpm.MacVal)
)</f>
        <v/>
      </c>
    </row>
    <row r="898" spans="1:24">
      <c r="A898" s="40" t="str">
        <f>_xlfn.TEXTJOIN("",TRUE,Input!$B$2,ROW(My_Audit!A897))</f>
        <v>X897</v>
      </c>
      <c r="B898" s="40" t="str">
        <f>_xlfn.TEXTJOIN("-",TRUE,"ITD",Input!$A$2,A898)</f>
        <v>ITD-X897</v>
      </c>
      <c r="C898" s="40" t="str" cm="1">
        <f t="array" ref="C898">IFERROR(_xlfn.LET(
_xlpm.CSVVal,_xlfn.XLOOKUP($A898,CSV!$A:$A,CSV!B:B,""),
_xlpm.MacVal,_xlfn.XLOOKUP($A898,Output_Mac!$A:$A,Output_Mac!B:B,""),
_xlpm.MyAuditVal,_xlfn.XLOOKUP($A898,My_Audit!$A:$A,My_Audit!B:B,""),
_xlfn.IFS(_xlpm.MyAuditVal&lt;&gt;"",UPPER(_xlpm.MyAuditVal),_xlpm.MacVal&lt;&gt;"",_xlpm.MacVal,_xlpm.CSVVal&lt;&gt;"",_xlpm.CSVVal
)),"")</f>
        <v/>
      </c>
      <c r="D898" s="40" t="str" cm="1">
        <f t="array" ref="D898">IFERROR(_xlfn.LET(
_xlpm.CSVVal,_xlfn.XLOOKUP($A898,CSV!$A:$A,CSV!D:D,""),
_xlpm.MacVal,_xlfn.XLOOKUP($A898,Output_Mac!$A:$A,Output_Mac!C:C,""),
_xlpm.MyAuditVal,_xlfn.XLOOKUP($A898,My_Audit!$A:$A,My_Audit!C:C,""),
_xlfn.IFS(_xlpm.MyAuditVal&lt;&gt;"",_xlpm.MyAuditVal,_xlpm.MacVal&lt;&gt;"",_xlpm.MacVal,_xlpm.CSVVal&lt;&gt;"",_xlpm.CSVVal
)),"")</f>
        <v/>
      </c>
      <c r="E898" s="40" t="str">
        <f>_xlfn.XLOOKUP(A898,My_Audit!A:A,My_Audit!D:D,"")</f>
        <v/>
      </c>
      <c r="F898" s="40" t="str" cm="1">
        <f t="array" ref="F898">IFERROR(_xlfn.LET(
_xlpm.CSVVal,_xlfn.XLOOKUP($A898,CSV!$A:$A,CSV!F:F,""),
_xlpm.MacVal,_xlfn.XLOOKUP($A898,Output_Mac!$A:$A,Output_Mac!E:E,""),
_xlpm.MyAuditVal,_xlfn.XLOOKUP($A898,My_Audit!$A:$A,My_Audit!E:E,""),
_xlfn.IFS(_xlpm.MyAuditVal&lt;&gt;"",_xlpm.MyAuditVal,_xlpm.MacVal&lt;&gt;"",_xlpm.MacVal,_xlpm.CSVVal&lt;&gt;"",_xlpm.CSVVal
)),"")</f>
        <v/>
      </c>
      <c r="G898" s="40" t="str" cm="1">
        <f t="array" ref="G898">IFERROR(_xlfn.LET(
_xlpm.CSVVal,_xlfn.XLOOKUP($A898,CSV!$A:$A,CSV!G:G,""),
_xlpm.MacVal,_xlfn.XLOOKUP($A898,Output_Mac!$A:$A,Output_Mac!F:F,""),
_xlpm.MyAuditVal,_xlfn.XLOOKUP($A898,My_Audit!$A:$A,My_Audit!F:F,""),
_xlfn.IFS(_xlpm.MyAuditVal&lt;&gt;"",_xlpm.MyAuditVal,_xlpm.MacVal&lt;&gt;"",_xlpm.MacVal,_xlpm.CSVVal&lt;&gt;"",PROPER(_xlpm.CSVVal)
)),"")</f>
        <v/>
      </c>
      <c r="H898" s="40" t="str" cm="1">
        <f t="array" ref="H898">IFERROR(_xlfn.LET(
_xlpm.CSVVal,_xlfn.XLOOKUP($A898,CSV!$A:$A,CSV!H:H,""),
_xlpm.MacVal,_xlfn.XLOOKUP($A898,Output_Mac!$A:$A,Output_Mac!H:H,""),
_xlpm.MyAuditVal,_xlfn.XLOOKUP($A898,My_Audit!$A:$A,My_Audit!G:G,""),
_xlfn.IFS(_xlpm.MyAuditVal&lt;&gt;"",_xlpm.MyAuditVal,_xlpm.MacVal&lt;&gt;"",_xlpm.MacVal,_xlpm.CSVVal&lt;&gt;"",_xlpm.CSVVal
)),"")</f>
        <v/>
      </c>
      <c r="I898" s="40" t="str">
        <f>_xlfn.XLOOKUP(A898,Output_Mac!A:A,Output_Mac!I:I,"")</f>
        <v/>
      </c>
      <c r="J898" s="40" t="str" cm="1">
        <f t="array" ref="J898">IFERROR(_xlfn.LET(
_xlpm.CSVVal,_xlfn.XLOOKUP($A898,CSV!$A:$A,CSV!I:I,""),
_xlpm.MacVal,_xlfn.XLOOKUP($A898,Output_Mac!$A:$A,Output_Mac!J:J,""),
_xlpm.MyAuditVal,_xlfn.XLOOKUP($A898,My_Audit!$A:$A,My_Audit!I:I,""),
_xlfn.IFS(_xlpm.MyAuditVal&lt;&gt;"",UPPER(_xlpm.MyAuditVal),_xlpm.MacVal&lt;&gt;"",_xlpm.MacVal,_xlpm.CSVVal&lt;&gt;"",_xlpm.CSVVal
)),"")</f>
        <v/>
      </c>
      <c r="K898" s="40" t="str" cm="1">
        <f t="array" ref="K898">IFERROR(_xlfn.LET(
_xlpm.CSVVal,_xlfn.XLOOKUP($A898,CSV!$A:$A,CSV!K:K,""),
_xlpm.MacVal,_xlfn.XLOOKUP($A898,Output_Mac!$A:$A,Output_Mac!K:K,""),
_xlpm.MyAuditVal,_xlfn.XLOOKUP($A898,My_Audit!$A:$A,My_Audit!J:J,""),
_xlfn.IFS(_xlpm.MyAuditVal&lt;&gt;"",UPPER(_xlpm.MyAuditVal),_xlpm.MacVal&lt;&gt;"",_xlpm.MacVal,_xlpm.CSVVal&lt;&gt;"",_xlpm.CSVVal
)),"")</f>
        <v/>
      </c>
      <c r="L898" s="40" t="str" cm="1">
        <f t="array" ref="L898">IFERROR(_xlfn.LET(
_xlpm.CSVVal,_xlfn.XLOOKUP($A898,CSV!$A:$A,CSV!P:P,""),
_xlpm.MacVal,_xlfn.XLOOKUP($A898,Output_Mac!$A:$A,Output_Mac!L:L,""),
_xlpm.MyAuditVal,_xlfn.XLOOKUP($A898,My_Audit!$A:$A,My_Audit!K:K,""),
_xlfn.IFS(_xlpm.MyAuditVal&lt;&gt;"",UPPER(_xlpm.MyAuditVal),_xlpm.MacVal&lt;&gt;"",_xlpm.MacVal,_xlpm.CSVVal&lt;&gt;"",_xlpm.CSVVal
)),"")</f>
        <v/>
      </c>
      <c r="M898" s="40" t="str" cm="1">
        <f t="array" ref="M898">IFERROR(_xlfn.LET(
_xlpm.CSVVal,_xlfn.XLOOKUP($A898,CSV!$A:$A,CSV!Q:Q,""),
_xlpm.MacVal,_xlfn.XLOOKUP($A898,Output_Mac!$A:$A,Output_Mac!M:M,""),
_xlpm.MyAuditVal,_xlfn.XLOOKUP($A898,My_Audit!$A:$A,My_Audit!L:L,""),
_xlfn.IFS(_xlpm.MyAuditVal&lt;&gt;"",UPPER(_xlpm.MyAuditVal),_xlpm.MacVal&lt;&gt;"",_xlpm.MacVal,_xlpm.CSVVal&lt;&gt;"",_xlpm.CSVVal
)),"")</f>
        <v/>
      </c>
      <c r="N898" s="40"/>
      <c r="O898" s="40" t="str">
        <f>_xlfn.LET(
    _xlpm.CSVVal, _xlfn.XLOOKUP($A898, CSV!$A:$A, CSV!AA:AA, ""),
    _xlpm.MacVal, _xlfn.XLOOKUP($A898, Output_Mac!$A:$A, Output_Mac!S:S, ""),
    _xlpm.MyAuditVal, _xlfn.XLOOKUP($A898, My_Audit!$A:$A, My_Audit!P:P, ""),
    _xlfn.TEXTJOIN(", ", TRUE, _xlpm.MyAuditVal, _xlpm.MacVal, _xlpm.CSVVal)
)</f>
        <v/>
      </c>
      <c r="P898" s="40" t="str" cm="1">
        <f t="array" ref="P898">IFERROR(_xlfn.LET(
_xlpm.CSVVal,_xlfn.XLOOKUP($A898,CSV!$A:$A,CSV!AB:AB,""),
_xlpm.MacVal,_xlfn.XLOOKUP($A898,Output_Mac!$A:$A,Output_Mac!T:T,""),
_xlpm.MyAuditVal,_xlfn.XLOOKUP($A898,My_Audit!$A:$A,My_Audit!Q:Q,""),
_xlfn.IFS(_xlpm.MyAuditVal&lt;&gt;"",UPPER(_xlpm.MyAuditVal),_xlpm.MacVal&lt;&gt;"",_xlpm.MacVal,_xlpm.CSVVal&lt;&gt;"",_xlpm.CSVVal
)),"No")</f>
        <v>No</v>
      </c>
      <c r="Q898" s="40" t="str" cm="1">
        <f t="array" ref="Q898">IFERROR(_xlfn.LET(
_xlpm.CSVVal,_xlfn.XLOOKUP($A898,CSV!$A:$A,CSV!AC:AC,""),
_xlpm.MacVal,_xlfn.XLOOKUP($A898,Output_Mac!$A:$A,Output_Mac!U:U,""),
_xlpm.MyAuditVal,_xlfn.XLOOKUP($A898,My_Audit!$A:$A,My_Audit!R:R,""),
_xlfn.IFS(_xlpm.MyAuditVal&lt;&gt;"",UPPER(_xlpm.MyAuditVal),_xlpm.MacVal&lt;&gt;"",_xlpm.MacVal,_xlpm.CSVVal&lt;&gt;"",_xlpm.CSVVal
)),"")</f>
        <v/>
      </c>
      <c r="R898" s="40"/>
      <c r="S898" s="40"/>
      <c r="T898" s="40"/>
      <c r="U898" s="40"/>
      <c r="V898" s="40"/>
      <c r="W898" s="40"/>
      <c r="X898" s="41" t="str">
        <f>_xlfn.LET(
    _xlpm.MacVal, _xlfn.XLOOKUP($A898, Output_Mac!$A:$A, Output_Mac!AB:AB, ""),
    _xlpm.MyAuditVal, _xlfn.XLOOKUP($A898, My_Audit!$A:$A, My_Audit!N:N, ""),
    _xlfn.TEXTJOIN(", ", TRUE, _xlpm.MyAuditVal, _xlpm.MacVal)
)</f>
        <v/>
      </c>
    </row>
    <row r="899" spans="1:24">
      <c r="A899" s="40" t="str">
        <f>_xlfn.TEXTJOIN("",TRUE,Input!$B$2,ROW(My_Audit!A898))</f>
        <v>X898</v>
      </c>
      <c r="B899" s="40" t="str">
        <f>_xlfn.TEXTJOIN("-",TRUE,"ITD",Input!$A$2,A899)</f>
        <v>ITD-X898</v>
      </c>
      <c r="C899" s="40" t="str" cm="1">
        <f t="array" ref="C899">IFERROR(_xlfn.LET(
_xlpm.CSVVal,_xlfn.XLOOKUP($A899,CSV!$A:$A,CSV!B:B,""),
_xlpm.MacVal,_xlfn.XLOOKUP($A899,Output_Mac!$A:$A,Output_Mac!B:B,""),
_xlpm.MyAuditVal,_xlfn.XLOOKUP($A899,My_Audit!$A:$A,My_Audit!B:B,""),
_xlfn.IFS(_xlpm.MyAuditVal&lt;&gt;"",UPPER(_xlpm.MyAuditVal),_xlpm.MacVal&lt;&gt;"",_xlpm.MacVal,_xlpm.CSVVal&lt;&gt;"",_xlpm.CSVVal
)),"")</f>
        <v/>
      </c>
      <c r="D899" s="40" t="str" cm="1">
        <f t="array" ref="D899">IFERROR(_xlfn.LET(
_xlpm.CSVVal,_xlfn.XLOOKUP($A899,CSV!$A:$A,CSV!D:D,""),
_xlpm.MacVal,_xlfn.XLOOKUP($A899,Output_Mac!$A:$A,Output_Mac!C:C,""),
_xlpm.MyAuditVal,_xlfn.XLOOKUP($A899,My_Audit!$A:$A,My_Audit!C:C,""),
_xlfn.IFS(_xlpm.MyAuditVal&lt;&gt;"",_xlpm.MyAuditVal,_xlpm.MacVal&lt;&gt;"",_xlpm.MacVal,_xlpm.CSVVal&lt;&gt;"",_xlpm.CSVVal
)),"")</f>
        <v/>
      </c>
      <c r="E899" s="40" t="str">
        <f>_xlfn.XLOOKUP(A899,My_Audit!A:A,My_Audit!D:D,"")</f>
        <v/>
      </c>
      <c r="F899" s="40" t="str" cm="1">
        <f t="array" ref="F899">IFERROR(_xlfn.LET(
_xlpm.CSVVal,_xlfn.XLOOKUP($A899,CSV!$A:$A,CSV!F:F,""),
_xlpm.MacVal,_xlfn.XLOOKUP($A899,Output_Mac!$A:$A,Output_Mac!E:E,""),
_xlpm.MyAuditVal,_xlfn.XLOOKUP($A899,My_Audit!$A:$A,My_Audit!E:E,""),
_xlfn.IFS(_xlpm.MyAuditVal&lt;&gt;"",_xlpm.MyAuditVal,_xlpm.MacVal&lt;&gt;"",_xlpm.MacVal,_xlpm.CSVVal&lt;&gt;"",_xlpm.CSVVal
)),"")</f>
        <v/>
      </c>
      <c r="G899" s="40" t="str" cm="1">
        <f t="array" ref="G899">IFERROR(_xlfn.LET(
_xlpm.CSVVal,_xlfn.XLOOKUP($A899,CSV!$A:$A,CSV!G:G,""),
_xlpm.MacVal,_xlfn.XLOOKUP($A899,Output_Mac!$A:$A,Output_Mac!F:F,""),
_xlpm.MyAuditVal,_xlfn.XLOOKUP($A899,My_Audit!$A:$A,My_Audit!F:F,""),
_xlfn.IFS(_xlpm.MyAuditVal&lt;&gt;"",_xlpm.MyAuditVal,_xlpm.MacVal&lt;&gt;"",_xlpm.MacVal,_xlpm.CSVVal&lt;&gt;"",PROPER(_xlpm.CSVVal)
)),"")</f>
        <v/>
      </c>
      <c r="H899" s="40" t="str" cm="1">
        <f t="array" ref="H899">IFERROR(_xlfn.LET(
_xlpm.CSVVal,_xlfn.XLOOKUP($A899,CSV!$A:$A,CSV!H:H,""),
_xlpm.MacVal,_xlfn.XLOOKUP($A899,Output_Mac!$A:$A,Output_Mac!H:H,""),
_xlpm.MyAuditVal,_xlfn.XLOOKUP($A899,My_Audit!$A:$A,My_Audit!G:G,""),
_xlfn.IFS(_xlpm.MyAuditVal&lt;&gt;"",_xlpm.MyAuditVal,_xlpm.MacVal&lt;&gt;"",_xlpm.MacVal,_xlpm.CSVVal&lt;&gt;"",_xlpm.CSVVal
)),"")</f>
        <v/>
      </c>
      <c r="I899" s="40" t="str">
        <f>_xlfn.XLOOKUP(A899,Output_Mac!A:A,Output_Mac!I:I,"")</f>
        <v/>
      </c>
      <c r="J899" s="40" t="str" cm="1">
        <f t="array" ref="J899">IFERROR(_xlfn.LET(
_xlpm.CSVVal,_xlfn.XLOOKUP($A899,CSV!$A:$A,CSV!I:I,""),
_xlpm.MacVal,_xlfn.XLOOKUP($A899,Output_Mac!$A:$A,Output_Mac!J:J,""),
_xlpm.MyAuditVal,_xlfn.XLOOKUP($A899,My_Audit!$A:$A,My_Audit!I:I,""),
_xlfn.IFS(_xlpm.MyAuditVal&lt;&gt;"",UPPER(_xlpm.MyAuditVal),_xlpm.MacVal&lt;&gt;"",_xlpm.MacVal,_xlpm.CSVVal&lt;&gt;"",_xlpm.CSVVal
)),"")</f>
        <v/>
      </c>
      <c r="K899" s="40" t="str" cm="1">
        <f t="array" ref="K899">IFERROR(_xlfn.LET(
_xlpm.CSVVal,_xlfn.XLOOKUP($A899,CSV!$A:$A,CSV!K:K,""),
_xlpm.MacVal,_xlfn.XLOOKUP($A899,Output_Mac!$A:$A,Output_Mac!K:K,""),
_xlpm.MyAuditVal,_xlfn.XLOOKUP($A899,My_Audit!$A:$A,My_Audit!J:J,""),
_xlfn.IFS(_xlpm.MyAuditVal&lt;&gt;"",UPPER(_xlpm.MyAuditVal),_xlpm.MacVal&lt;&gt;"",_xlpm.MacVal,_xlpm.CSVVal&lt;&gt;"",_xlpm.CSVVal
)),"")</f>
        <v/>
      </c>
      <c r="L899" s="40" t="str" cm="1">
        <f t="array" ref="L899">IFERROR(_xlfn.LET(
_xlpm.CSVVal,_xlfn.XLOOKUP($A899,CSV!$A:$A,CSV!P:P,""),
_xlpm.MacVal,_xlfn.XLOOKUP($A899,Output_Mac!$A:$A,Output_Mac!L:L,""),
_xlpm.MyAuditVal,_xlfn.XLOOKUP($A899,My_Audit!$A:$A,My_Audit!K:K,""),
_xlfn.IFS(_xlpm.MyAuditVal&lt;&gt;"",UPPER(_xlpm.MyAuditVal),_xlpm.MacVal&lt;&gt;"",_xlpm.MacVal,_xlpm.CSVVal&lt;&gt;"",_xlpm.CSVVal
)),"")</f>
        <v/>
      </c>
      <c r="M899" s="40" t="str" cm="1">
        <f t="array" ref="M899">IFERROR(_xlfn.LET(
_xlpm.CSVVal,_xlfn.XLOOKUP($A899,CSV!$A:$A,CSV!Q:Q,""),
_xlpm.MacVal,_xlfn.XLOOKUP($A899,Output_Mac!$A:$A,Output_Mac!M:M,""),
_xlpm.MyAuditVal,_xlfn.XLOOKUP($A899,My_Audit!$A:$A,My_Audit!L:L,""),
_xlfn.IFS(_xlpm.MyAuditVal&lt;&gt;"",UPPER(_xlpm.MyAuditVal),_xlpm.MacVal&lt;&gt;"",_xlpm.MacVal,_xlpm.CSVVal&lt;&gt;"",_xlpm.CSVVal
)),"")</f>
        <v/>
      </c>
      <c r="N899" s="40"/>
      <c r="O899" s="40" t="str">
        <f>_xlfn.LET(
    _xlpm.CSVVal, _xlfn.XLOOKUP($A899, CSV!$A:$A, CSV!AA:AA, ""),
    _xlpm.MacVal, _xlfn.XLOOKUP($A899, Output_Mac!$A:$A, Output_Mac!S:S, ""),
    _xlpm.MyAuditVal, _xlfn.XLOOKUP($A899, My_Audit!$A:$A, My_Audit!P:P, ""),
    _xlfn.TEXTJOIN(", ", TRUE, _xlpm.MyAuditVal, _xlpm.MacVal, _xlpm.CSVVal)
)</f>
        <v/>
      </c>
      <c r="P899" s="40" t="str" cm="1">
        <f t="array" ref="P899">IFERROR(_xlfn.LET(
_xlpm.CSVVal,_xlfn.XLOOKUP($A899,CSV!$A:$A,CSV!AB:AB,""),
_xlpm.MacVal,_xlfn.XLOOKUP($A899,Output_Mac!$A:$A,Output_Mac!T:T,""),
_xlpm.MyAuditVal,_xlfn.XLOOKUP($A899,My_Audit!$A:$A,My_Audit!Q:Q,""),
_xlfn.IFS(_xlpm.MyAuditVal&lt;&gt;"",UPPER(_xlpm.MyAuditVal),_xlpm.MacVal&lt;&gt;"",_xlpm.MacVal,_xlpm.CSVVal&lt;&gt;"",_xlpm.CSVVal
)),"No")</f>
        <v>No</v>
      </c>
      <c r="Q899" s="40" t="str" cm="1">
        <f t="array" ref="Q899">IFERROR(_xlfn.LET(
_xlpm.CSVVal,_xlfn.XLOOKUP($A899,CSV!$A:$A,CSV!AC:AC,""),
_xlpm.MacVal,_xlfn.XLOOKUP($A899,Output_Mac!$A:$A,Output_Mac!U:U,""),
_xlpm.MyAuditVal,_xlfn.XLOOKUP($A899,My_Audit!$A:$A,My_Audit!R:R,""),
_xlfn.IFS(_xlpm.MyAuditVal&lt;&gt;"",UPPER(_xlpm.MyAuditVal),_xlpm.MacVal&lt;&gt;"",_xlpm.MacVal,_xlpm.CSVVal&lt;&gt;"",_xlpm.CSVVal
)),"")</f>
        <v/>
      </c>
      <c r="R899" s="40"/>
      <c r="S899" s="40"/>
      <c r="T899" s="40"/>
      <c r="U899" s="40"/>
      <c r="V899" s="40"/>
      <c r="W899" s="40"/>
      <c r="X899" s="41" t="str">
        <f>_xlfn.LET(
    _xlpm.MacVal, _xlfn.XLOOKUP($A899, Output_Mac!$A:$A, Output_Mac!AB:AB, ""),
    _xlpm.MyAuditVal, _xlfn.XLOOKUP($A899, My_Audit!$A:$A, My_Audit!N:N, ""),
    _xlfn.TEXTJOIN(", ", TRUE, _xlpm.MyAuditVal, _xlpm.MacVal)
)</f>
        <v/>
      </c>
    </row>
    <row r="900" spans="1:24">
      <c r="A900" s="40" t="str">
        <f>_xlfn.TEXTJOIN("",TRUE,Input!$B$2,ROW(My_Audit!A899))</f>
        <v>X899</v>
      </c>
      <c r="B900" s="40" t="str">
        <f>_xlfn.TEXTJOIN("-",TRUE,"ITD",Input!$A$2,A900)</f>
        <v>ITD-X899</v>
      </c>
      <c r="C900" s="40" t="str" cm="1">
        <f t="array" ref="C900">IFERROR(_xlfn.LET(
_xlpm.CSVVal,_xlfn.XLOOKUP($A900,CSV!$A:$A,CSV!B:B,""),
_xlpm.MacVal,_xlfn.XLOOKUP($A900,Output_Mac!$A:$A,Output_Mac!B:B,""),
_xlpm.MyAuditVal,_xlfn.XLOOKUP($A900,My_Audit!$A:$A,My_Audit!B:B,""),
_xlfn.IFS(_xlpm.MyAuditVal&lt;&gt;"",UPPER(_xlpm.MyAuditVal),_xlpm.MacVal&lt;&gt;"",_xlpm.MacVal,_xlpm.CSVVal&lt;&gt;"",_xlpm.CSVVal
)),"")</f>
        <v/>
      </c>
      <c r="D900" s="40" t="str" cm="1">
        <f t="array" ref="D900">IFERROR(_xlfn.LET(
_xlpm.CSVVal,_xlfn.XLOOKUP($A900,CSV!$A:$A,CSV!D:D,""),
_xlpm.MacVal,_xlfn.XLOOKUP($A900,Output_Mac!$A:$A,Output_Mac!C:C,""),
_xlpm.MyAuditVal,_xlfn.XLOOKUP($A900,My_Audit!$A:$A,My_Audit!C:C,""),
_xlfn.IFS(_xlpm.MyAuditVal&lt;&gt;"",_xlpm.MyAuditVal,_xlpm.MacVal&lt;&gt;"",_xlpm.MacVal,_xlpm.CSVVal&lt;&gt;"",_xlpm.CSVVal
)),"")</f>
        <v/>
      </c>
      <c r="E900" s="40" t="str">
        <f>_xlfn.XLOOKUP(A900,My_Audit!A:A,My_Audit!D:D,"")</f>
        <v/>
      </c>
      <c r="F900" s="40" t="str" cm="1">
        <f t="array" ref="F900">IFERROR(_xlfn.LET(
_xlpm.CSVVal,_xlfn.XLOOKUP($A900,CSV!$A:$A,CSV!F:F,""),
_xlpm.MacVal,_xlfn.XLOOKUP($A900,Output_Mac!$A:$A,Output_Mac!E:E,""),
_xlpm.MyAuditVal,_xlfn.XLOOKUP($A900,My_Audit!$A:$A,My_Audit!E:E,""),
_xlfn.IFS(_xlpm.MyAuditVal&lt;&gt;"",_xlpm.MyAuditVal,_xlpm.MacVal&lt;&gt;"",_xlpm.MacVal,_xlpm.CSVVal&lt;&gt;"",_xlpm.CSVVal
)),"")</f>
        <v/>
      </c>
      <c r="G900" s="40" t="str" cm="1">
        <f t="array" ref="G900">IFERROR(_xlfn.LET(
_xlpm.CSVVal,_xlfn.XLOOKUP($A900,CSV!$A:$A,CSV!G:G,""),
_xlpm.MacVal,_xlfn.XLOOKUP($A900,Output_Mac!$A:$A,Output_Mac!F:F,""),
_xlpm.MyAuditVal,_xlfn.XLOOKUP($A900,My_Audit!$A:$A,My_Audit!F:F,""),
_xlfn.IFS(_xlpm.MyAuditVal&lt;&gt;"",_xlpm.MyAuditVal,_xlpm.MacVal&lt;&gt;"",_xlpm.MacVal,_xlpm.CSVVal&lt;&gt;"",PROPER(_xlpm.CSVVal)
)),"")</f>
        <v/>
      </c>
      <c r="H900" s="40" t="str" cm="1">
        <f t="array" ref="H900">IFERROR(_xlfn.LET(
_xlpm.CSVVal,_xlfn.XLOOKUP($A900,CSV!$A:$A,CSV!H:H,""),
_xlpm.MacVal,_xlfn.XLOOKUP($A900,Output_Mac!$A:$A,Output_Mac!H:H,""),
_xlpm.MyAuditVal,_xlfn.XLOOKUP($A900,My_Audit!$A:$A,My_Audit!G:G,""),
_xlfn.IFS(_xlpm.MyAuditVal&lt;&gt;"",_xlpm.MyAuditVal,_xlpm.MacVal&lt;&gt;"",_xlpm.MacVal,_xlpm.CSVVal&lt;&gt;"",_xlpm.CSVVal
)),"")</f>
        <v/>
      </c>
      <c r="I900" s="40" t="str">
        <f>_xlfn.XLOOKUP(A900,Output_Mac!A:A,Output_Mac!I:I,"")</f>
        <v/>
      </c>
      <c r="J900" s="40" t="str" cm="1">
        <f t="array" ref="J900">IFERROR(_xlfn.LET(
_xlpm.CSVVal,_xlfn.XLOOKUP($A900,CSV!$A:$A,CSV!I:I,""),
_xlpm.MacVal,_xlfn.XLOOKUP($A900,Output_Mac!$A:$A,Output_Mac!J:J,""),
_xlpm.MyAuditVal,_xlfn.XLOOKUP($A900,My_Audit!$A:$A,My_Audit!I:I,""),
_xlfn.IFS(_xlpm.MyAuditVal&lt;&gt;"",UPPER(_xlpm.MyAuditVal),_xlpm.MacVal&lt;&gt;"",_xlpm.MacVal,_xlpm.CSVVal&lt;&gt;"",_xlpm.CSVVal
)),"")</f>
        <v/>
      </c>
      <c r="K900" s="40" t="str" cm="1">
        <f t="array" ref="K900">IFERROR(_xlfn.LET(
_xlpm.CSVVal,_xlfn.XLOOKUP($A900,CSV!$A:$A,CSV!K:K,""),
_xlpm.MacVal,_xlfn.XLOOKUP($A900,Output_Mac!$A:$A,Output_Mac!K:K,""),
_xlpm.MyAuditVal,_xlfn.XLOOKUP($A900,My_Audit!$A:$A,My_Audit!J:J,""),
_xlfn.IFS(_xlpm.MyAuditVal&lt;&gt;"",UPPER(_xlpm.MyAuditVal),_xlpm.MacVal&lt;&gt;"",_xlpm.MacVal,_xlpm.CSVVal&lt;&gt;"",_xlpm.CSVVal
)),"")</f>
        <v/>
      </c>
      <c r="L900" s="40" t="str" cm="1">
        <f t="array" ref="L900">IFERROR(_xlfn.LET(
_xlpm.CSVVal,_xlfn.XLOOKUP($A900,CSV!$A:$A,CSV!P:P,""),
_xlpm.MacVal,_xlfn.XLOOKUP($A900,Output_Mac!$A:$A,Output_Mac!L:L,""),
_xlpm.MyAuditVal,_xlfn.XLOOKUP($A900,My_Audit!$A:$A,My_Audit!K:K,""),
_xlfn.IFS(_xlpm.MyAuditVal&lt;&gt;"",UPPER(_xlpm.MyAuditVal),_xlpm.MacVal&lt;&gt;"",_xlpm.MacVal,_xlpm.CSVVal&lt;&gt;"",_xlpm.CSVVal
)),"")</f>
        <v/>
      </c>
      <c r="M900" s="40" t="str" cm="1">
        <f t="array" ref="M900">IFERROR(_xlfn.LET(
_xlpm.CSVVal,_xlfn.XLOOKUP($A900,CSV!$A:$A,CSV!Q:Q,""),
_xlpm.MacVal,_xlfn.XLOOKUP($A900,Output_Mac!$A:$A,Output_Mac!M:M,""),
_xlpm.MyAuditVal,_xlfn.XLOOKUP($A900,My_Audit!$A:$A,My_Audit!L:L,""),
_xlfn.IFS(_xlpm.MyAuditVal&lt;&gt;"",UPPER(_xlpm.MyAuditVal),_xlpm.MacVal&lt;&gt;"",_xlpm.MacVal,_xlpm.CSVVal&lt;&gt;"",_xlpm.CSVVal
)),"")</f>
        <v/>
      </c>
      <c r="N900" s="40"/>
      <c r="O900" s="40" t="str">
        <f>_xlfn.LET(
    _xlpm.CSVVal, _xlfn.XLOOKUP($A900, CSV!$A:$A, CSV!AA:AA, ""),
    _xlpm.MacVal, _xlfn.XLOOKUP($A900, Output_Mac!$A:$A, Output_Mac!S:S, ""),
    _xlpm.MyAuditVal, _xlfn.XLOOKUP($A900, My_Audit!$A:$A, My_Audit!P:P, ""),
    _xlfn.TEXTJOIN(", ", TRUE, _xlpm.MyAuditVal, _xlpm.MacVal, _xlpm.CSVVal)
)</f>
        <v/>
      </c>
      <c r="P900" s="40" t="str" cm="1">
        <f t="array" ref="P900">IFERROR(_xlfn.LET(
_xlpm.CSVVal,_xlfn.XLOOKUP($A900,CSV!$A:$A,CSV!AB:AB,""),
_xlpm.MacVal,_xlfn.XLOOKUP($A900,Output_Mac!$A:$A,Output_Mac!T:T,""),
_xlpm.MyAuditVal,_xlfn.XLOOKUP($A900,My_Audit!$A:$A,My_Audit!Q:Q,""),
_xlfn.IFS(_xlpm.MyAuditVal&lt;&gt;"",UPPER(_xlpm.MyAuditVal),_xlpm.MacVal&lt;&gt;"",_xlpm.MacVal,_xlpm.CSVVal&lt;&gt;"",_xlpm.CSVVal
)),"No")</f>
        <v>No</v>
      </c>
      <c r="Q900" s="40" t="str" cm="1">
        <f t="array" ref="Q900">IFERROR(_xlfn.LET(
_xlpm.CSVVal,_xlfn.XLOOKUP($A900,CSV!$A:$A,CSV!AC:AC,""),
_xlpm.MacVal,_xlfn.XLOOKUP($A900,Output_Mac!$A:$A,Output_Mac!U:U,""),
_xlpm.MyAuditVal,_xlfn.XLOOKUP($A900,My_Audit!$A:$A,My_Audit!R:R,""),
_xlfn.IFS(_xlpm.MyAuditVal&lt;&gt;"",UPPER(_xlpm.MyAuditVal),_xlpm.MacVal&lt;&gt;"",_xlpm.MacVal,_xlpm.CSVVal&lt;&gt;"",_xlpm.CSVVal
)),"")</f>
        <v/>
      </c>
      <c r="R900" s="40"/>
      <c r="S900" s="40"/>
      <c r="T900" s="40"/>
      <c r="U900" s="40"/>
      <c r="V900" s="40"/>
      <c r="W900" s="40"/>
      <c r="X900" s="41" t="str">
        <f>_xlfn.LET(
    _xlpm.MacVal, _xlfn.XLOOKUP($A900, Output_Mac!$A:$A, Output_Mac!AB:AB, ""),
    _xlpm.MyAuditVal, _xlfn.XLOOKUP($A900, My_Audit!$A:$A, My_Audit!N:N, ""),
    _xlfn.TEXTJOIN(", ", TRUE, _xlpm.MyAuditVal, _xlpm.MacVal)
)</f>
        <v/>
      </c>
    </row>
    <row r="901" spans="1:24">
      <c r="A901" s="40" t="str">
        <f>_xlfn.TEXTJOIN("",TRUE,Input!$B$2,ROW(My_Audit!A900))</f>
        <v>X900</v>
      </c>
      <c r="B901" s="40" t="str">
        <f>_xlfn.TEXTJOIN("-",TRUE,"ITD",Input!$A$2,A901)</f>
        <v>ITD-X900</v>
      </c>
      <c r="C901" s="40" t="str" cm="1">
        <f t="array" ref="C901">IFERROR(_xlfn.LET(
_xlpm.CSVVal,_xlfn.XLOOKUP($A901,CSV!$A:$A,CSV!B:B,""),
_xlpm.MacVal,_xlfn.XLOOKUP($A901,Output_Mac!$A:$A,Output_Mac!B:B,""),
_xlpm.MyAuditVal,_xlfn.XLOOKUP($A901,My_Audit!$A:$A,My_Audit!B:B,""),
_xlfn.IFS(_xlpm.MyAuditVal&lt;&gt;"",UPPER(_xlpm.MyAuditVal),_xlpm.MacVal&lt;&gt;"",_xlpm.MacVal,_xlpm.CSVVal&lt;&gt;"",_xlpm.CSVVal
)),"")</f>
        <v/>
      </c>
      <c r="D901" s="40" t="str" cm="1">
        <f t="array" ref="D901">IFERROR(_xlfn.LET(
_xlpm.CSVVal,_xlfn.XLOOKUP($A901,CSV!$A:$A,CSV!D:D,""),
_xlpm.MacVal,_xlfn.XLOOKUP($A901,Output_Mac!$A:$A,Output_Mac!C:C,""),
_xlpm.MyAuditVal,_xlfn.XLOOKUP($A901,My_Audit!$A:$A,My_Audit!C:C,""),
_xlfn.IFS(_xlpm.MyAuditVal&lt;&gt;"",_xlpm.MyAuditVal,_xlpm.MacVal&lt;&gt;"",_xlpm.MacVal,_xlpm.CSVVal&lt;&gt;"",_xlpm.CSVVal
)),"")</f>
        <v/>
      </c>
      <c r="E901" s="40" t="str">
        <f>_xlfn.XLOOKUP(A901,My_Audit!A:A,My_Audit!D:D,"")</f>
        <v/>
      </c>
      <c r="F901" s="40" t="str" cm="1">
        <f t="array" ref="F901">IFERROR(_xlfn.LET(
_xlpm.CSVVal,_xlfn.XLOOKUP($A901,CSV!$A:$A,CSV!F:F,""),
_xlpm.MacVal,_xlfn.XLOOKUP($A901,Output_Mac!$A:$A,Output_Mac!E:E,""),
_xlpm.MyAuditVal,_xlfn.XLOOKUP($A901,My_Audit!$A:$A,My_Audit!E:E,""),
_xlfn.IFS(_xlpm.MyAuditVal&lt;&gt;"",_xlpm.MyAuditVal,_xlpm.MacVal&lt;&gt;"",_xlpm.MacVal,_xlpm.CSVVal&lt;&gt;"",_xlpm.CSVVal
)),"")</f>
        <v/>
      </c>
      <c r="G901" s="40" t="str" cm="1">
        <f t="array" ref="G901">IFERROR(_xlfn.LET(
_xlpm.CSVVal,_xlfn.XLOOKUP($A901,CSV!$A:$A,CSV!G:G,""),
_xlpm.MacVal,_xlfn.XLOOKUP($A901,Output_Mac!$A:$A,Output_Mac!F:F,""),
_xlpm.MyAuditVal,_xlfn.XLOOKUP($A901,My_Audit!$A:$A,My_Audit!F:F,""),
_xlfn.IFS(_xlpm.MyAuditVal&lt;&gt;"",_xlpm.MyAuditVal,_xlpm.MacVal&lt;&gt;"",_xlpm.MacVal,_xlpm.CSVVal&lt;&gt;"",PROPER(_xlpm.CSVVal)
)),"")</f>
        <v/>
      </c>
      <c r="H901" s="40" t="str" cm="1">
        <f t="array" ref="H901">IFERROR(_xlfn.LET(
_xlpm.CSVVal,_xlfn.XLOOKUP($A901,CSV!$A:$A,CSV!H:H,""),
_xlpm.MacVal,_xlfn.XLOOKUP($A901,Output_Mac!$A:$A,Output_Mac!H:H,""),
_xlpm.MyAuditVal,_xlfn.XLOOKUP($A901,My_Audit!$A:$A,My_Audit!G:G,""),
_xlfn.IFS(_xlpm.MyAuditVal&lt;&gt;"",_xlpm.MyAuditVal,_xlpm.MacVal&lt;&gt;"",_xlpm.MacVal,_xlpm.CSVVal&lt;&gt;"",_xlpm.CSVVal
)),"")</f>
        <v/>
      </c>
      <c r="I901" s="40" t="str">
        <f>_xlfn.XLOOKUP(A901,Output_Mac!A:A,Output_Mac!I:I,"")</f>
        <v/>
      </c>
      <c r="J901" s="40" t="str" cm="1">
        <f t="array" ref="J901">IFERROR(_xlfn.LET(
_xlpm.CSVVal,_xlfn.XLOOKUP($A901,CSV!$A:$A,CSV!I:I,""),
_xlpm.MacVal,_xlfn.XLOOKUP($A901,Output_Mac!$A:$A,Output_Mac!J:J,""),
_xlpm.MyAuditVal,_xlfn.XLOOKUP($A901,My_Audit!$A:$A,My_Audit!I:I,""),
_xlfn.IFS(_xlpm.MyAuditVal&lt;&gt;"",UPPER(_xlpm.MyAuditVal),_xlpm.MacVal&lt;&gt;"",_xlpm.MacVal,_xlpm.CSVVal&lt;&gt;"",_xlpm.CSVVal
)),"")</f>
        <v/>
      </c>
      <c r="K901" s="40" t="str" cm="1">
        <f t="array" ref="K901">IFERROR(_xlfn.LET(
_xlpm.CSVVal,_xlfn.XLOOKUP($A901,CSV!$A:$A,CSV!K:K,""),
_xlpm.MacVal,_xlfn.XLOOKUP($A901,Output_Mac!$A:$A,Output_Mac!K:K,""),
_xlpm.MyAuditVal,_xlfn.XLOOKUP($A901,My_Audit!$A:$A,My_Audit!J:J,""),
_xlfn.IFS(_xlpm.MyAuditVal&lt;&gt;"",UPPER(_xlpm.MyAuditVal),_xlpm.MacVal&lt;&gt;"",_xlpm.MacVal,_xlpm.CSVVal&lt;&gt;"",_xlpm.CSVVal
)),"")</f>
        <v/>
      </c>
      <c r="L901" s="40" t="str" cm="1">
        <f t="array" ref="L901">IFERROR(_xlfn.LET(
_xlpm.CSVVal,_xlfn.XLOOKUP($A901,CSV!$A:$A,CSV!P:P,""),
_xlpm.MacVal,_xlfn.XLOOKUP($A901,Output_Mac!$A:$A,Output_Mac!L:L,""),
_xlpm.MyAuditVal,_xlfn.XLOOKUP($A901,My_Audit!$A:$A,My_Audit!K:K,""),
_xlfn.IFS(_xlpm.MyAuditVal&lt;&gt;"",UPPER(_xlpm.MyAuditVal),_xlpm.MacVal&lt;&gt;"",_xlpm.MacVal,_xlpm.CSVVal&lt;&gt;"",_xlpm.CSVVal
)),"")</f>
        <v/>
      </c>
      <c r="M901" s="40" t="str" cm="1">
        <f t="array" ref="M901">IFERROR(_xlfn.LET(
_xlpm.CSVVal,_xlfn.XLOOKUP($A901,CSV!$A:$A,CSV!Q:Q,""),
_xlpm.MacVal,_xlfn.XLOOKUP($A901,Output_Mac!$A:$A,Output_Mac!M:M,""),
_xlpm.MyAuditVal,_xlfn.XLOOKUP($A901,My_Audit!$A:$A,My_Audit!L:L,""),
_xlfn.IFS(_xlpm.MyAuditVal&lt;&gt;"",UPPER(_xlpm.MyAuditVal),_xlpm.MacVal&lt;&gt;"",_xlpm.MacVal,_xlpm.CSVVal&lt;&gt;"",_xlpm.CSVVal
)),"")</f>
        <v/>
      </c>
      <c r="N901" s="40"/>
      <c r="O901" s="40" t="str">
        <f>_xlfn.LET(
    _xlpm.CSVVal, _xlfn.XLOOKUP($A901, CSV!$A:$A, CSV!AA:AA, ""),
    _xlpm.MacVal, _xlfn.XLOOKUP($A901, Output_Mac!$A:$A, Output_Mac!S:S, ""),
    _xlpm.MyAuditVal, _xlfn.XLOOKUP($A901, My_Audit!$A:$A, My_Audit!P:P, ""),
    _xlfn.TEXTJOIN(", ", TRUE, _xlpm.MyAuditVal, _xlpm.MacVal, _xlpm.CSVVal)
)</f>
        <v/>
      </c>
      <c r="P901" s="40" t="str" cm="1">
        <f t="array" ref="P901">IFERROR(_xlfn.LET(
_xlpm.CSVVal,_xlfn.XLOOKUP($A901,CSV!$A:$A,CSV!AB:AB,""),
_xlpm.MacVal,_xlfn.XLOOKUP($A901,Output_Mac!$A:$A,Output_Mac!T:T,""),
_xlpm.MyAuditVal,_xlfn.XLOOKUP($A901,My_Audit!$A:$A,My_Audit!Q:Q,""),
_xlfn.IFS(_xlpm.MyAuditVal&lt;&gt;"",UPPER(_xlpm.MyAuditVal),_xlpm.MacVal&lt;&gt;"",_xlpm.MacVal,_xlpm.CSVVal&lt;&gt;"",_xlpm.CSVVal
)),"No")</f>
        <v>No</v>
      </c>
      <c r="Q901" s="40" t="str" cm="1">
        <f t="array" ref="Q901">IFERROR(_xlfn.LET(
_xlpm.CSVVal,_xlfn.XLOOKUP($A901,CSV!$A:$A,CSV!AC:AC,""),
_xlpm.MacVal,_xlfn.XLOOKUP($A901,Output_Mac!$A:$A,Output_Mac!U:U,""),
_xlpm.MyAuditVal,_xlfn.XLOOKUP($A901,My_Audit!$A:$A,My_Audit!R:R,""),
_xlfn.IFS(_xlpm.MyAuditVal&lt;&gt;"",UPPER(_xlpm.MyAuditVal),_xlpm.MacVal&lt;&gt;"",_xlpm.MacVal,_xlpm.CSVVal&lt;&gt;"",_xlpm.CSVVal
)),"")</f>
        <v/>
      </c>
      <c r="R901" s="40"/>
      <c r="S901" s="40"/>
      <c r="T901" s="40"/>
      <c r="U901" s="40"/>
      <c r="V901" s="40"/>
      <c r="W901" s="40"/>
      <c r="X901" s="41" t="str">
        <f>_xlfn.LET(
    _xlpm.MacVal, _xlfn.XLOOKUP($A901, Output_Mac!$A:$A, Output_Mac!AB:AB, ""),
    _xlpm.MyAuditVal, _xlfn.XLOOKUP($A901, My_Audit!$A:$A, My_Audit!N:N, ""),
    _xlfn.TEXTJOIN(", ", TRUE, _xlpm.MyAuditVal, _xlpm.MacVal)
)</f>
        <v/>
      </c>
    </row>
    <row r="902" spans="1:24">
      <c r="A902" s="40" t="str">
        <f>_xlfn.TEXTJOIN("",TRUE,Input!$B$2,ROW(My_Audit!A901))</f>
        <v>X901</v>
      </c>
      <c r="B902" s="40" t="str">
        <f>_xlfn.TEXTJOIN("-",TRUE,"ITD",Input!$A$2,A902)</f>
        <v>ITD-X901</v>
      </c>
      <c r="C902" s="40" t="str" cm="1">
        <f t="array" ref="C902">IFERROR(_xlfn.LET(
_xlpm.CSVVal,_xlfn.XLOOKUP($A902,CSV!$A:$A,CSV!B:B,""),
_xlpm.MacVal,_xlfn.XLOOKUP($A902,Output_Mac!$A:$A,Output_Mac!B:B,""),
_xlpm.MyAuditVal,_xlfn.XLOOKUP($A902,My_Audit!$A:$A,My_Audit!B:B,""),
_xlfn.IFS(_xlpm.MyAuditVal&lt;&gt;"",UPPER(_xlpm.MyAuditVal),_xlpm.MacVal&lt;&gt;"",_xlpm.MacVal,_xlpm.CSVVal&lt;&gt;"",_xlpm.CSVVal
)),"")</f>
        <v/>
      </c>
      <c r="D902" s="40" t="str" cm="1">
        <f t="array" ref="D902">IFERROR(_xlfn.LET(
_xlpm.CSVVal,_xlfn.XLOOKUP($A902,CSV!$A:$A,CSV!D:D,""),
_xlpm.MacVal,_xlfn.XLOOKUP($A902,Output_Mac!$A:$A,Output_Mac!C:C,""),
_xlpm.MyAuditVal,_xlfn.XLOOKUP($A902,My_Audit!$A:$A,My_Audit!C:C,""),
_xlfn.IFS(_xlpm.MyAuditVal&lt;&gt;"",_xlpm.MyAuditVal,_xlpm.MacVal&lt;&gt;"",_xlpm.MacVal,_xlpm.CSVVal&lt;&gt;"",_xlpm.CSVVal
)),"")</f>
        <v/>
      </c>
      <c r="E902" s="40" t="str">
        <f>_xlfn.XLOOKUP(A902,My_Audit!A:A,My_Audit!D:D,"")</f>
        <v/>
      </c>
      <c r="F902" s="40" t="str" cm="1">
        <f t="array" ref="F902">IFERROR(_xlfn.LET(
_xlpm.CSVVal,_xlfn.XLOOKUP($A902,CSV!$A:$A,CSV!F:F,""),
_xlpm.MacVal,_xlfn.XLOOKUP($A902,Output_Mac!$A:$A,Output_Mac!E:E,""),
_xlpm.MyAuditVal,_xlfn.XLOOKUP($A902,My_Audit!$A:$A,My_Audit!E:E,""),
_xlfn.IFS(_xlpm.MyAuditVal&lt;&gt;"",_xlpm.MyAuditVal,_xlpm.MacVal&lt;&gt;"",_xlpm.MacVal,_xlpm.CSVVal&lt;&gt;"",_xlpm.CSVVal
)),"")</f>
        <v/>
      </c>
      <c r="G902" s="40" t="str" cm="1">
        <f t="array" ref="G902">IFERROR(_xlfn.LET(
_xlpm.CSVVal,_xlfn.XLOOKUP($A902,CSV!$A:$A,CSV!G:G,""),
_xlpm.MacVal,_xlfn.XLOOKUP($A902,Output_Mac!$A:$A,Output_Mac!F:F,""),
_xlpm.MyAuditVal,_xlfn.XLOOKUP($A902,My_Audit!$A:$A,My_Audit!F:F,""),
_xlfn.IFS(_xlpm.MyAuditVal&lt;&gt;"",_xlpm.MyAuditVal,_xlpm.MacVal&lt;&gt;"",_xlpm.MacVal,_xlpm.CSVVal&lt;&gt;"",PROPER(_xlpm.CSVVal)
)),"")</f>
        <v/>
      </c>
      <c r="H902" s="40" t="str" cm="1">
        <f t="array" ref="H902">IFERROR(_xlfn.LET(
_xlpm.CSVVal,_xlfn.XLOOKUP($A902,CSV!$A:$A,CSV!H:H,""),
_xlpm.MacVal,_xlfn.XLOOKUP($A902,Output_Mac!$A:$A,Output_Mac!H:H,""),
_xlpm.MyAuditVal,_xlfn.XLOOKUP($A902,My_Audit!$A:$A,My_Audit!G:G,""),
_xlfn.IFS(_xlpm.MyAuditVal&lt;&gt;"",_xlpm.MyAuditVal,_xlpm.MacVal&lt;&gt;"",_xlpm.MacVal,_xlpm.CSVVal&lt;&gt;"",_xlpm.CSVVal
)),"")</f>
        <v/>
      </c>
      <c r="I902" s="40" t="str">
        <f>_xlfn.XLOOKUP(A902,Output_Mac!A:A,Output_Mac!I:I,"")</f>
        <v/>
      </c>
      <c r="J902" s="40" t="str" cm="1">
        <f t="array" ref="J902">IFERROR(_xlfn.LET(
_xlpm.CSVVal,_xlfn.XLOOKUP($A902,CSV!$A:$A,CSV!I:I,""),
_xlpm.MacVal,_xlfn.XLOOKUP($A902,Output_Mac!$A:$A,Output_Mac!J:J,""),
_xlpm.MyAuditVal,_xlfn.XLOOKUP($A902,My_Audit!$A:$A,My_Audit!I:I,""),
_xlfn.IFS(_xlpm.MyAuditVal&lt;&gt;"",UPPER(_xlpm.MyAuditVal),_xlpm.MacVal&lt;&gt;"",_xlpm.MacVal,_xlpm.CSVVal&lt;&gt;"",_xlpm.CSVVal
)),"")</f>
        <v/>
      </c>
      <c r="K902" s="40" t="str" cm="1">
        <f t="array" ref="K902">IFERROR(_xlfn.LET(
_xlpm.CSVVal,_xlfn.XLOOKUP($A902,CSV!$A:$A,CSV!K:K,""),
_xlpm.MacVal,_xlfn.XLOOKUP($A902,Output_Mac!$A:$A,Output_Mac!K:K,""),
_xlpm.MyAuditVal,_xlfn.XLOOKUP($A902,My_Audit!$A:$A,My_Audit!J:J,""),
_xlfn.IFS(_xlpm.MyAuditVal&lt;&gt;"",UPPER(_xlpm.MyAuditVal),_xlpm.MacVal&lt;&gt;"",_xlpm.MacVal,_xlpm.CSVVal&lt;&gt;"",_xlpm.CSVVal
)),"")</f>
        <v/>
      </c>
      <c r="L902" s="40" t="str" cm="1">
        <f t="array" ref="L902">IFERROR(_xlfn.LET(
_xlpm.CSVVal,_xlfn.XLOOKUP($A902,CSV!$A:$A,CSV!P:P,""),
_xlpm.MacVal,_xlfn.XLOOKUP($A902,Output_Mac!$A:$A,Output_Mac!L:L,""),
_xlpm.MyAuditVal,_xlfn.XLOOKUP($A902,My_Audit!$A:$A,My_Audit!K:K,""),
_xlfn.IFS(_xlpm.MyAuditVal&lt;&gt;"",UPPER(_xlpm.MyAuditVal),_xlpm.MacVal&lt;&gt;"",_xlpm.MacVal,_xlpm.CSVVal&lt;&gt;"",_xlpm.CSVVal
)),"")</f>
        <v/>
      </c>
      <c r="M902" s="40" t="str" cm="1">
        <f t="array" ref="M902">IFERROR(_xlfn.LET(
_xlpm.CSVVal,_xlfn.XLOOKUP($A902,CSV!$A:$A,CSV!Q:Q,""),
_xlpm.MacVal,_xlfn.XLOOKUP($A902,Output_Mac!$A:$A,Output_Mac!M:M,""),
_xlpm.MyAuditVal,_xlfn.XLOOKUP($A902,My_Audit!$A:$A,My_Audit!L:L,""),
_xlfn.IFS(_xlpm.MyAuditVal&lt;&gt;"",UPPER(_xlpm.MyAuditVal),_xlpm.MacVal&lt;&gt;"",_xlpm.MacVal,_xlpm.CSVVal&lt;&gt;"",_xlpm.CSVVal
)),"")</f>
        <v/>
      </c>
      <c r="N902" s="40"/>
      <c r="O902" s="40" t="str">
        <f>_xlfn.LET(
    _xlpm.CSVVal, _xlfn.XLOOKUP($A902, CSV!$A:$A, CSV!AA:AA, ""),
    _xlpm.MacVal, _xlfn.XLOOKUP($A902, Output_Mac!$A:$A, Output_Mac!S:S, ""),
    _xlpm.MyAuditVal, _xlfn.XLOOKUP($A902, My_Audit!$A:$A, My_Audit!P:P, ""),
    _xlfn.TEXTJOIN(", ", TRUE, _xlpm.MyAuditVal, _xlpm.MacVal, _xlpm.CSVVal)
)</f>
        <v/>
      </c>
      <c r="P902" s="40" t="str" cm="1">
        <f t="array" ref="P902">IFERROR(_xlfn.LET(
_xlpm.CSVVal,_xlfn.XLOOKUP($A902,CSV!$A:$A,CSV!AB:AB,""),
_xlpm.MacVal,_xlfn.XLOOKUP($A902,Output_Mac!$A:$A,Output_Mac!T:T,""),
_xlpm.MyAuditVal,_xlfn.XLOOKUP($A902,My_Audit!$A:$A,My_Audit!Q:Q,""),
_xlfn.IFS(_xlpm.MyAuditVal&lt;&gt;"",UPPER(_xlpm.MyAuditVal),_xlpm.MacVal&lt;&gt;"",_xlpm.MacVal,_xlpm.CSVVal&lt;&gt;"",_xlpm.CSVVal
)),"No")</f>
        <v>No</v>
      </c>
      <c r="Q902" s="40" t="str" cm="1">
        <f t="array" ref="Q902">IFERROR(_xlfn.LET(
_xlpm.CSVVal,_xlfn.XLOOKUP($A902,CSV!$A:$A,CSV!AC:AC,""),
_xlpm.MacVal,_xlfn.XLOOKUP($A902,Output_Mac!$A:$A,Output_Mac!U:U,""),
_xlpm.MyAuditVal,_xlfn.XLOOKUP($A902,My_Audit!$A:$A,My_Audit!R:R,""),
_xlfn.IFS(_xlpm.MyAuditVal&lt;&gt;"",UPPER(_xlpm.MyAuditVal),_xlpm.MacVal&lt;&gt;"",_xlpm.MacVal,_xlpm.CSVVal&lt;&gt;"",_xlpm.CSVVal
)),"")</f>
        <v/>
      </c>
      <c r="R902" s="40"/>
      <c r="S902" s="40"/>
      <c r="T902" s="40"/>
      <c r="U902" s="40"/>
      <c r="V902" s="40"/>
      <c r="W902" s="40"/>
      <c r="X902" s="41" t="str">
        <f>_xlfn.LET(
    _xlpm.MacVal, _xlfn.XLOOKUP($A902, Output_Mac!$A:$A, Output_Mac!AB:AB, ""),
    _xlpm.MyAuditVal, _xlfn.XLOOKUP($A902, My_Audit!$A:$A, My_Audit!N:N, ""),
    _xlfn.TEXTJOIN(", ", TRUE, _xlpm.MyAuditVal, _xlpm.MacVal)
)</f>
        <v/>
      </c>
    </row>
    <row r="903" spans="1:24">
      <c r="A903" s="40" t="str">
        <f>_xlfn.TEXTJOIN("",TRUE,Input!$B$2,ROW(My_Audit!A902))</f>
        <v>X902</v>
      </c>
      <c r="B903" s="40" t="str">
        <f>_xlfn.TEXTJOIN("-",TRUE,"ITD",Input!$A$2,A903)</f>
        <v>ITD-X902</v>
      </c>
      <c r="C903" s="40" t="str" cm="1">
        <f t="array" ref="C903">IFERROR(_xlfn.LET(
_xlpm.CSVVal,_xlfn.XLOOKUP($A903,CSV!$A:$A,CSV!B:B,""),
_xlpm.MacVal,_xlfn.XLOOKUP($A903,Output_Mac!$A:$A,Output_Mac!B:B,""),
_xlpm.MyAuditVal,_xlfn.XLOOKUP($A903,My_Audit!$A:$A,My_Audit!B:B,""),
_xlfn.IFS(_xlpm.MyAuditVal&lt;&gt;"",UPPER(_xlpm.MyAuditVal),_xlpm.MacVal&lt;&gt;"",_xlpm.MacVal,_xlpm.CSVVal&lt;&gt;"",_xlpm.CSVVal
)),"")</f>
        <v/>
      </c>
      <c r="D903" s="40" t="str" cm="1">
        <f t="array" ref="D903">IFERROR(_xlfn.LET(
_xlpm.CSVVal,_xlfn.XLOOKUP($A903,CSV!$A:$A,CSV!D:D,""),
_xlpm.MacVal,_xlfn.XLOOKUP($A903,Output_Mac!$A:$A,Output_Mac!C:C,""),
_xlpm.MyAuditVal,_xlfn.XLOOKUP($A903,My_Audit!$A:$A,My_Audit!C:C,""),
_xlfn.IFS(_xlpm.MyAuditVal&lt;&gt;"",_xlpm.MyAuditVal,_xlpm.MacVal&lt;&gt;"",_xlpm.MacVal,_xlpm.CSVVal&lt;&gt;"",_xlpm.CSVVal
)),"")</f>
        <v/>
      </c>
      <c r="E903" s="40" t="str">
        <f>_xlfn.XLOOKUP(A903,My_Audit!A:A,My_Audit!D:D,"")</f>
        <v/>
      </c>
      <c r="F903" s="40" t="str" cm="1">
        <f t="array" ref="F903">IFERROR(_xlfn.LET(
_xlpm.CSVVal,_xlfn.XLOOKUP($A903,CSV!$A:$A,CSV!F:F,""),
_xlpm.MacVal,_xlfn.XLOOKUP($A903,Output_Mac!$A:$A,Output_Mac!E:E,""),
_xlpm.MyAuditVal,_xlfn.XLOOKUP($A903,My_Audit!$A:$A,My_Audit!E:E,""),
_xlfn.IFS(_xlpm.MyAuditVal&lt;&gt;"",_xlpm.MyAuditVal,_xlpm.MacVal&lt;&gt;"",_xlpm.MacVal,_xlpm.CSVVal&lt;&gt;"",_xlpm.CSVVal
)),"")</f>
        <v/>
      </c>
      <c r="G903" s="40" t="str" cm="1">
        <f t="array" ref="G903">IFERROR(_xlfn.LET(
_xlpm.CSVVal,_xlfn.XLOOKUP($A903,CSV!$A:$A,CSV!G:G,""),
_xlpm.MacVal,_xlfn.XLOOKUP($A903,Output_Mac!$A:$A,Output_Mac!F:F,""),
_xlpm.MyAuditVal,_xlfn.XLOOKUP($A903,My_Audit!$A:$A,My_Audit!F:F,""),
_xlfn.IFS(_xlpm.MyAuditVal&lt;&gt;"",_xlpm.MyAuditVal,_xlpm.MacVal&lt;&gt;"",_xlpm.MacVal,_xlpm.CSVVal&lt;&gt;"",PROPER(_xlpm.CSVVal)
)),"")</f>
        <v/>
      </c>
      <c r="H903" s="40" t="str" cm="1">
        <f t="array" ref="H903">IFERROR(_xlfn.LET(
_xlpm.CSVVal,_xlfn.XLOOKUP($A903,CSV!$A:$A,CSV!H:H,""),
_xlpm.MacVal,_xlfn.XLOOKUP($A903,Output_Mac!$A:$A,Output_Mac!H:H,""),
_xlpm.MyAuditVal,_xlfn.XLOOKUP($A903,My_Audit!$A:$A,My_Audit!G:G,""),
_xlfn.IFS(_xlpm.MyAuditVal&lt;&gt;"",_xlpm.MyAuditVal,_xlpm.MacVal&lt;&gt;"",_xlpm.MacVal,_xlpm.CSVVal&lt;&gt;"",_xlpm.CSVVal
)),"")</f>
        <v/>
      </c>
      <c r="I903" s="40" t="str">
        <f>_xlfn.XLOOKUP(A903,Output_Mac!A:A,Output_Mac!I:I,"")</f>
        <v/>
      </c>
      <c r="J903" s="40" t="str" cm="1">
        <f t="array" ref="J903">IFERROR(_xlfn.LET(
_xlpm.CSVVal,_xlfn.XLOOKUP($A903,CSV!$A:$A,CSV!I:I,""),
_xlpm.MacVal,_xlfn.XLOOKUP($A903,Output_Mac!$A:$A,Output_Mac!J:J,""),
_xlpm.MyAuditVal,_xlfn.XLOOKUP($A903,My_Audit!$A:$A,My_Audit!I:I,""),
_xlfn.IFS(_xlpm.MyAuditVal&lt;&gt;"",UPPER(_xlpm.MyAuditVal),_xlpm.MacVal&lt;&gt;"",_xlpm.MacVal,_xlpm.CSVVal&lt;&gt;"",_xlpm.CSVVal
)),"")</f>
        <v/>
      </c>
      <c r="K903" s="40" t="str" cm="1">
        <f t="array" ref="K903">IFERROR(_xlfn.LET(
_xlpm.CSVVal,_xlfn.XLOOKUP($A903,CSV!$A:$A,CSV!K:K,""),
_xlpm.MacVal,_xlfn.XLOOKUP($A903,Output_Mac!$A:$A,Output_Mac!K:K,""),
_xlpm.MyAuditVal,_xlfn.XLOOKUP($A903,My_Audit!$A:$A,My_Audit!J:J,""),
_xlfn.IFS(_xlpm.MyAuditVal&lt;&gt;"",UPPER(_xlpm.MyAuditVal),_xlpm.MacVal&lt;&gt;"",_xlpm.MacVal,_xlpm.CSVVal&lt;&gt;"",_xlpm.CSVVal
)),"")</f>
        <v/>
      </c>
      <c r="L903" s="40" t="str" cm="1">
        <f t="array" ref="L903">IFERROR(_xlfn.LET(
_xlpm.CSVVal,_xlfn.XLOOKUP($A903,CSV!$A:$A,CSV!P:P,""),
_xlpm.MacVal,_xlfn.XLOOKUP($A903,Output_Mac!$A:$A,Output_Mac!L:L,""),
_xlpm.MyAuditVal,_xlfn.XLOOKUP($A903,My_Audit!$A:$A,My_Audit!K:K,""),
_xlfn.IFS(_xlpm.MyAuditVal&lt;&gt;"",UPPER(_xlpm.MyAuditVal),_xlpm.MacVal&lt;&gt;"",_xlpm.MacVal,_xlpm.CSVVal&lt;&gt;"",_xlpm.CSVVal
)),"")</f>
        <v/>
      </c>
      <c r="M903" s="40" t="str" cm="1">
        <f t="array" ref="M903">IFERROR(_xlfn.LET(
_xlpm.CSVVal,_xlfn.XLOOKUP($A903,CSV!$A:$A,CSV!Q:Q,""),
_xlpm.MacVal,_xlfn.XLOOKUP($A903,Output_Mac!$A:$A,Output_Mac!M:M,""),
_xlpm.MyAuditVal,_xlfn.XLOOKUP($A903,My_Audit!$A:$A,My_Audit!L:L,""),
_xlfn.IFS(_xlpm.MyAuditVal&lt;&gt;"",UPPER(_xlpm.MyAuditVal),_xlpm.MacVal&lt;&gt;"",_xlpm.MacVal,_xlpm.CSVVal&lt;&gt;"",_xlpm.CSVVal
)),"")</f>
        <v/>
      </c>
      <c r="N903" s="40"/>
      <c r="O903" s="40" t="str">
        <f>_xlfn.LET(
    _xlpm.CSVVal, _xlfn.XLOOKUP($A903, CSV!$A:$A, CSV!AA:AA, ""),
    _xlpm.MacVal, _xlfn.XLOOKUP($A903, Output_Mac!$A:$A, Output_Mac!S:S, ""),
    _xlpm.MyAuditVal, _xlfn.XLOOKUP($A903, My_Audit!$A:$A, My_Audit!P:P, ""),
    _xlfn.TEXTJOIN(", ", TRUE, _xlpm.MyAuditVal, _xlpm.MacVal, _xlpm.CSVVal)
)</f>
        <v/>
      </c>
      <c r="P903" s="40" t="str" cm="1">
        <f t="array" ref="P903">IFERROR(_xlfn.LET(
_xlpm.CSVVal,_xlfn.XLOOKUP($A903,CSV!$A:$A,CSV!AB:AB,""),
_xlpm.MacVal,_xlfn.XLOOKUP($A903,Output_Mac!$A:$A,Output_Mac!T:T,""),
_xlpm.MyAuditVal,_xlfn.XLOOKUP($A903,My_Audit!$A:$A,My_Audit!Q:Q,""),
_xlfn.IFS(_xlpm.MyAuditVal&lt;&gt;"",UPPER(_xlpm.MyAuditVal),_xlpm.MacVal&lt;&gt;"",_xlpm.MacVal,_xlpm.CSVVal&lt;&gt;"",_xlpm.CSVVal
)),"No")</f>
        <v>No</v>
      </c>
      <c r="Q903" s="40" t="str" cm="1">
        <f t="array" ref="Q903">IFERROR(_xlfn.LET(
_xlpm.CSVVal,_xlfn.XLOOKUP($A903,CSV!$A:$A,CSV!AC:AC,""),
_xlpm.MacVal,_xlfn.XLOOKUP($A903,Output_Mac!$A:$A,Output_Mac!U:U,""),
_xlpm.MyAuditVal,_xlfn.XLOOKUP($A903,My_Audit!$A:$A,My_Audit!R:R,""),
_xlfn.IFS(_xlpm.MyAuditVal&lt;&gt;"",UPPER(_xlpm.MyAuditVal),_xlpm.MacVal&lt;&gt;"",_xlpm.MacVal,_xlpm.CSVVal&lt;&gt;"",_xlpm.CSVVal
)),"")</f>
        <v/>
      </c>
      <c r="R903" s="40"/>
      <c r="S903" s="40"/>
      <c r="T903" s="40"/>
      <c r="U903" s="40"/>
      <c r="V903" s="40"/>
      <c r="W903" s="40"/>
      <c r="X903" s="41" t="str">
        <f>_xlfn.LET(
    _xlpm.MacVal, _xlfn.XLOOKUP($A903, Output_Mac!$A:$A, Output_Mac!AB:AB, ""),
    _xlpm.MyAuditVal, _xlfn.XLOOKUP($A903, My_Audit!$A:$A, My_Audit!N:N, ""),
    _xlfn.TEXTJOIN(", ", TRUE, _xlpm.MyAuditVal, _xlpm.MacVal)
)</f>
        <v/>
      </c>
    </row>
    <row r="904" spans="1:24">
      <c r="A904" s="40" t="str">
        <f>_xlfn.TEXTJOIN("",TRUE,Input!$B$2,ROW(My_Audit!A903))</f>
        <v>X903</v>
      </c>
      <c r="B904" s="40" t="str">
        <f>_xlfn.TEXTJOIN("-",TRUE,"ITD",Input!$A$2,A904)</f>
        <v>ITD-X903</v>
      </c>
      <c r="C904" s="40" t="str" cm="1">
        <f t="array" ref="C904">IFERROR(_xlfn.LET(
_xlpm.CSVVal,_xlfn.XLOOKUP($A904,CSV!$A:$A,CSV!B:B,""),
_xlpm.MacVal,_xlfn.XLOOKUP($A904,Output_Mac!$A:$A,Output_Mac!B:B,""),
_xlpm.MyAuditVal,_xlfn.XLOOKUP($A904,My_Audit!$A:$A,My_Audit!B:B,""),
_xlfn.IFS(_xlpm.MyAuditVal&lt;&gt;"",UPPER(_xlpm.MyAuditVal),_xlpm.MacVal&lt;&gt;"",_xlpm.MacVal,_xlpm.CSVVal&lt;&gt;"",_xlpm.CSVVal
)),"")</f>
        <v/>
      </c>
      <c r="D904" s="40" t="str" cm="1">
        <f t="array" ref="D904">IFERROR(_xlfn.LET(
_xlpm.CSVVal,_xlfn.XLOOKUP($A904,CSV!$A:$A,CSV!D:D,""),
_xlpm.MacVal,_xlfn.XLOOKUP($A904,Output_Mac!$A:$A,Output_Mac!C:C,""),
_xlpm.MyAuditVal,_xlfn.XLOOKUP($A904,My_Audit!$A:$A,My_Audit!C:C,""),
_xlfn.IFS(_xlpm.MyAuditVal&lt;&gt;"",_xlpm.MyAuditVal,_xlpm.MacVal&lt;&gt;"",_xlpm.MacVal,_xlpm.CSVVal&lt;&gt;"",_xlpm.CSVVal
)),"")</f>
        <v/>
      </c>
      <c r="E904" s="40" t="str">
        <f>_xlfn.XLOOKUP(A904,My_Audit!A:A,My_Audit!D:D,"")</f>
        <v/>
      </c>
      <c r="F904" s="40" t="str" cm="1">
        <f t="array" ref="F904">IFERROR(_xlfn.LET(
_xlpm.CSVVal,_xlfn.XLOOKUP($A904,CSV!$A:$A,CSV!F:F,""),
_xlpm.MacVal,_xlfn.XLOOKUP($A904,Output_Mac!$A:$A,Output_Mac!E:E,""),
_xlpm.MyAuditVal,_xlfn.XLOOKUP($A904,My_Audit!$A:$A,My_Audit!E:E,""),
_xlfn.IFS(_xlpm.MyAuditVal&lt;&gt;"",_xlpm.MyAuditVal,_xlpm.MacVal&lt;&gt;"",_xlpm.MacVal,_xlpm.CSVVal&lt;&gt;"",_xlpm.CSVVal
)),"")</f>
        <v/>
      </c>
      <c r="G904" s="40" t="str" cm="1">
        <f t="array" ref="G904">IFERROR(_xlfn.LET(
_xlpm.CSVVal,_xlfn.XLOOKUP($A904,CSV!$A:$A,CSV!G:G,""),
_xlpm.MacVal,_xlfn.XLOOKUP($A904,Output_Mac!$A:$A,Output_Mac!F:F,""),
_xlpm.MyAuditVal,_xlfn.XLOOKUP($A904,My_Audit!$A:$A,My_Audit!F:F,""),
_xlfn.IFS(_xlpm.MyAuditVal&lt;&gt;"",_xlpm.MyAuditVal,_xlpm.MacVal&lt;&gt;"",_xlpm.MacVal,_xlpm.CSVVal&lt;&gt;"",PROPER(_xlpm.CSVVal)
)),"")</f>
        <v/>
      </c>
      <c r="H904" s="40" t="str" cm="1">
        <f t="array" ref="H904">IFERROR(_xlfn.LET(
_xlpm.CSVVal,_xlfn.XLOOKUP($A904,CSV!$A:$A,CSV!H:H,""),
_xlpm.MacVal,_xlfn.XLOOKUP($A904,Output_Mac!$A:$A,Output_Mac!H:H,""),
_xlpm.MyAuditVal,_xlfn.XLOOKUP($A904,My_Audit!$A:$A,My_Audit!G:G,""),
_xlfn.IFS(_xlpm.MyAuditVal&lt;&gt;"",_xlpm.MyAuditVal,_xlpm.MacVal&lt;&gt;"",_xlpm.MacVal,_xlpm.CSVVal&lt;&gt;"",_xlpm.CSVVal
)),"")</f>
        <v/>
      </c>
      <c r="I904" s="40" t="str">
        <f>_xlfn.XLOOKUP(A904,Output_Mac!A:A,Output_Mac!I:I,"")</f>
        <v/>
      </c>
      <c r="J904" s="40" t="str" cm="1">
        <f t="array" ref="J904">IFERROR(_xlfn.LET(
_xlpm.CSVVal,_xlfn.XLOOKUP($A904,CSV!$A:$A,CSV!I:I,""),
_xlpm.MacVal,_xlfn.XLOOKUP($A904,Output_Mac!$A:$A,Output_Mac!J:J,""),
_xlpm.MyAuditVal,_xlfn.XLOOKUP($A904,My_Audit!$A:$A,My_Audit!I:I,""),
_xlfn.IFS(_xlpm.MyAuditVal&lt;&gt;"",UPPER(_xlpm.MyAuditVal),_xlpm.MacVal&lt;&gt;"",_xlpm.MacVal,_xlpm.CSVVal&lt;&gt;"",_xlpm.CSVVal
)),"")</f>
        <v/>
      </c>
      <c r="K904" s="40" t="str" cm="1">
        <f t="array" ref="K904">IFERROR(_xlfn.LET(
_xlpm.CSVVal,_xlfn.XLOOKUP($A904,CSV!$A:$A,CSV!K:K,""),
_xlpm.MacVal,_xlfn.XLOOKUP($A904,Output_Mac!$A:$A,Output_Mac!K:K,""),
_xlpm.MyAuditVal,_xlfn.XLOOKUP($A904,My_Audit!$A:$A,My_Audit!J:J,""),
_xlfn.IFS(_xlpm.MyAuditVal&lt;&gt;"",UPPER(_xlpm.MyAuditVal),_xlpm.MacVal&lt;&gt;"",_xlpm.MacVal,_xlpm.CSVVal&lt;&gt;"",_xlpm.CSVVal
)),"")</f>
        <v/>
      </c>
      <c r="L904" s="40" t="str" cm="1">
        <f t="array" ref="L904">IFERROR(_xlfn.LET(
_xlpm.CSVVal,_xlfn.XLOOKUP($A904,CSV!$A:$A,CSV!P:P,""),
_xlpm.MacVal,_xlfn.XLOOKUP($A904,Output_Mac!$A:$A,Output_Mac!L:L,""),
_xlpm.MyAuditVal,_xlfn.XLOOKUP($A904,My_Audit!$A:$A,My_Audit!K:K,""),
_xlfn.IFS(_xlpm.MyAuditVal&lt;&gt;"",UPPER(_xlpm.MyAuditVal),_xlpm.MacVal&lt;&gt;"",_xlpm.MacVal,_xlpm.CSVVal&lt;&gt;"",_xlpm.CSVVal
)),"")</f>
        <v/>
      </c>
      <c r="M904" s="40" t="str" cm="1">
        <f t="array" ref="M904">IFERROR(_xlfn.LET(
_xlpm.CSVVal,_xlfn.XLOOKUP($A904,CSV!$A:$A,CSV!Q:Q,""),
_xlpm.MacVal,_xlfn.XLOOKUP($A904,Output_Mac!$A:$A,Output_Mac!M:M,""),
_xlpm.MyAuditVal,_xlfn.XLOOKUP($A904,My_Audit!$A:$A,My_Audit!L:L,""),
_xlfn.IFS(_xlpm.MyAuditVal&lt;&gt;"",UPPER(_xlpm.MyAuditVal),_xlpm.MacVal&lt;&gt;"",_xlpm.MacVal,_xlpm.CSVVal&lt;&gt;"",_xlpm.CSVVal
)),"")</f>
        <v/>
      </c>
      <c r="N904" s="40"/>
      <c r="O904" s="40" t="str">
        <f>_xlfn.LET(
    _xlpm.CSVVal, _xlfn.XLOOKUP($A904, CSV!$A:$A, CSV!AA:AA, ""),
    _xlpm.MacVal, _xlfn.XLOOKUP($A904, Output_Mac!$A:$A, Output_Mac!S:S, ""),
    _xlpm.MyAuditVal, _xlfn.XLOOKUP($A904, My_Audit!$A:$A, My_Audit!P:P, ""),
    _xlfn.TEXTJOIN(", ", TRUE, _xlpm.MyAuditVal, _xlpm.MacVal, _xlpm.CSVVal)
)</f>
        <v/>
      </c>
      <c r="P904" s="40" t="str" cm="1">
        <f t="array" ref="P904">IFERROR(_xlfn.LET(
_xlpm.CSVVal,_xlfn.XLOOKUP($A904,CSV!$A:$A,CSV!AB:AB,""),
_xlpm.MacVal,_xlfn.XLOOKUP($A904,Output_Mac!$A:$A,Output_Mac!T:T,""),
_xlpm.MyAuditVal,_xlfn.XLOOKUP($A904,My_Audit!$A:$A,My_Audit!Q:Q,""),
_xlfn.IFS(_xlpm.MyAuditVal&lt;&gt;"",UPPER(_xlpm.MyAuditVal),_xlpm.MacVal&lt;&gt;"",_xlpm.MacVal,_xlpm.CSVVal&lt;&gt;"",_xlpm.CSVVal
)),"No")</f>
        <v>No</v>
      </c>
      <c r="Q904" s="40" t="str" cm="1">
        <f t="array" ref="Q904">IFERROR(_xlfn.LET(
_xlpm.CSVVal,_xlfn.XLOOKUP($A904,CSV!$A:$A,CSV!AC:AC,""),
_xlpm.MacVal,_xlfn.XLOOKUP($A904,Output_Mac!$A:$A,Output_Mac!U:U,""),
_xlpm.MyAuditVal,_xlfn.XLOOKUP($A904,My_Audit!$A:$A,My_Audit!R:R,""),
_xlfn.IFS(_xlpm.MyAuditVal&lt;&gt;"",UPPER(_xlpm.MyAuditVal),_xlpm.MacVal&lt;&gt;"",_xlpm.MacVal,_xlpm.CSVVal&lt;&gt;"",_xlpm.CSVVal
)),"")</f>
        <v/>
      </c>
      <c r="R904" s="40"/>
      <c r="S904" s="40"/>
      <c r="T904" s="40"/>
      <c r="U904" s="40"/>
      <c r="V904" s="40"/>
      <c r="W904" s="40"/>
      <c r="X904" s="41" t="str">
        <f>_xlfn.LET(
    _xlpm.MacVal, _xlfn.XLOOKUP($A904, Output_Mac!$A:$A, Output_Mac!AB:AB, ""),
    _xlpm.MyAuditVal, _xlfn.XLOOKUP($A904, My_Audit!$A:$A, My_Audit!N:N, ""),
    _xlfn.TEXTJOIN(", ", TRUE, _xlpm.MyAuditVal, _xlpm.MacVal)
)</f>
        <v/>
      </c>
    </row>
    <row r="905" spans="1:24">
      <c r="A905" s="40" t="str">
        <f>_xlfn.TEXTJOIN("",TRUE,Input!$B$2,ROW(My_Audit!A904))</f>
        <v>X904</v>
      </c>
      <c r="B905" s="40" t="str">
        <f>_xlfn.TEXTJOIN("-",TRUE,"ITD",Input!$A$2,A905)</f>
        <v>ITD-X904</v>
      </c>
      <c r="C905" s="40" t="str" cm="1">
        <f t="array" ref="C905">IFERROR(_xlfn.LET(
_xlpm.CSVVal,_xlfn.XLOOKUP($A905,CSV!$A:$A,CSV!B:B,""),
_xlpm.MacVal,_xlfn.XLOOKUP($A905,Output_Mac!$A:$A,Output_Mac!B:B,""),
_xlpm.MyAuditVal,_xlfn.XLOOKUP($A905,My_Audit!$A:$A,My_Audit!B:B,""),
_xlfn.IFS(_xlpm.MyAuditVal&lt;&gt;"",UPPER(_xlpm.MyAuditVal),_xlpm.MacVal&lt;&gt;"",_xlpm.MacVal,_xlpm.CSVVal&lt;&gt;"",_xlpm.CSVVal
)),"")</f>
        <v/>
      </c>
      <c r="D905" s="40" t="str" cm="1">
        <f t="array" ref="D905">IFERROR(_xlfn.LET(
_xlpm.CSVVal,_xlfn.XLOOKUP($A905,CSV!$A:$A,CSV!D:D,""),
_xlpm.MacVal,_xlfn.XLOOKUP($A905,Output_Mac!$A:$A,Output_Mac!C:C,""),
_xlpm.MyAuditVal,_xlfn.XLOOKUP($A905,My_Audit!$A:$A,My_Audit!C:C,""),
_xlfn.IFS(_xlpm.MyAuditVal&lt;&gt;"",_xlpm.MyAuditVal,_xlpm.MacVal&lt;&gt;"",_xlpm.MacVal,_xlpm.CSVVal&lt;&gt;"",_xlpm.CSVVal
)),"")</f>
        <v/>
      </c>
      <c r="E905" s="40" t="str">
        <f>_xlfn.XLOOKUP(A905,My_Audit!A:A,My_Audit!D:D,"")</f>
        <v/>
      </c>
      <c r="F905" s="40" t="str" cm="1">
        <f t="array" ref="F905">IFERROR(_xlfn.LET(
_xlpm.CSVVal,_xlfn.XLOOKUP($A905,CSV!$A:$A,CSV!F:F,""),
_xlpm.MacVal,_xlfn.XLOOKUP($A905,Output_Mac!$A:$A,Output_Mac!E:E,""),
_xlpm.MyAuditVal,_xlfn.XLOOKUP($A905,My_Audit!$A:$A,My_Audit!E:E,""),
_xlfn.IFS(_xlpm.MyAuditVal&lt;&gt;"",_xlpm.MyAuditVal,_xlpm.MacVal&lt;&gt;"",_xlpm.MacVal,_xlpm.CSVVal&lt;&gt;"",_xlpm.CSVVal
)),"")</f>
        <v/>
      </c>
      <c r="G905" s="40" t="str" cm="1">
        <f t="array" ref="G905">IFERROR(_xlfn.LET(
_xlpm.CSVVal,_xlfn.XLOOKUP($A905,CSV!$A:$A,CSV!G:G,""),
_xlpm.MacVal,_xlfn.XLOOKUP($A905,Output_Mac!$A:$A,Output_Mac!F:F,""),
_xlpm.MyAuditVal,_xlfn.XLOOKUP($A905,My_Audit!$A:$A,My_Audit!F:F,""),
_xlfn.IFS(_xlpm.MyAuditVal&lt;&gt;"",_xlpm.MyAuditVal,_xlpm.MacVal&lt;&gt;"",_xlpm.MacVal,_xlpm.CSVVal&lt;&gt;"",PROPER(_xlpm.CSVVal)
)),"")</f>
        <v/>
      </c>
      <c r="H905" s="40" t="str" cm="1">
        <f t="array" ref="H905">IFERROR(_xlfn.LET(
_xlpm.CSVVal,_xlfn.XLOOKUP($A905,CSV!$A:$A,CSV!H:H,""),
_xlpm.MacVal,_xlfn.XLOOKUP($A905,Output_Mac!$A:$A,Output_Mac!H:H,""),
_xlpm.MyAuditVal,_xlfn.XLOOKUP($A905,My_Audit!$A:$A,My_Audit!G:G,""),
_xlfn.IFS(_xlpm.MyAuditVal&lt;&gt;"",_xlpm.MyAuditVal,_xlpm.MacVal&lt;&gt;"",_xlpm.MacVal,_xlpm.CSVVal&lt;&gt;"",_xlpm.CSVVal
)),"")</f>
        <v/>
      </c>
      <c r="I905" s="40" t="str">
        <f>_xlfn.XLOOKUP(A905,Output_Mac!A:A,Output_Mac!I:I,"")</f>
        <v/>
      </c>
      <c r="J905" s="40" t="str" cm="1">
        <f t="array" ref="J905">IFERROR(_xlfn.LET(
_xlpm.CSVVal,_xlfn.XLOOKUP($A905,CSV!$A:$A,CSV!I:I,""),
_xlpm.MacVal,_xlfn.XLOOKUP($A905,Output_Mac!$A:$A,Output_Mac!J:J,""),
_xlpm.MyAuditVal,_xlfn.XLOOKUP($A905,My_Audit!$A:$A,My_Audit!I:I,""),
_xlfn.IFS(_xlpm.MyAuditVal&lt;&gt;"",UPPER(_xlpm.MyAuditVal),_xlpm.MacVal&lt;&gt;"",_xlpm.MacVal,_xlpm.CSVVal&lt;&gt;"",_xlpm.CSVVal
)),"")</f>
        <v/>
      </c>
      <c r="K905" s="40" t="str" cm="1">
        <f t="array" ref="K905">IFERROR(_xlfn.LET(
_xlpm.CSVVal,_xlfn.XLOOKUP($A905,CSV!$A:$A,CSV!K:K,""),
_xlpm.MacVal,_xlfn.XLOOKUP($A905,Output_Mac!$A:$A,Output_Mac!K:K,""),
_xlpm.MyAuditVal,_xlfn.XLOOKUP($A905,My_Audit!$A:$A,My_Audit!J:J,""),
_xlfn.IFS(_xlpm.MyAuditVal&lt;&gt;"",UPPER(_xlpm.MyAuditVal),_xlpm.MacVal&lt;&gt;"",_xlpm.MacVal,_xlpm.CSVVal&lt;&gt;"",_xlpm.CSVVal
)),"")</f>
        <v/>
      </c>
      <c r="L905" s="40" t="str" cm="1">
        <f t="array" ref="L905">IFERROR(_xlfn.LET(
_xlpm.CSVVal,_xlfn.XLOOKUP($A905,CSV!$A:$A,CSV!P:P,""),
_xlpm.MacVal,_xlfn.XLOOKUP($A905,Output_Mac!$A:$A,Output_Mac!L:L,""),
_xlpm.MyAuditVal,_xlfn.XLOOKUP($A905,My_Audit!$A:$A,My_Audit!K:K,""),
_xlfn.IFS(_xlpm.MyAuditVal&lt;&gt;"",UPPER(_xlpm.MyAuditVal),_xlpm.MacVal&lt;&gt;"",_xlpm.MacVal,_xlpm.CSVVal&lt;&gt;"",_xlpm.CSVVal
)),"")</f>
        <v/>
      </c>
      <c r="M905" s="40" t="str" cm="1">
        <f t="array" ref="M905">IFERROR(_xlfn.LET(
_xlpm.CSVVal,_xlfn.XLOOKUP($A905,CSV!$A:$A,CSV!Q:Q,""),
_xlpm.MacVal,_xlfn.XLOOKUP($A905,Output_Mac!$A:$A,Output_Mac!M:M,""),
_xlpm.MyAuditVal,_xlfn.XLOOKUP($A905,My_Audit!$A:$A,My_Audit!L:L,""),
_xlfn.IFS(_xlpm.MyAuditVal&lt;&gt;"",UPPER(_xlpm.MyAuditVal),_xlpm.MacVal&lt;&gt;"",_xlpm.MacVal,_xlpm.CSVVal&lt;&gt;"",_xlpm.CSVVal
)),"")</f>
        <v/>
      </c>
      <c r="N905" s="40"/>
      <c r="O905" s="40" t="str">
        <f>_xlfn.LET(
    _xlpm.CSVVal, _xlfn.XLOOKUP($A905, CSV!$A:$A, CSV!AA:AA, ""),
    _xlpm.MacVal, _xlfn.XLOOKUP($A905, Output_Mac!$A:$A, Output_Mac!S:S, ""),
    _xlpm.MyAuditVal, _xlfn.XLOOKUP($A905, My_Audit!$A:$A, My_Audit!P:P, ""),
    _xlfn.TEXTJOIN(", ", TRUE, _xlpm.MyAuditVal, _xlpm.MacVal, _xlpm.CSVVal)
)</f>
        <v/>
      </c>
      <c r="P905" s="40" t="str" cm="1">
        <f t="array" ref="P905">IFERROR(_xlfn.LET(
_xlpm.CSVVal,_xlfn.XLOOKUP($A905,CSV!$A:$A,CSV!AB:AB,""),
_xlpm.MacVal,_xlfn.XLOOKUP($A905,Output_Mac!$A:$A,Output_Mac!T:T,""),
_xlpm.MyAuditVal,_xlfn.XLOOKUP($A905,My_Audit!$A:$A,My_Audit!Q:Q,""),
_xlfn.IFS(_xlpm.MyAuditVal&lt;&gt;"",UPPER(_xlpm.MyAuditVal),_xlpm.MacVal&lt;&gt;"",_xlpm.MacVal,_xlpm.CSVVal&lt;&gt;"",_xlpm.CSVVal
)),"No")</f>
        <v>No</v>
      </c>
      <c r="Q905" s="40" t="str" cm="1">
        <f t="array" ref="Q905">IFERROR(_xlfn.LET(
_xlpm.CSVVal,_xlfn.XLOOKUP($A905,CSV!$A:$A,CSV!AC:AC,""),
_xlpm.MacVal,_xlfn.XLOOKUP($A905,Output_Mac!$A:$A,Output_Mac!U:U,""),
_xlpm.MyAuditVal,_xlfn.XLOOKUP($A905,My_Audit!$A:$A,My_Audit!R:R,""),
_xlfn.IFS(_xlpm.MyAuditVal&lt;&gt;"",UPPER(_xlpm.MyAuditVal),_xlpm.MacVal&lt;&gt;"",_xlpm.MacVal,_xlpm.CSVVal&lt;&gt;"",_xlpm.CSVVal
)),"")</f>
        <v/>
      </c>
      <c r="R905" s="40"/>
      <c r="S905" s="40"/>
      <c r="T905" s="40"/>
      <c r="U905" s="40"/>
      <c r="V905" s="40"/>
      <c r="W905" s="40"/>
      <c r="X905" s="41" t="str">
        <f>_xlfn.LET(
    _xlpm.MacVal, _xlfn.XLOOKUP($A905, Output_Mac!$A:$A, Output_Mac!AB:AB, ""),
    _xlpm.MyAuditVal, _xlfn.XLOOKUP($A905, My_Audit!$A:$A, My_Audit!N:N, ""),
    _xlfn.TEXTJOIN(", ", TRUE, _xlpm.MyAuditVal, _xlpm.MacVal)
)</f>
        <v/>
      </c>
    </row>
    <row r="906" spans="1:24">
      <c r="A906" s="40" t="str">
        <f>_xlfn.TEXTJOIN("",TRUE,Input!$B$2,ROW(My_Audit!A905))</f>
        <v>X905</v>
      </c>
      <c r="B906" s="40" t="str">
        <f>_xlfn.TEXTJOIN("-",TRUE,"ITD",Input!$A$2,A906)</f>
        <v>ITD-X905</v>
      </c>
      <c r="C906" s="40" t="str" cm="1">
        <f t="array" ref="C906">IFERROR(_xlfn.LET(
_xlpm.CSVVal,_xlfn.XLOOKUP($A906,CSV!$A:$A,CSV!B:B,""),
_xlpm.MacVal,_xlfn.XLOOKUP($A906,Output_Mac!$A:$A,Output_Mac!B:B,""),
_xlpm.MyAuditVal,_xlfn.XLOOKUP($A906,My_Audit!$A:$A,My_Audit!B:B,""),
_xlfn.IFS(_xlpm.MyAuditVal&lt;&gt;"",UPPER(_xlpm.MyAuditVal),_xlpm.MacVal&lt;&gt;"",_xlpm.MacVal,_xlpm.CSVVal&lt;&gt;"",_xlpm.CSVVal
)),"")</f>
        <v/>
      </c>
      <c r="D906" s="40" t="str" cm="1">
        <f t="array" ref="D906">IFERROR(_xlfn.LET(
_xlpm.CSVVal,_xlfn.XLOOKUP($A906,CSV!$A:$A,CSV!D:D,""),
_xlpm.MacVal,_xlfn.XLOOKUP($A906,Output_Mac!$A:$A,Output_Mac!C:C,""),
_xlpm.MyAuditVal,_xlfn.XLOOKUP($A906,My_Audit!$A:$A,My_Audit!C:C,""),
_xlfn.IFS(_xlpm.MyAuditVal&lt;&gt;"",_xlpm.MyAuditVal,_xlpm.MacVal&lt;&gt;"",_xlpm.MacVal,_xlpm.CSVVal&lt;&gt;"",_xlpm.CSVVal
)),"")</f>
        <v/>
      </c>
      <c r="E906" s="40" t="str">
        <f>_xlfn.XLOOKUP(A906,My_Audit!A:A,My_Audit!D:D,"")</f>
        <v/>
      </c>
      <c r="F906" s="40" t="str" cm="1">
        <f t="array" ref="F906">IFERROR(_xlfn.LET(
_xlpm.CSVVal,_xlfn.XLOOKUP($A906,CSV!$A:$A,CSV!F:F,""),
_xlpm.MacVal,_xlfn.XLOOKUP($A906,Output_Mac!$A:$A,Output_Mac!E:E,""),
_xlpm.MyAuditVal,_xlfn.XLOOKUP($A906,My_Audit!$A:$A,My_Audit!E:E,""),
_xlfn.IFS(_xlpm.MyAuditVal&lt;&gt;"",_xlpm.MyAuditVal,_xlpm.MacVal&lt;&gt;"",_xlpm.MacVal,_xlpm.CSVVal&lt;&gt;"",_xlpm.CSVVal
)),"")</f>
        <v/>
      </c>
      <c r="G906" s="40" t="str" cm="1">
        <f t="array" ref="G906">IFERROR(_xlfn.LET(
_xlpm.CSVVal,_xlfn.XLOOKUP($A906,CSV!$A:$A,CSV!G:G,""),
_xlpm.MacVal,_xlfn.XLOOKUP($A906,Output_Mac!$A:$A,Output_Mac!F:F,""),
_xlpm.MyAuditVal,_xlfn.XLOOKUP($A906,My_Audit!$A:$A,My_Audit!F:F,""),
_xlfn.IFS(_xlpm.MyAuditVal&lt;&gt;"",_xlpm.MyAuditVal,_xlpm.MacVal&lt;&gt;"",_xlpm.MacVal,_xlpm.CSVVal&lt;&gt;"",PROPER(_xlpm.CSVVal)
)),"")</f>
        <v/>
      </c>
      <c r="H906" s="40" t="str" cm="1">
        <f t="array" ref="H906">IFERROR(_xlfn.LET(
_xlpm.CSVVal,_xlfn.XLOOKUP($A906,CSV!$A:$A,CSV!H:H,""),
_xlpm.MacVal,_xlfn.XLOOKUP($A906,Output_Mac!$A:$A,Output_Mac!H:H,""),
_xlpm.MyAuditVal,_xlfn.XLOOKUP($A906,My_Audit!$A:$A,My_Audit!G:G,""),
_xlfn.IFS(_xlpm.MyAuditVal&lt;&gt;"",_xlpm.MyAuditVal,_xlpm.MacVal&lt;&gt;"",_xlpm.MacVal,_xlpm.CSVVal&lt;&gt;"",_xlpm.CSVVal
)),"")</f>
        <v/>
      </c>
      <c r="I906" s="40" t="str">
        <f>_xlfn.XLOOKUP(A906,Output_Mac!A:A,Output_Mac!I:I,"")</f>
        <v/>
      </c>
      <c r="J906" s="40" t="str" cm="1">
        <f t="array" ref="J906">IFERROR(_xlfn.LET(
_xlpm.CSVVal,_xlfn.XLOOKUP($A906,CSV!$A:$A,CSV!I:I,""),
_xlpm.MacVal,_xlfn.XLOOKUP($A906,Output_Mac!$A:$A,Output_Mac!J:J,""),
_xlpm.MyAuditVal,_xlfn.XLOOKUP($A906,My_Audit!$A:$A,My_Audit!I:I,""),
_xlfn.IFS(_xlpm.MyAuditVal&lt;&gt;"",UPPER(_xlpm.MyAuditVal),_xlpm.MacVal&lt;&gt;"",_xlpm.MacVal,_xlpm.CSVVal&lt;&gt;"",_xlpm.CSVVal
)),"")</f>
        <v/>
      </c>
      <c r="K906" s="40" t="str" cm="1">
        <f t="array" ref="K906">IFERROR(_xlfn.LET(
_xlpm.CSVVal,_xlfn.XLOOKUP($A906,CSV!$A:$A,CSV!K:K,""),
_xlpm.MacVal,_xlfn.XLOOKUP($A906,Output_Mac!$A:$A,Output_Mac!K:K,""),
_xlpm.MyAuditVal,_xlfn.XLOOKUP($A906,My_Audit!$A:$A,My_Audit!J:J,""),
_xlfn.IFS(_xlpm.MyAuditVal&lt;&gt;"",UPPER(_xlpm.MyAuditVal),_xlpm.MacVal&lt;&gt;"",_xlpm.MacVal,_xlpm.CSVVal&lt;&gt;"",_xlpm.CSVVal
)),"")</f>
        <v/>
      </c>
      <c r="L906" s="40" t="str" cm="1">
        <f t="array" ref="L906">IFERROR(_xlfn.LET(
_xlpm.CSVVal,_xlfn.XLOOKUP($A906,CSV!$A:$A,CSV!P:P,""),
_xlpm.MacVal,_xlfn.XLOOKUP($A906,Output_Mac!$A:$A,Output_Mac!L:L,""),
_xlpm.MyAuditVal,_xlfn.XLOOKUP($A906,My_Audit!$A:$A,My_Audit!K:K,""),
_xlfn.IFS(_xlpm.MyAuditVal&lt;&gt;"",UPPER(_xlpm.MyAuditVal),_xlpm.MacVal&lt;&gt;"",_xlpm.MacVal,_xlpm.CSVVal&lt;&gt;"",_xlpm.CSVVal
)),"")</f>
        <v/>
      </c>
      <c r="M906" s="40" t="str" cm="1">
        <f t="array" ref="M906">IFERROR(_xlfn.LET(
_xlpm.CSVVal,_xlfn.XLOOKUP($A906,CSV!$A:$A,CSV!Q:Q,""),
_xlpm.MacVal,_xlfn.XLOOKUP($A906,Output_Mac!$A:$A,Output_Mac!M:M,""),
_xlpm.MyAuditVal,_xlfn.XLOOKUP($A906,My_Audit!$A:$A,My_Audit!L:L,""),
_xlfn.IFS(_xlpm.MyAuditVal&lt;&gt;"",UPPER(_xlpm.MyAuditVal),_xlpm.MacVal&lt;&gt;"",_xlpm.MacVal,_xlpm.CSVVal&lt;&gt;"",_xlpm.CSVVal
)),"")</f>
        <v/>
      </c>
      <c r="N906" s="40"/>
      <c r="O906" s="40" t="str">
        <f>_xlfn.LET(
    _xlpm.CSVVal, _xlfn.XLOOKUP($A906, CSV!$A:$A, CSV!AA:AA, ""),
    _xlpm.MacVal, _xlfn.XLOOKUP($A906, Output_Mac!$A:$A, Output_Mac!S:S, ""),
    _xlpm.MyAuditVal, _xlfn.XLOOKUP($A906, My_Audit!$A:$A, My_Audit!P:P, ""),
    _xlfn.TEXTJOIN(", ", TRUE, _xlpm.MyAuditVal, _xlpm.MacVal, _xlpm.CSVVal)
)</f>
        <v/>
      </c>
      <c r="P906" s="40" t="str" cm="1">
        <f t="array" ref="P906">IFERROR(_xlfn.LET(
_xlpm.CSVVal,_xlfn.XLOOKUP($A906,CSV!$A:$A,CSV!AB:AB,""),
_xlpm.MacVal,_xlfn.XLOOKUP($A906,Output_Mac!$A:$A,Output_Mac!T:T,""),
_xlpm.MyAuditVal,_xlfn.XLOOKUP($A906,My_Audit!$A:$A,My_Audit!Q:Q,""),
_xlfn.IFS(_xlpm.MyAuditVal&lt;&gt;"",UPPER(_xlpm.MyAuditVal),_xlpm.MacVal&lt;&gt;"",_xlpm.MacVal,_xlpm.CSVVal&lt;&gt;"",_xlpm.CSVVal
)),"No")</f>
        <v>No</v>
      </c>
      <c r="Q906" s="40" t="str" cm="1">
        <f t="array" ref="Q906">IFERROR(_xlfn.LET(
_xlpm.CSVVal,_xlfn.XLOOKUP($A906,CSV!$A:$A,CSV!AC:AC,""),
_xlpm.MacVal,_xlfn.XLOOKUP($A906,Output_Mac!$A:$A,Output_Mac!U:U,""),
_xlpm.MyAuditVal,_xlfn.XLOOKUP($A906,My_Audit!$A:$A,My_Audit!R:R,""),
_xlfn.IFS(_xlpm.MyAuditVal&lt;&gt;"",UPPER(_xlpm.MyAuditVal),_xlpm.MacVal&lt;&gt;"",_xlpm.MacVal,_xlpm.CSVVal&lt;&gt;"",_xlpm.CSVVal
)),"")</f>
        <v/>
      </c>
      <c r="R906" s="40"/>
      <c r="S906" s="40"/>
      <c r="T906" s="40"/>
      <c r="U906" s="40"/>
      <c r="V906" s="40"/>
      <c r="W906" s="40"/>
      <c r="X906" s="41" t="str">
        <f>_xlfn.LET(
    _xlpm.MacVal, _xlfn.XLOOKUP($A906, Output_Mac!$A:$A, Output_Mac!AB:AB, ""),
    _xlpm.MyAuditVal, _xlfn.XLOOKUP($A906, My_Audit!$A:$A, My_Audit!N:N, ""),
    _xlfn.TEXTJOIN(", ", TRUE, _xlpm.MyAuditVal, _xlpm.MacVal)
)</f>
        <v/>
      </c>
    </row>
    <row r="907" spans="1:24">
      <c r="A907" s="40" t="str">
        <f>_xlfn.TEXTJOIN("",TRUE,Input!$B$2,ROW(My_Audit!A906))</f>
        <v>X906</v>
      </c>
      <c r="B907" s="40" t="str">
        <f>_xlfn.TEXTJOIN("-",TRUE,"ITD",Input!$A$2,A907)</f>
        <v>ITD-X906</v>
      </c>
      <c r="C907" s="40" t="str" cm="1">
        <f t="array" ref="C907">IFERROR(_xlfn.LET(
_xlpm.CSVVal,_xlfn.XLOOKUP($A907,CSV!$A:$A,CSV!B:B,""),
_xlpm.MacVal,_xlfn.XLOOKUP($A907,Output_Mac!$A:$A,Output_Mac!B:B,""),
_xlpm.MyAuditVal,_xlfn.XLOOKUP($A907,My_Audit!$A:$A,My_Audit!B:B,""),
_xlfn.IFS(_xlpm.MyAuditVal&lt;&gt;"",UPPER(_xlpm.MyAuditVal),_xlpm.MacVal&lt;&gt;"",_xlpm.MacVal,_xlpm.CSVVal&lt;&gt;"",_xlpm.CSVVal
)),"")</f>
        <v/>
      </c>
      <c r="D907" s="40" t="str" cm="1">
        <f t="array" ref="D907">IFERROR(_xlfn.LET(
_xlpm.CSVVal,_xlfn.XLOOKUP($A907,CSV!$A:$A,CSV!D:D,""),
_xlpm.MacVal,_xlfn.XLOOKUP($A907,Output_Mac!$A:$A,Output_Mac!C:C,""),
_xlpm.MyAuditVal,_xlfn.XLOOKUP($A907,My_Audit!$A:$A,My_Audit!C:C,""),
_xlfn.IFS(_xlpm.MyAuditVal&lt;&gt;"",_xlpm.MyAuditVal,_xlpm.MacVal&lt;&gt;"",_xlpm.MacVal,_xlpm.CSVVal&lt;&gt;"",_xlpm.CSVVal
)),"")</f>
        <v/>
      </c>
      <c r="E907" s="40" t="str">
        <f>_xlfn.XLOOKUP(A907,My_Audit!A:A,My_Audit!D:D,"")</f>
        <v/>
      </c>
      <c r="F907" s="40" t="str" cm="1">
        <f t="array" ref="F907">IFERROR(_xlfn.LET(
_xlpm.CSVVal,_xlfn.XLOOKUP($A907,CSV!$A:$A,CSV!F:F,""),
_xlpm.MacVal,_xlfn.XLOOKUP($A907,Output_Mac!$A:$A,Output_Mac!E:E,""),
_xlpm.MyAuditVal,_xlfn.XLOOKUP($A907,My_Audit!$A:$A,My_Audit!E:E,""),
_xlfn.IFS(_xlpm.MyAuditVal&lt;&gt;"",_xlpm.MyAuditVal,_xlpm.MacVal&lt;&gt;"",_xlpm.MacVal,_xlpm.CSVVal&lt;&gt;"",_xlpm.CSVVal
)),"")</f>
        <v/>
      </c>
      <c r="G907" s="40" t="str" cm="1">
        <f t="array" ref="G907">IFERROR(_xlfn.LET(
_xlpm.CSVVal,_xlfn.XLOOKUP($A907,CSV!$A:$A,CSV!G:G,""),
_xlpm.MacVal,_xlfn.XLOOKUP($A907,Output_Mac!$A:$A,Output_Mac!F:F,""),
_xlpm.MyAuditVal,_xlfn.XLOOKUP($A907,My_Audit!$A:$A,My_Audit!F:F,""),
_xlfn.IFS(_xlpm.MyAuditVal&lt;&gt;"",_xlpm.MyAuditVal,_xlpm.MacVal&lt;&gt;"",_xlpm.MacVal,_xlpm.CSVVal&lt;&gt;"",PROPER(_xlpm.CSVVal)
)),"")</f>
        <v/>
      </c>
      <c r="H907" s="40" t="str" cm="1">
        <f t="array" ref="H907">IFERROR(_xlfn.LET(
_xlpm.CSVVal,_xlfn.XLOOKUP($A907,CSV!$A:$A,CSV!H:H,""),
_xlpm.MacVal,_xlfn.XLOOKUP($A907,Output_Mac!$A:$A,Output_Mac!H:H,""),
_xlpm.MyAuditVal,_xlfn.XLOOKUP($A907,My_Audit!$A:$A,My_Audit!G:G,""),
_xlfn.IFS(_xlpm.MyAuditVal&lt;&gt;"",_xlpm.MyAuditVal,_xlpm.MacVal&lt;&gt;"",_xlpm.MacVal,_xlpm.CSVVal&lt;&gt;"",_xlpm.CSVVal
)),"")</f>
        <v/>
      </c>
      <c r="I907" s="40" t="str">
        <f>_xlfn.XLOOKUP(A907,Output_Mac!A:A,Output_Mac!I:I,"")</f>
        <v/>
      </c>
      <c r="J907" s="40" t="str" cm="1">
        <f t="array" ref="J907">IFERROR(_xlfn.LET(
_xlpm.CSVVal,_xlfn.XLOOKUP($A907,CSV!$A:$A,CSV!I:I,""),
_xlpm.MacVal,_xlfn.XLOOKUP($A907,Output_Mac!$A:$A,Output_Mac!J:J,""),
_xlpm.MyAuditVal,_xlfn.XLOOKUP($A907,My_Audit!$A:$A,My_Audit!I:I,""),
_xlfn.IFS(_xlpm.MyAuditVal&lt;&gt;"",UPPER(_xlpm.MyAuditVal),_xlpm.MacVal&lt;&gt;"",_xlpm.MacVal,_xlpm.CSVVal&lt;&gt;"",_xlpm.CSVVal
)),"")</f>
        <v/>
      </c>
      <c r="K907" s="40" t="str" cm="1">
        <f t="array" ref="K907">IFERROR(_xlfn.LET(
_xlpm.CSVVal,_xlfn.XLOOKUP($A907,CSV!$A:$A,CSV!K:K,""),
_xlpm.MacVal,_xlfn.XLOOKUP($A907,Output_Mac!$A:$A,Output_Mac!K:K,""),
_xlpm.MyAuditVal,_xlfn.XLOOKUP($A907,My_Audit!$A:$A,My_Audit!J:J,""),
_xlfn.IFS(_xlpm.MyAuditVal&lt;&gt;"",UPPER(_xlpm.MyAuditVal),_xlpm.MacVal&lt;&gt;"",_xlpm.MacVal,_xlpm.CSVVal&lt;&gt;"",_xlpm.CSVVal
)),"")</f>
        <v/>
      </c>
      <c r="L907" s="40" t="str" cm="1">
        <f t="array" ref="L907">IFERROR(_xlfn.LET(
_xlpm.CSVVal,_xlfn.XLOOKUP($A907,CSV!$A:$A,CSV!P:P,""),
_xlpm.MacVal,_xlfn.XLOOKUP($A907,Output_Mac!$A:$A,Output_Mac!L:L,""),
_xlpm.MyAuditVal,_xlfn.XLOOKUP($A907,My_Audit!$A:$A,My_Audit!K:K,""),
_xlfn.IFS(_xlpm.MyAuditVal&lt;&gt;"",UPPER(_xlpm.MyAuditVal),_xlpm.MacVal&lt;&gt;"",_xlpm.MacVal,_xlpm.CSVVal&lt;&gt;"",_xlpm.CSVVal
)),"")</f>
        <v/>
      </c>
      <c r="M907" s="40" t="str" cm="1">
        <f t="array" ref="M907">IFERROR(_xlfn.LET(
_xlpm.CSVVal,_xlfn.XLOOKUP($A907,CSV!$A:$A,CSV!Q:Q,""),
_xlpm.MacVal,_xlfn.XLOOKUP($A907,Output_Mac!$A:$A,Output_Mac!M:M,""),
_xlpm.MyAuditVal,_xlfn.XLOOKUP($A907,My_Audit!$A:$A,My_Audit!L:L,""),
_xlfn.IFS(_xlpm.MyAuditVal&lt;&gt;"",UPPER(_xlpm.MyAuditVal),_xlpm.MacVal&lt;&gt;"",_xlpm.MacVal,_xlpm.CSVVal&lt;&gt;"",_xlpm.CSVVal
)),"")</f>
        <v/>
      </c>
      <c r="N907" s="40"/>
      <c r="O907" s="40" t="str">
        <f>_xlfn.LET(
    _xlpm.CSVVal, _xlfn.XLOOKUP($A907, CSV!$A:$A, CSV!AA:AA, ""),
    _xlpm.MacVal, _xlfn.XLOOKUP($A907, Output_Mac!$A:$A, Output_Mac!S:S, ""),
    _xlpm.MyAuditVal, _xlfn.XLOOKUP($A907, My_Audit!$A:$A, My_Audit!P:P, ""),
    _xlfn.TEXTJOIN(", ", TRUE, _xlpm.MyAuditVal, _xlpm.MacVal, _xlpm.CSVVal)
)</f>
        <v/>
      </c>
      <c r="P907" s="40" t="str" cm="1">
        <f t="array" ref="P907">IFERROR(_xlfn.LET(
_xlpm.CSVVal,_xlfn.XLOOKUP($A907,CSV!$A:$A,CSV!AB:AB,""),
_xlpm.MacVal,_xlfn.XLOOKUP($A907,Output_Mac!$A:$A,Output_Mac!T:T,""),
_xlpm.MyAuditVal,_xlfn.XLOOKUP($A907,My_Audit!$A:$A,My_Audit!Q:Q,""),
_xlfn.IFS(_xlpm.MyAuditVal&lt;&gt;"",UPPER(_xlpm.MyAuditVal),_xlpm.MacVal&lt;&gt;"",_xlpm.MacVal,_xlpm.CSVVal&lt;&gt;"",_xlpm.CSVVal
)),"No")</f>
        <v>No</v>
      </c>
      <c r="Q907" s="40" t="str" cm="1">
        <f t="array" ref="Q907">IFERROR(_xlfn.LET(
_xlpm.CSVVal,_xlfn.XLOOKUP($A907,CSV!$A:$A,CSV!AC:AC,""),
_xlpm.MacVal,_xlfn.XLOOKUP($A907,Output_Mac!$A:$A,Output_Mac!U:U,""),
_xlpm.MyAuditVal,_xlfn.XLOOKUP($A907,My_Audit!$A:$A,My_Audit!R:R,""),
_xlfn.IFS(_xlpm.MyAuditVal&lt;&gt;"",UPPER(_xlpm.MyAuditVal),_xlpm.MacVal&lt;&gt;"",_xlpm.MacVal,_xlpm.CSVVal&lt;&gt;"",_xlpm.CSVVal
)),"")</f>
        <v/>
      </c>
      <c r="R907" s="40"/>
      <c r="S907" s="40"/>
      <c r="T907" s="40"/>
      <c r="U907" s="40"/>
      <c r="V907" s="40"/>
      <c r="W907" s="40"/>
      <c r="X907" s="41" t="str">
        <f>_xlfn.LET(
    _xlpm.MacVal, _xlfn.XLOOKUP($A907, Output_Mac!$A:$A, Output_Mac!AB:AB, ""),
    _xlpm.MyAuditVal, _xlfn.XLOOKUP($A907, My_Audit!$A:$A, My_Audit!N:N, ""),
    _xlfn.TEXTJOIN(", ", TRUE, _xlpm.MyAuditVal, _xlpm.MacVal)
)</f>
        <v/>
      </c>
    </row>
    <row r="908" spans="1:24">
      <c r="A908" s="40" t="str">
        <f>_xlfn.TEXTJOIN("",TRUE,Input!$B$2,ROW(My_Audit!A907))</f>
        <v>X907</v>
      </c>
      <c r="B908" s="40" t="str">
        <f>_xlfn.TEXTJOIN("-",TRUE,"ITD",Input!$A$2,A908)</f>
        <v>ITD-X907</v>
      </c>
      <c r="C908" s="40" t="str" cm="1">
        <f t="array" ref="C908">IFERROR(_xlfn.LET(
_xlpm.CSVVal,_xlfn.XLOOKUP($A908,CSV!$A:$A,CSV!B:B,""),
_xlpm.MacVal,_xlfn.XLOOKUP($A908,Output_Mac!$A:$A,Output_Mac!B:B,""),
_xlpm.MyAuditVal,_xlfn.XLOOKUP($A908,My_Audit!$A:$A,My_Audit!B:B,""),
_xlfn.IFS(_xlpm.MyAuditVal&lt;&gt;"",UPPER(_xlpm.MyAuditVal),_xlpm.MacVal&lt;&gt;"",_xlpm.MacVal,_xlpm.CSVVal&lt;&gt;"",_xlpm.CSVVal
)),"")</f>
        <v/>
      </c>
      <c r="D908" s="40" t="str" cm="1">
        <f t="array" ref="D908">IFERROR(_xlfn.LET(
_xlpm.CSVVal,_xlfn.XLOOKUP($A908,CSV!$A:$A,CSV!D:D,""),
_xlpm.MacVal,_xlfn.XLOOKUP($A908,Output_Mac!$A:$A,Output_Mac!C:C,""),
_xlpm.MyAuditVal,_xlfn.XLOOKUP($A908,My_Audit!$A:$A,My_Audit!C:C,""),
_xlfn.IFS(_xlpm.MyAuditVal&lt;&gt;"",_xlpm.MyAuditVal,_xlpm.MacVal&lt;&gt;"",_xlpm.MacVal,_xlpm.CSVVal&lt;&gt;"",_xlpm.CSVVal
)),"")</f>
        <v/>
      </c>
      <c r="E908" s="40" t="str">
        <f>_xlfn.XLOOKUP(A908,My_Audit!A:A,My_Audit!D:D,"")</f>
        <v/>
      </c>
      <c r="F908" s="40" t="str" cm="1">
        <f t="array" ref="F908">IFERROR(_xlfn.LET(
_xlpm.CSVVal,_xlfn.XLOOKUP($A908,CSV!$A:$A,CSV!F:F,""),
_xlpm.MacVal,_xlfn.XLOOKUP($A908,Output_Mac!$A:$A,Output_Mac!E:E,""),
_xlpm.MyAuditVal,_xlfn.XLOOKUP($A908,My_Audit!$A:$A,My_Audit!E:E,""),
_xlfn.IFS(_xlpm.MyAuditVal&lt;&gt;"",_xlpm.MyAuditVal,_xlpm.MacVal&lt;&gt;"",_xlpm.MacVal,_xlpm.CSVVal&lt;&gt;"",_xlpm.CSVVal
)),"")</f>
        <v/>
      </c>
      <c r="G908" s="40" t="str" cm="1">
        <f t="array" ref="G908">IFERROR(_xlfn.LET(
_xlpm.CSVVal,_xlfn.XLOOKUP($A908,CSV!$A:$A,CSV!G:G,""),
_xlpm.MacVal,_xlfn.XLOOKUP($A908,Output_Mac!$A:$A,Output_Mac!F:F,""),
_xlpm.MyAuditVal,_xlfn.XLOOKUP($A908,My_Audit!$A:$A,My_Audit!F:F,""),
_xlfn.IFS(_xlpm.MyAuditVal&lt;&gt;"",_xlpm.MyAuditVal,_xlpm.MacVal&lt;&gt;"",_xlpm.MacVal,_xlpm.CSVVal&lt;&gt;"",PROPER(_xlpm.CSVVal)
)),"")</f>
        <v/>
      </c>
      <c r="H908" s="40" t="str" cm="1">
        <f t="array" ref="H908">IFERROR(_xlfn.LET(
_xlpm.CSVVal,_xlfn.XLOOKUP($A908,CSV!$A:$A,CSV!H:H,""),
_xlpm.MacVal,_xlfn.XLOOKUP($A908,Output_Mac!$A:$A,Output_Mac!H:H,""),
_xlpm.MyAuditVal,_xlfn.XLOOKUP($A908,My_Audit!$A:$A,My_Audit!G:G,""),
_xlfn.IFS(_xlpm.MyAuditVal&lt;&gt;"",_xlpm.MyAuditVal,_xlpm.MacVal&lt;&gt;"",_xlpm.MacVal,_xlpm.CSVVal&lt;&gt;"",_xlpm.CSVVal
)),"")</f>
        <v/>
      </c>
      <c r="I908" s="40" t="str">
        <f>_xlfn.XLOOKUP(A908,Output_Mac!A:A,Output_Mac!I:I,"")</f>
        <v/>
      </c>
      <c r="J908" s="40" t="str" cm="1">
        <f t="array" ref="J908">IFERROR(_xlfn.LET(
_xlpm.CSVVal,_xlfn.XLOOKUP($A908,CSV!$A:$A,CSV!I:I,""),
_xlpm.MacVal,_xlfn.XLOOKUP($A908,Output_Mac!$A:$A,Output_Mac!J:J,""),
_xlpm.MyAuditVal,_xlfn.XLOOKUP($A908,My_Audit!$A:$A,My_Audit!I:I,""),
_xlfn.IFS(_xlpm.MyAuditVal&lt;&gt;"",UPPER(_xlpm.MyAuditVal),_xlpm.MacVal&lt;&gt;"",_xlpm.MacVal,_xlpm.CSVVal&lt;&gt;"",_xlpm.CSVVal
)),"")</f>
        <v/>
      </c>
      <c r="K908" s="40" t="str" cm="1">
        <f t="array" ref="K908">IFERROR(_xlfn.LET(
_xlpm.CSVVal,_xlfn.XLOOKUP($A908,CSV!$A:$A,CSV!K:K,""),
_xlpm.MacVal,_xlfn.XLOOKUP($A908,Output_Mac!$A:$A,Output_Mac!K:K,""),
_xlpm.MyAuditVal,_xlfn.XLOOKUP($A908,My_Audit!$A:$A,My_Audit!J:J,""),
_xlfn.IFS(_xlpm.MyAuditVal&lt;&gt;"",UPPER(_xlpm.MyAuditVal),_xlpm.MacVal&lt;&gt;"",_xlpm.MacVal,_xlpm.CSVVal&lt;&gt;"",_xlpm.CSVVal
)),"")</f>
        <v/>
      </c>
      <c r="L908" s="40" t="str" cm="1">
        <f t="array" ref="L908">IFERROR(_xlfn.LET(
_xlpm.CSVVal,_xlfn.XLOOKUP($A908,CSV!$A:$A,CSV!P:P,""),
_xlpm.MacVal,_xlfn.XLOOKUP($A908,Output_Mac!$A:$A,Output_Mac!L:L,""),
_xlpm.MyAuditVal,_xlfn.XLOOKUP($A908,My_Audit!$A:$A,My_Audit!K:K,""),
_xlfn.IFS(_xlpm.MyAuditVal&lt;&gt;"",UPPER(_xlpm.MyAuditVal),_xlpm.MacVal&lt;&gt;"",_xlpm.MacVal,_xlpm.CSVVal&lt;&gt;"",_xlpm.CSVVal
)),"")</f>
        <v/>
      </c>
      <c r="M908" s="40" t="str" cm="1">
        <f t="array" ref="M908">IFERROR(_xlfn.LET(
_xlpm.CSVVal,_xlfn.XLOOKUP($A908,CSV!$A:$A,CSV!Q:Q,""),
_xlpm.MacVal,_xlfn.XLOOKUP($A908,Output_Mac!$A:$A,Output_Mac!M:M,""),
_xlpm.MyAuditVal,_xlfn.XLOOKUP($A908,My_Audit!$A:$A,My_Audit!L:L,""),
_xlfn.IFS(_xlpm.MyAuditVal&lt;&gt;"",UPPER(_xlpm.MyAuditVal),_xlpm.MacVal&lt;&gt;"",_xlpm.MacVal,_xlpm.CSVVal&lt;&gt;"",_xlpm.CSVVal
)),"")</f>
        <v/>
      </c>
      <c r="N908" s="40"/>
      <c r="O908" s="40" t="str">
        <f>_xlfn.LET(
    _xlpm.CSVVal, _xlfn.XLOOKUP($A908, CSV!$A:$A, CSV!AA:AA, ""),
    _xlpm.MacVal, _xlfn.XLOOKUP($A908, Output_Mac!$A:$A, Output_Mac!S:S, ""),
    _xlpm.MyAuditVal, _xlfn.XLOOKUP($A908, My_Audit!$A:$A, My_Audit!P:P, ""),
    _xlfn.TEXTJOIN(", ", TRUE, _xlpm.MyAuditVal, _xlpm.MacVal, _xlpm.CSVVal)
)</f>
        <v/>
      </c>
      <c r="P908" s="40" t="str" cm="1">
        <f t="array" ref="P908">IFERROR(_xlfn.LET(
_xlpm.CSVVal,_xlfn.XLOOKUP($A908,CSV!$A:$A,CSV!AB:AB,""),
_xlpm.MacVal,_xlfn.XLOOKUP($A908,Output_Mac!$A:$A,Output_Mac!T:T,""),
_xlpm.MyAuditVal,_xlfn.XLOOKUP($A908,My_Audit!$A:$A,My_Audit!Q:Q,""),
_xlfn.IFS(_xlpm.MyAuditVal&lt;&gt;"",UPPER(_xlpm.MyAuditVal),_xlpm.MacVal&lt;&gt;"",_xlpm.MacVal,_xlpm.CSVVal&lt;&gt;"",_xlpm.CSVVal
)),"No")</f>
        <v>No</v>
      </c>
      <c r="Q908" s="40" t="str" cm="1">
        <f t="array" ref="Q908">IFERROR(_xlfn.LET(
_xlpm.CSVVal,_xlfn.XLOOKUP($A908,CSV!$A:$A,CSV!AC:AC,""),
_xlpm.MacVal,_xlfn.XLOOKUP($A908,Output_Mac!$A:$A,Output_Mac!U:U,""),
_xlpm.MyAuditVal,_xlfn.XLOOKUP($A908,My_Audit!$A:$A,My_Audit!R:R,""),
_xlfn.IFS(_xlpm.MyAuditVal&lt;&gt;"",UPPER(_xlpm.MyAuditVal),_xlpm.MacVal&lt;&gt;"",_xlpm.MacVal,_xlpm.CSVVal&lt;&gt;"",_xlpm.CSVVal
)),"")</f>
        <v/>
      </c>
      <c r="R908" s="40"/>
      <c r="S908" s="40"/>
      <c r="T908" s="40"/>
      <c r="U908" s="40"/>
      <c r="V908" s="40"/>
      <c r="W908" s="40"/>
      <c r="X908" s="41" t="str">
        <f>_xlfn.LET(
    _xlpm.MacVal, _xlfn.XLOOKUP($A908, Output_Mac!$A:$A, Output_Mac!AB:AB, ""),
    _xlpm.MyAuditVal, _xlfn.XLOOKUP($A908, My_Audit!$A:$A, My_Audit!N:N, ""),
    _xlfn.TEXTJOIN(", ", TRUE, _xlpm.MyAuditVal, _xlpm.MacVal)
)</f>
        <v/>
      </c>
    </row>
    <row r="909" spans="1:24">
      <c r="A909" s="40" t="str">
        <f>_xlfn.TEXTJOIN("",TRUE,Input!$B$2,ROW(My_Audit!A908))</f>
        <v>X908</v>
      </c>
      <c r="B909" s="40" t="str">
        <f>_xlfn.TEXTJOIN("-",TRUE,"ITD",Input!$A$2,A909)</f>
        <v>ITD-X908</v>
      </c>
      <c r="C909" s="40" t="str" cm="1">
        <f t="array" ref="C909">IFERROR(_xlfn.LET(
_xlpm.CSVVal,_xlfn.XLOOKUP($A909,CSV!$A:$A,CSV!B:B,""),
_xlpm.MacVal,_xlfn.XLOOKUP($A909,Output_Mac!$A:$A,Output_Mac!B:B,""),
_xlpm.MyAuditVal,_xlfn.XLOOKUP($A909,My_Audit!$A:$A,My_Audit!B:B,""),
_xlfn.IFS(_xlpm.MyAuditVal&lt;&gt;"",UPPER(_xlpm.MyAuditVal),_xlpm.MacVal&lt;&gt;"",_xlpm.MacVal,_xlpm.CSVVal&lt;&gt;"",_xlpm.CSVVal
)),"")</f>
        <v/>
      </c>
      <c r="D909" s="40" t="str" cm="1">
        <f t="array" ref="D909">IFERROR(_xlfn.LET(
_xlpm.CSVVal,_xlfn.XLOOKUP($A909,CSV!$A:$A,CSV!D:D,""),
_xlpm.MacVal,_xlfn.XLOOKUP($A909,Output_Mac!$A:$A,Output_Mac!C:C,""),
_xlpm.MyAuditVal,_xlfn.XLOOKUP($A909,My_Audit!$A:$A,My_Audit!C:C,""),
_xlfn.IFS(_xlpm.MyAuditVal&lt;&gt;"",_xlpm.MyAuditVal,_xlpm.MacVal&lt;&gt;"",_xlpm.MacVal,_xlpm.CSVVal&lt;&gt;"",_xlpm.CSVVal
)),"")</f>
        <v/>
      </c>
      <c r="E909" s="40" t="str">
        <f>_xlfn.XLOOKUP(A909,My_Audit!A:A,My_Audit!D:D,"")</f>
        <v/>
      </c>
      <c r="F909" s="40" t="str" cm="1">
        <f t="array" ref="F909">IFERROR(_xlfn.LET(
_xlpm.CSVVal,_xlfn.XLOOKUP($A909,CSV!$A:$A,CSV!F:F,""),
_xlpm.MacVal,_xlfn.XLOOKUP($A909,Output_Mac!$A:$A,Output_Mac!E:E,""),
_xlpm.MyAuditVal,_xlfn.XLOOKUP($A909,My_Audit!$A:$A,My_Audit!E:E,""),
_xlfn.IFS(_xlpm.MyAuditVal&lt;&gt;"",_xlpm.MyAuditVal,_xlpm.MacVal&lt;&gt;"",_xlpm.MacVal,_xlpm.CSVVal&lt;&gt;"",_xlpm.CSVVal
)),"")</f>
        <v/>
      </c>
      <c r="G909" s="40" t="str" cm="1">
        <f t="array" ref="G909">IFERROR(_xlfn.LET(
_xlpm.CSVVal,_xlfn.XLOOKUP($A909,CSV!$A:$A,CSV!G:G,""),
_xlpm.MacVal,_xlfn.XLOOKUP($A909,Output_Mac!$A:$A,Output_Mac!F:F,""),
_xlpm.MyAuditVal,_xlfn.XLOOKUP($A909,My_Audit!$A:$A,My_Audit!F:F,""),
_xlfn.IFS(_xlpm.MyAuditVal&lt;&gt;"",_xlpm.MyAuditVal,_xlpm.MacVal&lt;&gt;"",_xlpm.MacVal,_xlpm.CSVVal&lt;&gt;"",PROPER(_xlpm.CSVVal)
)),"")</f>
        <v/>
      </c>
      <c r="H909" s="40" t="str" cm="1">
        <f t="array" ref="H909">IFERROR(_xlfn.LET(
_xlpm.CSVVal,_xlfn.XLOOKUP($A909,CSV!$A:$A,CSV!H:H,""),
_xlpm.MacVal,_xlfn.XLOOKUP($A909,Output_Mac!$A:$A,Output_Mac!H:H,""),
_xlpm.MyAuditVal,_xlfn.XLOOKUP($A909,My_Audit!$A:$A,My_Audit!G:G,""),
_xlfn.IFS(_xlpm.MyAuditVal&lt;&gt;"",_xlpm.MyAuditVal,_xlpm.MacVal&lt;&gt;"",_xlpm.MacVal,_xlpm.CSVVal&lt;&gt;"",_xlpm.CSVVal
)),"")</f>
        <v/>
      </c>
      <c r="I909" s="40" t="str">
        <f>_xlfn.XLOOKUP(A909,Output_Mac!A:A,Output_Mac!I:I,"")</f>
        <v/>
      </c>
      <c r="J909" s="40" t="str" cm="1">
        <f t="array" ref="J909">IFERROR(_xlfn.LET(
_xlpm.CSVVal,_xlfn.XLOOKUP($A909,CSV!$A:$A,CSV!I:I,""),
_xlpm.MacVal,_xlfn.XLOOKUP($A909,Output_Mac!$A:$A,Output_Mac!J:J,""),
_xlpm.MyAuditVal,_xlfn.XLOOKUP($A909,My_Audit!$A:$A,My_Audit!I:I,""),
_xlfn.IFS(_xlpm.MyAuditVal&lt;&gt;"",UPPER(_xlpm.MyAuditVal),_xlpm.MacVal&lt;&gt;"",_xlpm.MacVal,_xlpm.CSVVal&lt;&gt;"",_xlpm.CSVVal
)),"")</f>
        <v/>
      </c>
      <c r="K909" s="40" t="str" cm="1">
        <f t="array" ref="K909">IFERROR(_xlfn.LET(
_xlpm.CSVVal,_xlfn.XLOOKUP($A909,CSV!$A:$A,CSV!K:K,""),
_xlpm.MacVal,_xlfn.XLOOKUP($A909,Output_Mac!$A:$A,Output_Mac!K:K,""),
_xlpm.MyAuditVal,_xlfn.XLOOKUP($A909,My_Audit!$A:$A,My_Audit!J:J,""),
_xlfn.IFS(_xlpm.MyAuditVal&lt;&gt;"",UPPER(_xlpm.MyAuditVal),_xlpm.MacVal&lt;&gt;"",_xlpm.MacVal,_xlpm.CSVVal&lt;&gt;"",_xlpm.CSVVal
)),"")</f>
        <v/>
      </c>
      <c r="L909" s="40" t="str" cm="1">
        <f t="array" ref="L909">IFERROR(_xlfn.LET(
_xlpm.CSVVal,_xlfn.XLOOKUP($A909,CSV!$A:$A,CSV!P:P,""),
_xlpm.MacVal,_xlfn.XLOOKUP($A909,Output_Mac!$A:$A,Output_Mac!L:L,""),
_xlpm.MyAuditVal,_xlfn.XLOOKUP($A909,My_Audit!$A:$A,My_Audit!K:K,""),
_xlfn.IFS(_xlpm.MyAuditVal&lt;&gt;"",UPPER(_xlpm.MyAuditVal),_xlpm.MacVal&lt;&gt;"",_xlpm.MacVal,_xlpm.CSVVal&lt;&gt;"",_xlpm.CSVVal
)),"")</f>
        <v/>
      </c>
      <c r="M909" s="40" t="str" cm="1">
        <f t="array" ref="M909">IFERROR(_xlfn.LET(
_xlpm.CSVVal,_xlfn.XLOOKUP($A909,CSV!$A:$A,CSV!Q:Q,""),
_xlpm.MacVal,_xlfn.XLOOKUP($A909,Output_Mac!$A:$A,Output_Mac!M:M,""),
_xlpm.MyAuditVal,_xlfn.XLOOKUP($A909,My_Audit!$A:$A,My_Audit!L:L,""),
_xlfn.IFS(_xlpm.MyAuditVal&lt;&gt;"",UPPER(_xlpm.MyAuditVal),_xlpm.MacVal&lt;&gt;"",_xlpm.MacVal,_xlpm.CSVVal&lt;&gt;"",_xlpm.CSVVal
)),"")</f>
        <v/>
      </c>
      <c r="N909" s="40"/>
      <c r="O909" s="40" t="str">
        <f>_xlfn.LET(
    _xlpm.CSVVal, _xlfn.XLOOKUP($A909, CSV!$A:$A, CSV!AA:AA, ""),
    _xlpm.MacVal, _xlfn.XLOOKUP($A909, Output_Mac!$A:$A, Output_Mac!S:S, ""),
    _xlpm.MyAuditVal, _xlfn.XLOOKUP($A909, My_Audit!$A:$A, My_Audit!P:P, ""),
    _xlfn.TEXTJOIN(", ", TRUE, _xlpm.MyAuditVal, _xlpm.MacVal, _xlpm.CSVVal)
)</f>
        <v/>
      </c>
      <c r="P909" s="40" t="str" cm="1">
        <f t="array" ref="P909">IFERROR(_xlfn.LET(
_xlpm.CSVVal,_xlfn.XLOOKUP($A909,CSV!$A:$A,CSV!AB:AB,""),
_xlpm.MacVal,_xlfn.XLOOKUP($A909,Output_Mac!$A:$A,Output_Mac!T:T,""),
_xlpm.MyAuditVal,_xlfn.XLOOKUP($A909,My_Audit!$A:$A,My_Audit!Q:Q,""),
_xlfn.IFS(_xlpm.MyAuditVal&lt;&gt;"",UPPER(_xlpm.MyAuditVal),_xlpm.MacVal&lt;&gt;"",_xlpm.MacVal,_xlpm.CSVVal&lt;&gt;"",_xlpm.CSVVal
)),"No")</f>
        <v>No</v>
      </c>
      <c r="Q909" s="40" t="str" cm="1">
        <f t="array" ref="Q909">IFERROR(_xlfn.LET(
_xlpm.CSVVal,_xlfn.XLOOKUP($A909,CSV!$A:$A,CSV!AC:AC,""),
_xlpm.MacVal,_xlfn.XLOOKUP($A909,Output_Mac!$A:$A,Output_Mac!U:U,""),
_xlpm.MyAuditVal,_xlfn.XLOOKUP($A909,My_Audit!$A:$A,My_Audit!R:R,""),
_xlfn.IFS(_xlpm.MyAuditVal&lt;&gt;"",UPPER(_xlpm.MyAuditVal),_xlpm.MacVal&lt;&gt;"",_xlpm.MacVal,_xlpm.CSVVal&lt;&gt;"",_xlpm.CSVVal
)),"")</f>
        <v/>
      </c>
      <c r="R909" s="40"/>
      <c r="S909" s="40"/>
      <c r="T909" s="40"/>
      <c r="U909" s="40"/>
      <c r="V909" s="40"/>
      <c r="W909" s="40"/>
      <c r="X909" s="41" t="str">
        <f>_xlfn.LET(
    _xlpm.MacVal, _xlfn.XLOOKUP($A909, Output_Mac!$A:$A, Output_Mac!AB:AB, ""),
    _xlpm.MyAuditVal, _xlfn.XLOOKUP($A909, My_Audit!$A:$A, My_Audit!N:N, ""),
    _xlfn.TEXTJOIN(", ", TRUE, _xlpm.MyAuditVal, _xlpm.MacVal)
)</f>
        <v/>
      </c>
    </row>
    <row r="910" spans="1:24">
      <c r="A910" s="40" t="str">
        <f>_xlfn.TEXTJOIN("",TRUE,Input!$B$2,ROW(My_Audit!A909))</f>
        <v>X909</v>
      </c>
      <c r="B910" s="40" t="str">
        <f>_xlfn.TEXTJOIN("-",TRUE,"ITD",Input!$A$2,A910)</f>
        <v>ITD-X909</v>
      </c>
      <c r="C910" s="40" t="str" cm="1">
        <f t="array" ref="C910">IFERROR(_xlfn.LET(
_xlpm.CSVVal,_xlfn.XLOOKUP($A910,CSV!$A:$A,CSV!B:B,""),
_xlpm.MacVal,_xlfn.XLOOKUP($A910,Output_Mac!$A:$A,Output_Mac!B:B,""),
_xlpm.MyAuditVal,_xlfn.XLOOKUP($A910,My_Audit!$A:$A,My_Audit!B:B,""),
_xlfn.IFS(_xlpm.MyAuditVal&lt;&gt;"",UPPER(_xlpm.MyAuditVal),_xlpm.MacVal&lt;&gt;"",_xlpm.MacVal,_xlpm.CSVVal&lt;&gt;"",_xlpm.CSVVal
)),"")</f>
        <v/>
      </c>
      <c r="D910" s="40" t="str" cm="1">
        <f t="array" ref="D910">IFERROR(_xlfn.LET(
_xlpm.CSVVal,_xlfn.XLOOKUP($A910,CSV!$A:$A,CSV!D:D,""),
_xlpm.MacVal,_xlfn.XLOOKUP($A910,Output_Mac!$A:$A,Output_Mac!C:C,""),
_xlpm.MyAuditVal,_xlfn.XLOOKUP($A910,My_Audit!$A:$A,My_Audit!C:C,""),
_xlfn.IFS(_xlpm.MyAuditVal&lt;&gt;"",_xlpm.MyAuditVal,_xlpm.MacVal&lt;&gt;"",_xlpm.MacVal,_xlpm.CSVVal&lt;&gt;"",_xlpm.CSVVal
)),"")</f>
        <v/>
      </c>
      <c r="E910" s="40" t="str">
        <f>_xlfn.XLOOKUP(A910,My_Audit!A:A,My_Audit!D:D,"")</f>
        <v/>
      </c>
      <c r="F910" s="40" t="str" cm="1">
        <f t="array" ref="F910">IFERROR(_xlfn.LET(
_xlpm.CSVVal,_xlfn.XLOOKUP($A910,CSV!$A:$A,CSV!F:F,""),
_xlpm.MacVal,_xlfn.XLOOKUP($A910,Output_Mac!$A:$A,Output_Mac!E:E,""),
_xlpm.MyAuditVal,_xlfn.XLOOKUP($A910,My_Audit!$A:$A,My_Audit!E:E,""),
_xlfn.IFS(_xlpm.MyAuditVal&lt;&gt;"",_xlpm.MyAuditVal,_xlpm.MacVal&lt;&gt;"",_xlpm.MacVal,_xlpm.CSVVal&lt;&gt;"",_xlpm.CSVVal
)),"")</f>
        <v/>
      </c>
      <c r="G910" s="40" t="str" cm="1">
        <f t="array" ref="G910">IFERROR(_xlfn.LET(
_xlpm.CSVVal,_xlfn.XLOOKUP($A910,CSV!$A:$A,CSV!G:G,""),
_xlpm.MacVal,_xlfn.XLOOKUP($A910,Output_Mac!$A:$A,Output_Mac!F:F,""),
_xlpm.MyAuditVal,_xlfn.XLOOKUP($A910,My_Audit!$A:$A,My_Audit!F:F,""),
_xlfn.IFS(_xlpm.MyAuditVal&lt;&gt;"",_xlpm.MyAuditVal,_xlpm.MacVal&lt;&gt;"",_xlpm.MacVal,_xlpm.CSVVal&lt;&gt;"",PROPER(_xlpm.CSVVal)
)),"")</f>
        <v/>
      </c>
      <c r="H910" s="40" t="str" cm="1">
        <f t="array" ref="H910">IFERROR(_xlfn.LET(
_xlpm.CSVVal,_xlfn.XLOOKUP($A910,CSV!$A:$A,CSV!H:H,""),
_xlpm.MacVal,_xlfn.XLOOKUP($A910,Output_Mac!$A:$A,Output_Mac!H:H,""),
_xlpm.MyAuditVal,_xlfn.XLOOKUP($A910,My_Audit!$A:$A,My_Audit!G:G,""),
_xlfn.IFS(_xlpm.MyAuditVal&lt;&gt;"",_xlpm.MyAuditVal,_xlpm.MacVal&lt;&gt;"",_xlpm.MacVal,_xlpm.CSVVal&lt;&gt;"",_xlpm.CSVVal
)),"")</f>
        <v/>
      </c>
      <c r="I910" s="40" t="str">
        <f>_xlfn.XLOOKUP(A910,Output_Mac!A:A,Output_Mac!I:I,"")</f>
        <v/>
      </c>
      <c r="J910" s="40" t="str" cm="1">
        <f t="array" ref="J910">IFERROR(_xlfn.LET(
_xlpm.CSVVal,_xlfn.XLOOKUP($A910,CSV!$A:$A,CSV!I:I,""),
_xlpm.MacVal,_xlfn.XLOOKUP($A910,Output_Mac!$A:$A,Output_Mac!J:J,""),
_xlpm.MyAuditVal,_xlfn.XLOOKUP($A910,My_Audit!$A:$A,My_Audit!I:I,""),
_xlfn.IFS(_xlpm.MyAuditVal&lt;&gt;"",UPPER(_xlpm.MyAuditVal),_xlpm.MacVal&lt;&gt;"",_xlpm.MacVal,_xlpm.CSVVal&lt;&gt;"",_xlpm.CSVVal
)),"")</f>
        <v/>
      </c>
      <c r="K910" s="40" t="str" cm="1">
        <f t="array" ref="K910">IFERROR(_xlfn.LET(
_xlpm.CSVVal,_xlfn.XLOOKUP($A910,CSV!$A:$A,CSV!K:K,""),
_xlpm.MacVal,_xlfn.XLOOKUP($A910,Output_Mac!$A:$A,Output_Mac!K:K,""),
_xlpm.MyAuditVal,_xlfn.XLOOKUP($A910,My_Audit!$A:$A,My_Audit!J:J,""),
_xlfn.IFS(_xlpm.MyAuditVal&lt;&gt;"",UPPER(_xlpm.MyAuditVal),_xlpm.MacVal&lt;&gt;"",_xlpm.MacVal,_xlpm.CSVVal&lt;&gt;"",_xlpm.CSVVal
)),"")</f>
        <v/>
      </c>
      <c r="L910" s="40" t="str" cm="1">
        <f t="array" ref="L910">IFERROR(_xlfn.LET(
_xlpm.CSVVal,_xlfn.XLOOKUP($A910,CSV!$A:$A,CSV!P:P,""),
_xlpm.MacVal,_xlfn.XLOOKUP($A910,Output_Mac!$A:$A,Output_Mac!L:L,""),
_xlpm.MyAuditVal,_xlfn.XLOOKUP($A910,My_Audit!$A:$A,My_Audit!K:K,""),
_xlfn.IFS(_xlpm.MyAuditVal&lt;&gt;"",UPPER(_xlpm.MyAuditVal),_xlpm.MacVal&lt;&gt;"",_xlpm.MacVal,_xlpm.CSVVal&lt;&gt;"",_xlpm.CSVVal
)),"")</f>
        <v/>
      </c>
      <c r="M910" s="40" t="str" cm="1">
        <f t="array" ref="M910">IFERROR(_xlfn.LET(
_xlpm.CSVVal,_xlfn.XLOOKUP($A910,CSV!$A:$A,CSV!Q:Q,""),
_xlpm.MacVal,_xlfn.XLOOKUP($A910,Output_Mac!$A:$A,Output_Mac!M:M,""),
_xlpm.MyAuditVal,_xlfn.XLOOKUP($A910,My_Audit!$A:$A,My_Audit!L:L,""),
_xlfn.IFS(_xlpm.MyAuditVal&lt;&gt;"",UPPER(_xlpm.MyAuditVal),_xlpm.MacVal&lt;&gt;"",_xlpm.MacVal,_xlpm.CSVVal&lt;&gt;"",_xlpm.CSVVal
)),"")</f>
        <v/>
      </c>
      <c r="N910" s="40"/>
      <c r="O910" s="40" t="str">
        <f>_xlfn.LET(
    _xlpm.CSVVal, _xlfn.XLOOKUP($A910, CSV!$A:$A, CSV!AA:AA, ""),
    _xlpm.MacVal, _xlfn.XLOOKUP($A910, Output_Mac!$A:$A, Output_Mac!S:S, ""),
    _xlpm.MyAuditVal, _xlfn.XLOOKUP($A910, My_Audit!$A:$A, My_Audit!P:P, ""),
    _xlfn.TEXTJOIN(", ", TRUE, _xlpm.MyAuditVal, _xlpm.MacVal, _xlpm.CSVVal)
)</f>
        <v/>
      </c>
      <c r="P910" s="40" t="str" cm="1">
        <f t="array" ref="P910">IFERROR(_xlfn.LET(
_xlpm.CSVVal,_xlfn.XLOOKUP($A910,CSV!$A:$A,CSV!AB:AB,""),
_xlpm.MacVal,_xlfn.XLOOKUP($A910,Output_Mac!$A:$A,Output_Mac!T:T,""),
_xlpm.MyAuditVal,_xlfn.XLOOKUP($A910,My_Audit!$A:$A,My_Audit!Q:Q,""),
_xlfn.IFS(_xlpm.MyAuditVal&lt;&gt;"",UPPER(_xlpm.MyAuditVal),_xlpm.MacVal&lt;&gt;"",_xlpm.MacVal,_xlpm.CSVVal&lt;&gt;"",_xlpm.CSVVal
)),"No")</f>
        <v>No</v>
      </c>
      <c r="Q910" s="40" t="str" cm="1">
        <f t="array" ref="Q910">IFERROR(_xlfn.LET(
_xlpm.CSVVal,_xlfn.XLOOKUP($A910,CSV!$A:$A,CSV!AC:AC,""),
_xlpm.MacVal,_xlfn.XLOOKUP($A910,Output_Mac!$A:$A,Output_Mac!U:U,""),
_xlpm.MyAuditVal,_xlfn.XLOOKUP($A910,My_Audit!$A:$A,My_Audit!R:R,""),
_xlfn.IFS(_xlpm.MyAuditVal&lt;&gt;"",UPPER(_xlpm.MyAuditVal),_xlpm.MacVal&lt;&gt;"",_xlpm.MacVal,_xlpm.CSVVal&lt;&gt;"",_xlpm.CSVVal
)),"")</f>
        <v/>
      </c>
      <c r="R910" s="40"/>
      <c r="S910" s="40"/>
      <c r="T910" s="40"/>
      <c r="U910" s="40"/>
      <c r="V910" s="40"/>
      <c r="W910" s="40"/>
      <c r="X910" s="41" t="str">
        <f>_xlfn.LET(
    _xlpm.MacVal, _xlfn.XLOOKUP($A910, Output_Mac!$A:$A, Output_Mac!AB:AB, ""),
    _xlpm.MyAuditVal, _xlfn.XLOOKUP($A910, My_Audit!$A:$A, My_Audit!N:N, ""),
    _xlfn.TEXTJOIN(", ", TRUE, _xlpm.MyAuditVal, _xlpm.MacVal)
)</f>
        <v/>
      </c>
    </row>
    <row r="911" spans="1:24">
      <c r="A911" s="40" t="str">
        <f>_xlfn.TEXTJOIN("",TRUE,Input!$B$2,ROW(My_Audit!A910))</f>
        <v>X910</v>
      </c>
      <c r="B911" s="40" t="str">
        <f>_xlfn.TEXTJOIN("-",TRUE,"ITD",Input!$A$2,A911)</f>
        <v>ITD-X910</v>
      </c>
      <c r="C911" s="40" t="str" cm="1">
        <f t="array" ref="C911">IFERROR(_xlfn.LET(
_xlpm.CSVVal,_xlfn.XLOOKUP($A911,CSV!$A:$A,CSV!B:B,""),
_xlpm.MacVal,_xlfn.XLOOKUP($A911,Output_Mac!$A:$A,Output_Mac!B:B,""),
_xlpm.MyAuditVal,_xlfn.XLOOKUP($A911,My_Audit!$A:$A,My_Audit!B:B,""),
_xlfn.IFS(_xlpm.MyAuditVal&lt;&gt;"",UPPER(_xlpm.MyAuditVal),_xlpm.MacVal&lt;&gt;"",_xlpm.MacVal,_xlpm.CSVVal&lt;&gt;"",_xlpm.CSVVal
)),"")</f>
        <v/>
      </c>
      <c r="D911" s="40" t="str" cm="1">
        <f t="array" ref="D911">IFERROR(_xlfn.LET(
_xlpm.CSVVal,_xlfn.XLOOKUP($A911,CSV!$A:$A,CSV!D:D,""),
_xlpm.MacVal,_xlfn.XLOOKUP($A911,Output_Mac!$A:$A,Output_Mac!C:C,""),
_xlpm.MyAuditVal,_xlfn.XLOOKUP($A911,My_Audit!$A:$A,My_Audit!C:C,""),
_xlfn.IFS(_xlpm.MyAuditVal&lt;&gt;"",_xlpm.MyAuditVal,_xlpm.MacVal&lt;&gt;"",_xlpm.MacVal,_xlpm.CSVVal&lt;&gt;"",_xlpm.CSVVal
)),"")</f>
        <v/>
      </c>
      <c r="E911" s="40" t="str">
        <f>_xlfn.XLOOKUP(A911,My_Audit!A:A,My_Audit!D:D,"")</f>
        <v/>
      </c>
      <c r="F911" s="40" t="str" cm="1">
        <f t="array" ref="F911">IFERROR(_xlfn.LET(
_xlpm.CSVVal,_xlfn.XLOOKUP($A911,CSV!$A:$A,CSV!F:F,""),
_xlpm.MacVal,_xlfn.XLOOKUP($A911,Output_Mac!$A:$A,Output_Mac!E:E,""),
_xlpm.MyAuditVal,_xlfn.XLOOKUP($A911,My_Audit!$A:$A,My_Audit!E:E,""),
_xlfn.IFS(_xlpm.MyAuditVal&lt;&gt;"",_xlpm.MyAuditVal,_xlpm.MacVal&lt;&gt;"",_xlpm.MacVal,_xlpm.CSVVal&lt;&gt;"",_xlpm.CSVVal
)),"")</f>
        <v/>
      </c>
      <c r="G911" s="40" t="str" cm="1">
        <f t="array" ref="G911">IFERROR(_xlfn.LET(
_xlpm.CSVVal,_xlfn.XLOOKUP($A911,CSV!$A:$A,CSV!G:G,""),
_xlpm.MacVal,_xlfn.XLOOKUP($A911,Output_Mac!$A:$A,Output_Mac!F:F,""),
_xlpm.MyAuditVal,_xlfn.XLOOKUP($A911,My_Audit!$A:$A,My_Audit!F:F,""),
_xlfn.IFS(_xlpm.MyAuditVal&lt;&gt;"",_xlpm.MyAuditVal,_xlpm.MacVal&lt;&gt;"",_xlpm.MacVal,_xlpm.CSVVal&lt;&gt;"",PROPER(_xlpm.CSVVal)
)),"")</f>
        <v/>
      </c>
      <c r="H911" s="40" t="str" cm="1">
        <f t="array" ref="H911">IFERROR(_xlfn.LET(
_xlpm.CSVVal,_xlfn.XLOOKUP($A911,CSV!$A:$A,CSV!H:H,""),
_xlpm.MacVal,_xlfn.XLOOKUP($A911,Output_Mac!$A:$A,Output_Mac!H:H,""),
_xlpm.MyAuditVal,_xlfn.XLOOKUP($A911,My_Audit!$A:$A,My_Audit!G:G,""),
_xlfn.IFS(_xlpm.MyAuditVal&lt;&gt;"",_xlpm.MyAuditVal,_xlpm.MacVal&lt;&gt;"",_xlpm.MacVal,_xlpm.CSVVal&lt;&gt;"",_xlpm.CSVVal
)),"")</f>
        <v/>
      </c>
      <c r="I911" s="40" t="str">
        <f>_xlfn.XLOOKUP(A911,Output_Mac!A:A,Output_Mac!I:I,"")</f>
        <v/>
      </c>
      <c r="J911" s="40" t="str" cm="1">
        <f t="array" ref="J911">IFERROR(_xlfn.LET(
_xlpm.CSVVal,_xlfn.XLOOKUP($A911,CSV!$A:$A,CSV!I:I,""),
_xlpm.MacVal,_xlfn.XLOOKUP($A911,Output_Mac!$A:$A,Output_Mac!J:J,""),
_xlpm.MyAuditVal,_xlfn.XLOOKUP($A911,My_Audit!$A:$A,My_Audit!I:I,""),
_xlfn.IFS(_xlpm.MyAuditVal&lt;&gt;"",UPPER(_xlpm.MyAuditVal),_xlpm.MacVal&lt;&gt;"",_xlpm.MacVal,_xlpm.CSVVal&lt;&gt;"",_xlpm.CSVVal
)),"")</f>
        <v/>
      </c>
      <c r="K911" s="40" t="str" cm="1">
        <f t="array" ref="K911">IFERROR(_xlfn.LET(
_xlpm.CSVVal,_xlfn.XLOOKUP($A911,CSV!$A:$A,CSV!K:K,""),
_xlpm.MacVal,_xlfn.XLOOKUP($A911,Output_Mac!$A:$A,Output_Mac!K:K,""),
_xlpm.MyAuditVal,_xlfn.XLOOKUP($A911,My_Audit!$A:$A,My_Audit!J:J,""),
_xlfn.IFS(_xlpm.MyAuditVal&lt;&gt;"",UPPER(_xlpm.MyAuditVal),_xlpm.MacVal&lt;&gt;"",_xlpm.MacVal,_xlpm.CSVVal&lt;&gt;"",_xlpm.CSVVal
)),"")</f>
        <v/>
      </c>
      <c r="L911" s="40" t="str" cm="1">
        <f t="array" ref="L911">IFERROR(_xlfn.LET(
_xlpm.CSVVal,_xlfn.XLOOKUP($A911,CSV!$A:$A,CSV!P:P,""),
_xlpm.MacVal,_xlfn.XLOOKUP($A911,Output_Mac!$A:$A,Output_Mac!L:L,""),
_xlpm.MyAuditVal,_xlfn.XLOOKUP($A911,My_Audit!$A:$A,My_Audit!K:K,""),
_xlfn.IFS(_xlpm.MyAuditVal&lt;&gt;"",UPPER(_xlpm.MyAuditVal),_xlpm.MacVal&lt;&gt;"",_xlpm.MacVal,_xlpm.CSVVal&lt;&gt;"",_xlpm.CSVVal
)),"")</f>
        <v/>
      </c>
      <c r="M911" s="40" t="str" cm="1">
        <f t="array" ref="M911">IFERROR(_xlfn.LET(
_xlpm.CSVVal,_xlfn.XLOOKUP($A911,CSV!$A:$A,CSV!Q:Q,""),
_xlpm.MacVal,_xlfn.XLOOKUP($A911,Output_Mac!$A:$A,Output_Mac!M:M,""),
_xlpm.MyAuditVal,_xlfn.XLOOKUP($A911,My_Audit!$A:$A,My_Audit!L:L,""),
_xlfn.IFS(_xlpm.MyAuditVal&lt;&gt;"",UPPER(_xlpm.MyAuditVal),_xlpm.MacVal&lt;&gt;"",_xlpm.MacVal,_xlpm.CSVVal&lt;&gt;"",_xlpm.CSVVal
)),"")</f>
        <v/>
      </c>
      <c r="N911" s="40"/>
      <c r="O911" s="40" t="str">
        <f>_xlfn.LET(
    _xlpm.CSVVal, _xlfn.XLOOKUP($A911, CSV!$A:$A, CSV!AA:AA, ""),
    _xlpm.MacVal, _xlfn.XLOOKUP($A911, Output_Mac!$A:$A, Output_Mac!S:S, ""),
    _xlpm.MyAuditVal, _xlfn.XLOOKUP($A911, My_Audit!$A:$A, My_Audit!P:P, ""),
    _xlfn.TEXTJOIN(", ", TRUE, _xlpm.MyAuditVal, _xlpm.MacVal, _xlpm.CSVVal)
)</f>
        <v/>
      </c>
      <c r="P911" s="40" t="str" cm="1">
        <f t="array" ref="P911">IFERROR(_xlfn.LET(
_xlpm.CSVVal,_xlfn.XLOOKUP($A911,CSV!$A:$A,CSV!AB:AB,""),
_xlpm.MacVal,_xlfn.XLOOKUP($A911,Output_Mac!$A:$A,Output_Mac!T:T,""),
_xlpm.MyAuditVal,_xlfn.XLOOKUP($A911,My_Audit!$A:$A,My_Audit!Q:Q,""),
_xlfn.IFS(_xlpm.MyAuditVal&lt;&gt;"",UPPER(_xlpm.MyAuditVal),_xlpm.MacVal&lt;&gt;"",_xlpm.MacVal,_xlpm.CSVVal&lt;&gt;"",_xlpm.CSVVal
)),"No")</f>
        <v>No</v>
      </c>
      <c r="Q911" s="40" t="str" cm="1">
        <f t="array" ref="Q911">IFERROR(_xlfn.LET(
_xlpm.CSVVal,_xlfn.XLOOKUP($A911,CSV!$A:$A,CSV!AC:AC,""),
_xlpm.MacVal,_xlfn.XLOOKUP($A911,Output_Mac!$A:$A,Output_Mac!U:U,""),
_xlpm.MyAuditVal,_xlfn.XLOOKUP($A911,My_Audit!$A:$A,My_Audit!R:R,""),
_xlfn.IFS(_xlpm.MyAuditVal&lt;&gt;"",UPPER(_xlpm.MyAuditVal),_xlpm.MacVal&lt;&gt;"",_xlpm.MacVal,_xlpm.CSVVal&lt;&gt;"",_xlpm.CSVVal
)),"")</f>
        <v/>
      </c>
      <c r="R911" s="40"/>
      <c r="S911" s="40"/>
      <c r="T911" s="40"/>
      <c r="U911" s="40"/>
      <c r="V911" s="40"/>
      <c r="W911" s="40"/>
      <c r="X911" s="41" t="str">
        <f>_xlfn.LET(
    _xlpm.MacVal, _xlfn.XLOOKUP($A911, Output_Mac!$A:$A, Output_Mac!AB:AB, ""),
    _xlpm.MyAuditVal, _xlfn.XLOOKUP($A911, My_Audit!$A:$A, My_Audit!N:N, ""),
    _xlfn.TEXTJOIN(", ", TRUE, _xlpm.MyAuditVal, _xlpm.MacVal)
)</f>
        <v/>
      </c>
    </row>
    <row r="912" spans="1:24">
      <c r="A912" s="40" t="str">
        <f>_xlfn.TEXTJOIN("",TRUE,Input!$B$2,ROW(My_Audit!A911))</f>
        <v>X911</v>
      </c>
      <c r="B912" s="40" t="str">
        <f>_xlfn.TEXTJOIN("-",TRUE,"ITD",Input!$A$2,A912)</f>
        <v>ITD-X911</v>
      </c>
      <c r="C912" s="40" t="str" cm="1">
        <f t="array" ref="C912">IFERROR(_xlfn.LET(
_xlpm.CSVVal,_xlfn.XLOOKUP($A912,CSV!$A:$A,CSV!B:B,""),
_xlpm.MacVal,_xlfn.XLOOKUP($A912,Output_Mac!$A:$A,Output_Mac!B:B,""),
_xlpm.MyAuditVal,_xlfn.XLOOKUP($A912,My_Audit!$A:$A,My_Audit!B:B,""),
_xlfn.IFS(_xlpm.MyAuditVal&lt;&gt;"",UPPER(_xlpm.MyAuditVal),_xlpm.MacVal&lt;&gt;"",_xlpm.MacVal,_xlpm.CSVVal&lt;&gt;"",_xlpm.CSVVal
)),"")</f>
        <v/>
      </c>
      <c r="D912" s="40" t="str" cm="1">
        <f t="array" ref="D912">IFERROR(_xlfn.LET(
_xlpm.CSVVal,_xlfn.XLOOKUP($A912,CSV!$A:$A,CSV!D:D,""),
_xlpm.MacVal,_xlfn.XLOOKUP($A912,Output_Mac!$A:$A,Output_Mac!C:C,""),
_xlpm.MyAuditVal,_xlfn.XLOOKUP($A912,My_Audit!$A:$A,My_Audit!C:C,""),
_xlfn.IFS(_xlpm.MyAuditVal&lt;&gt;"",_xlpm.MyAuditVal,_xlpm.MacVal&lt;&gt;"",_xlpm.MacVal,_xlpm.CSVVal&lt;&gt;"",_xlpm.CSVVal
)),"")</f>
        <v/>
      </c>
      <c r="E912" s="40" t="str">
        <f>_xlfn.XLOOKUP(A912,My_Audit!A:A,My_Audit!D:D,"")</f>
        <v/>
      </c>
      <c r="F912" s="40" t="str" cm="1">
        <f t="array" ref="F912">IFERROR(_xlfn.LET(
_xlpm.CSVVal,_xlfn.XLOOKUP($A912,CSV!$A:$A,CSV!F:F,""),
_xlpm.MacVal,_xlfn.XLOOKUP($A912,Output_Mac!$A:$A,Output_Mac!E:E,""),
_xlpm.MyAuditVal,_xlfn.XLOOKUP($A912,My_Audit!$A:$A,My_Audit!E:E,""),
_xlfn.IFS(_xlpm.MyAuditVal&lt;&gt;"",_xlpm.MyAuditVal,_xlpm.MacVal&lt;&gt;"",_xlpm.MacVal,_xlpm.CSVVal&lt;&gt;"",_xlpm.CSVVal
)),"")</f>
        <v/>
      </c>
      <c r="G912" s="40" t="str" cm="1">
        <f t="array" ref="G912">IFERROR(_xlfn.LET(
_xlpm.CSVVal,_xlfn.XLOOKUP($A912,CSV!$A:$A,CSV!G:G,""),
_xlpm.MacVal,_xlfn.XLOOKUP($A912,Output_Mac!$A:$A,Output_Mac!F:F,""),
_xlpm.MyAuditVal,_xlfn.XLOOKUP($A912,My_Audit!$A:$A,My_Audit!F:F,""),
_xlfn.IFS(_xlpm.MyAuditVal&lt;&gt;"",_xlpm.MyAuditVal,_xlpm.MacVal&lt;&gt;"",_xlpm.MacVal,_xlpm.CSVVal&lt;&gt;"",PROPER(_xlpm.CSVVal)
)),"")</f>
        <v/>
      </c>
      <c r="H912" s="40" t="str" cm="1">
        <f t="array" ref="H912">IFERROR(_xlfn.LET(
_xlpm.CSVVal,_xlfn.XLOOKUP($A912,CSV!$A:$A,CSV!H:H,""),
_xlpm.MacVal,_xlfn.XLOOKUP($A912,Output_Mac!$A:$A,Output_Mac!H:H,""),
_xlpm.MyAuditVal,_xlfn.XLOOKUP($A912,My_Audit!$A:$A,My_Audit!G:G,""),
_xlfn.IFS(_xlpm.MyAuditVal&lt;&gt;"",_xlpm.MyAuditVal,_xlpm.MacVal&lt;&gt;"",_xlpm.MacVal,_xlpm.CSVVal&lt;&gt;"",_xlpm.CSVVal
)),"")</f>
        <v/>
      </c>
      <c r="I912" s="40" t="str">
        <f>_xlfn.XLOOKUP(A912,Output_Mac!A:A,Output_Mac!I:I,"")</f>
        <v/>
      </c>
      <c r="J912" s="40" t="str" cm="1">
        <f t="array" ref="J912">IFERROR(_xlfn.LET(
_xlpm.CSVVal,_xlfn.XLOOKUP($A912,CSV!$A:$A,CSV!I:I,""),
_xlpm.MacVal,_xlfn.XLOOKUP($A912,Output_Mac!$A:$A,Output_Mac!J:J,""),
_xlpm.MyAuditVal,_xlfn.XLOOKUP($A912,My_Audit!$A:$A,My_Audit!I:I,""),
_xlfn.IFS(_xlpm.MyAuditVal&lt;&gt;"",UPPER(_xlpm.MyAuditVal),_xlpm.MacVal&lt;&gt;"",_xlpm.MacVal,_xlpm.CSVVal&lt;&gt;"",_xlpm.CSVVal
)),"")</f>
        <v/>
      </c>
      <c r="K912" s="40" t="str" cm="1">
        <f t="array" ref="K912">IFERROR(_xlfn.LET(
_xlpm.CSVVal,_xlfn.XLOOKUP($A912,CSV!$A:$A,CSV!K:K,""),
_xlpm.MacVal,_xlfn.XLOOKUP($A912,Output_Mac!$A:$A,Output_Mac!K:K,""),
_xlpm.MyAuditVal,_xlfn.XLOOKUP($A912,My_Audit!$A:$A,My_Audit!J:J,""),
_xlfn.IFS(_xlpm.MyAuditVal&lt;&gt;"",UPPER(_xlpm.MyAuditVal),_xlpm.MacVal&lt;&gt;"",_xlpm.MacVal,_xlpm.CSVVal&lt;&gt;"",_xlpm.CSVVal
)),"")</f>
        <v/>
      </c>
      <c r="L912" s="40" t="str" cm="1">
        <f t="array" ref="L912">IFERROR(_xlfn.LET(
_xlpm.CSVVal,_xlfn.XLOOKUP($A912,CSV!$A:$A,CSV!P:P,""),
_xlpm.MacVal,_xlfn.XLOOKUP($A912,Output_Mac!$A:$A,Output_Mac!L:L,""),
_xlpm.MyAuditVal,_xlfn.XLOOKUP($A912,My_Audit!$A:$A,My_Audit!K:K,""),
_xlfn.IFS(_xlpm.MyAuditVal&lt;&gt;"",UPPER(_xlpm.MyAuditVal),_xlpm.MacVal&lt;&gt;"",_xlpm.MacVal,_xlpm.CSVVal&lt;&gt;"",_xlpm.CSVVal
)),"")</f>
        <v/>
      </c>
      <c r="M912" s="40" t="str" cm="1">
        <f t="array" ref="M912">IFERROR(_xlfn.LET(
_xlpm.CSVVal,_xlfn.XLOOKUP($A912,CSV!$A:$A,CSV!Q:Q,""),
_xlpm.MacVal,_xlfn.XLOOKUP($A912,Output_Mac!$A:$A,Output_Mac!M:M,""),
_xlpm.MyAuditVal,_xlfn.XLOOKUP($A912,My_Audit!$A:$A,My_Audit!L:L,""),
_xlfn.IFS(_xlpm.MyAuditVal&lt;&gt;"",UPPER(_xlpm.MyAuditVal),_xlpm.MacVal&lt;&gt;"",_xlpm.MacVal,_xlpm.CSVVal&lt;&gt;"",_xlpm.CSVVal
)),"")</f>
        <v/>
      </c>
      <c r="N912" s="40"/>
      <c r="O912" s="40" t="str">
        <f>_xlfn.LET(
    _xlpm.CSVVal, _xlfn.XLOOKUP($A912, CSV!$A:$A, CSV!AA:AA, ""),
    _xlpm.MacVal, _xlfn.XLOOKUP($A912, Output_Mac!$A:$A, Output_Mac!S:S, ""),
    _xlpm.MyAuditVal, _xlfn.XLOOKUP($A912, My_Audit!$A:$A, My_Audit!P:P, ""),
    _xlfn.TEXTJOIN(", ", TRUE, _xlpm.MyAuditVal, _xlpm.MacVal, _xlpm.CSVVal)
)</f>
        <v/>
      </c>
      <c r="P912" s="40" t="str" cm="1">
        <f t="array" ref="P912">IFERROR(_xlfn.LET(
_xlpm.CSVVal,_xlfn.XLOOKUP($A912,CSV!$A:$A,CSV!AB:AB,""),
_xlpm.MacVal,_xlfn.XLOOKUP($A912,Output_Mac!$A:$A,Output_Mac!T:T,""),
_xlpm.MyAuditVal,_xlfn.XLOOKUP($A912,My_Audit!$A:$A,My_Audit!Q:Q,""),
_xlfn.IFS(_xlpm.MyAuditVal&lt;&gt;"",UPPER(_xlpm.MyAuditVal),_xlpm.MacVal&lt;&gt;"",_xlpm.MacVal,_xlpm.CSVVal&lt;&gt;"",_xlpm.CSVVal
)),"No")</f>
        <v>No</v>
      </c>
      <c r="Q912" s="40" t="str" cm="1">
        <f t="array" ref="Q912">IFERROR(_xlfn.LET(
_xlpm.CSVVal,_xlfn.XLOOKUP($A912,CSV!$A:$A,CSV!AC:AC,""),
_xlpm.MacVal,_xlfn.XLOOKUP($A912,Output_Mac!$A:$A,Output_Mac!U:U,""),
_xlpm.MyAuditVal,_xlfn.XLOOKUP($A912,My_Audit!$A:$A,My_Audit!R:R,""),
_xlfn.IFS(_xlpm.MyAuditVal&lt;&gt;"",UPPER(_xlpm.MyAuditVal),_xlpm.MacVal&lt;&gt;"",_xlpm.MacVal,_xlpm.CSVVal&lt;&gt;"",_xlpm.CSVVal
)),"")</f>
        <v/>
      </c>
      <c r="R912" s="40"/>
      <c r="S912" s="40"/>
      <c r="T912" s="40"/>
      <c r="U912" s="40"/>
      <c r="V912" s="40"/>
      <c r="W912" s="40"/>
      <c r="X912" s="41" t="str">
        <f>_xlfn.LET(
    _xlpm.MacVal, _xlfn.XLOOKUP($A912, Output_Mac!$A:$A, Output_Mac!AB:AB, ""),
    _xlpm.MyAuditVal, _xlfn.XLOOKUP($A912, My_Audit!$A:$A, My_Audit!N:N, ""),
    _xlfn.TEXTJOIN(", ", TRUE, _xlpm.MyAuditVal, _xlpm.MacVal)
)</f>
        <v/>
      </c>
    </row>
    <row r="913" spans="1:24">
      <c r="A913" s="40" t="str">
        <f>_xlfn.TEXTJOIN("",TRUE,Input!$B$2,ROW(My_Audit!A912))</f>
        <v>X912</v>
      </c>
      <c r="B913" s="40" t="str">
        <f>_xlfn.TEXTJOIN("-",TRUE,"ITD",Input!$A$2,A913)</f>
        <v>ITD-X912</v>
      </c>
      <c r="C913" s="40" t="str" cm="1">
        <f t="array" ref="C913">IFERROR(_xlfn.LET(
_xlpm.CSVVal,_xlfn.XLOOKUP($A913,CSV!$A:$A,CSV!B:B,""),
_xlpm.MacVal,_xlfn.XLOOKUP($A913,Output_Mac!$A:$A,Output_Mac!B:B,""),
_xlpm.MyAuditVal,_xlfn.XLOOKUP($A913,My_Audit!$A:$A,My_Audit!B:B,""),
_xlfn.IFS(_xlpm.MyAuditVal&lt;&gt;"",UPPER(_xlpm.MyAuditVal),_xlpm.MacVal&lt;&gt;"",_xlpm.MacVal,_xlpm.CSVVal&lt;&gt;"",_xlpm.CSVVal
)),"")</f>
        <v/>
      </c>
      <c r="D913" s="40" t="str" cm="1">
        <f t="array" ref="D913">IFERROR(_xlfn.LET(
_xlpm.CSVVal,_xlfn.XLOOKUP($A913,CSV!$A:$A,CSV!D:D,""),
_xlpm.MacVal,_xlfn.XLOOKUP($A913,Output_Mac!$A:$A,Output_Mac!C:C,""),
_xlpm.MyAuditVal,_xlfn.XLOOKUP($A913,My_Audit!$A:$A,My_Audit!C:C,""),
_xlfn.IFS(_xlpm.MyAuditVal&lt;&gt;"",_xlpm.MyAuditVal,_xlpm.MacVal&lt;&gt;"",_xlpm.MacVal,_xlpm.CSVVal&lt;&gt;"",_xlpm.CSVVal
)),"")</f>
        <v/>
      </c>
      <c r="E913" s="40" t="str">
        <f>_xlfn.XLOOKUP(A913,My_Audit!A:A,My_Audit!D:D,"")</f>
        <v/>
      </c>
      <c r="F913" s="40" t="str" cm="1">
        <f t="array" ref="F913">IFERROR(_xlfn.LET(
_xlpm.CSVVal,_xlfn.XLOOKUP($A913,CSV!$A:$A,CSV!F:F,""),
_xlpm.MacVal,_xlfn.XLOOKUP($A913,Output_Mac!$A:$A,Output_Mac!E:E,""),
_xlpm.MyAuditVal,_xlfn.XLOOKUP($A913,My_Audit!$A:$A,My_Audit!E:E,""),
_xlfn.IFS(_xlpm.MyAuditVal&lt;&gt;"",_xlpm.MyAuditVal,_xlpm.MacVal&lt;&gt;"",_xlpm.MacVal,_xlpm.CSVVal&lt;&gt;"",_xlpm.CSVVal
)),"")</f>
        <v/>
      </c>
      <c r="G913" s="40" t="str" cm="1">
        <f t="array" ref="G913">IFERROR(_xlfn.LET(
_xlpm.CSVVal,_xlfn.XLOOKUP($A913,CSV!$A:$A,CSV!G:G,""),
_xlpm.MacVal,_xlfn.XLOOKUP($A913,Output_Mac!$A:$A,Output_Mac!F:F,""),
_xlpm.MyAuditVal,_xlfn.XLOOKUP($A913,My_Audit!$A:$A,My_Audit!F:F,""),
_xlfn.IFS(_xlpm.MyAuditVal&lt;&gt;"",_xlpm.MyAuditVal,_xlpm.MacVal&lt;&gt;"",_xlpm.MacVal,_xlpm.CSVVal&lt;&gt;"",PROPER(_xlpm.CSVVal)
)),"")</f>
        <v/>
      </c>
      <c r="H913" s="40" t="str" cm="1">
        <f t="array" ref="H913">IFERROR(_xlfn.LET(
_xlpm.CSVVal,_xlfn.XLOOKUP($A913,CSV!$A:$A,CSV!H:H,""),
_xlpm.MacVal,_xlfn.XLOOKUP($A913,Output_Mac!$A:$A,Output_Mac!H:H,""),
_xlpm.MyAuditVal,_xlfn.XLOOKUP($A913,My_Audit!$A:$A,My_Audit!G:G,""),
_xlfn.IFS(_xlpm.MyAuditVal&lt;&gt;"",_xlpm.MyAuditVal,_xlpm.MacVal&lt;&gt;"",_xlpm.MacVal,_xlpm.CSVVal&lt;&gt;"",_xlpm.CSVVal
)),"")</f>
        <v/>
      </c>
      <c r="I913" s="40" t="str">
        <f>_xlfn.XLOOKUP(A913,Output_Mac!A:A,Output_Mac!I:I,"")</f>
        <v/>
      </c>
      <c r="J913" s="40" t="str" cm="1">
        <f t="array" ref="J913">IFERROR(_xlfn.LET(
_xlpm.CSVVal,_xlfn.XLOOKUP($A913,CSV!$A:$A,CSV!I:I,""),
_xlpm.MacVal,_xlfn.XLOOKUP($A913,Output_Mac!$A:$A,Output_Mac!J:J,""),
_xlpm.MyAuditVal,_xlfn.XLOOKUP($A913,My_Audit!$A:$A,My_Audit!I:I,""),
_xlfn.IFS(_xlpm.MyAuditVal&lt;&gt;"",UPPER(_xlpm.MyAuditVal),_xlpm.MacVal&lt;&gt;"",_xlpm.MacVal,_xlpm.CSVVal&lt;&gt;"",_xlpm.CSVVal
)),"")</f>
        <v/>
      </c>
      <c r="K913" s="40" t="str" cm="1">
        <f t="array" ref="K913">IFERROR(_xlfn.LET(
_xlpm.CSVVal,_xlfn.XLOOKUP($A913,CSV!$A:$A,CSV!K:K,""),
_xlpm.MacVal,_xlfn.XLOOKUP($A913,Output_Mac!$A:$A,Output_Mac!K:K,""),
_xlpm.MyAuditVal,_xlfn.XLOOKUP($A913,My_Audit!$A:$A,My_Audit!J:J,""),
_xlfn.IFS(_xlpm.MyAuditVal&lt;&gt;"",UPPER(_xlpm.MyAuditVal),_xlpm.MacVal&lt;&gt;"",_xlpm.MacVal,_xlpm.CSVVal&lt;&gt;"",_xlpm.CSVVal
)),"")</f>
        <v/>
      </c>
      <c r="L913" s="40" t="str" cm="1">
        <f t="array" ref="L913">IFERROR(_xlfn.LET(
_xlpm.CSVVal,_xlfn.XLOOKUP($A913,CSV!$A:$A,CSV!P:P,""),
_xlpm.MacVal,_xlfn.XLOOKUP($A913,Output_Mac!$A:$A,Output_Mac!L:L,""),
_xlpm.MyAuditVal,_xlfn.XLOOKUP($A913,My_Audit!$A:$A,My_Audit!K:K,""),
_xlfn.IFS(_xlpm.MyAuditVal&lt;&gt;"",UPPER(_xlpm.MyAuditVal),_xlpm.MacVal&lt;&gt;"",_xlpm.MacVal,_xlpm.CSVVal&lt;&gt;"",_xlpm.CSVVal
)),"")</f>
        <v/>
      </c>
      <c r="M913" s="40" t="str" cm="1">
        <f t="array" ref="M913">IFERROR(_xlfn.LET(
_xlpm.CSVVal,_xlfn.XLOOKUP($A913,CSV!$A:$A,CSV!Q:Q,""),
_xlpm.MacVal,_xlfn.XLOOKUP($A913,Output_Mac!$A:$A,Output_Mac!M:M,""),
_xlpm.MyAuditVal,_xlfn.XLOOKUP($A913,My_Audit!$A:$A,My_Audit!L:L,""),
_xlfn.IFS(_xlpm.MyAuditVal&lt;&gt;"",UPPER(_xlpm.MyAuditVal),_xlpm.MacVal&lt;&gt;"",_xlpm.MacVal,_xlpm.CSVVal&lt;&gt;"",_xlpm.CSVVal
)),"")</f>
        <v/>
      </c>
      <c r="N913" s="40"/>
      <c r="O913" s="40" t="str">
        <f>_xlfn.LET(
    _xlpm.CSVVal, _xlfn.XLOOKUP($A913, CSV!$A:$A, CSV!AA:AA, ""),
    _xlpm.MacVal, _xlfn.XLOOKUP($A913, Output_Mac!$A:$A, Output_Mac!S:S, ""),
    _xlpm.MyAuditVal, _xlfn.XLOOKUP($A913, My_Audit!$A:$A, My_Audit!P:P, ""),
    _xlfn.TEXTJOIN(", ", TRUE, _xlpm.MyAuditVal, _xlpm.MacVal, _xlpm.CSVVal)
)</f>
        <v/>
      </c>
      <c r="P913" s="40" t="str" cm="1">
        <f t="array" ref="P913">IFERROR(_xlfn.LET(
_xlpm.CSVVal,_xlfn.XLOOKUP($A913,CSV!$A:$A,CSV!AB:AB,""),
_xlpm.MacVal,_xlfn.XLOOKUP($A913,Output_Mac!$A:$A,Output_Mac!T:T,""),
_xlpm.MyAuditVal,_xlfn.XLOOKUP($A913,My_Audit!$A:$A,My_Audit!Q:Q,""),
_xlfn.IFS(_xlpm.MyAuditVal&lt;&gt;"",UPPER(_xlpm.MyAuditVal),_xlpm.MacVal&lt;&gt;"",_xlpm.MacVal,_xlpm.CSVVal&lt;&gt;"",_xlpm.CSVVal
)),"No")</f>
        <v>No</v>
      </c>
      <c r="Q913" s="40" t="str" cm="1">
        <f t="array" ref="Q913">IFERROR(_xlfn.LET(
_xlpm.CSVVal,_xlfn.XLOOKUP($A913,CSV!$A:$A,CSV!AC:AC,""),
_xlpm.MacVal,_xlfn.XLOOKUP($A913,Output_Mac!$A:$A,Output_Mac!U:U,""),
_xlpm.MyAuditVal,_xlfn.XLOOKUP($A913,My_Audit!$A:$A,My_Audit!R:R,""),
_xlfn.IFS(_xlpm.MyAuditVal&lt;&gt;"",UPPER(_xlpm.MyAuditVal),_xlpm.MacVal&lt;&gt;"",_xlpm.MacVal,_xlpm.CSVVal&lt;&gt;"",_xlpm.CSVVal
)),"")</f>
        <v/>
      </c>
      <c r="R913" s="40"/>
      <c r="S913" s="40"/>
      <c r="T913" s="40"/>
      <c r="U913" s="40"/>
      <c r="V913" s="40"/>
      <c r="W913" s="40"/>
      <c r="X913" s="41" t="str">
        <f>_xlfn.LET(
    _xlpm.MacVal, _xlfn.XLOOKUP($A913, Output_Mac!$A:$A, Output_Mac!AB:AB, ""),
    _xlpm.MyAuditVal, _xlfn.XLOOKUP($A913, My_Audit!$A:$A, My_Audit!N:N, ""),
    _xlfn.TEXTJOIN(", ", TRUE, _xlpm.MyAuditVal, _xlpm.MacVal)
)</f>
        <v/>
      </c>
    </row>
    <row r="914" spans="1:24">
      <c r="A914" s="40" t="str">
        <f>_xlfn.TEXTJOIN("",TRUE,Input!$B$2,ROW(My_Audit!A913))</f>
        <v>X913</v>
      </c>
      <c r="B914" s="40" t="str">
        <f>_xlfn.TEXTJOIN("-",TRUE,"ITD",Input!$A$2,A914)</f>
        <v>ITD-X913</v>
      </c>
      <c r="C914" s="40" t="str" cm="1">
        <f t="array" ref="C914">IFERROR(_xlfn.LET(
_xlpm.CSVVal,_xlfn.XLOOKUP($A914,CSV!$A:$A,CSV!B:B,""),
_xlpm.MacVal,_xlfn.XLOOKUP($A914,Output_Mac!$A:$A,Output_Mac!B:B,""),
_xlpm.MyAuditVal,_xlfn.XLOOKUP($A914,My_Audit!$A:$A,My_Audit!B:B,""),
_xlfn.IFS(_xlpm.MyAuditVal&lt;&gt;"",UPPER(_xlpm.MyAuditVal),_xlpm.MacVal&lt;&gt;"",_xlpm.MacVal,_xlpm.CSVVal&lt;&gt;"",_xlpm.CSVVal
)),"")</f>
        <v/>
      </c>
      <c r="D914" s="40" t="str" cm="1">
        <f t="array" ref="D914">IFERROR(_xlfn.LET(
_xlpm.CSVVal,_xlfn.XLOOKUP($A914,CSV!$A:$A,CSV!D:D,""),
_xlpm.MacVal,_xlfn.XLOOKUP($A914,Output_Mac!$A:$A,Output_Mac!C:C,""),
_xlpm.MyAuditVal,_xlfn.XLOOKUP($A914,My_Audit!$A:$A,My_Audit!C:C,""),
_xlfn.IFS(_xlpm.MyAuditVal&lt;&gt;"",_xlpm.MyAuditVal,_xlpm.MacVal&lt;&gt;"",_xlpm.MacVal,_xlpm.CSVVal&lt;&gt;"",_xlpm.CSVVal
)),"")</f>
        <v/>
      </c>
      <c r="E914" s="40" t="str">
        <f>_xlfn.XLOOKUP(A914,My_Audit!A:A,My_Audit!D:D,"")</f>
        <v/>
      </c>
      <c r="F914" s="40" t="str" cm="1">
        <f t="array" ref="F914">IFERROR(_xlfn.LET(
_xlpm.CSVVal,_xlfn.XLOOKUP($A914,CSV!$A:$A,CSV!F:F,""),
_xlpm.MacVal,_xlfn.XLOOKUP($A914,Output_Mac!$A:$A,Output_Mac!E:E,""),
_xlpm.MyAuditVal,_xlfn.XLOOKUP($A914,My_Audit!$A:$A,My_Audit!E:E,""),
_xlfn.IFS(_xlpm.MyAuditVal&lt;&gt;"",_xlpm.MyAuditVal,_xlpm.MacVal&lt;&gt;"",_xlpm.MacVal,_xlpm.CSVVal&lt;&gt;"",_xlpm.CSVVal
)),"")</f>
        <v/>
      </c>
      <c r="G914" s="40" t="str" cm="1">
        <f t="array" ref="G914">IFERROR(_xlfn.LET(
_xlpm.CSVVal,_xlfn.XLOOKUP($A914,CSV!$A:$A,CSV!G:G,""),
_xlpm.MacVal,_xlfn.XLOOKUP($A914,Output_Mac!$A:$A,Output_Mac!F:F,""),
_xlpm.MyAuditVal,_xlfn.XLOOKUP($A914,My_Audit!$A:$A,My_Audit!F:F,""),
_xlfn.IFS(_xlpm.MyAuditVal&lt;&gt;"",_xlpm.MyAuditVal,_xlpm.MacVal&lt;&gt;"",_xlpm.MacVal,_xlpm.CSVVal&lt;&gt;"",PROPER(_xlpm.CSVVal)
)),"")</f>
        <v/>
      </c>
      <c r="H914" s="40" t="str" cm="1">
        <f t="array" ref="H914">IFERROR(_xlfn.LET(
_xlpm.CSVVal,_xlfn.XLOOKUP($A914,CSV!$A:$A,CSV!H:H,""),
_xlpm.MacVal,_xlfn.XLOOKUP($A914,Output_Mac!$A:$A,Output_Mac!H:H,""),
_xlpm.MyAuditVal,_xlfn.XLOOKUP($A914,My_Audit!$A:$A,My_Audit!G:G,""),
_xlfn.IFS(_xlpm.MyAuditVal&lt;&gt;"",_xlpm.MyAuditVal,_xlpm.MacVal&lt;&gt;"",_xlpm.MacVal,_xlpm.CSVVal&lt;&gt;"",_xlpm.CSVVal
)),"")</f>
        <v/>
      </c>
      <c r="I914" s="40" t="str">
        <f>_xlfn.XLOOKUP(A914,Output_Mac!A:A,Output_Mac!I:I,"")</f>
        <v/>
      </c>
      <c r="J914" s="40" t="str" cm="1">
        <f t="array" ref="J914">IFERROR(_xlfn.LET(
_xlpm.CSVVal,_xlfn.XLOOKUP($A914,CSV!$A:$A,CSV!I:I,""),
_xlpm.MacVal,_xlfn.XLOOKUP($A914,Output_Mac!$A:$A,Output_Mac!J:J,""),
_xlpm.MyAuditVal,_xlfn.XLOOKUP($A914,My_Audit!$A:$A,My_Audit!I:I,""),
_xlfn.IFS(_xlpm.MyAuditVal&lt;&gt;"",UPPER(_xlpm.MyAuditVal),_xlpm.MacVal&lt;&gt;"",_xlpm.MacVal,_xlpm.CSVVal&lt;&gt;"",_xlpm.CSVVal
)),"")</f>
        <v/>
      </c>
      <c r="K914" s="40" t="str" cm="1">
        <f t="array" ref="K914">IFERROR(_xlfn.LET(
_xlpm.CSVVal,_xlfn.XLOOKUP($A914,CSV!$A:$A,CSV!K:K,""),
_xlpm.MacVal,_xlfn.XLOOKUP($A914,Output_Mac!$A:$A,Output_Mac!K:K,""),
_xlpm.MyAuditVal,_xlfn.XLOOKUP($A914,My_Audit!$A:$A,My_Audit!J:J,""),
_xlfn.IFS(_xlpm.MyAuditVal&lt;&gt;"",UPPER(_xlpm.MyAuditVal),_xlpm.MacVal&lt;&gt;"",_xlpm.MacVal,_xlpm.CSVVal&lt;&gt;"",_xlpm.CSVVal
)),"")</f>
        <v/>
      </c>
      <c r="L914" s="40" t="str" cm="1">
        <f t="array" ref="L914">IFERROR(_xlfn.LET(
_xlpm.CSVVal,_xlfn.XLOOKUP($A914,CSV!$A:$A,CSV!P:P,""),
_xlpm.MacVal,_xlfn.XLOOKUP($A914,Output_Mac!$A:$A,Output_Mac!L:L,""),
_xlpm.MyAuditVal,_xlfn.XLOOKUP($A914,My_Audit!$A:$A,My_Audit!K:K,""),
_xlfn.IFS(_xlpm.MyAuditVal&lt;&gt;"",UPPER(_xlpm.MyAuditVal),_xlpm.MacVal&lt;&gt;"",_xlpm.MacVal,_xlpm.CSVVal&lt;&gt;"",_xlpm.CSVVal
)),"")</f>
        <v/>
      </c>
      <c r="M914" s="40" t="str" cm="1">
        <f t="array" ref="M914">IFERROR(_xlfn.LET(
_xlpm.CSVVal,_xlfn.XLOOKUP($A914,CSV!$A:$A,CSV!Q:Q,""),
_xlpm.MacVal,_xlfn.XLOOKUP($A914,Output_Mac!$A:$A,Output_Mac!M:M,""),
_xlpm.MyAuditVal,_xlfn.XLOOKUP($A914,My_Audit!$A:$A,My_Audit!L:L,""),
_xlfn.IFS(_xlpm.MyAuditVal&lt;&gt;"",UPPER(_xlpm.MyAuditVal),_xlpm.MacVal&lt;&gt;"",_xlpm.MacVal,_xlpm.CSVVal&lt;&gt;"",_xlpm.CSVVal
)),"")</f>
        <v/>
      </c>
      <c r="N914" s="40"/>
      <c r="O914" s="40" t="str">
        <f>_xlfn.LET(
    _xlpm.CSVVal, _xlfn.XLOOKUP($A914, CSV!$A:$A, CSV!AA:AA, ""),
    _xlpm.MacVal, _xlfn.XLOOKUP($A914, Output_Mac!$A:$A, Output_Mac!S:S, ""),
    _xlpm.MyAuditVal, _xlfn.XLOOKUP($A914, My_Audit!$A:$A, My_Audit!P:P, ""),
    _xlfn.TEXTJOIN(", ", TRUE, _xlpm.MyAuditVal, _xlpm.MacVal, _xlpm.CSVVal)
)</f>
        <v/>
      </c>
      <c r="P914" s="40" t="str" cm="1">
        <f t="array" ref="P914">IFERROR(_xlfn.LET(
_xlpm.CSVVal,_xlfn.XLOOKUP($A914,CSV!$A:$A,CSV!AB:AB,""),
_xlpm.MacVal,_xlfn.XLOOKUP($A914,Output_Mac!$A:$A,Output_Mac!T:T,""),
_xlpm.MyAuditVal,_xlfn.XLOOKUP($A914,My_Audit!$A:$A,My_Audit!Q:Q,""),
_xlfn.IFS(_xlpm.MyAuditVal&lt;&gt;"",UPPER(_xlpm.MyAuditVal),_xlpm.MacVal&lt;&gt;"",_xlpm.MacVal,_xlpm.CSVVal&lt;&gt;"",_xlpm.CSVVal
)),"No")</f>
        <v>No</v>
      </c>
      <c r="Q914" s="40" t="str" cm="1">
        <f t="array" ref="Q914">IFERROR(_xlfn.LET(
_xlpm.CSVVal,_xlfn.XLOOKUP($A914,CSV!$A:$A,CSV!AC:AC,""),
_xlpm.MacVal,_xlfn.XLOOKUP($A914,Output_Mac!$A:$A,Output_Mac!U:U,""),
_xlpm.MyAuditVal,_xlfn.XLOOKUP($A914,My_Audit!$A:$A,My_Audit!R:R,""),
_xlfn.IFS(_xlpm.MyAuditVal&lt;&gt;"",UPPER(_xlpm.MyAuditVal),_xlpm.MacVal&lt;&gt;"",_xlpm.MacVal,_xlpm.CSVVal&lt;&gt;"",_xlpm.CSVVal
)),"")</f>
        <v/>
      </c>
      <c r="R914" s="40"/>
      <c r="S914" s="40"/>
      <c r="T914" s="40"/>
      <c r="U914" s="40"/>
      <c r="V914" s="40"/>
      <c r="W914" s="40"/>
      <c r="X914" s="41" t="str">
        <f>_xlfn.LET(
    _xlpm.MacVal, _xlfn.XLOOKUP($A914, Output_Mac!$A:$A, Output_Mac!AB:AB, ""),
    _xlpm.MyAuditVal, _xlfn.XLOOKUP($A914, My_Audit!$A:$A, My_Audit!N:N, ""),
    _xlfn.TEXTJOIN(", ", TRUE, _xlpm.MyAuditVal, _xlpm.MacVal)
)</f>
        <v/>
      </c>
    </row>
    <row r="915" spans="1:24">
      <c r="A915" s="40" t="str">
        <f>_xlfn.TEXTJOIN("",TRUE,Input!$B$2,ROW(My_Audit!A914))</f>
        <v>X914</v>
      </c>
      <c r="B915" s="40" t="str">
        <f>_xlfn.TEXTJOIN("-",TRUE,"ITD",Input!$A$2,A915)</f>
        <v>ITD-X914</v>
      </c>
      <c r="C915" s="40" t="str" cm="1">
        <f t="array" ref="C915">IFERROR(_xlfn.LET(
_xlpm.CSVVal,_xlfn.XLOOKUP($A915,CSV!$A:$A,CSV!B:B,""),
_xlpm.MacVal,_xlfn.XLOOKUP($A915,Output_Mac!$A:$A,Output_Mac!B:B,""),
_xlpm.MyAuditVal,_xlfn.XLOOKUP($A915,My_Audit!$A:$A,My_Audit!B:B,""),
_xlfn.IFS(_xlpm.MyAuditVal&lt;&gt;"",UPPER(_xlpm.MyAuditVal),_xlpm.MacVal&lt;&gt;"",_xlpm.MacVal,_xlpm.CSVVal&lt;&gt;"",_xlpm.CSVVal
)),"")</f>
        <v/>
      </c>
      <c r="D915" s="40" t="str" cm="1">
        <f t="array" ref="D915">IFERROR(_xlfn.LET(
_xlpm.CSVVal,_xlfn.XLOOKUP($A915,CSV!$A:$A,CSV!D:D,""),
_xlpm.MacVal,_xlfn.XLOOKUP($A915,Output_Mac!$A:$A,Output_Mac!C:C,""),
_xlpm.MyAuditVal,_xlfn.XLOOKUP($A915,My_Audit!$A:$A,My_Audit!C:C,""),
_xlfn.IFS(_xlpm.MyAuditVal&lt;&gt;"",_xlpm.MyAuditVal,_xlpm.MacVal&lt;&gt;"",_xlpm.MacVal,_xlpm.CSVVal&lt;&gt;"",_xlpm.CSVVal
)),"")</f>
        <v/>
      </c>
      <c r="E915" s="40" t="str">
        <f>_xlfn.XLOOKUP(A915,My_Audit!A:A,My_Audit!D:D,"")</f>
        <v/>
      </c>
      <c r="F915" s="40" t="str" cm="1">
        <f t="array" ref="F915">IFERROR(_xlfn.LET(
_xlpm.CSVVal,_xlfn.XLOOKUP($A915,CSV!$A:$A,CSV!F:F,""),
_xlpm.MacVal,_xlfn.XLOOKUP($A915,Output_Mac!$A:$A,Output_Mac!E:E,""),
_xlpm.MyAuditVal,_xlfn.XLOOKUP($A915,My_Audit!$A:$A,My_Audit!E:E,""),
_xlfn.IFS(_xlpm.MyAuditVal&lt;&gt;"",_xlpm.MyAuditVal,_xlpm.MacVal&lt;&gt;"",_xlpm.MacVal,_xlpm.CSVVal&lt;&gt;"",_xlpm.CSVVal
)),"")</f>
        <v/>
      </c>
      <c r="G915" s="40" t="str" cm="1">
        <f t="array" ref="G915">IFERROR(_xlfn.LET(
_xlpm.CSVVal,_xlfn.XLOOKUP($A915,CSV!$A:$A,CSV!G:G,""),
_xlpm.MacVal,_xlfn.XLOOKUP($A915,Output_Mac!$A:$A,Output_Mac!F:F,""),
_xlpm.MyAuditVal,_xlfn.XLOOKUP($A915,My_Audit!$A:$A,My_Audit!F:F,""),
_xlfn.IFS(_xlpm.MyAuditVal&lt;&gt;"",_xlpm.MyAuditVal,_xlpm.MacVal&lt;&gt;"",_xlpm.MacVal,_xlpm.CSVVal&lt;&gt;"",PROPER(_xlpm.CSVVal)
)),"")</f>
        <v/>
      </c>
      <c r="H915" s="40" t="str" cm="1">
        <f t="array" ref="H915">IFERROR(_xlfn.LET(
_xlpm.CSVVal,_xlfn.XLOOKUP($A915,CSV!$A:$A,CSV!H:H,""),
_xlpm.MacVal,_xlfn.XLOOKUP($A915,Output_Mac!$A:$A,Output_Mac!H:H,""),
_xlpm.MyAuditVal,_xlfn.XLOOKUP($A915,My_Audit!$A:$A,My_Audit!G:G,""),
_xlfn.IFS(_xlpm.MyAuditVal&lt;&gt;"",_xlpm.MyAuditVal,_xlpm.MacVal&lt;&gt;"",_xlpm.MacVal,_xlpm.CSVVal&lt;&gt;"",_xlpm.CSVVal
)),"")</f>
        <v/>
      </c>
      <c r="I915" s="40" t="str">
        <f>_xlfn.XLOOKUP(A915,Output_Mac!A:A,Output_Mac!I:I,"")</f>
        <v/>
      </c>
      <c r="J915" s="40" t="str" cm="1">
        <f t="array" ref="J915">IFERROR(_xlfn.LET(
_xlpm.CSVVal,_xlfn.XLOOKUP($A915,CSV!$A:$A,CSV!I:I,""),
_xlpm.MacVal,_xlfn.XLOOKUP($A915,Output_Mac!$A:$A,Output_Mac!J:J,""),
_xlpm.MyAuditVal,_xlfn.XLOOKUP($A915,My_Audit!$A:$A,My_Audit!I:I,""),
_xlfn.IFS(_xlpm.MyAuditVal&lt;&gt;"",UPPER(_xlpm.MyAuditVal),_xlpm.MacVal&lt;&gt;"",_xlpm.MacVal,_xlpm.CSVVal&lt;&gt;"",_xlpm.CSVVal
)),"")</f>
        <v/>
      </c>
      <c r="K915" s="40" t="str" cm="1">
        <f t="array" ref="K915">IFERROR(_xlfn.LET(
_xlpm.CSVVal,_xlfn.XLOOKUP($A915,CSV!$A:$A,CSV!K:K,""),
_xlpm.MacVal,_xlfn.XLOOKUP($A915,Output_Mac!$A:$A,Output_Mac!K:K,""),
_xlpm.MyAuditVal,_xlfn.XLOOKUP($A915,My_Audit!$A:$A,My_Audit!J:J,""),
_xlfn.IFS(_xlpm.MyAuditVal&lt;&gt;"",UPPER(_xlpm.MyAuditVal),_xlpm.MacVal&lt;&gt;"",_xlpm.MacVal,_xlpm.CSVVal&lt;&gt;"",_xlpm.CSVVal
)),"")</f>
        <v/>
      </c>
      <c r="L915" s="40" t="str" cm="1">
        <f t="array" ref="L915">IFERROR(_xlfn.LET(
_xlpm.CSVVal,_xlfn.XLOOKUP($A915,CSV!$A:$A,CSV!P:P,""),
_xlpm.MacVal,_xlfn.XLOOKUP($A915,Output_Mac!$A:$A,Output_Mac!L:L,""),
_xlpm.MyAuditVal,_xlfn.XLOOKUP($A915,My_Audit!$A:$A,My_Audit!K:K,""),
_xlfn.IFS(_xlpm.MyAuditVal&lt;&gt;"",UPPER(_xlpm.MyAuditVal),_xlpm.MacVal&lt;&gt;"",_xlpm.MacVal,_xlpm.CSVVal&lt;&gt;"",_xlpm.CSVVal
)),"")</f>
        <v/>
      </c>
      <c r="M915" s="40" t="str" cm="1">
        <f t="array" ref="M915">IFERROR(_xlfn.LET(
_xlpm.CSVVal,_xlfn.XLOOKUP($A915,CSV!$A:$A,CSV!Q:Q,""),
_xlpm.MacVal,_xlfn.XLOOKUP($A915,Output_Mac!$A:$A,Output_Mac!M:M,""),
_xlpm.MyAuditVal,_xlfn.XLOOKUP($A915,My_Audit!$A:$A,My_Audit!L:L,""),
_xlfn.IFS(_xlpm.MyAuditVal&lt;&gt;"",UPPER(_xlpm.MyAuditVal),_xlpm.MacVal&lt;&gt;"",_xlpm.MacVal,_xlpm.CSVVal&lt;&gt;"",_xlpm.CSVVal
)),"")</f>
        <v/>
      </c>
      <c r="N915" s="40"/>
      <c r="O915" s="40" t="str">
        <f>_xlfn.LET(
    _xlpm.CSVVal, _xlfn.XLOOKUP($A915, CSV!$A:$A, CSV!AA:AA, ""),
    _xlpm.MacVal, _xlfn.XLOOKUP($A915, Output_Mac!$A:$A, Output_Mac!S:S, ""),
    _xlpm.MyAuditVal, _xlfn.XLOOKUP($A915, My_Audit!$A:$A, My_Audit!P:P, ""),
    _xlfn.TEXTJOIN(", ", TRUE, _xlpm.MyAuditVal, _xlpm.MacVal, _xlpm.CSVVal)
)</f>
        <v/>
      </c>
      <c r="P915" s="40" t="str" cm="1">
        <f t="array" ref="P915">IFERROR(_xlfn.LET(
_xlpm.CSVVal,_xlfn.XLOOKUP($A915,CSV!$A:$A,CSV!AB:AB,""),
_xlpm.MacVal,_xlfn.XLOOKUP($A915,Output_Mac!$A:$A,Output_Mac!T:T,""),
_xlpm.MyAuditVal,_xlfn.XLOOKUP($A915,My_Audit!$A:$A,My_Audit!Q:Q,""),
_xlfn.IFS(_xlpm.MyAuditVal&lt;&gt;"",UPPER(_xlpm.MyAuditVal),_xlpm.MacVal&lt;&gt;"",_xlpm.MacVal,_xlpm.CSVVal&lt;&gt;"",_xlpm.CSVVal
)),"No")</f>
        <v>No</v>
      </c>
      <c r="Q915" s="40" t="str" cm="1">
        <f t="array" ref="Q915">IFERROR(_xlfn.LET(
_xlpm.CSVVal,_xlfn.XLOOKUP($A915,CSV!$A:$A,CSV!AC:AC,""),
_xlpm.MacVal,_xlfn.XLOOKUP($A915,Output_Mac!$A:$A,Output_Mac!U:U,""),
_xlpm.MyAuditVal,_xlfn.XLOOKUP($A915,My_Audit!$A:$A,My_Audit!R:R,""),
_xlfn.IFS(_xlpm.MyAuditVal&lt;&gt;"",UPPER(_xlpm.MyAuditVal),_xlpm.MacVal&lt;&gt;"",_xlpm.MacVal,_xlpm.CSVVal&lt;&gt;"",_xlpm.CSVVal
)),"")</f>
        <v/>
      </c>
      <c r="R915" s="40"/>
      <c r="S915" s="40"/>
      <c r="T915" s="40"/>
      <c r="U915" s="40"/>
      <c r="V915" s="40"/>
      <c r="W915" s="40"/>
      <c r="X915" s="41" t="str">
        <f>_xlfn.LET(
    _xlpm.MacVal, _xlfn.XLOOKUP($A915, Output_Mac!$A:$A, Output_Mac!AB:AB, ""),
    _xlpm.MyAuditVal, _xlfn.XLOOKUP($A915, My_Audit!$A:$A, My_Audit!N:N, ""),
    _xlfn.TEXTJOIN(", ", TRUE, _xlpm.MyAuditVal, _xlpm.MacVal)
)</f>
        <v/>
      </c>
    </row>
    <row r="916" spans="1:24">
      <c r="A916" s="40" t="str">
        <f>_xlfn.TEXTJOIN("",TRUE,Input!$B$2,ROW(My_Audit!A915))</f>
        <v>X915</v>
      </c>
      <c r="B916" s="40" t="str">
        <f>_xlfn.TEXTJOIN("-",TRUE,"ITD",Input!$A$2,A916)</f>
        <v>ITD-X915</v>
      </c>
      <c r="C916" s="40" t="str" cm="1">
        <f t="array" ref="C916">IFERROR(_xlfn.LET(
_xlpm.CSVVal,_xlfn.XLOOKUP($A916,CSV!$A:$A,CSV!B:B,""),
_xlpm.MacVal,_xlfn.XLOOKUP($A916,Output_Mac!$A:$A,Output_Mac!B:B,""),
_xlpm.MyAuditVal,_xlfn.XLOOKUP($A916,My_Audit!$A:$A,My_Audit!B:B,""),
_xlfn.IFS(_xlpm.MyAuditVal&lt;&gt;"",UPPER(_xlpm.MyAuditVal),_xlpm.MacVal&lt;&gt;"",_xlpm.MacVal,_xlpm.CSVVal&lt;&gt;"",_xlpm.CSVVal
)),"")</f>
        <v/>
      </c>
      <c r="D916" s="40" t="str" cm="1">
        <f t="array" ref="D916">IFERROR(_xlfn.LET(
_xlpm.CSVVal,_xlfn.XLOOKUP($A916,CSV!$A:$A,CSV!D:D,""),
_xlpm.MacVal,_xlfn.XLOOKUP($A916,Output_Mac!$A:$A,Output_Mac!C:C,""),
_xlpm.MyAuditVal,_xlfn.XLOOKUP($A916,My_Audit!$A:$A,My_Audit!C:C,""),
_xlfn.IFS(_xlpm.MyAuditVal&lt;&gt;"",_xlpm.MyAuditVal,_xlpm.MacVal&lt;&gt;"",_xlpm.MacVal,_xlpm.CSVVal&lt;&gt;"",_xlpm.CSVVal
)),"")</f>
        <v/>
      </c>
      <c r="E916" s="40" t="str">
        <f>_xlfn.XLOOKUP(A916,My_Audit!A:A,My_Audit!D:D,"")</f>
        <v/>
      </c>
      <c r="F916" s="40" t="str" cm="1">
        <f t="array" ref="F916">IFERROR(_xlfn.LET(
_xlpm.CSVVal,_xlfn.XLOOKUP($A916,CSV!$A:$A,CSV!F:F,""),
_xlpm.MacVal,_xlfn.XLOOKUP($A916,Output_Mac!$A:$A,Output_Mac!E:E,""),
_xlpm.MyAuditVal,_xlfn.XLOOKUP($A916,My_Audit!$A:$A,My_Audit!E:E,""),
_xlfn.IFS(_xlpm.MyAuditVal&lt;&gt;"",_xlpm.MyAuditVal,_xlpm.MacVal&lt;&gt;"",_xlpm.MacVal,_xlpm.CSVVal&lt;&gt;"",_xlpm.CSVVal
)),"")</f>
        <v/>
      </c>
      <c r="G916" s="40" t="str" cm="1">
        <f t="array" ref="G916">IFERROR(_xlfn.LET(
_xlpm.CSVVal,_xlfn.XLOOKUP($A916,CSV!$A:$A,CSV!G:G,""),
_xlpm.MacVal,_xlfn.XLOOKUP($A916,Output_Mac!$A:$A,Output_Mac!F:F,""),
_xlpm.MyAuditVal,_xlfn.XLOOKUP($A916,My_Audit!$A:$A,My_Audit!F:F,""),
_xlfn.IFS(_xlpm.MyAuditVal&lt;&gt;"",_xlpm.MyAuditVal,_xlpm.MacVal&lt;&gt;"",_xlpm.MacVal,_xlpm.CSVVal&lt;&gt;"",PROPER(_xlpm.CSVVal)
)),"")</f>
        <v/>
      </c>
      <c r="H916" s="40" t="str" cm="1">
        <f t="array" ref="H916">IFERROR(_xlfn.LET(
_xlpm.CSVVal,_xlfn.XLOOKUP($A916,CSV!$A:$A,CSV!H:H,""),
_xlpm.MacVal,_xlfn.XLOOKUP($A916,Output_Mac!$A:$A,Output_Mac!H:H,""),
_xlpm.MyAuditVal,_xlfn.XLOOKUP($A916,My_Audit!$A:$A,My_Audit!G:G,""),
_xlfn.IFS(_xlpm.MyAuditVal&lt;&gt;"",_xlpm.MyAuditVal,_xlpm.MacVal&lt;&gt;"",_xlpm.MacVal,_xlpm.CSVVal&lt;&gt;"",_xlpm.CSVVal
)),"")</f>
        <v/>
      </c>
      <c r="I916" s="40" t="str">
        <f>_xlfn.XLOOKUP(A916,Output_Mac!A:A,Output_Mac!I:I,"")</f>
        <v/>
      </c>
      <c r="J916" s="40" t="str" cm="1">
        <f t="array" ref="J916">IFERROR(_xlfn.LET(
_xlpm.CSVVal,_xlfn.XLOOKUP($A916,CSV!$A:$A,CSV!I:I,""),
_xlpm.MacVal,_xlfn.XLOOKUP($A916,Output_Mac!$A:$A,Output_Mac!J:J,""),
_xlpm.MyAuditVal,_xlfn.XLOOKUP($A916,My_Audit!$A:$A,My_Audit!I:I,""),
_xlfn.IFS(_xlpm.MyAuditVal&lt;&gt;"",UPPER(_xlpm.MyAuditVal),_xlpm.MacVal&lt;&gt;"",_xlpm.MacVal,_xlpm.CSVVal&lt;&gt;"",_xlpm.CSVVal
)),"")</f>
        <v/>
      </c>
      <c r="K916" s="40" t="str" cm="1">
        <f t="array" ref="K916">IFERROR(_xlfn.LET(
_xlpm.CSVVal,_xlfn.XLOOKUP($A916,CSV!$A:$A,CSV!K:K,""),
_xlpm.MacVal,_xlfn.XLOOKUP($A916,Output_Mac!$A:$A,Output_Mac!K:K,""),
_xlpm.MyAuditVal,_xlfn.XLOOKUP($A916,My_Audit!$A:$A,My_Audit!J:J,""),
_xlfn.IFS(_xlpm.MyAuditVal&lt;&gt;"",UPPER(_xlpm.MyAuditVal),_xlpm.MacVal&lt;&gt;"",_xlpm.MacVal,_xlpm.CSVVal&lt;&gt;"",_xlpm.CSVVal
)),"")</f>
        <v/>
      </c>
      <c r="L916" s="40" t="str" cm="1">
        <f t="array" ref="L916">IFERROR(_xlfn.LET(
_xlpm.CSVVal,_xlfn.XLOOKUP($A916,CSV!$A:$A,CSV!P:P,""),
_xlpm.MacVal,_xlfn.XLOOKUP($A916,Output_Mac!$A:$A,Output_Mac!L:L,""),
_xlpm.MyAuditVal,_xlfn.XLOOKUP($A916,My_Audit!$A:$A,My_Audit!K:K,""),
_xlfn.IFS(_xlpm.MyAuditVal&lt;&gt;"",UPPER(_xlpm.MyAuditVal),_xlpm.MacVal&lt;&gt;"",_xlpm.MacVal,_xlpm.CSVVal&lt;&gt;"",_xlpm.CSVVal
)),"")</f>
        <v/>
      </c>
      <c r="M916" s="40" t="str" cm="1">
        <f t="array" ref="M916">IFERROR(_xlfn.LET(
_xlpm.CSVVal,_xlfn.XLOOKUP($A916,CSV!$A:$A,CSV!Q:Q,""),
_xlpm.MacVal,_xlfn.XLOOKUP($A916,Output_Mac!$A:$A,Output_Mac!M:M,""),
_xlpm.MyAuditVal,_xlfn.XLOOKUP($A916,My_Audit!$A:$A,My_Audit!L:L,""),
_xlfn.IFS(_xlpm.MyAuditVal&lt;&gt;"",UPPER(_xlpm.MyAuditVal),_xlpm.MacVal&lt;&gt;"",_xlpm.MacVal,_xlpm.CSVVal&lt;&gt;"",_xlpm.CSVVal
)),"")</f>
        <v/>
      </c>
      <c r="N916" s="40"/>
      <c r="O916" s="40" t="str">
        <f>_xlfn.LET(
    _xlpm.CSVVal, _xlfn.XLOOKUP($A916, CSV!$A:$A, CSV!AA:AA, ""),
    _xlpm.MacVal, _xlfn.XLOOKUP($A916, Output_Mac!$A:$A, Output_Mac!S:S, ""),
    _xlpm.MyAuditVal, _xlfn.XLOOKUP($A916, My_Audit!$A:$A, My_Audit!P:P, ""),
    _xlfn.TEXTJOIN(", ", TRUE, _xlpm.MyAuditVal, _xlpm.MacVal, _xlpm.CSVVal)
)</f>
        <v/>
      </c>
      <c r="P916" s="40" t="str" cm="1">
        <f t="array" ref="P916">IFERROR(_xlfn.LET(
_xlpm.CSVVal,_xlfn.XLOOKUP($A916,CSV!$A:$A,CSV!AB:AB,""),
_xlpm.MacVal,_xlfn.XLOOKUP($A916,Output_Mac!$A:$A,Output_Mac!T:T,""),
_xlpm.MyAuditVal,_xlfn.XLOOKUP($A916,My_Audit!$A:$A,My_Audit!Q:Q,""),
_xlfn.IFS(_xlpm.MyAuditVal&lt;&gt;"",UPPER(_xlpm.MyAuditVal),_xlpm.MacVal&lt;&gt;"",_xlpm.MacVal,_xlpm.CSVVal&lt;&gt;"",_xlpm.CSVVal
)),"No")</f>
        <v>No</v>
      </c>
      <c r="Q916" s="40" t="str" cm="1">
        <f t="array" ref="Q916">IFERROR(_xlfn.LET(
_xlpm.CSVVal,_xlfn.XLOOKUP($A916,CSV!$A:$A,CSV!AC:AC,""),
_xlpm.MacVal,_xlfn.XLOOKUP($A916,Output_Mac!$A:$A,Output_Mac!U:U,""),
_xlpm.MyAuditVal,_xlfn.XLOOKUP($A916,My_Audit!$A:$A,My_Audit!R:R,""),
_xlfn.IFS(_xlpm.MyAuditVal&lt;&gt;"",UPPER(_xlpm.MyAuditVal),_xlpm.MacVal&lt;&gt;"",_xlpm.MacVal,_xlpm.CSVVal&lt;&gt;"",_xlpm.CSVVal
)),"")</f>
        <v/>
      </c>
      <c r="R916" s="40"/>
      <c r="S916" s="40"/>
      <c r="T916" s="40"/>
      <c r="U916" s="40"/>
      <c r="V916" s="40"/>
      <c r="W916" s="40"/>
      <c r="X916" s="41" t="str">
        <f>_xlfn.LET(
    _xlpm.MacVal, _xlfn.XLOOKUP($A916, Output_Mac!$A:$A, Output_Mac!AB:AB, ""),
    _xlpm.MyAuditVal, _xlfn.XLOOKUP($A916, My_Audit!$A:$A, My_Audit!N:N, ""),
    _xlfn.TEXTJOIN(", ", TRUE, _xlpm.MyAuditVal, _xlpm.MacVal)
)</f>
        <v/>
      </c>
    </row>
    <row r="917" spans="1:24">
      <c r="A917" s="40" t="str">
        <f>_xlfn.TEXTJOIN("",TRUE,Input!$B$2,ROW(My_Audit!A916))</f>
        <v>X916</v>
      </c>
      <c r="B917" s="40" t="str">
        <f>_xlfn.TEXTJOIN("-",TRUE,"ITD",Input!$A$2,A917)</f>
        <v>ITD-X916</v>
      </c>
      <c r="C917" s="40" t="str" cm="1">
        <f t="array" ref="C917">IFERROR(_xlfn.LET(
_xlpm.CSVVal,_xlfn.XLOOKUP($A917,CSV!$A:$A,CSV!B:B,""),
_xlpm.MacVal,_xlfn.XLOOKUP($A917,Output_Mac!$A:$A,Output_Mac!B:B,""),
_xlpm.MyAuditVal,_xlfn.XLOOKUP($A917,My_Audit!$A:$A,My_Audit!B:B,""),
_xlfn.IFS(_xlpm.MyAuditVal&lt;&gt;"",UPPER(_xlpm.MyAuditVal),_xlpm.MacVal&lt;&gt;"",_xlpm.MacVal,_xlpm.CSVVal&lt;&gt;"",_xlpm.CSVVal
)),"")</f>
        <v/>
      </c>
      <c r="D917" s="40" t="str" cm="1">
        <f t="array" ref="D917">IFERROR(_xlfn.LET(
_xlpm.CSVVal,_xlfn.XLOOKUP($A917,CSV!$A:$A,CSV!D:D,""),
_xlpm.MacVal,_xlfn.XLOOKUP($A917,Output_Mac!$A:$A,Output_Mac!C:C,""),
_xlpm.MyAuditVal,_xlfn.XLOOKUP($A917,My_Audit!$A:$A,My_Audit!C:C,""),
_xlfn.IFS(_xlpm.MyAuditVal&lt;&gt;"",_xlpm.MyAuditVal,_xlpm.MacVal&lt;&gt;"",_xlpm.MacVal,_xlpm.CSVVal&lt;&gt;"",_xlpm.CSVVal
)),"")</f>
        <v/>
      </c>
      <c r="E917" s="40" t="str">
        <f>_xlfn.XLOOKUP(A917,My_Audit!A:A,My_Audit!D:D,"")</f>
        <v/>
      </c>
      <c r="F917" s="40" t="str" cm="1">
        <f t="array" ref="F917">IFERROR(_xlfn.LET(
_xlpm.CSVVal,_xlfn.XLOOKUP($A917,CSV!$A:$A,CSV!F:F,""),
_xlpm.MacVal,_xlfn.XLOOKUP($A917,Output_Mac!$A:$A,Output_Mac!E:E,""),
_xlpm.MyAuditVal,_xlfn.XLOOKUP($A917,My_Audit!$A:$A,My_Audit!E:E,""),
_xlfn.IFS(_xlpm.MyAuditVal&lt;&gt;"",_xlpm.MyAuditVal,_xlpm.MacVal&lt;&gt;"",_xlpm.MacVal,_xlpm.CSVVal&lt;&gt;"",_xlpm.CSVVal
)),"")</f>
        <v/>
      </c>
      <c r="G917" s="40" t="str" cm="1">
        <f t="array" ref="G917">IFERROR(_xlfn.LET(
_xlpm.CSVVal,_xlfn.XLOOKUP($A917,CSV!$A:$A,CSV!G:G,""),
_xlpm.MacVal,_xlfn.XLOOKUP($A917,Output_Mac!$A:$A,Output_Mac!F:F,""),
_xlpm.MyAuditVal,_xlfn.XLOOKUP($A917,My_Audit!$A:$A,My_Audit!F:F,""),
_xlfn.IFS(_xlpm.MyAuditVal&lt;&gt;"",_xlpm.MyAuditVal,_xlpm.MacVal&lt;&gt;"",_xlpm.MacVal,_xlpm.CSVVal&lt;&gt;"",PROPER(_xlpm.CSVVal)
)),"")</f>
        <v/>
      </c>
      <c r="H917" s="40" t="str" cm="1">
        <f t="array" ref="H917">IFERROR(_xlfn.LET(
_xlpm.CSVVal,_xlfn.XLOOKUP($A917,CSV!$A:$A,CSV!H:H,""),
_xlpm.MacVal,_xlfn.XLOOKUP($A917,Output_Mac!$A:$A,Output_Mac!H:H,""),
_xlpm.MyAuditVal,_xlfn.XLOOKUP($A917,My_Audit!$A:$A,My_Audit!G:G,""),
_xlfn.IFS(_xlpm.MyAuditVal&lt;&gt;"",_xlpm.MyAuditVal,_xlpm.MacVal&lt;&gt;"",_xlpm.MacVal,_xlpm.CSVVal&lt;&gt;"",_xlpm.CSVVal
)),"")</f>
        <v/>
      </c>
      <c r="I917" s="40" t="str">
        <f>_xlfn.XLOOKUP(A917,Output_Mac!A:A,Output_Mac!I:I,"")</f>
        <v/>
      </c>
      <c r="J917" s="40" t="str" cm="1">
        <f t="array" ref="J917">IFERROR(_xlfn.LET(
_xlpm.CSVVal,_xlfn.XLOOKUP($A917,CSV!$A:$A,CSV!I:I,""),
_xlpm.MacVal,_xlfn.XLOOKUP($A917,Output_Mac!$A:$A,Output_Mac!J:J,""),
_xlpm.MyAuditVal,_xlfn.XLOOKUP($A917,My_Audit!$A:$A,My_Audit!I:I,""),
_xlfn.IFS(_xlpm.MyAuditVal&lt;&gt;"",UPPER(_xlpm.MyAuditVal),_xlpm.MacVal&lt;&gt;"",_xlpm.MacVal,_xlpm.CSVVal&lt;&gt;"",_xlpm.CSVVal
)),"")</f>
        <v/>
      </c>
      <c r="K917" s="40" t="str" cm="1">
        <f t="array" ref="K917">IFERROR(_xlfn.LET(
_xlpm.CSVVal,_xlfn.XLOOKUP($A917,CSV!$A:$A,CSV!K:K,""),
_xlpm.MacVal,_xlfn.XLOOKUP($A917,Output_Mac!$A:$A,Output_Mac!K:K,""),
_xlpm.MyAuditVal,_xlfn.XLOOKUP($A917,My_Audit!$A:$A,My_Audit!J:J,""),
_xlfn.IFS(_xlpm.MyAuditVal&lt;&gt;"",UPPER(_xlpm.MyAuditVal),_xlpm.MacVal&lt;&gt;"",_xlpm.MacVal,_xlpm.CSVVal&lt;&gt;"",_xlpm.CSVVal
)),"")</f>
        <v/>
      </c>
      <c r="L917" s="40" t="str" cm="1">
        <f t="array" ref="L917">IFERROR(_xlfn.LET(
_xlpm.CSVVal,_xlfn.XLOOKUP($A917,CSV!$A:$A,CSV!P:P,""),
_xlpm.MacVal,_xlfn.XLOOKUP($A917,Output_Mac!$A:$A,Output_Mac!L:L,""),
_xlpm.MyAuditVal,_xlfn.XLOOKUP($A917,My_Audit!$A:$A,My_Audit!K:K,""),
_xlfn.IFS(_xlpm.MyAuditVal&lt;&gt;"",UPPER(_xlpm.MyAuditVal),_xlpm.MacVal&lt;&gt;"",_xlpm.MacVal,_xlpm.CSVVal&lt;&gt;"",_xlpm.CSVVal
)),"")</f>
        <v/>
      </c>
      <c r="M917" s="40" t="str" cm="1">
        <f t="array" ref="M917">IFERROR(_xlfn.LET(
_xlpm.CSVVal,_xlfn.XLOOKUP($A917,CSV!$A:$A,CSV!Q:Q,""),
_xlpm.MacVal,_xlfn.XLOOKUP($A917,Output_Mac!$A:$A,Output_Mac!M:M,""),
_xlpm.MyAuditVal,_xlfn.XLOOKUP($A917,My_Audit!$A:$A,My_Audit!L:L,""),
_xlfn.IFS(_xlpm.MyAuditVal&lt;&gt;"",UPPER(_xlpm.MyAuditVal),_xlpm.MacVal&lt;&gt;"",_xlpm.MacVal,_xlpm.CSVVal&lt;&gt;"",_xlpm.CSVVal
)),"")</f>
        <v/>
      </c>
      <c r="N917" s="40"/>
      <c r="O917" s="40" t="str">
        <f>_xlfn.LET(
    _xlpm.CSVVal, _xlfn.XLOOKUP($A917, CSV!$A:$A, CSV!AA:AA, ""),
    _xlpm.MacVal, _xlfn.XLOOKUP($A917, Output_Mac!$A:$A, Output_Mac!S:S, ""),
    _xlpm.MyAuditVal, _xlfn.XLOOKUP($A917, My_Audit!$A:$A, My_Audit!P:P, ""),
    _xlfn.TEXTJOIN(", ", TRUE, _xlpm.MyAuditVal, _xlpm.MacVal, _xlpm.CSVVal)
)</f>
        <v/>
      </c>
      <c r="P917" s="40" t="str" cm="1">
        <f t="array" ref="P917">IFERROR(_xlfn.LET(
_xlpm.CSVVal,_xlfn.XLOOKUP($A917,CSV!$A:$A,CSV!AB:AB,""),
_xlpm.MacVal,_xlfn.XLOOKUP($A917,Output_Mac!$A:$A,Output_Mac!T:T,""),
_xlpm.MyAuditVal,_xlfn.XLOOKUP($A917,My_Audit!$A:$A,My_Audit!Q:Q,""),
_xlfn.IFS(_xlpm.MyAuditVal&lt;&gt;"",UPPER(_xlpm.MyAuditVal),_xlpm.MacVal&lt;&gt;"",_xlpm.MacVal,_xlpm.CSVVal&lt;&gt;"",_xlpm.CSVVal
)),"No")</f>
        <v>No</v>
      </c>
      <c r="Q917" s="40" t="str" cm="1">
        <f t="array" ref="Q917">IFERROR(_xlfn.LET(
_xlpm.CSVVal,_xlfn.XLOOKUP($A917,CSV!$A:$A,CSV!AC:AC,""),
_xlpm.MacVal,_xlfn.XLOOKUP($A917,Output_Mac!$A:$A,Output_Mac!U:U,""),
_xlpm.MyAuditVal,_xlfn.XLOOKUP($A917,My_Audit!$A:$A,My_Audit!R:R,""),
_xlfn.IFS(_xlpm.MyAuditVal&lt;&gt;"",UPPER(_xlpm.MyAuditVal),_xlpm.MacVal&lt;&gt;"",_xlpm.MacVal,_xlpm.CSVVal&lt;&gt;"",_xlpm.CSVVal
)),"")</f>
        <v/>
      </c>
      <c r="R917" s="40"/>
      <c r="S917" s="40"/>
      <c r="T917" s="40"/>
      <c r="U917" s="40"/>
      <c r="V917" s="40"/>
      <c r="W917" s="40"/>
      <c r="X917" s="41" t="str">
        <f>_xlfn.LET(
    _xlpm.MacVal, _xlfn.XLOOKUP($A917, Output_Mac!$A:$A, Output_Mac!AB:AB, ""),
    _xlpm.MyAuditVal, _xlfn.XLOOKUP($A917, My_Audit!$A:$A, My_Audit!N:N, ""),
    _xlfn.TEXTJOIN(", ", TRUE, _xlpm.MyAuditVal, _xlpm.MacVal)
)</f>
        <v/>
      </c>
    </row>
    <row r="918" spans="1:24">
      <c r="A918" s="40" t="str">
        <f>_xlfn.TEXTJOIN("",TRUE,Input!$B$2,ROW(My_Audit!A917))</f>
        <v>X917</v>
      </c>
      <c r="B918" s="40" t="str">
        <f>_xlfn.TEXTJOIN("-",TRUE,"ITD",Input!$A$2,A918)</f>
        <v>ITD-X917</v>
      </c>
      <c r="C918" s="40" t="str" cm="1">
        <f t="array" ref="C918">IFERROR(_xlfn.LET(
_xlpm.CSVVal,_xlfn.XLOOKUP($A918,CSV!$A:$A,CSV!B:B,""),
_xlpm.MacVal,_xlfn.XLOOKUP($A918,Output_Mac!$A:$A,Output_Mac!B:B,""),
_xlpm.MyAuditVal,_xlfn.XLOOKUP($A918,My_Audit!$A:$A,My_Audit!B:B,""),
_xlfn.IFS(_xlpm.MyAuditVal&lt;&gt;"",UPPER(_xlpm.MyAuditVal),_xlpm.MacVal&lt;&gt;"",_xlpm.MacVal,_xlpm.CSVVal&lt;&gt;"",_xlpm.CSVVal
)),"")</f>
        <v/>
      </c>
      <c r="D918" s="40" t="str" cm="1">
        <f t="array" ref="D918">IFERROR(_xlfn.LET(
_xlpm.CSVVal,_xlfn.XLOOKUP($A918,CSV!$A:$A,CSV!D:D,""),
_xlpm.MacVal,_xlfn.XLOOKUP($A918,Output_Mac!$A:$A,Output_Mac!C:C,""),
_xlpm.MyAuditVal,_xlfn.XLOOKUP($A918,My_Audit!$A:$A,My_Audit!C:C,""),
_xlfn.IFS(_xlpm.MyAuditVal&lt;&gt;"",_xlpm.MyAuditVal,_xlpm.MacVal&lt;&gt;"",_xlpm.MacVal,_xlpm.CSVVal&lt;&gt;"",_xlpm.CSVVal
)),"")</f>
        <v/>
      </c>
      <c r="E918" s="40" t="str">
        <f>_xlfn.XLOOKUP(A918,My_Audit!A:A,My_Audit!D:D,"")</f>
        <v/>
      </c>
      <c r="F918" s="40" t="str" cm="1">
        <f t="array" ref="F918">IFERROR(_xlfn.LET(
_xlpm.CSVVal,_xlfn.XLOOKUP($A918,CSV!$A:$A,CSV!F:F,""),
_xlpm.MacVal,_xlfn.XLOOKUP($A918,Output_Mac!$A:$A,Output_Mac!E:E,""),
_xlpm.MyAuditVal,_xlfn.XLOOKUP($A918,My_Audit!$A:$A,My_Audit!E:E,""),
_xlfn.IFS(_xlpm.MyAuditVal&lt;&gt;"",_xlpm.MyAuditVal,_xlpm.MacVal&lt;&gt;"",_xlpm.MacVal,_xlpm.CSVVal&lt;&gt;"",_xlpm.CSVVal
)),"")</f>
        <v/>
      </c>
      <c r="G918" s="40" t="str" cm="1">
        <f t="array" ref="G918">IFERROR(_xlfn.LET(
_xlpm.CSVVal,_xlfn.XLOOKUP($A918,CSV!$A:$A,CSV!G:G,""),
_xlpm.MacVal,_xlfn.XLOOKUP($A918,Output_Mac!$A:$A,Output_Mac!F:F,""),
_xlpm.MyAuditVal,_xlfn.XLOOKUP($A918,My_Audit!$A:$A,My_Audit!F:F,""),
_xlfn.IFS(_xlpm.MyAuditVal&lt;&gt;"",_xlpm.MyAuditVal,_xlpm.MacVal&lt;&gt;"",_xlpm.MacVal,_xlpm.CSVVal&lt;&gt;"",PROPER(_xlpm.CSVVal)
)),"")</f>
        <v/>
      </c>
      <c r="H918" s="40" t="str" cm="1">
        <f t="array" ref="H918">IFERROR(_xlfn.LET(
_xlpm.CSVVal,_xlfn.XLOOKUP($A918,CSV!$A:$A,CSV!H:H,""),
_xlpm.MacVal,_xlfn.XLOOKUP($A918,Output_Mac!$A:$A,Output_Mac!H:H,""),
_xlpm.MyAuditVal,_xlfn.XLOOKUP($A918,My_Audit!$A:$A,My_Audit!G:G,""),
_xlfn.IFS(_xlpm.MyAuditVal&lt;&gt;"",_xlpm.MyAuditVal,_xlpm.MacVal&lt;&gt;"",_xlpm.MacVal,_xlpm.CSVVal&lt;&gt;"",_xlpm.CSVVal
)),"")</f>
        <v/>
      </c>
      <c r="I918" s="40" t="str">
        <f>_xlfn.XLOOKUP(A918,Output_Mac!A:A,Output_Mac!I:I,"")</f>
        <v/>
      </c>
      <c r="J918" s="40" t="str" cm="1">
        <f t="array" ref="J918">IFERROR(_xlfn.LET(
_xlpm.CSVVal,_xlfn.XLOOKUP($A918,CSV!$A:$A,CSV!I:I,""),
_xlpm.MacVal,_xlfn.XLOOKUP($A918,Output_Mac!$A:$A,Output_Mac!J:J,""),
_xlpm.MyAuditVal,_xlfn.XLOOKUP($A918,My_Audit!$A:$A,My_Audit!I:I,""),
_xlfn.IFS(_xlpm.MyAuditVal&lt;&gt;"",UPPER(_xlpm.MyAuditVal),_xlpm.MacVal&lt;&gt;"",_xlpm.MacVal,_xlpm.CSVVal&lt;&gt;"",_xlpm.CSVVal
)),"")</f>
        <v/>
      </c>
      <c r="K918" s="40" t="str" cm="1">
        <f t="array" ref="K918">IFERROR(_xlfn.LET(
_xlpm.CSVVal,_xlfn.XLOOKUP($A918,CSV!$A:$A,CSV!K:K,""),
_xlpm.MacVal,_xlfn.XLOOKUP($A918,Output_Mac!$A:$A,Output_Mac!K:K,""),
_xlpm.MyAuditVal,_xlfn.XLOOKUP($A918,My_Audit!$A:$A,My_Audit!J:J,""),
_xlfn.IFS(_xlpm.MyAuditVal&lt;&gt;"",UPPER(_xlpm.MyAuditVal),_xlpm.MacVal&lt;&gt;"",_xlpm.MacVal,_xlpm.CSVVal&lt;&gt;"",_xlpm.CSVVal
)),"")</f>
        <v/>
      </c>
      <c r="L918" s="40" t="str" cm="1">
        <f t="array" ref="L918">IFERROR(_xlfn.LET(
_xlpm.CSVVal,_xlfn.XLOOKUP($A918,CSV!$A:$A,CSV!P:P,""),
_xlpm.MacVal,_xlfn.XLOOKUP($A918,Output_Mac!$A:$A,Output_Mac!L:L,""),
_xlpm.MyAuditVal,_xlfn.XLOOKUP($A918,My_Audit!$A:$A,My_Audit!K:K,""),
_xlfn.IFS(_xlpm.MyAuditVal&lt;&gt;"",UPPER(_xlpm.MyAuditVal),_xlpm.MacVal&lt;&gt;"",_xlpm.MacVal,_xlpm.CSVVal&lt;&gt;"",_xlpm.CSVVal
)),"")</f>
        <v/>
      </c>
      <c r="M918" s="40" t="str" cm="1">
        <f t="array" ref="M918">IFERROR(_xlfn.LET(
_xlpm.CSVVal,_xlfn.XLOOKUP($A918,CSV!$A:$A,CSV!Q:Q,""),
_xlpm.MacVal,_xlfn.XLOOKUP($A918,Output_Mac!$A:$A,Output_Mac!M:M,""),
_xlpm.MyAuditVal,_xlfn.XLOOKUP($A918,My_Audit!$A:$A,My_Audit!L:L,""),
_xlfn.IFS(_xlpm.MyAuditVal&lt;&gt;"",UPPER(_xlpm.MyAuditVal),_xlpm.MacVal&lt;&gt;"",_xlpm.MacVal,_xlpm.CSVVal&lt;&gt;"",_xlpm.CSVVal
)),"")</f>
        <v/>
      </c>
      <c r="N918" s="40"/>
      <c r="O918" s="40" t="str">
        <f>_xlfn.LET(
    _xlpm.CSVVal, _xlfn.XLOOKUP($A918, CSV!$A:$A, CSV!AA:AA, ""),
    _xlpm.MacVal, _xlfn.XLOOKUP($A918, Output_Mac!$A:$A, Output_Mac!S:S, ""),
    _xlpm.MyAuditVal, _xlfn.XLOOKUP($A918, My_Audit!$A:$A, My_Audit!P:P, ""),
    _xlfn.TEXTJOIN(", ", TRUE, _xlpm.MyAuditVal, _xlpm.MacVal, _xlpm.CSVVal)
)</f>
        <v/>
      </c>
      <c r="P918" s="40" t="str" cm="1">
        <f t="array" ref="P918">IFERROR(_xlfn.LET(
_xlpm.CSVVal,_xlfn.XLOOKUP($A918,CSV!$A:$A,CSV!AB:AB,""),
_xlpm.MacVal,_xlfn.XLOOKUP($A918,Output_Mac!$A:$A,Output_Mac!T:T,""),
_xlpm.MyAuditVal,_xlfn.XLOOKUP($A918,My_Audit!$A:$A,My_Audit!Q:Q,""),
_xlfn.IFS(_xlpm.MyAuditVal&lt;&gt;"",UPPER(_xlpm.MyAuditVal),_xlpm.MacVal&lt;&gt;"",_xlpm.MacVal,_xlpm.CSVVal&lt;&gt;"",_xlpm.CSVVal
)),"No")</f>
        <v>No</v>
      </c>
      <c r="Q918" s="40" t="str" cm="1">
        <f t="array" ref="Q918">IFERROR(_xlfn.LET(
_xlpm.CSVVal,_xlfn.XLOOKUP($A918,CSV!$A:$A,CSV!AC:AC,""),
_xlpm.MacVal,_xlfn.XLOOKUP($A918,Output_Mac!$A:$A,Output_Mac!U:U,""),
_xlpm.MyAuditVal,_xlfn.XLOOKUP($A918,My_Audit!$A:$A,My_Audit!R:R,""),
_xlfn.IFS(_xlpm.MyAuditVal&lt;&gt;"",UPPER(_xlpm.MyAuditVal),_xlpm.MacVal&lt;&gt;"",_xlpm.MacVal,_xlpm.CSVVal&lt;&gt;"",_xlpm.CSVVal
)),"")</f>
        <v/>
      </c>
      <c r="R918" s="40"/>
      <c r="S918" s="40"/>
      <c r="T918" s="40"/>
      <c r="U918" s="40"/>
      <c r="V918" s="40"/>
      <c r="W918" s="40"/>
      <c r="X918" s="41" t="str">
        <f>_xlfn.LET(
    _xlpm.MacVal, _xlfn.XLOOKUP($A918, Output_Mac!$A:$A, Output_Mac!AB:AB, ""),
    _xlpm.MyAuditVal, _xlfn.XLOOKUP($A918, My_Audit!$A:$A, My_Audit!N:N, ""),
    _xlfn.TEXTJOIN(", ", TRUE, _xlpm.MyAuditVal, _xlpm.MacVal)
)</f>
        <v/>
      </c>
    </row>
    <row r="919" spans="1:24">
      <c r="A919" s="40" t="str">
        <f>_xlfn.TEXTJOIN("",TRUE,Input!$B$2,ROW(My_Audit!A918))</f>
        <v>X918</v>
      </c>
      <c r="B919" s="40" t="str">
        <f>_xlfn.TEXTJOIN("-",TRUE,"ITD",Input!$A$2,A919)</f>
        <v>ITD-X918</v>
      </c>
      <c r="C919" s="40" t="str" cm="1">
        <f t="array" ref="C919">IFERROR(_xlfn.LET(
_xlpm.CSVVal,_xlfn.XLOOKUP($A919,CSV!$A:$A,CSV!B:B,""),
_xlpm.MacVal,_xlfn.XLOOKUP($A919,Output_Mac!$A:$A,Output_Mac!B:B,""),
_xlpm.MyAuditVal,_xlfn.XLOOKUP($A919,My_Audit!$A:$A,My_Audit!B:B,""),
_xlfn.IFS(_xlpm.MyAuditVal&lt;&gt;"",UPPER(_xlpm.MyAuditVal),_xlpm.MacVal&lt;&gt;"",_xlpm.MacVal,_xlpm.CSVVal&lt;&gt;"",_xlpm.CSVVal
)),"")</f>
        <v/>
      </c>
      <c r="D919" s="40" t="str" cm="1">
        <f t="array" ref="D919">IFERROR(_xlfn.LET(
_xlpm.CSVVal,_xlfn.XLOOKUP($A919,CSV!$A:$A,CSV!D:D,""),
_xlpm.MacVal,_xlfn.XLOOKUP($A919,Output_Mac!$A:$A,Output_Mac!C:C,""),
_xlpm.MyAuditVal,_xlfn.XLOOKUP($A919,My_Audit!$A:$A,My_Audit!C:C,""),
_xlfn.IFS(_xlpm.MyAuditVal&lt;&gt;"",_xlpm.MyAuditVal,_xlpm.MacVal&lt;&gt;"",_xlpm.MacVal,_xlpm.CSVVal&lt;&gt;"",_xlpm.CSVVal
)),"")</f>
        <v/>
      </c>
      <c r="E919" s="40" t="str">
        <f>_xlfn.XLOOKUP(A919,My_Audit!A:A,My_Audit!D:D,"")</f>
        <v/>
      </c>
      <c r="F919" s="40" t="str" cm="1">
        <f t="array" ref="F919">IFERROR(_xlfn.LET(
_xlpm.CSVVal,_xlfn.XLOOKUP($A919,CSV!$A:$A,CSV!F:F,""),
_xlpm.MacVal,_xlfn.XLOOKUP($A919,Output_Mac!$A:$A,Output_Mac!E:E,""),
_xlpm.MyAuditVal,_xlfn.XLOOKUP($A919,My_Audit!$A:$A,My_Audit!E:E,""),
_xlfn.IFS(_xlpm.MyAuditVal&lt;&gt;"",_xlpm.MyAuditVal,_xlpm.MacVal&lt;&gt;"",_xlpm.MacVal,_xlpm.CSVVal&lt;&gt;"",_xlpm.CSVVal
)),"")</f>
        <v/>
      </c>
      <c r="G919" s="40" t="str" cm="1">
        <f t="array" ref="G919">IFERROR(_xlfn.LET(
_xlpm.CSVVal,_xlfn.XLOOKUP($A919,CSV!$A:$A,CSV!G:G,""),
_xlpm.MacVal,_xlfn.XLOOKUP($A919,Output_Mac!$A:$A,Output_Mac!F:F,""),
_xlpm.MyAuditVal,_xlfn.XLOOKUP($A919,My_Audit!$A:$A,My_Audit!F:F,""),
_xlfn.IFS(_xlpm.MyAuditVal&lt;&gt;"",_xlpm.MyAuditVal,_xlpm.MacVal&lt;&gt;"",_xlpm.MacVal,_xlpm.CSVVal&lt;&gt;"",PROPER(_xlpm.CSVVal)
)),"")</f>
        <v/>
      </c>
      <c r="H919" s="40" t="str" cm="1">
        <f t="array" ref="H919">IFERROR(_xlfn.LET(
_xlpm.CSVVal,_xlfn.XLOOKUP($A919,CSV!$A:$A,CSV!H:H,""),
_xlpm.MacVal,_xlfn.XLOOKUP($A919,Output_Mac!$A:$A,Output_Mac!H:H,""),
_xlpm.MyAuditVal,_xlfn.XLOOKUP($A919,My_Audit!$A:$A,My_Audit!G:G,""),
_xlfn.IFS(_xlpm.MyAuditVal&lt;&gt;"",_xlpm.MyAuditVal,_xlpm.MacVal&lt;&gt;"",_xlpm.MacVal,_xlpm.CSVVal&lt;&gt;"",_xlpm.CSVVal
)),"")</f>
        <v/>
      </c>
      <c r="I919" s="40" t="str">
        <f>_xlfn.XLOOKUP(A919,Output_Mac!A:A,Output_Mac!I:I,"")</f>
        <v/>
      </c>
      <c r="J919" s="40" t="str" cm="1">
        <f t="array" ref="J919">IFERROR(_xlfn.LET(
_xlpm.CSVVal,_xlfn.XLOOKUP($A919,CSV!$A:$A,CSV!I:I,""),
_xlpm.MacVal,_xlfn.XLOOKUP($A919,Output_Mac!$A:$A,Output_Mac!J:J,""),
_xlpm.MyAuditVal,_xlfn.XLOOKUP($A919,My_Audit!$A:$A,My_Audit!I:I,""),
_xlfn.IFS(_xlpm.MyAuditVal&lt;&gt;"",UPPER(_xlpm.MyAuditVal),_xlpm.MacVal&lt;&gt;"",_xlpm.MacVal,_xlpm.CSVVal&lt;&gt;"",_xlpm.CSVVal
)),"")</f>
        <v/>
      </c>
      <c r="K919" s="40" t="str" cm="1">
        <f t="array" ref="K919">IFERROR(_xlfn.LET(
_xlpm.CSVVal,_xlfn.XLOOKUP($A919,CSV!$A:$A,CSV!K:K,""),
_xlpm.MacVal,_xlfn.XLOOKUP($A919,Output_Mac!$A:$A,Output_Mac!K:K,""),
_xlpm.MyAuditVal,_xlfn.XLOOKUP($A919,My_Audit!$A:$A,My_Audit!J:J,""),
_xlfn.IFS(_xlpm.MyAuditVal&lt;&gt;"",UPPER(_xlpm.MyAuditVal),_xlpm.MacVal&lt;&gt;"",_xlpm.MacVal,_xlpm.CSVVal&lt;&gt;"",_xlpm.CSVVal
)),"")</f>
        <v/>
      </c>
      <c r="L919" s="40" t="str" cm="1">
        <f t="array" ref="L919">IFERROR(_xlfn.LET(
_xlpm.CSVVal,_xlfn.XLOOKUP($A919,CSV!$A:$A,CSV!P:P,""),
_xlpm.MacVal,_xlfn.XLOOKUP($A919,Output_Mac!$A:$A,Output_Mac!L:L,""),
_xlpm.MyAuditVal,_xlfn.XLOOKUP($A919,My_Audit!$A:$A,My_Audit!K:K,""),
_xlfn.IFS(_xlpm.MyAuditVal&lt;&gt;"",UPPER(_xlpm.MyAuditVal),_xlpm.MacVal&lt;&gt;"",_xlpm.MacVal,_xlpm.CSVVal&lt;&gt;"",_xlpm.CSVVal
)),"")</f>
        <v/>
      </c>
      <c r="M919" s="40" t="str" cm="1">
        <f t="array" ref="M919">IFERROR(_xlfn.LET(
_xlpm.CSVVal,_xlfn.XLOOKUP($A919,CSV!$A:$A,CSV!Q:Q,""),
_xlpm.MacVal,_xlfn.XLOOKUP($A919,Output_Mac!$A:$A,Output_Mac!M:M,""),
_xlpm.MyAuditVal,_xlfn.XLOOKUP($A919,My_Audit!$A:$A,My_Audit!L:L,""),
_xlfn.IFS(_xlpm.MyAuditVal&lt;&gt;"",UPPER(_xlpm.MyAuditVal),_xlpm.MacVal&lt;&gt;"",_xlpm.MacVal,_xlpm.CSVVal&lt;&gt;"",_xlpm.CSVVal
)),"")</f>
        <v/>
      </c>
      <c r="N919" s="40"/>
      <c r="O919" s="40" t="str">
        <f>_xlfn.LET(
    _xlpm.CSVVal, _xlfn.XLOOKUP($A919, CSV!$A:$A, CSV!AA:AA, ""),
    _xlpm.MacVal, _xlfn.XLOOKUP($A919, Output_Mac!$A:$A, Output_Mac!S:S, ""),
    _xlpm.MyAuditVal, _xlfn.XLOOKUP($A919, My_Audit!$A:$A, My_Audit!P:P, ""),
    _xlfn.TEXTJOIN(", ", TRUE, _xlpm.MyAuditVal, _xlpm.MacVal, _xlpm.CSVVal)
)</f>
        <v/>
      </c>
      <c r="P919" s="40" t="str" cm="1">
        <f t="array" ref="P919">IFERROR(_xlfn.LET(
_xlpm.CSVVal,_xlfn.XLOOKUP($A919,CSV!$A:$A,CSV!AB:AB,""),
_xlpm.MacVal,_xlfn.XLOOKUP($A919,Output_Mac!$A:$A,Output_Mac!T:T,""),
_xlpm.MyAuditVal,_xlfn.XLOOKUP($A919,My_Audit!$A:$A,My_Audit!Q:Q,""),
_xlfn.IFS(_xlpm.MyAuditVal&lt;&gt;"",UPPER(_xlpm.MyAuditVal),_xlpm.MacVal&lt;&gt;"",_xlpm.MacVal,_xlpm.CSVVal&lt;&gt;"",_xlpm.CSVVal
)),"No")</f>
        <v>No</v>
      </c>
      <c r="Q919" s="40" t="str" cm="1">
        <f t="array" ref="Q919">IFERROR(_xlfn.LET(
_xlpm.CSVVal,_xlfn.XLOOKUP($A919,CSV!$A:$A,CSV!AC:AC,""),
_xlpm.MacVal,_xlfn.XLOOKUP($A919,Output_Mac!$A:$A,Output_Mac!U:U,""),
_xlpm.MyAuditVal,_xlfn.XLOOKUP($A919,My_Audit!$A:$A,My_Audit!R:R,""),
_xlfn.IFS(_xlpm.MyAuditVal&lt;&gt;"",UPPER(_xlpm.MyAuditVal),_xlpm.MacVal&lt;&gt;"",_xlpm.MacVal,_xlpm.CSVVal&lt;&gt;"",_xlpm.CSVVal
)),"")</f>
        <v/>
      </c>
      <c r="R919" s="40"/>
      <c r="S919" s="40"/>
      <c r="T919" s="40"/>
      <c r="U919" s="40"/>
      <c r="V919" s="40"/>
      <c r="W919" s="40"/>
      <c r="X919" s="41" t="str">
        <f>_xlfn.LET(
    _xlpm.MacVal, _xlfn.XLOOKUP($A919, Output_Mac!$A:$A, Output_Mac!AB:AB, ""),
    _xlpm.MyAuditVal, _xlfn.XLOOKUP($A919, My_Audit!$A:$A, My_Audit!N:N, ""),
    _xlfn.TEXTJOIN(", ", TRUE, _xlpm.MyAuditVal, _xlpm.MacVal)
)</f>
        <v/>
      </c>
    </row>
    <row r="920" spans="1:24">
      <c r="A920" s="40" t="str">
        <f>_xlfn.TEXTJOIN("",TRUE,Input!$B$2,ROW(My_Audit!A919))</f>
        <v>X919</v>
      </c>
      <c r="B920" s="40" t="str">
        <f>_xlfn.TEXTJOIN("-",TRUE,"ITD",Input!$A$2,A920)</f>
        <v>ITD-X919</v>
      </c>
      <c r="C920" s="40" t="str" cm="1">
        <f t="array" ref="C920">IFERROR(_xlfn.LET(
_xlpm.CSVVal,_xlfn.XLOOKUP($A920,CSV!$A:$A,CSV!B:B,""),
_xlpm.MacVal,_xlfn.XLOOKUP($A920,Output_Mac!$A:$A,Output_Mac!B:B,""),
_xlpm.MyAuditVal,_xlfn.XLOOKUP($A920,My_Audit!$A:$A,My_Audit!B:B,""),
_xlfn.IFS(_xlpm.MyAuditVal&lt;&gt;"",UPPER(_xlpm.MyAuditVal),_xlpm.MacVal&lt;&gt;"",_xlpm.MacVal,_xlpm.CSVVal&lt;&gt;"",_xlpm.CSVVal
)),"")</f>
        <v/>
      </c>
      <c r="D920" s="40" t="str" cm="1">
        <f t="array" ref="D920">IFERROR(_xlfn.LET(
_xlpm.CSVVal,_xlfn.XLOOKUP($A920,CSV!$A:$A,CSV!D:D,""),
_xlpm.MacVal,_xlfn.XLOOKUP($A920,Output_Mac!$A:$A,Output_Mac!C:C,""),
_xlpm.MyAuditVal,_xlfn.XLOOKUP($A920,My_Audit!$A:$A,My_Audit!C:C,""),
_xlfn.IFS(_xlpm.MyAuditVal&lt;&gt;"",_xlpm.MyAuditVal,_xlpm.MacVal&lt;&gt;"",_xlpm.MacVal,_xlpm.CSVVal&lt;&gt;"",_xlpm.CSVVal
)),"")</f>
        <v/>
      </c>
      <c r="E920" s="40" t="str">
        <f>_xlfn.XLOOKUP(A920,My_Audit!A:A,My_Audit!D:D,"")</f>
        <v/>
      </c>
      <c r="F920" s="40" t="str" cm="1">
        <f t="array" ref="F920">IFERROR(_xlfn.LET(
_xlpm.CSVVal,_xlfn.XLOOKUP($A920,CSV!$A:$A,CSV!F:F,""),
_xlpm.MacVal,_xlfn.XLOOKUP($A920,Output_Mac!$A:$A,Output_Mac!E:E,""),
_xlpm.MyAuditVal,_xlfn.XLOOKUP($A920,My_Audit!$A:$A,My_Audit!E:E,""),
_xlfn.IFS(_xlpm.MyAuditVal&lt;&gt;"",_xlpm.MyAuditVal,_xlpm.MacVal&lt;&gt;"",_xlpm.MacVal,_xlpm.CSVVal&lt;&gt;"",_xlpm.CSVVal
)),"")</f>
        <v/>
      </c>
      <c r="G920" s="40" t="str" cm="1">
        <f t="array" ref="G920">IFERROR(_xlfn.LET(
_xlpm.CSVVal,_xlfn.XLOOKUP($A920,CSV!$A:$A,CSV!G:G,""),
_xlpm.MacVal,_xlfn.XLOOKUP($A920,Output_Mac!$A:$A,Output_Mac!F:F,""),
_xlpm.MyAuditVal,_xlfn.XLOOKUP($A920,My_Audit!$A:$A,My_Audit!F:F,""),
_xlfn.IFS(_xlpm.MyAuditVal&lt;&gt;"",_xlpm.MyAuditVal,_xlpm.MacVal&lt;&gt;"",_xlpm.MacVal,_xlpm.CSVVal&lt;&gt;"",PROPER(_xlpm.CSVVal)
)),"")</f>
        <v/>
      </c>
      <c r="H920" s="40" t="str" cm="1">
        <f t="array" ref="H920">IFERROR(_xlfn.LET(
_xlpm.CSVVal,_xlfn.XLOOKUP($A920,CSV!$A:$A,CSV!H:H,""),
_xlpm.MacVal,_xlfn.XLOOKUP($A920,Output_Mac!$A:$A,Output_Mac!H:H,""),
_xlpm.MyAuditVal,_xlfn.XLOOKUP($A920,My_Audit!$A:$A,My_Audit!G:G,""),
_xlfn.IFS(_xlpm.MyAuditVal&lt;&gt;"",_xlpm.MyAuditVal,_xlpm.MacVal&lt;&gt;"",_xlpm.MacVal,_xlpm.CSVVal&lt;&gt;"",_xlpm.CSVVal
)),"")</f>
        <v/>
      </c>
      <c r="I920" s="40" t="str">
        <f>_xlfn.XLOOKUP(A920,Output_Mac!A:A,Output_Mac!I:I,"")</f>
        <v/>
      </c>
      <c r="J920" s="40" t="str" cm="1">
        <f t="array" ref="J920">IFERROR(_xlfn.LET(
_xlpm.CSVVal,_xlfn.XLOOKUP($A920,CSV!$A:$A,CSV!I:I,""),
_xlpm.MacVal,_xlfn.XLOOKUP($A920,Output_Mac!$A:$A,Output_Mac!J:J,""),
_xlpm.MyAuditVal,_xlfn.XLOOKUP($A920,My_Audit!$A:$A,My_Audit!I:I,""),
_xlfn.IFS(_xlpm.MyAuditVal&lt;&gt;"",UPPER(_xlpm.MyAuditVal),_xlpm.MacVal&lt;&gt;"",_xlpm.MacVal,_xlpm.CSVVal&lt;&gt;"",_xlpm.CSVVal
)),"")</f>
        <v/>
      </c>
      <c r="K920" s="40" t="str" cm="1">
        <f t="array" ref="K920">IFERROR(_xlfn.LET(
_xlpm.CSVVal,_xlfn.XLOOKUP($A920,CSV!$A:$A,CSV!K:K,""),
_xlpm.MacVal,_xlfn.XLOOKUP($A920,Output_Mac!$A:$A,Output_Mac!K:K,""),
_xlpm.MyAuditVal,_xlfn.XLOOKUP($A920,My_Audit!$A:$A,My_Audit!J:J,""),
_xlfn.IFS(_xlpm.MyAuditVal&lt;&gt;"",UPPER(_xlpm.MyAuditVal),_xlpm.MacVal&lt;&gt;"",_xlpm.MacVal,_xlpm.CSVVal&lt;&gt;"",_xlpm.CSVVal
)),"")</f>
        <v/>
      </c>
      <c r="L920" s="40" t="str" cm="1">
        <f t="array" ref="L920">IFERROR(_xlfn.LET(
_xlpm.CSVVal,_xlfn.XLOOKUP($A920,CSV!$A:$A,CSV!P:P,""),
_xlpm.MacVal,_xlfn.XLOOKUP($A920,Output_Mac!$A:$A,Output_Mac!L:L,""),
_xlpm.MyAuditVal,_xlfn.XLOOKUP($A920,My_Audit!$A:$A,My_Audit!K:K,""),
_xlfn.IFS(_xlpm.MyAuditVal&lt;&gt;"",UPPER(_xlpm.MyAuditVal),_xlpm.MacVal&lt;&gt;"",_xlpm.MacVal,_xlpm.CSVVal&lt;&gt;"",_xlpm.CSVVal
)),"")</f>
        <v/>
      </c>
      <c r="M920" s="40" t="str" cm="1">
        <f t="array" ref="M920">IFERROR(_xlfn.LET(
_xlpm.CSVVal,_xlfn.XLOOKUP($A920,CSV!$A:$A,CSV!Q:Q,""),
_xlpm.MacVal,_xlfn.XLOOKUP($A920,Output_Mac!$A:$A,Output_Mac!M:M,""),
_xlpm.MyAuditVal,_xlfn.XLOOKUP($A920,My_Audit!$A:$A,My_Audit!L:L,""),
_xlfn.IFS(_xlpm.MyAuditVal&lt;&gt;"",UPPER(_xlpm.MyAuditVal),_xlpm.MacVal&lt;&gt;"",_xlpm.MacVal,_xlpm.CSVVal&lt;&gt;"",_xlpm.CSVVal
)),"")</f>
        <v/>
      </c>
      <c r="N920" s="40"/>
      <c r="O920" s="40" t="str">
        <f>_xlfn.LET(
    _xlpm.CSVVal, _xlfn.XLOOKUP($A920, CSV!$A:$A, CSV!AA:AA, ""),
    _xlpm.MacVal, _xlfn.XLOOKUP($A920, Output_Mac!$A:$A, Output_Mac!S:S, ""),
    _xlpm.MyAuditVal, _xlfn.XLOOKUP($A920, My_Audit!$A:$A, My_Audit!P:P, ""),
    _xlfn.TEXTJOIN(", ", TRUE, _xlpm.MyAuditVal, _xlpm.MacVal, _xlpm.CSVVal)
)</f>
        <v/>
      </c>
      <c r="P920" s="40" t="str" cm="1">
        <f t="array" ref="P920">IFERROR(_xlfn.LET(
_xlpm.CSVVal,_xlfn.XLOOKUP($A920,CSV!$A:$A,CSV!AB:AB,""),
_xlpm.MacVal,_xlfn.XLOOKUP($A920,Output_Mac!$A:$A,Output_Mac!T:T,""),
_xlpm.MyAuditVal,_xlfn.XLOOKUP($A920,My_Audit!$A:$A,My_Audit!Q:Q,""),
_xlfn.IFS(_xlpm.MyAuditVal&lt;&gt;"",UPPER(_xlpm.MyAuditVal),_xlpm.MacVal&lt;&gt;"",_xlpm.MacVal,_xlpm.CSVVal&lt;&gt;"",_xlpm.CSVVal
)),"No")</f>
        <v>No</v>
      </c>
      <c r="Q920" s="40" t="str" cm="1">
        <f t="array" ref="Q920">IFERROR(_xlfn.LET(
_xlpm.CSVVal,_xlfn.XLOOKUP($A920,CSV!$A:$A,CSV!AC:AC,""),
_xlpm.MacVal,_xlfn.XLOOKUP($A920,Output_Mac!$A:$A,Output_Mac!U:U,""),
_xlpm.MyAuditVal,_xlfn.XLOOKUP($A920,My_Audit!$A:$A,My_Audit!R:R,""),
_xlfn.IFS(_xlpm.MyAuditVal&lt;&gt;"",UPPER(_xlpm.MyAuditVal),_xlpm.MacVal&lt;&gt;"",_xlpm.MacVal,_xlpm.CSVVal&lt;&gt;"",_xlpm.CSVVal
)),"")</f>
        <v/>
      </c>
      <c r="R920" s="40"/>
      <c r="S920" s="40"/>
      <c r="T920" s="40"/>
      <c r="U920" s="40"/>
      <c r="V920" s="40"/>
      <c r="W920" s="40"/>
      <c r="X920" s="41" t="str">
        <f>_xlfn.LET(
    _xlpm.MacVal, _xlfn.XLOOKUP($A920, Output_Mac!$A:$A, Output_Mac!AB:AB, ""),
    _xlpm.MyAuditVal, _xlfn.XLOOKUP($A920, My_Audit!$A:$A, My_Audit!N:N, ""),
    _xlfn.TEXTJOIN(", ", TRUE, _xlpm.MyAuditVal, _xlpm.MacVal)
)</f>
        <v/>
      </c>
    </row>
    <row r="921" spans="1:24">
      <c r="A921" s="40" t="str">
        <f>_xlfn.TEXTJOIN("",TRUE,Input!$B$2,ROW(My_Audit!A920))</f>
        <v>X920</v>
      </c>
      <c r="B921" s="40" t="str">
        <f>_xlfn.TEXTJOIN("-",TRUE,"ITD",Input!$A$2,A921)</f>
        <v>ITD-X920</v>
      </c>
      <c r="C921" s="40" t="str" cm="1">
        <f t="array" ref="C921">IFERROR(_xlfn.LET(
_xlpm.CSVVal,_xlfn.XLOOKUP($A921,CSV!$A:$A,CSV!B:B,""),
_xlpm.MacVal,_xlfn.XLOOKUP($A921,Output_Mac!$A:$A,Output_Mac!B:B,""),
_xlpm.MyAuditVal,_xlfn.XLOOKUP($A921,My_Audit!$A:$A,My_Audit!B:B,""),
_xlfn.IFS(_xlpm.MyAuditVal&lt;&gt;"",UPPER(_xlpm.MyAuditVal),_xlpm.MacVal&lt;&gt;"",_xlpm.MacVal,_xlpm.CSVVal&lt;&gt;"",_xlpm.CSVVal
)),"")</f>
        <v/>
      </c>
      <c r="D921" s="40" t="str" cm="1">
        <f t="array" ref="D921">IFERROR(_xlfn.LET(
_xlpm.CSVVal,_xlfn.XLOOKUP($A921,CSV!$A:$A,CSV!D:D,""),
_xlpm.MacVal,_xlfn.XLOOKUP($A921,Output_Mac!$A:$A,Output_Mac!C:C,""),
_xlpm.MyAuditVal,_xlfn.XLOOKUP($A921,My_Audit!$A:$A,My_Audit!C:C,""),
_xlfn.IFS(_xlpm.MyAuditVal&lt;&gt;"",_xlpm.MyAuditVal,_xlpm.MacVal&lt;&gt;"",_xlpm.MacVal,_xlpm.CSVVal&lt;&gt;"",_xlpm.CSVVal
)),"")</f>
        <v/>
      </c>
      <c r="E921" s="40" t="str">
        <f>_xlfn.XLOOKUP(A921,My_Audit!A:A,My_Audit!D:D,"")</f>
        <v/>
      </c>
      <c r="F921" s="40" t="str" cm="1">
        <f t="array" ref="F921">IFERROR(_xlfn.LET(
_xlpm.CSVVal,_xlfn.XLOOKUP($A921,CSV!$A:$A,CSV!F:F,""),
_xlpm.MacVal,_xlfn.XLOOKUP($A921,Output_Mac!$A:$A,Output_Mac!E:E,""),
_xlpm.MyAuditVal,_xlfn.XLOOKUP($A921,My_Audit!$A:$A,My_Audit!E:E,""),
_xlfn.IFS(_xlpm.MyAuditVal&lt;&gt;"",_xlpm.MyAuditVal,_xlpm.MacVal&lt;&gt;"",_xlpm.MacVal,_xlpm.CSVVal&lt;&gt;"",_xlpm.CSVVal
)),"")</f>
        <v/>
      </c>
      <c r="G921" s="40" t="str" cm="1">
        <f t="array" ref="G921">IFERROR(_xlfn.LET(
_xlpm.CSVVal,_xlfn.XLOOKUP($A921,CSV!$A:$A,CSV!G:G,""),
_xlpm.MacVal,_xlfn.XLOOKUP($A921,Output_Mac!$A:$A,Output_Mac!F:F,""),
_xlpm.MyAuditVal,_xlfn.XLOOKUP($A921,My_Audit!$A:$A,My_Audit!F:F,""),
_xlfn.IFS(_xlpm.MyAuditVal&lt;&gt;"",_xlpm.MyAuditVal,_xlpm.MacVal&lt;&gt;"",_xlpm.MacVal,_xlpm.CSVVal&lt;&gt;"",PROPER(_xlpm.CSVVal)
)),"")</f>
        <v/>
      </c>
      <c r="H921" s="40" t="str" cm="1">
        <f t="array" ref="H921">IFERROR(_xlfn.LET(
_xlpm.CSVVal,_xlfn.XLOOKUP($A921,CSV!$A:$A,CSV!H:H,""),
_xlpm.MacVal,_xlfn.XLOOKUP($A921,Output_Mac!$A:$A,Output_Mac!H:H,""),
_xlpm.MyAuditVal,_xlfn.XLOOKUP($A921,My_Audit!$A:$A,My_Audit!G:G,""),
_xlfn.IFS(_xlpm.MyAuditVal&lt;&gt;"",_xlpm.MyAuditVal,_xlpm.MacVal&lt;&gt;"",_xlpm.MacVal,_xlpm.CSVVal&lt;&gt;"",_xlpm.CSVVal
)),"")</f>
        <v/>
      </c>
      <c r="I921" s="40" t="str">
        <f>_xlfn.XLOOKUP(A921,Output_Mac!A:A,Output_Mac!I:I,"")</f>
        <v/>
      </c>
      <c r="J921" s="40" t="str" cm="1">
        <f t="array" ref="J921">IFERROR(_xlfn.LET(
_xlpm.CSVVal,_xlfn.XLOOKUP($A921,CSV!$A:$A,CSV!I:I,""),
_xlpm.MacVal,_xlfn.XLOOKUP($A921,Output_Mac!$A:$A,Output_Mac!J:J,""),
_xlpm.MyAuditVal,_xlfn.XLOOKUP($A921,My_Audit!$A:$A,My_Audit!I:I,""),
_xlfn.IFS(_xlpm.MyAuditVal&lt;&gt;"",UPPER(_xlpm.MyAuditVal),_xlpm.MacVal&lt;&gt;"",_xlpm.MacVal,_xlpm.CSVVal&lt;&gt;"",_xlpm.CSVVal
)),"")</f>
        <v/>
      </c>
      <c r="K921" s="40" t="str" cm="1">
        <f t="array" ref="K921">IFERROR(_xlfn.LET(
_xlpm.CSVVal,_xlfn.XLOOKUP($A921,CSV!$A:$A,CSV!K:K,""),
_xlpm.MacVal,_xlfn.XLOOKUP($A921,Output_Mac!$A:$A,Output_Mac!K:K,""),
_xlpm.MyAuditVal,_xlfn.XLOOKUP($A921,My_Audit!$A:$A,My_Audit!J:J,""),
_xlfn.IFS(_xlpm.MyAuditVal&lt;&gt;"",UPPER(_xlpm.MyAuditVal),_xlpm.MacVal&lt;&gt;"",_xlpm.MacVal,_xlpm.CSVVal&lt;&gt;"",_xlpm.CSVVal
)),"")</f>
        <v/>
      </c>
      <c r="L921" s="40" t="str" cm="1">
        <f t="array" ref="L921">IFERROR(_xlfn.LET(
_xlpm.CSVVal,_xlfn.XLOOKUP($A921,CSV!$A:$A,CSV!P:P,""),
_xlpm.MacVal,_xlfn.XLOOKUP($A921,Output_Mac!$A:$A,Output_Mac!L:L,""),
_xlpm.MyAuditVal,_xlfn.XLOOKUP($A921,My_Audit!$A:$A,My_Audit!K:K,""),
_xlfn.IFS(_xlpm.MyAuditVal&lt;&gt;"",UPPER(_xlpm.MyAuditVal),_xlpm.MacVal&lt;&gt;"",_xlpm.MacVal,_xlpm.CSVVal&lt;&gt;"",_xlpm.CSVVal
)),"")</f>
        <v/>
      </c>
      <c r="M921" s="40" t="str" cm="1">
        <f t="array" ref="M921">IFERROR(_xlfn.LET(
_xlpm.CSVVal,_xlfn.XLOOKUP($A921,CSV!$A:$A,CSV!Q:Q,""),
_xlpm.MacVal,_xlfn.XLOOKUP($A921,Output_Mac!$A:$A,Output_Mac!M:M,""),
_xlpm.MyAuditVal,_xlfn.XLOOKUP($A921,My_Audit!$A:$A,My_Audit!L:L,""),
_xlfn.IFS(_xlpm.MyAuditVal&lt;&gt;"",UPPER(_xlpm.MyAuditVal),_xlpm.MacVal&lt;&gt;"",_xlpm.MacVal,_xlpm.CSVVal&lt;&gt;"",_xlpm.CSVVal
)),"")</f>
        <v/>
      </c>
      <c r="N921" s="40"/>
      <c r="O921" s="40" t="str">
        <f>_xlfn.LET(
    _xlpm.CSVVal, _xlfn.XLOOKUP($A921, CSV!$A:$A, CSV!AA:AA, ""),
    _xlpm.MacVal, _xlfn.XLOOKUP($A921, Output_Mac!$A:$A, Output_Mac!S:S, ""),
    _xlpm.MyAuditVal, _xlfn.XLOOKUP($A921, My_Audit!$A:$A, My_Audit!P:P, ""),
    _xlfn.TEXTJOIN(", ", TRUE, _xlpm.MyAuditVal, _xlpm.MacVal, _xlpm.CSVVal)
)</f>
        <v/>
      </c>
      <c r="P921" s="40" t="str" cm="1">
        <f t="array" ref="P921">IFERROR(_xlfn.LET(
_xlpm.CSVVal,_xlfn.XLOOKUP($A921,CSV!$A:$A,CSV!AB:AB,""),
_xlpm.MacVal,_xlfn.XLOOKUP($A921,Output_Mac!$A:$A,Output_Mac!T:T,""),
_xlpm.MyAuditVal,_xlfn.XLOOKUP($A921,My_Audit!$A:$A,My_Audit!Q:Q,""),
_xlfn.IFS(_xlpm.MyAuditVal&lt;&gt;"",UPPER(_xlpm.MyAuditVal),_xlpm.MacVal&lt;&gt;"",_xlpm.MacVal,_xlpm.CSVVal&lt;&gt;"",_xlpm.CSVVal
)),"No")</f>
        <v>No</v>
      </c>
      <c r="Q921" s="40" t="str" cm="1">
        <f t="array" ref="Q921">IFERROR(_xlfn.LET(
_xlpm.CSVVal,_xlfn.XLOOKUP($A921,CSV!$A:$A,CSV!AC:AC,""),
_xlpm.MacVal,_xlfn.XLOOKUP($A921,Output_Mac!$A:$A,Output_Mac!U:U,""),
_xlpm.MyAuditVal,_xlfn.XLOOKUP($A921,My_Audit!$A:$A,My_Audit!R:R,""),
_xlfn.IFS(_xlpm.MyAuditVal&lt;&gt;"",UPPER(_xlpm.MyAuditVal),_xlpm.MacVal&lt;&gt;"",_xlpm.MacVal,_xlpm.CSVVal&lt;&gt;"",_xlpm.CSVVal
)),"")</f>
        <v/>
      </c>
      <c r="R921" s="40"/>
      <c r="S921" s="40"/>
      <c r="T921" s="40"/>
      <c r="U921" s="40"/>
      <c r="V921" s="40"/>
      <c r="W921" s="40"/>
      <c r="X921" s="41" t="str">
        <f>_xlfn.LET(
    _xlpm.MacVal, _xlfn.XLOOKUP($A921, Output_Mac!$A:$A, Output_Mac!AB:AB, ""),
    _xlpm.MyAuditVal, _xlfn.XLOOKUP($A921, My_Audit!$A:$A, My_Audit!N:N, ""),
    _xlfn.TEXTJOIN(", ", TRUE, _xlpm.MyAuditVal, _xlpm.MacVal)
)</f>
        <v/>
      </c>
    </row>
    <row r="922" spans="1:24">
      <c r="A922" s="40" t="str">
        <f>_xlfn.TEXTJOIN("",TRUE,Input!$B$2,ROW(My_Audit!A921))</f>
        <v>X921</v>
      </c>
      <c r="B922" s="40" t="str">
        <f>_xlfn.TEXTJOIN("-",TRUE,"ITD",Input!$A$2,A922)</f>
        <v>ITD-X921</v>
      </c>
      <c r="C922" s="40" t="str" cm="1">
        <f t="array" ref="C922">IFERROR(_xlfn.LET(
_xlpm.CSVVal,_xlfn.XLOOKUP($A922,CSV!$A:$A,CSV!B:B,""),
_xlpm.MacVal,_xlfn.XLOOKUP($A922,Output_Mac!$A:$A,Output_Mac!B:B,""),
_xlpm.MyAuditVal,_xlfn.XLOOKUP($A922,My_Audit!$A:$A,My_Audit!B:B,""),
_xlfn.IFS(_xlpm.MyAuditVal&lt;&gt;"",UPPER(_xlpm.MyAuditVal),_xlpm.MacVal&lt;&gt;"",_xlpm.MacVal,_xlpm.CSVVal&lt;&gt;"",_xlpm.CSVVal
)),"")</f>
        <v/>
      </c>
      <c r="D922" s="40" t="str" cm="1">
        <f t="array" ref="D922">IFERROR(_xlfn.LET(
_xlpm.CSVVal,_xlfn.XLOOKUP($A922,CSV!$A:$A,CSV!D:D,""),
_xlpm.MacVal,_xlfn.XLOOKUP($A922,Output_Mac!$A:$A,Output_Mac!C:C,""),
_xlpm.MyAuditVal,_xlfn.XLOOKUP($A922,My_Audit!$A:$A,My_Audit!C:C,""),
_xlfn.IFS(_xlpm.MyAuditVal&lt;&gt;"",_xlpm.MyAuditVal,_xlpm.MacVal&lt;&gt;"",_xlpm.MacVal,_xlpm.CSVVal&lt;&gt;"",_xlpm.CSVVal
)),"")</f>
        <v/>
      </c>
      <c r="E922" s="40" t="str">
        <f>_xlfn.XLOOKUP(A922,My_Audit!A:A,My_Audit!D:D,"")</f>
        <v/>
      </c>
      <c r="F922" s="40" t="str" cm="1">
        <f t="array" ref="F922">IFERROR(_xlfn.LET(
_xlpm.CSVVal,_xlfn.XLOOKUP($A922,CSV!$A:$A,CSV!F:F,""),
_xlpm.MacVal,_xlfn.XLOOKUP($A922,Output_Mac!$A:$A,Output_Mac!E:E,""),
_xlpm.MyAuditVal,_xlfn.XLOOKUP($A922,My_Audit!$A:$A,My_Audit!E:E,""),
_xlfn.IFS(_xlpm.MyAuditVal&lt;&gt;"",_xlpm.MyAuditVal,_xlpm.MacVal&lt;&gt;"",_xlpm.MacVal,_xlpm.CSVVal&lt;&gt;"",_xlpm.CSVVal
)),"")</f>
        <v/>
      </c>
      <c r="G922" s="40" t="str" cm="1">
        <f t="array" ref="G922">IFERROR(_xlfn.LET(
_xlpm.CSVVal,_xlfn.XLOOKUP($A922,CSV!$A:$A,CSV!G:G,""),
_xlpm.MacVal,_xlfn.XLOOKUP($A922,Output_Mac!$A:$A,Output_Mac!F:F,""),
_xlpm.MyAuditVal,_xlfn.XLOOKUP($A922,My_Audit!$A:$A,My_Audit!F:F,""),
_xlfn.IFS(_xlpm.MyAuditVal&lt;&gt;"",_xlpm.MyAuditVal,_xlpm.MacVal&lt;&gt;"",_xlpm.MacVal,_xlpm.CSVVal&lt;&gt;"",PROPER(_xlpm.CSVVal)
)),"")</f>
        <v/>
      </c>
      <c r="H922" s="40" t="str" cm="1">
        <f t="array" ref="H922">IFERROR(_xlfn.LET(
_xlpm.CSVVal,_xlfn.XLOOKUP($A922,CSV!$A:$A,CSV!H:H,""),
_xlpm.MacVal,_xlfn.XLOOKUP($A922,Output_Mac!$A:$A,Output_Mac!H:H,""),
_xlpm.MyAuditVal,_xlfn.XLOOKUP($A922,My_Audit!$A:$A,My_Audit!G:G,""),
_xlfn.IFS(_xlpm.MyAuditVal&lt;&gt;"",_xlpm.MyAuditVal,_xlpm.MacVal&lt;&gt;"",_xlpm.MacVal,_xlpm.CSVVal&lt;&gt;"",_xlpm.CSVVal
)),"")</f>
        <v/>
      </c>
      <c r="I922" s="40" t="str">
        <f>_xlfn.XLOOKUP(A922,Output_Mac!A:A,Output_Mac!I:I,"")</f>
        <v/>
      </c>
      <c r="J922" s="40" t="str" cm="1">
        <f t="array" ref="J922">IFERROR(_xlfn.LET(
_xlpm.CSVVal,_xlfn.XLOOKUP($A922,CSV!$A:$A,CSV!I:I,""),
_xlpm.MacVal,_xlfn.XLOOKUP($A922,Output_Mac!$A:$A,Output_Mac!J:J,""),
_xlpm.MyAuditVal,_xlfn.XLOOKUP($A922,My_Audit!$A:$A,My_Audit!I:I,""),
_xlfn.IFS(_xlpm.MyAuditVal&lt;&gt;"",UPPER(_xlpm.MyAuditVal),_xlpm.MacVal&lt;&gt;"",_xlpm.MacVal,_xlpm.CSVVal&lt;&gt;"",_xlpm.CSVVal
)),"")</f>
        <v/>
      </c>
      <c r="K922" s="40" t="str" cm="1">
        <f t="array" ref="K922">IFERROR(_xlfn.LET(
_xlpm.CSVVal,_xlfn.XLOOKUP($A922,CSV!$A:$A,CSV!K:K,""),
_xlpm.MacVal,_xlfn.XLOOKUP($A922,Output_Mac!$A:$A,Output_Mac!K:K,""),
_xlpm.MyAuditVal,_xlfn.XLOOKUP($A922,My_Audit!$A:$A,My_Audit!J:J,""),
_xlfn.IFS(_xlpm.MyAuditVal&lt;&gt;"",UPPER(_xlpm.MyAuditVal),_xlpm.MacVal&lt;&gt;"",_xlpm.MacVal,_xlpm.CSVVal&lt;&gt;"",_xlpm.CSVVal
)),"")</f>
        <v/>
      </c>
      <c r="L922" s="40" t="str" cm="1">
        <f t="array" ref="L922">IFERROR(_xlfn.LET(
_xlpm.CSVVal,_xlfn.XLOOKUP($A922,CSV!$A:$A,CSV!P:P,""),
_xlpm.MacVal,_xlfn.XLOOKUP($A922,Output_Mac!$A:$A,Output_Mac!L:L,""),
_xlpm.MyAuditVal,_xlfn.XLOOKUP($A922,My_Audit!$A:$A,My_Audit!K:K,""),
_xlfn.IFS(_xlpm.MyAuditVal&lt;&gt;"",UPPER(_xlpm.MyAuditVal),_xlpm.MacVal&lt;&gt;"",_xlpm.MacVal,_xlpm.CSVVal&lt;&gt;"",_xlpm.CSVVal
)),"")</f>
        <v/>
      </c>
      <c r="M922" s="40" t="str" cm="1">
        <f t="array" ref="M922">IFERROR(_xlfn.LET(
_xlpm.CSVVal,_xlfn.XLOOKUP($A922,CSV!$A:$A,CSV!Q:Q,""),
_xlpm.MacVal,_xlfn.XLOOKUP($A922,Output_Mac!$A:$A,Output_Mac!M:M,""),
_xlpm.MyAuditVal,_xlfn.XLOOKUP($A922,My_Audit!$A:$A,My_Audit!L:L,""),
_xlfn.IFS(_xlpm.MyAuditVal&lt;&gt;"",UPPER(_xlpm.MyAuditVal),_xlpm.MacVal&lt;&gt;"",_xlpm.MacVal,_xlpm.CSVVal&lt;&gt;"",_xlpm.CSVVal
)),"")</f>
        <v/>
      </c>
      <c r="N922" s="40"/>
      <c r="O922" s="40" t="str">
        <f>_xlfn.LET(
    _xlpm.CSVVal, _xlfn.XLOOKUP($A922, CSV!$A:$A, CSV!AA:AA, ""),
    _xlpm.MacVal, _xlfn.XLOOKUP($A922, Output_Mac!$A:$A, Output_Mac!S:S, ""),
    _xlpm.MyAuditVal, _xlfn.XLOOKUP($A922, My_Audit!$A:$A, My_Audit!P:P, ""),
    _xlfn.TEXTJOIN(", ", TRUE, _xlpm.MyAuditVal, _xlpm.MacVal, _xlpm.CSVVal)
)</f>
        <v/>
      </c>
      <c r="P922" s="40" t="str" cm="1">
        <f t="array" ref="P922">IFERROR(_xlfn.LET(
_xlpm.CSVVal,_xlfn.XLOOKUP($A922,CSV!$A:$A,CSV!AB:AB,""),
_xlpm.MacVal,_xlfn.XLOOKUP($A922,Output_Mac!$A:$A,Output_Mac!T:T,""),
_xlpm.MyAuditVal,_xlfn.XLOOKUP($A922,My_Audit!$A:$A,My_Audit!Q:Q,""),
_xlfn.IFS(_xlpm.MyAuditVal&lt;&gt;"",UPPER(_xlpm.MyAuditVal),_xlpm.MacVal&lt;&gt;"",_xlpm.MacVal,_xlpm.CSVVal&lt;&gt;"",_xlpm.CSVVal
)),"No")</f>
        <v>No</v>
      </c>
      <c r="Q922" s="40" t="str" cm="1">
        <f t="array" ref="Q922">IFERROR(_xlfn.LET(
_xlpm.CSVVal,_xlfn.XLOOKUP($A922,CSV!$A:$A,CSV!AC:AC,""),
_xlpm.MacVal,_xlfn.XLOOKUP($A922,Output_Mac!$A:$A,Output_Mac!U:U,""),
_xlpm.MyAuditVal,_xlfn.XLOOKUP($A922,My_Audit!$A:$A,My_Audit!R:R,""),
_xlfn.IFS(_xlpm.MyAuditVal&lt;&gt;"",UPPER(_xlpm.MyAuditVal),_xlpm.MacVal&lt;&gt;"",_xlpm.MacVal,_xlpm.CSVVal&lt;&gt;"",_xlpm.CSVVal
)),"")</f>
        <v/>
      </c>
      <c r="R922" s="40"/>
      <c r="S922" s="40"/>
      <c r="T922" s="40"/>
      <c r="U922" s="40"/>
      <c r="V922" s="40"/>
      <c r="W922" s="40"/>
      <c r="X922" s="41" t="str">
        <f>_xlfn.LET(
    _xlpm.MacVal, _xlfn.XLOOKUP($A922, Output_Mac!$A:$A, Output_Mac!AB:AB, ""),
    _xlpm.MyAuditVal, _xlfn.XLOOKUP($A922, My_Audit!$A:$A, My_Audit!N:N, ""),
    _xlfn.TEXTJOIN(", ", TRUE, _xlpm.MyAuditVal, _xlpm.MacVal)
)</f>
        <v/>
      </c>
    </row>
    <row r="923" spans="1:24">
      <c r="A923" s="40" t="str">
        <f>_xlfn.TEXTJOIN("",TRUE,Input!$B$2,ROW(My_Audit!A922))</f>
        <v>X922</v>
      </c>
      <c r="B923" s="40" t="str">
        <f>_xlfn.TEXTJOIN("-",TRUE,"ITD",Input!$A$2,A923)</f>
        <v>ITD-X922</v>
      </c>
      <c r="C923" s="40" t="str" cm="1">
        <f t="array" ref="C923">IFERROR(_xlfn.LET(
_xlpm.CSVVal,_xlfn.XLOOKUP($A923,CSV!$A:$A,CSV!B:B,""),
_xlpm.MacVal,_xlfn.XLOOKUP($A923,Output_Mac!$A:$A,Output_Mac!B:B,""),
_xlpm.MyAuditVal,_xlfn.XLOOKUP($A923,My_Audit!$A:$A,My_Audit!B:B,""),
_xlfn.IFS(_xlpm.MyAuditVal&lt;&gt;"",UPPER(_xlpm.MyAuditVal),_xlpm.MacVal&lt;&gt;"",_xlpm.MacVal,_xlpm.CSVVal&lt;&gt;"",_xlpm.CSVVal
)),"")</f>
        <v/>
      </c>
      <c r="D923" s="40" t="str" cm="1">
        <f t="array" ref="D923">IFERROR(_xlfn.LET(
_xlpm.CSVVal,_xlfn.XLOOKUP($A923,CSV!$A:$A,CSV!D:D,""),
_xlpm.MacVal,_xlfn.XLOOKUP($A923,Output_Mac!$A:$A,Output_Mac!C:C,""),
_xlpm.MyAuditVal,_xlfn.XLOOKUP($A923,My_Audit!$A:$A,My_Audit!C:C,""),
_xlfn.IFS(_xlpm.MyAuditVal&lt;&gt;"",_xlpm.MyAuditVal,_xlpm.MacVal&lt;&gt;"",_xlpm.MacVal,_xlpm.CSVVal&lt;&gt;"",_xlpm.CSVVal
)),"")</f>
        <v/>
      </c>
      <c r="E923" s="40" t="str">
        <f>_xlfn.XLOOKUP(A923,My_Audit!A:A,My_Audit!D:D,"")</f>
        <v/>
      </c>
      <c r="F923" s="40" t="str" cm="1">
        <f t="array" ref="F923">IFERROR(_xlfn.LET(
_xlpm.CSVVal,_xlfn.XLOOKUP($A923,CSV!$A:$A,CSV!F:F,""),
_xlpm.MacVal,_xlfn.XLOOKUP($A923,Output_Mac!$A:$A,Output_Mac!E:E,""),
_xlpm.MyAuditVal,_xlfn.XLOOKUP($A923,My_Audit!$A:$A,My_Audit!E:E,""),
_xlfn.IFS(_xlpm.MyAuditVal&lt;&gt;"",_xlpm.MyAuditVal,_xlpm.MacVal&lt;&gt;"",_xlpm.MacVal,_xlpm.CSVVal&lt;&gt;"",_xlpm.CSVVal
)),"")</f>
        <v/>
      </c>
      <c r="G923" s="40" t="str" cm="1">
        <f t="array" ref="G923">IFERROR(_xlfn.LET(
_xlpm.CSVVal,_xlfn.XLOOKUP($A923,CSV!$A:$A,CSV!G:G,""),
_xlpm.MacVal,_xlfn.XLOOKUP($A923,Output_Mac!$A:$A,Output_Mac!F:F,""),
_xlpm.MyAuditVal,_xlfn.XLOOKUP($A923,My_Audit!$A:$A,My_Audit!F:F,""),
_xlfn.IFS(_xlpm.MyAuditVal&lt;&gt;"",_xlpm.MyAuditVal,_xlpm.MacVal&lt;&gt;"",_xlpm.MacVal,_xlpm.CSVVal&lt;&gt;"",PROPER(_xlpm.CSVVal)
)),"")</f>
        <v/>
      </c>
      <c r="H923" s="40" t="str" cm="1">
        <f t="array" ref="H923">IFERROR(_xlfn.LET(
_xlpm.CSVVal,_xlfn.XLOOKUP($A923,CSV!$A:$A,CSV!H:H,""),
_xlpm.MacVal,_xlfn.XLOOKUP($A923,Output_Mac!$A:$A,Output_Mac!H:H,""),
_xlpm.MyAuditVal,_xlfn.XLOOKUP($A923,My_Audit!$A:$A,My_Audit!G:G,""),
_xlfn.IFS(_xlpm.MyAuditVal&lt;&gt;"",_xlpm.MyAuditVal,_xlpm.MacVal&lt;&gt;"",_xlpm.MacVal,_xlpm.CSVVal&lt;&gt;"",_xlpm.CSVVal
)),"")</f>
        <v/>
      </c>
      <c r="I923" s="40" t="str">
        <f>_xlfn.XLOOKUP(A923,Output_Mac!A:A,Output_Mac!I:I,"")</f>
        <v/>
      </c>
      <c r="J923" s="40" t="str" cm="1">
        <f t="array" ref="J923">IFERROR(_xlfn.LET(
_xlpm.CSVVal,_xlfn.XLOOKUP($A923,CSV!$A:$A,CSV!I:I,""),
_xlpm.MacVal,_xlfn.XLOOKUP($A923,Output_Mac!$A:$A,Output_Mac!J:J,""),
_xlpm.MyAuditVal,_xlfn.XLOOKUP($A923,My_Audit!$A:$A,My_Audit!I:I,""),
_xlfn.IFS(_xlpm.MyAuditVal&lt;&gt;"",UPPER(_xlpm.MyAuditVal),_xlpm.MacVal&lt;&gt;"",_xlpm.MacVal,_xlpm.CSVVal&lt;&gt;"",_xlpm.CSVVal
)),"")</f>
        <v/>
      </c>
      <c r="K923" s="40" t="str" cm="1">
        <f t="array" ref="K923">IFERROR(_xlfn.LET(
_xlpm.CSVVal,_xlfn.XLOOKUP($A923,CSV!$A:$A,CSV!K:K,""),
_xlpm.MacVal,_xlfn.XLOOKUP($A923,Output_Mac!$A:$A,Output_Mac!K:K,""),
_xlpm.MyAuditVal,_xlfn.XLOOKUP($A923,My_Audit!$A:$A,My_Audit!J:J,""),
_xlfn.IFS(_xlpm.MyAuditVal&lt;&gt;"",UPPER(_xlpm.MyAuditVal),_xlpm.MacVal&lt;&gt;"",_xlpm.MacVal,_xlpm.CSVVal&lt;&gt;"",_xlpm.CSVVal
)),"")</f>
        <v/>
      </c>
      <c r="L923" s="40" t="str" cm="1">
        <f t="array" ref="L923">IFERROR(_xlfn.LET(
_xlpm.CSVVal,_xlfn.XLOOKUP($A923,CSV!$A:$A,CSV!P:P,""),
_xlpm.MacVal,_xlfn.XLOOKUP($A923,Output_Mac!$A:$A,Output_Mac!L:L,""),
_xlpm.MyAuditVal,_xlfn.XLOOKUP($A923,My_Audit!$A:$A,My_Audit!K:K,""),
_xlfn.IFS(_xlpm.MyAuditVal&lt;&gt;"",UPPER(_xlpm.MyAuditVal),_xlpm.MacVal&lt;&gt;"",_xlpm.MacVal,_xlpm.CSVVal&lt;&gt;"",_xlpm.CSVVal
)),"")</f>
        <v/>
      </c>
      <c r="M923" s="40" t="str" cm="1">
        <f t="array" ref="M923">IFERROR(_xlfn.LET(
_xlpm.CSVVal,_xlfn.XLOOKUP($A923,CSV!$A:$A,CSV!Q:Q,""),
_xlpm.MacVal,_xlfn.XLOOKUP($A923,Output_Mac!$A:$A,Output_Mac!M:M,""),
_xlpm.MyAuditVal,_xlfn.XLOOKUP($A923,My_Audit!$A:$A,My_Audit!L:L,""),
_xlfn.IFS(_xlpm.MyAuditVal&lt;&gt;"",UPPER(_xlpm.MyAuditVal),_xlpm.MacVal&lt;&gt;"",_xlpm.MacVal,_xlpm.CSVVal&lt;&gt;"",_xlpm.CSVVal
)),"")</f>
        <v/>
      </c>
      <c r="N923" s="40"/>
      <c r="O923" s="40" t="str">
        <f>_xlfn.LET(
    _xlpm.CSVVal, _xlfn.XLOOKUP($A923, CSV!$A:$A, CSV!AA:AA, ""),
    _xlpm.MacVal, _xlfn.XLOOKUP($A923, Output_Mac!$A:$A, Output_Mac!S:S, ""),
    _xlpm.MyAuditVal, _xlfn.XLOOKUP($A923, My_Audit!$A:$A, My_Audit!P:P, ""),
    _xlfn.TEXTJOIN(", ", TRUE, _xlpm.MyAuditVal, _xlpm.MacVal, _xlpm.CSVVal)
)</f>
        <v/>
      </c>
      <c r="P923" s="40" t="str" cm="1">
        <f t="array" ref="P923">IFERROR(_xlfn.LET(
_xlpm.CSVVal,_xlfn.XLOOKUP($A923,CSV!$A:$A,CSV!AB:AB,""),
_xlpm.MacVal,_xlfn.XLOOKUP($A923,Output_Mac!$A:$A,Output_Mac!T:T,""),
_xlpm.MyAuditVal,_xlfn.XLOOKUP($A923,My_Audit!$A:$A,My_Audit!Q:Q,""),
_xlfn.IFS(_xlpm.MyAuditVal&lt;&gt;"",UPPER(_xlpm.MyAuditVal),_xlpm.MacVal&lt;&gt;"",_xlpm.MacVal,_xlpm.CSVVal&lt;&gt;"",_xlpm.CSVVal
)),"No")</f>
        <v>No</v>
      </c>
      <c r="Q923" s="40" t="str" cm="1">
        <f t="array" ref="Q923">IFERROR(_xlfn.LET(
_xlpm.CSVVal,_xlfn.XLOOKUP($A923,CSV!$A:$A,CSV!AC:AC,""),
_xlpm.MacVal,_xlfn.XLOOKUP($A923,Output_Mac!$A:$A,Output_Mac!U:U,""),
_xlpm.MyAuditVal,_xlfn.XLOOKUP($A923,My_Audit!$A:$A,My_Audit!R:R,""),
_xlfn.IFS(_xlpm.MyAuditVal&lt;&gt;"",UPPER(_xlpm.MyAuditVal),_xlpm.MacVal&lt;&gt;"",_xlpm.MacVal,_xlpm.CSVVal&lt;&gt;"",_xlpm.CSVVal
)),"")</f>
        <v/>
      </c>
      <c r="R923" s="40"/>
      <c r="S923" s="40"/>
      <c r="T923" s="40"/>
      <c r="U923" s="40"/>
      <c r="V923" s="40"/>
      <c r="W923" s="40"/>
      <c r="X923" s="41" t="str">
        <f>_xlfn.LET(
    _xlpm.MacVal, _xlfn.XLOOKUP($A923, Output_Mac!$A:$A, Output_Mac!AB:AB, ""),
    _xlpm.MyAuditVal, _xlfn.XLOOKUP($A923, My_Audit!$A:$A, My_Audit!N:N, ""),
    _xlfn.TEXTJOIN(", ", TRUE, _xlpm.MyAuditVal, _xlpm.MacVal)
)</f>
        <v/>
      </c>
    </row>
    <row r="924" spans="1:24">
      <c r="A924" s="40" t="str">
        <f>_xlfn.TEXTJOIN("",TRUE,Input!$B$2,ROW(My_Audit!A923))</f>
        <v>X923</v>
      </c>
      <c r="B924" s="40" t="str">
        <f>_xlfn.TEXTJOIN("-",TRUE,"ITD",Input!$A$2,A924)</f>
        <v>ITD-X923</v>
      </c>
      <c r="C924" s="40" t="str" cm="1">
        <f t="array" ref="C924">IFERROR(_xlfn.LET(
_xlpm.CSVVal,_xlfn.XLOOKUP($A924,CSV!$A:$A,CSV!B:B,""),
_xlpm.MacVal,_xlfn.XLOOKUP($A924,Output_Mac!$A:$A,Output_Mac!B:B,""),
_xlpm.MyAuditVal,_xlfn.XLOOKUP($A924,My_Audit!$A:$A,My_Audit!B:B,""),
_xlfn.IFS(_xlpm.MyAuditVal&lt;&gt;"",UPPER(_xlpm.MyAuditVal),_xlpm.MacVal&lt;&gt;"",_xlpm.MacVal,_xlpm.CSVVal&lt;&gt;"",_xlpm.CSVVal
)),"")</f>
        <v/>
      </c>
      <c r="D924" s="40" t="str" cm="1">
        <f t="array" ref="D924">IFERROR(_xlfn.LET(
_xlpm.CSVVal,_xlfn.XLOOKUP($A924,CSV!$A:$A,CSV!D:D,""),
_xlpm.MacVal,_xlfn.XLOOKUP($A924,Output_Mac!$A:$A,Output_Mac!C:C,""),
_xlpm.MyAuditVal,_xlfn.XLOOKUP($A924,My_Audit!$A:$A,My_Audit!C:C,""),
_xlfn.IFS(_xlpm.MyAuditVal&lt;&gt;"",_xlpm.MyAuditVal,_xlpm.MacVal&lt;&gt;"",_xlpm.MacVal,_xlpm.CSVVal&lt;&gt;"",_xlpm.CSVVal
)),"")</f>
        <v/>
      </c>
      <c r="E924" s="40" t="str">
        <f>_xlfn.XLOOKUP(A924,My_Audit!A:A,My_Audit!D:D,"")</f>
        <v/>
      </c>
      <c r="F924" s="40" t="str" cm="1">
        <f t="array" ref="F924">IFERROR(_xlfn.LET(
_xlpm.CSVVal,_xlfn.XLOOKUP($A924,CSV!$A:$A,CSV!F:F,""),
_xlpm.MacVal,_xlfn.XLOOKUP($A924,Output_Mac!$A:$A,Output_Mac!E:E,""),
_xlpm.MyAuditVal,_xlfn.XLOOKUP($A924,My_Audit!$A:$A,My_Audit!E:E,""),
_xlfn.IFS(_xlpm.MyAuditVal&lt;&gt;"",_xlpm.MyAuditVal,_xlpm.MacVal&lt;&gt;"",_xlpm.MacVal,_xlpm.CSVVal&lt;&gt;"",_xlpm.CSVVal
)),"")</f>
        <v/>
      </c>
      <c r="G924" s="40" t="str" cm="1">
        <f t="array" ref="G924">IFERROR(_xlfn.LET(
_xlpm.CSVVal,_xlfn.XLOOKUP($A924,CSV!$A:$A,CSV!G:G,""),
_xlpm.MacVal,_xlfn.XLOOKUP($A924,Output_Mac!$A:$A,Output_Mac!F:F,""),
_xlpm.MyAuditVal,_xlfn.XLOOKUP($A924,My_Audit!$A:$A,My_Audit!F:F,""),
_xlfn.IFS(_xlpm.MyAuditVal&lt;&gt;"",_xlpm.MyAuditVal,_xlpm.MacVal&lt;&gt;"",_xlpm.MacVal,_xlpm.CSVVal&lt;&gt;"",PROPER(_xlpm.CSVVal)
)),"")</f>
        <v/>
      </c>
      <c r="H924" s="40" t="str" cm="1">
        <f t="array" ref="H924">IFERROR(_xlfn.LET(
_xlpm.CSVVal,_xlfn.XLOOKUP($A924,CSV!$A:$A,CSV!H:H,""),
_xlpm.MacVal,_xlfn.XLOOKUP($A924,Output_Mac!$A:$A,Output_Mac!H:H,""),
_xlpm.MyAuditVal,_xlfn.XLOOKUP($A924,My_Audit!$A:$A,My_Audit!G:G,""),
_xlfn.IFS(_xlpm.MyAuditVal&lt;&gt;"",_xlpm.MyAuditVal,_xlpm.MacVal&lt;&gt;"",_xlpm.MacVal,_xlpm.CSVVal&lt;&gt;"",_xlpm.CSVVal
)),"")</f>
        <v/>
      </c>
      <c r="I924" s="40" t="str">
        <f>_xlfn.XLOOKUP(A924,Output_Mac!A:A,Output_Mac!I:I,"")</f>
        <v/>
      </c>
      <c r="J924" s="40" t="str" cm="1">
        <f t="array" ref="J924">IFERROR(_xlfn.LET(
_xlpm.CSVVal,_xlfn.XLOOKUP($A924,CSV!$A:$A,CSV!I:I,""),
_xlpm.MacVal,_xlfn.XLOOKUP($A924,Output_Mac!$A:$A,Output_Mac!J:J,""),
_xlpm.MyAuditVal,_xlfn.XLOOKUP($A924,My_Audit!$A:$A,My_Audit!I:I,""),
_xlfn.IFS(_xlpm.MyAuditVal&lt;&gt;"",UPPER(_xlpm.MyAuditVal),_xlpm.MacVal&lt;&gt;"",_xlpm.MacVal,_xlpm.CSVVal&lt;&gt;"",_xlpm.CSVVal
)),"")</f>
        <v/>
      </c>
      <c r="K924" s="40" t="str" cm="1">
        <f t="array" ref="K924">IFERROR(_xlfn.LET(
_xlpm.CSVVal,_xlfn.XLOOKUP($A924,CSV!$A:$A,CSV!K:K,""),
_xlpm.MacVal,_xlfn.XLOOKUP($A924,Output_Mac!$A:$A,Output_Mac!K:K,""),
_xlpm.MyAuditVal,_xlfn.XLOOKUP($A924,My_Audit!$A:$A,My_Audit!J:J,""),
_xlfn.IFS(_xlpm.MyAuditVal&lt;&gt;"",UPPER(_xlpm.MyAuditVal),_xlpm.MacVal&lt;&gt;"",_xlpm.MacVal,_xlpm.CSVVal&lt;&gt;"",_xlpm.CSVVal
)),"")</f>
        <v/>
      </c>
      <c r="L924" s="40" t="str" cm="1">
        <f t="array" ref="L924">IFERROR(_xlfn.LET(
_xlpm.CSVVal,_xlfn.XLOOKUP($A924,CSV!$A:$A,CSV!P:P,""),
_xlpm.MacVal,_xlfn.XLOOKUP($A924,Output_Mac!$A:$A,Output_Mac!L:L,""),
_xlpm.MyAuditVal,_xlfn.XLOOKUP($A924,My_Audit!$A:$A,My_Audit!K:K,""),
_xlfn.IFS(_xlpm.MyAuditVal&lt;&gt;"",UPPER(_xlpm.MyAuditVal),_xlpm.MacVal&lt;&gt;"",_xlpm.MacVal,_xlpm.CSVVal&lt;&gt;"",_xlpm.CSVVal
)),"")</f>
        <v/>
      </c>
      <c r="M924" s="40" t="str" cm="1">
        <f t="array" ref="M924">IFERROR(_xlfn.LET(
_xlpm.CSVVal,_xlfn.XLOOKUP($A924,CSV!$A:$A,CSV!Q:Q,""),
_xlpm.MacVal,_xlfn.XLOOKUP($A924,Output_Mac!$A:$A,Output_Mac!M:M,""),
_xlpm.MyAuditVal,_xlfn.XLOOKUP($A924,My_Audit!$A:$A,My_Audit!L:L,""),
_xlfn.IFS(_xlpm.MyAuditVal&lt;&gt;"",UPPER(_xlpm.MyAuditVal),_xlpm.MacVal&lt;&gt;"",_xlpm.MacVal,_xlpm.CSVVal&lt;&gt;"",_xlpm.CSVVal
)),"")</f>
        <v/>
      </c>
      <c r="N924" s="40"/>
      <c r="O924" s="40" t="str">
        <f>_xlfn.LET(
    _xlpm.CSVVal, _xlfn.XLOOKUP($A924, CSV!$A:$A, CSV!AA:AA, ""),
    _xlpm.MacVal, _xlfn.XLOOKUP($A924, Output_Mac!$A:$A, Output_Mac!S:S, ""),
    _xlpm.MyAuditVal, _xlfn.XLOOKUP($A924, My_Audit!$A:$A, My_Audit!P:P, ""),
    _xlfn.TEXTJOIN(", ", TRUE, _xlpm.MyAuditVal, _xlpm.MacVal, _xlpm.CSVVal)
)</f>
        <v/>
      </c>
      <c r="P924" s="40" t="str" cm="1">
        <f t="array" ref="P924">IFERROR(_xlfn.LET(
_xlpm.CSVVal,_xlfn.XLOOKUP($A924,CSV!$A:$A,CSV!AB:AB,""),
_xlpm.MacVal,_xlfn.XLOOKUP($A924,Output_Mac!$A:$A,Output_Mac!T:T,""),
_xlpm.MyAuditVal,_xlfn.XLOOKUP($A924,My_Audit!$A:$A,My_Audit!Q:Q,""),
_xlfn.IFS(_xlpm.MyAuditVal&lt;&gt;"",UPPER(_xlpm.MyAuditVal),_xlpm.MacVal&lt;&gt;"",_xlpm.MacVal,_xlpm.CSVVal&lt;&gt;"",_xlpm.CSVVal
)),"No")</f>
        <v>No</v>
      </c>
      <c r="Q924" s="40" t="str" cm="1">
        <f t="array" ref="Q924">IFERROR(_xlfn.LET(
_xlpm.CSVVal,_xlfn.XLOOKUP($A924,CSV!$A:$A,CSV!AC:AC,""),
_xlpm.MacVal,_xlfn.XLOOKUP($A924,Output_Mac!$A:$A,Output_Mac!U:U,""),
_xlpm.MyAuditVal,_xlfn.XLOOKUP($A924,My_Audit!$A:$A,My_Audit!R:R,""),
_xlfn.IFS(_xlpm.MyAuditVal&lt;&gt;"",UPPER(_xlpm.MyAuditVal),_xlpm.MacVal&lt;&gt;"",_xlpm.MacVal,_xlpm.CSVVal&lt;&gt;"",_xlpm.CSVVal
)),"")</f>
        <v/>
      </c>
      <c r="R924" s="40"/>
      <c r="S924" s="40"/>
      <c r="T924" s="40"/>
      <c r="U924" s="40"/>
      <c r="V924" s="40"/>
      <c r="W924" s="40"/>
      <c r="X924" s="41" t="str">
        <f>_xlfn.LET(
    _xlpm.MacVal, _xlfn.XLOOKUP($A924, Output_Mac!$A:$A, Output_Mac!AB:AB, ""),
    _xlpm.MyAuditVal, _xlfn.XLOOKUP($A924, My_Audit!$A:$A, My_Audit!N:N, ""),
    _xlfn.TEXTJOIN(", ", TRUE, _xlpm.MyAuditVal, _xlpm.MacVal)
)</f>
        <v/>
      </c>
    </row>
    <row r="925" spans="1:24">
      <c r="A925" s="40" t="str">
        <f>_xlfn.TEXTJOIN("",TRUE,Input!$B$2,ROW(My_Audit!A924))</f>
        <v>X924</v>
      </c>
      <c r="B925" s="40" t="str">
        <f>_xlfn.TEXTJOIN("-",TRUE,"ITD",Input!$A$2,A925)</f>
        <v>ITD-X924</v>
      </c>
      <c r="C925" s="40" t="str" cm="1">
        <f t="array" ref="C925">IFERROR(_xlfn.LET(
_xlpm.CSVVal,_xlfn.XLOOKUP($A925,CSV!$A:$A,CSV!B:B,""),
_xlpm.MacVal,_xlfn.XLOOKUP($A925,Output_Mac!$A:$A,Output_Mac!B:B,""),
_xlpm.MyAuditVal,_xlfn.XLOOKUP($A925,My_Audit!$A:$A,My_Audit!B:B,""),
_xlfn.IFS(_xlpm.MyAuditVal&lt;&gt;"",UPPER(_xlpm.MyAuditVal),_xlpm.MacVal&lt;&gt;"",_xlpm.MacVal,_xlpm.CSVVal&lt;&gt;"",_xlpm.CSVVal
)),"")</f>
        <v/>
      </c>
      <c r="D925" s="40" t="str" cm="1">
        <f t="array" ref="D925">IFERROR(_xlfn.LET(
_xlpm.CSVVal,_xlfn.XLOOKUP($A925,CSV!$A:$A,CSV!D:D,""),
_xlpm.MacVal,_xlfn.XLOOKUP($A925,Output_Mac!$A:$A,Output_Mac!C:C,""),
_xlpm.MyAuditVal,_xlfn.XLOOKUP($A925,My_Audit!$A:$A,My_Audit!C:C,""),
_xlfn.IFS(_xlpm.MyAuditVal&lt;&gt;"",_xlpm.MyAuditVal,_xlpm.MacVal&lt;&gt;"",_xlpm.MacVal,_xlpm.CSVVal&lt;&gt;"",_xlpm.CSVVal
)),"")</f>
        <v/>
      </c>
      <c r="E925" s="40" t="str">
        <f>_xlfn.XLOOKUP(A925,My_Audit!A:A,My_Audit!D:D,"")</f>
        <v/>
      </c>
      <c r="F925" s="40" t="str" cm="1">
        <f t="array" ref="F925">IFERROR(_xlfn.LET(
_xlpm.CSVVal,_xlfn.XLOOKUP($A925,CSV!$A:$A,CSV!F:F,""),
_xlpm.MacVal,_xlfn.XLOOKUP($A925,Output_Mac!$A:$A,Output_Mac!E:E,""),
_xlpm.MyAuditVal,_xlfn.XLOOKUP($A925,My_Audit!$A:$A,My_Audit!E:E,""),
_xlfn.IFS(_xlpm.MyAuditVal&lt;&gt;"",_xlpm.MyAuditVal,_xlpm.MacVal&lt;&gt;"",_xlpm.MacVal,_xlpm.CSVVal&lt;&gt;"",_xlpm.CSVVal
)),"")</f>
        <v/>
      </c>
      <c r="G925" s="40" t="str" cm="1">
        <f t="array" ref="G925">IFERROR(_xlfn.LET(
_xlpm.CSVVal,_xlfn.XLOOKUP($A925,CSV!$A:$A,CSV!G:G,""),
_xlpm.MacVal,_xlfn.XLOOKUP($A925,Output_Mac!$A:$A,Output_Mac!F:F,""),
_xlpm.MyAuditVal,_xlfn.XLOOKUP($A925,My_Audit!$A:$A,My_Audit!F:F,""),
_xlfn.IFS(_xlpm.MyAuditVal&lt;&gt;"",_xlpm.MyAuditVal,_xlpm.MacVal&lt;&gt;"",_xlpm.MacVal,_xlpm.CSVVal&lt;&gt;"",PROPER(_xlpm.CSVVal)
)),"")</f>
        <v/>
      </c>
      <c r="H925" s="40" t="str" cm="1">
        <f t="array" ref="H925">IFERROR(_xlfn.LET(
_xlpm.CSVVal,_xlfn.XLOOKUP($A925,CSV!$A:$A,CSV!H:H,""),
_xlpm.MacVal,_xlfn.XLOOKUP($A925,Output_Mac!$A:$A,Output_Mac!H:H,""),
_xlpm.MyAuditVal,_xlfn.XLOOKUP($A925,My_Audit!$A:$A,My_Audit!G:G,""),
_xlfn.IFS(_xlpm.MyAuditVal&lt;&gt;"",_xlpm.MyAuditVal,_xlpm.MacVal&lt;&gt;"",_xlpm.MacVal,_xlpm.CSVVal&lt;&gt;"",_xlpm.CSVVal
)),"")</f>
        <v/>
      </c>
      <c r="I925" s="40" t="str">
        <f>_xlfn.XLOOKUP(A925,Output_Mac!A:A,Output_Mac!I:I,"")</f>
        <v/>
      </c>
      <c r="J925" s="40" t="str" cm="1">
        <f t="array" ref="J925">IFERROR(_xlfn.LET(
_xlpm.CSVVal,_xlfn.XLOOKUP($A925,CSV!$A:$A,CSV!I:I,""),
_xlpm.MacVal,_xlfn.XLOOKUP($A925,Output_Mac!$A:$A,Output_Mac!J:J,""),
_xlpm.MyAuditVal,_xlfn.XLOOKUP($A925,My_Audit!$A:$A,My_Audit!I:I,""),
_xlfn.IFS(_xlpm.MyAuditVal&lt;&gt;"",UPPER(_xlpm.MyAuditVal),_xlpm.MacVal&lt;&gt;"",_xlpm.MacVal,_xlpm.CSVVal&lt;&gt;"",_xlpm.CSVVal
)),"")</f>
        <v/>
      </c>
      <c r="K925" s="40" t="str" cm="1">
        <f t="array" ref="K925">IFERROR(_xlfn.LET(
_xlpm.CSVVal,_xlfn.XLOOKUP($A925,CSV!$A:$A,CSV!K:K,""),
_xlpm.MacVal,_xlfn.XLOOKUP($A925,Output_Mac!$A:$A,Output_Mac!K:K,""),
_xlpm.MyAuditVal,_xlfn.XLOOKUP($A925,My_Audit!$A:$A,My_Audit!J:J,""),
_xlfn.IFS(_xlpm.MyAuditVal&lt;&gt;"",UPPER(_xlpm.MyAuditVal),_xlpm.MacVal&lt;&gt;"",_xlpm.MacVal,_xlpm.CSVVal&lt;&gt;"",_xlpm.CSVVal
)),"")</f>
        <v/>
      </c>
      <c r="L925" s="40" t="str" cm="1">
        <f t="array" ref="L925">IFERROR(_xlfn.LET(
_xlpm.CSVVal,_xlfn.XLOOKUP($A925,CSV!$A:$A,CSV!P:P,""),
_xlpm.MacVal,_xlfn.XLOOKUP($A925,Output_Mac!$A:$A,Output_Mac!L:L,""),
_xlpm.MyAuditVal,_xlfn.XLOOKUP($A925,My_Audit!$A:$A,My_Audit!K:K,""),
_xlfn.IFS(_xlpm.MyAuditVal&lt;&gt;"",UPPER(_xlpm.MyAuditVal),_xlpm.MacVal&lt;&gt;"",_xlpm.MacVal,_xlpm.CSVVal&lt;&gt;"",_xlpm.CSVVal
)),"")</f>
        <v/>
      </c>
      <c r="M925" s="40" t="str" cm="1">
        <f t="array" ref="M925">IFERROR(_xlfn.LET(
_xlpm.CSVVal,_xlfn.XLOOKUP($A925,CSV!$A:$A,CSV!Q:Q,""),
_xlpm.MacVal,_xlfn.XLOOKUP($A925,Output_Mac!$A:$A,Output_Mac!M:M,""),
_xlpm.MyAuditVal,_xlfn.XLOOKUP($A925,My_Audit!$A:$A,My_Audit!L:L,""),
_xlfn.IFS(_xlpm.MyAuditVal&lt;&gt;"",UPPER(_xlpm.MyAuditVal),_xlpm.MacVal&lt;&gt;"",_xlpm.MacVal,_xlpm.CSVVal&lt;&gt;"",_xlpm.CSVVal
)),"")</f>
        <v/>
      </c>
      <c r="N925" s="40"/>
      <c r="O925" s="40" t="str">
        <f>_xlfn.LET(
    _xlpm.CSVVal, _xlfn.XLOOKUP($A925, CSV!$A:$A, CSV!AA:AA, ""),
    _xlpm.MacVal, _xlfn.XLOOKUP($A925, Output_Mac!$A:$A, Output_Mac!S:S, ""),
    _xlpm.MyAuditVal, _xlfn.XLOOKUP($A925, My_Audit!$A:$A, My_Audit!P:P, ""),
    _xlfn.TEXTJOIN(", ", TRUE, _xlpm.MyAuditVal, _xlpm.MacVal, _xlpm.CSVVal)
)</f>
        <v/>
      </c>
      <c r="P925" s="40" t="str" cm="1">
        <f t="array" ref="P925">IFERROR(_xlfn.LET(
_xlpm.CSVVal,_xlfn.XLOOKUP($A925,CSV!$A:$A,CSV!AB:AB,""),
_xlpm.MacVal,_xlfn.XLOOKUP($A925,Output_Mac!$A:$A,Output_Mac!T:T,""),
_xlpm.MyAuditVal,_xlfn.XLOOKUP($A925,My_Audit!$A:$A,My_Audit!Q:Q,""),
_xlfn.IFS(_xlpm.MyAuditVal&lt;&gt;"",UPPER(_xlpm.MyAuditVal),_xlpm.MacVal&lt;&gt;"",_xlpm.MacVal,_xlpm.CSVVal&lt;&gt;"",_xlpm.CSVVal
)),"No")</f>
        <v>No</v>
      </c>
      <c r="Q925" s="40" t="str" cm="1">
        <f t="array" ref="Q925">IFERROR(_xlfn.LET(
_xlpm.CSVVal,_xlfn.XLOOKUP($A925,CSV!$A:$A,CSV!AC:AC,""),
_xlpm.MacVal,_xlfn.XLOOKUP($A925,Output_Mac!$A:$A,Output_Mac!U:U,""),
_xlpm.MyAuditVal,_xlfn.XLOOKUP($A925,My_Audit!$A:$A,My_Audit!R:R,""),
_xlfn.IFS(_xlpm.MyAuditVal&lt;&gt;"",UPPER(_xlpm.MyAuditVal),_xlpm.MacVal&lt;&gt;"",_xlpm.MacVal,_xlpm.CSVVal&lt;&gt;"",_xlpm.CSVVal
)),"")</f>
        <v/>
      </c>
      <c r="R925" s="40"/>
      <c r="S925" s="40"/>
      <c r="T925" s="40"/>
      <c r="U925" s="40"/>
      <c r="V925" s="40"/>
      <c r="W925" s="40"/>
      <c r="X925" s="41" t="str">
        <f>_xlfn.LET(
    _xlpm.MacVal, _xlfn.XLOOKUP($A925, Output_Mac!$A:$A, Output_Mac!AB:AB, ""),
    _xlpm.MyAuditVal, _xlfn.XLOOKUP($A925, My_Audit!$A:$A, My_Audit!N:N, ""),
    _xlfn.TEXTJOIN(", ", TRUE, _xlpm.MyAuditVal, _xlpm.MacVal)
)</f>
        <v/>
      </c>
    </row>
    <row r="926" spans="1:24">
      <c r="A926" s="40" t="str">
        <f>_xlfn.TEXTJOIN("",TRUE,Input!$B$2,ROW(My_Audit!A925))</f>
        <v>X925</v>
      </c>
      <c r="B926" s="40" t="str">
        <f>_xlfn.TEXTJOIN("-",TRUE,"ITD",Input!$A$2,A926)</f>
        <v>ITD-X925</v>
      </c>
      <c r="C926" s="40" t="str" cm="1">
        <f t="array" ref="C926">IFERROR(_xlfn.LET(
_xlpm.CSVVal,_xlfn.XLOOKUP($A926,CSV!$A:$A,CSV!B:B,""),
_xlpm.MacVal,_xlfn.XLOOKUP($A926,Output_Mac!$A:$A,Output_Mac!B:B,""),
_xlpm.MyAuditVal,_xlfn.XLOOKUP($A926,My_Audit!$A:$A,My_Audit!B:B,""),
_xlfn.IFS(_xlpm.MyAuditVal&lt;&gt;"",UPPER(_xlpm.MyAuditVal),_xlpm.MacVal&lt;&gt;"",_xlpm.MacVal,_xlpm.CSVVal&lt;&gt;"",_xlpm.CSVVal
)),"")</f>
        <v/>
      </c>
      <c r="D926" s="40" t="str" cm="1">
        <f t="array" ref="D926">IFERROR(_xlfn.LET(
_xlpm.CSVVal,_xlfn.XLOOKUP($A926,CSV!$A:$A,CSV!D:D,""),
_xlpm.MacVal,_xlfn.XLOOKUP($A926,Output_Mac!$A:$A,Output_Mac!C:C,""),
_xlpm.MyAuditVal,_xlfn.XLOOKUP($A926,My_Audit!$A:$A,My_Audit!C:C,""),
_xlfn.IFS(_xlpm.MyAuditVal&lt;&gt;"",_xlpm.MyAuditVal,_xlpm.MacVal&lt;&gt;"",_xlpm.MacVal,_xlpm.CSVVal&lt;&gt;"",_xlpm.CSVVal
)),"")</f>
        <v/>
      </c>
      <c r="E926" s="40" t="str">
        <f>_xlfn.XLOOKUP(A926,My_Audit!A:A,My_Audit!D:D,"")</f>
        <v/>
      </c>
      <c r="F926" s="40" t="str" cm="1">
        <f t="array" ref="F926">IFERROR(_xlfn.LET(
_xlpm.CSVVal,_xlfn.XLOOKUP($A926,CSV!$A:$A,CSV!F:F,""),
_xlpm.MacVal,_xlfn.XLOOKUP($A926,Output_Mac!$A:$A,Output_Mac!E:E,""),
_xlpm.MyAuditVal,_xlfn.XLOOKUP($A926,My_Audit!$A:$A,My_Audit!E:E,""),
_xlfn.IFS(_xlpm.MyAuditVal&lt;&gt;"",_xlpm.MyAuditVal,_xlpm.MacVal&lt;&gt;"",_xlpm.MacVal,_xlpm.CSVVal&lt;&gt;"",_xlpm.CSVVal
)),"")</f>
        <v/>
      </c>
      <c r="G926" s="40" t="str" cm="1">
        <f t="array" ref="G926">IFERROR(_xlfn.LET(
_xlpm.CSVVal,_xlfn.XLOOKUP($A926,CSV!$A:$A,CSV!G:G,""),
_xlpm.MacVal,_xlfn.XLOOKUP($A926,Output_Mac!$A:$A,Output_Mac!F:F,""),
_xlpm.MyAuditVal,_xlfn.XLOOKUP($A926,My_Audit!$A:$A,My_Audit!F:F,""),
_xlfn.IFS(_xlpm.MyAuditVal&lt;&gt;"",_xlpm.MyAuditVal,_xlpm.MacVal&lt;&gt;"",_xlpm.MacVal,_xlpm.CSVVal&lt;&gt;"",PROPER(_xlpm.CSVVal)
)),"")</f>
        <v/>
      </c>
      <c r="H926" s="40" t="str" cm="1">
        <f t="array" ref="H926">IFERROR(_xlfn.LET(
_xlpm.CSVVal,_xlfn.XLOOKUP($A926,CSV!$A:$A,CSV!H:H,""),
_xlpm.MacVal,_xlfn.XLOOKUP($A926,Output_Mac!$A:$A,Output_Mac!H:H,""),
_xlpm.MyAuditVal,_xlfn.XLOOKUP($A926,My_Audit!$A:$A,My_Audit!G:G,""),
_xlfn.IFS(_xlpm.MyAuditVal&lt;&gt;"",_xlpm.MyAuditVal,_xlpm.MacVal&lt;&gt;"",_xlpm.MacVal,_xlpm.CSVVal&lt;&gt;"",_xlpm.CSVVal
)),"")</f>
        <v/>
      </c>
      <c r="I926" s="40" t="str">
        <f>_xlfn.XLOOKUP(A926,Output_Mac!A:A,Output_Mac!I:I,"")</f>
        <v/>
      </c>
      <c r="J926" s="40" t="str" cm="1">
        <f t="array" ref="J926">IFERROR(_xlfn.LET(
_xlpm.CSVVal,_xlfn.XLOOKUP($A926,CSV!$A:$A,CSV!I:I,""),
_xlpm.MacVal,_xlfn.XLOOKUP($A926,Output_Mac!$A:$A,Output_Mac!J:J,""),
_xlpm.MyAuditVal,_xlfn.XLOOKUP($A926,My_Audit!$A:$A,My_Audit!I:I,""),
_xlfn.IFS(_xlpm.MyAuditVal&lt;&gt;"",UPPER(_xlpm.MyAuditVal),_xlpm.MacVal&lt;&gt;"",_xlpm.MacVal,_xlpm.CSVVal&lt;&gt;"",_xlpm.CSVVal
)),"")</f>
        <v/>
      </c>
      <c r="K926" s="40" t="str" cm="1">
        <f t="array" ref="K926">IFERROR(_xlfn.LET(
_xlpm.CSVVal,_xlfn.XLOOKUP($A926,CSV!$A:$A,CSV!K:K,""),
_xlpm.MacVal,_xlfn.XLOOKUP($A926,Output_Mac!$A:$A,Output_Mac!K:K,""),
_xlpm.MyAuditVal,_xlfn.XLOOKUP($A926,My_Audit!$A:$A,My_Audit!J:J,""),
_xlfn.IFS(_xlpm.MyAuditVal&lt;&gt;"",UPPER(_xlpm.MyAuditVal),_xlpm.MacVal&lt;&gt;"",_xlpm.MacVal,_xlpm.CSVVal&lt;&gt;"",_xlpm.CSVVal
)),"")</f>
        <v/>
      </c>
      <c r="L926" s="40" t="str" cm="1">
        <f t="array" ref="L926">IFERROR(_xlfn.LET(
_xlpm.CSVVal,_xlfn.XLOOKUP($A926,CSV!$A:$A,CSV!P:P,""),
_xlpm.MacVal,_xlfn.XLOOKUP($A926,Output_Mac!$A:$A,Output_Mac!L:L,""),
_xlpm.MyAuditVal,_xlfn.XLOOKUP($A926,My_Audit!$A:$A,My_Audit!K:K,""),
_xlfn.IFS(_xlpm.MyAuditVal&lt;&gt;"",UPPER(_xlpm.MyAuditVal),_xlpm.MacVal&lt;&gt;"",_xlpm.MacVal,_xlpm.CSVVal&lt;&gt;"",_xlpm.CSVVal
)),"")</f>
        <v/>
      </c>
      <c r="M926" s="40" t="str" cm="1">
        <f t="array" ref="M926">IFERROR(_xlfn.LET(
_xlpm.CSVVal,_xlfn.XLOOKUP($A926,CSV!$A:$A,CSV!Q:Q,""),
_xlpm.MacVal,_xlfn.XLOOKUP($A926,Output_Mac!$A:$A,Output_Mac!M:M,""),
_xlpm.MyAuditVal,_xlfn.XLOOKUP($A926,My_Audit!$A:$A,My_Audit!L:L,""),
_xlfn.IFS(_xlpm.MyAuditVal&lt;&gt;"",UPPER(_xlpm.MyAuditVal),_xlpm.MacVal&lt;&gt;"",_xlpm.MacVal,_xlpm.CSVVal&lt;&gt;"",_xlpm.CSVVal
)),"")</f>
        <v/>
      </c>
      <c r="N926" s="40"/>
      <c r="O926" s="40" t="str">
        <f>_xlfn.LET(
    _xlpm.CSVVal, _xlfn.XLOOKUP($A926, CSV!$A:$A, CSV!AA:AA, ""),
    _xlpm.MacVal, _xlfn.XLOOKUP($A926, Output_Mac!$A:$A, Output_Mac!S:S, ""),
    _xlpm.MyAuditVal, _xlfn.XLOOKUP($A926, My_Audit!$A:$A, My_Audit!P:P, ""),
    _xlfn.TEXTJOIN(", ", TRUE, _xlpm.MyAuditVal, _xlpm.MacVal, _xlpm.CSVVal)
)</f>
        <v/>
      </c>
      <c r="P926" s="40" t="str" cm="1">
        <f t="array" ref="P926">IFERROR(_xlfn.LET(
_xlpm.CSVVal,_xlfn.XLOOKUP($A926,CSV!$A:$A,CSV!AB:AB,""),
_xlpm.MacVal,_xlfn.XLOOKUP($A926,Output_Mac!$A:$A,Output_Mac!T:T,""),
_xlpm.MyAuditVal,_xlfn.XLOOKUP($A926,My_Audit!$A:$A,My_Audit!Q:Q,""),
_xlfn.IFS(_xlpm.MyAuditVal&lt;&gt;"",UPPER(_xlpm.MyAuditVal),_xlpm.MacVal&lt;&gt;"",_xlpm.MacVal,_xlpm.CSVVal&lt;&gt;"",_xlpm.CSVVal
)),"No")</f>
        <v>No</v>
      </c>
      <c r="Q926" s="40" t="str" cm="1">
        <f t="array" ref="Q926">IFERROR(_xlfn.LET(
_xlpm.CSVVal,_xlfn.XLOOKUP($A926,CSV!$A:$A,CSV!AC:AC,""),
_xlpm.MacVal,_xlfn.XLOOKUP($A926,Output_Mac!$A:$A,Output_Mac!U:U,""),
_xlpm.MyAuditVal,_xlfn.XLOOKUP($A926,My_Audit!$A:$A,My_Audit!R:R,""),
_xlfn.IFS(_xlpm.MyAuditVal&lt;&gt;"",UPPER(_xlpm.MyAuditVal),_xlpm.MacVal&lt;&gt;"",_xlpm.MacVal,_xlpm.CSVVal&lt;&gt;"",_xlpm.CSVVal
)),"")</f>
        <v/>
      </c>
      <c r="R926" s="40"/>
      <c r="S926" s="40"/>
      <c r="T926" s="40"/>
      <c r="U926" s="40"/>
      <c r="V926" s="40"/>
      <c r="W926" s="40"/>
      <c r="X926" s="41" t="str">
        <f>_xlfn.LET(
    _xlpm.MacVal, _xlfn.XLOOKUP($A926, Output_Mac!$A:$A, Output_Mac!AB:AB, ""),
    _xlpm.MyAuditVal, _xlfn.XLOOKUP($A926, My_Audit!$A:$A, My_Audit!N:N, ""),
    _xlfn.TEXTJOIN(", ", TRUE, _xlpm.MyAuditVal, _xlpm.MacVal)
)</f>
        <v/>
      </c>
    </row>
    <row r="927" spans="1:24">
      <c r="A927" s="40" t="str">
        <f>_xlfn.TEXTJOIN("",TRUE,Input!$B$2,ROW(My_Audit!A926))</f>
        <v>X926</v>
      </c>
      <c r="B927" s="40" t="str">
        <f>_xlfn.TEXTJOIN("-",TRUE,"ITD",Input!$A$2,A927)</f>
        <v>ITD-X926</v>
      </c>
      <c r="C927" s="40" t="str" cm="1">
        <f t="array" ref="C927">IFERROR(_xlfn.LET(
_xlpm.CSVVal,_xlfn.XLOOKUP($A927,CSV!$A:$A,CSV!B:B,""),
_xlpm.MacVal,_xlfn.XLOOKUP($A927,Output_Mac!$A:$A,Output_Mac!B:B,""),
_xlpm.MyAuditVal,_xlfn.XLOOKUP($A927,My_Audit!$A:$A,My_Audit!B:B,""),
_xlfn.IFS(_xlpm.MyAuditVal&lt;&gt;"",UPPER(_xlpm.MyAuditVal),_xlpm.MacVal&lt;&gt;"",_xlpm.MacVal,_xlpm.CSVVal&lt;&gt;"",_xlpm.CSVVal
)),"")</f>
        <v/>
      </c>
      <c r="D927" s="40" t="str" cm="1">
        <f t="array" ref="D927">IFERROR(_xlfn.LET(
_xlpm.CSVVal,_xlfn.XLOOKUP($A927,CSV!$A:$A,CSV!D:D,""),
_xlpm.MacVal,_xlfn.XLOOKUP($A927,Output_Mac!$A:$A,Output_Mac!C:C,""),
_xlpm.MyAuditVal,_xlfn.XLOOKUP($A927,My_Audit!$A:$A,My_Audit!C:C,""),
_xlfn.IFS(_xlpm.MyAuditVal&lt;&gt;"",_xlpm.MyAuditVal,_xlpm.MacVal&lt;&gt;"",_xlpm.MacVal,_xlpm.CSVVal&lt;&gt;"",_xlpm.CSVVal
)),"")</f>
        <v/>
      </c>
      <c r="E927" s="40" t="str">
        <f>_xlfn.XLOOKUP(A927,My_Audit!A:A,My_Audit!D:D,"")</f>
        <v/>
      </c>
      <c r="F927" s="40" t="str" cm="1">
        <f t="array" ref="F927">IFERROR(_xlfn.LET(
_xlpm.CSVVal,_xlfn.XLOOKUP($A927,CSV!$A:$A,CSV!F:F,""),
_xlpm.MacVal,_xlfn.XLOOKUP($A927,Output_Mac!$A:$A,Output_Mac!E:E,""),
_xlpm.MyAuditVal,_xlfn.XLOOKUP($A927,My_Audit!$A:$A,My_Audit!E:E,""),
_xlfn.IFS(_xlpm.MyAuditVal&lt;&gt;"",_xlpm.MyAuditVal,_xlpm.MacVal&lt;&gt;"",_xlpm.MacVal,_xlpm.CSVVal&lt;&gt;"",_xlpm.CSVVal
)),"")</f>
        <v/>
      </c>
      <c r="G927" s="40" t="str" cm="1">
        <f t="array" ref="G927">IFERROR(_xlfn.LET(
_xlpm.CSVVal,_xlfn.XLOOKUP($A927,CSV!$A:$A,CSV!G:G,""),
_xlpm.MacVal,_xlfn.XLOOKUP($A927,Output_Mac!$A:$A,Output_Mac!F:F,""),
_xlpm.MyAuditVal,_xlfn.XLOOKUP($A927,My_Audit!$A:$A,My_Audit!F:F,""),
_xlfn.IFS(_xlpm.MyAuditVal&lt;&gt;"",_xlpm.MyAuditVal,_xlpm.MacVal&lt;&gt;"",_xlpm.MacVal,_xlpm.CSVVal&lt;&gt;"",PROPER(_xlpm.CSVVal)
)),"")</f>
        <v/>
      </c>
      <c r="H927" s="40" t="str" cm="1">
        <f t="array" ref="H927">IFERROR(_xlfn.LET(
_xlpm.CSVVal,_xlfn.XLOOKUP($A927,CSV!$A:$A,CSV!H:H,""),
_xlpm.MacVal,_xlfn.XLOOKUP($A927,Output_Mac!$A:$A,Output_Mac!H:H,""),
_xlpm.MyAuditVal,_xlfn.XLOOKUP($A927,My_Audit!$A:$A,My_Audit!G:G,""),
_xlfn.IFS(_xlpm.MyAuditVal&lt;&gt;"",_xlpm.MyAuditVal,_xlpm.MacVal&lt;&gt;"",_xlpm.MacVal,_xlpm.CSVVal&lt;&gt;"",_xlpm.CSVVal
)),"")</f>
        <v/>
      </c>
      <c r="I927" s="40" t="str">
        <f>_xlfn.XLOOKUP(A927,Output_Mac!A:A,Output_Mac!I:I,"")</f>
        <v/>
      </c>
      <c r="J927" s="40" t="str" cm="1">
        <f t="array" ref="J927">IFERROR(_xlfn.LET(
_xlpm.CSVVal,_xlfn.XLOOKUP($A927,CSV!$A:$A,CSV!I:I,""),
_xlpm.MacVal,_xlfn.XLOOKUP($A927,Output_Mac!$A:$A,Output_Mac!J:J,""),
_xlpm.MyAuditVal,_xlfn.XLOOKUP($A927,My_Audit!$A:$A,My_Audit!I:I,""),
_xlfn.IFS(_xlpm.MyAuditVal&lt;&gt;"",UPPER(_xlpm.MyAuditVal),_xlpm.MacVal&lt;&gt;"",_xlpm.MacVal,_xlpm.CSVVal&lt;&gt;"",_xlpm.CSVVal
)),"")</f>
        <v/>
      </c>
      <c r="K927" s="40" t="str" cm="1">
        <f t="array" ref="K927">IFERROR(_xlfn.LET(
_xlpm.CSVVal,_xlfn.XLOOKUP($A927,CSV!$A:$A,CSV!K:K,""),
_xlpm.MacVal,_xlfn.XLOOKUP($A927,Output_Mac!$A:$A,Output_Mac!K:K,""),
_xlpm.MyAuditVal,_xlfn.XLOOKUP($A927,My_Audit!$A:$A,My_Audit!J:J,""),
_xlfn.IFS(_xlpm.MyAuditVal&lt;&gt;"",UPPER(_xlpm.MyAuditVal),_xlpm.MacVal&lt;&gt;"",_xlpm.MacVal,_xlpm.CSVVal&lt;&gt;"",_xlpm.CSVVal
)),"")</f>
        <v/>
      </c>
      <c r="L927" s="40" t="str" cm="1">
        <f t="array" ref="L927">IFERROR(_xlfn.LET(
_xlpm.CSVVal,_xlfn.XLOOKUP($A927,CSV!$A:$A,CSV!P:P,""),
_xlpm.MacVal,_xlfn.XLOOKUP($A927,Output_Mac!$A:$A,Output_Mac!L:L,""),
_xlpm.MyAuditVal,_xlfn.XLOOKUP($A927,My_Audit!$A:$A,My_Audit!K:K,""),
_xlfn.IFS(_xlpm.MyAuditVal&lt;&gt;"",UPPER(_xlpm.MyAuditVal),_xlpm.MacVal&lt;&gt;"",_xlpm.MacVal,_xlpm.CSVVal&lt;&gt;"",_xlpm.CSVVal
)),"")</f>
        <v/>
      </c>
      <c r="M927" s="40" t="str" cm="1">
        <f t="array" ref="M927">IFERROR(_xlfn.LET(
_xlpm.CSVVal,_xlfn.XLOOKUP($A927,CSV!$A:$A,CSV!Q:Q,""),
_xlpm.MacVal,_xlfn.XLOOKUP($A927,Output_Mac!$A:$A,Output_Mac!M:M,""),
_xlpm.MyAuditVal,_xlfn.XLOOKUP($A927,My_Audit!$A:$A,My_Audit!L:L,""),
_xlfn.IFS(_xlpm.MyAuditVal&lt;&gt;"",UPPER(_xlpm.MyAuditVal),_xlpm.MacVal&lt;&gt;"",_xlpm.MacVal,_xlpm.CSVVal&lt;&gt;"",_xlpm.CSVVal
)),"")</f>
        <v/>
      </c>
      <c r="N927" s="40"/>
      <c r="O927" s="40" t="str">
        <f>_xlfn.LET(
    _xlpm.CSVVal, _xlfn.XLOOKUP($A927, CSV!$A:$A, CSV!AA:AA, ""),
    _xlpm.MacVal, _xlfn.XLOOKUP($A927, Output_Mac!$A:$A, Output_Mac!S:S, ""),
    _xlpm.MyAuditVal, _xlfn.XLOOKUP($A927, My_Audit!$A:$A, My_Audit!P:P, ""),
    _xlfn.TEXTJOIN(", ", TRUE, _xlpm.MyAuditVal, _xlpm.MacVal, _xlpm.CSVVal)
)</f>
        <v/>
      </c>
      <c r="P927" s="40" t="str" cm="1">
        <f t="array" ref="P927">IFERROR(_xlfn.LET(
_xlpm.CSVVal,_xlfn.XLOOKUP($A927,CSV!$A:$A,CSV!AB:AB,""),
_xlpm.MacVal,_xlfn.XLOOKUP($A927,Output_Mac!$A:$A,Output_Mac!T:T,""),
_xlpm.MyAuditVal,_xlfn.XLOOKUP($A927,My_Audit!$A:$A,My_Audit!Q:Q,""),
_xlfn.IFS(_xlpm.MyAuditVal&lt;&gt;"",UPPER(_xlpm.MyAuditVal),_xlpm.MacVal&lt;&gt;"",_xlpm.MacVal,_xlpm.CSVVal&lt;&gt;"",_xlpm.CSVVal
)),"No")</f>
        <v>No</v>
      </c>
      <c r="Q927" s="40" t="str" cm="1">
        <f t="array" ref="Q927">IFERROR(_xlfn.LET(
_xlpm.CSVVal,_xlfn.XLOOKUP($A927,CSV!$A:$A,CSV!AC:AC,""),
_xlpm.MacVal,_xlfn.XLOOKUP($A927,Output_Mac!$A:$A,Output_Mac!U:U,""),
_xlpm.MyAuditVal,_xlfn.XLOOKUP($A927,My_Audit!$A:$A,My_Audit!R:R,""),
_xlfn.IFS(_xlpm.MyAuditVal&lt;&gt;"",UPPER(_xlpm.MyAuditVal),_xlpm.MacVal&lt;&gt;"",_xlpm.MacVal,_xlpm.CSVVal&lt;&gt;"",_xlpm.CSVVal
)),"")</f>
        <v/>
      </c>
      <c r="R927" s="40"/>
      <c r="S927" s="40"/>
      <c r="T927" s="40"/>
      <c r="U927" s="40"/>
      <c r="V927" s="40"/>
      <c r="W927" s="40"/>
      <c r="X927" s="41" t="str">
        <f>_xlfn.LET(
    _xlpm.MacVal, _xlfn.XLOOKUP($A927, Output_Mac!$A:$A, Output_Mac!AB:AB, ""),
    _xlpm.MyAuditVal, _xlfn.XLOOKUP($A927, My_Audit!$A:$A, My_Audit!N:N, ""),
    _xlfn.TEXTJOIN(", ", TRUE, _xlpm.MyAuditVal, _xlpm.MacVal)
)</f>
        <v/>
      </c>
    </row>
    <row r="928" spans="1:24">
      <c r="A928" s="40" t="str">
        <f>_xlfn.TEXTJOIN("",TRUE,Input!$B$2,ROW(My_Audit!A927))</f>
        <v>X927</v>
      </c>
      <c r="B928" s="40" t="str">
        <f>_xlfn.TEXTJOIN("-",TRUE,"ITD",Input!$A$2,A928)</f>
        <v>ITD-X927</v>
      </c>
      <c r="C928" s="40" t="str" cm="1">
        <f t="array" ref="C928">IFERROR(_xlfn.LET(
_xlpm.CSVVal,_xlfn.XLOOKUP($A928,CSV!$A:$A,CSV!B:B,""),
_xlpm.MacVal,_xlfn.XLOOKUP($A928,Output_Mac!$A:$A,Output_Mac!B:B,""),
_xlpm.MyAuditVal,_xlfn.XLOOKUP($A928,My_Audit!$A:$A,My_Audit!B:B,""),
_xlfn.IFS(_xlpm.MyAuditVal&lt;&gt;"",UPPER(_xlpm.MyAuditVal),_xlpm.MacVal&lt;&gt;"",_xlpm.MacVal,_xlpm.CSVVal&lt;&gt;"",_xlpm.CSVVal
)),"")</f>
        <v/>
      </c>
      <c r="D928" s="40" t="str" cm="1">
        <f t="array" ref="D928">IFERROR(_xlfn.LET(
_xlpm.CSVVal,_xlfn.XLOOKUP($A928,CSV!$A:$A,CSV!D:D,""),
_xlpm.MacVal,_xlfn.XLOOKUP($A928,Output_Mac!$A:$A,Output_Mac!C:C,""),
_xlpm.MyAuditVal,_xlfn.XLOOKUP($A928,My_Audit!$A:$A,My_Audit!C:C,""),
_xlfn.IFS(_xlpm.MyAuditVal&lt;&gt;"",_xlpm.MyAuditVal,_xlpm.MacVal&lt;&gt;"",_xlpm.MacVal,_xlpm.CSVVal&lt;&gt;"",_xlpm.CSVVal
)),"")</f>
        <v/>
      </c>
      <c r="E928" s="40" t="str">
        <f>_xlfn.XLOOKUP(A928,My_Audit!A:A,My_Audit!D:D,"")</f>
        <v/>
      </c>
      <c r="F928" s="40" t="str" cm="1">
        <f t="array" ref="F928">IFERROR(_xlfn.LET(
_xlpm.CSVVal,_xlfn.XLOOKUP($A928,CSV!$A:$A,CSV!F:F,""),
_xlpm.MacVal,_xlfn.XLOOKUP($A928,Output_Mac!$A:$A,Output_Mac!E:E,""),
_xlpm.MyAuditVal,_xlfn.XLOOKUP($A928,My_Audit!$A:$A,My_Audit!E:E,""),
_xlfn.IFS(_xlpm.MyAuditVal&lt;&gt;"",_xlpm.MyAuditVal,_xlpm.MacVal&lt;&gt;"",_xlpm.MacVal,_xlpm.CSVVal&lt;&gt;"",_xlpm.CSVVal
)),"")</f>
        <v/>
      </c>
      <c r="G928" s="40" t="str" cm="1">
        <f t="array" ref="G928">IFERROR(_xlfn.LET(
_xlpm.CSVVal,_xlfn.XLOOKUP($A928,CSV!$A:$A,CSV!G:G,""),
_xlpm.MacVal,_xlfn.XLOOKUP($A928,Output_Mac!$A:$A,Output_Mac!F:F,""),
_xlpm.MyAuditVal,_xlfn.XLOOKUP($A928,My_Audit!$A:$A,My_Audit!F:F,""),
_xlfn.IFS(_xlpm.MyAuditVal&lt;&gt;"",_xlpm.MyAuditVal,_xlpm.MacVal&lt;&gt;"",_xlpm.MacVal,_xlpm.CSVVal&lt;&gt;"",PROPER(_xlpm.CSVVal)
)),"")</f>
        <v/>
      </c>
      <c r="H928" s="40" t="str" cm="1">
        <f t="array" ref="H928">IFERROR(_xlfn.LET(
_xlpm.CSVVal,_xlfn.XLOOKUP($A928,CSV!$A:$A,CSV!H:H,""),
_xlpm.MacVal,_xlfn.XLOOKUP($A928,Output_Mac!$A:$A,Output_Mac!H:H,""),
_xlpm.MyAuditVal,_xlfn.XLOOKUP($A928,My_Audit!$A:$A,My_Audit!G:G,""),
_xlfn.IFS(_xlpm.MyAuditVal&lt;&gt;"",_xlpm.MyAuditVal,_xlpm.MacVal&lt;&gt;"",_xlpm.MacVal,_xlpm.CSVVal&lt;&gt;"",_xlpm.CSVVal
)),"")</f>
        <v/>
      </c>
      <c r="I928" s="40" t="str">
        <f>_xlfn.XLOOKUP(A928,Output_Mac!A:A,Output_Mac!I:I,"")</f>
        <v/>
      </c>
      <c r="J928" s="40" t="str" cm="1">
        <f t="array" ref="J928">IFERROR(_xlfn.LET(
_xlpm.CSVVal,_xlfn.XLOOKUP($A928,CSV!$A:$A,CSV!I:I,""),
_xlpm.MacVal,_xlfn.XLOOKUP($A928,Output_Mac!$A:$A,Output_Mac!J:J,""),
_xlpm.MyAuditVal,_xlfn.XLOOKUP($A928,My_Audit!$A:$A,My_Audit!I:I,""),
_xlfn.IFS(_xlpm.MyAuditVal&lt;&gt;"",UPPER(_xlpm.MyAuditVal),_xlpm.MacVal&lt;&gt;"",_xlpm.MacVal,_xlpm.CSVVal&lt;&gt;"",_xlpm.CSVVal
)),"")</f>
        <v/>
      </c>
      <c r="K928" s="40" t="str" cm="1">
        <f t="array" ref="K928">IFERROR(_xlfn.LET(
_xlpm.CSVVal,_xlfn.XLOOKUP($A928,CSV!$A:$A,CSV!K:K,""),
_xlpm.MacVal,_xlfn.XLOOKUP($A928,Output_Mac!$A:$A,Output_Mac!K:K,""),
_xlpm.MyAuditVal,_xlfn.XLOOKUP($A928,My_Audit!$A:$A,My_Audit!J:J,""),
_xlfn.IFS(_xlpm.MyAuditVal&lt;&gt;"",UPPER(_xlpm.MyAuditVal),_xlpm.MacVal&lt;&gt;"",_xlpm.MacVal,_xlpm.CSVVal&lt;&gt;"",_xlpm.CSVVal
)),"")</f>
        <v/>
      </c>
      <c r="L928" s="40" t="str" cm="1">
        <f t="array" ref="L928">IFERROR(_xlfn.LET(
_xlpm.CSVVal,_xlfn.XLOOKUP($A928,CSV!$A:$A,CSV!P:P,""),
_xlpm.MacVal,_xlfn.XLOOKUP($A928,Output_Mac!$A:$A,Output_Mac!L:L,""),
_xlpm.MyAuditVal,_xlfn.XLOOKUP($A928,My_Audit!$A:$A,My_Audit!K:K,""),
_xlfn.IFS(_xlpm.MyAuditVal&lt;&gt;"",UPPER(_xlpm.MyAuditVal),_xlpm.MacVal&lt;&gt;"",_xlpm.MacVal,_xlpm.CSVVal&lt;&gt;"",_xlpm.CSVVal
)),"")</f>
        <v/>
      </c>
      <c r="M928" s="40" t="str" cm="1">
        <f t="array" ref="M928">IFERROR(_xlfn.LET(
_xlpm.CSVVal,_xlfn.XLOOKUP($A928,CSV!$A:$A,CSV!Q:Q,""),
_xlpm.MacVal,_xlfn.XLOOKUP($A928,Output_Mac!$A:$A,Output_Mac!M:M,""),
_xlpm.MyAuditVal,_xlfn.XLOOKUP($A928,My_Audit!$A:$A,My_Audit!L:L,""),
_xlfn.IFS(_xlpm.MyAuditVal&lt;&gt;"",UPPER(_xlpm.MyAuditVal),_xlpm.MacVal&lt;&gt;"",_xlpm.MacVal,_xlpm.CSVVal&lt;&gt;"",_xlpm.CSVVal
)),"")</f>
        <v/>
      </c>
      <c r="N928" s="40"/>
      <c r="O928" s="40" t="str">
        <f>_xlfn.LET(
    _xlpm.CSVVal, _xlfn.XLOOKUP($A928, CSV!$A:$A, CSV!AA:AA, ""),
    _xlpm.MacVal, _xlfn.XLOOKUP($A928, Output_Mac!$A:$A, Output_Mac!S:S, ""),
    _xlpm.MyAuditVal, _xlfn.XLOOKUP($A928, My_Audit!$A:$A, My_Audit!P:P, ""),
    _xlfn.TEXTJOIN(", ", TRUE, _xlpm.MyAuditVal, _xlpm.MacVal, _xlpm.CSVVal)
)</f>
        <v/>
      </c>
      <c r="P928" s="40" t="str" cm="1">
        <f t="array" ref="P928">IFERROR(_xlfn.LET(
_xlpm.CSVVal,_xlfn.XLOOKUP($A928,CSV!$A:$A,CSV!AB:AB,""),
_xlpm.MacVal,_xlfn.XLOOKUP($A928,Output_Mac!$A:$A,Output_Mac!T:T,""),
_xlpm.MyAuditVal,_xlfn.XLOOKUP($A928,My_Audit!$A:$A,My_Audit!Q:Q,""),
_xlfn.IFS(_xlpm.MyAuditVal&lt;&gt;"",UPPER(_xlpm.MyAuditVal),_xlpm.MacVal&lt;&gt;"",_xlpm.MacVal,_xlpm.CSVVal&lt;&gt;"",_xlpm.CSVVal
)),"No")</f>
        <v>No</v>
      </c>
      <c r="Q928" s="40" t="str" cm="1">
        <f t="array" ref="Q928">IFERROR(_xlfn.LET(
_xlpm.CSVVal,_xlfn.XLOOKUP($A928,CSV!$A:$A,CSV!AC:AC,""),
_xlpm.MacVal,_xlfn.XLOOKUP($A928,Output_Mac!$A:$A,Output_Mac!U:U,""),
_xlpm.MyAuditVal,_xlfn.XLOOKUP($A928,My_Audit!$A:$A,My_Audit!R:R,""),
_xlfn.IFS(_xlpm.MyAuditVal&lt;&gt;"",UPPER(_xlpm.MyAuditVal),_xlpm.MacVal&lt;&gt;"",_xlpm.MacVal,_xlpm.CSVVal&lt;&gt;"",_xlpm.CSVVal
)),"")</f>
        <v/>
      </c>
      <c r="R928" s="40"/>
      <c r="S928" s="40"/>
      <c r="T928" s="40"/>
      <c r="U928" s="40"/>
      <c r="V928" s="40"/>
      <c r="W928" s="40"/>
      <c r="X928" s="41" t="str">
        <f>_xlfn.LET(
    _xlpm.MacVal, _xlfn.XLOOKUP($A928, Output_Mac!$A:$A, Output_Mac!AB:AB, ""),
    _xlpm.MyAuditVal, _xlfn.XLOOKUP($A928, My_Audit!$A:$A, My_Audit!N:N, ""),
    _xlfn.TEXTJOIN(", ", TRUE, _xlpm.MyAuditVal, _xlpm.MacVal)
)</f>
        <v/>
      </c>
    </row>
    <row r="929" spans="1:24">
      <c r="A929" s="40" t="str">
        <f>_xlfn.TEXTJOIN("",TRUE,Input!$B$2,ROW(My_Audit!A928))</f>
        <v>X928</v>
      </c>
      <c r="B929" s="40" t="str">
        <f>_xlfn.TEXTJOIN("-",TRUE,"ITD",Input!$A$2,A929)</f>
        <v>ITD-X928</v>
      </c>
      <c r="C929" s="40" t="str" cm="1">
        <f t="array" ref="C929">IFERROR(_xlfn.LET(
_xlpm.CSVVal,_xlfn.XLOOKUP($A929,CSV!$A:$A,CSV!B:B,""),
_xlpm.MacVal,_xlfn.XLOOKUP($A929,Output_Mac!$A:$A,Output_Mac!B:B,""),
_xlpm.MyAuditVal,_xlfn.XLOOKUP($A929,My_Audit!$A:$A,My_Audit!B:B,""),
_xlfn.IFS(_xlpm.MyAuditVal&lt;&gt;"",UPPER(_xlpm.MyAuditVal),_xlpm.MacVal&lt;&gt;"",_xlpm.MacVal,_xlpm.CSVVal&lt;&gt;"",_xlpm.CSVVal
)),"")</f>
        <v/>
      </c>
      <c r="D929" s="40" t="str" cm="1">
        <f t="array" ref="D929">IFERROR(_xlfn.LET(
_xlpm.CSVVal,_xlfn.XLOOKUP($A929,CSV!$A:$A,CSV!D:D,""),
_xlpm.MacVal,_xlfn.XLOOKUP($A929,Output_Mac!$A:$A,Output_Mac!C:C,""),
_xlpm.MyAuditVal,_xlfn.XLOOKUP($A929,My_Audit!$A:$A,My_Audit!C:C,""),
_xlfn.IFS(_xlpm.MyAuditVal&lt;&gt;"",_xlpm.MyAuditVal,_xlpm.MacVal&lt;&gt;"",_xlpm.MacVal,_xlpm.CSVVal&lt;&gt;"",_xlpm.CSVVal
)),"")</f>
        <v/>
      </c>
      <c r="E929" s="40" t="str">
        <f>_xlfn.XLOOKUP(A929,My_Audit!A:A,My_Audit!D:D,"")</f>
        <v/>
      </c>
      <c r="F929" s="40" t="str" cm="1">
        <f t="array" ref="F929">IFERROR(_xlfn.LET(
_xlpm.CSVVal,_xlfn.XLOOKUP($A929,CSV!$A:$A,CSV!F:F,""),
_xlpm.MacVal,_xlfn.XLOOKUP($A929,Output_Mac!$A:$A,Output_Mac!E:E,""),
_xlpm.MyAuditVal,_xlfn.XLOOKUP($A929,My_Audit!$A:$A,My_Audit!E:E,""),
_xlfn.IFS(_xlpm.MyAuditVal&lt;&gt;"",_xlpm.MyAuditVal,_xlpm.MacVal&lt;&gt;"",_xlpm.MacVal,_xlpm.CSVVal&lt;&gt;"",_xlpm.CSVVal
)),"")</f>
        <v/>
      </c>
      <c r="G929" s="40" t="str" cm="1">
        <f t="array" ref="G929">IFERROR(_xlfn.LET(
_xlpm.CSVVal,_xlfn.XLOOKUP($A929,CSV!$A:$A,CSV!G:G,""),
_xlpm.MacVal,_xlfn.XLOOKUP($A929,Output_Mac!$A:$A,Output_Mac!F:F,""),
_xlpm.MyAuditVal,_xlfn.XLOOKUP($A929,My_Audit!$A:$A,My_Audit!F:F,""),
_xlfn.IFS(_xlpm.MyAuditVal&lt;&gt;"",_xlpm.MyAuditVal,_xlpm.MacVal&lt;&gt;"",_xlpm.MacVal,_xlpm.CSVVal&lt;&gt;"",PROPER(_xlpm.CSVVal)
)),"")</f>
        <v/>
      </c>
      <c r="H929" s="40" t="str" cm="1">
        <f t="array" ref="H929">IFERROR(_xlfn.LET(
_xlpm.CSVVal,_xlfn.XLOOKUP($A929,CSV!$A:$A,CSV!H:H,""),
_xlpm.MacVal,_xlfn.XLOOKUP($A929,Output_Mac!$A:$A,Output_Mac!H:H,""),
_xlpm.MyAuditVal,_xlfn.XLOOKUP($A929,My_Audit!$A:$A,My_Audit!G:G,""),
_xlfn.IFS(_xlpm.MyAuditVal&lt;&gt;"",_xlpm.MyAuditVal,_xlpm.MacVal&lt;&gt;"",_xlpm.MacVal,_xlpm.CSVVal&lt;&gt;"",_xlpm.CSVVal
)),"")</f>
        <v/>
      </c>
      <c r="I929" s="40" t="str">
        <f>_xlfn.XLOOKUP(A929,Output_Mac!A:A,Output_Mac!I:I,"")</f>
        <v/>
      </c>
      <c r="J929" s="40" t="str" cm="1">
        <f t="array" ref="J929">IFERROR(_xlfn.LET(
_xlpm.CSVVal,_xlfn.XLOOKUP($A929,CSV!$A:$A,CSV!I:I,""),
_xlpm.MacVal,_xlfn.XLOOKUP($A929,Output_Mac!$A:$A,Output_Mac!J:J,""),
_xlpm.MyAuditVal,_xlfn.XLOOKUP($A929,My_Audit!$A:$A,My_Audit!I:I,""),
_xlfn.IFS(_xlpm.MyAuditVal&lt;&gt;"",UPPER(_xlpm.MyAuditVal),_xlpm.MacVal&lt;&gt;"",_xlpm.MacVal,_xlpm.CSVVal&lt;&gt;"",_xlpm.CSVVal
)),"")</f>
        <v/>
      </c>
      <c r="K929" s="40" t="str" cm="1">
        <f t="array" ref="K929">IFERROR(_xlfn.LET(
_xlpm.CSVVal,_xlfn.XLOOKUP($A929,CSV!$A:$A,CSV!K:K,""),
_xlpm.MacVal,_xlfn.XLOOKUP($A929,Output_Mac!$A:$A,Output_Mac!K:K,""),
_xlpm.MyAuditVal,_xlfn.XLOOKUP($A929,My_Audit!$A:$A,My_Audit!J:J,""),
_xlfn.IFS(_xlpm.MyAuditVal&lt;&gt;"",UPPER(_xlpm.MyAuditVal),_xlpm.MacVal&lt;&gt;"",_xlpm.MacVal,_xlpm.CSVVal&lt;&gt;"",_xlpm.CSVVal
)),"")</f>
        <v/>
      </c>
      <c r="L929" s="40" t="str" cm="1">
        <f t="array" ref="L929">IFERROR(_xlfn.LET(
_xlpm.CSVVal,_xlfn.XLOOKUP($A929,CSV!$A:$A,CSV!P:P,""),
_xlpm.MacVal,_xlfn.XLOOKUP($A929,Output_Mac!$A:$A,Output_Mac!L:L,""),
_xlpm.MyAuditVal,_xlfn.XLOOKUP($A929,My_Audit!$A:$A,My_Audit!K:K,""),
_xlfn.IFS(_xlpm.MyAuditVal&lt;&gt;"",UPPER(_xlpm.MyAuditVal),_xlpm.MacVal&lt;&gt;"",_xlpm.MacVal,_xlpm.CSVVal&lt;&gt;"",_xlpm.CSVVal
)),"")</f>
        <v/>
      </c>
      <c r="M929" s="40" t="str" cm="1">
        <f t="array" ref="M929">IFERROR(_xlfn.LET(
_xlpm.CSVVal,_xlfn.XLOOKUP($A929,CSV!$A:$A,CSV!Q:Q,""),
_xlpm.MacVal,_xlfn.XLOOKUP($A929,Output_Mac!$A:$A,Output_Mac!M:M,""),
_xlpm.MyAuditVal,_xlfn.XLOOKUP($A929,My_Audit!$A:$A,My_Audit!L:L,""),
_xlfn.IFS(_xlpm.MyAuditVal&lt;&gt;"",UPPER(_xlpm.MyAuditVal),_xlpm.MacVal&lt;&gt;"",_xlpm.MacVal,_xlpm.CSVVal&lt;&gt;"",_xlpm.CSVVal
)),"")</f>
        <v/>
      </c>
      <c r="N929" s="40"/>
      <c r="O929" s="40" t="str">
        <f>_xlfn.LET(
    _xlpm.CSVVal, _xlfn.XLOOKUP($A929, CSV!$A:$A, CSV!AA:AA, ""),
    _xlpm.MacVal, _xlfn.XLOOKUP($A929, Output_Mac!$A:$A, Output_Mac!S:S, ""),
    _xlpm.MyAuditVal, _xlfn.XLOOKUP($A929, My_Audit!$A:$A, My_Audit!P:P, ""),
    _xlfn.TEXTJOIN(", ", TRUE, _xlpm.MyAuditVal, _xlpm.MacVal, _xlpm.CSVVal)
)</f>
        <v/>
      </c>
      <c r="P929" s="40" t="str" cm="1">
        <f t="array" ref="P929">IFERROR(_xlfn.LET(
_xlpm.CSVVal,_xlfn.XLOOKUP($A929,CSV!$A:$A,CSV!AB:AB,""),
_xlpm.MacVal,_xlfn.XLOOKUP($A929,Output_Mac!$A:$A,Output_Mac!T:T,""),
_xlpm.MyAuditVal,_xlfn.XLOOKUP($A929,My_Audit!$A:$A,My_Audit!Q:Q,""),
_xlfn.IFS(_xlpm.MyAuditVal&lt;&gt;"",UPPER(_xlpm.MyAuditVal),_xlpm.MacVal&lt;&gt;"",_xlpm.MacVal,_xlpm.CSVVal&lt;&gt;"",_xlpm.CSVVal
)),"No")</f>
        <v>No</v>
      </c>
      <c r="Q929" s="40" t="str" cm="1">
        <f t="array" ref="Q929">IFERROR(_xlfn.LET(
_xlpm.CSVVal,_xlfn.XLOOKUP($A929,CSV!$A:$A,CSV!AC:AC,""),
_xlpm.MacVal,_xlfn.XLOOKUP($A929,Output_Mac!$A:$A,Output_Mac!U:U,""),
_xlpm.MyAuditVal,_xlfn.XLOOKUP($A929,My_Audit!$A:$A,My_Audit!R:R,""),
_xlfn.IFS(_xlpm.MyAuditVal&lt;&gt;"",UPPER(_xlpm.MyAuditVal),_xlpm.MacVal&lt;&gt;"",_xlpm.MacVal,_xlpm.CSVVal&lt;&gt;"",_xlpm.CSVVal
)),"")</f>
        <v/>
      </c>
      <c r="R929" s="40"/>
      <c r="S929" s="40"/>
      <c r="T929" s="40"/>
      <c r="U929" s="40"/>
      <c r="V929" s="40"/>
      <c r="W929" s="40"/>
      <c r="X929" s="41" t="str">
        <f>_xlfn.LET(
    _xlpm.MacVal, _xlfn.XLOOKUP($A929, Output_Mac!$A:$A, Output_Mac!AB:AB, ""),
    _xlpm.MyAuditVal, _xlfn.XLOOKUP($A929, My_Audit!$A:$A, My_Audit!N:N, ""),
    _xlfn.TEXTJOIN(", ", TRUE, _xlpm.MyAuditVal, _xlpm.MacVal)
)</f>
        <v/>
      </c>
    </row>
    <row r="930" spans="1:24">
      <c r="A930" s="40" t="str">
        <f>_xlfn.TEXTJOIN("",TRUE,Input!$B$2,ROW(My_Audit!A929))</f>
        <v>X929</v>
      </c>
      <c r="B930" s="40" t="str">
        <f>_xlfn.TEXTJOIN("-",TRUE,"ITD",Input!$A$2,A930)</f>
        <v>ITD-X929</v>
      </c>
      <c r="C930" s="40" t="str" cm="1">
        <f t="array" ref="C930">IFERROR(_xlfn.LET(
_xlpm.CSVVal,_xlfn.XLOOKUP($A930,CSV!$A:$A,CSV!B:B,""),
_xlpm.MacVal,_xlfn.XLOOKUP($A930,Output_Mac!$A:$A,Output_Mac!B:B,""),
_xlpm.MyAuditVal,_xlfn.XLOOKUP($A930,My_Audit!$A:$A,My_Audit!B:B,""),
_xlfn.IFS(_xlpm.MyAuditVal&lt;&gt;"",UPPER(_xlpm.MyAuditVal),_xlpm.MacVal&lt;&gt;"",_xlpm.MacVal,_xlpm.CSVVal&lt;&gt;"",_xlpm.CSVVal
)),"")</f>
        <v/>
      </c>
      <c r="D930" s="40" t="str" cm="1">
        <f t="array" ref="D930">IFERROR(_xlfn.LET(
_xlpm.CSVVal,_xlfn.XLOOKUP($A930,CSV!$A:$A,CSV!D:D,""),
_xlpm.MacVal,_xlfn.XLOOKUP($A930,Output_Mac!$A:$A,Output_Mac!C:C,""),
_xlpm.MyAuditVal,_xlfn.XLOOKUP($A930,My_Audit!$A:$A,My_Audit!C:C,""),
_xlfn.IFS(_xlpm.MyAuditVal&lt;&gt;"",_xlpm.MyAuditVal,_xlpm.MacVal&lt;&gt;"",_xlpm.MacVal,_xlpm.CSVVal&lt;&gt;"",_xlpm.CSVVal
)),"")</f>
        <v/>
      </c>
      <c r="E930" s="40" t="str">
        <f>_xlfn.XLOOKUP(A930,My_Audit!A:A,My_Audit!D:D,"")</f>
        <v/>
      </c>
      <c r="F930" s="40" t="str" cm="1">
        <f t="array" ref="F930">IFERROR(_xlfn.LET(
_xlpm.CSVVal,_xlfn.XLOOKUP($A930,CSV!$A:$A,CSV!F:F,""),
_xlpm.MacVal,_xlfn.XLOOKUP($A930,Output_Mac!$A:$A,Output_Mac!E:E,""),
_xlpm.MyAuditVal,_xlfn.XLOOKUP($A930,My_Audit!$A:$A,My_Audit!E:E,""),
_xlfn.IFS(_xlpm.MyAuditVal&lt;&gt;"",_xlpm.MyAuditVal,_xlpm.MacVal&lt;&gt;"",_xlpm.MacVal,_xlpm.CSVVal&lt;&gt;"",_xlpm.CSVVal
)),"")</f>
        <v/>
      </c>
      <c r="G930" s="40" t="str" cm="1">
        <f t="array" ref="G930">IFERROR(_xlfn.LET(
_xlpm.CSVVal,_xlfn.XLOOKUP($A930,CSV!$A:$A,CSV!G:G,""),
_xlpm.MacVal,_xlfn.XLOOKUP($A930,Output_Mac!$A:$A,Output_Mac!F:F,""),
_xlpm.MyAuditVal,_xlfn.XLOOKUP($A930,My_Audit!$A:$A,My_Audit!F:F,""),
_xlfn.IFS(_xlpm.MyAuditVal&lt;&gt;"",_xlpm.MyAuditVal,_xlpm.MacVal&lt;&gt;"",_xlpm.MacVal,_xlpm.CSVVal&lt;&gt;"",PROPER(_xlpm.CSVVal)
)),"")</f>
        <v/>
      </c>
      <c r="H930" s="40" t="str" cm="1">
        <f t="array" ref="H930">IFERROR(_xlfn.LET(
_xlpm.CSVVal,_xlfn.XLOOKUP($A930,CSV!$A:$A,CSV!H:H,""),
_xlpm.MacVal,_xlfn.XLOOKUP($A930,Output_Mac!$A:$A,Output_Mac!H:H,""),
_xlpm.MyAuditVal,_xlfn.XLOOKUP($A930,My_Audit!$A:$A,My_Audit!G:G,""),
_xlfn.IFS(_xlpm.MyAuditVal&lt;&gt;"",_xlpm.MyAuditVal,_xlpm.MacVal&lt;&gt;"",_xlpm.MacVal,_xlpm.CSVVal&lt;&gt;"",_xlpm.CSVVal
)),"")</f>
        <v/>
      </c>
      <c r="I930" s="40" t="str">
        <f>_xlfn.XLOOKUP(A930,Output_Mac!A:A,Output_Mac!I:I,"")</f>
        <v/>
      </c>
      <c r="J930" s="40" t="str" cm="1">
        <f t="array" ref="J930">IFERROR(_xlfn.LET(
_xlpm.CSVVal,_xlfn.XLOOKUP($A930,CSV!$A:$A,CSV!I:I,""),
_xlpm.MacVal,_xlfn.XLOOKUP($A930,Output_Mac!$A:$A,Output_Mac!J:J,""),
_xlpm.MyAuditVal,_xlfn.XLOOKUP($A930,My_Audit!$A:$A,My_Audit!I:I,""),
_xlfn.IFS(_xlpm.MyAuditVal&lt;&gt;"",UPPER(_xlpm.MyAuditVal),_xlpm.MacVal&lt;&gt;"",_xlpm.MacVal,_xlpm.CSVVal&lt;&gt;"",_xlpm.CSVVal
)),"")</f>
        <v/>
      </c>
      <c r="K930" s="40" t="str" cm="1">
        <f t="array" ref="K930">IFERROR(_xlfn.LET(
_xlpm.CSVVal,_xlfn.XLOOKUP($A930,CSV!$A:$A,CSV!K:K,""),
_xlpm.MacVal,_xlfn.XLOOKUP($A930,Output_Mac!$A:$A,Output_Mac!K:K,""),
_xlpm.MyAuditVal,_xlfn.XLOOKUP($A930,My_Audit!$A:$A,My_Audit!J:J,""),
_xlfn.IFS(_xlpm.MyAuditVal&lt;&gt;"",UPPER(_xlpm.MyAuditVal),_xlpm.MacVal&lt;&gt;"",_xlpm.MacVal,_xlpm.CSVVal&lt;&gt;"",_xlpm.CSVVal
)),"")</f>
        <v/>
      </c>
      <c r="L930" s="40" t="str" cm="1">
        <f t="array" ref="L930">IFERROR(_xlfn.LET(
_xlpm.CSVVal,_xlfn.XLOOKUP($A930,CSV!$A:$A,CSV!P:P,""),
_xlpm.MacVal,_xlfn.XLOOKUP($A930,Output_Mac!$A:$A,Output_Mac!L:L,""),
_xlpm.MyAuditVal,_xlfn.XLOOKUP($A930,My_Audit!$A:$A,My_Audit!K:K,""),
_xlfn.IFS(_xlpm.MyAuditVal&lt;&gt;"",UPPER(_xlpm.MyAuditVal),_xlpm.MacVal&lt;&gt;"",_xlpm.MacVal,_xlpm.CSVVal&lt;&gt;"",_xlpm.CSVVal
)),"")</f>
        <v/>
      </c>
      <c r="M930" s="40" t="str" cm="1">
        <f t="array" ref="M930">IFERROR(_xlfn.LET(
_xlpm.CSVVal,_xlfn.XLOOKUP($A930,CSV!$A:$A,CSV!Q:Q,""),
_xlpm.MacVal,_xlfn.XLOOKUP($A930,Output_Mac!$A:$A,Output_Mac!M:M,""),
_xlpm.MyAuditVal,_xlfn.XLOOKUP($A930,My_Audit!$A:$A,My_Audit!L:L,""),
_xlfn.IFS(_xlpm.MyAuditVal&lt;&gt;"",UPPER(_xlpm.MyAuditVal),_xlpm.MacVal&lt;&gt;"",_xlpm.MacVal,_xlpm.CSVVal&lt;&gt;"",_xlpm.CSVVal
)),"")</f>
        <v/>
      </c>
      <c r="N930" s="40"/>
      <c r="O930" s="40" t="str">
        <f>_xlfn.LET(
    _xlpm.CSVVal, _xlfn.XLOOKUP($A930, CSV!$A:$A, CSV!AA:AA, ""),
    _xlpm.MacVal, _xlfn.XLOOKUP($A930, Output_Mac!$A:$A, Output_Mac!S:S, ""),
    _xlpm.MyAuditVal, _xlfn.XLOOKUP($A930, My_Audit!$A:$A, My_Audit!P:P, ""),
    _xlfn.TEXTJOIN(", ", TRUE, _xlpm.MyAuditVal, _xlpm.MacVal, _xlpm.CSVVal)
)</f>
        <v/>
      </c>
      <c r="P930" s="40" t="str" cm="1">
        <f t="array" ref="P930">IFERROR(_xlfn.LET(
_xlpm.CSVVal,_xlfn.XLOOKUP($A930,CSV!$A:$A,CSV!AB:AB,""),
_xlpm.MacVal,_xlfn.XLOOKUP($A930,Output_Mac!$A:$A,Output_Mac!T:T,""),
_xlpm.MyAuditVal,_xlfn.XLOOKUP($A930,My_Audit!$A:$A,My_Audit!Q:Q,""),
_xlfn.IFS(_xlpm.MyAuditVal&lt;&gt;"",UPPER(_xlpm.MyAuditVal),_xlpm.MacVal&lt;&gt;"",_xlpm.MacVal,_xlpm.CSVVal&lt;&gt;"",_xlpm.CSVVal
)),"No")</f>
        <v>No</v>
      </c>
      <c r="Q930" s="40" t="str" cm="1">
        <f t="array" ref="Q930">IFERROR(_xlfn.LET(
_xlpm.CSVVal,_xlfn.XLOOKUP($A930,CSV!$A:$A,CSV!AC:AC,""),
_xlpm.MacVal,_xlfn.XLOOKUP($A930,Output_Mac!$A:$A,Output_Mac!U:U,""),
_xlpm.MyAuditVal,_xlfn.XLOOKUP($A930,My_Audit!$A:$A,My_Audit!R:R,""),
_xlfn.IFS(_xlpm.MyAuditVal&lt;&gt;"",UPPER(_xlpm.MyAuditVal),_xlpm.MacVal&lt;&gt;"",_xlpm.MacVal,_xlpm.CSVVal&lt;&gt;"",_xlpm.CSVVal
)),"")</f>
        <v/>
      </c>
      <c r="R930" s="40"/>
      <c r="S930" s="40"/>
      <c r="T930" s="40"/>
      <c r="U930" s="40"/>
      <c r="V930" s="40"/>
      <c r="W930" s="40"/>
      <c r="X930" s="41" t="str">
        <f>_xlfn.LET(
    _xlpm.MacVal, _xlfn.XLOOKUP($A930, Output_Mac!$A:$A, Output_Mac!AB:AB, ""),
    _xlpm.MyAuditVal, _xlfn.XLOOKUP($A930, My_Audit!$A:$A, My_Audit!N:N, ""),
    _xlfn.TEXTJOIN(", ", TRUE, _xlpm.MyAuditVal, _xlpm.MacVal)
)</f>
        <v/>
      </c>
    </row>
    <row r="931" spans="1:24">
      <c r="A931" s="40" t="str">
        <f>_xlfn.TEXTJOIN("",TRUE,Input!$B$2,ROW(My_Audit!A930))</f>
        <v>X930</v>
      </c>
      <c r="B931" s="40" t="str">
        <f>_xlfn.TEXTJOIN("-",TRUE,"ITD",Input!$A$2,A931)</f>
        <v>ITD-X930</v>
      </c>
      <c r="C931" s="40" t="str" cm="1">
        <f t="array" ref="C931">IFERROR(_xlfn.LET(
_xlpm.CSVVal,_xlfn.XLOOKUP($A931,CSV!$A:$A,CSV!B:B,""),
_xlpm.MacVal,_xlfn.XLOOKUP($A931,Output_Mac!$A:$A,Output_Mac!B:B,""),
_xlpm.MyAuditVal,_xlfn.XLOOKUP($A931,My_Audit!$A:$A,My_Audit!B:B,""),
_xlfn.IFS(_xlpm.MyAuditVal&lt;&gt;"",UPPER(_xlpm.MyAuditVal),_xlpm.MacVal&lt;&gt;"",_xlpm.MacVal,_xlpm.CSVVal&lt;&gt;"",_xlpm.CSVVal
)),"")</f>
        <v/>
      </c>
      <c r="D931" s="40" t="str" cm="1">
        <f t="array" ref="D931">IFERROR(_xlfn.LET(
_xlpm.CSVVal,_xlfn.XLOOKUP($A931,CSV!$A:$A,CSV!D:D,""),
_xlpm.MacVal,_xlfn.XLOOKUP($A931,Output_Mac!$A:$A,Output_Mac!C:C,""),
_xlpm.MyAuditVal,_xlfn.XLOOKUP($A931,My_Audit!$A:$A,My_Audit!C:C,""),
_xlfn.IFS(_xlpm.MyAuditVal&lt;&gt;"",_xlpm.MyAuditVal,_xlpm.MacVal&lt;&gt;"",_xlpm.MacVal,_xlpm.CSVVal&lt;&gt;"",_xlpm.CSVVal
)),"")</f>
        <v/>
      </c>
      <c r="E931" s="40" t="str">
        <f>_xlfn.XLOOKUP(A931,My_Audit!A:A,My_Audit!D:D,"")</f>
        <v/>
      </c>
      <c r="F931" s="40" t="str" cm="1">
        <f t="array" ref="F931">IFERROR(_xlfn.LET(
_xlpm.CSVVal,_xlfn.XLOOKUP($A931,CSV!$A:$A,CSV!F:F,""),
_xlpm.MacVal,_xlfn.XLOOKUP($A931,Output_Mac!$A:$A,Output_Mac!E:E,""),
_xlpm.MyAuditVal,_xlfn.XLOOKUP($A931,My_Audit!$A:$A,My_Audit!E:E,""),
_xlfn.IFS(_xlpm.MyAuditVal&lt;&gt;"",_xlpm.MyAuditVal,_xlpm.MacVal&lt;&gt;"",_xlpm.MacVal,_xlpm.CSVVal&lt;&gt;"",_xlpm.CSVVal
)),"")</f>
        <v/>
      </c>
      <c r="G931" s="40" t="str" cm="1">
        <f t="array" ref="G931">IFERROR(_xlfn.LET(
_xlpm.CSVVal,_xlfn.XLOOKUP($A931,CSV!$A:$A,CSV!G:G,""),
_xlpm.MacVal,_xlfn.XLOOKUP($A931,Output_Mac!$A:$A,Output_Mac!F:F,""),
_xlpm.MyAuditVal,_xlfn.XLOOKUP($A931,My_Audit!$A:$A,My_Audit!F:F,""),
_xlfn.IFS(_xlpm.MyAuditVal&lt;&gt;"",_xlpm.MyAuditVal,_xlpm.MacVal&lt;&gt;"",_xlpm.MacVal,_xlpm.CSVVal&lt;&gt;"",PROPER(_xlpm.CSVVal)
)),"")</f>
        <v/>
      </c>
      <c r="H931" s="40" t="str" cm="1">
        <f t="array" ref="H931">IFERROR(_xlfn.LET(
_xlpm.CSVVal,_xlfn.XLOOKUP($A931,CSV!$A:$A,CSV!H:H,""),
_xlpm.MacVal,_xlfn.XLOOKUP($A931,Output_Mac!$A:$A,Output_Mac!H:H,""),
_xlpm.MyAuditVal,_xlfn.XLOOKUP($A931,My_Audit!$A:$A,My_Audit!G:G,""),
_xlfn.IFS(_xlpm.MyAuditVal&lt;&gt;"",_xlpm.MyAuditVal,_xlpm.MacVal&lt;&gt;"",_xlpm.MacVal,_xlpm.CSVVal&lt;&gt;"",_xlpm.CSVVal
)),"")</f>
        <v/>
      </c>
      <c r="I931" s="40" t="str">
        <f>_xlfn.XLOOKUP(A931,Output_Mac!A:A,Output_Mac!I:I,"")</f>
        <v/>
      </c>
      <c r="J931" s="40" t="str" cm="1">
        <f t="array" ref="J931">IFERROR(_xlfn.LET(
_xlpm.CSVVal,_xlfn.XLOOKUP($A931,CSV!$A:$A,CSV!I:I,""),
_xlpm.MacVal,_xlfn.XLOOKUP($A931,Output_Mac!$A:$A,Output_Mac!J:J,""),
_xlpm.MyAuditVal,_xlfn.XLOOKUP($A931,My_Audit!$A:$A,My_Audit!I:I,""),
_xlfn.IFS(_xlpm.MyAuditVal&lt;&gt;"",UPPER(_xlpm.MyAuditVal),_xlpm.MacVal&lt;&gt;"",_xlpm.MacVal,_xlpm.CSVVal&lt;&gt;"",_xlpm.CSVVal
)),"")</f>
        <v/>
      </c>
      <c r="K931" s="40" t="str" cm="1">
        <f t="array" ref="K931">IFERROR(_xlfn.LET(
_xlpm.CSVVal,_xlfn.XLOOKUP($A931,CSV!$A:$A,CSV!K:K,""),
_xlpm.MacVal,_xlfn.XLOOKUP($A931,Output_Mac!$A:$A,Output_Mac!K:K,""),
_xlpm.MyAuditVal,_xlfn.XLOOKUP($A931,My_Audit!$A:$A,My_Audit!J:J,""),
_xlfn.IFS(_xlpm.MyAuditVal&lt;&gt;"",UPPER(_xlpm.MyAuditVal),_xlpm.MacVal&lt;&gt;"",_xlpm.MacVal,_xlpm.CSVVal&lt;&gt;"",_xlpm.CSVVal
)),"")</f>
        <v/>
      </c>
      <c r="L931" s="40" t="str" cm="1">
        <f t="array" ref="L931">IFERROR(_xlfn.LET(
_xlpm.CSVVal,_xlfn.XLOOKUP($A931,CSV!$A:$A,CSV!P:P,""),
_xlpm.MacVal,_xlfn.XLOOKUP($A931,Output_Mac!$A:$A,Output_Mac!L:L,""),
_xlpm.MyAuditVal,_xlfn.XLOOKUP($A931,My_Audit!$A:$A,My_Audit!K:K,""),
_xlfn.IFS(_xlpm.MyAuditVal&lt;&gt;"",UPPER(_xlpm.MyAuditVal),_xlpm.MacVal&lt;&gt;"",_xlpm.MacVal,_xlpm.CSVVal&lt;&gt;"",_xlpm.CSVVal
)),"")</f>
        <v/>
      </c>
      <c r="M931" s="40" t="str" cm="1">
        <f t="array" ref="M931">IFERROR(_xlfn.LET(
_xlpm.CSVVal,_xlfn.XLOOKUP($A931,CSV!$A:$A,CSV!Q:Q,""),
_xlpm.MacVal,_xlfn.XLOOKUP($A931,Output_Mac!$A:$A,Output_Mac!M:M,""),
_xlpm.MyAuditVal,_xlfn.XLOOKUP($A931,My_Audit!$A:$A,My_Audit!L:L,""),
_xlfn.IFS(_xlpm.MyAuditVal&lt;&gt;"",UPPER(_xlpm.MyAuditVal),_xlpm.MacVal&lt;&gt;"",_xlpm.MacVal,_xlpm.CSVVal&lt;&gt;"",_xlpm.CSVVal
)),"")</f>
        <v/>
      </c>
      <c r="N931" s="40"/>
      <c r="O931" s="40" t="str">
        <f>_xlfn.LET(
    _xlpm.CSVVal, _xlfn.XLOOKUP($A931, CSV!$A:$A, CSV!AA:AA, ""),
    _xlpm.MacVal, _xlfn.XLOOKUP($A931, Output_Mac!$A:$A, Output_Mac!S:S, ""),
    _xlpm.MyAuditVal, _xlfn.XLOOKUP($A931, My_Audit!$A:$A, My_Audit!P:P, ""),
    _xlfn.TEXTJOIN(", ", TRUE, _xlpm.MyAuditVal, _xlpm.MacVal, _xlpm.CSVVal)
)</f>
        <v/>
      </c>
      <c r="P931" s="40" t="str" cm="1">
        <f t="array" ref="P931">IFERROR(_xlfn.LET(
_xlpm.CSVVal,_xlfn.XLOOKUP($A931,CSV!$A:$A,CSV!AB:AB,""),
_xlpm.MacVal,_xlfn.XLOOKUP($A931,Output_Mac!$A:$A,Output_Mac!T:T,""),
_xlpm.MyAuditVal,_xlfn.XLOOKUP($A931,My_Audit!$A:$A,My_Audit!Q:Q,""),
_xlfn.IFS(_xlpm.MyAuditVal&lt;&gt;"",UPPER(_xlpm.MyAuditVal),_xlpm.MacVal&lt;&gt;"",_xlpm.MacVal,_xlpm.CSVVal&lt;&gt;"",_xlpm.CSVVal
)),"No")</f>
        <v>No</v>
      </c>
      <c r="Q931" s="40" t="str" cm="1">
        <f t="array" ref="Q931">IFERROR(_xlfn.LET(
_xlpm.CSVVal,_xlfn.XLOOKUP($A931,CSV!$A:$A,CSV!AC:AC,""),
_xlpm.MacVal,_xlfn.XLOOKUP($A931,Output_Mac!$A:$A,Output_Mac!U:U,""),
_xlpm.MyAuditVal,_xlfn.XLOOKUP($A931,My_Audit!$A:$A,My_Audit!R:R,""),
_xlfn.IFS(_xlpm.MyAuditVal&lt;&gt;"",UPPER(_xlpm.MyAuditVal),_xlpm.MacVal&lt;&gt;"",_xlpm.MacVal,_xlpm.CSVVal&lt;&gt;"",_xlpm.CSVVal
)),"")</f>
        <v/>
      </c>
      <c r="R931" s="40"/>
      <c r="S931" s="40"/>
      <c r="T931" s="40"/>
      <c r="U931" s="40"/>
      <c r="V931" s="40"/>
      <c r="W931" s="40"/>
      <c r="X931" s="41" t="str">
        <f>_xlfn.LET(
    _xlpm.MacVal, _xlfn.XLOOKUP($A931, Output_Mac!$A:$A, Output_Mac!AB:AB, ""),
    _xlpm.MyAuditVal, _xlfn.XLOOKUP($A931, My_Audit!$A:$A, My_Audit!N:N, ""),
    _xlfn.TEXTJOIN(", ", TRUE, _xlpm.MyAuditVal, _xlpm.MacVal)
)</f>
        <v/>
      </c>
    </row>
    <row r="932" spans="1:24">
      <c r="A932" s="40" t="str">
        <f>_xlfn.TEXTJOIN("",TRUE,Input!$B$2,ROW(My_Audit!A931))</f>
        <v>X931</v>
      </c>
      <c r="B932" s="40" t="str">
        <f>_xlfn.TEXTJOIN("-",TRUE,"ITD",Input!$A$2,A932)</f>
        <v>ITD-X931</v>
      </c>
      <c r="C932" s="40" t="str" cm="1">
        <f t="array" ref="C932">IFERROR(_xlfn.LET(
_xlpm.CSVVal,_xlfn.XLOOKUP($A932,CSV!$A:$A,CSV!B:B,""),
_xlpm.MacVal,_xlfn.XLOOKUP($A932,Output_Mac!$A:$A,Output_Mac!B:B,""),
_xlpm.MyAuditVal,_xlfn.XLOOKUP($A932,My_Audit!$A:$A,My_Audit!B:B,""),
_xlfn.IFS(_xlpm.MyAuditVal&lt;&gt;"",UPPER(_xlpm.MyAuditVal),_xlpm.MacVal&lt;&gt;"",_xlpm.MacVal,_xlpm.CSVVal&lt;&gt;"",_xlpm.CSVVal
)),"")</f>
        <v/>
      </c>
      <c r="D932" s="40" t="str" cm="1">
        <f t="array" ref="D932">IFERROR(_xlfn.LET(
_xlpm.CSVVal,_xlfn.XLOOKUP($A932,CSV!$A:$A,CSV!D:D,""),
_xlpm.MacVal,_xlfn.XLOOKUP($A932,Output_Mac!$A:$A,Output_Mac!C:C,""),
_xlpm.MyAuditVal,_xlfn.XLOOKUP($A932,My_Audit!$A:$A,My_Audit!C:C,""),
_xlfn.IFS(_xlpm.MyAuditVal&lt;&gt;"",_xlpm.MyAuditVal,_xlpm.MacVal&lt;&gt;"",_xlpm.MacVal,_xlpm.CSVVal&lt;&gt;"",_xlpm.CSVVal
)),"")</f>
        <v/>
      </c>
      <c r="E932" s="40" t="str">
        <f>_xlfn.XLOOKUP(A932,My_Audit!A:A,My_Audit!D:D,"")</f>
        <v/>
      </c>
      <c r="F932" s="40" t="str" cm="1">
        <f t="array" ref="F932">IFERROR(_xlfn.LET(
_xlpm.CSVVal,_xlfn.XLOOKUP($A932,CSV!$A:$A,CSV!F:F,""),
_xlpm.MacVal,_xlfn.XLOOKUP($A932,Output_Mac!$A:$A,Output_Mac!E:E,""),
_xlpm.MyAuditVal,_xlfn.XLOOKUP($A932,My_Audit!$A:$A,My_Audit!E:E,""),
_xlfn.IFS(_xlpm.MyAuditVal&lt;&gt;"",_xlpm.MyAuditVal,_xlpm.MacVal&lt;&gt;"",_xlpm.MacVal,_xlpm.CSVVal&lt;&gt;"",_xlpm.CSVVal
)),"")</f>
        <v/>
      </c>
      <c r="G932" s="40" t="str" cm="1">
        <f t="array" ref="G932">IFERROR(_xlfn.LET(
_xlpm.CSVVal,_xlfn.XLOOKUP($A932,CSV!$A:$A,CSV!G:G,""),
_xlpm.MacVal,_xlfn.XLOOKUP($A932,Output_Mac!$A:$A,Output_Mac!F:F,""),
_xlpm.MyAuditVal,_xlfn.XLOOKUP($A932,My_Audit!$A:$A,My_Audit!F:F,""),
_xlfn.IFS(_xlpm.MyAuditVal&lt;&gt;"",_xlpm.MyAuditVal,_xlpm.MacVal&lt;&gt;"",_xlpm.MacVal,_xlpm.CSVVal&lt;&gt;"",PROPER(_xlpm.CSVVal)
)),"")</f>
        <v/>
      </c>
      <c r="H932" s="40" t="str" cm="1">
        <f t="array" ref="H932">IFERROR(_xlfn.LET(
_xlpm.CSVVal,_xlfn.XLOOKUP($A932,CSV!$A:$A,CSV!H:H,""),
_xlpm.MacVal,_xlfn.XLOOKUP($A932,Output_Mac!$A:$A,Output_Mac!H:H,""),
_xlpm.MyAuditVal,_xlfn.XLOOKUP($A932,My_Audit!$A:$A,My_Audit!G:G,""),
_xlfn.IFS(_xlpm.MyAuditVal&lt;&gt;"",_xlpm.MyAuditVal,_xlpm.MacVal&lt;&gt;"",_xlpm.MacVal,_xlpm.CSVVal&lt;&gt;"",_xlpm.CSVVal
)),"")</f>
        <v/>
      </c>
      <c r="I932" s="40" t="str">
        <f>_xlfn.XLOOKUP(A932,Output_Mac!A:A,Output_Mac!I:I,"")</f>
        <v/>
      </c>
      <c r="J932" s="40" t="str" cm="1">
        <f t="array" ref="J932">IFERROR(_xlfn.LET(
_xlpm.CSVVal,_xlfn.XLOOKUP($A932,CSV!$A:$A,CSV!I:I,""),
_xlpm.MacVal,_xlfn.XLOOKUP($A932,Output_Mac!$A:$A,Output_Mac!J:J,""),
_xlpm.MyAuditVal,_xlfn.XLOOKUP($A932,My_Audit!$A:$A,My_Audit!I:I,""),
_xlfn.IFS(_xlpm.MyAuditVal&lt;&gt;"",UPPER(_xlpm.MyAuditVal),_xlpm.MacVal&lt;&gt;"",_xlpm.MacVal,_xlpm.CSVVal&lt;&gt;"",_xlpm.CSVVal
)),"")</f>
        <v/>
      </c>
      <c r="K932" s="40" t="str" cm="1">
        <f t="array" ref="K932">IFERROR(_xlfn.LET(
_xlpm.CSVVal,_xlfn.XLOOKUP($A932,CSV!$A:$A,CSV!K:K,""),
_xlpm.MacVal,_xlfn.XLOOKUP($A932,Output_Mac!$A:$A,Output_Mac!K:K,""),
_xlpm.MyAuditVal,_xlfn.XLOOKUP($A932,My_Audit!$A:$A,My_Audit!J:J,""),
_xlfn.IFS(_xlpm.MyAuditVal&lt;&gt;"",UPPER(_xlpm.MyAuditVal),_xlpm.MacVal&lt;&gt;"",_xlpm.MacVal,_xlpm.CSVVal&lt;&gt;"",_xlpm.CSVVal
)),"")</f>
        <v/>
      </c>
      <c r="L932" s="40" t="str" cm="1">
        <f t="array" ref="L932">IFERROR(_xlfn.LET(
_xlpm.CSVVal,_xlfn.XLOOKUP($A932,CSV!$A:$A,CSV!P:P,""),
_xlpm.MacVal,_xlfn.XLOOKUP($A932,Output_Mac!$A:$A,Output_Mac!L:L,""),
_xlpm.MyAuditVal,_xlfn.XLOOKUP($A932,My_Audit!$A:$A,My_Audit!K:K,""),
_xlfn.IFS(_xlpm.MyAuditVal&lt;&gt;"",UPPER(_xlpm.MyAuditVal),_xlpm.MacVal&lt;&gt;"",_xlpm.MacVal,_xlpm.CSVVal&lt;&gt;"",_xlpm.CSVVal
)),"")</f>
        <v/>
      </c>
      <c r="M932" s="40" t="str" cm="1">
        <f t="array" ref="M932">IFERROR(_xlfn.LET(
_xlpm.CSVVal,_xlfn.XLOOKUP($A932,CSV!$A:$A,CSV!Q:Q,""),
_xlpm.MacVal,_xlfn.XLOOKUP($A932,Output_Mac!$A:$A,Output_Mac!M:M,""),
_xlpm.MyAuditVal,_xlfn.XLOOKUP($A932,My_Audit!$A:$A,My_Audit!L:L,""),
_xlfn.IFS(_xlpm.MyAuditVal&lt;&gt;"",UPPER(_xlpm.MyAuditVal),_xlpm.MacVal&lt;&gt;"",_xlpm.MacVal,_xlpm.CSVVal&lt;&gt;"",_xlpm.CSVVal
)),"")</f>
        <v/>
      </c>
      <c r="N932" s="40"/>
      <c r="O932" s="40" t="str">
        <f>_xlfn.LET(
    _xlpm.CSVVal, _xlfn.XLOOKUP($A932, CSV!$A:$A, CSV!AA:AA, ""),
    _xlpm.MacVal, _xlfn.XLOOKUP($A932, Output_Mac!$A:$A, Output_Mac!S:S, ""),
    _xlpm.MyAuditVal, _xlfn.XLOOKUP($A932, My_Audit!$A:$A, My_Audit!P:P, ""),
    _xlfn.TEXTJOIN(", ", TRUE, _xlpm.MyAuditVal, _xlpm.MacVal, _xlpm.CSVVal)
)</f>
        <v/>
      </c>
      <c r="P932" s="40" t="str" cm="1">
        <f t="array" ref="P932">IFERROR(_xlfn.LET(
_xlpm.CSVVal,_xlfn.XLOOKUP($A932,CSV!$A:$A,CSV!AB:AB,""),
_xlpm.MacVal,_xlfn.XLOOKUP($A932,Output_Mac!$A:$A,Output_Mac!T:T,""),
_xlpm.MyAuditVal,_xlfn.XLOOKUP($A932,My_Audit!$A:$A,My_Audit!Q:Q,""),
_xlfn.IFS(_xlpm.MyAuditVal&lt;&gt;"",UPPER(_xlpm.MyAuditVal),_xlpm.MacVal&lt;&gt;"",_xlpm.MacVal,_xlpm.CSVVal&lt;&gt;"",_xlpm.CSVVal
)),"No")</f>
        <v>No</v>
      </c>
      <c r="Q932" s="40" t="str" cm="1">
        <f t="array" ref="Q932">IFERROR(_xlfn.LET(
_xlpm.CSVVal,_xlfn.XLOOKUP($A932,CSV!$A:$A,CSV!AC:AC,""),
_xlpm.MacVal,_xlfn.XLOOKUP($A932,Output_Mac!$A:$A,Output_Mac!U:U,""),
_xlpm.MyAuditVal,_xlfn.XLOOKUP($A932,My_Audit!$A:$A,My_Audit!R:R,""),
_xlfn.IFS(_xlpm.MyAuditVal&lt;&gt;"",UPPER(_xlpm.MyAuditVal),_xlpm.MacVal&lt;&gt;"",_xlpm.MacVal,_xlpm.CSVVal&lt;&gt;"",_xlpm.CSVVal
)),"")</f>
        <v/>
      </c>
      <c r="R932" s="40"/>
      <c r="S932" s="40"/>
      <c r="T932" s="40"/>
      <c r="U932" s="40"/>
      <c r="V932" s="40"/>
      <c r="W932" s="40"/>
      <c r="X932" s="41" t="str">
        <f>_xlfn.LET(
    _xlpm.MacVal, _xlfn.XLOOKUP($A932, Output_Mac!$A:$A, Output_Mac!AB:AB, ""),
    _xlpm.MyAuditVal, _xlfn.XLOOKUP($A932, My_Audit!$A:$A, My_Audit!N:N, ""),
    _xlfn.TEXTJOIN(", ", TRUE, _xlpm.MyAuditVal, _xlpm.MacVal)
)</f>
        <v/>
      </c>
    </row>
    <row r="933" spans="1:24">
      <c r="A933" s="40" t="str">
        <f>_xlfn.TEXTJOIN("",TRUE,Input!$B$2,ROW(My_Audit!A932))</f>
        <v>X932</v>
      </c>
      <c r="B933" s="40" t="str">
        <f>_xlfn.TEXTJOIN("-",TRUE,"ITD",Input!$A$2,A933)</f>
        <v>ITD-X932</v>
      </c>
      <c r="C933" s="40" t="str" cm="1">
        <f t="array" ref="C933">IFERROR(_xlfn.LET(
_xlpm.CSVVal,_xlfn.XLOOKUP($A933,CSV!$A:$A,CSV!B:B,""),
_xlpm.MacVal,_xlfn.XLOOKUP($A933,Output_Mac!$A:$A,Output_Mac!B:B,""),
_xlpm.MyAuditVal,_xlfn.XLOOKUP($A933,My_Audit!$A:$A,My_Audit!B:B,""),
_xlfn.IFS(_xlpm.MyAuditVal&lt;&gt;"",UPPER(_xlpm.MyAuditVal),_xlpm.MacVal&lt;&gt;"",_xlpm.MacVal,_xlpm.CSVVal&lt;&gt;"",_xlpm.CSVVal
)),"")</f>
        <v/>
      </c>
      <c r="D933" s="40" t="str" cm="1">
        <f t="array" ref="D933">IFERROR(_xlfn.LET(
_xlpm.CSVVal,_xlfn.XLOOKUP($A933,CSV!$A:$A,CSV!D:D,""),
_xlpm.MacVal,_xlfn.XLOOKUP($A933,Output_Mac!$A:$A,Output_Mac!C:C,""),
_xlpm.MyAuditVal,_xlfn.XLOOKUP($A933,My_Audit!$A:$A,My_Audit!C:C,""),
_xlfn.IFS(_xlpm.MyAuditVal&lt;&gt;"",_xlpm.MyAuditVal,_xlpm.MacVal&lt;&gt;"",_xlpm.MacVal,_xlpm.CSVVal&lt;&gt;"",_xlpm.CSVVal
)),"")</f>
        <v/>
      </c>
      <c r="E933" s="40" t="str">
        <f>_xlfn.XLOOKUP(A933,My_Audit!A:A,My_Audit!D:D,"")</f>
        <v/>
      </c>
      <c r="F933" s="40" t="str" cm="1">
        <f t="array" ref="F933">IFERROR(_xlfn.LET(
_xlpm.CSVVal,_xlfn.XLOOKUP($A933,CSV!$A:$A,CSV!F:F,""),
_xlpm.MacVal,_xlfn.XLOOKUP($A933,Output_Mac!$A:$A,Output_Mac!E:E,""),
_xlpm.MyAuditVal,_xlfn.XLOOKUP($A933,My_Audit!$A:$A,My_Audit!E:E,""),
_xlfn.IFS(_xlpm.MyAuditVal&lt;&gt;"",_xlpm.MyAuditVal,_xlpm.MacVal&lt;&gt;"",_xlpm.MacVal,_xlpm.CSVVal&lt;&gt;"",_xlpm.CSVVal
)),"")</f>
        <v/>
      </c>
      <c r="G933" s="40" t="str" cm="1">
        <f t="array" ref="G933">IFERROR(_xlfn.LET(
_xlpm.CSVVal,_xlfn.XLOOKUP($A933,CSV!$A:$A,CSV!G:G,""),
_xlpm.MacVal,_xlfn.XLOOKUP($A933,Output_Mac!$A:$A,Output_Mac!F:F,""),
_xlpm.MyAuditVal,_xlfn.XLOOKUP($A933,My_Audit!$A:$A,My_Audit!F:F,""),
_xlfn.IFS(_xlpm.MyAuditVal&lt;&gt;"",_xlpm.MyAuditVal,_xlpm.MacVal&lt;&gt;"",_xlpm.MacVal,_xlpm.CSVVal&lt;&gt;"",PROPER(_xlpm.CSVVal)
)),"")</f>
        <v/>
      </c>
      <c r="H933" s="40" t="str" cm="1">
        <f t="array" ref="H933">IFERROR(_xlfn.LET(
_xlpm.CSVVal,_xlfn.XLOOKUP($A933,CSV!$A:$A,CSV!H:H,""),
_xlpm.MacVal,_xlfn.XLOOKUP($A933,Output_Mac!$A:$A,Output_Mac!H:H,""),
_xlpm.MyAuditVal,_xlfn.XLOOKUP($A933,My_Audit!$A:$A,My_Audit!G:G,""),
_xlfn.IFS(_xlpm.MyAuditVal&lt;&gt;"",_xlpm.MyAuditVal,_xlpm.MacVal&lt;&gt;"",_xlpm.MacVal,_xlpm.CSVVal&lt;&gt;"",_xlpm.CSVVal
)),"")</f>
        <v/>
      </c>
      <c r="I933" s="40" t="str">
        <f>_xlfn.XLOOKUP(A933,Output_Mac!A:A,Output_Mac!I:I,"")</f>
        <v/>
      </c>
      <c r="J933" s="40" t="str" cm="1">
        <f t="array" ref="J933">IFERROR(_xlfn.LET(
_xlpm.CSVVal,_xlfn.XLOOKUP($A933,CSV!$A:$A,CSV!I:I,""),
_xlpm.MacVal,_xlfn.XLOOKUP($A933,Output_Mac!$A:$A,Output_Mac!J:J,""),
_xlpm.MyAuditVal,_xlfn.XLOOKUP($A933,My_Audit!$A:$A,My_Audit!I:I,""),
_xlfn.IFS(_xlpm.MyAuditVal&lt;&gt;"",UPPER(_xlpm.MyAuditVal),_xlpm.MacVal&lt;&gt;"",_xlpm.MacVal,_xlpm.CSVVal&lt;&gt;"",_xlpm.CSVVal
)),"")</f>
        <v/>
      </c>
      <c r="K933" s="40" t="str" cm="1">
        <f t="array" ref="K933">IFERROR(_xlfn.LET(
_xlpm.CSVVal,_xlfn.XLOOKUP($A933,CSV!$A:$A,CSV!K:K,""),
_xlpm.MacVal,_xlfn.XLOOKUP($A933,Output_Mac!$A:$A,Output_Mac!K:K,""),
_xlpm.MyAuditVal,_xlfn.XLOOKUP($A933,My_Audit!$A:$A,My_Audit!J:J,""),
_xlfn.IFS(_xlpm.MyAuditVal&lt;&gt;"",UPPER(_xlpm.MyAuditVal),_xlpm.MacVal&lt;&gt;"",_xlpm.MacVal,_xlpm.CSVVal&lt;&gt;"",_xlpm.CSVVal
)),"")</f>
        <v/>
      </c>
      <c r="L933" s="40" t="str" cm="1">
        <f t="array" ref="L933">IFERROR(_xlfn.LET(
_xlpm.CSVVal,_xlfn.XLOOKUP($A933,CSV!$A:$A,CSV!P:P,""),
_xlpm.MacVal,_xlfn.XLOOKUP($A933,Output_Mac!$A:$A,Output_Mac!L:L,""),
_xlpm.MyAuditVal,_xlfn.XLOOKUP($A933,My_Audit!$A:$A,My_Audit!K:K,""),
_xlfn.IFS(_xlpm.MyAuditVal&lt;&gt;"",UPPER(_xlpm.MyAuditVal),_xlpm.MacVal&lt;&gt;"",_xlpm.MacVal,_xlpm.CSVVal&lt;&gt;"",_xlpm.CSVVal
)),"")</f>
        <v/>
      </c>
      <c r="M933" s="40" t="str" cm="1">
        <f t="array" ref="M933">IFERROR(_xlfn.LET(
_xlpm.CSVVal,_xlfn.XLOOKUP($A933,CSV!$A:$A,CSV!Q:Q,""),
_xlpm.MacVal,_xlfn.XLOOKUP($A933,Output_Mac!$A:$A,Output_Mac!M:M,""),
_xlpm.MyAuditVal,_xlfn.XLOOKUP($A933,My_Audit!$A:$A,My_Audit!L:L,""),
_xlfn.IFS(_xlpm.MyAuditVal&lt;&gt;"",UPPER(_xlpm.MyAuditVal),_xlpm.MacVal&lt;&gt;"",_xlpm.MacVal,_xlpm.CSVVal&lt;&gt;"",_xlpm.CSVVal
)),"")</f>
        <v/>
      </c>
      <c r="N933" s="40"/>
      <c r="O933" s="40" t="str">
        <f>_xlfn.LET(
    _xlpm.CSVVal, _xlfn.XLOOKUP($A933, CSV!$A:$A, CSV!AA:AA, ""),
    _xlpm.MacVal, _xlfn.XLOOKUP($A933, Output_Mac!$A:$A, Output_Mac!S:S, ""),
    _xlpm.MyAuditVal, _xlfn.XLOOKUP($A933, My_Audit!$A:$A, My_Audit!P:P, ""),
    _xlfn.TEXTJOIN(", ", TRUE, _xlpm.MyAuditVal, _xlpm.MacVal, _xlpm.CSVVal)
)</f>
        <v/>
      </c>
      <c r="P933" s="40" t="str" cm="1">
        <f t="array" ref="P933">IFERROR(_xlfn.LET(
_xlpm.CSVVal,_xlfn.XLOOKUP($A933,CSV!$A:$A,CSV!AB:AB,""),
_xlpm.MacVal,_xlfn.XLOOKUP($A933,Output_Mac!$A:$A,Output_Mac!T:T,""),
_xlpm.MyAuditVal,_xlfn.XLOOKUP($A933,My_Audit!$A:$A,My_Audit!Q:Q,""),
_xlfn.IFS(_xlpm.MyAuditVal&lt;&gt;"",UPPER(_xlpm.MyAuditVal),_xlpm.MacVal&lt;&gt;"",_xlpm.MacVal,_xlpm.CSVVal&lt;&gt;"",_xlpm.CSVVal
)),"No")</f>
        <v>No</v>
      </c>
      <c r="Q933" s="40" t="str" cm="1">
        <f t="array" ref="Q933">IFERROR(_xlfn.LET(
_xlpm.CSVVal,_xlfn.XLOOKUP($A933,CSV!$A:$A,CSV!AC:AC,""),
_xlpm.MacVal,_xlfn.XLOOKUP($A933,Output_Mac!$A:$A,Output_Mac!U:U,""),
_xlpm.MyAuditVal,_xlfn.XLOOKUP($A933,My_Audit!$A:$A,My_Audit!R:R,""),
_xlfn.IFS(_xlpm.MyAuditVal&lt;&gt;"",UPPER(_xlpm.MyAuditVal),_xlpm.MacVal&lt;&gt;"",_xlpm.MacVal,_xlpm.CSVVal&lt;&gt;"",_xlpm.CSVVal
)),"")</f>
        <v/>
      </c>
      <c r="R933" s="40"/>
      <c r="S933" s="40"/>
      <c r="T933" s="40"/>
      <c r="U933" s="40"/>
      <c r="V933" s="40"/>
      <c r="W933" s="40"/>
      <c r="X933" s="41" t="str">
        <f>_xlfn.LET(
    _xlpm.MacVal, _xlfn.XLOOKUP($A933, Output_Mac!$A:$A, Output_Mac!AB:AB, ""),
    _xlpm.MyAuditVal, _xlfn.XLOOKUP($A933, My_Audit!$A:$A, My_Audit!N:N, ""),
    _xlfn.TEXTJOIN(", ", TRUE, _xlpm.MyAuditVal, _xlpm.MacVal)
)</f>
        <v/>
      </c>
    </row>
    <row r="934" spans="1:24">
      <c r="A934" s="40" t="str">
        <f>_xlfn.TEXTJOIN("",TRUE,Input!$B$2,ROW(My_Audit!A933))</f>
        <v>X933</v>
      </c>
      <c r="B934" s="40" t="str">
        <f>_xlfn.TEXTJOIN("-",TRUE,"ITD",Input!$A$2,A934)</f>
        <v>ITD-X933</v>
      </c>
      <c r="C934" s="40" t="str" cm="1">
        <f t="array" ref="C934">IFERROR(_xlfn.LET(
_xlpm.CSVVal,_xlfn.XLOOKUP($A934,CSV!$A:$A,CSV!B:B,""),
_xlpm.MacVal,_xlfn.XLOOKUP($A934,Output_Mac!$A:$A,Output_Mac!B:B,""),
_xlpm.MyAuditVal,_xlfn.XLOOKUP($A934,My_Audit!$A:$A,My_Audit!B:B,""),
_xlfn.IFS(_xlpm.MyAuditVal&lt;&gt;"",UPPER(_xlpm.MyAuditVal),_xlpm.MacVal&lt;&gt;"",_xlpm.MacVal,_xlpm.CSVVal&lt;&gt;"",_xlpm.CSVVal
)),"")</f>
        <v/>
      </c>
      <c r="D934" s="40" t="str" cm="1">
        <f t="array" ref="D934">IFERROR(_xlfn.LET(
_xlpm.CSVVal,_xlfn.XLOOKUP($A934,CSV!$A:$A,CSV!D:D,""),
_xlpm.MacVal,_xlfn.XLOOKUP($A934,Output_Mac!$A:$A,Output_Mac!C:C,""),
_xlpm.MyAuditVal,_xlfn.XLOOKUP($A934,My_Audit!$A:$A,My_Audit!C:C,""),
_xlfn.IFS(_xlpm.MyAuditVal&lt;&gt;"",_xlpm.MyAuditVal,_xlpm.MacVal&lt;&gt;"",_xlpm.MacVal,_xlpm.CSVVal&lt;&gt;"",_xlpm.CSVVal
)),"")</f>
        <v/>
      </c>
      <c r="E934" s="40" t="str">
        <f>_xlfn.XLOOKUP(A934,My_Audit!A:A,My_Audit!D:D,"")</f>
        <v/>
      </c>
      <c r="F934" s="40" t="str" cm="1">
        <f t="array" ref="F934">IFERROR(_xlfn.LET(
_xlpm.CSVVal,_xlfn.XLOOKUP($A934,CSV!$A:$A,CSV!F:F,""),
_xlpm.MacVal,_xlfn.XLOOKUP($A934,Output_Mac!$A:$A,Output_Mac!E:E,""),
_xlpm.MyAuditVal,_xlfn.XLOOKUP($A934,My_Audit!$A:$A,My_Audit!E:E,""),
_xlfn.IFS(_xlpm.MyAuditVal&lt;&gt;"",_xlpm.MyAuditVal,_xlpm.MacVal&lt;&gt;"",_xlpm.MacVal,_xlpm.CSVVal&lt;&gt;"",_xlpm.CSVVal
)),"")</f>
        <v/>
      </c>
      <c r="G934" s="40" t="str" cm="1">
        <f t="array" ref="G934">IFERROR(_xlfn.LET(
_xlpm.CSVVal,_xlfn.XLOOKUP($A934,CSV!$A:$A,CSV!G:G,""),
_xlpm.MacVal,_xlfn.XLOOKUP($A934,Output_Mac!$A:$A,Output_Mac!F:F,""),
_xlpm.MyAuditVal,_xlfn.XLOOKUP($A934,My_Audit!$A:$A,My_Audit!F:F,""),
_xlfn.IFS(_xlpm.MyAuditVal&lt;&gt;"",_xlpm.MyAuditVal,_xlpm.MacVal&lt;&gt;"",_xlpm.MacVal,_xlpm.CSVVal&lt;&gt;"",PROPER(_xlpm.CSVVal)
)),"")</f>
        <v/>
      </c>
      <c r="H934" s="40" t="str" cm="1">
        <f t="array" ref="H934">IFERROR(_xlfn.LET(
_xlpm.CSVVal,_xlfn.XLOOKUP($A934,CSV!$A:$A,CSV!H:H,""),
_xlpm.MacVal,_xlfn.XLOOKUP($A934,Output_Mac!$A:$A,Output_Mac!H:H,""),
_xlpm.MyAuditVal,_xlfn.XLOOKUP($A934,My_Audit!$A:$A,My_Audit!G:G,""),
_xlfn.IFS(_xlpm.MyAuditVal&lt;&gt;"",_xlpm.MyAuditVal,_xlpm.MacVal&lt;&gt;"",_xlpm.MacVal,_xlpm.CSVVal&lt;&gt;"",_xlpm.CSVVal
)),"")</f>
        <v/>
      </c>
      <c r="I934" s="40" t="str">
        <f>_xlfn.XLOOKUP(A934,Output_Mac!A:A,Output_Mac!I:I,"")</f>
        <v/>
      </c>
      <c r="J934" s="40" t="str" cm="1">
        <f t="array" ref="J934">IFERROR(_xlfn.LET(
_xlpm.CSVVal,_xlfn.XLOOKUP($A934,CSV!$A:$A,CSV!I:I,""),
_xlpm.MacVal,_xlfn.XLOOKUP($A934,Output_Mac!$A:$A,Output_Mac!J:J,""),
_xlpm.MyAuditVal,_xlfn.XLOOKUP($A934,My_Audit!$A:$A,My_Audit!I:I,""),
_xlfn.IFS(_xlpm.MyAuditVal&lt;&gt;"",UPPER(_xlpm.MyAuditVal),_xlpm.MacVal&lt;&gt;"",_xlpm.MacVal,_xlpm.CSVVal&lt;&gt;"",_xlpm.CSVVal
)),"")</f>
        <v/>
      </c>
      <c r="K934" s="40" t="str" cm="1">
        <f t="array" ref="K934">IFERROR(_xlfn.LET(
_xlpm.CSVVal,_xlfn.XLOOKUP($A934,CSV!$A:$A,CSV!K:K,""),
_xlpm.MacVal,_xlfn.XLOOKUP($A934,Output_Mac!$A:$A,Output_Mac!K:K,""),
_xlpm.MyAuditVal,_xlfn.XLOOKUP($A934,My_Audit!$A:$A,My_Audit!J:J,""),
_xlfn.IFS(_xlpm.MyAuditVal&lt;&gt;"",UPPER(_xlpm.MyAuditVal),_xlpm.MacVal&lt;&gt;"",_xlpm.MacVal,_xlpm.CSVVal&lt;&gt;"",_xlpm.CSVVal
)),"")</f>
        <v/>
      </c>
      <c r="L934" s="40" t="str" cm="1">
        <f t="array" ref="L934">IFERROR(_xlfn.LET(
_xlpm.CSVVal,_xlfn.XLOOKUP($A934,CSV!$A:$A,CSV!P:P,""),
_xlpm.MacVal,_xlfn.XLOOKUP($A934,Output_Mac!$A:$A,Output_Mac!L:L,""),
_xlpm.MyAuditVal,_xlfn.XLOOKUP($A934,My_Audit!$A:$A,My_Audit!K:K,""),
_xlfn.IFS(_xlpm.MyAuditVal&lt;&gt;"",UPPER(_xlpm.MyAuditVal),_xlpm.MacVal&lt;&gt;"",_xlpm.MacVal,_xlpm.CSVVal&lt;&gt;"",_xlpm.CSVVal
)),"")</f>
        <v/>
      </c>
      <c r="M934" s="40" t="str" cm="1">
        <f t="array" ref="M934">IFERROR(_xlfn.LET(
_xlpm.CSVVal,_xlfn.XLOOKUP($A934,CSV!$A:$A,CSV!Q:Q,""),
_xlpm.MacVal,_xlfn.XLOOKUP($A934,Output_Mac!$A:$A,Output_Mac!M:M,""),
_xlpm.MyAuditVal,_xlfn.XLOOKUP($A934,My_Audit!$A:$A,My_Audit!L:L,""),
_xlfn.IFS(_xlpm.MyAuditVal&lt;&gt;"",UPPER(_xlpm.MyAuditVal),_xlpm.MacVal&lt;&gt;"",_xlpm.MacVal,_xlpm.CSVVal&lt;&gt;"",_xlpm.CSVVal
)),"")</f>
        <v/>
      </c>
      <c r="N934" s="40"/>
      <c r="O934" s="40" t="str">
        <f>_xlfn.LET(
    _xlpm.CSVVal, _xlfn.XLOOKUP($A934, CSV!$A:$A, CSV!AA:AA, ""),
    _xlpm.MacVal, _xlfn.XLOOKUP($A934, Output_Mac!$A:$A, Output_Mac!S:S, ""),
    _xlpm.MyAuditVal, _xlfn.XLOOKUP($A934, My_Audit!$A:$A, My_Audit!P:P, ""),
    _xlfn.TEXTJOIN(", ", TRUE, _xlpm.MyAuditVal, _xlpm.MacVal, _xlpm.CSVVal)
)</f>
        <v/>
      </c>
      <c r="P934" s="40" t="str" cm="1">
        <f t="array" ref="P934">IFERROR(_xlfn.LET(
_xlpm.CSVVal,_xlfn.XLOOKUP($A934,CSV!$A:$A,CSV!AB:AB,""),
_xlpm.MacVal,_xlfn.XLOOKUP($A934,Output_Mac!$A:$A,Output_Mac!T:T,""),
_xlpm.MyAuditVal,_xlfn.XLOOKUP($A934,My_Audit!$A:$A,My_Audit!Q:Q,""),
_xlfn.IFS(_xlpm.MyAuditVal&lt;&gt;"",UPPER(_xlpm.MyAuditVal),_xlpm.MacVal&lt;&gt;"",_xlpm.MacVal,_xlpm.CSVVal&lt;&gt;"",_xlpm.CSVVal
)),"No")</f>
        <v>No</v>
      </c>
      <c r="Q934" s="40" t="str" cm="1">
        <f t="array" ref="Q934">IFERROR(_xlfn.LET(
_xlpm.CSVVal,_xlfn.XLOOKUP($A934,CSV!$A:$A,CSV!AC:AC,""),
_xlpm.MacVal,_xlfn.XLOOKUP($A934,Output_Mac!$A:$A,Output_Mac!U:U,""),
_xlpm.MyAuditVal,_xlfn.XLOOKUP($A934,My_Audit!$A:$A,My_Audit!R:R,""),
_xlfn.IFS(_xlpm.MyAuditVal&lt;&gt;"",UPPER(_xlpm.MyAuditVal),_xlpm.MacVal&lt;&gt;"",_xlpm.MacVal,_xlpm.CSVVal&lt;&gt;"",_xlpm.CSVVal
)),"")</f>
        <v/>
      </c>
      <c r="R934" s="40"/>
      <c r="S934" s="40"/>
      <c r="T934" s="40"/>
      <c r="U934" s="40"/>
      <c r="V934" s="40"/>
      <c r="W934" s="40"/>
      <c r="X934" s="41" t="str">
        <f>_xlfn.LET(
    _xlpm.MacVal, _xlfn.XLOOKUP($A934, Output_Mac!$A:$A, Output_Mac!AB:AB, ""),
    _xlpm.MyAuditVal, _xlfn.XLOOKUP($A934, My_Audit!$A:$A, My_Audit!N:N, ""),
    _xlfn.TEXTJOIN(", ", TRUE, _xlpm.MyAuditVal, _xlpm.MacVal)
)</f>
        <v/>
      </c>
    </row>
    <row r="935" spans="1:24">
      <c r="A935" s="40" t="str">
        <f>_xlfn.TEXTJOIN("",TRUE,Input!$B$2,ROW(My_Audit!A934))</f>
        <v>X934</v>
      </c>
      <c r="B935" s="40" t="str">
        <f>_xlfn.TEXTJOIN("-",TRUE,"ITD",Input!$A$2,A935)</f>
        <v>ITD-X934</v>
      </c>
      <c r="C935" s="40" t="str" cm="1">
        <f t="array" ref="C935">IFERROR(_xlfn.LET(
_xlpm.CSVVal,_xlfn.XLOOKUP($A935,CSV!$A:$A,CSV!B:B,""),
_xlpm.MacVal,_xlfn.XLOOKUP($A935,Output_Mac!$A:$A,Output_Mac!B:B,""),
_xlpm.MyAuditVal,_xlfn.XLOOKUP($A935,My_Audit!$A:$A,My_Audit!B:B,""),
_xlfn.IFS(_xlpm.MyAuditVal&lt;&gt;"",UPPER(_xlpm.MyAuditVal),_xlpm.MacVal&lt;&gt;"",_xlpm.MacVal,_xlpm.CSVVal&lt;&gt;"",_xlpm.CSVVal
)),"")</f>
        <v/>
      </c>
      <c r="D935" s="40" t="str" cm="1">
        <f t="array" ref="D935">IFERROR(_xlfn.LET(
_xlpm.CSVVal,_xlfn.XLOOKUP($A935,CSV!$A:$A,CSV!D:D,""),
_xlpm.MacVal,_xlfn.XLOOKUP($A935,Output_Mac!$A:$A,Output_Mac!C:C,""),
_xlpm.MyAuditVal,_xlfn.XLOOKUP($A935,My_Audit!$A:$A,My_Audit!C:C,""),
_xlfn.IFS(_xlpm.MyAuditVal&lt;&gt;"",_xlpm.MyAuditVal,_xlpm.MacVal&lt;&gt;"",_xlpm.MacVal,_xlpm.CSVVal&lt;&gt;"",_xlpm.CSVVal
)),"")</f>
        <v/>
      </c>
      <c r="E935" s="40" t="str">
        <f>_xlfn.XLOOKUP(A935,My_Audit!A:A,My_Audit!D:D,"")</f>
        <v/>
      </c>
      <c r="F935" s="40" t="str" cm="1">
        <f t="array" ref="F935">IFERROR(_xlfn.LET(
_xlpm.CSVVal,_xlfn.XLOOKUP($A935,CSV!$A:$A,CSV!F:F,""),
_xlpm.MacVal,_xlfn.XLOOKUP($A935,Output_Mac!$A:$A,Output_Mac!E:E,""),
_xlpm.MyAuditVal,_xlfn.XLOOKUP($A935,My_Audit!$A:$A,My_Audit!E:E,""),
_xlfn.IFS(_xlpm.MyAuditVal&lt;&gt;"",_xlpm.MyAuditVal,_xlpm.MacVal&lt;&gt;"",_xlpm.MacVal,_xlpm.CSVVal&lt;&gt;"",_xlpm.CSVVal
)),"")</f>
        <v/>
      </c>
      <c r="G935" s="40" t="str" cm="1">
        <f t="array" ref="G935">IFERROR(_xlfn.LET(
_xlpm.CSVVal,_xlfn.XLOOKUP($A935,CSV!$A:$A,CSV!G:G,""),
_xlpm.MacVal,_xlfn.XLOOKUP($A935,Output_Mac!$A:$A,Output_Mac!F:F,""),
_xlpm.MyAuditVal,_xlfn.XLOOKUP($A935,My_Audit!$A:$A,My_Audit!F:F,""),
_xlfn.IFS(_xlpm.MyAuditVal&lt;&gt;"",_xlpm.MyAuditVal,_xlpm.MacVal&lt;&gt;"",_xlpm.MacVal,_xlpm.CSVVal&lt;&gt;"",PROPER(_xlpm.CSVVal)
)),"")</f>
        <v/>
      </c>
      <c r="H935" s="40" t="str" cm="1">
        <f t="array" ref="H935">IFERROR(_xlfn.LET(
_xlpm.CSVVal,_xlfn.XLOOKUP($A935,CSV!$A:$A,CSV!H:H,""),
_xlpm.MacVal,_xlfn.XLOOKUP($A935,Output_Mac!$A:$A,Output_Mac!H:H,""),
_xlpm.MyAuditVal,_xlfn.XLOOKUP($A935,My_Audit!$A:$A,My_Audit!G:G,""),
_xlfn.IFS(_xlpm.MyAuditVal&lt;&gt;"",_xlpm.MyAuditVal,_xlpm.MacVal&lt;&gt;"",_xlpm.MacVal,_xlpm.CSVVal&lt;&gt;"",_xlpm.CSVVal
)),"")</f>
        <v/>
      </c>
      <c r="I935" s="40" t="str">
        <f>_xlfn.XLOOKUP(A935,Output_Mac!A:A,Output_Mac!I:I,"")</f>
        <v/>
      </c>
      <c r="J935" s="40" t="str" cm="1">
        <f t="array" ref="J935">IFERROR(_xlfn.LET(
_xlpm.CSVVal,_xlfn.XLOOKUP($A935,CSV!$A:$A,CSV!I:I,""),
_xlpm.MacVal,_xlfn.XLOOKUP($A935,Output_Mac!$A:$A,Output_Mac!J:J,""),
_xlpm.MyAuditVal,_xlfn.XLOOKUP($A935,My_Audit!$A:$A,My_Audit!I:I,""),
_xlfn.IFS(_xlpm.MyAuditVal&lt;&gt;"",UPPER(_xlpm.MyAuditVal),_xlpm.MacVal&lt;&gt;"",_xlpm.MacVal,_xlpm.CSVVal&lt;&gt;"",_xlpm.CSVVal
)),"")</f>
        <v/>
      </c>
      <c r="K935" s="40" t="str" cm="1">
        <f t="array" ref="K935">IFERROR(_xlfn.LET(
_xlpm.CSVVal,_xlfn.XLOOKUP($A935,CSV!$A:$A,CSV!K:K,""),
_xlpm.MacVal,_xlfn.XLOOKUP($A935,Output_Mac!$A:$A,Output_Mac!K:K,""),
_xlpm.MyAuditVal,_xlfn.XLOOKUP($A935,My_Audit!$A:$A,My_Audit!J:J,""),
_xlfn.IFS(_xlpm.MyAuditVal&lt;&gt;"",UPPER(_xlpm.MyAuditVal),_xlpm.MacVal&lt;&gt;"",_xlpm.MacVal,_xlpm.CSVVal&lt;&gt;"",_xlpm.CSVVal
)),"")</f>
        <v/>
      </c>
      <c r="L935" s="40" t="str" cm="1">
        <f t="array" ref="L935">IFERROR(_xlfn.LET(
_xlpm.CSVVal,_xlfn.XLOOKUP($A935,CSV!$A:$A,CSV!P:P,""),
_xlpm.MacVal,_xlfn.XLOOKUP($A935,Output_Mac!$A:$A,Output_Mac!L:L,""),
_xlpm.MyAuditVal,_xlfn.XLOOKUP($A935,My_Audit!$A:$A,My_Audit!K:K,""),
_xlfn.IFS(_xlpm.MyAuditVal&lt;&gt;"",UPPER(_xlpm.MyAuditVal),_xlpm.MacVal&lt;&gt;"",_xlpm.MacVal,_xlpm.CSVVal&lt;&gt;"",_xlpm.CSVVal
)),"")</f>
        <v/>
      </c>
      <c r="M935" s="40" t="str" cm="1">
        <f t="array" ref="M935">IFERROR(_xlfn.LET(
_xlpm.CSVVal,_xlfn.XLOOKUP($A935,CSV!$A:$A,CSV!Q:Q,""),
_xlpm.MacVal,_xlfn.XLOOKUP($A935,Output_Mac!$A:$A,Output_Mac!M:M,""),
_xlpm.MyAuditVal,_xlfn.XLOOKUP($A935,My_Audit!$A:$A,My_Audit!L:L,""),
_xlfn.IFS(_xlpm.MyAuditVal&lt;&gt;"",UPPER(_xlpm.MyAuditVal),_xlpm.MacVal&lt;&gt;"",_xlpm.MacVal,_xlpm.CSVVal&lt;&gt;"",_xlpm.CSVVal
)),"")</f>
        <v/>
      </c>
      <c r="N935" s="40"/>
      <c r="O935" s="40" t="str">
        <f>_xlfn.LET(
    _xlpm.CSVVal, _xlfn.XLOOKUP($A935, CSV!$A:$A, CSV!AA:AA, ""),
    _xlpm.MacVal, _xlfn.XLOOKUP($A935, Output_Mac!$A:$A, Output_Mac!S:S, ""),
    _xlpm.MyAuditVal, _xlfn.XLOOKUP($A935, My_Audit!$A:$A, My_Audit!P:P, ""),
    _xlfn.TEXTJOIN(", ", TRUE, _xlpm.MyAuditVal, _xlpm.MacVal, _xlpm.CSVVal)
)</f>
        <v/>
      </c>
      <c r="P935" s="40" t="str" cm="1">
        <f t="array" ref="P935">IFERROR(_xlfn.LET(
_xlpm.CSVVal,_xlfn.XLOOKUP($A935,CSV!$A:$A,CSV!AB:AB,""),
_xlpm.MacVal,_xlfn.XLOOKUP($A935,Output_Mac!$A:$A,Output_Mac!T:T,""),
_xlpm.MyAuditVal,_xlfn.XLOOKUP($A935,My_Audit!$A:$A,My_Audit!Q:Q,""),
_xlfn.IFS(_xlpm.MyAuditVal&lt;&gt;"",UPPER(_xlpm.MyAuditVal),_xlpm.MacVal&lt;&gt;"",_xlpm.MacVal,_xlpm.CSVVal&lt;&gt;"",_xlpm.CSVVal
)),"No")</f>
        <v>No</v>
      </c>
      <c r="Q935" s="40" t="str" cm="1">
        <f t="array" ref="Q935">IFERROR(_xlfn.LET(
_xlpm.CSVVal,_xlfn.XLOOKUP($A935,CSV!$A:$A,CSV!AC:AC,""),
_xlpm.MacVal,_xlfn.XLOOKUP($A935,Output_Mac!$A:$A,Output_Mac!U:U,""),
_xlpm.MyAuditVal,_xlfn.XLOOKUP($A935,My_Audit!$A:$A,My_Audit!R:R,""),
_xlfn.IFS(_xlpm.MyAuditVal&lt;&gt;"",UPPER(_xlpm.MyAuditVal),_xlpm.MacVal&lt;&gt;"",_xlpm.MacVal,_xlpm.CSVVal&lt;&gt;"",_xlpm.CSVVal
)),"")</f>
        <v/>
      </c>
      <c r="R935" s="40"/>
      <c r="S935" s="40"/>
      <c r="T935" s="40"/>
      <c r="U935" s="40"/>
      <c r="V935" s="40"/>
      <c r="W935" s="40"/>
      <c r="X935" s="41" t="str">
        <f>_xlfn.LET(
    _xlpm.MacVal, _xlfn.XLOOKUP($A935, Output_Mac!$A:$A, Output_Mac!AB:AB, ""),
    _xlpm.MyAuditVal, _xlfn.XLOOKUP($A935, My_Audit!$A:$A, My_Audit!N:N, ""),
    _xlfn.TEXTJOIN(", ", TRUE, _xlpm.MyAuditVal, _xlpm.MacVal)
)</f>
        <v/>
      </c>
    </row>
    <row r="936" spans="1:24">
      <c r="A936" s="40" t="str">
        <f>_xlfn.TEXTJOIN("",TRUE,Input!$B$2,ROW(My_Audit!A935))</f>
        <v>X935</v>
      </c>
      <c r="B936" s="40" t="str">
        <f>_xlfn.TEXTJOIN("-",TRUE,"ITD",Input!$A$2,A936)</f>
        <v>ITD-X935</v>
      </c>
      <c r="C936" s="40" t="str" cm="1">
        <f t="array" ref="C936">IFERROR(_xlfn.LET(
_xlpm.CSVVal,_xlfn.XLOOKUP($A936,CSV!$A:$A,CSV!B:B,""),
_xlpm.MacVal,_xlfn.XLOOKUP($A936,Output_Mac!$A:$A,Output_Mac!B:B,""),
_xlpm.MyAuditVal,_xlfn.XLOOKUP($A936,My_Audit!$A:$A,My_Audit!B:B,""),
_xlfn.IFS(_xlpm.MyAuditVal&lt;&gt;"",UPPER(_xlpm.MyAuditVal),_xlpm.MacVal&lt;&gt;"",_xlpm.MacVal,_xlpm.CSVVal&lt;&gt;"",_xlpm.CSVVal
)),"")</f>
        <v/>
      </c>
      <c r="D936" s="40" t="str" cm="1">
        <f t="array" ref="D936">IFERROR(_xlfn.LET(
_xlpm.CSVVal,_xlfn.XLOOKUP($A936,CSV!$A:$A,CSV!D:D,""),
_xlpm.MacVal,_xlfn.XLOOKUP($A936,Output_Mac!$A:$A,Output_Mac!C:C,""),
_xlpm.MyAuditVal,_xlfn.XLOOKUP($A936,My_Audit!$A:$A,My_Audit!C:C,""),
_xlfn.IFS(_xlpm.MyAuditVal&lt;&gt;"",_xlpm.MyAuditVal,_xlpm.MacVal&lt;&gt;"",_xlpm.MacVal,_xlpm.CSVVal&lt;&gt;"",_xlpm.CSVVal
)),"")</f>
        <v/>
      </c>
      <c r="E936" s="40" t="str">
        <f>_xlfn.XLOOKUP(A936,My_Audit!A:A,My_Audit!D:D,"")</f>
        <v/>
      </c>
      <c r="F936" s="40" t="str" cm="1">
        <f t="array" ref="F936">IFERROR(_xlfn.LET(
_xlpm.CSVVal,_xlfn.XLOOKUP($A936,CSV!$A:$A,CSV!F:F,""),
_xlpm.MacVal,_xlfn.XLOOKUP($A936,Output_Mac!$A:$A,Output_Mac!E:E,""),
_xlpm.MyAuditVal,_xlfn.XLOOKUP($A936,My_Audit!$A:$A,My_Audit!E:E,""),
_xlfn.IFS(_xlpm.MyAuditVal&lt;&gt;"",_xlpm.MyAuditVal,_xlpm.MacVal&lt;&gt;"",_xlpm.MacVal,_xlpm.CSVVal&lt;&gt;"",_xlpm.CSVVal
)),"")</f>
        <v/>
      </c>
      <c r="G936" s="40" t="str" cm="1">
        <f t="array" ref="G936">IFERROR(_xlfn.LET(
_xlpm.CSVVal,_xlfn.XLOOKUP($A936,CSV!$A:$A,CSV!G:G,""),
_xlpm.MacVal,_xlfn.XLOOKUP($A936,Output_Mac!$A:$A,Output_Mac!F:F,""),
_xlpm.MyAuditVal,_xlfn.XLOOKUP($A936,My_Audit!$A:$A,My_Audit!F:F,""),
_xlfn.IFS(_xlpm.MyAuditVal&lt;&gt;"",_xlpm.MyAuditVal,_xlpm.MacVal&lt;&gt;"",_xlpm.MacVal,_xlpm.CSVVal&lt;&gt;"",PROPER(_xlpm.CSVVal)
)),"")</f>
        <v/>
      </c>
      <c r="H936" s="40" t="str" cm="1">
        <f t="array" ref="H936">IFERROR(_xlfn.LET(
_xlpm.CSVVal,_xlfn.XLOOKUP($A936,CSV!$A:$A,CSV!H:H,""),
_xlpm.MacVal,_xlfn.XLOOKUP($A936,Output_Mac!$A:$A,Output_Mac!H:H,""),
_xlpm.MyAuditVal,_xlfn.XLOOKUP($A936,My_Audit!$A:$A,My_Audit!G:G,""),
_xlfn.IFS(_xlpm.MyAuditVal&lt;&gt;"",_xlpm.MyAuditVal,_xlpm.MacVal&lt;&gt;"",_xlpm.MacVal,_xlpm.CSVVal&lt;&gt;"",_xlpm.CSVVal
)),"")</f>
        <v/>
      </c>
      <c r="I936" s="40" t="str">
        <f>_xlfn.XLOOKUP(A936,Output_Mac!A:A,Output_Mac!I:I,"")</f>
        <v/>
      </c>
      <c r="J936" s="40" t="str" cm="1">
        <f t="array" ref="J936">IFERROR(_xlfn.LET(
_xlpm.CSVVal,_xlfn.XLOOKUP($A936,CSV!$A:$A,CSV!I:I,""),
_xlpm.MacVal,_xlfn.XLOOKUP($A936,Output_Mac!$A:$A,Output_Mac!J:J,""),
_xlpm.MyAuditVal,_xlfn.XLOOKUP($A936,My_Audit!$A:$A,My_Audit!I:I,""),
_xlfn.IFS(_xlpm.MyAuditVal&lt;&gt;"",UPPER(_xlpm.MyAuditVal),_xlpm.MacVal&lt;&gt;"",_xlpm.MacVal,_xlpm.CSVVal&lt;&gt;"",_xlpm.CSVVal
)),"")</f>
        <v/>
      </c>
      <c r="K936" s="40" t="str" cm="1">
        <f t="array" ref="K936">IFERROR(_xlfn.LET(
_xlpm.CSVVal,_xlfn.XLOOKUP($A936,CSV!$A:$A,CSV!K:K,""),
_xlpm.MacVal,_xlfn.XLOOKUP($A936,Output_Mac!$A:$A,Output_Mac!K:K,""),
_xlpm.MyAuditVal,_xlfn.XLOOKUP($A936,My_Audit!$A:$A,My_Audit!J:J,""),
_xlfn.IFS(_xlpm.MyAuditVal&lt;&gt;"",UPPER(_xlpm.MyAuditVal),_xlpm.MacVal&lt;&gt;"",_xlpm.MacVal,_xlpm.CSVVal&lt;&gt;"",_xlpm.CSVVal
)),"")</f>
        <v/>
      </c>
      <c r="L936" s="40" t="str" cm="1">
        <f t="array" ref="L936">IFERROR(_xlfn.LET(
_xlpm.CSVVal,_xlfn.XLOOKUP($A936,CSV!$A:$A,CSV!P:P,""),
_xlpm.MacVal,_xlfn.XLOOKUP($A936,Output_Mac!$A:$A,Output_Mac!L:L,""),
_xlpm.MyAuditVal,_xlfn.XLOOKUP($A936,My_Audit!$A:$A,My_Audit!K:K,""),
_xlfn.IFS(_xlpm.MyAuditVal&lt;&gt;"",UPPER(_xlpm.MyAuditVal),_xlpm.MacVal&lt;&gt;"",_xlpm.MacVal,_xlpm.CSVVal&lt;&gt;"",_xlpm.CSVVal
)),"")</f>
        <v/>
      </c>
      <c r="M936" s="40" t="str" cm="1">
        <f t="array" ref="M936">IFERROR(_xlfn.LET(
_xlpm.CSVVal,_xlfn.XLOOKUP($A936,CSV!$A:$A,CSV!Q:Q,""),
_xlpm.MacVal,_xlfn.XLOOKUP($A936,Output_Mac!$A:$A,Output_Mac!M:M,""),
_xlpm.MyAuditVal,_xlfn.XLOOKUP($A936,My_Audit!$A:$A,My_Audit!L:L,""),
_xlfn.IFS(_xlpm.MyAuditVal&lt;&gt;"",UPPER(_xlpm.MyAuditVal),_xlpm.MacVal&lt;&gt;"",_xlpm.MacVal,_xlpm.CSVVal&lt;&gt;"",_xlpm.CSVVal
)),"")</f>
        <v/>
      </c>
      <c r="N936" s="40"/>
      <c r="O936" s="40" t="str">
        <f>_xlfn.LET(
    _xlpm.CSVVal, _xlfn.XLOOKUP($A936, CSV!$A:$A, CSV!AA:AA, ""),
    _xlpm.MacVal, _xlfn.XLOOKUP($A936, Output_Mac!$A:$A, Output_Mac!S:S, ""),
    _xlpm.MyAuditVal, _xlfn.XLOOKUP($A936, My_Audit!$A:$A, My_Audit!P:P, ""),
    _xlfn.TEXTJOIN(", ", TRUE, _xlpm.MyAuditVal, _xlpm.MacVal, _xlpm.CSVVal)
)</f>
        <v/>
      </c>
      <c r="P936" s="40" t="str" cm="1">
        <f t="array" ref="P936">IFERROR(_xlfn.LET(
_xlpm.CSVVal,_xlfn.XLOOKUP($A936,CSV!$A:$A,CSV!AB:AB,""),
_xlpm.MacVal,_xlfn.XLOOKUP($A936,Output_Mac!$A:$A,Output_Mac!T:T,""),
_xlpm.MyAuditVal,_xlfn.XLOOKUP($A936,My_Audit!$A:$A,My_Audit!Q:Q,""),
_xlfn.IFS(_xlpm.MyAuditVal&lt;&gt;"",UPPER(_xlpm.MyAuditVal),_xlpm.MacVal&lt;&gt;"",_xlpm.MacVal,_xlpm.CSVVal&lt;&gt;"",_xlpm.CSVVal
)),"No")</f>
        <v>No</v>
      </c>
      <c r="Q936" s="40" t="str" cm="1">
        <f t="array" ref="Q936">IFERROR(_xlfn.LET(
_xlpm.CSVVal,_xlfn.XLOOKUP($A936,CSV!$A:$A,CSV!AC:AC,""),
_xlpm.MacVal,_xlfn.XLOOKUP($A936,Output_Mac!$A:$A,Output_Mac!U:U,""),
_xlpm.MyAuditVal,_xlfn.XLOOKUP($A936,My_Audit!$A:$A,My_Audit!R:R,""),
_xlfn.IFS(_xlpm.MyAuditVal&lt;&gt;"",UPPER(_xlpm.MyAuditVal),_xlpm.MacVal&lt;&gt;"",_xlpm.MacVal,_xlpm.CSVVal&lt;&gt;"",_xlpm.CSVVal
)),"")</f>
        <v/>
      </c>
      <c r="R936" s="40"/>
      <c r="S936" s="40"/>
      <c r="T936" s="40"/>
      <c r="U936" s="40"/>
      <c r="V936" s="40"/>
      <c r="W936" s="40"/>
      <c r="X936" s="41" t="str">
        <f>_xlfn.LET(
    _xlpm.MacVal, _xlfn.XLOOKUP($A936, Output_Mac!$A:$A, Output_Mac!AB:AB, ""),
    _xlpm.MyAuditVal, _xlfn.XLOOKUP($A936, My_Audit!$A:$A, My_Audit!N:N, ""),
    _xlfn.TEXTJOIN(", ", TRUE, _xlpm.MyAuditVal, _xlpm.MacVal)
)</f>
        <v/>
      </c>
    </row>
    <row r="937" spans="1:24">
      <c r="A937" s="40" t="str">
        <f>_xlfn.TEXTJOIN("",TRUE,Input!$B$2,ROW(My_Audit!A936))</f>
        <v>X936</v>
      </c>
      <c r="B937" s="40" t="str">
        <f>_xlfn.TEXTJOIN("-",TRUE,"ITD",Input!$A$2,A937)</f>
        <v>ITD-X936</v>
      </c>
      <c r="C937" s="40" t="str" cm="1">
        <f t="array" ref="C937">IFERROR(_xlfn.LET(
_xlpm.CSVVal,_xlfn.XLOOKUP($A937,CSV!$A:$A,CSV!B:B,""),
_xlpm.MacVal,_xlfn.XLOOKUP($A937,Output_Mac!$A:$A,Output_Mac!B:B,""),
_xlpm.MyAuditVal,_xlfn.XLOOKUP($A937,My_Audit!$A:$A,My_Audit!B:B,""),
_xlfn.IFS(_xlpm.MyAuditVal&lt;&gt;"",UPPER(_xlpm.MyAuditVal),_xlpm.MacVal&lt;&gt;"",_xlpm.MacVal,_xlpm.CSVVal&lt;&gt;"",_xlpm.CSVVal
)),"")</f>
        <v/>
      </c>
      <c r="D937" s="40" t="str" cm="1">
        <f t="array" ref="D937">IFERROR(_xlfn.LET(
_xlpm.CSVVal,_xlfn.XLOOKUP($A937,CSV!$A:$A,CSV!D:D,""),
_xlpm.MacVal,_xlfn.XLOOKUP($A937,Output_Mac!$A:$A,Output_Mac!C:C,""),
_xlpm.MyAuditVal,_xlfn.XLOOKUP($A937,My_Audit!$A:$A,My_Audit!C:C,""),
_xlfn.IFS(_xlpm.MyAuditVal&lt;&gt;"",_xlpm.MyAuditVal,_xlpm.MacVal&lt;&gt;"",_xlpm.MacVal,_xlpm.CSVVal&lt;&gt;"",_xlpm.CSVVal
)),"")</f>
        <v/>
      </c>
      <c r="E937" s="40" t="str">
        <f>_xlfn.XLOOKUP(A937,My_Audit!A:A,My_Audit!D:D,"")</f>
        <v/>
      </c>
      <c r="F937" s="40" t="str" cm="1">
        <f t="array" ref="F937">IFERROR(_xlfn.LET(
_xlpm.CSVVal,_xlfn.XLOOKUP($A937,CSV!$A:$A,CSV!F:F,""),
_xlpm.MacVal,_xlfn.XLOOKUP($A937,Output_Mac!$A:$A,Output_Mac!E:E,""),
_xlpm.MyAuditVal,_xlfn.XLOOKUP($A937,My_Audit!$A:$A,My_Audit!E:E,""),
_xlfn.IFS(_xlpm.MyAuditVal&lt;&gt;"",_xlpm.MyAuditVal,_xlpm.MacVal&lt;&gt;"",_xlpm.MacVal,_xlpm.CSVVal&lt;&gt;"",_xlpm.CSVVal
)),"")</f>
        <v/>
      </c>
      <c r="G937" s="40" t="str" cm="1">
        <f t="array" ref="G937">IFERROR(_xlfn.LET(
_xlpm.CSVVal,_xlfn.XLOOKUP($A937,CSV!$A:$A,CSV!G:G,""),
_xlpm.MacVal,_xlfn.XLOOKUP($A937,Output_Mac!$A:$A,Output_Mac!F:F,""),
_xlpm.MyAuditVal,_xlfn.XLOOKUP($A937,My_Audit!$A:$A,My_Audit!F:F,""),
_xlfn.IFS(_xlpm.MyAuditVal&lt;&gt;"",_xlpm.MyAuditVal,_xlpm.MacVal&lt;&gt;"",_xlpm.MacVal,_xlpm.CSVVal&lt;&gt;"",PROPER(_xlpm.CSVVal)
)),"")</f>
        <v/>
      </c>
      <c r="H937" s="40" t="str" cm="1">
        <f t="array" ref="H937">IFERROR(_xlfn.LET(
_xlpm.CSVVal,_xlfn.XLOOKUP($A937,CSV!$A:$A,CSV!H:H,""),
_xlpm.MacVal,_xlfn.XLOOKUP($A937,Output_Mac!$A:$A,Output_Mac!H:H,""),
_xlpm.MyAuditVal,_xlfn.XLOOKUP($A937,My_Audit!$A:$A,My_Audit!G:G,""),
_xlfn.IFS(_xlpm.MyAuditVal&lt;&gt;"",_xlpm.MyAuditVal,_xlpm.MacVal&lt;&gt;"",_xlpm.MacVal,_xlpm.CSVVal&lt;&gt;"",_xlpm.CSVVal
)),"")</f>
        <v/>
      </c>
      <c r="I937" s="40" t="str">
        <f>_xlfn.XLOOKUP(A937,Output_Mac!A:A,Output_Mac!I:I,"")</f>
        <v/>
      </c>
      <c r="J937" s="40" t="str" cm="1">
        <f t="array" ref="J937">IFERROR(_xlfn.LET(
_xlpm.CSVVal,_xlfn.XLOOKUP($A937,CSV!$A:$A,CSV!I:I,""),
_xlpm.MacVal,_xlfn.XLOOKUP($A937,Output_Mac!$A:$A,Output_Mac!J:J,""),
_xlpm.MyAuditVal,_xlfn.XLOOKUP($A937,My_Audit!$A:$A,My_Audit!I:I,""),
_xlfn.IFS(_xlpm.MyAuditVal&lt;&gt;"",UPPER(_xlpm.MyAuditVal),_xlpm.MacVal&lt;&gt;"",_xlpm.MacVal,_xlpm.CSVVal&lt;&gt;"",_xlpm.CSVVal
)),"")</f>
        <v/>
      </c>
      <c r="K937" s="40" t="str" cm="1">
        <f t="array" ref="K937">IFERROR(_xlfn.LET(
_xlpm.CSVVal,_xlfn.XLOOKUP($A937,CSV!$A:$A,CSV!K:K,""),
_xlpm.MacVal,_xlfn.XLOOKUP($A937,Output_Mac!$A:$A,Output_Mac!K:K,""),
_xlpm.MyAuditVal,_xlfn.XLOOKUP($A937,My_Audit!$A:$A,My_Audit!J:J,""),
_xlfn.IFS(_xlpm.MyAuditVal&lt;&gt;"",UPPER(_xlpm.MyAuditVal),_xlpm.MacVal&lt;&gt;"",_xlpm.MacVal,_xlpm.CSVVal&lt;&gt;"",_xlpm.CSVVal
)),"")</f>
        <v/>
      </c>
      <c r="L937" s="40" t="str" cm="1">
        <f t="array" ref="L937">IFERROR(_xlfn.LET(
_xlpm.CSVVal,_xlfn.XLOOKUP($A937,CSV!$A:$A,CSV!P:P,""),
_xlpm.MacVal,_xlfn.XLOOKUP($A937,Output_Mac!$A:$A,Output_Mac!L:L,""),
_xlpm.MyAuditVal,_xlfn.XLOOKUP($A937,My_Audit!$A:$A,My_Audit!K:K,""),
_xlfn.IFS(_xlpm.MyAuditVal&lt;&gt;"",UPPER(_xlpm.MyAuditVal),_xlpm.MacVal&lt;&gt;"",_xlpm.MacVal,_xlpm.CSVVal&lt;&gt;"",_xlpm.CSVVal
)),"")</f>
        <v/>
      </c>
      <c r="M937" s="40" t="str" cm="1">
        <f t="array" ref="M937">IFERROR(_xlfn.LET(
_xlpm.CSVVal,_xlfn.XLOOKUP($A937,CSV!$A:$A,CSV!Q:Q,""),
_xlpm.MacVal,_xlfn.XLOOKUP($A937,Output_Mac!$A:$A,Output_Mac!M:M,""),
_xlpm.MyAuditVal,_xlfn.XLOOKUP($A937,My_Audit!$A:$A,My_Audit!L:L,""),
_xlfn.IFS(_xlpm.MyAuditVal&lt;&gt;"",UPPER(_xlpm.MyAuditVal),_xlpm.MacVal&lt;&gt;"",_xlpm.MacVal,_xlpm.CSVVal&lt;&gt;"",_xlpm.CSVVal
)),"")</f>
        <v/>
      </c>
      <c r="N937" s="40"/>
      <c r="O937" s="40" t="str">
        <f>_xlfn.LET(
    _xlpm.CSVVal, _xlfn.XLOOKUP($A937, CSV!$A:$A, CSV!AA:AA, ""),
    _xlpm.MacVal, _xlfn.XLOOKUP($A937, Output_Mac!$A:$A, Output_Mac!S:S, ""),
    _xlpm.MyAuditVal, _xlfn.XLOOKUP($A937, My_Audit!$A:$A, My_Audit!P:P, ""),
    _xlfn.TEXTJOIN(", ", TRUE, _xlpm.MyAuditVal, _xlpm.MacVal, _xlpm.CSVVal)
)</f>
        <v/>
      </c>
      <c r="P937" s="40" t="str" cm="1">
        <f t="array" ref="P937">IFERROR(_xlfn.LET(
_xlpm.CSVVal,_xlfn.XLOOKUP($A937,CSV!$A:$A,CSV!AB:AB,""),
_xlpm.MacVal,_xlfn.XLOOKUP($A937,Output_Mac!$A:$A,Output_Mac!T:T,""),
_xlpm.MyAuditVal,_xlfn.XLOOKUP($A937,My_Audit!$A:$A,My_Audit!Q:Q,""),
_xlfn.IFS(_xlpm.MyAuditVal&lt;&gt;"",UPPER(_xlpm.MyAuditVal),_xlpm.MacVal&lt;&gt;"",_xlpm.MacVal,_xlpm.CSVVal&lt;&gt;"",_xlpm.CSVVal
)),"No")</f>
        <v>No</v>
      </c>
      <c r="Q937" s="40" t="str" cm="1">
        <f t="array" ref="Q937">IFERROR(_xlfn.LET(
_xlpm.CSVVal,_xlfn.XLOOKUP($A937,CSV!$A:$A,CSV!AC:AC,""),
_xlpm.MacVal,_xlfn.XLOOKUP($A937,Output_Mac!$A:$A,Output_Mac!U:U,""),
_xlpm.MyAuditVal,_xlfn.XLOOKUP($A937,My_Audit!$A:$A,My_Audit!R:R,""),
_xlfn.IFS(_xlpm.MyAuditVal&lt;&gt;"",UPPER(_xlpm.MyAuditVal),_xlpm.MacVal&lt;&gt;"",_xlpm.MacVal,_xlpm.CSVVal&lt;&gt;"",_xlpm.CSVVal
)),"")</f>
        <v/>
      </c>
      <c r="R937" s="40"/>
      <c r="S937" s="40"/>
      <c r="T937" s="40"/>
      <c r="U937" s="40"/>
      <c r="V937" s="40"/>
      <c r="W937" s="40"/>
      <c r="X937" s="41" t="str">
        <f>_xlfn.LET(
    _xlpm.MacVal, _xlfn.XLOOKUP($A937, Output_Mac!$A:$A, Output_Mac!AB:AB, ""),
    _xlpm.MyAuditVal, _xlfn.XLOOKUP($A937, My_Audit!$A:$A, My_Audit!N:N, ""),
    _xlfn.TEXTJOIN(", ", TRUE, _xlpm.MyAuditVal, _xlpm.MacVal)
)</f>
        <v/>
      </c>
    </row>
    <row r="938" spans="1:24">
      <c r="A938" s="40" t="str">
        <f>_xlfn.TEXTJOIN("",TRUE,Input!$B$2,ROW(My_Audit!A937))</f>
        <v>X937</v>
      </c>
      <c r="B938" s="40" t="str">
        <f>_xlfn.TEXTJOIN("-",TRUE,"ITD",Input!$A$2,A938)</f>
        <v>ITD-X937</v>
      </c>
      <c r="C938" s="40" t="str" cm="1">
        <f t="array" ref="C938">IFERROR(_xlfn.LET(
_xlpm.CSVVal,_xlfn.XLOOKUP($A938,CSV!$A:$A,CSV!B:B,""),
_xlpm.MacVal,_xlfn.XLOOKUP($A938,Output_Mac!$A:$A,Output_Mac!B:B,""),
_xlpm.MyAuditVal,_xlfn.XLOOKUP($A938,My_Audit!$A:$A,My_Audit!B:B,""),
_xlfn.IFS(_xlpm.MyAuditVal&lt;&gt;"",UPPER(_xlpm.MyAuditVal),_xlpm.MacVal&lt;&gt;"",_xlpm.MacVal,_xlpm.CSVVal&lt;&gt;"",_xlpm.CSVVal
)),"")</f>
        <v/>
      </c>
      <c r="D938" s="40" t="str" cm="1">
        <f t="array" ref="D938">IFERROR(_xlfn.LET(
_xlpm.CSVVal,_xlfn.XLOOKUP($A938,CSV!$A:$A,CSV!D:D,""),
_xlpm.MacVal,_xlfn.XLOOKUP($A938,Output_Mac!$A:$A,Output_Mac!C:C,""),
_xlpm.MyAuditVal,_xlfn.XLOOKUP($A938,My_Audit!$A:$A,My_Audit!C:C,""),
_xlfn.IFS(_xlpm.MyAuditVal&lt;&gt;"",_xlpm.MyAuditVal,_xlpm.MacVal&lt;&gt;"",_xlpm.MacVal,_xlpm.CSVVal&lt;&gt;"",_xlpm.CSVVal
)),"")</f>
        <v/>
      </c>
      <c r="E938" s="40" t="str">
        <f>_xlfn.XLOOKUP(A938,My_Audit!A:A,My_Audit!D:D,"")</f>
        <v/>
      </c>
      <c r="F938" s="40" t="str" cm="1">
        <f t="array" ref="F938">IFERROR(_xlfn.LET(
_xlpm.CSVVal,_xlfn.XLOOKUP($A938,CSV!$A:$A,CSV!F:F,""),
_xlpm.MacVal,_xlfn.XLOOKUP($A938,Output_Mac!$A:$A,Output_Mac!E:E,""),
_xlpm.MyAuditVal,_xlfn.XLOOKUP($A938,My_Audit!$A:$A,My_Audit!E:E,""),
_xlfn.IFS(_xlpm.MyAuditVal&lt;&gt;"",_xlpm.MyAuditVal,_xlpm.MacVal&lt;&gt;"",_xlpm.MacVal,_xlpm.CSVVal&lt;&gt;"",_xlpm.CSVVal
)),"")</f>
        <v/>
      </c>
      <c r="G938" s="40" t="str" cm="1">
        <f t="array" ref="G938">IFERROR(_xlfn.LET(
_xlpm.CSVVal,_xlfn.XLOOKUP($A938,CSV!$A:$A,CSV!G:G,""),
_xlpm.MacVal,_xlfn.XLOOKUP($A938,Output_Mac!$A:$A,Output_Mac!F:F,""),
_xlpm.MyAuditVal,_xlfn.XLOOKUP($A938,My_Audit!$A:$A,My_Audit!F:F,""),
_xlfn.IFS(_xlpm.MyAuditVal&lt;&gt;"",_xlpm.MyAuditVal,_xlpm.MacVal&lt;&gt;"",_xlpm.MacVal,_xlpm.CSVVal&lt;&gt;"",PROPER(_xlpm.CSVVal)
)),"")</f>
        <v/>
      </c>
      <c r="H938" s="40" t="str" cm="1">
        <f t="array" ref="H938">IFERROR(_xlfn.LET(
_xlpm.CSVVal,_xlfn.XLOOKUP($A938,CSV!$A:$A,CSV!H:H,""),
_xlpm.MacVal,_xlfn.XLOOKUP($A938,Output_Mac!$A:$A,Output_Mac!H:H,""),
_xlpm.MyAuditVal,_xlfn.XLOOKUP($A938,My_Audit!$A:$A,My_Audit!G:G,""),
_xlfn.IFS(_xlpm.MyAuditVal&lt;&gt;"",_xlpm.MyAuditVal,_xlpm.MacVal&lt;&gt;"",_xlpm.MacVal,_xlpm.CSVVal&lt;&gt;"",_xlpm.CSVVal
)),"")</f>
        <v/>
      </c>
      <c r="I938" s="40" t="str">
        <f>_xlfn.XLOOKUP(A938,Output_Mac!A:A,Output_Mac!I:I,"")</f>
        <v/>
      </c>
      <c r="J938" s="40" t="str" cm="1">
        <f t="array" ref="J938">IFERROR(_xlfn.LET(
_xlpm.CSVVal,_xlfn.XLOOKUP($A938,CSV!$A:$A,CSV!I:I,""),
_xlpm.MacVal,_xlfn.XLOOKUP($A938,Output_Mac!$A:$A,Output_Mac!J:J,""),
_xlpm.MyAuditVal,_xlfn.XLOOKUP($A938,My_Audit!$A:$A,My_Audit!I:I,""),
_xlfn.IFS(_xlpm.MyAuditVal&lt;&gt;"",UPPER(_xlpm.MyAuditVal),_xlpm.MacVal&lt;&gt;"",_xlpm.MacVal,_xlpm.CSVVal&lt;&gt;"",_xlpm.CSVVal
)),"")</f>
        <v/>
      </c>
      <c r="K938" s="40" t="str" cm="1">
        <f t="array" ref="K938">IFERROR(_xlfn.LET(
_xlpm.CSVVal,_xlfn.XLOOKUP($A938,CSV!$A:$A,CSV!K:K,""),
_xlpm.MacVal,_xlfn.XLOOKUP($A938,Output_Mac!$A:$A,Output_Mac!K:K,""),
_xlpm.MyAuditVal,_xlfn.XLOOKUP($A938,My_Audit!$A:$A,My_Audit!J:J,""),
_xlfn.IFS(_xlpm.MyAuditVal&lt;&gt;"",UPPER(_xlpm.MyAuditVal),_xlpm.MacVal&lt;&gt;"",_xlpm.MacVal,_xlpm.CSVVal&lt;&gt;"",_xlpm.CSVVal
)),"")</f>
        <v/>
      </c>
      <c r="L938" s="40" t="str" cm="1">
        <f t="array" ref="L938">IFERROR(_xlfn.LET(
_xlpm.CSVVal,_xlfn.XLOOKUP($A938,CSV!$A:$A,CSV!P:P,""),
_xlpm.MacVal,_xlfn.XLOOKUP($A938,Output_Mac!$A:$A,Output_Mac!L:L,""),
_xlpm.MyAuditVal,_xlfn.XLOOKUP($A938,My_Audit!$A:$A,My_Audit!K:K,""),
_xlfn.IFS(_xlpm.MyAuditVal&lt;&gt;"",UPPER(_xlpm.MyAuditVal),_xlpm.MacVal&lt;&gt;"",_xlpm.MacVal,_xlpm.CSVVal&lt;&gt;"",_xlpm.CSVVal
)),"")</f>
        <v/>
      </c>
      <c r="M938" s="40" t="str" cm="1">
        <f t="array" ref="M938">IFERROR(_xlfn.LET(
_xlpm.CSVVal,_xlfn.XLOOKUP($A938,CSV!$A:$A,CSV!Q:Q,""),
_xlpm.MacVal,_xlfn.XLOOKUP($A938,Output_Mac!$A:$A,Output_Mac!M:M,""),
_xlpm.MyAuditVal,_xlfn.XLOOKUP($A938,My_Audit!$A:$A,My_Audit!L:L,""),
_xlfn.IFS(_xlpm.MyAuditVal&lt;&gt;"",UPPER(_xlpm.MyAuditVal),_xlpm.MacVal&lt;&gt;"",_xlpm.MacVal,_xlpm.CSVVal&lt;&gt;"",_xlpm.CSVVal
)),"")</f>
        <v/>
      </c>
      <c r="N938" s="40"/>
      <c r="O938" s="40" t="str">
        <f>_xlfn.LET(
    _xlpm.CSVVal, _xlfn.XLOOKUP($A938, CSV!$A:$A, CSV!AA:AA, ""),
    _xlpm.MacVal, _xlfn.XLOOKUP($A938, Output_Mac!$A:$A, Output_Mac!S:S, ""),
    _xlpm.MyAuditVal, _xlfn.XLOOKUP($A938, My_Audit!$A:$A, My_Audit!P:P, ""),
    _xlfn.TEXTJOIN(", ", TRUE, _xlpm.MyAuditVal, _xlpm.MacVal, _xlpm.CSVVal)
)</f>
        <v/>
      </c>
      <c r="P938" s="40" t="str" cm="1">
        <f t="array" ref="P938">IFERROR(_xlfn.LET(
_xlpm.CSVVal,_xlfn.XLOOKUP($A938,CSV!$A:$A,CSV!AB:AB,""),
_xlpm.MacVal,_xlfn.XLOOKUP($A938,Output_Mac!$A:$A,Output_Mac!T:T,""),
_xlpm.MyAuditVal,_xlfn.XLOOKUP($A938,My_Audit!$A:$A,My_Audit!Q:Q,""),
_xlfn.IFS(_xlpm.MyAuditVal&lt;&gt;"",UPPER(_xlpm.MyAuditVal),_xlpm.MacVal&lt;&gt;"",_xlpm.MacVal,_xlpm.CSVVal&lt;&gt;"",_xlpm.CSVVal
)),"No")</f>
        <v>No</v>
      </c>
      <c r="Q938" s="40" t="str" cm="1">
        <f t="array" ref="Q938">IFERROR(_xlfn.LET(
_xlpm.CSVVal,_xlfn.XLOOKUP($A938,CSV!$A:$A,CSV!AC:AC,""),
_xlpm.MacVal,_xlfn.XLOOKUP($A938,Output_Mac!$A:$A,Output_Mac!U:U,""),
_xlpm.MyAuditVal,_xlfn.XLOOKUP($A938,My_Audit!$A:$A,My_Audit!R:R,""),
_xlfn.IFS(_xlpm.MyAuditVal&lt;&gt;"",UPPER(_xlpm.MyAuditVal),_xlpm.MacVal&lt;&gt;"",_xlpm.MacVal,_xlpm.CSVVal&lt;&gt;"",_xlpm.CSVVal
)),"")</f>
        <v/>
      </c>
      <c r="R938" s="40"/>
      <c r="S938" s="40"/>
      <c r="T938" s="40"/>
      <c r="U938" s="40"/>
      <c r="V938" s="40"/>
      <c r="W938" s="40"/>
      <c r="X938" s="41" t="str">
        <f>_xlfn.LET(
    _xlpm.MacVal, _xlfn.XLOOKUP($A938, Output_Mac!$A:$A, Output_Mac!AB:AB, ""),
    _xlpm.MyAuditVal, _xlfn.XLOOKUP($A938, My_Audit!$A:$A, My_Audit!N:N, ""),
    _xlfn.TEXTJOIN(", ", TRUE, _xlpm.MyAuditVal, _xlpm.MacVal)
)</f>
        <v/>
      </c>
    </row>
    <row r="939" spans="1:24">
      <c r="A939" s="40" t="str">
        <f>_xlfn.TEXTJOIN("",TRUE,Input!$B$2,ROW(My_Audit!A938))</f>
        <v>X938</v>
      </c>
      <c r="B939" s="40" t="str">
        <f>_xlfn.TEXTJOIN("-",TRUE,"ITD",Input!$A$2,A939)</f>
        <v>ITD-X938</v>
      </c>
      <c r="C939" s="40" t="str" cm="1">
        <f t="array" ref="C939">IFERROR(_xlfn.LET(
_xlpm.CSVVal,_xlfn.XLOOKUP($A939,CSV!$A:$A,CSV!B:B,""),
_xlpm.MacVal,_xlfn.XLOOKUP($A939,Output_Mac!$A:$A,Output_Mac!B:B,""),
_xlpm.MyAuditVal,_xlfn.XLOOKUP($A939,My_Audit!$A:$A,My_Audit!B:B,""),
_xlfn.IFS(_xlpm.MyAuditVal&lt;&gt;"",UPPER(_xlpm.MyAuditVal),_xlpm.MacVal&lt;&gt;"",_xlpm.MacVal,_xlpm.CSVVal&lt;&gt;"",_xlpm.CSVVal
)),"")</f>
        <v/>
      </c>
      <c r="D939" s="40" t="str" cm="1">
        <f t="array" ref="D939">IFERROR(_xlfn.LET(
_xlpm.CSVVal,_xlfn.XLOOKUP($A939,CSV!$A:$A,CSV!D:D,""),
_xlpm.MacVal,_xlfn.XLOOKUP($A939,Output_Mac!$A:$A,Output_Mac!C:C,""),
_xlpm.MyAuditVal,_xlfn.XLOOKUP($A939,My_Audit!$A:$A,My_Audit!C:C,""),
_xlfn.IFS(_xlpm.MyAuditVal&lt;&gt;"",_xlpm.MyAuditVal,_xlpm.MacVal&lt;&gt;"",_xlpm.MacVal,_xlpm.CSVVal&lt;&gt;"",_xlpm.CSVVal
)),"")</f>
        <v/>
      </c>
      <c r="E939" s="40" t="str">
        <f>_xlfn.XLOOKUP(A939,My_Audit!A:A,My_Audit!D:D,"")</f>
        <v/>
      </c>
      <c r="F939" s="40" t="str" cm="1">
        <f t="array" ref="F939">IFERROR(_xlfn.LET(
_xlpm.CSVVal,_xlfn.XLOOKUP($A939,CSV!$A:$A,CSV!F:F,""),
_xlpm.MacVal,_xlfn.XLOOKUP($A939,Output_Mac!$A:$A,Output_Mac!E:E,""),
_xlpm.MyAuditVal,_xlfn.XLOOKUP($A939,My_Audit!$A:$A,My_Audit!E:E,""),
_xlfn.IFS(_xlpm.MyAuditVal&lt;&gt;"",_xlpm.MyAuditVal,_xlpm.MacVal&lt;&gt;"",_xlpm.MacVal,_xlpm.CSVVal&lt;&gt;"",_xlpm.CSVVal
)),"")</f>
        <v/>
      </c>
      <c r="G939" s="40" t="str" cm="1">
        <f t="array" ref="G939">IFERROR(_xlfn.LET(
_xlpm.CSVVal,_xlfn.XLOOKUP($A939,CSV!$A:$A,CSV!G:G,""),
_xlpm.MacVal,_xlfn.XLOOKUP($A939,Output_Mac!$A:$A,Output_Mac!F:F,""),
_xlpm.MyAuditVal,_xlfn.XLOOKUP($A939,My_Audit!$A:$A,My_Audit!F:F,""),
_xlfn.IFS(_xlpm.MyAuditVal&lt;&gt;"",_xlpm.MyAuditVal,_xlpm.MacVal&lt;&gt;"",_xlpm.MacVal,_xlpm.CSVVal&lt;&gt;"",PROPER(_xlpm.CSVVal)
)),"")</f>
        <v/>
      </c>
      <c r="H939" s="40" t="str" cm="1">
        <f t="array" ref="H939">IFERROR(_xlfn.LET(
_xlpm.CSVVal,_xlfn.XLOOKUP($A939,CSV!$A:$A,CSV!H:H,""),
_xlpm.MacVal,_xlfn.XLOOKUP($A939,Output_Mac!$A:$A,Output_Mac!H:H,""),
_xlpm.MyAuditVal,_xlfn.XLOOKUP($A939,My_Audit!$A:$A,My_Audit!G:G,""),
_xlfn.IFS(_xlpm.MyAuditVal&lt;&gt;"",_xlpm.MyAuditVal,_xlpm.MacVal&lt;&gt;"",_xlpm.MacVal,_xlpm.CSVVal&lt;&gt;"",_xlpm.CSVVal
)),"")</f>
        <v/>
      </c>
      <c r="I939" s="40" t="str">
        <f>_xlfn.XLOOKUP(A939,Output_Mac!A:A,Output_Mac!I:I,"")</f>
        <v/>
      </c>
      <c r="J939" s="40" t="str" cm="1">
        <f t="array" ref="J939">IFERROR(_xlfn.LET(
_xlpm.CSVVal,_xlfn.XLOOKUP($A939,CSV!$A:$A,CSV!I:I,""),
_xlpm.MacVal,_xlfn.XLOOKUP($A939,Output_Mac!$A:$A,Output_Mac!J:J,""),
_xlpm.MyAuditVal,_xlfn.XLOOKUP($A939,My_Audit!$A:$A,My_Audit!I:I,""),
_xlfn.IFS(_xlpm.MyAuditVal&lt;&gt;"",UPPER(_xlpm.MyAuditVal),_xlpm.MacVal&lt;&gt;"",_xlpm.MacVal,_xlpm.CSVVal&lt;&gt;"",_xlpm.CSVVal
)),"")</f>
        <v/>
      </c>
      <c r="K939" s="40" t="str" cm="1">
        <f t="array" ref="K939">IFERROR(_xlfn.LET(
_xlpm.CSVVal,_xlfn.XLOOKUP($A939,CSV!$A:$A,CSV!K:K,""),
_xlpm.MacVal,_xlfn.XLOOKUP($A939,Output_Mac!$A:$A,Output_Mac!K:K,""),
_xlpm.MyAuditVal,_xlfn.XLOOKUP($A939,My_Audit!$A:$A,My_Audit!J:J,""),
_xlfn.IFS(_xlpm.MyAuditVal&lt;&gt;"",UPPER(_xlpm.MyAuditVal),_xlpm.MacVal&lt;&gt;"",_xlpm.MacVal,_xlpm.CSVVal&lt;&gt;"",_xlpm.CSVVal
)),"")</f>
        <v/>
      </c>
      <c r="L939" s="40" t="str" cm="1">
        <f t="array" ref="L939">IFERROR(_xlfn.LET(
_xlpm.CSVVal,_xlfn.XLOOKUP($A939,CSV!$A:$A,CSV!P:P,""),
_xlpm.MacVal,_xlfn.XLOOKUP($A939,Output_Mac!$A:$A,Output_Mac!L:L,""),
_xlpm.MyAuditVal,_xlfn.XLOOKUP($A939,My_Audit!$A:$A,My_Audit!K:K,""),
_xlfn.IFS(_xlpm.MyAuditVal&lt;&gt;"",UPPER(_xlpm.MyAuditVal),_xlpm.MacVal&lt;&gt;"",_xlpm.MacVal,_xlpm.CSVVal&lt;&gt;"",_xlpm.CSVVal
)),"")</f>
        <v/>
      </c>
      <c r="M939" s="40" t="str" cm="1">
        <f t="array" ref="M939">IFERROR(_xlfn.LET(
_xlpm.CSVVal,_xlfn.XLOOKUP($A939,CSV!$A:$A,CSV!Q:Q,""),
_xlpm.MacVal,_xlfn.XLOOKUP($A939,Output_Mac!$A:$A,Output_Mac!M:M,""),
_xlpm.MyAuditVal,_xlfn.XLOOKUP($A939,My_Audit!$A:$A,My_Audit!L:L,""),
_xlfn.IFS(_xlpm.MyAuditVal&lt;&gt;"",UPPER(_xlpm.MyAuditVal),_xlpm.MacVal&lt;&gt;"",_xlpm.MacVal,_xlpm.CSVVal&lt;&gt;"",_xlpm.CSVVal
)),"")</f>
        <v/>
      </c>
      <c r="N939" s="40"/>
      <c r="O939" s="40" t="str">
        <f>_xlfn.LET(
    _xlpm.CSVVal, _xlfn.XLOOKUP($A939, CSV!$A:$A, CSV!AA:AA, ""),
    _xlpm.MacVal, _xlfn.XLOOKUP($A939, Output_Mac!$A:$A, Output_Mac!S:S, ""),
    _xlpm.MyAuditVal, _xlfn.XLOOKUP($A939, My_Audit!$A:$A, My_Audit!P:P, ""),
    _xlfn.TEXTJOIN(", ", TRUE, _xlpm.MyAuditVal, _xlpm.MacVal, _xlpm.CSVVal)
)</f>
        <v/>
      </c>
      <c r="P939" s="40" t="str" cm="1">
        <f t="array" ref="P939">IFERROR(_xlfn.LET(
_xlpm.CSVVal,_xlfn.XLOOKUP($A939,CSV!$A:$A,CSV!AB:AB,""),
_xlpm.MacVal,_xlfn.XLOOKUP($A939,Output_Mac!$A:$A,Output_Mac!T:T,""),
_xlpm.MyAuditVal,_xlfn.XLOOKUP($A939,My_Audit!$A:$A,My_Audit!Q:Q,""),
_xlfn.IFS(_xlpm.MyAuditVal&lt;&gt;"",UPPER(_xlpm.MyAuditVal),_xlpm.MacVal&lt;&gt;"",_xlpm.MacVal,_xlpm.CSVVal&lt;&gt;"",_xlpm.CSVVal
)),"No")</f>
        <v>No</v>
      </c>
      <c r="Q939" s="40" t="str" cm="1">
        <f t="array" ref="Q939">IFERROR(_xlfn.LET(
_xlpm.CSVVal,_xlfn.XLOOKUP($A939,CSV!$A:$A,CSV!AC:AC,""),
_xlpm.MacVal,_xlfn.XLOOKUP($A939,Output_Mac!$A:$A,Output_Mac!U:U,""),
_xlpm.MyAuditVal,_xlfn.XLOOKUP($A939,My_Audit!$A:$A,My_Audit!R:R,""),
_xlfn.IFS(_xlpm.MyAuditVal&lt;&gt;"",UPPER(_xlpm.MyAuditVal),_xlpm.MacVal&lt;&gt;"",_xlpm.MacVal,_xlpm.CSVVal&lt;&gt;"",_xlpm.CSVVal
)),"")</f>
        <v/>
      </c>
      <c r="R939" s="40"/>
      <c r="S939" s="40"/>
      <c r="T939" s="40"/>
      <c r="U939" s="40"/>
      <c r="V939" s="40"/>
      <c r="W939" s="40"/>
      <c r="X939" s="41" t="str">
        <f>_xlfn.LET(
    _xlpm.MacVal, _xlfn.XLOOKUP($A939, Output_Mac!$A:$A, Output_Mac!AB:AB, ""),
    _xlpm.MyAuditVal, _xlfn.XLOOKUP($A939, My_Audit!$A:$A, My_Audit!N:N, ""),
    _xlfn.TEXTJOIN(", ", TRUE, _xlpm.MyAuditVal, _xlpm.MacVal)
)</f>
        <v/>
      </c>
    </row>
    <row r="940" spans="1:24">
      <c r="A940" s="40" t="str">
        <f>_xlfn.TEXTJOIN("",TRUE,Input!$B$2,ROW(My_Audit!A939))</f>
        <v>X939</v>
      </c>
      <c r="B940" s="40" t="str">
        <f>_xlfn.TEXTJOIN("-",TRUE,"ITD",Input!$A$2,A940)</f>
        <v>ITD-X939</v>
      </c>
      <c r="C940" s="40" t="str" cm="1">
        <f t="array" ref="C940">IFERROR(_xlfn.LET(
_xlpm.CSVVal,_xlfn.XLOOKUP($A940,CSV!$A:$A,CSV!B:B,""),
_xlpm.MacVal,_xlfn.XLOOKUP($A940,Output_Mac!$A:$A,Output_Mac!B:B,""),
_xlpm.MyAuditVal,_xlfn.XLOOKUP($A940,My_Audit!$A:$A,My_Audit!B:B,""),
_xlfn.IFS(_xlpm.MyAuditVal&lt;&gt;"",UPPER(_xlpm.MyAuditVal),_xlpm.MacVal&lt;&gt;"",_xlpm.MacVal,_xlpm.CSVVal&lt;&gt;"",_xlpm.CSVVal
)),"")</f>
        <v/>
      </c>
      <c r="D940" s="40" t="str" cm="1">
        <f t="array" ref="D940">IFERROR(_xlfn.LET(
_xlpm.CSVVal,_xlfn.XLOOKUP($A940,CSV!$A:$A,CSV!D:D,""),
_xlpm.MacVal,_xlfn.XLOOKUP($A940,Output_Mac!$A:$A,Output_Mac!C:C,""),
_xlpm.MyAuditVal,_xlfn.XLOOKUP($A940,My_Audit!$A:$A,My_Audit!C:C,""),
_xlfn.IFS(_xlpm.MyAuditVal&lt;&gt;"",_xlpm.MyAuditVal,_xlpm.MacVal&lt;&gt;"",_xlpm.MacVal,_xlpm.CSVVal&lt;&gt;"",_xlpm.CSVVal
)),"")</f>
        <v/>
      </c>
      <c r="E940" s="40" t="str">
        <f>_xlfn.XLOOKUP(A940,My_Audit!A:A,My_Audit!D:D,"")</f>
        <v/>
      </c>
      <c r="F940" s="40" t="str" cm="1">
        <f t="array" ref="F940">IFERROR(_xlfn.LET(
_xlpm.CSVVal,_xlfn.XLOOKUP($A940,CSV!$A:$A,CSV!F:F,""),
_xlpm.MacVal,_xlfn.XLOOKUP($A940,Output_Mac!$A:$A,Output_Mac!E:E,""),
_xlpm.MyAuditVal,_xlfn.XLOOKUP($A940,My_Audit!$A:$A,My_Audit!E:E,""),
_xlfn.IFS(_xlpm.MyAuditVal&lt;&gt;"",_xlpm.MyAuditVal,_xlpm.MacVal&lt;&gt;"",_xlpm.MacVal,_xlpm.CSVVal&lt;&gt;"",_xlpm.CSVVal
)),"")</f>
        <v/>
      </c>
      <c r="G940" s="40" t="str" cm="1">
        <f t="array" ref="G940">IFERROR(_xlfn.LET(
_xlpm.CSVVal,_xlfn.XLOOKUP($A940,CSV!$A:$A,CSV!G:G,""),
_xlpm.MacVal,_xlfn.XLOOKUP($A940,Output_Mac!$A:$A,Output_Mac!F:F,""),
_xlpm.MyAuditVal,_xlfn.XLOOKUP($A940,My_Audit!$A:$A,My_Audit!F:F,""),
_xlfn.IFS(_xlpm.MyAuditVal&lt;&gt;"",_xlpm.MyAuditVal,_xlpm.MacVal&lt;&gt;"",_xlpm.MacVal,_xlpm.CSVVal&lt;&gt;"",PROPER(_xlpm.CSVVal)
)),"")</f>
        <v/>
      </c>
      <c r="H940" s="40" t="str" cm="1">
        <f t="array" ref="H940">IFERROR(_xlfn.LET(
_xlpm.CSVVal,_xlfn.XLOOKUP($A940,CSV!$A:$A,CSV!H:H,""),
_xlpm.MacVal,_xlfn.XLOOKUP($A940,Output_Mac!$A:$A,Output_Mac!H:H,""),
_xlpm.MyAuditVal,_xlfn.XLOOKUP($A940,My_Audit!$A:$A,My_Audit!G:G,""),
_xlfn.IFS(_xlpm.MyAuditVal&lt;&gt;"",_xlpm.MyAuditVal,_xlpm.MacVal&lt;&gt;"",_xlpm.MacVal,_xlpm.CSVVal&lt;&gt;"",_xlpm.CSVVal
)),"")</f>
        <v/>
      </c>
      <c r="I940" s="40" t="str">
        <f>_xlfn.XLOOKUP(A940,Output_Mac!A:A,Output_Mac!I:I,"")</f>
        <v/>
      </c>
      <c r="J940" s="40" t="str" cm="1">
        <f t="array" ref="J940">IFERROR(_xlfn.LET(
_xlpm.CSVVal,_xlfn.XLOOKUP($A940,CSV!$A:$A,CSV!I:I,""),
_xlpm.MacVal,_xlfn.XLOOKUP($A940,Output_Mac!$A:$A,Output_Mac!J:J,""),
_xlpm.MyAuditVal,_xlfn.XLOOKUP($A940,My_Audit!$A:$A,My_Audit!I:I,""),
_xlfn.IFS(_xlpm.MyAuditVal&lt;&gt;"",UPPER(_xlpm.MyAuditVal),_xlpm.MacVal&lt;&gt;"",_xlpm.MacVal,_xlpm.CSVVal&lt;&gt;"",_xlpm.CSVVal
)),"")</f>
        <v/>
      </c>
      <c r="K940" s="40" t="str" cm="1">
        <f t="array" ref="K940">IFERROR(_xlfn.LET(
_xlpm.CSVVal,_xlfn.XLOOKUP($A940,CSV!$A:$A,CSV!K:K,""),
_xlpm.MacVal,_xlfn.XLOOKUP($A940,Output_Mac!$A:$A,Output_Mac!K:K,""),
_xlpm.MyAuditVal,_xlfn.XLOOKUP($A940,My_Audit!$A:$A,My_Audit!J:J,""),
_xlfn.IFS(_xlpm.MyAuditVal&lt;&gt;"",UPPER(_xlpm.MyAuditVal),_xlpm.MacVal&lt;&gt;"",_xlpm.MacVal,_xlpm.CSVVal&lt;&gt;"",_xlpm.CSVVal
)),"")</f>
        <v/>
      </c>
      <c r="L940" s="40" t="str" cm="1">
        <f t="array" ref="L940">IFERROR(_xlfn.LET(
_xlpm.CSVVal,_xlfn.XLOOKUP($A940,CSV!$A:$A,CSV!P:P,""),
_xlpm.MacVal,_xlfn.XLOOKUP($A940,Output_Mac!$A:$A,Output_Mac!L:L,""),
_xlpm.MyAuditVal,_xlfn.XLOOKUP($A940,My_Audit!$A:$A,My_Audit!K:K,""),
_xlfn.IFS(_xlpm.MyAuditVal&lt;&gt;"",UPPER(_xlpm.MyAuditVal),_xlpm.MacVal&lt;&gt;"",_xlpm.MacVal,_xlpm.CSVVal&lt;&gt;"",_xlpm.CSVVal
)),"")</f>
        <v/>
      </c>
      <c r="M940" s="40" t="str" cm="1">
        <f t="array" ref="M940">IFERROR(_xlfn.LET(
_xlpm.CSVVal,_xlfn.XLOOKUP($A940,CSV!$A:$A,CSV!Q:Q,""),
_xlpm.MacVal,_xlfn.XLOOKUP($A940,Output_Mac!$A:$A,Output_Mac!M:M,""),
_xlpm.MyAuditVal,_xlfn.XLOOKUP($A940,My_Audit!$A:$A,My_Audit!L:L,""),
_xlfn.IFS(_xlpm.MyAuditVal&lt;&gt;"",UPPER(_xlpm.MyAuditVal),_xlpm.MacVal&lt;&gt;"",_xlpm.MacVal,_xlpm.CSVVal&lt;&gt;"",_xlpm.CSVVal
)),"")</f>
        <v/>
      </c>
      <c r="N940" s="40"/>
      <c r="O940" s="40" t="str">
        <f>_xlfn.LET(
    _xlpm.CSVVal, _xlfn.XLOOKUP($A940, CSV!$A:$A, CSV!AA:AA, ""),
    _xlpm.MacVal, _xlfn.XLOOKUP($A940, Output_Mac!$A:$A, Output_Mac!S:S, ""),
    _xlpm.MyAuditVal, _xlfn.XLOOKUP($A940, My_Audit!$A:$A, My_Audit!P:P, ""),
    _xlfn.TEXTJOIN(", ", TRUE, _xlpm.MyAuditVal, _xlpm.MacVal, _xlpm.CSVVal)
)</f>
        <v/>
      </c>
      <c r="P940" s="40" t="str" cm="1">
        <f t="array" ref="P940">IFERROR(_xlfn.LET(
_xlpm.CSVVal,_xlfn.XLOOKUP($A940,CSV!$A:$A,CSV!AB:AB,""),
_xlpm.MacVal,_xlfn.XLOOKUP($A940,Output_Mac!$A:$A,Output_Mac!T:T,""),
_xlpm.MyAuditVal,_xlfn.XLOOKUP($A940,My_Audit!$A:$A,My_Audit!Q:Q,""),
_xlfn.IFS(_xlpm.MyAuditVal&lt;&gt;"",UPPER(_xlpm.MyAuditVal),_xlpm.MacVal&lt;&gt;"",_xlpm.MacVal,_xlpm.CSVVal&lt;&gt;"",_xlpm.CSVVal
)),"No")</f>
        <v>No</v>
      </c>
      <c r="Q940" s="40" t="str" cm="1">
        <f t="array" ref="Q940">IFERROR(_xlfn.LET(
_xlpm.CSVVal,_xlfn.XLOOKUP($A940,CSV!$A:$A,CSV!AC:AC,""),
_xlpm.MacVal,_xlfn.XLOOKUP($A940,Output_Mac!$A:$A,Output_Mac!U:U,""),
_xlpm.MyAuditVal,_xlfn.XLOOKUP($A940,My_Audit!$A:$A,My_Audit!R:R,""),
_xlfn.IFS(_xlpm.MyAuditVal&lt;&gt;"",UPPER(_xlpm.MyAuditVal),_xlpm.MacVal&lt;&gt;"",_xlpm.MacVal,_xlpm.CSVVal&lt;&gt;"",_xlpm.CSVVal
)),"")</f>
        <v/>
      </c>
      <c r="R940" s="40"/>
      <c r="S940" s="40"/>
      <c r="T940" s="40"/>
      <c r="U940" s="40"/>
      <c r="V940" s="40"/>
      <c r="W940" s="40"/>
      <c r="X940" s="41" t="str">
        <f>_xlfn.LET(
    _xlpm.MacVal, _xlfn.XLOOKUP($A940, Output_Mac!$A:$A, Output_Mac!AB:AB, ""),
    _xlpm.MyAuditVal, _xlfn.XLOOKUP($A940, My_Audit!$A:$A, My_Audit!N:N, ""),
    _xlfn.TEXTJOIN(", ", TRUE, _xlpm.MyAuditVal, _xlpm.MacVal)
)</f>
        <v/>
      </c>
    </row>
    <row r="941" spans="1:24">
      <c r="A941" s="40" t="str">
        <f>_xlfn.TEXTJOIN("",TRUE,Input!$B$2,ROW(My_Audit!A940))</f>
        <v>X940</v>
      </c>
      <c r="B941" s="40" t="str">
        <f>_xlfn.TEXTJOIN("-",TRUE,"ITD",Input!$A$2,A941)</f>
        <v>ITD-X940</v>
      </c>
      <c r="C941" s="40" t="str" cm="1">
        <f t="array" ref="C941">IFERROR(_xlfn.LET(
_xlpm.CSVVal,_xlfn.XLOOKUP($A941,CSV!$A:$A,CSV!B:B,""),
_xlpm.MacVal,_xlfn.XLOOKUP($A941,Output_Mac!$A:$A,Output_Mac!B:B,""),
_xlpm.MyAuditVal,_xlfn.XLOOKUP($A941,My_Audit!$A:$A,My_Audit!B:B,""),
_xlfn.IFS(_xlpm.MyAuditVal&lt;&gt;"",UPPER(_xlpm.MyAuditVal),_xlpm.MacVal&lt;&gt;"",_xlpm.MacVal,_xlpm.CSVVal&lt;&gt;"",_xlpm.CSVVal
)),"")</f>
        <v/>
      </c>
      <c r="D941" s="40" t="str" cm="1">
        <f t="array" ref="D941">IFERROR(_xlfn.LET(
_xlpm.CSVVal,_xlfn.XLOOKUP($A941,CSV!$A:$A,CSV!D:D,""),
_xlpm.MacVal,_xlfn.XLOOKUP($A941,Output_Mac!$A:$A,Output_Mac!C:C,""),
_xlpm.MyAuditVal,_xlfn.XLOOKUP($A941,My_Audit!$A:$A,My_Audit!C:C,""),
_xlfn.IFS(_xlpm.MyAuditVal&lt;&gt;"",_xlpm.MyAuditVal,_xlpm.MacVal&lt;&gt;"",_xlpm.MacVal,_xlpm.CSVVal&lt;&gt;"",_xlpm.CSVVal
)),"")</f>
        <v/>
      </c>
      <c r="E941" s="40" t="str">
        <f>_xlfn.XLOOKUP(A941,My_Audit!A:A,My_Audit!D:D,"")</f>
        <v/>
      </c>
      <c r="F941" s="40" t="str" cm="1">
        <f t="array" ref="F941">IFERROR(_xlfn.LET(
_xlpm.CSVVal,_xlfn.XLOOKUP($A941,CSV!$A:$A,CSV!F:F,""),
_xlpm.MacVal,_xlfn.XLOOKUP($A941,Output_Mac!$A:$A,Output_Mac!E:E,""),
_xlpm.MyAuditVal,_xlfn.XLOOKUP($A941,My_Audit!$A:$A,My_Audit!E:E,""),
_xlfn.IFS(_xlpm.MyAuditVal&lt;&gt;"",_xlpm.MyAuditVal,_xlpm.MacVal&lt;&gt;"",_xlpm.MacVal,_xlpm.CSVVal&lt;&gt;"",_xlpm.CSVVal
)),"")</f>
        <v/>
      </c>
      <c r="G941" s="40" t="str" cm="1">
        <f t="array" ref="G941">IFERROR(_xlfn.LET(
_xlpm.CSVVal,_xlfn.XLOOKUP($A941,CSV!$A:$A,CSV!G:G,""),
_xlpm.MacVal,_xlfn.XLOOKUP($A941,Output_Mac!$A:$A,Output_Mac!F:F,""),
_xlpm.MyAuditVal,_xlfn.XLOOKUP($A941,My_Audit!$A:$A,My_Audit!F:F,""),
_xlfn.IFS(_xlpm.MyAuditVal&lt;&gt;"",_xlpm.MyAuditVal,_xlpm.MacVal&lt;&gt;"",_xlpm.MacVal,_xlpm.CSVVal&lt;&gt;"",PROPER(_xlpm.CSVVal)
)),"")</f>
        <v/>
      </c>
      <c r="H941" s="40" t="str" cm="1">
        <f t="array" ref="H941">IFERROR(_xlfn.LET(
_xlpm.CSVVal,_xlfn.XLOOKUP($A941,CSV!$A:$A,CSV!H:H,""),
_xlpm.MacVal,_xlfn.XLOOKUP($A941,Output_Mac!$A:$A,Output_Mac!H:H,""),
_xlpm.MyAuditVal,_xlfn.XLOOKUP($A941,My_Audit!$A:$A,My_Audit!G:G,""),
_xlfn.IFS(_xlpm.MyAuditVal&lt;&gt;"",_xlpm.MyAuditVal,_xlpm.MacVal&lt;&gt;"",_xlpm.MacVal,_xlpm.CSVVal&lt;&gt;"",_xlpm.CSVVal
)),"")</f>
        <v/>
      </c>
      <c r="I941" s="40" t="str">
        <f>_xlfn.XLOOKUP(A941,Output_Mac!A:A,Output_Mac!I:I,"")</f>
        <v/>
      </c>
      <c r="J941" s="40" t="str" cm="1">
        <f t="array" ref="J941">IFERROR(_xlfn.LET(
_xlpm.CSVVal,_xlfn.XLOOKUP($A941,CSV!$A:$A,CSV!I:I,""),
_xlpm.MacVal,_xlfn.XLOOKUP($A941,Output_Mac!$A:$A,Output_Mac!J:J,""),
_xlpm.MyAuditVal,_xlfn.XLOOKUP($A941,My_Audit!$A:$A,My_Audit!I:I,""),
_xlfn.IFS(_xlpm.MyAuditVal&lt;&gt;"",UPPER(_xlpm.MyAuditVal),_xlpm.MacVal&lt;&gt;"",_xlpm.MacVal,_xlpm.CSVVal&lt;&gt;"",_xlpm.CSVVal
)),"")</f>
        <v/>
      </c>
      <c r="K941" s="40" t="str" cm="1">
        <f t="array" ref="K941">IFERROR(_xlfn.LET(
_xlpm.CSVVal,_xlfn.XLOOKUP($A941,CSV!$A:$A,CSV!K:K,""),
_xlpm.MacVal,_xlfn.XLOOKUP($A941,Output_Mac!$A:$A,Output_Mac!K:K,""),
_xlpm.MyAuditVal,_xlfn.XLOOKUP($A941,My_Audit!$A:$A,My_Audit!J:J,""),
_xlfn.IFS(_xlpm.MyAuditVal&lt;&gt;"",UPPER(_xlpm.MyAuditVal),_xlpm.MacVal&lt;&gt;"",_xlpm.MacVal,_xlpm.CSVVal&lt;&gt;"",_xlpm.CSVVal
)),"")</f>
        <v/>
      </c>
      <c r="L941" s="40" t="str" cm="1">
        <f t="array" ref="L941">IFERROR(_xlfn.LET(
_xlpm.CSVVal,_xlfn.XLOOKUP($A941,CSV!$A:$A,CSV!P:P,""),
_xlpm.MacVal,_xlfn.XLOOKUP($A941,Output_Mac!$A:$A,Output_Mac!L:L,""),
_xlpm.MyAuditVal,_xlfn.XLOOKUP($A941,My_Audit!$A:$A,My_Audit!K:K,""),
_xlfn.IFS(_xlpm.MyAuditVal&lt;&gt;"",UPPER(_xlpm.MyAuditVal),_xlpm.MacVal&lt;&gt;"",_xlpm.MacVal,_xlpm.CSVVal&lt;&gt;"",_xlpm.CSVVal
)),"")</f>
        <v/>
      </c>
      <c r="M941" s="40" t="str" cm="1">
        <f t="array" ref="M941">IFERROR(_xlfn.LET(
_xlpm.CSVVal,_xlfn.XLOOKUP($A941,CSV!$A:$A,CSV!Q:Q,""),
_xlpm.MacVal,_xlfn.XLOOKUP($A941,Output_Mac!$A:$A,Output_Mac!M:M,""),
_xlpm.MyAuditVal,_xlfn.XLOOKUP($A941,My_Audit!$A:$A,My_Audit!L:L,""),
_xlfn.IFS(_xlpm.MyAuditVal&lt;&gt;"",UPPER(_xlpm.MyAuditVal),_xlpm.MacVal&lt;&gt;"",_xlpm.MacVal,_xlpm.CSVVal&lt;&gt;"",_xlpm.CSVVal
)),"")</f>
        <v/>
      </c>
      <c r="N941" s="40"/>
      <c r="O941" s="40" t="str">
        <f>_xlfn.LET(
    _xlpm.CSVVal, _xlfn.XLOOKUP($A941, CSV!$A:$A, CSV!AA:AA, ""),
    _xlpm.MacVal, _xlfn.XLOOKUP($A941, Output_Mac!$A:$A, Output_Mac!S:S, ""),
    _xlpm.MyAuditVal, _xlfn.XLOOKUP($A941, My_Audit!$A:$A, My_Audit!P:P, ""),
    _xlfn.TEXTJOIN(", ", TRUE, _xlpm.MyAuditVal, _xlpm.MacVal, _xlpm.CSVVal)
)</f>
        <v/>
      </c>
      <c r="P941" s="40" t="str" cm="1">
        <f t="array" ref="P941">IFERROR(_xlfn.LET(
_xlpm.CSVVal,_xlfn.XLOOKUP($A941,CSV!$A:$A,CSV!AB:AB,""),
_xlpm.MacVal,_xlfn.XLOOKUP($A941,Output_Mac!$A:$A,Output_Mac!T:T,""),
_xlpm.MyAuditVal,_xlfn.XLOOKUP($A941,My_Audit!$A:$A,My_Audit!Q:Q,""),
_xlfn.IFS(_xlpm.MyAuditVal&lt;&gt;"",UPPER(_xlpm.MyAuditVal),_xlpm.MacVal&lt;&gt;"",_xlpm.MacVal,_xlpm.CSVVal&lt;&gt;"",_xlpm.CSVVal
)),"No")</f>
        <v>No</v>
      </c>
      <c r="Q941" s="40" t="str" cm="1">
        <f t="array" ref="Q941">IFERROR(_xlfn.LET(
_xlpm.CSVVal,_xlfn.XLOOKUP($A941,CSV!$A:$A,CSV!AC:AC,""),
_xlpm.MacVal,_xlfn.XLOOKUP($A941,Output_Mac!$A:$A,Output_Mac!U:U,""),
_xlpm.MyAuditVal,_xlfn.XLOOKUP($A941,My_Audit!$A:$A,My_Audit!R:R,""),
_xlfn.IFS(_xlpm.MyAuditVal&lt;&gt;"",UPPER(_xlpm.MyAuditVal),_xlpm.MacVal&lt;&gt;"",_xlpm.MacVal,_xlpm.CSVVal&lt;&gt;"",_xlpm.CSVVal
)),"")</f>
        <v/>
      </c>
      <c r="R941" s="40"/>
      <c r="S941" s="40"/>
      <c r="T941" s="40"/>
      <c r="U941" s="40"/>
      <c r="V941" s="40"/>
      <c r="W941" s="40"/>
      <c r="X941" s="41" t="str">
        <f>_xlfn.LET(
    _xlpm.MacVal, _xlfn.XLOOKUP($A941, Output_Mac!$A:$A, Output_Mac!AB:AB, ""),
    _xlpm.MyAuditVal, _xlfn.XLOOKUP($A941, My_Audit!$A:$A, My_Audit!N:N, ""),
    _xlfn.TEXTJOIN(", ", TRUE, _xlpm.MyAuditVal, _xlpm.MacVal)
)</f>
        <v/>
      </c>
    </row>
    <row r="942" spans="1:24">
      <c r="A942" s="40" t="str">
        <f>_xlfn.TEXTJOIN("",TRUE,Input!$B$2,ROW(My_Audit!A941))</f>
        <v>X941</v>
      </c>
      <c r="B942" s="40" t="str">
        <f>_xlfn.TEXTJOIN("-",TRUE,"ITD",Input!$A$2,A942)</f>
        <v>ITD-X941</v>
      </c>
      <c r="C942" s="40" t="str" cm="1">
        <f t="array" ref="C942">IFERROR(_xlfn.LET(
_xlpm.CSVVal,_xlfn.XLOOKUP($A942,CSV!$A:$A,CSV!B:B,""),
_xlpm.MacVal,_xlfn.XLOOKUP($A942,Output_Mac!$A:$A,Output_Mac!B:B,""),
_xlpm.MyAuditVal,_xlfn.XLOOKUP($A942,My_Audit!$A:$A,My_Audit!B:B,""),
_xlfn.IFS(_xlpm.MyAuditVal&lt;&gt;"",UPPER(_xlpm.MyAuditVal),_xlpm.MacVal&lt;&gt;"",_xlpm.MacVal,_xlpm.CSVVal&lt;&gt;"",_xlpm.CSVVal
)),"")</f>
        <v/>
      </c>
      <c r="D942" s="40" t="str" cm="1">
        <f t="array" ref="D942">IFERROR(_xlfn.LET(
_xlpm.CSVVal,_xlfn.XLOOKUP($A942,CSV!$A:$A,CSV!D:D,""),
_xlpm.MacVal,_xlfn.XLOOKUP($A942,Output_Mac!$A:$A,Output_Mac!C:C,""),
_xlpm.MyAuditVal,_xlfn.XLOOKUP($A942,My_Audit!$A:$A,My_Audit!C:C,""),
_xlfn.IFS(_xlpm.MyAuditVal&lt;&gt;"",_xlpm.MyAuditVal,_xlpm.MacVal&lt;&gt;"",_xlpm.MacVal,_xlpm.CSVVal&lt;&gt;"",_xlpm.CSVVal
)),"")</f>
        <v/>
      </c>
      <c r="E942" s="40" t="str">
        <f>_xlfn.XLOOKUP(A942,My_Audit!A:A,My_Audit!D:D,"")</f>
        <v/>
      </c>
      <c r="F942" s="40" t="str" cm="1">
        <f t="array" ref="F942">IFERROR(_xlfn.LET(
_xlpm.CSVVal,_xlfn.XLOOKUP($A942,CSV!$A:$A,CSV!F:F,""),
_xlpm.MacVal,_xlfn.XLOOKUP($A942,Output_Mac!$A:$A,Output_Mac!E:E,""),
_xlpm.MyAuditVal,_xlfn.XLOOKUP($A942,My_Audit!$A:$A,My_Audit!E:E,""),
_xlfn.IFS(_xlpm.MyAuditVal&lt;&gt;"",_xlpm.MyAuditVal,_xlpm.MacVal&lt;&gt;"",_xlpm.MacVal,_xlpm.CSVVal&lt;&gt;"",_xlpm.CSVVal
)),"")</f>
        <v/>
      </c>
      <c r="G942" s="40" t="str" cm="1">
        <f t="array" ref="G942">IFERROR(_xlfn.LET(
_xlpm.CSVVal,_xlfn.XLOOKUP($A942,CSV!$A:$A,CSV!G:G,""),
_xlpm.MacVal,_xlfn.XLOOKUP($A942,Output_Mac!$A:$A,Output_Mac!F:F,""),
_xlpm.MyAuditVal,_xlfn.XLOOKUP($A942,My_Audit!$A:$A,My_Audit!F:F,""),
_xlfn.IFS(_xlpm.MyAuditVal&lt;&gt;"",_xlpm.MyAuditVal,_xlpm.MacVal&lt;&gt;"",_xlpm.MacVal,_xlpm.CSVVal&lt;&gt;"",PROPER(_xlpm.CSVVal)
)),"")</f>
        <v/>
      </c>
      <c r="H942" s="40" t="str" cm="1">
        <f t="array" ref="H942">IFERROR(_xlfn.LET(
_xlpm.CSVVal,_xlfn.XLOOKUP($A942,CSV!$A:$A,CSV!H:H,""),
_xlpm.MacVal,_xlfn.XLOOKUP($A942,Output_Mac!$A:$A,Output_Mac!H:H,""),
_xlpm.MyAuditVal,_xlfn.XLOOKUP($A942,My_Audit!$A:$A,My_Audit!G:G,""),
_xlfn.IFS(_xlpm.MyAuditVal&lt;&gt;"",_xlpm.MyAuditVal,_xlpm.MacVal&lt;&gt;"",_xlpm.MacVal,_xlpm.CSVVal&lt;&gt;"",_xlpm.CSVVal
)),"")</f>
        <v/>
      </c>
      <c r="I942" s="40" t="str">
        <f>_xlfn.XLOOKUP(A942,Output_Mac!A:A,Output_Mac!I:I,"")</f>
        <v/>
      </c>
      <c r="J942" s="40" t="str" cm="1">
        <f t="array" ref="J942">IFERROR(_xlfn.LET(
_xlpm.CSVVal,_xlfn.XLOOKUP($A942,CSV!$A:$A,CSV!I:I,""),
_xlpm.MacVal,_xlfn.XLOOKUP($A942,Output_Mac!$A:$A,Output_Mac!J:J,""),
_xlpm.MyAuditVal,_xlfn.XLOOKUP($A942,My_Audit!$A:$A,My_Audit!I:I,""),
_xlfn.IFS(_xlpm.MyAuditVal&lt;&gt;"",UPPER(_xlpm.MyAuditVal),_xlpm.MacVal&lt;&gt;"",_xlpm.MacVal,_xlpm.CSVVal&lt;&gt;"",_xlpm.CSVVal
)),"")</f>
        <v/>
      </c>
      <c r="K942" s="40" t="str" cm="1">
        <f t="array" ref="K942">IFERROR(_xlfn.LET(
_xlpm.CSVVal,_xlfn.XLOOKUP($A942,CSV!$A:$A,CSV!K:K,""),
_xlpm.MacVal,_xlfn.XLOOKUP($A942,Output_Mac!$A:$A,Output_Mac!K:K,""),
_xlpm.MyAuditVal,_xlfn.XLOOKUP($A942,My_Audit!$A:$A,My_Audit!J:J,""),
_xlfn.IFS(_xlpm.MyAuditVal&lt;&gt;"",UPPER(_xlpm.MyAuditVal),_xlpm.MacVal&lt;&gt;"",_xlpm.MacVal,_xlpm.CSVVal&lt;&gt;"",_xlpm.CSVVal
)),"")</f>
        <v/>
      </c>
      <c r="L942" s="40" t="str" cm="1">
        <f t="array" ref="L942">IFERROR(_xlfn.LET(
_xlpm.CSVVal,_xlfn.XLOOKUP($A942,CSV!$A:$A,CSV!P:P,""),
_xlpm.MacVal,_xlfn.XLOOKUP($A942,Output_Mac!$A:$A,Output_Mac!L:L,""),
_xlpm.MyAuditVal,_xlfn.XLOOKUP($A942,My_Audit!$A:$A,My_Audit!K:K,""),
_xlfn.IFS(_xlpm.MyAuditVal&lt;&gt;"",UPPER(_xlpm.MyAuditVal),_xlpm.MacVal&lt;&gt;"",_xlpm.MacVal,_xlpm.CSVVal&lt;&gt;"",_xlpm.CSVVal
)),"")</f>
        <v/>
      </c>
      <c r="M942" s="40" t="str" cm="1">
        <f t="array" ref="M942">IFERROR(_xlfn.LET(
_xlpm.CSVVal,_xlfn.XLOOKUP($A942,CSV!$A:$A,CSV!Q:Q,""),
_xlpm.MacVal,_xlfn.XLOOKUP($A942,Output_Mac!$A:$A,Output_Mac!M:M,""),
_xlpm.MyAuditVal,_xlfn.XLOOKUP($A942,My_Audit!$A:$A,My_Audit!L:L,""),
_xlfn.IFS(_xlpm.MyAuditVal&lt;&gt;"",UPPER(_xlpm.MyAuditVal),_xlpm.MacVal&lt;&gt;"",_xlpm.MacVal,_xlpm.CSVVal&lt;&gt;"",_xlpm.CSVVal
)),"")</f>
        <v/>
      </c>
      <c r="N942" s="40"/>
      <c r="O942" s="40" t="str">
        <f>_xlfn.LET(
    _xlpm.CSVVal, _xlfn.XLOOKUP($A942, CSV!$A:$A, CSV!AA:AA, ""),
    _xlpm.MacVal, _xlfn.XLOOKUP($A942, Output_Mac!$A:$A, Output_Mac!S:S, ""),
    _xlpm.MyAuditVal, _xlfn.XLOOKUP($A942, My_Audit!$A:$A, My_Audit!P:P, ""),
    _xlfn.TEXTJOIN(", ", TRUE, _xlpm.MyAuditVal, _xlpm.MacVal, _xlpm.CSVVal)
)</f>
        <v/>
      </c>
      <c r="P942" s="40" t="str" cm="1">
        <f t="array" ref="P942">IFERROR(_xlfn.LET(
_xlpm.CSVVal,_xlfn.XLOOKUP($A942,CSV!$A:$A,CSV!AB:AB,""),
_xlpm.MacVal,_xlfn.XLOOKUP($A942,Output_Mac!$A:$A,Output_Mac!T:T,""),
_xlpm.MyAuditVal,_xlfn.XLOOKUP($A942,My_Audit!$A:$A,My_Audit!Q:Q,""),
_xlfn.IFS(_xlpm.MyAuditVal&lt;&gt;"",UPPER(_xlpm.MyAuditVal),_xlpm.MacVal&lt;&gt;"",_xlpm.MacVal,_xlpm.CSVVal&lt;&gt;"",_xlpm.CSVVal
)),"No")</f>
        <v>No</v>
      </c>
      <c r="Q942" s="40" t="str" cm="1">
        <f t="array" ref="Q942">IFERROR(_xlfn.LET(
_xlpm.CSVVal,_xlfn.XLOOKUP($A942,CSV!$A:$A,CSV!AC:AC,""),
_xlpm.MacVal,_xlfn.XLOOKUP($A942,Output_Mac!$A:$A,Output_Mac!U:U,""),
_xlpm.MyAuditVal,_xlfn.XLOOKUP($A942,My_Audit!$A:$A,My_Audit!R:R,""),
_xlfn.IFS(_xlpm.MyAuditVal&lt;&gt;"",UPPER(_xlpm.MyAuditVal),_xlpm.MacVal&lt;&gt;"",_xlpm.MacVal,_xlpm.CSVVal&lt;&gt;"",_xlpm.CSVVal
)),"")</f>
        <v/>
      </c>
      <c r="R942" s="40"/>
      <c r="S942" s="40"/>
      <c r="T942" s="40"/>
      <c r="U942" s="40"/>
      <c r="V942" s="40"/>
      <c r="W942" s="40"/>
      <c r="X942" s="41" t="str">
        <f>_xlfn.LET(
    _xlpm.MacVal, _xlfn.XLOOKUP($A942, Output_Mac!$A:$A, Output_Mac!AB:AB, ""),
    _xlpm.MyAuditVal, _xlfn.XLOOKUP($A942, My_Audit!$A:$A, My_Audit!N:N, ""),
    _xlfn.TEXTJOIN(", ", TRUE, _xlpm.MyAuditVal, _xlpm.MacVal)
)</f>
        <v/>
      </c>
    </row>
    <row r="943" spans="1:24">
      <c r="A943" s="40" t="str">
        <f>_xlfn.TEXTJOIN("",TRUE,Input!$B$2,ROW(My_Audit!A942))</f>
        <v>X942</v>
      </c>
      <c r="B943" s="40" t="str">
        <f>_xlfn.TEXTJOIN("-",TRUE,"ITD",Input!$A$2,A943)</f>
        <v>ITD-X942</v>
      </c>
      <c r="C943" s="40" t="str" cm="1">
        <f t="array" ref="C943">IFERROR(_xlfn.LET(
_xlpm.CSVVal,_xlfn.XLOOKUP($A943,CSV!$A:$A,CSV!B:B,""),
_xlpm.MacVal,_xlfn.XLOOKUP($A943,Output_Mac!$A:$A,Output_Mac!B:B,""),
_xlpm.MyAuditVal,_xlfn.XLOOKUP($A943,My_Audit!$A:$A,My_Audit!B:B,""),
_xlfn.IFS(_xlpm.MyAuditVal&lt;&gt;"",UPPER(_xlpm.MyAuditVal),_xlpm.MacVal&lt;&gt;"",_xlpm.MacVal,_xlpm.CSVVal&lt;&gt;"",_xlpm.CSVVal
)),"")</f>
        <v/>
      </c>
      <c r="D943" s="40" t="str" cm="1">
        <f t="array" ref="D943">IFERROR(_xlfn.LET(
_xlpm.CSVVal,_xlfn.XLOOKUP($A943,CSV!$A:$A,CSV!D:D,""),
_xlpm.MacVal,_xlfn.XLOOKUP($A943,Output_Mac!$A:$A,Output_Mac!C:C,""),
_xlpm.MyAuditVal,_xlfn.XLOOKUP($A943,My_Audit!$A:$A,My_Audit!C:C,""),
_xlfn.IFS(_xlpm.MyAuditVal&lt;&gt;"",_xlpm.MyAuditVal,_xlpm.MacVal&lt;&gt;"",_xlpm.MacVal,_xlpm.CSVVal&lt;&gt;"",_xlpm.CSVVal
)),"")</f>
        <v/>
      </c>
      <c r="E943" s="40" t="str">
        <f>_xlfn.XLOOKUP(A943,My_Audit!A:A,My_Audit!D:D,"")</f>
        <v/>
      </c>
      <c r="F943" s="40" t="str" cm="1">
        <f t="array" ref="F943">IFERROR(_xlfn.LET(
_xlpm.CSVVal,_xlfn.XLOOKUP($A943,CSV!$A:$A,CSV!F:F,""),
_xlpm.MacVal,_xlfn.XLOOKUP($A943,Output_Mac!$A:$A,Output_Mac!E:E,""),
_xlpm.MyAuditVal,_xlfn.XLOOKUP($A943,My_Audit!$A:$A,My_Audit!E:E,""),
_xlfn.IFS(_xlpm.MyAuditVal&lt;&gt;"",_xlpm.MyAuditVal,_xlpm.MacVal&lt;&gt;"",_xlpm.MacVal,_xlpm.CSVVal&lt;&gt;"",_xlpm.CSVVal
)),"")</f>
        <v/>
      </c>
      <c r="G943" s="40" t="str" cm="1">
        <f t="array" ref="G943">IFERROR(_xlfn.LET(
_xlpm.CSVVal,_xlfn.XLOOKUP($A943,CSV!$A:$A,CSV!G:G,""),
_xlpm.MacVal,_xlfn.XLOOKUP($A943,Output_Mac!$A:$A,Output_Mac!F:F,""),
_xlpm.MyAuditVal,_xlfn.XLOOKUP($A943,My_Audit!$A:$A,My_Audit!F:F,""),
_xlfn.IFS(_xlpm.MyAuditVal&lt;&gt;"",_xlpm.MyAuditVal,_xlpm.MacVal&lt;&gt;"",_xlpm.MacVal,_xlpm.CSVVal&lt;&gt;"",PROPER(_xlpm.CSVVal)
)),"")</f>
        <v/>
      </c>
      <c r="H943" s="40" t="str" cm="1">
        <f t="array" ref="H943">IFERROR(_xlfn.LET(
_xlpm.CSVVal,_xlfn.XLOOKUP($A943,CSV!$A:$A,CSV!H:H,""),
_xlpm.MacVal,_xlfn.XLOOKUP($A943,Output_Mac!$A:$A,Output_Mac!H:H,""),
_xlpm.MyAuditVal,_xlfn.XLOOKUP($A943,My_Audit!$A:$A,My_Audit!G:G,""),
_xlfn.IFS(_xlpm.MyAuditVal&lt;&gt;"",_xlpm.MyAuditVal,_xlpm.MacVal&lt;&gt;"",_xlpm.MacVal,_xlpm.CSVVal&lt;&gt;"",_xlpm.CSVVal
)),"")</f>
        <v/>
      </c>
      <c r="I943" s="40" t="str">
        <f>_xlfn.XLOOKUP(A943,Output_Mac!A:A,Output_Mac!I:I,"")</f>
        <v/>
      </c>
      <c r="J943" s="40" t="str" cm="1">
        <f t="array" ref="J943">IFERROR(_xlfn.LET(
_xlpm.CSVVal,_xlfn.XLOOKUP($A943,CSV!$A:$A,CSV!I:I,""),
_xlpm.MacVal,_xlfn.XLOOKUP($A943,Output_Mac!$A:$A,Output_Mac!J:J,""),
_xlpm.MyAuditVal,_xlfn.XLOOKUP($A943,My_Audit!$A:$A,My_Audit!I:I,""),
_xlfn.IFS(_xlpm.MyAuditVal&lt;&gt;"",UPPER(_xlpm.MyAuditVal),_xlpm.MacVal&lt;&gt;"",_xlpm.MacVal,_xlpm.CSVVal&lt;&gt;"",_xlpm.CSVVal
)),"")</f>
        <v/>
      </c>
      <c r="K943" s="40" t="str" cm="1">
        <f t="array" ref="K943">IFERROR(_xlfn.LET(
_xlpm.CSVVal,_xlfn.XLOOKUP($A943,CSV!$A:$A,CSV!K:K,""),
_xlpm.MacVal,_xlfn.XLOOKUP($A943,Output_Mac!$A:$A,Output_Mac!K:K,""),
_xlpm.MyAuditVal,_xlfn.XLOOKUP($A943,My_Audit!$A:$A,My_Audit!J:J,""),
_xlfn.IFS(_xlpm.MyAuditVal&lt;&gt;"",UPPER(_xlpm.MyAuditVal),_xlpm.MacVal&lt;&gt;"",_xlpm.MacVal,_xlpm.CSVVal&lt;&gt;"",_xlpm.CSVVal
)),"")</f>
        <v/>
      </c>
      <c r="L943" s="40" t="str" cm="1">
        <f t="array" ref="L943">IFERROR(_xlfn.LET(
_xlpm.CSVVal,_xlfn.XLOOKUP($A943,CSV!$A:$A,CSV!P:P,""),
_xlpm.MacVal,_xlfn.XLOOKUP($A943,Output_Mac!$A:$A,Output_Mac!L:L,""),
_xlpm.MyAuditVal,_xlfn.XLOOKUP($A943,My_Audit!$A:$A,My_Audit!K:K,""),
_xlfn.IFS(_xlpm.MyAuditVal&lt;&gt;"",UPPER(_xlpm.MyAuditVal),_xlpm.MacVal&lt;&gt;"",_xlpm.MacVal,_xlpm.CSVVal&lt;&gt;"",_xlpm.CSVVal
)),"")</f>
        <v/>
      </c>
      <c r="M943" s="40" t="str" cm="1">
        <f t="array" ref="M943">IFERROR(_xlfn.LET(
_xlpm.CSVVal,_xlfn.XLOOKUP($A943,CSV!$A:$A,CSV!Q:Q,""),
_xlpm.MacVal,_xlfn.XLOOKUP($A943,Output_Mac!$A:$A,Output_Mac!M:M,""),
_xlpm.MyAuditVal,_xlfn.XLOOKUP($A943,My_Audit!$A:$A,My_Audit!L:L,""),
_xlfn.IFS(_xlpm.MyAuditVal&lt;&gt;"",UPPER(_xlpm.MyAuditVal),_xlpm.MacVal&lt;&gt;"",_xlpm.MacVal,_xlpm.CSVVal&lt;&gt;"",_xlpm.CSVVal
)),"")</f>
        <v/>
      </c>
      <c r="N943" s="40"/>
      <c r="O943" s="40" t="str">
        <f>_xlfn.LET(
    _xlpm.CSVVal, _xlfn.XLOOKUP($A943, CSV!$A:$A, CSV!AA:AA, ""),
    _xlpm.MacVal, _xlfn.XLOOKUP($A943, Output_Mac!$A:$A, Output_Mac!S:S, ""),
    _xlpm.MyAuditVal, _xlfn.XLOOKUP($A943, My_Audit!$A:$A, My_Audit!P:P, ""),
    _xlfn.TEXTJOIN(", ", TRUE, _xlpm.MyAuditVal, _xlpm.MacVal, _xlpm.CSVVal)
)</f>
        <v/>
      </c>
      <c r="P943" s="40" t="str" cm="1">
        <f t="array" ref="P943">IFERROR(_xlfn.LET(
_xlpm.CSVVal,_xlfn.XLOOKUP($A943,CSV!$A:$A,CSV!AB:AB,""),
_xlpm.MacVal,_xlfn.XLOOKUP($A943,Output_Mac!$A:$A,Output_Mac!T:T,""),
_xlpm.MyAuditVal,_xlfn.XLOOKUP($A943,My_Audit!$A:$A,My_Audit!Q:Q,""),
_xlfn.IFS(_xlpm.MyAuditVal&lt;&gt;"",UPPER(_xlpm.MyAuditVal),_xlpm.MacVal&lt;&gt;"",_xlpm.MacVal,_xlpm.CSVVal&lt;&gt;"",_xlpm.CSVVal
)),"No")</f>
        <v>No</v>
      </c>
      <c r="Q943" s="40" t="str" cm="1">
        <f t="array" ref="Q943">IFERROR(_xlfn.LET(
_xlpm.CSVVal,_xlfn.XLOOKUP($A943,CSV!$A:$A,CSV!AC:AC,""),
_xlpm.MacVal,_xlfn.XLOOKUP($A943,Output_Mac!$A:$A,Output_Mac!U:U,""),
_xlpm.MyAuditVal,_xlfn.XLOOKUP($A943,My_Audit!$A:$A,My_Audit!R:R,""),
_xlfn.IFS(_xlpm.MyAuditVal&lt;&gt;"",UPPER(_xlpm.MyAuditVal),_xlpm.MacVal&lt;&gt;"",_xlpm.MacVal,_xlpm.CSVVal&lt;&gt;"",_xlpm.CSVVal
)),"")</f>
        <v/>
      </c>
      <c r="R943" s="40"/>
      <c r="S943" s="40"/>
      <c r="T943" s="40"/>
      <c r="U943" s="40"/>
      <c r="V943" s="40"/>
      <c r="W943" s="40"/>
      <c r="X943" s="41" t="str">
        <f>_xlfn.LET(
    _xlpm.MacVal, _xlfn.XLOOKUP($A943, Output_Mac!$A:$A, Output_Mac!AB:AB, ""),
    _xlpm.MyAuditVal, _xlfn.XLOOKUP($A943, My_Audit!$A:$A, My_Audit!N:N, ""),
    _xlfn.TEXTJOIN(", ", TRUE, _xlpm.MyAuditVal, _xlpm.MacVal)
)</f>
        <v/>
      </c>
    </row>
    <row r="944" spans="1:24">
      <c r="A944" s="40" t="str">
        <f>_xlfn.TEXTJOIN("",TRUE,Input!$B$2,ROW(My_Audit!A943))</f>
        <v>X943</v>
      </c>
      <c r="B944" s="40" t="str">
        <f>_xlfn.TEXTJOIN("-",TRUE,"ITD",Input!$A$2,A944)</f>
        <v>ITD-X943</v>
      </c>
      <c r="C944" s="40" t="str" cm="1">
        <f t="array" ref="C944">IFERROR(_xlfn.LET(
_xlpm.CSVVal,_xlfn.XLOOKUP($A944,CSV!$A:$A,CSV!B:B,""),
_xlpm.MacVal,_xlfn.XLOOKUP($A944,Output_Mac!$A:$A,Output_Mac!B:B,""),
_xlpm.MyAuditVal,_xlfn.XLOOKUP($A944,My_Audit!$A:$A,My_Audit!B:B,""),
_xlfn.IFS(_xlpm.MyAuditVal&lt;&gt;"",UPPER(_xlpm.MyAuditVal),_xlpm.MacVal&lt;&gt;"",_xlpm.MacVal,_xlpm.CSVVal&lt;&gt;"",_xlpm.CSVVal
)),"")</f>
        <v/>
      </c>
      <c r="D944" s="40" t="str" cm="1">
        <f t="array" ref="D944">IFERROR(_xlfn.LET(
_xlpm.CSVVal,_xlfn.XLOOKUP($A944,CSV!$A:$A,CSV!D:D,""),
_xlpm.MacVal,_xlfn.XLOOKUP($A944,Output_Mac!$A:$A,Output_Mac!C:C,""),
_xlpm.MyAuditVal,_xlfn.XLOOKUP($A944,My_Audit!$A:$A,My_Audit!C:C,""),
_xlfn.IFS(_xlpm.MyAuditVal&lt;&gt;"",_xlpm.MyAuditVal,_xlpm.MacVal&lt;&gt;"",_xlpm.MacVal,_xlpm.CSVVal&lt;&gt;"",_xlpm.CSVVal
)),"")</f>
        <v/>
      </c>
      <c r="E944" s="40" t="str">
        <f>_xlfn.XLOOKUP(A944,My_Audit!A:A,My_Audit!D:D,"")</f>
        <v/>
      </c>
      <c r="F944" s="40" t="str" cm="1">
        <f t="array" ref="F944">IFERROR(_xlfn.LET(
_xlpm.CSVVal,_xlfn.XLOOKUP($A944,CSV!$A:$A,CSV!F:F,""),
_xlpm.MacVal,_xlfn.XLOOKUP($A944,Output_Mac!$A:$A,Output_Mac!E:E,""),
_xlpm.MyAuditVal,_xlfn.XLOOKUP($A944,My_Audit!$A:$A,My_Audit!E:E,""),
_xlfn.IFS(_xlpm.MyAuditVal&lt;&gt;"",_xlpm.MyAuditVal,_xlpm.MacVal&lt;&gt;"",_xlpm.MacVal,_xlpm.CSVVal&lt;&gt;"",_xlpm.CSVVal
)),"")</f>
        <v/>
      </c>
      <c r="G944" s="40" t="str" cm="1">
        <f t="array" ref="G944">IFERROR(_xlfn.LET(
_xlpm.CSVVal,_xlfn.XLOOKUP($A944,CSV!$A:$A,CSV!G:G,""),
_xlpm.MacVal,_xlfn.XLOOKUP($A944,Output_Mac!$A:$A,Output_Mac!F:F,""),
_xlpm.MyAuditVal,_xlfn.XLOOKUP($A944,My_Audit!$A:$A,My_Audit!F:F,""),
_xlfn.IFS(_xlpm.MyAuditVal&lt;&gt;"",_xlpm.MyAuditVal,_xlpm.MacVal&lt;&gt;"",_xlpm.MacVal,_xlpm.CSVVal&lt;&gt;"",PROPER(_xlpm.CSVVal)
)),"")</f>
        <v/>
      </c>
      <c r="H944" s="40" t="str" cm="1">
        <f t="array" ref="H944">IFERROR(_xlfn.LET(
_xlpm.CSVVal,_xlfn.XLOOKUP($A944,CSV!$A:$A,CSV!H:H,""),
_xlpm.MacVal,_xlfn.XLOOKUP($A944,Output_Mac!$A:$A,Output_Mac!H:H,""),
_xlpm.MyAuditVal,_xlfn.XLOOKUP($A944,My_Audit!$A:$A,My_Audit!G:G,""),
_xlfn.IFS(_xlpm.MyAuditVal&lt;&gt;"",_xlpm.MyAuditVal,_xlpm.MacVal&lt;&gt;"",_xlpm.MacVal,_xlpm.CSVVal&lt;&gt;"",_xlpm.CSVVal
)),"")</f>
        <v/>
      </c>
      <c r="I944" s="40" t="str">
        <f>_xlfn.XLOOKUP(A944,Output_Mac!A:A,Output_Mac!I:I,"")</f>
        <v/>
      </c>
      <c r="J944" s="40" t="str" cm="1">
        <f t="array" ref="J944">IFERROR(_xlfn.LET(
_xlpm.CSVVal,_xlfn.XLOOKUP($A944,CSV!$A:$A,CSV!I:I,""),
_xlpm.MacVal,_xlfn.XLOOKUP($A944,Output_Mac!$A:$A,Output_Mac!J:J,""),
_xlpm.MyAuditVal,_xlfn.XLOOKUP($A944,My_Audit!$A:$A,My_Audit!I:I,""),
_xlfn.IFS(_xlpm.MyAuditVal&lt;&gt;"",UPPER(_xlpm.MyAuditVal),_xlpm.MacVal&lt;&gt;"",_xlpm.MacVal,_xlpm.CSVVal&lt;&gt;"",_xlpm.CSVVal
)),"")</f>
        <v/>
      </c>
      <c r="K944" s="40" t="str" cm="1">
        <f t="array" ref="K944">IFERROR(_xlfn.LET(
_xlpm.CSVVal,_xlfn.XLOOKUP($A944,CSV!$A:$A,CSV!K:K,""),
_xlpm.MacVal,_xlfn.XLOOKUP($A944,Output_Mac!$A:$A,Output_Mac!K:K,""),
_xlpm.MyAuditVal,_xlfn.XLOOKUP($A944,My_Audit!$A:$A,My_Audit!J:J,""),
_xlfn.IFS(_xlpm.MyAuditVal&lt;&gt;"",UPPER(_xlpm.MyAuditVal),_xlpm.MacVal&lt;&gt;"",_xlpm.MacVal,_xlpm.CSVVal&lt;&gt;"",_xlpm.CSVVal
)),"")</f>
        <v/>
      </c>
      <c r="L944" s="40" t="str" cm="1">
        <f t="array" ref="L944">IFERROR(_xlfn.LET(
_xlpm.CSVVal,_xlfn.XLOOKUP($A944,CSV!$A:$A,CSV!P:P,""),
_xlpm.MacVal,_xlfn.XLOOKUP($A944,Output_Mac!$A:$A,Output_Mac!L:L,""),
_xlpm.MyAuditVal,_xlfn.XLOOKUP($A944,My_Audit!$A:$A,My_Audit!K:K,""),
_xlfn.IFS(_xlpm.MyAuditVal&lt;&gt;"",UPPER(_xlpm.MyAuditVal),_xlpm.MacVal&lt;&gt;"",_xlpm.MacVal,_xlpm.CSVVal&lt;&gt;"",_xlpm.CSVVal
)),"")</f>
        <v/>
      </c>
      <c r="M944" s="40" t="str" cm="1">
        <f t="array" ref="M944">IFERROR(_xlfn.LET(
_xlpm.CSVVal,_xlfn.XLOOKUP($A944,CSV!$A:$A,CSV!Q:Q,""),
_xlpm.MacVal,_xlfn.XLOOKUP($A944,Output_Mac!$A:$A,Output_Mac!M:M,""),
_xlpm.MyAuditVal,_xlfn.XLOOKUP($A944,My_Audit!$A:$A,My_Audit!L:L,""),
_xlfn.IFS(_xlpm.MyAuditVal&lt;&gt;"",UPPER(_xlpm.MyAuditVal),_xlpm.MacVal&lt;&gt;"",_xlpm.MacVal,_xlpm.CSVVal&lt;&gt;"",_xlpm.CSVVal
)),"")</f>
        <v/>
      </c>
      <c r="N944" s="40"/>
      <c r="O944" s="40" t="str">
        <f>_xlfn.LET(
    _xlpm.CSVVal, _xlfn.XLOOKUP($A944, CSV!$A:$A, CSV!AA:AA, ""),
    _xlpm.MacVal, _xlfn.XLOOKUP($A944, Output_Mac!$A:$A, Output_Mac!S:S, ""),
    _xlpm.MyAuditVal, _xlfn.XLOOKUP($A944, My_Audit!$A:$A, My_Audit!P:P, ""),
    _xlfn.TEXTJOIN(", ", TRUE, _xlpm.MyAuditVal, _xlpm.MacVal, _xlpm.CSVVal)
)</f>
        <v/>
      </c>
      <c r="P944" s="40" t="str" cm="1">
        <f t="array" ref="P944">IFERROR(_xlfn.LET(
_xlpm.CSVVal,_xlfn.XLOOKUP($A944,CSV!$A:$A,CSV!AB:AB,""),
_xlpm.MacVal,_xlfn.XLOOKUP($A944,Output_Mac!$A:$A,Output_Mac!T:T,""),
_xlpm.MyAuditVal,_xlfn.XLOOKUP($A944,My_Audit!$A:$A,My_Audit!Q:Q,""),
_xlfn.IFS(_xlpm.MyAuditVal&lt;&gt;"",UPPER(_xlpm.MyAuditVal),_xlpm.MacVal&lt;&gt;"",_xlpm.MacVal,_xlpm.CSVVal&lt;&gt;"",_xlpm.CSVVal
)),"No")</f>
        <v>No</v>
      </c>
      <c r="Q944" s="40" t="str" cm="1">
        <f t="array" ref="Q944">IFERROR(_xlfn.LET(
_xlpm.CSVVal,_xlfn.XLOOKUP($A944,CSV!$A:$A,CSV!AC:AC,""),
_xlpm.MacVal,_xlfn.XLOOKUP($A944,Output_Mac!$A:$A,Output_Mac!U:U,""),
_xlpm.MyAuditVal,_xlfn.XLOOKUP($A944,My_Audit!$A:$A,My_Audit!R:R,""),
_xlfn.IFS(_xlpm.MyAuditVal&lt;&gt;"",UPPER(_xlpm.MyAuditVal),_xlpm.MacVal&lt;&gt;"",_xlpm.MacVal,_xlpm.CSVVal&lt;&gt;"",_xlpm.CSVVal
)),"")</f>
        <v/>
      </c>
      <c r="R944" s="40"/>
      <c r="S944" s="40"/>
      <c r="T944" s="40"/>
      <c r="U944" s="40"/>
      <c r="V944" s="40"/>
      <c r="W944" s="40"/>
      <c r="X944" s="41" t="str">
        <f>_xlfn.LET(
    _xlpm.MacVal, _xlfn.XLOOKUP($A944, Output_Mac!$A:$A, Output_Mac!AB:AB, ""),
    _xlpm.MyAuditVal, _xlfn.XLOOKUP($A944, My_Audit!$A:$A, My_Audit!N:N, ""),
    _xlfn.TEXTJOIN(", ", TRUE, _xlpm.MyAuditVal, _xlpm.MacVal)
)</f>
        <v/>
      </c>
    </row>
    <row r="945" spans="1:24">
      <c r="A945" s="40" t="str">
        <f>_xlfn.TEXTJOIN("",TRUE,Input!$B$2,ROW(My_Audit!A944))</f>
        <v>X944</v>
      </c>
      <c r="B945" s="40" t="str">
        <f>_xlfn.TEXTJOIN("-",TRUE,"ITD",Input!$A$2,A945)</f>
        <v>ITD-X944</v>
      </c>
      <c r="C945" s="40" t="str" cm="1">
        <f t="array" ref="C945">IFERROR(_xlfn.LET(
_xlpm.CSVVal,_xlfn.XLOOKUP($A945,CSV!$A:$A,CSV!B:B,""),
_xlpm.MacVal,_xlfn.XLOOKUP($A945,Output_Mac!$A:$A,Output_Mac!B:B,""),
_xlpm.MyAuditVal,_xlfn.XLOOKUP($A945,My_Audit!$A:$A,My_Audit!B:B,""),
_xlfn.IFS(_xlpm.MyAuditVal&lt;&gt;"",UPPER(_xlpm.MyAuditVal),_xlpm.MacVal&lt;&gt;"",_xlpm.MacVal,_xlpm.CSVVal&lt;&gt;"",_xlpm.CSVVal
)),"")</f>
        <v/>
      </c>
      <c r="D945" s="40" t="str" cm="1">
        <f t="array" ref="D945">IFERROR(_xlfn.LET(
_xlpm.CSVVal,_xlfn.XLOOKUP($A945,CSV!$A:$A,CSV!D:D,""),
_xlpm.MacVal,_xlfn.XLOOKUP($A945,Output_Mac!$A:$A,Output_Mac!C:C,""),
_xlpm.MyAuditVal,_xlfn.XLOOKUP($A945,My_Audit!$A:$A,My_Audit!C:C,""),
_xlfn.IFS(_xlpm.MyAuditVal&lt;&gt;"",_xlpm.MyAuditVal,_xlpm.MacVal&lt;&gt;"",_xlpm.MacVal,_xlpm.CSVVal&lt;&gt;"",_xlpm.CSVVal
)),"")</f>
        <v/>
      </c>
      <c r="E945" s="40" t="str">
        <f>_xlfn.XLOOKUP(A945,My_Audit!A:A,My_Audit!D:D,"")</f>
        <v/>
      </c>
      <c r="F945" s="40" t="str" cm="1">
        <f t="array" ref="F945">IFERROR(_xlfn.LET(
_xlpm.CSVVal,_xlfn.XLOOKUP($A945,CSV!$A:$A,CSV!F:F,""),
_xlpm.MacVal,_xlfn.XLOOKUP($A945,Output_Mac!$A:$A,Output_Mac!E:E,""),
_xlpm.MyAuditVal,_xlfn.XLOOKUP($A945,My_Audit!$A:$A,My_Audit!E:E,""),
_xlfn.IFS(_xlpm.MyAuditVal&lt;&gt;"",_xlpm.MyAuditVal,_xlpm.MacVal&lt;&gt;"",_xlpm.MacVal,_xlpm.CSVVal&lt;&gt;"",_xlpm.CSVVal
)),"")</f>
        <v/>
      </c>
      <c r="G945" s="40" t="str" cm="1">
        <f t="array" ref="G945">IFERROR(_xlfn.LET(
_xlpm.CSVVal,_xlfn.XLOOKUP($A945,CSV!$A:$A,CSV!G:G,""),
_xlpm.MacVal,_xlfn.XLOOKUP($A945,Output_Mac!$A:$A,Output_Mac!F:F,""),
_xlpm.MyAuditVal,_xlfn.XLOOKUP($A945,My_Audit!$A:$A,My_Audit!F:F,""),
_xlfn.IFS(_xlpm.MyAuditVal&lt;&gt;"",_xlpm.MyAuditVal,_xlpm.MacVal&lt;&gt;"",_xlpm.MacVal,_xlpm.CSVVal&lt;&gt;"",PROPER(_xlpm.CSVVal)
)),"")</f>
        <v/>
      </c>
      <c r="H945" s="40" t="str" cm="1">
        <f t="array" ref="H945">IFERROR(_xlfn.LET(
_xlpm.CSVVal,_xlfn.XLOOKUP($A945,CSV!$A:$A,CSV!H:H,""),
_xlpm.MacVal,_xlfn.XLOOKUP($A945,Output_Mac!$A:$A,Output_Mac!H:H,""),
_xlpm.MyAuditVal,_xlfn.XLOOKUP($A945,My_Audit!$A:$A,My_Audit!G:G,""),
_xlfn.IFS(_xlpm.MyAuditVal&lt;&gt;"",_xlpm.MyAuditVal,_xlpm.MacVal&lt;&gt;"",_xlpm.MacVal,_xlpm.CSVVal&lt;&gt;"",_xlpm.CSVVal
)),"")</f>
        <v/>
      </c>
      <c r="I945" s="40" t="str">
        <f>_xlfn.XLOOKUP(A945,Output_Mac!A:A,Output_Mac!I:I,"")</f>
        <v/>
      </c>
      <c r="J945" s="40" t="str" cm="1">
        <f t="array" ref="J945">IFERROR(_xlfn.LET(
_xlpm.CSVVal,_xlfn.XLOOKUP($A945,CSV!$A:$A,CSV!I:I,""),
_xlpm.MacVal,_xlfn.XLOOKUP($A945,Output_Mac!$A:$A,Output_Mac!J:J,""),
_xlpm.MyAuditVal,_xlfn.XLOOKUP($A945,My_Audit!$A:$A,My_Audit!I:I,""),
_xlfn.IFS(_xlpm.MyAuditVal&lt;&gt;"",UPPER(_xlpm.MyAuditVal),_xlpm.MacVal&lt;&gt;"",_xlpm.MacVal,_xlpm.CSVVal&lt;&gt;"",_xlpm.CSVVal
)),"")</f>
        <v/>
      </c>
      <c r="K945" s="40" t="str" cm="1">
        <f t="array" ref="K945">IFERROR(_xlfn.LET(
_xlpm.CSVVal,_xlfn.XLOOKUP($A945,CSV!$A:$A,CSV!K:K,""),
_xlpm.MacVal,_xlfn.XLOOKUP($A945,Output_Mac!$A:$A,Output_Mac!K:K,""),
_xlpm.MyAuditVal,_xlfn.XLOOKUP($A945,My_Audit!$A:$A,My_Audit!J:J,""),
_xlfn.IFS(_xlpm.MyAuditVal&lt;&gt;"",UPPER(_xlpm.MyAuditVal),_xlpm.MacVal&lt;&gt;"",_xlpm.MacVal,_xlpm.CSVVal&lt;&gt;"",_xlpm.CSVVal
)),"")</f>
        <v/>
      </c>
      <c r="L945" s="40" t="str" cm="1">
        <f t="array" ref="L945">IFERROR(_xlfn.LET(
_xlpm.CSVVal,_xlfn.XLOOKUP($A945,CSV!$A:$A,CSV!P:P,""),
_xlpm.MacVal,_xlfn.XLOOKUP($A945,Output_Mac!$A:$A,Output_Mac!L:L,""),
_xlpm.MyAuditVal,_xlfn.XLOOKUP($A945,My_Audit!$A:$A,My_Audit!K:K,""),
_xlfn.IFS(_xlpm.MyAuditVal&lt;&gt;"",UPPER(_xlpm.MyAuditVal),_xlpm.MacVal&lt;&gt;"",_xlpm.MacVal,_xlpm.CSVVal&lt;&gt;"",_xlpm.CSVVal
)),"")</f>
        <v/>
      </c>
      <c r="M945" s="40" t="str" cm="1">
        <f t="array" ref="M945">IFERROR(_xlfn.LET(
_xlpm.CSVVal,_xlfn.XLOOKUP($A945,CSV!$A:$A,CSV!Q:Q,""),
_xlpm.MacVal,_xlfn.XLOOKUP($A945,Output_Mac!$A:$A,Output_Mac!M:M,""),
_xlpm.MyAuditVal,_xlfn.XLOOKUP($A945,My_Audit!$A:$A,My_Audit!L:L,""),
_xlfn.IFS(_xlpm.MyAuditVal&lt;&gt;"",UPPER(_xlpm.MyAuditVal),_xlpm.MacVal&lt;&gt;"",_xlpm.MacVal,_xlpm.CSVVal&lt;&gt;"",_xlpm.CSVVal
)),"")</f>
        <v/>
      </c>
      <c r="N945" s="40"/>
      <c r="O945" s="40" t="str">
        <f>_xlfn.LET(
    _xlpm.CSVVal, _xlfn.XLOOKUP($A945, CSV!$A:$A, CSV!AA:AA, ""),
    _xlpm.MacVal, _xlfn.XLOOKUP($A945, Output_Mac!$A:$A, Output_Mac!S:S, ""),
    _xlpm.MyAuditVal, _xlfn.XLOOKUP($A945, My_Audit!$A:$A, My_Audit!P:P, ""),
    _xlfn.TEXTJOIN(", ", TRUE, _xlpm.MyAuditVal, _xlpm.MacVal, _xlpm.CSVVal)
)</f>
        <v/>
      </c>
      <c r="P945" s="40" t="str" cm="1">
        <f t="array" ref="P945">IFERROR(_xlfn.LET(
_xlpm.CSVVal,_xlfn.XLOOKUP($A945,CSV!$A:$A,CSV!AB:AB,""),
_xlpm.MacVal,_xlfn.XLOOKUP($A945,Output_Mac!$A:$A,Output_Mac!T:T,""),
_xlpm.MyAuditVal,_xlfn.XLOOKUP($A945,My_Audit!$A:$A,My_Audit!Q:Q,""),
_xlfn.IFS(_xlpm.MyAuditVal&lt;&gt;"",UPPER(_xlpm.MyAuditVal),_xlpm.MacVal&lt;&gt;"",_xlpm.MacVal,_xlpm.CSVVal&lt;&gt;"",_xlpm.CSVVal
)),"No")</f>
        <v>No</v>
      </c>
      <c r="Q945" s="40" t="str" cm="1">
        <f t="array" ref="Q945">IFERROR(_xlfn.LET(
_xlpm.CSVVal,_xlfn.XLOOKUP($A945,CSV!$A:$A,CSV!AC:AC,""),
_xlpm.MacVal,_xlfn.XLOOKUP($A945,Output_Mac!$A:$A,Output_Mac!U:U,""),
_xlpm.MyAuditVal,_xlfn.XLOOKUP($A945,My_Audit!$A:$A,My_Audit!R:R,""),
_xlfn.IFS(_xlpm.MyAuditVal&lt;&gt;"",UPPER(_xlpm.MyAuditVal),_xlpm.MacVal&lt;&gt;"",_xlpm.MacVal,_xlpm.CSVVal&lt;&gt;"",_xlpm.CSVVal
)),"")</f>
        <v/>
      </c>
      <c r="R945" s="40"/>
      <c r="S945" s="40"/>
      <c r="T945" s="40"/>
      <c r="U945" s="40"/>
      <c r="V945" s="40"/>
      <c r="W945" s="40"/>
      <c r="X945" s="41" t="str">
        <f>_xlfn.LET(
    _xlpm.MacVal, _xlfn.XLOOKUP($A945, Output_Mac!$A:$A, Output_Mac!AB:AB, ""),
    _xlpm.MyAuditVal, _xlfn.XLOOKUP($A945, My_Audit!$A:$A, My_Audit!N:N, ""),
    _xlfn.TEXTJOIN(", ", TRUE, _xlpm.MyAuditVal, _xlpm.MacVal)
)</f>
        <v/>
      </c>
    </row>
    <row r="946" spans="1:24">
      <c r="A946" s="40" t="str">
        <f>_xlfn.TEXTJOIN("",TRUE,Input!$B$2,ROW(My_Audit!A945))</f>
        <v>X945</v>
      </c>
      <c r="B946" s="40" t="str">
        <f>_xlfn.TEXTJOIN("-",TRUE,"ITD",Input!$A$2,A946)</f>
        <v>ITD-X945</v>
      </c>
      <c r="C946" s="40" t="str" cm="1">
        <f t="array" ref="C946">IFERROR(_xlfn.LET(
_xlpm.CSVVal,_xlfn.XLOOKUP($A946,CSV!$A:$A,CSV!B:B,""),
_xlpm.MacVal,_xlfn.XLOOKUP($A946,Output_Mac!$A:$A,Output_Mac!B:B,""),
_xlpm.MyAuditVal,_xlfn.XLOOKUP($A946,My_Audit!$A:$A,My_Audit!B:B,""),
_xlfn.IFS(_xlpm.MyAuditVal&lt;&gt;"",UPPER(_xlpm.MyAuditVal),_xlpm.MacVal&lt;&gt;"",_xlpm.MacVal,_xlpm.CSVVal&lt;&gt;"",_xlpm.CSVVal
)),"")</f>
        <v/>
      </c>
      <c r="D946" s="40" t="str" cm="1">
        <f t="array" ref="D946">IFERROR(_xlfn.LET(
_xlpm.CSVVal,_xlfn.XLOOKUP($A946,CSV!$A:$A,CSV!D:D,""),
_xlpm.MacVal,_xlfn.XLOOKUP($A946,Output_Mac!$A:$A,Output_Mac!C:C,""),
_xlpm.MyAuditVal,_xlfn.XLOOKUP($A946,My_Audit!$A:$A,My_Audit!C:C,""),
_xlfn.IFS(_xlpm.MyAuditVal&lt;&gt;"",_xlpm.MyAuditVal,_xlpm.MacVal&lt;&gt;"",_xlpm.MacVal,_xlpm.CSVVal&lt;&gt;"",_xlpm.CSVVal
)),"")</f>
        <v/>
      </c>
      <c r="E946" s="40" t="str">
        <f>_xlfn.XLOOKUP(A946,My_Audit!A:A,My_Audit!D:D,"")</f>
        <v/>
      </c>
      <c r="F946" s="40" t="str" cm="1">
        <f t="array" ref="F946">IFERROR(_xlfn.LET(
_xlpm.CSVVal,_xlfn.XLOOKUP($A946,CSV!$A:$A,CSV!F:F,""),
_xlpm.MacVal,_xlfn.XLOOKUP($A946,Output_Mac!$A:$A,Output_Mac!E:E,""),
_xlpm.MyAuditVal,_xlfn.XLOOKUP($A946,My_Audit!$A:$A,My_Audit!E:E,""),
_xlfn.IFS(_xlpm.MyAuditVal&lt;&gt;"",_xlpm.MyAuditVal,_xlpm.MacVal&lt;&gt;"",_xlpm.MacVal,_xlpm.CSVVal&lt;&gt;"",_xlpm.CSVVal
)),"")</f>
        <v/>
      </c>
      <c r="G946" s="40" t="str" cm="1">
        <f t="array" ref="G946">IFERROR(_xlfn.LET(
_xlpm.CSVVal,_xlfn.XLOOKUP($A946,CSV!$A:$A,CSV!G:G,""),
_xlpm.MacVal,_xlfn.XLOOKUP($A946,Output_Mac!$A:$A,Output_Mac!F:F,""),
_xlpm.MyAuditVal,_xlfn.XLOOKUP($A946,My_Audit!$A:$A,My_Audit!F:F,""),
_xlfn.IFS(_xlpm.MyAuditVal&lt;&gt;"",_xlpm.MyAuditVal,_xlpm.MacVal&lt;&gt;"",_xlpm.MacVal,_xlpm.CSVVal&lt;&gt;"",PROPER(_xlpm.CSVVal)
)),"")</f>
        <v/>
      </c>
      <c r="H946" s="40" t="str" cm="1">
        <f t="array" ref="H946">IFERROR(_xlfn.LET(
_xlpm.CSVVal,_xlfn.XLOOKUP($A946,CSV!$A:$A,CSV!H:H,""),
_xlpm.MacVal,_xlfn.XLOOKUP($A946,Output_Mac!$A:$A,Output_Mac!H:H,""),
_xlpm.MyAuditVal,_xlfn.XLOOKUP($A946,My_Audit!$A:$A,My_Audit!G:G,""),
_xlfn.IFS(_xlpm.MyAuditVal&lt;&gt;"",_xlpm.MyAuditVal,_xlpm.MacVal&lt;&gt;"",_xlpm.MacVal,_xlpm.CSVVal&lt;&gt;"",_xlpm.CSVVal
)),"")</f>
        <v/>
      </c>
      <c r="I946" s="40" t="str">
        <f>_xlfn.XLOOKUP(A946,Output_Mac!A:A,Output_Mac!I:I,"")</f>
        <v/>
      </c>
      <c r="J946" s="40" t="str" cm="1">
        <f t="array" ref="J946">IFERROR(_xlfn.LET(
_xlpm.CSVVal,_xlfn.XLOOKUP($A946,CSV!$A:$A,CSV!I:I,""),
_xlpm.MacVal,_xlfn.XLOOKUP($A946,Output_Mac!$A:$A,Output_Mac!J:J,""),
_xlpm.MyAuditVal,_xlfn.XLOOKUP($A946,My_Audit!$A:$A,My_Audit!I:I,""),
_xlfn.IFS(_xlpm.MyAuditVal&lt;&gt;"",UPPER(_xlpm.MyAuditVal),_xlpm.MacVal&lt;&gt;"",_xlpm.MacVal,_xlpm.CSVVal&lt;&gt;"",_xlpm.CSVVal
)),"")</f>
        <v/>
      </c>
      <c r="K946" s="40" t="str" cm="1">
        <f t="array" ref="K946">IFERROR(_xlfn.LET(
_xlpm.CSVVal,_xlfn.XLOOKUP($A946,CSV!$A:$A,CSV!K:K,""),
_xlpm.MacVal,_xlfn.XLOOKUP($A946,Output_Mac!$A:$A,Output_Mac!K:K,""),
_xlpm.MyAuditVal,_xlfn.XLOOKUP($A946,My_Audit!$A:$A,My_Audit!J:J,""),
_xlfn.IFS(_xlpm.MyAuditVal&lt;&gt;"",UPPER(_xlpm.MyAuditVal),_xlpm.MacVal&lt;&gt;"",_xlpm.MacVal,_xlpm.CSVVal&lt;&gt;"",_xlpm.CSVVal
)),"")</f>
        <v/>
      </c>
      <c r="L946" s="40" t="str" cm="1">
        <f t="array" ref="L946">IFERROR(_xlfn.LET(
_xlpm.CSVVal,_xlfn.XLOOKUP($A946,CSV!$A:$A,CSV!P:P,""),
_xlpm.MacVal,_xlfn.XLOOKUP($A946,Output_Mac!$A:$A,Output_Mac!L:L,""),
_xlpm.MyAuditVal,_xlfn.XLOOKUP($A946,My_Audit!$A:$A,My_Audit!K:K,""),
_xlfn.IFS(_xlpm.MyAuditVal&lt;&gt;"",UPPER(_xlpm.MyAuditVal),_xlpm.MacVal&lt;&gt;"",_xlpm.MacVal,_xlpm.CSVVal&lt;&gt;"",_xlpm.CSVVal
)),"")</f>
        <v/>
      </c>
      <c r="M946" s="40" t="str" cm="1">
        <f t="array" ref="M946">IFERROR(_xlfn.LET(
_xlpm.CSVVal,_xlfn.XLOOKUP($A946,CSV!$A:$A,CSV!Q:Q,""),
_xlpm.MacVal,_xlfn.XLOOKUP($A946,Output_Mac!$A:$A,Output_Mac!M:M,""),
_xlpm.MyAuditVal,_xlfn.XLOOKUP($A946,My_Audit!$A:$A,My_Audit!L:L,""),
_xlfn.IFS(_xlpm.MyAuditVal&lt;&gt;"",UPPER(_xlpm.MyAuditVal),_xlpm.MacVal&lt;&gt;"",_xlpm.MacVal,_xlpm.CSVVal&lt;&gt;"",_xlpm.CSVVal
)),"")</f>
        <v/>
      </c>
      <c r="N946" s="40"/>
      <c r="O946" s="40" t="str">
        <f>_xlfn.LET(
    _xlpm.CSVVal, _xlfn.XLOOKUP($A946, CSV!$A:$A, CSV!AA:AA, ""),
    _xlpm.MacVal, _xlfn.XLOOKUP($A946, Output_Mac!$A:$A, Output_Mac!S:S, ""),
    _xlpm.MyAuditVal, _xlfn.XLOOKUP($A946, My_Audit!$A:$A, My_Audit!P:P, ""),
    _xlfn.TEXTJOIN(", ", TRUE, _xlpm.MyAuditVal, _xlpm.MacVal, _xlpm.CSVVal)
)</f>
        <v/>
      </c>
      <c r="P946" s="40" t="str" cm="1">
        <f t="array" ref="P946">IFERROR(_xlfn.LET(
_xlpm.CSVVal,_xlfn.XLOOKUP($A946,CSV!$A:$A,CSV!AB:AB,""),
_xlpm.MacVal,_xlfn.XLOOKUP($A946,Output_Mac!$A:$A,Output_Mac!T:T,""),
_xlpm.MyAuditVal,_xlfn.XLOOKUP($A946,My_Audit!$A:$A,My_Audit!Q:Q,""),
_xlfn.IFS(_xlpm.MyAuditVal&lt;&gt;"",UPPER(_xlpm.MyAuditVal),_xlpm.MacVal&lt;&gt;"",_xlpm.MacVal,_xlpm.CSVVal&lt;&gt;"",_xlpm.CSVVal
)),"No")</f>
        <v>No</v>
      </c>
      <c r="Q946" s="40" t="str" cm="1">
        <f t="array" ref="Q946">IFERROR(_xlfn.LET(
_xlpm.CSVVal,_xlfn.XLOOKUP($A946,CSV!$A:$A,CSV!AC:AC,""),
_xlpm.MacVal,_xlfn.XLOOKUP($A946,Output_Mac!$A:$A,Output_Mac!U:U,""),
_xlpm.MyAuditVal,_xlfn.XLOOKUP($A946,My_Audit!$A:$A,My_Audit!R:R,""),
_xlfn.IFS(_xlpm.MyAuditVal&lt;&gt;"",UPPER(_xlpm.MyAuditVal),_xlpm.MacVal&lt;&gt;"",_xlpm.MacVal,_xlpm.CSVVal&lt;&gt;"",_xlpm.CSVVal
)),"")</f>
        <v/>
      </c>
      <c r="R946" s="40"/>
      <c r="S946" s="40"/>
      <c r="T946" s="40"/>
      <c r="U946" s="40"/>
      <c r="V946" s="40"/>
      <c r="W946" s="40"/>
      <c r="X946" s="41" t="str">
        <f>_xlfn.LET(
    _xlpm.MacVal, _xlfn.XLOOKUP($A946, Output_Mac!$A:$A, Output_Mac!AB:AB, ""),
    _xlpm.MyAuditVal, _xlfn.XLOOKUP($A946, My_Audit!$A:$A, My_Audit!N:N, ""),
    _xlfn.TEXTJOIN(", ", TRUE, _xlpm.MyAuditVal, _xlpm.MacVal)
)</f>
        <v/>
      </c>
    </row>
    <row r="947" spans="1:24">
      <c r="A947" s="40" t="str">
        <f>_xlfn.TEXTJOIN("",TRUE,Input!$B$2,ROW(My_Audit!A946))</f>
        <v>X946</v>
      </c>
      <c r="B947" s="40" t="str">
        <f>_xlfn.TEXTJOIN("-",TRUE,"ITD",Input!$A$2,A947)</f>
        <v>ITD-X946</v>
      </c>
      <c r="C947" s="40" t="str" cm="1">
        <f t="array" ref="C947">IFERROR(_xlfn.LET(
_xlpm.CSVVal,_xlfn.XLOOKUP($A947,CSV!$A:$A,CSV!B:B,""),
_xlpm.MacVal,_xlfn.XLOOKUP($A947,Output_Mac!$A:$A,Output_Mac!B:B,""),
_xlpm.MyAuditVal,_xlfn.XLOOKUP($A947,My_Audit!$A:$A,My_Audit!B:B,""),
_xlfn.IFS(_xlpm.MyAuditVal&lt;&gt;"",UPPER(_xlpm.MyAuditVal),_xlpm.MacVal&lt;&gt;"",_xlpm.MacVal,_xlpm.CSVVal&lt;&gt;"",_xlpm.CSVVal
)),"")</f>
        <v/>
      </c>
      <c r="D947" s="40" t="str" cm="1">
        <f t="array" ref="D947">IFERROR(_xlfn.LET(
_xlpm.CSVVal,_xlfn.XLOOKUP($A947,CSV!$A:$A,CSV!D:D,""),
_xlpm.MacVal,_xlfn.XLOOKUP($A947,Output_Mac!$A:$A,Output_Mac!C:C,""),
_xlpm.MyAuditVal,_xlfn.XLOOKUP($A947,My_Audit!$A:$A,My_Audit!C:C,""),
_xlfn.IFS(_xlpm.MyAuditVal&lt;&gt;"",_xlpm.MyAuditVal,_xlpm.MacVal&lt;&gt;"",_xlpm.MacVal,_xlpm.CSVVal&lt;&gt;"",_xlpm.CSVVal
)),"")</f>
        <v/>
      </c>
      <c r="E947" s="40" t="str">
        <f>_xlfn.XLOOKUP(A947,My_Audit!A:A,My_Audit!D:D,"")</f>
        <v/>
      </c>
      <c r="F947" s="40" t="str" cm="1">
        <f t="array" ref="F947">IFERROR(_xlfn.LET(
_xlpm.CSVVal,_xlfn.XLOOKUP($A947,CSV!$A:$A,CSV!F:F,""),
_xlpm.MacVal,_xlfn.XLOOKUP($A947,Output_Mac!$A:$A,Output_Mac!E:E,""),
_xlpm.MyAuditVal,_xlfn.XLOOKUP($A947,My_Audit!$A:$A,My_Audit!E:E,""),
_xlfn.IFS(_xlpm.MyAuditVal&lt;&gt;"",_xlpm.MyAuditVal,_xlpm.MacVal&lt;&gt;"",_xlpm.MacVal,_xlpm.CSVVal&lt;&gt;"",_xlpm.CSVVal
)),"")</f>
        <v/>
      </c>
      <c r="G947" s="40" t="str" cm="1">
        <f t="array" ref="G947">IFERROR(_xlfn.LET(
_xlpm.CSVVal,_xlfn.XLOOKUP($A947,CSV!$A:$A,CSV!G:G,""),
_xlpm.MacVal,_xlfn.XLOOKUP($A947,Output_Mac!$A:$A,Output_Mac!F:F,""),
_xlpm.MyAuditVal,_xlfn.XLOOKUP($A947,My_Audit!$A:$A,My_Audit!F:F,""),
_xlfn.IFS(_xlpm.MyAuditVal&lt;&gt;"",_xlpm.MyAuditVal,_xlpm.MacVal&lt;&gt;"",_xlpm.MacVal,_xlpm.CSVVal&lt;&gt;"",PROPER(_xlpm.CSVVal)
)),"")</f>
        <v/>
      </c>
      <c r="H947" s="40" t="str" cm="1">
        <f t="array" ref="H947">IFERROR(_xlfn.LET(
_xlpm.CSVVal,_xlfn.XLOOKUP($A947,CSV!$A:$A,CSV!H:H,""),
_xlpm.MacVal,_xlfn.XLOOKUP($A947,Output_Mac!$A:$A,Output_Mac!H:H,""),
_xlpm.MyAuditVal,_xlfn.XLOOKUP($A947,My_Audit!$A:$A,My_Audit!G:G,""),
_xlfn.IFS(_xlpm.MyAuditVal&lt;&gt;"",_xlpm.MyAuditVal,_xlpm.MacVal&lt;&gt;"",_xlpm.MacVal,_xlpm.CSVVal&lt;&gt;"",_xlpm.CSVVal
)),"")</f>
        <v/>
      </c>
      <c r="I947" s="40" t="str">
        <f>_xlfn.XLOOKUP(A947,Output_Mac!A:A,Output_Mac!I:I,"")</f>
        <v/>
      </c>
      <c r="J947" s="40" t="str" cm="1">
        <f t="array" ref="J947">IFERROR(_xlfn.LET(
_xlpm.CSVVal,_xlfn.XLOOKUP($A947,CSV!$A:$A,CSV!I:I,""),
_xlpm.MacVal,_xlfn.XLOOKUP($A947,Output_Mac!$A:$A,Output_Mac!J:J,""),
_xlpm.MyAuditVal,_xlfn.XLOOKUP($A947,My_Audit!$A:$A,My_Audit!I:I,""),
_xlfn.IFS(_xlpm.MyAuditVal&lt;&gt;"",UPPER(_xlpm.MyAuditVal),_xlpm.MacVal&lt;&gt;"",_xlpm.MacVal,_xlpm.CSVVal&lt;&gt;"",_xlpm.CSVVal
)),"")</f>
        <v/>
      </c>
      <c r="K947" s="40" t="str" cm="1">
        <f t="array" ref="K947">IFERROR(_xlfn.LET(
_xlpm.CSVVal,_xlfn.XLOOKUP($A947,CSV!$A:$A,CSV!K:K,""),
_xlpm.MacVal,_xlfn.XLOOKUP($A947,Output_Mac!$A:$A,Output_Mac!K:K,""),
_xlpm.MyAuditVal,_xlfn.XLOOKUP($A947,My_Audit!$A:$A,My_Audit!J:J,""),
_xlfn.IFS(_xlpm.MyAuditVal&lt;&gt;"",UPPER(_xlpm.MyAuditVal),_xlpm.MacVal&lt;&gt;"",_xlpm.MacVal,_xlpm.CSVVal&lt;&gt;"",_xlpm.CSVVal
)),"")</f>
        <v/>
      </c>
      <c r="L947" s="40" t="str" cm="1">
        <f t="array" ref="L947">IFERROR(_xlfn.LET(
_xlpm.CSVVal,_xlfn.XLOOKUP($A947,CSV!$A:$A,CSV!P:P,""),
_xlpm.MacVal,_xlfn.XLOOKUP($A947,Output_Mac!$A:$A,Output_Mac!L:L,""),
_xlpm.MyAuditVal,_xlfn.XLOOKUP($A947,My_Audit!$A:$A,My_Audit!K:K,""),
_xlfn.IFS(_xlpm.MyAuditVal&lt;&gt;"",UPPER(_xlpm.MyAuditVal),_xlpm.MacVal&lt;&gt;"",_xlpm.MacVal,_xlpm.CSVVal&lt;&gt;"",_xlpm.CSVVal
)),"")</f>
        <v/>
      </c>
      <c r="M947" s="40" t="str" cm="1">
        <f t="array" ref="M947">IFERROR(_xlfn.LET(
_xlpm.CSVVal,_xlfn.XLOOKUP($A947,CSV!$A:$A,CSV!Q:Q,""),
_xlpm.MacVal,_xlfn.XLOOKUP($A947,Output_Mac!$A:$A,Output_Mac!M:M,""),
_xlpm.MyAuditVal,_xlfn.XLOOKUP($A947,My_Audit!$A:$A,My_Audit!L:L,""),
_xlfn.IFS(_xlpm.MyAuditVal&lt;&gt;"",UPPER(_xlpm.MyAuditVal),_xlpm.MacVal&lt;&gt;"",_xlpm.MacVal,_xlpm.CSVVal&lt;&gt;"",_xlpm.CSVVal
)),"")</f>
        <v/>
      </c>
      <c r="N947" s="40"/>
      <c r="O947" s="40" t="str">
        <f>_xlfn.LET(
    _xlpm.CSVVal, _xlfn.XLOOKUP($A947, CSV!$A:$A, CSV!AA:AA, ""),
    _xlpm.MacVal, _xlfn.XLOOKUP($A947, Output_Mac!$A:$A, Output_Mac!S:S, ""),
    _xlpm.MyAuditVal, _xlfn.XLOOKUP($A947, My_Audit!$A:$A, My_Audit!P:P, ""),
    _xlfn.TEXTJOIN(", ", TRUE, _xlpm.MyAuditVal, _xlpm.MacVal, _xlpm.CSVVal)
)</f>
        <v/>
      </c>
      <c r="P947" s="40" t="str" cm="1">
        <f t="array" ref="P947">IFERROR(_xlfn.LET(
_xlpm.CSVVal,_xlfn.XLOOKUP($A947,CSV!$A:$A,CSV!AB:AB,""),
_xlpm.MacVal,_xlfn.XLOOKUP($A947,Output_Mac!$A:$A,Output_Mac!T:T,""),
_xlpm.MyAuditVal,_xlfn.XLOOKUP($A947,My_Audit!$A:$A,My_Audit!Q:Q,""),
_xlfn.IFS(_xlpm.MyAuditVal&lt;&gt;"",UPPER(_xlpm.MyAuditVal),_xlpm.MacVal&lt;&gt;"",_xlpm.MacVal,_xlpm.CSVVal&lt;&gt;"",_xlpm.CSVVal
)),"No")</f>
        <v>No</v>
      </c>
      <c r="Q947" s="40" t="str" cm="1">
        <f t="array" ref="Q947">IFERROR(_xlfn.LET(
_xlpm.CSVVal,_xlfn.XLOOKUP($A947,CSV!$A:$A,CSV!AC:AC,""),
_xlpm.MacVal,_xlfn.XLOOKUP($A947,Output_Mac!$A:$A,Output_Mac!U:U,""),
_xlpm.MyAuditVal,_xlfn.XLOOKUP($A947,My_Audit!$A:$A,My_Audit!R:R,""),
_xlfn.IFS(_xlpm.MyAuditVal&lt;&gt;"",UPPER(_xlpm.MyAuditVal),_xlpm.MacVal&lt;&gt;"",_xlpm.MacVal,_xlpm.CSVVal&lt;&gt;"",_xlpm.CSVVal
)),"")</f>
        <v/>
      </c>
      <c r="R947" s="40"/>
      <c r="S947" s="40"/>
      <c r="T947" s="40"/>
      <c r="U947" s="40"/>
      <c r="V947" s="40"/>
      <c r="W947" s="40"/>
      <c r="X947" s="41" t="str">
        <f>_xlfn.LET(
    _xlpm.MacVal, _xlfn.XLOOKUP($A947, Output_Mac!$A:$A, Output_Mac!AB:AB, ""),
    _xlpm.MyAuditVal, _xlfn.XLOOKUP($A947, My_Audit!$A:$A, My_Audit!N:N, ""),
    _xlfn.TEXTJOIN(", ", TRUE, _xlpm.MyAuditVal, _xlpm.MacVal)
)</f>
        <v/>
      </c>
    </row>
    <row r="948" spans="1:24">
      <c r="A948" s="40" t="str">
        <f>_xlfn.TEXTJOIN("",TRUE,Input!$B$2,ROW(My_Audit!A947))</f>
        <v>X947</v>
      </c>
      <c r="B948" s="40" t="str">
        <f>_xlfn.TEXTJOIN("-",TRUE,"ITD",Input!$A$2,A948)</f>
        <v>ITD-X947</v>
      </c>
      <c r="C948" s="40" t="str" cm="1">
        <f t="array" ref="C948">IFERROR(_xlfn.LET(
_xlpm.CSVVal,_xlfn.XLOOKUP($A948,CSV!$A:$A,CSV!B:B,""),
_xlpm.MacVal,_xlfn.XLOOKUP($A948,Output_Mac!$A:$A,Output_Mac!B:B,""),
_xlpm.MyAuditVal,_xlfn.XLOOKUP($A948,My_Audit!$A:$A,My_Audit!B:B,""),
_xlfn.IFS(_xlpm.MyAuditVal&lt;&gt;"",UPPER(_xlpm.MyAuditVal),_xlpm.MacVal&lt;&gt;"",_xlpm.MacVal,_xlpm.CSVVal&lt;&gt;"",_xlpm.CSVVal
)),"")</f>
        <v/>
      </c>
      <c r="D948" s="40" t="str" cm="1">
        <f t="array" ref="D948">IFERROR(_xlfn.LET(
_xlpm.CSVVal,_xlfn.XLOOKUP($A948,CSV!$A:$A,CSV!D:D,""),
_xlpm.MacVal,_xlfn.XLOOKUP($A948,Output_Mac!$A:$A,Output_Mac!C:C,""),
_xlpm.MyAuditVal,_xlfn.XLOOKUP($A948,My_Audit!$A:$A,My_Audit!C:C,""),
_xlfn.IFS(_xlpm.MyAuditVal&lt;&gt;"",_xlpm.MyAuditVal,_xlpm.MacVal&lt;&gt;"",_xlpm.MacVal,_xlpm.CSVVal&lt;&gt;"",_xlpm.CSVVal
)),"")</f>
        <v/>
      </c>
      <c r="E948" s="40" t="str">
        <f>_xlfn.XLOOKUP(A948,My_Audit!A:A,My_Audit!D:D,"")</f>
        <v/>
      </c>
      <c r="F948" s="40" t="str" cm="1">
        <f t="array" ref="F948">IFERROR(_xlfn.LET(
_xlpm.CSVVal,_xlfn.XLOOKUP($A948,CSV!$A:$A,CSV!F:F,""),
_xlpm.MacVal,_xlfn.XLOOKUP($A948,Output_Mac!$A:$A,Output_Mac!E:E,""),
_xlpm.MyAuditVal,_xlfn.XLOOKUP($A948,My_Audit!$A:$A,My_Audit!E:E,""),
_xlfn.IFS(_xlpm.MyAuditVal&lt;&gt;"",_xlpm.MyAuditVal,_xlpm.MacVal&lt;&gt;"",_xlpm.MacVal,_xlpm.CSVVal&lt;&gt;"",_xlpm.CSVVal
)),"")</f>
        <v/>
      </c>
      <c r="G948" s="40" t="str" cm="1">
        <f t="array" ref="G948">IFERROR(_xlfn.LET(
_xlpm.CSVVal,_xlfn.XLOOKUP($A948,CSV!$A:$A,CSV!G:G,""),
_xlpm.MacVal,_xlfn.XLOOKUP($A948,Output_Mac!$A:$A,Output_Mac!F:F,""),
_xlpm.MyAuditVal,_xlfn.XLOOKUP($A948,My_Audit!$A:$A,My_Audit!F:F,""),
_xlfn.IFS(_xlpm.MyAuditVal&lt;&gt;"",_xlpm.MyAuditVal,_xlpm.MacVal&lt;&gt;"",_xlpm.MacVal,_xlpm.CSVVal&lt;&gt;"",PROPER(_xlpm.CSVVal)
)),"")</f>
        <v/>
      </c>
      <c r="H948" s="40" t="str" cm="1">
        <f t="array" ref="H948">IFERROR(_xlfn.LET(
_xlpm.CSVVal,_xlfn.XLOOKUP($A948,CSV!$A:$A,CSV!H:H,""),
_xlpm.MacVal,_xlfn.XLOOKUP($A948,Output_Mac!$A:$A,Output_Mac!H:H,""),
_xlpm.MyAuditVal,_xlfn.XLOOKUP($A948,My_Audit!$A:$A,My_Audit!G:G,""),
_xlfn.IFS(_xlpm.MyAuditVal&lt;&gt;"",_xlpm.MyAuditVal,_xlpm.MacVal&lt;&gt;"",_xlpm.MacVal,_xlpm.CSVVal&lt;&gt;"",_xlpm.CSVVal
)),"")</f>
        <v/>
      </c>
      <c r="I948" s="40" t="str">
        <f>_xlfn.XLOOKUP(A948,Output_Mac!A:A,Output_Mac!I:I,"")</f>
        <v/>
      </c>
      <c r="J948" s="40" t="str" cm="1">
        <f t="array" ref="J948">IFERROR(_xlfn.LET(
_xlpm.CSVVal,_xlfn.XLOOKUP($A948,CSV!$A:$A,CSV!I:I,""),
_xlpm.MacVal,_xlfn.XLOOKUP($A948,Output_Mac!$A:$A,Output_Mac!J:J,""),
_xlpm.MyAuditVal,_xlfn.XLOOKUP($A948,My_Audit!$A:$A,My_Audit!I:I,""),
_xlfn.IFS(_xlpm.MyAuditVal&lt;&gt;"",UPPER(_xlpm.MyAuditVal),_xlpm.MacVal&lt;&gt;"",_xlpm.MacVal,_xlpm.CSVVal&lt;&gt;"",_xlpm.CSVVal
)),"")</f>
        <v/>
      </c>
      <c r="K948" s="40" t="str" cm="1">
        <f t="array" ref="K948">IFERROR(_xlfn.LET(
_xlpm.CSVVal,_xlfn.XLOOKUP($A948,CSV!$A:$A,CSV!K:K,""),
_xlpm.MacVal,_xlfn.XLOOKUP($A948,Output_Mac!$A:$A,Output_Mac!K:K,""),
_xlpm.MyAuditVal,_xlfn.XLOOKUP($A948,My_Audit!$A:$A,My_Audit!J:J,""),
_xlfn.IFS(_xlpm.MyAuditVal&lt;&gt;"",UPPER(_xlpm.MyAuditVal),_xlpm.MacVal&lt;&gt;"",_xlpm.MacVal,_xlpm.CSVVal&lt;&gt;"",_xlpm.CSVVal
)),"")</f>
        <v/>
      </c>
      <c r="L948" s="40" t="str" cm="1">
        <f t="array" ref="L948">IFERROR(_xlfn.LET(
_xlpm.CSVVal,_xlfn.XLOOKUP($A948,CSV!$A:$A,CSV!P:P,""),
_xlpm.MacVal,_xlfn.XLOOKUP($A948,Output_Mac!$A:$A,Output_Mac!L:L,""),
_xlpm.MyAuditVal,_xlfn.XLOOKUP($A948,My_Audit!$A:$A,My_Audit!K:K,""),
_xlfn.IFS(_xlpm.MyAuditVal&lt;&gt;"",UPPER(_xlpm.MyAuditVal),_xlpm.MacVal&lt;&gt;"",_xlpm.MacVal,_xlpm.CSVVal&lt;&gt;"",_xlpm.CSVVal
)),"")</f>
        <v/>
      </c>
      <c r="M948" s="40" t="str" cm="1">
        <f t="array" ref="M948">IFERROR(_xlfn.LET(
_xlpm.CSVVal,_xlfn.XLOOKUP($A948,CSV!$A:$A,CSV!Q:Q,""),
_xlpm.MacVal,_xlfn.XLOOKUP($A948,Output_Mac!$A:$A,Output_Mac!M:M,""),
_xlpm.MyAuditVal,_xlfn.XLOOKUP($A948,My_Audit!$A:$A,My_Audit!L:L,""),
_xlfn.IFS(_xlpm.MyAuditVal&lt;&gt;"",UPPER(_xlpm.MyAuditVal),_xlpm.MacVal&lt;&gt;"",_xlpm.MacVal,_xlpm.CSVVal&lt;&gt;"",_xlpm.CSVVal
)),"")</f>
        <v/>
      </c>
      <c r="N948" s="40"/>
      <c r="O948" s="40" t="str">
        <f>_xlfn.LET(
    _xlpm.CSVVal, _xlfn.XLOOKUP($A948, CSV!$A:$A, CSV!AA:AA, ""),
    _xlpm.MacVal, _xlfn.XLOOKUP($A948, Output_Mac!$A:$A, Output_Mac!S:S, ""),
    _xlpm.MyAuditVal, _xlfn.XLOOKUP($A948, My_Audit!$A:$A, My_Audit!P:P, ""),
    _xlfn.TEXTJOIN(", ", TRUE, _xlpm.MyAuditVal, _xlpm.MacVal, _xlpm.CSVVal)
)</f>
        <v/>
      </c>
      <c r="P948" s="40" t="str" cm="1">
        <f t="array" ref="P948">IFERROR(_xlfn.LET(
_xlpm.CSVVal,_xlfn.XLOOKUP($A948,CSV!$A:$A,CSV!AB:AB,""),
_xlpm.MacVal,_xlfn.XLOOKUP($A948,Output_Mac!$A:$A,Output_Mac!T:T,""),
_xlpm.MyAuditVal,_xlfn.XLOOKUP($A948,My_Audit!$A:$A,My_Audit!Q:Q,""),
_xlfn.IFS(_xlpm.MyAuditVal&lt;&gt;"",UPPER(_xlpm.MyAuditVal),_xlpm.MacVal&lt;&gt;"",_xlpm.MacVal,_xlpm.CSVVal&lt;&gt;"",_xlpm.CSVVal
)),"No")</f>
        <v>No</v>
      </c>
      <c r="Q948" s="40" t="str" cm="1">
        <f t="array" ref="Q948">IFERROR(_xlfn.LET(
_xlpm.CSVVal,_xlfn.XLOOKUP($A948,CSV!$A:$A,CSV!AC:AC,""),
_xlpm.MacVal,_xlfn.XLOOKUP($A948,Output_Mac!$A:$A,Output_Mac!U:U,""),
_xlpm.MyAuditVal,_xlfn.XLOOKUP($A948,My_Audit!$A:$A,My_Audit!R:R,""),
_xlfn.IFS(_xlpm.MyAuditVal&lt;&gt;"",UPPER(_xlpm.MyAuditVal),_xlpm.MacVal&lt;&gt;"",_xlpm.MacVal,_xlpm.CSVVal&lt;&gt;"",_xlpm.CSVVal
)),"")</f>
        <v/>
      </c>
      <c r="R948" s="40"/>
      <c r="S948" s="40"/>
      <c r="T948" s="40"/>
      <c r="U948" s="40"/>
      <c r="V948" s="40"/>
      <c r="W948" s="40"/>
      <c r="X948" s="41" t="str">
        <f>_xlfn.LET(
    _xlpm.MacVal, _xlfn.XLOOKUP($A948, Output_Mac!$A:$A, Output_Mac!AB:AB, ""),
    _xlpm.MyAuditVal, _xlfn.XLOOKUP($A948, My_Audit!$A:$A, My_Audit!N:N, ""),
    _xlfn.TEXTJOIN(", ", TRUE, _xlpm.MyAuditVal, _xlpm.MacVal)
)</f>
        <v/>
      </c>
    </row>
    <row r="949" spans="1:24">
      <c r="A949" s="40" t="str">
        <f>_xlfn.TEXTJOIN("",TRUE,Input!$B$2,ROW(My_Audit!A948))</f>
        <v>X948</v>
      </c>
      <c r="B949" s="40" t="str">
        <f>_xlfn.TEXTJOIN("-",TRUE,"ITD",Input!$A$2,A949)</f>
        <v>ITD-X948</v>
      </c>
      <c r="C949" s="40" t="str" cm="1">
        <f t="array" ref="C949">IFERROR(_xlfn.LET(
_xlpm.CSVVal,_xlfn.XLOOKUP($A949,CSV!$A:$A,CSV!B:B,""),
_xlpm.MacVal,_xlfn.XLOOKUP($A949,Output_Mac!$A:$A,Output_Mac!B:B,""),
_xlpm.MyAuditVal,_xlfn.XLOOKUP($A949,My_Audit!$A:$A,My_Audit!B:B,""),
_xlfn.IFS(_xlpm.MyAuditVal&lt;&gt;"",UPPER(_xlpm.MyAuditVal),_xlpm.MacVal&lt;&gt;"",_xlpm.MacVal,_xlpm.CSVVal&lt;&gt;"",_xlpm.CSVVal
)),"")</f>
        <v/>
      </c>
      <c r="D949" s="40" t="str" cm="1">
        <f t="array" ref="D949">IFERROR(_xlfn.LET(
_xlpm.CSVVal,_xlfn.XLOOKUP($A949,CSV!$A:$A,CSV!D:D,""),
_xlpm.MacVal,_xlfn.XLOOKUP($A949,Output_Mac!$A:$A,Output_Mac!C:C,""),
_xlpm.MyAuditVal,_xlfn.XLOOKUP($A949,My_Audit!$A:$A,My_Audit!C:C,""),
_xlfn.IFS(_xlpm.MyAuditVal&lt;&gt;"",_xlpm.MyAuditVal,_xlpm.MacVal&lt;&gt;"",_xlpm.MacVal,_xlpm.CSVVal&lt;&gt;"",_xlpm.CSVVal
)),"")</f>
        <v/>
      </c>
      <c r="E949" s="40" t="str">
        <f>_xlfn.XLOOKUP(A949,My_Audit!A:A,My_Audit!D:D,"")</f>
        <v/>
      </c>
      <c r="F949" s="40" t="str" cm="1">
        <f t="array" ref="F949">IFERROR(_xlfn.LET(
_xlpm.CSVVal,_xlfn.XLOOKUP($A949,CSV!$A:$A,CSV!F:F,""),
_xlpm.MacVal,_xlfn.XLOOKUP($A949,Output_Mac!$A:$A,Output_Mac!E:E,""),
_xlpm.MyAuditVal,_xlfn.XLOOKUP($A949,My_Audit!$A:$A,My_Audit!E:E,""),
_xlfn.IFS(_xlpm.MyAuditVal&lt;&gt;"",_xlpm.MyAuditVal,_xlpm.MacVal&lt;&gt;"",_xlpm.MacVal,_xlpm.CSVVal&lt;&gt;"",_xlpm.CSVVal
)),"")</f>
        <v/>
      </c>
      <c r="G949" s="40" t="str" cm="1">
        <f t="array" ref="G949">IFERROR(_xlfn.LET(
_xlpm.CSVVal,_xlfn.XLOOKUP($A949,CSV!$A:$A,CSV!G:G,""),
_xlpm.MacVal,_xlfn.XLOOKUP($A949,Output_Mac!$A:$A,Output_Mac!F:F,""),
_xlpm.MyAuditVal,_xlfn.XLOOKUP($A949,My_Audit!$A:$A,My_Audit!F:F,""),
_xlfn.IFS(_xlpm.MyAuditVal&lt;&gt;"",_xlpm.MyAuditVal,_xlpm.MacVal&lt;&gt;"",_xlpm.MacVal,_xlpm.CSVVal&lt;&gt;"",PROPER(_xlpm.CSVVal)
)),"")</f>
        <v/>
      </c>
      <c r="H949" s="40" t="str" cm="1">
        <f t="array" ref="H949">IFERROR(_xlfn.LET(
_xlpm.CSVVal,_xlfn.XLOOKUP($A949,CSV!$A:$A,CSV!H:H,""),
_xlpm.MacVal,_xlfn.XLOOKUP($A949,Output_Mac!$A:$A,Output_Mac!H:H,""),
_xlpm.MyAuditVal,_xlfn.XLOOKUP($A949,My_Audit!$A:$A,My_Audit!G:G,""),
_xlfn.IFS(_xlpm.MyAuditVal&lt;&gt;"",_xlpm.MyAuditVal,_xlpm.MacVal&lt;&gt;"",_xlpm.MacVal,_xlpm.CSVVal&lt;&gt;"",_xlpm.CSVVal
)),"")</f>
        <v/>
      </c>
      <c r="I949" s="40" t="str">
        <f>_xlfn.XLOOKUP(A949,Output_Mac!A:A,Output_Mac!I:I,"")</f>
        <v/>
      </c>
      <c r="J949" s="40" t="str" cm="1">
        <f t="array" ref="J949">IFERROR(_xlfn.LET(
_xlpm.CSVVal,_xlfn.XLOOKUP($A949,CSV!$A:$A,CSV!I:I,""),
_xlpm.MacVal,_xlfn.XLOOKUP($A949,Output_Mac!$A:$A,Output_Mac!J:J,""),
_xlpm.MyAuditVal,_xlfn.XLOOKUP($A949,My_Audit!$A:$A,My_Audit!I:I,""),
_xlfn.IFS(_xlpm.MyAuditVal&lt;&gt;"",UPPER(_xlpm.MyAuditVal),_xlpm.MacVal&lt;&gt;"",_xlpm.MacVal,_xlpm.CSVVal&lt;&gt;"",_xlpm.CSVVal
)),"")</f>
        <v/>
      </c>
      <c r="K949" s="40" t="str" cm="1">
        <f t="array" ref="K949">IFERROR(_xlfn.LET(
_xlpm.CSVVal,_xlfn.XLOOKUP($A949,CSV!$A:$A,CSV!K:K,""),
_xlpm.MacVal,_xlfn.XLOOKUP($A949,Output_Mac!$A:$A,Output_Mac!K:K,""),
_xlpm.MyAuditVal,_xlfn.XLOOKUP($A949,My_Audit!$A:$A,My_Audit!J:J,""),
_xlfn.IFS(_xlpm.MyAuditVal&lt;&gt;"",UPPER(_xlpm.MyAuditVal),_xlpm.MacVal&lt;&gt;"",_xlpm.MacVal,_xlpm.CSVVal&lt;&gt;"",_xlpm.CSVVal
)),"")</f>
        <v/>
      </c>
      <c r="L949" s="40" t="str" cm="1">
        <f t="array" ref="L949">IFERROR(_xlfn.LET(
_xlpm.CSVVal,_xlfn.XLOOKUP($A949,CSV!$A:$A,CSV!P:P,""),
_xlpm.MacVal,_xlfn.XLOOKUP($A949,Output_Mac!$A:$A,Output_Mac!L:L,""),
_xlpm.MyAuditVal,_xlfn.XLOOKUP($A949,My_Audit!$A:$A,My_Audit!K:K,""),
_xlfn.IFS(_xlpm.MyAuditVal&lt;&gt;"",UPPER(_xlpm.MyAuditVal),_xlpm.MacVal&lt;&gt;"",_xlpm.MacVal,_xlpm.CSVVal&lt;&gt;"",_xlpm.CSVVal
)),"")</f>
        <v/>
      </c>
      <c r="M949" s="40" t="str" cm="1">
        <f t="array" ref="M949">IFERROR(_xlfn.LET(
_xlpm.CSVVal,_xlfn.XLOOKUP($A949,CSV!$A:$A,CSV!Q:Q,""),
_xlpm.MacVal,_xlfn.XLOOKUP($A949,Output_Mac!$A:$A,Output_Mac!M:M,""),
_xlpm.MyAuditVal,_xlfn.XLOOKUP($A949,My_Audit!$A:$A,My_Audit!L:L,""),
_xlfn.IFS(_xlpm.MyAuditVal&lt;&gt;"",UPPER(_xlpm.MyAuditVal),_xlpm.MacVal&lt;&gt;"",_xlpm.MacVal,_xlpm.CSVVal&lt;&gt;"",_xlpm.CSVVal
)),"")</f>
        <v/>
      </c>
      <c r="N949" s="40"/>
      <c r="O949" s="40" t="str">
        <f>_xlfn.LET(
    _xlpm.CSVVal, _xlfn.XLOOKUP($A949, CSV!$A:$A, CSV!AA:AA, ""),
    _xlpm.MacVal, _xlfn.XLOOKUP($A949, Output_Mac!$A:$A, Output_Mac!S:S, ""),
    _xlpm.MyAuditVal, _xlfn.XLOOKUP($A949, My_Audit!$A:$A, My_Audit!P:P, ""),
    _xlfn.TEXTJOIN(", ", TRUE, _xlpm.MyAuditVal, _xlpm.MacVal, _xlpm.CSVVal)
)</f>
        <v/>
      </c>
      <c r="P949" s="40" t="str" cm="1">
        <f t="array" ref="P949">IFERROR(_xlfn.LET(
_xlpm.CSVVal,_xlfn.XLOOKUP($A949,CSV!$A:$A,CSV!AB:AB,""),
_xlpm.MacVal,_xlfn.XLOOKUP($A949,Output_Mac!$A:$A,Output_Mac!T:T,""),
_xlpm.MyAuditVal,_xlfn.XLOOKUP($A949,My_Audit!$A:$A,My_Audit!Q:Q,""),
_xlfn.IFS(_xlpm.MyAuditVal&lt;&gt;"",UPPER(_xlpm.MyAuditVal),_xlpm.MacVal&lt;&gt;"",_xlpm.MacVal,_xlpm.CSVVal&lt;&gt;"",_xlpm.CSVVal
)),"No")</f>
        <v>No</v>
      </c>
      <c r="Q949" s="40" t="str" cm="1">
        <f t="array" ref="Q949">IFERROR(_xlfn.LET(
_xlpm.CSVVal,_xlfn.XLOOKUP($A949,CSV!$A:$A,CSV!AC:AC,""),
_xlpm.MacVal,_xlfn.XLOOKUP($A949,Output_Mac!$A:$A,Output_Mac!U:U,""),
_xlpm.MyAuditVal,_xlfn.XLOOKUP($A949,My_Audit!$A:$A,My_Audit!R:R,""),
_xlfn.IFS(_xlpm.MyAuditVal&lt;&gt;"",UPPER(_xlpm.MyAuditVal),_xlpm.MacVal&lt;&gt;"",_xlpm.MacVal,_xlpm.CSVVal&lt;&gt;"",_xlpm.CSVVal
)),"")</f>
        <v/>
      </c>
      <c r="R949" s="40"/>
      <c r="S949" s="40"/>
      <c r="T949" s="40"/>
      <c r="U949" s="40"/>
      <c r="V949" s="40"/>
      <c r="W949" s="40"/>
      <c r="X949" s="41" t="str">
        <f>_xlfn.LET(
    _xlpm.MacVal, _xlfn.XLOOKUP($A949, Output_Mac!$A:$A, Output_Mac!AB:AB, ""),
    _xlpm.MyAuditVal, _xlfn.XLOOKUP($A949, My_Audit!$A:$A, My_Audit!N:N, ""),
    _xlfn.TEXTJOIN(", ", TRUE, _xlpm.MyAuditVal, _xlpm.MacVal)
)</f>
        <v/>
      </c>
    </row>
    <row r="950" spans="1:24">
      <c r="A950" s="40" t="str">
        <f>_xlfn.TEXTJOIN("",TRUE,Input!$B$2,ROW(My_Audit!A949))</f>
        <v>X949</v>
      </c>
      <c r="B950" s="40" t="str">
        <f>_xlfn.TEXTJOIN("-",TRUE,"ITD",Input!$A$2,A950)</f>
        <v>ITD-X949</v>
      </c>
      <c r="C950" s="40" t="str" cm="1">
        <f t="array" ref="C950">IFERROR(_xlfn.LET(
_xlpm.CSVVal,_xlfn.XLOOKUP($A950,CSV!$A:$A,CSV!B:B,""),
_xlpm.MacVal,_xlfn.XLOOKUP($A950,Output_Mac!$A:$A,Output_Mac!B:B,""),
_xlpm.MyAuditVal,_xlfn.XLOOKUP($A950,My_Audit!$A:$A,My_Audit!B:B,""),
_xlfn.IFS(_xlpm.MyAuditVal&lt;&gt;"",UPPER(_xlpm.MyAuditVal),_xlpm.MacVal&lt;&gt;"",_xlpm.MacVal,_xlpm.CSVVal&lt;&gt;"",_xlpm.CSVVal
)),"")</f>
        <v/>
      </c>
      <c r="D950" s="40" t="str" cm="1">
        <f t="array" ref="D950">IFERROR(_xlfn.LET(
_xlpm.CSVVal,_xlfn.XLOOKUP($A950,CSV!$A:$A,CSV!D:D,""),
_xlpm.MacVal,_xlfn.XLOOKUP($A950,Output_Mac!$A:$A,Output_Mac!C:C,""),
_xlpm.MyAuditVal,_xlfn.XLOOKUP($A950,My_Audit!$A:$A,My_Audit!C:C,""),
_xlfn.IFS(_xlpm.MyAuditVal&lt;&gt;"",_xlpm.MyAuditVal,_xlpm.MacVal&lt;&gt;"",_xlpm.MacVal,_xlpm.CSVVal&lt;&gt;"",_xlpm.CSVVal
)),"")</f>
        <v/>
      </c>
      <c r="E950" s="40" t="str">
        <f>_xlfn.XLOOKUP(A950,My_Audit!A:A,My_Audit!D:D,"")</f>
        <v/>
      </c>
      <c r="F950" s="40" t="str" cm="1">
        <f t="array" ref="F950">IFERROR(_xlfn.LET(
_xlpm.CSVVal,_xlfn.XLOOKUP($A950,CSV!$A:$A,CSV!F:F,""),
_xlpm.MacVal,_xlfn.XLOOKUP($A950,Output_Mac!$A:$A,Output_Mac!E:E,""),
_xlpm.MyAuditVal,_xlfn.XLOOKUP($A950,My_Audit!$A:$A,My_Audit!E:E,""),
_xlfn.IFS(_xlpm.MyAuditVal&lt;&gt;"",_xlpm.MyAuditVal,_xlpm.MacVal&lt;&gt;"",_xlpm.MacVal,_xlpm.CSVVal&lt;&gt;"",_xlpm.CSVVal
)),"")</f>
        <v/>
      </c>
      <c r="G950" s="40" t="str" cm="1">
        <f t="array" ref="G950">IFERROR(_xlfn.LET(
_xlpm.CSVVal,_xlfn.XLOOKUP($A950,CSV!$A:$A,CSV!G:G,""),
_xlpm.MacVal,_xlfn.XLOOKUP($A950,Output_Mac!$A:$A,Output_Mac!F:F,""),
_xlpm.MyAuditVal,_xlfn.XLOOKUP($A950,My_Audit!$A:$A,My_Audit!F:F,""),
_xlfn.IFS(_xlpm.MyAuditVal&lt;&gt;"",_xlpm.MyAuditVal,_xlpm.MacVal&lt;&gt;"",_xlpm.MacVal,_xlpm.CSVVal&lt;&gt;"",PROPER(_xlpm.CSVVal)
)),"")</f>
        <v/>
      </c>
      <c r="H950" s="40" t="str" cm="1">
        <f t="array" ref="H950">IFERROR(_xlfn.LET(
_xlpm.CSVVal,_xlfn.XLOOKUP($A950,CSV!$A:$A,CSV!H:H,""),
_xlpm.MacVal,_xlfn.XLOOKUP($A950,Output_Mac!$A:$A,Output_Mac!H:H,""),
_xlpm.MyAuditVal,_xlfn.XLOOKUP($A950,My_Audit!$A:$A,My_Audit!G:G,""),
_xlfn.IFS(_xlpm.MyAuditVal&lt;&gt;"",_xlpm.MyAuditVal,_xlpm.MacVal&lt;&gt;"",_xlpm.MacVal,_xlpm.CSVVal&lt;&gt;"",_xlpm.CSVVal
)),"")</f>
        <v/>
      </c>
      <c r="I950" s="40" t="str">
        <f>_xlfn.XLOOKUP(A950,Output_Mac!A:A,Output_Mac!I:I,"")</f>
        <v/>
      </c>
      <c r="J950" s="40" t="str" cm="1">
        <f t="array" ref="J950">IFERROR(_xlfn.LET(
_xlpm.CSVVal,_xlfn.XLOOKUP($A950,CSV!$A:$A,CSV!I:I,""),
_xlpm.MacVal,_xlfn.XLOOKUP($A950,Output_Mac!$A:$A,Output_Mac!J:J,""),
_xlpm.MyAuditVal,_xlfn.XLOOKUP($A950,My_Audit!$A:$A,My_Audit!I:I,""),
_xlfn.IFS(_xlpm.MyAuditVal&lt;&gt;"",UPPER(_xlpm.MyAuditVal),_xlpm.MacVal&lt;&gt;"",_xlpm.MacVal,_xlpm.CSVVal&lt;&gt;"",_xlpm.CSVVal
)),"")</f>
        <v/>
      </c>
      <c r="K950" s="40" t="str" cm="1">
        <f t="array" ref="K950">IFERROR(_xlfn.LET(
_xlpm.CSVVal,_xlfn.XLOOKUP($A950,CSV!$A:$A,CSV!K:K,""),
_xlpm.MacVal,_xlfn.XLOOKUP($A950,Output_Mac!$A:$A,Output_Mac!K:K,""),
_xlpm.MyAuditVal,_xlfn.XLOOKUP($A950,My_Audit!$A:$A,My_Audit!J:J,""),
_xlfn.IFS(_xlpm.MyAuditVal&lt;&gt;"",UPPER(_xlpm.MyAuditVal),_xlpm.MacVal&lt;&gt;"",_xlpm.MacVal,_xlpm.CSVVal&lt;&gt;"",_xlpm.CSVVal
)),"")</f>
        <v/>
      </c>
      <c r="L950" s="40" t="str" cm="1">
        <f t="array" ref="L950">IFERROR(_xlfn.LET(
_xlpm.CSVVal,_xlfn.XLOOKUP($A950,CSV!$A:$A,CSV!P:P,""),
_xlpm.MacVal,_xlfn.XLOOKUP($A950,Output_Mac!$A:$A,Output_Mac!L:L,""),
_xlpm.MyAuditVal,_xlfn.XLOOKUP($A950,My_Audit!$A:$A,My_Audit!K:K,""),
_xlfn.IFS(_xlpm.MyAuditVal&lt;&gt;"",UPPER(_xlpm.MyAuditVal),_xlpm.MacVal&lt;&gt;"",_xlpm.MacVal,_xlpm.CSVVal&lt;&gt;"",_xlpm.CSVVal
)),"")</f>
        <v/>
      </c>
      <c r="M950" s="40" t="str" cm="1">
        <f t="array" ref="M950">IFERROR(_xlfn.LET(
_xlpm.CSVVal,_xlfn.XLOOKUP($A950,CSV!$A:$A,CSV!Q:Q,""),
_xlpm.MacVal,_xlfn.XLOOKUP($A950,Output_Mac!$A:$A,Output_Mac!M:M,""),
_xlpm.MyAuditVal,_xlfn.XLOOKUP($A950,My_Audit!$A:$A,My_Audit!L:L,""),
_xlfn.IFS(_xlpm.MyAuditVal&lt;&gt;"",UPPER(_xlpm.MyAuditVal),_xlpm.MacVal&lt;&gt;"",_xlpm.MacVal,_xlpm.CSVVal&lt;&gt;"",_xlpm.CSVVal
)),"")</f>
        <v/>
      </c>
      <c r="N950" s="40"/>
      <c r="O950" s="40" t="str">
        <f>_xlfn.LET(
    _xlpm.CSVVal, _xlfn.XLOOKUP($A950, CSV!$A:$A, CSV!AA:AA, ""),
    _xlpm.MacVal, _xlfn.XLOOKUP($A950, Output_Mac!$A:$A, Output_Mac!S:S, ""),
    _xlpm.MyAuditVal, _xlfn.XLOOKUP($A950, My_Audit!$A:$A, My_Audit!P:P, ""),
    _xlfn.TEXTJOIN(", ", TRUE, _xlpm.MyAuditVal, _xlpm.MacVal, _xlpm.CSVVal)
)</f>
        <v/>
      </c>
      <c r="P950" s="40" t="str" cm="1">
        <f t="array" ref="P950">IFERROR(_xlfn.LET(
_xlpm.CSVVal,_xlfn.XLOOKUP($A950,CSV!$A:$A,CSV!AB:AB,""),
_xlpm.MacVal,_xlfn.XLOOKUP($A950,Output_Mac!$A:$A,Output_Mac!T:T,""),
_xlpm.MyAuditVal,_xlfn.XLOOKUP($A950,My_Audit!$A:$A,My_Audit!Q:Q,""),
_xlfn.IFS(_xlpm.MyAuditVal&lt;&gt;"",UPPER(_xlpm.MyAuditVal),_xlpm.MacVal&lt;&gt;"",_xlpm.MacVal,_xlpm.CSVVal&lt;&gt;"",_xlpm.CSVVal
)),"No")</f>
        <v>No</v>
      </c>
      <c r="Q950" s="40" t="str" cm="1">
        <f t="array" ref="Q950">IFERROR(_xlfn.LET(
_xlpm.CSVVal,_xlfn.XLOOKUP($A950,CSV!$A:$A,CSV!AC:AC,""),
_xlpm.MacVal,_xlfn.XLOOKUP($A950,Output_Mac!$A:$A,Output_Mac!U:U,""),
_xlpm.MyAuditVal,_xlfn.XLOOKUP($A950,My_Audit!$A:$A,My_Audit!R:R,""),
_xlfn.IFS(_xlpm.MyAuditVal&lt;&gt;"",UPPER(_xlpm.MyAuditVal),_xlpm.MacVal&lt;&gt;"",_xlpm.MacVal,_xlpm.CSVVal&lt;&gt;"",_xlpm.CSVVal
)),"")</f>
        <v/>
      </c>
      <c r="R950" s="40"/>
      <c r="S950" s="40"/>
      <c r="T950" s="40"/>
      <c r="U950" s="40"/>
      <c r="V950" s="40"/>
      <c r="W950" s="40"/>
      <c r="X950" s="41" t="str">
        <f>_xlfn.LET(
    _xlpm.MacVal, _xlfn.XLOOKUP($A950, Output_Mac!$A:$A, Output_Mac!AB:AB, ""),
    _xlpm.MyAuditVal, _xlfn.XLOOKUP($A950, My_Audit!$A:$A, My_Audit!N:N, ""),
    _xlfn.TEXTJOIN(", ", TRUE, _xlpm.MyAuditVal, _xlpm.MacVal)
)</f>
        <v/>
      </c>
    </row>
    <row r="951" spans="1:24">
      <c r="A951" s="40" t="str">
        <f>_xlfn.TEXTJOIN("",TRUE,Input!$B$2,ROW(My_Audit!A950))</f>
        <v>X950</v>
      </c>
      <c r="B951" s="40" t="str">
        <f>_xlfn.TEXTJOIN("-",TRUE,"ITD",Input!$A$2,A951)</f>
        <v>ITD-X950</v>
      </c>
      <c r="C951" s="40" t="str" cm="1">
        <f t="array" ref="C951">IFERROR(_xlfn.LET(
_xlpm.CSVVal,_xlfn.XLOOKUP($A951,CSV!$A:$A,CSV!B:B,""),
_xlpm.MacVal,_xlfn.XLOOKUP($A951,Output_Mac!$A:$A,Output_Mac!B:B,""),
_xlpm.MyAuditVal,_xlfn.XLOOKUP($A951,My_Audit!$A:$A,My_Audit!B:B,""),
_xlfn.IFS(_xlpm.MyAuditVal&lt;&gt;"",UPPER(_xlpm.MyAuditVal),_xlpm.MacVal&lt;&gt;"",_xlpm.MacVal,_xlpm.CSVVal&lt;&gt;"",_xlpm.CSVVal
)),"")</f>
        <v/>
      </c>
      <c r="D951" s="40" t="str" cm="1">
        <f t="array" ref="D951">IFERROR(_xlfn.LET(
_xlpm.CSVVal,_xlfn.XLOOKUP($A951,CSV!$A:$A,CSV!D:D,""),
_xlpm.MacVal,_xlfn.XLOOKUP($A951,Output_Mac!$A:$A,Output_Mac!C:C,""),
_xlpm.MyAuditVal,_xlfn.XLOOKUP($A951,My_Audit!$A:$A,My_Audit!C:C,""),
_xlfn.IFS(_xlpm.MyAuditVal&lt;&gt;"",_xlpm.MyAuditVal,_xlpm.MacVal&lt;&gt;"",_xlpm.MacVal,_xlpm.CSVVal&lt;&gt;"",_xlpm.CSVVal
)),"")</f>
        <v/>
      </c>
      <c r="E951" s="40" t="str">
        <f>_xlfn.XLOOKUP(A951,My_Audit!A:A,My_Audit!D:D,"")</f>
        <v/>
      </c>
      <c r="F951" s="40" t="str" cm="1">
        <f t="array" ref="F951">IFERROR(_xlfn.LET(
_xlpm.CSVVal,_xlfn.XLOOKUP($A951,CSV!$A:$A,CSV!F:F,""),
_xlpm.MacVal,_xlfn.XLOOKUP($A951,Output_Mac!$A:$A,Output_Mac!E:E,""),
_xlpm.MyAuditVal,_xlfn.XLOOKUP($A951,My_Audit!$A:$A,My_Audit!E:E,""),
_xlfn.IFS(_xlpm.MyAuditVal&lt;&gt;"",_xlpm.MyAuditVal,_xlpm.MacVal&lt;&gt;"",_xlpm.MacVal,_xlpm.CSVVal&lt;&gt;"",_xlpm.CSVVal
)),"")</f>
        <v/>
      </c>
      <c r="G951" s="40" t="str" cm="1">
        <f t="array" ref="G951">IFERROR(_xlfn.LET(
_xlpm.CSVVal,_xlfn.XLOOKUP($A951,CSV!$A:$A,CSV!G:G,""),
_xlpm.MacVal,_xlfn.XLOOKUP($A951,Output_Mac!$A:$A,Output_Mac!F:F,""),
_xlpm.MyAuditVal,_xlfn.XLOOKUP($A951,My_Audit!$A:$A,My_Audit!F:F,""),
_xlfn.IFS(_xlpm.MyAuditVal&lt;&gt;"",_xlpm.MyAuditVal,_xlpm.MacVal&lt;&gt;"",_xlpm.MacVal,_xlpm.CSVVal&lt;&gt;"",PROPER(_xlpm.CSVVal)
)),"")</f>
        <v/>
      </c>
      <c r="H951" s="40" t="str" cm="1">
        <f t="array" ref="H951">IFERROR(_xlfn.LET(
_xlpm.CSVVal,_xlfn.XLOOKUP($A951,CSV!$A:$A,CSV!H:H,""),
_xlpm.MacVal,_xlfn.XLOOKUP($A951,Output_Mac!$A:$A,Output_Mac!H:H,""),
_xlpm.MyAuditVal,_xlfn.XLOOKUP($A951,My_Audit!$A:$A,My_Audit!G:G,""),
_xlfn.IFS(_xlpm.MyAuditVal&lt;&gt;"",_xlpm.MyAuditVal,_xlpm.MacVal&lt;&gt;"",_xlpm.MacVal,_xlpm.CSVVal&lt;&gt;"",_xlpm.CSVVal
)),"")</f>
        <v/>
      </c>
      <c r="I951" s="40" t="str">
        <f>_xlfn.XLOOKUP(A951,Output_Mac!A:A,Output_Mac!I:I,"")</f>
        <v/>
      </c>
      <c r="J951" s="40" t="str" cm="1">
        <f t="array" ref="J951">IFERROR(_xlfn.LET(
_xlpm.CSVVal,_xlfn.XLOOKUP($A951,CSV!$A:$A,CSV!I:I,""),
_xlpm.MacVal,_xlfn.XLOOKUP($A951,Output_Mac!$A:$A,Output_Mac!J:J,""),
_xlpm.MyAuditVal,_xlfn.XLOOKUP($A951,My_Audit!$A:$A,My_Audit!I:I,""),
_xlfn.IFS(_xlpm.MyAuditVal&lt;&gt;"",UPPER(_xlpm.MyAuditVal),_xlpm.MacVal&lt;&gt;"",_xlpm.MacVal,_xlpm.CSVVal&lt;&gt;"",_xlpm.CSVVal
)),"")</f>
        <v/>
      </c>
      <c r="K951" s="40" t="str" cm="1">
        <f t="array" ref="K951">IFERROR(_xlfn.LET(
_xlpm.CSVVal,_xlfn.XLOOKUP($A951,CSV!$A:$A,CSV!K:K,""),
_xlpm.MacVal,_xlfn.XLOOKUP($A951,Output_Mac!$A:$A,Output_Mac!K:K,""),
_xlpm.MyAuditVal,_xlfn.XLOOKUP($A951,My_Audit!$A:$A,My_Audit!J:J,""),
_xlfn.IFS(_xlpm.MyAuditVal&lt;&gt;"",UPPER(_xlpm.MyAuditVal),_xlpm.MacVal&lt;&gt;"",_xlpm.MacVal,_xlpm.CSVVal&lt;&gt;"",_xlpm.CSVVal
)),"")</f>
        <v/>
      </c>
      <c r="L951" s="40" t="str" cm="1">
        <f t="array" ref="L951">IFERROR(_xlfn.LET(
_xlpm.CSVVal,_xlfn.XLOOKUP($A951,CSV!$A:$A,CSV!P:P,""),
_xlpm.MacVal,_xlfn.XLOOKUP($A951,Output_Mac!$A:$A,Output_Mac!L:L,""),
_xlpm.MyAuditVal,_xlfn.XLOOKUP($A951,My_Audit!$A:$A,My_Audit!K:K,""),
_xlfn.IFS(_xlpm.MyAuditVal&lt;&gt;"",UPPER(_xlpm.MyAuditVal),_xlpm.MacVal&lt;&gt;"",_xlpm.MacVal,_xlpm.CSVVal&lt;&gt;"",_xlpm.CSVVal
)),"")</f>
        <v/>
      </c>
      <c r="M951" s="40" t="str" cm="1">
        <f t="array" ref="M951">IFERROR(_xlfn.LET(
_xlpm.CSVVal,_xlfn.XLOOKUP($A951,CSV!$A:$A,CSV!Q:Q,""),
_xlpm.MacVal,_xlfn.XLOOKUP($A951,Output_Mac!$A:$A,Output_Mac!M:M,""),
_xlpm.MyAuditVal,_xlfn.XLOOKUP($A951,My_Audit!$A:$A,My_Audit!L:L,""),
_xlfn.IFS(_xlpm.MyAuditVal&lt;&gt;"",UPPER(_xlpm.MyAuditVal),_xlpm.MacVal&lt;&gt;"",_xlpm.MacVal,_xlpm.CSVVal&lt;&gt;"",_xlpm.CSVVal
)),"")</f>
        <v/>
      </c>
      <c r="N951" s="40"/>
      <c r="O951" s="40" t="str">
        <f>_xlfn.LET(
    _xlpm.CSVVal, _xlfn.XLOOKUP($A951, CSV!$A:$A, CSV!AA:AA, ""),
    _xlpm.MacVal, _xlfn.XLOOKUP($A951, Output_Mac!$A:$A, Output_Mac!S:S, ""),
    _xlpm.MyAuditVal, _xlfn.XLOOKUP($A951, My_Audit!$A:$A, My_Audit!P:P, ""),
    _xlfn.TEXTJOIN(", ", TRUE, _xlpm.MyAuditVal, _xlpm.MacVal, _xlpm.CSVVal)
)</f>
        <v/>
      </c>
      <c r="P951" s="40" t="str" cm="1">
        <f t="array" ref="P951">IFERROR(_xlfn.LET(
_xlpm.CSVVal,_xlfn.XLOOKUP($A951,CSV!$A:$A,CSV!AB:AB,""),
_xlpm.MacVal,_xlfn.XLOOKUP($A951,Output_Mac!$A:$A,Output_Mac!T:T,""),
_xlpm.MyAuditVal,_xlfn.XLOOKUP($A951,My_Audit!$A:$A,My_Audit!Q:Q,""),
_xlfn.IFS(_xlpm.MyAuditVal&lt;&gt;"",UPPER(_xlpm.MyAuditVal),_xlpm.MacVal&lt;&gt;"",_xlpm.MacVal,_xlpm.CSVVal&lt;&gt;"",_xlpm.CSVVal
)),"No")</f>
        <v>No</v>
      </c>
      <c r="Q951" s="40" t="str" cm="1">
        <f t="array" ref="Q951">IFERROR(_xlfn.LET(
_xlpm.CSVVal,_xlfn.XLOOKUP($A951,CSV!$A:$A,CSV!AC:AC,""),
_xlpm.MacVal,_xlfn.XLOOKUP($A951,Output_Mac!$A:$A,Output_Mac!U:U,""),
_xlpm.MyAuditVal,_xlfn.XLOOKUP($A951,My_Audit!$A:$A,My_Audit!R:R,""),
_xlfn.IFS(_xlpm.MyAuditVal&lt;&gt;"",UPPER(_xlpm.MyAuditVal),_xlpm.MacVal&lt;&gt;"",_xlpm.MacVal,_xlpm.CSVVal&lt;&gt;"",_xlpm.CSVVal
)),"")</f>
        <v/>
      </c>
      <c r="R951" s="40"/>
      <c r="S951" s="40"/>
      <c r="T951" s="40"/>
      <c r="U951" s="40"/>
      <c r="V951" s="40"/>
      <c r="W951" s="40"/>
      <c r="X951" s="41" t="str">
        <f>_xlfn.LET(
    _xlpm.MacVal, _xlfn.XLOOKUP($A951, Output_Mac!$A:$A, Output_Mac!AB:AB, ""),
    _xlpm.MyAuditVal, _xlfn.XLOOKUP($A951, My_Audit!$A:$A, My_Audit!N:N, ""),
    _xlfn.TEXTJOIN(", ", TRUE, _xlpm.MyAuditVal, _xlpm.MacVal)
)</f>
        <v/>
      </c>
    </row>
    <row r="952" spans="1:24">
      <c r="A952" s="40" t="str">
        <f>_xlfn.TEXTJOIN("",TRUE,Input!$B$2,ROW(My_Audit!A951))</f>
        <v>X951</v>
      </c>
      <c r="B952" s="40" t="str">
        <f>_xlfn.TEXTJOIN("-",TRUE,"ITD",Input!$A$2,A952)</f>
        <v>ITD-X951</v>
      </c>
      <c r="C952" s="40" t="str" cm="1">
        <f t="array" ref="C952">IFERROR(_xlfn.LET(
_xlpm.CSVVal,_xlfn.XLOOKUP($A952,CSV!$A:$A,CSV!B:B,""),
_xlpm.MacVal,_xlfn.XLOOKUP($A952,Output_Mac!$A:$A,Output_Mac!B:B,""),
_xlpm.MyAuditVal,_xlfn.XLOOKUP($A952,My_Audit!$A:$A,My_Audit!B:B,""),
_xlfn.IFS(_xlpm.MyAuditVal&lt;&gt;"",UPPER(_xlpm.MyAuditVal),_xlpm.MacVal&lt;&gt;"",_xlpm.MacVal,_xlpm.CSVVal&lt;&gt;"",_xlpm.CSVVal
)),"")</f>
        <v/>
      </c>
      <c r="D952" s="40" t="str" cm="1">
        <f t="array" ref="D952">IFERROR(_xlfn.LET(
_xlpm.CSVVal,_xlfn.XLOOKUP($A952,CSV!$A:$A,CSV!D:D,""),
_xlpm.MacVal,_xlfn.XLOOKUP($A952,Output_Mac!$A:$A,Output_Mac!C:C,""),
_xlpm.MyAuditVal,_xlfn.XLOOKUP($A952,My_Audit!$A:$A,My_Audit!C:C,""),
_xlfn.IFS(_xlpm.MyAuditVal&lt;&gt;"",_xlpm.MyAuditVal,_xlpm.MacVal&lt;&gt;"",_xlpm.MacVal,_xlpm.CSVVal&lt;&gt;"",_xlpm.CSVVal
)),"")</f>
        <v/>
      </c>
      <c r="E952" s="40" t="str">
        <f>_xlfn.XLOOKUP(A952,My_Audit!A:A,My_Audit!D:D,"")</f>
        <v/>
      </c>
      <c r="F952" s="40" t="str" cm="1">
        <f t="array" ref="F952">IFERROR(_xlfn.LET(
_xlpm.CSVVal,_xlfn.XLOOKUP($A952,CSV!$A:$A,CSV!F:F,""),
_xlpm.MacVal,_xlfn.XLOOKUP($A952,Output_Mac!$A:$A,Output_Mac!E:E,""),
_xlpm.MyAuditVal,_xlfn.XLOOKUP($A952,My_Audit!$A:$A,My_Audit!E:E,""),
_xlfn.IFS(_xlpm.MyAuditVal&lt;&gt;"",_xlpm.MyAuditVal,_xlpm.MacVal&lt;&gt;"",_xlpm.MacVal,_xlpm.CSVVal&lt;&gt;"",_xlpm.CSVVal
)),"")</f>
        <v/>
      </c>
      <c r="G952" s="40" t="str" cm="1">
        <f t="array" ref="G952">IFERROR(_xlfn.LET(
_xlpm.CSVVal,_xlfn.XLOOKUP($A952,CSV!$A:$A,CSV!G:G,""),
_xlpm.MacVal,_xlfn.XLOOKUP($A952,Output_Mac!$A:$A,Output_Mac!F:F,""),
_xlpm.MyAuditVal,_xlfn.XLOOKUP($A952,My_Audit!$A:$A,My_Audit!F:F,""),
_xlfn.IFS(_xlpm.MyAuditVal&lt;&gt;"",_xlpm.MyAuditVal,_xlpm.MacVal&lt;&gt;"",_xlpm.MacVal,_xlpm.CSVVal&lt;&gt;"",PROPER(_xlpm.CSVVal)
)),"")</f>
        <v/>
      </c>
      <c r="H952" s="40" t="str" cm="1">
        <f t="array" ref="H952">IFERROR(_xlfn.LET(
_xlpm.CSVVal,_xlfn.XLOOKUP($A952,CSV!$A:$A,CSV!H:H,""),
_xlpm.MacVal,_xlfn.XLOOKUP($A952,Output_Mac!$A:$A,Output_Mac!H:H,""),
_xlpm.MyAuditVal,_xlfn.XLOOKUP($A952,My_Audit!$A:$A,My_Audit!G:G,""),
_xlfn.IFS(_xlpm.MyAuditVal&lt;&gt;"",_xlpm.MyAuditVal,_xlpm.MacVal&lt;&gt;"",_xlpm.MacVal,_xlpm.CSVVal&lt;&gt;"",_xlpm.CSVVal
)),"")</f>
        <v/>
      </c>
      <c r="I952" s="40" t="str">
        <f>_xlfn.XLOOKUP(A952,Output_Mac!A:A,Output_Mac!I:I,"")</f>
        <v/>
      </c>
      <c r="J952" s="40" t="str" cm="1">
        <f t="array" ref="J952">IFERROR(_xlfn.LET(
_xlpm.CSVVal,_xlfn.XLOOKUP($A952,CSV!$A:$A,CSV!I:I,""),
_xlpm.MacVal,_xlfn.XLOOKUP($A952,Output_Mac!$A:$A,Output_Mac!J:J,""),
_xlpm.MyAuditVal,_xlfn.XLOOKUP($A952,My_Audit!$A:$A,My_Audit!I:I,""),
_xlfn.IFS(_xlpm.MyAuditVal&lt;&gt;"",UPPER(_xlpm.MyAuditVal),_xlpm.MacVal&lt;&gt;"",_xlpm.MacVal,_xlpm.CSVVal&lt;&gt;"",_xlpm.CSVVal
)),"")</f>
        <v/>
      </c>
      <c r="K952" s="40" t="str" cm="1">
        <f t="array" ref="K952">IFERROR(_xlfn.LET(
_xlpm.CSVVal,_xlfn.XLOOKUP($A952,CSV!$A:$A,CSV!K:K,""),
_xlpm.MacVal,_xlfn.XLOOKUP($A952,Output_Mac!$A:$A,Output_Mac!K:K,""),
_xlpm.MyAuditVal,_xlfn.XLOOKUP($A952,My_Audit!$A:$A,My_Audit!J:J,""),
_xlfn.IFS(_xlpm.MyAuditVal&lt;&gt;"",UPPER(_xlpm.MyAuditVal),_xlpm.MacVal&lt;&gt;"",_xlpm.MacVal,_xlpm.CSVVal&lt;&gt;"",_xlpm.CSVVal
)),"")</f>
        <v/>
      </c>
      <c r="L952" s="40" t="str" cm="1">
        <f t="array" ref="L952">IFERROR(_xlfn.LET(
_xlpm.CSVVal,_xlfn.XLOOKUP($A952,CSV!$A:$A,CSV!P:P,""),
_xlpm.MacVal,_xlfn.XLOOKUP($A952,Output_Mac!$A:$A,Output_Mac!L:L,""),
_xlpm.MyAuditVal,_xlfn.XLOOKUP($A952,My_Audit!$A:$A,My_Audit!K:K,""),
_xlfn.IFS(_xlpm.MyAuditVal&lt;&gt;"",UPPER(_xlpm.MyAuditVal),_xlpm.MacVal&lt;&gt;"",_xlpm.MacVal,_xlpm.CSVVal&lt;&gt;"",_xlpm.CSVVal
)),"")</f>
        <v/>
      </c>
      <c r="M952" s="40" t="str" cm="1">
        <f t="array" ref="M952">IFERROR(_xlfn.LET(
_xlpm.CSVVal,_xlfn.XLOOKUP($A952,CSV!$A:$A,CSV!Q:Q,""),
_xlpm.MacVal,_xlfn.XLOOKUP($A952,Output_Mac!$A:$A,Output_Mac!M:M,""),
_xlpm.MyAuditVal,_xlfn.XLOOKUP($A952,My_Audit!$A:$A,My_Audit!L:L,""),
_xlfn.IFS(_xlpm.MyAuditVal&lt;&gt;"",UPPER(_xlpm.MyAuditVal),_xlpm.MacVal&lt;&gt;"",_xlpm.MacVal,_xlpm.CSVVal&lt;&gt;"",_xlpm.CSVVal
)),"")</f>
        <v/>
      </c>
      <c r="N952" s="40"/>
      <c r="O952" s="40" t="str">
        <f>_xlfn.LET(
    _xlpm.CSVVal, _xlfn.XLOOKUP($A952, CSV!$A:$A, CSV!AA:AA, ""),
    _xlpm.MacVal, _xlfn.XLOOKUP($A952, Output_Mac!$A:$A, Output_Mac!S:S, ""),
    _xlpm.MyAuditVal, _xlfn.XLOOKUP($A952, My_Audit!$A:$A, My_Audit!P:P, ""),
    _xlfn.TEXTJOIN(", ", TRUE, _xlpm.MyAuditVal, _xlpm.MacVal, _xlpm.CSVVal)
)</f>
        <v/>
      </c>
      <c r="P952" s="40" t="str" cm="1">
        <f t="array" ref="P952">IFERROR(_xlfn.LET(
_xlpm.CSVVal,_xlfn.XLOOKUP($A952,CSV!$A:$A,CSV!AB:AB,""),
_xlpm.MacVal,_xlfn.XLOOKUP($A952,Output_Mac!$A:$A,Output_Mac!T:T,""),
_xlpm.MyAuditVal,_xlfn.XLOOKUP($A952,My_Audit!$A:$A,My_Audit!Q:Q,""),
_xlfn.IFS(_xlpm.MyAuditVal&lt;&gt;"",UPPER(_xlpm.MyAuditVal),_xlpm.MacVal&lt;&gt;"",_xlpm.MacVal,_xlpm.CSVVal&lt;&gt;"",_xlpm.CSVVal
)),"No")</f>
        <v>No</v>
      </c>
      <c r="Q952" s="40" t="str" cm="1">
        <f t="array" ref="Q952">IFERROR(_xlfn.LET(
_xlpm.CSVVal,_xlfn.XLOOKUP($A952,CSV!$A:$A,CSV!AC:AC,""),
_xlpm.MacVal,_xlfn.XLOOKUP($A952,Output_Mac!$A:$A,Output_Mac!U:U,""),
_xlpm.MyAuditVal,_xlfn.XLOOKUP($A952,My_Audit!$A:$A,My_Audit!R:R,""),
_xlfn.IFS(_xlpm.MyAuditVal&lt;&gt;"",UPPER(_xlpm.MyAuditVal),_xlpm.MacVal&lt;&gt;"",_xlpm.MacVal,_xlpm.CSVVal&lt;&gt;"",_xlpm.CSVVal
)),"")</f>
        <v/>
      </c>
      <c r="R952" s="40"/>
      <c r="S952" s="40"/>
      <c r="T952" s="40"/>
      <c r="U952" s="40"/>
      <c r="V952" s="40"/>
      <c r="W952" s="40"/>
      <c r="X952" s="41" t="str">
        <f>_xlfn.LET(
    _xlpm.MacVal, _xlfn.XLOOKUP($A952, Output_Mac!$A:$A, Output_Mac!AB:AB, ""),
    _xlpm.MyAuditVal, _xlfn.XLOOKUP($A952, My_Audit!$A:$A, My_Audit!N:N, ""),
    _xlfn.TEXTJOIN(", ", TRUE, _xlpm.MyAuditVal, _xlpm.MacVal)
)</f>
        <v/>
      </c>
    </row>
    <row r="953" spans="1:24">
      <c r="A953" s="40" t="str">
        <f>_xlfn.TEXTJOIN("",TRUE,Input!$B$2,ROW(My_Audit!A952))</f>
        <v>X952</v>
      </c>
      <c r="B953" s="40" t="str">
        <f>_xlfn.TEXTJOIN("-",TRUE,"ITD",Input!$A$2,A953)</f>
        <v>ITD-X952</v>
      </c>
      <c r="C953" s="40" t="str" cm="1">
        <f t="array" ref="C953">IFERROR(_xlfn.LET(
_xlpm.CSVVal,_xlfn.XLOOKUP($A953,CSV!$A:$A,CSV!B:B,""),
_xlpm.MacVal,_xlfn.XLOOKUP($A953,Output_Mac!$A:$A,Output_Mac!B:B,""),
_xlpm.MyAuditVal,_xlfn.XLOOKUP($A953,My_Audit!$A:$A,My_Audit!B:B,""),
_xlfn.IFS(_xlpm.MyAuditVal&lt;&gt;"",UPPER(_xlpm.MyAuditVal),_xlpm.MacVal&lt;&gt;"",_xlpm.MacVal,_xlpm.CSVVal&lt;&gt;"",_xlpm.CSVVal
)),"")</f>
        <v/>
      </c>
      <c r="D953" s="40" t="str" cm="1">
        <f t="array" ref="D953">IFERROR(_xlfn.LET(
_xlpm.CSVVal,_xlfn.XLOOKUP($A953,CSV!$A:$A,CSV!D:D,""),
_xlpm.MacVal,_xlfn.XLOOKUP($A953,Output_Mac!$A:$A,Output_Mac!C:C,""),
_xlpm.MyAuditVal,_xlfn.XLOOKUP($A953,My_Audit!$A:$A,My_Audit!C:C,""),
_xlfn.IFS(_xlpm.MyAuditVal&lt;&gt;"",_xlpm.MyAuditVal,_xlpm.MacVal&lt;&gt;"",_xlpm.MacVal,_xlpm.CSVVal&lt;&gt;"",_xlpm.CSVVal
)),"")</f>
        <v/>
      </c>
      <c r="E953" s="40" t="str">
        <f>_xlfn.XLOOKUP(A953,My_Audit!A:A,My_Audit!D:D,"")</f>
        <v/>
      </c>
      <c r="F953" s="40" t="str" cm="1">
        <f t="array" ref="F953">IFERROR(_xlfn.LET(
_xlpm.CSVVal,_xlfn.XLOOKUP($A953,CSV!$A:$A,CSV!F:F,""),
_xlpm.MacVal,_xlfn.XLOOKUP($A953,Output_Mac!$A:$A,Output_Mac!E:E,""),
_xlpm.MyAuditVal,_xlfn.XLOOKUP($A953,My_Audit!$A:$A,My_Audit!E:E,""),
_xlfn.IFS(_xlpm.MyAuditVal&lt;&gt;"",_xlpm.MyAuditVal,_xlpm.MacVal&lt;&gt;"",_xlpm.MacVal,_xlpm.CSVVal&lt;&gt;"",_xlpm.CSVVal
)),"")</f>
        <v/>
      </c>
      <c r="G953" s="40" t="str" cm="1">
        <f t="array" ref="G953">IFERROR(_xlfn.LET(
_xlpm.CSVVal,_xlfn.XLOOKUP($A953,CSV!$A:$A,CSV!G:G,""),
_xlpm.MacVal,_xlfn.XLOOKUP($A953,Output_Mac!$A:$A,Output_Mac!F:F,""),
_xlpm.MyAuditVal,_xlfn.XLOOKUP($A953,My_Audit!$A:$A,My_Audit!F:F,""),
_xlfn.IFS(_xlpm.MyAuditVal&lt;&gt;"",_xlpm.MyAuditVal,_xlpm.MacVal&lt;&gt;"",_xlpm.MacVal,_xlpm.CSVVal&lt;&gt;"",PROPER(_xlpm.CSVVal)
)),"")</f>
        <v/>
      </c>
      <c r="H953" s="40" t="str" cm="1">
        <f t="array" ref="H953">IFERROR(_xlfn.LET(
_xlpm.CSVVal,_xlfn.XLOOKUP($A953,CSV!$A:$A,CSV!H:H,""),
_xlpm.MacVal,_xlfn.XLOOKUP($A953,Output_Mac!$A:$A,Output_Mac!H:H,""),
_xlpm.MyAuditVal,_xlfn.XLOOKUP($A953,My_Audit!$A:$A,My_Audit!G:G,""),
_xlfn.IFS(_xlpm.MyAuditVal&lt;&gt;"",_xlpm.MyAuditVal,_xlpm.MacVal&lt;&gt;"",_xlpm.MacVal,_xlpm.CSVVal&lt;&gt;"",_xlpm.CSVVal
)),"")</f>
        <v/>
      </c>
      <c r="I953" s="40" t="str">
        <f>_xlfn.XLOOKUP(A953,Output_Mac!A:A,Output_Mac!I:I,"")</f>
        <v/>
      </c>
      <c r="J953" s="40" t="str" cm="1">
        <f t="array" ref="J953">IFERROR(_xlfn.LET(
_xlpm.CSVVal,_xlfn.XLOOKUP($A953,CSV!$A:$A,CSV!I:I,""),
_xlpm.MacVal,_xlfn.XLOOKUP($A953,Output_Mac!$A:$A,Output_Mac!J:J,""),
_xlpm.MyAuditVal,_xlfn.XLOOKUP($A953,My_Audit!$A:$A,My_Audit!I:I,""),
_xlfn.IFS(_xlpm.MyAuditVal&lt;&gt;"",UPPER(_xlpm.MyAuditVal),_xlpm.MacVal&lt;&gt;"",_xlpm.MacVal,_xlpm.CSVVal&lt;&gt;"",_xlpm.CSVVal
)),"")</f>
        <v/>
      </c>
      <c r="K953" s="40" t="str" cm="1">
        <f t="array" ref="K953">IFERROR(_xlfn.LET(
_xlpm.CSVVal,_xlfn.XLOOKUP($A953,CSV!$A:$A,CSV!K:K,""),
_xlpm.MacVal,_xlfn.XLOOKUP($A953,Output_Mac!$A:$A,Output_Mac!K:K,""),
_xlpm.MyAuditVal,_xlfn.XLOOKUP($A953,My_Audit!$A:$A,My_Audit!J:J,""),
_xlfn.IFS(_xlpm.MyAuditVal&lt;&gt;"",UPPER(_xlpm.MyAuditVal),_xlpm.MacVal&lt;&gt;"",_xlpm.MacVal,_xlpm.CSVVal&lt;&gt;"",_xlpm.CSVVal
)),"")</f>
        <v/>
      </c>
      <c r="L953" s="40" t="str" cm="1">
        <f t="array" ref="L953">IFERROR(_xlfn.LET(
_xlpm.CSVVal,_xlfn.XLOOKUP($A953,CSV!$A:$A,CSV!P:P,""),
_xlpm.MacVal,_xlfn.XLOOKUP($A953,Output_Mac!$A:$A,Output_Mac!L:L,""),
_xlpm.MyAuditVal,_xlfn.XLOOKUP($A953,My_Audit!$A:$A,My_Audit!K:K,""),
_xlfn.IFS(_xlpm.MyAuditVal&lt;&gt;"",UPPER(_xlpm.MyAuditVal),_xlpm.MacVal&lt;&gt;"",_xlpm.MacVal,_xlpm.CSVVal&lt;&gt;"",_xlpm.CSVVal
)),"")</f>
        <v/>
      </c>
      <c r="M953" s="40" t="str" cm="1">
        <f t="array" ref="M953">IFERROR(_xlfn.LET(
_xlpm.CSVVal,_xlfn.XLOOKUP($A953,CSV!$A:$A,CSV!Q:Q,""),
_xlpm.MacVal,_xlfn.XLOOKUP($A953,Output_Mac!$A:$A,Output_Mac!M:M,""),
_xlpm.MyAuditVal,_xlfn.XLOOKUP($A953,My_Audit!$A:$A,My_Audit!L:L,""),
_xlfn.IFS(_xlpm.MyAuditVal&lt;&gt;"",UPPER(_xlpm.MyAuditVal),_xlpm.MacVal&lt;&gt;"",_xlpm.MacVal,_xlpm.CSVVal&lt;&gt;"",_xlpm.CSVVal
)),"")</f>
        <v/>
      </c>
      <c r="N953" s="40"/>
      <c r="O953" s="40" t="str">
        <f>_xlfn.LET(
    _xlpm.CSVVal, _xlfn.XLOOKUP($A953, CSV!$A:$A, CSV!AA:AA, ""),
    _xlpm.MacVal, _xlfn.XLOOKUP($A953, Output_Mac!$A:$A, Output_Mac!S:S, ""),
    _xlpm.MyAuditVal, _xlfn.XLOOKUP($A953, My_Audit!$A:$A, My_Audit!P:P, ""),
    _xlfn.TEXTJOIN(", ", TRUE, _xlpm.MyAuditVal, _xlpm.MacVal, _xlpm.CSVVal)
)</f>
        <v/>
      </c>
      <c r="P953" s="40" t="str" cm="1">
        <f t="array" ref="P953">IFERROR(_xlfn.LET(
_xlpm.CSVVal,_xlfn.XLOOKUP($A953,CSV!$A:$A,CSV!AB:AB,""),
_xlpm.MacVal,_xlfn.XLOOKUP($A953,Output_Mac!$A:$A,Output_Mac!T:T,""),
_xlpm.MyAuditVal,_xlfn.XLOOKUP($A953,My_Audit!$A:$A,My_Audit!Q:Q,""),
_xlfn.IFS(_xlpm.MyAuditVal&lt;&gt;"",UPPER(_xlpm.MyAuditVal),_xlpm.MacVal&lt;&gt;"",_xlpm.MacVal,_xlpm.CSVVal&lt;&gt;"",_xlpm.CSVVal
)),"No")</f>
        <v>No</v>
      </c>
      <c r="Q953" s="40" t="str" cm="1">
        <f t="array" ref="Q953">IFERROR(_xlfn.LET(
_xlpm.CSVVal,_xlfn.XLOOKUP($A953,CSV!$A:$A,CSV!AC:AC,""),
_xlpm.MacVal,_xlfn.XLOOKUP($A953,Output_Mac!$A:$A,Output_Mac!U:U,""),
_xlpm.MyAuditVal,_xlfn.XLOOKUP($A953,My_Audit!$A:$A,My_Audit!R:R,""),
_xlfn.IFS(_xlpm.MyAuditVal&lt;&gt;"",UPPER(_xlpm.MyAuditVal),_xlpm.MacVal&lt;&gt;"",_xlpm.MacVal,_xlpm.CSVVal&lt;&gt;"",_xlpm.CSVVal
)),"")</f>
        <v/>
      </c>
      <c r="R953" s="40"/>
      <c r="S953" s="40"/>
      <c r="T953" s="40"/>
      <c r="U953" s="40"/>
      <c r="V953" s="40"/>
      <c r="W953" s="40"/>
      <c r="X953" s="41" t="str">
        <f>_xlfn.LET(
    _xlpm.MacVal, _xlfn.XLOOKUP($A953, Output_Mac!$A:$A, Output_Mac!AB:AB, ""),
    _xlpm.MyAuditVal, _xlfn.XLOOKUP($A953, My_Audit!$A:$A, My_Audit!N:N, ""),
    _xlfn.TEXTJOIN(", ", TRUE, _xlpm.MyAuditVal, _xlpm.MacVal)
)</f>
        <v/>
      </c>
    </row>
    <row r="954" spans="1:24">
      <c r="A954" s="40" t="str">
        <f>_xlfn.TEXTJOIN("",TRUE,Input!$B$2,ROW(My_Audit!A953))</f>
        <v>X953</v>
      </c>
      <c r="B954" s="40" t="str">
        <f>_xlfn.TEXTJOIN("-",TRUE,"ITD",Input!$A$2,A954)</f>
        <v>ITD-X953</v>
      </c>
      <c r="C954" s="40" t="str" cm="1">
        <f t="array" ref="C954">IFERROR(_xlfn.LET(
_xlpm.CSVVal,_xlfn.XLOOKUP($A954,CSV!$A:$A,CSV!B:B,""),
_xlpm.MacVal,_xlfn.XLOOKUP($A954,Output_Mac!$A:$A,Output_Mac!B:B,""),
_xlpm.MyAuditVal,_xlfn.XLOOKUP($A954,My_Audit!$A:$A,My_Audit!B:B,""),
_xlfn.IFS(_xlpm.MyAuditVal&lt;&gt;"",UPPER(_xlpm.MyAuditVal),_xlpm.MacVal&lt;&gt;"",_xlpm.MacVal,_xlpm.CSVVal&lt;&gt;"",_xlpm.CSVVal
)),"")</f>
        <v/>
      </c>
      <c r="D954" s="40" t="str" cm="1">
        <f t="array" ref="D954">IFERROR(_xlfn.LET(
_xlpm.CSVVal,_xlfn.XLOOKUP($A954,CSV!$A:$A,CSV!D:D,""),
_xlpm.MacVal,_xlfn.XLOOKUP($A954,Output_Mac!$A:$A,Output_Mac!C:C,""),
_xlpm.MyAuditVal,_xlfn.XLOOKUP($A954,My_Audit!$A:$A,My_Audit!C:C,""),
_xlfn.IFS(_xlpm.MyAuditVal&lt;&gt;"",_xlpm.MyAuditVal,_xlpm.MacVal&lt;&gt;"",_xlpm.MacVal,_xlpm.CSVVal&lt;&gt;"",_xlpm.CSVVal
)),"")</f>
        <v/>
      </c>
      <c r="E954" s="40" t="str">
        <f>_xlfn.XLOOKUP(A954,My_Audit!A:A,My_Audit!D:D,"")</f>
        <v/>
      </c>
      <c r="F954" s="40" t="str" cm="1">
        <f t="array" ref="F954">IFERROR(_xlfn.LET(
_xlpm.CSVVal,_xlfn.XLOOKUP($A954,CSV!$A:$A,CSV!F:F,""),
_xlpm.MacVal,_xlfn.XLOOKUP($A954,Output_Mac!$A:$A,Output_Mac!E:E,""),
_xlpm.MyAuditVal,_xlfn.XLOOKUP($A954,My_Audit!$A:$A,My_Audit!E:E,""),
_xlfn.IFS(_xlpm.MyAuditVal&lt;&gt;"",_xlpm.MyAuditVal,_xlpm.MacVal&lt;&gt;"",_xlpm.MacVal,_xlpm.CSVVal&lt;&gt;"",_xlpm.CSVVal
)),"")</f>
        <v/>
      </c>
      <c r="G954" s="40" t="str" cm="1">
        <f t="array" ref="G954">IFERROR(_xlfn.LET(
_xlpm.CSVVal,_xlfn.XLOOKUP($A954,CSV!$A:$A,CSV!G:G,""),
_xlpm.MacVal,_xlfn.XLOOKUP($A954,Output_Mac!$A:$A,Output_Mac!F:F,""),
_xlpm.MyAuditVal,_xlfn.XLOOKUP($A954,My_Audit!$A:$A,My_Audit!F:F,""),
_xlfn.IFS(_xlpm.MyAuditVal&lt;&gt;"",_xlpm.MyAuditVal,_xlpm.MacVal&lt;&gt;"",_xlpm.MacVal,_xlpm.CSVVal&lt;&gt;"",PROPER(_xlpm.CSVVal)
)),"")</f>
        <v/>
      </c>
      <c r="H954" s="40" t="str" cm="1">
        <f t="array" ref="H954">IFERROR(_xlfn.LET(
_xlpm.CSVVal,_xlfn.XLOOKUP($A954,CSV!$A:$A,CSV!H:H,""),
_xlpm.MacVal,_xlfn.XLOOKUP($A954,Output_Mac!$A:$A,Output_Mac!H:H,""),
_xlpm.MyAuditVal,_xlfn.XLOOKUP($A954,My_Audit!$A:$A,My_Audit!G:G,""),
_xlfn.IFS(_xlpm.MyAuditVal&lt;&gt;"",_xlpm.MyAuditVal,_xlpm.MacVal&lt;&gt;"",_xlpm.MacVal,_xlpm.CSVVal&lt;&gt;"",_xlpm.CSVVal
)),"")</f>
        <v/>
      </c>
      <c r="I954" s="40" t="str">
        <f>_xlfn.XLOOKUP(A954,Output_Mac!A:A,Output_Mac!I:I,"")</f>
        <v/>
      </c>
      <c r="J954" s="40" t="str" cm="1">
        <f t="array" ref="J954">IFERROR(_xlfn.LET(
_xlpm.CSVVal,_xlfn.XLOOKUP($A954,CSV!$A:$A,CSV!I:I,""),
_xlpm.MacVal,_xlfn.XLOOKUP($A954,Output_Mac!$A:$A,Output_Mac!J:J,""),
_xlpm.MyAuditVal,_xlfn.XLOOKUP($A954,My_Audit!$A:$A,My_Audit!I:I,""),
_xlfn.IFS(_xlpm.MyAuditVal&lt;&gt;"",UPPER(_xlpm.MyAuditVal),_xlpm.MacVal&lt;&gt;"",_xlpm.MacVal,_xlpm.CSVVal&lt;&gt;"",_xlpm.CSVVal
)),"")</f>
        <v/>
      </c>
      <c r="K954" s="40" t="str" cm="1">
        <f t="array" ref="K954">IFERROR(_xlfn.LET(
_xlpm.CSVVal,_xlfn.XLOOKUP($A954,CSV!$A:$A,CSV!K:K,""),
_xlpm.MacVal,_xlfn.XLOOKUP($A954,Output_Mac!$A:$A,Output_Mac!K:K,""),
_xlpm.MyAuditVal,_xlfn.XLOOKUP($A954,My_Audit!$A:$A,My_Audit!J:J,""),
_xlfn.IFS(_xlpm.MyAuditVal&lt;&gt;"",UPPER(_xlpm.MyAuditVal),_xlpm.MacVal&lt;&gt;"",_xlpm.MacVal,_xlpm.CSVVal&lt;&gt;"",_xlpm.CSVVal
)),"")</f>
        <v/>
      </c>
      <c r="L954" s="40" t="str" cm="1">
        <f t="array" ref="L954">IFERROR(_xlfn.LET(
_xlpm.CSVVal,_xlfn.XLOOKUP($A954,CSV!$A:$A,CSV!P:P,""),
_xlpm.MacVal,_xlfn.XLOOKUP($A954,Output_Mac!$A:$A,Output_Mac!L:L,""),
_xlpm.MyAuditVal,_xlfn.XLOOKUP($A954,My_Audit!$A:$A,My_Audit!K:K,""),
_xlfn.IFS(_xlpm.MyAuditVal&lt;&gt;"",UPPER(_xlpm.MyAuditVal),_xlpm.MacVal&lt;&gt;"",_xlpm.MacVal,_xlpm.CSVVal&lt;&gt;"",_xlpm.CSVVal
)),"")</f>
        <v/>
      </c>
      <c r="M954" s="40" t="str" cm="1">
        <f t="array" ref="M954">IFERROR(_xlfn.LET(
_xlpm.CSVVal,_xlfn.XLOOKUP($A954,CSV!$A:$A,CSV!Q:Q,""),
_xlpm.MacVal,_xlfn.XLOOKUP($A954,Output_Mac!$A:$A,Output_Mac!M:M,""),
_xlpm.MyAuditVal,_xlfn.XLOOKUP($A954,My_Audit!$A:$A,My_Audit!L:L,""),
_xlfn.IFS(_xlpm.MyAuditVal&lt;&gt;"",UPPER(_xlpm.MyAuditVal),_xlpm.MacVal&lt;&gt;"",_xlpm.MacVal,_xlpm.CSVVal&lt;&gt;"",_xlpm.CSVVal
)),"")</f>
        <v/>
      </c>
      <c r="N954" s="40"/>
      <c r="O954" s="40" t="str">
        <f>_xlfn.LET(
    _xlpm.CSVVal, _xlfn.XLOOKUP($A954, CSV!$A:$A, CSV!AA:AA, ""),
    _xlpm.MacVal, _xlfn.XLOOKUP($A954, Output_Mac!$A:$A, Output_Mac!S:S, ""),
    _xlpm.MyAuditVal, _xlfn.XLOOKUP($A954, My_Audit!$A:$A, My_Audit!P:P, ""),
    _xlfn.TEXTJOIN(", ", TRUE, _xlpm.MyAuditVal, _xlpm.MacVal, _xlpm.CSVVal)
)</f>
        <v/>
      </c>
      <c r="P954" s="40" t="str" cm="1">
        <f t="array" ref="P954">IFERROR(_xlfn.LET(
_xlpm.CSVVal,_xlfn.XLOOKUP($A954,CSV!$A:$A,CSV!AB:AB,""),
_xlpm.MacVal,_xlfn.XLOOKUP($A954,Output_Mac!$A:$A,Output_Mac!T:T,""),
_xlpm.MyAuditVal,_xlfn.XLOOKUP($A954,My_Audit!$A:$A,My_Audit!Q:Q,""),
_xlfn.IFS(_xlpm.MyAuditVal&lt;&gt;"",UPPER(_xlpm.MyAuditVal),_xlpm.MacVal&lt;&gt;"",_xlpm.MacVal,_xlpm.CSVVal&lt;&gt;"",_xlpm.CSVVal
)),"No")</f>
        <v>No</v>
      </c>
      <c r="Q954" s="40" t="str" cm="1">
        <f t="array" ref="Q954">IFERROR(_xlfn.LET(
_xlpm.CSVVal,_xlfn.XLOOKUP($A954,CSV!$A:$A,CSV!AC:AC,""),
_xlpm.MacVal,_xlfn.XLOOKUP($A954,Output_Mac!$A:$A,Output_Mac!U:U,""),
_xlpm.MyAuditVal,_xlfn.XLOOKUP($A954,My_Audit!$A:$A,My_Audit!R:R,""),
_xlfn.IFS(_xlpm.MyAuditVal&lt;&gt;"",UPPER(_xlpm.MyAuditVal),_xlpm.MacVal&lt;&gt;"",_xlpm.MacVal,_xlpm.CSVVal&lt;&gt;"",_xlpm.CSVVal
)),"")</f>
        <v/>
      </c>
      <c r="R954" s="40"/>
      <c r="S954" s="40"/>
      <c r="T954" s="40"/>
      <c r="U954" s="40"/>
      <c r="V954" s="40"/>
      <c r="W954" s="40"/>
      <c r="X954" s="41" t="str">
        <f>_xlfn.LET(
    _xlpm.MacVal, _xlfn.XLOOKUP($A954, Output_Mac!$A:$A, Output_Mac!AB:AB, ""),
    _xlpm.MyAuditVal, _xlfn.XLOOKUP($A954, My_Audit!$A:$A, My_Audit!N:N, ""),
    _xlfn.TEXTJOIN(", ", TRUE, _xlpm.MyAuditVal, _xlpm.MacVal)
)</f>
        <v/>
      </c>
    </row>
    <row r="955" spans="1:24">
      <c r="A955" s="40" t="str">
        <f>_xlfn.TEXTJOIN("",TRUE,Input!$B$2,ROW(My_Audit!A954))</f>
        <v>X954</v>
      </c>
      <c r="B955" s="40" t="str">
        <f>_xlfn.TEXTJOIN("-",TRUE,"ITD",Input!$A$2,A955)</f>
        <v>ITD-X954</v>
      </c>
      <c r="C955" s="40" t="str" cm="1">
        <f t="array" ref="C955">IFERROR(_xlfn.LET(
_xlpm.CSVVal,_xlfn.XLOOKUP($A955,CSV!$A:$A,CSV!B:B,""),
_xlpm.MacVal,_xlfn.XLOOKUP($A955,Output_Mac!$A:$A,Output_Mac!B:B,""),
_xlpm.MyAuditVal,_xlfn.XLOOKUP($A955,My_Audit!$A:$A,My_Audit!B:B,""),
_xlfn.IFS(_xlpm.MyAuditVal&lt;&gt;"",UPPER(_xlpm.MyAuditVal),_xlpm.MacVal&lt;&gt;"",_xlpm.MacVal,_xlpm.CSVVal&lt;&gt;"",_xlpm.CSVVal
)),"")</f>
        <v/>
      </c>
      <c r="D955" s="40" t="str" cm="1">
        <f t="array" ref="D955">IFERROR(_xlfn.LET(
_xlpm.CSVVal,_xlfn.XLOOKUP($A955,CSV!$A:$A,CSV!D:D,""),
_xlpm.MacVal,_xlfn.XLOOKUP($A955,Output_Mac!$A:$A,Output_Mac!C:C,""),
_xlpm.MyAuditVal,_xlfn.XLOOKUP($A955,My_Audit!$A:$A,My_Audit!C:C,""),
_xlfn.IFS(_xlpm.MyAuditVal&lt;&gt;"",_xlpm.MyAuditVal,_xlpm.MacVal&lt;&gt;"",_xlpm.MacVal,_xlpm.CSVVal&lt;&gt;"",_xlpm.CSVVal
)),"")</f>
        <v/>
      </c>
      <c r="E955" s="40" t="str">
        <f>_xlfn.XLOOKUP(A955,My_Audit!A:A,My_Audit!D:D,"")</f>
        <v/>
      </c>
      <c r="F955" s="40" t="str" cm="1">
        <f t="array" ref="F955">IFERROR(_xlfn.LET(
_xlpm.CSVVal,_xlfn.XLOOKUP($A955,CSV!$A:$A,CSV!F:F,""),
_xlpm.MacVal,_xlfn.XLOOKUP($A955,Output_Mac!$A:$A,Output_Mac!E:E,""),
_xlpm.MyAuditVal,_xlfn.XLOOKUP($A955,My_Audit!$A:$A,My_Audit!E:E,""),
_xlfn.IFS(_xlpm.MyAuditVal&lt;&gt;"",_xlpm.MyAuditVal,_xlpm.MacVal&lt;&gt;"",_xlpm.MacVal,_xlpm.CSVVal&lt;&gt;"",_xlpm.CSVVal
)),"")</f>
        <v/>
      </c>
      <c r="G955" s="40" t="str" cm="1">
        <f t="array" ref="G955">IFERROR(_xlfn.LET(
_xlpm.CSVVal,_xlfn.XLOOKUP($A955,CSV!$A:$A,CSV!G:G,""),
_xlpm.MacVal,_xlfn.XLOOKUP($A955,Output_Mac!$A:$A,Output_Mac!F:F,""),
_xlpm.MyAuditVal,_xlfn.XLOOKUP($A955,My_Audit!$A:$A,My_Audit!F:F,""),
_xlfn.IFS(_xlpm.MyAuditVal&lt;&gt;"",_xlpm.MyAuditVal,_xlpm.MacVal&lt;&gt;"",_xlpm.MacVal,_xlpm.CSVVal&lt;&gt;"",PROPER(_xlpm.CSVVal)
)),"")</f>
        <v/>
      </c>
      <c r="H955" s="40" t="str" cm="1">
        <f t="array" ref="H955">IFERROR(_xlfn.LET(
_xlpm.CSVVal,_xlfn.XLOOKUP($A955,CSV!$A:$A,CSV!H:H,""),
_xlpm.MacVal,_xlfn.XLOOKUP($A955,Output_Mac!$A:$A,Output_Mac!H:H,""),
_xlpm.MyAuditVal,_xlfn.XLOOKUP($A955,My_Audit!$A:$A,My_Audit!G:G,""),
_xlfn.IFS(_xlpm.MyAuditVal&lt;&gt;"",_xlpm.MyAuditVal,_xlpm.MacVal&lt;&gt;"",_xlpm.MacVal,_xlpm.CSVVal&lt;&gt;"",_xlpm.CSVVal
)),"")</f>
        <v/>
      </c>
      <c r="I955" s="40" t="str">
        <f>_xlfn.XLOOKUP(A955,Output_Mac!A:A,Output_Mac!I:I,"")</f>
        <v/>
      </c>
      <c r="J955" s="40" t="str" cm="1">
        <f t="array" ref="J955">IFERROR(_xlfn.LET(
_xlpm.CSVVal,_xlfn.XLOOKUP($A955,CSV!$A:$A,CSV!I:I,""),
_xlpm.MacVal,_xlfn.XLOOKUP($A955,Output_Mac!$A:$A,Output_Mac!J:J,""),
_xlpm.MyAuditVal,_xlfn.XLOOKUP($A955,My_Audit!$A:$A,My_Audit!I:I,""),
_xlfn.IFS(_xlpm.MyAuditVal&lt;&gt;"",UPPER(_xlpm.MyAuditVal),_xlpm.MacVal&lt;&gt;"",_xlpm.MacVal,_xlpm.CSVVal&lt;&gt;"",_xlpm.CSVVal
)),"")</f>
        <v/>
      </c>
      <c r="K955" s="40" t="str" cm="1">
        <f t="array" ref="K955">IFERROR(_xlfn.LET(
_xlpm.CSVVal,_xlfn.XLOOKUP($A955,CSV!$A:$A,CSV!K:K,""),
_xlpm.MacVal,_xlfn.XLOOKUP($A955,Output_Mac!$A:$A,Output_Mac!K:K,""),
_xlpm.MyAuditVal,_xlfn.XLOOKUP($A955,My_Audit!$A:$A,My_Audit!J:J,""),
_xlfn.IFS(_xlpm.MyAuditVal&lt;&gt;"",UPPER(_xlpm.MyAuditVal),_xlpm.MacVal&lt;&gt;"",_xlpm.MacVal,_xlpm.CSVVal&lt;&gt;"",_xlpm.CSVVal
)),"")</f>
        <v/>
      </c>
      <c r="L955" s="40" t="str" cm="1">
        <f t="array" ref="L955">IFERROR(_xlfn.LET(
_xlpm.CSVVal,_xlfn.XLOOKUP($A955,CSV!$A:$A,CSV!P:P,""),
_xlpm.MacVal,_xlfn.XLOOKUP($A955,Output_Mac!$A:$A,Output_Mac!L:L,""),
_xlpm.MyAuditVal,_xlfn.XLOOKUP($A955,My_Audit!$A:$A,My_Audit!K:K,""),
_xlfn.IFS(_xlpm.MyAuditVal&lt;&gt;"",UPPER(_xlpm.MyAuditVal),_xlpm.MacVal&lt;&gt;"",_xlpm.MacVal,_xlpm.CSVVal&lt;&gt;"",_xlpm.CSVVal
)),"")</f>
        <v/>
      </c>
      <c r="M955" s="40" t="str" cm="1">
        <f t="array" ref="M955">IFERROR(_xlfn.LET(
_xlpm.CSVVal,_xlfn.XLOOKUP($A955,CSV!$A:$A,CSV!Q:Q,""),
_xlpm.MacVal,_xlfn.XLOOKUP($A955,Output_Mac!$A:$A,Output_Mac!M:M,""),
_xlpm.MyAuditVal,_xlfn.XLOOKUP($A955,My_Audit!$A:$A,My_Audit!L:L,""),
_xlfn.IFS(_xlpm.MyAuditVal&lt;&gt;"",UPPER(_xlpm.MyAuditVal),_xlpm.MacVal&lt;&gt;"",_xlpm.MacVal,_xlpm.CSVVal&lt;&gt;"",_xlpm.CSVVal
)),"")</f>
        <v/>
      </c>
      <c r="N955" s="40"/>
      <c r="O955" s="40" t="str">
        <f>_xlfn.LET(
    _xlpm.CSVVal, _xlfn.XLOOKUP($A955, CSV!$A:$A, CSV!AA:AA, ""),
    _xlpm.MacVal, _xlfn.XLOOKUP($A955, Output_Mac!$A:$A, Output_Mac!S:S, ""),
    _xlpm.MyAuditVal, _xlfn.XLOOKUP($A955, My_Audit!$A:$A, My_Audit!P:P, ""),
    _xlfn.TEXTJOIN(", ", TRUE, _xlpm.MyAuditVal, _xlpm.MacVal, _xlpm.CSVVal)
)</f>
        <v/>
      </c>
      <c r="P955" s="40" t="str" cm="1">
        <f t="array" ref="P955">IFERROR(_xlfn.LET(
_xlpm.CSVVal,_xlfn.XLOOKUP($A955,CSV!$A:$A,CSV!AB:AB,""),
_xlpm.MacVal,_xlfn.XLOOKUP($A955,Output_Mac!$A:$A,Output_Mac!T:T,""),
_xlpm.MyAuditVal,_xlfn.XLOOKUP($A955,My_Audit!$A:$A,My_Audit!Q:Q,""),
_xlfn.IFS(_xlpm.MyAuditVal&lt;&gt;"",UPPER(_xlpm.MyAuditVal),_xlpm.MacVal&lt;&gt;"",_xlpm.MacVal,_xlpm.CSVVal&lt;&gt;"",_xlpm.CSVVal
)),"No")</f>
        <v>No</v>
      </c>
      <c r="Q955" s="40" t="str" cm="1">
        <f t="array" ref="Q955">IFERROR(_xlfn.LET(
_xlpm.CSVVal,_xlfn.XLOOKUP($A955,CSV!$A:$A,CSV!AC:AC,""),
_xlpm.MacVal,_xlfn.XLOOKUP($A955,Output_Mac!$A:$A,Output_Mac!U:U,""),
_xlpm.MyAuditVal,_xlfn.XLOOKUP($A955,My_Audit!$A:$A,My_Audit!R:R,""),
_xlfn.IFS(_xlpm.MyAuditVal&lt;&gt;"",UPPER(_xlpm.MyAuditVal),_xlpm.MacVal&lt;&gt;"",_xlpm.MacVal,_xlpm.CSVVal&lt;&gt;"",_xlpm.CSVVal
)),"")</f>
        <v/>
      </c>
      <c r="R955" s="40"/>
      <c r="S955" s="40"/>
      <c r="T955" s="40"/>
      <c r="U955" s="40"/>
      <c r="V955" s="40"/>
      <c r="W955" s="40"/>
      <c r="X955" s="41" t="str">
        <f>_xlfn.LET(
    _xlpm.MacVal, _xlfn.XLOOKUP($A955, Output_Mac!$A:$A, Output_Mac!AB:AB, ""),
    _xlpm.MyAuditVal, _xlfn.XLOOKUP($A955, My_Audit!$A:$A, My_Audit!N:N, ""),
    _xlfn.TEXTJOIN(", ", TRUE, _xlpm.MyAuditVal, _xlpm.MacVal)
)</f>
        <v/>
      </c>
    </row>
    <row r="956" spans="1:24">
      <c r="A956" s="40" t="str">
        <f>_xlfn.TEXTJOIN("",TRUE,Input!$B$2,ROW(My_Audit!A955))</f>
        <v>X955</v>
      </c>
      <c r="B956" s="40" t="str">
        <f>_xlfn.TEXTJOIN("-",TRUE,"ITD",Input!$A$2,A956)</f>
        <v>ITD-X955</v>
      </c>
      <c r="C956" s="40" t="str" cm="1">
        <f t="array" ref="C956">IFERROR(_xlfn.LET(
_xlpm.CSVVal,_xlfn.XLOOKUP($A956,CSV!$A:$A,CSV!B:B,""),
_xlpm.MacVal,_xlfn.XLOOKUP($A956,Output_Mac!$A:$A,Output_Mac!B:B,""),
_xlpm.MyAuditVal,_xlfn.XLOOKUP($A956,My_Audit!$A:$A,My_Audit!B:B,""),
_xlfn.IFS(_xlpm.MyAuditVal&lt;&gt;"",UPPER(_xlpm.MyAuditVal),_xlpm.MacVal&lt;&gt;"",_xlpm.MacVal,_xlpm.CSVVal&lt;&gt;"",_xlpm.CSVVal
)),"")</f>
        <v/>
      </c>
      <c r="D956" s="40" t="str" cm="1">
        <f t="array" ref="D956">IFERROR(_xlfn.LET(
_xlpm.CSVVal,_xlfn.XLOOKUP($A956,CSV!$A:$A,CSV!D:D,""),
_xlpm.MacVal,_xlfn.XLOOKUP($A956,Output_Mac!$A:$A,Output_Mac!C:C,""),
_xlpm.MyAuditVal,_xlfn.XLOOKUP($A956,My_Audit!$A:$A,My_Audit!C:C,""),
_xlfn.IFS(_xlpm.MyAuditVal&lt;&gt;"",_xlpm.MyAuditVal,_xlpm.MacVal&lt;&gt;"",_xlpm.MacVal,_xlpm.CSVVal&lt;&gt;"",_xlpm.CSVVal
)),"")</f>
        <v/>
      </c>
      <c r="E956" s="40" t="str">
        <f>_xlfn.XLOOKUP(A956,My_Audit!A:A,My_Audit!D:D,"")</f>
        <v/>
      </c>
      <c r="F956" s="40" t="str" cm="1">
        <f t="array" ref="F956">IFERROR(_xlfn.LET(
_xlpm.CSVVal,_xlfn.XLOOKUP($A956,CSV!$A:$A,CSV!F:F,""),
_xlpm.MacVal,_xlfn.XLOOKUP($A956,Output_Mac!$A:$A,Output_Mac!E:E,""),
_xlpm.MyAuditVal,_xlfn.XLOOKUP($A956,My_Audit!$A:$A,My_Audit!E:E,""),
_xlfn.IFS(_xlpm.MyAuditVal&lt;&gt;"",_xlpm.MyAuditVal,_xlpm.MacVal&lt;&gt;"",_xlpm.MacVal,_xlpm.CSVVal&lt;&gt;"",_xlpm.CSVVal
)),"")</f>
        <v/>
      </c>
      <c r="G956" s="40" t="str" cm="1">
        <f t="array" ref="G956">IFERROR(_xlfn.LET(
_xlpm.CSVVal,_xlfn.XLOOKUP($A956,CSV!$A:$A,CSV!G:G,""),
_xlpm.MacVal,_xlfn.XLOOKUP($A956,Output_Mac!$A:$A,Output_Mac!F:F,""),
_xlpm.MyAuditVal,_xlfn.XLOOKUP($A956,My_Audit!$A:$A,My_Audit!F:F,""),
_xlfn.IFS(_xlpm.MyAuditVal&lt;&gt;"",_xlpm.MyAuditVal,_xlpm.MacVal&lt;&gt;"",_xlpm.MacVal,_xlpm.CSVVal&lt;&gt;"",PROPER(_xlpm.CSVVal)
)),"")</f>
        <v/>
      </c>
      <c r="H956" s="40" t="str" cm="1">
        <f t="array" ref="H956">IFERROR(_xlfn.LET(
_xlpm.CSVVal,_xlfn.XLOOKUP($A956,CSV!$A:$A,CSV!H:H,""),
_xlpm.MacVal,_xlfn.XLOOKUP($A956,Output_Mac!$A:$A,Output_Mac!H:H,""),
_xlpm.MyAuditVal,_xlfn.XLOOKUP($A956,My_Audit!$A:$A,My_Audit!G:G,""),
_xlfn.IFS(_xlpm.MyAuditVal&lt;&gt;"",_xlpm.MyAuditVal,_xlpm.MacVal&lt;&gt;"",_xlpm.MacVal,_xlpm.CSVVal&lt;&gt;"",_xlpm.CSVVal
)),"")</f>
        <v/>
      </c>
      <c r="I956" s="40" t="str">
        <f>_xlfn.XLOOKUP(A956,Output_Mac!A:A,Output_Mac!I:I,"")</f>
        <v/>
      </c>
      <c r="J956" s="40" t="str" cm="1">
        <f t="array" ref="J956">IFERROR(_xlfn.LET(
_xlpm.CSVVal,_xlfn.XLOOKUP($A956,CSV!$A:$A,CSV!I:I,""),
_xlpm.MacVal,_xlfn.XLOOKUP($A956,Output_Mac!$A:$A,Output_Mac!J:J,""),
_xlpm.MyAuditVal,_xlfn.XLOOKUP($A956,My_Audit!$A:$A,My_Audit!I:I,""),
_xlfn.IFS(_xlpm.MyAuditVal&lt;&gt;"",UPPER(_xlpm.MyAuditVal),_xlpm.MacVal&lt;&gt;"",_xlpm.MacVal,_xlpm.CSVVal&lt;&gt;"",_xlpm.CSVVal
)),"")</f>
        <v/>
      </c>
      <c r="K956" s="40" t="str" cm="1">
        <f t="array" ref="K956">IFERROR(_xlfn.LET(
_xlpm.CSVVal,_xlfn.XLOOKUP($A956,CSV!$A:$A,CSV!K:K,""),
_xlpm.MacVal,_xlfn.XLOOKUP($A956,Output_Mac!$A:$A,Output_Mac!K:K,""),
_xlpm.MyAuditVal,_xlfn.XLOOKUP($A956,My_Audit!$A:$A,My_Audit!J:J,""),
_xlfn.IFS(_xlpm.MyAuditVal&lt;&gt;"",UPPER(_xlpm.MyAuditVal),_xlpm.MacVal&lt;&gt;"",_xlpm.MacVal,_xlpm.CSVVal&lt;&gt;"",_xlpm.CSVVal
)),"")</f>
        <v/>
      </c>
      <c r="L956" s="40" t="str" cm="1">
        <f t="array" ref="L956">IFERROR(_xlfn.LET(
_xlpm.CSVVal,_xlfn.XLOOKUP($A956,CSV!$A:$A,CSV!P:P,""),
_xlpm.MacVal,_xlfn.XLOOKUP($A956,Output_Mac!$A:$A,Output_Mac!L:L,""),
_xlpm.MyAuditVal,_xlfn.XLOOKUP($A956,My_Audit!$A:$A,My_Audit!K:K,""),
_xlfn.IFS(_xlpm.MyAuditVal&lt;&gt;"",UPPER(_xlpm.MyAuditVal),_xlpm.MacVal&lt;&gt;"",_xlpm.MacVal,_xlpm.CSVVal&lt;&gt;"",_xlpm.CSVVal
)),"")</f>
        <v/>
      </c>
      <c r="M956" s="40" t="str" cm="1">
        <f t="array" ref="M956">IFERROR(_xlfn.LET(
_xlpm.CSVVal,_xlfn.XLOOKUP($A956,CSV!$A:$A,CSV!Q:Q,""),
_xlpm.MacVal,_xlfn.XLOOKUP($A956,Output_Mac!$A:$A,Output_Mac!M:M,""),
_xlpm.MyAuditVal,_xlfn.XLOOKUP($A956,My_Audit!$A:$A,My_Audit!L:L,""),
_xlfn.IFS(_xlpm.MyAuditVal&lt;&gt;"",UPPER(_xlpm.MyAuditVal),_xlpm.MacVal&lt;&gt;"",_xlpm.MacVal,_xlpm.CSVVal&lt;&gt;"",_xlpm.CSVVal
)),"")</f>
        <v/>
      </c>
      <c r="N956" s="40"/>
      <c r="O956" s="40" t="str">
        <f>_xlfn.LET(
    _xlpm.CSVVal, _xlfn.XLOOKUP($A956, CSV!$A:$A, CSV!AA:AA, ""),
    _xlpm.MacVal, _xlfn.XLOOKUP($A956, Output_Mac!$A:$A, Output_Mac!S:S, ""),
    _xlpm.MyAuditVal, _xlfn.XLOOKUP($A956, My_Audit!$A:$A, My_Audit!P:P, ""),
    _xlfn.TEXTJOIN(", ", TRUE, _xlpm.MyAuditVal, _xlpm.MacVal, _xlpm.CSVVal)
)</f>
        <v/>
      </c>
      <c r="P956" s="40" t="str" cm="1">
        <f t="array" ref="P956">IFERROR(_xlfn.LET(
_xlpm.CSVVal,_xlfn.XLOOKUP($A956,CSV!$A:$A,CSV!AB:AB,""),
_xlpm.MacVal,_xlfn.XLOOKUP($A956,Output_Mac!$A:$A,Output_Mac!T:T,""),
_xlpm.MyAuditVal,_xlfn.XLOOKUP($A956,My_Audit!$A:$A,My_Audit!Q:Q,""),
_xlfn.IFS(_xlpm.MyAuditVal&lt;&gt;"",UPPER(_xlpm.MyAuditVal),_xlpm.MacVal&lt;&gt;"",_xlpm.MacVal,_xlpm.CSVVal&lt;&gt;"",_xlpm.CSVVal
)),"No")</f>
        <v>No</v>
      </c>
      <c r="Q956" s="40" t="str" cm="1">
        <f t="array" ref="Q956">IFERROR(_xlfn.LET(
_xlpm.CSVVal,_xlfn.XLOOKUP($A956,CSV!$A:$A,CSV!AC:AC,""),
_xlpm.MacVal,_xlfn.XLOOKUP($A956,Output_Mac!$A:$A,Output_Mac!U:U,""),
_xlpm.MyAuditVal,_xlfn.XLOOKUP($A956,My_Audit!$A:$A,My_Audit!R:R,""),
_xlfn.IFS(_xlpm.MyAuditVal&lt;&gt;"",UPPER(_xlpm.MyAuditVal),_xlpm.MacVal&lt;&gt;"",_xlpm.MacVal,_xlpm.CSVVal&lt;&gt;"",_xlpm.CSVVal
)),"")</f>
        <v/>
      </c>
      <c r="R956" s="40"/>
      <c r="S956" s="40"/>
      <c r="T956" s="40"/>
      <c r="U956" s="40"/>
      <c r="V956" s="40"/>
      <c r="W956" s="40"/>
      <c r="X956" s="41" t="str">
        <f>_xlfn.LET(
    _xlpm.MacVal, _xlfn.XLOOKUP($A956, Output_Mac!$A:$A, Output_Mac!AB:AB, ""),
    _xlpm.MyAuditVal, _xlfn.XLOOKUP($A956, My_Audit!$A:$A, My_Audit!N:N, ""),
    _xlfn.TEXTJOIN(", ", TRUE, _xlpm.MyAuditVal, _xlpm.MacVal)
)</f>
        <v/>
      </c>
    </row>
    <row r="957" spans="1:24">
      <c r="A957" s="40" t="str">
        <f>_xlfn.TEXTJOIN("",TRUE,Input!$B$2,ROW(My_Audit!A956))</f>
        <v>X956</v>
      </c>
      <c r="B957" s="40" t="str">
        <f>_xlfn.TEXTJOIN("-",TRUE,"ITD",Input!$A$2,A957)</f>
        <v>ITD-X956</v>
      </c>
      <c r="C957" s="40" t="str" cm="1">
        <f t="array" ref="C957">IFERROR(_xlfn.LET(
_xlpm.CSVVal,_xlfn.XLOOKUP($A957,CSV!$A:$A,CSV!B:B,""),
_xlpm.MacVal,_xlfn.XLOOKUP($A957,Output_Mac!$A:$A,Output_Mac!B:B,""),
_xlpm.MyAuditVal,_xlfn.XLOOKUP($A957,My_Audit!$A:$A,My_Audit!B:B,""),
_xlfn.IFS(_xlpm.MyAuditVal&lt;&gt;"",UPPER(_xlpm.MyAuditVal),_xlpm.MacVal&lt;&gt;"",_xlpm.MacVal,_xlpm.CSVVal&lt;&gt;"",_xlpm.CSVVal
)),"")</f>
        <v/>
      </c>
      <c r="D957" s="40" t="str" cm="1">
        <f t="array" ref="D957">IFERROR(_xlfn.LET(
_xlpm.CSVVal,_xlfn.XLOOKUP($A957,CSV!$A:$A,CSV!D:D,""),
_xlpm.MacVal,_xlfn.XLOOKUP($A957,Output_Mac!$A:$A,Output_Mac!C:C,""),
_xlpm.MyAuditVal,_xlfn.XLOOKUP($A957,My_Audit!$A:$A,My_Audit!C:C,""),
_xlfn.IFS(_xlpm.MyAuditVal&lt;&gt;"",_xlpm.MyAuditVal,_xlpm.MacVal&lt;&gt;"",_xlpm.MacVal,_xlpm.CSVVal&lt;&gt;"",_xlpm.CSVVal
)),"")</f>
        <v/>
      </c>
      <c r="E957" s="40" t="str">
        <f>_xlfn.XLOOKUP(A957,My_Audit!A:A,My_Audit!D:D,"")</f>
        <v/>
      </c>
      <c r="F957" s="40" t="str" cm="1">
        <f t="array" ref="F957">IFERROR(_xlfn.LET(
_xlpm.CSVVal,_xlfn.XLOOKUP($A957,CSV!$A:$A,CSV!F:F,""),
_xlpm.MacVal,_xlfn.XLOOKUP($A957,Output_Mac!$A:$A,Output_Mac!E:E,""),
_xlpm.MyAuditVal,_xlfn.XLOOKUP($A957,My_Audit!$A:$A,My_Audit!E:E,""),
_xlfn.IFS(_xlpm.MyAuditVal&lt;&gt;"",_xlpm.MyAuditVal,_xlpm.MacVal&lt;&gt;"",_xlpm.MacVal,_xlpm.CSVVal&lt;&gt;"",_xlpm.CSVVal
)),"")</f>
        <v/>
      </c>
      <c r="G957" s="40" t="str" cm="1">
        <f t="array" ref="G957">IFERROR(_xlfn.LET(
_xlpm.CSVVal,_xlfn.XLOOKUP($A957,CSV!$A:$A,CSV!G:G,""),
_xlpm.MacVal,_xlfn.XLOOKUP($A957,Output_Mac!$A:$A,Output_Mac!F:F,""),
_xlpm.MyAuditVal,_xlfn.XLOOKUP($A957,My_Audit!$A:$A,My_Audit!F:F,""),
_xlfn.IFS(_xlpm.MyAuditVal&lt;&gt;"",_xlpm.MyAuditVal,_xlpm.MacVal&lt;&gt;"",_xlpm.MacVal,_xlpm.CSVVal&lt;&gt;"",PROPER(_xlpm.CSVVal)
)),"")</f>
        <v/>
      </c>
      <c r="H957" s="40" t="str" cm="1">
        <f t="array" ref="H957">IFERROR(_xlfn.LET(
_xlpm.CSVVal,_xlfn.XLOOKUP($A957,CSV!$A:$A,CSV!H:H,""),
_xlpm.MacVal,_xlfn.XLOOKUP($A957,Output_Mac!$A:$A,Output_Mac!H:H,""),
_xlpm.MyAuditVal,_xlfn.XLOOKUP($A957,My_Audit!$A:$A,My_Audit!G:G,""),
_xlfn.IFS(_xlpm.MyAuditVal&lt;&gt;"",_xlpm.MyAuditVal,_xlpm.MacVal&lt;&gt;"",_xlpm.MacVal,_xlpm.CSVVal&lt;&gt;"",_xlpm.CSVVal
)),"")</f>
        <v/>
      </c>
      <c r="I957" s="40" t="str">
        <f>_xlfn.XLOOKUP(A957,Output_Mac!A:A,Output_Mac!I:I,"")</f>
        <v/>
      </c>
      <c r="J957" s="40" t="str" cm="1">
        <f t="array" ref="J957">IFERROR(_xlfn.LET(
_xlpm.CSVVal,_xlfn.XLOOKUP($A957,CSV!$A:$A,CSV!I:I,""),
_xlpm.MacVal,_xlfn.XLOOKUP($A957,Output_Mac!$A:$A,Output_Mac!J:J,""),
_xlpm.MyAuditVal,_xlfn.XLOOKUP($A957,My_Audit!$A:$A,My_Audit!I:I,""),
_xlfn.IFS(_xlpm.MyAuditVal&lt;&gt;"",UPPER(_xlpm.MyAuditVal),_xlpm.MacVal&lt;&gt;"",_xlpm.MacVal,_xlpm.CSVVal&lt;&gt;"",_xlpm.CSVVal
)),"")</f>
        <v/>
      </c>
      <c r="K957" s="40" t="str" cm="1">
        <f t="array" ref="K957">IFERROR(_xlfn.LET(
_xlpm.CSVVal,_xlfn.XLOOKUP($A957,CSV!$A:$A,CSV!K:K,""),
_xlpm.MacVal,_xlfn.XLOOKUP($A957,Output_Mac!$A:$A,Output_Mac!K:K,""),
_xlpm.MyAuditVal,_xlfn.XLOOKUP($A957,My_Audit!$A:$A,My_Audit!J:J,""),
_xlfn.IFS(_xlpm.MyAuditVal&lt;&gt;"",UPPER(_xlpm.MyAuditVal),_xlpm.MacVal&lt;&gt;"",_xlpm.MacVal,_xlpm.CSVVal&lt;&gt;"",_xlpm.CSVVal
)),"")</f>
        <v/>
      </c>
      <c r="L957" s="40" t="str" cm="1">
        <f t="array" ref="L957">IFERROR(_xlfn.LET(
_xlpm.CSVVal,_xlfn.XLOOKUP($A957,CSV!$A:$A,CSV!P:P,""),
_xlpm.MacVal,_xlfn.XLOOKUP($A957,Output_Mac!$A:$A,Output_Mac!L:L,""),
_xlpm.MyAuditVal,_xlfn.XLOOKUP($A957,My_Audit!$A:$A,My_Audit!K:K,""),
_xlfn.IFS(_xlpm.MyAuditVal&lt;&gt;"",UPPER(_xlpm.MyAuditVal),_xlpm.MacVal&lt;&gt;"",_xlpm.MacVal,_xlpm.CSVVal&lt;&gt;"",_xlpm.CSVVal
)),"")</f>
        <v/>
      </c>
      <c r="M957" s="40" t="str" cm="1">
        <f t="array" ref="M957">IFERROR(_xlfn.LET(
_xlpm.CSVVal,_xlfn.XLOOKUP($A957,CSV!$A:$A,CSV!Q:Q,""),
_xlpm.MacVal,_xlfn.XLOOKUP($A957,Output_Mac!$A:$A,Output_Mac!M:M,""),
_xlpm.MyAuditVal,_xlfn.XLOOKUP($A957,My_Audit!$A:$A,My_Audit!L:L,""),
_xlfn.IFS(_xlpm.MyAuditVal&lt;&gt;"",UPPER(_xlpm.MyAuditVal),_xlpm.MacVal&lt;&gt;"",_xlpm.MacVal,_xlpm.CSVVal&lt;&gt;"",_xlpm.CSVVal
)),"")</f>
        <v/>
      </c>
      <c r="N957" s="40"/>
      <c r="O957" s="40" t="str">
        <f>_xlfn.LET(
    _xlpm.CSVVal, _xlfn.XLOOKUP($A957, CSV!$A:$A, CSV!AA:AA, ""),
    _xlpm.MacVal, _xlfn.XLOOKUP($A957, Output_Mac!$A:$A, Output_Mac!S:S, ""),
    _xlpm.MyAuditVal, _xlfn.XLOOKUP($A957, My_Audit!$A:$A, My_Audit!P:P, ""),
    _xlfn.TEXTJOIN(", ", TRUE, _xlpm.MyAuditVal, _xlpm.MacVal, _xlpm.CSVVal)
)</f>
        <v/>
      </c>
      <c r="P957" s="40" t="str" cm="1">
        <f t="array" ref="P957">IFERROR(_xlfn.LET(
_xlpm.CSVVal,_xlfn.XLOOKUP($A957,CSV!$A:$A,CSV!AB:AB,""),
_xlpm.MacVal,_xlfn.XLOOKUP($A957,Output_Mac!$A:$A,Output_Mac!T:T,""),
_xlpm.MyAuditVal,_xlfn.XLOOKUP($A957,My_Audit!$A:$A,My_Audit!Q:Q,""),
_xlfn.IFS(_xlpm.MyAuditVal&lt;&gt;"",UPPER(_xlpm.MyAuditVal),_xlpm.MacVal&lt;&gt;"",_xlpm.MacVal,_xlpm.CSVVal&lt;&gt;"",_xlpm.CSVVal
)),"No")</f>
        <v>No</v>
      </c>
      <c r="Q957" s="40" t="str" cm="1">
        <f t="array" ref="Q957">IFERROR(_xlfn.LET(
_xlpm.CSVVal,_xlfn.XLOOKUP($A957,CSV!$A:$A,CSV!AC:AC,""),
_xlpm.MacVal,_xlfn.XLOOKUP($A957,Output_Mac!$A:$A,Output_Mac!U:U,""),
_xlpm.MyAuditVal,_xlfn.XLOOKUP($A957,My_Audit!$A:$A,My_Audit!R:R,""),
_xlfn.IFS(_xlpm.MyAuditVal&lt;&gt;"",UPPER(_xlpm.MyAuditVal),_xlpm.MacVal&lt;&gt;"",_xlpm.MacVal,_xlpm.CSVVal&lt;&gt;"",_xlpm.CSVVal
)),"")</f>
        <v/>
      </c>
      <c r="R957" s="40"/>
      <c r="S957" s="40"/>
      <c r="T957" s="40"/>
      <c r="U957" s="40"/>
      <c r="V957" s="40"/>
      <c r="W957" s="40"/>
      <c r="X957" s="41" t="str">
        <f>_xlfn.LET(
    _xlpm.MacVal, _xlfn.XLOOKUP($A957, Output_Mac!$A:$A, Output_Mac!AB:AB, ""),
    _xlpm.MyAuditVal, _xlfn.XLOOKUP($A957, My_Audit!$A:$A, My_Audit!N:N, ""),
    _xlfn.TEXTJOIN(", ", TRUE, _xlpm.MyAuditVal, _xlpm.MacVal)
)</f>
        <v/>
      </c>
    </row>
    <row r="958" spans="1:24">
      <c r="A958" s="40" t="str">
        <f>_xlfn.TEXTJOIN("",TRUE,Input!$B$2,ROW(My_Audit!A957))</f>
        <v>X957</v>
      </c>
      <c r="B958" s="40" t="str">
        <f>_xlfn.TEXTJOIN("-",TRUE,"ITD",Input!$A$2,A958)</f>
        <v>ITD-X957</v>
      </c>
      <c r="C958" s="40" t="str" cm="1">
        <f t="array" ref="C958">IFERROR(_xlfn.LET(
_xlpm.CSVVal,_xlfn.XLOOKUP($A958,CSV!$A:$A,CSV!B:B,""),
_xlpm.MacVal,_xlfn.XLOOKUP($A958,Output_Mac!$A:$A,Output_Mac!B:B,""),
_xlpm.MyAuditVal,_xlfn.XLOOKUP($A958,My_Audit!$A:$A,My_Audit!B:B,""),
_xlfn.IFS(_xlpm.MyAuditVal&lt;&gt;"",UPPER(_xlpm.MyAuditVal),_xlpm.MacVal&lt;&gt;"",_xlpm.MacVal,_xlpm.CSVVal&lt;&gt;"",_xlpm.CSVVal
)),"")</f>
        <v/>
      </c>
      <c r="D958" s="40" t="str" cm="1">
        <f t="array" ref="D958">IFERROR(_xlfn.LET(
_xlpm.CSVVal,_xlfn.XLOOKUP($A958,CSV!$A:$A,CSV!D:D,""),
_xlpm.MacVal,_xlfn.XLOOKUP($A958,Output_Mac!$A:$A,Output_Mac!C:C,""),
_xlpm.MyAuditVal,_xlfn.XLOOKUP($A958,My_Audit!$A:$A,My_Audit!C:C,""),
_xlfn.IFS(_xlpm.MyAuditVal&lt;&gt;"",_xlpm.MyAuditVal,_xlpm.MacVal&lt;&gt;"",_xlpm.MacVal,_xlpm.CSVVal&lt;&gt;"",_xlpm.CSVVal
)),"")</f>
        <v/>
      </c>
      <c r="E958" s="40" t="str">
        <f>_xlfn.XLOOKUP(A958,My_Audit!A:A,My_Audit!D:D,"")</f>
        <v/>
      </c>
      <c r="F958" s="40" t="str" cm="1">
        <f t="array" ref="F958">IFERROR(_xlfn.LET(
_xlpm.CSVVal,_xlfn.XLOOKUP($A958,CSV!$A:$A,CSV!F:F,""),
_xlpm.MacVal,_xlfn.XLOOKUP($A958,Output_Mac!$A:$A,Output_Mac!E:E,""),
_xlpm.MyAuditVal,_xlfn.XLOOKUP($A958,My_Audit!$A:$A,My_Audit!E:E,""),
_xlfn.IFS(_xlpm.MyAuditVal&lt;&gt;"",_xlpm.MyAuditVal,_xlpm.MacVal&lt;&gt;"",_xlpm.MacVal,_xlpm.CSVVal&lt;&gt;"",_xlpm.CSVVal
)),"")</f>
        <v/>
      </c>
      <c r="G958" s="40" t="str" cm="1">
        <f t="array" ref="G958">IFERROR(_xlfn.LET(
_xlpm.CSVVal,_xlfn.XLOOKUP($A958,CSV!$A:$A,CSV!G:G,""),
_xlpm.MacVal,_xlfn.XLOOKUP($A958,Output_Mac!$A:$A,Output_Mac!F:F,""),
_xlpm.MyAuditVal,_xlfn.XLOOKUP($A958,My_Audit!$A:$A,My_Audit!F:F,""),
_xlfn.IFS(_xlpm.MyAuditVal&lt;&gt;"",_xlpm.MyAuditVal,_xlpm.MacVal&lt;&gt;"",_xlpm.MacVal,_xlpm.CSVVal&lt;&gt;"",PROPER(_xlpm.CSVVal)
)),"")</f>
        <v/>
      </c>
      <c r="H958" s="40" t="str" cm="1">
        <f t="array" ref="H958">IFERROR(_xlfn.LET(
_xlpm.CSVVal,_xlfn.XLOOKUP($A958,CSV!$A:$A,CSV!H:H,""),
_xlpm.MacVal,_xlfn.XLOOKUP($A958,Output_Mac!$A:$A,Output_Mac!H:H,""),
_xlpm.MyAuditVal,_xlfn.XLOOKUP($A958,My_Audit!$A:$A,My_Audit!G:G,""),
_xlfn.IFS(_xlpm.MyAuditVal&lt;&gt;"",_xlpm.MyAuditVal,_xlpm.MacVal&lt;&gt;"",_xlpm.MacVal,_xlpm.CSVVal&lt;&gt;"",_xlpm.CSVVal
)),"")</f>
        <v/>
      </c>
      <c r="I958" s="40" t="str">
        <f>_xlfn.XLOOKUP(A958,Output_Mac!A:A,Output_Mac!I:I,"")</f>
        <v/>
      </c>
      <c r="J958" s="40" t="str" cm="1">
        <f t="array" ref="J958">IFERROR(_xlfn.LET(
_xlpm.CSVVal,_xlfn.XLOOKUP($A958,CSV!$A:$A,CSV!I:I,""),
_xlpm.MacVal,_xlfn.XLOOKUP($A958,Output_Mac!$A:$A,Output_Mac!J:J,""),
_xlpm.MyAuditVal,_xlfn.XLOOKUP($A958,My_Audit!$A:$A,My_Audit!I:I,""),
_xlfn.IFS(_xlpm.MyAuditVal&lt;&gt;"",UPPER(_xlpm.MyAuditVal),_xlpm.MacVal&lt;&gt;"",_xlpm.MacVal,_xlpm.CSVVal&lt;&gt;"",_xlpm.CSVVal
)),"")</f>
        <v/>
      </c>
      <c r="K958" s="40" t="str" cm="1">
        <f t="array" ref="K958">IFERROR(_xlfn.LET(
_xlpm.CSVVal,_xlfn.XLOOKUP($A958,CSV!$A:$A,CSV!K:K,""),
_xlpm.MacVal,_xlfn.XLOOKUP($A958,Output_Mac!$A:$A,Output_Mac!K:K,""),
_xlpm.MyAuditVal,_xlfn.XLOOKUP($A958,My_Audit!$A:$A,My_Audit!J:J,""),
_xlfn.IFS(_xlpm.MyAuditVal&lt;&gt;"",UPPER(_xlpm.MyAuditVal),_xlpm.MacVal&lt;&gt;"",_xlpm.MacVal,_xlpm.CSVVal&lt;&gt;"",_xlpm.CSVVal
)),"")</f>
        <v/>
      </c>
      <c r="L958" s="40" t="str" cm="1">
        <f t="array" ref="L958">IFERROR(_xlfn.LET(
_xlpm.CSVVal,_xlfn.XLOOKUP($A958,CSV!$A:$A,CSV!P:P,""),
_xlpm.MacVal,_xlfn.XLOOKUP($A958,Output_Mac!$A:$A,Output_Mac!L:L,""),
_xlpm.MyAuditVal,_xlfn.XLOOKUP($A958,My_Audit!$A:$A,My_Audit!K:K,""),
_xlfn.IFS(_xlpm.MyAuditVal&lt;&gt;"",UPPER(_xlpm.MyAuditVal),_xlpm.MacVal&lt;&gt;"",_xlpm.MacVal,_xlpm.CSVVal&lt;&gt;"",_xlpm.CSVVal
)),"")</f>
        <v/>
      </c>
      <c r="M958" s="40" t="str" cm="1">
        <f t="array" ref="M958">IFERROR(_xlfn.LET(
_xlpm.CSVVal,_xlfn.XLOOKUP($A958,CSV!$A:$A,CSV!Q:Q,""),
_xlpm.MacVal,_xlfn.XLOOKUP($A958,Output_Mac!$A:$A,Output_Mac!M:M,""),
_xlpm.MyAuditVal,_xlfn.XLOOKUP($A958,My_Audit!$A:$A,My_Audit!L:L,""),
_xlfn.IFS(_xlpm.MyAuditVal&lt;&gt;"",UPPER(_xlpm.MyAuditVal),_xlpm.MacVal&lt;&gt;"",_xlpm.MacVal,_xlpm.CSVVal&lt;&gt;"",_xlpm.CSVVal
)),"")</f>
        <v/>
      </c>
      <c r="N958" s="40"/>
      <c r="O958" s="40" t="str">
        <f>_xlfn.LET(
    _xlpm.CSVVal, _xlfn.XLOOKUP($A958, CSV!$A:$A, CSV!AA:AA, ""),
    _xlpm.MacVal, _xlfn.XLOOKUP($A958, Output_Mac!$A:$A, Output_Mac!S:S, ""),
    _xlpm.MyAuditVal, _xlfn.XLOOKUP($A958, My_Audit!$A:$A, My_Audit!P:P, ""),
    _xlfn.TEXTJOIN(", ", TRUE, _xlpm.MyAuditVal, _xlpm.MacVal, _xlpm.CSVVal)
)</f>
        <v/>
      </c>
      <c r="P958" s="40" t="str" cm="1">
        <f t="array" ref="P958">IFERROR(_xlfn.LET(
_xlpm.CSVVal,_xlfn.XLOOKUP($A958,CSV!$A:$A,CSV!AB:AB,""),
_xlpm.MacVal,_xlfn.XLOOKUP($A958,Output_Mac!$A:$A,Output_Mac!T:T,""),
_xlpm.MyAuditVal,_xlfn.XLOOKUP($A958,My_Audit!$A:$A,My_Audit!Q:Q,""),
_xlfn.IFS(_xlpm.MyAuditVal&lt;&gt;"",UPPER(_xlpm.MyAuditVal),_xlpm.MacVal&lt;&gt;"",_xlpm.MacVal,_xlpm.CSVVal&lt;&gt;"",_xlpm.CSVVal
)),"No")</f>
        <v>No</v>
      </c>
      <c r="Q958" s="40" t="str" cm="1">
        <f t="array" ref="Q958">IFERROR(_xlfn.LET(
_xlpm.CSVVal,_xlfn.XLOOKUP($A958,CSV!$A:$A,CSV!AC:AC,""),
_xlpm.MacVal,_xlfn.XLOOKUP($A958,Output_Mac!$A:$A,Output_Mac!U:U,""),
_xlpm.MyAuditVal,_xlfn.XLOOKUP($A958,My_Audit!$A:$A,My_Audit!R:R,""),
_xlfn.IFS(_xlpm.MyAuditVal&lt;&gt;"",UPPER(_xlpm.MyAuditVal),_xlpm.MacVal&lt;&gt;"",_xlpm.MacVal,_xlpm.CSVVal&lt;&gt;"",_xlpm.CSVVal
)),"")</f>
        <v/>
      </c>
      <c r="R958" s="40"/>
      <c r="S958" s="40"/>
      <c r="T958" s="40"/>
      <c r="U958" s="40"/>
      <c r="V958" s="40"/>
      <c r="W958" s="40"/>
      <c r="X958" s="41" t="str">
        <f>_xlfn.LET(
    _xlpm.MacVal, _xlfn.XLOOKUP($A958, Output_Mac!$A:$A, Output_Mac!AB:AB, ""),
    _xlpm.MyAuditVal, _xlfn.XLOOKUP($A958, My_Audit!$A:$A, My_Audit!N:N, ""),
    _xlfn.TEXTJOIN(", ", TRUE, _xlpm.MyAuditVal, _xlpm.MacVal)
)</f>
        <v/>
      </c>
    </row>
    <row r="959" spans="1:24">
      <c r="A959" s="40" t="str">
        <f>_xlfn.TEXTJOIN("",TRUE,Input!$B$2,ROW(My_Audit!A958))</f>
        <v>X958</v>
      </c>
      <c r="B959" s="40" t="str">
        <f>_xlfn.TEXTJOIN("-",TRUE,"ITD",Input!$A$2,A959)</f>
        <v>ITD-X958</v>
      </c>
      <c r="C959" s="40" t="str" cm="1">
        <f t="array" ref="C959">IFERROR(_xlfn.LET(
_xlpm.CSVVal,_xlfn.XLOOKUP($A959,CSV!$A:$A,CSV!B:B,""),
_xlpm.MacVal,_xlfn.XLOOKUP($A959,Output_Mac!$A:$A,Output_Mac!B:B,""),
_xlpm.MyAuditVal,_xlfn.XLOOKUP($A959,My_Audit!$A:$A,My_Audit!B:B,""),
_xlfn.IFS(_xlpm.MyAuditVal&lt;&gt;"",UPPER(_xlpm.MyAuditVal),_xlpm.MacVal&lt;&gt;"",_xlpm.MacVal,_xlpm.CSVVal&lt;&gt;"",_xlpm.CSVVal
)),"")</f>
        <v/>
      </c>
      <c r="D959" s="40" t="str" cm="1">
        <f t="array" ref="D959">IFERROR(_xlfn.LET(
_xlpm.CSVVal,_xlfn.XLOOKUP($A959,CSV!$A:$A,CSV!D:D,""),
_xlpm.MacVal,_xlfn.XLOOKUP($A959,Output_Mac!$A:$A,Output_Mac!C:C,""),
_xlpm.MyAuditVal,_xlfn.XLOOKUP($A959,My_Audit!$A:$A,My_Audit!C:C,""),
_xlfn.IFS(_xlpm.MyAuditVal&lt;&gt;"",_xlpm.MyAuditVal,_xlpm.MacVal&lt;&gt;"",_xlpm.MacVal,_xlpm.CSVVal&lt;&gt;"",_xlpm.CSVVal
)),"")</f>
        <v/>
      </c>
      <c r="E959" s="40" t="str">
        <f>_xlfn.XLOOKUP(A959,My_Audit!A:A,My_Audit!D:D,"")</f>
        <v/>
      </c>
      <c r="F959" s="40" t="str" cm="1">
        <f t="array" ref="F959">IFERROR(_xlfn.LET(
_xlpm.CSVVal,_xlfn.XLOOKUP($A959,CSV!$A:$A,CSV!F:F,""),
_xlpm.MacVal,_xlfn.XLOOKUP($A959,Output_Mac!$A:$A,Output_Mac!E:E,""),
_xlpm.MyAuditVal,_xlfn.XLOOKUP($A959,My_Audit!$A:$A,My_Audit!E:E,""),
_xlfn.IFS(_xlpm.MyAuditVal&lt;&gt;"",_xlpm.MyAuditVal,_xlpm.MacVal&lt;&gt;"",_xlpm.MacVal,_xlpm.CSVVal&lt;&gt;"",_xlpm.CSVVal
)),"")</f>
        <v/>
      </c>
      <c r="G959" s="40" t="str" cm="1">
        <f t="array" ref="G959">IFERROR(_xlfn.LET(
_xlpm.CSVVal,_xlfn.XLOOKUP($A959,CSV!$A:$A,CSV!G:G,""),
_xlpm.MacVal,_xlfn.XLOOKUP($A959,Output_Mac!$A:$A,Output_Mac!F:F,""),
_xlpm.MyAuditVal,_xlfn.XLOOKUP($A959,My_Audit!$A:$A,My_Audit!F:F,""),
_xlfn.IFS(_xlpm.MyAuditVal&lt;&gt;"",_xlpm.MyAuditVal,_xlpm.MacVal&lt;&gt;"",_xlpm.MacVal,_xlpm.CSVVal&lt;&gt;"",PROPER(_xlpm.CSVVal)
)),"")</f>
        <v/>
      </c>
      <c r="H959" s="40" t="str" cm="1">
        <f t="array" ref="H959">IFERROR(_xlfn.LET(
_xlpm.CSVVal,_xlfn.XLOOKUP($A959,CSV!$A:$A,CSV!H:H,""),
_xlpm.MacVal,_xlfn.XLOOKUP($A959,Output_Mac!$A:$A,Output_Mac!H:H,""),
_xlpm.MyAuditVal,_xlfn.XLOOKUP($A959,My_Audit!$A:$A,My_Audit!G:G,""),
_xlfn.IFS(_xlpm.MyAuditVal&lt;&gt;"",_xlpm.MyAuditVal,_xlpm.MacVal&lt;&gt;"",_xlpm.MacVal,_xlpm.CSVVal&lt;&gt;"",_xlpm.CSVVal
)),"")</f>
        <v/>
      </c>
      <c r="I959" s="40" t="str">
        <f>_xlfn.XLOOKUP(A959,Output_Mac!A:A,Output_Mac!I:I,"")</f>
        <v/>
      </c>
      <c r="J959" s="40" t="str" cm="1">
        <f t="array" ref="J959">IFERROR(_xlfn.LET(
_xlpm.CSVVal,_xlfn.XLOOKUP($A959,CSV!$A:$A,CSV!I:I,""),
_xlpm.MacVal,_xlfn.XLOOKUP($A959,Output_Mac!$A:$A,Output_Mac!J:J,""),
_xlpm.MyAuditVal,_xlfn.XLOOKUP($A959,My_Audit!$A:$A,My_Audit!I:I,""),
_xlfn.IFS(_xlpm.MyAuditVal&lt;&gt;"",UPPER(_xlpm.MyAuditVal),_xlpm.MacVal&lt;&gt;"",_xlpm.MacVal,_xlpm.CSVVal&lt;&gt;"",_xlpm.CSVVal
)),"")</f>
        <v/>
      </c>
      <c r="K959" s="40" t="str" cm="1">
        <f t="array" ref="K959">IFERROR(_xlfn.LET(
_xlpm.CSVVal,_xlfn.XLOOKUP($A959,CSV!$A:$A,CSV!K:K,""),
_xlpm.MacVal,_xlfn.XLOOKUP($A959,Output_Mac!$A:$A,Output_Mac!K:K,""),
_xlpm.MyAuditVal,_xlfn.XLOOKUP($A959,My_Audit!$A:$A,My_Audit!J:J,""),
_xlfn.IFS(_xlpm.MyAuditVal&lt;&gt;"",UPPER(_xlpm.MyAuditVal),_xlpm.MacVal&lt;&gt;"",_xlpm.MacVal,_xlpm.CSVVal&lt;&gt;"",_xlpm.CSVVal
)),"")</f>
        <v/>
      </c>
      <c r="L959" s="40" t="str" cm="1">
        <f t="array" ref="L959">IFERROR(_xlfn.LET(
_xlpm.CSVVal,_xlfn.XLOOKUP($A959,CSV!$A:$A,CSV!P:P,""),
_xlpm.MacVal,_xlfn.XLOOKUP($A959,Output_Mac!$A:$A,Output_Mac!L:L,""),
_xlpm.MyAuditVal,_xlfn.XLOOKUP($A959,My_Audit!$A:$A,My_Audit!K:K,""),
_xlfn.IFS(_xlpm.MyAuditVal&lt;&gt;"",UPPER(_xlpm.MyAuditVal),_xlpm.MacVal&lt;&gt;"",_xlpm.MacVal,_xlpm.CSVVal&lt;&gt;"",_xlpm.CSVVal
)),"")</f>
        <v/>
      </c>
      <c r="M959" s="40" t="str" cm="1">
        <f t="array" ref="M959">IFERROR(_xlfn.LET(
_xlpm.CSVVal,_xlfn.XLOOKUP($A959,CSV!$A:$A,CSV!Q:Q,""),
_xlpm.MacVal,_xlfn.XLOOKUP($A959,Output_Mac!$A:$A,Output_Mac!M:M,""),
_xlpm.MyAuditVal,_xlfn.XLOOKUP($A959,My_Audit!$A:$A,My_Audit!L:L,""),
_xlfn.IFS(_xlpm.MyAuditVal&lt;&gt;"",UPPER(_xlpm.MyAuditVal),_xlpm.MacVal&lt;&gt;"",_xlpm.MacVal,_xlpm.CSVVal&lt;&gt;"",_xlpm.CSVVal
)),"")</f>
        <v/>
      </c>
      <c r="N959" s="40"/>
      <c r="O959" s="40" t="str">
        <f>_xlfn.LET(
    _xlpm.CSVVal, _xlfn.XLOOKUP($A959, CSV!$A:$A, CSV!AA:AA, ""),
    _xlpm.MacVal, _xlfn.XLOOKUP($A959, Output_Mac!$A:$A, Output_Mac!S:S, ""),
    _xlpm.MyAuditVal, _xlfn.XLOOKUP($A959, My_Audit!$A:$A, My_Audit!P:P, ""),
    _xlfn.TEXTJOIN(", ", TRUE, _xlpm.MyAuditVal, _xlpm.MacVal, _xlpm.CSVVal)
)</f>
        <v/>
      </c>
      <c r="P959" s="40" t="str" cm="1">
        <f t="array" ref="P959">IFERROR(_xlfn.LET(
_xlpm.CSVVal,_xlfn.XLOOKUP($A959,CSV!$A:$A,CSV!AB:AB,""),
_xlpm.MacVal,_xlfn.XLOOKUP($A959,Output_Mac!$A:$A,Output_Mac!T:T,""),
_xlpm.MyAuditVal,_xlfn.XLOOKUP($A959,My_Audit!$A:$A,My_Audit!Q:Q,""),
_xlfn.IFS(_xlpm.MyAuditVal&lt;&gt;"",UPPER(_xlpm.MyAuditVal),_xlpm.MacVal&lt;&gt;"",_xlpm.MacVal,_xlpm.CSVVal&lt;&gt;"",_xlpm.CSVVal
)),"No")</f>
        <v>No</v>
      </c>
      <c r="Q959" s="40" t="str" cm="1">
        <f t="array" ref="Q959">IFERROR(_xlfn.LET(
_xlpm.CSVVal,_xlfn.XLOOKUP($A959,CSV!$A:$A,CSV!AC:AC,""),
_xlpm.MacVal,_xlfn.XLOOKUP($A959,Output_Mac!$A:$A,Output_Mac!U:U,""),
_xlpm.MyAuditVal,_xlfn.XLOOKUP($A959,My_Audit!$A:$A,My_Audit!R:R,""),
_xlfn.IFS(_xlpm.MyAuditVal&lt;&gt;"",UPPER(_xlpm.MyAuditVal),_xlpm.MacVal&lt;&gt;"",_xlpm.MacVal,_xlpm.CSVVal&lt;&gt;"",_xlpm.CSVVal
)),"")</f>
        <v/>
      </c>
      <c r="R959" s="40"/>
      <c r="S959" s="40"/>
      <c r="T959" s="40"/>
      <c r="U959" s="40"/>
      <c r="V959" s="40"/>
      <c r="W959" s="40"/>
      <c r="X959" s="41" t="str">
        <f>_xlfn.LET(
    _xlpm.MacVal, _xlfn.XLOOKUP($A959, Output_Mac!$A:$A, Output_Mac!AB:AB, ""),
    _xlpm.MyAuditVal, _xlfn.XLOOKUP($A959, My_Audit!$A:$A, My_Audit!N:N, ""),
    _xlfn.TEXTJOIN(", ", TRUE, _xlpm.MyAuditVal, _xlpm.MacVal)
)</f>
        <v/>
      </c>
    </row>
    <row r="960" spans="1:24">
      <c r="A960" s="40" t="str">
        <f>_xlfn.TEXTJOIN("",TRUE,Input!$B$2,ROW(My_Audit!A959))</f>
        <v>X959</v>
      </c>
      <c r="B960" s="40" t="str">
        <f>_xlfn.TEXTJOIN("-",TRUE,"ITD",Input!$A$2,A960)</f>
        <v>ITD-X959</v>
      </c>
      <c r="C960" s="40" t="str" cm="1">
        <f t="array" ref="C960">IFERROR(_xlfn.LET(
_xlpm.CSVVal,_xlfn.XLOOKUP($A960,CSV!$A:$A,CSV!B:B,""),
_xlpm.MacVal,_xlfn.XLOOKUP($A960,Output_Mac!$A:$A,Output_Mac!B:B,""),
_xlpm.MyAuditVal,_xlfn.XLOOKUP($A960,My_Audit!$A:$A,My_Audit!B:B,""),
_xlfn.IFS(_xlpm.MyAuditVal&lt;&gt;"",UPPER(_xlpm.MyAuditVal),_xlpm.MacVal&lt;&gt;"",_xlpm.MacVal,_xlpm.CSVVal&lt;&gt;"",_xlpm.CSVVal
)),"")</f>
        <v/>
      </c>
      <c r="D960" s="40" t="str" cm="1">
        <f t="array" ref="D960">IFERROR(_xlfn.LET(
_xlpm.CSVVal,_xlfn.XLOOKUP($A960,CSV!$A:$A,CSV!D:D,""),
_xlpm.MacVal,_xlfn.XLOOKUP($A960,Output_Mac!$A:$A,Output_Mac!C:C,""),
_xlpm.MyAuditVal,_xlfn.XLOOKUP($A960,My_Audit!$A:$A,My_Audit!C:C,""),
_xlfn.IFS(_xlpm.MyAuditVal&lt;&gt;"",_xlpm.MyAuditVal,_xlpm.MacVal&lt;&gt;"",_xlpm.MacVal,_xlpm.CSVVal&lt;&gt;"",_xlpm.CSVVal
)),"")</f>
        <v/>
      </c>
      <c r="E960" s="40" t="str">
        <f>_xlfn.XLOOKUP(A960,My_Audit!A:A,My_Audit!D:D,"")</f>
        <v/>
      </c>
      <c r="F960" s="40" t="str" cm="1">
        <f t="array" ref="F960">IFERROR(_xlfn.LET(
_xlpm.CSVVal,_xlfn.XLOOKUP($A960,CSV!$A:$A,CSV!F:F,""),
_xlpm.MacVal,_xlfn.XLOOKUP($A960,Output_Mac!$A:$A,Output_Mac!E:E,""),
_xlpm.MyAuditVal,_xlfn.XLOOKUP($A960,My_Audit!$A:$A,My_Audit!E:E,""),
_xlfn.IFS(_xlpm.MyAuditVal&lt;&gt;"",_xlpm.MyAuditVal,_xlpm.MacVal&lt;&gt;"",_xlpm.MacVal,_xlpm.CSVVal&lt;&gt;"",_xlpm.CSVVal
)),"")</f>
        <v/>
      </c>
      <c r="G960" s="40" t="str" cm="1">
        <f t="array" ref="G960">IFERROR(_xlfn.LET(
_xlpm.CSVVal,_xlfn.XLOOKUP($A960,CSV!$A:$A,CSV!G:G,""),
_xlpm.MacVal,_xlfn.XLOOKUP($A960,Output_Mac!$A:$A,Output_Mac!F:F,""),
_xlpm.MyAuditVal,_xlfn.XLOOKUP($A960,My_Audit!$A:$A,My_Audit!F:F,""),
_xlfn.IFS(_xlpm.MyAuditVal&lt;&gt;"",_xlpm.MyAuditVal,_xlpm.MacVal&lt;&gt;"",_xlpm.MacVal,_xlpm.CSVVal&lt;&gt;"",PROPER(_xlpm.CSVVal)
)),"")</f>
        <v/>
      </c>
      <c r="H960" s="40" t="str" cm="1">
        <f t="array" ref="H960">IFERROR(_xlfn.LET(
_xlpm.CSVVal,_xlfn.XLOOKUP($A960,CSV!$A:$A,CSV!H:H,""),
_xlpm.MacVal,_xlfn.XLOOKUP($A960,Output_Mac!$A:$A,Output_Mac!H:H,""),
_xlpm.MyAuditVal,_xlfn.XLOOKUP($A960,My_Audit!$A:$A,My_Audit!G:G,""),
_xlfn.IFS(_xlpm.MyAuditVal&lt;&gt;"",_xlpm.MyAuditVal,_xlpm.MacVal&lt;&gt;"",_xlpm.MacVal,_xlpm.CSVVal&lt;&gt;"",_xlpm.CSVVal
)),"")</f>
        <v/>
      </c>
      <c r="I960" s="40" t="str">
        <f>_xlfn.XLOOKUP(A960,Output_Mac!A:A,Output_Mac!I:I,"")</f>
        <v/>
      </c>
      <c r="J960" s="40" t="str" cm="1">
        <f t="array" ref="J960">IFERROR(_xlfn.LET(
_xlpm.CSVVal,_xlfn.XLOOKUP($A960,CSV!$A:$A,CSV!I:I,""),
_xlpm.MacVal,_xlfn.XLOOKUP($A960,Output_Mac!$A:$A,Output_Mac!J:J,""),
_xlpm.MyAuditVal,_xlfn.XLOOKUP($A960,My_Audit!$A:$A,My_Audit!I:I,""),
_xlfn.IFS(_xlpm.MyAuditVal&lt;&gt;"",UPPER(_xlpm.MyAuditVal),_xlpm.MacVal&lt;&gt;"",_xlpm.MacVal,_xlpm.CSVVal&lt;&gt;"",_xlpm.CSVVal
)),"")</f>
        <v/>
      </c>
      <c r="K960" s="40" t="str" cm="1">
        <f t="array" ref="K960">IFERROR(_xlfn.LET(
_xlpm.CSVVal,_xlfn.XLOOKUP($A960,CSV!$A:$A,CSV!K:K,""),
_xlpm.MacVal,_xlfn.XLOOKUP($A960,Output_Mac!$A:$A,Output_Mac!K:K,""),
_xlpm.MyAuditVal,_xlfn.XLOOKUP($A960,My_Audit!$A:$A,My_Audit!J:J,""),
_xlfn.IFS(_xlpm.MyAuditVal&lt;&gt;"",UPPER(_xlpm.MyAuditVal),_xlpm.MacVal&lt;&gt;"",_xlpm.MacVal,_xlpm.CSVVal&lt;&gt;"",_xlpm.CSVVal
)),"")</f>
        <v/>
      </c>
      <c r="L960" s="40" t="str" cm="1">
        <f t="array" ref="L960">IFERROR(_xlfn.LET(
_xlpm.CSVVal,_xlfn.XLOOKUP($A960,CSV!$A:$A,CSV!P:P,""),
_xlpm.MacVal,_xlfn.XLOOKUP($A960,Output_Mac!$A:$A,Output_Mac!L:L,""),
_xlpm.MyAuditVal,_xlfn.XLOOKUP($A960,My_Audit!$A:$A,My_Audit!K:K,""),
_xlfn.IFS(_xlpm.MyAuditVal&lt;&gt;"",UPPER(_xlpm.MyAuditVal),_xlpm.MacVal&lt;&gt;"",_xlpm.MacVal,_xlpm.CSVVal&lt;&gt;"",_xlpm.CSVVal
)),"")</f>
        <v/>
      </c>
      <c r="M960" s="40" t="str" cm="1">
        <f t="array" ref="M960">IFERROR(_xlfn.LET(
_xlpm.CSVVal,_xlfn.XLOOKUP($A960,CSV!$A:$A,CSV!Q:Q,""),
_xlpm.MacVal,_xlfn.XLOOKUP($A960,Output_Mac!$A:$A,Output_Mac!M:M,""),
_xlpm.MyAuditVal,_xlfn.XLOOKUP($A960,My_Audit!$A:$A,My_Audit!L:L,""),
_xlfn.IFS(_xlpm.MyAuditVal&lt;&gt;"",UPPER(_xlpm.MyAuditVal),_xlpm.MacVal&lt;&gt;"",_xlpm.MacVal,_xlpm.CSVVal&lt;&gt;"",_xlpm.CSVVal
)),"")</f>
        <v/>
      </c>
      <c r="N960" s="40"/>
      <c r="O960" s="40" t="str">
        <f>_xlfn.LET(
    _xlpm.CSVVal, _xlfn.XLOOKUP($A960, CSV!$A:$A, CSV!AA:AA, ""),
    _xlpm.MacVal, _xlfn.XLOOKUP($A960, Output_Mac!$A:$A, Output_Mac!S:S, ""),
    _xlpm.MyAuditVal, _xlfn.XLOOKUP($A960, My_Audit!$A:$A, My_Audit!P:P, ""),
    _xlfn.TEXTJOIN(", ", TRUE, _xlpm.MyAuditVal, _xlpm.MacVal, _xlpm.CSVVal)
)</f>
        <v/>
      </c>
      <c r="P960" s="40" t="str" cm="1">
        <f t="array" ref="P960">IFERROR(_xlfn.LET(
_xlpm.CSVVal,_xlfn.XLOOKUP($A960,CSV!$A:$A,CSV!AB:AB,""),
_xlpm.MacVal,_xlfn.XLOOKUP($A960,Output_Mac!$A:$A,Output_Mac!T:T,""),
_xlpm.MyAuditVal,_xlfn.XLOOKUP($A960,My_Audit!$A:$A,My_Audit!Q:Q,""),
_xlfn.IFS(_xlpm.MyAuditVal&lt;&gt;"",UPPER(_xlpm.MyAuditVal),_xlpm.MacVal&lt;&gt;"",_xlpm.MacVal,_xlpm.CSVVal&lt;&gt;"",_xlpm.CSVVal
)),"No")</f>
        <v>No</v>
      </c>
      <c r="Q960" s="40" t="str" cm="1">
        <f t="array" ref="Q960">IFERROR(_xlfn.LET(
_xlpm.CSVVal,_xlfn.XLOOKUP($A960,CSV!$A:$A,CSV!AC:AC,""),
_xlpm.MacVal,_xlfn.XLOOKUP($A960,Output_Mac!$A:$A,Output_Mac!U:U,""),
_xlpm.MyAuditVal,_xlfn.XLOOKUP($A960,My_Audit!$A:$A,My_Audit!R:R,""),
_xlfn.IFS(_xlpm.MyAuditVal&lt;&gt;"",UPPER(_xlpm.MyAuditVal),_xlpm.MacVal&lt;&gt;"",_xlpm.MacVal,_xlpm.CSVVal&lt;&gt;"",_xlpm.CSVVal
)),"")</f>
        <v/>
      </c>
      <c r="R960" s="40"/>
      <c r="S960" s="40"/>
      <c r="T960" s="40"/>
      <c r="U960" s="40"/>
      <c r="V960" s="40"/>
      <c r="W960" s="40"/>
      <c r="X960" s="41" t="str">
        <f>_xlfn.LET(
    _xlpm.MacVal, _xlfn.XLOOKUP($A960, Output_Mac!$A:$A, Output_Mac!AB:AB, ""),
    _xlpm.MyAuditVal, _xlfn.XLOOKUP($A960, My_Audit!$A:$A, My_Audit!N:N, ""),
    _xlfn.TEXTJOIN(", ", TRUE, _xlpm.MyAuditVal, _xlpm.MacVal)
)</f>
        <v/>
      </c>
    </row>
    <row r="961" spans="1:24">
      <c r="A961" s="40" t="str">
        <f>_xlfn.TEXTJOIN("",TRUE,Input!$B$2,ROW(My_Audit!A960))</f>
        <v>X960</v>
      </c>
      <c r="B961" s="40" t="str">
        <f>_xlfn.TEXTJOIN("-",TRUE,"ITD",Input!$A$2,A961)</f>
        <v>ITD-X960</v>
      </c>
      <c r="C961" s="40" t="str" cm="1">
        <f t="array" ref="C961">IFERROR(_xlfn.LET(
_xlpm.CSVVal,_xlfn.XLOOKUP($A961,CSV!$A:$A,CSV!B:B,""),
_xlpm.MacVal,_xlfn.XLOOKUP($A961,Output_Mac!$A:$A,Output_Mac!B:B,""),
_xlpm.MyAuditVal,_xlfn.XLOOKUP($A961,My_Audit!$A:$A,My_Audit!B:B,""),
_xlfn.IFS(_xlpm.MyAuditVal&lt;&gt;"",UPPER(_xlpm.MyAuditVal),_xlpm.MacVal&lt;&gt;"",_xlpm.MacVal,_xlpm.CSVVal&lt;&gt;"",_xlpm.CSVVal
)),"")</f>
        <v/>
      </c>
      <c r="D961" s="40" t="str" cm="1">
        <f t="array" ref="D961">IFERROR(_xlfn.LET(
_xlpm.CSVVal,_xlfn.XLOOKUP($A961,CSV!$A:$A,CSV!D:D,""),
_xlpm.MacVal,_xlfn.XLOOKUP($A961,Output_Mac!$A:$A,Output_Mac!C:C,""),
_xlpm.MyAuditVal,_xlfn.XLOOKUP($A961,My_Audit!$A:$A,My_Audit!C:C,""),
_xlfn.IFS(_xlpm.MyAuditVal&lt;&gt;"",_xlpm.MyAuditVal,_xlpm.MacVal&lt;&gt;"",_xlpm.MacVal,_xlpm.CSVVal&lt;&gt;"",_xlpm.CSVVal
)),"")</f>
        <v/>
      </c>
      <c r="E961" s="40" t="str">
        <f>_xlfn.XLOOKUP(A961,My_Audit!A:A,My_Audit!D:D,"")</f>
        <v/>
      </c>
      <c r="F961" s="40" t="str" cm="1">
        <f t="array" ref="F961">IFERROR(_xlfn.LET(
_xlpm.CSVVal,_xlfn.XLOOKUP($A961,CSV!$A:$A,CSV!F:F,""),
_xlpm.MacVal,_xlfn.XLOOKUP($A961,Output_Mac!$A:$A,Output_Mac!E:E,""),
_xlpm.MyAuditVal,_xlfn.XLOOKUP($A961,My_Audit!$A:$A,My_Audit!E:E,""),
_xlfn.IFS(_xlpm.MyAuditVal&lt;&gt;"",_xlpm.MyAuditVal,_xlpm.MacVal&lt;&gt;"",_xlpm.MacVal,_xlpm.CSVVal&lt;&gt;"",_xlpm.CSVVal
)),"")</f>
        <v/>
      </c>
      <c r="G961" s="40" t="str" cm="1">
        <f t="array" ref="G961">IFERROR(_xlfn.LET(
_xlpm.CSVVal,_xlfn.XLOOKUP($A961,CSV!$A:$A,CSV!G:G,""),
_xlpm.MacVal,_xlfn.XLOOKUP($A961,Output_Mac!$A:$A,Output_Mac!F:F,""),
_xlpm.MyAuditVal,_xlfn.XLOOKUP($A961,My_Audit!$A:$A,My_Audit!F:F,""),
_xlfn.IFS(_xlpm.MyAuditVal&lt;&gt;"",_xlpm.MyAuditVal,_xlpm.MacVal&lt;&gt;"",_xlpm.MacVal,_xlpm.CSVVal&lt;&gt;"",PROPER(_xlpm.CSVVal)
)),"")</f>
        <v/>
      </c>
      <c r="H961" s="40" t="str" cm="1">
        <f t="array" ref="H961">IFERROR(_xlfn.LET(
_xlpm.CSVVal,_xlfn.XLOOKUP($A961,CSV!$A:$A,CSV!H:H,""),
_xlpm.MacVal,_xlfn.XLOOKUP($A961,Output_Mac!$A:$A,Output_Mac!H:H,""),
_xlpm.MyAuditVal,_xlfn.XLOOKUP($A961,My_Audit!$A:$A,My_Audit!G:G,""),
_xlfn.IFS(_xlpm.MyAuditVal&lt;&gt;"",_xlpm.MyAuditVal,_xlpm.MacVal&lt;&gt;"",_xlpm.MacVal,_xlpm.CSVVal&lt;&gt;"",_xlpm.CSVVal
)),"")</f>
        <v/>
      </c>
      <c r="I961" s="40" t="str">
        <f>_xlfn.XLOOKUP(A961,Output_Mac!A:A,Output_Mac!I:I,"")</f>
        <v/>
      </c>
      <c r="J961" s="40" t="str" cm="1">
        <f t="array" ref="J961">IFERROR(_xlfn.LET(
_xlpm.CSVVal,_xlfn.XLOOKUP($A961,CSV!$A:$A,CSV!I:I,""),
_xlpm.MacVal,_xlfn.XLOOKUP($A961,Output_Mac!$A:$A,Output_Mac!J:J,""),
_xlpm.MyAuditVal,_xlfn.XLOOKUP($A961,My_Audit!$A:$A,My_Audit!I:I,""),
_xlfn.IFS(_xlpm.MyAuditVal&lt;&gt;"",UPPER(_xlpm.MyAuditVal),_xlpm.MacVal&lt;&gt;"",_xlpm.MacVal,_xlpm.CSVVal&lt;&gt;"",_xlpm.CSVVal
)),"")</f>
        <v/>
      </c>
      <c r="K961" s="40" t="str" cm="1">
        <f t="array" ref="K961">IFERROR(_xlfn.LET(
_xlpm.CSVVal,_xlfn.XLOOKUP($A961,CSV!$A:$A,CSV!K:K,""),
_xlpm.MacVal,_xlfn.XLOOKUP($A961,Output_Mac!$A:$A,Output_Mac!K:K,""),
_xlpm.MyAuditVal,_xlfn.XLOOKUP($A961,My_Audit!$A:$A,My_Audit!J:J,""),
_xlfn.IFS(_xlpm.MyAuditVal&lt;&gt;"",UPPER(_xlpm.MyAuditVal),_xlpm.MacVal&lt;&gt;"",_xlpm.MacVal,_xlpm.CSVVal&lt;&gt;"",_xlpm.CSVVal
)),"")</f>
        <v/>
      </c>
      <c r="L961" s="40" t="str" cm="1">
        <f t="array" ref="L961">IFERROR(_xlfn.LET(
_xlpm.CSVVal,_xlfn.XLOOKUP($A961,CSV!$A:$A,CSV!P:P,""),
_xlpm.MacVal,_xlfn.XLOOKUP($A961,Output_Mac!$A:$A,Output_Mac!L:L,""),
_xlpm.MyAuditVal,_xlfn.XLOOKUP($A961,My_Audit!$A:$A,My_Audit!K:K,""),
_xlfn.IFS(_xlpm.MyAuditVal&lt;&gt;"",UPPER(_xlpm.MyAuditVal),_xlpm.MacVal&lt;&gt;"",_xlpm.MacVal,_xlpm.CSVVal&lt;&gt;"",_xlpm.CSVVal
)),"")</f>
        <v/>
      </c>
      <c r="M961" s="40" t="str" cm="1">
        <f t="array" ref="M961">IFERROR(_xlfn.LET(
_xlpm.CSVVal,_xlfn.XLOOKUP($A961,CSV!$A:$A,CSV!Q:Q,""),
_xlpm.MacVal,_xlfn.XLOOKUP($A961,Output_Mac!$A:$A,Output_Mac!M:M,""),
_xlpm.MyAuditVal,_xlfn.XLOOKUP($A961,My_Audit!$A:$A,My_Audit!L:L,""),
_xlfn.IFS(_xlpm.MyAuditVal&lt;&gt;"",UPPER(_xlpm.MyAuditVal),_xlpm.MacVal&lt;&gt;"",_xlpm.MacVal,_xlpm.CSVVal&lt;&gt;"",_xlpm.CSVVal
)),"")</f>
        <v/>
      </c>
      <c r="N961" s="40"/>
      <c r="O961" s="40" t="str">
        <f>_xlfn.LET(
    _xlpm.CSVVal, _xlfn.XLOOKUP($A961, CSV!$A:$A, CSV!AA:AA, ""),
    _xlpm.MacVal, _xlfn.XLOOKUP($A961, Output_Mac!$A:$A, Output_Mac!S:S, ""),
    _xlpm.MyAuditVal, _xlfn.XLOOKUP($A961, My_Audit!$A:$A, My_Audit!P:P, ""),
    _xlfn.TEXTJOIN(", ", TRUE, _xlpm.MyAuditVal, _xlpm.MacVal, _xlpm.CSVVal)
)</f>
        <v/>
      </c>
      <c r="P961" s="40" t="str" cm="1">
        <f t="array" ref="P961">IFERROR(_xlfn.LET(
_xlpm.CSVVal,_xlfn.XLOOKUP($A961,CSV!$A:$A,CSV!AB:AB,""),
_xlpm.MacVal,_xlfn.XLOOKUP($A961,Output_Mac!$A:$A,Output_Mac!T:T,""),
_xlpm.MyAuditVal,_xlfn.XLOOKUP($A961,My_Audit!$A:$A,My_Audit!Q:Q,""),
_xlfn.IFS(_xlpm.MyAuditVal&lt;&gt;"",UPPER(_xlpm.MyAuditVal),_xlpm.MacVal&lt;&gt;"",_xlpm.MacVal,_xlpm.CSVVal&lt;&gt;"",_xlpm.CSVVal
)),"No")</f>
        <v>No</v>
      </c>
      <c r="Q961" s="40" t="str" cm="1">
        <f t="array" ref="Q961">IFERROR(_xlfn.LET(
_xlpm.CSVVal,_xlfn.XLOOKUP($A961,CSV!$A:$A,CSV!AC:AC,""),
_xlpm.MacVal,_xlfn.XLOOKUP($A961,Output_Mac!$A:$A,Output_Mac!U:U,""),
_xlpm.MyAuditVal,_xlfn.XLOOKUP($A961,My_Audit!$A:$A,My_Audit!R:R,""),
_xlfn.IFS(_xlpm.MyAuditVal&lt;&gt;"",UPPER(_xlpm.MyAuditVal),_xlpm.MacVal&lt;&gt;"",_xlpm.MacVal,_xlpm.CSVVal&lt;&gt;"",_xlpm.CSVVal
)),"")</f>
        <v/>
      </c>
      <c r="R961" s="40"/>
      <c r="S961" s="40"/>
      <c r="T961" s="40"/>
      <c r="U961" s="40"/>
      <c r="V961" s="40"/>
      <c r="W961" s="40"/>
      <c r="X961" s="41" t="str">
        <f>_xlfn.LET(
    _xlpm.MacVal, _xlfn.XLOOKUP($A961, Output_Mac!$A:$A, Output_Mac!AB:AB, ""),
    _xlpm.MyAuditVal, _xlfn.XLOOKUP($A961, My_Audit!$A:$A, My_Audit!N:N, ""),
    _xlfn.TEXTJOIN(", ", TRUE, _xlpm.MyAuditVal, _xlpm.MacVal)
)</f>
        <v/>
      </c>
    </row>
    <row r="962" spans="1:24">
      <c r="A962" s="40" t="str">
        <f>_xlfn.TEXTJOIN("",TRUE,Input!$B$2,ROW(My_Audit!A961))</f>
        <v>X961</v>
      </c>
      <c r="B962" s="40" t="str">
        <f>_xlfn.TEXTJOIN("-",TRUE,"ITD",Input!$A$2,A962)</f>
        <v>ITD-X961</v>
      </c>
      <c r="C962" s="40" t="str" cm="1">
        <f t="array" ref="C962">IFERROR(_xlfn.LET(
_xlpm.CSVVal,_xlfn.XLOOKUP($A962,CSV!$A:$A,CSV!B:B,""),
_xlpm.MacVal,_xlfn.XLOOKUP($A962,Output_Mac!$A:$A,Output_Mac!B:B,""),
_xlpm.MyAuditVal,_xlfn.XLOOKUP($A962,My_Audit!$A:$A,My_Audit!B:B,""),
_xlfn.IFS(_xlpm.MyAuditVal&lt;&gt;"",UPPER(_xlpm.MyAuditVal),_xlpm.MacVal&lt;&gt;"",_xlpm.MacVal,_xlpm.CSVVal&lt;&gt;"",_xlpm.CSVVal
)),"")</f>
        <v/>
      </c>
      <c r="D962" s="40" t="str" cm="1">
        <f t="array" ref="D962">IFERROR(_xlfn.LET(
_xlpm.CSVVal,_xlfn.XLOOKUP($A962,CSV!$A:$A,CSV!D:D,""),
_xlpm.MacVal,_xlfn.XLOOKUP($A962,Output_Mac!$A:$A,Output_Mac!C:C,""),
_xlpm.MyAuditVal,_xlfn.XLOOKUP($A962,My_Audit!$A:$A,My_Audit!C:C,""),
_xlfn.IFS(_xlpm.MyAuditVal&lt;&gt;"",_xlpm.MyAuditVal,_xlpm.MacVal&lt;&gt;"",_xlpm.MacVal,_xlpm.CSVVal&lt;&gt;"",_xlpm.CSVVal
)),"")</f>
        <v/>
      </c>
      <c r="E962" s="40" t="str">
        <f>_xlfn.XLOOKUP(A962,My_Audit!A:A,My_Audit!D:D,"")</f>
        <v/>
      </c>
      <c r="F962" s="40" t="str" cm="1">
        <f t="array" ref="F962">IFERROR(_xlfn.LET(
_xlpm.CSVVal,_xlfn.XLOOKUP($A962,CSV!$A:$A,CSV!F:F,""),
_xlpm.MacVal,_xlfn.XLOOKUP($A962,Output_Mac!$A:$A,Output_Mac!E:E,""),
_xlpm.MyAuditVal,_xlfn.XLOOKUP($A962,My_Audit!$A:$A,My_Audit!E:E,""),
_xlfn.IFS(_xlpm.MyAuditVal&lt;&gt;"",_xlpm.MyAuditVal,_xlpm.MacVal&lt;&gt;"",_xlpm.MacVal,_xlpm.CSVVal&lt;&gt;"",_xlpm.CSVVal
)),"")</f>
        <v/>
      </c>
      <c r="G962" s="40" t="str" cm="1">
        <f t="array" ref="G962">IFERROR(_xlfn.LET(
_xlpm.CSVVal,_xlfn.XLOOKUP($A962,CSV!$A:$A,CSV!G:G,""),
_xlpm.MacVal,_xlfn.XLOOKUP($A962,Output_Mac!$A:$A,Output_Mac!F:F,""),
_xlpm.MyAuditVal,_xlfn.XLOOKUP($A962,My_Audit!$A:$A,My_Audit!F:F,""),
_xlfn.IFS(_xlpm.MyAuditVal&lt;&gt;"",_xlpm.MyAuditVal,_xlpm.MacVal&lt;&gt;"",_xlpm.MacVal,_xlpm.CSVVal&lt;&gt;"",PROPER(_xlpm.CSVVal)
)),"")</f>
        <v/>
      </c>
      <c r="H962" s="40" t="str" cm="1">
        <f t="array" ref="H962">IFERROR(_xlfn.LET(
_xlpm.CSVVal,_xlfn.XLOOKUP($A962,CSV!$A:$A,CSV!H:H,""),
_xlpm.MacVal,_xlfn.XLOOKUP($A962,Output_Mac!$A:$A,Output_Mac!H:H,""),
_xlpm.MyAuditVal,_xlfn.XLOOKUP($A962,My_Audit!$A:$A,My_Audit!G:G,""),
_xlfn.IFS(_xlpm.MyAuditVal&lt;&gt;"",_xlpm.MyAuditVal,_xlpm.MacVal&lt;&gt;"",_xlpm.MacVal,_xlpm.CSVVal&lt;&gt;"",_xlpm.CSVVal
)),"")</f>
        <v/>
      </c>
      <c r="I962" s="40" t="str">
        <f>_xlfn.XLOOKUP(A962,Output_Mac!A:A,Output_Mac!I:I,"")</f>
        <v/>
      </c>
      <c r="J962" s="40" t="str" cm="1">
        <f t="array" ref="J962">IFERROR(_xlfn.LET(
_xlpm.CSVVal,_xlfn.XLOOKUP($A962,CSV!$A:$A,CSV!I:I,""),
_xlpm.MacVal,_xlfn.XLOOKUP($A962,Output_Mac!$A:$A,Output_Mac!J:J,""),
_xlpm.MyAuditVal,_xlfn.XLOOKUP($A962,My_Audit!$A:$A,My_Audit!I:I,""),
_xlfn.IFS(_xlpm.MyAuditVal&lt;&gt;"",UPPER(_xlpm.MyAuditVal),_xlpm.MacVal&lt;&gt;"",_xlpm.MacVal,_xlpm.CSVVal&lt;&gt;"",_xlpm.CSVVal
)),"")</f>
        <v/>
      </c>
      <c r="K962" s="40" t="str" cm="1">
        <f t="array" ref="K962">IFERROR(_xlfn.LET(
_xlpm.CSVVal,_xlfn.XLOOKUP($A962,CSV!$A:$A,CSV!K:K,""),
_xlpm.MacVal,_xlfn.XLOOKUP($A962,Output_Mac!$A:$A,Output_Mac!K:K,""),
_xlpm.MyAuditVal,_xlfn.XLOOKUP($A962,My_Audit!$A:$A,My_Audit!J:J,""),
_xlfn.IFS(_xlpm.MyAuditVal&lt;&gt;"",UPPER(_xlpm.MyAuditVal),_xlpm.MacVal&lt;&gt;"",_xlpm.MacVal,_xlpm.CSVVal&lt;&gt;"",_xlpm.CSVVal
)),"")</f>
        <v/>
      </c>
      <c r="L962" s="40" t="str" cm="1">
        <f t="array" ref="L962">IFERROR(_xlfn.LET(
_xlpm.CSVVal,_xlfn.XLOOKUP($A962,CSV!$A:$A,CSV!P:P,""),
_xlpm.MacVal,_xlfn.XLOOKUP($A962,Output_Mac!$A:$A,Output_Mac!L:L,""),
_xlpm.MyAuditVal,_xlfn.XLOOKUP($A962,My_Audit!$A:$A,My_Audit!K:K,""),
_xlfn.IFS(_xlpm.MyAuditVal&lt;&gt;"",UPPER(_xlpm.MyAuditVal),_xlpm.MacVal&lt;&gt;"",_xlpm.MacVal,_xlpm.CSVVal&lt;&gt;"",_xlpm.CSVVal
)),"")</f>
        <v/>
      </c>
      <c r="M962" s="40" t="str" cm="1">
        <f t="array" ref="M962">IFERROR(_xlfn.LET(
_xlpm.CSVVal,_xlfn.XLOOKUP($A962,CSV!$A:$A,CSV!Q:Q,""),
_xlpm.MacVal,_xlfn.XLOOKUP($A962,Output_Mac!$A:$A,Output_Mac!M:M,""),
_xlpm.MyAuditVal,_xlfn.XLOOKUP($A962,My_Audit!$A:$A,My_Audit!L:L,""),
_xlfn.IFS(_xlpm.MyAuditVal&lt;&gt;"",UPPER(_xlpm.MyAuditVal),_xlpm.MacVal&lt;&gt;"",_xlpm.MacVal,_xlpm.CSVVal&lt;&gt;"",_xlpm.CSVVal
)),"")</f>
        <v/>
      </c>
      <c r="N962" s="40"/>
      <c r="O962" s="40" t="str">
        <f>_xlfn.LET(
    _xlpm.CSVVal, _xlfn.XLOOKUP($A962, CSV!$A:$A, CSV!AA:AA, ""),
    _xlpm.MacVal, _xlfn.XLOOKUP($A962, Output_Mac!$A:$A, Output_Mac!S:S, ""),
    _xlpm.MyAuditVal, _xlfn.XLOOKUP($A962, My_Audit!$A:$A, My_Audit!P:P, ""),
    _xlfn.TEXTJOIN(", ", TRUE, _xlpm.MyAuditVal, _xlpm.MacVal, _xlpm.CSVVal)
)</f>
        <v/>
      </c>
      <c r="P962" s="40" t="str" cm="1">
        <f t="array" ref="P962">IFERROR(_xlfn.LET(
_xlpm.CSVVal,_xlfn.XLOOKUP($A962,CSV!$A:$A,CSV!AB:AB,""),
_xlpm.MacVal,_xlfn.XLOOKUP($A962,Output_Mac!$A:$A,Output_Mac!T:T,""),
_xlpm.MyAuditVal,_xlfn.XLOOKUP($A962,My_Audit!$A:$A,My_Audit!Q:Q,""),
_xlfn.IFS(_xlpm.MyAuditVal&lt;&gt;"",UPPER(_xlpm.MyAuditVal),_xlpm.MacVal&lt;&gt;"",_xlpm.MacVal,_xlpm.CSVVal&lt;&gt;"",_xlpm.CSVVal
)),"No")</f>
        <v>No</v>
      </c>
      <c r="Q962" s="40" t="str" cm="1">
        <f t="array" ref="Q962">IFERROR(_xlfn.LET(
_xlpm.CSVVal,_xlfn.XLOOKUP($A962,CSV!$A:$A,CSV!AC:AC,""),
_xlpm.MacVal,_xlfn.XLOOKUP($A962,Output_Mac!$A:$A,Output_Mac!U:U,""),
_xlpm.MyAuditVal,_xlfn.XLOOKUP($A962,My_Audit!$A:$A,My_Audit!R:R,""),
_xlfn.IFS(_xlpm.MyAuditVal&lt;&gt;"",UPPER(_xlpm.MyAuditVal),_xlpm.MacVal&lt;&gt;"",_xlpm.MacVal,_xlpm.CSVVal&lt;&gt;"",_xlpm.CSVVal
)),"")</f>
        <v/>
      </c>
      <c r="R962" s="40"/>
      <c r="S962" s="40"/>
      <c r="T962" s="40"/>
      <c r="U962" s="40"/>
      <c r="V962" s="40"/>
      <c r="W962" s="40"/>
      <c r="X962" s="41" t="str">
        <f>_xlfn.LET(
    _xlpm.MacVal, _xlfn.XLOOKUP($A962, Output_Mac!$A:$A, Output_Mac!AB:AB, ""),
    _xlpm.MyAuditVal, _xlfn.XLOOKUP($A962, My_Audit!$A:$A, My_Audit!N:N, ""),
    _xlfn.TEXTJOIN(", ", TRUE, _xlpm.MyAuditVal, _xlpm.MacVal)
)</f>
        <v/>
      </c>
    </row>
    <row r="963" spans="1:24">
      <c r="A963" s="40" t="str">
        <f>_xlfn.TEXTJOIN("",TRUE,Input!$B$2,ROW(My_Audit!A962))</f>
        <v>X962</v>
      </c>
      <c r="B963" s="40" t="str">
        <f>_xlfn.TEXTJOIN("-",TRUE,"ITD",Input!$A$2,A963)</f>
        <v>ITD-X962</v>
      </c>
      <c r="C963" s="40" t="str" cm="1">
        <f t="array" ref="C963">IFERROR(_xlfn.LET(
_xlpm.CSVVal,_xlfn.XLOOKUP($A963,CSV!$A:$A,CSV!B:B,""),
_xlpm.MacVal,_xlfn.XLOOKUP($A963,Output_Mac!$A:$A,Output_Mac!B:B,""),
_xlpm.MyAuditVal,_xlfn.XLOOKUP($A963,My_Audit!$A:$A,My_Audit!B:B,""),
_xlfn.IFS(_xlpm.MyAuditVal&lt;&gt;"",UPPER(_xlpm.MyAuditVal),_xlpm.MacVal&lt;&gt;"",_xlpm.MacVal,_xlpm.CSVVal&lt;&gt;"",_xlpm.CSVVal
)),"")</f>
        <v/>
      </c>
      <c r="D963" s="40" t="str" cm="1">
        <f t="array" ref="D963">IFERROR(_xlfn.LET(
_xlpm.CSVVal,_xlfn.XLOOKUP($A963,CSV!$A:$A,CSV!D:D,""),
_xlpm.MacVal,_xlfn.XLOOKUP($A963,Output_Mac!$A:$A,Output_Mac!C:C,""),
_xlpm.MyAuditVal,_xlfn.XLOOKUP($A963,My_Audit!$A:$A,My_Audit!C:C,""),
_xlfn.IFS(_xlpm.MyAuditVal&lt;&gt;"",_xlpm.MyAuditVal,_xlpm.MacVal&lt;&gt;"",_xlpm.MacVal,_xlpm.CSVVal&lt;&gt;"",_xlpm.CSVVal
)),"")</f>
        <v/>
      </c>
      <c r="E963" s="40" t="str">
        <f>_xlfn.XLOOKUP(A963,My_Audit!A:A,My_Audit!D:D,"")</f>
        <v/>
      </c>
      <c r="F963" s="40" t="str" cm="1">
        <f t="array" ref="F963">IFERROR(_xlfn.LET(
_xlpm.CSVVal,_xlfn.XLOOKUP($A963,CSV!$A:$A,CSV!F:F,""),
_xlpm.MacVal,_xlfn.XLOOKUP($A963,Output_Mac!$A:$A,Output_Mac!E:E,""),
_xlpm.MyAuditVal,_xlfn.XLOOKUP($A963,My_Audit!$A:$A,My_Audit!E:E,""),
_xlfn.IFS(_xlpm.MyAuditVal&lt;&gt;"",_xlpm.MyAuditVal,_xlpm.MacVal&lt;&gt;"",_xlpm.MacVal,_xlpm.CSVVal&lt;&gt;"",_xlpm.CSVVal
)),"")</f>
        <v/>
      </c>
      <c r="G963" s="40" t="str" cm="1">
        <f t="array" ref="G963">IFERROR(_xlfn.LET(
_xlpm.CSVVal,_xlfn.XLOOKUP($A963,CSV!$A:$A,CSV!G:G,""),
_xlpm.MacVal,_xlfn.XLOOKUP($A963,Output_Mac!$A:$A,Output_Mac!F:F,""),
_xlpm.MyAuditVal,_xlfn.XLOOKUP($A963,My_Audit!$A:$A,My_Audit!F:F,""),
_xlfn.IFS(_xlpm.MyAuditVal&lt;&gt;"",_xlpm.MyAuditVal,_xlpm.MacVal&lt;&gt;"",_xlpm.MacVal,_xlpm.CSVVal&lt;&gt;"",PROPER(_xlpm.CSVVal)
)),"")</f>
        <v/>
      </c>
      <c r="H963" s="40" t="str" cm="1">
        <f t="array" ref="H963">IFERROR(_xlfn.LET(
_xlpm.CSVVal,_xlfn.XLOOKUP($A963,CSV!$A:$A,CSV!H:H,""),
_xlpm.MacVal,_xlfn.XLOOKUP($A963,Output_Mac!$A:$A,Output_Mac!H:H,""),
_xlpm.MyAuditVal,_xlfn.XLOOKUP($A963,My_Audit!$A:$A,My_Audit!G:G,""),
_xlfn.IFS(_xlpm.MyAuditVal&lt;&gt;"",_xlpm.MyAuditVal,_xlpm.MacVal&lt;&gt;"",_xlpm.MacVal,_xlpm.CSVVal&lt;&gt;"",_xlpm.CSVVal
)),"")</f>
        <v/>
      </c>
      <c r="I963" s="40" t="str">
        <f>_xlfn.XLOOKUP(A963,Output_Mac!A:A,Output_Mac!I:I,"")</f>
        <v/>
      </c>
      <c r="J963" s="40" t="str" cm="1">
        <f t="array" ref="J963">IFERROR(_xlfn.LET(
_xlpm.CSVVal,_xlfn.XLOOKUP($A963,CSV!$A:$A,CSV!I:I,""),
_xlpm.MacVal,_xlfn.XLOOKUP($A963,Output_Mac!$A:$A,Output_Mac!J:J,""),
_xlpm.MyAuditVal,_xlfn.XLOOKUP($A963,My_Audit!$A:$A,My_Audit!I:I,""),
_xlfn.IFS(_xlpm.MyAuditVal&lt;&gt;"",UPPER(_xlpm.MyAuditVal),_xlpm.MacVal&lt;&gt;"",_xlpm.MacVal,_xlpm.CSVVal&lt;&gt;"",_xlpm.CSVVal
)),"")</f>
        <v/>
      </c>
      <c r="K963" s="40" t="str" cm="1">
        <f t="array" ref="K963">IFERROR(_xlfn.LET(
_xlpm.CSVVal,_xlfn.XLOOKUP($A963,CSV!$A:$A,CSV!K:K,""),
_xlpm.MacVal,_xlfn.XLOOKUP($A963,Output_Mac!$A:$A,Output_Mac!K:K,""),
_xlpm.MyAuditVal,_xlfn.XLOOKUP($A963,My_Audit!$A:$A,My_Audit!J:J,""),
_xlfn.IFS(_xlpm.MyAuditVal&lt;&gt;"",UPPER(_xlpm.MyAuditVal),_xlpm.MacVal&lt;&gt;"",_xlpm.MacVal,_xlpm.CSVVal&lt;&gt;"",_xlpm.CSVVal
)),"")</f>
        <v/>
      </c>
      <c r="L963" s="40" t="str" cm="1">
        <f t="array" ref="L963">IFERROR(_xlfn.LET(
_xlpm.CSVVal,_xlfn.XLOOKUP($A963,CSV!$A:$A,CSV!P:P,""),
_xlpm.MacVal,_xlfn.XLOOKUP($A963,Output_Mac!$A:$A,Output_Mac!L:L,""),
_xlpm.MyAuditVal,_xlfn.XLOOKUP($A963,My_Audit!$A:$A,My_Audit!K:K,""),
_xlfn.IFS(_xlpm.MyAuditVal&lt;&gt;"",UPPER(_xlpm.MyAuditVal),_xlpm.MacVal&lt;&gt;"",_xlpm.MacVal,_xlpm.CSVVal&lt;&gt;"",_xlpm.CSVVal
)),"")</f>
        <v/>
      </c>
      <c r="M963" s="40" t="str" cm="1">
        <f t="array" ref="M963">IFERROR(_xlfn.LET(
_xlpm.CSVVal,_xlfn.XLOOKUP($A963,CSV!$A:$A,CSV!Q:Q,""),
_xlpm.MacVal,_xlfn.XLOOKUP($A963,Output_Mac!$A:$A,Output_Mac!M:M,""),
_xlpm.MyAuditVal,_xlfn.XLOOKUP($A963,My_Audit!$A:$A,My_Audit!L:L,""),
_xlfn.IFS(_xlpm.MyAuditVal&lt;&gt;"",UPPER(_xlpm.MyAuditVal),_xlpm.MacVal&lt;&gt;"",_xlpm.MacVal,_xlpm.CSVVal&lt;&gt;"",_xlpm.CSVVal
)),"")</f>
        <v/>
      </c>
      <c r="N963" s="40"/>
      <c r="O963" s="40" t="str">
        <f>_xlfn.LET(
    _xlpm.CSVVal, _xlfn.XLOOKUP($A963, CSV!$A:$A, CSV!AA:AA, ""),
    _xlpm.MacVal, _xlfn.XLOOKUP($A963, Output_Mac!$A:$A, Output_Mac!S:S, ""),
    _xlpm.MyAuditVal, _xlfn.XLOOKUP($A963, My_Audit!$A:$A, My_Audit!P:P, ""),
    _xlfn.TEXTJOIN(", ", TRUE, _xlpm.MyAuditVal, _xlpm.MacVal, _xlpm.CSVVal)
)</f>
        <v/>
      </c>
      <c r="P963" s="40" t="str" cm="1">
        <f t="array" ref="P963">IFERROR(_xlfn.LET(
_xlpm.CSVVal,_xlfn.XLOOKUP($A963,CSV!$A:$A,CSV!AB:AB,""),
_xlpm.MacVal,_xlfn.XLOOKUP($A963,Output_Mac!$A:$A,Output_Mac!T:T,""),
_xlpm.MyAuditVal,_xlfn.XLOOKUP($A963,My_Audit!$A:$A,My_Audit!Q:Q,""),
_xlfn.IFS(_xlpm.MyAuditVal&lt;&gt;"",UPPER(_xlpm.MyAuditVal),_xlpm.MacVal&lt;&gt;"",_xlpm.MacVal,_xlpm.CSVVal&lt;&gt;"",_xlpm.CSVVal
)),"No")</f>
        <v>No</v>
      </c>
      <c r="Q963" s="40" t="str" cm="1">
        <f t="array" ref="Q963">IFERROR(_xlfn.LET(
_xlpm.CSVVal,_xlfn.XLOOKUP($A963,CSV!$A:$A,CSV!AC:AC,""),
_xlpm.MacVal,_xlfn.XLOOKUP($A963,Output_Mac!$A:$A,Output_Mac!U:U,""),
_xlpm.MyAuditVal,_xlfn.XLOOKUP($A963,My_Audit!$A:$A,My_Audit!R:R,""),
_xlfn.IFS(_xlpm.MyAuditVal&lt;&gt;"",UPPER(_xlpm.MyAuditVal),_xlpm.MacVal&lt;&gt;"",_xlpm.MacVal,_xlpm.CSVVal&lt;&gt;"",_xlpm.CSVVal
)),"")</f>
        <v/>
      </c>
      <c r="R963" s="40"/>
      <c r="S963" s="40"/>
      <c r="T963" s="40"/>
      <c r="U963" s="40"/>
      <c r="V963" s="40"/>
      <c r="W963" s="40"/>
      <c r="X963" s="41" t="str">
        <f>_xlfn.LET(
    _xlpm.MacVal, _xlfn.XLOOKUP($A963, Output_Mac!$A:$A, Output_Mac!AB:AB, ""),
    _xlpm.MyAuditVal, _xlfn.XLOOKUP($A963, My_Audit!$A:$A, My_Audit!N:N, ""),
    _xlfn.TEXTJOIN(", ", TRUE, _xlpm.MyAuditVal, _xlpm.MacVal)
)</f>
        <v/>
      </c>
    </row>
    <row r="964" spans="1:24">
      <c r="A964" s="40" t="str">
        <f>_xlfn.TEXTJOIN("",TRUE,Input!$B$2,ROW(My_Audit!A963))</f>
        <v>X963</v>
      </c>
      <c r="B964" s="40" t="str">
        <f>_xlfn.TEXTJOIN("-",TRUE,"ITD",Input!$A$2,A964)</f>
        <v>ITD-X963</v>
      </c>
      <c r="C964" s="40" t="str" cm="1">
        <f t="array" ref="C964">IFERROR(_xlfn.LET(
_xlpm.CSVVal,_xlfn.XLOOKUP($A964,CSV!$A:$A,CSV!B:B,""),
_xlpm.MacVal,_xlfn.XLOOKUP($A964,Output_Mac!$A:$A,Output_Mac!B:B,""),
_xlpm.MyAuditVal,_xlfn.XLOOKUP($A964,My_Audit!$A:$A,My_Audit!B:B,""),
_xlfn.IFS(_xlpm.MyAuditVal&lt;&gt;"",UPPER(_xlpm.MyAuditVal),_xlpm.MacVal&lt;&gt;"",_xlpm.MacVal,_xlpm.CSVVal&lt;&gt;"",_xlpm.CSVVal
)),"")</f>
        <v/>
      </c>
      <c r="D964" s="40" t="str" cm="1">
        <f t="array" ref="D964">IFERROR(_xlfn.LET(
_xlpm.CSVVal,_xlfn.XLOOKUP($A964,CSV!$A:$A,CSV!D:D,""),
_xlpm.MacVal,_xlfn.XLOOKUP($A964,Output_Mac!$A:$A,Output_Mac!C:C,""),
_xlpm.MyAuditVal,_xlfn.XLOOKUP($A964,My_Audit!$A:$A,My_Audit!C:C,""),
_xlfn.IFS(_xlpm.MyAuditVal&lt;&gt;"",_xlpm.MyAuditVal,_xlpm.MacVal&lt;&gt;"",_xlpm.MacVal,_xlpm.CSVVal&lt;&gt;"",_xlpm.CSVVal
)),"")</f>
        <v/>
      </c>
      <c r="E964" s="40" t="str">
        <f>_xlfn.XLOOKUP(A964,My_Audit!A:A,My_Audit!D:D,"")</f>
        <v/>
      </c>
      <c r="F964" s="40" t="str" cm="1">
        <f t="array" ref="F964">IFERROR(_xlfn.LET(
_xlpm.CSVVal,_xlfn.XLOOKUP($A964,CSV!$A:$A,CSV!F:F,""),
_xlpm.MacVal,_xlfn.XLOOKUP($A964,Output_Mac!$A:$A,Output_Mac!E:E,""),
_xlpm.MyAuditVal,_xlfn.XLOOKUP($A964,My_Audit!$A:$A,My_Audit!E:E,""),
_xlfn.IFS(_xlpm.MyAuditVal&lt;&gt;"",_xlpm.MyAuditVal,_xlpm.MacVal&lt;&gt;"",_xlpm.MacVal,_xlpm.CSVVal&lt;&gt;"",_xlpm.CSVVal
)),"")</f>
        <v/>
      </c>
      <c r="G964" s="40" t="str" cm="1">
        <f t="array" ref="G964">IFERROR(_xlfn.LET(
_xlpm.CSVVal,_xlfn.XLOOKUP($A964,CSV!$A:$A,CSV!G:G,""),
_xlpm.MacVal,_xlfn.XLOOKUP($A964,Output_Mac!$A:$A,Output_Mac!F:F,""),
_xlpm.MyAuditVal,_xlfn.XLOOKUP($A964,My_Audit!$A:$A,My_Audit!F:F,""),
_xlfn.IFS(_xlpm.MyAuditVal&lt;&gt;"",_xlpm.MyAuditVal,_xlpm.MacVal&lt;&gt;"",_xlpm.MacVal,_xlpm.CSVVal&lt;&gt;"",PROPER(_xlpm.CSVVal)
)),"")</f>
        <v/>
      </c>
      <c r="H964" s="40" t="str" cm="1">
        <f t="array" ref="H964">IFERROR(_xlfn.LET(
_xlpm.CSVVal,_xlfn.XLOOKUP($A964,CSV!$A:$A,CSV!H:H,""),
_xlpm.MacVal,_xlfn.XLOOKUP($A964,Output_Mac!$A:$A,Output_Mac!H:H,""),
_xlpm.MyAuditVal,_xlfn.XLOOKUP($A964,My_Audit!$A:$A,My_Audit!G:G,""),
_xlfn.IFS(_xlpm.MyAuditVal&lt;&gt;"",_xlpm.MyAuditVal,_xlpm.MacVal&lt;&gt;"",_xlpm.MacVal,_xlpm.CSVVal&lt;&gt;"",_xlpm.CSVVal
)),"")</f>
        <v/>
      </c>
      <c r="I964" s="40" t="str">
        <f>_xlfn.XLOOKUP(A964,Output_Mac!A:A,Output_Mac!I:I,"")</f>
        <v/>
      </c>
      <c r="J964" s="40" t="str" cm="1">
        <f t="array" ref="J964">IFERROR(_xlfn.LET(
_xlpm.CSVVal,_xlfn.XLOOKUP($A964,CSV!$A:$A,CSV!I:I,""),
_xlpm.MacVal,_xlfn.XLOOKUP($A964,Output_Mac!$A:$A,Output_Mac!J:J,""),
_xlpm.MyAuditVal,_xlfn.XLOOKUP($A964,My_Audit!$A:$A,My_Audit!I:I,""),
_xlfn.IFS(_xlpm.MyAuditVal&lt;&gt;"",UPPER(_xlpm.MyAuditVal),_xlpm.MacVal&lt;&gt;"",_xlpm.MacVal,_xlpm.CSVVal&lt;&gt;"",_xlpm.CSVVal
)),"")</f>
        <v/>
      </c>
      <c r="K964" s="40" t="str" cm="1">
        <f t="array" ref="K964">IFERROR(_xlfn.LET(
_xlpm.CSVVal,_xlfn.XLOOKUP($A964,CSV!$A:$A,CSV!K:K,""),
_xlpm.MacVal,_xlfn.XLOOKUP($A964,Output_Mac!$A:$A,Output_Mac!K:K,""),
_xlpm.MyAuditVal,_xlfn.XLOOKUP($A964,My_Audit!$A:$A,My_Audit!J:J,""),
_xlfn.IFS(_xlpm.MyAuditVal&lt;&gt;"",UPPER(_xlpm.MyAuditVal),_xlpm.MacVal&lt;&gt;"",_xlpm.MacVal,_xlpm.CSVVal&lt;&gt;"",_xlpm.CSVVal
)),"")</f>
        <v/>
      </c>
      <c r="L964" s="40" t="str" cm="1">
        <f t="array" ref="L964">IFERROR(_xlfn.LET(
_xlpm.CSVVal,_xlfn.XLOOKUP($A964,CSV!$A:$A,CSV!P:P,""),
_xlpm.MacVal,_xlfn.XLOOKUP($A964,Output_Mac!$A:$A,Output_Mac!L:L,""),
_xlpm.MyAuditVal,_xlfn.XLOOKUP($A964,My_Audit!$A:$A,My_Audit!K:K,""),
_xlfn.IFS(_xlpm.MyAuditVal&lt;&gt;"",UPPER(_xlpm.MyAuditVal),_xlpm.MacVal&lt;&gt;"",_xlpm.MacVal,_xlpm.CSVVal&lt;&gt;"",_xlpm.CSVVal
)),"")</f>
        <v/>
      </c>
      <c r="M964" s="40" t="str" cm="1">
        <f t="array" ref="M964">IFERROR(_xlfn.LET(
_xlpm.CSVVal,_xlfn.XLOOKUP($A964,CSV!$A:$A,CSV!Q:Q,""),
_xlpm.MacVal,_xlfn.XLOOKUP($A964,Output_Mac!$A:$A,Output_Mac!M:M,""),
_xlpm.MyAuditVal,_xlfn.XLOOKUP($A964,My_Audit!$A:$A,My_Audit!L:L,""),
_xlfn.IFS(_xlpm.MyAuditVal&lt;&gt;"",UPPER(_xlpm.MyAuditVal),_xlpm.MacVal&lt;&gt;"",_xlpm.MacVal,_xlpm.CSVVal&lt;&gt;"",_xlpm.CSVVal
)),"")</f>
        <v/>
      </c>
      <c r="N964" s="40"/>
      <c r="O964" s="40" t="str">
        <f>_xlfn.LET(
    _xlpm.CSVVal, _xlfn.XLOOKUP($A964, CSV!$A:$A, CSV!AA:AA, ""),
    _xlpm.MacVal, _xlfn.XLOOKUP($A964, Output_Mac!$A:$A, Output_Mac!S:S, ""),
    _xlpm.MyAuditVal, _xlfn.XLOOKUP($A964, My_Audit!$A:$A, My_Audit!P:P, ""),
    _xlfn.TEXTJOIN(", ", TRUE, _xlpm.MyAuditVal, _xlpm.MacVal, _xlpm.CSVVal)
)</f>
        <v/>
      </c>
      <c r="P964" s="40" t="str" cm="1">
        <f t="array" ref="P964">IFERROR(_xlfn.LET(
_xlpm.CSVVal,_xlfn.XLOOKUP($A964,CSV!$A:$A,CSV!AB:AB,""),
_xlpm.MacVal,_xlfn.XLOOKUP($A964,Output_Mac!$A:$A,Output_Mac!T:T,""),
_xlpm.MyAuditVal,_xlfn.XLOOKUP($A964,My_Audit!$A:$A,My_Audit!Q:Q,""),
_xlfn.IFS(_xlpm.MyAuditVal&lt;&gt;"",UPPER(_xlpm.MyAuditVal),_xlpm.MacVal&lt;&gt;"",_xlpm.MacVal,_xlpm.CSVVal&lt;&gt;"",_xlpm.CSVVal
)),"No")</f>
        <v>No</v>
      </c>
      <c r="Q964" s="40" t="str" cm="1">
        <f t="array" ref="Q964">IFERROR(_xlfn.LET(
_xlpm.CSVVal,_xlfn.XLOOKUP($A964,CSV!$A:$A,CSV!AC:AC,""),
_xlpm.MacVal,_xlfn.XLOOKUP($A964,Output_Mac!$A:$A,Output_Mac!U:U,""),
_xlpm.MyAuditVal,_xlfn.XLOOKUP($A964,My_Audit!$A:$A,My_Audit!R:R,""),
_xlfn.IFS(_xlpm.MyAuditVal&lt;&gt;"",UPPER(_xlpm.MyAuditVal),_xlpm.MacVal&lt;&gt;"",_xlpm.MacVal,_xlpm.CSVVal&lt;&gt;"",_xlpm.CSVVal
)),"")</f>
        <v/>
      </c>
      <c r="R964" s="40"/>
      <c r="S964" s="40"/>
      <c r="T964" s="40"/>
      <c r="U964" s="40"/>
      <c r="V964" s="40"/>
      <c r="W964" s="40"/>
      <c r="X964" s="41" t="str">
        <f>_xlfn.LET(
    _xlpm.MacVal, _xlfn.XLOOKUP($A964, Output_Mac!$A:$A, Output_Mac!AB:AB, ""),
    _xlpm.MyAuditVal, _xlfn.XLOOKUP($A964, My_Audit!$A:$A, My_Audit!N:N, ""),
    _xlfn.TEXTJOIN(", ", TRUE, _xlpm.MyAuditVal, _xlpm.MacVal)
)</f>
        <v/>
      </c>
    </row>
    <row r="965" spans="1:24">
      <c r="A965" s="40" t="str">
        <f>_xlfn.TEXTJOIN("",TRUE,Input!$B$2,ROW(My_Audit!A964))</f>
        <v>X964</v>
      </c>
      <c r="B965" s="40" t="str">
        <f>_xlfn.TEXTJOIN("-",TRUE,"ITD",Input!$A$2,A965)</f>
        <v>ITD-X964</v>
      </c>
      <c r="C965" s="40" t="str" cm="1">
        <f t="array" ref="C965">IFERROR(_xlfn.LET(
_xlpm.CSVVal,_xlfn.XLOOKUP($A965,CSV!$A:$A,CSV!B:B,""),
_xlpm.MacVal,_xlfn.XLOOKUP($A965,Output_Mac!$A:$A,Output_Mac!B:B,""),
_xlpm.MyAuditVal,_xlfn.XLOOKUP($A965,My_Audit!$A:$A,My_Audit!B:B,""),
_xlfn.IFS(_xlpm.MyAuditVal&lt;&gt;"",UPPER(_xlpm.MyAuditVal),_xlpm.MacVal&lt;&gt;"",_xlpm.MacVal,_xlpm.CSVVal&lt;&gt;"",_xlpm.CSVVal
)),"")</f>
        <v/>
      </c>
      <c r="D965" s="40" t="str" cm="1">
        <f t="array" ref="D965">IFERROR(_xlfn.LET(
_xlpm.CSVVal,_xlfn.XLOOKUP($A965,CSV!$A:$A,CSV!D:D,""),
_xlpm.MacVal,_xlfn.XLOOKUP($A965,Output_Mac!$A:$A,Output_Mac!C:C,""),
_xlpm.MyAuditVal,_xlfn.XLOOKUP($A965,My_Audit!$A:$A,My_Audit!C:C,""),
_xlfn.IFS(_xlpm.MyAuditVal&lt;&gt;"",_xlpm.MyAuditVal,_xlpm.MacVal&lt;&gt;"",_xlpm.MacVal,_xlpm.CSVVal&lt;&gt;"",_xlpm.CSVVal
)),"")</f>
        <v/>
      </c>
      <c r="E965" s="40" t="str">
        <f>_xlfn.XLOOKUP(A965,My_Audit!A:A,My_Audit!D:D,"")</f>
        <v/>
      </c>
      <c r="F965" s="40" t="str" cm="1">
        <f t="array" ref="F965">IFERROR(_xlfn.LET(
_xlpm.CSVVal,_xlfn.XLOOKUP($A965,CSV!$A:$A,CSV!F:F,""),
_xlpm.MacVal,_xlfn.XLOOKUP($A965,Output_Mac!$A:$A,Output_Mac!E:E,""),
_xlpm.MyAuditVal,_xlfn.XLOOKUP($A965,My_Audit!$A:$A,My_Audit!E:E,""),
_xlfn.IFS(_xlpm.MyAuditVal&lt;&gt;"",_xlpm.MyAuditVal,_xlpm.MacVal&lt;&gt;"",_xlpm.MacVal,_xlpm.CSVVal&lt;&gt;"",_xlpm.CSVVal
)),"")</f>
        <v/>
      </c>
      <c r="G965" s="40" t="str" cm="1">
        <f t="array" ref="G965">IFERROR(_xlfn.LET(
_xlpm.CSVVal,_xlfn.XLOOKUP($A965,CSV!$A:$A,CSV!G:G,""),
_xlpm.MacVal,_xlfn.XLOOKUP($A965,Output_Mac!$A:$A,Output_Mac!F:F,""),
_xlpm.MyAuditVal,_xlfn.XLOOKUP($A965,My_Audit!$A:$A,My_Audit!F:F,""),
_xlfn.IFS(_xlpm.MyAuditVal&lt;&gt;"",_xlpm.MyAuditVal,_xlpm.MacVal&lt;&gt;"",_xlpm.MacVal,_xlpm.CSVVal&lt;&gt;"",PROPER(_xlpm.CSVVal)
)),"")</f>
        <v/>
      </c>
      <c r="H965" s="40" t="str" cm="1">
        <f t="array" ref="H965">IFERROR(_xlfn.LET(
_xlpm.CSVVal,_xlfn.XLOOKUP($A965,CSV!$A:$A,CSV!H:H,""),
_xlpm.MacVal,_xlfn.XLOOKUP($A965,Output_Mac!$A:$A,Output_Mac!H:H,""),
_xlpm.MyAuditVal,_xlfn.XLOOKUP($A965,My_Audit!$A:$A,My_Audit!G:G,""),
_xlfn.IFS(_xlpm.MyAuditVal&lt;&gt;"",_xlpm.MyAuditVal,_xlpm.MacVal&lt;&gt;"",_xlpm.MacVal,_xlpm.CSVVal&lt;&gt;"",_xlpm.CSVVal
)),"")</f>
        <v/>
      </c>
      <c r="I965" s="40" t="str">
        <f>_xlfn.XLOOKUP(A965,Output_Mac!A:A,Output_Mac!I:I,"")</f>
        <v/>
      </c>
      <c r="J965" s="40" t="str" cm="1">
        <f t="array" ref="J965">IFERROR(_xlfn.LET(
_xlpm.CSVVal,_xlfn.XLOOKUP($A965,CSV!$A:$A,CSV!I:I,""),
_xlpm.MacVal,_xlfn.XLOOKUP($A965,Output_Mac!$A:$A,Output_Mac!J:J,""),
_xlpm.MyAuditVal,_xlfn.XLOOKUP($A965,My_Audit!$A:$A,My_Audit!I:I,""),
_xlfn.IFS(_xlpm.MyAuditVal&lt;&gt;"",UPPER(_xlpm.MyAuditVal),_xlpm.MacVal&lt;&gt;"",_xlpm.MacVal,_xlpm.CSVVal&lt;&gt;"",_xlpm.CSVVal
)),"")</f>
        <v/>
      </c>
      <c r="K965" s="40" t="str" cm="1">
        <f t="array" ref="K965">IFERROR(_xlfn.LET(
_xlpm.CSVVal,_xlfn.XLOOKUP($A965,CSV!$A:$A,CSV!K:K,""),
_xlpm.MacVal,_xlfn.XLOOKUP($A965,Output_Mac!$A:$A,Output_Mac!K:K,""),
_xlpm.MyAuditVal,_xlfn.XLOOKUP($A965,My_Audit!$A:$A,My_Audit!J:J,""),
_xlfn.IFS(_xlpm.MyAuditVal&lt;&gt;"",UPPER(_xlpm.MyAuditVal),_xlpm.MacVal&lt;&gt;"",_xlpm.MacVal,_xlpm.CSVVal&lt;&gt;"",_xlpm.CSVVal
)),"")</f>
        <v/>
      </c>
      <c r="L965" s="40" t="str" cm="1">
        <f t="array" ref="L965">IFERROR(_xlfn.LET(
_xlpm.CSVVal,_xlfn.XLOOKUP($A965,CSV!$A:$A,CSV!P:P,""),
_xlpm.MacVal,_xlfn.XLOOKUP($A965,Output_Mac!$A:$A,Output_Mac!L:L,""),
_xlpm.MyAuditVal,_xlfn.XLOOKUP($A965,My_Audit!$A:$A,My_Audit!K:K,""),
_xlfn.IFS(_xlpm.MyAuditVal&lt;&gt;"",UPPER(_xlpm.MyAuditVal),_xlpm.MacVal&lt;&gt;"",_xlpm.MacVal,_xlpm.CSVVal&lt;&gt;"",_xlpm.CSVVal
)),"")</f>
        <v/>
      </c>
      <c r="M965" s="40" t="str" cm="1">
        <f t="array" ref="M965">IFERROR(_xlfn.LET(
_xlpm.CSVVal,_xlfn.XLOOKUP($A965,CSV!$A:$A,CSV!Q:Q,""),
_xlpm.MacVal,_xlfn.XLOOKUP($A965,Output_Mac!$A:$A,Output_Mac!M:M,""),
_xlpm.MyAuditVal,_xlfn.XLOOKUP($A965,My_Audit!$A:$A,My_Audit!L:L,""),
_xlfn.IFS(_xlpm.MyAuditVal&lt;&gt;"",UPPER(_xlpm.MyAuditVal),_xlpm.MacVal&lt;&gt;"",_xlpm.MacVal,_xlpm.CSVVal&lt;&gt;"",_xlpm.CSVVal
)),"")</f>
        <v/>
      </c>
      <c r="N965" s="40"/>
      <c r="O965" s="40" t="str">
        <f>_xlfn.LET(
    _xlpm.CSVVal, _xlfn.XLOOKUP($A965, CSV!$A:$A, CSV!AA:AA, ""),
    _xlpm.MacVal, _xlfn.XLOOKUP($A965, Output_Mac!$A:$A, Output_Mac!S:S, ""),
    _xlpm.MyAuditVal, _xlfn.XLOOKUP($A965, My_Audit!$A:$A, My_Audit!P:P, ""),
    _xlfn.TEXTJOIN(", ", TRUE, _xlpm.MyAuditVal, _xlpm.MacVal, _xlpm.CSVVal)
)</f>
        <v/>
      </c>
      <c r="P965" s="40" t="str" cm="1">
        <f t="array" ref="P965">IFERROR(_xlfn.LET(
_xlpm.CSVVal,_xlfn.XLOOKUP($A965,CSV!$A:$A,CSV!AB:AB,""),
_xlpm.MacVal,_xlfn.XLOOKUP($A965,Output_Mac!$A:$A,Output_Mac!T:T,""),
_xlpm.MyAuditVal,_xlfn.XLOOKUP($A965,My_Audit!$A:$A,My_Audit!Q:Q,""),
_xlfn.IFS(_xlpm.MyAuditVal&lt;&gt;"",UPPER(_xlpm.MyAuditVal),_xlpm.MacVal&lt;&gt;"",_xlpm.MacVal,_xlpm.CSVVal&lt;&gt;"",_xlpm.CSVVal
)),"No")</f>
        <v>No</v>
      </c>
      <c r="Q965" s="40" t="str" cm="1">
        <f t="array" ref="Q965">IFERROR(_xlfn.LET(
_xlpm.CSVVal,_xlfn.XLOOKUP($A965,CSV!$A:$A,CSV!AC:AC,""),
_xlpm.MacVal,_xlfn.XLOOKUP($A965,Output_Mac!$A:$A,Output_Mac!U:U,""),
_xlpm.MyAuditVal,_xlfn.XLOOKUP($A965,My_Audit!$A:$A,My_Audit!R:R,""),
_xlfn.IFS(_xlpm.MyAuditVal&lt;&gt;"",UPPER(_xlpm.MyAuditVal),_xlpm.MacVal&lt;&gt;"",_xlpm.MacVal,_xlpm.CSVVal&lt;&gt;"",_xlpm.CSVVal
)),"")</f>
        <v/>
      </c>
      <c r="R965" s="40"/>
      <c r="S965" s="40"/>
      <c r="T965" s="40"/>
      <c r="U965" s="40"/>
      <c r="V965" s="40"/>
      <c r="W965" s="40"/>
      <c r="X965" s="41" t="str">
        <f>_xlfn.LET(
    _xlpm.MacVal, _xlfn.XLOOKUP($A965, Output_Mac!$A:$A, Output_Mac!AB:AB, ""),
    _xlpm.MyAuditVal, _xlfn.XLOOKUP($A965, My_Audit!$A:$A, My_Audit!N:N, ""),
    _xlfn.TEXTJOIN(", ", TRUE, _xlpm.MyAuditVal, _xlpm.MacVal)
)</f>
        <v/>
      </c>
    </row>
    <row r="966" spans="1:24">
      <c r="A966" s="40" t="str">
        <f>_xlfn.TEXTJOIN("",TRUE,Input!$B$2,ROW(My_Audit!A965))</f>
        <v>X965</v>
      </c>
      <c r="B966" s="40" t="str">
        <f>_xlfn.TEXTJOIN("-",TRUE,"ITD",Input!$A$2,A966)</f>
        <v>ITD-X965</v>
      </c>
      <c r="C966" s="40" t="str" cm="1">
        <f t="array" ref="C966">IFERROR(_xlfn.LET(
_xlpm.CSVVal,_xlfn.XLOOKUP($A966,CSV!$A:$A,CSV!B:B,""),
_xlpm.MacVal,_xlfn.XLOOKUP($A966,Output_Mac!$A:$A,Output_Mac!B:B,""),
_xlpm.MyAuditVal,_xlfn.XLOOKUP($A966,My_Audit!$A:$A,My_Audit!B:B,""),
_xlfn.IFS(_xlpm.MyAuditVal&lt;&gt;"",UPPER(_xlpm.MyAuditVal),_xlpm.MacVal&lt;&gt;"",_xlpm.MacVal,_xlpm.CSVVal&lt;&gt;"",_xlpm.CSVVal
)),"")</f>
        <v/>
      </c>
      <c r="D966" s="40" t="str" cm="1">
        <f t="array" ref="D966">IFERROR(_xlfn.LET(
_xlpm.CSVVal,_xlfn.XLOOKUP($A966,CSV!$A:$A,CSV!D:D,""),
_xlpm.MacVal,_xlfn.XLOOKUP($A966,Output_Mac!$A:$A,Output_Mac!C:C,""),
_xlpm.MyAuditVal,_xlfn.XLOOKUP($A966,My_Audit!$A:$A,My_Audit!C:C,""),
_xlfn.IFS(_xlpm.MyAuditVal&lt;&gt;"",_xlpm.MyAuditVal,_xlpm.MacVal&lt;&gt;"",_xlpm.MacVal,_xlpm.CSVVal&lt;&gt;"",_xlpm.CSVVal
)),"")</f>
        <v/>
      </c>
      <c r="E966" s="40" t="str">
        <f>_xlfn.XLOOKUP(A966,My_Audit!A:A,My_Audit!D:D,"")</f>
        <v/>
      </c>
      <c r="F966" s="40" t="str" cm="1">
        <f t="array" ref="F966">IFERROR(_xlfn.LET(
_xlpm.CSVVal,_xlfn.XLOOKUP($A966,CSV!$A:$A,CSV!F:F,""),
_xlpm.MacVal,_xlfn.XLOOKUP($A966,Output_Mac!$A:$A,Output_Mac!E:E,""),
_xlpm.MyAuditVal,_xlfn.XLOOKUP($A966,My_Audit!$A:$A,My_Audit!E:E,""),
_xlfn.IFS(_xlpm.MyAuditVal&lt;&gt;"",_xlpm.MyAuditVal,_xlpm.MacVal&lt;&gt;"",_xlpm.MacVal,_xlpm.CSVVal&lt;&gt;"",_xlpm.CSVVal
)),"")</f>
        <v/>
      </c>
      <c r="G966" s="40" t="str" cm="1">
        <f t="array" ref="G966">IFERROR(_xlfn.LET(
_xlpm.CSVVal,_xlfn.XLOOKUP($A966,CSV!$A:$A,CSV!G:G,""),
_xlpm.MacVal,_xlfn.XLOOKUP($A966,Output_Mac!$A:$A,Output_Mac!F:F,""),
_xlpm.MyAuditVal,_xlfn.XLOOKUP($A966,My_Audit!$A:$A,My_Audit!F:F,""),
_xlfn.IFS(_xlpm.MyAuditVal&lt;&gt;"",_xlpm.MyAuditVal,_xlpm.MacVal&lt;&gt;"",_xlpm.MacVal,_xlpm.CSVVal&lt;&gt;"",PROPER(_xlpm.CSVVal)
)),"")</f>
        <v/>
      </c>
      <c r="H966" s="40" t="str" cm="1">
        <f t="array" ref="H966">IFERROR(_xlfn.LET(
_xlpm.CSVVal,_xlfn.XLOOKUP($A966,CSV!$A:$A,CSV!H:H,""),
_xlpm.MacVal,_xlfn.XLOOKUP($A966,Output_Mac!$A:$A,Output_Mac!H:H,""),
_xlpm.MyAuditVal,_xlfn.XLOOKUP($A966,My_Audit!$A:$A,My_Audit!G:G,""),
_xlfn.IFS(_xlpm.MyAuditVal&lt;&gt;"",_xlpm.MyAuditVal,_xlpm.MacVal&lt;&gt;"",_xlpm.MacVal,_xlpm.CSVVal&lt;&gt;"",_xlpm.CSVVal
)),"")</f>
        <v/>
      </c>
      <c r="I966" s="40" t="str">
        <f>_xlfn.XLOOKUP(A966,Output_Mac!A:A,Output_Mac!I:I,"")</f>
        <v/>
      </c>
      <c r="J966" s="40" t="str" cm="1">
        <f t="array" ref="J966">IFERROR(_xlfn.LET(
_xlpm.CSVVal,_xlfn.XLOOKUP($A966,CSV!$A:$A,CSV!I:I,""),
_xlpm.MacVal,_xlfn.XLOOKUP($A966,Output_Mac!$A:$A,Output_Mac!J:J,""),
_xlpm.MyAuditVal,_xlfn.XLOOKUP($A966,My_Audit!$A:$A,My_Audit!I:I,""),
_xlfn.IFS(_xlpm.MyAuditVal&lt;&gt;"",UPPER(_xlpm.MyAuditVal),_xlpm.MacVal&lt;&gt;"",_xlpm.MacVal,_xlpm.CSVVal&lt;&gt;"",_xlpm.CSVVal
)),"")</f>
        <v/>
      </c>
      <c r="K966" s="40" t="str" cm="1">
        <f t="array" ref="K966">IFERROR(_xlfn.LET(
_xlpm.CSVVal,_xlfn.XLOOKUP($A966,CSV!$A:$A,CSV!K:K,""),
_xlpm.MacVal,_xlfn.XLOOKUP($A966,Output_Mac!$A:$A,Output_Mac!K:K,""),
_xlpm.MyAuditVal,_xlfn.XLOOKUP($A966,My_Audit!$A:$A,My_Audit!J:J,""),
_xlfn.IFS(_xlpm.MyAuditVal&lt;&gt;"",UPPER(_xlpm.MyAuditVal),_xlpm.MacVal&lt;&gt;"",_xlpm.MacVal,_xlpm.CSVVal&lt;&gt;"",_xlpm.CSVVal
)),"")</f>
        <v/>
      </c>
      <c r="L966" s="40" t="str" cm="1">
        <f t="array" ref="L966">IFERROR(_xlfn.LET(
_xlpm.CSVVal,_xlfn.XLOOKUP($A966,CSV!$A:$A,CSV!P:P,""),
_xlpm.MacVal,_xlfn.XLOOKUP($A966,Output_Mac!$A:$A,Output_Mac!L:L,""),
_xlpm.MyAuditVal,_xlfn.XLOOKUP($A966,My_Audit!$A:$A,My_Audit!K:K,""),
_xlfn.IFS(_xlpm.MyAuditVal&lt;&gt;"",UPPER(_xlpm.MyAuditVal),_xlpm.MacVal&lt;&gt;"",_xlpm.MacVal,_xlpm.CSVVal&lt;&gt;"",_xlpm.CSVVal
)),"")</f>
        <v/>
      </c>
      <c r="M966" s="40" t="str" cm="1">
        <f t="array" ref="M966">IFERROR(_xlfn.LET(
_xlpm.CSVVal,_xlfn.XLOOKUP($A966,CSV!$A:$A,CSV!Q:Q,""),
_xlpm.MacVal,_xlfn.XLOOKUP($A966,Output_Mac!$A:$A,Output_Mac!M:M,""),
_xlpm.MyAuditVal,_xlfn.XLOOKUP($A966,My_Audit!$A:$A,My_Audit!L:L,""),
_xlfn.IFS(_xlpm.MyAuditVal&lt;&gt;"",UPPER(_xlpm.MyAuditVal),_xlpm.MacVal&lt;&gt;"",_xlpm.MacVal,_xlpm.CSVVal&lt;&gt;"",_xlpm.CSVVal
)),"")</f>
        <v/>
      </c>
      <c r="N966" s="40"/>
      <c r="O966" s="40" t="str">
        <f>_xlfn.LET(
    _xlpm.CSVVal, _xlfn.XLOOKUP($A966, CSV!$A:$A, CSV!AA:AA, ""),
    _xlpm.MacVal, _xlfn.XLOOKUP($A966, Output_Mac!$A:$A, Output_Mac!S:S, ""),
    _xlpm.MyAuditVal, _xlfn.XLOOKUP($A966, My_Audit!$A:$A, My_Audit!P:P, ""),
    _xlfn.TEXTJOIN(", ", TRUE, _xlpm.MyAuditVal, _xlpm.MacVal, _xlpm.CSVVal)
)</f>
        <v/>
      </c>
      <c r="P966" s="40" t="str" cm="1">
        <f t="array" ref="P966">IFERROR(_xlfn.LET(
_xlpm.CSVVal,_xlfn.XLOOKUP($A966,CSV!$A:$A,CSV!AB:AB,""),
_xlpm.MacVal,_xlfn.XLOOKUP($A966,Output_Mac!$A:$A,Output_Mac!T:T,""),
_xlpm.MyAuditVal,_xlfn.XLOOKUP($A966,My_Audit!$A:$A,My_Audit!Q:Q,""),
_xlfn.IFS(_xlpm.MyAuditVal&lt;&gt;"",UPPER(_xlpm.MyAuditVal),_xlpm.MacVal&lt;&gt;"",_xlpm.MacVal,_xlpm.CSVVal&lt;&gt;"",_xlpm.CSVVal
)),"No")</f>
        <v>No</v>
      </c>
      <c r="Q966" s="40" t="str" cm="1">
        <f t="array" ref="Q966">IFERROR(_xlfn.LET(
_xlpm.CSVVal,_xlfn.XLOOKUP($A966,CSV!$A:$A,CSV!AC:AC,""),
_xlpm.MacVal,_xlfn.XLOOKUP($A966,Output_Mac!$A:$A,Output_Mac!U:U,""),
_xlpm.MyAuditVal,_xlfn.XLOOKUP($A966,My_Audit!$A:$A,My_Audit!R:R,""),
_xlfn.IFS(_xlpm.MyAuditVal&lt;&gt;"",UPPER(_xlpm.MyAuditVal),_xlpm.MacVal&lt;&gt;"",_xlpm.MacVal,_xlpm.CSVVal&lt;&gt;"",_xlpm.CSVVal
)),"")</f>
        <v/>
      </c>
      <c r="R966" s="40"/>
      <c r="S966" s="40"/>
      <c r="T966" s="40"/>
      <c r="U966" s="40"/>
      <c r="V966" s="40"/>
      <c r="W966" s="40"/>
      <c r="X966" s="41" t="str">
        <f>_xlfn.LET(
    _xlpm.MacVal, _xlfn.XLOOKUP($A966, Output_Mac!$A:$A, Output_Mac!AB:AB, ""),
    _xlpm.MyAuditVal, _xlfn.XLOOKUP($A966, My_Audit!$A:$A, My_Audit!N:N, ""),
    _xlfn.TEXTJOIN(", ", TRUE, _xlpm.MyAuditVal, _xlpm.MacVal)
)</f>
        <v/>
      </c>
    </row>
    <row r="967" spans="1:24">
      <c r="A967" s="40" t="str">
        <f>_xlfn.TEXTJOIN("",TRUE,Input!$B$2,ROW(My_Audit!A966))</f>
        <v>X966</v>
      </c>
      <c r="B967" s="40" t="str">
        <f>_xlfn.TEXTJOIN("-",TRUE,"ITD",Input!$A$2,A967)</f>
        <v>ITD-X966</v>
      </c>
      <c r="C967" s="40" t="str" cm="1">
        <f t="array" ref="C967">IFERROR(_xlfn.LET(
_xlpm.CSVVal,_xlfn.XLOOKUP($A967,CSV!$A:$A,CSV!B:B,""),
_xlpm.MacVal,_xlfn.XLOOKUP($A967,Output_Mac!$A:$A,Output_Mac!B:B,""),
_xlpm.MyAuditVal,_xlfn.XLOOKUP($A967,My_Audit!$A:$A,My_Audit!B:B,""),
_xlfn.IFS(_xlpm.MyAuditVal&lt;&gt;"",UPPER(_xlpm.MyAuditVal),_xlpm.MacVal&lt;&gt;"",_xlpm.MacVal,_xlpm.CSVVal&lt;&gt;"",_xlpm.CSVVal
)),"")</f>
        <v/>
      </c>
      <c r="D967" s="40" t="str" cm="1">
        <f t="array" ref="D967">IFERROR(_xlfn.LET(
_xlpm.CSVVal,_xlfn.XLOOKUP($A967,CSV!$A:$A,CSV!D:D,""),
_xlpm.MacVal,_xlfn.XLOOKUP($A967,Output_Mac!$A:$A,Output_Mac!C:C,""),
_xlpm.MyAuditVal,_xlfn.XLOOKUP($A967,My_Audit!$A:$A,My_Audit!C:C,""),
_xlfn.IFS(_xlpm.MyAuditVal&lt;&gt;"",_xlpm.MyAuditVal,_xlpm.MacVal&lt;&gt;"",_xlpm.MacVal,_xlpm.CSVVal&lt;&gt;"",_xlpm.CSVVal
)),"")</f>
        <v/>
      </c>
      <c r="E967" s="40" t="str">
        <f>_xlfn.XLOOKUP(A967,My_Audit!A:A,My_Audit!D:D,"")</f>
        <v/>
      </c>
      <c r="F967" s="40" t="str" cm="1">
        <f t="array" ref="F967">IFERROR(_xlfn.LET(
_xlpm.CSVVal,_xlfn.XLOOKUP($A967,CSV!$A:$A,CSV!F:F,""),
_xlpm.MacVal,_xlfn.XLOOKUP($A967,Output_Mac!$A:$A,Output_Mac!E:E,""),
_xlpm.MyAuditVal,_xlfn.XLOOKUP($A967,My_Audit!$A:$A,My_Audit!E:E,""),
_xlfn.IFS(_xlpm.MyAuditVal&lt;&gt;"",_xlpm.MyAuditVal,_xlpm.MacVal&lt;&gt;"",_xlpm.MacVal,_xlpm.CSVVal&lt;&gt;"",_xlpm.CSVVal
)),"")</f>
        <v/>
      </c>
      <c r="G967" s="40" t="str" cm="1">
        <f t="array" ref="G967">IFERROR(_xlfn.LET(
_xlpm.CSVVal,_xlfn.XLOOKUP($A967,CSV!$A:$A,CSV!G:G,""),
_xlpm.MacVal,_xlfn.XLOOKUP($A967,Output_Mac!$A:$A,Output_Mac!F:F,""),
_xlpm.MyAuditVal,_xlfn.XLOOKUP($A967,My_Audit!$A:$A,My_Audit!F:F,""),
_xlfn.IFS(_xlpm.MyAuditVal&lt;&gt;"",_xlpm.MyAuditVal,_xlpm.MacVal&lt;&gt;"",_xlpm.MacVal,_xlpm.CSVVal&lt;&gt;"",PROPER(_xlpm.CSVVal)
)),"")</f>
        <v/>
      </c>
      <c r="H967" s="40" t="str" cm="1">
        <f t="array" ref="H967">IFERROR(_xlfn.LET(
_xlpm.CSVVal,_xlfn.XLOOKUP($A967,CSV!$A:$A,CSV!H:H,""),
_xlpm.MacVal,_xlfn.XLOOKUP($A967,Output_Mac!$A:$A,Output_Mac!H:H,""),
_xlpm.MyAuditVal,_xlfn.XLOOKUP($A967,My_Audit!$A:$A,My_Audit!G:G,""),
_xlfn.IFS(_xlpm.MyAuditVal&lt;&gt;"",_xlpm.MyAuditVal,_xlpm.MacVal&lt;&gt;"",_xlpm.MacVal,_xlpm.CSVVal&lt;&gt;"",_xlpm.CSVVal
)),"")</f>
        <v/>
      </c>
      <c r="I967" s="40" t="str">
        <f>_xlfn.XLOOKUP(A967,Output_Mac!A:A,Output_Mac!I:I,"")</f>
        <v/>
      </c>
      <c r="J967" s="40" t="str" cm="1">
        <f t="array" ref="J967">IFERROR(_xlfn.LET(
_xlpm.CSVVal,_xlfn.XLOOKUP($A967,CSV!$A:$A,CSV!I:I,""),
_xlpm.MacVal,_xlfn.XLOOKUP($A967,Output_Mac!$A:$A,Output_Mac!J:J,""),
_xlpm.MyAuditVal,_xlfn.XLOOKUP($A967,My_Audit!$A:$A,My_Audit!I:I,""),
_xlfn.IFS(_xlpm.MyAuditVal&lt;&gt;"",UPPER(_xlpm.MyAuditVal),_xlpm.MacVal&lt;&gt;"",_xlpm.MacVal,_xlpm.CSVVal&lt;&gt;"",_xlpm.CSVVal
)),"")</f>
        <v/>
      </c>
      <c r="K967" s="40" t="str" cm="1">
        <f t="array" ref="K967">IFERROR(_xlfn.LET(
_xlpm.CSVVal,_xlfn.XLOOKUP($A967,CSV!$A:$A,CSV!K:K,""),
_xlpm.MacVal,_xlfn.XLOOKUP($A967,Output_Mac!$A:$A,Output_Mac!K:K,""),
_xlpm.MyAuditVal,_xlfn.XLOOKUP($A967,My_Audit!$A:$A,My_Audit!J:J,""),
_xlfn.IFS(_xlpm.MyAuditVal&lt;&gt;"",UPPER(_xlpm.MyAuditVal),_xlpm.MacVal&lt;&gt;"",_xlpm.MacVal,_xlpm.CSVVal&lt;&gt;"",_xlpm.CSVVal
)),"")</f>
        <v/>
      </c>
      <c r="L967" s="40" t="str" cm="1">
        <f t="array" ref="L967">IFERROR(_xlfn.LET(
_xlpm.CSVVal,_xlfn.XLOOKUP($A967,CSV!$A:$A,CSV!P:P,""),
_xlpm.MacVal,_xlfn.XLOOKUP($A967,Output_Mac!$A:$A,Output_Mac!L:L,""),
_xlpm.MyAuditVal,_xlfn.XLOOKUP($A967,My_Audit!$A:$A,My_Audit!K:K,""),
_xlfn.IFS(_xlpm.MyAuditVal&lt;&gt;"",UPPER(_xlpm.MyAuditVal),_xlpm.MacVal&lt;&gt;"",_xlpm.MacVal,_xlpm.CSVVal&lt;&gt;"",_xlpm.CSVVal
)),"")</f>
        <v/>
      </c>
      <c r="M967" s="40" t="str" cm="1">
        <f t="array" ref="M967">IFERROR(_xlfn.LET(
_xlpm.CSVVal,_xlfn.XLOOKUP($A967,CSV!$A:$A,CSV!Q:Q,""),
_xlpm.MacVal,_xlfn.XLOOKUP($A967,Output_Mac!$A:$A,Output_Mac!M:M,""),
_xlpm.MyAuditVal,_xlfn.XLOOKUP($A967,My_Audit!$A:$A,My_Audit!L:L,""),
_xlfn.IFS(_xlpm.MyAuditVal&lt;&gt;"",UPPER(_xlpm.MyAuditVal),_xlpm.MacVal&lt;&gt;"",_xlpm.MacVal,_xlpm.CSVVal&lt;&gt;"",_xlpm.CSVVal
)),"")</f>
        <v/>
      </c>
      <c r="N967" s="40"/>
      <c r="O967" s="40" t="str">
        <f>_xlfn.LET(
    _xlpm.CSVVal, _xlfn.XLOOKUP($A967, CSV!$A:$A, CSV!AA:AA, ""),
    _xlpm.MacVal, _xlfn.XLOOKUP($A967, Output_Mac!$A:$A, Output_Mac!S:S, ""),
    _xlpm.MyAuditVal, _xlfn.XLOOKUP($A967, My_Audit!$A:$A, My_Audit!P:P, ""),
    _xlfn.TEXTJOIN(", ", TRUE, _xlpm.MyAuditVal, _xlpm.MacVal, _xlpm.CSVVal)
)</f>
        <v/>
      </c>
      <c r="P967" s="40" t="str" cm="1">
        <f t="array" ref="P967">IFERROR(_xlfn.LET(
_xlpm.CSVVal,_xlfn.XLOOKUP($A967,CSV!$A:$A,CSV!AB:AB,""),
_xlpm.MacVal,_xlfn.XLOOKUP($A967,Output_Mac!$A:$A,Output_Mac!T:T,""),
_xlpm.MyAuditVal,_xlfn.XLOOKUP($A967,My_Audit!$A:$A,My_Audit!Q:Q,""),
_xlfn.IFS(_xlpm.MyAuditVal&lt;&gt;"",UPPER(_xlpm.MyAuditVal),_xlpm.MacVal&lt;&gt;"",_xlpm.MacVal,_xlpm.CSVVal&lt;&gt;"",_xlpm.CSVVal
)),"No")</f>
        <v>No</v>
      </c>
      <c r="Q967" s="40" t="str" cm="1">
        <f t="array" ref="Q967">IFERROR(_xlfn.LET(
_xlpm.CSVVal,_xlfn.XLOOKUP($A967,CSV!$A:$A,CSV!AC:AC,""),
_xlpm.MacVal,_xlfn.XLOOKUP($A967,Output_Mac!$A:$A,Output_Mac!U:U,""),
_xlpm.MyAuditVal,_xlfn.XLOOKUP($A967,My_Audit!$A:$A,My_Audit!R:R,""),
_xlfn.IFS(_xlpm.MyAuditVal&lt;&gt;"",UPPER(_xlpm.MyAuditVal),_xlpm.MacVal&lt;&gt;"",_xlpm.MacVal,_xlpm.CSVVal&lt;&gt;"",_xlpm.CSVVal
)),"")</f>
        <v/>
      </c>
      <c r="R967" s="40"/>
      <c r="S967" s="40"/>
      <c r="T967" s="40"/>
      <c r="U967" s="40"/>
      <c r="V967" s="40"/>
      <c r="W967" s="40"/>
      <c r="X967" s="41" t="str">
        <f>_xlfn.LET(
    _xlpm.MacVal, _xlfn.XLOOKUP($A967, Output_Mac!$A:$A, Output_Mac!AB:AB, ""),
    _xlpm.MyAuditVal, _xlfn.XLOOKUP($A967, My_Audit!$A:$A, My_Audit!N:N, ""),
    _xlfn.TEXTJOIN(", ", TRUE, _xlpm.MyAuditVal, _xlpm.MacVal)
)</f>
        <v/>
      </c>
    </row>
    <row r="968" spans="1:24">
      <c r="A968" s="40" t="str">
        <f>_xlfn.TEXTJOIN("",TRUE,Input!$B$2,ROW(My_Audit!A967))</f>
        <v>X967</v>
      </c>
      <c r="B968" s="40" t="str">
        <f>_xlfn.TEXTJOIN("-",TRUE,"ITD",Input!$A$2,A968)</f>
        <v>ITD-X967</v>
      </c>
      <c r="C968" s="40" t="str" cm="1">
        <f t="array" ref="C968">IFERROR(_xlfn.LET(
_xlpm.CSVVal,_xlfn.XLOOKUP($A968,CSV!$A:$A,CSV!B:B,""),
_xlpm.MacVal,_xlfn.XLOOKUP($A968,Output_Mac!$A:$A,Output_Mac!B:B,""),
_xlpm.MyAuditVal,_xlfn.XLOOKUP($A968,My_Audit!$A:$A,My_Audit!B:B,""),
_xlfn.IFS(_xlpm.MyAuditVal&lt;&gt;"",UPPER(_xlpm.MyAuditVal),_xlpm.MacVal&lt;&gt;"",_xlpm.MacVal,_xlpm.CSVVal&lt;&gt;"",_xlpm.CSVVal
)),"")</f>
        <v/>
      </c>
      <c r="D968" s="40" t="str" cm="1">
        <f t="array" ref="D968">IFERROR(_xlfn.LET(
_xlpm.CSVVal,_xlfn.XLOOKUP($A968,CSV!$A:$A,CSV!D:D,""),
_xlpm.MacVal,_xlfn.XLOOKUP($A968,Output_Mac!$A:$A,Output_Mac!C:C,""),
_xlpm.MyAuditVal,_xlfn.XLOOKUP($A968,My_Audit!$A:$A,My_Audit!C:C,""),
_xlfn.IFS(_xlpm.MyAuditVal&lt;&gt;"",_xlpm.MyAuditVal,_xlpm.MacVal&lt;&gt;"",_xlpm.MacVal,_xlpm.CSVVal&lt;&gt;"",_xlpm.CSVVal
)),"")</f>
        <v/>
      </c>
      <c r="E968" s="40" t="str">
        <f>_xlfn.XLOOKUP(A968,My_Audit!A:A,My_Audit!D:D,"")</f>
        <v/>
      </c>
      <c r="F968" s="40" t="str" cm="1">
        <f t="array" ref="F968">IFERROR(_xlfn.LET(
_xlpm.CSVVal,_xlfn.XLOOKUP($A968,CSV!$A:$A,CSV!F:F,""),
_xlpm.MacVal,_xlfn.XLOOKUP($A968,Output_Mac!$A:$A,Output_Mac!E:E,""),
_xlpm.MyAuditVal,_xlfn.XLOOKUP($A968,My_Audit!$A:$A,My_Audit!E:E,""),
_xlfn.IFS(_xlpm.MyAuditVal&lt;&gt;"",_xlpm.MyAuditVal,_xlpm.MacVal&lt;&gt;"",_xlpm.MacVal,_xlpm.CSVVal&lt;&gt;"",_xlpm.CSVVal
)),"")</f>
        <v/>
      </c>
      <c r="G968" s="40" t="str" cm="1">
        <f t="array" ref="G968">IFERROR(_xlfn.LET(
_xlpm.CSVVal,_xlfn.XLOOKUP($A968,CSV!$A:$A,CSV!G:G,""),
_xlpm.MacVal,_xlfn.XLOOKUP($A968,Output_Mac!$A:$A,Output_Mac!F:F,""),
_xlpm.MyAuditVal,_xlfn.XLOOKUP($A968,My_Audit!$A:$A,My_Audit!F:F,""),
_xlfn.IFS(_xlpm.MyAuditVal&lt;&gt;"",_xlpm.MyAuditVal,_xlpm.MacVal&lt;&gt;"",_xlpm.MacVal,_xlpm.CSVVal&lt;&gt;"",PROPER(_xlpm.CSVVal)
)),"")</f>
        <v/>
      </c>
      <c r="H968" s="40" t="str" cm="1">
        <f t="array" ref="H968">IFERROR(_xlfn.LET(
_xlpm.CSVVal,_xlfn.XLOOKUP($A968,CSV!$A:$A,CSV!H:H,""),
_xlpm.MacVal,_xlfn.XLOOKUP($A968,Output_Mac!$A:$A,Output_Mac!H:H,""),
_xlpm.MyAuditVal,_xlfn.XLOOKUP($A968,My_Audit!$A:$A,My_Audit!G:G,""),
_xlfn.IFS(_xlpm.MyAuditVal&lt;&gt;"",_xlpm.MyAuditVal,_xlpm.MacVal&lt;&gt;"",_xlpm.MacVal,_xlpm.CSVVal&lt;&gt;"",_xlpm.CSVVal
)),"")</f>
        <v/>
      </c>
      <c r="I968" s="40" t="str">
        <f>_xlfn.XLOOKUP(A968,Output_Mac!A:A,Output_Mac!I:I,"")</f>
        <v/>
      </c>
      <c r="J968" s="40" t="str" cm="1">
        <f t="array" ref="J968">IFERROR(_xlfn.LET(
_xlpm.CSVVal,_xlfn.XLOOKUP($A968,CSV!$A:$A,CSV!I:I,""),
_xlpm.MacVal,_xlfn.XLOOKUP($A968,Output_Mac!$A:$A,Output_Mac!J:J,""),
_xlpm.MyAuditVal,_xlfn.XLOOKUP($A968,My_Audit!$A:$A,My_Audit!I:I,""),
_xlfn.IFS(_xlpm.MyAuditVal&lt;&gt;"",UPPER(_xlpm.MyAuditVal),_xlpm.MacVal&lt;&gt;"",_xlpm.MacVal,_xlpm.CSVVal&lt;&gt;"",_xlpm.CSVVal
)),"")</f>
        <v/>
      </c>
      <c r="K968" s="40" t="str" cm="1">
        <f t="array" ref="K968">IFERROR(_xlfn.LET(
_xlpm.CSVVal,_xlfn.XLOOKUP($A968,CSV!$A:$A,CSV!K:K,""),
_xlpm.MacVal,_xlfn.XLOOKUP($A968,Output_Mac!$A:$A,Output_Mac!K:K,""),
_xlpm.MyAuditVal,_xlfn.XLOOKUP($A968,My_Audit!$A:$A,My_Audit!J:J,""),
_xlfn.IFS(_xlpm.MyAuditVal&lt;&gt;"",UPPER(_xlpm.MyAuditVal),_xlpm.MacVal&lt;&gt;"",_xlpm.MacVal,_xlpm.CSVVal&lt;&gt;"",_xlpm.CSVVal
)),"")</f>
        <v/>
      </c>
      <c r="L968" s="40" t="str" cm="1">
        <f t="array" ref="L968">IFERROR(_xlfn.LET(
_xlpm.CSVVal,_xlfn.XLOOKUP($A968,CSV!$A:$A,CSV!P:P,""),
_xlpm.MacVal,_xlfn.XLOOKUP($A968,Output_Mac!$A:$A,Output_Mac!L:L,""),
_xlpm.MyAuditVal,_xlfn.XLOOKUP($A968,My_Audit!$A:$A,My_Audit!K:K,""),
_xlfn.IFS(_xlpm.MyAuditVal&lt;&gt;"",UPPER(_xlpm.MyAuditVal),_xlpm.MacVal&lt;&gt;"",_xlpm.MacVal,_xlpm.CSVVal&lt;&gt;"",_xlpm.CSVVal
)),"")</f>
        <v/>
      </c>
      <c r="M968" s="40" t="str" cm="1">
        <f t="array" ref="M968">IFERROR(_xlfn.LET(
_xlpm.CSVVal,_xlfn.XLOOKUP($A968,CSV!$A:$A,CSV!Q:Q,""),
_xlpm.MacVal,_xlfn.XLOOKUP($A968,Output_Mac!$A:$A,Output_Mac!M:M,""),
_xlpm.MyAuditVal,_xlfn.XLOOKUP($A968,My_Audit!$A:$A,My_Audit!L:L,""),
_xlfn.IFS(_xlpm.MyAuditVal&lt;&gt;"",UPPER(_xlpm.MyAuditVal),_xlpm.MacVal&lt;&gt;"",_xlpm.MacVal,_xlpm.CSVVal&lt;&gt;"",_xlpm.CSVVal
)),"")</f>
        <v/>
      </c>
      <c r="N968" s="40"/>
      <c r="O968" s="40" t="str">
        <f>_xlfn.LET(
    _xlpm.CSVVal, _xlfn.XLOOKUP($A968, CSV!$A:$A, CSV!AA:AA, ""),
    _xlpm.MacVal, _xlfn.XLOOKUP($A968, Output_Mac!$A:$A, Output_Mac!S:S, ""),
    _xlpm.MyAuditVal, _xlfn.XLOOKUP($A968, My_Audit!$A:$A, My_Audit!P:P, ""),
    _xlfn.TEXTJOIN(", ", TRUE, _xlpm.MyAuditVal, _xlpm.MacVal, _xlpm.CSVVal)
)</f>
        <v/>
      </c>
      <c r="P968" s="40" t="str" cm="1">
        <f t="array" ref="P968">IFERROR(_xlfn.LET(
_xlpm.CSVVal,_xlfn.XLOOKUP($A968,CSV!$A:$A,CSV!AB:AB,""),
_xlpm.MacVal,_xlfn.XLOOKUP($A968,Output_Mac!$A:$A,Output_Mac!T:T,""),
_xlpm.MyAuditVal,_xlfn.XLOOKUP($A968,My_Audit!$A:$A,My_Audit!Q:Q,""),
_xlfn.IFS(_xlpm.MyAuditVal&lt;&gt;"",UPPER(_xlpm.MyAuditVal),_xlpm.MacVal&lt;&gt;"",_xlpm.MacVal,_xlpm.CSVVal&lt;&gt;"",_xlpm.CSVVal
)),"No")</f>
        <v>No</v>
      </c>
      <c r="Q968" s="40" t="str" cm="1">
        <f t="array" ref="Q968">IFERROR(_xlfn.LET(
_xlpm.CSVVal,_xlfn.XLOOKUP($A968,CSV!$A:$A,CSV!AC:AC,""),
_xlpm.MacVal,_xlfn.XLOOKUP($A968,Output_Mac!$A:$A,Output_Mac!U:U,""),
_xlpm.MyAuditVal,_xlfn.XLOOKUP($A968,My_Audit!$A:$A,My_Audit!R:R,""),
_xlfn.IFS(_xlpm.MyAuditVal&lt;&gt;"",UPPER(_xlpm.MyAuditVal),_xlpm.MacVal&lt;&gt;"",_xlpm.MacVal,_xlpm.CSVVal&lt;&gt;"",_xlpm.CSVVal
)),"")</f>
        <v/>
      </c>
      <c r="R968" s="40"/>
      <c r="S968" s="40"/>
      <c r="T968" s="40"/>
      <c r="U968" s="40"/>
      <c r="V968" s="40"/>
      <c r="W968" s="40"/>
      <c r="X968" s="41" t="str">
        <f>_xlfn.LET(
    _xlpm.MacVal, _xlfn.XLOOKUP($A968, Output_Mac!$A:$A, Output_Mac!AB:AB, ""),
    _xlpm.MyAuditVal, _xlfn.XLOOKUP($A968, My_Audit!$A:$A, My_Audit!N:N, ""),
    _xlfn.TEXTJOIN(", ", TRUE, _xlpm.MyAuditVal, _xlpm.MacVal)
)</f>
        <v/>
      </c>
    </row>
    <row r="969" spans="1:24">
      <c r="A969" s="40" t="str">
        <f>_xlfn.TEXTJOIN("",TRUE,Input!$B$2,ROW(My_Audit!A968))</f>
        <v>X968</v>
      </c>
      <c r="B969" s="40" t="str">
        <f>_xlfn.TEXTJOIN("-",TRUE,"ITD",Input!$A$2,A969)</f>
        <v>ITD-X968</v>
      </c>
      <c r="C969" s="40" t="str" cm="1">
        <f t="array" ref="C969">IFERROR(_xlfn.LET(
_xlpm.CSVVal,_xlfn.XLOOKUP($A969,CSV!$A:$A,CSV!B:B,""),
_xlpm.MacVal,_xlfn.XLOOKUP($A969,Output_Mac!$A:$A,Output_Mac!B:B,""),
_xlpm.MyAuditVal,_xlfn.XLOOKUP($A969,My_Audit!$A:$A,My_Audit!B:B,""),
_xlfn.IFS(_xlpm.MyAuditVal&lt;&gt;"",UPPER(_xlpm.MyAuditVal),_xlpm.MacVal&lt;&gt;"",_xlpm.MacVal,_xlpm.CSVVal&lt;&gt;"",_xlpm.CSVVal
)),"")</f>
        <v/>
      </c>
      <c r="D969" s="40" t="str" cm="1">
        <f t="array" ref="D969">IFERROR(_xlfn.LET(
_xlpm.CSVVal,_xlfn.XLOOKUP($A969,CSV!$A:$A,CSV!D:D,""),
_xlpm.MacVal,_xlfn.XLOOKUP($A969,Output_Mac!$A:$A,Output_Mac!C:C,""),
_xlpm.MyAuditVal,_xlfn.XLOOKUP($A969,My_Audit!$A:$A,My_Audit!C:C,""),
_xlfn.IFS(_xlpm.MyAuditVal&lt;&gt;"",_xlpm.MyAuditVal,_xlpm.MacVal&lt;&gt;"",_xlpm.MacVal,_xlpm.CSVVal&lt;&gt;"",_xlpm.CSVVal
)),"")</f>
        <v/>
      </c>
      <c r="E969" s="40" t="str">
        <f>_xlfn.XLOOKUP(A969,My_Audit!A:A,My_Audit!D:D,"")</f>
        <v/>
      </c>
      <c r="F969" s="40" t="str" cm="1">
        <f t="array" ref="F969">IFERROR(_xlfn.LET(
_xlpm.CSVVal,_xlfn.XLOOKUP($A969,CSV!$A:$A,CSV!F:F,""),
_xlpm.MacVal,_xlfn.XLOOKUP($A969,Output_Mac!$A:$A,Output_Mac!E:E,""),
_xlpm.MyAuditVal,_xlfn.XLOOKUP($A969,My_Audit!$A:$A,My_Audit!E:E,""),
_xlfn.IFS(_xlpm.MyAuditVal&lt;&gt;"",_xlpm.MyAuditVal,_xlpm.MacVal&lt;&gt;"",_xlpm.MacVal,_xlpm.CSVVal&lt;&gt;"",_xlpm.CSVVal
)),"")</f>
        <v/>
      </c>
      <c r="G969" s="40" t="str" cm="1">
        <f t="array" ref="G969">IFERROR(_xlfn.LET(
_xlpm.CSVVal,_xlfn.XLOOKUP($A969,CSV!$A:$A,CSV!G:G,""),
_xlpm.MacVal,_xlfn.XLOOKUP($A969,Output_Mac!$A:$A,Output_Mac!F:F,""),
_xlpm.MyAuditVal,_xlfn.XLOOKUP($A969,My_Audit!$A:$A,My_Audit!F:F,""),
_xlfn.IFS(_xlpm.MyAuditVal&lt;&gt;"",_xlpm.MyAuditVal,_xlpm.MacVal&lt;&gt;"",_xlpm.MacVal,_xlpm.CSVVal&lt;&gt;"",PROPER(_xlpm.CSVVal)
)),"")</f>
        <v/>
      </c>
      <c r="H969" s="40" t="str" cm="1">
        <f t="array" ref="H969">IFERROR(_xlfn.LET(
_xlpm.CSVVal,_xlfn.XLOOKUP($A969,CSV!$A:$A,CSV!H:H,""),
_xlpm.MacVal,_xlfn.XLOOKUP($A969,Output_Mac!$A:$A,Output_Mac!H:H,""),
_xlpm.MyAuditVal,_xlfn.XLOOKUP($A969,My_Audit!$A:$A,My_Audit!G:G,""),
_xlfn.IFS(_xlpm.MyAuditVal&lt;&gt;"",_xlpm.MyAuditVal,_xlpm.MacVal&lt;&gt;"",_xlpm.MacVal,_xlpm.CSVVal&lt;&gt;"",_xlpm.CSVVal
)),"")</f>
        <v/>
      </c>
      <c r="I969" s="40" t="str">
        <f>_xlfn.XLOOKUP(A969,Output_Mac!A:A,Output_Mac!I:I,"")</f>
        <v/>
      </c>
      <c r="J969" s="40" t="str" cm="1">
        <f t="array" ref="J969">IFERROR(_xlfn.LET(
_xlpm.CSVVal,_xlfn.XLOOKUP($A969,CSV!$A:$A,CSV!I:I,""),
_xlpm.MacVal,_xlfn.XLOOKUP($A969,Output_Mac!$A:$A,Output_Mac!J:J,""),
_xlpm.MyAuditVal,_xlfn.XLOOKUP($A969,My_Audit!$A:$A,My_Audit!I:I,""),
_xlfn.IFS(_xlpm.MyAuditVal&lt;&gt;"",UPPER(_xlpm.MyAuditVal),_xlpm.MacVal&lt;&gt;"",_xlpm.MacVal,_xlpm.CSVVal&lt;&gt;"",_xlpm.CSVVal
)),"")</f>
        <v/>
      </c>
      <c r="K969" s="40" t="str" cm="1">
        <f t="array" ref="K969">IFERROR(_xlfn.LET(
_xlpm.CSVVal,_xlfn.XLOOKUP($A969,CSV!$A:$A,CSV!K:K,""),
_xlpm.MacVal,_xlfn.XLOOKUP($A969,Output_Mac!$A:$A,Output_Mac!K:K,""),
_xlpm.MyAuditVal,_xlfn.XLOOKUP($A969,My_Audit!$A:$A,My_Audit!J:J,""),
_xlfn.IFS(_xlpm.MyAuditVal&lt;&gt;"",UPPER(_xlpm.MyAuditVal),_xlpm.MacVal&lt;&gt;"",_xlpm.MacVal,_xlpm.CSVVal&lt;&gt;"",_xlpm.CSVVal
)),"")</f>
        <v/>
      </c>
      <c r="L969" s="40" t="str" cm="1">
        <f t="array" ref="L969">IFERROR(_xlfn.LET(
_xlpm.CSVVal,_xlfn.XLOOKUP($A969,CSV!$A:$A,CSV!P:P,""),
_xlpm.MacVal,_xlfn.XLOOKUP($A969,Output_Mac!$A:$A,Output_Mac!L:L,""),
_xlpm.MyAuditVal,_xlfn.XLOOKUP($A969,My_Audit!$A:$A,My_Audit!K:K,""),
_xlfn.IFS(_xlpm.MyAuditVal&lt;&gt;"",UPPER(_xlpm.MyAuditVal),_xlpm.MacVal&lt;&gt;"",_xlpm.MacVal,_xlpm.CSVVal&lt;&gt;"",_xlpm.CSVVal
)),"")</f>
        <v/>
      </c>
      <c r="M969" s="40" t="str" cm="1">
        <f t="array" ref="M969">IFERROR(_xlfn.LET(
_xlpm.CSVVal,_xlfn.XLOOKUP($A969,CSV!$A:$A,CSV!Q:Q,""),
_xlpm.MacVal,_xlfn.XLOOKUP($A969,Output_Mac!$A:$A,Output_Mac!M:M,""),
_xlpm.MyAuditVal,_xlfn.XLOOKUP($A969,My_Audit!$A:$A,My_Audit!L:L,""),
_xlfn.IFS(_xlpm.MyAuditVal&lt;&gt;"",UPPER(_xlpm.MyAuditVal),_xlpm.MacVal&lt;&gt;"",_xlpm.MacVal,_xlpm.CSVVal&lt;&gt;"",_xlpm.CSVVal
)),"")</f>
        <v/>
      </c>
      <c r="N969" s="40"/>
      <c r="O969" s="40" t="str">
        <f>_xlfn.LET(
    _xlpm.CSVVal, _xlfn.XLOOKUP($A969, CSV!$A:$A, CSV!AA:AA, ""),
    _xlpm.MacVal, _xlfn.XLOOKUP($A969, Output_Mac!$A:$A, Output_Mac!S:S, ""),
    _xlpm.MyAuditVal, _xlfn.XLOOKUP($A969, My_Audit!$A:$A, My_Audit!P:P, ""),
    _xlfn.TEXTJOIN(", ", TRUE, _xlpm.MyAuditVal, _xlpm.MacVal, _xlpm.CSVVal)
)</f>
        <v/>
      </c>
      <c r="P969" s="40" t="str" cm="1">
        <f t="array" ref="P969">IFERROR(_xlfn.LET(
_xlpm.CSVVal,_xlfn.XLOOKUP($A969,CSV!$A:$A,CSV!AB:AB,""),
_xlpm.MacVal,_xlfn.XLOOKUP($A969,Output_Mac!$A:$A,Output_Mac!T:T,""),
_xlpm.MyAuditVal,_xlfn.XLOOKUP($A969,My_Audit!$A:$A,My_Audit!Q:Q,""),
_xlfn.IFS(_xlpm.MyAuditVal&lt;&gt;"",UPPER(_xlpm.MyAuditVal),_xlpm.MacVal&lt;&gt;"",_xlpm.MacVal,_xlpm.CSVVal&lt;&gt;"",_xlpm.CSVVal
)),"No")</f>
        <v>No</v>
      </c>
      <c r="Q969" s="40" t="str" cm="1">
        <f t="array" ref="Q969">IFERROR(_xlfn.LET(
_xlpm.CSVVal,_xlfn.XLOOKUP($A969,CSV!$A:$A,CSV!AC:AC,""),
_xlpm.MacVal,_xlfn.XLOOKUP($A969,Output_Mac!$A:$A,Output_Mac!U:U,""),
_xlpm.MyAuditVal,_xlfn.XLOOKUP($A969,My_Audit!$A:$A,My_Audit!R:R,""),
_xlfn.IFS(_xlpm.MyAuditVal&lt;&gt;"",UPPER(_xlpm.MyAuditVal),_xlpm.MacVal&lt;&gt;"",_xlpm.MacVal,_xlpm.CSVVal&lt;&gt;"",_xlpm.CSVVal
)),"")</f>
        <v/>
      </c>
      <c r="R969" s="40"/>
      <c r="S969" s="40"/>
      <c r="T969" s="40"/>
      <c r="U969" s="40"/>
      <c r="V969" s="40"/>
      <c r="W969" s="40"/>
      <c r="X969" s="41" t="str">
        <f>_xlfn.LET(
    _xlpm.MacVal, _xlfn.XLOOKUP($A969, Output_Mac!$A:$A, Output_Mac!AB:AB, ""),
    _xlpm.MyAuditVal, _xlfn.XLOOKUP($A969, My_Audit!$A:$A, My_Audit!N:N, ""),
    _xlfn.TEXTJOIN(", ", TRUE, _xlpm.MyAuditVal, _xlpm.MacVal)
)</f>
        <v/>
      </c>
    </row>
    <row r="970" spans="1:24">
      <c r="A970" s="40" t="str">
        <f>_xlfn.TEXTJOIN("",TRUE,Input!$B$2,ROW(My_Audit!A969))</f>
        <v>X969</v>
      </c>
      <c r="B970" s="40" t="str">
        <f>_xlfn.TEXTJOIN("-",TRUE,"ITD",Input!$A$2,A970)</f>
        <v>ITD-X969</v>
      </c>
      <c r="C970" s="40" t="str" cm="1">
        <f t="array" ref="C970">IFERROR(_xlfn.LET(
_xlpm.CSVVal,_xlfn.XLOOKUP($A970,CSV!$A:$A,CSV!B:B,""),
_xlpm.MacVal,_xlfn.XLOOKUP($A970,Output_Mac!$A:$A,Output_Mac!B:B,""),
_xlpm.MyAuditVal,_xlfn.XLOOKUP($A970,My_Audit!$A:$A,My_Audit!B:B,""),
_xlfn.IFS(_xlpm.MyAuditVal&lt;&gt;"",UPPER(_xlpm.MyAuditVal),_xlpm.MacVal&lt;&gt;"",_xlpm.MacVal,_xlpm.CSVVal&lt;&gt;"",_xlpm.CSVVal
)),"")</f>
        <v/>
      </c>
      <c r="D970" s="40" t="str" cm="1">
        <f t="array" ref="D970">IFERROR(_xlfn.LET(
_xlpm.CSVVal,_xlfn.XLOOKUP($A970,CSV!$A:$A,CSV!D:D,""),
_xlpm.MacVal,_xlfn.XLOOKUP($A970,Output_Mac!$A:$A,Output_Mac!C:C,""),
_xlpm.MyAuditVal,_xlfn.XLOOKUP($A970,My_Audit!$A:$A,My_Audit!C:C,""),
_xlfn.IFS(_xlpm.MyAuditVal&lt;&gt;"",_xlpm.MyAuditVal,_xlpm.MacVal&lt;&gt;"",_xlpm.MacVal,_xlpm.CSVVal&lt;&gt;"",_xlpm.CSVVal
)),"")</f>
        <v/>
      </c>
      <c r="E970" s="40" t="str">
        <f>_xlfn.XLOOKUP(A970,My_Audit!A:A,My_Audit!D:D,"")</f>
        <v/>
      </c>
      <c r="F970" s="40" t="str" cm="1">
        <f t="array" ref="F970">IFERROR(_xlfn.LET(
_xlpm.CSVVal,_xlfn.XLOOKUP($A970,CSV!$A:$A,CSV!F:F,""),
_xlpm.MacVal,_xlfn.XLOOKUP($A970,Output_Mac!$A:$A,Output_Mac!E:E,""),
_xlpm.MyAuditVal,_xlfn.XLOOKUP($A970,My_Audit!$A:$A,My_Audit!E:E,""),
_xlfn.IFS(_xlpm.MyAuditVal&lt;&gt;"",_xlpm.MyAuditVal,_xlpm.MacVal&lt;&gt;"",_xlpm.MacVal,_xlpm.CSVVal&lt;&gt;"",_xlpm.CSVVal
)),"")</f>
        <v/>
      </c>
      <c r="G970" s="40" t="str" cm="1">
        <f t="array" ref="G970">IFERROR(_xlfn.LET(
_xlpm.CSVVal,_xlfn.XLOOKUP($A970,CSV!$A:$A,CSV!G:G,""),
_xlpm.MacVal,_xlfn.XLOOKUP($A970,Output_Mac!$A:$A,Output_Mac!F:F,""),
_xlpm.MyAuditVal,_xlfn.XLOOKUP($A970,My_Audit!$A:$A,My_Audit!F:F,""),
_xlfn.IFS(_xlpm.MyAuditVal&lt;&gt;"",_xlpm.MyAuditVal,_xlpm.MacVal&lt;&gt;"",_xlpm.MacVal,_xlpm.CSVVal&lt;&gt;"",PROPER(_xlpm.CSVVal)
)),"")</f>
        <v/>
      </c>
      <c r="H970" s="40" t="str" cm="1">
        <f t="array" ref="H970">IFERROR(_xlfn.LET(
_xlpm.CSVVal,_xlfn.XLOOKUP($A970,CSV!$A:$A,CSV!H:H,""),
_xlpm.MacVal,_xlfn.XLOOKUP($A970,Output_Mac!$A:$A,Output_Mac!H:H,""),
_xlpm.MyAuditVal,_xlfn.XLOOKUP($A970,My_Audit!$A:$A,My_Audit!G:G,""),
_xlfn.IFS(_xlpm.MyAuditVal&lt;&gt;"",_xlpm.MyAuditVal,_xlpm.MacVal&lt;&gt;"",_xlpm.MacVal,_xlpm.CSVVal&lt;&gt;"",_xlpm.CSVVal
)),"")</f>
        <v/>
      </c>
      <c r="I970" s="40" t="str">
        <f>_xlfn.XLOOKUP(A970,Output_Mac!A:A,Output_Mac!I:I,"")</f>
        <v/>
      </c>
      <c r="J970" s="40" t="str" cm="1">
        <f t="array" ref="J970">IFERROR(_xlfn.LET(
_xlpm.CSVVal,_xlfn.XLOOKUP($A970,CSV!$A:$A,CSV!I:I,""),
_xlpm.MacVal,_xlfn.XLOOKUP($A970,Output_Mac!$A:$A,Output_Mac!J:J,""),
_xlpm.MyAuditVal,_xlfn.XLOOKUP($A970,My_Audit!$A:$A,My_Audit!I:I,""),
_xlfn.IFS(_xlpm.MyAuditVal&lt;&gt;"",UPPER(_xlpm.MyAuditVal),_xlpm.MacVal&lt;&gt;"",_xlpm.MacVal,_xlpm.CSVVal&lt;&gt;"",_xlpm.CSVVal
)),"")</f>
        <v/>
      </c>
      <c r="K970" s="40" t="str" cm="1">
        <f t="array" ref="K970">IFERROR(_xlfn.LET(
_xlpm.CSVVal,_xlfn.XLOOKUP($A970,CSV!$A:$A,CSV!K:K,""),
_xlpm.MacVal,_xlfn.XLOOKUP($A970,Output_Mac!$A:$A,Output_Mac!K:K,""),
_xlpm.MyAuditVal,_xlfn.XLOOKUP($A970,My_Audit!$A:$A,My_Audit!J:J,""),
_xlfn.IFS(_xlpm.MyAuditVal&lt;&gt;"",UPPER(_xlpm.MyAuditVal),_xlpm.MacVal&lt;&gt;"",_xlpm.MacVal,_xlpm.CSVVal&lt;&gt;"",_xlpm.CSVVal
)),"")</f>
        <v/>
      </c>
      <c r="L970" s="40" t="str" cm="1">
        <f t="array" ref="L970">IFERROR(_xlfn.LET(
_xlpm.CSVVal,_xlfn.XLOOKUP($A970,CSV!$A:$A,CSV!P:P,""),
_xlpm.MacVal,_xlfn.XLOOKUP($A970,Output_Mac!$A:$A,Output_Mac!L:L,""),
_xlpm.MyAuditVal,_xlfn.XLOOKUP($A970,My_Audit!$A:$A,My_Audit!K:K,""),
_xlfn.IFS(_xlpm.MyAuditVal&lt;&gt;"",UPPER(_xlpm.MyAuditVal),_xlpm.MacVal&lt;&gt;"",_xlpm.MacVal,_xlpm.CSVVal&lt;&gt;"",_xlpm.CSVVal
)),"")</f>
        <v/>
      </c>
      <c r="M970" s="40" t="str" cm="1">
        <f t="array" ref="M970">IFERROR(_xlfn.LET(
_xlpm.CSVVal,_xlfn.XLOOKUP($A970,CSV!$A:$A,CSV!Q:Q,""),
_xlpm.MacVal,_xlfn.XLOOKUP($A970,Output_Mac!$A:$A,Output_Mac!M:M,""),
_xlpm.MyAuditVal,_xlfn.XLOOKUP($A970,My_Audit!$A:$A,My_Audit!L:L,""),
_xlfn.IFS(_xlpm.MyAuditVal&lt;&gt;"",UPPER(_xlpm.MyAuditVal),_xlpm.MacVal&lt;&gt;"",_xlpm.MacVal,_xlpm.CSVVal&lt;&gt;"",_xlpm.CSVVal
)),"")</f>
        <v/>
      </c>
      <c r="N970" s="40"/>
      <c r="O970" s="40" t="str">
        <f>_xlfn.LET(
    _xlpm.CSVVal, _xlfn.XLOOKUP($A970, CSV!$A:$A, CSV!AA:AA, ""),
    _xlpm.MacVal, _xlfn.XLOOKUP($A970, Output_Mac!$A:$A, Output_Mac!S:S, ""),
    _xlpm.MyAuditVal, _xlfn.XLOOKUP($A970, My_Audit!$A:$A, My_Audit!P:P, ""),
    _xlfn.TEXTJOIN(", ", TRUE, _xlpm.MyAuditVal, _xlpm.MacVal, _xlpm.CSVVal)
)</f>
        <v/>
      </c>
      <c r="P970" s="40" t="str" cm="1">
        <f t="array" ref="P970">IFERROR(_xlfn.LET(
_xlpm.CSVVal,_xlfn.XLOOKUP($A970,CSV!$A:$A,CSV!AB:AB,""),
_xlpm.MacVal,_xlfn.XLOOKUP($A970,Output_Mac!$A:$A,Output_Mac!T:T,""),
_xlpm.MyAuditVal,_xlfn.XLOOKUP($A970,My_Audit!$A:$A,My_Audit!Q:Q,""),
_xlfn.IFS(_xlpm.MyAuditVal&lt;&gt;"",UPPER(_xlpm.MyAuditVal),_xlpm.MacVal&lt;&gt;"",_xlpm.MacVal,_xlpm.CSVVal&lt;&gt;"",_xlpm.CSVVal
)),"No")</f>
        <v>No</v>
      </c>
      <c r="Q970" s="40" t="str" cm="1">
        <f t="array" ref="Q970">IFERROR(_xlfn.LET(
_xlpm.CSVVal,_xlfn.XLOOKUP($A970,CSV!$A:$A,CSV!AC:AC,""),
_xlpm.MacVal,_xlfn.XLOOKUP($A970,Output_Mac!$A:$A,Output_Mac!U:U,""),
_xlpm.MyAuditVal,_xlfn.XLOOKUP($A970,My_Audit!$A:$A,My_Audit!R:R,""),
_xlfn.IFS(_xlpm.MyAuditVal&lt;&gt;"",UPPER(_xlpm.MyAuditVal),_xlpm.MacVal&lt;&gt;"",_xlpm.MacVal,_xlpm.CSVVal&lt;&gt;"",_xlpm.CSVVal
)),"")</f>
        <v/>
      </c>
      <c r="R970" s="40"/>
      <c r="S970" s="40"/>
      <c r="T970" s="40"/>
      <c r="U970" s="40"/>
      <c r="V970" s="40"/>
      <c r="W970" s="40"/>
      <c r="X970" s="41" t="str">
        <f>_xlfn.LET(
    _xlpm.MacVal, _xlfn.XLOOKUP($A970, Output_Mac!$A:$A, Output_Mac!AB:AB, ""),
    _xlpm.MyAuditVal, _xlfn.XLOOKUP($A970, My_Audit!$A:$A, My_Audit!N:N, ""),
    _xlfn.TEXTJOIN(", ", TRUE, _xlpm.MyAuditVal, _xlpm.MacVal)
)</f>
        <v/>
      </c>
    </row>
    <row r="971" spans="1:24">
      <c r="A971" s="40" t="str">
        <f>_xlfn.TEXTJOIN("",TRUE,Input!$B$2,ROW(My_Audit!A970))</f>
        <v>X970</v>
      </c>
      <c r="B971" s="40" t="str">
        <f>_xlfn.TEXTJOIN("-",TRUE,"ITD",Input!$A$2,A971)</f>
        <v>ITD-X970</v>
      </c>
      <c r="C971" s="40" t="str" cm="1">
        <f t="array" ref="C971">IFERROR(_xlfn.LET(
_xlpm.CSVVal,_xlfn.XLOOKUP($A971,CSV!$A:$A,CSV!B:B,""),
_xlpm.MacVal,_xlfn.XLOOKUP($A971,Output_Mac!$A:$A,Output_Mac!B:B,""),
_xlpm.MyAuditVal,_xlfn.XLOOKUP($A971,My_Audit!$A:$A,My_Audit!B:B,""),
_xlfn.IFS(_xlpm.MyAuditVal&lt;&gt;"",UPPER(_xlpm.MyAuditVal),_xlpm.MacVal&lt;&gt;"",_xlpm.MacVal,_xlpm.CSVVal&lt;&gt;"",_xlpm.CSVVal
)),"")</f>
        <v/>
      </c>
      <c r="D971" s="40" t="str" cm="1">
        <f t="array" ref="D971">IFERROR(_xlfn.LET(
_xlpm.CSVVal,_xlfn.XLOOKUP($A971,CSV!$A:$A,CSV!D:D,""),
_xlpm.MacVal,_xlfn.XLOOKUP($A971,Output_Mac!$A:$A,Output_Mac!C:C,""),
_xlpm.MyAuditVal,_xlfn.XLOOKUP($A971,My_Audit!$A:$A,My_Audit!C:C,""),
_xlfn.IFS(_xlpm.MyAuditVal&lt;&gt;"",_xlpm.MyAuditVal,_xlpm.MacVal&lt;&gt;"",_xlpm.MacVal,_xlpm.CSVVal&lt;&gt;"",_xlpm.CSVVal
)),"")</f>
        <v/>
      </c>
      <c r="E971" s="40" t="str">
        <f>_xlfn.XLOOKUP(A971,My_Audit!A:A,My_Audit!D:D,"")</f>
        <v/>
      </c>
      <c r="F971" s="40" t="str" cm="1">
        <f t="array" ref="F971">IFERROR(_xlfn.LET(
_xlpm.CSVVal,_xlfn.XLOOKUP($A971,CSV!$A:$A,CSV!F:F,""),
_xlpm.MacVal,_xlfn.XLOOKUP($A971,Output_Mac!$A:$A,Output_Mac!E:E,""),
_xlpm.MyAuditVal,_xlfn.XLOOKUP($A971,My_Audit!$A:$A,My_Audit!E:E,""),
_xlfn.IFS(_xlpm.MyAuditVal&lt;&gt;"",_xlpm.MyAuditVal,_xlpm.MacVal&lt;&gt;"",_xlpm.MacVal,_xlpm.CSVVal&lt;&gt;"",_xlpm.CSVVal
)),"")</f>
        <v/>
      </c>
      <c r="G971" s="40" t="str" cm="1">
        <f t="array" ref="G971">IFERROR(_xlfn.LET(
_xlpm.CSVVal,_xlfn.XLOOKUP($A971,CSV!$A:$A,CSV!G:G,""),
_xlpm.MacVal,_xlfn.XLOOKUP($A971,Output_Mac!$A:$A,Output_Mac!F:F,""),
_xlpm.MyAuditVal,_xlfn.XLOOKUP($A971,My_Audit!$A:$A,My_Audit!F:F,""),
_xlfn.IFS(_xlpm.MyAuditVal&lt;&gt;"",_xlpm.MyAuditVal,_xlpm.MacVal&lt;&gt;"",_xlpm.MacVal,_xlpm.CSVVal&lt;&gt;"",PROPER(_xlpm.CSVVal)
)),"")</f>
        <v/>
      </c>
      <c r="H971" s="40" t="str" cm="1">
        <f t="array" ref="H971">IFERROR(_xlfn.LET(
_xlpm.CSVVal,_xlfn.XLOOKUP($A971,CSV!$A:$A,CSV!H:H,""),
_xlpm.MacVal,_xlfn.XLOOKUP($A971,Output_Mac!$A:$A,Output_Mac!H:H,""),
_xlpm.MyAuditVal,_xlfn.XLOOKUP($A971,My_Audit!$A:$A,My_Audit!G:G,""),
_xlfn.IFS(_xlpm.MyAuditVal&lt;&gt;"",_xlpm.MyAuditVal,_xlpm.MacVal&lt;&gt;"",_xlpm.MacVal,_xlpm.CSVVal&lt;&gt;"",_xlpm.CSVVal
)),"")</f>
        <v/>
      </c>
      <c r="I971" s="40" t="str">
        <f>_xlfn.XLOOKUP(A971,Output_Mac!A:A,Output_Mac!I:I,"")</f>
        <v/>
      </c>
      <c r="J971" s="40" t="str" cm="1">
        <f t="array" ref="J971">IFERROR(_xlfn.LET(
_xlpm.CSVVal,_xlfn.XLOOKUP($A971,CSV!$A:$A,CSV!I:I,""),
_xlpm.MacVal,_xlfn.XLOOKUP($A971,Output_Mac!$A:$A,Output_Mac!J:J,""),
_xlpm.MyAuditVal,_xlfn.XLOOKUP($A971,My_Audit!$A:$A,My_Audit!I:I,""),
_xlfn.IFS(_xlpm.MyAuditVal&lt;&gt;"",UPPER(_xlpm.MyAuditVal),_xlpm.MacVal&lt;&gt;"",_xlpm.MacVal,_xlpm.CSVVal&lt;&gt;"",_xlpm.CSVVal
)),"")</f>
        <v/>
      </c>
      <c r="K971" s="40" t="str" cm="1">
        <f t="array" ref="K971">IFERROR(_xlfn.LET(
_xlpm.CSVVal,_xlfn.XLOOKUP($A971,CSV!$A:$A,CSV!K:K,""),
_xlpm.MacVal,_xlfn.XLOOKUP($A971,Output_Mac!$A:$A,Output_Mac!K:K,""),
_xlpm.MyAuditVal,_xlfn.XLOOKUP($A971,My_Audit!$A:$A,My_Audit!J:J,""),
_xlfn.IFS(_xlpm.MyAuditVal&lt;&gt;"",UPPER(_xlpm.MyAuditVal),_xlpm.MacVal&lt;&gt;"",_xlpm.MacVal,_xlpm.CSVVal&lt;&gt;"",_xlpm.CSVVal
)),"")</f>
        <v/>
      </c>
      <c r="L971" s="40" t="str" cm="1">
        <f t="array" ref="L971">IFERROR(_xlfn.LET(
_xlpm.CSVVal,_xlfn.XLOOKUP($A971,CSV!$A:$A,CSV!P:P,""),
_xlpm.MacVal,_xlfn.XLOOKUP($A971,Output_Mac!$A:$A,Output_Mac!L:L,""),
_xlpm.MyAuditVal,_xlfn.XLOOKUP($A971,My_Audit!$A:$A,My_Audit!K:K,""),
_xlfn.IFS(_xlpm.MyAuditVal&lt;&gt;"",UPPER(_xlpm.MyAuditVal),_xlpm.MacVal&lt;&gt;"",_xlpm.MacVal,_xlpm.CSVVal&lt;&gt;"",_xlpm.CSVVal
)),"")</f>
        <v/>
      </c>
      <c r="M971" s="40" t="str" cm="1">
        <f t="array" ref="M971">IFERROR(_xlfn.LET(
_xlpm.CSVVal,_xlfn.XLOOKUP($A971,CSV!$A:$A,CSV!Q:Q,""),
_xlpm.MacVal,_xlfn.XLOOKUP($A971,Output_Mac!$A:$A,Output_Mac!M:M,""),
_xlpm.MyAuditVal,_xlfn.XLOOKUP($A971,My_Audit!$A:$A,My_Audit!L:L,""),
_xlfn.IFS(_xlpm.MyAuditVal&lt;&gt;"",UPPER(_xlpm.MyAuditVal),_xlpm.MacVal&lt;&gt;"",_xlpm.MacVal,_xlpm.CSVVal&lt;&gt;"",_xlpm.CSVVal
)),"")</f>
        <v/>
      </c>
      <c r="N971" s="40"/>
      <c r="O971" s="40" t="str">
        <f>_xlfn.LET(
    _xlpm.CSVVal, _xlfn.XLOOKUP($A971, CSV!$A:$A, CSV!AA:AA, ""),
    _xlpm.MacVal, _xlfn.XLOOKUP($A971, Output_Mac!$A:$A, Output_Mac!S:S, ""),
    _xlpm.MyAuditVal, _xlfn.XLOOKUP($A971, My_Audit!$A:$A, My_Audit!P:P, ""),
    _xlfn.TEXTJOIN(", ", TRUE, _xlpm.MyAuditVal, _xlpm.MacVal, _xlpm.CSVVal)
)</f>
        <v/>
      </c>
      <c r="P971" s="40" t="str" cm="1">
        <f t="array" ref="P971">IFERROR(_xlfn.LET(
_xlpm.CSVVal,_xlfn.XLOOKUP($A971,CSV!$A:$A,CSV!AB:AB,""),
_xlpm.MacVal,_xlfn.XLOOKUP($A971,Output_Mac!$A:$A,Output_Mac!T:T,""),
_xlpm.MyAuditVal,_xlfn.XLOOKUP($A971,My_Audit!$A:$A,My_Audit!Q:Q,""),
_xlfn.IFS(_xlpm.MyAuditVal&lt;&gt;"",UPPER(_xlpm.MyAuditVal),_xlpm.MacVal&lt;&gt;"",_xlpm.MacVal,_xlpm.CSVVal&lt;&gt;"",_xlpm.CSVVal
)),"No")</f>
        <v>No</v>
      </c>
      <c r="Q971" s="40" t="str" cm="1">
        <f t="array" ref="Q971">IFERROR(_xlfn.LET(
_xlpm.CSVVal,_xlfn.XLOOKUP($A971,CSV!$A:$A,CSV!AC:AC,""),
_xlpm.MacVal,_xlfn.XLOOKUP($A971,Output_Mac!$A:$A,Output_Mac!U:U,""),
_xlpm.MyAuditVal,_xlfn.XLOOKUP($A971,My_Audit!$A:$A,My_Audit!R:R,""),
_xlfn.IFS(_xlpm.MyAuditVal&lt;&gt;"",UPPER(_xlpm.MyAuditVal),_xlpm.MacVal&lt;&gt;"",_xlpm.MacVal,_xlpm.CSVVal&lt;&gt;"",_xlpm.CSVVal
)),"")</f>
        <v/>
      </c>
      <c r="R971" s="40"/>
      <c r="S971" s="40"/>
      <c r="T971" s="40"/>
      <c r="U971" s="40"/>
      <c r="V971" s="40"/>
      <c r="W971" s="40"/>
      <c r="X971" s="41" t="str">
        <f>_xlfn.LET(
    _xlpm.MacVal, _xlfn.XLOOKUP($A971, Output_Mac!$A:$A, Output_Mac!AB:AB, ""),
    _xlpm.MyAuditVal, _xlfn.XLOOKUP($A971, My_Audit!$A:$A, My_Audit!N:N, ""),
    _xlfn.TEXTJOIN(", ", TRUE, _xlpm.MyAuditVal, _xlpm.MacVal)
)</f>
        <v/>
      </c>
    </row>
    <row r="972" spans="1:24">
      <c r="A972" s="40" t="str">
        <f>_xlfn.TEXTJOIN("",TRUE,Input!$B$2,ROW(My_Audit!A971))</f>
        <v>X971</v>
      </c>
      <c r="B972" s="40" t="str">
        <f>_xlfn.TEXTJOIN("-",TRUE,"ITD",Input!$A$2,A972)</f>
        <v>ITD-X971</v>
      </c>
      <c r="C972" s="40" t="str" cm="1">
        <f t="array" ref="C972">IFERROR(_xlfn.LET(
_xlpm.CSVVal,_xlfn.XLOOKUP($A972,CSV!$A:$A,CSV!B:B,""),
_xlpm.MacVal,_xlfn.XLOOKUP($A972,Output_Mac!$A:$A,Output_Mac!B:B,""),
_xlpm.MyAuditVal,_xlfn.XLOOKUP($A972,My_Audit!$A:$A,My_Audit!B:B,""),
_xlfn.IFS(_xlpm.MyAuditVal&lt;&gt;"",UPPER(_xlpm.MyAuditVal),_xlpm.MacVal&lt;&gt;"",_xlpm.MacVal,_xlpm.CSVVal&lt;&gt;"",_xlpm.CSVVal
)),"")</f>
        <v/>
      </c>
      <c r="D972" s="40" t="str" cm="1">
        <f t="array" ref="D972">IFERROR(_xlfn.LET(
_xlpm.CSVVal,_xlfn.XLOOKUP($A972,CSV!$A:$A,CSV!D:D,""),
_xlpm.MacVal,_xlfn.XLOOKUP($A972,Output_Mac!$A:$A,Output_Mac!C:C,""),
_xlpm.MyAuditVal,_xlfn.XLOOKUP($A972,My_Audit!$A:$A,My_Audit!C:C,""),
_xlfn.IFS(_xlpm.MyAuditVal&lt;&gt;"",_xlpm.MyAuditVal,_xlpm.MacVal&lt;&gt;"",_xlpm.MacVal,_xlpm.CSVVal&lt;&gt;"",_xlpm.CSVVal
)),"")</f>
        <v/>
      </c>
      <c r="E972" s="40" t="str">
        <f>_xlfn.XLOOKUP(A972,My_Audit!A:A,My_Audit!D:D,"")</f>
        <v/>
      </c>
      <c r="F972" s="40" t="str" cm="1">
        <f t="array" ref="F972">IFERROR(_xlfn.LET(
_xlpm.CSVVal,_xlfn.XLOOKUP($A972,CSV!$A:$A,CSV!F:F,""),
_xlpm.MacVal,_xlfn.XLOOKUP($A972,Output_Mac!$A:$A,Output_Mac!E:E,""),
_xlpm.MyAuditVal,_xlfn.XLOOKUP($A972,My_Audit!$A:$A,My_Audit!E:E,""),
_xlfn.IFS(_xlpm.MyAuditVal&lt;&gt;"",_xlpm.MyAuditVal,_xlpm.MacVal&lt;&gt;"",_xlpm.MacVal,_xlpm.CSVVal&lt;&gt;"",_xlpm.CSVVal
)),"")</f>
        <v/>
      </c>
      <c r="G972" s="40" t="str" cm="1">
        <f t="array" ref="G972">IFERROR(_xlfn.LET(
_xlpm.CSVVal,_xlfn.XLOOKUP($A972,CSV!$A:$A,CSV!G:G,""),
_xlpm.MacVal,_xlfn.XLOOKUP($A972,Output_Mac!$A:$A,Output_Mac!F:F,""),
_xlpm.MyAuditVal,_xlfn.XLOOKUP($A972,My_Audit!$A:$A,My_Audit!F:F,""),
_xlfn.IFS(_xlpm.MyAuditVal&lt;&gt;"",_xlpm.MyAuditVal,_xlpm.MacVal&lt;&gt;"",_xlpm.MacVal,_xlpm.CSVVal&lt;&gt;"",PROPER(_xlpm.CSVVal)
)),"")</f>
        <v/>
      </c>
      <c r="H972" s="40" t="str" cm="1">
        <f t="array" ref="H972">IFERROR(_xlfn.LET(
_xlpm.CSVVal,_xlfn.XLOOKUP($A972,CSV!$A:$A,CSV!H:H,""),
_xlpm.MacVal,_xlfn.XLOOKUP($A972,Output_Mac!$A:$A,Output_Mac!H:H,""),
_xlpm.MyAuditVal,_xlfn.XLOOKUP($A972,My_Audit!$A:$A,My_Audit!G:G,""),
_xlfn.IFS(_xlpm.MyAuditVal&lt;&gt;"",_xlpm.MyAuditVal,_xlpm.MacVal&lt;&gt;"",_xlpm.MacVal,_xlpm.CSVVal&lt;&gt;"",_xlpm.CSVVal
)),"")</f>
        <v/>
      </c>
      <c r="I972" s="40" t="str">
        <f>_xlfn.XLOOKUP(A972,Output_Mac!A:A,Output_Mac!I:I,"")</f>
        <v/>
      </c>
      <c r="J972" s="40" t="str" cm="1">
        <f t="array" ref="J972">IFERROR(_xlfn.LET(
_xlpm.CSVVal,_xlfn.XLOOKUP($A972,CSV!$A:$A,CSV!I:I,""),
_xlpm.MacVal,_xlfn.XLOOKUP($A972,Output_Mac!$A:$A,Output_Mac!J:J,""),
_xlpm.MyAuditVal,_xlfn.XLOOKUP($A972,My_Audit!$A:$A,My_Audit!I:I,""),
_xlfn.IFS(_xlpm.MyAuditVal&lt;&gt;"",UPPER(_xlpm.MyAuditVal),_xlpm.MacVal&lt;&gt;"",_xlpm.MacVal,_xlpm.CSVVal&lt;&gt;"",_xlpm.CSVVal
)),"")</f>
        <v/>
      </c>
      <c r="K972" s="40" t="str" cm="1">
        <f t="array" ref="K972">IFERROR(_xlfn.LET(
_xlpm.CSVVal,_xlfn.XLOOKUP($A972,CSV!$A:$A,CSV!K:K,""),
_xlpm.MacVal,_xlfn.XLOOKUP($A972,Output_Mac!$A:$A,Output_Mac!K:K,""),
_xlpm.MyAuditVal,_xlfn.XLOOKUP($A972,My_Audit!$A:$A,My_Audit!J:J,""),
_xlfn.IFS(_xlpm.MyAuditVal&lt;&gt;"",UPPER(_xlpm.MyAuditVal),_xlpm.MacVal&lt;&gt;"",_xlpm.MacVal,_xlpm.CSVVal&lt;&gt;"",_xlpm.CSVVal
)),"")</f>
        <v/>
      </c>
      <c r="L972" s="40" t="str" cm="1">
        <f t="array" ref="L972">IFERROR(_xlfn.LET(
_xlpm.CSVVal,_xlfn.XLOOKUP($A972,CSV!$A:$A,CSV!P:P,""),
_xlpm.MacVal,_xlfn.XLOOKUP($A972,Output_Mac!$A:$A,Output_Mac!L:L,""),
_xlpm.MyAuditVal,_xlfn.XLOOKUP($A972,My_Audit!$A:$A,My_Audit!K:K,""),
_xlfn.IFS(_xlpm.MyAuditVal&lt;&gt;"",UPPER(_xlpm.MyAuditVal),_xlpm.MacVal&lt;&gt;"",_xlpm.MacVal,_xlpm.CSVVal&lt;&gt;"",_xlpm.CSVVal
)),"")</f>
        <v/>
      </c>
      <c r="M972" s="40" t="str" cm="1">
        <f t="array" ref="M972">IFERROR(_xlfn.LET(
_xlpm.CSVVal,_xlfn.XLOOKUP($A972,CSV!$A:$A,CSV!Q:Q,""),
_xlpm.MacVal,_xlfn.XLOOKUP($A972,Output_Mac!$A:$A,Output_Mac!M:M,""),
_xlpm.MyAuditVal,_xlfn.XLOOKUP($A972,My_Audit!$A:$A,My_Audit!L:L,""),
_xlfn.IFS(_xlpm.MyAuditVal&lt;&gt;"",UPPER(_xlpm.MyAuditVal),_xlpm.MacVal&lt;&gt;"",_xlpm.MacVal,_xlpm.CSVVal&lt;&gt;"",_xlpm.CSVVal
)),"")</f>
        <v/>
      </c>
      <c r="N972" s="40"/>
      <c r="O972" s="40" t="str">
        <f>_xlfn.LET(
    _xlpm.CSVVal, _xlfn.XLOOKUP($A972, CSV!$A:$A, CSV!AA:AA, ""),
    _xlpm.MacVal, _xlfn.XLOOKUP($A972, Output_Mac!$A:$A, Output_Mac!S:S, ""),
    _xlpm.MyAuditVal, _xlfn.XLOOKUP($A972, My_Audit!$A:$A, My_Audit!P:P, ""),
    _xlfn.TEXTJOIN(", ", TRUE, _xlpm.MyAuditVal, _xlpm.MacVal, _xlpm.CSVVal)
)</f>
        <v/>
      </c>
      <c r="P972" s="40" t="str" cm="1">
        <f t="array" ref="P972">IFERROR(_xlfn.LET(
_xlpm.CSVVal,_xlfn.XLOOKUP($A972,CSV!$A:$A,CSV!AB:AB,""),
_xlpm.MacVal,_xlfn.XLOOKUP($A972,Output_Mac!$A:$A,Output_Mac!T:T,""),
_xlpm.MyAuditVal,_xlfn.XLOOKUP($A972,My_Audit!$A:$A,My_Audit!Q:Q,""),
_xlfn.IFS(_xlpm.MyAuditVal&lt;&gt;"",UPPER(_xlpm.MyAuditVal),_xlpm.MacVal&lt;&gt;"",_xlpm.MacVal,_xlpm.CSVVal&lt;&gt;"",_xlpm.CSVVal
)),"No")</f>
        <v>No</v>
      </c>
      <c r="Q972" s="40" t="str" cm="1">
        <f t="array" ref="Q972">IFERROR(_xlfn.LET(
_xlpm.CSVVal,_xlfn.XLOOKUP($A972,CSV!$A:$A,CSV!AC:AC,""),
_xlpm.MacVal,_xlfn.XLOOKUP($A972,Output_Mac!$A:$A,Output_Mac!U:U,""),
_xlpm.MyAuditVal,_xlfn.XLOOKUP($A972,My_Audit!$A:$A,My_Audit!R:R,""),
_xlfn.IFS(_xlpm.MyAuditVal&lt;&gt;"",UPPER(_xlpm.MyAuditVal),_xlpm.MacVal&lt;&gt;"",_xlpm.MacVal,_xlpm.CSVVal&lt;&gt;"",_xlpm.CSVVal
)),"")</f>
        <v/>
      </c>
      <c r="R972" s="40"/>
      <c r="S972" s="40"/>
      <c r="T972" s="40"/>
      <c r="U972" s="40"/>
      <c r="V972" s="40"/>
      <c r="W972" s="40"/>
      <c r="X972" s="41" t="str">
        <f>_xlfn.LET(
    _xlpm.MacVal, _xlfn.XLOOKUP($A972, Output_Mac!$A:$A, Output_Mac!AB:AB, ""),
    _xlpm.MyAuditVal, _xlfn.XLOOKUP($A972, My_Audit!$A:$A, My_Audit!N:N, ""),
    _xlfn.TEXTJOIN(", ", TRUE, _xlpm.MyAuditVal, _xlpm.MacVal)
)</f>
        <v/>
      </c>
    </row>
    <row r="973" spans="1:24">
      <c r="A973" s="40" t="str">
        <f>_xlfn.TEXTJOIN("",TRUE,Input!$B$2,ROW(My_Audit!A972))</f>
        <v>X972</v>
      </c>
      <c r="B973" s="40" t="str">
        <f>_xlfn.TEXTJOIN("-",TRUE,"ITD",Input!$A$2,A973)</f>
        <v>ITD-X972</v>
      </c>
      <c r="C973" s="40" t="str" cm="1">
        <f t="array" ref="C973">IFERROR(_xlfn.LET(
_xlpm.CSVVal,_xlfn.XLOOKUP($A973,CSV!$A:$A,CSV!B:B,""),
_xlpm.MacVal,_xlfn.XLOOKUP($A973,Output_Mac!$A:$A,Output_Mac!B:B,""),
_xlpm.MyAuditVal,_xlfn.XLOOKUP($A973,My_Audit!$A:$A,My_Audit!B:B,""),
_xlfn.IFS(_xlpm.MyAuditVal&lt;&gt;"",UPPER(_xlpm.MyAuditVal),_xlpm.MacVal&lt;&gt;"",_xlpm.MacVal,_xlpm.CSVVal&lt;&gt;"",_xlpm.CSVVal
)),"")</f>
        <v/>
      </c>
      <c r="D973" s="40" t="str" cm="1">
        <f t="array" ref="D973">IFERROR(_xlfn.LET(
_xlpm.CSVVal,_xlfn.XLOOKUP($A973,CSV!$A:$A,CSV!D:D,""),
_xlpm.MacVal,_xlfn.XLOOKUP($A973,Output_Mac!$A:$A,Output_Mac!C:C,""),
_xlpm.MyAuditVal,_xlfn.XLOOKUP($A973,My_Audit!$A:$A,My_Audit!C:C,""),
_xlfn.IFS(_xlpm.MyAuditVal&lt;&gt;"",_xlpm.MyAuditVal,_xlpm.MacVal&lt;&gt;"",_xlpm.MacVal,_xlpm.CSVVal&lt;&gt;"",_xlpm.CSVVal
)),"")</f>
        <v/>
      </c>
      <c r="E973" s="40" t="str">
        <f>_xlfn.XLOOKUP(A973,My_Audit!A:A,My_Audit!D:D,"")</f>
        <v/>
      </c>
      <c r="F973" s="40" t="str" cm="1">
        <f t="array" ref="F973">IFERROR(_xlfn.LET(
_xlpm.CSVVal,_xlfn.XLOOKUP($A973,CSV!$A:$A,CSV!F:F,""),
_xlpm.MacVal,_xlfn.XLOOKUP($A973,Output_Mac!$A:$A,Output_Mac!E:E,""),
_xlpm.MyAuditVal,_xlfn.XLOOKUP($A973,My_Audit!$A:$A,My_Audit!E:E,""),
_xlfn.IFS(_xlpm.MyAuditVal&lt;&gt;"",_xlpm.MyAuditVal,_xlpm.MacVal&lt;&gt;"",_xlpm.MacVal,_xlpm.CSVVal&lt;&gt;"",_xlpm.CSVVal
)),"")</f>
        <v/>
      </c>
      <c r="G973" s="40" t="str" cm="1">
        <f t="array" ref="G973">IFERROR(_xlfn.LET(
_xlpm.CSVVal,_xlfn.XLOOKUP($A973,CSV!$A:$A,CSV!G:G,""),
_xlpm.MacVal,_xlfn.XLOOKUP($A973,Output_Mac!$A:$A,Output_Mac!F:F,""),
_xlpm.MyAuditVal,_xlfn.XLOOKUP($A973,My_Audit!$A:$A,My_Audit!F:F,""),
_xlfn.IFS(_xlpm.MyAuditVal&lt;&gt;"",_xlpm.MyAuditVal,_xlpm.MacVal&lt;&gt;"",_xlpm.MacVal,_xlpm.CSVVal&lt;&gt;"",PROPER(_xlpm.CSVVal)
)),"")</f>
        <v/>
      </c>
      <c r="H973" s="40" t="str" cm="1">
        <f t="array" ref="H973">IFERROR(_xlfn.LET(
_xlpm.CSVVal,_xlfn.XLOOKUP($A973,CSV!$A:$A,CSV!H:H,""),
_xlpm.MacVal,_xlfn.XLOOKUP($A973,Output_Mac!$A:$A,Output_Mac!H:H,""),
_xlpm.MyAuditVal,_xlfn.XLOOKUP($A973,My_Audit!$A:$A,My_Audit!G:G,""),
_xlfn.IFS(_xlpm.MyAuditVal&lt;&gt;"",_xlpm.MyAuditVal,_xlpm.MacVal&lt;&gt;"",_xlpm.MacVal,_xlpm.CSVVal&lt;&gt;"",_xlpm.CSVVal
)),"")</f>
        <v/>
      </c>
      <c r="I973" s="40" t="str">
        <f>_xlfn.XLOOKUP(A973,Output_Mac!A:A,Output_Mac!I:I,"")</f>
        <v/>
      </c>
      <c r="J973" s="40" t="str" cm="1">
        <f t="array" ref="J973">IFERROR(_xlfn.LET(
_xlpm.CSVVal,_xlfn.XLOOKUP($A973,CSV!$A:$A,CSV!I:I,""),
_xlpm.MacVal,_xlfn.XLOOKUP($A973,Output_Mac!$A:$A,Output_Mac!J:J,""),
_xlpm.MyAuditVal,_xlfn.XLOOKUP($A973,My_Audit!$A:$A,My_Audit!I:I,""),
_xlfn.IFS(_xlpm.MyAuditVal&lt;&gt;"",UPPER(_xlpm.MyAuditVal),_xlpm.MacVal&lt;&gt;"",_xlpm.MacVal,_xlpm.CSVVal&lt;&gt;"",_xlpm.CSVVal
)),"")</f>
        <v/>
      </c>
      <c r="K973" s="40" t="str" cm="1">
        <f t="array" ref="K973">IFERROR(_xlfn.LET(
_xlpm.CSVVal,_xlfn.XLOOKUP($A973,CSV!$A:$A,CSV!K:K,""),
_xlpm.MacVal,_xlfn.XLOOKUP($A973,Output_Mac!$A:$A,Output_Mac!K:K,""),
_xlpm.MyAuditVal,_xlfn.XLOOKUP($A973,My_Audit!$A:$A,My_Audit!J:J,""),
_xlfn.IFS(_xlpm.MyAuditVal&lt;&gt;"",UPPER(_xlpm.MyAuditVal),_xlpm.MacVal&lt;&gt;"",_xlpm.MacVal,_xlpm.CSVVal&lt;&gt;"",_xlpm.CSVVal
)),"")</f>
        <v/>
      </c>
      <c r="L973" s="40" t="str" cm="1">
        <f t="array" ref="L973">IFERROR(_xlfn.LET(
_xlpm.CSVVal,_xlfn.XLOOKUP($A973,CSV!$A:$A,CSV!P:P,""),
_xlpm.MacVal,_xlfn.XLOOKUP($A973,Output_Mac!$A:$A,Output_Mac!L:L,""),
_xlpm.MyAuditVal,_xlfn.XLOOKUP($A973,My_Audit!$A:$A,My_Audit!K:K,""),
_xlfn.IFS(_xlpm.MyAuditVal&lt;&gt;"",UPPER(_xlpm.MyAuditVal),_xlpm.MacVal&lt;&gt;"",_xlpm.MacVal,_xlpm.CSVVal&lt;&gt;"",_xlpm.CSVVal
)),"")</f>
        <v/>
      </c>
      <c r="M973" s="40" t="str" cm="1">
        <f t="array" ref="M973">IFERROR(_xlfn.LET(
_xlpm.CSVVal,_xlfn.XLOOKUP($A973,CSV!$A:$A,CSV!Q:Q,""),
_xlpm.MacVal,_xlfn.XLOOKUP($A973,Output_Mac!$A:$A,Output_Mac!M:M,""),
_xlpm.MyAuditVal,_xlfn.XLOOKUP($A973,My_Audit!$A:$A,My_Audit!L:L,""),
_xlfn.IFS(_xlpm.MyAuditVal&lt;&gt;"",UPPER(_xlpm.MyAuditVal),_xlpm.MacVal&lt;&gt;"",_xlpm.MacVal,_xlpm.CSVVal&lt;&gt;"",_xlpm.CSVVal
)),"")</f>
        <v/>
      </c>
      <c r="N973" s="40"/>
      <c r="O973" s="40" t="str">
        <f>_xlfn.LET(
    _xlpm.CSVVal, _xlfn.XLOOKUP($A973, CSV!$A:$A, CSV!AA:AA, ""),
    _xlpm.MacVal, _xlfn.XLOOKUP($A973, Output_Mac!$A:$A, Output_Mac!S:S, ""),
    _xlpm.MyAuditVal, _xlfn.XLOOKUP($A973, My_Audit!$A:$A, My_Audit!P:P, ""),
    _xlfn.TEXTJOIN(", ", TRUE, _xlpm.MyAuditVal, _xlpm.MacVal, _xlpm.CSVVal)
)</f>
        <v/>
      </c>
      <c r="P973" s="40" t="str" cm="1">
        <f t="array" ref="P973">IFERROR(_xlfn.LET(
_xlpm.CSVVal,_xlfn.XLOOKUP($A973,CSV!$A:$A,CSV!AB:AB,""),
_xlpm.MacVal,_xlfn.XLOOKUP($A973,Output_Mac!$A:$A,Output_Mac!T:T,""),
_xlpm.MyAuditVal,_xlfn.XLOOKUP($A973,My_Audit!$A:$A,My_Audit!Q:Q,""),
_xlfn.IFS(_xlpm.MyAuditVal&lt;&gt;"",UPPER(_xlpm.MyAuditVal),_xlpm.MacVal&lt;&gt;"",_xlpm.MacVal,_xlpm.CSVVal&lt;&gt;"",_xlpm.CSVVal
)),"No")</f>
        <v>No</v>
      </c>
      <c r="Q973" s="40" t="str" cm="1">
        <f t="array" ref="Q973">IFERROR(_xlfn.LET(
_xlpm.CSVVal,_xlfn.XLOOKUP($A973,CSV!$A:$A,CSV!AC:AC,""),
_xlpm.MacVal,_xlfn.XLOOKUP($A973,Output_Mac!$A:$A,Output_Mac!U:U,""),
_xlpm.MyAuditVal,_xlfn.XLOOKUP($A973,My_Audit!$A:$A,My_Audit!R:R,""),
_xlfn.IFS(_xlpm.MyAuditVal&lt;&gt;"",UPPER(_xlpm.MyAuditVal),_xlpm.MacVal&lt;&gt;"",_xlpm.MacVal,_xlpm.CSVVal&lt;&gt;"",_xlpm.CSVVal
)),"")</f>
        <v/>
      </c>
      <c r="R973" s="40"/>
      <c r="S973" s="40"/>
      <c r="T973" s="40"/>
      <c r="U973" s="40"/>
      <c r="V973" s="40"/>
      <c r="W973" s="40"/>
      <c r="X973" s="41" t="str">
        <f>_xlfn.LET(
    _xlpm.MacVal, _xlfn.XLOOKUP($A973, Output_Mac!$A:$A, Output_Mac!AB:AB, ""),
    _xlpm.MyAuditVal, _xlfn.XLOOKUP($A973, My_Audit!$A:$A, My_Audit!N:N, ""),
    _xlfn.TEXTJOIN(", ", TRUE, _xlpm.MyAuditVal, _xlpm.MacVal)
)</f>
        <v/>
      </c>
    </row>
    <row r="974" spans="1:24">
      <c r="A974" s="40" t="str">
        <f>_xlfn.TEXTJOIN("",TRUE,Input!$B$2,ROW(My_Audit!A973))</f>
        <v>X973</v>
      </c>
      <c r="B974" s="40" t="str">
        <f>_xlfn.TEXTJOIN("-",TRUE,"ITD",Input!$A$2,A974)</f>
        <v>ITD-X973</v>
      </c>
      <c r="C974" s="40" t="str" cm="1">
        <f t="array" ref="C974">IFERROR(_xlfn.LET(
_xlpm.CSVVal,_xlfn.XLOOKUP($A974,CSV!$A:$A,CSV!B:B,""),
_xlpm.MacVal,_xlfn.XLOOKUP($A974,Output_Mac!$A:$A,Output_Mac!B:B,""),
_xlpm.MyAuditVal,_xlfn.XLOOKUP($A974,My_Audit!$A:$A,My_Audit!B:B,""),
_xlfn.IFS(_xlpm.MyAuditVal&lt;&gt;"",UPPER(_xlpm.MyAuditVal),_xlpm.MacVal&lt;&gt;"",_xlpm.MacVal,_xlpm.CSVVal&lt;&gt;"",_xlpm.CSVVal
)),"")</f>
        <v/>
      </c>
      <c r="D974" s="40" t="str" cm="1">
        <f t="array" ref="D974">IFERROR(_xlfn.LET(
_xlpm.CSVVal,_xlfn.XLOOKUP($A974,CSV!$A:$A,CSV!D:D,""),
_xlpm.MacVal,_xlfn.XLOOKUP($A974,Output_Mac!$A:$A,Output_Mac!C:C,""),
_xlpm.MyAuditVal,_xlfn.XLOOKUP($A974,My_Audit!$A:$A,My_Audit!C:C,""),
_xlfn.IFS(_xlpm.MyAuditVal&lt;&gt;"",_xlpm.MyAuditVal,_xlpm.MacVal&lt;&gt;"",_xlpm.MacVal,_xlpm.CSVVal&lt;&gt;"",_xlpm.CSVVal
)),"")</f>
        <v/>
      </c>
      <c r="E974" s="40" t="str">
        <f>_xlfn.XLOOKUP(A974,My_Audit!A:A,My_Audit!D:D,"")</f>
        <v/>
      </c>
      <c r="F974" s="40" t="str" cm="1">
        <f t="array" ref="F974">IFERROR(_xlfn.LET(
_xlpm.CSVVal,_xlfn.XLOOKUP($A974,CSV!$A:$A,CSV!F:F,""),
_xlpm.MacVal,_xlfn.XLOOKUP($A974,Output_Mac!$A:$A,Output_Mac!E:E,""),
_xlpm.MyAuditVal,_xlfn.XLOOKUP($A974,My_Audit!$A:$A,My_Audit!E:E,""),
_xlfn.IFS(_xlpm.MyAuditVal&lt;&gt;"",_xlpm.MyAuditVal,_xlpm.MacVal&lt;&gt;"",_xlpm.MacVal,_xlpm.CSVVal&lt;&gt;"",_xlpm.CSVVal
)),"")</f>
        <v/>
      </c>
      <c r="G974" s="40" t="str" cm="1">
        <f t="array" ref="G974">IFERROR(_xlfn.LET(
_xlpm.CSVVal,_xlfn.XLOOKUP($A974,CSV!$A:$A,CSV!G:G,""),
_xlpm.MacVal,_xlfn.XLOOKUP($A974,Output_Mac!$A:$A,Output_Mac!F:F,""),
_xlpm.MyAuditVal,_xlfn.XLOOKUP($A974,My_Audit!$A:$A,My_Audit!F:F,""),
_xlfn.IFS(_xlpm.MyAuditVal&lt;&gt;"",_xlpm.MyAuditVal,_xlpm.MacVal&lt;&gt;"",_xlpm.MacVal,_xlpm.CSVVal&lt;&gt;"",PROPER(_xlpm.CSVVal)
)),"")</f>
        <v/>
      </c>
      <c r="H974" s="40" t="str" cm="1">
        <f t="array" ref="H974">IFERROR(_xlfn.LET(
_xlpm.CSVVal,_xlfn.XLOOKUP($A974,CSV!$A:$A,CSV!H:H,""),
_xlpm.MacVal,_xlfn.XLOOKUP($A974,Output_Mac!$A:$A,Output_Mac!H:H,""),
_xlpm.MyAuditVal,_xlfn.XLOOKUP($A974,My_Audit!$A:$A,My_Audit!G:G,""),
_xlfn.IFS(_xlpm.MyAuditVal&lt;&gt;"",_xlpm.MyAuditVal,_xlpm.MacVal&lt;&gt;"",_xlpm.MacVal,_xlpm.CSVVal&lt;&gt;"",_xlpm.CSVVal
)),"")</f>
        <v/>
      </c>
      <c r="I974" s="40" t="str">
        <f>_xlfn.XLOOKUP(A974,Output_Mac!A:A,Output_Mac!I:I,"")</f>
        <v/>
      </c>
      <c r="J974" s="40" t="str" cm="1">
        <f t="array" ref="J974">IFERROR(_xlfn.LET(
_xlpm.CSVVal,_xlfn.XLOOKUP($A974,CSV!$A:$A,CSV!I:I,""),
_xlpm.MacVal,_xlfn.XLOOKUP($A974,Output_Mac!$A:$A,Output_Mac!J:J,""),
_xlpm.MyAuditVal,_xlfn.XLOOKUP($A974,My_Audit!$A:$A,My_Audit!I:I,""),
_xlfn.IFS(_xlpm.MyAuditVal&lt;&gt;"",UPPER(_xlpm.MyAuditVal),_xlpm.MacVal&lt;&gt;"",_xlpm.MacVal,_xlpm.CSVVal&lt;&gt;"",_xlpm.CSVVal
)),"")</f>
        <v/>
      </c>
      <c r="K974" s="40" t="str" cm="1">
        <f t="array" ref="K974">IFERROR(_xlfn.LET(
_xlpm.CSVVal,_xlfn.XLOOKUP($A974,CSV!$A:$A,CSV!K:K,""),
_xlpm.MacVal,_xlfn.XLOOKUP($A974,Output_Mac!$A:$A,Output_Mac!K:K,""),
_xlpm.MyAuditVal,_xlfn.XLOOKUP($A974,My_Audit!$A:$A,My_Audit!J:J,""),
_xlfn.IFS(_xlpm.MyAuditVal&lt;&gt;"",UPPER(_xlpm.MyAuditVal),_xlpm.MacVal&lt;&gt;"",_xlpm.MacVal,_xlpm.CSVVal&lt;&gt;"",_xlpm.CSVVal
)),"")</f>
        <v/>
      </c>
      <c r="L974" s="40" t="str" cm="1">
        <f t="array" ref="L974">IFERROR(_xlfn.LET(
_xlpm.CSVVal,_xlfn.XLOOKUP($A974,CSV!$A:$A,CSV!P:P,""),
_xlpm.MacVal,_xlfn.XLOOKUP($A974,Output_Mac!$A:$A,Output_Mac!L:L,""),
_xlpm.MyAuditVal,_xlfn.XLOOKUP($A974,My_Audit!$A:$A,My_Audit!K:K,""),
_xlfn.IFS(_xlpm.MyAuditVal&lt;&gt;"",UPPER(_xlpm.MyAuditVal),_xlpm.MacVal&lt;&gt;"",_xlpm.MacVal,_xlpm.CSVVal&lt;&gt;"",_xlpm.CSVVal
)),"")</f>
        <v/>
      </c>
      <c r="M974" s="40" t="str" cm="1">
        <f t="array" ref="M974">IFERROR(_xlfn.LET(
_xlpm.CSVVal,_xlfn.XLOOKUP($A974,CSV!$A:$A,CSV!Q:Q,""),
_xlpm.MacVal,_xlfn.XLOOKUP($A974,Output_Mac!$A:$A,Output_Mac!M:M,""),
_xlpm.MyAuditVal,_xlfn.XLOOKUP($A974,My_Audit!$A:$A,My_Audit!L:L,""),
_xlfn.IFS(_xlpm.MyAuditVal&lt;&gt;"",UPPER(_xlpm.MyAuditVal),_xlpm.MacVal&lt;&gt;"",_xlpm.MacVal,_xlpm.CSVVal&lt;&gt;"",_xlpm.CSVVal
)),"")</f>
        <v/>
      </c>
      <c r="N974" s="40"/>
      <c r="O974" s="40" t="str">
        <f>_xlfn.LET(
    _xlpm.CSVVal, _xlfn.XLOOKUP($A974, CSV!$A:$A, CSV!AA:AA, ""),
    _xlpm.MacVal, _xlfn.XLOOKUP($A974, Output_Mac!$A:$A, Output_Mac!S:S, ""),
    _xlpm.MyAuditVal, _xlfn.XLOOKUP($A974, My_Audit!$A:$A, My_Audit!P:P, ""),
    _xlfn.TEXTJOIN(", ", TRUE, _xlpm.MyAuditVal, _xlpm.MacVal, _xlpm.CSVVal)
)</f>
        <v/>
      </c>
      <c r="P974" s="40" t="str" cm="1">
        <f t="array" ref="P974">IFERROR(_xlfn.LET(
_xlpm.CSVVal,_xlfn.XLOOKUP($A974,CSV!$A:$A,CSV!AB:AB,""),
_xlpm.MacVal,_xlfn.XLOOKUP($A974,Output_Mac!$A:$A,Output_Mac!T:T,""),
_xlpm.MyAuditVal,_xlfn.XLOOKUP($A974,My_Audit!$A:$A,My_Audit!Q:Q,""),
_xlfn.IFS(_xlpm.MyAuditVal&lt;&gt;"",UPPER(_xlpm.MyAuditVal),_xlpm.MacVal&lt;&gt;"",_xlpm.MacVal,_xlpm.CSVVal&lt;&gt;"",_xlpm.CSVVal
)),"No")</f>
        <v>No</v>
      </c>
      <c r="Q974" s="40" t="str" cm="1">
        <f t="array" ref="Q974">IFERROR(_xlfn.LET(
_xlpm.CSVVal,_xlfn.XLOOKUP($A974,CSV!$A:$A,CSV!AC:AC,""),
_xlpm.MacVal,_xlfn.XLOOKUP($A974,Output_Mac!$A:$A,Output_Mac!U:U,""),
_xlpm.MyAuditVal,_xlfn.XLOOKUP($A974,My_Audit!$A:$A,My_Audit!R:R,""),
_xlfn.IFS(_xlpm.MyAuditVal&lt;&gt;"",UPPER(_xlpm.MyAuditVal),_xlpm.MacVal&lt;&gt;"",_xlpm.MacVal,_xlpm.CSVVal&lt;&gt;"",_xlpm.CSVVal
)),"")</f>
        <v/>
      </c>
      <c r="R974" s="40"/>
      <c r="S974" s="40"/>
      <c r="T974" s="40"/>
      <c r="U974" s="40"/>
      <c r="V974" s="40"/>
      <c r="W974" s="40"/>
      <c r="X974" s="41" t="str">
        <f>_xlfn.LET(
    _xlpm.MacVal, _xlfn.XLOOKUP($A974, Output_Mac!$A:$A, Output_Mac!AB:AB, ""),
    _xlpm.MyAuditVal, _xlfn.XLOOKUP($A974, My_Audit!$A:$A, My_Audit!N:N, ""),
    _xlfn.TEXTJOIN(", ", TRUE, _xlpm.MyAuditVal, _xlpm.MacVal)
)</f>
        <v/>
      </c>
    </row>
    <row r="975" spans="1:24">
      <c r="A975" s="40" t="str">
        <f>_xlfn.TEXTJOIN("",TRUE,Input!$B$2,ROW(My_Audit!A974))</f>
        <v>X974</v>
      </c>
      <c r="B975" s="40" t="str">
        <f>_xlfn.TEXTJOIN("-",TRUE,"ITD",Input!$A$2,A975)</f>
        <v>ITD-X974</v>
      </c>
      <c r="C975" s="40" t="str" cm="1">
        <f t="array" ref="C975">IFERROR(_xlfn.LET(
_xlpm.CSVVal,_xlfn.XLOOKUP($A975,CSV!$A:$A,CSV!B:B,""),
_xlpm.MacVal,_xlfn.XLOOKUP($A975,Output_Mac!$A:$A,Output_Mac!B:B,""),
_xlpm.MyAuditVal,_xlfn.XLOOKUP($A975,My_Audit!$A:$A,My_Audit!B:B,""),
_xlfn.IFS(_xlpm.MyAuditVal&lt;&gt;"",UPPER(_xlpm.MyAuditVal),_xlpm.MacVal&lt;&gt;"",_xlpm.MacVal,_xlpm.CSVVal&lt;&gt;"",_xlpm.CSVVal
)),"")</f>
        <v/>
      </c>
      <c r="D975" s="40" t="str" cm="1">
        <f t="array" ref="D975">IFERROR(_xlfn.LET(
_xlpm.CSVVal,_xlfn.XLOOKUP($A975,CSV!$A:$A,CSV!D:D,""),
_xlpm.MacVal,_xlfn.XLOOKUP($A975,Output_Mac!$A:$A,Output_Mac!C:C,""),
_xlpm.MyAuditVal,_xlfn.XLOOKUP($A975,My_Audit!$A:$A,My_Audit!C:C,""),
_xlfn.IFS(_xlpm.MyAuditVal&lt;&gt;"",_xlpm.MyAuditVal,_xlpm.MacVal&lt;&gt;"",_xlpm.MacVal,_xlpm.CSVVal&lt;&gt;"",_xlpm.CSVVal
)),"")</f>
        <v/>
      </c>
      <c r="E975" s="40" t="str">
        <f>_xlfn.XLOOKUP(A975,My_Audit!A:A,My_Audit!D:D,"")</f>
        <v/>
      </c>
      <c r="F975" s="40" t="str" cm="1">
        <f t="array" ref="F975">IFERROR(_xlfn.LET(
_xlpm.CSVVal,_xlfn.XLOOKUP($A975,CSV!$A:$A,CSV!F:F,""),
_xlpm.MacVal,_xlfn.XLOOKUP($A975,Output_Mac!$A:$A,Output_Mac!E:E,""),
_xlpm.MyAuditVal,_xlfn.XLOOKUP($A975,My_Audit!$A:$A,My_Audit!E:E,""),
_xlfn.IFS(_xlpm.MyAuditVal&lt;&gt;"",_xlpm.MyAuditVal,_xlpm.MacVal&lt;&gt;"",_xlpm.MacVal,_xlpm.CSVVal&lt;&gt;"",_xlpm.CSVVal
)),"")</f>
        <v/>
      </c>
      <c r="G975" s="40" t="str" cm="1">
        <f t="array" ref="G975">IFERROR(_xlfn.LET(
_xlpm.CSVVal,_xlfn.XLOOKUP($A975,CSV!$A:$A,CSV!G:G,""),
_xlpm.MacVal,_xlfn.XLOOKUP($A975,Output_Mac!$A:$A,Output_Mac!F:F,""),
_xlpm.MyAuditVal,_xlfn.XLOOKUP($A975,My_Audit!$A:$A,My_Audit!F:F,""),
_xlfn.IFS(_xlpm.MyAuditVal&lt;&gt;"",_xlpm.MyAuditVal,_xlpm.MacVal&lt;&gt;"",_xlpm.MacVal,_xlpm.CSVVal&lt;&gt;"",PROPER(_xlpm.CSVVal)
)),"")</f>
        <v/>
      </c>
      <c r="H975" s="40" t="str" cm="1">
        <f t="array" ref="H975">IFERROR(_xlfn.LET(
_xlpm.CSVVal,_xlfn.XLOOKUP($A975,CSV!$A:$A,CSV!H:H,""),
_xlpm.MacVal,_xlfn.XLOOKUP($A975,Output_Mac!$A:$A,Output_Mac!H:H,""),
_xlpm.MyAuditVal,_xlfn.XLOOKUP($A975,My_Audit!$A:$A,My_Audit!G:G,""),
_xlfn.IFS(_xlpm.MyAuditVal&lt;&gt;"",_xlpm.MyAuditVal,_xlpm.MacVal&lt;&gt;"",_xlpm.MacVal,_xlpm.CSVVal&lt;&gt;"",_xlpm.CSVVal
)),"")</f>
        <v/>
      </c>
      <c r="I975" s="40" t="str">
        <f>_xlfn.XLOOKUP(A975,Output_Mac!A:A,Output_Mac!I:I,"")</f>
        <v/>
      </c>
      <c r="J975" s="40" t="str" cm="1">
        <f t="array" ref="J975">IFERROR(_xlfn.LET(
_xlpm.CSVVal,_xlfn.XLOOKUP($A975,CSV!$A:$A,CSV!I:I,""),
_xlpm.MacVal,_xlfn.XLOOKUP($A975,Output_Mac!$A:$A,Output_Mac!J:J,""),
_xlpm.MyAuditVal,_xlfn.XLOOKUP($A975,My_Audit!$A:$A,My_Audit!I:I,""),
_xlfn.IFS(_xlpm.MyAuditVal&lt;&gt;"",UPPER(_xlpm.MyAuditVal),_xlpm.MacVal&lt;&gt;"",_xlpm.MacVal,_xlpm.CSVVal&lt;&gt;"",_xlpm.CSVVal
)),"")</f>
        <v/>
      </c>
      <c r="K975" s="40" t="str" cm="1">
        <f t="array" ref="K975">IFERROR(_xlfn.LET(
_xlpm.CSVVal,_xlfn.XLOOKUP($A975,CSV!$A:$A,CSV!K:K,""),
_xlpm.MacVal,_xlfn.XLOOKUP($A975,Output_Mac!$A:$A,Output_Mac!K:K,""),
_xlpm.MyAuditVal,_xlfn.XLOOKUP($A975,My_Audit!$A:$A,My_Audit!J:J,""),
_xlfn.IFS(_xlpm.MyAuditVal&lt;&gt;"",UPPER(_xlpm.MyAuditVal),_xlpm.MacVal&lt;&gt;"",_xlpm.MacVal,_xlpm.CSVVal&lt;&gt;"",_xlpm.CSVVal
)),"")</f>
        <v/>
      </c>
      <c r="L975" s="40" t="str" cm="1">
        <f t="array" ref="L975">IFERROR(_xlfn.LET(
_xlpm.CSVVal,_xlfn.XLOOKUP($A975,CSV!$A:$A,CSV!P:P,""),
_xlpm.MacVal,_xlfn.XLOOKUP($A975,Output_Mac!$A:$A,Output_Mac!L:L,""),
_xlpm.MyAuditVal,_xlfn.XLOOKUP($A975,My_Audit!$A:$A,My_Audit!K:K,""),
_xlfn.IFS(_xlpm.MyAuditVal&lt;&gt;"",UPPER(_xlpm.MyAuditVal),_xlpm.MacVal&lt;&gt;"",_xlpm.MacVal,_xlpm.CSVVal&lt;&gt;"",_xlpm.CSVVal
)),"")</f>
        <v/>
      </c>
      <c r="M975" s="40" t="str" cm="1">
        <f t="array" ref="M975">IFERROR(_xlfn.LET(
_xlpm.CSVVal,_xlfn.XLOOKUP($A975,CSV!$A:$A,CSV!Q:Q,""),
_xlpm.MacVal,_xlfn.XLOOKUP($A975,Output_Mac!$A:$A,Output_Mac!M:M,""),
_xlpm.MyAuditVal,_xlfn.XLOOKUP($A975,My_Audit!$A:$A,My_Audit!L:L,""),
_xlfn.IFS(_xlpm.MyAuditVal&lt;&gt;"",UPPER(_xlpm.MyAuditVal),_xlpm.MacVal&lt;&gt;"",_xlpm.MacVal,_xlpm.CSVVal&lt;&gt;"",_xlpm.CSVVal
)),"")</f>
        <v/>
      </c>
      <c r="N975" s="40"/>
      <c r="O975" s="40" t="str">
        <f>_xlfn.LET(
    _xlpm.CSVVal, _xlfn.XLOOKUP($A975, CSV!$A:$A, CSV!AA:AA, ""),
    _xlpm.MacVal, _xlfn.XLOOKUP($A975, Output_Mac!$A:$A, Output_Mac!S:S, ""),
    _xlpm.MyAuditVal, _xlfn.XLOOKUP($A975, My_Audit!$A:$A, My_Audit!P:P, ""),
    _xlfn.TEXTJOIN(", ", TRUE, _xlpm.MyAuditVal, _xlpm.MacVal, _xlpm.CSVVal)
)</f>
        <v/>
      </c>
      <c r="P975" s="40" t="str" cm="1">
        <f t="array" ref="P975">IFERROR(_xlfn.LET(
_xlpm.CSVVal,_xlfn.XLOOKUP($A975,CSV!$A:$A,CSV!AB:AB,""),
_xlpm.MacVal,_xlfn.XLOOKUP($A975,Output_Mac!$A:$A,Output_Mac!T:T,""),
_xlpm.MyAuditVal,_xlfn.XLOOKUP($A975,My_Audit!$A:$A,My_Audit!Q:Q,""),
_xlfn.IFS(_xlpm.MyAuditVal&lt;&gt;"",UPPER(_xlpm.MyAuditVal),_xlpm.MacVal&lt;&gt;"",_xlpm.MacVal,_xlpm.CSVVal&lt;&gt;"",_xlpm.CSVVal
)),"No")</f>
        <v>No</v>
      </c>
      <c r="Q975" s="40" t="str" cm="1">
        <f t="array" ref="Q975">IFERROR(_xlfn.LET(
_xlpm.CSVVal,_xlfn.XLOOKUP($A975,CSV!$A:$A,CSV!AC:AC,""),
_xlpm.MacVal,_xlfn.XLOOKUP($A975,Output_Mac!$A:$A,Output_Mac!U:U,""),
_xlpm.MyAuditVal,_xlfn.XLOOKUP($A975,My_Audit!$A:$A,My_Audit!R:R,""),
_xlfn.IFS(_xlpm.MyAuditVal&lt;&gt;"",UPPER(_xlpm.MyAuditVal),_xlpm.MacVal&lt;&gt;"",_xlpm.MacVal,_xlpm.CSVVal&lt;&gt;"",_xlpm.CSVVal
)),"")</f>
        <v/>
      </c>
      <c r="R975" s="40"/>
      <c r="S975" s="40"/>
      <c r="T975" s="40"/>
      <c r="U975" s="40"/>
      <c r="V975" s="40"/>
      <c r="W975" s="40"/>
      <c r="X975" s="41" t="str">
        <f>_xlfn.LET(
    _xlpm.MacVal, _xlfn.XLOOKUP($A975, Output_Mac!$A:$A, Output_Mac!AB:AB, ""),
    _xlpm.MyAuditVal, _xlfn.XLOOKUP($A975, My_Audit!$A:$A, My_Audit!N:N, ""),
    _xlfn.TEXTJOIN(", ", TRUE, _xlpm.MyAuditVal, _xlpm.MacVal)
)</f>
        <v/>
      </c>
    </row>
    <row r="976" spans="1:24">
      <c r="A976" s="40" t="str">
        <f>_xlfn.TEXTJOIN("",TRUE,Input!$B$2,ROW(My_Audit!A975))</f>
        <v>X975</v>
      </c>
      <c r="B976" s="40" t="str">
        <f>_xlfn.TEXTJOIN("-",TRUE,"ITD",Input!$A$2,A976)</f>
        <v>ITD-X975</v>
      </c>
      <c r="C976" s="40" t="str" cm="1">
        <f t="array" ref="C976">IFERROR(_xlfn.LET(
_xlpm.CSVVal,_xlfn.XLOOKUP($A976,CSV!$A:$A,CSV!B:B,""),
_xlpm.MacVal,_xlfn.XLOOKUP($A976,Output_Mac!$A:$A,Output_Mac!B:B,""),
_xlpm.MyAuditVal,_xlfn.XLOOKUP($A976,My_Audit!$A:$A,My_Audit!B:B,""),
_xlfn.IFS(_xlpm.MyAuditVal&lt;&gt;"",UPPER(_xlpm.MyAuditVal),_xlpm.MacVal&lt;&gt;"",_xlpm.MacVal,_xlpm.CSVVal&lt;&gt;"",_xlpm.CSVVal
)),"")</f>
        <v/>
      </c>
      <c r="D976" s="40" t="str" cm="1">
        <f t="array" ref="D976">IFERROR(_xlfn.LET(
_xlpm.CSVVal,_xlfn.XLOOKUP($A976,CSV!$A:$A,CSV!D:D,""),
_xlpm.MacVal,_xlfn.XLOOKUP($A976,Output_Mac!$A:$A,Output_Mac!C:C,""),
_xlpm.MyAuditVal,_xlfn.XLOOKUP($A976,My_Audit!$A:$A,My_Audit!C:C,""),
_xlfn.IFS(_xlpm.MyAuditVal&lt;&gt;"",_xlpm.MyAuditVal,_xlpm.MacVal&lt;&gt;"",_xlpm.MacVal,_xlpm.CSVVal&lt;&gt;"",_xlpm.CSVVal
)),"")</f>
        <v/>
      </c>
      <c r="E976" s="40" t="str">
        <f>_xlfn.XLOOKUP(A976,My_Audit!A:A,My_Audit!D:D,"")</f>
        <v/>
      </c>
      <c r="F976" s="40" t="str" cm="1">
        <f t="array" ref="F976">IFERROR(_xlfn.LET(
_xlpm.CSVVal,_xlfn.XLOOKUP($A976,CSV!$A:$A,CSV!F:F,""),
_xlpm.MacVal,_xlfn.XLOOKUP($A976,Output_Mac!$A:$A,Output_Mac!E:E,""),
_xlpm.MyAuditVal,_xlfn.XLOOKUP($A976,My_Audit!$A:$A,My_Audit!E:E,""),
_xlfn.IFS(_xlpm.MyAuditVal&lt;&gt;"",_xlpm.MyAuditVal,_xlpm.MacVal&lt;&gt;"",_xlpm.MacVal,_xlpm.CSVVal&lt;&gt;"",_xlpm.CSVVal
)),"")</f>
        <v/>
      </c>
      <c r="G976" s="40" t="str" cm="1">
        <f t="array" ref="G976">IFERROR(_xlfn.LET(
_xlpm.CSVVal,_xlfn.XLOOKUP($A976,CSV!$A:$A,CSV!G:G,""),
_xlpm.MacVal,_xlfn.XLOOKUP($A976,Output_Mac!$A:$A,Output_Mac!F:F,""),
_xlpm.MyAuditVal,_xlfn.XLOOKUP($A976,My_Audit!$A:$A,My_Audit!F:F,""),
_xlfn.IFS(_xlpm.MyAuditVal&lt;&gt;"",_xlpm.MyAuditVal,_xlpm.MacVal&lt;&gt;"",_xlpm.MacVal,_xlpm.CSVVal&lt;&gt;"",PROPER(_xlpm.CSVVal)
)),"")</f>
        <v/>
      </c>
      <c r="H976" s="40" t="str" cm="1">
        <f t="array" ref="H976">IFERROR(_xlfn.LET(
_xlpm.CSVVal,_xlfn.XLOOKUP($A976,CSV!$A:$A,CSV!H:H,""),
_xlpm.MacVal,_xlfn.XLOOKUP($A976,Output_Mac!$A:$A,Output_Mac!H:H,""),
_xlpm.MyAuditVal,_xlfn.XLOOKUP($A976,My_Audit!$A:$A,My_Audit!G:G,""),
_xlfn.IFS(_xlpm.MyAuditVal&lt;&gt;"",_xlpm.MyAuditVal,_xlpm.MacVal&lt;&gt;"",_xlpm.MacVal,_xlpm.CSVVal&lt;&gt;"",_xlpm.CSVVal
)),"")</f>
        <v/>
      </c>
      <c r="I976" s="40" t="str">
        <f>_xlfn.XLOOKUP(A976,Output_Mac!A:A,Output_Mac!I:I,"")</f>
        <v/>
      </c>
      <c r="J976" s="40" t="str" cm="1">
        <f t="array" ref="J976">IFERROR(_xlfn.LET(
_xlpm.CSVVal,_xlfn.XLOOKUP($A976,CSV!$A:$A,CSV!I:I,""),
_xlpm.MacVal,_xlfn.XLOOKUP($A976,Output_Mac!$A:$A,Output_Mac!J:J,""),
_xlpm.MyAuditVal,_xlfn.XLOOKUP($A976,My_Audit!$A:$A,My_Audit!I:I,""),
_xlfn.IFS(_xlpm.MyAuditVal&lt;&gt;"",UPPER(_xlpm.MyAuditVal),_xlpm.MacVal&lt;&gt;"",_xlpm.MacVal,_xlpm.CSVVal&lt;&gt;"",_xlpm.CSVVal
)),"")</f>
        <v/>
      </c>
      <c r="K976" s="40" t="str" cm="1">
        <f t="array" ref="K976">IFERROR(_xlfn.LET(
_xlpm.CSVVal,_xlfn.XLOOKUP($A976,CSV!$A:$A,CSV!K:K,""),
_xlpm.MacVal,_xlfn.XLOOKUP($A976,Output_Mac!$A:$A,Output_Mac!K:K,""),
_xlpm.MyAuditVal,_xlfn.XLOOKUP($A976,My_Audit!$A:$A,My_Audit!J:J,""),
_xlfn.IFS(_xlpm.MyAuditVal&lt;&gt;"",UPPER(_xlpm.MyAuditVal),_xlpm.MacVal&lt;&gt;"",_xlpm.MacVal,_xlpm.CSVVal&lt;&gt;"",_xlpm.CSVVal
)),"")</f>
        <v/>
      </c>
      <c r="L976" s="40" t="str" cm="1">
        <f t="array" ref="L976">IFERROR(_xlfn.LET(
_xlpm.CSVVal,_xlfn.XLOOKUP($A976,CSV!$A:$A,CSV!P:P,""),
_xlpm.MacVal,_xlfn.XLOOKUP($A976,Output_Mac!$A:$A,Output_Mac!L:L,""),
_xlpm.MyAuditVal,_xlfn.XLOOKUP($A976,My_Audit!$A:$A,My_Audit!K:K,""),
_xlfn.IFS(_xlpm.MyAuditVal&lt;&gt;"",UPPER(_xlpm.MyAuditVal),_xlpm.MacVal&lt;&gt;"",_xlpm.MacVal,_xlpm.CSVVal&lt;&gt;"",_xlpm.CSVVal
)),"")</f>
        <v/>
      </c>
      <c r="M976" s="40" t="str" cm="1">
        <f t="array" ref="M976">IFERROR(_xlfn.LET(
_xlpm.CSVVal,_xlfn.XLOOKUP($A976,CSV!$A:$A,CSV!Q:Q,""),
_xlpm.MacVal,_xlfn.XLOOKUP($A976,Output_Mac!$A:$A,Output_Mac!M:M,""),
_xlpm.MyAuditVal,_xlfn.XLOOKUP($A976,My_Audit!$A:$A,My_Audit!L:L,""),
_xlfn.IFS(_xlpm.MyAuditVal&lt;&gt;"",UPPER(_xlpm.MyAuditVal),_xlpm.MacVal&lt;&gt;"",_xlpm.MacVal,_xlpm.CSVVal&lt;&gt;"",_xlpm.CSVVal
)),"")</f>
        <v/>
      </c>
      <c r="N976" s="40"/>
      <c r="O976" s="40" t="str">
        <f>_xlfn.LET(
    _xlpm.CSVVal, _xlfn.XLOOKUP($A976, CSV!$A:$A, CSV!AA:AA, ""),
    _xlpm.MacVal, _xlfn.XLOOKUP($A976, Output_Mac!$A:$A, Output_Mac!S:S, ""),
    _xlpm.MyAuditVal, _xlfn.XLOOKUP($A976, My_Audit!$A:$A, My_Audit!P:P, ""),
    _xlfn.TEXTJOIN(", ", TRUE, _xlpm.MyAuditVal, _xlpm.MacVal, _xlpm.CSVVal)
)</f>
        <v/>
      </c>
      <c r="P976" s="40" t="str" cm="1">
        <f t="array" ref="P976">IFERROR(_xlfn.LET(
_xlpm.CSVVal,_xlfn.XLOOKUP($A976,CSV!$A:$A,CSV!AB:AB,""),
_xlpm.MacVal,_xlfn.XLOOKUP($A976,Output_Mac!$A:$A,Output_Mac!T:T,""),
_xlpm.MyAuditVal,_xlfn.XLOOKUP($A976,My_Audit!$A:$A,My_Audit!Q:Q,""),
_xlfn.IFS(_xlpm.MyAuditVal&lt;&gt;"",UPPER(_xlpm.MyAuditVal),_xlpm.MacVal&lt;&gt;"",_xlpm.MacVal,_xlpm.CSVVal&lt;&gt;"",_xlpm.CSVVal
)),"No")</f>
        <v>No</v>
      </c>
      <c r="Q976" s="40" t="str" cm="1">
        <f t="array" ref="Q976">IFERROR(_xlfn.LET(
_xlpm.CSVVal,_xlfn.XLOOKUP($A976,CSV!$A:$A,CSV!AC:AC,""),
_xlpm.MacVal,_xlfn.XLOOKUP($A976,Output_Mac!$A:$A,Output_Mac!U:U,""),
_xlpm.MyAuditVal,_xlfn.XLOOKUP($A976,My_Audit!$A:$A,My_Audit!R:R,""),
_xlfn.IFS(_xlpm.MyAuditVal&lt;&gt;"",UPPER(_xlpm.MyAuditVal),_xlpm.MacVal&lt;&gt;"",_xlpm.MacVal,_xlpm.CSVVal&lt;&gt;"",_xlpm.CSVVal
)),"")</f>
        <v/>
      </c>
      <c r="R976" s="40"/>
      <c r="S976" s="40"/>
      <c r="T976" s="40"/>
      <c r="U976" s="40"/>
      <c r="V976" s="40"/>
      <c r="W976" s="40"/>
      <c r="X976" s="41" t="str">
        <f>_xlfn.LET(
    _xlpm.MacVal, _xlfn.XLOOKUP($A976, Output_Mac!$A:$A, Output_Mac!AB:AB, ""),
    _xlpm.MyAuditVal, _xlfn.XLOOKUP($A976, My_Audit!$A:$A, My_Audit!N:N, ""),
    _xlfn.TEXTJOIN(", ", TRUE, _xlpm.MyAuditVal, _xlpm.MacVal)
)</f>
        <v/>
      </c>
    </row>
    <row r="977" spans="1:24">
      <c r="A977" s="40" t="str">
        <f>_xlfn.TEXTJOIN("",TRUE,Input!$B$2,ROW(My_Audit!A976))</f>
        <v>X976</v>
      </c>
      <c r="B977" s="40" t="str">
        <f>_xlfn.TEXTJOIN("-",TRUE,"ITD",Input!$A$2,A977)</f>
        <v>ITD-X976</v>
      </c>
      <c r="C977" s="40" t="str" cm="1">
        <f t="array" ref="C977">IFERROR(_xlfn.LET(
_xlpm.CSVVal,_xlfn.XLOOKUP($A977,CSV!$A:$A,CSV!B:B,""),
_xlpm.MacVal,_xlfn.XLOOKUP($A977,Output_Mac!$A:$A,Output_Mac!B:B,""),
_xlpm.MyAuditVal,_xlfn.XLOOKUP($A977,My_Audit!$A:$A,My_Audit!B:B,""),
_xlfn.IFS(_xlpm.MyAuditVal&lt;&gt;"",UPPER(_xlpm.MyAuditVal),_xlpm.MacVal&lt;&gt;"",_xlpm.MacVal,_xlpm.CSVVal&lt;&gt;"",_xlpm.CSVVal
)),"")</f>
        <v/>
      </c>
      <c r="D977" s="40" t="str" cm="1">
        <f t="array" ref="D977">IFERROR(_xlfn.LET(
_xlpm.CSVVal,_xlfn.XLOOKUP($A977,CSV!$A:$A,CSV!D:D,""),
_xlpm.MacVal,_xlfn.XLOOKUP($A977,Output_Mac!$A:$A,Output_Mac!C:C,""),
_xlpm.MyAuditVal,_xlfn.XLOOKUP($A977,My_Audit!$A:$A,My_Audit!C:C,""),
_xlfn.IFS(_xlpm.MyAuditVal&lt;&gt;"",_xlpm.MyAuditVal,_xlpm.MacVal&lt;&gt;"",_xlpm.MacVal,_xlpm.CSVVal&lt;&gt;"",_xlpm.CSVVal
)),"")</f>
        <v/>
      </c>
      <c r="E977" s="40" t="str">
        <f>_xlfn.XLOOKUP(A977,My_Audit!A:A,My_Audit!D:D,"")</f>
        <v/>
      </c>
      <c r="F977" s="40" t="str" cm="1">
        <f t="array" ref="F977">IFERROR(_xlfn.LET(
_xlpm.CSVVal,_xlfn.XLOOKUP($A977,CSV!$A:$A,CSV!F:F,""),
_xlpm.MacVal,_xlfn.XLOOKUP($A977,Output_Mac!$A:$A,Output_Mac!E:E,""),
_xlpm.MyAuditVal,_xlfn.XLOOKUP($A977,My_Audit!$A:$A,My_Audit!E:E,""),
_xlfn.IFS(_xlpm.MyAuditVal&lt;&gt;"",_xlpm.MyAuditVal,_xlpm.MacVal&lt;&gt;"",_xlpm.MacVal,_xlpm.CSVVal&lt;&gt;"",_xlpm.CSVVal
)),"")</f>
        <v/>
      </c>
      <c r="G977" s="40" t="str" cm="1">
        <f t="array" ref="G977">IFERROR(_xlfn.LET(
_xlpm.CSVVal,_xlfn.XLOOKUP($A977,CSV!$A:$A,CSV!G:G,""),
_xlpm.MacVal,_xlfn.XLOOKUP($A977,Output_Mac!$A:$A,Output_Mac!F:F,""),
_xlpm.MyAuditVal,_xlfn.XLOOKUP($A977,My_Audit!$A:$A,My_Audit!F:F,""),
_xlfn.IFS(_xlpm.MyAuditVal&lt;&gt;"",_xlpm.MyAuditVal,_xlpm.MacVal&lt;&gt;"",_xlpm.MacVal,_xlpm.CSVVal&lt;&gt;"",PROPER(_xlpm.CSVVal)
)),"")</f>
        <v/>
      </c>
      <c r="H977" s="40" t="str" cm="1">
        <f t="array" ref="H977">IFERROR(_xlfn.LET(
_xlpm.CSVVal,_xlfn.XLOOKUP($A977,CSV!$A:$A,CSV!H:H,""),
_xlpm.MacVal,_xlfn.XLOOKUP($A977,Output_Mac!$A:$A,Output_Mac!H:H,""),
_xlpm.MyAuditVal,_xlfn.XLOOKUP($A977,My_Audit!$A:$A,My_Audit!G:G,""),
_xlfn.IFS(_xlpm.MyAuditVal&lt;&gt;"",_xlpm.MyAuditVal,_xlpm.MacVal&lt;&gt;"",_xlpm.MacVal,_xlpm.CSVVal&lt;&gt;"",_xlpm.CSVVal
)),"")</f>
        <v/>
      </c>
      <c r="I977" s="40" t="str">
        <f>_xlfn.XLOOKUP(A977,Output_Mac!A:A,Output_Mac!I:I,"")</f>
        <v/>
      </c>
      <c r="J977" s="40" t="str" cm="1">
        <f t="array" ref="J977">IFERROR(_xlfn.LET(
_xlpm.CSVVal,_xlfn.XLOOKUP($A977,CSV!$A:$A,CSV!I:I,""),
_xlpm.MacVal,_xlfn.XLOOKUP($A977,Output_Mac!$A:$A,Output_Mac!J:J,""),
_xlpm.MyAuditVal,_xlfn.XLOOKUP($A977,My_Audit!$A:$A,My_Audit!I:I,""),
_xlfn.IFS(_xlpm.MyAuditVal&lt;&gt;"",UPPER(_xlpm.MyAuditVal),_xlpm.MacVal&lt;&gt;"",_xlpm.MacVal,_xlpm.CSVVal&lt;&gt;"",_xlpm.CSVVal
)),"")</f>
        <v/>
      </c>
      <c r="K977" s="40" t="str" cm="1">
        <f t="array" ref="K977">IFERROR(_xlfn.LET(
_xlpm.CSVVal,_xlfn.XLOOKUP($A977,CSV!$A:$A,CSV!K:K,""),
_xlpm.MacVal,_xlfn.XLOOKUP($A977,Output_Mac!$A:$A,Output_Mac!K:K,""),
_xlpm.MyAuditVal,_xlfn.XLOOKUP($A977,My_Audit!$A:$A,My_Audit!J:J,""),
_xlfn.IFS(_xlpm.MyAuditVal&lt;&gt;"",UPPER(_xlpm.MyAuditVal),_xlpm.MacVal&lt;&gt;"",_xlpm.MacVal,_xlpm.CSVVal&lt;&gt;"",_xlpm.CSVVal
)),"")</f>
        <v/>
      </c>
      <c r="L977" s="40" t="str" cm="1">
        <f t="array" ref="L977">IFERROR(_xlfn.LET(
_xlpm.CSVVal,_xlfn.XLOOKUP($A977,CSV!$A:$A,CSV!P:P,""),
_xlpm.MacVal,_xlfn.XLOOKUP($A977,Output_Mac!$A:$A,Output_Mac!L:L,""),
_xlpm.MyAuditVal,_xlfn.XLOOKUP($A977,My_Audit!$A:$A,My_Audit!K:K,""),
_xlfn.IFS(_xlpm.MyAuditVal&lt;&gt;"",UPPER(_xlpm.MyAuditVal),_xlpm.MacVal&lt;&gt;"",_xlpm.MacVal,_xlpm.CSVVal&lt;&gt;"",_xlpm.CSVVal
)),"")</f>
        <v/>
      </c>
      <c r="M977" s="40" t="str" cm="1">
        <f t="array" ref="M977">IFERROR(_xlfn.LET(
_xlpm.CSVVal,_xlfn.XLOOKUP($A977,CSV!$A:$A,CSV!Q:Q,""),
_xlpm.MacVal,_xlfn.XLOOKUP($A977,Output_Mac!$A:$A,Output_Mac!M:M,""),
_xlpm.MyAuditVal,_xlfn.XLOOKUP($A977,My_Audit!$A:$A,My_Audit!L:L,""),
_xlfn.IFS(_xlpm.MyAuditVal&lt;&gt;"",UPPER(_xlpm.MyAuditVal),_xlpm.MacVal&lt;&gt;"",_xlpm.MacVal,_xlpm.CSVVal&lt;&gt;"",_xlpm.CSVVal
)),"")</f>
        <v/>
      </c>
      <c r="N977" s="40"/>
      <c r="O977" s="40" t="str">
        <f>_xlfn.LET(
    _xlpm.CSVVal, _xlfn.XLOOKUP($A977, CSV!$A:$A, CSV!AA:AA, ""),
    _xlpm.MacVal, _xlfn.XLOOKUP($A977, Output_Mac!$A:$A, Output_Mac!S:S, ""),
    _xlpm.MyAuditVal, _xlfn.XLOOKUP($A977, My_Audit!$A:$A, My_Audit!P:P, ""),
    _xlfn.TEXTJOIN(", ", TRUE, _xlpm.MyAuditVal, _xlpm.MacVal, _xlpm.CSVVal)
)</f>
        <v/>
      </c>
      <c r="P977" s="40" t="str" cm="1">
        <f t="array" ref="P977">IFERROR(_xlfn.LET(
_xlpm.CSVVal,_xlfn.XLOOKUP($A977,CSV!$A:$A,CSV!AB:AB,""),
_xlpm.MacVal,_xlfn.XLOOKUP($A977,Output_Mac!$A:$A,Output_Mac!T:T,""),
_xlpm.MyAuditVal,_xlfn.XLOOKUP($A977,My_Audit!$A:$A,My_Audit!Q:Q,""),
_xlfn.IFS(_xlpm.MyAuditVal&lt;&gt;"",UPPER(_xlpm.MyAuditVal),_xlpm.MacVal&lt;&gt;"",_xlpm.MacVal,_xlpm.CSVVal&lt;&gt;"",_xlpm.CSVVal
)),"No")</f>
        <v>No</v>
      </c>
      <c r="Q977" s="40" t="str" cm="1">
        <f t="array" ref="Q977">IFERROR(_xlfn.LET(
_xlpm.CSVVal,_xlfn.XLOOKUP($A977,CSV!$A:$A,CSV!AC:AC,""),
_xlpm.MacVal,_xlfn.XLOOKUP($A977,Output_Mac!$A:$A,Output_Mac!U:U,""),
_xlpm.MyAuditVal,_xlfn.XLOOKUP($A977,My_Audit!$A:$A,My_Audit!R:R,""),
_xlfn.IFS(_xlpm.MyAuditVal&lt;&gt;"",UPPER(_xlpm.MyAuditVal),_xlpm.MacVal&lt;&gt;"",_xlpm.MacVal,_xlpm.CSVVal&lt;&gt;"",_xlpm.CSVVal
)),"")</f>
        <v/>
      </c>
      <c r="R977" s="40"/>
      <c r="S977" s="40"/>
      <c r="T977" s="40"/>
      <c r="U977" s="40"/>
      <c r="V977" s="40"/>
      <c r="W977" s="40"/>
      <c r="X977" s="41" t="str">
        <f>_xlfn.LET(
    _xlpm.MacVal, _xlfn.XLOOKUP($A977, Output_Mac!$A:$A, Output_Mac!AB:AB, ""),
    _xlpm.MyAuditVal, _xlfn.XLOOKUP($A977, My_Audit!$A:$A, My_Audit!N:N, ""),
    _xlfn.TEXTJOIN(", ", TRUE, _xlpm.MyAuditVal, _xlpm.MacVal)
)</f>
        <v/>
      </c>
    </row>
    <row r="978" spans="1:24">
      <c r="A978" s="40" t="str">
        <f>_xlfn.TEXTJOIN("",TRUE,Input!$B$2,ROW(My_Audit!A977))</f>
        <v>X977</v>
      </c>
      <c r="B978" s="40" t="str">
        <f>_xlfn.TEXTJOIN("-",TRUE,"ITD",Input!$A$2,A978)</f>
        <v>ITD-X977</v>
      </c>
      <c r="C978" s="40" t="str" cm="1">
        <f t="array" ref="C978">IFERROR(_xlfn.LET(
_xlpm.CSVVal,_xlfn.XLOOKUP($A978,CSV!$A:$A,CSV!B:B,""),
_xlpm.MacVal,_xlfn.XLOOKUP($A978,Output_Mac!$A:$A,Output_Mac!B:B,""),
_xlpm.MyAuditVal,_xlfn.XLOOKUP($A978,My_Audit!$A:$A,My_Audit!B:B,""),
_xlfn.IFS(_xlpm.MyAuditVal&lt;&gt;"",UPPER(_xlpm.MyAuditVal),_xlpm.MacVal&lt;&gt;"",_xlpm.MacVal,_xlpm.CSVVal&lt;&gt;"",_xlpm.CSVVal
)),"")</f>
        <v/>
      </c>
      <c r="D978" s="40" t="str" cm="1">
        <f t="array" ref="D978">IFERROR(_xlfn.LET(
_xlpm.CSVVal,_xlfn.XLOOKUP($A978,CSV!$A:$A,CSV!D:D,""),
_xlpm.MacVal,_xlfn.XLOOKUP($A978,Output_Mac!$A:$A,Output_Mac!C:C,""),
_xlpm.MyAuditVal,_xlfn.XLOOKUP($A978,My_Audit!$A:$A,My_Audit!C:C,""),
_xlfn.IFS(_xlpm.MyAuditVal&lt;&gt;"",_xlpm.MyAuditVal,_xlpm.MacVal&lt;&gt;"",_xlpm.MacVal,_xlpm.CSVVal&lt;&gt;"",_xlpm.CSVVal
)),"")</f>
        <v/>
      </c>
      <c r="E978" s="40" t="str">
        <f>_xlfn.XLOOKUP(A978,My_Audit!A:A,My_Audit!D:D,"")</f>
        <v/>
      </c>
      <c r="F978" s="40" t="str" cm="1">
        <f t="array" ref="F978">IFERROR(_xlfn.LET(
_xlpm.CSVVal,_xlfn.XLOOKUP($A978,CSV!$A:$A,CSV!F:F,""),
_xlpm.MacVal,_xlfn.XLOOKUP($A978,Output_Mac!$A:$A,Output_Mac!E:E,""),
_xlpm.MyAuditVal,_xlfn.XLOOKUP($A978,My_Audit!$A:$A,My_Audit!E:E,""),
_xlfn.IFS(_xlpm.MyAuditVal&lt;&gt;"",_xlpm.MyAuditVal,_xlpm.MacVal&lt;&gt;"",_xlpm.MacVal,_xlpm.CSVVal&lt;&gt;"",_xlpm.CSVVal
)),"")</f>
        <v/>
      </c>
      <c r="G978" s="40" t="str" cm="1">
        <f t="array" ref="G978">IFERROR(_xlfn.LET(
_xlpm.CSVVal,_xlfn.XLOOKUP($A978,CSV!$A:$A,CSV!G:G,""),
_xlpm.MacVal,_xlfn.XLOOKUP($A978,Output_Mac!$A:$A,Output_Mac!F:F,""),
_xlpm.MyAuditVal,_xlfn.XLOOKUP($A978,My_Audit!$A:$A,My_Audit!F:F,""),
_xlfn.IFS(_xlpm.MyAuditVal&lt;&gt;"",_xlpm.MyAuditVal,_xlpm.MacVal&lt;&gt;"",_xlpm.MacVal,_xlpm.CSVVal&lt;&gt;"",PROPER(_xlpm.CSVVal)
)),"")</f>
        <v/>
      </c>
      <c r="H978" s="40" t="str" cm="1">
        <f t="array" ref="H978">IFERROR(_xlfn.LET(
_xlpm.CSVVal,_xlfn.XLOOKUP($A978,CSV!$A:$A,CSV!H:H,""),
_xlpm.MacVal,_xlfn.XLOOKUP($A978,Output_Mac!$A:$A,Output_Mac!H:H,""),
_xlpm.MyAuditVal,_xlfn.XLOOKUP($A978,My_Audit!$A:$A,My_Audit!G:G,""),
_xlfn.IFS(_xlpm.MyAuditVal&lt;&gt;"",_xlpm.MyAuditVal,_xlpm.MacVal&lt;&gt;"",_xlpm.MacVal,_xlpm.CSVVal&lt;&gt;"",_xlpm.CSVVal
)),"")</f>
        <v/>
      </c>
      <c r="I978" s="40" t="str">
        <f>_xlfn.XLOOKUP(A978,Output_Mac!A:A,Output_Mac!I:I,"")</f>
        <v/>
      </c>
      <c r="J978" s="40" t="str" cm="1">
        <f t="array" ref="J978">IFERROR(_xlfn.LET(
_xlpm.CSVVal,_xlfn.XLOOKUP($A978,CSV!$A:$A,CSV!I:I,""),
_xlpm.MacVal,_xlfn.XLOOKUP($A978,Output_Mac!$A:$A,Output_Mac!J:J,""),
_xlpm.MyAuditVal,_xlfn.XLOOKUP($A978,My_Audit!$A:$A,My_Audit!I:I,""),
_xlfn.IFS(_xlpm.MyAuditVal&lt;&gt;"",UPPER(_xlpm.MyAuditVal),_xlpm.MacVal&lt;&gt;"",_xlpm.MacVal,_xlpm.CSVVal&lt;&gt;"",_xlpm.CSVVal
)),"")</f>
        <v/>
      </c>
      <c r="K978" s="40" t="str" cm="1">
        <f t="array" ref="K978">IFERROR(_xlfn.LET(
_xlpm.CSVVal,_xlfn.XLOOKUP($A978,CSV!$A:$A,CSV!K:K,""),
_xlpm.MacVal,_xlfn.XLOOKUP($A978,Output_Mac!$A:$A,Output_Mac!K:K,""),
_xlpm.MyAuditVal,_xlfn.XLOOKUP($A978,My_Audit!$A:$A,My_Audit!J:J,""),
_xlfn.IFS(_xlpm.MyAuditVal&lt;&gt;"",UPPER(_xlpm.MyAuditVal),_xlpm.MacVal&lt;&gt;"",_xlpm.MacVal,_xlpm.CSVVal&lt;&gt;"",_xlpm.CSVVal
)),"")</f>
        <v/>
      </c>
      <c r="L978" s="40" t="str" cm="1">
        <f t="array" ref="L978">IFERROR(_xlfn.LET(
_xlpm.CSVVal,_xlfn.XLOOKUP($A978,CSV!$A:$A,CSV!P:P,""),
_xlpm.MacVal,_xlfn.XLOOKUP($A978,Output_Mac!$A:$A,Output_Mac!L:L,""),
_xlpm.MyAuditVal,_xlfn.XLOOKUP($A978,My_Audit!$A:$A,My_Audit!K:K,""),
_xlfn.IFS(_xlpm.MyAuditVal&lt;&gt;"",UPPER(_xlpm.MyAuditVal),_xlpm.MacVal&lt;&gt;"",_xlpm.MacVal,_xlpm.CSVVal&lt;&gt;"",_xlpm.CSVVal
)),"")</f>
        <v/>
      </c>
      <c r="M978" s="40" t="str" cm="1">
        <f t="array" ref="M978">IFERROR(_xlfn.LET(
_xlpm.CSVVal,_xlfn.XLOOKUP($A978,CSV!$A:$A,CSV!Q:Q,""),
_xlpm.MacVal,_xlfn.XLOOKUP($A978,Output_Mac!$A:$A,Output_Mac!M:M,""),
_xlpm.MyAuditVal,_xlfn.XLOOKUP($A978,My_Audit!$A:$A,My_Audit!L:L,""),
_xlfn.IFS(_xlpm.MyAuditVal&lt;&gt;"",UPPER(_xlpm.MyAuditVal),_xlpm.MacVal&lt;&gt;"",_xlpm.MacVal,_xlpm.CSVVal&lt;&gt;"",_xlpm.CSVVal
)),"")</f>
        <v/>
      </c>
      <c r="N978" s="40"/>
      <c r="O978" s="40" t="str">
        <f>_xlfn.LET(
    _xlpm.CSVVal, _xlfn.XLOOKUP($A978, CSV!$A:$A, CSV!AA:AA, ""),
    _xlpm.MacVal, _xlfn.XLOOKUP($A978, Output_Mac!$A:$A, Output_Mac!S:S, ""),
    _xlpm.MyAuditVal, _xlfn.XLOOKUP($A978, My_Audit!$A:$A, My_Audit!P:P, ""),
    _xlfn.TEXTJOIN(", ", TRUE, _xlpm.MyAuditVal, _xlpm.MacVal, _xlpm.CSVVal)
)</f>
        <v/>
      </c>
      <c r="P978" s="40" t="str" cm="1">
        <f t="array" ref="P978">IFERROR(_xlfn.LET(
_xlpm.CSVVal,_xlfn.XLOOKUP($A978,CSV!$A:$A,CSV!AB:AB,""),
_xlpm.MacVal,_xlfn.XLOOKUP($A978,Output_Mac!$A:$A,Output_Mac!T:T,""),
_xlpm.MyAuditVal,_xlfn.XLOOKUP($A978,My_Audit!$A:$A,My_Audit!Q:Q,""),
_xlfn.IFS(_xlpm.MyAuditVal&lt;&gt;"",UPPER(_xlpm.MyAuditVal),_xlpm.MacVal&lt;&gt;"",_xlpm.MacVal,_xlpm.CSVVal&lt;&gt;"",_xlpm.CSVVal
)),"No")</f>
        <v>No</v>
      </c>
      <c r="Q978" s="40" t="str" cm="1">
        <f t="array" ref="Q978">IFERROR(_xlfn.LET(
_xlpm.CSVVal,_xlfn.XLOOKUP($A978,CSV!$A:$A,CSV!AC:AC,""),
_xlpm.MacVal,_xlfn.XLOOKUP($A978,Output_Mac!$A:$A,Output_Mac!U:U,""),
_xlpm.MyAuditVal,_xlfn.XLOOKUP($A978,My_Audit!$A:$A,My_Audit!R:R,""),
_xlfn.IFS(_xlpm.MyAuditVal&lt;&gt;"",UPPER(_xlpm.MyAuditVal),_xlpm.MacVal&lt;&gt;"",_xlpm.MacVal,_xlpm.CSVVal&lt;&gt;"",_xlpm.CSVVal
)),"")</f>
        <v/>
      </c>
      <c r="R978" s="40"/>
      <c r="S978" s="40"/>
      <c r="T978" s="40"/>
      <c r="U978" s="40"/>
      <c r="V978" s="40"/>
      <c r="W978" s="40"/>
      <c r="X978" s="41" t="str">
        <f>_xlfn.LET(
    _xlpm.MacVal, _xlfn.XLOOKUP($A978, Output_Mac!$A:$A, Output_Mac!AB:AB, ""),
    _xlpm.MyAuditVal, _xlfn.XLOOKUP($A978, My_Audit!$A:$A, My_Audit!N:N, ""),
    _xlfn.TEXTJOIN(", ", TRUE, _xlpm.MyAuditVal, _xlpm.MacVal)
)</f>
        <v/>
      </c>
    </row>
    <row r="979" spans="1:24">
      <c r="A979" s="40" t="str">
        <f>_xlfn.TEXTJOIN("",TRUE,Input!$B$2,ROW(My_Audit!A978))</f>
        <v>X978</v>
      </c>
      <c r="B979" s="40" t="str">
        <f>_xlfn.TEXTJOIN("-",TRUE,"ITD",Input!$A$2,A979)</f>
        <v>ITD-X978</v>
      </c>
      <c r="C979" s="40" t="str" cm="1">
        <f t="array" ref="C979">IFERROR(_xlfn.LET(
_xlpm.CSVVal,_xlfn.XLOOKUP($A979,CSV!$A:$A,CSV!B:B,""),
_xlpm.MacVal,_xlfn.XLOOKUP($A979,Output_Mac!$A:$A,Output_Mac!B:B,""),
_xlpm.MyAuditVal,_xlfn.XLOOKUP($A979,My_Audit!$A:$A,My_Audit!B:B,""),
_xlfn.IFS(_xlpm.MyAuditVal&lt;&gt;"",UPPER(_xlpm.MyAuditVal),_xlpm.MacVal&lt;&gt;"",_xlpm.MacVal,_xlpm.CSVVal&lt;&gt;"",_xlpm.CSVVal
)),"")</f>
        <v/>
      </c>
      <c r="D979" s="40" t="str" cm="1">
        <f t="array" ref="D979">IFERROR(_xlfn.LET(
_xlpm.CSVVal,_xlfn.XLOOKUP($A979,CSV!$A:$A,CSV!D:D,""),
_xlpm.MacVal,_xlfn.XLOOKUP($A979,Output_Mac!$A:$A,Output_Mac!C:C,""),
_xlpm.MyAuditVal,_xlfn.XLOOKUP($A979,My_Audit!$A:$A,My_Audit!C:C,""),
_xlfn.IFS(_xlpm.MyAuditVal&lt;&gt;"",_xlpm.MyAuditVal,_xlpm.MacVal&lt;&gt;"",_xlpm.MacVal,_xlpm.CSVVal&lt;&gt;"",_xlpm.CSVVal
)),"")</f>
        <v/>
      </c>
      <c r="E979" s="40" t="str">
        <f>_xlfn.XLOOKUP(A979,My_Audit!A:A,My_Audit!D:D,"")</f>
        <v/>
      </c>
      <c r="F979" s="40" t="str" cm="1">
        <f t="array" ref="F979">IFERROR(_xlfn.LET(
_xlpm.CSVVal,_xlfn.XLOOKUP($A979,CSV!$A:$A,CSV!F:F,""),
_xlpm.MacVal,_xlfn.XLOOKUP($A979,Output_Mac!$A:$A,Output_Mac!E:E,""),
_xlpm.MyAuditVal,_xlfn.XLOOKUP($A979,My_Audit!$A:$A,My_Audit!E:E,""),
_xlfn.IFS(_xlpm.MyAuditVal&lt;&gt;"",_xlpm.MyAuditVal,_xlpm.MacVal&lt;&gt;"",_xlpm.MacVal,_xlpm.CSVVal&lt;&gt;"",_xlpm.CSVVal
)),"")</f>
        <v/>
      </c>
      <c r="G979" s="40" t="str" cm="1">
        <f t="array" ref="G979">IFERROR(_xlfn.LET(
_xlpm.CSVVal,_xlfn.XLOOKUP($A979,CSV!$A:$A,CSV!G:G,""),
_xlpm.MacVal,_xlfn.XLOOKUP($A979,Output_Mac!$A:$A,Output_Mac!F:F,""),
_xlpm.MyAuditVal,_xlfn.XLOOKUP($A979,My_Audit!$A:$A,My_Audit!F:F,""),
_xlfn.IFS(_xlpm.MyAuditVal&lt;&gt;"",_xlpm.MyAuditVal,_xlpm.MacVal&lt;&gt;"",_xlpm.MacVal,_xlpm.CSVVal&lt;&gt;"",PROPER(_xlpm.CSVVal)
)),"")</f>
        <v/>
      </c>
      <c r="H979" s="40" t="str" cm="1">
        <f t="array" ref="H979">IFERROR(_xlfn.LET(
_xlpm.CSVVal,_xlfn.XLOOKUP($A979,CSV!$A:$A,CSV!H:H,""),
_xlpm.MacVal,_xlfn.XLOOKUP($A979,Output_Mac!$A:$A,Output_Mac!H:H,""),
_xlpm.MyAuditVal,_xlfn.XLOOKUP($A979,My_Audit!$A:$A,My_Audit!G:G,""),
_xlfn.IFS(_xlpm.MyAuditVal&lt;&gt;"",_xlpm.MyAuditVal,_xlpm.MacVal&lt;&gt;"",_xlpm.MacVal,_xlpm.CSVVal&lt;&gt;"",_xlpm.CSVVal
)),"")</f>
        <v/>
      </c>
      <c r="I979" s="40" t="str">
        <f>_xlfn.XLOOKUP(A979,Output_Mac!A:A,Output_Mac!I:I,"")</f>
        <v/>
      </c>
      <c r="J979" s="40" t="str" cm="1">
        <f t="array" ref="J979">IFERROR(_xlfn.LET(
_xlpm.CSVVal,_xlfn.XLOOKUP($A979,CSV!$A:$A,CSV!I:I,""),
_xlpm.MacVal,_xlfn.XLOOKUP($A979,Output_Mac!$A:$A,Output_Mac!J:J,""),
_xlpm.MyAuditVal,_xlfn.XLOOKUP($A979,My_Audit!$A:$A,My_Audit!I:I,""),
_xlfn.IFS(_xlpm.MyAuditVal&lt;&gt;"",UPPER(_xlpm.MyAuditVal),_xlpm.MacVal&lt;&gt;"",_xlpm.MacVal,_xlpm.CSVVal&lt;&gt;"",_xlpm.CSVVal
)),"")</f>
        <v/>
      </c>
      <c r="K979" s="40" t="str" cm="1">
        <f t="array" ref="K979">IFERROR(_xlfn.LET(
_xlpm.CSVVal,_xlfn.XLOOKUP($A979,CSV!$A:$A,CSV!K:K,""),
_xlpm.MacVal,_xlfn.XLOOKUP($A979,Output_Mac!$A:$A,Output_Mac!K:K,""),
_xlpm.MyAuditVal,_xlfn.XLOOKUP($A979,My_Audit!$A:$A,My_Audit!J:J,""),
_xlfn.IFS(_xlpm.MyAuditVal&lt;&gt;"",UPPER(_xlpm.MyAuditVal),_xlpm.MacVal&lt;&gt;"",_xlpm.MacVal,_xlpm.CSVVal&lt;&gt;"",_xlpm.CSVVal
)),"")</f>
        <v/>
      </c>
      <c r="L979" s="40" t="str" cm="1">
        <f t="array" ref="L979">IFERROR(_xlfn.LET(
_xlpm.CSVVal,_xlfn.XLOOKUP($A979,CSV!$A:$A,CSV!P:P,""),
_xlpm.MacVal,_xlfn.XLOOKUP($A979,Output_Mac!$A:$A,Output_Mac!L:L,""),
_xlpm.MyAuditVal,_xlfn.XLOOKUP($A979,My_Audit!$A:$A,My_Audit!K:K,""),
_xlfn.IFS(_xlpm.MyAuditVal&lt;&gt;"",UPPER(_xlpm.MyAuditVal),_xlpm.MacVal&lt;&gt;"",_xlpm.MacVal,_xlpm.CSVVal&lt;&gt;"",_xlpm.CSVVal
)),"")</f>
        <v/>
      </c>
      <c r="M979" s="40" t="str" cm="1">
        <f t="array" ref="M979">IFERROR(_xlfn.LET(
_xlpm.CSVVal,_xlfn.XLOOKUP($A979,CSV!$A:$A,CSV!Q:Q,""),
_xlpm.MacVal,_xlfn.XLOOKUP($A979,Output_Mac!$A:$A,Output_Mac!M:M,""),
_xlpm.MyAuditVal,_xlfn.XLOOKUP($A979,My_Audit!$A:$A,My_Audit!L:L,""),
_xlfn.IFS(_xlpm.MyAuditVal&lt;&gt;"",UPPER(_xlpm.MyAuditVal),_xlpm.MacVal&lt;&gt;"",_xlpm.MacVal,_xlpm.CSVVal&lt;&gt;"",_xlpm.CSVVal
)),"")</f>
        <v/>
      </c>
      <c r="N979" s="40"/>
      <c r="O979" s="40" t="str">
        <f>_xlfn.LET(
    _xlpm.CSVVal, _xlfn.XLOOKUP($A979, CSV!$A:$A, CSV!AA:AA, ""),
    _xlpm.MacVal, _xlfn.XLOOKUP($A979, Output_Mac!$A:$A, Output_Mac!S:S, ""),
    _xlpm.MyAuditVal, _xlfn.XLOOKUP($A979, My_Audit!$A:$A, My_Audit!P:P, ""),
    _xlfn.TEXTJOIN(", ", TRUE, _xlpm.MyAuditVal, _xlpm.MacVal, _xlpm.CSVVal)
)</f>
        <v/>
      </c>
      <c r="P979" s="40" t="str" cm="1">
        <f t="array" ref="P979">IFERROR(_xlfn.LET(
_xlpm.CSVVal,_xlfn.XLOOKUP($A979,CSV!$A:$A,CSV!AB:AB,""),
_xlpm.MacVal,_xlfn.XLOOKUP($A979,Output_Mac!$A:$A,Output_Mac!T:T,""),
_xlpm.MyAuditVal,_xlfn.XLOOKUP($A979,My_Audit!$A:$A,My_Audit!Q:Q,""),
_xlfn.IFS(_xlpm.MyAuditVal&lt;&gt;"",UPPER(_xlpm.MyAuditVal),_xlpm.MacVal&lt;&gt;"",_xlpm.MacVal,_xlpm.CSVVal&lt;&gt;"",_xlpm.CSVVal
)),"No")</f>
        <v>No</v>
      </c>
      <c r="Q979" s="40" t="str" cm="1">
        <f t="array" ref="Q979">IFERROR(_xlfn.LET(
_xlpm.CSVVal,_xlfn.XLOOKUP($A979,CSV!$A:$A,CSV!AC:AC,""),
_xlpm.MacVal,_xlfn.XLOOKUP($A979,Output_Mac!$A:$A,Output_Mac!U:U,""),
_xlpm.MyAuditVal,_xlfn.XLOOKUP($A979,My_Audit!$A:$A,My_Audit!R:R,""),
_xlfn.IFS(_xlpm.MyAuditVal&lt;&gt;"",UPPER(_xlpm.MyAuditVal),_xlpm.MacVal&lt;&gt;"",_xlpm.MacVal,_xlpm.CSVVal&lt;&gt;"",_xlpm.CSVVal
)),"")</f>
        <v/>
      </c>
      <c r="R979" s="40"/>
      <c r="S979" s="40"/>
      <c r="T979" s="40"/>
      <c r="U979" s="40"/>
      <c r="V979" s="40"/>
      <c r="W979" s="40"/>
      <c r="X979" s="41" t="str">
        <f>_xlfn.LET(
    _xlpm.MacVal, _xlfn.XLOOKUP($A979, Output_Mac!$A:$A, Output_Mac!AB:AB, ""),
    _xlpm.MyAuditVal, _xlfn.XLOOKUP($A979, My_Audit!$A:$A, My_Audit!N:N, ""),
    _xlfn.TEXTJOIN(", ", TRUE, _xlpm.MyAuditVal, _xlpm.MacVal)
)</f>
        <v/>
      </c>
    </row>
    <row r="980" spans="1:24">
      <c r="A980" s="40" t="str">
        <f>_xlfn.TEXTJOIN("",TRUE,Input!$B$2,ROW(My_Audit!A979))</f>
        <v>X979</v>
      </c>
      <c r="B980" s="40" t="str">
        <f>_xlfn.TEXTJOIN("-",TRUE,"ITD",Input!$A$2,A980)</f>
        <v>ITD-X979</v>
      </c>
      <c r="C980" s="40" t="str" cm="1">
        <f t="array" ref="C980">IFERROR(_xlfn.LET(
_xlpm.CSVVal,_xlfn.XLOOKUP($A980,CSV!$A:$A,CSV!B:B,""),
_xlpm.MacVal,_xlfn.XLOOKUP($A980,Output_Mac!$A:$A,Output_Mac!B:B,""),
_xlpm.MyAuditVal,_xlfn.XLOOKUP($A980,My_Audit!$A:$A,My_Audit!B:B,""),
_xlfn.IFS(_xlpm.MyAuditVal&lt;&gt;"",UPPER(_xlpm.MyAuditVal),_xlpm.MacVal&lt;&gt;"",_xlpm.MacVal,_xlpm.CSVVal&lt;&gt;"",_xlpm.CSVVal
)),"")</f>
        <v/>
      </c>
      <c r="D980" s="40" t="str" cm="1">
        <f t="array" ref="D980">IFERROR(_xlfn.LET(
_xlpm.CSVVal,_xlfn.XLOOKUP($A980,CSV!$A:$A,CSV!D:D,""),
_xlpm.MacVal,_xlfn.XLOOKUP($A980,Output_Mac!$A:$A,Output_Mac!C:C,""),
_xlpm.MyAuditVal,_xlfn.XLOOKUP($A980,My_Audit!$A:$A,My_Audit!C:C,""),
_xlfn.IFS(_xlpm.MyAuditVal&lt;&gt;"",_xlpm.MyAuditVal,_xlpm.MacVal&lt;&gt;"",_xlpm.MacVal,_xlpm.CSVVal&lt;&gt;"",_xlpm.CSVVal
)),"")</f>
        <v/>
      </c>
      <c r="E980" s="40" t="str">
        <f>_xlfn.XLOOKUP(A980,My_Audit!A:A,My_Audit!D:D,"")</f>
        <v/>
      </c>
      <c r="F980" s="40" t="str" cm="1">
        <f t="array" ref="F980">IFERROR(_xlfn.LET(
_xlpm.CSVVal,_xlfn.XLOOKUP($A980,CSV!$A:$A,CSV!F:F,""),
_xlpm.MacVal,_xlfn.XLOOKUP($A980,Output_Mac!$A:$A,Output_Mac!E:E,""),
_xlpm.MyAuditVal,_xlfn.XLOOKUP($A980,My_Audit!$A:$A,My_Audit!E:E,""),
_xlfn.IFS(_xlpm.MyAuditVal&lt;&gt;"",_xlpm.MyAuditVal,_xlpm.MacVal&lt;&gt;"",_xlpm.MacVal,_xlpm.CSVVal&lt;&gt;"",_xlpm.CSVVal
)),"")</f>
        <v/>
      </c>
      <c r="G980" s="40" t="str" cm="1">
        <f t="array" ref="G980">IFERROR(_xlfn.LET(
_xlpm.CSVVal,_xlfn.XLOOKUP($A980,CSV!$A:$A,CSV!G:G,""),
_xlpm.MacVal,_xlfn.XLOOKUP($A980,Output_Mac!$A:$A,Output_Mac!F:F,""),
_xlpm.MyAuditVal,_xlfn.XLOOKUP($A980,My_Audit!$A:$A,My_Audit!F:F,""),
_xlfn.IFS(_xlpm.MyAuditVal&lt;&gt;"",_xlpm.MyAuditVal,_xlpm.MacVal&lt;&gt;"",_xlpm.MacVal,_xlpm.CSVVal&lt;&gt;"",PROPER(_xlpm.CSVVal)
)),"")</f>
        <v/>
      </c>
      <c r="H980" s="40" t="str" cm="1">
        <f t="array" ref="H980">IFERROR(_xlfn.LET(
_xlpm.CSVVal,_xlfn.XLOOKUP($A980,CSV!$A:$A,CSV!H:H,""),
_xlpm.MacVal,_xlfn.XLOOKUP($A980,Output_Mac!$A:$A,Output_Mac!H:H,""),
_xlpm.MyAuditVal,_xlfn.XLOOKUP($A980,My_Audit!$A:$A,My_Audit!G:G,""),
_xlfn.IFS(_xlpm.MyAuditVal&lt;&gt;"",_xlpm.MyAuditVal,_xlpm.MacVal&lt;&gt;"",_xlpm.MacVal,_xlpm.CSVVal&lt;&gt;"",_xlpm.CSVVal
)),"")</f>
        <v/>
      </c>
      <c r="I980" s="40" t="str">
        <f>_xlfn.XLOOKUP(A980,Output_Mac!A:A,Output_Mac!I:I,"")</f>
        <v/>
      </c>
      <c r="J980" s="40" t="str" cm="1">
        <f t="array" ref="J980">IFERROR(_xlfn.LET(
_xlpm.CSVVal,_xlfn.XLOOKUP($A980,CSV!$A:$A,CSV!I:I,""),
_xlpm.MacVal,_xlfn.XLOOKUP($A980,Output_Mac!$A:$A,Output_Mac!J:J,""),
_xlpm.MyAuditVal,_xlfn.XLOOKUP($A980,My_Audit!$A:$A,My_Audit!I:I,""),
_xlfn.IFS(_xlpm.MyAuditVal&lt;&gt;"",UPPER(_xlpm.MyAuditVal),_xlpm.MacVal&lt;&gt;"",_xlpm.MacVal,_xlpm.CSVVal&lt;&gt;"",_xlpm.CSVVal
)),"")</f>
        <v/>
      </c>
      <c r="K980" s="40" t="str" cm="1">
        <f t="array" ref="K980">IFERROR(_xlfn.LET(
_xlpm.CSVVal,_xlfn.XLOOKUP($A980,CSV!$A:$A,CSV!K:K,""),
_xlpm.MacVal,_xlfn.XLOOKUP($A980,Output_Mac!$A:$A,Output_Mac!K:K,""),
_xlpm.MyAuditVal,_xlfn.XLOOKUP($A980,My_Audit!$A:$A,My_Audit!J:J,""),
_xlfn.IFS(_xlpm.MyAuditVal&lt;&gt;"",UPPER(_xlpm.MyAuditVal),_xlpm.MacVal&lt;&gt;"",_xlpm.MacVal,_xlpm.CSVVal&lt;&gt;"",_xlpm.CSVVal
)),"")</f>
        <v/>
      </c>
      <c r="L980" s="40" t="str" cm="1">
        <f t="array" ref="L980">IFERROR(_xlfn.LET(
_xlpm.CSVVal,_xlfn.XLOOKUP($A980,CSV!$A:$A,CSV!P:P,""),
_xlpm.MacVal,_xlfn.XLOOKUP($A980,Output_Mac!$A:$A,Output_Mac!L:L,""),
_xlpm.MyAuditVal,_xlfn.XLOOKUP($A980,My_Audit!$A:$A,My_Audit!K:K,""),
_xlfn.IFS(_xlpm.MyAuditVal&lt;&gt;"",UPPER(_xlpm.MyAuditVal),_xlpm.MacVal&lt;&gt;"",_xlpm.MacVal,_xlpm.CSVVal&lt;&gt;"",_xlpm.CSVVal
)),"")</f>
        <v/>
      </c>
      <c r="M980" s="40" t="str" cm="1">
        <f t="array" ref="M980">IFERROR(_xlfn.LET(
_xlpm.CSVVal,_xlfn.XLOOKUP($A980,CSV!$A:$A,CSV!Q:Q,""),
_xlpm.MacVal,_xlfn.XLOOKUP($A980,Output_Mac!$A:$A,Output_Mac!M:M,""),
_xlpm.MyAuditVal,_xlfn.XLOOKUP($A980,My_Audit!$A:$A,My_Audit!L:L,""),
_xlfn.IFS(_xlpm.MyAuditVal&lt;&gt;"",UPPER(_xlpm.MyAuditVal),_xlpm.MacVal&lt;&gt;"",_xlpm.MacVal,_xlpm.CSVVal&lt;&gt;"",_xlpm.CSVVal
)),"")</f>
        <v/>
      </c>
      <c r="N980" s="40"/>
      <c r="O980" s="40" t="str">
        <f>_xlfn.LET(
    _xlpm.CSVVal, _xlfn.XLOOKUP($A980, CSV!$A:$A, CSV!AA:AA, ""),
    _xlpm.MacVal, _xlfn.XLOOKUP($A980, Output_Mac!$A:$A, Output_Mac!S:S, ""),
    _xlpm.MyAuditVal, _xlfn.XLOOKUP($A980, My_Audit!$A:$A, My_Audit!P:P, ""),
    _xlfn.TEXTJOIN(", ", TRUE, _xlpm.MyAuditVal, _xlpm.MacVal, _xlpm.CSVVal)
)</f>
        <v/>
      </c>
      <c r="P980" s="40" t="str" cm="1">
        <f t="array" ref="P980">IFERROR(_xlfn.LET(
_xlpm.CSVVal,_xlfn.XLOOKUP($A980,CSV!$A:$A,CSV!AB:AB,""),
_xlpm.MacVal,_xlfn.XLOOKUP($A980,Output_Mac!$A:$A,Output_Mac!T:T,""),
_xlpm.MyAuditVal,_xlfn.XLOOKUP($A980,My_Audit!$A:$A,My_Audit!Q:Q,""),
_xlfn.IFS(_xlpm.MyAuditVal&lt;&gt;"",UPPER(_xlpm.MyAuditVal),_xlpm.MacVal&lt;&gt;"",_xlpm.MacVal,_xlpm.CSVVal&lt;&gt;"",_xlpm.CSVVal
)),"No")</f>
        <v>No</v>
      </c>
      <c r="Q980" s="40" t="str" cm="1">
        <f t="array" ref="Q980">IFERROR(_xlfn.LET(
_xlpm.CSVVal,_xlfn.XLOOKUP($A980,CSV!$A:$A,CSV!AC:AC,""),
_xlpm.MacVal,_xlfn.XLOOKUP($A980,Output_Mac!$A:$A,Output_Mac!U:U,""),
_xlpm.MyAuditVal,_xlfn.XLOOKUP($A980,My_Audit!$A:$A,My_Audit!R:R,""),
_xlfn.IFS(_xlpm.MyAuditVal&lt;&gt;"",UPPER(_xlpm.MyAuditVal),_xlpm.MacVal&lt;&gt;"",_xlpm.MacVal,_xlpm.CSVVal&lt;&gt;"",_xlpm.CSVVal
)),"")</f>
        <v/>
      </c>
      <c r="R980" s="40"/>
      <c r="S980" s="40"/>
      <c r="T980" s="40"/>
      <c r="U980" s="40"/>
      <c r="V980" s="40"/>
      <c r="W980" s="40"/>
      <c r="X980" s="41" t="str">
        <f>_xlfn.LET(
    _xlpm.MacVal, _xlfn.XLOOKUP($A980, Output_Mac!$A:$A, Output_Mac!AB:AB, ""),
    _xlpm.MyAuditVal, _xlfn.XLOOKUP($A980, My_Audit!$A:$A, My_Audit!N:N, ""),
    _xlfn.TEXTJOIN(", ", TRUE, _xlpm.MyAuditVal, _xlpm.MacVal)
)</f>
        <v/>
      </c>
    </row>
    <row r="981" spans="1:24">
      <c r="A981" s="40" t="str">
        <f>_xlfn.TEXTJOIN("",TRUE,Input!$B$2,ROW(My_Audit!A980))</f>
        <v>X980</v>
      </c>
      <c r="B981" s="40" t="str">
        <f>_xlfn.TEXTJOIN("-",TRUE,"ITD",Input!$A$2,A981)</f>
        <v>ITD-X980</v>
      </c>
      <c r="C981" s="40" t="str" cm="1">
        <f t="array" ref="C981">IFERROR(_xlfn.LET(
_xlpm.CSVVal,_xlfn.XLOOKUP($A981,CSV!$A:$A,CSV!B:B,""),
_xlpm.MacVal,_xlfn.XLOOKUP($A981,Output_Mac!$A:$A,Output_Mac!B:B,""),
_xlpm.MyAuditVal,_xlfn.XLOOKUP($A981,My_Audit!$A:$A,My_Audit!B:B,""),
_xlfn.IFS(_xlpm.MyAuditVal&lt;&gt;"",UPPER(_xlpm.MyAuditVal),_xlpm.MacVal&lt;&gt;"",_xlpm.MacVal,_xlpm.CSVVal&lt;&gt;"",_xlpm.CSVVal
)),"")</f>
        <v/>
      </c>
      <c r="D981" s="40" t="str" cm="1">
        <f t="array" ref="D981">IFERROR(_xlfn.LET(
_xlpm.CSVVal,_xlfn.XLOOKUP($A981,CSV!$A:$A,CSV!D:D,""),
_xlpm.MacVal,_xlfn.XLOOKUP($A981,Output_Mac!$A:$A,Output_Mac!C:C,""),
_xlpm.MyAuditVal,_xlfn.XLOOKUP($A981,My_Audit!$A:$A,My_Audit!C:C,""),
_xlfn.IFS(_xlpm.MyAuditVal&lt;&gt;"",_xlpm.MyAuditVal,_xlpm.MacVal&lt;&gt;"",_xlpm.MacVal,_xlpm.CSVVal&lt;&gt;"",_xlpm.CSVVal
)),"")</f>
        <v/>
      </c>
      <c r="E981" s="40" t="str">
        <f>_xlfn.XLOOKUP(A981,My_Audit!A:A,My_Audit!D:D,"")</f>
        <v/>
      </c>
      <c r="F981" s="40" t="str" cm="1">
        <f t="array" ref="F981">IFERROR(_xlfn.LET(
_xlpm.CSVVal,_xlfn.XLOOKUP($A981,CSV!$A:$A,CSV!F:F,""),
_xlpm.MacVal,_xlfn.XLOOKUP($A981,Output_Mac!$A:$A,Output_Mac!E:E,""),
_xlpm.MyAuditVal,_xlfn.XLOOKUP($A981,My_Audit!$A:$A,My_Audit!E:E,""),
_xlfn.IFS(_xlpm.MyAuditVal&lt;&gt;"",_xlpm.MyAuditVal,_xlpm.MacVal&lt;&gt;"",_xlpm.MacVal,_xlpm.CSVVal&lt;&gt;"",_xlpm.CSVVal
)),"")</f>
        <v/>
      </c>
      <c r="G981" s="40" t="str" cm="1">
        <f t="array" ref="G981">IFERROR(_xlfn.LET(
_xlpm.CSVVal,_xlfn.XLOOKUP($A981,CSV!$A:$A,CSV!G:G,""),
_xlpm.MacVal,_xlfn.XLOOKUP($A981,Output_Mac!$A:$A,Output_Mac!F:F,""),
_xlpm.MyAuditVal,_xlfn.XLOOKUP($A981,My_Audit!$A:$A,My_Audit!F:F,""),
_xlfn.IFS(_xlpm.MyAuditVal&lt;&gt;"",_xlpm.MyAuditVal,_xlpm.MacVal&lt;&gt;"",_xlpm.MacVal,_xlpm.CSVVal&lt;&gt;"",PROPER(_xlpm.CSVVal)
)),"")</f>
        <v/>
      </c>
      <c r="H981" s="40" t="str" cm="1">
        <f t="array" ref="H981">IFERROR(_xlfn.LET(
_xlpm.CSVVal,_xlfn.XLOOKUP($A981,CSV!$A:$A,CSV!H:H,""),
_xlpm.MacVal,_xlfn.XLOOKUP($A981,Output_Mac!$A:$A,Output_Mac!H:H,""),
_xlpm.MyAuditVal,_xlfn.XLOOKUP($A981,My_Audit!$A:$A,My_Audit!G:G,""),
_xlfn.IFS(_xlpm.MyAuditVal&lt;&gt;"",_xlpm.MyAuditVal,_xlpm.MacVal&lt;&gt;"",_xlpm.MacVal,_xlpm.CSVVal&lt;&gt;"",_xlpm.CSVVal
)),"")</f>
        <v/>
      </c>
      <c r="I981" s="40" t="str">
        <f>_xlfn.XLOOKUP(A981,Output_Mac!A:A,Output_Mac!I:I,"")</f>
        <v/>
      </c>
      <c r="J981" s="40" t="str" cm="1">
        <f t="array" ref="J981">IFERROR(_xlfn.LET(
_xlpm.CSVVal,_xlfn.XLOOKUP($A981,CSV!$A:$A,CSV!I:I,""),
_xlpm.MacVal,_xlfn.XLOOKUP($A981,Output_Mac!$A:$A,Output_Mac!J:J,""),
_xlpm.MyAuditVal,_xlfn.XLOOKUP($A981,My_Audit!$A:$A,My_Audit!I:I,""),
_xlfn.IFS(_xlpm.MyAuditVal&lt;&gt;"",UPPER(_xlpm.MyAuditVal),_xlpm.MacVal&lt;&gt;"",_xlpm.MacVal,_xlpm.CSVVal&lt;&gt;"",_xlpm.CSVVal
)),"")</f>
        <v/>
      </c>
      <c r="K981" s="40" t="str" cm="1">
        <f t="array" ref="K981">IFERROR(_xlfn.LET(
_xlpm.CSVVal,_xlfn.XLOOKUP($A981,CSV!$A:$A,CSV!K:K,""),
_xlpm.MacVal,_xlfn.XLOOKUP($A981,Output_Mac!$A:$A,Output_Mac!K:K,""),
_xlpm.MyAuditVal,_xlfn.XLOOKUP($A981,My_Audit!$A:$A,My_Audit!J:J,""),
_xlfn.IFS(_xlpm.MyAuditVal&lt;&gt;"",UPPER(_xlpm.MyAuditVal),_xlpm.MacVal&lt;&gt;"",_xlpm.MacVal,_xlpm.CSVVal&lt;&gt;"",_xlpm.CSVVal
)),"")</f>
        <v/>
      </c>
      <c r="L981" s="40" t="str" cm="1">
        <f t="array" ref="L981">IFERROR(_xlfn.LET(
_xlpm.CSVVal,_xlfn.XLOOKUP($A981,CSV!$A:$A,CSV!P:P,""),
_xlpm.MacVal,_xlfn.XLOOKUP($A981,Output_Mac!$A:$A,Output_Mac!L:L,""),
_xlpm.MyAuditVal,_xlfn.XLOOKUP($A981,My_Audit!$A:$A,My_Audit!K:K,""),
_xlfn.IFS(_xlpm.MyAuditVal&lt;&gt;"",UPPER(_xlpm.MyAuditVal),_xlpm.MacVal&lt;&gt;"",_xlpm.MacVal,_xlpm.CSVVal&lt;&gt;"",_xlpm.CSVVal
)),"")</f>
        <v/>
      </c>
      <c r="M981" s="40" t="str" cm="1">
        <f t="array" ref="M981">IFERROR(_xlfn.LET(
_xlpm.CSVVal,_xlfn.XLOOKUP($A981,CSV!$A:$A,CSV!Q:Q,""),
_xlpm.MacVal,_xlfn.XLOOKUP($A981,Output_Mac!$A:$A,Output_Mac!M:M,""),
_xlpm.MyAuditVal,_xlfn.XLOOKUP($A981,My_Audit!$A:$A,My_Audit!L:L,""),
_xlfn.IFS(_xlpm.MyAuditVal&lt;&gt;"",UPPER(_xlpm.MyAuditVal),_xlpm.MacVal&lt;&gt;"",_xlpm.MacVal,_xlpm.CSVVal&lt;&gt;"",_xlpm.CSVVal
)),"")</f>
        <v/>
      </c>
      <c r="N981" s="40"/>
      <c r="O981" s="40" t="str">
        <f>_xlfn.LET(
    _xlpm.CSVVal, _xlfn.XLOOKUP($A981, CSV!$A:$A, CSV!AA:AA, ""),
    _xlpm.MacVal, _xlfn.XLOOKUP($A981, Output_Mac!$A:$A, Output_Mac!S:S, ""),
    _xlpm.MyAuditVal, _xlfn.XLOOKUP($A981, My_Audit!$A:$A, My_Audit!P:P, ""),
    _xlfn.TEXTJOIN(", ", TRUE, _xlpm.MyAuditVal, _xlpm.MacVal, _xlpm.CSVVal)
)</f>
        <v/>
      </c>
      <c r="P981" s="40" t="str" cm="1">
        <f t="array" ref="P981">IFERROR(_xlfn.LET(
_xlpm.CSVVal,_xlfn.XLOOKUP($A981,CSV!$A:$A,CSV!AB:AB,""),
_xlpm.MacVal,_xlfn.XLOOKUP($A981,Output_Mac!$A:$A,Output_Mac!T:T,""),
_xlpm.MyAuditVal,_xlfn.XLOOKUP($A981,My_Audit!$A:$A,My_Audit!Q:Q,""),
_xlfn.IFS(_xlpm.MyAuditVal&lt;&gt;"",UPPER(_xlpm.MyAuditVal),_xlpm.MacVal&lt;&gt;"",_xlpm.MacVal,_xlpm.CSVVal&lt;&gt;"",_xlpm.CSVVal
)),"No")</f>
        <v>No</v>
      </c>
      <c r="Q981" s="40" t="str" cm="1">
        <f t="array" ref="Q981">IFERROR(_xlfn.LET(
_xlpm.CSVVal,_xlfn.XLOOKUP($A981,CSV!$A:$A,CSV!AC:AC,""),
_xlpm.MacVal,_xlfn.XLOOKUP($A981,Output_Mac!$A:$A,Output_Mac!U:U,""),
_xlpm.MyAuditVal,_xlfn.XLOOKUP($A981,My_Audit!$A:$A,My_Audit!R:R,""),
_xlfn.IFS(_xlpm.MyAuditVal&lt;&gt;"",UPPER(_xlpm.MyAuditVal),_xlpm.MacVal&lt;&gt;"",_xlpm.MacVal,_xlpm.CSVVal&lt;&gt;"",_xlpm.CSVVal
)),"")</f>
        <v/>
      </c>
      <c r="R981" s="40"/>
      <c r="S981" s="40"/>
      <c r="T981" s="40"/>
      <c r="U981" s="40"/>
      <c r="V981" s="40"/>
      <c r="W981" s="40"/>
      <c r="X981" s="41" t="str">
        <f>_xlfn.LET(
    _xlpm.MacVal, _xlfn.XLOOKUP($A981, Output_Mac!$A:$A, Output_Mac!AB:AB, ""),
    _xlpm.MyAuditVal, _xlfn.XLOOKUP($A981, My_Audit!$A:$A, My_Audit!N:N, ""),
    _xlfn.TEXTJOIN(", ", TRUE, _xlpm.MyAuditVal, _xlpm.MacVal)
)</f>
        <v/>
      </c>
    </row>
    <row r="982" spans="1:24">
      <c r="A982" s="40" t="str">
        <f>_xlfn.TEXTJOIN("",TRUE,Input!$B$2,ROW(My_Audit!A981))</f>
        <v>X981</v>
      </c>
      <c r="B982" s="40" t="str">
        <f>_xlfn.TEXTJOIN("-",TRUE,"ITD",Input!$A$2,A982)</f>
        <v>ITD-X981</v>
      </c>
      <c r="C982" s="40" t="str" cm="1">
        <f t="array" ref="C982">IFERROR(_xlfn.LET(
_xlpm.CSVVal,_xlfn.XLOOKUP($A982,CSV!$A:$A,CSV!B:B,""),
_xlpm.MacVal,_xlfn.XLOOKUP($A982,Output_Mac!$A:$A,Output_Mac!B:B,""),
_xlpm.MyAuditVal,_xlfn.XLOOKUP($A982,My_Audit!$A:$A,My_Audit!B:B,""),
_xlfn.IFS(_xlpm.MyAuditVal&lt;&gt;"",UPPER(_xlpm.MyAuditVal),_xlpm.MacVal&lt;&gt;"",_xlpm.MacVal,_xlpm.CSVVal&lt;&gt;"",_xlpm.CSVVal
)),"")</f>
        <v/>
      </c>
      <c r="D982" s="40" t="str" cm="1">
        <f t="array" ref="D982">IFERROR(_xlfn.LET(
_xlpm.CSVVal,_xlfn.XLOOKUP($A982,CSV!$A:$A,CSV!D:D,""),
_xlpm.MacVal,_xlfn.XLOOKUP($A982,Output_Mac!$A:$A,Output_Mac!C:C,""),
_xlpm.MyAuditVal,_xlfn.XLOOKUP($A982,My_Audit!$A:$A,My_Audit!C:C,""),
_xlfn.IFS(_xlpm.MyAuditVal&lt;&gt;"",_xlpm.MyAuditVal,_xlpm.MacVal&lt;&gt;"",_xlpm.MacVal,_xlpm.CSVVal&lt;&gt;"",_xlpm.CSVVal
)),"")</f>
        <v/>
      </c>
      <c r="E982" s="40" t="str">
        <f>_xlfn.XLOOKUP(A982,My_Audit!A:A,My_Audit!D:D,"")</f>
        <v/>
      </c>
      <c r="F982" s="40" t="str" cm="1">
        <f t="array" ref="F982">IFERROR(_xlfn.LET(
_xlpm.CSVVal,_xlfn.XLOOKUP($A982,CSV!$A:$A,CSV!F:F,""),
_xlpm.MacVal,_xlfn.XLOOKUP($A982,Output_Mac!$A:$A,Output_Mac!E:E,""),
_xlpm.MyAuditVal,_xlfn.XLOOKUP($A982,My_Audit!$A:$A,My_Audit!E:E,""),
_xlfn.IFS(_xlpm.MyAuditVal&lt;&gt;"",_xlpm.MyAuditVal,_xlpm.MacVal&lt;&gt;"",_xlpm.MacVal,_xlpm.CSVVal&lt;&gt;"",_xlpm.CSVVal
)),"")</f>
        <v/>
      </c>
      <c r="G982" s="40" t="str" cm="1">
        <f t="array" ref="G982">IFERROR(_xlfn.LET(
_xlpm.CSVVal,_xlfn.XLOOKUP($A982,CSV!$A:$A,CSV!G:G,""),
_xlpm.MacVal,_xlfn.XLOOKUP($A982,Output_Mac!$A:$A,Output_Mac!F:F,""),
_xlpm.MyAuditVal,_xlfn.XLOOKUP($A982,My_Audit!$A:$A,My_Audit!F:F,""),
_xlfn.IFS(_xlpm.MyAuditVal&lt;&gt;"",_xlpm.MyAuditVal,_xlpm.MacVal&lt;&gt;"",_xlpm.MacVal,_xlpm.CSVVal&lt;&gt;"",PROPER(_xlpm.CSVVal)
)),"")</f>
        <v/>
      </c>
      <c r="H982" s="40" t="str" cm="1">
        <f t="array" ref="H982">IFERROR(_xlfn.LET(
_xlpm.CSVVal,_xlfn.XLOOKUP($A982,CSV!$A:$A,CSV!H:H,""),
_xlpm.MacVal,_xlfn.XLOOKUP($A982,Output_Mac!$A:$A,Output_Mac!H:H,""),
_xlpm.MyAuditVal,_xlfn.XLOOKUP($A982,My_Audit!$A:$A,My_Audit!G:G,""),
_xlfn.IFS(_xlpm.MyAuditVal&lt;&gt;"",_xlpm.MyAuditVal,_xlpm.MacVal&lt;&gt;"",_xlpm.MacVal,_xlpm.CSVVal&lt;&gt;"",_xlpm.CSVVal
)),"")</f>
        <v/>
      </c>
      <c r="I982" s="40" t="str">
        <f>_xlfn.XLOOKUP(A982,Output_Mac!A:A,Output_Mac!I:I,"")</f>
        <v/>
      </c>
      <c r="J982" s="40" t="str" cm="1">
        <f t="array" ref="J982">IFERROR(_xlfn.LET(
_xlpm.CSVVal,_xlfn.XLOOKUP($A982,CSV!$A:$A,CSV!I:I,""),
_xlpm.MacVal,_xlfn.XLOOKUP($A982,Output_Mac!$A:$A,Output_Mac!J:J,""),
_xlpm.MyAuditVal,_xlfn.XLOOKUP($A982,My_Audit!$A:$A,My_Audit!I:I,""),
_xlfn.IFS(_xlpm.MyAuditVal&lt;&gt;"",UPPER(_xlpm.MyAuditVal),_xlpm.MacVal&lt;&gt;"",_xlpm.MacVal,_xlpm.CSVVal&lt;&gt;"",_xlpm.CSVVal
)),"")</f>
        <v/>
      </c>
      <c r="K982" s="40" t="str" cm="1">
        <f t="array" ref="K982">IFERROR(_xlfn.LET(
_xlpm.CSVVal,_xlfn.XLOOKUP($A982,CSV!$A:$A,CSV!K:K,""),
_xlpm.MacVal,_xlfn.XLOOKUP($A982,Output_Mac!$A:$A,Output_Mac!K:K,""),
_xlpm.MyAuditVal,_xlfn.XLOOKUP($A982,My_Audit!$A:$A,My_Audit!J:J,""),
_xlfn.IFS(_xlpm.MyAuditVal&lt;&gt;"",UPPER(_xlpm.MyAuditVal),_xlpm.MacVal&lt;&gt;"",_xlpm.MacVal,_xlpm.CSVVal&lt;&gt;"",_xlpm.CSVVal
)),"")</f>
        <v/>
      </c>
      <c r="L982" s="40" t="str" cm="1">
        <f t="array" ref="L982">IFERROR(_xlfn.LET(
_xlpm.CSVVal,_xlfn.XLOOKUP($A982,CSV!$A:$A,CSV!P:P,""),
_xlpm.MacVal,_xlfn.XLOOKUP($A982,Output_Mac!$A:$A,Output_Mac!L:L,""),
_xlpm.MyAuditVal,_xlfn.XLOOKUP($A982,My_Audit!$A:$A,My_Audit!K:K,""),
_xlfn.IFS(_xlpm.MyAuditVal&lt;&gt;"",UPPER(_xlpm.MyAuditVal),_xlpm.MacVal&lt;&gt;"",_xlpm.MacVal,_xlpm.CSVVal&lt;&gt;"",_xlpm.CSVVal
)),"")</f>
        <v/>
      </c>
      <c r="M982" s="40" t="str" cm="1">
        <f t="array" ref="M982">IFERROR(_xlfn.LET(
_xlpm.CSVVal,_xlfn.XLOOKUP($A982,CSV!$A:$A,CSV!Q:Q,""),
_xlpm.MacVal,_xlfn.XLOOKUP($A982,Output_Mac!$A:$A,Output_Mac!M:M,""),
_xlpm.MyAuditVal,_xlfn.XLOOKUP($A982,My_Audit!$A:$A,My_Audit!L:L,""),
_xlfn.IFS(_xlpm.MyAuditVal&lt;&gt;"",UPPER(_xlpm.MyAuditVal),_xlpm.MacVal&lt;&gt;"",_xlpm.MacVal,_xlpm.CSVVal&lt;&gt;"",_xlpm.CSVVal
)),"")</f>
        <v/>
      </c>
      <c r="N982" s="40"/>
      <c r="O982" s="40" t="str">
        <f>_xlfn.LET(
    _xlpm.CSVVal, _xlfn.XLOOKUP($A982, CSV!$A:$A, CSV!AA:AA, ""),
    _xlpm.MacVal, _xlfn.XLOOKUP($A982, Output_Mac!$A:$A, Output_Mac!S:S, ""),
    _xlpm.MyAuditVal, _xlfn.XLOOKUP($A982, My_Audit!$A:$A, My_Audit!P:P, ""),
    _xlfn.TEXTJOIN(", ", TRUE, _xlpm.MyAuditVal, _xlpm.MacVal, _xlpm.CSVVal)
)</f>
        <v/>
      </c>
      <c r="P982" s="40" t="str" cm="1">
        <f t="array" ref="P982">IFERROR(_xlfn.LET(
_xlpm.CSVVal,_xlfn.XLOOKUP($A982,CSV!$A:$A,CSV!AB:AB,""),
_xlpm.MacVal,_xlfn.XLOOKUP($A982,Output_Mac!$A:$A,Output_Mac!T:T,""),
_xlpm.MyAuditVal,_xlfn.XLOOKUP($A982,My_Audit!$A:$A,My_Audit!Q:Q,""),
_xlfn.IFS(_xlpm.MyAuditVal&lt;&gt;"",UPPER(_xlpm.MyAuditVal),_xlpm.MacVal&lt;&gt;"",_xlpm.MacVal,_xlpm.CSVVal&lt;&gt;"",_xlpm.CSVVal
)),"No")</f>
        <v>No</v>
      </c>
      <c r="Q982" s="40" t="str" cm="1">
        <f t="array" ref="Q982">IFERROR(_xlfn.LET(
_xlpm.CSVVal,_xlfn.XLOOKUP($A982,CSV!$A:$A,CSV!AC:AC,""),
_xlpm.MacVal,_xlfn.XLOOKUP($A982,Output_Mac!$A:$A,Output_Mac!U:U,""),
_xlpm.MyAuditVal,_xlfn.XLOOKUP($A982,My_Audit!$A:$A,My_Audit!R:R,""),
_xlfn.IFS(_xlpm.MyAuditVal&lt;&gt;"",UPPER(_xlpm.MyAuditVal),_xlpm.MacVal&lt;&gt;"",_xlpm.MacVal,_xlpm.CSVVal&lt;&gt;"",_xlpm.CSVVal
)),"")</f>
        <v/>
      </c>
      <c r="R982" s="40"/>
      <c r="S982" s="40"/>
      <c r="T982" s="40"/>
      <c r="U982" s="40"/>
      <c r="V982" s="40"/>
      <c r="W982" s="40"/>
      <c r="X982" s="41" t="str">
        <f>_xlfn.LET(
    _xlpm.MacVal, _xlfn.XLOOKUP($A982, Output_Mac!$A:$A, Output_Mac!AB:AB, ""),
    _xlpm.MyAuditVal, _xlfn.XLOOKUP($A982, My_Audit!$A:$A, My_Audit!N:N, ""),
    _xlfn.TEXTJOIN(", ", TRUE, _xlpm.MyAuditVal, _xlpm.MacVal)
)</f>
        <v/>
      </c>
    </row>
    <row r="983" spans="1:24">
      <c r="A983" s="40" t="str">
        <f>_xlfn.TEXTJOIN("",TRUE,Input!$B$2,ROW(My_Audit!A982))</f>
        <v>X982</v>
      </c>
      <c r="B983" s="40" t="str">
        <f>_xlfn.TEXTJOIN("-",TRUE,"ITD",Input!$A$2,A983)</f>
        <v>ITD-X982</v>
      </c>
      <c r="C983" s="40" t="str" cm="1">
        <f t="array" ref="C983">IFERROR(_xlfn.LET(
_xlpm.CSVVal,_xlfn.XLOOKUP($A983,CSV!$A:$A,CSV!B:B,""),
_xlpm.MacVal,_xlfn.XLOOKUP($A983,Output_Mac!$A:$A,Output_Mac!B:B,""),
_xlpm.MyAuditVal,_xlfn.XLOOKUP($A983,My_Audit!$A:$A,My_Audit!B:B,""),
_xlfn.IFS(_xlpm.MyAuditVal&lt;&gt;"",UPPER(_xlpm.MyAuditVal),_xlpm.MacVal&lt;&gt;"",_xlpm.MacVal,_xlpm.CSVVal&lt;&gt;"",_xlpm.CSVVal
)),"")</f>
        <v/>
      </c>
      <c r="D983" s="40" t="str" cm="1">
        <f t="array" ref="D983">IFERROR(_xlfn.LET(
_xlpm.CSVVal,_xlfn.XLOOKUP($A983,CSV!$A:$A,CSV!D:D,""),
_xlpm.MacVal,_xlfn.XLOOKUP($A983,Output_Mac!$A:$A,Output_Mac!C:C,""),
_xlpm.MyAuditVal,_xlfn.XLOOKUP($A983,My_Audit!$A:$A,My_Audit!C:C,""),
_xlfn.IFS(_xlpm.MyAuditVal&lt;&gt;"",_xlpm.MyAuditVal,_xlpm.MacVal&lt;&gt;"",_xlpm.MacVal,_xlpm.CSVVal&lt;&gt;"",_xlpm.CSVVal
)),"")</f>
        <v/>
      </c>
      <c r="E983" s="40" t="str">
        <f>_xlfn.XLOOKUP(A983,My_Audit!A:A,My_Audit!D:D,"")</f>
        <v/>
      </c>
      <c r="F983" s="40" t="str" cm="1">
        <f t="array" ref="F983">IFERROR(_xlfn.LET(
_xlpm.CSVVal,_xlfn.XLOOKUP($A983,CSV!$A:$A,CSV!F:F,""),
_xlpm.MacVal,_xlfn.XLOOKUP($A983,Output_Mac!$A:$A,Output_Mac!E:E,""),
_xlpm.MyAuditVal,_xlfn.XLOOKUP($A983,My_Audit!$A:$A,My_Audit!E:E,""),
_xlfn.IFS(_xlpm.MyAuditVal&lt;&gt;"",_xlpm.MyAuditVal,_xlpm.MacVal&lt;&gt;"",_xlpm.MacVal,_xlpm.CSVVal&lt;&gt;"",_xlpm.CSVVal
)),"")</f>
        <v/>
      </c>
      <c r="G983" s="40" t="str" cm="1">
        <f t="array" ref="G983">IFERROR(_xlfn.LET(
_xlpm.CSVVal,_xlfn.XLOOKUP($A983,CSV!$A:$A,CSV!G:G,""),
_xlpm.MacVal,_xlfn.XLOOKUP($A983,Output_Mac!$A:$A,Output_Mac!F:F,""),
_xlpm.MyAuditVal,_xlfn.XLOOKUP($A983,My_Audit!$A:$A,My_Audit!F:F,""),
_xlfn.IFS(_xlpm.MyAuditVal&lt;&gt;"",_xlpm.MyAuditVal,_xlpm.MacVal&lt;&gt;"",_xlpm.MacVal,_xlpm.CSVVal&lt;&gt;"",PROPER(_xlpm.CSVVal)
)),"")</f>
        <v/>
      </c>
      <c r="H983" s="40" t="str" cm="1">
        <f t="array" ref="H983">IFERROR(_xlfn.LET(
_xlpm.CSVVal,_xlfn.XLOOKUP($A983,CSV!$A:$A,CSV!H:H,""),
_xlpm.MacVal,_xlfn.XLOOKUP($A983,Output_Mac!$A:$A,Output_Mac!H:H,""),
_xlpm.MyAuditVal,_xlfn.XLOOKUP($A983,My_Audit!$A:$A,My_Audit!G:G,""),
_xlfn.IFS(_xlpm.MyAuditVal&lt;&gt;"",_xlpm.MyAuditVal,_xlpm.MacVal&lt;&gt;"",_xlpm.MacVal,_xlpm.CSVVal&lt;&gt;"",_xlpm.CSVVal
)),"")</f>
        <v/>
      </c>
      <c r="I983" s="40" t="str">
        <f>_xlfn.XLOOKUP(A983,Output_Mac!A:A,Output_Mac!I:I,"")</f>
        <v/>
      </c>
      <c r="J983" s="40" t="str" cm="1">
        <f t="array" ref="J983">IFERROR(_xlfn.LET(
_xlpm.CSVVal,_xlfn.XLOOKUP($A983,CSV!$A:$A,CSV!I:I,""),
_xlpm.MacVal,_xlfn.XLOOKUP($A983,Output_Mac!$A:$A,Output_Mac!J:J,""),
_xlpm.MyAuditVal,_xlfn.XLOOKUP($A983,My_Audit!$A:$A,My_Audit!I:I,""),
_xlfn.IFS(_xlpm.MyAuditVal&lt;&gt;"",UPPER(_xlpm.MyAuditVal),_xlpm.MacVal&lt;&gt;"",_xlpm.MacVal,_xlpm.CSVVal&lt;&gt;"",_xlpm.CSVVal
)),"")</f>
        <v/>
      </c>
      <c r="K983" s="40" t="str" cm="1">
        <f t="array" ref="K983">IFERROR(_xlfn.LET(
_xlpm.CSVVal,_xlfn.XLOOKUP($A983,CSV!$A:$A,CSV!K:K,""),
_xlpm.MacVal,_xlfn.XLOOKUP($A983,Output_Mac!$A:$A,Output_Mac!K:K,""),
_xlpm.MyAuditVal,_xlfn.XLOOKUP($A983,My_Audit!$A:$A,My_Audit!J:J,""),
_xlfn.IFS(_xlpm.MyAuditVal&lt;&gt;"",UPPER(_xlpm.MyAuditVal),_xlpm.MacVal&lt;&gt;"",_xlpm.MacVal,_xlpm.CSVVal&lt;&gt;"",_xlpm.CSVVal
)),"")</f>
        <v/>
      </c>
      <c r="L983" s="40" t="str" cm="1">
        <f t="array" ref="L983">IFERROR(_xlfn.LET(
_xlpm.CSVVal,_xlfn.XLOOKUP($A983,CSV!$A:$A,CSV!P:P,""),
_xlpm.MacVal,_xlfn.XLOOKUP($A983,Output_Mac!$A:$A,Output_Mac!L:L,""),
_xlpm.MyAuditVal,_xlfn.XLOOKUP($A983,My_Audit!$A:$A,My_Audit!K:K,""),
_xlfn.IFS(_xlpm.MyAuditVal&lt;&gt;"",UPPER(_xlpm.MyAuditVal),_xlpm.MacVal&lt;&gt;"",_xlpm.MacVal,_xlpm.CSVVal&lt;&gt;"",_xlpm.CSVVal
)),"")</f>
        <v/>
      </c>
      <c r="M983" s="40" t="str" cm="1">
        <f t="array" ref="M983">IFERROR(_xlfn.LET(
_xlpm.CSVVal,_xlfn.XLOOKUP($A983,CSV!$A:$A,CSV!Q:Q,""),
_xlpm.MacVal,_xlfn.XLOOKUP($A983,Output_Mac!$A:$A,Output_Mac!M:M,""),
_xlpm.MyAuditVal,_xlfn.XLOOKUP($A983,My_Audit!$A:$A,My_Audit!L:L,""),
_xlfn.IFS(_xlpm.MyAuditVal&lt;&gt;"",UPPER(_xlpm.MyAuditVal),_xlpm.MacVal&lt;&gt;"",_xlpm.MacVal,_xlpm.CSVVal&lt;&gt;"",_xlpm.CSVVal
)),"")</f>
        <v/>
      </c>
      <c r="N983" s="40"/>
      <c r="O983" s="40" t="str">
        <f>_xlfn.LET(
    _xlpm.CSVVal, _xlfn.XLOOKUP($A983, CSV!$A:$A, CSV!AA:AA, ""),
    _xlpm.MacVal, _xlfn.XLOOKUP($A983, Output_Mac!$A:$A, Output_Mac!S:S, ""),
    _xlpm.MyAuditVal, _xlfn.XLOOKUP($A983, My_Audit!$A:$A, My_Audit!P:P, ""),
    _xlfn.TEXTJOIN(", ", TRUE, _xlpm.MyAuditVal, _xlpm.MacVal, _xlpm.CSVVal)
)</f>
        <v/>
      </c>
      <c r="P983" s="40" t="str" cm="1">
        <f t="array" ref="P983">IFERROR(_xlfn.LET(
_xlpm.CSVVal,_xlfn.XLOOKUP($A983,CSV!$A:$A,CSV!AB:AB,""),
_xlpm.MacVal,_xlfn.XLOOKUP($A983,Output_Mac!$A:$A,Output_Mac!T:T,""),
_xlpm.MyAuditVal,_xlfn.XLOOKUP($A983,My_Audit!$A:$A,My_Audit!Q:Q,""),
_xlfn.IFS(_xlpm.MyAuditVal&lt;&gt;"",UPPER(_xlpm.MyAuditVal),_xlpm.MacVal&lt;&gt;"",_xlpm.MacVal,_xlpm.CSVVal&lt;&gt;"",_xlpm.CSVVal
)),"No")</f>
        <v>No</v>
      </c>
      <c r="Q983" s="40" t="str" cm="1">
        <f t="array" ref="Q983">IFERROR(_xlfn.LET(
_xlpm.CSVVal,_xlfn.XLOOKUP($A983,CSV!$A:$A,CSV!AC:AC,""),
_xlpm.MacVal,_xlfn.XLOOKUP($A983,Output_Mac!$A:$A,Output_Mac!U:U,""),
_xlpm.MyAuditVal,_xlfn.XLOOKUP($A983,My_Audit!$A:$A,My_Audit!R:R,""),
_xlfn.IFS(_xlpm.MyAuditVal&lt;&gt;"",UPPER(_xlpm.MyAuditVal),_xlpm.MacVal&lt;&gt;"",_xlpm.MacVal,_xlpm.CSVVal&lt;&gt;"",_xlpm.CSVVal
)),"")</f>
        <v/>
      </c>
      <c r="R983" s="40"/>
      <c r="S983" s="40"/>
      <c r="T983" s="40"/>
      <c r="U983" s="40"/>
      <c r="V983" s="40"/>
      <c r="W983" s="40"/>
      <c r="X983" s="41" t="str">
        <f>_xlfn.LET(
    _xlpm.MacVal, _xlfn.XLOOKUP($A983, Output_Mac!$A:$A, Output_Mac!AB:AB, ""),
    _xlpm.MyAuditVal, _xlfn.XLOOKUP($A983, My_Audit!$A:$A, My_Audit!N:N, ""),
    _xlfn.TEXTJOIN(", ", TRUE, _xlpm.MyAuditVal, _xlpm.MacVal)
)</f>
        <v/>
      </c>
    </row>
    <row r="984" spans="1:24">
      <c r="A984" s="40" t="str">
        <f>_xlfn.TEXTJOIN("",TRUE,Input!$B$2,ROW(My_Audit!A983))</f>
        <v>X983</v>
      </c>
      <c r="B984" s="40" t="str">
        <f>_xlfn.TEXTJOIN("-",TRUE,"ITD",Input!$A$2,A984)</f>
        <v>ITD-X983</v>
      </c>
      <c r="C984" s="40" t="str" cm="1">
        <f t="array" ref="C984">IFERROR(_xlfn.LET(
_xlpm.CSVVal,_xlfn.XLOOKUP($A984,CSV!$A:$A,CSV!B:B,""),
_xlpm.MacVal,_xlfn.XLOOKUP($A984,Output_Mac!$A:$A,Output_Mac!B:B,""),
_xlpm.MyAuditVal,_xlfn.XLOOKUP($A984,My_Audit!$A:$A,My_Audit!B:B,""),
_xlfn.IFS(_xlpm.MyAuditVal&lt;&gt;"",UPPER(_xlpm.MyAuditVal),_xlpm.MacVal&lt;&gt;"",_xlpm.MacVal,_xlpm.CSVVal&lt;&gt;"",_xlpm.CSVVal
)),"")</f>
        <v/>
      </c>
      <c r="D984" s="40" t="str" cm="1">
        <f t="array" ref="D984">IFERROR(_xlfn.LET(
_xlpm.CSVVal,_xlfn.XLOOKUP($A984,CSV!$A:$A,CSV!D:D,""),
_xlpm.MacVal,_xlfn.XLOOKUP($A984,Output_Mac!$A:$A,Output_Mac!C:C,""),
_xlpm.MyAuditVal,_xlfn.XLOOKUP($A984,My_Audit!$A:$A,My_Audit!C:C,""),
_xlfn.IFS(_xlpm.MyAuditVal&lt;&gt;"",_xlpm.MyAuditVal,_xlpm.MacVal&lt;&gt;"",_xlpm.MacVal,_xlpm.CSVVal&lt;&gt;"",_xlpm.CSVVal
)),"")</f>
        <v/>
      </c>
      <c r="E984" s="40" t="str">
        <f>_xlfn.XLOOKUP(A984,My_Audit!A:A,My_Audit!D:D,"")</f>
        <v/>
      </c>
      <c r="F984" s="40" t="str" cm="1">
        <f t="array" ref="F984">IFERROR(_xlfn.LET(
_xlpm.CSVVal,_xlfn.XLOOKUP($A984,CSV!$A:$A,CSV!F:F,""),
_xlpm.MacVal,_xlfn.XLOOKUP($A984,Output_Mac!$A:$A,Output_Mac!E:E,""),
_xlpm.MyAuditVal,_xlfn.XLOOKUP($A984,My_Audit!$A:$A,My_Audit!E:E,""),
_xlfn.IFS(_xlpm.MyAuditVal&lt;&gt;"",_xlpm.MyAuditVal,_xlpm.MacVal&lt;&gt;"",_xlpm.MacVal,_xlpm.CSVVal&lt;&gt;"",_xlpm.CSVVal
)),"")</f>
        <v/>
      </c>
      <c r="G984" s="40" t="str" cm="1">
        <f t="array" ref="G984">IFERROR(_xlfn.LET(
_xlpm.CSVVal,_xlfn.XLOOKUP($A984,CSV!$A:$A,CSV!G:G,""),
_xlpm.MacVal,_xlfn.XLOOKUP($A984,Output_Mac!$A:$A,Output_Mac!F:F,""),
_xlpm.MyAuditVal,_xlfn.XLOOKUP($A984,My_Audit!$A:$A,My_Audit!F:F,""),
_xlfn.IFS(_xlpm.MyAuditVal&lt;&gt;"",_xlpm.MyAuditVal,_xlpm.MacVal&lt;&gt;"",_xlpm.MacVal,_xlpm.CSVVal&lt;&gt;"",PROPER(_xlpm.CSVVal)
)),"")</f>
        <v/>
      </c>
      <c r="H984" s="40" t="str" cm="1">
        <f t="array" ref="H984">IFERROR(_xlfn.LET(
_xlpm.CSVVal,_xlfn.XLOOKUP($A984,CSV!$A:$A,CSV!H:H,""),
_xlpm.MacVal,_xlfn.XLOOKUP($A984,Output_Mac!$A:$A,Output_Mac!H:H,""),
_xlpm.MyAuditVal,_xlfn.XLOOKUP($A984,My_Audit!$A:$A,My_Audit!G:G,""),
_xlfn.IFS(_xlpm.MyAuditVal&lt;&gt;"",_xlpm.MyAuditVal,_xlpm.MacVal&lt;&gt;"",_xlpm.MacVal,_xlpm.CSVVal&lt;&gt;"",_xlpm.CSVVal
)),"")</f>
        <v/>
      </c>
      <c r="I984" s="40" t="str">
        <f>_xlfn.XLOOKUP(A984,Output_Mac!A:A,Output_Mac!I:I,"")</f>
        <v/>
      </c>
      <c r="J984" s="40" t="str" cm="1">
        <f t="array" ref="J984">IFERROR(_xlfn.LET(
_xlpm.CSVVal,_xlfn.XLOOKUP($A984,CSV!$A:$A,CSV!I:I,""),
_xlpm.MacVal,_xlfn.XLOOKUP($A984,Output_Mac!$A:$A,Output_Mac!J:J,""),
_xlpm.MyAuditVal,_xlfn.XLOOKUP($A984,My_Audit!$A:$A,My_Audit!I:I,""),
_xlfn.IFS(_xlpm.MyAuditVal&lt;&gt;"",UPPER(_xlpm.MyAuditVal),_xlpm.MacVal&lt;&gt;"",_xlpm.MacVal,_xlpm.CSVVal&lt;&gt;"",_xlpm.CSVVal
)),"")</f>
        <v/>
      </c>
      <c r="K984" s="40" t="str" cm="1">
        <f t="array" ref="K984">IFERROR(_xlfn.LET(
_xlpm.CSVVal,_xlfn.XLOOKUP($A984,CSV!$A:$A,CSV!K:K,""),
_xlpm.MacVal,_xlfn.XLOOKUP($A984,Output_Mac!$A:$A,Output_Mac!K:K,""),
_xlpm.MyAuditVal,_xlfn.XLOOKUP($A984,My_Audit!$A:$A,My_Audit!J:J,""),
_xlfn.IFS(_xlpm.MyAuditVal&lt;&gt;"",UPPER(_xlpm.MyAuditVal),_xlpm.MacVal&lt;&gt;"",_xlpm.MacVal,_xlpm.CSVVal&lt;&gt;"",_xlpm.CSVVal
)),"")</f>
        <v/>
      </c>
      <c r="L984" s="40" t="str" cm="1">
        <f t="array" ref="L984">IFERROR(_xlfn.LET(
_xlpm.CSVVal,_xlfn.XLOOKUP($A984,CSV!$A:$A,CSV!P:P,""),
_xlpm.MacVal,_xlfn.XLOOKUP($A984,Output_Mac!$A:$A,Output_Mac!L:L,""),
_xlpm.MyAuditVal,_xlfn.XLOOKUP($A984,My_Audit!$A:$A,My_Audit!K:K,""),
_xlfn.IFS(_xlpm.MyAuditVal&lt;&gt;"",UPPER(_xlpm.MyAuditVal),_xlpm.MacVal&lt;&gt;"",_xlpm.MacVal,_xlpm.CSVVal&lt;&gt;"",_xlpm.CSVVal
)),"")</f>
        <v/>
      </c>
      <c r="M984" s="40" t="str" cm="1">
        <f t="array" ref="M984">IFERROR(_xlfn.LET(
_xlpm.CSVVal,_xlfn.XLOOKUP($A984,CSV!$A:$A,CSV!Q:Q,""),
_xlpm.MacVal,_xlfn.XLOOKUP($A984,Output_Mac!$A:$A,Output_Mac!M:M,""),
_xlpm.MyAuditVal,_xlfn.XLOOKUP($A984,My_Audit!$A:$A,My_Audit!L:L,""),
_xlfn.IFS(_xlpm.MyAuditVal&lt;&gt;"",UPPER(_xlpm.MyAuditVal),_xlpm.MacVal&lt;&gt;"",_xlpm.MacVal,_xlpm.CSVVal&lt;&gt;"",_xlpm.CSVVal
)),"")</f>
        <v/>
      </c>
      <c r="N984" s="40"/>
      <c r="O984" s="40" t="str">
        <f>_xlfn.LET(
    _xlpm.CSVVal, _xlfn.XLOOKUP($A984, CSV!$A:$A, CSV!AA:AA, ""),
    _xlpm.MacVal, _xlfn.XLOOKUP($A984, Output_Mac!$A:$A, Output_Mac!S:S, ""),
    _xlpm.MyAuditVal, _xlfn.XLOOKUP($A984, My_Audit!$A:$A, My_Audit!P:P, ""),
    _xlfn.TEXTJOIN(", ", TRUE, _xlpm.MyAuditVal, _xlpm.MacVal, _xlpm.CSVVal)
)</f>
        <v/>
      </c>
      <c r="P984" s="40" t="str" cm="1">
        <f t="array" ref="P984">IFERROR(_xlfn.LET(
_xlpm.CSVVal,_xlfn.XLOOKUP($A984,CSV!$A:$A,CSV!AB:AB,""),
_xlpm.MacVal,_xlfn.XLOOKUP($A984,Output_Mac!$A:$A,Output_Mac!T:T,""),
_xlpm.MyAuditVal,_xlfn.XLOOKUP($A984,My_Audit!$A:$A,My_Audit!Q:Q,""),
_xlfn.IFS(_xlpm.MyAuditVal&lt;&gt;"",UPPER(_xlpm.MyAuditVal),_xlpm.MacVal&lt;&gt;"",_xlpm.MacVal,_xlpm.CSVVal&lt;&gt;"",_xlpm.CSVVal
)),"No")</f>
        <v>No</v>
      </c>
      <c r="Q984" s="40" t="str" cm="1">
        <f t="array" ref="Q984">IFERROR(_xlfn.LET(
_xlpm.CSVVal,_xlfn.XLOOKUP($A984,CSV!$A:$A,CSV!AC:AC,""),
_xlpm.MacVal,_xlfn.XLOOKUP($A984,Output_Mac!$A:$A,Output_Mac!U:U,""),
_xlpm.MyAuditVal,_xlfn.XLOOKUP($A984,My_Audit!$A:$A,My_Audit!R:R,""),
_xlfn.IFS(_xlpm.MyAuditVal&lt;&gt;"",UPPER(_xlpm.MyAuditVal),_xlpm.MacVal&lt;&gt;"",_xlpm.MacVal,_xlpm.CSVVal&lt;&gt;"",_xlpm.CSVVal
)),"")</f>
        <v/>
      </c>
      <c r="R984" s="40"/>
      <c r="S984" s="40"/>
      <c r="T984" s="40"/>
      <c r="U984" s="40"/>
      <c r="V984" s="40"/>
      <c r="W984" s="40"/>
      <c r="X984" s="41" t="str">
        <f>_xlfn.LET(
    _xlpm.MacVal, _xlfn.XLOOKUP($A984, Output_Mac!$A:$A, Output_Mac!AB:AB, ""),
    _xlpm.MyAuditVal, _xlfn.XLOOKUP($A984, My_Audit!$A:$A, My_Audit!N:N, ""),
    _xlfn.TEXTJOIN(", ", TRUE, _xlpm.MyAuditVal, _xlpm.MacVal)
)</f>
        <v/>
      </c>
    </row>
    <row r="985" spans="1:24">
      <c r="A985" s="40" t="str">
        <f>_xlfn.TEXTJOIN("",TRUE,Input!$B$2,ROW(My_Audit!A984))</f>
        <v>X984</v>
      </c>
      <c r="B985" s="40" t="str">
        <f>_xlfn.TEXTJOIN("-",TRUE,"ITD",Input!$A$2,A985)</f>
        <v>ITD-X984</v>
      </c>
      <c r="C985" s="40" t="str" cm="1">
        <f t="array" ref="C985">IFERROR(_xlfn.LET(
_xlpm.CSVVal,_xlfn.XLOOKUP($A985,CSV!$A:$A,CSV!B:B,""),
_xlpm.MacVal,_xlfn.XLOOKUP($A985,Output_Mac!$A:$A,Output_Mac!B:B,""),
_xlpm.MyAuditVal,_xlfn.XLOOKUP($A985,My_Audit!$A:$A,My_Audit!B:B,""),
_xlfn.IFS(_xlpm.MyAuditVal&lt;&gt;"",UPPER(_xlpm.MyAuditVal),_xlpm.MacVal&lt;&gt;"",_xlpm.MacVal,_xlpm.CSVVal&lt;&gt;"",_xlpm.CSVVal
)),"")</f>
        <v/>
      </c>
      <c r="D985" s="40" t="str" cm="1">
        <f t="array" ref="D985">IFERROR(_xlfn.LET(
_xlpm.CSVVal,_xlfn.XLOOKUP($A985,CSV!$A:$A,CSV!D:D,""),
_xlpm.MacVal,_xlfn.XLOOKUP($A985,Output_Mac!$A:$A,Output_Mac!C:C,""),
_xlpm.MyAuditVal,_xlfn.XLOOKUP($A985,My_Audit!$A:$A,My_Audit!C:C,""),
_xlfn.IFS(_xlpm.MyAuditVal&lt;&gt;"",_xlpm.MyAuditVal,_xlpm.MacVal&lt;&gt;"",_xlpm.MacVal,_xlpm.CSVVal&lt;&gt;"",_xlpm.CSVVal
)),"")</f>
        <v/>
      </c>
      <c r="E985" s="40" t="str">
        <f>_xlfn.XLOOKUP(A985,My_Audit!A:A,My_Audit!D:D,"")</f>
        <v/>
      </c>
      <c r="F985" s="40" t="str" cm="1">
        <f t="array" ref="F985">IFERROR(_xlfn.LET(
_xlpm.CSVVal,_xlfn.XLOOKUP($A985,CSV!$A:$A,CSV!F:F,""),
_xlpm.MacVal,_xlfn.XLOOKUP($A985,Output_Mac!$A:$A,Output_Mac!E:E,""),
_xlpm.MyAuditVal,_xlfn.XLOOKUP($A985,My_Audit!$A:$A,My_Audit!E:E,""),
_xlfn.IFS(_xlpm.MyAuditVal&lt;&gt;"",_xlpm.MyAuditVal,_xlpm.MacVal&lt;&gt;"",_xlpm.MacVal,_xlpm.CSVVal&lt;&gt;"",_xlpm.CSVVal
)),"")</f>
        <v/>
      </c>
      <c r="G985" s="40" t="str" cm="1">
        <f t="array" ref="G985">IFERROR(_xlfn.LET(
_xlpm.CSVVal,_xlfn.XLOOKUP($A985,CSV!$A:$A,CSV!G:G,""),
_xlpm.MacVal,_xlfn.XLOOKUP($A985,Output_Mac!$A:$A,Output_Mac!F:F,""),
_xlpm.MyAuditVal,_xlfn.XLOOKUP($A985,My_Audit!$A:$A,My_Audit!F:F,""),
_xlfn.IFS(_xlpm.MyAuditVal&lt;&gt;"",_xlpm.MyAuditVal,_xlpm.MacVal&lt;&gt;"",_xlpm.MacVal,_xlpm.CSVVal&lt;&gt;"",PROPER(_xlpm.CSVVal)
)),"")</f>
        <v/>
      </c>
      <c r="H985" s="40" t="str" cm="1">
        <f t="array" ref="H985">IFERROR(_xlfn.LET(
_xlpm.CSVVal,_xlfn.XLOOKUP($A985,CSV!$A:$A,CSV!H:H,""),
_xlpm.MacVal,_xlfn.XLOOKUP($A985,Output_Mac!$A:$A,Output_Mac!H:H,""),
_xlpm.MyAuditVal,_xlfn.XLOOKUP($A985,My_Audit!$A:$A,My_Audit!G:G,""),
_xlfn.IFS(_xlpm.MyAuditVal&lt;&gt;"",_xlpm.MyAuditVal,_xlpm.MacVal&lt;&gt;"",_xlpm.MacVal,_xlpm.CSVVal&lt;&gt;"",_xlpm.CSVVal
)),"")</f>
        <v/>
      </c>
      <c r="I985" s="40" t="str">
        <f>_xlfn.XLOOKUP(A985,Output_Mac!A:A,Output_Mac!I:I,"")</f>
        <v/>
      </c>
      <c r="J985" s="40" t="str" cm="1">
        <f t="array" ref="J985">IFERROR(_xlfn.LET(
_xlpm.CSVVal,_xlfn.XLOOKUP($A985,CSV!$A:$A,CSV!I:I,""),
_xlpm.MacVal,_xlfn.XLOOKUP($A985,Output_Mac!$A:$A,Output_Mac!J:J,""),
_xlpm.MyAuditVal,_xlfn.XLOOKUP($A985,My_Audit!$A:$A,My_Audit!I:I,""),
_xlfn.IFS(_xlpm.MyAuditVal&lt;&gt;"",UPPER(_xlpm.MyAuditVal),_xlpm.MacVal&lt;&gt;"",_xlpm.MacVal,_xlpm.CSVVal&lt;&gt;"",_xlpm.CSVVal
)),"")</f>
        <v/>
      </c>
      <c r="K985" s="40" t="str" cm="1">
        <f t="array" ref="K985">IFERROR(_xlfn.LET(
_xlpm.CSVVal,_xlfn.XLOOKUP($A985,CSV!$A:$A,CSV!K:K,""),
_xlpm.MacVal,_xlfn.XLOOKUP($A985,Output_Mac!$A:$A,Output_Mac!K:K,""),
_xlpm.MyAuditVal,_xlfn.XLOOKUP($A985,My_Audit!$A:$A,My_Audit!J:J,""),
_xlfn.IFS(_xlpm.MyAuditVal&lt;&gt;"",UPPER(_xlpm.MyAuditVal),_xlpm.MacVal&lt;&gt;"",_xlpm.MacVal,_xlpm.CSVVal&lt;&gt;"",_xlpm.CSVVal
)),"")</f>
        <v/>
      </c>
      <c r="L985" s="40" t="str" cm="1">
        <f t="array" ref="L985">IFERROR(_xlfn.LET(
_xlpm.CSVVal,_xlfn.XLOOKUP($A985,CSV!$A:$A,CSV!P:P,""),
_xlpm.MacVal,_xlfn.XLOOKUP($A985,Output_Mac!$A:$A,Output_Mac!L:L,""),
_xlpm.MyAuditVal,_xlfn.XLOOKUP($A985,My_Audit!$A:$A,My_Audit!K:K,""),
_xlfn.IFS(_xlpm.MyAuditVal&lt;&gt;"",UPPER(_xlpm.MyAuditVal),_xlpm.MacVal&lt;&gt;"",_xlpm.MacVal,_xlpm.CSVVal&lt;&gt;"",_xlpm.CSVVal
)),"")</f>
        <v/>
      </c>
      <c r="M985" s="40" t="str" cm="1">
        <f t="array" ref="M985">IFERROR(_xlfn.LET(
_xlpm.CSVVal,_xlfn.XLOOKUP($A985,CSV!$A:$A,CSV!Q:Q,""),
_xlpm.MacVal,_xlfn.XLOOKUP($A985,Output_Mac!$A:$A,Output_Mac!M:M,""),
_xlpm.MyAuditVal,_xlfn.XLOOKUP($A985,My_Audit!$A:$A,My_Audit!L:L,""),
_xlfn.IFS(_xlpm.MyAuditVal&lt;&gt;"",UPPER(_xlpm.MyAuditVal),_xlpm.MacVal&lt;&gt;"",_xlpm.MacVal,_xlpm.CSVVal&lt;&gt;"",_xlpm.CSVVal
)),"")</f>
        <v/>
      </c>
      <c r="N985" s="40"/>
      <c r="O985" s="40" t="str">
        <f>_xlfn.LET(
    _xlpm.CSVVal, _xlfn.XLOOKUP($A985, CSV!$A:$A, CSV!AA:AA, ""),
    _xlpm.MacVal, _xlfn.XLOOKUP($A985, Output_Mac!$A:$A, Output_Mac!S:S, ""),
    _xlpm.MyAuditVal, _xlfn.XLOOKUP($A985, My_Audit!$A:$A, My_Audit!P:P, ""),
    _xlfn.TEXTJOIN(", ", TRUE, _xlpm.MyAuditVal, _xlpm.MacVal, _xlpm.CSVVal)
)</f>
        <v/>
      </c>
      <c r="P985" s="40" t="str" cm="1">
        <f t="array" ref="P985">IFERROR(_xlfn.LET(
_xlpm.CSVVal,_xlfn.XLOOKUP($A985,CSV!$A:$A,CSV!AB:AB,""),
_xlpm.MacVal,_xlfn.XLOOKUP($A985,Output_Mac!$A:$A,Output_Mac!T:T,""),
_xlpm.MyAuditVal,_xlfn.XLOOKUP($A985,My_Audit!$A:$A,My_Audit!Q:Q,""),
_xlfn.IFS(_xlpm.MyAuditVal&lt;&gt;"",UPPER(_xlpm.MyAuditVal),_xlpm.MacVal&lt;&gt;"",_xlpm.MacVal,_xlpm.CSVVal&lt;&gt;"",_xlpm.CSVVal
)),"No")</f>
        <v>No</v>
      </c>
      <c r="Q985" s="40" t="str" cm="1">
        <f t="array" ref="Q985">IFERROR(_xlfn.LET(
_xlpm.CSVVal,_xlfn.XLOOKUP($A985,CSV!$A:$A,CSV!AC:AC,""),
_xlpm.MacVal,_xlfn.XLOOKUP($A985,Output_Mac!$A:$A,Output_Mac!U:U,""),
_xlpm.MyAuditVal,_xlfn.XLOOKUP($A985,My_Audit!$A:$A,My_Audit!R:R,""),
_xlfn.IFS(_xlpm.MyAuditVal&lt;&gt;"",UPPER(_xlpm.MyAuditVal),_xlpm.MacVal&lt;&gt;"",_xlpm.MacVal,_xlpm.CSVVal&lt;&gt;"",_xlpm.CSVVal
)),"")</f>
        <v/>
      </c>
      <c r="R985" s="40"/>
      <c r="S985" s="40"/>
      <c r="T985" s="40"/>
      <c r="U985" s="40"/>
      <c r="V985" s="40"/>
      <c r="W985" s="40"/>
      <c r="X985" s="41" t="str">
        <f>_xlfn.LET(
    _xlpm.MacVal, _xlfn.XLOOKUP($A985, Output_Mac!$A:$A, Output_Mac!AB:AB, ""),
    _xlpm.MyAuditVal, _xlfn.XLOOKUP($A985, My_Audit!$A:$A, My_Audit!N:N, ""),
    _xlfn.TEXTJOIN(", ", TRUE, _xlpm.MyAuditVal, _xlpm.MacVal)
)</f>
        <v/>
      </c>
    </row>
    <row r="986" spans="1:24">
      <c r="A986" s="40" t="str">
        <f>_xlfn.TEXTJOIN("",TRUE,Input!$B$2,ROW(My_Audit!A985))</f>
        <v>X985</v>
      </c>
      <c r="B986" s="40" t="str">
        <f>_xlfn.TEXTJOIN("-",TRUE,"ITD",Input!$A$2,A986)</f>
        <v>ITD-X985</v>
      </c>
      <c r="C986" s="40" t="str" cm="1">
        <f t="array" ref="C986">IFERROR(_xlfn.LET(
_xlpm.CSVVal,_xlfn.XLOOKUP($A986,CSV!$A:$A,CSV!B:B,""),
_xlpm.MacVal,_xlfn.XLOOKUP($A986,Output_Mac!$A:$A,Output_Mac!B:B,""),
_xlpm.MyAuditVal,_xlfn.XLOOKUP($A986,My_Audit!$A:$A,My_Audit!B:B,""),
_xlfn.IFS(_xlpm.MyAuditVal&lt;&gt;"",UPPER(_xlpm.MyAuditVal),_xlpm.MacVal&lt;&gt;"",_xlpm.MacVal,_xlpm.CSVVal&lt;&gt;"",_xlpm.CSVVal
)),"")</f>
        <v/>
      </c>
      <c r="D986" s="40" t="str" cm="1">
        <f t="array" ref="D986">IFERROR(_xlfn.LET(
_xlpm.CSVVal,_xlfn.XLOOKUP($A986,CSV!$A:$A,CSV!D:D,""),
_xlpm.MacVal,_xlfn.XLOOKUP($A986,Output_Mac!$A:$A,Output_Mac!C:C,""),
_xlpm.MyAuditVal,_xlfn.XLOOKUP($A986,My_Audit!$A:$A,My_Audit!C:C,""),
_xlfn.IFS(_xlpm.MyAuditVal&lt;&gt;"",_xlpm.MyAuditVal,_xlpm.MacVal&lt;&gt;"",_xlpm.MacVal,_xlpm.CSVVal&lt;&gt;"",_xlpm.CSVVal
)),"")</f>
        <v/>
      </c>
      <c r="E986" s="40" t="str">
        <f>_xlfn.XLOOKUP(A986,My_Audit!A:A,My_Audit!D:D,"")</f>
        <v/>
      </c>
      <c r="F986" s="40" t="str" cm="1">
        <f t="array" ref="F986">IFERROR(_xlfn.LET(
_xlpm.CSVVal,_xlfn.XLOOKUP($A986,CSV!$A:$A,CSV!F:F,""),
_xlpm.MacVal,_xlfn.XLOOKUP($A986,Output_Mac!$A:$A,Output_Mac!E:E,""),
_xlpm.MyAuditVal,_xlfn.XLOOKUP($A986,My_Audit!$A:$A,My_Audit!E:E,""),
_xlfn.IFS(_xlpm.MyAuditVal&lt;&gt;"",_xlpm.MyAuditVal,_xlpm.MacVal&lt;&gt;"",_xlpm.MacVal,_xlpm.CSVVal&lt;&gt;"",_xlpm.CSVVal
)),"")</f>
        <v/>
      </c>
      <c r="G986" s="40" t="str" cm="1">
        <f t="array" ref="G986">IFERROR(_xlfn.LET(
_xlpm.CSVVal,_xlfn.XLOOKUP($A986,CSV!$A:$A,CSV!G:G,""),
_xlpm.MacVal,_xlfn.XLOOKUP($A986,Output_Mac!$A:$A,Output_Mac!F:F,""),
_xlpm.MyAuditVal,_xlfn.XLOOKUP($A986,My_Audit!$A:$A,My_Audit!F:F,""),
_xlfn.IFS(_xlpm.MyAuditVal&lt;&gt;"",_xlpm.MyAuditVal,_xlpm.MacVal&lt;&gt;"",_xlpm.MacVal,_xlpm.CSVVal&lt;&gt;"",PROPER(_xlpm.CSVVal)
)),"")</f>
        <v/>
      </c>
      <c r="H986" s="40" t="str" cm="1">
        <f t="array" ref="H986">IFERROR(_xlfn.LET(
_xlpm.CSVVal,_xlfn.XLOOKUP($A986,CSV!$A:$A,CSV!H:H,""),
_xlpm.MacVal,_xlfn.XLOOKUP($A986,Output_Mac!$A:$A,Output_Mac!H:H,""),
_xlpm.MyAuditVal,_xlfn.XLOOKUP($A986,My_Audit!$A:$A,My_Audit!G:G,""),
_xlfn.IFS(_xlpm.MyAuditVal&lt;&gt;"",_xlpm.MyAuditVal,_xlpm.MacVal&lt;&gt;"",_xlpm.MacVal,_xlpm.CSVVal&lt;&gt;"",_xlpm.CSVVal
)),"")</f>
        <v/>
      </c>
      <c r="I986" s="40" t="str">
        <f>_xlfn.XLOOKUP(A986,Output_Mac!A:A,Output_Mac!I:I,"")</f>
        <v/>
      </c>
      <c r="J986" s="40" t="str" cm="1">
        <f t="array" ref="J986">IFERROR(_xlfn.LET(
_xlpm.CSVVal,_xlfn.XLOOKUP($A986,CSV!$A:$A,CSV!I:I,""),
_xlpm.MacVal,_xlfn.XLOOKUP($A986,Output_Mac!$A:$A,Output_Mac!J:J,""),
_xlpm.MyAuditVal,_xlfn.XLOOKUP($A986,My_Audit!$A:$A,My_Audit!I:I,""),
_xlfn.IFS(_xlpm.MyAuditVal&lt;&gt;"",UPPER(_xlpm.MyAuditVal),_xlpm.MacVal&lt;&gt;"",_xlpm.MacVal,_xlpm.CSVVal&lt;&gt;"",_xlpm.CSVVal
)),"")</f>
        <v/>
      </c>
      <c r="K986" s="40" t="str" cm="1">
        <f t="array" ref="K986">IFERROR(_xlfn.LET(
_xlpm.CSVVal,_xlfn.XLOOKUP($A986,CSV!$A:$A,CSV!K:K,""),
_xlpm.MacVal,_xlfn.XLOOKUP($A986,Output_Mac!$A:$A,Output_Mac!K:K,""),
_xlpm.MyAuditVal,_xlfn.XLOOKUP($A986,My_Audit!$A:$A,My_Audit!J:J,""),
_xlfn.IFS(_xlpm.MyAuditVal&lt;&gt;"",UPPER(_xlpm.MyAuditVal),_xlpm.MacVal&lt;&gt;"",_xlpm.MacVal,_xlpm.CSVVal&lt;&gt;"",_xlpm.CSVVal
)),"")</f>
        <v/>
      </c>
      <c r="L986" s="40" t="str" cm="1">
        <f t="array" ref="L986">IFERROR(_xlfn.LET(
_xlpm.CSVVal,_xlfn.XLOOKUP($A986,CSV!$A:$A,CSV!P:P,""),
_xlpm.MacVal,_xlfn.XLOOKUP($A986,Output_Mac!$A:$A,Output_Mac!L:L,""),
_xlpm.MyAuditVal,_xlfn.XLOOKUP($A986,My_Audit!$A:$A,My_Audit!K:K,""),
_xlfn.IFS(_xlpm.MyAuditVal&lt;&gt;"",UPPER(_xlpm.MyAuditVal),_xlpm.MacVal&lt;&gt;"",_xlpm.MacVal,_xlpm.CSVVal&lt;&gt;"",_xlpm.CSVVal
)),"")</f>
        <v/>
      </c>
      <c r="M986" s="40" t="str" cm="1">
        <f t="array" ref="M986">IFERROR(_xlfn.LET(
_xlpm.CSVVal,_xlfn.XLOOKUP($A986,CSV!$A:$A,CSV!Q:Q,""),
_xlpm.MacVal,_xlfn.XLOOKUP($A986,Output_Mac!$A:$A,Output_Mac!M:M,""),
_xlpm.MyAuditVal,_xlfn.XLOOKUP($A986,My_Audit!$A:$A,My_Audit!L:L,""),
_xlfn.IFS(_xlpm.MyAuditVal&lt;&gt;"",UPPER(_xlpm.MyAuditVal),_xlpm.MacVal&lt;&gt;"",_xlpm.MacVal,_xlpm.CSVVal&lt;&gt;"",_xlpm.CSVVal
)),"")</f>
        <v/>
      </c>
      <c r="N986" s="40"/>
      <c r="O986" s="40" t="str">
        <f>_xlfn.LET(
    _xlpm.CSVVal, _xlfn.XLOOKUP($A986, CSV!$A:$A, CSV!AA:AA, ""),
    _xlpm.MacVal, _xlfn.XLOOKUP($A986, Output_Mac!$A:$A, Output_Mac!S:S, ""),
    _xlpm.MyAuditVal, _xlfn.XLOOKUP($A986, My_Audit!$A:$A, My_Audit!P:P, ""),
    _xlfn.TEXTJOIN(", ", TRUE, _xlpm.MyAuditVal, _xlpm.MacVal, _xlpm.CSVVal)
)</f>
        <v/>
      </c>
      <c r="P986" s="40" t="str" cm="1">
        <f t="array" ref="P986">IFERROR(_xlfn.LET(
_xlpm.CSVVal,_xlfn.XLOOKUP($A986,CSV!$A:$A,CSV!AB:AB,""),
_xlpm.MacVal,_xlfn.XLOOKUP($A986,Output_Mac!$A:$A,Output_Mac!T:T,""),
_xlpm.MyAuditVal,_xlfn.XLOOKUP($A986,My_Audit!$A:$A,My_Audit!Q:Q,""),
_xlfn.IFS(_xlpm.MyAuditVal&lt;&gt;"",UPPER(_xlpm.MyAuditVal),_xlpm.MacVal&lt;&gt;"",_xlpm.MacVal,_xlpm.CSVVal&lt;&gt;"",_xlpm.CSVVal
)),"No")</f>
        <v>No</v>
      </c>
      <c r="Q986" s="40" t="str" cm="1">
        <f t="array" ref="Q986">IFERROR(_xlfn.LET(
_xlpm.CSVVal,_xlfn.XLOOKUP($A986,CSV!$A:$A,CSV!AC:AC,""),
_xlpm.MacVal,_xlfn.XLOOKUP($A986,Output_Mac!$A:$A,Output_Mac!U:U,""),
_xlpm.MyAuditVal,_xlfn.XLOOKUP($A986,My_Audit!$A:$A,My_Audit!R:R,""),
_xlfn.IFS(_xlpm.MyAuditVal&lt;&gt;"",UPPER(_xlpm.MyAuditVal),_xlpm.MacVal&lt;&gt;"",_xlpm.MacVal,_xlpm.CSVVal&lt;&gt;"",_xlpm.CSVVal
)),"")</f>
        <v/>
      </c>
      <c r="R986" s="40"/>
      <c r="S986" s="40"/>
      <c r="T986" s="40"/>
      <c r="U986" s="40"/>
      <c r="V986" s="40"/>
      <c r="W986" s="40"/>
      <c r="X986" s="41" t="str">
        <f>_xlfn.LET(
    _xlpm.MacVal, _xlfn.XLOOKUP($A986, Output_Mac!$A:$A, Output_Mac!AB:AB, ""),
    _xlpm.MyAuditVal, _xlfn.XLOOKUP($A986, My_Audit!$A:$A, My_Audit!N:N, ""),
    _xlfn.TEXTJOIN(", ", TRUE, _xlpm.MyAuditVal, _xlpm.MacVal)
)</f>
        <v/>
      </c>
    </row>
    <row r="987" spans="1:24">
      <c r="A987" s="40" t="str">
        <f>_xlfn.TEXTJOIN("",TRUE,Input!$B$2,ROW(My_Audit!A986))</f>
        <v>X986</v>
      </c>
      <c r="B987" s="40" t="str">
        <f>_xlfn.TEXTJOIN("-",TRUE,"ITD",Input!$A$2,A987)</f>
        <v>ITD-X986</v>
      </c>
      <c r="C987" s="40" t="str" cm="1">
        <f t="array" ref="C987">IFERROR(_xlfn.LET(
_xlpm.CSVVal,_xlfn.XLOOKUP($A987,CSV!$A:$A,CSV!B:B,""),
_xlpm.MacVal,_xlfn.XLOOKUP($A987,Output_Mac!$A:$A,Output_Mac!B:B,""),
_xlpm.MyAuditVal,_xlfn.XLOOKUP($A987,My_Audit!$A:$A,My_Audit!B:B,""),
_xlfn.IFS(_xlpm.MyAuditVal&lt;&gt;"",UPPER(_xlpm.MyAuditVal),_xlpm.MacVal&lt;&gt;"",_xlpm.MacVal,_xlpm.CSVVal&lt;&gt;"",_xlpm.CSVVal
)),"")</f>
        <v/>
      </c>
      <c r="D987" s="40" t="str" cm="1">
        <f t="array" ref="D987">IFERROR(_xlfn.LET(
_xlpm.CSVVal,_xlfn.XLOOKUP($A987,CSV!$A:$A,CSV!D:D,""),
_xlpm.MacVal,_xlfn.XLOOKUP($A987,Output_Mac!$A:$A,Output_Mac!C:C,""),
_xlpm.MyAuditVal,_xlfn.XLOOKUP($A987,My_Audit!$A:$A,My_Audit!C:C,""),
_xlfn.IFS(_xlpm.MyAuditVal&lt;&gt;"",_xlpm.MyAuditVal,_xlpm.MacVal&lt;&gt;"",_xlpm.MacVal,_xlpm.CSVVal&lt;&gt;"",_xlpm.CSVVal
)),"")</f>
        <v/>
      </c>
      <c r="E987" s="40" t="str">
        <f>_xlfn.XLOOKUP(A987,My_Audit!A:A,My_Audit!D:D,"")</f>
        <v/>
      </c>
      <c r="F987" s="40" t="str" cm="1">
        <f t="array" ref="F987">IFERROR(_xlfn.LET(
_xlpm.CSVVal,_xlfn.XLOOKUP($A987,CSV!$A:$A,CSV!F:F,""),
_xlpm.MacVal,_xlfn.XLOOKUP($A987,Output_Mac!$A:$A,Output_Mac!E:E,""),
_xlpm.MyAuditVal,_xlfn.XLOOKUP($A987,My_Audit!$A:$A,My_Audit!E:E,""),
_xlfn.IFS(_xlpm.MyAuditVal&lt;&gt;"",_xlpm.MyAuditVal,_xlpm.MacVal&lt;&gt;"",_xlpm.MacVal,_xlpm.CSVVal&lt;&gt;"",_xlpm.CSVVal
)),"")</f>
        <v/>
      </c>
      <c r="G987" s="40" t="str" cm="1">
        <f t="array" ref="G987">IFERROR(_xlfn.LET(
_xlpm.CSVVal,_xlfn.XLOOKUP($A987,CSV!$A:$A,CSV!G:G,""),
_xlpm.MacVal,_xlfn.XLOOKUP($A987,Output_Mac!$A:$A,Output_Mac!F:F,""),
_xlpm.MyAuditVal,_xlfn.XLOOKUP($A987,My_Audit!$A:$A,My_Audit!F:F,""),
_xlfn.IFS(_xlpm.MyAuditVal&lt;&gt;"",_xlpm.MyAuditVal,_xlpm.MacVal&lt;&gt;"",_xlpm.MacVal,_xlpm.CSVVal&lt;&gt;"",PROPER(_xlpm.CSVVal)
)),"")</f>
        <v/>
      </c>
      <c r="H987" s="40" t="str" cm="1">
        <f t="array" ref="H987">IFERROR(_xlfn.LET(
_xlpm.CSVVal,_xlfn.XLOOKUP($A987,CSV!$A:$A,CSV!H:H,""),
_xlpm.MacVal,_xlfn.XLOOKUP($A987,Output_Mac!$A:$A,Output_Mac!H:H,""),
_xlpm.MyAuditVal,_xlfn.XLOOKUP($A987,My_Audit!$A:$A,My_Audit!G:G,""),
_xlfn.IFS(_xlpm.MyAuditVal&lt;&gt;"",_xlpm.MyAuditVal,_xlpm.MacVal&lt;&gt;"",_xlpm.MacVal,_xlpm.CSVVal&lt;&gt;"",_xlpm.CSVVal
)),"")</f>
        <v/>
      </c>
      <c r="I987" s="40" t="str">
        <f>_xlfn.XLOOKUP(A987,Output_Mac!A:A,Output_Mac!I:I,"")</f>
        <v/>
      </c>
      <c r="J987" s="40" t="str" cm="1">
        <f t="array" ref="J987">IFERROR(_xlfn.LET(
_xlpm.CSVVal,_xlfn.XLOOKUP($A987,CSV!$A:$A,CSV!I:I,""),
_xlpm.MacVal,_xlfn.XLOOKUP($A987,Output_Mac!$A:$A,Output_Mac!J:J,""),
_xlpm.MyAuditVal,_xlfn.XLOOKUP($A987,My_Audit!$A:$A,My_Audit!I:I,""),
_xlfn.IFS(_xlpm.MyAuditVal&lt;&gt;"",UPPER(_xlpm.MyAuditVal),_xlpm.MacVal&lt;&gt;"",_xlpm.MacVal,_xlpm.CSVVal&lt;&gt;"",_xlpm.CSVVal
)),"")</f>
        <v/>
      </c>
      <c r="K987" s="40" t="str" cm="1">
        <f t="array" ref="K987">IFERROR(_xlfn.LET(
_xlpm.CSVVal,_xlfn.XLOOKUP($A987,CSV!$A:$A,CSV!K:K,""),
_xlpm.MacVal,_xlfn.XLOOKUP($A987,Output_Mac!$A:$A,Output_Mac!K:K,""),
_xlpm.MyAuditVal,_xlfn.XLOOKUP($A987,My_Audit!$A:$A,My_Audit!J:J,""),
_xlfn.IFS(_xlpm.MyAuditVal&lt;&gt;"",UPPER(_xlpm.MyAuditVal),_xlpm.MacVal&lt;&gt;"",_xlpm.MacVal,_xlpm.CSVVal&lt;&gt;"",_xlpm.CSVVal
)),"")</f>
        <v/>
      </c>
      <c r="L987" s="40" t="str" cm="1">
        <f t="array" ref="L987">IFERROR(_xlfn.LET(
_xlpm.CSVVal,_xlfn.XLOOKUP($A987,CSV!$A:$A,CSV!P:P,""),
_xlpm.MacVal,_xlfn.XLOOKUP($A987,Output_Mac!$A:$A,Output_Mac!L:L,""),
_xlpm.MyAuditVal,_xlfn.XLOOKUP($A987,My_Audit!$A:$A,My_Audit!K:K,""),
_xlfn.IFS(_xlpm.MyAuditVal&lt;&gt;"",UPPER(_xlpm.MyAuditVal),_xlpm.MacVal&lt;&gt;"",_xlpm.MacVal,_xlpm.CSVVal&lt;&gt;"",_xlpm.CSVVal
)),"")</f>
        <v/>
      </c>
      <c r="M987" s="40" t="str" cm="1">
        <f t="array" ref="M987">IFERROR(_xlfn.LET(
_xlpm.CSVVal,_xlfn.XLOOKUP($A987,CSV!$A:$A,CSV!Q:Q,""),
_xlpm.MacVal,_xlfn.XLOOKUP($A987,Output_Mac!$A:$A,Output_Mac!M:M,""),
_xlpm.MyAuditVal,_xlfn.XLOOKUP($A987,My_Audit!$A:$A,My_Audit!L:L,""),
_xlfn.IFS(_xlpm.MyAuditVal&lt;&gt;"",UPPER(_xlpm.MyAuditVal),_xlpm.MacVal&lt;&gt;"",_xlpm.MacVal,_xlpm.CSVVal&lt;&gt;"",_xlpm.CSVVal
)),"")</f>
        <v/>
      </c>
      <c r="N987" s="40"/>
      <c r="O987" s="40" t="str">
        <f>_xlfn.LET(
    _xlpm.CSVVal, _xlfn.XLOOKUP($A987, CSV!$A:$A, CSV!AA:AA, ""),
    _xlpm.MacVal, _xlfn.XLOOKUP($A987, Output_Mac!$A:$A, Output_Mac!S:S, ""),
    _xlpm.MyAuditVal, _xlfn.XLOOKUP($A987, My_Audit!$A:$A, My_Audit!P:P, ""),
    _xlfn.TEXTJOIN(", ", TRUE, _xlpm.MyAuditVal, _xlpm.MacVal, _xlpm.CSVVal)
)</f>
        <v/>
      </c>
      <c r="P987" s="40" t="str" cm="1">
        <f t="array" ref="P987">IFERROR(_xlfn.LET(
_xlpm.CSVVal,_xlfn.XLOOKUP($A987,CSV!$A:$A,CSV!AB:AB,""),
_xlpm.MacVal,_xlfn.XLOOKUP($A987,Output_Mac!$A:$A,Output_Mac!T:T,""),
_xlpm.MyAuditVal,_xlfn.XLOOKUP($A987,My_Audit!$A:$A,My_Audit!Q:Q,""),
_xlfn.IFS(_xlpm.MyAuditVal&lt;&gt;"",UPPER(_xlpm.MyAuditVal),_xlpm.MacVal&lt;&gt;"",_xlpm.MacVal,_xlpm.CSVVal&lt;&gt;"",_xlpm.CSVVal
)),"No")</f>
        <v>No</v>
      </c>
      <c r="Q987" s="40" t="str" cm="1">
        <f t="array" ref="Q987">IFERROR(_xlfn.LET(
_xlpm.CSVVal,_xlfn.XLOOKUP($A987,CSV!$A:$A,CSV!AC:AC,""),
_xlpm.MacVal,_xlfn.XLOOKUP($A987,Output_Mac!$A:$A,Output_Mac!U:U,""),
_xlpm.MyAuditVal,_xlfn.XLOOKUP($A987,My_Audit!$A:$A,My_Audit!R:R,""),
_xlfn.IFS(_xlpm.MyAuditVal&lt;&gt;"",UPPER(_xlpm.MyAuditVal),_xlpm.MacVal&lt;&gt;"",_xlpm.MacVal,_xlpm.CSVVal&lt;&gt;"",_xlpm.CSVVal
)),"")</f>
        <v/>
      </c>
      <c r="R987" s="40"/>
      <c r="S987" s="40"/>
      <c r="T987" s="40"/>
      <c r="U987" s="40"/>
      <c r="V987" s="40"/>
      <c r="W987" s="40"/>
      <c r="X987" s="41" t="str">
        <f>_xlfn.LET(
    _xlpm.MacVal, _xlfn.XLOOKUP($A987, Output_Mac!$A:$A, Output_Mac!AB:AB, ""),
    _xlpm.MyAuditVal, _xlfn.XLOOKUP($A987, My_Audit!$A:$A, My_Audit!N:N, ""),
    _xlfn.TEXTJOIN(", ", TRUE, _xlpm.MyAuditVal, _xlpm.MacVal)
)</f>
        <v/>
      </c>
    </row>
    <row r="988" spans="1:24">
      <c r="A988" s="40" t="str">
        <f>_xlfn.TEXTJOIN("",TRUE,Input!$B$2,ROW(My_Audit!A987))</f>
        <v>X987</v>
      </c>
      <c r="B988" s="40" t="str">
        <f>_xlfn.TEXTJOIN("-",TRUE,"ITD",Input!$A$2,A988)</f>
        <v>ITD-X987</v>
      </c>
      <c r="C988" s="40" t="str" cm="1">
        <f t="array" ref="C988">IFERROR(_xlfn.LET(
_xlpm.CSVVal,_xlfn.XLOOKUP($A988,CSV!$A:$A,CSV!B:B,""),
_xlpm.MacVal,_xlfn.XLOOKUP($A988,Output_Mac!$A:$A,Output_Mac!B:B,""),
_xlpm.MyAuditVal,_xlfn.XLOOKUP($A988,My_Audit!$A:$A,My_Audit!B:B,""),
_xlfn.IFS(_xlpm.MyAuditVal&lt;&gt;"",UPPER(_xlpm.MyAuditVal),_xlpm.MacVal&lt;&gt;"",_xlpm.MacVal,_xlpm.CSVVal&lt;&gt;"",_xlpm.CSVVal
)),"")</f>
        <v/>
      </c>
      <c r="D988" s="40" t="str" cm="1">
        <f t="array" ref="D988">IFERROR(_xlfn.LET(
_xlpm.CSVVal,_xlfn.XLOOKUP($A988,CSV!$A:$A,CSV!D:D,""),
_xlpm.MacVal,_xlfn.XLOOKUP($A988,Output_Mac!$A:$A,Output_Mac!C:C,""),
_xlpm.MyAuditVal,_xlfn.XLOOKUP($A988,My_Audit!$A:$A,My_Audit!C:C,""),
_xlfn.IFS(_xlpm.MyAuditVal&lt;&gt;"",_xlpm.MyAuditVal,_xlpm.MacVal&lt;&gt;"",_xlpm.MacVal,_xlpm.CSVVal&lt;&gt;"",_xlpm.CSVVal
)),"")</f>
        <v/>
      </c>
      <c r="E988" s="40" t="str">
        <f>_xlfn.XLOOKUP(A988,My_Audit!A:A,My_Audit!D:D,"")</f>
        <v/>
      </c>
      <c r="F988" s="40" t="str" cm="1">
        <f t="array" ref="F988">IFERROR(_xlfn.LET(
_xlpm.CSVVal,_xlfn.XLOOKUP($A988,CSV!$A:$A,CSV!F:F,""),
_xlpm.MacVal,_xlfn.XLOOKUP($A988,Output_Mac!$A:$A,Output_Mac!E:E,""),
_xlpm.MyAuditVal,_xlfn.XLOOKUP($A988,My_Audit!$A:$A,My_Audit!E:E,""),
_xlfn.IFS(_xlpm.MyAuditVal&lt;&gt;"",_xlpm.MyAuditVal,_xlpm.MacVal&lt;&gt;"",_xlpm.MacVal,_xlpm.CSVVal&lt;&gt;"",_xlpm.CSVVal
)),"")</f>
        <v/>
      </c>
      <c r="G988" s="40" t="str" cm="1">
        <f t="array" ref="G988">IFERROR(_xlfn.LET(
_xlpm.CSVVal,_xlfn.XLOOKUP($A988,CSV!$A:$A,CSV!G:G,""),
_xlpm.MacVal,_xlfn.XLOOKUP($A988,Output_Mac!$A:$A,Output_Mac!F:F,""),
_xlpm.MyAuditVal,_xlfn.XLOOKUP($A988,My_Audit!$A:$A,My_Audit!F:F,""),
_xlfn.IFS(_xlpm.MyAuditVal&lt;&gt;"",_xlpm.MyAuditVal,_xlpm.MacVal&lt;&gt;"",_xlpm.MacVal,_xlpm.CSVVal&lt;&gt;"",PROPER(_xlpm.CSVVal)
)),"")</f>
        <v/>
      </c>
      <c r="H988" s="40" t="str" cm="1">
        <f t="array" ref="H988">IFERROR(_xlfn.LET(
_xlpm.CSVVal,_xlfn.XLOOKUP($A988,CSV!$A:$A,CSV!H:H,""),
_xlpm.MacVal,_xlfn.XLOOKUP($A988,Output_Mac!$A:$A,Output_Mac!H:H,""),
_xlpm.MyAuditVal,_xlfn.XLOOKUP($A988,My_Audit!$A:$A,My_Audit!G:G,""),
_xlfn.IFS(_xlpm.MyAuditVal&lt;&gt;"",_xlpm.MyAuditVal,_xlpm.MacVal&lt;&gt;"",_xlpm.MacVal,_xlpm.CSVVal&lt;&gt;"",_xlpm.CSVVal
)),"")</f>
        <v/>
      </c>
      <c r="I988" s="40" t="str">
        <f>_xlfn.XLOOKUP(A988,Output_Mac!A:A,Output_Mac!I:I,"")</f>
        <v/>
      </c>
      <c r="J988" s="40" t="str" cm="1">
        <f t="array" ref="J988">IFERROR(_xlfn.LET(
_xlpm.CSVVal,_xlfn.XLOOKUP($A988,CSV!$A:$A,CSV!I:I,""),
_xlpm.MacVal,_xlfn.XLOOKUP($A988,Output_Mac!$A:$A,Output_Mac!J:J,""),
_xlpm.MyAuditVal,_xlfn.XLOOKUP($A988,My_Audit!$A:$A,My_Audit!I:I,""),
_xlfn.IFS(_xlpm.MyAuditVal&lt;&gt;"",UPPER(_xlpm.MyAuditVal),_xlpm.MacVal&lt;&gt;"",_xlpm.MacVal,_xlpm.CSVVal&lt;&gt;"",_xlpm.CSVVal
)),"")</f>
        <v/>
      </c>
      <c r="K988" s="40" t="str" cm="1">
        <f t="array" ref="K988">IFERROR(_xlfn.LET(
_xlpm.CSVVal,_xlfn.XLOOKUP($A988,CSV!$A:$A,CSV!K:K,""),
_xlpm.MacVal,_xlfn.XLOOKUP($A988,Output_Mac!$A:$A,Output_Mac!K:K,""),
_xlpm.MyAuditVal,_xlfn.XLOOKUP($A988,My_Audit!$A:$A,My_Audit!J:J,""),
_xlfn.IFS(_xlpm.MyAuditVal&lt;&gt;"",UPPER(_xlpm.MyAuditVal),_xlpm.MacVal&lt;&gt;"",_xlpm.MacVal,_xlpm.CSVVal&lt;&gt;"",_xlpm.CSVVal
)),"")</f>
        <v/>
      </c>
      <c r="L988" s="40" t="str" cm="1">
        <f t="array" ref="L988">IFERROR(_xlfn.LET(
_xlpm.CSVVal,_xlfn.XLOOKUP($A988,CSV!$A:$A,CSV!P:P,""),
_xlpm.MacVal,_xlfn.XLOOKUP($A988,Output_Mac!$A:$A,Output_Mac!L:L,""),
_xlpm.MyAuditVal,_xlfn.XLOOKUP($A988,My_Audit!$A:$A,My_Audit!K:K,""),
_xlfn.IFS(_xlpm.MyAuditVal&lt;&gt;"",UPPER(_xlpm.MyAuditVal),_xlpm.MacVal&lt;&gt;"",_xlpm.MacVal,_xlpm.CSVVal&lt;&gt;"",_xlpm.CSVVal
)),"")</f>
        <v/>
      </c>
      <c r="M988" s="40" t="str" cm="1">
        <f t="array" ref="M988">IFERROR(_xlfn.LET(
_xlpm.CSVVal,_xlfn.XLOOKUP($A988,CSV!$A:$A,CSV!Q:Q,""),
_xlpm.MacVal,_xlfn.XLOOKUP($A988,Output_Mac!$A:$A,Output_Mac!M:M,""),
_xlpm.MyAuditVal,_xlfn.XLOOKUP($A988,My_Audit!$A:$A,My_Audit!L:L,""),
_xlfn.IFS(_xlpm.MyAuditVal&lt;&gt;"",UPPER(_xlpm.MyAuditVal),_xlpm.MacVal&lt;&gt;"",_xlpm.MacVal,_xlpm.CSVVal&lt;&gt;"",_xlpm.CSVVal
)),"")</f>
        <v/>
      </c>
      <c r="N988" s="40"/>
      <c r="O988" s="40" t="str">
        <f>_xlfn.LET(
    _xlpm.CSVVal, _xlfn.XLOOKUP($A988, CSV!$A:$A, CSV!AA:AA, ""),
    _xlpm.MacVal, _xlfn.XLOOKUP($A988, Output_Mac!$A:$A, Output_Mac!S:S, ""),
    _xlpm.MyAuditVal, _xlfn.XLOOKUP($A988, My_Audit!$A:$A, My_Audit!P:P, ""),
    _xlfn.TEXTJOIN(", ", TRUE, _xlpm.MyAuditVal, _xlpm.MacVal, _xlpm.CSVVal)
)</f>
        <v/>
      </c>
      <c r="P988" s="40" t="str" cm="1">
        <f t="array" ref="P988">IFERROR(_xlfn.LET(
_xlpm.CSVVal,_xlfn.XLOOKUP($A988,CSV!$A:$A,CSV!AB:AB,""),
_xlpm.MacVal,_xlfn.XLOOKUP($A988,Output_Mac!$A:$A,Output_Mac!T:T,""),
_xlpm.MyAuditVal,_xlfn.XLOOKUP($A988,My_Audit!$A:$A,My_Audit!Q:Q,""),
_xlfn.IFS(_xlpm.MyAuditVal&lt;&gt;"",UPPER(_xlpm.MyAuditVal),_xlpm.MacVal&lt;&gt;"",_xlpm.MacVal,_xlpm.CSVVal&lt;&gt;"",_xlpm.CSVVal
)),"No")</f>
        <v>No</v>
      </c>
      <c r="Q988" s="40" t="str" cm="1">
        <f t="array" ref="Q988">IFERROR(_xlfn.LET(
_xlpm.CSVVal,_xlfn.XLOOKUP($A988,CSV!$A:$A,CSV!AC:AC,""),
_xlpm.MacVal,_xlfn.XLOOKUP($A988,Output_Mac!$A:$A,Output_Mac!U:U,""),
_xlpm.MyAuditVal,_xlfn.XLOOKUP($A988,My_Audit!$A:$A,My_Audit!R:R,""),
_xlfn.IFS(_xlpm.MyAuditVal&lt;&gt;"",UPPER(_xlpm.MyAuditVal),_xlpm.MacVal&lt;&gt;"",_xlpm.MacVal,_xlpm.CSVVal&lt;&gt;"",_xlpm.CSVVal
)),"")</f>
        <v/>
      </c>
      <c r="R988" s="40"/>
      <c r="S988" s="40"/>
      <c r="T988" s="40"/>
      <c r="U988" s="40"/>
      <c r="V988" s="40"/>
      <c r="W988" s="40"/>
      <c r="X988" s="41" t="str">
        <f>_xlfn.LET(
    _xlpm.MacVal, _xlfn.XLOOKUP($A988, Output_Mac!$A:$A, Output_Mac!AB:AB, ""),
    _xlpm.MyAuditVal, _xlfn.XLOOKUP($A988, My_Audit!$A:$A, My_Audit!N:N, ""),
    _xlfn.TEXTJOIN(", ", TRUE, _xlpm.MyAuditVal, _xlpm.MacVal)
)</f>
        <v/>
      </c>
    </row>
    <row r="989" spans="1:24">
      <c r="A989" s="40" t="str">
        <f>_xlfn.TEXTJOIN("",TRUE,Input!$B$2,ROW(My_Audit!A988))</f>
        <v>X988</v>
      </c>
      <c r="B989" s="40" t="str">
        <f>_xlfn.TEXTJOIN("-",TRUE,"ITD",Input!$A$2,A989)</f>
        <v>ITD-X988</v>
      </c>
      <c r="C989" s="40" t="str" cm="1">
        <f t="array" ref="C989">IFERROR(_xlfn.LET(
_xlpm.CSVVal,_xlfn.XLOOKUP($A989,CSV!$A:$A,CSV!B:B,""),
_xlpm.MacVal,_xlfn.XLOOKUP($A989,Output_Mac!$A:$A,Output_Mac!B:B,""),
_xlpm.MyAuditVal,_xlfn.XLOOKUP($A989,My_Audit!$A:$A,My_Audit!B:B,""),
_xlfn.IFS(_xlpm.MyAuditVal&lt;&gt;"",UPPER(_xlpm.MyAuditVal),_xlpm.MacVal&lt;&gt;"",_xlpm.MacVal,_xlpm.CSVVal&lt;&gt;"",_xlpm.CSVVal
)),"")</f>
        <v/>
      </c>
      <c r="D989" s="40" t="str" cm="1">
        <f t="array" ref="D989">IFERROR(_xlfn.LET(
_xlpm.CSVVal,_xlfn.XLOOKUP($A989,CSV!$A:$A,CSV!D:D,""),
_xlpm.MacVal,_xlfn.XLOOKUP($A989,Output_Mac!$A:$A,Output_Mac!C:C,""),
_xlpm.MyAuditVal,_xlfn.XLOOKUP($A989,My_Audit!$A:$A,My_Audit!C:C,""),
_xlfn.IFS(_xlpm.MyAuditVal&lt;&gt;"",_xlpm.MyAuditVal,_xlpm.MacVal&lt;&gt;"",_xlpm.MacVal,_xlpm.CSVVal&lt;&gt;"",_xlpm.CSVVal
)),"")</f>
        <v/>
      </c>
      <c r="E989" s="40" t="str">
        <f>_xlfn.XLOOKUP(A989,My_Audit!A:A,My_Audit!D:D,"")</f>
        <v/>
      </c>
      <c r="F989" s="40" t="str" cm="1">
        <f t="array" ref="F989">IFERROR(_xlfn.LET(
_xlpm.CSVVal,_xlfn.XLOOKUP($A989,CSV!$A:$A,CSV!F:F,""),
_xlpm.MacVal,_xlfn.XLOOKUP($A989,Output_Mac!$A:$A,Output_Mac!E:E,""),
_xlpm.MyAuditVal,_xlfn.XLOOKUP($A989,My_Audit!$A:$A,My_Audit!E:E,""),
_xlfn.IFS(_xlpm.MyAuditVal&lt;&gt;"",_xlpm.MyAuditVal,_xlpm.MacVal&lt;&gt;"",_xlpm.MacVal,_xlpm.CSVVal&lt;&gt;"",_xlpm.CSVVal
)),"")</f>
        <v/>
      </c>
      <c r="G989" s="40" t="str" cm="1">
        <f t="array" ref="G989">IFERROR(_xlfn.LET(
_xlpm.CSVVal,_xlfn.XLOOKUP($A989,CSV!$A:$A,CSV!G:G,""),
_xlpm.MacVal,_xlfn.XLOOKUP($A989,Output_Mac!$A:$A,Output_Mac!F:F,""),
_xlpm.MyAuditVal,_xlfn.XLOOKUP($A989,My_Audit!$A:$A,My_Audit!F:F,""),
_xlfn.IFS(_xlpm.MyAuditVal&lt;&gt;"",_xlpm.MyAuditVal,_xlpm.MacVal&lt;&gt;"",_xlpm.MacVal,_xlpm.CSVVal&lt;&gt;"",PROPER(_xlpm.CSVVal)
)),"")</f>
        <v/>
      </c>
      <c r="H989" s="40" t="str" cm="1">
        <f t="array" ref="H989">IFERROR(_xlfn.LET(
_xlpm.CSVVal,_xlfn.XLOOKUP($A989,CSV!$A:$A,CSV!H:H,""),
_xlpm.MacVal,_xlfn.XLOOKUP($A989,Output_Mac!$A:$A,Output_Mac!H:H,""),
_xlpm.MyAuditVal,_xlfn.XLOOKUP($A989,My_Audit!$A:$A,My_Audit!G:G,""),
_xlfn.IFS(_xlpm.MyAuditVal&lt;&gt;"",_xlpm.MyAuditVal,_xlpm.MacVal&lt;&gt;"",_xlpm.MacVal,_xlpm.CSVVal&lt;&gt;"",_xlpm.CSVVal
)),"")</f>
        <v/>
      </c>
      <c r="I989" s="40" t="str">
        <f>_xlfn.XLOOKUP(A989,Output_Mac!A:A,Output_Mac!I:I,"")</f>
        <v/>
      </c>
      <c r="J989" s="40" t="str" cm="1">
        <f t="array" ref="J989">IFERROR(_xlfn.LET(
_xlpm.CSVVal,_xlfn.XLOOKUP($A989,CSV!$A:$A,CSV!I:I,""),
_xlpm.MacVal,_xlfn.XLOOKUP($A989,Output_Mac!$A:$A,Output_Mac!J:J,""),
_xlpm.MyAuditVal,_xlfn.XLOOKUP($A989,My_Audit!$A:$A,My_Audit!I:I,""),
_xlfn.IFS(_xlpm.MyAuditVal&lt;&gt;"",UPPER(_xlpm.MyAuditVal),_xlpm.MacVal&lt;&gt;"",_xlpm.MacVal,_xlpm.CSVVal&lt;&gt;"",_xlpm.CSVVal
)),"")</f>
        <v/>
      </c>
      <c r="K989" s="40" t="str" cm="1">
        <f t="array" ref="K989">IFERROR(_xlfn.LET(
_xlpm.CSVVal,_xlfn.XLOOKUP($A989,CSV!$A:$A,CSV!K:K,""),
_xlpm.MacVal,_xlfn.XLOOKUP($A989,Output_Mac!$A:$A,Output_Mac!K:K,""),
_xlpm.MyAuditVal,_xlfn.XLOOKUP($A989,My_Audit!$A:$A,My_Audit!J:J,""),
_xlfn.IFS(_xlpm.MyAuditVal&lt;&gt;"",UPPER(_xlpm.MyAuditVal),_xlpm.MacVal&lt;&gt;"",_xlpm.MacVal,_xlpm.CSVVal&lt;&gt;"",_xlpm.CSVVal
)),"")</f>
        <v/>
      </c>
      <c r="L989" s="40" t="str" cm="1">
        <f t="array" ref="L989">IFERROR(_xlfn.LET(
_xlpm.CSVVal,_xlfn.XLOOKUP($A989,CSV!$A:$A,CSV!P:P,""),
_xlpm.MacVal,_xlfn.XLOOKUP($A989,Output_Mac!$A:$A,Output_Mac!L:L,""),
_xlpm.MyAuditVal,_xlfn.XLOOKUP($A989,My_Audit!$A:$A,My_Audit!K:K,""),
_xlfn.IFS(_xlpm.MyAuditVal&lt;&gt;"",UPPER(_xlpm.MyAuditVal),_xlpm.MacVal&lt;&gt;"",_xlpm.MacVal,_xlpm.CSVVal&lt;&gt;"",_xlpm.CSVVal
)),"")</f>
        <v/>
      </c>
      <c r="M989" s="40" t="str" cm="1">
        <f t="array" ref="M989">IFERROR(_xlfn.LET(
_xlpm.CSVVal,_xlfn.XLOOKUP($A989,CSV!$A:$A,CSV!Q:Q,""),
_xlpm.MacVal,_xlfn.XLOOKUP($A989,Output_Mac!$A:$A,Output_Mac!M:M,""),
_xlpm.MyAuditVal,_xlfn.XLOOKUP($A989,My_Audit!$A:$A,My_Audit!L:L,""),
_xlfn.IFS(_xlpm.MyAuditVal&lt;&gt;"",UPPER(_xlpm.MyAuditVal),_xlpm.MacVal&lt;&gt;"",_xlpm.MacVal,_xlpm.CSVVal&lt;&gt;"",_xlpm.CSVVal
)),"")</f>
        <v/>
      </c>
      <c r="N989" s="40"/>
      <c r="O989" s="40" t="str">
        <f>_xlfn.LET(
    _xlpm.CSVVal, _xlfn.XLOOKUP($A989, CSV!$A:$A, CSV!AA:AA, ""),
    _xlpm.MacVal, _xlfn.XLOOKUP($A989, Output_Mac!$A:$A, Output_Mac!S:S, ""),
    _xlpm.MyAuditVal, _xlfn.XLOOKUP($A989, My_Audit!$A:$A, My_Audit!P:P, ""),
    _xlfn.TEXTJOIN(", ", TRUE, _xlpm.MyAuditVal, _xlpm.MacVal, _xlpm.CSVVal)
)</f>
        <v/>
      </c>
      <c r="P989" s="40" t="str" cm="1">
        <f t="array" ref="P989">IFERROR(_xlfn.LET(
_xlpm.CSVVal,_xlfn.XLOOKUP($A989,CSV!$A:$A,CSV!AB:AB,""),
_xlpm.MacVal,_xlfn.XLOOKUP($A989,Output_Mac!$A:$A,Output_Mac!T:T,""),
_xlpm.MyAuditVal,_xlfn.XLOOKUP($A989,My_Audit!$A:$A,My_Audit!Q:Q,""),
_xlfn.IFS(_xlpm.MyAuditVal&lt;&gt;"",UPPER(_xlpm.MyAuditVal),_xlpm.MacVal&lt;&gt;"",_xlpm.MacVal,_xlpm.CSVVal&lt;&gt;"",_xlpm.CSVVal
)),"No")</f>
        <v>No</v>
      </c>
      <c r="Q989" s="40" t="str" cm="1">
        <f t="array" ref="Q989">IFERROR(_xlfn.LET(
_xlpm.CSVVal,_xlfn.XLOOKUP($A989,CSV!$A:$A,CSV!AC:AC,""),
_xlpm.MacVal,_xlfn.XLOOKUP($A989,Output_Mac!$A:$A,Output_Mac!U:U,""),
_xlpm.MyAuditVal,_xlfn.XLOOKUP($A989,My_Audit!$A:$A,My_Audit!R:R,""),
_xlfn.IFS(_xlpm.MyAuditVal&lt;&gt;"",UPPER(_xlpm.MyAuditVal),_xlpm.MacVal&lt;&gt;"",_xlpm.MacVal,_xlpm.CSVVal&lt;&gt;"",_xlpm.CSVVal
)),"")</f>
        <v/>
      </c>
      <c r="R989" s="40"/>
      <c r="S989" s="40"/>
      <c r="T989" s="40"/>
      <c r="U989" s="40"/>
      <c r="V989" s="40"/>
      <c r="W989" s="40"/>
      <c r="X989" s="41" t="str">
        <f>_xlfn.LET(
    _xlpm.MacVal, _xlfn.XLOOKUP($A989, Output_Mac!$A:$A, Output_Mac!AB:AB, ""),
    _xlpm.MyAuditVal, _xlfn.XLOOKUP($A989, My_Audit!$A:$A, My_Audit!N:N, ""),
    _xlfn.TEXTJOIN(", ", TRUE, _xlpm.MyAuditVal, _xlpm.MacVal)
)</f>
        <v/>
      </c>
    </row>
    <row r="990" spans="1:24">
      <c r="A990" s="40" t="str">
        <f>_xlfn.TEXTJOIN("",TRUE,Input!$B$2,ROW(My_Audit!A989))</f>
        <v>X989</v>
      </c>
      <c r="B990" s="40" t="str">
        <f>_xlfn.TEXTJOIN("-",TRUE,"ITD",Input!$A$2,A990)</f>
        <v>ITD-X989</v>
      </c>
      <c r="C990" s="40" t="str" cm="1">
        <f t="array" ref="C990">IFERROR(_xlfn.LET(
_xlpm.CSVVal,_xlfn.XLOOKUP($A990,CSV!$A:$A,CSV!B:B,""),
_xlpm.MacVal,_xlfn.XLOOKUP($A990,Output_Mac!$A:$A,Output_Mac!B:B,""),
_xlpm.MyAuditVal,_xlfn.XLOOKUP($A990,My_Audit!$A:$A,My_Audit!B:B,""),
_xlfn.IFS(_xlpm.MyAuditVal&lt;&gt;"",UPPER(_xlpm.MyAuditVal),_xlpm.MacVal&lt;&gt;"",_xlpm.MacVal,_xlpm.CSVVal&lt;&gt;"",_xlpm.CSVVal
)),"")</f>
        <v/>
      </c>
      <c r="D990" s="40" t="str" cm="1">
        <f t="array" ref="D990">IFERROR(_xlfn.LET(
_xlpm.CSVVal,_xlfn.XLOOKUP($A990,CSV!$A:$A,CSV!D:D,""),
_xlpm.MacVal,_xlfn.XLOOKUP($A990,Output_Mac!$A:$A,Output_Mac!C:C,""),
_xlpm.MyAuditVal,_xlfn.XLOOKUP($A990,My_Audit!$A:$A,My_Audit!C:C,""),
_xlfn.IFS(_xlpm.MyAuditVal&lt;&gt;"",_xlpm.MyAuditVal,_xlpm.MacVal&lt;&gt;"",_xlpm.MacVal,_xlpm.CSVVal&lt;&gt;"",_xlpm.CSVVal
)),"")</f>
        <v/>
      </c>
      <c r="E990" s="40" t="str">
        <f>_xlfn.XLOOKUP(A990,My_Audit!A:A,My_Audit!D:D,"")</f>
        <v/>
      </c>
      <c r="F990" s="40" t="str" cm="1">
        <f t="array" ref="F990">IFERROR(_xlfn.LET(
_xlpm.CSVVal,_xlfn.XLOOKUP($A990,CSV!$A:$A,CSV!F:F,""),
_xlpm.MacVal,_xlfn.XLOOKUP($A990,Output_Mac!$A:$A,Output_Mac!E:E,""),
_xlpm.MyAuditVal,_xlfn.XLOOKUP($A990,My_Audit!$A:$A,My_Audit!E:E,""),
_xlfn.IFS(_xlpm.MyAuditVal&lt;&gt;"",_xlpm.MyAuditVal,_xlpm.MacVal&lt;&gt;"",_xlpm.MacVal,_xlpm.CSVVal&lt;&gt;"",_xlpm.CSVVal
)),"")</f>
        <v/>
      </c>
      <c r="G990" s="40" t="str" cm="1">
        <f t="array" ref="G990">IFERROR(_xlfn.LET(
_xlpm.CSVVal,_xlfn.XLOOKUP($A990,CSV!$A:$A,CSV!G:G,""),
_xlpm.MacVal,_xlfn.XLOOKUP($A990,Output_Mac!$A:$A,Output_Mac!F:F,""),
_xlpm.MyAuditVal,_xlfn.XLOOKUP($A990,My_Audit!$A:$A,My_Audit!F:F,""),
_xlfn.IFS(_xlpm.MyAuditVal&lt;&gt;"",_xlpm.MyAuditVal,_xlpm.MacVal&lt;&gt;"",_xlpm.MacVal,_xlpm.CSVVal&lt;&gt;"",PROPER(_xlpm.CSVVal)
)),"")</f>
        <v/>
      </c>
      <c r="H990" s="40" t="str" cm="1">
        <f t="array" ref="H990">IFERROR(_xlfn.LET(
_xlpm.CSVVal,_xlfn.XLOOKUP($A990,CSV!$A:$A,CSV!H:H,""),
_xlpm.MacVal,_xlfn.XLOOKUP($A990,Output_Mac!$A:$A,Output_Mac!H:H,""),
_xlpm.MyAuditVal,_xlfn.XLOOKUP($A990,My_Audit!$A:$A,My_Audit!G:G,""),
_xlfn.IFS(_xlpm.MyAuditVal&lt;&gt;"",_xlpm.MyAuditVal,_xlpm.MacVal&lt;&gt;"",_xlpm.MacVal,_xlpm.CSVVal&lt;&gt;"",_xlpm.CSVVal
)),"")</f>
        <v/>
      </c>
      <c r="I990" s="40" t="str">
        <f>_xlfn.XLOOKUP(A990,Output_Mac!A:A,Output_Mac!I:I,"")</f>
        <v/>
      </c>
      <c r="J990" s="40" t="str" cm="1">
        <f t="array" ref="J990">IFERROR(_xlfn.LET(
_xlpm.CSVVal,_xlfn.XLOOKUP($A990,CSV!$A:$A,CSV!I:I,""),
_xlpm.MacVal,_xlfn.XLOOKUP($A990,Output_Mac!$A:$A,Output_Mac!J:J,""),
_xlpm.MyAuditVal,_xlfn.XLOOKUP($A990,My_Audit!$A:$A,My_Audit!I:I,""),
_xlfn.IFS(_xlpm.MyAuditVal&lt;&gt;"",UPPER(_xlpm.MyAuditVal),_xlpm.MacVal&lt;&gt;"",_xlpm.MacVal,_xlpm.CSVVal&lt;&gt;"",_xlpm.CSVVal
)),"")</f>
        <v/>
      </c>
      <c r="K990" s="40" t="str" cm="1">
        <f t="array" ref="K990">IFERROR(_xlfn.LET(
_xlpm.CSVVal,_xlfn.XLOOKUP($A990,CSV!$A:$A,CSV!K:K,""),
_xlpm.MacVal,_xlfn.XLOOKUP($A990,Output_Mac!$A:$A,Output_Mac!K:K,""),
_xlpm.MyAuditVal,_xlfn.XLOOKUP($A990,My_Audit!$A:$A,My_Audit!J:J,""),
_xlfn.IFS(_xlpm.MyAuditVal&lt;&gt;"",UPPER(_xlpm.MyAuditVal),_xlpm.MacVal&lt;&gt;"",_xlpm.MacVal,_xlpm.CSVVal&lt;&gt;"",_xlpm.CSVVal
)),"")</f>
        <v/>
      </c>
      <c r="L990" s="40" t="str" cm="1">
        <f t="array" ref="L990">IFERROR(_xlfn.LET(
_xlpm.CSVVal,_xlfn.XLOOKUP($A990,CSV!$A:$A,CSV!P:P,""),
_xlpm.MacVal,_xlfn.XLOOKUP($A990,Output_Mac!$A:$A,Output_Mac!L:L,""),
_xlpm.MyAuditVal,_xlfn.XLOOKUP($A990,My_Audit!$A:$A,My_Audit!K:K,""),
_xlfn.IFS(_xlpm.MyAuditVal&lt;&gt;"",UPPER(_xlpm.MyAuditVal),_xlpm.MacVal&lt;&gt;"",_xlpm.MacVal,_xlpm.CSVVal&lt;&gt;"",_xlpm.CSVVal
)),"")</f>
        <v/>
      </c>
      <c r="M990" s="40" t="str" cm="1">
        <f t="array" ref="M990">IFERROR(_xlfn.LET(
_xlpm.CSVVal,_xlfn.XLOOKUP($A990,CSV!$A:$A,CSV!Q:Q,""),
_xlpm.MacVal,_xlfn.XLOOKUP($A990,Output_Mac!$A:$A,Output_Mac!M:M,""),
_xlpm.MyAuditVal,_xlfn.XLOOKUP($A990,My_Audit!$A:$A,My_Audit!L:L,""),
_xlfn.IFS(_xlpm.MyAuditVal&lt;&gt;"",UPPER(_xlpm.MyAuditVal),_xlpm.MacVal&lt;&gt;"",_xlpm.MacVal,_xlpm.CSVVal&lt;&gt;"",_xlpm.CSVVal
)),"")</f>
        <v/>
      </c>
      <c r="N990" s="40"/>
      <c r="O990" s="40" t="str">
        <f>_xlfn.LET(
    _xlpm.CSVVal, _xlfn.XLOOKUP($A990, CSV!$A:$A, CSV!AA:AA, ""),
    _xlpm.MacVal, _xlfn.XLOOKUP($A990, Output_Mac!$A:$A, Output_Mac!S:S, ""),
    _xlpm.MyAuditVal, _xlfn.XLOOKUP($A990, My_Audit!$A:$A, My_Audit!P:P, ""),
    _xlfn.TEXTJOIN(", ", TRUE, _xlpm.MyAuditVal, _xlpm.MacVal, _xlpm.CSVVal)
)</f>
        <v/>
      </c>
      <c r="P990" s="40" t="str" cm="1">
        <f t="array" ref="P990">IFERROR(_xlfn.LET(
_xlpm.CSVVal,_xlfn.XLOOKUP($A990,CSV!$A:$A,CSV!AB:AB,""),
_xlpm.MacVal,_xlfn.XLOOKUP($A990,Output_Mac!$A:$A,Output_Mac!T:T,""),
_xlpm.MyAuditVal,_xlfn.XLOOKUP($A990,My_Audit!$A:$A,My_Audit!Q:Q,""),
_xlfn.IFS(_xlpm.MyAuditVal&lt;&gt;"",UPPER(_xlpm.MyAuditVal),_xlpm.MacVal&lt;&gt;"",_xlpm.MacVal,_xlpm.CSVVal&lt;&gt;"",_xlpm.CSVVal
)),"No")</f>
        <v>No</v>
      </c>
      <c r="Q990" s="40" t="str" cm="1">
        <f t="array" ref="Q990">IFERROR(_xlfn.LET(
_xlpm.CSVVal,_xlfn.XLOOKUP($A990,CSV!$A:$A,CSV!AC:AC,""),
_xlpm.MacVal,_xlfn.XLOOKUP($A990,Output_Mac!$A:$A,Output_Mac!U:U,""),
_xlpm.MyAuditVal,_xlfn.XLOOKUP($A990,My_Audit!$A:$A,My_Audit!R:R,""),
_xlfn.IFS(_xlpm.MyAuditVal&lt;&gt;"",UPPER(_xlpm.MyAuditVal),_xlpm.MacVal&lt;&gt;"",_xlpm.MacVal,_xlpm.CSVVal&lt;&gt;"",_xlpm.CSVVal
)),"")</f>
        <v/>
      </c>
      <c r="R990" s="40"/>
      <c r="S990" s="40"/>
      <c r="T990" s="40"/>
      <c r="U990" s="40"/>
      <c r="V990" s="40"/>
      <c r="W990" s="40"/>
      <c r="X990" s="41" t="str">
        <f>_xlfn.LET(
    _xlpm.MacVal, _xlfn.XLOOKUP($A990, Output_Mac!$A:$A, Output_Mac!AB:AB, ""),
    _xlpm.MyAuditVal, _xlfn.XLOOKUP($A990, My_Audit!$A:$A, My_Audit!N:N, ""),
    _xlfn.TEXTJOIN(", ", TRUE, _xlpm.MyAuditVal, _xlpm.MacVal)
)</f>
        <v/>
      </c>
    </row>
    <row r="991" spans="1:24">
      <c r="A991" s="40" t="str">
        <f>_xlfn.TEXTJOIN("",TRUE,Input!$B$2,ROW(My_Audit!A990))</f>
        <v>X990</v>
      </c>
      <c r="B991" s="40" t="str">
        <f>_xlfn.TEXTJOIN("-",TRUE,"ITD",Input!$A$2,A991)</f>
        <v>ITD-X990</v>
      </c>
      <c r="C991" s="40" t="str" cm="1">
        <f t="array" ref="C991">IFERROR(_xlfn.LET(
_xlpm.CSVVal,_xlfn.XLOOKUP($A991,CSV!$A:$A,CSV!B:B,""),
_xlpm.MacVal,_xlfn.XLOOKUP($A991,Output_Mac!$A:$A,Output_Mac!B:B,""),
_xlpm.MyAuditVal,_xlfn.XLOOKUP($A991,My_Audit!$A:$A,My_Audit!B:B,""),
_xlfn.IFS(_xlpm.MyAuditVal&lt;&gt;"",UPPER(_xlpm.MyAuditVal),_xlpm.MacVal&lt;&gt;"",_xlpm.MacVal,_xlpm.CSVVal&lt;&gt;"",_xlpm.CSVVal
)),"")</f>
        <v/>
      </c>
      <c r="D991" s="40" t="str" cm="1">
        <f t="array" ref="D991">IFERROR(_xlfn.LET(
_xlpm.CSVVal,_xlfn.XLOOKUP($A991,CSV!$A:$A,CSV!D:D,""),
_xlpm.MacVal,_xlfn.XLOOKUP($A991,Output_Mac!$A:$A,Output_Mac!C:C,""),
_xlpm.MyAuditVal,_xlfn.XLOOKUP($A991,My_Audit!$A:$A,My_Audit!C:C,""),
_xlfn.IFS(_xlpm.MyAuditVal&lt;&gt;"",_xlpm.MyAuditVal,_xlpm.MacVal&lt;&gt;"",_xlpm.MacVal,_xlpm.CSVVal&lt;&gt;"",_xlpm.CSVVal
)),"")</f>
        <v/>
      </c>
      <c r="E991" s="40" t="str">
        <f>_xlfn.XLOOKUP(A991,My_Audit!A:A,My_Audit!D:D,"")</f>
        <v/>
      </c>
      <c r="F991" s="40" t="str" cm="1">
        <f t="array" ref="F991">IFERROR(_xlfn.LET(
_xlpm.CSVVal,_xlfn.XLOOKUP($A991,CSV!$A:$A,CSV!F:F,""),
_xlpm.MacVal,_xlfn.XLOOKUP($A991,Output_Mac!$A:$A,Output_Mac!E:E,""),
_xlpm.MyAuditVal,_xlfn.XLOOKUP($A991,My_Audit!$A:$A,My_Audit!E:E,""),
_xlfn.IFS(_xlpm.MyAuditVal&lt;&gt;"",_xlpm.MyAuditVal,_xlpm.MacVal&lt;&gt;"",_xlpm.MacVal,_xlpm.CSVVal&lt;&gt;"",_xlpm.CSVVal
)),"")</f>
        <v/>
      </c>
      <c r="G991" s="40" t="str" cm="1">
        <f t="array" ref="G991">IFERROR(_xlfn.LET(
_xlpm.CSVVal,_xlfn.XLOOKUP($A991,CSV!$A:$A,CSV!G:G,""),
_xlpm.MacVal,_xlfn.XLOOKUP($A991,Output_Mac!$A:$A,Output_Mac!F:F,""),
_xlpm.MyAuditVal,_xlfn.XLOOKUP($A991,My_Audit!$A:$A,My_Audit!F:F,""),
_xlfn.IFS(_xlpm.MyAuditVal&lt;&gt;"",_xlpm.MyAuditVal,_xlpm.MacVal&lt;&gt;"",_xlpm.MacVal,_xlpm.CSVVal&lt;&gt;"",PROPER(_xlpm.CSVVal)
)),"")</f>
        <v/>
      </c>
      <c r="H991" s="40" t="str" cm="1">
        <f t="array" ref="H991">IFERROR(_xlfn.LET(
_xlpm.CSVVal,_xlfn.XLOOKUP($A991,CSV!$A:$A,CSV!H:H,""),
_xlpm.MacVal,_xlfn.XLOOKUP($A991,Output_Mac!$A:$A,Output_Mac!H:H,""),
_xlpm.MyAuditVal,_xlfn.XLOOKUP($A991,My_Audit!$A:$A,My_Audit!G:G,""),
_xlfn.IFS(_xlpm.MyAuditVal&lt;&gt;"",_xlpm.MyAuditVal,_xlpm.MacVal&lt;&gt;"",_xlpm.MacVal,_xlpm.CSVVal&lt;&gt;"",_xlpm.CSVVal
)),"")</f>
        <v/>
      </c>
      <c r="I991" s="40" t="str">
        <f>_xlfn.XLOOKUP(A991,Output_Mac!A:A,Output_Mac!I:I,"")</f>
        <v/>
      </c>
      <c r="J991" s="40" t="str" cm="1">
        <f t="array" ref="J991">IFERROR(_xlfn.LET(
_xlpm.CSVVal,_xlfn.XLOOKUP($A991,CSV!$A:$A,CSV!I:I,""),
_xlpm.MacVal,_xlfn.XLOOKUP($A991,Output_Mac!$A:$A,Output_Mac!J:J,""),
_xlpm.MyAuditVal,_xlfn.XLOOKUP($A991,My_Audit!$A:$A,My_Audit!I:I,""),
_xlfn.IFS(_xlpm.MyAuditVal&lt;&gt;"",UPPER(_xlpm.MyAuditVal),_xlpm.MacVal&lt;&gt;"",_xlpm.MacVal,_xlpm.CSVVal&lt;&gt;"",_xlpm.CSVVal
)),"")</f>
        <v/>
      </c>
      <c r="K991" s="40" t="str" cm="1">
        <f t="array" ref="K991">IFERROR(_xlfn.LET(
_xlpm.CSVVal,_xlfn.XLOOKUP($A991,CSV!$A:$A,CSV!K:K,""),
_xlpm.MacVal,_xlfn.XLOOKUP($A991,Output_Mac!$A:$A,Output_Mac!K:K,""),
_xlpm.MyAuditVal,_xlfn.XLOOKUP($A991,My_Audit!$A:$A,My_Audit!J:J,""),
_xlfn.IFS(_xlpm.MyAuditVal&lt;&gt;"",UPPER(_xlpm.MyAuditVal),_xlpm.MacVal&lt;&gt;"",_xlpm.MacVal,_xlpm.CSVVal&lt;&gt;"",_xlpm.CSVVal
)),"")</f>
        <v/>
      </c>
      <c r="L991" s="40" t="str" cm="1">
        <f t="array" ref="L991">IFERROR(_xlfn.LET(
_xlpm.CSVVal,_xlfn.XLOOKUP($A991,CSV!$A:$A,CSV!P:P,""),
_xlpm.MacVal,_xlfn.XLOOKUP($A991,Output_Mac!$A:$A,Output_Mac!L:L,""),
_xlpm.MyAuditVal,_xlfn.XLOOKUP($A991,My_Audit!$A:$A,My_Audit!K:K,""),
_xlfn.IFS(_xlpm.MyAuditVal&lt;&gt;"",UPPER(_xlpm.MyAuditVal),_xlpm.MacVal&lt;&gt;"",_xlpm.MacVal,_xlpm.CSVVal&lt;&gt;"",_xlpm.CSVVal
)),"")</f>
        <v/>
      </c>
      <c r="M991" s="40" t="str" cm="1">
        <f t="array" ref="M991">IFERROR(_xlfn.LET(
_xlpm.CSVVal,_xlfn.XLOOKUP($A991,CSV!$A:$A,CSV!Q:Q,""),
_xlpm.MacVal,_xlfn.XLOOKUP($A991,Output_Mac!$A:$A,Output_Mac!M:M,""),
_xlpm.MyAuditVal,_xlfn.XLOOKUP($A991,My_Audit!$A:$A,My_Audit!L:L,""),
_xlfn.IFS(_xlpm.MyAuditVal&lt;&gt;"",UPPER(_xlpm.MyAuditVal),_xlpm.MacVal&lt;&gt;"",_xlpm.MacVal,_xlpm.CSVVal&lt;&gt;"",_xlpm.CSVVal
)),"")</f>
        <v/>
      </c>
      <c r="N991" s="40"/>
      <c r="O991" s="40" t="str">
        <f>_xlfn.LET(
    _xlpm.CSVVal, _xlfn.XLOOKUP($A991, CSV!$A:$A, CSV!AA:AA, ""),
    _xlpm.MacVal, _xlfn.XLOOKUP($A991, Output_Mac!$A:$A, Output_Mac!S:S, ""),
    _xlpm.MyAuditVal, _xlfn.XLOOKUP($A991, My_Audit!$A:$A, My_Audit!P:P, ""),
    _xlfn.TEXTJOIN(", ", TRUE, _xlpm.MyAuditVal, _xlpm.MacVal, _xlpm.CSVVal)
)</f>
        <v/>
      </c>
      <c r="P991" s="40" t="str" cm="1">
        <f t="array" ref="P991">IFERROR(_xlfn.LET(
_xlpm.CSVVal,_xlfn.XLOOKUP($A991,CSV!$A:$A,CSV!AB:AB,""),
_xlpm.MacVal,_xlfn.XLOOKUP($A991,Output_Mac!$A:$A,Output_Mac!T:T,""),
_xlpm.MyAuditVal,_xlfn.XLOOKUP($A991,My_Audit!$A:$A,My_Audit!Q:Q,""),
_xlfn.IFS(_xlpm.MyAuditVal&lt;&gt;"",UPPER(_xlpm.MyAuditVal),_xlpm.MacVal&lt;&gt;"",_xlpm.MacVal,_xlpm.CSVVal&lt;&gt;"",_xlpm.CSVVal
)),"No")</f>
        <v>No</v>
      </c>
      <c r="Q991" s="40" t="str" cm="1">
        <f t="array" ref="Q991">IFERROR(_xlfn.LET(
_xlpm.CSVVal,_xlfn.XLOOKUP($A991,CSV!$A:$A,CSV!AC:AC,""),
_xlpm.MacVal,_xlfn.XLOOKUP($A991,Output_Mac!$A:$A,Output_Mac!U:U,""),
_xlpm.MyAuditVal,_xlfn.XLOOKUP($A991,My_Audit!$A:$A,My_Audit!R:R,""),
_xlfn.IFS(_xlpm.MyAuditVal&lt;&gt;"",UPPER(_xlpm.MyAuditVal),_xlpm.MacVal&lt;&gt;"",_xlpm.MacVal,_xlpm.CSVVal&lt;&gt;"",_xlpm.CSVVal
)),"")</f>
        <v/>
      </c>
      <c r="R991" s="40"/>
      <c r="S991" s="40"/>
      <c r="T991" s="40"/>
      <c r="U991" s="40"/>
      <c r="V991" s="40"/>
      <c r="W991" s="40"/>
      <c r="X991" s="41" t="str">
        <f>_xlfn.LET(
    _xlpm.MacVal, _xlfn.XLOOKUP($A991, Output_Mac!$A:$A, Output_Mac!AB:AB, ""),
    _xlpm.MyAuditVal, _xlfn.XLOOKUP($A991, My_Audit!$A:$A, My_Audit!N:N, ""),
    _xlfn.TEXTJOIN(", ", TRUE, _xlpm.MyAuditVal, _xlpm.MacVal)
)</f>
        <v/>
      </c>
    </row>
    <row r="992" spans="1:24">
      <c r="A992" s="40" t="str">
        <f>_xlfn.TEXTJOIN("",TRUE,Input!$B$2,ROW(My_Audit!A991))</f>
        <v>X991</v>
      </c>
      <c r="B992" s="40" t="str">
        <f>_xlfn.TEXTJOIN("-",TRUE,"ITD",Input!$A$2,A992)</f>
        <v>ITD-X991</v>
      </c>
      <c r="C992" s="40" t="str" cm="1">
        <f t="array" ref="C992">IFERROR(_xlfn.LET(
_xlpm.CSVVal,_xlfn.XLOOKUP($A992,CSV!$A:$A,CSV!B:B,""),
_xlpm.MacVal,_xlfn.XLOOKUP($A992,Output_Mac!$A:$A,Output_Mac!B:B,""),
_xlpm.MyAuditVal,_xlfn.XLOOKUP($A992,My_Audit!$A:$A,My_Audit!B:B,""),
_xlfn.IFS(_xlpm.MyAuditVal&lt;&gt;"",UPPER(_xlpm.MyAuditVal),_xlpm.MacVal&lt;&gt;"",_xlpm.MacVal,_xlpm.CSVVal&lt;&gt;"",_xlpm.CSVVal
)),"")</f>
        <v/>
      </c>
      <c r="D992" s="40" t="str" cm="1">
        <f t="array" ref="D992">IFERROR(_xlfn.LET(
_xlpm.CSVVal,_xlfn.XLOOKUP($A992,CSV!$A:$A,CSV!D:D,""),
_xlpm.MacVal,_xlfn.XLOOKUP($A992,Output_Mac!$A:$A,Output_Mac!C:C,""),
_xlpm.MyAuditVal,_xlfn.XLOOKUP($A992,My_Audit!$A:$A,My_Audit!C:C,""),
_xlfn.IFS(_xlpm.MyAuditVal&lt;&gt;"",_xlpm.MyAuditVal,_xlpm.MacVal&lt;&gt;"",_xlpm.MacVal,_xlpm.CSVVal&lt;&gt;"",_xlpm.CSVVal
)),"")</f>
        <v/>
      </c>
      <c r="E992" s="40" t="str">
        <f>_xlfn.XLOOKUP(A992,My_Audit!A:A,My_Audit!D:D,"")</f>
        <v/>
      </c>
      <c r="F992" s="40" t="str" cm="1">
        <f t="array" ref="F992">IFERROR(_xlfn.LET(
_xlpm.CSVVal,_xlfn.XLOOKUP($A992,CSV!$A:$A,CSV!F:F,""),
_xlpm.MacVal,_xlfn.XLOOKUP($A992,Output_Mac!$A:$A,Output_Mac!E:E,""),
_xlpm.MyAuditVal,_xlfn.XLOOKUP($A992,My_Audit!$A:$A,My_Audit!E:E,""),
_xlfn.IFS(_xlpm.MyAuditVal&lt;&gt;"",_xlpm.MyAuditVal,_xlpm.MacVal&lt;&gt;"",_xlpm.MacVal,_xlpm.CSVVal&lt;&gt;"",_xlpm.CSVVal
)),"")</f>
        <v/>
      </c>
      <c r="G992" s="40" t="str" cm="1">
        <f t="array" ref="G992">IFERROR(_xlfn.LET(
_xlpm.CSVVal,_xlfn.XLOOKUP($A992,CSV!$A:$A,CSV!G:G,""),
_xlpm.MacVal,_xlfn.XLOOKUP($A992,Output_Mac!$A:$A,Output_Mac!F:F,""),
_xlpm.MyAuditVal,_xlfn.XLOOKUP($A992,My_Audit!$A:$A,My_Audit!F:F,""),
_xlfn.IFS(_xlpm.MyAuditVal&lt;&gt;"",_xlpm.MyAuditVal,_xlpm.MacVal&lt;&gt;"",_xlpm.MacVal,_xlpm.CSVVal&lt;&gt;"",PROPER(_xlpm.CSVVal)
)),"")</f>
        <v/>
      </c>
      <c r="H992" s="40" t="str" cm="1">
        <f t="array" ref="H992">IFERROR(_xlfn.LET(
_xlpm.CSVVal,_xlfn.XLOOKUP($A992,CSV!$A:$A,CSV!H:H,""),
_xlpm.MacVal,_xlfn.XLOOKUP($A992,Output_Mac!$A:$A,Output_Mac!H:H,""),
_xlpm.MyAuditVal,_xlfn.XLOOKUP($A992,My_Audit!$A:$A,My_Audit!G:G,""),
_xlfn.IFS(_xlpm.MyAuditVal&lt;&gt;"",_xlpm.MyAuditVal,_xlpm.MacVal&lt;&gt;"",_xlpm.MacVal,_xlpm.CSVVal&lt;&gt;"",_xlpm.CSVVal
)),"")</f>
        <v/>
      </c>
      <c r="I992" s="40" t="str">
        <f>_xlfn.XLOOKUP(A992,Output_Mac!A:A,Output_Mac!I:I,"")</f>
        <v/>
      </c>
      <c r="J992" s="40" t="str" cm="1">
        <f t="array" ref="J992">IFERROR(_xlfn.LET(
_xlpm.CSVVal,_xlfn.XLOOKUP($A992,CSV!$A:$A,CSV!I:I,""),
_xlpm.MacVal,_xlfn.XLOOKUP($A992,Output_Mac!$A:$A,Output_Mac!J:J,""),
_xlpm.MyAuditVal,_xlfn.XLOOKUP($A992,My_Audit!$A:$A,My_Audit!I:I,""),
_xlfn.IFS(_xlpm.MyAuditVal&lt;&gt;"",UPPER(_xlpm.MyAuditVal),_xlpm.MacVal&lt;&gt;"",_xlpm.MacVal,_xlpm.CSVVal&lt;&gt;"",_xlpm.CSVVal
)),"")</f>
        <v/>
      </c>
      <c r="K992" s="40" t="str" cm="1">
        <f t="array" ref="K992">IFERROR(_xlfn.LET(
_xlpm.CSVVal,_xlfn.XLOOKUP($A992,CSV!$A:$A,CSV!K:K,""),
_xlpm.MacVal,_xlfn.XLOOKUP($A992,Output_Mac!$A:$A,Output_Mac!K:K,""),
_xlpm.MyAuditVal,_xlfn.XLOOKUP($A992,My_Audit!$A:$A,My_Audit!J:J,""),
_xlfn.IFS(_xlpm.MyAuditVal&lt;&gt;"",UPPER(_xlpm.MyAuditVal),_xlpm.MacVal&lt;&gt;"",_xlpm.MacVal,_xlpm.CSVVal&lt;&gt;"",_xlpm.CSVVal
)),"")</f>
        <v/>
      </c>
      <c r="L992" s="40" t="str" cm="1">
        <f t="array" ref="L992">IFERROR(_xlfn.LET(
_xlpm.CSVVal,_xlfn.XLOOKUP($A992,CSV!$A:$A,CSV!P:P,""),
_xlpm.MacVal,_xlfn.XLOOKUP($A992,Output_Mac!$A:$A,Output_Mac!L:L,""),
_xlpm.MyAuditVal,_xlfn.XLOOKUP($A992,My_Audit!$A:$A,My_Audit!K:K,""),
_xlfn.IFS(_xlpm.MyAuditVal&lt;&gt;"",UPPER(_xlpm.MyAuditVal),_xlpm.MacVal&lt;&gt;"",_xlpm.MacVal,_xlpm.CSVVal&lt;&gt;"",_xlpm.CSVVal
)),"")</f>
        <v/>
      </c>
      <c r="M992" s="40" t="str" cm="1">
        <f t="array" ref="M992">IFERROR(_xlfn.LET(
_xlpm.CSVVal,_xlfn.XLOOKUP($A992,CSV!$A:$A,CSV!Q:Q,""),
_xlpm.MacVal,_xlfn.XLOOKUP($A992,Output_Mac!$A:$A,Output_Mac!M:M,""),
_xlpm.MyAuditVal,_xlfn.XLOOKUP($A992,My_Audit!$A:$A,My_Audit!L:L,""),
_xlfn.IFS(_xlpm.MyAuditVal&lt;&gt;"",UPPER(_xlpm.MyAuditVal),_xlpm.MacVal&lt;&gt;"",_xlpm.MacVal,_xlpm.CSVVal&lt;&gt;"",_xlpm.CSVVal
)),"")</f>
        <v/>
      </c>
      <c r="N992" s="40"/>
      <c r="O992" s="40" t="str">
        <f>_xlfn.LET(
    _xlpm.CSVVal, _xlfn.XLOOKUP($A992, CSV!$A:$A, CSV!AA:AA, ""),
    _xlpm.MacVal, _xlfn.XLOOKUP($A992, Output_Mac!$A:$A, Output_Mac!S:S, ""),
    _xlpm.MyAuditVal, _xlfn.XLOOKUP($A992, My_Audit!$A:$A, My_Audit!P:P, ""),
    _xlfn.TEXTJOIN(", ", TRUE, _xlpm.MyAuditVal, _xlpm.MacVal, _xlpm.CSVVal)
)</f>
        <v/>
      </c>
      <c r="P992" s="40" t="str" cm="1">
        <f t="array" ref="P992">IFERROR(_xlfn.LET(
_xlpm.CSVVal,_xlfn.XLOOKUP($A992,CSV!$A:$A,CSV!AB:AB,""),
_xlpm.MacVal,_xlfn.XLOOKUP($A992,Output_Mac!$A:$A,Output_Mac!T:T,""),
_xlpm.MyAuditVal,_xlfn.XLOOKUP($A992,My_Audit!$A:$A,My_Audit!Q:Q,""),
_xlfn.IFS(_xlpm.MyAuditVal&lt;&gt;"",UPPER(_xlpm.MyAuditVal),_xlpm.MacVal&lt;&gt;"",_xlpm.MacVal,_xlpm.CSVVal&lt;&gt;"",_xlpm.CSVVal
)),"No")</f>
        <v>No</v>
      </c>
      <c r="Q992" s="40" t="str" cm="1">
        <f t="array" ref="Q992">IFERROR(_xlfn.LET(
_xlpm.CSVVal,_xlfn.XLOOKUP($A992,CSV!$A:$A,CSV!AC:AC,""),
_xlpm.MacVal,_xlfn.XLOOKUP($A992,Output_Mac!$A:$A,Output_Mac!U:U,""),
_xlpm.MyAuditVal,_xlfn.XLOOKUP($A992,My_Audit!$A:$A,My_Audit!R:R,""),
_xlfn.IFS(_xlpm.MyAuditVal&lt;&gt;"",UPPER(_xlpm.MyAuditVal),_xlpm.MacVal&lt;&gt;"",_xlpm.MacVal,_xlpm.CSVVal&lt;&gt;"",_xlpm.CSVVal
)),"")</f>
        <v/>
      </c>
      <c r="R992" s="40"/>
      <c r="S992" s="40"/>
      <c r="T992" s="40"/>
      <c r="U992" s="40"/>
      <c r="V992" s="40"/>
      <c r="W992" s="40"/>
      <c r="X992" s="41" t="str">
        <f>_xlfn.LET(
    _xlpm.MacVal, _xlfn.XLOOKUP($A992, Output_Mac!$A:$A, Output_Mac!AB:AB, ""),
    _xlpm.MyAuditVal, _xlfn.XLOOKUP($A992, My_Audit!$A:$A, My_Audit!N:N, ""),
    _xlfn.TEXTJOIN(", ", TRUE, _xlpm.MyAuditVal, _xlpm.MacVal)
)</f>
        <v/>
      </c>
    </row>
    <row r="993" spans="1:24">
      <c r="A993" s="40" t="str">
        <f>_xlfn.TEXTJOIN("",TRUE,Input!$B$2,ROW(My_Audit!A992))</f>
        <v>X992</v>
      </c>
      <c r="B993" s="40" t="str">
        <f>_xlfn.TEXTJOIN("-",TRUE,"ITD",Input!$A$2,A993)</f>
        <v>ITD-X992</v>
      </c>
      <c r="C993" s="40" t="str" cm="1">
        <f t="array" ref="C993">IFERROR(_xlfn.LET(
_xlpm.CSVVal,_xlfn.XLOOKUP($A993,CSV!$A:$A,CSV!B:B,""),
_xlpm.MacVal,_xlfn.XLOOKUP($A993,Output_Mac!$A:$A,Output_Mac!B:B,""),
_xlpm.MyAuditVal,_xlfn.XLOOKUP($A993,My_Audit!$A:$A,My_Audit!B:B,""),
_xlfn.IFS(_xlpm.MyAuditVal&lt;&gt;"",UPPER(_xlpm.MyAuditVal),_xlpm.MacVal&lt;&gt;"",_xlpm.MacVal,_xlpm.CSVVal&lt;&gt;"",_xlpm.CSVVal
)),"")</f>
        <v/>
      </c>
      <c r="D993" s="40" t="str" cm="1">
        <f t="array" ref="D993">IFERROR(_xlfn.LET(
_xlpm.CSVVal,_xlfn.XLOOKUP($A993,CSV!$A:$A,CSV!D:D,""),
_xlpm.MacVal,_xlfn.XLOOKUP($A993,Output_Mac!$A:$A,Output_Mac!C:C,""),
_xlpm.MyAuditVal,_xlfn.XLOOKUP($A993,My_Audit!$A:$A,My_Audit!C:C,""),
_xlfn.IFS(_xlpm.MyAuditVal&lt;&gt;"",_xlpm.MyAuditVal,_xlpm.MacVal&lt;&gt;"",_xlpm.MacVal,_xlpm.CSVVal&lt;&gt;"",_xlpm.CSVVal
)),"")</f>
        <v/>
      </c>
      <c r="E993" s="40" t="str">
        <f>_xlfn.XLOOKUP(A993,My_Audit!A:A,My_Audit!D:D,"")</f>
        <v/>
      </c>
      <c r="F993" s="40" t="str" cm="1">
        <f t="array" ref="F993">IFERROR(_xlfn.LET(
_xlpm.CSVVal,_xlfn.XLOOKUP($A993,CSV!$A:$A,CSV!F:F,""),
_xlpm.MacVal,_xlfn.XLOOKUP($A993,Output_Mac!$A:$A,Output_Mac!E:E,""),
_xlpm.MyAuditVal,_xlfn.XLOOKUP($A993,My_Audit!$A:$A,My_Audit!E:E,""),
_xlfn.IFS(_xlpm.MyAuditVal&lt;&gt;"",_xlpm.MyAuditVal,_xlpm.MacVal&lt;&gt;"",_xlpm.MacVal,_xlpm.CSVVal&lt;&gt;"",_xlpm.CSVVal
)),"")</f>
        <v/>
      </c>
      <c r="G993" s="40" t="str" cm="1">
        <f t="array" ref="G993">IFERROR(_xlfn.LET(
_xlpm.CSVVal,_xlfn.XLOOKUP($A993,CSV!$A:$A,CSV!G:G,""),
_xlpm.MacVal,_xlfn.XLOOKUP($A993,Output_Mac!$A:$A,Output_Mac!F:F,""),
_xlpm.MyAuditVal,_xlfn.XLOOKUP($A993,My_Audit!$A:$A,My_Audit!F:F,""),
_xlfn.IFS(_xlpm.MyAuditVal&lt;&gt;"",_xlpm.MyAuditVal,_xlpm.MacVal&lt;&gt;"",_xlpm.MacVal,_xlpm.CSVVal&lt;&gt;"",PROPER(_xlpm.CSVVal)
)),"")</f>
        <v/>
      </c>
      <c r="H993" s="40" t="str" cm="1">
        <f t="array" ref="H993">IFERROR(_xlfn.LET(
_xlpm.CSVVal,_xlfn.XLOOKUP($A993,CSV!$A:$A,CSV!H:H,""),
_xlpm.MacVal,_xlfn.XLOOKUP($A993,Output_Mac!$A:$A,Output_Mac!H:H,""),
_xlpm.MyAuditVal,_xlfn.XLOOKUP($A993,My_Audit!$A:$A,My_Audit!G:G,""),
_xlfn.IFS(_xlpm.MyAuditVal&lt;&gt;"",_xlpm.MyAuditVal,_xlpm.MacVal&lt;&gt;"",_xlpm.MacVal,_xlpm.CSVVal&lt;&gt;"",_xlpm.CSVVal
)),"")</f>
        <v/>
      </c>
      <c r="I993" s="40" t="str">
        <f>_xlfn.XLOOKUP(A993,Output_Mac!A:A,Output_Mac!I:I,"")</f>
        <v/>
      </c>
      <c r="J993" s="40" t="str" cm="1">
        <f t="array" ref="J993">IFERROR(_xlfn.LET(
_xlpm.CSVVal,_xlfn.XLOOKUP($A993,CSV!$A:$A,CSV!I:I,""),
_xlpm.MacVal,_xlfn.XLOOKUP($A993,Output_Mac!$A:$A,Output_Mac!J:J,""),
_xlpm.MyAuditVal,_xlfn.XLOOKUP($A993,My_Audit!$A:$A,My_Audit!I:I,""),
_xlfn.IFS(_xlpm.MyAuditVal&lt;&gt;"",UPPER(_xlpm.MyAuditVal),_xlpm.MacVal&lt;&gt;"",_xlpm.MacVal,_xlpm.CSVVal&lt;&gt;"",_xlpm.CSVVal
)),"")</f>
        <v/>
      </c>
      <c r="K993" s="40" t="str" cm="1">
        <f t="array" ref="K993">IFERROR(_xlfn.LET(
_xlpm.CSVVal,_xlfn.XLOOKUP($A993,CSV!$A:$A,CSV!K:K,""),
_xlpm.MacVal,_xlfn.XLOOKUP($A993,Output_Mac!$A:$A,Output_Mac!K:K,""),
_xlpm.MyAuditVal,_xlfn.XLOOKUP($A993,My_Audit!$A:$A,My_Audit!J:J,""),
_xlfn.IFS(_xlpm.MyAuditVal&lt;&gt;"",UPPER(_xlpm.MyAuditVal),_xlpm.MacVal&lt;&gt;"",_xlpm.MacVal,_xlpm.CSVVal&lt;&gt;"",_xlpm.CSVVal
)),"")</f>
        <v/>
      </c>
      <c r="L993" s="40" t="str" cm="1">
        <f t="array" ref="L993">IFERROR(_xlfn.LET(
_xlpm.CSVVal,_xlfn.XLOOKUP($A993,CSV!$A:$A,CSV!P:P,""),
_xlpm.MacVal,_xlfn.XLOOKUP($A993,Output_Mac!$A:$A,Output_Mac!L:L,""),
_xlpm.MyAuditVal,_xlfn.XLOOKUP($A993,My_Audit!$A:$A,My_Audit!K:K,""),
_xlfn.IFS(_xlpm.MyAuditVal&lt;&gt;"",UPPER(_xlpm.MyAuditVal),_xlpm.MacVal&lt;&gt;"",_xlpm.MacVal,_xlpm.CSVVal&lt;&gt;"",_xlpm.CSVVal
)),"")</f>
        <v/>
      </c>
      <c r="M993" s="40" t="str" cm="1">
        <f t="array" ref="M993">IFERROR(_xlfn.LET(
_xlpm.CSVVal,_xlfn.XLOOKUP($A993,CSV!$A:$A,CSV!Q:Q,""),
_xlpm.MacVal,_xlfn.XLOOKUP($A993,Output_Mac!$A:$A,Output_Mac!M:M,""),
_xlpm.MyAuditVal,_xlfn.XLOOKUP($A993,My_Audit!$A:$A,My_Audit!L:L,""),
_xlfn.IFS(_xlpm.MyAuditVal&lt;&gt;"",UPPER(_xlpm.MyAuditVal),_xlpm.MacVal&lt;&gt;"",_xlpm.MacVal,_xlpm.CSVVal&lt;&gt;"",_xlpm.CSVVal
)),"")</f>
        <v/>
      </c>
      <c r="N993" s="40"/>
      <c r="O993" s="40" t="str">
        <f>_xlfn.LET(
    _xlpm.CSVVal, _xlfn.XLOOKUP($A993, CSV!$A:$A, CSV!AA:AA, ""),
    _xlpm.MacVal, _xlfn.XLOOKUP($A993, Output_Mac!$A:$A, Output_Mac!S:S, ""),
    _xlpm.MyAuditVal, _xlfn.XLOOKUP($A993, My_Audit!$A:$A, My_Audit!P:P, ""),
    _xlfn.TEXTJOIN(", ", TRUE, _xlpm.MyAuditVal, _xlpm.MacVal, _xlpm.CSVVal)
)</f>
        <v/>
      </c>
      <c r="P993" s="40" t="str" cm="1">
        <f t="array" ref="P993">IFERROR(_xlfn.LET(
_xlpm.CSVVal,_xlfn.XLOOKUP($A993,CSV!$A:$A,CSV!AB:AB,""),
_xlpm.MacVal,_xlfn.XLOOKUP($A993,Output_Mac!$A:$A,Output_Mac!T:T,""),
_xlpm.MyAuditVal,_xlfn.XLOOKUP($A993,My_Audit!$A:$A,My_Audit!Q:Q,""),
_xlfn.IFS(_xlpm.MyAuditVal&lt;&gt;"",UPPER(_xlpm.MyAuditVal),_xlpm.MacVal&lt;&gt;"",_xlpm.MacVal,_xlpm.CSVVal&lt;&gt;"",_xlpm.CSVVal
)),"No")</f>
        <v>No</v>
      </c>
      <c r="Q993" s="40" t="str" cm="1">
        <f t="array" ref="Q993">IFERROR(_xlfn.LET(
_xlpm.CSVVal,_xlfn.XLOOKUP($A993,CSV!$A:$A,CSV!AC:AC,""),
_xlpm.MacVal,_xlfn.XLOOKUP($A993,Output_Mac!$A:$A,Output_Mac!U:U,""),
_xlpm.MyAuditVal,_xlfn.XLOOKUP($A993,My_Audit!$A:$A,My_Audit!R:R,""),
_xlfn.IFS(_xlpm.MyAuditVal&lt;&gt;"",UPPER(_xlpm.MyAuditVal),_xlpm.MacVal&lt;&gt;"",_xlpm.MacVal,_xlpm.CSVVal&lt;&gt;"",_xlpm.CSVVal
)),"")</f>
        <v/>
      </c>
      <c r="R993" s="40"/>
      <c r="S993" s="40"/>
      <c r="T993" s="40"/>
      <c r="U993" s="40"/>
      <c r="V993" s="40"/>
      <c r="W993" s="40"/>
      <c r="X993" s="41" t="str">
        <f>_xlfn.LET(
    _xlpm.MacVal, _xlfn.XLOOKUP($A993, Output_Mac!$A:$A, Output_Mac!AB:AB, ""),
    _xlpm.MyAuditVal, _xlfn.XLOOKUP($A993, My_Audit!$A:$A, My_Audit!N:N, ""),
    _xlfn.TEXTJOIN(", ", TRUE, _xlpm.MyAuditVal, _xlpm.MacVal)
)</f>
        <v/>
      </c>
    </row>
    <row r="994" spans="1:24">
      <c r="A994" s="40" t="str">
        <f>_xlfn.TEXTJOIN("",TRUE,Input!$B$2,ROW(My_Audit!A993))</f>
        <v>X993</v>
      </c>
      <c r="B994" s="40" t="str">
        <f>_xlfn.TEXTJOIN("-",TRUE,"ITD",Input!$A$2,A994)</f>
        <v>ITD-X993</v>
      </c>
      <c r="C994" s="40" t="str" cm="1">
        <f t="array" ref="C994">IFERROR(_xlfn.LET(
_xlpm.CSVVal,_xlfn.XLOOKUP($A994,CSV!$A:$A,CSV!B:B,""),
_xlpm.MacVal,_xlfn.XLOOKUP($A994,Output_Mac!$A:$A,Output_Mac!B:B,""),
_xlpm.MyAuditVal,_xlfn.XLOOKUP($A994,My_Audit!$A:$A,My_Audit!B:B,""),
_xlfn.IFS(_xlpm.MyAuditVal&lt;&gt;"",UPPER(_xlpm.MyAuditVal),_xlpm.MacVal&lt;&gt;"",_xlpm.MacVal,_xlpm.CSVVal&lt;&gt;"",_xlpm.CSVVal
)),"")</f>
        <v/>
      </c>
      <c r="D994" s="40" t="str" cm="1">
        <f t="array" ref="D994">IFERROR(_xlfn.LET(
_xlpm.CSVVal,_xlfn.XLOOKUP($A994,CSV!$A:$A,CSV!D:D,""),
_xlpm.MacVal,_xlfn.XLOOKUP($A994,Output_Mac!$A:$A,Output_Mac!C:C,""),
_xlpm.MyAuditVal,_xlfn.XLOOKUP($A994,My_Audit!$A:$A,My_Audit!C:C,""),
_xlfn.IFS(_xlpm.MyAuditVal&lt;&gt;"",_xlpm.MyAuditVal,_xlpm.MacVal&lt;&gt;"",_xlpm.MacVal,_xlpm.CSVVal&lt;&gt;"",_xlpm.CSVVal
)),"")</f>
        <v/>
      </c>
      <c r="E994" s="40" t="str">
        <f>_xlfn.XLOOKUP(A994,My_Audit!A:A,My_Audit!D:D,"")</f>
        <v/>
      </c>
      <c r="F994" s="40" t="str" cm="1">
        <f t="array" ref="F994">IFERROR(_xlfn.LET(
_xlpm.CSVVal,_xlfn.XLOOKUP($A994,CSV!$A:$A,CSV!F:F,""),
_xlpm.MacVal,_xlfn.XLOOKUP($A994,Output_Mac!$A:$A,Output_Mac!E:E,""),
_xlpm.MyAuditVal,_xlfn.XLOOKUP($A994,My_Audit!$A:$A,My_Audit!E:E,""),
_xlfn.IFS(_xlpm.MyAuditVal&lt;&gt;"",_xlpm.MyAuditVal,_xlpm.MacVal&lt;&gt;"",_xlpm.MacVal,_xlpm.CSVVal&lt;&gt;"",_xlpm.CSVVal
)),"")</f>
        <v/>
      </c>
      <c r="G994" s="40" t="str" cm="1">
        <f t="array" ref="G994">IFERROR(_xlfn.LET(
_xlpm.CSVVal,_xlfn.XLOOKUP($A994,CSV!$A:$A,CSV!G:G,""),
_xlpm.MacVal,_xlfn.XLOOKUP($A994,Output_Mac!$A:$A,Output_Mac!F:F,""),
_xlpm.MyAuditVal,_xlfn.XLOOKUP($A994,My_Audit!$A:$A,My_Audit!F:F,""),
_xlfn.IFS(_xlpm.MyAuditVal&lt;&gt;"",_xlpm.MyAuditVal,_xlpm.MacVal&lt;&gt;"",_xlpm.MacVal,_xlpm.CSVVal&lt;&gt;"",PROPER(_xlpm.CSVVal)
)),"")</f>
        <v/>
      </c>
      <c r="H994" s="40" t="str" cm="1">
        <f t="array" ref="H994">IFERROR(_xlfn.LET(
_xlpm.CSVVal,_xlfn.XLOOKUP($A994,CSV!$A:$A,CSV!H:H,""),
_xlpm.MacVal,_xlfn.XLOOKUP($A994,Output_Mac!$A:$A,Output_Mac!H:H,""),
_xlpm.MyAuditVal,_xlfn.XLOOKUP($A994,My_Audit!$A:$A,My_Audit!G:G,""),
_xlfn.IFS(_xlpm.MyAuditVal&lt;&gt;"",_xlpm.MyAuditVal,_xlpm.MacVal&lt;&gt;"",_xlpm.MacVal,_xlpm.CSVVal&lt;&gt;"",_xlpm.CSVVal
)),"")</f>
        <v/>
      </c>
      <c r="I994" s="40" t="str">
        <f>_xlfn.XLOOKUP(A994,Output_Mac!A:A,Output_Mac!I:I,"")</f>
        <v/>
      </c>
      <c r="J994" s="40" t="str" cm="1">
        <f t="array" ref="J994">IFERROR(_xlfn.LET(
_xlpm.CSVVal,_xlfn.XLOOKUP($A994,CSV!$A:$A,CSV!I:I,""),
_xlpm.MacVal,_xlfn.XLOOKUP($A994,Output_Mac!$A:$A,Output_Mac!J:J,""),
_xlpm.MyAuditVal,_xlfn.XLOOKUP($A994,My_Audit!$A:$A,My_Audit!I:I,""),
_xlfn.IFS(_xlpm.MyAuditVal&lt;&gt;"",UPPER(_xlpm.MyAuditVal),_xlpm.MacVal&lt;&gt;"",_xlpm.MacVal,_xlpm.CSVVal&lt;&gt;"",_xlpm.CSVVal
)),"")</f>
        <v/>
      </c>
      <c r="K994" s="40" t="str" cm="1">
        <f t="array" ref="K994">IFERROR(_xlfn.LET(
_xlpm.CSVVal,_xlfn.XLOOKUP($A994,CSV!$A:$A,CSV!K:K,""),
_xlpm.MacVal,_xlfn.XLOOKUP($A994,Output_Mac!$A:$A,Output_Mac!K:K,""),
_xlpm.MyAuditVal,_xlfn.XLOOKUP($A994,My_Audit!$A:$A,My_Audit!J:J,""),
_xlfn.IFS(_xlpm.MyAuditVal&lt;&gt;"",UPPER(_xlpm.MyAuditVal),_xlpm.MacVal&lt;&gt;"",_xlpm.MacVal,_xlpm.CSVVal&lt;&gt;"",_xlpm.CSVVal
)),"")</f>
        <v/>
      </c>
      <c r="L994" s="40" t="str" cm="1">
        <f t="array" ref="L994">IFERROR(_xlfn.LET(
_xlpm.CSVVal,_xlfn.XLOOKUP($A994,CSV!$A:$A,CSV!P:P,""),
_xlpm.MacVal,_xlfn.XLOOKUP($A994,Output_Mac!$A:$A,Output_Mac!L:L,""),
_xlpm.MyAuditVal,_xlfn.XLOOKUP($A994,My_Audit!$A:$A,My_Audit!K:K,""),
_xlfn.IFS(_xlpm.MyAuditVal&lt;&gt;"",UPPER(_xlpm.MyAuditVal),_xlpm.MacVal&lt;&gt;"",_xlpm.MacVal,_xlpm.CSVVal&lt;&gt;"",_xlpm.CSVVal
)),"")</f>
        <v/>
      </c>
      <c r="M994" s="40" t="str" cm="1">
        <f t="array" ref="M994">IFERROR(_xlfn.LET(
_xlpm.CSVVal,_xlfn.XLOOKUP($A994,CSV!$A:$A,CSV!Q:Q,""),
_xlpm.MacVal,_xlfn.XLOOKUP($A994,Output_Mac!$A:$A,Output_Mac!M:M,""),
_xlpm.MyAuditVal,_xlfn.XLOOKUP($A994,My_Audit!$A:$A,My_Audit!L:L,""),
_xlfn.IFS(_xlpm.MyAuditVal&lt;&gt;"",UPPER(_xlpm.MyAuditVal),_xlpm.MacVal&lt;&gt;"",_xlpm.MacVal,_xlpm.CSVVal&lt;&gt;"",_xlpm.CSVVal
)),"")</f>
        <v/>
      </c>
      <c r="N994" s="40"/>
      <c r="O994" s="40" t="str">
        <f>_xlfn.LET(
    _xlpm.CSVVal, _xlfn.XLOOKUP($A994, CSV!$A:$A, CSV!AA:AA, ""),
    _xlpm.MacVal, _xlfn.XLOOKUP($A994, Output_Mac!$A:$A, Output_Mac!S:S, ""),
    _xlpm.MyAuditVal, _xlfn.XLOOKUP($A994, My_Audit!$A:$A, My_Audit!P:P, ""),
    _xlfn.TEXTJOIN(", ", TRUE, _xlpm.MyAuditVal, _xlpm.MacVal, _xlpm.CSVVal)
)</f>
        <v/>
      </c>
      <c r="P994" s="40" t="str" cm="1">
        <f t="array" ref="P994">IFERROR(_xlfn.LET(
_xlpm.CSVVal,_xlfn.XLOOKUP($A994,CSV!$A:$A,CSV!AB:AB,""),
_xlpm.MacVal,_xlfn.XLOOKUP($A994,Output_Mac!$A:$A,Output_Mac!T:T,""),
_xlpm.MyAuditVal,_xlfn.XLOOKUP($A994,My_Audit!$A:$A,My_Audit!Q:Q,""),
_xlfn.IFS(_xlpm.MyAuditVal&lt;&gt;"",UPPER(_xlpm.MyAuditVal),_xlpm.MacVal&lt;&gt;"",_xlpm.MacVal,_xlpm.CSVVal&lt;&gt;"",_xlpm.CSVVal
)),"No")</f>
        <v>No</v>
      </c>
      <c r="Q994" s="40" t="str" cm="1">
        <f t="array" ref="Q994">IFERROR(_xlfn.LET(
_xlpm.CSVVal,_xlfn.XLOOKUP($A994,CSV!$A:$A,CSV!AC:AC,""),
_xlpm.MacVal,_xlfn.XLOOKUP($A994,Output_Mac!$A:$A,Output_Mac!U:U,""),
_xlpm.MyAuditVal,_xlfn.XLOOKUP($A994,My_Audit!$A:$A,My_Audit!R:R,""),
_xlfn.IFS(_xlpm.MyAuditVal&lt;&gt;"",UPPER(_xlpm.MyAuditVal),_xlpm.MacVal&lt;&gt;"",_xlpm.MacVal,_xlpm.CSVVal&lt;&gt;"",_xlpm.CSVVal
)),"")</f>
        <v/>
      </c>
      <c r="R994" s="40"/>
      <c r="S994" s="40"/>
      <c r="T994" s="40"/>
      <c r="U994" s="40"/>
      <c r="V994" s="40"/>
      <c r="W994" s="40"/>
      <c r="X994" s="41" t="str">
        <f>_xlfn.LET(
    _xlpm.MacVal, _xlfn.XLOOKUP($A994, Output_Mac!$A:$A, Output_Mac!AB:AB, ""),
    _xlpm.MyAuditVal, _xlfn.XLOOKUP($A994, My_Audit!$A:$A, My_Audit!N:N, ""),
    _xlfn.TEXTJOIN(", ", TRUE, _xlpm.MyAuditVal, _xlpm.MacVal)
)</f>
        <v/>
      </c>
    </row>
    <row r="995" spans="1:24">
      <c r="A995" s="40" t="str">
        <f>_xlfn.TEXTJOIN("",TRUE,Input!$B$2,ROW(My_Audit!A994))</f>
        <v>X994</v>
      </c>
      <c r="B995" s="40" t="str">
        <f>_xlfn.TEXTJOIN("-",TRUE,"ITD",Input!$A$2,A995)</f>
        <v>ITD-X994</v>
      </c>
      <c r="C995" s="40" t="str" cm="1">
        <f t="array" ref="C995">IFERROR(_xlfn.LET(
_xlpm.CSVVal,_xlfn.XLOOKUP($A995,CSV!$A:$A,CSV!B:B,""),
_xlpm.MacVal,_xlfn.XLOOKUP($A995,Output_Mac!$A:$A,Output_Mac!B:B,""),
_xlpm.MyAuditVal,_xlfn.XLOOKUP($A995,My_Audit!$A:$A,My_Audit!B:B,""),
_xlfn.IFS(_xlpm.MyAuditVal&lt;&gt;"",UPPER(_xlpm.MyAuditVal),_xlpm.MacVal&lt;&gt;"",_xlpm.MacVal,_xlpm.CSVVal&lt;&gt;"",_xlpm.CSVVal
)),"")</f>
        <v/>
      </c>
      <c r="D995" s="40" t="str" cm="1">
        <f t="array" ref="D995">IFERROR(_xlfn.LET(
_xlpm.CSVVal,_xlfn.XLOOKUP($A995,CSV!$A:$A,CSV!D:D,""),
_xlpm.MacVal,_xlfn.XLOOKUP($A995,Output_Mac!$A:$A,Output_Mac!C:C,""),
_xlpm.MyAuditVal,_xlfn.XLOOKUP($A995,My_Audit!$A:$A,My_Audit!C:C,""),
_xlfn.IFS(_xlpm.MyAuditVal&lt;&gt;"",_xlpm.MyAuditVal,_xlpm.MacVal&lt;&gt;"",_xlpm.MacVal,_xlpm.CSVVal&lt;&gt;"",_xlpm.CSVVal
)),"")</f>
        <v/>
      </c>
      <c r="E995" s="40" t="str">
        <f>_xlfn.XLOOKUP(A995,My_Audit!A:A,My_Audit!D:D,"")</f>
        <v/>
      </c>
      <c r="F995" s="40" t="str" cm="1">
        <f t="array" ref="F995">IFERROR(_xlfn.LET(
_xlpm.CSVVal,_xlfn.XLOOKUP($A995,CSV!$A:$A,CSV!F:F,""),
_xlpm.MacVal,_xlfn.XLOOKUP($A995,Output_Mac!$A:$A,Output_Mac!E:E,""),
_xlpm.MyAuditVal,_xlfn.XLOOKUP($A995,My_Audit!$A:$A,My_Audit!E:E,""),
_xlfn.IFS(_xlpm.MyAuditVal&lt;&gt;"",_xlpm.MyAuditVal,_xlpm.MacVal&lt;&gt;"",_xlpm.MacVal,_xlpm.CSVVal&lt;&gt;"",_xlpm.CSVVal
)),"")</f>
        <v/>
      </c>
      <c r="G995" s="40" t="str" cm="1">
        <f t="array" ref="G995">IFERROR(_xlfn.LET(
_xlpm.CSVVal,_xlfn.XLOOKUP($A995,CSV!$A:$A,CSV!G:G,""),
_xlpm.MacVal,_xlfn.XLOOKUP($A995,Output_Mac!$A:$A,Output_Mac!F:F,""),
_xlpm.MyAuditVal,_xlfn.XLOOKUP($A995,My_Audit!$A:$A,My_Audit!F:F,""),
_xlfn.IFS(_xlpm.MyAuditVal&lt;&gt;"",_xlpm.MyAuditVal,_xlpm.MacVal&lt;&gt;"",_xlpm.MacVal,_xlpm.CSVVal&lt;&gt;"",PROPER(_xlpm.CSVVal)
)),"")</f>
        <v/>
      </c>
      <c r="H995" s="40" t="str" cm="1">
        <f t="array" ref="H995">IFERROR(_xlfn.LET(
_xlpm.CSVVal,_xlfn.XLOOKUP($A995,CSV!$A:$A,CSV!H:H,""),
_xlpm.MacVal,_xlfn.XLOOKUP($A995,Output_Mac!$A:$A,Output_Mac!H:H,""),
_xlpm.MyAuditVal,_xlfn.XLOOKUP($A995,My_Audit!$A:$A,My_Audit!G:G,""),
_xlfn.IFS(_xlpm.MyAuditVal&lt;&gt;"",_xlpm.MyAuditVal,_xlpm.MacVal&lt;&gt;"",_xlpm.MacVal,_xlpm.CSVVal&lt;&gt;"",_xlpm.CSVVal
)),"")</f>
        <v/>
      </c>
      <c r="I995" s="40" t="str">
        <f>_xlfn.XLOOKUP(A995,Output_Mac!A:A,Output_Mac!I:I,"")</f>
        <v/>
      </c>
      <c r="J995" s="40" t="str" cm="1">
        <f t="array" ref="J995">IFERROR(_xlfn.LET(
_xlpm.CSVVal,_xlfn.XLOOKUP($A995,CSV!$A:$A,CSV!I:I,""),
_xlpm.MacVal,_xlfn.XLOOKUP($A995,Output_Mac!$A:$A,Output_Mac!J:J,""),
_xlpm.MyAuditVal,_xlfn.XLOOKUP($A995,My_Audit!$A:$A,My_Audit!I:I,""),
_xlfn.IFS(_xlpm.MyAuditVal&lt;&gt;"",UPPER(_xlpm.MyAuditVal),_xlpm.MacVal&lt;&gt;"",_xlpm.MacVal,_xlpm.CSVVal&lt;&gt;"",_xlpm.CSVVal
)),"")</f>
        <v/>
      </c>
      <c r="K995" s="40" t="str" cm="1">
        <f t="array" ref="K995">IFERROR(_xlfn.LET(
_xlpm.CSVVal,_xlfn.XLOOKUP($A995,CSV!$A:$A,CSV!K:K,""),
_xlpm.MacVal,_xlfn.XLOOKUP($A995,Output_Mac!$A:$A,Output_Mac!K:K,""),
_xlpm.MyAuditVal,_xlfn.XLOOKUP($A995,My_Audit!$A:$A,My_Audit!J:J,""),
_xlfn.IFS(_xlpm.MyAuditVal&lt;&gt;"",UPPER(_xlpm.MyAuditVal),_xlpm.MacVal&lt;&gt;"",_xlpm.MacVal,_xlpm.CSVVal&lt;&gt;"",_xlpm.CSVVal
)),"")</f>
        <v/>
      </c>
      <c r="L995" s="40" t="str" cm="1">
        <f t="array" ref="L995">IFERROR(_xlfn.LET(
_xlpm.CSVVal,_xlfn.XLOOKUP($A995,CSV!$A:$A,CSV!P:P,""),
_xlpm.MacVal,_xlfn.XLOOKUP($A995,Output_Mac!$A:$A,Output_Mac!L:L,""),
_xlpm.MyAuditVal,_xlfn.XLOOKUP($A995,My_Audit!$A:$A,My_Audit!K:K,""),
_xlfn.IFS(_xlpm.MyAuditVal&lt;&gt;"",UPPER(_xlpm.MyAuditVal),_xlpm.MacVal&lt;&gt;"",_xlpm.MacVal,_xlpm.CSVVal&lt;&gt;"",_xlpm.CSVVal
)),"")</f>
        <v/>
      </c>
      <c r="M995" s="40" t="str" cm="1">
        <f t="array" ref="M995">IFERROR(_xlfn.LET(
_xlpm.CSVVal,_xlfn.XLOOKUP($A995,CSV!$A:$A,CSV!Q:Q,""),
_xlpm.MacVal,_xlfn.XLOOKUP($A995,Output_Mac!$A:$A,Output_Mac!M:M,""),
_xlpm.MyAuditVal,_xlfn.XLOOKUP($A995,My_Audit!$A:$A,My_Audit!L:L,""),
_xlfn.IFS(_xlpm.MyAuditVal&lt;&gt;"",UPPER(_xlpm.MyAuditVal),_xlpm.MacVal&lt;&gt;"",_xlpm.MacVal,_xlpm.CSVVal&lt;&gt;"",_xlpm.CSVVal
)),"")</f>
        <v/>
      </c>
      <c r="N995" s="40"/>
      <c r="O995" s="40" t="str">
        <f>_xlfn.LET(
    _xlpm.CSVVal, _xlfn.XLOOKUP($A995, CSV!$A:$A, CSV!AA:AA, ""),
    _xlpm.MacVal, _xlfn.XLOOKUP($A995, Output_Mac!$A:$A, Output_Mac!S:S, ""),
    _xlpm.MyAuditVal, _xlfn.XLOOKUP($A995, My_Audit!$A:$A, My_Audit!P:P, ""),
    _xlfn.TEXTJOIN(", ", TRUE, _xlpm.MyAuditVal, _xlpm.MacVal, _xlpm.CSVVal)
)</f>
        <v/>
      </c>
      <c r="P995" s="40" t="str" cm="1">
        <f t="array" ref="P995">IFERROR(_xlfn.LET(
_xlpm.CSVVal,_xlfn.XLOOKUP($A995,CSV!$A:$A,CSV!AB:AB,""),
_xlpm.MacVal,_xlfn.XLOOKUP($A995,Output_Mac!$A:$A,Output_Mac!T:T,""),
_xlpm.MyAuditVal,_xlfn.XLOOKUP($A995,My_Audit!$A:$A,My_Audit!Q:Q,""),
_xlfn.IFS(_xlpm.MyAuditVal&lt;&gt;"",UPPER(_xlpm.MyAuditVal),_xlpm.MacVal&lt;&gt;"",_xlpm.MacVal,_xlpm.CSVVal&lt;&gt;"",_xlpm.CSVVal
)),"No")</f>
        <v>No</v>
      </c>
      <c r="Q995" s="40" t="str" cm="1">
        <f t="array" ref="Q995">IFERROR(_xlfn.LET(
_xlpm.CSVVal,_xlfn.XLOOKUP($A995,CSV!$A:$A,CSV!AC:AC,""),
_xlpm.MacVal,_xlfn.XLOOKUP($A995,Output_Mac!$A:$A,Output_Mac!U:U,""),
_xlpm.MyAuditVal,_xlfn.XLOOKUP($A995,My_Audit!$A:$A,My_Audit!R:R,""),
_xlfn.IFS(_xlpm.MyAuditVal&lt;&gt;"",UPPER(_xlpm.MyAuditVal),_xlpm.MacVal&lt;&gt;"",_xlpm.MacVal,_xlpm.CSVVal&lt;&gt;"",_xlpm.CSVVal
)),"")</f>
        <v/>
      </c>
      <c r="R995" s="40"/>
      <c r="S995" s="40"/>
      <c r="T995" s="40"/>
      <c r="U995" s="40"/>
      <c r="V995" s="40"/>
      <c r="W995" s="40"/>
      <c r="X995" s="41" t="str">
        <f>_xlfn.LET(
    _xlpm.MacVal, _xlfn.XLOOKUP($A995, Output_Mac!$A:$A, Output_Mac!AB:AB, ""),
    _xlpm.MyAuditVal, _xlfn.XLOOKUP($A995, My_Audit!$A:$A, My_Audit!N:N, ""),
    _xlfn.TEXTJOIN(", ", TRUE, _xlpm.MyAuditVal, _xlpm.MacVal)
)</f>
        <v/>
      </c>
    </row>
    <row r="996" spans="1:24">
      <c r="A996" s="40" t="str">
        <f>_xlfn.TEXTJOIN("",TRUE,Input!$B$2,ROW(My_Audit!A995))</f>
        <v>X995</v>
      </c>
      <c r="B996" s="40" t="str">
        <f>_xlfn.TEXTJOIN("-",TRUE,"ITD",Input!$A$2,A996)</f>
        <v>ITD-X995</v>
      </c>
      <c r="C996" s="40" t="str" cm="1">
        <f t="array" ref="C996">IFERROR(_xlfn.LET(
_xlpm.CSVVal,_xlfn.XLOOKUP($A996,CSV!$A:$A,CSV!B:B,""),
_xlpm.MacVal,_xlfn.XLOOKUP($A996,Output_Mac!$A:$A,Output_Mac!B:B,""),
_xlpm.MyAuditVal,_xlfn.XLOOKUP($A996,My_Audit!$A:$A,My_Audit!B:B,""),
_xlfn.IFS(_xlpm.MyAuditVal&lt;&gt;"",UPPER(_xlpm.MyAuditVal),_xlpm.MacVal&lt;&gt;"",_xlpm.MacVal,_xlpm.CSVVal&lt;&gt;"",_xlpm.CSVVal
)),"")</f>
        <v/>
      </c>
      <c r="D996" s="40" t="str" cm="1">
        <f t="array" ref="D996">IFERROR(_xlfn.LET(
_xlpm.CSVVal,_xlfn.XLOOKUP($A996,CSV!$A:$A,CSV!D:D,""),
_xlpm.MacVal,_xlfn.XLOOKUP($A996,Output_Mac!$A:$A,Output_Mac!C:C,""),
_xlpm.MyAuditVal,_xlfn.XLOOKUP($A996,My_Audit!$A:$A,My_Audit!C:C,""),
_xlfn.IFS(_xlpm.MyAuditVal&lt;&gt;"",_xlpm.MyAuditVal,_xlpm.MacVal&lt;&gt;"",_xlpm.MacVal,_xlpm.CSVVal&lt;&gt;"",_xlpm.CSVVal
)),"")</f>
        <v/>
      </c>
      <c r="E996" s="40" t="str">
        <f>_xlfn.XLOOKUP(A996,My_Audit!A:A,My_Audit!D:D,"")</f>
        <v/>
      </c>
      <c r="F996" s="40" t="str" cm="1">
        <f t="array" ref="F996">IFERROR(_xlfn.LET(
_xlpm.CSVVal,_xlfn.XLOOKUP($A996,CSV!$A:$A,CSV!F:F,""),
_xlpm.MacVal,_xlfn.XLOOKUP($A996,Output_Mac!$A:$A,Output_Mac!E:E,""),
_xlpm.MyAuditVal,_xlfn.XLOOKUP($A996,My_Audit!$A:$A,My_Audit!E:E,""),
_xlfn.IFS(_xlpm.MyAuditVal&lt;&gt;"",_xlpm.MyAuditVal,_xlpm.MacVal&lt;&gt;"",_xlpm.MacVal,_xlpm.CSVVal&lt;&gt;"",_xlpm.CSVVal
)),"")</f>
        <v/>
      </c>
      <c r="G996" s="40" t="str" cm="1">
        <f t="array" ref="G996">IFERROR(_xlfn.LET(
_xlpm.CSVVal,_xlfn.XLOOKUP($A996,CSV!$A:$A,CSV!G:G,""),
_xlpm.MacVal,_xlfn.XLOOKUP($A996,Output_Mac!$A:$A,Output_Mac!F:F,""),
_xlpm.MyAuditVal,_xlfn.XLOOKUP($A996,My_Audit!$A:$A,My_Audit!F:F,""),
_xlfn.IFS(_xlpm.MyAuditVal&lt;&gt;"",_xlpm.MyAuditVal,_xlpm.MacVal&lt;&gt;"",_xlpm.MacVal,_xlpm.CSVVal&lt;&gt;"",PROPER(_xlpm.CSVVal)
)),"")</f>
        <v/>
      </c>
      <c r="H996" s="40" t="str" cm="1">
        <f t="array" ref="H996">IFERROR(_xlfn.LET(
_xlpm.CSVVal,_xlfn.XLOOKUP($A996,CSV!$A:$A,CSV!H:H,""),
_xlpm.MacVal,_xlfn.XLOOKUP($A996,Output_Mac!$A:$A,Output_Mac!H:H,""),
_xlpm.MyAuditVal,_xlfn.XLOOKUP($A996,My_Audit!$A:$A,My_Audit!G:G,""),
_xlfn.IFS(_xlpm.MyAuditVal&lt;&gt;"",_xlpm.MyAuditVal,_xlpm.MacVal&lt;&gt;"",_xlpm.MacVal,_xlpm.CSVVal&lt;&gt;"",_xlpm.CSVVal
)),"")</f>
        <v/>
      </c>
      <c r="I996" s="40" t="str">
        <f>_xlfn.XLOOKUP(A996,Output_Mac!A:A,Output_Mac!I:I,"")</f>
        <v/>
      </c>
      <c r="J996" s="40" t="str" cm="1">
        <f t="array" ref="J996">IFERROR(_xlfn.LET(
_xlpm.CSVVal,_xlfn.XLOOKUP($A996,CSV!$A:$A,CSV!I:I,""),
_xlpm.MacVal,_xlfn.XLOOKUP($A996,Output_Mac!$A:$A,Output_Mac!J:J,""),
_xlpm.MyAuditVal,_xlfn.XLOOKUP($A996,My_Audit!$A:$A,My_Audit!I:I,""),
_xlfn.IFS(_xlpm.MyAuditVal&lt;&gt;"",UPPER(_xlpm.MyAuditVal),_xlpm.MacVal&lt;&gt;"",_xlpm.MacVal,_xlpm.CSVVal&lt;&gt;"",_xlpm.CSVVal
)),"")</f>
        <v/>
      </c>
      <c r="K996" s="40" t="str" cm="1">
        <f t="array" ref="K996">IFERROR(_xlfn.LET(
_xlpm.CSVVal,_xlfn.XLOOKUP($A996,CSV!$A:$A,CSV!K:K,""),
_xlpm.MacVal,_xlfn.XLOOKUP($A996,Output_Mac!$A:$A,Output_Mac!K:K,""),
_xlpm.MyAuditVal,_xlfn.XLOOKUP($A996,My_Audit!$A:$A,My_Audit!J:J,""),
_xlfn.IFS(_xlpm.MyAuditVal&lt;&gt;"",UPPER(_xlpm.MyAuditVal),_xlpm.MacVal&lt;&gt;"",_xlpm.MacVal,_xlpm.CSVVal&lt;&gt;"",_xlpm.CSVVal
)),"")</f>
        <v/>
      </c>
      <c r="L996" s="40" t="str" cm="1">
        <f t="array" ref="L996">IFERROR(_xlfn.LET(
_xlpm.CSVVal,_xlfn.XLOOKUP($A996,CSV!$A:$A,CSV!P:P,""),
_xlpm.MacVal,_xlfn.XLOOKUP($A996,Output_Mac!$A:$A,Output_Mac!L:L,""),
_xlpm.MyAuditVal,_xlfn.XLOOKUP($A996,My_Audit!$A:$A,My_Audit!K:K,""),
_xlfn.IFS(_xlpm.MyAuditVal&lt;&gt;"",UPPER(_xlpm.MyAuditVal),_xlpm.MacVal&lt;&gt;"",_xlpm.MacVal,_xlpm.CSVVal&lt;&gt;"",_xlpm.CSVVal
)),"")</f>
        <v/>
      </c>
      <c r="M996" s="40" t="str" cm="1">
        <f t="array" ref="M996">IFERROR(_xlfn.LET(
_xlpm.CSVVal,_xlfn.XLOOKUP($A996,CSV!$A:$A,CSV!Q:Q,""),
_xlpm.MacVal,_xlfn.XLOOKUP($A996,Output_Mac!$A:$A,Output_Mac!M:M,""),
_xlpm.MyAuditVal,_xlfn.XLOOKUP($A996,My_Audit!$A:$A,My_Audit!L:L,""),
_xlfn.IFS(_xlpm.MyAuditVal&lt;&gt;"",UPPER(_xlpm.MyAuditVal),_xlpm.MacVal&lt;&gt;"",_xlpm.MacVal,_xlpm.CSVVal&lt;&gt;"",_xlpm.CSVVal
)),"")</f>
        <v/>
      </c>
      <c r="N996" s="40"/>
      <c r="O996" s="40" t="str">
        <f>_xlfn.LET(
    _xlpm.CSVVal, _xlfn.XLOOKUP($A996, CSV!$A:$A, CSV!AA:AA, ""),
    _xlpm.MacVal, _xlfn.XLOOKUP($A996, Output_Mac!$A:$A, Output_Mac!S:S, ""),
    _xlpm.MyAuditVal, _xlfn.XLOOKUP($A996, My_Audit!$A:$A, My_Audit!P:P, ""),
    _xlfn.TEXTJOIN(", ", TRUE, _xlpm.MyAuditVal, _xlpm.MacVal, _xlpm.CSVVal)
)</f>
        <v/>
      </c>
      <c r="P996" s="40" t="str" cm="1">
        <f t="array" ref="P996">IFERROR(_xlfn.LET(
_xlpm.CSVVal,_xlfn.XLOOKUP($A996,CSV!$A:$A,CSV!AB:AB,""),
_xlpm.MacVal,_xlfn.XLOOKUP($A996,Output_Mac!$A:$A,Output_Mac!T:T,""),
_xlpm.MyAuditVal,_xlfn.XLOOKUP($A996,My_Audit!$A:$A,My_Audit!Q:Q,""),
_xlfn.IFS(_xlpm.MyAuditVal&lt;&gt;"",UPPER(_xlpm.MyAuditVal),_xlpm.MacVal&lt;&gt;"",_xlpm.MacVal,_xlpm.CSVVal&lt;&gt;"",_xlpm.CSVVal
)),"No")</f>
        <v>No</v>
      </c>
      <c r="Q996" s="40" t="str" cm="1">
        <f t="array" ref="Q996">IFERROR(_xlfn.LET(
_xlpm.CSVVal,_xlfn.XLOOKUP($A996,CSV!$A:$A,CSV!AC:AC,""),
_xlpm.MacVal,_xlfn.XLOOKUP($A996,Output_Mac!$A:$A,Output_Mac!U:U,""),
_xlpm.MyAuditVal,_xlfn.XLOOKUP($A996,My_Audit!$A:$A,My_Audit!R:R,""),
_xlfn.IFS(_xlpm.MyAuditVal&lt;&gt;"",UPPER(_xlpm.MyAuditVal),_xlpm.MacVal&lt;&gt;"",_xlpm.MacVal,_xlpm.CSVVal&lt;&gt;"",_xlpm.CSVVal
)),"")</f>
        <v/>
      </c>
      <c r="R996" s="40"/>
      <c r="S996" s="40"/>
      <c r="T996" s="40"/>
      <c r="U996" s="40"/>
      <c r="V996" s="40"/>
      <c r="W996" s="40"/>
      <c r="X996" s="41" t="str">
        <f>_xlfn.LET(
    _xlpm.MacVal, _xlfn.XLOOKUP($A996, Output_Mac!$A:$A, Output_Mac!AB:AB, ""),
    _xlpm.MyAuditVal, _xlfn.XLOOKUP($A996, My_Audit!$A:$A, My_Audit!N:N, ""),
    _xlfn.TEXTJOIN(", ", TRUE, _xlpm.MyAuditVal, _xlpm.MacVal)
)</f>
        <v/>
      </c>
    </row>
    <row r="997" spans="1:24">
      <c r="A997" s="40" t="str">
        <f>_xlfn.TEXTJOIN("",TRUE,Input!$B$2,ROW(My_Audit!A996))</f>
        <v>X996</v>
      </c>
      <c r="B997" s="40" t="str">
        <f>_xlfn.TEXTJOIN("-",TRUE,"ITD",Input!$A$2,A997)</f>
        <v>ITD-X996</v>
      </c>
      <c r="C997" s="40" t="str" cm="1">
        <f t="array" ref="C997">IFERROR(_xlfn.LET(
_xlpm.CSVVal,_xlfn.XLOOKUP($A997,CSV!$A:$A,CSV!B:B,""),
_xlpm.MacVal,_xlfn.XLOOKUP($A997,Output_Mac!$A:$A,Output_Mac!B:B,""),
_xlpm.MyAuditVal,_xlfn.XLOOKUP($A997,My_Audit!$A:$A,My_Audit!B:B,""),
_xlfn.IFS(_xlpm.MyAuditVal&lt;&gt;"",UPPER(_xlpm.MyAuditVal),_xlpm.MacVal&lt;&gt;"",_xlpm.MacVal,_xlpm.CSVVal&lt;&gt;"",_xlpm.CSVVal
)),"")</f>
        <v/>
      </c>
      <c r="D997" s="40" t="str" cm="1">
        <f t="array" ref="D997">IFERROR(_xlfn.LET(
_xlpm.CSVVal,_xlfn.XLOOKUP($A997,CSV!$A:$A,CSV!D:D,""),
_xlpm.MacVal,_xlfn.XLOOKUP($A997,Output_Mac!$A:$A,Output_Mac!C:C,""),
_xlpm.MyAuditVal,_xlfn.XLOOKUP($A997,My_Audit!$A:$A,My_Audit!C:C,""),
_xlfn.IFS(_xlpm.MyAuditVal&lt;&gt;"",_xlpm.MyAuditVal,_xlpm.MacVal&lt;&gt;"",_xlpm.MacVal,_xlpm.CSVVal&lt;&gt;"",_xlpm.CSVVal
)),"")</f>
        <v/>
      </c>
      <c r="E997" s="40" t="str">
        <f>_xlfn.XLOOKUP(A997,My_Audit!A:A,My_Audit!D:D,"")</f>
        <v/>
      </c>
      <c r="F997" s="40" t="str" cm="1">
        <f t="array" ref="F997">IFERROR(_xlfn.LET(
_xlpm.CSVVal,_xlfn.XLOOKUP($A997,CSV!$A:$A,CSV!F:F,""),
_xlpm.MacVal,_xlfn.XLOOKUP($A997,Output_Mac!$A:$A,Output_Mac!E:E,""),
_xlpm.MyAuditVal,_xlfn.XLOOKUP($A997,My_Audit!$A:$A,My_Audit!E:E,""),
_xlfn.IFS(_xlpm.MyAuditVal&lt;&gt;"",_xlpm.MyAuditVal,_xlpm.MacVal&lt;&gt;"",_xlpm.MacVal,_xlpm.CSVVal&lt;&gt;"",_xlpm.CSVVal
)),"")</f>
        <v/>
      </c>
      <c r="G997" s="40" t="str" cm="1">
        <f t="array" ref="G997">IFERROR(_xlfn.LET(
_xlpm.CSVVal,_xlfn.XLOOKUP($A997,CSV!$A:$A,CSV!G:G,""),
_xlpm.MacVal,_xlfn.XLOOKUP($A997,Output_Mac!$A:$A,Output_Mac!F:F,""),
_xlpm.MyAuditVal,_xlfn.XLOOKUP($A997,My_Audit!$A:$A,My_Audit!F:F,""),
_xlfn.IFS(_xlpm.MyAuditVal&lt;&gt;"",_xlpm.MyAuditVal,_xlpm.MacVal&lt;&gt;"",_xlpm.MacVal,_xlpm.CSVVal&lt;&gt;"",PROPER(_xlpm.CSVVal)
)),"")</f>
        <v/>
      </c>
      <c r="H997" s="40" t="str" cm="1">
        <f t="array" ref="H997">IFERROR(_xlfn.LET(
_xlpm.CSVVal,_xlfn.XLOOKUP($A997,CSV!$A:$A,CSV!H:H,""),
_xlpm.MacVal,_xlfn.XLOOKUP($A997,Output_Mac!$A:$A,Output_Mac!H:H,""),
_xlpm.MyAuditVal,_xlfn.XLOOKUP($A997,My_Audit!$A:$A,My_Audit!G:G,""),
_xlfn.IFS(_xlpm.MyAuditVal&lt;&gt;"",_xlpm.MyAuditVal,_xlpm.MacVal&lt;&gt;"",_xlpm.MacVal,_xlpm.CSVVal&lt;&gt;"",_xlpm.CSVVal
)),"")</f>
        <v/>
      </c>
      <c r="I997" s="40" t="str">
        <f>_xlfn.XLOOKUP(A997,Output_Mac!A:A,Output_Mac!I:I,"")</f>
        <v/>
      </c>
      <c r="J997" s="40" t="str" cm="1">
        <f t="array" ref="J997">IFERROR(_xlfn.LET(
_xlpm.CSVVal,_xlfn.XLOOKUP($A997,CSV!$A:$A,CSV!I:I,""),
_xlpm.MacVal,_xlfn.XLOOKUP($A997,Output_Mac!$A:$A,Output_Mac!J:J,""),
_xlpm.MyAuditVal,_xlfn.XLOOKUP($A997,My_Audit!$A:$A,My_Audit!I:I,""),
_xlfn.IFS(_xlpm.MyAuditVal&lt;&gt;"",UPPER(_xlpm.MyAuditVal),_xlpm.MacVal&lt;&gt;"",_xlpm.MacVal,_xlpm.CSVVal&lt;&gt;"",_xlpm.CSVVal
)),"")</f>
        <v/>
      </c>
      <c r="K997" s="40" t="str" cm="1">
        <f t="array" ref="K997">IFERROR(_xlfn.LET(
_xlpm.CSVVal,_xlfn.XLOOKUP($A997,CSV!$A:$A,CSV!K:K,""),
_xlpm.MacVal,_xlfn.XLOOKUP($A997,Output_Mac!$A:$A,Output_Mac!K:K,""),
_xlpm.MyAuditVal,_xlfn.XLOOKUP($A997,My_Audit!$A:$A,My_Audit!J:J,""),
_xlfn.IFS(_xlpm.MyAuditVal&lt;&gt;"",UPPER(_xlpm.MyAuditVal),_xlpm.MacVal&lt;&gt;"",_xlpm.MacVal,_xlpm.CSVVal&lt;&gt;"",_xlpm.CSVVal
)),"")</f>
        <v/>
      </c>
      <c r="L997" s="40" t="str" cm="1">
        <f t="array" ref="L997">IFERROR(_xlfn.LET(
_xlpm.CSVVal,_xlfn.XLOOKUP($A997,CSV!$A:$A,CSV!P:P,""),
_xlpm.MacVal,_xlfn.XLOOKUP($A997,Output_Mac!$A:$A,Output_Mac!L:L,""),
_xlpm.MyAuditVal,_xlfn.XLOOKUP($A997,My_Audit!$A:$A,My_Audit!K:K,""),
_xlfn.IFS(_xlpm.MyAuditVal&lt;&gt;"",UPPER(_xlpm.MyAuditVal),_xlpm.MacVal&lt;&gt;"",_xlpm.MacVal,_xlpm.CSVVal&lt;&gt;"",_xlpm.CSVVal
)),"")</f>
        <v/>
      </c>
      <c r="M997" s="40" t="str" cm="1">
        <f t="array" ref="M997">IFERROR(_xlfn.LET(
_xlpm.CSVVal,_xlfn.XLOOKUP($A997,CSV!$A:$A,CSV!Q:Q,""),
_xlpm.MacVal,_xlfn.XLOOKUP($A997,Output_Mac!$A:$A,Output_Mac!M:M,""),
_xlpm.MyAuditVal,_xlfn.XLOOKUP($A997,My_Audit!$A:$A,My_Audit!L:L,""),
_xlfn.IFS(_xlpm.MyAuditVal&lt;&gt;"",UPPER(_xlpm.MyAuditVal),_xlpm.MacVal&lt;&gt;"",_xlpm.MacVal,_xlpm.CSVVal&lt;&gt;"",_xlpm.CSVVal
)),"")</f>
        <v/>
      </c>
      <c r="N997" s="40"/>
      <c r="O997" s="40" t="str">
        <f>_xlfn.LET(
    _xlpm.CSVVal, _xlfn.XLOOKUP($A997, CSV!$A:$A, CSV!AA:AA, ""),
    _xlpm.MacVal, _xlfn.XLOOKUP($A997, Output_Mac!$A:$A, Output_Mac!S:S, ""),
    _xlpm.MyAuditVal, _xlfn.XLOOKUP($A997, My_Audit!$A:$A, My_Audit!P:P, ""),
    _xlfn.TEXTJOIN(", ", TRUE, _xlpm.MyAuditVal, _xlpm.MacVal, _xlpm.CSVVal)
)</f>
        <v/>
      </c>
      <c r="P997" s="40" t="str" cm="1">
        <f t="array" ref="P997">IFERROR(_xlfn.LET(
_xlpm.CSVVal,_xlfn.XLOOKUP($A997,CSV!$A:$A,CSV!AB:AB,""),
_xlpm.MacVal,_xlfn.XLOOKUP($A997,Output_Mac!$A:$A,Output_Mac!T:T,""),
_xlpm.MyAuditVal,_xlfn.XLOOKUP($A997,My_Audit!$A:$A,My_Audit!Q:Q,""),
_xlfn.IFS(_xlpm.MyAuditVal&lt;&gt;"",UPPER(_xlpm.MyAuditVal),_xlpm.MacVal&lt;&gt;"",_xlpm.MacVal,_xlpm.CSVVal&lt;&gt;"",_xlpm.CSVVal
)),"No")</f>
        <v>No</v>
      </c>
      <c r="Q997" s="40" t="str" cm="1">
        <f t="array" ref="Q997">IFERROR(_xlfn.LET(
_xlpm.CSVVal,_xlfn.XLOOKUP($A997,CSV!$A:$A,CSV!AC:AC,""),
_xlpm.MacVal,_xlfn.XLOOKUP($A997,Output_Mac!$A:$A,Output_Mac!U:U,""),
_xlpm.MyAuditVal,_xlfn.XLOOKUP($A997,My_Audit!$A:$A,My_Audit!R:R,""),
_xlfn.IFS(_xlpm.MyAuditVal&lt;&gt;"",UPPER(_xlpm.MyAuditVal),_xlpm.MacVal&lt;&gt;"",_xlpm.MacVal,_xlpm.CSVVal&lt;&gt;"",_xlpm.CSVVal
)),"")</f>
        <v/>
      </c>
      <c r="R997" s="40"/>
      <c r="S997" s="40"/>
      <c r="T997" s="40"/>
      <c r="U997" s="40"/>
      <c r="V997" s="40"/>
      <c r="W997" s="40"/>
      <c r="X997" s="41" t="str">
        <f>_xlfn.LET(
    _xlpm.MacVal, _xlfn.XLOOKUP($A997, Output_Mac!$A:$A, Output_Mac!AB:AB, ""),
    _xlpm.MyAuditVal, _xlfn.XLOOKUP($A997, My_Audit!$A:$A, My_Audit!N:N, ""),
    _xlfn.TEXTJOIN(", ", TRUE, _xlpm.MyAuditVal, _xlpm.MacVal)
)</f>
        <v/>
      </c>
    </row>
    <row r="998" spans="1:24">
      <c r="A998" s="40" t="str">
        <f>_xlfn.TEXTJOIN("",TRUE,Input!$B$2,ROW(My_Audit!A997))</f>
        <v>X997</v>
      </c>
      <c r="B998" s="40" t="str">
        <f>_xlfn.TEXTJOIN("-",TRUE,"ITD",Input!$A$2,A998)</f>
        <v>ITD-X997</v>
      </c>
      <c r="C998" s="40" t="str" cm="1">
        <f t="array" ref="C998">IFERROR(_xlfn.LET(
_xlpm.CSVVal,_xlfn.XLOOKUP($A998,CSV!$A:$A,CSV!B:B,""),
_xlpm.MacVal,_xlfn.XLOOKUP($A998,Output_Mac!$A:$A,Output_Mac!B:B,""),
_xlpm.MyAuditVal,_xlfn.XLOOKUP($A998,My_Audit!$A:$A,My_Audit!B:B,""),
_xlfn.IFS(_xlpm.MyAuditVal&lt;&gt;"",UPPER(_xlpm.MyAuditVal),_xlpm.MacVal&lt;&gt;"",_xlpm.MacVal,_xlpm.CSVVal&lt;&gt;"",_xlpm.CSVVal
)),"")</f>
        <v/>
      </c>
      <c r="D998" s="40" t="str" cm="1">
        <f t="array" ref="D998">IFERROR(_xlfn.LET(
_xlpm.CSVVal,_xlfn.XLOOKUP($A998,CSV!$A:$A,CSV!D:D,""),
_xlpm.MacVal,_xlfn.XLOOKUP($A998,Output_Mac!$A:$A,Output_Mac!C:C,""),
_xlpm.MyAuditVal,_xlfn.XLOOKUP($A998,My_Audit!$A:$A,My_Audit!C:C,""),
_xlfn.IFS(_xlpm.MyAuditVal&lt;&gt;"",_xlpm.MyAuditVal,_xlpm.MacVal&lt;&gt;"",_xlpm.MacVal,_xlpm.CSVVal&lt;&gt;"",_xlpm.CSVVal
)),"")</f>
        <v/>
      </c>
      <c r="E998" s="40" t="str">
        <f>_xlfn.XLOOKUP(A998,My_Audit!A:A,My_Audit!D:D,"")</f>
        <v/>
      </c>
      <c r="F998" s="40" t="str" cm="1">
        <f t="array" ref="F998">IFERROR(_xlfn.LET(
_xlpm.CSVVal,_xlfn.XLOOKUP($A998,CSV!$A:$A,CSV!F:F,""),
_xlpm.MacVal,_xlfn.XLOOKUP($A998,Output_Mac!$A:$A,Output_Mac!E:E,""),
_xlpm.MyAuditVal,_xlfn.XLOOKUP($A998,My_Audit!$A:$A,My_Audit!E:E,""),
_xlfn.IFS(_xlpm.MyAuditVal&lt;&gt;"",_xlpm.MyAuditVal,_xlpm.MacVal&lt;&gt;"",_xlpm.MacVal,_xlpm.CSVVal&lt;&gt;"",_xlpm.CSVVal
)),"")</f>
        <v/>
      </c>
      <c r="G998" s="40" t="str" cm="1">
        <f t="array" ref="G998">IFERROR(_xlfn.LET(
_xlpm.CSVVal,_xlfn.XLOOKUP($A998,CSV!$A:$A,CSV!G:G,""),
_xlpm.MacVal,_xlfn.XLOOKUP($A998,Output_Mac!$A:$A,Output_Mac!F:F,""),
_xlpm.MyAuditVal,_xlfn.XLOOKUP($A998,My_Audit!$A:$A,My_Audit!F:F,""),
_xlfn.IFS(_xlpm.MyAuditVal&lt;&gt;"",_xlpm.MyAuditVal,_xlpm.MacVal&lt;&gt;"",_xlpm.MacVal,_xlpm.CSVVal&lt;&gt;"",PROPER(_xlpm.CSVVal)
)),"")</f>
        <v/>
      </c>
      <c r="H998" s="40" t="str" cm="1">
        <f t="array" ref="H998">IFERROR(_xlfn.LET(
_xlpm.CSVVal,_xlfn.XLOOKUP($A998,CSV!$A:$A,CSV!H:H,""),
_xlpm.MacVal,_xlfn.XLOOKUP($A998,Output_Mac!$A:$A,Output_Mac!H:H,""),
_xlpm.MyAuditVal,_xlfn.XLOOKUP($A998,My_Audit!$A:$A,My_Audit!G:G,""),
_xlfn.IFS(_xlpm.MyAuditVal&lt;&gt;"",_xlpm.MyAuditVal,_xlpm.MacVal&lt;&gt;"",_xlpm.MacVal,_xlpm.CSVVal&lt;&gt;"",_xlpm.CSVVal
)),"")</f>
        <v/>
      </c>
      <c r="I998" s="40" t="str">
        <f>_xlfn.XLOOKUP(A998,Output_Mac!A:A,Output_Mac!I:I,"")</f>
        <v/>
      </c>
      <c r="J998" s="40" t="str" cm="1">
        <f t="array" ref="J998">IFERROR(_xlfn.LET(
_xlpm.CSVVal,_xlfn.XLOOKUP($A998,CSV!$A:$A,CSV!I:I,""),
_xlpm.MacVal,_xlfn.XLOOKUP($A998,Output_Mac!$A:$A,Output_Mac!J:J,""),
_xlpm.MyAuditVal,_xlfn.XLOOKUP($A998,My_Audit!$A:$A,My_Audit!I:I,""),
_xlfn.IFS(_xlpm.MyAuditVal&lt;&gt;"",UPPER(_xlpm.MyAuditVal),_xlpm.MacVal&lt;&gt;"",_xlpm.MacVal,_xlpm.CSVVal&lt;&gt;"",_xlpm.CSVVal
)),"")</f>
        <v/>
      </c>
      <c r="K998" s="40" t="str" cm="1">
        <f t="array" ref="K998">IFERROR(_xlfn.LET(
_xlpm.CSVVal,_xlfn.XLOOKUP($A998,CSV!$A:$A,CSV!K:K,""),
_xlpm.MacVal,_xlfn.XLOOKUP($A998,Output_Mac!$A:$A,Output_Mac!K:K,""),
_xlpm.MyAuditVal,_xlfn.XLOOKUP($A998,My_Audit!$A:$A,My_Audit!J:J,""),
_xlfn.IFS(_xlpm.MyAuditVal&lt;&gt;"",UPPER(_xlpm.MyAuditVal),_xlpm.MacVal&lt;&gt;"",_xlpm.MacVal,_xlpm.CSVVal&lt;&gt;"",_xlpm.CSVVal
)),"")</f>
        <v/>
      </c>
      <c r="L998" s="40" t="str" cm="1">
        <f t="array" ref="L998">IFERROR(_xlfn.LET(
_xlpm.CSVVal,_xlfn.XLOOKUP($A998,CSV!$A:$A,CSV!P:P,""),
_xlpm.MacVal,_xlfn.XLOOKUP($A998,Output_Mac!$A:$A,Output_Mac!L:L,""),
_xlpm.MyAuditVal,_xlfn.XLOOKUP($A998,My_Audit!$A:$A,My_Audit!K:K,""),
_xlfn.IFS(_xlpm.MyAuditVal&lt;&gt;"",UPPER(_xlpm.MyAuditVal),_xlpm.MacVal&lt;&gt;"",_xlpm.MacVal,_xlpm.CSVVal&lt;&gt;"",_xlpm.CSVVal
)),"")</f>
        <v/>
      </c>
      <c r="M998" s="40" t="str" cm="1">
        <f t="array" ref="M998">IFERROR(_xlfn.LET(
_xlpm.CSVVal,_xlfn.XLOOKUP($A998,CSV!$A:$A,CSV!Q:Q,""),
_xlpm.MacVal,_xlfn.XLOOKUP($A998,Output_Mac!$A:$A,Output_Mac!M:M,""),
_xlpm.MyAuditVal,_xlfn.XLOOKUP($A998,My_Audit!$A:$A,My_Audit!L:L,""),
_xlfn.IFS(_xlpm.MyAuditVal&lt;&gt;"",UPPER(_xlpm.MyAuditVal),_xlpm.MacVal&lt;&gt;"",_xlpm.MacVal,_xlpm.CSVVal&lt;&gt;"",_xlpm.CSVVal
)),"")</f>
        <v/>
      </c>
      <c r="N998" s="40"/>
      <c r="O998" s="40" t="str">
        <f>_xlfn.LET(
    _xlpm.CSVVal, _xlfn.XLOOKUP($A998, CSV!$A:$A, CSV!AA:AA, ""),
    _xlpm.MacVal, _xlfn.XLOOKUP($A998, Output_Mac!$A:$A, Output_Mac!S:S, ""),
    _xlpm.MyAuditVal, _xlfn.XLOOKUP($A998, My_Audit!$A:$A, My_Audit!P:P, ""),
    _xlfn.TEXTJOIN(", ", TRUE, _xlpm.MyAuditVal, _xlpm.MacVal, _xlpm.CSVVal)
)</f>
        <v/>
      </c>
      <c r="P998" s="40" t="str" cm="1">
        <f t="array" ref="P998">IFERROR(_xlfn.LET(
_xlpm.CSVVal,_xlfn.XLOOKUP($A998,CSV!$A:$A,CSV!AB:AB,""),
_xlpm.MacVal,_xlfn.XLOOKUP($A998,Output_Mac!$A:$A,Output_Mac!T:T,""),
_xlpm.MyAuditVal,_xlfn.XLOOKUP($A998,My_Audit!$A:$A,My_Audit!Q:Q,""),
_xlfn.IFS(_xlpm.MyAuditVal&lt;&gt;"",UPPER(_xlpm.MyAuditVal),_xlpm.MacVal&lt;&gt;"",_xlpm.MacVal,_xlpm.CSVVal&lt;&gt;"",_xlpm.CSVVal
)),"No")</f>
        <v>No</v>
      </c>
      <c r="Q998" s="40" t="str" cm="1">
        <f t="array" ref="Q998">IFERROR(_xlfn.LET(
_xlpm.CSVVal,_xlfn.XLOOKUP($A998,CSV!$A:$A,CSV!AC:AC,""),
_xlpm.MacVal,_xlfn.XLOOKUP($A998,Output_Mac!$A:$A,Output_Mac!U:U,""),
_xlpm.MyAuditVal,_xlfn.XLOOKUP($A998,My_Audit!$A:$A,My_Audit!R:R,""),
_xlfn.IFS(_xlpm.MyAuditVal&lt;&gt;"",UPPER(_xlpm.MyAuditVal),_xlpm.MacVal&lt;&gt;"",_xlpm.MacVal,_xlpm.CSVVal&lt;&gt;"",_xlpm.CSVVal
)),"")</f>
        <v/>
      </c>
      <c r="R998" s="40"/>
      <c r="S998" s="40"/>
      <c r="T998" s="40"/>
      <c r="U998" s="40"/>
      <c r="V998" s="40"/>
      <c r="W998" s="40"/>
      <c r="X998" s="41" t="str">
        <f>_xlfn.LET(
    _xlpm.MacVal, _xlfn.XLOOKUP($A998, Output_Mac!$A:$A, Output_Mac!AB:AB, ""),
    _xlpm.MyAuditVal, _xlfn.XLOOKUP($A998, My_Audit!$A:$A, My_Audit!N:N, ""),
    _xlfn.TEXTJOIN(", ", TRUE, _xlpm.MyAuditVal, _xlpm.MacVal)
)</f>
        <v/>
      </c>
    </row>
    <row r="999" spans="1:24">
      <c r="A999" s="40" t="str">
        <f>_xlfn.TEXTJOIN("",TRUE,Input!$B$2,ROW(My_Audit!A998))</f>
        <v>X998</v>
      </c>
      <c r="B999" s="40" t="str">
        <f>_xlfn.TEXTJOIN("-",TRUE,"ITD",Input!$A$2,A999)</f>
        <v>ITD-X998</v>
      </c>
      <c r="C999" s="40" t="str" cm="1">
        <f t="array" ref="C999">IFERROR(_xlfn.LET(
_xlpm.CSVVal,_xlfn.XLOOKUP($A999,CSV!$A:$A,CSV!B:B,""),
_xlpm.MacVal,_xlfn.XLOOKUP($A999,Output_Mac!$A:$A,Output_Mac!B:B,""),
_xlpm.MyAuditVal,_xlfn.XLOOKUP($A999,My_Audit!$A:$A,My_Audit!B:B,""),
_xlfn.IFS(_xlpm.MyAuditVal&lt;&gt;"",UPPER(_xlpm.MyAuditVal),_xlpm.MacVal&lt;&gt;"",_xlpm.MacVal,_xlpm.CSVVal&lt;&gt;"",_xlpm.CSVVal
)),"")</f>
        <v/>
      </c>
      <c r="D999" s="40" t="str" cm="1">
        <f t="array" ref="D999">IFERROR(_xlfn.LET(
_xlpm.CSVVal,_xlfn.XLOOKUP($A999,CSV!$A:$A,CSV!D:D,""),
_xlpm.MacVal,_xlfn.XLOOKUP($A999,Output_Mac!$A:$A,Output_Mac!C:C,""),
_xlpm.MyAuditVal,_xlfn.XLOOKUP($A999,My_Audit!$A:$A,My_Audit!C:C,""),
_xlfn.IFS(_xlpm.MyAuditVal&lt;&gt;"",_xlpm.MyAuditVal,_xlpm.MacVal&lt;&gt;"",_xlpm.MacVal,_xlpm.CSVVal&lt;&gt;"",_xlpm.CSVVal
)),"")</f>
        <v/>
      </c>
      <c r="E999" s="40" t="str">
        <f>_xlfn.XLOOKUP(A999,My_Audit!A:A,My_Audit!D:D,"")</f>
        <v/>
      </c>
      <c r="F999" s="40" t="str" cm="1">
        <f t="array" ref="F999">IFERROR(_xlfn.LET(
_xlpm.CSVVal,_xlfn.XLOOKUP($A999,CSV!$A:$A,CSV!F:F,""),
_xlpm.MacVal,_xlfn.XLOOKUP($A999,Output_Mac!$A:$A,Output_Mac!E:E,""),
_xlpm.MyAuditVal,_xlfn.XLOOKUP($A999,My_Audit!$A:$A,My_Audit!E:E,""),
_xlfn.IFS(_xlpm.MyAuditVal&lt;&gt;"",_xlpm.MyAuditVal,_xlpm.MacVal&lt;&gt;"",_xlpm.MacVal,_xlpm.CSVVal&lt;&gt;"",_xlpm.CSVVal
)),"")</f>
        <v/>
      </c>
      <c r="G999" s="40" t="str" cm="1">
        <f t="array" ref="G999">IFERROR(_xlfn.LET(
_xlpm.CSVVal,_xlfn.XLOOKUP($A999,CSV!$A:$A,CSV!G:G,""),
_xlpm.MacVal,_xlfn.XLOOKUP($A999,Output_Mac!$A:$A,Output_Mac!F:F,""),
_xlpm.MyAuditVal,_xlfn.XLOOKUP($A999,My_Audit!$A:$A,My_Audit!F:F,""),
_xlfn.IFS(_xlpm.MyAuditVal&lt;&gt;"",_xlpm.MyAuditVal,_xlpm.MacVal&lt;&gt;"",_xlpm.MacVal,_xlpm.CSVVal&lt;&gt;"",PROPER(_xlpm.CSVVal)
)),"")</f>
        <v/>
      </c>
      <c r="H999" s="40" t="str" cm="1">
        <f t="array" ref="H999">IFERROR(_xlfn.LET(
_xlpm.CSVVal,_xlfn.XLOOKUP($A999,CSV!$A:$A,CSV!H:H,""),
_xlpm.MacVal,_xlfn.XLOOKUP($A999,Output_Mac!$A:$A,Output_Mac!H:H,""),
_xlpm.MyAuditVal,_xlfn.XLOOKUP($A999,My_Audit!$A:$A,My_Audit!G:G,""),
_xlfn.IFS(_xlpm.MyAuditVal&lt;&gt;"",_xlpm.MyAuditVal,_xlpm.MacVal&lt;&gt;"",_xlpm.MacVal,_xlpm.CSVVal&lt;&gt;"",_xlpm.CSVVal
)),"")</f>
        <v/>
      </c>
      <c r="I999" s="40" t="str">
        <f>_xlfn.XLOOKUP(A999,Output_Mac!A:A,Output_Mac!I:I,"")</f>
        <v/>
      </c>
      <c r="J999" s="40" t="str" cm="1">
        <f t="array" ref="J999">IFERROR(_xlfn.LET(
_xlpm.CSVVal,_xlfn.XLOOKUP($A999,CSV!$A:$A,CSV!I:I,""),
_xlpm.MacVal,_xlfn.XLOOKUP($A999,Output_Mac!$A:$A,Output_Mac!J:J,""),
_xlpm.MyAuditVal,_xlfn.XLOOKUP($A999,My_Audit!$A:$A,My_Audit!I:I,""),
_xlfn.IFS(_xlpm.MyAuditVal&lt;&gt;"",UPPER(_xlpm.MyAuditVal),_xlpm.MacVal&lt;&gt;"",_xlpm.MacVal,_xlpm.CSVVal&lt;&gt;"",_xlpm.CSVVal
)),"")</f>
        <v/>
      </c>
      <c r="K999" s="40" t="str" cm="1">
        <f t="array" ref="K999">IFERROR(_xlfn.LET(
_xlpm.CSVVal,_xlfn.XLOOKUP($A999,CSV!$A:$A,CSV!K:K,""),
_xlpm.MacVal,_xlfn.XLOOKUP($A999,Output_Mac!$A:$A,Output_Mac!K:K,""),
_xlpm.MyAuditVal,_xlfn.XLOOKUP($A999,My_Audit!$A:$A,My_Audit!J:J,""),
_xlfn.IFS(_xlpm.MyAuditVal&lt;&gt;"",UPPER(_xlpm.MyAuditVal),_xlpm.MacVal&lt;&gt;"",_xlpm.MacVal,_xlpm.CSVVal&lt;&gt;"",_xlpm.CSVVal
)),"")</f>
        <v/>
      </c>
      <c r="L999" s="40" t="str" cm="1">
        <f t="array" ref="L999">IFERROR(_xlfn.LET(
_xlpm.CSVVal,_xlfn.XLOOKUP($A999,CSV!$A:$A,CSV!P:P,""),
_xlpm.MacVal,_xlfn.XLOOKUP($A999,Output_Mac!$A:$A,Output_Mac!L:L,""),
_xlpm.MyAuditVal,_xlfn.XLOOKUP($A999,My_Audit!$A:$A,My_Audit!K:K,""),
_xlfn.IFS(_xlpm.MyAuditVal&lt;&gt;"",UPPER(_xlpm.MyAuditVal),_xlpm.MacVal&lt;&gt;"",_xlpm.MacVal,_xlpm.CSVVal&lt;&gt;"",_xlpm.CSVVal
)),"")</f>
        <v/>
      </c>
      <c r="M999" s="40" t="str" cm="1">
        <f t="array" ref="M999">IFERROR(_xlfn.LET(
_xlpm.CSVVal,_xlfn.XLOOKUP($A999,CSV!$A:$A,CSV!Q:Q,""),
_xlpm.MacVal,_xlfn.XLOOKUP($A999,Output_Mac!$A:$A,Output_Mac!M:M,""),
_xlpm.MyAuditVal,_xlfn.XLOOKUP($A999,My_Audit!$A:$A,My_Audit!L:L,""),
_xlfn.IFS(_xlpm.MyAuditVal&lt;&gt;"",UPPER(_xlpm.MyAuditVal),_xlpm.MacVal&lt;&gt;"",_xlpm.MacVal,_xlpm.CSVVal&lt;&gt;"",_xlpm.CSVVal
)),"")</f>
        <v/>
      </c>
      <c r="N999" s="40"/>
      <c r="O999" s="40" t="str">
        <f>_xlfn.LET(
    _xlpm.CSVVal, _xlfn.XLOOKUP($A999, CSV!$A:$A, CSV!AA:AA, ""),
    _xlpm.MacVal, _xlfn.XLOOKUP($A999, Output_Mac!$A:$A, Output_Mac!S:S, ""),
    _xlpm.MyAuditVal, _xlfn.XLOOKUP($A999, My_Audit!$A:$A, My_Audit!P:P, ""),
    _xlfn.TEXTJOIN(", ", TRUE, _xlpm.MyAuditVal, _xlpm.MacVal, _xlpm.CSVVal)
)</f>
        <v/>
      </c>
      <c r="P999" s="40" t="str" cm="1">
        <f t="array" ref="P999">IFERROR(_xlfn.LET(
_xlpm.CSVVal,_xlfn.XLOOKUP($A999,CSV!$A:$A,CSV!AB:AB,""),
_xlpm.MacVal,_xlfn.XLOOKUP($A999,Output_Mac!$A:$A,Output_Mac!T:T,""),
_xlpm.MyAuditVal,_xlfn.XLOOKUP($A999,My_Audit!$A:$A,My_Audit!Q:Q,""),
_xlfn.IFS(_xlpm.MyAuditVal&lt;&gt;"",UPPER(_xlpm.MyAuditVal),_xlpm.MacVal&lt;&gt;"",_xlpm.MacVal,_xlpm.CSVVal&lt;&gt;"",_xlpm.CSVVal
)),"No")</f>
        <v>No</v>
      </c>
      <c r="Q999" s="40" t="str" cm="1">
        <f t="array" ref="Q999">IFERROR(_xlfn.LET(
_xlpm.CSVVal,_xlfn.XLOOKUP($A999,CSV!$A:$A,CSV!AC:AC,""),
_xlpm.MacVal,_xlfn.XLOOKUP($A999,Output_Mac!$A:$A,Output_Mac!U:U,""),
_xlpm.MyAuditVal,_xlfn.XLOOKUP($A999,My_Audit!$A:$A,My_Audit!R:R,""),
_xlfn.IFS(_xlpm.MyAuditVal&lt;&gt;"",UPPER(_xlpm.MyAuditVal),_xlpm.MacVal&lt;&gt;"",_xlpm.MacVal,_xlpm.CSVVal&lt;&gt;"",_xlpm.CSVVal
)),"")</f>
        <v/>
      </c>
      <c r="R999" s="40"/>
      <c r="S999" s="40"/>
      <c r="T999" s="40"/>
      <c r="U999" s="40"/>
      <c r="V999" s="40"/>
      <c r="W999" s="40"/>
      <c r="X999" s="41" t="str">
        <f>_xlfn.LET(
    _xlpm.MacVal, _xlfn.XLOOKUP($A999, Output_Mac!$A:$A, Output_Mac!AB:AB, ""),
    _xlpm.MyAuditVal, _xlfn.XLOOKUP($A999, My_Audit!$A:$A, My_Audit!N:N, ""),
    _xlfn.TEXTJOIN(", ", TRUE, _xlpm.MyAuditVal, _xlpm.MacVal)
)</f>
        <v/>
      </c>
    </row>
    <row r="1000" spans="1:24">
      <c r="A1000" s="40" t="str">
        <f>_xlfn.TEXTJOIN("",TRUE,Input!$B$2,ROW(My_Audit!A999))</f>
        <v>X999</v>
      </c>
      <c r="B1000" s="40" t="str">
        <f>_xlfn.TEXTJOIN("-",TRUE,"ITD",Input!$A$2,A1000)</f>
        <v>ITD-X999</v>
      </c>
      <c r="C1000" s="40" t="str" cm="1">
        <f t="array" ref="C1000">IFERROR(_xlfn.LET(
_xlpm.CSVVal,_xlfn.XLOOKUP($A1000,CSV!$A:$A,CSV!B:B,""),
_xlpm.MacVal,_xlfn.XLOOKUP($A1000,Output_Mac!$A:$A,Output_Mac!B:B,""),
_xlpm.MyAuditVal,_xlfn.XLOOKUP($A1000,My_Audit!$A:$A,My_Audit!B:B,""),
_xlfn.IFS(_xlpm.MyAuditVal&lt;&gt;"",UPPER(_xlpm.MyAuditVal),_xlpm.MacVal&lt;&gt;"",_xlpm.MacVal,_xlpm.CSVVal&lt;&gt;"",_xlpm.CSVVal
)),"")</f>
        <v/>
      </c>
      <c r="D1000" s="40" t="str" cm="1">
        <f t="array" ref="D1000">IFERROR(_xlfn.LET(
_xlpm.CSVVal,_xlfn.XLOOKUP($A1000,CSV!$A:$A,CSV!D:D,""),
_xlpm.MacVal,_xlfn.XLOOKUP($A1000,Output_Mac!$A:$A,Output_Mac!C:C,""),
_xlpm.MyAuditVal,_xlfn.XLOOKUP($A1000,My_Audit!$A:$A,My_Audit!C:C,""),
_xlfn.IFS(_xlpm.MyAuditVal&lt;&gt;"",_xlpm.MyAuditVal,_xlpm.MacVal&lt;&gt;"",_xlpm.MacVal,_xlpm.CSVVal&lt;&gt;"",_xlpm.CSVVal
)),"")</f>
        <v/>
      </c>
      <c r="E1000" s="40" t="str">
        <f>_xlfn.XLOOKUP(A1000,My_Audit!A:A,My_Audit!D:D,"")</f>
        <v/>
      </c>
      <c r="F1000" s="40" t="str" cm="1">
        <f t="array" ref="F1000">IFERROR(_xlfn.LET(
_xlpm.CSVVal,_xlfn.XLOOKUP($A1000,CSV!$A:$A,CSV!F:F,""),
_xlpm.MacVal,_xlfn.XLOOKUP($A1000,Output_Mac!$A:$A,Output_Mac!E:E,""),
_xlpm.MyAuditVal,_xlfn.XLOOKUP($A1000,My_Audit!$A:$A,My_Audit!E:E,""),
_xlfn.IFS(_xlpm.MyAuditVal&lt;&gt;"",_xlpm.MyAuditVal,_xlpm.MacVal&lt;&gt;"",_xlpm.MacVal,_xlpm.CSVVal&lt;&gt;"",_xlpm.CSVVal
)),"")</f>
        <v/>
      </c>
      <c r="G1000" s="40" t="str" cm="1">
        <f t="array" ref="G1000">IFERROR(_xlfn.LET(
_xlpm.CSVVal,_xlfn.XLOOKUP($A1000,CSV!$A:$A,CSV!G:G,""),
_xlpm.MacVal,_xlfn.XLOOKUP($A1000,Output_Mac!$A:$A,Output_Mac!F:F,""),
_xlpm.MyAuditVal,_xlfn.XLOOKUP($A1000,My_Audit!$A:$A,My_Audit!F:F,""),
_xlfn.IFS(_xlpm.MyAuditVal&lt;&gt;"",_xlpm.MyAuditVal,_xlpm.MacVal&lt;&gt;"",_xlpm.MacVal,_xlpm.CSVVal&lt;&gt;"",PROPER(_xlpm.CSVVal)
)),"")</f>
        <v/>
      </c>
      <c r="H1000" s="40" t="str" cm="1">
        <f t="array" ref="H1000">IFERROR(_xlfn.LET(
_xlpm.CSVVal,_xlfn.XLOOKUP($A1000,CSV!$A:$A,CSV!H:H,""),
_xlpm.MacVal,_xlfn.XLOOKUP($A1000,Output_Mac!$A:$A,Output_Mac!H:H,""),
_xlpm.MyAuditVal,_xlfn.XLOOKUP($A1000,My_Audit!$A:$A,My_Audit!G:G,""),
_xlfn.IFS(_xlpm.MyAuditVal&lt;&gt;"",_xlpm.MyAuditVal,_xlpm.MacVal&lt;&gt;"",_xlpm.MacVal,_xlpm.CSVVal&lt;&gt;"",_xlpm.CSVVal
)),"")</f>
        <v/>
      </c>
      <c r="I1000" s="40" t="str">
        <f>_xlfn.XLOOKUP(A1000,Output_Mac!A:A,Output_Mac!I:I,"")</f>
        <v/>
      </c>
      <c r="J1000" s="40" t="str" cm="1">
        <f t="array" ref="J1000">IFERROR(_xlfn.LET(
_xlpm.CSVVal,_xlfn.XLOOKUP($A1000,CSV!$A:$A,CSV!I:I,""),
_xlpm.MacVal,_xlfn.XLOOKUP($A1000,Output_Mac!$A:$A,Output_Mac!J:J,""),
_xlpm.MyAuditVal,_xlfn.XLOOKUP($A1000,My_Audit!$A:$A,My_Audit!I:I,""),
_xlfn.IFS(_xlpm.MyAuditVal&lt;&gt;"",UPPER(_xlpm.MyAuditVal),_xlpm.MacVal&lt;&gt;"",_xlpm.MacVal,_xlpm.CSVVal&lt;&gt;"",_xlpm.CSVVal
)),"")</f>
        <v/>
      </c>
      <c r="K1000" s="40" t="str" cm="1">
        <f t="array" ref="K1000">IFERROR(_xlfn.LET(
_xlpm.CSVVal,_xlfn.XLOOKUP($A1000,CSV!$A:$A,CSV!K:K,""),
_xlpm.MacVal,_xlfn.XLOOKUP($A1000,Output_Mac!$A:$A,Output_Mac!K:K,""),
_xlpm.MyAuditVal,_xlfn.XLOOKUP($A1000,My_Audit!$A:$A,My_Audit!J:J,""),
_xlfn.IFS(_xlpm.MyAuditVal&lt;&gt;"",UPPER(_xlpm.MyAuditVal),_xlpm.MacVal&lt;&gt;"",_xlpm.MacVal,_xlpm.CSVVal&lt;&gt;"",_xlpm.CSVVal
)),"")</f>
        <v/>
      </c>
      <c r="L1000" s="40" t="str" cm="1">
        <f t="array" ref="L1000">IFERROR(_xlfn.LET(
_xlpm.CSVVal,_xlfn.XLOOKUP($A1000,CSV!$A:$A,CSV!P:P,""),
_xlpm.MacVal,_xlfn.XLOOKUP($A1000,Output_Mac!$A:$A,Output_Mac!L:L,""),
_xlpm.MyAuditVal,_xlfn.XLOOKUP($A1000,My_Audit!$A:$A,My_Audit!K:K,""),
_xlfn.IFS(_xlpm.MyAuditVal&lt;&gt;"",UPPER(_xlpm.MyAuditVal),_xlpm.MacVal&lt;&gt;"",_xlpm.MacVal,_xlpm.CSVVal&lt;&gt;"",_xlpm.CSVVal
)),"")</f>
        <v/>
      </c>
      <c r="M1000" s="40" t="str" cm="1">
        <f t="array" ref="M1000">IFERROR(_xlfn.LET(
_xlpm.CSVVal,_xlfn.XLOOKUP($A1000,CSV!$A:$A,CSV!Q:Q,""),
_xlpm.MacVal,_xlfn.XLOOKUP($A1000,Output_Mac!$A:$A,Output_Mac!M:M,""),
_xlpm.MyAuditVal,_xlfn.XLOOKUP($A1000,My_Audit!$A:$A,My_Audit!L:L,""),
_xlfn.IFS(_xlpm.MyAuditVal&lt;&gt;"",UPPER(_xlpm.MyAuditVal),_xlpm.MacVal&lt;&gt;"",_xlpm.MacVal,_xlpm.CSVVal&lt;&gt;"",_xlpm.CSVVal
)),"")</f>
        <v/>
      </c>
      <c r="N1000" s="40"/>
      <c r="O1000" s="40" t="str">
        <f>_xlfn.LET(
    _xlpm.CSVVal, _xlfn.XLOOKUP($A1000, CSV!$A:$A, CSV!AA:AA, ""),
    _xlpm.MacVal, _xlfn.XLOOKUP($A1000, Output_Mac!$A:$A, Output_Mac!S:S, ""),
    _xlpm.MyAuditVal, _xlfn.XLOOKUP($A1000, My_Audit!$A:$A, My_Audit!P:P, ""),
    _xlfn.TEXTJOIN(", ", TRUE, _xlpm.MyAuditVal, _xlpm.MacVal, _xlpm.CSVVal)
)</f>
        <v/>
      </c>
      <c r="P1000" s="40" t="str" cm="1">
        <f t="array" ref="P1000">IFERROR(_xlfn.LET(
_xlpm.CSVVal,_xlfn.XLOOKUP($A1000,CSV!$A:$A,CSV!AB:AB,""),
_xlpm.MacVal,_xlfn.XLOOKUP($A1000,Output_Mac!$A:$A,Output_Mac!T:T,""),
_xlpm.MyAuditVal,_xlfn.XLOOKUP($A1000,My_Audit!$A:$A,My_Audit!Q:Q,""),
_xlfn.IFS(_xlpm.MyAuditVal&lt;&gt;"",UPPER(_xlpm.MyAuditVal),_xlpm.MacVal&lt;&gt;"",_xlpm.MacVal,_xlpm.CSVVal&lt;&gt;"",_xlpm.CSVVal
)),"No")</f>
        <v>No</v>
      </c>
      <c r="Q1000" s="40" t="str" cm="1">
        <f t="array" ref="Q1000">IFERROR(_xlfn.LET(
_xlpm.CSVVal,_xlfn.XLOOKUP($A1000,CSV!$A:$A,CSV!AC:AC,""),
_xlpm.MacVal,_xlfn.XLOOKUP($A1000,Output_Mac!$A:$A,Output_Mac!U:U,""),
_xlpm.MyAuditVal,_xlfn.XLOOKUP($A1000,My_Audit!$A:$A,My_Audit!R:R,""),
_xlfn.IFS(_xlpm.MyAuditVal&lt;&gt;"",UPPER(_xlpm.MyAuditVal),_xlpm.MacVal&lt;&gt;"",_xlpm.MacVal,_xlpm.CSVVal&lt;&gt;"",_xlpm.CSVVal
)),"")</f>
        <v/>
      </c>
      <c r="R1000" s="40"/>
      <c r="S1000" s="40"/>
      <c r="T1000" s="40"/>
      <c r="U1000" s="40"/>
      <c r="V1000" s="40"/>
      <c r="W1000" s="40"/>
      <c r="X1000" s="41" t="str">
        <f>_xlfn.LET(
    _xlpm.MacVal, _xlfn.XLOOKUP($A1000, Output_Mac!$A:$A, Output_Mac!AB:AB, ""),
    _xlpm.MyAuditVal, _xlfn.XLOOKUP($A1000, My_Audit!$A:$A, My_Audit!N:N, ""),
    _xlfn.TEXTJOIN(", ", TRUE, _xlpm.MyAuditVal, _xlpm.MacVal)
)</f>
        <v/>
      </c>
    </row>
    <row r="1001" spans="1:24">
      <c r="A1001" s="40" t="str">
        <f>_xlfn.TEXTJOIN("",TRUE,Input!$B$2,ROW(My_Audit!A1000))</f>
        <v>X1000</v>
      </c>
      <c r="B1001" s="40" t="str">
        <f>_xlfn.TEXTJOIN("-",TRUE,"ITD",Input!$A$2,A1001)</f>
        <v>ITD-X1000</v>
      </c>
      <c r="C1001" s="40" t="str" cm="1">
        <f t="array" ref="C1001">IFERROR(_xlfn.LET(
_xlpm.CSVVal,_xlfn.XLOOKUP($A1001,CSV!$A:$A,CSV!B:B,""),
_xlpm.MacVal,_xlfn.XLOOKUP($A1001,Output_Mac!$A:$A,Output_Mac!B:B,""),
_xlpm.MyAuditVal,_xlfn.XLOOKUP($A1001,My_Audit!$A:$A,My_Audit!B:B,""),
_xlfn.IFS(_xlpm.MyAuditVal&lt;&gt;"",UPPER(_xlpm.MyAuditVal),_xlpm.MacVal&lt;&gt;"",_xlpm.MacVal,_xlpm.CSVVal&lt;&gt;"",_xlpm.CSVVal
)),"")</f>
        <v/>
      </c>
      <c r="D1001" s="40" t="str" cm="1">
        <f t="array" ref="D1001">IFERROR(_xlfn.LET(
_xlpm.CSVVal,_xlfn.XLOOKUP($A1001,CSV!$A:$A,CSV!D:D,""),
_xlpm.MacVal,_xlfn.XLOOKUP($A1001,Output_Mac!$A:$A,Output_Mac!C:C,""),
_xlpm.MyAuditVal,_xlfn.XLOOKUP($A1001,My_Audit!$A:$A,My_Audit!C:C,""),
_xlfn.IFS(_xlpm.MyAuditVal&lt;&gt;"",_xlpm.MyAuditVal,_xlpm.MacVal&lt;&gt;"",_xlpm.MacVal,_xlpm.CSVVal&lt;&gt;"",_xlpm.CSVVal
)),"")</f>
        <v/>
      </c>
      <c r="E1001" s="40" t="str">
        <f>_xlfn.XLOOKUP(A1001,My_Audit!A:A,My_Audit!D:D,"")</f>
        <v/>
      </c>
      <c r="F1001" s="40" t="str" cm="1">
        <f t="array" ref="F1001">IFERROR(_xlfn.LET(
_xlpm.CSVVal,_xlfn.XLOOKUP($A1001,CSV!$A:$A,CSV!F:F,""),
_xlpm.MacVal,_xlfn.XLOOKUP($A1001,Output_Mac!$A:$A,Output_Mac!E:E,""),
_xlpm.MyAuditVal,_xlfn.XLOOKUP($A1001,My_Audit!$A:$A,My_Audit!E:E,""),
_xlfn.IFS(_xlpm.MyAuditVal&lt;&gt;"",_xlpm.MyAuditVal,_xlpm.MacVal&lt;&gt;"",_xlpm.MacVal,_xlpm.CSVVal&lt;&gt;"",_xlpm.CSVVal
)),"")</f>
        <v/>
      </c>
      <c r="G1001" s="40" t="str" cm="1">
        <f t="array" ref="G1001">IFERROR(_xlfn.LET(
_xlpm.CSVVal,_xlfn.XLOOKUP($A1001,CSV!$A:$A,CSV!G:G,""),
_xlpm.MacVal,_xlfn.XLOOKUP($A1001,Output_Mac!$A:$A,Output_Mac!F:F,""),
_xlpm.MyAuditVal,_xlfn.XLOOKUP($A1001,My_Audit!$A:$A,My_Audit!F:F,""),
_xlfn.IFS(_xlpm.MyAuditVal&lt;&gt;"",_xlpm.MyAuditVal,_xlpm.MacVal&lt;&gt;"",_xlpm.MacVal,_xlpm.CSVVal&lt;&gt;"",PROPER(_xlpm.CSVVal)
)),"")</f>
        <v/>
      </c>
      <c r="H1001" s="40" t="str" cm="1">
        <f t="array" ref="H1001">IFERROR(_xlfn.LET(
_xlpm.CSVVal,_xlfn.XLOOKUP($A1001,CSV!$A:$A,CSV!H:H,""),
_xlpm.MacVal,_xlfn.XLOOKUP($A1001,Output_Mac!$A:$A,Output_Mac!H:H,""),
_xlpm.MyAuditVal,_xlfn.XLOOKUP($A1001,My_Audit!$A:$A,My_Audit!G:G,""),
_xlfn.IFS(_xlpm.MyAuditVal&lt;&gt;"",_xlpm.MyAuditVal,_xlpm.MacVal&lt;&gt;"",_xlpm.MacVal,_xlpm.CSVVal&lt;&gt;"",_xlpm.CSVVal
)),"")</f>
        <v/>
      </c>
      <c r="I1001" s="40" t="str">
        <f>_xlfn.XLOOKUP(A1001,Output_Mac!A:A,Output_Mac!I:I,"")</f>
        <v/>
      </c>
      <c r="J1001" s="40" t="str" cm="1">
        <f t="array" ref="J1001">IFERROR(_xlfn.LET(
_xlpm.CSVVal,_xlfn.XLOOKUP($A1001,CSV!$A:$A,CSV!I:I,""),
_xlpm.MacVal,_xlfn.XLOOKUP($A1001,Output_Mac!$A:$A,Output_Mac!J:J,""),
_xlpm.MyAuditVal,_xlfn.XLOOKUP($A1001,My_Audit!$A:$A,My_Audit!I:I,""),
_xlfn.IFS(_xlpm.MyAuditVal&lt;&gt;"",UPPER(_xlpm.MyAuditVal),_xlpm.MacVal&lt;&gt;"",_xlpm.MacVal,_xlpm.CSVVal&lt;&gt;"",_xlpm.CSVVal
)),"")</f>
        <v/>
      </c>
      <c r="K1001" s="40" t="str" cm="1">
        <f t="array" ref="K1001">IFERROR(_xlfn.LET(
_xlpm.CSVVal,_xlfn.XLOOKUP($A1001,CSV!$A:$A,CSV!K:K,""),
_xlpm.MacVal,_xlfn.XLOOKUP($A1001,Output_Mac!$A:$A,Output_Mac!K:K,""),
_xlpm.MyAuditVal,_xlfn.XLOOKUP($A1001,My_Audit!$A:$A,My_Audit!J:J,""),
_xlfn.IFS(_xlpm.MyAuditVal&lt;&gt;"",UPPER(_xlpm.MyAuditVal),_xlpm.MacVal&lt;&gt;"",_xlpm.MacVal,_xlpm.CSVVal&lt;&gt;"",_xlpm.CSVVal
)),"")</f>
        <v/>
      </c>
      <c r="L1001" s="40" t="str" cm="1">
        <f t="array" ref="L1001">IFERROR(_xlfn.LET(
_xlpm.CSVVal,_xlfn.XLOOKUP($A1001,CSV!$A:$A,CSV!P:P,""),
_xlpm.MacVal,_xlfn.XLOOKUP($A1001,Output_Mac!$A:$A,Output_Mac!L:L,""),
_xlpm.MyAuditVal,_xlfn.XLOOKUP($A1001,My_Audit!$A:$A,My_Audit!K:K,""),
_xlfn.IFS(_xlpm.MyAuditVal&lt;&gt;"",UPPER(_xlpm.MyAuditVal),_xlpm.MacVal&lt;&gt;"",_xlpm.MacVal,_xlpm.CSVVal&lt;&gt;"",_xlpm.CSVVal
)),"")</f>
        <v/>
      </c>
      <c r="M1001" s="40" t="str" cm="1">
        <f t="array" ref="M1001">IFERROR(_xlfn.LET(
_xlpm.CSVVal,_xlfn.XLOOKUP($A1001,CSV!$A:$A,CSV!Q:Q,""),
_xlpm.MacVal,_xlfn.XLOOKUP($A1001,Output_Mac!$A:$A,Output_Mac!M:M,""),
_xlpm.MyAuditVal,_xlfn.XLOOKUP($A1001,My_Audit!$A:$A,My_Audit!L:L,""),
_xlfn.IFS(_xlpm.MyAuditVal&lt;&gt;"",UPPER(_xlpm.MyAuditVal),_xlpm.MacVal&lt;&gt;"",_xlpm.MacVal,_xlpm.CSVVal&lt;&gt;"",_xlpm.CSVVal
)),"")</f>
        <v/>
      </c>
      <c r="N1001" s="40"/>
      <c r="O1001" s="40" t="str">
        <f>_xlfn.LET(
    _xlpm.CSVVal, _xlfn.XLOOKUP($A1001, CSV!$A:$A, CSV!AA:AA, ""),
    _xlpm.MacVal, _xlfn.XLOOKUP($A1001, Output_Mac!$A:$A, Output_Mac!S:S, ""),
    _xlpm.MyAuditVal, _xlfn.XLOOKUP($A1001, My_Audit!$A:$A, My_Audit!P:P, ""),
    _xlfn.TEXTJOIN(", ", TRUE, _xlpm.MyAuditVal, _xlpm.MacVal, _xlpm.CSVVal)
)</f>
        <v/>
      </c>
      <c r="P1001" s="40" t="str" cm="1">
        <f t="array" ref="P1001">IFERROR(_xlfn.LET(
_xlpm.CSVVal,_xlfn.XLOOKUP($A1001,CSV!$A:$A,CSV!AB:AB,""),
_xlpm.MacVal,_xlfn.XLOOKUP($A1001,Output_Mac!$A:$A,Output_Mac!T:T,""),
_xlpm.MyAuditVal,_xlfn.XLOOKUP($A1001,My_Audit!$A:$A,My_Audit!Q:Q,""),
_xlfn.IFS(_xlpm.MyAuditVal&lt;&gt;"",UPPER(_xlpm.MyAuditVal),_xlpm.MacVal&lt;&gt;"",_xlpm.MacVal,_xlpm.CSVVal&lt;&gt;"",_xlpm.CSVVal
)),"No")</f>
        <v>No</v>
      </c>
      <c r="Q1001" s="40" t="str" cm="1">
        <f t="array" ref="Q1001">IFERROR(_xlfn.LET(
_xlpm.CSVVal,_xlfn.XLOOKUP($A1001,CSV!$A:$A,CSV!AC:AC,""),
_xlpm.MacVal,_xlfn.XLOOKUP($A1001,Output_Mac!$A:$A,Output_Mac!U:U,""),
_xlpm.MyAuditVal,_xlfn.XLOOKUP($A1001,My_Audit!$A:$A,My_Audit!R:R,""),
_xlfn.IFS(_xlpm.MyAuditVal&lt;&gt;"",UPPER(_xlpm.MyAuditVal),_xlpm.MacVal&lt;&gt;"",_xlpm.MacVal,_xlpm.CSVVal&lt;&gt;"",_xlpm.CSVVal
)),"")</f>
        <v/>
      </c>
      <c r="R1001" s="40"/>
      <c r="S1001" s="40"/>
      <c r="T1001" s="40"/>
      <c r="U1001" s="40"/>
      <c r="V1001" s="40"/>
      <c r="W1001" s="40"/>
      <c r="X1001" s="41" t="str">
        <f>_xlfn.LET(
    _xlpm.MacVal, _xlfn.XLOOKUP($A1001, Output_Mac!$A:$A, Output_Mac!AB:AB, ""),
    _xlpm.MyAuditVal, _xlfn.XLOOKUP($A1001, My_Audit!$A:$A, My_Audit!N:N, ""),
    _xlfn.TEXTJOIN(", ", TRUE, _xlpm.MyAuditVal, _xlpm.MacVal)
)</f>
        <v/>
      </c>
    </row>
    <row r="1002" spans="1:24">
      <c r="A1002" s="40" t="str">
        <f>_xlfn.TEXTJOIN("",TRUE,Input!$B$2,ROW(My_Audit!A1001))</f>
        <v>X1001</v>
      </c>
      <c r="B1002" s="40" t="str">
        <f>_xlfn.TEXTJOIN("-",TRUE,"ITD",Input!$A$2,A1002)</f>
        <v>ITD-X1001</v>
      </c>
      <c r="C1002" s="40" t="str" cm="1">
        <f t="array" ref="C1002">IFERROR(_xlfn.LET(
_xlpm.CSVVal,_xlfn.XLOOKUP($A1002,CSV!$A:$A,CSV!B:B,""),
_xlpm.MacVal,_xlfn.XLOOKUP($A1002,Output_Mac!$A:$A,Output_Mac!B:B,""),
_xlpm.MyAuditVal,_xlfn.XLOOKUP($A1002,My_Audit!$A:$A,My_Audit!B:B,""),
_xlfn.IFS(_xlpm.MyAuditVal&lt;&gt;"",UPPER(_xlpm.MyAuditVal),_xlpm.MacVal&lt;&gt;"",_xlpm.MacVal,_xlpm.CSVVal&lt;&gt;"",_xlpm.CSVVal
)),"")</f>
        <v/>
      </c>
      <c r="D1002" s="40" t="str" cm="1">
        <f t="array" ref="D1002">IFERROR(_xlfn.LET(
_xlpm.CSVVal,_xlfn.XLOOKUP($A1002,CSV!$A:$A,CSV!D:D,""),
_xlpm.MacVal,_xlfn.XLOOKUP($A1002,Output_Mac!$A:$A,Output_Mac!C:C,""),
_xlpm.MyAuditVal,_xlfn.XLOOKUP($A1002,My_Audit!$A:$A,My_Audit!C:C,""),
_xlfn.IFS(_xlpm.MyAuditVal&lt;&gt;"",_xlpm.MyAuditVal,_xlpm.MacVal&lt;&gt;"",_xlpm.MacVal,_xlpm.CSVVal&lt;&gt;"",_xlpm.CSVVal
)),"")</f>
        <v/>
      </c>
      <c r="E1002" s="40" t="str">
        <f>_xlfn.XLOOKUP(A1002,My_Audit!A:A,My_Audit!D:D,"")</f>
        <v/>
      </c>
      <c r="F1002" s="40" t="str" cm="1">
        <f t="array" ref="F1002">IFERROR(_xlfn.LET(
_xlpm.CSVVal,_xlfn.XLOOKUP($A1002,CSV!$A:$A,CSV!F:F,""),
_xlpm.MacVal,_xlfn.XLOOKUP($A1002,Output_Mac!$A:$A,Output_Mac!E:E,""),
_xlpm.MyAuditVal,_xlfn.XLOOKUP($A1002,My_Audit!$A:$A,My_Audit!E:E,""),
_xlfn.IFS(_xlpm.MyAuditVal&lt;&gt;"",_xlpm.MyAuditVal,_xlpm.MacVal&lt;&gt;"",_xlpm.MacVal,_xlpm.CSVVal&lt;&gt;"",_xlpm.CSVVal
)),"")</f>
        <v/>
      </c>
      <c r="G1002" s="40" t="str" cm="1">
        <f t="array" ref="G1002">IFERROR(_xlfn.LET(
_xlpm.CSVVal,_xlfn.XLOOKUP($A1002,CSV!$A:$A,CSV!G:G,""),
_xlpm.MacVal,_xlfn.XLOOKUP($A1002,Output_Mac!$A:$A,Output_Mac!F:F,""),
_xlpm.MyAuditVal,_xlfn.XLOOKUP($A1002,My_Audit!$A:$A,My_Audit!F:F,""),
_xlfn.IFS(_xlpm.MyAuditVal&lt;&gt;"",_xlpm.MyAuditVal,_xlpm.MacVal&lt;&gt;"",_xlpm.MacVal,_xlpm.CSVVal&lt;&gt;"",PROPER(_xlpm.CSVVal)
)),"")</f>
        <v/>
      </c>
      <c r="H1002" s="40" t="str" cm="1">
        <f t="array" ref="H1002">IFERROR(_xlfn.LET(
_xlpm.CSVVal,_xlfn.XLOOKUP($A1002,CSV!$A:$A,CSV!H:H,""),
_xlpm.MacVal,_xlfn.XLOOKUP($A1002,Output_Mac!$A:$A,Output_Mac!H:H,""),
_xlpm.MyAuditVal,_xlfn.XLOOKUP($A1002,My_Audit!$A:$A,My_Audit!G:G,""),
_xlfn.IFS(_xlpm.MyAuditVal&lt;&gt;"",_xlpm.MyAuditVal,_xlpm.MacVal&lt;&gt;"",_xlpm.MacVal,_xlpm.CSVVal&lt;&gt;"",_xlpm.CSVVal
)),"")</f>
        <v/>
      </c>
      <c r="I1002" s="40" t="str">
        <f>_xlfn.XLOOKUP(A1002,Output_Mac!A:A,Output_Mac!I:I,"")</f>
        <v/>
      </c>
      <c r="J1002" s="40" t="str" cm="1">
        <f t="array" ref="J1002">IFERROR(_xlfn.LET(
_xlpm.CSVVal,_xlfn.XLOOKUP($A1002,CSV!$A:$A,CSV!I:I,""),
_xlpm.MacVal,_xlfn.XLOOKUP($A1002,Output_Mac!$A:$A,Output_Mac!J:J,""),
_xlpm.MyAuditVal,_xlfn.XLOOKUP($A1002,My_Audit!$A:$A,My_Audit!I:I,""),
_xlfn.IFS(_xlpm.MyAuditVal&lt;&gt;"",UPPER(_xlpm.MyAuditVal),_xlpm.MacVal&lt;&gt;"",_xlpm.MacVal,_xlpm.CSVVal&lt;&gt;"",_xlpm.CSVVal
)),"")</f>
        <v/>
      </c>
      <c r="K1002" s="40" t="str" cm="1">
        <f t="array" ref="K1002">IFERROR(_xlfn.LET(
_xlpm.CSVVal,_xlfn.XLOOKUP($A1002,CSV!$A:$A,CSV!K:K,""),
_xlpm.MacVal,_xlfn.XLOOKUP($A1002,Output_Mac!$A:$A,Output_Mac!K:K,""),
_xlpm.MyAuditVal,_xlfn.XLOOKUP($A1002,My_Audit!$A:$A,My_Audit!J:J,""),
_xlfn.IFS(_xlpm.MyAuditVal&lt;&gt;"",UPPER(_xlpm.MyAuditVal),_xlpm.MacVal&lt;&gt;"",_xlpm.MacVal,_xlpm.CSVVal&lt;&gt;"",_xlpm.CSVVal
)),"")</f>
        <v/>
      </c>
      <c r="L1002" s="40" t="str" cm="1">
        <f t="array" ref="L1002">IFERROR(_xlfn.LET(
_xlpm.CSVVal,_xlfn.XLOOKUP($A1002,CSV!$A:$A,CSV!P:P,""),
_xlpm.MacVal,_xlfn.XLOOKUP($A1002,Output_Mac!$A:$A,Output_Mac!L:L,""),
_xlpm.MyAuditVal,_xlfn.XLOOKUP($A1002,My_Audit!$A:$A,My_Audit!K:K,""),
_xlfn.IFS(_xlpm.MyAuditVal&lt;&gt;"",UPPER(_xlpm.MyAuditVal),_xlpm.MacVal&lt;&gt;"",_xlpm.MacVal,_xlpm.CSVVal&lt;&gt;"",_xlpm.CSVVal
)),"")</f>
        <v/>
      </c>
      <c r="M1002" s="40" t="str" cm="1">
        <f t="array" ref="M1002">IFERROR(_xlfn.LET(
_xlpm.CSVVal,_xlfn.XLOOKUP($A1002,CSV!$A:$A,CSV!Q:Q,""),
_xlpm.MacVal,_xlfn.XLOOKUP($A1002,Output_Mac!$A:$A,Output_Mac!M:M,""),
_xlpm.MyAuditVal,_xlfn.XLOOKUP($A1002,My_Audit!$A:$A,My_Audit!L:L,""),
_xlfn.IFS(_xlpm.MyAuditVal&lt;&gt;"",UPPER(_xlpm.MyAuditVal),_xlpm.MacVal&lt;&gt;"",_xlpm.MacVal,_xlpm.CSVVal&lt;&gt;"",_xlpm.CSVVal
)),"")</f>
        <v/>
      </c>
      <c r="N1002" s="40"/>
      <c r="O1002" s="40" t="str">
        <f>_xlfn.LET(
    _xlpm.CSVVal, _xlfn.XLOOKUP($A1002, CSV!$A:$A, CSV!AA:AA, ""),
    _xlpm.MacVal, _xlfn.XLOOKUP($A1002, Output_Mac!$A:$A, Output_Mac!S:S, ""),
    _xlpm.MyAuditVal, _xlfn.XLOOKUP($A1002, My_Audit!$A:$A, My_Audit!P:P, ""),
    _xlfn.TEXTJOIN(", ", TRUE, _xlpm.MyAuditVal, _xlpm.MacVal, _xlpm.CSVVal)
)</f>
        <v/>
      </c>
      <c r="P1002" s="40" t="str" cm="1">
        <f t="array" ref="P1002">IFERROR(_xlfn.LET(
_xlpm.CSVVal,_xlfn.XLOOKUP($A1002,CSV!$A:$A,CSV!AB:AB,""),
_xlpm.MacVal,_xlfn.XLOOKUP($A1002,Output_Mac!$A:$A,Output_Mac!T:T,""),
_xlpm.MyAuditVal,_xlfn.XLOOKUP($A1002,My_Audit!$A:$A,My_Audit!Q:Q,""),
_xlfn.IFS(_xlpm.MyAuditVal&lt;&gt;"",UPPER(_xlpm.MyAuditVal),_xlpm.MacVal&lt;&gt;"",_xlpm.MacVal,_xlpm.CSVVal&lt;&gt;"",_xlpm.CSVVal
)),"No")</f>
        <v>No</v>
      </c>
      <c r="Q1002" s="40" t="str" cm="1">
        <f t="array" ref="Q1002">IFERROR(_xlfn.LET(
_xlpm.CSVVal,_xlfn.XLOOKUP($A1002,CSV!$A:$A,CSV!AC:AC,""),
_xlpm.MacVal,_xlfn.XLOOKUP($A1002,Output_Mac!$A:$A,Output_Mac!U:U,""),
_xlpm.MyAuditVal,_xlfn.XLOOKUP($A1002,My_Audit!$A:$A,My_Audit!R:R,""),
_xlfn.IFS(_xlpm.MyAuditVal&lt;&gt;"",UPPER(_xlpm.MyAuditVal),_xlpm.MacVal&lt;&gt;"",_xlpm.MacVal,_xlpm.CSVVal&lt;&gt;"",_xlpm.CSVVal
)),"")</f>
        <v/>
      </c>
      <c r="R1002" s="40"/>
      <c r="S1002" s="40"/>
      <c r="T1002" s="40"/>
      <c r="U1002" s="40"/>
      <c r="V1002" s="40"/>
      <c r="W1002" s="40"/>
      <c r="X1002" s="41" t="str">
        <f>_xlfn.LET(
    _xlpm.MacVal, _xlfn.XLOOKUP($A1002, Output_Mac!$A:$A, Output_Mac!AB:AB, ""),
    _xlpm.MyAuditVal, _xlfn.XLOOKUP($A1002, My_Audit!$A:$A, My_Audit!N:N, ""),
    _xlfn.TEXTJOIN(", ", TRUE, _xlpm.MyAuditVal, _xlpm.MacVal)
)</f>
        <v/>
      </c>
    </row>
    <row r="1003" spans="1:24">
      <c r="A1003" s="40" t="str">
        <f>_xlfn.TEXTJOIN("",TRUE,Input!$B$2,ROW(My_Audit!A1002))</f>
        <v>X1002</v>
      </c>
      <c r="B1003" s="40" t="str">
        <f>_xlfn.TEXTJOIN("-",TRUE,"ITD",Input!$A$2,A1003)</f>
        <v>ITD-X1002</v>
      </c>
      <c r="C1003" s="40" t="str" cm="1">
        <f t="array" ref="C1003">IFERROR(_xlfn.LET(
_xlpm.CSVVal,_xlfn.XLOOKUP($A1003,CSV!$A:$A,CSV!B:B,""),
_xlpm.MacVal,_xlfn.XLOOKUP($A1003,Output_Mac!$A:$A,Output_Mac!B:B,""),
_xlpm.MyAuditVal,_xlfn.XLOOKUP($A1003,My_Audit!$A:$A,My_Audit!B:B,""),
_xlfn.IFS(_xlpm.MyAuditVal&lt;&gt;"",UPPER(_xlpm.MyAuditVal),_xlpm.MacVal&lt;&gt;"",_xlpm.MacVal,_xlpm.CSVVal&lt;&gt;"",_xlpm.CSVVal
)),"")</f>
        <v/>
      </c>
      <c r="D1003" s="40" t="str" cm="1">
        <f t="array" ref="D1003">IFERROR(_xlfn.LET(
_xlpm.CSVVal,_xlfn.XLOOKUP($A1003,CSV!$A:$A,CSV!D:D,""),
_xlpm.MacVal,_xlfn.XLOOKUP($A1003,Output_Mac!$A:$A,Output_Mac!C:C,""),
_xlpm.MyAuditVal,_xlfn.XLOOKUP($A1003,My_Audit!$A:$A,My_Audit!C:C,""),
_xlfn.IFS(_xlpm.MyAuditVal&lt;&gt;"",_xlpm.MyAuditVal,_xlpm.MacVal&lt;&gt;"",_xlpm.MacVal,_xlpm.CSVVal&lt;&gt;"",_xlpm.CSVVal
)),"")</f>
        <v/>
      </c>
      <c r="E1003" s="40" t="str">
        <f>_xlfn.XLOOKUP(A1003,My_Audit!A:A,My_Audit!D:D,"")</f>
        <v/>
      </c>
      <c r="F1003" s="40" t="str" cm="1">
        <f t="array" ref="F1003">IFERROR(_xlfn.LET(
_xlpm.CSVVal,_xlfn.XLOOKUP($A1003,CSV!$A:$A,CSV!F:F,""),
_xlpm.MacVal,_xlfn.XLOOKUP($A1003,Output_Mac!$A:$A,Output_Mac!E:E,""),
_xlpm.MyAuditVal,_xlfn.XLOOKUP($A1003,My_Audit!$A:$A,My_Audit!E:E,""),
_xlfn.IFS(_xlpm.MyAuditVal&lt;&gt;"",_xlpm.MyAuditVal,_xlpm.MacVal&lt;&gt;"",_xlpm.MacVal,_xlpm.CSVVal&lt;&gt;"",_xlpm.CSVVal
)),"")</f>
        <v/>
      </c>
      <c r="G1003" s="40" t="str" cm="1">
        <f t="array" ref="G1003">IFERROR(_xlfn.LET(
_xlpm.CSVVal,_xlfn.XLOOKUP($A1003,CSV!$A:$A,CSV!G:G,""),
_xlpm.MacVal,_xlfn.XLOOKUP($A1003,Output_Mac!$A:$A,Output_Mac!F:F,""),
_xlpm.MyAuditVal,_xlfn.XLOOKUP($A1003,My_Audit!$A:$A,My_Audit!F:F,""),
_xlfn.IFS(_xlpm.MyAuditVal&lt;&gt;"",_xlpm.MyAuditVal,_xlpm.MacVal&lt;&gt;"",_xlpm.MacVal,_xlpm.CSVVal&lt;&gt;"",PROPER(_xlpm.CSVVal)
)),"")</f>
        <v/>
      </c>
      <c r="H1003" s="40" t="str" cm="1">
        <f t="array" ref="H1003">IFERROR(_xlfn.LET(
_xlpm.CSVVal,_xlfn.XLOOKUP($A1003,CSV!$A:$A,CSV!H:H,""),
_xlpm.MacVal,_xlfn.XLOOKUP($A1003,Output_Mac!$A:$A,Output_Mac!H:H,""),
_xlpm.MyAuditVal,_xlfn.XLOOKUP($A1003,My_Audit!$A:$A,My_Audit!G:G,""),
_xlfn.IFS(_xlpm.MyAuditVal&lt;&gt;"",_xlpm.MyAuditVal,_xlpm.MacVal&lt;&gt;"",_xlpm.MacVal,_xlpm.CSVVal&lt;&gt;"",_xlpm.CSVVal
)),"")</f>
        <v/>
      </c>
      <c r="I1003" s="40" t="str">
        <f>_xlfn.XLOOKUP(A1003,Output_Mac!A:A,Output_Mac!I:I,"")</f>
        <v/>
      </c>
      <c r="J1003" s="40" t="str" cm="1">
        <f t="array" ref="J1003">IFERROR(_xlfn.LET(
_xlpm.CSVVal,_xlfn.XLOOKUP($A1003,CSV!$A:$A,CSV!I:I,""),
_xlpm.MacVal,_xlfn.XLOOKUP($A1003,Output_Mac!$A:$A,Output_Mac!J:J,""),
_xlpm.MyAuditVal,_xlfn.XLOOKUP($A1003,My_Audit!$A:$A,My_Audit!I:I,""),
_xlfn.IFS(_xlpm.MyAuditVal&lt;&gt;"",UPPER(_xlpm.MyAuditVal),_xlpm.MacVal&lt;&gt;"",_xlpm.MacVal,_xlpm.CSVVal&lt;&gt;"",_xlpm.CSVVal
)),"")</f>
        <v/>
      </c>
      <c r="K1003" s="40" t="str" cm="1">
        <f t="array" ref="K1003">IFERROR(_xlfn.LET(
_xlpm.CSVVal,_xlfn.XLOOKUP($A1003,CSV!$A:$A,CSV!K:K,""),
_xlpm.MacVal,_xlfn.XLOOKUP($A1003,Output_Mac!$A:$A,Output_Mac!K:K,""),
_xlpm.MyAuditVal,_xlfn.XLOOKUP($A1003,My_Audit!$A:$A,My_Audit!J:J,""),
_xlfn.IFS(_xlpm.MyAuditVal&lt;&gt;"",UPPER(_xlpm.MyAuditVal),_xlpm.MacVal&lt;&gt;"",_xlpm.MacVal,_xlpm.CSVVal&lt;&gt;"",_xlpm.CSVVal
)),"")</f>
        <v/>
      </c>
      <c r="L1003" s="40" t="str" cm="1">
        <f t="array" ref="L1003">IFERROR(_xlfn.LET(
_xlpm.CSVVal,_xlfn.XLOOKUP($A1003,CSV!$A:$A,CSV!P:P,""),
_xlpm.MacVal,_xlfn.XLOOKUP($A1003,Output_Mac!$A:$A,Output_Mac!L:L,""),
_xlpm.MyAuditVal,_xlfn.XLOOKUP($A1003,My_Audit!$A:$A,My_Audit!K:K,""),
_xlfn.IFS(_xlpm.MyAuditVal&lt;&gt;"",UPPER(_xlpm.MyAuditVal),_xlpm.MacVal&lt;&gt;"",_xlpm.MacVal,_xlpm.CSVVal&lt;&gt;"",_xlpm.CSVVal
)),"")</f>
        <v/>
      </c>
      <c r="M1003" s="40" t="str" cm="1">
        <f t="array" ref="M1003">IFERROR(_xlfn.LET(
_xlpm.CSVVal,_xlfn.XLOOKUP($A1003,CSV!$A:$A,CSV!Q:Q,""),
_xlpm.MacVal,_xlfn.XLOOKUP($A1003,Output_Mac!$A:$A,Output_Mac!M:M,""),
_xlpm.MyAuditVal,_xlfn.XLOOKUP($A1003,My_Audit!$A:$A,My_Audit!L:L,""),
_xlfn.IFS(_xlpm.MyAuditVal&lt;&gt;"",UPPER(_xlpm.MyAuditVal),_xlpm.MacVal&lt;&gt;"",_xlpm.MacVal,_xlpm.CSVVal&lt;&gt;"",_xlpm.CSVVal
)),"")</f>
        <v/>
      </c>
      <c r="N1003" s="40"/>
      <c r="O1003" s="40" t="str">
        <f>_xlfn.LET(
    _xlpm.CSVVal, _xlfn.XLOOKUP($A1003, CSV!$A:$A, CSV!AA:AA, ""),
    _xlpm.MacVal, _xlfn.XLOOKUP($A1003, Output_Mac!$A:$A, Output_Mac!S:S, ""),
    _xlpm.MyAuditVal, _xlfn.XLOOKUP($A1003, My_Audit!$A:$A, My_Audit!P:P, ""),
    _xlfn.TEXTJOIN(", ", TRUE, _xlpm.MyAuditVal, _xlpm.MacVal, _xlpm.CSVVal)
)</f>
        <v/>
      </c>
      <c r="P1003" s="40" t="str" cm="1">
        <f t="array" ref="P1003">IFERROR(_xlfn.LET(
_xlpm.CSVVal,_xlfn.XLOOKUP($A1003,CSV!$A:$A,CSV!AB:AB,""),
_xlpm.MacVal,_xlfn.XLOOKUP($A1003,Output_Mac!$A:$A,Output_Mac!T:T,""),
_xlpm.MyAuditVal,_xlfn.XLOOKUP($A1003,My_Audit!$A:$A,My_Audit!Q:Q,""),
_xlfn.IFS(_xlpm.MyAuditVal&lt;&gt;"",UPPER(_xlpm.MyAuditVal),_xlpm.MacVal&lt;&gt;"",_xlpm.MacVal,_xlpm.CSVVal&lt;&gt;"",_xlpm.CSVVal
)),"No")</f>
        <v>No</v>
      </c>
      <c r="Q1003" s="40" t="str" cm="1">
        <f t="array" ref="Q1003">IFERROR(_xlfn.LET(
_xlpm.CSVVal,_xlfn.XLOOKUP($A1003,CSV!$A:$A,CSV!AC:AC,""),
_xlpm.MacVal,_xlfn.XLOOKUP($A1003,Output_Mac!$A:$A,Output_Mac!U:U,""),
_xlpm.MyAuditVal,_xlfn.XLOOKUP($A1003,My_Audit!$A:$A,My_Audit!R:R,""),
_xlfn.IFS(_xlpm.MyAuditVal&lt;&gt;"",UPPER(_xlpm.MyAuditVal),_xlpm.MacVal&lt;&gt;"",_xlpm.MacVal,_xlpm.CSVVal&lt;&gt;"",_xlpm.CSVVal
)),"")</f>
        <v/>
      </c>
      <c r="R1003" s="40"/>
      <c r="S1003" s="40"/>
      <c r="T1003" s="40"/>
      <c r="U1003" s="40"/>
      <c r="V1003" s="40"/>
      <c r="W1003" s="40"/>
      <c r="X1003" s="41" t="str">
        <f>_xlfn.LET(
    _xlpm.MacVal, _xlfn.XLOOKUP($A1003, Output_Mac!$A:$A, Output_Mac!AB:AB, ""),
    _xlpm.MyAuditVal, _xlfn.XLOOKUP($A1003, My_Audit!$A:$A, My_Audit!N:N, ""),
    _xlfn.TEXTJOIN(", ", TRUE, _xlpm.MyAuditVal, _xlpm.MacVal)
)</f>
        <v/>
      </c>
    </row>
    <row r="1004" spans="1:24">
      <c r="A1004" s="40" t="str">
        <f>_xlfn.TEXTJOIN("",TRUE,Input!$B$2,ROW(My_Audit!A1003))</f>
        <v>X1003</v>
      </c>
      <c r="B1004" s="40" t="str">
        <f>_xlfn.TEXTJOIN("-",TRUE,"ITD",Input!$A$2,A1004)</f>
        <v>ITD-X1003</v>
      </c>
      <c r="C1004" s="40" t="str" cm="1">
        <f t="array" ref="C1004">IFERROR(_xlfn.LET(
_xlpm.CSVVal,_xlfn.XLOOKUP($A1004,CSV!$A:$A,CSV!B:B,""),
_xlpm.MacVal,_xlfn.XLOOKUP($A1004,Output_Mac!$A:$A,Output_Mac!B:B,""),
_xlpm.MyAuditVal,_xlfn.XLOOKUP($A1004,My_Audit!$A:$A,My_Audit!B:B,""),
_xlfn.IFS(_xlpm.MyAuditVal&lt;&gt;"",UPPER(_xlpm.MyAuditVal),_xlpm.MacVal&lt;&gt;"",_xlpm.MacVal,_xlpm.CSVVal&lt;&gt;"",_xlpm.CSVVal
)),"")</f>
        <v/>
      </c>
      <c r="D1004" s="40" t="str" cm="1">
        <f t="array" ref="D1004">IFERROR(_xlfn.LET(
_xlpm.CSVVal,_xlfn.XLOOKUP($A1004,CSV!$A:$A,CSV!D:D,""),
_xlpm.MacVal,_xlfn.XLOOKUP($A1004,Output_Mac!$A:$A,Output_Mac!C:C,""),
_xlpm.MyAuditVal,_xlfn.XLOOKUP($A1004,My_Audit!$A:$A,My_Audit!C:C,""),
_xlfn.IFS(_xlpm.MyAuditVal&lt;&gt;"",_xlpm.MyAuditVal,_xlpm.MacVal&lt;&gt;"",_xlpm.MacVal,_xlpm.CSVVal&lt;&gt;"",_xlpm.CSVVal
)),"")</f>
        <v/>
      </c>
      <c r="E1004" s="40" t="str">
        <f>_xlfn.XLOOKUP(A1004,My_Audit!A:A,My_Audit!D:D,"")</f>
        <v/>
      </c>
      <c r="F1004" s="40" t="str" cm="1">
        <f t="array" ref="F1004">IFERROR(_xlfn.LET(
_xlpm.CSVVal,_xlfn.XLOOKUP($A1004,CSV!$A:$A,CSV!F:F,""),
_xlpm.MacVal,_xlfn.XLOOKUP($A1004,Output_Mac!$A:$A,Output_Mac!E:E,""),
_xlpm.MyAuditVal,_xlfn.XLOOKUP($A1004,My_Audit!$A:$A,My_Audit!E:E,""),
_xlfn.IFS(_xlpm.MyAuditVal&lt;&gt;"",_xlpm.MyAuditVal,_xlpm.MacVal&lt;&gt;"",_xlpm.MacVal,_xlpm.CSVVal&lt;&gt;"",_xlpm.CSVVal
)),"")</f>
        <v/>
      </c>
      <c r="G1004" s="40" t="str" cm="1">
        <f t="array" ref="G1004">IFERROR(_xlfn.LET(
_xlpm.CSVVal,_xlfn.XLOOKUP($A1004,CSV!$A:$A,CSV!G:G,""),
_xlpm.MacVal,_xlfn.XLOOKUP($A1004,Output_Mac!$A:$A,Output_Mac!F:F,""),
_xlpm.MyAuditVal,_xlfn.XLOOKUP($A1004,My_Audit!$A:$A,My_Audit!F:F,""),
_xlfn.IFS(_xlpm.MyAuditVal&lt;&gt;"",_xlpm.MyAuditVal,_xlpm.MacVal&lt;&gt;"",_xlpm.MacVal,_xlpm.CSVVal&lt;&gt;"",PROPER(_xlpm.CSVVal)
)),"")</f>
        <v/>
      </c>
      <c r="H1004" s="40" t="str" cm="1">
        <f t="array" ref="H1004">IFERROR(_xlfn.LET(
_xlpm.CSVVal,_xlfn.XLOOKUP($A1004,CSV!$A:$A,CSV!H:H,""),
_xlpm.MacVal,_xlfn.XLOOKUP($A1004,Output_Mac!$A:$A,Output_Mac!H:H,""),
_xlpm.MyAuditVal,_xlfn.XLOOKUP($A1004,My_Audit!$A:$A,My_Audit!G:G,""),
_xlfn.IFS(_xlpm.MyAuditVal&lt;&gt;"",_xlpm.MyAuditVal,_xlpm.MacVal&lt;&gt;"",_xlpm.MacVal,_xlpm.CSVVal&lt;&gt;"",_xlpm.CSVVal
)),"")</f>
        <v/>
      </c>
      <c r="I1004" s="40" t="str">
        <f>_xlfn.XLOOKUP(A1004,Output_Mac!A:A,Output_Mac!I:I,"")</f>
        <v/>
      </c>
      <c r="J1004" s="40" t="str" cm="1">
        <f t="array" ref="J1004">IFERROR(_xlfn.LET(
_xlpm.CSVVal,_xlfn.XLOOKUP($A1004,CSV!$A:$A,CSV!I:I,""),
_xlpm.MacVal,_xlfn.XLOOKUP($A1004,Output_Mac!$A:$A,Output_Mac!J:J,""),
_xlpm.MyAuditVal,_xlfn.XLOOKUP($A1004,My_Audit!$A:$A,My_Audit!I:I,""),
_xlfn.IFS(_xlpm.MyAuditVal&lt;&gt;"",UPPER(_xlpm.MyAuditVal),_xlpm.MacVal&lt;&gt;"",_xlpm.MacVal,_xlpm.CSVVal&lt;&gt;"",_xlpm.CSVVal
)),"")</f>
        <v/>
      </c>
      <c r="K1004" s="40" t="str" cm="1">
        <f t="array" ref="K1004">IFERROR(_xlfn.LET(
_xlpm.CSVVal,_xlfn.XLOOKUP($A1004,CSV!$A:$A,CSV!K:K,""),
_xlpm.MacVal,_xlfn.XLOOKUP($A1004,Output_Mac!$A:$A,Output_Mac!K:K,""),
_xlpm.MyAuditVal,_xlfn.XLOOKUP($A1004,My_Audit!$A:$A,My_Audit!J:J,""),
_xlfn.IFS(_xlpm.MyAuditVal&lt;&gt;"",UPPER(_xlpm.MyAuditVal),_xlpm.MacVal&lt;&gt;"",_xlpm.MacVal,_xlpm.CSVVal&lt;&gt;"",_xlpm.CSVVal
)),"")</f>
        <v/>
      </c>
      <c r="L1004" s="40" t="str" cm="1">
        <f t="array" ref="L1004">IFERROR(_xlfn.LET(
_xlpm.CSVVal,_xlfn.XLOOKUP($A1004,CSV!$A:$A,CSV!P:P,""),
_xlpm.MacVal,_xlfn.XLOOKUP($A1004,Output_Mac!$A:$A,Output_Mac!L:L,""),
_xlpm.MyAuditVal,_xlfn.XLOOKUP($A1004,My_Audit!$A:$A,My_Audit!K:K,""),
_xlfn.IFS(_xlpm.MyAuditVal&lt;&gt;"",UPPER(_xlpm.MyAuditVal),_xlpm.MacVal&lt;&gt;"",_xlpm.MacVal,_xlpm.CSVVal&lt;&gt;"",_xlpm.CSVVal
)),"")</f>
        <v/>
      </c>
      <c r="M1004" s="40" t="str" cm="1">
        <f t="array" ref="M1004">IFERROR(_xlfn.LET(
_xlpm.CSVVal,_xlfn.XLOOKUP($A1004,CSV!$A:$A,CSV!Q:Q,""),
_xlpm.MacVal,_xlfn.XLOOKUP($A1004,Output_Mac!$A:$A,Output_Mac!M:M,""),
_xlpm.MyAuditVal,_xlfn.XLOOKUP($A1004,My_Audit!$A:$A,My_Audit!L:L,""),
_xlfn.IFS(_xlpm.MyAuditVal&lt;&gt;"",UPPER(_xlpm.MyAuditVal),_xlpm.MacVal&lt;&gt;"",_xlpm.MacVal,_xlpm.CSVVal&lt;&gt;"",_xlpm.CSVVal
)),"")</f>
        <v/>
      </c>
      <c r="N1004" s="40"/>
      <c r="O1004" s="40" t="str">
        <f>_xlfn.LET(
    _xlpm.CSVVal, _xlfn.XLOOKUP($A1004, CSV!$A:$A, CSV!AA:AA, ""),
    _xlpm.MacVal, _xlfn.XLOOKUP($A1004, Output_Mac!$A:$A, Output_Mac!S:S, ""),
    _xlpm.MyAuditVal, _xlfn.XLOOKUP($A1004, My_Audit!$A:$A, My_Audit!P:P, ""),
    _xlfn.TEXTJOIN(", ", TRUE, _xlpm.MyAuditVal, _xlpm.MacVal, _xlpm.CSVVal)
)</f>
        <v/>
      </c>
      <c r="P1004" s="40" t="str" cm="1">
        <f t="array" ref="P1004">IFERROR(_xlfn.LET(
_xlpm.CSVVal,_xlfn.XLOOKUP($A1004,CSV!$A:$A,CSV!AB:AB,""),
_xlpm.MacVal,_xlfn.XLOOKUP($A1004,Output_Mac!$A:$A,Output_Mac!T:T,""),
_xlpm.MyAuditVal,_xlfn.XLOOKUP($A1004,My_Audit!$A:$A,My_Audit!Q:Q,""),
_xlfn.IFS(_xlpm.MyAuditVal&lt;&gt;"",UPPER(_xlpm.MyAuditVal),_xlpm.MacVal&lt;&gt;"",_xlpm.MacVal,_xlpm.CSVVal&lt;&gt;"",_xlpm.CSVVal
)),"No")</f>
        <v>No</v>
      </c>
      <c r="Q1004" s="40" t="str" cm="1">
        <f t="array" ref="Q1004">IFERROR(_xlfn.LET(
_xlpm.CSVVal,_xlfn.XLOOKUP($A1004,CSV!$A:$A,CSV!AC:AC,""),
_xlpm.MacVal,_xlfn.XLOOKUP($A1004,Output_Mac!$A:$A,Output_Mac!U:U,""),
_xlpm.MyAuditVal,_xlfn.XLOOKUP($A1004,My_Audit!$A:$A,My_Audit!R:R,""),
_xlfn.IFS(_xlpm.MyAuditVal&lt;&gt;"",UPPER(_xlpm.MyAuditVal),_xlpm.MacVal&lt;&gt;"",_xlpm.MacVal,_xlpm.CSVVal&lt;&gt;"",_xlpm.CSVVal
)),"")</f>
        <v/>
      </c>
      <c r="R1004" s="40"/>
      <c r="S1004" s="40"/>
      <c r="T1004" s="40"/>
      <c r="U1004" s="40"/>
      <c r="V1004" s="40"/>
      <c r="W1004" s="40"/>
      <c r="X1004" s="41" t="str">
        <f>_xlfn.LET(
    _xlpm.MacVal, _xlfn.XLOOKUP($A1004, Output_Mac!$A:$A, Output_Mac!AB:AB, ""),
    _xlpm.MyAuditVal, _xlfn.XLOOKUP($A1004, My_Audit!$A:$A, My_Audit!N:N, ""),
    _xlfn.TEXTJOIN(", ", TRUE, _xlpm.MyAuditVal, _xlpm.MacVal)
)</f>
        <v/>
      </c>
    </row>
    <row r="1005" spans="1:24">
      <c r="A1005" s="40" t="str">
        <f>_xlfn.TEXTJOIN("",TRUE,Input!$B$2,ROW(My_Audit!A1004))</f>
        <v>X1004</v>
      </c>
      <c r="B1005" s="40" t="str">
        <f>_xlfn.TEXTJOIN("-",TRUE,"ITD",Input!$A$2,A1005)</f>
        <v>ITD-X1004</v>
      </c>
      <c r="C1005" s="40" t="str" cm="1">
        <f t="array" ref="C1005">IFERROR(_xlfn.LET(
_xlpm.CSVVal,_xlfn.XLOOKUP($A1005,CSV!$A:$A,CSV!B:B,""),
_xlpm.MacVal,_xlfn.XLOOKUP($A1005,Output_Mac!$A:$A,Output_Mac!B:B,""),
_xlpm.MyAuditVal,_xlfn.XLOOKUP($A1005,My_Audit!$A:$A,My_Audit!B:B,""),
_xlfn.IFS(_xlpm.MyAuditVal&lt;&gt;"",UPPER(_xlpm.MyAuditVal),_xlpm.MacVal&lt;&gt;"",_xlpm.MacVal,_xlpm.CSVVal&lt;&gt;"",_xlpm.CSVVal
)),"")</f>
        <v/>
      </c>
      <c r="D1005" s="40" t="str" cm="1">
        <f t="array" ref="D1005">IFERROR(_xlfn.LET(
_xlpm.CSVVal,_xlfn.XLOOKUP($A1005,CSV!$A:$A,CSV!D:D,""),
_xlpm.MacVal,_xlfn.XLOOKUP($A1005,Output_Mac!$A:$A,Output_Mac!C:C,""),
_xlpm.MyAuditVal,_xlfn.XLOOKUP($A1005,My_Audit!$A:$A,My_Audit!C:C,""),
_xlfn.IFS(_xlpm.MyAuditVal&lt;&gt;"",_xlpm.MyAuditVal,_xlpm.MacVal&lt;&gt;"",_xlpm.MacVal,_xlpm.CSVVal&lt;&gt;"",_xlpm.CSVVal
)),"")</f>
        <v/>
      </c>
      <c r="E1005" s="40" t="str">
        <f>_xlfn.XLOOKUP(A1005,My_Audit!A:A,My_Audit!D:D,"")</f>
        <v/>
      </c>
      <c r="F1005" s="40" t="str" cm="1">
        <f t="array" ref="F1005">IFERROR(_xlfn.LET(
_xlpm.CSVVal,_xlfn.XLOOKUP($A1005,CSV!$A:$A,CSV!F:F,""),
_xlpm.MacVal,_xlfn.XLOOKUP($A1005,Output_Mac!$A:$A,Output_Mac!E:E,""),
_xlpm.MyAuditVal,_xlfn.XLOOKUP($A1005,My_Audit!$A:$A,My_Audit!E:E,""),
_xlfn.IFS(_xlpm.MyAuditVal&lt;&gt;"",_xlpm.MyAuditVal,_xlpm.MacVal&lt;&gt;"",_xlpm.MacVal,_xlpm.CSVVal&lt;&gt;"",_xlpm.CSVVal
)),"")</f>
        <v/>
      </c>
      <c r="G1005" s="40" t="str" cm="1">
        <f t="array" ref="G1005">IFERROR(_xlfn.LET(
_xlpm.CSVVal,_xlfn.XLOOKUP($A1005,CSV!$A:$A,CSV!G:G,""),
_xlpm.MacVal,_xlfn.XLOOKUP($A1005,Output_Mac!$A:$A,Output_Mac!F:F,""),
_xlpm.MyAuditVal,_xlfn.XLOOKUP($A1005,My_Audit!$A:$A,My_Audit!F:F,""),
_xlfn.IFS(_xlpm.MyAuditVal&lt;&gt;"",_xlpm.MyAuditVal,_xlpm.MacVal&lt;&gt;"",_xlpm.MacVal,_xlpm.CSVVal&lt;&gt;"",PROPER(_xlpm.CSVVal)
)),"")</f>
        <v/>
      </c>
      <c r="H1005" s="40" t="str" cm="1">
        <f t="array" ref="H1005">IFERROR(_xlfn.LET(
_xlpm.CSVVal,_xlfn.XLOOKUP($A1005,CSV!$A:$A,CSV!H:H,""),
_xlpm.MacVal,_xlfn.XLOOKUP($A1005,Output_Mac!$A:$A,Output_Mac!H:H,""),
_xlpm.MyAuditVal,_xlfn.XLOOKUP($A1005,My_Audit!$A:$A,My_Audit!G:G,""),
_xlfn.IFS(_xlpm.MyAuditVal&lt;&gt;"",_xlpm.MyAuditVal,_xlpm.MacVal&lt;&gt;"",_xlpm.MacVal,_xlpm.CSVVal&lt;&gt;"",_xlpm.CSVVal
)),"")</f>
        <v/>
      </c>
      <c r="I1005" s="40" t="str">
        <f>_xlfn.XLOOKUP(A1005,Output_Mac!A:A,Output_Mac!I:I,"")</f>
        <v/>
      </c>
      <c r="J1005" s="40" t="str" cm="1">
        <f t="array" ref="J1005">IFERROR(_xlfn.LET(
_xlpm.CSVVal,_xlfn.XLOOKUP($A1005,CSV!$A:$A,CSV!I:I,""),
_xlpm.MacVal,_xlfn.XLOOKUP($A1005,Output_Mac!$A:$A,Output_Mac!J:J,""),
_xlpm.MyAuditVal,_xlfn.XLOOKUP($A1005,My_Audit!$A:$A,My_Audit!I:I,""),
_xlfn.IFS(_xlpm.MyAuditVal&lt;&gt;"",UPPER(_xlpm.MyAuditVal),_xlpm.MacVal&lt;&gt;"",_xlpm.MacVal,_xlpm.CSVVal&lt;&gt;"",_xlpm.CSVVal
)),"")</f>
        <v/>
      </c>
      <c r="K1005" s="40" t="str" cm="1">
        <f t="array" ref="K1005">IFERROR(_xlfn.LET(
_xlpm.CSVVal,_xlfn.XLOOKUP($A1005,CSV!$A:$A,CSV!K:K,""),
_xlpm.MacVal,_xlfn.XLOOKUP($A1005,Output_Mac!$A:$A,Output_Mac!K:K,""),
_xlpm.MyAuditVal,_xlfn.XLOOKUP($A1005,My_Audit!$A:$A,My_Audit!J:J,""),
_xlfn.IFS(_xlpm.MyAuditVal&lt;&gt;"",UPPER(_xlpm.MyAuditVal),_xlpm.MacVal&lt;&gt;"",_xlpm.MacVal,_xlpm.CSVVal&lt;&gt;"",_xlpm.CSVVal
)),"")</f>
        <v/>
      </c>
      <c r="L1005" s="40" t="str" cm="1">
        <f t="array" ref="L1005">IFERROR(_xlfn.LET(
_xlpm.CSVVal,_xlfn.XLOOKUP($A1005,CSV!$A:$A,CSV!P:P,""),
_xlpm.MacVal,_xlfn.XLOOKUP($A1005,Output_Mac!$A:$A,Output_Mac!L:L,""),
_xlpm.MyAuditVal,_xlfn.XLOOKUP($A1005,My_Audit!$A:$A,My_Audit!K:K,""),
_xlfn.IFS(_xlpm.MyAuditVal&lt;&gt;"",UPPER(_xlpm.MyAuditVal),_xlpm.MacVal&lt;&gt;"",_xlpm.MacVal,_xlpm.CSVVal&lt;&gt;"",_xlpm.CSVVal
)),"")</f>
        <v/>
      </c>
      <c r="M1005" s="40" t="str" cm="1">
        <f t="array" ref="M1005">IFERROR(_xlfn.LET(
_xlpm.CSVVal,_xlfn.XLOOKUP($A1005,CSV!$A:$A,CSV!Q:Q,""),
_xlpm.MacVal,_xlfn.XLOOKUP($A1005,Output_Mac!$A:$A,Output_Mac!M:M,""),
_xlpm.MyAuditVal,_xlfn.XLOOKUP($A1005,My_Audit!$A:$A,My_Audit!L:L,""),
_xlfn.IFS(_xlpm.MyAuditVal&lt;&gt;"",UPPER(_xlpm.MyAuditVal),_xlpm.MacVal&lt;&gt;"",_xlpm.MacVal,_xlpm.CSVVal&lt;&gt;"",_xlpm.CSVVal
)),"")</f>
        <v/>
      </c>
      <c r="N1005" s="40"/>
      <c r="O1005" s="40" t="str">
        <f>_xlfn.LET(
    _xlpm.CSVVal, _xlfn.XLOOKUP($A1005, CSV!$A:$A, CSV!AA:AA, ""),
    _xlpm.MacVal, _xlfn.XLOOKUP($A1005, Output_Mac!$A:$A, Output_Mac!S:S, ""),
    _xlpm.MyAuditVal, _xlfn.XLOOKUP($A1005, My_Audit!$A:$A, My_Audit!P:P, ""),
    _xlfn.TEXTJOIN(", ", TRUE, _xlpm.MyAuditVal, _xlpm.MacVal, _xlpm.CSVVal)
)</f>
        <v/>
      </c>
      <c r="P1005" s="40" t="str" cm="1">
        <f t="array" ref="P1005">IFERROR(_xlfn.LET(
_xlpm.CSVVal,_xlfn.XLOOKUP($A1005,CSV!$A:$A,CSV!AB:AB,""),
_xlpm.MacVal,_xlfn.XLOOKUP($A1005,Output_Mac!$A:$A,Output_Mac!T:T,""),
_xlpm.MyAuditVal,_xlfn.XLOOKUP($A1005,My_Audit!$A:$A,My_Audit!Q:Q,""),
_xlfn.IFS(_xlpm.MyAuditVal&lt;&gt;"",UPPER(_xlpm.MyAuditVal),_xlpm.MacVal&lt;&gt;"",_xlpm.MacVal,_xlpm.CSVVal&lt;&gt;"",_xlpm.CSVVal
)),"No")</f>
        <v>No</v>
      </c>
      <c r="Q1005" s="40" t="str" cm="1">
        <f t="array" ref="Q1005">IFERROR(_xlfn.LET(
_xlpm.CSVVal,_xlfn.XLOOKUP($A1005,CSV!$A:$A,CSV!AC:AC,""),
_xlpm.MacVal,_xlfn.XLOOKUP($A1005,Output_Mac!$A:$A,Output_Mac!U:U,""),
_xlpm.MyAuditVal,_xlfn.XLOOKUP($A1005,My_Audit!$A:$A,My_Audit!R:R,""),
_xlfn.IFS(_xlpm.MyAuditVal&lt;&gt;"",UPPER(_xlpm.MyAuditVal),_xlpm.MacVal&lt;&gt;"",_xlpm.MacVal,_xlpm.CSVVal&lt;&gt;"",_xlpm.CSVVal
)),"")</f>
        <v/>
      </c>
      <c r="R1005" s="40"/>
      <c r="S1005" s="40"/>
      <c r="T1005" s="40"/>
      <c r="U1005" s="40"/>
      <c r="V1005" s="40"/>
      <c r="W1005" s="40"/>
      <c r="X1005" s="41" t="str">
        <f>_xlfn.LET(
    _xlpm.MacVal, _xlfn.XLOOKUP($A1005, Output_Mac!$A:$A, Output_Mac!AB:AB, ""),
    _xlpm.MyAuditVal, _xlfn.XLOOKUP($A1005, My_Audit!$A:$A, My_Audit!N:N, ""),
    _xlfn.TEXTJOIN(", ", TRUE, _xlpm.MyAuditVal, _xlpm.MacVal)
)</f>
        <v/>
      </c>
    </row>
    <row r="1006" spans="1:24">
      <c r="A1006" s="40" t="str">
        <f>_xlfn.TEXTJOIN("",TRUE,Input!$B$2,ROW(My_Audit!A1005))</f>
        <v>X1005</v>
      </c>
      <c r="B1006" s="40" t="str">
        <f>_xlfn.TEXTJOIN("-",TRUE,"ITD",Input!$A$2,A1006)</f>
        <v>ITD-X1005</v>
      </c>
      <c r="C1006" s="40" t="str" cm="1">
        <f t="array" ref="C1006">IFERROR(_xlfn.LET(
_xlpm.CSVVal,_xlfn.XLOOKUP($A1006,CSV!$A:$A,CSV!B:B,""),
_xlpm.MacVal,_xlfn.XLOOKUP($A1006,Output_Mac!$A:$A,Output_Mac!B:B,""),
_xlpm.MyAuditVal,_xlfn.XLOOKUP($A1006,My_Audit!$A:$A,My_Audit!B:B,""),
_xlfn.IFS(_xlpm.MyAuditVal&lt;&gt;"",UPPER(_xlpm.MyAuditVal),_xlpm.MacVal&lt;&gt;"",_xlpm.MacVal,_xlpm.CSVVal&lt;&gt;"",_xlpm.CSVVal
)),"")</f>
        <v/>
      </c>
      <c r="D1006" s="40" t="str" cm="1">
        <f t="array" ref="D1006">IFERROR(_xlfn.LET(
_xlpm.CSVVal,_xlfn.XLOOKUP($A1006,CSV!$A:$A,CSV!D:D,""),
_xlpm.MacVal,_xlfn.XLOOKUP($A1006,Output_Mac!$A:$A,Output_Mac!C:C,""),
_xlpm.MyAuditVal,_xlfn.XLOOKUP($A1006,My_Audit!$A:$A,My_Audit!C:C,""),
_xlfn.IFS(_xlpm.MyAuditVal&lt;&gt;"",_xlpm.MyAuditVal,_xlpm.MacVal&lt;&gt;"",_xlpm.MacVal,_xlpm.CSVVal&lt;&gt;"",_xlpm.CSVVal
)),"")</f>
        <v/>
      </c>
      <c r="E1006" s="40" t="str">
        <f>_xlfn.XLOOKUP(A1006,My_Audit!A:A,My_Audit!D:D,"")</f>
        <v/>
      </c>
      <c r="F1006" s="40" t="str" cm="1">
        <f t="array" ref="F1006">IFERROR(_xlfn.LET(
_xlpm.CSVVal,_xlfn.XLOOKUP($A1006,CSV!$A:$A,CSV!F:F,""),
_xlpm.MacVal,_xlfn.XLOOKUP($A1006,Output_Mac!$A:$A,Output_Mac!E:E,""),
_xlpm.MyAuditVal,_xlfn.XLOOKUP($A1006,My_Audit!$A:$A,My_Audit!E:E,""),
_xlfn.IFS(_xlpm.MyAuditVal&lt;&gt;"",_xlpm.MyAuditVal,_xlpm.MacVal&lt;&gt;"",_xlpm.MacVal,_xlpm.CSVVal&lt;&gt;"",_xlpm.CSVVal
)),"")</f>
        <v/>
      </c>
      <c r="G1006" s="40" t="str" cm="1">
        <f t="array" ref="G1006">IFERROR(_xlfn.LET(
_xlpm.CSVVal,_xlfn.XLOOKUP($A1006,CSV!$A:$A,CSV!G:G,""),
_xlpm.MacVal,_xlfn.XLOOKUP($A1006,Output_Mac!$A:$A,Output_Mac!F:F,""),
_xlpm.MyAuditVal,_xlfn.XLOOKUP($A1006,My_Audit!$A:$A,My_Audit!F:F,""),
_xlfn.IFS(_xlpm.MyAuditVal&lt;&gt;"",_xlpm.MyAuditVal,_xlpm.MacVal&lt;&gt;"",_xlpm.MacVal,_xlpm.CSVVal&lt;&gt;"",PROPER(_xlpm.CSVVal)
)),"")</f>
        <v/>
      </c>
      <c r="H1006" s="40" t="str" cm="1">
        <f t="array" ref="H1006">IFERROR(_xlfn.LET(
_xlpm.CSVVal,_xlfn.XLOOKUP($A1006,CSV!$A:$A,CSV!H:H,""),
_xlpm.MacVal,_xlfn.XLOOKUP($A1006,Output_Mac!$A:$A,Output_Mac!H:H,""),
_xlpm.MyAuditVal,_xlfn.XLOOKUP($A1006,My_Audit!$A:$A,My_Audit!G:G,""),
_xlfn.IFS(_xlpm.MyAuditVal&lt;&gt;"",_xlpm.MyAuditVal,_xlpm.MacVal&lt;&gt;"",_xlpm.MacVal,_xlpm.CSVVal&lt;&gt;"",_xlpm.CSVVal
)),"")</f>
        <v/>
      </c>
      <c r="I1006" s="40" t="str">
        <f>_xlfn.XLOOKUP(A1006,Output_Mac!A:A,Output_Mac!I:I,"")</f>
        <v/>
      </c>
      <c r="J1006" s="40" t="str" cm="1">
        <f t="array" ref="J1006">IFERROR(_xlfn.LET(
_xlpm.CSVVal,_xlfn.XLOOKUP($A1006,CSV!$A:$A,CSV!I:I,""),
_xlpm.MacVal,_xlfn.XLOOKUP($A1006,Output_Mac!$A:$A,Output_Mac!J:J,""),
_xlpm.MyAuditVal,_xlfn.XLOOKUP($A1006,My_Audit!$A:$A,My_Audit!I:I,""),
_xlfn.IFS(_xlpm.MyAuditVal&lt;&gt;"",UPPER(_xlpm.MyAuditVal),_xlpm.MacVal&lt;&gt;"",_xlpm.MacVal,_xlpm.CSVVal&lt;&gt;"",_xlpm.CSVVal
)),"")</f>
        <v/>
      </c>
      <c r="K1006" s="40" t="str" cm="1">
        <f t="array" ref="K1006">IFERROR(_xlfn.LET(
_xlpm.CSVVal,_xlfn.XLOOKUP($A1006,CSV!$A:$A,CSV!K:K,""),
_xlpm.MacVal,_xlfn.XLOOKUP($A1006,Output_Mac!$A:$A,Output_Mac!K:K,""),
_xlpm.MyAuditVal,_xlfn.XLOOKUP($A1006,My_Audit!$A:$A,My_Audit!J:J,""),
_xlfn.IFS(_xlpm.MyAuditVal&lt;&gt;"",UPPER(_xlpm.MyAuditVal),_xlpm.MacVal&lt;&gt;"",_xlpm.MacVal,_xlpm.CSVVal&lt;&gt;"",_xlpm.CSVVal
)),"")</f>
        <v/>
      </c>
      <c r="L1006" s="40" t="str" cm="1">
        <f t="array" ref="L1006">IFERROR(_xlfn.LET(
_xlpm.CSVVal,_xlfn.XLOOKUP($A1006,CSV!$A:$A,CSV!P:P,""),
_xlpm.MacVal,_xlfn.XLOOKUP($A1006,Output_Mac!$A:$A,Output_Mac!L:L,""),
_xlpm.MyAuditVal,_xlfn.XLOOKUP($A1006,My_Audit!$A:$A,My_Audit!K:K,""),
_xlfn.IFS(_xlpm.MyAuditVal&lt;&gt;"",UPPER(_xlpm.MyAuditVal),_xlpm.MacVal&lt;&gt;"",_xlpm.MacVal,_xlpm.CSVVal&lt;&gt;"",_xlpm.CSVVal
)),"")</f>
        <v/>
      </c>
      <c r="M1006" s="40" t="str" cm="1">
        <f t="array" ref="M1006">IFERROR(_xlfn.LET(
_xlpm.CSVVal,_xlfn.XLOOKUP($A1006,CSV!$A:$A,CSV!Q:Q,""),
_xlpm.MacVal,_xlfn.XLOOKUP($A1006,Output_Mac!$A:$A,Output_Mac!M:M,""),
_xlpm.MyAuditVal,_xlfn.XLOOKUP($A1006,My_Audit!$A:$A,My_Audit!L:L,""),
_xlfn.IFS(_xlpm.MyAuditVal&lt;&gt;"",UPPER(_xlpm.MyAuditVal),_xlpm.MacVal&lt;&gt;"",_xlpm.MacVal,_xlpm.CSVVal&lt;&gt;"",_xlpm.CSVVal
)),"")</f>
        <v/>
      </c>
      <c r="N1006" s="40"/>
      <c r="O1006" s="40" t="str">
        <f>_xlfn.LET(
    _xlpm.CSVVal, _xlfn.XLOOKUP($A1006, CSV!$A:$A, CSV!AA:AA, ""),
    _xlpm.MacVal, _xlfn.XLOOKUP($A1006, Output_Mac!$A:$A, Output_Mac!S:S, ""),
    _xlpm.MyAuditVal, _xlfn.XLOOKUP($A1006, My_Audit!$A:$A, My_Audit!P:P, ""),
    _xlfn.TEXTJOIN(", ", TRUE, _xlpm.MyAuditVal, _xlpm.MacVal, _xlpm.CSVVal)
)</f>
        <v/>
      </c>
      <c r="P1006" s="40" t="str" cm="1">
        <f t="array" ref="P1006">IFERROR(_xlfn.LET(
_xlpm.CSVVal,_xlfn.XLOOKUP($A1006,CSV!$A:$A,CSV!AB:AB,""),
_xlpm.MacVal,_xlfn.XLOOKUP($A1006,Output_Mac!$A:$A,Output_Mac!T:T,""),
_xlpm.MyAuditVal,_xlfn.XLOOKUP($A1006,My_Audit!$A:$A,My_Audit!Q:Q,""),
_xlfn.IFS(_xlpm.MyAuditVal&lt;&gt;"",UPPER(_xlpm.MyAuditVal),_xlpm.MacVal&lt;&gt;"",_xlpm.MacVal,_xlpm.CSVVal&lt;&gt;"",_xlpm.CSVVal
)),"No")</f>
        <v>No</v>
      </c>
      <c r="Q1006" s="40" t="str" cm="1">
        <f t="array" ref="Q1006">IFERROR(_xlfn.LET(
_xlpm.CSVVal,_xlfn.XLOOKUP($A1006,CSV!$A:$A,CSV!AC:AC,""),
_xlpm.MacVal,_xlfn.XLOOKUP($A1006,Output_Mac!$A:$A,Output_Mac!U:U,""),
_xlpm.MyAuditVal,_xlfn.XLOOKUP($A1006,My_Audit!$A:$A,My_Audit!R:R,""),
_xlfn.IFS(_xlpm.MyAuditVal&lt;&gt;"",UPPER(_xlpm.MyAuditVal),_xlpm.MacVal&lt;&gt;"",_xlpm.MacVal,_xlpm.CSVVal&lt;&gt;"",_xlpm.CSVVal
)),"")</f>
        <v/>
      </c>
      <c r="R1006" s="40"/>
      <c r="S1006" s="40"/>
      <c r="T1006" s="40"/>
      <c r="U1006" s="40"/>
      <c r="V1006" s="40"/>
      <c r="W1006" s="40"/>
      <c r="X1006" s="41" t="str">
        <f>_xlfn.LET(
    _xlpm.MacVal, _xlfn.XLOOKUP($A1006, Output_Mac!$A:$A, Output_Mac!AB:AB, ""),
    _xlpm.MyAuditVal, _xlfn.XLOOKUP($A1006, My_Audit!$A:$A, My_Audit!N:N, ""),
    _xlfn.TEXTJOIN(", ", TRUE, _xlpm.MyAuditVal, _xlpm.MacVal)
)</f>
        <v/>
      </c>
    </row>
    <row r="1007" spans="1:24">
      <c r="A1007" s="40" t="str">
        <f>_xlfn.TEXTJOIN("",TRUE,Input!$B$2,ROW(My_Audit!A1006))</f>
        <v>X1006</v>
      </c>
      <c r="B1007" s="40" t="str">
        <f>_xlfn.TEXTJOIN("-",TRUE,"ITD",Input!$A$2,A1007)</f>
        <v>ITD-X1006</v>
      </c>
      <c r="C1007" s="40" t="str" cm="1">
        <f t="array" ref="C1007">IFERROR(_xlfn.LET(
_xlpm.CSVVal,_xlfn.XLOOKUP($A1007,CSV!$A:$A,CSV!B:B,""),
_xlpm.MacVal,_xlfn.XLOOKUP($A1007,Output_Mac!$A:$A,Output_Mac!B:B,""),
_xlpm.MyAuditVal,_xlfn.XLOOKUP($A1007,My_Audit!$A:$A,My_Audit!B:B,""),
_xlfn.IFS(_xlpm.MyAuditVal&lt;&gt;"",UPPER(_xlpm.MyAuditVal),_xlpm.MacVal&lt;&gt;"",_xlpm.MacVal,_xlpm.CSVVal&lt;&gt;"",_xlpm.CSVVal
)),"")</f>
        <v/>
      </c>
      <c r="D1007" s="40" t="str" cm="1">
        <f t="array" ref="D1007">IFERROR(_xlfn.LET(
_xlpm.CSVVal,_xlfn.XLOOKUP($A1007,CSV!$A:$A,CSV!D:D,""),
_xlpm.MacVal,_xlfn.XLOOKUP($A1007,Output_Mac!$A:$A,Output_Mac!C:C,""),
_xlpm.MyAuditVal,_xlfn.XLOOKUP($A1007,My_Audit!$A:$A,My_Audit!C:C,""),
_xlfn.IFS(_xlpm.MyAuditVal&lt;&gt;"",_xlpm.MyAuditVal,_xlpm.MacVal&lt;&gt;"",_xlpm.MacVal,_xlpm.CSVVal&lt;&gt;"",_xlpm.CSVVal
)),"")</f>
        <v/>
      </c>
      <c r="E1007" s="40" t="str">
        <f>_xlfn.XLOOKUP(A1007,My_Audit!A:A,My_Audit!D:D,"")</f>
        <v/>
      </c>
      <c r="F1007" s="40" t="str" cm="1">
        <f t="array" ref="F1007">IFERROR(_xlfn.LET(
_xlpm.CSVVal,_xlfn.XLOOKUP($A1007,CSV!$A:$A,CSV!F:F,""),
_xlpm.MacVal,_xlfn.XLOOKUP($A1007,Output_Mac!$A:$A,Output_Mac!E:E,""),
_xlpm.MyAuditVal,_xlfn.XLOOKUP($A1007,My_Audit!$A:$A,My_Audit!E:E,""),
_xlfn.IFS(_xlpm.MyAuditVal&lt;&gt;"",_xlpm.MyAuditVal,_xlpm.MacVal&lt;&gt;"",_xlpm.MacVal,_xlpm.CSVVal&lt;&gt;"",_xlpm.CSVVal
)),"")</f>
        <v/>
      </c>
      <c r="G1007" s="40" t="str" cm="1">
        <f t="array" ref="G1007">IFERROR(_xlfn.LET(
_xlpm.CSVVal,_xlfn.XLOOKUP($A1007,CSV!$A:$A,CSV!G:G,""),
_xlpm.MacVal,_xlfn.XLOOKUP($A1007,Output_Mac!$A:$A,Output_Mac!F:F,""),
_xlpm.MyAuditVal,_xlfn.XLOOKUP($A1007,My_Audit!$A:$A,My_Audit!F:F,""),
_xlfn.IFS(_xlpm.MyAuditVal&lt;&gt;"",_xlpm.MyAuditVal,_xlpm.MacVal&lt;&gt;"",_xlpm.MacVal,_xlpm.CSVVal&lt;&gt;"",PROPER(_xlpm.CSVVal)
)),"")</f>
        <v/>
      </c>
      <c r="H1007" s="40" t="str" cm="1">
        <f t="array" ref="H1007">IFERROR(_xlfn.LET(
_xlpm.CSVVal,_xlfn.XLOOKUP($A1007,CSV!$A:$A,CSV!H:H,""),
_xlpm.MacVal,_xlfn.XLOOKUP($A1007,Output_Mac!$A:$A,Output_Mac!H:H,""),
_xlpm.MyAuditVal,_xlfn.XLOOKUP($A1007,My_Audit!$A:$A,My_Audit!G:G,""),
_xlfn.IFS(_xlpm.MyAuditVal&lt;&gt;"",_xlpm.MyAuditVal,_xlpm.MacVal&lt;&gt;"",_xlpm.MacVal,_xlpm.CSVVal&lt;&gt;"",_xlpm.CSVVal
)),"")</f>
        <v/>
      </c>
      <c r="I1007" s="40" t="str">
        <f>_xlfn.XLOOKUP(A1007,Output_Mac!A:A,Output_Mac!I:I,"")</f>
        <v/>
      </c>
      <c r="J1007" s="40" t="str" cm="1">
        <f t="array" ref="J1007">IFERROR(_xlfn.LET(
_xlpm.CSVVal,_xlfn.XLOOKUP($A1007,CSV!$A:$A,CSV!I:I,""),
_xlpm.MacVal,_xlfn.XLOOKUP($A1007,Output_Mac!$A:$A,Output_Mac!J:J,""),
_xlpm.MyAuditVal,_xlfn.XLOOKUP($A1007,My_Audit!$A:$A,My_Audit!I:I,""),
_xlfn.IFS(_xlpm.MyAuditVal&lt;&gt;"",UPPER(_xlpm.MyAuditVal),_xlpm.MacVal&lt;&gt;"",_xlpm.MacVal,_xlpm.CSVVal&lt;&gt;"",_xlpm.CSVVal
)),"")</f>
        <v/>
      </c>
      <c r="K1007" s="40" t="str" cm="1">
        <f t="array" ref="K1007">IFERROR(_xlfn.LET(
_xlpm.CSVVal,_xlfn.XLOOKUP($A1007,CSV!$A:$A,CSV!K:K,""),
_xlpm.MacVal,_xlfn.XLOOKUP($A1007,Output_Mac!$A:$A,Output_Mac!K:K,""),
_xlpm.MyAuditVal,_xlfn.XLOOKUP($A1007,My_Audit!$A:$A,My_Audit!J:J,""),
_xlfn.IFS(_xlpm.MyAuditVal&lt;&gt;"",UPPER(_xlpm.MyAuditVal),_xlpm.MacVal&lt;&gt;"",_xlpm.MacVal,_xlpm.CSVVal&lt;&gt;"",_xlpm.CSVVal
)),"")</f>
        <v/>
      </c>
      <c r="L1007" s="40" t="str" cm="1">
        <f t="array" ref="L1007">IFERROR(_xlfn.LET(
_xlpm.CSVVal,_xlfn.XLOOKUP($A1007,CSV!$A:$A,CSV!P:P,""),
_xlpm.MacVal,_xlfn.XLOOKUP($A1007,Output_Mac!$A:$A,Output_Mac!L:L,""),
_xlpm.MyAuditVal,_xlfn.XLOOKUP($A1007,My_Audit!$A:$A,My_Audit!K:K,""),
_xlfn.IFS(_xlpm.MyAuditVal&lt;&gt;"",UPPER(_xlpm.MyAuditVal),_xlpm.MacVal&lt;&gt;"",_xlpm.MacVal,_xlpm.CSVVal&lt;&gt;"",_xlpm.CSVVal
)),"")</f>
        <v/>
      </c>
      <c r="M1007" s="40" t="str" cm="1">
        <f t="array" ref="M1007">IFERROR(_xlfn.LET(
_xlpm.CSVVal,_xlfn.XLOOKUP($A1007,CSV!$A:$A,CSV!Q:Q,""),
_xlpm.MacVal,_xlfn.XLOOKUP($A1007,Output_Mac!$A:$A,Output_Mac!M:M,""),
_xlpm.MyAuditVal,_xlfn.XLOOKUP($A1007,My_Audit!$A:$A,My_Audit!L:L,""),
_xlfn.IFS(_xlpm.MyAuditVal&lt;&gt;"",UPPER(_xlpm.MyAuditVal),_xlpm.MacVal&lt;&gt;"",_xlpm.MacVal,_xlpm.CSVVal&lt;&gt;"",_xlpm.CSVVal
)),"")</f>
        <v/>
      </c>
      <c r="N1007" s="40"/>
      <c r="O1007" s="40" t="str">
        <f>_xlfn.LET(
    _xlpm.CSVVal, _xlfn.XLOOKUP($A1007, CSV!$A:$A, CSV!AA:AA, ""),
    _xlpm.MacVal, _xlfn.XLOOKUP($A1007, Output_Mac!$A:$A, Output_Mac!S:S, ""),
    _xlpm.MyAuditVal, _xlfn.XLOOKUP($A1007, My_Audit!$A:$A, My_Audit!P:P, ""),
    _xlfn.TEXTJOIN(", ", TRUE, _xlpm.MyAuditVal, _xlpm.MacVal, _xlpm.CSVVal)
)</f>
        <v/>
      </c>
      <c r="P1007" s="40" t="str" cm="1">
        <f t="array" ref="P1007">IFERROR(_xlfn.LET(
_xlpm.CSVVal,_xlfn.XLOOKUP($A1007,CSV!$A:$A,CSV!AB:AB,""),
_xlpm.MacVal,_xlfn.XLOOKUP($A1007,Output_Mac!$A:$A,Output_Mac!T:T,""),
_xlpm.MyAuditVal,_xlfn.XLOOKUP($A1007,My_Audit!$A:$A,My_Audit!Q:Q,""),
_xlfn.IFS(_xlpm.MyAuditVal&lt;&gt;"",UPPER(_xlpm.MyAuditVal),_xlpm.MacVal&lt;&gt;"",_xlpm.MacVal,_xlpm.CSVVal&lt;&gt;"",_xlpm.CSVVal
)),"No")</f>
        <v>No</v>
      </c>
      <c r="Q1007" s="40" t="str" cm="1">
        <f t="array" ref="Q1007">IFERROR(_xlfn.LET(
_xlpm.CSVVal,_xlfn.XLOOKUP($A1007,CSV!$A:$A,CSV!AC:AC,""),
_xlpm.MacVal,_xlfn.XLOOKUP($A1007,Output_Mac!$A:$A,Output_Mac!U:U,""),
_xlpm.MyAuditVal,_xlfn.XLOOKUP($A1007,My_Audit!$A:$A,My_Audit!R:R,""),
_xlfn.IFS(_xlpm.MyAuditVal&lt;&gt;"",UPPER(_xlpm.MyAuditVal),_xlpm.MacVal&lt;&gt;"",_xlpm.MacVal,_xlpm.CSVVal&lt;&gt;"",_xlpm.CSVVal
)),"")</f>
        <v/>
      </c>
      <c r="R1007" s="40"/>
      <c r="S1007" s="40"/>
      <c r="T1007" s="40"/>
      <c r="U1007" s="40"/>
      <c r="V1007" s="40"/>
      <c r="W1007" s="40"/>
      <c r="X1007" s="41" t="str">
        <f>_xlfn.LET(
    _xlpm.MacVal, _xlfn.XLOOKUP($A1007, Output_Mac!$A:$A, Output_Mac!AB:AB, ""),
    _xlpm.MyAuditVal, _xlfn.XLOOKUP($A1007, My_Audit!$A:$A, My_Audit!N:N, ""),
    _xlfn.TEXTJOIN(", ", TRUE, _xlpm.MyAuditVal, _xlpm.MacVal)
)</f>
        <v/>
      </c>
    </row>
    <row r="1008" spans="1:24">
      <c r="A1008" s="40" t="str">
        <f>_xlfn.TEXTJOIN("",TRUE,Input!$B$2,ROW(My_Audit!A1007))</f>
        <v>X1007</v>
      </c>
      <c r="B1008" s="40" t="str">
        <f>_xlfn.TEXTJOIN("-",TRUE,"ITD",Input!$A$2,A1008)</f>
        <v>ITD-X1007</v>
      </c>
      <c r="C1008" s="40" t="str" cm="1">
        <f t="array" ref="C1008">IFERROR(_xlfn.LET(
_xlpm.CSVVal,_xlfn.XLOOKUP($A1008,CSV!$A:$A,CSV!B:B,""),
_xlpm.MacVal,_xlfn.XLOOKUP($A1008,Output_Mac!$A:$A,Output_Mac!B:B,""),
_xlpm.MyAuditVal,_xlfn.XLOOKUP($A1008,My_Audit!$A:$A,My_Audit!B:B,""),
_xlfn.IFS(_xlpm.MyAuditVal&lt;&gt;"",UPPER(_xlpm.MyAuditVal),_xlpm.MacVal&lt;&gt;"",_xlpm.MacVal,_xlpm.CSVVal&lt;&gt;"",_xlpm.CSVVal
)),"")</f>
        <v/>
      </c>
      <c r="D1008" s="40" t="str" cm="1">
        <f t="array" ref="D1008">IFERROR(_xlfn.LET(
_xlpm.CSVVal,_xlfn.XLOOKUP($A1008,CSV!$A:$A,CSV!D:D,""),
_xlpm.MacVal,_xlfn.XLOOKUP($A1008,Output_Mac!$A:$A,Output_Mac!C:C,""),
_xlpm.MyAuditVal,_xlfn.XLOOKUP($A1008,My_Audit!$A:$A,My_Audit!C:C,""),
_xlfn.IFS(_xlpm.MyAuditVal&lt;&gt;"",_xlpm.MyAuditVal,_xlpm.MacVal&lt;&gt;"",_xlpm.MacVal,_xlpm.CSVVal&lt;&gt;"",_xlpm.CSVVal
)),"")</f>
        <v/>
      </c>
      <c r="E1008" s="40" t="str">
        <f>_xlfn.XLOOKUP(A1008,My_Audit!A:A,My_Audit!D:D,"")</f>
        <v/>
      </c>
      <c r="F1008" s="40" t="str" cm="1">
        <f t="array" ref="F1008">IFERROR(_xlfn.LET(
_xlpm.CSVVal,_xlfn.XLOOKUP($A1008,CSV!$A:$A,CSV!F:F,""),
_xlpm.MacVal,_xlfn.XLOOKUP($A1008,Output_Mac!$A:$A,Output_Mac!E:E,""),
_xlpm.MyAuditVal,_xlfn.XLOOKUP($A1008,My_Audit!$A:$A,My_Audit!E:E,""),
_xlfn.IFS(_xlpm.MyAuditVal&lt;&gt;"",_xlpm.MyAuditVal,_xlpm.MacVal&lt;&gt;"",_xlpm.MacVal,_xlpm.CSVVal&lt;&gt;"",_xlpm.CSVVal
)),"")</f>
        <v/>
      </c>
      <c r="G1008" s="40" t="str" cm="1">
        <f t="array" ref="G1008">IFERROR(_xlfn.LET(
_xlpm.CSVVal,_xlfn.XLOOKUP($A1008,CSV!$A:$A,CSV!G:G,""),
_xlpm.MacVal,_xlfn.XLOOKUP($A1008,Output_Mac!$A:$A,Output_Mac!F:F,""),
_xlpm.MyAuditVal,_xlfn.XLOOKUP($A1008,My_Audit!$A:$A,My_Audit!F:F,""),
_xlfn.IFS(_xlpm.MyAuditVal&lt;&gt;"",_xlpm.MyAuditVal,_xlpm.MacVal&lt;&gt;"",_xlpm.MacVal,_xlpm.CSVVal&lt;&gt;"",PROPER(_xlpm.CSVVal)
)),"")</f>
        <v/>
      </c>
      <c r="H1008" s="40" t="str" cm="1">
        <f t="array" ref="H1008">IFERROR(_xlfn.LET(
_xlpm.CSVVal,_xlfn.XLOOKUP($A1008,CSV!$A:$A,CSV!H:H,""),
_xlpm.MacVal,_xlfn.XLOOKUP($A1008,Output_Mac!$A:$A,Output_Mac!H:H,""),
_xlpm.MyAuditVal,_xlfn.XLOOKUP($A1008,My_Audit!$A:$A,My_Audit!G:G,""),
_xlfn.IFS(_xlpm.MyAuditVal&lt;&gt;"",_xlpm.MyAuditVal,_xlpm.MacVal&lt;&gt;"",_xlpm.MacVal,_xlpm.CSVVal&lt;&gt;"",_xlpm.CSVVal
)),"")</f>
        <v/>
      </c>
      <c r="I1008" s="40" t="str">
        <f>_xlfn.XLOOKUP(A1008,Output_Mac!A:A,Output_Mac!I:I,"")</f>
        <v/>
      </c>
      <c r="J1008" s="40" t="str" cm="1">
        <f t="array" ref="J1008">IFERROR(_xlfn.LET(
_xlpm.CSVVal,_xlfn.XLOOKUP($A1008,CSV!$A:$A,CSV!I:I,""),
_xlpm.MacVal,_xlfn.XLOOKUP($A1008,Output_Mac!$A:$A,Output_Mac!J:J,""),
_xlpm.MyAuditVal,_xlfn.XLOOKUP($A1008,My_Audit!$A:$A,My_Audit!I:I,""),
_xlfn.IFS(_xlpm.MyAuditVal&lt;&gt;"",UPPER(_xlpm.MyAuditVal),_xlpm.MacVal&lt;&gt;"",_xlpm.MacVal,_xlpm.CSVVal&lt;&gt;"",_xlpm.CSVVal
)),"")</f>
        <v/>
      </c>
      <c r="K1008" s="40" t="str" cm="1">
        <f t="array" ref="K1008">IFERROR(_xlfn.LET(
_xlpm.CSVVal,_xlfn.XLOOKUP($A1008,CSV!$A:$A,CSV!K:K,""),
_xlpm.MacVal,_xlfn.XLOOKUP($A1008,Output_Mac!$A:$A,Output_Mac!K:K,""),
_xlpm.MyAuditVal,_xlfn.XLOOKUP($A1008,My_Audit!$A:$A,My_Audit!J:J,""),
_xlfn.IFS(_xlpm.MyAuditVal&lt;&gt;"",UPPER(_xlpm.MyAuditVal),_xlpm.MacVal&lt;&gt;"",_xlpm.MacVal,_xlpm.CSVVal&lt;&gt;"",_xlpm.CSVVal
)),"")</f>
        <v/>
      </c>
      <c r="L1008" s="40" t="str" cm="1">
        <f t="array" ref="L1008">IFERROR(_xlfn.LET(
_xlpm.CSVVal,_xlfn.XLOOKUP($A1008,CSV!$A:$A,CSV!P:P,""),
_xlpm.MacVal,_xlfn.XLOOKUP($A1008,Output_Mac!$A:$A,Output_Mac!L:L,""),
_xlpm.MyAuditVal,_xlfn.XLOOKUP($A1008,My_Audit!$A:$A,My_Audit!K:K,""),
_xlfn.IFS(_xlpm.MyAuditVal&lt;&gt;"",UPPER(_xlpm.MyAuditVal),_xlpm.MacVal&lt;&gt;"",_xlpm.MacVal,_xlpm.CSVVal&lt;&gt;"",_xlpm.CSVVal
)),"")</f>
        <v/>
      </c>
      <c r="M1008" s="40" t="str" cm="1">
        <f t="array" ref="M1008">IFERROR(_xlfn.LET(
_xlpm.CSVVal,_xlfn.XLOOKUP($A1008,CSV!$A:$A,CSV!Q:Q,""),
_xlpm.MacVal,_xlfn.XLOOKUP($A1008,Output_Mac!$A:$A,Output_Mac!M:M,""),
_xlpm.MyAuditVal,_xlfn.XLOOKUP($A1008,My_Audit!$A:$A,My_Audit!L:L,""),
_xlfn.IFS(_xlpm.MyAuditVal&lt;&gt;"",UPPER(_xlpm.MyAuditVal),_xlpm.MacVal&lt;&gt;"",_xlpm.MacVal,_xlpm.CSVVal&lt;&gt;"",_xlpm.CSVVal
)),"")</f>
        <v/>
      </c>
      <c r="N1008" s="40"/>
      <c r="O1008" s="40" t="str">
        <f>_xlfn.LET(
    _xlpm.CSVVal, _xlfn.XLOOKUP($A1008, CSV!$A:$A, CSV!AA:AA, ""),
    _xlpm.MacVal, _xlfn.XLOOKUP($A1008, Output_Mac!$A:$A, Output_Mac!S:S, ""),
    _xlpm.MyAuditVal, _xlfn.XLOOKUP($A1008, My_Audit!$A:$A, My_Audit!P:P, ""),
    _xlfn.TEXTJOIN(", ", TRUE, _xlpm.MyAuditVal, _xlpm.MacVal, _xlpm.CSVVal)
)</f>
        <v/>
      </c>
      <c r="P1008" s="40" t="str" cm="1">
        <f t="array" ref="P1008">IFERROR(_xlfn.LET(
_xlpm.CSVVal,_xlfn.XLOOKUP($A1008,CSV!$A:$A,CSV!AB:AB,""),
_xlpm.MacVal,_xlfn.XLOOKUP($A1008,Output_Mac!$A:$A,Output_Mac!T:T,""),
_xlpm.MyAuditVal,_xlfn.XLOOKUP($A1008,My_Audit!$A:$A,My_Audit!Q:Q,""),
_xlfn.IFS(_xlpm.MyAuditVal&lt;&gt;"",UPPER(_xlpm.MyAuditVal),_xlpm.MacVal&lt;&gt;"",_xlpm.MacVal,_xlpm.CSVVal&lt;&gt;"",_xlpm.CSVVal
)),"No")</f>
        <v>No</v>
      </c>
      <c r="Q1008" s="40" t="str" cm="1">
        <f t="array" ref="Q1008">IFERROR(_xlfn.LET(
_xlpm.CSVVal,_xlfn.XLOOKUP($A1008,CSV!$A:$A,CSV!AC:AC,""),
_xlpm.MacVal,_xlfn.XLOOKUP($A1008,Output_Mac!$A:$A,Output_Mac!U:U,""),
_xlpm.MyAuditVal,_xlfn.XLOOKUP($A1008,My_Audit!$A:$A,My_Audit!R:R,""),
_xlfn.IFS(_xlpm.MyAuditVal&lt;&gt;"",UPPER(_xlpm.MyAuditVal),_xlpm.MacVal&lt;&gt;"",_xlpm.MacVal,_xlpm.CSVVal&lt;&gt;"",_xlpm.CSVVal
)),"")</f>
        <v/>
      </c>
      <c r="R1008" s="40"/>
      <c r="S1008" s="40"/>
      <c r="T1008" s="40"/>
      <c r="U1008" s="40"/>
      <c r="V1008" s="40"/>
      <c r="W1008" s="40"/>
      <c r="X1008" s="41" t="str">
        <f>_xlfn.LET(
    _xlpm.MacVal, _xlfn.XLOOKUP($A1008, Output_Mac!$A:$A, Output_Mac!AB:AB, ""),
    _xlpm.MyAuditVal, _xlfn.XLOOKUP($A1008, My_Audit!$A:$A, My_Audit!N:N, ""),
    _xlfn.TEXTJOIN(", ", TRUE, _xlpm.MyAuditVal, _xlpm.MacVal)
)</f>
        <v/>
      </c>
    </row>
    <row r="1009" spans="1:24">
      <c r="A1009" s="40" t="str">
        <f>_xlfn.TEXTJOIN("",TRUE,Input!$B$2,ROW(My_Audit!A1008))</f>
        <v>X1008</v>
      </c>
      <c r="B1009" s="40" t="str">
        <f>_xlfn.TEXTJOIN("-",TRUE,"ITD",Input!$A$2,A1009)</f>
        <v>ITD-X1008</v>
      </c>
      <c r="C1009" s="40" t="str" cm="1">
        <f t="array" ref="C1009">IFERROR(_xlfn.LET(
_xlpm.CSVVal,_xlfn.XLOOKUP($A1009,CSV!$A:$A,CSV!B:B,""),
_xlpm.MacVal,_xlfn.XLOOKUP($A1009,Output_Mac!$A:$A,Output_Mac!B:B,""),
_xlpm.MyAuditVal,_xlfn.XLOOKUP($A1009,My_Audit!$A:$A,My_Audit!B:B,""),
_xlfn.IFS(_xlpm.MyAuditVal&lt;&gt;"",UPPER(_xlpm.MyAuditVal),_xlpm.MacVal&lt;&gt;"",_xlpm.MacVal,_xlpm.CSVVal&lt;&gt;"",_xlpm.CSVVal
)),"")</f>
        <v/>
      </c>
      <c r="D1009" s="40" t="str" cm="1">
        <f t="array" ref="D1009">IFERROR(_xlfn.LET(
_xlpm.CSVVal,_xlfn.XLOOKUP($A1009,CSV!$A:$A,CSV!D:D,""),
_xlpm.MacVal,_xlfn.XLOOKUP($A1009,Output_Mac!$A:$A,Output_Mac!C:C,""),
_xlpm.MyAuditVal,_xlfn.XLOOKUP($A1009,My_Audit!$A:$A,My_Audit!C:C,""),
_xlfn.IFS(_xlpm.MyAuditVal&lt;&gt;"",_xlpm.MyAuditVal,_xlpm.MacVal&lt;&gt;"",_xlpm.MacVal,_xlpm.CSVVal&lt;&gt;"",_xlpm.CSVVal
)),"")</f>
        <v/>
      </c>
      <c r="E1009" s="40" t="str">
        <f>_xlfn.XLOOKUP(A1009,My_Audit!A:A,My_Audit!D:D,"")</f>
        <v/>
      </c>
      <c r="F1009" s="40" t="str" cm="1">
        <f t="array" ref="F1009">IFERROR(_xlfn.LET(
_xlpm.CSVVal,_xlfn.XLOOKUP($A1009,CSV!$A:$A,CSV!F:F,""),
_xlpm.MacVal,_xlfn.XLOOKUP($A1009,Output_Mac!$A:$A,Output_Mac!E:E,""),
_xlpm.MyAuditVal,_xlfn.XLOOKUP($A1009,My_Audit!$A:$A,My_Audit!E:E,""),
_xlfn.IFS(_xlpm.MyAuditVal&lt;&gt;"",_xlpm.MyAuditVal,_xlpm.MacVal&lt;&gt;"",_xlpm.MacVal,_xlpm.CSVVal&lt;&gt;"",_xlpm.CSVVal
)),"")</f>
        <v/>
      </c>
      <c r="G1009" s="40" t="str" cm="1">
        <f t="array" ref="G1009">IFERROR(_xlfn.LET(
_xlpm.CSVVal,_xlfn.XLOOKUP($A1009,CSV!$A:$A,CSV!G:G,""),
_xlpm.MacVal,_xlfn.XLOOKUP($A1009,Output_Mac!$A:$A,Output_Mac!F:F,""),
_xlpm.MyAuditVal,_xlfn.XLOOKUP($A1009,My_Audit!$A:$A,My_Audit!F:F,""),
_xlfn.IFS(_xlpm.MyAuditVal&lt;&gt;"",_xlpm.MyAuditVal,_xlpm.MacVal&lt;&gt;"",_xlpm.MacVal,_xlpm.CSVVal&lt;&gt;"",PROPER(_xlpm.CSVVal)
)),"")</f>
        <v/>
      </c>
      <c r="H1009" s="40" t="str" cm="1">
        <f t="array" ref="H1009">IFERROR(_xlfn.LET(
_xlpm.CSVVal,_xlfn.XLOOKUP($A1009,CSV!$A:$A,CSV!H:H,""),
_xlpm.MacVal,_xlfn.XLOOKUP($A1009,Output_Mac!$A:$A,Output_Mac!H:H,""),
_xlpm.MyAuditVal,_xlfn.XLOOKUP($A1009,My_Audit!$A:$A,My_Audit!G:G,""),
_xlfn.IFS(_xlpm.MyAuditVal&lt;&gt;"",_xlpm.MyAuditVal,_xlpm.MacVal&lt;&gt;"",_xlpm.MacVal,_xlpm.CSVVal&lt;&gt;"",_xlpm.CSVVal
)),"")</f>
        <v/>
      </c>
      <c r="I1009" s="40" t="str">
        <f>_xlfn.XLOOKUP(A1009,Output_Mac!A:A,Output_Mac!I:I,"")</f>
        <v/>
      </c>
      <c r="J1009" s="40" t="str" cm="1">
        <f t="array" ref="J1009">IFERROR(_xlfn.LET(
_xlpm.CSVVal,_xlfn.XLOOKUP($A1009,CSV!$A:$A,CSV!I:I,""),
_xlpm.MacVal,_xlfn.XLOOKUP($A1009,Output_Mac!$A:$A,Output_Mac!J:J,""),
_xlpm.MyAuditVal,_xlfn.XLOOKUP($A1009,My_Audit!$A:$A,My_Audit!I:I,""),
_xlfn.IFS(_xlpm.MyAuditVal&lt;&gt;"",UPPER(_xlpm.MyAuditVal),_xlpm.MacVal&lt;&gt;"",_xlpm.MacVal,_xlpm.CSVVal&lt;&gt;"",_xlpm.CSVVal
)),"")</f>
        <v/>
      </c>
      <c r="K1009" s="40" t="str" cm="1">
        <f t="array" ref="K1009">IFERROR(_xlfn.LET(
_xlpm.CSVVal,_xlfn.XLOOKUP($A1009,CSV!$A:$A,CSV!K:K,""),
_xlpm.MacVal,_xlfn.XLOOKUP($A1009,Output_Mac!$A:$A,Output_Mac!K:K,""),
_xlpm.MyAuditVal,_xlfn.XLOOKUP($A1009,My_Audit!$A:$A,My_Audit!J:J,""),
_xlfn.IFS(_xlpm.MyAuditVal&lt;&gt;"",UPPER(_xlpm.MyAuditVal),_xlpm.MacVal&lt;&gt;"",_xlpm.MacVal,_xlpm.CSVVal&lt;&gt;"",_xlpm.CSVVal
)),"")</f>
        <v/>
      </c>
      <c r="L1009" s="40" t="str" cm="1">
        <f t="array" ref="L1009">IFERROR(_xlfn.LET(
_xlpm.CSVVal,_xlfn.XLOOKUP($A1009,CSV!$A:$A,CSV!P:P,""),
_xlpm.MacVal,_xlfn.XLOOKUP($A1009,Output_Mac!$A:$A,Output_Mac!L:L,""),
_xlpm.MyAuditVal,_xlfn.XLOOKUP($A1009,My_Audit!$A:$A,My_Audit!K:K,""),
_xlfn.IFS(_xlpm.MyAuditVal&lt;&gt;"",UPPER(_xlpm.MyAuditVal),_xlpm.MacVal&lt;&gt;"",_xlpm.MacVal,_xlpm.CSVVal&lt;&gt;"",_xlpm.CSVVal
)),"")</f>
        <v/>
      </c>
      <c r="M1009" s="40" t="str" cm="1">
        <f t="array" ref="M1009">IFERROR(_xlfn.LET(
_xlpm.CSVVal,_xlfn.XLOOKUP($A1009,CSV!$A:$A,CSV!Q:Q,""),
_xlpm.MacVal,_xlfn.XLOOKUP($A1009,Output_Mac!$A:$A,Output_Mac!M:M,""),
_xlpm.MyAuditVal,_xlfn.XLOOKUP($A1009,My_Audit!$A:$A,My_Audit!L:L,""),
_xlfn.IFS(_xlpm.MyAuditVal&lt;&gt;"",UPPER(_xlpm.MyAuditVal),_xlpm.MacVal&lt;&gt;"",_xlpm.MacVal,_xlpm.CSVVal&lt;&gt;"",_xlpm.CSVVal
)),"")</f>
        <v/>
      </c>
      <c r="N1009" s="40"/>
      <c r="O1009" s="40" t="str">
        <f>_xlfn.LET(
    _xlpm.CSVVal, _xlfn.XLOOKUP($A1009, CSV!$A:$A, CSV!AA:AA, ""),
    _xlpm.MacVal, _xlfn.XLOOKUP($A1009, Output_Mac!$A:$A, Output_Mac!S:S, ""),
    _xlpm.MyAuditVal, _xlfn.XLOOKUP($A1009, My_Audit!$A:$A, My_Audit!P:P, ""),
    _xlfn.TEXTJOIN(", ", TRUE, _xlpm.MyAuditVal, _xlpm.MacVal, _xlpm.CSVVal)
)</f>
        <v/>
      </c>
      <c r="P1009" s="40" t="str" cm="1">
        <f t="array" ref="P1009">IFERROR(_xlfn.LET(
_xlpm.CSVVal,_xlfn.XLOOKUP($A1009,CSV!$A:$A,CSV!AB:AB,""),
_xlpm.MacVal,_xlfn.XLOOKUP($A1009,Output_Mac!$A:$A,Output_Mac!T:T,""),
_xlpm.MyAuditVal,_xlfn.XLOOKUP($A1009,My_Audit!$A:$A,My_Audit!Q:Q,""),
_xlfn.IFS(_xlpm.MyAuditVal&lt;&gt;"",UPPER(_xlpm.MyAuditVal),_xlpm.MacVal&lt;&gt;"",_xlpm.MacVal,_xlpm.CSVVal&lt;&gt;"",_xlpm.CSVVal
)),"No")</f>
        <v>No</v>
      </c>
      <c r="Q1009" s="40" t="str" cm="1">
        <f t="array" ref="Q1009">IFERROR(_xlfn.LET(
_xlpm.CSVVal,_xlfn.XLOOKUP($A1009,CSV!$A:$A,CSV!AC:AC,""),
_xlpm.MacVal,_xlfn.XLOOKUP($A1009,Output_Mac!$A:$A,Output_Mac!U:U,""),
_xlpm.MyAuditVal,_xlfn.XLOOKUP($A1009,My_Audit!$A:$A,My_Audit!R:R,""),
_xlfn.IFS(_xlpm.MyAuditVal&lt;&gt;"",UPPER(_xlpm.MyAuditVal),_xlpm.MacVal&lt;&gt;"",_xlpm.MacVal,_xlpm.CSVVal&lt;&gt;"",_xlpm.CSVVal
)),"")</f>
        <v/>
      </c>
      <c r="R1009" s="40"/>
      <c r="S1009" s="40"/>
      <c r="T1009" s="40"/>
      <c r="U1009" s="40"/>
      <c r="V1009" s="40"/>
      <c r="W1009" s="40"/>
      <c r="X1009" s="41" t="str">
        <f>_xlfn.LET(
    _xlpm.MacVal, _xlfn.XLOOKUP($A1009, Output_Mac!$A:$A, Output_Mac!AB:AB, ""),
    _xlpm.MyAuditVal, _xlfn.XLOOKUP($A1009, My_Audit!$A:$A, My_Audit!N:N, ""),
    _xlfn.TEXTJOIN(", ", TRUE, _xlpm.MyAuditVal, _xlpm.MacVal)
)</f>
        <v/>
      </c>
    </row>
    <row r="1010" spans="1:24">
      <c r="A1010" s="40" t="str">
        <f>_xlfn.TEXTJOIN("",TRUE,Input!$B$2,ROW(My_Audit!A1009))</f>
        <v>X1009</v>
      </c>
      <c r="B1010" s="40" t="str">
        <f>_xlfn.TEXTJOIN("-",TRUE,"ITD",Input!$A$2,A1010)</f>
        <v>ITD-X1009</v>
      </c>
      <c r="C1010" s="40" t="str" cm="1">
        <f t="array" ref="C1010">IFERROR(_xlfn.LET(
_xlpm.CSVVal,_xlfn.XLOOKUP($A1010,CSV!$A:$A,CSV!B:B,""),
_xlpm.MacVal,_xlfn.XLOOKUP($A1010,Output_Mac!$A:$A,Output_Mac!B:B,""),
_xlpm.MyAuditVal,_xlfn.XLOOKUP($A1010,My_Audit!$A:$A,My_Audit!B:B,""),
_xlfn.IFS(_xlpm.MyAuditVal&lt;&gt;"",UPPER(_xlpm.MyAuditVal),_xlpm.MacVal&lt;&gt;"",_xlpm.MacVal,_xlpm.CSVVal&lt;&gt;"",_xlpm.CSVVal
)),"")</f>
        <v/>
      </c>
      <c r="D1010" s="40" t="str" cm="1">
        <f t="array" ref="D1010">IFERROR(_xlfn.LET(
_xlpm.CSVVal,_xlfn.XLOOKUP($A1010,CSV!$A:$A,CSV!D:D,""),
_xlpm.MacVal,_xlfn.XLOOKUP($A1010,Output_Mac!$A:$A,Output_Mac!C:C,""),
_xlpm.MyAuditVal,_xlfn.XLOOKUP($A1010,My_Audit!$A:$A,My_Audit!C:C,""),
_xlfn.IFS(_xlpm.MyAuditVal&lt;&gt;"",_xlpm.MyAuditVal,_xlpm.MacVal&lt;&gt;"",_xlpm.MacVal,_xlpm.CSVVal&lt;&gt;"",_xlpm.CSVVal
)),"")</f>
        <v/>
      </c>
      <c r="E1010" s="40" t="str">
        <f>_xlfn.XLOOKUP(A1010,My_Audit!A:A,My_Audit!D:D,"")</f>
        <v/>
      </c>
      <c r="F1010" s="40" t="str" cm="1">
        <f t="array" ref="F1010">IFERROR(_xlfn.LET(
_xlpm.CSVVal,_xlfn.XLOOKUP($A1010,CSV!$A:$A,CSV!F:F,""),
_xlpm.MacVal,_xlfn.XLOOKUP($A1010,Output_Mac!$A:$A,Output_Mac!E:E,""),
_xlpm.MyAuditVal,_xlfn.XLOOKUP($A1010,My_Audit!$A:$A,My_Audit!E:E,""),
_xlfn.IFS(_xlpm.MyAuditVal&lt;&gt;"",_xlpm.MyAuditVal,_xlpm.MacVal&lt;&gt;"",_xlpm.MacVal,_xlpm.CSVVal&lt;&gt;"",_xlpm.CSVVal
)),"")</f>
        <v/>
      </c>
      <c r="G1010" s="40" t="str" cm="1">
        <f t="array" ref="G1010">IFERROR(_xlfn.LET(
_xlpm.CSVVal,_xlfn.XLOOKUP($A1010,CSV!$A:$A,CSV!G:G,""),
_xlpm.MacVal,_xlfn.XLOOKUP($A1010,Output_Mac!$A:$A,Output_Mac!F:F,""),
_xlpm.MyAuditVal,_xlfn.XLOOKUP($A1010,My_Audit!$A:$A,My_Audit!F:F,""),
_xlfn.IFS(_xlpm.MyAuditVal&lt;&gt;"",_xlpm.MyAuditVal,_xlpm.MacVal&lt;&gt;"",_xlpm.MacVal,_xlpm.CSVVal&lt;&gt;"",PROPER(_xlpm.CSVVal)
)),"")</f>
        <v/>
      </c>
      <c r="H1010" s="40" t="str" cm="1">
        <f t="array" ref="H1010">IFERROR(_xlfn.LET(
_xlpm.CSVVal,_xlfn.XLOOKUP($A1010,CSV!$A:$A,CSV!H:H,""),
_xlpm.MacVal,_xlfn.XLOOKUP($A1010,Output_Mac!$A:$A,Output_Mac!H:H,""),
_xlpm.MyAuditVal,_xlfn.XLOOKUP($A1010,My_Audit!$A:$A,My_Audit!G:G,""),
_xlfn.IFS(_xlpm.MyAuditVal&lt;&gt;"",_xlpm.MyAuditVal,_xlpm.MacVal&lt;&gt;"",_xlpm.MacVal,_xlpm.CSVVal&lt;&gt;"",_xlpm.CSVVal
)),"")</f>
        <v/>
      </c>
      <c r="I1010" s="40" t="str">
        <f>_xlfn.XLOOKUP(A1010,Output_Mac!A:A,Output_Mac!I:I,"")</f>
        <v/>
      </c>
      <c r="J1010" s="40" t="str" cm="1">
        <f t="array" ref="J1010">IFERROR(_xlfn.LET(
_xlpm.CSVVal,_xlfn.XLOOKUP($A1010,CSV!$A:$A,CSV!I:I,""),
_xlpm.MacVal,_xlfn.XLOOKUP($A1010,Output_Mac!$A:$A,Output_Mac!J:J,""),
_xlpm.MyAuditVal,_xlfn.XLOOKUP($A1010,My_Audit!$A:$A,My_Audit!I:I,""),
_xlfn.IFS(_xlpm.MyAuditVal&lt;&gt;"",UPPER(_xlpm.MyAuditVal),_xlpm.MacVal&lt;&gt;"",_xlpm.MacVal,_xlpm.CSVVal&lt;&gt;"",_xlpm.CSVVal
)),"")</f>
        <v/>
      </c>
      <c r="K1010" s="40" t="str" cm="1">
        <f t="array" ref="K1010">IFERROR(_xlfn.LET(
_xlpm.CSVVal,_xlfn.XLOOKUP($A1010,CSV!$A:$A,CSV!K:K,""),
_xlpm.MacVal,_xlfn.XLOOKUP($A1010,Output_Mac!$A:$A,Output_Mac!K:K,""),
_xlpm.MyAuditVal,_xlfn.XLOOKUP($A1010,My_Audit!$A:$A,My_Audit!J:J,""),
_xlfn.IFS(_xlpm.MyAuditVal&lt;&gt;"",UPPER(_xlpm.MyAuditVal),_xlpm.MacVal&lt;&gt;"",_xlpm.MacVal,_xlpm.CSVVal&lt;&gt;"",_xlpm.CSVVal
)),"")</f>
        <v/>
      </c>
      <c r="L1010" s="40" t="str" cm="1">
        <f t="array" ref="L1010">IFERROR(_xlfn.LET(
_xlpm.CSVVal,_xlfn.XLOOKUP($A1010,CSV!$A:$A,CSV!P:P,""),
_xlpm.MacVal,_xlfn.XLOOKUP($A1010,Output_Mac!$A:$A,Output_Mac!L:L,""),
_xlpm.MyAuditVal,_xlfn.XLOOKUP($A1010,My_Audit!$A:$A,My_Audit!K:K,""),
_xlfn.IFS(_xlpm.MyAuditVal&lt;&gt;"",UPPER(_xlpm.MyAuditVal),_xlpm.MacVal&lt;&gt;"",_xlpm.MacVal,_xlpm.CSVVal&lt;&gt;"",_xlpm.CSVVal
)),"")</f>
        <v/>
      </c>
      <c r="M1010" s="40" t="str" cm="1">
        <f t="array" ref="M1010">IFERROR(_xlfn.LET(
_xlpm.CSVVal,_xlfn.XLOOKUP($A1010,CSV!$A:$A,CSV!Q:Q,""),
_xlpm.MacVal,_xlfn.XLOOKUP($A1010,Output_Mac!$A:$A,Output_Mac!M:M,""),
_xlpm.MyAuditVal,_xlfn.XLOOKUP($A1010,My_Audit!$A:$A,My_Audit!L:L,""),
_xlfn.IFS(_xlpm.MyAuditVal&lt;&gt;"",UPPER(_xlpm.MyAuditVal),_xlpm.MacVal&lt;&gt;"",_xlpm.MacVal,_xlpm.CSVVal&lt;&gt;"",_xlpm.CSVVal
)),"")</f>
        <v/>
      </c>
      <c r="N1010" s="40"/>
      <c r="O1010" s="40" t="str">
        <f>_xlfn.LET(
    _xlpm.CSVVal, _xlfn.XLOOKUP($A1010, CSV!$A:$A, CSV!AA:AA, ""),
    _xlpm.MacVal, _xlfn.XLOOKUP($A1010, Output_Mac!$A:$A, Output_Mac!S:S, ""),
    _xlpm.MyAuditVal, _xlfn.XLOOKUP($A1010, My_Audit!$A:$A, My_Audit!P:P, ""),
    _xlfn.TEXTJOIN(", ", TRUE, _xlpm.MyAuditVal, _xlpm.MacVal, _xlpm.CSVVal)
)</f>
        <v/>
      </c>
      <c r="P1010" s="40" t="str" cm="1">
        <f t="array" ref="P1010">IFERROR(_xlfn.LET(
_xlpm.CSVVal,_xlfn.XLOOKUP($A1010,CSV!$A:$A,CSV!AB:AB,""),
_xlpm.MacVal,_xlfn.XLOOKUP($A1010,Output_Mac!$A:$A,Output_Mac!T:T,""),
_xlpm.MyAuditVal,_xlfn.XLOOKUP($A1010,My_Audit!$A:$A,My_Audit!Q:Q,""),
_xlfn.IFS(_xlpm.MyAuditVal&lt;&gt;"",UPPER(_xlpm.MyAuditVal),_xlpm.MacVal&lt;&gt;"",_xlpm.MacVal,_xlpm.CSVVal&lt;&gt;"",_xlpm.CSVVal
)),"No")</f>
        <v>No</v>
      </c>
      <c r="Q1010" s="40" t="str" cm="1">
        <f t="array" ref="Q1010">IFERROR(_xlfn.LET(
_xlpm.CSVVal,_xlfn.XLOOKUP($A1010,CSV!$A:$A,CSV!AC:AC,""),
_xlpm.MacVal,_xlfn.XLOOKUP($A1010,Output_Mac!$A:$A,Output_Mac!U:U,""),
_xlpm.MyAuditVal,_xlfn.XLOOKUP($A1010,My_Audit!$A:$A,My_Audit!R:R,""),
_xlfn.IFS(_xlpm.MyAuditVal&lt;&gt;"",UPPER(_xlpm.MyAuditVal),_xlpm.MacVal&lt;&gt;"",_xlpm.MacVal,_xlpm.CSVVal&lt;&gt;"",_xlpm.CSVVal
)),"")</f>
        <v/>
      </c>
      <c r="R1010" s="40"/>
      <c r="S1010" s="40"/>
      <c r="T1010" s="40"/>
      <c r="U1010" s="40"/>
      <c r="V1010" s="40"/>
      <c r="W1010" s="40"/>
      <c r="X1010" s="41" t="str">
        <f>_xlfn.LET(
    _xlpm.MacVal, _xlfn.XLOOKUP($A1010, Output_Mac!$A:$A, Output_Mac!AB:AB, ""),
    _xlpm.MyAuditVal, _xlfn.XLOOKUP($A1010, My_Audit!$A:$A, My_Audit!N:N, ""),
    _xlfn.TEXTJOIN(", ", TRUE, _xlpm.MyAuditVal, _xlpm.MacVal)
)</f>
        <v/>
      </c>
    </row>
    <row r="1011" spans="1:24">
      <c r="A1011" s="40" t="str">
        <f>_xlfn.TEXTJOIN("",TRUE,Input!$B$2,ROW(My_Audit!A1010))</f>
        <v>X1010</v>
      </c>
      <c r="B1011" s="40" t="str">
        <f>_xlfn.TEXTJOIN("-",TRUE,"ITD",Input!$A$2,A1011)</f>
        <v>ITD-X1010</v>
      </c>
      <c r="C1011" s="40" t="str" cm="1">
        <f t="array" ref="C1011">IFERROR(_xlfn.LET(
_xlpm.CSVVal,_xlfn.XLOOKUP($A1011,CSV!$A:$A,CSV!B:B,""),
_xlpm.MacVal,_xlfn.XLOOKUP($A1011,Output_Mac!$A:$A,Output_Mac!B:B,""),
_xlpm.MyAuditVal,_xlfn.XLOOKUP($A1011,My_Audit!$A:$A,My_Audit!B:B,""),
_xlfn.IFS(_xlpm.MyAuditVal&lt;&gt;"",UPPER(_xlpm.MyAuditVal),_xlpm.MacVal&lt;&gt;"",_xlpm.MacVal,_xlpm.CSVVal&lt;&gt;"",_xlpm.CSVVal
)),"")</f>
        <v/>
      </c>
      <c r="D1011" s="40" t="str" cm="1">
        <f t="array" ref="D1011">IFERROR(_xlfn.LET(
_xlpm.CSVVal,_xlfn.XLOOKUP($A1011,CSV!$A:$A,CSV!D:D,""),
_xlpm.MacVal,_xlfn.XLOOKUP($A1011,Output_Mac!$A:$A,Output_Mac!C:C,""),
_xlpm.MyAuditVal,_xlfn.XLOOKUP($A1011,My_Audit!$A:$A,My_Audit!C:C,""),
_xlfn.IFS(_xlpm.MyAuditVal&lt;&gt;"",_xlpm.MyAuditVal,_xlpm.MacVal&lt;&gt;"",_xlpm.MacVal,_xlpm.CSVVal&lt;&gt;"",_xlpm.CSVVal
)),"")</f>
        <v/>
      </c>
      <c r="E1011" s="40" t="str">
        <f>_xlfn.XLOOKUP(A1011,My_Audit!A:A,My_Audit!D:D,"")</f>
        <v/>
      </c>
      <c r="F1011" s="40" t="str" cm="1">
        <f t="array" ref="F1011">IFERROR(_xlfn.LET(
_xlpm.CSVVal,_xlfn.XLOOKUP($A1011,CSV!$A:$A,CSV!F:F,""),
_xlpm.MacVal,_xlfn.XLOOKUP($A1011,Output_Mac!$A:$A,Output_Mac!E:E,""),
_xlpm.MyAuditVal,_xlfn.XLOOKUP($A1011,My_Audit!$A:$A,My_Audit!E:E,""),
_xlfn.IFS(_xlpm.MyAuditVal&lt;&gt;"",_xlpm.MyAuditVal,_xlpm.MacVal&lt;&gt;"",_xlpm.MacVal,_xlpm.CSVVal&lt;&gt;"",_xlpm.CSVVal
)),"")</f>
        <v/>
      </c>
      <c r="G1011" s="40" t="str" cm="1">
        <f t="array" ref="G1011">IFERROR(_xlfn.LET(
_xlpm.CSVVal,_xlfn.XLOOKUP($A1011,CSV!$A:$A,CSV!G:G,""),
_xlpm.MacVal,_xlfn.XLOOKUP($A1011,Output_Mac!$A:$A,Output_Mac!F:F,""),
_xlpm.MyAuditVal,_xlfn.XLOOKUP($A1011,My_Audit!$A:$A,My_Audit!F:F,""),
_xlfn.IFS(_xlpm.MyAuditVal&lt;&gt;"",_xlpm.MyAuditVal,_xlpm.MacVal&lt;&gt;"",_xlpm.MacVal,_xlpm.CSVVal&lt;&gt;"",PROPER(_xlpm.CSVVal)
)),"")</f>
        <v/>
      </c>
      <c r="H1011" s="40" t="str" cm="1">
        <f t="array" ref="H1011">IFERROR(_xlfn.LET(
_xlpm.CSVVal,_xlfn.XLOOKUP($A1011,CSV!$A:$A,CSV!H:H,""),
_xlpm.MacVal,_xlfn.XLOOKUP($A1011,Output_Mac!$A:$A,Output_Mac!H:H,""),
_xlpm.MyAuditVal,_xlfn.XLOOKUP($A1011,My_Audit!$A:$A,My_Audit!G:G,""),
_xlfn.IFS(_xlpm.MyAuditVal&lt;&gt;"",_xlpm.MyAuditVal,_xlpm.MacVal&lt;&gt;"",_xlpm.MacVal,_xlpm.CSVVal&lt;&gt;"",_xlpm.CSVVal
)),"")</f>
        <v/>
      </c>
      <c r="I1011" s="40" t="str">
        <f>_xlfn.XLOOKUP(A1011,Output_Mac!A:A,Output_Mac!I:I,"")</f>
        <v/>
      </c>
      <c r="J1011" s="40" t="str" cm="1">
        <f t="array" ref="J1011">IFERROR(_xlfn.LET(
_xlpm.CSVVal,_xlfn.XLOOKUP($A1011,CSV!$A:$A,CSV!I:I,""),
_xlpm.MacVal,_xlfn.XLOOKUP($A1011,Output_Mac!$A:$A,Output_Mac!J:J,""),
_xlpm.MyAuditVal,_xlfn.XLOOKUP($A1011,My_Audit!$A:$A,My_Audit!I:I,""),
_xlfn.IFS(_xlpm.MyAuditVal&lt;&gt;"",UPPER(_xlpm.MyAuditVal),_xlpm.MacVal&lt;&gt;"",_xlpm.MacVal,_xlpm.CSVVal&lt;&gt;"",_xlpm.CSVVal
)),"")</f>
        <v/>
      </c>
      <c r="K1011" s="40" t="str" cm="1">
        <f t="array" ref="K1011">IFERROR(_xlfn.LET(
_xlpm.CSVVal,_xlfn.XLOOKUP($A1011,CSV!$A:$A,CSV!K:K,""),
_xlpm.MacVal,_xlfn.XLOOKUP($A1011,Output_Mac!$A:$A,Output_Mac!K:K,""),
_xlpm.MyAuditVal,_xlfn.XLOOKUP($A1011,My_Audit!$A:$A,My_Audit!J:J,""),
_xlfn.IFS(_xlpm.MyAuditVal&lt;&gt;"",UPPER(_xlpm.MyAuditVal),_xlpm.MacVal&lt;&gt;"",_xlpm.MacVal,_xlpm.CSVVal&lt;&gt;"",_xlpm.CSVVal
)),"")</f>
        <v/>
      </c>
      <c r="L1011" s="40" t="str" cm="1">
        <f t="array" ref="L1011">IFERROR(_xlfn.LET(
_xlpm.CSVVal,_xlfn.XLOOKUP($A1011,CSV!$A:$A,CSV!P:P,""),
_xlpm.MacVal,_xlfn.XLOOKUP($A1011,Output_Mac!$A:$A,Output_Mac!L:L,""),
_xlpm.MyAuditVal,_xlfn.XLOOKUP($A1011,My_Audit!$A:$A,My_Audit!K:K,""),
_xlfn.IFS(_xlpm.MyAuditVal&lt;&gt;"",UPPER(_xlpm.MyAuditVal),_xlpm.MacVal&lt;&gt;"",_xlpm.MacVal,_xlpm.CSVVal&lt;&gt;"",_xlpm.CSVVal
)),"")</f>
        <v/>
      </c>
      <c r="M1011" s="40" t="str" cm="1">
        <f t="array" ref="M1011">IFERROR(_xlfn.LET(
_xlpm.CSVVal,_xlfn.XLOOKUP($A1011,CSV!$A:$A,CSV!Q:Q,""),
_xlpm.MacVal,_xlfn.XLOOKUP($A1011,Output_Mac!$A:$A,Output_Mac!M:M,""),
_xlpm.MyAuditVal,_xlfn.XLOOKUP($A1011,My_Audit!$A:$A,My_Audit!L:L,""),
_xlfn.IFS(_xlpm.MyAuditVal&lt;&gt;"",UPPER(_xlpm.MyAuditVal),_xlpm.MacVal&lt;&gt;"",_xlpm.MacVal,_xlpm.CSVVal&lt;&gt;"",_xlpm.CSVVal
)),"")</f>
        <v/>
      </c>
      <c r="N1011" s="40"/>
      <c r="O1011" s="40" t="str">
        <f>_xlfn.LET(
    _xlpm.CSVVal, _xlfn.XLOOKUP($A1011, CSV!$A:$A, CSV!AA:AA, ""),
    _xlpm.MacVal, _xlfn.XLOOKUP($A1011, Output_Mac!$A:$A, Output_Mac!S:S, ""),
    _xlpm.MyAuditVal, _xlfn.XLOOKUP($A1011, My_Audit!$A:$A, My_Audit!P:P, ""),
    _xlfn.TEXTJOIN(", ", TRUE, _xlpm.MyAuditVal, _xlpm.MacVal, _xlpm.CSVVal)
)</f>
        <v/>
      </c>
      <c r="P1011" s="40" t="str" cm="1">
        <f t="array" ref="P1011">IFERROR(_xlfn.LET(
_xlpm.CSVVal,_xlfn.XLOOKUP($A1011,CSV!$A:$A,CSV!AB:AB,""),
_xlpm.MacVal,_xlfn.XLOOKUP($A1011,Output_Mac!$A:$A,Output_Mac!T:T,""),
_xlpm.MyAuditVal,_xlfn.XLOOKUP($A1011,My_Audit!$A:$A,My_Audit!Q:Q,""),
_xlfn.IFS(_xlpm.MyAuditVal&lt;&gt;"",UPPER(_xlpm.MyAuditVal),_xlpm.MacVal&lt;&gt;"",_xlpm.MacVal,_xlpm.CSVVal&lt;&gt;"",_xlpm.CSVVal
)),"No")</f>
        <v>No</v>
      </c>
      <c r="Q1011" s="40" t="str" cm="1">
        <f t="array" ref="Q1011">IFERROR(_xlfn.LET(
_xlpm.CSVVal,_xlfn.XLOOKUP($A1011,CSV!$A:$A,CSV!AC:AC,""),
_xlpm.MacVal,_xlfn.XLOOKUP($A1011,Output_Mac!$A:$A,Output_Mac!U:U,""),
_xlpm.MyAuditVal,_xlfn.XLOOKUP($A1011,My_Audit!$A:$A,My_Audit!R:R,""),
_xlfn.IFS(_xlpm.MyAuditVal&lt;&gt;"",UPPER(_xlpm.MyAuditVal),_xlpm.MacVal&lt;&gt;"",_xlpm.MacVal,_xlpm.CSVVal&lt;&gt;"",_xlpm.CSVVal
)),"")</f>
        <v/>
      </c>
      <c r="R1011" s="40"/>
      <c r="S1011" s="40"/>
      <c r="T1011" s="40"/>
      <c r="U1011" s="40"/>
      <c r="V1011" s="40"/>
      <c r="W1011" s="40"/>
      <c r="X1011" s="41" t="str">
        <f>_xlfn.LET(
    _xlpm.MacVal, _xlfn.XLOOKUP($A1011, Output_Mac!$A:$A, Output_Mac!AB:AB, ""),
    _xlpm.MyAuditVal, _xlfn.XLOOKUP($A1011, My_Audit!$A:$A, My_Audit!N:N, ""),
    _xlfn.TEXTJOIN(", ", TRUE, _xlpm.MyAuditVal, _xlpm.MacVal)
)</f>
        <v/>
      </c>
    </row>
    <row r="1012" spans="1:24">
      <c r="A1012" s="40" t="str">
        <f>_xlfn.TEXTJOIN("",TRUE,Input!$B$2,ROW(My_Audit!A1011))</f>
        <v>X1011</v>
      </c>
      <c r="B1012" s="40" t="str">
        <f>_xlfn.TEXTJOIN("-",TRUE,"ITD",Input!$A$2,A1012)</f>
        <v>ITD-X1011</v>
      </c>
      <c r="C1012" s="40" t="str" cm="1">
        <f t="array" ref="C1012">IFERROR(_xlfn.LET(
_xlpm.CSVVal,_xlfn.XLOOKUP($A1012,CSV!$A:$A,CSV!B:B,""),
_xlpm.MacVal,_xlfn.XLOOKUP($A1012,Output_Mac!$A:$A,Output_Mac!B:B,""),
_xlpm.MyAuditVal,_xlfn.XLOOKUP($A1012,My_Audit!$A:$A,My_Audit!B:B,""),
_xlfn.IFS(_xlpm.MyAuditVal&lt;&gt;"",UPPER(_xlpm.MyAuditVal),_xlpm.MacVal&lt;&gt;"",_xlpm.MacVal,_xlpm.CSVVal&lt;&gt;"",_xlpm.CSVVal
)),"")</f>
        <v/>
      </c>
      <c r="D1012" s="40" t="str" cm="1">
        <f t="array" ref="D1012">IFERROR(_xlfn.LET(
_xlpm.CSVVal,_xlfn.XLOOKUP($A1012,CSV!$A:$A,CSV!D:D,""),
_xlpm.MacVal,_xlfn.XLOOKUP($A1012,Output_Mac!$A:$A,Output_Mac!C:C,""),
_xlpm.MyAuditVal,_xlfn.XLOOKUP($A1012,My_Audit!$A:$A,My_Audit!C:C,""),
_xlfn.IFS(_xlpm.MyAuditVal&lt;&gt;"",_xlpm.MyAuditVal,_xlpm.MacVal&lt;&gt;"",_xlpm.MacVal,_xlpm.CSVVal&lt;&gt;"",_xlpm.CSVVal
)),"")</f>
        <v/>
      </c>
      <c r="E1012" s="40" t="str">
        <f>_xlfn.XLOOKUP(A1012,My_Audit!A:A,My_Audit!D:D,"")</f>
        <v/>
      </c>
      <c r="F1012" s="40" t="str" cm="1">
        <f t="array" ref="F1012">IFERROR(_xlfn.LET(
_xlpm.CSVVal,_xlfn.XLOOKUP($A1012,CSV!$A:$A,CSV!F:F,""),
_xlpm.MacVal,_xlfn.XLOOKUP($A1012,Output_Mac!$A:$A,Output_Mac!E:E,""),
_xlpm.MyAuditVal,_xlfn.XLOOKUP($A1012,My_Audit!$A:$A,My_Audit!E:E,""),
_xlfn.IFS(_xlpm.MyAuditVal&lt;&gt;"",_xlpm.MyAuditVal,_xlpm.MacVal&lt;&gt;"",_xlpm.MacVal,_xlpm.CSVVal&lt;&gt;"",_xlpm.CSVVal
)),"")</f>
        <v/>
      </c>
      <c r="G1012" s="40" t="str" cm="1">
        <f t="array" ref="G1012">IFERROR(_xlfn.LET(
_xlpm.CSVVal,_xlfn.XLOOKUP($A1012,CSV!$A:$A,CSV!G:G,""),
_xlpm.MacVal,_xlfn.XLOOKUP($A1012,Output_Mac!$A:$A,Output_Mac!F:F,""),
_xlpm.MyAuditVal,_xlfn.XLOOKUP($A1012,My_Audit!$A:$A,My_Audit!F:F,""),
_xlfn.IFS(_xlpm.MyAuditVal&lt;&gt;"",_xlpm.MyAuditVal,_xlpm.MacVal&lt;&gt;"",_xlpm.MacVal,_xlpm.CSVVal&lt;&gt;"",PROPER(_xlpm.CSVVal)
)),"")</f>
        <v/>
      </c>
      <c r="H1012" s="40" t="str" cm="1">
        <f t="array" ref="H1012">IFERROR(_xlfn.LET(
_xlpm.CSVVal,_xlfn.XLOOKUP($A1012,CSV!$A:$A,CSV!H:H,""),
_xlpm.MacVal,_xlfn.XLOOKUP($A1012,Output_Mac!$A:$A,Output_Mac!H:H,""),
_xlpm.MyAuditVal,_xlfn.XLOOKUP($A1012,My_Audit!$A:$A,My_Audit!G:G,""),
_xlfn.IFS(_xlpm.MyAuditVal&lt;&gt;"",_xlpm.MyAuditVal,_xlpm.MacVal&lt;&gt;"",_xlpm.MacVal,_xlpm.CSVVal&lt;&gt;"",_xlpm.CSVVal
)),"")</f>
        <v/>
      </c>
      <c r="I1012" s="40" t="str">
        <f>_xlfn.XLOOKUP(A1012,Output_Mac!A:A,Output_Mac!I:I,"")</f>
        <v/>
      </c>
      <c r="J1012" s="40" t="str" cm="1">
        <f t="array" ref="J1012">IFERROR(_xlfn.LET(
_xlpm.CSVVal,_xlfn.XLOOKUP($A1012,CSV!$A:$A,CSV!I:I,""),
_xlpm.MacVal,_xlfn.XLOOKUP($A1012,Output_Mac!$A:$A,Output_Mac!J:J,""),
_xlpm.MyAuditVal,_xlfn.XLOOKUP($A1012,My_Audit!$A:$A,My_Audit!I:I,""),
_xlfn.IFS(_xlpm.MyAuditVal&lt;&gt;"",UPPER(_xlpm.MyAuditVal),_xlpm.MacVal&lt;&gt;"",_xlpm.MacVal,_xlpm.CSVVal&lt;&gt;"",_xlpm.CSVVal
)),"")</f>
        <v/>
      </c>
      <c r="K1012" s="40" t="str" cm="1">
        <f t="array" ref="K1012">IFERROR(_xlfn.LET(
_xlpm.CSVVal,_xlfn.XLOOKUP($A1012,CSV!$A:$A,CSV!K:K,""),
_xlpm.MacVal,_xlfn.XLOOKUP($A1012,Output_Mac!$A:$A,Output_Mac!K:K,""),
_xlpm.MyAuditVal,_xlfn.XLOOKUP($A1012,My_Audit!$A:$A,My_Audit!J:J,""),
_xlfn.IFS(_xlpm.MyAuditVal&lt;&gt;"",UPPER(_xlpm.MyAuditVal),_xlpm.MacVal&lt;&gt;"",_xlpm.MacVal,_xlpm.CSVVal&lt;&gt;"",_xlpm.CSVVal
)),"")</f>
        <v/>
      </c>
      <c r="L1012" s="40" t="str" cm="1">
        <f t="array" ref="L1012">IFERROR(_xlfn.LET(
_xlpm.CSVVal,_xlfn.XLOOKUP($A1012,CSV!$A:$A,CSV!P:P,""),
_xlpm.MacVal,_xlfn.XLOOKUP($A1012,Output_Mac!$A:$A,Output_Mac!L:L,""),
_xlpm.MyAuditVal,_xlfn.XLOOKUP($A1012,My_Audit!$A:$A,My_Audit!K:K,""),
_xlfn.IFS(_xlpm.MyAuditVal&lt;&gt;"",UPPER(_xlpm.MyAuditVal),_xlpm.MacVal&lt;&gt;"",_xlpm.MacVal,_xlpm.CSVVal&lt;&gt;"",_xlpm.CSVVal
)),"")</f>
        <v/>
      </c>
      <c r="M1012" s="40" t="str" cm="1">
        <f t="array" ref="M1012">IFERROR(_xlfn.LET(
_xlpm.CSVVal,_xlfn.XLOOKUP($A1012,CSV!$A:$A,CSV!Q:Q,""),
_xlpm.MacVal,_xlfn.XLOOKUP($A1012,Output_Mac!$A:$A,Output_Mac!M:M,""),
_xlpm.MyAuditVal,_xlfn.XLOOKUP($A1012,My_Audit!$A:$A,My_Audit!L:L,""),
_xlfn.IFS(_xlpm.MyAuditVal&lt;&gt;"",UPPER(_xlpm.MyAuditVal),_xlpm.MacVal&lt;&gt;"",_xlpm.MacVal,_xlpm.CSVVal&lt;&gt;"",_xlpm.CSVVal
)),"")</f>
        <v/>
      </c>
      <c r="N1012" s="40"/>
      <c r="O1012" s="40" t="str">
        <f>_xlfn.LET(
    _xlpm.CSVVal, _xlfn.XLOOKUP($A1012, CSV!$A:$A, CSV!AA:AA, ""),
    _xlpm.MacVal, _xlfn.XLOOKUP($A1012, Output_Mac!$A:$A, Output_Mac!S:S, ""),
    _xlpm.MyAuditVal, _xlfn.XLOOKUP($A1012, My_Audit!$A:$A, My_Audit!P:P, ""),
    _xlfn.TEXTJOIN(", ", TRUE, _xlpm.MyAuditVal, _xlpm.MacVal, _xlpm.CSVVal)
)</f>
        <v/>
      </c>
      <c r="P1012" s="40" t="str" cm="1">
        <f t="array" ref="P1012">IFERROR(_xlfn.LET(
_xlpm.CSVVal,_xlfn.XLOOKUP($A1012,CSV!$A:$A,CSV!AB:AB,""),
_xlpm.MacVal,_xlfn.XLOOKUP($A1012,Output_Mac!$A:$A,Output_Mac!T:T,""),
_xlpm.MyAuditVal,_xlfn.XLOOKUP($A1012,My_Audit!$A:$A,My_Audit!Q:Q,""),
_xlfn.IFS(_xlpm.MyAuditVal&lt;&gt;"",UPPER(_xlpm.MyAuditVal),_xlpm.MacVal&lt;&gt;"",_xlpm.MacVal,_xlpm.CSVVal&lt;&gt;"",_xlpm.CSVVal
)),"No")</f>
        <v>No</v>
      </c>
      <c r="Q1012" s="40" t="str" cm="1">
        <f t="array" ref="Q1012">IFERROR(_xlfn.LET(
_xlpm.CSVVal,_xlfn.XLOOKUP($A1012,CSV!$A:$A,CSV!AC:AC,""),
_xlpm.MacVal,_xlfn.XLOOKUP($A1012,Output_Mac!$A:$A,Output_Mac!U:U,""),
_xlpm.MyAuditVal,_xlfn.XLOOKUP($A1012,My_Audit!$A:$A,My_Audit!R:R,""),
_xlfn.IFS(_xlpm.MyAuditVal&lt;&gt;"",UPPER(_xlpm.MyAuditVal),_xlpm.MacVal&lt;&gt;"",_xlpm.MacVal,_xlpm.CSVVal&lt;&gt;"",_xlpm.CSVVal
)),"")</f>
        <v/>
      </c>
      <c r="R1012" s="40"/>
      <c r="S1012" s="40"/>
      <c r="T1012" s="40"/>
      <c r="U1012" s="40"/>
      <c r="V1012" s="40"/>
      <c r="W1012" s="40"/>
      <c r="X1012" s="41" t="str">
        <f>_xlfn.LET(
    _xlpm.MacVal, _xlfn.XLOOKUP($A1012, Output_Mac!$A:$A, Output_Mac!AB:AB, ""),
    _xlpm.MyAuditVal, _xlfn.XLOOKUP($A1012, My_Audit!$A:$A, My_Audit!N:N, ""),
    _xlfn.TEXTJOIN(", ", TRUE, _xlpm.MyAuditVal, _xlpm.MacVal)
)</f>
        <v/>
      </c>
    </row>
    <row r="1013" spans="1:24">
      <c r="A1013" s="40" t="str">
        <f>_xlfn.TEXTJOIN("",TRUE,Input!$B$2,ROW(My_Audit!A1012))</f>
        <v>X1012</v>
      </c>
      <c r="B1013" s="40" t="str">
        <f>_xlfn.TEXTJOIN("-",TRUE,"ITD",Input!$A$2,A1013)</f>
        <v>ITD-X1012</v>
      </c>
      <c r="C1013" s="40" t="str" cm="1">
        <f t="array" ref="C1013">IFERROR(_xlfn.LET(
_xlpm.CSVVal,_xlfn.XLOOKUP($A1013,CSV!$A:$A,CSV!B:B,""),
_xlpm.MacVal,_xlfn.XLOOKUP($A1013,Output_Mac!$A:$A,Output_Mac!B:B,""),
_xlpm.MyAuditVal,_xlfn.XLOOKUP($A1013,My_Audit!$A:$A,My_Audit!B:B,""),
_xlfn.IFS(_xlpm.MyAuditVal&lt;&gt;"",UPPER(_xlpm.MyAuditVal),_xlpm.MacVal&lt;&gt;"",_xlpm.MacVal,_xlpm.CSVVal&lt;&gt;"",_xlpm.CSVVal
)),"")</f>
        <v/>
      </c>
      <c r="D1013" s="40" t="str" cm="1">
        <f t="array" ref="D1013">IFERROR(_xlfn.LET(
_xlpm.CSVVal,_xlfn.XLOOKUP($A1013,CSV!$A:$A,CSV!D:D,""),
_xlpm.MacVal,_xlfn.XLOOKUP($A1013,Output_Mac!$A:$A,Output_Mac!C:C,""),
_xlpm.MyAuditVal,_xlfn.XLOOKUP($A1013,My_Audit!$A:$A,My_Audit!C:C,""),
_xlfn.IFS(_xlpm.MyAuditVal&lt;&gt;"",_xlpm.MyAuditVal,_xlpm.MacVal&lt;&gt;"",_xlpm.MacVal,_xlpm.CSVVal&lt;&gt;"",_xlpm.CSVVal
)),"")</f>
        <v/>
      </c>
      <c r="E1013" s="40" t="str">
        <f>_xlfn.XLOOKUP(A1013,My_Audit!A:A,My_Audit!D:D,"")</f>
        <v/>
      </c>
      <c r="F1013" s="40" t="str" cm="1">
        <f t="array" ref="F1013">IFERROR(_xlfn.LET(
_xlpm.CSVVal,_xlfn.XLOOKUP($A1013,CSV!$A:$A,CSV!F:F,""),
_xlpm.MacVal,_xlfn.XLOOKUP($A1013,Output_Mac!$A:$A,Output_Mac!E:E,""),
_xlpm.MyAuditVal,_xlfn.XLOOKUP($A1013,My_Audit!$A:$A,My_Audit!E:E,""),
_xlfn.IFS(_xlpm.MyAuditVal&lt;&gt;"",_xlpm.MyAuditVal,_xlpm.MacVal&lt;&gt;"",_xlpm.MacVal,_xlpm.CSVVal&lt;&gt;"",_xlpm.CSVVal
)),"")</f>
        <v/>
      </c>
      <c r="G1013" s="40" t="str" cm="1">
        <f t="array" ref="G1013">IFERROR(_xlfn.LET(
_xlpm.CSVVal,_xlfn.XLOOKUP($A1013,CSV!$A:$A,CSV!G:G,""),
_xlpm.MacVal,_xlfn.XLOOKUP($A1013,Output_Mac!$A:$A,Output_Mac!F:F,""),
_xlpm.MyAuditVal,_xlfn.XLOOKUP($A1013,My_Audit!$A:$A,My_Audit!F:F,""),
_xlfn.IFS(_xlpm.MyAuditVal&lt;&gt;"",_xlpm.MyAuditVal,_xlpm.MacVal&lt;&gt;"",_xlpm.MacVal,_xlpm.CSVVal&lt;&gt;"",PROPER(_xlpm.CSVVal)
)),"")</f>
        <v/>
      </c>
      <c r="H1013" s="40" t="str" cm="1">
        <f t="array" ref="H1013">IFERROR(_xlfn.LET(
_xlpm.CSVVal,_xlfn.XLOOKUP($A1013,CSV!$A:$A,CSV!H:H,""),
_xlpm.MacVal,_xlfn.XLOOKUP($A1013,Output_Mac!$A:$A,Output_Mac!H:H,""),
_xlpm.MyAuditVal,_xlfn.XLOOKUP($A1013,My_Audit!$A:$A,My_Audit!G:G,""),
_xlfn.IFS(_xlpm.MyAuditVal&lt;&gt;"",_xlpm.MyAuditVal,_xlpm.MacVal&lt;&gt;"",_xlpm.MacVal,_xlpm.CSVVal&lt;&gt;"",_xlpm.CSVVal
)),"")</f>
        <v/>
      </c>
      <c r="I1013" s="40" t="str">
        <f>_xlfn.XLOOKUP(A1013,Output_Mac!A:A,Output_Mac!I:I,"")</f>
        <v/>
      </c>
      <c r="J1013" s="40" t="str" cm="1">
        <f t="array" ref="J1013">IFERROR(_xlfn.LET(
_xlpm.CSVVal,_xlfn.XLOOKUP($A1013,CSV!$A:$A,CSV!I:I,""),
_xlpm.MacVal,_xlfn.XLOOKUP($A1013,Output_Mac!$A:$A,Output_Mac!J:J,""),
_xlpm.MyAuditVal,_xlfn.XLOOKUP($A1013,My_Audit!$A:$A,My_Audit!I:I,""),
_xlfn.IFS(_xlpm.MyAuditVal&lt;&gt;"",UPPER(_xlpm.MyAuditVal),_xlpm.MacVal&lt;&gt;"",_xlpm.MacVal,_xlpm.CSVVal&lt;&gt;"",_xlpm.CSVVal
)),"")</f>
        <v/>
      </c>
      <c r="K1013" s="40" t="str" cm="1">
        <f t="array" ref="K1013">IFERROR(_xlfn.LET(
_xlpm.CSVVal,_xlfn.XLOOKUP($A1013,CSV!$A:$A,CSV!K:K,""),
_xlpm.MacVal,_xlfn.XLOOKUP($A1013,Output_Mac!$A:$A,Output_Mac!K:K,""),
_xlpm.MyAuditVal,_xlfn.XLOOKUP($A1013,My_Audit!$A:$A,My_Audit!J:J,""),
_xlfn.IFS(_xlpm.MyAuditVal&lt;&gt;"",UPPER(_xlpm.MyAuditVal),_xlpm.MacVal&lt;&gt;"",_xlpm.MacVal,_xlpm.CSVVal&lt;&gt;"",_xlpm.CSVVal
)),"")</f>
        <v/>
      </c>
      <c r="L1013" s="40" t="str" cm="1">
        <f t="array" ref="L1013">IFERROR(_xlfn.LET(
_xlpm.CSVVal,_xlfn.XLOOKUP($A1013,CSV!$A:$A,CSV!P:P,""),
_xlpm.MacVal,_xlfn.XLOOKUP($A1013,Output_Mac!$A:$A,Output_Mac!L:L,""),
_xlpm.MyAuditVal,_xlfn.XLOOKUP($A1013,My_Audit!$A:$A,My_Audit!K:K,""),
_xlfn.IFS(_xlpm.MyAuditVal&lt;&gt;"",UPPER(_xlpm.MyAuditVal),_xlpm.MacVal&lt;&gt;"",_xlpm.MacVal,_xlpm.CSVVal&lt;&gt;"",_xlpm.CSVVal
)),"")</f>
        <v/>
      </c>
      <c r="M1013" s="40" t="str" cm="1">
        <f t="array" ref="M1013">IFERROR(_xlfn.LET(
_xlpm.CSVVal,_xlfn.XLOOKUP($A1013,CSV!$A:$A,CSV!Q:Q,""),
_xlpm.MacVal,_xlfn.XLOOKUP($A1013,Output_Mac!$A:$A,Output_Mac!M:M,""),
_xlpm.MyAuditVal,_xlfn.XLOOKUP($A1013,My_Audit!$A:$A,My_Audit!L:L,""),
_xlfn.IFS(_xlpm.MyAuditVal&lt;&gt;"",UPPER(_xlpm.MyAuditVal),_xlpm.MacVal&lt;&gt;"",_xlpm.MacVal,_xlpm.CSVVal&lt;&gt;"",_xlpm.CSVVal
)),"")</f>
        <v/>
      </c>
      <c r="N1013" s="40"/>
      <c r="O1013" s="40" t="str">
        <f>_xlfn.LET(
    _xlpm.CSVVal, _xlfn.XLOOKUP($A1013, CSV!$A:$A, CSV!AA:AA, ""),
    _xlpm.MacVal, _xlfn.XLOOKUP($A1013, Output_Mac!$A:$A, Output_Mac!S:S, ""),
    _xlpm.MyAuditVal, _xlfn.XLOOKUP($A1013, My_Audit!$A:$A, My_Audit!P:P, ""),
    _xlfn.TEXTJOIN(", ", TRUE, _xlpm.MyAuditVal, _xlpm.MacVal, _xlpm.CSVVal)
)</f>
        <v/>
      </c>
      <c r="P1013" s="40" t="str" cm="1">
        <f t="array" ref="P1013">IFERROR(_xlfn.LET(
_xlpm.CSVVal,_xlfn.XLOOKUP($A1013,CSV!$A:$A,CSV!AB:AB,""),
_xlpm.MacVal,_xlfn.XLOOKUP($A1013,Output_Mac!$A:$A,Output_Mac!T:T,""),
_xlpm.MyAuditVal,_xlfn.XLOOKUP($A1013,My_Audit!$A:$A,My_Audit!Q:Q,""),
_xlfn.IFS(_xlpm.MyAuditVal&lt;&gt;"",UPPER(_xlpm.MyAuditVal),_xlpm.MacVal&lt;&gt;"",_xlpm.MacVal,_xlpm.CSVVal&lt;&gt;"",_xlpm.CSVVal
)),"No")</f>
        <v>No</v>
      </c>
      <c r="Q1013" s="40" t="str" cm="1">
        <f t="array" ref="Q1013">IFERROR(_xlfn.LET(
_xlpm.CSVVal,_xlfn.XLOOKUP($A1013,CSV!$A:$A,CSV!AC:AC,""),
_xlpm.MacVal,_xlfn.XLOOKUP($A1013,Output_Mac!$A:$A,Output_Mac!U:U,""),
_xlpm.MyAuditVal,_xlfn.XLOOKUP($A1013,My_Audit!$A:$A,My_Audit!R:R,""),
_xlfn.IFS(_xlpm.MyAuditVal&lt;&gt;"",UPPER(_xlpm.MyAuditVal),_xlpm.MacVal&lt;&gt;"",_xlpm.MacVal,_xlpm.CSVVal&lt;&gt;"",_xlpm.CSVVal
)),"")</f>
        <v/>
      </c>
      <c r="R1013" s="40"/>
      <c r="S1013" s="40"/>
      <c r="T1013" s="40"/>
      <c r="U1013" s="40"/>
      <c r="V1013" s="40"/>
      <c r="W1013" s="40"/>
      <c r="X1013" s="41" t="str">
        <f>_xlfn.LET(
    _xlpm.MacVal, _xlfn.XLOOKUP($A1013, Output_Mac!$A:$A, Output_Mac!AB:AB, ""),
    _xlpm.MyAuditVal, _xlfn.XLOOKUP($A1013, My_Audit!$A:$A, My_Audit!N:N, ""),
    _xlfn.TEXTJOIN(", ", TRUE, _xlpm.MyAuditVal, _xlpm.MacVal)
)</f>
        <v/>
      </c>
    </row>
    <row r="1014" spans="1:24">
      <c r="A1014" s="40" t="str">
        <f>_xlfn.TEXTJOIN("",TRUE,Input!$B$2,ROW(My_Audit!A1013))</f>
        <v>X1013</v>
      </c>
      <c r="B1014" s="40" t="str">
        <f>_xlfn.TEXTJOIN("-",TRUE,"ITD",Input!$A$2,A1014)</f>
        <v>ITD-X1013</v>
      </c>
      <c r="C1014" s="40" t="str" cm="1">
        <f t="array" ref="C1014">IFERROR(_xlfn.LET(
_xlpm.CSVVal,_xlfn.XLOOKUP($A1014,CSV!$A:$A,CSV!B:B,""),
_xlpm.MacVal,_xlfn.XLOOKUP($A1014,Output_Mac!$A:$A,Output_Mac!B:B,""),
_xlpm.MyAuditVal,_xlfn.XLOOKUP($A1014,My_Audit!$A:$A,My_Audit!B:B,""),
_xlfn.IFS(_xlpm.MyAuditVal&lt;&gt;"",UPPER(_xlpm.MyAuditVal),_xlpm.MacVal&lt;&gt;"",_xlpm.MacVal,_xlpm.CSVVal&lt;&gt;"",_xlpm.CSVVal
)),"")</f>
        <v/>
      </c>
      <c r="D1014" s="40" t="str" cm="1">
        <f t="array" ref="D1014">IFERROR(_xlfn.LET(
_xlpm.CSVVal,_xlfn.XLOOKUP($A1014,CSV!$A:$A,CSV!D:D,""),
_xlpm.MacVal,_xlfn.XLOOKUP($A1014,Output_Mac!$A:$A,Output_Mac!C:C,""),
_xlpm.MyAuditVal,_xlfn.XLOOKUP($A1014,My_Audit!$A:$A,My_Audit!C:C,""),
_xlfn.IFS(_xlpm.MyAuditVal&lt;&gt;"",_xlpm.MyAuditVal,_xlpm.MacVal&lt;&gt;"",_xlpm.MacVal,_xlpm.CSVVal&lt;&gt;"",_xlpm.CSVVal
)),"")</f>
        <v/>
      </c>
      <c r="E1014" s="40" t="str">
        <f>_xlfn.XLOOKUP(A1014,My_Audit!A:A,My_Audit!D:D,"")</f>
        <v/>
      </c>
      <c r="F1014" s="40" t="str" cm="1">
        <f t="array" ref="F1014">IFERROR(_xlfn.LET(
_xlpm.CSVVal,_xlfn.XLOOKUP($A1014,CSV!$A:$A,CSV!F:F,""),
_xlpm.MacVal,_xlfn.XLOOKUP($A1014,Output_Mac!$A:$A,Output_Mac!E:E,""),
_xlpm.MyAuditVal,_xlfn.XLOOKUP($A1014,My_Audit!$A:$A,My_Audit!E:E,""),
_xlfn.IFS(_xlpm.MyAuditVal&lt;&gt;"",_xlpm.MyAuditVal,_xlpm.MacVal&lt;&gt;"",_xlpm.MacVal,_xlpm.CSVVal&lt;&gt;"",_xlpm.CSVVal
)),"")</f>
        <v/>
      </c>
      <c r="G1014" s="40" t="str" cm="1">
        <f t="array" ref="G1014">IFERROR(_xlfn.LET(
_xlpm.CSVVal,_xlfn.XLOOKUP($A1014,CSV!$A:$A,CSV!G:G,""),
_xlpm.MacVal,_xlfn.XLOOKUP($A1014,Output_Mac!$A:$A,Output_Mac!F:F,""),
_xlpm.MyAuditVal,_xlfn.XLOOKUP($A1014,My_Audit!$A:$A,My_Audit!F:F,""),
_xlfn.IFS(_xlpm.MyAuditVal&lt;&gt;"",_xlpm.MyAuditVal,_xlpm.MacVal&lt;&gt;"",_xlpm.MacVal,_xlpm.CSVVal&lt;&gt;"",PROPER(_xlpm.CSVVal)
)),"")</f>
        <v/>
      </c>
      <c r="H1014" s="40" t="str" cm="1">
        <f t="array" ref="H1014">IFERROR(_xlfn.LET(
_xlpm.CSVVal,_xlfn.XLOOKUP($A1014,CSV!$A:$A,CSV!H:H,""),
_xlpm.MacVal,_xlfn.XLOOKUP($A1014,Output_Mac!$A:$A,Output_Mac!H:H,""),
_xlpm.MyAuditVal,_xlfn.XLOOKUP($A1014,My_Audit!$A:$A,My_Audit!G:G,""),
_xlfn.IFS(_xlpm.MyAuditVal&lt;&gt;"",_xlpm.MyAuditVal,_xlpm.MacVal&lt;&gt;"",_xlpm.MacVal,_xlpm.CSVVal&lt;&gt;"",_xlpm.CSVVal
)),"")</f>
        <v/>
      </c>
      <c r="I1014" s="40" t="str">
        <f>_xlfn.XLOOKUP(A1014,Output_Mac!A:A,Output_Mac!I:I,"")</f>
        <v/>
      </c>
      <c r="J1014" s="40" t="str" cm="1">
        <f t="array" ref="J1014">IFERROR(_xlfn.LET(
_xlpm.CSVVal,_xlfn.XLOOKUP($A1014,CSV!$A:$A,CSV!I:I,""),
_xlpm.MacVal,_xlfn.XLOOKUP($A1014,Output_Mac!$A:$A,Output_Mac!J:J,""),
_xlpm.MyAuditVal,_xlfn.XLOOKUP($A1014,My_Audit!$A:$A,My_Audit!I:I,""),
_xlfn.IFS(_xlpm.MyAuditVal&lt;&gt;"",UPPER(_xlpm.MyAuditVal),_xlpm.MacVal&lt;&gt;"",_xlpm.MacVal,_xlpm.CSVVal&lt;&gt;"",_xlpm.CSVVal
)),"")</f>
        <v/>
      </c>
      <c r="K1014" s="40" t="str" cm="1">
        <f t="array" ref="K1014">IFERROR(_xlfn.LET(
_xlpm.CSVVal,_xlfn.XLOOKUP($A1014,CSV!$A:$A,CSV!K:K,""),
_xlpm.MacVal,_xlfn.XLOOKUP($A1014,Output_Mac!$A:$A,Output_Mac!K:K,""),
_xlpm.MyAuditVal,_xlfn.XLOOKUP($A1014,My_Audit!$A:$A,My_Audit!J:J,""),
_xlfn.IFS(_xlpm.MyAuditVal&lt;&gt;"",UPPER(_xlpm.MyAuditVal),_xlpm.MacVal&lt;&gt;"",_xlpm.MacVal,_xlpm.CSVVal&lt;&gt;"",_xlpm.CSVVal
)),"")</f>
        <v/>
      </c>
      <c r="L1014" s="40" t="str" cm="1">
        <f t="array" ref="L1014">IFERROR(_xlfn.LET(
_xlpm.CSVVal,_xlfn.XLOOKUP($A1014,CSV!$A:$A,CSV!P:P,""),
_xlpm.MacVal,_xlfn.XLOOKUP($A1014,Output_Mac!$A:$A,Output_Mac!L:L,""),
_xlpm.MyAuditVal,_xlfn.XLOOKUP($A1014,My_Audit!$A:$A,My_Audit!K:K,""),
_xlfn.IFS(_xlpm.MyAuditVal&lt;&gt;"",UPPER(_xlpm.MyAuditVal),_xlpm.MacVal&lt;&gt;"",_xlpm.MacVal,_xlpm.CSVVal&lt;&gt;"",_xlpm.CSVVal
)),"")</f>
        <v/>
      </c>
      <c r="M1014" s="40" t="str" cm="1">
        <f t="array" ref="M1014">IFERROR(_xlfn.LET(
_xlpm.CSVVal,_xlfn.XLOOKUP($A1014,CSV!$A:$A,CSV!Q:Q,""),
_xlpm.MacVal,_xlfn.XLOOKUP($A1014,Output_Mac!$A:$A,Output_Mac!M:M,""),
_xlpm.MyAuditVal,_xlfn.XLOOKUP($A1014,My_Audit!$A:$A,My_Audit!L:L,""),
_xlfn.IFS(_xlpm.MyAuditVal&lt;&gt;"",UPPER(_xlpm.MyAuditVal),_xlpm.MacVal&lt;&gt;"",_xlpm.MacVal,_xlpm.CSVVal&lt;&gt;"",_xlpm.CSVVal
)),"")</f>
        <v/>
      </c>
      <c r="N1014" s="40"/>
      <c r="O1014" s="40" t="str">
        <f>_xlfn.LET(
    _xlpm.CSVVal, _xlfn.XLOOKUP($A1014, CSV!$A:$A, CSV!AA:AA, ""),
    _xlpm.MacVal, _xlfn.XLOOKUP($A1014, Output_Mac!$A:$A, Output_Mac!S:S, ""),
    _xlpm.MyAuditVal, _xlfn.XLOOKUP($A1014, My_Audit!$A:$A, My_Audit!P:P, ""),
    _xlfn.TEXTJOIN(", ", TRUE, _xlpm.MyAuditVal, _xlpm.MacVal, _xlpm.CSVVal)
)</f>
        <v/>
      </c>
      <c r="P1014" s="40" t="str" cm="1">
        <f t="array" ref="P1014">IFERROR(_xlfn.LET(
_xlpm.CSVVal,_xlfn.XLOOKUP($A1014,CSV!$A:$A,CSV!AB:AB,""),
_xlpm.MacVal,_xlfn.XLOOKUP($A1014,Output_Mac!$A:$A,Output_Mac!T:T,""),
_xlpm.MyAuditVal,_xlfn.XLOOKUP($A1014,My_Audit!$A:$A,My_Audit!Q:Q,""),
_xlfn.IFS(_xlpm.MyAuditVal&lt;&gt;"",UPPER(_xlpm.MyAuditVal),_xlpm.MacVal&lt;&gt;"",_xlpm.MacVal,_xlpm.CSVVal&lt;&gt;"",_xlpm.CSVVal
)),"No")</f>
        <v>No</v>
      </c>
      <c r="Q1014" s="40" t="str" cm="1">
        <f t="array" ref="Q1014">IFERROR(_xlfn.LET(
_xlpm.CSVVal,_xlfn.XLOOKUP($A1014,CSV!$A:$A,CSV!AC:AC,""),
_xlpm.MacVal,_xlfn.XLOOKUP($A1014,Output_Mac!$A:$A,Output_Mac!U:U,""),
_xlpm.MyAuditVal,_xlfn.XLOOKUP($A1014,My_Audit!$A:$A,My_Audit!R:R,""),
_xlfn.IFS(_xlpm.MyAuditVal&lt;&gt;"",UPPER(_xlpm.MyAuditVal),_xlpm.MacVal&lt;&gt;"",_xlpm.MacVal,_xlpm.CSVVal&lt;&gt;"",_xlpm.CSVVal
)),"")</f>
        <v/>
      </c>
      <c r="R1014" s="40"/>
      <c r="S1014" s="40"/>
      <c r="T1014" s="40"/>
      <c r="U1014" s="40"/>
      <c r="V1014" s="40"/>
      <c r="W1014" s="40"/>
      <c r="X1014" s="41" t="str">
        <f>_xlfn.LET(
    _xlpm.MacVal, _xlfn.XLOOKUP($A1014, Output_Mac!$A:$A, Output_Mac!AB:AB, ""),
    _xlpm.MyAuditVal, _xlfn.XLOOKUP($A1014, My_Audit!$A:$A, My_Audit!N:N, ""),
    _xlfn.TEXTJOIN(", ", TRUE, _xlpm.MyAuditVal, _xlpm.MacVal)
)</f>
        <v/>
      </c>
    </row>
    <row r="1015" spans="1:24">
      <c r="A1015" s="40" t="str">
        <f>_xlfn.TEXTJOIN("",TRUE,Input!$B$2,ROW(My_Audit!A1014))</f>
        <v>X1014</v>
      </c>
      <c r="B1015" s="40" t="str">
        <f>_xlfn.TEXTJOIN("-",TRUE,"ITD",Input!$A$2,A1015)</f>
        <v>ITD-X1014</v>
      </c>
      <c r="C1015" s="40" t="str" cm="1">
        <f t="array" ref="C1015">IFERROR(_xlfn.LET(
_xlpm.CSVVal,_xlfn.XLOOKUP($A1015,CSV!$A:$A,CSV!B:B,""),
_xlpm.MacVal,_xlfn.XLOOKUP($A1015,Output_Mac!$A:$A,Output_Mac!B:B,""),
_xlpm.MyAuditVal,_xlfn.XLOOKUP($A1015,My_Audit!$A:$A,My_Audit!B:B,""),
_xlfn.IFS(_xlpm.MyAuditVal&lt;&gt;"",UPPER(_xlpm.MyAuditVal),_xlpm.MacVal&lt;&gt;"",_xlpm.MacVal,_xlpm.CSVVal&lt;&gt;"",_xlpm.CSVVal
)),"")</f>
        <v/>
      </c>
      <c r="D1015" s="40" t="str" cm="1">
        <f t="array" ref="D1015">IFERROR(_xlfn.LET(
_xlpm.CSVVal,_xlfn.XLOOKUP($A1015,CSV!$A:$A,CSV!D:D,""),
_xlpm.MacVal,_xlfn.XLOOKUP($A1015,Output_Mac!$A:$A,Output_Mac!C:C,""),
_xlpm.MyAuditVal,_xlfn.XLOOKUP($A1015,My_Audit!$A:$A,My_Audit!C:C,""),
_xlfn.IFS(_xlpm.MyAuditVal&lt;&gt;"",_xlpm.MyAuditVal,_xlpm.MacVal&lt;&gt;"",_xlpm.MacVal,_xlpm.CSVVal&lt;&gt;"",_xlpm.CSVVal
)),"")</f>
        <v/>
      </c>
      <c r="E1015" s="40" t="str">
        <f>_xlfn.XLOOKUP(A1015,My_Audit!A:A,My_Audit!D:D,"")</f>
        <v/>
      </c>
      <c r="F1015" s="40" t="str" cm="1">
        <f t="array" ref="F1015">IFERROR(_xlfn.LET(
_xlpm.CSVVal,_xlfn.XLOOKUP($A1015,CSV!$A:$A,CSV!F:F,""),
_xlpm.MacVal,_xlfn.XLOOKUP($A1015,Output_Mac!$A:$A,Output_Mac!E:E,""),
_xlpm.MyAuditVal,_xlfn.XLOOKUP($A1015,My_Audit!$A:$A,My_Audit!E:E,""),
_xlfn.IFS(_xlpm.MyAuditVal&lt;&gt;"",_xlpm.MyAuditVal,_xlpm.MacVal&lt;&gt;"",_xlpm.MacVal,_xlpm.CSVVal&lt;&gt;"",_xlpm.CSVVal
)),"")</f>
        <v/>
      </c>
      <c r="G1015" s="40" t="str" cm="1">
        <f t="array" ref="G1015">IFERROR(_xlfn.LET(
_xlpm.CSVVal,_xlfn.XLOOKUP($A1015,CSV!$A:$A,CSV!G:G,""),
_xlpm.MacVal,_xlfn.XLOOKUP($A1015,Output_Mac!$A:$A,Output_Mac!F:F,""),
_xlpm.MyAuditVal,_xlfn.XLOOKUP($A1015,My_Audit!$A:$A,My_Audit!F:F,""),
_xlfn.IFS(_xlpm.MyAuditVal&lt;&gt;"",_xlpm.MyAuditVal,_xlpm.MacVal&lt;&gt;"",_xlpm.MacVal,_xlpm.CSVVal&lt;&gt;"",PROPER(_xlpm.CSVVal)
)),"")</f>
        <v/>
      </c>
      <c r="H1015" s="40" t="str" cm="1">
        <f t="array" ref="H1015">IFERROR(_xlfn.LET(
_xlpm.CSVVal,_xlfn.XLOOKUP($A1015,CSV!$A:$A,CSV!H:H,""),
_xlpm.MacVal,_xlfn.XLOOKUP($A1015,Output_Mac!$A:$A,Output_Mac!H:H,""),
_xlpm.MyAuditVal,_xlfn.XLOOKUP($A1015,My_Audit!$A:$A,My_Audit!G:G,""),
_xlfn.IFS(_xlpm.MyAuditVal&lt;&gt;"",_xlpm.MyAuditVal,_xlpm.MacVal&lt;&gt;"",_xlpm.MacVal,_xlpm.CSVVal&lt;&gt;"",_xlpm.CSVVal
)),"")</f>
        <v/>
      </c>
      <c r="I1015" s="40" t="str">
        <f>_xlfn.XLOOKUP(A1015,Output_Mac!A:A,Output_Mac!I:I,"")</f>
        <v/>
      </c>
      <c r="J1015" s="40" t="str" cm="1">
        <f t="array" ref="J1015">IFERROR(_xlfn.LET(
_xlpm.CSVVal,_xlfn.XLOOKUP($A1015,CSV!$A:$A,CSV!I:I,""),
_xlpm.MacVal,_xlfn.XLOOKUP($A1015,Output_Mac!$A:$A,Output_Mac!J:J,""),
_xlpm.MyAuditVal,_xlfn.XLOOKUP($A1015,My_Audit!$A:$A,My_Audit!I:I,""),
_xlfn.IFS(_xlpm.MyAuditVal&lt;&gt;"",UPPER(_xlpm.MyAuditVal),_xlpm.MacVal&lt;&gt;"",_xlpm.MacVal,_xlpm.CSVVal&lt;&gt;"",_xlpm.CSVVal
)),"")</f>
        <v/>
      </c>
      <c r="K1015" s="40" t="str" cm="1">
        <f t="array" ref="K1015">IFERROR(_xlfn.LET(
_xlpm.CSVVal,_xlfn.XLOOKUP($A1015,CSV!$A:$A,CSV!K:K,""),
_xlpm.MacVal,_xlfn.XLOOKUP($A1015,Output_Mac!$A:$A,Output_Mac!K:K,""),
_xlpm.MyAuditVal,_xlfn.XLOOKUP($A1015,My_Audit!$A:$A,My_Audit!J:J,""),
_xlfn.IFS(_xlpm.MyAuditVal&lt;&gt;"",UPPER(_xlpm.MyAuditVal),_xlpm.MacVal&lt;&gt;"",_xlpm.MacVal,_xlpm.CSVVal&lt;&gt;"",_xlpm.CSVVal
)),"")</f>
        <v/>
      </c>
      <c r="L1015" s="40" t="str" cm="1">
        <f t="array" ref="L1015">IFERROR(_xlfn.LET(
_xlpm.CSVVal,_xlfn.XLOOKUP($A1015,CSV!$A:$A,CSV!P:P,""),
_xlpm.MacVal,_xlfn.XLOOKUP($A1015,Output_Mac!$A:$A,Output_Mac!L:L,""),
_xlpm.MyAuditVal,_xlfn.XLOOKUP($A1015,My_Audit!$A:$A,My_Audit!K:K,""),
_xlfn.IFS(_xlpm.MyAuditVal&lt;&gt;"",UPPER(_xlpm.MyAuditVal),_xlpm.MacVal&lt;&gt;"",_xlpm.MacVal,_xlpm.CSVVal&lt;&gt;"",_xlpm.CSVVal
)),"")</f>
        <v/>
      </c>
      <c r="M1015" s="40" t="str" cm="1">
        <f t="array" ref="M1015">IFERROR(_xlfn.LET(
_xlpm.CSVVal,_xlfn.XLOOKUP($A1015,CSV!$A:$A,CSV!Q:Q,""),
_xlpm.MacVal,_xlfn.XLOOKUP($A1015,Output_Mac!$A:$A,Output_Mac!M:M,""),
_xlpm.MyAuditVal,_xlfn.XLOOKUP($A1015,My_Audit!$A:$A,My_Audit!L:L,""),
_xlfn.IFS(_xlpm.MyAuditVal&lt;&gt;"",UPPER(_xlpm.MyAuditVal),_xlpm.MacVal&lt;&gt;"",_xlpm.MacVal,_xlpm.CSVVal&lt;&gt;"",_xlpm.CSVVal
)),"")</f>
        <v/>
      </c>
      <c r="N1015" s="40"/>
      <c r="O1015" s="40" t="str">
        <f>_xlfn.LET(
    _xlpm.CSVVal, _xlfn.XLOOKUP($A1015, CSV!$A:$A, CSV!AA:AA, ""),
    _xlpm.MacVal, _xlfn.XLOOKUP($A1015, Output_Mac!$A:$A, Output_Mac!S:S, ""),
    _xlpm.MyAuditVal, _xlfn.XLOOKUP($A1015, My_Audit!$A:$A, My_Audit!P:P, ""),
    _xlfn.TEXTJOIN(", ", TRUE, _xlpm.MyAuditVal, _xlpm.MacVal, _xlpm.CSVVal)
)</f>
        <v/>
      </c>
      <c r="P1015" s="40" t="str" cm="1">
        <f t="array" ref="P1015">IFERROR(_xlfn.LET(
_xlpm.CSVVal,_xlfn.XLOOKUP($A1015,CSV!$A:$A,CSV!AB:AB,""),
_xlpm.MacVal,_xlfn.XLOOKUP($A1015,Output_Mac!$A:$A,Output_Mac!T:T,""),
_xlpm.MyAuditVal,_xlfn.XLOOKUP($A1015,My_Audit!$A:$A,My_Audit!Q:Q,""),
_xlfn.IFS(_xlpm.MyAuditVal&lt;&gt;"",UPPER(_xlpm.MyAuditVal),_xlpm.MacVal&lt;&gt;"",_xlpm.MacVal,_xlpm.CSVVal&lt;&gt;"",_xlpm.CSVVal
)),"No")</f>
        <v>No</v>
      </c>
      <c r="Q1015" s="40" t="str" cm="1">
        <f t="array" ref="Q1015">IFERROR(_xlfn.LET(
_xlpm.CSVVal,_xlfn.XLOOKUP($A1015,CSV!$A:$A,CSV!AC:AC,""),
_xlpm.MacVal,_xlfn.XLOOKUP($A1015,Output_Mac!$A:$A,Output_Mac!U:U,""),
_xlpm.MyAuditVal,_xlfn.XLOOKUP($A1015,My_Audit!$A:$A,My_Audit!R:R,""),
_xlfn.IFS(_xlpm.MyAuditVal&lt;&gt;"",UPPER(_xlpm.MyAuditVal),_xlpm.MacVal&lt;&gt;"",_xlpm.MacVal,_xlpm.CSVVal&lt;&gt;"",_xlpm.CSVVal
)),"")</f>
        <v/>
      </c>
      <c r="R1015" s="40"/>
      <c r="S1015" s="40"/>
      <c r="T1015" s="40"/>
      <c r="U1015" s="40"/>
      <c r="V1015" s="40"/>
      <c r="W1015" s="40"/>
      <c r="X1015" s="41" t="str">
        <f>_xlfn.LET(
    _xlpm.MacVal, _xlfn.XLOOKUP($A1015, Output_Mac!$A:$A, Output_Mac!AB:AB, ""),
    _xlpm.MyAuditVal, _xlfn.XLOOKUP($A1015, My_Audit!$A:$A, My_Audit!N:N, ""),
    _xlfn.TEXTJOIN(", ", TRUE, _xlpm.MyAuditVal, _xlpm.MacVal)
)</f>
        <v/>
      </c>
    </row>
    <row r="1016" spans="1:24">
      <c r="A1016" s="40" t="str">
        <f>_xlfn.TEXTJOIN("",TRUE,Input!$B$2,ROW(My_Audit!A1015))</f>
        <v>X1015</v>
      </c>
      <c r="B1016" s="40" t="str">
        <f>_xlfn.TEXTJOIN("-",TRUE,"ITD",Input!$A$2,A1016)</f>
        <v>ITD-X1015</v>
      </c>
      <c r="C1016" s="40" t="str" cm="1">
        <f t="array" ref="C1016">IFERROR(_xlfn.LET(
_xlpm.CSVVal,_xlfn.XLOOKUP($A1016,CSV!$A:$A,CSV!B:B,""),
_xlpm.MacVal,_xlfn.XLOOKUP($A1016,Output_Mac!$A:$A,Output_Mac!B:B,""),
_xlpm.MyAuditVal,_xlfn.XLOOKUP($A1016,My_Audit!$A:$A,My_Audit!B:B,""),
_xlfn.IFS(_xlpm.MyAuditVal&lt;&gt;"",UPPER(_xlpm.MyAuditVal),_xlpm.MacVal&lt;&gt;"",_xlpm.MacVal,_xlpm.CSVVal&lt;&gt;"",_xlpm.CSVVal
)),"")</f>
        <v/>
      </c>
      <c r="D1016" s="40" t="str" cm="1">
        <f t="array" ref="D1016">IFERROR(_xlfn.LET(
_xlpm.CSVVal,_xlfn.XLOOKUP($A1016,CSV!$A:$A,CSV!D:D,""),
_xlpm.MacVal,_xlfn.XLOOKUP($A1016,Output_Mac!$A:$A,Output_Mac!C:C,""),
_xlpm.MyAuditVal,_xlfn.XLOOKUP($A1016,My_Audit!$A:$A,My_Audit!C:C,""),
_xlfn.IFS(_xlpm.MyAuditVal&lt;&gt;"",_xlpm.MyAuditVal,_xlpm.MacVal&lt;&gt;"",_xlpm.MacVal,_xlpm.CSVVal&lt;&gt;"",_xlpm.CSVVal
)),"")</f>
        <v/>
      </c>
      <c r="E1016" s="40" t="str">
        <f>_xlfn.XLOOKUP(A1016,My_Audit!A:A,My_Audit!D:D,"")</f>
        <v/>
      </c>
      <c r="F1016" s="40" t="str" cm="1">
        <f t="array" ref="F1016">IFERROR(_xlfn.LET(
_xlpm.CSVVal,_xlfn.XLOOKUP($A1016,CSV!$A:$A,CSV!F:F,""),
_xlpm.MacVal,_xlfn.XLOOKUP($A1016,Output_Mac!$A:$A,Output_Mac!E:E,""),
_xlpm.MyAuditVal,_xlfn.XLOOKUP($A1016,My_Audit!$A:$A,My_Audit!E:E,""),
_xlfn.IFS(_xlpm.MyAuditVal&lt;&gt;"",_xlpm.MyAuditVal,_xlpm.MacVal&lt;&gt;"",_xlpm.MacVal,_xlpm.CSVVal&lt;&gt;"",_xlpm.CSVVal
)),"")</f>
        <v/>
      </c>
      <c r="G1016" s="40" t="str" cm="1">
        <f t="array" ref="G1016">IFERROR(_xlfn.LET(
_xlpm.CSVVal,_xlfn.XLOOKUP($A1016,CSV!$A:$A,CSV!G:G,""),
_xlpm.MacVal,_xlfn.XLOOKUP($A1016,Output_Mac!$A:$A,Output_Mac!F:F,""),
_xlpm.MyAuditVal,_xlfn.XLOOKUP($A1016,My_Audit!$A:$A,My_Audit!F:F,""),
_xlfn.IFS(_xlpm.MyAuditVal&lt;&gt;"",_xlpm.MyAuditVal,_xlpm.MacVal&lt;&gt;"",_xlpm.MacVal,_xlpm.CSVVal&lt;&gt;"",PROPER(_xlpm.CSVVal)
)),"")</f>
        <v/>
      </c>
      <c r="H1016" s="40" t="str" cm="1">
        <f t="array" ref="H1016">IFERROR(_xlfn.LET(
_xlpm.CSVVal,_xlfn.XLOOKUP($A1016,CSV!$A:$A,CSV!H:H,""),
_xlpm.MacVal,_xlfn.XLOOKUP($A1016,Output_Mac!$A:$A,Output_Mac!H:H,""),
_xlpm.MyAuditVal,_xlfn.XLOOKUP($A1016,My_Audit!$A:$A,My_Audit!G:G,""),
_xlfn.IFS(_xlpm.MyAuditVal&lt;&gt;"",_xlpm.MyAuditVal,_xlpm.MacVal&lt;&gt;"",_xlpm.MacVal,_xlpm.CSVVal&lt;&gt;"",_xlpm.CSVVal
)),"")</f>
        <v/>
      </c>
      <c r="I1016" s="40" t="str">
        <f>_xlfn.XLOOKUP(A1016,Output_Mac!A:A,Output_Mac!I:I,"")</f>
        <v/>
      </c>
      <c r="J1016" s="40" t="str" cm="1">
        <f t="array" ref="J1016">IFERROR(_xlfn.LET(
_xlpm.CSVVal,_xlfn.XLOOKUP($A1016,CSV!$A:$A,CSV!I:I,""),
_xlpm.MacVal,_xlfn.XLOOKUP($A1016,Output_Mac!$A:$A,Output_Mac!J:J,""),
_xlpm.MyAuditVal,_xlfn.XLOOKUP($A1016,My_Audit!$A:$A,My_Audit!I:I,""),
_xlfn.IFS(_xlpm.MyAuditVal&lt;&gt;"",UPPER(_xlpm.MyAuditVal),_xlpm.MacVal&lt;&gt;"",_xlpm.MacVal,_xlpm.CSVVal&lt;&gt;"",_xlpm.CSVVal
)),"")</f>
        <v/>
      </c>
      <c r="K1016" s="40" t="str" cm="1">
        <f t="array" ref="K1016">IFERROR(_xlfn.LET(
_xlpm.CSVVal,_xlfn.XLOOKUP($A1016,CSV!$A:$A,CSV!K:K,""),
_xlpm.MacVal,_xlfn.XLOOKUP($A1016,Output_Mac!$A:$A,Output_Mac!K:K,""),
_xlpm.MyAuditVal,_xlfn.XLOOKUP($A1016,My_Audit!$A:$A,My_Audit!J:J,""),
_xlfn.IFS(_xlpm.MyAuditVal&lt;&gt;"",UPPER(_xlpm.MyAuditVal),_xlpm.MacVal&lt;&gt;"",_xlpm.MacVal,_xlpm.CSVVal&lt;&gt;"",_xlpm.CSVVal
)),"")</f>
        <v/>
      </c>
      <c r="L1016" s="40" t="str" cm="1">
        <f t="array" ref="L1016">IFERROR(_xlfn.LET(
_xlpm.CSVVal,_xlfn.XLOOKUP($A1016,CSV!$A:$A,CSV!P:P,""),
_xlpm.MacVal,_xlfn.XLOOKUP($A1016,Output_Mac!$A:$A,Output_Mac!L:L,""),
_xlpm.MyAuditVal,_xlfn.XLOOKUP($A1016,My_Audit!$A:$A,My_Audit!K:K,""),
_xlfn.IFS(_xlpm.MyAuditVal&lt;&gt;"",UPPER(_xlpm.MyAuditVal),_xlpm.MacVal&lt;&gt;"",_xlpm.MacVal,_xlpm.CSVVal&lt;&gt;"",_xlpm.CSVVal
)),"")</f>
        <v/>
      </c>
      <c r="M1016" s="40" t="str" cm="1">
        <f t="array" ref="M1016">IFERROR(_xlfn.LET(
_xlpm.CSVVal,_xlfn.XLOOKUP($A1016,CSV!$A:$A,CSV!Q:Q,""),
_xlpm.MacVal,_xlfn.XLOOKUP($A1016,Output_Mac!$A:$A,Output_Mac!M:M,""),
_xlpm.MyAuditVal,_xlfn.XLOOKUP($A1016,My_Audit!$A:$A,My_Audit!L:L,""),
_xlfn.IFS(_xlpm.MyAuditVal&lt;&gt;"",UPPER(_xlpm.MyAuditVal),_xlpm.MacVal&lt;&gt;"",_xlpm.MacVal,_xlpm.CSVVal&lt;&gt;"",_xlpm.CSVVal
)),"")</f>
        <v/>
      </c>
      <c r="N1016" s="40"/>
      <c r="O1016" s="40" t="str">
        <f>_xlfn.LET(
    _xlpm.CSVVal, _xlfn.XLOOKUP($A1016, CSV!$A:$A, CSV!AA:AA, ""),
    _xlpm.MacVal, _xlfn.XLOOKUP($A1016, Output_Mac!$A:$A, Output_Mac!S:S, ""),
    _xlpm.MyAuditVal, _xlfn.XLOOKUP($A1016, My_Audit!$A:$A, My_Audit!P:P, ""),
    _xlfn.TEXTJOIN(", ", TRUE, _xlpm.MyAuditVal, _xlpm.MacVal, _xlpm.CSVVal)
)</f>
        <v/>
      </c>
      <c r="P1016" s="40" t="str" cm="1">
        <f t="array" ref="P1016">IFERROR(_xlfn.LET(
_xlpm.CSVVal,_xlfn.XLOOKUP($A1016,CSV!$A:$A,CSV!AB:AB,""),
_xlpm.MacVal,_xlfn.XLOOKUP($A1016,Output_Mac!$A:$A,Output_Mac!T:T,""),
_xlpm.MyAuditVal,_xlfn.XLOOKUP($A1016,My_Audit!$A:$A,My_Audit!Q:Q,""),
_xlfn.IFS(_xlpm.MyAuditVal&lt;&gt;"",UPPER(_xlpm.MyAuditVal),_xlpm.MacVal&lt;&gt;"",_xlpm.MacVal,_xlpm.CSVVal&lt;&gt;"",_xlpm.CSVVal
)),"No")</f>
        <v>No</v>
      </c>
      <c r="Q1016" s="40" t="str" cm="1">
        <f t="array" ref="Q1016">IFERROR(_xlfn.LET(
_xlpm.CSVVal,_xlfn.XLOOKUP($A1016,CSV!$A:$A,CSV!AC:AC,""),
_xlpm.MacVal,_xlfn.XLOOKUP($A1016,Output_Mac!$A:$A,Output_Mac!U:U,""),
_xlpm.MyAuditVal,_xlfn.XLOOKUP($A1016,My_Audit!$A:$A,My_Audit!R:R,""),
_xlfn.IFS(_xlpm.MyAuditVal&lt;&gt;"",UPPER(_xlpm.MyAuditVal),_xlpm.MacVal&lt;&gt;"",_xlpm.MacVal,_xlpm.CSVVal&lt;&gt;"",_xlpm.CSVVal
)),"")</f>
        <v/>
      </c>
      <c r="R1016" s="40"/>
      <c r="S1016" s="40"/>
      <c r="T1016" s="40"/>
      <c r="U1016" s="40"/>
      <c r="V1016" s="40"/>
      <c r="W1016" s="40"/>
      <c r="X1016" s="41" t="str">
        <f>_xlfn.LET(
    _xlpm.MacVal, _xlfn.XLOOKUP($A1016, Output_Mac!$A:$A, Output_Mac!AB:AB, ""),
    _xlpm.MyAuditVal, _xlfn.XLOOKUP($A1016, My_Audit!$A:$A, My_Audit!N:N, ""),
    _xlfn.TEXTJOIN(", ", TRUE, _xlpm.MyAuditVal, _xlpm.MacVal)
)</f>
        <v/>
      </c>
    </row>
    <row r="1017" spans="1:24">
      <c r="A1017" s="40" t="str">
        <f>_xlfn.TEXTJOIN("",TRUE,Input!$B$2,ROW(My_Audit!A1016))</f>
        <v>X1016</v>
      </c>
      <c r="B1017" s="40" t="str">
        <f>_xlfn.TEXTJOIN("-",TRUE,"ITD",Input!$A$2,A1017)</f>
        <v>ITD-X1016</v>
      </c>
      <c r="C1017" s="40" t="str" cm="1">
        <f t="array" ref="C1017">IFERROR(_xlfn.LET(
_xlpm.CSVVal,_xlfn.XLOOKUP($A1017,CSV!$A:$A,CSV!B:B,""),
_xlpm.MacVal,_xlfn.XLOOKUP($A1017,Output_Mac!$A:$A,Output_Mac!B:B,""),
_xlpm.MyAuditVal,_xlfn.XLOOKUP($A1017,My_Audit!$A:$A,My_Audit!B:B,""),
_xlfn.IFS(_xlpm.MyAuditVal&lt;&gt;"",UPPER(_xlpm.MyAuditVal),_xlpm.MacVal&lt;&gt;"",_xlpm.MacVal,_xlpm.CSVVal&lt;&gt;"",_xlpm.CSVVal
)),"")</f>
        <v/>
      </c>
      <c r="D1017" s="40" t="str" cm="1">
        <f t="array" ref="D1017">IFERROR(_xlfn.LET(
_xlpm.CSVVal,_xlfn.XLOOKUP($A1017,CSV!$A:$A,CSV!D:D,""),
_xlpm.MacVal,_xlfn.XLOOKUP($A1017,Output_Mac!$A:$A,Output_Mac!C:C,""),
_xlpm.MyAuditVal,_xlfn.XLOOKUP($A1017,My_Audit!$A:$A,My_Audit!C:C,""),
_xlfn.IFS(_xlpm.MyAuditVal&lt;&gt;"",_xlpm.MyAuditVal,_xlpm.MacVal&lt;&gt;"",_xlpm.MacVal,_xlpm.CSVVal&lt;&gt;"",_xlpm.CSVVal
)),"")</f>
        <v/>
      </c>
      <c r="E1017" s="40" t="str">
        <f>_xlfn.XLOOKUP(A1017,My_Audit!A:A,My_Audit!D:D,"")</f>
        <v/>
      </c>
      <c r="F1017" s="40" t="str" cm="1">
        <f t="array" ref="F1017">IFERROR(_xlfn.LET(
_xlpm.CSVVal,_xlfn.XLOOKUP($A1017,CSV!$A:$A,CSV!F:F,""),
_xlpm.MacVal,_xlfn.XLOOKUP($A1017,Output_Mac!$A:$A,Output_Mac!E:E,""),
_xlpm.MyAuditVal,_xlfn.XLOOKUP($A1017,My_Audit!$A:$A,My_Audit!E:E,""),
_xlfn.IFS(_xlpm.MyAuditVal&lt;&gt;"",_xlpm.MyAuditVal,_xlpm.MacVal&lt;&gt;"",_xlpm.MacVal,_xlpm.CSVVal&lt;&gt;"",_xlpm.CSVVal
)),"")</f>
        <v/>
      </c>
      <c r="G1017" s="40" t="str" cm="1">
        <f t="array" ref="G1017">IFERROR(_xlfn.LET(
_xlpm.CSVVal,_xlfn.XLOOKUP($A1017,CSV!$A:$A,CSV!G:G,""),
_xlpm.MacVal,_xlfn.XLOOKUP($A1017,Output_Mac!$A:$A,Output_Mac!F:F,""),
_xlpm.MyAuditVal,_xlfn.XLOOKUP($A1017,My_Audit!$A:$A,My_Audit!F:F,""),
_xlfn.IFS(_xlpm.MyAuditVal&lt;&gt;"",_xlpm.MyAuditVal,_xlpm.MacVal&lt;&gt;"",_xlpm.MacVal,_xlpm.CSVVal&lt;&gt;"",PROPER(_xlpm.CSVVal)
)),"")</f>
        <v/>
      </c>
      <c r="H1017" s="40" t="str" cm="1">
        <f t="array" ref="H1017">IFERROR(_xlfn.LET(
_xlpm.CSVVal,_xlfn.XLOOKUP($A1017,CSV!$A:$A,CSV!H:H,""),
_xlpm.MacVal,_xlfn.XLOOKUP($A1017,Output_Mac!$A:$A,Output_Mac!H:H,""),
_xlpm.MyAuditVal,_xlfn.XLOOKUP($A1017,My_Audit!$A:$A,My_Audit!G:G,""),
_xlfn.IFS(_xlpm.MyAuditVal&lt;&gt;"",_xlpm.MyAuditVal,_xlpm.MacVal&lt;&gt;"",_xlpm.MacVal,_xlpm.CSVVal&lt;&gt;"",_xlpm.CSVVal
)),"")</f>
        <v/>
      </c>
      <c r="I1017" s="40" t="str">
        <f>_xlfn.XLOOKUP(A1017,Output_Mac!A:A,Output_Mac!I:I,"")</f>
        <v/>
      </c>
      <c r="J1017" s="40" t="str" cm="1">
        <f t="array" ref="J1017">IFERROR(_xlfn.LET(
_xlpm.CSVVal,_xlfn.XLOOKUP($A1017,CSV!$A:$A,CSV!I:I,""),
_xlpm.MacVal,_xlfn.XLOOKUP($A1017,Output_Mac!$A:$A,Output_Mac!J:J,""),
_xlpm.MyAuditVal,_xlfn.XLOOKUP($A1017,My_Audit!$A:$A,My_Audit!I:I,""),
_xlfn.IFS(_xlpm.MyAuditVal&lt;&gt;"",UPPER(_xlpm.MyAuditVal),_xlpm.MacVal&lt;&gt;"",_xlpm.MacVal,_xlpm.CSVVal&lt;&gt;"",_xlpm.CSVVal
)),"")</f>
        <v/>
      </c>
      <c r="K1017" s="40" t="str" cm="1">
        <f t="array" ref="K1017">IFERROR(_xlfn.LET(
_xlpm.CSVVal,_xlfn.XLOOKUP($A1017,CSV!$A:$A,CSV!K:K,""),
_xlpm.MacVal,_xlfn.XLOOKUP($A1017,Output_Mac!$A:$A,Output_Mac!K:K,""),
_xlpm.MyAuditVal,_xlfn.XLOOKUP($A1017,My_Audit!$A:$A,My_Audit!J:J,""),
_xlfn.IFS(_xlpm.MyAuditVal&lt;&gt;"",UPPER(_xlpm.MyAuditVal),_xlpm.MacVal&lt;&gt;"",_xlpm.MacVal,_xlpm.CSVVal&lt;&gt;"",_xlpm.CSVVal
)),"")</f>
        <v/>
      </c>
      <c r="L1017" s="40" t="str" cm="1">
        <f t="array" ref="L1017">IFERROR(_xlfn.LET(
_xlpm.CSVVal,_xlfn.XLOOKUP($A1017,CSV!$A:$A,CSV!P:P,""),
_xlpm.MacVal,_xlfn.XLOOKUP($A1017,Output_Mac!$A:$A,Output_Mac!L:L,""),
_xlpm.MyAuditVal,_xlfn.XLOOKUP($A1017,My_Audit!$A:$A,My_Audit!K:K,""),
_xlfn.IFS(_xlpm.MyAuditVal&lt;&gt;"",UPPER(_xlpm.MyAuditVal),_xlpm.MacVal&lt;&gt;"",_xlpm.MacVal,_xlpm.CSVVal&lt;&gt;"",_xlpm.CSVVal
)),"")</f>
        <v/>
      </c>
      <c r="M1017" s="40" t="str" cm="1">
        <f t="array" ref="M1017">IFERROR(_xlfn.LET(
_xlpm.CSVVal,_xlfn.XLOOKUP($A1017,CSV!$A:$A,CSV!Q:Q,""),
_xlpm.MacVal,_xlfn.XLOOKUP($A1017,Output_Mac!$A:$A,Output_Mac!M:M,""),
_xlpm.MyAuditVal,_xlfn.XLOOKUP($A1017,My_Audit!$A:$A,My_Audit!L:L,""),
_xlfn.IFS(_xlpm.MyAuditVal&lt;&gt;"",UPPER(_xlpm.MyAuditVal),_xlpm.MacVal&lt;&gt;"",_xlpm.MacVal,_xlpm.CSVVal&lt;&gt;"",_xlpm.CSVVal
)),"")</f>
        <v/>
      </c>
      <c r="N1017" s="40"/>
      <c r="O1017" s="40" t="str">
        <f>_xlfn.LET(
    _xlpm.CSVVal, _xlfn.XLOOKUP($A1017, CSV!$A:$A, CSV!AA:AA, ""),
    _xlpm.MacVal, _xlfn.XLOOKUP($A1017, Output_Mac!$A:$A, Output_Mac!S:S, ""),
    _xlpm.MyAuditVal, _xlfn.XLOOKUP($A1017, My_Audit!$A:$A, My_Audit!P:P, ""),
    _xlfn.TEXTJOIN(", ", TRUE, _xlpm.MyAuditVal, _xlpm.MacVal, _xlpm.CSVVal)
)</f>
        <v/>
      </c>
      <c r="P1017" s="40" t="str" cm="1">
        <f t="array" ref="P1017">IFERROR(_xlfn.LET(
_xlpm.CSVVal,_xlfn.XLOOKUP($A1017,CSV!$A:$A,CSV!AB:AB,""),
_xlpm.MacVal,_xlfn.XLOOKUP($A1017,Output_Mac!$A:$A,Output_Mac!T:T,""),
_xlpm.MyAuditVal,_xlfn.XLOOKUP($A1017,My_Audit!$A:$A,My_Audit!Q:Q,""),
_xlfn.IFS(_xlpm.MyAuditVal&lt;&gt;"",UPPER(_xlpm.MyAuditVal),_xlpm.MacVal&lt;&gt;"",_xlpm.MacVal,_xlpm.CSVVal&lt;&gt;"",_xlpm.CSVVal
)),"No")</f>
        <v>No</v>
      </c>
      <c r="Q1017" s="40" t="str" cm="1">
        <f t="array" ref="Q1017">IFERROR(_xlfn.LET(
_xlpm.CSVVal,_xlfn.XLOOKUP($A1017,CSV!$A:$A,CSV!AC:AC,""),
_xlpm.MacVal,_xlfn.XLOOKUP($A1017,Output_Mac!$A:$A,Output_Mac!U:U,""),
_xlpm.MyAuditVal,_xlfn.XLOOKUP($A1017,My_Audit!$A:$A,My_Audit!R:R,""),
_xlfn.IFS(_xlpm.MyAuditVal&lt;&gt;"",UPPER(_xlpm.MyAuditVal),_xlpm.MacVal&lt;&gt;"",_xlpm.MacVal,_xlpm.CSVVal&lt;&gt;"",_xlpm.CSVVal
)),"")</f>
        <v/>
      </c>
      <c r="R1017" s="40"/>
      <c r="S1017" s="40"/>
      <c r="T1017" s="40"/>
      <c r="U1017" s="40"/>
      <c r="V1017" s="40"/>
      <c r="W1017" s="40"/>
      <c r="X1017" s="41" t="str">
        <f>_xlfn.LET(
    _xlpm.MacVal, _xlfn.XLOOKUP($A1017, Output_Mac!$A:$A, Output_Mac!AB:AB, ""),
    _xlpm.MyAuditVal, _xlfn.XLOOKUP($A1017, My_Audit!$A:$A, My_Audit!N:N, ""),
    _xlfn.TEXTJOIN(", ", TRUE, _xlpm.MyAuditVal, _xlpm.MacVal)
)</f>
        <v/>
      </c>
    </row>
    <row r="1018" spans="1:24">
      <c r="A1018" s="40" t="str">
        <f>_xlfn.TEXTJOIN("",TRUE,Input!$B$2,ROW(My_Audit!A1017))</f>
        <v>X1017</v>
      </c>
      <c r="B1018" s="40" t="str">
        <f>_xlfn.TEXTJOIN("-",TRUE,"ITD",Input!$A$2,A1018)</f>
        <v>ITD-X1017</v>
      </c>
      <c r="C1018" s="40" t="str" cm="1">
        <f t="array" ref="C1018">IFERROR(_xlfn.LET(
_xlpm.CSVVal,_xlfn.XLOOKUP($A1018,CSV!$A:$A,CSV!B:B,""),
_xlpm.MacVal,_xlfn.XLOOKUP($A1018,Output_Mac!$A:$A,Output_Mac!B:B,""),
_xlpm.MyAuditVal,_xlfn.XLOOKUP($A1018,My_Audit!$A:$A,My_Audit!B:B,""),
_xlfn.IFS(_xlpm.MyAuditVal&lt;&gt;"",UPPER(_xlpm.MyAuditVal),_xlpm.MacVal&lt;&gt;"",_xlpm.MacVal,_xlpm.CSVVal&lt;&gt;"",_xlpm.CSVVal
)),"")</f>
        <v/>
      </c>
      <c r="D1018" s="40" t="str" cm="1">
        <f t="array" ref="D1018">IFERROR(_xlfn.LET(
_xlpm.CSVVal,_xlfn.XLOOKUP($A1018,CSV!$A:$A,CSV!D:D,""),
_xlpm.MacVal,_xlfn.XLOOKUP($A1018,Output_Mac!$A:$A,Output_Mac!C:C,""),
_xlpm.MyAuditVal,_xlfn.XLOOKUP($A1018,My_Audit!$A:$A,My_Audit!C:C,""),
_xlfn.IFS(_xlpm.MyAuditVal&lt;&gt;"",_xlpm.MyAuditVal,_xlpm.MacVal&lt;&gt;"",_xlpm.MacVal,_xlpm.CSVVal&lt;&gt;"",_xlpm.CSVVal
)),"")</f>
        <v/>
      </c>
      <c r="E1018" s="40" t="str">
        <f>_xlfn.XLOOKUP(A1018,My_Audit!A:A,My_Audit!D:D,"")</f>
        <v/>
      </c>
      <c r="F1018" s="40" t="str" cm="1">
        <f t="array" ref="F1018">IFERROR(_xlfn.LET(
_xlpm.CSVVal,_xlfn.XLOOKUP($A1018,CSV!$A:$A,CSV!F:F,""),
_xlpm.MacVal,_xlfn.XLOOKUP($A1018,Output_Mac!$A:$A,Output_Mac!E:E,""),
_xlpm.MyAuditVal,_xlfn.XLOOKUP($A1018,My_Audit!$A:$A,My_Audit!E:E,""),
_xlfn.IFS(_xlpm.MyAuditVal&lt;&gt;"",_xlpm.MyAuditVal,_xlpm.MacVal&lt;&gt;"",_xlpm.MacVal,_xlpm.CSVVal&lt;&gt;"",_xlpm.CSVVal
)),"")</f>
        <v/>
      </c>
      <c r="G1018" s="40" t="str" cm="1">
        <f t="array" ref="G1018">IFERROR(_xlfn.LET(
_xlpm.CSVVal,_xlfn.XLOOKUP($A1018,CSV!$A:$A,CSV!G:G,""),
_xlpm.MacVal,_xlfn.XLOOKUP($A1018,Output_Mac!$A:$A,Output_Mac!F:F,""),
_xlpm.MyAuditVal,_xlfn.XLOOKUP($A1018,My_Audit!$A:$A,My_Audit!F:F,""),
_xlfn.IFS(_xlpm.MyAuditVal&lt;&gt;"",_xlpm.MyAuditVal,_xlpm.MacVal&lt;&gt;"",_xlpm.MacVal,_xlpm.CSVVal&lt;&gt;"",PROPER(_xlpm.CSVVal)
)),"")</f>
        <v/>
      </c>
      <c r="H1018" s="40" t="str" cm="1">
        <f t="array" ref="H1018">IFERROR(_xlfn.LET(
_xlpm.CSVVal,_xlfn.XLOOKUP($A1018,CSV!$A:$A,CSV!H:H,""),
_xlpm.MacVal,_xlfn.XLOOKUP($A1018,Output_Mac!$A:$A,Output_Mac!H:H,""),
_xlpm.MyAuditVal,_xlfn.XLOOKUP($A1018,My_Audit!$A:$A,My_Audit!G:G,""),
_xlfn.IFS(_xlpm.MyAuditVal&lt;&gt;"",_xlpm.MyAuditVal,_xlpm.MacVal&lt;&gt;"",_xlpm.MacVal,_xlpm.CSVVal&lt;&gt;"",_xlpm.CSVVal
)),"")</f>
        <v/>
      </c>
      <c r="I1018" s="40" t="str">
        <f>_xlfn.XLOOKUP(A1018,Output_Mac!A:A,Output_Mac!I:I,"")</f>
        <v/>
      </c>
      <c r="J1018" s="40" t="str" cm="1">
        <f t="array" ref="J1018">IFERROR(_xlfn.LET(
_xlpm.CSVVal,_xlfn.XLOOKUP($A1018,CSV!$A:$A,CSV!I:I,""),
_xlpm.MacVal,_xlfn.XLOOKUP($A1018,Output_Mac!$A:$A,Output_Mac!J:J,""),
_xlpm.MyAuditVal,_xlfn.XLOOKUP($A1018,My_Audit!$A:$A,My_Audit!I:I,""),
_xlfn.IFS(_xlpm.MyAuditVal&lt;&gt;"",UPPER(_xlpm.MyAuditVal),_xlpm.MacVal&lt;&gt;"",_xlpm.MacVal,_xlpm.CSVVal&lt;&gt;"",_xlpm.CSVVal
)),"")</f>
        <v/>
      </c>
      <c r="K1018" s="40" t="str" cm="1">
        <f t="array" ref="K1018">IFERROR(_xlfn.LET(
_xlpm.CSVVal,_xlfn.XLOOKUP($A1018,CSV!$A:$A,CSV!K:K,""),
_xlpm.MacVal,_xlfn.XLOOKUP($A1018,Output_Mac!$A:$A,Output_Mac!K:K,""),
_xlpm.MyAuditVal,_xlfn.XLOOKUP($A1018,My_Audit!$A:$A,My_Audit!J:J,""),
_xlfn.IFS(_xlpm.MyAuditVal&lt;&gt;"",UPPER(_xlpm.MyAuditVal),_xlpm.MacVal&lt;&gt;"",_xlpm.MacVal,_xlpm.CSVVal&lt;&gt;"",_xlpm.CSVVal
)),"")</f>
        <v/>
      </c>
      <c r="L1018" s="40" t="str" cm="1">
        <f t="array" ref="L1018">IFERROR(_xlfn.LET(
_xlpm.CSVVal,_xlfn.XLOOKUP($A1018,CSV!$A:$A,CSV!P:P,""),
_xlpm.MacVal,_xlfn.XLOOKUP($A1018,Output_Mac!$A:$A,Output_Mac!L:L,""),
_xlpm.MyAuditVal,_xlfn.XLOOKUP($A1018,My_Audit!$A:$A,My_Audit!K:K,""),
_xlfn.IFS(_xlpm.MyAuditVal&lt;&gt;"",UPPER(_xlpm.MyAuditVal),_xlpm.MacVal&lt;&gt;"",_xlpm.MacVal,_xlpm.CSVVal&lt;&gt;"",_xlpm.CSVVal
)),"")</f>
        <v/>
      </c>
      <c r="M1018" s="40" t="str" cm="1">
        <f t="array" ref="M1018">IFERROR(_xlfn.LET(
_xlpm.CSVVal,_xlfn.XLOOKUP($A1018,CSV!$A:$A,CSV!Q:Q,""),
_xlpm.MacVal,_xlfn.XLOOKUP($A1018,Output_Mac!$A:$A,Output_Mac!M:M,""),
_xlpm.MyAuditVal,_xlfn.XLOOKUP($A1018,My_Audit!$A:$A,My_Audit!L:L,""),
_xlfn.IFS(_xlpm.MyAuditVal&lt;&gt;"",UPPER(_xlpm.MyAuditVal),_xlpm.MacVal&lt;&gt;"",_xlpm.MacVal,_xlpm.CSVVal&lt;&gt;"",_xlpm.CSVVal
)),"")</f>
        <v/>
      </c>
      <c r="N1018" s="40"/>
      <c r="O1018" s="40" t="str">
        <f>_xlfn.LET(
    _xlpm.CSVVal, _xlfn.XLOOKUP($A1018, CSV!$A:$A, CSV!AA:AA, ""),
    _xlpm.MacVal, _xlfn.XLOOKUP($A1018, Output_Mac!$A:$A, Output_Mac!S:S, ""),
    _xlpm.MyAuditVal, _xlfn.XLOOKUP($A1018, My_Audit!$A:$A, My_Audit!P:P, ""),
    _xlfn.TEXTJOIN(", ", TRUE, _xlpm.MyAuditVal, _xlpm.MacVal, _xlpm.CSVVal)
)</f>
        <v/>
      </c>
      <c r="P1018" s="40" t="str" cm="1">
        <f t="array" ref="P1018">IFERROR(_xlfn.LET(
_xlpm.CSVVal,_xlfn.XLOOKUP($A1018,CSV!$A:$A,CSV!AB:AB,""),
_xlpm.MacVal,_xlfn.XLOOKUP($A1018,Output_Mac!$A:$A,Output_Mac!T:T,""),
_xlpm.MyAuditVal,_xlfn.XLOOKUP($A1018,My_Audit!$A:$A,My_Audit!Q:Q,""),
_xlfn.IFS(_xlpm.MyAuditVal&lt;&gt;"",UPPER(_xlpm.MyAuditVal),_xlpm.MacVal&lt;&gt;"",_xlpm.MacVal,_xlpm.CSVVal&lt;&gt;"",_xlpm.CSVVal
)),"No")</f>
        <v>No</v>
      </c>
      <c r="Q1018" s="40" t="str" cm="1">
        <f t="array" ref="Q1018">IFERROR(_xlfn.LET(
_xlpm.CSVVal,_xlfn.XLOOKUP($A1018,CSV!$A:$A,CSV!AC:AC,""),
_xlpm.MacVal,_xlfn.XLOOKUP($A1018,Output_Mac!$A:$A,Output_Mac!U:U,""),
_xlpm.MyAuditVal,_xlfn.XLOOKUP($A1018,My_Audit!$A:$A,My_Audit!R:R,""),
_xlfn.IFS(_xlpm.MyAuditVal&lt;&gt;"",UPPER(_xlpm.MyAuditVal),_xlpm.MacVal&lt;&gt;"",_xlpm.MacVal,_xlpm.CSVVal&lt;&gt;"",_xlpm.CSVVal
)),"")</f>
        <v/>
      </c>
      <c r="R1018" s="40"/>
      <c r="S1018" s="40"/>
      <c r="T1018" s="40"/>
      <c r="U1018" s="40"/>
      <c r="V1018" s="40"/>
      <c r="W1018" s="40"/>
      <c r="X1018" s="41" t="str">
        <f>_xlfn.LET(
    _xlpm.MacVal, _xlfn.XLOOKUP($A1018, Output_Mac!$A:$A, Output_Mac!AB:AB, ""),
    _xlpm.MyAuditVal, _xlfn.XLOOKUP($A1018, My_Audit!$A:$A, My_Audit!N:N, ""),
    _xlfn.TEXTJOIN(", ", TRUE, _xlpm.MyAuditVal, _xlpm.MacVal)
)</f>
        <v/>
      </c>
    </row>
    <row r="1019" spans="1:24">
      <c r="A1019" s="40" t="str">
        <f>_xlfn.TEXTJOIN("",TRUE,Input!$B$2,ROW(My_Audit!A1018))</f>
        <v>X1018</v>
      </c>
      <c r="B1019" s="40" t="str">
        <f>_xlfn.TEXTJOIN("-",TRUE,"ITD",Input!$A$2,A1019)</f>
        <v>ITD-X1018</v>
      </c>
      <c r="C1019" s="40" t="str" cm="1">
        <f t="array" ref="C1019">IFERROR(_xlfn.LET(
_xlpm.CSVVal,_xlfn.XLOOKUP($A1019,CSV!$A:$A,CSV!B:B,""),
_xlpm.MacVal,_xlfn.XLOOKUP($A1019,Output_Mac!$A:$A,Output_Mac!B:B,""),
_xlpm.MyAuditVal,_xlfn.XLOOKUP($A1019,My_Audit!$A:$A,My_Audit!B:B,""),
_xlfn.IFS(_xlpm.MyAuditVal&lt;&gt;"",UPPER(_xlpm.MyAuditVal),_xlpm.MacVal&lt;&gt;"",_xlpm.MacVal,_xlpm.CSVVal&lt;&gt;"",_xlpm.CSVVal
)),"")</f>
        <v/>
      </c>
      <c r="D1019" s="40" t="str" cm="1">
        <f t="array" ref="D1019">IFERROR(_xlfn.LET(
_xlpm.CSVVal,_xlfn.XLOOKUP($A1019,CSV!$A:$A,CSV!D:D,""),
_xlpm.MacVal,_xlfn.XLOOKUP($A1019,Output_Mac!$A:$A,Output_Mac!C:C,""),
_xlpm.MyAuditVal,_xlfn.XLOOKUP($A1019,My_Audit!$A:$A,My_Audit!C:C,""),
_xlfn.IFS(_xlpm.MyAuditVal&lt;&gt;"",_xlpm.MyAuditVal,_xlpm.MacVal&lt;&gt;"",_xlpm.MacVal,_xlpm.CSVVal&lt;&gt;"",_xlpm.CSVVal
)),"")</f>
        <v/>
      </c>
      <c r="E1019" s="40" t="str">
        <f>_xlfn.XLOOKUP(A1019,My_Audit!A:A,My_Audit!D:D,"")</f>
        <v/>
      </c>
      <c r="F1019" s="40" t="str" cm="1">
        <f t="array" ref="F1019">IFERROR(_xlfn.LET(
_xlpm.CSVVal,_xlfn.XLOOKUP($A1019,CSV!$A:$A,CSV!F:F,""),
_xlpm.MacVal,_xlfn.XLOOKUP($A1019,Output_Mac!$A:$A,Output_Mac!E:E,""),
_xlpm.MyAuditVal,_xlfn.XLOOKUP($A1019,My_Audit!$A:$A,My_Audit!E:E,""),
_xlfn.IFS(_xlpm.MyAuditVal&lt;&gt;"",_xlpm.MyAuditVal,_xlpm.MacVal&lt;&gt;"",_xlpm.MacVal,_xlpm.CSVVal&lt;&gt;"",_xlpm.CSVVal
)),"")</f>
        <v/>
      </c>
      <c r="G1019" s="40" t="str" cm="1">
        <f t="array" ref="G1019">IFERROR(_xlfn.LET(
_xlpm.CSVVal,_xlfn.XLOOKUP($A1019,CSV!$A:$A,CSV!G:G,""),
_xlpm.MacVal,_xlfn.XLOOKUP($A1019,Output_Mac!$A:$A,Output_Mac!F:F,""),
_xlpm.MyAuditVal,_xlfn.XLOOKUP($A1019,My_Audit!$A:$A,My_Audit!F:F,""),
_xlfn.IFS(_xlpm.MyAuditVal&lt;&gt;"",_xlpm.MyAuditVal,_xlpm.MacVal&lt;&gt;"",_xlpm.MacVal,_xlpm.CSVVal&lt;&gt;"",PROPER(_xlpm.CSVVal)
)),"")</f>
        <v/>
      </c>
      <c r="H1019" s="40" t="str" cm="1">
        <f t="array" ref="H1019">IFERROR(_xlfn.LET(
_xlpm.CSVVal,_xlfn.XLOOKUP($A1019,CSV!$A:$A,CSV!H:H,""),
_xlpm.MacVal,_xlfn.XLOOKUP($A1019,Output_Mac!$A:$A,Output_Mac!H:H,""),
_xlpm.MyAuditVal,_xlfn.XLOOKUP($A1019,My_Audit!$A:$A,My_Audit!G:G,""),
_xlfn.IFS(_xlpm.MyAuditVal&lt;&gt;"",_xlpm.MyAuditVal,_xlpm.MacVal&lt;&gt;"",_xlpm.MacVal,_xlpm.CSVVal&lt;&gt;"",_xlpm.CSVVal
)),"")</f>
        <v/>
      </c>
      <c r="I1019" s="40" t="str">
        <f>_xlfn.XLOOKUP(A1019,Output_Mac!A:A,Output_Mac!I:I,"")</f>
        <v/>
      </c>
      <c r="J1019" s="40" t="str" cm="1">
        <f t="array" ref="J1019">IFERROR(_xlfn.LET(
_xlpm.CSVVal,_xlfn.XLOOKUP($A1019,CSV!$A:$A,CSV!I:I,""),
_xlpm.MacVal,_xlfn.XLOOKUP($A1019,Output_Mac!$A:$A,Output_Mac!J:J,""),
_xlpm.MyAuditVal,_xlfn.XLOOKUP($A1019,My_Audit!$A:$A,My_Audit!I:I,""),
_xlfn.IFS(_xlpm.MyAuditVal&lt;&gt;"",UPPER(_xlpm.MyAuditVal),_xlpm.MacVal&lt;&gt;"",_xlpm.MacVal,_xlpm.CSVVal&lt;&gt;"",_xlpm.CSVVal
)),"")</f>
        <v/>
      </c>
      <c r="K1019" s="40" t="str" cm="1">
        <f t="array" ref="K1019">IFERROR(_xlfn.LET(
_xlpm.CSVVal,_xlfn.XLOOKUP($A1019,CSV!$A:$A,CSV!K:K,""),
_xlpm.MacVal,_xlfn.XLOOKUP($A1019,Output_Mac!$A:$A,Output_Mac!K:K,""),
_xlpm.MyAuditVal,_xlfn.XLOOKUP($A1019,My_Audit!$A:$A,My_Audit!J:J,""),
_xlfn.IFS(_xlpm.MyAuditVal&lt;&gt;"",UPPER(_xlpm.MyAuditVal),_xlpm.MacVal&lt;&gt;"",_xlpm.MacVal,_xlpm.CSVVal&lt;&gt;"",_xlpm.CSVVal
)),"")</f>
        <v/>
      </c>
      <c r="L1019" s="40" t="str" cm="1">
        <f t="array" ref="L1019">IFERROR(_xlfn.LET(
_xlpm.CSVVal,_xlfn.XLOOKUP($A1019,CSV!$A:$A,CSV!P:P,""),
_xlpm.MacVal,_xlfn.XLOOKUP($A1019,Output_Mac!$A:$A,Output_Mac!L:L,""),
_xlpm.MyAuditVal,_xlfn.XLOOKUP($A1019,My_Audit!$A:$A,My_Audit!K:K,""),
_xlfn.IFS(_xlpm.MyAuditVal&lt;&gt;"",UPPER(_xlpm.MyAuditVal),_xlpm.MacVal&lt;&gt;"",_xlpm.MacVal,_xlpm.CSVVal&lt;&gt;"",_xlpm.CSVVal
)),"")</f>
        <v/>
      </c>
      <c r="M1019" s="40" t="str" cm="1">
        <f t="array" ref="M1019">IFERROR(_xlfn.LET(
_xlpm.CSVVal,_xlfn.XLOOKUP($A1019,CSV!$A:$A,CSV!Q:Q,""),
_xlpm.MacVal,_xlfn.XLOOKUP($A1019,Output_Mac!$A:$A,Output_Mac!M:M,""),
_xlpm.MyAuditVal,_xlfn.XLOOKUP($A1019,My_Audit!$A:$A,My_Audit!L:L,""),
_xlfn.IFS(_xlpm.MyAuditVal&lt;&gt;"",UPPER(_xlpm.MyAuditVal),_xlpm.MacVal&lt;&gt;"",_xlpm.MacVal,_xlpm.CSVVal&lt;&gt;"",_xlpm.CSVVal
)),"")</f>
        <v/>
      </c>
      <c r="N1019" s="40"/>
      <c r="O1019" s="40" t="str">
        <f>_xlfn.LET(
    _xlpm.CSVVal, _xlfn.XLOOKUP($A1019, CSV!$A:$A, CSV!AA:AA, ""),
    _xlpm.MacVal, _xlfn.XLOOKUP($A1019, Output_Mac!$A:$A, Output_Mac!S:S, ""),
    _xlpm.MyAuditVal, _xlfn.XLOOKUP($A1019, My_Audit!$A:$A, My_Audit!P:P, ""),
    _xlfn.TEXTJOIN(", ", TRUE, _xlpm.MyAuditVal, _xlpm.MacVal, _xlpm.CSVVal)
)</f>
        <v/>
      </c>
      <c r="P1019" s="40" t="str" cm="1">
        <f t="array" ref="P1019">IFERROR(_xlfn.LET(
_xlpm.CSVVal,_xlfn.XLOOKUP($A1019,CSV!$A:$A,CSV!AB:AB,""),
_xlpm.MacVal,_xlfn.XLOOKUP($A1019,Output_Mac!$A:$A,Output_Mac!T:T,""),
_xlpm.MyAuditVal,_xlfn.XLOOKUP($A1019,My_Audit!$A:$A,My_Audit!Q:Q,""),
_xlfn.IFS(_xlpm.MyAuditVal&lt;&gt;"",UPPER(_xlpm.MyAuditVal),_xlpm.MacVal&lt;&gt;"",_xlpm.MacVal,_xlpm.CSVVal&lt;&gt;"",_xlpm.CSVVal
)),"No")</f>
        <v>No</v>
      </c>
      <c r="Q1019" s="40" t="str" cm="1">
        <f t="array" ref="Q1019">IFERROR(_xlfn.LET(
_xlpm.CSVVal,_xlfn.XLOOKUP($A1019,CSV!$A:$A,CSV!AC:AC,""),
_xlpm.MacVal,_xlfn.XLOOKUP($A1019,Output_Mac!$A:$A,Output_Mac!U:U,""),
_xlpm.MyAuditVal,_xlfn.XLOOKUP($A1019,My_Audit!$A:$A,My_Audit!R:R,""),
_xlfn.IFS(_xlpm.MyAuditVal&lt;&gt;"",UPPER(_xlpm.MyAuditVal),_xlpm.MacVal&lt;&gt;"",_xlpm.MacVal,_xlpm.CSVVal&lt;&gt;"",_xlpm.CSVVal
)),"")</f>
        <v/>
      </c>
      <c r="R1019" s="40"/>
      <c r="S1019" s="40"/>
      <c r="T1019" s="40"/>
      <c r="U1019" s="40"/>
      <c r="V1019" s="40"/>
      <c r="W1019" s="40"/>
      <c r="X1019" s="41" t="str">
        <f>_xlfn.LET(
    _xlpm.MacVal, _xlfn.XLOOKUP($A1019, Output_Mac!$A:$A, Output_Mac!AB:AB, ""),
    _xlpm.MyAuditVal, _xlfn.XLOOKUP($A1019, My_Audit!$A:$A, My_Audit!N:N, ""),
    _xlfn.TEXTJOIN(", ", TRUE, _xlpm.MyAuditVal, _xlpm.MacVal)
)</f>
        <v/>
      </c>
    </row>
    <row r="1020" spans="1:24">
      <c r="A1020" s="40" t="str">
        <f>_xlfn.TEXTJOIN("",TRUE,Input!$B$2,ROW(My_Audit!A1019))</f>
        <v>X1019</v>
      </c>
      <c r="B1020" s="40" t="str">
        <f>_xlfn.TEXTJOIN("-",TRUE,"ITD",Input!$A$2,A1020)</f>
        <v>ITD-X1019</v>
      </c>
      <c r="C1020" s="40" t="str" cm="1">
        <f t="array" ref="C1020">IFERROR(_xlfn.LET(
_xlpm.CSVVal,_xlfn.XLOOKUP($A1020,CSV!$A:$A,CSV!B:B,""),
_xlpm.MacVal,_xlfn.XLOOKUP($A1020,Output_Mac!$A:$A,Output_Mac!B:B,""),
_xlpm.MyAuditVal,_xlfn.XLOOKUP($A1020,My_Audit!$A:$A,My_Audit!B:B,""),
_xlfn.IFS(_xlpm.MyAuditVal&lt;&gt;"",UPPER(_xlpm.MyAuditVal),_xlpm.MacVal&lt;&gt;"",_xlpm.MacVal,_xlpm.CSVVal&lt;&gt;"",_xlpm.CSVVal
)),"")</f>
        <v/>
      </c>
      <c r="D1020" s="40" t="str" cm="1">
        <f t="array" ref="D1020">IFERROR(_xlfn.LET(
_xlpm.CSVVal,_xlfn.XLOOKUP($A1020,CSV!$A:$A,CSV!D:D,""),
_xlpm.MacVal,_xlfn.XLOOKUP($A1020,Output_Mac!$A:$A,Output_Mac!C:C,""),
_xlpm.MyAuditVal,_xlfn.XLOOKUP($A1020,My_Audit!$A:$A,My_Audit!C:C,""),
_xlfn.IFS(_xlpm.MyAuditVal&lt;&gt;"",_xlpm.MyAuditVal,_xlpm.MacVal&lt;&gt;"",_xlpm.MacVal,_xlpm.CSVVal&lt;&gt;"",_xlpm.CSVVal
)),"")</f>
        <v/>
      </c>
      <c r="E1020" s="40" t="str">
        <f>_xlfn.XLOOKUP(A1020,My_Audit!A:A,My_Audit!D:D,"")</f>
        <v/>
      </c>
      <c r="F1020" s="40" t="str" cm="1">
        <f t="array" ref="F1020">IFERROR(_xlfn.LET(
_xlpm.CSVVal,_xlfn.XLOOKUP($A1020,CSV!$A:$A,CSV!F:F,""),
_xlpm.MacVal,_xlfn.XLOOKUP($A1020,Output_Mac!$A:$A,Output_Mac!E:E,""),
_xlpm.MyAuditVal,_xlfn.XLOOKUP($A1020,My_Audit!$A:$A,My_Audit!E:E,""),
_xlfn.IFS(_xlpm.MyAuditVal&lt;&gt;"",_xlpm.MyAuditVal,_xlpm.MacVal&lt;&gt;"",_xlpm.MacVal,_xlpm.CSVVal&lt;&gt;"",_xlpm.CSVVal
)),"")</f>
        <v/>
      </c>
      <c r="G1020" s="40" t="str" cm="1">
        <f t="array" ref="G1020">IFERROR(_xlfn.LET(
_xlpm.CSVVal,_xlfn.XLOOKUP($A1020,CSV!$A:$A,CSV!G:G,""),
_xlpm.MacVal,_xlfn.XLOOKUP($A1020,Output_Mac!$A:$A,Output_Mac!F:F,""),
_xlpm.MyAuditVal,_xlfn.XLOOKUP($A1020,My_Audit!$A:$A,My_Audit!F:F,""),
_xlfn.IFS(_xlpm.MyAuditVal&lt;&gt;"",_xlpm.MyAuditVal,_xlpm.MacVal&lt;&gt;"",_xlpm.MacVal,_xlpm.CSVVal&lt;&gt;"",PROPER(_xlpm.CSVVal)
)),"")</f>
        <v/>
      </c>
      <c r="H1020" s="40" t="str" cm="1">
        <f t="array" ref="H1020">IFERROR(_xlfn.LET(
_xlpm.CSVVal,_xlfn.XLOOKUP($A1020,CSV!$A:$A,CSV!H:H,""),
_xlpm.MacVal,_xlfn.XLOOKUP($A1020,Output_Mac!$A:$A,Output_Mac!H:H,""),
_xlpm.MyAuditVal,_xlfn.XLOOKUP($A1020,My_Audit!$A:$A,My_Audit!G:G,""),
_xlfn.IFS(_xlpm.MyAuditVal&lt;&gt;"",_xlpm.MyAuditVal,_xlpm.MacVal&lt;&gt;"",_xlpm.MacVal,_xlpm.CSVVal&lt;&gt;"",_xlpm.CSVVal
)),"")</f>
        <v/>
      </c>
      <c r="I1020" s="40" t="str">
        <f>_xlfn.XLOOKUP(A1020,Output_Mac!A:A,Output_Mac!I:I,"")</f>
        <v/>
      </c>
      <c r="J1020" s="40" t="str" cm="1">
        <f t="array" ref="J1020">IFERROR(_xlfn.LET(
_xlpm.CSVVal,_xlfn.XLOOKUP($A1020,CSV!$A:$A,CSV!I:I,""),
_xlpm.MacVal,_xlfn.XLOOKUP($A1020,Output_Mac!$A:$A,Output_Mac!J:J,""),
_xlpm.MyAuditVal,_xlfn.XLOOKUP($A1020,My_Audit!$A:$A,My_Audit!I:I,""),
_xlfn.IFS(_xlpm.MyAuditVal&lt;&gt;"",UPPER(_xlpm.MyAuditVal),_xlpm.MacVal&lt;&gt;"",_xlpm.MacVal,_xlpm.CSVVal&lt;&gt;"",_xlpm.CSVVal
)),"")</f>
        <v/>
      </c>
      <c r="K1020" s="40" t="str" cm="1">
        <f t="array" ref="K1020">IFERROR(_xlfn.LET(
_xlpm.CSVVal,_xlfn.XLOOKUP($A1020,CSV!$A:$A,CSV!K:K,""),
_xlpm.MacVal,_xlfn.XLOOKUP($A1020,Output_Mac!$A:$A,Output_Mac!K:K,""),
_xlpm.MyAuditVal,_xlfn.XLOOKUP($A1020,My_Audit!$A:$A,My_Audit!J:J,""),
_xlfn.IFS(_xlpm.MyAuditVal&lt;&gt;"",UPPER(_xlpm.MyAuditVal),_xlpm.MacVal&lt;&gt;"",_xlpm.MacVal,_xlpm.CSVVal&lt;&gt;"",_xlpm.CSVVal
)),"")</f>
        <v/>
      </c>
      <c r="L1020" s="40" t="str" cm="1">
        <f t="array" ref="L1020">IFERROR(_xlfn.LET(
_xlpm.CSVVal,_xlfn.XLOOKUP($A1020,CSV!$A:$A,CSV!P:P,""),
_xlpm.MacVal,_xlfn.XLOOKUP($A1020,Output_Mac!$A:$A,Output_Mac!L:L,""),
_xlpm.MyAuditVal,_xlfn.XLOOKUP($A1020,My_Audit!$A:$A,My_Audit!K:K,""),
_xlfn.IFS(_xlpm.MyAuditVal&lt;&gt;"",UPPER(_xlpm.MyAuditVal),_xlpm.MacVal&lt;&gt;"",_xlpm.MacVal,_xlpm.CSVVal&lt;&gt;"",_xlpm.CSVVal
)),"")</f>
        <v/>
      </c>
      <c r="M1020" s="40" t="str" cm="1">
        <f t="array" ref="M1020">IFERROR(_xlfn.LET(
_xlpm.CSVVal,_xlfn.XLOOKUP($A1020,CSV!$A:$A,CSV!Q:Q,""),
_xlpm.MacVal,_xlfn.XLOOKUP($A1020,Output_Mac!$A:$A,Output_Mac!M:M,""),
_xlpm.MyAuditVal,_xlfn.XLOOKUP($A1020,My_Audit!$A:$A,My_Audit!L:L,""),
_xlfn.IFS(_xlpm.MyAuditVal&lt;&gt;"",UPPER(_xlpm.MyAuditVal),_xlpm.MacVal&lt;&gt;"",_xlpm.MacVal,_xlpm.CSVVal&lt;&gt;"",_xlpm.CSVVal
)),"")</f>
        <v/>
      </c>
      <c r="N1020" s="40"/>
      <c r="O1020" s="40" t="str">
        <f>_xlfn.LET(
    _xlpm.CSVVal, _xlfn.XLOOKUP($A1020, CSV!$A:$A, CSV!AA:AA, ""),
    _xlpm.MacVal, _xlfn.XLOOKUP($A1020, Output_Mac!$A:$A, Output_Mac!S:S, ""),
    _xlpm.MyAuditVal, _xlfn.XLOOKUP($A1020, My_Audit!$A:$A, My_Audit!P:P, ""),
    _xlfn.TEXTJOIN(", ", TRUE, _xlpm.MyAuditVal, _xlpm.MacVal, _xlpm.CSVVal)
)</f>
        <v/>
      </c>
      <c r="P1020" s="40" t="str" cm="1">
        <f t="array" ref="P1020">IFERROR(_xlfn.LET(
_xlpm.CSVVal,_xlfn.XLOOKUP($A1020,CSV!$A:$A,CSV!AB:AB,""),
_xlpm.MacVal,_xlfn.XLOOKUP($A1020,Output_Mac!$A:$A,Output_Mac!T:T,""),
_xlpm.MyAuditVal,_xlfn.XLOOKUP($A1020,My_Audit!$A:$A,My_Audit!Q:Q,""),
_xlfn.IFS(_xlpm.MyAuditVal&lt;&gt;"",UPPER(_xlpm.MyAuditVal),_xlpm.MacVal&lt;&gt;"",_xlpm.MacVal,_xlpm.CSVVal&lt;&gt;"",_xlpm.CSVVal
)),"No")</f>
        <v>No</v>
      </c>
      <c r="Q1020" s="40" t="str" cm="1">
        <f t="array" ref="Q1020">IFERROR(_xlfn.LET(
_xlpm.CSVVal,_xlfn.XLOOKUP($A1020,CSV!$A:$A,CSV!AC:AC,""),
_xlpm.MacVal,_xlfn.XLOOKUP($A1020,Output_Mac!$A:$A,Output_Mac!U:U,""),
_xlpm.MyAuditVal,_xlfn.XLOOKUP($A1020,My_Audit!$A:$A,My_Audit!R:R,""),
_xlfn.IFS(_xlpm.MyAuditVal&lt;&gt;"",UPPER(_xlpm.MyAuditVal),_xlpm.MacVal&lt;&gt;"",_xlpm.MacVal,_xlpm.CSVVal&lt;&gt;"",_xlpm.CSVVal
)),"")</f>
        <v/>
      </c>
      <c r="R1020" s="40"/>
      <c r="S1020" s="40"/>
      <c r="T1020" s="40"/>
      <c r="U1020" s="40"/>
      <c r="V1020" s="40"/>
      <c r="W1020" s="40"/>
      <c r="X1020" s="41" t="str">
        <f>_xlfn.LET(
    _xlpm.MacVal, _xlfn.XLOOKUP($A1020, Output_Mac!$A:$A, Output_Mac!AB:AB, ""),
    _xlpm.MyAuditVal, _xlfn.XLOOKUP($A1020, My_Audit!$A:$A, My_Audit!N:N, ""),
    _xlfn.TEXTJOIN(", ", TRUE, _xlpm.MyAuditVal, _xlpm.MacVal)
)</f>
        <v/>
      </c>
    </row>
    <row r="1021" spans="1:24">
      <c r="A1021" s="40" t="str">
        <f>_xlfn.TEXTJOIN("",TRUE,Input!$B$2,ROW(My_Audit!A1020))</f>
        <v>X1020</v>
      </c>
      <c r="B1021" s="40" t="str">
        <f>_xlfn.TEXTJOIN("-",TRUE,"ITD",Input!$A$2,A1021)</f>
        <v>ITD-X1020</v>
      </c>
      <c r="C1021" s="40" t="str" cm="1">
        <f t="array" ref="C1021">IFERROR(_xlfn.LET(
_xlpm.CSVVal,_xlfn.XLOOKUP($A1021,CSV!$A:$A,CSV!B:B,""),
_xlpm.MacVal,_xlfn.XLOOKUP($A1021,Output_Mac!$A:$A,Output_Mac!B:B,""),
_xlpm.MyAuditVal,_xlfn.XLOOKUP($A1021,My_Audit!$A:$A,My_Audit!B:B,""),
_xlfn.IFS(_xlpm.MyAuditVal&lt;&gt;"",UPPER(_xlpm.MyAuditVal),_xlpm.MacVal&lt;&gt;"",_xlpm.MacVal,_xlpm.CSVVal&lt;&gt;"",_xlpm.CSVVal
)),"")</f>
        <v/>
      </c>
      <c r="D1021" s="40" t="str" cm="1">
        <f t="array" ref="D1021">IFERROR(_xlfn.LET(
_xlpm.CSVVal,_xlfn.XLOOKUP($A1021,CSV!$A:$A,CSV!D:D,""),
_xlpm.MacVal,_xlfn.XLOOKUP($A1021,Output_Mac!$A:$A,Output_Mac!C:C,""),
_xlpm.MyAuditVal,_xlfn.XLOOKUP($A1021,My_Audit!$A:$A,My_Audit!C:C,""),
_xlfn.IFS(_xlpm.MyAuditVal&lt;&gt;"",_xlpm.MyAuditVal,_xlpm.MacVal&lt;&gt;"",_xlpm.MacVal,_xlpm.CSVVal&lt;&gt;"",_xlpm.CSVVal
)),"")</f>
        <v/>
      </c>
      <c r="E1021" s="40" t="str">
        <f>_xlfn.XLOOKUP(A1021,My_Audit!A:A,My_Audit!D:D,"")</f>
        <v/>
      </c>
      <c r="F1021" s="40" t="str" cm="1">
        <f t="array" ref="F1021">IFERROR(_xlfn.LET(
_xlpm.CSVVal,_xlfn.XLOOKUP($A1021,CSV!$A:$A,CSV!F:F,""),
_xlpm.MacVal,_xlfn.XLOOKUP($A1021,Output_Mac!$A:$A,Output_Mac!E:E,""),
_xlpm.MyAuditVal,_xlfn.XLOOKUP($A1021,My_Audit!$A:$A,My_Audit!E:E,""),
_xlfn.IFS(_xlpm.MyAuditVal&lt;&gt;"",_xlpm.MyAuditVal,_xlpm.MacVal&lt;&gt;"",_xlpm.MacVal,_xlpm.CSVVal&lt;&gt;"",_xlpm.CSVVal
)),"")</f>
        <v/>
      </c>
      <c r="G1021" s="40" t="str" cm="1">
        <f t="array" ref="G1021">IFERROR(_xlfn.LET(
_xlpm.CSVVal,_xlfn.XLOOKUP($A1021,CSV!$A:$A,CSV!G:G,""),
_xlpm.MacVal,_xlfn.XLOOKUP($A1021,Output_Mac!$A:$A,Output_Mac!F:F,""),
_xlpm.MyAuditVal,_xlfn.XLOOKUP($A1021,My_Audit!$A:$A,My_Audit!F:F,""),
_xlfn.IFS(_xlpm.MyAuditVal&lt;&gt;"",_xlpm.MyAuditVal,_xlpm.MacVal&lt;&gt;"",_xlpm.MacVal,_xlpm.CSVVal&lt;&gt;"",PROPER(_xlpm.CSVVal)
)),"")</f>
        <v/>
      </c>
      <c r="H1021" s="40" t="str" cm="1">
        <f t="array" ref="H1021">IFERROR(_xlfn.LET(
_xlpm.CSVVal,_xlfn.XLOOKUP($A1021,CSV!$A:$A,CSV!H:H,""),
_xlpm.MacVal,_xlfn.XLOOKUP($A1021,Output_Mac!$A:$A,Output_Mac!H:H,""),
_xlpm.MyAuditVal,_xlfn.XLOOKUP($A1021,My_Audit!$A:$A,My_Audit!G:G,""),
_xlfn.IFS(_xlpm.MyAuditVal&lt;&gt;"",_xlpm.MyAuditVal,_xlpm.MacVal&lt;&gt;"",_xlpm.MacVal,_xlpm.CSVVal&lt;&gt;"",_xlpm.CSVVal
)),"")</f>
        <v/>
      </c>
      <c r="I1021" s="40" t="str">
        <f>_xlfn.XLOOKUP(A1021,Output_Mac!A:A,Output_Mac!I:I,"")</f>
        <v/>
      </c>
      <c r="J1021" s="40" t="str" cm="1">
        <f t="array" ref="J1021">IFERROR(_xlfn.LET(
_xlpm.CSVVal,_xlfn.XLOOKUP($A1021,CSV!$A:$A,CSV!I:I,""),
_xlpm.MacVal,_xlfn.XLOOKUP($A1021,Output_Mac!$A:$A,Output_Mac!J:J,""),
_xlpm.MyAuditVal,_xlfn.XLOOKUP($A1021,My_Audit!$A:$A,My_Audit!I:I,""),
_xlfn.IFS(_xlpm.MyAuditVal&lt;&gt;"",UPPER(_xlpm.MyAuditVal),_xlpm.MacVal&lt;&gt;"",_xlpm.MacVal,_xlpm.CSVVal&lt;&gt;"",_xlpm.CSVVal
)),"")</f>
        <v/>
      </c>
      <c r="K1021" s="40" t="str" cm="1">
        <f t="array" ref="K1021">IFERROR(_xlfn.LET(
_xlpm.CSVVal,_xlfn.XLOOKUP($A1021,CSV!$A:$A,CSV!K:K,""),
_xlpm.MacVal,_xlfn.XLOOKUP($A1021,Output_Mac!$A:$A,Output_Mac!K:K,""),
_xlpm.MyAuditVal,_xlfn.XLOOKUP($A1021,My_Audit!$A:$A,My_Audit!J:J,""),
_xlfn.IFS(_xlpm.MyAuditVal&lt;&gt;"",UPPER(_xlpm.MyAuditVal),_xlpm.MacVal&lt;&gt;"",_xlpm.MacVal,_xlpm.CSVVal&lt;&gt;"",_xlpm.CSVVal
)),"")</f>
        <v/>
      </c>
      <c r="L1021" s="40" t="str" cm="1">
        <f t="array" ref="L1021">IFERROR(_xlfn.LET(
_xlpm.CSVVal,_xlfn.XLOOKUP($A1021,CSV!$A:$A,CSV!P:P,""),
_xlpm.MacVal,_xlfn.XLOOKUP($A1021,Output_Mac!$A:$A,Output_Mac!L:L,""),
_xlpm.MyAuditVal,_xlfn.XLOOKUP($A1021,My_Audit!$A:$A,My_Audit!K:K,""),
_xlfn.IFS(_xlpm.MyAuditVal&lt;&gt;"",UPPER(_xlpm.MyAuditVal),_xlpm.MacVal&lt;&gt;"",_xlpm.MacVal,_xlpm.CSVVal&lt;&gt;"",_xlpm.CSVVal
)),"")</f>
        <v/>
      </c>
      <c r="M1021" s="40" t="str" cm="1">
        <f t="array" ref="M1021">IFERROR(_xlfn.LET(
_xlpm.CSVVal,_xlfn.XLOOKUP($A1021,CSV!$A:$A,CSV!Q:Q,""),
_xlpm.MacVal,_xlfn.XLOOKUP($A1021,Output_Mac!$A:$A,Output_Mac!M:M,""),
_xlpm.MyAuditVal,_xlfn.XLOOKUP($A1021,My_Audit!$A:$A,My_Audit!L:L,""),
_xlfn.IFS(_xlpm.MyAuditVal&lt;&gt;"",UPPER(_xlpm.MyAuditVal),_xlpm.MacVal&lt;&gt;"",_xlpm.MacVal,_xlpm.CSVVal&lt;&gt;"",_xlpm.CSVVal
)),"")</f>
        <v/>
      </c>
      <c r="N1021" s="40"/>
      <c r="O1021" s="40" t="str">
        <f>_xlfn.LET(
    _xlpm.CSVVal, _xlfn.XLOOKUP($A1021, CSV!$A:$A, CSV!AA:AA, ""),
    _xlpm.MacVal, _xlfn.XLOOKUP($A1021, Output_Mac!$A:$A, Output_Mac!S:S, ""),
    _xlpm.MyAuditVal, _xlfn.XLOOKUP($A1021, My_Audit!$A:$A, My_Audit!P:P, ""),
    _xlfn.TEXTJOIN(", ", TRUE, _xlpm.MyAuditVal, _xlpm.MacVal, _xlpm.CSVVal)
)</f>
        <v/>
      </c>
      <c r="P1021" s="40" t="str" cm="1">
        <f t="array" ref="P1021">IFERROR(_xlfn.LET(
_xlpm.CSVVal,_xlfn.XLOOKUP($A1021,CSV!$A:$A,CSV!AB:AB,""),
_xlpm.MacVal,_xlfn.XLOOKUP($A1021,Output_Mac!$A:$A,Output_Mac!T:T,""),
_xlpm.MyAuditVal,_xlfn.XLOOKUP($A1021,My_Audit!$A:$A,My_Audit!Q:Q,""),
_xlfn.IFS(_xlpm.MyAuditVal&lt;&gt;"",UPPER(_xlpm.MyAuditVal),_xlpm.MacVal&lt;&gt;"",_xlpm.MacVal,_xlpm.CSVVal&lt;&gt;"",_xlpm.CSVVal
)),"No")</f>
        <v>No</v>
      </c>
      <c r="Q1021" s="40" t="str" cm="1">
        <f t="array" ref="Q1021">IFERROR(_xlfn.LET(
_xlpm.CSVVal,_xlfn.XLOOKUP($A1021,CSV!$A:$A,CSV!AC:AC,""),
_xlpm.MacVal,_xlfn.XLOOKUP($A1021,Output_Mac!$A:$A,Output_Mac!U:U,""),
_xlpm.MyAuditVal,_xlfn.XLOOKUP($A1021,My_Audit!$A:$A,My_Audit!R:R,""),
_xlfn.IFS(_xlpm.MyAuditVal&lt;&gt;"",UPPER(_xlpm.MyAuditVal),_xlpm.MacVal&lt;&gt;"",_xlpm.MacVal,_xlpm.CSVVal&lt;&gt;"",_xlpm.CSVVal
)),"")</f>
        <v/>
      </c>
      <c r="R1021" s="40"/>
      <c r="S1021" s="40"/>
      <c r="T1021" s="40"/>
      <c r="U1021" s="40"/>
      <c r="V1021" s="40"/>
      <c r="W1021" s="40"/>
      <c r="X1021" s="41" t="str">
        <f>_xlfn.LET(
    _xlpm.MacVal, _xlfn.XLOOKUP($A1021, Output_Mac!$A:$A, Output_Mac!AB:AB, ""),
    _xlpm.MyAuditVal, _xlfn.XLOOKUP($A1021, My_Audit!$A:$A, My_Audit!N:N, ""),
    _xlfn.TEXTJOIN(", ", TRUE, _xlpm.MyAuditVal, _xlpm.MacVal)
)</f>
        <v/>
      </c>
    </row>
    <row r="1022" spans="1:24">
      <c r="A1022" s="40" t="str">
        <f>_xlfn.TEXTJOIN("",TRUE,Input!$B$2,ROW(My_Audit!A1021))</f>
        <v>X1021</v>
      </c>
      <c r="B1022" s="40" t="str">
        <f>_xlfn.TEXTJOIN("-",TRUE,"ITD",Input!$A$2,A1022)</f>
        <v>ITD-X1021</v>
      </c>
      <c r="C1022" s="40" t="str" cm="1">
        <f t="array" ref="C1022">IFERROR(_xlfn.LET(
_xlpm.CSVVal,_xlfn.XLOOKUP($A1022,CSV!$A:$A,CSV!B:B,""),
_xlpm.MacVal,_xlfn.XLOOKUP($A1022,Output_Mac!$A:$A,Output_Mac!B:B,""),
_xlpm.MyAuditVal,_xlfn.XLOOKUP($A1022,My_Audit!$A:$A,My_Audit!B:B,""),
_xlfn.IFS(_xlpm.MyAuditVal&lt;&gt;"",UPPER(_xlpm.MyAuditVal),_xlpm.MacVal&lt;&gt;"",_xlpm.MacVal,_xlpm.CSVVal&lt;&gt;"",_xlpm.CSVVal
)),"")</f>
        <v/>
      </c>
      <c r="D1022" s="40" t="str" cm="1">
        <f t="array" ref="D1022">IFERROR(_xlfn.LET(
_xlpm.CSVVal,_xlfn.XLOOKUP($A1022,CSV!$A:$A,CSV!D:D,""),
_xlpm.MacVal,_xlfn.XLOOKUP($A1022,Output_Mac!$A:$A,Output_Mac!C:C,""),
_xlpm.MyAuditVal,_xlfn.XLOOKUP($A1022,My_Audit!$A:$A,My_Audit!C:C,""),
_xlfn.IFS(_xlpm.MyAuditVal&lt;&gt;"",_xlpm.MyAuditVal,_xlpm.MacVal&lt;&gt;"",_xlpm.MacVal,_xlpm.CSVVal&lt;&gt;"",_xlpm.CSVVal
)),"")</f>
        <v/>
      </c>
      <c r="E1022" s="40" t="str">
        <f>_xlfn.XLOOKUP(A1022,My_Audit!A:A,My_Audit!D:D,"")</f>
        <v/>
      </c>
      <c r="F1022" s="40" t="str" cm="1">
        <f t="array" ref="F1022">IFERROR(_xlfn.LET(
_xlpm.CSVVal,_xlfn.XLOOKUP($A1022,CSV!$A:$A,CSV!F:F,""),
_xlpm.MacVal,_xlfn.XLOOKUP($A1022,Output_Mac!$A:$A,Output_Mac!E:E,""),
_xlpm.MyAuditVal,_xlfn.XLOOKUP($A1022,My_Audit!$A:$A,My_Audit!E:E,""),
_xlfn.IFS(_xlpm.MyAuditVal&lt;&gt;"",_xlpm.MyAuditVal,_xlpm.MacVal&lt;&gt;"",_xlpm.MacVal,_xlpm.CSVVal&lt;&gt;"",_xlpm.CSVVal
)),"")</f>
        <v/>
      </c>
      <c r="G1022" s="40" t="str" cm="1">
        <f t="array" ref="G1022">IFERROR(_xlfn.LET(
_xlpm.CSVVal,_xlfn.XLOOKUP($A1022,CSV!$A:$A,CSV!G:G,""),
_xlpm.MacVal,_xlfn.XLOOKUP($A1022,Output_Mac!$A:$A,Output_Mac!F:F,""),
_xlpm.MyAuditVal,_xlfn.XLOOKUP($A1022,My_Audit!$A:$A,My_Audit!F:F,""),
_xlfn.IFS(_xlpm.MyAuditVal&lt;&gt;"",_xlpm.MyAuditVal,_xlpm.MacVal&lt;&gt;"",_xlpm.MacVal,_xlpm.CSVVal&lt;&gt;"",PROPER(_xlpm.CSVVal)
)),"")</f>
        <v/>
      </c>
      <c r="H1022" s="40" t="str" cm="1">
        <f t="array" ref="H1022">IFERROR(_xlfn.LET(
_xlpm.CSVVal,_xlfn.XLOOKUP($A1022,CSV!$A:$A,CSV!H:H,""),
_xlpm.MacVal,_xlfn.XLOOKUP($A1022,Output_Mac!$A:$A,Output_Mac!H:H,""),
_xlpm.MyAuditVal,_xlfn.XLOOKUP($A1022,My_Audit!$A:$A,My_Audit!G:G,""),
_xlfn.IFS(_xlpm.MyAuditVal&lt;&gt;"",_xlpm.MyAuditVal,_xlpm.MacVal&lt;&gt;"",_xlpm.MacVal,_xlpm.CSVVal&lt;&gt;"",_xlpm.CSVVal
)),"")</f>
        <v/>
      </c>
      <c r="I1022" s="40" t="str">
        <f>_xlfn.XLOOKUP(A1022,Output_Mac!A:A,Output_Mac!I:I,"")</f>
        <v/>
      </c>
      <c r="J1022" s="40" t="str" cm="1">
        <f t="array" ref="J1022">IFERROR(_xlfn.LET(
_xlpm.CSVVal,_xlfn.XLOOKUP($A1022,CSV!$A:$A,CSV!I:I,""),
_xlpm.MacVal,_xlfn.XLOOKUP($A1022,Output_Mac!$A:$A,Output_Mac!J:J,""),
_xlpm.MyAuditVal,_xlfn.XLOOKUP($A1022,My_Audit!$A:$A,My_Audit!I:I,""),
_xlfn.IFS(_xlpm.MyAuditVal&lt;&gt;"",UPPER(_xlpm.MyAuditVal),_xlpm.MacVal&lt;&gt;"",_xlpm.MacVal,_xlpm.CSVVal&lt;&gt;"",_xlpm.CSVVal
)),"")</f>
        <v/>
      </c>
      <c r="K1022" s="40" t="str" cm="1">
        <f t="array" ref="K1022">IFERROR(_xlfn.LET(
_xlpm.CSVVal,_xlfn.XLOOKUP($A1022,CSV!$A:$A,CSV!K:K,""),
_xlpm.MacVal,_xlfn.XLOOKUP($A1022,Output_Mac!$A:$A,Output_Mac!K:K,""),
_xlpm.MyAuditVal,_xlfn.XLOOKUP($A1022,My_Audit!$A:$A,My_Audit!J:J,""),
_xlfn.IFS(_xlpm.MyAuditVal&lt;&gt;"",UPPER(_xlpm.MyAuditVal),_xlpm.MacVal&lt;&gt;"",_xlpm.MacVal,_xlpm.CSVVal&lt;&gt;"",_xlpm.CSVVal
)),"")</f>
        <v/>
      </c>
      <c r="L1022" s="40" t="str" cm="1">
        <f t="array" ref="L1022">IFERROR(_xlfn.LET(
_xlpm.CSVVal,_xlfn.XLOOKUP($A1022,CSV!$A:$A,CSV!P:P,""),
_xlpm.MacVal,_xlfn.XLOOKUP($A1022,Output_Mac!$A:$A,Output_Mac!L:L,""),
_xlpm.MyAuditVal,_xlfn.XLOOKUP($A1022,My_Audit!$A:$A,My_Audit!K:K,""),
_xlfn.IFS(_xlpm.MyAuditVal&lt;&gt;"",UPPER(_xlpm.MyAuditVal),_xlpm.MacVal&lt;&gt;"",_xlpm.MacVal,_xlpm.CSVVal&lt;&gt;"",_xlpm.CSVVal
)),"")</f>
        <v/>
      </c>
      <c r="M1022" s="40" t="str" cm="1">
        <f t="array" ref="M1022">IFERROR(_xlfn.LET(
_xlpm.CSVVal,_xlfn.XLOOKUP($A1022,CSV!$A:$A,CSV!Q:Q,""),
_xlpm.MacVal,_xlfn.XLOOKUP($A1022,Output_Mac!$A:$A,Output_Mac!M:M,""),
_xlpm.MyAuditVal,_xlfn.XLOOKUP($A1022,My_Audit!$A:$A,My_Audit!L:L,""),
_xlfn.IFS(_xlpm.MyAuditVal&lt;&gt;"",UPPER(_xlpm.MyAuditVal),_xlpm.MacVal&lt;&gt;"",_xlpm.MacVal,_xlpm.CSVVal&lt;&gt;"",_xlpm.CSVVal
)),"")</f>
        <v/>
      </c>
      <c r="N1022" s="40"/>
      <c r="O1022" s="40" t="str">
        <f>_xlfn.LET(
    _xlpm.CSVVal, _xlfn.XLOOKUP($A1022, CSV!$A:$A, CSV!AA:AA, ""),
    _xlpm.MacVal, _xlfn.XLOOKUP($A1022, Output_Mac!$A:$A, Output_Mac!S:S, ""),
    _xlpm.MyAuditVal, _xlfn.XLOOKUP($A1022, My_Audit!$A:$A, My_Audit!P:P, ""),
    _xlfn.TEXTJOIN(", ", TRUE, _xlpm.MyAuditVal, _xlpm.MacVal, _xlpm.CSVVal)
)</f>
        <v/>
      </c>
      <c r="P1022" s="40" t="str" cm="1">
        <f t="array" ref="P1022">IFERROR(_xlfn.LET(
_xlpm.CSVVal,_xlfn.XLOOKUP($A1022,CSV!$A:$A,CSV!AB:AB,""),
_xlpm.MacVal,_xlfn.XLOOKUP($A1022,Output_Mac!$A:$A,Output_Mac!T:T,""),
_xlpm.MyAuditVal,_xlfn.XLOOKUP($A1022,My_Audit!$A:$A,My_Audit!Q:Q,""),
_xlfn.IFS(_xlpm.MyAuditVal&lt;&gt;"",UPPER(_xlpm.MyAuditVal),_xlpm.MacVal&lt;&gt;"",_xlpm.MacVal,_xlpm.CSVVal&lt;&gt;"",_xlpm.CSVVal
)),"No")</f>
        <v>No</v>
      </c>
      <c r="Q1022" s="40" t="str" cm="1">
        <f t="array" ref="Q1022">IFERROR(_xlfn.LET(
_xlpm.CSVVal,_xlfn.XLOOKUP($A1022,CSV!$A:$A,CSV!AC:AC,""),
_xlpm.MacVal,_xlfn.XLOOKUP($A1022,Output_Mac!$A:$A,Output_Mac!U:U,""),
_xlpm.MyAuditVal,_xlfn.XLOOKUP($A1022,My_Audit!$A:$A,My_Audit!R:R,""),
_xlfn.IFS(_xlpm.MyAuditVal&lt;&gt;"",UPPER(_xlpm.MyAuditVal),_xlpm.MacVal&lt;&gt;"",_xlpm.MacVal,_xlpm.CSVVal&lt;&gt;"",_xlpm.CSVVal
)),"")</f>
        <v/>
      </c>
      <c r="R1022" s="40"/>
      <c r="S1022" s="40"/>
      <c r="T1022" s="40"/>
      <c r="U1022" s="40"/>
      <c r="V1022" s="40"/>
      <c r="W1022" s="40"/>
      <c r="X1022" s="41" t="str">
        <f>_xlfn.LET(
    _xlpm.MacVal, _xlfn.XLOOKUP($A1022, Output_Mac!$A:$A, Output_Mac!AB:AB, ""),
    _xlpm.MyAuditVal, _xlfn.XLOOKUP($A1022, My_Audit!$A:$A, My_Audit!N:N, ""),
    _xlfn.TEXTJOIN(", ", TRUE, _xlpm.MyAuditVal, _xlpm.MacVal)
)</f>
        <v/>
      </c>
    </row>
    <row r="1023" spans="1:24">
      <c r="A1023" s="40" t="str">
        <f>_xlfn.TEXTJOIN("",TRUE,Input!$B$2,ROW(My_Audit!A1022))</f>
        <v>X1022</v>
      </c>
      <c r="B1023" s="40" t="str">
        <f>_xlfn.TEXTJOIN("-",TRUE,"ITD",Input!$A$2,A1023)</f>
        <v>ITD-X1022</v>
      </c>
      <c r="C1023" s="40" t="str" cm="1">
        <f t="array" ref="C1023">IFERROR(_xlfn.LET(
_xlpm.CSVVal,_xlfn.XLOOKUP($A1023,CSV!$A:$A,CSV!B:B,""),
_xlpm.MacVal,_xlfn.XLOOKUP($A1023,Output_Mac!$A:$A,Output_Mac!B:B,""),
_xlpm.MyAuditVal,_xlfn.XLOOKUP($A1023,My_Audit!$A:$A,My_Audit!B:B,""),
_xlfn.IFS(_xlpm.MyAuditVal&lt;&gt;"",UPPER(_xlpm.MyAuditVal),_xlpm.MacVal&lt;&gt;"",_xlpm.MacVal,_xlpm.CSVVal&lt;&gt;"",_xlpm.CSVVal
)),"")</f>
        <v/>
      </c>
      <c r="D1023" s="40" t="str" cm="1">
        <f t="array" ref="D1023">IFERROR(_xlfn.LET(
_xlpm.CSVVal,_xlfn.XLOOKUP($A1023,CSV!$A:$A,CSV!D:D,""),
_xlpm.MacVal,_xlfn.XLOOKUP($A1023,Output_Mac!$A:$A,Output_Mac!C:C,""),
_xlpm.MyAuditVal,_xlfn.XLOOKUP($A1023,My_Audit!$A:$A,My_Audit!C:C,""),
_xlfn.IFS(_xlpm.MyAuditVal&lt;&gt;"",_xlpm.MyAuditVal,_xlpm.MacVal&lt;&gt;"",_xlpm.MacVal,_xlpm.CSVVal&lt;&gt;"",_xlpm.CSVVal
)),"")</f>
        <v/>
      </c>
      <c r="E1023" s="40" t="str">
        <f>_xlfn.XLOOKUP(A1023,My_Audit!A:A,My_Audit!D:D,"")</f>
        <v/>
      </c>
      <c r="F1023" s="40" t="str" cm="1">
        <f t="array" ref="F1023">IFERROR(_xlfn.LET(
_xlpm.CSVVal,_xlfn.XLOOKUP($A1023,CSV!$A:$A,CSV!F:F,""),
_xlpm.MacVal,_xlfn.XLOOKUP($A1023,Output_Mac!$A:$A,Output_Mac!E:E,""),
_xlpm.MyAuditVal,_xlfn.XLOOKUP($A1023,My_Audit!$A:$A,My_Audit!E:E,""),
_xlfn.IFS(_xlpm.MyAuditVal&lt;&gt;"",_xlpm.MyAuditVal,_xlpm.MacVal&lt;&gt;"",_xlpm.MacVal,_xlpm.CSVVal&lt;&gt;"",_xlpm.CSVVal
)),"")</f>
        <v/>
      </c>
      <c r="G1023" s="40" t="str" cm="1">
        <f t="array" ref="G1023">IFERROR(_xlfn.LET(
_xlpm.CSVVal,_xlfn.XLOOKUP($A1023,CSV!$A:$A,CSV!G:G,""),
_xlpm.MacVal,_xlfn.XLOOKUP($A1023,Output_Mac!$A:$A,Output_Mac!F:F,""),
_xlpm.MyAuditVal,_xlfn.XLOOKUP($A1023,My_Audit!$A:$A,My_Audit!F:F,""),
_xlfn.IFS(_xlpm.MyAuditVal&lt;&gt;"",_xlpm.MyAuditVal,_xlpm.MacVal&lt;&gt;"",_xlpm.MacVal,_xlpm.CSVVal&lt;&gt;"",PROPER(_xlpm.CSVVal)
)),"")</f>
        <v/>
      </c>
      <c r="H1023" s="40" t="str" cm="1">
        <f t="array" ref="H1023">IFERROR(_xlfn.LET(
_xlpm.CSVVal,_xlfn.XLOOKUP($A1023,CSV!$A:$A,CSV!H:H,""),
_xlpm.MacVal,_xlfn.XLOOKUP($A1023,Output_Mac!$A:$A,Output_Mac!H:H,""),
_xlpm.MyAuditVal,_xlfn.XLOOKUP($A1023,My_Audit!$A:$A,My_Audit!G:G,""),
_xlfn.IFS(_xlpm.MyAuditVal&lt;&gt;"",_xlpm.MyAuditVal,_xlpm.MacVal&lt;&gt;"",_xlpm.MacVal,_xlpm.CSVVal&lt;&gt;"",_xlpm.CSVVal
)),"")</f>
        <v/>
      </c>
      <c r="I1023" s="40" t="str">
        <f>_xlfn.XLOOKUP(A1023,Output_Mac!A:A,Output_Mac!I:I,"")</f>
        <v/>
      </c>
      <c r="J1023" s="40" t="str" cm="1">
        <f t="array" ref="J1023">IFERROR(_xlfn.LET(
_xlpm.CSVVal,_xlfn.XLOOKUP($A1023,CSV!$A:$A,CSV!I:I,""),
_xlpm.MacVal,_xlfn.XLOOKUP($A1023,Output_Mac!$A:$A,Output_Mac!J:J,""),
_xlpm.MyAuditVal,_xlfn.XLOOKUP($A1023,My_Audit!$A:$A,My_Audit!I:I,""),
_xlfn.IFS(_xlpm.MyAuditVal&lt;&gt;"",UPPER(_xlpm.MyAuditVal),_xlpm.MacVal&lt;&gt;"",_xlpm.MacVal,_xlpm.CSVVal&lt;&gt;"",_xlpm.CSVVal
)),"")</f>
        <v/>
      </c>
      <c r="K1023" s="40" t="str" cm="1">
        <f t="array" ref="K1023">IFERROR(_xlfn.LET(
_xlpm.CSVVal,_xlfn.XLOOKUP($A1023,CSV!$A:$A,CSV!K:K,""),
_xlpm.MacVal,_xlfn.XLOOKUP($A1023,Output_Mac!$A:$A,Output_Mac!K:K,""),
_xlpm.MyAuditVal,_xlfn.XLOOKUP($A1023,My_Audit!$A:$A,My_Audit!J:J,""),
_xlfn.IFS(_xlpm.MyAuditVal&lt;&gt;"",UPPER(_xlpm.MyAuditVal),_xlpm.MacVal&lt;&gt;"",_xlpm.MacVal,_xlpm.CSVVal&lt;&gt;"",_xlpm.CSVVal
)),"")</f>
        <v/>
      </c>
      <c r="L1023" s="40" t="str" cm="1">
        <f t="array" ref="L1023">IFERROR(_xlfn.LET(
_xlpm.CSVVal,_xlfn.XLOOKUP($A1023,CSV!$A:$A,CSV!P:P,""),
_xlpm.MacVal,_xlfn.XLOOKUP($A1023,Output_Mac!$A:$A,Output_Mac!L:L,""),
_xlpm.MyAuditVal,_xlfn.XLOOKUP($A1023,My_Audit!$A:$A,My_Audit!K:K,""),
_xlfn.IFS(_xlpm.MyAuditVal&lt;&gt;"",UPPER(_xlpm.MyAuditVal),_xlpm.MacVal&lt;&gt;"",_xlpm.MacVal,_xlpm.CSVVal&lt;&gt;"",_xlpm.CSVVal
)),"")</f>
        <v/>
      </c>
      <c r="M1023" s="40" t="str" cm="1">
        <f t="array" ref="M1023">IFERROR(_xlfn.LET(
_xlpm.CSVVal,_xlfn.XLOOKUP($A1023,CSV!$A:$A,CSV!Q:Q,""),
_xlpm.MacVal,_xlfn.XLOOKUP($A1023,Output_Mac!$A:$A,Output_Mac!M:M,""),
_xlpm.MyAuditVal,_xlfn.XLOOKUP($A1023,My_Audit!$A:$A,My_Audit!L:L,""),
_xlfn.IFS(_xlpm.MyAuditVal&lt;&gt;"",UPPER(_xlpm.MyAuditVal),_xlpm.MacVal&lt;&gt;"",_xlpm.MacVal,_xlpm.CSVVal&lt;&gt;"",_xlpm.CSVVal
)),"")</f>
        <v/>
      </c>
      <c r="N1023" s="40"/>
      <c r="O1023" s="40" t="str">
        <f>_xlfn.LET(
    _xlpm.CSVVal, _xlfn.XLOOKUP($A1023, CSV!$A:$A, CSV!AA:AA, ""),
    _xlpm.MacVal, _xlfn.XLOOKUP($A1023, Output_Mac!$A:$A, Output_Mac!S:S, ""),
    _xlpm.MyAuditVal, _xlfn.XLOOKUP($A1023, My_Audit!$A:$A, My_Audit!P:P, ""),
    _xlfn.TEXTJOIN(", ", TRUE, _xlpm.MyAuditVal, _xlpm.MacVal, _xlpm.CSVVal)
)</f>
        <v/>
      </c>
      <c r="P1023" s="40" t="str" cm="1">
        <f t="array" ref="P1023">IFERROR(_xlfn.LET(
_xlpm.CSVVal,_xlfn.XLOOKUP($A1023,CSV!$A:$A,CSV!AB:AB,""),
_xlpm.MacVal,_xlfn.XLOOKUP($A1023,Output_Mac!$A:$A,Output_Mac!T:T,""),
_xlpm.MyAuditVal,_xlfn.XLOOKUP($A1023,My_Audit!$A:$A,My_Audit!Q:Q,""),
_xlfn.IFS(_xlpm.MyAuditVal&lt;&gt;"",UPPER(_xlpm.MyAuditVal),_xlpm.MacVal&lt;&gt;"",_xlpm.MacVal,_xlpm.CSVVal&lt;&gt;"",_xlpm.CSVVal
)),"No")</f>
        <v>No</v>
      </c>
      <c r="Q1023" s="40" t="str" cm="1">
        <f t="array" ref="Q1023">IFERROR(_xlfn.LET(
_xlpm.CSVVal,_xlfn.XLOOKUP($A1023,CSV!$A:$A,CSV!AC:AC,""),
_xlpm.MacVal,_xlfn.XLOOKUP($A1023,Output_Mac!$A:$A,Output_Mac!U:U,""),
_xlpm.MyAuditVal,_xlfn.XLOOKUP($A1023,My_Audit!$A:$A,My_Audit!R:R,""),
_xlfn.IFS(_xlpm.MyAuditVal&lt;&gt;"",UPPER(_xlpm.MyAuditVal),_xlpm.MacVal&lt;&gt;"",_xlpm.MacVal,_xlpm.CSVVal&lt;&gt;"",_xlpm.CSVVal
)),"")</f>
        <v/>
      </c>
      <c r="R1023" s="40"/>
      <c r="S1023" s="40"/>
      <c r="T1023" s="40"/>
      <c r="U1023" s="40"/>
      <c r="V1023" s="40"/>
      <c r="W1023" s="40"/>
      <c r="X1023" s="41" t="str">
        <f>_xlfn.LET(
    _xlpm.MacVal, _xlfn.XLOOKUP($A1023, Output_Mac!$A:$A, Output_Mac!AB:AB, ""),
    _xlpm.MyAuditVal, _xlfn.XLOOKUP($A1023, My_Audit!$A:$A, My_Audit!N:N, ""),
    _xlfn.TEXTJOIN(", ", TRUE, _xlpm.MyAuditVal, _xlpm.MacVal)
)</f>
        <v/>
      </c>
    </row>
    <row r="1024" spans="1:24">
      <c r="A1024" s="40" t="str">
        <f>_xlfn.TEXTJOIN("",TRUE,Input!$B$2,ROW(My_Audit!A1023))</f>
        <v>X1023</v>
      </c>
      <c r="B1024" s="40" t="str">
        <f>_xlfn.TEXTJOIN("-",TRUE,"ITD",Input!$A$2,A1024)</f>
        <v>ITD-X1023</v>
      </c>
      <c r="C1024" s="40" t="str" cm="1">
        <f t="array" ref="C1024">IFERROR(_xlfn.LET(
_xlpm.CSVVal,_xlfn.XLOOKUP($A1024,CSV!$A:$A,CSV!B:B,""),
_xlpm.MacVal,_xlfn.XLOOKUP($A1024,Output_Mac!$A:$A,Output_Mac!B:B,""),
_xlpm.MyAuditVal,_xlfn.XLOOKUP($A1024,My_Audit!$A:$A,My_Audit!B:B,""),
_xlfn.IFS(_xlpm.MyAuditVal&lt;&gt;"",UPPER(_xlpm.MyAuditVal),_xlpm.MacVal&lt;&gt;"",_xlpm.MacVal,_xlpm.CSVVal&lt;&gt;"",_xlpm.CSVVal
)),"")</f>
        <v/>
      </c>
      <c r="D1024" s="40" t="str" cm="1">
        <f t="array" ref="D1024">IFERROR(_xlfn.LET(
_xlpm.CSVVal,_xlfn.XLOOKUP($A1024,CSV!$A:$A,CSV!D:D,""),
_xlpm.MacVal,_xlfn.XLOOKUP($A1024,Output_Mac!$A:$A,Output_Mac!C:C,""),
_xlpm.MyAuditVal,_xlfn.XLOOKUP($A1024,My_Audit!$A:$A,My_Audit!C:C,""),
_xlfn.IFS(_xlpm.MyAuditVal&lt;&gt;"",_xlpm.MyAuditVal,_xlpm.MacVal&lt;&gt;"",_xlpm.MacVal,_xlpm.CSVVal&lt;&gt;"",_xlpm.CSVVal
)),"")</f>
        <v/>
      </c>
      <c r="E1024" s="40" t="str">
        <f>_xlfn.XLOOKUP(A1024,My_Audit!A:A,My_Audit!D:D,"")</f>
        <v/>
      </c>
      <c r="F1024" s="40" t="str" cm="1">
        <f t="array" ref="F1024">IFERROR(_xlfn.LET(
_xlpm.CSVVal,_xlfn.XLOOKUP($A1024,CSV!$A:$A,CSV!F:F,""),
_xlpm.MacVal,_xlfn.XLOOKUP($A1024,Output_Mac!$A:$A,Output_Mac!E:E,""),
_xlpm.MyAuditVal,_xlfn.XLOOKUP($A1024,My_Audit!$A:$A,My_Audit!E:E,""),
_xlfn.IFS(_xlpm.MyAuditVal&lt;&gt;"",_xlpm.MyAuditVal,_xlpm.MacVal&lt;&gt;"",_xlpm.MacVal,_xlpm.CSVVal&lt;&gt;"",_xlpm.CSVVal
)),"")</f>
        <v/>
      </c>
      <c r="G1024" s="40" t="str" cm="1">
        <f t="array" ref="G1024">IFERROR(_xlfn.LET(
_xlpm.CSVVal,_xlfn.XLOOKUP($A1024,CSV!$A:$A,CSV!G:G,""),
_xlpm.MacVal,_xlfn.XLOOKUP($A1024,Output_Mac!$A:$A,Output_Mac!F:F,""),
_xlpm.MyAuditVal,_xlfn.XLOOKUP($A1024,My_Audit!$A:$A,My_Audit!F:F,""),
_xlfn.IFS(_xlpm.MyAuditVal&lt;&gt;"",_xlpm.MyAuditVal,_xlpm.MacVal&lt;&gt;"",_xlpm.MacVal,_xlpm.CSVVal&lt;&gt;"",PROPER(_xlpm.CSVVal)
)),"")</f>
        <v/>
      </c>
      <c r="H1024" s="40" t="str" cm="1">
        <f t="array" ref="H1024">IFERROR(_xlfn.LET(
_xlpm.CSVVal,_xlfn.XLOOKUP($A1024,CSV!$A:$A,CSV!H:H,""),
_xlpm.MacVal,_xlfn.XLOOKUP($A1024,Output_Mac!$A:$A,Output_Mac!H:H,""),
_xlpm.MyAuditVal,_xlfn.XLOOKUP($A1024,My_Audit!$A:$A,My_Audit!G:G,""),
_xlfn.IFS(_xlpm.MyAuditVal&lt;&gt;"",_xlpm.MyAuditVal,_xlpm.MacVal&lt;&gt;"",_xlpm.MacVal,_xlpm.CSVVal&lt;&gt;"",_xlpm.CSVVal
)),"")</f>
        <v/>
      </c>
      <c r="I1024" s="40" t="str">
        <f>_xlfn.XLOOKUP(A1024,Output_Mac!A:A,Output_Mac!I:I,"")</f>
        <v/>
      </c>
      <c r="J1024" s="40" t="str" cm="1">
        <f t="array" ref="J1024">IFERROR(_xlfn.LET(
_xlpm.CSVVal,_xlfn.XLOOKUP($A1024,CSV!$A:$A,CSV!I:I,""),
_xlpm.MacVal,_xlfn.XLOOKUP($A1024,Output_Mac!$A:$A,Output_Mac!J:J,""),
_xlpm.MyAuditVal,_xlfn.XLOOKUP($A1024,My_Audit!$A:$A,My_Audit!I:I,""),
_xlfn.IFS(_xlpm.MyAuditVal&lt;&gt;"",UPPER(_xlpm.MyAuditVal),_xlpm.MacVal&lt;&gt;"",_xlpm.MacVal,_xlpm.CSVVal&lt;&gt;"",_xlpm.CSVVal
)),"")</f>
        <v/>
      </c>
      <c r="K1024" s="40" t="str" cm="1">
        <f t="array" ref="K1024">IFERROR(_xlfn.LET(
_xlpm.CSVVal,_xlfn.XLOOKUP($A1024,CSV!$A:$A,CSV!K:K,""),
_xlpm.MacVal,_xlfn.XLOOKUP($A1024,Output_Mac!$A:$A,Output_Mac!K:K,""),
_xlpm.MyAuditVal,_xlfn.XLOOKUP($A1024,My_Audit!$A:$A,My_Audit!J:J,""),
_xlfn.IFS(_xlpm.MyAuditVal&lt;&gt;"",UPPER(_xlpm.MyAuditVal),_xlpm.MacVal&lt;&gt;"",_xlpm.MacVal,_xlpm.CSVVal&lt;&gt;"",_xlpm.CSVVal
)),"")</f>
        <v/>
      </c>
      <c r="L1024" s="40" t="str" cm="1">
        <f t="array" ref="L1024">IFERROR(_xlfn.LET(
_xlpm.CSVVal,_xlfn.XLOOKUP($A1024,CSV!$A:$A,CSV!P:P,""),
_xlpm.MacVal,_xlfn.XLOOKUP($A1024,Output_Mac!$A:$A,Output_Mac!L:L,""),
_xlpm.MyAuditVal,_xlfn.XLOOKUP($A1024,My_Audit!$A:$A,My_Audit!K:K,""),
_xlfn.IFS(_xlpm.MyAuditVal&lt;&gt;"",UPPER(_xlpm.MyAuditVal),_xlpm.MacVal&lt;&gt;"",_xlpm.MacVal,_xlpm.CSVVal&lt;&gt;"",_xlpm.CSVVal
)),"")</f>
        <v/>
      </c>
      <c r="M1024" s="40" t="str" cm="1">
        <f t="array" ref="M1024">IFERROR(_xlfn.LET(
_xlpm.CSVVal,_xlfn.XLOOKUP($A1024,CSV!$A:$A,CSV!Q:Q,""),
_xlpm.MacVal,_xlfn.XLOOKUP($A1024,Output_Mac!$A:$A,Output_Mac!M:M,""),
_xlpm.MyAuditVal,_xlfn.XLOOKUP($A1024,My_Audit!$A:$A,My_Audit!L:L,""),
_xlfn.IFS(_xlpm.MyAuditVal&lt;&gt;"",UPPER(_xlpm.MyAuditVal),_xlpm.MacVal&lt;&gt;"",_xlpm.MacVal,_xlpm.CSVVal&lt;&gt;"",_xlpm.CSVVal
)),"")</f>
        <v/>
      </c>
      <c r="N1024" s="40"/>
      <c r="O1024" s="40" t="str">
        <f>_xlfn.LET(
    _xlpm.CSVVal, _xlfn.XLOOKUP($A1024, CSV!$A:$A, CSV!AA:AA, ""),
    _xlpm.MacVal, _xlfn.XLOOKUP($A1024, Output_Mac!$A:$A, Output_Mac!S:S, ""),
    _xlpm.MyAuditVal, _xlfn.XLOOKUP($A1024, My_Audit!$A:$A, My_Audit!P:P, ""),
    _xlfn.TEXTJOIN(", ", TRUE, _xlpm.MyAuditVal, _xlpm.MacVal, _xlpm.CSVVal)
)</f>
        <v/>
      </c>
      <c r="P1024" s="40" t="str" cm="1">
        <f t="array" ref="P1024">IFERROR(_xlfn.LET(
_xlpm.CSVVal,_xlfn.XLOOKUP($A1024,CSV!$A:$A,CSV!AB:AB,""),
_xlpm.MacVal,_xlfn.XLOOKUP($A1024,Output_Mac!$A:$A,Output_Mac!T:T,""),
_xlpm.MyAuditVal,_xlfn.XLOOKUP($A1024,My_Audit!$A:$A,My_Audit!Q:Q,""),
_xlfn.IFS(_xlpm.MyAuditVal&lt;&gt;"",UPPER(_xlpm.MyAuditVal),_xlpm.MacVal&lt;&gt;"",_xlpm.MacVal,_xlpm.CSVVal&lt;&gt;"",_xlpm.CSVVal
)),"No")</f>
        <v>No</v>
      </c>
      <c r="Q1024" s="40" t="str" cm="1">
        <f t="array" ref="Q1024">IFERROR(_xlfn.LET(
_xlpm.CSVVal,_xlfn.XLOOKUP($A1024,CSV!$A:$A,CSV!AC:AC,""),
_xlpm.MacVal,_xlfn.XLOOKUP($A1024,Output_Mac!$A:$A,Output_Mac!U:U,""),
_xlpm.MyAuditVal,_xlfn.XLOOKUP($A1024,My_Audit!$A:$A,My_Audit!R:R,""),
_xlfn.IFS(_xlpm.MyAuditVal&lt;&gt;"",UPPER(_xlpm.MyAuditVal),_xlpm.MacVal&lt;&gt;"",_xlpm.MacVal,_xlpm.CSVVal&lt;&gt;"",_xlpm.CSVVal
)),"")</f>
        <v/>
      </c>
      <c r="R1024" s="40"/>
      <c r="S1024" s="40"/>
      <c r="T1024" s="40"/>
      <c r="U1024" s="40"/>
      <c r="V1024" s="40"/>
      <c r="W1024" s="40"/>
      <c r="X1024" s="41" t="str">
        <f>_xlfn.LET(
    _xlpm.MacVal, _xlfn.XLOOKUP($A1024, Output_Mac!$A:$A, Output_Mac!AB:AB, ""),
    _xlpm.MyAuditVal, _xlfn.XLOOKUP($A1024, My_Audit!$A:$A, My_Audit!N:N, ""),
    _xlfn.TEXTJOIN(", ", TRUE, _xlpm.MyAuditVal, _xlpm.MacVal)
)</f>
        <v/>
      </c>
    </row>
    <row r="1025" spans="1:24">
      <c r="A1025" s="40" t="str">
        <f>_xlfn.TEXTJOIN("",TRUE,Input!$B$2,ROW(My_Audit!A1024))</f>
        <v>X1024</v>
      </c>
      <c r="B1025" s="40" t="str">
        <f>_xlfn.TEXTJOIN("-",TRUE,"ITD",Input!$A$2,A1025)</f>
        <v>ITD-X1024</v>
      </c>
      <c r="C1025" s="40" t="str" cm="1">
        <f t="array" ref="C1025">IFERROR(_xlfn.LET(
_xlpm.CSVVal,_xlfn.XLOOKUP($A1025,CSV!$A:$A,CSV!B:B,""),
_xlpm.MacVal,_xlfn.XLOOKUP($A1025,Output_Mac!$A:$A,Output_Mac!B:B,""),
_xlpm.MyAuditVal,_xlfn.XLOOKUP($A1025,My_Audit!$A:$A,My_Audit!B:B,""),
_xlfn.IFS(_xlpm.MyAuditVal&lt;&gt;"",UPPER(_xlpm.MyAuditVal),_xlpm.MacVal&lt;&gt;"",_xlpm.MacVal,_xlpm.CSVVal&lt;&gt;"",_xlpm.CSVVal
)),"")</f>
        <v/>
      </c>
      <c r="D1025" s="40" t="str" cm="1">
        <f t="array" ref="D1025">IFERROR(_xlfn.LET(
_xlpm.CSVVal,_xlfn.XLOOKUP($A1025,CSV!$A:$A,CSV!D:D,""),
_xlpm.MacVal,_xlfn.XLOOKUP($A1025,Output_Mac!$A:$A,Output_Mac!C:C,""),
_xlpm.MyAuditVal,_xlfn.XLOOKUP($A1025,My_Audit!$A:$A,My_Audit!C:C,""),
_xlfn.IFS(_xlpm.MyAuditVal&lt;&gt;"",_xlpm.MyAuditVal,_xlpm.MacVal&lt;&gt;"",_xlpm.MacVal,_xlpm.CSVVal&lt;&gt;"",_xlpm.CSVVal
)),"")</f>
        <v/>
      </c>
      <c r="E1025" s="40" t="str">
        <f>_xlfn.XLOOKUP(A1025,My_Audit!A:A,My_Audit!D:D,"")</f>
        <v/>
      </c>
      <c r="F1025" s="40" t="str" cm="1">
        <f t="array" ref="F1025">IFERROR(_xlfn.LET(
_xlpm.CSVVal,_xlfn.XLOOKUP($A1025,CSV!$A:$A,CSV!F:F,""),
_xlpm.MacVal,_xlfn.XLOOKUP($A1025,Output_Mac!$A:$A,Output_Mac!E:E,""),
_xlpm.MyAuditVal,_xlfn.XLOOKUP($A1025,My_Audit!$A:$A,My_Audit!E:E,""),
_xlfn.IFS(_xlpm.MyAuditVal&lt;&gt;"",_xlpm.MyAuditVal,_xlpm.MacVal&lt;&gt;"",_xlpm.MacVal,_xlpm.CSVVal&lt;&gt;"",_xlpm.CSVVal
)),"")</f>
        <v/>
      </c>
      <c r="G1025" s="40" t="str" cm="1">
        <f t="array" ref="G1025">IFERROR(_xlfn.LET(
_xlpm.CSVVal,_xlfn.XLOOKUP($A1025,CSV!$A:$A,CSV!G:G,""),
_xlpm.MacVal,_xlfn.XLOOKUP($A1025,Output_Mac!$A:$A,Output_Mac!F:F,""),
_xlpm.MyAuditVal,_xlfn.XLOOKUP($A1025,My_Audit!$A:$A,My_Audit!F:F,""),
_xlfn.IFS(_xlpm.MyAuditVal&lt;&gt;"",_xlpm.MyAuditVal,_xlpm.MacVal&lt;&gt;"",_xlpm.MacVal,_xlpm.CSVVal&lt;&gt;"",PROPER(_xlpm.CSVVal)
)),"")</f>
        <v/>
      </c>
      <c r="H1025" s="40" t="str" cm="1">
        <f t="array" ref="H1025">IFERROR(_xlfn.LET(
_xlpm.CSVVal,_xlfn.XLOOKUP($A1025,CSV!$A:$A,CSV!H:H,""),
_xlpm.MacVal,_xlfn.XLOOKUP($A1025,Output_Mac!$A:$A,Output_Mac!H:H,""),
_xlpm.MyAuditVal,_xlfn.XLOOKUP($A1025,My_Audit!$A:$A,My_Audit!G:G,""),
_xlfn.IFS(_xlpm.MyAuditVal&lt;&gt;"",_xlpm.MyAuditVal,_xlpm.MacVal&lt;&gt;"",_xlpm.MacVal,_xlpm.CSVVal&lt;&gt;"",_xlpm.CSVVal
)),"")</f>
        <v/>
      </c>
      <c r="I1025" s="40" t="str">
        <f>_xlfn.XLOOKUP(A1025,Output_Mac!A:A,Output_Mac!I:I,"")</f>
        <v/>
      </c>
      <c r="J1025" s="40" t="str" cm="1">
        <f t="array" ref="J1025">IFERROR(_xlfn.LET(
_xlpm.CSVVal,_xlfn.XLOOKUP($A1025,CSV!$A:$A,CSV!I:I,""),
_xlpm.MacVal,_xlfn.XLOOKUP($A1025,Output_Mac!$A:$A,Output_Mac!J:J,""),
_xlpm.MyAuditVal,_xlfn.XLOOKUP($A1025,My_Audit!$A:$A,My_Audit!I:I,""),
_xlfn.IFS(_xlpm.MyAuditVal&lt;&gt;"",UPPER(_xlpm.MyAuditVal),_xlpm.MacVal&lt;&gt;"",_xlpm.MacVal,_xlpm.CSVVal&lt;&gt;"",_xlpm.CSVVal
)),"")</f>
        <v/>
      </c>
      <c r="K1025" s="40" t="str" cm="1">
        <f t="array" ref="K1025">IFERROR(_xlfn.LET(
_xlpm.CSVVal,_xlfn.XLOOKUP($A1025,CSV!$A:$A,CSV!K:K,""),
_xlpm.MacVal,_xlfn.XLOOKUP($A1025,Output_Mac!$A:$A,Output_Mac!K:K,""),
_xlpm.MyAuditVal,_xlfn.XLOOKUP($A1025,My_Audit!$A:$A,My_Audit!J:J,""),
_xlfn.IFS(_xlpm.MyAuditVal&lt;&gt;"",UPPER(_xlpm.MyAuditVal),_xlpm.MacVal&lt;&gt;"",_xlpm.MacVal,_xlpm.CSVVal&lt;&gt;"",_xlpm.CSVVal
)),"")</f>
        <v/>
      </c>
      <c r="L1025" s="40" t="str" cm="1">
        <f t="array" ref="L1025">IFERROR(_xlfn.LET(
_xlpm.CSVVal,_xlfn.XLOOKUP($A1025,CSV!$A:$A,CSV!P:P,""),
_xlpm.MacVal,_xlfn.XLOOKUP($A1025,Output_Mac!$A:$A,Output_Mac!L:L,""),
_xlpm.MyAuditVal,_xlfn.XLOOKUP($A1025,My_Audit!$A:$A,My_Audit!K:K,""),
_xlfn.IFS(_xlpm.MyAuditVal&lt;&gt;"",UPPER(_xlpm.MyAuditVal),_xlpm.MacVal&lt;&gt;"",_xlpm.MacVal,_xlpm.CSVVal&lt;&gt;"",_xlpm.CSVVal
)),"")</f>
        <v/>
      </c>
      <c r="M1025" s="40" t="str" cm="1">
        <f t="array" ref="M1025">IFERROR(_xlfn.LET(
_xlpm.CSVVal,_xlfn.XLOOKUP($A1025,CSV!$A:$A,CSV!Q:Q,""),
_xlpm.MacVal,_xlfn.XLOOKUP($A1025,Output_Mac!$A:$A,Output_Mac!M:M,""),
_xlpm.MyAuditVal,_xlfn.XLOOKUP($A1025,My_Audit!$A:$A,My_Audit!L:L,""),
_xlfn.IFS(_xlpm.MyAuditVal&lt;&gt;"",UPPER(_xlpm.MyAuditVal),_xlpm.MacVal&lt;&gt;"",_xlpm.MacVal,_xlpm.CSVVal&lt;&gt;"",_xlpm.CSVVal
)),"")</f>
        <v/>
      </c>
      <c r="N1025" s="40"/>
      <c r="O1025" s="40" t="str">
        <f>_xlfn.LET(
    _xlpm.CSVVal, _xlfn.XLOOKUP($A1025, CSV!$A:$A, CSV!AA:AA, ""),
    _xlpm.MacVal, _xlfn.XLOOKUP($A1025, Output_Mac!$A:$A, Output_Mac!S:S, ""),
    _xlpm.MyAuditVal, _xlfn.XLOOKUP($A1025, My_Audit!$A:$A, My_Audit!P:P, ""),
    _xlfn.TEXTJOIN(", ", TRUE, _xlpm.MyAuditVal, _xlpm.MacVal, _xlpm.CSVVal)
)</f>
        <v/>
      </c>
      <c r="P1025" s="40" t="str" cm="1">
        <f t="array" ref="P1025">IFERROR(_xlfn.LET(
_xlpm.CSVVal,_xlfn.XLOOKUP($A1025,CSV!$A:$A,CSV!AB:AB,""),
_xlpm.MacVal,_xlfn.XLOOKUP($A1025,Output_Mac!$A:$A,Output_Mac!T:T,""),
_xlpm.MyAuditVal,_xlfn.XLOOKUP($A1025,My_Audit!$A:$A,My_Audit!Q:Q,""),
_xlfn.IFS(_xlpm.MyAuditVal&lt;&gt;"",UPPER(_xlpm.MyAuditVal),_xlpm.MacVal&lt;&gt;"",_xlpm.MacVal,_xlpm.CSVVal&lt;&gt;"",_xlpm.CSVVal
)),"No")</f>
        <v>No</v>
      </c>
      <c r="Q1025" s="40" t="str" cm="1">
        <f t="array" ref="Q1025">IFERROR(_xlfn.LET(
_xlpm.CSVVal,_xlfn.XLOOKUP($A1025,CSV!$A:$A,CSV!AC:AC,""),
_xlpm.MacVal,_xlfn.XLOOKUP($A1025,Output_Mac!$A:$A,Output_Mac!U:U,""),
_xlpm.MyAuditVal,_xlfn.XLOOKUP($A1025,My_Audit!$A:$A,My_Audit!R:R,""),
_xlfn.IFS(_xlpm.MyAuditVal&lt;&gt;"",UPPER(_xlpm.MyAuditVal),_xlpm.MacVal&lt;&gt;"",_xlpm.MacVal,_xlpm.CSVVal&lt;&gt;"",_xlpm.CSVVal
)),"")</f>
        <v/>
      </c>
      <c r="R1025" s="40"/>
      <c r="S1025" s="40"/>
      <c r="T1025" s="40"/>
      <c r="U1025" s="40"/>
      <c r="V1025" s="40"/>
      <c r="W1025" s="40"/>
      <c r="X1025" s="41" t="str">
        <f>_xlfn.LET(
    _xlpm.MacVal, _xlfn.XLOOKUP($A1025, Output_Mac!$A:$A, Output_Mac!AB:AB, ""),
    _xlpm.MyAuditVal, _xlfn.XLOOKUP($A1025, My_Audit!$A:$A, My_Audit!N:N, ""),
    _xlfn.TEXTJOIN(", ", TRUE, _xlpm.MyAuditVal, _xlpm.MacVal)
)</f>
        <v/>
      </c>
    </row>
    <row r="1026" spans="1:24">
      <c r="A1026" s="40" t="str">
        <f>_xlfn.TEXTJOIN("",TRUE,Input!$B$2,ROW(My_Audit!A1025))</f>
        <v>X1025</v>
      </c>
      <c r="B1026" s="40" t="str">
        <f>_xlfn.TEXTJOIN("-",TRUE,"ITD",Input!$A$2,A1026)</f>
        <v>ITD-X1025</v>
      </c>
      <c r="C1026" s="40" t="str" cm="1">
        <f t="array" ref="C1026">IFERROR(_xlfn.LET(
_xlpm.CSVVal,_xlfn.XLOOKUP($A1026,CSV!$A:$A,CSV!B:B,""),
_xlpm.MacVal,_xlfn.XLOOKUP($A1026,Output_Mac!$A:$A,Output_Mac!B:B,""),
_xlpm.MyAuditVal,_xlfn.XLOOKUP($A1026,My_Audit!$A:$A,My_Audit!B:B,""),
_xlfn.IFS(_xlpm.MyAuditVal&lt;&gt;"",UPPER(_xlpm.MyAuditVal),_xlpm.MacVal&lt;&gt;"",_xlpm.MacVal,_xlpm.CSVVal&lt;&gt;"",_xlpm.CSVVal
)),"")</f>
        <v/>
      </c>
      <c r="D1026" s="40" t="str" cm="1">
        <f t="array" ref="D1026">IFERROR(_xlfn.LET(
_xlpm.CSVVal,_xlfn.XLOOKUP($A1026,CSV!$A:$A,CSV!D:D,""),
_xlpm.MacVal,_xlfn.XLOOKUP($A1026,Output_Mac!$A:$A,Output_Mac!C:C,""),
_xlpm.MyAuditVal,_xlfn.XLOOKUP($A1026,My_Audit!$A:$A,My_Audit!C:C,""),
_xlfn.IFS(_xlpm.MyAuditVal&lt;&gt;"",_xlpm.MyAuditVal,_xlpm.MacVal&lt;&gt;"",_xlpm.MacVal,_xlpm.CSVVal&lt;&gt;"",_xlpm.CSVVal
)),"")</f>
        <v/>
      </c>
      <c r="E1026" s="40" t="str">
        <f>_xlfn.XLOOKUP(A1026,My_Audit!A:A,My_Audit!D:D,"")</f>
        <v/>
      </c>
      <c r="F1026" s="40" t="str" cm="1">
        <f t="array" ref="F1026">IFERROR(_xlfn.LET(
_xlpm.CSVVal,_xlfn.XLOOKUP($A1026,CSV!$A:$A,CSV!F:F,""),
_xlpm.MacVal,_xlfn.XLOOKUP($A1026,Output_Mac!$A:$A,Output_Mac!E:E,""),
_xlpm.MyAuditVal,_xlfn.XLOOKUP($A1026,My_Audit!$A:$A,My_Audit!E:E,""),
_xlfn.IFS(_xlpm.MyAuditVal&lt;&gt;"",_xlpm.MyAuditVal,_xlpm.MacVal&lt;&gt;"",_xlpm.MacVal,_xlpm.CSVVal&lt;&gt;"",_xlpm.CSVVal
)),"")</f>
        <v/>
      </c>
      <c r="G1026" s="40" t="str" cm="1">
        <f t="array" ref="G1026">IFERROR(_xlfn.LET(
_xlpm.CSVVal,_xlfn.XLOOKUP($A1026,CSV!$A:$A,CSV!G:G,""),
_xlpm.MacVal,_xlfn.XLOOKUP($A1026,Output_Mac!$A:$A,Output_Mac!F:F,""),
_xlpm.MyAuditVal,_xlfn.XLOOKUP($A1026,My_Audit!$A:$A,My_Audit!F:F,""),
_xlfn.IFS(_xlpm.MyAuditVal&lt;&gt;"",_xlpm.MyAuditVal,_xlpm.MacVal&lt;&gt;"",_xlpm.MacVal,_xlpm.CSVVal&lt;&gt;"",PROPER(_xlpm.CSVVal)
)),"")</f>
        <v/>
      </c>
      <c r="H1026" s="40" t="str" cm="1">
        <f t="array" ref="H1026">IFERROR(_xlfn.LET(
_xlpm.CSVVal,_xlfn.XLOOKUP($A1026,CSV!$A:$A,CSV!H:H,""),
_xlpm.MacVal,_xlfn.XLOOKUP($A1026,Output_Mac!$A:$A,Output_Mac!H:H,""),
_xlpm.MyAuditVal,_xlfn.XLOOKUP($A1026,My_Audit!$A:$A,My_Audit!G:G,""),
_xlfn.IFS(_xlpm.MyAuditVal&lt;&gt;"",_xlpm.MyAuditVal,_xlpm.MacVal&lt;&gt;"",_xlpm.MacVal,_xlpm.CSVVal&lt;&gt;"",_xlpm.CSVVal
)),"")</f>
        <v/>
      </c>
      <c r="I1026" s="40" t="str">
        <f>_xlfn.XLOOKUP(A1026,Output_Mac!A:A,Output_Mac!I:I,"")</f>
        <v/>
      </c>
      <c r="J1026" s="40" t="str" cm="1">
        <f t="array" ref="J1026">IFERROR(_xlfn.LET(
_xlpm.CSVVal,_xlfn.XLOOKUP($A1026,CSV!$A:$A,CSV!I:I,""),
_xlpm.MacVal,_xlfn.XLOOKUP($A1026,Output_Mac!$A:$A,Output_Mac!J:J,""),
_xlpm.MyAuditVal,_xlfn.XLOOKUP($A1026,My_Audit!$A:$A,My_Audit!I:I,""),
_xlfn.IFS(_xlpm.MyAuditVal&lt;&gt;"",UPPER(_xlpm.MyAuditVal),_xlpm.MacVal&lt;&gt;"",_xlpm.MacVal,_xlpm.CSVVal&lt;&gt;"",_xlpm.CSVVal
)),"")</f>
        <v/>
      </c>
      <c r="K1026" s="40" t="str" cm="1">
        <f t="array" ref="K1026">IFERROR(_xlfn.LET(
_xlpm.CSVVal,_xlfn.XLOOKUP($A1026,CSV!$A:$A,CSV!K:K,""),
_xlpm.MacVal,_xlfn.XLOOKUP($A1026,Output_Mac!$A:$A,Output_Mac!K:K,""),
_xlpm.MyAuditVal,_xlfn.XLOOKUP($A1026,My_Audit!$A:$A,My_Audit!J:J,""),
_xlfn.IFS(_xlpm.MyAuditVal&lt;&gt;"",UPPER(_xlpm.MyAuditVal),_xlpm.MacVal&lt;&gt;"",_xlpm.MacVal,_xlpm.CSVVal&lt;&gt;"",_xlpm.CSVVal
)),"")</f>
        <v/>
      </c>
      <c r="L1026" s="40" t="str" cm="1">
        <f t="array" ref="L1026">IFERROR(_xlfn.LET(
_xlpm.CSVVal,_xlfn.XLOOKUP($A1026,CSV!$A:$A,CSV!P:P,""),
_xlpm.MacVal,_xlfn.XLOOKUP($A1026,Output_Mac!$A:$A,Output_Mac!L:L,""),
_xlpm.MyAuditVal,_xlfn.XLOOKUP($A1026,My_Audit!$A:$A,My_Audit!K:K,""),
_xlfn.IFS(_xlpm.MyAuditVal&lt;&gt;"",UPPER(_xlpm.MyAuditVal),_xlpm.MacVal&lt;&gt;"",_xlpm.MacVal,_xlpm.CSVVal&lt;&gt;"",_xlpm.CSVVal
)),"")</f>
        <v/>
      </c>
      <c r="M1026" s="40" t="str" cm="1">
        <f t="array" ref="M1026">IFERROR(_xlfn.LET(
_xlpm.CSVVal,_xlfn.XLOOKUP($A1026,CSV!$A:$A,CSV!Q:Q,""),
_xlpm.MacVal,_xlfn.XLOOKUP($A1026,Output_Mac!$A:$A,Output_Mac!M:M,""),
_xlpm.MyAuditVal,_xlfn.XLOOKUP($A1026,My_Audit!$A:$A,My_Audit!L:L,""),
_xlfn.IFS(_xlpm.MyAuditVal&lt;&gt;"",UPPER(_xlpm.MyAuditVal),_xlpm.MacVal&lt;&gt;"",_xlpm.MacVal,_xlpm.CSVVal&lt;&gt;"",_xlpm.CSVVal
)),"")</f>
        <v/>
      </c>
      <c r="N1026" s="40"/>
      <c r="O1026" s="40" t="str">
        <f>_xlfn.LET(
    _xlpm.CSVVal, _xlfn.XLOOKUP($A1026, CSV!$A:$A, CSV!AA:AA, ""),
    _xlpm.MacVal, _xlfn.XLOOKUP($A1026, Output_Mac!$A:$A, Output_Mac!S:S, ""),
    _xlpm.MyAuditVal, _xlfn.XLOOKUP($A1026, My_Audit!$A:$A, My_Audit!P:P, ""),
    _xlfn.TEXTJOIN(", ", TRUE, _xlpm.MyAuditVal, _xlpm.MacVal, _xlpm.CSVVal)
)</f>
        <v/>
      </c>
      <c r="P1026" s="40" t="str" cm="1">
        <f t="array" ref="P1026">IFERROR(_xlfn.LET(
_xlpm.CSVVal,_xlfn.XLOOKUP($A1026,CSV!$A:$A,CSV!AB:AB,""),
_xlpm.MacVal,_xlfn.XLOOKUP($A1026,Output_Mac!$A:$A,Output_Mac!T:T,""),
_xlpm.MyAuditVal,_xlfn.XLOOKUP($A1026,My_Audit!$A:$A,My_Audit!Q:Q,""),
_xlfn.IFS(_xlpm.MyAuditVal&lt;&gt;"",UPPER(_xlpm.MyAuditVal),_xlpm.MacVal&lt;&gt;"",_xlpm.MacVal,_xlpm.CSVVal&lt;&gt;"",_xlpm.CSVVal
)),"No")</f>
        <v>No</v>
      </c>
      <c r="Q1026" s="40" t="str" cm="1">
        <f t="array" ref="Q1026">IFERROR(_xlfn.LET(
_xlpm.CSVVal,_xlfn.XLOOKUP($A1026,CSV!$A:$A,CSV!AC:AC,""),
_xlpm.MacVal,_xlfn.XLOOKUP($A1026,Output_Mac!$A:$A,Output_Mac!U:U,""),
_xlpm.MyAuditVal,_xlfn.XLOOKUP($A1026,My_Audit!$A:$A,My_Audit!R:R,""),
_xlfn.IFS(_xlpm.MyAuditVal&lt;&gt;"",UPPER(_xlpm.MyAuditVal),_xlpm.MacVal&lt;&gt;"",_xlpm.MacVal,_xlpm.CSVVal&lt;&gt;"",_xlpm.CSVVal
)),"")</f>
        <v/>
      </c>
      <c r="R1026" s="40"/>
      <c r="S1026" s="40"/>
      <c r="T1026" s="40"/>
      <c r="U1026" s="40"/>
      <c r="V1026" s="40"/>
      <c r="W1026" s="40"/>
      <c r="X1026" s="41" t="str">
        <f>_xlfn.LET(
    _xlpm.MacVal, _xlfn.XLOOKUP($A1026, Output_Mac!$A:$A, Output_Mac!AB:AB, ""),
    _xlpm.MyAuditVal, _xlfn.XLOOKUP($A1026, My_Audit!$A:$A, My_Audit!N:N, ""),
    _xlfn.TEXTJOIN(", ", TRUE, _xlpm.MyAuditVal, _xlpm.MacVal)
)</f>
        <v/>
      </c>
    </row>
    <row r="1027" spans="1:24">
      <c r="A1027" s="40" t="str">
        <f>_xlfn.TEXTJOIN("",TRUE,Input!$B$2,ROW(My_Audit!A1026))</f>
        <v>X1026</v>
      </c>
      <c r="B1027" s="40" t="str">
        <f>_xlfn.TEXTJOIN("-",TRUE,"ITD",Input!$A$2,A1027)</f>
        <v>ITD-X1026</v>
      </c>
      <c r="C1027" s="40" t="str" cm="1">
        <f t="array" ref="C1027">IFERROR(_xlfn.LET(
_xlpm.CSVVal,_xlfn.XLOOKUP($A1027,CSV!$A:$A,CSV!B:B,""),
_xlpm.MacVal,_xlfn.XLOOKUP($A1027,Output_Mac!$A:$A,Output_Mac!B:B,""),
_xlpm.MyAuditVal,_xlfn.XLOOKUP($A1027,My_Audit!$A:$A,My_Audit!B:B,""),
_xlfn.IFS(_xlpm.MyAuditVal&lt;&gt;"",UPPER(_xlpm.MyAuditVal),_xlpm.MacVal&lt;&gt;"",_xlpm.MacVal,_xlpm.CSVVal&lt;&gt;"",_xlpm.CSVVal
)),"")</f>
        <v/>
      </c>
      <c r="D1027" s="40" t="str" cm="1">
        <f t="array" ref="D1027">IFERROR(_xlfn.LET(
_xlpm.CSVVal,_xlfn.XLOOKUP($A1027,CSV!$A:$A,CSV!D:D,""),
_xlpm.MacVal,_xlfn.XLOOKUP($A1027,Output_Mac!$A:$A,Output_Mac!C:C,""),
_xlpm.MyAuditVal,_xlfn.XLOOKUP($A1027,My_Audit!$A:$A,My_Audit!C:C,""),
_xlfn.IFS(_xlpm.MyAuditVal&lt;&gt;"",_xlpm.MyAuditVal,_xlpm.MacVal&lt;&gt;"",_xlpm.MacVal,_xlpm.CSVVal&lt;&gt;"",_xlpm.CSVVal
)),"")</f>
        <v/>
      </c>
      <c r="E1027" s="40" t="str">
        <f>_xlfn.XLOOKUP(A1027,My_Audit!A:A,My_Audit!D:D,"")</f>
        <v/>
      </c>
      <c r="F1027" s="40" t="str" cm="1">
        <f t="array" ref="F1027">IFERROR(_xlfn.LET(
_xlpm.CSVVal,_xlfn.XLOOKUP($A1027,CSV!$A:$A,CSV!F:F,""),
_xlpm.MacVal,_xlfn.XLOOKUP($A1027,Output_Mac!$A:$A,Output_Mac!E:E,""),
_xlpm.MyAuditVal,_xlfn.XLOOKUP($A1027,My_Audit!$A:$A,My_Audit!E:E,""),
_xlfn.IFS(_xlpm.MyAuditVal&lt;&gt;"",_xlpm.MyAuditVal,_xlpm.MacVal&lt;&gt;"",_xlpm.MacVal,_xlpm.CSVVal&lt;&gt;"",_xlpm.CSVVal
)),"")</f>
        <v/>
      </c>
      <c r="G1027" s="40" t="str" cm="1">
        <f t="array" ref="G1027">IFERROR(_xlfn.LET(
_xlpm.CSVVal,_xlfn.XLOOKUP($A1027,CSV!$A:$A,CSV!G:G,""),
_xlpm.MacVal,_xlfn.XLOOKUP($A1027,Output_Mac!$A:$A,Output_Mac!F:F,""),
_xlpm.MyAuditVal,_xlfn.XLOOKUP($A1027,My_Audit!$A:$A,My_Audit!F:F,""),
_xlfn.IFS(_xlpm.MyAuditVal&lt;&gt;"",_xlpm.MyAuditVal,_xlpm.MacVal&lt;&gt;"",_xlpm.MacVal,_xlpm.CSVVal&lt;&gt;"",PROPER(_xlpm.CSVVal)
)),"")</f>
        <v/>
      </c>
      <c r="H1027" s="40" t="str" cm="1">
        <f t="array" ref="H1027">IFERROR(_xlfn.LET(
_xlpm.CSVVal,_xlfn.XLOOKUP($A1027,CSV!$A:$A,CSV!H:H,""),
_xlpm.MacVal,_xlfn.XLOOKUP($A1027,Output_Mac!$A:$A,Output_Mac!H:H,""),
_xlpm.MyAuditVal,_xlfn.XLOOKUP($A1027,My_Audit!$A:$A,My_Audit!G:G,""),
_xlfn.IFS(_xlpm.MyAuditVal&lt;&gt;"",_xlpm.MyAuditVal,_xlpm.MacVal&lt;&gt;"",_xlpm.MacVal,_xlpm.CSVVal&lt;&gt;"",_xlpm.CSVVal
)),"")</f>
        <v/>
      </c>
      <c r="I1027" s="40" t="str">
        <f>_xlfn.XLOOKUP(A1027,Output_Mac!A:A,Output_Mac!I:I,"")</f>
        <v/>
      </c>
      <c r="J1027" s="40" t="str" cm="1">
        <f t="array" ref="J1027">IFERROR(_xlfn.LET(
_xlpm.CSVVal,_xlfn.XLOOKUP($A1027,CSV!$A:$A,CSV!I:I,""),
_xlpm.MacVal,_xlfn.XLOOKUP($A1027,Output_Mac!$A:$A,Output_Mac!J:J,""),
_xlpm.MyAuditVal,_xlfn.XLOOKUP($A1027,My_Audit!$A:$A,My_Audit!I:I,""),
_xlfn.IFS(_xlpm.MyAuditVal&lt;&gt;"",UPPER(_xlpm.MyAuditVal),_xlpm.MacVal&lt;&gt;"",_xlpm.MacVal,_xlpm.CSVVal&lt;&gt;"",_xlpm.CSVVal
)),"")</f>
        <v/>
      </c>
      <c r="K1027" s="40" t="str" cm="1">
        <f t="array" ref="K1027">IFERROR(_xlfn.LET(
_xlpm.CSVVal,_xlfn.XLOOKUP($A1027,CSV!$A:$A,CSV!K:K,""),
_xlpm.MacVal,_xlfn.XLOOKUP($A1027,Output_Mac!$A:$A,Output_Mac!K:K,""),
_xlpm.MyAuditVal,_xlfn.XLOOKUP($A1027,My_Audit!$A:$A,My_Audit!J:J,""),
_xlfn.IFS(_xlpm.MyAuditVal&lt;&gt;"",UPPER(_xlpm.MyAuditVal),_xlpm.MacVal&lt;&gt;"",_xlpm.MacVal,_xlpm.CSVVal&lt;&gt;"",_xlpm.CSVVal
)),"")</f>
        <v/>
      </c>
      <c r="L1027" s="40" t="str" cm="1">
        <f t="array" ref="L1027">IFERROR(_xlfn.LET(
_xlpm.CSVVal,_xlfn.XLOOKUP($A1027,CSV!$A:$A,CSV!P:P,""),
_xlpm.MacVal,_xlfn.XLOOKUP($A1027,Output_Mac!$A:$A,Output_Mac!L:L,""),
_xlpm.MyAuditVal,_xlfn.XLOOKUP($A1027,My_Audit!$A:$A,My_Audit!K:K,""),
_xlfn.IFS(_xlpm.MyAuditVal&lt;&gt;"",UPPER(_xlpm.MyAuditVal),_xlpm.MacVal&lt;&gt;"",_xlpm.MacVal,_xlpm.CSVVal&lt;&gt;"",_xlpm.CSVVal
)),"")</f>
        <v/>
      </c>
      <c r="M1027" s="40" t="str" cm="1">
        <f t="array" ref="M1027">IFERROR(_xlfn.LET(
_xlpm.CSVVal,_xlfn.XLOOKUP($A1027,CSV!$A:$A,CSV!Q:Q,""),
_xlpm.MacVal,_xlfn.XLOOKUP($A1027,Output_Mac!$A:$A,Output_Mac!M:M,""),
_xlpm.MyAuditVal,_xlfn.XLOOKUP($A1027,My_Audit!$A:$A,My_Audit!L:L,""),
_xlfn.IFS(_xlpm.MyAuditVal&lt;&gt;"",UPPER(_xlpm.MyAuditVal),_xlpm.MacVal&lt;&gt;"",_xlpm.MacVal,_xlpm.CSVVal&lt;&gt;"",_xlpm.CSVVal
)),"")</f>
        <v/>
      </c>
      <c r="N1027" s="40"/>
      <c r="O1027" s="40" t="str">
        <f>_xlfn.LET(
    _xlpm.CSVVal, _xlfn.XLOOKUP($A1027, CSV!$A:$A, CSV!AA:AA, ""),
    _xlpm.MacVal, _xlfn.XLOOKUP($A1027, Output_Mac!$A:$A, Output_Mac!S:S, ""),
    _xlpm.MyAuditVal, _xlfn.XLOOKUP($A1027, My_Audit!$A:$A, My_Audit!P:P, ""),
    _xlfn.TEXTJOIN(", ", TRUE, _xlpm.MyAuditVal, _xlpm.MacVal, _xlpm.CSVVal)
)</f>
        <v/>
      </c>
      <c r="P1027" s="40" t="str" cm="1">
        <f t="array" ref="P1027">IFERROR(_xlfn.LET(
_xlpm.CSVVal,_xlfn.XLOOKUP($A1027,CSV!$A:$A,CSV!AB:AB,""),
_xlpm.MacVal,_xlfn.XLOOKUP($A1027,Output_Mac!$A:$A,Output_Mac!T:T,""),
_xlpm.MyAuditVal,_xlfn.XLOOKUP($A1027,My_Audit!$A:$A,My_Audit!Q:Q,""),
_xlfn.IFS(_xlpm.MyAuditVal&lt;&gt;"",UPPER(_xlpm.MyAuditVal),_xlpm.MacVal&lt;&gt;"",_xlpm.MacVal,_xlpm.CSVVal&lt;&gt;"",_xlpm.CSVVal
)),"No")</f>
        <v>No</v>
      </c>
      <c r="Q1027" s="40" t="str" cm="1">
        <f t="array" ref="Q1027">IFERROR(_xlfn.LET(
_xlpm.CSVVal,_xlfn.XLOOKUP($A1027,CSV!$A:$A,CSV!AC:AC,""),
_xlpm.MacVal,_xlfn.XLOOKUP($A1027,Output_Mac!$A:$A,Output_Mac!U:U,""),
_xlpm.MyAuditVal,_xlfn.XLOOKUP($A1027,My_Audit!$A:$A,My_Audit!R:R,""),
_xlfn.IFS(_xlpm.MyAuditVal&lt;&gt;"",UPPER(_xlpm.MyAuditVal),_xlpm.MacVal&lt;&gt;"",_xlpm.MacVal,_xlpm.CSVVal&lt;&gt;"",_xlpm.CSVVal
)),"")</f>
        <v/>
      </c>
      <c r="R1027" s="40"/>
      <c r="S1027" s="40"/>
      <c r="T1027" s="40"/>
      <c r="U1027" s="40"/>
      <c r="V1027" s="40"/>
      <c r="W1027" s="40"/>
      <c r="X1027" s="41" t="str">
        <f>_xlfn.LET(
    _xlpm.MacVal, _xlfn.XLOOKUP($A1027, Output_Mac!$A:$A, Output_Mac!AB:AB, ""),
    _xlpm.MyAuditVal, _xlfn.XLOOKUP($A1027, My_Audit!$A:$A, My_Audit!N:N, ""),
    _xlfn.TEXTJOIN(", ", TRUE, _xlpm.MyAuditVal, _xlpm.MacVal)
)</f>
        <v/>
      </c>
    </row>
    <row r="1028" spans="1:24">
      <c r="A1028" s="40" t="str">
        <f>_xlfn.TEXTJOIN("",TRUE,Input!$B$2,ROW(My_Audit!A1027))</f>
        <v>X1027</v>
      </c>
      <c r="B1028" s="40" t="str">
        <f>_xlfn.TEXTJOIN("-",TRUE,"ITD",Input!$A$2,A1028)</f>
        <v>ITD-X1027</v>
      </c>
      <c r="C1028" s="40" t="str" cm="1">
        <f t="array" ref="C1028">IFERROR(_xlfn.LET(
_xlpm.CSVVal,_xlfn.XLOOKUP($A1028,CSV!$A:$A,CSV!B:B,""),
_xlpm.MacVal,_xlfn.XLOOKUP($A1028,Output_Mac!$A:$A,Output_Mac!B:B,""),
_xlpm.MyAuditVal,_xlfn.XLOOKUP($A1028,My_Audit!$A:$A,My_Audit!B:B,""),
_xlfn.IFS(_xlpm.MyAuditVal&lt;&gt;"",UPPER(_xlpm.MyAuditVal),_xlpm.MacVal&lt;&gt;"",_xlpm.MacVal,_xlpm.CSVVal&lt;&gt;"",_xlpm.CSVVal
)),"")</f>
        <v/>
      </c>
      <c r="D1028" s="40" t="str" cm="1">
        <f t="array" ref="D1028">IFERROR(_xlfn.LET(
_xlpm.CSVVal,_xlfn.XLOOKUP($A1028,CSV!$A:$A,CSV!D:D,""),
_xlpm.MacVal,_xlfn.XLOOKUP($A1028,Output_Mac!$A:$A,Output_Mac!C:C,""),
_xlpm.MyAuditVal,_xlfn.XLOOKUP($A1028,My_Audit!$A:$A,My_Audit!C:C,""),
_xlfn.IFS(_xlpm.MyAuditVal&lt;&gt;"",_xlpm.MyAuditVal,_xlpm.MacVal&lt;&gt;"",_xlpm.MacVal,_xlpm.CSVVal&lt;&gt;"",_xlpm.CSVVal
)),"")</f>
        <v/>
      </c>
      <c r="E1028" s="40" t="str">
        <f>_xlfn.XLOOKUP(A1028,My_Audit!A:A,My_Audit!D:D,"")</f>
        <v/>
      </c>
      <c r="F1028" s="40" t="str" cm="1">
        <f t="array" ref="F1028">IFERROR(_xlfn.LET(
_xlpm.CSVVal,_xlfn.XLOOKUP($A1028,CSV!$A:$A,CSV!F:F,""),
_xlpm.MacVal,_xlfn.XLOOKUP($A1028,Output_Mac!$A:$A,Output_Mac!E:E,""),
_xlpm.MyAuditVal,_xlfn.XLOOKUP($A1028,My_Audit!$A:$A,My_Audit!E:E,""),
_xlfn.IFS(_xlpm.MyAuditVal&lt;&gt;"",_xlpm.MyAuditVal,_xlpm.MacVal&lt;&gt;"",_xlpm.MacVal,_xlpm.CSVVal&lt;&gt;"",_xlpm.CSVVal
)),"")</f>
        <v/>
      </c>
      <c r="G1028" s="40" t="str" cm="1">
        <f t="array" ref="G1028">IFERROR(_xlfn.LET(
_xlpm.CSVVal,_xlfn.XLOOKUP($A1028,CSV!$A:$A,CSV!G:G,""),
_xlpm.MacVal,_xlfn.XLOOKUP($A1028,Output_Mac!$A:$A,Output_Mac!F:F,""),
_xlpm.MyAuditVal,_xlfn.XLOOKUP($A1028,My_Audit!$A:$A,My_Audit!F:F,""),
_xlfn.IFS(_xlpm.MyAuditVal&lt;&gt;"",_xlpm.MyAuditVal,_xlpm.MacVal&lt;&gt;"",_xlpm.MacVal,_xlpm.CSVVal&lt;&gt;"",PROPER(_xlpm.CSVVal)
)),"")</f>
        <v/>
      </c>
      <c r="H1028" s="40" t="str" cm="1">
        <f t="array" ref="H1028">IFERROR(_xlfn.LET(
_xlpm.CSVVal,_xlfn.XLOOKUP($A1028,CSV!$A:$A,CSV!H:H,""),
_xlpm.MacVal,_xlfn.XLOOKUP($A1028,Output_Mac!$A:$A,Output_Mac!H:H,""),
_xlpm.MyAuditVal,_xlfn.XLOOKUP($A1028,My_Audit!$A:$A,My_Audit!G:G,""),
_xlfn.IFS(_xlpm.MyAuditVal&lt;&gt;"",_xlpm.MyAuditVal,_xlpm.MacVal&lt;&gt;"",_xlpm.MacVal,_xlpm.CSVVal&lt;&gt;"",_xlpm.CSVVal
)),"")</f>
        <v/>
      </c>
      <c r="I1028" s="40" t="str">
        <f>_xlfn.XLOOKUP(A1028,Output_Mac!A:A,Output_Mac!I:I,"")</f>
        <v/>
      </c>
      <c r="J1028" s="40" t="str" cm="1">
        <f t="array" ref="J1028">IFERROR(_xlfn.LET(
_xlpm.CSVVal,_xlfn.XLOOKUP($A1028,CSV!$A:$A,CSV!I:I,""),
_xlpm.MacVal,_xlfn.XLOOKUP($A1028,Output_Mac!$A:$A,Output_Mac!J:J,""),
_xlpm.MyAuditVal,_xlfn.XLOOKUP($A1028,My_Audit!$A:$A,My_Audit!I:I,""),
_xlfn.IFS(_xlpm.MyAuditVal&lt;&gt;"",UPPER(_xlpm.MyAuditVal),_xlpm.MacVal&lt;&gt;"",_xlpm.MacVal,_xlpm.CSVVal&lt;&gt;"",_xlpm.CSVVal
)),"")</f>
        <v/>
      </c>
      <c r="K1028" s="40" t="str" cm="1">
        <f t="array" ref="K1028">IFERROR(_xlfn.LET(
_xlpm.CSVVal,_xlfn.XLOOKUP($A1028,CSV!$A:$A,CSV!K:K,""),
_xlpm.MacVal,_xlfn.XLOOKUP($A1028,Output_Mac!$A:$A,Output_Mac!K:K,""),
_xlpm.MyAuditVal,_xlfn.XLOOKUP($A1028,My_Audit!$A:$A,My_Audit!J:J,""),
_xlfn.IFS(_xlpm.MyAuditVal&lt;&gt;"",UPPER(_xlpm.MyAuditVal),_xlpm.MacVal&lt;&gt;"",_xlpm.MacVal,_xlpm.CSVVal&lt;&gt;"",_xlpm.CSVVal
)),"")</f>
        <v/>
      </c>
      <c r="L1028" s="40" t="str" cm="1">
        <f t="array" ref="L1028">IFERROR(_xlfn.LET(
_xlpm.CSVVal,_xlfn.XLOOKUP($A1028,CSV!$A:$A,CSV!P:P,""),
_xlpm.MacVal,_xlfn.XLOOKUP($A1028,Output_Mac!$A:$A,Output_Mac!L:L,""),
_xlpm.MyAuditVal,_xlfn.XLOOKUP($A1028,My_Audit!$A:$A,My_Audit!K:K,""),
_xlfn.IFS(_xlpm.MyAuditVal&lt;&gt;"",UPPER(_xlpm.MyAuditVal),_xlpm.MacVal&lt;&gt;"",_xlpm.MacVal,_xlpm.CSVVal&lt;&gt;"",_xlpm.CSVVal
)),"")</f>
        <v/>
      </c>
      <c r="M1028" s="40" t="str" cm="1">
        <f t="array" ref="M1028">IFERROR(_xlfn.LET(
_xlpm.CSVVal,_xlfn.XLOOKUP($A1028,CSV!$A:$A,CSV!Q:Q,""),
_xlpm.MacVal,_xlfn.XLOOKUP($A1028,Output_Mac!$A:$A,Output_Mac!M:M,""),
_xlpm.MyAuditVal,_xlfn.XLOOKUP($A1028,My_Audit!$A:$A,My_Audit!L:L,""),
_xlfn.IFS(_xlpm.MyAuditVal&lt;&gt;"",UPPER(_xlpm.MyAuditVal),_xlpm.MacVal&lt;&gt;"",_xlpm.MacVal,_xlpm.CSVVal&lt;&gt;"",_xlpm.CSVVal
)),"")</f>
        <v/>
      </c>
      <c r="N1028" s="40"/>
      <c r="O1028" s="40" t="str">
        <f>_xlfn.LET(
    _xlpm.CSVVal, _xlfn.XLOOKUP($A1028, CSV!$A:$A, CSV!AA:AA, ""),
    _xlpm.MacVal, _xlfn.XLOOKUP($A1028, Output_Mac!$A:$A, Output_Mac!S:S, ""),
    _xlpm.MyAuditVal, _xlfn.XLOOKUP($A1028, My_Audit!$A:$A, My_Audit!P:P, ""),
    _xlfn.TEXTJOIN(", ", TRUE, _xlpm.MyAuditVal, _xlpm.MacVal, _xlpm.CSVVal)
)</f>
        <v/>
      </c>
      <c r="P1028" s="40" t="str" cm="1">
        <f t="array" ref="P1028">IFERROR(_xlfn.LET(
_xlpm.CSVVal,_xlfn.XLOOKUP($A1028,CSV!$A:$A,CSV!AB:AB,""),
_xlpm.MacVal,_xlfn.XLOOKUP($A1028,Output_Mac!$A:$A,Output_Mac!T:T,""),
_xlpm.MyAuditVal,_xlfn.XLOOKUP($A1028,My_Audit!$A:$A,My_Audit!Q:Q,""),
_xlfn.IFS(_xlpm.MyAuditVal&lt;&gt;"",UPPER(_xlpm.MyAuditVal),_xlpm.MacVal&lt;&gt;"",_xlpm.MacVal,_xlpm.CSVVal&lt;&gt;"",_xlpm.CSVVal
)),"No")</f>
        <v>No</v>
      </c>
      <c r="Q1028" s="40" t="str" cm="1">
        <f t="array" ref="Q1028">IFERROR(_xlfn.LET(
_xlpm.CSVVal,_xlfn.XLOOKUP($A1028,CSV!$A:$A,CSV!AC:AC,""),
_xlpm.MacVal,_xlfn.XLOOKUP($A1028,Output_Mac!$A:$A,Output_Mac!U:U,""),
_xlpm.MyAuditVal,_xlfn.XLOOKUP($A1028,My_Audit!$A:$A,My_Audit!R:R,""),
_xlfn.IFS(_xlpm.MyAuditVal&lt;&gt;"",UPPER(_xlpm.MyAuditVal),_xlpm.MacVal&lt;&gt;"",_xlpm.MacVal,_xlpm.CSVVal&lt;&gt;"",_xlpm.CSVVal
)),"")</f>
        <v/>
      </c>
      <c r="R1028" s="40"/>
      <c r="S1028" s="40"/>
      <c r="T1028" s="40"/>
      <c r="U1028" s="40"/>
      <c r="V1028" s="40"/>
      <c r="W1028" s="40"/>
      <c r="X1028" s="41" t="str">
        <f>_xlfn.LET(
    _xlpm.MacVal, _xlfn.XLOOKUP($A1028, Output_Mac!$A:$A, Output_Mac!AB:AB, ""),
    _xlpm.MyAuditVal, _xlfn.XLOOKUP($A1028, My_Audit!$A:$A, My_Audit!N:N, ""),
    _xlfn.TEXTJOIN(", ", TRUE, _xlpm.MyAuditVal, _xlpm.MacVal)
)</f>
        <v/>
      </c>
    </row>
    <row r="1029" spans="1:24">
      <c r="A1029" s="40" t="str">
        <f>_xlfn.TEXTJOIN("",TRUE,Input!$B$2,ROW(My_Audit!A1028))</f>
        <v>X1028</v>
      </c>
      <c r="B1029" s="40" t="str">
        <f>_xlfn.TEXTJOIN("-",TRUE,"ITD",Input!$A$2,A1029)</f>
        <v>ITD-X1028</v>
      </c>
      <c r="C1029" s="40" t="str" cm="1">
        <f t="array" ref="C1029">IFERROR(_xlfn.LET(
_xlpm.CSVVal,_xlfn.XLOOKUP($A1029,CSV!$A:$A,CSV!B:B,""),
_xlpm.MacVal,_xlfn.XLOOKUP($A1029,Output_Mac!$A:$A,Output_Mac!B:B,""),
_xlpm.MyAuditVal,_xlfn.XLOOKUP($A1029,My_Audit!$A:$A,My_Audit!B:B,""),
_xlfn.IFS(_xlpm.MyAuditVal&lt;&gt;"",UPPER(_xlpm.MyAuditVal),_xlpm.MacVal&lt;&gt;"",_xlpm.MacVal,_xlpm.CSVVal&lt;&gt;"",_xlpm.CSVVal
)),"")</f>
        <v/>
      </c>
      <c r="D1029" s="40" t="str" cm="1">
        <f t="array" ref="D1029">IFERROR(_xlfn.LET(
_xlpm.CSVVal,_xlfn.XLOOKUP($A1029,CSV!$A:$A,CSV!D:D,""),
_xlpm.MacVal,_xlfn.XLOOKUP($A1029,Output_Mac!$A:$A,Output_Mac!C:C,""),
_xlpm.MyAuditVal,_xlfn.XLOOKUP($A1029,My_Audit!$A:$A,My_Audit!C:C,""),
_xlfn.IFS(_xlpm.MyAuditVal&lt;&gt;"",_xlpm.MyAuditVal,_xlpm.MacVal&lt;&gt;"",_xlpm.MacVal,_xlpm.CSVVal&lt;&gt;"",_xlpm.CSVVal
)),"")</f>
        <v/>
      </c>
      <c r="E1029" s="40" t="str">
        <f>_xlfn.XLOOKUP(A1029,My_Audit!A:A,My_Audit!D:D,"")</f>
        <v/>
      </c>
      <c r="F1029" s="40" t="str" cm="1">
        <f t="array" ref="F1029">IFERROR(_xlfn.LET(
_xlpm.CSVVal,_xlfn.XLOOKUP($A1029,CSV!$A:$A,CSV!F:F,""),
_xlpm.MacVal,_xlfn.XLOOKUP($A1029,Output_Mac!$A:$A,Output_Mac!E:E,""),
_xlpm.MyAuditVal,_xlfn.XLOOKUP($A1029,My_Audit!$A:$A,My_Audit!E:E,""),
_xlfn.IFS(_xlpm.MyAuditVal&lt;&gt;"",_xlpm.MyAuditVal,_xlpm.MacVal&lt;&gt;"",_xlpm.MacVal,_xlpm.CSVVal&lt;&gt;"",_xlpm.CSVVal
)),"")</f>
        <v/>
      </c>
      <c r="G1029" s="40" t="str" cm="1">
        <f t="array" ref="G1029">IFERROR(_xlfn.LET(
_xlpm.CSVVal,_xlfn.XLOOKUP($A1029,CSV!$A:$A,CSV!G:G,""),
_xlpm.MacVal,_xlfn.XLOOKUP($A1029,Output_Mac!$A:$A,Output_Mac!F:F,""),
_xlpm.MyAuditVal,_xlfn.XLOOKUP($A1029,My_Audit!$A:$A,My_Audit!F:F,""),
_xlfn.IFS(_xlpm.MyAuditVal&lt;&gt;"",_xlpm.MyAuditVal,_xlpm.MacVal&lt;&gt;"",_xlpm.MacVal,_xlpm.CSVVal&lt;&gt;"",PROPER(_xlpm.CSVVal)
)),"")</f>
        <v/>
      </c>
      <c r="H1029" s="40" t="str" cm="1">
        <f t="array" ref="H1029">IFERROR(_xlfn.LET(
_xlpm.CSVVal,_xlfn.XLOOKUP($A1029,CSV!$A:$A,CSV!H:H,""),
_xlpm.MacVal,_xlfn.XLOOKUP($A1029,Output_Mac!$A:$A,Output_Mac!H:H,""),
_xlpm.MyAuditVal,_xlfn.XLOOKUP($A1029,My_Audit!$A:$A,My_Audit!G:G,""),
_xlfn.IFS(_xlpm.MyAuditVal&lt;&gt;"",_xlpm.MyAuditVal,_xlpm.MacVal&lt;&gt;"",_xlpm.MacVal,_xlpm.CSVVal&lt;&gt;"",_xlpm.CSVVal
)),"")</f>
        <v/>
      </c>
      <c r="I1029" s="40" t="str">
        <f>_xlfn.XLOOKUP(A1029,Output_Mac!A:A,Output_Mac!I:I,"")</f>
        <v/>
      </c>
      <c r="J1029" s="40" t="str" cm="1">
        <f t="array" ref="J1029">IFERROR(_xlfn.LET(
_xlpm.CSVVal,_xlfn.XLOOKUP($A1029,CSV!$A:$A,CSV!I:I,""),
_xlpm.MacVal,_xlfn.XLOOKUP($A1029,Output_Mac!$A:$A,Output_Mac!J:J,""),
_xlpm.MyAuditVal,_xlfn.XLOOKUP($A1029,My_Audit!$A:$A,My_Audit!I:I,""),
_xlfn.IFS(_xlpm.MyAuditVal&lt;&gt;"",UPPER(_xlpm.MyAuditVal),_xlpm.MacVal&lt;&gt;"",_xlpm.MacVal,_xlpm.CSVVal&lt;&gt;"",_xlpm.CSVVal
)),"")</f>
        <v/>
      </c>
      <c r="K1029" s="40" t="str" cm="1">
        <f t="array" ref="K1029">IFERROR(_xlfn.LET(
_xlpm.CSVVal,_xlfn.XLOOKUP($A1029,CSV!$A:$A,CSV!K:K,""),
_xlpm.MacVal,_xlfn.XLOOKUP($A1029,Output_Mac!$A:$A,Output_Mac!K:K,""),
_xlpm.MyAuditVal,_xlfn.XLOOKUP($A1029,My_Audit!$A:$A,My_Audit!J:J,""),
_xlfn.IFS(_xlpm.MyAuditVal&lt;&gt;"",UPPER(_xlpm.MyAuditVal),_xlpm.MacVal&lt;&gt;"",_xlpm.MacVal,_xlpm.CSVVal&lt;&gt;"",_xlpm.CSVVal
)),"")</f>
        <v/>
      </c>
      <c r="L1029" s="40" t="str" cm="1">
        <f t="array" ref="L1029">IFERROR(_xlfn.LET(
_xlpm.CSVVal,_xlfn.XLOOKUP($A1029,CSV!$A:$A,CSV!P:P,""),
_xlpm.MacVal,_xlfn.XLOOKUP($A1029,Output_Mac!$A:$A,Output_Mac!L:L,""),
_xlpm.MyAuditVal,_xlfn.XLOOKUP($A1029,My_Audit!$A:$A,My_Audit!K:K,""),
_xlfn.IFS(_xlpm.MyAuditVal&lt;&gt;"",UPPER(_xlpm.MyAuditVal),_xlpm.MacVal&lt;&gt;"",_xlpm.MacVal,_xlpm.CSVVal&lt;&gt;"",_xlpm.CSVVal
)),"")</f>
        <v/>
      </c>
      <c r="M1029" s="40" t="str" cm="1">
        <f t="array" ref="M1029">IFERROR(_xlfn.LET(
_xlpm.CSVVal,_xlfn.XLOOKUP($A1029,CSV!$A:$A,CSV!Q:Q,""),
_xlpm.MacVal,_xlfn.XLOOKUP($A1029,Output_Mac!$A:$A,Output_Mac!M:M,""),
_xlpm.MyAuditVal,_xlfn.XLOOKUP($A1029,My_Audit!$A:$A,My_Audit!L:L,""),
_xlfn.IFS(_xlpm.MyAuditVal&lt;&gt;"",UPPER(_xlpm.MyAuditVal),_xlpm.MacVal&lt;&gt;"",_xlpm.MacVal,_xlpm.CSVVal&lt;&gt;"",_xlpm.CSVVal
)),"")</f>
        <v/>
      </c>
      <c r="N1029" s="40"/>
      <c r="O1029" s="40" t="str">
        <f>_xlfn.LET(
    _xlpm.CSVVal, _xlfn.XLOOKUP($A1029, CSV!$A:$A, CSV!AA:AA, ""),
    _xlpm.MacVal, _xlfn.XLOOKUP($A1029, Output_Mac!$A:$A, Output_Mac!S:S, ""),
    _xlpm.MyAuditVal, _xlfn.XLOOKUP($A1029, My_Audit!$A:$A, My_Audit!P:P, ""),
    _xlfn.TEXTJOIN(", ", TRUE, _xlpm.MyAuditVal, _xlpm.MacVal, _xlpm.CSVVal)
)</f>
        <v/>
      </c>
      <c r="P1029" s="40" t="str" cm="1">
        <f t="array" ref="P1029">IFERROR(_xlfn.LET(
_xlpm.CSVVal,_xlfn.XLOOKUP($A1029,CSV!$A:$A,CSV!AB:AB,""),
_xlpm.MacVal,_xlfn.XLOOKUP($A1029,Output_Mac!$A:$A,Output_Mac!T:T,""),
_xlpm.MyAuditVal,_xlfn.XLOOKUP($A1029,My_Audit!$A:$A,My_Audit!Q:Q,""),
_xlfn.IFS(_xlpm.MyAuditVal&lt;&gt;"",UPPER(_xlpm.MyAuditVal),_xlpm.MacVal&lt;&gt;"",_xlpm.MacVal,_xlpm.CSVVal&lt;&gt;"",_xlpm.CSVVal
)),"No")</f>
        <v>No</v>
      </c>
      <c r="Q1029" s="40" t="str" cm="1">
        <f t="array" ref="Q1029">IFERROR(_xlfn.LET(
_xlpm.CSVVal,_xlfn.XLOOKUP($A1029,CSV!$A:$A,CSV!AC:AC,""),
_xlpm.MacVal,_xlfn.XLOOKUP($A1029,Output_Mac!$A:$A,Output_Mac!U:U,""),
_xlpm.MyAuditVal,_xlfn.XLOOKUP($A1029,My_Audit!$A:$A,My_Audit!R:R,""),
_xlfn.IFS(_xlpm.MyAuditVal&lt;&gt;"",UPPER(_xlpm.MyAuditVal),_xlpm.MacVal&lt;&gt;"",_xlpm.MacVal,_xlpm.CSVVal&lt;&gt;"",_xlpm.CSVVal
)),"")</f>
        <v/>
      </c>
      <c r="R1029" s="40"/>
      <c r="S1029" s="40"/>
      <c r="T1029" s="40"/>
      <c r="U1029" s="40"/>
      <c r="V1029" s="40"/>
      <c r="W1029" s="40"/>
      <c r="X1029" s="41" t="str">
        <f>_xlfn.LET(
    _xlpm.MacVal, _xlfn.XLOOKUP($A1029, Output_Mac!$A:$A, Output_Mac!AB:AB, ""),
    _xlpm.MyAuditVal, _xlfn.XLOOKUP($A1029, My_Audit!$A:$A, My_Audit!N:N, ""),
    _xlfn.TEXTJOIN(", ", TRUE, _xlpm.MyAuditVal, _xlpm.MacVal)
)</f>
        <v/>
      </c>
    </row>
    <row r="1030" spans="1:24">
      <c r="A1030" s="40" t="str">
        <f>_xlfn.TEXTJOIN("",TRUE,Input!$B$2,ROW(My_Audit!A1029))</f>
        <v>X1029</v>
      </c>
      <c r="B1030" s="40" t="str">
        <f>_xlfn.TEXTJOIN("-",TRUE,"ITD",Input!$A$2,A1030)</f>
        <v>ITD-X1029</v>
      </c>
      <c r="C1030" s="40" t="str" cm="1">
        <f t="array" ref="C1030">IFERROR(_xlfn.LET(
_xlpm.CSVVal,_xlfn.XLOOKUP($A1030,CSV!$A:$A,CSV!B:B,""),
_xlpm.MacVal,_xlfn.XLOOKUP($A1030,Output_Mac!$A:$A,Output_Mac!B:B,""),
_xlpm.MyAuditVal,_xlfn.XLOOKUP($A1030,My_Audit!$A:$A,My_Audit!B:B,""),
_xlfn.IFS(_xlpm.MyAuditVal&lt;&gt;"",UPPER(_xlpm.MyAuditVal),_xlpm.MacVal&lt;&gt;"",_xlpm.MacVal,_xlpm.CSVVal&lt;&gt;"",_xlpm.CSVVal
)),"")</f>
        <v/>
      </c>
      <c r="D1030" s="40" t="str" cm="1">
        <f t="array" ref="D1030">IFERROR(_xlfn.LET(
_xlpm.CSVVal,_xlfn.XLOOKUP($A1030,CSV!$A:$A,CSV!D:D,""),
_xlpm.MacVal,_xlfn.XLOOKUP($A1030,Output_Mac!$A:$A,Output_Mac!C:C,""),
_xlpm.MyAuditVal,_xlfn.XLOOKUP($A1030,My_Audit!$A:$A,My_Audit!C:C,""),
_xlfn.IFS(_xlpm.MyAuditVal&lt;&gt;"",_xlpm.MyAuditVal,_xlpm.MacVal&lt;&gt;"",_xlpm.MacVal,_xlpm.CSVVal&lt;&gt;"",_xlpm.CSVVal
)),"")</f>
        <v/>
      </c>
      <c r="E1030" s="40" t="str">
        <f>_xlfn.XLOOKUP(A1030,My_Audit!A:A,My_Audit!D:D,"")</f>
        <v/>
      </c>
      <c r="F1030" s="40" t="str" cm="1">
        <f t="array" ref="F1030">IFERROR(_xlfn.LET(
_xlpm.CSVVal,_xlfn.XLOOKUP($A1030,CSV!$A:$A,CSV!F:F,""),
_xlpm.MacVal,_xlfn.XLOOKUP($A1030,Output_Mac!$A:$A,Output_Mac!E:E,""),
_xlpm.MyAuditVal,_xlfn.XLOOKUP($A1030,My_Audit!$A:$A,My_Audit!E:E,""),
_xlfn.IFS(_xlpm.MyAuditVal&lt;&gt;"",_xlpm.MyAuditVal,_xlpm.MacVal&lt;&gt;"",_xlpm.MacVal,_xlpm.CSVVal&lt;&gt;"",_xlpm.CSVVal
)),"")</f>
        <v/>
      </c>
      <c r="G1030" s="40" t="str" cm="1">
        <f t="array" ref="G1030">IFERROR(_xlfn.LET(
_xlpm.CSVVal,_xlfn.XLOOKUP($A1030,CSV!$A:$A,CSV!G:G,""),
_xlpm.MacVal,_xlfn.XLOOKUP($A1030,Output_Mac!$A:$A,Output_Mac!F:F,""),
_xlpm.MyAuditVal,_xlfn.XLOOKUP($A1030,My_Audit!$A:$A,My_Audit!F:F,""),
_xlfn.IFS(_xlpm.MyAuditVal&lt;&gt;"",_xlpm.MyAuditVal,_xlpm.MacVal&lt;&gt;"",_xlpm.MacVal,_xlpm.CSVVal&lt;&gt;"",PROPER(_xlpm.CSVVal)
)),"")</f>
        <v/>
      </c>
      <c r="H1030" s="40" t="str" cm="1">
        <f t="array" ref="H1030">IFERROR(_xlfn.LET(
_xlpm.CSVVal,_xlfn.XLOOKUP($A1030,CSV!$A:$A,CSV!H:H,""),
_xlpm.MacVal,_xlfn.XLOOKUP($A1030,Output_Mac!$A:$A,Output_Mac!H:H,""),
_xlpm.MyAuditVal,_xlfn.XLOOKUP($A1030,My_Audit!$A:$A,My_Audit!G:G,""),
_xlfn.IFS(_xlpm.MyAuditVal&lt;&gt;"",_xlpm.MyAuditVal,_xlpm.MacVal&lt;&gt;"",_xlpm.MacVal,_xlpm.CSVVal&lt;&gt;"",_xlpm.CSVVal
)),"")</f>
        <v/>
      </c>
      <c r="I1030" s="40" t="str">
        <f>_xlfn.XLOOKUP(A1030,Output_Mac!A:A,Output_Mac!I:I,"")</f>
        <v/>
      </c>
      <c r="J1030" s="40" t="str" cm="1">
        <f t="array" ref="J1030">IFERROR(_xlfn.LET(
_xlpm.CSVVal,_xlfn.XLOOKUP($A1030,CSV!$A:$A,CSV!I:I,""),
_xlpm.MacVal,_xlfn.XLOOKUP($A1030,Output_Mac!$A:$A,Output_Mac!J:J,""),
_xlpm.MyAuditVal,_xlfn.XLOOKUP($A1030,My_Audit!$A:$A,My_Audit!I:I,""),
_xlfn.IFS(_xlpm.MyAuditVal&lt;&gt;"",UPPER(_xlpm.MyAuditVal),_xlpm.MacVal&lt;&gt;"",_xlpm.MacVal,_xlpm.CSVVal&lt;&gt;"",_xlpm.CSVVal
)),"")</f>
        <v/>
      </c>
      <c r="K1030" s="40" t="str" cm="1">
        <f t="array" ref="K1030">IFERROR(_xlfn.LET(
_xlpm.CSVVal,_xlfn.XLOOKUP($A1030,CSV!$A:$A,CSV!K:K,""),
_xlpm.MacVal,_xlfn.XLOOKUP($A1030,Output_Mac!$A:$A,Output_Mac!K:K,""),
_xlpm.MyAuditVal,_xlfn.XLOOKUP($A1030,My_Audit!$A:$A,My_Audit!J:J,""),
_xlfn.IFS(_xlpm.MyAuditVal&lt;&gt;"",UPPER(_xlpm.MyAuditVal),_xlpm.MacVal&lt;&gt;"",_xlpm.MacVal,_xlpm.CSVVal&lt;&gt;"",_xlpm.CSVVal
)),"")</f>
        <v/>
      </c>
      <c r="L1030" s="40" t="str" cm="1">
        <f t="array" ref="L1030">IFERROR(_xlfn.LET(
_xlpm.CSVVal,_xlfn.XLOOKUP($A1030,CSV!$A:$A,CSV!P:P,""),
_xlpm.MacVal,_xlfn.XLOOKUP($A1030,Output_Mac!$A:$A,Output_Mac!L:L,""),
_xlpm.MyAuditVal,_xlfn.XLOOKUP($A1030,My_Audit!$A:$A,My_Audit!K:K,""),
_xlfn.IFS(_xlpm.MyAuditVal&lt;&gt;"",UPPER(_xlpm.MyAuditVal),_xlpm.MacVal&lt;&gt;"",_xlpm.MacVal,_xlpm.CSVVal&lt;&gt;"",_xlpm.CSVVal
)),"")</f>
        <v/>
      </c>
      <c r="M1030" s="40" t="str" cm="1">
        <f t="array" ref="M1030">IFERROR(_xlfn.LET(
_xlpm.CSVVal,_xlfn.XLOOKUP($A1030,CSV!$A:$A,CSV!Q:Q,""),
_xlpm.MacVal,_xlfn.XLOOKUP($A1030,Output_Mac!$A:$A,Output_Mac!M:M,""),
_xlpm.MyAuditVal,_xlfn.XLOOKUP($A1030,My_Audit!$A:$A,My_Audit!L:L,""),
_xlfn.IFS(_xlpm.MyAuditVal&lt;&gt;"",UPPER(_xlpm.MyAuditVal),_xlpm.MacVal&lt;&gt;"",_xlpm.MacVal,_xlpm.CSVVal&lt;&gt;"",_xlpm.CSVVal
)),"")</f>
        <v/>
      </c>
      <c r="N1030" s="40"/>
      <c r="O1030" s="40" t="str">
        <f>_xlfn.LET(
    _xlpm.CSVVal, _xlfn.XLOOKUP($A1030, CSV!$A:$A, CSV!AA:AA, ""),
    _xlpm.MacVal, _xlfn.XLOOKUP($A1030, Output_Mac!$A:$A, Output_Mac!S:S, ""),
    _xlpm.MyAuditVal, _xlfn.XLOOKUP($A1030, My_Audit!$A:$A, My_Audit!P:P, ""),
    _xlfn.TEXTJOIN(", ", TRUE, _xlpm.MyAuditVal, _xlpm.MacVal, _xlpm.CSVVal)
)</f>
        <v/>
      </c>
      <c r="P1030" s="40" t="str" cm="1">
        <f t="array" ref="P1030">IFERROR(_xlfn.LET(
_xlpm.CSVVal,_xlfn.XLOOKUP($A1030,CSV!$A:$A,CSV!AB:AB,""),
_xlpm.MacVal,_xlfn.XLOOKUP($A1030,Output_Mac!$A:$A,Output_Mac!T:T,""),
_xlpm.MyAuditVal,_xlfn.XLOOKUP($A1030,My_Audit!$A:$A,My_Audit!Q:Q,""),
_xlfn.IFS(_xlpm.MyAuditVal&lt;&gt;"",UPPER(_xlpm.MyAuditVal),_xlpm.MacVal&lt;&gt;"",_xlpm.MacVal,_xlpm.CSVVal&lt;&gt;"",_xlpm.CSVVal
)),"No")</f>
        <v>No</v>
      </c>
      <c r="Q1030" s="40" t="str" cm="1">
        <f t="array" ref="Q1030">IFERROR(_xlfn.LET(
_xlpm.CSVVal,_xlfn.XLOOKUP($A1030,CSV!$A:$A,CSV!AC:AC,""),
_xlpm.MacVal,_xlfn.XLOOKUP($A1030,Output_Mac!$A:$A,Output_Mac!U:U,""),
_xlpm.MyAuditVal,_xlfn.XLOOKUP($A1030,My_Audit!$A:$A,My_Audit!R:R,""),
_xlfn.IFS(_xlpm.MyAuditVal&lt;&gt;"",UPPER(_xlpm.MyAuditVal),_xlpm.MacVal&lt;&gt;"",_xlpm.MacVal,_xlpm.CSVVal&lt;&gt;"",_xlpm.CSVVal
)),"")</f>
        <v/>
      </c>
      <c r="R1030" s="40"/>
      <c r="S1030" s="40"/>
      <c r="T1030" s="40"/>
      <c r="U1030" s="40"/>
      <c r="V1030" s="40"/>
      <c r="W1030" s="40"/>
      <c r="X1030" s="41" t="str">
        <f>_xlfn.LET(
    _xlpm.MacVal, _xlfn.XLOOKUP($A1030, Output_Mac!$A:$A, Output_Mac!AB:AB, ""),
    _xlpm.MyAuditVal, _xlfn.XLOOKUP($A1030, My_Audit!$A:$A, My_Audit!N:N, ""),
    _xlfn.TEXTJOIN(", ", TRUE, _xlpm.MyAuditVal, _xlpm.MacVal)
)</f>
        <v/>
      </c>
    </row>
    <row r="1031" spans="1:24">
      <c r="A1031" s="40" t="str">
        <f>_xlfn.TEXTJOIN("",TRUE,Input!$B$2,ROW(My_Audit!A1030))</f>
        <v>X1030</v>
      </c>
      <c r="B1031" s="40" t="str">
        <f>_xlfn.TEXTJOIN("-",TRUE,"ITD",Input!$A$2,A1031)</f>
        <v>ITD-X1030</v>
      </c>
      <c r="C1031" s="40" t="str" cm="1">
        <f t="array" ref="C1031">IFERROR(_xlfn.LET(
_xlpm.CSVVal,_xlfn.XLOOKUP($A1031,CSV!$A:$A,CSV!B:B,""),
_xlpm.MacVal,_xlfn.XLOOKUP($A1031,Output_Mac!$A:$A,Output_Mac!B:B,""),
_xlpm.MyAuditVal,_xlfn.XLOOKUP($A1031,My_Audit!$A:$A,My_Audit!B:B,""),
_xlfn.IFS(_xlpm.MyAuditVal&lt;&gt;"",UPPER(_xlpm.MyAuditVal),_xlpm.MacVal&lt;&gt;"",_xlpm.MacVal,_xlpm.CSVVal&lt;&gt;"",_xlpm.CSVVal
)),"")</f>
        <v/>
      </c>
      <c r="D1031" s="40" t="str" cm="1">
        <f t="array" ref="D1031">IFERROR(_xlfn.LET(
_xlpm.CSVVal,_xlfn.XLOOKUP($A1031,CSV!$A:$A,CSV!D:D,""),
_xlpm.MacVal,_xlfn.XLOOKUP($A1031,Output_Mac!$A:$A,Output_Mac!C:C,""),
_xlpm.MyAuditVal,_xlfn.XLOOKUP($A1031,My_Audit!$A:$A,My_Audit!C:C,""),
_xlfn.IFS(_xlpm.MyAuditVal&lt;&gt;"",_xlpm.MyAuditVal,_xlpm.MacVal&lt;&gt;"",_xlpm.MacVal,_xlpm.CSVVal&lt;&gt;"",_xlpm.CSVVal
)),"")</f>
        <v/>
      </c>
      <c r="E1031" s="40" t="str">
        <f>_xlfn.XLOOKUP(A1031,My_Audit!A:A,My_Audit!D:D,"")</f>
        <v/>
      </c>
      <c r="F1031" s="40" t="str" cm="1">
        <f t="array" ref="F1031">IFERROR(_xlfn.LET(
_xlpm.CSVVal,_xlfn.XLOOKUP($A1031,CSV!$A:$A,CSV!F:F,""),
_xlpm.MacVal,_xlfn.XLOOKUP($A1031,Output_Mac!$A:$A,Output_Mac!E:E,""),
_xlpm.MyAuditVal,_xlfn.XLOOKUP($A1031,My_Audit!$A:$A,My_Audit!E:E,""),
_xlfn.IFS(_xlpm.MyAuditVal&lt;&gt;"",_xlpm.MyAuditVal,_xlpm.MacVal&lt;&gt;"",_xlpm.MacVal,_xlpm.CSVVal&lt;&gt;"",_xlpm.CSVVal
)),"")</f>
        <v/>
      </c>
      <c r="G1031" s="40" t="str" cm="1">
        <f t="array" ref="G1031">IFERROR(_xlfn.LET(
_xlpm.CSVVal,_xlfn.XLOOKUP($A1031,CSV!$A:$A,CSV!G:G,""),
_xlpm.MacVal,_xlfn.XLOOKUP($A1031,Output_Mac!$A:$A,Output_Mac!F:F,""),
_xlpm.MyAuditVal,_xlfn.XLOOKUP($A1031,My_Audit!$A:$A,My_Audit!F:F,""),
_xlfn.IFS(_xlpm.MyAuditVal&lt;&gt;"",_xlpm.MyAuditVal,_xlpm.MacVal&lt;&gt;"",_xlpm.MacVal,_xlpm.CSVVal&lt;&gt;"",PROPER(_xlpm.CSVVal)
)),"")</f>
        <v/>
      </c>
      <c r="H1031" s="40" t="str" cm="1">
        <f t="array" ref="H1031">IFERROR(_xlfn.LET(
_xlpm.CSVVal,_xlfn.XLOOKUP($A1031,CSV!$A:$A,CSV!H:H,""),
_xlpm.MacVal,_xlfn.XLOOKUP($A1031,Output_Mac!$A:$A,Output_Mac!H:H,""),
_xlpm.MyAuditVal,_xlfn.XLOOKUP($A1031,My_Audit!$A:$A,My_Audit!G:G,""),
_xlfn.IFS(_xlpm.MyAuditVal&lt;&gt;"",_xlpm.MyAuditVal,_xlpm.MacVal&lt;&gt;"",_xlpm.MacVal,_xlpm.CSVVal&lt;&gt;"",_xlpm.CSVVal
)),"")</f>
        <v/>
      </c>
      <c r="I1031" s="40" t="str">
        <f>_xlfn.XLOOKUP(A1031,Output_Mac!A:A,Output_Mac!I:I,"")</f>
        <v/>
      </c>
      <c r="J1031" s="40" t="str" cm="1">
        <f t="array" ref="J1031">IFERROR(_xlfn.LET(
_xlpm.CSVVal,_xlfn.XLOOKUP($A1031,CSV!$A:$A,CSV!I:I,""),
_xlpm.MacVal,_xlfn.XLOOKUP($A1031,Output_Mac!$A:$A,Output_Mac!J:J,""),
_xlpm.MyAuditVal,_xlfn.XLOOKUP($A1031,My_Audit!$A:$A,My_Audit!I:I,""),
_xlfn.IFS(_xlpm.MyAuditVal&lt;&gt;"",UPPER(_xlpm.MyAuditVal),_xlpm.MacVal&lt;&gt;"",_xlpm.MacVal,_xlpm.CSVVal&lt;&gt;"",_xlpm.CSVVal
)),"")</f>
        <v/>
      </c>
      <c r="K1031" s="40" t="str" cm="1">
        <f t="array" ref="K1031">IFERROR(_xlfn.LET(
_xlpm.CSVVal,_xlfn.XLOOKUP($A1031,CSV!$A:$A,CSV!K:K,""),
_xlpm.MacVal,_xlfn.XLOOKUP($A1031,Output_Mac!$A:$A,Output_Mac!K:K,""),
_xlpm.MyAuditVal,_xlfn.XLOOKUP($A1031,My_Audit!$A:$A,My_Audit!J:J,""),
_xlfn.IFS(_xlpm.MyAuditVal&lt;&gt;"",UPPER(_xlpm.MyAuditVal),_xlpm.MacVal&lt;&gt;"",_xlpm.MacVal,_xlpm.CSVVal&lt;&gt;"",_xlpm.CSVVal
)),"")</f>
        <v/>
      </c>
      <c r="L1031" s="40" t="str" cm="1">
        <f t="array" ref="L1031">IFERROR(_xlfn.LET(
_xlpm.CSVVal,_xlfn.XLOOKUP($A1031,CSV!$A:$A,CSV!P:P,""),
_xlpm.MacVal,_xlfn.XLOOKUP($A1031,Output_Mac!$A:$A,Output_Mac!L:L,""),
_xlpm.MyAuditVal,_xlfn.XLOOKUP($A1031,My_Audit!$A:$A,My_Audit!K:K,""),
_xlfn.IFS(_xlpm.MyAuditVal&lt;&gt;"",UPPER(_xlpm.MyAuditVal),_xlpm.MacVal&lt;&gt;"",_xlpm.MacVal,_xlpm.CSVVal&lt;&gt;"",_xlpm.CSVVal
)),"")</f>
        <v/>
      </c>
      <c r="M1031" s="40" t="str" cm="1">
        <f t="array" ref="M1031">IFERROR(_xlfn.LET(
_xlpm.CSVVal,_xlfn.XLOOKUP($A1031,CSV!$A:$A,CSV!Q:Q,""),
_xlpm.MacVal,_xlfn.XLOOKUP($A1031,Output_Mac!$A:$A,Output_Mac!M:M,""),
_xlpm.MyAuditVal,_xlfn.XLOOKUP($A1031,My_Audit!$A:$A,My_Audit!L:L,""),
_xlfn.IFS(_xlpm.MyAuditVal&lt;&gt;"",UPPER(_xlpm.MyAuditVal),_xlpm.MacVal&lt;&gt;"",_xlpm.MacVal,_xlpm.CSVVal&lt;&gt;"",_xlpm.CSVVal
)),"")</f>
        <v/>
      </c>
      <c r="N1031" s="40"/>
      <c r="O1031" s="40" t="str">
        <f>_xlfn.LET(
    _xlpm.CSVVal, _xlfn.XLOOKUP($A1031, CSV!$A:$A, CSV!AA:AA, ""),
    _xlpm.MacVal, _xlfn.XLOOKUP($A1031, Output_Mac!$A:$A, Output_Mac!S:S, ""),
    _xlpm.MyAuditVal, _xlfn.XLOOKUP($A1031, My_Audit!$A:$A, My_Audit!P:P, ""),
    _xlfn.TEXTJOIN(", ", TRUE, _xlpm.MyAuditVal, _xlpm.MacVal, _xlpm.CSVVal)
)</f>
        <v/>
      </c>
      <c r="P1031" s="40" t="str" cm="1">
        <f t="array" ref="P1031">IFERROR(_xlfn.LET(
_xlpm.CSVVal,_xlfn.XLOOKUP($A1031,CSV!$A:$A,CSV!AB:AB,""),
_xlpm.MacVal,_xlfn.XLOOKUP($A1031,Output_Mac!$A:$A,Output_Mac!T:T,""),
_xlpm.MyAuditVal,_xlfn.XLOOKUP($A1031,My_Audit!$A:$A,My_Audit!Q:Q,""),
_xlfn.IFS(_xlpm.MyAuditVal&lt;&gt;"",UPPER(_xlpm.MyAuditVal),_xlpm.MacVal&lt;&gt;"",_xlpm.MacVal,_xlpm.CSVVal&lt;&gt;"",_xlpm.CSVVal
)),"No")</f>
        <v>No</v>
      </c>
      <c r="Q1031" s="40" t="str" cm="1">
        <f t="array" ref="Q1031">IFERROR(_xlfn.LET(
_xlpm.CSVVal,_xlfn.XLOOKUP($A1031,CSV!$A:$A,CSV!AC:AC,""),
_xlpm.MacVal,_xlfn.XLOOKUP($A1031,Output_Mac!$A:$A,Output_Mac!U:U,""),
_xlpm.MyAuditVal,_xlfn.XLOOKUP($A1031,My_Audit!$A:$A,My_Audit!R:R,""),
_xlfn.IFS(_xlpm.MyAuditVal&lt;&gt;"",UPPER(_xlpm.MyAuditVal),_xlpm.MacVal&lt;&gt;"",_xlpm.MacVal,_xlpm.CSVVal&lt;&gt;"",_xlpm.CSVVal
)),"")</f>
        <v/>
      </c>
      <c r="R1031" s="40"/>
      <c r="S1031" s="40"/>
      <c r="T1031" s="40"/>
      <c r="U1031" s="40"/>
      <c r="V1031" s="40"/>
      <c r="W1031" s="40"/>
      <c r="X1031" s="41" t="str">
        <f>_xlfn.LET(
    _xlpm.MacVal, _xlfn.XLOOKUP($A1031, Output_Mac!$A:$A, Output_Mac!AB:AB, ""),
    _xlpm.MyAuditVal, _xlfn.XLOOKUP($A1031, My_Audit!$A:$A, My_Audit!N:N, ""),
    _xlfn.TEXTJOIN(", ", TRUE, _xlpm.MyAuditVal, _xlpm.MacVal)
)</f>
        <v/>
      </c>
    </row>
    <row r="1032" spans="1:24">
      <c r="A1032" s="40" t="str">
        <f>_xlfn.TEXTJOIN("",TRUE,Input!$B$2,ROW(My_Audit!A1031))</f>
        <v>X1031</v>
      </c>
      <c r="B1032" s="40" t="str">
        <f>_xlfn.TEXTJOIN("-",TRUE,"ITD",Input!$A$2,A1032)</f>
        <v>ITD-X1031</v>
      </c>
      <c r="C1032" s="40" t="str" cm="1">
        <f t="array" ref="C1032">IFERROR(_xlfn.LET(
_xlpm.CSVVal,_xlfn.XLOOKUP($A1032,CSV!$A:$A,CSV!B:B,""),
_xlpm.MacVal,_xlfn.XLOOKUP($A1032,Output_Mac!$A:$A,Output_Mac!B:B,""),
_xlpm.MyAuditVal,_xlfn.XLOOKUP($A1032,My_Audit!$A:$A,My_Audit!B:B,""),
_xlfn.IFS(_xlpm.MyAuditVal&lt;&gt;"",UPPER(_xlpm.MyAuditVal),_xlpm.MacVal&lt;&gt;"",_xlpm.MacVal,_xlpm.CSVVal&lt;&gt;"",_xlpm.CSVVal
)),"")</f>
        <v/>
      </c>
      <c r="D1032" s="40" t="str" cm="1">
        <f t="array" ref="D1032">IFERROR(_xlfn.LET(
_xlpm.CSVVal,_xlfn.XLOOKUP($A1032,CSV!$A:$A,CSV!D:D,""),
_xlpm.MacVal,_xlfn.XLOOKUP($A1032,Output_Mac!$A:$A,Output_Mac!C:C,""),
_xlpm.MyAuditVal,_xlfn.XLOOKUP($A1032,My_Audit!$A:$A,My_Audit!C:C,""),
_xlfn.IFS(_xlpm.MyAuditVal&lt;&gt;"",_xlpm.MyAuditVal,_xlpm.MacVal&lt;&gt;"",_xlpm.MacVal,_xlpm.CSVVal&lt;&gt;"",_xlpm.CSVVal
)),"")</f>
        <v/>
      </c>
      <c r="E1032" s="40" t="str">
        <f>_xlfn.XLOOKUP(A1032,My_Audit!A:A,My_Audit!D:D,"")</f>
        <v/>
      </c>
      <c r="F1032" s="40" t="str" cm="1">
        <f t="array" ref="F1032">IFERROR(_xlfn.LET(
_xlpm.CSVVal,_xlfn.XLOOKUP($A1032,CSV!$A:$A,CSV!F:F,""),
_xlpm.MacVal,_xlfn.XLOOKUP($A1032,Output_Mac!$A:$A,Output_Mac!E:E,""),
_xlpm.MyAuditVal,_xlfn.XLOOKUP($A1032,My_Audit!$A:$A,My_Audit!E:E,""),
_xlfn.IFS(_xlpm.MyAuditVal&lt;&gt;"",_xlpm.MyAuditVal,_xlpm.MacVal&lt;&gt;"",_xlpm.MacVal,_xlpm.CSVVal&lt;&gt;"",_xlpm.CSVVal
)),"")</f>
        <v/>
      </c>
      <c r="G1032" s="40" t="str" cm="1">
        <f t="array" ref="G1032">IFERROR(_xlfn.LET(
_xlpm.CSVVal,_xlfn.XLOOKUP($A1032,CSV!$A:$A,CSV!G:G,""),
_xlpm.MacVal,_xlfn.XLOOKUP($A1032,Output_Mac!$A:$A,Output_Mac!F:F,""),
_xlpm.MyAuditVal,_xlfn.XLOOKUP($A1032,My_Audit!$A:$A,My_Audit!F:F,""),
_xlfn.IFS(_xlpm.MyAuditVal&lt;&gt;"",_xlpm.MyAuditVal,_xlpm.MacVal&lt;&gt;"",_xlpm.MacVal,_xlpm.CSVVal&lt;&gt;"",PROPER(_xlpm.CSVVal)
)),"")</f>
        <v/>
      </c>
      <c r="H1032" s="40" t="str" cm="1">
        <f t="array" ref="H1032">IFERROR(_xlfn.LET(
_xlpm.CSVVal,_xlfn.XLOOKUP($A1032,CSV!$A:$A,CSV!H:H,""),
_xlpm.MacVal,_xlfn.XLOOKUP($A1032,Output_Mac!$A:$A,Output_Mac!H:H,""),
_xlpm.MyAuditVal,_xlfn.XLOOKUP($A1032,My_Audit!$A:$A,My_Audit!G:G,""),
_xlfn.IFS(_xlpm.MyAuditVal&lt;&gt;"",_xlpm.MyAuditVal,_xlpm.MacVal&lt;&gt;"",_xlpm.MacVal,_xlpm.CSVVal&lt;&gt;"",_xlpm.CSVVal
)),"")</f>
        <v/>
      </c>
      <c r="I1032" s="40" t="str">
        <f>_xlfn.XLOOKUP(A1032,Output_Mac!A:A,Output_Mac!I:I,"")</f>
        <v/>
      </c>
      <c r="J1032" s="40" t="str" cm="1">
        <f t="array" ref="J1032">IFERROR(_xlfn.LET(
_xlpm.CSVVal,_xlfn.XLOOKUP($A1032,CSV!$A:$A,CSV!I:I,""),
_xlpm.MacVal,_xlfn.XLOOKUP($A1032,Output_Mac!$A:$A,Output_Mac!J:J,""),
_xlpm.MyAuditVal,_xlfn.XLOOKUP($A1032,My_Audit!$A:$A,My_Audit!I:I,""),
_xlfn.IFS(_xlpm.MyAuditVal&lt;&gt;"",UPPER(_xlpm.MyAuditVal),_xlpm.MacVal&lt;&gt;"",_xlpm.MacVal,_xlpm.CSVVal&lt;&gt;"",_xlpm.CSVVal
)),"")</f>
        <v/>
      </c>
      <c r="K1032" s="40" t="str" cm="1">
        <f t="array" ref="K1032">IFERROR(_xlfn.LET(
_xlpm.CSVVal,_xlfn.XLOOKUP($A1032,CSV!$A:$A,CSV!K:K,""),
_xlpm.MacVal,_xlfn.XLOOKUP($A1032,Output_Mac!$A:$A,Output_Mac!K:K,""),
_xlpm.MyAuditVal,_xlfn.XLOOKUP($A1032,My_Audit!$A:$A,My_Audit!J:J,""),
_xlfn.IFS(_xlpm.MyAuditVal&lt;&gt;"",UPPER(_xlpm.MyAuditVal),_xlpm.MacVal&lt;&gt;"",_xlpm.MacVal,_xlpm.CSVVal&lt;&gt;"",_xlpm.CSVVal
)),"")</f>
        <v/>
      </c>
      <c r="L1032" s="40" t="str" cm="1">
        <f t="array" ref="L1032">IFERROR(_xlfn.LET(
_xlpm.CSVVal,_xlfn.XLOOKUP($A1032,CSV!$A:$A,CSV!P:P,""),
_xlpm.MacVal,_xlfn.XLOOKUP($A1032,Output_Mac!$A:$A,Output_Mac!L:L,""),
_xlpm.MyAuditVal,_xlfn.XLOOKUP($A1032,My_Audit!$A:$A,My_Audit!K:K,""),
_xlfn.IFS(_xlpm.MyAuditVal&lt;&gt;"",UPPER(_xlpm.MyAuditVal),_xlpm.MacVal&lt;&gt;"",_xlpm.MacVal,_xlpm.CSVVal&lt;&gt;"",_xlpm.CSVVal
)),"")</f>
        <v/>
      </c>
      <c r="M1032" s="40" t="str" cm="1">
        <f t="array" ref="M1032">IFERROR(_xlfn.LET(
_xlpm.CSVVal,_xlfn.XLOOKUP($A1032,CSV!$A:$A,CSV!Q:Q,""),
_xlpm.MacVal,_xlfn.XLOOKUP($A1032,Output_Mac!$A:$A,Output_Mac!M:M,""),
_xlpm.MyAuditVal,_xlfn.XLOOKUP($A1032,My_Audit!$A:$A,My_Audit!L:L,""),
_xlfn.IFS(_xlpm.MyAuditVal&lt;&gt;"",UPPER(_xlpm.MyAuditVal),_xlpm.MacVal&lt;&gt;"",_xlpm.MacVal,_xlpm.CSVVal&lt;&gt;"",_xlpm.CSVVal
)),"")</f>
        <v/>
      </c>
      <c r="N1032" s="40"/>
      <c r="O1032" s="40" t="str">
        <f>_xlfn.LET(
    _xlpm.CSVVal, _xlfn.XLOOKUP($A1032, CSV!$A:$A, CSV!AA:AA, ""),
    _xlpm.MacVal, _xlfn.XLOOKUP($A1032, Output_Mac!$A:$A, Output_Mac!S:S, ""),
    _xlpm.MyAuditVal, _xlfn.XLOOKUP($A1032, My_Audit!$A:$A, My_Audit!P:P, ""),
    _xlfn.TEXTJOIN(", ", TRUE, _xlpm.MyAuditVal, _xlpm.MacVal, _xlpm.CSVVal)
)</f>
        <v/>
      </c>
      <c r="P1032" s="40" t="str" cm="1">
        <f t="array" ref="P1032">IFERROR(_xlfn.LET(
_xlpm.CSVVal,_xlfn.XLOOKUP($A1032,CSV!$A:$A,CSV!AB:AB,""),
_xlpm.MacVal,_xlfn.XLOOKUP($A1032,Output_Mac!$A:$A,Output_Mac!T:T,""),
_xlpm.MyAuditVal,_xlfn.XLOOKUP($A1032,My_Audit!$A:$A,My_Audit!Q:Q,""),
_xlfn.IFS(_xlpm.MyAuditVal&lt;&gt;"",UPPER(_xlpm.MyAuditVal),_xlpm.MacVal&lt;&gt;"",_xlpm.MacVal,_xlpm.CSVVal&lt;&gt;"",_xlpm.CSVVal
)),"No")</f>
        <v>No</v>
      </c>
      <c r="Q1032" s="40" t="str" cm="1">
        <f t="array" ref="Q1032">IFERROR(_xlfn.LET(
_xlpm.CSVVal,_xlfn.XLOOKUP($A1032,CSV!$A:$A,CSV!AC:AC,""),
_xlpm.MacVal,_xlfn.XLOOKUP($A1032,Output_Mac!$A:$A,Output_Mac!U:U,""),
_xlpm.MyAuditVal,_xlfn.XLOOKUP($A1032,My_Audit!$A:$A,My_Audit!R:R,""),
_xlfn.IFS(_xlpm.MyAuditVal&lt;&gt;"",UPPER(_xlpm.MyAuditVal),_xlpm.MacVal&lt;&gt;"",_xlpm.MacVal,_xlpm.CSVVal&lt;&gt;"",_xlpm.CSVVal
)),"")</f>
        <v/>
      </c>
      <c r="R1032" s="40"/>
      <c r="S1032" s="40"/>
      <c r="T1032" s="40"/>
      <c r="U1032" s="40"/>
      <c r="V1032" s="40"/>
      <c r="W1032" s="40"/>
      <c r="X1032" s="41" t="str">
        <f>_xlfn.LET(
    _xlpm.MacVal, _xlfn.XLOOKUP($A1032, Output_Mac!$A:$A, Output_Mac!AB:AB, ""),
    _xlpm.MyAuditVal, _xlfn.XLOOKUP($A1032, My_Audit!$A:$A, My_Audit!N:N, ""),
    _xlfn.TEXTJOIN(", ", TRUE, _xlpm.MyAuditVal, _xlpm.MacVal)
)</f>
        <v/>
      </c>
    </row>
    <row r="1033" spans="1:24">
      <c r="A1033" s="40" t="str">
        <f>_xlfn.TEXTJOIN("",TRUE,Input!$B$2,ROW(My_Audit!A1032))</f>
        <v>X1032</v>
      </c>
      <c r="B1033" s="40" t="str">
        <f>_xlfn.TEXTJOIN("-",TRUE,"ITD",Input!$A$2,A1033)</f>
        <v>ITD-X1032</v>
      </c>
      <c r="C1033" s="40" t="str" cm="1">
        <f t="array" ref="C1033">IFERROR(_xlfn.LET(
_xlpm.CSVVal,_xlfn.XLOOKUP($A1033,CSV!$A:$A,CSV!B:B,""),
_xlpm.MacVal,_xlfn.XLOOKUP($A1033,Output_Mac!$A:$A,Output_Mac!B:B,""),
_xlpm.MyAuditVal,_xlfn.XLOOKUP($A1033,My_Audit!$A:$A,My_Audit!B:B,""),
_xlfn.IFS(_xlpm.MyAuditVal&lt;&gt;"",UPPER(_xlpm.MyAuditVal),_xlpm.MacVal&lt;&gt;"",_xlpm.MacVal,_xlpm.CSVVal&lt;&gt;"",_xlpm.CSVVal
)),"")</f>
        <v/>
      </c>
      <c r="D1033" s="40" t="str" cm="1">
        <f t="array" ref="D1033">IFERROR(_xlfn.LET(
_xlpm.CSVVal,_xlfn.XLOOKUP($A1033,CSV!$A:$A,CSV!D:D,""),
_xlpm.MacVal,_xlfn.XLOOKUP($A1033,Output_Mac!$A:$A,Output_Mac!C:C,""),
_xlpm.MyAuditVal,_xlfn.XLOOKUP($A1033,My_Audit!$A:$A,My_Audit!C:C,""),
_xlfn.IFS(_xlpm.MyAuditVal&lt;&gt;"",_xlpm.MyAuditVal,_xlpm.MacVal&lt;&gt;"",_xlpm.MacVal,_xlpm.CSVVal&lt;&gt;"",_xlpm.CSVVal
)),"")</f>
        <v/>
      </c>
      <c r="E1033" s="40" t="str">
        <f>_xlfn.XLOOKUP(A1033,My_Audit!A:A,My_Audit!D:D,"")</f>
        <v/>
      </c>
      <c r="F1033" s="40" t="str" cm="1">
        <f t="array" ref="F1033">IFERROR(_xlfn.LET(
_xlpm.CSVVal,_xlfn.XLOOKUP($A1033,CSV!$A:$A,CSV!F:F,""),
_xlpm.MacVal,_xlfn.XLOOKUP($A1033,Output_Mac!$A:$A,Output_Mac!E:E,""),
_xlpm.MyAuditVal,_xlfn.XLOOKUP($A1033,My_Audit!$A:$A,My_Audit!E:E,""),
_xlfn.IFS(_xlpm.MyAuditVal&lt;&gt;"",_xlpm.MyAuditVal,_xlpm.MacVal&lt;&gt;"",_xlpm.MacVal,_xlpm.CSVVal&lt;&gt;"",_xlpm.CSVVal
)),"")</f>
        <v/>
      </c>
      <c r="G1033" s="40" t="str" cm="1">
        <f t="array" ref="G1033">IFERROR(_xlfn.LET(
_xlpm.CSVVal,_xlfn.XLOOKUP($A1033,CSV!$A:$A,CSV!G:G,""),
_xlpm.MacVal,_xlfn.XLOOKUP($A1033,Output_Mac!$A:$A,Output_Mac!F:F,""),
_xlpm.MyAuditVal,_xlfn.XLOOKUP($A1033,My_Audit!$A:$A,My_Audit!F:F,""),
_xlfn.IFS(_xlpm.MyAuditVal&lt;&gt;"",_xlpm.MyAuditVal,_xlpm.MacVal&lt;&gt;"",_xlpm.MacVal,_xlpm.CSVVal&lt;&gt;"",PROPER(_xlpm.CSVVal)
)),"")</f>
        <v/>
      </c>
      <c r="H1033" s="40" t="str" cm="1">
        <f t="array" ref="H1033">IFERROR(_xlfn.LET(
_xlpm.CSVVal,_xlfn.XLOOKUP($A1033,CSV!$A:$A,CSV!H:H,""),
_xlpm.MacVal,_xlfn.XLOOKUP($A1033,Output_Mac!$A:$A,Output_Mac!H:H,""),
_xlpm.MyAuditVal,_xlfn.XLOOKUP($A1033,My_Audit!$A:$A,My_Audit!G:G,""),
_xlfn.IFS(_xlpm.MyAuditVal&lt;&gt;"",_xlpm.MyAuditVal,_xlpm.MacVal&lt;&gt;"",_xlpm.MacVal,_xlpm.CSVVal&lt;&gt;"",_xlpm.CSVVal
)),"")</f>
        <v/>
      </c>
      <c r="I1033" s="40" t="str">
        <f>_xlfn.XLOOKUP(A1033,Output_Mac!A:A,Output_Mac!I:I,"")</f>
        <v/>
      </c>
      <c r="J1033" s="40" t="str" cm="1">
        <f t="array" ref="J1033">IFERROR(_xlfn.LET(
_xlpm.CSVVal,_xlfn.XLOOKUP($A1033,CSV!$A:$A,CSV!I:I,""),
_xlpm.MacVal,_xlfn.XLOOKUP($A1033,Output_Mac!$A:$A,Output_Mac!J:J,""),
_xlpm.MyAuditVal,_xlfn.XLOOKUP($A1033,My_Audit!$A:$A,My_Audit!I:I,""),
_xlfn.IFS(_xlpm.MyAuditVal&lt;&gt;"",UPPER(_xlpm.MyAuditVal),_xlpm.MacVal&lt;&gt;"",_xlpm.MacVal,_xlpm.CSVVal&lt;&gt;"",_xlpm.CSVVal
)),"")</f>
        <v/>
      </c>
      <c r="K1033" s="40" t="str" cm="1">
        <f t="array" ref="K1033">IFERROR(_xlfn.LET(
_xlpm.CSVVal,_xlfn.XLOOKUP($A1033,CSV!$A:$A,CSV!K:K,""),
_xlpm.MacVal,_xlfn.XLOOKUP($A1033,Output_Mac!$A:$A,Output_Mac!K:K,""),
_xlpm.MyAuditVal,_xlfn.XLOOKUP($A1033,My_Audit!$A:$A,My_Audit!J:J,""),
_xlfn.IFS(_xlpm.MyAuditVal&lt;&gt;"",UPPER(_xlpm.MyAuditVal),_xlpm.MacVal&lt;&gt;"",_xlpm.MacVal,_xlpm.CSVVal&lt;&gt;"",_xlpm.CSVVal
)),"")</f>
        <v/>
      </c>
      <c r="L1033" s="40" t="str" cm="1">
        <f t="array" ref="L1033">IFERROR(_xlfn.LET(
_xlpm.CSVVal,_xlfn.XLOOKUP($A1033,CSV!$A:$A,CSV!P:P,""),
_xlpm.MacVal,_xlfn.XLOOKUP($A1033,Output_Mac!$A:$A,Output_Mac!L:L,""),
_xlpm.MyAuditVal,_xlfn.XLOOKUP($A1033,My_Audit!$A:$A,My_Audit!K:K,""),
_xlfn.IFS(_xlpm.MyAuditVal&lt;&gt;"",UPPER(_xlpm.MyAuditVal),_xlpm.MacVal&lt;&gt;"",_xlpm.MacVal,_xlpm.CSVVal&lt;&gt;"",_xlpm.CSVVal
)),"")</f>
        <v/>
      </c>
      <c r="M1033" s="40" t="str" cm="1">
        <f t="array" ref="M1033">IFERROR(_xlfn.LET(
_xlpm.CSVVal,_xlfn.XLOOKUP($A1033,CSV!$A:$A,CSV!Q:Q,""),
_xlpm.MacVal,_xlfn.XLOOKUP($A1033,Output_Mac!$A:$A,Output_Mac!M:M,""),
_xlpm.MyAuditVal,_xlfn.XLOOKUP($A1033,My_Audit!$A:$A,My_Audit!L:L,""),
_xlfn.IFS(_xlpm.MyAuditVal&lt;&gt;"",UPPER(_xlpm.MyAuditVal),_xlpm.MacVal&lt;&gt;"",_xlpm.MacVal,_xlpm.CSVVal&lt;&gt;"",_xlpm.CSVVal
)),"")</f>
        <v/>
      </c>
      <c r="N1033" s="40"/>
      <c r="O1033" s="40" t="str">
        <f>_xlfn.LET(
    _xlpm.CSVVal, _xlfn.XLOOKUP($A1033, CSV!$A:$A, CSV!AA:AA, ""),
    _xlpm.MacVal, _xlfn.XLOOKUP($A1033, Output_Mac!$A:$A, Output_Mac!S:S, ""),
    _xlpm.MyAuditVal, _xlfn.XLOOKUP($A1033, My_Audit!$A:$A, My_Audit!P:P, ""),
    _xlfn.TEXTJOIN(", ", TRUE, _xlpm.MyAuditVal, _xlpm.MacVal, _xlpm.CSVVal)
)</f>
        <v/>
      </c>
      <c r="P1033" s="40" t="str" cm="1">
        <f t="array" ref="P1033">IFERROR(_xlfn.LET(
_xlpm.CSVVal,_xlfn.XLOOKUP($A1033,CSV!$A:$A,CSV!AB:AB,""),
_xlpm.MacVal,_xlfn.XLOOKUP($A1033,Output_Mac!$A:$A,Output_Mac!T:T,""),
_xlpm.MyAuditVal,_xlfn.XLOOKUP($A1033,My_Audit!$A:$A,My_Audit!Q:Q,""),
_xlfn.IFS(_xlpm.MyAuditVal&lt;&gt;"",UPPER(_xlpm.MyAuditVal),_xlpm.MacVal&lt;&gt;"",_xlpm.MacVal,_xlpm.CSVVal&lt;&gt;"",_xlpm.CSVVal
)),"No")</f>
        <v>No</v>
      </c>
      <c r="Q1033" s="40" t="str" cm="1">
        <f t="array" ref="Q1033">IFERROR(_xlfn.LET(
_xlpm.CSVVal,_xlfn.XLOOKUP($A1033,CSV!$A:$A,CSV!AC:AC,""),
_xlpm.MacVal,_xlfn.XLOOKUP($A1033,Output_Mac!$A:$A,Output_Mac!U:U,""),
_xlpm.MyAuditVal,_xlfn.XLOOKUP($A1033,My_Audit!$A:$A,My_Audit!R:R,""),
_xlfn.IFS(_xlpm.MyAuditVal&lt;&gt;"",UPPER(_xlpm.MyAuditVal),_xlpm.MacVal&lt;&gt;"",_xlpm.MacVal,_xlpm.CSVVal&lt;&gt;"",_xlpm.CSVVal
)),"")</f>
        <v/>
      </c>
      <c r="R1033" s="40"/>
      <c r="S1033" s="40"/>
      <c r="T1033" s="40"/>
      <c r="U1033" s="40"/>
      <c r="V1033" s="40"/>
      <c r="W1033" s="40"/>
      <c r="X1033" s="41" t="str">
        <f>_xlfn.LET(
    _xlpm.MacVal, _xlfn.XLOOKUP($A1033, Output_Mac!$A:$A, Output_Mac!AB:AB, ""),
    _xlpm.MyAuditVal, _xlfn.XLOOKUP($A1033, My_Audit!$A:$A, My_Audit!N:N, ""),
    _xlfn.TEXTJOIN(", ", TRUE, _xlpm.MyAuditVal, _xlpm.MacVal)
)</f>
        <v/>
      </c>
    </row>
    <row r="1034" spans="1:24">
      <c r="A1034" s="40" t="str">
        <f>_xlfn.TEXTJOIN("",TRUE,Input!$B$2,ROW(My_Audit!A1033))</f>
        <v>X1033</v>
      </c>
      <c r="B1034" s="40" t="str">
        <f>_xlfn.TEXTJOIN("-",TRUE,"ITD",Input!$A$2,A1034)</f>
        <v>ITD-X1033</v>
      </c>
      <c r="C1034" s="40" t="str" cm="1">
        <f t="array" ref="C1034">IFERROR(_xlfn.LET(
_xlpm.CSVVal,_xlfn.XLOOKUP($A1034,CSV!$A:$A,CSV!B:B,""),
_xlpm.MacVal,_xlfn.XLOOKUP($A1034,Output_Mac!$A:$A,Output_Mac!B:B,""),
_xlpm.MyAuditVal,_xlfn.XLOOKUP($A1034,My_Audit!$A:$A,My_Audit!B:B,""),
_xlfn.IFS(_xlpm.MyAuditVal&lt;&gt;"",UPPER(_xlpm.MyAuditVal),_xlpm.MacVal&lt;&gt;"",_xlpm.MacVal,_xlpm.CSVVal&lt;&gt;"",_xlpm.CSVVal
)),"")</f>
        <v/>
      </c>
      <c r="D1034" s="40" t="str" cm="1">
        <f t="array" ref="D1034">IFERROR(_xlfn.LET(
_xlpm.CSVVal,_xlfn.XLOOKUP($A1034,CSV!$A:$A,CSV!D:D,""),
_xlpm.MacVal,_xlfn.XLOOKUP($A1034,Output_Mac!$A:$A,Output_Mac!C:C,""),
_xlpm.MyAuditVal,_xlfn.XLOOKUP($A1034,My_Audit!$A:$A,My_Audit!C:C,""),
_xlfn.IFS(_xlpm.MyAuditVal&lt;&gt;"",_xlpm.MyAuditVal,_xlpm.MacVal&lt;&gt;"",_xlpm.MacVal,_xlpm.CSVVal&lt;&gt;"",_xlpm.CSVVal
)),"")</f>
        <v/>
      </c>
      <c r="E1034" s="40" t="str">
        <f>_xlfn.XLOOKUP(A1034,My_Audit!A:A,My_Audit!D:D,"")</f>
        <v/>
      </c>
      <c r="F1034" s="40" t="str" cm="1">
        <f t="array" ref="F1034">IFERROR(_xlfn.LET(
_xlpm.CSVVal,_xlfn.XLOOKUP($A1034,CSV!$A:$A,CSV!F:F,""),
_xlpm.MacVal,_xlfn.XLOOKUP($A1034,Output_Mac!$A:$A,Output_Mac!E:E,""),
_xlpm.MyAuditVal,_xlfn.XLOOKUP($A1034,My_Audit!$A:$A,My_Audit!E:E,""),
_xlfn.IFS(_xlpm.MyAuditVal&lt;&gt;"",_xlpm.MyAuditVal,_xlpm.MacVal&lt;&gt;"",_xlpm.MacVal,_xlpm.CSVVal&lt;&gt;"",_xlpm.CSVVal
)),"")</f>
        <v/>
      </c>
      <c r="G1034" s="40" t="str" cm="1">
        <f t="array" ref="G1034">IFERROR(_xlfn.LET(
_xlpm.CSVVal,_xlfn.XLOOKUP($A1034,CSV!$A:$A,CSV!G:G,""),
_xlpm.MacVal,_xlfn.XLOOKUP($A1034,Output_Mac!$A:$A,Output_Mac!F:F,""),
_xlpm.MyAuditVal,_xlfn.XLOOKUP($A1034,My_Audit!$A:$A,My_Audit!F:F,""),
_xlfn.IFS(_xlpm.MyAuditVal&lt;&gt;"",_xlpm.MyAuditVal,_xlpm.MacVal&lt;&gt;"",_xlpm.MacVal,_xlpm.CSVVal&lt;&gt;"",PROPER(_xlpm.CSVVal)
)),"")</f>
        <v/>
      </c>
      <c r="H1034" s="40" t="str" cm="1">
        <f t="array" ref="H1034">IFERROR(_xlfn.LET(
_xlpm.CSVVal,_xlfn.XLOOKUP($A1034,CSV!$A:$A,CSV!H:H,""),
_xlpm.MacVal,_xlfn.XLOOKUP($A1034,Output_Mac!$A:$A,Output_Mac!H:H,""),
_xlpm.MyAuditVal,_xlfn.XLOOKUP($A1034,My_Audit!$A:$A,My_Audit!G:G,""),
_xlfn.IFS(_xlpm.MyAuditVal&lt;&gt;"",_xlpm.MyAuditVal,_xlpm.MacVal&lt;&gt;"",_xlpm.MacVal,_xlpm.CSVVal&lt;&gt;"",_xlpm.CSVVal
)),"")</f>
        <v/>
      </c>
      <c r="I1034" s="40" t="str">
        <f>_xlfn.XLOOKUP(A1034,Output_Mac!A:A,Output_Mac!I:I,"")</f>
        <v/>
      </c>
      <c r="J1034" s="40" t="str" cm="1">
        <f t="array" ref="J1034">IFERROR(_xlfn.LET(
_xlpm.CSVVal,_xlfn.XLOOKUP($A1034,CSV!$A:$A,CSV!I:I,""),
_xlpm.MacVal,_xlfn.XLOOKUP($A1034,Output_Mac!$A:$A,Output_Mac!J:J,""),
_xlpm.MyAuditVal,_xlfn.XLOOKUP($A1034,My_Audit!$A:$A,My_Audit!I:I,""),
_xlfn.IFS(_xlpm.MyAuditVal&lt;&gt;"",UPPER(_xlpm.MyAuditVal),_xlpm.MacVal&lt;&gt;"",_xlpm.MacVal,_xlpm.CSVVal&lt;&gt;"",_xlpm.CSVVal
)),"")</f>
        <v/>
      </c>
      <c r="K1034" s="40" t="str" cm="1">
        <f t="array" ref="K1034">IFERROR(_xlfn.LET(
_xlpm.CSVVal,_xlfn.XLOOKUP($A1034,CSV!$A:$A,CSV!K:K,""),
_xlpm.MacVal,_xlfn.XLOOKUP($A1034,Output_Mac!$A:$A,Output_Mac!K:K,""),
_xlpm.MyAuditVal,_xlfn.XLOOKUP($A1034,My_Audit!$A:$A,My_Audit!J:J,""),
_xlfn.IFS(_xlpm.MyAuditVal&lt;&gt;"",UPPER(_xlpm.MyAuditVal),_xlpm.MacVal&lt;&gt;"",_xlpm.MacVal,_xlpm.CSVVal&lt;&gt;"",_xlpm.CSVVal
)),"")</f>
        <v/>
      </c>
      <c r="L1034" s="40" t="str" cm="1">
        <f t="array" ref="L1034">IFERROR(_xlfn.LET(
_xlpm.CSVVal,_xlfn.XLOOKUP($A1034,CSV!$A:$A,CSV!P:P,""),
_xlpm.MacVal,_xlfn.XLOOKUP($A1034,Output_Mac!$A:$A,Output_Mac!L:L,""),
_xlpm.MyAuditVal,_xlfn.XLOOKUP($A1034,My_Audit!$A:$A,My_Audit!K:K,""),
_xlfn.IFS(_xlpm.MyAuditVal&lt;&gt;"",UPPER(_xlpm.MyAuditVal),_xlpm.MacVal&lt;&gt;"",_xlpm.MacVal,_xlpm.CSVVal&lt;&gt;"",_xlpm.CSVVal
)),"")</f>
        <v/>
      </c>
      <c r="M1034" s="40" t="str" cm="1">
        <f t="array" ref="M1034">IFERROR(_xlfn.LET(
_xlpm.CSVVal,_xlfn.XLOOKUP($A1034,CSV!$A:$A,CSV!Q:Q,""),
_xlpm.MacVal,_xlfn.XLOOKUP($A1034,Output_Mac!$A:$A,Output_Mac!M:M,""),
_xlpm.MyAuditVal,_xlfn.XLOOKUP($A1034,My_Audit!$A:$A,My_Audit!L:L,""),
_xlfn.IFS(_xlpm.MyAuditVal&lt;&gt;"",UPPER(_xlpm.MyAuditVal),_xlpm.MacVal&lt;&gt;"",_xlpm.MacVal,_xlpm.CSVVal&lt;&gt;"",_xlpm.CSVVal
)),"")</f>
        <v/>
      </c>
      <c r="N1034" s="40"/>
      <c r="O1034" s="40" t="str">
        <f>_xlfn.LET(
    _xlpm.CSVVal, _xlfn.XLOOKUP($A1034, CSV!$A:$A, CSV!AA:AA, ""),
    _xlpm.MacVal, _xlfn.XLOOKUP($A1034, Output_Mac!$A:$A, Output_Mac!S:S, ""),
    _xlpm.MyAuditVal, _xlfn.XLOOKUP($A1034, My_Audit!$A:$A, My_Audit!P:P, ""),
    _xlfn.TEXTJOIN(", ", TRUE, _xlpm.MyAuditVal, _xlpm.MacVal, _xlpm.CSVVal)
)</f>
        <v/>
      </c>
      <c r="P1034" s="40" t="str" cm="1">
        <f t="array" ref="P1034">IFERROR(_xlfn.LET(
_xlpm.CSVVal,_xlfn.XLOOKUP($A1034,CSV!$A:$A,CSV!AB:AB,""),
_xlpm.MacVal,_xlfn.XLOOKUP($A1034,Output_Mac!$A:$A,Output_Mac!T:T,""),
_xlpm.MyAuditVal,_xlfn.XLOOKUP($A1034,My_Audit!$A:$A,My_Audit!Q:Q,""),
_xlfn.IFS(_xlpm.MyAuditVal&lt;&gt;"",UPPER(_xlpm.MyAuditVal),_xlpm.MacVal&lt;&gt;"",_xlpm.MacVal,_xlpm.CSVVal&lt;&gt;"",_xlpm.CSVVal
)),"No")</f>
        <v>No</v>
      </c>
      <c r="Q1034" s="40" t="str" cm="1">
        <f t="array" ref="Q1034">IFERROR(_xlfn.LET(
_xlpm.CSVVal,_xlfn.XLOOKUP($A1034,CSV!$A:$A,CSV!AC:AC,""),
_xlpm.MacVal,_xlfn.XLOOKUP($A1034,Output_Mac!$A:$A,Output_Mac!U:U,""),
_xlpm.MyAuditVal,_xlfn.XLOOKUP($A1034,My_Audit!$A:$A,My_Audit!R:R,""),
_xlfn.IFS(_xlpm.MyAuditVal&lt;&gt;"",UPPER(_xlpm.MyAuditVal),_xlpm.MacVal&lt;&gt;"",_xlpm.MacVal,_xlpm.CSVVal&lt;&gt;"",_xlpm.CSVVal
)),"")</f>
        <v/>
      </c>
      <c r="R1034" s="40"/>
      <c r="S1034" s="40"/>
      <c r="T1034" s="40"/>
      <c r="U1034" s="40"/>
      <c r="V1034" s="40"/>
      <c r="W1034" s="40"/>
      <c r="X1034" s="41" t="str">
        <f>_xlfn.LET(
    _xlpm.MacVal, _xlfn.XLOOKUP($A1034, Output_Mac!$A:$A, Output_Mac!AB:AB, ""),
    _xlpm.MyAuditVal, _xlfn.XLOOKUP($A1034, My_Audit!$A:$A, My_Audit!N:N, ""),
    _xlfn.TEXTJOIN(", ", TRUE, _xlpm.MyAuditVal, _xlpm.MacVal)
)</f>
        <v/>
      </c>
    </row>
    <row r="1035" spans="1:24">
      <c r="A1035" s="40" t="str">
        <f>_xlfn.TEXTJOIN("",TRUE,Input!$B$2,ROW(My_Audit!A1034))</f>
        <v>X1034</v>
      </c>
      <c r="B1035" s="40" t="str">
        <f>_xlfn.TEXTJOIN("-",TRUE,"ITD",Input!$A$2,A1035)</f>
        <v>ITD-X1034</v>
      </c>
      <c r="C1035" s="40" t="str" cm="1">
        <f t="array" ref="C1035">IFERROR(_xlfn.LET(
_xlpm.CSVVal,_xlfn.XLOOKUP($A1035,CSV!$A:$A,CSV!B:B,""),
_xlpm.MacVal,_xlfn.XLOOKUP($A1035,Output_Mac!$A:$A,Output_Mac!B:B,""),
_xlpm.MyAuditVal,_xlfn.XLOOKUP($A1035,My_Audit!$A:$A,My_Audit!B:B,""),
_xlfn.IFS(_xlpm.MyAuditVal&lt;&gt;"",UPPER(_xlpm.MyAuditVal),_xlpm.MacVal&lt;&gt;"",_xlpm.MacVal,_xlpm.CSVVal&lt;&gt;"",_xlpm.CSVVal
)),"")</f>
        <v/>
      </c>
      <c r="D1035" s="40" t="str" cm="1">
        <f t="array" ref="D1035">IFERROR(_xlfn.LET(
_xlpm.CSVVal,_xlfn.XLOOKUP($A1035,CSV!$A:$A,CSV!D:D,""),
_xlpm.MacVal,_xlfn.XLOOKUP($A1035,Output_Mac!$A:$A,Output_Mac!C:C,""),
_xlpm.MyAuditVal,_xlfn.XLOOKUP($A1035,My_Audit!$A:$A,My_Audit!C:C,""),
_xlfn.IFS(_xlpm.MyAuditVal&lt;&gt;"",_xlpm.MyAuditVal,_xlpm.MacVal&lt;&gt;"",_xlpm.MacVal,_xlpm.CSVVal&lt;&gt;"",_xlpm.CSVVal
)),"")</f>
        <v/>
      </c>
      <c r="E1035" s="40" t="str">
        <f>_xlfn.XLOOKUP(A1035,My_Audit!A:A,My_Audit!D:D,"")</f>
        <v/>
      </c>
      <c r="F1035" s="40" t="str" cm="1">
        <f t="array" ref="F1035">IFERROR(_xlfn.LET(
_xlpm.CSVVal,_xlfn.XLOOKUP($A1035,CSV!$A:$A,CSV!F:F,""),
_xlpm.MacVal,_xlfn.XLOOKUP($A1035,Output_Mac!$A:$A,Output_Mac!E:E,""),
_xlpm.MyAuditVal,_xlfn.XLOOKUP($A1035,My_Audit!$A:$A,My_Audit!E:E,""),
_xlfn.IFS(_xlpm.MyAuditVal&lt;&gt;"",_xlpm.MyAuditVal,_xlpm.MacVal&lt;&gt;"",_xlpm.MacVal,_xlpm.CSVVal&lt;&gt;"",_xlpm.CSVVal
)),"")</f>
        <v/>
      </c>
      <c r="G1035" s="40" t="str" cm="1">
        <f t="array" ref="G1035">IFERROR(_xlfn.LET(
_xlpm.CSVVal,_xlfn.XLOOKUP($A1035,CSV!$A:$A,CSV!G:G,""),
_xlpm.MacVal,_xlfn.XLOOKUP($A1035,Output_Mac!$A:$A,Output_Mac!F:F,""),
_xlpm.MyAuditVal,_xlfn.XLOOKUP($A1035,My_Audit!$A:$A,My_Audit!F:F,""),
_xlfn.IFS(_xlpm.MyAuditVal&lt;&gt;"",_xlpm.MyAuditVal,_xlpm.MacVal&lt;&gt;"",_xlpm.MacVal,_xlpm.CSVVal&lt;&gt;"",PROPER(_xlpm.CSVVal)
)),"")</f>
        <v/>
      </c>
      <c r="H1035" s="40" t="str" cm="1">
        <f t="array" ref="H1035">IFERROR(_xlfn.LET(
_xlpm.CSVVal,_xlfn.XLOOKUP($A1035,CSV!$A:$A,CSV!H:H,""),
_xlpm.MacVal,_xlfn.XLOOKUP($A1035,Output_Mac!$A:$A,Output_Mac!H:H,""),
_xlpm.MyAuditVal,_xlfn.XLOOKUP($A1035,My_Audit!$A:$A,My_Audit!G:G,""),
_xlfn.IFS(_xlpm.MyAuditVal&lt;&gt;"",_xlpm.MyAuditVal,_xlpm.MacVal&lt;&gt;"",_xlpm.MacVal,_xlpm.CSVVal&lt;&gt;"",_xlpm.CSVVal
)),"")</f>
        <v/>
      </c>
      <c r="I1035" s="40" t="str">
        <f>_xlfn.XLOOKUP(A1035,Output_Mac!A:A,Output_Mac!I:I,"")</f>
        <v/>
      </c>
      <c r="J1035" s="40" t="str" cm="1">
        <f t="array" ref="J1035">IFERROR(_xlfn.LET(
_xlpm.CSVVal,_xlfn.XLOOKUP($A1035,CSV!$A:$A,CSV!I:I,""),
_xlpm.MacVal,_xlfn.XLOOKUP($A1035,Output_Mac!$A:$A,Output_Mac!J:J,""),
_xlpm.MyAuditVal,_xlfn.XLOOKUP($A1035,My_Audit!$A:$A,My_Audit!I:I,""),
_xlfn.IFS(_xlpm.MyAuditVal&lt;&gt;"",UPPER(_xlpm.MyAuditVal),_xlpm.MacVal&lt;&gt;"",_xlpm.MacVal,_xlpm.CSVVal&lt;&gt;"",_xlpm.CSVVal
)),"")</f>
        <v/>
      </c>
      <c r="K1035" s="40" t="str" cm="1">
        <f t="array" ref="K1035">IFERROR(_xlfn.LET(
_xlpm.CSVVal,_xlfn.XLOOKUP($A1035,CSV!$A:$A,CSV!K:K,""),
_xlpm.MacVal,_xlfn.XLOOKUP($A1035,Output_Mac!$A:$A,Output_Mac!K:K,""),
_xlpm.MyAuditVal,_xlfn.XLOOKUP($A1035,My_Audit!$A:$A,My_Audit!J:J,""),
_xlfn.IFS(_xlpm.MyAuditVal&lt;&gt;"",UPPER(_xlpm.MyAuditVal),_xlpm.MacVal&lt;&gt;"",_xlpm.MacVal,_xlpm.CSVVal&lt;&gt;"",_xlpm.CSVVal
)),"")</f>
        <v/>
      </c>
      <c r="L1035" s="40" t="str" cm="1">
        <f t="array" ref="L1035">IFERROR(_xlfn.LET(
_xlpm.CSVVal,_xlfn.XLOOKUP($A1035,CSV!$A:$A,CSV!P:P,""),
_xlpm.MacVal,_xlfn.XLOOKUP($A1035,Output_Mac!$A:$A,Output_Mac!L:L,""),
_xlpm.MyAuditVal,_xlfn.XLOOKUP($A1035,My_Audit!$A:$A,My_Audit!K:K,""),
_xlfn.IFS(_xlpm.MyAuditVal&lt;&gt;"",UPPER(_xlpm.MyAuditVal),_xlpm.MacVal&lt;&gt;"",_xlpm.MacVal,_xlpm.CSVVal&lt;&gt;"",_xlpm.CSVVal
)),"")</f>
        <v/>
      </c>
      <c r="M1035" s="40" t="str" cm="1">
        <f t="array" ref="M1035">IFERROR(_xlfn.LET(
_xlpm.CSVVal,_xlfn.XLOOKUP($A1035,CSV!$A:$A,CSV!Q:Q,""),
_xlpm.MacVal,_xlfn.XLOOKUP($A1035,Output_Mac!$A:$A,Output_Mac!M:M,""),
_xlpm.MyAuditVal,_xlfn.XLOOKUP($A1035,My_Audit!$A:$A,My_Audit!L:L,""),
_xlfn.IFS(_xlpm.MyAuditVal&lt;&gt;"",UPPER(_xlpm.MyAuditVal),_xlpm.MacVal&lt;&gt;"",_xlpm.MacVal,_xlpm.CSVVal&lt;&gt;"",_xlpm.CSVVal
)),"")</f>
        <v/>
      </c>
      <c r="N1035" s="40"/>
      <c r="O1035" s="40" t="str">
        <f>_xlfn.LET(
    _xlpm.CSVVal, _xlfn.XLOOKUP($A1035, CSV!$A:$A, CSV!AA:AA, ""),
    _xlpm.MacVal, _xlfn.XLOOKUP($A1035, Output_Mac!$A:$A, Output_Mac!S:S, ""),
    _xlpm.MyAuditVal, _xlfn.XLOOKUP($A1035, My_Audit!$A:$A, My_Audit!P:P, ""),
    _xlfn.TEXTJOIN(", ", TRUE, _xlpm.MyAuditVal, _xlpm.MacVal, _xlpm.CSVVal)
)</f>
        <v/>
      </c>
      <c r="P1035" s="40" t="str" cm="1">
        <f t="array" ref="P1035">IFERROR(_xlfn.LET(
_xlpm.CSVVal,_xlfn.XLOOKUP($A1035,CSV!$A:$A,CSV!AB:AB,""),
_xlpm.MacVal,_xlfn.XLOOKUP($A1035,Output_Mac!$A:$A,Output_Mac!T:T,""),
_xlpm.MyAuditVal,_xlfn.XLOOKUP($A1035,My_Audit!$A:$A,My_Audit!Q:Q,""),
_xlfn.IFS(_xlpm.MyAuditVal&lt;&gt;"",UPPER(_xlpm.MyAuditVal),_xlpm.MacVal&lt;&gt;"",_xlpm.MacVal,_xlpm.CSVVal&lt;&gt;"",_xlpm.CSVVal
)),"No")</f>
        <v>No</v>
      </c>
      <c r="Q1035" s="40" t="str" cm="1">
        <f t="array" ref="Q1035">IFERROR(_xlfn.LET(
_xlpm.CSVVal,_xlfn.XLOOKUP($A1035,CSV!$A:$A,CSV!AC:AC,""),
_xlpm.MacVal,_xlfn.XLOOKUP($A1035,Output_Mac!$A:$A,Output_Mac!U:U,""),
_xlpm.MyAuditVal,_xlfn.XLOOKUP($A1035,My_Audit!$A:$A,My_Audit!R:R,""),
_xlfn.IFS(_xlpm.MyAuditVal&lt;&gt;"",UPPER(_xlpm.MyAuditVal),_xlpm.MacVal&lt;&gt;"",_xlpm.MacVal,_xlpm.CSVVal&lt;&gt;"",_xlpm.CSVVal
)),"")</f>
        <v/>
      </c>
      <c r="R1035" s="40"/>
      <c r="S1035" s="40"/>
      <c r="T1035" s="40"/>
      <c r="U1035" s="40"/>
      <c r="V1035" s="40"/>
      <c r="W1035" s="40"/>
      <c r="X1035" s="41" t="str">
        <f>_xlfn.LET(
    _xlpm.MacVal, _xlfn.XLOOKUP($A1035, Output_Mac!$A:$A, Output_Mac!AB:AB, ""),
    _xlpm.MyAuditVal, _xlfn.XLOOKUP($A1035, My_Audit!$A:$A, My_Audit!N:N, ""),
    _xlfn.TEXTJOIN(", ", TRUE, _xlpm.MyAuditVal, _xlpm.MacVal)
)</f>
        <v/>
      </c>
    </row>
    <row r="1036" spans="1:24">
      <c r="A1036" s="40" t="str">
        <f>_xlfn.TEXTJOIN("",TRUE,Input!$B$2,ROW(My_Audit!A1035))</f>
        <v>X1035</v>
      </c>
      <c r="B1036" s="40" t="str">
        <f>_xlfn.TEXTJOIN("-",TRUE,"ITD",Input!$A$2,A1036)</f>
        <v>ITD-X1035</v>
      </c>
      <c r="C1036" s="40" t="str" cm="1">
        <f t="array" ref="C1036">IFERROR(_xlfn.LET(
_xlpm.CSVVal,_xlfn.XLOOKUP($A1036,CSV!$A:$A,CSV!B:B,""),
_xlpm.MacVal,_xlfn.XLOOKUP($A1036,Output_Mac!$A:$A,Output_Mac!B:B,""),
_xlpm.MyAuditVal,_xlfn.XLOOKUP($A1036,My_Audit!$A:$A,My_Audit!B:B,""),
_xlfn.IFS(_xlpm.MyAuditVal&lt;&gt;"",UPPER(_xlpm.MyAuditVal),_xlpm.MacVal&lt;&gt;"",_xlpm.MacVal,_xlpm.CSVVal&lt;&gt;"",_xlpm.CSVVal
)),"")</f>
        <v/>
      </c>
      <c r="D1036" s="40" t="str" cm="1">
        <f t="array" ref="D1036">IFERROR(_xlfn.LET(
_xlpm.CSVVal,_xlfn.XLOOKUP($A1036,CSV!$A:$A,CSV!D:D,""),
_xlpm.MacVal,_xlfn.XLOOKUP($A1036,Output_Mac!$A:$A,Output_Mac!C:C,""),
_xlpm.MyAuditVal,_xlfn.XLOOKUP($A1036,My_Audit!$A:$A,My_Audit!C:C,""),
_xlfn.IFS(_xlpm.MyAuditVal&lt;&gt;"",_xlpm.MyAuditVal,_xlpm.MacVal&lt;&gt;"",_xlpm.MacVal,_xlpm.CSVVal&lt;&gt;"",_xlpm.CSVVal
)),"")</f>
        <v/>
      </c>
      <c r="E1036" s="40" t="str">
        <f>_xlfn.XLOOKUP(A1036,My_Audit!A:A,My_Audit!D:D,"")</f>
        <v/>
      </c>
      <c r="F1036" s="40" t="str" cm="1">
        <f t="array" ref="F1036">IFERROR(_xlfn.LET(
_xlpm.CSVVal,_xlfn.XLOOKUP($A1036,CSV!$A:$A,CSV!F:F,""),
_xlpm.MacVal,_xlfn.XLOOKUP($A1036,Output_Mac!$A:$A,Output_Mac!E:E,""),
_xlpm.MyAuditVal,_xlfn.XLOOKUP($A1036,My_Audit!$A:$A,My_Audit!E:E,""),
_xlfn.IFS(_xlpm.MyAuditVal&lt;&gt;"",_xlpm.MyAuditVal,_xlpm.MacVal&lt;&gt;"",_xlpm.MacVal,_xlpm.CSVVal&lt;&gt;"",_xlpm.CSVVal
)),"")</f>
        <v/>
      </c>
      <c r="G1036" s="40" t="str" cm="1">
        <f t="array" ref="G1036">IFERROR(_xlfn.LET(
_xlpm.CSVVal,_xlfn.XLOOKUP($A1036,CSV!$A:$A,CSV!G:G,""),
_xlpm.MacVal,_xlfn.XLOOKUP($A1036,Output_Mac!$A:$A,Output_Mac!F:F,""),
_xlpm.MyAuditVal,_xlfn.XLOOKUP($A1036,My_Audit!$A:$A,My_Audit!F:F,""),
_xlfn.IFS(_xlpm.MyAuditVal&lt;&gt;"",_xlpm.MyAuditVal,_xlpm.MacVal&lt;&gt;"",_xlpm.MacVal,_xlpm.CSVVal&lt;&gt;"",PROPER(_xlpm.CSVVal)
)),"")</f>
        <v/>
      </c>
      <c r="H1036" s="40" t="str" cm="1">
        <f t="array" ref="H1036">IFERROR(_xlfn.LET(
_xlpm.CSVVal,_xlfn.XLOOKUP($A1036,CSV!$A:$A,CSV!H:H,""),
_xlpm.MacVal,_xlfn.XLOOKUP($A1036,Output_Mac!$A:$A,Output_Mac!H:H,""),
_xlpm.MyAuditVal,_xlfn.XLOOKUP($A1036,My_Audit!$A:$A,My_Audit!G:G,""),
_xlfn.IFS(_xlpm.MyAuditVal&lt;&gt;"",_xlpm.MyAuditVal,_xlpm.MacVal&lt;&gt;"",_xlpm.MacVal,_xlpm.CSVVal&lt;&gt;"",_xlpm.CSVVal
)),"")</f>
        <v/>
      </c>
      <c r="I1036" s="40" t="str">
        <f>_xlfn.XLOOKUP(A1036,Output_Mac!A:A,Output_Mac!I:I,"")</f>
        <v/>
      </c>
      <c r="J1036" s="40" t="str" cm="1">
        <f t="array" ref="J1036">IFERROR(_xlfn.LET(
_xlpm.CSVVal,_xlfn.XLOOKUP($A1036,CSV!$A:$A,CSV!I:I,""),
_xlpm.MacVal,_xlfn.XLOOKUP($A1036,Output_Mac!$A:$A,Output_Mac!J:J,""),
_xlpm.MyAuditVal,_xlfn.XLOOKUP($A1036,My_Audit!$A:$A,My_Audit!I:I,""),
_xlfn.IFS(_xlpm.MyAuditVal&lt;&gt;"",UPPER(_xlpm.MyAuditVal),_xlpm.MacVal&lt;&gt;"",_xlpm.MacVal,_xlpm.CSVVal&lt;&gt;"",_xlpm.CSVVal
)),"")</f>
        <v/>
      </c>
      <c r="K1036" s="40" t="str" cm="1">
        <f t="array" ref="K1036">IFERROR(_xlfn.LET(
_xlpm.CSVVal,_xlfn.XLOOKUP($A1036,CSV!$A:$A,CSV!K:K,""),
_xlpm.MacVal,_xlfn.XLOOKUP($A1036,Output_Mac!$A:$A,Output_Mac!K:K,""),
_xlpm.MyAuditVal,_xlfn.XLOOKUP($A1036,My_Audit!$A:$A,My_Audit!J:J,""),
_xlfn.IFS(_xlpm.MyAuditVal&lt;&gt;"",UPPER(_xlpm.MyAuditVal),_xlpm.MacVal&lt;&gt;"",_xlpm.MacVal,_xlpm.CSVVal&lt;&gt;"",_xlpm.CSVVal
)),"")</f>
        <v/>
      </c>
      <c r="L1036" s="40" t="str" cm="1">
        <f t="array" ref="L1036">IFERROR(_xlfn.LET(
_xlpm.CSVVal,_xlfn.XLOOKUP($A1036,CSV!$A:$A,CSV!P:P,""),
_xlpm.MacVal,_xlfn.XLOOKUP($A1036,Output_Mac!$A:$A,Output_Mac!L:L,""),
_xlpm.MyAuditVal,_xlfn.XLOOKUP($A1036,My_Audit!$A:$A,My_Audit!K:K,""),
_xlfn.IFS(_xlpm.MyAuditVal&lt;&gt;"",UPPER(_xlpm.MyAuditVal),_xlpm.MacVal&lt;&gt;"",_xlpm.MacVal,_xlpm.CSVVal&lt;&gt;"",_xlpm.CSVVal
)),"")</f>
        <v/>
      </c>
      <c r="M1036" s="40" t="str" cm="1">
        <f t="array" ref="M1036">IFERROR(_xlfn.LET(
_xlpm.CSVVal,_xlfn.XLOOKUP($A1036,CSV!$A:$A,CSV!Q:Q,""),
_xlpm.MacVal,_xlfn.XLOOKUP($A1036,Output_Mac!$A:$A,Output_Mac!M:M,""),
_xlpm.MyAuditVal,_xlfn.XLOOKUP($A1036,My_Audit!$A:$A,My_Audit!L:L,""),
_xlfn.IFS(_xlpm.MyAuditVal&lt;&gt;"",UPPER(_xlpm.MyAuditVal),_xlpm.MacVal&lt;&gt;"",_xlpm.MacVal,_xlpm.CSVVal&lt;&gt;"",_xlpm.CSVVal
)),"")</f>
        <v/>
      </c>
      <c r="N1036" s="40"/>
      <c r="O1036" s="40" t="str">
        <f>_xlfn.LET(
    _xlpm.CSVVal, _xlfn.XLOOKUP($A1036, CSV!$A:$A, CSV!AA:AA, ""),
    _xlpm.MacVal, _xlfn.XLOOKUP($A1036, Output_Mac!$A:$A, Output_Mac!S:S, ""),
    _xlpm.MyAuditVal, _xlfn.XLOOKUP($A1036, My_Audit!$A:$A, My_Audit!P:P, ""),
    _xlfn.TEXTJOIN(", ", TRUE, _xlpm.MyAuditVal, _xlpm.MacVal, _xlpm.CSVVal)
)</f>
        <v/>
      </c>
      <c r="P1036" s="40" t="str" cm="1">
        <f t="array" ref="P1036">IFERROR(_xlfn.LET(
_xlpm.CSVVal,_xlfn.XLOOKUP($A1036,CSV!$A:$A,CSV!AB:AB,""),
_xlpm.MacVal,_xlfn.XLOOKUP($A1036,Output_Mac!$A:$A,Output_Mac!T:T,""),
_xlpm.MyAuditVal,_xlfn.XLOOKUP($A1036,My_Audit!$A:$A,My_Audit!Q:Q,""),
_xlfn.IFS(_xlpm.MyAuditVal&lt;&gt;"",UPPER(_xlpm.MyAuditVal),_xlpm.MacVal&lt;&gt;"",_xlpm.MacVal,_xlpm.CSVVal&lt;&gt;"",_xlpm.CSVVal
)),"No")</f>
        <v>No</v>
      </c>
      <c r="Q1036" s="40" t="str" cm="1">
        <f t="array" ref="Q1036">IFERROR(_xlfn.LET(
_xlpm.CSVVal,_xlfn.XLOOKUP($A1036,CSV!$A:$A,CSV!AC:AC,""),
_xlpm.MacVal,_xlfn.XLOOKUP($A1036,Output_Mac!$A:$A,Output_Mac!U:U,""),
_xlpm.MyAuditVal,_xlfn.XLOOKUP($A1036,My_Audit!$A:$A,My_Audit!R:R,""),
_xlfn.IFS(_xlpm.MyAuditVal&lt;&gt;"",UPPER(_xlpm.MyAuditVal),_xlpm.MacVal&lt;&gt;"",_xlpm.MacVal,_xlpm.CSVVal&lt;&gt;"",_xlpm.CSVVal
)),"")</f>
        <v/>
      </c>
      <c r="R1036" s="40"/>
      <c r="S1036" s="40"/>
      <c r="T1036" s="40"/>
      <c r="U1036" s="40"/>
      <c r="V1036" s="40"/>
      <c r="W1036" s="40"/>
      <c r="X1036" s="41" t="str">
        <f>_xlfn.LET(
    _xlpm.MacVal, _xlfn.XLOOKUP($A1036, Output_Mac!$A:$A, Output_Mac!AB:AB, ""),
    _xlpm.MyAuditVal, _xlfn.XLOOKUP($A1036, My_Audit!$A:$A, My_Audit!N:N, ""),
    _xlfn.TEXTJOIN(", ", TRUE, _xlpm.MyAuditVal, _xlpm.MacVal)
)</f>
        <v/>
      </c>
    </row>
    <row r="1037" spans="1:24">
      <c r="A1037" s="40" t="str">
        <f>_xlfn.TEXTJOIN("",TRUE,Input!$B$2,ROW(My_Audit!A1036))</f>
        <v>X1036</v>
      </c>
      <c r="B1037" s="40" t="str">
        <f>_xlfn.TEXTJOIN("-",TRUE,"ITD",Input!$A$2,A1037)</f>
        <v>ITD-X1036</v>
      </c>
      <c r="C1037" s="40" t="str" cm="1">
        <f t="array" ref="C1037">IFERROR(_xlfn.LET(
_xlpm.CSVVal,_xlfn.XLOOKUP($A1037,CSV!$A:$A,CSV!B:B,""),
_xlpm.MacVal,_xlfn.XLOOKUP($A1037,Output_Mac!$A:$A,Output_Mac!B:B,""),
_xlpm.MyAuditVal,_xlfn.XLOOKUP($A1037,My_Audit!$A:$A,My_Audit!B:B,""),
_xlfn.IFS(_xlpm.MyAuditVal&lt;&gt;"",UPPER(_xlpm.MyAuditVal),_xlpm.MacVal&lt;&gt;"",_xlpm.MacVal,_xlpm.CSVVal&lt;&gt;"",_xlpm.CSVVal
)),"")</f>
        <v/>
      </c>
      <c r="D1037" s="40" t="str" cm="1">
        <f t="array" ref="D1037">IFERROR(_xlfn.LET(
_xlpm.CSVVal,_xlfn.XLOOKUP($A1037,CSV!$A:$A,CSV!D:D,""),
_xlpm.MacVal,_xlfn.XLOOKUP($A1037,Output_Mac!$A:$A,Output_Mac!C:C,""),
_xlpm.MyAuditVal,_xlfn.XLOOKUP($A1037,My_Audit!$A:$A,My_Audit!C:C,""),
_xlfn.IFS(_xlpm.MyAuditVal&lt;&gt;"",_xlpm.MyAuditVal,_xlpm.MacVal&lt;&gt;"",_xlpm.MacVal,_xlpm.CSVVal&lt;&gt;"",_xlpm.CSVVal
)),"")</f>
        <v/>
      </c>
      <c r="E1037" s="40" t="str">
        <f>_xlfn.XLOOKUP(A1037,My_Audit!A:A,My_Audit!D:D,"")</f>
        <v/>
      </c>
      <c r="F1037" s="40" t="str" cm="1">
        <f t="array" ref="F1037">IFERROR(_xlfn.LET(
_xlpm.CSVVal,_xlfn.XLOOKUP($A1037,CSV!$A:$A,CSV!F:F,""),
_xlpm.MacVal,_xlfn.XLOOKUP($A1037,Output_Mac!$A:$A,Output_Mac!E:E,""),
_xlpm.MyAuditVal,_xlfn.XLOOKUP($A1037,My_Audit!$A:$A,My_Audit!E:E,""),
_xlfn.IFS(_xlpm.MyAuditVal&lt;&gt;"",_xlpm.MyAuditVal,_xlpm.MacVal&lt;&gt;"",_xlpm.MacVal,_xlpm.CSVVal&lt;&gt;"",_xlpm.CSVVal
)),"")</f>
        <v/>
      </c>
      <c r="G1037" s="40" t="str" cm="1">
        <f t="array" ref="G1037">IFERROR(_xlfn.LET(
_xlpm.CSVVal,_xlfn.XLOOKUP($A1037,CSV!$A:$A,CSV!G:G,""),
_xlpm.MacVal,_xlfn.XLOOKUP($A1037,Output_Mac!$A:$A,Output_Mac!F:F,""),
_xlpm.MyAuditVal,_xlfn.XLOOKUP($A1037,My_Audit!$A:$A,My_Audit!F:F,""),
_xlfn.IFS(_xlpm.MyAuditVal&lt;&gt;"",_xlpm.MyAuditVal,_xlpm.MacVal&lt;&gt;"",_xlpm.MacVal,_xlpm.CSVVal&lt;&gt;"",PROPER(_xlpm.CSVVal)
)),"")</f>
        <v/>
      </c>
      <c r="H1037" s="40" t="str" cm="1">
        <f t="array" ref="H1037">IFERROR(_xlfn.LET(
_xlpm.CSVVal,_xlfn.XLOOKUP($A1037,CSV!$A:$A,CSV!H:H,""),
_xlpm.MacVal,_xlfn.XLOOKUP($A1037,Output_Mac!$A:$A,Output_Mac!H:H,""),
_xlpm.MyAuditVal,_xlfn.XLOOKUP($A1037,My_Audit!$A:$A,My_Audit!G:G,""),
_xlfn.IFS(_xlpm.MyAuditVal&lt;&gt;"",_xlpm.MyAuditVal,_xlpm.MacVal&lt;&gt;"",_xlpm.MacVal,_xlpm.CSVVal&lt;&gt;"",_xlpm.CSVVal
)),"")</f>
        <v/>
      </c>
      <c r="I1037" s="40" t="str">
        <f>_xlfn.XLOOKUP(A1037,Output_Mac!A:A,Output_Mac!I:I,"")</f>
        <v/>
      </c>
      <c r="J1037" s="40" t="str" cm="1">
        <f t="array" ref="J1037">IFERROR(_xlfn.LET(
_xlpm.CSVVal,_xlfn.XLOOKUP($A1037,CSV!$A:$A,CSV!I:I,""),
_xlpm.MacVal,_xlfn.XLOOKUP($A1037,Output_Mac!$A:$A,Output_Mac!J:J,""),
_xlpm.MyAuditVal,_xlfn.XLOOKUP($A1037,My_Audit!$A:$A,My_Audit!I:I,""),
_xlfn.IFS(_xlpm.MyAuditVal&lt;&gt;"",UPPER(_xlpm.MyAuditVal),_xlpm.MacVal&lt;&gt;"",_xlpm.MacVal,_xlpm.CSVVal&lt;&gt;"",_xlpm.CSVVal
)),"")</f>
        <v/>
      </c>
      <c r="K1037" s="40" t="str" cm="1">
        <f t="array" ref="K1037">IFERROR(_xlfn.LET(
_xlpm.CSVVal,_xlfn.XLOOKUP($A1037,CSV!$A:$A,CSV!K:K,""),
_xlpm.MacVal,_xlfn.XLOOKUP($A1037,Output_Mac!$A:$A,Output_Mac!K:K,""),
_xlpm.MyAuditVal,_xlfn.XLOOKUP($A1037,My_Audit!$A:$A,My_Audit!J:J,""),
_xlfn.IFS(_xlpm.MyAuditVal&lt;&gt;"",UPPER(_xlpm.MyAuditVal),_xlpm.MacVal&lt;&gt;"",_xlpm.MacVal,_xlpm.CSVVal&lt;&gt;"",_xlpm.CSVVal
)),"")</f>
        <v/>
      </c>
      <c r="L1037" s="40" t="str" cm="1">
        <f t="array" ref="L1037">IFERROR(_xlfn.LET(
_xlpm.CSVVal,_xlfn.XLOOKUP($A1037,CSV!$A:$A,CSV!P:P,""),
_xlpm.MacVal,_xlfn.XLOOKUP($A1037,Output_Mac!$A:$A,Output_Mac!L:L,""),
_xlpm.MyAuditVal,_xlfn.XLOOKUP($A1037,My_Audit!$A:$A,My_Audit!K:K,""),
_xlfn.IFS(_xlpm.MyAuditVal&lt;&gt;"",UPPER(_xlpm.MyAuditVal),_xlpm.MacVal&lt;&gt;"",_xlpm.MacVal,_xlpm.CSVVal&lt;&gt;"",_xlpm.CSVVal
)),"")</f>
        <v/>
      </c>
      <c r="M1037" s="40" t="str" cm="1">
        <f t="array" ref="M1037">IFERROR(_xlfn.LET(
_xlpm.CSVVal,_xlfn.XLOOKUP($A1037,CSV!$A:$A,CSV!Q:Q,""),
_xlpm.MacVal,_xlfn.XLOOKUP($A1037,Output_Mac!$A:$A,Output_Mac!M:M,""),
_xlpm.MyAuditVal,_xlfn.XLOOKUP($A1037,My_Audit!$A:$A,My_Audit!L:L,""),
_xlfn.IFS(_xlpm.MyAuditVal&lt;&gt;"",UPPER(_xlpm.MyAuditVal),_xlpm.MacVal&lt;&gt;"",_xlpm.MacVal,_xlpm.CSVVal&lt;&gt;"",_xlpm.CSVVal
)),"")</f>
        <v/>
      </c>
      <c r="N1037" s="40"/>
      <c r="O1037" s="40" t="str">
        <f>_xlfn.LET(
    _xlpm.CSVVal, _xlfn.XLOOKUP($A1037, CSV!$A:$A, CSV!AA:AA, ""),
    _xlpm.MacVal, _xlfn.XLOOKUP($A1037, Output_Mac!$A:$A, Output_Mac!S:S, ""),
    _xlpm.MyAuditVal, _xlfn.XLOOKUP($A1037, My_Audit!$A:$A, My_Audit!P:P, ""),
    _xlfn.TEXTJOIN(", ", TRUE, _xlpm.MyAuditVal, _xlpm.MacVal, _xlpm.CSVVal)
)</f>
        <v/>
      </c>
      <c r="P1037" s="40" t="str" cm="1">
        <f t="array" ref="P1037">IFERROR(_xlfn.LET(
_xlpm.CSVVal,_xlfn.XLOOKUP($A1037,CSV!$A:$A,CSV!AB:AB,""),
_xlpm.MacVal,_xlfn.XLOOKUP($A1037,Output_Mac!$A:$A,Output_Mac!T:T,""),
_xlpm.MyAuditVal,_xlfn.XLOOKUP($A1037,My_Audit!$A:$A,My_Audit!Q:Q,""),
_xlfn.IFS(_xlpm.MyAuditVal&lt;&gt;"",UPPER(_xlpm.MyAuditVal),_xlpm.MacVal&lt;&gt;"",_xlpm.MacVal,_xlpm.CSVVal&lt;&gt;"",_xlpm.CSVVal
)),"No")</f>
        <v>No</v>
      </c>
      <c r="Q1037" s="40" t="str" cm="1">
        <f t="array" ref="Q1037">IFERROR(_xlfn.LET(
_xlpm.CSVVal,_xlfn.XLOOKUP($A1037,CSV!$A:$A,CSV!AC:AC,""),
_xlpm.MacVal,_xlfn.XLOOKUP($A1037,Output_Mac!$A:$A,Output_Mac!U:U,""),
_xlpm.MyAuditVal,_xlfn.XLOOKUP($A1037,My_Audit!$A:$A,My_Audit!R:R,""),
_xlfn.IFS(_xlpm.MyAuditVal&lt;&gt;"",UPPER(_xlpm.MyAuditVal),_xlpm.MacVal&lt;&gt;"",_xlpm.MacVal,_xlpm.CSVVal&lt;&gt;"",_xlpm.CSVVal
)),"")</f>
        <v/>
      </c>
      <c r="R1037" s="40"/>
      <c r="S1037" s="40"/>
      <c r="T1037" s="40"/>
      <c r="U1037" s="40"/>
      <c r="V1037" s="40"/>
      <c r="W1037" s="40"/>
      <c r="X1037" s="41" t="str">
        <f>_xlfn.LET(
    _xlpm.MacVal, _xlfn.XLOOKUP($A1037, Output_Mac!$A:$A, Output_Mac!AB:AB, ""),
    _xlpm.MyAuditVal, _xlfn.XLOOKUP($A1037, My_Audit!$A:$A, My_Audit!N:N, ""),
    _xlfn.TEXTJOIN(", ", TRUE, _xlpm.MyAuditVal, _xlpm.MacVal)
)</f>
        <v/>
      </c>
    </row>
    <row r="1038" spans="1:24">
      <c r="A1038" s="40" t="str">
        <f>_xlfn.TEXTJOIN("",TRUE,Input!$B$2,ROW(My_Audit!A1037))</f>
        <v>X1037</v>
      </c>
      <c r="B1038" s="40" t="str">
        <f>_xlfn.TEXTJOIN("-",TRUE,"ITD",Input!$A$2,A1038)</f>
        <v>ITD-X1037</v>
      </c>
      <c r="C1038" s="40" t="str" cm="1">
        <f t="array" ref="C1038">IFERROR(_xlfn.LET(
_xlpm.CSVVal,_xlfn.XLOOKUP($A1038,CSV!$A:$A,CSV!B:B,""),
_xlpm.MacVal,_xlfn.XLOOKUP($A1038,Output_Mac!$A:$A,Output_Mac!B:B,""),
_xlpm.MyAuditVal,_xlfn.XLOOKUP($A1038,My_Audit!$A:$A,My_Audit!B:B,""),
_xlfn.IFS(_xlpm.MyAuditVal&lt;&gt;"",UPPER(_xlpm.MyAuditVal),_xlpm.MacVal&lt;&gt;"",_xlpm.MacVal,_xlpm.CSVVal&lt;&gt;"",_xlpm.CSVVal
)),"")</f>
        <v/>
      </c>
      <c r="D1038" s="40" t="str" cm="1">
        <f t="array" ref="D1038">IFERROR(_xlfn.LET(
_xlpm.CSVVal,_xlfn.XLOOKUP($A1038,CSV!$A:$A,CSV!D:D,""),
_xlpm.MacVal,_xlfn.XLOOKUP($A1038,Output_Mac!$A:$A,Output_Mac!C:C,""),
_xlpm.MyAuditVal,_xlfn.XLOOKUP($A1038,My_Audit!$A:$A,My_Audit!C:C,""),
_xlfn.IFS(_xlpm.MyAuditVal&lt;&gt;"",_xlpm.MyAuditVal,_xlpm.MacVal&lt;&gt;"",_xlpm.MacVal,_xlpm.CSVVal&lt;&gt;"",_xlpm.CSVVal
)),"")</f>
        <v/>
      </c>
      <c r="E1038" s="40" t="str">
        <f>_xlfn.XLOOKUP(A1038,My_Audit!A:A,My_Audit!D:D,"")</f>
        <v/>
      </c>
      <c r="F1038" s="40" t="str" cm="1">
        <f t="array" ref="F1038">IFERROR(_xlfn.LET(
_xlpm.CSVVal,_xlfn.XLOOKUP($A1038,CSV!$A:$A,CSV!F:F,""),
_xlpm.MacVal,_xlfn.XLOOKUP($A1038,Output_Mac!$A:$A,Output_Mac!E:E,""),
_xlpm.MyAuditVal,_xlfn.XLOOKUP($A1038,My_Audit!$A:$A,My_Audit!E:E,""),
_xlfn.IFS(_xlpm.MyAuditVal&lt;&gt;"",_xlpm.MyAuditVal,_xlpm.MacVal&lt;&gt;"",_xlpm.MacVal,_xlpm.CSVVal&lt;&gt;"",_xlpm.CSVVal
)),"")</f>
        <v/>
      </c>
      <c r="G1038" s="40" t="str" cm="1">
        <f t="array" ref="G1038">IFERROR(_xlfn.LET(
_xlpm.CSVVal,_xlfn.XLOOKUP($A1038,CSV!$A:$A,CSV!G:G,""),
_xlpm.MacVal,_xlfn.XLOOKUP($A1038,Output_Mac!$A:$A,Output_Mac!F:F,""),
_xlpm.MyAuditVal,_xlfn.XLOOKUP($A1038,My_Audit!$A:$A,My_Audit!F:F,""),
_xlfn.IFS(_xlpm.MyAuditVal&lt;&gt;"",_xlpm.MyAuditVal,_xlpm.MacVal&lt;&gt;"",_xlpm.MacVal,_xlpm.CSVVal&lt;&gt;"",PROPER(_xlpm.CSVVal)
)),"")</f>
        <v/>
      </c>
      <c r="H1038" s="40" t="str" cm="1">
        <f t="array" ref="H1038">IFERROR(_xlfn.LET(
_xlpm.CSVVal,_xlfn.XLOOKUP($A1038,CSV!$A:$A,CSV!H:H,""),
_xlpm.MacVal,_xlfn.XLOOKUP($A1038,Output_Mac!$A:$A,Output_Mac!H:H,""),
_xlpm.MyAuditVal,_xlfn.XLOOKUP($A1038,My_Audit!$A:$A,My_Audit!G:G,""),
_xlfn.IFS(_xlpm.MyAuditVal&lt;&gt;"",_xlpm.MyAuditVal,_xlpm.MacVal&lt;&gt;"",_xlpm.MacVal,_xlpm.CSVVal&lt;&gt;"",_xlpm.CSVVal
)),"")</f>
        <v/>
      </c>
      <c r="I1038" s="40" t="str">
        <f>_xlfn.XLOOKUP(A1038,Output_Mac!A:A,Output_Mac!I:I,"")</f>
        <v/>
      </c>
      <c r="J1038" s="40" t="str" cm="1">
        <f t="array" ref="J1038">IFERROR(_xlfn.LET(
_xlpm.CSVVal,_xlfn.XLOOKUP($A1038,CSV!$A:$A,CSV!I:I,""),
_xlpm.MacVal,_xlfn.XLOOKUP($A1038,Output_Mac!$A:$A,Output_Mac!J:J,""),
_xlpm.MyAuditVal,_xlfn.XLOOKUP($A1038,My_Audit!$A:$A,My_Audit!I:I,""),
_xlfn.IFS(_xlpm.MyAuditVal&lt;&gt;"",UPPER(_xlpm.MyAuditVal),_xlpm.MacVal&lt;&gt;"",_xlpm.MacVal,_xlpm.CSVVal&lt;&gt;"",_xlpm.CSVVal
)),"")</f>
        <v/>
      </c>
      <c r="K1038" s="40" t="str" cm="1">
        <f t="array" ref="K1038">IFERROR(_xlfn.LET(
_xlpm.CSVVal,_xlfn.XLOOKUP($A1038,CSV!$A:$A,CSV!K:K,""),
_xlpm.MacVal,_xlfn.XLOOKUP($A1038,Output_Mac!$A:$A,Output_Mac!K:K,""),
_xlpm.MyAuditVal,_xlfn.XLOOKUP($A1038,My_Audit!$A:$A,My_Audit!J:J,""),
_xlfn.IFS(_xlpm.MyAuditVal&lt;&gt;"",UPPER(_xlpm.MyAuditVal),_xlpm.MacVal&lt;&gt;"",_xlpm.MacVal,_xlpm.CSVVal&lt;&gt;"",_xlpm.CSVVal
)),"")</f>
        <v/>
      </c>
      <c r="L1038" s="40" t="str" cm="1">
        <f t="array" ref="L1038">IFERROR(_xlfn.LET(
_xlpm.CSVVal,_xlfn.XLOOKUP($A1038,CSV!$A:$A,CSV!P:P,""),
_xlpm.MacVal,_xlfn.XLOOKUP($A1038,Output_Mac!$A:$A,Output_Mac!L:L,""),
_xlpm.MyAuditVal,_xlfn.XLOOKUP($A1038,My_Audit!$A:$A,My_Audit!K:K,""),
_xlfn.IFS(_xlpm.MyAuditVal&lt;&gt;"",UPPER(_xlpm.MyAuditVal),_xlpm.MacVal&lt;&gt;"",_xlpm.MacVal,_xlpm.CSVVal&lt;&gt;"",_xlpm.CSVVal
)),"")</f>
        <v/>
      </c>
      <c r="M1038" s="40" t="str" cm="1">
        <f t="array" ref="M1038">IFERROR(_xlfn.LET(
_xlpm.CSVVal,_xlfn.XLOOKUP($A1038,CSV!$A:$A,CSV!Q:Q,""),
_xlpm.MacVal,_xlfn.XLOOKUP($A1038,Output_Mac!$A:$A,Output_Mac!M:M,""),
_xlpm.MyAuditVal,_xlfn.XLOOKUP($A1038,My_Audit!$A:$A,My_Audit!L:L,""),
_xlfn.IFS(_xlpm.MyAuditVal&lt;&gt;"",UPPER(_xlpm.MyAuditVal),_xlpm.MacVal&lt;&gt;"",_xlpm.MacVal,_xlpm.CSVVal&lt;&gt;"",_xlpm.CSVVal
)),"")</f>
        <v/>
      </c>
      <c r="N1038" s="40"/>
      <c r="O1038" s="40" t="str">
        <f>_xlfn.LET(
    _xlpm.CSVVal, _xlfn.XLOOKUP($A1038, CSV!$A:$A, CSV!AA:AA, ""),
    _xlpm.MacVal, _xlfn.XLOOKUP($A1038, Output_Mac!$A:$A, Output_Mac!S:S, ""),
    _xlpm.MyAuditVal, _xlfn.XLOOKUP($A1038, My_Audit!$A:$A, My_Audit!P:P, ""),
    _xlfn.TEXTJOIN(", ", TRUE, _xlpm.MyAuditVal, _xlpm.MacVal, _xlpm.CSVVal)
)</f>
        <v/>
      </c>
      <c r="P1038" s="40" t="str" cm="1">
        <f t="array" ref="P1038">IFERROR(_xlfn.LET(
_xlpm.CSVVal,_xlfn.XLOOKUP($A1038,CSV!$A:$A,CSV!AB:AB,""),
_xlpm.MacVal,_xlfn.XLOOKUP($A1038,Output_Mac!$A:$A,Output_Mac!T:T,""),
_xlpm.MyAuditVal,_xlfn.XLOOKUP($A1038,My_Audit!$A:$A,My_Audit!Q:Q,""),
_xlfn.IFS(_xlpm.MyAuditVal&lt;&gt;"",UPPER(_xlpm.MyAuditVal),_xlpm.MacVal&lt;&gt;"",_xlpm.MacVal,_xlpm.CSVVal&lt;&gt;"",_xlpm.CSVVal
)),"No")</f>
        <v>No</v>
      </c>
      <c r="Q1038" s="40" t="str" cm="1">
        <f t="array" ref="Q1038">IFERROR(_xlfn.LET(
_xlpm.CSVVal,_xlfn.XLOOKUP($A1038,CSV!$A:$A,CSV!AC:AC,""),
_xlpm.MacVal,_xlfn.XLOOKUP($A1038,Output_Mac!$A:$A,Output_Mac!U:U,""),
_xlpm.MyAuditVal,_xlfn.XLOOKUP($A1038,My_Audit!$A:$A,My_Audit!R:R,""),
_xlfn.IFS(_xlpm.MyAuditVal&lt;&gt;"",UPPER(_xlpm.MyAuditVal),_xlpm.MacVal&lt;&gt;"",_xlpm.MacVal,_xlpm.CSVVal&lt;&gt;"",_xlpm.CSVVal
)),"")</f>
        <v/>
      </c>
      <c r="R1038" s="40"/>
      <c r="S1038" s="40"/>
      <c r="T1038" s="40"/>
      <c r="U1038" s="40"/>
      <c r="V1038" s="40"/>
      <c r="W1038" s="40"/>
      <c r="X1038" s="41" t="str">
        <f>_xlfn.LET(
    _xlpm.MacVal, _xlfn.XLOOKUP($A1038, Output_Mac!$A:$A, Output_Mac!AB:AB, ""),
    _xlpm.MyAuditVal, _xlfn.XLOOKUP($A1038, My_Audit!$A:$A, My_Audit!N:N, ""),
    _xlfn.TEXTJOIN(", ", TRUE, _xlpm.MyAuditVal, _xlpm.MacVal)
)</f>
        <v/>
      </c>
    </row>
    <row r="1039" spans="1:24">
      <c r="A1039" s="40" t="str">
        <f>_xlfn.TEXTJOIN("",TRUE,Input!$B$2,ROW(My_Audit!A1038))</f>
        <v>X1038</v>
      </c>
      <c r="B1039" s="40" t="str">
        <f>_xlfn.TEXTJOIN("-",TRUE,"ITD",Input!$A$2,A1039)</f>
        <v>ITD-X1038</v>
      </c>
      <c r="C1039" s="40" t="str" cm="1">
        <f t="array" ref="C1039">IFERROR(_xlfn.LET(
_xlpm.CSVVal,_xlfn.XLOOKUP($A1039,CSV!$A:$A,CSV!B:B,""),
_xlpm.MacVal,_xlfn.XLOOKUP($A1039,Output_Mac!$A:$A,Output_Mac!B:B,""),
_xlpm.MyAuditVal,_xlfn.XLOOKUP($A1039,My_Audit!$A:$A,My_Audit!B:B,""),
_xlfn.IFS(_xlpm.MyAuditVal&lt;&gt;"",UPPER(_xlpm.MyAuditVal),_xlpm.MacVal&lt;&gt;"",_xlpm.MacVal,_xlpm.CSVVal&lt;&gt;"",_xlpm.CSVVal
)),"")</f>
        <v/>
      </c>
      <c r="D1039" s="40" t="str" cm="1">
        <f t="array" ref="D1039">IFERROR(_xlfn.LET(
_xlpm.CSVVal,_xlfn.XLOOKUP($A1039,CSV!$A:$A,CSV!D:D,""),
_xlpm.MacVal,_xlfn.XLOOKUP($A1039,Output_Mac!$A:$A,Output_Mac!C:C,""),
_xlpm.MyAuditVal,_xlfn.XLOOKUP($A1039,My_Audit!$A:$A,My_Audit!C:C,""),
_xlfn.IFS(_xlpm.MyAuditVal&lt;&gt;"",_xlpm.MyAuditVal,_xlpm.MacVal&lt;&gt;"",_xlpm.MacVal,_xlpm.CSVVal&lt;&gt;"",_xlpm.CSVVal
)),"")</f>
        <v/>
      </c>
      <c r="E1039" s="40" t="str">
        <f>_xlfn.XLOOKUP(A1039,My_Audit!A:A,My_Audit!D:D,"")</f>
        <v/>
      </c>
      <c r="F1039" s="40" t="str" cm="1">
        <f t="array" ref="F1039">IFERROR(_xlfn.LET(
_xlpm.CSVVal,_xlfn.XLOOKUP($A1039,CSV!$A:$A,CSV!F:F,""),
_xlpm.MacVal,_xlfn.XLOOKUP($A1039,Output_Mac!$A:$A,Output_Mac!E:E,""),
_xlpm.MyAuditVal,_xlfn.XLOOKUP($A1039,My_Audit!$A:$A,My_Audit!E:E,""),
_xlfn.IFS(_xlpm.MyAuditVal&lt;&gt;"",_xlpm.MyAuditVal,_xlpm.MacVal&lt;&gt;"",_xlpm.MacVal,_xlpm.CSVVal&lt;&gt;"",_xlpm.CSVVal
)),"")</f>
        <v/>
      </c>
      <c r="G1039" s="40" t="str" cm="1">
        <f t="array" ref="G1039">IFERROR(_xlfn.LET(
_xlpm.CSVVal,_xlfn.XLOOKUP($A1039,CSV!$A:$A,CSV!G:G,""),
_xlpm.MacVal,_xlfn.XLOOKUP($A1039,Output_Mac!$A:$A,Output_Mac!F:F,""),
_xlpm.MyAuditVal,_xlfn.XLOOKUP($A1039,My_Audit!$A:$A,My_Audit!F:F,""),
_xlfn.IFS(_xlpm.MyAuditVal&lt;&gt;"",_xlpm.MyAuditVal,_xlpm.MacVal&lt;&gt;"",_xlpm.MacVal,_xlpm.CSVVal&lt;&gt;"",PROPER(_xlpm.CSVVal)
)),"")</f>
        <v/>
      </c>
      <c r="H1039" s="40" t="str" cm="1">
        <f t="array" ref="H1039">IFERROR(_xlfn.LET(
_xlpm.CSVVal,_xlfn.XLOOKUP($A1039,CSV!$A:$A,CSV!H:H,""),
_xlpm.MacVal,_xlfn.XLOOKUP($A1039,Output_Mac!$A:$A,Output_Mac!H:H,""),
_xlpm.MyAuditVal,_xlfn.XLOOKUP($A1039,My_Audit!$A:$A,My_Audit!G:G,""),
_xlfn.IFS(_xlpm.MyAuditVal&lt;&gt;"",_xlpm.MyAuditVal,_xlpm.MacVal&lt;&gt;"",_xlpm.MacVal,_xlpm.CSVVal&lt;&gt;"",_xlpm.CSVVal
)),"")</f>
        <v/>
      </c>
      <c r="I1039" s="40" t="str">
        <f>_xlfn.XLOOKUP(A1039,Output_Mac!A:A,Output_Mac!I:I,"")</f>
        <v/>
      </c>
      <c r="J1039" s="40" t="str" cm="1">
        <f t="array" ref="J1039">IFERROR(_xlfn.LET(
_xlpm.CSVVal,_xlfn.XLOOKUP($A1039,CSV!$A:$A,CSV!I:I,""),
_xlpm.MacVal,_xlfn.XLOOKUP($A1039,Output_Mac!$A:$A,Output_Mac!J:J,""),
_xlpm.MyAuditVal,_xlfn.XLOOKUP($A1039,My_Audit!$A:$A,My_Audit!I:I,""),
_xlfn.IFS(_xlpm.MyAuditVal&lt;&gt;"",UPPER(_xlpm.MyAuditVal),_xlpm.MacVal&lt;&gt;"",_xlpm.MacVal,_xlpm.CSVVal&lt;&gt;"",_xlpm.CSVVal
)),"")</f>
        <v/>
      </c>
      <c r="K1039" s="40" t="str" cm="1">
        <f t="array" ref="K1039">IFERROR(_xlfn.LET(
_xlpm.CSVVal,_xlfn.XLOOKUP($A1039,CSV!$A:$A,CSV!K:K,""),
_xlpm.MacVal,_xlfn.XLOOKUP($A1039,Output_Mac!$A:$A,Output_Mac!K:K,""),
_xlpm.MyAuditVal,_xlfn.XLOOKUP($A1039,My_Audit!$A:$A,My_Audit!J:J,""),
_xlfn.IFS(_xlpm.MyAuditVal&lt;&gt;"",UPPER(_xlpm.MyAuditVal),_xlpm.MacVal&lt;&gt;"",_xlpm.MacVal,_xlpm.CSVVal&lt;&gt;"",_xlpm.CSVVal
)),"")</f>
        <v/>
      </c>
      <c r="L1039" s="40" t="str" cm="1">
        <f t="array" ref="L1039">IFERROR(_xlfn.LET(
_xlpm.CSVVal,_xlfn.XLOOKUP($A1039,CSV!$A:$A,CSV!P:P,""),
_xlpm.MacVal,_xlfn.XLOOKUP($A1039,Output_Mac!$A:$A,Output_Mac!L:L,""),
_xlpm.MyAuditVal,_xlfn.XLOOKUP($A1039,My_Audit!$A:$A,My_Audit!K:K,""),
_xlfn.IFS(_xlpm.MyAuditVal&lt;&gt;"",UPPER(_xlpm.MyAuditVal),_xlpm.MacVal&lt;&gt;"",_xlpm.MacVal,_xlpm.CSVVal&lt;&gt;"",_xlpm.CSVVal
)),"")</f>
        <v/>
      </c>
      <c r="M1039" s="40" t="str" cm="1">
        <f t="array" ref="M1039">IFERROR(_xlfn.LET(
_xlpm.CSVVal,_xlfn.XLOOKUP($A1039,CSV!$A:$A,CSV!Q:Q,""),
_xlpm.MacVal,_xlfn.XLOOKUP($A1039,Output_Mac!$A:$A,Output_Mac!M:M,""),
_xlpm.MyAuditVal,_xlfn.XLOOKUP($A1039,My_Audit!$A:$A,My_Audit!L:L,""),
_xlfn.IFS(_xlpm.MyAuditVal&lt;&gt;"",UPPER(_xlpm.MyAuditVal),_xlpm.MacVal&lt;&gt;"",_xlpm.MacVal,_xlpm.CSVVal&lt;&gt;"",_xlpm.CSVVal
)),"")</f>
        <v/>
      </c>
      <c r="N1039" s="40"/>
      <c r="O1039" s="40" t="str">
        <f>_xlfn.LET(
    _xlpm.CSVVal, _xlfn.XLOOKUP($A1039, CSV!$A:$A, CSV!AA:AA, ""),
    _xlpm.MacVal, _xlfn.XLOOKUP($A1039, Output_Mac!$A:$A, Output_Mac!S:S, ""),
    _xlpm.MyAuditVal, _xlfn.XLOOKUP($A1039, My_Audit!$A:$A, My_Audit!P:P, ""),
    _xlfn.TEXTJOIN(", ", TRUE, _xlpm.MyAuditVal, _xlpm.MacVal, _xlpm.CSVVal)
)</f>
        <v/>
      </c>
      <c r="P1039" s="40" t="str" cm="1">
        <f t="array" ref="P1039">IFERROR(_xlfn.LET(
_xlpm.CSVVal,_xlfn.XLOOKUP($A1039,CSV!$A:$A,CSV!AB:AB,""),
_xlpm.MacVal,_xlfn.XLOOKUP($A1039,Output_Mac!$A:$A,Output_Mac!T:T,""),
_xlpm.MyAuditVal,_xlfn.XLOOKUP($A1039,My_Audit!$A:$A,My_Audit!Q:Q,""),
_xlfn.IFS(_xlpm.MyAuditVal&lt;&gt;"",UPPER(_xlpm.MyAuditVal),_xlpm.MacVal&lt;&gt;"",_xlpm.MacVal,_xlpm.CSVVal&lt;&gt;"",_xlpm.CSVVal
)),"No")</f>
        <v>No</v>
      </c>
      <c r="Q1039" s="40" t="str" cm="1">
        <f t="array" ref="Q1039">IFERROR(_xlfn.LET(
_xlpm.CSVVal,_xlfn.XLOOKUP($A1039,CSV!$A:$A,CSV!AC:AC,""),
_xlpm.MacVal,_xlfn.XLOOKUP($A1039,Output_Mac!$A:$A,Output_Mac!U:U,""),
_xlpm.MyAuditVal,_xlfn.XLOOKUP($A1039,My_Audit!$A:$A,My_Audit!R:R,""),
_xlfn.IFS(_xlpm.MyAuditVal&lt;&gt;"",UPPER(_xlpm.MyAuditVal),_xlpm.MacVal&lt;&gt;"",_xlpm.MacVal,_xlpm.CSVVal&lt;&gt;"",_xlpm.CSVVal
)),"")</f>
        <v/>
      </c>
      <c r="R1039" s="40"/>
      <c r="S1039" s="40"/>
      <c r="T1039" s="40"/>
      <c r="U1039" s="40"/>
      <c r="V1039" s="40"/>
      <c r="W1039" s="40"/>
      <c r="X1039" s="41" t="str">
        <f>_xlfn.LET(
    _xlpm.MacVal, _xlfn.XLOOKUP($A1039, Output_Mac!$A:$A, Output_Mac!AB:AB, ""),
    _xlpm.MyAuditVal, _xlfn.XLOOKUP($A1039, My_Audit!$A:$A, My_Audit!N:N, ""),
    _xlfn.TEXTJOIN(", ", TRUE, _xlpm.MyAuditVal, _xlpm.MacVal)
)</f>
        <v/>
      </c>
    </row>
    <row r="1040" spans="1:24">
      <c r="A1040" s="40" t="str">
        <f>_xlfn.TEXTJOIN("",TRUE,Input!$B$2,ROW(My_Audit!A1039))</f>
        <v>X1039</v>
      </c>
      <c r="B1040" s="40" t="str">
        <f>_xlfn.TEXTJOIN("-",TRUE,"ITD",Input!$A$2,A1040)</f>
        <v>ITD-X1039</v>
      </c>
      <c r="C1040" s="40" t="str" cm="1">
        <f t="array" ref="C1040">IFERROR(_xlfn.LET(
_xlpm.CSVVal,_xlfn.XLOOKUP($A1040,CSV!$A:$A,CSV!B:B,""),
_xlpm.MacVal,_xlfn.XLOOKUP($A1040,Output_Mac!$A:$A,Output_Mac!B:B,""),
_xlpm.MyAuditVal,_xlfn.XLOOKUP($A1040,My_Audit!$A:$A,My_Audit!B:B,""),
_xlfn.IFS(_xlpm.MyAuditVal&lt;&gt;"",UPPER(_xlpm.MyAuditVal),_xlpm.MacVal&lt;&gt;"",_xlpm.MacVal,_xlpm.CSVVal&lt;&gt;"",_xlpm.CSVVal
)),"")</f>
        <v/>
      </c>
      <c r="D1040" s="40" t="str" cm="1">
        <f t="array" ref="D1040">IFERROR(_xlfn.LET(
_xlpm.CSVVal,_xlfn.XLOOKUP($A1040,CSV!$A:$A,CSV!D:D,""),
_xlpm.MacVal,_xlfn.XLOOKUP($A1040,Output_Mac!$A:$A,Output_Mac!C:C,""),
_xlpm.MyAuditVal,_xlfn.XLOOKUP($A1040,My_Audit!$A:$A,My_Audit!C:C,""),
_xlfn.IFS(_xlpm.MyAuditVal&lt;&gt;"",_xlpm.MyAuditVal,_xlpm.MacVal&lt;&gt;"",_xlpm.MacVal,_xlpm.CSVVal&lt;&gt;"",_xlpm.CSVVal
)),"")</f>
        <v/>
      </c>
      <c r="E1040" s="40" t="str">
        <f>_xlfn.XLOOKUP(A1040,My_Audit!A:A,My_Audit!D:D,"")</f>
        <v/>
      </c>
      <c r="F1040" s="40" t="str" cm="1">
        <f t="array" ref="F1040">IFERROR(_xlfn.LET(
_xlpm.CSVVal,_xlfn.XLOOKUP($A1040,CSV!$A:$A,CSV!F:F,""),
_xlpm.MacVal,_xlfn.XLOOKUP($A1040,Output_Mac!$A:$A,Output_Mac!E:E,""),
_xlpm.MyAuditVal,_xlfn.XLOOKUP($A1040,My_Audit!$A:$A,My_Audit!E:E,""),
_xlfn.IFS(_xlpm.MyAuditVal&lt;&gt;"",_xlpm.MyAuditVal,_xlpm.MacVal&lt;&gt;"",_xlpm.MacVal,_xlpm.CSVVal&lt;&gt;"",_xlpm.CSVVal
)),"")</f>
        <v/>
      </c>
      <c r="G1040" s="40" t="str" cm="1">
        <f t="array" ref="G1040">IFERROR(_xlfn.LET(
_xlpm.CSVVal,_xlfn.XLOOKUP($A1040,CSV!$A:$A,CSV!G:G,""),
_xlpm.MacVal,_xlfn.XLOOKUP($A1040,Output_Mac!$A:$A,Output_Mac!F:F,""),
_xlpm.MyAuditVal,_xlfn.XLOOKUP($A1040,My_Audit!$A:$A,My_Audit!F:F,""),
_xlfn.IFS(_xlpm.MyAuditVal&lt;&gt;"",_xlpm.MyAuditVal,_xlpm.MacVal&lt;&gt;"",_xlpm.MacVal,_xlpm.CSVVal&lt;&gt;"",PROPER(_xlpm.CSVVal)
)),"")</f>
        <v/>
      </c>
      <c r="H1040" s="40" t="str" cm="1">
        <f t="array" ref="H1040">IFERROR(_xlfn.LET(
_xlpm.CSVVal,_xlfn.XLOOKUP($A1040,CSV!$A:$A,CSV!H:H,""),
_xlpm.MacVal,_xlfn.XLOOKUP($A1040,Output_Mac!$A:$A,Output_Mac!H:H,""),
_xlpm.MyAuditVal,_xlfn.XLOOKUP($A1040,My_Audit!$A:$A,My_Audit!G:G,""),
_xlfn.IFS(_xlpm.MyAuditVal&lt;&gt;"",_xlpm.MyAuditVal,_xlpm.MacVal&lt;&gt;"",_xlpm.MacVal,_xlpm.CSVVal&lt;&gt;"",_xlpm.CSVVal
)),"")</f>
        <v/>
      </c>
      <c r="I1040" s="40" t="str">
        <f>_xlfn.XLOOKUP(A1040,Output_Mac!A:A,Output_Mac!I:I,"")</f>
        <v/>
      </c>
      <c r="J1040" s="40" t="str" cm="1">
        <f t="array" ref="J1040">IFERROR(_xlfn.LET(
_xlpm.CSVVal,_xlfn.XLOOKUP($A1040,CSV!$A:$A,CSV!I:I,""),
_xlpm.MacVal,_xlfn.XLOOKUP($A1040,Output_Mac!$A:$A,Output_Mac!J:J,""),
_xlpm.MyAuditVal,_xlfn.XLOOKUP($A1040,My_Audit!$A:$A,My_Audit!I:I,""),
_xlfn.IFS(_xlpm.MyAuditVal&lt;&gt;"",UPPER(_xlpm.MyAuditVal),_xlpm.MacVal&lt;&gt;"",_xlpm.MacVal,_xlpm.CSVVal&lt;&gt;"",_xlpm.CSVVal
)),"")</f>
        <v/>
      </c>
      <c r="K1040" s="40" t="str" cm="1">
        <f t="array" ref="K1040">IFERROR(_xlfn.LET(
_xlpm.CSVVal,_xlfn.XLOOKUP($A1040,CSV!$A:$A,CSV!K:K,""),
_xlpm.MacVal,_xlfn.XLOOKUP($A1040,Output_Mac!$A:$A,Output_Mac!K:K,""),
_xlpm.MyAuditVal,_xlfn.XLOOKUP($A1040,My_Audit!$A:$A,My_Audit!J:J,""),
_xlfn.IFS(_xlpm.MyAuditVal&lt;&gt;"",UPPER(_xlpm.MyAuditVal),_xlpm.MacVal&lt;&gt;"",_xlpm.MacVal,_xlpm.CSVVal&lt;&gt;"",_xlpm.CSVVal
)),"")</f>
        <v/>
      </c>
      <c r="L1040" s="40" t="str" cm="1">
        <f t="array" ref="L1040">IFERROR(_xlfn.LET(
_xlpm.CSVVal,_xlfn.XLOOKUP($A1040,CSV!$A:$A,CSV!P:P,""),
_xlpm.MacVal,_xlfn.XLOOKUP($A1040,Output_Mac!$A:$A,Output_Mac!L:L,""),
_xlpm.MyAuditVal,_xlfn.XLOOKUP($A1040,My_Audit!$A:$A,My_Audit!K:K,""),
_xlfn.IFS(_xlpm.MyAuditVal&lt;&gt;"",UPPER(_xlpm.MyAuditVal),_xlpm.MacVal&lt;&gt;"",_xlpm.MacVal,_xlpm.CSVVal&lt;&gt;"",_xlpm.CSVVal
)),"")</f>
        <v/>
      </c>
      <c r="M1040" s="40" t="str" cm="1">
        <f t="array" ref="M1040">IFERROR(_xlfn.LET(
_xlpm.CSVVal,_xlfn.XLOOKUP($A1040,CSV!$A:$A,CSV!Q:Q,""),
_xlpm.MacVal,_xlfn.XLOOKUP($A1040,Output_Mac!$A:$A,Output_Mac!M:M,""),
_xlpm.MyAuditVal,_xlfn.XLOOKUP($A1040,My_Audit!$A:$A,My_Audit!L:L,""),
_xlfn.IFS(_xlpm.MyAuditVal&lt;&gt;"",UPPER(_xlpm.MyAuditVal),_xlpm.MacVal&lt;&gt;"",_xlpm.MacVal,_xlpm.CSVVal&lt;&gt;"",_xlpm.CSVVal
)),"")</f>
        <v/>
      </c>
      <c r="N1040" s="40"/>
      <c r="O1040" s="40" t="str">
        <f>_xlfn.LET(
    _xlpm.CSVVal, _xlfn.XLOOKUP($A1040, CSV!$A:$A, CSV!AA:AA, ""),
    _xlpm.MacVal, _xlfn.XLOOKUP($A1040, Output_Mac!$A:$A, Output_Mac!S:S, ""),
    _xlpm.MyAuditVal, _xlfn.XLOOKUP($A1040, My_Audit!$A:$A, My_Audit!P:P, ""),
    _xlfn.TEXTJOIN(", ", TRUE, _xlpm.MyAuditVal, _xlpm.MacVal, _xlpm.CSVVal)
)</f>
        <v/>
      </c>
      <c r="P1040" s="40" t="str" cm="1">
        <f t="array" ref="P1040">IFERROR(_xlfn.LET(
_xlpm.CSVVal,_xlfn.XLOOKUP($A1040,CSV!$A:$A,CSV!AB:AB,""),
_xlpm.MacVal,_xlfn.XLOOKUP($A1040,Output_Mac!$A:$A,Output_Mac!T:T,""),
_xlpm.MyAuditVal,_xlfn.XLOOKUP($A1040,My_Audit!$A:$A,My_Audit!Q:Q,""),
_xlfn.IFS(_xlpm.MyAuditVal&lt;&gt;"",UPPER(_xlpm.MyAuditVal),_xlpm.MacVal&lt;&gt;"",_xlpm.MacVal,_xlpm.CSVVal&lt;&gt;"",_xlpm.CSVVal
)),"No")</f>
        <v>No</v>
      </c>
      <c r="Q1040" s="40" t="str" cm="1">
        <f t="array" ref="Q1040">IFERROR(_xlfn.LET(
_xlpm.CSVVal,_xlfn.XLOOKUP($A1040,CSV!$A:$A,CSV!AC:AC,""),
_xlpm.MacVal,_xlfn.XLOOKUP($A1040,Output_Mac!$A:$A,Output_Mac!U:U,""),
_xlpm.MyAuditVal,_xlfn.XLOOKUP($A1040,My_Audit!$A:$A,My_Audit!R:R,""),
_xlfn.IFS(_xlpm.MyAuditVal&lt;&gt;"",UPPER(_xlpm.MyAuditVal),_xlpm.MacVal&lt;&gt;"",_xlpm.MacVal,_xlpm.CSVVal&lt;&gt;"",_xlpm.CSVVal
)),"")</f>
        <v/>
      </c>
      <c r="R1040" s="40"/>
      <c r="S1040" s="40"/>
      <c r="T1040" s="40"/>
      <c r="U1040" s="40"/>
      <c r="V1040" s="40"/>
      <c r="W1040" s="40"/>
      <c r="X1040" s="41" t="str">
        <f>_xlfn.LET(
    _xlpm.MacVal, _xlfn.XLOOKUP($A1040, Output_Mac!$A:$A, Output_Mac!AB:AB, ""),
    _xlpm.MyAuditVal, _xlfn.XLOOKUP($A1040, My_Audit!$A:$A, My_Audit!N:N, ""),
    _xlfn.TEXTJOIN(", ", TRUE, _xlpm.MyAuditVal, _xlpm.MacVal)
)</f>
        <v/>
      </c>
    </row>
    <row r="1041" spans="1:24">
      <c r="A1041" s="40" t="str">
        <f>_xlfn.TEXTJOIN("",TRUE,Input!$B$2,ROW(My_Audit!A1040))</f>
        <v>X1040</v>
      </c>
      <c r="B1041" s="40" t="str">
        <f>_xlfn.TEXTJOIN("-",TRUE,"ITD",Input!$A$2,A1041)</f>
        <v>ITD-X1040</v>
      </c>
      <c r="C1041" s="40" t="str" cm="1">
        <f t="array" ref="C1041">IFERROR(_xlfn.LET(
_xlpm.CSVVal,_xlfn.XLOOKUP($A1041,CSV!$A:$A,CSV!B:B,""),
_xlpm.MacVal,_xlfn.XLOOKUP($A1041,Output_Mac!$A:$A,Output_Mac!B:B,""),
_xlpm.MyAuditVal,_xlfn.XLOOKUP($A1041,My_Audit!$A:$A,My_Audit!B:B,""),
_xlfn.IFS(_xlpm.MyAuditVal&lt;&gt;"",UPPER(_xlpm.MyAuditVal),_xlpm.MacVal&lt;&gt;"",_xlpm.MacVal,_xlpm.CSVVal&lt;&gt;"",_xlpm.CSVVal
)),"")</f>
        <v/>
      </c>
      <c r="D1041" s="40" t="str" cm="1">
        <f t="array" ref="D1041">IFERROR(_xlfn.LET(
_xlpm.CSVVal,_xlfn.XLOOKUP($A1041,CSV!$A:$A,CSV!D:D,""),
_xlpm.MacVal,_xlfn.XLOOKUP($A1041,Output_Mac!$A:$A,Output_Mac!C:C,""),
_xlpm.MyAuditVal,_xlfn.XLOOKUP($A1041,My_Audit!$A:$A,My_Audit!C:C,""),
_xlfn.IFS(_xlpm.MyAuditVal&lt;&gt;"",_xlpm.MyAuditVal,_xlpm.MacVal&lt;&gt;"",_xlpm.MacVal,_xlpm.CSVVal&lt;&gt;"",_xlpm.CSVVal
)),"")</f>
        <v/>
      </c>
      <c r="E1041" s="40" t="str">
        <f>_xlfn.XLOOKUP(A1041,My_Audit!A:A,My_Audit!D:D,"")</f>
        <v/>
      </c>
      <c r="F1041" s="40" t="str" cm="1">
        <f t="array" ref="F1041">IFERROR(_xlfn.LET(
_xlpm.CSVVal,_xlfn.XLOOKUP($A1041,CSV!$A:$A,CSV!F:F,""),
_xlpm.MacVal,_xlfn.XLOOKUP($A1041,Output_Mac!$A:$A,Output_Mac!E:E,""),
_xlpm.MyAuditVal,_xlfn.XLOOKUP($A1041,My_Audit!$A:$A,My_Audit!E:E,""),
_xlfn.IFS(_xlpm.MyAuditVal&lt;&gt;"",_xlpm.MyAuditVal,_xlpm.MacVal&lt;&gt;"",_xlpm.MacVal,_xlpm.CSVVal&lt;&gt;"",_xlpm.CSVVal
)),"")</f>
        <v/>
      </c>
      <c r="G1041" s="40" t="str" cm="1">
        <f t="array" ref="G1041">IFERROR(_xlfn.LET(
_xlpm.CSVVal,_xlfn.XLOOKUP($A1041,CSV!$A:$A,CSV!G:G,""),
_xlpm.MacVal,_xlfn.XLOOKUP($A1041,Output_Mac!$A:$A,Output_Mac!F:F,""),
_xlpm.MyAuditVal,_xlfn.XLOOKUP($A1041,My_Audit!$A:$A,My_Audit!F:F,""),
_xlfn.IFS(_xlpm.MyAuditVal&lt;&gt;"",_xlpm.MyAuditVal,_xlpm.MacVal&lt;&gt;"",_xlpm.MacVal,_xlpm.CSVVal&lt;&gt;"",PROPER(_xlpm.CSVVal)
)),"")</f>
        <v/>
      </c>
      <c r="H1041" s="40" t="str" cm="1">
        <f t="array" ref="H1041">IFERROR(_xlfn.LET(
_xlpm.CSVVal,_xlfn.XLOOKUP($A1041,CSV!$A:$A,CSV!H:H,""),
_xlpm.MacVal,_xlfn.XLOOKUP($A1041,Output_Mac!$A:$A,Output_Mac!H:H,""),
_xlpm.MyAuditVal,_xlfn.XLOOKUP($A1041,My_Audit!$A:$A,My_Audit!G:G,""),
_xlfn.IFS(_xlpm.MyAuditVal&lt;&gt;"",_xlpm.MyAuditVal,_xlpm.MacVal&lt;&gt;"",_xlpm.MacVal,_xlpm.CSVVal&lt;&gt;"",_xlpm.CSVVal
)),"")</f>
        <v/>
      </c>
      <c r="I1041" s="40" t="str">
        <f>_xlfn.XLOOKUP(A1041,Output_Mac!A:A,Output_Mac!I:I,"")</f>
        <v/>
      </c>
      <c r="J1041" s="40" t="str" cm="1">
        <f t="array" ref="J1041">IFERROR(_xlfn.LET(
_xlpm.CSVVal,_xlfn.XLOOKUP($A1041,CSV!$A:$A,CSV!I:I,""),
_xlpm.MacVal,_xlfn.XLOOKUP($A1041,Output_Mac!$A:$A,Output_Mac!J:J,""),
_xlpm.MyAuditVal,_xlfn.XLOOKUP($A1041,My_Audit!$A:$A,My_Audit!I:I,""),
_xlfn.IFS(_xlpm.MyAuditVal&lt;&gt;"",UPPER(_xlpm.MyAuditVal),_xlpm.MacVal&lt;&gt;"",_xlpm.MacVal,_xlpm.CSVVal&lt;&gt;"",_xlpm.CSVVal
)),"")</f>
        <v/>
      </c>
      <c r="K1041" s="40" t="str" cm="1">
        <f t="array" ref="K1041">IFERROR(_xlfn.LET(
_xlpm.CSVVal,_xlfn.XLOOKUP($A1041,CSV!$A:$A,CSV!K:K,""),
_xlpm.MacVal,_xlfn.XLOOKUP($A1041,Output_Mac!$A:$A,Output_Mac!K:K,""),
_xlpm.MyAuditVal,_xlfn.XLOOKUP($A1041,My_Audit!$A:$A,My_Audit!J:J,""),
_xlfn.IFS(_xlpm.MyAuditVal&lt;&gt;"",UPPER(_xlpm.MyAuditVal),_xlpm.MacVal&lt;&gt;"",_xlpm.MacVal,_xlpm.CSVVal&lt;&gt;"",_xlpm.CSVVal
)),"")</f>
        <v/>
      </c>
      <c r="L1041" s="40" t="str" cm="1">
        <f t="array" ref="L1041">IFERROR(_xlfn.LET(
_xlpm.CSVVal,_xlfn.XLOOKUP($A1041,CSV!$A:$A,CSV!P:P,""),
_xlpm.MacVal,_xlfn.XLOOKUP($A1041,Output_Mac!$A:$A,Output_Mac!L:L,""),
_xlpm.MyAuditVal,_xlfn.XLOOKUP($A1041,My_Audit!$A:$A,My_Audit!K:K,""),
_xlfn.IFS(_xlpm.MyAuditVal&lt;&gt;"",UPPER(_xlpm.MyAuditVal),_xlpm.MacVal&lt;&gt;"",_xlpm.MacVal,_xlpm.CSVVal&lt;&gt;"",_xlpm.CSVVal
)),"")</f>
        <v/>
      </c>
      <c r="M1041" s="40" t="str" cm="1">
        <f t="array" ref="M1041">IFERROR(_xlfn.LET(
_xlpm.CSVVal,_xlfn.XLOOKUP($A1041,CSV!$A:$A,CSV!Q:Q,""),
_xlpm.MacVal,_xlfn.XLOOKUP($A1041,Output_Mac!$A:$A,Output_Mac!M:M,""),
_xlpm.MyAuditVal,_xlfn.XLOOKUP($A1041,My_Audit!$A:$A,My_Audit!L:L,""),
_xlfn.IFS(_xlpm.MyAuditVal&lt;&gt;"",UPPER(_xlpm.MyAuditVal),_xlpm.MacVal&lt;&gt;"",_xlpm.MacVal,_xlpm.CSVVal&lt;&gt;"",_xlpm.CSVVal
)),"")</f>
        <v/>
      </c>
      <c r="N1041" s="40"/>
      <c r="O1041" s="40" t="str">
        <f>_xlfn.LET(
    _xlpm.CSVVal, _xlfn.XLOOKUP($A1041, CSV!$A:$A, CSV!AA:AA, ""),
    _xlpm.MacVal, _xlfn.XLOOKUP($A1041, Output_Mac!$A:$A, Output_Mac!S:S, ""),
    _xlpm.MyAuditVal, _xlfn.XLOOKUP($A1041, My_Audit!$A:$A, My_Audit!P:P, ""),
    _xlfn.TEXTJOIN(", ", TRUE, _xlpm.MyAuditVal, _xlpm.MacVal, _xlpm.CSVVal)
)</f>
        <v/>
      </c>
      <c r="P1041" s="40" t="str" cm="1">
        <f t="array" ref="P1041">IFERROR(_xlfn.LET(
_xlpm.CSVVal,_xlfn.XLOOKUP($A1041,CSV!$A:$A,CSV!AB:AB,""),
_xlpm.MacVal,_xlfn.XLOOKUP($A1041,Output_Mac!$A:$A,Output_Mac!T:T,""),
_xlpm.MyAuditVal,_xlfn.XLOOKUP($A1041,My_Audit!$A:$A,My_Audit!Q:Q,""),
_xlfn.IFS(_xlpm.MyAuditVal&lt;&gt;"",UPPER(_xlpm.MyAuditVal),_xlpm.MacVal&lt;&gt;"",_xlpm.MacVal,_xlpm.CSVVal&lt;&gt;"",_xlpm.CSVVal
)),"No")</f>
        <v>No</v>
      </c>
      <c r="Q1041" s="40" t="str" cm="1">
        <f t="array" ref="Q1041">IFERROR(_xlfn.LET(
_xlpm.CSVVal,_xlfn.XLOOKUP($A1041,CSV!$A:$A,CSV!AC:AC,""),
_xlpm.MacVal,_xlfn.XLOOKUP($A1041,Output_Mac!$A:$A,Output_Mac!U:U,""),
_xlpm.MyAuditVal,_xlfn.XLOOKUP($A1041,My_Audit!$A:$A,My_Audit!R:R,""),
_xlfn.IFS(_xlpm.MyAuditVal&lt;&gt;"",UPPER(_xlpm.MyAuditVal),_xlpm.MacVal&lt;&gt;"",_xlpm.MacVal,_xlpm.CSVVal&lt;&gt;"",_xlpm.CSVVal
)),"")</f>
        <v/>
      </c>
      <c r="R1041" s="40"/>
      <c r="S1041" s="40"/>
      <c r="T1041" s="40"/>
      <c r="U1041" s="40"/>
      <c r="V1041" s="40"/>
      <c r="W1041" s="40"/>
      <c r="X1041" s="41" t="str">
        <f>_xlfn.LET(
    _xlpm.MacVal, _xlfn.XLOOKUP($A1041, Output_Mac!$A:$A, Output_Mac!AB:AB, ""),
    _xlpm.MyAuditVal, _xlfn.XLOOKUP($A1041, My_Audit!$A:$A, My_Audit!N:N, ""),
    _xlfn.TEXTJOIN(", ", TRUE, _xlpm.MyAuditVal, _xlpm.MacVal)
)</f>
        <v/>
      </c>
    </row>
    <row r="1042" spans="1:24">
      <c r="A1042" s="40" t="str">
        <f>_xlfn.TEXTJOIN("",TRUE,Input!$B$2,ROW(My_Audit!A1041))</f>
        <v>X1041</v>
      </c>
      <c r="B1042" s="40" t="str">
        <f>_xlfn.TEXTJOIN("-",TRUE,"ITD",Input!$A$2,A1042)</f>
        <v>ITD-X1041</v>
      </c>
      <c r="C1042" s="40" t="str" cm="1">
        <f t="array" ref="C1042">IFERROR(_xlfn.LET(
_xlpm.CSVVal,_xlfn.XLOOKUP($A1042,CSV!$A:$A,CSV!B:B,""),
_xlpm.MacVal,_xlfn.XLOOKUP($A1042,Output_Mac!$A:$A,Output_Mac!B:B,""),
_xlpm.MyAuditVal,_xlfn.XLOOKUP($A1042,My_Audit!$A:$A,My_Audit!B:B,""),
_xlfn.IFS(_xlpm.MyAuditVal&lt;&gt;"",UPPER(_xlpm.MyAuditVal),_xlpm.MacVal&lt;&gt;"",_xlpm.MacVal,_xlpm.CSVVal&lt;&gt;"",_xlpm.CSVVal
)),"")</f>
        <v/>
      </c>
      <c r="D1042" s="40" t="str" cm="1">
        <f t="array" ref="D1042">IFERROR(_xlfn.LET(
_xlpm.CSVVal,_xlfn.XLOOKUP($A1042,CSV!$A:$A,CSV!D:D,""),
_xlpm.MacVal,_xlfn.XLOOKUP($A1042,Output_Mac!$A:$A,Output_Mac!C:C,""),
_xlpm.MyAuditVal,_xlfn.XLOOKUP($A1042,My_Audit!$A:$A,My_Audit!C:C,""),
_xlfn.IFS(_xlpm.MyAuditVal&lt;&gt;"",_xlpm.MyAuditVal,_xlpm.MacVal&lt;&gt;"",_xlpm.MacVal,_xlpm.CSVVal&lt;&gt;"",_xlpm.CSVVal
)),"")</f>
        <v/>
      </c>
      <c r="E1042" s="40" t="str">
        <f>_xlfn.XLOOKUP(A1042,My_Audit!A:A,My_Audit!D:D,"")</f>
        <v/>
      </c>
      <c r="F1042" s="40" t="str" cm="1">
        <f t="array" ref="F1042">IFERROR(_xlfn.LET(
_xlpm.CSVVal,_xlfn.XLOOKUP($A1042,CSV!$A:$A,CSV!F:F,""),
_xlpm.MacVal,_xlfn.XLOOKUP($A1042,Output_Mac!$A:$A,Output_Mac!E:E,""),
_xlpm.MyAuditVal,_xlfn.XLOOKUP($A1042,My_Audit!$A:$A,My_Audit!E:E,""),
_xlfn.IFS(_xlpm.MyAuditVal&lt;&gt;"",_xlpm.MyAuditVal,_xlpm.MacVal&lt;&gt;"",_xlpm.MacVal,_xlpm.CSVVal&lt;&gt;"",_xlpm.CSVVal
)),"")</f>
        <v/>
      </c>
      <c r="G1042" s="40" t="str" cm="1">
        <f t="array" ref="G1042">IFERROR(_xlfn.LET(
_xlpm.CSVVal,_xlfn.XLOOKUP($A1042,CSV!$A:$A,CSV!G:G,""),
_xlpm.MacVal,_xlfn.XLOOKUP($A1042,Output_Mac!$A:$A,Output_Mac!F:F,""),
_xlpm.MyAuditVal,_xlfn.XLOOKUP($A1042,My_Audit!$A:$A,My_Audit!F:F,""),
_xlfn.IFS(_xlpm.MyAuditVal&lt;&gt;"",_xlpm.MyAuditVal,_xlpm.MacVal&lt;&gt;"",_xlpm.MacVal,_xlpm.CSVVal&lt;&gt;"",PROPER(_xlpm.CSVVal)
)),"")</f>
        <v/>
      </c>
      <c r="H1042" s="40" t="str" cm="1">
        <f t="array" ref="H1042">IFERROR(_xlfn.LET(
_xlpm.CSVVal,_xlfn.XLOOKUP($A1042,CSV!$A:$A,CSV!H:H,""),
_xlpm.MacVal,_xlfn.XLOOKUP($A1042,Output_Mac!$A:$A,Output_Mac!H:H,""),
_xlpm.MyAuditVal,_xlfn.XLOOKUP($A1042,My_Audit!$A:$A,My_Audit!G:G,""),
_xlfn.IFS(_xlpm.MyAuditVal&lt;&gt;"",_xlpm.MyAuditVal,_xlpm.MacVal&lt;&gt;"",_xlpm.MacVal,_xlpm.CSVVal&lt;&gt;"",_xlpm.CSVVal
)),"")</f>
        <v/>
      </c>
      <c r="I1042" s="40" t="str">
        <f>_xlfn.XLOOKUP(A1042,Output_Mac!A:A,Output_Mac!I:I,"")</f>
        <v/>
      </c>
      <c r="J1042" s="40" t="str" cm="1">
        <f t="array" ref="J1042">IFERROR(_xlfn.LET(
_xlpm.CSVVal,_xlfn.XLOOKUP($A1042,CSV!$A:$A,CSV!I:I,""),
_xlpm.MacVal,_xlfn.XLOOKUP($A1042,Output_Mac!$A:$A,Output_Mac!J:J,""),
_xlpm.MyAuditVal,_xlfn.XLOOKUP($A1042,My_Audit!$A:$A,My_Audit!I:I,""),
_xlfn.IFS(_xlpm.MyAuditVal&lt;&gt;"",UPPER(_xlpm.MyAuditVal),_xlpm.MacVal&lt;&gt;"",_xlpm.MacVal,_xlpm.CSVVal&lt;&gt;"",_xlpm.CSVVal
)),"")</f>
        <v/>
      </c>
      <c r="K1042" s="40" t="str" cm="1">
        <f t="array" ref="K1042">IFERROR(_xlfn.LET(
_xlpm.CSVVal,_xlfn.XLOOKUP($A1042,CSV!$A:$A,CSV!K:K,""),
_xlpm.MacVal,_xlfn.XLOOKUP($A1042,Output_Mac!$A:$A,Output_Mac!K:K,""),
_xlpm.MyAuditVal,_xlfn.XLOOKUP($A1042,My_Audit!$A:$A,My_Audit!J:J,""),
_xlfn.IFS(_xlpm.MyAuditVal&lt;&gt;"",UPPER(_xlpm.MyAuditVal),_xlpm.MacVal&lt;&gt;"",_xlpm.MacVal,_xlpm.CSVVal&lt;&gt;"",_xlpm.CSVVal
)),"")</f>
        <v/>
      </c>
      <c r="L1042" s="40" t="str" cm="1">
        <f t="array" ref="L1042">IFERROR(_xlfn.LET(
_xlpm.CSVVal,_xlfn.XLOOKUP($A1042,CSV!$A:$A,CSV!P:P,""),
_xlpm.MacVal,_xlfn.XLOOKUP($A1042,Output_Mac!$A:$A,Output_Mac!L:L,""),
_xlpm.MyAuditVal,_xlfn.XLOOKUP($A1042,My_Audit!$A:$A,My_Audit!K:K,""),
_xlfn.IFS(_xlpm.MyAuditVal&lt;&gt;"",UPPER(_xlpm.MyAuditVal),_xlpm.MacVal&lt;&gt;"",_xlpm.MacVal,_xlpm.CSVVal&lt;&gt;"",_xlpm.CSVVal
)),"")</f>
        <v/>
      </c>
      <c r="M1042" s="40" t="str" cm="1">
        <f t="array" ref="M1042">IFERROR(_xlfn.LET(
_xlpm.CSVVal,_xlfn.XLOOKUP($A1042,CSV!$A:$A,CSV!Q:Q,""),
_xlpm.MacVal,_xlfn.XLOOKUP($A1042,Output_Mac!$A:$A,Output_Mac!M:M,""),
_xlpm.MyAuditVal,_xlfn.XLOOKUP($A1042,My_Audit!$A:$A,My_Audit!L:L,""),
_xlfn.IFS(_xlpm.MyAuditVal&lt;&gt;"",UPPER(_xlpm.MyAuditVal),_xlpm.MacVal&lt;&gt;"",_xlpm.MacVal,_xlpm.CSVVal&lt;&gt;"",_xlpm.CSVVal
)),"")</f>
        <v/>
      </c>
      <c r="N1042" s="40"/>
      <c r="O1042" s="40" t="str">
        <f>_xlfn.LET(
    _xlpm.CSVVal, _xlfn.XLOOKUP($A1042, CSV!$A:$A, CSV!AA:AA, ""),
    _xlpm.MacVal, _xlfn.XLOOKUP($A1042, Output_Mac!$A:$A, Output_Mac!S:S, ""),
    _xlpm.MyAuditVal, _xlfn.XLOOKUP($A1042, My_Audit!$A:$A, My_Audit!P:P, ""),
    _xlfn.TEXTJOIN(", ", TRUE, _xlpm.MyAuditVal, _xlpm.MacVal, _xlpm.CSVVal)
)</f>
        <v/>
      </c>
      <c r="P1042" s="40" t="str" cm="1">
        <f t="array" ref="P1042">IFERROR(_xlfn.LET(
_xlpm.CSVVal,_xlfn.XLOOKUP($A1042,CSV!$A:$A,CSV!AB:AB,""),
_xlpm.MacVal,_xlfn.XLOOKUP($A1042,Output_Mac!$A:$A,Output_Mac!T:T,""),
_xlpm.MyAuditVal,_xlfn.XLOOKUP($A1042,My_Audit!$A:$A,My_Audit!Q:Q,""),
_xlfn.IFS(_xlpm.MyAuditVal&lt;&gt;"",UPPER(_xlpm.MyAuditVal),_xlpm.MacVal&lt;&gt;"",_xlpm.MacVal,_xlpm.CSVVal&lt;&gt;"",_xlpm.CSVVal
)),"No")</f>
        <v>No</v>
      </c>
      <c r="Q1042" s="40" t="str" cm="1">
        <f t="array" ref="Q1042">IFERROR(_xlfn.LET(
_xlpm.CSVVal,_xlfn.XLOOKUP($A1042,CSV!$A:$A,CSV!AC:AC,""),
_xlpm.MacVal,_xlfn.XLOOKUP($A1042,Output_Mac!$A:$A,Output_Mac!U:U,""),
_xlpm.MyAuditVal,_xlfn.XLOOKUP($A1042,My_Audit!$A:$A,My_Audit!R:R,""),
_xlfn.IFS(_xlpm.MyAuditVal&lt;&gt;"",UPPER(_xlpm.MyAuditVal),_xlpm.MacVal&lt;&gt;"",_xlpm.MacVal,_xlpm.CSVVal&lt;&gt;"",_xlpm.CSVVal
)),"")</f>
        <v/>
      </c>
      <c r="R1042" s="40"/>
      <c r="S1042" s="40"/>
      <c r="T1042" s="40"/>
      <c r="U1042" s="40"/>
      <c r="V1042" s="40"/>
      <c r="W1042" s="40"/>
      <c r="X1042" s="41" t="str">
        <f>_xlfn.LET(
    _xlpm.MacVal, _xlfn.XLOOKUP($A1042, Output_Mac!$A:$A, Output_Mac!AB:AB, ""),
    _xlpm.MyAuditVal, _xlfn.XLOOKUP($A1042, My_Audit!$A:$A, My_Audit!N:N, ""),
    _xlfn.TEXTJOIN(", ", TRUE, _xlpm.MyAuditVal, _xlpm.MacVal)
)</f>
        <v/>
      </c>
    </row>
    <row r="1043" spans="1:24">
      <c r="A1043" s="40" t="str">
        <f>_xlfn.TEXTJOIN("",TRUE,Input!$B$2,ROW(My_Audit!A1042))</f>
        <v>X1042</v>
      </c>
      <c r="B1043" s="40" t="str">
        <f>_xlfn.TEXTJOIN("-",TRUE,"ITD",Input!$A$2,A1043)</f>
        <v>ITD-X1042</v>
      </c>
      <c r="C1043" s="40" t="str" cm="1">
        <f t="array" ref="C1043">IFERROR(_xlfn.LET(
_xlpm.CSVVal,_xlfn.XLOOKUP($A1043,CSV!$A:$A,CSV!B:B,""),
_xlpm.MacVal,_xlfn.XLOOKUP($A1043,Output_Mac!$A:$A,Output_Mac!B:B,""),
_xlpm.MyAuditVal,_xlfn.XLOOKUP($A1043,My_Audit!$A:$A,My_Audit!B:B,""),
_xlfn.IFS(_xlpm.MyAuditVal&lt;&gt;"",UPPER(_xlpm.MyAuditVal),_xlpm.MacVal&lt;&gt;"",_xlpm.MacVal,_xlpm.CSVVal&lt;&gt;"",_xlpm.CSVVal
)),"")</f>
        <v/>
      </c>
      <c r="D1043" s="40" t="str" cm="1">
        <f t="array" ref="D1043">IFERROR(_xlfn.LET(
_xlpm.CSVVal,_xlfn.XLOOKUP($A1043,CSV!$A:$A,CSV!D:D,""),
_xlpm.MacVal,_xlfn.XLOOKUP($A1043,Output_Mac!$A:$A,Output_Mac!C:C,""),
_xlpm.MyAuditVal,_xlfn.XLOOKUP($A1043,My_Audit!$A:$A,My_Audit!C:C,""),
_xlfn.IFS(_xlpm.MyAuditVal&lt;&gt;"",_xlpm.MyAuditVal,_xlpm.MacVal&lt;&gt;"",_xlpm.MacVal,_xlpm.CSVVal&lt;&gt;"",_xlpm.CSVVal
)),"")</f>
        <v/>
      </c>
      <c r="E1043" s="40" t="str">
        <f>_xlfn.XLOOKUP(A1043,My_Audit!A:A,My_Audit!D:D,"")</f>
        <v/>
      </c>
      <c r="F1043" s="40" t="str" cm="1">
        <f t="array" ref="F1043">IFERROR(_xlfn.LET(
_xlpm.CSVVal,_xlfn.XLOOKUP($A1043,CSV!$A:$A,CSV!F:F,""),
_xlpm.MacVal,_xlfn.XLOOKUP($A1043,Output_Mac!$A:$A,Output_Mac!E:E,""),
_xlpm.MyAuditVal,_xlfn.XLOOKUP($A1043,My_Audit!$A:$A,My_Audit!E:E,""),
_xlfn.IFS(_xlpm.MyAuditVal&lt;&gt;"",_xlpm.MyAuditVal,_xlpm.MacVal&lt;&gt;"",_xlpm.MacVal,_xlpm.CSVVal&lt;&gt;"",_xlpm.CSVVal
)),"")</f>
        <v/>
      </c>
      <c r="G1043" s="40" t="str" cm="1">
        <f t="array" ref="G1043">IFERROR(_xlfn.LET(
_xlpm.CSVVal,_xlfn.XLOOKUP($A1043,CSV!$A:$A,CSV!G:G,""),
_xlpm.MacVal,_xlfn.XLOOKUP($A1043,Output_Mac!$A:$A,Output_Mac!F:F,""),
_xlpm.MyAuditVal,_xlfn.XLOOKUP($A1043,My_Audit!$A:$A,My_Audit!F:F,""),
_xlfn.IFS(_xlpm.MyAuditVal&lt;&gt;"",_xlpm.MyAuditVal,_xlpm.MacVal&lt;&gt;"",_xlpm.MacVal,_xlpm.CSVVal&lt;&gt;"",PROPER(_xlpm.CSVVal)
)),"")</f>
        <v/>
      </c>
      <c r="H1043" s="40" t="str" cm="1">
        <f t="array" ref="H1043">IFERROR(_xlfn.LET(
_xlpm.CSVVal,_xlfn.XLOOKUP($A1043,CSV!$A:$A,CSV!H:H,""),
_xlpm.MacVal,_xlfn.XLOOKUP($A1043,Output_Mac!$A:$A,Output_Mac!H:H,""),
_xlpm.MyAuditVal,_xlfn.XLOOKUP($A1043,My_Audit!$A:$A,My_Audit!G:G,""),
_xlfn.IFS(_xlpm.MyAuditVal&lt;&gt;"",_xlpm.MyAuditVal,_xlpm.MacVal&lt;&gt;"",_xlpm.MacVal,_xlpm.CSVVal&lt;&gt;"",_xlpm.CSVVal
)),"")</f>
        <v/>
      </c>
      <c r="I1043" s="40" t="str">
        <f>_xlfn.XLOOKUP(A1043,Output_Mac!A:A,Output_Mac!I:I,"")</f>
        <v/>
      </c>
      <c r="J1043" s="40" t="str" cm="1">
        <f t="array" ref="J1043">IFERROR(_xlfn.LET(
_xlpm.CSVVal,_xlfn.XLOOKUP($A1043,CSV!$A:$A,CSV!I:I,""),
_xlpm.MacVal,_xlfn.XLOOKUP($A1043,Output_Mac!$A:$A,Output_Mac!J:J,""),
_xlpm.MyAuditVal,_xlfn.XLOOKUP($A1043,My_Audit!$A:$A,My_Audit!I:I,""),
_xlfn.IFS(_xlpm.MyAuditVal&lt;&gt;"",UPPER(_xlpm.MyAuditVal),_xlpm.MacVal&lt;&gt;"",_xlpm.MacVal,_xlpm.CSVVal&lt;&gt;"",_xlpm.CSVVal
)),"")</f>
        <v/>
      </c>
      <c r="K1043" s="40" t="str" cm="1">
        <f t="array" ref="K1043">IFERROR(_xlfn.LET(
_xlpm.CSVVal,_xlfn.XLOOKUP($A1043,CSV!$A:$A,CSV!K:K,""),
_xlpm.MacVal,_xlfn.XLOOKUP($A1043,Output_Mac!$A:$A,Output_Mac!K:K,""),
_xlpm.MyAuditVal,_xlfn.XLOOKUP($A1043,My_Audit!$A:$A,My_Audit!J:J,""),
_xlfn.IFS(_xlpm.MyAuditVal&lt;&gt;"",UPPER(_xlpm.MyAuditVal),_xlpm.MacVal&lt;&gt;"",_xlpm.MacVal,_xlpm.CSVVal&lt;&gt;"",_xlpm.CSVVal
)),"")</f>
        <v/>
      </c>
      <c r="L1043" s="40" t="str" cm="1">
        <f t="array" ref="L1043">IFERROR(_xlfn.LET(
_xlpm.CSVVal,_xlfn.XLOOKUP($A1043,CSV!$A:$A,CSV!P:P,""),
_xlpm.MacVal,_xlfn.XLOOKUP($A1043,Output_Mac!$A:$A,Output_Mac!L:L,""),
_xlpm.MyAuditVal,_xlfn.XLOOKUP($A1043,My_Audit!$A:$A,My_Audit!K:K,""),
_xlfn.IFS(_xlpm.MyAuditVal&lt;&gt;"",UPPER(_xlpm.MyAuditVal),_xlpm.MacVal&lt;&gt;"",_xlpm.MacVal,_xlpm.CSVVal&lt;&gt;"",_xlpm.CSVVal
)),"")</f>
        <v/>
      </c>
      <c r="M1043" s="40" t="str" cm="1">
        <f t="array" ref="M1043">IFERROR(_xlfn.LET(
_xlpm.CSVVal,_xlfn.XLOOKUP($A1043,CSV!$A:$A,CSV!Q:Q,""),
_xlpm.MacVal,_xlfn.XLOOKUP($A1043,Output_Mac!$A:$A,Output_Mac!M:M,""),
_xlpm.MyAuditVal,_xlfn.XLOOKUP($A1043,My_Audit!$A:$A,My_Audit!L:L,""),
_xlfn.IFS(_xlpm.MyAuditVal&lt;&gt;"",UPPER(_xlpm.MyAuditVal),_xlpm.MacVal&lt;&gt;"",_xlpm.MacVal,_xlpm.CSVVal&lt;&gt;"",_xlpm.CSVVal
)),"")</f>
        <v/>
      </c>
      <c r="N1043" s="40"/>
      <c r="O1043" s="40" t="str">
        <f>_xlfn.LET(
    _xlpm.CSVVal, _xlfn.XLOOKUP($A1043, CSV!$A:$A, CSV!AA:AA, ""),
    _xlpm.MacVal, _xlfn.XLOOKUP($A1043, Output_Mac!$A:$A, Output_Mac!S:S, ""),
    _xlpm.MyAuditVal, _xlfn.XLOOKUP($A1043, My_Audit!$A:$A, My_Audit!P:P, ""),
    _xlfn.TEXTJOIN(", ", TRUE, _xlpm.MyAuditVal, _xlpm.MacVal, _xlpm.CSVVal)
)</f>
        <v/>
      </c>
      <c r="P1043" s="40" t="str" cm="1">
        <f t="array" ref="P1043">IFERROR(_xlfn.LET(
_xlpm.CSVVal,_xlfn.XLOOKUP($A1043,CSV!$A:$A,CSV!AB:AB,""),
_xlpm.MacVal,_xlfn.XLOOKUP($A1043,Output_Mac!$A:$A,Output_Mac!T:T,""),
_xlpm.MyAuditVal,_xlfn.XLOOKUP($A1043,My_Audit!$A:$A,My_Audit!Q:Q,""),
_xlfn.IFS(_xlpm.MyAuditVal&lt;&gt;"",UPPER(_xlpm.MyAuditVal),_xlpm.MacVal&lt;&gt;"",_xlpm.MacVal,_xlpm.CSVVal&lt;&gt;"",_xlpm.CSVVal
)),"No")</f>
        <v>No</v>
      </c>
      <c r="Q1043" s="40" t="str" cm="1">
        <f t="array" ref="Q1043">IFERROR(_xlfn.LET(
_xlpm.CSVVal,_xlfn.XLOOKUP($A1043,CSV!$A:$A,CSV!AC:AC,""),
_xlpm.MacVal,_xlfn.XLOOKUP($A1043,Output_Mac!$A:$A,Output_Mac!U:U,""),
_xlpm.MyAuditVal,_xlfn.XLOOKUP($A1043,My_Audit!$A:$A,My_Audit!R:R,""),
_xlfn.IFS(_xlpm.MyAuditVal&lt;&gt;"",UPPER(_xlpm.MyAuditVal),_xlpm.MacVal&lt;&gt;"",_xlpm.MacVal,_xlpm.CSVVal&lt;&gt;"",_xlpm.CSVVal
)),"")</f>
        <v/>
      </c>
      <c r="R1043" s="40"/>
      <c r="S1043" s="40"/>
      <c r="T1043" s="40"/>
      <c r="U1043" s="40"/>
      <c r="V1043" s="40"/>
      <c r="W1043" s="40"/>
      <c r="X1043" s="41" t="str">
        <f>_xlfn.LET(
    _xlpm.MacVal, _xlfn.XLOOKUP($A1043, Output_Mac!$A:$A, Output_Mac!AB:AB, ""),
    _xlpm.MyAuditVal, _xlfn.XLOOKUP($A1043, My_Audit!$A:$A, My_Audit!N:N, ""),
    _xlfn.TEXTJOIN(", ", TRUE, _xlpm.MyAuditVal, _xlpm.MacVal)
)</f>
        <v/>
      </c>
    </row>
    <row r="1044" spans="1:24">
      <c r="A1044" s="40" t="str">
        <f>_xlfn.TEXTJOIN("",TRUE,Input!$B$2,ROW(My_Audit!A1043))</f>
        <v>X1043</v>
      </c>
      <c r="B1044" s="40" t="str">
        <f>_xlfn.TEXTJOIN("-",TRUE,"ITD",Input!$A$2,A1044)</f>
        <v>ITD-X1043</v>
      </c>
      <c r="C1044" s="40" t="str" cm="1">
        <f t="array" ref="C1044">IFERROR(_xlfn.LET(
_xlpm.CSVVal,_xlfn.XLOOKUP($A1044,CSV!$A:$A,CSV!B:B,""),
_xlpm.MacVal,_xlfn.XLOOKUP($A1044,Output_Mac!$A:$A,Output_Mac!B:B,""),
_xlpm.MyAuditVal,_xlfn.XLOOKUP($A1044,My_Audit!$A:$A,My_Audit!B:B,""),
_xlfn.IFS(_xlpm.MyAuditVal&lt;&gt;"",UPPER(_xlpm.MyAuditVal),_xlpm.MacVal&lt;&gt;"",_xlpm.MacVal,_xlpm.CSVVal&lt;&gt;"",_xlpm.CSVVal
)),"")</f>
        <v/>
      </c>
      <c r="D1044" s="40" t="str" cm="1">
        <f t="array" ref="D1044">IFERROR(_xlfn.LET(
_xlpm.CSVVal,_xlfn.XLOOKUP($A1044,CSV!$A:$A,CSV!D:D,""),
_xlpm.MacVal,_xlfn.XLOOKUP($A1044,Output_Mac!$A:$A,Output_Mac!C:C,""),
_xlpm.MyAuditVal,_xlfn.XLOOKUP($A1044,My_Audit!$A:$A,My_Audit!C:C,""),
_xlfn.IFS(_xlpm.MyAuditVal&lt;&gt;"",_xlpm.MyAuditVal,_xlpm.MacVal&lt;&gt;"",_xlpm.MacVal,_xlpm.CSVVal&lt;&gt;"",_xlpm.CSVVal
)),"")</f>
        <v/>
      </c>
      <c r="E1044" s="40" t="str">
        <f>_xlfn.XLOOKUP(A1044,My_Audit!A:A,My_Audit!D:D,"")</f>
        <v/>
      </c>
      <c r="F1044" s="40" t="str" cm="1">
        <f t="array" ref="F1044">IFERROR(_xlfn.LET(
_xlpm.CSVVal,_xlfn.XLOOKUP($A1044,CSV!$A:$A,CSV!F:F,""),
_xlpm.MacVal,_xlfn.XLOOKUP($A1044,Output_Mac!$A:$A,Output_Mac!E:E,""),
_xlpm.MyAuditVal,_xlfn.XLOOKUP($A1044,My_Audit!$A:$A,My_Audit!E:E,""),
_xlfn.IFS(_xlpm.MyAuditVal&lt;&gt;"",_xlpm.MyAuditVal,_xlpm.MacVal&lt;&gt;"",_xlpm.MacVal,_xlpm.CSVVal&lt;&gt;"",_xlpm.CSVVal
)),"")</f>
        <v/>
      </c>
      <c r="G1044" s="40" t="str" cm="1">
        <f t="array" ref="G1044">IFERROR(_xlfn.LET(
_xlpm.CSVVal,_xlfn.XLOOKUP($A1044,CSV!$A:$A,CSV!G:G,""),
_xlpm.MacVal,_xlfn.XLOOKUP($A1044,Output_Mac!$A:$A,Output_Mac!F:F,""),
_xlpm.MyAuditVal,_xlfn.XLOOKUP($A1044,My_Audit!$A:$A,My_Audit!F:F,""),
_xlfn.IFS(_xlpm.MyAuditVal&lt;&gt;"",_xlpm.MyAuditVal,_xlpm.MacVal&lt;&gt;"",_xlpm.MacVal,_xlpm.CSVVal&lt;&gt;"",PROPER(_xlpm.CSVVal)
)),"")</f>
        <v/>
      </c>
      <c r="H1044" s="40" t="str" cm="1">
        <f t="array" ref="H1044">IFERROR(_xlfn.LET(
_xlpm.CSVVal,_xlfn.XLOOKUP($A1044,CSV!$A:$A,CSV!H:H,""),
_xlpm.MacVal,_xlfn.XLOOKUP($A1044,Output_Mac!$A:$A,Output_Mac!H:H,""),
_xlpm.MyAuditVal,_xlfn.XLOOKUP($A1044,My_Audit!$A:$A,My_Audit!G:G,""),
_xlfn.IFS(_xlpm.MyAuditVal&lt;&gt;"",_xlpm.MyAuditVal,_xlpm.MacVal&lt;&gt;"",_xlpm.MacVal,_xlpm.CSVVal&lt;&gt;"",_xlpm.CSVVal
)),"")</f>
        <v/>
      </c>
      <c r="I1044" s="40" t="str">
        <f>_xlfn.XLOOKUP(A1044,Output_Mac!A:A,Output_Mac!I:I,"")</f>
        <v/>
      </c>
      <c r="J1044" s="40" t="str" cm="1">
        <f t="array" ref="J1044">IFERROR(_xlfn.LET(
_xlpm.CSVVal,_xlfn.XLOOKUP($A1044,CSV!$A:$A,CSV!I:I,""),
_xlpm.MacVal,_xlfn.XLOOKUP($A1044,Output_Mac!$A:$A,Output_Mac!J:J,""),
_xlpm.MyAuditVal,_xlfn.XLOOKUP($A1044,My_Audit!$A:$A,My_Audit!I:I,""),
_xlfn.IFS(_xlpm.MyAuditVal&lt;&gt;"",UPPER(_xlpm.MyAuditVal),_xlpm.MacVal&lt;&gt;"",_xlpm.MacVal,_xlpm.CSVVal&lt;&gt;"",_xlpm.CSVVal
)),"")</f>
        <v/>
      </c>
      <c r="K1044" s="40" t="str" cm="1">
        <f t="array" ref="K1044">IFERROR(_xlfn.LET(
_xlpm.CSVVal,_xlfn.XLOOKUP($A1044,CSV!$A:$A,CSV!K:K,""),
_xlpm.MacVal,_xlfn.XLOOKUP($A1044,Output_Mac!$A:$A,Output_Mac!K:K,""),
_xlpm.MyAuditVal,_xlfn.XLOOKUP($A1044,My_Audit!$A:$A,My_Audit!J:J,""),
_xlfn.IFS(_xlpm.MyAuditVal&lt;&gt;"",UPPER(_xlpm.MyAuditVal),_xlpm.MacVal&lt;&gt;"",_xlpm.MacVal,_xlpm.CSVVal&lt;&gt;"",_xlpm.CSVVal
)),"")</f>
        <v/>
      </c>
      <c r="L1044" s="40" t="str" cm="1">
        <f t="array" ref="L1044">IFERROR(_xlfn.LET(
_xlpm.CSVVal,_xlfn.XLOOKUP($A1044,CSV!$A:$A,CSV!P:P,""),
_xlpm.MacVal,_xlfn.XLOOKUP($A1044,Output_Mac!$A:$A,Output_Mac!L:L,""),
_xlpm.MyAuditVal,_xlfn.XLOOKUP($A1044,My_Audit!$A:$A,My_Audit!K:K,""),
_xlfn.IFS(_xlpm.MyAuditVal&lt;&gt;"",UPPER(_xlpm.MyAuditVal),_xlpm.MacVal&lt;&gt;"",_xlpm.MacVal,_xlpm.CSVVal&lt;&gt;"",_xlpm.CSVVal
)),"")</f>
        <v/>
      </c>
      <c r="M1044" s="40" t="str" cm="1">
        <f t="array" ref="M1044">IFERROR(_xlfn.LET(
_xlpm.CSVVal,_xlfn.XLOOKUP($A1044,CSV!$A:$A,CSV!Q:Q,""),
_xlpm.MacVal,_xlfn.XLOOKUP($A1044,Output_Mac!$A:$A,Output_Mac!M:M,""),
_xlpm.MyAuditVal,_xlfn.XLOOKUP($A1044,My_Audit!$A:$A,My_Audit!L:L,""),
_xlfn.IFS(_xlpm.MyAuditVal&lt;&gt;"",UPPER(_xlpm.MyAuditVal),_xlpm.MacVal&lt;&gt;"",_xlpm.MacVal,_xlpm.CSVVal&lt;&gt;"",_xlpm.CSVVal
)),"")</f>
        <v/>
      </c>
      <c r="N1044" s="40"/>
      <c r="O1044" s="40" t="str">
        <f>_xlfn.LET(
    _xlpm.CSVVal, _xlfn.XLOOKUP($A1044, CSV!$A:$A, CSV!AA:AA, ""),
    _xlpm.MacVal, _xlfn.XLOOKUP($A1044, Output_Mac!$A:$A, Output_Mac!S:S, ""),
    _xlpm.MyAuditVal, _xlfn.XLOOKUP($A1044, My_Audit!$A:$A, My_Audit!P:P, ""),
    _xlfn.TEXTJOIN(", ", TRUE, _xlpm.MyAuditVal, _xlpm.MacVal, _xlpm.CSVVal)
)</f>
        <v/>
      </c>
      <c r="P1044" s="40" t="str" cm="1">
        <f t="array" ref="P1044">IFERROR(_xlfn.LET(
_xlpm.CSVVal,_xlfn.XLOOKUP($A1044,CSV!$A:$A,CSV!AB:AB,""),
_xlpm.MacVal,_xlfn.XLOOKUP($A1044,Output_Mac!$A:$A,Output_Mac!T:T,""),
_xlpm.MyAuditVal,_xlfn.XLOOKUP($A1044,My_Audit!$A:$A,My_Audit!Q:Q,""),
_xlfn.IFS(_xlpm.MyAuditVal&lt;&gt;"",UPPER(_xlpm.MyAuditVal),_xlpm.MacVal&lt;&gt;"",_xlpm.MacVal,_xlpm.CSVVal&lt;&gt;"",_xlpm.CSVVal
)),"No")</f>
        <v>No</v>
      </c>
      <c r="Q1044" s="40" t="str" cm="1">
        <f t="array" ref="Q1044">IFERROR(_xlfn.LET(
_xlpm.CSVVal,_xlfn.XLOOKUP($A1044,CSV!$A:$A,CSV!AC:AC,""),
_xlpm.MacVal,_xlfn.XLOOKUP($A1044,Output_Mac!$A:$A,Output_Mac!U:U,""),
_xlpm.MyAuditVal,_xlfn.XLOOKUP($A1044,My_Audit!$A:$A,My_Audit!R:R,""),
_xlfn.IFS(_xlpm.MyAuditVal&lt;&gt;"",UPPER(_xlpm.MyAuditVal),_xlpm.MacVal&lt;&gt;"",_xlpm.MacVal,_xlpm.CSVVal&lt;&gt;"",_xlpm.CSVVal
)),"")</f>
        <v/>
      </c>
      <c r="R1044" s="40"/>
      <c r="S1044" s="40"/>
      <c r="T1044" s="40"/>
      <c r="U1044" s="40"/>
      <c r="V1044" s="40"/>
      <c r="W1044" s="40"/>
      <c r="X1044" s="41" t="str">
        <f>_xlfn.LET(
    _xlpm.MacVal, _xlfn.XLOOKUP($A1044, Output_Mac!$A:$A, Output_Mac!AB:AB, ""),
    _xlpm.MyAuditVal, _xlfn.XLOOKUP($A1044, My_Audit!$A:$A, My_Audit!N:N, ""),
    _xlfn.TEXTJOIN(", ", TRUE, _xlpm.MyAuditVal, _xlpm.MacVal)
)</f>
        <v/>
      </c>
    </row>
    <row r="1045" spans="1:24">
      <c r="A1045" s="40" t="str">
        <f>_xlfn.TEXTJOIN("",TRUE,Input!$B$2,ROW(My_Audit!A1044))</f>
        <v>X1044</v>
      </c>
      <c r="B1045" s="40" t="str">
        <f>_xlfn.TEXTJOIN("-",TRUE,"ITD",Input!$A$2,A1045)</f>
        <v>ITD-X1044</v>
      </c>
      <c r="C1045" s="40" t="str" cm="1">
        <f t="array" ref="C1045">IFERROR(_xlfn.LET(
_xlpm.CSVVal,_xlfn.XLOOKUP($A1045,CSV!$A:$A,CSV!B:B,""),
_xlpm.MacVal,_xlfn.XLOOKUP($A1045,Output_Mac!$A:$A,Output_Mac!B:B,""),
_xlpm.MyAuditVal,_xlfn.XLOOKUP($A1045,My_Audit!$A:$A,My_Audit!B:B,""),
_xlfn.IFS(_xlpm.MyAuditVal&lt;&gt;"",UPPER(_xlpm.MyAuditVal),_xlpm.MacVal&lt;&gt;"",_xlpm.MacVal,_xlpm.CSVVal&lt;&gt;"",_xlpm.CSVVal
)),"")</f>
        <v/>
      </c>
      <c r="D1045" s="40" t="str" cm="1">
        <f t="array" ref="D1045">IFERROR(_xlfn.LET(
_xlpm.CSVVal,_xlfn.XLOOKUP($A1045,CSV!$A:$A,CSV!D:D,""),
_xlpm.MacVal,_xlfn.XLOOKUP($A1045,Output_Mac!$A:$A,Output_Mac!C:C,""),
_xlpm.MyAuditVal,_xlfn.XLOOKUP($A1045,My_Audit!$A:$A,My_Audit!C:C,""),
_xlfn.IFS(_xlpm.MyAuditVal&lt;&gt;"",_xlpm.MyAuditVal,_xlpm.MacVal&lt;&gt;"",_xlpm.MacVal,_xlpm.CSVVal&lt;&gt;"",_xlpm.CSVVal
)),"")</f>
        <v/>
      </c>
      <c r="E1045" s="40" t="str">
        <f>_xlfn.XLOOKUP(A1045,My_Audit!A:A,My_Audit!D:D,"")</f>
        <v/>
      </c>
      <c r="F1045" s="40" t="str" cm="1">
        <f t="array" ref="F1045">IFERROR(_xlfn.LET(
_xlpm.CSVVal,_xlfn.XLOOKUP($A1045,CSV!$A:$A,CSV!F:F,""),
_xlpm.MacVal,_xlfn.XLOOKUP($A1045,Output_Mac!$A:$A,Output_Mac!E:E,""),
_xlpm.MyAuditVal,_xlfn.XLOOKUP($A1045,My_Audit!$A:$A,My_Audit!E:E,""),
_xlfn.IFS(_xlpm.MyAuditVal&lt;&gt;"",_xlpm.MyAuditVal,_xlpm.MacVal&lt;&gt;"",_xlpm.MacVal,_xlpm.CSVVal&lt;&gt;"",_xlpm.CSVVal
)),"")</f>
        <v/>
      </c>
      <c r="G1045" s="40" t="str" cm="1">
        <f t="array" ref="G1045">IFERROR(_xlfn.LET(
_xlpm.CSVVal,_xlfn.XLOOKUP($A1045,CSV!$A:$A,CSV!G:G,""),
_xlpm.MacVal,_xlfn.XLOOKUP($A1045,Output_Mac!$A:$A,Output_Mac!F:F,""),
_xlpm.MyAuditVal,_xlfn.XLOOKUP($A1045,My_Audit!$A:$A,My_Audit!F:F,""),
_xlfn.IFS(_xlpm.MyAuditVal&lt;&gt;"",_xlpm.MyAuditVal,_xlpm.MacVal&lt;&gt;"",_xlpm.MacVal,_xlpm.CSVVal&lt;&gt;"",PROPER(_xlpm.CSVVal)
)),"")</f>
        <v/>
      </c>
      <c r="H1045" s="40" t="str" cm="1">
        <f t="array" ref="H1045">IFERROR(_xlfn.LET(
_xlpm.CSVVal,_xlfn.XLOOKUP($A1045,CSV!$A:$A,CSV!H:H,""),
_xlpm.MacVal,_xlfn.XLOOKUP($A1045,Output_Mac!$A:$A,Output_Mac!H:H,""),
_xlpm.MyAuditVal,_xlfn.XLOOKUP($A1045,My_Audit!$A:$A,My_Audit!G:G,""),
_xlfn.IFS(_xlpm.MyAuditVal&lt;&gt;"",_xlpm.MyAuditVal,_xlpm.MacVal&lt;&gt;"",_xlpm.MacVal,_xlpm.CSVVal&lt;&gt;"",_xlpm.CSVVal
)),"")</f>
        <v/>
      </c>
      <c r="I1045" s="40" t="str">
        <f>_xlfn.XLOOKUP(A1045,Output_Mac!A:A,Output_Mac!I:I,"")</f>
        <v/>
      </c>
      <c r="J1045" s="40" t="str" cm="1">
        <f t="array" ref="J1045">IFERROR(_xlfn.LET(
_xlpm.CSVVal,_xlfn.XLOOKUP($A1045,CSV!$A:$A,CSV!I:I,""),
_xlpm.MacVal,_xlfn.XLOOKUP($A1045,Output_Mac!$A:$A,Output_Mac!J:J,""),
_xlpm.MyAuditVal,_xlfn.XLOOKUP($A1045,My_Audit!$A:$A,My_Audit!I:I,""),
_xlfn.IFS(_xlpm.MyAuditVal&lt;&gt;"",UPPER(_xlpm.MyAuditVal),_xlpm.MacVal&lt;&gt;"",_xlpm.MacVal,_xlpm.CSVVal&lt;&gt;"",_xlpm.CSVVal
)),"")</f>
        <v/>
      </c>
      <c r="K1045" s="40" t="str" cm="1">
        <f t="array" ref="K1045">IFERROR(_xlfn.LET(
_xlpm.CSVVal,_xlfn.XLOOKUP($A1045,CSV!$A:$A,CSV!K:K,""),
_xlpm.MacVal,_xlfn.XLOOKUP($A1045,Output_Mac!$A:$A,Output_Mac!K:K,""),
_xlpm.MyAuditVal,_xlfn.XLOOKUP($A1045,My_Audit!$A:$A,My_Audit!J:J,""),
_xlfn.IFS(_xlpm.MyAuditVal&lt;&gt;"",UPPER(_xlpm.MyAuditVal),_xlpm.MacVal&lt;&gt;"",_xlpm.MacVal,_xlpm.CSVVal&lt;&gt;"",_xlpm.CSVVal
)),"")</f>
        <v/>
      </c>
      <c r="L1045" s="40" t="str" cm="1">
        <f t="array" ref="L1045">IFERROR(_xlfn.LET(
_xlpm.CSVVal,_xlfn.XLOOKUP($A1045,CSV!$A:$A,CSV!P:P,""),
_xlpm.MacVal,_xlfn.XLOOKUP($A1045,Output_Mac!$A:$A,Output_Mac!L:L,""),
_xlpm.MyAuditVal,_xlfn.XLOOKUP($A1045,My_Audit!$A:$A,My_Audit!K:K,""),
_xlfn.IFS(_xlpm.MyAuditVal&lt;&gt;"",UPPER(_xlpm.MyAuditVal),_xlpm.MacVal&lt;&gt;"",_xlpm.MacVal,_xlpm.CSVVal&lt;&gt;"",_xlpm.CSVVal
)),"")</f>
        <v/>
      </c>
      <c r="M1045" s="40" t="str" cm="1">
        <f t="array" ref="M1045">IFERROR(_xlfn.LET(
_xlpm.CSVVal,_xlfn.XLOOKUP($A1045,CSV!$A:$A,CSV!Q:Q,""),
_xlpm.MacVal,_xlfn.XLOOKUP($A1045,Output_Mac!$A:$A,Output_Mac!M:M,""),
_xlpm.MyAuditVal,_xlfn.XLOOKUP($A1045,My_Audit!$A:$A,My_Audit!L:L,""),
_xlfn.IFS(_xlpm.MyAuditVal&lt;&gt;"",UPPER(_xlpm.MyAuditVal),_xlpm.MacVal&lt;&gt;"",_xlpm.MacVal,_xlpm.CSVVal&lt;&gt;"",_xlpm.CSVVal
)),"")</f>
        <v/>
      </c>
      <c r="N1045" s="40"/>
      <c r="O1045" s="40" t="str">
        <f>_xlfn.LET(
    _xlpm.CSVVal, _xlfn.XLOOKUP($A1045, CSV!$A:$A, CSV!AA:AA, ""),
    _xlpm.MacVal, _xlfn.XLOOKUP($A1045, Output_Mac!$A:$A, Output_Mac!S:S, ""),
    _xlpm.MyAuditVal, _xlfn.XLOOKUP($A1045, My_Audit!$A:$A, My_Audit!P:P, ""),
    _xlfn.TEXTJOIN(", ", TRUE, _xlpm.MyAuditVal, _xlpm.MacVal, _xlpm.CSVVal)
)</f>
        <v/>
      </c>
      <c r="P1045" s="40" t="str" cm="1">
        <f t="array" ref="P1045">IFERROR(_xlfn.LET(
_xlpm.CSVVal,_xlfn.XLOOKUP($A1045,CSV!$A:$A,CSV!AB:AB,""),
_xlpm.MacVal,_xlfn.XLOOKUP($A1045,Output_Mac!$A:$A,Output_Mac!T:T,""),
_xlpm.MyAuditVal,_xlfn.XLOOKUP($A1045,My_Audit!$A:$A,My_Audit!Q:Q,""),
_xlfn.IFS(_xlpm.MyAuditVal&lt;&gt;"",UPPER(_xlpm.MyAuditVal),_xlpm.MacVal&lt;&gt;"",_xlpm.MacVal,_xlpm.CSVVal&lt;&gt;"",_xlpm.CSVVal
)),"No")</f>
        <v>No</v>
      </c>
      <c r="Q1045" s="40" t="str" cm="1">
        <f t="array" ref="Q1045">IFERROR(_xlfn.LET(
_xlpm.CSVVal,_xlfn.XLOOKUP($A1045,CSV!$A:$A,CSV!AC:AC,""),
_xlpm.MacVal,_xlfn.XLOOKUP($A1045,Output_Mac!$A:$A,Output_Mac!U:U,""),
_xlpm.MyAuditVal,_xlfn.XLOOKUP($A1045,My_Audit!$A:$A,My_Audit!R:R,""),
_xlfn.IFS(_xlpm.MyAuditVal&lt;&gt;"",UPPER(_xlpm.MyAuditVal),_xlpm.MacVal&lt;&gt;"",_xlpm.MacVal,_xlpm.CSVVal&lt;&gt;"",_xlpm.CSVVal
)),"")</f>
        <v/>
      </c>
      <c r="R1045" s="40"/>
      <c r="S1045" s="40"/>
      <c r="T1045" s="40"/>
      <c r="U1045" s="40"/>
      <c r="V1045" s="40"/>
      <c r="W1045" s="40"/>
      <c r="X1045" s="41" t="str">
        <f>_xlfn.LET(
    _xlpm.MacVal, _xlfn.XLOOKUP($A1045, Output_Mac!$A:$A, Output_Mac!AB:AB, ""),
    _xlpm.MyAuditVal, _xlfn.XLOOKUP($A1045, My_Audit!$A:$A, My_Audit!N:N, ""),
    _xlfn.TEXTJOIN(", ", TRUE, _xlpm.MyAuditVal, _xlpm.MacVal)
)</f>
        <v/>
      </c>
    </row>
    <row r="1046" spans="1:24">
      <c r="A1046" s="40" t="str">
        <f>_xlfn.TEXTJOIN("",TRUE,Input!$B$2,ROW(My_Audit!A1045))</f>
        <v>X1045</v>
      </c>
      <c r="B1046" s="40" t="str">
        <f>_xlfn.TEXTJOIN("-",TRUE,"ITD",Input!$A$2,A1046)</f>
        <v>ITD-X1045</v>
      </c>
      <c r="C1046" s="40" t="str" cm="1">
        <f t="array" ref="C1046">IFERROR(_xlfn.LET(
_xlpm.CSVVal,_xlfn.XLOOKUP($A1046,CSV!$A:$A,CSV!B:B,""),
_xlpm.MacVal,_xlfn.XLOOKUP($A1046,Output_Mac!$A:$A,Output_Mac!B:B,""),
_xlpm.MyAuditVal,_xlfn.XLOOKUP($A1046,My_Audit!$A:$A,My_Audit!B:B,""),
_xlfn.IFS(_xlpm.MyAuditVal&lt;&gt;"",UPPER(_xlpm.MyAuditVal),_xlpm.MacVal&lt;&gt;"",_xlpm.MacVal,_xlpm.CSVVal&lt;&gt;"",_xlpm.CSVVal
)),"")</f>
        <v/>
      </c>
      <c r="D1046" s="40" t="str" cm="1">
        <f t="array" ref="D1046">IFERROR(_xlfn.LET(
_xlpm.CSVVal,_xlfn.XLOOKUP($A1046,CSV!$A:$A,CSV!D:D,""),
_xlpm.MacVal,_xlfn.XLOOKUP($A1046,Output_Mac!$A:$A,Output_Mac!C:C,""),
_xlpm.MyAuditVal,_xlfn.XLOOKUP($A1046,My_Audit!$A:$A,My_Audit!C:C,""),
_xlfn.IFS(_xlpm.MyAuditVal&lt;&gt;"",_xlpm.MyAuditVal,_xlpm.MacVal&lt;&gt;"",_xlpm.MacVal,_xlpm.CSVVal&lt;&gt;"",_xlpm.CSVVal
)),"")</f>
        <v/>
      </c>
      <c r="E1046" s="40" t="str">
        <f>_xlfn.XLOOKUP(A1046,My_Audit!A:A,My_Audit!D:D,"")</f>
        <v/>
      </c>
      <c r="F1046" s="40" t="str" cm="1">
        <f t="array" ref="F1046">IFERROR(_xlfn.LET(
_xlpm.CSVVal,_xlfn.XLOOKUP($A1046,CSV!$A:$A,CSV!F:F,""),
_xlpm.MacVal,_xlfn.XLOOKUP($A1046,Output_Mac!$A:$A,Output_Mac!E:E,""),
_xlpm.MyAuditVal,_xlfn.XLOOKUP($A1046,My_Audit!$A:$A,My_Audit!E:E,""),
_xlfn.IFS(_xlpm.MyAuditVal&lt;&gt;"",_xlpm.MyAuditVal,_xlpm.MacVal&lt;&gt;"",_xlpm.MacVal,_xlpm.CSVVal&lt;&gt;"",_xlpm.CSVVal
)),"")</f>
        <v/>
      </c>
      <c r="G1046" s="40" t="str" cm="1">
        <f t="array" ref="G1046">IFERROR(_xlfn.LET(
_xlpm.CSVVal,_xlfn.XLOOKUP($A1046,CSV!$A:$A,CSV!G:G,""),
_xlpm.MacVal,_xlfn.XLOOKUP($A1046,Output_Mac!$A:$A,Output_Mac!F:F,""),
_xlpm.MyAuditVal,_xlfn.XLOOKUP($A1046,My_Audit!$A:$A,My_Audit!F:F,""),
_xlfn.IFS(_xlpm.MyAuditVal&lt;&gt;"",_xlpm.MyAuditVal,_xlpm.MacVal&lt;&gt;"",_xlpm.MacVal,_xlpm.CSVVal&lt;&gt;"",PROPER(_xlpm.CSVVal)
)),"")</f>
        <v/>
      </c>
      <c r="H1046" s="40" t="str" cm="1">
        <f t="array" ref="H1046">IFERROR(_xlfn.LET(
_xlpm.CSVVal,_xlfn.XLOOKUP($A1046,CSV!$A:$A,CSV!H:H,""),
_xlpm.MacVal,_xlfn.XLOOKUP($A1046,Output_Mac!$A:$A,Output_Mac!H:H,""),
_xlpm.MyAuditVal,_xlfn.XLOOKUP($A1046,My_Audit!$A:$A,My_Audit!G:G,""),
_xlfn.IFS(_xlpm.MyAuditVal&lt;&gt;"",_xlpm.MyAuditVal,_xlpm.MacVal&lt;&gt;"",_xlpm.MacVal,_xlpm.CSVVal&lt;&gt;"",_xlpm.CSVVal
)),"")</f>
        <v/>
      </c>
      <c r="I1046" s="40" t="str">
        <f>_xlfn.XLOOKUP(A1046,Output_Mac!A:A,Output_Mac!I:I,"")</f>
        <v/>
      </c>
      <c r="J1046" s="40" t="str" cm="1">
        <f t="array" ref="J1046">IFERROR(_xlfn.LET(
_xlpm.CSVVal,_xlfn.XLOOKUP($A1046,CSV!$A:$A,CSV!I:I,""),
_xlpm.MacVal,_xlfn.XLOOKUP($A1046,Output_Mac!$A:$A,Output_Mac!J:J,""),
_xlpm.MyAuditVal,_xlfn.XLOOKUP($A1046,My_Audit!$A:$A,My_Audit!I:I,""),
_xlfn.IFS(_xlpm.MyAuditVal&lt;&gt;"",UPPER(_xlpm.MyAuditVal),_xlpm.MacVal&lt;&gt;"",_xlpm.MacVal,_xlpm.CSVVal&lt;&gt;"",_xlpm.CSVVal
)),"")</f>
        <v/>
      </c>
      <c r="K1046" s="40" t="str" cm="1">
        <f t="array" ref="K1046">IFERROR(_xlfn.LET(
_xlpm.CSVVal,_xlfn.XLOOKUP($A1046,CSV!$A:$A,CSV!K:K,""),
_xlpm.MacVal,_xlfn.XLOOKUP($A1046,Output_Mac!$A:$A,Output_Mac!K:K,""),
_xlpm.MyAuditVal,_xlfn.XLOOKUP($A1046,My_Audit!$A:$A,My_Audit!J:J,""),
_xlfn.IFS(_xlpm.MyAuditVal&lt;&gt;"",UPPER(_xlpm.MyAuditVal),_xlpm.MacVal&lt;&gt;"",_xlpm.MacVal,_xlpm.CSVVal&lt;&gt;"",_xlpm.CSVVal
)),"")</f>
        <v/>
      </c>
      <c r="L1046" s="40" t="str" cm="1">
        <f t="array" ref="L1046">IFERROR(_xlfn.LET(
_xlpm.CSVVal,_xlfn.XLOOKUP($A1046,CSV!$A:$A,CSV!P:P,""),
_xlpm.MacVal,_xlfn.XLOOKUP($A1046,Output_Mac!$A:$A,Output_Mac!L:L,""),
_xlpm.MyAuditVal,_xlfn.XLOOKUP($A1046,My_Audit!$A:$A,My_Audit!K:K,""),
_xlfn.IFS(_xlpm.MyAuditVal&lt;&gt;"",UPPER(_xlpm.MyAuditVal),_xlpm.MacVal&lt;&gt;"",_xlpm.MacVal,_xlpm.CSVVal&lt;&gt;"",_xlpm.CSVVal
)),"")</f>
        <v/>
      </c>
      <c r="M1046" s="40" t="str" cm="1">
        <f t="array" ref="M1046">IFERROR(_xlfn.LET(
_xlpm.CSVVal,_xlfn.XLOOKUP($A1046,CSV!$A:$A,CSV!Q:Q,""),
_xlpm.MacVal,_xlfn.XLOOKUP($A1046,Output_Mac!$A:$A,Output_Mac!M:M,""),
_xlpm.MyAuditVal,_xlfn.XLOOKUP($A1046,My_Audit!$A:$A,My_Audit!L:L,""),
_xlfn.IFS(_xlpm.MyAuditVal&lt;&gt;"",UPPER(_xlpm.MyAuditVal),_xlpm.MacVal&lt;&gt;"",_xlpm.MacVal,_xlpm.CSVVal&lt;&gt;"",_xlpm.CSVVal
)),"")</f>
        <v/>
      </c>
      <c r="N1046" s="40"/>
      <c r="O1046" s="40" t="str">
        <f>_xlfn.LET(
    _xlpm.CSVVal, _xlfn.XLOOKUP($A1046, CSV!$A:$A, CSV!AA:AA, ""),
    _xlpm.MacVal, _xlfn.XLOOKUP($A1046, Output_Mac!$A:$A, Output_Mac!S:S, ""),
    _xlpm.MyAuditVal, _xlfn.XLOOKUP($A1046, My_Audit!$A:$A, My_Audit!P:P, ""),
    _xlfn.TEXTJOIN(", ", TRUE, _xlpm.MyAuditVal, _xlpm.MacVal, _xlpm.CSVVal)
)</f>
        <v/>
      </c>
      <c r="P1046" s="40" t="str" cm="1">
        <f t="array" ref="P1046">IFERROR(_xlfn.LET(
_xlpm.CSVVal,_xlfn.XLOOKUP($A1046,CSV!$A:$A,CSV!AB:AB,""),
_xlpm.MacVal,_xlfn.XLOOKUP($A1046,Output_Mac!$A:$A,Output_Mac!T:T,""),
_xlpm.MyAuditVal,_xlfn.XLOOKUP($A1046,My_Audit!$A:$A,My_Audit!Q:Q,""),
_xlfn.IFS(_xlpm.MyAuditVal&lt;&gt;"",UPPER(_xlpm.MyAuditVal),_xlpm.MacVal&lt;&gt;"",_xlpm.MacVal,_xlpm.CSVVal&lt;&gt;"",_xlpm.CSVVal
)),"No")</f>
        <v>No</v>
      </c>
      <c r="Q1046" s="40" t="str" cm="1">
        <f t="array" ref="Q1046">IFERROR(_xlfn.LET(
_xlpm.CSVVal,_xlfn.XLOOKUP($A1046,CSV!$A:$A,CSV!AC:AC,""),
_xlpm.MacVal,_xlfn.XLOOKUP($A1046,Output_Mac!$A:$A,Output_Mac!U:U,""),
_xlpm.MyAuditVal,_xlfn.XLOOKUP($A1046,My_Audit!$A:$A,My_Audit!R:R,""),
_xlfn.IFS(_xlpm.MyAuditVal&lt;&gt;"",UPPER(_xlpm.MyAuditVal),_xlpm.MacVal&lt;&gt;"",_xlpm.MacVal,_xlpm.CSVVal&lt;&gt;"",_xlpm.CSVVal
)),"")</f>
        <v/>
      </c>
      <c r="R1046" s="40"/>
      <c r="S1046" s="40"/>
      <c r="T1046" s="40"/>
      <c r="U1046" s="40"/>
      <c r="V1046" s="40"/>
      <c r="W1046" s="40"/>
      <c r="X1046" s="41" t="str">
        <f>_xlfn.LET(
    _xlpm.MacVal, _xlfn.XLOOKUP($A1046, Output_Mac!$A:$A, Output_Mac!AB:AB, ""),
    _xlpm.MyAuditVal, _xlfn.XLOOKUP($A1046, My_Audit!$A:$A, My_Audit!N:N, ""),
    _xlfn.TEXTJOIN(", ", TRUE, _xlpm.MyAuditVal, _xlpm.MacVal)
)</f>
        <v/>
      </c>
    </row>
    <row r="1047" spans="1:24">
      <c r="A1047" s="40" t="str">
        <f>_xlfn.TEXTJOIN("",TRUE,Input!$B$2,ROW(My_Audit!A1046))</f>
        <v>X1046</v>
      </c>
      <c r="B1047" s="40" t="str">
        <f>_xlfn.TEXTJOIN("-",TRUE,"ITD",Input!$A$2,A1047)</f>
        <v>ITD-X1046</v>
      </c>
      <c r="C1047" s="40" t="str" cm="1">
        <f t="array" ref="C1047">IFERROR(_xlfn.LET(
_xlpm.CSVVal,_xlfn.XLOOKUP($A1047,CSV!$A:$A,CSV!B:B,""),
_xlpm.MacVal,_xlfn.XLOOKUP($A1047,Output_Mac!$A:$A,Output_Mac!B:B,""),
_xlpm.MyAuditVal,_xlfn.XLOOKUP($A1047,My_Audit!$A:$A,My_Audit!B:B,""),
_xlfn.IFS(_xlpm.MyAuditVal&lt;&gt;"",UPPER(_xlpm.MyAuditVal),_xlpm.MacVal&lt;&gt;"",_xlpm.MacVal,_xlpm.CSVVal&lt;&gt;"",_xlpm.CSVVal
)),"")</f>
        <v/>
      </c>
      <c r="D1047" s="40" t="str" cm="1">
        <f t="array" ref="D1047">IFERROR(_xlfn.LET(
_xlpm.CSVVal,_xlfn.XLOOKUP($A1047,CSV!$A:$A,CSV!D:D,""),
_xlpm.MacVal,_xlfn.XLOOKUP($A1047,Output_Mac!$A:$A,Output_Mac!C:C,""),
_xlpm.MyAuditVal,_xlfn.XLOOKUP($A1047,My_Audit!$A:$A,My_Audit!C:C,""),
_xlfn.IFS(_xlpm.MyAuditVal&lt;&gt;"",_xlpm.MyAuditVal,_xlpm.MacVal&lt;&gt;"",_xlpm.MacVal,_xlpm.CSVVal&lt;&gt;"",_xlpm.CSVVal
)),"")</f>
        <v/>
      </c>
      <c r="E1047" s="40" t="str">
        <f>_xlfn.XLOOKUP(A1047,My_Audit!A:A,My_Audit!D:D,"")</f>
        <v/>
      </c>
      <c r="F1047" s="40" t="str" cm="1">
        <f t="array" ref="F1047">IFERROR(_xlfn.LET(
_xlpm.CSVVal,_xlfn.XLOOKUP($A1047,CSV!$A:$A,CSV!F:F,""),
_xlpm.MacVal,_xlfn.XLOOKUP($A1047,Output_Mac!$A:$A,Output_Mac!E:E,""),
_xlpm.MyAuditVal,_xlfn.XLOOKUP($A1047,My_Audit!$A:$A,My_Audit!E:E,""),
_xlfn.IFS(_xlpm.MyAuditVal&lt;&gt;"",_xlpm.MyAuditVal,_xlpm.MacVal&lt;&gt;"",_xlpm.MacVal,_xlpm.CSVVal&lt;&gt;"",_xlpm.CSVVal
)),"")</f>
        <v/>
      </c>
      <c r="G1047" s="40" t="str" cm="1">
        <f t="array" ref="G1047">IFERROR(_xlfn.LET(
_xlpm.CSVVal,_xlfn.XLOOKUP($A1047,CSV!$A:$A,CSV!G:G,""),
_xlpm.MacVal,_xlfn.XLOOKUP($A1047,Output_Mac!$A:$A,Output_Mac!F:F,""),
_xlpm.MyAuditVal,_xlfn.XLOOKUP($A1047,My_Audit!$A:$A,My_Audit!F:F,""),
_xlfn.IFS(_xlpm.MyAuditVal&lt;&gt;"",_xlpm.MyAuditVal,_xlpm.MacVal&lt;&gt;"",_xlpm.MacVal,_xlpm.CSVVal&lt;&gt;"",PROPER(_xlpm.CSVVal)
)),"")</f>
        <v/>
      </c>
      <c r="H1047" s="40" t="str" cm="1">
        <f t="array" ref="H1047">IFERROR(_xlfn.LET(
_xlpm.CSVVal,_xlfn.XLOOKUP($A1047,CSV!$A:$A,CSV!H:H,""),
_xlpm.MacVal,_xlfn.XLOOKUP($A1047,Output_Mac!$A:$A,Output_Mac!H:H,""),
_xlpm.MyAuditVal,_xlfn.XLOOKUP($A1047,My_Audit!$A:$A,My_Audit!G:G,""),
_xlfn.IFS(_xlpm.MyAuditVal&lt;&gt;"",_xlpm.MyAuditVal,_xlpm.MacVal&lt;&gt;"",_xlpm.MacVal,_xlpm.CSVVal&lt;&gt;"",_xlpm.CSVVal
)),"")</f>
        <v/>
      </c>
      <c r="I1047" s="40" t="str">
        <f>_xlfn.XLOOKUP(A1047,Output_Mac!A:A,Output_Mac!I:I,"")</f>
        <v/>
      </c>
      <c r="J1047" s="40" t="str" cm="1">
        <f t="array" ref="J1047">IFERROR(_xlfn.LET(
_xlpm.CSVVal,_xlfn.XLOOKUP($A1047,CSV!$A:$A,CSV!I:I,""),
_xlpm.MacVal,_xlfn.XLOOKUP($A1047,Output_Mac!$A:$A,Output_Mac!J:J,""),
_xlpm.MyAuditVal,_xlfn.XLOOKUP($A1047,My_Audit!$A:$A,My_Audit!I:I,""),
_xlfn.IFS(_xlpm.MyAuditVal&lt;&gt;"",UPPER(_xlpm.MyAuditVal),_xlpm.MacVal&lt;&gt;"",_xlpm.MacVal,_xlpm.CSVVal&lt;&gt;"",_xlpm.CSVVal
)),"")</f>
        <v/>
      </c>
      <c r="K1047" s="40" t="str" cm="1">
        <f t="array" ref="K1047">IFERROR(_xlfn.LET(
_xlpm.CSVVal,_xlfn.XLOOKUP($A1047,CSV!$A:$A,CSV!K:K,""),
_xlpm.MacVal,_xlfn.XLOOKUP($A1047,Output_Mac!$A:$A,Output_Mac!K:K,""),
_xlpm.MyAuditVal,_xlfn.XLOOKUP($A1047,My_Audit!$A:$A,My_Audit!J:J,""),
_xlfn.IFS(_xlpm.MyAuditVal&lt;&gt;"",UPPER(_xlpm.MyAuditVal),_xlpm.MacVal&lt;&gt;"",_xlpm.MacVal,_xlpm.CSVVal&lt;&gt;"",_xlpm.CSVVal
)),"")</f>
        <v/>
      </c>
      <c r="L1047" s="40" t="str" cm="1">
        <f t="array" ref="L1047">IFERROR(_xlfn.LET(
_xlpm.CSVVal,_xlfn.XLOOKUP($A1047,CSV!$A:$A,CSV!P:P,""),
_xlpm.MacVal,_xlfn.XLOOKUP($A1047,Output_Mac!$A:$A,Output_Mac!L:L,""),
_xlpm.MyAuditVal,_xlfn.XLOOKUP($A1047,My_Audit!$A:$A,My_Audit!K:K,""),
_xlfn.IFS(_xlpm.MyAuditVal&lt;&gt;"",UPPER(_xlpm.MyAuditVal),_xlpm.MacVal&lt;&gt;"",_xlpm.MacVal,_xlpm.CSVVal&lt;&gt;"",_xlpm.CSVVal
)),"")</f>
        <v/>
      </c>
      <c r="M1047" s="40" t="str" cm="1">
        <f t="array" ref="M1047">IFERROR(_xlfn.LET(
_xlpm.CSVVal,_xlfn.XLOOKUP($A1047,CSV!$A:$A,CSV!Q:Q,""),
_xlpm.MacVal,_xlfn.XLOOKUP($A1047,Output_Mac!$A:$A,Output_Mac!M:M,""),
_xlpm.MyAuditVal,_xlfn.XLOOKUP($A1047,My_Audit!$A:$A,My_Audit!L:L,""),
_xlfn.IFS(_xlpm.MyAuditVal&lt;&gt;"",UPPER(_xlpm.MyAuditVal),_xlpm.MacVal&lt;&gt;"",_xlpm.MacVal,_xlpm.CSVVal&lt;&gt;"",_xlpm.CSVVal
)),"")</f>
        <v/>
      </c>
      <c r="N1047" s="40"/>
      <c r="O1047" s="40" t="str">
        <f>_xlfn.LET(
    _xlpm.CSVVal, _xlfn.XLOOKUP($A1047, CSV!$A:$A, CSV!AA:AA, ""),
    _xlpm.MacVal, _xlfn.XLOOKUP($A1047, Output_Mac!$A:$A, Output_Mac!S:S, ""),
    _xlpm.MyAuditVal, _xlfn.XLOOKUP($A1047, My_Audit!$A:$A, My_Audit!P:P, ""),
    _xlfn.TEXTJOIN(", ", TRUE, _xlpm.MyAuditVal, _xlpm.MacVal, _xlpm.CSVVal)
)</f>
        <v/>
      </c>
      <c r="P1047" s="40" t="str" cm="1">
        <f t="array" ref="P1047">IFERROR(_xlfn.LET(
_xlpm.CSVVal,_xlfn.XLOOKUP($A1047,CSV!$A:$A,CSV!AB:AB,""),
_xlpm.MacVal,_xlfn.XLOOKUP($A1047,Output_Mac!$A:$A,Output_Mac!T:T,""),
_xlpm.MyAuditVal,_xlfn.XLOOKUP($A1047,My_Audit!$A:$A,My_Audit!Q:Q,""),
_xlfn.IFS(_xlpm.MyAuditVal&lt;&gt;"",UPPER(_xlpm.MyAuditVal),_xlpm.MacVal&lt;&gt;"",_xlpm.MacVal,_xlpm.CSVVal&lt;&gt;"",_xlpm.CSVVal
)),"No")</f>
        <v>No</v>
      </c>
      <c r="Q1047" s="40" t="str" cm="1">
        <f t="array" ref="Q1047">IFERROR(_xlfn.LET(
_xlpm.CSVVal,_xlfn.XLOOKUP($A1047,CSV!$A:$A,CSV!AC:AC,""),
_xlpm.MacVal,_xlfn.XLOOKUP($A1047,Output_Mac!$A:$A,Output_Mac!U:U,""),
_xlpm.MyAuditVal,_xlfn.XLOOKUP($A1047,My_Audit!$A:$A,My_Audit!R:R,""),
_xlfn.IFS(_xlpm.MyAuditVal&lt;&gt;"",UPPER(_xlpm.MyAuditVal),_xlpm.MacVal&lt;&gt;"",_xlpm.MacVal,_xlpm.CSVVal&lt;&gt;"",_xlpm.CSVVal
)),"")</f>
        <v/>
      </c>
      <c r="R1047" s="40"/>
      <c r="S1047" s="40"/>
      <c r="T1047" s="40"/>
      <c r="U1047" s="40"/>
      <c r="V1047" s="40"/>
      <c r="W1047" s="40"/>
      <c r="X1047" s="41" t="str">
        <f>_xlfn.LET(
    _xlpm.MacVal, _xlfn.XLOOKUP($A1047, Output_Mac!$A:$A, Output_Mac!AB:AB, ""),
    _xlpm.MyAuditVal, _xlfn.XLOOKUP($A1047, My_Audit!$A:$A, My_Audit!N:N, ""),
    _xlfn.TEXTJOIN(", ", TRUE, _xlpm.MyAuditVal, _xlpm.MacVal)
)</f>
        <v/>
      </c>
    </row>
    <row r="1048" spans="1:24">
      <c r="A1048" s="40" t="str">
        <f>_xlfn.TEXTJOIN("",TRUE,Input!$B$2,ROW(My_Audit!A1047))</f>
        <v>X1047</v>
      </c>
      <c r="B1048" s="40" t="str">
        <f>_xlfn.TEXTJOIN("-",TRUE,"ITD",Input!$A$2,A1048)</f>
        <v>ITD-X1047</v>
      </c>
      <c r="C1048" s="40" t="str" cm="1">
        <f t="array" ref="C1048">IFERROR(_xlfn.LET(
_xlpm.CSVVal,_xlfn.XLOOKUP($A1048,CSV!$A:$A,CSV!B:B,""),
_xlpm.MacVal,_xlfn.XLOOKUP($A1048,Output_Mac!$A:$A,Output_Mac!B:B,""),
_xlpm.MyAuditVal,_xlfn.XLOOKUP($A1048,My_Audit!$A:$A,My_Audit!B:B,""),
_xlfn.IFS(_xlpm.MyAuditVal&lt;&gt;"",UPPER(_xlpm.MyAuditVal),_xlpm.MacVal&lt;&gt;"",_xlpm.MacVal,_xlpm.CSVVal&lt;&gt;"",_xlpm.CSVVal
)),"")</f>
        <v/>
      </c>
      <c r="D1048" s="40" t="str" cm="1">
        <f t="array" ref="D1048">IFERROR(_xlfn.LET(
_xlpm.CSVVal,_xlfn.XLOOKUP($A1048,CSV!$A:$A,CSV!D:D,""),
_xlpm.MacVal,_xlfn.XLOOKUP($A1048,Output_Mac!$A:$A,Output_Mac!C:C,""),
_xlpm.MyAuditVal,_xlfn.XLOOKUP($A1048,My_Audit!$A:$A,My_Audit!C:C,""),
_xlfn.IFS(_xlpm.MyAuditVal&lt;&gt;"",_xlpm.MyAuditVal,_xlpm.MacVal&lt;&gt;"",_xlpm.MacVal,_xlpm.CSVVal&lt;&gt;"",_xlpm.CSVVal
)),"")</f>
        <v/>
      </c>
      <c r="E1048" s="40" t="str">
        <f>_xlfn.XLOOKUP(A1048,My_Audit!A:A,My_Audit!D:D,"")</f>
        <v/>
      </c>
      <c r="F1048" s="40" t="str" cm="1">
        <f t="array" ref="F1048">IFERROR(_xlfn.LET(
_xlpm.CSVVal,_xlfn.XLOOKUP($A1048,CSV!$A:$A,CSV!F:F,""),
_xlpm.MacVal,_xlfn.XLOOKUP($A1048,Output_Mac!$A:$A,Output_Mac!E:E,""),
_xlpm.MyAuditVal,_xlfn.XLOOKUP($A1048,My_Audit!$A:$A,My_Audit!E:E,""),
_xlfn.IFS(_xlpm.MyAuditVal&lt;&gt;"",_xlpm.MyAuditVal,_xlpm.MacVal&lt;&gt;"",_xlpm.MacVal,_xlpm.CSVVal&lt;&gt;"",_xlpm.CSVVal
)),"")</f>
        <v/>
      </c>
      <c r="G1048" s="40" t="str" cm="1">
        <f t="array" ref="G1048">IFERROR(_xlfn.LET(
_xlpm.CSVVal,_xlfn.XLOOKUP($A1048,CSV!$A:$A,CSV!G:G,""),
_xlpm.MacVal,_xlfn.XLOOKUP($A1048,Output_Mac!$A:$A,Output_Mac!F:F,""),
_xlpm.MyAuditVal,_xlfn.XLOOKUP($A1048,My_Audit!$A:$A,My_Audit!F:F,""),
_xlfn.IFS(_xlpm.MyAuditVal&lt;&gt;"",_xlpm.MyAuditVal,_xlpm.MacVal&lt;&gt;"",_xlpm.MacVal,_xlpm.CSVVal&lt;&gt;"",PROPER(_xlpm.CSVVal)
)),"")</f>
        <v/>
      </c>
      <c r="H1048" s="40" t="str" cm="1">
        <f t="array" ref="H1048">IFERROR(_xlfn.LET(
_xlpm.CSVVal,_xlfn.XLOOKUP($A1048,CSV!$A:$A,CSV!H:H,""),
_xlpm.MacVal,_xlfn.XLOOKUP($A1048,Output_Mac!$A:$A,Output_Mac!H:H,""),
_xlpm.MyAuditVal,_xlfn.XLOOKUP($A1048,My_Audit!$A:$A,My_Audit!G:G,""),
_xlfn.IFS(_xlpm.MyAuditVal&lt;&gt;"",_xlpm.MyAuditVal,_xlpm.MacVal&lt;&gt;"",_xlpm.MacVal,_xlpm.CSVVal&lt;&gt;"",_xlpm.CSVVal
)),"")</f>
        <v/>
      </c>
      <c r="I1048" s="40" t="str">
        <f>_xlfn.XLOOKUP(A1048,Output_Mac!A:A,Output_Mac!I:I,"")</f>
        <v/>
      </c>
      <c r="J1048" s="40" t="str" cm="1">
        <f t="array" ref="J1048">IFERROR(_xlfn.LET(
_xlpm.CSVVal,_xlfn.XLOOKUP($A1048,CSV!$A:$A,CSV!I:I,""),
_xlpm.MacVal,_xlfn.XLOOKUP($A1048,Output_Mac!$A:$A,Output_Mac!J:J,""),
_xlpm.MyAuditVal,_xlfn.XLOOKUP($A1048,My_Audit!$A:$A,My_Audit!I:I,""),
_xlfn.IFS(_xlpm.MyAuditVal&lt;&gt;"",UPPER(_xlpm.MyAuditVal),_xlpm.MacVal&lt;&gt;"",_xlpm.MacVal,_xlpm.CSVVal&lt;&gt;"",_xlpm.CSVVal
)),"")</f>
        <v/>
      </c>
      <c r="K1048" s="40" t="str" cm="1">
        <f t="array" ref="K1048">IFERROR(_xlfn.LET(
_xlpm.CSVVal,_xlfn.XLOOKUP($A1048,CSV!$A:$A,CSV!K:K,""),
_xlpm.MacVal,_xlfn.XLOOKUP($A1048,Output_Mac!$A:$A,Output_Mac!K:K,""),
_xlpm.MyAuditVal,_xlfn.XLOOKUP($A1048,My_Audit!$A:$A,My_Audit!J:J,""),
_xlfn.IFS(_xlpm.MyAuditVal&lt;&gt;"",UPPER(_xlpm.MyAuditVal),_xlpm.MacVal&lt;&gt;"",_xlpm.MacVal,_xlpm.CSVVal&lt;&gt;"",_xlpm.CSVVal
)),"")</f>
        <v/>
      </c>
      <c r="L1048" s="40" t="str" cm="1">
        <f t="array" ref="L1048">IFERROR(_xlfn.LET(
_xlpm.CSVVal,_xlfn.XLOOKUP($A1048,CSV!$A:$A,CSV!P:P,""),
_xlpm.MacVal,_xlfn.XLOOKUP($A1048,Output_Mac!$A:$A,Output_Mac!L:L,""),
_xlpm.MyAuditVal,_xlfn.XLOOKUP($A1048,My_Audit!$A:$A,My_Audit!K:K,""),
_xlfn.IFS(_xlpm.MyAuditVal&lt;&gt;"",UPPER(_xlpm.MyAuditVal),_xlpm.MacVal&lt;&gt;"",_xlpm.MacVal,_xlpm.CSVVal&lt;&gt;"",_xlpm.CSVVal
)),"")</f>
        <v/>
      </c>
      <c r="M1048" s="40" t="str" cm="1">
        <f t="array" ref="M1048">IFERROR(_xlfn.LET(
_xlpm.CSVVal,_xlfn.XLOOKUP($A1048,CSV!$A:$A,CSV!Q:Q,""),
_xlpm.MacVal,_xlfn.XLOOKUP($A1048,Output_Mac!$A:$A,Output_Mac!M:M,""),
_xlpm.MyAuditVal,_xlfn.XLOOKUP($A1048,My_Audit!$A:$A,My_Audit!L:L,""),
_xlfn.IFS(_xlpm.MyAuditVal&lt;&gt;"",UPPER(_xlpm.MyAuditVal),_xlpm.MacVal&lt;&gt;"",_xlpm.MacVal,_xlpm.CSVVal&lt;&gt;"",_xlpm.CSVVal
)),"")</f>
        <v/>
      </c>
      <c r="N1048" s="40"/>
      <c r="O1048" s="40" t="str">
        <f>_xlfn.LET(
    _xlpm.CSVVal, _xlfn.XLOOKUP($A1048, CSV!$A:$A, CSV!AA:AA, ""),
    _xlpm.MacVal, _xlfn.XLOOKUP($A1048, Output_Mac!$A:$A, Output_Mac!S:S, ""),
    _xlpm.MyAuditVal, _xlfn.XLOOKUP($A1048, My_Audit!$A:$A, My_Audit!P:P, ""),
    _xlfn.TEXTJOIN(", ", TRUE, _xlpm.MyAuditVal, _xlpm.MacVal, _xlpm.CSVVal)
)</f>
        <v/>
      </c>
      <c r="P1048" s="40" t="str" cm="1">
        <f t="array" ref="P1048">IFERROR(_xlfn.LET(
_xlpm.CSVVal,_xlfn.XLOOKUP($A1048,CSV!$A:$A,CSV!AB:AB,""),
_xlpm.MacVal,_xlfn.XLOOKUP($A1048,Output_Mac!$A:$A,Output_Mac!T:T,""),
_xlpm.MyAuditVal,_xlfn.XLOOKUP($A1048,My_Audit!$A:$A,My_Audit!Q:Q,""),
_xlfn.IFS(_xlpm.MyAuditVal&lt;&gt;"",UPPER(_xlpm.MyAuditVal),_xlpm.MacVal&lt;&gt;"",_xlpm.MacVal,_xlpm.CSVVal&lt;&gt;"",_xlpm.CSVVal
)),"No")</f>
        <v>No</v>
      </c>
      <c r="Q1048" s="40" t="str" cm="1">
        <f t="array" ref="Q1048">IFERROR(_xlfn.LET(
_xlpm.CSVVal,_xlfn.XLOOKUP($A1048,CSV!$A:$A,CSV!AC:AC,""),
_xlpm.MacVal,_xlfn.XLOOKUP($A1048,Output_Mac!$A:$A,Output_Mac!U:U,""),
_xlpm.MyAuditVal,_xlfn.XLOOKUP($A1048,My_Audit!$A:$A,My_Audit!R:R,""),
_xlfn.IFS(_xlpm.MyAuditVal&lt;&gt;"",UPPER(_xlpm.MyAuditVal),_xlpm.MacVal&lt;&gt;"",_xlpm.MacVal,_xlpm.CSVVal&lt;&gt;"",_xlpm.CSVVal
)),"")</f>
        <v/>
      </c>
      <c r="R1048" s="40"/>
      <c r="S1048" s="40"/>
      <c r="T1048" s="40"/>
      <c r="U1048" s="40"/>
      <c r="V1048" s="40"/>
      <c r="W1048" s="40"/>
      <c r="X1048" s="41" t="str">
        <f>_xlfn.LET(
    _xlpm.MacVal, _xlfn.XLOOKUP($A1048, Output_Mac!$A:$A, Output_Mac!AB:AB, ""),
    _xlpm.MyAuditVal, _xlfn.XLOOKUP($A1048, My_Audit!$A:$A, My_Audit!N:N, ""),
    _xlfn.TEXTJOIN(", ", TRUE, _xlpm.MyAuditVal, _xlpm.MacVal)
)</f>
        <v/>
      </c>
    </row>
    <row r="1049" spans="1:24">
      <c r="A1049" s="40" t="str">
        <f>_xlfn.TEXTJOIN("",TRUE,Input!$B$2,ROW(My_Audit!A1048))</f>
        <v>X1048</v>
      </c>
      <c r="B1049" s="40" t="str">
        <f>_xlfn.TEXTJOIN("-",TRUE,"ITD",Input!$A$2,A1049)</f>
        <v>ITD-X1048</v>
      </c>
      <c r="C1049" s="40" t="str" cm="1">
        <f t="array" ref="C1049">IFERROR(_xlfn.LET(
_xlpm.CSVVal,_xlfn.XLOOKUP($A1049,CSV!$A:$A,CSV!B:B,""),
_xlpm.MacVal,_xlfn.XLOOKUP($A1049,Output_Mac!$A:$A,Output_Mac!B:B,""),
_xlpm.MyAuditVal,_xlfn.XLOOKUP($A1049,My_Audit!$A:$A,My_Audit!B:B,""),
_xlfn.IFS(_xlpm.MyAuditVal&lt;&gt;"",UPPER(_xlpm.MyAuditVal),_xlpm.MacVal&lt;&gt;"",_xlpm.MacVal,_xlpm.CSVVal&lt;&gt;"",_xlpm.CSVVal
)),"")</f>
        <v/>
      </c>
      <c r="D1049" s="40" t="str" cm="1">
        <f t="array" ref="D1049">IFERROR(_xlfn.LET(
_xlpm.CSVVal,_xlfn.XLOOKUP($A1049,CSV!$A:$A,CSV!D:D,""),
_xlpm.MacVal,_xlfn.XLOOKUP($A1049,Output_Mac!$A:$A,Output_Mac!C:C,""),
_xlpm.MyAuditVal,_xlfn.XLOOKUP($A1049,My_Audit!$A:$A,My_Audit!C:C,""),
_xlfn.IFS(_xlpm.MyAuditVal&lt;&gt;"",_xlpm.MyAuditVal,_xlpm.MacVal&lt;&gt;"",_xlpm.MacVal,_xlpm.CSVVal&lt;&gt;"",_xlpm.CSVVal
)),"")</f>
        <v/>
      </c>
      <c r="E1049" s="40" t="str">
        <f>_xlfn.XLOOKUP(A1049,My_Audit!A:A,My_Audit!D:D,"")</f>
        <v/>
      </c>
      <c r="F1049" s="40" t="str" cm="1">
        <f t="array" ref="F1049">IFERROR(_xlfn.LET(
_xlpm.CSVVal,_xlfn.XLOOKUP($A1049,CSV!$A:$A,CSV!F:F,""),
_xlpm.MacVal,_xlfn.XLOOKUP($A1049,Output_Mac!$A:$A,Output_Mac!E:E,""),
_xlpm.MyAuditVal,_xlfn.XLOOKUP($A1049,My_Audit!$A:$A,My_Audit!E:E,""),
_xlfn.IFS(_xlpm.MyAuditVal&lt;&gt;"",_xlpm.MyAuditVal,_xlpm.MacVal&lt;&gt;"",_xlpm.MacVal,_xlpm.CSVVal&lt;&gt;"",_xlpm.CSVVal
)),"")</f>
        <v/>
      </c>
      <c r="G1049" s="40" t="str" cm="1">
        <f t="array" ref="G1049">IFERROR(_xlfn.LET(
_xlpm.CSVVal,_xlfn.XLOOKUP($A1049,CSV!$A:$A,CSV!G:G,""),
_xlpm.MacVal,_xlfn.XLOOKUP($A1049,Output_Mac!$A:$A,Output_Mac!F:F,""),
_xlpm.MyAuditVal,_xlfn.XLOOKUP($A1049,My_Audit!$A:$A,My_Audit!F:F,""),
_xlfn.IFS(_xlpm.MyAuditVal&lt;&gt;"",_xlpm.MyAuditVal,_xlpm.MacVal&lt;&gt;"",_xlpm.MacVal,_xlpm.CSVVal&lt;&gt;"",PROPER(_xlpm.CSVVal)
)),"")</f>
        <v/>
      </c>
      <c r="H1049" s="40" t="str" cm="1">
        <f t="array" ref="H1049">IFERROR(_xlfn.LET(
_xlpm.CSVVal,_xlfn.XLOOKUP($A1049,CSV!$A:$A,CSV!H:H,""),
_xlpm.MacVal,_xlfn.XLOOKUP($A1049,Output_Mac!$A:$A,Output_Mac!H:H,""),
_xlpm.MyAuditVal,_xlfn.XLOOKUP($A1049,My_Audit!$A:$A,My_Audit!G:G,""),
_xlfn.IFS(_xlpm.MyAuditVal&lt;&gt;"",_xlpm.MyAuditVal,_xlpm.MacVal&lt;&gt;"",_xlpm.MacVal,_xlpm.CSVVal&lt;&gt;"",_xlpm.CSVVal
)),"")</f>
        <v/>
      </c>
      <c r="I1049" s="40" t="str">
        <f>_xlfn.XLOOKUP(A1049,Output_Mac!A:A,Output_Mac!I:I,"")</f>
        <v/>
      </c>
      <c r="J1049" s="40" t="str" cm="1">
        <f t="array" ref="J1049">IFERROR(_xlfn.LET(
_xlpm.CSVVal,_xlfn.XLOOKUP($A1049,CSV!$A:$A,CSV!I:I,""),
_xlpm.MacVal,_xlfn.XLOOKUP($A1049,Output_Mac!$A:$A,Output_Mac!J:J,""),
_xlpm.MyAuditVal,_xlfn.XLOOKUP($A1049,My_Audit!$A:$A,My_Audit!I:I,""),
_xlfn.IFS(_xlpm.MyAuditVal&lt;&gt;"",UPPER(_xlpm.MyAuditVal),_xlpm.MacVal&lt;&gt;"",_xlpm.MacVal,_xlpm.CSVVal&lt;&gt;"",_xlpm.CSVVal
)),"")</f>
        <v/>
      </c>
      <c r="K1049" s="40" t="str" cm="1">
        <f t="array" ref="K1049">IFERROR(_xlfn.LET(
_xlpm.CSVVal,_xlfn.XLOOKUP($A1049,CSV!$A:$A,CSV!K:K,""),
_xlpm.MacVal,_xlfn.XLOOKUP($A1049,Output_Mac!$A:$A,Output_Mac!K:K,""),
_xlpm.MyAuditVal,_xlfn.XLOOKUP($A1049,My_Audit!$A:$A,My_Audit!J:J,""),
_xlfn.IFS(_xlpm.MyAuditVal&lt;&gt;"",UPPER(_xlpm.MyAuditVal),_xlpm.MacVal&lt;&gt;"",_xlpm.MacVal,_xlpm.CSVVal&lt;&gt;"",_xlpm.CSVVal
)),"")</f>
        <v/>
      </c>
      <c r="L1049" s="40" t="str" cm="1">
        <f t="array" ref="L1049">IFERROR(_xlfn.LET(
_xlpm.CSVVal,_xlfn.XLOOKUP($A1049,CSV!$A:$A,CSV!P:P,""),
_xlpm.MacVal,_xlfn.XLOOKUP($A1049,Output_Mac!$A:$A,Output_Mac!L:L,""),
_xlpm.MyAuditVal,_xlfn.XLOOKUP($A1049,My_Audit!$A:$A,My_Audit!K:K,""),
_xlfn.IFS(_xlpm.MyAuditVal&lt;&gt;"",UPPER(_xlpm.MyAuditVal),_xlpm.MacVal&lt;&gt;"",_xlpm.MacVal,_xlpm.CSVVal&lt;&gt;"",_xlpm.CSVVal
)),"")</f>
        <v/>
      </c>
      <c r="M1049" s="40" t="str" cm="1">
        <f t="array" ref="M1049">IFERROR(_xlfn.LET(
_xlpm.CSVVal,_xlfn.XLOOKUP($A1049,CSV!$A:$A,CSV!Q:Q,""),
_xlpm.MacVal,_xlfn.XLOOKUP($A1049,Output_Mac!$A:$A,Output_Mac!M:M,""),
_xlpm.MyAuditVal,_xlfn.XLOOKUP($A1049,My_Audit!$A:$A,My_Audit!L:L,""),
_xlfn.IFS(_xlpm.MyAuditVal&lt;&gt;"",UPPER(_xlpm.MyAuditVal),_xlpm.MacVal&lt;&gt;"",_xlpm.MacVal,_xlpm.CSVVal&lt;&gt;"",_xlpm.CSVVal
)),"")</f>
        <v/>
      </c>
      <c r="N1049" s="40"/>
      <c r="O1049" s="40" t="str">
        <f>_xlfn.LET(
    _xlpm.CSVVal, _xlfn.XLOOKUP($A1049, CSV!$A:$A, CSV!AA:AA, ""),
    _xlpm.MacVal, _xlfn.XLOOKUP($A1049, Output_Mac!$A:$A, Output_Mac!S:S, ""),
    _xlpm.MyAuditVal, _xlfn.XLOOKUP($A1049, My_Audit!$A:$A, My_Audit!P:P, ""),
    _xlfn.TEXTJOIN(", ", TRUE, _xlpm.MyAuditVal, _xlpm.MacVal, _xlpm.CSVVal)
)</f>
        <v/>
      </c>
      <c r="P1049" s="40" t="str" cm="1">
        <f t="array" ref="P1049">IFERROR(_xlfn.LET(
_xlpm.CSVVal,_xlfn.XLOOKUP($A1049,CSV!$A:$A,CSV!AB:AB,""),
_xlpm.MacVal,_xlfn.XLOOKUP($A1049,Output_Mac!$A:$A,Output_Mac!T:T,""),
_xlpm.MyAuditVal,_xlfn.XLOOKUP($A1049,My_Audit!$A:$A,My_Audit!Q:Q,""),
_xlfn.IFS(_xlpm.MyAuditVal&lt;&gt;"",UPPER(_xlpm.MyAuditVal),_xlpm.MacVal&lt;&gt;"",_xlpm.MacVal,_xlpm.CSVVal&lt;&gt;"",_xlpm.CSVVal
)),"No")</f>
        <v>No</v>
      </c>
      <c r="Q1049" s="40" t="str" cm="1">
        <f t="array" ref="Q1049">IFERROR(_xlfn.LET(
_xlpm.CSVVal,_xlfn.XLOOKUP($A1049,CSV!$A:$A,CSV!AC:AC,""),
_xlpm.MacVal,_xlfn.XLOOKUP($A1049,Output_Mac!$A:$A,Output_Mac!U:U,""),
_xlpm.MyAuditVal,_xlfn.XLOOKUP($A1049,My_Audit!$A:$A,My_Audit!R:R,""),
_xlfn.IFS(_xlpm.MyAuditVal&lt;&gt;"",UPPER(_xlpm.MyAuditVal),_xlpm.MacVal&lt;&gt;"",_xlpm.MacVal,_xlpm.CSVVal&lt;&gt;"",_xlpm.CSVVal
)),"")</f>
        <v/>
      </c>
      <c r="R1049" s="40"/>
      <c r="S1049" s="40"/>
      <c r="T1049" s="40"/>
      <c r="U1049" s="40"/>
      <c r="V1049" s="40"/>
      <c r="W1049" s="40"/>
      <c r="X1049" s="41" t="str">
        <f>_xlfn.LET(
    _xlpm.MacVal, _xlfn.XLOOKUP($A1049, Output_Mac!$A:$A, Output_Mac!AB:AB, ""),
    _xlpm.MyAuditVal, _xlfn.XLOOKUP($A1049, My_Audit!$A:$A, My_Audit!N:N, ""),
    _xlfn.TEXTJOIN(", ", TRUE, _xlpm.MyAuditVal, _xlpm.MacVal)
)</f>
        <v/>
      </c>
    </row>
    <row r="1050" spans="1:24">
      <c r="A1050" s="40" t="str">
        <f>_xlfn.TEXTJOIN("",TRUE,Input!$B$2,ROW(My_Audit!A1049))</f>
        <v>X1049</v>
      </c>
      <c r="B1050" s="40" t="str">
        <f>_xlfn.TEXTJOIN("-",TRUE,"ITD",Input!$A$2,A1050)</f>
        <v>ITD-X1049</v>
      </c>
      <c r="C1050" s="40" t="str" cm="1">
        <f t="array" ref="C1050">IFERROR(_xlfn.LET(
_xlpm.CSVVal,_xlfn.XLOOKUP($A1050,CSV!$A:$A,CSV!B:B,""),
_xlpm.MacVal,_xlfn.XLOOKUP($A1050,Output_Mac!$A:$A,Output_Mac!B:B,""),
_xlpm.MyAuditVal,_xlfn.XLOOKUP($A1050,My_Audit!$A:$A,My_Audit!B:B,""),
_xlfn.IFS(_xlpm.MyAuditVal&lt;&gt;"",UPPER(_xlpm.MyAuditVal),_xlpm.MacVal&lt;&gt;"",_xlpm.MacVal,_xlpm.CSVVal&lt;&gt;"",_xlpm.CSVVal
)),"")</f>
        <v/>
      </c>
      <c r="D1050" s="40" t="str" cm="1">
        <f t="array" ref="D1050">IFERROR(_xlfn.LET(
_xlpm.CSVVal,_xlfn.XLOOKUP($A1050,CSV!$A:$A,CSV!D:D,""),
_xlpm.MacVal,_xlfn.XLOOKUP($A1050,Output_Mac!$A:$A,Output_Mac!C:C,""),
_xlpm.MyAuditVal,_xlfn.XLOOKUP($A1050,My_Audit!$A:$A,My_Audit!C:C,""),
_xlfn.IFS(_xlpm.MyAuditVal&lt;&gt;"",_xlpm.MyAuditVal,_xlpm.MacVal&lt;&gt;"",_xlpm.MacVal,_xlpm.CSVVal&lt;&gt;"",_xlpm.CSVVal
)),"")</f>
        <v/>
      </c>
      <c r="E1050" s="40" t="str">
        <f>_xlfn.XLOOKUP(A1050,My_Audit!A:A,My_Audit!D:D,"")</f>
        <v/>
      </c>
      <c r="F1050" s="40" t="str" cm="1">
        <f t="array" ref="F1050">IFERROR(_xlfn.LET(
_xlpm.CSVVal,_xlfn.XLOOKUP($A1050,CSV!$A:$A,CSV!F:F,""),
_xlpm.MacVal,_xlfn.XLOOKUP($A1050,Output_Mac!$A:$A,Output_Mac!E:E,""),
_xlpm.MyAuditVal,_xlfn.XLOOKUP($A1050,My_Audit!$A:$A,My_Audit!E:E,""),
_xlfn.IFS(_xlpm.MyAuditVal&lt;&gt;"",_xlpm.MyAuditVal,_xlpm.MacVal&lt;&gt;"",_xlpm.MacVal,_xlpm.CSVVal&lt;&gt;"",_xlpm.CSVVal
)),"")</f>
        <v/>
      </c>
      <c r="G1050" s="40" t="str" cm="1">
        <f t="array" ref="G1050">IFERROR(_xlfn.LET(
_xlpm.CSVVal,_xlfn.XLOOKUP($A1050,CSV!$A:$A,CSV!G:G,""),
_xlpm.MacVal,_xlfn.XLOOKUP($A1050,Output_Mac!$A:$A,Output_Mac!F:F,""),
_xlpm.MyAuditVal,_xlfn.XLOOKUP($A1050,My_Audit!$A:$A,My_Audit!F:F,""),
_xlfn.IFS(_xlpm.MyAuditVal&lt;&gt;"",_xlpm.MyAuditVal,_xlpm.MacVal&lt;&gt;"",_xlpm.MacVal,_xlpm.CSVVal&lt;&gt;"",PROPER(_xlpm.CSVVal)
)),"")</f>
        <v/>
      </c>
      <c r="H1050" s="40" t="str" cm="1">
        <f t="array" ref="H1050">IFERROR(_xlfn.LET(
_xlpm.CSVVal,_xlfn.XLOOKUP($A1050,CSV!$A:$A,CSV!H:H,""),
_xlpm.MacVal,_xlfn.XLOOKUP($A1050,Output_Mac!$A:$A,Output_Mac!H:H,""),
_xlpm.MyAuditVal,_xlfn.XLOOKUP($A1050,My_Audit!$A:$A,My_Audit!G:G,""),
_xlfn.IFS(_xlpm.MyAuditVal&lt;&gt;"",_xlpm.MyAuditVal,_xlpm.MacVal&lt;&gt;"",_xlpm.MacVal,_xlpm.CSVVal&lt;&gt;"",_xlpm.CSVVal
)),"")</f>
        <v/>
      </c>
      <c r="I1050" s="40" t="str">
        <f>_xlfn.XLOOKUP(A1050,Output_Mac!A:A,Output_Mac!I:I,"")</f>
        <v/>
      </c>
      <c r="J1050" s="40" t="str" cm="1">
        <f t="array" ref="J1050">IFERROR(_xlfn.LET(
_xlpm.CSVVal,_xlfn.XLOOKUP($A1050,CSV!$A:$A,CSV!I:I,""),
_xlpm.MacVal,_xlfn.XLOOKUP($A1050,Output_Mac!$A:$A,Output_Mac!J:J,""),
_xlpm.MyAuditVal,_xlfn.XLOOKUP($A1050,My_Audit!$A:$A,My_Audit!I:I,""),
_xlfn.IFS(_xlpm.MyAuditVal&lt;&gt;"",UPPER(_xlpm.MyAuditVal),_xlpm.MacVal&lt;&gt;"",_xlpm.MacVal,_xlpm.CSVVal&lt;&gt;"",_xlpm.CSVVal
)),"")</f>
        <v/>
      </c>
      <c r="K1050" s="40" t="str" cm="1">
        <f t="array" ref="K1050">IFERROR(_xlfn.LET(
_xlpm.CSVVal,_xlfn.XLOOKUP($A1050,CSV!$A:$A,CSV!K:K,""),
_xlpm.MacVal,_xlfn.XLOOKUP($A1050,Output_Mac!$A:$A,Output_Mac!K:K,""),
_xlpm.MyAuditVal,_xlfn.XLOOKUP($A1050,My_Audit!$A:$A,My_Audit!J:J,""),
_xlfn.IFS(_xlpm.MyAuditVal&lt;&gt;"",UPPER(_xlpm.MyAuditVal),_xlpm.MacVal&lt;&gt;"",_xlpm.MacVal,_xlpm.CSVVal&lt;&gt;"",_xlpm.CSVVal
)),"")</f>
        <v/>
      </c>
      <c r="L1050" s="40" t="str" cm="1">
        <f t="array" ref="L1050">IFERROR(_xlfn.LET(
_xlpm.CSVVal,_xlfn.XLOOKUP($A1050,CSV!$A:$A,CSV!P:P,""),
_xlpm.MacVal,_xlfn.XLOOKUP($A1050,Output_Mac!$A:$A,Output_Mac!L:L,""),
_xlpm.MyAuditVal,_xlfn.XLOOKUP($A1050,My_Audit!$A:$A,My_Audit!K:K,""),
_xlfn.IFS(_xlpm.MyAuditVal&lt;&gt;"",UPPER(_xlpm.MyAuditVal),_xlpm.MacVal&lt;&gt;"",_xlpm.MacVal,_xlpm.CSVVal&lt;&gt;"",_xlpm.CSVVal
)),"")</f>
        <v/>
      </c>
      <c r="M1050" s="40" t="str" cm="1">
        <f t="array" ref="M1050">IFERROR(_xlfn.LET(
_xlpm.CSVVal,_xlfn.XLOOKUP($A1050,CSV!$A:$A,CSV!Q:Q,""),
_xlpm.MacVal,_xlfn.XLOOKUP($A1050,Output_Mac!$A:$A,Output_Mac!M:M,""),
_xlpm.MyAuditVal,_xlfn.XLOOKUP($A1050,My_Audit!$A:$A,My_Audit!L:L,""),
_xlfn.IFS(_xlpm.MyAuditVal&lt;&gt;"",UPPER(_xlpm.MyAuditVal),_xlpm.MacVal&lt;&gt;"",_xlpm.MacVal,_xlpm.CSVVal&lt;&gt;"",_xlpm.CSVVal
)),"")</f>
        <v/>
      </c>
      <c r="N1050" s="40"/>
      <c r="O1050" s="40" t="str">
        <f>_xlfn.LET(
    _xlpm.CSVVal, _xlfn.XLOOKUP($A1050, CSV!$A:$A, CSV!AA:AA, ""),
    _xlpm.MacVal, _xlfn.XLOOKUP($A1050, Output_Mac!$A:$A, Output_Mac!S:S, ""),
    _xlpm.MyAuditVal, _xlfn.XLOOKUP($A1050, My_Audit!$A:$A, My_Audit!P:P, ""),
    _xlfn.TEXTJOIN(", ", TRUE, _xlpm.MyAuditVal, _xlpm.MacVal, _xlpm.CSVVal)
)</f>
        <v/>
      </c>
      <c r="P1050" s="40" t="str" cm="1">
        <f t="array" ref="P1050">IFERROR(_xlfn.LET(
_xlpm.CSVVal,_xlfn.XLOOKUP($A1050,CSV!$A:$A,CSV!AB:AB,""),
_xlpm.MacVal,_xlfn.XLOOKUP($A1050,Output_Mac!$A:$A,Output_Mac!T:T,""),
_xlpm.MyAuditVal,_xlfn.XLOOKUP($A1050,My_Audit!$A:$A,My_Audit!Q:Q,""),
_xlfn.IFS(_xlpm.MyAuditVal&lt;&gt;"",UPPER(_xlpm.MyAuditVal),_xlpm.MacVal&lt;&gt;"",_xlpm.MacVal,_xlpm.CSVVal&lt;&gt;"",_xlpm.CSVVal
)),"No")</f>
        <v>No</v>
      </c>
      <c r="Q1050" s="40" t="str" cm="1">
        <f t="array" ref="Q1050">IFERROR(_xlfn.LET(
_xlpm.CSVVal,_xlfn.XLOOKUP($A1050,CSV!$A:$A,CSV!AC:AC,""),
_xlpm.MacVal,_xlfn.XLOOKUP($A1050,Output_Mac!$A:$A,Output_Mac!U:U,""),
_xlpm.MyAuditVal,_xlfn.XLOOKUP($A1050,My_Audit!$A:$A,My_Audit!R:R,""),
_xlfn.IFS(_xlpm.MyAuditVal&lt;&gt;"",UPPER(_xlpm.MyAuditVal),_xlpm.MacVal&lt;&gt;"",_xlpm.MacVal,_xlpm.CSVVal&lt;&gt;"",_xlpm.CSVVal
)),"")</f>
        <v/>
      </c>
      <c r="R1050" s="40"/>
      <c r="S1050" s="40"/>
      <c r="T1050" s="40"/>
      <c r="U1050" s="40"/>
      <c r="V1050" s="40"/>
      <c r="W1050" s="40"/>
      <c r="X1050" s="41" t="str">
        <f>_xlfn.LET(
    _xlpm.MacVal, _xlfn.XLOOKUP($A1050, Output_Mac!$A:$A, Output_Mac!AB:AB, ""),
    _xlpm.MyAuditVal, _xlfn.XLOOKUP($A1050, My_Audit!$A:$A, My_Audit!N:N, ""),
    _xlfn.TEXTJOIN(", ", TRUE, _xlpm.MyAuditVal, _xlpm.MacVal)
)</f>
        <v/>
      </c>
    </row>
    <row r="1051" spans="1:24">
      <c r="A1051" s="40" t="str">
        <f>_xlfn.TEXTJOIN("",TRUE,Input!$B$2,ROW(My_Audit!A1050))</f>
        <v>X1050</v>
      </c>
      <c r="B1051" s="40" t="str">
        <f>_xlfn.TEXTJOIN("-",TRUE,"ITD",Input!$A$2,A1051)</f>
        <v>ITD-X1050</v>
      </c>
      <c r="C1051" s="40" t="str" cm="1">
        <f t="array" ref="C1051">IFERROR(_xlfn.LET(
_xlpm.CSVVal,_xlfn.XLOOKUP($A1051,CSV!$A:$A,CSV!B:B,""),
_xlpm.MacVal,_xlfn.XLOOKUP($A1051,Output_Mac!$A:$A,Output_Mac!B:B,""),
_xlpm.MyAuditVal,_xlfn.XLOOKUP($A1051,My_Audit!$A:$A,My_Audit!B:B,""),
_xlfn.IFS(_xlpm.MyAuditVal&lt;&gt;"",UPPER(_xlpm.MyAuditVal),_xlpm.MacVal&lt;&gt;"",_xlpm.MacVal,_xlpm.CSVVal&lt;&gt;"",_xlpm.CSVVal
)),"")</f>
        <v/>
      </c>
      <c r="D1051" s="40" t="str" cm="1">
        <f t="array" ref="D1051">IFERROR(_xlfn.LET(
_xlpm.CSVVal,_xlfn.XLOOKUP($A1051,CSV!$A:$A,CSV!D:D,""),
_xlpm.MacVal,_xlfn.XLOOKUP($A1051,Output_Mac!$A:$A,Output_Mac!C:C,""),
_xlpm.MyAuditVal,_xlfn.XLOOKUP($A1051,My_Audit!$A:$A,My_Audit!C:C,""),
_xlfn.IFS(_xlpm.MyAuditVal&lt;&gt;"",_xlpm.MyAuditVal,_xlpm.MacVal&lt;&gt;"",_xlpm.MacVal,_xlpm.CSVVal&lt;&gt;"",_xlpm.CSVVal
)),"")</f>
        <v/>
      </c>
      <c r="E1051" s="40" t="str">
        <f>_xlfn.XLOOKUP(A1051,My_Audit!A:A,My_Audit!D:D,"")</f>
        <v/>
      </c>
      <c r="F1051" s="40" t="str" cm="1">
        <f t="array" ref="F1051">IFERROR(_xlfn.LET(
_xlpm.CSVVal,_xlfn.XLOOKUP($A1051,CSV!$A:$A,CSV!F:F,""),
_xlpm.MacVal,_xlfn.XLOOKUP($A1051,Output_Mac!$A:$A,Output_Mac!E:E,""),
_xlpm.MyAuditVal,_xlfn.XLOOKUP($A1051,My_Audit!$A:$A,My_Audit!E:E,""),
_xlfn.IFS(_xlpm.MyAuditVal&lt;&gt;"",_xlpm.MyAuditVal,_xlpm.MacVal&lt;&gt;"",_xlpm.MacVal,_xlpm.CSVVal&lt;&gt;"",_xlpm.CSVVal
)),"")</f>
        <v/>
      </c>
      <c r="G1051" s="40" t="str" cm="1">
        <f t="array" ref="G1051">IFERROR(_xlfn.LET(
_xlpm.CSVVal,_xlfn.XLOOKUP($A1051,CSV!$A:$A,CSV!G:G,""),
_xlpm.MacVal,_xlfn.XLOOKUP($A1051,Output_Mac!$A:$A,Output_Mac!F:F,""),
_xlpm.MyAuditVal,_xlfn.XLOOKUP($A1051,My_Audit!$A:$A,My_Audit!F:F,""),
_xlfn.IFS(_xlpm.MyAuditVal&lt;&gt;"",_xlpm.MyAuditVal,_xlpm.MacVal&lt;&gt;"",_xlpm.MacVal,_xlpm.CSVVal&lt;&gt;"",PROPER(_xlpm.CSVVal)
)),"")</f>
        <v/>
      </c>
      <c r="H1051" s="40" t="str" cm="1">
        <f t="array" ref="H1051">IFERROR(_xlfn.LET(
_xlpm.CSVVal,_xlfn.XLOOKUP($A1051,CSV!$A:$A,CSV!H:H,""),
_xlpm.MacVal,_xlfn.XLOOKUP($A1051,Output_Mac!$A:$A,Output_Mac!H:H,""),
_xlpm.MyAuditVal,_xlfn.XLOOKUP($A1051,My_Audit!$A:$A,My_Audit!G:G,""),
_xlfn.IFS(_xlpm.MyAuditVal&lt;&gt;"",_xlpm.MyAuditVal,_xlpm.MacVal&lt;&gt;"",_xlpm.MacVal,_xlpm.CSVVal&lt;&gt;"",_xlpm.CSVVal
)),"")</f>
        <v/>
      </c>
      <c r="I1051" s="40" t="str">
        <f>_xlfn.XLOOKUP(A1051,Output_Mac!A:A,Output_Mac!I:I,"")</f>
        <v/>
      </c>
      <c r="J1051" s="40" t="str" cm="1">
        <f t="array" ref="J1051">IFERROR(_xlfn.LET(
_xlpm.CSVVal,_xlfn.XLOOKUP($A1051,CSV!$A:$A,CSV!I:I,""),
_xlpm.MacVal,_xlfn.XLOOKUP($A1051,Output_Mac!$A:$A,Output_Mac!J:J,""),
_xlpm.MyAuditVal,_xlfn.XLOOKUP($A1051,My_Audit!$A:$A,My_Audit!I:I,""),
_xlfn.IFS(_xlpm.MyAuditVal&lt;&gt;"",UPPER(_xlpm.MyAuditVal),_xlpm.MacVal&lt;&gt;"",_xlpm.MacVal,_xlpm.CSVVal&lt;&gt;"",_xlpm.CSVVal
)),"")</f>
        <v/>
      </c>
      <c r="K1051" s="40" t="str" cm="1">
        <f t="array" ref="K1051">IFERROR(_xlfn.LET(
_xlpm.CSVVal,_xlfn.XLOOKUP($A1051,CSV!$A:$A,CSV!K:K,""),
_xlpm.MacVal,_xlfn.XLOOKUP($A1051,Output_Mac!$A:$A,Output_Mac!K:K,""),
_xlpm.MyAuditVal,_xlfn.XLOOKUP($A1051,My_Audit!$A:$A,My_Audit!J:J,""),
_xlfn.IFS(_xlpm.MyAuditVal&lt;&gt;"",UPPER(_xlpm.MyAuditVal),_xlpm.MacVal&lt;&gt;"",_xlpm.MacVal,_xlpm.CSVVal&lt;&gt;"",_xlpm.CSVVal
)),"")</f>
        <v/>
      </c>
      <c r="L1051" s="40" t="str" cm="1">
        <f t="array" ref="L1051">IFERROR(_xlfn.LET(
_xlpm.CSVVal,_xlfn.XLOOKUP($A1051,CSV!$A:$A,CSV!P:P,""),
_xlpm.MacVal,_xlfn.XLOOKUP($A1051,Output_Mac!$A:$A,Output_Mac!L:L,""),
_xlpm.MyAuditVal,_xlfn.XLOOKUP($A1051,My_Audit!$A:$A,My_Audit!K:K,""),
_xlfn.IFS(_xlpm.MyAuditVal&lt;&gt;"",UPPER(_xlpm.MyAuditVal),_xlpm.MacVal&lt;&gt;"",_xlpm.MacVal,_xlpm.CSVVal&lt;&gt;"",_xlpm.CSVVal
)),"")</f>
        <v/>
      </c>
      <c r="M1051" s="40" t="str" cm="1">
        <f t="array" ref="M1051">IFERROR(_xlfn.LET(
_xlpm.CSVVal,_xlfn.XLOOKUP($A1051,CSV!$A:$A,CSV!Q:Q,""),
_xlpm.MacVal,_xlfn.XLOOKUP($A1051,Output_Mac!$A:$A,Output_Mac!M:M,""),
_xlpm.MyAuditVal,_xlfn.XLOOKUP($A1051,My_Audit!$A:$A,My_Audit!L:L,""),
_xlfn.IFS(_xlpm.MyAuditVal&lt;&gt;"",UPPER(_xlpm.MyAuditVal),_xlpm.MacVal&lt;&gt;"",_xlpm.MacVal,_xlpm.CSVVal&lt;&gt;"",_xlpm.CSVVal
)),"")</f>
        <v/>
      </c>
      <c r="N1051" s="40"/>
      <c r="O1051" s="40" t="str">
        <f>_xlfn.LET(
    _xlpm.CSVVal, _xlfn.XLOOKUP($A1051, CSV!$A:$A, CSV!AA:AA, ""),
    _xlpm.MacVal, _xlfn.XLOOKUP($A1051, Output_Mac!$A:$A, Output_Mac!S:S, ""),
    _xlpm.MyAuditVal, _xlfn.XLOOKUP($A1051, My_Audit!$A:$A, My_Audit!P:P, ""),
    _xlfn.TEXTJOIN(", ", TRUE, _xlpm.MyAuditVal, _xlpm.MacVal, _xlpm.CSVVal)
)</f>
        <v/>
      </c>
      <c r="P1051" s="40" t="str" cm="1">
        <f t="array" ref="P1051">IFERROR(_xlfn.LET(
_xlpm.CSVVal,_xlfn.XLOOKUP($A1051,CSV!$A:$A,CSV!AB:AB,""),
_xlpm.MacVal,_xlfn.XLOOKUP($A1051,Output_Mac!$A:$A,Output_Mac!T:T,""),
_xlpm.MyAuditVal,_xlfn.XLOOKUP($A1051,My_Audit!$A:$A,My_Audit!Q:Q,""),
_xlfn.IFS(_xlpm.MyAuditVal&lt;&gt;"",UPPER(_xlpm.MyAuditVal),_xlpm.MacVal&lt;&gt;"",_xlpm.MacVal,_xlpm.CSVVal&lt;&gt;"",_xlpm.CSVVal
)),"No")</f>
        <v>No</v>
      </c>
      <c r="Q1051" s="40" t="str" cm="1">
        <f t="array" ref="Q1051">IFERROR(_xlfn.LET(
_xlpm.CSVVal,_xlfn.XLOOKUP($A1051,CSV!$A:$A,CSV!AC:AC,""),
_xlpm.MacVal,_xlfn.XLOOKUP($A1051,Output_Mac!$A:$A,Output_Mac!U:U,""),
_xlpm.MyAuditVal,_xlfn.XLOOKUP($A1051,My_Audit!$A:$A,My_Audit!R:R,""),
_xlfn.IFS(_xlpm.MyAuditVal&lt;&gt;"",UPPER(_xlpm.MyAuditVal),_xlpm.MacVal&lt;&gt;"",_xlpm.MacVal,_xlpm.CSVVal&lt;&gt;"",_xlpm.CSVVal
)),"")</f>
        <v/>
      </c>
      <c r="R1051" s="40"/>
      <c r="S1051" s="40"/>
      <c r="T1051" s="40"/>
      <c r="U1051" s="40"/>
      <c r="V1051" s="40"/>
      <c r="W1051" s="40"/>
      <c r="X1051" s="41" t="str">
        <f>_xlfn.LET(
    _xlpm.MacVal, _xlfn.XLOOKUP($A1051, Output_Mac!$A:$A, Output_Mac!AB:AB, ""),
    _xlpm.MyAuditVal, _xlfn.XLOOKUP($A1051, My_Audit!$A:$A, My_Audit!N:N, ""),
    _xlfn.TEXTJOIN(", ", TRUE, _xlpm.MyAuditVal, _xlpm.MacVal)
)</f>
        <v/>
      </c>
    </row>
    <row r="1052" spans="1:24">
      <c r="A1052" s="40" t="str">
        <f>_xlfn.TEXTJOIN("",TRUE,Input!$B$2,ROW(My_Audit!A1051))</f>
        <v>X1051</v>
      </c>
      <c r="B1052" s="40" t="str">
        <f>_xlfn.TEXTJOIN("-",TRUE,"ITD",Input!$A$2,A1052)</f>
        <v>ITD-X1051</v>
      </c>
      <c r="C1052" s="40" t="str" cm="1">
        <f t="array" ref="C1052">IFERROR(_xlfn.LET(
_xlpm.CSVVal,_xlfn.XLOOKUP($A1052,CSV!$A:$A,CSV!B:B,""),
_xlpm.MacVal,_xlfn.XLOOKUP($A1052,Output_Mac!$A:$A,Output_Mac!B:B,""),
_xlpm.MyAuditVal,_xlfn.XLOOKUP($A1052,My_Audit!$A:$A,My_Audit!B:B,""),
_xlfn.IFS(_xlpm.MyAuditVal&lt;&gt;"",UPPER(_xlpm.MyAuditVal),_xlpm.MacVal&lt;&gt;"",_xlpm.MacVal,_xlpm.CSVVal&lt;&gt;"",_xlpm.CSVVal
)),"")</f>
        <v/>
      </c>
      <c r="D1052" s="40" t="str" cm="1">
        <f t="array" ref="D1052">IFERROR(_xlfn.LET(
_xlpm.CSVVal,_xlfn.XLOOKUP($A1052,CSV!$A:$A,CSV!D:D,""),
_xlpm.MacVal,_xlfn.XLOOKUP($A1052,Output_Mac!$A:$A,Output_Mac!C:C,""),
_xlpm.MyAuditVal,_xlfn.XLOOKUP($A1052,My_Audit!$A:$A,My_Audit!C:C,""),
_xlfn.IFS(_xlpm.MyAuditVal&lt;&gt;"",_xlpm.MyAuditVal,_xlpm.MacVal&lt;&gt;"",_xlpm.MacVal,_xlpm.CSVVal&lt;&gt;"",_xlpm.CSVVal
)),"")</f>
        <v/>
      </c>
      <c r="E1052" s="40" t="str">
        <f>_xlfn.XLOOKUP(A1052,My_Audit!A:A,My_Audit!D:D,"")</f>
        <v/>
      </c>
      <c r="F1052" s="40" t="str" cm="1">
        <f t="array" ref="F1052">IFERROR(_xlfn.LET(
_xlpm.CSVVal,_xlfn.XLOOKUP($A1052,CSV!$A:$A,CSV!F:F,""),
_xlpm.MacVal,_xlfn.XLOOKUP($A1052,Output_Mac!$A:$A,Output_Mac!E:E,""),
_xlpm.MyAuditVal,_xlfn.XLOOKUP($A1052,My_Audit!$A:$A,My_Audit!E:E,""),
_xlfn.IFS(_xlpm.MyAuditVal&lt;&gt;"",_xlpm.MyAuditVal,_xlpm.MacVal&lt;&gt;"",_xlpm.MacVal,_xlpm.CSVVal&lt;&gt;"",_xlpm.CSVVal
)),"")</f>
        <v/>
      </c>
      <c r="G1052" s="40" t="str" cm="1">
        <f t="array" ref="G1052">IFERROR(_xlfn.LET(
_xlpm.CSVVal,_xlfn.XLOOKUP($A1052,CSV!$A:$A,CSV!G:G,""),
_xlpm.MacVal,_xlfn.XLOOKUP($A1052,Output_Mac!$A:$A,Output_Mac!F:F,""),
_xlpm.MyAuditVal,_xlfn.XLOOKUP($A1052,My_Audit!$A:$A,My_Audit!F:F,""),
_xlfn.IFS(_xlpm.MyAuditVal&lt;&gt;"",_xlpm.MyAuditVal,_xlpm.MacVal&lt;&gt;"",_xlpm.MacVal,_xlpm.CSVVal&lt;&gt;"",PROPER(_xlpm.CSVVal)
)),"")</f>
        <v/>
      </c>
      <c r="H1052" s="40" t="str" cm="1">
        <f t="array" ref="H1052">IFERROR(_xlfn.LET(
_xlpm.CSVVal,_xlfn.XLOOKUP($A1052,CSV!$A:$A,CSV!H:H,""),
_xlpm.MacVal,_xlfn.XLOOKUP($A1052,Output_Mac!$A:$A,Output_Mac!H:H,""),
_xlpm.MyAuditVal,_xlfn.XLOOKUP($A1052,My_Audit!$A:$A,My_Audit!G:G,""),
_xlfn.IFS(_xlpm.MyAuditVal&lt;&gt;"",_xlpm.MyAuditVal,_xlpm.MacVal&lt;&gt;"",_xlpm.MacVal,_xlpm.CSVVal&lt;&gt;"",_xlpm.CSVVal
)),"")</f>
        <v/>
      </c>
      <c r="I1052" s="40" t="str">
        <f>_xlfn.XLOOKUP(A1052,Output_Mac!A:A,Output_Mac!I:I,"")</f>
        <v/>
      </c>
      <c r="J1052" s="40" t="str" cm="1">
        <f t="array" ref="J1052">IFERROR(_xlfn.LET(
_xlpm.CSVVal,_xlfn.XLOOKUP($A1052,CSV!$A:$A,CSV!I:I,""),
_xlpm.MacVal,_xlfn.XLOOKUP($A1052,Output_Mac!$A:$A,Output_Mac!J:J,""),
_xlpm.MyAuditVal,_xlfn.XLOOKUP($A1052,My_Audit!$A:$A,My_Audit!I:I,""),
_xlfn.IFS(_xlpm.MyAuditVal&lt;&gt;"",UPPER(_xlpm.MyAuditVal),_xlpm.MacVal&lt;&gt;"",_xlpm.MacVal,_xlpm.CSVVal&lt;&gt;"",_xlpm.CSVVal
)),"")</f>
        <v/>
      </c>
      <c r="K1052" s="40" t="str" cm="1">
        <f t="array" ref="K1052">IFERROR(_xlfn.LET(
_xlpm.CSVVal,_xlfn.XLOOKUP($A1052,CSV!$A:$A,CSV!K:K,""),
_xlpm.MacVal,_xlfn.XLOOKUP($A1052,Output_Mac!$A:$A,Output_Mac!K:K,""),
_xlpm.MyAuditVal,_xlfn.XLOOKUP($A1052,My_Audit!$A:$A,My_Audit!J:J,""),
_xlfn.IFS(_xlpm.MyAuditVal&lt;&gt;"",UPPER(_xlpm.MyAuditVal),_xlpm.MacVal&lt;&gt;"",_xlpm.MacVal,_xlpm.CSVVal&lt;&gt;"",_xlpm.CSVVal
)),"")</f>
        <v/>
      </c>
      <c r="L1052" s="40" t="str" cm="1">
        <f t="array" ref="L1052">IFERROR(_xlfn.LET(
_xlpm.CSVVal,_xlfn.XLOOKUP($A1052,CSV!$A:$A,CSV!P:P,""),
_xlpm.MacVal,_xlfn.XLOOKUP($A1052,Output_Mac!$A:$A,Output_Mac!L:L,""),
_xlpm.MyAuditVal,_xlfn.XLOOKUP($A1052,My_Audit!$A:$A,My_Audit!K:K,""),
_xlfn.IFS(_xlpm.MyAuditVal&lt;&gt;"",UPPER(_xlpm.MyAuditVal),_xlpm.MacVal&lt;&gt;"",_xlpm.MacVal,_xlpm.CSVVal&lt;&gt;"",_xlpm.CSVVal
)),"")</f>
        <v/>
      </c>
      <c r="M1052" s="40" t="str" cm="1">
        <f t="array" ref="M1052">IFERROR(_xlfn.LET(
_xlpm.CSVVal,_xlfn.XLOOKUP($A1052,CSV!$A:$A,CSV!Q:Q,""),
_xlpm.MacVal,_xlfn.XLOOKUP($A1052,Output_Mac!$A:$A,Output_Mac!M:M,""),
_xlpm.MyAuditVal,_xlfn.XLOOKUP($A1052,My_Audit!$A:$A,My_Audit!L:L,""),
_xlfn.IFS(_xlpm.MyAuditVal&lt;&gt;"",UPPER(_xlpm.MyAuditVal),_xlpm.MacVal&lt;&gt;"",_xlpm.MacVal,_xlpm.CSVVal&lt;&gt;"",_xlpm.CSVVal
)),"")</f>
        <v/>
      </c>
      <c r="N1052" s="40"/>
      <c r="O1052" s="40" t="str">
        <f>_xlfn.LET(
    _xlpm.CSVVal, _xlfn.XLOOKUP($A1052, CSV!$A:$A, CSV!AA:AA, ""),
    _xlpm.MacVal, _xlfn.XLOOKUP($A1052, Output_Mac!$A:$A, Output_Mac!S:S, ""),
    _xlpm.MyAuditVal, _xlfn.XLOOKUP($A1052, My_Audit!$A:$A, My_Audit!P:P, ""),
    _xlfn.TEXTJOIN(", ", TRUE, _xlpm.MyAuditVal, _xlpm.MacVal, _xlpm.CSVVal)
)</f>
        <v/>
      </c>
      <c r="P1052" s="40" t="str" cm="1">
        <f t="array" ref="P1052">IFERROR(_xlfn.LET(
_xlpm.CSVVal,_xlfn.XLOOKUP($A1052,CSV!$A:$A,CSV!AB:AB,""),
_xlpm.MacVal,_xlfn.XLOOKUP($A1052,Output_Mac!$A:$A,Output_Mac!T:T,""),
_xlpm.MyAuditVal,_xlfn.XLOOKUP($A1052,My_Audit!$A:$A,My_Audit!Q:Q,""),
_xlfn.IFS(_xlpm.MyAuditVal&lt;&gt;"",UPPER(_xlpm.MyAuditVal),_xlpm.MacVal&lt;&gt;"",_xlpm.MacVal,_xlpm.CSVVal&lt;&gt;"",_xlpm.CSVVal
)),"No")</f>
        <v>No</v>
      </c>
      <c r="Q1052" s="40" t="str" cm="1">
        <f t="array" ref="Q1052">IFERROR(_xlfn.LET(
_xlpm.CSVVal,_xlfn.XLOOKUP($A1052,CSV!$A:$A,CSV!AC:AC,""),
_xlpm.MacVal,_xlfn.XLOOKUP($A1052,Output_Mac!$A:$A,Output_Mac!U:U,""),
_xlpm.MyAuditVal,_xlfn.XLOOKUP($A1052,My_Audit!$A:$A,My_Audit!R:R,""),
_xlfn.IFS(_xlpm.MyAuditVal&lt;&gt;"",UPPER(_xlpm.MyAuditVal),_xlpm.MacVal&lt;&gt;"",_xlpm.MacVal,_xlpm.CSVVal&lt;&gt;"",_xlpm.CSVVal
)),"")</f>
        <v/>
      </c>
      <c r="R1052" s="40"/>
      <c r="S1052" s="40"/>
      <c r="T1052" s="40"/>
      <c r="U1052" s="40"/>
      <c r="V1052" s="40"/>
      <c r="W1052" s="40"/>
      <c r="X1052" s="41" t="str">
        <f>_xlfn.LET(
    _xlpm.MacVal, _xlfn.XLOOKUP($A1052, Output_Mac!$A:$A, Output_Mac!AB:AB, ""),
    _xlpm.MyAuditVal, _xlfn.XLOOKUP($A1052, My_Audit!$A:$A, My_Audit!N:N, ""),
    _xlfn.TEXTJOIN(", ", TRUE, _xlpm.MyAuditVal, _xlpm.MacVal)
)</f>
        <v/>
      </c>
    </row>
    <row r="1053" spans="1:24">
      <c r="A1053" s="40" t="str">
        <f>_xlfn.TEXTJOIN("",TRUE,Input!$B$2,ROW(My_Audit!A1052))</f>
        <v>X1052</v>
      </c>
      <c r="B1053" s="40" t="str">
        <f>_xlfn.TEXTJOIN("-",TRUE,"ITD",Input!$A$2,A1053)</f>
        <v>ITD-X1052</v>
      </c>
      <c r="C1053" s="40" t="str" cm="1">
        <f t="array" ref="C1053">IFERROR(_xlfn.LET(
_xlpm.CSVVal,_xlfn.XLOOKUP($A1053,CSV!$A:$A,CSV!B:B,""),
_xlpm.MacVal,_xlfn.XLOOKUP($A1053,Output_Mac!$A:$A,Output_Mac!B:B,""),
_xlpm.MyAuditVal,_xlfn.XLOOKUP($A1053,My_Audit!$A:$A,My_Audit!B:B,""),
_xlfn.IFS(_xlpm.MyAuditVal&lt;&gt;"",UPPER(_xlpm.MyAuditVal),_xlpm.MacVal&lt;&gt;"",_xlpm.MacVal,_xlpm.CSVVal&lt;&gt;"",_xlpm.CSVVal
)),"")</f>
        <v/>
      </c>
      <c r="D1053" s="40" t="str" cm="1">
        <f t="array" ref="D1053">IFERROR(_xlfn.LET(
_xlpm.CSVVal,_xlfn.XLOOKUP($A1053,CSV!$A:$A,CSV!D:D,""),
_xlpm.MacVal,_xlfn.XLOOKUP($A1053,Output_Mac!$A:$A,Output_Mac!C:C,""),
_xlpm.MyAuditVal,_xlfn.XLOOKUP($A1053,My_Audit!$A:$A,My_Audit!C:C,""),
_xlfn.IFS(_xlpm.MyAuditVal&lt;&gt;"",_xlpm.MyAuditVal,_xlpm.MacVal&lt;&gt;"",_xlpm.MacVal,_xlpm.CSVVal&lt;&gt;"",_xlpm.CSVVal
)),"")</f>
        <v/>
      </c>
      <c r="E1053" s="40" t="str">
        <f>_xlfn.XLOOKUP(A1053,My_Audit!A:A,My_Audit!D:D,"")</f>
        <v/>
      </c>
      <c r="F1053" s="40" t="str" cm="1">
        <f t="array" ref="F1053">IFERROR(_xlfn.LET(
_xlpm.CSVVal,_xlfn.XLOOKUP($A1053,CSV!$A:$A,CSV!F:F,""),
_xlpm.MacVal,_xlfn.XLOOKUP($A1053,Output_Mac!$A:$A,Output_Mac!E:E,""),
_xlpm.MyAuditVal,_xlfn.XLOOKUP($A1053,My_Audit!$A:$A,My_Audit!E:E,""),
_xlfn.IFS(_xlpm.MyAuditVal&lt;&gt;"",_xlpm.MyAuditVal,_xlpm.MacVal&lt;&gt;"",_xlpm.MacVal,_xlpm.CSVVal&lt;&gt;"",_xlpm.CSVVal
)),"")</f>
        <v/>
      </c>
      <c r="G1053" s="40" t="str" cm="1">
        <f t="array" ref="G1053">IFERROR(_xlfn.LET(
_xlpm.CSVVal,_xlfn.XLOOKUP($A1053,CSV!$A:$A,CSV!G:G,""),
_xlpm.MacVal,_xlfn.XLOOKUP($A1053,Output_Mac!$A:$A,Output_Mac!F:F,""),
_xlpm.MyAuditVal,_xlfn.XLOOKUP($A1053,My_Audit!$A:$A,My_Audit!F:F,""),
_xlfn.IFS(_xlpm.MyAuditVal&lt;&gt;"",_xlpm.MyAuditVal,_xlpm.MacVal&lt;&gt;"",_xlpm.MacVal,_xlpm.CSVVal&lt;&gt;"",PROPER(_xlpm.CSVVal)
)),"")</f>
        <v/>
      </c>
      <c r="H1053" s="40" t="str" cm="1">
        <f t="array" ref="H1053">IFERROR(_xlfn.LET(
_xlpm.CSVVal,_xlfn.XLOOKUP($A1053,CSV!$A:$A,CSV!H:H,""),
_xlpm.MacVal,_xlfn.XLOOKUP($A1053,Output_Mac!$A:$A,Output_Mac!H:H,""),
_xlpm.MyAuditVal,_xlfn.XLOOKUP($A1053,My_Audit!$A:$A,My_Audit!G:G,""),
_xlfn.IFS(_xlpm.MyAuditVal&lt;&gt;"",_xlpm.MyAuditVal,_xlpm.MacVal&lt;&gt;"",_xlpm.MacVal,_xlpm.CSVVal&lt;&gt;"",_xlpm.CSVVal
)),"")</f>
        <v/>
      </c>
      <c r="I1053" s="40" t="str">
        <f>_xlfn.XLOOKUP(A1053,Output_Mac!A:A,Output_Mac!I:I,"")</f>
        <v/>
      </c>
      <c r="J1053" s="40" t="str" cm="1">
        <f t="array" ref="J1053">IFERROR(_xlfn.LET(
_xlpm.CSVVal,_xlfn.XLOOKUP($A1053,CSV!$A:$A,CSV!I:I,""),
_xlpm.MacVal,_xlfn.XLOOKUP($A1053,Output_Mac!$A:$A,Output_Mac!J:J,""),
_xlpm.MyAuditVal,_xlfn.XLOOKUP($A1053,My_Audit!$A:$A,My_Audit!I:I,""),
_xlfn.IFS(_xlpm.MyAuditVal&lt;&gt;"",UPPER(_xlpm.MyAuditVal),_xlpm.MacVal&lt;&gt;"",_xlpm.MacVal,_xlpm.CSVVal&lt;&gt;"",_xlpm.CSVVal
)),"")</f>
        <v/>
      </c>
      <c r="K1053" s="40" t="str" cm="1">
        <f t="array" ref="K1053">IFERROR(_xlfn.LET(
_xlpm.CSVVal,_xlfn.XLOOKUP($A1053,CSV!$A:$A,CSV!K:K,""),
_xlpm.MacVal,_xlfn.XLOOKUP($A1053,Output_Mac!$A:$A,Output_Mac!K:K,""),
_xlpm.MyAuditVal,_xlfn.XLOOKUP($A1053,My_Audit!$A:$A,My_Audit!J:J,""),
_xlfn.IFS(_xlpm.MyAuditVal&lt;&gt;"",UPPER(_xlpm.MyAuditVal),_xlpm.MacVal&lt;&gt;"",_xlpm.MacVal,_xlpm.CSVVal&lt;&gt;"",_xlpm.CSVVal
)),"")</f>
        <v/>
      </c>
      <c r="L1053" s="40" t="str" cm="1">
        <f t="array" ref="L1053">IFERROR(_xlfn.LET(
_xlpm.CSVVal,_xlfn.XLOOKUP($A1053,CSV!$A:$A,CSV!P:P,""),
_xlpm.MacVal,_xlfn.XLOOKUP($A1053,Output_Mac!$A:$A,Output_Mac!L:L,""),
_xlpm.MyAuditVal,_xlfn.XLOOKUP($A1053,My_Audit!$A:$A,My_Audit!K:K,""),
_xlfn.IFS(_xlpm.MyAuditVal&lt;&gt;"",UPPER(_xlpm.MyAuditVal),_xlpm.MacVal&lt;&gt;"",_xlpm.MacVal,_xlpm.CSVVal&lt;&gt;"",_xlpm.CSVVal
)),"")</f>
        <v/>
      </c>
      <c r="M1053" s="40" t="str" cm="1">
        <f t="array" ref="M1053">IFERROR(_xlfn.LET(
_xlpm.CSVVal,_xlfn.XLOOKUP($A1053,CSV!$A:$A,CSV!Q:Q,""),
_xlpm.MacVal,_xlfn.XLOOKUP($A1053,Output_Mac!$A:$A,Output_Mac!M:M,""),
_xlpm.MyAuditVal,_xlfn.XLOOKUP($A1053,My_Audit!$A:$A,My_Audit!L:L,""),
_xlfn.IFS(_xlpm.MyAuditVal&lt;&gt;"",UPPER(_xlpm.MyAuditVal),_xlpm.MacVal&lt;&gt;"",_xlpm.MacVal,_xlpm.CSVVal&lt;&gt;"",_xlpm.CSVVal
)),"")</f>
        <v/>
      </c>
      <c r="N1053" s="40"/>
      <c r="O1053" s="40" t="str">
        <f>_xlfn.LET(
    _xlpm.CSVVal, _xlfn.XLOOKUP($A1053, CSV!$A:$A, CSV!AA:AA, ""),
    _xlpm.MacVal, _xlfn.XLOOKUP($A1053, Output_Mac!$A:$A, Output_Mac!S:S, ""),
    _xlpm.MyAuditVal, _xlfn.XLOOKUP($A1053, My_Audit!$A:$A, My_Audit!P:P, ""),
    _xlfn.TEXTJOIN(", ", TRUE, _xlpm.MyAuditVal, _xlpm.MacVal, _xlpm.CSVVal)
)</f>
        <v/>
      </c>
      <c r="P1053" s="40" t="str" cm="1">
        <f t="array" ref="P1053">IFERROR(_xlfn.LET(
_xlpm.CSVVal,_xlfn.XLOOKUP($A1053,CSV!$A:$A,CSV!AB:AB,""),
_xlpm.MacVal,_xlfn.XLOOKUP($A1053,Output_Mac!$A:$A,Output_Mac!T:T,""),
_xlpm.MyAuditVal,_xlfn.XLOOKUP($A1053,My_Audit!$A:$A,My_Audit!Q:Q,""),
_xlfn.IFS(_xlpm.MyAuditVal&lt;&gt;"",UPPER(_xlpm.MyAuditVal),_xlpm.MacVal&lt;&gt;"",_xlpm.MacVal,_xlpm.CSVVal&lt;&gt;"",_xlpm.CSVVal
)),"No")</f>
        <v>No</v>
      </c>
      <c r="Q1053" s="40" t="str" cm="1">
        <f t="array" ref="Q1053">IFERROR(_xlfn.LET(
_xlpm.CSVVal,_xlfn.XLOOKUP($A1053,CSV!$A:$A,CSV!AC:AC,""),
_xlpm.MacVal,_xlfn.XLOOKUP($A1053,Output_Mac!$A:$A,Output_Mac!U:U,""),
_xlpm.MyAuditVal,_xlfn.XLOOKUP($A1053,My_Audit!$A:$A,My_Audit!R:R,""),
_xlfn.IFS(_xlpm.MyAuditVal&lt;&gt;"",UPPER(_xlpm.MyAuditVal),_xlpm.MacVal&lt;&gt;"",_xlpm.MacVal,_xlpm.CSVVal&lt;&gt;"",_xlpm.CSVVal
)),"")</f>
        <v/>
      </c>
      <c r="R1053" s="40"/>
      <c r="S1053" s="40"/>
      <c r="T1053" s="40"/>
      <c r="U1053" s="40"/>
      <c r="V1053" s="40"/>
      <c r="W1053" s="40"/>
      <c r="X1053" s="41" t="str">
        <f>_xlfn.LET(
    _xlpm.MacVal, _xlfn.XLOOKUP($A1053, Output_Mac!$A:$A, Output_Mac!AB:AB, ""),
    _xlpm.MyAuditVal, _xlfn.XLOOKUP($A1053, My_Audit!$A:$A, My_Audit!N:N, ""),
    _xlfn.TEXTJOIN(", ", TRUE, _xlpm.MyAuditVal, _xlpm.MacVal)
)</f>
        <v/>
      </c>
    </row>
    <row r="1054" spans="1:24">
      <c r="A1054" s="40" t="str">
        <f>_xlfn.TEXTJOIN("",TRUE,Input!$B$2,ROW(My_Audit!A1053))</f>
        <v>X1053</v>
      </c>
      <c r="B1054" s="40" t="str">
        <f>_xlfn.TEXTJOIN("-",TRUE,"ITD",Input!$A$2,A1054)</f>
        <v>ITD-X1053</v>
      </c>
      <c r="C1054" s="40" t="str" cm="1">
        <f t="array" ref="C1054">IFERROR(_xlfn.LET(
_xlpm.CSVVal,_xlfn.XLOOKUP($A1054,CSV!$A:$A,CSV!B:B,""),
_xlpm.MacVal,_xlfn.XLOOKUP($A1054,Output_Mac!$A:$A,Output_Mac!B:B,""),
_xlpm.MyAuditVal,_xlfn.XLOOKUP($A1054,My_Audit!$A:$A,My_Audit!B:B,""),
_xlfn.IFS(_xlpm.MyAuditVal&lt;&gt;"",UPPER(_xlpm.MyAuditVal),_xlpm.MacVal&lt;&gt;"",_xlpm.MacVal,_xlpm.CSVVal&lt;&gt;"",_xlpm.CSVVal
)),"")</f>
        <v/>
      </c>
      <c r="D1054" s="40" t="str" cm="1">
        <f t="array" ref="D1054">IFERROR(_xlfn.LET(
_xlpm.CSVVal,_xlfn.XLOOKUP($A1054,CSV!$A:$A,CSV!D:D,""),
_xlpm.MacVal,_xlfn.XLOOKUP($A1054,Output_Mac!$A:$A,Output_Mac!C:C,""),
_xlpm.MyAuditVal,_xlfn.XLOOKUP($A1054,My_Audit!$A:$A,My_Audit!C:C,""),
_xlfn.IFS(_xlpm.MyAuditVal&lt;&gt;"",_xlpm.MyAuditVal,_xlpm.MacVal&lt;&gt;"",_xlpm.MacVal,_xlpm.CSVVal&lt;&gt;"",_xlpm.CSVVal
)),"")</f>
        <v/>
      </c>
      <c r="E1054" s="40" t="str">
        <f>_xlfn.XLOOKUP(A1054,My_Audit!A:A,My_Audit!D:D,"")</f>
        <v/>
      </c>
      <c r="F1054" s="40" t="str" cm="1">
        <f t="array" ref="F1054">IFERROR(_xlfn.LET(
_xlpm.CSVVal,_xlfn.XLOOKUP($A1054,CSV!$A:$A,CSV!F:F,""),
_xlpm.MacVal,_xlfn.XLOOKUP($A1054,Output_Mac!$A:$A,Output_Mac!E:E,""),
_xlpm.MyAuditVal,_xlfn.XLOOKUP($A1054,My_Audit!$A:$A,My_Audit!E:E,""),
_xlfn.IFS(_xlpm.MyAuditVal&lt;&gt;"",_xlpm.MyAuditVal,_xlpm.MacVal&lt;&gt;"",_xlpm.MacVal,_xlpm.CSVVal&lt;&gt;"",_xlpm.CSVVal
)),"")</f>
        <v/>
      </c>
      <c r="G1054" s="40" t="str" cm="1">
        <f t="array" ref="G1054">IFERROR(_xlfn.LET(
_xlpm.CSVVal,_xlfn.XLOOKUP($A1054,CSV!$A:$A,CSV!G:G,""),
_xlpm.MacVal,_xlfn.XLOOKUP($A1054,Output_Mac!$A:$A,Output_Mac!F:F,""),
_xlpm.MyAuditVal,_xlfn.XLOOKUP($A1054,My_Audit!$A:$A,My_Audit!F:F,""),
_xlfn.IFS(_xlpm.MyAuditVal&lt;&gt;"",_xlpm.MyAuditVal,_xlpm.MacVal&lt;&gt;"",_xlpm.MacVal,_xlpm.CSVVal&lt;&gt;"",PROPER(_xlpm.CSVVal)
)),"")</f>
        <v/>
      </c>
      <c r="H1054" s="40" t="str" cm="1">
        <f t="array" ref="H1054">IFERROR(_xlfn.LET(
_xlpm.CSVVal,_xlfn.XLOOKUP($A1054,CSV!$A:$A,CSV!H:H,""),
_xlpm.MacVal,_xlfn.XLOOKUP($A1054,Output_Mac!$A:$A,Output_Mac!H:H,""),
_xlpm.MyAuditVal,_xlfn.XLOOKUP($A1054,My_Audit!$A:$A,My_Audit!G:G,""),
_xlfn.IFS(_xlpm.MyAuditVal&lt;&gt;"",_xlpm.MyAuditVal,_xlpm.MacVal&lt;&gt;"",_xlpm.MacVal,_xlpm.CSVVal&lt;&gt;"",_xlpm.CSVVal
)),"")</f>
        <v/>
      </c>
      <c r="I1054" s="40" t="str">
        <f>_xlfn.XLOOKUP(A1054,Output_Mac!A:A,Output_Mac!I:I,"")</f>
        <v/>
      </c>
      <c r="J1054" s="40" t="str" cm="1">
        <f t="array" ref="J1054">IFERROR(_xlfn.LET(
_xlpm.CSVVal,_xlfn.XLOOKUP($A1054,CSV!$A:$A,CSV!I:I,""),
_xlpm.MacVal,_xlfn.XLOOKUP($A1054,Output_Mac!$A:$A,Output_Mac!J:J,""),
_xlpm.MyAuditVal,_xlfn.XLOOKUP($A1054,My_Audit!$A:$A,My_Audit!I:I,""),
_xlfn.IFS(_xlpm.MyAuditVal&lt;&gt;"",UPPER(_xlpm.MyAuditVal),_xlpm.MacVal&lt;&gt;"",_xlpm.MacVal,_xlpm.CSVVal&lt;&gt;"",_xlpm.CSVVal
)),"")</f>
        <v/>
      </c>
      <c r="K1054" s="40" t="str" cm="1">
        <f t="array" ref="K1054">IFERROR(_xlfn.LET(
_xlpm.CSVVal,_xlfn.XLOOKUP($A1054,CSV!$A:$A,CSV!K:K,""),
_xlpm.MacVal,_xlfn.XLOOKUP($A1054,Output_Mac!$A:$A,Output_Mac!K:K,""),
_xlpm.MyAuditVal,_xlfn.XLOOKUP($A1054,My_Audit!$A:$A,My_Audit!J:J,""),
_xlfn.IFS(_xlpm.MyAuditVal&lt;&gt;"",UPPER(_xlpm.MyAuditVal),_xlpm.MacVal&lt;&gt;"",_xlpm.MacVal,_xlpm.CSVVal&lt;&gt;"",_xlpm.CSVVal
)),"")</f>
        <v/>
      </c>
      <c r="L1054" s="40" t="str" cm="1">
        <f t="array" ref="L1054">IFERROR(_xlfn.LET(
_xlpm.CSVVal,_xlfn.XLOOKUP($A1054,CSV!$A:$A,CSV!P:P,""),
_xlpm.MacVal,_xlfn.XLOOKUP($A1054,Output_Mac!$A:$A,Output_Mac!L:L,""),
_xlpm.MyAuditVal,_xlfn.XLOOKUP($A1054,My_Audit!$A:$A,My_Audit!K:K,""),
_xlfn.IFS(_xlpm.MyAuditVal&lt;&gt;"",UPPER(_xlpm.MyAuditVal),_xlpm.MacVal&lt;&gt;"",_xlpm.MacVal,_xlpm.CSVVal&lt;&gt;"",_xlpm.CSVVal
)),"")</f>
        <v/>
      </c>
      <c r="M1054" s="40" t="str" cm="1">
        <f t="array" ref="M1054">IFERROR(_xlfn.LET(
_xlpm.CSVVal,_xlfn.XLOOKUP($A1054,CSV!$A:$A,CSV!Q:Q,""),
_xlpm.MacVal,_xlfn.XLOOKUP($A1054,Output_Mac!$A:$A,Output_Mac!M:M,""),
_xlpm.MyAuditVal,_xlfn.XLOOKUP($A1054,My_Audit!$A:$A,My_Audit!L:L,""),
_xlfn.IFS(_xlpm.MyAuditVal&lt;&gt;"",UPPER(_xlpm.MyAuditVal),_xlpm.MacVal&lt;&gt;"",_xlpm.MacVal,_xlpm.CSVVal&lt;&gt;"",_xlpm.CSVVal
)),"")</f>
        <v/>
      </c>
      <c r="N1054" s="40"/>
      <c r="O1054" s="40" t="str">
        <f>_xlfn.LET(
    _xlpm.CSVVal, _xlfn.XLOOKUP($A1054, CSV!$A:$A, CSV!AA:AA, ""),
    _xlpm.MacVal, _xlfn.XLOOKUP($A1054, Output_Mac!$A:$A, Output_Mac!S:S, ""),
    _xlpm.MyAuditVal, _xlfn.XLOOKUP($A1054, My_Audit!$A:$A, My_Audit!P:P, ""),
    _xlfn.TEXTJOIN(", ", TRUE, _xlpm.MyAuditVal, _xlpm.MacVal, _xlpm.CSVVal)
)</f>
        <v/>
      </c>
      <c r="P1054" s="40" t="str" cm="1">
        <f t="array" ref="P1054">IFERROR(_xlfn.LET(
_xlpm.CSVVal,_xlfn.XLOOKUP($A1054,CSV!$A:$A,CSV!AB:AB,""),
_xlpm.MacVal,_xlfn.XLOOKUP($A1054,Output_Mac!$A:$A,Output_Mac!T:T,""),
_xlpm.MyAuditVal,_xlfn.XLOOKUP($A1054,My_Audit!$A:$A,My_Audit!Q:Q,""),
_xlfn.IFS(_xlpm.MyAuditVal&lt;&gt;"",UPPER(_xlpm.MyAuditVal),_xlpm.MacVal&lt;&gt;"",_xlpm.MacVal,_xlpm.CSVVal&lt;&gt;"",_xlpm.CSVVal
)),"No")</f>
        <v>No</v>
      </c>
      <c r="Q1054" s="40" t="str" cm="1">
        <f t="array" ref="Q1054">IFERROR(_xlfn.LET(
_xlpm.CSVVal,_xlfn.XLOOKUP($A1054,CSV!$A:$A,CSV!AC:AC,""),
_xlpm.MacVal,_xlfn.XLOOKUP($A1054,Output_Mac!$A:$A,Output_Mac!U:U,""),
_xlpm.MyAuditVal,_xlfn.XLOOKUP($A1054,My_Audit!$A:$A,My_Audit!R:R,""),
_xlfn.IFS(_xlpm.MyAuditVal&lt;&gt;"",UPPER(_xlpm.MyAuditVal),_xlpm.MacVal&lt;&gt;"",_xlpm.MacVal,_xlpm.CSVVal&lt;&gt;"",_xlpm.CSVVal
)),"")</f>
        <v/>
      </c>
      <c r="R1054" s="40"/>
      <c r="S1054" s="40"/>
      <c r="T1054" s="40"/>
      <c r="U1054" s="40"/>
      <c r="V1054" s="40"/>
      <c r="W1054" s="40"/>
      <c r="X1054" s="41" t="str">
        <f>_xlfn.LET(
    _xlpm.MacVal, _xlfn.XLOOKUP($A1054, Output_Mac!$A:$A, Output_Mac!AB:AB, ""),
    _xlpm.MyAuditVal, _xlfn.XLOOKUP($A1054, My_Audit!$A:$A, My_Audit!N:N, ""),
    _xlfn.TEXTJOIN(", ", TRUE, _xlpm.MyAuditVal, _xlpm.MacVal)
)</f>
        <v/>
      </c>
    </row>
    <row r="1055" spans="1:24">
      <c r="A1055" s="40" t="str">
        <f>_xlfn.TEXTJOIN("",TRUE,Input!$B$2,ROW(My_Audit!A1054))</f>
        <v>X1054</v>
      </c>
      <c r="B1055" s="40" t="str">
        <f>_xlfn.TEXTJOIN("-",TRUE,"ITD",Input!$A$2,A1055)</f>
        <v>ITD-X1054</v>
      </c>
      <c r="C1055" s="40" t="str" cm="1">
        <f t="array" ref="C1055">IFERROR(_xlfn.LET(
_xlpm.CSVVal,_xlfn.XLOOKUP($A1055,CSV!$A:$A,CSV!B:B,""),
_xlpm.MacVal,_xlfn.XLOOKUP($A1055,Output_Mac!$A:$A,Output_Mac!B:B,""),
_xlpm.MyAuditVal,_xlfn.XLOOKUP($A1055,My_Audit!$A:$A,My_Audit!B:B,""),
_xlfn.IFS(_xlpm.MyAuditVal&lt;&gt;"",UPPER(_xlpm.MyAuditVal),_xlpm.MacVal&lt;&gt;"",_xlpm.MacVal,_xlpm.CSVVal&lt;&gt;"",_xlpm.CSVVal
)),"")</f>
        <v/>
      </c>
      <c r="D1055" s="40" t="str" cm="1">
        <f t="array" ref="D1055">IFERROR(_xlfn.LET(
_xlpm.CSVVal,_xlfn.XLOOKUP($A1055,CSV!$A:$A,CSV!D:D,""),
_xlpm.MacVal,_xlfn.XLOOKUP($A1055,Output_Mac!$A:$A,Output_Mac!C:C,""),
_xlpm.MyAuditVal,_xlfn.XLOOKUP($A1055,My_Audit!$A:$A,My_Audit!C:C,""),
_xlfn.IFS(_xlpm.MyAuditVal&lt;&gt;"",_xlpm.MyAuditVal,_xlpm.MacVal&lt;&gt;"",_xlpm.MacVal,_xlpm.CSVVal&lt;&gt;"",_xlpm.CSVVal
)),"")</f>
        <v/>
      </c>
      <c r="E1055" s="40" t="str">
        <f>_xlfn.XLOOKUP(A1055,My_Audit!A:A,My_Audit!D:D,"")</f>
        <v/>
      </c>
      <c r="F1055" s="40" t="str" cm="1">
        <f t="array" ref="F1055">IFERROR(_xlfn.LET(
_xlpm.CSVVal,_xlfn.XLOOKUP($A1055,CSV!$A:$A,CSV!F:F,""),
_xlpm.MacVal,_xlfn.XLOOKUP($A1055,Output_Mac!$A:$A,Output_Mac!E:E,""),
_xlpm.MyAuditVal,_xlfn.XLOOKUP($A1055,My_Audit!$A:$A,My_Audit!E:E,""),
_xlfn.IFS(_xlpm.MyAuditVal&lt;&gt;"",_xlpm.MyAuditVal,_xlpm.MacVal&lt;&gt;"",_xlpm.MacVal,_xlpm.CSVVal&lt;&gt;"",_xlpm.CSVVal
)),"")</f>
        <v/>
      </c>
      <c r="G1055" s="40" t="str" cm="1">
        <f t="array" ref="G1055">IFERROR(_xlfn.LET(
_xlpm.CSVVal,_xlfn.XLOOKUP($A1055,CSV!$A:$A,CSV!G:G,""),
_xlpm.MacVal,_xlfn.XLOOKUP($A1055,Output_Mac!$A:$A,Output_Mac!F:F,""),
_xlpm.MyAuditVal,_xlfn.XLOOKUP($A1055,My_Audit!$A:$A,My_Audit!F:F,""),
_xlfn.IFS(_xlpm.MyAuditVal&lt;&gt;"",_xlpm.MyAuditVal,_xlpm.MacVal&lt;&gt;"",_xlpm.MacVal,_xlpm.CSVVal&lt;&gt;"",PROPER(_xlpm.CSVVal)
)),"")</f>
        <v/>
      </c>
      <c r="H1055" s="40" t="str" cm="1">
        <f t="array" ref="H1055">IFERROR(_xlfn.LET(
_xlpm.CSVVal,_xlfn.XLOOKUP($A1055,CSV!$A:$A,CSV!H:H,""),
_xlpm.MacVal,_xlfn.XLOOKUP($A1055,Output_Mac!$A:$A,Output_Mac!H:H,""),
_xlpm.MyAuditVal,_xlfn.XLOOKUP($A1055,My_Audit!$A:$A,My_Audit!G:G,""),
_xlfn.IFS(_xlpm.MyAuditVal&lt;&gt;"",_xlpm.MyAuditVal,_xlpm.MacVal&lt;&gt;"",_xlpm.MacVal,_xlpm.CSVVal&lt;&gt;"",_xlpm.CSVVal
)),"")</f>
        <v/>
      </c>
      <c r="I1055" s="40" t="str">
        <f>_xlfn.XLOOKUP(A1055,Output_Mac!A:A,Output_Mac!I:I,"")</f>
        <v/>
      </c>
      <c r="J1055" s="40" t="str" cm="1">
        <f t="array" ref="J1055">IFERROR(_xlfn.LET(
_xlpm.CSVVal,_xlfn.XLOOKUP($A1055,CSV!$A:$A,CSV!I:I,""),
_xlpm.MacVal,_xlfn.XLOOKUP($A1055,Output_Mac!$A:$A,Output_Mac!J:J,""),
_xlpm.MyAuditVal,_xlfn.XLOOKUP($A1055,My_Audit!$A:$A,My_Audit!I:I,""),
_xlfn.IFS(_xlpm.MyAuditVal&lt;&gt;"",UPPER(_xlpm.MyAuditVal),_xlpm.MacVal&lt;&gt;"",_xlpm.MacVal,_xlpm.CSVVal&lt;&gt;"",_xlpm.CSVVal
)),"")</f>
        <v/>
      </c>
      <c r="K1055" s="40" t="str" cm="1">
        <f t="array" ref="K1055">IFERROR(_xlfn.LET(
_xlpm.CSVVal,_xlfn.XLOOKUP($A1055,CSV!$A:$A,CSV!K:K,""),
_xlpm.MacVal,_xlfn.XLOOKUP($A1055,Output_Mac!$A:$A,Output_Mac!K:K,""),
_xlpm.MyAuditVal,_xlfn.XLOOKUP($A1055,My_Audit!$A:$A,My_Audit!J:J,""),
_xlfn.IFS(_xlpm.MyAuditVal&lt;&gt;"",UPPER(_xlpm.MyAuditVal),_xlpm.MacVal&lt;&gt;"",_xlpm.MacVal,_xlpm.CSVVal&lt;&gt;"",_xlpm.CSVVal
)),"")</f>
        <v/>
      </c>
      <c r="L1055" s="40" t="str" cm="1">
        <f t="array" ref="L1055">IFERROR(_xlfn.LET(
_xlpm.CSVVal,_xlfn.XLOOKUP($A1055,CSV!$A:$A,CSV!P:P,""),
_xlpm.MacVal,_xlfn.XLOOKUP($A1055,Output_Mac!$A:$A,Output_Mac!L:L,""),
_xlpm.MyAuditVal,_xlfn.XLOOKUP($A1055,My_Audit!$A:$A,My_Audit!K:K,""),
_xlfn.IFS(_xlpm.MyAuditVal&lt;&gt;"",UPPER(_xlpm.MyAuditVal),_xlpm.MacVal&lt;&gt;"",_xlpm.MacVal,_xlpm.CSVVal&lt;&gt;"",_xlpm.CSVVal
)),"")</f>
        <v/>
      </c>
      <c r="M1055" s="40" t="str" cm="1">
        <f t="array" ref="M1055">IFERROR(_xlfn.LET(
_xlpm.CSVVal,_xlfn.XLOOKUP($A1055,CSV!$A:$A,CSV!Q:Q,""),
_xlpm.MacVal,_xlfn.XLOOKUP($A1055,Output_Mac!$A:$A,Output_Mac!M:M,""),
_xlpm.MyAuditVal,_xlfn.XLOOKUP($A1055,My_Audit!$A:$A,My_Audit!L:L,""),
_xlfn.IFS(_xlpm.MyAuditVal&lt;&gt;"",UPPER(_xlpm.MyAuditVal),_xlpm.MacVal&lt;&gt;"",_xlpm.MacVal,_xlpm.CSVVal&lt;&gt;"",_xlpm.CSVVal
)),"")</f>
        <v/>
      </c>
      <c r="N1055" s="40"/>
      <c r="O1055" s="40" t="str">
        <f>_xlfn.LET(
    _xlpm.CSVVal, _xlfn.XLOOKUP($A1055, CSV!$A:$A, CSV!AA:AA, ""),
    _xlpm.MacVal, _xlfn.XLOOKUP($A1055, Output_Mac!$A:$A, Output_Mac!S:S, ""),
    _xlpm.MyAuditVal, _xlfn.XLOOKUP($A1055, My_Audit!$A:$A, My_Audit!P:P, ""),
    _xlfn.TEXTJOIN(", ", TRUE, _xlpm.MyAuditVal, _xlpm.MacVal, _xlpm.CSVVal)
)</f>
        <v/>
      </c>
      <c r="P1055" s="40" t="str" cm="1">
        <f t="array" ref="P1055">IFERROR(_xlfn.LET(
_xlpm.CSVVal,_xlfn.XLOOKUP($A1055,CSV!$A:$A,CSV!AB:AB,""),
_xlpm.MacVal,_xlfn.XLOOKUP($A1055,Output_Mac!$A:$A,Output_Mac!T:T,""),
_xlpm.MyAuditVal,_xlfn.XLOOKUP($A1055,My_Audit!$A:$A,My_Audit!Q:Q,""),
_xlfn.IFS(_xlpm.MyAuditVal&lt;&gt;"",UPPER(_xlpm.MyAuditVal),_xlpm.MacVal&lt;&gt;"",_xlpm.MacVal,_xlpm.CSVVal&lt;&gt;"",_xlpm.CSVVal
)),"No")</f>
        <v>No</v>
      </c>
      <c r="Q1055" s="40" t="str" cm="1">
        <f t="array" ref="Q1055">IFERROR(_xlfn.LET(
_xlpm.CSVVal,_xlfn.XLOOKUP($A1055,CSV!$A:$A,CSV!AC:AC,""),
_xlpm.MacVal,_xlfn.XLOOKUP($A1055,Output_Mac!$A:$A,Output_Mac!U:U,""),
_xlpm.MyAuditVal,_xlfn.XLOOKUP($A1055,My_Audit!$A:$A,My_Audit!R:R,""),
_xlfn.IFS(_xlpm.MyAuditVal&lt;&gt;"",UPPER(_xlpm.MyAuditVal),_xlpm.MacVal&lt;&gt;"",_xlpm.MacVal,_xlpm.CSVVal&lt;&gt;"",_xlpm.CSVVal
)),"")</f>
        <v/>
      </c>
      <c r="R1055" s="40"/>
      <c r="S1055" s="40"/>
      <c r="T1055" s="40"/>
      <c r="U1055" s="40"/>
      <c r="V1055" s="40"/>
      <c r="W1055" s="40"/>
      <c r="X1055" s="41" t="str">
        <f>_xlfn.LET(
    _xlpm.MacVal, _xlfn.XLOOKUP($A1055, Output_Mac!$A:$A, Output_Mac!AB:AB, ""),
    _xlpm.MyAuditVal, _xlfn.XLOOKUP($A1055, My_Audit!$A:$A, My_Audit!N:N, ""),
    _xlfn.TEXTJOIN(", ", TRUE, _xlpm.MyAuditVal, _xlpm.MacVal)
)</f>
        <v/>
      </c>
    </row>
    <row r="1056" spans="1:24">
      <c r="A1056" s="40" t="str">
        <f>_xlfn.TEXTJOIN("",TRUE,Input!$B$2,ROW(My_Audit!A1055))</f>
        <v>X1055</v>
      </c>
      <c r="B1056" s="40" t="str">
        <f>_xlfn.TEXTJOIN("-",TRUE,"ITD",Input!$A$2,A1056)</f>
        <v>ITD-X1055</v>
      </c>
      <c r="C1056" s="40" t="str" cm="1">
        <f t="array" ref="C1056">IFERROR(_xlfn.LET(
_xlpm.CSVVal,_xlfn.XLOOKUP($A1056,CSV!$A:$A,CSV!B:B,""),
_xlpm.MacVal,_xlfn.XLOOKUP($A1056,Output_Mac!$A:$A,Output_Mac!B:B,""),
_xlpm.MyAuditVal,_xlfn.XLOOKUP($A1056,My_Audit!$A:$A,My_Audit!B:B,""),
_xlfn.IFS(_xlpm.MyAuditVal&lt;&gt;"",UPPER(_xlpm.MyAuditVal),_xlpm.MacVal&lt;&gt;"",_xlpm.MacVal,_xlpm.CSVVal&lt;&gt;"",_xlpm.CSVVal
)),"")</f>
        <v/>
      </c>
      <c r="D1056" s="40" t="str" cm="1">
        <f t="array" ref="D1056">IFERROR(_xlfn.LET(
_xlpm.CSVVal,_xlfn.XLOOKUP($A1056,CSV!$A:$A,CSV!D:D,""),
_xlpm.MacVal,_xlfn.XLOOKUP($A1056,Output_Mac!$A:$A,Output_Mac!C:C,""),
_xlpm.MyAuditVal,_xlfn.XLOOKUP($A1056,My_Audit!$A:$A,My_Audit!C:C,""),
_xlfn.IFS(_xlpm.MyAuditVal&lt;&gt;"",_xlpm.MyAuditVal,_xlpm.MacVal&lt;&gt;"",_xlpm.MacVal,_xlpm.CSVVal&lt;&gt;"",_xlpm.CSVVal
)),"")</f>
        <v/>
      </c>
      <c r="E1056" s="40" t="str">
        <f>_xlfn.XLOOKUP(A1056,My_Audit!A:A,My_Audit!D:D,"")</f>
        <v/>
      </c>
      <c r="F1056" s="40" t="str" cm="1">
        <f t="array" ref="F1056">IFERROR(_xlfn.LET(
_xlpm.CSVVal,_xlfn.XLOOKUP($A1056,CSV!$A:$A,CSV!F:F,""),
_xlpm.MacVal,_xlfn.XLOOKUP($A1056,Output_Mac!$A:$A,Output_Mac!E:E,""),
_xlpm.MyAuditVal,_xlfn.XLOOKUP($A1056,My_Audit!$A:$A,My_Audit!E:E,""),
_xlfn.IFS(_xlpm.MyAuditVal&lt;&gt;"",_xlpm.MyAuditVal,_xlpm.MacVal&lt;&gt;"",_xlpm.MacVal,_xlpm.CSVVal&lt;&gt;"",_xlpm.CSVVal
)),"")</f>
        <v/>
      </c>
      <c r="G1056" s="40" t="str" cm="1">
        <f t="array" ref="G1056">IFERROR(_xlfn.LET(
_xlpm.CSVVal,_xlfn.XLOOKUP($A1056,CSV!$A:$A,CSV!G:G,""),
_xlpm.MacVal,_xlfn.XLOOKUP($A1056,Output_Mac!$A:$A,Output_Mac!F:F,""),
_xlpm.MyAuditVal,_xlfn.XLOOKUP($A1056,My_Audit!$A:$A,My_Audit!F:F,""),
_xlfn.IFS(_xlpm.MyAuditVal&lt;&gt;"",_xlpm.MyAuditVal,_xlpm.MacVal&lt;&gt;"",_xlpm.MacVal,_xlpm.CSVVal&lt;&gt;"",PROPER(_xlpm.CSVVal)
)),"")</f>
        <v/>
      </c>
      <c r="H1056" s="40" t="str" cm="1">
        <f t="array" ref="H1056">IFERROR(_xlfn.LET(
_xlpm.CSVVal,_xlfn.XLOOKUP($A1056,CSV!$A:$A,CSV!H:H,""),
_xlpm.MacVal,_xlfn.XLOOKUP($A1056,Output_Mac!$A:$A,Output_Mac!H:H,""),
_xlpm.MyAuditVal,_xlfn.XLOOKUP($A1056,My_Audit!$A:$A,My_Audit!G:G,""),
_xlfn.IFS(_xlpm.MyAuditVal&lt;&gt;"",_xlpm.MyAuditVal,_xlpm.MacVal&lt;&gt;"",_xlpm.MacVal,_xlpm.CSVVal&lt;&gt;"",_xlpm.CSVVal
)),"")</f>
        <v/>
      </c>
      <c r="I1056" s="40" t="str">
        <f>_xlfn.XLOOKUP(A1056,Output_Mac!A:A,Output_Mac!I:I,"")</f>
        <v/>
      </c>
      <c r="J1056" s="40" t="str" cm="1">
        <f t="array" ref="J1056">IFERROR(_xlfn.LET(
_xlpm.CSVVal,_xlfn.XLOOKUP($A1056,CSV!$A:$A,CSV!I:I,""),
_xlpm.MacVal,_xlfn.XLOOKUP($A1056,Output_Mac!$A:$A,Output_Mac!J:J,""),
_xlpm.MyAuditVal,_xlfn.XLOOKUP($A1056,My_Audit!$A:$A,My_Audit!I:I,""),
_xlfn.IFS(_xlpm.MyAuditVal&lt;&gt;"",UPPER(_xlpm.MyAuditVal),_xlpm.MacVal&lt;&gt;"",_xlpm.MacVal,_xlpm.CSVVal&lt;&gt;"",_xlpm.CSVVal
)),"")</f>
        <v/>
      </c>
      <c r="K1056" s="40" t="str" cm="1">
        <f t="array" ref="K1056">IFERROR(_xlfn.LET(
_xlpm.CSVVal,_xlfn.XLOOKUP($A1056,CSV!$A:$A,CSV!K:K,""),
_xlpm.MacVal,_xlfn.XLOOKUP($A1056,Output_Mac!$A:$A,Output_Mac!K:K,""),
_xlpm.MyAuditVal,_xlfn.XLOOKUP($A1056,My_Audit!$A:$A,My_Audit!J:J,""),
_xlfn.IFS(_xlpm.MyAuditVal&lt;&gt;"",UPPER(_xlpm.MyAuditVal),_xlpm.MacVal&lt;&gt;"",_xlpm.MacVal,_xlpm.CSVVal&lt;&gt;"",_xlpm.CSVVal
)),"")</f>
        <v/>
      </c>
      <c r="L1056" s="40" t="str" cm="1">
        <f t="array" ref="L1056">IFERROR(_xlfn.LET(
_xlpm.CSVVal,_xlfn.XLOOKUP($A1056,CSV!$A:$A,CSV!P:P,""),
_xlpm.MacVal,_xlfn.XLOOKUP($A1056,Output_Mac!$A:$A,Output_Mac!L:L,""),
_xlpm.MyAuditVal,_xlfn.XLOOKUP($A1056,My_Audit!$A:$A,My_Audit!K:K,""),
_xlfn.IFS(_xlpm.MyAuditVal&lt;&gt;"",UPPER(_xlpm.MyAuditVal),_xlpm.MacVal&lt;&gt;"",_xlpm.MacVal,_xlpm.CSVVal&lt;&gt;"",_xlpm.CSVVal
)),"")</f>
        <v/>
      </c>
      <c r="M1056" s="40" t="str" cm="1">
        <f t="array" ref="M1056">IFERROR(_xlfn.LET(
_xlpm.CSVVal,_xlfn.XLOOKUP($A1056,CSV!$A:$A,CSV!Q:Q,""),
_xlpm.MacVal,_xlfn.XLOOKUP($A1056,Output_Mac!$A:$A,Output_Mac!M:M,""),
_xlpm.MyAuditVal,_xlfn.XLOOKUP($A1056,My_Audit!$A:$A,My_Audit!L:L,""),
_xlfn.IFS(_xlpm.MyAuditVal&lt;&gt;"",UPPER(_xlpm.MyAuditVal),_xlpm.MacVal&lt;&gt;"",_xlpm.MacVal,_xlpm.CSVVal&lt;&gt;"",_xlpm.CSVVal
)),"")</f>
        <v/>
      </c>
      <c r="N1056" s="40"/>
      <c r="O1056" s="40" t="str">
        <f>_xlfn.LET(
    _xlpm.CSVVal, _xlfn.XLOOKUP($A1056, CSV!$A:$A, CSV!AA:AA, ""),
    _xlpm.MacVal, _xlfn.XLOOKUP($A1056, Output_Mac!$A:$A, Output_Mac!S:S, ""),
    _xlpm.MyAuditVal, _xlfn.XLOOKUP($A1056, My_Audit!$A:$A, My_Audit!P:P, ""),
    _xlfn.TEXTJOIN(", ", TRUE, _xlpm.MyAuditVal, _xlpm.MacVal, _xlpm.CSVVal)
)</f>
        <v/>
      </c>
      <c r="P1056" s="40" t="str" cm="1">
        <f t="array" ref="P1056">IFERROR(_xlfn.LET(
_xlpm.CSVVal,_xlfn.XLOOKUP($A1056,CSV!$A:$A,CSV!AB:AB,""),
_xlpm.MacVal,_xlfn.XLOOKUP($A1056,Output_Mac!$A:$A,Output_Mac!T:T,""),
_xlpm.MyAuditVal,_xlfn.XLOOKUP($A1056,My_Audit!$A:$A,My_Audit!Q:Q,""),
_xlfn.IFS(_xlpm.MyAuditVal&lt;&gt;"",UPPER(_xlpm.MyAuditVal),_xlpm.MacVal&lt;&gt;"",_xlpm.MacVal,_xlpm.CSVVal&lt;&gt;"",_xlpm.CSVVal
)),"No")</f>
        <v>No</v>
      </c>
      <c r="Q1056" s="40" t="str" cm="1">
        <f t="array" ref="Q1056">IFERROR(_xlfn.LET(
_xlpm.CSVVal,_xlfn.XLOOKUP($A1056,CSV!$A:$A,CSV!AC:AC,""),
_xlpm.MacVal,_xlfn.XLOOKUP($A1056,Output_Mac!$A:$A,Output_Mac!U:U,""),
_xlpm.MyAuditVal,_xlfn.XLOOKUP($A1056,My_Audit!$A:$A,My_Audit!R:R,""),
_xlfn.IFS(_xlpm.MyAuditVal&lt;&gt;"",UPPER(_xlpm.MyAuditVal),_xlpm.MacVal&lt;&gt;"",_xlpm.MacVal,_xlpm.CSVVal&lt;&gt;"",_xlpm.CSVVal
)),"")</f>
        <v/>
      </c>
      <c r="R1056" s="40"/>
      <c r="S1056" s="40"/>
      <c r="T1056" s="40"/>
      <c r="U1056" s="40"/>
      <c r="V1056" s="40"/>
      <c r="W1056" s="40"/>
      <c r="X1056" s="41" t="str">
        <f>_xlfn.LET(
    _xlpm.MacVal, _xlfn.XLOOKUP($A1056, Output_Mac!$A:$A, Output_Mac!AB:AB, ""),
    _xlpm.MyAuditVal, _xlfn.XLOOKUP($A1056, My_Audit!$A:$A, My_Audit!N:N, ""),
    _xlfn.TEXTJOIN(", ", TRUE, _xlpm.MyAuditVal, _xlpm.MacVal)
)</f>
        <v/>
      </c>
    </row>
    <row r="1057" spans="1:24">
      <c r="A1057" s="40" t="str">
        <f>_xlfn.TEXTJOIN("",TRUE,Input!$B$2,ROW(My_Audit!A1056))</f>
        <v>X1056</v>
      </c>
      <c r="B1057" s="40" t="str">
        <f>_xlfn.TEXTJOIN("-",TRUE,"ITD",Input!$A$2,A1057)</f>
        <v>ITD-X1056</v>
      </c>
      <c r="C1057" s="40" t="str" cm="1">
        <f t="array" ref="C1057">IFERROR(_xlfn.LET(
_xlpm.CSVVal,_xlfn.XLOOKUP($A1057,CSV!$A:$A,CSV!B:B,""),
_xlpm.MacVal,_xlfn.XLOOKUP($A1057,Output_Mac!$A:$A,Output_Mac!B:B,""),
_xlpm.MyAuditVal,_xlfn.XLOOKUP($A1057,My_Audit!$A:$A,My_Audit!B:B,""),
_xlfn.IFS(_xlpm.MyAuditVal&lt;&gt;"",UPPER(_xlpm.MyAuditVal),_xlpm.MacVal&lt;&gt;"",_xlpm.MacVal,_xlpm.CSVVal&lt;&gt;"",_xlpm.CSVVal
)),"")</f>
        <v/>
      </c>
      <c r="D1057" s="40" t="str" cm="1">
        <f t="array" ref="D1057">IFERROR(_xlfn.LET(
_xlpm.CSVVal,_xlfn.XLOOKUP($A1057,CSV!$A:$A,CSV!D:D,""),
_xlpm.MacVal,_xlfn.XLOOKUP($A1057,Output_Mac!$A:$A,Output_Mac!C:C,""),
_xlpm.MyAuditVal,_xlfn.XLOOKUP($A1057,My_Audit!$A:$A,My_Audit!C:C,""),
_xlfn.IFS(_xlpm.MyAuditVal&lt;&gt;"",_xlpm.MyAuditVal,_xlpm.MacVal&lt;&gt;"",_xlpm.MacVal,_xlpm.CSVVal&lt;&gt;"",_xlpm.CSVVal
)),"")</f>
        <v/>
      </c>
      <c r="E1057" s="40" t="str">
        <f>_xlfn.XLOOKUP(A1057,My_Audit!A:A,My_Audit!D:D,"")</f>
        <v/>
      </c>
      <c r="F1057" s="40" t="str" cm="1">
        <f t="array" ref="F1057">IFERROR(_xlfn.LET(
_xlpm.CSVVal,_xlfn.XLOOKUP($A1057,CSV!$A:$A,CSV!F:F,""),
_xlpm.MacVal,_xlfn.XLOOKUP($A1057,Output_Mac!$A:$A,Output_Mac!E:E,""),
_xlpm.MyAuditVal,_xlfn.XLOOKUP($A1057,My_Audit!$A:$A,My_Audit!E:E,""),
_xlfn.IFS(_xlpm.MyAuditVal&lt;&gt;"",_xlpm.MyAuditVal,_xlpm.MacVal&lt;&gt;"",_xlpm.MacVal,_xlpm.CSVVal&lt;&gt;"",_xlpm.CSVVal
)),"")</f>
        <v/>
      </c>
      <c r="G1057" s="40" t="str" cm="1">
        <f t="array" ref="G1057">IFERROR(_xlfn.LET(
_xlpm.CSVVal,_xlfn.XLOOKUP($A1057,CSV!$A:$A,CSV!G:G,""),
_xlpm.MacVal,_xlfn.XLOOKUP($A1057,Output_Mac!$A:$A,Output_Mac!F:F,""),
_xlpm.MyAuditVal,_xlfn.XLOOKUP($A1057,My_Audit!$A:$A,My_Audit!F:F,""),
_xlfn.IFS(_xlpm.MyAuditVal&lt;&gt;"",_xlpm.MyAuditVal,_xlpm.MacVal&lt;&gt;"",_xlpm.MacVal,_xlpm.CSVVal&lt;&gt;"",PROPER(_xlpm.CSVVal)
)),"")</f>
        <v/>
      </c>
      <c r="H1057" s="40" t="str" cm="1">
        <f t="array" ref="H1057">IFERROR(_xlfn.LET(
_xlpm.CSVVal,_xlfn.XLOOKUP($A1057,CSV!$A:$A,CSV!H:H,""),
_xlpm.MacVal,_xlfn.XLOOKUP($A1057,Output_Mac!$A:$A,Output_Mac!H:H,""),
_xlpm.MyAuditVal,_xlfn.XLOOKUP($A1057,My_Audit!$A:$A,My_Audit!G:G,""),
_xlfn.IFS(_xlpm.MyAuditVal&lt;&gt;"",_xlpm.MyAuditVal,_xlpm.MacVal&lt;&gt;"",_xlpm.MacVal,_xlpm.CSVVal&lt;&gt;"",_xlpm.CSVVal
)),"")</f>
        <v/>
      </c>
      <c r="I1057" s="40" t="str">
        <f>_xlfn.XLOOKUP(A1057,Output_Mac!A:A,Output_Mac!I:I,"")</f>
        <v/>
      </c>
      <c r="J1057" s="40" t="str" cm="1">
        <f t="array" ref="J1057">IFERROR(_xlfn.LET(
_xlpm.CSVVal,_xlfn.XLOOKUP($A1057,CSV!$A:$A,CSV!I:I,""),
_xlpm.MacVal,_xlfn.XLOOKUP($A1057,Output_Mac!$A:$A,Output_Mac!J:J,""),
_xlpm.MyAuditVal,_xlfn.XLOOKUP($A1057,My_Audit!$A:$A,My_Audit!I:I,""),
_xlfn.IFS(_xlpm.MyAuditVal&lt;&gt;"",UPPER(_xlpm.MyAuditVal),_xlpm.MacVal&lt;&gt;"",_xlpm.MacVal,_xlpm.CSVVal&lt;&gt;"",_xlpm.CSVVal
)),"")</f>
        <v/>
      </c>
      <c r="K1057" s="40" t="str" cm="1">
        <f t="array" ref="K1057">IFERROR(_xlfn.LET(
_xlpm.CSVVal,_xlfn.XLOOKUP($A1057,CSV!$A:$A,CSV!K:K,""),
_xlpm.MacVal,_xlfn.XLOOKUP($A1057,Output_Mac!$A:$A,Output_Mac!K:K,""),
_xlpm.MyAuditVal,_xlfn.XLOOKUP($A1057,My_Audit!$A:$A,My_Audit!J:J,""),
_xlfn.IFS(_xlpm.MyAuditVal&lt;&gt;"",UPPER(_xlpm.MyAuditVal),_xlpm.MacVal&lt;&gt;"",_xlpm.MacVal,_xlpm.CSVVal&lt;&gt;"",_xlpm.CSVVal
)),"")</f>
        <v/>
      </c>
      <c r="L1057" s="40" t="str" cm="1">
        <f t="array" ref="L1057">IFERROR(_xlfn.LET(
_xlpm.CSVVal,_xlfn.XLOOKUP($A1057,CSV!$A:$A,CSV!P:P,""),
_xlpm.MacVal,_xlfn.XLOOKUP($A1057,Output_Mac!$A:$A,Output_Mac!L:L,""),
_xlpm.MyAuditVal,_xlfn.XLOOKUP($A1057,My_Audit!$A:$A,My_Audit!K:K,""),
_xlfn.IFS(_xlpm.MyAuditVal&lt;&gt;"",UPPER(_xlpm.MyAuditVal),_xlpm.MacVal&lt;&gt;"",_xlpm.MacVal,_xlpm.CSVVal&lt;&gt;"",_xlpm.CSVVal
)),"")</f>
        <v/>
      </c>
      <c r="M1057" s="40" t="str" cm="1">
        <f t="array" ref="M1057">IFERROR(_xlfn.LET(
_xlpm.CSVVal,_xlfn.XLOOKUP($A1057,CSV!$A:$A,CSV!Q:Q,""),
_xlpm.MacVal,_xlfn.XLOOKUP($A1057,Output_Mac!$A:$A,Output_Mac!M:M,""),
_xlpm.MyAuditVal,_xlfn.XLOOKUP($A1057,My_Audit!$A:$A,My_Audit!L:L,""),
_xlfn.IFS(_xlpm.MyAuditVal&lt;&gt;"",UPPER(_xlpm.MyAuditVal),_xlpm.MacVal&lt;&gt;"",_xlpm.MacVal,_xlpm.CSVVal&lt;&gt;"",_xlpm.CSVVal
)),"")</f>
        <v/>
      </c>
      <c r="N1057" s="40"/>
      <c r="O1057" s="40" t="str">
        <f>_xlfn.LET(
    _xlpm.CSVVal, _xlfn.XLOOKUP($A1057, CSV!$A:$A, CSV!AA:AA, ""),
    _xlpm.MacVal, _xlfn.XLOOKUP($A1057, Output_Mac!$A:$A, Output_Mac!S:S, ""),
    _xlpm.MyAuditVal, _xlfn.XLOOKUP($A1057, My_Audit!$A:$A, My_Audit!P:P, ""),
    _xlfn.TEXTJOIN(", ", TRUE, _xlpm.MyAuditVal, _xlpm.MacVal, _xlpm.CSVVal)
)</f>
        <v/>
      </c>
      <c r="P1057" s="40" t="str" cm="1">
        <f t="array" ref="P1057">IFERROR(_xlfn.LET(
_xlpm.CSVVal,_xlfn.XLOOKUP($A1057,CSV!$A:$A,CSV!AB:AB,""),
_xlpm.MacVal,_xlfn.XLOOKUP($A1057,Output_Mac!$A:$A,Output_Mac!T:T,""),
_xlpm.MyAuditVal,_xlfn.XLOOKUP($A1057,My_Audit!$A:$A,My_Audit!Q:Q,""),
_xlfn.IFS(_xlpm.MyAuditVal&lt;&gt;"",UPPER(_xlpm.MyAuditVal),_xlpm.MacVal&lt;&gt;"",_xlpm.MacVal,_xlpm.CSVVal&lt;&gt;"",_xlpm.CSVVal
)),"No")</f>
        <v>No</v>
      </c>
      <c r="Q1057" s="40" t="str" cm="1">
        <f t="array" ref="Q1057">IFERROR(_xlfn.LET(
_xlpm.CSVVal,_xlfn.XLOOKUP($A1057,CSV!$A:$A,CSV!AC:AC,""),
_xlpm.MacVal,_xlfn.XLOOKUP($A1057,Output_Mac!$A:$A,Output_Mac!U:U,""),
_xlpm.MyAuditVal,_xlfn.XLOOKUP($A1057,My_Audit!$A:$A,My_Audit!R:R,""),
_xlfn.IFS(_xlpm.MyAuditVal&lt;&gt;"",UPPER(_xlpm.MyAuditVal),_xlpm.MacVal&lt;&gt;"",_xlpm.MacVal,_xlpm.CSVVal&lt;&gt;"",_xlpm.CSVVal
)),"")</f>
        <v/>
      </c>
      <c r="R1057" s="40"/>
      <c r="S1057" s="40"/>
      <c r="T1057" s="40"/>
      <c r="U1057" s="40"/>
      <c r="V1057" s="40"/>
      <c r="W1057" s="40"/>
      <c r="X1057" s="41" t="str">
        <f>_xlfn.LET(
    _xlpm.MacVal, _xlfn.XLOOKUP($A1057, Output_Mac!$A:$A, Output_Mac!AB:AB, ""),
    _xlpm.MyAuditVal, _xlfn.XLOOKUP($A1057, My_Audit!$A:$A, My_Audit!N:N, ""),
    _xlfn.TEXTJOIN(", ", TRUE, _xlpm.MyAuditVal, _xlpm.MacVal)
)</f>
        <v/>
      </c>
    </row>
    <row r="1058" spans="1:24">
      <c r="A1058" s="40" t="str">
        <f>_xlfn.TEXTJOIN("",TRUE,Input!$B$2,ROW(My_Audit!A1057))</f>
        <v>X1057</v>
      </c>
      <c r="B1058" s="40" t="str">
        <f>_xlfn.TEXTJOIN("-",TRUE,"ITD",Input!$A$2,A1058)</f>
        <v>ITD-X1057</v>
      </c>
      <c r="C1058" s="40" t="str" cm="1">
        <f t="array" ref="C1058">IFERROR(_xlfn.LET(
_xlpm.CSVVal,_xlfn.XLOOKUP($A1058,CSV!$A:$A,CSV!B:B,""),
_xlpm.MacVal,_xlfn.XLOOKUP($A1058,Output_Mac!$A:$A,Output_Mac!B:B,""),
_xlpm.MyAuditVal,_xlfn.XLOOKUP($A1058,My_Audit!$A:$A,My_Audit!B:B,""),
_xlfn.IFS(_xlpm.MyAuditVal&lt;&gt;"",UPPER(_xlpm.MyAuditVal),_xlpm.MacVal&lt;&gt;"",_xlpm.MacVal,_xlpm.CSVVal&lt;&gt;"",_xlpm.CSVVal
)),"")</f>
        <v/>
      </c>
      <c r="D1058" s="40" t="str" cm="1">
        <f t="array" ref="D1058">IFERROR(_xlfn.LET(
_xlpm.CSVVal,_xlfn.XLOOKUP($A1058,CSV!$A:$A,CSV!D:D,""),
_xlpm.MacVal,_xlfn.XLOOKUP($A1058,Output_Mac!$A:$A,Output_Mac!C:C,""),
_xlpm.MyAuditVal,_xlfn.XLOOKUP($A1058,My_Audit!$A:$A,My_Audit!C:C,""),
_xlfn.IFS(_xlpm.MyAuditVal&lt;&gt;"",_xlpm.MyAuditVal,_xlpm.MacVal&lt;&gt;"",_xlpm.MacVal,_xlpm.CSVVal&lt;&gt;"",_xlpm.CSVVal
)),"")</f>
        <v/>
      </c>
      <c r="E1058" s="40" t="str">
        <f>_xlfn.XLOOKUP(A1058,My_Audit!A:A,My_Audit!D:D,"")</f>
        <v/>
      </c>
      <c r="F1058" s="40" t="str" cm="1">
        <f t="array" ref="F1058">IFERROR(_xlfn.LET(
_xlpm.CSVVal,_xlfn.XLOOKUP($A1058,CSV!$A:$A,CSV!F:F,""),
_xlpm.MacVal,_xlfn.XLOOKUP($A1058,Output_Mac!$A:$A,Output_Mac!E:E,""),
_xlpm.MyAuditVal,_xlfn.XLOOKUP($A1058,My_Audit!$A:$A,My_Audit!E:E,""),
_xlfn.IFS(_xlpm.MyAuditVal&lt;&gt;"",_xlpm.MyAuditVal,_xlpm.MacVal&lt;&gt;"",_xlpm.MacVal,_xlpm.CSVVal&lt;&gt;"",_xlpm.CSVVal
)),"")</f>
        <v/>
      </c>
      <c r="G1058" s="40" t="str" cm="1">
        <f t="array" ref="G1058">IFERROR(_xlfn.LET(
_xlpm.CSVVal,_xlfn.XLOOKUP($A1058,CSV!$A:$A,CSV!G:G,""),
_xlpm.MacVal,_xlfn.XLOOKUP($A1058,Output_Mac!$A:$A,Output_Mac!F:F,""),
_xlpm.MyAuditVal,_xlfn.XLOOKUP($A1058,My_Audit!$A:$A,My_Audit!F:F,""),
_xlfn.IFS(_xlpm.MyAuditVal&lt;&gt;"",_xlpm.MyAuditVal,_xlpm.MacVal&lt;&gt;"",_xlpm.MacVal,_xlpm.CSVVal&lt;&gt;"",PROPER(_xlpm.CSVVal)
)),"")</f>
        <v/>
      </c>
      <c r="H1058" s="40" t="str" cm="1">
        <f t="array" ref="H1058">IFERROR(_xlfn.LET(
_xlpm.CSVVal,_xlfn.XLOOKUP($A1058,CSV!$A:$A,CSV!H:H,""),
_xlpm.MacVal,_xlfn.XLOOKUP($A1058,Output_Mac!$A:$A,Output_Mac!H:H,""),
_xlpm.MyAuditVal,_xlfn.XLOOKUP($A1058,My_Audit!$A:$A,My_Audit!G:G,""),
_xlfn.IFS(_xlpm.MyAuditVal&lt;&gt;"",_xlpm.MyAuditVal,_xlpm.MacVal&lt;&gt;"",_xlpm.MacVal,_xlpm.CSVVal&lt;&gt;"",_xlpm.CSVVal
)),"")</f>
        <v/>
      </c>
      <c r="I1058" s="40" t="str">
        <f>_xlfn.XLOOKUP(A1058,Output_Mac!A:A,Output_Mac!I:I,"")</f>
        <v/>
      </c>
      <c r="J1058" s="40" t="str" cm="1">
        <f t="array" ref="J1058">IFERROR(_xlfn.LET(
_xlpm.CSVVal,_xlfn.XLOOKUP($A1058,CSV!$A:$A,CSV!I:I,""),
_xlpm.MacVal,_xlfn.XLOOKUP($A1058,Output_Mac!$A:$A,Output_Mac!J:J,""),
_xlpm.MyAuditVal,_xlfn.XLOOKUP($A1058,My_Audit!$A:$A,My_Audit!I:I,""),
_xlfn.IFS(_xlpm.MyAuditVal&lt;&gt;"",UPPER(_xlpm.MyAuditVal),_xlpm.MacVal&lt;&gt;"",_xlpm.MacVal,_xlpm.CSVVal&lt;&gt;"",_xlpm.CSVVal
)),"")</f>
        <v/>
      </c>
      <c r="K1058" s="40" t="str" cm="1">
        <f t="array" ref="K1058">IFERROR(_xlfn.LET(
_xlpm.CSVVal,_xlfn.XLOOKUP($A1058,CSV!$A:$A,CSV!K:K,""),
_xlpm.MacVal,_xlfn.XLOOKUP($A1058,Output_Mac!$A:$A,Output_Mac!K:K,""),
_xlpm.MyAuditVal,_xlfn.XLOOKUP($A1058,My_Audit!$A:$A,My_Audit!J:J,""),
_xlfn.IFS(_xlpm.MyAuditVal&lt;&gt;"",UPPER(_xlpm.MyAuditVal),_xlpm.MacVal&lt;&gt;"",_xlpm.MacVal,_xlpm.CSVVal&lt;&gt;"",_xlpm.CSVVal
)),"")</f>
        <v/>
      </c>
      <c r="L1058" s="40" t="str" cm="1">
        <f t="array" ref="L1058">IFERROR(_xlfn.LET(
_xlpm.CSVVal,_xlfn.XLOOKUP($A1058,CSV!$A:$A,CSV!P:P,""),
_xlpm.MacVal,_xlfn.XLOOKUP($A1058,Output_Mac!$A:$A,Output_Mac!L:L,""),
_xlpm.MyAuditVal,_xlfn.XLOOKUP($A1058,My_Audit!$A:$A,My_Audit!K:K,""),
_xlfn.IFS(_xlpm.MyAuditVal&lt;&gt;"",UPPER(_xlpm.MyAuditVal),_xlpm.MacVal&lt;&gt;"",_xlpm.MacVal,_xlpm.CSVVal&lt;&gt;"",_xlpm.CSVVal
)),"")</f>
        <v/>
      </c>
      <c r="M1058" s="40" t="str" cm="1">
        <f t="array" ref="M1058">IFERROR(_xlfn.LET(
_xlpm.CSVVal,_xlfn.XLOOKUP($A1058,CSV!$A:$A,CSV!Q:Q,""),
_xlpm.MacVal,_xlfn.XLOOKUP($A1058,Output_Mac!$A:$A,Output_Mac!M:M,""),
_xlpm.MyAuditVal,_xlfn.XLOOKUP($A1058,My_Audit!$A:$A,My_Audit!L:L,""),
_xlfn.IFS(_xlpm.MyAuditVal&lt;&gt;"",UPPER(_xlpm.MyAuditVal),_xlpm.MacVal&lt;&gt;"",_xlpm.MacVal,_xlpm.CSVVal&lt;&gt;"",_xlpm.CSVVal
)),"")</f>
        <v/>
      </c>
      <c r="N1058" s="40"/>
      <c r="O1058" s="40" t="str">
        <f>_xlfn.LET(
    _xlpm.CSVVal, _xlfn.XLOOKUP($A1058, CSV!$A:$A, CSV!AA:AA, ""),
    _xlpm.MacVal, _xlfn.XLOOKUP($A1058, Output_Mac!$A:$A, Output_Mac!S:S, ""),
    _xlpm.MyAuditVal, _xlfn.XLOOKUP($A1058, My_Audit!$A:$A, My_Audit!P:P, ""),
    _xlfn.TEXTJOIN(", ", TRUE, _xlpm.MyAuditVal, _xlpm.MacVal, _xlpm.CSVVal)
)</f>
        <v/>
      </c>
      <c r="P1058" s="40" t="str" cm="1">
        <f t="array" ref="P1058">IFERROR(_xlfn.LET(
_xlpm.CSVVal,_xlfn.XLOOKUP($A1058,CSV!$A:$A,CSV!AB:AB,""),
_xlpm.MacVal,_xlfn.XLOOKUP($A1058,Output_Mac!$A:$A,Output_Mac!T:T,""),
_xlpm.MyAuditVal,_xlfn.XLOOKUP($A1058,My_Audit!$A:$A,My_Audit!Q:Q,""),
_xlfn.IFS(_xlpm.MyAuditVal&lt;&gt;"",UPPER(_xlpm.MyAuditVal),_xlpm.MacVal&lt;&gt;"",_xlpm.MacVal,_xlpm.CSVVal&lt;&gt;"",_xlpm.CSVVal
)),"No")</f>
        <v>No</v>
      </c>
      <c r="Q1058" s="40" t="str" cm="1">
        <f t="array" ref="Q1058">IFERROR(_xlfn.LET(
_xlpm.CSVVal,_xlfn.XLOOKUP($A1058,CSV!$A:$A,CSV!AC:AC,""),
_xlpm.MacVal,_xlfn.XLOOKUP($A1058,Output_Mac!$A:$A,Output_Mac!U:U,""),
_xlpm.MyAuditVal,_xlfn.XLOOKUP($A1058,My_Audit!$A:$A,My_Audit!R:R,""),
_xlfn.IFS(_xlpm.MyAuditVal&lt;&gt;"",UPPER(_xlpm.MyAuditVal),_xlpm.MacVal&lt;&gt;"",_xlpm.MacVal,_xlpm.CSVVal&lt;&gt;"",_xlpm.CSVVal
)),"")</f>
        <v/>
      </c>
      <c r="R1058" s="40"/>
      <c r="S1058" s="40"/>
      <c r="T1058" s="40"/>
      <c r="U1058" s="40"/>
      <c r="V1058" s="40"/>
      <c r="W1058" s="40"/>
      <c r="X1058" s="41" t="str">
        <f>_xlfn.LET(
    _xlpm.MacVal, _xlfn.XLOOKUP($A1058, Output_Mac!$A:$A, Output_Mac!AB:AB, ""),
    _xlpm.MyAuditVal, _xlfn.XLOOKUP($A1058, My_Audit!$A:$A, My_Audit!N:N, ""),
    _xlfn.TEXTJOIN(", ", TRUE, _xlpm.MyAuditVal, _xlpm.MacVal)
)</f>
        <v/>
      </c>
    </row>
    <row r="1059" spans="1:24">
      <c r="A1059" s="40" t="str">
        <f>_xlfn.TEXTJOIN("",TRUE,Input!$B$2,ROW(My_Audit!A1058))</f>
        <v>X1058</v>
      </c>
      <c r="B1059" s="40" t="str">
        <f>_xlfn.TEXTJOIN("-",TRUE,"ITD",Input!$A$2,A1059)</f>
        <v>ITD-X1058</v>
      </c>
      <c r="C1059" s="40" t="str" cm="1">
        <f t="array" ref="C1059">IFERROR(_xlfn.LET(
_xlpm.CSVVal,_xlfn.XLOOKUP($A1059,CSV!$A:$A,CSV!B:B,""),
_xlpm.MacVal,_xlfn.XLOOKUP($A1059,Output_Mac!$A:$A,Output_Mac!B:B,""),
_xlpm.MyAuditVal,_xlfn.XLOOKUP($A1059,My_Audit!$A:$A,My_Audit!B:B,""),
_xlfn.IFS(_xlpm.MyAuditVal&lt;&gt;"",UPPER(_xlpm.MyAuditVal),_xlpm.MacVal&lt;&gt;"",_xlpm.MacVal,_xlpm.CSVVal&lt;&gt;"",_xlpm.CSVVal
)),"")</f>
        <v/>
      </c>
      <c r="D1059" s="40" t="str" cm="1">
        <f t="array" ref="D1059">IFERROR(_xlfn.LET(
_xlpm.CSVVal,_xlfn.XLOOKUP($A1059,CSV!$A:$A,CSV!D:D,""),
_xlpm.MacVal,_xlfn.XLOOKUP($A1059,Output_Mac!$A:$A,Output_Mac!C:C,""),
_xlpm.MyAuditVal,_xlfn.XLOOKUP($A1059,My_Audit!$A:$A,My_Audit!C:C,""),
_xlfn.IFS(_xlpm.MyAuditVal&lt;&gt;"",_xlpm.MyAuditVal,_xlpm.MacVal&lt;&gt;"",_xlpm.MacVal,_xlpm.CSVVal&lt;&gt;"",_xlpm.CSVVal
)),"")</f>
        <v/>
      </c>
      <c r="E1059" s="40" t="str">
        <f>_xlfn.XLOOKUP(A1059,My_Audit!A:A,My_Audit!D:D,"")</f>
        <v/>
      </c>
      <c r="F1059" s="40" t="str" cm="1">
        <f t="array" ref="F1059">IFERROR(_xlfn.LET(
_xlpm.CSVVal,_xlfn.XLOOKUP($A1059,CSV!$A:$A,CSV!F:F,""),
_xlpm.MacVal,_xlfn.XLOOKUP($A1059,Output_Mac!$A:$A,Output_Mac!E:E,""),
_xlpm.MyAuditVal,_xlfn.XLOOKUP($A1059,My_Audit!$A:$A,My_Audit!E:E,""),
_xlfn.IFS(_xlpm.MyAuditVal&lt;&gt;"",_xlpm.MyAuditVal,_xlpm.MacVal&lt;&gt;"",_xlpm.MacVal,_xlpm.CSVVal&lt;&gt;"",_xlpm.CSVVal
)),"")</f>
        <v/>
      </c>
      <c r="G1059" s="40" t="str" cm="1">
        <f t="array" ref="G1059">IFERROR(_xlfn.LET(
_xlpm.CSVVal,_xlfn.XLOOKUP($A1059,CSV!$A:$A,CSV!G:G,""),
_xlpm.MacVal,_xlfn.XLOOKUP($A1059,Output_Mac!$A:$A,Output_Mac!F:F,""),
_xlpm.MyAuditVal,_xlfn.XLOOKUP($A1059,My_Audit!$A:$A,My_Audit!F:F,""),
_xlfn.IFS(_xlpm.MyAuditVal&lt;&gt;"",_xlpm.MyAuditVal,_xlpm.MacVal&lt;&gt;"",_xlpm.MacVal,_xlpm.CSVVal&lt;&gt;"",PROPER(_xlpm.CSVVal)
)),"")</f>
        <v/>
      </c>
      <c r="H1059" s="40" t="str" cm="1">
        <f t="array" ref="H1059">IFERROR(_xlfn.LET(
_xlpm.CSVVal,_xlfn.XLOOKUP($A1059,CSV!$A:$A,CSV!H:H,""),
_xlpm.MacVal,_xlfn.XLOOKUP($A1059,Output_Mac!$A:$A,Output_Mac!H:H,""),
_xlpm.MyAuditVal,_xlfn.XLOOKUP($A1059,My_Audit!$A:$A,My_Audit!G:G,""),
_xlfn.IFS(_xlpm.MyAuditVal&lt;&gt;"",_xlpm.MyAuditVal,_xlpm.MacVal&lt;&gt;"",_xlpm.MacVal,_xlpm.CSVVal&lt;&gt;"",_xlpm.CSVVal
)),"")</f>
        <v/>
      </c>
      <c r="I1059" s="40" t="str">
        <f>_xlfn.XLOOKUP(A1059,Output_Mac!A:A,Output_Mac!I:I,"")</f>
        <v/>
      </c>
      <c r="J1059" s="40" t="str" cm="1">
        <f t="array" ref="J1059">IFERROR(_xlfn.LET(
_xlpm.CSVVal,_xlfn.XLOOKUP($A1059,CSV!$A:$A,CSV!I:I,""),
_xlpm.MacVal,_xlfn.XLOOKUP($A1059,Output_Mac!$A:$A,Output_Mac!J:J,""),
_xlpm.MyAuditVal,_xlfn.XLOOKUP($A1059,My_Audit!$A:$A,My_Audit!I:I,""),
_xlfn.IFS(_xlpm.MyAuditVal&lt;&gt;"",UPPER(_xlpm.MyAuditVal),_xlpm.MacVal&lt;&gt;"",_xlpm.MacVal,_xlpm.CSVVal&lt;&gt;"",_xlpm.CSVVal
)),"")</f>
        <v/>
      </c>
      <c r="K1059" s="40" t="str" cm="1">
        <f t="array" ref="K1059">IFERROR(_xlfn.LET(
_xlpm.CSVVal,_xlfn.XLOOKUP($A1059,CSV!$A:$A,CSV!K:K,""),
_xlpm.MacVal,_xlfn.XLOOKUP($A1059,Output_Mac!$A:$A,Output_Mac!K:K,""),
_xlpm.MyAuditVal,_xlfn.XLOOKUP($A1059,My_Audit!$A:$A,My_Audit!J:J,""),
_xlfn.IFS(_xlpm.MyAuditVal&lt;&gt;"",UPPER(_xlpm.MyAuditVal),_xlpm.MacVal&lt;&gt;"",_xlpm.MacVal,_xlpm.CSVVal&lt;&gt;"",_xlpm.CSVVal
)),"")</f>
        <v/>
      </c>
      <c r="L1059" s="40" t="str" cm="1">
        <f t="array" ref="L1059">IFERROR(_xlfn.LET(
_xlpm.CSVVal,_xlfn.XLOOKUP($A1059,CSV!$A:$A,CSV!P:P,""),
_xlpm.MacVal,_xlfn.XLOOKUP($A1059,Output_Mac!$A:$A,Output_Mac!L:L,""),
_xlpm.MyAuditVal,_xlfn.XLOOKUP($A1059,My_Audit!$A:$A,My_Audit!K:K,""),
_xlfn.IFS(_xlpm.MyAuditVal&lt;&gt;"",UPPER(_xlpm.MyAuditVal),_xlpm.MacVal&lt;&gt;"",_xlpm.MacVal,_xlpm.CSVVal&lt;&gt;"",_xlpm.CSVVal
)),"")</f>
        <v/>
      </c>
      <c r="M1059" s="40" t="str" cm="1">
        <f t="array" ref="M1059">IFERROR(_xlfn.LET(
_xlpm.CSVVal,_xlfn.XLOOKUP($A1059,CSV!$A:$A,CSV!Q:Q,""),
_xlpm.MacVal,_xlfn.XLOOKUP($A1059,Output_Mac!$A:$A,Output_Mac!M:M,""),
_xlpm.MyAuditVal,_xlfn.XLOOKUP($A1059,My_Audit!$A:$A,My_Audit!L:L,""),
_xlfn.IFS(_xlpm.MyAuditVal&lt;&gt;"",UPPER(_xlpm.MyAuditVal),_xlpm.MacVal&lt;&gt;"",_xlpm.MacVal,_xlpm.CSVVal&lt;&gt;"",_xlpm.CSVVal
)),"")</f>
        <v/>
      </c>
      <c r="N1059" s="40"/>
      <c r="O1059" s="40" t="str">
        <f>_xlfn.LET(
    _xlpm.CSVVal, _xlfn.XLOOKUP($A1059, CSV!$A:$A, CSV!AA:AA, ""),
    _xlpm.MacVal, _xlfn.XLOOKUP($A1059, Output_Mac!$A:$A, Output_Mac!S:S, ""),
    _xlpm.MyAuditVal, _xlfn.XLOOKUP($A1059, My_Audit!$A:$A, My_Audit!P:P, ""),
    _xlfn.TEXTJOIN(", ", TRUE, _xlpm.MyAuditVal, _xlpm.MacVal, _xlpm.CSVVal)
)</f>
        <v/>
      </c>
      <c r="P1059" s="40" t="str" cm="1">
        <f t="array" ref="P1059">IFERROR(_xlfn.LET(
_xlpm.CSVVal,_xlfn.XLOOKUP($A1059,CSV!$A:$A,CSV!AB:AB,""),
_xlpm.MacVal,_xlfn.XLOOKUP($A1059,Output_Mac!$A:$A,Output_Mac!T:T,""),
_xlpm.MyAuditVal,_xlfn.XLOOKUP($A1059,My_Audit!$A:$A,My_Audit!Q:Q,""),
_xlfn.IFS(_xlpm.MyAuditVal&lt;&gt;"",UPPER(_xlpm.MyAuditVal),_xlpm.MacVal&lt;&gt;"",_xlpm.MacVal,_xlpm.CSVVal&lt;&gt;"",_xlpm.CSVVal
)),"No")</f>
        <v>No</v>
      </c>
      <c r="Q1059" s="40" t="str" cm="1">
        <f t="array" ref="Q1059">IFERROR(_xlfn.LET(
_xlpm.CSVVal,_xlfn.XLOOKUP($A1059,CSV!$A:$A,CSV!AC:AC,""),
_xlpm.MacVal,_xlfn.XLOOKUP($A1059,Output_Mac!$A:$A,Output_Mac!U:U,""),
_xlpm.MyAuditVal,_xlfn.XLOOKUP($A1059,My_Audit!$A:$A,My_Audit!R:R,""),
_xlfn.IFS(_xlpm.MyAuditVal&lt;&gt;"",UPPER(_xlpm.MyAuditVal),_xlpm.MacVal&lt;&gt;"",_xlpm.MacVal,_xlpm.CSVVal&lt;&gt;"",_xlpm.CSVVal
)),"")</f>
        <v/>
      </c>
      <c r="R1059" s="40"/>
      <c r="S1059" s="40"/>
      <c r="T1059" s="40"/>
      <c r="U1059" s="40"/>
      <c r="V1059" s="40"/>
      <c r="W1059" s="40"/>
      <c r="X1059" s="41" t="str">
        <f>_xlfn.LET(
    _xlpm.MacVal, _xlfn.XLOOKUP($A1059, Output_Mac!$A:$A, Output_Mac!AB:AB, ""),
    _xlpm.MyAuditVal, _xlfn.XLOOKUP($A1059, My_Audit!$A:$A, My_Audit!N:N, ""),
    _xlfn.TEXTJOIN(", ", TRUE, _xlpm.MyAuditVal, _xlpm.MacVal)
)</f>
        <v/>
      </c>
    </row>
    <row r="1060" spans="1:24">
      <c r="A1060" s="40" t="str">
        <f>_xlfn.TEXTJOIN("",TRUE,Input!$B$2,ROW(My_Audit!A1059))</f>
        <v>X1059</v>
      </c>
      <c r="B1060" s="40" t="str">
        <f>_xlfn.TEXTJOIN("-",TRUE,"ITD",Input!$A$2,A1060)</f>
        <v>ITD-X1059</v>
      </c>
      <c r="C1060" s="40" t="str" cm="1">
        <f t="array" ref="C1060">IFERROR(_xlfn.LET(
_xlpm.CSVVal,_xlfn.XLOOKUP($A1060,CSV!$A:$A,CSV!B:B,""),
_xlpm.MacVal,_xlfn.XLOOKUP($A1060,Output_Mac!$A:$A,Output_Mac!B:B,""),
_xlpm.MyAuditVal,_xlfn.XLOOKUP($A1060,My_Audit!$A:$A,My_Audit!B:B,""),
_xlfn.IFS(_xlpm.MyAuditVal&lt;&gt;"",UPPER(_xlpm.MyAuditVal),_xlpm.MacVal&lt;&gt;"",_xlpm.MacVal,_xlpm.CSVVal&lt;&gt;"",_xlpm.CSVVal
)),"")</f>
        <v/>
      </c>
      <c r="D1060" s="40" t="str" cm="1">
        <f t="array" ref="D1060">IFERROR(_xlfn.LET(
_xlpm.CSVVal,_xlfn.XLOOKUP($A1060,CSV!$A:$A,CSV!D:D,""),
_xlpm.MacVal,_xlfn.XLOOKUP($A1060,Output_Mac!$A:$A,Output_Mac!C:C,""),
_xlpm.MyAuditVal,_xlfn.XLOOKUP($A1060,My_Audit!$A:$A,My_Audit!C:C,""),
_xlfn.IFS(_xlpm.MyAuditVal&lt;&gt;"",_xlpm.MyAuditVal,_xlpm.MacVal&lt;&gt;"",_xlpm.MacVal,_xlpm.CSVVal&lt;&gt;"",_xlpm.CSVVal
)),"")</f>
        <v/>
      </c>
      <c r="E1060" s="40" t="str">
        <f>_xlfn.XLOOKUP(A1060,My_Audit!A:A,My_Audit!D:D,"")</f>
        <v/>
      </c>
      <c r="F1060" s="40" t="str" cm="1">
        <f t="array" ref="F1060">IFERROR(_xlfn.LET(
_xlpm.CSVVal,_xlfn.XLOOKUP($A1060,CSV!$A:$A,CSV!F:F,""),
_xlpm.MacVal,_xlfn.XLOOKUP($A1060,Output_Mac!$A:$A,Output_Mac!E:E,""),
_xlpm.MyAuditVal,_xlfn.XLOOKUP($A1060,My_Audit!$A:$A,My_Audit!E:E,""),
_xlfn.IFS(_xlpm.MyAuditVal&lt;&gt;"",_xlpm.MyAuditVal,_xlpm.MacVal&lt;&gt;"",_xlpm.MacVal,_xlpm.CSVVal&lt;&gt;"",_xlpm.CSVVal
)),"")</f>
        <v/>
      </c>
      <c r="G1060" s="40" t="str" cm="1">
        <f t="array" ref="G1060">IFERROR(_xlfn.LET(
_xlpm.CSVVal,_xlfn.XLOOKUP($A1060,CSV!$A:$A,CSV!G:G,""),
_xlpm.MacVal,_xlfn.XLOOKUP($A1060,Output_Mac!$A:$A,Output_Mac!F:F,""),
_xlpm.MyAuditVal,_xlfn.XLOOKUP($A1060,My_Audit!$A:$A,My_Audit!F:F,""),
_xlfn.IFS(_xlpm.MyAuditVal&lt;&gt;"",_xlpm.MyAuditVal,_xlpm.MacVal&lt;&gt;"",_xlpm.MacVal,_xlpm.CSVVal&lt;&gt;"",PROPER(_xlpm.CSVVal)
)),"")</f>
        <v/>
      </c>
      <c r="H1060" s="40" t="str" cm="1">
        <f t="array" ref="H1060">IFERROR(_xlfn.LET(
_xlpm.CSVVal,_xlfn.XLOOKUP($A1060,CSV!$A:$A,CSV!H:H,""),
_xlpm.MacVal,_xlfn.XLOOKUP($A1060,Output_Mac!$A:$A,Output_Mac!H:H,""),
_xlpm.MyAuditVal,_xlfn.XLOOKUP($A1060,My_Audit!$A:$A,My_Audit!G:G,""),
_xlfn.IFS(_xlpm.MyAuditVal&lt;&gt;"",_xlpm.MyAuditVal,_xlpm.MacVal&lt;&gt;"",_xlpm.MacVal,_xlpm.CSVVal&lt;&gt;"",_xlpm.CSVVal
)),"")</f>
        <v/>
      </c>
      <c r="I1060" s="40" t="str">
        <f>_xlfn.XLOOKUP(A1060,Output_Mac!A:A,Output_Mac!I:I,"")</f>
        <v/>
      </c>
      <c r="J1060" s="40" t="str" cm="1">
        <f t="array" ref="J1060">IFERROR(_xlfn.LET(
_xlpm.CSVVal,_xlfn.XLOOKUP($A1060,CSV!$A:$A,CSV!I:I,""),
_xlpm.MacVal,_xlfn.XLOOKUP($A1060,Output_Mac!$A:$A,Output_Mac!J:J,""),
_xlpm.MyAuditVal,_xlfn.XLOOKUP($A1060,My_Audit!$A:$A,My_Audit!I:I,""),
_xlfn.IFS(_xlpm.MyAuditVal&lt;&gt;"",UPPER(_xlpm.MyAuditVal),_xlpm.MacVal&lt;&gt;"",_xlpm.MacVal,_xlpm.CSVVal&lt;&gt;"",_xlpm.CSVVal
)),"")</f>
        <v/>
      </c>
      <c r="K1060" s="40" t="str" cm="1">
        <f t="array" ref="K1060">IFERROR(_xlfn.LET(
_xlpm.CSVVal,_xlfn.XLOOKUP($A1060,CSV!$A:$A,CSV!K:K,""),
_xlpm.MacVal,_xlfn.XLOOKUP($A1060,Output_Mac!$A:$A,Output_Mac!K:K,""),
_xlpm.MyAuditVal,_xlfn.XLOOKUP($A1060,My_Audit!$A:$A,My_Audit!J:J,""),
_xlfn.IFS(_xlpm.MyAuditVal&lt;&gt;"",UPPER(_xlpm.MyAuditVal),_xlpm.MacVal&lt;&gt;"",_xlpm.MacVal,_xlpm.CSVVal&lt;&gt;"",_xlpm.CSVVal
)),"")</f>
        <v/>
      </c>
      <c r="L1060" s="40" t="str" cm="1">
        <f t="array" ref="L1060">IFERROR(_xlfn.LET(
_xlpm.CSVVal,_xlfn.XLOOKUP($A1060,CSV!$A:$A,CSV!P:P,""),
_xlpm.MacVal,_xlfn.XLOOKUP($A1060,Output_Mac!$A:$A,Output_Mac!L:L,""),
_xlpm.MyAuditVal,_xlfn.XLOOKUP($A1060,My_Audit!$A:$A,My_Audit!K:K,""),
_xlfn.IFS(_xlpm.MyAuditVal&lt;&gt;"",UPPER(_xlpm.MyAuditVal),_xlpm.MacVal&lt;&gt;"",_xlpm.MacVal,_xlpm.CSVVal&lt;&gt;"",_xlpm.CSVVal
)),"")</f>
        <v/>
      </c>
      <c r="M1060" s="40" t="str" cm="1">
        <f t="array" ref="M1060">IFERROR(_xlfn.LET(
_xlpm.CSVVal,_xlfn.XLOOKUP($A1060,CSV!$A:$A,CSV!Q:Q,""),
_xlpm.MacVal,_xlfn.XLOOKUP($A1060,Output_Mac!$A:$A,Output_Mac!M:M,""),
_xlpm.MyAuditVal,_xlfn.XLOOKUP($A1060,My_Audit!$A:$A,My_Audit!L:L,""),
_xlfn.IFS(_xlpm.MyAuditVal&lt;&gt;"",UPPER(_xlpm.MyAuditVal),_xlpm.MacVal&lt;&gt;"",_xlpm.MacVal,_xlpm.CSVVal&lt;&gt;"",_xlpm.CSVVal
)),"")</f>
        <v/>
      </c>
      <c r="N1060" s="40"/>
      <c r="O1060" s="40" t="str">
        <f>_xlfn.LET(
    _xlpm.CSVVal, _xlfn.XLOOKUP($A1060, CSV!$A:$A, CSV!AA:AA, ""),
    _xlpm.MacVal, _xlfn.XLOOKUP($A1060, Output_Mac!$A:$A, Output_Mac!S:S, ""),
    _xlpm.MyAuditVal, _xlfn.XLOOKUP($A1060, My_Audit!$A:$A, My_Audit!P:P, ""),
    _xlfn.TEXTJOIN(", ", TRUE, _xlpm.MyAuditVal, _xlpm.MacVal, _xlpm.CSVVal)
)</f>
        <v/>
      </c>
      <c r="P1060" s="40" t="str" cm="1">
        <f t="array" ref="P1060">IFERROR(_xlfn.LET(
_xlpm.CSVVal,_xlfn.XLOOKUP($A1060,CSV!$A:$A,CSV!AB:AB,""),
_xlpm.MacVal,_xlfn.XLOOKUP($A1060,Output_Mac!$A:$A,Output_Mac!T:T,""),
_xlpm.MyAuditVal,_xlfn.XLOOKUP($A1060,My_Audit!$A:$A,My_Audit!Q:Q,""),
_xlfn.IFS(_xlpm.MyAuditVal&lt;&gt;"",UPPER(_xlpm.MyAuditVal),_xlpm.MacVal&lt;&gt;"",_xlpm.MacVal,_xlpm.CSVVal&lt;&gt;"",_xlpm.CSVVal
)),"No")</f>
        <v>No</v>
      </c>
      <c r="Q1060" s="40" t="str" cm="1">
        <f t="array" ref="Q1060">IFERROR(_xlfn.LET(
_xlpm.CSVVal,_xlfn.XLOOKUP($A1060,CSV!$A:$A,CSV!AC:AC,""),
_xlpm.MacVal,_xlfn.XLOOKUP($A1060,Output_Mac!$A:$A,Output_Mac!U:U,""),
_xlpm.MyAuditVal,_xlfn.XLOOKUP($A1060,My_Audit!$A:$A,My_Audit!R:R,""),
_xlfn.IFS(_xlpm.MyAuditVal&lt;&gt;"",UPPER(_xlpm.MyAuditVal),_xlpm.MacVal&lt;&gt;"",_xlpm.MacVal,_xlpm.CSVVal&lt;&gt;"",_xlpm.CSVVal
)),"")</f>
        <v/>
      </c>
      <c r="R1060" s="40"/>
      <c r="S1060" s="40"/>
      <c r="T1060" s="40"/>
      <c r="U1060" s="40"/>
      <c r="V1060" s="40"/>
      <c r="W1060" s="40"/>
      <c r="X1060" s="41" t="str">
        <f>_xlfn.LET(
    _xlpm.MacVal, _xlfn.XLOOKUP($A1060, Output_Mac!$A:$A, Output_Mac!AB:AB, ""),
    _xlpm.MyAuditVal, _xlfn.XLOOKUP($A1060, My_Audit!$A:$A, My_Audit!N:N, ""),
    _xlfn.TEXTJOIN(", ", TRUE, _xlpm.MyAuditVal, _xlpm.MacVal)
)</f>
        <v/>
      </c>
    </row>
    <row r="1061" spans="1:24">
      <c r="A1061" s="40" t="str">
        <f>_xlfn.TEXTJOIN("",TRUE,Input!$B$2,ROW(My_Audit!A1060))</f>
        <v>X1060</v>
      </c>
      <c r="B1061" s="40" t="str">
        <f>_xlfn.TEXTJOIN("-",TRUE,"ITD",Input!$A$2,A1061)</f>
        <v>ITD-X1060</v>
      </c>
      <c r="C1061" s="40" t="str" cm="1">
        <f t="array" ref="C1061">IFERROR(_xlfn.LET(
_xlpm.CSVVal,_xlfn.XLOOKUP($A1061,CSV!$A:$A,CSV!B:B,""),
_xlpm.MacVal,_xlfn.XLOOKUP($A1061,Output_Mac!$A:$A,Output_Mac!B:B,""),
_xlpm.MyAuditVal,_xlfn.XLOOKUP($A1061,My_Audit!$A:$A,My_Audit!B:B,""),
_xlfn.IFS(_xlpm.MyAuditVal&lt;&gt;"",UPPER(_xlpm.MyAuditVal),_xlpm.MacVal&lt;&gt;"",_xlpm.MacVal,_xlpm.CSVVal&lt;&gt;"",_xlpm.CSVVal
)),"")</f>
        <v/>
      </c>
      <c r="D1061" s="40" t="str" cm="1">
        <f t="array" ref="D1061">IFERROR(_xlfn.LET(
_xlpm.CSVVal,_xlfn.XLOOKUP($A1061,CSV!$A:$A,CSV!D:D,""),
_xlpm.MacVal,_xlfn.XLOOKUP($A1061,Output_Mac!$A:$A,Output_Mac!C:C,""),
_xlpm.MyAuditVal,_xlfn.XLOOKUP($A1061,My_Audit!$A:$A,My_Audit!C:C,""),
_xlfn.IFS(_xlpm.MyAuditVal&lt;&gt;"",_xlpm.MyAuditVal,_xlpm.MacVal&lt;&gt;"",_xlpm.MacVal,_xlpm.CSVVal&lt;&gt;"",_xlpm.CSVVal
)),"")</f>
        <v/>
      </c>
      <c r="E1061" s="40" t="str">
        <f>_xlfn.XLOOKUP(A1061,My_Audit!A:A,My_Audit!D:D,"")</f>
        <v/>
      </c>
      <c r="F1061" s="40" t="str" cm="1">
        <f t="array" ref="F1061">IFERROR(_xlfn.LET(
_xlpm.CSVVal,_xlfn.XLOOKUP($A1061,CSV!$A:$A,CSV!F:F,""),
_xlpm.MacVal,_xlfn.XLOOKUP($A1061,Output_Mac!$A:$A,Output_Mac!E:E,""),
_xlpm.MyAuditVal,_xlfn.XLOOKUP($A1061,My_Audit!$A:$A,My_Audit!E:E,""),
_xlfn.IFS(_xlpm.MyAuditVal&lt;&gt;"",_xlpm.MyAuditVal,_xlpm.MacVal&lt;&gt;"",_xlpm.MacVal,_xlpm.CSVVal&lt;&gt;"",_xlpm.CSVVal
)),"")</f>
        <v/>
      </c>
      <c r="G1061" s="40" t="str" cm="1">
        <f t="array" ref="G1061">IFERROR(_xlfn.LET(
_xlpm.CSVVal,_xlfn.XLOOKUP($A1061,CSV!$A:$A,CSV!G:G,""),
_xlpm.MacVal,_xlfn.XLOOKUP($A1061,Output_Mac!$A:$A,Output_Mac!F:F,""),
_xlpm.MyAuditVal,_xlfn.XLOOKUP($A1061,My_Audit!$A:$A,My_Audit!F:F,""),
_xlfn.IFS(_xlpm.MyAuditVal&lt;&gt;"",_xlpm.MyAuditVal,_xlpm.MacVal&lt;&gt;"",_xlpm.MacVal,_xlpm.CSVVal&lt;&gt;"",PROPER(_xlpm.CSVVal)
)),"")</f>
        <v/>
      </c>
      <c r="H1061" s="40" t="str" cm="1">
        <f t="array" ref="H1061">IFERROR(_xlfn.LET(
_xlpm.CSVVal,_xlfn.XLOOKUP($A1061,CSV!$A:$A,CSV!H:H,""),
_xlpm.MacVal,_xlfn.XLOOKUP($A1061,Output_Mac!$A:$A,Output_Mac!H:H,""),
_xlpm.MyAuditVal,_xlfn.XLOOKUP($A1061,My_Audit!$A:$A,My_Audit!G:G,""),
_xlfn.IFS(_xlpm.MyAuditVal&lt;&gt;"",_xlpm.MyAuditVal,_xlpm.MacVal&lt;&gt;"",_xlpm.MacVal,_xlpm.CSVVal&lt;&gt;"",_xlpm.CSVVal
)),"")</f>
        <v/>
      </c>
      <c r="I1061" s="40" t="str">
        <f>_xlfn.XLOOKUP(A1061,Output_Mac!A:A,Output_Mac!I:I,"")</f>
        <v/>
      </c>
      <c r="J1061" s="40" t="str" cm="1">
        <f t="array" ref="J1061">IFERROR(_xlfn.LET(
_xlpm.CSVVal,_xlfn.XLOOKUP($A1061,CSV!$A:$A,CSV!I:I,""),
_xlpm.MacVal,_xlfn.XLOOKUP($A1061,Output_Mac!$A:$A,Output_Mac!J:J,""),
_xlpm.MyAuditVal,_xlfn.XLOOKUP($A1061,My_Audit!$A:$A,My_Audit!I:I,""),
_xlfn.IFS(_xlpm.MyAuditVal&lt;&gt;"",UPPER(_xlpm.MyAuditVal),_xlpm.MacVal&lt;&gt;"",_xlpm.MacVal,_xlpm.CSVVal&lt;&gt;"",_xlpm.CSVVal
)),"")</f>
        <v/>
      </c>
      <c r="K1061" s="40" t="str" cm="1">
        <f t="array" ref="K1061">IFERROR(_xlfn.LET(
_xlpm.CSVVal,_xlfn.XLOOKUP($A1061,CSV!$A:$A,CSV!K:K,""),
_xlpm.MacVal,_xlfn.XLOOKUP($A1061,Output_Mac!$A:$A,Output_Mac!K:K,""),
_xlpm.MyAuditVal,_xlfn.XLOOKUP($A1061,My_Audit!$A:$A,My_Audit!J:J,""),
_xlfn.IFS(_xlpm.MyAuditVal&lt;&gt;"",UPPER(_xlpm.MyAuditVal),_xlpm.MacVal&lt;&gt;"",_xlpm.MacVal,_xlpm.CSVVal&lt;&gt;"",_xlpm.CSVVal
)),"")</f>
        <v/>
      </c>
      <c r="L1061" s="40" t="str" cm="1">
        <f t="array" ref="L1061">IFERROR(_xlfn.LET(
_xlpm.CSVVal,_xlfn.XLOOKUP($A1061,CSV!$A:$A,CSV!P:P,""),
_xlpm.MacVal,_xlfn.XLOOKUP($A1061,Output_Mac!$A:$A,Output_Mac!L:L,""),
_xlpm.MyAuditVal,_xlfn.XLOOKUP($A1061,My_Audit!$A:$A,My_Audit!K:K,""),
_xlfn.IFS(_xlpm.MyAuditVal&lt;&gt;"",UPPER(_xlpm.MyAuditVal),_xlpm.MacVal&lt;&gt;"",_xlpm.MacVal,_xlpm.CSVVal&lt;&gt;"",_xlpm.CSVVal
)),"")</f>
        <v/>
      </c>
      <c r="M1061" s="40" t="str" cm="1">
        <f t="array" ref="M1061">IFERROR(_xlfn.LET(
_xlpm.CSVVal,_xlfn.XLOOKUP($A1061,CSV!$A:$A,CSV!Q:Q,""),
_xlpm.MacVal,_xlfn.XLOOKUP($A1061,Output_Mac!$A:$A,Output_Mac!M:M,""),
_xlpm.MyAuditVal,_xlfn.XLOOKUP($A1061,My_Audit!$A:$A,My_Audit!L:L,""),
_xlfn.IFS(_xlpm.MyAuditVal&lt;&gt;"",UPPER(_xlpm.MyAuditVal),_xlpm.MacVal&lt;&gt;"",_xlpm.MacVal,_xlpm.CSVVal&lt;&gt;"",_xlpm.CSVVal
)),"")</f>
        <v/>
      </c>
      <c r="N1061" s="40"/>
      <c r="O1061" s="40" t="str">
        <f>_xlfn.LET(
    _xlpm.CSVVal, _xlfn.XLOOKUP($A1061, CSV!$A:$A, CSV!AA:AA, ""),
    _xlpm.MacVal, _xlfn.XLOOKUP($A1061, Output_Mac!$A:$A, Output_Mac!S:S, ""),
    _xlpm.MyAuditVal, _xlfn.XLOOKUP($A1061, My_Audit!$A:$A, My_Audit!P:P, ""),
    _xlfn.TEXTJOIN(", ", TRUE, _xlpm.MyAuditVal, _xlpm.MacVal, _xlpm.CSVVal)
)</f>
        <v/>
      </c>
      <c r="P1061" s="40" t="str" cm="1">
        <f t="array" ref="P1061">IFERROR(_xlfn.LET(
_xlpm.CSVVal,_xlfn.XLOOKUP($A1061,CSV!$A:$A,CSV!AB:AB,""),
_xlpm.MacVal,_xlfn.XLOOKUP($A1061,Output_Mac!$A:$A,Output_Mac!T:T,""),
_xlpm.MyAuditVal,_xlfn.XLOOKUP($A1061,My_Audit!$A:$A,My_Audit!Q:Q,""),
_xlfn.IFS(_xlpm.MyAuditVal&lt;&gt;"",UPPER(_xlpm.MyAuditVal),_xlpm.MacVal&lt;&gt;"",_xlpm.MacVal,_xlpm.CSVVal&lt;&gt;"",_xlpm.CSVVal
)),"No")</f>
        <v>No</v>
      </c>
      <c r="Q1061" s="40" t="str" cm="1">
        <f t="array" ref="Q1061">IFERROR(_xlfn.LET(
_xlpm.CSVVal,_xlfn.XLOOKUP($A1061,CSV!$A:$A,CSV!AC:AC,""),
_xlpm.MacVal,_xlfn.XLOOKUP($A1061,Output_Mac!$A:$A,Output_Mac!U:U,""),
_xlpm.MyAuditVal,_xlfn.XLOOKUP($A1061,My_Audit!$A:$A,My_Audit!R:R,""),
_xlfn.IFS(_xlpm.MyAuditVal&lt;&gt;"",UPPER(_xlpm.MyAuditVal),_xlpm.MacVal&lt;&gt;"",_xlpm.MacVal,_xlpm.CSVVal&lt;&gt;"",_xlpm.CSVVal
)),"")</f>
        <v/>
      </c>
      <c r="R1061" s="40"/>
      <c r="S1061" s="40"/>
      <c r="T1061" s="40"/>
      <c r="U1061" s="40"/>
      <c r="V1061" s="40"/>
      <c r="W1061" s="40"/>
      <c r="X1061" s="41" t="str">
        <f>_xlfn.LET(
    _xlpm.MacVal, _xlfn.XLOOKUP($A1061, Output_Mac!$A:$A, Output_Mac!AB:AB, ""),
    _xlpm.MyAuditVal, _xlfn.XLOOKUP($A1061, My_Audit!$A:$A, My_Audit!N:N, ""),
    _xlfn.TEXTJOIN(", ", TRUE, _xlpm.MyAuditVal, _xlpm.MacVal)
)</f>
        <v/>
      </c>
    </row>
    <row r="1062" spans="1:24">
      <c r="A1062" s="40" t="str">
        <f>_xlfn.TEXTJOIN("",TRUE,Input!$B$2,ROW(My_Audit!A1061))</f>
        <v>X1061</v>
      </c>
      <c r="B1062" s="40" t="str">
        <f>_xlfn.TEXTJOIN("-",TRUE,"ITD",Input!$A$2,A1062)</f>
        <v>ITD-X1061</v>
      </c>
      <c r="C1062" s="40" t="str" cm="1">
        <f t="array" ref="C1062">IFERROR(_xlfn.LET(
_xlpm.CSVVal,_xlfn.XLOOKUP($A1062,CSV!$A:$A,CSV!B:B,""),
_xlpm.MacVal,_xlfn.XLOOKUP($A1062,Output_Mac!$A:$A,Output_Mac!B:B,""),
_xlpm.MyAuditVal,_xlfn.XLOOKUP($A1062,My_Audit!$A:$A,My_Audit!B:B,""),
_xlfn.IFS(_xlpm.MyAuditVal&lt;&gt;"",UPPER(_xlpm.MyAuditVal),_xlpm.MacVal&lt;&gt;"",_xlpm.MacVal,_xlpm.CSVVal&lt;&gt;"",_xlpm.CSVVal
)),"")</f>
        <v/>
      </c>
      <c r="D1062" s="40" t="str" cm="1">
        <f t="array" ref="D1062">IFERROR(_xlfn.LET(
_xlpm.CSVVal,_xlfn.XLOOKUP($A1062,CSV!$A:$A,CSV!D:D,""),
_xlpm.MacVal,_xlfn.XLOOKUP($A1062,Output_Mac!$A:$A,Output_Mac!C:C,""),
_xlpm.MyAuditVal,_xlfn.XLOOKUP($A1062,My_Audit!$A:$A,My_Audit!C:C,""),
_xlfn.IFS(_xlpm.MyAuditVal&lt;&gt;"",_xlpm.MyAuditVal,_xlpm.MacVal&lt;&gt;"",_xlpm.MacVal,_xlpm.CSVVal&lt;&gt;"",_xlpm.CSVVal
)),"")</f>
        <v/>
      </c>
      <c r="E1062" s="40" t="str">
        <f>_xlfn.XLOOKUP(A1062,My_Audit!A:A,My_Audit!D:D,"")</f>
        <v/>
      </c>
      <c r="F1062" s="40" t="str" cm="1">
        <f t="array" ref="F1062">IFERROR(_xlfn.LET(
_xlpm.CSVVal,_xlfn.XLOOKUP($A1062,CSV!$A:$A,CSV!F:F,""),
_xlpm.MacVal,_xlfn.XLOOKUP($A1062,Output_Mac!$A:$A,Output_Mac!E:E,""),
_xlpm.MyAuditVal,_xlfn.XLOOKUP($A1062,My_Audit!$A:$A,My_Audit!E:E,""),
_xlfn.IFS(_xlpm.MyAuditVal&lt;&gt;"",_xlpm.MyAuditVal,_xlpm.MacVal&lt;&gt;"",_xlpm.MacVal,_xlpm.CSVVal&lt;&gt;"",_xlpm.CSVVal
)),"")</f>
        <v/>
      </c>
      <c r="G1062" s="40" t="str" cm="1">
        <f t="array" ref="G1062">IFERROR(_xlfn.LET(
_xlpm.CSVVal,_xlfn.XLOOKUP($A1062,CSV!$A:$A,CSV!G:G,""),
_xlpm.MacVal,_xlfn.XLOOKUP($A1062,Output_Mac!$A:$A,Output_Mac!F:F,""),
_xlpm.MyAuditVal,_xlfn.XLOOKUP($A1062,My_Audit!$A:$A,My_Audit!F:F,""),
_xlfn.IFS(_xlpm.MyAuditVal&lt;&gt;"",_xlpm.MyAuditVal,_xlpm.MacVal&lt;&gt;"",_xlpm.MacVal,_xlpm.CSVVal&lt;&gt;"",PROPER(_xlpm.CSVVal)
)),"")</f>
        <v/>
      </c>
      <c r="H1062" s="40" t="str" cm="1">
        <f t="array" ref="H1062">IFERROR(_xlfn.LET(
_xlpm.CSVVal,_xlfn.XLOOKUP($A1062,CSV!$A:$A,CSV!H:H,""),
_xlpm.MacVal,_xlfn.XLOOKUP($A1062,Output_Mac!$A:$A,Output_Mac!H:H,""),
_xlpm.MyAuditVal,_xlfn.XLOOKUP($A1062,My_Audit!$A:$A,My_Audit!G:G,""),
_xlfn.IFS(_xlpm.MyAuditVal&lt;&gt;"",_xlpm.MyAuditVal,_xlpm.MacVal&lt;&gt;"",_xlpm.MacVal,_xlpm.CSVVal&lt;&gt;"",_xlpm.CSVVal
)),"")</f>
        <v/>
      </c>
      <c r="I1062" s="40" t="str">
        <f>_xlfn.XLOOKUP(A1062,Output_Mac!A:A,Output_Mac!I:I,"")</f>
        <v/>
      </c>
      <c r="J1062" s="40" t="str" cm="1">
        <f t="array" ref="J1062">IFERROR(_xlfn.LET(
_xlpm.CSVVal,_xlfn.XLOOKUP($A1062,CSV!$A:$A,CSV!I:I,""),
_xlpm.MacVal,_xlfn.XLOOKUP($A1062,Output_Mac!$A:$A,Output_Mac!J:J,""),
_xlpm.MyAuditVal,_xlfn.XLOOKUP($A1062,My_Audit!$A:$A,My_Audit!I:I,""),
_xlfn.IFS(_xlpm.MyAuditVal&lt;&gt;"",UPPER(_xlpm.MyAuditVal),_xlpm.MacVal&lt;&gt;"",_xlpm.MacVal,_xlpm.CSVVal&lt;&gt;"",_xlpm.CSVVal
)),"")</f>
        <v/>
      </c>
      <c r="K1062" s="40" t="str" cm="1">
        <f t="array" ref="K1062">IFERROR(_xlfn.LET(
_xlpm.CSVVal,_xlfn.XLOOKUP($A1062,CSV!$A:$A,CSV!K:K,""),
_xlpm.MacVal,_xlfn.XLOOKUP($A1062,Output_Mac!$A:$A,Output_Mac!K:K,""),
_xlpm.MyAuditVal,_xlfn.XLOOKUP($A1062,My_Audit!$A:$A,My_Audit!J:J,""),
_xlfn.IFS(_xlpm.MyAuditVal&lt;&gt;"",UPPER(_xlpm.MyAuditVal),_xlpm.MacVal&lt;&gt;"",_xlpm.MacVal,_xlpm.CSVVal&lt;&gt;"",_xlpm.CSVVal
)),"")</f>
        <v/>
      </c>
      <c r="L1062" s="40" t="str" cm="1">
        <f t="array" ref="L1062">IFERROR(_xlfn.LET(
_xlpm.CSVVal,_xlfn.XLOOKUP($A1062,CSV!$A:$A,CSV!P:P,""),
_xlpm.MacVal,_xlfn.XLOOKUP($A1062,Output_Mac!$A:$A,Output_Mac!L:L,""),
_xlpm.MyAuditVal,_xlfn.XLOOKUP($A1062,My_Audit!$A:$A,My_Audit!K:K,""),
_xlfn.IFS(_xlpm.MyAuditVal&lt;&gt;"",UPPER(_xlpm.MyAuditVal),_xlpm.MacVal&lt;&gt;"",_xlpm.MacVal,_xlpm.CSVVal&lt;&gt;"",_xlpm.CSVVal
)),"")</f>
        <v/>
      </c>
      <c r="M1062" s="40" t="str" cm="1">
        <f t="array" ref="M1062">IFERROR(_xlfn.LET(
_xlpm.CSVVal,_xlfn.XLOOKUP($A1062,CSV!$A:$A,CSV!Q:Q,""),
_xlpm.MacVal,_xlfn.XLOOKUP($A1062,Output_Mac!$A:$A,Output_Mac!M:M,""),
_xlpm.MyAuditVal,_xlfn.XLOOKUP($A1062,My_Audit!$A:$A,My_Audit!L:L,""),
_xlfn.IFS(_xlpm.MyAuditVal&lt;&gt;"",UPPER(_xlpm.MyAuditVal),_xlpm.MacVal&lt;&gt;"",_xlpm.MacVal,_xlpm.CSVVal&lt;&gt;"",_xlpm.CSVVal
)),"")</f>
        <v/>
      </c>
      <c r="N1062" s="40"/>
      <c r="O1062" s="40" t="str">
        <f>_xlfn.LET(
    _xlpm.CSVVal, _xlfn.XLOOKUP($A1062, CSV!$A:$A, CSV!AA:AA, ""),
    _xlpm.MacVal, _xlfn.XLOOKUP($A1062, Output_Mac!$A:$A, Output_Mac!S:S, ""),
    _xlpm.MyAuditVal, _xlfn.XLOOKUP($A1062, My_Audit!$A:$A, My_Audit!P:P, ""),
    _xlfn.TEXTJOIN(", ", TRUE, _xlpm.MyAuditVal, _xlpm.MacVal, _xlpm.CSVVal)
)</f>
        <v/>
      </c>
      <c r="P1062" s="40" t="str" cm="1">
        <f t="array" ref="P1062">IFERROR(_xlfn.LET(
_xlpm.CSVVal,_xlfn.XLOOKUP($A1062,CSV!$A:$A,CSV!AB:AB,""),
_xlpm.MacVal,_xlfn.XLOOKUP($A1062,Output_Mac!$A:$A,Output_Mac!T:T,""),
_xlpm.MyAuditVal,_xlfn.XLOOKUP($A1062,My_Audit!$A:$A,My_Audit!Q:Q,""),
_xlfn.IFS(_xlpm.MyAuditVal&lt;&gt;"",UPPER(_xlpm.MyAuditVal),_xlpm.MacVal&lt;&gt;"",_xlpm.MacVal,_xlpm.CSVVal&lt;&gt;"",_xlpm.CSVVal
)),"No")</f>
        <v>No</v>
      </c>
      <c r="Q1062" s="40" t="str" cm="1">
        <f t="array" ref="Q1062">IFERROR(_xlfn.LET(
_xlpm.CSVVal,_xlfn.XLOOKUP($A1062,CSV!$A:$A,CSV!AC:AC,""),
_xlpm.MacVal,_xlfn.XLOOKUP($A1062,Output_Mac!$A:$A,Output_Mac!U:U,""),
_xlpm.MyAuditVal,_xlfn.XLOOKUP($A1062,My_Audit!$A:$A,My_Audit!R:R,""),
_xlfn.IFS(_xlpm.MyAuditVal&lt;&gt;"",UPPER(_xlpm.MyAuditVal),_xlpm.MacVal&lt;&gt;"",_xlpm.MacVal,_xlpm.CSVVal&lt;&gt;"",_xlpm.CSVVal
)),"")</f>
        <v/>
      </c>
      <c r="R1062" s="40"/>
      <c r="S1062" s="40"/>
      <c r="T1062" s="40"/>
      <c r="U1062" s="40"/>
      <c r="V1062" s="40"/>
      <c r="W1062" s="40"/>
      <c r="X1062" s="41" t="str">
        <f>_xlfn.LET(
    _xlpm.MacVal, _xlfn.XLOOKUP($A1062, Output_Mac!$A:$A, Output_Mac!AB:AB, ""),
    _xlpm.MyAuditVal, _xlfn.XLOOKUP($A1062, My_Audit!$A:$A, My_Audit!N:N, ""),
    _xlfn.TEXTJOIN(", ", TRUE, _xlpm.MyAuditVal, _xlpm.MacVal)
)</f>
        <v/>
      </c>
    </row>
    <row r="1063" spans="1:24">
      <c r="A1063" s="40" t="str">
        <f>_xlfn.TEXTJOIN("",TRUE,Input!$B$2,ROW(My_Audit!A1062))</f>
        <v>X1062</v>
      </c>
      <c r="B1063" s="40" t="str">
        <f>_xlfn.TEXTJOIN("-",TRUE,"ITD",Input!$A$2,A1063)</f>
        <v>ITD-X1062</v>
      </c>
      <c r="C1063" s="40" t="str" cm="1">
        <f t="array" ref="C1063">IFERROR(_xlfn.LET(
_xlpm.CSVVal,_xlfn.XLOOKUP($A1063,CSV!$A:$A,CSV!B:B,""),
_xlpm.MacVal,_xlfn.XLOOKUP($A1063,Output_Mac!$A:$A,Output_Mac!B:B,""),
_xlpm.MyAuditVal,_xlfn.XLOOKUP($A1063,My_Audit!$A:$A,My_Audit!B:B,""),
_xlfn.IFS(_xlpm.MyAuditVal&lt;&gt;"",UPPER(_xlpm.MyAuditVal),_xlpm.MacVal&lt;&gt;"",_xlpm.MacVal,_xlpm.CSVVal&lt;&gt;"",_xlpm.CSVVal
)),"")</f>
        <v/>
      </c>
      <c r="D1063" s="40" t="str" cm="1">
        <f t="array" ref="D1063">IFERROR(_xlfn.LET(
_xlpm.CSVVal,_xlfn.XLOOKUP($A1063,CSV!$A:$A,CSV!D:D,""),
_xlpm.MacVal,_xlfn.XLOOKUP($A1063,Output_Mac!$A:$A,Output_Mac!C:C,""),
_xlpm.MyAuditVal,_xlfn.XLOOKUP($A1063,My_Audit!$A:$A,My_Audit!C:C,""),
_xlfn.IFS(_xlpm.MyAuditVal&lt;&gt;"",_xlpm.MyAuditVal,_xlpm.MacVal&lt;&gt;"",_xlpm.MacVal,_xlpm.CSVVal&lt;&gt;"",_xlpm.CSVVal
)),"")</f>
        <v/>
      </c>
      <c r="E1063" s="40" t="str">
        <f>_xlfn.XLOOKUP(A1063,My_Audit!A:A,My_Audit!D:D,"")</f>
        <v/>
      </c>
      <c r="F1063" s="40" t="str" cm="1">
        <f t="array" ref="F1063">IFERROR(_xlfn.LET(
_xlpm.CSVVal,_xlfn.XLOOKUP($A1063,CSV!$A:$A,CSV!F:F,""),
_xlpm.MacVal,_xlfn.XLOOKUP($A1063,Output_Mac!$A:$A,Output_Mac!E:E,""),
_xlpm.MyAuditVal,_xlfn.XLOOKUP($A1063,My_Audit!$A:$A,My_Audit!E:E,""),
_xlfn.IFS(_xlpm.MyAuditVal&lt;&gt;"",_xlpm.MyAuditVal,_xlpm.MacVal&lt;&gt;"",_xlpm.MacVal,_xlpm.CSVVal&lt;&gt;"",_xlpm.CSVVal
)),"")</f>
        <v/>
      </c>
      <c r="G1063" s="40" t="str" cm="1">
        <f t="array" ref="G1063">IFERROR(_xlfn.LET(
_xlpm.CSVVal,_xlfn.XLOOKUP($A1063,CSV!$A:$A,CSV!G:G,""),
_xlpm.MacVal,_xlfn.XLOOKUP($A1063,Output_Mac!$A:$A,Output_Mac!F:F,""),
_xlpm.MyAuditVal,_xlfn.XLOOKUP($A1063,My_Audit!$A:$A,My_Audit!F:F,""),
_xlfn.IFS(_xlpm.MyAuditVal&lt;&gt;"",_xlpm.MyAuditVal,_xlpm.MacVal&lt;&gt;"",_xlpm.MacVal,_xlpm.CSVVal&lt;&gt;"",PROPER(_xlpm.CSVVal)
)),"")</f>
        <v/>
      </c>
      <c r="H1063" s="40" t="str" cm="1">
        <f t="array" ref="H1063">IFERROR(_xlfn.LET(
_xlpm.CSVVal,_xlfn.XLOOKUP($A1063,CSV!$A:$A,CSV!H:H,""),
_xlpm.MacVal,_xlfn.XLOOKUP($A1063,Output_Mac!$A:$A,Output_Mac!H:H,""),
_xlpm.MyAuditVal,_xlfn.XLOOKUP($A1063,My_Audit!$A:$A,My_Audit!G:G,""),
_xlfn.IFS(_xlpm.MyAuditVal&lt;&gt;"",_xlpm.MyAuditVal,_xlpm.MacVal&lt;&gt;"",_xlpm.MacVal,_xlpm.CSVVal&lt;&gt;"",_xlpm.CSVVal
)),"")</f>
        <v/>
      </c>
      <c r="I1063" s="40" t="str">
        <f>_xlfn.XLOOKUP(A1063,Output_Mac!A:A,Output_Mac!I:I,"")</f>
        <v/>
      </c>
      <c r="J1063" s="40" t="str" cm="1">
        <f t="array" ref="J1063">IFERROR(_xlfn.LET(
_xlpm.CSVVal,_xlfn.XLOOKUP($A1063,CSV!$A:$A,CSV!I:I,""),
_xlpm.MacVal,_xlfn.XLOOKUP($A1063,Output_Mac!$A:$A,Output_Mac!J:J,""),
_xlpm.MyAuditVal,_xlfn.XLOOKUP($A1063,My_Audit!$A:$A,My_Audit!I:I,""),
_xlfn.IFS(_xlpm.MyAuditVal&lt;&gt;"",UPPER(_xlpm.MyAuditVal),_xlpm.MacVal&lt;&gt;"",_xlpm.MacVal,_xlpm.CSVVal&lt;&gt;"",_xlpm.CSVVal
)),"")</f>
        <v/>
      </c>
      <c r="K1063" s="40" t="str" cm="1">
        <f t="array" ref="K1063">IFERROR(_xlfn.LET(
_xlpm.CSVVal,_xlfn.XLOOKUP($A1063,CSV!$A:$A,CSV!K:K,""),
_xlpm.MacVal,_xlfn.XLOOKUP($A1063,Output_Mac!$A:$A,Output_Mac!K:K,""),
_xlpm.MyAuditVal,_xlfn.XLOOKUP($A1063,My_Audit!$A:$A,My_Audit!J:J,""),
_xlfn.IFS(_xlpm.MyAuditVal&lt;&gt;"",UPPER(_xlpm.MyAuditVal),_xlpm.MacVal&lt;&gt;"",_xlpm.MacVal,_xlpm.CSVVal&lt;&gt;"",_xlpm.CSVVal
)),"")</f>
        <v/>
      </c>
      <c r="L1063" s="40" t="str" cm="1">
        <f t="array" ref="L1063">IFERROR(_xlfn.LET(
_xlpm.CSVVal,_xlfn.XLOOKUP($A1063,CSV!$A:$A,CSV!P:P,""),
_xlpm.MacVal,_xlfn.XLOOKUP($A1063,Output_Mac!$A:$A,Output_Mac!L:L,""),
_xlpm.MyAuditVal,_xlfn.XLOOKUP($A1063,My_Audit!$A:$A,My_Audit!K:K,""),
_xlfn.IFS(_xlpm.MyAuditVal&lt;&gt;"",UPPER(_xlpm.MyAuditVal),_xlpm.MacVal&lt;&gt;"",_xlpm.MacVal,_xlpm.CSVVal&lt;&gt;"",_xlpm.CSVVal
)),"")</f>
        <v/>
      </c>
      <c r="M1063" s="40" t="str" cm="1">
        <f t="array" ref="M1063">IFERROR(_xlfn.LET(
_xlpm.CSVVal,_xlfn.XLOOKUP($A1063,CSV!$A:$A,CSV!Q:Q,""),
_xlpm.MacVal,_xlfn.XLOOKUP($A1063,Output_Mac!$A:$A,Output_Mac!M:M,""),
_xlpm.MyAuditVal,_xlfn.XLOOKUP($A1063,My_Audit!$A:$A,My_Audit!L:L,""),
_xlfn.IFS(_xlpm.MyAuditVal&lt;&gt;"",UPPER(_xlpm.MyAuditVal),_xlpm.MacVal&lt;&gt;"",_xlpm.MacVal,_xlpm.CSVVal&lt;&gt;"",_xlpm.CSVVal
)),"")</f>
        <v/>
      </c>
      <c r="N1063" s="40"/>
      <c r="O1063" s="40" t="str">
        <f>_xlfn.LET(
    _xlpm.CSVVal, _xlfn.XLOOKUP($A1063, CSV!$A:$A, CSV!AA:AA, ""),
    _xlpm.MacVal, _xlfn.XLOOKUP($A1063, Output_Mac!$A:$A, Output_Mac!S:S, ""),
    _xlpm.MyAuditVal, _xlfn.XLOOKUP($A1063, My_Audit!$A:$A, My_Audit!P:P, ""),
    _xlfn.TEXTJOIN(", ", TRUE, _xlpm.MyAuditVal, _xlpm.MacVal, _xlpm.CSVVal)
)</f>
        <v/>
      </c>
      <c r="P1063" s="40" t="str" cm="1">
        <f t="array" ref="P1063">IFERROR(_xlfn.LET(
_xlpm.CSVVal,_xlfn.XLOOKUP($A1063,CSV!$A:$A,CSV!AB:AB,""),
_xlpm.MacVal,_xlfn.XLOOKUP($A1063,Output_Mac!$A:$A,Output_Mac!T:T,""),
_xlpm.MyAuditVal,_xlfn.XLOOKUP($A1063,My_Audit!$A:$A,My_Audit!Q:Q,""),
_xlfn.IFS(_xlpm.MyAuditVal&lt;&gt;"",UPPER(_xlpm.MyAuditVal),_xlpm.MacVal&lt;&gt;"",_xlpm.MacVal,_xlpm.CSVVal&lt;&gt;"",_xlpm.CSVVal
)),"No")</f>
        <v>No</v>
      </c>
      <c r="Q1063" s="40" t="str" cm="1">
        <f t="array" ref="Q1063">IFERROR(_xlfn.LET(
_xlpm.CSVVal,_xlfn.XLOOKUP($A1063,CSV!$A:$A,CSV!AC:AC,""),
_xlpm.MacVal,_xlfn.XLOOKUP($A1063,Output_Mac!$A:$A,Output_Mac!U:U,""),
_xlpm.MyAuditVal,_xlfn.XLOOKUP($A1063,My_Audit!$A:$A,My_Audit!R:R,""),
_xlfn.IFS(_xlpm.MyAuditVal&lt;&gt;"",UPPER(_xlpm.MyAuditVal),_xlpm.MacVal&lt;&gt;"",_xlpm.MacVal,_xlpm.CSVVal&lt;&gt;"",_xlpm.CSVVal
)),"")</f>
        <v/>
      </c>
      <c r="R1063" s="40"/>
      <c r="S1063" s="40"/>
      <c r="T1063" s="40"/>
      <c r="U1063" s="40"/>
      <c r="V1063" s="40"/>
      <c r="W1063" s="40"/>
      <c r="X1063" s="41" t="str">
        <f>_xlfn.LET(
    _xlpm.MacVal, _xlfn.XLOOKUP($A1063, Output_Mac!$A:$A, Output_Mac!AB:AB, ""),
    _xlpm.MyAuditVal, _xlfn.XLOOKUP($A1063, My_Audit!$A:$A, My_Audit!N:N, ""),
    _xlfn.TEXTJOIN(", ", TRUE, _xlpm.MyAuditVal, _xlpm.MacVal)
)</f>
        <v/>
      </c>
    </row>
    <row r="1064" spans="1:24">
      <c r="A1064" s="40" t="str">
        <f>_xlfn.TEXTJOIN("",TRUE,Input!$B$2,ROW(My_Audit!A1063))</f>
        <v>X1063</v>
      </c>
      <c r="B1064" s="40" t="str">
        <f>_xlfn.TEXTJOIN("-",TRUE,"ITD",Input!$A$2,A1064)</f>
        <v>ITD-X1063</v>
      </c>
      <c r="C1064" s="40" t="str" cm="1">
        <f t="array" ref="C1064">IFERROR(_xlfn.LET(
_xlpm.CSVVal,_xlfn.XLOOKUP($A1064,CSV!$A:$A,CSV!B:B,""),
_xlpm.MacVal,_xlfn.XLOOKUP($A1064,Output_Mac!$A:$A,Output_Mac!B:B,""),
_xlpm.MyAuditVal,_xlfn.XLOOKUP($A1064,My_Audit!$A:$A,My_Audit!B:B,""),
_xlfn.IFS(_xlpm.MyAuditVal&lt;&gt;"",UPPER(_xlpm.MyAuditVal),_xlpm.MacVal&lt;&gt;"",_xlpm.MacVal,_xlpm.CSVVal&lt;&gt;"",_xlpm.CSVVal
)),"")</f>
        <v/>
      </c>
      <c r="D1064" s="40" t="str" cm="1">
        <f t="array" ref="D1064">IFERROR(_xlfn.LET(
_xlpm.CSVVal,_xlfn.XLOOKUP($A1064,CSV!$A:$A,CSV!D:D,""),
_xlpm.MacVal,_xlfn.XLOOKUP($A1064,Output_Mac!$A:$A,Output_Mac!C:C,""),
_xlpm.MyAuditVal,_xlfn.XLOOKUP($A1064,My_Audit!$A:$A,My_Audit!C:C,""),
_xlfn.IFS(_xlpm.MyAuditVal&lt;&gt;"",_xlpm.MyAuditVal,_xlpm.MacVal&lt;&gt;"",_xlpm.MacVal,_xlpm.CSVVal&lt;&gt;"",_xlpm.CSVVal
)),"")</f>
        <v/>
      </c>
      <c r="E1064" s="40" t="str">
        <f>_xlfn.XLOOKUP(A1064,My_Audit!A:A,My_Audit!D:D,"")</f>
        <v/>
      </c>
      <c r="F1064" s="40" t="str" cm="1">
        <f t="array" ref="F1064">IFERROR(_xlfn.LET(
_xlpm.CSVVal,_xlfn.XLOOKUP($A1064,CSV!$A:$A,CSV!F:F,""),
_xlpm.MacVal,_xlfn.XLOOKUP($A1064,Output_Mac!$A:$A,Output_Mac!E:E,""),
_xlpm.MyAuditVal,_xlfn.XLOOKUP($A1064,My_Audit!$A:$A,My_Audit!E:E,""),
_xlfn.IFS(_xlpm.MyAuditVal&lt;&gt;"",_xlpm.MyAuditVal,_xlpm.MacVal&lt;&gt;"",_xlpm.MacVal,_xlpm.CSVVal&lt;&gt;"",_xlpm.CSVVal
)),"")</f>
        <v/>
      </c>
      <c r="G1064" s="40" t="str" cm="1">
        <f t="array" ref="G1064">IFERROR(_xlfn.LET(
_xlpm.CSVVal,_xlfn.XLOOKUP($A1064,CSV!$A:$A,CSV!G:G,""),
_xlpm.MacVal,_xlfn.XLOOKUP($A1064,Output_Mac!$A:$A,Output_Mac!F:F,""),
_xlpm.MyAuditVal,_xlfn.XLOOKUP($A1064,My_Audit!$A:$A,My_Audit!F:F,""),
_xlfn.IFS(_xlpm.MyAuditVal&lt;&gt;"",_xlpm.MyAuditVal,_xlpm.MacVal&lt;&gt;"",_xlpm.MacVal,_xlpm.CSVVal&lt;&gt;"",PROPER(_xlpm.CSVVal)
)),"")</f>
        <v/>
      </c>
      <c r="H1064" s="40" t="str" cm="1">
        <f t="array" ref="H1064">IFERROR(_xlfn.LET(
_xlpm.CSVVal,_xlfn.XLOOKUP($A1064,CSV!$A:$A,CSV!H:H,""),
_xlpm.MacVal,_xlfn.XLOOKUP($A1064,Output_Mac!$A:$A,Output_Mac!H:H,""),
_xlpm.MyAuditVal,_xlfn.XLOOKUP($A1064,My_Audit!$A:$A,My_Audit!G:G,""),
_xlfn.IFS(_xlpm.MyAuditVal&lt;&gt;"",_xlpm.MyAuditVal,_xlpm.MacVal&lt;&gt;"",_xlpm.MacVal,_xlpm.CSVVal&lt;&gt;"",_xlpm.CSVVal
)),"")</f>
        <v/>
      </c>
      <c r="I1064" s="40" t="str">
        <f>_xlfn.XLOOKUP(A1064,Output_Mac!A:A,Output_Mac!I:I,"")</f>
        <v/>
      </c>
      <c r="J1064" s="40" t="str" cm="1">
        <f t="array" ref="J1064">IFERROR(_xlfn.LET(
_xlpm.CSVVal,_xlfn.XLOOKUP($A1064,CSV!$A:$A,CSV!I:I,""),
_xlpm.MacVal,_xlfn.XLOOKUP($A1064,Output_Mac!$A:$A,Output_Mac!J:J,""),
_xlpm.MyAuditVal,_xlfn.XLOOKUP($A1064,My_Audit!$A:$A,My_Audit!I:I,""),
_xlfn.IFS(_xlpm.MyAuditVal&lt;&gt;"",UPPER(_xlpm.MyAuditVal),_xlpm.MacVal&lt;&gt;"",_xlpm.MacVal,_xlpm.CSVVal&lt;&gt;"",_xlpm.CSVVal
)),"")</f>
        <v/>
      </c>
      <c r="K1064" s="40" t="str" cm="1">
        <f t="array" ref="K1064">IFERROR(_xlfn.LET(
_xlpm.CSVVal,_xlfn.XLOOKUP($A1064,CSV!$A:$A,CSV!K:K,""),
_xlpm.MacVal,_xlfn.XLOOKUP($A1064,Output_Mac!$A:$A,Output_Mac!K:K,""),
_xlpm.MyAuditVal,_xlfn.XLOOKUP($A1064,My_Audit!$A:$A,My_Audit!J:J,""),
_xlfn.IFS(_xlpm.MyAuditVal&lt;&gt;"",UPPER(_xlpm.MyAuditVal),_xlpm.MacVal&lt;&gt;"",_xlpm.MacVal,_xlpm.CSVVal&lt;&gt;"",_xlpm.CSVVal
)),"")</f>
        <v/>
      </c>
      <c r="L1064" s="40" t="str" cm="1">
        <f t="array" ref="L1064">IFERROR(_xlfn.LET(
_xlpm.CSVVal,_xlfn.XLOOKUP($A1064,CSV!$A:$A,CSV!P:P,""),
_xlpm.MacVal,_xlfn.XLOOKUP($A1064,Output_Mac!$A:$A,Output_Mac!L:L,""),
_xlpm.MyAuditVal,_xlfn.XLOOKUP($A1064,My_Audit!$A:$A,My_Audit!K:K,""),
_xlfn.IFS(_xlpm.MyAuditVal&lt;&gt;"",UPPER(_xlpm.MyAuditVal),_xlpm.MacVal&lt;&gt;"",_xlpm.MacVal,_xlpm.CSVVal&lt;&gt;"",_xlpm.CSVVal
)),"")</f>
        <v/>
      </c>
      <c r="M1064" s="40" t="str" cm="1">
        <f t="array" ref="M1064">IFERROR(_xlfn.LET(
_xlpm.CSVVal,_xlfn.XLOOKUP($A1064,CSV!$A:$A,CSV!Q:Q,""),
_xlpm.MacVal,_xlfn.XLOOKUP($A1064,Output_Mac!$A:$A,Output_Mac!M:M,""),
_xlpm.MyAuditVal,_xlfn.XLOOKUP($A1064,My_Audit!$A:$A,My_Audit!L:L,""),
_xlfn.IFS(_xlpm.MyAuditVal&lt;&gt;"",UPPER(_xlpm.MyAuditVal),_xlpm.MacVal&lt;&gt;"",_xlpm.MacVal,_xlpm.CSVVal&lt;&gt;"",_xlpm.CSVVal
)),"")</f>
        <v/>
      </c>
      <c r="N1064" s="40"/>
      <c r="O1064" s="40" t="str">
        <f>_xlfn.LET(
    _xlpm.CSVVal, _xlfn.XLOOKUP($A1064, CSV!$A:$A, CSV!AA:AA, ""),
    _xlpm.MacVal, _xlfn.XLOOKUP($A1064, Output_Mac!$A:$A, Output_Mac!S:S, ""),
    _xlpm.MyAuditVal, _xlfn.XLOOKUP($A1064, My_Audit!$A:$A, My_Audit!P:P, ""),
    _xlfn.TEXTJOIN(", ", TRUE, _xlpm.MyAuditVal, _xlpm.MacVal, _xlpm.CSVVal)
)</f>
        <v/>
      </c>
      <c r="P1064" s="40" t="str" cm="1">
        <f t="array" ref="P1064">IFERROR(_xlfn.LET(
_xlpm.CSVVal,_xlfn.XLOOKUP($A1064,CSV!$A:$A,CSV!AB:AB,""),
_xlpm.MacVal,_xlfn.XLOOKUP($A1064,Output_Mac!$A:$A,Output_Mac!T:T,""),
_xlpm.MyAuditVal,_xlfn.XLOOKUP($A1064,My_Audit!$A:$A,My_Audit!Q:Q,""),
_xlfn.IFS(_xlpm.MyAuditVal&lt;&gt;"",UPPER(_xlpm.MyAuditVal),_xlpm.MacVal&lt;&gt;"",_xlpm.MacVal,_xlpm.CSVVal&lt;&gt;"",_xlpm.CSVVal
)),"No")</f>
        <v>No</v>
      </c>
      <c r="Q1064" s="40" t="str" cm="1">
        <f t="array" ref="Q1064">IFERROR(_xlfn.LET(
_xlpm.CSVVal,_xlfn.XLOOKUP($A1064,CSV!$A:$A,CSV!AC:AC,""),
_xlpm.MacVal,_xlfn.XLOOKUP($A1064,Output_Mac!$A:$A,Output_Mac!U:U,""),
_xlpm.MyAuditVal,_xlfn.XLOOKUP($A1064,My_Audit!$A:$A,My_Audit!R:R,""),
_xlfn.IFS(_xlpm.MyAuditVal&lt;&gt;"",UPPER(_xlpm.MyAuditVal),_xlpm.MacVal&lt;&gt;"",_xlpm.MacVal,_xlpm.CSVVal&lt;&gt;"",_xlpm.CSVVal
)),"")</f>
        <v/>
      </c>
      <c r="R1064" s="40"/>
      <c r="S1064" s="40"/>
      <c r="T1064" s="40"/>
      <c r="U1064" s="40"/>
      <c r="V1064" s="40"/>
      <c r="W1064" s="40"/>
      <c r="X1064" s="41" t="str">
        <f>_xlfn.LET(
    _xlpm.MacVal, _xlfn.XLOOKUP($A1064, Output_Mac!$A:$A, Output_Mac!AB:AB, ""),
    _xlpm.MyAuditVal, _xlfn.XLOOKUP($A1064, My_Audit!$A:$A, My_Audit!N:N, ""),
    _xlfn.TEXTJOIN(", ", TRUE, _xlpm.MyAuditVal, _xlpm.MacVal)
)</f>
        <v/>
      </c>
    </row>
    <row r="1065" spans="1:24">
      <c r="A1065" s="40" t="str">
        <f>_xlfn.TEXTJOIN("",TRUE,Input!$B$2,ROW(My_Audit!A1064))</f>
        <v>X1064</v>
      </c>
      <c r="B1065" s="40" t="str">
        <f>_xlfn.TEXTJOIN("-",TRUE,"ITD",Input!$A$2,A1065)</f>
        <v>ITD-X1064</v>
      </c>
      <c r="C1065" s="40" t="str" cm="1">
        <f t="array" ref="C1065">IFERROR(_xlfn.LET(
_xlpm.CSVVal,_xlfn.XLOOKUP($A1065,CSV!$A:$A,CSV!B:B,""),
_xlpm.MacVal,_xlfn.XLOOKUP($A1065,Output_Mac!$A:$A,Output_Mac!B:B,""),
_xlpm.MyAuditVal,_xlfn.XLOOKUP($A1065,My_Audit!$A:$A,My_Audit!B:B,""),
_xlfn.IFS(_xlpm.MyAuditVal&lt;&gt;"",UPPER(_xlpm.MyAuditVal),_xlpm.MacVal&lt;&gt;"",_xlpm.MacVal,_xlpm.CSVVal&lt;&gt;"",_xlpm.CSVVal
)),"")</f>
        <v/>
      </c>
      <c r="D1065" s="40" t="str" cm="1">
        <f t="array" ref="D1065">IFERROR(_xlfn.LET(
_xlpm.CSVVal,_xlfn.XLOOKUP($A1065,CSV!$A:$A,CSV!D:D,""),
_xlpm.MacVal,_xlfn.XLOOKUP($A1065,Output_Mac!$A:$A,Output_Mac!C:C,""),
_xlpm.MyAuditVal,_xlfn.XLOOKUP($A1065,My_Audit!$A:$A,My_Audit!C:C,""),
_xlfn.IFS(_xlpm.MyAuditVal&lt;&gt;"",_xlpm.MyAuditVal,_xlpm.MacVal&lt;&gt;"",_xlpm.MacVal,_xlpm.CSVVal&lt;&gt;"",_xlpm.CSVVal
)),"")</f>
        <v/>
      </c>
      <c r="E1065" s="40" t="str">
        <f>_xlfn.XLOOKUP(A1065,My_Audit!A:A,My_Audit!D:D,"")</f>
        <v/>
      </c>
      <c r="F1065" s="40" t="str" cm="1">
        <f t="array" ref="F1065">IFERROR(_xlfn.LET(
_xlpm.CSVVal,_xlfn.XLOOKUP($A1065,CSV!$A:$A,CSV!F:F,""),
_xlpm.MacVal,_xlfn.XLOOKUP($A1065,Output_Mac!$A:$A,Output_Mac!E:E,""),
_xlpm.MyAuditVal,_xlfn.XLOOKUP($A1065,My_Audit!$A:$A,My_Audit!E:E,""),
_xlfn.IFS(_xlpm.MyAuditVal&lt;&gt;"",_xlpm.MyAuditVal,_xlpm.MacVal&lt;&gt;"",_xlpm.MacVal,_xlpm.CSVVal&lt;&gt;"",_xlpm.CSVVal
)),"")</f>
        <v/>
      </c>
      <c r="G1065" s="40" t="str" cm="1">
        <f t="array" ref="G1065">IFERROR(_xlfn.LET(
_xlpm.CSVVal,_xlfn.XLOOKUP($A1065,CSV!$A:$A,CSV!G:G,""),
_xlpm.MacVal,_xlfn.XLOOKUP($A1065,Output_Mac!$A:$A,Output_Mac!F:F,""),
_xlpm.MyAuditVal,_xlfn.XLOOKUP($A1065,My_Audit!$A:$A,My_Audit!F:F,""),
_xlfn.IFS(_xlpm.MyAuditVal&lt;&gt;"",_xlpm.MyAuditVal,_xlpm.MacVal&lt;&gt;"",_xlpm.MacVal,_xlpm.CSVVal&lt;&gt;"",PROPER(_xlpm.CSVVal)
)),"")</f>
        <v/>
      </c>
      <c r="H1065" s="40" t="str" cm="1">
        <f t="array" ref="H1065">IFERROR(_xlfn.LET(
_xlpm.CSVVal,_xlfn.XLOOKUP($A1065,CSV!$A:$A,CSV!H:H,""),
_xlpm.MacVal,_xlfn.XLOOKUP($A1065,Output_Mac!$A:$A,Output_Mac!H:H,""),
_xlpm.MyAuditVal,_xlfn.XLOOKUP($A1065,My_Audit!$A:$A,My_Audit!G:G,""),
_xlfn.IFS(_xlpm.MyAuditVal&lt;&gt;"",_xlpm.MyAuditVal,_xlpm.MacVal&lt;&gt;"",_xlpm.MacVal,_xlpm.CSVVal&lt;&gt;"",_xlpm.CSVVal
)),"")</f>
        <v/>
      </c>
      <c r="I1065" s="40" t="str">
        <f>_xlfn.XLOOKUP(A1065,Output_Mac!A:A,Output_Mac!I:I,"")</f>
        <v/>
      </c>
      <c r="J1065" s="40" t="str" cm="1">
        <f t="array" ref="J1065">IFERROR(_xlfn.LET(
_xlpm.CSVVal,_xlfn.XLOOKUP($A1065,CSV!$A:$A,CSV!I:I,""),
_xlpm.MacVal,_xlfn.XLOOKUP($A1065,Output_Mac!$A:$A,Output_Mac!J:J,""),
_xlpm.MyAuditVal,_xlfn.XLOOKUP($A1065,My_Audit!$A:$A,My_Audit!I:I,""),
_xlfn.IFS(_xlpm.MyAuditVal&lt;&gt;"",UPPER(_xlpm.MyAuditVal),_xlpm.MacVal&lt;&gt;"",_xlpm.MacVal,_xlpm.CSVVal&lt;&gt;"",_xlpm.CSVVal
)),"")</f>
        <v/>
      </c>
      <c r="K1065" s="40" t="str" cm="1">
        <f t="array" ref="K1065">IFERROR(_xlfn.LET(
_xlpm.CSVVal,_xlfn.XLOOKUP($A1065,CSV!$A:$A,CSV!K:K,""),
_xlpm.MacVal,_xlfn.XLOOKUP($A1065,Output_Mac!$A:$A,Output_Mac!K:K,""),
_xlpm.MyAuditVal,_xlfn.XLOOKUP($A1065,My_Audit!$A:$A,My_Audit!J:J,""),
_xlfn.IFS(_xlpm.MyAuditVal&lt;&gt;"",UPPER(_xlpm.MyAuditVal),_xlpm.MacVal&lt;&gt;"",_xlpm.MacVal,_xlpm.CSVVal&lt;&gt;"",_xlpm.CSVVal
)),"")</f>
        <v/>
      </c>
      <c r="L1065" s="40" t="str" cm="1">
        <f t="array" ref="L1065">IFERROR(_xlfn.LET(
_xlpm.CSVVal,_xlfn.XLOOKUP($A1065,CSV!$A:$A,CSV!P:P,""),
_xlpm.MacVal,_xlfn.XLOOKUP($A1065,Output_Mac!$A:$A,Output_Mac!L:L,""),
_xlpm.MyAuditVal,_xlfn.XLOOKUP($A1065,My_Audit!$A:$A,My_Audit!K:K,""),
_xlfn.IFS(_xlpm.MyAuditVal&lt;&gt;"",UPPER(_xlpm.MyAuditVal),_xlpm.MacVal&lt;&gt;"",_xlpm.MacVal,_xlpm.CSVVal&lt;&gt;"",_xlpm.CSVVal
)),"")</f>
        <v/>
      </c>
      <c r="M1065" s="40" t="str" cm="1">
        <f t="array" ref="M1065">IFERROR(_xlfn.LET(
_xlpm.CSVVal,_xlfn.XLOOKUP($A1065,CSV!$A:$A,CSV!Q:Q,""),
_xlpm.MacVal,_xlfn.XLOOKUP($A1065,Output_Mac!$A:$A,Output_Mac!M:M,""),
_xlpm.MyAuditVal,_xlfn.XLOOKUP($A1065,My_Audit!$A:$A,My_Audit!L:L,""),
_xlfn.IFS(_xlpm.MyAuditVal&lt;&gt;"",UPPER(_xlpm.MyAuditVal),_xlpm.MacVal&lt;&gt;"",_xlpm.MacVal,_xlpm.CSVVal&lt;&gt;"",_xlpm.CSVVal
)),"")</f>
        <v/>
      </c>
      <c r="N1065" s="40"/>
      <c r="O1065" s="40" t="str">
        <f>_xlfn.LET(
    _xlpm.CSVVal, _xlfn.XLOOKUP($A1065, CSV!$A:$A, CSV!AA:AA, ""),
    _xlpm.MacVal, _xlfn.XLOOKUP($A1065, Output_Mac!$A:$A, Output_Mac!S:S, ""),
    _xlpm.MyAuditVal, _xlfn.XLOOKUP($A1065, My_Audit!$A:$A, My_Audit!P:P, ""),
    _xlfn.TEXTJOIN(", ", TRUE, _xlpm.MyAuditVal, _xlpm.MacVal, _xlpm.CSVVal)
)</f>
        <v/>
      </c>
      <c r="P1065" s="40" t="str" cm="1">
        <f t="array" ref="P1065">IFERROR(_xlfn.LET(
_xlpm.CSVVal,_xlfn.XLOOKUP($A1065,CSV!$A:$A,CSV!AB:AB,""),
_xlpm.MacVal,_xlfn.XLOOKUP($A1065,Output_Mac!$A:$A,Output_Mac!T:T,""),
_xlpm.MyAuditVal,_xlfn.XLOOKUP($A1065,My_Audit!$A:$A,My_Audit!Q:Q,""),
_xlfn.IFS(_xlpm.MyAuditVal&lt;&gt;"",UPPER(_xlpm.MyAuditVal),_xlpm.MacVal&lt;&gt;"",_xlpm.MacVal,_xlpm.CSVVal&lt;&gt;"",_xlpm.CSVVal
)),"No")</f>
        <v>No</v>
      </c>
      <c r="Q1065" s="40" t="str" cm="1">
        <f t="array" ref="Q1065">IFERROR(_xlfn.LET(
_xlpm.CSVVal,_xlfn.XLOOKUP($A1065,CSV!$A:$A,CSV!AC:AC,""),
_xlpm.MacVal,_xlfn.XLOOKUP($A1065,Output_Mac!$A:$A,Output_Mac!U:U,""),
_xlpm.MyAuditVal,_xlfn.XLOOKUP($A1065,My_Audit!$A:$A,My_Audit!R:R,""),
_xlfn.IFS(_xlpm.MyAuditVal&lt;&gt;"",UPPER(_xlpm.MyAuditVal),_xlpm.MacVal&lt;&gt;"",_xlpm.MacVal,_xlpm.CSVVal&lt;&gt;"",_xlpm.CSVVal
)),"")</f>
        <v/>
      </c>
      <c r="R1065" s="40"/>
      <c r="S1065" s="40"/>
      <c r="T1065" s="40"/>
      <c r="U1065" s="40"/>
      <c r="V1065" s="40"/>
      <c r="W1065" s="40"/>
      <c r="X1065" s="41" t="str">
        <f>_xlfn.LET(
    _xlpm.MacVal, _xlfn.XLOOKUP($A1065, Output_Mac!$A:$A, Output_Mac!AB:AB, ""),
    _xlpm.MyAuditVal, _xlfn.XLOOKUP($A1065, My_Audit!$A:$A, My_Audit!N:N, ""),
    _xlfn.TEXTJOIN(", ", TRUE, _xlpm.MyAuditVal, _xlpm.MacVal)
)</f>
        <v/>
      </c>
    </row>
    <row r="1066" spans="1:24">
      <c r="A1066" s="40" t="str">
        <f>_xlfn.TEXTJOIN("",TRUE,Input!$B$2,ROW(My_Audit!A1065))</f>
        <v>X1065</v>
      </c>
      <c r="B1066" s="40" t="str">
        <f>_xlfn.TEXTJOIN("-",TRUE,"ITD",Input!$A$2,A1066)</f>
        <v>ITD-X1065</v>
      </c>
      <c r="C1066" s="40" t="str" cm="1">
        <f t="array" ref="C1066">IFERROR(_xlfn.LET(
_xlpm.CSVVal,_xlfn.XLOOKUP($A1066,CSV!$A:$A,CSV!B:B,""),
_xlpm.MacVal,_xlfn.XLOOKUP($A1066,Output_Mac!$A:$A,Output_Mac!B:B,""),
_xlpm.MyAuditVal,_xlfn.XLOOKUP($A1066,My_Audit!$A:$A,My_Audit!B:B,""),
_xlfn.IFS(_xlpm.MyAuditVal&lt;&gt;"",UPPER(_xlpm.MyAuditVal),_xlpm.MacVal&lt;&gt;"",_xlpm.MacVal,_xlpm.CSVVal&lt;&gt;"",_xlpm.CSVVal
)),"")</f>
        <v/>
      </c>
      <c r="D1066" s="40" t="str" cm="1">
        <f t="array" ref="D1066">IFERROR(_xlfn.LET(
_xlpm.CSVVal,_xlfn.XLOOKUP($A1066,CSV!$A:$A,CSV!D:D,""),
_xlpm.MacVal,_xlfn.XLOOKUP($A1066,Output_Mac!$A:$A,Output_Mac!C:C,""),
_xlpm.MyAuditVal,_xlfn.XLOOKUP($A1066,My_Audit!$A:$A,My_Audit!C:C,""),
_xlfn.IFS(_xlpm.MyAuditVal&lt;&gt;"",_xlpm.MyAuditVal,_xlpm.MacVal&lt;&gt;"",_xlpm.MacVal,_xlpm.CSVVal&lt;&gt;"",_xlpm.CSVVal
)),"")</f>
        <v/>
      </c>
      <c r="E1066" s="40" t="str">
        <f>_xlfn.XLOOKUP(A1066,My_Audit!A:A,My_Audit!D:D,"")</f>
        <v/>
      </c>
      <c r="F1066" s="40" t="str" cm="1">
        <f t="array" ref="F1066">IFERROR(_xlfn.LET(
_xlpm.CSVVal,_xlfn.XLOOKUP($A1066,CSV!$A:$A,CSV!F:F,""),
_xlpm.MacVal,_xlfn.XLOOKUP($A1066,Output_Mac!$A:$A,Output_Mac!E:E,""),
_xlpm.MyAuditVal,_xlfn.XLOOKUP($A1066,My_Audit!$A:$A,My_Audit!E:E,""),
_xlfn.IFS(_xlpm.MyAuditVal&lt;&gt;"",_xlpm.MyAuditVal,_xlpm.MacVal&lt;&gt;"",_xlpm.MacVal,_xlpm.CSVVal&lt;&gt;"",_xlpm.CSVVal
)),"")</f>
        <v/>
      </c>
      <c r="G1066" s="40" t="str" cm="1">
        <f t="array" ref="G1066">IFERROR(_xlfn.LET(
_xlpm.CSVVal,_xlfn.XLOOKUP($A1066,CSV!$A:$A,CSV!G:G,""),
_xlpm.MacVal,_xlfn.XLOOKUP($A1066,Output_Mac!$A:$A,Output_Mac!F:F,""),
_xlpm.MyAuditVal,_xlfn.XLOOKUP($A1066,My_Audit!$A:$A,My_Audit!F:F,""),
_xlfn.IFS(_xlpm.MyAuditVal&lt;&gt;"",_xlpm.MyAuditVal,_xlpm.MacVal&lt;&gt;"",_xlpm.MacVal,_xlpm.CSVVal&lt;&gt;"",PROPER(_xlpm.CSVVal)
)),"")</f>
        <v/>
      </c>
      <c r="H1066" s="40" t="str" cm="1">
        <f t="array" ref="H1066">IFERROR(_xlfn.LET(
_xlpm.CSVVal,_xlfn.XLOOKUP($A1066,CSV!$A:$A,CSV!H:H,""),
_xlpm.MacVal,_xlfn.XLOOKUP($A1066,Output_Mac!$A:$A,Output_Mac!H:H,""),
_xlpm.MyAuditVal,_xlfn.XLOOKUP($A1066,My_Audit!$A:$A,My_Audit!G:G,""),
_xlfn.IFS(_xlpm.MyAuditVal&lt;&gt;"",_xlpm.MyAuditVal,_xlpm.MacVal&lt;&gt;"",_xlpm.MacVal,_xlpm.CSVVal&lt;&gt;"",_xlpm.CSVVal
)),"")</f>
        <v/>
      </c>
      <c r="I1066" s="40" t="str">
        <f>_xlfn.XLOOKUP(A1066,Output_Mac!A:A,Output_Mac!I:I,"")</f>
        <v/>
      </c>
      <c r="J1066" s="40" t="str" cm="1">
        <f t="array" ref="J1066">IFERROR(_xlfn.LET(
_xlpm.CSVVal,_xlfn.XLOOKUP($A1066,CSV!$A:$A,CSV!I:I,""),
_xlpm.MacVal,_xlfn.XLOOKUP($A1066,Output_Mac!$A:$A,Output_Mac!J:J,""),
_xlpm.MyAuditVal,_xlfn.XLOOKUP($A1066,My_Audit!$A:$A,My_Audit!I:I,""),
_xlfn.IFS(_xlpm.MyAuditVal&lt;&gt;"",UPPER(_xlpm.MyAuditVal),_xlpm.MacVal&lt;&gt;"",_xlpm.MacVal,_xlpm.CSVVal&lt;&gt;"",_xlpm.CSVVal
)),"")</f>
        <v/>
      </c>
      <c r="K1066" s="40" t="str" cm="1">
        <f t="array" ref="K1066">IFERROR(_xlfn.LET(
_xlpm.CSVVal,_xlfn.XLOOKUP($A1066,CSV!$A:$A,CSV!K:K,""),
_xlpm.MacVal,_xlfn.XLOOKUP($A1066,Output_Mac!$A:$A,Output_Mac!K:K,""),
_xlpm.MyAuditVal,_xlfn.XLOOKUP($A1066,My_Audit!$A:$A,My_Audit!J:J,""),
_xlfn.IFS(_xlpm.MyAuditVal&lt;&gt;"",UPPER(_xlpm.MyAuditVal),_xlpm.MacVal&lt;&gt;"",_xlpm.MacVal,_xlpm.CSVVal&lt;&gt;"",_xlpm.CSVVal
)),"")</f>
        <v/>
      </c>
      <c r="L1066" s="40" t="str" cm="1">
        <f t="array" ref="L1066">IFERROR(_xlfn.LET(
_xlpm.CSVVal,_xlfn.XLOOKUP($A1066,CSV!$A:$A,CSV!P:P,""),
_xlpm.MacVal,_xlfn.XLOOKUP($A1066,Output_Mac!$A:$A,Output_Mac!L:L,""),
_xlpm.MyAuditVal,_xlfn.XLOOKUP($A1066,My_Audit!$A:$A,My_Audit!K:K,""),
_xlfn.IFS(_xlpm.MyAuditVal&lt;&gt;"",UPPER(_xlpm.MyAuditVal),_xlpm.MacVal&lt;&gt;"",_xlpm.MacVal,_xlpm.CSVVal&lt;&gt;"",_xlpm.CSVVal
)),"")</f>
        <v/>
      </c>
      <c r="M1066" s="40" t="str" cm="1">
        <f t="array" ref="M1066">IFERROR(_xlfn.LET(
_xlpm.CSVVal,_xlfn.XLOOKUP($A1066,CSV!$A:$A,CSV!Q:Q,""),
_xlpm.MacVal,_xlfn.XLOOKUP($A1066,Output_Mac!$A:$A,Output_Mac!M:M,""),
_xlpm.MyAuditVal,_xlfn.XLOOKUP($A1066,My_Audit!$A:$A,My_Audit!L:L,""),
_xlfn.IFS(_xlpm.MyAuditVal&lt;&gt;"",UPPER(_xlpm.MyAuditVal),_xlpm.MacVal&lt;&gt;"",_xlpm.MacVal,_xlpm.CSVVal&lt;&gt;"",_xlpm.CSVVal
)),"")</f>
        <v/>
      </c>
      <c r="N1066" s="40"/>
      <c r="O1066" s="40" t="str">
        <f>_xlfn.LET(
    _xlpm.CSVVal, _xlfn.XLOOKUP($A1066, CSV!$A:$A, CSV!AA:AA, ""),
    _xlpm.MacVal, _xlfn.XLOOKUP($A1066, Output_Mac!$A:$A, Output_Mac!S:S, ""),
    _xlpm.MyAuditVal, _xlfn.XLOOKUP($A1066, My_Audit!$A:$A, My_Audit!P:P, ""),
    _xlfn.TEXTJOIN(", ", TRUE, _xlpm.MyAuditVal, _xlpm.MacVal, _xlpm.CSVVal)
)</f>
        <v/>
      </c>
      <c r="P1066" s="40" t="str" cm="1">
        <f t="array" ref="P1066">IFERROR(_xlfn.LET(
_xlpm.CSVVal,_xlfn.XLOOKUP($A1066,CSV!$A:$A,CSV!AB:AB,""),
_xlpm.MacVal,_xlfn.XLOOKUP($A1066,Output_Mac!$A:$A,Output_Mac!T:T,""),
_xlpm.MyAuditVal,_xlfn.XLOOKUP($A1066,My_Audit!$A:$A,My_Audit!Q:Q,""),
_xlfn.IFS(_xlpm.MyAuditVal&lt;&gt;"",UPPER(_xlpm.MyAuditVal),_xlpm.MacVal&lt;&gt;"",_xlpm.MacVal,_xlpm.CSVVal&lt;&gt;"",_xlpm.CSVVal
)),"No")</f>
        <v>No</v>
      </c>
      <c r="Q1066" s="40" t="str" cm="1">
        <f t="array" ref="Q1066">IFERROR(_xlfn.LET(
_xlpm.CSVVal,_xlfn.XLOOKUP($A1066,CSV!$A:$A,CSV!AC:AC,""),
_xlpm.MacVal,_xlfn.XLOOKUP($A1066,Output_Mac!$A:$A,Output_Mac!U:U,""),
_xlpm.MyAuditVal,_xlfn.XLOOKUP($A1066,My_Audit!$A:$A,My_Audit!R:R,""),
_xlfn.IFS(_xlpm.MyAuditVal&lt;&gt;"",UPPER(_xlpm.MyAuditVal),_xlpm.MacVal&lt;&gt;"",_xlpm.MacVal,_xlpm.CSVVal&lt;&gt;"",_xlpm.CSVVal
)),"")</f>
        <v/>
      </c>
      <c r="R1066" s="40"/>
      <c r="S1066" s="40"/>
      <c r="T1066" s="40"/>
      <c r="U1066" s="40"/>
      <c r="V1066" s="40"/>
      <c r="W1066" s="40"/>
      <c r="X1066" s="41" t="str">
        <f>_xlfn.LET(
    _xlpm.MacVal, _xlfn.XLOOKUP($A1066, Output_Mac!$A:$A, Output_Mac!AB:AB, ""),
    _xlpm.MyAuditVal, _xlfn.XLOOKUP($A1066, My_Audit!$A:$A, My_Audit!N:N, ""),
    _xlfn.TEXTJOIN(", ", TRUE, _xlpm.MyAuditVal, _xlpm.MacVal)
)</f>
        <v/>
      </c>
    </row>
    <row r="1067" spans="1:24">
      <c r="A1067" s="40" t="str">
        <f>_xlfn.TEXTJOIN("",TRUE,Input!$B$2,ROW(My_Audit!A1066))</f>
        <v>X1066</v>
      </c>
      <c r="B1067" s="40" t="str">
        <f>_xlfn.TEXTJOIN("-",TRUE,"ITD",Input!$A$2,A1067)</f>
        <v>ITD-X1066</v>
      </c>
      <c r="C1067" s="40" t="str" cm="1">
        <f t="array" ref="C1067">IFERROR(_xlfn.LET(
_xlpm.CSVVal,_xlfn.XLOOKUP($A1067,CSV!$A:$A,CSV!B:B,""),
_xlpm.MacVal,_xlfn.XLOOKUP($A1067,Output_Mac!$A:$A,Output_Mac!B:B,""),
_xlpm.MyAuditVal,_xlfn.XLOOKUP($A1067,My_Audit!$A:$A,My_Audit!B:B,""),
_xlfn.IFS(_xlpm.MyAuditVal&lt;&gt;"",UPPER(_xlpm.MyAuditVal),_xlpm.MacVal&lt;&gt;"",_xlpm.MacVal,_xlpm.CSVVal&lt;&gt;"",_xlpm.CSVVal
)),"")</f>
        <v/>
      </c>
      <c r="D1067" s="40" t="str" cm="1">
        <f t="array" ref="D1067">IFERROR(_xlfn.LET(
_xlpm.CSVVal,_xlfn.XLOOKUP($A1067,CSV!$A:$A,CSV!D:D,""),
_xlpm.MacVal,_xlfn.XLOOKUP($A1067,Output_Mac!$A:$A,Output_Mac!C:C,""),
_xlpm.MyAuditVal,_xlfn.XLOOKUP($A1067,My_Audit!$A:$A,My_Audit!C:C,""),
_xlfn.IFS(_xlpm.MyAuditVal&lt;&gt;"",_xlpm.MyAuditVal,_xlpm.MacVal&lt;&gt;"",_xlpm.MacVal,_xlpm.CSVVal&lt;&gt;"",_xlpm.CSVVal
)),"")</f>
        <v/>
      </c>
      <c r="E1067" s="40" t="str">
        <f>_xlfn.XLOOKUP(A1067,My_Audit!A:A,My_Audit!D:D,"")</f>
        <v/>
      </c>
      <c r="F1067" s="40" t="str" cm="1">
        <f t="array" ref="F1067">IFERROR(_xlfn.LET(
_xlpm.CSVVal,_xlfn.XLOOKUP($A1067,CSV!$A:$A,CSV!F:F,""),
_xlpm.MacVal,_xlfn.XLOOKUP($A1067,Output_Mac!$A:$A,Output_Mac!E:E,""),
_xlpm.MyAuditVal,_xlfn.XLOOKUP($A1067,My_Audit!$A:$A,My_Audit!E:E,""),
_xlfn.IFS(_xlpm.MyAuditVal&lt;&gt;"",_xlpm.MyAuditVal,_xlpm.MacVal&lt;&gt;"",_xlpm.MacVal,_xlpm.CSVVal&lt;&gt;"",_xlpm.CSVVal
)),"")</f>
        <v/>
      </c>
      <c r="G1067" s="40" t="str" cm="1">
        <f t="array" ref="G1067">IFERROR(_xlfn.LET(
_xlpm.CSVVal,_xlfn.XLOOKUP($A1067,CSV!$A:$A,CSV!G:G,""),
_xlpm.MacVal,_xlfn.XLOOKUP($A1067,Output_Mac!$A:$A,Output_Mac!F:F,""),
_xlpm.MyAuditVal,_xlfn.XLOOKUP($A1067,My_Audit!$A:$A,My_Audit!F:F,""),
_xlfn.IFS(_xlpm.MyAuditVal&lt;&gt;"",_xlpm.MyAuditVal,_xlpm.MacVal&lt;&gt;"",_xlpm.MacVal,_xlpm.CSVVal&lt;&gt;"",PROPER(_xlpm.CSVVal)
)),"")</f>
        <v/>
      </c>
      <c r="H1067" s="40" t="str" cm="1">
        <f t="array" ref="H1067">IFERROR(_xlfn.LET(
_xlpm.CSVVal,_xlfn.XLOOKUP($A1067,CSV!$A:$A,CSV!H:H,""),
_xlpm.MacVal,_xlfn.XLOOKUP($A1067,Output_Mac!$A:$A,Output_Mac!H:H,""),
_xlpm.MyAuditVal,_xlfn.XLOOKUP($A1067,My_Audit!$A:$A,My_Audit!G:G,""),
_xlfn.IFS(_xlpm.MyAuditVal&lt;&gt;"",_xlpm.MyAuditVal,_xlpm.MacVal&lt;&gt;"",_xlpm.MacVal,_xlpm.CSVVal&lt;&gt;"",_xlpm.CSVVal
)),"")</f>
        <v/>
      </c>
      <c r="I1067" s="40" t="str">
        <f>_xlfn.XLOOKUP(A1067,Output_Mac!A:A,Output_Mac!I:I,"")</f>
        <v/>
      </c>
      <c r="J1067" s="40" t="str" cm="1">
        <f t="array" ref="J1067">IFERROR(_xlfn.LET(
_xlpm.CSVVal,_xlfn.XLOOKUP($A1067,CSV!$A:$A,CSV!I:I,""),
_xlpm.MacVal,_xlfn.XLOOKUP($A1067,Output_Mac!$A:$A,Output_Mac!J:J,""),
_xlpm.MyAuditVal,_xlfn.XLOOKUP($A1067,My_Audit!$A:$A,My_Audit!I:I,""),
_xlfn.IFS(_xlpm.MyAuditVal&lt;&gt;"",UPPER(_xlpm.MyAuditVal),_xlpm.MacVal&lt;&gt;"",_xlpm.MacVal,_xlpm.CSVVal&lt;&gt;"",_xlpm.CSVVal
)),"")</f>
        <v/>
      </c>
      <c r="K1067" s="40" t="str" cm="1">
        <f t="array" ref="K1067">IFERROR(_xlfn.LET(
_xlpm.CSVVal,_xlfn.XLOOKUP($A1067,CSV!$A:$A,CSV!K:K,""),
_xlpm.MacVal,_xlfn.XLOOKUP($A1067,Output_Mac!$A:$A,Output_Mac!K:K,""),
_xlpm.MyAuditVal,_xlfn.XLOOKUP($A1067,My_Audit!$A:$A,My_Audit!J:J,""),
_xlfn.IFS(_xlpm.MyAuditVal&lt;&gt;"",UPPER(_xlpm.MyAuditVal),_xlpm.MacVal&lt;&gt;"",_xlpm.MacVal,_xlpm.CSVVal&lt;&gt;"",_xlpm.CSVVal
)),"")</f>
        <v/>
      </c>
      <c r="L1067" s="40" t="str" cm="1">
        <f t="array" ref="L1067">IFERROR(_xlfn.LET(
_xlpm.CSVVal,_xlfn.XLOOKUP($A1067,CSV!$A:$A,CSV!P:P,""),
_xlpm.MacVal,_xlfn.XLOOKUP($A1067,Output_Mac!$A:$A,Output_Mac!L:L,""),
_xlpm.MyAuditVal,_xlfn.XLOOKUP($A1067,My_Audit!$A:$A,My_Audit!K:K,""),
_xlfn.IFS(_xlpm.MyAuditVal&lt;&gt;"",UPPER(_xlpm.MyAuditVal),_xlpm.MacVal&lt;&gt;"",_xlpm.MacVal,_xlpm.CSVVal&lt;&gt;"",_xlpm.CSVVal
)),"")</f>
        <v/>
      </c>
      <c r="M1067" s="40" t="str" cm="1">
        <f t="array" ref="M1067">IFERROR(_xlfn.LET(
_xlpm.CSVVal,_xlfn.XLOOKUP($A1067,CSV!$A:$A,CSV!Q:Q,""),
_xlpm.MacVal,_xlfn.XLOOKUP($A1067,Output_Mac!$A:$A,Output_Mac!M:M,""),
_xlpm.MyAuditVal,_xlfn.XLOOKUP($A1067,My_Audit!$A:$A,My_Audit!L:L,""),
_xlfn.IFS(_xlpm.MyAuditVal&lt;&gt;"",UPPER(_xlpm.MyAuditVal),_xlpm.MacVal&lt;&gt;"",_xlpm.MacVal,_xlpm.CSVVal&lt;&gt;"",_xlpm.CSVVal
)),"")</f>
        <v/>
      </c>
      <c r="N1067" s="40"/>
      <c r="O1067" s="40" t="str">
        <f>_xlfn.LET(
    _xlpm.CSVVal, _xlfn.XLOOKUP($A1067, CSV!$A:$A, CSV!AA:AA, ""),
    _xlpm.MacVal, _xlfn.XLOOKUP($A1067, Output_Mac!$A:$A, Output_Mac!S:S, ""),
    _xlpm.MyAuditVal, _xlfn.XLOOKUP($A1067, My_Audit!$A:$A, My_Audit!P:P, ""),
    _xlfn.TEXTJOIN(", ", TRUE, _xlpm.MyAuditVal, _xlpm.MacVal, _xlpm.CSVVal)
)</f>
        <v/>
      </c>
      <c r="P1067" s="40" t="str" cm="1">
        <f t="array" ref="P1067">IFERROR(_xlfn.LET(
_xlpm.CSVVal,_xlfn.XLOOKUP($A1067,CSV!$A:$A,CSV!AB:AB,""),
_xlpm.MacVal,_xlfn.XLOOKUP($A1067,Output_Mac!$A:$A,Output_Mac!T:T,""),
_xlpm.MyAuditVal,_xlfn.XLOOKUP($A1067,My_Audit!$A:$A,My_Audit!Q:Q,""),
_xlfn.IFS(_xlpm.MyAuditVal&lt;&gt;"",UPPER(_xlpm.MyAuditVal),_xlpm.MacVal&lt;&gt;"",_xlpm.MacVal,_xlpm.CSVVal&lt;&gt;"",_xlpm.CSVVal
)),"No")</f>
        <v>No</v>
      </c>
      <c r="Q1067" s="40" t="str" cm="1">
        <f t="array" ref="Q1067">IFERROR(_xlfn.LET(
_xlpm.CSVVal,_xlfn.XLOOKUP($A1067,CSV!$A:$A,CSV!AC:AC,""),
_xlpm.MacVal,_xlfn.XLOOKUP($A1067,Output_Mac!$A:$A,Output_Mac!U:U,""),
_xlpm.MyAuditVal,_xlfn.XLOOKUP($A1067,My_Audit!$A:$A,My_Audit!R:R,""),
_xlfn.IFS(_xlpm.MyAuditVal&lt;&gt;"",UPPER(_xlpm.MyAuditVal),_xlpm.MacVal&lt;&gt;"",_xlpm.MacVal,_xlpm.CSVVal&lt;&gt;"",_xlpm.CSVVal
)),"")</f>
        <v/>
      </c>
      <c r="R1067" s="40"/>
      <c r="S1067" s="40"/>
      <c r="T1067" s="40"/>
      <c r="U1067" s="40"/>
      <c r="V1067" s="40"/>
      <c r="W1067" s="40"/>
      <c r="X1067" s="41" t="str">
        <f>_xlfn.LET(
    _xlpm.MacVal, _xlfn.XLOOKUP($A1067, Output_Mac!$A:$A, Output_Mac!AB:AB, ""),
    _xlpm.MyAuditVal, _xlfn.XLOOKUP($A1067, My_Audit!$A:$A, My_Audit!N:N, ""),
    _xlfn.TEXTJOIN(", ", TRUE, _xlpm.MyAuditVal, _xlpm.MacVal)
)</f>
        <v/>
      </c>
    </row>
    <row r="1068" spans="1:24">
      <c r="A1068" s="40" t="str">
        <f>_xlfn.TEXTJOIN("",TRUE,Input!$B$2,ROW(My_Audit!A1067))</f>
        <v>X1067</v>
      </c>
      <c r="B1068" s="40" t="str">
        <f>_xlfn.TEXTJOIN("-",TRUE,"ITD",Input!$A$2,A1068)</f>
        <v>ITD-X1067</v>
      </c>
      <c r="C1068" s="40" t="str" cm="1">
        <f t="array" ref="C1068">IFERROR(_xlfn.LET(
_xlpm.CSVVal,_xlfn.XLOOKUP($A1068,CSV!$A:$A,CSV!B:B,""),
_xlpm.MacVal,_xlfn.XLOOKUP($A1068,Output_Mac!$A:$A,Output_Mac!B:B,""),
_xlpm.MyAuditVal,_xlfn.XLOOKUP($A1068,My_Audit!$A:$A,My_Audit!B:B,""),
_xlfn.IFS(_xlpm.MyAuditVal&lt;&gt;"",UPPER(_xlpm.MyAuditVal),_xlpm.MacVal&lt;&gt;"",_xlpm.MacVal,_xlpm.CSVVal&lt;&gt;"",_xlpm.CSVVal
)),"")</f>
        <v/>
      </c>
      <c r="D1068" s="40" t="str" cm="1">
        <f t="array" ref="D1068">IFERROR(_xlfn.LET(
_xlpm.CSVVal,_xlfn.XLOOKUP($A1068,CSV!$A:$A,CSV!D:D,""),
_xlpm.MacVal,_xlfn.XLOOKUP($A1068,Output_Mac!$A:$A,Output_Mac!C:C,""),
_xlpm.MyAuditVal,_xlfn.XLOOKUP($A1068,My_Audit!$A:$A,My_Audit!C:C,""),
_xlfn.IFS(_xlpm.MyAuditVal&lt;&gt;"",_xlpm.MyAuditVal,_xlpm.MacVal&lt;&gt;"",_xlpm.MacVal,_xlpm.CSVVal&lt;&gt;"",_xlpm.CSVVal
)),"")</f>
        <v/>
      </c>
      <c r="E1068" s="40" t="str">
        <f>_xlfn.XLOOKUP(A1068,My_Audit!A:A,My_Audit!D:D,"")</f>
        <v/>
      </c>
      <c r="F1068" s="40" t="str" cm="1">
        <f t="array" ref="F1068">IFERROR(_xlfn.LET(
_xlpm.CSVVal,_xlfn.XLOOKUP($A1068,CSV!$A:$A,CSV!F:F,""),
_xlpm.MacVal,_xlfn.XLOOKUP($A1068,Output_Mac!$A:$A,Output_Mac!E:E,""),
_xlpm.MyAuditVal,_xlfn.XLOOKUP($A1068,My_Audit!$A:$A,My_Audit!E:E,""),
_xlfn.IFS(_xlpm.MyAuditVal&lt;&gt;"",_xlpm.MyAuditVal,_xlpm.MacVal&lt;&gt;"",_xlpm.MacVal,_xlpm.CSVVal&lt;&gt;"",_xlpm.CSVVal
)),"")</f>
        <v/>
      </c>
      <c r="G1068" s="40" t="str" cm="1">
        <f t="array" ref="G1068">IFERROR(_xlfn.LET(
_xlpm.CSVVal,_xlfn.XLOOKUP($A1068,CSV!$A:$A,CSV!G:G,""),
_xlpm.MacVal,_xlfn.XLOOKUP($A1068,Output_Mac!$A:$A,Output_Mac!F:F,""),
_xlpm.MyAuditVal,_xlfn.XLOOKUP($A1068,My_Audit!$A:$A,My_Audit!F:F,""),
_xlfn.IFS(_xlpm.MyAuditVal&lt;&gt;"",_xlpm.MyAuditVal,_xlpm.MacVal&lt;&gt;"",_xlpm.MacVal,_xlpm.CSVVal&lt;&gt;"",PROPER(_xlpm.CSVVal)
)),"")</f>
        <v/>
      </c>
      <c r="H1068" s="40" t="str" cm="1">
        <f t="array" ref="H1068">IFERROR(_xlfn.LET(
_xlpm.CSVVal,_xlfn.XLOOKUP($A1068,CSV!$A:$A,CSV!H:H,""),
_xlpm.MacVal,_xlfn.XLOOKUP($A1068,Output_Mac!$A:$A,Output_Mac!H:H,""),
_xlpm.MyAuditVal,_xlfn.XLOOKUP($A1068,My_Audit!$A:$A,My_Audit!G:G,""),
_xlfn.IFS(_xlpm.MyAuditVal&lt;&gt;"",_xlpm.MyAuditVal,_xlpm.MacVal&lt;&gt;"",_xlpm.MacVal,_xlpm.CSVVal&lt;&gt;"",_xlpm.CSVVal
)),"")</f>
        <v/>
      </c>
      <c r="I1068" s="40" t="str">
        <f>_xlfn.XLOOKUP(A1068,Output_Mac!A:A,Output_Mac!I:I,"")</f>
        <v/>
      </c>
      <c r="J1068" s="40" t="str" cm="1">
        <f t="array" ref="J1068">IFERROR(_xlfn.LET(
_xlpm.CSVVal,_xlfn.XLOOKUP($A1068,CSV!$A:$A,CSV!I:I,""),
_xlpm.MacVal,_xlfn.XLOOKUP($A1068,Output_Mac!$A:$A,Output_Mac!J:J,""),
_xlpm.MyAuditVal,_xlfn.XLOOKUP($A1068,My_Audit!$A:$A,My_Audit!I:I,""),
_xlfn.IFS(_xlpm.MyAuditVal&lt;&gt;"",UPPER(_xlpm.MyAuditVal),_xlpm.MacVal&lt;&gt;"",_xlpm.MacVal,_xlpm.CSVVal&lt;&gt;"",_xlpm.CSVVal
)),"")</f>
        <v/>
      </c>
      <c r="K1068" s="40" t="str" cm="1">
        <f t="array" ref="K1068">IFERROR(_xlfn.LET(
_xlpm.CSVVal,_xlfn.XLOOKUP($A1068,CSV!$A:$A,CSV!K:K,""),
_xlpm.MacVal,_xlfn.XLOOKUP($A1068,Output_Mac!$A:$A,Output_Mac!K:K,""),
_xlpm.MyAuditVal,_xlfn.XLOOKUP($A1068,My_Audit!$A:$A,My_Audit!J:J,""),
_xlfn.IFS(_xlpm.MyAuditVal&lt;&gt;"",UPPER(_xlpm.MyAuditVal),_xlpm.MacVal&lt;&gt;"",_xlpm.MacVal,_xlpm.CSVVal&lt;&gt;"",_xlpm.CSVVal
)),"")</f>
        <v/>
      </c>
      <c r="L1068" s="40" t="str" cm="1">
        <f t="array" ref="L1068">IFERROR(_xlfn.LET(
_xlpm.CSVVal,_xlfn.XLOOKUP($A1068,CSV!$A:$A,CSV!P:P,""),
_xlpm.MacVal,_xlfn.XLOOKUP($A1068,Output_Mac!$A:$A,Output_Mac!L:L,""),
_xlpm.MyAuditVal,_xlfn.XLOOKUP($A1068,My_Audit!$A:$A,My_Audit!K:K,""),
_xlfn.IFS(_xlpm.MyAuditVal&lt;&gt;"",UPPER(_xlpm.MyAuditVal),_xlpm.MacVal&lt;&gt;"",_xlpm.MacVal,_xlpm.CSVVal&lt;&gt;"",_xlpm.CSVVal
)),"")</f>
        <v/>
      </c>
      <c r="M1068" s="40" t="str" cm="1">
        <f t="array" ref="M1068">IFERROR(_xlfn.LET(
_xlpm.CSVVal,_xlfn.XLOOKUP($A1068,CSV!$A:$A,CSV!Q:Q,""),
_xlpm.MacVal,_xlfn.XLOOKUP($A1068,Output_Mac!$A:$A,Output_Mac!M:M,""),
_xlpm.MyAuditVal,_xlfn.XLOOKUP($A1068,My_Audit!$A:$A,My_Audit!L:L,""),
_xlfn.IFS(_xlpm.MyAuditVal&lt;&gt;"",UPPER(_xlpm.MyAuditVal),_xlpm.MacVal&lt;&gt;"",_xlpm.MacVal,_xlpm.CSVVal&lt;&gt;"",_xlpm.CSVVal
)),"")</f>
        <v/>
      </c>
      <c r="N1068" s="40"/>
      <c r="O1068" s="40" t="str">
        <f>_xlfn.LET(
    _xlpm.CSVVal, _xlfn.XLOOKUP($A1068, CSV!$A:$A, CSV!AA:AA, ""),
    _xlpm.MacVal, _xlfn.XLOOKUP($A1068, Output_Mac!$A:$A, Output_Mac!S:S, ""),
    _xlpm.MyAuditVal, _xlfn.XLOOKUP($A1068, My_Audit!$A:$A, My_Audit!P:P, ""),
    _xlfn.TEXTJOIN(", ", TRUE, _xlpm.MyAuditVal, _xlpm.MacVal, _xlpm.CSVVal)
)</f>
        <v/>
      </c>
      <c r="P1068" s="40" t="str" cm="1">
        <f t="array" ref="P1068">IFERROR(_xlfn.LET(
_xlpm.CSVVal,_xlfn.XLOOKUP($A1068,CSV!$A:$A,CSV!AB:AB,""),
_xlpm.MacVal,_xlfn.XLOOKUP($A1068,Output_Mac!$A:$A,Output_Mac!T:T,""),
_xlpm.MyAuditVal,_xlfn.XLOOKUP($A1068,My_Audit!$A:$A,My_Audit!Q:Q,""),
_xlfn.IFS(_xlpm.MyAuditVal&lt;&gt;"",UPPER(_xlpm.MyAuditVal),_xlpm.MacVal&lt;&gt;"",_xlpm.MacVal,_xlpm.CSVVal&lt;&gt;"",_xlpm.CSVVal
)),"No")</f>
        <v>No</v>
      </c>
      <c r="Q1068" s="40" t="str" cm="1">
        <f t="array" ref="Q1068">IFERROR(_xlfn.LET(
_xlpm.CSVVal,_xlfn.XLOOKUP($A1068,CSV!$A:$A,CSV!AC:AC,""),
_xlpm.MacVal,_xlfn.XLOOKUP($A1068,Output_Mac!$A:$A,Output_Mac!U:U,""),
_xlpm.MyAuditVal,_xlfn.XLOOKUP($A1068,My_Audit!$A:$A,My_Audit!R:R,""),
_xlfn.IFS(_xlpm.MyAuditVal&lt;&gt;"",UPPER(_xlpm.MyAuditVal),_xlpm.MacVal&lt;&gt;"",_xlpm.MacVal,_xlpm.CSVVal&lt;&gt;"",_xlpm.CSVVal
)),"")</f>
        <v/>
      </c>
      <c r="R1068" s="40"/>
      <c r="S1068" s="40"/>
      <c r="T1068" s="40"/>
      <c r="U1068" s="40"/>
      <c r="V1068" s="40"/>
      <c r="W1068" s="40"/>
      <c r="X1068" s="41" t="str">
        <f>_xlfn.LET(
    _xlpm.MacVal, _xlfn.XLOOKUP($A1068, Output_Mac!$A:$A, Output_Mac!AB:AB, ""),
    _xlpm.MyAuditVal, _xlfn.XLOOKUP($A1068, My_Audit!$A:$A, My_Audit!N:N, ""),
    _xlfn.TEXTJOIN(", ", TRUE, _xlpm.MyAuditVal, _xlpm.MacVal)
)</f>
        <v/>
      </c>
    </row>
    <row r="1069" spans="1:24">
      <c r="A1069" s="40" t="str">
        <f>_xlfn.TEXTJOIN("",TRUE,Input!$B$2,ROW(My_Audit!A1068))</f>
        <v>X1068</v>
      </c>
      <c r="B1069" s="40" t="str">
        <f>_xlfn.TEXTJOIN("-",TRUE,"ITD",Input!$A$2,A1069)</f>
        <v>ITD-X1068</v>
      </c>
      <c r="C1069" s="40" t="str" cm="1">
        <f t="array" ref="C1069">IFERROR(_xlfn.LET(
_xlpm.CSVVal,_xlfn.XLOOKUP($A1069,CSV!$A:$A,CSV!B:B,""),
_xlpm.MacVal,_xlfn.XLOOKUP($A1069,Output_Mac!$A:$A,Output_Mac!B:B,""),
_xlpm.MyAuditVal,_xlfn.XLOOKUP($A1069,My_Audit!$A:$A,My_Audit!B:B,""),
_xlfn.IFS(_xlpm.MyAuditVal&lt;&gt;"",UPPER(_xlpm.MyAuditVal),_xlpm.MacVal&lt;&gt;"",_xlpm.MacVal,_xlpm.CSVVal&lt;&gt;"",_xlpm.CSVVal
)),"")</f>
        <v/>
      </c>
      <c r="D1069" s="40" t="str" cm="1">
        <f t="array" ref="D1069">IFERROR(_xlfn.LET(
_xlpm.CSVVal,_xlfn.XLOOKUP($A1069,CSV!$A:$A,CSV!D:D,""),
_xlpm.MacVal,_xlfn.XLOOKUP($A1069,Output_Mac!$A:$A,Output_Mac!C:C,""),
_xlpm.MyAuditVal,_xlfn.XLOOKUP($A1069,My_Audit!$A:$A,My_Audit!C:C,""),
_xlfn.IFS(_xlpm.MyAuditVal&lt;&gt;"",_xlpm.MyAuditVal,_xlpm.MacVal&lt;&gt;"",_xlpm.MacVal,_xlpm.CSVVal&lt;&gt;"",_xlpm.CSVVal
)),"")</f>
        <v/>
      </c>
      <c r="E1069" s="40" t="str">
        <f>_xlfn.XLOOKUP(A1069,My_Audit!A:A,My_Audit!D:D,"")</f>
        <v/>
      </c>
      <c r="F1069" s="40" t="str" cm="1">
        <f t="array" ref="F1069">IFERROR(_xlfn.LET(
_xlpm.CSVVal,_xlfn.XLOOKUP($A1069,CSV!$A:$A,CSV!F:F,""),
_xlpm.MacVal,_xlfn.XLOOKUP($A1069,Output_Mac!$A:$A,Output_Mac!E:E,""),
_xlpm.MyAuditVal,_xlfn.XLOOKUP($A1069,My_Audit!$A:$A,My_Audit!E:E,""),
_xlfn.IFS(_xlpm.MyAuditVal&lt;&gt;"",_xlpm.MyAuditVal,_xlpm.MacVal&lt;&gt;"",_xlpm.MacVal,_xlpm.CSVVal&lt;&gt;"",_xlpm.CSVVal
)),"")</f>
        <v/>
      </c>
      <c r="G1069" s="40" t="str" cm="1">
        <f t="array" ref="G1069">IFERROR(_xlfn.LET(
_xlpm.CSVVal,_xlfn.XLOOKUP($A1069,CSV!$A:$A,CSV!G:G,""),
_xlpm.MacVal,_xlfn.XLOOKUP($A1069,Output_Mac!$A:$A,Output_Mac!F:F,""),
_xlpm.MyAuditVal,_xlfn.XLOOKUP($A1069,My_Audit!$A:$A,My_Audit!F:F,""),
_xlfn.IFS(_xlpm.MyAuditVal&lt;&gt;"",_xlpm.MyAuditVal,_xlpm.MacVal&lt;&gt;"",_xlpm.MacVal,_xlpm.CSVVal&lt;&gt;"",PROPER(_xlpm.CSVVal)
)),"")</f>
        <v/>
      </c>
      <c r="H1069" s="40" t="str" cm="1">
        <f t="array" ref="H1069">IFERROR(_xlfn.LET(
_xlpm.CSVVal,_xlfn.XLOOKUP($A1069,CSV!$A:$A,CSV!H:H,""),
_xlpm.MacVal,_xlfn.XLOOKUP($A1069,Output_Mac!$A:$A,Output_Mac!H:H,""),
_xlpm.MyAuditVal,_xlfn.XLOOKUP($A1069,My_Audit!$A:$A,My_Audit!G:G,""),
_xlfn.IFS(_xlpm.MyAuditVal&lt;&gt;"",_xlpm.MyAuditVal,_xlpm.MacVal&lt;&gt;"",_xlpm.MacVal,_xlpm.CSVVal&lt;&gt;"",_xlpm.CSVVal
)),"")</f>
        <v/>
      </c>
      <c r="I1069" s="40" t="str">
        <f>_xlfn.XLOOKUP(A1069,Output_Mac!A:A,Output_Mac!I:I,"")</f>
        <v/>
      </c>
      <c r="J1069" s="40" t="str" cm="1">
        <f t="array" ref="J1069">IFERROR(_xlfn.LET(
_xlpm.CSVVal,_xlfn.XLOOKUP($A1069,CSV!$A:$A,CSV!I:I,""),
_xlpm.MacVal,_xlfn.XLOOKUP($A1069,Output_Mac!$A:$A,Output_Mac!J:J,""),
_xlpm.MyAuditVal,_xlfn.XLOOKUP($A1069,My_Audit!$A:$A,My_Audit!I:I,""),
_xlfn.IFS(_xlpm.MyAuditVal&lt;&gt;"",UPPER(_xlpm.MyAuditVal),_xlpm.MacVal&lt;&gt;"",_xlpm.MacVal,_xlpm.CSVVal&lt;&gt;"",_xlpm.CSVVal
)),"")</f>
        <v/>
      </c>
      <c r="K1069" s="40" t="str" cm="1">
        <f t="array" ref="K1069">IFERROR(_xlfn.LET(
_xlpm.CSVVal,_xlfn.XLOOKUP($A1069,CSV!$A:$A,CSV!K:K,""),
_xlpm.MacVal,_xlfn.XLOOKUP($A1069,Output_Mac!$A:$A,Output_Mac!K:K,""),
_xlpm.MyAuditVal,_xlfn.XLOOKUP($A1069,My_Audit!$A:$A,My_Audit!J:J,""),
_xlfn.IFS(_xlpm.MyAuditVal&lt;&gt;"",UPPER(_xlpm.MyAuditVal),_xlpm.MacVal&lt;&gt;"",_xlpm.MacVal,_xlpm.CSVVal&lt;&gt;"",_xlpm.CSVVal
)),"")</f>
        <v/>
      </c>
      <c r="L1069" s="40" t="str" cm="1">
        <f t="array" ref="L1069">IFERROR(_xlfn.LET(
_xlpm.CSVVal,_xlfn.XLOOKUP($A1069,CSV!$A:$A,CSV!P:P,""),
_xlpm.MacVal,_xlfn.XLOOKUP($A1069,Output_Mac!$A:$A,Output_Mac!L:L,""),
_xlpm.MyAuditVal,_xlfn.XLOOKUP($A1069,My_Audit!$A:$A,My_Audit!K:K,""),
_xlfn.IFS(_xlpm.MyAuditVal&lt;&gt;"",UPPER(_xlpm.MyAuditVal),_xlpm.MacVal&lt;&gt;"",_xlpm.MacVal,_xlpm.CSVVal&lt;&gt;"",_xlpm.CSVVal
)),"")</f>
        <v/>
      </c>
      <c r="M1069" s="40" t="str" cm="1">
        <f t="array" ref="M1069">IFERROR(_xlfn.LET(
_xlpm.CSVVal,_xlfn.XLOOKUP($A1069,CSV!$A:$A,CSV!Q:Q,""),
_xlpm.MacVal,_xlfn.XLOOKUP($A1069,Output_Mac!$A:$A,Output_Mac!M:M,""),
_xlpm.MyAuditVal,_xlfn.XLOOKUP($A1069,My_Audit!$A:$A,My_Audit!L:L,""),
_xlfn.IFS(_xlpm.MyAuditVal&lt;&gt;"",UPPER(_xlpm.MyAuditVal),_xlpm.MacVal&lt;&gt;"",_xlpm.MacVal,_xlpm.CSVVal&lt;&gt;"",_xlpm.CSVVal
)),"")</f>
        <v/>
      </c>
      <c r="N1069" s="40"/>
      <c r="O1069" s="40" t="str">
        <f>_xlfn.LET(
    _xlpm.CSVVal, _xlfn.XLOOKUP($A1069, CSV!$A:$A, CSV!AA:AA, ""),
    _xlpm.MacVal, _xlfn.XLOOKUP($A1069, Output_Mac!$A:$A, Output_Mac!S:S, ""),
    _xlpm.MyAuditVal, _xlfn.XLOOKUP($A1069, My_Audit!$A:$A, My_Audit!P:P, ""),
    _xlfn.TEXTJOIN(", ", TRUE, _xlpm.MyAuditVal, _xlpm.MacVal, _xlpm.CSVVal)
)</f>
        <v/>
      </c>
      <c r="P1069" s="40" t="str" cm="1">
        <f t="array" ref="P1069">IFERROR(_xlfn.LET(
_xlpm.CSVVal,_xlfn.XLOOKUP($A1069,CSV!$A:$A,CSV!AB:AB,""),
_xlpm.MacVal,_xlfn.XLOOKUP($A1069,Output_Mac!$A:$A,Output_Mac!T:T,""),
_xlpm.MyAuditVal,_xlfn.XLOOKUP($A1069,My_Audit!$A:$A,My_Audit!Q:Q,""),
_xlfn.IFS(_xlpm.MyAuditVal&lt;&gt;"",UPPER(_xlpm.MyAuditVal),_xlpm.MacVal&lt;&gt;"",_xlpm.MacVal,_xlpm.CSVVal&lt;&gt;"",_xlpm.CSVVal
)),"No")</f>
        <v>No</v>
      </c>
      <c r="Q1069" s="40" t="str" cm="1">
        <f t="array" ref="Q1069">IFERROR(_xlfn.LET(
_xlpm.CSVVal,_xlfn.XLOOKUP($A1069,CSV!$A:$A,CSV!AC:AC,""),
_xlpm.MacVal,_xlfn.XLOOKUP($A1069,Output_Mac!$A:$A,Output_Mac!U:U,""),
_xlpm.MyAuditVal,_xlfn.XLOOKUP($A1069,My_Audit!$A:$A,My_Audit!R:R,""),
_xlfn.IFS(_xlpm.MyAuditVal&lt;&gt;"",UPPER(_xlpm.MyAuditVal),_xlpm.MacVal&lt;&gt;"",_xlpm.MacVal,_xlpm.CSVVal&lt;&gt;"",_xlpm.CSVVal
)),"")</f>
        <v/>
      </c>
      <c r="R1069" s="40"/>
      <c r="S1069" s="40"/>
      <c r="T1069" s="40"/>
      <c r="U1069" s="40"/>
      <c r="V1069" s="40"/>
      <c r="W1069" s="40"/>
      <c r="X1069" s="41" t="str">
        <f>_xlfn.LET(
    _xlpm.MacVal, _xlfn.XLOOKUP($A1069, Output_Mac!$A:$A, Output_Mac!AB:AB, ""),
    _xlpm.MyAuditVal, _xlfn.XLOOKUP($A1069, My_Audit!$A:$A, My_Audit!N:N, ""),
    _xlfn.TEXTJOIN(", ", TRUE, _xlpm.MyAuditVal, _xlpm.MacVal)
)</f>
        <v/>
      </c>
    </row>
    <row r="1070" spans="1:24">
      <c r="A1070" s="40" t="str">
        <f>_xlfn.TEXTJOIN("",TRUE,Input!$B$2,ROW(My_Audit!A1069))</f>
        <v>X1069</v>
      </c>
      <c r="B1070" s="40" t="str">
        <f>_xlfn.TEXTJOIN("-",TRUE,"ITD",Input!$A$2,A1070)</f>
        <v>ITD-X1069</v>
      </c>
      <c r="C1070" s="40" t="str" cm="1">
        <f t="array" ref="C1070">IFERROR(_xlfn.LET(
_xlpm.CSVVal,_xlfn.XLOOKUP($A1070,CSV!$A:$A,CSV!B:B,""),
_xlpm.MacVal,_xlfn.XLOOKUP($A1070,Output_Mac!$A:$A,Output_Mac!B:B,""),
_xlpm.MyAuditVal,_xlfn.XLOOKUP($A1070,My_Audit!$A:$A,My_Audit!B:B,""),
_xlfn.IFS(_xlpm.MyAuditVal&lt;&gt;"",UPPER(_xlpm.MyAuditVal),_xlpm.MacVal&lt;&gt;"",_xlpm.MacVal,_xlpm.CSVVal&lt;&gt;"",_xlpm.CSVVal
)),"")</f>
        <v/>
      </c>
      <c r="D1070" s="40" t="str" cm="1">
        <f t="array" ref="D1070">IFERROR(_xlfn.LET(
_xlpm.CSVVal,_xlfn.XLOOKUP($A1070,CSV!$A:$A,CSV!D:D,""),
_xlpm.MacVal,_xlfn.XLOOKUP($A1070,Output_Mac!$A:$A,Output_Mac!C:C,""),
_xlpm.MyAuditVal,_xlfn.XLOOKUP($A1070,My_Audit!$A:$A,My_Audit!C:C,""),
_xlfn.IFS(_xlpm.MyAuditVal&lt;&gt;"",_xlpm.MyAuditVal,_xlpm.MacVal&lt;&gt;"",_xlpm.MacVal,_xlpm.CSVVal&lt;&gt;"",_xlpm.CSVVal
)),"")</f>
        <v/>
      </c>
      <c r="E1070" s="40" t="str">
        <f>_xlfn.XLOOKUP(A1070,My_Audit!A:A,My_Audit!D:D,"")</f>
        <v/>
      </c>
      <c r="F1070" s="40" t="str" cm="1">
        <f t="array" ref="F1070">IFERROR(_xlfn.LET(
_xlpm.CSVVal,_xlfn.XLOOKUP($A1070,CSV!$A:$A,CSV!F:F,""),
_xlpm.MacVal,_xlfn.XLOOKUP($A1070,Output_Mac!$A:$A,Output_Mac!E:E,""),
_xlpm.MyAuditVal,_xlfn.XLOOKUP($A1070,My_Audit!$A:$A,My_Audit!E:E,""),
_xlfn.IFS(_xlpm.MyAuditVal&lt;&gt;"",_xlpm.MyAuditVal,_xlpm.MacVal&lt;&gt;"",_xlpm.MacVal,_xlpm.CSVVal&lt;&gt;"",_xlpm.CSVVal
)),"")</f>
        <v/>
      </c>
      <c r="G1070" s="40" t="str" cm="1">
        <f t="array" ref="G1070">IFERROR(_xlfn.LET(
_xlpm.CSVVal,_xlfn.XLOOKUP($A1070,CSV!$A:$A,CSV!G:G,""),
_xlpm.MacVal,_xlfn.XLOOKUP($A1070,Output_Mac!$A:$A,Output_Mac!F:F,""),
_xlpm.MyAuditVal,_xlfn.XLOOKUP($A1070,My_Audit!$A:$A,My_Audit!F:F,""),
_xlfn.IFS(_xlpm.MyAuditVal&lt;&gt;"",_xlpm.MyAuditVal,_xlpm.MacVal&lt;&gt;"",_xlpm.MacVal,_xlpm.CSVVal&lt;&gt;"",PROPER(_xlpm.CSVVal)
)),"")</f>
        <v/>
      </c>
      <c r="H1070" s="40" t="str" cm="1">
        <f t="array" ref="H1070">IFERROR(_xlfn.LET(
_xlpm.CSVVal,_xlfn.XLOOKUP($A1070,CSV!$A:$A,CSV!H:H,""),
_xlpm.MacVal,_xlfn.XLOOKUP($A1070,Output_Mac!$A:$A,Output_Mac!H:H,""),
_xlpm.MyAuditVal,_xlfn.XLOOKUP($A1070,My_Audit!$A:$A,My_Audit!G:G,""),
_xlfn.IFS(_xlpm.MyAuditVal&lt;&gt;"",_xlpm.MyAuditVal,_xlpm.MacVal&lt;&gt;"",_xlpm.MacVal,_xlpm.CSVVal&lt;&gt;"",_xlpm.CSVVal
)),"")</f>
        <v/>
      </c>
      <c r="I1070" s="40" t="str">
        <f>_xlfn.XLOOKUP(A1070,Output_Mac!A:A,Output_Mac!I:I,"")</f>
        <v/>
      </c>
      <c r="J1070" s="40" t="str" cm="1">
        <f t="array" ref="J1070">IFERROR(_xlfn.LET(
_xlpm.CSVVal,_xlfn.XLOOKUP($A1070,CSV!$A:$A,CSV!I:I,""),
_xlpm.MacVal,_xlfn.XLOOKUP($A1070,Output_Mac!$A:$A,Output_Mac!J:J,""),
_xlpm.MyAuditVal,_xlfn.XLOOKUP($A1070,My_Audit!$A:$A,My_Audit!I:I,""),
_xlfn.IFS(_xlpm.MyAuditVal&lt;&gt;"",UPPER(_xlpm.MyAuditVal),_xlpm.MacVal&lt;&gt;"",_xlpm.MacVal,_xlpm.CSVVal&lt;&gt;"",_xlpm.CSVVal
)),"")</f>
        <v/>
      </c>
      <c r="K1070" s="40" t="str" cm="1">
        <f t="array" ref="K1070">IFERROR(_xlfn.LET(
_xlpm.CSVVal,_xlfn.XLOOKUP($A1070,CSV!$A:$A,CSV!K:K,""),
_xlpm.MacVal,_xlfn.XLOOKUP($A1070,Output_Mac!$A:$A,Output_Mac!K:K,""),
_xlpm.MyAuditVal,_xlfn.XLOOKUP($A1070,My_Audit!$A:$A,My_Audit!J:J,""),
_xlfn.IFS(_xlpm.MyAuditVal&lt;&gt;"",UPPER(_xlpm.MyAuditVal),_xlpm.MacVal&lt;&gt;"",_xlpm.MacVal,_xlpm.CSVVal&lt;&gt;"",_xlpm.CSVVal
)),"")</f>
        <v/>
      </c>
      <c r="L1070" s="40" t="str" cm="1">
        <f t="array" ref="L1070">IFERROR(_xlfn.LET(
_xlpm.CSVVal,_xlfn.XLOOKUP($A1070,CSV!$A:$A,CSV!P:P,""),
_xlpm.MacVal,_xlfn.XLOOKUP($A1070,Output_Mac!$A:$A,Output_Mac!L:L,""),
_xlpm.MyAuditVal,_xlfn.XLOOKUP($A1070,My_Audit!$A:$A,My_Audit!K:K,""),
_xlfn.IFS(_xlpm.MyAuditVal&lt;&gt;"",UPPER(_xlpm.MyAuditVal),_xlpm.MacVal&lt;&gt;"",_xlpm.MacVal,_xlpm.CSVVal&lt;&gt;"",_xlpm.CSVVal
)),"")</f>
        <v/>
      </c>
      <c r="M1070" s="40" t="str" cm="1">
        <f t="array" ref="M1070">IFERROR(_xlfn.LET(
_xlpm.CSVVal,_xlfn.XLOOKUP($A1070,CSV!$A:$A,CSV!Q:Q,""),
_xlpm.MacVal,_xlfn.XLOOKUP($A1070,Output_Mac!$A:$A,Output_Mac!M:M,""),
_xlpm.MyAuditVal,_xlfn.XLOOKUP($A1070,My_Audit!$A:$A,My_Audit!L:L,""),
_xlfn.IFS(_xlpm.MyAuditVal&lt;&gt;"",UPPER(_xlpm.MyAuditVal),_xlpm.MacVal&lt;&gt;"",_xlpm.MacVal,_xlpm.CSVVal&lt;&gt;"",_xlpm.CSVVal
)),"")</f>
        <v/>
      </c>
      <c r="N1070" s="40"/>
      <c r="O1070" s="40" t="str">
        <f>_xlfn.LET(
    _xlpm.CSVVal, _xlfn.XLOOKUP($A1070, CSV!$A:$A, CSV!AA:AA, ""),
    _xlpm.MacVal, _xlfn.XLOOKUP($A1070, Output_Mac!$A:$A, Output_Mac!S:S, ""),
    _xlpm.MyAuditVal, _xlfn.XLOOKUP($A1070, My_Audit!$A:$A, My_Audit!P:P, ""),
    _xlfn.TEXTJOIN(", ", TRUE, _xlpm.MyAuditVal, _xlpm.MacVal, _xlpm.CSVVal)
)</f>
        <v/>
      </c>
      <c r="P1070" s="40" t="str" cm="1">
        <f t="array" ref="P1070">IFERROR(_xlfn.LET(
_xlpm.CSVVal,_xlfn.XLOOKUP($A1070,CSV!$A:$A,CSV!AB:AB,""),
_xlpm.MacVal,_xlfn.XLOOKUP($A1070,Output_Mac!$A:$A,Output_Mac!T:T,""),
_xlpm.MyAuditVal,_xlfn.XLOOKUP($A1070,My_Audit!$A:$A,My_Audit!Q:Q,""),
_xlfn.IFS(_xlpm.MyAuditVal&lt;&gt;"",UPPER(_xlpm.MyAuditVal),_xlpm.MacVal&lt;&gt;"",_xlpm.MacVal,_xlpm.CSVVal&lt;&gt;"",_xlpm.CSVVal
)),"No")</f>
        <v>No</v>
      </c>
      <c r="Q1070" s="40" t="str" cm="1">
        <f t="array" ref="Q1070">IFERROR(_xlfn.LET(
_xlpm.CSVVal,_xlfn.XLOOKUP($A1070,CSV!$A:$A,CSV!AC:AC,""),
_xlpm.MacVal,_xlfn.XLOOKUP($A1070,Output_Mac!$A:$A,Output_Mac!U:U,""),
_xlpm.MyAuditVal,_xlfn.XLOOKUP($A1070,My_Audit!$A:$A,My_Audit!R:R,""),
_xlfn.IFS(_xlpm.MyAuditVal&lt;&gt;"",UPPER(_xlpm.MyAuditVal),_xlpm.MacVal&lt;&gt;"",_xlpm.MacVal,_xlpm.CSVVal&lt;&gt;"",_xlpm.CSVVal
)),"")</f>
        <v/>
      </c>
      <c r="R1070" s="40"/>
      <c r="S1070" s="40"/>
      <c r="T1070" s="40"/>
      <c r="U1070" s="40"/>
      <c r="V1070" s="40"/>
      <c r="W1070" s="40"/>
      <c r="X1070" s="41" t="str">
        <f>_xlfn.LET(
    _xlpm.MacVal, _xlfn.XLOOKUP($A1070, Output_Mac!$A:$A, Output_Mac!AB:AB, ""),
    _xlpm.MyAuditVal, _xlfn.XLOOKUP($A1070, My_Audit!$A:$A, My_Audit!N:N, ""),
    _xlfn.TEXTJOIN(", ", TRUE, _xlpm.MyAuditVal, _xlpm.MacVal)
)</f>
        <v/>
      </c>
    </row>
    <row r="1071" spans="1:24">
      <c r="A1071" s="40" t="str">
        <f>_xlfn.TEXTJOIN("",TRUE,Input!$B$2,ROW(My_Audit!A1070))</f>
        <v>X1070</v>
      </c>
      <c r="B1071" s="40" t="str">
        <f>_xlfn.TEXTJOIN("-",TRUE,"ITD",Input!$A$2,A1071)</f>
        <v>ITD-X1070</v>
      </c>
      <c r="C1071" s="40" t="str" cm="1">
        <f t="array" ref="C1071">IFERROR(_xlfn.LET(
_xlpm.CSVVal,_xlfn.XLOOKUP($A1071,CSV!$A:$A,CSV!B:B,""),
_xlpm.MacVal,_xlfn.XLOOKUP($A1071,Output_Mac!$A:$A,Output_Mac!B:B,""),
_xlpm.MyAuditVal,_xlfn.XLOOKUP($A1071,My_Audit!$A:$A,My_Audit!B:B,""),
_xlfn.IFS(_xlpm.MyAuditVal&lt;&gt;"",UPPER(_xlpm.MyAuditVal),_xlpm.MacVal&lt;&gt;"",_xlpm.MacVal,_xlpm.CSVVal&lt;&gt;"",_xlpm.CSVVal
)),"")</f>
        <v/>
      </c>
      <c r="D1071" s="40" t="str" cm="1">
        <f t="array" ref="D1071">IFERROR(_xlfn.LET(
_xlpm.CSVVal,_xlfn.XLOOKUP($A1071,CSV!$A:$A,CSV!D:D,""),
_xlpm.MacVal,_xlfn.XLOOKUP($A1071,Output_Mac!$A:$A,Output_Mac!C:C,""),
_xlpm.MyAuditVal,_xlfn.XLOOKUP($A1071,My_Audit!$A:$A,My_Audit!C:C,""),
_xlfn.IFS(_xlpm.MyAuditVal&lt;&gt;"",_xlpm.MyAuditVal,_xlpm.MacVal&lt;&gt;"",_xlpm.MacVal,_xlpm.CSVVal&lt;&gt;"",_xlpm.CSVVal
)),"")</f>
        <v/>
      </c>
      <c r="E1071" s="40" t="str">
        <f>_xlfn.XLOOKUP(A1071,My_Audit!A:A,My_Audit!D:D,"")</f>
        <v/>
      </c>
      <c r="F1071" s="40" t="str" cm="1">
        <f t="array" ref="F1071">IFERROR(_xlfn.LET(
_xlpm.CSVVal,_xlfn.XLOOKUP($A1071,CSV!$A:$A,CSV!F:F,""),
_xlpm.MacVal,_xlfn.XLOOKUP($A1071,Output_Mac!$A:$A,Output_Mac!E:E,""),
_xlpm.MyAuditVal,_xlfn.XLOOKUP($A1071,My_Audit!$A:$A,My_Audit!E:E,""),
_xlfn.IFS(_xlpm.MyAuditVal&lt;&gt;"",_xlpm.MyAuditVal,_xlpm.MacVal&lt;&gt;"",_xlpm.MacVal,_xlpm.CSVVal&lt;&gt;"",_xlpm.CSVVal
)),"")</f>
        <v/>
      </c>
      <c r="G1071" s="40" t="str" cm="1">
        <f t="array" ref="G1071">IFERROR(_xlfn.LET(
_xlpm.CSVVal,_xlfn.XLOOKUP($A1071,CSV!$A:$A,CSV!G:G,""),
_xlpm.MacVal,_xlfn.XLOOKUP($A1071,Output_Mac!$A:$A,Output_Mac!F:F,""),
_xlpm.MyAuditVal,_xlfn.XLOOKUP($A1071,My_Audit!$A:$A,My_Audit!F:F,""),
_xlfn.IFS(_xlpm.MyAuditVal&lt;&gt;"",_xlpm.MyAuditVal,_xlpm.MacVal&lt;&gt;"",_xlpm.MacVal,_xlpm.CSVVal&lt;&gt;"",PROPER(_xlpm.CSVVal)
)),"")</f>
        <v/>
      </c>
      <c r="H1071" s="40" t="str" cm="1">
        <f t="array" ref="H1071">IFERROR(_xlfn.LET(
_xlpm.CSVVal,_xlfn.XLOOKUP($A1071,CSV!$A:$A,CSV!H:H,""),
_xlpm.MacVal,_xlfn.XLOOKUP($A1071,Output_Mac!$A:$A,Output_Mac!H:H,""),
_xlpm.MyAuditVal,_xlfn.XLOOKUP($A1071,My_Audit!$A:$A,My_Audit!G:G,""),
_xlfn.IFS(_xlpm.MyAuditVal&lt;&gt;"",_xlpm.MyAuditVal,_xlpm.MacVal&lt;&gt;"",_xlpm.MacVal,_xlpm.CSVVal&lt;&gt;"",_xlpm.CSVVal
)),"")</f>
        <v/>
      </c>
      <c r="I1071" s="40" t="str">
        <f>_xlfn.XLOOKUP(A1071,Output_Mac!A:A,Output_Mac!I:I,"")</f>
        <v/>
      </c>
      <c r="J1071" s="40" t="str" cm="1">
        <f t="array" ref="J1071">IFERROR(_xlfn.LET(
_xlpm.CSVVal,_xlfn.XLOOKUP($A1071,CSV!$A:$A,CSV!I:I,""),
_xlpm.MacVal,_xlfn.XLOOKUP($A1071,Output_Mac!$A:$A,Output_Mac!J:J,""),
_xlpm.MyAuditVal,_xlfn.XLOOKUP($A1071,My_Audit!$A:$A,My_Audit!I:I,""),
_xlfn.IFS(_xlpm.MyAuditVal&lt;&gt;"",UPPER(_xlpm.MyAuditVal),_xlpm.MacVal&lt;&gt;"",_xlpm.MacVal,_xlpm.CSVVal&lt;&gt;"",_xlpm.CSVVal
)),"")</f>
        <v/>
      </c>
      <c r="K1071" s="40" t="str" cm="1">
        <f t="array" ref="K1071">IFERROR(_xlfn.LET(
_xlpm.CSVVal,_xlfn.XLOOKUP($A1071,CSV!$A:$A,CSV!K:K,""),
_xlpm.MacVal,_xlfn.XLOOKUP($A1071,Output_Mac!$A:$A,Output_Mac!K:K,""),
_xlpm.MyAuditVal,_xlfn.XLOOKUP($A1071,My_Audit!$A:$A,My_Audit!J:J,""),
_xlfn.IFS(_xlpm.MyAuditVal&lt;&gt;"",UPPER(_xlpm.MyAuditVal),_xlpm.MacVal&lt;&gt;"",_xlpm.MacVal,_xlpm.CSVVal&lt;&gt;"",_xlpm.CSVVal
)),"")</f>
        <v/>
      </c>
      <c r="L1071" s="40" t="str" cm="1">
        <f t="array" ref="L1071">IFERROR(_xlfn.LET(
_xlpm.CSVVal,_xlfn.XLOOKUP($A1071,CSV!$A:$A,CSV!P:P,""),
_xlpm.MacVal,_xlfn.XLOOKUP($A1071,Output_Mac!$A:$A,Output_Mac!L:L,""),
_xlpm.MyAuditVal,_xlfn.XLOOKUP($A1071,My_Audit!$A:$A,My_Audit!K:K,""),
_xlfn.IFS(_xlpm.MyAuditVal&lt;&gt;"",UPPER(_xlpm.MyAuditVal),_xlpm.MacVal&lt;&gt;"",_xlpm.MacVal,_xlpm.CSVVal&lt;&gt;"",_xlpm.CSVVal
)),"")</f>
        <v/>
      </c>
      <c r="M1071" s="40" t="str" cm="1">
        <f t="array" ref="M1071">IFERROR(_xlfn.LET(
_xlpm.CSVVal,_xlfn.XLOOKUP($A1071,CSV!$A:$A,CSV!Q:Q,""),
_xlpm.MacVal,_xlfn.XLOOKUP($A1071,Output_Mac!$A:$A,Output_Mac!M:M,""),
_xlpm.MyAuditVal,_xlfn.XLOOKUP($A1071,My_Audit!$A:$A,My_Audit!L:L,""),
_xlfn.IFS(_xlpm.MyAuditVal&lt;&gt;"",UPPER(_xlpm.MyAuditVal),_xlpm.MacVal&lt;&gt;"",_xlpm.MacVal,_xlpm.CSVVal&lt;&gt;"",_xlpm.CSVVal
)),"")</f>
        <v/>
      </c>
      <c r="N1071" s="40"/>
      <c r="O1071" s="40" t="str">
        <f>_xlfn.LET(
    _xlpm.CSVVal, _xlfn.XLOOKUP($A1071, CSV!$A:$A, CSV!AA:AA, ""),
    _xlpm.MacVal, _xlfn.XLOOKUP($A1071, Output_Mac!$A:$A, Output_Mac!S:S, ""),
    _xlpm.MyAuditVal, _xlfn.XLOOKUP($A1071, My_Audit!$A:$A, My_Audit!P:P, ""),
    _xlfn.TEXTJOIN(", ", TRUE, _xlpm.MyAuditVal, _xlpm.MacVal, _xlpm.CSVVal)
)</f>
        <v/>
      </c>
      <c r="P1071" s="40" t="str" cm="1">
        <f t="array" ref="P1071">IFERROR(_xlfn.LET(
_xlpm.CSVVal,_xlfn.XLOOKUP($A1071,CSV!$A:$A,CSV!AB:AB,""),
_xlpm.MacVal,_xlfn.XLOOKUP($A1071,Output_Mac!$A:$A,Output_Mac!T:T,""),
_xlpm.MyAuditVal,_xlfn.XLOOKUP($A1071,My_Audit!$A:$A,My_Audit!Q:Q,""),
_xlfn.IFS(_xlpm.MyAuditVal&lt;&gt;"",UPPER(_xlpm.MyAuditVal),_xlpm.MacVal&lt;&gt;"",_xlpm.MacVal,_xlpm.CSVVal&lt;&gt;"",_xlpm.CSVVal
)),"No")</f>
        <v>No</v>
      </c>
      <c r="Q1071" s="40" t="str" cm="1">
        <f t="array" ref="Q1071">IFERROR(_xlfn.LET(
_xlpm.CSVVal,_xlfn.XLOOKUP($A1071,CSV!$A:$A,CSV!AC:AC,""),
_xlpm.MacVal,_xlfn.XLOOKUP($A1071,Output_Mac!$A:$A,Output_Mac!U:U,""),
_xlpm.MyAuditVal,_xlfn.XLOOKUP($A1071,My_Audit!$A:$A,My_Audit!R:R,""),
_xlfn.IFS(_xlpm.MyAuditVal&lt;&gt;"",UPPER(_xlpm.MyAuditVal),_xlpm.MacVal&lt;&gt;"",_xlpm.MacVal,_xlpm.CSVVal&lt;&gt;"",_xlpm.CSVVal
)),"")</f>
        <v/>
      </c>
      <c r="R1071" s="40"/>
      <c r="S1071" s="40"/>
      <c r="T1071" s="40"/>
      <c r="U1071" s="40"/>
      <c r="V1071" s="40"/>
      <c r="W1071" s="40"/>
      <c r="X1071" s="41" t="str">
        <f>_xlfn.LET(
    _xlpm.MacVal, _xlfn.XLOOKUP($A1071, Output_Mac!$A:$A, Output_Mac!AB:AB, ""),
    _xlpm.MyAuditVal, _xlfn.XLOOKUP($A1071, My_Audit!$A:$A, My_Audit!N:N, ""),
    _xlfn.TEXTJOIN(", ", TRUE, _xlpm.MyAuditVal, _xlpm.MacVal)
)</f>
        <v/>
      </c>
    </row>
    <row r="1072" spans="1:24">
      <c r="A1072" s="40" t="str">
        <f>_xlfn.TEXTJOIN("",TRUE,Input!$B$2,ROW(My_Audit!A1071))</f>
        <v>X1071</v>
      </c>
      <c r="B1072" s="40" t="str">
        <f>_xlfn.TEXTJOIN("-",TRUE,"ITD",Input!$A$2,A1072)</f>
        <v>ITD-X1071</v>
      </c>
      <c r="C1072" s="40" t="str" cm="1">
        <f t="array" ref="C1072">IFERROR(_xlfn.LET(
_xlpm.CSVVal,_xlfn.XLOOKUP($A1072,CSV!$A:$A,CSV!B:B,""),
_xlpm.MacVal,_xlfn.XLOOKUP($A1072,Output_Mac!$A:$A,Output_Mac!B:B,""),
_xlpm.MyAuditVal,_xlfn.XLOOKUP($A1072,My_Audit!$A:$A,My_Audit!B:B,""),
_xlfn.IFS(_xlpm.MyAuditVal&lt;&gt;"",UPPER(_xlpm.MyAuditVal),_xlpm.MacVal&lt;&gt;"",_xlpm.MacVal,_xlpm.CSVVal&lt;&gt;"",_xlpm.CSVVal
)),"")</f>
        <v/>
      </c>
      <c r="D1072" s="40" t="str" cm="1">
        <f t="array" ref="D1072">IFERROR(_xlfn.LET(
_xlpm.CSVVal,_xlfn.XLOOKUP($A1072,CSV!$A:$A,CSV!D:D,""),
_xlpm.MacVal,_xlfn.XLOOKUP($A1072,Output_Mac!$A:$A,Output_Mac!C:C,""),
_xlpm.MyAuditVal,_xlfn.XLOOKUP($A1072,My_Audit!$A:$A,My_Audit!C:C,""),
_xlfn.IFS(_xlpm.MyAuditVal&lt;&gt;"",_xlpm.MyAuditVal,_xlpm.MacVal&lt;&gt;"",_xlpm.MacVal,_xlpm.CSVVal&lt;&gt;"",_xlpm.CSVVal
)),"")</f>
        <v/>
      </c>
      <c r="E1072" s="40" t="str">
        <f>_xlfn.XLOOKUP(A1072,My_Audit!A:A,My_Audit!D:D,"")</f>
        <v/>
      </c>
      <c r="F1072" s="40" t="str" cm="1">
        <f t="array" ref="F1072">IFERROR(_xlfn.LET(
_xlpm.CSVVal,_xlfn.XLOOKUP($A1072,CSV!$A:$A,CSV!F:F,""),
_xlpm.MacVal,_xlfn.XLOOKUP($A1072,Output_Mac!$A:$A,Output_Mac!E:E,""),
_xlpm.MyAuditVal,_xlfn.XLOOKUP($A1072,My_Audit!$A:$A,My_Audit!E:E,""),
_xlfn.IFS(_xlpm.MyAuditVal&lt;&gt;"",_xlpm.MyAuditVal,_xlpm.MacVal&lt;&gt;"",_xlpm.MacVal,_xlpm.CSVVal&lt;&gt;"",_xlpm.CSVVal
)),"")</f>
        <v/>
      </c>
      <c r="G1072" s="40" t="str" cm="1">
        <f t="array" ref="G1072">IFERROR(_xlfn.LET(
_xlpm.CSVVal,_xlfn.XLOOKUP($A1072,CSV!$A:$A,CSV!G:G,""),
_xlpm.MacVal,_xlfn.XLOOKUP($A1072,Output_Mac!$A:$A,Output_Mac!F:F,""),
_xlpm.MyAuditVal,_xlfn.XLOOKUP($A1072,My_Audit!$A:$A,My_Audit!F:F,""),
_xlfn.IFS(_xlpm.MyAuditVal&lt;&gt;"",_xlpm.MyAuditVal,_xlpm.MacVal&lt;&gt;"",_xlpm.MacVal,_xlpm.CSVVal&lt;&gt;"",PROPER(_xlpm.CSVVal)
)),"")</f>
        <v/>
      </c>
      <c r="H1072" s="40" t="str" cm="1">
        <f t="array" ref="H1072">IFERROR(_xlfn.LET(
_xlpm.CSVVal,_xlfn.XLOOKUP($A1072,CSV!$A:$A,CSV!H:H,""),
_xlpm.MacVal,_xlfn.XLOOKUP($A1072,Output_Mac!$A:$A,Output_Mac!H:H,""),
_xlpm.MyAuditVal,_xlfn.XLOOKUP($A1072,My_Audit!$A:$A,My_Audit!G:G,""),
_xlfn.IFS(_xlpm.MyAuditVal&lt;&gt;"",_xlpm.MyAuditVal,_xlpm.MacVal&lt;&gt;"",_xlpm.MacVal,_xlpm.CSVVal&lt;&gt;"",_xlpm.CSVVal
)),"")</f>
        <v/>
      </c>
      <c r="I1072" s="40" t="str">
        <f>_xlfn.XLOOKUP(A1072,Output_Mac!A:A,Output_Mac!I:I,"")</f>
        <v/>
      </c>
      <c r="J1072" s="40" t="str" cm="1">
        <f t="array" ref="J1072">IFERROR(_xlfn.LET(
_xlpm.CSVVal,_xlfn.XLOOKUP($A1072,CSV!$A:$A,CSV!I:I,""),
_xlpm.MacVal,_xlfn.XLOOKUP($A1072,Output_Mac!$A:$A,Output_Mac!J:J,""),
_xlpm.MyAuditVal,_xlfn.XLOOKUP($A1072,My_Audit!$A:$A,My_Audit!I:I,""),
_xlfn.IFS(_xlpm.MyAuditVal&lt;&gt;"",UPPER(_xlpm.MyAuditVal),_xlpm.MacVal&lt;&gt;"",_xlpm.MacVal,_xlpm.CSVVal&lt;&gt;"",_xlpm.CSVVal
)),"")</f>
        <v/>
      </c>
      <c r="K1072" s="40" t="str" cm="1">
        <f t="array" ref="K1072">IFERROR(_xlfn.LET(
_xlpm.CSVVal,_xlfn.XLOOKUP($A1072,CSV!$A:$A,CSV!K:K,""),
_xlpm.MacVal,_xlfn.XLOOKUP($A1072,Output_Mac!$A:$A,Output_Mac!K:K,""),
_xlpm.MyAuditVal,_xlfn.XLOOKUP($A1072,My_Audit!$A:$A,My_Audit!J:J,""),
_xlfn.IFS(_xlpm.MyAuditVal&lt;&gt;"",UPPER(_xlpm.MyAuditVal),_xlpm.MacVal&lt;&gt;"",_xlpm.MacVal,_xlpm.CSVVal&lt;&gt;"",_xlpm.CSVVal
)),"")</f>
        <v/>
      </c>
      <c r="L1072" s="40" t="str" cm="1">
        <f t="array" ref="L1072">IFERROR(_xlfn.LET(
_xlpm.CSVVal,_xlfn.XLOOKUP($A1072,CSV!$A:$A,CSV!P:P,""),
_xlpm.MacVal,_xlfn.XLOOKUP($A1072,Output_Mac!$A:$A,Output_Mac!L:L,""),
_xlpm.MyAuditVal,_xlfn.XLOOKUP($A1072,My_Audit!$A:$A,My_Audit!K:K,""),
_xlfn.IFS(_xlpm.MyAuditVal&lt;&gt;"",UPPER(_xlpm.MyAuditVal),_xlpm.MacVal&lt;&gt;"",_xlpm.MacVal,_xlpm.CSVVal&lt;&gt;"",_xlpm.CSVVal
)),"")</f>
        <v/>
      </c>
      <c r="M1072" s="40" t="str" cm="1">
        <f t="array" ref="M1072">IFERROR(_xlfn.LET(
_xlpm.CSVVal,_xlfn.XLOOKUP($A1072,CSV!$A:$A,CSV!Q:Q,""),
_xlpm.MacVal,_xlfn.XLOOKUP($A1072,Output_Mac!$A:$A,Output_Mac!M:M,""),
_xlpm.MyAuditVal,_xlfn.XLOOKUP($A1072,My_Audit!$A:$A,My_Audit!L:L,""),
_xlfn.IFS(_xlpm.MyAuditVal&lt;&gt;"",UPPER(_xlpm.MyAuditVal),_xlpm.MacVal&lt;&gt;"",_xlpm.MacVal,_xlpm.CSVVal&lt;&gt;"",_xlpm.CSVVal
)),"")</f>
        <v/>
      </c>
      <c r="N1072" s="40"/>
      <c r="O1072" s="40" t="str">
        <f>_xlfn.LET(
    _xlpm.CSVVal, _xlfn.XLOOKUP($A1072, CSV!$A:$A, CSV!AA:AA, ""),
    _xlpm.MacVal, _xlfn.XLOOKUP($A1072, Output_Mac!$A:$A, Output_Mac!S:S, ""),
    _xlpm.MyAuditVal, _xlfn.XLOOKUP($A1072, My_Audit!$A:$A, My_Audit!P:P, ""),
    _xlfn.TEXTJOIN(", ", TRUE, _xlpm.MyAuditVal, _xlpm.MacVal, _xlpm.CSVVal)
)</f>
        <v/>
      </c>
      <c r="P1072" s="40" t="str" cm="1">
        <f t="array" ref="P1072">IFERROR(_xlfn.LET(
_xlpm.CSVVal,_xlfn.XLOOKUP($A1072,CSV!$A:$A,CSV!AB:AB,""),
_xlpm.MacVal,_xlfn.XLOOKUP($A1072,Output_Mac!$A:$A,Output_Mac!T:T,""),
_xlpm.MyAuditVal,_xlfn.XLOOKUP($A1072,My_Audit!$A:$A,My_Audit!Q:Q,""),
_xlfn.IFS(_xlpm.MyAuditVal&lt;&gt;"",UPPER(_xlpm.MyAuditVal),_xlpm.MacVal&lt;&gt;"",_xlpm.MacVal,_xlpm.CSVVal&lt;&gt;"",_xlpm.CSVVal
)),"No")</f>
        <v>No</v>
      </c>
      <c r="Q1072" s="40" t="str" cm="1">
        <f t="array" ref="Q1072">IFERROR(_xlfn.LET(
_xlpm.CSVVal,_xlfn.XLOOKUP($A1072,CSV!$A:$A,CSV!AC:AC,""),
_xlpm.MacVal,_xlfn.XLOOKUP($A1072,Output_Mac!$A:$A,Output_Mac!U:U,""),
_xlpm.MyAuditVal,_xlfn.XLOOKUP($A1072,My_Audit!$A:$A,My_Audit!R:R,""),
_xlfn.IFS(_xlpm.MyAuditVal&lt;&gt;"",UPPER(_xlpm.MyAuditVal),_xlpm.MacVal&lt;&gt;"",_xlpm.MacVal,_xlpm.CSVVal&lt;&gt;"",_xlpm.CSVVal
)),"")</f>
        <v/>
      </c>
      <c r="R1072" s="40"/>
      <c r="S1072" s="40"/>
      <c r="T1072" s="40"/>
      <c r="U1072" s="40"/>
      <c r="V1072" s="40"/>
      <c r="W1072" s="40"/>
      <c r="X1072" s="41" t="str">
        <f>_xlfn.LET(
    _xlpm.MacVal, _xlfn.XLOOKUP($A1072, Output_Mac!$A:$A, Output_Mac!AB:AB, ""),
    _xlpm.MyAuditVal, _xlfn.XLOOKUP($A1072, My_Audit!$A:$A, My_Audit!N:N, ""),
    _xlfn.TEXTJOIN(", ", TRUE, _xlpm.MyAuditVal, _xlpm.MacVal)
)</f>
        <v/>
      </c>
    </row>
    <row r="1073" spans="1:24">
      <c r="A1073" s="40" t="str">
        <f>_xlfn.TEXTJOIN("",TRUE,Input!$B$2,ROW(My_Audit!A1072))</f>
        <v>X1072</v>
      </c>
      <c r="B1073" s="40" t="str">
        <f>_xlfn.TEXTJOIN("-",TRUE,"ITD",Input!$A$2,A1073)</f>
        <v>ITD-X1072</v>
      </c>
      <c r="C1073" s="40" t="str" cm="1">
        <f t="array" ref="C1073">IFERROR(_xlfn.LET(
_xlpm.CSVVal,_xlfn.XLOOKUP($A1073,CSV!$A:$A,CSV!B:B,""),
_xlpm.MacVal,_xlfn.XLOOKUP($A1073,Output_Mac!$A:$A,Output_Mac!B:B,""),
_xlpm.MyAuditVal,_xlfn.XLOOKUP($A1073,My_Audit!$A:$A,My_Audit!B:B,""),
_xlfn.IFS(_xlpm.MyAuditVal&lt;&gt;"",UPPER(_xlpm.MyAuditVal),_xlpm.MacVal&lt;&gt;"",_xlpm.MacVal,_xlpm.CSVVal&lt;&gt;"",_xlpm.CSVVal
)),"")</f>
        <v/>
      </c>
      <c r="D1073" s="40" t="str" cm="1">
        <f t="array" ref="D1073">IFERROR(_xlfn.LET(
_xlpm.CSVVal,_xlfn.XLOOKUP($A1073,CSV!$A:$A,CSV!D:D,""),
_xlpm.MacVal,_xlfn.XLOOKUP($A1073,Output_Mac!$A:$A,Output_Mac!C:C,""),
_xlpm.MyAuditVal,_xlfn.XLOOKUP($A1073,My_Audit!$A:$A,My_Audit!C:C,""),
_xlfn.IFS(_xlpm.MyAuditVal&lt;&gt;"",_xlpm.MyAuditVal,_xlpm.MacVal&lt;&gt;"",_xlpm.MacVal,_xlpm.CSVVal&lt;&gt;"",_xlpm.CSVVal
)),"")</f>
        <v/>
      </c>
      <c r="E1073" s="40" t="str">
        <f>_xlfn.XLOOKUP(A1073,My_Audit!A:A,My_Audit!D:D,"")</f>
        <v/>
      </c>
      <c r="F1073" s="40" t="str" cm="1">
        <f t="array" ref="F1073">IFERROR(_xlfn.LET(
_xlpm.CSVVal,_xlfn.XLOOKUP($A1073,CSV!$A:$A,CSV!F:F,""),
_xlpm.MacVal,_xlfn.XLOOKUP($A1073,Output_Mac!$A:$A,Output_Mac!E:E,""),
_xlpm.MyAuditVal,_xlfn.XLOOKUP($A1073,My_Audit!$A:$A,My_Audit!E:E,""),
_xlfn.IFS(_xlpm.MyAuditVal&lt;&gt;"",_xlpm.MyAuditVal,_xlpm.MacVal&lt;&gt;"",_xlpm.MacVal,_xlpm.CSVVal&lt;&gt;"",_xlpm.CSVVal
)),"")</f>
        <v/>
      </c>
      <c r="G1073" s="40" t="str" cm="1">
        <f t="array" ref="G1073">IFERROR(_xlfn.LET(
_xlpm.CSVVal,_xlfn.XLOOKUP($A1073,CSV!$A:$A,CSV!G:G,""),
_xlpm.MacVal,_xlfn.XLOOKUP($A1073,Output_Mac!$A:$A,Output_Mac!F:F,""),
_xlpm.MyAuditVal,_xlfn.XLOOKUP($A1073,My_Audit!$A:$A,My_Audit!F:F,""),
_xlfn.IFS(_xlpm.MyAuditVal&lt;&gt;"",_xlpm.MyAuditVal,_xlpm.MacVal&lt;&gt;"",_xlpm.MacVal,_xlpm.CSVVal&lt;&gt;"",PROPER(_xlpm.CSVVal)
)),"")</f>
        <v/>
      </c>
      <c r="H1073" s="40" t="str" cm="1">
        <f t="array" ref="H1073">IFERROR(_xlfn.LET(
_xlpm.CSVVal,_xlfn.XLOOKUP($A1073,CSV!$A:$A,CSV!H:H,""),
_xlpm.MacVal,_xlfn.XLOOKUP($A1073,Output_Mac!$A:$A,Output_Mac!H:H,""),
_xlpm.MyAuditVal,_xlfn.XLOOKUP($A1073,My_Audit!$A:$A,My_Audit!G:G,""),
_xlfn.IFS(_xlpm.MyAuditVal&lt;&gt;"",_xlpm.MyAuditVal,_xlpm.MacVal&lt;&gt;"",_xlpm.MacVal,_xlpm.CSVVal&lt;&gt;"",_xlpm.CSVVal
)),"")</f>
        <v/>
      </c>
      <c r="I1073" s="40" t="str">
        <f>_xlfn.XLOOKUP(A1073,Output_Mac!A:A,Output_Mac!I:I,"")</f>
        <v/>
      </c>
      <c r="J1073" s="40" t="str" cm="1">
        <f t="array" ref="J1073">IFERROR(_xlfn.LET(
_xlpm.CSVVal,_xlfn.XLOOKUP($A1073,CSV!$A:$A,CSV!I:I,""),
_xlpm.MacVal,_xlfn.XLOOKUP($A1073,Output_Mac!$A:$A,Output_Mac!J:J,""),
_xlpm.MyAuditVal,_xlfn.XLOOKUP($A1073,My_Audit!$A:$A,My_Audit!I:I,""),
_xlfn.IFS(_xlpm.MyAuditVal&lt;&gt;"",UPPER(_xlpm.MyAuditVal),_xlpm.MacVal&lt;&gt;"",_xlpm.MacVal,_xlpm.CSVVal&lt;&gt;"",_xlpm.CSVVal
)),"")</f>
        <v/>
      </c>
      <c r="K1073" s="40" t="str" cm="1">
        <f t="array" ref="K1073">IFERROR(_xlfn.LET(
_xlpm.CSVVal,_xlfn.XLOOKUP($A1073,CSV!$A:$A,CSV!K:K,""),
_xlpm.MacVal,_xlfn.XLOOKUP($A1073,Output_Mac!$A:$A,Output_Mac!K:K,""),
_xlpm.MyAuditVal,_xlfn.XLOOKUP($A1073,My_Audit!$A:$A,My_Audit!J:J,""),
_xlfn.IFS(_xlpm.MyAuditVal&lt;&gt;"",UPPER(_xlpm.MyAuditVal),_xlpm.MacVal&lt;&gt;"",_xlpm.MacVal,_xlpm.CSVVal&lt;&gt;"",_xlpm.CSVVal
)),"")</f>
        <v/>
      </c>
      <c r="L1073" s="40" t="str" cm="1">
        <f t="array" ref="L1073">IFERROR(_xlfn.LET(
_xlpm.CSVVal,_xlfn.XLOOKUP($A1073,CSV!$A:$A,CSV!P:P,""),
_xlpm.MacVal,_xlfn.XLOOKUP($A1073,Output_Mac!$A:$A,Output_Mac!L:L,""),
_xlpm.MyAuditVal,_xlfn.XLOOKUP($A1073,My_Audit!$A:$A,My_Audit!K:K,""),
_xlfn.IFS(_xlpm.MyAuditVal&lt;&gt;"",UPPER(_xlpm.MyAuditVal),_xlpm.MacVal&lt;&gt;"",_xlpm.MacVal,_xlpm.CSVVal&lt;&gt;"",_xlpm.CSVVal
)),"")</f>
        <v/>
      </c>
      <c r="M1073" s="40" t="str" cm="1">
        <f t="array" ref="M1073">IFERROR(_xlfn.LET(
_xlpm.CSVVal,_xlfn.XLOOKUP($A1073,CSV!$A:$A,CSV!Q:Q,""),
_xlpm.MacVal,_xlfn.XLOOKUP($A1073,Output_Mac!$A:$A,Output_Mac!M:M,""),
_xlpm.MyAuditVal,_xlfn.XLOOKUP($A1073,My_Audit!$A:$A,My_Audit!L:L,""),
_xlfn.IFS(_xlpm.MyAuditVal&lt;&gt;"",UPPER(_xlpm.MyAuditVal),_xlpm.MacVal&lt;&gt;"",_xlpm.MacVal,_xlpm.CSVVal&lt;&gt;"",_xlpm.CSVVal
)),"")</f>
        <v/>
      </c>
      <c r="N1073" s="40"/>
      <c r="O1073" s="40" t="str">
        <f>_xlfn.LET(
    _xlpm.CSVVal, _xlfn.XLOOKUP($A1073, CSV!$A:$A, CSV!AA:AA, ""),
    _xlpm.MacVal, _xlfn.XLOOKUP($A1073, Output_Mac!$A:$A, Output_Mac!S:S, ""),
    _xlpm.MyAuditVal, _xlfn.XLOOKUP($A1073, My_Audit!$A:$A, My_Audit!P:P, ""),
    _xlfn.TEXTJOIN(", ", TRUE, _xlpm.MyAuditVal, _xlpm.MacVal, _xlpm.CSVVal)
)</f>
        <v/>
      </c>
      <c r="P1073" s="40" t="str" cm="1">
        <f t="array" ref="P1073">IFERROR(_xlfn.LET(
_xlpm.CSVVal,_xlfn.XLOOKUP($A1073,CSV!$A:$A,CSV!AB:AB,""),
_xlpm.MacVal,_xlfn.XLOOKUP($A1073,Output_Mac!$A:$A,Output_Mac!T:T,""),
_xlpm.MyAuditVal,_xlfn.XLOOKUP($A1073,My_Audit!$A:$A,My_Audit!Q:Q,""),
_xlfn.IFS(_xlpm.MyAuditVal&lt;&gt;"",UPPER(_xlpm.MyAuditVal),_xlpm.MacVal&lt;&gt;"",_xlpm.MacVal,_xlpm.CSVVal&lt;&gt;"",_xlpm.CSVVal
)),"No")</f>
        <v>No</v>
      </c>
      <c r="Q1073" s="40" t="str" cm="1">
        <f t="array" ref="Q1073">IFERROR(_xlfn.LET(
_xlpm.CSVVal,_xlfn.XLOOKUP($A1073,CSV!$A:$A,CSV!AC:AC,""),
_xlpm.MacVal,_xlfn.XLOOKUP($A1073,Output_Mac!$A:$A,Output_Mac!U:U,""),
_xlpm.MyAuditVal,_xlfn.XLOOKUP($A1073,My_Audit!$A:$A,My_Audit!R:R,""),
_xlfn.IFS(_xlpm.MyAuditVal&lt;&gt;"",UPPER(_xlpm.MyAuditVal),_xlpm.MacVal&lt;&gt;"",_xlpm.MacVal,_xlpm.CSVVal&lt;&gt;"",_xlpm.CSVVal
)),"")</f>
        <v/>
      </c>
      <c r="R1073" s="40"/>
      <c r="S1073" s="40"/>
      <c r="T1073" s="40"/>
      <c r="U1073" s="40"/>
      <c r="V1073" s="40"/>
      <c r="W1073" s="40"/>
      <c r="X1073" s="41" t="str">
        <f>_xlfn.LET(
    _xlpm.MacVal, _xlfn.XLOOKUP($A1073, Output_Mac!$A:$A, Output_Mac!AB:AB, ""),
    _xlpm.MyAuditVal, _xlfn.XLOOKUP($A1073, My_Audit!$A:$A, My_Audit!N:N, ""),
    _xlfn.TEXTJOIN(", ", TRUE, _xlpm.MyAuditVal, _xlpm.MacVal)
)</f>
        <v/>
      </c>
    </row>
    <row r="1074" spans="1:24">
      <c r="A1074" s="40" t="str">
        <f>_xlfn.TEXTJOIN("",TRUE,Input!$B$2,ROW(My_Audit!A1073))</f>
        <v>X1073</v>
      </c>
      <c r="B1074" s="40" t="str">
        <f>_xlfn.TEXTJOIN("-",TRUE,"ITD",Input!$A$2,A1074)</f>
        <v>ITD-X1073</v>
      </c>
      <c r="C1074" s="40" t="str" cm="1">
        <f t="array" ref="C1074">IFERROR(_xlfn.LET(
_xlpm.CSVVal,_xlfn.XLOOKUP($A1074,CSV!$A:$A,CSV!B:B,""),
_xlpm.MacVal,_xlfn.XLOOKUP($A1074,Output_Mac!$A:$A,Output_Mac!B:B,""),
_xlpm.MyAuditVal,_xlfn.XLOOKUP($A1074,My_Audit!$A:$A,My_Audit!B:B,""),
_xlfn.IFS(_xlpm.MyAuditVal&lt;&gt;"",UPPER(_xlpm.MyAuditVal),_xlpm.MacVal&lt;&gt;"",_xlpm.MacVal,_xlpm.CSVVal&lt;&gt;"",_xlpm.CSVVal
)),"")</f>
        <v/>
      </c>
      <c r="D1074" s="40" t="str" cm="1">
        <f t="array" ref="D1074">IFERROR(_xlfn.LET(
_xlpm.CSVVal,_xlfn.XLOOKUP($A1074,CSV!$A:$A,CSV!D:D,""),
_xlpm.MacVal,_xlfn.XLOOKUP($A1074,Output_Mac!$A:$A,Output_Mac!C:C,""),
_xlpm.MyAuditVal,_xlfn.XLOOKUP($A1074,My_Audit!$A:$A,My_Audit!C:C,""),
_xlfn.IFS(_xlpm.MyAuditVal&lt;&gt;"",_xlpm.MyAuditVal,_xlpm.MacVal&lt;&gt;"",_xlpm.MacVal,_xlpm.CSVVal&lt;&gt;"",_xlpm.CSVVal
)),"")</f>
        <v/>
      </c>
      <c r="E1074" s="40" t="str">
        <f>_xlfn.XLOOKUP(A1074,My_Audit!A:A,My_Audit!D:D,"")</f>
        <v/>
      </c>
      <c r="F1074" s="40" t="str" cm="1">
        <f t="array" ref="F1074">IFERROR(_xlfn.LET(
_xlpm.CSVVal,_xlfn.XLOOKUP($A1074,CSV!$A:$A,CSV!F:F,""),
_xlpm.MacVal,_xlfn.XLOOKUP($A1074,Output_Mac!$A:$A,Output_Mac!E:E,""),
_xlpm.MyAuditVal,_xlfn.XLOOKUP($A1074,My_Audit!$A:$A,My_Audit!E:E,""),
_xlfn.IFS(_xlpm.MyAuditVal&lt;&gt;"",_xlpm.MyAuditVal,_xlpm.MacVal&lt;&gt;"",_xlpm.MacVal,_xlpm.CSVVal&lt;&gt;"",_xlpm.CSVVal
)),"")</f>
        <v/>
      </c>
      <c r="G1074" s="40" t="str" cm="1">
        <f t="array" ref="G1074">IFERROR(_xlfn.LET(
_xlpm.CSVVal,_xlfn.XLOOKUP($A1074,CSV!$A:$A,CSV!G:G,""),
_xlpm.MacVal,_xlfn.XLOOKUP($A1074,Output_Mac!$A:$A,Output_Mac!F:F,""),
_xlpm.MyAuditVal,_xlfn.XLOOKUP($A1074,My_Audit!$A:$A,My_Audit!F:F,""),
_xlfn.IFS(_xlpm.MyAuditVal&lt;&gt;"",_xlpm.MyAuditVal,_xlpm.MacVal&lt;&gt;"",_xlpm.MacVal,_xlpm.CSVVal&lt;&gt;"",PROPER(_xlpm.CSVVal)
)),"")</f>
        <v/>
      </c>
      <c r="H1074" s="40" t="str" cm="1">
        <f t="array" ref="H1074">IFERROR(_xlfn.LET(
_xlpm.CSVVal,_xlfn.XLOOKUP($A1074,CSV!$A:$A,CSV!H:H,""),
_xlpm.MacVal,_xlfn.XLOOKUP($A1074,Output_Mac!$A:$A,Output_Mac!H:H,""),
_xlpm.MyAuditVal,_xlfn.XLOOKUP($A1074,My_Audit!$A:$A,My_Audit!G:G,""),
_xlfn.IFS(_xlpm.MyAuditVal&lt;&gt;"",_xlpm.MyAuditVal,_xlpm.MacVal&lt;&gt;"",_xlpm.MacVal,_xlpm.CSVVal&lt;&gt;"",_xlpm.CSVVal
)),"")</f>
        <v/>
      </c>
      <c r="I1074" s="40" t="str">
        <f>_xlfn.XLOOKUP(A1074,Output_Mac!A:A,Output_Mac!I:I,"")</f>
        <v/>
      </c>
      <c r="J1074" s="40" t="str" cm="1">
        <f t="array" ref="J1074">IFERROR(_xlfn.LET(
_xlpm.CSVVal,_xlfn.XLOOKUP($A1074,CSV!$A:$A,CSV!I:I,""),
_xlpm.MacVal,_xlfn.XLOOKUP($A1074,Output_Mac!$A:$A,Output_Mac!J:J,""),
_xlpm.MyAuditVal,_xlfn.XLOOKUP($A1074,My_Audit!$A:$A,My_Audit!I:I,""),
_xlfn.IFS(_xlpm.MyAuditVal&lt;&gt;"",UPPER(_xlpm.MyAuditVal),_xlpm.MacVal&lt;&gt;"",_xlpm.MacVal,_xlpm.CSVVal&lt;&gt;"",_xlpm.CSVVal
)),"")</f>
        <v/>
      </c>
      <c r="K1074" s="40" t="str" cm="1">
        <f t="array" ref="K1074">IFERROR(_xlfn.LET(
_xlpm.CSVVal,_xlfn.XLOOKUP($A1074,CSV!$A:$A,CSV!K:K,""),
_xlpm.MacVal,_xlfn.XLOOKUP($A1074,Output_Mac!$A:$A,Output_Mac!K:K,""),
_xlpm.MyAuditVal,_xlfn.XLOOKUP($A1074,My_Audit!$A:$A,My_Audit!J:J,""),
_xlfn.IFS(_xlpm.MyAuditVal&lt;&gt;"",UPPER(_xlpm.MyAuditVal),_xlpm.MacVal&lt;&gt;"",_xlpm.MacVal,_xlpm.CSVVal&lt;&gt;"",_xlpm.CSVVal
)),"")</f>
        <v/>
      </c>
      <c r="L1074" s="40" t="str" cm="1">
        <f t="array" ref="L1074">IFERROR(_xlfn.LET(
_xlpm.CSVVal,_xlfn.XLOOKUP($A1074,CSV!$A:$A,CSV!P:P,""),
_xlpm.MacVal,_xlfn.XLOOKUP($A1074,Output_Mac!$A:$A,Output_Mac!L:L,""),
_xlpm.MyAuditVal,_xlfn.XLOOKUP($A1074,My_Audit!$A:$A,My_Audit!K:K,""),
_xlfn.IFS(_xlpm.MyAuditVal&lt;&gt;"",UPPER(_xlpm.MyAuditVal),_xlpm.MacVal&lt;&gt;"",_xlpm.MacVal,_xlpm.CSVVal&lt;&gt;"",_xlpm.CSVVal
)),"")</f>
        <v/>
      </c>
      <c r="M1074" s="40" t="str" cm="1">
        <f t="array" ref="M1074">IFERROR(_xlfn.LET(
_xlpm.CSVVal,_xlfn.XLOOKUP($A1074,CSV!$A:$A,CSV!Q:Q,""),
_xlpm.MacVal,_xlfn.XLOOKUP($A1074,Output_Mac!$A:$A,Output_Mac!M:M,""),
_xlpm.MyAuditVal,_xlfn.XLOOKUP($A1074,My_Audit!$A:$A,My_Audit!L:L,""),
_xlfn.IFS(_xlpm.MyAuditVal&lt;&gt;"",UPPER(_xlpm.MyAuditVal),_xlpm.MacVal&lt;&gt;"",_xlpm.MacVal,_xlpm.CSVVal&lt;&gt;"",_xlpm.CSVVal
)),"")</f>
        <v/>
      </c>
      <c r="N1074" s="40"/>
      <c r="O1074" s="40" t="str">
        <f>_xlfn.LET(
    _xlpm.CSVVal, _xlfn.XLOOKUP($A1074, CSV!$A:$A, CSV!AA:AA, ""),
    _xlpm.MacVal, _xlfn.XLOOKUP($A1074, Output_Mac!$A:$A, Output_Mac!S:S, ""),
    _xlpm.MyAuditVal, _xlfn.XLOOKUP($A1074, My_Audit!$A:$A, My_Audit!P:P, ""),
    _xlfn.TEXTJOIN(", ", TRUE, _xlpm.MyAuditVal, _xlpm.MacVal, _xlpm.CSVVal)
)</f>
        <v/>
      </c>
      <c r="P1074" s="40" t="str" cm="1">
        <f t="array" ref="P1074">IFERROR(_xlfn.LET(
_xlpm.CSVVal,_xlfn.XLOOKUP($A1074,CSV!$A:$A,CSV!AB:AB,""),
_xlpm.MacVal,_xlfn.XLOOKUP($A1074,Output_Mac!$A:$A,Output_Mac!T:T,""),
_xlpm.MyAuditVal,_xlfn.XLOOKUP($A1074,My_Audit!$A:$A,My_Audit!Q:Q,""),
_xlfn.IFS(_xlpm.MyAuditVal&lt;&gt;"",UPPER(_xlpm.MyAuditVal),_xlpm.MacVal&lt;&gt;"",_xlpm.MacVal,_xlpm.CSVVal&lt;&gt;"",_xlpm.CSVVal
)),"No")</f>
        <v>No</v>
      </c>
      <c r="Q1074" s="40" t="str" cm="1">
        <f t="array" ref="Q1074">IFERROR(_xlfn.LET(
_xlpm.CSVVal,_xlfn.XLOOKUP($A1074,CSV!$A:$A,CSV!AC:AC,""),
_xlpm.MacVal,_xlfn.XLOOKUP($A1074,Output_Mac!$A:$A,Output_Mac!U:U,""),
_xlpm.MyAuditVal,_xlfn.XLOOKUP($A1074,My_Audit!$A:$A,My_Audit!R:R,""),
_xlfn.IFS(_xlpm.MyAuditVal&lt;&gt;"",UPPER(_xlpm.MyAuditVal),_xlpm.MacVal&lt;&gt;"",_xlpm.MacVal,_xlpm.CSVVal&lt;&gt;"",_xlpm.CSVVal
)),"")</f>
        <v/>
      </c>
      <c r="R1074" s="40"/>
      <c r="S1074" s="40"/>
      <c r="T1074" s="40"/>
      <c r="U1074" s="40"/>
      <c r="V1074" s="40"/>
      <c r="W1074" s="40"/>
      <c r="X1074" s="41" t="str">
        <f>_xlfn.LET(
    _xlpm.MacVal, _xlfn.XLOOKUP($A1074, Output_Mac!$A:$A, Output_Mac!AB:AB, ""),
    _xlpm.MyAuditVal, _xlfn.XLOOKUP($A1074, My_Audit!$A:$A, My_Audit!N:N, ""),
    _xlfn.TEXTJOIN(", ", TRUE, _xlpm.MyAuditVal, _xlpm.MacVal)
)</f>
        <v/>
      </c>
    </row>
    <row r="1075" spans="1:24">
      <c r="A1075" s="40" t="str">
        <f>_xlfn.TEXTJOIN("",TRUE,Input!$B$2,ROW(My_Audit!A1074))</f>
        <v>X1074</v>
      </c>
      <c r="B1075" s="40" t="str">
        <f>_xlfn.TEXTJOIN("-",TRUE,"ITD",Input!$A$2,A1075)</f>
        <v>ITD-X1074</v>
      </c>
      <c r="C1075" s="40" t="str" cm="1">
        <f t="array" ref="C1075">IFERROR(_xlfn.LET(
_xlpm.CSVVal,_xlfn.XLOOKUP($A1075,CSV!$A:$A,CSV!B:B,""),
_xlpm.MacVal,_xlfn.XLOOKUP($A1075,Output_Mac!$A:$A,Output_Mac!B:B,""),
_xlpm.MyAuditVal,_xlfn.XLOOKUP($A1075,My_Audit!$A:$A,My_Audit!B:B,""),
_xlfn.IFS(_xlpm.MyAuditVal&lt;&gt;"",UPPER(_xlpm.MyAuditVal),_xlpm.MacVal&lt;&gt;"",_xlpm.MacVal,_xlpm.CSVVal&lt;&gt;"",_xlpm.CSVVal
)),"")</f>
        <v/>
      </c>
      <c r="D1075" s="40" t="str" cm="1">
        <f t="array" ref="D1075">IFERROR(_xlfn.LET(
_xlpm.CSVVal,_xlfn.XLOOKUP($A1075,CSV!$A:$A,CSV!D:D,""),
_xlpm.MacVal,_xlfn.XLOOKUP($A1075,Output_Mac!$A:$A,Output_Mac!C:C,""),
_xlpm.MyAuditVal,_xlfn.XLOOKUP($A1075,My_Audit!$A:$A,My_Audit!C:C,""),
_xlfn.IFS(_xlpm.MyAuditVal&lt;&gt;"",_xlpm.MyAuditVal,_xlpm.MacVal&lt;&gt;"",_xlpm.MacVal,_xlpm.CSVVal&lt;&gt;"",_xlpm.CSVVal
)),"")</f>
        <v/>
      </c>
      <c r="E1075" s="40" t="str">
        <f>_xlfn.XLOOKUP(A1075,My_Audit!A:A,My_Audit!D:D,"")</f>
        <v/>
      </c>
      <c r="F1075" s="40" t="str" cm="1">
        <f t="array" ref="F1075">IFERROR(_xlfn.LET(
_xlpm.CSVVal,_xlfn.XLOOKUP($A1075,CSV!$A:$A,CSV!F:F,""),
_xlpm.MacVal,_xlfn.XLOOKUP($A1075,Output_Mac!$A:$A,Output_Mac!E:E,""),
_xlpm.MyAuditVal,_xlfn.XLOOKUP($A1075,My_Audit!$A:$A,My_Audit!E:E,""),
_xlfn.IFS(_xlpm.MyAuditVal&lt;&gt;"",_xlpm.MyAuditVal,_xlpm.MacVal&lt;&gt;"",_xlpm.MacVal,_xlpm.CSVVal&lt;&gt;"",_xlpm.CSVVal
)),"")</f>
        <v/>
      </c>
      <c r="G1075" s="40" t="str" cm="1">
        <f t="array" ref="G1075">IFERROR(_xlfn.LET(
_xlpm.CSVVal,_xlfn.XLOOKUP($A1075,CSV!$A:$A,CSV!G:G,""),
_xlpm.MacVal,_xlfn.XLOOKUP($A1075,Output_Mac!$A:$A,Output_Mac!F:F,""),
_xlpm.MyAuditVal,_xlfn.XLOOKUP($A1075,My_Audit!$A:$A,My_Audit!F:F,""),
_xlfn.IFS(_xlpm.MyAuditVal&lt;&gt;"",_xlpm.MyAuditVal,_xlpm.MacVal&lt;&gt;"",_xlpm.MacVal,_xlpm.CSVVal&lt;&gt;"",PROPER(_xlpm.CSVVal)
)),"")</f>
        <v/>
      </c>
      <c r="H1075" s="40" t="str" cm="1">
        <f t="array" ref="H1075">IFERROR(_xlfn.LET(
_xlpm.CSVVal,_xlfn.XLOOKUP($A1075,CSV!$A:$A,CSV!H:H,""),
_xlpm.MacVal,_xlfn.XLOOKUP($A1075,Output_Mac!$A:$A,Output_Mac!H:H,""),
_xlpm.MyAuditVal,_xlfn.XLOOKUP($A1075,My_Audit!$A:$A,My_Audit!G:G,""),
_xlfn.IFS(_xlpm.MyAuditVal&lt;&gt;"",_xlpm.MyAuditVal,_xlpm.MacVal&lt;&gt;"",_xlpm.MacVal,_xlpm.CSVVal&lt;&gt;"",_xlpm.CSVVal
)),"")</f>
        <v/>
      </c>
      <c r="I1075" s="40" t="str">
        <f>_xlfn.XLOOKUP(A1075,Output_Mac!A:A,Output_Mac!I:I,"")</f>
        <v/>
      </c>
      <c r="J1075" s="40" t="str" cm="1">
        <f t="array" ref="J1075">IFERROR(_xlfn.LET(
_xlpm.CSVVal,_xlfn.XLOOKUP($A1075,CSV!$A:$A,CSV!I:I,""),
_xlpm.MacVal,_xlfn.XLOOKUP($A1075,Output_Mac!$A:$A,Output_Mac!J:J,""),
_xlpm.MyAuditVal,_xlfn.XLOOKUP($A1075,My_Audit!$A:$A,My_Audit!I:I,""),
_xlfn.IFS(_xlpm.MyAuditVal&lt;&gt;"",UPPER(_xlpm.MyAuditVal),_xlpm.MacVal&lt;&gt;"",_xlpm.MacVal,_xlpm.CSVVal&lt;&gt;"",_xlpm.CSVVal
)),"")</f>
        <v/>
      </c>
      <c r="K1075" s="40" t="str" cm="1">
        <f t="array" ref="K1075">IFERROR(_xlfn.LET(
_xlpm.CSVVal,_xlfn.XLOOKUP($A1075,CSV!$A:$A,CSV!K:K,""),
_xlpm.MacVal,_xlfn.XLOOKUP($A1075,Output_Mac!$A:$A,Output_Mac!K:K,""),
_xlpm.MyAuditVal,_xlfn.XLOOKUP($A1075,My_Audit!$A:$A,My_Audit!J:J,""),
_xlfn.IFS(_xlpm.MyAuditVal&lt;&gt;"",UPPER(_xlpm.MyAuditVal),_xlpm.MacVal&lt;&gt;"",_xlpm.MacVal,_xlpm.CSVVal&lt;&gt;"",_xlpm.CSVVal
)),"")</f>
        <v/>
      </c>
      <c r="L1075" s="40" t="str" cm="1">
        <f t="array" ref="L1075">IFERROR(_xlfn.LET(
_xlpm.CSVVal,_xlfn.XLOOKUP($A1075,CSV!$A:$A,CSV!P:P,""),
_xlpm.MacVal,_xlfn.XLOOKUP($A1075,Output_Mac!$A:$A,Output_Mac!L:L,""),
_xlpm.MyAuditVal,_xlfn.XLOOKUP($A1075,My_Audit!$A:$A,My_Audit!K:K,""),
_xlfn.IFS(_xlpm.MyAuditVal&lt;&gt;"",UPPER(_xlpm.MyAuditVal),_xlpm.MacVal&lt;&gt;"",_xlpm.MacVal,_xlpm.CSVVal&lt;&gt;"",_xlpm.CSVVal
)),"")</f>
        <v/>
      </c>
      <c r="M1075" s="40" t="str" cm="1">
        <f t="array" ref="M1075">IFERROR(_xlfn.LET(
_xlpm.CSVVal,_xlfn.XLOOKUP($A1075,CSV!$A:$A,CSV!Q:Q,""),
_xlpm.MacVal,_xlfn.XLOOKUP($A1075,Output_Mac!$A:$A,Output_Mac!M:M,""),
_xlpm.MyAuditVal,_xlfn.XLOOKUP($A1075,My_Audit!$A:$A,My_Audit!L:L,""),
_xlfn.IFS(_xlpm.MyAuditVal&lt;&gt;"",UPPER(_xlpm.MyAuditVal),_xlpm.MacVal&lt;&gt;"",_xlpm.MacVal,_xlpm.CSVVal&lt;&gt;"",_xlpm.CSVVal
)),"")</f>
        <v/>
      </c>
      <c r="N1075" s="40"/>
      <c r="O1075" s="40" t="str">
        <f>_xlfn.LET(
    _xlpm.CSVVal, _xlfn.XLOOKUP($A1075, CSV!$A:$A, CSV!AA:AA, ""),
    _xlpm.MacVal, _xlfn.XLOOKUP($A1075, Output_Mac!$A:$A, Output_Mac!S:S, ""),
    _xlpm.MyAuditVal, _xlfn.XLOOKUP($A1075, My_Audit!$A:$A, My_Audit!P:P, ""),
    _xlfn.TEXTJOIN(", ", TRUE, _xlpm.MyAuditVal, _xlpm.MacVal, _xlpm.CSVVal)
)</f>
        <v/>
      </c>
      <c r="P1075" s="40" t="str" cm="1">
        <f t="array" ref="P1075">IFERROR(_xlfn.LET(
_xlpm.CSVVal,_xlfn.XLOOKUP($A1075,CSV!$A:$A,CSV!AB:AB,""),
_xlpm.MacVal,_xlfn.XLOOKUP($A1075,Output_Mac!$A:$A,Output_Mac!T:T,""),
_xlpm.MyAuditVal,_xlfn.XLOOKUP($A1075,My_Audit!$A:$A,My_Audit!Q:Q,""),
_xlfn.IFS(_xlpm.MyAuditVal&lt;&gt;"",UPPER(_xlpm.MyAuditVal),_xlpm.MacVal&lt;&gt;"",_xlpm.MacVal,_xlpm.CSVVal&lt;&gt;"",_xlpm.CSVVal
)),"No")</f>
        <v>No</v>
      </c>
      <c r="Q1075" s="40" t="str" cm="1">
        <f t="array" ref="Q1075">IFERROR(_xlfn.LET(
_xlpm.CSVVal,_xlfn.XLOOKUP($A1075,CSV!$A:$A,CSV!AC:AC,""),
_xlpm.MacVal,_xlfn.XLOOKUP($A1075,Output_Mac!$A:$A,Output_Mac!U:U,""),
_xlpm.MyAuditVal,_xlfn.XLOOKUP($A1075,My_Audit!$A:$A,My_Audit!R:R,""),
_xlfn.IFS(_xlpm.MyAuditVal&lt;&gt;"",UPPER(_xlpm.MyAuditVal),_xlpm.MacVal&lt;&gt;"",_xlpm.MacVal,_xlpm.CSVVal&lt;&gt;"",_xlpm.CSVVal
)),"")</f>
        <v/>
      </c>
      <c r="R1075" s="40"/>
      <c r="S1075" s="40"/>
      <c r="T1075" s="40"/>
      <c r="U1075" s="40"/>
      <c r="V1075" s="40"/>
      <c r="W1075" s="40"/>
      <c r="X1075" s="41" t="str">
        <f>_xlfn.LET(
    _xlpm.MacVal, _xlfn.XLOOKUP($A1075, Output_Mac!$A:$A, Output_Mac!AB:AB, ""),
    _xlpm.MyAuditVal, _xlfn.XLOOKUP($A1075, My_Audit!$A:$A, My_Audit!N:N, ""),
    _xlfn.TEXTJOIN(", ", TRUE, _xlpm.MyAuditVal, _xlpm.MacVal)
)</f>
        <v/>
      </c>
    </row>
    <row r="1076" spans="1:24">
      <c r="A1076" s="40" t="str">
        <f>_xlfn.TEXTJOIN("",TRUE,Input!$B$2,ROW(My_Audit!A1075))</f>
        <v>X1075</v>
      </c>
      <c r="B1076" s="40" t="str">
        <f>_xlfn.TEXTJOIN("-",TRUE,"ITD",Input!$A$2,A1076)</f>
        <v>ITD-X1075</v>
      </c>
      <c r="C1076" s="40" t="str" cm="1">
        <f t="array" ref="C1076">IFERROR(_xlfn.LET(
_xlpm.CSVVal,_xlfn.XLOOKUP($A1076,CSV!$A:$A,CSV!B:B,""),
_xlpm.MacVal,_xlfn.XLOOKUP($A1076,Output_Mac!$A:$A,Output_Mac!B:B,""),
_xlpm.MyAuditVal,_xlfn.XLOOKUP($A1076,My_Audit!$A:$A,My_Audit!B:B,""),
_xlfn.IFS(_xlpm.MyAuditVal&lt;&gt;"",UPPER(_xlpm.MyAuditVal),_xlpm.MacVal&lt;&gt;"",_xlpm.MacVal,_xlpm.CSVVal&lt;&gt;"",_xlpm.CSVVal
)),"")</f>
        <v/>
      </c>
      <c r="D1076" s="40" t="str" cm="1">
        <f t="array" ref="D1076">IFERROR(_xlfn.LET(
_xlpm.CSVVal,_xlfn.XLOOKUP($A1076,CSV!$A:$A,CSV!D:D,""),
_xlpm.MacVal,_xlfn.XLOOKUP($A1076,Output_Mac!$A:$A,Output_Mac!C:C,""),
_xlpm.MyAuditVal,_xlfn.XLOOKUP($A1076,My_Audit!$A:$A,My_Audit!C:C,""),
_xlfn.IFS(_xlpm.MyAuditVal&lt;&gt;"",_xlpm.MyAuditVal,_xlpm.MacVal&lt;&gt;"",_xlpm.MacVal,_xlpm.CSVVal&lt;&gt;"",_xlpm.CSVVal
)),"")</f>
        <v/>
      </c>
      <c r="E1076" s="40" t="str">
        <f>_xlfn.XLOOKUP(A1076,My_Audit!A:A,My_Audit!D:D,"")</f>
        <v/>
      </c>
      <c r="F1076" s="40" t="str" cm="1">
        <f t="array" ref="F1076">IFERROR(_xlfn.LET(
_xlpm.CSVVal,_xlfn.XLOOKUP($A1076,CSV!$A:$A,CSV!F:F,""),
_xlpm.MacVal,_xlfn.XLOOKUP($A1076,Output_Mac!$A:$A,Output_Mac!E:E,""),
_xlpm.MyAuditVal,_xlfn.XLOOKUP($A1076,My_Audit!$A:$A,My_Audit!E:E,""),
_xlfn.IFS(_xlpm.MyAuditVal&lt;&gt;"",_xlpm.MyAuditVal,_xlpm.MacVal&lt;&gt;"",_xlpm.MacVal,_xlpm.CSVVal&lt;&gt;"",_xlpm.CSVVal
)),"")</f>
        <v/>
      </c>
      <c r="G1076" s="40" t="str" cm="1">
        <f t="array" ref="G1076">IFERROR(_xlfn.LET(
_xlpm.CSVVal,_xlfn.XLOOKUP($A1076,CSV!$A:$A,CSV!G:G,""),
_xlpm.MacVal,_xlfn.XLOOKUP($A1076,Output_Mac!$A:$A,Output_Mac!F:F,""),
_xlpm.MyAuditVal,_xlfn.XLOOKUP($A1076,My_Audit!$A:$A,My_Audit!F:F,""),
_xlfn.IFS(_xlpm.MyAuditVal&lt;&gt;"",_xlpm.MyAuditVal,_xlpm.MacVal&lt;&gt;"",_xlpm.MacVal,_xlpm.CSVVal&lt;&gt;"",PROPER(_xlpm.CSVVal)
)),"")</f>
        <v/>
      </c>
      <c r="H1076" s="40" t="str" cm="1">
        <f t="array" ref="H1076">IFERROR(_xlfn.LET(
_xlpm.CSVVal,_xlfn.XLOOKUP($A1076,CSV!$A:$A,CSV!H:H,""),
_xlpm.MacVal,_xlfn.XLOOKUP($A1076,Output_Mac!$A:$A,Output_Mac!H:H,""),
_xlpm.MyAuditVal,_xlfn.XLOOKUP($A1076,My_Audit!$A:$A,My_Audit!G:G,""),
_xlfn.IFS(_xlpm.MyAuditVal&lt;&gt;"",_xlpm.MyAuditVal,_xlpm.MacVal&lt;&gt;"",_xlpm.MacVal,_xlpm.CSVVal&lt;&gt;"",_xlpm.CSVVal
)),"")</f>
        <v/>
      </c>
      <c r="I1076" s="40" t="str">
        <f>_xlfn.XLOOKUP(A1076,Output_Mac!A:A,Output_Mac!I:I,"")</f>
        <v/>
      </c>
      <c r="J1076" s="40" t="str" cm="1">
        <f t="array" ref="J1076">IFERROR(_xlfn.LET(
_xlpm.CSVVal,_xlfn.XLOOKUP($A1076,CSV!$A:$A,CSV!I:I,""),
_xlpm.MacVal,_xlfn.XLOOKUP($A1076,Output_Mac!$A:$A,Output_Mac!J:J,""),
_xlpm.MyAuditVal,_xlfn.XLOOKUP($A1076,My_Audit!$A:$A,My_Audit!I:I,""),
_xlfn.IFS(_xlpm.MyAuditVal&lt;&gt;"",UPPER(_xlpm.MyAuditVal),_xlpm.MacVal&lt;&gt;"",_xlpm.MacVal,_xlpm.CSVVal&lt;&gt;"",_xlpm.CSVVal
)),"")</f>
        <v/>
      </c>
      <c r="K1076" s="40" t="str" cm="1">
        <f t="array" ref="K1076">IFERROR(_xlfn.LET(
_xlpm.CSVVal,_xlfn.XLOOKUP($A1076,CSV!$A:$A,CSV!K:K,""),
_xlpm.MacVal,_xlfn.XLOOKUP($A1076,Output_Mac!$A:$A,Output_Mac!K:K,""),
_xlpm.MyAuditVal,_xlfn.XLOOKUP($A1076,My_Audit!$A:$A,My_Audit!J:J,""),
_xlfn.IFS(_xlpm.MyAuditVal&lt;&gt;"",UPPER(_xlpm.MyAuditVal),_xlpm.MacVal&lt;&gt;"",_xlpm.MacVal,_xlpm.CSVVal&lt;&gt;"",_xlpm.CSVVal
)),"")</f>
        <v/>
      </c>
      <c r="L1076" s="40" t="str" cm="1">
        <f t="array" ref="L1076">IFERROR(_xlfn.LET(
_xlpm.CSVVal,_xlfn.XLOOKUP($A1076,CSV!$A:$A,CSV!P:P,""),
_xlpm.MacVal,_xlfn.XLOOKUP($A1076,Output_Mac!$A:$A,Output_Mac!L:L,""),
_xlpm.MyAuditVal,_xlfn.XLOOKUP($A1076,My_Audit!$A:$A,My_Audit!K:K,""),
_xlfn.IFS(_xlpm.MyAuditVal&lt;&gt;"",UPPER(_xlpm.MyAuditVal),_xlpm.MacVal&lt;&gt;"",_xlpm.MacVal,_xlpm.CSVVal&lt;&gt;"",_xlpm.CSVVal
)),"")</f>
        <v/>
      </c>
      <c r="M1076" s="40" t="str" cm="1">
        <f t="array" ref="M1076">IFERROR(_xlfn.LET(
_xlpm.CSVVal,_xlfn.XLOOKUP($A1076,CSV!$A:$A,CSV!Q:Q,""),
_xlpm.MacVal,_xlfn.XLOOKUP($A1076,Output_Mac!$A:$A,Output_Mac!M:M,""),
_xlpm.MyAuditVal,_xlfn.XLOOKUP($A1076,My_Audit!$A:$A,My_Audit!L:L,""),
_xlfn.IFS(_xlpm.MyAuditVal&lt;&gt;"",UPPER(_xlpm.MyAuditVal),_xlpm.MacVal&lt;&gt;"",_xlpm.MacVal,_xlpm.CSVVal&lt;&gt;"",_xlpm.CSVVal
)),"")</f>
        <v/>
      </c>
      <c r="N1076" s="40"/>
      <c r="O1076" s="40" t="str">
        <f>_xlfn.LET(
    _xlpm.CSVVal, _xlfn.XLOOKUP($A1076, CSV!$A:$A, CSV!AA:AA, ""),
    _xlpm.MacVal, _xlfn.XLOOKUP($A1076, Output_Mac!$A:$A, Output_Mac!S:S, ""),
    _xlpm.MyAuditVal, _xlfn.XLOOKUP($A1076, My_Audit!$A:$A, My_Audit!P:P, ""),
    _xlfn.TEXTJOIN(", ", TRUE, _xlpm.MyAuditVal, _xlpm.MacVal, _xlpm.CSVVal)
)</f>
        <v/>
      </c>
      <c r="P1076" s="40" t="str" cm="1">
        <f t="array" ref="P1076">IFERROR(_xlfn.LET(
_xlpm.CSVVal,_xlfn.XLOOKUP($A1076,CSV!$A:$A,CSV!AB:AB,""),
_xlpm.MacVal,_xlfn.XLOOKUP($A1076,Output_Mac!$A:$A,Output_Mac!T:T,""),
_xlpm.MyAuditVal,_xlfn.XLOOKUP($A1076,My_Audit!$A:$A,My_Audit!Q:Q,""),
_xlfn.IFS(_xlpm.MyAuditVal&lt;&gt;"",UPPER(_xlpm.MyAuditVal),_xlpm.MacVal&lt;&gt;"",_xlpm.MacVal,_xlpm.CSVVal&lt;&gt;"",_xlpm.CSVVal
)),"No")</f>
        <v>No</v>
      </c>
      <c r="Q1076" s="40" t="str" cm="1">
        <f t="array" ref="Q1076">IFERROR(_xlfn.LET(
_xlpm.CSVVal,_xlfn.XLOOKUP($A1076,CSV!$A:$A,CSV!AC:AC,""),
_xlpm.MacVal,_xlfn.XLOOKUP($A1076,Output_Mac!$A:$A,Output_Mac!U:U,""),
_xlpm.MyAuditVal,_xlfn.XLOOKUP($A1076,My_Audit!$A:$A,My_Audit!R:R,""),
_xlfn.IFS(_xlpm.MyAuditVal&lt;&gt;"",UPPER(_xlpm.MyAuditVal),_xlpm.MacVal&lt;&gt;"",_xlpm.MacVal,_xlpm.CSVVal&lt;&gt;"",_xlpm.CSVVal
)),"")</f>
        <v/>
      </c>
      <c r="R1076" s="40"/>
      <c r="S1076" s="40"/>
      <c r="T1076" s="40"/>
      <c r="U1076" s="40"/>
      <c r="V1076" s="40"/>
      <c r="W1076" s="40"/>
      <c r="X1076" s="41" t="str">
        <f>_xlfn.LET(
    _xlpm.MacVal, _xlfn.XLOOKUP($A1076, Output_Mac!$A:$A, Output_Mac!AB:AB, ""),
    _xlpm.MyAuditVal, _xlfn.XLOOKUP($A1076, My_Audit!$A:$A, My_Audit!N:N, ""),
    _xlfn.TEXTJOIN(", ", TRUE, _xlpm.MyAuditVal, _xlpm.MacVal)
)</f>
        <v/>
      </c>
    </row>
    <row r="1077" spans="1:24">
      <c r="A1077" s="40" t="str">
        <f>_xlfn.TEXTJOIN("",TRUE,Input!$B$2,ROW(My_Audit!A1076))</f>
        <v>X1076</v>
      </c>
      <c r="B1077" s="40" t="str">
        <f>_xlfn.TEXTJOIN("-",TRUE,"ITD",Input!$A$2,A1077)</f>
        <v>ITD-X1076</v>
      </c>
      <c r="C1077" s="40" t="str" cm="1">
        <f t="array" ref="C1077">IFERROR(_xlfn.LET(
_xlpm.CSVVal,_xlfn.XLOOKUP($A1077,CSV!$A:$A,CSV!B:B,""),
_xlpm.MacVal,_xlfn.XLOOKUP($A1077,Output_Mac!$A:$A,Output_Mac!B:B,""),
_xlpm.MyAuditVal,_xlfn.XLOOKUP($A1077,My_Audit!$A:$A,My_Audit!B:B,""),
_xlfn.IFS(_xlpm.MyAuditVal&lt;&gt;"",UPPER(_xlpm.MyAuditVal),_xlpm.MacVal&lt;&gt;"",_xlpm.MacVal,_xlpm.CSVVal&lt;&gt;"",_xlpm.CSVVal
)),"")</f>
        <v/>
      </c>
      <c r="D1077" s="40" t="str" cm="1">
        <f t="array" ref="D1077">IFERROR(_xlfn.LET(
_xlpm.CSVVal,_xlfn.XLOOKUP($A1077,CSV!$A:$A,CSV!D:D,""),
_xlpm.MacVal,_xlfn.XLOOKUP($A1077,Output_Mac!$A:$A,Output_Mac!C:C,""),
_xlpm.MyAuditVal,_xlfn.XLOOKUP($A1077,My_Audit!$A:$A,My_Audit!C:C,""),
_xlfn.IFS(_xlpm.MyAuditVal&lt;&gt;"",_xlpm.MyAuditVal,_xlpm.MacVal&lt;&gt;"",_xlpm.MacVal,_xlpm.CSVVal&lt;&gt;"",_xlpm.CSVVal
)),"")</f>
        <v/>
      </c>
      <c r="E1077" s="40" t="str">
        <f>_xlfn.XLOOKUP(A1077,My_Audit!A:A,My_Audit!D:D,"")</f>
        <v/>
      </c>
      <c r="F1077" s="40" t="str" cm="1">
        <f t="array" ref="F1077">IFERROR(_xlfn.LET(
_xlpm.CSVVal,_xlfn.XLOOKUP($A1077,CSV!$A:$A,CSV!F:F,""),
_xlpm.MacVal,_xlfn.XLOOKUP($A1077,Output_Mac!$A:$A,Output_Mac!E:E,""),
_xlpm.MyAuditVal,_xlfn.XLOOKUP($A1077,My_Audit!$A:$A,My_Audit!E:E,""),
_xlfn.IFS(_xlpm.MyAuditVal&lt;&gt;"",_xlpm.MyAuditVal,_xlpm.MacVal&lt;&gt;"",_xlpm.MacVal,_xlpm.CSVVal&lt;&gt;"",_xlpm.CSVVal
)),"")</f>
        <v/>
      </c>
      <c r="G1077" s="40" t="str" cm="1">
        <f t="array" ref="G1077">IFERROR(_xlfn.LET(
_xlpm.CSVVal,_xlfn.XLOOKUP($A1077,CSV!$A:$A,CSV!G:G,""),
_xlpm.MacVal,_xlfn.XLOOKUP($A1077,Output_Mac!$A:$A,Output_Mac!F:F,""),
_xlpm.MyAuditVal,_xlfn.XLOOKUP($A1077,My_Audit!$A:$A,My_Audit!F:F,""),
_xlfn.IFS(_xlpm.MyAuditVal&lt;&gt;"",_xlpm.MyAuditVal,_xlpm.MacVal&lt;&gt;"",_xlpm.MacVal,_xlpm.CSVVal&lt;&gt;"",PROPER(_xlpm.CSVVal)
)),"")</f>
        <v/>
      </c>
      <c r="H1077" s="40" t="str" cm="1">
        <f t="array" ref="H1077">IFERROR(_xlfn.LET(
_xlpm.CSVVal,_xlfn.XLOOKUP($A1077,CSV!$A:$A,CSV!H:H,""),
_xlpm.MacVal,_xlfn.XLOOKUP($A1077,Output_Mac!$A:$A,Output_Mac!H:H,""),
_xlpm.MyAuditVal,_xlfn.XLOOKUP($A1077,My_Audit!$A:$A,My_Audit!G:G,""),
_xlfn.IFS(_xlpm.MyAuditVal&lt;&gt;"",_xlpm.MyAuditVal,_xlpm.MacVal&lt;&gt;"",_xlpm.MacVal,_xlpm.CSVVal&lt;&gt;"",_xlpm.CSVVal
)),"")</f>
        <v/>
      </c>
      <c r="I1077" s="40" t="str">
        <f>_xlfn.XLOOKUP(A1077,Output_Mac!A:A,Output_Mac!I:I,"")</f>
        <v/>
      </c>
      <c r="J1077" s="40" t="str" cm="1">
        <f t="array" ref="J1077">IFERROR(_xlfn.LET(
_xlpm.CSVVal,_xlfn.XLOOKUP($A1077,CSV!$A:$A,CSV!I:I,""),
_xlpm.MacVal,_xlfn.XLOOKUP($A1077,Output_Mac!$A:$A,Output_Mac!J:J,""),
_xlpm.MyAuditVal,_xlfn.XLOOKUP($A1077,My_Audit!$A:$A,My_Audit!I:I,""),
_xlfn.IFS(_xlpm.MyAuditVal&lt;&gt;"",UPPER(_xlpm.MyAuditVal),_xlpm.MacVal&lt;&gt;"",_xlpm.MacVal,_xlpm.CSVVal&lt;&gt;"",_xlpm.CSVVal
)),"")</f>
        <v/>
      </c>
      <c r="K1077" s="40" t="str" cm="1">
        <f t="array" ref="K1077">IFERROR(_xlfn.LET(
_xlpm.CSVVal,_xlfn.XLOOKUP($A1077,CSV!$A:$A,CSV!K:K,""),
_xlpm.MacVal,_xlfn.XLOOKUP($A1077,Output_Mac!$A:$A,Output_Mac!K:K,""),
_xlpm.MyAuditVal,_xlfn.XLOOKUP($A1077,My_Audit!$A:$A,My_Audit!J:J,""),
_xlfn.IFS(_xlpm.MyAuditVal&lt;&gt;"",UPPER(_xlpm.MyAuditVal),_xlpm.MacVal&lt;&gt;"",_xlpm.MacVal,_xlpm.CSVVal&lt;&gt;"",_xlpm.CSVVal
)),"")</f>
        <v/>
      </c>
      <c r="L1077" s="40" t="str" cm="1">
        <f t="array" ref="L1077">IFERROR(_xlfn.LET(
_xlpm.CSVVal,_xlfn.XLOOKUP($A1077,CSV!$A:$A,CSV!P:P,""),
_xlpm.MacVal,_xlfn.XLOOKUP($A1077,Output_Mac!$A:$A,Output_Mac!L:L,""),
_xlpm.MyAuditVal,_xlfn.XLOOKUP($A1077,My_Audit!$A:$A,My_Audit!K:K,""),
_xlfn.IFS(_xlpm.MyAuditVal&lt;&gt;"",UPPER(_xlpm.MyAuditVal),_xlpm.MacVal&lt;&gt;"",_xlpm.MacVal,_xlpm.CSVVal&lt;&gt;"",_xlpm.CSVVal
)),"")</f>
        <v/>
      </c>
      <c r="M1077" s="40" t="str" cm="1">
        <f t="array" ref="M1077">IFERROR(_xlfn.LET(
_xlpm.CSVVal,_xlfn.XLOOKUP($A1077,CSV!$A:$A,CSV!Q:Q,""),
_xlpm.MacVal,_xlfn.XLOOKUP($A1077,Output_Mac!$A:$A,Output_Mac!M:M,""),
_xlpm.MyAuditVal,_xlfn.XLOOKUP($A1077,My_Audit!$A:$A,My_Audit!L:L,""),
_xlfn.IFS(_xlpm.MyAuditVal&lt;&gt;"",UPPER(_xlpm.MyAuditVal),_xlpm.MacVal&lt;&gt;"",_xlpm.MacVal,_xlpm.CSVVal&lt;&gt;"",_xlpm.CSVVal
)),"")</f>
        <v/>
      </c>
      <c r="N1077" s="40"/>
      <c r="O1077" s="40" t="str">
        <f>_xlfn.LET(
    _xlpm.CSVVal, _xlfn.XLOOKUP($A1077, CSV!$A:$A, CSV!AA:AA, ""),
    _xlpm.MacVal, _xlfn.XLOOKUP($A1077, Output_Mac!$A:$A, Output_Mac!S:S, ""),
    _xlpm.MyAuditVal, _xlfn.XLOOKUP($A1077, My_Audit!$A:$A, My_Audit!P:P, ""),
    _xlfn.TEXTJOIN(", ", TRUE, _xlpm.MyAuditVal, _xlpm.MacVal, _xlpm.CSVVal)
)</f>
        <v/>
      </c>
      <c r="P1077" s="40" t="str" cm="1">
        <f t="array" ref="P1077">IFERROR(_xlfn.LET(
_xlpm.CSVVal,_xlfn.XLOOKUP($A1077,CSV!$A:$A,CSV!AB:AB,""),
_xlpm.MacVal,_xlfn.XLOOKUP($A1077,Output_Mac!$A:$A,Output_Mac!T:T,""),
_xlpm.MyAuditVal,_xlfn.XLOOKUP($A1077,My_Audit!$A:$A,My_Audit!Q:Q,""),
_xlfn.IFS(_xlpm.MyAuditVal&lt;&gt;"",UPPER(_xlpm.MyAuditVal),_xlpm.MacVal&lt;&gt;"",_xlpm.MacVal,_xlpm.CSVVal&lt;&gt;"",_xlpm.CSVVal
)),"No")</f>
        <v>No</v>
      </c>
      <c r="Q1077" s="40" t="str" cm="1">
        <f t="array" ref="Q1077">IFERROR(_xlfn.LET(
_xlpm.CSVVal,_xlfn.XLOOKUP($A1077,CSV!$A:$A,CSV!AC:AC,""),
_xlpm.MacVal,_xlfn.XLOOKUP($A1077,Output_Mac!$A:$A,Output_Mac!U:U,""),
_xlpm.MyAuditVal,_xlfn.XLOOKUP($A1077,My_Audit!$A:$A,My_Audit!R:R,""),
_xlfn.IFS(_xlpm.MyAuditVal&lt;&gt;"",UPPER(_xlpm.MyAuditVal),_xlpm.MacVal&lt;&gt;"",_xlpm.MacVal,_xlpm.CSVVal&lt;&gt;"",_xlpm.CSVVal
)),"")</f>
        <v/>
      </c>
      <c r="R1077" s="40"/>
      <c r="S1077" s="40"/>
      <c r="T1077" s="40"/>
      <c r="U1077" s="40"/>
      <c r="V1077" s="40"/>
      <c r="W1077" s="40"/>
      <c r="X1077" s="41" t="str">
        <f>_xlfn.LET(
    _xlpm.MacVal, _xlfn.XLOOKUP($A1077, Output_Mac!$A:$A, Output_Mac!AB:AB, ""),
    _xlpm.MyAuditVal, _xlfn.XLOOKUP($A1077, My_Audit!$A:$A, My_Audit!N:N, ""),
    _xlfn.TEXTJOIN(", ", TRUE, _xlpm.MyAuditVal, _xlpm.MacVal)
)</f>
        <v/>
      </c>
    </row>
    <row r="1078" spans="1:24">
      <c r="A1078" s="40" t="str">
        <f>_xlfn.TEXTJOIN("",TRUE,Input!$B$2,ROW(My_Audit!A1077))</f>
        <v>X1077</v>
      </c>
      <c r="B1078" s="40" t="str">
        <f>_xlfn.TEXTJOIN("-",TRUE,"ITD",Input!$A$2,A1078)</f>
        <v>ITD-X1077</v>
      </c>
      <c r="C1078" s="40" t="str" cm="1">
        <f t="array" ref="C1078">IFERROR(_xlfn.LET(
_xlpm.CSVVal,_xlfn.XLOOKUP($A1078,CSV!$A:$A,CSV!B:B,""),
_xlpm.MacVal,_xlfn.XLOOKUP($A1078,Output_Mac!$A:$A,Output_Mac!B:B,""),
_xlpm.MyAuditVal,_xlfn.XLOOKUP($A1078,My_Audit!$A:$A,My_Audit!B:B,""),
_xlfn.IFS(_xlpm.MyAuditVal&lt;&gt;"",UPPER(_xlpm.MyAuditVal),_xlpm.MacVal&lt;&gt;"",_xlpm.MacVal,_xlpm.CSVVal&lt;&gt;"",_xlpm.CSVVal
)),"")</f>
        <v/>
      </c>
      <c r="D1078" s="40" t="str" cm="1">
        <f t="array" ref="D1078">IFERROR(_xlfn.LET(
_xlpm.CSVVal,_xlfn.XLOOKUP($A1078,CSV!$A:$A,CSV!D:D,""),
_xlpm.MacVal,_xlfn.XLOOKUP($A1078,Output_Mac!$A:$A,Output_Mac!C:C,""),
_xlpm.MyAuditVal,_xlfn.XLOOKUP($A1078,My_Audit!$A:$A,My_Audit!C:C,""),
_xlfn.IFS(_xlpm.MyAuditVal&lt;&gt;"",_xlpm.MyAuditVal,_xlpm.MacVal&lt;&gt;"",_xlpm.MacVal,_xlpm.CSVVal&lt;&gt;"",_xlpm.CSVVal
)),"")</f>
        <v/>
      </c>
      <c r="E1078" s="40" t="str">
        <f>_xlfn.XLOOKUP(A1078,My_Audit!A:A,My_Audit!D:D,"")</f>
        <v/>
      </c>
      <c r="F1078" s="40" t="str" cm="1">
        <f t="array" ref="F1078">IFERROR(_xlfn.LET(
_xlpm.CSVVal,_xlfn.XLOOKUP($A1078,CSV!$A:$A,CSV!F:F,""),
_xlpm.MacVal,_xlfn.XLOOKUP($A1078,Output_Mac!$A:$A,Output_Mac!E:E,""),
_xlpm.MyAuditVal,_xlfn.XLOOKUP($A1078,My_Audit!$A:$A,My_Audit!E:E,""),
_xlfn.IFS(_xlpm.MyAuditVal&lt;&gt;"",_xlpm.MyAuditVal,_xlpm.MacVal&lt;&gt;"",_xlpm.MacVal,_xlpm.CSVVal&lt;&gt;"",_xlpm.CSVVal
)),"")</f>
        <v/>
      </c>
      <c r="G1078" s="40" t="str" cm="1">
        <f t="array" ref="G1078">IFERROR(_xlfn.LET(
_xlpm.CSVVal,_xlfn.XLOOKUP($A1078,CSV!$A:$A,CSV!G:G,""),
_xlpm.MacVal,_xlfn.XLOOKUP($A1078,Output_Mac!$A:$A,Output_Mac!F:F,""),
_xlpm.MyAuditVal,_xlfn.XLOOKUP($A1078,My_Audit!$A:$A,My_Audit!F:F,""),
_xlfn.IFS(_xlpm.MyAuditVal&lt;&gt;"",_xlpm.MyAuditVal,_xlpm.MacVal&lt;&gt;"",_xlpm.MacVal,_xlpm.CSVVal&lt;&gt;"",PROPER(_xlpm.CSVVal)
)),"")</f>
        <v/>
      </c>
      <c r="H1078" s="40" t="str" cm="1">
        <f t="array" ref="H1078">IFERROR(_xlfn.LET(
_xlpm.CSVVal,_xlfn.XLOOKUP($A1078,CSV!$A:$A,CSV!H:H,""),
_xlpm.MacVal,_xlfn.XLOOKUP($A1078,Output_Mac!$A:$A,Output_Mac!H:H,""),
_xlpm.MyAuditVal,_xlfn.XLOOKUP($A1078,My_Audit!$A:$A,My_Audit!G:G,""),
_xlfn.IFS(_xlpm.MyAuditVal&lt;&gt;"",_xlpm.MyAuditVal,_xlpm.MacVal&lt;&gt;"",_xlpm.MacVal,_xlpm.CSVVal&lt;&gt;"",_xlpm.CSVVal
)),"")</f>
        <v/>
      </c>
      <c r="I1078" s="40" t="str">
        <f>_xlfn.XLOOKUP(A1078,Output_Mac!A:A,Output_Mac!I:I,"")</f>
        <v/>
      </c>
      <c r="J1078" s="40" t="str" cm="1">
        <f t="array" ref="J1078">IFERROR(_xlfn.LET(
_xlpm.CSVVal,_xlfn.XLOOKUP($A1078,CSV!$A:$A,CSV!I:I,""),
_xlpm.MacVal,_xlfn.XLOOKUP($A1078,Output_Mac!$A:$A,Output_Mac!J:J,""),
_xlpm.MyAuditVal,_xlfn.XLOOKUP($A1078,My_Audit!$A:$A,My_Audit!I:I,""),
_xlfn.IFS(_xlpm.MyAuditVal&lt;&gt;"",UPPER(_xlpm.MyAuditVal),_xlpm.MacVal&lt;&gt;"",_xlpm.MacVal,_xlpm.CSVVal&lt;&gt;"",_xlpm.CSVVal
)),"")</f>
        <v/>
      </c>
      <c r="K1078" s="40" t="str" cm="1">
        <f t="array" ref="K1078">IFERROR(_xlfn.LET(
_xlpm.CSVVal,_xlfn.XLOOKUP($A1078,CSV!$A:$A,CSV!K:K,""),
_xlpm.MacVal,_xlfn.XLOOKUP($A1078,Output_Mac!$A:$A,Output_Mac!K:K,""),
_xlpm.MyAuditVal,_xlfn.XLOOKUP($A1078,My_Audit!$A:$A,My_Audit!J:J,""),
_xlfn.IFS(_xlpm.MyAuditVal&lt;&gt;"",UPPER(_xlpm.MyAuditVal),_xlpm.MacVal&lt;&gt;"",_xlpm.MacVal,_xlpm.CSVVal&lt;&gt;"",_xlpm.CSVVal
)),"")</f>
        <v/>
      </c>
      <c r="L1078" s="40" t="str" cm="1">
        <f t="array" ref="L1078">IFERROR(_xlfn.LET(
_xlpm.CSVVal,_xlfn.XLOOKUP($A1078,CSV!$A:$A,CSV!P:P,""),
_xlpm.MacVal,_xlfn.XLOOKUP($A1078,Output_Mac!$A:$A,Output_Mac!L:L,""),
_xlpm.MyAuditVal,_xlfn.XLOOKUP($A1078,My_Audit!$A:$A,My_Audit!K:K,""),
_xlfn.IFS(_xlpm.MyAuditVal&lt;&gt;"",UPPER(_xlpm.MyAuditVal),_xlpm.MacVal&lt;&gt;"",_xlpm.MacVal,_xlpm.CSVVal&lt;&gt;"",_xlpm.CSVVal
)),"")</f>
        <v/>
      </c>
      <c r="M1078" s="40" t="str" cm="1">
        <f t="array" ref="M1078">IFERROR(_xlfn.LET(
_xlpm.CSVVal,_xlfn.XLOOKUP($A1078,CSV!$A:$A,CSV!Q:Q,""),
_xlpm.MacVal,_xlfn.XLOOKUP($A1078,Output_Mac!$A:$A,Output_Mac!M:M,""),
_xlpm.MyAuditVal,_xlfn.XLOOKUP($A1078,My_Audit!$A:$A,My_Audit!L:L,""),
_xlfn.IFS(_xlpm.MyAuditVal&lt;&gt;"",UPPER(_xlpm.MyAuditVal),_xlpm.MacVal&lt;&gt;"",_xlpm.MacVal,_xlpm.CSVVal&lt;&gt;"",_xlpm.CSVVal
)),"")</f>
        <v/>
      </c>
      <c r="N1078" s="40"/>
      <c r="O1078" s="40" t="str">
        <f>_xlfn.LET(
    _xlpm.CSVVal, _xlfn.XLOOKUP($A1078, CSV!$A:$A, CSV!AA:AA, ""),
    _xlpm.MacVal, _xlfn.XLOOKUP($A1078, Output_Mac!$A:$A, Output_Mac!S:S, ""),
    _xlpm.MyAuditVal, _xlfn.XLOOKUP($A1078, My_Audit!$A:$A, My_Audit!P:P, ""),
    _xlfn.TEXTJOIN(", ", TRUE, _xlpm.MyAuditVal, _xlpm.MacVal, _xlpm.CSVVal)
)</f>
        <v/>
      </c>
      <c r="P1078" s="40" t="str" cm="1">
        <f t="array" ref="P1078">IFERROR(_xlfn.LET(
_xlpm.CSVVal,_xlfn.XLOOKUP($A1078,CSV!$A:$A,CSV!AB:AB,""),
_xlpm.MacVal,_xlfn.XLOOKUP($A1078,Output_Mac!$A:$A,Output_Mac!T:T,""),
_xlpm.MyAuditVal,_xlfn.XLOOKUP($A1078,My_Audit!$A:$A,My_Audit!Q:Q,""),
_xlfn.IFS(_xlpm.MyAuditVal&lt;&gt;"",UPPER(_xlpm.MyAuditVal),_xlpm.MacVal&lt;&gt;"",_xlpm.MacVal,_xlpm.CSVVal&lt;&gt;"",_xlpm.CSVVal
)),"No")</f>
        <v>No</v>
      </c>
      <c r="Q1078" s="40" t="str" cm="1">
        <f t="array" ref="Q1078">IFERROR(_xlfn.LET(
_xlpm.CSVVal,_xlfn.XLOOKUP($A1078,CSV!$A:$A,CSV!AC:AC,""),
_xlpm.MacVal,_xlfn.XLOOKUP($A1078,Output_Mac!$A:$A,Output_Mac!U:U,""),
_xlpm.MyAuditVal,_xlfn.XLOOKUP($A1078,My_Audit!$A:$A,My_Audit!R:R,""),
_xlfn.IFS(_xlpm.MyAuditVal&lt;&gt;"",UPPER(_xlpm.MyAuditVal),_xlpm.MacVal&lt;&gt;"",_xlpm.MacVal,_xlpm.CSVVal&lt;&gt;"",_xlpm.CSVVal
)),"")</f>
        <v/>
      </c>
      <c r="R1078" s="40"/>
      <c r="S1078" s="40"/>
      <c r="T1078" s="40"/>
      <c r="U1078" s="40"/>
      <c r="V1078" s="40"/>
      <c r="W1078" s="40"/>
      <c r="X1078" s="41" t="str">
        <f>_xlfn.LET(
    _xlpm.MacVal, _xlfn.XLOOKUP($A1078, Output_Mac!$A:$A, Output_Mac!AB:AB, ""),
    _xlpm.MyAuditVal, _xlfn.XLOOKUP($A1078, My_Audit!$A:$A, My_Audit!N:N, ""),
    _xlfn.TEXTJOIN(", ", TRUE, _xlpm.MyAuditVal, _xlpm.MacVal)
)</f>
        <v/>
      </c>
    </row>
    <row r="1079" spans="1:24">
      <c r="A1079" s="40" t="str">
        <f>_xlfn.TEXTJOIN("",TRUE,Input!$B$2,ROW(My_Audit!A1078))</f>
        <v>X1078</v>
      </c>
      <c r="B1079" s="40" t="str">
        <f>_xlfn.TEXTJOIN("-",TRUE,"ITD",Input!$A$2,A1079)</f>
        <v>ITD-X1078</v>
      </c>
      <c r="C1079" s="40" t="str" cm="1">
        <f t="array" ref="C1079">IFERROR(_xlfn.LET(
_xlpm.CSVVal,_xlfn.XLOOKUP($A1079,CSV!$A:$A,CSV!B:B,""),
_xlpm.MacVal,_xlfn.XLOOKUP($A1079,Output_Mac!$A:$A,Output_Mac!B:B,""),
_xlpm.MyAuditVal,_xlfn.XLOOKUP($A1079,My_Audit!$A:$A,My_Audit!B:B,""),
_xlfn.IFS(_xlpm.MyAuditVal&lt;&gt;"",UPPER(_xlpm.MyAuditVal),_xlpm.MacVal&lt;&gt;"",_xlpm.MacVal,_xlpm.CSVVal&lt;&gt;"",_xlpm.CSVVal
)),"")</f>
        <v/>
      </c>
      <c r="D1079" s="40" t="str" cm="1">
        <f t="array" ref="D1079">IFERROR(_xlfn.LET(
_xlpm.CSVVal,_xlfn.XLOOKUP($A1079,CSV!$A:$A,CSV!D:D,""),
_xlpm.MacVal,_xlfn.XLOOKUP($A1079,Output_Mac!$A:$A,Output_Mac!C:C,""),
_xlpm.MyAuditVal,_xlfn.XLOOKUP($A1079,My_Audit!$A:$A,My_Audit!C:C,""),
_xlfn.IFS(_xlpm.MyAuditVal&lt;&gt;"",_xlpm.MyAuditVal,_xlpm.MacVal&lt;&gt;"",_xlpm.MacVal,_xlpm.CSVVal&lt;&gt;"",_xlpm.CSVVal
)),"")</f>
        <v/>
      </c>
      <c r="E1079" s="40" t="str">
        <f>_xlfn.XLOOKUP(A1079,My_Audit!A:A,My_Audit!D:D,"")</f>
        <v/>
      </c>
      <c r="F1079" s="40" t="str" cm="1">
        <f t="array" ref="F1079">IFERROR(_xlfn.LET(
_xlpm.CSVVal,_xlfn.XLOOKUP($A1079,CSV!$A:$A,CSV!F:F,""),
_xlpm.MacVal,_xlfn.XLOOKUP($A1079,Output_Mac!$A:$A,Output_Mac!E:E,""),
_xlpm.MyAuditVal,_xlfn.XLOOKUP($A1079,My_Audit!$A:$A,My_Audit!E:E,""),
_xlfn.IFS(_xlpm.MyAuditVal&lt;&gt;"",_xlpm.MyAuditVal,_xlpm.MacVal&lt;&gt;"",_xlpm.MacVal,_xlpm.CSVVal&lt;&gt;"",_xlpm.CSVVal
)),"")</f>
        <v/>
      </c>
      <c r="G1079" s="40" t="str" cm="1">
        <f t="array" ref="G1079">IFERROR(_xlfn.LET(
_xlpm.CSVVal,_xlfn.XLOOKUP($A1079,CSV!$A:$A,CSV!G:G,""),
_xlpm.MacVal,_xlfn.XLOOKUP($A1079,Output_Mac!$A:$A,Output_Mac!F:F,""),
_xlpm.MyAuditVal,_xlfn.XLOOKUP($A1079,My_Audit!$A:$A,My_Audit!F:F,""),
_xlfn.IFS(_xlpm.MyAuditVal&lt;&gt;"",_xlpm.MyAuditVal,_xlpm.MacVal&lt;&gt;"",_xlpm.MacVal,_xlpm.CSVVal&lt;&gt;"",PROPER(_xlpm.CSVVal)
)),"")</f>
        <v/>
      </c>
      <c r="H1079" s="40" t="str" cm="1">
        <f t="array" ref="H1079">IFERROR(_xlfn.LET(
_xlpm.CSVVal,_xlfn.XLOOKUP($A1079,CSV!$A:$A,CSV!H:H,""),
_xlpm.MacVal,_xlfn.XLOOKUP($A1079,Output_Mac!$A:$A,Output_Mac!H:H,""),
_xlpm.MyAuditVal,_xlfn.XLOOKUP($A1079,My_Audit!$A:$A,My_Audit!G:G,""),
_xlfn.IFS(_xlpm.MyAuditVal&lt;&gt;"",_xlpm.MyAuditVal,_xlpm.MacVal&lt;&gt;"",_xlpm.MacVal,_xlpm.CSVVal&lt;&gt;"",_xlpm.CSVVal
)),"")</f>
        <v/>
      </c>
      <c r="I1079" s="40" t="str">
        <f>_xlfn.XLOOKUP(A1079,Output_Mac!A:A,Output_Mac!I:I,"")</f>
        <v/>
      </c>
      <c r="J1079" s="40" t="str" cm="1">
        <f t="array" ref="J1079">IFERROR(_xlfn.LET(
_xlpm.CSVVal,_xlfn.XLOOKUP($A1079,CSV!$A:$A,CSV!I:I,""),
_xlpm.MacVal,_xlfn.XLOOKUP($A1079,Output_Mac!$A:$A,Output_Mac!J:J,""),
_xlpm.MyAuditVal,_xlfn.XLOOKUP($A1079,My_Audit!$A:$A,My_Audit!I:I,""),
_xlfn.IFS(_xlpm.MyAuditVal&lt;&gt;"",UPPER(_xlpm.MyAuditVal),_xlpm.MacVal&lt;&gt;"",_xlpm.MacVal,_xlpm.CSVVal&lt;&gt;"",_xlpm.CSVVal
)),"")</f>
        <v/>
      </c>
      <c r="K1079" s="40" t="str" cm="1">
        <f t="array" ref="K1079">IFERROR(_xlfn.LET(
_xlpm.CSVVal,_xlfn.XLOOKUP($A1079,CSV!$A:$A,CSV!K:K,""),
_xlpm.MacVal,_xlfn.XLOOKUP($A1079,Output_Mac!$A:$A,Output_Mac!K:K,""),
_xlpm.MyAuditVal,_xlfn.XLOOKUP($A1079,My_Audit!$A:$A,My_Audit!J:J,""),
_xlfn.IFS(_xlpm.MyAuditVal&lt;&gt;"",UPPER(_xlpm.MyAuditVal),_xlpm.MacVal&lt;&gt;"",_xlpm.MacVal,_xlpm.CSVVal&lt;&gt;"",_xlpm.CSVVal
)),"")</f>
        <v/>
      </c>
      <c r="L1079" s="40" t="str" cm="1">
        <f t="array" ref="L1079">IFERROR(_xlfn.LET(
_xlpm.CSVVal,_xlfn.XLOOKUP($A1079,CSV!$A:$A,CSV!P:P,""),
_xlpm.MacVal,_xlfn.XLOOKUP($A1079,Output_Mac!$A:$A,Output_Mac!L:L,""),
_xlpm.MyAuditVal,_xlfn.XLOOKUP($A1079,My_Audit!$A:$A,My_Audit!K:K,""),
_xlfn.IFS(_xlpm.MyAuditVal&lt;&gt;"",UPPER(_xlpm.MyAuditVal),_xlpm.MacVal&lt;&gt;"",_xlpm.MacVal,_xlpm.CSVVal&lt;&gt;"",_xlpm.CSVVal
)),"")</f>
        <v/>
      </c>
      <c r="M1079" s="40" t="str" cm="1">
        <f t="array" ref="M1079">IFERROR(_xlfn.LET(
_xlpm.CSVVal,_xlfn.XLOOKUP($A1079,CSV!$A:$A,CSV!Q:Q,""),
_xlpm.MacVal,_xlfn.XLOOKUP($A1079,Output_Mac!$A:$A,Output_Mac!M:M,""),
_xlpm.MyAuditVal,_xlfn.XLOOKUP($A1079,My_Audit!$A:$A,My_Audit!L:L,""),
_xlfn.IFS(_xlpm.MyAuditVal&lt;&gt;"",UPPER(_xlpm.MyAuditVal),_xlpm.MacVal&lt;&gt;"",_xlpm.MacVal,_xlpm.CSVVal&lt;&gt;"",_xlpm.CSVVal
)),"")</f>
        <v/>
      </c>
      <c r="N1079" s="40"/>
      <c r="O1079" s="40" t="str">
        <f>_xlfn.LET(
    _xlpm.CSVVal, _xlfn.XLOOKUP($A1079, CSV!$A:$A, CSV!AA:AA, ""),
    _xlpm.MacVal, _xlfn.XLOOKUP($A1079, Output_Mac!$A:$A, Output_Mac!S:S, ""),
    _xlpm.MyAuditVal, _xlfn.XLOOKUP($A1079, My_Audit!$A:$A, My_Audit!P:P, ""),
    _xlfn.TEXTJOIN(", ", TRUE, _xlpm.MyAuditVal, _xlpm.MacVal, _xlpm.CSVVal)
)</f>
        <v/>
      </c>
      <c r="P1079" s="40" t="str" cm="1">
        <f t="array" ref="P1079">IFERROR(_xlfn.LET(
_xlpm.CSVVal,_xlfn.XLOOKUP($A1079,CSV!$A:$A,CSV!AB:AB,""),
_xlpm.MacVal,_xlfn.XLOOKUP($A1079,Output_Mac!$A:$A,Output_Mac!T:T,""),
_xlpm.MyAuditVal,_xlfn.XLOOKUP($A1079,My_Audit!$A:$A,My_Audit!Q:Q,""),
_xlfn.IFS(_xlpm.MyAuditVal&lt;&gt;"",UPPER(_xlpm.MyAuditVal),_xlpm.MacVal&lt;&gt;"",_xlpm.MacVal,_xlpm.CSVVal&lt;&gt;"",_xlpm.CSVVal
)),"No")</f>
        <v>No</v>
      </c>
      <c r="Q1079" s="40" t="str" cm="1">
        <f t="array" ref="Q1079">IFERROR(_xlfn.LET(
_xlpm.CSVVal,_xlfn.XLOOKUP($A1079,CSV!$A:$A,CSV!AC:AC,""),
_xlpm.MacVal,_xlfn.XLOOKUP($A1079,Output_Mac!$A:$A,Output_Mac!U:U,""),
_xlpm.MyAuditVal,_xlfn.XLOOKUP($A1079,My_Audit!$A:$A,My_Audit!R:R,""),
_xlfn.IFS(_xlpm.MyAuditVal&lt;&gt;"",UPPER(_xlpm.MyAuditVal),_xlpm.MacVal&lt;&gt;"",_xlpm.MacVal,_xlpm.CSVVal&lt;&gt;"",_xlpm.CSVVal
)),"")</f>
        <v/>
      </c>
      <c r="R1079" s="40"/>
      <c r="S1079" s="40"/>
      <c r="T1079" s="40"/>
      <c r="U1079" s="40"/>
      <c r="V1079" s="40"/>
      <c r="W1079" s="40"/>
      <c r="X1079" s="41" t="str">
        <f>_xlfn.LET(
    _xlpm.MacVal, _xlfn.XLOOKUP($A1079, Output_Mac!$A:$A, Output_Mac!AB:AB, ""),
    _xlpm.MyAuditVal, _xlfn.XLOOKUP($A1079, My_Audit!$A:$A, My_Audit!N:N, ""),
    _xlfn.TEXTJOIN(", ", TRUE, _xlpm.MyAuditVal, _xlpm.MacVal)
)</f>
        <v/>
      </c>
    </row>
    <row r="1080" spans="1:24">
      <c r="A1080" s="40" t="str">
        <f>_xlfn.TEXTJOIN("",TRUE,Input!$B$2,ROW(My_Audit!A1079))</f>
        <v>X1079</v>
      </c>
      <c r="B1080" s="40" t="str">
        <f>_xlfn.TEXTJOIN("-",TRUE,"ITD",Input!$A$2,A1080)</f>
        <v>ITD-X1079</v>
      </c>
      <c r="C1080" s="40" t="str" cm="1">
        <f t="array" ref="C1080">IFERROR(_xlfn.LET(
_xlpm.CSVVal,_xlfn.XLOOKUP($A1080,CSV!$A:$A,CSV!B:B,""),
_xlpm.MacVal,_xlfn.XLOOKUP($A1080,Output_Mac!$A:$A,Output_Mac!B:B,""),
_xlpm.MyAuditVal,_xlfn.XLOOKUP($A1080,My_Audit!$A:$A,My_Audit!B:B,""),
_xlfn.IFS(_xlpm.MyAuditVal&lt;&gt;"",UPPER(_xlpm.MyAuditVal),_xlpm.MacVal&lt;&gt;"",_xlpm.MacVal,_xlpm.CSVVal&lt;&gt;"",_xlpm.CSVVal
)),"")</f>
        <v/>
      </c>
      <c r="D1080" s="40" t="str" cm="1">
        <f t="array" ref="D1080">IFERROR(_xlfn.LET(
_xlpm.CSVVal,_xlfn.XLOOKUP($A1080,CSV!$A:$A,CSV!D:D,""),
_xlpm.MacVal,_xlfn.XLOOKUP($A1080,Output_Mac!$A:$A,Output_Mac!C:C,""),
_xlpm.MyAuditVal,_xlfn.XLOOKUP($A1080,My_Audit!$A:$A,My_Audit!C:C,""),
_xlfn.IFS(_xlpm.MyAuditVal&lt;&gt;"",_xlpm.MyAuditVal,_xlpm.MacVal&lt;&gt;"",_xlpm.MacVal,_xlpm.CSVVal&lt;&gt;"",_xlpm.CSVVal
)),"")</f>
        <v/>
      </c>
      <c r="E1080" s="40" t="str">
        <f>_xlfn.XLOOKUP(A1080,My_Audit!A:A,My_Audit!D:D,"")</f>
        <v/>
      </c>
      <c r="F1080" s="40" t="str" cm="1">
        <f t="array" ref="F1080">IFERROR(_xlfn.LET(
_xlpm.CSVVal,_xlfn.XLOOKUP($A1080,CSV!$A:$A,CSV!F:F,""),
_xlpm.MacVal,_xlfn.XLOOKUP($A1080,Output_Mac!$A:$A,Output_Mac!E:E,""),
_xlpm.MyAuditVal,_xlfn.XLOOKUP($A1080,My_Audit!$A:$A,My_Audit!E:E,""),
_xlfn.IFS(_xlpm.MyAuditVal&lt;&gt;"",_xlpm.MyAuditVal,_xlpm.MacVal&lt;&gt;"",_xlpm.MacVal,_xlpm.CSVVal&lt;&gt;"",_xlpm.CSVVal
)),"")</f>
        <v/>
      </c>
      <c r="G1080" s="40" t="str" cm="1">
        <f t="array" ref="G1080">IFERROR(_xlfn.LET(
_xlpm.CSVVal,_xlfn.XLOOKUP($A1080,CSV!$A:$A,CSV!G:G,""),
_xlpm.MacVal,_xlfn.XLOOKUP($A1080,Output_Mac!$A:$A,Output_Mac!F:F,""),
_xlpm.MyAuditVal,_xlfn.XLOOKUP($A1080,My_Audit!$A:$A,My_Audit!F:F,""),
_xlfn.IFS(_xlpm.MyAuditVal&lt;&gt;"",_xlpm.MyAuditVal,_xlpm.MacVal&lt;&gt;"",_xlpm.MacVal,_xlpm.CSVVal&lt;&gt;"",PROPER(_xlpm.CSVVal)
)),"")</f>
        <v/>
      </c>
      <c r="H1080" s="40" t="str" cm="1">
        <f t="array" ref="H1080">IFERROR(_xlfn.LET(
_xlpm.CSVVal,_xlfn.XLOOKUP($A1080,CSV!$A:$A,CSV!H:H,""),
_xlpm.MacVal,_xlfn.XLOOKUP($A1080,Output_Mac!$A:$A,Output_Mac!H:H,""),
_xlpm.MyAuditVal,_xlfn.XLOOKUP($A1080,My_Audit!$A:$A,My_Audit!G:G,""),
_xlfn.IFS(_xlpm.MyAuditVal&lt;&gt;"",_xlpm.MyAuditVal,_xlpm.MacVal&lt;&gt;"",_xlpm.MacVal,_xlpm.CSVVal&lt;&gt;"",_xlpm.CSVVal
)),"")</f>
        <v/>
      </c>
      <c r="I1080" s="40" t="str">
        <f>_xlfn.XLOOKUP(A1080,Output_Mac!A:A,Output_Mac!I:I,"")</f>
        <v/>
      </c>
      <c r="J1080" s="40" t="str" cm="1">
        <f t="array" ref="J1080">IFERROR(_xlfn.LET(
_xlpm.CSVVal,_xlfn.XLOOKUP($A1080,CSV!$A:$A,CSV!I:I,""),
_xlpm.MacVal,_xlfn.XLOOKUP($A1080,Output_Mac!$A:$A,Output_Mac!J:J,""),
_xlpm.MyAuditVal,_xlfn.XLOOKUP($A1080,My_Audit!$A:$A,My_Audit!I:I,""),
_xlfn.IFS(_xlpm.MyAuditVal&lt;&gt;"",UPPER(_xlpm.MyAuditVal),_xlpm.MacVal&lt;&gt;"",_xlpm.MacVal,_xlpm.CSVVal&lt;&gt;"",_xlpm.CSVVal
)),"")</f>
        <v/>
      </c>
      <c r="K1080" s="40" t="str" cm="1">
        <f t="array" ref="K1080">IFERROR(_xlfn.LET(
_xlpm.CSVVal,_xlfn.XLOOKUP($A1080,CSV!$A:$A,CSV!K:K,""),
_xlpm.MacVal,_xlfn.XLOOKUP($A1080,Output_Mac!$A:$A,Output_Mac!K:K,""),
_xlpm.MyAuditVal,_xlfn.XLOOKUP($A1080,My_Audit!$A:$A,My_Audit!J:J,""),
_xlfn.IFS(_xlpm.MyAuditVal&lt;&gt;"",UPPER(_xlpm.MyAuditVal),_xlpm.MacVal&lt;&gt;"",_xlpm.MacVal,_xlpm.CSVVal&lt;&gt;"",_xlpm.CSVVal
)),"")</f>
        <v/>
      </c>
      <c r="L1080" s="40" t="str" cm="1">
        <f t="array" ref="L1080">IFERROR(_xlfn.LET(
_xlpm.CSVVal,_xlfn.XLOOKUP($A1080,CSV!$A:$A,CSV!P:P,""),
_xlpm.MacVal,_xlfn.XLOOKUP($A1080,Output_Mac!$A:$A,Output_Mac!L:L,""),
_xlpm.MyAuditVal,_xlfn.XLOOKUP($A1080,My_Audit!$A:$A,My_Audit!K:K,""),
_xlfn.IFS(_xlpm.MyAuditVal&lt;&gt;"",UPPER(_xlpm.MyAuditVal),_xlpm.MacVal&lt;&gt;"",_xlpm.MacVal,_xlpm.CSVVal&lt;&gt;"",_xlpm.CSVVal
)),"")</f>
        <v/>
      </c>
      <c r="M1080" s="40" t="str" cm="1">
        <f t="array" ref="M1080">IFERROR(_xlfn.LET(
_xlpm.CSVVal,_xlfn.XLOOKUP($A1080,CSV!$A:$A,CSV!Q:Q,""),
_xlpm.MacVal,_xlfn.XLOOKUP($A1080,Output_Mac!$A:$A,Output_Mac!M:M,""),
_xlpm.MyAuditVal,_xlfn.XLOOKUP($A1080,My_Audit!$A:$A,My_Audit!L:L,""),
_xlfn.IFS(_xlpm.MyAuditVal&lt;&gt;"",UPPER(_xlpm.MyAuditVal),_xlpm.MacVal&lt;&gt;"",_xlpm.MacVal,_xlpm.CSVVal&lt;&gt;"",_xlpm.CSVVal
)),"")</f>
        <v/>
      </c>
      <c r="N1080" s="40"/>
      <c r="O1080" s="40" t="str">
        <f>_xlfn.LET(
    _xlpm.CSVVal, _xlfn.XLOOKUP($A1080, CSV!$A:$A, CSV!AA:AA, ""),
    _xlpm.MacVal, _xlfn.XLOOKUP($A1080, Output_Mac!$A:$A, Output_Mac!S:S, ""),
    _xlpm.MyAuditVal, _xlfn.XLOOKUP($A1080, My_Audit!$A:$A, My_Audit!P:P, ""),
    _xlfn.TEXTJOIN(", ", TRUE, _xlpm.MyAuditVal, _xlpm.MacVal, _xlpm.CSVVal)
)</f>
        <v/>
      </c>
      <c r="P1080" s="40" t="str" cm="1">
        <f t="array" ref="P1080">IFERROR(_xlfn.LET(
_xlpm.CSVVal,_xlfn.XLOOKUP($A1080,CSV!$A:$A,CSV!AB:AB,""),
_xlpm.MacVal,_xlfn.XLOOKUP($A1080,Output_Mac!$A:$A,Output_Mac!T:T,""),
_xlpm.MyAuditVal,_xlfn.XLOOKUP($A1080,My_Audit!$A:$A,My_Audit!Q:Q,""),
_xlfn.IFS(_xlpm.MyAuditVal&lt;&gt;"",UPPER(_xlpm.MyAuditVal),_xlpm.MacVal&lt;&gt;"",_xlpm.MacVal,_xlpm.CSVVal&lt;&gt;"",_xlpm.CSVVal
)),"No")</f>
        <v>No</v>
      </c>
      <c r="Q1080" s="40" t="str" cm="1">
        <f t="array" ref="Q1080">IFERROR(_xlfn.LET(
_xlpm.CSVVal,_xlfn.XLOOKUP($A1080,CSV!$A:$A,CSV!AC:AC,""),
_xlpm.MacVal,_xlfn.XLOOKUP($A1080,Output_Mac!$A:$A,Output_Mac!U:U,""),
_xlpm.MyAuditVal,_xlfn.XLOOKUP($A1080,My_Audit!$A:$A,My_Audit!R:R,""),
_xlfn.IFS(_xlpm.MyAuditVal&lt;&gt;"",UPPER(_xlpm.MyAuditVal),_xlpm.MacVal&lt;&gt;"",_xlpm.MacVal,_xlpm.CSVVal&lt;&gt;"",_xlpm.CSVVal
)),"")</f>
        <v/>
      </c>
      <c r="R1080" s="40"/>
      <c r="S1080" s="40"/>
      <c r="T1080" s="40"/>
      <c r="U1080" s="40"/>
      <c r="V1080" s="40"/>
      <c r="W1080" s="40"/>
      <c r="X1080" s="41" t="str">
        <f>_xlfn.LET(
    _xlpm.MacVal, _xlfn.XLOOKUP($A1080, Output_Mac!$A:$A, Output_Mac!AB:AB, ""),
    _xlpm.MyAuditVal, _xlfn.XLOOKUP($A1080, My_Audit!$A:$A, My_Audit!N:N, ""),
    _xlfn.TEXTJOIN(", ", TRUE, _xlpm.MyAuditVal, _xlpm.MacVal)
)</f>
        <v/>
      </c>
    </row>
    <row r="1081" spans="1:24">
      <c r="A1081" s="40" t="str">
        <f>_xlfn.TEXTJOIN("",TRUE,Input!$B$2,ROW(My_Audit!A1080))</f>
        <v>X1080</v>
      </c>
      <c r="B1081" s="40" t="str">
        <f>_xlfn.TEXTJOIN("-",TRUE,"ITD",Input!$A$2,A1081)</f>
        <v>ITD-X1080</v>
      </c>
      <c r="C1081" s="40" t="str" cm="1">
        <f t="array" ref="C1081">IFERROR(_xlfn.LET(
_xlpm.CSVVal,_xlfn.XLOOKUP($A1081,CSV!$A:$A,CSV!B:B,""),
_xlpm.MacVal,_xlfn.XLOOKUP($A1081,Output_Mac!$A:$A,Output_Mac!B:B,""),
_xlpm.MyAuditVal,_xlfn.XLOOKUP($A1081,My_Audit!$A:$A,My_Audit!B:B,""),
_xlfn.IFS(_xlpm.MyAuditVal&lt;&gt;"",UPPER(_xlpm.MyAuditVal),_xlpm.MacVal&lt;&gt;"",_xlpm.MacVal,_xlpm.CSVVal&lt;&gt;"",_xlpm.CSVVal
)),"")</f>
        <v/>
      </c>
      <c r="D1081" s="40" t="str" cm="1">
        <f t="array" ref="D1081">IFERROR(_xlfn.LET(
_xlpm.CSVVal,_xlfn.XLOOKUP($A1081,CSV!$A:$A,CSV!D:D,""),
_xlpm.MacVal,_xlfn.XLOOKUP($A1081,Output_Mac!$A:$A,Output_Mac!C:C,""),
_xlpm.MyAuditVal,_xlfn.XLOOKUP($A1081,My_Audit!$A:$A,My_Audit!C:C,""),
_xlfn.IFS(_xlpm.MyAuditVal&lt;&gt;"",_xlpm.MyAuditVal,_xlpm.MacVal&lt;&gt;"",_xlpm.MacVal,_xlpm.CSVVal&lt;&gt;"",_xlpm.CSVVal
)),"")</f>
        <v/>
      </c>
      <c r="E1081" s="40" t="str">
        <f>_xlfn.XLOOKUP(A1081,My_Audit!A:A,My_Audit!D:D,"")</f>
        <v/>
      </c>
      <c r="F1081" s="40" t="str" cm="1">
        <f t="array" ref="F1081">IFERROR(_xlfn.LET(
_xlpm.CSVVal,_xlfn.XLOOKUP($A1081,CSV!$A:$A,CSV!F:F,""),
_xlpm.MacVal,_xlfn.XLOOKUP($A1081,Output_Mac!$A:$A,Output_Mac!E:E,""),
_xlpm.MyAuditVal,_xlfn.XLOOKUP($A1081,My_Audit!$A:$A,My_Audit!E:E,""),
_xlfn.IFS(_xlpm.MyAuditVal&lt;&gt;"",_xlpm.MyAuditVal,_xlpm.MacVal&lt;&gt;"",_xlpm.MacVal,_xlpm.CSVVal&lt;&gt;"",_xlpm.CSVVal
)),"")</f>
        <v/>
      </c>
      <c r="G1081" s="40" t="str" cm="1">
        <f t="array" ref="G1081">IFERROR(_xlfn.LET(
_xlpm.CSVVal,_xlfn.XLOOKUP($A1081,CSV!$A:$A,CSV!G:G,""),
_xlpm.MacVal,_xlfn.XLOOKUP($A1081,Output_Mac!$A:$A,Output_Mac!F:F,""),
_xlpm.MyAuditVal,_xlfn.XLOOKUP($A1081,My_Audit!$A:$A,My_Audit!F:F,""),
_xlfn.IFS(_xlpm.MyAuditVal&lt;&gt;"",_xlpm.MyAuditVal,_xlpm.MacVal&lt;&gt;"",_xlpm.MacVal,_xlpm.CSVVal&lt;&gt;"",PROPER(_xlpm.CSVVal)
)),"")</f>
        <v/>
      </c>
      <c r="H1081" s="40" t="str" cm="1">
        <f t="array" ref="H1081">IFERROR(_xlfn.LET(
_xlpm.CSVVal,_xlfn.XLOOKUP($A1081,CSV!$A:$A,CSV!H:H,""),
_xlpm.MacVal,_xlfn.XLOOKUP($A1081,Output_Mac!$A:$A,Output_Mac!H:H,""),
_xlpm.MyAuditVal,_xlfn.XLOOKUP($A1081,My_Audit!$A:$A,My_Audit!G:G,""),
_xlfn.IFS(_xlpm.MyAuditVal&lt;&gt;"",_xlpm.MyAuditVal,_xlpm.MacVal&lt;&gt;"",_xlpm.MacVal,_xlpm.CSVVal&lt;&gt;"",_xlpm.CSVVal
)),"")</f>
        <v/>
      </c>
      <c r="I1081" s="40" t="str">
        <f>_xlfn.XLOOKUP(A1081,Output_Mac!A:A,Output_Mac!I:I,"")</f>
        <v/>
      </c>
      <c r="J1081" s="40" t="str" cm="1">
        <f t="array" ref="J1081">IFERROR(_xlfn.LET(
_xlpm.CSVVal,_xlfn.XLOOKUP($A1081,CSV!$A:$A,CSV!I:I,""),
_xlpm.MacVal,_xlfn.XLOOKUP($A1081,Output_Mac!$A:$A,Output_Mac!J:J,""),
_xlpm.MyAuditVal,_xlfn.XLOOKUP($A1081,My_Audit!$A:$A,My_Audit!I:I,""),
_xlfn.IFS(_xlpm.MyAuditVal&lt;&gt;"",UPPER(_xlpm.MyAuditVal),_xlpm.MacVal&lt;&gt;"",_xlpm.MacVal,_xlpm.CSVVal&lt;&gt;"",_xlpm.CSVVal
)),"")</f>
        <v/>
      </c>
      <c r="K1081" s="40" t="str" cm="1">
        <f t="array" ref="K1081">IFERROR(_xlfn.LET(
_xlpm.CSVVal,_xlfn.XLOOKUP($A1081,CSV!$A:$A,CSV!K:K,""),
_xlpm.MacVal,_xlfn.XLOOKUP($A1081,Output_Mac!$A:$A,Output_Mac!K:K,""),
_xlpm.MyAuditVal,_xlfn.XLOOKUP($A1081,My_Audit!$A:$A,My_Audit!J:J,""),
_xlfn.IFS(_xlpm.MyAuditVal&lt;&gt;"",UPPER(_xlpm.MyAuditVal),_xlpm.MacVal&lt;&gt;"",_xlpm.MacVal,_xlpm.CSVVal&lt;&gt;"",_xlpm.CSVVal
)),"")</f>
        <v/>
      </c>
      <c r="L1081" s="40" t="str" cm="1">
        <f t="array" ref="L1081">IFERROR(_xlfn.LET(
_xlpm.CSVVal,_xlfn.XLOOKUP($A1081,CSV!$A:$A,CSV!P:P,""),
_xlpm.MacVal,_xlfn.XLOOKUP($A1081,Output_Mac!$A:$A,Output_Mac!L:L,""),
_xlpm.MyAuditVal,_xlfn.XLOOKUP($A1081,My_Audit!$A:$A,My_Audit!K:K,""),
_xlfn.IFS(_xlpm.MyAuditVal&lt;&gt;"",UPPER(_xlpm.MyAuditVal),_xlpm.MacVal&lt;&gt;"",_xlpm.MacVal,_xlpm.CSVVal&lt;&gt;"",_xlpm.CSVVal
)),"")</f>
        <v/>
      </c>
      <c r="M1081" s="40" t="str" cm="1">
        <f t="array" ref="M1081">IFERROR(_xlfn.LET(
_xlpm.CSVVal,_xlfn.XLOOKUP($A1081,CSV!$A:$A,CSV!Q:Q,""),
_xlpm.MacVal,_xlfn.XLOOKUP($A1081,Output_Mac!$A:$A,Output_Mac!M:M,""),
_xlpm.MyAuditVal,_xlfn.XLOOKUP($A1081,My_Audit!$A:$A,My_Audit!L:L,""),
_xlfn.IFS(_xlpm.MyAuditVal&lt;&gt;"",UPPER(_xlpm.MyAuditVal),_xlpm.MacVal&lt;&gt;"",_xlpm.MacVal,_xlpm.CSVVal&lt;&gt;"",_xlpm.CSVVal
)),"")</f>
        <v/>
      </c>
      <c r="N1081" s="40"/>
      <c r="O1081" s="40" t="str">
        <f>_xlfn.LET(
    _xlpm.CSVVal, _xlfn.XLOOKUP($A1081, CSV!$A:$A, CSV!AA:AA, ""),
    _xlpm.MacVal, _xlfn.XLOOKUP($A1081, Output_Mac!$A:$A, Output_Mac!S:S, ""),
    _xlpm.MyAuditVal, _xlfn.XLOOKUP($A1081, My_Audit!$A:$A, My_Audit!P:P, ""),
    _xlfn.TEXTJOIN(", ", TRUE, _xlpm.MyAuditVal, _xlpm.MacVal, _xlpm.CSVVal)
)</f>
        <v/>
      </c>
      <c r="P1081" s="40" t="str" cm="1">
        <f t="array" ref="P1081">IFERROR(_xlfn.LET(
_xlpm.CSVVal,_xlfn.XLOOKUP($A1081,CSV!$A:$A,CSV!AB:AB,""),
_xlpm.MacVal,_xlfn.XLOOKUP($A1081,Output_Mac!$A:$A,Output_Mac!T:T,""),
_xlpm.MyAuditVal,_xlfn.XLOOKUP($A1081,My_Audit!$A:$A,My_Audit!Q:Q,""),
_xlfn.IFS(_xlpm.MyAuditVal&lt;&gt;"",UPPER(_xlpm.MyAuditVal),_xlpm.MacVal&lt;&gt;"",_xlpm.MacVal,_xlpm.CSVVal&lt;&gt;"",_xlpm.CSVVal
)),"No")</f>
        <v>No</v>
      </c>
      <c r="Q1081" s="40" t="str" cm="1">
        <f t="array" ref="Q1081">IFERROR(_xlfn.LET(
_xlpm.CSVVal,_xlfn.XLOOKUP($A1081,CSV!$A:$A,CSV!AC:AC,""),
_xlpm.MacVal,_xlfn.XLOOKUP($A1081,Output_Mac!$A:$A,Output_Mac!U:U,""),
_xlpm.MyAuditVal,_xlfn.XLOOKUP($A1081,My_Audit!$A:$A,My_Audit!R:R,""),
_xlfn.IFS(_xlpm.MyAuditVal&lt;&gt;"",UPPER(_xlpm.MyAuditVal),_xlpm.MacVal&lt;&gt;"",_xlpm.MacVal,_xlpm.CSVVal&lt;&gt;"",_xlpm.CSVVal
)),"")</f>
        <v/>
      </c>
      <c r="R1081" s="40"/>
      <c r="S1081" s="40"/>
      <c r="T1081" s="40"/>
      <c r="U1081" s="40"/>
      <c r="V1081" s="40"/>
      <c r="W1081" s="40"/>
      <c r="X1081" s="41" t="str">
        <f>_xlfn.LET(
    _xlpm.MacVal, _xlfn.XLOOKUP($A1081, Output_Mac!$A:$A, Output_Mac!AB:AB, ""),
    _xlpm.MyAuditVal, _xlfn.XLOOKUP($A1081, My_Audit!$A:$A, My_Audit!N:N, ""),
    _xlfn.TEXTJOIN(", ", TRUE, _xlpm.MyAuditVal, _xlpm.MacVal)
)</f>
        <v/>
      </c>
    </row>
    <row r="1082" spans="1:24">
      <c r="A1082" s="40" t="str">
        <f>_xlfn.TEXTJOIN("",TRUE,Input!$B$2,ROW(My_Audit!A1081))</f>
        <v>X1081</v>
      </c>
      <c r="B1082" s="40" t="str">
        <f>_xlfn.TEXTJOIN("-",TRUE,"ITD",Input!$A$2,A1082)</f>
        <v>ITD-X1081</v>
      </c>
      <c r="C1082" s="40" t="str" cm="1">
        <f t="array" ref="C1082">IFERROR(_xlfn.LET(
_xlpm.CSVVal,_xlfn.XLOOKUP($A1082,CSV!$A:$A,CSV!B:B,""),
_xlpm.MacVal,_xlfn.XLOOKUP($A1082,Output_Mac!$A:$A,Output_Mac!B:B,""),
_xlpm.MyAuditVal,_xlfn.XLOOKUP($A1082,My_Audit!$A:$A,My_Audit!B:B,""),
_xlfn.IFS(_xlpm.MyAuditVal&lt;&gt;"",UPPER(_xlpm.MyAuditVal),_xlpm.MacVal&lt;&gt;"",_xlpm.MacVal,_xlpm.CSVVal&lt;&gt;"",_xlpm.CSVVal
)),"")</f>
        <v/>
      </c>
      <c r="D1082" s="40" t="str" cm="1">
        <f t="array" ref="D1082">IFERROR(_xlfn.LET(
_xlpm.CSVVal,_xlfn.XLOOKUP($A1082,CSV!$A:$A,CSV!D:D,""),
_xlpm.MacVal,_xlfn.XLOOKUP($A1082,Output_Mac!$A:$A,Output_Mac!C:C,""),
_xlpm.MyAuditVal,_xlfn.XLOOKUP($A1082,My_Audit!$A:$A,My_Audit!C:C,""),
_xlfn.IFS(_xlpm.MyAuditVal&lt;&gt;"",_xlpm.MyAuditVal,_xlpm.MacVal&lt;&gt;"",_xlpm.MacVal,_xlpm.CSVVal&lt;&gt;"",_xlpm.CSVVal
)),"")</f>
        <v/>
      </c>
      <c r="E1082" s="40" t="str">
        <f>_xlfn.XLOOKUP(A1082,My_Audit!A:A,My_Audit!D:D,"")</f>
        <v/>
      </c>
      <c r="F1082" s="40" t="str" cm="1">
        <f t="array" ref="F1082">IFERROR(_xlfn.LET(
_xlpm.CSVVal,_xlfn.XLOOKUP($A1082,CSV!$A:$A,CSV!F:F,""),
_xlpm.MacVal,_xlfn.XLOOKUP($A1082,Output_Mac!$A:$A,Output_Mac!E:E,""),
_xlpm.MyAuditVal,_xlfn.XLOOKUP($A1082,My_Audit!$A:$A,My_Audit!E:E,""),
_xlfn.IFS(_xlpm.MyAuditVal&lt;&gt;"",_xlpm.MyAuditVal,_xlpm.MacVal&lt;&gt;"",_xlpm.MacVal,_xlpm.CSVVal&lt;&gt;"",_xlpm.CSVVal
)),"")</f>
        <v/>
      </c>
      <c r="G1082" s="40" t="str" cm="1">
        <f t="array" ref="G1082">IFERROR(_xlfn.LET(
_xlpm.CSVVal,_xlfn.XLOOKUP($A1082,CSV!$A:$A,CSV!G:G,""),
_xlpm.MacVal,_xlfn.XLOOKUP($A1082,Output_Mac!$A:$A,Output_Mac!F:F,""),
_xlpm.MyAuditVal,_xlfn.XLOOKUP($A1082,My_Audit!$A:$A,My_Audit!F:F,""),
_xlfn.IFS(_xlpm.MyAuditVal&lt;&gt;"",_xlpm.MyAuditVal,_xlpm.MacVal&lt;&gt;"",_xlpm.MacVal,_xlpm.CSVVal&lt;&gt;"",PROPER(_xlpm.CSVVal)
)),"")</f>
        <v/>
      </c>
      <c r="H1082" s="40" t="str" cm="1">
        <f t="array" ref="H1082">IFERROR(_xlfn.LET(
_xlpm.CSVVal,_xlfn.XLOOKUP($A1082,CSV!$A:$A,CSV!H:H,""),
_xlpm.MacVal,_xlfn.XLOOKUP($A1082,Output_Mac!$A:$A,Output_Mac!H:H,""),
_xlpm.MyAuditVal,_xlfn.XLOOKUP($A1082,My_Audit!$A:$A,My_Audit!G:G,""),
_xlfn.IFS(_xlpm.MyAuditVal&lt;&gt;"",_xlpm.MyAuditVal,_xlpm.MacVal&lt;&gt;"",_xlpm.MacVal,_xlpm.CSVVal&lt;&gt;"",_xlpm.CSVVal
)),"")</f>
        <v/>
      </c>
      <c r="I1082" s="40" t="str">
        <f>_xlfn.XLOOKUP(A1082,Output_Mac!A:A,Output_Mac!I:I,"")</f>
        <v/>
      </c>
      <c r="J1082" s="40" t="str" cm="1">
        <f t="array" ref="J1082">IFERROR(_xlfn.LET(
_xlpm.CSVVal,_xlfn.XLOOKUP($A1082,CSV!$A:$A,CSV!I:I,""),
_xlpm.MacVal,_xlfn.XLOOKUP($A1082,Output_Mac!$A:$A,Output_Mac!J:J,""),
_xlpm.MyAuditVal,_xlfn.XLOOKUP($A1082,My_Audit!$A:$A,My_Audit!I:I,""),
_xlfn.IFS(_xlpm.MyAuditVal&lt;&gt;"",UPPER(_xlpm.MyAuditVal),_xlpm.MacVal&lt;&gt;"",_xlpm.MacVal,_xlpm.CSVVal&lt;&gt;"",_xlpm.CSVVal
)),"")</f>
        <v/>
      </c>
      <c r="K1082" s="40" t="str" cm="1">
        <f t="array" ref="K1082">IFERROR(_xlfn.LET(
_xlpm.CSVVal,_xlfn.XLOOKUP($A1082,CSV!$A:$A,CSV!K:K,""),
_xlpm.MacVal,_xlfn.XLOOKUP($A1082,Output_Mac!$A:$A,Output_Mac!K:K,""),
_xlpm.MyAuditVal,_xlfn.XLOOKUP($A1082,My_Audit!$A:$A,My_Audit!J:J,""),
_xlfn.IFS(_xlpm.MyAuditVal&lt;&gt;"",UPPER(_xlpm.MyAuditVal),_xlpm.MacVal&lt;&gt;"",_xlpm.MacVal,_xlpm.CSVVal&lt;&gt;"",_xlpm.CSVVal
)),"")</f>
        <v/>
      </c>
      <c r="L1082" s="40" t="str" cm="1">
        <f t="array" ref="L1082">IFERROR(_xlfn.LET(
_xlpm.CSVVal,_xlfn.XLOOKUP($A1082,CSV!$A:$A,CSV!P:P,""),
_xlpm.MacVal,_xlfn.XLOOKUP($A1082,Output_Mac!$A:$A,Output_Mac!L:L,""),
_xlpm.MyAuditVal,_xlfn.XLOOKUP($A1082,My_Audit!$A:$A,My_Audit!K:K,""),
_xlfn.IFS(_xlpm.MyAuditVal&lt;&gt;"",UPPER(_xlpm.MyAuditVal),_xlpm.MacVal&lt;&gt;"",_xlpm.MacVal,_xlpm.CSVVal&lt;&gt;"",_xlpm.CSVVal
)),"")</f>
        <v/>
      </c>
      <c r="M1082" s="40" t="str" cm="1">
        <f t="array" ref="M1082">IFERROR(_xlfn.LET(
_xlpm.CSVVal,_xlfn.XLOOKUP($A1082,CSV!$A:$A,CSV!Q:Q,""),
_xlpm.MacVal,_xlfn.XLOOKUP($A1082,Output_Mac!$A:$A,Output_Mac!M:M,""),
_xlpm.MyAuditVal,_xlfn.XLOOKUP($A1082,My_Audit!$A:$A,My_Audit!L:L,""),
_xlfn.IFS(_xlpm.MyAuditVal&lt;&gt;"",UPPER(_xlpm.MyAuditVal),_xlpm.MacVal&lt;&gt;"",_xlpm.MacVal,_xlpm.CSVVal&lt;&gt;"",_xlpm.CSVVal
)),"")</f>
        <v/>
      </c>
      <c r="N1082" s="40"/>
      <c r="O1082" s="40" t="str">
        <f>_xlfn.LET(
    _xlpm.CSVVal, _xlfn.XLOOKUP($A1082, CSV!$A:$A, CSV!AA:AA, ""),
    _xlpm.MacVal, _xlfn.XLOOKUP($A1082, Output_Mac!$A:$A, Output_Mac!S:S, ""),
    _xlpm.MyAuditVal, _xlfn.XLOOKUP($A1082, My_Audit!$A:$A, My_Audit!P:P, ""),
    _xlfn.TEXTJOIN(", ", TRUE, _xlpm.MyAuditVal, _xlpm.MacVal, _xlpm.CSVVal)
)</f>
        <v/>
      </c>
      <c r="P1082" s="40" t="str" cm="1">
        <f t="array" ref="P1082">IFERROR(_xlfn.LET(
_xlpm.CSVVal,_xlfn.XLOOKUP($A1082,CSV!$A:$A,CSV!AB:AB,""),
_xlpm.MacVal,_xlfn.XLOOKUP($A1082,Output_Mac!$A:$A,Output_Mac!T:T,""),
_xlpm.MyAuditVal,_xlfn.XLOOKUP($A1082,My_Audit!$A:$A,My_Audit!Q:Q,""),
_xlfn.IFS(_xlpm.MyAuditVal&lt;&gt;"",UPPER(_xlpm.MyAuditVal),_xlpm.MacVal&lt;&gt;"",_xlpm.MacVal,_xlpm.CSVVal&lt;&gt;"",_xlpm.CSVVal
)),"No")</f>
        <v>No</v>
      </c>
      <c r="Q1082" s="40" t="str" cm="1">
        <f t="array" ref="Q1082">IFERROR(_xlfn.LET(
_xlpm.CSVVal,_xlfn.XLOOKUP($A1082,CSV!$A:$A,CSV!AC:AC,""),
_xlpm.MacVal,_xlfn.XLOOKUP($A1082,Output_Mac!$A:$A,Output_Mac!U:U,""),
_xlpm.MyAuditVal,_xlfn.XLOOKUP($A1082,My_Audit!$A:$A,My_Audit!R:R,""),
_xlfn.IFS(_xlpm.MyAuditVal&lt;&gt;"",UPPER(_xlpm.MyAuditVal),_xlpm.MacVal&lt;&gt;"",_xlpm.MacVal,_xlpm.CSVVal&lt;&gt;"",_xlpm.CSVVal
)),"")</f>
        <v/>
      </c>
      <c r="R1082" s="40"/>
      <c r="S1082" s="40"/>
      <c r="T1082" s="40"/>
      <c r="U1082" s="40"/>
      <c r="V1082" s="40"/>
      <c r="W1082" s="40"/>
      <c r="X1082" s="41" t="str">
        <f>_xlfn.LET(
    _xlpm.MacVal, _xlfn.XLOOKUP($A1082, Output_Mac!$A:$A, Output_Mac!AB:AB, ""),
    _xlpm.MyAuditVal, _xlfn.XLOOKUP($A1082, My_Audit!$A:$A, My_Audit!N:N, ""),
    _xlfn.TEXTJOIN(", ", TRUE, _xlpm.MyAuditVal, _xlpm.MacVal)
)</f>
        <v/>
      </c>
    </row>
    <row r="1083" spans="1:24">
      <c r="A1083" s="40" t="str">
        <f>_xlfn.TEXTJOIN("",TRUE,Input!$B$2,ROW(My_Audit!A1082))</f>
        <v>X1082</v>
      </c>
      <c r="B1083" s="40" t="str">
        <f>_xlfn.TEXTJOIN("-",TRUE,"ITD",Input!$A$2,A1083)</f>
        <v>ITD-X1082</v>
      </c>
      <c r="C1083" s="40" t="str" cm="1">
        <f t="array" ref="C1083">IFERROR(_xlfn.LET(
_xlpm.CSVVal,_xlfn.XLOOKUP($A1083,CSV!$A:$A,CSV!B:B,""),
_xlpm.MacVal,_xlfn.XLOOKUP($A1083,Output_Mac!$A:$A,Output_Mac!B:B,""),
_xlpm.MyAuditVal,_xlfn.XLOOKUP($A1083,My_Audit!$A:$A,My_Audit!B:B,""),
_xlfn.IFS(_xlpm.MyAuditVal&lt;&gt;"",UPPER(_xlpm.MyAuditVal),_xlpm.MacVal&lt;&gt;"",_xlpm.MacVal,_xlpm.CSVVal&lt;&gt;"",_xlpm.CSVVal
)),"")</f>
        <v/>
      </c>
      <c r="D1083" s="40" t="str" cm="1">
        <f t="array" ref="D1083">IFERROR(_xlfn.LET(
_xlpm.CSVVal,_xlfn.XLOOKUP($A1083,CSV!$A:$A,CSV!D:D,""),
_xlpm.MacVal,_xlfn.XLOOKUP($A1083,Output_Mac!$A:$A,Output_Mac!C:C,""),
_xlpm.MyAuditVal,_xlfn.XLOOKUP($A1083,My_Audit!$A:$A,My_Audit!C:C,""),
_xlfn.IFS(_xlpm.MyAuditVal&lt;&gt;"",_xlpm.MyAuditVal,_xlpm.MacVal&lt;&gt;"",_xlpm.MacVal,_xlpm.CSVVal&lt;&gt;"",_xlpm.CSVVal
)),"")</f>
        <v/>
      </c>
      <c r="E1083" s="40" t="str">
        <f>_xlfn.XLOOKUP(A1083,My_Audit!A:A,My_Audit!D:D,"")</f>
        <v/>
      </c>
      <c r="F1083" s="40" t="str" cm="1">
        <f t="array" ref="F1083">IFERROR(_xlfn.LET(
_xlpm.CSVVal,_xlfn.XLOOKUP($A1083,CSV!$A:$A,CSV!F:F,""),
_xlpm.MacVal,_xlfn.XLOOKUP($A1083,Output_Mac!$A:$A,Output_Mac!E:E,""),
_xlpm.MyAuditVal,_xlfn.XLOOKUP($A1083,My_Audit!$A:$A,My_Audit!E:E,""),
_xlfn.IFS(_xlpm.MyAuditVal&lt;&gt;"",_xlpm.MyAuditVal,_xlpm.MacVal&lt;&gt;"",_xlpm.MacVal,_xlpm.CSVVal&lt;&gt;"",_xlpm.CSVVal
)),"")</f>
        <v/>
      </c>
      <c r="G1083" s="40" t="str" cm="1">
        <f t="array" ref="G1083">IFERROR(_xlfn.LET(
_xlpm.CSVVal,_xlfn.XLOOKUP($A1083,CSV!$A:$A,CSV!G:G,""),
_xlpm.MacVal,_xlfn.XLOOKUP($A1083,Output_Mac!$A:$A,Output_Mac!F:F,""),
_xlpm.MyAuditVal,_xlfn.XLOOKUP($A1083,My_Audit!$A:$A,My_Audit!F:F,""),
_xlfn.IFS(_xlpm.MyAuditVal&lt;&gt;"",_xlpm.MyAuditVal,_xlpm.MacVal&lt;&gt;"",_xlpm.MacVal,_xlpm.CSVVal&lt;&gt;"",PROPER(_xlpm.CSVVal)
)),"")</f>
        <v/>
      </c>
      <c r="H1083" s="40" t="str" cm="1">
        <f t="array" ref="H1083">IFERROR(_xlfn.LET(
_xlpm.CSVVal,_xlfn.XLOOKUP($A1083,CSV!$A:$A,CSV!H:H,""),
_xlpm.MacVal,_xlfn.XLOOKUP($A1083,Output_Mac!$A:$A,Output_Mac!H:H,""),
_xlpm.MyAuditVal,_xlfn.XLOOKUP($A1083,My_Audit!$A:$A,My_Audit!G:G,""),
_xlfn.IFS(_xlpm.MyAuditVal&lt;&gt;"",_xlpm.MyAuditVal,_xlpm.MacVal&lt;&gt;"",_xlpm.MacVal,_xlpm.CSVVal&lt;&gt;"",_xlpm.CSVVal
)),"")</f>
        <v/>
      </c>
      <c r="I1083" s="40" t="str">
        <f>_xlfn.XLOOKUP(A1083,Output_Mac!A:A,Output_Mac!I:I,"")</f>
        <v/>
      </c>
      <c r="J1083" s="40" t="str" cm="1">
        <f t="array" ref="J1083">IFERROR(_xlfn.LET(
_xlpm.CSVVal,_xlfn.XLOOKUP($A1083,CSV!$A:$A,CSV!I:I,""),
_xlpm.MacVal,_xlfn.XLOOKUP($A1083,Output_Mac!$A:$A,Output_Mac!J:J,""),
_xlpm.MyAuditVal,_xlfn.XLOOKUP($A1083,My_Audit!$A:$A,My_Audit!I:I,""),
_xlfn.IFS(_xlpm.MyAuditVal&lt;&gt;"",UPPER(_xlpm.MyAuditVal),_xlpm.MacVal&lt;&gt;"",_xlpm.MacVal,_xlpm.CSVVal&lt;&gt;"",_xlpm.CSVVal
)),"")</f>
        <v/>
      </c>
      <c r="K1083" s="40" t="str" cm="1">
        <f t="array" ref="K1083">IFERROR(_xlfn.LET(
_xlpm.CSVVal,_xlfn.XLOOKUP($A1083,CSV!$A:$A,CSV!K:K,""),
_xlpm.MacVal,_xlfn.XLOOKUP($A1083,Output_Mac!$A:$A,Output_Mac!K:K,""),
_xlpm.MyAuditVal,_xlfn.XLOOKUP($A1083,My_Audit!$A:$A,My_Audit!J:J,""),
_xlfn.IFS(_xlpm.MyAuditVal&lt;&gt;"",UPPER(_xlpm.MyAuditVal),_xlpm.MacVal&lt;&gt;"",_xlpm.MacVal,_xlpm.CSVVal&lt;&gt;"",_xlpm.CSVVal
)),"")</f>
        <v/>
      </c>
      <c r="L1083" s="40" t="str" cm="1">
        <f t="array" ref="L1083">IFERROR(_xlfn.LET(
_xlpm.CSVVal,_xlfn.XLOOKUP($A1083,CSV!$A:$A,CSV!P:P,""),
_xlpm.MacVal,_xlfn.XLOOKUP($A1083,Output_Mac!$A:$A,Output_Mac!L:L,""),
_xlpm.MyAuditVal,_xlfn.XLOOKUP($A1083,My_Audit!$A:$A,My_Audit!K:K,""),
_xlfn.IFS(_xlpm.MyAuditVal&lt;&gt;"",UPPER(_xlpm.MyAuditVal),_xlpm.MacVal&lt;&gt;"",_xlpm.MacVal,_xlpm.CSVVal&lt;&gt;"",_xlpm.CSVVal
)),"")</f>
        <v/>
      </c>
      <c r="M1083" s="40" t="str" cm="1">
        <f t="array" ref="M1083">IFERROR(_xlfn.LET(
_xlpm.CSVVal,_xlfn.XLOOKUP($A1083,CSV!$A:$A,CSV!Q:Q,""),
_xlpm.MacVal,_xlfn.XLOOKUP($A1083,Output_Mac!$A:$A,Output_Mac!M:M,""),
_xlpm.MyAuditVal,_xlfn.XLOOKUP($A1083,My_Audit!$A:$A,My_Audit!L:L,""),
_xlfn.IFS(_xlpm.MyAuditVal&lt;&gt;"",UPPER(_xlpm.MyAuditVal),_xlpm.MacVal&lt;&gt;"",_xlpm.MacVal,_xlpm.CSVVal&lt;&gt;"",_xlpm.CSVVal
)),"")</f>
        <v/>
      </c>
      <c r="N1083" s="40"/>
      <c r="O1083" s="40" t="str">
        <f>_xlfn.LET(
    _xlpm.CSVVal, _xlfn.XLOOKUP($A1083, CSV!$A:$A, CSV!AA:AA, ""),
    _xlpm.MacVal, _xlfn.XLOOKUP($A1083, Output_Mac!$A:$A, Output_Mac!S:S, ""),
    _xlpm.MyAuditVal, _xlfn.XLOOKUP($A1083, My_Audit!$A:$A, My_Audit!P:P, ""),
    _xlfn.TEXTJOIN(", ", TRUE, _xlpm.MyAuditVal, _xlpm.MacVal, _xlpm.CSVVal)
)</f>
        <v/>
      </c>
      <c r="P1083" s="40" t="str" cm="1">
        <f t="array" ref="P1083">IFERROR(_xlfn.LET(
_xlpm.CSVVal,_xlfn.XLOOKUP($A1083,CSV!$A:$A,CSV!AB:AB,""),
_xlpm.MacVal,_xlfn.XLOOKUP($A1083,Output_Mac!$A:$A,Output_Mac!T:T,""),
_xlpm.MyAuditVal,_xlfn.XLOOKUP($A1083,My_Audit!$A:$A,My_Audit!Q:Q,""),
_xlfn.IFS(_xlpm.MyAuditVal&lt;&gt;"",UPPER(_xlpm.MyAuditVal),_xlpm.MacVal&lt;&gt;"",_xlpm.MacVal,_xlpm.CSVVal&lt;&gt;"",_xlpm.CSVVal
)),"No")</f>
        <v>No</v>
      </c>
      <c r="Q1083" s="40" t="str" cm="1">
        <f t="array" ref="Q1083">IFERROR(_xlfn.LET(
_xlpm.CSVVal,_xlfn.XLOOKUP($A1083,CSV!$A:$A,CSV!AC:AC,""),
_xlpm.MacVal,_xlfn.XLOOKUP($A1083,Output_Mac!$A:$A,Output_Mac!U:U,""),
_xlpm.MyAuditVal,_xlfn.XLOOKUP($A1083,My_Audit!$A:$A,My_Audit!R:R,""),
_xlfn.IFS(_xlpm.MyAuditVal&lt;&gt;"",UPPER(_xlpm.MyAuditVal),_xlpm.MacVal&lt;&gt;"",_xlpm.MacVal,_xlpm.CSVVal&lt;&gt;"",_xlpm.CSVVal
)),"")</f>
        <v/>
      </c>
      <c r="R1083" s="40"/>
      <c r="S1083" s="40"/>
      <c r="T1083" s="40"/>
      <c r="U1083" s="40"/>
      <c r="V1083" s="40"/>
      <c r="W1083" s="40"/>
      <c r="X1083" s="41" t="str">
        <f>_xlfn.LET(
    _xlpm.MacVal, _xlfn.XLOOKUP($A1083, Output_Mac!$A:$A, Output_Mac!AB:AB, ""),
    _xlpm.MyAuditVal, _xlfn.XLOOKUP($A1083, My_Audit!$A:$A, My_Audit!N:N, ""),
    _xlfn.TEXTJOIN(", ", TRUE, _xlpm.MyAuditVal, _xlpm.MacVal)
)</f>
        <v/>
      </c>
    </row>
    <row r="1084" spans="1:24">
      <c r="A1084" s="40" t="str">
        <f>_xlfn.TEXTJOIN("",TRUE,Input!$B$2,ROW(My_Audit!A1083))</f>
        <v>X1083</v>
      </c>
      <c r="B1084" s="40" t="str">
        <f>_xlfn.TEXTJOIN("-",TRUE,"ITD",Input!$A$2,A1084)</f>
        <v>ITD-X1083</v>
      </c>
      <c r="C1084" s="40" t="str" cm="1">
        <f t="array" ref="C1084">IFERROR(_xlfn.LET(
_xlpm.CSVVal,_xlfn.XLOOKUP($A1084,CSV!$A:$A,CSV!B:B,""),
_xlpm.MacVal,_xlfn.XLOOKUP($A1084,Output_Mac!$A:$A,Output_Mac!B:B,""),
_xlpm.MyAuditVal,_xlfn.XLOOKUP($A1084,My_Audit!$A:$A,My_Audit!B:B,""),
_xlfn.IFS(_xlpm.MyAuditVal&lt;&gt;"",UPPER(_xlpm.MyAuditVal),_xlpm.MacVal&lt;&gt;"",_xlpm.MacVal,_xlpm.CSVVal&lt;&gt;"",_xlpm.CSVVal
)),"")</f>
        <v/>
      </c>
      <c r="D1084" s="40" t="str" cm="1">
        <f t="array" ref="D1084">IFERROR(_xlfn.LET(
_xlpm.CSVVal,_xlfn.XLOOKUP($A1084,CSV!$A:$A,CSV!D:D,""),
_xlpm.MacVal,_xlfn.XLOOKUP($A1084,Output_Mac!$A:$A,Output_Mac!C:C,""),
_xlpm.MyAuditVal,_xlfn.XLOOKUP($A1084,My_Audit!$A:$A,My_Audit!C:C,""),
_xlfn.IFS(_xlpm.MyAuditVal&lt;&gt;"",_xlpm.MyAuditVal,_xlpm.MacVal&lt;&gt;"",_xlpm.MacVal,_xlpm.CSVVal&lt;&gt;"",_xlpm.CSVVal
)),"")</f>
        <v/>
      </c>
      <c r="E1084" s="40" t="str">
        <f>_xlfn.XLOOKUP(A1084,My_Audit!A:A,My_Audit!D:D,"")</f>
        <v/>
      </c>
      <c r="F1084" s="40" t="str" cm="1">
        <f t="array" ref="F1084">IFERROR(_xlfn.LET(
_xlpm.CSVVal,_xlfn.XLOOKUP($A1084,CSV!$A:$A,CSV!F:F,""),
_xlpm.MacVal,_xlfn.XLOOKUP($A1084,Output_Mac!$A:$A,Output_Mac!E:E,""),
_xlpm.MyAuditVal,_xlfn.XLOOKUP($A1084,My_Audit!$A:$A,My_Audit!E:E,""),
_xlfn.IFS(_xlpm.MyAuditVal&lt;&gt;"",_xlpm.MyAuditVal,_xlpm.MacVal&lt;&gt;"",_xlpm.MacVal,_xlpm.CSVVal&lt;&gt;"",_xlpm.CSVVal
)),"")</f>
        <v/>
      </c>
      <c r="G1084" s="40" t="str" cm="1">
        <f t="array" ref="G1084">IFERROR(_xlfn.LET(
_xlpm.CSVVal,_xlfn.XLOOKUP($A1084,CSV!$A:$A,CSV!G:G,""),
_xlpm.MacVal,_xlfn.XLOOKUP($A1084,Output_Mac!$A:$A,Output_Mac!F:F,""),
_xlpm.MyAuditVal,_xlfn.XLOOKUP($A1084,My_Audit!$A:$A,My_Audit!F:F,""),
_xlfn.IFS(_xlpm.MyAuditVal&lt;&gt;"",_xlpm.MyAuditVal,_xlpm.MacVal&lt;&gt;"",_xlpm.MacVal,_xlpm.CSVVal&lt;&gt;"",PROPER(_xlpm.CSVVal)
)),"")</f>
        <v/>
      </c>
      <c r="H1084" s="40" t="str" cm="1">
        <f t="array" ref="H1084">IFERROR(_xlfn.LET(
_xlpm.CSVVal,_xlfn.XLOOKUP($A1084,CSV!$A:$A,CSV!H:H,""),
_xlpm.MacVal,_xlfn.XLOOKUP($A1084,Output_Mac!$A:$A,Output_Mac!H:H,""),
_xlpm.MyAuditVal,_xlfn.XLOOKUP($A1084,My_Audit!$A:$A,My_Audit!G:G,""),
_xlfn.IFS(_xlpm.MyAuditVal&lt;&gt;"",_xlpm.MyAuditVal,_xlpm.MacVal&lt;&gt;"",_xlpm.MacVal,_xlpm.CSVVal&lt;&gt;"",_xlpm.CSVVal
)),"")</f>
        <v/>
      </c>
      <c r="I1084" s="40" t="str">
        <f>_xlfn.XLOOKUP(A1084,Output_Mac!A:A,Output_Mac!I:I,"")</f>
        <v/>
      </c>
      <c r="J1084" s="40" t="str" cm="1">
        <f t="array" ref="J1084">IFERROR(_xlfn.LET(
_xlpm.CSVVal,_xlfn.XLOOKUP($A1084,CSV!$A:$A,CSV!I:I,""),
_xlpm.MacVal,_xlfn.XLOOKUP($A1084,Output_Mac!$A:$A,Output_Mac!J:J,""),
_xlpm.MyAuditVal,_xlfn.XLOOKUP($A1084,My_Audit!$A:$A,My_Audit!I:I,""),
_xlfn.IFS(_xlpm.MyAuditVal&lt;&gt;"",UPPER(_xlpm.MyAuditVal),_xlpm.MacVal&lt;&gt;"",_xlpm.MacVal,_xlpm.CSVVal&lt;&gt;"",_xlpm.CSVVal
)),"")</f>
        <v/>
      </c>
      <c r="K1084" s="40" t="str" cm="1">
        <f t="array" ref="K1084">IFERROR(_xlfn.LET(
_xlpm.CSVVal,_xlfn.XLOOKUP($A1084,CSV!$A:$A,CSV!K:K,""),
_xlpm.MacVal,_xlfn.XLOOKUP($A1084,Output_Mac!$A:$A,Output_Mac!K:K,""),
_xlpm.MyAuditVal,_xlfn.XLOOKUP($A1084,My_Audit!$A:$A,My_Audit!J:J,""),
_xlfn.IFS(_xlpm.MyAuditVal&lt;&gt;"",UPPER(_xlpm.MyAuditVal),_xlpm.MacVal&lt;&gt;"",_xlpm.MacVal,_xlpm.CSVVal&lt;&gt;"",_xlpm.CSVVal
)),"")</f>
        <v/>
      </c>
      <c r="L1084" s="40" t="str" cm="1">
        <f t="array" ref="L1084">IFERROR(_xlfn.LET(
_xlpm.CSVVal,_xlfn.XLOOKUP($A1084,CSV!$A:$A,CSV!P:P,""),
_xlpm.MacVal,_xlfn.XLOOKUP($A1084,Output_Mac!$A:$A,Output_Mac!L:L,""),
_xlpm.MyAuditVal,_xlfn.XLOOKUP($A1084,My_Audit!$A:$A,My_Audit!K:K,""),
_xlfn.IFS(_xlpm.MyAuditVal&lt;&gt;"",UPPER(_xlpm.MyAuditVal),_xlpm.MacVal&lt;&gt;"",_xlpm.MacVal,_xlpm.CSVVal&lt;&gt;"",_xlpm.CSVVal
)),"")</f>
        <v/>
      </c>
      <c r="M1084" s="40" t="str" cm="1">
        <f t="array" ref="M1084">IFERROR(_xlfn.LET(
_xlpm.CSVVal,_xlfn.XLOOKUP($A1084,CSV!$A:$A,CSV!Q:Q,""),
_xlpm.MacVal,_xlfn.XLOOKUP($A1084,Output_Mac!$A:$A,Output_Mac!M:M,""),
_xlpm.MyAuditVal,_xlfn.XLOOKUP($A1084,My_Audit!$A:$A,My_Audit!L:L,""),
_xlfn.IFS(_xlpm.MyAuditVal&lt;&gt;"",UPPER(_xlpm.MyAuditVal),_xlpm.MacVal&lt;&gt;"",_xlpm.MacVal,_xlpm.CSVVal&lt;&gt;"",_xlpm.CSVVal
)),"")</f>
        <v/>
      </c>
      <c r="N1084" s="40"/>
      <c r="O1084" s="40" t="str">
        <f>_xlfn.LET(
    _xlpm.CSVVal, _xlfn.XLOOKUP($A1084, CSV!$A:$A, CSV!AA:AA, ""),
    _xlpm.MacVal, _xlfn.XLOOKUP($A1084, Output_Mac!$A:$A, Output_Mac!S:S, ""),
    _xlpm.MyAuditVal, _xlfn.XLOOKUP($A1084, My_Audit!$A:$A, My_Audit!P:P, ""),
    _xlfn.TEXTJOIN(", ", TRUE, _xlpm.MyAuditVal, _xlpm.MacVal, _xlpm.CSVVal)
)</f>
        <v/>
      </c>
      <c r="P1084" s="40" t="str" cm="1">
        <f t="array" ref="P1084">IFERROR(_xlfn.LET(
_xlpm.CSVVal,_xlfn.XLOOKUP($A1084,CSV!$A:$A,CSV!AB:AB,""),
_xlpm.MacVal,_xlfn.XLOOKUP($A1084,Output_Mac!$A:$A,Output_Mac!T:T,""),
_xlpm.MyAuditVal,_xlfn.XLOOKUP($A1084,My_Audit!$A:$A,My_Audit!Q:Q,""),
_xlfn.IFS(_xlpm.MyAuditVal&lt;&gt;"",UPPER(_xlpm.MyAuditVal),_xlpm.MacVal&lt;&gt;"",_xlpm.MacVal,_xlpm.CSVVal&lt;&gt;"",_xlpm.CSVVal
)),"No")</f>
        <v>No</v>
      </c>
      <c r="Q1084" s="40" t="str" cm="1">
        <f t="array" ref="Q1084">IFERROR(_xlfn.LET(
_xlpm.CSVVal,_xlfn.XLOOKUP($A1084,CSV!$A:$A,CSV!AC:AC,""),
_xlpm.MacVal,_xlfn.XLOOKUP($A1084,Output_Mac!$A:$A,Output_Mac!U:U,""),
_xlpm.MyAuditVal,_xlfn.XLOOKUP($A1084,My_Audit!$A:$A,My_Audit!R:R,""),
_xlfn.IFS(_xlpm.MyAuditVal&lt;&gt;"",UPPER(_xlpm.MyAuditVal),_xlpm.MacVal&lt;&gt;"",_xlpm.MacVal,_xlpm.CSVVal&lt;&gt;"",_xlpm.CSVVal
)),"")</f>
        <v/>
      </c>
      <c r="R1084" s="40"/>
      <c r="S1084" s="40"/>
      <c r="T1084" s="40"/>
      <c r="U1084" s="40"/>
      <c r="V1084" s="40"/>
      <c r="W1084" s="40"/>
      <c r="X1084" s="41" t="str">
        <f>_xlfn.LET(
    _xlpm.MacVal, _xlfn.XLOOKUP($A1084, Output_Mac!$A:$A, Output_Mac!AB:AB, ""),
    _xlpm.MyAuditVal, _xlfn.XLOOKUP($A1084, My_Audit!$A:$A, My_Audit!N:N, ""),
    _xlfn.TEXTJOIN(", ", TRUE, _xlpm.MyAuditVal, _xlpm.MacVal)
)</f>
        <v/>
      </c>
    </row>
    <row r="1085" spans="1:24">
      <c r="A1085" s="40" t="str">
        <f>_xlfn.TEXTJOIN("",TRUE,Input!$B$2,ROW(My_Audit!A1084))</f>
        <v>X1084</v>
      </c>
      <c r="B1085" s="40" t="str">
        <f>_xlfn.TEXTJOIN("-",TRUE,"ITD",Input!$A$2,A1085)</f>
        <v>ITD-X1084</v>
      </c>
      <c r="C1085" s="40" t="str" cm="1">
        <f t="array" ref="C1085">IFERROR(_xlfn.LET(
_xlpm.CSVVal,_xlfn.XLOOKUP($A1085,CSV!$A:$A,CSV!B:B,""),
_xlpm.MacVal,_xlfn.XLOOKUP($A1085,Output_Mac!$A:$A,Output_Mac!B:B,""),
_xlpm.MyAuditVal,_xlfn.XLOOKUP($A1085,My_Audit!$A:$A,My_Audit!B:B,""),
_xlfn.IFS(_xlpm.MyAuditVal&lt;&gt;"",UPPER(_xlpm.MyAuditVal),_xlpm.MacVal&lt;&gt;"",_xlpm.MacVal,_xlpm.CSVVal&lt;&gt;"",_xlpm.CSVVal
)),"")</f>
        <v/>
      </c>
      <c r="D1085" s="40" t="str" cm="1">
        <f t="array" ref="D1085">IFERROR(_xlfn.LET(
_xlpm.CSVVal,_xlfn.XLOOKUP($A1085,CSV!$A:$A,CSV!D:D,""),
_xlpm.MacVal,_xlfn.XLOOKUP($A1085,Output_Mac!$A:$A,Output_Mac!C:C,""),
_xlpm.MyAuditVal,_xlfn.XLOOKUP($A1085,My_Audit!$A:$A,My_Audit!C:C,""),
_xlfn.IFS(_xlpm.MyAuditVal&lt;&gt;"",_xlpm.MyAuditVal,_xlpm.MacVal&lt;&gt;"",_xlpm.MacVal,_xlpm.CSVVal&lt;&gt;"",_xlpm.CSVVal
)),"")</f>
        <v/>
      </c>
      <c r="E1085" s="40" t="str">
        <f>_xlfn.XLOOKUP(A1085,My_Audit!A:A,My_Audit!D:D,"")</f>
        <v/>
      </c>
      <c r="F1085" s="40" t="str" cm="1">
        <f t="array" ref="F1085">IFERROR(_xlfn.LET(
_xlpm.CSVVal,_xlfn.XLOOKUP($A1085,CSV!$A:$A,CSV!F:F,""),
_xlpm.MacVal,_xlfn.XLOOKUP($A1085,Output_Mac!$A:$A,Output_Mac!E:E,""),
_xlpm.MyAuditVal,_xlfn.XLOOKUP($A1085,My_Audit!$A:$A,My_Audit!E:E,""),
_xlfn.IFS(_xlpm.MyAuditVal&lt;&gt;"",_xlpm.MyAuditVal,_xlpm.MacVal&lt;&gt;"",_xlpm.MacVal,_xlpm.CSVVal&lt;&gt;"",_xlpm.CSVVal
)),"")</f>
        <v/>
      </c>
      <c r="G1085" s="40" t="str" cm="1">
        <f t="array" ref="G1085">IFERROR(_xlfn.LET(
_xlpm.CSVVal,_xlfn.XLOOKUP($A1085,CSV!$A:$A,CSV!G:G,""),
_xlpm.MacVal,_xlfn.XLOOKUP($A1085,Output_Mac!$A:$A,Output_Mac!F:F,""),
_xlpm.MyAuditVal,_xlfn.XLOOKUP($A1085,My_Audit!$A:$A,My_Audit!F:F,""),
_xlfn.IFS(_xlpm.MyAuditVal&lt;&gt;"",_xlpm.MyAuditVal,_xlpm.MacVal&lt;&gt;"",_xlpm.MacVal,_xlpm.CSVVal&lt;&gt;"",PROPER(_xlpm.CSVVal)
)),"")</f>
        <v/>
      </c>
      <c r="H1085" s="40" t="str" cm="1">
        <f t="array" ref="H1085">IFERROR(_xlfn.LET(
_xlpm.CSVVal,_xlfn.XLOOKUP($A1085,CSV!$A:$A,CSV!H:H,""),
_xlpm.MacVal,_xlfn.XLOOKUP($A1085,Output_Mac!$A:$A,Output_Mac!H:H,""),
_xlpm.MyAuditVal,_xlfn.XLOOKUP($A1085,My_Audit!$A:$A,My_Audit!G:G,""),
_xlfn.IFS(_xlpm.MyAuditVal&lt;&gt;"",_xlpm.MyAuditVal,_xlpm.MacVal&lt;&gt;"",_xlpm.MacVal,_xlpm.CSVVal&lt;&gt;"",_xlpm.CSVVal
)),"")</f>
        <v/>
      </c>
      <c r="I1085" s="40" t="str">
        <f>_xlfn.XLOOKUP(A1085,Output_Mac!A:A,Output_Mac!I:I,"")</f>
        <v/>
      </c>
      <c r="J1085" s="40" t="str" cm="1">
        <f t="array" ref="J1085">IFERROR(_xlfn.LET(
_xlpm.CSVVal,_xlfn.XLOOKUP($A1085,CSV!$A:$A,CSV!I:I,""),
_xlpm.MacVal,_xlfn.XLOOKUP($A1085,Output_Mac!$A:$A,Output_Mac!J:J,""),
_xlpm.MyAuditVal,_xlfn.XLOOKUP($A1085,My_Audit!$A:$A,My_Audit!I:I,""),
_xlfn.IFS(_xlpm.MyAuditVal&lt;&gt;"",UPPER(_xlpm.MyAuditVal),_xlpm.MacVal&lt;&gt;"",_xlpm.MacVal,_xlpm.CSVVal&lt;&gt;"",_xlpm.CSVVal
)),"")</f>
        <v/>
      </c>
      <c r="K1085" s="40" t="str" cm="1">
        <f t="array" ref="K1085">IFERROR(_xlfn.LET(
_xlpm.CSVVal,_xlfn.XLOOKUP($A1085,CSV!$A:$A,CSV!K:K,""),
_xlpm.MacVal,_xlfn.XLOOKUP($A1085,Output_Mac!$A:$A,Output_Mac!K:K,""),
_xlpm.MyAuditVal,_xlfn.XLOOKUP($A1085,My_Audit!$A:$A,My_Audit!J:J,""),
_xlfn.IFS(_xlpm.MyAuditVal&lt;&gt;"",UPPER(_xlpm.MyAuditVal),_xlpm.MacVal&lt;&gt;"",_xlpm.MacVal,_xlpm.CSVVal&lt;&gt;"",_xlpm.CSVVal
)),"")</f>
        <v/>
      </c>
      <c r="L1085" s="40" t="str" cm="1">
        <f t="array" ref="L1085">IFERROR(_xlfn.LET(
_xlpm.CSVVal,_xlfn.XLOOKUP($A1085,CSV!$A:$A,CSV!P:P,""),
_xlpm.MacVal,_xlfn.XLOOKUP($A1085,Output_Mac!$A:$A,Output_Mac!L:L,""),
_xlpm.MyAuditVal,_xlfn.XLOOKUP($A1085,My_Audit!$A:$A,My_Audit!K:K,""),
_xlfn.IFS(_xlpm.MyAuditVal&lt;&gt;"",UPPER(_xlpm.MyAuditVal),_xlpm.MacVal&lt;&gt;"",_xlpm.MacVal,_xlpm.CSVVal&lt;&gt;"",_xlpm.CSVVal
)),"")</f>
        <v/>
      </c>
      <c r="M1085" s="40" t="str" cm="1">
        <f t="array" ref="M1085">IFERROR(_xlfn.LET(
_xlpm.CSVVal,_xlfn.XLOOKUP($A1085,CSV!$A:$A,CSV!Q:Q,""),
_xlpm.MacVal,_xlfn.XLOOKUP($A1085,Output_Mac!$A:$A,Output_Mac!M:M,""),
_xlpm.MyAuditVal,_xlfn.XLOOKUP($A1085,My_Audit!$A:$A,My_Audit!L:L,""),
_xlfn.IFS(_xlpm.MyAuditVal&lt;&gt;"",UPPER(_xlpm.MyAuditVal),_xlpm.MacVal&lt;&gt;"",_xlpm.MacVal,_xlpm.CSVVal&lt;&gt;"",_xlpm.CSVVal
)),"")</f>
        <v/>
      </c>
      <c r="N1085" s="40"/>
      <c r="O1085" s="40" t="str">
        <f>_xlfn.LET(
    _xlpm.CSVVal, _xlfn.XLOOKUP($A1085, CSV!$A:$A, CSV!AA:AA, ""),
    _xlpm.MacVal, _xlfn.XLOOKUP($A1085, Output_Mac!$A:$A, Output_Mac!S:S, ""),
    _xlpm.MyAuditVal, _xlfn.XLOOKUP($A1085, My_Audit!$A:$A, My_Audit!P:P, ""),
    _xlfn.TEXTJOIN(", ", TRUE, _xlpm.MyAuditVal, _xlpm.MacVal, _xlpm.CSVVal)
)</f>
        <v/>
      </c>
      <c r="P1085" s="40" t="str" cm="1">
        <f t="array" ref="P1085">IFERROR(_xlfn.LET(
_xlpm.CSVVal,_xlfn.XLOOKUP($A1085,CSV!$A:$A,CSV!AB:AB,""),
_xlpm.MacVal,_xlfn.XLOOKUP($A1085,Output_Mac!$A:$A,Output_Mac!T:T,""),
_xlpm.MyAuditVal,_xlfn.XLOOKUP($A1085,My_Audit!$A:$A,My_Audit!Q:Q,""),
_xlfn.IFS(_xlpm.MyAuditVal&lt;&gt;"",UPPER(_xlpm.MyAuditVal),_xlpm.MacVal&lt;&gt;"",_xlpm.MacVal,_xlpm.CSVVal&lt;&gt;"",_xlpm.CSVVal
)),"No")</f>
        <v>No</v>
      </c>
      <c r="Q1085" s="40" t="str" cm="1">
        <f t="array" ref="Q1085">IFERROR(_xlfn.LET(
_xlpm.CSVVal,_xlfn.XLOOKUP($A1085,CSV!$A:$A,CSV!AC:AC,""),
_xlpm.MacVal,_xlfn.XLOOKUP($A1085,Output_Mac!$A:$A,Output_Mac!U:U,""),
_xlpm.MyAuditVal,_xlfn.XLOOKUP($A1085,My_Audit!$A:$A,My_Audit!R:R,""),
_xlfn.IFS(_xlpm.MyAuditVal&lt;&gt;"",UPPER(_xlpm.MyAuditVal),_xlpm.MacVal&lt;&gt;"",_xlpm.MacVal,_xlpm.CSVVal&lt;&gt;"",_xlpm.CSVVal
)),"")</f>
        <v/>
      </c>
      <c r="R1085" s="40"/>
      <c r="S1085" s="40"/>
      <c r="T1085" s="40"/>
      <c r="U1085" s="40"/>
      <c r="V1085" s="40"/>
      <c r="W1085" s="40"/>
      <c r="X1085" s="41" t="str">
        <f>_xlfn.LET(
    _xlpm.MacVal, _xlfn.XLOOKUP($A1085, Output_Mac!$A:$A, Output_Mac!AB:AB, ""),
    _xlpm.MyAuditVal, _xlfn.XLOOKUP($A1085, My_Audit!$A:$A, My_Audit!N:N, ""),
    _xlfn.TEXTJOIN(", ", TRUE, _xlpm.MyAuditVal, _xlpm.MacVal)
)</f>
        <v/>
      </c>
    </row>
    <row r="1086" spans="1:24">
      <c r="A1086" s="40" t="str">
        <f>_xlfn.TEXTJOIN("",TRUE,Input!$B$2,ROW(My_Audit!A1085))</f>
        <v>X1085</v>
      </c>
      <c r="B1086" s="40" t="str">
        <f>_xlfn.TEXTJOIN("-",TRUE,"ITD",Input!$A$2,A1086)</f>
        <v>ITD-X1085</v>
      </c>
      <c r="C1086" s="40" t="str" cm="1">
        <f t="array" ref="C1086">IFERROR(_xlfn.LET(
_xlpm.CSVVal,_xlfn.XLOOKUP($A1086,CSV!$A:$A,CSV!B:B,""),
_xlpm.MacVal,_xlfn.XLOOKUP($A1086,Output_Mac!$A:$A,Output_Mac!B:B,""),
_xlpm.MyAuditVal,_xlfn.XLOOKUP($A1086,My_Audit!$A:$A,My_Audit!B:B,""),
_xlfn.IFS(_xlpm.MyAuditVal&lt;&gt;"",UPPER(_xlpm.MyAuditVal),_xlpm.MacVal&lt;&gt;"",_xlpm.MacVal,_xlpm.CSVVal&lt;&gt;"",_xlpm.CSVVal
)),"")</f>
        <v/>
      </c>
      <c r="D1086" s="40" t="str" cm="1">
        <f t="array" ref="D1086">IFERROR(_xlfn.LET(
_xlpm.CSVVal,_xlfn.XLOOKUP($A1086,CSV!$A:$A,CSV!D:D,""),
_xlpm.MacVal,_xlfn.XLOOKUP($A1086,Output_Mac!$A:$A,Output_Mac!C:C,""),
_xlpm.MyAuditVal,_xlfn.XLOOKUP($A1086,My_Audit!$A:$A,My_Audit!C:C,""),
_xlfn.IFS(_xlpm.MyAuditVal&lt;&gt;"",_xlpm.MyAuditVal,_xlpm.MacVal&lt;&gt;"",_xlpm.MacVal,_xlpm.CSVVal&lt;&gt;"",_xlpm.CSVVal
)),"")</f>
        <v/>
      </c>
      <c r="E1086" s="40" t="str">
        <f>_xlfn.XLOOKUP(A1086,My_Audit!A:A,My_Audit!D:D,"")</f>
        <v/>
      </c>
      <c r="F1086" s="40" t="str" cm="1">
        <f t="array" ref="F1086">IFERROR(_xlfn.LET(
_xlpm.CSVVal,_xlfn.XLOOKUP($A1086,CSV!$A:$A,CSV!F:F,""),
_xlpm.MacVal,_xlfn.XLOOKUP($A1086,Output_Mac!$A:$A,Output_Mac!E:E,""),
_xlpm.MyAuditVal,_xlfn.XLOOKUP($A1086,My_Audit!$A:$A,My_Audit!E:E,""),
_xlfn.IFS(_xlpm.MyAuditVal&lt;&gt;"",_xlpm.MyAuditVal,_xlpm.MacVal&lt;&gt;"",_xlpm.MacVal,_xlpm.CSVVal&lt;&gt;"",_xlpm.CSVVal
)),"")</f>
        <v/>
      </c>
      <c r="G1086" s="40" t="str" cm="1">
        <f t="array" ref="G1086">IFERROR(_xlfn.LET(
_xlpm.CSVVal,_xlfn.XLOOKUP($A1086,CSV!$A:$A,CSV!G:G,""),
_xlpm.MacVal,_xlfn.XLOOKUP($A1086,Output_Mac!$A:$A,Output_Mac!F:F,""),
_xlpm.MyAuditVal,_xlfn.XLOOKUP($A1086,My_Audit!$A:$A,My_Audit!F:F,""),
_xlfn.IFS(_xlpm.MyAuditVal&lt;&gt;"",_xlpm.MyAuditVal,_xlpm.MacVal&lt;&gt;"",_xlpm.MacVal,_xlpm.CSVVal&lt;&gt;"",PROPER(_xlpm.CSVVal)
)),"")</f>
        <v/>
      </c>
      <c r="H1086" s="40" t="str" cm="1">
        <f t="array" ref="H1086">IFERROR(_xlfn.LET(
_xlpm.CSVVal,_xlfn.XLOOKUP($A1086,CSV!$A:$A,CSV!H:H,""),
_xlpm.MacVal,_xlfn.XLOOKUP($A1086,Output_Mac!$A:$A,Output_Mac!H:H,""),
_xlpm.MyAuditVal,_xlfn.XLOOKUP($A1086,My_Audit!$A:$A,My_Audit!G:G,""),
_xlfn.IFS(_xlpm.MyAuditVal&lt;&gt;"",_xlpm.MyAuditVal,_xlpm.MacVal&lt;&gt;"",_xlpm.MacVal,_xlpm.CSVVal&lt;&gt;"",_xlpm.CSVVal
)),"")</f>
        <v/>
      </c>
      <c r="I1086" s="40" t="str">
        <f>_xlfn.XLOOKUP(A1086,Output_Mac!A:A,Output_Mac!I:I,"")</f>
        <v/>
      </c>
      <c r="J1086" s="40" t="str" cm="1">
        <f t="array" ref="J1086">IFERROR(_xlfn.LET(
_xlpm.CSVVal,_xlfn.XLOOKUP($A1086,CSV!$A:$A,CSV!I:I,""),
_xlpm.MacVal,_xlfn.XLOOKUP($A1086,Output_Mac!$A:$A,Output_Mac!J:J,""),
_xlpm.MyAuditVal,_xlfn.XLOOKUP($A1086,My_Audit!$A:$A,My_Audit!I:I,""),
_xlfn.IFS(_xlpm.MyAuditVal&lt;&gt;"",UPPER(_xlpm.MyAuditVal),_xlpm.MacVal&lt;&gt;"",_xlpm.MacVal,_xlpm.CSVVal&lt;&gt;"",_xlpm.CSVVal
)),"")</f>
        <v/>
      </c>
      <c r="K1086" s="40" t="str" cm="1">
        <f t="array" ref="K1086">IFERROR(_xlfn.LET(
_xlpm.CSVVal,_xlfn.XLOOKUP($A1086,CSV!$A:$A,CSV!K:K,""),
_xlpm.MacVal,_xlfn.XLOOKUP($A1086,Output_Mac!$A:$A,Output_Mac!K:K,""),
_xlpm.MyAuditVal,_xlfn.XLOOKUP($A1086,My_Audit!$A:$A,My_Audit!J:J,""),
_xlfn.IFS(_xlpm.MyAuditVal&lt;&gt;"",UPPER(_xlpm.MyAuditVal),_xlpm.MacVal&lt;&gt;"",_xlpm.MacVal,_xlpm.CSVVal&lt;&gt;"",_xlpm.CSVVal
)),"")</f>
        <v/>
      </c>
      <c r="L1086" s="40" t="str" cm="1">
        <f t="array" ref="L1086">IFERROR(_xlfn.LET(
_xlpm.CSVVal,_xlfn.XLOOKUP($A1086,CSV!$A:$A,CSV!P:P,""),
_xlpm.MacVal,_xlfn.XLOOKUP($A1086,Output_Mac!$A:$A,Output_Mac!L:L,""),
_xlpm.MyAuditVal,_xlfn.XLOOKUP($A1086,My_Audit!$A:$A,My_Audit!K:K,""),
_xlfn.IFS(_xlpm.MyAuditVal&lt;&gt;"",UPPER(_xlpm.MyAuditVal),_xlpm.MacVal&lt;&gt;"",_xlpm.MacVal,_xlpm.CSVVal&lt;&gt;"",_xlpm.CSVVal
)),"")</f>
        <v/>
      </c>
      <c r="M1086" s="40" t="str" cm="1">
        <f t="array" ref="M1086">IFERROR(_xlfn.LET(
_xlpm.CSVVal,_xlfn.XLOOKUP($A1086,CSV!$A:$A,CSV!Q:Q,""),
_xlpm.MacVal,_xlfn.XLOOKUP($A1086,Output_Mac!$A:$A,Output_Mac!M:M,""),
_xlpm.MyAuditVal,_xlfn.XLOOKUP($A1086,My_Audit!$A:$A,My_Audit!L:L,""),
_xlfn.IFS(_xlpm.MyAuditVal&lt;&gt;"",UPPER(_xlpm.MyAuditVal),_xlpm.MacVal&lt;&gt;"",_xlpm.MacVal,_xlpm.CSVVal&lt;&gt;"",_xlpm.CSVVal
)),"")</f>
        <v/>
      </c>
      <c r="N1086" s="40"/>
      <c r="O1086" s="40" t="str">
        <f>_xlfn.LET(
    _xlpm.CSVVal, _xlfn.XLOOKUP($A1086, CSV!$A:$A, CSV!AA:AA, ""),
    _xlpm.MacVal, _xlfn.XLOOKUP($A1086, Output_Mac!$A:$A, Output_Mac!S:S, ""),
    _xlpm.MyAuditVal, _xlfn.XLOOKUP($A1086, My_Audit!$A:$A, My_Audit!P:P, ""),
    _xlfn.TEXTJOIN(", ", TRUE, _xlpm.MyAuditVal, _xlpm.MacVal, _xlpm.CSVVal)
)</f>
        <v/>
      </c>
      <c r="P1086" s="40" t="str" cm="1">
        <f t="array" ref="P1086">IFERROR(_xlfn.LET(
_xlpm.CSVVal,_xlfn.XLOOKUP($A1086,CSV!$A:$A,CSV!AB:AB,""),
_xlpm.MacVal,_xlfn.XLOOKUP($A1086,Output_Mac!$A:$A,Output_Mac!T:T,""),
_xlpm.MyAuditVal,_xlfn.XLOOKUP($A1086,My_Audit!$A:$A,My_Audit!Q:Q,""),
_xlfn.IFS(_xlpm.MyAuditVal&lt;&gt;"",UPPER(_xlpm.MyAuditVal),_xlpm.MacVal&lt;&gt;"",_xlpm.MacVal,_xlpm.CSVVal&lt;&gt;"",_xlpm.CSVVal
)),"No")</f>
        <v>No</v>
      </c>
      <c r="Q1086" s="40" t="str" cm="1">
        <f t="array" ref="Q1086">IFERROR(_xlfn.LET(
_xlpm.CSVVal,_xlfn.XLOOKUP($A1086,CSV!$A:$A,CSV!AC:AC,""),
_xlpm.MacVal,_xlfn.XLOOKUP($A1086,Output_Mac!$A:$A,Output_Mac!U:U,""),
_xlpm.MyAuditVal,_xlfn.XLOOKUP($A1086,My_Audit!$A:$A,My_Audit!R:R,""),
_xlfn.IFS(_xlpm.MyAuditVal&lt;&gt;"",UPPER(_xlpm.MyAuditVal),_xlpm.MacVal&lt;&gt;"",_xlpm.MacVal,_xlpm.CSVVal&lt;&gt;"",_xlpm.CSVVal
)),"")</f>
        <v/>
      </c>
      <c r="R1086" s="40"/>
      <c r="S1086" s="40"/>
      <c r="T1086" s="40"/>
      <c r="U1086" s="40"/>
      <c r="V1086" s="40"/>
      <c r="W1086" s="40"/>
      <c r="X1086" s="41" t="str">
        <f>_xlfn.LET(
    _xlpm.MacVal, _xlfn.XLOOKUP($A1086, Output_Mac!$A:$A, Output_Mac!AB:AB, ""),
    _xlpm.MyAuditVal, _xlfn.XLOOKUP($A1086, My_Audit!$A:$A, My_Audit!N:N, ""),
    _xlfn.TEXTJOIN(", ", TRUE, _xlpm.MyAuditVal, _xlpm.MacVal)
)</f>
        <v/>
      </c>
    </row>
    <row r="1087" spans="1:24">
      <c r="A1087" s="40" t="str">
        <f>_xlfn.TEXTJOIN("",TRUE,Input!$B$2,ROW(My_Audit!A1086))</f>
        <v>X1086</v>
      </c>
      <c r="B1087" s="40" t="str">
        <f>_xlfn.TEXTJOIN("-",TRUE,"ITD",Input!$A$2,A1087)</f>
        <v>ITD-X1086</v>
      </c>
      <c r="C1087" s="40" t="str" cm="1">
        <f t="array" ref="C1087">IFERROR(_xlfn.LET(
_xlpm.CSVVal,_xlfn.XLOOKUP($A1087,CSV!$A:$A,CSV!B:B,""),
_xlpm.MacVal,_xlfn.XLOOKUP($A1087,Output_Mac!$A:$A,Output_Mac!B:B,""),
_xlpm.MyAuditVal,_xlfn.XLOOKUP($A1087,My_Audit!$A:$A,My_Audit!B:B,""),
_xlfn.IFS(_xlpm.MyAuditVal&lt;&gt;"",UPPER(_xlpm.MyAuditVal),_xlpm.MacVal&lt;&gt;"",_xlpm.MacVal,_xlpm.CSVVal&lt;&gt;"",_xlpm.CSVVal
)),"")</f>
        <v/>
      </c>
      <c r="D1087" s="40" t="str" cm="1">
        <f t="array" ref="D1087">IFERROR(_xlfn.LET(
_xlpm.CSVVal,_xlfn.XLOOKUP($A1087,CSV!$A:$A,CSV!D:D,""),
_xlpm.MacVal,_xlfn.XLOOKUP($A1087,Output_Mac!$A:$A,Output_Mac!C:C,""),
_xlpm.MyAuditVal,_xlfn.XLOOKUP($A1087,My_Audit!$A:$A,My_Audit!C:C,""),
_xlfn.IFS(_xlpm.MyAuditVal&lt;&gt;"",_xlpm.MyAuditVal,_xlpm.MacVal&lt;&gt;"",_xlpm.MacVal,_xlpm.CSVVal&lt;&gt;"",_xlpm.CSVVal
)),"")</f>
        <v/>
      </c>
      <c r="E1087" s="40" t="str">
        <f>_xlfn.XLOOKUP(A1087,My_Audit!A:A,My_Audit!D:D,"")</f>
        <v/>
      </c>
      <c r="F1087" s="40" t="str" cm="1">
        <f t="array" ref="F1087">IFERROR(_xlfn.LET(
_xlpm.CSVVal,_xlfn.XLOOKUP($A1087,CSV!$A:$A,CSV!F:F,""),
_xlpm.MacVal,_xlfn.XLOOKUP($A1087,Output_Mac!$A:$A,Output_Mac!E:E,""),
_xlpm.MyAuditVal,_xlfn.XLOOKUP($A1087,My_Audit!$A:$A,My_Audit!E:E,""),
_xlfn.IFS(_xlpm.MyAuditVal&lt;&gt;"",_xlpm.MyAuditVal,_xlpm.MacVal&lt;&gt;"",_xlpm.MacVal,_xlpm.CSVVal&lt;&gt;"",_xlpm.CSVVal
)),"")</f>
        <v/>
      </c>
      <c r="G1087" s="40" t="str" cm="1">
        <f t="array" ref="G1087">IFERROR(_xlfn.LET(
_xlpm.CSVVal,_xlfn.XLOOKUP($A1087,CSV!$A:$A,CSV!G:G,""),
_xlpm.MacVal,_xlfn.XLOOKUP($A1087,Output_Mac!$A:$A,Output_Mac!F:F,""),
_xlpm.MyAuditVal,_xlfn.XLOOKUP($A1087,My_Audit!$A:$A,My_Audit!F:F,""),
_xlfn.IFS(_xlpm.MyAuditVal&lt;&gt;"",_xlpm.MyAuditVal,_xlpm.MacVal&lt;&gt;"",_xlpm.MacVal,_xlpm.CSVVal&lt;&gt;"",PROPER(_xlpm.CSVVal)
)),"")</f>
        <v/>
      </c>
      <c r="H1087" s="40" t="str" cm="1">
        <f t="array" ref="H1087">IFERROR(_xlfn.LET(
_xlpm.CSVVal,_xlfn.XLOOKUP($A1087,CSV!$A:$A,CSV!H:H,""),
_xlpm.MacVal,_xlfn.XLOOKUP($A1087,Output_Mac!$A:$A,Output_Mac!H:H,""),
_xlpm.MyAuditVal,_xlfn.XLOOKUP($A1087,My_Audit!$A:$A,My_Audit!G:G,""),
_xlfn.IFS(_xlpm.MyAuditVal&lt;&gt;"",_xlpm.MyAuditVal,_xlpm.MacVal&lt;&gt;"",_xlpm.MacVal,_xlpm.CSVVal&lt;&gt;"",_xlpm.CSVVal
)),"")</f>
        <v/>
      </c>
      <c r="I1087" s="40" t="str">
        <f>_xlfn.XLOOKUP(A1087,Output_Mac!A:A,Output_Mac!I:I,"")</f>
        <v/>
      </c>
      <c r="J1087" s="40" t="str" cm="1">
        <f t="array" ref="J1087">IFERROR(_xlfn.LET(
_xlpm.CSVVal,_xlfn.XLOOKUP($A1087,CSV!$A:$A,CSV!I:I,""),
_xlpm.MacVal,_xlfn.XLOOKUP($A1087,Output_Mac!$A:$A,Output_Mac!J:J,""),
_xlpm.MyAuditVal,_xlfn.XLOOKUP($A1087,My_Audit!$A:$A,My_Audit!I:I,""),
_xlfn.IFS(_xlpm.MyAuditVal&lt;&gt;"",UPPER(_xlpm.MyAuditVal),_xlpm.MacVal&lt;&gt;"",_xlpm.MacVal,_xlpm.CSVVal&lt;&gt;"",_xlpm.CSVVal
)),"")</f>
        <v/>
      </c>
      <c r="K1087" s="40" t="str" cm="1">
        <f t="array" ref="K1087">IFERROR(_xlfn.LET(
_xlpm.CSVVal,_xlfn.XLOOKUP($A1087,CSV!$A:$A,CSV!K:K,""),
_xlpm.MacVal,_xlfn.XLOOKUP($A1087,Output_Mac!$A:$A,Output_Mac!K:K,""),
_xlpm.MyAuditVal,_xlfn.XLOOKUP($A1087,My_Audit!$A:$A,My_Audit!J:J,""),
_xlfn.IFS(_xlpm.MyAuditVal&lt;&gt;"",UPPER(_xlpm.MyAuditVal),_xlpm.MacVal&lt;&gt;"",_xlpm.MacVal,_xlpm.CSVVal&lt;&gt;"",_xlpm.CSVVal
)),"")</f>
        <v/>
      </c>
      <c r="L1087" s="40" t="str" cm="1">
        <f t="array" ref="L1087">IFERROR(_xlfn.LET(
_xlpm.CSVVal,_xlfn.XLOOKUP($A1087,CSV!$A:$A,CSV!P:P,""),
_xlpm.MacVal,_xlfn.XLOOKUP($A1087,Output_Mac!$A:$A,Output_Mac!L:L,""),
_xlpm.MyAuditVal,_xlfn.XLOOKUP($A1087,My_Audit!$A:$A,My_Audit!K:K,""),
_xlfn.IFS(_xlpm.MyAuditVal&lt;&gt;"",UPPER(_xlpm.MyAuditVal),_xlpm.MacVal&lt;&gt;"",_xlpm.MacVal,_xlpm.CSVVal&lt;&gt;"",_xlpm.CSVVal
)),"")</f>
        <v/>
      </c>
      <c r="M1087" s="40" t="str" cm="1">
        <f t="array" ref="M1087">IFERROR(_xlfn.LET(
_xlpm.CSVVal,_xlfn.XLOOKUP($A1087,CSV!$A:$A,CSV!Q:Q,""),
_xlpm.MacVal,_xlfn.XLOOKUP($A1087,Output_Mac!$A:$A,Output_Mac!M:M,""),
_xlpm.MyAuditVal,_xlfn.XLOOKUP($A1087,My_Audit!$A:$A,My_Audit!L:L,""),
_xlfn.IFS(_xlpm.MyAuditVal&lt;&gt;"",UPPER(_xlpm.MyAuditVal),_xlpm.MacVal&lt;&gt;"",_xlpm.MacVal,_xlpm.CSVVal&lt;&gt;"",_xlpm.CSVVal
)),"")</f>
        <v/>
      </c>
      <c r="N1087" s="40"/>
      <c r="O1087" s="40" t="str">
        <f>_xlfn.LET(
    _xlpm.CSVVal, _xlfn.XLOOKUP($A1087, CSV!$A:$A, CSV!AA:AA, ""),
    _xlpm.MacVal, _xlfn.XLOOKUP($A1087, Output_Mac!$A:$A, Output_Mac!S:S, ""),
    _xlpm.MyAuditVal, _xlfn.XLOOKUP($A1087, My_Audit!$A:$A, My_Audit!P:P, ""),
    _xlfn.TEXTJOIN(", ", TRUE, _xlpm.MyAuditVal, _xlpm.MacVal, _xlpm.CSVVal)
)</f>
        <v/>
      </c>
      <c r="P1087" s="40" t="str" cm="1">
        <f t="array" ref="P1087">IFERROR(_xlfn.LET(
_xlpm.CSVVal,_xlfn.XLOOKUP($A1087,CSV!$A:$A,CSV!AB:AB,""),
_xlpm.MacVal,_xlfn.XLOOKUP($A1087,Output_Mac!$A:$A,Output_Mac!T:T,""),
_xlpm.MyAuditVal,_xlfn.XLOOKUP($A1087,My_Audit!$A:$A,My_Audit!Q:Q,""),
_xlfn.IFS(_xlpm.MyAuditVal&lt;&gt;"",UPPER(_xlpm.MyAuditVal),_xlpm.MacVal&lt;&gt;"",_xlpm.MacVal,_xlpm.CSVVal&lt;&gt;"",_xlpm.CSVVal
)),"No")</f>
        <v>No</v>
      </c>
      <c r="Q1087" s="40" t="str" cm="1">
        <f t="array" ref="Q1087">IFERROR(_xlfn.LET(
_xlpm.CSVVal,_xlfn.XLOOKUP($A1087,CSV!$A:$A,CSV!AC:AC,""),
_xlpm.MacVal,_xlfn.XLOOKUP($A1087,Output_Mac!$A:$A,Output_Mac!U:U,""),
_xlpm.MyAuditVal,_xlfn.XLOOKUP($A1087,My_Audit!$A:$A,My_Audit!R:R,""),
_xlfn.IFS(_xlpm.MyAuditVal&lt;&gt;"",UPPER(_xlpm.MyAuditVal),_xlpm.MacVal&lt;&gt;"",_xlpm.MacVal,_xlpm.CSVVal&lt;&gt;"",_xlpm.CSVVal
)),"")</f>
        <v/>
      </c>
      <c r="R1087" s="40"/>
      <c r="S1087" s="40"/>
      <c r="T1087" s="40"/>
      <c r="U1087" s="40"/>
      <c r="V1087" s="40"/>
      <c r="W1087" s="40"/>
      <c r="X1087" s="41" t="str">
        <f>_xlfn.LET(
    _xlpm.MacVal, _xlfn.XLOOKUP($A1087, Output_Mac!$A:$A, Output_Mac!AB:AB, ""),
    _xlpm.MyAuditVal, _xlfn.XLOOKUP($A1087, My_Audit!$A:$A, My_Audit!N:N, ""),
    _xlfn.TEXTJOIN(", ", TRUE, _xlpm.MyAuditVal, _xlpm.MacVal)
)</f>
        <v/>
      </c>
    </row>
    <row r="1088" spans="1:24">
      <c r="A1088" s="40" t="str">
        <f>_xlfn.TEXTJOIN("",TRUE,Input!$B$2,ROW(My_Audit!A1087))</f>
        <v>X1087</v>
      </c>
      <c r="B1088" s="40" t="str">
        <f>_xlfn.TEXTJOIN("-",TRUE,"ITD",Input!$A$2,A1088)</f>
        <v>ITD-X1087</v>
      </c>
      <c r="C1088" s="40" t="str" cm="1">
        <f t="array" ref="C1088">IFERROR(_xlfn.LET(
_xlpm.CSVVal,_xlfn.XLOOKUP($A1088,CSV!$A:$A,CSV!B:B,""),
_xlpm.MacVal,_xlfn.XLOOKUP($A1088,Output_Mac!$A:$A,Output_Mac!B:B,""),
_xlpm.MyAuditVal,_xlfn.XLOOKUP($A1088,My_Audit!$A:$A,My_Audit!B:B,""),
_xlfn.IFS(_xlpm.MyAuditVal&lt;&gt;"",UPPER(_xlpm.MyAuditVal),_xlpm.MacVal&lt;&gt;"",_xlpm.MacVal,_xlpm.CSVVal&lt;&gt;"",_xlpm.CSVVal
)),"")</f>
        <v/>
      </c>
      <c r="D1088" s="40" t="str" cm="1">
        <f t="array" ref="D1088">IFERROR(_xlfn.LET(
_xlpm.CSVVal,_xlfn.XLOOKUP($A1088,CSV!$A:$A,CSV!D:D,""),
_xlpm.MacVal,_xlfn.XLOOKUP($A1088,Output_Mac!$A:$A,Output_Mac!C:C,""),
_xlpm.MyAuditVal,_xlfn.XLOOKUP($A1088,My_Audit!$A:$A,My_Audit!C:C,""),
_xlfn.IFS(_xlpm.MyAuditVal&lt;&gt;"",_xlpm.MyAuditVal,_xlpm.MacVal&lt;&gt;"",_xlpm.MacVal,_xlpm.CSVVal&lt;&gt;"",_xlpm.CSVVal
)),"")</f>
        <v/>
      </c>
      <c r="E1088" s="40" t="str">
        <f>_xlfn.XLOOKUP(A1088,My_Audit!A:A,My_Audit!D:D,"")</f>
        <v/>
      </c>
      <c r="F1088" s="40" t="str" cm="1">
        <f t="array" ref="F1088">IFERROR(_xlfn.LET(
_xlpm.CSVVal,_xlfn.XLOOKUP($A1088,CSV!$A:$A,CSV!F:F,""),
_xlpm.MacVal,_xlfn.XLOOKUP($A1088,Output_Mac!$A:$A,Output_Mac!E:E,""),
_xlpm.MyAuditVal,_xlfn.XLOOKUP($A1088,My_Audit!$A:$A,My_Audit!E:E,""),
_xlfn.IFS(_xlpm.MyAuditVal&lt;&gt;"",_xlpm.MyAuditVal,_xlpm.MacVal&lt;&gt;"",_xlpm.MacVal,_xlpm.CSVVal&lt;&gt;"",_xlpm.CSVVal
)),"")</f>
        <v/>
      </c>
      <c r="G1088" s="40" t="str" cm="1">
        <f t="array" ref="G1088">IFERROR(_xlfn.LET(
_xlpm.CSVVal,_xlfn.XLOOKUP($A1088,CSV!$A:$A,CSV!G:G,""),
_xlpm.MacVal,_xlfn.XLOOKUP($A1088,Output_Mac!$A:$A,Output_Mac!F:F,""),
_xlpm.MyAuditVal,_xlfn.XLOOKUP($A1088,My_Audit!$A:$A,My_Audit!F:F,""),
_xlfn.IFS(_xlpm.MyAuditVal&lt;&gt;"",_xlpm.MyAuditVal,_xlpm.MacVal&lt;&gt;"",_xlpm.MacVal,_xlpm.CSVVal&lt;&gt;"",PROPER(_xlpm.CSVVal)
)),"")</f>
        <v/>
      </c>
      <c r="H1088" s="40" t="str" cm="1">
        <f t="array" ref="H1088">IFERROR(_xlfn.LET(
_xlpm.CSVVal,_xlfn.XLOOKUP($A1088,CSV!$A:$A,CSV!H:H,""),
_xlpm.MacVal,_xlfn.XLOOKUP($A1088,Output_Mac!$A:$A,Output_Mac!H:H,""),
_xlpm.MyAuditVal,_xlfn.XLOOKUP($A1088,My_Audit!$A:$A,My_Audit!G:G,""),
_xlfn.IFS(_xlpm.MyAuditVal&lt;&gt;"",_xlpm.MyAuditVal,_xlpm.MacVal&lt;&gt;"",_xlpm.MacVal,_xlpm.CSVVal&lt;&gt;"",_xlpm.CSVVal
)),"")</f>
        <v/>
      </c>
      <c r="I1088" s="40" t="str">
        <f>_xlfn.XLOOKUP(A1088,Output_Mac!A:A,Output_Mac!I:I,"")</f>
        <v/>
      </c>
      <c r="J1088" s="40" t="str" cm="1">
        <f t="array" ref="J1088">IFERROR(_xlfn.LET(
_xlpm.CSVVal,_xlfn.XLOOKUP($A1088,CSV!$A:$A,CSV!I:I,""),
_xlpm.MacVal,_xlfn.XLOOKUP($A1088,Output_Mac!$A:$A,Output_Mac!J:J,""),
_xlpm.MyAuditVal,_xlfn.XLOOKUP($A1088,My_Audit!$A:$A,My_Audit!I:I,""),
_xlfn.IFS(_xlpm.MyAuditVal&lt;&gt;"",UPPER(_xlpm.MyAuditVal),_xlpm.MacVal&lt;&gt;"",_xlpm.MacVal,_xlpm.CSVVal&lt;&gt;"",_xlpm.CSVVal
)),"")</f>
        <v/>
      </c>
      <c r="K1088" s="40" t="str" cm="1">
        <f t="array" ref="K1088">IFERROR(_xlfn.LET(
_xlpm.CSVVal,_xlfn.XLOOKUP($A1088,CSV!$A:$A,CSV!K:K,""),
_xlpm.MacVal,_xlfn.XLOOKUP($A1088,Output_Mac!$A:$A,Output_Mac!K:K,""),
_xlpm.MyAuditVal,_xlfn.XLOOKUP($A1088,My_Audit!$A:$A,My_Audit!J:J,""),
_xlfn.IFS(_xlpm.MyAuditVal&lt;&gt;"",UPPER(_xlpm.MyAuditVal),_xlpm.MacVal&lt;&gt;"",_xlpm.MacVal,_xlpm.CSVVal&lt;&gt;"",_xlpm.CSVVal
)),"")</f>
        <v/>
      </c>
      <c r="L1088" s="40" t="str" cm="1">
        <f t="array" ref="L1088">IFERROR(_xlfn.LET(
_xlpm.CSVVal,_xlfn.XLOOKUP($A1088,CSV!$A:$A,CSV!P:P,""),
_xlpm.MacVal,_xlfn.XLOOKUP($A1088,Output_Mac!$A:$A,Output_Mac!L:L,""),
_xlpm.MyAuditVal,_xlfn.XLOOKUP($A1088,My_Audit!$A:$A,My_Audit!K:K,""),
_xlfn.IFS(_xlpm.MyAuditVal&lt;&gt;"",UPPER(_xlpm.MyAuditVal),_xlpm.MacVal&lt;&gt;"",_xlpm.MacVal,_xlpm.CSVVal&lt;&gt;"",_xlpm.CSVVal
)),"")</f>
        <v/>
      </c>
      <c r="M1088" s="40" t="str" cm="1">
        <f t="array" ref="M1088">IFERROR(_xlfn.LET(
_xlpm.CSVVal,_xlfn.XLOOKUP($A1088,CSV!$A:$A,CSV!Q:Q,""),
_xlpm.MacVal,_xlfn.XLOOKUP($A1088,Output_Mac!$A:$A,Output_Mac!M:M,""),
_xlpm.MyAuditVal,_xlfn.XLOOKUP($A1088,My_Audit!$A:$A,My_Audit!L:L,""),
_xlfn.IFS(_xlpm.MyAuditVal&lt;&gt;"",UPPER(_xlpm.MyAuditVal),_xlpm.MacVal&lt;&gt;"",_xlpm.MacVal,_xlpm.CSVVal&lt;&gt;"",_xlpm.CSVVal
)),"")</f>
        <v/>
      </c>
      <c r="N1088" s="40"/>
      <c r="O1088" s="40" t="str">
        <f>_xlfn.LET(
    _xlpm.CSVVal, _xlfn.XLOOKUP($A1088, CSV!$A:$A, CSV!AA:AA, ""),
    _xlpm.MacVal, _xlfn.XLOOKUP($A1088, Output_Mac!$A:$A, Output_Mac!S:S, ""),
    _xlpm.MyAuditVal, _xlfn.XLOOKUP($A1088, My_Audit!$A:$A, My_Audit!P:P, ""),
    _xlfn.TEXTJOIN(", ", TRUE, _xlpm.MyAuditVal, _xlpm.MacVal, _xlpm.CSVVal)
)</f>
        <v/>
      </c>
      <c r="P1088" s="40" t="str" cm="1">
        <f t="array" ref="P1088">IFERROR(_xlfn.LET(
_xlpm.CSVVal,_xlfn.XLOOKUP($A1088,CSV!$A:$A,CSV!AB:AB,""),
_xlpm.MacVal,_xlfn.XLOOKUP($A1088,Output_Mac!$A:$A,Output_Mac!T:T,""),
_xlpm.MyAuditVal,_xlfn.XLOOKUP($A1088,My_Audit!$A:$A,My_Audit!Q:Q,""),
_xlfn.IFS(_xlpm.MyAuditVal&lt;&gt;"",UPPER(_xlpm.MyAuditVal),_xlpm.MacVal&lt;&gt;"",_xlpm.MacVal,_xlpm.CSVVal&lt;&gt;"",_xlpm.CSVVal
)),"No")</f>
        <v>No</v>
      </c>
      <c r="Q1088" s="40" t="str" cm="1">
        <f t="array" ref="Q1088">IFERROR(_xlfn.LET(
_xlpm.CSVVal,_xlfn.XLOOKUP($A1088,CSV!$A:$A,CSV!AC:AC,""),
_xlpm.MacVal,_xlfn.XLOOKUP($A1088,Output_Mac!$A:$A,Output_Mac!U:U,""),
_xlpm.MyAuditVal,_xlfn.XLOOKUP($A1088,My_Audit!$A:$A,My_Audit!R:R,""),
_xlfn.IFS(_xlpm.MyAuditVal&lt;&gt;"",UPPER(_xlpm.MyAuditVal),_xlpm.MacVal&lt;&gt;"",_xlpm.MacVal,_xlpm.CSVVal&lt;&gt;"",_xlpm.CSVVal
)),"")</f>
        <v/>
      </c>
      <c r="R1088" s="40"/>
      <c r="S1088" s="40"/>
      <c r="T1088" s="40"/>
      <c r="U1088" s="40"/>
      <c r="V1088" s="40"/>
      <c r="W1088" s="40"/>
      <c r="X1088" s="41" t="str">
        <f>_xlfn.LET(
    _xlpm.MacVal, _xlfn.XLOOKUP($A1088, Output_Mac!$A:$A, Output_Mac!AB:AB, ""),
    _xlpm.MyAuditVal, _xlfn.XLOOKUP($A1088, My_Audit!$A:$A, My_Audit!N:N, ""),
    _xlfn.TEXTJOIN(", ", TRUE, _xlpm.MyAuditVal, _xlpm.MacVal)
)</f>
        <v/>
      </c>
    </row>
    <row r="1089" spans="1:24">
      <c r="A1089" s="40" t="str">
        <f>_xlfn.TEXTJOIN("",TRUE,Input!$B$2,ROW(My_Audit!A1088))</f>
        <v>X1088</v>
      </c>
      <c r="B1089" s="40" t="str">
        <f>_xlfn.TEXTJOIN("-",TRUE,"ITD",Input!$A$2,A1089)</f>
        <v>ITD-X1088</v>
      </c>
      <c r="C1089" s="40" t="str" cm="1">
        <f t="array" ref="C1089">IFERROR(_xlfn.LET(
_xlpm.CSVVal,_xlfn.XLOOKUP($A1089,CSV!$A:$A,CSV!B:B,""),
_xlpm.MacVal,_xlfn.XLOOKUP($A1089,Output_Mac!$A:$A,Output_Mac!B:B,""),
_xlpm.MyAuditVal,_xlfn.XLOOKUP($A1089,My_Audit!$A:$A,My_Audit!B:B,""),
_xlfn.IFS(_xlpm.MyAuditVal&lt;&gt;"",UPPER(_xlpm.MyAuditVal),_xlpm.MacVal&lt;&gt;"",_xlpm.MacVal,_xlpm.CSVVal&lt;&gt;"",_xlpm.CSVVal
)),"")</f>
        <v/>
      </c>
      <c r="D1089" s="40" t="str" cm="1">
        <f t="array" ref="D1089">IFERROR(_xlfn.LET(
_xlpm.CSVVal,_xlfn.XLOOKUP($A1089,CSV!$A:$A,CSV!D:D,""),
_xlpm.MacVal,_xlfn.XLOOKUP($A1089,Output_Mac!$A:$A,Output_Mac!C:C,""),
_xlpm.MyAuditVal,_xlfn.XLOOKUP($A1089,My_Audit!$A:$A,My_Audit!C:C,""),
_xlfn.IFS(_xlpm.MyAuditVal&lt;&gt;"",_xlpm.MyAuditVal,_xlpm.MacVal&lt;&gt;"",_xlpm.MacVal,_xlpm.CSVVal&lt;&gt;"",_xlpm.CSVVal
)),"")</f>
        <v/>
      </c>
      <c r="E1089" s="40" t="str">
        <f>_xlfn.XLOOKUP(A1089,My_Audit!A:A,My_Audit!D:D,"")</f>
        <v/>
      </c>
      <c r="F1089" s="40" t="str" cm="1">
        <f t="array" ref="F1089">IFERROR(_xlfn.LET(
_xlpm.CSVVal,_xlfn.XLOOKUP($A1089,CSV!$A:$A,CSV!F:F,""),
_xlpm.MacVal,_xlfn.XLOOKUP($A1089,Output_Mac!$A:$A,Output_Mac!E:E,""),
_xlpm.MyAuditVal,_xlfn.XLOOKUP($A1089,My_Audit!$A:$A,My_Audit!E:E,""),
_xlfn.IFS(_xlpm.MyAuditVal&lt;&gt;"",_xlpm.MyAuditVal,_xlpm.MacVal&lt;&gt;"",_xlpm.MacVal,_xlpm.CSVVal&lt;&gt;"",_xlpm.CSVVal
)),"")</f>
        <v/>
      </c>
      <c r="G1089" s="40" t="str" cm="1">
        <f t="array" ref="G1089">IFERROR(_xlfn.LET(
_xlpm.CSVVal,_xlfn.XLOOKUP($A1089,CSV!$A:$A,CSV!G:G,""),
_xlpm.MacVal,_xlfn.XLOOKUP($A1089,Output_Mac!$A:$A,Output_Mac!F:F,""),
_xlpm.MyAuditVal,_xlfn.XLOOKUP($A1089,My_Audit!$A:$A,My_Audit!F:F,""),
_xlfn.IFS(_xlpm.MyAuditVal&lt;&gt;"",_xlpm.MyAuditVal,_xlpm.MacVal&lt;&gt;"",_xlpm.MacVal,_xlpm.CSVVal&lt;&gt;"",PROPER(_xlpm.CSVVal)
)),"")</f>
        <v/>
      </c>
      <c r="H1089" s="40" t="str" cm="1">
        <f t="array" ref="H1089">IFERROR(_xlfn.LET(
_xlpm.CSVVal,_xlfn.XLOOKUP($A1089,CSV!$A:$A,CSV!H:H,""),
_xlpm.MacVal,_xlfn.XLOOKUP($A1089,Output_Mac!$A:$A,Output_Mac!H:H,""),
_xlpm.MyAuditVal,_xlfn.XLOOKUP($A1089,My_Audit!$A:$A,My_Audit!G:G,""),
_xlfn.IFS(_xlpm.MyAuditVal&lt;&gt;"",_xlpm.MyAuditVal,_xlpm.MacVal&lt;&gt;"",_xlpm.MacVal,_xlpm.CSVVal&lt;&gt;"",_xlpm.CSVVal
)),"")</f>
        <v/>
      </c>
      <c r="I1089" s="40" t="str">
        <f>_xlfn.XLOOKUP(A1089,Output_Mac!A:A,Output_Mac!I:I,"")</f>
        <v/>
      </c>
      <c r="J1089" s="40" t="str" cm="1">
        <f t="array" ref="J1089">IFERROR(_xlfn.LET(
_xlpm.CSVVal,_xlfn.XLOOKUP($A1089,CSV!$A:$A,CSV!I:I,""),
_xlpm.MacVal,_xlfn.XLOOKUP($A1089,Output_Mac!$A:$A,Output_Mac!J:J,""),
_xlpm.MyAuditVal,_xlfn.XLOOKUP($A1089,My_Audit!$A:$A,My_Audit!I:I,""),
_xlfn.IFS(_xlpm.MyAuditVal&lt;&gt;"",UPPER(_xlpm.MyAuditVal),_xlpm.MacVal&lt;&gt;"",_xlpm.MacVal,_xlpm.CSVVal&lt;&gt;"",_xlpm.CSVVal
)),"")</f>
        <v/>
      </c>
      <c r="K1089" s="40" t="str" cm="1">
        <f t="array" ref="K1089">IFERROR(_xlfn.LET(
_xlpm.CSVVal,_xlfn.XLOOKUP($A1089,CSV!$A:$A,CSV!K:K,""),
_xlpm.MacVal,_xlfn.XLOOKUP($A1089,Output_Mac!$A:$A,Output_Mac!K:K,""),
_xlpm.MyAuditVal,_xlfn.XLOOKUP($A1089,My_Audit!$A:$A,My_Audit!J:J,""),
_xlfn.IFS(_xlpm.MyAuditVal&lt;&gt;"",UPPER(_xlpm.MyAuditVal),_xlpm.MacVal&lt;&gt;"",_xlpm.MacVal,_xlpm.CSVVal&lt;&gt;"",_xlpm.CSVVal
)),"")</f>
        <v/>
      </c>
      <c r="L1089" s="40" t="str" cm="1">
        <f t="array" ref="L1089">IFERROR(_xlfn.LET(
_xlpm.CSVVal,_xlfn.XLOOKUP($A1089,CSV!$A:$A,CSV!P:P,""),
_xlpm.MacVal,_xlfn.XLOOKUP($A1089,Output_Mac!$A:$A,Output_Mac!L:L,""),
_xlpm.MyAuditVal,_xlfn.XLOOKUP($A1089,My_Audit!$A:$A,My_Audit!K:K,""),
_xlfn.IFS(_xlpm.MyAuditVal&lt;&gt;"",UPPER(_xlpm.MyAuditVal),_xlpm.MacVal&lt;&gt;"",_xlpm.MacVal,_xlpm.CSVVal&lt;&gt;"",_xlpm.CSVVal
)),"")</f>
        <v/>
      </c>
      <c r="M1089" s="40" t="str" cm="1">
        <f t="array" ref="M1089">IFERROR(_xlfn.LET(
_xlpm.CSVVal,_xlfn.XLOOKUP($A1089,CSV!$A:$A,CSV!Q:Q,""),
_xlpm.MacVal,_xlfn.XLOOKUP($A1089,Output_Mac!$A:$A,Output_Mac!M:M,""),
_xlpm.MyAuditVal,_xlfn.XLOOKUP($A1089,My_Audit!$A:$A,My_Audit!L:L,""),
_xlfn.IFS(_xlpm.MyAuditVal&lt;&gt;"",UPPER(_xlpm.MyAuditVal),_xlpm.MacVal&lt;&gt;"",_xlpm.MacVal,_xlpm.CSVVal&lt;&gt;"",_xlpm.CSVVal
)),"")</f>
        <v/>
      </c>
      <c r="N1089" s="40"/>
      <c r="O1089" s="40" t="str">
        <f>_xlfn.LET(
    _xlpm.CSVVal, _xlfn.XLOOKUP($A1089, CSV!$A:$A, CSV!AA:AA, ""),
    _xlpm.MacVal, _xlfn.XLOOKUP($A1089, Output_Mac!$A:$A, Output_Mac!S:S, ""),
    _xlpm.MyAuditVal, _xlfn.XLOOKUP($A1089, My_Audit!$A:$A, My_Audit!P:P, ""),
    _xlfn.TEXTJOIN(", ", TRUE, _xlpm.MyAuditVal, _xlpm.MacVal, _xlpm.CSVVal)
)</f>
        <v/>
      </c>
      <c r="P1089" s="40" t="str" cm="1">
        <f t="array" ref="P1089">IFERROR(_xlfn.LET(
_xlpm.CSVVal,_xlfn.XLOOKUP($A1089,CSV!$A:$A,CSV!AB:AB,""),
_xlpm.MacVal,_xlfn.XLOOKUP($A1089,Output_Mac!$A:$A,Output_Mac!T:T,""),
_xlpm.MyAuditVal,_xlfn.XLOOKUP($A1089,My_Audit!$A:$A,My_Audit!Q:Q,""),
_xlfn.IFS(_xlpm.MyAuditVal&lt;&gt;"",UPPER(_xlpm.MyAuditVal),_xlpm.MacVal&lt;&gt;"",_xlpm.MacVal,_xlpm.CSVVal&lt;&gt;"",_xlpm.CSVVal
)),"No")</f>
        <v>No</v>
      </c>
      <c r="Q1089" s="40" t="str" cm="1">
        <f t="array" ref="Q1089">IFERROR(_xlfn.LET(
_xlpm.CSVVal,_xlfn.XLOOKUP($A1089,CSV!$A:$A,CSV!AC:AC,""),
_xlpm.MacVal,_xlfn.XLOOKUP($A1089,Output_Mac!$A:$A,Output_Mac!U:U,""),
_xlpm.MyAuditVal,_xlfn.XLOOKUP($A1089,My_Audit!$A:$A,My_Audit!R:R,""),
_xlfn.IFS(_xlpm.MyAuditVal&lt;&gt;"",UPPER(_xlpm.MyAuditVal),_xlpm.MacVal&lt;&gt;"",_xlpm.MacVal,_xlpm.CSVVal&lt;&gt;"",_xlpm.CSVVal
)),"")</f>
        <v/>
      </c>
      <c r="R1089" s="40"/>
      <c r="S1089" s="40"/>
      <c r="T1089" s="40"/>
      <c r="U1089" s="40"/>
      <c r="V1089" s="40"/>
      <c r="W1089" s="40"/>
      <c r="X1089" s="41" t="str">
        <f>_xlfn.LET(
    _xlpm.MacVal, _xlfn.XLOOKUP($A1089, Output_Mac!$A:$A, Output_Mac!AB:AB, ""),
    _xlpm.MyAuditVal, _xlfn.XLOOKUP($A1089, My_Audit!$A:$A, My_Audit!N:N, ""),
    _xlfn.TEXTJOIN(", ", TRUE, _xlpm.MyAuditVal, _xlpm.MacVal)
)</f>
        <v/>
      </c>
    </row>
    <row r="1090" spans="1:24">
      <c r="A1090" s="40" t="str">
        <f>_xlfn.TEXTJOIN("",TRUE,Input!$B$2,ROW(My_Audit!A1089))</f>
        <v>X1089</v>
      </c>
      <c r="B1090" s="40" t="str">
        <f>_xlfn.TEXTJOIN("-",TRUE,"ITD",Input!$A$2,A1090)</f>
        <v>ITD-X1089</v>
      </c>
      <c r="C1090" s="40" t="str" cm="1">
        <f t="array" ref="C1090">IFERROR(_xlfn.LET(
_xlpm.CSVVal,_xlfn.XLOOKUP($A1090,CSV!$A:$A,CSV!B:B,""),
_xlpm.MacVal,_xlfn.XLOOKUP($A1090,Output_Mac!$A:$A,Output_Mac!B:B,""),
_xlpm.MyAuditVal,_xlfn.XLOOKUP($A1090,My_Audit!$A:$A,My_Audit!B:B,""),
_xlfn.IFS(_xlpm.MyAuditVal&lt;&gt;"",UPPER(_xlpm.MyAuditVal),_xlpm.MacVal&lt;&gt;"",_xlpm.MacVal,_xlpm.CSVVal&lt;&gt;"",_xlpm.CSVVal
)),"")</f>
        <v/>
      </c>
      <c r="D1090" s="40" t="str" cm="1">
        <f t="array" ref="D1090">IFERROR(_xlfn.LET(
_xlpm.CSVVal,_xlfn.XLOOKUP($A1090,CSV!$A:$A,CSV!D:D,""),
_xlpm.MacVal,_xlfn.XLOOKUP($A1090,Output_Mac!$A:$A,Output_Mac!C:C,""),
_xlpm.MyAuditVal,_xlfn.XLOOKUP($A1090,My_Audit!$A:$A,My_Audit!C:C,""),
_xlfn.IFS(_xlpm.MyAuditVal&lt;&gt;"",_xlpm.MyAuditVal,_xlpm.MacVal&lt;&gt;"",_xlpm.MacVal,_xlpm.CSVVal&lt;&gt;"",_xlpm.CSVVal
)),"")</f>
        <v/>
      </c>
      <c r="E1090" s="40" t="str">
        <f>_xlfn.XLOOKUP(A1090,My_Audit!A:A,My_Audit!D:D,"")</f>
        <v/>
      </c>
      <c r="F1090" s="40" t="str" cm="1">
        <f t="array" ref="F1090">IFERROR(_xlfn.LET(
_xlpm.CSVVal,_xlfn.XLOOKUP($A1090,CSV!$A:$A,CSV!F:F,""),
_xlpm.MacVal,_xlfn.XLOOKUP($A1090,Output_Mac!$A:$A,Output_Mac!E:E,""),
_xlpm.MyAuditVal,_xlfn.XLOOKUP($A1090,My_Audit!$A:$A,My_Audit!E:E,""),
_xlfn.IFS(_xlpm.MyAuditVal&lt;&gt;"",_xlpm.MyAuditVal,_xlpm.MacVal&lt;&gt;"",_xlpm.MacVal,_xlpm.CSVVal&lt;&gt;"",_xlpm.CSVVal
)),"")</f>
        <v/>
      </c>
      <c r="G1090" s="40" t="str" cm="1">
        <f t="array" ref="G1090">IFERROR(_xlfn.LET(
_xlpm.CSVVal,_xlfn.XLOOKUP($A1090,CSV!$A:$A,CSV!G:G,""),
_xlpm.MacVal,_xlfn.XLOOKUP($A1090,Output_Mac!$A:$A,Output_Mac!F:F,""),
_xlpm.MyAuditVal,_xlfn.XLOOKUP($A1090,My_Audit!$A:$A,My_Audit!F:F,""),
_xlfn.IFS(_xlpm.MyAuditVal&lt;&gt;"",_xlpm.MyAuditVal,_xlpm.MacVal&lt;&gt;"",_xlpm.MacVal,_xlpm.CSVVal&lt;&gt;"",PROPER(_xlpm.CSVVal)
)),"")</f>
        <v/>
      </c>
      <c r="H1090" s="40" t="str" cm="1">
        <f t="array" ref="H1090">IFERROR(_xlfn.LET(
_xlpm.CSVVal,_xlfn.XLOOKUP($A1090,CSV!$A:$A,CSV!H:H,""),
_xlpm.MacVal,_xlfn.XLOOKUP($A1090,Output_Mac!$A:$A,Output_Mac!H:H,""),
_xlpm.MyAuditVal,_xlfn.XLOOKUP($A1090,My_Audit!$A:$A,My_Audit!G:G,""),
_xlfn.IFS(_xlpm.MyAuditVal&lt;&gt;"",_xlpm.MyAuditVal,_xlpm.MacVal&lt;&gt;"",_xlpm.MacVal,_xlpm.CSVVal&lt;&gt;"",_xlpm.CSVVal
)),"")</f>
        <v/>
      </c>
      <c r="I1090" s="40" t="str">
        <f>_xlfn.XLOOKUP(A1090,Output_Mac!A:A,Output_Mac!I:I,"")</f>
        <v/>
      </c>
      <c r="J1090" s="40" t="str" cm="1">
        <f t="array" ref="J1090">IFERROR(_xlfn.LET(
_xlpm.CSVVal,_xlfn.XLOOKUP($A1090,CSV!$A:$A,CSV!I:I,""),
_xlpm.MacVal,_xlfn.XLOOKUP($A1090,Output_Mac!$A:$A,Output_Mac!J:J,""),
_xlpm.MyAuditVal,_xlfn.XLOOKUP($A1090,My_Audit!$A:$A,My_Audit!I:I,""),
_xlfn.IFS(_xlpm.MyAuditVal&lt;&gt;"",UPPER(_xlpm.MyAuditVal),_xlpm.MacVal&lt;&gt;"",_xlpm.MacVal,_xlpm.CSVVal&lt;&gt;"",_xlpm.CSVVal
)),"")</f>
        <v/>
      </c>
      <c r="K1090" s="40" t="str" cm="1">
        <f t="array" ref="K1090">IFERROR(_xlfn.LET(
_xlpm.CSVVal,_xlfn.XLOOKUP($A1090,CSV!$A:$A,CSV!K:K,""),
_xlpm.MacVal,_xlfn.XLOOKUP($A1090,Output_Mac!$A:$A,Output_Mac!K:K,""),
_xlpm.MyAuditVal,_xlfn.XLOOKUP($A1090,My_Audit!$A:$A,My_Audit!J:J,""),
_xlfn.IFS(_xlpm.MyAuditVal&lt;&gt;"",UPPER(_xlpm.MyAuditVal),_xlpm.MacVal&lt;&gt;"",_xlpm.MacVal,_xlpm.CSVVal&lt;&gt;"",_xlpm.CSVVal
)),"")</f>
        <v/>
      </c>
      <c r="L1090" s="40" t="str" cm="1">
        <f t="array" ref="L1090">IFERROR(_xlfn.LET(
_xlpm.CSVVal,_xlfn.XLOOKUP($A1090,CSV!$A:$A,CSV!P:P,""),
_xlpm.MacVal,_xlfn.XLOOKUP($A1090,Output_Mac!$A:$A,Output_Mac!L:L,""),
_xlpm.MyAuditVal,_xlfn.XLOOKUP($A1090,My_Audit!$A:$A,My_Audit!K:K,""),
_xlfn.IFS(_xlpm.MyAuditVal&lt;&gt;"",UPPER(_xlpm.MyAuditVal),_xlpm.MacVal&lt;&gt;"",_xlpm.MacVal,_xlpm.CSVVal&lt;&gt;"",_xlpm.CSVVal
)),"")</f>
        <v/>
      </c>
      <c r="M1090" s="40" t="str" cm="1">
        <f t="array" ref="M1090">IFERROR(_xlfn.LET(
_xlpm.CSVVal,_xlfn.XLOOKUP($A1090,CSV!$A:$A,CSV!Q:Q,""),
_xlpm.MacVal,_xlfn.XLOOKUP($A1090,Output_Mac!$A:$A,Output_Mac!M:M,""),
_xlpm.MyAuditVal,_xlfn.XLOOKUP($A1090,My_Audit!$A:$A,My_Audit!L:L,""),
_xlfn.IFS(_xlpm.MyAuditVal&lt;&gt;"",UPPER(_xlpm.MyAuditVal),_xlpm.MacVal&lt;&gt;"",_xlpm.MacVal,_xlpm.CSVVal&lt;&gt;"",_xlpm.CSVVal
)),"")</f>
        <v/>
      </c>
      <c r="N1090" s="40"/>
      <c r="O1090" s="40" t="str">
        <f>_xlfn.LET(
    _xlpm.CSVVal, _xlfn.XLOOKUP($A1090, CSV!$A:$A, CSV!AA:AA, ""),
    _xlpm.MacVal, _xlfn.XLOOKUP($A1090, Output_Mac!$A:$A, Output_Mac!S:S, ""),
    _xlpm.MyAuditVal, _xlfn.XLOOKUP($A1090, My_Audit!$A:$A, My_Audit!P:P, ""),
    _xlfn.TEXTJOIN(", ", TRUE, _xlpm.MyAuditVal, _xlpm.MacVal, _xlpm.CSVVal)
)</f>
        <v/>
      </c>
      <c r="P1090" s="40" t="str" cm="1">
        <f t="array" ref="P1090">IFERROR(_xlfn.LET(
_xlpm.CSVVal,_xlfn.XLOOKUP($A1090,CSV!$A:$A,CSV!AB:AB,""),
_xlpm.MacVal,_xlfn.XLOOKUP($A1090,Output_Mac!$A:$A,Output_Mac!T:T,""),
_xlpm.MyAuditVal,_xlfn.XLOOKUP($A1090,My_Audit!$A:$A,My_Audit!Q:Q,""),
_xlfn.IFS(_xlpm.MyAuditVal&lt;&gt;"",UPPER(_xlpm.MyAuditVal),_xlpm.MacVal&lt;&gt;"",_xlpm.MacVal,_xlpm.CSVVal&lt;&gt;"",_xlpm.CSVVal
)),"No")</f>
        <v>No</v>
      </c>
      <c r="Q1090" s="40" t="str" cm="1">
        <f t="array" ref="Q1090">IFERROR(_xlfn.LET(
_xlpm.CSVVal,_xlfn.XLOOKUP($A1090,CSV!$A:$A,CSV!AC:AC,""),
_xlpm.MacVal,_xlfn.XLOOKUP($A1090,Output_Mac!$A:$A,Output_Mac!U:U,""),
_xlpm.MyAuditVal,_xlfn.XLOOKUP($A1090,My_Audit!$A:$A,My_Audit!R:R,""),
_xlfn.IFS(_xlpm.MyAuditVal&lt;&gt;"",UPPER(_xlpm.MyAuditVal),_xlpm.MacVal&lt;&gt;"",_xlpm.MacVal,_xlpm.CSVVal&lt;&gt;"",_xlpm.CSVVal
)),"")</f>
        <v/>
      </c>
      <c r="R1090" s="40"/>
      <c r="S1090" s="40"/>
      <c r="T1090" s="40"/>
      <c r="U1090" s="40"/>
      <c r="V1090" s="40"/>
      <c r="W1090" s="40"/>
      <c r="X1090" s="41" t="str">
        <f>_xlfn.LET(
    _xlpm.MacVal, _xlfn.XLOOKUP($A1090, Output_Mac!$A:$A, Output_Mac!AB:AB, ""),
    _xlpm.MyAuditVal, _xlfn.XLOOKUP($A1090, My_Audit!$A:$A, My_Audit!N:N, ""),
    _xlfn.TEXTJOIN(", ", TRUE, _xlpm.MyAuditVal, _xlpm.MacVal)
)</f>
        <v/>
      </c>
    </row>
    <row r="1091" spans="1:24">
      <c r="A1091" s="40" t="str">
        <f>_xlfn.TEXTJOIN("",TRUE,Input!$B$2,ROW(My_Audit!A1090))</f>
        <v>X1090</v>
      </c>
      <c r="B1091" s="40" t="str">
        <f>_xlfn.TEXTJOIN("-",TRUE,"ITD",Input!$A$2,A1091)</f>
        <v>ITD-X1090</v>
      </c>
      <c r="C1091" s="40" t="str" cm="1">
        <f t="array" ref="C1091">IFERROR(_xlfn.LET(
_xlpm.CSVVal,_xlfn.XLOOKUP($A1091,CSV!$A:$A,CSV!B:B,""),
_xlpm.MacVal,_xlfn.XLOOKUP($A1091,Output_Mac!$A:$A,Output_Mac!B:B,""),
_xlpm.MyAuditVal,_xlfn.XLOOKUP($A1091,My_Audit!$A:$A,My_Audit!B:B,""),
_xlfn.IFS(_xlpm.MyAuditVal&lt;&gt;"",UPPER(_xlpm.MyAuditVal),_xlpm.MacVal&lt;&gt;"",_xlpm.MacVal,_xlpm.CSVVal&lt;&gt;"",_xlpm.CSVVal
)),"")</f>
        <v/>
      </c>
      <c r="D1091" s="40" t="str" cm="1">
        <f t="array" ref="D1091">IFERROR(_xlfn.LET(
_xlpm.CSVVal,_xlfn.XLOOKUP($A1091,CSV!$A:$A,CSV!D:D,""),
_xlpm.MacVal,_xlfn.XLOOKUP($A1091,Output_Mac!$A:$A,Output_Mac!C:C,""),
_xlpm.MyAuditVal,_xlfn.XLOOKUP($A1091,My_Audit!$A:$A,My_Audit!C:C,""),
_xlfn.IFS(_xlpm.MyAuditVal&lt;&gt;"",_xlpm.MyAuditVal,_xlpm.MacVal&lt;&gt;"",_xlpm.MacVal,_xlpm.CSVVal&lt;&gt;"",_xlpm.CSVVal
)),"")</f>
        <v/>
      </c>
      <c r="E1091" s="40" t="str">
        <f>_xlfn.XLOOKUP(A1091,My_Audit!A:A,My_Audit!D:D,"")</f>
        <v/>
      </c>
      <c r="F1091" s="40" t="str" cm="1">
        <f t="array" ref="F1091">IFERROR(_xlfn.LET(
_xlpm.CSVVal,_xlfn.XLOOKUP($A1091,CSV!$A:$A,CSV!F:F,""),
_xlpm.MacVal,_xlfn.XLOOKUP($A1091,Output_Mac!$A:$A,Output_Mac!E:E,""),
_xlpm.MyAuditVal,_xlfn.XLOOKUP($A1091,My_Audit!$A:$A,My_Audit!E:E,""),
_xlfn.IFS(_xlpm.MyAuditVal&lt;&gt;"",_xlpm.MyAuditVal,_xlpm.MacVal&lt;&gt;"",_xlpm.MacVal,_xlpm.CSVVal&lt;&gt;"",_xlpm.CSVVal
)),"")</f>
        <v/>
      </c>
      <c r="G1091" s="40" t="str" cm="1">
        <f t="array" ref="G1091">IFERROR(_xlfn.LET(
_xlpm.CSVVal,_xlfn.XLOOKUP($A1091,CSV!$A:$A,CSV!G:G,""),
_xlpm.MacVal,_xlfn.XLOOKUP($A1091,Output_Mac!$A:$A,Output_Mac!F:F,""),
_xlpm.MyAuditVal,_xlfn.XLOOKUP($A1091,My_Audit!$A:$A,My_Audit!F:F,""),
_xlfn.IFS(_xlpm.MyAuditVal&lt;&gt;"",_xlpm.MyAuditVal,_xlpm.MacVal&lt;&gt;"",_xlpm.MacVal,_xlpm.CSVVal&lt;&gt;"",PROPER(_xlpm.CSVVal)
)),"")</f>
        <v/>
      </c>
      <c r="H1091" s="40" t="str" cm="1">
        <f t="array" ref="H1091">IFERROR(_xlfn.LET(
_xlpm.CSVVal,_xlfn.XLOOKUP($A1091,CSV!$A:$A,CSV!H:H,""),
_xlpm.MacVal,_xlfn.XLOOKUP($A1091,Output_Mac!$A:$A,Output_Mac!H:H,""),
_xlpm.MyAuditVal,_xlfn.XLOOKUP($A1091,My_Audit!$A:$A,My_Audit!G:G,""),
_xlfn.IFS(_xlpm.MyAuditVal&lt;&gt;"",_xlpm.MyAuditVal,_xlpm.MacVal&lt;&gt;"",_xlpm.MacVal,_xlpm.CSVVal&lt;&gt;"",_xlpm.CSVVal
)),"")</f>
        <v/>
      </c>
      <c r="I1091" s="40" t="str">
        <f>_xlfn.XLOOKUP(A1091,Output_Mac!A:A,Output_Mac!I:I,"")</f>
        <v/>
      </c>
      <c r="J1091" s="40" t="str" cm="1">
        <f t="array" ref="J1091">IFERROR(_xlfn.LET(
_xlpm.CSVVal,_xlfn.XLOOKUP($A1091,CSV!$A:$A,CSV!I:I,""),
_xlpm.MacVal,_xlfn.XLOOKUP($A1091,Output_Mac!$A:$A,Output_Mac!J:J,""),
_xlpm.MyAuditVal,_xlfn.XLOOKUP($A1091,My_Audit!$A:$A,My_Audit!I:I,""),
_xlfn.IFS(_xlpm.MyAuditVal&lt;&gt;"",UPPER(_xlpm.MyAuditVal),_xlpm.MacVal&lt;&gt;"",_xlpm.MacVal,_xlpm.CSVVal&lt;&gt;"",_xlpm.CSVVal
)),"")</f>
        <v/>
      </c>
      <c r="K1091" s="40" t="str" cm="1">
        <f t="array" ref="K1091">IFERROR(_xlfn.LET(
_xlpm.CSVVal,_xlfn.XLOOKUP($A1091,CSV!$A:$A,CSV!K:K,""),
_xlpm.MacVal,_xlfn.XLOOKUP($A1091,Output_Mac!$A:$A,Output_Mac!K:K,""),
_xlpm.MyAuditVal,_xlfn.XLOOKUP($A1091,My_Audit!$A:$A,My_Audit!J:J,""),
_xlfn.IFS(_xlpm.MyAuditVal&lt;&gt;"",UPPER(_xlpm.MyAuditVal),_xlpm.MacVal&lt;&gt;"",_xlpm.MacVal,_xlpm.CSVVal&lt;&gt;"",_xlpm.CSVVal
)),"")</f>
        <v/>
      </c>
      <c r="L1091" s="40" t="str" cm="1">
        <f t="array" ref="L1091">IFERROR(_xlfn.LET(
_xlpm.CSVVal,_xlfn.XLOOKUP($A1091,CSV!$A:$A,CSV!P:P,""),
_xlpm.MacVal,_xlfn.XLOOKUP($A1091,Output_Mac!$A:$A,Output_Mac!L:L,""),
_xlpm.MyAuditVal,_xlfn.XLOOKUP($A1091,My_Audit!$A:$A,My_Audit!K:K,""),
_xlfn.IFS(_xlpm.MyAuditVal&lt;&gt;"",UPPER(_xlpm.MyAuditVal),_xlpm.MacVal&lt;&gt;"",_xlpm.MacVal,_xlpm.CSVVal&lt;&gt;"",_xlpm.CSVVal
)),"")</f>
        <v/>
      </c>
      <c r="M1091" s="40" t="str" cm="1">
        <f t="array" ref="M1091">IFERROR(_xlfn.LET(
_xlpm.CSVVal,_xlfn.XLOOKUP($A1091,CSV!$A:$A,CSV!Q:Q,""),
_xlpm.MacVal,_xlfn.XLOOKUP($A1091,Output_Mac!$A:$A,Output_Mac!M:M,""),
_xlpm.MyAuditVal,_xlfn.XLOOKUP($A1091,My_Audit!$A:$A,My_Audit!L:L,""),
_xlfn.IFS(_xlpm.MyAuditVal&lt;&gt;"",UPPER(_xlpm.MyAuditVal),_xlpm.MacVal&lt;&gt;"",_xlpm.MacVal,_xlpm.CSVVal&lt;&gt;"",_xlpm.CSVVal
)),"")</f>
        <v/>
      </c>
      <c r="N1091" s="40"/>
      <c r="O1091" s="40" t="str">
        <f>_xlfn.LET(
    _xlpm.CSVVal, _xlfn.XLOOKUP($A1091, CSV!$A:$A, CSV!AA:AA, ""),
    _xlpm.MacVal, _xlfn.XLOOKUP($A1091, Output_Mac!$A:$A, Output_Mac!S:S, ""),
    _xlpm.MyAuditVal, _xlfn.XLOOKUP($A1091, My_Audit!$A:$A, My_Audit!P:P, ""),
    _xlfn.TEXTJOIN(", ", TRUE, _xlpm.MyAuditVal, _xlpm.MacVal, _xlpm.CSVVal)
)</f>
        <v/>
      </c>
      <c r="P1091" s="40" t="str" cm="1">
        <f t="array" ref="P1091">IFERROR(_xlfn.LET(
_xlpm.CSVVal,_xlfn.XLOOKUP($A1091,CSV!$A:$A,CSV!AB:AB,""),
_xlpm.MacVal,_xlfn.XLOOKUP($A1091,Output_Mac!$A:$A,Output_Mac!T:T,""),
_xlpm.MyAuditVal,_xlfn.XLOOKUP($A1091,My_Audit!$A:$A,My_Audit!Q:Q,""),
_xlfn.IFS(_xlpm.MyAuditVal&lt;&gt;"",UPPER(_xlpm.MyAuditVal),_xlpm.MacVal&lt;&gt;"",_xlpm.MacVal,_xlpm.CSVVal&lt;&gt;"",_xlpm.CSVVal
)),"No")</f>
        <v>No</v>
      </c>
      <c r="Q1091" s="40" t="str" cm="1">
        <f t="array" ref="Q1091">IFERROR(_xlfn.LET(
_xlpm.CSVVal,_xlfn.XLOOKUP($A1091,CSV!$A:$A,CSV!AC:AC,""),
_xlpm.MacVal,_xlfn.XLOOKUP($A1091,Output_Mac!$A:$A,Output_Mac!U:U,""),
_xlpm.MyAuditVal,_xlfn.XLOOKUP($A1091,My_Audit!$A:$A,My_Audit!R:R,""),
_xlfn.IFS(_xlpm.MyAuditVal&lt;&gt;"",UPPER(_xlpm.MyAuditVal),_xlpm.MacVal&lt;&gt;"",_xlpm.MacVal,_xlpm.CSVVal&lt;&gt;"",_xlpm.CSVVal
)),"")</f>
        <v/>
      </c>
      <c r="R1091" s="40"/>
      <c r="S1091" s="40"/>
      <c r="T1091" s="40"/>
      <c r="U1091" s="40"/>
      <c r="V1091" s="40"/>
      <c r="W1091" s="40"/>
      <c r="X1091" s="41" t="str">
        <f>_xlfn.LET(
    _xlpm.MacVal, _xlfn.XLOOKUP($A1091, Output_Mac!$A:$A, Output_Mac!AB:AB, ""),
    _xlpm.MyAuditVal, _xlfn.XLOOKUP($A1091, My_Audit!$A:$A, My_Audit!N:N, ""),
    _xlfn.TEXTJOIN(", ", TRUE, _xlpm.MyAuditVal, _xlpm.MacVal)
)</f>
        <v/>
      </c>
    </row>
    <row r="1092" spans="1:24">
      <c r="A1092" s="40" t="str">
        <f>_xlfn.TEXTJOIN("",TRUE,Input!$B$2,ROW(My_Audit!A1091))</f>
        <v>X1091</v>
      </c>
      <c r="B1092" s="40" t="str">
        <f>_xlfn.TEXTJOIN("-",TRUE,"ITD",Input!$A$2,A1092)</f>
        <v>ITD-X1091</v>
      </c>
      <c r="C1092" s="40" t="str" cm="1">
        <f t="array" ref="C1092">IFERROR(_xlfn.LET(
_xlpm.CSVVal,_xlfn.XLOOKUP($A1092,CSV!$A:$A,CSV!B:B,""),
_xlpm.MacVal,_xlfn.XLOOKUP($A1092,Output_Mac!$A:$A,Output_Mac!B:B,""),
_xlpm.MyAuditVal,_xlfn.XLOOKUP($A1092,My_Audit!$A:$A,My_Audit!B:B,""),
_xlfn.IFS(_xlpm.MyAuditVal&lt;&gt;"",UPPER(_xlpm.MyAuditVal),_xlpm.MacVal&lt;&gt;"",_xlpm.MacVal,_xlpm.CSVVal&lt;&gt;"",_xlpm.CSVVal
)),"")</f>
        <v/>
      </c>
      <c r="D1092" s="40" t="str" cm="1">
        <f t="array" ref="D1092">IFERROR(_xlfn.LET(
_xlpm.CSVVal,_xlfn.XLOOKUP($A1092,CSV!$A:$A,CSV!D:D,""),
_xlpm.MacVal,_xlfn.XLOOKUP($A1092,Output_Mac!$A:$A,Output_Mac!C:C,""),
_xlpm.MyAuditVal,_xlfn.XLOOKUP($A1092,My_Audit!$A:$A,My_Audit!C:C,""),
_xlfn.IFS(_xlpm.MyAuditVal&lt;&gt;"",_xlpm.MyAuditVal,_xlpm.MacVal&lt;&gt;"",_xlpm.MacVal,_xlpm.CSVVal&lt;&gt;"",_xlpm.CSVVal
)),"")</f>
        <v/>
      </c>
      <c r="E1092" s="40" t="str">
        <f>_xlfn.XLOOKUP(A1092,My_Audit!A:A,My_Audit!D:D,"")</f>
        <v/>
      </c>
      <c r="F1092" s="40" t="str" cm="1">
        <f t="array" ref="F1092">IFERROR(_xlfn.LET(
_xlpm.CSVVal,_xlfn.XLOOKUP($A1092,CSV!$A:$A,CSV!F:F,""),
_xlpm.MacVal,_xlfn.XLOOKUP($A1092,Output_Mac!$A:$A,Output_Mac!E:E,""),
_xlpm.MyAuditVal,_xlfn.XLOOKUP($A1092,My_Audit!$A:$A,My_Audit!E:E,""),
_xlfn.IFS(_xlpm.MyAuditVal&lt;&gt;"",_xlpm.MyAuditVal,_xlpm.MacVal&lt;&gt;"",_xlpm.MacVal,_xlpm.CSVVal&lt;&gt;"",_xlpm.CSVVal
)),"")</f>
        <v/>
      </c>
      <c r="G1092" s="40" t="str" cm="1">
        <f t="array" ref="G1092">IFERROR(_xlfn.LET(
_xlpm.CSVVal,_xlfn.XLOOKUP($A1092,CSV!$A:$A,CSV!G:G,""),
_xlpm.MacVal,_xlfn.XLOOKUP($A1092,Output_Mac!$A:$A,Output_Mac!F:F,""),
_xlpm.MyAuditVal,_xlfn.XLOOKUP($A1092,My_Audit!$A:$A,My_Audit!F:F,""),
_xlfn.IFS(_xlpm.MyAuditVal&lt;&gt;"",_xlpm.MyAuditVal,_xlpm.MacVal&lt;&gt;"",_xlpm.MacVal,_xlpm.CSVVal&lt;&gt;"",PROPER(_xlpm.CSVVal)
)),"")</f>
        <v/>
      </c>
      <c r="H1092" s="40" t="str" cm="1">
        <f t="array" ref="H1092">IFERROR(_xlfn.LET(
_xlpm.CSVVal,_xlfn.XLOOKUP($A1092,CSV!$A:$A,CSV!H:H,""),
_xlpm.MacVal,_xlfn.XLOOKUP($A1092,Output_Mac!$A:$A,Output_Mac!H:H,""),
_xlpm.MyAuditVal,_xlfn.XLOOKUP($A1092,My_Audit!$A:$A,My_Audit!G:G,""),
_xlfn.IFS(_xlpm.MyAuditVal&lt;&gt;"",_xlpm.MyAuditVal,_xlpm.MacVal&lt;&gt;"",_xlpm.MacVal,_xlpm.CSVVal&lt;&gt;"",_xlpm.CSVVal
)),"")</f>
        <v/>
      </c>
      <c r="I1092" s="40" t="str">
        <f>_xlfn.XLOOKUP(A1092,Output_Mac!A:A,Output_Mac!I:I,"")</f>
        <v/>
      </c>
      <c r="J1092" s="40" t="str" cm="1">
        <f t="array" ref="J1092">IFERROR(_xlfn.LET(
_xlpm.CSVVal,_xlfn.XLOOKUP($A1092,CSV!$A:$A,CSV!I:I,""),
_xlpm.MacVal,_xlfn.XLOOKUP($A1092,Output_Mac!$A:$A,Output_Mac!J:J,""),
_xlpm.MyAuditVal,_xlfn.XLOOKUP($A1092,My_Audit!$A:$A,My_Audit!I:I,""),
_xlfn.IFS(_xlpm.MyAuditVal&lt;&gt;"",UPPER(_xlpm.MyAuditVal),_xlpm.MacVal&lt;&gt;"",_xlpm.MacVal,_xlpm.CSVVal&lt;&gt;"",_xlpm.CSVVal
)),"")</f>
        <v/>
      </c>
      <c r="K1092" s="40" t="str" cm="1">
        <f t="array" ref="K1092">IFERROR(_xlfn.LET(
_xlpm.CSVVal,_xlfn.XLOOKUP($A1092,CSV!$A:$A,CSV!K:K,""),
_xlpm.MacVal,_xlfn.XLOOKUP($A1092,Output_Mac!$A:$A,Output_Mac!K:K,""),
_xlpm.MyAuditVal,_xlfn.XLOOKUP($A1092,My_Audit!$A:$A,My_Audit!J:J,""),
_xlfn.IFS(_xlpm.MyAuditVal&lt;&gt;"",UPPER(_xlpm.MyAuditVal),_xlpm.MacVal&lt;&gt;"",_xlpm.MacVal,_xlpm.CSVVal&lt;&gt;"",_xlpm.CSVVal
)),"")</f>
        <v/>
      </c>
      <c r="L1092" s="40" t="str" cm="1">
        <f t="array" ref="L1092">IFERROR(_xlfn.LET(
_xlpm.CSVVal,_xlfn.XLOOKUP($A1092,CSV!$A:$A,CSV!P:P,""),
_xlpm.MacVal,_xlfn.XLOOKUP($A1092,Output_Mac!$A:$A,Output_Mac!L:L,""),
_xlpm.MyAuditVal,_xlfn.XLOOKUP($A1092,My_Audit!$A:$A,My_Audit!K:K,""),
_xlfn.IFS(_xlpm.MyAuditVal&lt;&gt;"",UPPER(_xlpm.MyAuditVal),_xlpm.MacVal&lt;&gt;"",_xlpm.MacVal,_xlpm.CSVVal&lt;&gt;"",_xlpm.CSVVal
)),"")</f>
        <v/>
      </c>
      <c r="M1092" s="40" t="str" cm="1">
        <f t="array" ref="M1092">IFERROR(_xlfn.LET(
_xlpm.CSVVal,_xlfn.XLOOKUP($A1092,CSV!$A:$A,CSV!Q:Q,""),
_xlpm.MacVal,_xlfn.XLOOKUP($A1092,Output_Mac!$A:$A,Output_Mac!M:M,""),
_xlpm.MyAuditVal,_xlfn.XLOOKUP($A1092,My_Audit!$A:$A,My_Audit!L:L,""),
_xlfn.IFS(_xlpm.MyAuditVal&lt;&gt;"",UPPER(_xlpm.MyAuditVal),_xlpm.MacVal&lt;&gt;"",_xlpm.MacVal,_xlpm.CSVVal&lt;&gt;"",_xlpm.CSVVal
)),"")</f>
        <v/>
      </c>
      <c r="N1092" s="40"/>
      <c r="O1092" s="40" t="str">
        <f>_xlfn.LET(
    _xlpm.CSVVal, _xlfn.XLOOKUP($A1092, CSV!$A:$A, CSV!AA:AA, ""),
    _xlpm.MacVal, _xlfn.XLOOKUP($A1092, Output_Mac!$A:$A, Output_Mac!S:S, ""),
    _xlpm.MyAuditVal, _xlfn.XLOOKUP($A1092, My_Audit!$A:$A, My_Audit!P:P, ""),
    _xlfn.TEXTJOIN(", ", TRUE, _xlpm.MyAuditVal, _xlpm.MacVal, _xlpm.CSVVal)
)</f>
        <v/>
      </c>
      <c r="P1092" s="40" t="str" cm="1">
        <f t="array" ref="P1092">IFERROR(_xlfn.LET(
_xlpm.CSVVal,_xlfn.XLOOKUP($A1092,CSV!$A:$A,CSV!AB:AB,""),
_xlpm.MacVal,_xlfn.XLOOKUP($A1092,Output_Mac!$A:$A,Output_Mac!T:T,""),
_xlpm.MyAuditVal,_xlfn.XLOOKUP($A1092,My_Audit!$A:$A,My_Audit!Q:Q,""),
_xlfn.IFS(_xlpm.MyAuditVal&lt;&gt;"",UPPER(_xlpm.MyAuditVal),_xlpm.MacVal&lt;&gt;"",_xlpm.MacVal,_xlpm.CSVVal&lt;&gt;"",_xlpm.CSVVal
)),"No")</f>
        <v>No</v>
      </c>
      <c r="Q1092" s="40" t="str" cm="1">
        <f t="array" ref="Q1092">IFERROR(_xlfn.LET(
_xlpm.CSVVal,_xlfn.XLOOKUP($A1092,CSV!$A:$A,CSV!AC:AC,""),
_xlpm.MacVal,_xlfn.XLOOKUP($A1092,Output_Mac!$A:$A,Output_Mac!U:U,""),
_xlpm.MyAuditVal,_xlfn.XLOOKUP($A1092,My_Audit!$A:$A,My_Audit!R:R,""),
_xlfn.IFS(_xlpm.MyAuditVal&lt;&gt;"",UPPER(_xlpm.MyAuditVal),_xlpm.MacVal&lt;&gt;"",_xlpm.MacVal,_xlpm.CSVVal&lt;&gt;"",_xlpm.CSVVal
)),"")</f>
        <v/>
      </c>
      <c r="R1092" s="40"/>
      <c r="S1092" s="40"/>
      <c r="T1092" s="40"/>
      <c r="U1092" s="40"/>
      <c r="V1092" s="40"/>
      <c r="W1092" s="40"/>
      <c r="X1092" s="41" t="str">
        <f>_xlfn.LET(
    _xlpm.MacVal, _xlfn.XLOOKUP($A1092, Output_Mac!$A:$A, Output_Mac!AB:AB, ""),
    _xlpm.MyAuditVal, _xlfn.XLOOKUP($A1092, My_Audit!$A:$A, My_Audit!N:N, ""),
    _xlfn.TEXTJOIN(", ", TRUE, _xlpm.MyAuditVal, _xlpm.MacVal)
)</f>
        <v/>
      </c>
    </row>
    <row r="1093" spans="1:24">
      <c r="A1093" s="40" t="str">
        <f>_xlfn.TEXTJOIN("",TRUE,Input!$B$2,ROW(My_Audit!A1092))</f>
        <v>X1092</v>
      </c>
      <c r="B1093" s="40" t="str">
        <f>_xlfn.TEXTJOIN("-",TRUE,"ITD",Input!$A$2,A1093)</f>
        <v>ITD-X1092</v>
      </c>
      <c r="C1093" s="40" t="str" cm="1">
        <f t="array" ref="C1093">IFERROR(_xlfn.LET(
_xlpm.CSVVal,_xlfn.XLOOKUP($A1093,CSV!$A:$A,CSV!B:B,""),
_xlpm.MacVal,_xlfn.XLOOKUP($A1093,Output_Mac!$A:$A,Output_Mac!B:B,""),
_xlpm.MyAuditVal,_xlfn.XLOOKUP($A1093,My_Audit!$A:$A,My_Audit!B:B,""),
_xlfn.IFS(_xlpm.MyAuditVal&lt;&gt;"",UPPER(_xlpm.MyAuditVal),_xlpm.MacVal&lt;&gt;"",_xlpm.MacVal,_xlpm.CSVVal&lt;&gt;"",_xlpm.CSVVal
)),"")</f>
        <v/>
      </c>
      <c r="D1093" s="40" t="str" cm="1">
        <f t="array" ref="D1093">IFERROR(_xlfn.LET(
_xlpm.CSVVal,_xlfn.XLOOKUP($A1093,CSV!$A:$A,CSV!D:D,""),
_xlpm.MacVal,_xlfn.XLOOKUP($A1093,Output_Mac!$A:$A,Output_Mac!C:C,""),
_xlpm.MyAuditVal,_xlfn.XLOOKUP($A1093,My_Audit!$A:$A,My_Audit!C:C,""),
_xlfn.IFS(_xlpm.MyAuditVal&lt;&gt;"",_xlpm.MyAuditVal,_xlpm.MacVal&lt;&gt;"",_xlpm.MacVal,_xlpm.CSVVal&lt;&gt;"",_xlpm.CSVVal
)),"")</f>
        <v/>
      </c>
      <c r="E1093" s="40" t="str">
        <f>_xlfn.XLOOKUP(A1093,My_Audit!A:A,My_Audit!D:D,"")</f>
        <v/>
      </c>
      <c r="F1093" s="40" t="str" cm="1">
        <f t="array" ref="F1093">IFERROR(_xlfn.LET(
_xlpm.CSVVal,_xlfn.XLOOKUP($A1093,CSV!$A:$A,CSV!F:F,""),
_xlpm.MacVal,_xlfn.XLOOKUP($A1093,Output_Mac!$A:$A,Output_Mac!E:E,""),
_xlpm.MyAuditVal,_xlfn.XLOOKUP($A1093,My_Audit!$A:$A,My_Audit!E:E,""),
_xlfn.IFS(_xlpm.MyAuditVal&lt;&gt;"",_xlpm.MyAuditVal,_xlpm.MacVal&lt;&gt;"",_xlpm.MacVal,_xlpm.CSVVal&lt;&gt;"",_xlpm.CSVVal
)),"")</f>
        <v/>
      </c>
      <c r="G1093" s="40" t="str" cm="1">
        <f t="array" ref="G1093">IFERROR(_xlfn.LET(
_xlpm.CSVVal,_xlfn.XLOOKUP($A1093,CSV!$A:$A,CSV!G:G,""),
_xlpm.MacVal,_xlfn.XLOOKUP($A1093,Output_Mac!$A:$A,Output_Mac!F:F,""),
_xlpm.MyAuditVal,_xlfn.XLOOKUP($A1093,My_Audit!$A:$A,My_Audit!F:F,""),
_xlfn.IFS(_xlpm.MyAuditVal&lt;&gt;"",_xlpm.MyAuditVal,_xlpm.MacVal&lt;&gt;"",_xlpm.MacVal,_xlpm.CSVVal&lt;&gt;"",PROPER(_xlpm.CSVVal)
)),"")</f>
        <v/>
      </c>
      <c r="H1093" s="40" t="str" cm="1">
        <f t="array" ref="H1093">IFERROR(_xlfn.LET(
_xlpm.CSVVal,_xlfn.XLOOKUP($A1093,CSV!$A:$A,CSV!H:H,""),
_xlpm.MacVal,_xlfn.XLOOKUP($A1093,Output_Mac!$A:$A,Output_Mac!H:H,""),
_xlpm.MyAuditVal,_xlfn.XLOOKUP($A1093,My_Audit!$A:$A,My_Audit!G:G,""),
_xlfn.IFS(_xlpm.MyAuditVal&lt;&gt;"",_xlpm.MyAuditVal,_xlpm.MacVal&lt;&gt;"",_xlpm.MacVal,_xlpm.CSVVal&lt;&gt;"",_xlpm.CSVVal
)),"")</f>
        <v/>
      </c>
      <c r="I1093" s="40" t="str">
        <f>_xlfn.XLOOKUP(A1093,Output_Mac!A:A,Output_Mac!I:I,"")</f>
        <v/>
      </c>
      <c r="J1093" s="40" t="str" cm="1">
        <f t="array" ref="J1093">IFERROR(_xlfn.LET(
_xlpm.CSVVal,_xlfn.XLOOKUP($A1093,CSV!$A:$A,CSV!I:I,""),
_xlpm.MacVal,_xlfn.XLOOKUP($A1093,Output_Mac!$A:$A,Output_Mac!J:J,""),
_xlpm.MyAuditVal,_xlfn.XLOOKUP($A1093,My_Audit!$A:$A,My_Audit!I:I,""),
_xlfn.IFS(_xlpm.MyAuditVal&lt;&gt;"",UPPER(_xlpm.MyAuditVal),_xlpm.MacVal&lt;&gt;"",_xlpm.MacVal,_xlpm.CSVVal&lt;&gt;"",_xlpm.CSVVal
)),"")</f>
        <v/>
      </c>
      <c r="K1093" s="40" t="str" cm="1">
        <f t="array" ref="K1093">IFERROR(_xlfn.LET(
_xlpm.CSVVal,_xlfn.XLOOKUP($A1093,CSV!$A:$A,CSV!K:K,""),
_xlpm.MacVal,_xlfn.XLOOKUP($A1093,Output_Mac!$A:$A,Output_Mac!K:K,""),
_xlpm.MyAuditVal,_xlfn.XLOOKUP($A1093,My_Audit!$A:$A,My_Audit!J:J,""),
_xlfn.IFS(_xlpm.MyAuditVal&lt;&gt;"",UPPER(_xlpm.MyAuditVal),_xlpm.MacVal&lt;&gt;"",_xlpm.MacVal,_xlpm.CSVVal&lt;&gt;"",_xlpm.CSVVal
)),"")</f>
        <v/>
      </c>
      <c r="L1093" s="40" t="str" cm="1">
        <f t="array" ref="L1093">IFERROR(_xlfn.LET(
_xlpm.CSVVal,_xlfn.XLOOKUP($A1093,CSV!$A:$A,CSV!P:P,""),
_xlpm.MacVal,_xlfn.XLOOKUP($A1093,Output_Mac!$A:$A,Output_Mac!L:L,""),
_xlpm.MyAuditVal,_xlfn.XLOOKUP($A1093,My_Audit!$A:$A,My_Audit!K:K,""),
_xlfn.IFS(_xlpm.MyAuditVal&lt;&gt;"",UPPER(_xlpm.MyAuditVal),_xlpm.MacVal&lt;&gt;"",_xlpm.MacVal,_xlpm.CSVVal&lt;&gt;"",_xlpm.CSVVal
)),"")</f>
        <v/>
      </c>
      <c r="M1093" s="40" t="str" cm="1">
        <f t="array" ref="M1093">IFERROR(_xlfn.LET(
_xlpm.CSVVal,_xlfn.XLOOKUP($A1093,CSV!$A:$A,CSV!Q:Q,""),
_xlpm.MacVal,_xlfn.XLOOKUP($A1093,Output_Mac!$A:$A,Output_Mac!M:M,""),
_xlpm.MyAuditVal,_xlfn.XLOOKUP($A1093,My_Audit!$A:$A,My_Audit!L:L,""),
_xlfn.IFS(_xlpm.MyAuditVal&lt;&gt;"",UPPER(_xlpm.MyAuditVal),_xlpm.MacVal&lt;&gt;"",_xlpm.MacVal,_xlpm.CSVVal&lt;&gt;"",_xlpm.CSVVal
)),"")</f>
        <v/>
      </c>
      <c r="N1093" s="40"/>
      <c r="O1093" s="40" t="str">
        <f>_xlfn.LET(
    _xlpm.CSVVal, _xlfn.XLOOKUP($A1093, CSV!$A:$A, CSV!AA:AA, ""),
    _xlpm.MacVal, _xlfn.XLOOKUP($A1093, Output_Mac!$A:$A, Output_Mac!S:S, ""),
    _xlpm.MyAuditVal, _xlfn.XLOOKUP($A1093, My_Audit!$A:$A, My_Audit!P:P, ""),
    _xlfn.TEXTJOIN(", ", TRUE, _xlpm.MyAuditVal, _xlpm.MacVal, _xlpm.CSVVal)
)</f>
        <v/>
      </c>
      <c r="P1093" s="40" t="str" cm="1">
        <f t="array" ref="P1093">IFERROR(_xlfn.LET(
_xlpm.CSVVal,_xlfn.XLOOKUP($A1093,CSV!$A:$A,CSV!AB:AB,""),
_xlpm.MacVal,_xlfn.XLOOKUP($A1093,Output_Mac!$A:$A,Output_Mac!T:T,""),
_xlpm.MyAuditVal,_xlfn.XLOOKUP($A1093,My_Audit!$A:$A,My_Audit!Q:Q,""),
_xlfn.IFS(_xlpm.MyAuditVal&lt;&gt;"",UPPER(_xlpm.MyAuditVal),_xlpm.MacVal&lt;&gt;"",_xlpm.MacVal,_xlpm.CSVVal&lt;&gt;"",_xlpm.CSVVal
)),"No")</f>
        <v>No</v>
      </c>
      <c r="Q1093" s="40" t="str" cm="1">
        <f t="array" ref="Q1093">IFERROR(_xlfn.LET(
_xlpm.CSVVal,_xlfn.XLOOKUP($A1093,CSV!$A:$A,CSV!AC:AC,""),
_xlpm.MacVal,_xlfn.XLOOKUP($A1093,Output_Mac!$A:$A,Output_Mac!U:U,""),
_xlpm.MyAuditVal,_xlfn.XLOOKUP($A1093,My_Audit!$A:$A,My_Audit!R:R,""),
_xlfn.IFS(_xlpm.MyAuditVal&lt;&gt;"",UPPER(_xlpm.MyAuditVal),_xlpm.MacVal&lt;&gt;"",_xlpm.MacVal,_xlpm.CSVVal&lt;&gt;"",_xlpm.CSVVal
)),"")</f>
        <v/>
      </c>
      <c r="R1093" s="40"/>
      <c r="S1093" s="40"/>
      <c r="T1093" s="40"/>
      <c r="U1093" s="40"/>
      <c r="V1093" s="40"/>
      <c r="W1093" s="40"/>
      <c r="X1093" s="41" t="str">
        <f>_xlfn.LET(
    _xlpm.MacVal, _xlfn.XLOOKUP($A1093, Output_Mac!$A:$A, Output_Mac!AB:AB, ""),
    _xlpm.MyAuditVal, _xlfn.XLOOKUP($A1093, My_Audit!$A:$A, My_Audit!N:N, ""),
    _xlfn.TEXTJOIN(", ", TRUE, _xlpm.MyAuditVal, _xlpm.MacVal)
)</f>
        <v/>
      </c>
    </row>
    <row r="1094" spans="1:24">
      <c r="A1094" s="40" t="str">
        <f>_xlfn.TEXTJOIN("",TRUE,Input!$B$2,ROW(My_Audit!A1093))</f>
        <v>X1093</v>
      </c>
      <c r="B1094" s="40" t="str">
        <f>_xlfn.TEXTJOIN("-",TRUE,"ITD",Input!$A$2,A1094)</f>
        <v>ITD-X1093</v>
      </c>
      <c r="C1094" s="40" t="str" cm="1">
        <f t="array" ref="C1094">IFERROR(_xlfn.LET(
_xlpm.CSVVal,_xlfn.XLOOKUP($A1094,CSV!$A:$A,CSV!B:B,""),
_xlpm.MacVal,_xlfn.XLOOKUP($A1094,Output_Mac!$A:$A,Output_Mac!B:B,""),
_xlpm.MyAuditVal,_xlfn.XLOOKUP($A1094,My_Audit!$A:$A,My_Audit!B:B,""),
_xlfn.IFS(_xlpm.MyAuditVal&lt;&gt;"",UPPER(_xlpm.MyAuditVal),_xlpm.MacVal&lt;&gt;"",_xlpm.MacVal,_xlpm.CSVVal&lt;&gt;"",_xlpm.CSVVal
)),"")</f>
        <v/>
      </c>
      <c r="D1094" s="40" t="str" cm="1">
        <f t="array" ref="D1094">IFERROR(_xlfn.LET(
_xlpm.CSVVal,_xlfn.XLOOKUP($A1094,CSV!$A:$A,CSV!D:D,""),
_xlpm.MacVal,_xlfn.XLOOKUP($A1094,Output_Mac!$A:$A,Output_Mac!C:C,""),
_xlpm.MyAuditVal,_xlfn.XLOOKUP($A1094,My_Audit!$A:$A,My_Audit!C:C,""),
_xlfn.IFS(_xlpm.MyAuditVal&lt;&gt;"",_xlpm.MyAuditVal,_xlpm.MacVal&lt;&gt;"",_xlpm.MacVal,_xlpm.CSVVal&lt;&gt;"",_xlpm.CSVVal
)),"")</f>
        <v/>
      </c>
      <c r="E1094" s="40" t="str">
        <f>_xlfn.XLOOKUP(A1094,My_Audit!A:A,My_Audit!D:D,"")</f>
        <v/>
      </c>
      <c r="F1094" s="40" t="str" cm="1">
        <f t="array" ref="F1094">IFERROR(_xlfn.LET(
_xlpm.CSVVal,_xlfn.XLOOKUP($A1094,CSV!$A:$A,CSV!F:F,""),
_xlpm.MacVal,_xlfn.XLOOKUP($A1094,Output_Mac!$A:$A,Output_Mac!E:E,""),
_xlpm.MyAuditVal,_xlfn.XLOOKUP($A1094,My_Audit!$A:$A,My_Audit!E:E,""),
_xlfn.IFS(_xlpm.MyAuditVal&lt;&gt;"",_xlpm.MyAuditVal,_xlpm.MacVal&lt;&gt;"",_xlpm.MacVal,_xlpm.CSVVal&lt;&gt;"",_xlpm.CSVVal
)),"")</f>
        <v/>
      </c>
      <c r="G1094" s="40" t="str" cm="1">
        <f t="array" ref="G1094">IFERROR(_xlfn.LET(
_xlpm.CSVVal,_xlfn.XLOOKUP($A1094,CSV!$A:$A,CSV!G:G,""),
_xlpm.MacVal,_xlfn.XLOOKUP($A1094,Output_Mac!$A:$A,Output_Mac!F:F,""),
_xlpm.MyAuditVal,_xlfn.XLOOKUP($A1094,My_Audit!$A:$A,My_Audit!F:F,""),
_xlfn.IFS(_xlpm.MyAuditVal&lt;&gt;"",_xlpm.MyAuditVal,_xlpm.MacVal&lt;&gt;"",_xlpm.MacVal,_xlpm.CSVVal&lt;&gt;"",PROPER(_xlpm.CSVVal)
)),"")</f>
        <v/>
      </c>
      <c r="H1094" s="40" t="str" cm="1">
        <f t="array" ref="H1094">IFERROR(_xlfn.LET(
_xlpm.CSVVal,_xlfn.XLOOKUP($A1094,CSV!$A:$A,CSV!H:H,""),
_xlpm.MacVal,_xlfn.XLOOKUP($A1094,Output_Mac!$A:$A,Output_Mac!H:H,""),
_xlpm.MyAuditVal,_xlfn.XLOOKUP($A1094,My_Audit!$A:$A,My_Audit!G:G,""),
_xlfn.IFS(_xlpm.MyAuditVal&lt;&gt;"",_xlpm.MyAuditVal,_xlpm.MacVal&lt;&gt;"",_xlpm.MacVal,_xlpm.CSVVal&lt;&gt;"",_xlpm.CSVVal
)),"")</f>
        <v/>
      </c>
      <c r="I1094" s="40" t="str">
        <f>_xlfn.XLOOKUP(A1094,Output_Mac!A:A,Output_Mac!I:I,"")</f>
        <v/>
      </c>
      <c r="J1094" s="40" t="str" cm="1">
        <f t="array" ref="J1094">IFERROR(_xlfn.LET(
_xlpm.CSVVal,_xlfn.XLOOKUP($A1094,CSV!$A:$A,CSV!I:I,""),
_xlpm.MacVal,_xlfn.XLOOKUP($A1094,Output_Mac!$A:$A,Output_Mac!J:J,""),
_xlpm.MyAuditVal,_xlfn.XLOOKUP($A1094,My_Audit!$A:$A,My_Audit!I:I,""),
_xlfn.IFS(_xlpm.MyAuditVal&lt;&gt;"",UPPER(_xlpm.MyAuditVal),_xlpm.MacVal&lt;&gt;"",_xlpm.MacVal,_xlpm.CSVVal&lt;&gt;"",_xlpm.CSVVal
)),"")</f>
        <v/>
      </c>
      <c r="K1094" s="40" t="str" cm="1">
        <f t="array" ref="K1094">IFERROR(_xlfn.LET(
_xlpm.CSVVal,_xlfn.XLOOKUP($A1094,CSV!$A:$A,CSV!K:K,""),
_xlpm.MacVal,_xlfn.XLOOKUP($A1094,Output_Mac!$A:$A,Output_Mac!K:K,""),
_xlpm.MyAuditVal,_xlfn.XLOOKUP($A1094,My_Audit!$A:$A,My_Audit!J:J,""),
_xlfn.IFS(_xlpm.MyAuditVal&lt;&gt;"",UPPER(_xlpm.MyAuditVal),_xlpm.MacVal&lt;&gt;"",_xlpm.MacVal,_xlpm.CSVVal&lt;&gt;"",_xlpm.CSVVal
)),"")</f>
        <v/>
      </c>
      <c r="L1094" s="40" t="str" cm="1">
        <f t="array" ref="L1094">IFERROR(_xlfn.LET(
_xlpm.CSVVal,_xlfn.XLOOKUP($A1094,CSV!$A:$A,CSV!P:P,""),
_xlpm.MacVal,_xlfn.XLOOKUP($A1094,Output_Mac!$A:$A,Output_Mac!L:L,""),
_xlpm.MyAuditVal,_xlfn.XLOOKUP($A1094,My_Audit!$A:$A,My_Audit!K:K,""),
_xlfn.IFS(_xlpm.MyAuditVal&lt;&gt;"",UPPER(_xlpm.MyAuditVal),_xlpm.MacVal&lt;&gt;"",_xlpm.MacVal,_xlpm.CSVVal&lt;&gt;"",_xlpm.CSVVal
)),"")</f>
        <v/>
      </c>
      <c r="M1094" s="40" t="str" cm="1">
        <f t="array" ref="M1094">IFERROR(_xlfn.LET(
_xlpm.CSVVal,_xlfn.XLOOKUP($A1094,CSV!$A:$A,CSV!Q:Q,""),
_xlpm.MacVal,_xlfn.XLOOKUP($A1094,Output_Mac!$A:$A,Output_Mac!M:M,""),
_xlpm.MyAuditVal,_xlfn.XLOOKUP($A1094,My_Audit!$A:$A,My_Audit!L:L,""),
_xlfn.IFS(_xlpm.MyAuditVal&lt;&gt;"",UPPER(_xlpm.MyAuditVal),_xlpm.MacVal&lt;&gt;"",_xlpm.MacVal,_xlpm.CSVVal&lt;&gt;"",_xlpm.CSVVal
)),"")</f>
        <v/>
      </c>
      <c r="N1094" s="40"/>
      <c r="O1094" s="40" t="str">
        <f>_xlfn.LET(
    _xlpm.CSVVal, _xlfn.XLOOKUP($A1094, CSV!$A:$A, CSV!AA:AA, ""),
    _xlpm.MacVal, _xlfn.XLOOKUP($A1094, Output_Mac!$A:$A, Output_Mac!S:S, ""),
    _xlpm.MyAuditVal, _xlfn.XLOOKUP($A1094, My_Audit!$A:$A, My_Audit!P:P, ""),
    _xlfn.TEXTJOIN(", ", TRUE, _xlpm.MyAuditVal, _xlpm.MacVal, _xlpm.CSVVal)
)</f>
        <v/>
      </c>
      <c r="P1094" s="40" t="str" cm="1">
        <f t="array" ref="P1094">IFERROR(_xlfn.LET(
_xlpm.CSVVal,_xlfn.XLOOKUP($A1094,CSV!$A:$A,CSV!AB:AB,""),
_xlpm.MacVal,_xlfn.XLOOKUP($A1094,Output_Mac!$A:$A,Output_Mac!T:T,""),
_xlpm.MyAuditVal,_xlfn.XLOOKUP($A1094,My_Audit!$A:$A,My_Audit!Q:Q,""),
_xlfn.IFS(_xlpm.MyAuditVal&lt;&gt;"",UPPER(_xlpm.MyAuditVal),_xlpm.MacVal&lt;&gt;"",_xlpm.MacVal,_xlpm.CSVVal&lt;&gt;"",_xlpm.CSVVal
)),"No")</f>
        <v>No</v>
      </c>
      <c r="Q1094" s="40" t="str" cm="1">
        <f t="array" ref="Q1094">IFERROR(_xlfn.LET(
_xlpm.CSVVal,_xlfn.XLOOKUP($A1094,CSV!$A:$A,CSV!AC:AC,""),
_xlpm.MacVal,_xlfn.XLOOKUP($A1094,Output_Mac!$A:$A,Output_Mac!U:U,""),
_xlpm.MyAuditVal,_xlfn.XLOOKUP($A1094,My_Audit!$A:$A,My_Audit!R:R,""),
_xlfn.IFS(_xlpm.MyAuditVal&lt;&gt;"",UPPER(_xlpm.MyAuditVal),_xlpm.MacVal&lt;&gt;"",_xlpm.MacVal,_xlpm.CSVVal&lt;&gt;"",_xlpm.CSVVal
)),"")</f>
        <v/>
      </c>
      <c r="R1094" s="40"/>
      <c r="S1094" s="40"/>
      <c r="T1094" s="40"/>
      <c r="U1094" s="40"/>
      <c r="V1094" s="40"/>
      <c r="W1094" s="40"/>
      <c r="X1094" s="41" t="str">
        <f>_xlfn.LET(
    _xlpm.MacVal, _xlfn.XLOOKUP($A1094, Output_Mac!$A:$A, Output_Mac!AB:AB, ""),
    _xlpm.MyAuditVal, _xlfn.XLOOKUP($A1094, My_Audit!$A:$A, My_Audit!N:N, ""),
    _xlfn.TEXTJOIN(", ", TRUE, _xlpm.MyAuditVal, _xlpm.MacVal)
)</f>
        <v/>
      </c>
    </row>
    <row r="1095" spans="1:24">
      <c r="A1095" s="40" t="str">
        <f>_xlfn.TEXTJOIN("",TRUE,Input!$B$2,ROW(My_Audit!A1094))</f>
        <v>X1094</v>
      </c>
      <c r="B1095" s="40" t="str">
        <f>_xlfn.TEXTJOIN("-",TRUE,"ITD",Input!$A$2,A1095)</f>
        <v>ITD-X1094</v>
      </c>
      <c r="C1095" s="40" t="str" cm="1">
        <f t="array" ref="C1095">IFERROR(_xlfn.LET(
_xlpm.CSVVal,_xlfn.XLOOKUP($A1095,CSV!$A:$A,CSV!B:B,""),
_xlpm.MacVal,_xlfn.XLOOKUP($A1095,Output_Mac!$A:$A,Output_Mac!B:B,""),
_xlpm.MyAuditVal,_xlfn.XLOOKUP($A1095,My_Audit!$A:$A,My_Audit!B:B,""),
_xlfn.IFS(_xlpm.MyAuditVal&lt;&gt;"",UPPER(_xlpm.MyAuditVal),_xlpm.MacVal&lt;&gt;"",_xlpm.MacVal,_xlpm.CSVVal&lt;&gt;"",_xlpm.CSVVal
)),"")</f>
        <v/>
      </c>
      <c r="D1095" s="40" t="str" cm="1">
        <f t="array" ref="D1095">IFERROR(_xlfn.LET(
_xlpm.CSVVal,_xlfn.XLOOKUP($A1095,CSV!$A:$A,CSV!D:D,""),
_xlpm.MacVal,_xlfn.XLOOKUP($A1095,Output_Mac!$A:$A,Output_Mac!C:C,""),
_xlpm.MyAuditVal,_xlfn.XLOOKUP($A1095,My_Audit!$A:$A,My_Audit!C:C,""),
_xlfn.IFS(_xlpm.MyAuditVal&lt;&gt;"",_xlpm.MyAuditVal,_xlpm.MacVal&lt;&gt;"",_xlpm.MacVal,_xlpm.CSVVal&lt;&gt;"",_xlpm.CSVVal
)),"")</f>
        <v/>
      </c>
      <c r="E1095" s="40" t="str">
        <f>_xlfn.XLOOKUP(A1095,My_Audit!A:A,My_Audit!D:D,"")</f>
        <v/>
      </c>
      <c r="F1095" s="40" t="str" cm="1">
        <f t="array" ref="F1095">IFERROR(_xlfn.LET(
_xlpm.CSVVal,_xlfn.XLOOKUP($A1095,CSV!$A:$A,CSV!F:F,""),
_xlpm.MacVal,_xlfn.XLOOKUP($A1095,Output_Mac!$A:$A,Output_Mac!E:E,""),
_xlpm.MyAuditVal,_xlfn.XLOOKUP($A1095,My_Audit!$A:$A,My_Audit!E:E,""),
_xlfn.IFS(_xlpm.MyAuditVal&lt;&gt;"",_xlpm.MyAuditVal,_xlpm.MacVal&lt;&gt;"",_xlpm.MacVal,_xlpm.CSVVal&lt;&gt;"",_xlpm.CSVVal
)),"")</f>
        <v/>
      </c>
      <c r="G1095" s="40" t="str" cm="1">
        <f t="array" ref="G1095">IFERROR(_xlfn.LET(
_xlpm.CSVVal,_xlfn.XLOOKUP($A1095,CSV!$A:$A,CSV!G:G,""),
_xlpm.MacVal,_xlfn.XLOOKUP($A1095,Output_Mac!$A:$A,Output_Mac!F:F,""),
_xlpm.MyAuditVal,_xlfn.XLOOKUP($A1095,My_Audit!$A:$A,My_Audit!F:F,""),
_xlfn.IFS(_xlpm.MyAuditVal&lt;&gt;"",_xlpm.MyAuditVal,_xlpm.MacVal&lt;&gt;"",_xlpm.MacVal,_xlpm.CSVVal&lt;&gt;"",PROPER(_xlpm.CSVVal)
)),"")</f>
        <v/>
      </c>
      <c r="H1095" s="40" t="str" cm="1">
        <f t="array" ref="H1095">IFERROR(_xlfn.LET(
_xlpm.CSVVal,_xlfn.XLOOKUP($A1095,CSV!$A:$A,CSV!H:H,""),
_xlpm.MacVal,_xlfn.XLOOKUP($A1095,Output_Mac!$A:$A,Output_Mac!H:H,""),
_xlpm.MyAuditVal,_xlfn.XLOOKUP($A1095,My_Audit!$A:$A,My_Audit!G:G,""),
_xlfn.IFS(_xlpm.MyAuditVal&lt;&gt;"",_xlpm.MyAuditVal,_xlpm.MacVal&lt;&gt;"",_xlpm.MacVal,_xlpm.CSVVal&lt;&gt;"",_xlpm.CSVVal
)),"")</f>
        <v/>
      </c>
      <c r="I1095" s="40" t="str">
        <f>_xlfn.XLOOKUP(A1095,Output_Mac!A:A,Output_Mac!I:I,"")</f>
        <v/>
      </c>
      <c r="J1095" s="40" t="str" cm="1">
        <f t="array" ref="J1095">IFERROR(_xlfn.LET(
_xlpm.CSVVal,_xlfn.XLOOKUP($A1095,CSV!$A:$A,CSV!I:I,""),
_xlpm.MacVal,_xlfn.XLOOKUP($A1095,Output_Mac!$A:$A,Output_Mac!J:J,""),
_xlpm.MyAuditVal,_xlfn.XLOOKUP($A1095,My_Audit!$A:$A,My_Audit!I:I,""),
_xlfn.IFS(_xlpm.MyAuditVal&lt;&gt;"",UPPER(_xlpm.MyAuditVal),_xlpm.MacVal&lt;&gt;"",_xlpm.MacVal,_xlpm.CSVVal&lt;&gt;"",_xlpm.CSVVal
)),"")</f>
        <v/>
      </c>
      <c r="K1095" s="40" t="str" cm="1">
        <f t="array" ref="K1095">IFERROR(_xlfn.LET(
_xlpm.CSVVal,_xlfn.XLOOKUP($A1095,CSV!$A:$A,CSV!K:K,""),
_xlpm.MacVal,_xlfn.XLOOKUP($A1095,Output_Mac!$A:$A,Output_Mac!K:K,""),
_xlpm.MyAuditVal,_xlfn.XLOOKUP($A1095,My_Audit!$A:$A,My_Audit!J:J,""),
_xlfn.IFS(_xlpm.MyAuditVal&lt;&gt;"",UPPER(_xlpm.MyAuditVal),_xlpm.MacVal&lt;&gt;"",_xlpm.MacVal,_xlpm.CSVVal&lt;&gt;"",_xlpm.CSVVal
)),"")</f>
        <v/>
      </c>
      <c r="L1095" s="40" t="str" cm="1">
        <f t="array" ref="L1095">IFERROR(_xlfn.LET(
_xlpm.CSVVal,_xlfn.XLOOKUP($A1095,CSV!$A:$A,CSV!P:P,""),
_xlpm.MacVal,_xlfn.XLOOKUP($A1095,Output_Mac!$A:$A,Output_Mac!L:L,""),
_xlpm.MyAuditVal,_xlfn.XLOOKUP($A1095,My_Audit!$A:$A,My_Audit!K:K,""),
_xlfn.IFS(_xlpm.MyAuditVal&lt;&gt;"",UPPER(_xlpm.MyAuditVal),_xlpm.MacVal&lt;&gt;"",_xlpm.MacVal,_xlpm.CSVVal&lt;&gt;"",_xlpm.CSVVal
)),"")</f>
        <v/>
      </c>
      <c r="M1095" s="40" t="str" cm="1">
        <f t="array" ref="M1095">IFERROR(_xlfn.LET(
_xlpm.CSVVal,_xlfn.XLOOKUP($A1095,CSV!$A:$A,CSV!Q:Q,""),
_xlpm.MacVal,_xlfn.XLOOKUP($A1095,Output_Mac!$A:$A,Output_Mac!M:M,""),
_xlpm.MyAuditVal,_xlfn.XLOOKUP($A1095,My_Audit!$A:$A,My_Audit!L:L,""),
_xlfn.IFS(_xlpm.MyAuditVal&lt;&gt;"",UPPER(_xlpm.MyAuditVal),_xlpm.MacVal&lt;&gt;"",_xlpm.MacVal,_xlpm.CSVVal&lt;&gt;"",_xlpm.CSVVal
)),"")</f>
        <v/>
      </c>
      <c r="N1095" s="40"/>
      <c r="O1095" s="40" t="str">
        <f>_xlfn.LET(
    _xlpm.CSVVal, _xlfn.XLOOKUP($A1095, CSV!$A:$A, CSV!AA:AA, ""),
    _xlpm.MacVal, _xlfn.XLOOKUP($A1095, Output_Mac!$A:$A, Output_Mac!S:S, ""),
    _xlpm.MyAuditVal, _xlfn.XLOOKUP($A1095, My_Audit!$A:$A, My_Audit!P:P, ""),
    _xlfn.TEXTJOIN(", ", TRUE, _xlpm.MyAuditVal, _xlpm.MacVal, _xlpm.CSVVal)
)</f>
        <v/>
      </c>
      <c r="P1095" s="40" t="str" cm="1">
        <f t="array" ref="P1095">IFERROR(_xlfn.LET(
_xlpm.CSVVal,_xlfn.XLOOKUP($A1095,CSV!$A:$A,CSV!AB:AB,""),
_xlpm.MacVal,_xlfn.XLOOKUP($A1095,Output_Mac!$A:$A,Output_Mac!T:T,""),
_xlpm.MyAuditVal,_xlfn.XLOOKUP($A1095,My_Audit!$A:$A,My_Audit!Q:Q,""),
_xlfn.IFS(_xlpm.MyAuditVal&lt;&gt;"",UPPER(_xlpm.MyAuditVal),_xlpm.MacVal&lt;&gt;"",_xlpm.MacVal,_xlpm.CSVVal&lt;&gt;"",_xlpm.CSVVal
)),"No")</f>
        <v>No</v>
      </c>
      <c r="Q1095" s="40" t="str" cm="1">
        <f t="array" ref="Q1095">IFERROR(_xlfn.LET(
_xlpm.CSVVal,_xlfn.XLOOKUP($A1095,CSV!$A:$A,CSV!AC:AC,""),
_xlpm.MacVal,_xlfn.XLOOKUP($A1095,Output_Mac!$A:$A,Output_Mac!U:U,""),
_xlpm.MyAuditVal,_xlfn.XLOOKUP($A1095,My_Audit!$A:$A,My_Audit!R:R,""),
_xlfn.IFS(_xlpm.MyAuditVal&lt;&gt;"",UPPER(_xlpm.MyAuditVal),_xlpm.MacVal&lt;&gt;"",_xlpm.MacVal,_xlpm.CSVVal&lt;&gt;"",_xlpm.CSVVal
)),"")</f>
        <v/>
      </c>
      <c r="R1095" s="40"/>
      <c r="S1095" s="40"/>
      <c r="T1095" s="40"/>
      <c r="U1095" s="40"/>
      <c r="V1095" s="40"/>
      <c r="W1095" s="40"/>
      <c r="X1095" s="41" t="str">
        <f>_xlfn.LET(
    _xlpm.MacVal, _xlfn.XLOOKUP($A1095, Output_Mac!$A:$A, Output_Mac!AB:AB, ""),
    _xlpm.MyAuditVal, _xlfn.XLOOKUP($A1095, My_Audit!$A:$A, My_Audit!N:N, ""),
    _xlfn.TEXTJOIN(", ", TRUE, _xlpm.MyAuditVal, _xlpm.MacVal)
)</f>
        <v/>
      </c>
    </row>
    <row r="1096" spans="1:24">
      <c r="A1096" s="40" t="str">
        <f>_xlfn.TEXTJOIN("",TRUE,Input!$B$2,ROW(My_Audit!A1095))</f>
        <v>X1095</v>
      </c>
      <c r="B1096" s="40" t="str">
        <f>_xlfn.TEXTJOIN("-",TRUE,"ITD",Input!$A$2,A1096)</f>
        <v>ITD-X1095</v>
      </c>
      <c r="C1096" s="40" t="str" cm="1">
        <f t="array" ref="C1096">IFERROR(_xlfn.LET(
_xlpm.CSVVal,_xlfn.XLOOKUP($A1096,CSV!$A:$A,CSV!B:B,""),
_xlpm.MacVal,_xlfn.XLOOKUP($A1096,Output_Mac!$A:$A,Output_Mac!B:B,""),
_xlpm.MyAuditVal,_xlfn.XLOOKUP($A1096,My_Audit!$A:$A,My_Audit!B:B,""),
_xlfn.IFS(_xlpm.MyAuditVal&lt;&gt;"",UPPER(_xlpm.MyAuditVal),_xlpm.MacVal&lt;&gt;"",_xlpm.MacVal,_xlpm.CSVVal&lt;&gt;"",_xlpm.CSVVal
)),"")</f>
        <v/>
      </c>
      <c r="D1096" s="40" t="str" cm="1">
        <f t="array" ref="D1096">IFERROR(_xlfn.LET(
_xlpm.CSVVal,_xlfn.XLOOKUP($A1096,CSV!$A:$A,CSV!D:D,""),
_xlpm.MacVal,_xlfn.XLOOKUP($A1096,Output_Mac!$A:$A,Output_Mac!C:C,""),
_xlpm.MyAuditVal,_xlfn.XLOOKUP($A1096,My_Audit!$A:$A,My_Audit!C:C,""),
_xlfn.IFS(_xlpm.MyAuditVal&lt;&gt;"",_xlpm.MyAuditVal,_xlpm.MacVal&lt;&gt;"",_xlpm.MacVal,_xlpm.CSVVal&lt;&gt;"",_xlpm.CSVVal
)),"")</f>
        <v/>
      </c>
      <c r="E1096" s="40" t="str">
        <f>_xlfn.XLOOKUP(A1096,My_Audit!A:A,My_Audit!D:D,"")</f>
        <v/>
      </c>
      <c r="F1096" s="40" t="str" cm="1">
        <f t="array" ref="F1096">IFERROR(_xlfn.LET(
_xlpm.CSVVal,_xlfn.XLOOKUP($A1096,CSV!$A:$A,CSV!F:F,""),
_xlpm.MacVal,_xlfn.XLOOKUP($A1096,Output_Mac!$A:$A,Output_Mac!E:E,""),
_xlpm.MyAuditVal,_xlfn.XLOOKUP($A1096,My_Audit!$A:$A,My_Audit!E:E,""),
_xlfn.IFS(_xlpm.MyAuditVal&lt;&gt;"",_xlpm.MyAuditVal,_xlpm.MacVal&lt;&gt;"",_xlpm.MacVal,_xlpm.CSVVal&lt;&gt;"",_xlpm.CSVVal
)),"")</f>
        <v/>
      </c>
      <c r="G1096" s="40" t="str" cm="1">
        <f t="array" ref="G1096">IFERROR(_xlfn.LET(
_xlpm.CSVVal,_xlfn.XLOOKUP($A1096,CSV!$A:$A,CSV!G:G,""),
_xlpm.MacVal,_xlfn.XLOOKUP($A1096,Output_Mac!$A:$A,Output_Mac!F:F,""),
_xlpm.MyAuditVal,_xlfn.XLOOKUP($A1096,My_Audit!$A:$A,My_Audit!F:F,""),
_xlfn.IFS(_xlpm.MyAuditVal&lt;&gt;"",_xlpm.MyAuditVal,_xlpm.MacVal&lt;&gt;"",_xlpm.MacVal,_xlpm.CSVVal&lt;&gt;"",PROPER(_xlpm.CSVVal)
)),"")</f>
        <v/>
      </c>
      <c r="H1096" s="40" t="str" cm="1">
        <f t="array" ref="H1096">IFERROR(_xlfn.LET(
_xlpm.CSVVal,_xlfn.XLOOKUP($A1096,CSV!$A:$A,CSV!H:H,""),
_xlpm.MacVal,_xlfn.XLOOKUP($A1096,Output_Mac!$A:$A,Output_Mac!H:H,""),
_xlpm.MyAuditVal,_xlfn.XLOOKUP($A1096,My_Audit!$A:$A,My_Audit!G:G,""),
_xlfn.IFS(_xlpm.MyAuditVal&lt;&gt;"",_xlpm.MyAuditVal,_xlpm.MacVal&lt;&gt;"",_xlpm.MacVal,_xlpm.CSVVal&lt;&gt;"",_xlpm.CSVVal
)),"")</f>
        <v/>
      </c>
      <c r="I1096" s="40" t="str">
        <f>_xlfn.XLOOKUP(A1096,Output_Mac!A:A,Output_Mac!I:I,"")</f>
        <v/>
      </c>
      <c r="J1096" s="40" t="str" cm="1">
        <f t="array" ref="J1096">IFERROR(_xlfn.LET(
_xlpm.CSVVal,_xlfn.XLOOKUP($A1096,CSV!$A:$A,CSV!I:I,""),
_xlpm.MacVal,_xlfn.XLOOKUP($A1096,Output_Mac!$A:$A,Output_Mac!J:J,""),
_xlpm.MyAuditVal,_xlfn.XLOOKUP($A1096,My_Audit!$A:$A,My_Audit!I:I,""),
_xlfn.IFS(_xlpm.MyAuditVal&lt;&gt;"",UPPER(_xlpm.MyAuditVal),_xlpm.MacVal&lt;&gt;"",_xlpm.MacVal,_xlpm.CSVVal&lt;&gt;"",_xlpm.CSVVal
)),"")</f>
        <v/>
      </c>
      <c r="K1096" s="40" t="str" cm="1">
        <f t="array" ref="K1096">IFERROR(_xlfn.LET(
_xlpm.CSVVal,_xlfn.XLOOKUP($A1096,CSV!$A:$A,CSV!K:K,""),
_xlpm.MacVal,_xlfn.XLOOKUP($A1096,Output_Mac!$A:$A,Output_Mac!K:K,""),
_xlpm.MyAuditVal,_xlfn.XLOOKUP($A1096,My_Audit!$A:$A,My_Audit!J:J,""),
_xlfn.IFS(_xlpm.MyAuditVal&lt;&gt;"",UPPER(_xlpm.MyAuditVal),_xlpm.MacVal&lt;&gt;"",_xlpm.MacVal,_xlpm.CSVVal&lt;&gt;"",_xlpm.CSVVal
)),"")</f>
        <v/>
      </c>
      <c r="L1096" s="40" t="str" cm="1">
        <f t="array" ref="L1096">IFERROR(_xlfn.LET(
_xlpm.CSVVal,_xlfn.XLOOKUP($A1096,CSV!$A:$A,CSV!P:P,""),
_xlpm.MacVal,_xlfn.XLOOKUP($A1096,Output_Mac!$A:$A,Output_Mac!L:L,""),
_xlpm.MyAuditVal,_xlfn.XLOOKUP($A1096,My_Audit!$A:$A,My_Audit!K:K,""),
_xlfn.IFS(_xlpm.MyAuditVal&lt;&gt;"",UPPER(_xlpm.MyAuditVal),_xlpm.MacVal&lt;&gt;"",_xlpm.MacVal,_xlpm.CSVVal&lt;&gt;"",_xlpm.CSVVal
)),"")</f>
        <v/>
      </c>
      <c r="M1096" s="40" t="str" cm="1">
        <f t="array" ref="M1096">IFERROR(_xlfn.LET(
_xlpm.CSVVal,_xlfn.XLOOKUP($A1096,CSV!$A:$A,CSV!Q:Q,""),
_xlpm.MacVal,_xlfn.XLOOKUP($A1096,Output_Mac!$A:$A,Output_Mac!M:M,""),
_xlpm.MyAuditVal,_xlfn.XLOOKUP($A1096,My_Audit!$A:$A,My_Audit!L:L,""),
_xlfn.IFS(_xlpm.MyAuditVal&lt;&gt;"",UPPER(_xlpm.MyAuditVal),_xlpm.MacVal&lt;&gt;"",_xlpm.MacVal,_xlpm.CSVVal&lt;&gt;"",_xlpm.CSVVal
)),"")</f>
        <v/>
      </c>
      <c r="N1096" s="40"/>
      <c r="O1096" s="40" t="str">
        <f>_xlfn.LET(
    _xlpm.CSVVal, _xlfn.XLOOKUP($A1096, CSV!$A:$A, CSV!AA:AA, ""),
    _xlpm.MacVal, _xlfn.XLOOKUP($A1096, Output_Mac!$A:$A, Output_Mac!S:S, ""),
    _xlpm.MyAuditVal, _xlfn.XLOOKUP($A1096, My_Audit!$A:$A, My_Audit!P:P, ""),
    _xlfn.TEXTJOIN(", ", TRUE, _xlpm.MyAuditVal, _xlpm.MacVal, _xlpm.CSVVal)
)</f>
        <v/>
      </c>
      <c r="P1096" s="40" t="str" cm="1">
        <f t="array" ref="P1096">IFERROR(_xlfn.LET(
_xlpm.CSVVal,_xlfn.XLOOKUP($A1096,CSV!$A:$A,CSV!AB:AB,""),
_xlpm.MacVal,_xlfn.XLOOKUP($A1096,Output_Mac!$A:$A,Output_Mac!T:T,""),
_xlpm.MyAuditVal,_xlfn.XLOOKUP($A1096,My_Audit!$A:$A,My_Audit!Q:Q,""),
_xlfn.IFS(_xlpm.MyAuditVal&lt;&gt;"",UPPER(_xlpm.MyAuditVal),_xlpm.MacVal&lt;&gt;"",_xlpm.MacVal,_xlpm.CSVVal&lt;&gt;"",_xlpm.CSVVal
)),"No")</f>
        <v>No</v>
      </c>
      <c r="Q1096" s="40" t="str" cm="1">
        <f t="array" ref="Q1096">IFERROR(_xlfn.LET(
_xlpm.CSVVal,_xlfn.XLOOKUP($A1096,CSV!$A:$A,CSV!AC:AC,""),
_xlpm.MacVal,_xlfn.XLOOKUP($A1096,Output_Mac!$A:$A,Output_Mac!U:U,""),
_xlpm.MyAuditVal,_xlfn.XLOOKUP($A1096,My_Audit!$A:$A,My_Audit!R:R,""),
_xlfn.IFS(_xlpm.MyAuditVal&lt;&gt;"",UPPER(_xlpm.MyAuditVal),_xlpm.MacVal&lt;&gt;"",_xlpm.MacVal,_xlpm.CSVVal&lt;&gt;"",_xlpm.CSVVal
)),"")</f>
        <v/>
      </c>
      <c r="R1096" s="40"/>
      <c r="S1096" s="40"/>
      <c r="T1096" s="40"/>
      <c r="U1096" s="40"/>
      <c r="V1096" s="40"/>
      <c r="W1096" s="40"/>
      <c r="X1096" s="41" t="str">
        <f>_xlfn.LET(
    _xlpm.MacVal, _xlfn.XLOOKUP($A1096, Output_Mac!$A:$A, Output_Mac!AB:AB, ""),
    _xlpm.MyAuditVal, _xlfn.XLOOKUP($A1096, My_Audit!$A:$A, My_Audit!N:N, ""),
    _xlfn.TEXTJOIN(", ", TRUE, _xlpm.MyAuditVal, _xlpm.MacVal)
)</f>
        <v/>
      </c>
    </row>
    <row r="1097" spans="1:24">
      <c r="A1097" s="40" t="str">
        <f>_xlfn.TEXTJOIN("",TRUE,Input!$B$2,ROW(My_Audit!A1096))</f>
        <v>X1096</v>
      </c>
      <c r="B1097" s="40" t="str">
        <f>_xlfn.TEXTJOIN("-",TRUE,"ITD",Input!$A$2,A1097)</f>
        <v>ITD-X1096</v>
      </c>
      <c r="C1097" s="40" t="str" cm="1">
        <f t="array" ref="C1097">IFERROR(_xlfn.LET(
_xlpm.CSVVal,_xlfn.XLOOKUP($A1097,CSV!$A:$A,CSV!B:B,""),
_xlpm.MacVal,_xlfn.XLOOKUP($A1097,Output_Mac!$A:$A,Output_Mac!B:B,""),
_xlpm.MyAuditVal,_xlfn.XLOOKUP($A1097,My_Audit!$A:$A,My_Audit!B:B,""),
_xlfn.IFS(_xlpm.MyAuditVal&lt;&gt;"",UPPER(_xlpm.MyAuditVal),_xlpm.MacVal&lt;&gt;"",_xlpm.MacVal,_xlpm.CSVVal&lt;&gt;"",_xlpm.CSVVal
)),"")</f>
        <v/>
      </c>
      <c r="D1097" s="40" t="str" cm="1">
        <f t="array" ref="D1097">IFERROR(_xlfn.LET(
_xlpm.CSVVal,_xlfn.XLOOKUP($A1097,CSV!$A:$A,CSV!D:D,""),
_xlpm.MacVal,_xlfn.XLOOKUP($A1097,Output_Mac!$A:$A,Output_Mac!C:C,""),
_xlpm.MyAuditVal,_xlfn.XLOOKUP($A1097,My_Audit!$A:$A,My_Audit!C:C,""),
_xlfn.IFS(_xlpm.MyAuditVal&lt;&gt;"",_xlpm.MyAuditVal,_xlpm.MacVal&lt;&gt;"",_xlpm.MacVal,_xlpm.CSVVal&lt;&gt;"",_xlpm.CSVVal
)),"")</f>
        <v/>
      </c>
      <c r="E1097" s="40" t="str">
        <f>_xlfn.XLOOKUP(A1097,My_Audit!A:A,My_Audit!D:D,"")</f>
        <v/>
      </c>
      <c r="F1097" s="40" t="str" cm="1">
        <f t="array" ref="F1097">IFERROR(_xlfn.LET(
_xlpm.CSVVal,_xlfn.XLOOKUP($A1097,CSV!$A:$A,CSV!F:F,""),
_xlpm.MacVal,_xlfn.XLOOKUP($A1097,Output_Mac!$A:$A,Output_Mac!E:E,""),
_xlpm.MyAuditVal,_xlfn.XLOOKUP($A1097,My_Audit!$A:$A,My_Audit!E:E,""),
_xlfn.IFS(_xlpm.MyAuditVal&lt;&gt;"",_xlpm.MyAuditVal,_xlpm.MacVal&lt;&gt;"",_xlpm.MacVal,_xlpm.CSVVal&lt;&gt;"",_xlpm.CSVVal
)),"")</f>
        <v/>
      </c>
      <c r="G1097" s="40" t="str" cm="1">
        <f t="array" ref="G1097">IFERROR(_xlfn.LET(
_xlpm.CSVVal,_xlfn.XLOOKUP($A1097,CSV!$A:$A,CSV!G:G,""),
_xlpm.MacVal,_xlfn.XLOOKUP($A1097,Output_Mac!$A:$A,Output_Mac!F:F,""),
_xlpm.MyAuditVal,_xlfn.XLOOKUP($A1097,My_Audit!$A:$A,My_Audit!F:F,""),
_xlfn.IFS(_xlpm.MyAuditVal&lt;&gt;"",_xlpm.MyAuditVal,_xlpm.MacVal&lt;&gt;"",_xlpm.MacVal,_xlpm.CSVVal&lt;&gt;"",PROPER(_xlpm.CSVVal)
)),"")</f>
        <v/>
      </c>
      <c r="H1097" s="40" t="str" cm="1">
        <f t="array" ref="H1097">IFERROR(_xlfn.LET(
_xlpm.CSVVal,_xlfn.XLOOKUP($A1097,CSV!$A:$A,CSV!H:H,""),
_xlpm.MacVal,_xlfn.XLOOKUP($A1097,Output_Mac!$A:$A,Output_Mac!H:H,""),
_xlpm.MyAuditVal,_xlfn.XLOOKUP($A1097,My_Audit!$A:$A,My_Audit!G:G,""),
_xlfn.IFS(_xlpm.MyAuditVal&lt;&gt;"",_xlpm.MyAuditVal,_xlpm.MacVal&lt;&gt;"",_xlpm.MacVal,_xlpm.CSVVal&lt;&gt;"",_xlpm.CSVVal
)),"")</f>
        <v/>
      </c>
      <c r="I1097" s="40" t="str">
        <f>_xlfn.XLOOKUP(A1097,Output_Mac!A:A,Output_Mac!I:I,"")</f>
        <v/>
      </c>
      <c r="J1097" s="40" t="str" cm="1">
        <f t="array" ref="J1097">IFERROR(_xlfn.LET(
_xlpm.CSVVal,_xlfn.XLOOKUP($A1097,CSV!$A:$A,CSV!I:I,""),
_xlpm.MacVal,_xlfn.XLOOKUP($A1097,Output_Mac!$A:$A,Output_Mac!J:J,""),
_xlpm.MyAuditVal,_xlfn.XLOOKUP($A1097,My_Audit!$A:$A,My_Audit!I:I,""),
_xlfn.IFS(_xlpm.MyAuditVal&lt;&gt;"",UPPER(_xlpm.MyAuditVal),_xlpm.MacVal&lt;&gt;"",_xlpm.MacVal,_xlpm.CSVVal&lt;&gt;"",_xlpm.CSVVal
)),"")</f>
        <v/>
      </c>
      <c r="K1097" s="40" t="str" cm="1">
        <f t="array" ref="K1097">IFERROR(_xlfn.LET(
_xlpm.CSVVal,_xlfn.XLOOKUP($A1097,CSV!$A:$A,CSV!K:K,""),
_xlpm.MacVal,_xlfn.XLOOKUP($A1097,Output_Mac!$A:$A,Output_Mac!K:K,""),
_xlpm.MyAuditVal,_xlfn.XLOOKUP($A1097,My_Audit!$A:$A,My_Audit!J:J,""),
_xlfn.IFS(_xlpm.MyAuditVal&lt;&gt;"",UPPER(_xlpm.MyAuditVal),_xlpm.MacVal&lt;&gt;"",_xlpm.MacVal,_xlpm.CSVVal&lt;&gt;"",_xlpm.CSVVal
)),"")</f>
        <v/>
      </c>
      <c r="L1097" s="40" t="str" cm="1">
        <f t="array" ref="L1097">IFERROR(_xlfn.LET(
_xlpm.CSVVal,_xlfn.XLOOKUP($A1097,CSV!$A:$A,CSV!P:P,""),
_xlpm.MacVal,_xlfn.XLOOKUP($A1097,Output_Mac!$A:$A,Output_Mac!L:L,""),
_xlpm.MyAuditVal,_xlfn.XLOOKUP($A1097,My_Audit!$A:$A,My_Audit!K:K,""),
_xlfn.IFS(_xlpm.MyAuditVal&lt;&gt;"",UPPER(_xlpm.MyAuditVal),_xlpm.MacVal&lt;&gt;"",_xlpm.MacVal,_xlpm.CSVVal&lt;&gt;"",_xlpm.CSVVal
)),"")</f>
        <v/>
      </c>
      <c r="M1097" s="40" t="str" cm="1">
        <f t="array" ref="M1097">IFERROR(_xlfn.LET(
_xlpm.CSVVal,_xlfn.XLOOKUP($A1097,CSV!$A:$A,CSV!Q:Q,""),
_xlpm.MacVal,_xlfn.XLOOKUP($A1097,Output_Mac!$A:$A,Output_Mac!M:M,""),
_xlpm.MyAuditVal,_xlfn.XLOOKUP($A1097,My_Audit!$A:$A,My_Audit!L:L,""),
_xlfn.IFS(_xlpm.MyAuditVal&lt;&gt;"",UPPER(_xlpm.MyAuditVal),_xlpm.MacVal&lt;&gt;"",_xlpm.MacVal,_xlpm.CSVVal&lt;&gt;"",_xlpm.CSVVal
)),"")</f>
        <v/>
      </c>
      <c r="N1097" s="40"/>
      <c r="O1097" s="40" t="str">
        <f>_xlfn.LET(
    _xlpm.CSVVal, _xlfn.XLOOKUP($A1097, CSV!$A:$A, CSV!AA:AA, ""),
    _xlpm.MacVal, _xlfn.XLOOKUP($A1097, Output_Mac!$A:$A, Output_Mac!S:S, ""),
    _xlpm.MyAuditVal, _xlfn.XLOOKUP($A1097, My_Audit!$A:$A, My_Audit!P:P, ""),
    _xlfn.TEXTJOIN(", ", TRUE, _xlpm.MyAuditVal, _xlpm.MacVal, _xlpm.CSVVal)
)</f>
        <v/>
      </c>
      <c r="P1097" s="40" t="str" cm="1">
        <f t="array" ref="P1097">IFERROR(_xlfn.LET(
_xlpm.CSVVal,_xlfn.XLOOKUP($A1097,CSV!$A:$A,CSV!AB:AB,""),
_xlpm.MacVal,_xlfn.XLOOKUP($A1097,Output_Mac!$A:$A,Output_Mac!T:T,""),
_xlpm.MyAuditVal,_xlfn.XLOOKUP($A1097,My_Audit!$A:$A,My_Audit!Q:Q,""),
_xlfn.IFS(_xlpm.MyAuditVal&lt;&gt;"",UPPER(_xlpm.MyAuditVal),_xlpm.MacVal&lt;&gt;"",_xlpm.MacVal,_xlpm.CSVVal&lt;&gt;"",_xlpm.CSVVal
)),"No")</f>
        <v>No</v>
      </c>
      <c r="Q1097" s="40" t="str" cm="1">
        <f t="array" ref="Q1097">IFERROR(_xlfn.LET(
_xlpm.CSVVal,_xlfn.XLOOKUP($A1097,CSV!$A:$A,CSV!AC:AC,""),
_xlpm.MacVal,_xlfn.XLOOKUP($A1097,Output_Mac!$A:$A,Output_Mac!U:U,""),
_xlpm.MyAuditVal,_xlfn.XLOOKUP($A1097,My_Audit!$A:$A,My_Audit!R:R,""),
_xlfn.IFS(_xlpm.MyAuditVal&lt;&gt;"",UPPER(_xlpm.MyAuditVal),_xlpm.MacVal&lt;&gt;"",_xlpm.MacVal,_xlpm.CSVVal&lt;&gt;"",_xlpm.CSVVal
)),"")</f>
        <v/>
      </c>
      <c r="R1097" s="40"/>
      <c r="S1097" s="40"/>
      <c r="T1097" s="40"/>
      <c r="U1097" s="40"/>
      <c r="V1097" s="40"/>
      <c r="W1097" s="40"/>
      <c r="X1097" s="41" t="str">
        <f>_xlfn.LET(
    _xlpm.MacVal, _xlfn.XLOOKUP($A1097, Output_Mac!$A:$A, Output_Mac!AB:AB, ""),
    _xlpm.MyAuditVal, _xlfn.XLOOKUP($A1097, My_Audit!$A:$A, My_Audit!N:N, ""),
    _xlfn.TEXTJOIN(", ", TRUE, _xlpm.MyAuditVal, _xlpm.MacVal)
)</f>
        <v/>
      </c>
    </row>
    <row r="1098" spans="1:24">
      <c r="A1098" s="40" t="str">
        <f>_xlfn.TEXTJOIN("",TRUE,Input!$B$2,ROW(My_Audit!A1097))</f>
        <v>X1097</v>
      </c>
      <c r="B1098" s="40" t="str">
        <f>_xlfn.TEXTJOIN("-",TRUE,"ITD",Input!$A$2,A1098)</f>
        <v>ITD-X1097</v>
      </c>
      <c r="C1098" s="40" t="str" cm="1">
        <f t="array" ref="C1098">IFERROR(_xlfn.LET(
_xlpm.CSVVal,_xlfn.XLOOKUP($A1098,CSV!$A:$A,CSV!B:B,""),
_xlpm.MacVal,_xlfn.XLOOKUP($A1098,Output_Mac!$A:$A,Output_Mac!B:B,""),
_xlpm.MyAuditVal,_xlfn.XLOOKUP($A1098,My_Audit!$A:$A,My_Audit!B:B,""),
_xlfn.IFS(_xlpm.MyAuditVal&lt;&gt;"",UPPER(_xlpm.MyAuditVal),_xlpm.MacVal&lt;&gt;"",_xlpm.MacVal,_xlpm.CSVVal&lt;&gt;"",_xlpm.CSVVal
)),"")</f>
        <v/>
      </c>
      <c r="D1098" s="40" t="str" cm="1">
        <f t="array" ref="D1098">IFERROR(_xlfn.LET(
_xlpm.CSVVal,_xlfn.XLOOKUP($A1098,CSV!$A:$A,CSV!D:D,""),
_xlpm.MacVal,_xlfn.XLOOKUP($A1098,Output_Mac!$A:$A,Output_Mac!C:C,""),
_xlpm.MyAuditVal,_xlfn.XLOOKUP($A1098,My_Audit!$A:$A,My_Audit!C:C,""),
_xlfn.IFS(_xlpm.MyAuditVal&lt;&gt;"",_xlpm.MyAuditVal,_xlpm.MacVal&lt;&gt;"",_xlpm.MacVal,_xlpm.CSVVal&lt;&gt;"",_xlpm.CSVVal
)),"")</f>
        <v/>
      </c>
      <c r="E1098" s="40" t="str">
        <f>_xlfn.XLOOKUP(A1098,My_Audit!A:A,My_Audit!D:D,"")</f>
        <v/>
      </c>
      <c r="F1098" s="40" t="str" cm="1">
        <f t="array" ref="F1098">IFERROR(_xlfn.LET(
_xlpm.CSVVal,_xlfn.XLOOKUP($A1098,CSV!$A:$A,CSV!F:F,""),
_xlpm.MacVal,_xlfn.XLOOKUP($A1098,Output_Mac!$A:$A,Output_Mac!E:E,""),
_xlpm.MyAuditVal,_xlfn.XLOOKUP($A1098,My_Audit!$A:$A,My_Audit!E:E,""),
_xlfn.IFS(_xlpm.MyAuditVal&lt;&gt;"",_xlpm.MyAuditVal,_xlpm.MacVal&lt;&gt;"",_xlpm.MacVal,_xlpm.CSVVal&lt;&gt;"",_xlpm.CSVVal
)),"")</f>
        <v/>
      </c>
      <c r="G1098" s="40" t="str" cm="1">
        <f t="array" ref="G1098">IFERROR(_xlfn.LET(
_xlpm.CSVVal,_xlfn.XLOOKUP($A1098,CSV!$A:$A,CSV!G:G,""),
_xlpm.MacVal,_xlfn.XLOOKUP($A1098,Output_Mac!$A:$A,Output_Mac!F:F,""),
_xlpm.MyAuditVal,_xlfn.XLOOKUP($A1098,My_Audit!$A:$A,My_Audit!F:F,""),
_xlfn.IFS(_xlpm.MyAuditVal&lt;&gt;"",_xlpm.MyAuditVal,_xlpm.MacVal&lt;&gt;"",_xlpm.MacVal,_xlpm.CSVVal&lt;&gt;"",PROPER(_xlpm.CSVVal)
)),"")</f>
        <v/>
      </c>
      <c r="H1098" s="40" t="str" cm="1">
        <f t="array" ref="H1098">IFERROR(_xlfn.LET(
_xlpm.CSVVal,_xlfn.XLOOKUP($A1098,CSV!$A:$A,CSV!H:H,""),
_xlpm.MacVal,_xlfn.XLOOKUP($A1098,Output_Mac!$A:$A,Output_Mac!H:H,""),
_xlpm.MyAuditVal,_xlfn.XLOOKUP($A1098,My_Audit!$A:$A,My_Audit!G:G,""),
_xlfn.IFS(_xlpm.MyAuditVal&lt;&gt;"",_xlpm.MyAuditVal,_xlpm.MacVal&lt;&gt;"",_xlpm.MacVal,_xlpm.CSVVal&lt;&gt;"",_xlpm.CSVVal
)),"")</f>
        <v/>
      </c>
      <c r="I1098" s="40" t="str">
        <f>_xlfn.XLOOKUP(A1098,Output_Mac!A:A,Output_Mac!I:I,"")</f>
        <v/>
      </c>
      <c r="J1098" s="40" t="str" cm="1">
        <f t="array" ref="J1098">IFERROR(_xlfn.LET(
_xlpm.CSVVal,_xlfn.XLOOKUP($A1098,CSV!$A:$A,CSV!I:I,""),
_xlpm.MacVal,_xlfn.XLOOKUP($A1098,Output_Mac!$A:$A,Output_Mac!J:J,""),
_xlpm.MyAuditVal,_xlfn.XLOOKUP($A1098,My_Audit!$A:$A,My_Audit!I:I,""),
_xlfn.IFS(_xlpm.MyAuditVal&lt;&gt;"",UPPER(_xlpm.MyAuditVal),_xlpm.MacVal&lt;&gt;"",_xlpm.MacVal,_xlpm.CSVVal&lt;&gt;"",_xlpm.CSVVal
)),"")</f>
        <v/>
      </c>
      <c r="K1098" s="40" t="str" cm="1">
        <f t="array" ref="K1098">IFERROR(_xlfn.LET(
_xlpm.CSVVal,_xlfn.XLOOKUP($A1098,CSV!$A:$A,CSV!K:K,""),
_xlpm.MacVal,_xlfn.XLOOKUP($A1098,Output_Mac!$A:$A,Output_Mac!K:K,""),
_xlpm.MyAuditVal,_xlfn.XLOOKUP($A1098,My_Audit!$A:$A,My_Audit!J:J,""),
_xlfn.IFS(_xlpm.MyAuditVal&lt;&gt;"",UPPER(_xlpm.MyAuditVal),_xlpm.MacVal&lt;&gt;"",_xlpm.MacVal,_xlpm.CSVVal&lt;&gt;"",_xlpm.CSVVal
)),"")</f>
        <v/>
      </c>
      <c r="L1098" s="40" t="str" cm="1">
        <f t="array" ref="L1098">IFERROR(_xlfn.LET(
_xlpm.CSVVal,_xlfn.XLOOKUP($A1098,CSV!$A:$A,CSV!P:P,""),
_xlpm.MacVal,_xlfn.XLOOKUP($A1098,Output_Mac!$A:$A,Output_Mac!L:L,""),
_xlpm.MyAuditVal,_xlfn.XLOOKUP($A1098,My_Audit!$A:$A,My_Audit!K:K,""),
_xlfn.IFS(_xlpm.MyAuditVal&lt;&gt;"",UPPER(_xlpm.MyAuditVal),_xlpm.MacVal&lt;&gt;"",_xlpm.MacVal,_xlpm.CSVVal&lt;&gt;"",_xlpm.CSVVal
)),"")</f>
        <v/>
      </c>
      <c r="M1098" s="40" t="str" cm="1">
        <f t="array" ref="M1098">IFERROR(_xlfn.LET(
_xlpm.CSVVal,_xlfn.XLOOKUP($A1098,CSV!$A:$A,CSV!Q:Q,""),
_xlpm.MacVal,_xlfn.XLOOKUP($A1098,Output_Mac!$A:$A,Output_Mac!M:M,""),
_xlpm.MyAuditVal,_xlfn.XLOOKUP($A1098,My_Audit!$A:$A,My_Audit!L:L,""),
_xlfn.IFS(_xlpm.MyAuditVal&lt;&gt;"",UPPER(_xlpm.MyAuditVal),_xlpm.MacVal&lt;&gt;"",_xlpm.MacVal,_xlpm.CSVVal&lt;&gt;"",_xlpm.CSVVal
)),"")</f>
        <v/>
      </c>
      <c r="N1098" s="40"/>
      <c r="O1098" s="40" t="str">
        <f>_xlfn.LET(
    _xlpm.CSVVal, _xlfn.XLOOKUP($A1098, CSV!$A:$A, CSV!AA:AA, ""),
    _xlpm.MacVal, _xlfn.XLOOKUP($A1098, Output_Mac!$A:$A, Output_Mac!S:S, ""),
    _xlpm.MyAuditVal, _xlfn.XLOOKUP($A1098, My_Audit!$A:$A, My_Audit!P:P, ""),
    _xlfn.TEXTJOIN(", ", TRUE, _xlpm.MyAuditVal, _xlpm.MacVal, _xlpm.CSVVal)
)</f>
        <v/>
      </c>
      <c r="P1098" s="40" t="str" cm="1">
        <f t="array" ref="P1098">IFERROR(_xlfn.LET(
_xlpm.CSVVal,_xlfn.XLOOKUP($A1098,CSV!$A:$A,CSV!AB:AB,""),
_xlpm.MacVal,_xlfn.XLOOKUP($A1098,Output_Mac!$A:$A,Output_Mac!T:T,""),
_xlpm.MyAuditVal,_xlfn.XLOOKUP($A1098,My_Audit!$A:$A,My_Audit!Q:Q,""),
_xlfn.IFS(_xlpm.MyAuditVal&lt;&gt;"",UPPER(_xlpm.MyAuditVal),_xlpm.MacVal&lt;&gt;"",_xlpm.MacVal,_xlpm.CSVVal&lt;&gt;"",_xlpm.CSVVal
)),"No")</f>
        <v>No</v>
      </c>
      <c r="Q1098" s="40" t="str" cm="1">
        <f t="array" ref="Q1098">IFERROR(_xlfn.LET(
_xlpm.CSVVal,_xlfn.XLOOKUP($A1098,CSV!$A:$A,CSV!AC:AC,""),
_xlpm.MacVal,_xlfn.XLOOKUP($A1098,Output_Mac!$A:$A,Output_Mac!U:U,""),
_xlpm.MyAuditVal,_xlfn.XLOOKUP($A1098,My_Audit!$A:$A,My_Audit!R:R,""),
_xlfn.IFS(_xlpm.MyAuditVal&lt;&gt;"",UPPER(_xlpm.MyAuditVal),_xlpm.MacVal&lt;&gt;"",_xlpm.MacVal,_xlpm.CSVVal&lt;&gt;"",_xlpm.CSVVal
)),"")</f>
        <v/>
      </c>
      <c r="R1098" s="40"/>
      <c r="S1098" s="40"/>
      <c r="T1098" s="40"/>
      <c r="U1098" s="40"/>
      <c r="V1098" s="40"/>
      <c r="W1098" s="40"/>
      <c r="X1098" s="41" t="str">
        <f>_xlfn.LET(
    _xlpm.MacVal, _xlfn.XLOOKUP($A1098, Output_Mac!$A:$A, Output_Mac!AB:AB, ""),
    _xlpm.MyAuditVal, _xlfn.XLOOKUP($A1098, My_Audit!$A:$A, My_Audit!N:N, ""),
    _xlfn.TEXTJOIN(", ", TRUE, _xlpm.MyAuditVal, _xlpm.MacVal)
)</f>
        <v/>
      </c>
    </row>
    <row r="1099" spans="1:24">
      <c r="A1099" s="40" t="str">
        <f>_xlfn.TEXTJOIN("",TRUE,Input!$B$2,ROW(My_Audit!A1098))</f>
        <v>X1098</v>
      </c>
      <c r="B1099" s="40" t="str">
        <f>_xlfn.TEXTJOIN("-",TRUE,"ITD",Input!$A$2,A1099)</f>
        <v>ITD-X1098</v>
      </c>
      <c r="C1099" s="40" t="str" cm="1">
        <f t="array" ref="C1099">IFERROR(_xlfn.LET(
_xlpm.CSVVal,_xlfn.XLOOKUP($A1099,CSV!$A:$A,CSV!B:B,""),
_xlpm.MacVal,_xlfn.XLOOKUP($A1099,Output_Mac!$A:$A,Output_Mac!B:B,""),
_xlpm.MyAuditVal,_xlfn.XLOOKUP($A1099,My_Audit!$A:$A,My_Audit!B:B,""),
_xlfn.IFS(_xlpm.MyAuditVal&lt;&gt;"",UPPER(_xlpm.MyAuditVal),_xlpm.MacVal&lt;&gt;"",_xlpm.MacVal,_xlpm.CSVVal&lt;&gt;"",_xlpm.CSVVal
)),"")</f>
        <v/>
      </c>
      <c r="D1099" s="40" t="str" cm="1">
        <f t="array" ref="D1099">IFERROR(_xlfn.LET(
_xlpm.CSVVal,_xlfn.XLOOKUP($A1099,CSV!$A:$A,CSV!D:D,""),
_xlpm.MacVal,_xlfn.XLOOKUP($A1099,Output_Mac!$A:$A,Output_Mac!C:C,""),
_xlpm.MyAuditVal,_xlfn.XLOOKUP($A1099,My_Audit!$A:$A,My_Audit!C:C,""),
_xlfn.IFS(_xlpm.MyAuditVal&lt;&gt;"",_xlpm.MyAuditVal,_xlpm.MacVal&lt;&gt;"",_xlpm.MacVal,_xlpm.CSVVal&lt;&gt;"",_xlpm.CSVVal
)),"")</f>
        <v/>
      </c>
      <c r="E1099" s="40" t="str">
        <f>_xlfn.XLOOKUP(A1099,My_Audit!A:A,My_Audit!D:D,"")</f>
        <v/>
      </c>
      <c r="F1099" s="40" t="str" cm="1">
        <f t="array" ref="F1099">IFERROR(_xlfn.LET(
_xlpm.CSVVal,_xlfn.XLOOKUP($A1099,CSV!$A:$A,CSV!F:F,""),
_xlpm.MacVal,_xlfn.XLOOKUP($A1099,Output_Mac!$A:$A,Output_Mac!E:E,""),
_xlpm.MyAuditVal,_xlfn.XLOOKUP($A1099,My_Audit!$A:$A,My_Audit!E:E,""),
_xlfn.IFS(_xlpm.MyAuditVal&lt;&gt;"",_xlpm.MyAuditVal,_xlpm.MacVal&lt;&gt;"",_xlpm.MacVal,_xlpm.CSVVal&lt;&gt;"",_xlpm.CSVVal
)),"")</f>
        <v/>
      </c>
      <c r="G1099" s="40" t="str" cm="1">
        <f t="array" ref="G1099">IFERROR(_xlfn.LET(
_xlpm.CSVVal,_xlfn.XLOOKUP($A1099,CSV!$A:$A,CSV!G:G,""),
_xlpm.MacVal,_xlfn.XLOOKUP($A1099,Output_Mac!$A:$A,Output_Mac!F:F,""),
_xlpm.MyAuditVal,_xlfn.XLOOKUP($A1099,My_Audit!$A:$A,My_Audit!F:F,""),
_xlfn.IFS(_xlpm.MyAuditVal&lt;&gt;"",_xlpm.MyAuditVal,_xlpm.MacVal&lt;&gt;"",_xlpm.MacVal,_xlpm.CSVVal&lt;&gt;"",PROPER(_xlpm.CSVVal)
)),"")</f>
        <v/>
      </c>
      <c r="H1099" s="40" t="str" cm="1">
        <f t="array" ref="H1099">IFERROR(_xlfn.LET(
_xlpm.CSVVal,_xlfn.XLOOKUP($A1099,CSV!$A:$A,CSV!H:H,""),
_xlpm.MacVal,_xlfn.XLOOKUP($A1099,Output_Mac!$A:$A,Output_Mac!H:H,""),
_xlpm.MyAuditVal,_xlfn.XLOOKUP($A1099,My_Audit!$A:$A,My_Audit!G:G,""),
_xlfn.IFS(_xlpm.MyAuditVal&lt;&gt;"",_xlpm.MyAuditVal,_xlpm.MacVal&lt;&gt;"",_xlpm.MacVal,_xlpm.CSVVal&lt;&gt;"",_xlpm.CSVVal
)),"")</f>
        <v/>
      </c>
      <c r="I1099" s="40" t="str">
        <f>_xlfn.XLOOKUP(A1099,Output_Mac!A:A,Output_Mac!I:I,"")</f>
        <v/>
      </c>
      <c r="J1099" s="40" t="str" cm="1">
        <f t="array" ref="J1099">IFERROR(_xlfn.LET(
_xlpm.CSVVal,_xlfn.XLOOKUP($A1099,CSV!$A:$A,CSV!I:I,""),
_xlpm.MacVal,_xlfn.XLOOKUP($A1099,Output_Mac!$A:$A,Output_Mac!J:J,""),
_xlpm.MyAuditVal,_xlfn.XLOOKUP($A1099,My_Audit!$A:$A,My_Audit!I:I,""),
_xlfn.IFS(_xlpm.MyAuditVal&lt;&gt;"",UPPER(_xlpm.MyAuditVal),_xlpm.MacVal&lt;&gt;"",_xlpm.MacVal,_xlpm.CSVVal&lt;&gt;"",_xlpm.CSVVal
)),"")</f>
        <v/>
      </c>
      <c r="K1099" s="40" t="str" cm="1">
        <f t="array" ref="K1099">IFERROR(_xlfn.LET(
_xlpm.CSVVal,_xlfn.XLOOKUP($A1099,CSV!$A:$A,CSV!K:K,""),
_xlpm.MacVal,_xlfn.XLOOKUP($A1099,Output_Mac!$A:$A,Output_Mac!K:K,""),
_xlpm.MyAuditVal,_xlfn.XLOOKUP($A1099,My_Audit!$A:$A,My_Audit!J:J,""),
_xlfn.IFS(_xlpm.MyAuditVal&lt;&gt;"",UPPER(_xlpm.MyAuditVal),_xlpm.MacVal&lt;&gt;"",_xlpm.MacVal,_xlpm.CSVVal&lt;&gt;"",_xlpm.CSVVal
)),"")</f>
        <v/>
      </c>
      <c r="L1099" s="40" t="str" cm="1">
        <f t="array" ref="L1099">IFERROR(_xlfn.LET(
_xlpm.CSVVal,_xlfn.XLOOKUP($A1099,CSV!$A:$A,CSV!P:P,""),
_xlpm.MacVal,_xlfn.XLOOKUP($A1099,Output_Mac!$A:$A,Output_Mac!L:L,""),
_xlpm.MyAuditVal,_xlfn.XLOOKUP($A1099,My_Audit!$A:$A,My_Audit!K:K,""),
_xlfn.IFS(_xlpm.MyAuditVal&lt;&gt;"",UPPER(_xlpm.MyAuditVal),_xlpm.MacVal&lt;&gt;"",_xlpm.MacVal,_xlpm.CSVVal&lt;&gt;"",_xlpm.CSVVal
)),"")</f>
        <v/>
      </c>
      <c r="M1099" s="40" t="str" cm="1">
        <f t="array" ref="M1099">IFERROR(_xlfn.LET(
_xlpm.CSVVal,_xlfn.XLOOKUP($A1099,CSV!$A:$A,CSV!Q:Q,""),
_xlpm.MacVal,_xlfn.XLOOKUP($A1099,Output_Mac!$A:$A,Output_Mac!M:M,""),
_xlpm.MyAuditVal,_xlfn.XLOOKUP($A1099,My_Audit!$A:$A,My_Audit!L:L,""),
_xlfn.IFS(_xlpm.MyAuditVal&lt;&gt;"",UPPER(_xlpm.MyAuditVal),_xlpm.MacVal&lt;&gt;"",_xlpm.MacVal,_xlpm.CSVVal&lt;&gt;"",_xlpm.CSVVal
)),"")</f>
        <v/>
      </c>
      <c r="N1099" s="40"/>
      <c r="O1099" s="40" t="str">
        <f>_xlfn.LET(
    _xlpm.CSVVal, _xlfn.XLOOKUP($A1099, CSV!$A:$A, CSV!AA:AA, ""),
    _xlpm.MacVal, _xlfn.XLOOKUP($A1099, Output_Mac!$A:$A, Output_Mac!S:S, ""),
    _xlpm.MyAuditVal, _xlfn.XLOOKUP($A1099, My_Audit!$A:$A, My_Audit!P:P, ""),
    _xlfn.TEXTJOIN(", ", TRUE, _xlpm.MyAuditVal, _xlpm.MacVal, _xlpm.CSVVal)
)</f>
        <v/>
      </c>
      <c r="P1099" s="40" t="str" cm="1">
        <f t="array" ref="P1099">IFERROR(_xlfn.LET(
_xlpm.CSVVal,_xlfn.XLOOKUP($A1099,CSV!$A:$A,CSV!AB:AB,""),
_xlpm.MacVal,_xlfn.XLOOKUP($A1099,Output_Mac!$A:$A,Output_Mac!T:T,""),
_xlpm.MyAuditVal,_xlfn.XLOOKUP($A1099,My_Audit!$A:$A,My_Audit!Q:Q,""),
_xlfn.IFS(_xlpm.MyAuditVal&lt;&gt;"",UPPER(_xlpm.MyAuditVal),_xlpm.MacVal&lt;&gt;"",_xlpm.MacVal,_xlpm.CSVVal&lt;&gt;"",_xlpm.CSVVal
)),"No")</f>
        <v>No</v>
      </c>
      <c r="Q1099" s="40" t="str" cm="1">
        <f t="array" ref="Q1099">IFERROR(_xlfn.LET(
_xlpm.CSVVal,_xlfn.XLOOKUP($A1099,CSV!$A:$A,CSV!AC:AC,""),
_xlpm.MacVal,_xlfn.XLOOKUP($A1099,Output_Mac!$A:$A,Output_Mac!U:U,""),
_xlpm.MyAuditVal,_xlfn.XLOOKUP($A1099,My_Audit!$A:$A,My_Audit!R:R,""),
_xlfn.IFS(_xlpm.MyAuditVal&lt;&gt;"",UPPER(_xlpm.MyAuditVal),_xlpm.MacVal&lt;&gt;"",_xlpm.MacVal,_xlpm.CSVVal&lt;&gt;"",_xlpm.CSVVal
)),"")</f>
        <v/>
      </c>
      <c r="R1099" s="40"/>
      <c r="S1099" s="40"/>
      <c r="T1099" s="40"/>
      <c r="U1099" s="40"/>
      <c r="V1099" s="40"/>
      <c r="W1099" s="40"/>
      <c r="X1099" s="41" t="str">
        <f>_xlfn.LET(
    _xlpm.MacVal, _xlfn.XLOOKUP($A1099, Output_Mac!$A:$A, Output_Mac!AB:AB, ""),
    _xlpm.MyAuditVal, _xlfn.XLOOKUP($A1099, My_Audit!$A:$A, My_Audit!N:N, ""),
    _xlfn.TEXTJOIN(", ", TRUE, _xlpm.MyAuditVal, _xlpm.MacVal)
)</f>
        <v/>
      </c>
    </row>
    <row r="1100" spans="1:24">
      <c r="A1100" s="40" t="str">
        <f>_xlfn.TEXTJOIN("",TRUE,Input!$B$2,ROW(My_Audit!A1099))</f>
        <v>X1099</v>
      </c>
      <c r="B1100" s="40" t="str">
        <f>_xlfn.TEXTJOIN("-",TRUE,"ITD",Input!$A$2,A1100)</f>
        <v>ITD-X1099</v>
      </c>
      <c r="C1100" s="40" t="str" cm="1">
        <f t="array" ref="C1100">IFERROR(_xlfn.LET(
_xlpm.CSVVal,_xlfn.XLOOKUP($A1100,CSV!$A:$A,CSV!B:B,""),
_xlpm.MacVal,_xlfn.XLOOKUP($A1100,Output_Mac!$A:$A,Output_Mac!B:B,""),
_xlpm.MyAuditVal,_xlfn.XLOOKUP($A1100,My_Audit!$A:$A,My_Audit!B:B,""),
_xlfn.IFS(_xlpm.MyAuditVal&lt;&gt;"",UPPER(_xlpm.MyAuditVal),_xlpm.MacVal&lt;&gt;"",_xlpm.MacVal,_xlpm.CSVVal&lt;&gt;"",_xlpm.CSVVal
)),"")</f>
        <v/>
      </c>
      <c r="D1100" s="40" t="str" cm="1">
        <f t="array" ref="D1100">IFERROR(_xlfn.LET(
_xlpm.CSVVal,_xlfn.XLOOKUP($A1100,CSV!$A:$A,CSV!D:D,""),
_xlpm.MacVal,_xlfn.XLOOKUP($A1100,Output_Mac!$A:$A,Output_Mac!C:C,""),
_xlpm.MyAuditVal,_xlfn.XLOOKUP($A1100,My_Audit!$A:$A,My_Audit!C:C,""),
_xlfn.IFS(_xlpm.MyAuditVal&lt;&gt;"",_xlpm.MyAuditVal,_xlpm.MacVal&lt;&gt;"",_xlpm.MacVal,_xlpm.CSVVal&lt;&gt;"",_xlpm.CSVVal
)),"")</f>
        <v/>
      </c>
      <c r="E1100" s="40" t="str">
        <f>_xlfn.XLOOKUP(A1100,My_Audit!A:A,My_Audit!D:D,"")</f>
        <v/>
      </c>
      <c r="F1100" s="40" t="str" cm="1">
        <f t="array" ref="F1100">IFERROR(_xlfn.LET(
_xlpm.CSVVal,_xlfn.XLOOKUP($A1100,CSV!$A:$A,CSV!F:F,""),
_xlpm.MacVal,_xlfn.XLOOKUP($A1100,Output_Mac!$A:$A,Output_Mac!E:E,""),
_xlpm.MyAuditVal,_xlfn.XLOOKUP($A1100,My_Audit!$A:$A,My_Audit!E:E,""),
_xlfn.IFS(_xlpm.MyAuditVal&lt;&gt;"",_xlpm.MyAuditVal,_xlpm.MacVal&lt;&gt;"",_xlpm.MacVal,_xlpm.CSVVal&lt;&gt;"",_xlpm.CSVVal
)),"")</f>
        <v/>
      </c>
      <c r="G1100" s="40" t="str" cm="1">
        <f t="array" ref="G1100">IFERROR(_xlfn.LET(
_xlpm.CSVVal,_xlfn.XLOOKUP($A1100,CSV!$A:$A,CSV!G:G,""),
_xlpm.MacVal,_xlfn.XLOOKUP($A1100,Output_Mac!$A:$A,Output_Mac!F:F,""),
_xlpm.MyAuditVal,_xlfn.XLOOKUP($A1100,My_Audit!$A:$A,My_Audit!F:F,""),
_xlfn.IFS(_xlpm.MyAuditVal&lt;&gt;"",_xlpm.MyAuditVal,_xlpm.MacVal&lt;&gt;"",_xlpm.MacVal,_xlpm.CSVVal&lt;&gt;"",PROPER(_xlpm.CSVVal)
)),"")</f>
        <v/>
      </c>
      <c r="H1100" s="40" t="str" cm="1">
        <f t="array" ref="H1100">IFERROR(_xlfn.LET(
_xlpm.CSVVal,_xlfn.XLOOKUP($A1100,CSV!$A:$A,CSV!H:H,""),
_xlpm.MacVal,_xlfn.XLOOKUP($A1100,Output_Mac!$A:$A,Output_Mac!H:H,""),
_xlpm.MyAuditVal,_xlfn.XLOOKUP($A1100,My_Audit!$A:$A,My_Audit!G:G,""),
_xlfn.IFS(_xlpm.MyAuditVal&lt;&gt;"",_xlpm.MyAuditVal,_xlpm.MacVal&lt;&gt;"",_xlpm.MacVal,_xlpm.CSVVal&lt;&gt;"",_xlpm.CSVVal
)),"")</f>
        <v/>
      </c>
      <c r="I1100" s="40" t="str">
        <f>_xlfn.XLOOKUP(A1100,Output_Mac!A:A,Output_Mac!I:I,"")</f>
        <v/>
      </c>
      <c r="J1100" s="40" t="str" cm="1">
        <f t="array" ref="J1100">IFERROR(_xlfn.LET(
_xlpm.CSVVal,_xlfn.XLOOKUP($A1100,CSV!$A:$A,CSV!I:I,""),
_xlpm.MacVal,_xlfn.XLOOKUP($A1100,Output_Mac!$A:$A,Output_Mac!J:J,""),
_xlpm.MyAuditVal,_xlfn.XLOOKUP($A1100,My_Audit!$A:$A,My_Audit!I:I,""),
_xlfn.IFS(_xlpm.MyAuditVal&lt;&gt;"",UPPER(_xlpm.MyAuditVal),_xlpm.MacVal&lt;&gt;"",_xlpm.MacVal,_xlpm.CSVVal&lt;&gt;"",_xlpm.CSVVal
)),"")</f>
        <v/>
      </c>
      <c r="K1100" s="40" t="str" cm="1">
        <f t="array" ref="K1100">IFERROR(_xlfn.LET(
_xlpm.CSVVal,_xlfn.XLOOKUP($A1100,CSV!$A:$A,CSV!K:K,""),
_xlpm.MacVal,_xlfn.XLOOKUP($A1100,Output_Mac!$A:$A,Output_Mac!K:K,""),
_xlpm.MyAuditVal,_xlfn.XLOOKUP($A1100,My_Audit!$A:$A,My_Audit!J:J,""),
_xlfn.IFS(_xlpm.MyAuditVal&lt;&gt;"",UPPER(_xlpm.MyAuditVal),_xlpm.MacVal&lt;&gt;"",_xlpm.MacVal,_xlpm.CSVVal&lt;&gt;"",_xlpm.CSVVal
)),"")</f>
        <v/>
      </c>
      <c r="L1100" s="40" t="str" cm="1">
        <f t="array" ref="L1100">IFERROR(_xlfn.LET(
_xlpm.CSVVal,_xlfn.XLOOKUP($A1100,CSV!$A:$A,CSV!P:P,""),
_xlpm.MacVal,_xlfn.XLOOKUP($A1100,Output_Mac!$A:$A,Output_Mac!L:L,""),
_xlpm.MyAuditVal,_xlfn.XLOOKUP($A1100,My_Audit!$A:$A,My_Audit!K:K,""),
_xlfn.IFS(_xlpm.MyAuditVal&lt;&gt;"",UPPER(_xlpm.MyAuditVal),_xlpm.MacVal&lt;&gt;"",_xlpm.MacVal,_xlpm.CSVVal&lt;&gt;"",_xlpm.CSVVal
)),"")</f>
        <v/>
      </c>
      <c r="M1100" s="40" t="str" cm="1">
        <f t="array" ref="M1100">IFERROR(_xlfn.LET(
_xlpm.CSVVal,_xlfn.XLOOKUP($A1100,CSV!$A:$A,CSV!Q:Q,""),
_xlpm.MacVal,_xlfn.XLOOKUP($A1100,Output_Mac!$A:$A,Output_Mac!M:M,""),
_xlpm.MyAuditVal,_xlfn.XLOOKUP($A1100,My_Audit!$A:$A,My_Audit!L:L,""),
_xlfn.IFS(_xlpm.MyAuditVal&lt;&gt;"",UPPER(_xlpm.MyAuditVal),_xlpm.MacVal&lt;&gt;"",_xlpm.MacVal,_xlpm.CSVVal&lt;&gt;"",_xlpm.CSVVal
)),"")</f>
        <v/>
      </c>
      <c r="N1100" s="40"/>
      <c r="O1100" s="40" t="str">
        <f>_xlfn.LET(
    _xlpm.CSVVal, _xlfn.XLOOKUP($A1100, CSV!$A:$A, CSV!AA:AA, ""),
    _xlpm.MacVal, _xlfn.XLOOKUP($A1100, Output_Mac!$A:$A, Output_Mac!S:S, ""),
    _xlpm.MyAuditVal, _xlfn.XLOOKUP($A1100, My_Audit!$A:$A, My_Audit!P:P, ""),
    _xlfn.TEXTJOIN(", ", TRUE, _xlpm.MyAuditVal, _xlpm.MacVal, _xlpm.CSVVal)
)</f>
        <v/>
      </c>
      <c r="P1100" s="40" t="str" cm="1">
        <f t="array" ref="P1100">IFERROR(_xlfn.LET(
_xlpm.CSVVal,_xlfn.XLOOKUP($A1100,CSV!$A:$A,CSV!AB:AB,""),
_xlpm.MacVal,_xlfn.XLOOKUP($A1100,Output_Mac!$A:$A,Output_Mac!T:T,""),
_xlpm.MyAuditVal,_xlfn.XLOOKUP($A1100,My_Audit!$A:$A,My_Audit!Q:Q,""),
_xlfn.IFS(_xlpm.MyAuditVal&lt;&gt;"",UPPER(_xlpm.MyAuditVal),_xlpm.MacVal&lt;&gt;"",_xlpm.MacVal,_xlpm.CSVVal&lt;&gt;"",_xlpm.CSVVal
)),"No")</f>
        <v>No</v>
      </c>
      <c r="Q1100" s="40" t="str" cm="1">
        <f t="array" ref="Q1100">IFERROR(_xlfn.LET(
_xlpm.CSVVal,_xlfn.XLOOKUP($A1100,CSV!$A:$A,CSV!AC:AC,""),
_xlpm.MacVal,_xlfn.XLOOKUP($A1100,Output_Mac!$A:$A,Output_Mac!U:U,""),
_xlpm.MyAuditVal,_xlfn.XLOOKUP($A1100,My_Audit!$A:$A,My_Audit!R:R,""),
_xlfn.IFS(_xlpm.MyAuditVal&lt;&gt;"",UPPER(_xlpm.MyAuditVal),_xlpm.MacVal&lt;&gt;"",_xlpm.MacVal,_xlpm.CSVVal&lt;&gt;"",_xlpm.CSVVal
)),"")</f>
        <v/>
      </c>
      <c r="R1100" s="40"/>
      <c r="S1100" s="40"/>
      <c r="T1100" s="40"/>
      <c r="U1100" s="40"/>
      <c r="V1100" s="40"/>
      <c r="W1100" s="40"/>
      <c r="X1100" s="41" t="str">
        <f>_xlfn.LET(
    _xlpm.MacVal, _xlfn.XLOOKUP($A1100, Output_Mac!$A:$A, Output_Mac!AB:AB, ""),
    _xlpm.MyAuditVal, _xlfn.XLOOKUP($A1100, My_Audit!$A:$A, My_Audit!N:N, ""),
    _xlfn.TEXTJOIN(", ", TRUE, _xlpm.MyAuditVal, _xlpm.MacVal)
)</f>
        <v/>
      </c>
    </row>
    <row r="1101" spans="1:24">
      <c r="A1101" s="40" t="str">
        <f>_xlfn.TEXTJOIN("",TRUE,Input!$B$2,ROW(My_Audit!A1100))</f>
        <v>X1100</v>
      </c>
      <c r="B1101" s="40" t="str">
        <f>_xlfn.TEXTJOIN("-",TRUE,"ITD",Input!$A$2,A1101)</f>
        <v>ITD-X1100</v>
      </c>
      <c r="C1101" s="40" t="str" cm="1">
        <f t="array" ref="C1101">IFERROR(_xlfn.LET(
_xlpm.CSVVal,_xlfn.XLOOKUP($A1101,CSV!$A:$A,CSV!B:B,""),
_xlpm.MacVal,_xlfn.XLOOKUP($A1101,Output_Mac!$A:$A,Output_Mac!B:B,""),
_xlpm.MyAuditVal,_xlfn.XLOOKUP($A1101,My_Audit!$A:$A,My_Audit!B:B,""),
_xlfn.IFS(_xlpm.MyAuditVal&lt;&gt;"",UPPER(_xlpm.MyAuditVal),_xlpm.MacVal&lt;&gt;"",_xlpm.MacVal,_xlpm.CSVVal&lt;&gt;"",_xlpm.CSVVal
)),"")</f>
        <v/>
      </c>
      <c r="D1101" s="40" t="str" cm="1">
        <f t="array" ref="D1101">IFERROR(_xlfn.LET(
_xlpm.CSVVal,_xlfn.XLOOKUP($A1101,CSV!$A:$A,CSV!D:D,""),
_xlpm.MacVal,_xlfn.XLOOKUP($A1101,Output_Mac!$A:$A,Output_Mac!C:C,""),
_xlpm.MyAuditVal,_xlfn.XLOOKUP($A1101,My_Audit!$A:$A,My_Audit!C:C,""),
_xlfn.IFS(_xlpm.MyAuditVal&lt;&gt;"",_xlpm.MyAuditVal,_xlpm.MacVal&lt;&gt;"",_xlpm.MacVal,_xlpm.CSVVal&lt;&gt;"",_xlpm.CSVVal
)),"")</f>
        <v/>
      </c>
      <c r="E1101" s="40" t="str">
        <f>_xlfn.XLOOKUP(A1101,My_Audit!A:A,My_Audit!D:D,"")</f>
        <v/>
      </c>
      <c r="F1101" s="40" t="str" cm="1">
        <f t="array" ref="F1101">IFERROR(_xlfn.LET(
_xlpm.CSVVal,_xlfn.XLOOKUP($A1101,CSV!$A:$A,CSV!F:F,""),
_xlpm.MacVal,_xlfn.XLOOKUP($A1101,Output_Mac!$A:$A,Output_Mac!E:E,""),
_xlpm.MyAuditVal,_xlfn.XLOOKUP($A1101,My_Audit!$A:$A,My_Audit!E:E,""),
_xlfn.IFS(_xlpm.MyAuditVal&lt;&gt;"",_xlpm.MyAuditVal,_xlpm.MacVal&lt;&gt;"",_xlpm.MacVal,_xlpm.CSVVal&lt;&gt;"",_xlpm.CSVVal
)),"")</f>
        <v/>
      </c>
      <c r="G1101" s="40" t="str" cm="1">
        <f t="array" ref="G1101">IFERROR(_xlfn.LET(
_xlpm.CSVVal,_xlfn.XLOOKUP($A1101,CSV!$A:$A,CSV!G:G,""),
_xlpm.MacVal,_xlfn.XLOOKUP($A1101,Output_Mac!$A:$A,Output_Mac!F:F,""),
_xlpm.MyAuditVal,_xlfn.XLOOKUP($A1101,My_Audit!$A:$A,My_Audit!F:F,""),
_xlfn.IFS(_xlpm.MyAuditVal&lt;&gt;"",_xlpm.MyAuditVal,_xlpm.MacVal&lt;&gt;"",_xlpm.MacVal,_xlpm.CSVVal&lt;&gt;"",PROPER(_xlpm.CSVVal)
)),"")</f>
        <v/>
      </c>
      <c r="H1101" s="40" t="str" cm="1">
        <f t="array" ref="H1101">IFERROR(_xlfn.LET(
_xlpm.CSVVal,_xlfn.XLOOKUP($A1101,CSV!$A:$A,CSV!H:H,""),
_xlpm.MacVal,_xlfn.XLOOKUP($A1101,Output_Mac!$A:$A,Output_Mac!H:H,""),
_xlpm.MyAuditVal,_xlfn.XLOOKUP($A1101,My_Audit!$A:$A,My_Audit!G:G,""),
_xlfn.IFS(_xlpm.MyAuditVal&lt;&gt;"",_xlpm.MyAuditVal,_xlpm.MacVal&lt;&gt;"",_xlpm.MacVal,_xlpm.CSVVal&lt;&gt;"",_xlpm.CSVVal
)),"")</f>
        <v/>
      </c>
      <c r="I1101" s="40" t="str">
        <f>_xlfn.XLOOKUP(A1101,Output_Mac!A:A,Output_Mac!I:I,"")</f>
        <v/>
      </c>
      <c r="J1101" s="40" t="str" cm="1">
        <f t="array" ref="J1101">IFERROR(_xlfn.LET(
_xlpm.CSVVal,_xlfn.XLOOKUP($A1101,CSV!$A:$A,CSV!I:I,""),
_xlpm.MacVal,_xlfn.XLOOKUP($A1101,Output_Mac!$A:$A,Output_Mac!J:J,""),
_xlpm.MyAuditVal,_xlfn.XLOOKUP($A1101,My_Audit!$A:$A,My_Audit!I:I,""),
_xlfn.IFS(_xlpm.MyAuditVal&lt;&gt;"",UPPER(_xlpm.MyAuditVal),_xlpm.MacVal&lt;&gt;"",_xlpm.MacVal,_xlpm.CSVVal&lt;&gt;"",_xlpm.CSVVal
)),"")</f>
        <v/>
      </c>
      <c r="K1101" s="40" t="str" cm="1">
        <f t="array" ref="K1101">IFERROR(_xlfn.LET(
_xlpm.CSVVal,_xlfn.XLOOKUP($A1101,CSV!$A:$A,CSV!K:K,""),
_xlpm.MacVal,_xlfn.XLOOKUP($A1101,Output_Mac!$A:$A,Output_Mac!K:K,""),
_xlpm.MyAuditVal,_xlfn.XLOOKUP($A1101,My_Audit!$A:$A,My_Audit!J:J,""),
_xlfn.IFS(_xlpm.MyAuditVal&lt;&gt;"",UPPER(_xlpm.MyAuditVal),_xlpm.MacVal&lt;&gt;"",_xlpm.MacVal,_xlpm.CSVVal&lt;&gt;"",_xlpm.CSVVal
)),"")</f>
        <v/>
      </c>
      <c r="L1101" s="40" t="str" cm="1">
        <f t="array" ref="L1101">IFERROR(_xlfn.LET(
_xlpm.CSVVal,_xlfn.XLOOKUP($A1101,CSV!$A:$A,CSV!P:P,""),
_xlpm.MacVal,_xlfn.XLOOKUP($A1101,Output_Mac!$A:$A,Output_Mac!L:L,""),
_xlpm.MyAuditVal,_xlfn.XLOOKUP($A1101,My_Audit!$A:$A,My_Audit!K:K,""),
_xlfn.IFS(_xlpm.MyAuditVal&lt;&gt;"",UPPER(_xlpm.MyAuditVal),_xlpm.MacVal&lt;&gt;"",_xlpm.MacVal,_xlpm.CSVVal&lt;&gt;"",_xlpm.CSVVal
)),"")</f>
        <v/>
      </c>
      <c r="M1101" s="40" t="str" cm="1">
        <f t="array" ref="M1101">IFERROR(_xlfn.LET(
_xlpm.CSVVal,_xlfn.XLOOKUP($A1101,CSV!$A:$A,CSV!Q:Q,""),
_xlpm.MacVal,_xlfn.XLOOKUP($A1101,Output_Mac!$A:$A,Output_Mac!M:M,""),
_xlpm.MyAuditVal,_xlfn.XLOOKUP($A1101,My_Audit!$A:$A,My_Audit!L:L,""),
_xlfn.IFS(_xlpm.MyAuditVal&lt;&gt;"",UPPER(_xlpm.MyAuditVal),_xlpm.MacVal&lt;&gt;"",_xlpm.MacVal,_xlpm.CSVVal&lt;&gt;"",_xlpm.CSVVal
)),"")</f>
        <v/>
      </c>
      <c r="N1101" s="40"/>
      <c r="O1101" s="40" t="str">
        <f>_xlfn.LET(
    _xlpm.CSVVal, _xlfn.XLOOKUP($A1101, CSV!$A:$A, CSV!AA:AA, ""),
    _xlpm.MacVal, _xlfn.XLOOKUP($A1101, Output_Mac!$A:$A, Output_Mac!S:S, ""),
    _xlpm.MyAuditVal, _xlfn.XLOOKUP($A1101, My_Audit!$A:$A, My_Audit!P:P, ""),
    _xlfn.TEXTJOIN(", ", TRUE, _xlpm.MyAuditVal, _xlpm.MacVal, _xlpm.CSVVal)
)</f>
        <v/>
      </c>
      <c r="P1101" s="40" t="str" cm="1">
        <f t="array" ref="P1101">IFERROR(_xlfn.LET(
_xlpm.CSVVal,_xlfn.XLOOKUP($A1101,CSV!$A:$A,CSV!AB:AB,""),
_xlpm.MacVal,_xlfn.XLOOKUP($A1101,Output_Mac!$A:$A,Output_Mac!T:T,""),
_xlpm.MyAuditVal,_xlfn.XLOOKUP($A1101,My_Audit!$A:$A,My_Audit!Q:Q,""),
_xlfn.IFS(_xlpm.MyAuditVal&lt;&gt;"",UPPER(_xlpm.MyAuditVal),_xlpm.MacVal&lt;&gt;"",_xlpm.MacVal,_xlpm.CSVVal&lt;&gt;"",_xlpm.CSVVal
)),"No")</f>
        <v>No</v>
      </c>
      <c r="Q1101" s="40" t="str" cm="1">
        <f t="array" ref="Q1101">IFERROR(_xlfn.LET(
_xlpm.CSVVal,_xlfn.XLOOKUP($A1101,CSV!$A:$A,CSV!AC:AC,""),
_xlpm.MacVal,_xlfn.XLOOKUP($A1101,Output_Mac!$A:$A,Output_Mac!U:U,""),
_xlpm.MyAuditVal,_xlfn.XLOOKUP($A1101,My_Audit!$A:$A,My_Audit!R:R,""),
_xlfn.IFS(_xlpm.MyAuditVal&lt;&gt;"",UPPER(_xlpm.MyAuditVal),_xlpm.MacVal&lt;&gt;"",_xlpm.MacVal,_xlpm.CSVVal&lt;&gt;"",_xlpm.CSVVal
)),"")</f>
        <v/>
      </c>
      <c r="R1101" s="40"/>
      <c r="S1101" s="40"/>
      <c r="T1101" s="40"/>
      <c r="U1101" s="40"/>
      <c r="V1101" s="40"/>
      <c r="W1101" s="40"/>
      <c r="X1101" s="41" t="str">
        <f>_xlfn.LET(
    _xlpm.MacVal, _xlfn.XLOOKUP($A1101, Output_Mac!$A:$A, Output_Mac!AB:AB, ""),
    _xlpm.MyAuditVal, _xlfn.XLOOKUP($A1101, My_Audit!$A:$A, My_Audit!N:N, ""),
    _xlfn.TEXTJOIN(", ", TRUE, _xlpm.MyAuditVal, _xlpm.MacVal)
)</f>
        <v/>
      </c>
    </row>
    <row r="1102" spans="1:24">
      <c r="A1102" s="40" t="str">
        <f>_xlfn.TEXTJOIN("",TRUE,Input!$B$2,ROW(My_Audit!A1101))</f>
        <v>X1101</v>
      </c>
      <c r="B1102" s="40" t="str">
        <f>_xlfn.TEXTJOIN("-",TRUE,"ITD",Input!$A$2,A1102)</f>
        <v>ITD-X1101</v>
      </c>
      <c r="C1102" s="40" t="str" cm="1">
        <f t="array" ref="C1102">IFERROR(_xlfn.LET(
_xlpm.CSVVal,_xlfn.XLOOKUP($A1102,CSV!$A:$A,CSV!B:B,""),
_xlpm.MacVal,_xlfn.XLOOKUP($A1102,Output_Mac!$A:$A,Output_Mac!B:B,""),
_xlpm.MyAuditVal,_xlfn.XLOOKUP($A1102,My_Audit!$A:$A,My_Audit!B:B,""),
_xlfn.IFS(_xlpm.MyAuditVal&lt;&gt;"",UPPER(_xlpm.MyAuditVal),_xlpm.MacVal&lt;&gt;"",_xlpm.MacVal,_xlpm.CSVVal&lt;&gt;"",_xlpm.CSVVal
)),"")</f>
        <v/>
      </c>
      <c r="D1102" s="40" t="str" cm="1">
        <f t="array" ref="D1102">IFERROR(_xlfn.LET(
_xlpm.CSVVal,_xlfn.XLOOKUP($A1102,CSV!$A:$A,CSV!D:D,""),
_xlpm.MacVal,_xlfn.XLOOKUP($A1102,Output_Mac!$A:$A,Output_Mac!C:C,""),
_xlpm.MyAuditVal,_xlfn.XLOOKUP($A1102,My_Audit!$A:$A,My_Audit!C:C,""),
_xlfn.IFS(_xlpm.MyAuditVal&lt;&gt;"",_xlpm.MyAuditVal,_xlpm.MacVal&lt;&gt;"",_xlpm.MacVal,_xlpm.CSVVal&lt;&gt;"",_xlpm.CSVVal
)),"")</f>
        <v/>
      </c>
      <c r="E1102" s="40" t="str">
        <f>_xlfn.XLOOKUP(A1102,My_Audit!A:A,My_Audit!D:D,"")</f>
        <v/>
      </c>
      <c r="F1102" s="40" t="str" cm="1">
        <f t="array" ref="F1102">IFERROR(_xlfn.LET(
_xlpm.CSVVal,_xlfn.XLOOKUP($A1102,CSV!$A:$A,CSV!F:F,""),
_xlpm.MacVal,_xlfn.XLOOKUP($A1102,Output_Mac!$A:$A,Output_Mac!E:E,""),
_xlpm.MyAuditVal,_xlfn.XLOOKUP($A1102,My_Audit!$A:$A,My_Audit!E:E,""),
_xlfn.IFS(_xlpm.MyAuditVal&lt;&gt;"",_xlpm.MyAuditVal,_xlpm.MacVal&lt;&gt;"",_xlpm.MacVal,_xlpm.CSVVal&lt;&gt;"",_xlpm.CSVVal
)),"")</f>
        <v/>
      </c>
      <c r="G1102" s="40" t="str" cm="1">
        <f t="array" ref="G1102">IFERROR(_xlfn.LET(
_xlpm.CSVVal,_xlfn.XLOOKUP($A1102,CSV!$A:$A,CSV!G:G,""),
_xlpm.MacVal,_xlfn.XLOOKUP($A1102,Output_Mac!$A:$A,Output_Mac!F:F,""),
_xlpm.MyAuditVal,_xlfn.XLOOKUP($A1102,My_Audit!$A:$A,My_Audit!F:F,""),
_xlfn.IFS(_xlpm.MyAuditVal&lt;&gt;"",_xlpm.MyAuditVal,_xlpm.MacVal&lt;&gt;"",_xlpm.MacVal,_xlpm.CSVVal&lt;&gt;"",PROPER(_xlpm.CSVVal)
)),"")</f>
        <v/>
      </c>
      <c r="H1102" s="40" t="str" cm="1">
        <f t="array" ref="H1102">IFERROR(_xlfn.LET(
_xlpm.CSVVal,_xlfn.XLOOKUP($A1102,CSV!$A:$A,CSV!H:H,""),
_xlpm.MacVal,_xlfn.XLOOKUP($A1102,Output_Mac!$A:$A,Output_Mac!H:H,""),
_xlpm.MyAuditVal,_xlfn.XLOOKUP($A1102,My_Audit!$A:$A,My_Audit!G:G,""),
_xlfn.IFS(_xlpm.MyAuditVal&lt;&gt;"",_xlpm.MyAuditVal,_xlpm.MacVal&lt;&gt;"",_xlpm.MacVal,_xlpm.CSVVal&lt;&gt;"",_xlpm.CSVVal
)),"")</f>
        <v/>
      </c>
      <c r="I1102" s="40" t="str">
        <f>_xlfn.XLOOKUP(A1102,Output_Mac!A:A,Output_Mac!I:I,"")</f>
        <v/>
      </c>
      <c r="J1102" s="40" t="str" cm="1">
        <f t="array" ref="J1102">IFERROR(_xlfn.LET(
_xlpm.CSVVal,_xlfn.XLOOKUP($A1102,CSV!$A:$A,CSV!I:I,""),
_xlpm.MacVal,_xlfn.XLOOKUP($A1102,Output_Mac!$A:$A,Output_Mac!J:J,""),
_xlpm.MyAuditVal,_xlfn.XLOOKUP($A1102,My_Audit!$A:$A,My_Audit!I:I,""),
_xlfn.IFS(_xlpm.MyAuditVal&lt;&gt;"",UPPER(_xlpm.MyAuditVal),_xlpm.MacVal&lt;&gt;"",_xlpm.MacVal,_xlpm.CSVVal&lt;&gt;"",_xlpm.CSVVal
)),"")</f>
        <v/>
      </c>
      <c r="K1102" s="40" t="str" cm="1">
        <f t="array" ref="K1102">IFERROR(_xlfn.LET(
_xlpm.CSVVal,_xlfn.XLOOKUP($A1102,CSV!$A:$A,CSV!K:K,""),
_xlpm.MacVal,_xlfn.XLOOKUP($A1102,Output_Mac!$A:$A,Output_Mac!K:K,""),
_xlpm.MyAuditVal,_xlfn.XLOOKUP($A1102,My_Audit!$A:$A,My_Audit!J:J,""),
_xlfn.IFS(_xlpm.MyAuditVal&lt;&gt;"",UPPER(_xlpm.MyAuditVal),_xlpm.MacVal&lt;&gt;"",_xlpm.MacVal,_xlpm.CSVVal&lt;&gt;"",_xlpm.CSVVal
)),"")</f>
        <v/>
      </c>
      <c r="L1102" s="40" t="str" cm="1">
        <f t="array" ref="L1102">IFERROR(_xlfn.LET(
_xlpm.CSVVal,_xlfn.XLOOKUP($A1102,CSV!$A:$A,CSV!P:P,""),
_xlpm.MacVal,_xlfn.XLOOKUP($A1102,Output_Mac!$A:$A,Output_Mac!L:L,""),
_xlpm.MyAuditVal,_xlfn.XLOOKUP($A1102,My_Audit!$A:$A,My_Audit!K:K,""),
_xlfn.IFS(_xlpm.MyAuditVal&lt;&gt;"",UPPER(_xlpm.MyAuditVal),_xlpm.MacVal&lt;&gt;"",_xlpm.MacVal,_xlpm.CSVVal&lt;&gt;"",_xlpm.CSVVal
)),"")</f>
        <v/>
      </c>
      <c r="M1102" s="40" t="str" cm="1">
        <f t="array" ref="M1102">IFERROR(_xlfn.LET(
_xlpm.CSVVal,_xlfn.XLOOKUP($A1102,CSV!$A:$A,CSV!Q:Q,""),
_xlpm.MacVal,_xlfn.XLOOKUP($A1102,Output_Mac!$A:$A,Output_Mac!M:M,""),
_xlpm.MyAuditVal,_xlfn.XLOOKUP($A1102,My_Audit!$A:$A,My_Audit!L:L,""),
_xlfn.IFS(_xlpm.MyAuditVal&lt;&gt;"",UPPER(_xlpm.MyAuditVal),_xlpm.MacVal&lt;&gt;"",_xlpm.MacVal,_xlpm.CSVVal&lt;&gt;"",_xlpm.CSVVal
)),"")</f>
        <v/>
      </c>
      <c r="N1102" s="40"/>
      <c r="O1102" s="40" t="str">
        <f>_xlfn.LET(
    _xlpm.CSVVal, _xlfn.XLOOKUP($A1102, CSV!$A:$A, CSV!AA:AA, ""),
    _xlpm.MacVal, _xlfn.XLOOKUP($A1102, Output_Mac!$A:$A, Output_Mac!S:S, ""),
    _xlpm.MyAuditVal, _xlfn.XLOOKUP($A1102, My_Audit!$A:$A, My_Audit!P:P, ""),
    _xlfn.TEXTJOIN(", ", TRUE, _xlpm.MyAuditVal, _xlpm.MacVal, _xlpm.CSVVal)
)</f>
        <v/>
      </c>
      <c r="P1102" s="40" t="str" cm="1">
        <f t="array" ref="P1102">IFERROR(_xlfn.LET(
_xlpm.CSVVal,_xlfn.XLOOKUP($A1102,CSV!$A:$A,CSV!AB:AB,""),
_xlpm.MacVal,_xlfn.XLOOKUP($A1102,Output_Mac!$A:$A,Output_Mac!T:T,""),
_xlpm.MyAuditVal,_xlfn.XLOOKUP($A1102,My_Audit!$A:$A,My_Audit!Q:Q,""),
_xlfn.IFS(_xlpm.MyAuditVal&lt;&gt;"",UPPER(_xlpm.MyAuditVal),_xlpm.MacVal&lt;&gt;"",_xlpm.MacVal,_xlpm.CSVVal&lt;&gt;"",_xlpm.CSVVal
)),"No")</f>
        <v>No</v>
      </c>
      <c r="Q1102" s="40" t="str" cm="1">
        <f t="array" ref="Q1102">IFERROR(_xlfn.LET(
_xlpm.CSVVal,_xlfn.XLOOKUP($A1102,CSV!$A:$A,CSV!AC:AC,""),
_xlpm.MacVal,_xlfn.XLOOKUP($A1102,Output_Mac!$A:$A,Output_Mac!U:U,""),
_xlpm.MyAuditVal,_xlfn.XLOOKUP($A1102,My_Audit!$A:$A,My_Audit!R:R,""),
_xlfn.IFS(_xlpm.MyAuditVal&lt;&gt;"",UPPER(_xlpm.MyAuditVal),_xlpm.MacVal&lt;&gt;"",_xlpm.MacVal,_xlpm.CSVVal&lt;&gt;"",_xlpm.CSVVal
)),"")</f>
        <v/>
      </c>
      <c r="R1102" s="40"/>
      <c r="S1102" s="40"/>
      <c r="T1102" s="40"/>
      <c r="U1102" s="40"/>
      <c r="V1102" s="40"/>
      <c r="W1102" s="40"/>
      <c r="X1102" s="41" t="str">
        <f>_xlfn.LET(
    _xlpm.MacVal, _xlfn.XLOOKUP($A1102, Output_Mac!$A:$A, Output_Mac!AB:AB, ""),
    _xlpm.MyAuditVal, _xlfn.XLOOKUP($A1102, My_Audit!$A:$A, My_Audit!N:N, ""),
    _xlfn.TEXTJOIN(", ", TRUE, _xlpm.MyAuditVal, _xlpm.MacVal)
)</f>
        <v/>
      </c>
    </row>
    <row r="1103" spans="1:24">
      <c r="A1103" s="40" t="str">
        <f>_xlfn.TEXTJOIN("",TRUE,Input!$B$2,ROW(My_Audit!A1102))</f>
        <v>X1102</v>
      </c>
      <c r="B1103" s="40" t="str">
        <f>_xlfn.TEXTJOIN("-",TRUE,"ITD",Input!$A$2,A1103)</f>
        <v>ITD-X1102</v>
      </c>
      <c r="C1103" s="40" t="str" cm="1">
        <f t="array" ref="C1103">IFERROR(_xlfn.LET(
_xlpm.CSVVal,_xlfn.XLOOKUP($A1103,CSV!$A:$A,CSV!B:B,""),
_xlpm.MacVal,_xlfn.XLOOKUP($A1103,Output_Mac!$A:$A,Output_Mac!B:B,""),
_xlpm.MyAuditVal,_xlfn.XLOOKUP($A1103,My_Audit!$A:$A,My_Audit!B:B,""),
_xlfn.IFS(_xlpm.MyAuditVal&lt;&gt;"",UPPER(_xlpm.MyAuditVal),_xlpm.MacVal&lt;&gt;"",_xlpm.MacVal,_xlpm.CSVVal&lt;&gt;"",_xlpm.CSVVal
)),"")</f>
        <v/>
      </c>
      <c r="D1103" s="40" t="str" cm="1">
        <f t="array" ref="D1103">IFERROR(_xlfn.LET(
_xlpm.CSVVal,_xlfn.XLOOKUP($A1103,CSV!$A:$A,CSV!D:D,""),
_xlpm.MacVal,_xlfn.XLOOKUP($A1103,Output_Mac!$A:$A,Output_Mac!C:C,""),
_xlpm.MyAuditVal,_xlfn.XLOOKUP($A1103,My_Audit!$A:$A,My_Audit!C:C,""),
_xlfn.IFS(_xlpm.MyAuditVal&lt;&gt;"",_xlpm.MyAuditVal,_xlpm.MacVal&lt;&gt;"",_xlpm.MacVal,_xlpm.CSVVal&lt;&gt;"",_xlpm.CSVVal
)),"")</f>
        <v/>
      </c>
      <c r="E1103" s="40" t="str">
        <f>_xlfn.XLOOKUP(A1103,My_Audit!A:A,My_Audit!D:D,"")</f>
        <v/>
      </c>
      <c r="F1103" s="40" t="str" cm="1">
        <f t="array" ref="F1103">IFERROR(_xlfn.LET(
_xlpm.CSVVal,_xlfn.XLOOKUP($A1103,CSV!$A:$A,CSV!F:F,""),
_xlpm.MacVal,_xlfn.XLOOKUP($A1103,Output_Mac!$A:$A,Output_Mac!E:E,""),
_xlpm.MyAuditVal,_xlfn.XLOOKUP($A1103,My_Audit!$A:$A,My_Audit!E:E,""),
_xlfn.IFS(_xlpm.MyAuditVal&lt;&gt;"",_xlpm.MyAuditVal,_xlpm.MacVal&lt;&gt;"",_xlpm.MacVal,_xlpm.CSVVal&lt;&gt;"",_xlpm.CSVVal
)),"")</f>
        <v/>
      </c>
      <c r="G1103" s="40" t="str" cm="1">
        <f t="array" ref="G1103">IFERROR(_xlfn.LET(
_xlpm.CSVVal,_xlfn.XLOOKUP($A1103,CSV!$A:$A,CSV!G:G,""),
_xlpm.MacVal,_xlfn.XLOOKUP($A1103,Output_Mac!$A:$A,Output_Mac!F:F,""),
_xlpm.MyAuditVal,_xlfn.XLOOKUP($A1103,My_Audit!$A:$A,My_Audit!F:F,""),
_xlfn.IFS(_xlpm.MyAuditVal&lt;&gt;"",_xlpm.MyAuditVal,_xlpm.MacVal&lt;&gt;"",_xlpm.MacVal,_xlpm.CSVVal&lt;&gt;"",PROPER(_xlpm.CSVVal)
)),"")</f>
        <v/>
      </c>
      <c r="H1103" s="40" t="str" cm="1">
        <f t="array" ref="H1103">IFERROR(_xlfn.LET(
_xlpm.CSVVal,_xlfn.XLOOKUP($A1103,CSV!$A:$A,CSV!H:H,""),
_xlpm.MacVal,_xlfn.XLOOKUP($A1103,Output_Mac!$A:$A,Output_Mac!H:H,""),
_xlpm.MyAuditVal,_xlfn.XLOOKUP($A1103,My_Audit!$A:$A,My_Audit!G:G,""),
_xlfn.IFS(_xlpm.MyAuditVal&lt;&gt;"",_xlpm.MyAuditVal,_xlpm.MacVal&lt;&gt;"",_xlpm.MacVal,_xlpm.CSVVal&lt;&gt;"",_xlpm.CSVVal
)),"")</f>
        <v/>
      </c>
      <c r="I1103" s="40" t="str">
        <f>_xlfn.XLOOKUP(A1103,Output_Mac!A:A,Output_Mac!I:I,"")</f>
        <v/>
      </c>
      <c r="J1103" s="40" t="str" cm="1">
        <f t="array" ref="J1103">IFERROR(_xlfn.LET(
_xlpm.CSVVal,_xlfn.XLOOKUP($A1103,CSV!$A:$A,CSV!I:I,""),
_xlpm.MacVal,_xlfn.XLOOKUP($A1103,Output_Mac!$A:$A,Output_Mac!J:J,""),
_xlpm.MyAuditVal,_xlfn.XLOOKUP($A1103,My_Audit!$A:$A,My_Audit!I:I,""),
_xlfn.IFS(_xlpm.MyAuditVal&lt;&gt;"",UPPER(_xlpm.MyAuditVal),_xlpm.MacVal&lt;&gt;"",_xlpm.MacVal,_xlpm.CSVVal&lt;&gt;"",_xlpm.CSVVal
)),"")</f>
        <v/>
      </c>
      <c r="K1103" s="40" t="str" cm="1">
        <f t="array" ref="K1103">IFERROR(_xlfn.LET(
_xlpm.CSVVal,_xlfn.XLOOKUP($A1103,CSV!$A:$A,CSV!K:K,""),
_xlpm.MacVal,_xlfn.XLOOKUP($A1103,Output_Mac!$A:$A,Output_Mac!K:K,""),
_xlpm.MyAuditVal,_xlfn.XLOOKUP($A1103,My_Audit!$A:$A,My_Audit!J:J,""),
_xlfn.IFS(_xlpm.MyAuditVal&lt;&gt;"",UPPER(_xlpm.MyAuditVal),_xlpm.MacVal&lt;&gt;"",_xlpm.MacVal,_xlpm.CSVVal&lt;&gt;"",_xlpm.CSVVal
)),"")</f>
        <v/>
      </c>
      <c r="L1103" s="40" t="str" cm="1">
        <f t="array" ref="L1103">IFERROR(_xlfn.LET(
_xlpm.CSVVal,_xlfn.XLOOKUP($A1103,CSV!$A:$A,CSV!P:P,""),
_xlpm.MacVal,_xlfn.XLOOKUP($A1103,Output_Mac!$A:$A,Output_Mac!L:L,""),
_xlpm.MyAuditVal,_xlfn.XLOOKUP($A1103,My_Audit!$A:$A,My_Audit!K:K,""),
_xlfn.IFS(_xlpm.MyAuditVal&lt;&gt;"",UPPER(_xlpm.MyAuditVal),_xlpm.MacVal&lt;&gt;"",_xlpm.MacVal,_xlpm.CSVVal&lt;&gt;"",_xlpm.CSVVal
)),"")</f>
        <v/>
      </c>
      <c r="M1103" s="40" t="str" cm="1">
        <f t="array" ref="M1103">IFERROR(_xlfn.LET(
_xlpm.CSVVal,_xlfn.XLOOKUP($A1103,CSV!$A:$A,CSV!Q:Q,""),
_xlpm.MacVal,_xlfn.XLOOKUP($A1103,Output_Mac!$A:$A,Output_Mac!M:M,""),
_xlpm.MyAuditVal,_xlfn.XLOOKUP($A1103,My_Audit!$A:$A,My_Audit!L:L,""),
_xlfn.IFS(_xlpm.MyAuditVal&lt;&gt;"",UPPER(_xlpm.MyAuditVal),_xlpm.MacVal&lt;&gt;"",_xlpm.MacVal,_xlpm.CSVVal&lt;&gt;"",_xlpm.CSVVal
)),"")</f>
        <v/>
      </c>
      <c r="N1103" s="40"/>
      <c r="O1103" s="40" t="str">
        <f>_xlfn.LET(
    _xlpm.CSVVal, _xlfn.XLOOKUP($A1103, CSV!$A:$A, CSV!AA:AA, ""),
    _xlpm.MacVal, _xlfn.XLOOKUP($A1103, Output_Mac!$A:$A, Output_Mac!S:S, ""),
    _xlpm.MyAuditVal, _xlfn.XLOOKUP($A1103, My_Audit!$A:$A, My_Audit!P:P, ""),
    _xlfn.TEXTJOIN(", ", TRUE, _xlpm.MyAuditVal, _xlpm.MacVal, _xlpm.CSVVal)
)</f>
        <v/>
      </c>
      <c r="P1103" s="40" t="str" cm="1">
        <f t="array" ref="P1103">IFERROR(_xlfn.LET(
_xlpm.CSVVal,_xlfn.XLOOKUP($A1103,CSV!$A:$A,CSV!AB:AB,""),
_xlpm.MacVal,_xlfn.XLOOKUP($A1103,Output_Mac!$A:$A,Output_Mac!T:T,""),
_xlpm.MyAuditVal,_xlfn.XLOOKUP($A1103,My_Audit!$A:$A,My_Audit!Q:Q,""),
_xlfn.IFS(_xlpm.MyAuditVal&lt;&gt;"",UPPER(_xlpm.MyAuditVal),_xlpm.MacVal&lt;&gt;"",_xlpm.MacVal,_xlpm.CSVVal&lt;&gt;"",_xlpm.CSVVal
)),"No")</f>
        <v>No</v>
      </c>
      <c r="Q1103" s="40" t="str" cm="1">
        <f t="array" ref="Q1103">IFERROR(_xlfn.LET(
_xlpm.CSVVal,_xlfn.XLOOKUP($A1103,CSV!$A:$A,CSV!AC:AC,""),
_xlpm.MacVal,_xlfn.XLOOKUP($A1103,Output_Mac!$A:$A,Output_Mac!U:U,""),
_xlpm.MyAuditVal,_xlfn.XLOOKUP($A1103,My_Audit!$A:$A,My_Audit!R:R,""),
_xlfn.IFS(_xlpm.MyAuditVal&lt;&gt;"",UPPER(_xlpm.MyAuditVal),_xlpm.MacVal&lt;&gt;"",_xlpm.MacVal,_xlpm.CSVVal&lt;&gt;"",_xlpm.CSVVal
)),"")</f>
        <v/>
      </c>
      <c r="R1103" s="40"/>
      <c r="S1103" s="40"/>
      <c r="T1103" s="40"/>
      <c r="U1103" s="40"/>
      <c r="V1103" s="40"/>
      <c r="W1103" s="40"/>
      <c r="X1103" s="41" t="str">
        <f>_xlfn.LET(
    _xlpm.MacVal, _xlfn.XLOOKUP($A1103, Output_Mac!$A:$A, Output_Mac!AB:AB, ""),
    _xlpm.MyAuditVal, _xlfn.XLOOKUP($A1103, My_Audit!$A:$A, My_Audit!N:N, ""),
    _xlfn.TEXTJOIN(", ", TRUE, _xlpm.MyAuditVal, _xlpm.MacVal)
)</f>
        <v/>
      </c>
    </row>
    <row r="1104" spans="1:24">
      <c r="A1104" s="40" t="str">
        <f>_xlfn.TEXTJOIN("",TRUE,Input!$B$2,ROW(My_Audit!A1103))</f>
        <v>X1103</v>
      </c>
      <c r="B1104" s="40" t="str">
        <f>_xlfn.TEXTJOIN("-",TRUE,"ITD",Input!$A$2,A1104)</f>
        <v>ITD-X1103</v>
      </c>
      <c r="C1104" s="40" t="str" cm="1">
        <f t="array" ref="C1104">IFERROR(_xlfn.LET(
_xlpm.CSVVal,_xlfn.XLOOKUP($A1104,CSV!$A:$A,CSV!B:B,""),
_xlpm.MacVal,_xlfn.XLOOKUP($A1104,Output_Mac!$A:$A,Output_Mac!B:B,""),
_xlpm.MyAuditVal,_xlfn.XLOOKUP($A1104,My_Audit!$A:$A,My_Audit!B:B,""),
_xlfn.IFS(_xlpm.MyAuditVal&lt;&gt;"",UPPER(_xlpm.MyAuditVal),_xlpm.MacVal&lt;&gt;"",_xlpm.MacVal,_xlpm.CSVVal&lt;&gt;"",_xlpm.CSVVal
)),"")</f>
        <v/>
      </c>
      <c r="D1104" s="40" t="str" cm="1">
        <f t="array" ref="D1104">IFERROR(_xlfn.LET(
_xlpm.CSVVal,_xlfn.XLOOKUP($A1104,CSV!$A:$A,CSV!D:D,""),
_xlpm.MacVal,_xlfn.XLOOKUP($A1104,Output_Mac!$A:$A,Output_Mac!C:C,""),
_xlpm.MyAuditVal,_xlfn.XLOOKUP($A1104,My_Audit!$A:$A,My_Audit!C:C,""),
_xlfn.IFS(_xlpm.MyAuditVal&lt;&gt;"",_xlpm.MyAuditVal,_xlpm.MacVal&lt;&gt;"",_xlpm.MacVal,_xlpm.CSVVal&lt;&gt;"",_xlpm.CSVVal
)),"")</f>
        <v/>
      </c>
      <c r="E1104" s="40" t="str">
        <f>_xlfn.XLOOKUP(A1104,My_Audit!A:A,My_Audit!D:D,"")</f>
        <v/>
      </c>
      <c r="F1104" s="40" t="str" cm="1">
        <f t="array" ref="F1104">IFERROR(_xlfn.LET(
_xlpm.CSVVal,_xlfn.XLOOKUP($A1104,CSV!$A:$A,CSV!F:F,""),
_xlpm.MacVal,_xlfn.XLOOKUP($A1104,Output_Mac!$A:$A,Output_Mac!E:E,""),
_xlpm.MyAuditVal,_xlfn.XLOOKUP($A1104,My_Audit!$A:$A,My_Audit!E:E,""),
_xlfn.IFS(_xlpm.MyAuditVal&lt;&gt;"",_xlpm.MyAuditVal,_xlpm.MacVal&lt;&gt;"",_xlpm.MacVal,_xlpm.CSVVal&lt;&gt;"",_xlpm.CSVVal
)),"")</f>
        <v/>
      </c>
      <c r="G1104" s="40" t="str" cm="1">
        <f t="array" ref="G1104">IFERROR(_xlfn.LET(
_xlpm.CSVVal,_xlfn.XLOOKUP($A1104,CSV!$A:$A,CSV!G:G,""),
_xlpm.MacVal,_xlfn.XLOOKUP($A1104,Output_Mac!$A:$A,Output_Mac!F:F,""),
_xlpm.MyAuditVal,_xlfn.XLOOKUP($A1104,My_Audit!$A:$A,My_Audit!F:F,""),
_xlfn.IFS(_xlpm.MyAuditVal&lt;&gt;"",_xlpm.MyAuditVal,_xlpm.MacVal&lt;&gt;"",_xlpm.MacVal,_xlpm.CSVVal&lt;&gt;"",PROPER(_xlpm.CSVVal)
)),"")</f>
        <v/>
      </c>
      <c r="H1104" s="40" t="str" cm="1">
        <f t="array" ref="H1104">IFERROR(_xlfn.LET(
_xlpm.CSVVal,_xlfn.XLOOKUP($A1104,CSV!$A:$A,CSV!H:H,""),
_xlpm.MacVal,_xlfn.XLOOKUP($A1104,Output_Mac!$A:$A,Output_Mac!H:H,""),
_xlpm.MyAuditVal,_xlfn.XLOOKUP($A1104,My_Audit!$A:$A,My_Audit!G:G,""),
_xlfn.IFS(_xlpm.MyAuditVal&lt;&gt;"",_xlpm.MyAuditVal,_xlpm.MacVal&lt;&gt;"",_xlpm.MacVal,_xlpm.CSVVal&lt;&gt;"",_xlpm.CSVVal
)),"")</f>
        <v/>
      </c>
      <c r="I1104" s="40" t="str">
        <f>_xlfn.XLOOKUP(A1104,Output_Mac!A:A,Output_Mac!I:I,"")</f>
        <v/>
      </c>
      <c r="J1104" s="40" t="str" cm="1">
        <f t="array" ref="J1104">IFERROR(_xlfn.LET(
_xlpm.CSVVal,_xlfn.XLOOKUP($A1104,CSV!$A:$A,CSV!I:I,""),
_xlpm.MacVal,_xlfn.XLOOKUP($A1104,Output_Mac!$A:$A,Output_Mac!J:J,""),
_xlpm.MyAuditVal,_xlfn.XLOOKUP($A1104,My_Audit!$A:$A,My_Audit!I:I,""),
_xlfn.IFS(_xlpm.MyAuditVal&lt;&gt;"",UPPER(_xlpm.MyAuditVal),_xlpm.MacVal&lt;&gt;"",_xlpm.MacVal,_xlpm.CSVVal&lt;&gt;"",_xlpm.CSVVal
)),"")</f>
        <v/>
      </c>
      <c r="K1104" s="40" t="str" cm="1">
        <f t="array" ref="K1104">IFERROR(_xlfn.LET(
_xlpm.CSVVal,_xlfn.XLOOKUP($A1104,CSV!$A:$A,CSV!K:K,""),
_xlpm.MacVal,_xlfn.XLOOKUP($A1104,Output_Mac!$A:$A,Output_Mac!K:K,""),
_xlpm.MyAuditVal,_xlfn.XLOOKUP($A1104,My_Audit!$A:$A,My_Audit!J:J,""),
_xlfn.IFS(_xlpm.MyAuditVal&lt;&gt;"",UPPER(_xlpm.MyAuditVal),_xlpm.MacVal&lt;&gt;"",_xlpm.MacVal,_xlpm.CSVVal&lt;&gt;"",_xlpm.CSVVal
)),"")</f>
        <v/>
      </c>
      <c r="L1104" s="40" t="str" cm="1">
        <f t="array" ref="L1104">IFERROR(_xlfn.LET(
_xlpm.CSVVal,_xlfn.XLOOKUP($A1104,CSV!$A:$A,CSV!P:P,""),
_xlpm.MacVal,_xlfn.XLOOKUP($A1104,Output_Mac!$A:$A,Output_Mac!L:L,""),
_xlpm.MyAuditVal,_xlfn.XLOOKUP($A1104,My_Audit!$A:$A,My_Audit!K:K,""),
_xlfn.IFS(_xlpm.MyAuditVal&lt;&gt;"",UPPER(_xlpm.MyAuditVal),_xlpm.MacVal&lt;&gt;"",_xlpm.MacVal,_xlpm.CSVVal&lt;&gt;"",_xlpm.CSVVal
)),"")</f>
        <v/>
      </c>
      <c r="M1104" s="40" t="str" cm="1">
        <f t="array" ref="M1104">IFERROR(_xlfn.LET(
_xlpm.CSVVal,_xlfn.XLOOKUP($A1104,CSV!$A:$A,CSV!Q:Q,""),
_xlpm.MacVal,_xlfn.XLOOKUP($A1104,Output_Mac!$A:$A,Output_Mac!M:M,""),
_xlpm.MyAuditVal,_xlfn.XLOOKUP($A1104,My_Audit!$A:$A,My_Audit!L:L,""),
_xlfn.IFS(_xlpm.MyAuditVal&lt;&gt;"",UPPER(_xlpm.MyAuditVal),_xlpm.MacVal&lt;&gt;"",_xlpm.MacVal,_xlpm.CSVVal&lt;&gt;"",_xlpm.CSVVal
)),"")</f>
        <v/>
      </c>
      <c r="N1104" s="40"/>
      <c r="O1104" s="40" t="str">
        <f>_xlfn.LET(
    _xlpm.CSVVal, _xlfn.XLOOKUP($A1104, CSV!$A:$A, CSV!AA:AA, ""),
    _xlpm.MacVal, _xlfn.XLOOKUP($A1104, Output_Mac!$A:$A, Output_Mac!S:S, ""),
    _xlpm.MyAuditVal, _xlfn.XLOOKUP($A1104, My_Audit!$A:$A, My_Audit!P:P, ""),
    _xlfn.TEXTJOIN(", ", TRUE, _xlpm.MyAuditVal, _xlpm.MacVal, _xlpm.CSVVal)
)</f>
        <v/>
      </c>
      <c r="P1104" s="40" t="str" cm="1">
        <f t="array" ref="P1104">IFERROR(_xlfn.LET(
_xlpm.CSVVal,_xlfn.XLOOKUP($A1104,CSV!$A:$A,CSV!AB:AB,""),
_xlpm.MacVal,_xlfn.XLOOKUP($A1104,Output_Mac!$A:$A,Output_Mac!T:T,""),
_xlpm.MyAuditVal,_xlfn.XLOOKUP($A1104,My_Audit!$A:$A,My_Audit!Q:Q,""),
_xlfn.IFS(_xlpm.MyAuditVal&lt;&gt;"",UPPER(_xlpm.MyAuditVal),_xlpm.MacVal&lt;&gt;"",_xlpm.MacVal,_xlpm.CSVVal&lt;&gt;"",_xlpm.CSVVal
)),"No")</f>
        <v>No</v>
      </c>
      <c r="Q1104" s="40" t="str" cm="1">
        <f t="array" ref="Q1104">IFERROR(_xlfn.LET(
_xlpm.CSVVal,_xlfn.XLOOKUP($A1104,CSV!$A:$A,CSV!AC:AC,""),
_xlpm.MacVal,_xlfn.XLOOKUP($A1104,Output_Mac!$A:$A,Output_Mac!U:U,""),
_xlpm.MyAuditVal,_xlfn.XLOOKUP($A1104,My_Audit!$A:$A,My_Audit!R:R,""),
_xlfn.IFS(_xlpm.MyAuditVal&lt;&gt;"",UPPER(_xlpm.MyAuditVal),_xlpm.MacVal&lt;&gt;"",_xlpm.MacVal,_xlpm.CSVVal&lt;&gt;"",_xlpm.CSVVal
)),"")</f>
        <v/>
      </c>
      <c r="R1104" s="40"/>
      <c r="S1104" s="40"/>
      <c r="T1104" s="40"/>
      <c r="U1104" s="40"/>
      <c r="V1104" s="40"/>
      <c r="W1104" s="40"/>
      <c r="X1104" s="41" t="str">
        <f>_xlfn.LET(
    _xlpm.MacVal, _xlfn.XLOOKUP($A1104, Output_Mac!$A:$A, Output_Mac!AB:AB, ""),
    _xlpm.MyAuditVal, _xlfn.XLOOKUP($A1104, My_Audit!$A:$A, My_Audit!N:N, ""),
    _xlfn.TEXTJOIN(", ", TRUE, _xlpm.MyAuditVal, _xlpm.MacVal)
)</f>
        <v/>
      </c>
    </row>
    <row r="1105" spans="1:24">
      <c r="A1105" s="40" t="str">
        <f>_xlfn.TEXTJOIN("",TRUE,Input!$B$2,ROW(My_Audit!A1104))</f>
        <v>X1104</v>
      </c>
      <c r="B1105" s="40" t="str">
        <f>_xlfn.TEXTJOIN("-",TRUE,"ITD",Input!$A$2,A1105)</f>
        <v>ITD-X1104</v>
      </c>
      <c r="C1105" s="40" t="str" cm="1">
        <f t="array" ref="C1105">IFERROR(_xlfn.LET(
_xlpm.CSVVal,_xlfn.XLOOKUP($A1105,CSV!$A:$A,CSV!B:B,""),
_xlpm.MacVal,_xlfn.XLOOKUP($A1105,Output_Mac!$A:$A,Output_Mac!B:B,""),
_xlpm.MyAuditVal,_xlfn.XLOOKUP($A1105,My_Audit!$A:$A,My_Audit!B:B,""),
_xlfn.IFS(_xlpm.MyAuditVal&lt;&gt;"",UPPER(_xlpm.MyAuditVal),_xlpm.MacVal&lt;&gt;"",_xlpm.MacVal,_xlpm.CSVVal&lt;&gt;"",_xlpm.CSVVal
)),"")</f>
        <v/>
      </c>
      <c r="D1105" s="40" t="str" cm="1">
        <f t="array" ref="D1105">IFERROR(_xlfn.LET(
_xlpm.CSVVal,_xlfn.XLOOKUP($A1105,CSV!$A:$A,CSV!D:D,""),
_xlpm.MacVal,_xlfn.XLOOKUP($A1105,Output_Mac!$A:$A,Output_Mac!C:C,""),
_xlpm.MyAuditVal,_xlfn.XLOOKUP($A1105,My_Audit!$A:$A,My_Audit!C:C,""),
_xlfn.IFS(_xlpm.MyAuditVal&lt;&gt;"",_xlpm.MyAuditVal,_xlpm.MacVal&lt;&gt;"",_xlpm.MacVal,_xlpm.CSVVal&lt;&gt;"",_xlpm.CSVVal
)),"")</f>
        <v/>
      </c>
      <c r="E1105" s="40" t="str">
        <f>_xlfn.XLOOKUP(A1105,My_Audit!A:A,My_Audit!D:D,"")</f>
        <v/>
      </c>
      <c r="F1105" s="40" t="str" cm="1">
        <f t="array" ref="F1105">IFERROR(_xlfn.LET(
_xlpm.CSVVal,_xlfn.XLOOKUP($A1105,CSV!$A:$A,CSV!F:F,""),
_xlpm.MacVal,_xlfn.XLOOKUP($A1105,Output_Mac!$A:$A,Output_Mac!E:E,""),
_xlpm.MyAuditVal,_xlfn.XLOOKUP($A1105,My_Audit!$A:$A,My_Audit!E:E,""),
_xlfn.IFS(_xlpm.MyAuditVal&lt;&gt;"",_xlpm.MyAuditVal,_xlpm.MacVal&lt;&gt;"",_xlpm.MacVal,_xlpm.CSVVal&lt;&gt;"",_xlpm.CSVVal
)),"")</f>
        <v/>
      </c>
      <c r="G1105" s="40" t="str" cm="1">
        <f t="array" ref="G1105">IFERROR(_xlfn.LET(
_xlpm.CSVVal,_xlfn.XLOOKUP($A1105,CSV!$A:$A,CSV!G:G,""),
_xlpm.MacVal,_xlfn.XLOOKUP($A1105,Output_Mac!$A:$A,Output_Mac!F:F,""),
_xlpm.MyAuditVal,_xlfn.XLOOKUP($A1105,My_Audit!$A:$A,My_Audit!F:F,""),
_xlfn.IFS(_xlpm.MyAuditVal&lt;&gt;"",_xlpm.MyAuditVal,_xlpm.MacVal&lt;&gt;"",_xlpm.MacVal,_xlpm.CSVVal&lt;&gt;"",PROPER(_xlpm.CSVVal)
)),"")</f>
        <v/>
      </c>
      <c r="H1105" s="40" t="str" cm="1">
        <f t="array" ref="H1105">IFERROR(_xlfn.LET(
_xlpm.CSVVal,_xlfn.XLOOKUP($A1105,CSV!$A:$A,CSV!H:H,""),
_xlpm.MacVal,_xlfn.XLOOKUP($A1105,Output_Mac!$A:$A,Output_Mac!H:H,""),
_xlpm.MyAuditVal,_xlfn.XLOOKUP($A1105,My_Audit!$A:$A,My_Audit!G:G,""),
_xlfn.IFS(_xlpm.MyAuditVal&lt;&gt;"",_xlpm.MyAuditVal,_xlpm.MacVal&lt;&gt;"",_xlpm.MacVal,_xlpm.CSVVal&lt;&gt;"",_xlpm.CSVVal
)),"")</f>
        <v/>
      </c>
      <c r="I1105" s="40" t="str">
        <f>_xlfn.XLOOKUP(A1105,Output_Mac!A:A,Output_Mac!I:I,"")</f>
        <v/>
      </c>
      <c r="J1105" s="40" t="str" cm="1">
        <f t="array" ref="J1105">IFERROR(_xlfn.LET(
_xlpm.CSVVal,_xlfn.XLOOKUP($A1105,CSV!$A:$A,CSV!I:I,""),
_xlpm.MacVal,_xlfn.XLOOKUP($A1105,Output_Mac!$A:$A,Output_Mac!J:J,""),
_xlpm.MyAuditVal,_xlfn.XLOOKUP($A1105,My_Audit!$A:$A,My_Audit!I:I,""),
_xlfn.IFS(_xlpm.MyAuditVal&lt;&gt;"",UPPER(_xlpm.MyAuditVal),_xlpm.MacVal&lt;&gt;"",_xlpm.MacVal,_xlpm.CSVVal&lt;&gt;"",_xlpm.CSVVal
)),"")</f>
        <v/>
      </c>
      <c r="K1105" s="40" t="str" cm="1">
        <f t="array" ref="K1105">IFERROR(_xlfn.LET(
_xlpm.CSVVal,_xlfn.XLOOKUP($A1105,CSV!$A:$A,CSV!K:K,""),
_xlpm.MacVal,_xlfn.XLOOKUP($A1105,Output_Mac!$A:$A,Output_Mac!K:K,""),
_xlpm.MyAuditVal,_xlfn.XLOOKUP($A1105,My_Audit!$A:$A,My_Audit!J:J,""),
_xlfn.IFS(_xlpm.MyAuditVal&lt;&gt;"",UPPER(_xlpm.MyAuditVal),_xlpm.MacVal&lt;&gt;"",_xlpm.MacVal,_xlpm.CSVVal&lt;&gt;"",_xlpm.CSVVal
)),"")</f>
        <v/>
      </c>
      <c r="L1105" s="40" t="str" cm="1">
        <f t="array" ref="L1105">IFERROR(_xlfn.LET(
_xlpm.CSVVal,_xlfn.XLOOKUP($A1105,CSV!$A:$A,CSV!P:P,""),
_xlpm.MacVal,_xlfn.XLOOKUP($A1105,Output_Mac!$A:$A,Output_Mac!L:L,""),
_xlpm.MyAuditVal,_xlfn.XLOOKUP($A1105,My_Audit!$A:$A,My_Audit!K:K,""),
_xlfn.IFS(_xlpm.MyAuditVal&lt;&gt;"",UPPER(_xlpm.MyAuditVal),_xlpm.MacVal&lt;&gt;"",_xlpm.MacVal,_xlpm.CSVVal&lt;&gt;"",_xlpm.CSVVal
)),"")</f>
        <v/>
      </c>
      <c r="M1105" s="40" t="str" cm="1">
        <f t="array" ref="M1105">IFERROR(_xlfn.LET(
_xlpm.CSVVal,_xlfn.XLOOKUP($A1105,CSV!$A:$A,CSV!Q:Q,""),
_xlpm.MacVal,_xlfn.XLOOKUP($A1105,Output_Mac!$A:$A,Output_Mac!M:M,""),
_xlpm.MyAuditVal,_xlfn.XLOOKUP($A1105,My_Audit!$A:$A,My_Audit!L:L,""),
_xlfn.IFS(_xlpm.MyAuditVal&lt;&gt;"",UPPER(_xlpm.MyAuditVal),_xlpm.MacVal&lt;&gt;"",_xlpm.MacVal,_xlpm.CSVVal&lt;&gt;"",_xlpm.CSVVal
)),"")</f>
        <v/>
      </c>
      <c r="N1105" s="40"/>
      <c r="O1105" s="40" t="str">
        <f>_xlfn.LET(
    _xlpm.CSVVal, _xlfn.XLOOKUP($A1105, CSV!$A:$A, CSV!AA:AA, ""),
    _xlpm.MacVal, _xlfn.XLOOKUP($A1105, Output_Mac!$A:$A, Output_Mac!S:S, ""),
    _xlpm.MyAuditVal, _xlfn.XLOOKUP($A1105, My_Audit!$A:$A, My_Audit!P:P, ""),
    _xlfn.TEXTJOIN(", ", TRUE, _xlpm.MyAuditVal, _xlpm.MacVal, _xlpm.CSVVal)
)</f>
        <v/>
      </c>
      <c r="P1105" s="40" t="str" cm="1">
        <f t="array" ref="P1105">IFERROR(_xlfn.LET(
_xlpm.CSVVal,_xlfn.XLOOKUP($A1105,CSV!$A:$A,CSV!AB:AB,""),
_xlpm.MacVal,_xlfn.XLOOKUP($A1105,Output_Mac!$A:$A,Output_Mac!T:T,""),
_xlpm.MyAuditVal,_xlfn.XLOOKUP($A1105,My_Audit!$A:$A,My_Audit!Q:Q,""),
_xlfn.IFS(_xlpm.MyAuditVal&lt;&gt;"",UPPER(_xlpm.MyAuditVal),_xlpm.MacVal&lt;&gt;"",_xlpm.MacVal,_xlpm.CSVVal&lt;&gt;"",_xlpm.CSVVal
)),"No")</f>
        <v>No</v>
      </c>
      <c r="Q1105" s="40" t="str" cm="1">
        <f t="array" ref="Q1105">IFERROR(_xlfn.LET(
_xlpm.CSVVal,_xlfn.XLOOKUP($A1105,CSV!$A:$A,CSV!AC:AC,""),
_xlpm.MacVal,_xlfn.XLOOKUP($A1105,Output_Mac!$A:$A,Output_Mac!U:U,""),
_xlpm.MyAuditVal,_xlfn.XLOOKUP($A1105,My_Audit!$A:$A,My_Audit!R:R,""),
_xlfn.IFS(_xlpm.MyAuditVal&lt;&gt;"",UPPER(_xlpm.MyAuditVal),_xlpm.MacVal&lt;&gt;"",_xlpm.MacVal,_xlpm.CSVVal&lt;&gt;"",_xlpm.CSVVal
)),"")</f>
        <v/>
      </c>
      <c r="R1105" s="40"/>
      <c r="S1105" s="40"/>
      <c r="T1105" s="40"/>
      <c r="U1105" s="40"/>
      <c r="V1105" s="40"/>
      <c r="W1105" s="40"/>
      <c r="X1105" s="41" t="str">
        <f>_xlfn.LET(
    _xlpm.MacVal, _xlfn.XLOOKUP($A1105, Output_Mac!$A:$A, Output_Mac!AB:AB, ""),
    _xlpm.MyAuditVal, _xlfn.XLOOKUP($A1105, My_Audit!$A:$A, My_Audit!N:N, ""),
    _xlfn.TEXTJOIN(", ", TRUE, _xlpm.MyAuditVal, _xlpm.MacVal)
)</f>
        <v/>
      </c>
    </row>
    <row r="1106" spans="1:24">
      <c r="A1106" s="40" t="str">
        <f>_xlfn.TEXTJOIN("",TRUE,Input!$B$2,ROW(My_Audit!A1105))</f>
        <v>X1105</v>
      </c>
      <c r="B1106" s="40" t="str">
        <f>_xlfn.TEXTJOIN("-",TRUE,"ITD",Input!$A$2,A1106)</f>
        <v>ITD-X1105</v>
      </c>
      <c r="C1106" s="40" t="str" cm="1">
        <f t="array" ref="C1106">IFERROR(_xlfn.LET(
_xlpm.CSVVal,_xlfn.XLOOKUP($A1106,CSV!$A:$A,CSV!B:B,""),
_xlpm.MacVal,_xlfn.XLOOKUP($A1106,Output_Mac!$A:$A,Output_Mac!B:B,""),
_xlpm.MyAuditVal,_xlfn.XLOOKUP($A1106,My_Audit!$A:$A,My_Audit!B:B,""),
_xlfn.IFS(_xlpm.MyAuditVal&lt;&gt;"",UPPER(_xlpm.MyAuditVal),_xlpm.MacVal&lt;&gt;"",_xlpm.MacVal,_xlpm.CSVVal&lt;&gt;"",_xlpm.CSVVal
)),"")</f>
        <v/>
      </c>
      <c r="D1106" s="40" t="str" cm="1">
        <f t="array" ref="D1106">IFERROR(_xlfn.LET(
_xlpm.CSVVal,_xlfn.XLOOKUP($A1106,CSV!$A:$A,CSV!D:D,""),
_xlpm.MacVal,_xlfn.XLOOKUP($A1106,Output_Mac!$A:$A,Output_Mac!C:C,""),
_xlpm.MyAuditVal,_xlfn.XLOOKUP($A1106,My_Audit!$A:$A,My_Audit!C:C,""),
_xlfn.IFS(_xlpm.MyAuditVal&lt;&gt;"",_xlpm.MyAuditVal,_xlpm.MacVal&lt;&gt;"",_xlpm.MacVal,_xlpm.CSVVal&lt;&gt;"",_xlpm.CSVVal
)),"")</f>
        <v/>
      </c>
      <c r="E1106" s="40" t="str">
        <f>_xlfn.XLOOKUP(A1106,My_Audit!A:A,My_Audit!D:D,"")</f>
        <v/>
      </c>
      <c r="F1106" s="40" t="str" cm="1">
        <f t="array" ref="F1106">IFERROR(_xlfn.LET(
_xlpm.CSVVal,_xlfn.XLOOKUP($A1106,CSV!$A:$A,CSV!F:F,""),
_xlpm.MacVal,_xlfn.XLOOKUP($A1106,Output_Mac!$A:$A,Output_Mac!E:E,""),
_xlpm.MyAuditVal,_xlfn.XLOOKUP($A1106,My_Audit!$A:$A,My_Audit!E:E,""),
_xlfn.IFS(_xlpm.MyAuditVal&lt;&gt;"",_xlpm.MyAuditVal,_xlpm.MacVal&lt;&gt;"",_xlpm.MacVal,_xlpm.CSVVal&lt;&gt;"",_xlpm.CSVVal
)),"")</f>
        <v/>
      </c>
      <c r="G1106" s="40" t="str" cm="1">
        <f t="array" ref="G1106">IFERROR(_xlfn.LET(
_xlpm.CSVVal,_xlfn.XLOOKUP($A1106,CSV!$A:$A,CSV!G:G,""),
_xlpm.MacVal,_xlfn.XLOOKUP($A1106,Output_Mac!$A:$A,Output_Mac!F:F,""),
_xlpm.MyAuditVal,_xlfn.XLOOKUP($A1106,My_Audit!$A:$A,My_Audit!F:F,""),
_xlfn.IFS(_xlpm.MyAuditVal&lt;&gt;"",_xlpm.MyAuditVal,_xlpm.MacVal&lt;&gt;"",_xlpm.MacVal,_xlpm.CSVVal&lt;&gt;"",PROPER(_xlpm.CSVVal)
)),"")</f>
        <v/>
      </c>
      <c r="H1106" s="40" t="str" cm="1">
        <f t="array" ref="H1106">IFERROR(_xlfn.LET(
_xlpm.CSVVal,_xlfn.XLOOKUP($A1106,CSV!$A:$A,CSV!H:H,""),
_xlpm.MacVal,_xlfn.XLOOKUP($A1106,Output_Mac!$A:$A,Output_Mac!H:H,""),
_xlpm.MyAuditVal,_xlfn.XLOOKUP($A1106,My_Audit!$A:$A,My_Audit!G:G,""),
_xlfn.IFS(_xlpm.MyAuditVal&lt;&gt;"",_xlpm.MyAuditVal,_xlpm.MacVal&lt;&gt;"",_xlpm.MacVal,_xlpm.CSVVal&lt;&gt;"",_xlpm.CSVVal
)),"")</f>
        <v/>
      </c>
      <c r="I1106" s="40" t="str">
        <f>_xlfn.XLOOKUP(A1106,Output_Mac!A:A,Output_Mac!I:I,"")</f>
        <v/>
      </c>
      <c r="J1106" s="40" t="str" cm="1">
        <f t="array" ref="J1106">IFERROR(_xlfn.LET(
_xlpm.CSVVal,_xlfn.XLOOKUP($A1106,CSV!$A:$A,CSV!I:I,""),
_xlpm.MacVal,_xlfn.XLOOKUP($A1106,Output_Mac!$A:$A,Output_Mac!J:J,""),
_xlpm.MyAuditVal,_xlfn.XLOOKUP($A1106,My_Audit!$A:$A,My_Audit!I:I,""),
_xlfn.IFS(_xlpm.MyAuditVal&lt;&gt;"",UPPER(_xlpm.MyAuditVal),_xlpm.MacVal&lt;&gt;"",_xlpm.MacVal,_xlpm.CSVVal&lt;&gt;"",_xlpm.CSVVal
)),"")</f>
        <v/>
      </c>
      <c r="K1106" s="40" t="str" cm="1">
        <f t="array" ref="K1106">IFERROR(_xlfn.LET(
_xlpm.CSVVal,_xlfn.XLOOKUP($A1106,CSV!$A:$A,CSV!K:K,""),
_xlpm.MacVal,_xlfn.XLOOKUP($A1106,Output_Mac!$A:$A,Output_Mac!K:K,""),
_xlpm.MyAuditVal,_xlfn.XLOOKUP($A1106,My_Audit!$A:$A,My_Audit!J:J,""),
_xlfn.IFS(_xlpm.MyAuditVal&lt;&gt;"",UPPER(_xlpm.MyAuditVal),_xlpm.MacVal&lt;&gt;"",_xlpm.MacVal,_xlpm.CSVVal&lt;&gt;"",_xlpm.CSVVal
)),"")</f>
        <v/>
      </c>
      <c r="L1106" s="40" t="str" cm="1">
        <f t="array" ref="L1106">IFERROR(_xlfn.LET(
_xlpm.CSVVal,_xlfn.XLOOKUP($A1106,CSV!$A:$A,CSV!P:P,""),
_xlpm.MacVal,_xlfn.XLOOKUP($A1106,Output_Mac!$A:$A,Output_Mac!L:L,""),
_xlpm.MyAuditVal,_xlfn.XLOOKUP($A1106,My_Audit!$A:$A,My_Audit!K:K,""),
_xlfn.IFS(_xlpm.MyAuditVal&lt;&gt;"",UPPER(_xlpm.MyAuditVal),_xlpm.MacVal&lt;&gt;"",_xlpm.MacVal,_xlpm.CSVVal&lt;&gt;"",_xlpm.CSVVal
)),"")</f>
        <v/>
      </c>
      <c r="M1106" s="40" t="str" cm="1">
        <f t="array" ref="M1106">IFERROR(_xlfn.LET(
_xlpm.CSVVal,_xlfn.XLOOKUP($A1106,CSV!$A:$A,CSV!Q:Q,""),
_xlpm.MacVal,_xlfn.XLOOKUP($A1106,Output_Mac!$A:$A,Output_Mac!M:M,""),
_xlpm.MyAuditVal,_xlfn.XLOOKUP($A1106,My_Audit!$A:$A,My_Audit!L:L,""),
_xlfn.IFS(_xlpm.MyAuditVal&lt;&gt;"",UPPER(_xlpm.MyAuditVal),_xlpm.MacVal&lt;&gt;"",_xlpm.MacVal,_xlpm.CSVVal&lt;&gt;"",_xlpm.CSVVal
)),"")</f>
        <v/>
      </c>
      <c r="N1106" s="40"/>
      <c r="O1106" s="40" t="str">
        <f>_xlfn.LET(
    _xlpm.CSVVal, _xlfn.XLOOKUP($A1106, CSV!$A:$A, CSV!AA:AA, ""),
    _xlpm.MacVal, _xlfn.XLOOKUP($A1106, Output_Mac!$A:$A, Output_Mac!S:S, ""),
    _xlpm.MyAuditVal, _xlfn.XLOOKUP($A1106, My_Audit!$A:$A, My_Audit!P:P, ""),
    _xlfn.TEXTJOIN(", ", TRUE, _xlpm.MyAuditVal, _xlpm.MacVal, _xlpm.CSVVal)
)</f>
        <v/>
      </c>
      <c r="P1106" s="40" t="str" cm="1">
        <f t="array" ref="P1106">IFERROR(_xlfn.LET(
_xlpm.CSVVal,_xlfn.XLOOKUP($A1106,CSV!$A:$A,CSV!AB:AB,""),
_xlpm.MacVal,_xlfn.XLOOKUP($A1106,Output_Mac!$A:$A,Output_Mac!T:T,""),
_xlpm.MyAuditVal,_xlfn.XLOOKUP($A1106,My_Audit!$A:$A,My_Audit!Q:Q,""),
_xlfn.IFS(_xlpm.MyAuditVal&lt;&gt;"",UPPER(_xlpm.MyAuditVal),_xlpm.MacVal&lt;&gt;"",_xlpm.MacVal,_xlpm.CSVVal&lt;&gt;"",_xlpm.CSVVal
)),"No")</f>
        <v>No</v>
      </c>
      <c r="Q1106" s="40" t="str" cm="1">
        <f t="array" ref="Q1106">IFERROR(_xlfn.LET(
_xlpm.CSVVal,_xlfn.XLOOKUP($A1106,CSV!$A:$A,CSV!AC:AC,""),
_xlpm.MacVal,_xlfn.XLOOKUP($A1106,Output_Mac!$A:$A,Output_Mac!U:U,""),
_xlpm.MyAuditVal,_xlfn.XLOOKUP($A1106,My_Audit!$A:$A,My_Audit!R:R,""),
_xlfn.IFS(_xlpm.MyAuditVal&lt;&gt;"",UPPER(_xlpm.MyAuditVal),_xlpm.MacVal&lt;&gt;"",_xlpm.MacVal,_xlpm.CSVVal&lt;&gt;"",_xlpm.CSVVal
)),"")</f>
        <v/>
      </c>
      <c r="R1106" s="40"/>
      <c r="S1106" s="40"/>
      <c r="T1106" s="40"/>
      <c r="U1106" s="40"/>
      <c r="V1106" s="40"/>
      <c r="W1106" s="40"/>
      <c r="X1106" s="41" t="str">
        <f>_xlfn.LET(
    _xlpm.MacVal, _xlfn.XLOOKUP($A1106, Output_Mac!$A:$A, Output_Mac!AB:AB, ""),
    _xlpm.MyAuditVal, _xlfn.XLOOKUP($A1106, My_Audit!$A:$A, My_Audit!N:N, ""),
    _xlfn.TEXTJOIN(", ", TRUE, _xlpm.MyAuditVal, _xlpm.MacVal)
)</f>
        <v/>
      </c>
    </row>
    <row r="1107" spans="1:24">
      <c r="A1107" s="40" t="str">
        <f>_xlfn.TEXTJOIN("",TRUE,Input!$B$2,ROW(My_Audit!A1106))</f>
        <v>X1106</v>
      </c>
      <c r="B1107" s="40" t="str">
        <f>_xlfn.TEXTJOIN("-",TRUE,"ITD",Input!$A$2,A1107)</f>
        <v>ITD-X1106</v>
      </c>
      <c r="C1107" s="40" t="str" cm="1">
        <f t="array" ref="C1107">IFERROR(_xlfn.LET(
_xlpm.CSVVal,_xlfn.XLOOKUP($A1107,CSV!$A:$A,CSV!B:B,""),
_xlpm.MacVal,_xlfn.XLOOKUP($A1107,Output_Mac!$A:$A,Output_Mac!B:B,""),
_xlpm.MyAuditVal,_xlfn.XLOOKUP($A1107,My_Audit!$A:$A,My_Audit!B:B,""),
_xlfn.IFS(_xlpm.MyAuditVal&lt;&gt;"",UPPER(_xlpm.MyAuditVal),_xlpm.MacVal&lt;&gt;"",_xlpm.MacVal,_xlpm.CSVVal&lt;&gt;"",_xlpm.CSVVal
)),"")</f>
        <v/>
      </c>
      <c r="D1107" s="40" t="str" cm="1">
        <f t="array" ref="D1107">IFERROR(_xlfn.LET(
_xlpm.CSVVal,_xlfn.XLOOKUP($A1107,CSV!$A:$A,CSV!D:D,""),
_xlpm.MacVal,_xlfn.XLOOKUP($A1107,Output_Mac!$A:$A,Output_Mac!C:C,""),
_xlpm.MyAuditVal,_xlfn.XLOOKUP($A1107,My_Audit!$A:$A,My_Audit!C:C,""),
_xlfn.IFS(_xlpm.MyAuditVal&lt;&gt;"",_xlpm.MyAuditVal,_xlpm.MacVal&lt;&gt;"",_xlpm.MacVal,_xlpm.CSVVal&lt;&gt;"",_xlpm.CSVVal
)),"")</f>
        <v/>
      </c>
      <c r="E1107" s="40" t="str">
        <f>_xlfn.XLOOKUP(A1107,My_Audit!A:A,My_Audit!D:D,"")</f>
        <v/>
      </c>
      <c r="F1107" s="40" t="str" cm="1">
        <f t="array" ref="F1107">IFERROR(_xlfn.LET(
_xlpm.CSVVal,_xlfn.XLOOKUP($A1107,CSV!$A:$A,CSV!F:F,""),
_xlpm.MacVal,_xlfn.XLOOKUP($A1107,Output_Mac!$A:$A,Output_Mac!E:E,""),
_xlpm.MyAuditVal,_xlfn.XLOOKUP($A1107,My_Audit!$A:$A,My_Audit!E:E,""),
_xlfn.IFS(_xlpm.MyAuditVal&lt;&gt;"",_xlpm.MyAuditVal,_xlpm.MacVal&lt;&gt;"",_xlpm.MacVal,_xlpm.CSVVal&lt;&gt;"",_xlpm.CSVVal
)),"")</f>
        <v/>
      </c>
      <c r="G1107" s="40" t="str" cm="1">
        <f t="array" ref="G1107">IFERROR(_xlfn.LET(
_xlpm.CSVVal,_xlfn.XLOOKUP($A1107,CSV!$A:$A,CSV!G:G,""),
_xlpm.MacVal,_xlfn.XLOOKUP($A1107,Output_Mac!$A:$A,Output_Mac!F:F,""),
_xlpm.MyAuditVal,_xlfn.XLOOKUP($A1107,My_Audit!$A:$A,My_Audit!F:F,""),
_xlfn.IFS(_xlpm.MyAuditVal&lt;&gt;"",_xlpm.MyAuditVal,_xlpm.MacVal&lt;&gt;"",_xlpm.MacVal,_xlpm.CSVVal&lt;&gt;"",PROPER(_xlpm.CSVVal)
)),"")</f>
        <v/>
      </c>
      <c r="H1107" s="40" t="str" cm="1">
        <f t="array" ref="H1107">IFERROR(_xlfn.LET(
_xlpm.CSVVal,_xlfn.XLOOKUP($A1107,CSV!$A:$A,CSV!H:H,""),
_xlpm.MacVal,_xlfn.XLOOKUP($A1107,Output_Mac!$A:$A,Output_Mac!H:H,""),
_xlpm.MyAuditVal,_xlfn.XLOOKUP($A1107,My_Audit!$A:$A,My_Audit!G:G,""),
_xlfn.IFS(_xlpm.MyAuditVal&lt;&gt;"",_xlpm.MyAuditVal,_xlpm.MacVal&lt;&gt;"",_xlpm.MacVal,_xlpm.CSVVal&lt;&gt;"",_xlpm.CSVVal
)),"")</f>
        <v/>
      </c>
      <c r="I1107" s="40" t="str">
        <f>_xlfn.XLOOKUP(A1107,Output_Mac!A:A,Output_Mac!I:I,"")</f>
        <v/>
      </c>
      <c r="J1107" s="40" t="str" cm="1">
        <f t="array" ref="J1107">IFERROR(_xlfn.LET(
_xlpm.CSVVal,_xlfn.XLOOKUP($A1107,CSV!$A:$A,CSV!I:I,""),
_xlpm.MacVal,_xlfn.XLOOKUP($A1107,Output_Mac!$A:$A,Output_Mac!J:J,""),
_xlpm.MyAuditVal,_xlfn.XLOOKUP($A1107,My_Audit!$A:$A,My_Audit!I:I,""),
_xlfn.IFS(_xlpm.MyAuditVal&lt;&gt;"",UPPER(_xlpm.MyAuditVal),_xlpm.MacVal&lt;&gt;"",_xlpm.MacVal,_xlpm.CSVVal&lt;&gt;"",_xlpm.CSVVal
)),"")</f>
        <v/>
      </c>
      <c r="K1107" s="40" t="str" cm="1">
        <f t="array" ref="K1107">IFERROR(_xlfn.LET(
_xlpm.CSVVal,_xlfn.XLOOKUP($A1107,CSV!$A:$A,CSV!K:K,""),
_xlpm.MacVal,_xlfn.XLOOKUP($A1107,Output_Mac!$A:$A,Output_Mac!K:K,""),
_xlpm.MyAuditVal,_xlfn.XLOOKUP($A1107,My_Audit!$A:$A,My_Audit!J:J,""),
_xlfn.IFS(_xlpm.MyAuditVal&lt;&gt;"",UPPER(_xlpm.MyAuditVal),_xlpm.MacVal&lt;&gt;"",_xlpm.MacVal,_xlpm.CSVVal&lt;&gt;"",_xlpm.CSVVal
)),"")</f>
        <v/>
      </c>
      <c r="L1107" s="40" t="str" cm="1">
        <f t="array" ref="L1107">IFERROR(_xlfn.LET(
_xlpm.CSVVal,_xlfn.XLOOKUP($A1107,CSV!$A:$A,CSV!P:P,""),
_xlpm.MacVal,_xlfn.XLOOKUP($A1107,Output_Mac!$A:$A,Output_Mac!L:L,""),
_xlpm.MyAuditVal,_xlfn.XLOOKUP($A1107,My_Audit!$A:$A,My_Audit!K:K,""),
_xlfn.IFS(_xlpm.MyAuditVal&lt;&gt;"",UPPER(_xlpm.MyAuditVal),_xlpm.MacVal&lt;&gt;"",_xlpm.MacVal,_xlpm.CSVVal&lt;&gt;"",_xlpm.CSVVal
)),"")</f>
        <v/>
      </c>
      <c r="M1107" s="40" t="str" cm="1">
        <f t="array" ref="M1107">IFERROR(_xlfn.LET(
_xlpm.CSVVal,_xlfn.XLOOKUP($A1107,CSV!$A:$A,CSV!Q:Q,""),
_xlpm.MacVal,_xlfn.XLOOKUP($A1107,Output_Mac!$A:$A,Output_Mac!M:M,""),
_xlpm.MyAuditVal,_xlfn.XLOOKUP($A1107,My_Audit!$A:$A,My_Audit!L:L,""),
_xlfn.IFS(_xlpm.MyAuditVal&lt;&gt;"",UPPER(_xlpm.MyAuditVal),_xlpm.MacVal&lt;&gt;"",_xlpm.MacVal,_xlpm.CSVVal&lt;&gt;"",_xlpm.CSVVal
)),"")</f>
        <v/>
      </c>
      <c r="N1107" s="40"/>
      <c r="O1107" s="40" t="str">
        <f>_xlfn.LET(
    _xlpm.CSVVal, _xlfn.XLOOKUP($A1107, CSV!$A:$A, CSV!AA:AA, ""),
    _xlpm.MacVal, _xlfn.XLOOKUP($A1107, Output_Mac!$A:$A, Output_Mac!S:S, ""),
    _xlpm.MyAuditVal, _xlfn.XLOOKUP($A1107, My_Audit!$A:$A, My_Audit!P:P, ""),
    _xlfn.TEXTJOIN(", ", TRUE, _xlpm.MyAuditVal, _xlpm.MacVal, _xlpm.CSVVal)
)</f>
        <v/>
      </c>
      <c r="P1107" s="40" t="str" cm="1">
        <f t="array" ref="P1107">IFERROR(_xlfn.LET(
_xlpm.CSVVal,_xlfn.XLOOKUP($A1107,CSV!$A:$A,CSV!AB:AB,""),
_xlpm.MacVal,_xlfn.XLOOKUP($A1107,Output_Mac!$A:$A,Output_Mac!T:T,""),
_xlpm.MyAuditVal,_xlfn.XLOOKUP($A1107,My_Audit!$A:$A,My_Audit!Q:Q,""),
_xlfn.IFS(_xlpm.MyAuditVal&lt;&gt;"",UPPER(_xlpm.MyAuditVal),_xlpm.MacVal&lt;&gt;"",_xlpm.MacVal,_xlpm.CSVVal&lt;&gt;"",_xlpm.CSVVal
)),"No")</f>
        <v>No</v>
      </c>
      <c r="Q1107" s="40" t="str" cm="1">
        <f t="array" ref="Q1107">IFERROR(_xlfn.LET(
_xlpm.CSVVal,_xlfn.XLOOKUP($A1107,CSV!$A:$A,CSV!AC:AC,""),
_xlpm.MacVal,_xlfn.XLOOKUP($A1107,Output_Mac!$A:$A,Output_Mac!U:U,""),
_xlpm.MyAuditVal,_xlfn.XLOOKUP($A1107,My_Audit!$A:$A,My_Audit!R:R,""),
_xlfn.IFS(_xlpm.MyAuditVal&lt;&gt;"",UPPER(_xlpm.MyAuditVal),_xlpm.MacVal&lt;&gt;"",_xlpm.MacVal,_xlpm.CSVVal&lt;&gt;"",_xlpm.CSVVal
)),"")</f>
        <v/>
      </c>
      <c r="R1107" s="40"/>
      <c r="S1107" s="40"/>
      <c r="T1107" s="40"/>
      <c r="U1107" s="40"/>
      <c r="V1107" s="40"/>
      <c r="W1107" s="40"/>
      <c r="X1107" s="41" t="str">
        <f>_xlfn.LET(
    _xlpm.MacVal, _xlfn.XLOOKUP($A1107, Output_Mac!$A:$A, Output_Mac!AB:AB, ""),
    _xlpm.MyAuditVal, _xlfn.XLOOKUP($A1107, My_Audit!$A:$A, My_Audit!N:N, ""),
    _xlfn.TEXTJOIN(", ", TRUE, _xlpm.MyAuditVal, _xlpm.MacVal)
)</f>
        <v/>
      </c>
    </row>
    <row r="1108" spans="1:24">
      <c r="A1108" s="40" t="str">
        <f>_xlfn.TEXTJOIN("",TRUE,Input!$B$2,ROW(My_Audit!A1107))</f>
        <v>X1107</v>
      </c>
      <c r="B1108" s="40" t="str">
        <f>_xlfn.TEXTJOIN("-",TRUE,"ITD",Input!$A$2,A1108)</f>
        <v>ITD-X1107</v>
      </c>
      <c r="C1108" s="40" t="str" cm="1">
        <f t="array" ref="C1108">IFERROR(_xlfn.LET(
_xlpm.CSVVal,_xlfn.XLOOKUP($A1108,CSV!$A:$A,CSV!B:B,""),
_xlpm.MacVal,_xlfn.XLOOKUP($A1108,Output_Mac!$A:$A,Output_Mac!B:B,""),
_xlpm.MyAuditVal,_xlfn.XLOOKUP($A1108,My_Audit!$A:$A,My_Audit!B:B,""),
_xlfn.IFS(_xlpm.MyAuditVal&lt;&gt;"",UPPER(_xlpm.MyAuditVal),_xlpm.MacVal&lt;&gt;"",_xlpm.MacVal,_xlpm.CSVVal&lt;&gt;"",_xlpm.CSVVal
)),"")</f>
        <v/>
      </c>
      <c r="D1108" s="40" t="str" cm="1">
        <f t="array" ref="D1108">IFERROR(_xlfn.LET(
_xlpm.CSVVal,_xlfn.XLOOKUP($A1108,CSV!$A:$A,CSV!D:D,""),
_xlpm.MacVal,_xlfn.XLOOKUP($A1108,Output_Mac!$A:$A,Output_Mac!C:C,""),
_xlpm.MyAuditVal,_xlfn.XLOOKUP($A1108,My_Audit!$A:$A,My_Audit!C:C,""),
_xlfn.IFS(_xlpm.MyAuditVal&lt;&gt;"",_xlpm.MyAuditVal,_xlpm.MacVal&lt;&gt;"",_xlpm.MacVal,_xlpm.CSVVal&lt;&gt;"",_xlpm.CSVVal
)),"")</f>
        <v/>
      </c>
      <c r="E1108" s="40" t="str">
        <f>_xlfn.XLOOKUP(A1108,My_Audit!A:A,My_Audit!D:D,"")</f>
        <v/>
      </c>
      <c r="F1108" s="40" t="str" cm="1">
        <f t="array" ref="F1108">IFERROR(_xlfn.LET(
_xlpm.CSVVal,_xlfn.XLOOKUP($A1108,CSV!$A:$A,CSV!F:F,""),
_xlpm.MacVal,_xlfn.XLOOKUP($A1108,Output_Mac!$A:$A,Output_Mac!E:E,""),
_xlpm.MyAuditVal,_xlfn.XLOOKUP($A1108,My_Audit!$A:$A,My_Audit!E:E,""),
_xlfn.IFS(_xlpm.MyAuditVal&lt;&gt;"",_xlpm.MyAuditVal,_xlpm.MacVal&lt;&gt;"",_xlpm.MacVal,_xlpm.CSVVal&lt;&gt;"",_xlpm.CSVVal
)),"")</f>
        <v/>
      </c>
      <c r="G1108" s="40" t="str" cm="1">
        <f t="array" ref="G1108">IFERROR(_xlfn.LET(
_xlpm.CSVVal,_xlfn.XLOOKUP($A1108,CSV!$A:$A,CSV!G:G,""),
_xlpm.MacVal,_xlfn.XLOOKUP($A1108,Output_Mac!$A:$A,Output_Mac!F:F,""),
_xlpm.MyAuditVal,_xlfn.XLOOKUP($A1108,My_Audit!$A:$A,My_Audit!F:F,""),
_xlfn.IFS(_xlpm.MyAuditVal&lt;&gt;"",_xlpm.MyAuditVal,_xlpm.MacVal&lt;&gt;"",_xlpm.MacVal,_xlpm.CSVVal&lt;&gt;"",PROPER(_xlpm.CSVVal)
)),"")</f>
        <v/>
      </c>
      <c r="H1108" s="40" t="str" cm="1">
        <f t="array" ref="H1108">IFERROR(_xlfn.LET(
_xlpm.CSVVal,_xlfn.XLOOKUP($A1108,CSV!$A:$A,CSV!H:H,""),
_xlpm.MacVal,_xlfn.XLOOKUP($A1108,Output_Mac!$A:$A,Output_Mac!H:H,""),
_xlpm.MyAuditVal,_xlfn.XLOOKUP($A1108,My_Audit!$A:$A,My_Audit!G:G,""),
_xlfn.IFS(_xlpm.MyAuditVal&lt;&gt;"",_xlpm.MyAuditVal,_xlpm.MacVal&lt;&gt;"",_xlpm.MacVal,_xlpm.CSVVal&lt;&gt;"",_xlpm.CSVVal
)),"")</f>
        <v/>
      </c>
      <c r="I1108" s="40" t="str">
        <f>_xlfn.XLOOKUP(A1108,Output_Mac!A:A,Output_Mac!I:I,"")</f>
        <v/>
      </c>
      <c r="J1108" s="40" t="str" cm="1">
        <f t="array" ref="J1108">IFERROR(_xlfn.LET(
_xlpm.CSVVal,_xlfn.XLOOKUP($A1108,CSV!$A:$A,CSV!I:I,""),
_xlpm.MacVal,_xlfn.XLOOKUP($A1108,Output_Mac!$A:$A,Output_Mac!J:J,""),
_xlpm.MyAuditVal,_xlfn.XLOOKUP($A1108,My_Audit!$A:$A,My_Audit!I:I,""),
_xlfn.IFS(_xlpm.MyAuditVal&lt;&gt;"",UPPER(_xlpm.MyAuditVal),_xlpm.MacVal&lt;&gt;"",_xlpm.MacVal,_xlpm.CSVVal&lt;&gt;"",_xlpm.CSVVal
)),"")</f>
        <v/>
      </c>
      <c r="K1108" s="40" t="str" cm="1">
        <f t="array" ref="K1108">IFERROR(_xlfn.LET(
_xlpm.CSVVal,_xlfn.XLOOKUP($A1108,CSV!$A:$A,CSV!K:K,""),
_xlpm.MacVal,_xlfn.XLOOKUP($A1108,Output_Mac!$A:$A,Output_Mac!K:K,""),
_xlpm.MyAuditVal,_xlfn.XLOOKUP($A1108,My_Audit!$A:$A,My_Audit!J:J,""),
_xlfn.IFS(_xlpm.MyAuditVal&lt;&gt;"",UPPER(_xlpm.MyAuditVal),_xlpm.MacVal&lt;&gt;"",_xlpm.MacVal,_xlpm.CSVVal&lt;&gt;"",_xlpm.CSVVal
)),"")</f>
        <v/>
      </c>
      <c r="L1108" s="40" t="str" cm="1">
        <f t="array" ref="L1108">IFERROR(_xlfn.LET(
_xlpm.CSVVal,_xlfn.XLOOKUP($A1108,CSV!$A:$A,CSV!P:P,""),
_xlpm.MacVal,_xlfn.XLOOKUP($A1108,Output_Mac!$A:$A,Output_Mac!L:L,""),
_xlpm.MyAuditVal,_xlfn.XLOOKUP($A1108,My_Audit!$A:$A,My_Audit!K:K,""),
_xlfn.IFS(_xlpm.MyAuditVal&lt;&gt;"",UPPER(_xlpm.MyAuditVal),_xlpm.MacVal&lt;&gt;"",_xlpm.MacVal,_xlpm.CSVVal&lt;&gt;"",_xlpm.CSVVal
)),"")</f>
        <v/>
      </c>
      <c r="M1108" s="40" t="str" cm="1">
        <f t="array" ref="M1108">IFERROR(_xlfn.LET(
_xlpm.CSVVal,_xlfn.XLOOKUP($A1108,CSV!$A:$A,CSV!Q:Q,""),
_xlpm.MacVal,_xlfn.XLOOKUP($A1108,Output_Mac!$A:$A,Output_Mac!M:M,""),
_xlpm.MyAuditVal,_xlfn.XLOOKUP($A1108,My_Audit!$A:$A,My_Audit!L:L,""),
_xlfn.IFS(_xlpm.MyAuditVal&lt;&gt;"",UPPER(_xlpm.MyAuditVal),_xlpm.MacVal&lt;&gt;"",_xlpm.MacVal,_xlpm.CSVVal&lt;&gt;"",_xlpm.CSVVal
)),"")</f>
        <v/>
      </c>
      <c r="N1108" s="40"/>
      <c r="O1108" s="40" t="str">
        <f>_xlfn.LET(
    _xlpm.CSVVal, _xlfn.XLOOKUP($A1108, CSV!$A:$A, CSV!AA:AA, ""),
    _xlpm.MacVal, _xlfn.XLOOKUP($A1108, Output_Mac!$A:$A, Output_Mac!S:S, ""),
    _xlpm.MyAuditVal, _xlfn.XLOOKUP($A1108, My_Audit!$A:$A, My_Audit!P:P, ""),
    _xlfn.TEXTJOIN(", ", TRUE, _xlpm.MyAuditVal, _xlpm.MacVal, _xlpm.CSVVal)
)</f>
        <v/>
      </c>
      <c r="P1108" s="40" t="str" cm="1">
        <f t="array" ref="P1108">IFERROR(_xlfn.LET(
_xlpm.CSVVal,_xlfn.XLOOKUP($A1108,CSV!$A:$A,CSV!AB:AB,""),
_xlpm.MacVal,_xlfn.XLOOKUP($A1108,Output_Mac!$A:$A,Output_Mac!T:T,""),
_xlpm.MyAuditVal,_xlfn.XLOOKUP($A1108,My_Audit!$A:$A,My_Audit!Q:Q,""),
_xlfn.IFS(_xlpm.MyAuditVal&lt;&gt;"",UPPER(_xlpm.MyAuditVal),_xlpm.MacVal&lt;&gt;"",_xlpm.MacVal,_xlpm.CSVVal&lt;&gt;"",_xlpm.CSVVal
)),"No")</f>
        <v>No</v>
      </c>
      <c r="Q1108" s="40" t="str" cm="1">
        <f t="array" ref="Q1108">IFERROR(_xlfn.LET(
_xlpm.CSVVal,_xlfn.XLOOKUP($A1108,CSV!$A:$A,CSV!AC:AC,""),
_xlpm.MacVal,_xlfn.XLOOKUP($A1108,Output_Mac!$A:$A,Output_Mac!U:U,""),
_xlpm.MyAuditVal,_xlfn.XLOOKUP($A1108,My_Audit!$A:$A,My_Audit!R:R,""),
_xlfn.IFS(_xlpm.MyAuditVal&lt;&gt;"",UPPER(_xlpm.MyAuditVal),_xlpm.MacVal&lt;&gt;"",_xlpm.MacVal,_xlpm.CSVVal&lt;&gt;"",_xlpm.CSVVal
)),"")</f>
        <v/>
      </c>
      <c r="R1108" s="40"/>
      <c r="S1108" s="40"/>
      <c r="T1108" s="40"/>
      <c r="U1108" s="40"/>
      <c r="V1108" s="40"/>
      <c r="W1108" s="40"/>
      <c r="X1108" s="41" t="str">
        <f>_xlfn.LET(
    _xlpm.MacVal, _xlfn.XLOOKUP($A1108, Output_Mac!$A:$A, Output_Mac!AB:AB, ""),
    _xlpm.MyAuditVal, _xlfn.XLOOKUP($A1108, My_Audit!$A:$A, My_Audit!N:N, ""),
    _xlfn.TEXTJOIN(", ", TRUE, _xlpm.MyAuditVal, _xlpm.MacVal)
)</f>
        <v/>
      </c>
    </row>
    <row r="1109" spans="1:24">
      <c r="A1109" s="40" t="str">
        <f>_xlfn.TEXTJOIN("",TRUE,Input!$B$2,ROW(My_Audit!A1108))</f>
        <v>X1108</v>
      </c>
      <c r="B1109" s="40" t="str">
        <f>_xlfn.TEXTJOIN("-",TRUE,"ITD",Input!$A$2,A1109)</f>
        <v>ITD-X1108</v>
      </c>
      <c r="C1109" s="40" t="str" cm="1">
        <f t="array" ref="C1109">IFERROR(_xlfn.LET(
_xlpm.CSVVal,_xlfn.XLOOKUP($A1109,CSV!$A:$A,CSV!B:B,""),
_xlpm.MacVal,_xlfn.XLOOKUP($A1109,Output_Mac!$A:$A,Output_Mac!B:B,""),
_xlpm.MyAuditVal,_xlfn.XLOOKUP($A1109,My_Audit!$A:$A,My_Audit!B:B,""),
_xlfn.IFS(_xlpm.MyAuditVal&lt;&gt;"",UPPER(_xlpm.MyAuditVal),_xlpm.MacVal&lt;&gt;"",_xlpm.MacVal,_xlpm.CSVVal&lt;&gt;"",_xlpm.CSVVal
)),"")</f>
        <v/>
      </c>
      <c r="D1109" s="40" t="str" cm="1">
        <f t="array" ref="D1109">IFERROR(_xlfn.LET(
_xlpm.CSVVal,_xlfn.XLOOKUP($A1109,CSV!$A:$A,CSV!D:D,""),
_xlpm.MacVal,_xlfn.XLOOKUP($A1109,Output_Mac!$A:$A,Output_Mac!C:C,""),
_xlpm.MyAuditVal,_xlfn.XLOOKUP($A1109,My_Audit!$A:$A,My_Audit!C:C,""),
_xlfn.IFS(_xlpm.MyAuditVal&lt;&gt;"",_xlpm.MyAuditVal,_xlpm.MacVal&lt;&gt;"",_xlpm.MacVal,_xlpm.CSVVal&lt;&gt;"",_xlpm.CSVVal
)),"")</f>
        <v/>
      </c>
      <c r="E1109" s="40" t="str">
        <f>_xlfn.XLOOKUP(A1109,My_Audit!A:A,My_Audit!D:D,"")</f>
        <v/>
      </c>
      <c r="F1109" s="40" t="str" cm="1">
        <f t="array" ref="F1109">IFERROR(_xlfn.LET(
_xlpm.CSVVal,_xlfn.XLOOKUP($A1109,CSV!$A:$A,CSV!F:F,""),
_xlpm.MacVal,_xlfn.XLOOKUP($A1109,Output_Mac!$A:$A,Output_Mac!E:E,""),
_xlpm.MyAuditVal,_xlfn.XLOOKUP($A1109,My_Audit!$A:$A,My_Audit!E:E,""),
_xlfn.IFS(_xlpm.MyAuditVal&lt;&gt;"",_xlpm.MyAuditVal,_xlpm.MacVal&lt;&gt;"",_xlpm.MacVal,_xlpm.CSVVal&lt;&gt;"",_xlpm.CSVVal
)),"")</f>
        <v/>
      </c>
      <c r="G1109" s="40" t="str" cm="1">
        <f t="array" ref="G1109">IFERROR(_xlfn.LET(
_xlpm.CSVVal,_xlfn.XLOOKUP($A1109,CSV!$A:$A,CSV!G:G,""),
_xlpm.MacVal,_xlfn.XLOOKUP($A1109,Output_Mac!$A:$A,Output_Mac!F:F,""),
_xlpm.MyAuditVal,_xlfn.XLOOKUP($A1109,My_Audit!$A:$A,My_Audit!F:F,""),
_xlfn.IFS(_xlpm.MyAuditVal&lt;&gt;"",_xlpm.MyAuditVal,_xlpm.MacVal&lt;&gt;"",_xlpm.MacVal,_xlpm.CSVVal&lt;&gt;"",PROPER(_xlpm.CSVVal)
)),"")</f>
        <v/>
      </c>
      <c r="H1109" s="40" t="str" cm="1">
        <f t="array" ref="H1109">IFERROR(_xlfn.LET(
_xlpm.CSVVal,_xlfn.XLOOKUP($A1109,CSV!$A:$A,CSV!H:H,""),
_xlpm.MacVal,_xlfn.XLOOKUP($A1109,Output_Mac!$A:$A,Output_Mac!H:H,""),
_xlpm.MyAuditVal,_xlfn.XLOOKUP($A1109,My_Audit!$A:$A,My_Audit!G:G,""),
_xlfn.IFS(_xlpm.MyAuditVal&lt;&gt;"",_xlpm.MyAuditVal,_xlpm.MacVal&lt;&gt;"",_xlpm.MacVal,_xlpm.CSVVal&lt;&gt;"",_xlpm.CSVVal
)),"")</f>
        <v/>
      </c>
      <c r="I1109" s="40" t="str">
        <f>_xlfn.XLOOKUP(A1109,Output_Mac!A:A,Output_Mac!I:I,"")</f>
        <v/>
      </c>
      <c r="J1109" s="40" t="str" cm="1">
        <f t="array" ref="J1109">IFERROR(_xlfn.LET(
_xlpm.CSVVal,_xlfn.XLOOKUP($A1109,CSV!$A:$A,CSV!I:I,""),
_xlpm.MacVal,_xlfn.XLOOKUP($A1109,Output_Mac!$A:$A,Output_Mac!J:J,""),
_xlpm.MyAuditVal,_xlfn.XLOOKUP($A1109,My_Audit!$A:$A,My_Audit!I:I,""),
_xlfn.IFS(_xlpm.MyAuditVal&lt;&gt;"",UPPER(_xlpm.MyAuditVal),_xlpm.MacVal&lt;&gt;"",_xlpm.MacVal,_xlpm.CSVVal&lt;&gt;"",_xlpm.CSVVal
)),"")</f>
        <v/>
      </c>
      <c r="K1109" s="40" t="str" cm="1">
        <f t="array" ref="K1109">IFERROR(_xlfn.LET(
_xlpm.CSVVal,_xlfn.XLOOKUP($A1109,CSV!$A:$A,CSV!K:K,""),
_xlpm.MacVal,_xlfn.XLOOKUP($A1109,Output_Mac!$A:$A,Output_Mac!K:K,""),
_xlpm.MyAuditVal,_xlfn.XLOOKUP($A1109,My_Audit!$A:$A,My_Audit!J:J,""),
_xlfn.IFS(_xlpm.MyAuditVal&lt;&gt;"",UPPER(_xlpm.MyAuditVal),_xlpm.MacVal&lt;&gt;"",_xlpm.MacVal,_xlpm.CSVVal&lt;&gt;"",_xlpm.CSVVal
)),"")</f>
        <v/>
      </c>
      <c r="L1109" s="40" t="str" cm="1">
        <f t="array" ref="L1109">IFERROR(_xlfn.LET(
_xlpm.CSVVal,_xlfn.XLOOKUP($A1109,CSV!$A:$A,CSV!P:P,""),
_xlpm.MacVal,_xlfn.XLOOKUP($A1109,Output_Mac!$A:$A,Output_Mac!L:L,""),
_xlpm.MyAuditVal,_xlfn.XLOOKUP($A1109,My_Audit!$A:$A,My_Audit!K:K,""),
_xlfn.IFS(_xlpm.MyAuditVal&lt;&gt;"",UPPER(_xlpm.MyAuditVal),_xlpm.MacVal&lt;&gt;"",_xlpm.MacVal,_xlpm.CSVVal&lt;&gt;"",_xlpm.CSVVal
)),"")</f>
        <v/>
      </c>
      <c r="M1109" s="40" t="str" cm="1">
        <f t="array" ref="M1109">IFERROR(_xlfn.LET(
_xlpm.CSVVal,_xlfn.XLOOKUP($A1109,CSV!$A:$A,CSV!Q:Q,""),
_xlpm.MacVal,_xlfn.XLOOKUP($A1109,Output_Mac!$A:$A,Output_Mac!M:M,""),
_xlpm.MyAuditVal,_xlfn.XLOOKUP($A1109,My_Audit!$A:$A,My_Audit!L:L,""),
_xlfn.IFS(_xlpm.MyAuditVal&lt;&gt;"",UPPER(_xlpm.MyAuditVal),_xlpm.MacVal&lt;&gt;"",_xlpm.MacVal,_xlpm.CSVVal&lt;&gt;"",_xlpm.CSVVal
)),"")</f>
        <v/>
      </c>
      <c r="N1109" s="40"/>
      <c r="O1109" s="40" t="str">
        <f>_xlfn.LET(
    _xlpm.CSVVal, _xlfn.XLOOKUP($A1109, CSV!$A:$A, CSV!AA:AA, ""),
    _xlpm.MacVal, _xlfn.XLOOKUP($A1109, Output_Mac!$A:$A, Output_Mac!S:S, ""),
    _xlpm.MyAuditVal, _xlfn.XLOOKUP($A1109, My_Audit!$A:$A, My_Audit!P:P, ""),
    _xlfn.TEXTJOIN(", ", TRUE, _xlpm.MyAuditVal, _xlpm.MacVal, _xlpm.CSVVal)
)</f>
        <v/>
      </c>
      <c r="P1109" s="40" t="str" cm="1">
        <f t="array" ref="P1109">IFERROR(_xlfn.LET(
_xlpm.CSVVal,_xlfn.XLOOKUP($A1109,CSV!$A:$A,CSV!AB:AB,""),
_xlpm.MacVal,_xlfn.XLOOKUP($A1109,Output_Mac!$A:$A,Output_Mac!T:T,""),
_xlpm.MyAuditVal,_xlfn.XLOOKUP($A1109,My_Audit!$A:$A,My_Audit!Q:Q,""),
_xlfn.IFS(_xlpm.MyAuditVal&lt;&gt;"",UPPER(_xlpm.MyAuditVal),_xlpm.MacVal&lt;&gt;"",_xlpm.MacVal,_xlpm.CSVVal&lt;&gt;"",_xlpm.CSVVal
)),"No")</f>
        <v>No</v>
      </c>
      <c r="Q1109" s="40" t="str" cm="1">
        <f t="array" ref="Q1109">IFERROR(_xlfn.LET(
_xlpm.CSVVal,_xlfn.XLOOKUP($A1109,CSV!$A:$A,CSV!AC:AC,""),
_xlpm.MacVal,_xlfn.XLOOKUP($A1109,Output_Mac!$A:$A,Output_Mac!U:U,""),
_xlpm.MyAuditVal,_xlfn.XLOOKUP($A1109,My_Audit!$A:$A,My_Audit!R:R,""),
_xlfn.IFS(_xlpm.MyAuditVal&lt;&gt;"",UPPER(_xlpm.MyAuditVal),_xlpm.MacVal&lt;&gt;"",_xlpm.MacVal,_xlpm.CSVVal&lt;&gt;"",_xlpm.CSVVal
)),"")</f>
        <v/>
      </c>
      <c r="R1109" s="40"/>
      <c r="S1109" s="40"/>
      <c r="T1109" s="40"/>
      <c r="U1109" s="40"/>
      <c r="V1109" s="40"/>
      <c r="W1109" s="40"/>
      <c r="X1109" s="41" t="str">
        <f>_xlfn.LET(
    _xlpm.MacVal, _xlfn.XLOOKUP($A1109, Output_Mac!$A:$A, Output_Mac!AB:AB, ""),
    _xlpm.MyAuditVal, _xlfn.XLOOKUP($A1109, My_Audit!$A:$A, My_Audit!N:N, ""),
    _xlfn.TEXTJOIN(", ", TRUE, _xlpm.MyAuditVal, _xlpm.MacVal)
)</f>
        <v/>
      </c>
    </row>
    <row r="1110" spans="1:24">
      <c r="A1110" s="40" t="str">
        <f>_xlfn.TEXTJOIN("",TRUE,Input!$B$2,ROW(My_Audit!A1109))</f>
        <v>X1109</v>
      </c>
      <c r="B1110" s="40" t="str">
        <f>_xlfn.TEXTJOIN("-",TRUE,"ITD",Input!$A$2,A1110)</f>
        <v>ITD-X1109</v>
      </c>
      <c r="C1110" s="40" t="str" cm="1">
        <f t="array" ref="C1110">IFERROR(_xlfn.LET(
_xlpm.CSVVal,_xlfn.XLOOKUP($A1110,CSV!$A:$A,CSV!B:B,""),
_xlpm.MacVal,_xlfn.XLOOKUP($A1110,Output_Mac!$A:$A,Output_Mac!B:B,""),
_xlpm.MyAuditVal,_xlfn.XLOOKUP($A1110,My_Audit!$A:$A,My_Audit!B:B,""),
_xlfn.IFS(_xlpm.MyAuditVal&lt;&gt;"",UPPER(_xlpm.MyAuditVal),_xlpm.MacVal&lt;&gt;"",_xlpm.MacVal,_xlpm.CSVVal&lt;&gt;"",_xlpm.CSVVal
)),"")</f>
        <v/>
      </c>
      <c r="D1110" s="40" t="str" cm="1">
        <f t="array" ref="D1110">IFERROR(_xlfn.LET(
_xlpm.CSVVal,_xlfn.XLOOKUP($A1110,CSV!$A:$A,CSV!D:D,""),
_xlpm.MacVal,_xlfn.XLOOKUP($A1110,Output_Mac!$A:$A,Output_Mac!C:C,""),
_xlpm.MyAuditVal,_xlfn.XLOOKUP($A1110,My_Audit!$A:$A,My_Audit!C:C,""),
_xlfn.IFS(_xlpm.MyAuditVal&lt;&gt;"",_xlpm.MyAuditVal,_xlpm.MacVal&lt;&gt;"",_xlpm.MacVal,_xlpm.CSVVal&lt;&gt;"",_xlpm.CSVVal
)),"")</f>
        <v/>
      </c>
      <c r="E1110" s="40" t="str">
        <f>_xlfn.XLOOKUP(A1110,My_Audit!A:A,My_Audit!D:D,"")</f>
        <v/>
      </c>
      <c r="F1110" s="40" t="str" cm="1">
        <f t="array" ref="F1110">IFERROR(_xlfn.LET(
_xlpm.CSVVal,_xlfn.XLOOKUP($A1110,CSV!$A:$A,CSV!F:F,""),
_xlpm.MacVal,_xlfn.XLOOKUP($A1110,Output_Mac!$A:$A,Output_Mac!E:E,""),
_xlpm.MyAuditVal,_xlfn.XLOOKUP($A1110,My_Audit!$A:$A,My_Audit!E:E,""),
_xlfn.IFS(_xlpm.MyAuditVal&lt;&gt;"",_xlpm.MyAuditVal,_xlpm.MacVal&lt;&gt;"",_xlpm.MacVal,_xlpm.CSVVal&lt;&gt;"",_xlpm.CSVVal
)),"")</f>
        <v/>
      </c>
      <c r="G1110" s="40" t="str" cm="1">
        <f t="array" ref="G1110">IFERROR(_xlfn.LET(
_xlpm.CSVVal,_xlfn.XLOOKUP($A1110,CSV!$A:$A,CSV!G:G,""),
_xlpm.MacVal,_xlfn.XLOOKUP($A1110,Output_Mac!$A:$A,Output_Mac!F:F,""),
_xlpm.MyAuditVal,_xlfn.XLOOKUP($A1110,My_Audit!$A:$A,My_Audit!F:F,""),
_xlfn.IFS(_xlpm.MyAuditVal&lt;&gt;"",_xlpm.MyAuditVal,_xlpm.MacVal&lt;&gt;"",_xlpm.MacVal,_xlpm.CSVVal&lt;&gt;"",PROPER(_xlpm.CSVVal)
)),"")</f>
        <v/>
      </c>
      <c r="H1110" s="40" t="str" cm="1">
        <f t="array" ref="H1110">IFERROR(_xlfn.LET(
_xlpm.CSVVal,_xlfn.XLOOKUP($A1110,CSV!$A:$A,CSV!H:H,""),
_xlpm.MacVal,_xlfn.XLOOKUP($A1110,Output_Mac!$A:$A,Output_Mac!H:H,""),
_xlpm.MyAuditVal,_xlfn.XLOOKUP($A1110,My_Audit!$A:$A,My_Audit!G:G,""),
_xlfn.IFS(_xlpm.MyAuditVal&lt;&gt;"",_xlpm.MyAuditVal,_xlpm.MacVal&lt;&gt;"",_xlpm.MacVal,_xlpm.CSVVal&lt;&gt;"",_xlpm.CSVVal
)),"")</f>
        <v/>
      </c>
      <c r="I1110" s="40" t="str">
        <f>_xlfn.XLOOKUP(A1110,Output_Mac!A:A,Output_Mac!I:I,"")</f>
        <v/>
      </c>
      <c r="J1110" s="40" t="str" cm="1">
        <f t="array" ref="J1110">IFERROR(_xlfn.LET(
_xlpm.CSVVal,_xlfn.XLOOKUP($A1110,CSV!$A:$A,CSV!I:I,""),
_xlpm.MacVal,_xlfn.XLOOKUP($A1110,Output_Mac!$A:$A,Output_Mac!J:J,""),
_xlpm.MyAuditVal,_xlfn.XLOOKUP($A1110,My_Audit!$A:$A,My_Audit!I:I,""),
_xlfn.IFS(_xlpm.MyAuditVal&lt;&gt;"",UPPER(_xlpm.MyAuditVal),_xlpm.MacVal&lt;&gt;"",_xlpm.MacVal,_xlpm.CSVVal&lt;&gt;"",_xlpm.CSVVal
)),"")</f>
        <v/>
      </c>
      <c r="K1110" s="40" t="str" cm="1">
        <f t="array" ref="K1110">IFERROR(_xlfn.LET(
_xlpm.CSVVal,_xlfn.XLOOKUP($A1110,CSV!$A:$A,CSV!K:K,""),
_xlpm.MacVal,_xlfn.XLOOKUP($A1110,Output_Mac!$A:$A,Output_Mac!K:K,""),
_xlpm.MyAuditVal,_xlfn.XLOOKUP($A1110,My_Audit!$A:$A,My_Audit!J:J,""),
_xlfn.IFS(_xlpm.MyAuditVal&lt;&gt;"",UPPER(_xlpm.MyAuditVal),_xlpm.MacVal&lt;&gt;"",_xlpm.MacVal,_xlpm.CSVVal&lt;&gt;"",_xlpm.CSVVal
)),"")</f>
        <v/>
      </c>
      <c r="L1110" s="40" t="str" cm="1">
        <f t="array" ref="L1110">IFERROR(_xlfn.LET(
_xlpm.CSVVal,_xlfn.XLOOKUP($A1110,CSV!$A:$A,CSV!P:P,""),
_xlpm.MacVal,_xlfn.XLOOKUP($A1110,Output_Mac!$A:$A,Output_Mac!L:L,""),
_xlpm.MyAuditVal,_xlfn.XLOOKUP($A1110,My_Audit!$A:$A,My_Audit!K:K,""),
_xlfn.IFS(_xlpm.MyAuditVal&lt;&gt;"",UPPER(_xlpm.MyAuditVal),_xlpm.MacVal&lt;&gt;"",_xlpm.MacVal,_xlpm.CSVVal&lt;&gt;"",_xlpm.CSVVal
)),"")</f>
        <v/>
      </c>
      <c r="M1110" s="40" t="str" cm="1">
        <f t="array" ref="M1110">IFERROR(_xlfn.LET(
_xlpm.CSVVal,_xlfn.XLOOKUP($A1110,CSV!$A:$A,CSV!Q:Q,""),
_xlpm.MacVal,_xlfn.XLOOKUP($A1110,Output_Mac!$A:$A,Output_Mac!M:M,""),
_xlpm.MyAuditVal,_xlfn.XLOOKUP($A1110,My_Audit!$A:$A,My_Audit!L:L,""),
_xlfn.IFS(_xlpm.MyAuditVal&lt;&gt;"",UPPER(_xlpm.MyAuditVal),_xlpm.MacVal&lt;&gt;"",_xlpm.MacVal,_xlpm.CSVVal&lt;&gt;"",_xlpm.CSVVal
)),"")</f>
        <v/>
      </c>
      <c r="N1110" s="40"/>
      <c r="O1110" s="40" t="str">
        <f>_xlfn.LET(
    _xlpm.CSVVal, _xlfn.XLOOKUP($A1110, CSV!$A:$A, CSV!AA:AA, ""),
    _xlpm.MacVal, _xlfn.XLOOKUP($A1110, Output_Mac!$A:$A, Output_Mac!S:S, ""),
    _xlpm.MyAuditVal, _xlfn.XLOOKUP($A1110, My_Audit!$A:$A, My_Audit!P:P, ""),
    _xlfn.TEXTJOIN(", ", TRUE, _xlpm.MyAuditVal, _xlpm.MacVal, _xlpm.CSVVal)
)</f>
        <v/>
      </c>
      <c r="P1110" s="40" t="str" cm="1">
        <f t="array" ref="P1110">IFERROR(_xlfn.LET(
_xlpm.CSVVal,_xlfn.XLOOKUP($A1110,CSV!$A:$A,CSV!AB:AB,""),
_xlpm.MacVal,_xlfn.XLOOKUP($A1110,Output_Mac!$A:$A,Output_Mac!T:T,""),
_xlpm.MyAuditVal,_xlfn.XLOOKUP($A1110,My_Audit!$A:$A,My_Audit!Q:Q,""),
_xlfn.IFS(_xlpm.MyAuditVal&lt;&gt;"",UPPER(_xlpm.MyAuditVal),_xlpm.MacVal&lt;&gt;"",_xlpm.MacVal,_xlpm.CSVVal&lt;&gt;"",_xlpm.CSVVal
)),"No")</f>
        <v>No</v>
      </c>
      <c r="Q1110" s="40" t="str" cm="1">
        <f t="array" ref="Q1110">IFERROR(_xlfn.LET(
_xlpm.CSVVal,_xlfn.XLOOKUP($A1110,CSV!$A:$A,CSV!AC:AC,""),
_xlpm.MacVal,_xlfn.XLOOKUP($A1110,Output_Mac!$A:$A,Output_Mac!U:U,""),
_xlpm.MyAuditVal,_xlfn.XLOOKUP($A1110,My_Audit!$A:$A,My_Audit!R:R,""),
_xlfn.IFS(_xlpm.MyAuditVal&lt;&gt;"",UPPER(_xlpm.MyAuditVal),_xlpm.MacVal&lt;&gt;"",_xlpm.MacVal,_xlpm.CSVVal&lt;&gt;"",_xlpm.CSVVal
)),"")</f>
        <v/>
      </c>
      <c r="R1110" s="40"/>
      <c r="S1110" s="40"/>
      <c r="T1110" s="40"/>
      <c r="U1110" s="40"/>
      <c r="V1110" s="40"/>
      <c r="W1110" s="40"/>
      <c r="X1110" s="41" t="str">
        <f>_xlfn.LET(
    _xlpm.MacVal, _xlfn.XLOOKUP($A1110, Output_Mac!$A:$A, Output_Mac!AB:AB, ""),
    _xlpm.MyAuditVal, _xlfn.XLOOKUP($A1110, My_Audit!$A:$A, My_Audit!N:N, ""),
    _xlfn.TEXTJOIN(", ", TRUE, _xlpm.MyAuditVal, _xlpm.MacVal)
)</f>
        <v/>
      </c>
    </row>
    <row r="1111" spans="1:24">
      <c r="A1111" s="40" t="str">
        <f>_xlfn.TEXTJOIN("",TRUE,Input!$B$2,ROW(My_Audit!A1110))</f>
        <v>X1110</v>
      </c>
      <c r="B1111" s="40" t="str">
        <f>_xlfn.TEXTJOIN("-",TRUE,"ITD",Input!$A$2,A1111)</f>
        <v>ITD-X1110</v>
      </c>
      <c r="C1111" s="40" t="str" cm="1">
        <f t="array" ref="C1111">IFERROR(_xlfn.LET(
_xlpm.CSVVal,_xlfn.XLOOKUP($A1111,CSV!$A:$A,CSV!B:B,""),
_xlpm.MacVal,_xlfn.XLOOKUP($A1111,Output_Mac!$A:$A,Output_Mac!B:B,""),
_xlpm.MyAuditVal,_xlfn.XLOOKUP($A1111,My_Audit!$A:$A,My_Audit!B:B,""),
_xlfn.IFS(_xlpm.MyAuditVal&lt;&gt;"",UPPER(_xlpm.MyAuditVal),_xlpm.MacVal&lt;&gt;"",_xlpm.MacVal,_xlpm.CSVVal&lt;&gt;"",_xlpm.CSVVal
)),"")</f>
        <v/>
      </c>
      <c r="D1111" s="40" t="str" cm="1">
        <f t="array" ref="D1111">IFERROR(_xlfn.LET(
_xlpm.CSVVal,_xlfn.XLOOKUP($A1111,CSV!$A:$A,CSV!D:D,""),
_xlpm.MacVal,_xlfn.XLOOKUP($A1111,Output_Mac!$A:$A,Output_Mac!C:C,""),
_xlpm.MyAuditVal,_xlfn.XLOOKUP($A1111,My_Audit!$A:$A,My_Audit!C:C,""),
_xlfn.IFS(_xlpm.MyAuditVal&lt;&gt;"",_xlpm.MyAuditVal,_xlpm.MacVal&lt;&gt;"",_xlpm.MacVal,_xlpm.CSVVal&lt;&gt;"",_xlpm.CSVVal
)),"")</f>
        <v/>
      </c>
      <c r="E1111" s="40" t="str">
        <f>_xlfn.XLOOKUP(A1111,My_Audit!A:A,My_Audit!D:D,"")</f>
        <v/>
      </c>
      <c r="F1111" s="40" t="str" cm="1">
        <f t="array" ref="F1111">IFERROR(_xlfn.LET(
_xlpm.CSVVal,_xlfn.XLOOKUP($A1111,CSV!$A:$A,CSV!F:F,""),
_xlpm.MacVal,_xlfn.XLOOKUP($A1111,Output_Mac!$A:$A,Output_Mac!E:E,""),
_xlpm.MyAuditVal,_xlfn.XLOOKUP($A1111,My_Audit!$A:$A,My_Audit!E:E,""),
_xlfn.IFS(_xlpm.MyAuditVal&lt;&gt;"",_xlpm.MyAuditVal,_xlpm.MacVal&lt;&gt;"",_xlpm.MacVal,_xlpm.CSVVal&lt;&gt;"",_xlpm.CSVVal
)),"")</f>
        <v/>
      </c>
      <c r="G1111" s="40" t="str" cm="1">
        <f t="array" ref="G1111">IFERROR(_xlfn.LET(
_xlpm.CSVVal,_xlfn.XLOOKUP($A1111,CSV!$A:$A,CSV!G:G,""),
_xlpm.MacVal,_xlfn.XLOOKUP($A1111,Output_Mac!$A:$A,Output_Mac!F:F,""),
_xlpm.MyAuditVal,_xlfn.XLOOKUP($A1111,My_Audit!$A:$A,My_Audit!F:F,""),
_xlfn.IFS(_xlpm.MyAuditVal&lt;&gt;"",_xlpm.MyAuditVal,_xlpm.MacVal&lt;&gt;"",_xlpm.MacVal,_xlpm.CSVVal&lt;&gt;"",PROPER(_xlpm.CSVVal)
)),"")</f>
        <v/>
      </c>
      <c r="H1111" s="40" t="str" cm="1">
        <f t="array" ref="H1111">IFERROR(_xlfn.LET(
_xlpm.CSVVal,_xlfn.XLOOKUP($A1111,CSV!$A:$A,CSV!H:H,""),
_xlpm.MacVal,_xlfn.XLOOKUP($A1111,Output_Mac!$A:$A,Output_Mac!H:H,""),
_xlpm.MyAuditVal,_xlfn.XLOOKUP($A1111,My_Audit!$A:$A,My_Audit!G:G,""),
_xlfn.IFS(_xlpm.MyAuditVal&lt;&gt;"",_xlpm.MyAuditVal,_xlpm.MacVal&lt;&gt;"",_xlpm.MacVal,_xlpm.CSVVal&lt;&gt;"",_xlpm.CSVVal
)),"")</f>
        <v/>
      </c>
      <c r="I1111" s="40" t="str">
        <f>_xlfn.XLOOKUP(A1111,Output_Mac!A:A,Output_Mac!I:I,"")</f>
        <v/>
      </c>
      <c r="J1111" s="40" t="str" cm="1">
        <f t="array" ref="J1111">IFERROR(_xlfn.LET(
_xlpm.CSVVal,_xlfn.XLOOKUP($A1111,CSV!$A:$A,CSV!I:I,""),
_xlpm.MacVal,_xlfn.XLOOKUP($A1111,Output_Mac!$A:$A,Output_Mac!J:J,""),
_xlpm.MyAuditVal,_xlfn.XLOOKUP($A1111,My_Audit!$A:$A,My_Audit!I:I,""),
_xlfn.IFS(_xlpm.MyAuditVal&lt;&gt;"",UPPER(_xlpm.MyAuditVal),_xlpm.MacVal&lt;&gt;"",_xlpm.MacVal,_xlpm.CSVVal&lt;&gt;"",_xlpm.CSVVal
)),"")</f>
        <v/>
      </c>
      <c r="K1111" s="40" t="str" cm="1">
        <f t="array" ref="K1111">IFERROR(_xlfn.LET(
_xlpm.CSVVal,_xlfn.XLOOKUP($A1111,CSV!$A:$A,CSV!K:K,""),
_xlpm.MacVal,_xlfn.XLOOKUP($A1111,Output_Mac!$A:$A,Output_Mac!K:K,""),
_xlpm.MyAuditVal,_xlfn.XLOOKUP($A1111,My_Audit!$A:$A,My_Audit!J:J,""),
_xlfn.IFS(_xlpm.MyAuditVal&lt;&gt;"",UPPER(_xlpm.MyAuditVal),_xlpm.MacVal&lt;&gt;"",_xlpm.MacVal,_xlpm.CSVVal&lt;&gt;"",_xlpm.CSVVal
)),"")</f>
        <v/>
      </c>
      <c r="L1111" s="40" t="str" cm="1">
        <f t="array" ref="L1111">IFERROR(_xlfn.LET(
_xlpm.CSVVal,_xlfn.XLOOKUP($A1111,CSV!$A:$A,CSV!P:P,""),
_xlpm.MacVal,_xlfn.XLOOKUP($A1111,Output_Mac!$A:$A,Output_Mac!L:L,""),
_xlpm.MyAuditVal,_xlfn.XLOOKUP($A1111,My_Audit!$A:$A,My_Audit!K:K,""),
_xlfn.IFS(_xlpm.MyAuditVal&lt;&gt;"",UPPER(_xlpm.MyAuditVal),_xlpm.MacVal&lt;&gt;"",_xlpm.MacVal,_xlpm.CSVVal&lt;&gt;"",_xlpm.CSVVal
)),"")</f>
        <v/>
      </c>
      <c r="M1111" s="40" t="str" cm="1">
        <f t="array" ref="M1111">IFERROR(_xlfn.LET(
_xlpm.CSVVal,_xlfn.XLOOKUP($A1111,CSV!$A:$A,CSV!Q:Q,""),
_xlpm.MacVal,_xlfn.XLOOKUP($A1111,Output_Mac!$A:$A,Output_Mac!M:M,""),
_xlpm.MyAuditVal,_xlfn.XLOOKUP($A1111,My_Audit!$A:$A,My_Audit!L:L,""),
_xlfn.IFS(_xlpm.MyAuditVal&lt;&gt;"",UPPER(_xlpm.MyAuditVal),_xlpm.MacVal&lt;&gt;"",_xlpm.MacVal,_xlpm.CSVVal&lt;&gt;"",_xlpm.CSVVal
)),"")</f>
        <v/>
      </c>
      <c r="N1111" s="40"/>
      <c r="O1111" s="40" t="str">
        <f>_xlfn.LET(
    _xlpm.CSVVal, _xlfn.XLOOKUP($A1111, CSV!$A:$A, CSV!AA:AA, ""),
    _xlpm.MacVal, _xlfn.XLOOKUP($A1111, Output_Mac!$A:$A, Output_Mac!S:S, ""),
    _xlpm.MyAuditVal, _xlfn.XLOOKUP($A1111, My_Audit!$A:$A, My_Audit!P:P, ""),
    _xlfn.TEXTJOIN(", ", TRUE, _xlpm.MyAuditVal, _xlpm.MacVal, _xlpm.CSVVal)
)</f>
        <v/>
      </c>
      <c r="P1111" s="40" t="str" cm="1">
        <f t="array" ref="P1111">IFERROR(_xlfn.LET(
_xlpm.CSVVal,_xlfn.XLOOKUP($A1111,CSV!$A:$A,CSV!AB:AB,""),
_xlpm.MacVal,_xlfn.XLOOKUP($A1111,Output_Mac!$A:$A,Output_Mac!T:T,""),
_xlpm.MyAuditVal,_xlfn.XLOOKUP($A1111,My_Audit!$A:$A,My_Audit!Q:Q,""),
_xlfn.IFS(_xlpm.MyAuditVal&lt;&gt;"",UPPER(_xlpm.MyAuditVal),_xlpm.MacVal&lt;&gt;"",_xlpm.MacVal,_xlpm.CSVVal&lt;&gt;"",_xlpm.CSVVal
)),"No")</f>
        <v>No</v>
      </c>
      <c r="Q1111" s="40" t="str" cm="1">
        <f t="array" ref="Q1111">IFERROR(_xlfn.LET(
_xlpm.CSVVal,_xlfn.XLOOKUP($A1111,CSV!$A:$A,CSV!AC:AC,""),
_xlpm.MacVal,_xlfn.XLOOKUP($A1111,Output_Mac!$A:$A,Output_Mac!U:U,""),
_xlpm.MyAuditVal,_xlfn.XLOOKUP($A1111,My_Audit!$A:$A,My_Audit!R:R,""),
_xlfn.IFS(_xlpm.MyAuditVal&lt;&gt;"",UPPER(_xlpm.MyAuditVal),_xlpm.MacVal&lt;&gt;"",_xlpm.MacVal,_xlpm.CSVVal&lt;&gt;"",_xlpm.CSVVal
)),"")</f>
        <v/>
      </c>
      <c r="R1111" s="40"/>
      <c r="S1111" s="40"/>
      <c r="T1111" s="40"/>
      <c r="U1111" s="40"/>
      <c r="V1111" s="40"/>
      <c r="W1111" s="40"/>
      <c r="X1111" s="41" t="str">
        <f>_xlfn.LET(
    _xlpm.MacVal, _xlfn.XLOOKUP($A1111, Output_Mac!$A:$A, Output_Mac!AB:AB, ""),
    _xlpm.MyAuditVal, _xlfn.XLOOKUP($A1111, My_Audit!$A:$A, My_Audit!N:N, ""),
    _xlfn.TEXTJOIN(", ", TRUE, _xlpm.MyAuditVal, _xlpm.MacVal)
)</f>
        <v/>
      </c>
    </row>
    <row r="1112" spans="1:24">
      <c r="A1112" s="40" t="str">
        <f>_xlfn.TEXTJOIN("",TRUE,Input!$B$2,ROW(My_Audit!A1111))</f>
        <v>X1111</v>
      </c>
      <c r="B1112" s="40" t="str">
        <f>_xlfn.TEXTJOIN("-",TRUE,"ITD",Input!$A$2,A1112)</f>
        <v>ITD-X1111</v>
      </c>
      <c r="C1112" s="40" t="str" cm="1">
        <f t="array" ref="C1112">IFERROR(_xlfn.LET(
_xlpm.CSVVal,_xlfn.XLOOKUP($A1112,CSV!$A:$A,CSV!B:B,""),
_xlpm.MacVal,_xlfn.XLOOKUP($A1112,Output_Mac!$A:$A,Output_Mac!B:B,""),
_xlpm.MyAuditVal,_xlfn.XLOOKUP($A1112,My_Audit!$A:$A,My_Audit!B:B,""),
_xlfn.IFS(_xlpm.MyAuditVal&lt;&gt;"",UPPER(_xlpm.MyAuditVal),_xlpm.MacVal&lt;&gt;"",_xlpm.MacVal,_xlpm.CSVVal&lt;&gt;"",_xlpm.CSVVal
)),"")</f>
        <v/>
      </c>
      <c r="D1112" s="40" t="str" cm="1">
        <f t="array" ref="D1112">IFERROR(_xlfn.LET(
_xlpm.CSVVal,_xlfn.XLOOKUP($A1112,CSV!$A:$A,CSV!D:D,""),
_xlpm.MacVal,_xlfn.XLOOKUP($A1112,Output_Mac!$A:$A,Output_Mac!C:C,""),
_xlpm.MyAuditVal,_xlfn.XLOOKUP($A1112,My_Audit!$A:$A,My_Audit!C:C,""),
_xlfn.IFS(_xlpm.MyAuditVal&lt;&gt;"",_xlpm.MyAuditVal,_xlpm.MacVal&lt;&gt;"",_xlpm.MacVal,_xlpm.CSVVal&lt;&gt;"",_xlpm.CSVVal
)),"")</f>
        <v/>
      </c>
      <c r="E1112" s="40" t="str">
        <f>_xlfn.XLOOKUP(A1112,My_Audit!A:A,My_Audit!D:D,"")</f>
        <v/>
      </c>
      <c r="F1112" s="40" t="str" cm="1">
        <f t="array" ref="F1112">IFERROR(_xlfn.LET(
_xlpm.CSVVal,_xlfn.XLOOKUP($A1112,CSV!$A:$A,CSV!F:F,""),
_xlpm.MacVal,_xlfn.XLOOKUP($A1112,Output_Mac!$A:$A,Output_Mac!E:E,""),
_xlpm.MyAuditVal,_xlfn.XLOOKUP($A1112,My_Audit!$A:$A,My_Audit!E:E,""),
_xlfn.IFS(_xlpm.MyAuditVal&lt;&gt;"",_xlpm.MyAuditVal,_xlpm.MacVal&lt;&gt;"",_xlpm.MacVal,_xlpm.CSVVal&lt;&gt;"",_xlpm.CSVVal
)),"")</f>
        <v/>
      </c>
      <c r="G1112" s="40" t="str" cm="1">
        <f t="array" ref="G1112">IFERROR(_xlfn.LET(
_xlpm.CSVVal,_xlfn.XLOOKUP($A1112,CSV!$A:$A,CSV!G:G,""),
_xlpm.MacVal,_xlfn.XLOOKUP($A1112,Output_Mac!$A:$A,Output_Mac!F:F,""),
_xlpm.MyAuditVal,_xlfn.XLOOKUP($A1112,My_Audit!$A:$A,My_Audit!F:F,""),
_xlfn.IFS(_xlpm.MyAuditVal&lt;&gt;"",_xlpm.MyAuditVal,_xlpm.MacVal&lt;&gt;"",_xlpm.MacVal,_xlpm.CSVVal&lt;&gt;"",PROPER(_xlpm.CSVVal)
)),"")</f>
        <v/>
      </c>
      <c r="H1112" s="40" t="str" cm="1">
        <f t="array" ref="H1112">IFERROR(_xlfn.LET(
_xlpm.CSVVal,_xlfn.XLOOKUP($A1112,CSV!$A:$A,CSV!H:H,""),
_xlpm.MacVal,_xlfn.XLOOKUP($A1112,Output_Mac!$A:$A,Output_Mac!H:H,""),
_xlpm.MyAuditVal,_xlfn.XLOOKUP($A1112,My_Audit!$A:$A,My_Audit!G:G,""),
_xlfn.IFS(_xlpm.MyAuditVal&lt;&gt;"",_xlpm.MyAuditVal,_xlpm.MacVal&lt;&gt;"",_xlpm.MacVal,_xlpm.CSVVal&lt;&gt;"",_xlpm.CSVVal
)),"")</f>
        <v/>
      </c>
      <c r="I1112" s="40" t="str">
        <f>_xlfn.XLOOKUP(A1112,Output_Mac!A:A,Output_Mac!I:I,"")</f>
        <v/>
      </c>
      <c r="J1112" s="40" t="str" cm="1">
        <f t="array" ref="J1112">IFERROR(_xlfn.LET(
_xlpm.CSVVal,_xlfn.XLOOKUP($A1112,CSV!$A:$A,CSV!I:I,""),
_xlpm.MacVal,_xlfn.XLOOKUP($A1112,Output_Mac!$A:$A,Output_Mac!J:J,""),
_xlpm.MyAuditVal,_xlfn.XLOOKUP($A1112,My_Audit!$A:$A,My_Audit!I:I,""),
_xlfn.IFS(_xlpm.MyAuditVal&lt;&gt;"",UPPER(_xlpm.MyAuditVal),_xlpm.MacVal&lt;&gt;"",_xlpm.MacVal,_xlpm.CSVVal&lt;&gt;"",_xlpm.CSVVal
)),"")</f>
        <v/>
      </c>
      <c r="K1112" s="40" t="str" cm="1">
        <f t="array" ref="K1112">IFERROR(_xlfn.LET(
_xlpm.CSVVal,_xlfn.XLOOKUP($A1112,CSV!$A:$A,CSV!K:K,""),
_xlpm.MacVal,_xlfn.XLOOKUP($A1112,Output_Mac!$A:$A,Output_Mac!K:K,""),
_xlpm.MyAuditVal,_xlfn.XLOOKUP($A1112,My_Audit!$A:$A,My_Audit!J:J,""),
_xlfn.IFS(_xlpm.MyAuditVal&lt;&gt;"",UPPER(_xlpm.MyAuditVal),_xlpm.MacVal&lt;&gt;"",_xlpm.MacVal,_xlpm.CSVVal&lt;&gt;"",_xlpm.CSVVal
)),"")</f>
        <v/>
      </c>
      <c r="L1112" s="40" t="str" cm="1">
        <f t="array" ref="L1112">IFERROR(_xlfn.LET(
_xlpm.CSVVal,_xlfn.XLOOKUP($A1112,CSV!$A:$A,CSV!P:P,""),
_xlpm.MacVal,_xlfn.XLOOKUP($A1112,Output_Mac!$A:$A,Output_Mac!L:L,""),
_xlpm.MyAuditVal,_xlfn.XLOOKUP($A1112,My_Audit!$A:$A,My_Audit!K:K,""),
_xlfn.IFS(_xlpm.MyAuditVal&lt;&gt;"",UPPER(_xlpm.MyAuditVal),_xlpm.MacVal&lt;&gt;"",_xlpm.MacVal,_xlpm.CSVVal&lt;&gt;"",_xlpm.CSVVal
)),"")</f>
        <v/>
      </c>
      <c r="M1112" s="40" t="str" cm="1">
        <f t="array" ref="M1112">IFERROR(_xlfn.LET(
_xlpm.CSVVal,_xlfn.XLOOKUP($A1112,CSV!$A:$A,CSV!Q:Q,""),
_xlpm.MacVal,_xlfn.XLOOKUP($A1112,Output_Mac!$A:$A,Output_Mac!M:M,""),
_xlpm.MyAuditVal,_xlfn.XLOOKUP($A1112,My_Audit!$A:$A,My_Audit!L:L,""),
_xlfn.IFS(_xlpm.MyAuditVal&lt;&gt;"",UPPER(_xlpm.MyAuditVal),_xlpm.MacVal&lt;&gt;"",_xlpm.MacVal,_xlpm.CSVVal&lt;&gt;"",_xlpm.CSVVal
)),"")</f>
        <v/>
      </c>
      <c r="N1112" s="40"/>
      <c r="O1112" s="40" t="str">
        <f>_xlfn.LET(
    _xlpm.CSVVal, _xlfn.XLOOKUP($A1112, CSV!$A:$A, CSV!AA:AA, ""),
    _xlpm.MacVal, _xlfn.XLOOKUP($A1112, Output_Mac!$A:$A, Output_Mac!S:S, ""),
    _xlpm.MyAuditVal, _xlfn.XLOOKUP($A1112, My_Audit!$A:$A, My_Audit!P:P, ""),
    _xlfn.TEXTJOIN(", ", TRUE, _xlpm.MyAuditVal, _xlpm.MacVal, _xlpm.CSVVal)
)</f>
        <v/>
      </c>
      <c r="P1112" s="40" t="str" cm="1">
        <f t="array" ref="P1112">IFERROR(_xlfn.LET(
_xlpm.CSVVal,_xlfn.XLOOKUP($A1112,CSV!$A:$A,CSV!AB:AB,""),
_xlpm.MacVal,_xlfn.XLOOKUP($A1112,Output_Mac!$A:$A,Output_Mac!T:T,""),
_xlpm.MyAuditVal,_xlfn.XLOOKUP($A1112,My_Audit!$A:$A,My_Audit!Q:Q,""),
_xlfn.IFS(_xlpm.MyAuditVal&lt;&gt;"",UPPER(_xlpm.MyAuditVal),_xlpm.MacVal&lt;&gt;"",_xlpm.MacVal,_xlpm.CSVVal&lt;&gt;"",_xlpm.CSVVal
)),"No")</f>
        <v>No</v>
      </c>
      <c r="Q1112" s="40" t="str" cm="1">
        <f t="array" ref="Q1112">IFERROR(_xlfn.LET(
_xlpm.CSVVal,_xlfn.XLOOKUP($A1112,CSV!$A:$A,CSV!AC:AC,""),
_xlpm.MacVal,_xlfn.XLOOKUP($A1112,Output_Mac!$A:$A,Output_Mac!U:U,""),
_xlpm.MyAuditVal,_xlfn.XLOOKUP($A1112,My_Audit!$A:$A,My_Audit!R:R,""),
_xlfn.IFS(_xlpm.MyAuditVal&lt;&gt;"",UPPER(_xlpm.MyAuditVal),_xlpm.MacVal&lt;&gt;"",_xlpm.MacVal,_xlpm.CSVVal&lt;&gt;"",_xlpm.CSVVal
)),"")</f>
        <v/>
      </c>
      <c r="R1112" s="40"/>
      <c r="S1112" s="40"/>
      <c r="T1112" s="40"/>
      <c r="U1112" s="40"/>
      <c r="V1112" s="40"/>
      <c r="W1112" s="40"/>
      <c r="X1112" s="41" t="str">
        <f>_xlfn.LET(
    _xlpm.MacVal, _xlfn.XLOOKUP($A1112, Output_Mac!$A:$A, Output_Mac!AB:AB, ""),
    _xlpm.MyAuditVal, _xlfn.XLOOKUP($A1112, My_Audit!$A:$A, My_Audit!N:N, ""),
    _xlfn.TEXTJOIN(", ", TRUE, _xlpm.MyAuditVal, _xlpm.MacVal)
)</f>
        <v/>
      </c>
    </row>
    <row r="1113" spans="1:24">
      <c r="A1113" s="40" t="str">
        <f>_xlfn.TEXTJOIN("",TRUE,Input!$B$2,ROW(My_Audit!A1112))</f>
        <v>X1112</v>
      </c>
      <c r="B1113" s="40" t="str">
        <f>_xlfn.TEXTJOIN("-",TRUE,"ITD",Input!$A$2,A1113)</f>
        <v>ITD-X1112</v>
      </c>
      <c r="C1113" s="40" t="str" cm="1">
        <f t="array" ref="C1113">IFERROR(_xlfn.LET(
_xlpm.CSVVal,_xlfn.XLOOKUP($A1113,CSV!$A:$A,CSV!B:B,""),
_xlpm.MacVal,_xlfn.XLOOKUP($A1113,Output_Mac!$A:$A,Output_Mac!B:B,""),
_xlpm.MyAuditVal,_xlfn.XLOOKUP($A1113,My_Audit!$A:$A,My_Audit!B:B,""),
_xlfn.IFS(_xlpm.MyAuditVal&lt;&gt;"",UPPER(_xlpm.MyAuditVal),_xlpm.MacVal&lt;&gt;"",_xlpm.MacVal,_xlpm.CSVVal&lt;&gt;"",_xlpm.CSVVal
)),"")</f>
        <v/>
      </c>
      <c r="D1113" s="40" t="str" cm="1">
        <f t="array" ref="D1113">IFERROR(_xlfn.LET(
_xlpm.CSVVal,_xlfn.XLOOKUP($A1113,CSV!$A:$A,CSV!D:D,""),
_xlpm.MacVal,_xlfn.XLOOKUP($A1113,Output_Mac!$A:$A,Output_Mac!C:C,""),
_xlpm.MyAuditVal,_xlfn.XLOOKUP($A1113,My_Audit!$A:$A,My_Audit!C:C,""),
_xlfn.IFS(_xlpm.MyAuditVal&lt;&gt;"",_xlpm.MyAuditVal,_xlpm.MacVal&lt;&gt;"",_xlpm.MacVal,_xlpm.CSVVal&lt;&gt;"",_xlpm.CSVVal
)),"")</f>
        <v/>
      </c>
      <c r="E1113" s="40" t="str">
        <f>_xlfn.XLOOKUP(A1113,My_Audit!A:A,My_Audit!D:D,"")</f>
        <v/>
      </c>
      <c r="F1113" s="40" t="str" cm="1">
        <f t="array" ref="F1113">IFERROR(_xlfn.LET(
_xlpm.CSVVal,_xlfn.XLOOKUP($A1113,CSV!$A:$A,CSV!F:F,""),
_xlpm.MacVal,_xlfn.XLOOKUP($A1113,Output_Mac!$A:$A,Output_Mac!E:E,""),
_xlpm.MyAuditVal,_xlfn.XLOOKUP($A1113,My_Audit!$A:$A,My_Audit!E:E,""),
_xlfn.IFS(_xlpm.MyAuditVal&lt;&gt;"",_xlpm.MyAuditVal,_xlpm.MacVal&lt;&gt;"",_xlpm.MacVal,_xlpm.CSVVal&lt;&gt;"",_xlpm.CSVVal
)),"")</f>
        <v/>
      </c>
      <c r="G1113" s="40" t="str" cm="1">
        <f t="array" ref="G1113">IFERROR(_xlfn.LET(
_xlpm.CSVVal,_xlfn.XLOOKUP($A1113,CSV!$A:$A,CSV!G:G,""),
_xlpm.MacVal,_xlfn.XLOOKUP($A1113,Output_Mac!$A:$A,Output_Mac!F:F,""),
_xlpm.MyAuditVal,_xlfn.XLOOKUP($A1113,My_Audit!$A:$A,My_Audit!F:F,""),
_xlfn.IFS(_xlpm.MyAuditVal&lt;&gt;"",_xlpm.MyAuditVal,_xlpm.MacVal&lt;&gt;"",_xlpm.MacVal,_xlpm.CSVVal&lt;&gt;"",PROPER(_xlpm.CSVVal)
)),"")</f>
        <v/>
      </c>
      <c r="H1113" s="40" t="str" cm="1">
        <f t="array" ref="H1113">IFERROR(_xlfn.LET(
_xlpm.CSVVal,_xlfn.XLOOKUP($A1113,CSV!$A:$A,CSV!H:H,""),
_xlpm.MacVal,_xlfn.XLOOKUP($A1113,Output_Mac!$A:$A,Output_Mac!H:H,""),
_xlpm.MyAuditVal,_xlfn.XLOOKUP($A1113,My_Audit!$A:$A,My_Audit!G:G,""),
_xlfn.IFS(_xlpm.MyAuditVal&lt;&gt;"",_xlpm.MyAuditVal,_xlpm.MacVal&lt;&gt;"",_xlpm.MacVal,_xlpm.CSVVal&lt;&gt;"",_xlpm.CSVVal
)),"")</f>
        <v/>
      </c>
      <c r="I1113" s="40" t="str">
        <f>_xlfn.XLOOKUP(A1113,Output_Mac!A:A,Output_Mac!I:I,"")</f>
        <v/>
      </c>
      <c r="J1113" s="40" t="str" cm="1">
        <f t="array" ref="J1113">IFERROR(_xlfn.LET(
_xlpm.CSVVal,_xlfn.XLOOKUP($A1113,CSV!$A:$A,CSV!I:I,""),
_xlpm.MacVal,_xlfn.XLOOKUP($A1113,Output_Mac!$A:$A,Output_Mac!J:J,""),
_xlpm.MyAuditVal,_xlfn.XLOOKUP($A1113,My_Audit!$A:$A,My_Audit!I:I,""),
_xlfn.IFS(_xlpm.MyAuditVal&lt;&gt;"",UPPER(_xlpm.MyAuditVal),_xlpm.MacVal&lt;&gt;"",_xlpm.MacVal,_xlpm.CSVVal&lt;&gt;"",_xlpm.CSVVal
)),"")</f>
        <v/>
      </c>
      <c r="K1113" s="40" t="str" cm="1">
        <f t="array" ref="K1113">IFERROR(_xlfn.LET(
_xlpm.CSVVal,_xlfn.XLOOKUP($A1113,CSV!$A:$A,CSV!K:K,""),
_xlpm.MacVal,_xlfn.XLOOKUP($A1113,Output_Mac!$A:$A,Output_Mac!K:K,""),
_xlpm.MyAuditVal,_xlfn.XLOOKUP($A1113,My_Audit!$A:$A,My_Audit!J:J,""),
_xlfn.IFS(_xlpm.MyAuditVal&lt;&gt;"",UPPER(_xlpm.MyAuditVal),_xlpm.MacVal&lt;&gt;"",_xlpm.MacVal,_xlpm.CSVVal&lt;&gt;"",_xlpm.CSVVal
)),"")</f>
        <v/>
      </c>
      <c r="L1113" s="40" t="str" cm="1">
        <f t="array" ref="L1113">IFERROR(_xlfn.LET(
_xlpm.CSVVal,_xlfn.XLOOKUP($A1113,CSV!$A:$A,CSV!P:P,""),
_xlpm.MacVal,_xlfn.XLOOKUP($A1113,Output_Mac!$A:$A,Output_Mac!L:L,""),
_xlpm.MyAuditVal,_xlfn.XLOOKUP($A1113,My_Audit!$A:$A,My_Audit!K:K,""),
_xlfn.IFS(_xlpm.MyAuditVal&lt;&gt;"",UPPER(_xlpm.MyAuditVal),_xlpm.MacVal&lt;&gt;"",_xlpm.MacVal,_xlpm.CSVVal&lt;&gt;"",_xlpm.CSVVal
)),"")</f>
        <v/>
      </c>
      <c r="M1113" s="40" t="str" cm="1">
        <f t="array" ref="M1113">IFERROR(_xlfn.LET(
_xlpm.CSVVal,_xlfn.XLOOKUP($A1113,CSV!$A:$A,CSV!Q:Q,""),
_xlpm.MacVal,_xlfn.XLOOKUP($A1113,Output_Mac!$A:$A,Output_Mac!M:M,""),
_xlpm.MyAuditVal,_xlfn.XLOOKUP($A1113,My_Audit!$A:$A,My_Audit!L:L,""),
_xlfn.IFS(_xlpm.MyAuditVal&lt;&gt;"",UPPER(_xlpm.MyAuditVal),_xlpm.MacVal&lt;&gt;"",_xlpm.MacVal,_xlpm.CSVVal&lt;&gt;"",_xlpm.CSVVal
)),"")</f>
        <v/>
      </c>
      <c r="N1113" s="40"/>
      <c r="O1113" s="40" t="str">
        <f>_xlfn.LET(
    _xlpm.CSVVal, _xlfn.XLOOKUP($A1113, CSV!$A:$A, CSV!AA:AA, ""),
    _xlpm.MacVal, _xlfn.XLOOKUP($A1113, Output_Mac!$A:$A, Output_Mac!S:S, ""),
    _xlpm.MyAuditVal, _xlfn.XLOOKUP($A1113, My_Audit!$A:$A, My_Audit!P:P, ""),
    _xlfn.TEXTJOIN(", ", TRUE, _xlpm.MyAuditVal, _xlpm.MacVal, _xlpm.CSVVal)
)</f>
        <v/>
      </c>
      <c r="P1113" s="40" t="str" cm="1">
        <f t="array" ref="P1113">IFERROR(_xlfn.LET(
_xlpm.CSVVal,_xlfn.XLOOKUP($A1113,CSV!$A:$A,CSV!AB:AB,""),
_xlpm.MacVal,_xlfn.XLOOKUP($A1113,Output_Mac!$A:$A,Output_Mac!T:T,""),
_xlpm.MyAuditVal,_xlfn.XLOOKUP($A1113,My_Audit!$A:$A,My_Audit!Q:Q,""),
_xlfn.IFS(_xlpm.MyAuditVal&lt;&gt;"",UPPER(_xlpm.MyAuditVal),_xlpm.MacVal&lt;&gt;"",_xlpm.MacVal,_xlpm.CSVVal&lt;&gt;"",_xlpm.CSVVal
)),"No")</f>
        <v>No</v>
      </c>
      <c r="Q1113" s="40" t="str" cm="1">
        <f t="array" ref="Q1113">IFERROR(_xlfn.LET(
_xlpm.CSVVal,_xlfn.XLOOKUP($A1113,CSV!$A:$A,CSV!AC:AC,""),
_xlpm.MacVal,_xlfn.XLOOKUP($A1113,Output_Mac!$A:$A,Output_Mac!U:U,""),
_xlpm.MyAuditVal,_xlfn.XLOOKUP($A1113,My_Audit!$A:$A,My_Audit!R:R,""),
_xlfn.IFS(_xlpm.MyAuditVal&lt;&gt;"",UPPER(_xlpm.MyAuditVal),_xlpm.MacVal&lt;&gt;"",_xlpm.MacVal,_xlpm.CSVVal&lt;&gt;"",_xlpm.CSVVal
)),"")</f>
        <v/>
      </c>
      <c r="R1113" s="40"/>
      <c r="S1113" s="40"/>
      <c r="T1113" s="40"/>
      <c r="U1113" s="40"/>
      <c r="V1113" s="40"/>
      <c r="W1113" s="40"/>
      <c r="X1113" s="41" t="str">
        <f>_xlfn.LET(
    _xlpm.MacVal, _xlfn.XLOOKUP($A1113, Output_Mac!$A:$A, Output_Mac!AB:AB, ""),
    _xlpm.MyAuditVal, _xlfn.XLOOKUP($A1113, My_Audit!$A:$A, My_Audit!N:N, ""),
    _xlfn.TEXTJOIN(", ", TRUE, _xlpm.MyAuditVal, _xlpm.MacVal)
)</f>
        <v/>
      </c>
    </row>
    <row r="1114" spans="1:24">
      <c r="A1114" s="40" t="str">
        <f>_xlfn.TEXTJOIN("",TRUE,Input!$B$2,ROW(My_Audit!A1113))</f>
        <v>X1113</v>
      </c>
      <c r="B1114" s="40" t="str">
        <f>_xlfn.TEXTJOIN("-",TRUE,"ITD",Input!$A$2,A1114)</f>
        <v>ITD-X1113</v>
      </c>
      <c r="C1114" s="40" t="str" cm="1">
        <f t="array" ref="C1114">IFERROR(_xlfn.LET(
_xlpm.CSVVal,_xlfn.XLOOKUP($A1114,CSV!$A:$A,CSV!B:B,""),
_xlpm.MacVal,_xlfn.XLOOKUP($A1114,Output_Mac!$A:$A,Output_Mac!B:B,""),
_xlpm.MyAuditVal,_xlfn.XLOOKUP($A1114,My_Audit!$A:$A,My_Audit!B:B,""),
_xlfn.IFS(_xlpm.MyAuditVal&lt;&gt;"",UPPER(_xlpm.MyAuditVal),_xlpm.MacVal&lt;&gt;"",_xlpm.MacVal,_xlpm.CSVVal&lt;&gt;"",_xlpm.CSVVal
)),"")</f>
        <v/>
      </c>
      <c r="D1114" s="40" t="str" cm="1">
        <f t="array" ref="D1114">IFERROR(_xlfn.LET(
_xlpm.CSVVal,_xlfn.XLOOKUP($A1114,CSV!$A:$A,CSV!D:D,""),
_xlpm.MacVal,_xlfn.XLOOKUP($A1114,Output_Mac!$A:$A,Output_Mac!C:C,""),
_xlpm.MyAuditVal,_xlfn.XLOOKUP($A1114,My_Audit!$A:$A,My_Audit!C:C,""),
_xlfn.IFS(_xlpm.MyAuditVal&lt;&gt;"",_xlpm.MyAuditVal,_xlpm.MacVal&lt;&gt;"",_xlpm.MacVal,_xlpm.CSVVal&lt;&gt;"",_xlpm.CSVVal
)),"")</f>
        <v/>
      </c>
      <c r="E1114" s="40" t="str">
        <f>_xlfn.XLOOKUP(A1114,My_Audit!A:A,My_Audit!D:D,"")</f>
        <v/>
      </c>
      <c r="F1114" s="40" t="str" cm="1">
        <f t="array" ref="F1114">IFERROR(_xlfn.LET(
_xlpm.CSVVal,_xlfn.XLOOKUP($A1114,CSV!$A:$A,CSV!F:F,""),
_xlpm.MacVal,_xlfn.XLOOKUP($A1114,Output_Mac!$A:$A,Output_Mac!E:E,""),
_xlpm.MyAuditVal,_xlfn.XLOOKUP($A1114,My_Audit!$A:$A,My_Audit!E:E,""),
_xlfn.IFS(_xlpm.MyAuditVal&lt;&gt;"",_xlpm.MyAuditVal,_xlpm.MacVal&lt;&gt;"",_xlpm.MacVal,_xlpm.CSVVal&lt;&gt;"",_xlpm.CSVVal
)),"")</f>
        <v/>
      </c>
      <c r="G1114" s="40" t="str" cm="1">
        <f t="array" ref="G1114">IFERROR(_xlfn.LET(
_xlpm.CSVVal,_xlfn.XLOOKUP($A1114,CSV!$A:$A,CSV!G:G,""),
_xlpm.MacVal,_xlfn.XLOOKUP($A1114,Output_Mac!$A:$A,Output_Mac!F:F,""),
_xlpm.MyAuditVal,_xlfn.XLOOKUP($A1114,My_Audit!$A:$A,My_Audit!F:F,""),
_xlfn.IFS(_xlpm.MyAuditVal&lt;&gt;"",_xlpm.MyAuditVal,_xlpm.MacVal&lt;&gt;"",_xlpm.MacVal,_xlpm.CSVVal&lt;&gt;"",PROPER(_xlpm.CSVVal)
)),"")</f>
        <v/>
      </c>
      <c r="H1114" s="40" t="str" cm="1">
        <f t="array" ref="H1114">IFERROR(_xlfn.LET(
_xlpm.CSVVal,_xlfn.XLOOKUP($A1114,CSV!$A:$A,CSV!H:H,""),
_xlpm.MacVal,_xlfn.XLOOKUP($A1114,Output_Mac!$A:$A,Output_Mac!H:H,""),
_xlpm.MyAuditVal,_xlfn.XLOOKUP($A1114,My_Audit!$A:$A,My_Audit!G:G,""),
_xlfn.IFS(_xlpm.MyAuditVal&lt;&gt;"",_xlpm.MyAuditVal,_xlpm.MacVal&lt;&gt;"",_xlpm.MacVal,_xlpm.CSVVal&lt;&gt;"",_xlpm.CSVVal
)),"")</f>
        <v/>
      </c>
      <c r="I1114" s="40" t="str">
        <f>_xlfn.XLOOKUP(A1114,Output_Mac!A:A,Output_Mac!I:I,"")</f>
        <v/>
      </c>
      <c r="J1114" s="40" t="str" cm="1">
        <f t="array" ref="J1114">IFERROR(_xlfn.LET(
_xlpm.CSVVal,_xlfn.XLOOKUP($A1114,CSV!$A:$A,CSV!I:I,""),
_xlpm.MacVal,_xlfn.XLOOKUP($A1114,Output_Mac!$A:$A,Output_Mac!J:J,""),
_xlpm.MyAuditVal,_xlfn.XLOOKUP($A1114,My_Audit!$A:$A,My_Audit!I:I,""),
_xlfn.IFS(_xlpm.MyAuditVal&lt;&gt;"",UPPER(_xlpm.MyAuditVal),_xlpm.MacVal&lt;&gt;"",_xlpm.MacVal,_xlpm.CSVVal&lt;&gt;"",_xlpm.CSVVal
)),"")</f>
        <v/>
      </c>
      <c r="K1114" s="40" t="str" cm="1">
        <f t="array" ref="K1114">IFERROR(_xlfn.LET(
_xlpm.CSVVal,_xlfn.XLOOKUP($A1114,CSV!$A:$A,CSV!K:K,""),
_xlpm.MacVal,_xlfn.XLOOKUP($A1114,Output_Mac!$A:$A,Output_Mac!K:K,""),
_xlpm.MyAuditVal,_xlfn.XLOOKUP($A1114,My_Audit!$A:$A,My_Audit!J:J,""),
_xlfn.IFS(_xlpm.MyAuditVal&lt;&gt;"",UPPER(_xlpm.MyAuditVal),_xlpm.MacVal&lt;&gt;"",_xlpm.MacVal,_xlpm.CSVVal&lt;&gt;"",_xlpm.CSVVal
)),"")</f>
        <v/>
      </c>
      <c r="L1114" s="40" t="str" cm="1">
        <f t="array" ref="L1114">IFERROR(_xlfn.LET(
_xlpm.CSVVal,_xlfn.XLOOKUP($A1114,CSV!$A:$A,CSV!P:P,""),
_xlpm.MacVal,_xlfn.XLOOKUP($A1114,Output_Mac!$A:$A,Output_Mac!L:L,""),
_xlpm.MyAuditVal,_xlfn.XLOOKUP($A1114,My_Audit!$A:$A,My_Audit!K:K,""),
_xlfn.IFS(_xlpm.MyAuditVal&lt;&gt;"",UPPER(_xlpm.MyAuditVal),_xlpm.MacVal&lt;&gt;"",_xlpm.MacVal,_xlpm.CSVVal&lt;&gt;"",_xlpm.CSVVal
)),"")</f>
        <v/>
      </c>
      <c r="M1114" s="40" t="str" cm="1">
        <f t="array" ref="M1114">IFERROR(_xlfn.LET(
_xlpm.CSVVal,_xlfn.XLOOKUP($A1114,CSV!$A:$A,CSV!Q:Q,""),
_xlpm.MacVal,_xlfn.XLOOKUP($A1114,Output_Mac!$A:$A,Output_Mac!M:M,""),
_xlpm.MyAuditVal,_xlfn.XLOOKUP($A1114,My_Audit!$A:$A,My_Audit!L:L,""),
_xlfn.IFS(_xlpm.MyAuditVal&lt;&gt;"",UPPER(_xlpm.MyAuditVal),_xlpm.MacVal&lt;&gt;"",_xlpm.MacVal,_xlpm.CSVVal&lt;&gt;"",_xlpm.CSVVal
)),"")</f>
        <v/>
      </c>
      <c r="N1114" s="40"/>
      <c r="O1114" s="40" t="str">
        <f>_xlfn.LET(
    _xlpm.CSVVal, _xlfn.XLOOKUP($A1114, CSV!$A:$A, CSV!AA:AA, ""),
    _xlpm.MacVal, _xlfn.XLOOKUP($A1114, Output_Mac!$A:$A, Output_Mac!S:S, ""),
    _xlpm.MyAuditVal, _xlfn.XLOOKUP($A1114, My_Audit!$A:$A, My_Audit!P:P, ""),
    _xlfn.TEXTJOIN(", ", TRUE, _xlpm.MyAuditVal, _xlpm.MacVal, _xlpm.CSVVal)
)</f>
        <v/>
      </c>
      <c r="P1114" s="40" t="str" cm="1">
        <f t="array" ref="P1114">IFERROR(_xlfn.LET(
_xlpm.CSVVal,_xlfn.XLOOKUP($A1114,CSV!$A:$A,CSV!AB:AB,""),
_xlpm.MacVal,_xlfn.XLOOKUP($A1114,Output_Mac!$A:$A,Output_Mac!T:T,""),
_xlpm.MyAuditVal,_xlfn.XLOOKUP($A1114,My_Audit!$A:$A,My_Audit!Q:Q,""),
_xlfn.IFS(_xlpm.MyAuditVal&lt;&gt;"",UPPER(_xlpm.MyAuditVal),_xlpm.MacVal&lt;&gt;"",_xlpm.MacVal,_xlpm.CSVVal&lt;&gt;"",_xlpm.CSVVal
)),"No")</f>
        <v>No</v>
      </c>
      <c r="Q1114" s="40" t="str" cm="1">
        <f t="array" ref="Q1114">IFERROR(_xlfn.LET(
_xlpm.CSVVal,_xlfn.XLOOKUP($A1114,CSV!$A:$A,CSV!AC:AC,""),
_xlpm.MacVal,_xlfn.XLOOKUP($A1114,Output_Mac!$A:$A,Output_Mac!U:U,""),
_xlpm.MyAuditVal,_xlfn.XLOOKUP($A1114,My_Audit!$A:$A,My_Audit!R:R,""),
_xlfn.IFS(_xlpm.MyAuditVal&lt;&gt;"",UPPER(_xlpm.MyAuditVal),_xlpm.MacVal&lt;&gt;"",_xlpm.MacVal,_xlpm.CSVVal&lt;&gt;"",_xlpm.CSVVal
)),"")</f>
        <v/>
      </c>
      <c r="R1114" s="40"/>
      <c r="S1114" s="40"/>
      <c r="T1114" s="40"/>
      <c r="U1114" s="40"/>
      <c r="V1114" s="40"/>
      <c r="W1114" s="40"/>
      <c r="X1114" s="41" t="str">
        <f>_xlfn.LET(
    _xlpm.MacVal, _xlfn.XLOOKUP($A1114, Output_Mac!$A:$A, Output_Mac!AB:AB, ""),
    _xlpm.MyAuditVal, _xlfn.XLOOKUP($A1114, My_Audit!$A:$A, My_Audit!N:N, ""),
    _xlfn.TEXTJOIN(", ", TRUE, _xlpm.MyAuditVal, _xlpm.MacVal)
)</f>
        <v/>
      </c>
    </row>
    <row r="1115" spans="1:24">
      <c r="A1115" s="40" t="str">
        <f>_xlfn.TEXTJOIN("",TRUE,Input!$B$2,ROW(My_Audit!A1114))</f>
        <v>X1114</v>
      </c>
      <c r="B1115" s="40" t="str">
        <f>_xlfn.TEXTJOIN("-",TRUE,"ITD",Input!$A$2,A1115)</f>
        <v>ITD-X1114</v>
      </c>
      <c r="C1115" s="40" t="str" cm="1">
        <f t="array" ref="C1115">IFERROR(_xlfn.LET(
_xlpm.CSVVal,_xlfn.XLOOKUP($A1115,CSV!$A:$A,CSV!B:B,""),
_xlpm.MacVal,_xlfn.XLOOKUP($A1115,Output_Mac!$A:$A,Output_Mac!B:B,""),
_xlpm.MyAuditVal,_xlfn.XLOOKUP($A1115,My_Audit!$A:$A,My_Audit!B:B,""),
_xlfn.IFS(_xlpm.MyAuditVal&lt;&gt;"",UPPER(_xlpm.MyAuditVal),_xlpm.MacVal&lt;&gt;"",_xlpm.MacVal,_xlpm.CSVVal&lt;&gt;"",_xlpm.CSVVal
)),"")</f>
        <v/>
      </c>
      <c r="D1115" s="40" t="str" cm="1">
        <f t="array" ref="D1115">IFERROR(_xlfn.LET(
_xlpm.CSVVal,_xlfn.XLOOKUP($A1115,CSV!$A:$A,CSV!D:D,""),
_xlpm.MacVal,_xlfn.XLOOKUP($A1115,Output_Mac!$A:$A,Output_Mac!C:C,""),
_xlpm.MyAuditVal,_xlfn.XLOOKUP($A1115,My_Audit!$A:$A,My_Audit!C:C,""),
_xlfn.IFS(_xlpm.MyAuditVal&lt;&gt;"",_xlpm.MyAuditVal,_xlpm.MacVal&lt;&gt;"",_xlpm.MacVal,_xlpm.CSVVal&lt;&gt;"",_xlpm.CSVVal
)),"")</f>
        <v/>
      </c>
      <c r="E1115" s="40" t="str">
        <f>_xlfn.XLOOKUP(A1115,My_Audit!A:A,My_Audit!D:D,"")</f>
        <v/>
      </c>
      <c r="F1115" s="40" t="str" cm="1">
        <f t="array" ref="F1115">IFERROR(_xlfn.LET(
_xlpm.CSVVal,_xlfn.XLOOKUP($A1115,CSV!$A:$A,CSV!F:F,""),
_xlpm.MacVal,_xlfn.XLOOKUP($A1115,Output_Mac!$A:$A,Output_Mac!E:E,""),
_xlpm.MyAuditVal,_xlfn.XLOOKUP($A1115,My_Audit!$A:$A,My_Audit!E:E,""),
_xlfn.IFS(_xlpm.MyAuditVal&lt;&gt;"",_xlpm.MyAuditVal,_xlpm.MacVal&lt;&gt;"",_xlpm.MacVal,_xlpm.CSVVal&lt;&gt;"",_xlpm.CSVVal
)),"")</f>
        <v/>
      </c>
      <c r="G1115" s="40" t="str" cm="1">
        <f t="array" ref="G1115">IFERROR(_xlfn.LET(
_xlpm.CSVVal,_xlfn.XLOOKUP($A1115,CSV!$A:$A,CSV!G:G,""),
_xlpm.MacVal,_xlfn.XLOOKUP($A1115,Output_Mac!$A:$A,Output_Mac!F:F,""),
_xlpm.MyAuditVal,_xlfn.XLOOKUP($A1115,My_Audit!$A:$A,My_Audit!F:F,""),
_xlfn.IFS(_xlpm.MyAuditVal&lt;&gt;"",_xlpm.MyAuditVal,_xlpm.MacVal&lt;&gt;"",_xlpm.MacVal,_xlpm.CSVVal&lt;&gt;"",PROPER(_xlpm.CSVVal)
)),"")</f>
        <v/>
      </c>
      <c r="H1115" s="40" t="str" cm="1">
        <f t="array" ref="H1115">IFERROR(_xlfn.LET(
_xlpm.CSVVal,_xlfn.XLOOKUP($A1115,CSV!$A:$A,CSV!H:H,""),
_xlpm.MacVal,_xlfn.XLOOKUP($A1115,Output_Mac!$A:$A,Output_Mac!H:H,""),
_xlpm.MyAuditVal,_xlfn.XLOOKUP($A1115,My_Audit!$A:$A,My_Audit!G:G,""),
_xlfn.IFS(_xlpm.MyAuditVal&lt;&gt;"",_xlpm.MyAuditVal,_xlpm.MacVal&lt;&gt;"",_xlpm.MacVal,_xlpm.CSVVal&lt;&gt;"",_xlpm.CSVVal
)),"")</f>
        <v/>
      </c>
      <c r="I1115" s="40" t="str">
        <f>_xlfn.XLOOKUP(A1115,Output_Mac!A:A,Output_Mac!I:I,"")</f>
        <v/>
      </c>
      <c r="J1115" s="40" t="str" cm="1">
        <f t="array" ref="J1115">IFERROR(_xlfn.LET(
_xlpm.CSVVal,_xlfn.XLOOKUP($A1115,CSV!$A:$A,CSV!I:I,""),
_xlpm.MacVal,_xlfn.XLOOKUP($A1115,Output_Mac!$A:$A,Output_Mac!J:J,""),
_xlpm.MyAuditVal,_xlfn.XLOOKUP($A1115,My_Audit!$A:$A,My_Audit!I:I,""),
_xlfn.IFS(_xlpm.MyAuditVal&lt;&gt;"",UPPER(_xlpm.MyAuditVal),_xlpm.MacVal&lt;&gt;"",_xlpm.MacVal,_xlpm.CSVVal&lt;&gt;"",_xlpm.CSVVal
)),"")</f>
        <v/>
      </c>
      <c r="K1115" s="40" t="str" cm="1">
        <f t="array" ref="K1115">IFERROR(_xlfn.LET(
_xlpm.CSVVal,_xlfn.XLOOKUP($A1115,CSV!$A:$A,CSV!K:K,""),
_xlpm.MacVal,_xlfn.XLOOKUP($A1115,Output_Mac!$A:$A,Output_Mac!K:K,""),
_xlpm.MyAuditVal,_xlfn.XLOOKUP($A1115,My_Audit!$A:$A,My_Audit!J:J,""),
_xlfn.IFS(_xlpm.MyAuditVal&lt;&gt;"",UPPER(_xlpm.MyAuditVal),_xlpm.MacVal&lt;&gt;"",_xlpm.MacVal,_xlpm.CSVVal&lt;&gt;"",_xlpm.CSVVal
)),"")</f>
        <v/>
      </c>
      <c r="L1115" s="40" t="str" cm="1">
        <f t="array" ref="L1115">IFERROR(_xlfn.LET(
_xlpm.CSVVal,_xlfn.XLOOKUP($A1115,CSV!$A:$A,CSV!P:P,""),
_xlpm.MacVal,_xlfn.XLOOKUP($A1115,Output_Mac!$A:$A,Output_Mac!L:L,""),
_xlpm.MyAuditVal,_xlfn.XLOOKUP($A1115,My_Audit!$A:$A,My_Audit!K:K,""),
_xlfn.IFS(_xlpm.MyAuditVal&lt;&gt;"",UPPER(_xlpm.MyAuditVal),_xlpm.MacVal&lt;&gt;"",_xlpm.MacVal,_xlpm.CSVVal&lt;&gt;"",_xlpm.CSVVal
)),"")</f>
        <v/>
      </c>
      <c r="M1115" s="40" t="str" cm="1">
        <f t="array" ref="M1115">IFERROR(_xlfn.LET(
_xlpm.CSVVal,_xlfn.XLOOKUP($A1115,CSV!$A:$A,CSV!Q:Q,""),
_xlpm.MacVal,_xlfn.XLOOKUP($A1115,Output_Mac!$A:$A,Output_Mac!M:M,""),
_xlpm.MyAuditVal,_xlfn.XLOOKUP($A1115,My_Audit!$A:$A,My_Audit!L:L,""),
_xlfn.IFS(_xlpm.MyAuditVal&lt;&gt;"",UPPER(_xlpm.MyAuditVal),_xlpm.MacVal&lt;&gt;"",_xlpm.MacVal,_xlpm.CSVVal&lt;&gt;"",_xlpm.CSVVal
)),"")</f>
        <v/>
      </c>
      <c r="N1115" s="40"/>
      <c r="O1115" s="40" t="str">
        <f>_xlfn.LET(
    _xlpm.CSVVal, _xlfn.XLOOKUP($A1115, CSV!$A:$A, CSV!AA:AA, ""),
    _xlpm.MacVal, _xlfn.XLOOKUP($A1115, Output_Mac!$A:$A, Output_Mac!S:S, ""),
    _xlpm.MyAuditVal, _xlfn.XLOOKUP($A1115, My_Audit!$A:$A, My_Audit!P:P, ""),
    _xlfn.TEXTJOIN(", ", TRUE, _xlpm.MyAuditVal, _xlpm.MacVal, _xlpm.CSVVal)
)</f>
        <v/>
      </c>
      <c r="P1115" s="40" t="str" cm="1">
        <f t="array" ref="P1115">IFERROR(_xlfn.LET(
_xlpm.CSVVal,_xlfn.XLOOKUP($A1115,CSV!$A:$A,CSV!AB:AB,""),
_xlpm.MacVal,_xlfn.XLOOKUP($A1115,Output_Mac!$A:$A,Output_Mac!T:T,""),
_xlpm.MyAuditVal,_xlfn.XLOOKUP($A1115,My_Audit!$A:$A,My_Audit!Q:Q,""),
_xlfn.IFS(_xlpm.MyAuditVal&lt;&gt;"",UPPER(_xlpm.MyAuditVal),_xlpm.MacVal&lt;&gt;"",_xlpm.MacVal,_xlpm.CSVVal&lt;&gt;"",_xlpm.CSVVal
)),"No")</f>
        <v>No</v>
      </c>
      <c r="Q1115" s="40" t="str" cm="1">
        <f t="array" ref="Q1115">IFERROR(_xlfn.LET(
_xlpm.CSVVal,_xlfn.XLOOKUP($A1115,CSV!$A:$A,CSV!AC:AC,""),
_xlpm.MacVal,_xlfn.XLOOKUP($A1115,Output_Mac!$A:$A,Output_Mac!U:U,""),
_xlpm.MyAuditVal,_xlfn.XLOOKUP($A1115,My_Audit!$A:$A,My_Audit!R:R,""),
_xlfn.IFS(_xlpm.MyAuditVal&lt;&gt;"",UPPER(_xlpm.MyAuditVal),_xlpm.MacVal&lt;&gt;"",_xlpm.MacVal,_xlpm.CSVVal&lt;&gt;"",_xlpm.CSVVal
)),"")</f>
        <v/>
      </c>
      <c r="R1115" s="40"/>
      <c r="S1115" s="40"/>
      <c r="T1115" s="40"/>
      <c r="U1115" s="40"/>
      <c r="V1115" s="40"/>
      <c r="W1115" s="40"/>
      <c r="X1115" s="41" t="str">
        <f>_xlfn.LET(
    _xlpm.MacVal, _xlfn.XLOOKUP($A1115, Output_Mac!$A:$A, Output_Mac!AB:AB, ""),
    _xlpm.MyAuditVal, _xlfn.XLOOKUP($A1115, My_Audit!$A:$A, My_Audit!N:N, ""),
    _xlfn.TEXTJOIN(", ", TRUE, _xlpm.MyAuditVal, _xlpm.MacVal)
)</f>
        <v/>
      </c>
    </row>
    <row r="1116" spans="1:24">
      <c r="A1116" s="40" t="str">
        <f>_xlfn.TEXTJOIN("",TRUE,Input!$B$2,ROW(My_Audit!A1115))</f>
        <v>X1115</v>
      </c>
      <c r="B1116" s="40" t="str">
        <f>_xlfn.TEXTJOIN("-",TRUE,"ITD",Input!$A$2,A1116)</f>
        <v>ITD-X1115</v>
      </c>
      <c r="C1116" s="40" t="str" cm="1">
        <f t="array" ref="C1116">IFERROR(_xlfn.LET(
_xlpm.CSVVal,_xlfn.XLOOKUP($A1116,CSV!$A:$A,CSV!B:B,""),
_xlpm.MacVal,_xlfn.XLOOKUP($A1116,Output_Mac!$A:$A,Output_Mac!B:B,""),
_xlpm.MyAuditVal,_xlfn.XLOOKUP($A1116,My_Audit!$A:$A,My_Audit!B:B,""),
_xlfn.IFS(_xlpm.MyAuditVal&lt;&gt;"",UPPER(_xlpm.MyAuditVal),_xlpm.MacVal&lt;&gt;"",_xlpm.MacVal,_xlpm.CSVVal&lt;&gt;"",_xlpm.CSVVal
)),"")</f>
        <v/>
      </c>
      <c r="D1116" s="40" t="str" cm="1">
        <f t="array" ref="D1116">IFERROR(_xlfn.LET(
_xlpm.CSVVal,_xlfn.XLOOKUP($A1116,CSV!$A:$A,CSV!D:D,""),
_xlpm.MacVal,_xlfn.XLOOKUP($A1116,Output_Mac!$A:$A,Output_Mac!C:C,""),
_xlpm.MyAuditVal,_xlfn.XLOOKUP($A1116,My_Audit!$A:$A,My_Audit!C:C,""),
_xlfn.IFS(_xlpm.MyAuditVal&lt;&gt;"",_xlpm.MyAuditVal,_xlpm.MacVal&lt;&gt;"",_xlpm.MacVal,_xlpm.CSVVal&lt;&gt;"",_xlpm.CSVVal
)),"")</f>
        <v/>
      </c>
      <c r="E1116" s="40" t="str">
        <f>_xlfn.XLOOKUP(A1116,My_Audit!A:A,My_Audit!D:D,"")</f>
        <v/>
      </c>
      <c r="F1116" s="40" t="str" cm="1">
        <f t="array" ref="F1116">IFERROR(_xlfn.LET(
_xlpm.CSVVal,_xlfn.XLOOKUP($A1116,CSV!$A:$A,CSV!F:F,""),
_xlpm.MacVal,_xlfn.XLOOKUP($A1116,Output_Mac!$A:$A,Output_Mac!E:E,""),
_xlpm.MyAuditVal,_xlfn.XLOOKUP($A1116,My_Audit!$A:$A,My_Audit!E:E,""),
_xlfn.IFS(_xlpm.MyAuditVal&lt;&gt;"",_xlpm.MyAuditVal,_xlpm.MacVal&lt;&gt;"",_xlpm.MacVal,_xlpm.CSVVal&lt;&gt;"",_xlpm.CSVVal
)),"")</f>
        <v/>
      </c>
      <c r="G1116" s="40" t="str" cm="1">
        <f t="array" ref="G1116">IFERROR(_xlfn.LET(
_xlpm.CSVVal,_xlfn.XLOOKUP($A1116,CSV!$A:$A,CSV!G:G,""),
_xlpm.MacVal,_xlfn.XLOOKUP($A1116,Output_Mac!$A:$A,Output_Mac!F:F,""),
_xlpm.MyAuditVal,_xlfn.XLOOKUP($A1116,My_Audit!$A:$A,My_Audit!F:F,""),
_xlfn.IFS(_xlpm.MyAuditVal&lt;&gt;"",_xlpm.MyAuditVal,_xlpm.MacVal&lt;&gt;"",_xlpm.MacVal,_xlpm.CSVVal&lt;&gt;"",PROPER(_xlpm.CSVVal)
)),"")</f>
        <v/>
      </c>
      <c r="H1116" s="40" t="str" cm="1">
        <f t="array" ref="H1116">IFERROR(_xlfn.LET(
_xlpm.CSVVal,_xlfn.XLOOKUP($A1116,CSV!$A:$A,CSV!H:H,""),
_xlpm.MacVal,_xlfn.XLOOKUP($A1116,Output_Mac!$A:$A,Output_Mac!H:H,""),
_xlpm.MyAuditVal,_xlfn.XLOOKUP($A1116,My_Audit!$A:$A,My_Audit!G:G,""),
_xlfn.IFS(_xlpm.MyAuditVal&lt;&gt;"",_xlpm.MyAuditVal,_xlpm.MacVal&lt;&gt;"",_xlpm.MacVal,_xlpm.CSVVal&lt;&gt;"",_xlpm.CSVVal
)),"")</f>
        <v/>
      </c>
      <c r="I1116" s="40" t="str">
        <f>_xlfn.XLOOKUP(A1116,Output_Mac!A:A,Output_Mac!I:I,"")</f>
        <v/>
      </c>
      <c r="J1116" s="40" t="str" cm="1">
        <f t="array" ref="J1116">IFERROR(_xlfn.LET(
_xlpm.CSVVal,_xlfn.XLOOKUP($A1116,CSV!$A:$A,CSV!I:I,""),
_xlpm.MacVal,_xlfn.XLOOKUP($A1116,Output_Mac!$A:$A,Output_Mac!J:J,""),
_xlpm.MyAuditVal,_xlfn.XLOOKUP($A1116,My_Audit!$A:$A,My_Audit!I:I,""),
_xlfn.IFS(_xlpm.MyAuditVal&lt;&gt;"",UPPER(_xlpm.MyAuditVal),_xlpm.MacVal&lt;&gt;"",_xlpm.MacVal,_xlpm.CSVVal&lt;&gt;"",_xlpm.CSVVal
)),"")</f>
        <v/>
      </c>
      <c r="K1116" s="40" t="str" cm="1">
        <f t="array" ref="K1116">IFERROR(_xlfn.LET(
_xlpm.CSVVal,_xlfn.XLOOKUP($A1116,CSV!$A:$A,CSV!K:K,""),
_xlpm.MacVal,_xlfn.XLOOKUP($A1116,Output_Mac!$A:$A,Output_Mac!K:K,""),
_xlpm.MyAuditVal,_xlfn.XLOOKUP($A1116,My_Audit!$A:$A,My_Audit!J:J,""),
_xlfn.IFS(_xlpm.MyAuditVal&lt;&gt;"",UPPER(_xlpm.MyAuditVal),_xlpm.MacVal&lt;&gt;"",_xlpm.MacVal,_xlpm.CSVVal&lt;&gt;"",_xlpm.CSVVal
)),"")</f>
        <v/>
      </c>
      <c r="L1116" s="40" t="str" cm="1">
        <f t="array" ref="L1116">IFERROR(_xlfn.LET(
_xlpm.CSVVal,_xlfn.XLOOKUP($A1116,CSV!$A:$A,CSV!P:P,""),
_xlpm.MacVal,_xlfn.XLOOKUP($A1116,Output_Mac!$A:$A,Output_Mac!L:L,""),
_xlpm.MyAuditVal,_xlfn.XLOOKUP($A1116,My_Audit!$A:$A,My_Audit!K:K,""),
_xlfn.IFS(_xlpm.MyAuditVal&lt;&gt;"",UPPER(_xlpm.MyAuditVal),_xlpm.MacVal&lt;&gt;"",_xlpm.MacVal,_xlpm.CSVVal&lt;&gt;"",_xlpm.CSVVal
)),"")</f>
        <v/>
      </c>
      <c r="M1116" s="40" t="str" cm="1">
        <f t="array" ref="M1116">IFERROR(_xlfn.LET(
_xlpm.CSVVal,_xlfn.XLOOKUP($A1116,CSV!$A:$A,CSV!Q:Q,""),
_xlpm.MacVal,_xlfn.XLOOKUP($A1116,Output_Mac!$A:$A,Output_Mac!M:M,""),
_xlpm.MyAuditVal,_xlfn.XLOOKUP($A1116,My_Audit!$A:$A,My_Audit!L:L,""),
_xlfn.IFS(_xlpm.MyAuditVal&lt;&gt;"",UPPER(_xlpm.MyAuditVal),_xlpm.MacVal&lt;&gt;"",_xlpm.MacVal,_xlpm.CSVVal&lt;&gt;"",_xlpm.CSVVal
)),"")</f>
        <v/>
      </c>
      <c r="N1116" s="40"/>
      <c r="O1116" s="40" t="str">
        <f>_xlfn.LET(
    _xlpm.CSVVal, _xlfn.XLOOKUP($A1116, CSV!$A:$A, CSV!AA:AA, ""),
    _xlpm.MacVal, _xlfn.XLOOKUP($A1116, Output_Mac!$A:$A, Output_Mac!S:S, ""),
    _xlpm.MyAuditVal, _xlfn.XLOOKUP($A1116, My_Audit!$A:$A, My_Audit!P:P, ""),
    _xlfn.TEXTJOIN(", ", TRUE, _xlpm.MyAuditVal, _xlpm.MacVal, _xlpm.CSVVal)
)</f>
        <v/>
      </c>
      <c r="P1116" s="40" t="str" cm="1">
        <f t="array" ref="P1116">IFERROR(_xlfn.LET(
_xlpm.CSVVal,_xlfn.XLOOKUP($A1116,CSV!$A:$A,CSV!AB:AB,""),
_xlpm.MacVal,_xlfn.XLOOKUP($A1116,Output_Mac!$A:$A,Output_Mac!T:T,""),
_xlpm.MyAuditVal,_xlfn.XLOOKUP($A1116,My_Audit!$A:$A,My_Audit!Q:Q,""),
_xlfn.IFS(_xlpm.MyAuditVal&lt;&gt;"",UPPER(_xlpm.MyAuditVal),_xlpm.MacVal&lt;&gt;"",_xlpm.MacVal,_xlpm.CSVVal&lt;&gt;"",_xlpm.CSVVal
)),"No")</f>
        <v>No</v>
      </c>
      <c r="Q1116" s="40" t="str" cm="1">
        <f t="array" ref="Q1116">IFERROR(_xlfn.LET(
_xlpm.CSVVal,_xlfn.XLOOKUP($A1116,CSV!$A:$A,CSV!AC:AC,""),
_xlpm.MacVal,_xlfn.XLOOKUP($A1116,Output_Mac!$A:$A,Output_Mac!U:U,""),
_xlpm.MyAuditVal,_xlfn.XLOOKUP($A1116,My_Audit!$A:$A,My_Audit!R:R,""),
_xlfn.IFS(_xlpm.MyAuditVal&lt;&gt;"",UPPER(_xlpm.MyAuditVal),_xlpm.MacVal&lt;&gt;"",_xlpm.MacVal,_xlpm.CSVVal&lt;&gt;"",_xlpm.CSVVal
)),"")</f>
        <v/>
      </c>
      <c r="R1116" s="40"/>
      <c r="S1116" s="40"/>
      <c r="T1116" s="40"/>
      <c r="U1116" s="40"/>
      <c r="V1116" s="40"/>
      <c r="W1116" s="40"/>
      <c r="X1116" s="41" t="str">
        <f>_xlfn.LET(
    _xlpm.MacVal, _xlfn.XLOOKUP($A1116, Output_Mac!$A:$A, Output_Mac!AB:AB, ""),
    _xlpm.MyAuditVal, _xlfn.XLOOKUP($A1116, My_Audit!$A:$A, My_Audit!N:N, ""),
    _xlfn.TEXTJOIN(", ", TRUE, _xlpm.MyAuditVal, _xlpm.MacVal)
)</f>
        <v/>
      </c>
    </row>
    <row r="1117" spans="1:24">
      <c r="A1117" s="40" t="str">
        <f>_xlfn.TEXTJOIN("",TRUE,Input!$B$2,ROW(My_Audit!A1116))</f>
        <v>X1116</v>
      </c>
      <c r="B1117" s="40" t="str">
        <f>_xlfn.TEXTJOIN("-",TRUE,"ITD",Input!$A$2,A1117)</f>
        <v>ITD-X1116</v>
      </c>
      <c r="C1117" s="40" t="str" cm="1">
        <f t="array" ref="C1117">IFERROR(_xlfn.LET(
_xlpm.CSVVal,_xlfn.XLOOKUP($A1117,CSV!$A:$A,CSV!B:B,""),
_xlpm.MacVal,_xlfn.XLOOKUP($A1117,Output_Mac!$A:$A,Output_Mac!B:B,""),
_xlpm.MyAuditVal,_xlfn.XLOOKUP($A1117,My_Audit!$A:$A,My_Audit!B:B,""),
_xlfn.IFS(_xlpm.MyAuditVal&lt;&gt;"",UPPER(_xlpm.MyAuditVal),_xlpm.MacVal&lt;&gt;"",_xlpm.MacVal,_xlpm.CSVVal&lt;&gt;"",_xlpm.CSVVal
)),"")</f>
        <v/>
      </c>
      <c r="D1117" s="40" t="str" cm="1">
        <f t="array" ref="D1117">IFERROR(_xlfn.LET(
_xlpm.CSVVal,_xlfn.XLOOKUP($A1117,CSV!$A:$A,CSV!D:D,""),
_xlpm.MacVal,_xlfn.XLOOKUP($A1117,Output_Mac!$A:$A,Output_Mac!C:C,""),
_xlpm.MyAuditVal,_xlfn.XLOOKUP($A1117,My_Audit!$A:$A,My_Audit!C:C,""),
_xlfn.IFS(_xlpm.MyAuditVal&lt;&gt;"",_xlpm.MyAuditVal,_xlpm.MacVal&lt;&gt;"",_xlpm.MacVal,_xlpm.CSVVal&lt;&gt;"",_xlpm.CSVVal
)),"")</f>
        <v/>
      </c>
      <c r="E1117" s="40" t="str">
        <f>_xlfn.XLOOKUP(A1117,My_Audit!A:A,My_Audit!D:D,"")</f>
        <v/>
      </c>
      <c r="F1117" s="40" t="str" cm="1">
        <f t="array" ref="F1117">IFERROR(_xlfn.LET(
_xlpm.CSVVal,_xlfn.XLOOKUP($A1117,CSV!$A:$A,CSV!F:F,""),
_xlpm.MacVal,_xlfn.XLOOKUP($A1117,Output_Mac!$A:$A,Output_Mac!E:E,""),
_xlpm.MyAuditVal,_xlfn.XLOOKUP($A1117,My_Audit!$A:$A,My_Audit!E:E,""),
_xlfn.IFS(_xlpm.MyAuditVal&lt;&gt;"",_xlpm.MyAuditVal,_xlpm.MacVal&lt;&gt;"",_xlpm.MacVal,_xlpm.CSVVal&lt;&gt;"",_xlpm.CSVVal
)),"")</f>
        <v/>
      </c>
      <c r="G1117" s="40" t="str" cm="1">
        <f t="array" ref="G1117">IFERROR(_xlfn.LET(
_xlpm.CSVVal,_xlfn.XLOOKUP($A1117,CSV!$A:$A,CSV!G:G,""),
_xlpm.MacVal,_xlfn.XLOOKUP($A1117,Output_Mac!$A:$A,Output_Mac!F:F,""),
_xlpm.MyAuditVal,_xlfn.XLOOKUP($A1117,My_Audit!$A:$A,My_Audit!F:F,""),
_xlfn.IFS(_xlpm.MyAuditVal&lt;&gt;"",_xlpm.MyAuditVal,_xlpm.MacVal&lt;&gt;"",_xlpm.MacVal,_xlpm.CSVVal&lt;&gt;"",PROPER(_xlpm.CSVVal)
)),"")</f>
        <v/>
      </c>
      <c r="H1117" s="40" t="str" cm="1">
        <f t="array" ref="H1117">IFERROR(_xlfn.LET(
_xlpm.CSVVal,_xlfn.XLOOKUP($A1117,CSV!$A:$A,CSV!H:H,""),
_xlpm.MacVal,_xlfn.XLOOKUP($A1117,Output_Mac!$A:$A,Output_Mac!H:H,""),
_xlpm.MyAuditVal,_xlfn.XLOOKUP($A1117,My_Audit!$A:$A,My_Audit!G:G,""),
_xlfn.IFS(_xlpm.MyAuditVal&lt;&gt;"",_xlpm.MyAuditVal,_xlpm.MacVal&lt;&gt;"",_xlpm.MacVal,_xlpm.CSVVal&lt;&gt;"",_xlpm.CSVVal
)),"")</f>
        <v/>
      </c>
      <c r="I1117" s="40" t="str">
        <f>_xlfn.XLOOKUP(A1117,Output_Mac!A:A,Output_Mac!I:I,"")</f>
        <v/>
      </c>
      <c r="J1117" s="40" t="str" cm="1">
        <f t="array" ref="J1117">IFERROR(_xlfn.LET(
_xlpm.CSVVal,_xlfn.XLOOKUP($A1117,CSV!$A:$A,CSV!I:I,""),
_xlpm.MacVal,_xlfn.XLOOKUP($A1117,Output_Mac!$A:$A,Output_Mac!J:J,""),
_xlpm.MyAuditVal,_xlfn.XLOOKUP($A1117,My_Audit!$A:$A,My_Audit!I:I,""),
_xlfn.IFS(_xlpm.MyAuditVal&lt;&gt;"",UPPER(_xlpm.MyAuditVal),_xlpm.MacVal&lt;&gt;"",_xlpm.MacVal,_xlpm.CSVVal&lt;&gt;"",_xlpm.CSVVal
)),"")</f>
        <v/>
      </c>
      <c r="K1117" s="40" t="str" cm="1">
        <f t="array" ref="K1117">IFERROR(_xlfn.LET(
_xlpm.CSVVal,_xlfn.XLOOKUP($A1117,CSV!$A:$A,CSV!K:K,""),
_xlpm.MacVal,_xlfn.XLOOKUP($A1117,Output_Mac!$A:$A,Output_Mac!K:K,""),
_xlpm.MyAuditVal,_xlfn.XLOOKUP($A1117,My_Audit!$A:$A,My_Audit!J:J,""),
_xlfn.IFS(_xlpm.MyAuditVal&lt;&gt;"",UPPER(_xlpm.MyAuditVal),_xlpm.MacVal&lt;&gt;"",_xlpm.MacVal,_xlpm.CSVVal&lt;&gt;"",_xlpm.CSVVal
)),"")</f>
        <v/>
      </c>
      <c r="L1117" s="40" t="str" cm="1">
        <f t="array" ref="L1117">IFERROR(_xlfn.LET(
_xlpm.CSVVal,_xlfn.XLOOKUP($A1117,CSV!$A:$A,CSV!P:P,""),
_xlpm.MacVal,_xlfn.XLOOKUP($A1117,Output_Mac!$A:$A,Output_Mac!L:L,""),
_xlpm.MyAuditVal,_xlfn.XLOOKUP($A1117,My_Audit!$A:$A,My_Audit!K:K,""),
_xlfn.IFS(_xlpm.MyAuditVal&lt;&gt;"",UPPER(_xlpm.MyAuditVal),_xlpm.MacVal&lt;&gt;"",_xlpm.MacVal,_xlpm.CSVVal&lt;&gt;"",_xlpm.CSVVal
)),"")</f>
        <v/>
      </c>
      <c r="M1117" s="40" t="str" cm="1">
        <f t="array" ref="M1117">IFERROR(_xlfn.LET(
_xlpm.CSVVal,_xlfn.XLOOKUP($A1117,CSV!$A:$A,CSV!Q:Q,""),
_xlpm.MacVal,_xlfn.XLOOKUP($A1117,Output_Mac!$A:$A,Output_Mac!M:M,""),
_xlpm.MyAuditVal,_xlfn.XLOOKUP($A1117,My_Audit!$A:$A,My_Audit!L:L,""),
_xlfn.IFS(_xlpm.MyAuditVal&lt;&gt;"",UPPER(_xlpm.MyAuditVal),_xlpm.MacVal&lt;&gt;"",_xlpm.MacVal,_xlpm.CSVVal&lt;&gt;"",_xlpm.CSVVal
)),"")</f>
        <v/>
      </c>
      <c r="N1117" s="40"/>
      <c r="O1117" s="40" t="str">
        <f>_xlfn.LET(
    _xlpm.CSVVal, _xlfn.XLOOKUP($A1117, CSV!$A:$A, CSV!AA:AA, ""),
    _xlpm.MacVal, _xlfn.XLOOKUP($A1117, Output_Mac!$A:$A, Output_Mac!S:S, ""),
    _xlpm.MyAuditVal, _xlfn.XLOOKUP($A1117, My_Audit!$A:$A, My_Audit!P:P, ""),
    _xlfn.TEXTJOIN(", ", TRUE, _xlpm.MyAuditVal, _xlpm.MacVal, _xlpm.CSVVal)
)</f>
        <v/>
      </c>
      <c r="P1117" s="40" t="str" cm="1">
        <f t="array" ref="P1117">IFERROR(_xlfn.LET(
_xlpm.CSVVal,_xlfn.XLOOKUP($A1117,CSV!$A:$A,CSV!AB:AB,""),
_xlpm.MacVal,_xlfn.XLOOKUP($A1117,Output_Mac!$A:$A,Output_Mac!T:T,""),
_xlpm.MyAuditVal,_xlfn.XLOOKUP($A1117,My_Audit!$A:$A,My_Audit!Q:Q,""),
_xlfn.IFS(_xlpm.MyAuditVal&lt;&gt;"",UPPER(_xlpm.MyAuditVal),_xlpm.MacVal&lt;&gt;"",_xlpm.MacVal,_xlpm.CSVVal&lt;&gt;"",_xlpm.CSVVal
)),"No")</f>
        <v>No</v>
      </c>
      <c r="Q1117" s="40" t="str" cm="1">
        <f t="array" ref="Q1117">IFERROR(_xlfn.LET(
_xlpm.CSVVal,_xlfn.XLOOKUP($A1117,CSV!$A:$A,CSV!AC:AC,""),
_xlpm.MacVal,_xlfn.XLOOKUP($A1117,Output_Mac!$A:$A,Output_Mac!U:U,""),
_xlpm.MyAuditVal,_xlfn.XLOOKUP($A1117,My_Audit!$A:$A,My_Audit!R:R,""),
_xlfn.IFS(_xlpm.MyAuditVal&lt;&gt;"",UPPER(_xlpm.MyAuditVal),_xlpm.MacVal&lt;&gt;"",_xlpm.MacVal,_xlpm.CSVVal&lt;&gt;"",_xlpm.CSVVal
)),"")</f>
        <v/>
      </c>
      <c r="R1117" s="40"/>
      <c r="S1117" s="40"/>
      <c r="T1117" s="40"/>
      <c r="U1117" s="40"/>
      <c r="V1117" s="40"/>
      <c r="W1117" s="40"/>
      <c r="X1117" s="41" t="str">
        <f>_xlfn.LET(
    _xlpm.MacVal, _xlfn.XLOOKUP($A1117, Output_Mac!$A:$A, Output_Mac!AB:AB, ""),
    _xlpm.MyAuditVal, _xlfn.XLOOKUP($A1117, My_Audit!$A:$A, My_Audit!N:N, ""),
    _xlfn.TEXTJOIN(", ", TRUE, _xlpm.MyAuditVal, _xlpm.MacVal)
)</f>
        <v/>
      </c>
    </row>
    <row r="1118" spans="1:24">
      <c r="A1118" s="40" t="str">
        <f>_xlfn.TEXTJOIN("",TRUE,Input!$B$2,ROW(My_Audit!A1117))</f>
        <v>X1117</v>
      </c>
      <c r="B1118" s="40" t="str">
        <f>_xlfn.TEXTJOIN("-",TRUE,"ITD",Input!$A$2,A1118)</f>
        <v>ITD-X1117</v>
      </c>
      <c r="C1118" s="40" t="str" cm="1">
        <f t="array" ref="C1118">IFERROR(_xlfn.LET(
_xlpm.CSVVal,_xlfn.XLOOKUP($A1118,CSV!$A:$A,CSV!B:B,""),
_xlpm.MacVal,_xlfn.XLOOKUP($A1118,Output_Mac!$A:$A,Output_Mac!B:B,""),
_xlpm.MyAuditVal,_xlfn.XLOOKUP($A1118,My_Audit!$A:$A,My_Audit!B:B,""),
_xlfn.IFS(_xlpm.MyAuditVal&lt;&gt;"",UPPER(_xlpm.MyAuditVal),_xlpm.MacVal&lt;&gt;"",_xlpm.MacVal,_xlpm.CSVVal&lt;&gt;"",_xlpm.CSVVal
)),"")</f>
        <v/>
      </c>
      <c r="D1118" s="40" t="str" cm="1">
        <f t="array" ref="D1118">IFERROR(_xlfn.LET(
_xlpm.CSVVal,_xlfn.XLOOKUP($A1118,CSV!$A:$A,CSV!D:D,""),
_xlpm.MacVal,_xlfn.XLOOKUP($A1118,Output_Mac!$A:$A,Output_Mac!C:C,""),
_xlpm.MyAuditVal,_xlfn.XLOOKUP($A1118,My_Audit!$A:$A,My_Audit!C:C,""),
_xlfn.IFS(_xlpm.MyAuditVal&lt;&gt;"",_xlpm.MyAuditVal,_xlpm.MacVal&lt;&gt;"",_xlpm.MacVal,_xlpm.CSVVal&lt;&gt;"",_xlpm.CSVVal
)),"")</f>
        <v/>
      </c>
      <c r="E1118" s="40" t="str">
        <f>_xlfn.XLOOKUP(A1118,My_Audit!A:A,My_Audit!D:D,"")</f>
        <v/>
      </c>
      <c r="F1118" s="40" t="str" cm="1">
        <f t="array" ref="F1118">IFERROR(_xlfn.LET(
_xlpm.CSVVal,_xlfn.XLOOKUP($A1118,CSV!$A:$A,CSV!F:F,""),
_xlpm.MacVal,_xlfn.XLOOKUP($A1118,Output_Mac!$A:$A,Output_Mac!E:E,""),
_xlpm.MyAuditVal,_xlfn.XLOOKUP($A1118,My_Audit!$A:$A,My_Audit!E:E,""),
_xlfn.IFS(_xlpm.MyAuditVal&lt;&gt;"",_xlpm.MyAuditVal,_xlpm.MacVal&lt;&gt;"",_xlpm.MacVal,_xlpm.CSVVal&lt;&gt;"",_xlpm.CSVVal
)),"")</f>
        <v/>
      </c>
      <c r="G1118" s="40" t="str" cm="1">
        <f t="array" ref="G1118">IFERROR(_xlfn.LET(
_xlpm.CSVVal,_xlfn.XLOOKUP($A1118,CSV!$A:$A,CSV!G:G,""),
_xlpm.MacVal,_xlfn.XLOOKUP($A1118,Output_Mac!$A:$A,Output_Mac!F:F,""),
_xlpm.MyAuditVal,_xlfn.XLOOKUP($A1118,My_Audit!$A:$A,My_Audit!F:F,""),
_xlfn.IFS(_xlpm.MyAuditVal&lt;&gt;"",_xlpm.MyAuditVal,_xlpm.MacVal&lt;&gt;"",_xlpm.MacVal,_xlpm.CSVVal&lt;&gt;"",PROPER(_xlpm.CSVVal)
)),"")</f>
        <v/>
      </c>
      <c r="H1118" s="40" t="str" cm="1">
        <f t="array" ref="H1118">IFERROR(_xlfn.LET(
_xlpm.CSVVal,_xlfn.XLOOKUP($A1118,CSV!$A:$A,CSV!H:H,""),
_xlpm.MacVal,_xlfn.XLOOKUP($A1118,Output_Mac!$A:$A,Output_Mac!H:H,""),
_xlpm.MyAuditVal,_xlfn.XLOOKUP($A1118,My_Audit!$A:$A,My_Audit!G:G,""),
_xlfn.IFS(_xlpm.MyAuditVal&lt;&gt;"",_xlpm.MyAuditVal,_xlpm.MacVal&lt;&gt;"",_xlpm.MacVal,_xlpm.CSVVal&lt;&gt;"",_xlpm.CSVVal
)),"")</f>
        <v/>
      </c>
      <c r="I1118" s="40" t="str">
        <f>_xlfn.XLOOKUP(A1118,Output_Mac!A:A,Output_Mac!I:I,"")</f>
        <v/>
      </c>
      <c r="J1118" s="40" t="str" cm="1">
        <f t="array" ref="J1118">IFERROR(_xlfn.LET(
_xlpm.CSVVal,_xlfn.XLOOKUP($A1118,CSV!$A:$A,CSV!I:I,""),
_xlpm.MacVal,_xlfn.XLOOKUP($A1118,Output_Mac!$A:$A,Output_Mac!J:J,""),
_xlpm.MyAuditVal,_xlfn.XLOOKUP($A1118,My_Audit!$A:$A,My_Audit!I:I,""),
_xlfn.IFS(_xlpm.MyAuditVal&lt;&gt;"",UPPER(_xlpm.MyAuditVal),_xlpm.MacVal&lt;&gt;"",_xlpm.MacVal,_xlpm.CSVVal&lt;&gt;"",_xlpm.CSVVal
)),"")</f>
        <v/>
      </c>
      <c r="K1118" s="40" t="str" cm="1">
        <f t="array" ref="K1118">IFERROR(_xlfn.LET(
_xlpm.CSVVal,_xlfn.XLOOKUP($A1118,CSV!$A:$A,CSV!K:K,""),
_xlpm.MacVal,_xlfn.XLOOKUP($A1118,Output_Mac!$A:$A,Output_Mac!K:K,""),
_xlpm.MyAuditVal,_xlfn.XLOOKUP($A1118,My_Audit!$A:$A,My_Audit!J:J,""),
_xlfn.IFS(_xlpm.MyAuditVal&lt;&gt;"",UPPER(_xlpm.MyAuditVal),_xlpm.MacVal&lt;&gt;"",_xlpm.MacVal,_xlpm.CSVVal&lt;&gt;"",_xlpm.CSVVal
)),"")</f>
        <v/>
      </c>
      <c r="L1118" s="40" t="str" cm="1">
        <f t="array" ref="L1118">IFERROR(_xlfn.LET(
_xlpm.CSVVal,_xlfn.XLOOKUP($A1118,CSV!$A:$A,CSV!P:P,""),
_xlpm.MacVal,_xlfn.XLOOKUP($A1118,Output_Mac!$A:$A,Output_Mac!L:L,""),
_xlpm.MyAuditVal,_xlfn.XLOOKUP($A1118,My_Audit!$A:$A,My_Audit!K:K,""),
_xlfn.IFS(_xlpm.MyAuditVal&lt;&gt;"",UPPER(_xlpm.MyAuditVal),_xlpm.MacVal&lt;&gt;"",_xlpm.MacVal,_xlpm.CSVVal&lt;&gt;"",_xlpm.CSVVal
)),"")</f>
        <v/>
      </c>
      <c r="M1118" s="40" t="str" cm="1">
        <f t="array" ref="M1118">IFERROR(_xlfn.LET(
_xlpm.CSVVal,_xlfn.XLOOKUP($A1118,CSV!$A:$A,CSV!Q:Q,""),
_xlpm.MacVal,_xlfn.XLOOKUP($A1118,Output_Mac!$A:$A,Output_Mac!M:M,""),
_xlpm.MyAuditVal,_xlfn.XLOOKUP($A1118,My_Audit!$A:$A,My_Audit!L:L,""),
_xlfn.IFS(_xlpm.MyAuditVal&lt;&gt;"",UPPER(_xlpm.MyAuditVal),_xlpm.MacVal&lt;&gt;"",_xlpm.MacVal,_xlpm.CSVVal&lt;&gt;"",_xlpm.CSVVal
)),"")</f>
        <v/>
      </c>
      <c r="N1118" s="40"/>
      <c r="O1118" s="40" t="str">
        <f>_xlfn.LET(
    _xlpm.CSVVal, _xlfn.XLOOKUP($A1118, CSV!$A:$A, CSV!AA:AA, ""),
    _xlpm.MacVal, _xlfn.XLOOKUP($A1118, Output_Mac!$A:$A, Output_Mac!S:S, ""),
    _xlpm.MyAuditVal, _xlfn.XLOOKUP($A1118, My_Audit!$A:$A, My_Audit!P:P, ""),
    _xlfn.TEXTJOIN(", ", TRUE, _xlpm.MyAuditVal, _xlpm.MacVal, _xlpm.CSVVal)
)</f>
        <v/>
      </c>
      <c r="P1118" s="40" t="str" cm="1">
        <f t="array" ref="P1118">IFERROR(_xlfn.LET(
_xlpm.CSVVal,_xlfn.XLOOKUP($A1118,CSV!$A:$A,CSV!AB:AB,""),
_xlpm.MacVal,_xlfn.XLOOKUP($A1118,Output_Mac!$A:$A,Output_Mac!T:T,""),
_xlpm.MyAuditVal,_xlfn.XLOOKUP($A1118,My_Audit!$A:$A,My_Audit!Q:Q,""),
_xlfn.IFS(_xlpm.MyAuditVal&lt;&gt;"",UPPER(_xlpm.MyAuditVal),_xlpm.MacVal&lt;&gt;"",_xlpm.MacVal,_xlpm.CSVVal&lt;&gt;"",_xlpm.CSVVal
)),"No")</f>
        <v>No</v>
      </c>
      <c r="Q1118" s="40" t="str" cm="1">
        <f t="array" ref="Q1118">IFERROR(_xlfn.LET(
_xlpm.CSVVal,_xlfn.XLOOKUP($A1118,CSV!$A:$A,CSV!AC:AC,""),
_xlpm.MacVal,_xlfn.XLOOKUP($A1118,Output_Mac!$A:$A,Output_Mac!U:U,""),
_xlpm.MyAuditVal,_xlfn.XLOOKUP($A1118,My_Audit!$A:$A,My_Audit!R:R,""),
_xlfn.IFS(_xlpm.MyAuditVal&lt;&gt;"",UPPER(_xlpm.MyAuditVal),_xlpm.MacVal&lt;&gt;"",_xlpm.MacVal,_xlpm.CSVVal&lt;&gt;"",_xlpm.CSVVal
)),"")</f>
        <v/>
      </c>
      <c r="R1118" s="40"/>
      <c r="S1118" s="40"/>
      <c r="T1118" s="40"/>
      <c r="U1118" s="40"/>
      <c r="V1118" s="40"/>
      <c r="W1118" s="40"/>
      <c r="X1118" s="41" t="str">
        <f>_xlfn.LET(
    _xlpm.MacVal, _xlfn.XLOOKUP($A1118, Output_Mac!$A:$A, Output_Mac!AB:AB, ""),
    _xlpm.MyAuditVal, _xlfn.XLOOKUP($A1118, My_Audit!$A:$A, My_Audit!N:N, ""),
    _xlfn.TEXTJOIN(", ", TRUE, _xlpm.MyAuditVal, _xlpm.MacVal)
)</f>
        <v/>
      </c>
    </row>
    <row r="1119" spans="1:24">
      <c r="A1119" s="40" t="str">
        <f>_xlfn.TEXTJOIN("",TRUE,Input!$B$2,ROW(My_Audit!A1118))</f>
        <v>X1118</v>
      </c>
      <c r="B1119" s="40" t="str">
        <f>_xlfn.TEXTJOIN("-",TRUE,"ITD",Input!$A$2,A1119)</f>
        <v>ITD-X1118</v>
      </c>
      <c r="C1119" s="40" t="str" cm="1">
        <f t="array" ref="C1119">IFERROR(_xlfn.LET(
_xlpm.CSVVal,_xlfn.XLOOKUP($A1119,CSV!$A:$A,CSV!B:B,""),
_xlpm.MacVal,_xlfn.XLOOKUP($A1119,Output_Mac!$A:$A,Output_Mac!B:B,""),
_xlpm.MyAuditVal,_xlfn.XLOOKUP($A1119,My_Audit!$A:$A,My_Audit!B:B,""),
_xlfn.IFS(_xlpm.MyAuditVal&lt;&gt;"",UPPER(_xlpm.MyAuditVal),_xlpm.MacVal&lt;&gt;"",_xlpm.MacVal,_xlpm.CSVVal&lt;&gt;"",_xlpm.CSVVal
)),"")</f>
        <v/>
      </c>
      <c r="D1119" s="40" t="str" cm="1">
        <f t="array" ref="D1119">IFERROR(_xlfn.LET(
_xlpm.CSVVal,_xlfn.XLOOKUP($A1119,CSV!$A:$A,CSV!D:D,""),
_xlpm.MacVal,_xlfn.XLOOKUP($A1119,Output_Mac!$A:$A,Output_Mac!C:C,""),
_xlpm.MyAuditVal,_xlfn.XLOOKUP($A1119,My_Audit!$A:$A,My_Audit!C:C,""),
_xlfn.IFS(_xlpm.MyAuditVal&lt;&gt;"",_xlpm.MyAuditVal,_xlpm.MacVal&lt;&gt;"",_xlpm.MacVal,_xlpm.CSVVal&lt;&gt;"",_xlpm.CSVVal
)),"")</f>
        <v/>
      </c>
      <c r="E1119" s="40" t="str">
        <f>_xlfn.XLOOKUP(A1119,My_Audit!A:A,My_Audit!D:D,"")</f>
        <v/>
      </c>
      <c r="F1119" s="40" t="str" cm="1">
        <f t="array" ref="F1119">IFERROR(_xlfn.LET(
_xlpm.CSVVal,_xlfn.XLOOKUP($A1119,CSV!$A:$A,CSV!F:F,""),
_xlpm.MacVal,_xlfn.XLOOKUP($A1119,Output_Mac!$A:$A,Output_Mac!E:E,""),
_xlpm.MyAuditVal,_xlfn.XLOOKUP($A1119,My_Audit!$A:$A,My_Audit!E:E,""),
_xlfn.IFS(_xlpm.MyAuditVal&lt;&gt;"",_xlpm.MyAuditVal,_xlpm.MacVal&lt;&gt;"",_xlpm.MacVal,_xlpm.CSVVal&lt;&gt;"",_xlpm.CSVVal
)),"")</f>
        <v/>
      </c>
      <c r="G1119" s="40" t="str" cm="1">
        <f t="array" ref="G1119">IFERROR(_xlfn.LET(
_xlpm.CSVVal,_xlfn.XLOOKUP($A1119,CSV!$A:$A,CSV!G:G,""),
_xlpm.MacVal,_xlfn.XLOOKUP($A1119,Output_Mac!$A:$A,Output_Mac!F:F,""),
_xlpm.MyAuditVal,_xlfn.XLOOKUP($A1119,My_Audit!$A:$A,My_Audit!F:F,""),
_xlfn.IFS(_xlpm.MyAuditVal&lt;&gt;"",_xlpm.MyAuditVal,_xlpm.MacVal&lt;&gt;"",_xlpm.MacVal,_xlpm.CSVVal&lt;&gt;"",PROPER(_xlpm.CSVVal)
)),"")</f>
        <v/>
      </c>
      <c r="H1119" s="40" t="str" cm="1">
        <f t="array" ref="H1119">IFERROR(_xlfn.LET(
_xlpm.CSVVal,_xlfn.XLOOKUP($A1119,CSV!$A:$A,CSV!H:H,""),
_xlpm.MacVal,_xlfn.XLOOKUP($A1119,Output_Mac!$A:$A,Output_Mac!H:H,""),
_xlpm.MyAuditVal,_xlfn.XLOOKUP($A1119,My_Audit!$A:$A,My_Audit!G:G,""),
_xlfn.IFS(_xlpm.MyAuditVal&lt;&gt;"",_xlpm.MyAuditVal,_xlpm.MacVal&lt;&gt;"",_xlpm.MacVal,_xlpm.CSVVal&lt;&gt;"",_xlpm.CSVVal
)),"")</f>
        <v/>
      </c>
      <c r="I1119" s="40" t="str">
        <f>_xlfn.XLOOKUP(A1119,Output_Mac!A:A,Output_Mac!I:I,"")</f>
        <v/>
      </c>
      <c r="J1119" s="40" t="str" cm="1">
        <f t="array" ref="J1119">IFERROR(_xlfn.LET(
_xlpm.CSVVal,_xlfn.XLOOKUP($A1119,CSV!$A:$A,CSV!I:I,""),
_xlpm.MacVal,_xlfn.XLOOKUP($A1119,Output_Mac!$A:$A,Output_Mac!J:J,""),
_xlpm.MyAuditVal,_xlfn.XLOOKUP($A1119,My_Audit!$A:$A,My_Audit!I:I,""),
_xlfn.IFS(_xlpm.MyAuditVal&lt;&gt;"",UPPER(_xlpm.MyAuditVal),_xlpm.MacVal&lt;&gt;"",_xlpm.MacVal,_xlpm.CSVVal&lt;&gt;"",_xlpm.CSVVal
)),"")</f>
        <v/>
      </c>
      <c r="K1119" s="40" t="str" cm="1">
        <f t="array" ref="K1119">IFERROR(_xlfn.LET(
_xlpm.CSVVal,_xlfn.XLOOKUP($A1119,CSV!$A:$A,CSV!K:K,""),
_xlpm.MacVal,_xlfn.XLOOKUP($A1119,Output_Mac!$A:$A,Output_Mac!K:K,""),
_xlpm.MyAuditVal,_xlfn.XLOOKUP($A1119,My_Audit!$A:$A,My_Audit!J:J,""),
_xlfn.IFS(_xlpm.MyAuditVal&lt;&gt;"",UPPER(_xlpm.MyAuditVal),_xlpm.MacVal&lt;&gt;"",_xlpm.MacVal,_xlpm.CSVVal&lt;&gt;"",_xlpm.CSVVal
)),"")</f>
        <v/>
      </c>
      <c r="L1119" s="40" t="str" cm="1">
        <f t="array" ref="L1119">IFERROR(_xlfn.LET(
_xlpm.CSVVal,_xlfn.XLOOKUP($A1119,CSV!$A:$A,CSV!P:P,""),
_xlpm.MacVal,_xlfn.XLOOKUP($A1119,Output_Mac!$A:$A,Output_Mac!L:L,""),
_xlpm.MyAuditVal,_xlfn.XLOOKUP($A1119,My_Audit!$A:$A,My_Audit!K:K,""),
_xlfn.IFS(_xlpm.MyAuditVal&lt;&gt;"",UPPER(_xlpm.MyAuditVal),_xlpm.MacVal&lt;&gt;"",_xlpm.MacVal,_xlpm.CSVVal&lt;&gt;"",_xlpm.CSVVal
)),"")</f>
        <v/>
      </c>
      <c r="M1119" s="40" t="str" cm="1">
        <f t="array" ref="M1119">IFERROR(_xlfn.LET(
_xlpm.CSVVal,_xlfn.XLOOKUP($A1119,CSV!$A:$A,CSV!Q:Q,""),
_xlpm.MacVal,_xlfn.XLOOKUP($A1119,Output_Mac!$A:$A,Output_Mac!M:M,""),
_xlpm.MyAuditVal,_xlfn.XLOOKUP($A1119,My_Audit!$A:$A,My_Audit!L:L,""),
_xlfn.IFS(_xlpm.MyAuditVal&lt;&gt;"",UPPER(_xlpm.MyAuditVal),_xlpm.MacVal&lt;&gt;"",_xlpm.MacVal,_xlpm.CSVVal&lt;&gt;"",_xlpm.CSVVal
)),"")</f>
        <v/>
      </c>
      <c r="N1119" s="40"/>
      <c r="O1119" s="40" t="str">
        <f>_xlfn.LET(
    _xlpm.CSVVal, _xlfn.XLOOKUP($A1119, CSV!$A:$A, CSV!AA:AA, ""),
    _xlpm.MacVal, _xlfn.XLOOKUP($A1119, Output_Mac!$A:$A, Output_Mac!S:S, ""),
    _xlpm.MyAuditVal, _xlfn.XLOOKUP($A1119, My_Audit!$A:$A, My_Audit!P:P, ""),
    _xlfn.TEXTJOIN(", ", TRUE, _xlpm.MyAuditVal, _xlpm.MacVal, _xlpm.CSVVal)
)</f>
        <v/>
      </c>
      <c r="P1119" s="40" t="str" cm="1">
        <f t="array" ref="P1119">IFERROR(_xlfn.LET(
_xlpm.CSVVal,_xlfn.XLOOKUP($A1119,CSV!$A:$A,CSV!AB:AB,""),
_xlpm.MacVal,_xlfn.XLOOKUP($A1119,Output_Mac!$A:$A,Output_Mac!T:T,""),
_xlpm.MyAuditVal,_xlfn.XLOOKUP($A1119,My_Audit!$A:$A,My_Audit!Q:Q,""),
_xlfn.IFS(_xlpm.MyAuditVal&lt;&gt;"",UPPER(_xlpm.MyAuditVal),_xlpm.MacVal&lt;&gt;"",_xlpm.MacVal,_xlpm.CSVVal&lt;&gt;"",_xlpm.CSVVal
)),"No")</f>
        <v>No</v>
      </c>
      <c r="Q1119" s="40" t="str" cm="1">
        <f t="array" ref="Q1119">IFERROR(_xlfn.LET(
_xlpm.CSVVal,_xlfn.XLOOKUP($A1119,CSV!$A:$A,CSV!AC:AC,""),
_xlpm.MacVal,_xlfn.XLOOKUP($A1119,Output_Mac!$A:$A,Output_Mac!U:U,""),
_xlpm.MyAuditVal,_xlfn.XLOOKUP($A1119,My_Audit!$A:$A,My_Audit!R:R,""),
_xlfn.IFS(_xlpm.MyAuditVal&lt;&gt;"",UPPER(_xlpm.MyAuditVal),_xlpm.MacVal&lt;&gt;"",_xlpm.MacVal,_xlpm.CSVVal&lt;&gt;"",_xlpm.CSVVal
)),"")</f>
        <v/>
      </c>
      <c r="R1119" s="40"/>
      <c r="S1119" s="40"/>
      <c r="T1119" s="40"/>
      <c r="U1119" s="40"/>
      <c r="V1119" s="40"/>
      <c r="W1119" s="40"/>
      <c r="X1119" s="41" t="str">
        <f>_xlfn.LET(
    _xlpm.MacVal, _xlfn.XLOOKUP($A1119, Output_Mac!$A:$A, Output_Mac!AB:AB, ""),
    _xlpm.MyAuditVal, _xlfn.XLOOKUP($A1119, My_Audit!$A:$A, My_Audit!N:N, ""),
    _xlfn.TEXTJOIN(", ", TRUE, _xlpm.MyAuditVal, _xlpm.MacVal)
)</f>
        <v/>
      </c>
    </row>
    <row r="1120" spans="1:24">
      <c r="A1120" s="40" t="str">
        <f>_xlfn.TEXTJOIN("",TRUE,Input!$B$2,ROW(My_Audit!A1119))</f>
        <v>X1119</v>
      </c>
      <c r="B1120" s="40" t="str">
        <f>_xlfn.TEXTJOIN("-",TRUE,"ITD",Input!$A$2,A1120)</f>
        <v>ITD-X1119</v>
      </c>
      <c r="C1120" s="40" t="str" cm="1">
        <f t="array" ref="C1120">IFERROR(_xlfn.LET(
_xlpm.CSVVal,_xlfn.XLOOKUP($A1120,CSV!$A:$A,CSV!B:B,""),
_xlpm.MacVal,_xlfn.XLOOKUP($A1120,Output_Mac!$A:$A,Output_Mac!B:B,""),
_xlpm.MyAuditVal,_xlfn.XLOOKUP($A1120,My_Audit!$A:$A,My_Audit!B:B,""),
_xlfn.IFS(_xlpm.MyAuditVal&lt;&gt;"",UPPER(_xlpm.MyAuditVal),_xlpm.MacVal&lt;&gt;"",_xlpm.MacVal,_xlpm.CSVVal&lt;&gt;"",_xlpm.CSVVal
)),"")</f>
        <v/>
      </c>
      <c r="D1120" s="40" t="str" cm="1">
        <f t="array" ref="D1120">IFERROR(_xlfn.LET(
_xlpm.CSVVal,_xlfn.XLOOKUP($A1120,CSV!$A:$A,CSV!D:D,""),
_xlpm.MacVal,_xlfn.XLOOKUP($A1120,Output_Mac!$A:$A,Output_Mac!C:C,""),
_xlpm.MyAuditVal,_xlfn.XLOOKUP($A1120,My_Audit!$A:$A,My_Audit!C:C,""),
_xlfn.IFS(_xlpm.MyAuditVal&lt;&gt;"",_xlpm.MyAuditVal,_xlpm.MacVal&lt;&gt;"",_xlpm.MacVal,_xlpm.CSVVal&lt;&gt;"",_xlpm.CSVVal
)),"")</f>
        <v/>
      </c>
      <c r="E1120" s="40" t="str">
        <f>_xlfn.XLOOKUP(A1120,My_Audit!A:A,My_Audit!D:D,"")</f>
        <v/>
      </c>
      <c r="F1120" s="40" t="str" cm="1">
        <f t="array" ref="F1120">IFERROR(_xlfn.LET(
_xlpm.CSVVal,_xlfn.XLOOKUP($A1120,CSV!$A:$A,CSV!F:F,""),
_xlpm.MacVal,_xlfn.XLOOKUP($A1120,Output_Mac!$A:$A,Output_Mac!E:E,""),
_xlpm.MyAuditVal,_xlfn.XLOOKUP($A1120,My_Audit!$A:$A,My_Audit!E:E,""),
_xlfn.IFS(_xlpm.MyAuditVal&lt;&gt;"",_xlpm.MyAuditVal,_xlpm.MacVal&lt;&gt;"",_xlpm.MacVal,_xlpm.CSVVal&lt;&gt;"",_xlpm.CSVVal
)),"")</f>
        <v/>
      </c>
      <c r="G1120" s="40" t="str" cm="1">
        <f t="array" ref="G1120">IFERROR(_xlfn.LET(
_xlpm.CSVVal,_xlfn.XLOOKUP($A1120,CSV!$A:$A,CSV!G:G,""),
_xlpm.MacVal,_xlfn.XLOOKUP($A1120,Output_Mac!$A:$A,Output_Mac!F:F,""),
_xlpm.MyAuditVal,_xlfn.XLOOKUP($A1120,My_Audit!$A:$A,My_Audit!F:F,""),
_xlfn.IFS(_xlpm.MyAuditVal&lt;&gt;"",_xlpm.MyAuditVal,_xlpm.MacVal&lt;&gt;"",_xlpm.MacVal,_xlpm.CSVVal&lt;&gt;"",PROPER(_xlpm.CSVVal)
)),"")</f>
        <v/>
      </c>
      <c r="H1120" s="40" t="str" cm="1">
        <f t="array" ref="H1120">IFERROR(_xlfn.LET(
_xlpm.CSVVal,_xlfn.XLOOKUP($A1120,CSV!$A:$A,CSV!H:H,""),
_xlpm.MacVal,_xlfn.XLOOKUP($A1120,Output_Mac!$A:$A,Output_Mac!H:H,""),
_xlpm.MyAuditVal,_xlfn.XLOOKUP($A1120,My_Audit!$A:$A,My_Audit!G:G,""),
_xlfn.IFS(_xlpm.MyAuditVal&lt;&gt;"",_xlpm.MyAuditVal,_xlpm.MacVal&lt;&gt;"",_xlpm.MacVal,_xlpm.CSVVal&lt;&gt;"",_xlpm.CSVVal
)),"")</f>
        <v/>
      </c>
      <c r="I1120" s="40" t="str">
        <f>_xlfn.XLOOKUP(A1120,Output_Mac!A:A,Output_Mac!I:I,"")</f>
        <v/>
      </c>
      <c r="J1120" s="40" t="str" cm="1">
        <f t="array" ref="J1120">IFERROR(_xlfn.LET(
_xlpm.CSVVal,_xlfn.XLOOKUP($A1120,CSV!$A:$A,CSV!I:I,""),
_xlpm.MacVal,_xlfn.XLOOKUP($A1120,Output_Mac!$A:$A,Output_Mac!J:J,""),
_xlpm.MyAuditVal,_xlfn.XLOOKUP($A1120,My_Audit!$A:$A,My_Audit!I:I,""),
_xlfn.IFS(_xlpm.MyAuditVal&lt;&gt;"",UPPER(_xlpm.MyAuditVal),_xlpm.MacVal&lt;&gt;"",_xlpm.MacVal,_xlpm.CSVVal&lt;&gt;"",_xlpm.CSVVal
)),"")</f>
        <v/>
      </c>
      <c r="K1120" s="40" t="str" cm="1">
        <f t="array" ref="K1120">IFERROR(_xlfn.LET(
_xlpm.CSVVal,_xlfn.XLOOKUP($A1120,CSV!$A:$A,CSV!K:K,""),
_xlpm.MacVal,_xlfn.XLOOKUP($A1120,Output_Mac!$A:$A,Output_Mac!K:K,""),
_xlpm.MyAuditVal,_xlfn.XLOOKUP($A1120,My_Audit!$A:$A,My_Audit!J:J,""),
_xlfn.IFS(_xlpm.MyAuditVal&lt;&gt;"",UPPER(_xlpm.MyAuditVal),_xlpm.MacVal&lt;&gt;"",_xlpm.MacVal,_xlpm.CSVVal&lt;&gt;"",_xlpm.CSVVal
)),"")</f>
        <v/>
      </c>
      <c r="L1120" s="40" t="str" cm="1">
        <f t="array" ref="L1120">IFERROR(_xlfn.LET(
_xlpm.CSVVal,_xlfn.XLOOKUP($A1120,CSV!$A:$A,CSV!P:P,""),
_xlpm.MacVal,_xlfn.XLOOKUP($A1120,Output_Mac!$A:$A,Output_Mac!L:L,""),
_xlpm.MyAuditVal,_xlfn.XLOOKUP($A1120,My_Audit!$A:$A,My_Audit!K:K,""),
_xlfn.IFS(_xlpm.MyAuditVal&lt;&gt;"",UPPER(_xlpm.MyAuditVal),_xlpm.MacVal&lt;&gt;"",_xlpm.MacVal,_xlpm.CSVVal&lt;&gt;"",_xlpm.CSVVal
)),"")</f>
        <v/>
      </c>
      <c r="M1120" s="40" t="str" cm="1">
        <f t="array" ref="M1120">IFERROR(_xlfn.LET(
_xlpm.CSVVal,_xlfn.XLOOKUP($A1120,CSV!$A:$A,CSV!Q:Q,""),
_xlpm.MacVal,_xlfn.XLOOKUP($A1120,Output_Mac!$A:$A,Output_Mac!M:M,""),
_xlpm.MyAuditVal,_xlfn.XLOOKUP($A1120,My_Audit!$A:$A,My_Audit!L:L,""),
_xlfn.IFS(_xlpm.MyAuditVal&lt;&gt;"",UPPER(_xlpm.MyAuditVal),_xlpm.MacVal&lt;&gt;"",_xlpm.MacVal,_xlpm.CSVVal&lt;&gt;"",_xlpm.CSVVal
)),"")</f>
        <v/>
      </c>
      <c r="N1120" s="40"/>
      <c r="O1120" s="40" t="str">
        <f>_xlfn.LET(
    _xlpm.CSVVal, _xlfn.XLOOKUP($A1120, CSV!$A:$A, CSV!AA:AA, ""),
    _xlpm.MacVal, _xlfn.XLOOKUP($A1120, Output_Mac!$A:$A, Output_Mac!S:S, ""),
    _xlpm.MyAuditVal, _xlfn.XLOOKUP($A1120, My_Audit!$A:$A, My_Audit!P:P, ""),
    _xlfn.TEXTJOIN(", ", TRUE, _xlpm.MyAuditVal, _xlpm.MacVal, _xlpm.CSVVal)
)</f>
        <v/>
      </c>
      <c r="P1120" s="40" t="str" cm="1">
        <f t="array" ref="P1120">IFERROR(_xlfn.LET(
_xlpm.CSVVal,_xlfn.XLOOKUP($A1120,CSV!$A:$A,CSV!AB:AB,""),
_xlpm.MacVal,_xlfn.XLOOKUP($A1120,Output_Mac!$A:$A,Output_Mac!T:T,""),
_xlpm.MyAuditVal,_xlfn.XLOOKUP($A1120,My_Audit!$A:$A,My_Audit!Q:Q,""),
_xlfn.IFS(_xlpm.MyAuditVal&lt;&gt;"",UPPER(_xlpm.MyAuditVal),_xlpm.MacVal&lt;&gt;"",_xlpm.MacVal,_xlpm.CSVVal&lt;&gt;"",_xlpm.CSVVal
)),"No")</f>
        <v>No</v>
      </c>
      <c r="Q1120" s="40" t="str" cm="1">
        <f t="array" ref="Q1120">IFERROR(_xlfn.LET(
_xlpm.CSVVal,_xlfn.XLOOKUP($A1120,CSV!$A:$A,CSV!AC:AC,""),
_xlpm.MacVal,_xlfn.XLOOKUP($A1120,Output_Mac!$A:$A,Output_Mac!U:U,""),
_xlpm.MyAuditVal,_xlfn.XLOOKUP($A1120,My_Audit!$A:$A,My_Audit!R:R,""),
_xlfn.IFS(_xlpm.MyAuditVal&lt;&gt;"",UPPER(_xlpm.MyAuditVal),_xlpm.MacVal&lt;&gt;"",_xlpm.MacVal,_xlpm.CSVVal&lt;&gt;"",_xlpm.CSVVal
)),"")</f>
        <v/>
      </c>
      <c r="R1120" s="40"/>
      <c r="S1120" s="40"/>
      <c r="T1120" s="40"/>
      <c r="U1120" s="40"/>
      <c r="V1120" s="40"/>
      <c r="W1120" s="40"/>
      <c r="X1120" s="41" t="str">
        <f>_xlfn.LET(
    _xlpm.MacVal, _xlfn.XLOOKUP($A1120, Output_Mac!$A:$A, Output_Mac!AB:AB, ""),
    _xlpm.MyAuditVal, _xlfn.XLOOKUP($A1120, My_Audit!$A:$A, My_Audit!N:N, ""),
    _xlfn.TEXTJOIN(", ", TRUE, _xlpm.MyAuditVal, _xlpm.MacVal)
)</f>
        <v/>
      </c>
    </row>
    <row r="1121" spans="1:24">
      <c r="A1121" s="40" t="str">
        <f>_xlfn.TEXTJOIN("",TRUE,Input!$B$2,ROW(My_Audit!A1120))</f>
        <v>X1120</v>
      </c>
      <c r="B1121" s="40" t="str">
        <f>_xlfn.TEXTJOIN("-",TRUE,"ITD",Input!$A$2,A1121)</f>
        <v>ITD-X1120</v>
      </c>
      <c r="C1121" s="40" t="str" cm="1">
        <f t="array" ref="C1121">IFERROR(_xlfn.LET(
_xlpm.CSVVal,_xlfn.XLOOKUP($A1121,CSV!$A:$A,CSV!B:B,""),
_xlpm.MacVal,_xlfn.XLOOKUP($A1121,Output_Mac!$A:$A,Output_Mac!B:B,""),
_xlpm.MyAuditVal,_xlfn.XLOOKUP($A1121,My_Audit!$A:$A,My_Audit!B:B,""),
_xlfn.IFS(_xlpm.MyAuditVal&lt;&gt;"",UPPER(_xlpm.MyAuditVal),_xlpm.MacVal&lt;&gt;"",_xlpm.MacVal,_xlpm.CSVVal&lt;&gt;"",_xlpm.CSVVal
)),"")</f>
        <v/>
      </c>
      <c r="D1121" s="40" t="str" cm="1">
        <f t="array" ref="D1121">IFERROR(_xlfn.LET(
_xlpm.CSVVal,_xlfn.XLOOKUP($A1121,CSV!$A:$A,CSV!D:D,""),
_xlpm.MacVal,_xlfn.XLOOKUP($A1121,Output_Mac!$A:$A,Output_Mac!C:C,""),
_xlpm.MyAuditVal,_xlfn.XLOOKUP($A1121,My_Audit!$A:$A,My_Audit!C:C,""),
_xlfn.IFS(_xlpm.MyAuditVal&lt;&gt;"",_xlpm.MyAuditVal,_xlpm.MacVal&lt;&gt;"",_xlpm.MacVal,_xlpm.CSVVal&lt;&gt;"",_xlpm.CSVVal
)),"")</f>
        <v/>
      </c>
      <c r="E1121" s="40" t="str">
        <f>_xlfn.XLOOKUP(A1121,My_Audit!A:A,My_Audit!D:D,"")</f>
        <v/>
      </c>
      <c r="F1121" s="40" t="str" cm="1">
        <f t="array" ref="F1121">IFERROR(_xlfn.LET(
_xlpm.CSVVal,_xlfn.XLOOKUP($A1121,CSV!$A:$A,CSV!F:F,""),
_xlpm.MacVal,_xlfn.XLOOKUP($A1121,Output_Mac!$A:$A,Output_Mac!E:E,""),
_xlpm.MyAuditVal,_xlfn.XLOOKUP($A1121,My_Audit!$A:$A,My_Audit!E:E,""),
_xlfn.IFS(_xlpm.MyAuditVal&lt;&gt;"",_xlpm.MyAuditVal,_xlpm.MacVal&lt;&gt;"",_xlpm.MacVal,_xlpm.CSVVal&lt;&gt;"",_xlpm.CSVVal
)),"")</f>
        <v/>
      </c>
      <c r="G1121" s="40" t="str" cm="1">
        <f t="array" ref="G1121">IFERROR(_xlfn.LET(
_xlpm.CSVVal,_xlfn.XLOOKUP($A1121,CSV!$A:$A,CSV!G:G,""),
_xlpm.MacVal,_xlfn.XLOOKUP($A1121,Output_Mac!$A:$A,Output_Mac!F:F,""),
_xlpm.MyAuditVal,_xlfn.XLOOKUP($A1121,My_Audit!$A:$A,My_Audit!F:F,""),
_xlfn.IFS(_xlpm.MyAuditVal&lt;&gt;"",_xlpm.MyAuditVal,_xlpm.MacVal&lt;&gt;"",_xlpm.MacVal,_xlpm.CSVVal&lt;&gt;"",PROPER(_xlpm.CSVVal)
)),"")</f>
        <v/>
      </c>
      <c r="H1121" s="40" t="str" cm="1">
        <f t="array" ref="H1121">IFERROR(_xlfn.LET(
_xlpm.CSVVal,_xlfn.XLOOKUP($A1121,CSV!$A:$A,CSV!H:H,""),
_xlpm.MacVal,_xlfn.XLOOKUP($A1121,Output_Mac!$A:$A,Output_Mac!H:H,""),
_xlpm.MyAuditVal,_xlfn.XLOOKUP($A1121,My_Audit!$A:$A,My_Audit!G:G,""),
_xlfn.IFS(_xlpm.MyAuditVal&lt;&gt;"",_xlpm.MyAuditVal,_xlpm.MacVal&lt;&gt;"",_xlpm.MacVal,_xlpm.CSVVal&lt;&gt;"",_xlpm.CSVVal
)),"")</f>
        <v/>
      </c>
      <c r="I1121" s="40" t="str">
        <f>_xlfn.XLOOKUP(A1121,Output_Mac!A:A,Output_Mac!I:I,"")</f>
        <v/>
      </c>
      <c r="J1121" s="40" t="str" cm="1">
        <f t="array" ref="J1121">IFERROR(_xlfn.LET(
_xlpm.CSVVal,_xlfn.XLOOKUP($A1121,CSV!$A:$A,CSV!I:I,""),
_xlpm.MacVal,_xlfn.XLOOKUP($A1121,Output_Mac!$A:$A,Output_Mac!J:J,""),
_xlpm.MyAuditVal,_xlfn.XLOOKUP($A1121,My_Audit!$A:$A,My_Audit!I:I,""),
_xlfn.IFS(_xlpm.MyAuditVal&lt;&gt;"",UPPER(_xlpm.MyAuditVal),_xlpm.MacVal&lt;&gt;"",_xlpm.MacVal,_xlpm.CSVVal&lt;&gt;"",_xlpm.CSVVal
)),"")</f>
        <v/>
      </c>
      <c r="K1121" s="40" t="str" cm="1">
        <f t="array" ref="K1121">IFERROR(_xlfn.LET(
_xlpm.CSVVal,_xlfn.XLOOKUP($A1121,CSV!$A:$A,CSV!K:K,""),
_xlpm.MacVal,_xlfn.XLOOKUP($A1121,Output_Mac!$A:$A,Output_Mac!K:K,""),
_xlpm.MyAuditVal,_xlfn.XLOOKUP($A1121,My_Audit!$A:$A,My_Audit!J:J,""),
_xlfn.IFS(_xlpm.MyAuditVal&lt;&gt;"",UPPER(_xlpm.MyAuditVal),_xlpm.MacVal&lt;&gt;"",_xlpm.MacVal,_xlpm.CSVVal&lt;&gt;"",_xlpm.CSVVal
)),"")</f>
        <v/>
      </c>
      <c r="L1121" s="40" t="str" cm="1">
        <f t="array" ref="L1121">IFERROR(_xlfn.LET(
_xlpm.CSVVal,_xlfn.XLOOKUP($A1121,CSV!$A:$A,CSV!P:P,""),
_xlpm.MacVal,_xlfn.XLOOKUP($A1121,Output_Mac!$A:$A,Output_Mac!L:L,""),
_xlpm.MyAuditVal,_xlfn.XLOOKUP($A1121,My_Audit!$A:$A,My_Audit!K:K,""),
_xlfn.IFS(_xlpm.MyAuditVal&lt;&gt;"",UPPER(_xlpm.MyAuditVal),_xlpm.MacVal&lt;&gt;"",_xlpm.MacVal,_xlpm.CSVVal&lt;&gt;"",_xlpm.CSVVal
)),"")</f>
        <v/>
      </c>
      <c r="M1121" s="40" t="str" cm="1">
        <f t="array" ref="M1121">IFERROR(_xlfn.LET(
_xlpm.CSVVal,_xlfn.XLOOKUP($A1121,CSV!$A:$A,CSV!Q:Q,""),
_xlpm.MacVal,_xlfn.XLOOKUP($A1121,Output_Mac!$A:$A,Output_Mac!M:M,""),
_xlpm.MyAuditVal,_xlfn.XLOOKUP($A1121,My_Audit!$A:$A,My_Audit!L:L,""),
_xlfn.IFS(_xlpm.MyAuditVal&lt;&gt;"",UPPER(_xlpm.MyAuditVal),_xlpm.MacVal&lt;&gt;"",_xlpm.MacVal,_xlpm.CSVVal&lt;&gt;"",_xlpm.CSVVal
)),"")</f>
        <v/>
      </c>
      <c r="N1121" s="40"/>
      <c r="O1121" s="40" t="str">
        <f>_xlfn.LET(
    _xlpm.CSVVal, _xlfn.XLOOKUP($A1121, CSV!$A:$A, CSV!AA:AA, ""),
    _xlpm.MacVal, _xlfn.XLOOKUP($A1121, Output_Mac!$A:$A, Output_Mac!S:S, ""),
    _xlpm.MyAuditVal, _xlfn.XLOOKUP($A1121, My_Audit!$A:$A, My_Audit!P:P, ""),
    _xlfn.TEXTJOIN(", ", TRUE, _xlpm.MyAuditVal, _xlpm.MacVal, _xlpm.CSVVal)
)</f>
        <v/>
      </c>
      <c r="P1121" s="40" t="str" cm="1">
        <f t="array" ref="P1121">IFERROR(_xlfn.LET(
_xlpm.CSVVal,_xlfn.XLOOKUP($A1121,CSV!$A:$A,CSV!AB:AB,""),
_xlpm.MacVal,_xlfn.XLOOKUP($A1121,Output_Mac!$A:$A,Output_Mac!T:T,""),
_xlpm.MyAuditVal,_xlfn.XLOOKUP($A1121,My_Audit!$A:$A,My_Audit!Q:Q,""),
_xlfn.IFS(_xlpm.MyAuditVal&lt;&gt;"",UPPER(_xlpm.MyAuditVal),_xlpm.MacVal&lt;&gt;"",_xlpm.MacVal,_xlpm.CSVVal&lt;&gt;"",_xlpm.CSVVal
)),"No")</f>
        <v>No</v>
      </c>
      <c r="Q1121" s="40" t="str" cm="1">
        <f t="array" ref="Q1121">IFERROR(_xlfn.LET(
_xlpm.CSVVal,_xlfn.XLOOKUP($A1121,CSV!$A:$A,CSV!AC:AC,""),
_xlpm.MacVal,_xlfn.XLOOKUP($A1121,Output_Mac!$A:$A,Output_Mac!U:U,""),
_xlpm.MyAuditVal,_xlfn.XLOOKUP($A1121,My_Audit!$A:$A,My_Audit!R:R,""),
_xlfn.IFS(_xlpm.MyAuditVal&lt;&gt;"",UPPER(_xlpm.MyAuditVal),_xlpm.MacVal&lt;&gt;"",_xlpm.MacVal,_xlpm.CSVVal&lt;&gt;"",_xlpm.CSVVal
)),"")</f>
        <v/>
      </c>
      <c r="R1121" s="40"/>
      <c r="S1121" s="40"/>
      <c r="T1121" s="40"/>
      <c r="U1121" s="40"/>
      <c r="V1121" s="40"/>
      <c r="W1121" s="40"/>
      <c r="X1121" s="41" t="str">
        <f>_xlfn.LET(
    _xlpm.MacVal, _xlfn.XLOOKUP($A1121, Output_Mac!$A:$A, Output_Mac!AB:AB, ""),
    _xlpm.MyAuditVal, _xlfn.XLOOKUP($A1121, My_Audit!$A:$A, My_Audit!N:N, ""),
    _xlfn.TEXTJOIN(", ", TRUE, _xlpm.MyAuditVal, _xlpm.MacVal)
)</f>
        <v/>
      </c>
    </row>
    <row r="1122" spans="1:24">
      <c r="A1122" s="40" t="str">
        <f>_xlfn.TEXTJOIN("",TRUE,Input!$B$2,ROW(My_Audit!A1121))</f>
        <v>X1121</v>
      </c>
      <c r="B1122" s="40" t="str">
        <f>_xlfn.TEXTJOIN("-",TRUE,"ITD",Input!$A$2,A1122)</f>
        <v>ITD-X1121</v>
      </c>
      <c r="C1122" s="40" t="str" cm="1">
        <f t="array" ref="C1122">IFERROR(_xlfn.LET(
_xlpm.CSVVal,_xlfn.XLOOKUP($A1122,CSV!$A:$A,CSV!B:B,""),
_xlpm.MacVal,_xlfn.XLOOKUP($A1122,Output_Mac!$A:$A,Output_Mac!B:B,""),
_xlpm.MyAuditVal,_xlfn.XLOOKUP($A1122,My_Audit!$A:$A,My_Audit!B:B,""),
_xlfn.IFS(_xlpm.MyAuditVal&lt;&gt;"",UPPER(_xlpm.MyAuditVal),_xlpm.MacVal&lt;&gt;"",_xlpm.MacVal,_xlpm.CSVVal&lt;&gt;"",_xlpm.CSVVal
)),"")</f>
        <v/>
      </c>
      <c r="D1122" s="40" t="str" cm="1">
        <f t="array" ref="D1122">IFERROR(_xlfn.LET(
_xlpm.CSVVal,_xlfn.XLOOKUP($A1122,CSV!$A:$A,CSV!D:D,""),
_xlpm.MacVal,_xlfn.XLOOKUP($A1122,Output_Mac!$A:$A,Output_Mac!C:C,""),
_xlpm.MyAuditVal,_xlfn.XLOOKUP($A1122,My_Audit!$A:$A,My_Audit!C:C,""),
_xlfn.IFS(_xlpm.MyAuditVal&lt;&gt;"",_xlpm.MyAuditVal,_xlpm.MacVal&lt;&gt;"",_xlpm.MacVal,_xlpm.CSVVal&lt;&gt;"",_xlpm.CSVVal
)),"")</f>
        <v/>
      </c>
      <c r="E1122" s="40" t="str">
        <f>_xlfn.XLOOKUP(A1122,My_Audit!A:A,My_Audit!D:D,"")</f>
        <v/>
      </c>
      <c r="F1122" s="40" t="str" cm="1">
        <f t="array" ref="F1122">IFERROR(_xlfn.LET(
_xlpm.CSVVal,_xlfn.XLOOKUP($A1122,CSV!$A:$A,CSV!F:F,""),
_xlpm.MacVal,_xlfn.XLOOKUP($A1122,Output_Mac!$A:$A,Output_Mac!E:E,""),
_xlpm.MyAuditVal,_xlfn.XLOOKUP($A1122,My_Audit!$A:$A,My_Audit!E:E,""),
_xlfn.IFS(_xlpm.MyAuditVal&lt;&gt;"",_xlpm.MyAuditVal,_xlpm.MacVal&lt;&gt;"",_xlpm.MacVal,_xlpm.CSVVal&lt;&gt;"",_xlpm.CSVVal
)),"")</f>
        <v/>
      </c>
      <c r="G1122" s="40" t="str" cm="1">
        <f t="array" ref="G1122">IFERROR(_xlfn.LET(
_xlpm.CSVVal,_xlfn.XLOOKUP($A1122,CSV!$A:$A,CSV!G:G,""),
_xlpm.MacVal,_xlfn.XLOOKUP($A1122,Output_Mac!$A:$A,Output_Mac!F:F,""),
_xlpm.MyAuditVal,_xlfn.XLOOKUP($A1122,My_Audit!$A:$A,My_Audit!F:F,""),
_xlfn.IFS(_xlpm.MyAuditVal&lt;&gt;"",_xlpm.MyAuditVal,_xlpm.MacVal&lt;&gt;"",_xlpm.MacVal,_xlpm.CSVVal&lt;&gt;"",PROPER(_xlpm.CSVVal)
)),"")</f>
        <v/>
      </c>
      <c r="H1122" s="40" t="str" cm="1">
        <f t="array" ref="H1122">IFERROR(_xlfn.LET(
_xlpm.CSVVal,_xlfn.XLOOKUP($A1122,CSV!$A:$A,CSV!H:H,""),
_xlpm.MacVal,_xlfn.XLOOKUP($A1122,Output_Mac!$A:$A,Output_Mac!H:H,""),
_xlpm.MyAuditVal,_xlfn.XLOOKUP($A1122,My_Audit!$A:$A,My_Audit!G:G,""),
_xlfn.IFS(_xlpm.MyAuditVal&lt;&gt;"",_xlpm.MyAuditVal,_xlpm.MacVal&lt;&gt;"",_xlpm.MacVal,_xlpm.CSVVal&lt;&gt;"",_xlpm.CSVVal
)),"")</f>
        <v/>
      </c>
      <c r="I1122" s="40" t="str">
        <f>_xlfn.XLOOKUP(A1122,Output_Mac!A:A,Output_Mac!I:I,"")</f>
        <v/>
      </c>
      <c r="J1122" s="40" t="str" cm="1">
        <f t="array" ref="J1122">IFERROR(_xlfn.LET(
_xlpm.CSVVal,_xlfn.XLOOKUP($A1122,CSV!$A:$A,CSV!I:I,""),
_xlpm.MacVal,_xlfn.XLOOKUP($A1122,Output_Mac!$A:$A,Output_Mac!J:J,""),
_xlpm.MyAuditVal,_xlfn.XLOOKUP($A1122,My_Audit!$A:$A,My_Audit!I:I,""),
_xlfn.IFS(_xlpm.MyAuditVal&lt;&gt;"",UPPER(_xlpm.MyAuditVal),_xlpm.MacVal&lt;&gt;"",_xlpm.MacVal,_xlpm.CSVVal&lt;&gt;"",_xlpm.CSVVal
)),"")</f>
        <v/>
      </c>
      <c r="K1122" s="40" t="str" cm="1">
        <f t="array" ref="K1122">IFERROR(_xlfn.LET(
_xlpm.CSVVal,_xlfn.XLOOKUP($A1122,CSV!$A:$A,CSV!K:K,""),
_xlpm.MacVal,_xlfn.XLOOKUP($A1122,Output_Mac!$A:$A,Output_Mac!K:K,""),
_xlpm.MyAuditVal,_xlfn.XLOOKUP($A1122,My_Audit!$A:$A,My_Audit!J:J,""),
_xlfn.IFS(_xlpm.MyAuditVal&lt;&gt;"",UPPER(_xlpm.MyAuditVal),_xlpm.MacVal&lt;&gt;"",_xlpm.MacVal,_xlpm.CSVVal&lt;&gt;"",_xlpm.CSVVal
)),"")</f>
        <v/>
      </c>
      <c r="L1122" s="40" t="str" cm="1">
        <f t="array" ref="L1122">IFERROR(_xlfn.LET(
_xlpm.CSVVal,_xlfn.XLOOKUP($A1122,CSV!$A:$A,CSV!P:P,""),
_xlpm.MacVal,_xlfn.XLOOKUP($A1122,Output_Mac!$A:$A,Output_Mac!L:L,""),
_xlpm.MyAuditVal,_xlfn.XLOOKUP($A1122,My_Audit!$A:$A,My_Audit!K:K,""),
_xlfn.IFS(_xlpm.MyAuditVal&lt;&gt;"",UPPER(_xlpm.MyAuditVal),_xlpm.MacVal&lt;&gt;"",_xlpm.MacVal,_xlpm.CSVVal&lt;&gt;"",_xlpm.CSVVal
)),"")</f>
        <v/>
      </c>
      <c r="M1122" s="40" t="str" cm="1">
        <f t="array" ref="M1122">IFERROR(_xlfn.LET(
_xlpm.CSVVal,_xlfn.XLOOKUP($A1122,CSV!$A:$A,CSV!Q:Q,""),
_xlpm.MacVal,_xlfn.XLOOKUP($A1122,Output_Mac!$A:$A,Output_Mac!M:M,""),
_xlpm.MyAuditVal,_xlfn.XLOOKUP($A1122,My_Audit!$A:$A,My_Audit!L:L,""),
_xlfn.IFS(_xlpm.MyAuditVal&lt;&gt;"",UPPER(_xlpm.MyAuditVal),_xlpm.MacVal&lt;&gt;"",_xlpm.MacVal,_xlpm.CSVVal&lt;&gt;"",_xlpm.CSVVal
)),"")</f>
        <v/>
      </c>
      <c r="N1122" s="40"/>
      <c r="O1122" s="40" t="str">
        <f>_xlfn.LET(
    _xlpm.CSVVal, _xlfn.XLOOKUP($A1122, CSV!$A:$A, CSV!AA:AA, ""),
    _xlpm.MacVal, _xlfn.XLOOKUP($A1122, Output_Mac!$A:$A, Output_Mac!S:S, ""),
    _xlpm.MyAuditVal, _xlfn.XLOOKUP($A1122, My_Audit!$A:$A, My_Audit!P:P, ""),
    _xlfn.TEXTJOIN(", ", TRUE, _xlpm.MyAuditVal, _xlpm.MacVal, _xlpm.CSVVal)
)</f>
        <v/>
      </c>
      <c r="P1122" s="40" t="str" cm="1">
        <f t="array" ref="P1122">IFERROR(_xlfn.LET(
_xlpm.CSVVal,_xlfn.XLOOKUP($A1122,CSV!$A:$A,CSV!AB:AB,""),
_xlpm.MacVal,_xlfn.XLOOKUP($A1122,Output_Mac!$A:$A,Output_Mac!T:T,""),
_xlpm.MyAuditVal,_xlfn.XLOOKUP($A1122,My_Audit!$A:$A,My_Audit!Q:Q,""),
_xlfn.IFS(_xlpm.MyAuditVal&lt;&gt;"",UPPER(_xlpm.MyAuditVal),_xlpm.MacVal&lt;&gt;"",_xlpm.MacVal,_xlpm.CSVVal&lt;&gt;"",_xlpm.CSVVal
)),"No")</f>
        <v>No</v>
      </c>
      <c r="Q1122" s="40" t="str" cm="1">
        <f t="array" ref="Q1122">IFERROR(_xlfn.LET(
_xlpm.CSVVal,_xlfn.XLOOKUP($A1122,CSV!$A:$A,CSV!AC:AC,""),
_xlpm.MacVal,_xlfn.XLOOKUP($A1122,Output_Mac!$A:$A,Output_Mac!U:U,""),
_xlpm.MyAuditVal,_xlfn.XLOOKUP($A1122,My_Audit!$A:$A,My_Audit!R:R,""),
_xlfn.IFS(_xlpm.MyAuditVal&lt;&gt;"",UPPER(_xlpm.MyAuditVal),_xlpm.MacVal&lt;&gt;"",_xlpm.MacVal,_xlpm.CSVVal&lt;&gt;"",_xlpm.CSVVal
)),"")</f>
        <v/>
      </c>
      <c r="R1122" s="40"/>
      <c r="S1122" s="40"/>
      <c r="T1122" s="40"/>
      <c r="U1122" s="40"/>
      <c r="V1122" s="40"/>
      <c r="W1122" s="40"/>
      <c r="X1122" s="41" t="str">
        <f>_xlfn.LET(
    _xlpm.MacVal, _xlfn.XLOOKUP($A1122, Output_Mac!$A:$A, Output_Mac!AB:AB, ""),
    _xlpm.MyAuditVal, _xlfn.XLOOKUP($A1122, My_Audit!$A:$A, My_Audit!N:N, ""),
    _xlfn.TEXTJOIN(", ", TRUE, _xlpm.MyAuditVal, _xlpm.MacVal)
)</f>
        <v/>
      </c>
    </row>
    <row r="1123" spans="1:24">
      <c r="A1123" s="40" t="str">
        <f>_xlfn.TEXTJOIN("",TRUE,Input!$B$2,ROW(My_Audit!A1122))</f>
        <v>X1122</v>
      </c>
      <c r="B1123" s="40" t="str">
        <f>_xlfn.TEXTJOIN("-",TRUE,"ITD",Input!$A$2,A1123)</f>
        <v>ITD-X1122</v>
      </c>
      <c r="C1123" s="40" t="str" cm="1">
        <f t="array" ref="C1123">IFERROR(_xlfn.LET(
_xlpm.CSVVal,_xlfn.XLOOKUP($A1123,CSV!$A:$A,CSV!B:B,""),
_xlpm.MacVal,_xlfn.XLOOKUP($A1123,Output_Mac!$A:$A,Output_Mac!B:B,""),
_xlpm.MyAuditVal,_xlfn.XLOOKUP($A1123,My_Audit!$A:$A,My_Audit!B:B,""),
_xlfn.IFS(_xlpm.MyAuditVal&lt;&gt;"",UPPER(_xlpm.MyAuditVal),_xlpm.MacVal&lt;&gt;"",_xlpm.MacVal,_xlpm.CSVVal&lt;&gt;"",_xlpm.CSVVal
)),"")</f>
        <v/>
      </c>
      <c r="D1123" s="40" t="str" cm="1">
        <f t="array" ref="D1123">IFERROR(_xlfn.LET(
_xlpm.CSVVal,_xlfn.XLOOKUP($A1123,CSV!$A:$A,CSV!D:D,""),
_xlpm.MacVal,_xlfn.XLOOKUP($A1123,Output_Mac!$A:$A,Output_Mac!C:C,""),
_xlpm.MyAuditVal,_xlfn.XLOOKUP($A1123,My_Audit!$A:$A,My_Audit!C:C,""),
_xlfn.IFS(_xlpm.MyAuditVal&lt;&gt;"",_xlpm.MyAuditVal,_xlpm.MacVal&lt;&gt;"",_xlpm.MacVal,_xlpm.CSVVal&lt;&gt;"",_xlpm.CSVVal
)),"")</f>
        <v/>
      </c>
      <c r="E1123" s="40" t="str">
        <f>_xlfn.XLOOKUP(A1123,My_Audit!A:A,My_Audit!D:D,"")</f>
        <v/>
      </c>
      <c r="F1123" s="40" t="str" cm="1">
        <f t="array" ref="F1123">IFERROR(_xlfn.LET(
_xlpm.CSVVal,_xlfn.XLOOKUP($A1123,CSV!$A:$A,CSV!F:F,""),
_xlpm.MacVal,_xlfn.XLOOKUP($A1123,Output_Mac!$A:$A,Output_Mac!E:E,""),
_xlpm.MyAuditVal,_xlfn.XLOOKUP($A1123,My_Audit!$A:$A,My_Audit!E:E,""),
_xlfn.IFS(_xlpm.MyAuditVal&lt;&gt;"",_xlpm.MyAuditVal,_xlpm.MacVal&lt;&gt;"",_xlpm.MacVal,_xlpm.CSVVal&lt;&gt;"",_xlpm.CSVVal
)),"")</f>
        <v/>
      </c>
      <c r="G1123" s="40" t="str" cm="1">
        <f t="array" ref="G1123">IFERROR(_xlfn.LET(
_xlpm.CSVVal,_xlfn.XLOOKUP($A1123,CSV!$A:$A,CSV!G:G,""),
_xlpm.MacVal,_xlfn.XLOOKUP($A1123,Output_Mac!$A:$A,Output_Mac!F:F,""),
_xlpm.MyAuditVal,_xlfn.XLOOKUP($A1123,My_Audit!$A:$A,My_Audit!F:F,""),
_xlfn.IFS(_xlpm.MyAuditVal&lt;&gt;"",_xlpm.MyAuditVal,_xlpm.MacVal&lt;&gt;"",_xlpm.MacVal,_xlpm.CSVVal&lt;&gt;"",PROPER(_xlpm.CSVVal)
)),"")</f>
        <v/>
      </c>
      <c r="H1123" s="40" t="str" cm="1">
        <f t="array" ref="H1123">IFERROR(_xlfn.LET(
_xlpm.CSVVal,_xlfn.XLOOKUP($A1123,CSV!$A:$A,CSV!H:H,""),
_xlpm.MacVal,_xlfn.XLOOKUP($A1123,Output_Mac!$A:$A,Output_Mac!H:H,""),
_xlpm.MyAuditVal,_xlfn.XLOOKUP($A1123,My_Audit!$A:$A,My_Audit!G:G,""),
_xlfn.IFS(_xlpm.MyAuditVal&lt;&gt;"",_xlpm.MyAuditVal,_xlpm.MacVal&lt;&gt;"",_xlpm.MacVal,_xlpm.CSVVal&lt;&gt;"",_xlpm.CSVVal
)),"")</f>
        <v/>
      </c>
      <c r="I1123" s="40" t="str">
        <f>_xlfn.XLOOKUP(A1123,Output_Mac!A:A,Output_Mac!I:I,"")</f>
        <v/>
      </c>
      <c r="J1123" s="40" t="str" cm="1">
        <f t="array" ref="J1123">IFERROR(_xlfn.LET(
_xlpm.CSVVal,_xlfn.XLOOKUP($A1123,CSV!$A:$A,CSV!I:I,""),
_xlpm.MacVal,_xlfn.XLOOKUP($A1123,Output_Mac!$A:$A,Output_Mac!J:J,""),
_xlpm.MyAuditVal,_xlfn.XLOOKUP($A1123,My_Audit!$A:$A,My_Audit!I:I,""),
_xlfn.IFS(_xlpm.MyAuditVal&lt;&gt;"",UPPER(_xlpm.MyAuditVal),_xlpm.MacVal&lt;&gt;"",_xlpm.MacVal,_xlpm.CSVVal&lt;&gt;"",_xlpm.CSVVal
)),"")</f>
        <v/>
      </c>
      <c r="K1123" s="40" t="str" cm="1">
        <f t="array" ref="K1123">IFERROR(_xlfn.LET(
_xlpm.CSVVal,_xlfn.XLOOKUP($A1123,CSV!$A:$A,CSV!K:K,""),
_xlpm.MacVal,_xlfn.XLOOKUP($A1123,Output_Mac!$A:$A,Output_Mac!K:K,""),
_xlpm.MyAuditVal,_xlfn.XLOOKUP($A1123,My_Audit!$A:$A,My_Audit!J:J,""),
_xlfn.IFS(_xlpm.MyAuditVal&lt;&gt;"",UPPER(_xlpm.MyAuditVal),_xlpm.MacVal&lt;&gt;"",_xlpm.MacVal,_xlpm.CSVVal&lt;&gt;"",_xlpm.CSVVal
)),"")</f>
        <v/>
      </c>
      <c r="L1123" s="40" t="str" cm="1">
        <f t="array" ref="L1123">IFERROR(_xlfn.LET(
_xlpm.CSVVal,_xlfn.XLOOKUP($A1123,CSV!$A:$A,CSV!P:P,""),
_xlpm.MacVal,_xlfn.XLOOKUP($A1123,Output_Mac!$A:$A,Output_Mac!L:L,""),
_xlpm.MyAuditVal,_xlfn.XLOOKUP($A1123,My_Audit!$A:$A,My_Audit!K:K,""),
_xlfn.IFS(_xlpm.MyAuditVal&lt;&gt;"",UPPER(_xlpm.MyAuditVal),_xlpm.MacVal&lt;&gt;"",_xlpm.MacVal,_xlpm.CSVVal&lt;&gt;"",_xlpm.CSVVal
)),"")</f>
        <v/>
      </c>
      <c r="M1123" s="40" t="str" cm="1">
        <f t="array" ref="M1123">IFERROR(_xlfn.LET(
_xlpm.CSVVal,_xlfn.XLOOKUP($A1123,CSV!$A:$A,CSV!Q:Q,""),
_xlpm.MacVal,_xlfn.XLOOKUP($A1123,Output_Mac!$A:$A,Output_Mac!M:M,""),
_xlpm.MyAuditVal,_xlfn.XLOOKUP($A1123,My_Audit!$A:$A,My_Audit!L:L,""),
_xlfn.IFS(_xlpm.MyAuditVal&lt;&gt;"",UPPER(_xlpm.MyAuditVal),_xlpm.MacVal&lt;&gt;"",_xlpm.MacVal,_xlpm.CSVVal&lt;&gt;"",_xlpm.CSVVal
)),"")</f>
        <v/>
      </c>
      <c r="N1123" s="40"/>
      <c r="O1123" s="40" t="str">
        <f>_xlfn.LET(
    _xlpm.CSVVal, _xlfn.XLOOKUP($A1123, CSV!$A:$A, CSV!AA:AA, ""),
    _xlpm.MacVal, _xlfn.XLOOKUP($A1123, Output_Mac!$A:$A, Output_Mac!S:S, ""),
    _xlpm.MyAuditVal, _xlfn.XLOOKUP($A1123, My_Audit!$A:$A, My_Audit!P:P, ""),
    _xlfn.TEXTJOIN(", ", TRUE, _xlpm.MyAuditVal, _xlpm.MacVal, _xlpm.CSVVal)
)</f>
        <v/>
      </c>
      <c r="P1123" s="40" t="str" cm="1">
        <f t="array" ref="P1123">IFERROR(_xlfn.LET(
_xlpm.CSVVal,_xlfn.XLOOKUP($A1123,CSV!$A:$A,CSV!AB:AB,""),
_xlpm.MacVal,_xlfn.XLOOKUP($A1123,Output_Mac!$A:$A,Output_Mac!T:T,""),
_xlpm.MyAuditVal,_xlfn.XLOOKUP($A1123,My_Audit!$A:$A,My_Audit!Q:Q,""),
_xlfn.IFS(_xlpm.MyAuditVal&lt;&gt;"",UPPER(_xlpm.MyAuditVal),_xlpm.MacVal&lt;&gt;"",_xlpm.MacVal,_xlpm.CSVVal&lt;&gt;"",_xlpm.CSVVal
)),"No")</f>
        <v>No</v>
      </c>
      <c r="Q1123" s="40" t="str" cm="1">
        <f t="array" ref="Q1123">IFERROR(_xlfn.LET(
_xlpm.CSVVal,_xlfn.XLOOKUP($A1123,CSV!$A:$A,CSV!AC:AC,""),
_xlpm.MacVal,_xlfn.XLOOKUP($A1123,Output_Mac!$A:$A,Output_Mac!U:U,""),
_xlpm.MyAuditVal,_xlfn.XLOOKUP($A1123,My_Audit!$A:$A,My_Audit!R:R,""),
_xlfn.IFS(_xlpm.MyAuditVal&lt;&gt;"",UPPER(_xlpm.MyAuditVal),_xlpm.MacVal&lt;&gt;"",_xlpm.MacVal,_xlpm.CSVVal&lt;&gt;"",_xlpm.CSVVal
)),"")</f>
        <v/>
      </c>
      <c r="R1123" s="40"/>
      <c r="S1123" s="40"/>
      <c r="T1123" s="40"/>
      <c r="U1123" s="40"/>
      <c r="V1123" s="40"/>
      <c r="W1123" s="40"/>
      <c r="X1123" s="41" t="str">
        <f>_xlfn.LET(
    _xlpm.MacVal, _xlfn.XLOOKUP($A1123, Output_Mac!$A:$A, Output_Mac!AB:AB, ""),
    _xlpm.MyAuditVal, _xlfn.XLOOKUP($A1123, My_Audit!$A:$A, My_Audit!N:N, ""),
    _xlfn.TEXTJOIN(", ", TRUE, _xlpm.MyAuditVal, _xlpm.MacVal)
)</f>
        <v/>
      </c>
    </row>
    <row r="1124" spans="1:24">
      <c r="A1124" s="40" t="str">
        <f>_xlfn.TEXTJOIN("",TRUE,Input!$B$2,ROW(My_Audit!A1123))</f>
        <v>X1123</v>
      </c>
      <c r="B1124" s="40" t="str">
        <f>_xlfn.TEXTJOIN("-",TRUE,"ITD",Input!$A$2,A1124)</f>
        <v>ITD-X1123</v>
      </c>
      <c r="C1124" s="40" t="str" cm="1">
        <f t="array" ref="C1124">IFERROR(_xlfn.LET(
_xlpm.CSVVal,_xlfn.XLOOKUP($A1124,CSV!$A:$A,CSV!B:B,""),
_xlpm.MacVal,_xlfn.XLOOKUP($A1124,Output_Mac!$A:$A,Output_Mac!B:B,""),
_xlpm.MyAuditVal,_xlfn.XLOOKUP($A1124,My_Audit!$A:$A,My_Audit!B:B,""),
_xlfn.IFS(_xlpm.MyAuditVal&lt;&gt;"",UPPER(_xlpm.MyAuditVal),_xlpm.MacVal&lt;&gt;"",_xlpm.MacVal,_xlpm.CSVVal&lt;&gt;"",_xlpm.CSVVal
)),"")</f>
        <v/>
      </c>
      <c r="D1124" s="40" t="str" cm="1">
        <f t="array" ref="D1124">IFERROR(_xlfn.LET(
_xlpm.CSVVal,_xlfn.XLOOKUP($A1124,CSV!$A:$A,CSV!D:D,""),
_xlpm.MacVal,_xlfn.XLOOKUP($A1124,Output_Mac!$A:$A,Output_Mac!C:C,""),
_xlpm.MyAuditVal,_xlfn.XLOOKUP($A1124,My_Audit!$A:$A,My_Audit!C:C,""),
_xlfn.IFS(_xlpm.MyAuditVal&lt;&gt;"",_xlpm.MyAuditVal,_xlpm.MacVal&lt;&gt;"",_xlpm.MacVal,_xlpm.CSVVal&lt;&gt;"",_xlpm.CSVVal
)),"")</f>
        <v/>
      </c>
      <c r="E1124" s="40" t="str">
        <f>_xlfn.XLOOKUP(A1124,My_Audit!A:A,My_Audit!D:D,"")</f>
        <v/>
      </c>
      <c r="F1124" s="40" t="str" cm="1">
        <f t="array" ref="F1124">IFERROR(_xlfn.LET(
_xlpm.CSVVal,_xlfn.XLOOKUP($A1124,CSV!$A:$A,CSV!F:F,""),
_xlpm.MacVal,_xlfn.XLOOKUP($A1124,Output_Mac!$A:$A,Output_Mac!E:E,""),
_xlpm.MyAuditVal,_xlfn.XLOOKUP($A1124,My_Audit!$A:$A,My_Audit!E:E,""),
_xlfn.IFS(_xlpm.MyAuditVal&lt;&gt;"",_xlpm.MyAuditVal,_xlpm.MacVal&lt;&gt;"",_xlpm.MacVal,_xlpm.CSVVal&lt;&gt;"",_xlpm.CSVVal
)),"")</f>
        <v/>
      </c>
      <c r="G1124" s="40" t="str" cm="1">
        <f t="array" ref="G1124">IFERROR(_xlfn.LET(
_xlpm.CSVVal,_xlfn.XLOOKUP($A1124,CSV!$A:$A,CSV!G:G,""),
_xlpm.MacVal,_xlfn.XLOOKUP($A1124,Output_Mac!$A:$A,Output_Mac!F:F,""),
_xlpm.MyAuditVal,_xlfn.XLOOKUP($A1124,My_Audit!$A:$A,My_Audit!F:F,""),
_xlfn.IFS(_xlpm.MyAuditVal&lt;&gt;"",_xlpm.MyAuditVal,_xlpm.MacVal&lt;&gt;"",_xlpm.MacVal,_xlpm.CSVVal&lt;&gt;"",PROPER(_xlpm.CSVVal)
)),"")</f>
        <v/>
      </c>
      <c r="H1124" s="40" t="str" cm="1">
        <f t="array" ref="H1124">IFERROR(_xlfn.LET(
_xlpm.CSVVal,_xlfn.XLOOKUP($A1124,CSV!$A:$A,CSV!H:H,""),
_xlpm.MacVal,_xlfn.XLOOKUP($A1124,Output_Mac!$A:$A,Output_Mac!H:H,""),
_xlpm.MyAuditVal,_xlfn.XLOOKUP($A1124,My_Audit!$A:$A,My_Audit!G:G,""),
_xlfn.IFS(_xlpm.MyAuditVal&lt;&gt;"",_xlpm.MyAuditVal,_xlpm.MacVal&lt;&gt;"",_xlpm.MacVal,_xlpm.CSVVal&lt;&gt;"",_xlpm.CSVVal
)),"")</f>
        <v/>
      </c>
      <c r="I1124" s="40" t="str">
        <f>_xlfn.XLOOKUP(A1124,Output_Mac!A:A,Output_Mac!I:I,"")</f>
        <v/>
      </c>
      <c r="J1124" s="40" t="str" cm="1">
        <f t="array" ref="J1124">IFERROR(_xlfn.LET(
_xlpm.CSVVal,_xlfn.XLOOKUP($A1124,CSV!$A:$A,CSV!I:I,""),
_xlpm.MacVal,_xlfn.XLOOKUP($A1124,Output_Mac!$A:$A,Output_Mac!J:J,""),
_xlpm.MyAuditVal,_xlfn.XLOOKUP($A1124,My_Audit!$A:$A,My_Audit!I:I,""),
_xlfn.IFS(_xlpm.MyAuditVal&lt;&gt;"",UPPER(_xlpm.MyAuditVal),_xlpm.MacVal&lt;&gt;"",_xlpm.MacVal,_xlpm.CSVVal&lt;&gt;"",_xlpm.CSVVal
)),"")</f>
        <v/>
      </c>
      <c r="K1124" s="40" t="str" cm="1">
        <f t="array" ref="K1124">IFERROR(_xlfn.LET(
_xlpm.CSVVal,_xlfn.XLOOKUP($A1124,CSV!$A:$A,CSV!K:K,""),
_xlpm.MacVal,_xlfn.XLOOKUP($A1124,Output_Mac!$A:$A,Output_Mac!K:K,""),
_xlpm.MyAuditVal,_xlfn.XLOOKUP($A1124,My_Audit!$A:$A,My_Audit!J:J,""),
_xlfn.IFS(_xlpm.MyAuditVal&lt;&gt;"",UPPER(_xlpm.MyAuditVal),_xlpm.MacVal&lt;&gt;"",_xlpm.MacVal,_xlpm.CSVVal&lt;&gt;"",_xlpm.CSVVal
)),"")</f>
        <v/>
      </c>
      <c r="L1124" s="40" t="str" cm="1">
        <f t="array" ref="L1124">IFERROR(_xlfn.LET(
_xlpm.CSVVal,_xlfn.XLOOKUP($A1124,CSV!$A:$A,CSV!P:P,""),
_xlpm.MacVal,_xlfn.XLOOKUP($A1124,Output_Mac!$A:$A,Output_Mac!L:L,""),
_xlpm.MyAuditVal,_xlfn.XLOOKUP($A1124,My_Audit!$A:$A,My_Audit!K:K,""),
_xlfn.IFS(_xlpm.MyAuditVal&lt;&gt;"",UPPER(_xlpm.MyAuditVal),_xlpm.MacVal&lt;&gt;"",_xlpm.MacVal,_xlpm.CSVVal&lt;&gt;"",_xlpm.CSVVal
)),"")</f>
        <v/>
      </c>
      <c r="M1124" s="40" t="str" cm="1">
        <f t="array" ref="M1124">IFERROR(_xlfn.LET(
_xlpm.CSVVal,_xlfn.XLOOKUP($A1124,CSV!$A:$A,CSV!Q:Q,""),
_xlpm.MacVal,_xlfn.XLOOKUP($A1124,Output_Mac!$A:$A,Output_Mac!M:M,""),
_xlpm.MyAuditVal,_xlfn.XLOOKUP($A1124,My_Audit!$A:$A,My_Audit!L:L,""),
_xlfn.IFS(_xlpm.MyAuditVal&lt;&gt;"",UPPER(_xlpm.MyAuditVal),_xlpm.MacVal&lt;&gt;"",_xlpm.MacVal,_xlpm.CSVVal&lt;&gt;"",_xlpm.CSVVal
)),"")</f>
        <v/>
      </c>
      <c r="N1124" s="40"/>
      <c r="O1124" s="40" t="str">
        <f>_xlfn.LET(
    _xlpm.CSVVal, _xlfn.XLOOKUP($A1124, CSV!$A:$A, CSV!AA:AA, ""),
    _xlpm.MacVal, _xlfn.XLOOKUP($A1124, Output_Mac!$A:$A, Output_Mac!S:S, ""),
    _xlpm.MyAuditVal, _xlfn.XLOOKUP($A1124, My_Audit!$A:$A, My_Audit!P:P, ""),
    _xlfn.TEXTJOIN(", ", TRUE, _xlpm.MyAuditVal, _xlpm.MacVal, _xlpm.CSVVal)
)</f>
        <v/>
      </c>
      <c r="P1124" s="40" t="str" cm="1">
        <f t="array" ref="P1124">IFERROR(_xlfn.LET(
_xlpm.CSVVal,_xlfn.XLOOKUP($A1124,CSV!$A:$A,CSV!AB:AB,""),
_xlpm.MacVal,_xlfn.XLOOKUP($A1124,Output_Mac!$A:$A,Output_Mac!T:T,""),
_xlpm.MyAuditVal,_xlfn.XLOOKUP($A1124,My_Audit!$A:$A,My_Audit!Q:Q,""),
_xlfn.IFS(_xlpm.MyAuditVal&lt;&gt;"",UPPER(_xlpm.MyAuditVal),_xlpm.MacVal&lt;&gt;"",_xlpm.MacVal,_xlpm.CSVVal&lt;&gt;"",_xlpm.CSVVal
)),"No")</f>
        <v>No</v>
      </c>
      <c r="Q1124" s="40" t="str" cm="1">
        <f t="array" ref="Q1124">IFERROR(_xlfn.LET(
_xlpm.CSVVal,_xlfn.XLOOKUP($A1124,CSV!$A:$A,CSV!AC:AC,""),
_xlpm.MacVal,_xlfn.XLOOKUP($A1124,Output_Mac!$A:$A,Output_Mac!U:U,""),
_xlpm.MyAuditVal,_xlfn.XLOOKUP($A1124,My_Audit!$A:$A,My_Audit!R:R,""),
_xlfn.IFS(_xlpm.MyAuditVal&lt;&gt;"",UPPER(_xlpm.MyAuditVal),_xlpm.MacVal&lt;&gt;"",_xlpm.MacVal,_xlpm.CSVVal&lt;&gt;"",_xlpm.CSVVal
)),"")</f>
        <v/>
      </c>
      <c r="R1124" s="40"/>
      <c r="S1124" s="40"/>
      <c r="T1124" s="40"/>
      <c r="U1124" s="40"/>
      <c r="V1124" s="40"/>
      <c r="W1124" s="40"/>
      <c r="X1124" s="41" t="str">
        <f>_xlfn.LET(
    _xlpm.MacVal, _xlfn.XLOOKUP($A1124, Output_Mac!$A:$A, Output_Mac!AB:AB, ""),
    _xlpm.MyAuditVal, _xlfn.XLOOKUP($A1124, My_Audit!$A:$A, My_Audit!N:N, ""),
    _xlfn.TEXTJOIN(", ", TRUE, _xlpm.MyAuditVal, _xlpm.MacVal)
)</f>
        <v/>
      </c>
    </row>
    <row r="1125" spans="1:24">
      <c r="A1125" s="40" t="str">
        <f>_xlfn.TEXTJOIN("",TRUE,Input!$B$2,ROW(My_Audit!A1124))</f>
        <v>X1124</v>
      </c>
      <c r="B1125" s="40" t="str">
        <f>_xlfn.TEXTJOIN("-",TRUE,"ITD",Input!$A$2,A1125)</f>
        <v>ITD-X1124</v>
      </c>
      <c r="C1125" s="40" t="str" cm="1">
        <f t="array" ref="C1125">IFERROR(_xlfn.LET(
_xlpm.CSVVal,_xlfn.XLOOKUP($A1125,CSV!$A:$A,CSV!B:B,""),
_xlpm.MacVal,_xlfn.XLOOKUP($A1125,Output_Mac!$A:$A,Output_Mac!B:B,""),
_xlpm.MyAuditVal,_xlfn.XLOOKUP($A1125,My_Audit!$A:$A,My_Audit!B:B,""),
_xlfn.IFS(_xlpm.MyAuditVal&lt;&gt;"",UPPER(_xlpm.MyAuditVal),_xlpm.MacVal&lt;&gt;"",_xlpm.MacVal,_xlpm.CSVVal&lt;&gt;"",_xlpm.CSVVal
)),"")</f>
        <v/>
      </c>
      <c r="D1125" s="40" t="str" cm="1">
        <f t="array" ref="D1125">IFERROR(_xlfn.LET(
_xlpm.CSVVal,_xlfn.XLOOKUP($A1125,CSV!$A:$A,CSV!D:D,""),
_xlpm.MacVal,_xlfn.XLOOKUP($A1125,Output_Mac!$A:$A,Output_Mac!C:C,""),
_xlpm.MyAuditVal,_xlfn.XLOOKUP($A1125,My_Audit!$A:$A,My_Audit!C:C,""),
_xlfn.IFS(_xlpm.MyAuditVal&lt;&gt;"",_xlpm.MyAuditVal,_xlpm.MacVal&lt;&gt;"",_xlpm.MacVal,_xlpm.CSVVal&lt;&gt;"",_xlpm.CSVVal
)),"")</f>
        <v/>
      </c>
      <c r="E1125" s="40" t="str">
        <f>_xlfn.XLOOKUP(A1125,My_Audit!A:A,My_Audit!D:D,"")</f>
        <v/>
      </c>
      <c r="F1125" s="40" t="str" cm="1">
        <f t="array" ref="F1125">IFERROR(_xlfn.LET(
_xlpm.CSVVal,_xlfn.XLOOKUP($A1125,CSV!$A:$A,CSV!F:F,""),
_xlpm.MacVal,_xlfn.XLOOKUP($A1125,Output_Mac!$A:$A,Output_Mac!E:E,""),
_xlpm.MyAuditVal,_xlfn.XLOOKUP($A1125,My_Audit!$A:$A,My_Audit!E:E,""),
_xlfn.IFS(_xlpm.MyAuditVal&lt;&gt;"",_xlpm.MyAuditVal,_xlpm.MacVal&lt;&gt;"",_xlpm.MacVal,_xlpm.CSVVal&lt;&gt;"",_xlpm.CSVVal
)),"")</f>
        <v/>
      </c>
      <c r="G1125" s="40" t="str" cm="1">
        <f t="array" ref="G1125">IFERROR(_xlfn.LET(
_xlpm.CSVVal,_xlfn.XLOOKUP($A1125,CSV!$A:$A,CSV!G:G,""),
_xlpm.MacVal,_xlfn.XLOOKUP($A1125,Output_Mac!$A:$A,Output_Mac!F:F,""),
_xlpm.MyAuditVal,_xlfn.XLOOKUP($A1125,My_Audit!$A:$A,My_Audit!F:F,""),
_xlfn.IFS(_xlpm.MyAuditVal&lt;&gt;"",_xlpm.MyAuditVal,_xlpm.MacVal&lt;&gt;"",_xlpm.MacVal,_xlpm.CSVVal&lt;&gt;"",PROPER(_xlpm.CSVVal)
)),"")</f>
        <v/>
      </c>
      <c r="H1125" s="40" t="str" cm="1">
        <f t="array" ref="H1125">IFERROR(_xlfn.LET(
_xlpm.CSVVal,_xlfn.XLOOKUP($A1125,CSV!$A:$A,CSV!H:H,""),
_xlpm.MacVal,_xlfn.XLOOKUP($A1125,Output_Mac!$A:$A,Output_Mac!H:H,""),
_xlpm.MyAuditVal,_xlfn.XLOOKUP($A1125,My_Audit!$A:$A,My_Audit!G:G,""),
_xlfn.IFS(_xlpm.MyAuditVal&lt;&gt;"",_xlpm.MyAuditVal,_xlpm.MacVal&lt;&gt;"",_xlpm.MacVal,_xlpm.CSVVal&lt;&gt;"",_xlpm.CSVVal
)),"")</f>
        <v/>
      </c>
      <c r="I1125" s="40" t="str">
        <f>_xlfn.XLOOKUP(A1125,Output_Mac!A:A,Output_Mac!I:I,"")</f>
        <v/>
      </c>
      <c r="J1125" s="40" t="str" cm="1">
        <f t="array" ref="J1125">IFERROR(_xlfn.LET(
_xlpm.CSVVal,_xlfn.XLOOKUP($A1125,CSV!$A:$A,CSV!I:I,""),
_xlpm.MacVal,_xlfn.XLOOKUP($A1125,Output_Mac!$A:$A,Output_Mac!J:J,""),
_xlpm.MyAuditVal,_xlfn.XLOOKUP($A1125,My_Audit!$A:$A,My_Audit!I:I,""),
_xlfn.IFS(_xlpm.MyAuditVal&lt;&gt;"",UPPER(_xlpm.MyAuditVal),_xlpm.MacVal&lt;&gt;"",_xlpm.MacVal,_xlpm.CSVVal&lt;&gt;"",_xlpm.CSVVal
)),"")</f>
        <v/>
      </c>
      <c r="K1125" s="40" t="str" cm="1">
        <f t="array" ref="K1125">IFERROR(_xlfn.LET(
_xlpm.CSVVal,_xlfn.XLOOKUP($A1125,CSV!$A:$A,CSV!K:K,""),
_xlpm.MacVal,_xlfn.XLOOKUP($A1125,Output_Mac!$A:$A,Output_Mac!K:K,""),
_xlpm.MyAuditVal,_xlfn.XLOOKUP($A1125,My_Audit!$A:$A,My_Audit!J:J,""),
_xlfn.IFS(_xlpm.MyAuditVal&lt;&gt;"",UPPER(_xlpm.MyAuditVal),_xlpm.MacVal&lt;&gt;"",_xlpm.MacVal,_xlpm.CSVVal&lt;&gt;"",_xlpm.CSVVal
)),"")</f>
        <v/>
      </c>
      <c r="L1125" s="40" t="str" cm="1">
        <f t="array" ref="L1125">IFERROR(_xlfn.LET(
_xlpm.CSVVal,_xlfn.XLOOKUP($A1125,CSV!$A:$A,CSV!P:P,""),
_xlpm.MacVal,_xlfn.XLOOKUP($A1125,Output_Mac!$A:$A,Output_Mac!L:L,""),
_xlpm.MyAuditVal,_xlfn.XLOOKUP($A1125,My_Audit!$A:$A,My_Audit!K:K,""),
_xlfn.IFS(_xlpm.MyAuditVal&lt;&gt;"",UPPER(_xlpm.MyAuditVal),_xlpm.MacVal&lt;&gt;"",_xlpm.MacVal,_xlpm.CSVVal&lt;&gt;"",_xlpm.CSVVal
)),"")</f>
        <v/>
      </c>
      <c r="M1125" s="40" t="str" cm="1">
        <f t="array" ref="M1125">IFERROR(_xlfn.LET(
_xlpm.CSVVal,_xlfn.XLOOKUP($A1125,CSV!$A:$A,CSV!Q:Q,""),
_xlpm.MacVal,_xlfn.XLOOKUP($A1125,Output_Mac!$A:$A,Output_Mac!M:M,""),
_xlpm.MyAuditVal,_xlfn.XLOOKUP($A1125,My_Audit!$A:$A,My_Audit!L:L,""),
_xlfn.IFS(_xlpm.MyAuditVal&lt;&gt;"",UPPER(_xlpm.MyAuditVal),_xlpm.MacVal&lt;&gt;"",_xlpm.MacVal,_xlpm.CSVVal&lt;&gt;"",_xlpm.CSVVal
)),"")</f>
        <v/>
      </c>
      <c r="N1125" s="40"/>
      <c r="O1125" s="40" t="str">
        <f>_xlfn.LET(
    _xlpm.CSVVal, _xlfn.XLOOKUP($A1125, CSV!$A:$A, CSV!AA:AA, ""),
    _xlpm.MacVal, _xlfn.XLOOKUP($A1125, Output_Mac!$A:$A, Output_Mac!S:S, ""),
    _xlpm.MyAuditVal, _xlfn.XLOOKUP($A1125, My_Audit!$A:$A, My_Audit!P:P, ""),
    _xlfn.TEXTJOIN(", ", TRUE, _xlpm.MyAuditVal, _xlpm.MacVal, _xlpm.CSVVal)
)</f>
        <v/>
      </c>
      <c r="P1125" s="40" t="str" cm="1">
        <f t="array" ref="P1125">IFERROR(_xlfn.LET(
_xlpm.CSVVal,_xlfn.XLOOKUP($A1125,CSV!$A:$A,CSV!AB:AB,""),
_xlpm.MacVal,_xlfn.XLOOKUP($A1125,Output_Mac!$A:$A,Output_Mac!T:T,""),
_xlpm.MyAuditVal,_xlfn.XLOOKUP($A1125,My_Audit!$A:$A,My_Audit!Q:Q,""),
_xlfn.IFS(_xlpm.MyAuditVal&lt;&gt;"",UPPER(_xlpm.MyAuditVal),_xlpm.MacVal&lt;&gt;"",_xlpm.MacVal,_xlpm.CSVVal&lt;&gt;"",_xlpm.CSVVal
)),"No")</f>
        <v>No</v>
      </c>
      <c r="Q1125" s="40" t="str" cm="1">
        <f t="array" ref="Q1125">IFERROR(_xlfn.LET(
_xlpm.CSVVal,_xlfn.XLOOKUP($A1125,CSV!$A:$A,CSV!AC:AC,""),
_xlpm.MacVal,_xlfn.XLOOKUP($A1125,Output_Mac!$A:$A,Output_Mac!U:U,""),
_xlpm.MyAuditVal,_xlfn.XLOOKUP($A1125,My_Audit!$A:$A,My_Audit!R:R,""),
_xlfn.IFS(_xlpm.MyAuditVal&lt;&gt;"",UPPER(_xlpm.MyAuditVal),_xlpm.MacVal&lt;&gt;"",_xlpm.MacVal,_xlpm.CSVVal&lt;&gt;"",_xlpm.CSVVal
)),"")</f>
        <v/>
      </c>
      <c r="R1125" s="40"/>
      <c r="S1125" s="40"/>
      <c r="T1125" s="40"/>
      <c r="U1125" s="40"/>
      <c r="V1125" s="40"/>
      <c r="W1125" s="40"/>
      <c r="X1125" s="41" t="str">
        <f>_xlfn.LET(
    _xlpm.MacVal, _xlfn.XLOOKUP($A1125, Output_Mac!$A:$A, Output_Mac!AB:AB, ""),
    _xlpm.MyAuditVal, _xlfn.XLOOKUP($A1125, My_Audit!$A:$A, My_Audit!N:N, ""),
    _xlfn.TEXTJOIN(", ", TRUE, _xlpm.MyAuditVal, _xlpm.MacVal)
)</f>
        <v/>
      </c>
    </row>
    <row r="1126" spans="1:24">
      <c r="A1126" s="40" t="str">
        <f>_xlfn.TEXTJOIN("",TRUE,Input!$B$2,ROW(My_Audit!A1125))</f>
        <v>X1125</v>
      </c>
      <c r="B1126" s="40" t="str">
        <f>_xlfn.TEXTJOIN("-",TRUE,"ITD",Input!$A$2,A1126)</f>
        <v>ITD-X1125</v>
      </c>
      <c r="C1126" s="40" t="str" cm="1">
        <f t="array" ref="C1126">IFERROR(_xlfn.LET(
_xlpm.CSVVal,_xlfn.XLOOKUP($A1126,CSV!$A:$A,CSV!B:B,""),
_xlpm.MacVal,_xlfn.XLOOKUP($A1126,Output_Mac!$A:$A,Output_Mac!B:B,""),
_xlpm.MyAuditVal,_xlfn.XLOOKUP($A1126,My_Audit!$A:$A,My_Audit!B:B,""),
_xlfn.IFS(_xlpm.MyAuditVal&lt;&gt;"",UPPER(_xlpm.MyAuditVal),_xlpm.MacVal&lt;&gt;"",_xlpm.MacVal,_xlpm.CSVVal&lt;&gt;"",_xlpm.CSVVal
)),"")</f>
        <v/>
      </c>
      <c r="D1126" s="40" t="str" cm="1">
        <f t="array" ref="D1126">IFERROR(_xlfn.LET(
_xlpm.CSVVal,_xlfn.XLOOKUP($A1126,CSV!$A:$A,CSV!D:D,""),
_xlpm.MacVal,_xlfn.XLOOKUP($A1126,Output_Mac!$A:$A,Output_Mac!C:C,""),
_xlpm.MyAuditVal,_xlfn.XLOOKUP($A1126,My_Audit!$A:$A,My_Audit!C:C,""),
_xlfn.IFS(_xlpm.MyAuditVal&lt;&gt;"",_xlpm.MyAuditVal,_xlpm.MacVal&lt;&gt;"",_xlpm.MacVal,_xlpm.CSVVal&lt;&gt;"",_xlpm.CSVVal
)),"")</f>
        <v/>
      </c>
      <c r="E1126" s="40" t="str">
        <f>_xlfn.XLOOKUP(A1126,My_Audit!A:A,My_Audit!D:D,"")</f>
        <v/>
      </c>
      <c r="F1126" s="40" t="str" cm="1">
        <f t="array" ref="F1126">IFERROR(_xlfn.LET(
_xlpm.CSVVal,_xlfn.XLOOKUP($A1126,CSV!$A:$A,CSV!F:F,""),
_xlpm.MacVal,_xlfn.XLOOKUP($A1126,Output_Mac!$A:$A,Output_Mac!E:E,""),
_xlpm.MyAuditVal,_xlfn.XLOOKUP($A1126,My_Audit!$A:$A,My_Audit!E:E,""),
_xlfn.IFS(_xlpm.MyAuditVal&lt;&gt;"",_xlpm.MyAuditVal,_xlpm.MacVal&lt;&gt;"",_xlpm.MacVal,_xlpm.CSVVal&lt;&gt;"",_xlpm.CSVVal
)),"")</f>
        <v/>
      </c>
      <c r="G1126" s="40" t="str" cm="1">
        <f t="array" ref="G1126">IFERROR(_xlfn.LET(
_xlpm.CSVVal,_xlfn.XLOOKUP($A1126,CSV!$A:$A,CSV!G:G,""),
_xlpm.MacVal,_xlfn.XLOOKUP($A1126,Output_Mac!$A:$A,Output_Mac!F:F,""),
_xlpm.MyAuditVal,_xlfn.XLOOKUP($A1126,My_Audit!$A:$A,My_Audit!F:F,""),
_xlfn.IFS(_xlpm.MyAuditVal&lt;&gt;"",_xlpm.MyAuditVal,_xlpm.MacVal&lt;&gt;"",_xlpm.MacVal,_xlpm.CSVVal&lt;&gt;"",PROPER(_xlpm.CSVVal)
)),"")</f>
        <v/>
      </c>
      <c r="H1126" s="40" t="str" cm="1">
        <f t="array" ref="H1126">IFERROR(_xlfn.LET(
_xlpm.CSVVal,_xlfn.XLOOKUP($A1126,CSV!$A:$A,CSV!H:H,""),
_xlpm.MacVal,_xlfn.XLOOKUP($A1126,Output_Mac!$A:$A,Output_Mac!H:H,""),
_xlpm.MyAuditVal,_xlfn.XLOOKUP($A1126,My_Audit!$A:$A,My_Audit!G:G,""),
_xlfn.IFS(_xlpm.MyAuditVal&lt;&gt;"",_xlpm.MyAuditVal,_xlpm.MacVal&lt;&gt;"",_xlpm.MacVal,_xlpm.CSVVal&lt;&gt;"",_xlpm.CSVVal
)),"")</f>
        <v/>
      </c>
      <c r="I1126" s="40" t="str">
        <f>_xlfn.XLOOKUP(A1126,Output_Mac!A:A,Output_Mac!I:I,"")</f>
        <v/>
      </c>
      <c r="J1126" s="40" t="str" cm="1">
        <f t="array" ref="J1126">IFERROR(_xlfn.LET(
_xlpm.CSVVal,_xlfn.XLOOKUP($A1126,CSV!$A:$A,CSV!I:I,""),
_xlpm.MacVal,_xlfn.XLOOKUP($A1126,Output_Mac!$A:$A,Output_Mac!J:J,""),
_xlpm.MyAuditVal,_xlfn.XLOOKUP($A1126,My_Audit!$A:$A,My_Audit!I:I,""),
_xlfn.IFS(_xlpm.MyAuditVal&lt;&gt;"",UPPER(_xlpm.MyAuditVal),_xlpm.MacVal&lt;&gt;"",_xlpm.MacVal,_xlpm.CSVVal&lt;&gt;"",_xlpm.CSVVal
)),"")</f>
        <v/>
      </c>
      <c r="K1126" s="40" t="str" cm="1">
        <f t="array" ref="K1126">IFERROR(_xlfn.LET(
_xlpm.CSVVal,_xlfn.XLOOKUP($A1126,CSV!$A:$A,CSV!K:K,""),
_xlpm.MacVal,_xlfn.XLOOKUP($A1126,Output_Mac!$A:$A,Output_Mac!K:K,""),
_xlpm.MyAuditVal,_xlfn.XLOOKUP($A1126,My_Audit!$A:$A,My_Audit!J:J,""),
_xlfn.IFS(_xlpm.MyAuditVal&lt;&gt;"",UPPER(_xlpm.MyAuditVal),_xlpm.MacVal&lt;&gt;"",_xlpm.MacVal,_xlpm.CSVVal&lt;&gt;"",_xlpm.CSVVal
)),"")</f>
        <v/>
      </c>
      <c r="L1126" s="40" t="str" cm="1">
        <f t="array" ref="L1126">IFERROR(_xlfn.LET(
_xlpm.CSVVal,_xlfn.XLOOKUP($A1126,CSV!$A:$A,CSV!P:P,""),
_xlpm.MacVal,_xlfn.XLOOKUP($A1126,Output_Mac!$A:$A,Output_Mac!L:L,""),
_xlpm.MyAuditVal,_xlfn.XLOOKUP($A1126,My_Audit!$A:$A,My_Audit!K:K,""),
_xlfn.IFS(_xlpm.MyAuditVal&lt;&gt;"",UPPER(_xlpm.MyAuditVal),_xlpm.MacVal&lt;&gt;"",_xlpm.MacVal,_xlpm.CSVVal&lt;&gt;"",_xlpm.CSVVal
)),"")</f>
        <v/>
      </c>
      <c r="M1126" s="40" t="str" cm="1">
        <f t="array" ref="M1126">IFERROR(_xlfn.LET(
_xlpm.CSVVal,_xlfn.XLOOKUP($A1126,CSV!$A:$A,CSV!Q:Q,""),
_xlpm.MacVal,_xlfn.XLOOKUP($A1126,Output_Mac!$A:$A,Output_Mac!M:M,""),
_xlpm.MyAuditVal,_xlfn.XLOOKUP($A1126,My_Audit!$A:$A,My_Audit!L:L,""),
_xlfn.IFS(_xlpm.MyAuditVal&lt;&gt;"",UPPER(_xlpm.MyAuditVal),_xlpm.MacVal&lt;&gt;"",_xlpm.MacVal,_xlpm.CSVVal&lt;&gt;"",_xlpm.CSVVal
)),"")</f>
        <v/>
      </c>
      <c r="N1126" s="40"/>
      <c r="O1126" s="40" t="str">
        <f>_xlfn.LET(
    _xlpm.CSVVal, _xlfn.XLOOKUP($A1126, CSV!$A:$A, CSV!AA:AA, ""),
    _xlpm.MacVal, _xlfn.XLOOKUP($A1126, Output_Mac!$A:$A, Output_Mac!S:S, ""),
    _xlpm.MyAuditVal, _xlfn.XLOOKUP($A1126, My_Audit!$A:$A, My_Audit!P:P, ""),
    _xlfn.TEXTJOIN(", ", TRUE, _xlpm.MyAuditVal, _xlpm.MacVal, _xlpm.CSVVal)
)</f>
        <v/>
      </c>
      <c r="P1126" s="40" t="str" cm="1">
        <f t="array" ref="P1126">IFERROR(_xlfn.LET(
_xlpm.CSVVal,_xlfn.XLOOKUP($A1126,CSV!$A:$A,CSV!AB:AB,""),
_xlpm.MacVal,_xlfn.XLOOKUP($A1126,Output_Mac!$A:$A,Output_Mac!T:T,""),
_xlpm.MyAuditVal,_xlfn.XLOOKUP($A1126,My_Audit!$A:$A,My_Audit!Q:Q,""),
_xlfn.IFS(_xlpm.MyAuditVal&lt;&gt;"",UPPER(_xlpm.MyAuditVal),_xlpm.MacVal&lt;&gt;"",_xlpm.MacVal,_xlpm.CSVVal&lt;&gt;"",_xlpm.CSVVal
)),"No")</f>
        <v>No</v>
      </c>
      <c r="Q1126" s="40" t="str" cm="1">
        <f t="array" ref="Q1126">IFERROR(_xlfn.LET(
_xlpm.CSVVal,_xlfn.XLOOKUP($A1126,CSV!$A:$A,CSV!AC:AC,""),
_xlpm.MacVal,_xlfn.XLOOKUP($A1126,Output_Mac!$A:$A,Output_Mac!U:U,""),
_xlpm.MyAuditVal,_xlfn.XLOOKUP($A1126,My_Audit!$A:$A,My_Audit!R:R,""),
_xlfn.IFS(_xlpm.MyAuditVal&lt;&gt;"",UPPER(_xlpm.MyAuditVal),_xlpm.MacVal&lt;&gt;"",_xlpm.MacVal,_xlpm.CSVVal&lt;&gt;"",_xlpm.CSVVal
)),"")</f>
        <v/>
      </c>
      <c r="R1126" s="40"/>
      <c r="S1126" s="40"/>
      <c r="T1126" s="40"/>
      <c r="U1126" s="40"/>
      <c r="V1126" s="40"/>
      <c r="W1126" s="40"/>
      <c r="X1126" s="41" t="str">
        <f>_xlfn.LET(
    _xlpm.MacVal, _xlfn.XLOOKUP($A1126, Output_Mac!$A:$A, Output_Mac!AB:AB, ""),
    _xlpm.MyAuditVal, _xlfn.XLOOKUP($A1126, My_Audit!$A:$A, My_Audit!N:N, ""),
    _xlfn.TEXTJOIN(", ", TRUE, _xlpm.MyAuditVal, _xlpm.MacVal)
)</f>
        <v/>
      </c>
    </row>
    <row r="1127" spans="1:24">
      <c r="A1127" s="40" t="str">
        <f>_xlfn.TEXTJOIN("",TRUE,Input!$B$2,ROW(My_Audit!A1126))</f>
        <v>X1126</v>
      </c>
      <c r="B1127" s="40" t="str">
        <f>_xlfn.TEXTJOIN("-",TRUE,"ITD",Input!$A$2,A1127)</f>
        <v>ITD-X1126</v>
      </c>
      <c r="C1127" s="40" t="str" cm="1">
        <f t="array" ref="C1127">IFERROR(_xlfn.LET(
_xlpm.CSVVal,_xlfn.XLOOKUP($A1127,CSV!$A:$A,CSV!B:B,""),
_xlpm.MacVal,_xlfn.XLOOKUP($A1127,Output_Mac!$A:$A,Output_Mac!B:B,""),
_xlpm.MyAuditVal,_xlfn.XLOOKUP($A1127,My_Audit!$A:$A,My_Audit!B:B,""),
_xlfn.IFS(_xlpm.MyAuditVal&lt;&gt;"",UPPER(_xlpm.MyAuditVal),_xlpm.MacVal&lt;&gt;"",_xlpm.MacVal,_xlpm.CSVVal&lt;&gt;"",_xlpm.CSVVal
)),"")</f>
        <v/>
      </c>
      <c r="D1127" s="40" t="str" cm="1">
        <f t="array" ref="D1127">IFERROR(_xlfn.LET(
_xlpm.CSVVal,_xlfn.XLOOKUP($A1127,CSV!$A:$A,CSV!D:D,""),
_xlpm.MacVal,_xlfn.XLOOKUP($A1127,Output_Mac!$A:$A,Output_Mac!C:C,""),
_xlpm.MyAuditVal,_xlfn.XLOOKUP($A1127,My_Audit!$A:$A,My_Audit!C:C,""),
_xlfn.IFS(_xlpm.MyAuditVal&lt;&gt;"",_xlpm.MyAuditVal,_xlpm.MacVal&lt;&gt;"",_xlpm.MacVal,_xlpm.CSVVal&lt;&gt;"",_xlpm.CSVVal
)),"")</f>
        <v/>
      </c>
      <c r="E1127" s="40" t="str">
        <f>_xlfn.XLOOKUP(A1127,My_Audit!A:A,My_Audit!D:D,"")</f>
        <v/>
      </c>
      <c r="F1127" s="40" t="str" cm="1">
        <f t="array" ref="F1127">IFERROR(_xlfn.LET(
_xlpm.CSVVal,_xlfn.XLOOKUP($A1127,CSV!$A:$A,CSV!F:F,""),
_xlpm.MacVal,_xlfn.XLOOKUP($A1127,Output_Mac!$A:$A,Output_Mac!E:E,""),
_xlpm.MyAuditVal,_xlfn.XLOOKUP($A1127,My_Audit!$A:$A,My_Audit!E:E,""),
_xlfn.IFS(_xlpm.MyAuditVal&lt;&gt;"",_xlpm.MyAuditVal,_xlpm.MacVal&lt;&gt;"",_xlpm.MacVal,_xlpm.CSVVal&lt;&gt;"",_xlpm.CSVVal
)),"")</f>
        <v/>
      </c>
      <c r="G1127" s="40" t="str" cm="1">
        <f t="array" ref="G1127">IFERROR(_xlfn.LET(
_xlpm.CSVVal,_xlfn.XLOOKUP($A1127,CSV!$A:$A,CSV!G:G,""),
_xlpm.MacVal,_xlfn.XLOOKUP($A1127,Output_Mac!$A:$A,Output_Mac!F:F,""),
_xlpm.MyAuditVal,_xlfn.XLOOKUP($A1127,My_Audit!$A:$A,My_Audit!F:F,""),
_xlfn.IFS(_xlpm.MyAuditVal&lt;&gt;"",_xlpm.MyAuditVal,_xlpm.MacVal&lt;&gt;"",_xlpm.MacVal,_xlpm.CSVVal&lt;&gt;"",PROPER(_xlpm.CSVVal)
)),"")</f>
        <v/>
      </c>
      <c r="H1127" s="40" t="str" cm="1">
        <f t="array" ref="H1127">IFERROR(_xlfn.LET(
_xlpm.CSVVal,_xlfn.XLOOKUP($A1127,CSV!$A:$A,CSV!H:H,""),
_xlpm.MacVal,_xlfn.XLOOKUP($A1127,Output_Mac!$A:$A,Output_Mac!H:H,""),
_xlpm.MyAuditVal,_xlfn.XLOOKUP($A1127,My_Audit!$A:$A,My_Audit!G:G,""),
_xlfn.IFS(_xlpm.MyAuditVal&lt;&gt;"",_xlpm.MyAuditVal,_xlpm.MacVal&lt;&gt;"",_xlpm.MacVal,_xlpm.CSVVal&lt;&gt;"",_xlpm.CSVVal
)),"")</f>
        <v/>
      </c>
      <c r="I1127" s="40" t="str">
        <f>_xlfn.XLOOKUP(A1127,Output_Mac!A:A,Output_Mac!I:I,"")</f>
        <v/>
      </c>
      <c r="J1127" s="40" t="str" cm="1">
        <f t="array" ref="J1127">IFERROR(_xlfn.LET(
_xlpm.CSVVal,_xlfn.XLOOKUP($A1127,CSV!$A:$A,CSV!I:I,""),
_xlpm.MacVal,_xlfn.XLOOKUP($A1127,Output_Mac!$A:$A,Output_Mac!J:J,""),
_xlpm.MyAuditVal,_xlfn.XLOOKUP($A1127,My_Audit!$A:$A,My_Audit!I:I,""),
_xlfn.IFS(_xlpm.MyAuditVal&lt;&gt;"",UPPER(_xlpm.MyAuditVal),_xlpm.MacVal&lt;&gt;"",_xlpm.MacVal,_xlpm.CSVVal&lt;&gt;"",_xlpm.CSVVal
)),"")</f>
        <v/>
      </c>
      <c r="K1127" s="40" t="str" cm="1">
        <f t="array" ref="K1127">IFERROR(_xlfn.LET(
_xlpm.CSVVal,_xlfn.XLOOKUP($A1127,CSV!$A:$A,CSV!K:K,""),
_xlpm.MacVal,_xlfn.XLOOKUP($A1127,Output_Mac!$A:$A,Output_Mac!K:K,""),
_xlpm.MyAuditVal,_xlfn.XLOOKUP($A1127,My_Audit!$A:$A,My_Audit!J:J,""),
_xlfn.IFS(_xlpm.MyAuditVal&lt;&gt;"",UPPER(_xlpm.MyAuditVal),_xlpm.MacVal&lt;&gt;"",_xlpm.MacVal,_xlpm.CSVVal&lt;&gt;"",_xlpm.CSVVal
)),"")</f>
        <v/>
      </c>
      <c r="L1127" s="40" t="str" cm="1">
        <f t="array" ref="L1127">IFERROR(_xlfn.LET(
_xlpm.CSVVal,_xlfn.XLOOKUP($A1127,CSV!$A:$A,CSV!P:P,""),
_xlpm.MacVal,_xlfn.XLOOKUP($A1127,Output_Mac!$A:$A,Output_Mac!L:L,""),
_xlpm.MyAuditVal,_xlfn.XLOOKUP($A1127,My_Audit!$A:$A,My_Audit!K:K,""),
_xlfn.IFS(_xlpm.MyAuditVal&lt;&gt;"",UPPER(_xlpm.MyAuditVal),_xlpm.MacVal&lt;&gt;"",_xlpm.MacVal,_xlpm.CSVVal&lt;&gt;"",_xlpm.CSVVal
)),"")</f>
        <v/>
      </c>
      <c r="M1127" s="40" t="str" cm="1">
        <f t="array" ref="M1127">IFERROR(_xlfn.LET(
_xlpm.CSVVal,_xlfn.XLOOKUP($A1127,CSV!$A:$A,CSV!Q:Q,""),
_xlpm.MacVal,_xlfn.XLOOKUP($A1127,Output_Mac!$A:$A,Output_Mac!M:M,""),
_xlpm.MyAuditVal,_xlfn.XLOOKUP($A1127,My_Audit!$A:$A,My_Audit!L:L,""),
_xlfn.IFS(_xlpm.MyAuditVal&lt;&gt;"",UPPER(_xlpm.MyAuditVal),_xlpm.MacVal&lt;&gt;"",_xlpm.MacVal,_xlpm.CSVVal&lt;&gt;"",_xlpm.CSVVal
)),"")</f>
        <v/>
      </c>
      <c r="N1127" s="40"/>
      <c r="O1127" s="40" t="str">
        <f>_xlfn.LET(
    _xlpm.CSVVal, _xlfn.XLOOKUP($A1127, CSV!$A:$A, CSV!AA:AA, ""),
    _xlpm.MacVal, _xlfn.XLOOKUP($A1127, Output_Mac!$A:$A, Output_Mac!S:S, ""),
    _xlpm.MyAuditVal, _xlfn.XLOOKUP($A1127, My_Audit!$A:$A, My_Audit!P:P, ""),
    _xlfn.TEXTJOIN(", ", TRUE, _xlpm.MyAuditVal, _xlpm.MacVal, _xlpm.CSVVal)
)</f>
        <v/>
      </c>
      <c r="P1127" s="40" t="str" cm="1">
        <f t="array" ref="P1127">IFERROR(_xlfn.LET(
_xlpm.CSVVal,_xlfn.XLOOKUP($A1127,CSV!$A:$A,CSV!AB:AB,""),
_xlpm.MacVal,_xlfn.XLOOKUP($A1127,Output_Mac!$A:$A,Output_Mac!T:T,""),
_xlpm.MyAuditVal,_xlfn.XLOOKUP($A1127,My_Audit!$A:$A,My_Audit!Q:Q,""),
_xlfn.IFS(_xlpm.MyAuditVal&lt;&gt;"",UPPER(_xlpm.MyAuditVal),_xlpm.MacVal&lt;&gt;"",_xlpm.MacVal,_xlpm.CSVVal&lt;&gt;"",_xlpm.CSVVal
)),"No")</f>
        <v>No</v>
      </c>
      <c r="Q1127" s="40" t="str" cm="1">
        <f t="array" ref="Q1127">IFERROR(_xlfn.LET(
_xlpm.CSVVal,_xlfn.XLOOKUP($A1127,CSV!$A:$A,CSV!AC:AC,""),
_xlpm.MacVal,_xlfn.XLOOKUP($A1127,Output_Mac!$A:$A,Output_Mac!U:U,""),
_xlpm.MyAuditVal,_xlfn.XLOOKUP($A1127,My_Audit!$A:$A,My_Audit!R:R,""),
_xlfn.IFS(_xlpm.MyAuditVal&lt;&gt;"",UPPER(_xlpm.MyAuditVal),_xlpm.MacVal&lt;&gt;"",_xlpm.MacVal,_xlpm.CSVVal&lt;&gt;"",_xlpm.CSVVal
)),"")</f>
        <v/>
      </c>
      <c r="R1127" s="40"/>
      <c r="S1127" s="40"/>
      <c r="T1127" s="40"/>
      <c r="U1127" s="40"/>
      <c r="V1127" s="40"/>
      <c r="W1127" s="40"/>
      <c r="X1127" s="41" t="str">
        <f>_xlfn.LET(
    _xlpm.MacVal, _xlfn.XLOOKUP($A1127, Output_Mac!$A:$A, Output_Mac!AB:AB, ""),
    _xlpm.MyAuditVal, _xlfn.XLOOKUP($A1127, My_Audit!$A:$A, My_Audit!N:N, ""),
    _xlfn.TEXTJOIN(", ", TRUE, _xlpm.MyAuditVal, _xlpm.MacVal)
)</f>
        <v/>
      </c>
    </row>
    <row r="1128" spans="1:24">
      <c r="A1128" s="40" t="str">
        <f>_xlfn.TEXTJOIN("",TRUE,Input!$B$2,ROW(My_Audit!A1127))</f>
        <v>X1127</v>
      </c>
      <c r="B1128" s="40" t="str">
        <f>_xlfn.TEXTJOIN("-",TRUE,"ITD",Input!$A$2,A1128)</f>
        <v>ITD-X1127</v>
      </c>
      <c r="C1128" s="40" t="str" cm="1">
        <f t="array" ref="C1128">IFERROR(_xlfn.LET(
_xlpm.CSVVal,_xlfn.XLOOKUP($A1128,CSV!$A:$A,CSV!B:B,""),
_xlpm.MacVal,_xlfn.XLOOKUP($A1128,Output_Mac!$A:$A,Output_Mac!B:B,""),
_xlpm.MyAuditVal,_xlfn.XLOOKUP($A1128,My_Audit!$A:$A,My_Audit!B:B,""),
_xlfn.IFS(_xlpm.MyAuditVal&lt;&gt;"",UPPER(_xlpm.MyAuditVal),_xlpm.MacVal&lt;&gt;"",_xlpm.MacVal,_xlpm.CSVVal&lt;&gt;"",_xlpm.CSVVal
)),"")</f>
        <v/>
      </c>
      <c r="D1128" s="40" t="str" cm="1">
        <f t="array" ref="D1128">IFERROR(_xlfn.LET(
_xlpm.CSVVal,_xlfn.XLOOKUP($A1128,CSV!$A:$A,CSV!D:D,""),
_xlpm.MacVal,_xlfn.XLOOKUP($A1128,Output_Mac!$A:$A,Output_Mac!C:C,""),
_xlpm.MyAuditVal,_xlfn.XLOOKUP($A1128,My_Audit!$A:$A,My_Audit!C:C,""),
_xlfn.IFS(_xlpm.MyAuditVal&lt;&gt;"",_xlpm.MyAuditVal,_xlpm.MacVal&lt;&gt;"",_xlpm.MacVal,_xlpm.CSVVal&lt;&gt;"",_xlpm.CSVVal
)),"")</f>
        <v/>
      </c>
      <c r="E1128" s="40" t="str">
        <f>_xlfn.XLOOKUP(A1128,My_Audit!A:A,My_Audit!D:D,"")</f>
        <v/>
      </c>
      <c r="F1128" s="40" t="str" cm="1">
        <f t="array" ref="F1128">IFERROR(_xlfn.LET(
_xlpm.CSVVal,_xlfn.XLOOKUP($A1128,CSV!$A:$A,CSV!F:F,""),
_xlpm.MacVal,_xlfn.XLOOKUP($A1128,Output_Mac!$A:$A,Output_Mac!E:E,""),
_xlpm.MyAuditVal,_xlfn.XLOOKUP($A1128,My_Audit!$A:$A,My_Audit!E:E,""),
_xlfn.IFS(_xlpm.MyAuditVal&lt;&gt;"",_xlpm.MyAuditVal,_xlpm.MacVal&lt;&gt;"",_xlpm.MacVal,_xlpm.CSVVal&lt;&gt;"",_xlpm.CSVVal
)),"")</f>
        <v/>
      </c>
      <c r="G1128" s="40" t="str" cm="1">
        <f t="array" ref="G1128">IFERROR(_xlfn.LET(
_xlpm.CSVVal,_xlfn.XLOOKUP($A1128,CSV!$A:$A,CSV!G:G,""),
_xlpm.MacVal,_xlfn.XLOOKUP($A1128,Output_Mac!$A:$A,Output_Mac!F:F,""),
_xlpm.MyAuditVal,_xlfn.XLOOKUP($A1128,My_Audit!$A:$A,My_Audit!F:F,""),
_xlfn.IFS(_xlpm.MyAuditVal&lt;&gt;"",_xlpm.MyAuditVal,_xlpm.MacVal&lt;&gt;"",_xlpm.MacVal,_xlpm.CSVVal&lt;&gt;"",PROPER(_xlpm.CSVVal)
)),"")</f>
        <v/>
      </c>
      <c r="H1128" s="40" t="str" cm="1">
        <f t="array" ref="H1128">IFERROR(_xlfn.LET(
_xlpm.CSVVal,_xlfn.XLOOKUP($A1128,CSV!$A:$A,CSV!H:H,""),
_xlpm.MacVal,_xlfn.XLOOKUP($A1128,Output_Mac!$A:$A,Output_Mac!H:H,""),
_xlpm.MyAuditVal,_xlfn.XLOOKUP($A1128,My_Audit!$A:$A,My_Audit!G:G,""),
_xlfn.IFS(_xlpm.MyAuditVal&lt;&gt;"",_xlpm.MyAuditVal,_xlpm.MacVal&lt;&gt;"",_xlpm.MacVal,_xlpm.CSVVal&lt;&gt;"",_xlpm.CSVVal
)),"")</f>
        <v/>
      </c>
      <c r="I1128" s="40" t="str">
        <f>_xlfn.XLOOKUP(A1128,Output_Mac!A:A,Output_Mac!I:I,"")</f>
        <v/>
      </c>
      <c r="J1128" s="40" t="str" cm="1">
        <f t="array" ref="J1128">IFERROR(_xlfn.LET(
_xlpm.CSVVal,_xlfn.XLOOKUP($A1128,CSV!$A:$A,CSV!I:I,""),
_xlpm.MacVal,_xlfn.XLOOKUP($A1128,Output_Mac!$A:$A,Output_Mac!J:J,""),
_xlpm.MyAuditVal,_xlfn.XLOOKUP($A1128,My_Audit!$A:$A,My_Audit!I:I,""),
_xlfn.IFS(_xlpm.MyAuditVal&lt;&gt;"",UPPER(_xlpm.MyAuditVal),_xlpm.MacVal&lt;&gt;"",_xlpm.MacVal,_xlpm.CSVVal&lt;&gt;"",_xlpm.CSVVal
)),"")</f>
        <v/>
      </c>
      <c r="K1128" s="40" t="str" cm="1">
        <f t="array" ref="K1128">IFERROR(_xlfn.LET(
_xlpm.CSVVal,_xlfn.XLOOKUP($A1128,CSV!$A:$A,CSV!K:K,""),
_xlpm.MacVal,_xlfn.XLOOKUP($A1128,Output_Mac!$A:$A,Output_Mac!K:K,""),
_xlpm.MyAuditVal,_xlfn.XLOOKUP($A1128,My_Audit!$A:$A,My_Audit!J:J,""),
_xlfn.IFS(_xlpm.MyAuditVal&lt;&gt;"",UPPER(_xlpm.MyAuditVal),_xlpm.MacVal&lt;&gt;"",_xlpm.MacVal,_xlpm.CSVVal&lt;&gt;"",_xlpm.CSVVal
)),"")</f>
        <v/>
      </c>
      <c r="L1128" s="40" t="str" cm="1">
        <f t="array" ref="L1128">IFERROR(_xlfn.LET(
_xlpm.CSVVal,_xlfn.XLOOKUP($A1128,CSV!$A:$A,CSV!P:P,""),
_xlpm.MacVal,_xlfn.XLOOKUP($A1128,Output_Mac!$A:$A,Output_Mac!L:L,""),
_xlpm.MyAuditVal,_xlfn.XLOOKUP($A1128,My_Audit!$A:$A,My_Audit!K:K,""),
_xlfn.IFS(_xlpm.MyAuditVal&lt;&gt;"",UPPER(_xlpm.MyAuditVal),_xlpm.MacVal&lt;&gt;"",_xlpm.MacVal,_xlpm.CSVVal&lt;&gt;"",_xlpm.CSVVal
)),"")</f>
        <v/>
      </c>
      <c r="M1128" s="40" t="str" cm="1">
        <f t="array" ref="M1128">IFERROR(_xlfn.LET(
_xlpm.CSVVal,_xlfn.XLOOKUP($A1128,CSV!$A:$A,CSV!Q:Q,""),
_xlpm.MacVal,_xlfn.XLOOKUP($A1128,Output_Mac!$A:$A,Output_Mac!M:M,""),
_xlpm.MyAuditVal,_xlfn.XLOOKUP($A1128,My_Audit!$A:$A,My_Audit!L:L,""),
_xlfn.IFS(_xlpm.MyAuditVal&lt;&gt;"",UPPER(_xlpm.MyAuditVal),_xlpm.MacVal&lt;&gt;"",_xlpm.MacVal,_xlpm.CSVVal&lt;&gt;"",_xlpm.CSVVal
)),"")</f>
        <v/>
      </c>
      <c r="N1128" s="40"/>
      <c r="O1128" s="40" t="str">
        <f>_xlfn.LET(
    _xlpm.CSVVal, _xlfn.XLOOKUP($A1128, CSV!$A:$A, CSV!AA:AA, ""),
    _xlpm.MacVal, _xlfn.XLOOKUP($A1128, Output_Mac!$A:$A, Output_Mac!S:S, ""),
    _xlpm.MyAuditVal, _xlfn.XLOOKUP($A1128, My_Audit!$A:$A, My_Audit!P:P, ""),
    _xlfn.TEXTJOIN(", ", TRUE, _xlpm.MyAuditVal, _xlpm.MacVal, _xlpm.CSVVal)
)</f>
        <v/>
      </c>
      <c r="P1128" s="40" t="str" cm="1">
        <f t="array" ref="P1128">IFERROR(_xlfn.LET(
_xlpm.CSVVal,_xlfn.XLOOKUP($A1128,CSV!$A:$A,CSV!AB:AB,""),
_xlpm.MacVal,_xlfn.XLOOKUP($A1128,Output_Mac!$A:$A,Output_Mac!T:T,""),
_xlpm.MyAuditVal,_xlfn.XLOOKUP($A1128,My_Audit!$A:$A,My_Audit!Q:Q,""),
_xlfn.IFS(_xlpm.MyAuditVal&lt;&gt;"",UPPER(_xlpm.MyAuditVal),_xlpm.MacVal&lt;&gt;"",_xlpm.MacVal,_xlpm.CSVVal&lt;&gt;"",_xlpm.CSVVal
)),"No")</f>
        <v>No</v>
      </c>
      <c r="Q1128" s="40" t="str" cm="1">
        <f t="array" ref="Q1128">IFERROR(_xlfn.LET(
_xlpm.CSVVal,_xlfn.XLOOKUP($A1128,CSV!$A:$A,CSV!AC:AC,""),
_xlpm.MacVal,_xlfn.XLOOKUP($A1128,Output_Mac!$A:$A,Output_Mac!U:U,""),
_xlpm.MyAuditVal,_xlfn.XLOOKUP($A1128,My_Audit!$A:$A,My_Audit!R:R,""),
_xlfn.IFS(_xlpm.MyAuditVal&lt;&gt;"",UPPER(_xlpm.MyAuditVal),_xlpm.MacVal&lt;&gt;"",_xlpm.MacVal,_xlpm.CSVVal&lt;&gt;"",_xlpm.CSVVal
)),"")</f>
        <v/>
      </c>
      <c r="R1128" s="40"/>
      <c r="S1128" s="40"/>
      <c r="T1128" s="40"/>
      <c r="U1128" s="40"/>
      <c r="V1128" s="40"/>
      <c r="W1128" s="40"/>
      <c r="X1128" s="41" t="str">
        <f>_xlfn.LET(
    _xlpm.MacVal, _xlfn.XLOOKUP($A1128, Output_Mac!$A:$A, Output_Mac!AB:AB, ""),
    _xlpm.MyAuditVal, _xlfn.XLOOKUP($A1128, My_Audit!$A:$A, My_Audit!N:N, ""),
    _xlfn.TEXTJOIN(", ", TRUE, _xlpm.MyAuditVal, _xlpm.MacVal)
)</f>
        <v/>
      </c>
    </row>
    <row r="1129" spans="1:24">
      <c r="A1129" s="40" t="str">
        <f>_xlfn.TEXTJOIN("",TRUE,Input!$B$2,ROW(My_Audit!A1128))</f>
        <v>X1128</v>
      </c>
      <c r="B1129" s="40" t="str">
        <f>_xlfn.TEXTJOIN("-",TRUE,"ITD",Input!$A$2,A1129)</f>
        <v>ITD-X1128</v>
      </c>
      <c r="C1129" s="40" t="str" cm="1">
        <f t="array" ref="C1129">IFERROR(_xlfn.LET(
_xlpm.CSVVal,_xlfn.XLOOKUP($A1129,CSV!$A:$A,CSV!B:B,""),
_xlpm.MacVal,_xlfn.XLOOKUP($A1129,Output_Mac!$A:$A,Output_Mac!B:B,""),
_xlpm.MyAuditVal,_xlfn.XLOOKUP($A1129,My_Audit!$A:$A,My_Audit!B:B,""),
_xlfn.IFS(_xlpm.MyAuditVal&lt;&gt;"",UPPER(_xlpm.MyAuditVal),_xlpm.MacVal&lt;&gt;"",_xlpm.MacVal,_xlpm.CSVVal&lt;&gt;"",_xlpm.CSVVal
)),"")</f>
        <v/>
      </c>
      <c r="D1129" s="40" t="str" cm="1">
        <f t="array" ref="D1129">IFERROR(_xlfn.LET(
_xlpm.CSVVal,_xlfn.XLOOKUP($A1129,CSV!$A:$A,CSV!D:D,""),
_xlpm.MacVal,_xlfn.XLOOKUP($A1129,Output_Mac!$A:$A,Output_Mac!C:C,""),
_xlpm.MyAuditVal,_xlfn.XLOOKUP($A1129,My_Audit!$A:$A,My_Audit!C:C,""),
_xlfn.IFS(_xlpm.MyAuditVal&lt;&gt;"",_xlpm.MyAuditVal,_xlpm.MacVal&lt;&gt;"",_xlpm.MacVal,_xlpm.CSVVal&lt;&gt;"",_xlpm.CSVVal
)),"")</f>
        <v/>
      </c>
      <c r="E1129" s="40" t="str">
        <f>_xlfn.XLOOKUP(A1129,My_Audit!A:A,My_Audit!D:D,"")</f>
        <v/>
      </c>
      <c r="F1129" s="40" t="str" cm="1">
        <f t="array" ref="F1129">IFERROR(_xlfn.LET(
_xlpm.CSVVal,_xlfn.XLOOKUP($A1129,CSV!$A:$A,CSV!F:F,""),
_xlpm.MacVal,_xlfn.XLOOKUP($A1129,Output_Mac!$A:$A,Output_Mac!E:E,""),
_xlpm.MyAuditVal,_xlfn.XLOOKUP($A1129,My_Audit!$A:$A,My_Audit!E:E,""),
_xlfn.IFS(_xlpm.MyAuditVal&lt;&gt;"",_xlpm.MyAuditVal,_xlpm.MacVal&lt;&gt;"",_xlpm.MacVal,_xlpm.CSVVal&lt;&gt;"",_xlpm.CSVVal
)),"")</f>
        <v/>
      </c>
      <c r="G1129" s="40" t="str" cm="1">
        <f t="array" ref="G1129">IFERROR(_xlfn.LET(
_xlpm.CSVVal,_xlfn.XLOOKUP($A1129,CSV!$A:$A,CSV!G:G,""),
_xlpm.MacVal,_xlfn.XLOOKUP($A1129,Output_Mac!$A:$A,Output_Mac!F:F,""),
_xlpm.MyAuditVal,_xlfn.XLOOKUP($A1129,My_Audit!$A:$A,My_Audit!F:F,""),
_xlfn.IFS(_xlpm.MyAuditVal&lt;&gt;"",_xlpm.MyAuditVal,_xlpm.MacVal&lt;&gt;"",_xlpm.MacVal,_xlpm.CSVVal&lt;&gt;"",PROPER(_xlpm.CSVVal)
)),"")</f>
        <v/>
      </c>
      <c r="H1129" s="40" t="str" cm="1">
        <f t="array" ref="H1129">IFERROR(_xlfn.LET(
_xlpm.CSVVal,_xlfn.XLOOKUP($A1129,CSV!$A:$A,CSV!H:H,""),
_xlpm.MacVal,_xlfn.XLOOKUP($A1129,Output_Mac!$A:$A,Output_Mac!H:H,""),
_xlpm.MyAuditVal,_xlfn.XLOOKUP($A1129,My_Audit!$A:$A,My_Audit!G:G,""),
_xlfn.IFS(_xlpm.MyAuditVal&lt;&gt;"",_xlpm.MyAuditVal,_xlpm.MacVal&lt;&gt;"",_xlpm.MacVal,_xlpm.CSVVal&lt;&gt;"",_xlpm.CSVVal
)),"")</f>
        <v/>
      </c>
      <c r="I1129" s="40" t="str">
        <f>_xlfn.XLOOKUP(A1129,Output_Mac!A:A,Output_Mac!I:I,"")</f>
        <v/>
      </c>
      <c r="J1129" s="40" t="str" cm="1">
        <f t="array" ref="J1129">IFERROR(_xlfn.LET(
_xlpm.CSVVal,_xlfn.XLOOKUP($A1129,CSV!$A:$A,CSV!I:I,""),
_xlpm.MacVal,_xlfn.XLOOKUP($A1129,Output_Mac!$A:$A,Output_Mac!J:J,""),
_xlpm.MyAuditVal,_xlfn.XLOOKUP($A1129,My_Audit!$A:$A,My_Audit!I:I,""),
_xlfn.IFS(_xlpm.MyAuditVal&lt;&gt;"",UPPER(_xlpm.MyAuditVal),_xlpm.MacVal&lt;&gt;"",_xlpm.MacVal,_xlpm.CSVVal&lt;&gt;"",_xlpm.CSVVal
)),"")</f>
        <v/>
      </c>
      <c r="K1129" s="40" t="str" cm="1">
        <f t="array" ref="K1129">IFERROR(_xlfn.LET(
_xlpm.CSVVal,_xlfn.XLOOKUP($A1129,CSV!$A:$A,CSV!K:K,""),
_xlpm.MacVal,_xlfn.XLOOKUP($A1129,Output_Mac!$A:$A,Output_Mac!K:K,""),
_xlpm.MyAuditVal,_xlfn.XLOOKUP($A1129,My_Audit!$A:$A,My_Audit!J:J,""),
_xlfn.IFS(_xlpm.MyAuditVal&lt;&gt;"",UPPER(_xlpm.MyAuditVal),_xlpm.MacVal&lt;&gt;"",_xlpm.MacVal,_xlpm.CSVVal&lt;&gt;"",_xlpm.CSVVal
)),"")</f>
        <v/>
      </c>
      <c r="L1129" s="40" t="str" cm="1">
        <f t="array" ref="L1129">IFERROR(_xlfn.LET(
_xlpm.CSVVal,_xlfn.XLOOKUP($A1129,CSV!$A:$A,CSV!P:P,""),
_xlpm.MacVal,_xlfn.XLOOKUP($A1129,Output_Mac!$A:$A,Output_Mac!L:L,""),
_xlpm.MyAuditVal,_xlfn.XLOOKUP($A1129,My_Audit!$A:$A,My_Audit!K:K,""),
_xlfn.IFS(_xlpm.MyAuditVal&lt;&gt;"",UPPER(_xlpm.MyAuditVal),_xlpm.MacVal&lt;&gt;"",_xlpm.MacVal,_xlpm.CSVVal&lt;&gt;"",_xlpm.CSVVal
)),"")</f>
        <v/>
      </c>
      <c r="M1129" s="40" t="str" cm="1">
        <f t="array" ref="M1129">IFERROR(_xlfn.LET(
_xlpm.CSVVal,_xlfn.XLOOKUP($A1129,CSV!$A:$A,CSV!Q:Q,""),
_xlpm.MacVal,_xlfn.XLOOKUP($A1129,Output_Mac!$A:$A,Output_Mac!M:M,""),
_xlpm.MyAuditVal,_xlfn.XLOOKUP($A1129,My_Audit!$A:$A,My_Audit!L:L,""),
_xlfn.IFS(_xlpm.MyAuditVal&lt;&gt;"",UPPER(_xlpm.MyAuditVal),_xlpm.MacVal&lt;&gt;"",_xlpm.MacVal,_xlpm.CSVVal&lt;&gt;"",_xlpm.CSVVal
)),"")</f>
        <v/>
      </c>
      <c r="N1129" s="40"/>
      <c r="O1129" s="40" t="str">
        <f>_xlfn.LET(
    _xlpm.CSVVal, _xlfn.XLOOKUP($A1129, CSV!$A:$A, CSV!AA:AA, ""),
    _xlpm.MacVal, _xlfn.XLOOKUP($A1129, Output_Mac!$A:$A, Output_Mac!S:S, ""),
    _xlpm.MyAuditVal, _xlfn.XLOOKUP($A1129, My_Audit!$A:$A, My_Audit!P:P, ""),
    _xlfn.TEXTJOIN(", ", TRUE, _xlpm.MyAuditVal, _xlpm.MacVal, _xlpm.CSVVal)
)</f>
        <v/>
      </c>
      <c r="P1129" s="40" t="str" cm="1">
        <f t="array" ref="P1129">IFERROR(_xlfn.LET(
_xlpm.CSVVal,_xlfn.XLOOKUP($A1129,CSV!$A:$A,CSV!AB:AB,""),
_xlpm.MacVal,_xlfn.XLOOKUP($A1129,Output_Mac!$A:$A,Output_Mac!T:T,""),
_xlpm.MyAuditVal,_xlfn.XLOOKUP($A1129,My_Audit!$A:$A,My_Audit!Q:Q,""),
_xlfn.IFS(_xlpm.MyAuditVal&lt;&gt;"",UPPER(_xlpm.MyAuditVal),_xlpm.MacVal&lt;&gt;"",_xlpm.MacVal,_xlpm.CSVVal&lt;&gt;"",_xlpm.CSVVal
)),"No")</f>
        <v>No</v>
      </c>
      <c r="Q1129" s="40" t="str" cm="1">
        <f t="array" ref="Q1129">IFERROR(_xlfn.LET(
_xlpm.CSVVal,_xlfn.XLOOKUP($A1129,CSV!$A:$A,CSV!AC:AC,""),
_xlpm.MacVal,_xlfn.XLOOKUP($A1129,Output_Mac!$A:$A,Output_Mac!U:U,""),
_xlpm.MyAuditVal,_xlfn.XLOOKUP($A1129,My_Audit!$A:$A,My_Audit!R:R,""),
_xlfn.IFS(_xlpm.MyAuditVal&lt;&gt;"",UPPER(_xlpm.MyAuditVal),_xlpm.MacVal&lt;&gt;"",_xlpm.MacVal,_xlpm.CSVVal&lt;&gt;"",_xlpm.CSVVal
)),"")</f>
        <v/>
      </c>
      <c r="R1129" s="40"/>
      <c r="S1129" s="40"/>
      <c r="T1129" s="40"/>
      <c r="U1129" s="40"/>
      <c r="V1129" s="40"/>
      <c r="W1129" s="40"/>
      <c r="X1129" s="41" t="str">
        <f>_xlfn.LET(
    _xlpm.MacVal, _xlfn.XLOOKUP($A1129, Output_Mac!$A:$A, Output_Mac!AB:AB, ""),
    _xlpm.MyAuditVal, _xlfn.XLOOKUP($A1129, My_Audit!$A:$A, My_Audit!N:N, ""),
    _xlfn.TEXTJOIN(", ", TRUE, _xlpm.MyAuditVal, _xlpm.MacVal)
)</f>
        <v/>
      </c>
    </row>
    <row r="1130" spans="1:24">
      <c r="A1130" s="40" t="str">
        <f>_xlfn.TEXTJOIN("",TRUE,Input!$B$2,ROW(My_Audit!A1129))</f>
        <v>X1129</v>
      </c>
      <c r="B1130" s="40" t="str">
        <f>_xlfn.TEXTJOIN("-",TRUE,"ITD",Input!$A$2,A1130)</f>
        <v>ITD-X1129</v>
      </c>
      <c r="C1130" s="40" t="str" cm="1">
        <f t="array" ref="C1130">IFERROR(_xlfn.LET(
_xlpm.CSVVal,_xlfn.XLOOKUP($A1130,CSV!$A:$A,CSV!B:B,""),
_xlpm.MacVal,_xlfn.XLOOKUP($A1130,Output_Mac!$A:$A,Output_Mac!B:B,""),
_xlpm.MyAuditVal,_xlfn.XLOOKUP($A1130,My_Audit!$A:$A,My_Audit!B:B,""),
_xlfn.IFS(_xlpm.MyAuditVal&lt;&gt;"",UPPER(_xlpm.MyAuditVal),_xlpm.MacVal&lt;&gt;"",_xlpm.MacVal,_xlpm.CSVVal&lt;&gt;"",_xlpm.CSVVal
)),"")</f>
        <v/>
      </c>
      <c r="D1130" s="40" t="str" cm="1">
        <f t="array" ref="D1130">IFERROR(_xlfn.LET(
_xlpm.CSVVal,_xlfn.XLOOKUP($A1130,CSV!$A:$A,CSV!D:D,""),
_xlpm.MacVal,_xlfn.XLOOKUP($A1130,Output_Mac!$A:$A,Output_Mac!C:C,""),
_xlpm.MyAuditVal,_xlfn.XLOOKUP($A1130,My_Audit!$A:$A,My_Audit!C:C,""),
_xlfn.IFS(_xlpm.MyAuditVal&lt;&gt;"",_xlpm.MyAuditVal,_xlpm.MacVal&lt;&gt;"",_xlpm.MacVal,_xlpm.CSVVal&lt;&gt;"",_xlpm.CSVVal
)),"")</f>
        <v/>
      </c>
      <c r="E1130" s="40" t="str">
        <f>_xlfn.XLOOKUP(A1130,My_Audit!A:A,My_Audit!D:D,"")</f>
        <v/>
      </c>
      <c r="F1130" s="40" t="str" cm="1">
        <f t="array" ref="F1130">IFERROR(_xlfn.LET(
_xlpm.CSVVal,_xlfn.XLOOKUP($A1130,CSV!$A:$A,CSV!F:F,""),
_xlpm.MacVal,_xlfn.XLOOKUP($A1130,Output_Mac!$A:$A,Output_Mac!E:E,""),
_xlpm.MyAuditVal,_xlfn.XLOOKUP($A1130,My_Audit!$A:$A,My_Audit!E:E,""),
_xlfn.IFS(_xlpm.MyAuditVal&lt;&gt;"",_xlpm.MyAuditVal,_xlpm.MacVal&lt;&gt;"",_xlpm.MacVal,_xlpm.CSVVal&lt;&gt;"",_xlpm.CSVVal
)),"")</f>
        <v/>
      </c>
      <c r="G1130" s="40" t="str" cm="1">
        <f t="array" ref="G1130">IFERROR(_xlfn.LET(
_xlpm.CSVVal,_xlfn.XLOOKUP($A1130,CSV!$A:$A,CSV!G:G,""),
_xlpm.MacVal,_xlfn.XLOOKUP($A1130,Output_Mac!$A:$A,Output_Mac!F:F,""),
_xlpm.MyAuditVal,_xlfn.XLOOKUP($A1130,My_Audit!$A:$A,My_Audit!F:F,""),
_xlfn.IFS(_xlpm.MyAuditVal&lt;&gt;"",_xlpm.MyAuditVal,_xlpm.MacVal&lt;&gt;"",_xlpm.MacVal,_xlpm.CSVVal&lt;&gt;"",PROPER(_xlpm.CSVVal)
)),"")</f>
        <v/>
      </c>
      <c r="H1130" s="40" t="str" cm="1">
        <f t="array" ref="H1130">IFERROR(_xlfn.LET(
_xlpm.CSVVal,_xlfn.XLOOKUP($A1130,CSV!$A:$A,CSV!H:H,""),
_xlpm.MacVal,_xlfn.XLOOKUP($A1130,Output_Mac!$A:$A,Output_Mac!H:H,""),
_xlpm.MyAuditVal,_xlfn.XLOOKUP($A1130,My_Audit!$A:$A,My_Audit!G:G,""),
_xlfn.IFS(_xlpm.MyAuditVal&lt;&gt;"",_xlpm.MyAuditVal,_xlpm.MacVal&lt;&gt;"",_xlpm.MacVal,_xlpm.CSVVal&lt;&gt;"",_xlpm.CSVVal
)),"")</f>
        <v/>
      </c>
      <c r="I1130" s="40" t="str">
        <f>_xlfn.XLOOKUP(A1130,Output_Mac!A:A,Output_Mac!I:I,"")</f>
        <v/>
      </c>
      <c r="J1130" s="40" t="str" cm="1">
        <f t="array" ref="J1130">IFERROR(_xlfn.LET(
_xlpm.CSVVal,_xlfn.XLOOKUP($A1130,CSV!$A:$A,CSV!I:I,""),
_xlpm.MacVal,_xlfn.XLOOKUP($A1130,Output_Mac!$A:$A,Output_Mac!J:J,""),
_xlpm.MyAuditVal,_xlfn.XLOOKUP($A1130,My_Audit!$A:$A,My_Audit!I:I,""),
_xlfn.IFS(_xlpm.MyAuditVal&lt;&gt;"",UPPER(_xlpm.MyAuditVal),_xlpm.MacVal&lt;&gt;"",_xlpm.MacVal,_xlpm.CSVVal&lt;&gt;"",_xlpm.CSVVal
)),"")</f>
        <v/>
      </c>
      <c r="K1130" s="40" t="str" cm="1">
        <f t="array" ref="K1130">IFERROR(_xlfn.LET(
_xlpm.CSVVal,_xlfn.XLOOKUP($A1130,CSV!$A:$A,CSV!K:K,""),
_xlpm.MacVal,_xlfn.XLOOKUP($A1130,Output_Mac!$A:$A,Output_Mac!K:K,""),
_xlpm.MyAuditVal,_xlfn.XLOOKUP($A1130,My_Audit!$A:$A,My_Audit!J:J,""),
_xlfn.IFS(_xlpm.MyAuditVal&lt;&gt;"",UPPER(_xlpm.MyAuditVal),_xlpm.MacVal&lt;&gt;"",_xlpm.MacVal,_xlpm.CSVVal&lt;&gt;"",_xlpm.CSVVal
)),"")</f>
        <v/>
      </c>
      <c r="L1130" s="40" t="str" cm="1">
        <f t="array" ref="L1130">IFERROR(_xlfn.LET(
_xlpm.CSVVal,_xlfn.XLOOKUP($A1130,CSV!$A:$A,CSV!P:P,""),
_xlpm.MacVal,_xlfn.XLOOKUP($A1130,Output_Mac!$A:$A,Output_Mac!L:L,""),
_xlpm.MyAuditVal,_xlfn.XLOOKUP($A1130,My_Audit!$A:$A,My_Audit!K:K,""),
_xlfn.IFS(_xlpm.MyAuditVal&lt;&gt;"",UPPER(_xlpm.MyAuditVal),_xlpm.MacVal&lt;&gt;"",_xlpm.MacVal,_xlpm.CSVVal&lt;&gt;"",_xlpm.CSVVal
)),"")</f>
        <v/>
      </c>
      <c r="M1130" s="40" t="str" cm="1">
        <f t="array" ref="M1130">IFERROR(_xlfn.LET(
_xlpm.CSVVal,_xlfn.XLOOKUP($A1130,CSV!$A:$A,CSV!Q:Q,""),
_xlpm.MacVal,_xlfn.XLOOKUP($A1130,Output_Mac!$A:$A,Output_Mac!M:M,""),
_xlpm.MyAuditVal,_xlfn.XLOOKUP($A1130,My_Audit!$A:$A,My_Audit!L:L,""),
_xlfn.IFS(_xlpm.MyAuditVal&lt;&gt;"",UPPER(_xlpm.MyAuditVal),_xlpm.MacVal&lt;&gt;"",_xlpm.MacVal,_xlpm.CSVVal&lt;&gt;"",_xlpm.CSVVal
)),"")</f>
        <v/>
      </c>
      <c r="N1130" s="40"/>
      <c r="O1130" s="40" t="str">
        <f>_xlfn.LET(
    _xlpm.CSVVal, _xlfn.XLOOKUP($A1130, CSV!$A:$A, CSV!AA:AA, ""),
    _xlpm.MacVal, _xlfn.XLOOKUP($A1130, Output_Mac!$A:$A, Output_Mac!S:S, ""),
    _xlpm.MyAuditVal, _xlfn.XLOOKUP($A1130, My_Audit!$A:$A, My_Audit!P:P, ""),
    _xlfn.TEXTJOIN(", ", TRUE, _xlpm.MyAuditVal, _xlpm.MacVal, _xlpm.CSVVal)
)</f>
        <v/>
      </c>
      <c r="P1130" s="40" t="str" cm="1">
        <f t="array" ref="P1130">IFERROR(_xlfn.LET(
_xlpm.CSVVal,_xlfn.XLOOKUP($A1130,CSV!$A:$A,CSV!AB:AB,""),
_xlpm.MacVal,_xlfn.XLOOKUP($A1130,Output_Mac!$A:$A,Output_Mac!T:T,""),
_xlpm.MyAuditVal,_xlfn.XLOOKUP($A1130,My_Audit!$A:$A,My_Audit!Q:Q,""),
_xlfn.IFS(_xlpm.MyAuditVal&lt;&gt;"",UPPER(_xlpm.MyAuditVal),_xlpm.MacVal&lt;&gt;"",_xlpm.MacVal,_xlpm.CSVVal&lt;&gt;"",_xlpm.CSVVal
)),"No")</f>
        <v>No</v>
      </c>
      <c r="Q1130" s="40" t="str" cm="1">
        <f t="array" ref="Q1130">IFERROR(_xlfn.LET(
_xlpm.CSVVal,_xlfn.XLOOKUP($A1130,CSV!$A:$A,CSV!AC:AC,""),
_xlpm.MacVal,_xlfn.XLOOKUP($A1130,Output_Mac!$A:$A,Output_Mac!U:U,""),
_xlpm.MyAuditVal,_xlfn.XLOOKUP($A1130,My_Audit!$A:$A,My_Audit!R:R,""),
_xlfn.IFS(_xlpm.MyAuditVal&lt;&gt;"",UPPER(_xlpm.MyAuditVal),_xlpm.MacVal&lt;&gt;"",_xlpm.MacVal,_xlpm.CSVVal&lt;&gt;"",_xlpm.CSVVal
)),"")</f>
        <v/>
      </c>
      <c r="R1130" s="40"/>
      <c r="S1130" s="40"/>
      <c r="T1130" s="40"/>
      <c r="U1130" s="40"/>
      <c r="V1130" s="40"/>
      <c r="W1130" s="40"/>
      <c r="X1130" s="41" t="str">
        <f>_xlfn.LET(
    _xlpm.MacVal, _xlfn.XLOOKUP($A1130, Output_Mac!$A:$A, Output_Mac!AB:AB, ""),
    _xlpm.MyAuditVal, _xlfn.XLOOKUP($A1130, My_Audit!$A:$A, My_Audit!N:N, ""),
    _xlfn.TEXTJOIN(", ", TRUE, _xlpm.MyAuditVal, _xlpm.MacVal)
)</f>
        <v/>
      </c>
    </row>
    <row r="1131" spans="1:24">
      <c r="A1131" s="40" t="str">
        <f>_xlfn.TEXTJOIN("",TRUE,Input!$B$2,ROW(My_Audit!A1130))</f>
        <v>X1130</v>
      </c>
      <c r="B1131" s="40" t="str">
        <f>_xlfn.TEXTJOIN("-",TRUE,"ITD",Input!$A$2,A1131)</f>
        <v>ITD-X1130</v>
      </c>
      <c r="C1131" s="40" t="str" cm="1">
        <f t="array" ref="C1131">IFERROR(_xlfn.LET(
_xlpm.CSVVal,_xlfn.XLOOKUP($A1131,CSV!$A:$A,CSV!B:B,""),
_xlpm.MacVal,_xlfn.XLOOKUP($A1131,Output_Mac!$A:$A,Output_Mac!B:B,""),
_xlpm.MyAuditVal,_xlfn.XLOOKUP($A1131,My_Audit!$A:$A,My_Audit!B:B,""),
_xlfn.IFS(_xlpm.MyAuditVal&lt;&gt;"",UPPER(_xlpm.MyAuditVal),_xlpm.MacVal&lt;&gt;"",_xlpm.MacVal,_xlpm.CSVVal&lt;&gt;"",_xlpm.CSVVal
)),"")</f>
        <v/>
      </c>
      <c r="D1131" s="40" t="str" cm="1">
        <f t="array" ref="D1131">IFERROR(_xlfn.LET(
_xlpm.CSVVal,_xlfn.XLOOKUP($A1131,CSV!$A:$A,CSV!D:D,""),
_xlpm.MacVal,_xlfn.XLOOKUP($A1131,Output_Mac!$A:$A,Output_Mac!C:C,""),
_xlpm.MyAuditVal,_xlfn.XLOOKUP($A1131,My_Audit!$A:$A,My_Audit!C:C,""),
_xlfn.IFS(_xlpm.MyAuditVal&lt;&gt;"",_xlpm.MyAuditVal,_xlpm.MacVal&lt;&gt;"",_xlpm.MacVal,_xlpm.CSVVal&lt;&gt;"",_xlpm.CSVVal
)),"")</f>
        <v/>
      </c>
      <c r="E1131" s="40" t="str">
        <f>_xlfn.XLOOKUP(A1131,My_Audit!A:A,My_Audit!D:D,"")</f>
        <v/>
      </c>
      <c r="F1131" s="40" t="str" cm="1">
        <f t="array" ref="F1131">IFERROR(_xlfn.LET(
_xlpm.CSVVal,_xlfn.XLOOKUP($A1131,CSV!$A:$A,CSV!F:F,""),
_xlpm.MacVal,_xlfn.XLOOKUP($A1131,Output_Mac!$A:$A,Output_Mac!E:E,""),
_xlpm.MyAuditVal,_xlfn.XLOOKUP($A1131,My_Audit!$A:$A,My_Audit!E:E,""),
_xlfn.IFS(_xlpm.MyAuditVal&lt;&gt;"",_xlpm.MyAuditVal,_xlpm.MacVal&lt;&gt;"",_xlpm.MacVal,_xlpm.CSVVal&lt;&gt;"",_xlpm.CSVVal
)),"")</f>
        <v/>
      </c>
      <c r="G1131" s="40" t="str" cm="1">
        <f t="array" ref="G1131">IFERROR(_xlfn.LET(
_xlpm.CSVVal,_xlfn.XLOOKUP($A1131,CSV!$A:$A,CSV!G:G,""),
_xlpm.MacVal,_xlfn.XLOOKUP($A1131,Output_Mac!$A:$A,Output_Mac!F:F,""),
_xlpm.MyAuditVal,_xlfn.XLOOKUP($A1131,My_Audit!$A:$A,My_Audit!F:F,""),
_xlfn.IFS(_xlpm.MyAuditVal&lt;&gt;"",_xlpm.MyAuditVal,_xlpm.MacVal&lt;&gt;"",_xlpm.MacVal,_xlpm.CSVVal&lt;&gt;"",PROPER(_xlpm.CSVVal)
)),"")</f>
        <v/>
      </c>
      <c r="H1131" s="40" t="str" cm="1">
        <f t="array" ref="H1131">IFERROR(_xlfn.LET(
_xlpm.CSVVal,_xlfn.XLOOKUP($A1131,CSV!$A:$A,CSV!H:H,""),
_xlpm.MacVal,_xlfn.XLOOKUP($A1131,Output_Mac!$A:$A,Output_Mac!H:H,""),
_xlpm.MyAuditVal,_xlfn.XLOOKUP($A1131,My_Audit!$A:$A,My_Audit!G:G,""),
_xlfn.IFS(_xlpm.MyAuditVal&lt;&gt;"",_xlpm.MyAuditVal,_xlpm.MacVal&lt;&gt;"",_xlpm.MacVal,_xlpm.CSVVal&lt;&gt;"",_xlpm.CSVVal
)),"")</f>
        <v/>
      </c>
      <c r="I1131" s="40" t="str">
        <f>_xlfn.XLOOKUP(A1131,Output_Mac!A:A,Output_Mac!I:I,"")</f>
        <v/>
      </c>
      <c r="J1131" s="40" t="str" cm="1">
        <f t="array" ref="J1131">IFERROR(_xlfn.LET(
_xlpm.CSVVal,_xlfn.XLOOKUP($A1131,CSV!$A:$A,CSV!I:I,""),
_xlpm.MacVal,_xlfn.XLOOKUP($A1131,Output_Mac!$A:$A,Output_Mac!J:J,""),
_xlpm.MyAuditVal,_xlfn.XLOOKUP($A1131,My_Audit!$A:$A,My_Audit!I:I,""),
_xlfn.IFS(_xlpm.MyAuditVal&lt;&gt;"",UPPER(_xlpm.MyAuditVal),_xlpm.MacVal&lt;&gt;"",_xlpm.MacVal,_xlpm.CSVVal&lt;&gt;"",_xlpm.CSVVal
)),"")</f>
        <v/>
      </c>
      <c r="K1131" s="40" t="str" cm="1">
        <f t="array" ref="K1131">IFERROR(_xlfn.LET(
_xlpm.CSVVal,_xlfn.XLOOKUP($A1131,CSV!$A:$A,CSV!K:K,""),
_xlpm.MacVal,_xlfn.XLOOKUP($A1131,Output_Mac!$A:$A,Output_Mac!K:K,""),
_xlpm.MyAuditVal,_xlfn.XLOOKUP($A1131,My_Audit!$A:$A,My_Audit!J:J,""),
_xlfn.IFS(_xlpm.MyAuditVal&lt;&gt;"",UPPER(_xlpm.MyAuditVal),_xlpm.MacVal&lt;&gt;"",_xlpm.MacVal,_xlpm.CSVVal&lt;&gt;"",_xlpm.CSVVal
)),"")</f>
        <v/>
      </c>
      <c r="L1131" s="40" t="str" cm="1">
        <f t="array" ref="L1131">IFERROR(_xlfn.LET(
_xlpm.CSVVal,_xlfn.XLOOKUP($A1131,CSV!$A:$A,CSV!P:P,""),
_xlpm.MacVal,_xlfn.XLOOKUP($A1131,Output_Mac!$A:$A,Output_Mac!L:L,""),
_xlpm.MyAuditVal,_xlfn.XLOOKUP($A1131,My_Audit!$A:$A,My_Audit!K:K,""),
_xlfn.IFS(_xlpm.MyAuditVal&lt;&gt;"",UPPER(_xlpm.MyAuditVal),_xlpm.MacVal&lt;&gt;"",_xlpm.MacVal,_xlpm.CSVVal&lt;&gt;"",_xlpm.CSVVal
)),"")</f>
        <v/>
      </c>
      <c r="M1131" s="40" t="str" cm="1">
        <f t="array" ref="M1131">IFERROR(_xlfn.LET(
_xlpm.CSVVal,_xlfn.XLOOKUP($A1131,CSV!$A:$A,CSV!Q:Q,""),
_xlpm.MacVal,_xlfn.XLOOKUP($A1131,Output_Mac!$A:$A,Output_Mac!M:M,""),
_xlpm.MyAuditVal,_xlfn.XLOOKUP($A1131,My_Audit!$A:$A,My_Audit!L:L,""),
_xlfn.IFS(_xlpm.MyAuditVal&lt;&gt;"",UPPER(_xlpm.MyAuditVal),_xlpm.MacVal&lt;&gt;"",_xlpm.MacVal,_xlpm.CSVVal&lt;&gt;"",_xlpm.CSVVal
)),"")</f>
        <v/>
      </c>
      <c r="N1131" s="40"/>
      <c r="O1131" s="40" t="str">
        <f>_xlfn.LET(
    _xlpm.CSVVal, _xlfn.XLOOKUP($A1131, CSV!$A:$A, CSV!AA:AA, ""),
    _xlpm.MacVal, _xlfn.XLOOKUP($A1131, Output_Mac!$A:$A, Output_Mac!S:S, ""),
    _xlpm.MyAuditVal, _xlfn.XLOOKUP($A1131, My_Audit!$A:$A, My_Audit!P:P, ""),
    _xlfn.TEXTJOIN(", ", TRUE, _xlpm.MyAuditVal, _xlpm.MacVal, _xlpm.CSVVal)
)</f>
        <v/>
      </c>
      <c r="P1131" s="40" t="str" cm="1">
        <f t="array" ref="P1131">IFERROR(_xlfn.LET(
_xlpm.CSVVal,_xlfn.XLOOKUP($A1131,CSV!$A:$A,CSV!AB:AB,""),
_xlpm.MacVal,_xlfn.XLOOKUP($A1131,Output_Mac!$A:$A,Output_Mac!T:T,""),
_xlpm.MyAuditVal,_xlfn.XLOOKUP($A1131,My_Audit!$A:$A,My_Audit!Q:Q,""),
_xlfn.IFS(_xlpm.MyAuditVal&lt;&gt;"",UPPER(_xlpm.MyAuditVal),_xlpm.MacVal&lt;&gt;"",_xlpm.MacVal,_xlpm.CSVVal&lt;&gt;"",_xlpm.CSVVal
)),"No")</f>
        <v>No</v>
      </c>
      <c r="Q1131" s="40" t="str" cm="1">
        <f t="array" ref="Q1131">IFERROR(_xlfn.LET(
_xlpm.CSVVal,_xlfn.XLOOKUP($A1131,CSV!$A:$A,CSV!AC:AC,""),
_xlpm.MacVal,_xlfn.XLOOKUP($A1131,Output_Mac!$A:$A,Output_Mac!U:U,""),
_xlpm.MyAuditVal,_xlfn.XLOOKUP($A1131,My_Audit!$A:$A,My_Audit!R:R,""),
_xlfn.IFS(_xlpm.MyAuditVal&lt;&gt;"",UPPER(_xlpm.MyAuditVal),_xlpm.MacVal&lt;&gt;"",_xlpm.MacVal,_xlpm.CSVVal&lt;&gt;"",_xlpm.CSVVal
)),"")</f>
        <v/>
      </c>
      <c r="R1131" s="40"/>
      <c r="S1131" s="40"/>
      <c r="T1131" s="40"/>
      <c r="U1131" s="40"/>
      <c r="V1131" s="40"/>
      <c r="W1131" s="40"/>
      <c r="X1131" s="41" t="str">
        <f>_xlfn.LET(
    _xlpm.MacVal, _xlfn.XLOOKUP($A1131, Output_Mac!$A:$A, Output_Mac!AB:AB, ""),
    _xlpm.MyAuditVal, _xlfn.XLOOKUP($A1131, My_Audit!$A:$A, My_Audit!N:N, ""),
    _xlfn.TEXTJOIN(", ", TRUE, _xlpm.MyAuditVal, _xlpm.MacVal)
)</f>
        <v/>
      </c>
    </row>
    <row r="1132" spans="1:24">
      <c r="A1132" s="40" t="str">
        <f>_xlfn.TEXTJOIN("",TRUE,Input!$B$2,ROW(My_Audit!A1131))</f>
        <v>X1131</v>
      </c>
      <c r="B1132" s="40" t="str">
        <f>_xlfn.TEXTJOIN("-",TRUE,"ITD",Input!$A$2,A1132)</f>
        <v>ITD-X1131</v>
      </c>
      <c r="C1132" s="40" t="str" cm="1">
        <f t="array" ref="C1132">IFERROR(_xlfn.LET(
_xlpm.CSVVal,_xlfn.XLOOKUP($A1132,CSV!$A:$A,CSV!B:B,""),
_xlpm.MacVal,_xlfn.XLOOKUP($A1132,Output_Mac!$A:$A,Output_Mac!B:B,""),
_xlpm.MyAuditVal,_xlfn.XLOOKUP($A1132,My_Audit!$A:$A,My_Audit!B:B,""),
_xlfn.IFS(_xlpm.MyAuditVal&lt;&gt;"",UPPER(_xlpm.MyAuditVal),_xlpm.MacVal&lt;&gt;"",_xlpm.MacVal,_xlpm.CSVVal&lt;&gt;"",_xlpm.CSVVal
)),"")</f>
        <v/>
      </c>
      <c r="D1132" s="40" t="str" cm="1">
        <f t="array" ref="D1132">IFERROR(_xlfn.LET(
_xlpm.CSVVal,_xlfn.XLOOKUP($A1132,CSV!$A:$A,CSV!D:D,""),
_xlpm.MacVal,_xlfn.XLOOKUP($A1132,Output_Mac!$A:$A,Output_Mac!C:C,""),
_xlpm.MyAuditVal,_xlfn.XLOOKUP($A1132,My_Audit!$A:$A,My_Audit!C:C,""),
_xlfn.IFS(_xlpm.MyAuditVal&lt;&gt;"",_xlpm.MyAuditVal,_xlpm.MacVal&lt;&gt;"",_xlpm.MacVal,_xlpm.CSVVal&lt;&gt;"",_xlpm.CSVVal
)),"")</f>
        <v/>
      </c>
      <c r="E1132" s="40" t="str">
        <f>_xlfn.XLOOKUP(A1132,My_Audit!A:A,My_Audit!D:D,"")</f>
        <v/>
      </c>
      <c r="F1132" s="40" t="str" cm="1">
        <f t="array" ref="F1132">IFERROR(_xlfn.LET(
_xlpm.CSVVal,_xlfn.XLOOKUP($A1132,CSV!$A:$A,CSV!F:F,""),
_xlpm.MacVal,_xlfn.XLOOKUP($A1132,Output_Mac!$A:$A,Output_Mac!E:E,""),
_xlpm.MyAuditVal,_xlfn.XLOOKUP($A1132,My_Audit!$A:$A,My_Audit!E:E,""),
_xlfn.IFS(_xlpm.MyAuditVal&lt;&gt;"",_xlpm.MyAuditVal,_xlpm.MacVal&lt;&gt;"",_xlpm.MacVal,_xlpm.CSVVal&lt;&gt;"",_xlpm.CSVVal
)),"")</f>
        <v/>
      </c>
      <c r="G1132" s="40" t="str" cm="1">
        <f t="array" ref="G1132">IFERROR(_xlfn.LET(
_xlpm.CSVVal,_xlfn.XLOOKUP($A1132,CSV!$A:$A,CSV!G:G,""),
_xlpm.MacVal,_xlfn.XLOOKUP($A1132,Output_Mac!$A:$A,Output_Mac!F:F,""),
_xlpm.MyAuditVal,_xlfn.XLOOKUP($A1132,My_Audit!$A:$A,My_Audit!F:F,""),
_xlfn.IFS(_xlpm.MyAuditVal&lt;&gt;"",_xlpm.MyAuditVal,_xlpm.MacVal&lt;&gt;"",_xlpm.MacVal,_xlpm.CSVVal&lt;&gt;"",PROPER(_xlpm.CSVVal)
)),"")</f>
        <v/>
      </c>
      <c r="H1132" s="40" t="str" cm="1">
        <f t="array" ref="H1132">IFERROR(_xlfn.LET(
_xlpm.CSVVal,_xlfn.XLOOKUP($A1132,CSV!$A:$A,CSV!H:H,""),
_xlpm.MacVal,_xlfn.XLOOKUP($A1132,Output_Mac!$A:$A,Output_Mac!H:H,""),
_xlpm.MyAuditVal,_xlfn.XLOOKUP($A1132,My_Audit!$A:$A,My_Audit!G:G,""),
_xlfn.IFS(_xlpm.MyAuditVal&lt;&gt;"",_xlpm.MyAuditVal,_xlpm.MacVal&lt;&gt;"",_xlpm.MacVal,_xlpm.CSVVal&lt;&gt;"",_xlpm.CSVVal
)),"")</f>
        <v/>
      </c>
      <c r="I1132" s="40" t="str">
        <f>_xlfn.XLOOKUP(A1132,Output_Mac!A:A,Output_Mac!I:I,"")</f>
        <v/>
      </c>
      <c r="J1132" s="40" t="str" cm="1">
        <f t="array" ref="J1132">IFERROR(_xlfn.LET(
_xlpm.CSVVal,_xlfn.XLOOKUP($A1132,CSV!$A:$A,CSV!I:I,""),
_xlpm.MacVal,_xlfn.XLOOKUP($A1132,Output_Mac!$A:$A,Output_Mac!J:J,""),
_xlpm.MyAuditVal,_xlfn.XLOOKUP($A1132,My_Audit!$A:$A,My_Audit!I:I,""),
_xlfn.IFS(_xlpm.MyAuditVal&lt;&gt;"",UPPER(_xlpm.MyAuditVal),_xlpm.MacVal&lt;&gt;"",_xlpm.MacVal,_xlpm.CSVVal&lt;&gt;"",_xlpm.CSVVal
)),"")</f>
        <v/>
      </c>
      <c r="K1132" s="40" t="str" cm="1">
        <f t="array" ref="K1132">IFERROR(_xlfn.LET(
_xlpm.CSVVal,_xlfn.XLOOKUP($A1132,CSV!$A:$A,CSV!K:K,""),
_xlpm.MacVal,_xlfn.XLOOKUP($A1132,Output_Mac!$A:$A,Output_Mac!K:K,""),
_xlpm.MyAuditVal,_xlfn.XLOOKUP($A1132,My_Audit!$A:$A,My_Audit!J:J,""),
_xlfn.IFS(_xlpm.MyAuditVal&lt;&gt;"",UPPER(_xlpm.MyAuditVal),_xlpm.MacVal&lt;&gt;"",_xlpm.MacVal,_xlpm.CSVVal&lt;&gt;"",_xlpm.CSVVal
)),"")</f>
        <v/>
      </c>
      <c r="L1132" s="40" t="str" cm="1">
        <f t="array" ref="L1132">IFERROR(_xlfn.LET(
_xlpm.CSVVal,_xlfn.XLOOKUP($A1132,CSV!$A:$A,CSV!P:P,""),
_xlpm.MacVal,_xlfn.XLOOKUP($A1132,Output_Mac!$A:$A,Output_Mac!L:L,""),
_xlpm.MyAuditVal,_xlfn.XLOOKUP($A1132,My_Audit!$A:$A,My_Audit!K:K,""),
_xlfn.IFS(_xlpm.MyAuditVal&lt;&gt;"",UPPER(_xlpm.MyAuditVal),_xlpm.MacVal&lt;&gt;"",_xlpm.MacVal,_xlpm.CSVVal&lt;&gt;"",_xlpm.CSVVal
)),"")</f>
        <v/>
      </c>
      <c r="M1132" s="40" t="str" cm="1">
        <f t="array" ref="M1132">IFERROR(_xlfn.LET(
_xlpm.CSVVal,_xlfn.XLOOKUP($A1132,CSV!$A:$A,CSV!Q:Q,""),
_xlpm.MacVal,_xlfn.XLOOKUP($A1132,Output_Mac!$A:$A,Output_Mac!M:M,""),
_xlpm.MyAuditVal,_xlfn.XLOOKUP($A1132,My_Audit!$A:$A,My_Audit!L:L,""),
_xlfn.IFS(_xlpm.MyAuditVal&lt;&gt;"",UPPER(_xlpm.MyAuditVal),_xlpm.MacVal&lt;&gt;"",_xlpm.MacVal,_xlpm.CSVVal&lt;&gt;"",_xlpm.CSVVal
)),"")</f>
        <v/>
      </c>
      <c r="N1132" s="40"/>
      <c r="O1132" s="40" t="str">
        <f>_xlfn.LET(
    _xlpm.CSVVal, _xlfn.XLOOKUP($A1132, CSV!$A:$A, CSV!AA:AA, ""),
    _xlpm.MacVal, _xlfn.XLOOKUP($A1132, Output_Mac!$A:$A, Output_Mac!S:S, ""),
    _xlpm.MyAuditVal, _xlfn.XLOOKUP($A1132, My_Audit!$A:$A, My_Audit!P:P, ""),
    _xlfn.TEXTJOIN(", ", TRUE, _xlpm.MyAuditVal, _xlpm.MacVal, _xlpm.CSVVal)
)</f>
        <v/>
      </c>
      <c r="P1132" s="40" t="str" cm="1">
        <f t="array" ref="P1132">IFERROR(_xlfn.LET(
_xlpm.CSVVal,_xlfn.XLOOKUP($A1132,CSV!$A:$A,CSV!AB:AB,""),
_xlpm.MacVal,_xlfn.XLOOKUP($A1132,Output_Mac!$A:$A,Output_Mac!T:T,""),
_xlpm.MyAuditVal,_xlfn.XLOOKUP($A1132,My_Audit!$A:$A,My_Audit!Q:Q,""),
_xlfn.IFS(_xlpm.MyAuditVal&lt;&gt;"",UPPER(_xlpm.MyAuditVal),_xlpm.MacVal&lt;&gt;"",_xlpm.MacVal,_xlpm.CSVVal&lt;&gt;"",_xlpm.CSVVal
)),"No")</f>
        <v>No</v>
      </c>
      <c r="Q1132" s="40" t="str" cm="1">
        <f t="array" ref="Q1132">IFERROR(_xlfn.LET(
_xlpm.CSVVal,_xlfn.XLOOKUP($A1132,CSV!$A:$A,CSV!AC:AC,""),
_xlpm.MacVal,_xlfn.XLOOKUP($A1132,Output_Mac!$A:$A,Output_Mac!U:U,""),
_xlpm.MyAuditVal,_xlfn.XLOOKUP($A1132,My_Audit!$A:$A,My_Audit!R:R,""),
_xlfn.IFS(_xlpm.MyAuditVal&lt;&gt;"",UPPER(_xlpm.MyAuditVal),_xlpm.MacVal&lt;&gt;"",_xlpm.MacVal,_xlpm.CSVVal&lt;&gt;"",_xlpm.CSVVal
)),"")</f>
        <v/>
      </c>
      <c r="R1132" s="40"/>
      <c r="S1132" s="40"/>
      <c r="T1132" s="40"/>
      <c r="U1132" s="40"/>
      <c r="V1132" s="40"/>
      <c r="W1132" s="40"/>
      <c r="X1132" s="41" t="str">
        <f>_xlfn.LET(
    _xlpm.MacVal, _xlfn.XLOOKUP($A1132, Output_Mac!$A:$A, Output_Mac!AB:AB, ""),
    _xlpm.MyAuditVal, _xlfn.XLOOKUP($A1132, My_Audit!$A:$A, My_Audit!N:N, ""),
    _xlfn.TEXTJOIN(", ", TRUE, _xlpm.MyAuditVal, _xlpm.MacVal)
)</f>
        <v/>
      </c>
    </row>
    <row r="1133" spans="1:24">
      <c r="A1133" s="40" t="str">
        <f>_xlfn.TEXTJOIN("",TRUE,Input!$B$2,ROW(My_Audit!A1132))</f>
        <v>X1132</v>
      </c>
      <c r="B1133" s="40" t="str">
        <f>_xlfn.TEXTJOIN("-",TRUE,"ITD",Input!$A$2,A1133)</f>
        <v>ITD-X1132</v>
      </c>
      <c r="C1133" s="40" t="str" cm="1">
        <f t="array" ref="C1133">IFERROR(_xlfn.LET(
_xlpm.CSVVal,_xlfn.XLOOKUP($A1133,CSV!$A:$A,CSV!B:B,""),
_xlpm.MacVal,_xlfn.XLOOKUP($A1133,Output_Mac!$A:$A,Output_Mac!B:B,""),
_xlpm.MyAuditVal,_xlfn.XLOOKUP($A1133,My_Audit!$A:$A,My_Audit!B:B,""),
_xlfn.IFS(_xlpm.MyAuditVal&lt;&gt;"",UPPER(_xlpm.MyAuditVal),_xlpm.MacVal&lt;&gt;"",_xlpm.MacVal,_xlpm.CSVVal&lt;&gt;"",_xlpm.CSVVal
)),"")</f>
        <v/>
      </c>
      <c r="D1133" s="40" t="str" cm="1">
        <f t="array" ref="D1133">IFERROR(_xlfn.LET(
_xlpm.CSVVal,_xlfn.XLOOKUP($A1133,CSV!$A:$A,CSV!D:D,""),
_xlpm.MacVal,_xlfn.XLOOKUP($A1133,Output_Mac!$A:$A,Output_Mac!C:C,""),
_xlpm.MyAuditVal,_xlfn.XLOOKUP($A1133,My_Audit!$A:$A,My_Audit!C:C,""),
_xlfn.IFS(_xlpm.MyAuditVal&lt;&gt;"",_xlpm.MyAuditVal,_xlpm.MacVal&lt;&gt;"",_xlpm.MacVal,_xlpm.CSVVal&lt;&gt;"",_xlpm.CSVVal
)),"")</f>
        <v/>
      </c>
      <c r="E1133" s="40" t="str">
        <f>_xlfn.XLOOKUP(A1133,My_Audit!A:A,My_Audit!D:D,"")</f>
        <v/>
      </c>
      <c r="F1133" s="40" t="str" cm="1">
        <f t="array" ref="F1133">IFERROR(_xlfn.LET(
_xlpm.CSVVal,_xlfn.XLOOKUP($A1133,CSV!$A:$A,CSV!F:F,""),
_xlpm.MacVal,_xlfn.XLOOKUP($A1133,Output_Mac!$A:$A,Output_Mac!E:E,""),
_xlpm.MyAuditVal,_xlfn.XLOOKUP($A1133,My_Audit!$A:$A,My_Audit!E:E,""),
_xlfn.IFS(_xlpm.MyAuditVal&lt;&gt;"",_xlpm.MyAuditVal,_xlpm.MacVal&lt;&gt;"",_xlpm.MacVal,_xlpm.CSVVal&lt;&gt;"",_xlpm.CSVVal
)),"")</f>
        <v/>
      </c>
      <c r="G1133" s="40" t="str" cm="1">
        <f t="array" ref="G1133">IFERROR(_xlfn.LET(
_xlpm.CSVVal,_xlfn.XLOOKUP($A1133,CSV!$A:$A,CSV!G:G,""),
_xlpm.MacVal,_xlfn.XLOOKUP($A1133,Output_Mac!$A:$A,Output_Mac!F:F,""),
_xlpm.MyAuditVal,_xlfn.XLOOKUP($A1133,My_Audit!$A:$A,My_Audit!F:F,""),
_xlfn.IFS(_xlpm.MyAuditVal&lt;&gt;"",_xlpm.MyAuditVal,_xlpm.MacVal&lt;&gt;"",_xlpm.MacVal,_xlpm.CSVVal&lt;&gt;"",PROPER(_xlpm.CSVVal)
)),"")</f>
        <v/>
      </c>
      <c r="H1133" s="40" t="str" cm="1">
        <f t="array" ref="H1133">IFERROR(_xlfn.LET(
_xlpm.CSVVal,_xlfn.XLOOKUP($A1133,CSV!$A:$A,CSV!H:H,""),
_xlpm.MacVal,_xlfn.XLOOKUP($A1133,Output_Mac!$A:$A,Output_Mac!H:H,""),
_xlpm.MyAuditVal,_xlfn.XLOOKUP($A1133,My_Audit!$A:$A,My_Audit!G:G,""),
_xlfn.IFS(_xlpm.MyAuditVal&lt;&gt;"",_xlpm.MyAuditVal,_xlpm.MacVal&lt;&gt;"",_xlpm.MacVal,_xlpm.CSVVal&lt;&gt;"",_xlpm.CSVVal
)),"")</f>
        <v/>
      </c>
      <c r="I1133" s="40" t="str">
        <f>_xlfn.XLOOKUP(A1133,Output_Mac!A:A,Output_Mac!I:I,"")</f>
        <v/>
      </c>
      <c r="J1133" s="40" t="str" cm="1">
        <f t="array" ref="J1133">IFERROR(_xlfn.LET(
_xlpm.CSVVal,_xlfn.XLOOKUP($A1133,CSV!$A:$A,CSV!I:I,""),
_xlpm.MacVal,_xlfn.XLOOKUP($A1133,Output_Mac!$A:$A,Output_Mac!J:J,""),
_xlpm.MyAuditVal,_xlfn.XLOOKUP($A1133,My_Audit!$A:$A,My_Audit!I:I,""),
_xlfn.IFS(_xlpm.MyAuditVal&lt;&gt;"",UPPER(_xlpm.MyAuditVal),_xlpm.MacVal&lt;&gt;"",_xlpm.MacVal,_xlpm.CSVVal&lt;&gt;"",_xlpm.CSVVal
)),"")</f>
        <v/>
      </c>
      <c r="K1133" s="40" t="str" cm="1">
        <f t="array" ref="K1133">IFERROR(_xlfn.LET(
_xlpm.CSVVal,_xlfn.XLOOKUP($A1133,CSV!$A:$A,CSV!K:K,""),
_xlpm.MacVal,_xlfn.XLOOKUP($A1133,Output_Mac!$A:$A,Output_Mac!K:K,""),
_xlpm.MyAuditVal,_xlfn.XLOOKUP($A1133,My_Audit!$A:$A,My_Audit!J:J,""),
_xlfn.IFS(_xlpm.MyAuditVal&lt;&gt;"",UPPER(_xlpm.MyAuditVal),_xlpm.MacVal&lt;&gt;"",_xlpm.MacVal,_xlpm.CSVVal&lt;&gt;"",_xlpm.CSVVal
)),"")</f>
        <v/>
      </c>
      <c r="L1133" s="40" t="str" cm="1">
        <f t="array" ref="L1133">IFERROR(_xlfn.LET(
_xlpm.CSVVal,_xlfn.XLOOKUP($A1133,CSV!$A:$A,CSV!P:P,""),
_xlpm.MacVal,_xlfn.XLOOKUP($A1133,Output_Mac!$A:$A,Output_Mac!L:L,""),
_xlpm.MyAuditVal,_xlfn.XLOOKUP($A1133,My_Audit!$A:$A,My_Audit!K:K,""),
_xlfn.IFS(_xlpm.MyAuditVal&lt;&gt;"",UPPER(_xlpm.MyAuditVal),_xlpm.MacVal&lt;&gt;"",_xlpm.MacVal,_xlpm.CSVVal&lt;&gt;"",_xlpm.CSVVal
)),"")</f>
        <v/>
      </c>
      <c r="M1133" s="40" t="str" cm="1">
        <f t="array" ref="M1133">IFERROR(_xlfn.LET(
_xlpm.CSVVal,_xlfn.XLOOKUP($A1133,CSV!$A:$A,CSV!Q:Q,""),
_xlpm.MacVal,_xlfn.XLOOKUP($A1133,Output_Mac!$A:$A,Output_Mac!M:M,""),
_xlpm.MyAuditVal,_xlfn.XLOOKUP($A1133,My_Audit!$A:$A,My_Audit!L:L,""),
_xlfn.IFS(_xlpm.MyAuditVal&lt;&gt;"",UPPER(_xlpm.MyAuditVal),_xlpm.MacVal&lt;&gt;"",_xlpm.MacVal,_xlpm.CSVVal&lt;&gt;"",_xlpm.CSVVal
)),"")</f>
        <v/>
      </c>
      <c r="N1133" s="40"/>
      <c r="O1133" s="40" t="str">
        <f>_xlfn.LET(
    _xlpm.CSVVal, _xlfn.XLOOKUP($A1133, CSV!$A:$A, CSV!AA:AA, ""),
    _xlpm.MacVal, _xlfn.XLOOKUP($A1133, Output_Mac!$A:$A, Output_Mac!S:S, ""),
    _xlpm.MyAuditVal, _xlfn.XLOOKUP($A1133, My_Audit!$A:$A, My_Audit!P:P, ""),
    _xlfn.TEXTJOIN(", ", TRUE, _xlpm.MyAuditVal, _xlpm.MacVal, _xlpm.CSVVal)
)</f>
        <v/>
      </c>
      <c r="P1133" s="40" t="str" cm="1">
        <f t="array" ref="P1133">IFERROR(_xlfn.LET(
_xlpm.CSVVal,_xlfn.XLOOKUP($A1133,CSV!$A:$A,CSV!AB:AB,""),
_xlpm.MacVal,_xlfn.XLOOKUP($A1133,Output_Mac!$A:$A,Output_Mac!T:T,""),
_xlpm.MyAuditVal,_xlfn.XLOOKUP($A1133,My_Audit!$A:$A,My_Audit!Q:Q,""),
_xlfn.IFS(_xlpm.MyAuditVal&lt;&gt;"",UPPER(_xlpm.MyAuditVal),_xlpm.MacVal&lt;&gt;"",_xlpm.MacVal,_xlpm.CSVVal&lt;&gt;"",_xlpm.CSVVal
)),"No")</f>
        <v>No</v>
      </c>
      <c r="Q1133" s="40" t="str" cm="1">
        <f t="array" ref="Q1133">IFERROR(_xlfn.LET(
_xlpm.CSVVal,_xlfn.XLOOKUP($A1133,CSV!$A:$A,CSV!AC:AC,""),
_xlpm.MacVal,_xlfn.XLOOKUP($A1133,Output_Mac!$A:$A,Output_Mac!U:U,""),
_xlpm.MyAuditVal,_xlfn.XLOOKUP($A1133,My_Audit!$A:$A,My_Audit!R:R,""),
_xlfn.IFS(_xlpm.MyAuditVal&lt;&gt;"",UPPER(_xlpm.MyAuditVal),_xlpm.MacVal&lt;&gt;"",_xlpm.MacVal,_xlpm.CSVVal&lt;&gt;"",_xlpm.CSVVal
)),"")</f>
        <v/>
      </c>
      <c r="R1133" s="40"/>
      <c r="S1133" s="40"/>
      <c r="T1133" s="40"/>
      <c r="U1133" s="40"/>
      <c r="V1133" s="40"/>
      <c r="W1133" s="40"/>
      <c r="X1133" s="41" t="str">
        <f>_xlfn.LET(
    _xlpm.MacVal, _xlfn.XLOOKUP($A1133, Output_Mac!$A:$A, Output_Mac!AB:AB, ""),
    _xlpm.MyAuditVal, _xlfn.XLOOKUP($A1133, My_Audit!$A:$A, My_Audit!N:N, ""),
    _xlfn.TEXTJOIN(", ", TRUE, _xlpm.MyAuditVal, _xlpm.MacVal)
)</f>
        <v/>
      </c>
    </row>
    <row r="1134" spans="1:24">
      <c r="A1134" s="40" t="str">
        <f>_xlfn.TEXTJOIN("",TRUE,Input!$B$2,ROW(My_Audit!A1133))</f>
        <v>X1133</v>
      </c>
      <c r="B1134" s="40" t="str">
        <f>_xlfn.TEXTJOIN("-",TRUE,"ITD",Input!$A$2,A1134)</f>
        <v>ITD-X1133</v>
      </c>
      <c r="C1134" s="40" t="str" cm="1">
        <f t="array" ref="C1134">IFERROR(_xlfn.LET(
_xlpm.CSVVal,_xlfn.XLOOKUP($A1134,CSV!$A:$A,CSV!B:B,""),
_xlpm.MacVal,_xlfn.XLOOKUP($A1134,Output_Mac!$A:$A,Output_Mac!B:B,""),
_xlpm.MyAuditVal,_xlfn.XLOOKUP($A1134,My_Audit!$A:$A,My_Audit!B:B,""),
_xlfn.IFS(_xlpm.MyAuditVal&lt;&gt;"",UPPER(_xlpm.MyAuditVal),_xlpm.MacVal&lt;&gt;"",_xlpm.MacVal,_xlpm.CSVVal&lt;&gt;"",_xlpm.CSVVal
)),"")</f>
        <v/>
      </c>
      <c r="D1134" s="40" t="str" cm="1">
        <f t="array" ref="D1134">IFERROR(_xlfn.LET(
_xlpm.CSVVal,_xlfn.XLOOKUP($A1134,CSV!$A:$A,CSV!D:D,""),
_xlpm.MacVal,_xlfn.XLOOKUP($A1134,Output_Mac!$A:$A,Output_Mac!C:C,""),
_xlpm.MyAuditVal,_xlfn.XLOOKUP($A1134,My_Audit!$A:$A,My_Audit!C:C,""),
_xlfn.IFS(_xlpm.MyAuditVal&lt;&gt;"",_xlpm.MyAuditVal,_xlpm.MacVal&lt;&gt;"",_xlpm.MacVal,_xlpm.CSVVal&lt;&gt;"",_xlpm.CSVVal
)),"")</f>
        <v/>
      </c>
      <c r="E1134" s="40" t="str">
        <f>_xlfn.XLOOKUP(A1134,My_Audit!A:A,My_Audit!D:D,"")</f>
        <v/>
      </c>
      <c r="F1134" s="40" t="str" cm="1">
        <f t="array" ref="F1134">IFERROR(_xlfn.LET(
_xlpm.CSVVal,_xlfn.XLOOKUP($A1134,CSV!$A:$A,CSV!F:F,""),
_xlpm.MacVal,_xlfn.XLOOKUP($A1134,Output_Mac!$A:$A,Output_Mac!E:E,""),
_xlpm.MyAuditVal,_xlfn.XLOOKUP($A1134,My_Audit!$A:$A,My_Audit!E:E,""),
_xlfn.IFS(_xlpm.MyAuditVal&lt;&gt;"",_xlpm.MyAuditVal,_xlpm.MacVal&lt;&gt;"",_xlpm.MacVal,_xlpm.CSVVal&lt;&gt;"",_xlpm.CSVVal
)),"")</f>
        <v/>
      </c>
      <c r="G1134" s="40" t="str" cm="1">
        <f t="array" ref="G1134">IFERROR(_xlfn.LET(
_xlpm.CSVVal,_xlfn.XLOOKUP($A1134,CSV!$A:$A,CSV!G:G,""),
_xlpm.MacVal,_xlfn.XLOOKUP($A1134,Output_Mac!$A:$A,Output_Mac!F:F,""),
_xlpm.MyAuditVal,_xlfn.XLOOKUP($A1134,My_Audit!$A:$A,My_Audit!F:F,""),
_xlfn.IFS(_xlpm.MyAuditVal&lt;&gt;"",_xlpm.MyAuditVal,_xlpm.MacVal&lt;&gt;"",_xlpm.MacVal,_xlpm.CSVVal&lt;&gt;"",PROPER(_xlpm.CSVVal)
)),"")</f>
        <v/>
      </c>
      <c r="H1134" s="40" t="str" cm="1">
        <f t="array" ref="H1134">IFERROR(_xlfn.LET(
_xlpm.CSVVal,_xlfn.XLOOKUP($A1134,CSV!$A:$A,CSV!H:H,""),
_xlpm.MacVal,_xlfn.XLOOKUP($A1134,Output_Mac!$A:$A,Output_Mac!H:H,""),
_xlpm.MyAuditVal,_xlfn.XLOOKUP($A1134,My_Audit!$A:$A,My_Audit!G:G,""),
_xlfn.IFS(_xlpm.MyAuditVal&lt;&gt;"",_xlpm.MyAuditVal,_xlpm.MacVal&lt;&gt;"",_xlpm.MacVal,_xlpm.CSVVal&lt;&gt;"",_xlpm.CSVVal
)),"")</f>
        <v/>
      </c>
      <c r="I1134" s="40" t="str">
        <f>_xlfn.XLOOKUP(A1134,Output_Mac!A:A,Output_Mac!I:I,"")</f>
        <v/>
      </c>
      <c r="J1134" s="40" t="str" cm="1">
        <f t="array" ref="J1134">IFERROR(_xlfn.LET(
_xlpm.CSVVal,_xlfn.XLOOKUP($A1134,CSV!$A:$A,CSV!I:I,""),
_xlpm.MacVal,_xlfn.XLOOKUP($A1134,Output_Mac!$A:$A,Output_Mac!J:J,""),
_xlpm.MyAuditVal,_xlfn.XLOOKUP($A1134,My_Audit!$A:$A,My_Audit!I:I,""),
_xlfn.IFS(_xlpm.MyAuditVal&lt;&gt;"",UPPER(_xlpm.MyAuditVal),_xlpm.MacVal&lt;&gt;"",_xlpm.MacVal,_xlpm.CSVVal&lt;&gt;"",_xlpm.CSVVal
)),"")</f>
        <v/>
      </c>
      <c r="K1134" s="40" t="str" cm="1">
        <f t="array" ref="K1134">IFERROR(_xlfn.LET(
_xlpm.CSVVal,_xlfn.XLOOKUP($A1134,CSV!$A:$A,CSV!K:K,""),
_xlpm.MacVal,_xlfn.XLOOKUP($A1134,Output_Mac!$A:$A,Output_Mac!K:K,""),
_xlpm.MyAuditVal,_xlfn.XLOOKUP($A1134,My_Audit!$A:$A,My_Audit!J:J,""),
_xlfn.IFS(_xlpm.MyAuditVal&lt;&gt;"",UPPER(_xlpm.MyAuditVal),_xlpm.MacVal&lt;&gt;"",_xlpm.MacVal,_xlpm.CSVVal&lt;&gt;"",_xlpm.CSVVal
)),"")</f>
        <v/>
      </c>
      <c r="L1134" s="40" t="str" cm="1">
        <f t="array" ref="L1134">IFERROR(_xlfn.LET(
_xlpm.CSVVal,_xlfn.XLOOKUP($A1134,CSV!$A:$A,CSV!P:P,""),
_xlpm.MacVal,_xlfn.XLOOKUP($A1134,Output_Mac!$A:$A,Output_Mac!L:L,""),
_xlpm.MyAuditVal,_xlfn.XLOOKUP($A1134,My_Audit!$A:$A,My_Audit!K:K,""),
_xlfn.IFS(_xlpm.MyAuditVal&lt;&gt;"",UPPER(_xlpm.MyAuditVal),_xlpm.MacVal&lt;&gt;"",_xlpm.MacVal,_xlpm.CSVVal&lt;&gt;"",_xlpm.CSVVal
)),"")</f>
        <v/>
      </c>
      <c r="M1134" s="40" t="str" cm="1">
        <f t="array" ref="M1134">IFERROR(_xlfn.LET(
_xlpm.CSVVal,_xlfn.XLOOKUP($A1134,CSV!$A:$A,CSV!Q:Q,""),
_xlpm.MacVal,_xlfn.XLOOKUP($A1134,Output_Mac!$A:$A,Output_Mac!M:M,""),
_xlpm.MyAuditVal,_xlfn.XLOOKUP($A1134,My_Audit!$A:$A,My_Audit!L:L,""),
_xlfn.IFS(_xlpm.MyAuditVal&lt;&gt;"",UPPER(_xlpm.MyAuditVal),_xlpm.MacVal&lt;&gt;"",_xlpm.MacVal,_xlpm.CSVVal&lt;&gt;"",_xlpm.CSVVal
)),"")</f>
        <v/>
      </c>
      <c r="N1134" s="40"/>
      <c r="O1134" s="40" t="str">
        <f>_xlfn.LET(
    _xlpm.CSVVal, _xlfn.XLOOKUP($A1134, CSV!$A:$A, CSV!AA:AA, ""),
    _xlpm.MacVal, _xlfn.XLOOKUP($A1134, Output_Mac!$A:$A, Output_Mac!S:S, ""),
    _xlpm.MyAuditVal, _xlfn.XLOOKUP($A1134, My_Audit!$A:$A, My_Audit!P:P, ""),
    _xlfn.TEXTJOIN(", ", TRUE, _xlpm.MyAuditVal, _xlpm.MacVal, _xlpm.CSVVal)
)</f>
        <v/>
      </c>
      <c r="P1134" s="40" t="str" cm="1">
        <f t="array" ref="P1134">IFERROR(_xlfn.LET(
_xlpm.CSVVal,_xlfn.XLOOKUP($A1134,CSV!$A:$A,CSV!AB:AB,""),
_xlpm.MacVal,_xlfn.XLOOKUP($A1134,Output_Mac!$A:$A,Output_Mac!T:T,""),
_xlpm.MyAuditVal,_xlfn.XLOOKUP($A1134,My_Audit!$A:$A,My_Audit!Q:Q,""),
_xlfn.IFS(_xlpm.MyAuditVal&lt;&gt;"",UPPER(_xlpm.MyAuditVal),_xlpm.MacVal&lt;&gt;"",_xlpm.MacVal,_xlpm.CSVVal&lt;&gt;"",_xlpm.CSVVal
)),"No")</f>
        <v>No</v>
      </c>
      <c r="Q1134" s="40" t="str" cm="1">
        <f t="array" ref="Q1134">IFERROR(_xlfn.LET(
_xlpm.CSVVal,_xlfn.XLOOKUP($A1134,CSV!$A:$A,CSV!AC:AC,""),
_xlpm.MacVal,_xlfn.XLOOKUP($A1134,Output_Mac!$A:$A,Output_Mac!U:U,""),
_xlpm.MyAuditVal,_xlfn.XLOOKUP($A1134,My_Audit!$A:$A,My_Audit!R:R,""),
_xlfn.IFS(_xlpm.MyAuditVal&lt;&gt;"",UPPER(_xlpm.MyAuditVal),_xlpm.MacVal&lt;&gt;"",_xlpm.MacVal,_xlpm.CSVVal&lt;&gt;"",_xlpm.CSVVal
)),"")</f>
        <v/>
      </c>
      <c r="R1134" s="40"/>
      <c r="S1134" s="40"/>
      <c r="T1134" s="40"/>
      <c r="U1134" s="40"/>
      <c r="V1134" s="40"/>
      <c r="W1134" s="40"/>
      <c r="X1134" s="41" t="str">
        <f>_xlfn.LET(
    _xlpm.MacVal, _xlfn.XLOOKUP($A1134, Output_Mac!$A:$A, Output_Mac!AB:AB, ""),
    _xlpm.MyAuditVal, _xlfn.XLOOKUP($A1134, My_Audit!$A:$A, My_Audit!N:N, ""),
    _xlfn.TEXTJOIN(", ", TRUE, _xlpm.MyAuditVal, _xlpm.MacVal)
)</f>
        <v/>
      </c>
    </row>
    <row r="1135" spans="1:24">
      <c r="A1135" s="40" t="str">
        <f>_xlfn.TEXTJOIN("",TRUE,Input!$B$2,ROW(My_Audit!A1134))</f>
        <v>X1134</v>
      </c>
      <c r="B1135" s="40" t="str">
        <f>_xlfn.TEXTJOIN("-",TRUE,"ITD",Input!$A$2,A1135)</f>
        <v>ITD-X1134</v>
      </c>
      <c r="C1135" s="40" t="str" cm="1">
        <f t="array" ref="C1135">IFERROR(_xlfn.LET(
_xlpm.CSVVal,_xlfn.XLOOKUP($A1135,CSV!$A:$A,CSV!B:B,""),
_xlpm.MacVal,_xlfn.XLOOKUP($A1135,Output_Mac!$A:$A,Output_Mac!B:B,""),
_xlpm.MyAuditVal,_xlfn.XLOOKUP($A1135,My_Audit!$A:$A,My_Audit!B:B,""),
_xlfn.IFS(_xlpm.MyAuditVal&lt;&gt;"",UPPER(_xlpm.MyAuditVal),_xlpm.MacVal&lt;&gt;"",_xlpm.MacVal,_xlpm.CSVVal&lt;&gt;"",_xlpm.CSVVal
)),"")</f>
        <v/>
      </c>
      <c r="D1135" s="40" t="str" cm="1">
        <f t="array" ref="D1135">IFERROR(_xlfn.LET(
_xlpm.CSVVal,_xlfn.XLOOKUP($A1135,CSV!$A:$A,CSV!D:D,""),
_xlpm.MacVal,_xlfn.XLOOKUP($A1135,Output_Mac!$A:$A,Output_Mac!C:C,""),
_xlpm.MyAuditVal,_xlfn.XLOOKUP($A1135,My_Audit!$A:$A,My_Audit!C:C,""),
_xlfn.IFS(_xlpm.MyAuditVal&lt;&gt;"",_xlpm.MyAuditVal,_xlpm.MacVal&lt;&gt;"",_xlpm.MacVal,_xlpm.CSVVal&lt;&gt;"",_xlpm.CSVVal
)),"")</f>
        <v/>
      </c>
      <c r="E1135" s="40" t="str">
        <f>_xlfn.XLOOKUP(A1135,My_Audit!A:A,My_Audit!D:D,"")</f>
        <v/>
      </c>
      <c r="F1135" s="40" t="str" cm="1">
        <f t="array" ref="F1135">IFERROR(_xlfn.LET(
_xlpm.CSVVal,_xlfn.XLOOKUP($A1135,CSV!$A:$A,CSV!F:F,""),
_xlpm.MacVal,_xlfn.XLOOKUP($A1135,Output_Mac!$A:$A,Output_Mac!E:E,""),
_xlpm.MyAuditVal,_xlfn.XLOOKUP($A1135,My_Audit!$A:$A,My_Audit!E:E,""),
_xlfn.IFS(_xlpm.MyAuditVal&lt;&gt;"",_xlpm.MyAuditVal,_xlpm.MacVal&lt;&gt;"",_xlpm.MacVal,_xlpm.CSVVal&lt;&gt;"",_xlpm.CSVVal
)),"")</f>
        <v/>
      </c>
      <c r="G1135" s="40" t="str" cm="1">
        <f t="array" ref="G1135">IFERROR(_xlfn.LET(
_xlpm.CSVVal,_xlfn.XLOOKUP($A1135,CSV!$A:$A,CSV!G:G,""),
_xlpm.MacVal,_xlfn.XLOOKUP($A1135,Output_Mac!$A:$A,Output_Mac!F:F,""),
_xlpm.MyAuditVal,_xlfn.XLOOKUP($A1135,My_Audit!$A:$A,My_Audit!F:F,""),
_xlfn.IFS(_xlpm.MyAuditVal&lt;&gt;"",_xlpm.MyAuditVal,_xlpm.MacVal&lt;&gt;"",_xlpm.MacVal,_xlpm.CSVVal&lt;&gt;"",PROPER(_xlpm.CSVVal)
)),"")</f>
        <v/>
      </c>
      <c r="H1135" s="40" t="str" cm="1">
        <f t="array" ref="H1135">IFERROR(_xlfn.LET(
_xlpm.CSVVal,_xlfn.XLOOKUP($A1135,CSV!$A:$A,CSV!H:H,""),
_xlpm.MacVal,_xlfn.XLOOKUP($A1135,Output_Mac!$A:$A,Output_Mac!H:H,""),
_xlpm.MyAuditVal,_xlfn.XLOOKUP($A1135,My_Audit!$A:$A,My_Audit!G:G,""),
_xlfn.IFS(_xlpm.MyAuditVal&lt;&gt;"",_xlpm.MyAuditVal,_xlpm.MacVal&lt;&gt;"",_xlpm.MacVal,_xlpm.CSVVal&lt;&gt;"",_xlpm.CSVVal
)),"")</f>
        <v/>
      </c>
      <c r="I1135" s="40" t="str">
        <f>_xlfn.XLOOKUP(A1135,Output_Mac!A:A,Output_Mac!I:I,"")</f>
        <v/>
      </c>
      <c r="J1135" s="40" t="str" cm="1">
        <f t="array" ref="J1135">IFERROR(_xlfn.LET(
_xlpm.CSVVal,_xlfn.XLOOKUP($A1135,CSV!$A:$A,CSV!I:I,""),
_xlpm.MacVal,_xlfn.XLOOKUP($A1135,Output_Mac!$A:$A,Output_Mac!J:J,""),
_xlpm.MyAuditVal,_xlfn.XLOOKUP($A1135,My_Audit!$A:$A,My_Audit!I:I,""),
_xlfn.IFS(_xlpm.MyAuditVal&lt;&gt;"",UPPER(_xlpm.MyAuditVal),_xlpm.MacVal&lt;&gt;"",_xlpm.MacVal,_xlpm.CSVVal&lt;&gt;"",_xlpm.CSVVal
)),"")</f>
        <v/>
      </c>
      <c r="K1135" s="40" t="str" cm="1">
        <f t="array" ref="K1135">IFERROR(_xlfn.LET(
_xlpm.CSVVal,_xlfn.XLOOKUP($A1135,CSV!$A:$A,CSV!K:K,""),
_xlpm.MacVal,_xlfn.XLOOKUP($A1135,Output_Mac!$A:$A,Output_Mac!K:K,""),
_xlpm.MyAuditVal,_xlfn.XLOOKUP($A1135,My_Audit!$A:$A,My_Audit!J:J,""),
_xlfn.IFS(_xlpm.MyAuditVal&lt;&gt;"",UPPER(_xlpm.MyAuditVal),_xlpm.MacVal&lt;&gt;"",_xlpm.MacVal,_xlpm.CSVVal&lt;&gt;"",_xlpm.CSVVal
)),"")</f>
        <v/>
      </c>
      <c r="L1135" s="40" t="str" cm="1">
        <f t="array" ref="L1135">IFERROR(_xlfn.LET(
_xlpm.CSVVal,_xlfn.XLOOKUP($A1135,CSV!$A:$A,CSV!P:P,""),
_xlpm.MacVal,_xlfn.XLOOKUP($A1135,Output_Mac!$A:$A,Output_Mac!L:L,""),
_xlpm.MyAuditVal,_xlfn.XLOOKUP($A1135,My_Audit!$A:$A,My_Audit!K:K,""),
_xlfn.IFS(_xlpm.MyAuditVal&lt;&gt;"",UPPER(_xlpm.MyAuditVal),_xlpm.MacVal&lt;&gt;"",_xlpm.MacVal,_xlpm.CSVVal&lt;&gt;"",_xlpm.CSVVal
)),"")</f>
        <v/>
      </c>
      <c r="M1135" s="40" t="str" cm="1">
        <f t="array" ref="M1135">IFERROR(_xlfn.LET(
_xlpm.CSVVal,_xlfn.XLOOKUP($A1135,CSV!$A:$A,CSV!Q:Q,""),
_xlpm.MacVal,_xlfn.XLOOKUP($A1135,Output_Mac!$A:$A,Output_Mac!M:M,""),
_xlpm.MyAuditVal,_xlfn.XLOOKUP($A1135,My_Audit!$A:$A,My_Audit!L:L,""),
_xlfn.IFS(_xlpm.MyAuditVal&lt;&gt;"",UPPER(_xlpm.MyAuditVal),_xlpm.MacVal&lt;&gt;"",_xlpm.MacVal,_xlpm.CSVVal&lt;&gt;"",_xlpm.CSVVal
)),"")</f>
        <v/>
      </c>
      <c r="N1135" s="40"/>
      <c r="O1135" s="40" t="str">
        <f>_xlfn.LET(
    _xlpm.CSVVal, _xlfn.XLOOKUP($A1135, CSV!$A:$A, CSV!AA:AA, ""),
    _xlpm.MacVal, _xlfn.XLOOKUP($A1135, Output_Mac!$A:$A, Output_Mac!S:S, ""),
    _xlpm.MyAuditVal, _xlfn.XLOOKUP($A1135, My_Audit!$A:$A, My_Audit!P:P, ""),
    _xlfn.TEXTJOIN(", ", TRUE, _xlpm.MyAuditVal, _xlpm.MacVal, _xlpm.CSVVal)
)</f>
        <v/>
      </c>
      <c r="P1135" s="40" t="str" cm="1">
        <f t="array" ref="P1135">IFERROR(_xlfn.LET(
_xlpm.CSVVal,_xlfn.XLOOKUP($A1135,CSV!$A:$A,CSV!AB:AB,""),
_xlpm.MacVal,_xlfn.XLOOKUP($A1135,Output_Mac!$A:$A,Output_Mac!T:T,""),
_xlpm.MyAuditVal,_xlfn.XLOOKUP($A1135,My_Audit!$A:$A,My_Audit!Q:Q,""),
_xlfn.IFS(_xlpm.MyAuditVal&lt;&gt;"",UPPER(_xlpm.MyAuditVal),_xlpm.MacVal&lt;&gt;"",_xlpm.MacVal,_xlpm.CSVVal&lt;&gt;"",_xlpm.CSVVal
)),"No")</f>
        <v>No</v>
      </c>
      <c r="Q1135" s="40" t="str" cm="1">
        <f t="array" ref="Q1135">IFERROR(_xlfn.LET(
_xlpm.CSVVal,_xlfn.XLOOKUP($A1135,CSV!$A:$A,CSV!AC:AC,""),
_xlpm.MacVal,_xlfn.XLOOKUP($A1135,Output_Mac!$A:$A,Output_Mac!U:U,""),
_xlpm.MyAuditVal,_xlfn.XLOOKUP($A1135,My_Audit!$A:$A,My_Audit!R:R,""),
_xlfn.IFS(_xlpm.MyAuditVal&lt;&gt;"",UPPER(_xlpm.MyAuditVal),_xlpm.MacVal&lt;&gt;"",_xlpm.MacVal,_xlpm.CSVVal&lt;&gt;"",_xlpm.CSVVal
)),"")</f>
        <v/>
      </c>
      <c r="R1135" s="40"/>
      <c r="S1135" s="40"/>
      <c r="T1135" s="40"/>
      <c r="U1135" s="40"/>
      <c r="V1135" s="40"/>
      <c r="W1135" s="40"/>
      <c r="X1135" s="41" t="str">
        <f>_xlfn.LET(
    _xlpm.MacVal, _xlfn.XLOOKUP($A1135, Output_Mac!$A:$A, Output_Mac!AB:AB, ""),
    _xlpm.MyAuditVal, _xlfn.XLOOKUP($A1135, My_Audit!$A:$A, My_Audit!N:N, ""),
    _xlfn.TEXTJOIN(", ", TRUE, _xlpm.MyAuditVal, _xlpm.MacVal)
)</f>
        <v/>
      </c>
    </row>
    <row r="1136" spans="1:24">
      <c r="A1136" s="40" t="str">
        <f>_xlfn.TEXTJOIN("",TRUE,Input!$B$2,ROW(My_Audit!A1135))</f>
        <v>X1135</v>
      </c>
      <c r="B1136" s="40" t="str">
        <f>_xlfn.TEXTJOIN("-",TRUE,"ITD",Input!$A$2,A1136)</f>
        <v>ITD-X1135</v>
      </c>
      <c r="C1136" s="40" t="str" cm="1">
        <f t="array" ref="C1136">IFERROR(_xlfn.LET(
_xlpm.CSVVal,_xlfn.XLOOKUP($A1136,CSV!$A:$A,CSV!B:B,""),
_xlpm.MacVal,_xlfn.XLOOKUP($A1136,Output_Mac!$A:$A,Output_Mac!B:B,""),
_xlpm.MyAuditVal,_xlfn.XLOOKUP($A1136,My_Audit!$A:$A,My_Audit!B:B,""),
_xlfn.IFS(_xlpm.MyAuditVal&lt;&gt;"",UPPER(_xlpm.MyAuditVal),_xlpm.MacVal&lt;&gt;"",_xlpm.MacVal,_xlpm.CSVVal&lt;&gt;"",_xlpm.CSVVal
)),"")</f>
        <v/>
      </c>
      <c r="D1136" s="40" t="str" cm="1">
        <f t="array" ref="D1136">IFERROR(_xlfn.LET(
_xlpm.CSVVal,_xlfn.XLOOKUP($A1136,CSV!$A:$A,CSV!D:D,""),
_xlpm.MacVal,_xlfn.XLOOKUP($A1136,Output_Mac!$A:$A,Output_Mac!C:C,""),
_xlpm.MyAuditVal,_xlfn.XLOOKUP($A1136,My_Audit!$A:$A,My_Audit!C:C,""),
_xlfn.IFS(_xlpm.MyAuditVal&lt;&gt;"",_xlpm.MyAuditVal,_xlpm.MacVal&lt;&gt;"",_xlpm.MacVal,_xlpm.CSVVal&lt;&gt;"",_xlpm.CSVVal
)),"")</f>
        <v/>
      </c>
      <c r="E1136" s="40" t="str">
        <f>_xlfn.XLOOKUP(A1136,My_Audit!A:A,My_Audit!D:D,"")</f>
        <v/>
      </c>
      <c r="F1136" s="40" t="str" cm="1">
        <f t="array" ref="F1136">IFERROR(_xlfn.LET(
_xlpm.CSVVal,_xlfn.XLOOKUP($A1136,CSV!$A:$A,CSV!F:F,""),
_xlpm.MacVal,_xlfn.XLOOKUP($A1136,Output_Mac!$A:$A,Output_Mac!E:E,""),
_xlpm.MyAuditVal,_xlfn.XLOOKUP($A1136,My_Audit!$A:$A,My_Audit!E:E,""),
_xlfn.IFS(_xlpm.MyAuditVal&lt;&gt;"",_xlpm.MyAuditVal,_xlpm.MacVal&lt;&gt;"",_xlpm.MacVal,_xlpm.CSVVal&lt;&gt;"",_xlpm.CSVVal
)),"")</f>
        <v/>
      </c>
      <c r="G1136" s="40" t="str" cm="1">
        <f t="array" ref="G1136">IFERROR(_xlfn.LET(
_xlpm.CSVVal,_xlfn.XLOOKUP($A1136,CSV!$A:$A,CSV!G:G,""),
_xlpm.MacVal,_xlfn.XLOOKUP($A1136,Output_Mac!$A:$A,Output_Mac!F:F,""),
_xlpm.MyAuditVal,_xlfn.XLOOKUP($A1136,My_Audit!$A:$A,My_Audit!F:F,""),
_xlfn.IFS(_xlpm.MyAuditVal&lt;&gt;"",_xlpm.MyAuditVal,_xlpm.MacVal&lt;&gt;"",_xlpm.MacVal,_xlpm.CSVVal&lt;&gt;"",PROPER(_xlpm.CSVVal)
)),"")</f>
        <v/>
      </c>
      <c r="H1136" s="40" t="str" cm="1">
        <f t="array" ref="H1136">IFERROR(_xlfn.LET(
_xlpm.CSVVal,_xlfn.XLOOKUP($A1136,CSV!$A:$A,CSV!H:H,""),
_xlpm.MacVal,_xlfn.XLOOKUP($A1136,Output_Mac!$A:$A,Output_Mac!H:H,""),
_xlpm.MyAuditVal,_xlfn.XLOOKUP($A1136,My_Audit!$A:$A,My_Audit!G:G,""),
_xlfn.IFS(_xlpm.MyAuditVal&lt;&gt;"",_xlpm.MyAuditVal,_xlpm.MacVal&lt;&gt;"",_xlpm.MacVal,_xlpm.CSVVal&lt;&gt;"",_xlpm.CSVVal
)),"")</f>
        <v/>
      </c>
      <c r="I1136" s="40" t="str">
        <f>_xlfn.XLOOKUP(A1136,Output_Mac!A:A,Output_Mac!I:I,"")</f>
        <v/>
      </c>
      <c r="J1136" s="40" t="str" cm="1">
        <f t="array" ref="J1136">IFERROR(_xlfn.LET(
_xlpm.CSVVal,_xlfn.XLOOKUP($A1136,CSV!$A:$A,CSV!I:I,""),
_xlpm.MacVal,_xlfn.XLOOKUP($A1136,Output_Mac!$A:$A,Output_Mac!J:J,""),
_xlpm.MyAuditVal,_xlfn.XLOOKUP($A1136,My_Audit!$A:$A,My_Audit!I:I,""),
_xlfn.IFS(_xlpm.MyAuditVal&lt;&gt;"",UPPER(_xlpm.MyAuditVal),_xlpm.MacVal&lt;&gt;"",_xlpm.MacVal,_xlpm.CSVVal&lt;&gt;"",_xlpm.CSVVal
)),"")</f>
        <v/>
      </c>
      <c r="K1136" s="40" t="str" cm="1">
        <f t="array" ref="K1136">IFERROR(_xlfn.LET(
_xlpm.CSVVal,_xlfn.XLOOKUP($A1136,CSV!$A:$A,CSV!K:K,""),
_xlpm.MacVal,_xlfn.XLOOKUP($A1136,Output_Mac!$A:$A,Output_Mac!K:K,""),
_xlpm.MyAuditVal,_xlfn.XLOOKUP($A1136,My_Audit!$A:$A,My_Audit!J:J,""),
_xlfn.IFS(_xlpm.MyAuditVal&lt;&gt;"",UPPER(_xlpm.MyAuditVal),_xlpm.MacVal&lt;&gt;"",_xlpm.MacVal,_xlpm.CSVVal&lt;&gt;"",_xlpm.CSVVal
)),"")</f>
        <v/>
      </c>
      <c r="L1136" s="40" t="str" cm="1">
        <f t="array" ref="L1136">IFERROR(_xlfn.LET(
_xlpm.CSVVal,_xlfn.XLOOKUP($A1136,CSV!$A:$A,CSV!P:P,""),
_xlpm.MacVal,_xlfn.XLOOKUP($A1136,Output_Mac!$A:$A,Output_Mac!L:L,""),
_xlpm.MyAuditVal,_xlfn.XLOOKUP($A1136,My_Audit!$A:$A,My_Audit!K:K,""),
_xlfn.IFS(_xlpm.MyAuditVal&lt;&gt;"",UPPER(_xlpm.MyAuditVal),_xlpm.MacVal&lt;&gt;"",_xlpm.MacVal,_xlpm.CSVVal&lt;&gt;"",_xlpm.CSVVal
)),"")</f>
        <v/>
      </c>
      <c r="M1136" s="40" t="str" cm="1">
        <f t="array" ref="M1136">IFERROR(_xlfn.LET(
_xlpm.CSVVal,_xlfn.XLOOKUP($A1136,CSV!$A:$A,CSV!Q:Q,""),
_xlpm.MacVal,_xlfn.XLOOKUP($A1136,Output_Mac!$A:$A,Output_Mac!M:M,""),
_xlpm.MyAuditVal,_xlfn.XLOOKUP($A1136,My_Audit!$A:$A,My_Audit!L:L,""),
_xlfn.IFS(_xlpm.MyAuditVal&lt;&gt;"",UPPER(_xlpm.MyAuditVal),_xlpm.MacVal&lt;&gt;"",_xlpm.MacVal,_xlpm.CSVVal&lt;&gt;"",_xlpm.CSVVal
)),"")</f>
        <v/>
      </c>
      <c r="N1136" s="40"/>
      <c r="O1136" s="40" t="str">
        <f>_xlfn.LET(
    _xlpm.CSVVal, _xlfn.XLOOKUP($A1136, CSV!$A:$A, CSV!AA:AA, ""),
    _xlpm.MacVal, _xlfn.XLOOKUP($A1136, Output_Mac!$A:$A, Output_Mac!S:S, ""),
    _xlpm.MyAuditVal, _xlfn.XLOOKUP($A1136, My_Audit!$A:$A, My_Audit!P:P, ""),
    _xlfn.TEXTJOIN(", ", TRUE, _xlpm.MyAuditVal, _xlpm.MacVal, _xlpm.CSVVal)
)</f>
        <v/>
      </c>
      <c r="P1136" s="40" t="str" cm="1">
        <f t="array" ref="P1136">IFERROR(_xlfn.LET(
_xlpm.CSVVal,_xlfn.XLOOKUP($A1136,CSV!$A:$A,CSV!AB:AB,""),
_xlpm.MacVal,_xlfn.XLOOKUP($A1136,Output_Mac!$A:$A,Output_Mac!T:T,""),
_xlpm.MyAuditVal,_xlfn.XLOOKUP($A1136,My_Audit!$A:$A,My_Audit!Q:Q,""),
_xlfn.IFS(_xlpm.MyAuditVal&lt;&gt;"",UPPER(_xlpm.MyAuditVal),_xlpm.MacVal&lt;&gt;"",_xlpm.MacVal,_xlpm.CSVVal&lt;&gt;"",_xlpm.CSVVal
)),"No")</f>
        <v>No</v>
      </c>
      <c r="Q1136" s="40" t="str" cm="1">
        <f t="array" ref="Q1136">IFERROR(_xlfn.LET(
_xlpm.CSVVal,_xlfn.XLOOKUP($A1136,CSV!$A:$A,CSV!AC:AC,""),
_xlpm.MacVal,_xlfn.XLOOKUP($A1136,Output_Mac!$A:$A,Output_Mac!U:U,""),
_xlpm.MyAuditVal,_xlfn.XLOOKUP($A1136,My_Audit!$A:$A,My_Audit!R:R,""),
_xlfn.IFS(_xlpm.MyAuditVal&lt;&gt;"",UPPER(_xlpm.MyAuditVal),_xlpm.MacVal&lt;&gt;"",_xlpm.MacVal,_xlpm.CSVVal&lt;&gt;"",_xlpm.CSVVal
)),"")</f>
        <v/>
      </c>
      <c r="R1136" s="40"/>
      <c r="S1136" s="40"/>
      <c r="T1136" s="40"/>
      <c r="U1136" s="40"/>
      <c r="V1136" s="40"/>
      <c r="W1136" s="40"/>
      <c r="X1136" s="41" t="str">
        <f>_xlfn.LET(
    _xlpm.MacVal, _xlfn.XLOOKUP($A1136, Output_Mac!$A:$A, Output_Mac!AB:AB, ""),
    _xlpm.MyAuditVal, _xlfn.XLOOKUP($A1136, My_Audit!$A:$A, My_Audit!N:N, ""),
    _xlfn.TEXTJOIN(", ", TRUE, _xlpm.MyAuditVal, _xlpm.MacVal)
)</f>
        <v/>
      </c>
    </row>
    <row r="1137" spans="1:24">
      <c r="A1137" s="40" t="str">
        <f>_xlfn.TEXTJOIN("",TRUE,Input!$B$2,ROW(My_Audit!A1136))</f>
        <v>X1136</v>
      </c>
      <c r="B1137" s="40" t="str">
        <f>_xlfn.TEXTJOIN("-",TRUE,"ITD",Input!$A$2,A1137)</f>
        <v>ITD-X1136</v>
      </c>
      <c r="C1137" s="40" t="str" cm="1">
        <f t="array" ref="C1137">IFERROR(_xlfn.LET(
_xlpm.CSVVal,_xlfn.XLOOKUP($A1137,CSV!$A:$A,CSV!B:B,""),
_xlpm.MacVal,_xlfn.XLOOKUP($A1137,Output_Mac!$A:$A,Output_Mac!B:B,""),
_xlpm.MyAuditVal,_xlfn.XLOOKUP($A1137,My_Audit!$A:$A,My_Audit!B:B,""),
_xlfn.IFS(_xlpm.MyAuditVal&lt;&gt;"",UPPER(_xlpm.MyAuditVal),_xlpm.MacVal&lt;&gt;"",_xlpm.MacVal,_xlpm.CSVVal&lt;&gt;"",_xlpm.CSVVal
)),"")</f>
        <v/>
      </c>
      <c r="D1137" s="40" t="str" cm="1">
        <f t="array" ref="D1137">IFERROR(_xlfn.LET(
_xlpm.CSVVal,_xlfn.XLOOKUP($A1137,CSV!$A:$A,CSV!D:D,""),
_xlpm.MacVal,_xlfn.XLOOKUP($A1137,Output_Mac!$A:$A,Output_Mac!C:C,""),
_xlpm.MyAuditVal,_xlfn.XLOOKUP($A1137,My_Audit!$A:$A,My_Audit!C:C,""),
_xlfn.IFS(_xlpm.MyAuditVal&lt;&gt;"",_xlpm.MyAuditVal,_xlpm.MacVal&lt;&gt;"",_xlpm.MacVal,_xlpm.CSVVal&lt;&gt;"",_xlpm.CSVVal
)),"")</f>
        <v/>
      </c>
      <c r="E1137" s="40" t="str">
        <f>_xlfn.XLOOKUP(A1137,My_Audit!A:A,My_Audit!D:D,"")</f>
        <v/>
      </c>
      <c r="F1137" s="40" t="str" cm="1">
        <f t="array" ref="F1137">IFERROR(_xlfn.LET(
_xlpm.CSVVal,_xlfn.XLOOKUP($A1137,CSV!$A:$A,CSV!F:F,""),
_xlpm.MacVal,_xlfn.XLOOKUP($A1137,Output_Mac!$A:$A,Output_Mac!E:E,""),
_xlpm.MyAuditVal,_xlfn.XLOOKUP($A1137,My_Audit!$A:$A,My_Audit!E:E,""),
_xlfn.IFS(_xlpm.MyAuditVal&lt;&gt;"",_xlpm.MyAuditVal,_xlpm.MacVal&lt;&gt;"",_xlpm.MacVal,_xlpm.CSVVal&lt;&gt;"",_xlpm.CSVVal
)),"")</f>
        <v/>
      </c>
      <c r="G1137" s="40" t="str" cm="1">
        <f t="array" ref="G1137">IFERROR(_xlfn.LET(
_xlpm.CSVVal,_xlfn.XLOOKUP($A1137,CSV!$A:$A,CSV!G:G,""),
_xlpm.MacVal,_xlfn.XLOOKUP($A1137,Output_Mac!$A:$A,Output_Mac!F:F,""),
_xlpm.MyAuditVal,_xlfn.XLOOKUP($A1137,My_Audit!$A:$A,My_Audit!F:F,""),
_xlfn.IFS(_xlpm.MyAuditVal&lt;&gt;"",_xlpm.MyAuditVal,_xlpm.MacVal&lt;&gt;"",_xlpm.MacVal,_xlpm.CSVVal&lt;&gt;"",PROPER(_xlpm.CSVVal)
)),"")</f>
        <v/>
      </c>
      <c r="H1137" s="40" t="str" cm="1">
        <f t="array" ref="H1137">IFERROR(_xlfn.LET(
_xlpm.CSVVal,_xlfn.XLOOKUP($A1137,CSV!$A:$A,CSV!H:H,""),
_xlpm.MacVal,_xlfn.XLOOKUP($A1137,Output_Mac!$A:$A,Output_Mac!H:H,""),
_xlpm.MyAuditVal,_xlfn.XLOOKUP($A1137,My_Audit!$A:$A,My_Audit!G:G,""),
_xlfn.IFS(_xlpm.MyAuditVal&lt;&gt;"",_xlpm.MyAuditVal,_xlpm.MacVal&lt;&gt;"",_xlpm.MacVal,_xlpm.CSVVal&lt;&gt;"",_xlpm.CSVVal
)),"")</f>
        <v/>
      </c>
      <c r="I1137" s="40" t="str">
        <f>_xlfn.XLOOKUP(A1137,Output_Mac!A:A,Output_Mac!I:I,"")</f>
        <v/>
      </c>
      <c r="J1137" s="40" t="str" cm="1">
        <f t="array" ref="J1137">IFERROR(_xlfn.LET(
_xlpm.CSVVal,_xlfn.XLOOKUP($A1137,CSV!$A:$A,CSV!I:I,""),
_xlpm.MacVal,_xlfn.XLOOKUP($A1137,Output_Mac!$A:$A,Output_Mac!J:J,""),
_xlpm.MyAuditVal,_xlfn.XLOOKUP($A1137,My_Audit!$A:$A,My_Audit!I:I,""),
_xlfn.IFS(_xlpm.MyAuditVal&lt;&gt;"",UPPER(_xlpm.MyAuditVal),_xlpm.MacVal&lt;&gt;"",_xlpm.MacVal,_xlpm.CSVVal&lt;&gt;"",_xlpm.CSVVal
)),"")</f>
        <v/>
      </c>
      <c r="K1137" s="40" t="str" cm="1">
        <f t="array" ref="K1137">IFERROR(_xlfn.LET(
_xlpm.CSVVal,_xlfn.XLOOKUP($A1137,CSV!$A:$A,CSV!K:K,""),
_xlpm.MacVal,_xlfn.XLOOKUP($A1137,Output_Mac!$A:$A,Output_Mac!K:K,""),
_xlpm.MyAuditVal,_xlfn.XLOOKUP($A1137,My_Audit!$A:$A,My_Audit!J:J,""),
_xlfn.IFS(_xlpm.MyAuditVal&lt;&gt;"",UPPER(_xlpm.MyAuditVal),_xlpm.MacVal&lt;&gt;"",_xlpm.MacVal,_xlpm.CSVVal&lt;&gt;"",_xlpm.CSVVal
)),"")</f>
        <v/>
      </c>
      <c r="L1137" s="40" t="str" cm="1">
        <f t="array" ref="L1137">IFERROR(_xlfn.LET(
_xlpm.CSVVal,_xlfn.XLOOKUP($A1137,CSV!$A:$A,CSV!P:P,""),
_xlpm.MacVal,_xlfn.XLOOKUP($A1137,Output_Mac!$A:$A,Output_Mac!L:L,""),
_xlpm.MyAuditVal,_xlfn.XLOOKUP($A1137,My_Audit!$A:$A,My_Audit!K:K,""),
_xlfn.IFS(_xlpm.MyAuditVal&lt;&gt;"",UPPER(_xlpm.MyAuditVal),_xlpm.MacVal&lt;&gt;"",_xlpm.MacVal,_xlpm.CSVVal&lt;&gt;"",_xlpm.CSVVal
)),"")</f>
        <v/>
      </c>
      <c r="M1137" s="40" t="str" cm="1">
        <f t="array" ref="M1137">IFERROR(_xlfn.LET(
_xlpm.CSVVal,_xlfn.XLOOKUP($A1137,CSV!$A:$A,CSV!Q:Q,""),
_xlpm.MacVal,_xlfn.XLOOKUP($A1137,Output_Mac!$A:$A,Output_Mac!M:M,""),
_xlpm.MyAuditVal,_xlfn.XLOOKUP($A1137,My_Audit!$A:$A,My_Audit!L:L,""),
_xlfn.IFS(_xlpm.MyAuditVal&lt;&gt;"",UPPER(_xlpm.MyAuditVal),_xlpm.MacVal&lt;&gt;"",_xlpm.MacVal,_xlpm.CSVVal&lt;&gt;"",_xlpm.CSVVal
)),"")</f>
        <v/>
      </c>
      <c r="N1137" s="40"/>
      <c r="O1137" s="40" t="str">
        <f>_xlfn.LET(
    _xlpm.CSVVal, _xlfn.XLOOKUP($A1137, CSV!$A:$A, CSV!AA:AA, ""),
    _xlpm.MacVal, _xlfn.XLOOKUP($A1137, Output_Mac!$A:$A, Output_Mac!S:S, ""),
    _xlpm.MyAuditVal, _xlfn.XLOOKUP($A1137, My_Audit!$A:$A, My_Audit!P:P, ""),
    _xlfn.TEXTJOIN(", ", TRUE, _xlpm.MyAuditVal, _xlpm.MacVal, _xlpm.CSVVal)
)</f>
        <v/>
      </c>
      <c r="P1137" s="40" t="str" cm="1">
        <f t="array" ref="P1137">IFERROR(_xlfn.LET(
_xlpm.CSVVal,_xlfn.XLOOKUP($A1137,CSV!$A:$A,CSV!AB:AB,""),
_xlpm.MacVal,_xlfn.XLOOKUP($A1137,Output_Mac!$A:$A,Output_Mac!T:T,""),
_xlpm.MyAuditVal,_xlfn.XLOOKUP($A1137,My_Audit!$A:$A,My_Audit!Q:Q,""),
_xlfn.IFS(_xlpm.MyAuditVal&lt;&gt;"",UPPER(_xlpm.MyAuditVal),_xlpm.MacVal&lt;&gt;"",_xlpm.MacVal,_xlpm.CSVVal&lt;&gt;"",_xlpm.CSVVal
)),"No")</f>
        <v>No</v>
      </c>
      <c r="Q1137" s="40" t="str" cm="1">
        <f t="array" ref="Q1137">IFERROR(_xlfn.LET(
_xlpm.CSVVal,_xlfn.XLOOKUP($A1137,CSV!$A:$A,CSV!AC:AC,""),
_xlpm.MacVal,_xlfn.XLOOKUP($A1137,Output_Mac!$A:$A,Output_Mac!U:U,""),
_xlpm.MyAuditVal,_xlfn.XLOOKUP($A1137,My_Audit!$A:$A,My_Audit!R:R,""),
_xlfn.IFS(_xlpm.MyAuditVal&lt;&gt;"",UPPER(_xlpm.MyAuditVal),_xlpm.MacVal&lt;&gt;"",_xlpm.MacVal,_xlpm.CSVVal&lt;&gt;"",_xlpm.CSVVal
)),"")</f>
        <v/>
      </c>
      <c r="R1137" s="40"/>
      <c r="S1137" s="40"/>
      <c r="T1137" s="40"/>
      <c r="U1137" s="40"/>
      <c r="V1137" s="40"/>
      <c r="W1137" s="40"/>
      <c r="X1137" s="41" t="str">
        <f>_xlfn.LET(
    _xlpm.MacVal, _xlfn.XLOOKUP($A1137, Output_Mac!$A:$A, Output_Mac!AB:AB, ""),
    _xlpm.MyAuditVal, _xlfn.XLOOKUP($A1137, My_Audit!$A:$A, My_Audit!N:N, ""),
    _xlfn.TEXTJOIN(", ", TRUE, _xlpm.MyAuditVal, _xlpm.MacVal)
)</f>
        <v/>
      </c>
    </row>
    <row r="1138" spans="1:24">
      <c r="A1138" s="40" t="str">
        <f>_xlfn.TEXTJOIN("",TRUE,Input!$B$2,ROW(My_Audit!A1137))</f>
        <v>X1137</v>
      </c>
      <c r="B1138" s="40" t="str">
        <f>_xlfn.TEXTJOIN("-",TRUE,"ITD",Input!$A$2,A1138)</f>
        <v>ITD-X1137</v>
      </c>
      <c r="C1138" s="40" t="str" cm="1">
        <f t="array" ref="C1138">IFERROR(_xlfn.LET(
_xlpm.CSVVal,_xlfn.XLOOKUP($A1138,CSV!$A:$A,CSV!B:B,""),
_xlpm.MacVal,_xlfn.XLOOKUP($A1138,Output_Mac!$A:$A,Output_Mac!B:B,""),
_xlpm.MyAuditVal,_xlfn.XLOOKUP($A1138,My_Audit!$A:$A,My_Audit!B:B,""),
_xlfn.IFS(_xlpm.MyAuditVal&lt;&gt;"",UPPER(_xlpm.MyAuditVal),_xlpm.MacVal&lt;&gt;"",_xlpm.MacVal,_xlpm.CSVVal&lt;&gt;"",_xlpm.CSVVal
)),"")</f>
        <v/>
      </c>
      <c r="D1138" s="40" t="str" cm="1">
        <f t="array" ref="D1138">IFERROR(_xlfn.LET(
_xlpm.CSVVal,_xlfn.XLOOKUP($A1138,CSV!$A:$A,CSV!D:D,""),
_xlpm.MacVal,_xlfn.XLOOKUP($A1138,Output_Mac!$A:$A,Output_Mac!C:C,""),
_xlpm.MyAuditVal,_xlfn.XLOOKUP($A1138,My_Audit!$A:$A,My_Audit!C:C,""),
_xlfn.IFS(_xlpm.MyAuditVal&lt;&gt;"",_xlpm.MyAuditVal,_xlpm.MacVal&lt;&gt;"",_xlpm.MacVal,_xlpm.CSVVal&lt;&gt;"",_xlpm.CSVVal
)),"")</f>
        <v/>
      </c>
      <c r="E1138" s="40" t="str">
        <f>_xlfn.XLOOKUP(A1138,My_Audit!A:A,My_Audit!D:D,"")</f>
        <v/>
      </c>
      <c r="F1138" s="40" t="str" cm="1">
        <f t="array" ref="F1138">IFERROR(_xlfn.LET(
_xlpm.CSVVal,_xlfn.XLOOKUP($A1138,CSV!$A:$A,CSV!F:F,""),
_xlpm.MacVal,_xlfn.XLOOKUP($A1138,Output_Mac!$A:$A,Output_Mac!E:E,""),
_xlpm.MyAuditVal,_xlfn.XLOOKUP($A1138,My_Audit!$A:$A,My_Audit!E:E,""),
_xlfn.IFS(_xlpm.MyAuditVal&lt;&gt;"",_xlpm.MyAuditVal,_xlpm.MacVal&lt;&gt;"",_xlpm.MacVal,_xlpm.CSVVal&lt;&gt;"",_xlpm.CSVVal
)),"")</f>
        <v/>
      </c>
      <c r="G1138" s="40" t="str" cm="1">
        <f t="array" ref="G1138">IFERROR(_xlfn.LET(
_xlpm.CSVVal,_xlfn.XLOOKUP($A1138,CSV!$A:$A,CSV!G:G,""),
_xlpm.MacVal,_xlfn.XLOOKUP($A1138,Output_Mac!$A:$A,Output_Mac!F:F,""),
_xlpm.MyAuditVal,_xlfn.XLOOKUP($A1138,My_Audit!$A:$A,My_Audit!F:F,""),
_xlfn.IFS(_xlpm.MyAuditVal&lt;&gt;"",_xlpm.MyAuditVal,_xlpm.MacVal&lt;&gt;"",_xlpm.MacVal,_xlpm.CSVVal&lt;&gt;"",PROPER(_xlpm.CSVVal)
)),"")</f>
        <v/>
      </c>
      <c r="H1138" s="40" t="str" cm="1">
        <f t="array" ref="H1138">IFERROR(_xlfn.LET(
_xlpm.CSVVal,_xlfn.XLOOKUP($A1138,CSV!$A:$A,CSV!H:H,""),
_xlpm.MacVal,_xlfn.XLOOKUP($A1138,Output_Mac!$A:$A,Output_Mac!H:H,""),
_xlpm.MyAuditVal,_xlfn.XLOOKUP($A1138,My_Audit!$A:$A,My_Audit!G:G,""),
_xlfn.IFS(_xlpm.MyAuditVal&lt;&gt;"",_xlpm.MyAuditVal,_xlpm.MacVal&lt;&gt;"",_xlpm.MacVal,_xlpm.CSVVal&lt;&gt;"",_xlpm.CSVVal
)),"")</f>
        <v/>
      </c>
      <c r="I1138" s="40" t="str">
        <f>_xlfn.XLOOKUP(A1138,Output_Mac!A:A,Output_Mac!I:I,"")</f>
        <v/>
      </c>
      <c r="J1138" s="40" t="str" cm="1">
        <f t="array" ref="J1138">IFERROR(_xlfn.LET(
_xlpm.CSVVal,_xlfn.XLOOKUP($A1138,CSV!$A:$A,CSV!I:I,""),
_xlpm.MacVal,_xlfn.XLOOKUP($A1138,Output_Mac!$A:$A,Output_Mac!J:J,""),
_xlpm.MyAuditVal,_xlfn.XLOOKUP($A1138,My_Audit!$A:$A,My_Audit!I:I,""),
_xlfn.IFS(_xlpm.MyAuditVal&lt;&gt;"",UPPER(_xlpm.MyAuditVal),_xlpm.MacVal&lt;&gt;"",_xlpm.MacVal,_xlpm.CSVVal&lt;&gt;"",_xlpm.CSVVal
)),"")</f>
        <v/>
      </c>
      <c r="K1138" s="40" t="str" cm="1">
        <f t="array" ref="K1138">IFERROR(_xlfn.LET(
_xlpm.CSVVal,_xlfn.XLOOKUP($A1138,CSV!$A:$A,CSV!K:K,""),
_xlpm.MacVal,_xlfn.XLOOKUP($A1138,Output_Mac!$A:$A,Output_Mac!K:K,""),
_xlpm.MyAuditVal,_xlfn.XLOOKUP($A1138,My_Audit!$A:$A,My_Audit!J:J,""),
_xlfn.IFS(_xlpm.MyAuditVal&lt;&gt;"",UPPER(_xlpm.MyAuditVal),_xlpm.MacVal&lt;&gt;"",_xlpm.MacVal,_xlpm.CSVVal&lt;&gt;"",_xlpm.CSVVal
)),"")</f>
        <v/>
      </c>
      <c r="L1138" s="40" t="str" cm="1">
        <f t="array" ref="L1138">IFERROR(_xlfn.LET(
_xlpm.CSVVal,_xlfn.XLOOKUP($A1138,CSV!$A:$A,CSV!P:P,""),
_xlpm.MacVal,_xlfn.XLOOKUP($A1138,Output_Mac!$A:$A,Output_Mac!L:L,""),
_xlpm.MyAuditVal,_xlfn.XLOOKUP($A1138,My_Audit!$A:$A,My_Audit!K:K,""),
_xlfn.IFS(_xlpm.MyAuditVal&lt;&gt;"",UPPER(_xlpm.MyAuditVal),_xlpm.MacVal&lt;&gt;"",_xlpm.MacVal,_xlpm.CSVVal&lt;&gt;"",_xlpm.CSVVal
)),"")</f>
        <v/>
      </c>
      <c r="M1138" s="40" t="str" cm="1">
        <f t="array" ref="M1138">IFERROR(_xlfn.LET(
_xlpm.CSVVal,_xlfn.XLOOKUP($A1138,CSV!$A:$A,CSV!Q:Q,""),
_xlpm.MacVal,_xlfn.XLOOKUP($A1138,Output_Mac!$A:$A,Output_Mac!M:M,""),
_xlpm.MyAuditVal,_xlfn.XLOOKUP($A1138,My_Audit!$A:$A,My_Audit!L:L,""),
_xlfn.IFS(_xlpm.MyAuditVal&lt;&gt;"",UPPER(_xlpm.MyAuditVal),_xlpm.MacVal&lt;&gt;"",_xlpm.MacVal,_xlpm.CSVVal&lt;&gt;"",_xlpm.CSVVal
)),"")</f>
        <v/>
      </c>
      <c r="N1138" s="40"/>
      <c r="O1138" s="40" t="str">
        <f>_xlfn.LET(
    _xlpm.CSVVal, _xlfn.XLOOKUP($A1138, CSV!$A:$A, CSV!AA:AA, ""),
    _xlpm.MacVal, _xlfn.XLOOKUP($A1138, Output_Mac!$A:$A, Output_Mac!S:S, ""),
    _xlpm.MyAuditVal, _xlfn.XLOOKUP($A1138, My_Audit!$A:$A, My_Audit!P:P, ""),
    _xlfn.TEXTJOIN(", ", TRUE, _xlpm.MyAuditVal, _xlpm.MacVal, _xlpm.CSVVal)
)</f>
        <v/>
      </c>
      <c r="P1138" s="40" t="str" cm="1">
        <f t="array" ref="P1138">IFERROR(_xlfn.LET(
_xlpm.CSVVal,_xlfn.XLOOKUP($A1138,CSV!$A:$A,CSV!AB:AB,""),
_xlpm.MacVal,_xlfn.XLOOKUP($A1138,Output_Mac!$A:$A,Output_Mac!T:T,""),
_xlpm.MyAuditVal,_xlfn.XLOOKUP($A1138,My_Audit!$A:$A,My_Audit!Q:Q,""),
_xlfn.IFS(_xlpm.MyAuditVal&lt;&gt;"",UPPER(_xlpm.MyAuditVal),_xlpm.MacVal&lt;&gt;"",_xlpm.MacVal,_xlpm.CSVVal&lt;&gt;"",_xlpm.CSVVal
)),"No")</f>
        <v>No</v>
      </c>
      <c r="Q1138" s="40" t="str" cm="1">
        <f t="array" ref="Q1138">IFERROR(_xlfn.LET(
_xlpm.CSVVal,_xlfn.XLOOKUP($A1138,CSV!$A:$A,CSV!AC:AC,""),
_xlpm.MacVal,_xlfn.XLOOKUP($A1138,Output_Mac!$A:$A,Output_Mac!U:U,""),
_xlpm.MyAuditVal,_xlfn.XLOOKUP($A1138,My_Audit!$A:$A,My_Audit!R:R,""),
_xlfn.IFS(_xlpm.MyAuditVal&lt;&gt;"",UPPER(_xlpm.MyAuditVal),_xlpm.MacVal&lt;&gt;"",_xlpm.MacVal,_xlpm.CSVVal&lt;&gt;"",_xlpm.CSVVal
)),"")</f>
        <v/>
      </c>
      <c r="R1138" s="40"/>
      <c r="S1138" s="40"/>
      <c r="T1138" s="40"/>
      <c r="U1138" s="40"/>
      <c r="V1138" s="40"/>
      <c r="W1138" s="40"/>
      <c r="X1138" s="41" t="str">
        <f>_xlfn.LET(
    _xlpm.MacVal, _xlfn.XLOOKUP($A1138, Output_Mac!$A:$A, Output_Mac!AB:AB, ""),
    _xlpm.MyAuditVal, _xlfn.XLOOKUP($A1138, My_Audit!$A:$A, My_Audit!N:N, ""),
    _xlfn.TEXTJOIN(", ", TRUE, _xlpm.MyAuditVal, _xlpm.MacVal)
)</f>
        <v/>
      </c>
    </row>
    <row r="1139" spans="1:24">
      <c r="A1139" s="40" t="str">
        <f>_xlfn.TEXTJOIN("",TRUE,Input!$B$2,ROW(My_Audit!A1138))</f>
        <v>X1138</v>
      </c>
      <c r="B1139" s="40" t="str">
        <f>_xlfn.TEXTJOIN("-",TRUE,"ITD",Input!$A$2,A1139)</f>
        <v>ITD-X1138</v>
      </c>
      <c r="C1139" s="40" t="str" cm="1">
        <f t="array" ref="C1139">IFERROR(_xlfn.LET(
_xlpm.CSVVal,_xlfn.XLOOKUP($A1139,CSV!$A:$A,CSV!B:B,""),
_xlpm.MacVal,_xlfn.XLOOKUP($A1139,Output_Mac!$A:$A,Output_Mac!B:B,""),
_xlpm.MyAuditVal,_xlfn.XLOOKUP($A1139,My_Audit!$A:$A,My_Audit!B:B,""),
_xlfn.IFS(_xlpm.MyAuditVal&lt;&gt;"",UPPER(_xlpm.MyAuditVal),_xlpm.MacVal&lt;&gt;"",_xlpm.MacVal,_xlpm.CSVVal&lt;&gt;"",_xlpm.CSVVal
)),"")</f>
        <v/>
      </c>
      <c r="D1139" s="40" t="str" cm="1">
        <f t="array" ref="D1139">IFERROR(_xlfn.LET(
_xlpm.CSVVal,_xlfn.XLOOKUP($A1139,CSV!$A:$A,CSV!D:D,""),
_xlpm.MacVal,_xlfn.XLOOKUP($A1139,Output_Mac!$A:$A,Output_Mac!C:C,""),
_xlpm.MyAuditVal,_xlfn.XLOOKUP($A1139,My_Audit!$A:$A,My_Audit!C:C,""),
_xlfn.IFS(_xlpm.MyAuditVal&lt;&gt;"",_xlpm.MyAuditVal,_xlpm.MacVal&lt;&gt;"",_xlpm.MacVal,_xlpm.CSVVal&lt;&gt;"",_xlpm.CSVVal
)),"")</f>
        <v/>
      </c>
      <c r="E1139" s="40" t="str">
        <f>_xlfn.XLOOKUP(A1139,My_Audit!A:A,My_Audit!D:D,"")</f>
        <v/>
      </c>
      <c r="F1139" s="40" t="str" cm="1">
        <f t="array" ref="F1139">IFERROR(_xlfn.LET(
_xlpm.CSVVal,_xlfn.XLOOKUP($A1139,CSV!$A:$A,CSV!F:F,""),
_xlpm.MacVal,_xlfn.XLOOKUP($A1139,Output_Mac!$A:$A,Output_Mac!E:E,""),
_xlpm.MyAuditVal,_xlfn.XLOOKUP($A1139,My_Audit!$A:$A,My_Audit!E:E,""),
_xlfn.IFS(_xlpm.MyAuditVal&lt;&gt;"",_xlpm.MyAuditVal,_xlpm.MacVal&lt;&gt;"",_xlpm.MacVal,_xlpm.CSVVal&lt;&gt;"",_xlpm.CSVVal
)),"")</f>
        <v/>
      </c>
      <c r="G1139" s="40" t="str" cm="1">
        <f t="array" ref="G1139">IFERROR(_xlfn.LET(
_xlpm.CSVVal,_xlfn.XLOOKUP($A1139,CSV!$A:$A,CSV!G:G,""),
_xlpm.MacVal,_xlfn.XLOOKUP($A1139,Output_Mac!$A:$A,Output_Mac!F:F,""),
_xlpm.MyAuditVal,_xlfn.XLOOKUP($A1139,My_Audit!$A:$A,My_Audit!F:F,""),
_xlfn.IFS(_xlpm.MyAuditVal&lt;&gt;"",_xlpm.MyAuditVal,_xlpm.MacVal&lt;&gt;"",_xlpm.MacVal,_xlpm.CSVVal&lt;&gt;"",PROPER(_xlpm.CSVVal)
)),"")</f>
        <v/>
      </c>
      <c r="H1139" s="40" t="str" cm="1">
        <f t="array" ref="H1139">IFERROR(_xlfn.LET(
_xlpm.CSVVal,_xlfn.XLOOKUP($A1139,CSV!$A:$A,CSV!H:H,""),
_xlpm.MacVal,_xlfn.XLOOKUP($A1139,Output_Mac!$A:$A,Output_Mac!H:H,""),
_xlpm.MyAuditVal,_xlfn.XLOOKUP($A1139,My_Audit!$A:$A,My_Audit!G:G,""),
_xlfn.IFS(_xlpm.MyAuditVal&lt;&gt;"",_xlpm.MyAuditVal,_xlpm.MacVal&lt;&gt;"",_xlpm.MacVal,_xlpm.CSVVal&lt;&gt;"",_xlpm.CSVVal
)),"")</f>
        <v/>
      </c>
      <c r="I1139" s="40" t="str">
        <f>_xlfn.XLOOKUP(A1139,Output_Mac!A:A,Output_Mac!I:I,"")</f>
        <v/>
      </c>
      <c r="J1139" s="40" t="str" cm="1">
        <f t="array" ref="J1139">IFERROR(_xlfn.LET(
_xlpm.CSVVal,_xlfn.XLOOKUP($A1139,CSV!$A:$A,CSV!I:I,""),
_xlpm.MacVal,_xlfn.XLOOKUP($A1139,Output_Mac!$A:$A,Output_Mac!J:J,""),
_xlpm.MyAuditVal,_xlfn.XLOOKUP($A1139,My_Audit!$A:$A,My_Audit!I:I,""),
_xlfn.IFS(_xlpm.MyAuditVal&lt;&gt;"",UPPER(_xlpm.MyAuditVal),_xlpm.MacVal&lt;&gt;"",_xlpm.MacVal,_xlpm.CSVVal&lt;&gt;"",_xlpm.CSVVal
)),"")</f>
        <v/>
      </c>
      <c r="K1139" s="40" t="str" cm="1">
        <f t="array" ref="K1139">IFERROR(_xlfn.LET(
_xlpm.CSVVal,_xlfn.XLOOKUP($A1139,CSV!$A:$A,CSV!K:K,""),
_xlpm.MacVal,_xlfn.XLOOKUP($A1139,Output_Mac!$A:$A,Output_Mac!K:K,""),
_xlpm.MyAuditVal,_xlfn.XLOOKUP($A1139,My_Audit!$A:$A,My_Audit!J:J,""),
_xlfn.IFS(_xlpm.MyAuditVal&lt;&gt;"",UPPER(_xlpm.MyAuditVal),_xlpm.MacVal&lt;&gt;"",_xlpm.MacVal,_xlpm.CSVVal&lt;&gt;"",_xlpm.CSVVal
)),"")</f>
        <v/>
      </c>
      <c r="L1139" s="40" t="str" cm="1">
        <f t="array" ref="L1139">IFERROR(_xlfn.LET(
_xlpm.CSVVal,_xlfn.XLOOKUP($A1139,CSV!$A:$A,CSV!P:P,""),
_xlpm.MacVal,_xlfn.XLOOKUP($A1139,Output_Mac!$A:$A,Output_Mac!L:L,""),
_xlpm.MyAuditVal,_xlfn.XLOOKUP($A1139,My_Audit!$A:$A,My_Audit!K:K,""),
_xlfn.IFS(_xlpm.MyAuditVal&lt;&gt;"",UPPER(_xlpm.MyAuditVal),_xlpm.MacVal&lt;&gt;"",_xlpm.MacVal,_xlpm.CSVVal&lt;&gt;"",_xlpm.CSVVal
)),"")</f>
        <v/>
      </c>
      <c r="M1139" s="40" t="str" cm="1">
        <f t="array" ref="M1139">IFERROR(_xlfn.LET(
_xlpm.CSVVal,_xlfn.XLOOKUP($A1139,CSV!$A:$A,CSV!Q:Q,""),
_xlpm.MacVal,_xlfn.XLOOKUP($A1139,Output_Mac!$A:$A,Output_Mac!M:M,""),
_xlpm.MyAuditVal,_xlfn.XLOOKUP($A1139,My_Audit!$A:$A,My_Audit!L:L,""),
_xlfn.IFS(_xlpm.MyAuditVal&lt;&gt;"",UPPER(_xlpm.MyAuditVal),_xlpm.MacVal&lt;&gt;"",_xlpm.MacVal,_xlpm.CSVVal&lt;&gt;"",_xlpm.CSVVal
)),"")</f>
        <v/>
      </c>
      <c r="N1139" s="40"/>
      <c r="O1139" s="40" t="str">
        <f>_xlfn.LET(
    _xlpm.CSVVal, _xlfn.XLOOKUP($A1139, CSV!$A:$A, CSV!AA:AA, ""),
    _xlpm.MacVal, _xlfn.XLOOKUP($A1139, Output_Mac!$A:$A, Output_Mac!S:S, ""),
    _xlpm.MyAuditVal, _xlfn.XLOOKUP($A1139, My_Audit!$A:$A, My_Audit!P:P, ""),
    _xlfn.TEXTJOIN(", ", TRUE, _xlpm.MyAuditVal, _xlpm.MacVal, _xlpm.CSVVal)
)</f>
        <v/>
      </c>
      <c r="P1139" s="40" t="str" cm="1">
        <f t="array" ref="P1139">IFERROR(_xlfn.LET(
_xlpm.CSVVal,_xlfn.XLOOKUP($A1139,CSV!$A:$A,CSV!AB:AB,""),
_xlpm.MacVal,_xlfn.XLOOKUP($A1139,Output_Mac!$A:$A,Output_Mac!T:T,""),
_xlpm.MyAuditVal,_xlfn.XLOOKUP($A1139,My_Audit!$A:$A,My_Audit!Q:Q,""),
_xlfn.IFS(_xlpm.MyAuditVal&lt;&gt;"",UPPER(_xlpm.MyAuditVal),_xlpm.MacVal&lt;&gt;"",_xlpm.MacVal,_xlpm.CSVVal&lt;&gt;"",_xlpm.CSVVal
)),"No")</f>
        <v>No</v>
      </c>
      <c r="Q1139" s="40" t="str" cm="1">
        <f t="array" ref="Q1139">IFERROR(_xlfn.LET(
_xlpm.CSVVal,_xlfn.XLOOKUP($A1139,CSV!$A:$A,CSV!AC:AC,""),
_xlpm.MacVal,_xlfn.XLOOKUP($A1139,Output_Mac!$A:$A,Output_Mac!U:U,""),
_xlpm.MyAuditVal,_xlfn.XLOOKUP($A1139,My_Audit!$A:$A,My_Audit!R:R,""),
_xlfn.IFS(_xlpm.MyAuditVal&lt;&gt;"",UPPER(_xlpm.MyAuditVal),_xlpm.MacVal&lt;&gt;"",_xlpm.MacVal,_xlpm.CSVVal&lt;&gt;"",_xlpm.CSVVal
)),"")</f>
        <v/>
      </c>
      <c r="R1139" s="40"/>
      <c r="S1139" s="40"/>
      <c r="T1139" s="40"/>
      <c r="U1139" s="40"/>
      <c r="V1139" s="40"/>
      <c r="W1139" s="40"/>
      <c r="X1139" s="41" t="str">
        <f>_xlfn.LET(
    _xlpm.MacVal, _xlfn.XLOOKUP($A1139, Output_Mac!$A:$A, Output_Mac!AB:AB, ""),
    _xlpm.MyAuditVal, _xlfn.XLOOKUP($A1139, My_Audit!$A:$A, My_Audit!N:N, ""),
    _xlfn.TEXTJOIN(", ", TRUE, _xlpm.MyAuditVal, _xlpm.MacVal)
)</f>
        <v/>
      </c>
    </row>
    <row r="1140" spans="1:24">
      <c r="A1140" s="40" t="str">
        <f>_xlfn.TEXTJOIN("",TRUE,Input!$B$2,ROW(My_Audit!A1139))</f>
        <v>X1139</v>
      </c>
      <c r="B1140" s="40" t="str">
        <f>_xlfn.TEXTJOIN("-",TRUE,"ITD",Input!$A$2,A1140)</f>
        <v>ITD-X1139</v>
      </c>
      <c r="C1140" s="40" t="str" cm="1">
        <f t="array" ref="C1140">IFERROR(_xlfn.LET(
_xlpm.CSVVal,_xlfn.XLOOKUP($A1140,CSV!$A:$A,CSV!B:B,""),
_xlpm.MacVal,_xlfn.XLOOKUP($A1140,Output_Mac!$A:$A,Output_Mac!B:B,""),
_xlpm.MyAuditVal,_xlfn.XLOOKUP($A1140,My_Audit!$A:$A,My_Audit!B:B,""),
_xlfn.IFS(_xlpm.MyAuditVal&lt;&gt;"",UPPER(_xlpm.MyAuditVal),_xlpm.MacVal&lt;&gt;"",_xlpm.MacVal,_xlpm.CSVVal&lt;&gt;"",_xlpm.CSVVal
)),"")</f>
        <v/>
      </c>
      <c r="D1140" s="40" t="str" cm="1">
        <f t="array" ref="D1140">IFERROR(_xlfn.LET(
_xlpm.CSVVal,_xlfn.XLOOKUP($A1140,CSV!$A:$A,CSV!D:D,""),
_xlpm.MacVal,_xlfn.XLOOKUP($A1140,Output_Mac!$A:$A,Output_Mac!C:C,""),
_xlpm.MyAuditVal,_xlfn.XLOOKUP($A1140,My_Audit!$A:$A,My_Audit!C:C,""),
_xlfn.IFS(_xlpm.MyAuditVal&lt;&gt;"",_xlpm.MyAuditVal,_xlpm.MacVal&lt;&gt;"",_xlpm.MacVal,_xlpm.CSVVal&lt;&gt;"",_xlpm.CSVVal
)),"")</f>
        <v/>
      </c>
      <c r="E1140" s="40" t="str">
        <f>_xlfn.XLOOKUP(A1140,My_Audit!A:A,My_Audit!D:D,"")</f>
        <v/>
      </c>
      <c r="F1140" s="40" t="str" cm="1">
        <f t="array" ref="F1140">IFERROR(_xlfn.LET(
_xlpm.CSVVal,_xlfn.XLOOKUP($A1140,CSV!$A:$A,CSV!F:F,""),
_xlpm.MacVal,_xlfn.XLOOKUP($A1140,Output_Mac!$A:$A,Output_Mac!E:E,""),
_xlpm.MyAuditVal,_xlfn.XLOOKUP($A1140,My_Audit!$A:$A,My_Audit!E:E,""),
_xlfn.IFS(_xlpm.MyAuditVal&lt;&gt;"",_xlpm.MyAuditVal,_xlpm.MacVal&lt;&gt;"",_xlpm.MacVal,_xlpm.CSVVal&lt;&gt;"",_xlpm.CSVVal
)),"")</f>
        <v/>
      </c>
      <c r="G1140" s="40" t="str" cm="1">
        <f t="array" ref="G1140">IFERROR(_xlfn.LET(
_xlpm.CSVVal,_xlfn.XLOOKUP($A1140,CSV!$A:$A,CSV!G:G,""),
_xlpm.MacVal,_xlfn.XLOOKUP($A1140,Output_Mac!$A:$A,Output_Mac!F:F,""),
_xlpm.MyAuditVal,_xlfn.XLOOKUP($A1140,My_Audit!$A:$A,My_Audit!F:F,""),
_xlfn.IFS(_xlpm.MyAuditVal&lt;&gt;"",_xlpm.MyAuditVal,_xlpm.MacVal&lt;&gt;"",_xlpm.MacVal,_xlpm.CSVVal&lt;&gt;"",PROPER(_xlpm.CSVVal)
)),"")</f>
        <v/>
      </c>
      <c r="H1140" s="40" t="str" cm="1">
        <f t="array" ref="H1140">IFERROR(_xlfn.LET(
_xlpm.CSVVal,_xlfn.XLOOKUP($A1140,CSV!$A:$A,CSV!H:H,""),
_xlpm.MacVal,_xlfn.XLOOKUP($A1140,Output_Mac!$A:$A,Output_Mac!H:H,""),
_xlpm.MyAuditVal,_xlfn.XLOOKUP($A1140,My_Audit!$A:$A,My_Audit!G:G,""),
_xlfn.IFS(_xlpm.MyAuditVal&lt;&gt;"",_xlpm.MyAuditVal,_xlpm.MacVal&lt;&gt;"",_xlpm.MacVal,_xlpm.CSVVal&lt;&gt;"",_xlpm.CSVVal
)),"")</f>
        <v/>
      </c>
      <c r="I1140" s="40" t="str">
        <f>_xlfn.XLOOKUP(A1140,Output_Mac!A:A,Output_Mac!I:I,"")</f>
        <v/>
      </c>
      <c r="J1140" s="40" t="str" cm="1">
        <f t="array" ref="J1140">IFERROR(_xlfn.LET(
_xlpm.CSVVal,_xlfn.XLOOKUP($A1140,CSV!$A:$A,CSV!I:I,""),
_xlpm.MacVal,_xlfn.XLOOKUP($A1140,Output_Mac!$A:$A,Output_Mac!J:J,""),
_xlpm.MyAuditVal,_xlfn.XLOOKUP($A1140,My_Audit!$A:$A,My_Audit!I:I,""),
_xlfn.IFS(_xlpm.MyAuditVal&lt;&gt;"",UPPER(_xlpm.MyAuditVal),_xlpm.MacVal&lt;&gt;"",_xlpm.MacVal,_xlpm.CSVVal&lt;&gt;"",_xlpm.CSVVal
)),"")</f>
        <v/>
      </c>
      <c r="K1140" s="40" t="str" cm="1">
        <f t="array" ref="K1140">IFERROR(_xlfn.LET(
_xlpm.CSVVal,_xlfn.XLOOKUP($A1140,CSV!$A:$A,CSV!K:K,""),
_xlpm.MacVal,_xlfn.XLOOKUP($A1140,Output_Mac!$A:$A,Output_Mac!K:K,""),
_xlpm.MyAuditVal,_xlfn.XLOOKUP($A1140,My_Audit!$A:$A,My_Audit!J:J,""),
_xlfn.IFS(_xlpm.MyAuditVal&lt;&gt;"",UPPER(_xlpm.MyAuditVal),_xlpm.MacVal&lt;&gt;"",_xlpm.MacVal,_xlpm.CSVVal&lt;&gt;"",_xlpm.CSVVal
)),"")</f>
        <v/>
      </c>
      <c r="L1140" s="40" t="str" cm="1">
        <f t="array" ref="L1140">IFERROR(_xlfn.LET(
_xlpm.CSVVal,_xlfn.XLOOKUP($A1140,CSV!$A:$A,CSV!P:P,""),
_xlpm.MacVal,_xlfn.XLOOKUP($A1140,Output_Mac!$A:$A,Output_Mac!L:L,""),
_xlpm.MyAuditVal,_xlfn.XLOOKUP($A1140,My_Audit!$A:$A,My_Audit!K:K,""),
_xlfn.IFS(_xlpm.MyAuditVal&lt;&gt;"",UPPER(_xlpm.MyAuditVal),_xlpm.MacVal&lt;&gt;"",_xlpm.MacVal,_xlpm.CSVVal&lt;&gt;"",_xlpm.CSVVal
)),"")</f>
        <v/>
      </c>
      <c r="M1140" s="40" t="str" cm="1">
        <f t="array" ref="M1140">IFERROR(_xlfn.LET(
_xlpm.CSVVal,_xlfn.XLOOKUP($A1140,CSV!$A:$A,CSV!Q:Q,""),
_xlpm.MacVal,_xlfn.XLOOKUP($A1140,Output_Mac!$A:$A,Output_Mac!M:M,""),
_xlpm.MyAuditVal,_xlfn.XLOOKUP($A1140,My_Audit!$A:$A,My_Audit!L:L,""),
_xlfn.IFS(_xlpm.MyAuditVal&lt;&gt;"",UPPER(_xlpm.MyAuditVal),_xlpm.MacVal&lt;&gt;"",_xlpm.MacVal,_xlpm.CSVVal&lt;&gt;"",_xlpm.CSVVal
)),"")</f>
        <v/>
      </c>
      <c r="N1140" s="40"/>
      <c r="O1140" s="40" t="str">
        <f>_xlfn.LET(
    _xlpm.CSVVal, _xlfn.XLOOKUP($A1140, CSV!$A:$A, CSV!AA:AA, ""),
    _xlpm.MacVal, _xlfn.XLOOKUP($A1140, Output_Mac!$A:$A, Output_Mac!S:S, ""),
    _xlpm.MyAuditVal, _xlfn.XLOOKUP($A1140, My_Audit!$A:$A, My_Audit!P:P, ""),
    _xlfn.TEXTJOIN(", ", TRUE, _xlpm.MyAuditVal, _xlpm.MacVal, _xlpm.CSVVal)
)</f>
        <v/>
      </c>
      <c r="P1140" s="40" t="str" cm="1">
        <f t="array" ref="P1140">IFERROR(_xlfn.LET(
_xlpm.CSVVal,_xlfn.XLOOKUP($A1140,CSV!$A:$A,CSV!AB:AB,""),
_xlpm.MacVal,_xlfn.XLOOKUP($A1140,Output_Mac!$A:$A,Output_Mac!T:T,""),
_xlpm.MyAuditVal,_xlfn.XLOOKUP($A1140,My_Audit!$A:$A,My_Audit!Q:Q,""),
_xlfn.IFS(_xlpm.MyAuditVal&lt;&gt;"",UPPER(_xlpm.MyAuditVal),_xlpm.MacVal&lt;&gt;"",_xlpm.MacVal,_xlpm.CSVVal&lt;&gt;"",_xlpm.CSVVal
)),"No")</f>
        <v>No</v>
      </c>
      <c r="Q1140" s="40" t="str" cm="1">
        <f t="array" ref="Q1140">IFERROR(_xlfn.LET(
_xlpm.CSVVal,_xlfn.XLOOKUP($A1140,CSV!$A:$A,CSV!AC:AC,""),
_xlpm.MacVal,_xlfn.XLOOKUP($A1140,Output_Mac!$A:$A,Output_Mac!U:U,""),
_xlpm.MyAuditVal,_xlfn.XLOOKUP($A1140,My_Audit!$A:$A,My_Audit!R:R,""),
_xlfn.IFS(_xlpm.MyAuditVal&lt;&gt;"",UPPER(_xlpm.MyAuditVal),_xlpm.MacVal&lt;&gt;"",_xlpm.MacVal,_xlpm.CSVVal&lt;&gt;"",_xlpm.CSVVal
)),"")</f>
        <v/>
      </c>
      <c r="R1140" s="40"/>
      <c r="S1140" s="40"/>
      <c r="T1140" s="40"/>
      <c r="U1140" s="40"/>
      <c r="V1140" s="40"/>
      <c r="W1140" s="40"/>
      <c r="X1140" s="41" t="str">
        <f>_xlfn.LET(
    _xlpm.MacVal, _xlfn.XLOOKUP($A1140, Output_Mac!$A:$A, Output_Mac!AB:AB, ""),
    _xlpm.MyAuditVal, _xlfn.XLOOKUP($A1140, My_Audit!$A:$A, My_Audit!N:N, ""),
    _xlfn.TEXTJOIN(", ", TRUE, _xlpm.MyAuditVal, _xlpm.MacVal)
)</f>
        <v/>
      </c>
    </row>
    <row r="1141" spans="1:24">
      <c r="A1141" s="40" t="str">
        <f>_xlfn.TEXTJOIN("",TRUE,Input!$B$2,ROW(My_Audit!A1140))</f>
        <v>X1140</v>
      </c>
      <c r="B1141" s="40" t="str">
        <f>_xlfn.TEXTJOIN("-",TRUE,"ITD",Input!$A$2,A1141)</f>
        <v>ITD-X1140</v>
      </c>
      <c r="C1141" s="40" t="str" cm="1">
        <f t="array" ref="C1141">IFERROR(_xlfn.LET(
_xlpm.CSVVal,_xlfn.XLOOKUP($A1141,CSV!$A:$A,CSV!B:B,""),
_xlpm.MacVal,_xlfn.XLOOKUP($A1141,Output_Mac!$A:$A,Output_Mac!B:B,""),
_xlpm.MyAuditVal,_xlfn.XLOOKUP($A1141,My_Audit!$A:$A,My_Audit!B:B,""),
_xlfn.IFS(_xlpm.MyAuditVal&lt;&gt;"",UPPER(_xlpm.MyAuditVal),_xlpm.MacVal&lt;&gt;"",_xlpm.MacVal,_xlpm.CSVVal&lt;&gt;"",_xlpm.CSVVal
)),"")</f>
        <v/>
      </c>
      <c r="D1141" s="40" t="str" cm="1">
        <f t="array" ref="D1141">IFERROR(_xlfn.LET(
_xlpm.CSVVal,_xlfn.XLOOKUP($A1141,CSV!$A:$A,CSV!D:D,""),
_xlpm.MacVal,_xlfn.XLOOKUP($A1141,Output_Mac!$A:$A,Output_Mac!C:C,""),
_xlpm.MyAuditVal,_xlfn.XLOOKUP($A1141,My_Audit!$A:$A,My_Audit!C:C,""),
_xlfn.IFS(_xlpm.MyAuditVal&lt;&gt;"",_xlpm.MyAuditVal,_xlpm.MacVal&lt;&gt;"",_xlpm.MacVal,_xlpm.CSVVal&lt;&gt;"",_xlpm.CSVVal
)),"")</f>
        <v/>
      </c>
      <c r="E1141" s="40" t="str">
        <f>_xlfn.XLOOKUP(A1141,My_Audit!A:A,My_Audit!D:D,"")</f>
        <v/>
      </c>
      <c r="F1141" s="40" t="str" cm="1">
        <f t="array" ref="F1141">IFERROR(_xlfn.LET(
_xlpm.CSVVal,_xlfn.XLOOKUP($A1141,CSV!$A:$A,CSV!F:F,""),
_xlpm.MacVal,_xlfn.XLOOKUP($A1141,Output_Mac!$A:$A,Output_Mac!E:E,""),
_xlpm.MyAuditVal,_xlfn.XLOOKUP($A1141,My_Audit!$A:$A,My_Audit!E:E,""),
_xlfn.IFS(_xlpm.MyAuditVal&lt;&gt;"",_xlpm.MyAuditVal,_xlpm.MacVal&lt;&gt;"",_xlpm.MacVal,_xlpm.CSVVal&lt;&gt;"",_xlpm.CSVVal
)),"")</f>
        <v/>
      </c>
      <c r="G1141" s="40" t="str" cm="1">
        <f t="array" ref="G1141">IFERROR(_xlfn.LET(
_xlpm.CSVVal,_xlfn.XLOOKUP($A1141,CSV!$A:$A,CSV!G:G,""),
_xlpm.MacVal,_xlfn.XLOOKUP($A1141,Output_Mac!$A:$A,Output_Mac!F:F,""),
_xlpm.MyAuditVal,_xlfn.XLOOKUP($A1141,My_Audit!$A:$A,My_Audit!F:F,""),
_xlfn.IFS(_xlpm.MyAuditVal&lt;&gt;"",_xlpm.MyAuditVal,_xlpm.MacVal&lt;&gt;"",_xlpm.MacVal,_xlpm.CSVVal&lt;&gt;"",PROPER(_xlpm.CSVVal)
)),"")</f>
        <v/>
      </c>
      <c r="H1141" s="40" t="str" cm="1">
        <f t="array" ref="H1141">IFERROR(_xlfn.LET(
_xlpm.CSVVal,_xlfn.XLOOKUP($A1141,CSV!$A:$A,CSV!H:H,""),
_xlpm.MacVal,_xlfn.XLOOKUP($A1141,Output_Mac!$A:$A,Output_Mac!H:H,""),
_xlpm.MyAuditVal,_xlfn.XLOOKUP($A1141,My_Audit!$A:$A,My_Audit!G:G,""),
_xlfn.IFS(_xlpm.MyAuditVal&lt;&gt;"",_xlpm.MyAuditVal,_xlpm.MacVal&lt;&gt;"",_xlpm.MacVal,_xlpm.CSVVal&lt;&gt;"",_xlpm.CSVVal
)),"")</f>
        <v/>
      </c>
      <c r="I1141" s="40" t="str">
        <f>_xlfn.XLOOKUP(A1141,Output_Mac!A:A,Output_Mac!I:I,"")</f>
        <v/>
      </c>
      <c r="J1141" s="40" t="str" cm="1">
        <f t="array" ref="J1141">IFERROR(_xlfn.LET(
_xlpm.CSVVal,_xlfn.XLOOKUP($A1141,CSV!$A:$A,CSV!I:I,""),
_xlpm.MacVal,_xlfn.XLOOKUP($A1141,Output_Mac!$A:$A,Output_Mac!J:J,""),
_xlpm.MyAuditVal,_xlfn.XLOOKUP($A1141,My_Audit!$A:$A,My_Audit!I:I,""),
_xlfn.IFS(_xlpm.MyAuditVal&lt;&gt;"",UPPER(_xlpm.MyAuditVal),_xlpm.MacVal&lt;&gt;"",_xlpm.MacVal,_xlpm.CSVVal&lt;&gt;"",_xlpm.CSVVal
)),"")</f>
        <v/>
      </c>
      <c r="K1141" s="40" t="str" cm="1">
        <f t="array" ref="K1141">IFERROR(_xlfn.LET(
_xlpm.CSVVal,_xlfn.XLOOKUP($A1141,CSV!$A:$A,CSV!K:K,""),
_xlpm.MacVal,_xlfn.XLOOKUP($A1141,Output_Mac!$A:$A,Output_Mac!K:K,""),
_xlpm.MyAuditVal,_xlfn.XLOOKUP($A1141,My_Audit!$A:$A,My_Audit!J:J,""),
_xlfn.IFS(_xlpm.MyAuditVal&lt;&gt;"",UPPER(_xlpm.MyAuditVal),_xlpm.MacVal&lt;&gt;"",_xlpm.MacVal,_xlpm.CSVVal&lt;&gt;"",_xlpm.CSVVal
)),"")</f>
        <v/>
      </c>
      <c r="L1141" s="40" t="str" cm="1">
        <f t="array" ref="L1141">IFERROR(_xlfn.LET(
_xlpm.CSVVal,_xlfn.XLOOKUP($A1141,CSV!$A:$A,CSV!P:P,""),
_xlpm.MacVal,_xlfn.XLOOKUP($A1141,Output_Mac!$A:$A,Output_Mac!L:L,""),
_xlpm.MyAuditVal,_xlfn.XLOOKUP($A1141,My_Audit!$A:$A,My_Audit!K:K,""),
_xlfn.IFS(_xlpm.MyAuditVal&lt;&gt;"",UPPER(_xlpm.MyAuditVal),_xlpm.MacVal&lt;&gt;"",_xlpm.MacVal,_xlpm.CSVVal&lt;&gt;"",_xlpm.CSVVal
)),"")</f>
        <v/>
      </c>
      <c r="M1141" s="40" t="str" cm="1">
        <f t="array" ref="M1141">IFERROR(_xlfn.LET(
_xlpm.CSVVal,_xlfn.XLOOKUP($A1141,CSV!$A:$A,CSV!Q:Q,""),
_xlpm.MacVal,_xlfn.XLOOKUP($A1141,Output_Mac!$A:$A,Output_Mac!M:M,""),
_xlpm.MyAuditVal,_xlfn.XLOOKUP($A1141,My_Audit!$A:$A,My_Audit!L:L,""),
_xlfn.IFS(_xlpm.MyAuditVal&lt;&gt;"",UPPER(_xlpm.MyAuditVal),_xlpm.MacVal&lt;&gt;"",_xlpm.MacVal,_xlpm.CSVVal&lt;&gt;"",_xlpm.CSVVal
)),"")</f>
        <v/>
      </c>
      <c r="N1141" s="40"/>
      <c r="O1141" s="40" t="str">
        <f>_xlfn.LET(
    _xlpm.CSVVal, _xlfn.XLOOKUP($A1141, CSV!$A:$A, CSV!AA:AA, ""),
    _xlpm.MacVal, _xlfn.XLOOKUP($A1141, Output_Mac!$A:$A, Output_Mac!S:S, ""),
    _xlpm.MyAuditVal, _xlfn.XLOOKUP($A1141, My_Audit!$A:$A, My_Audit!P:P, ""),
    _xlfn.TEXTJOIN(", ", TRUE, _xlpm.MyAuditVal, _xlpm.MacVal, _xlpm.CSVVal)
)</f>
        <v/>
      </c>
      <c r="P1141" s="40" t="str" cm="1">
        <f t="array" ref="P1141">IFERROR(_xlfn.LET(
_xlpm.CSVVal,_xlfn.XLOOKUP($A1141,CSV!$A:$A,CSV!AB:AB,""),
_xlpm.MacVal,_xlfn.XLOOKUP($A1141,Output_Mac!$A:$A,Output_Mac!T:T,""),
_xlpm.MyAuditVal,_xlfn.XLOOKUP($A1141,My_Audit!$A:$A,My_Audit!Q:Q,""),
_xlfn.IFS(_xlpm.MyAuditVal&lt;&gt;"",UPPER(_xlpm.MyAuditVal),_xlpm.MacVal&lt;&gt;"",_xlpm.MacVal,_xlpm.CSVVal&lt;&gt;"",_xlpm.CSVVal
)),"No")</f>
        <v>No</v>
      </c>
      <c r="Q1141" s="40" t="str" cm="1">
        <f t="array" ref="Q1141">IFERROR(_xlfn.LET(
_xlpm.CSVVal,_xlfn.XLOOKUP($A1141,CSV!$A:$A,CSV!AC:AC,""),
_xlpm.MacVal,_xlfn.XLOOKUP($A1141,Output_Mac!$A:$A,Output_Mac!U:U,""),
_xlpm.MyAuditVal,_xlfn.XLOOKUP($A1141,My_Audit!$A:$A,My_Audit!R:R,""),
_xlfn.IFS(_xlpm.MyAuditVal&lt;&gt;"",UPPER(_xlpm.MyAuditVal),_xlpm.MacVal&lt;&gt;"",_xlpm.MacVal,_xlpm.CSVVal&lt;&gt;"",_xlpm.CSVVal
)),"")</f>
        <v/>
      </c>
      <c r="R1141" s="40"/>
      <c r="S1141" s="40"/>
      <c r="T1141" s="40"/>
      <c r="U1141" s="40"/>
      <c r="V1141" s="40"/>
      <c r="W1141" s="40"/>
      <c r="X1141" s="41" t="str">
        <f>_xlfn.LET(
    _xlpm.MacVal, _xlfn.XLOOKUP($A1141, Output_Mac!$A:$A, Output_Mac!AB:AB, ""),
    _xlpm.MyAuditVal, _xlfn.XLOOKUP($A1141, My_Audit!$A:$A, My_Audit!N:N, ""),
    _xlfn.TEXTJOIN(", ", TRUE, _xlpm.MyAuditVal, _xlpm.MacVal)
)</f>
        <v/>
      </c>
    </row>
    <row r="1142" spans="1:24">
      <c r="A1142" s="40" t="str">
        <f>_xlfn.TEXTJOIN("",TRUE,Input!$B$2,ROW(My_Audit!A1141))</f>
        <v>X1141</v>
      </c>
      <c r="B1142" s="40" t="str">
        <f>_xlfn.TEXTJOIN("-",TRUE,"ITD",Input!$A$2,A1142)</f>
        <v>ITD-X1141</v>
      </c>
      <c r="C1142" s="40" t="str" cm="1">
        <f t="array" ref="C1142">IFERROR(_xlfn.LET(
_xlpm.CSVVal,_xlfn.XLOOKUP($A1142,CSV!$A:$A,CSV!B:B,""),
_xlpm.MacVal,_xlfn.XLOOKUP($A1142,Output_Mac!$A:$A,Output_Mac!B:B,""),
_xlpm.MyAuditVal,_xlfn.XLOOKUP($A1142,My_Audit!$A:$A,My_Audit!B:B,""),
_xlfn.IFS(_xlpm.MyAuditVal&lt;&gt;"",UPPER(_xlpm.MyAuditVal),_xlpm.MacVal&lt;&gt;"",_xlpm.MacVal,_xlpm.CSVVal&lt;&gt;"",_xlpm.CSVVal
)),"")</f>
        <v/>
      </c>
      <c r="D1142" s="40" t="str" cm="1">
        <f t="array" ref="D1142">IFERROR(_xlfn.LET(
_xlpm.CSVVal,_xlfn.XLOOKUP($A1142,CSV!$A:$A,CSV!D:D,""),
_xlpm.MacVal,_xlfn.XLOOKUP($A1142,Output_Mac!$A:$A,Output_Mac!C:C,""),
_xlpm.MyAuditVal,_xlfn.XLOOKUP($A1142,My_Audit!$A:$A,My_Audit!C:C,""),
_xlfn.IFS(_xlpm.MyAuditVal&lt;&gt;"",_xlpm.MyAuditVal,_xlpm.MacVal&lt;&gt;"",_xlpm.MacVal,_xlpm.CSVVal&lt;&gt;"",_xlpm.CSVVal
)),"")</f>
        <v/>
      </c>
      <c r="E1142" s="40" t="str">
        <f>_xlfn.XLOOKUP(A1142,My_Audit!A:A,My_Audit!D:D,"")</f>
        <v/>
      </c>
      <c r="F1142" s="40" t="str" cm="1">
        <f t="array" ref="F1142">IFERROR(_xlfn.LET(
_xlpm.CSVVal,_xlfn.XLOOKUP($A1142,CSV!$A:$A,CSV!F:F,""),
_xlpm.MacVal,_xlfn.XLOOKUP($A1142,Output_Mac!$A:$A,Output_Mac!E:E,""),
_xlpm.MyAuditVal,_xlfn.XLOOKUP($A1142,My_Audit!$A:$A,My_Audit!E:E,""),
_xlfn.IFS(_xlpm.MyAuditVal&lt;&gt;"",_xlpm.MyAuditVal,_xlpm.MacVal&lt;&gt;"",_xlpm.MacVal,_xlpm.CSVVal&lt;&gt;"",_xlpm.CSVVal
)),"")</f>
        <v/>
      </c>
      <c r="G1142" s="40" t="str" cm="1">
        <f t="array" ref="G1142">IFERROR(_xlfn.LET(
_xlpm.CSVVal,_xlfn.XLOOKUP($A1142,CSV!$A:$A,CSV!G:G,""),
_xlpm.MacVal,_xlfn.XLOOKUP($A1142,Output_Mac!$A:$A,Output_Mac!F:F,""),
_xlpm.MyAuditVal,_xlfn.XLOOKUP($A1142,My_Audit!$A:$A,My_Audit!F:F,""),
_xlfn.IFS(_xlpm.MyAuditVal&lt;&gt;"",_xlpm.MyAuditVal,_xlpm.MacVal&lt;&gt;"",_xlpm.MacVal,_xlpm.CSVVal&lt;&gt;"",PROPER(_xlpm.CSVVal)
)),"")</f>
        <v/>
      </c>
      <c r="H1142" s="40" t="str" cm="1">
        <f t="array" ref="H1142">IFERROR(_xlfn.LET(
_xlpm.CSVVal,_xlfn.XLOOKUP($A1142,CSV!$A:$A,CSV!H:H,""),
_xlpm.MacVal,_xlfn.XLOOKUP($A1142,Output_Mac!$A:$A,Output_Mac!H:H,""),
_xlpm.MyAuditVal,_xlfn.XLOOKUP($A1142,My_Audit!$A:$A,My_Audit!G:G,""),
_xlfn.IFS(_xlpm.MyAuditVal&lt;&gt;"",_xlpm.MyAuditVal,_xlpm.MacVal&lt;&gt;"",_xlpm.MacVal,_xlpm.CSVVal&lt;&gt;"",_xlpm.CSVVal
)),"")</f>
        <v/>
      </c>
      <c r="I1142" s="40" t="str">
        <f>_xlfn.XLOOKUP(A1142,Output_Mac!A:A,Output_Mac!I:I,"")</f>
        <v/>
      </c>
      <c r="J1142" s="40" t="str" cm="1">
        <f t="array" ref="J1142">IFERROR(_xlfn.LET(
_xlpm.CSVVal,_xlfn.XLOOKUP($A1142,CSV!$A:$A,CSV!I:I,""),
_xlpm.MacVal,_xlfn.XLOOKUP($A1142,Output_Mac!$A:$A,Output_Mac!J:J,""),
_xlpm.MyAuditVal,_xlfn.XLOOKUP($A1142,My_Audit!$A:$A,My_Audit!I:I,""),
_xlfn.IFS(_xlpm.MyAuditVal&lt;&gt;"",UPPER(_xlpm.MyAuditVal),_xlpm.MacVal&lt;&gt;"",_xlpm.MacVal,_xlpm.CSVVal&lt;&gt;"",_xlpm.CSVVal
)),"")</f>
        <v/>
      </c>
      <c r="K1142" s="40" t="str" cm="1">
        <f t="array" ref="K1142">IFERROR(_xlfn.LET(
_xlpm.CSVVal,_xlfn.XLOOKUP($A1142,CSV!$A:$A,CSV!K:K,""),
_xlpm.MacVal,_xlfn.XLOOKUP($A1142,Output_Mac!$A:$A,Output_Mac!K:K,""),
_xlpm.MyAuditVal,_xlfn.XLOOKUP($A1142,My_Audit!$A:$A,My_Audit!J:J,""),
_xlfn.IFS(_xlpm.MyAuditVal&lt;&gt;"",UPPER(_xlpm.MyAuditVal),_xlpm.MacVal&lt;&gt;"",_xlpm.MacVal,_xlpm.CSVVal&lt;&gt;"",_xlpm.CSVVal
)),"")</f>
        <v/>
      </c>
      <c r="L1142" s="40" t="str" cm="1">
        <f t="array" ref="L1142">IFERROR(_xlfn.LET(
_xlpm.CSVVal,_xlfn.XLOOKUP($A1142,CSV!$A:$A,CSV!P:P,""),
_xlpm.MacVal,_xlfn.XLOOKUP($A1142,Output_Mac!$A:$A,Output_Mac!L:L,""),
_xlpm.MyAuditVal,_xlfn.XLOOKUP($A1142,My_Audit!$A:$A,My_Audit!K:K,""),
_xlfn.IFS(_xlpm.MyAuditVal&lt;&gt;"",UPPER(_xlpm.MyAuditVal),_xlpm.MacVal&lt;&gt;"",_xlpm.MacVal,_xlpm.CSVVal&lt;&gt;"",_xlpm.CSVVal
)),"")</f>
        <v/>
      </c>
      <c r="M1142" s="40" t="str" cm="1">
        <f t="array" ref="M1142">IFERROR(_xlfn.LET(
_xlpm.CSVVal,_xlfn.XLOOKUP($A1142,CSV!$A:$A,CSV!Q:Q,""),
_xlpm.MacVal,_xlfn.XLOOKUP($A1142,Output_Mac!$A:$A,Output_Mac!M:M,""),
_xlpm.MyAuditVal,_xlfn.XLOOKUP($A1142,My_Audit!$A:$A,My_Audit!L:L,""),
_xlfn.IFS(_xlpm.MyAuditVal&lt;&gt;"",UPPER(_xlpm.MyAuditVal),_xlpm.MacVal&lt;&gt;"",_xlpm.MacVal,_xlpm.CSVVal&lt;&gt;"",_xlpm.CSVVal
)),"")</f>
        <v/>
      </c>
      <c r="N1142" s="40"/>
      <c r="O1142" s="40" t="str">
        <f>_xlfn.LET(
    _xlpm.CSVVal, _xlfn.XLOOKUP($A1142, CSV!$A:$A, CSV!AA:AA, ""),
    _xlpm.MacVal, _xlfn.XLOOKUP($A1142, Output_Mac!$A:$A, Output_Mac!S:S, ""),
    _xlpm.MyAuditVal, _xlfn.XLOOKUP($A1142, My_Audit!$A:$A, My_Audit!P:P, ""),
    _xlfn.TEXTJOIN(", ", TRUE, _xlpm.MyAuditVal, _xlpm.MacVal, _xlpm.CSVVal)
)</f>
        <v/>
      </c>
      <c r="P1142" s="40" t="str" cm="1">
        <f t="array" ref="P1142">IFERROR(_xlfn.LET(
_xlpm.CSVVal,_xlfn.XLOOKUP($A1142,CSV!$A:$A,CSV!AB:AB,""),
_xlpm.MacVal,_xlfn.XLOOKUP($A1142,Output_Mac!$A:$A,Output_Mac!T:T,""),
_xlpm.MyAuditVal,_xlfn.XLOOKUP($A1142,My_Audit!$A:$A,My_Audit!Q:Q,""),
_xlfn.IFS(_xlpm.MyAuditVal&lt;&gt;"",UPPER(_xlpm.MyAuditVal),_xlpm.MacVal&lt;&gt;"",_xlpm.MacVal,_xlpm.CSVVal&lt;&gt;"",_xlpm.CSVVal
)),"No")</f>
        <v>No</v>
      </c>
      <c r="Q1142" s="40" t="str" cm="1">
        <f t="array" ref="Q1142">IFERROR(_xlfn.LET(
_xlpm.CSVVal,_xlfn.XLOOKUP($A1142,CSV!$A:$A,CSV!AC:AC,""),
_xlpm.MacVal,_xlfn.XLOOKUP($A1142,Output_Mac!$A:$A,Output_Mac!U:U,""),
_xlpm.MyAuditVal,_xlfn.XLOOKUP($A1142,My_Audit!$A:$A,My_Audit!R:R,""),
_xlfn.IFS(_xlpm.MyAuditVal&lt;&gt;"",UPPER(_xlpm.MyAuditVal),_xlpm.MacVal&lt;&gt;"",_xlpm.MacVal,_xlpm.CSVVal&lt;&gt;"",_xlpm.CSVVal
)),"")</f>
        <v/>
      </c>
      <c r="R1142" s="40"/>
      <c r="S1142" s="40"/>
      <c r="T1142" s="40"/>
      <c r="U1142" s="40"/>
      <c r="V1142" s="40"/>
      <c r="W1142" s="40"/>
      <c r="X1142" s="41" t="str">
        <f>_xlfn.LET(
    _xlpm.MacVal, _xlfn.XLOOKUP($A1142, Output_Mac!$A:$A, Output_Mac!AB:AB, ""),
    _xlpm.MyAuditVal, _xlfn.XLOOKUP($A1142, My_Audit!$A:$A, My_Audit!N:N, ""),
    _xlfn.TEXTJOIN(", ", TRUE, _xlpm.MyAuditVal, _xlpm.MacVal)
)</f>
        <v/>
      </c>
    </row>
    <row r="1143" spans="1:24">
      <c r="A1143" s="40" t="str">
        <f>_xlfn.TEXTJOIN("",TRUE,Input!$B$2,ROW(My_Audit!A1142))</f>
        <v>X1142</v>
      </c>
      <c r="B1143" s="40" t="str">
        <f>_xlfn.TEXTJOIN("-",TRUE,"ITD",Input!$A$2,A1143)</f>
        <v>ITD-X1142</v>
      </c>
      <c r="C1143" s="40" t="str" cm="1">
        <f t="array" ref="C1143">IFERROR(_xlfn.LET(
_xlpm.CSVVal,_xlfn.XLOOKUP($A1143,CSV!$A:$A,CSV!B:B,""),
_xlpm.MacVal,_xlfn.XLOOKUP($A1143,Output_Mac!$A:$A,Output_Mac!B:B,""),
_xlpm.MyAuditVal,_xlfn.XLOOKUP($A1143,My_Audit!$A:$A,My_Audit!B:B,""),
_xlfn.IFS(_xlpm.MyAuditVal&lt;&gt;"",UPPER(_xlpm.MyAuditVal),_xlpm.MacVal&lt;&gt;"",_xlpm.MacVal,_xlpm.CSVVal&lt;&gt;"",_xlpm.CSVVal
)),"")</f>
        <v/>
      </c>
      <c r="D1143" s="40" t="str" cm="1">
        <f t="array" ref="D1143">IFERROR(_xlfn.LET(
_xlpm.CSVVal,_xlfn.XLOOKUP($A1143,CSV!$A:$A,CSV!D:D,""),
_xlpm.MacVal,_xlfn.XLOOKUP($A1143,Output_Mac!$A:$A,Output_Mac!C:C,""),
_xlpm.MyAuditVal,_xlfn.XLOOKUP($A1143,My_Audit!$A:$A,My_Audit!C:C,""),
_xlfn.IFS(_xlpm.MyAuditVal&lt;&gt;"",_xlpm.MyAuditVal,_xlpm.MacVal&lt;&gt;"",_xlpm.MacVal,_xlpm.CSVVal&lt;&gt;"",_xlpm.CSVVal
)),"")</f>
        <v/>
      </c>
      <c r="E1143" s="40" t="str">
        <f>_xlfn.XLOOKUP(A1143,My_Audit!A:A,My_Audit!D:D,"")</f>
        <v/>
      </c>
      <c r="F1143" s="40" t="str" cm="1">
        <f t="array" ref="F1143">IFERROR(_xlfn.LET(
_xlpm.CSVVal,_xlfn.XLOOKUP($A1143,CSV!$A:$A,CSV!F:F,""),
_xlpm.MacVal,_xlfn.XLOOKUP($A1143,Output_Mac!$A:$A,Output_Mac!E:E,""),
_xlpm.MyAuditVal,_xlfn.XLOOKUP($A1143,My_Audit!$A:$A,My_Audit!E:E,""),
_xlfn.IFS(_xlpm.MyAuditVal&lt;&gt;"",_xlpm.MyAuditVal,_xlpm.MacVal&lt;&gt;"",_xlpm.MacVal,_xlpm.CSVVal&lt;&gt;"",_xlpm.CSVVal
)),"")</f>
        <v/>
      </c>
      <c r="G1143" s="40" t="str" cm="1">
        <f t="array" ref="G1143">IFERROR(_xlfn.LET(
_xlpm.CSVVal,_xlfn.XLOOKUP($A1143,CSV!$A:$A,CSV!G:G,""),
_xlpm.MacVal,_xlfn.XLOOKUP($A1143,Output_Mac!$A:$A,Output_Mac!F:F,""),
_xlpm.MyAuditVal,_xlfn.XLOOKUP($A1143,My_Audit!$A:$A,My_Audit!F:F,""),
_xlfn.IFS(_xlpm.MyAuditVal&lt;&gt;"",_xlpm.MyAuditVal,_xlpm.MacVal&lt;&gt;"",_xlpm.MacVal,_xlpm.CSVVal&lt;&gt;"",PROPER(_xlpm.CSVVal)
)),"")</f>
        <v/>
      </c>
      <c r="H1143" s="40" t="str" cm="1">
        <f t="array" ref="H1143">IFERROR(_xlfn.LET(
_xlpm.CSVVal,_xlfn.XLOOKUP($A1143,CSV!$A:$A,CSV!H:H,""),
_xlpm.MacVal,_xlfn.XLOOKUP($A1143,Output_Mac!$A:$A,Output_Mac!H:H,""),
_xlpm.MyAuditVal,_xlfn.XLOOKUP($A1143,My_Audit!$A:$A,My_Audit!G:G,""),
_xlfn.IFS(_xlpm.MyAuditVal&lt;&gt;"",_xlpm.MyAuditVal,_xlpm.MacVal&lt;&gt;"",_xlpm.MacVal,_xlpm.CSVVal&lt;&gt;"",_xlpm.CSVVal
)),"")</f>
        <v/>
      </c>
      <c r="I1143" s="40" t="str">
        <f>_xlfn.XLOOKUP(A1143,Output_Mac!A:A,Output_Mac!I:I,"")</f>
        <v/>
      </c>
      <c r="J1143" s="40" t="str" cm="1">
        <f t="array" ref="J1143">IFERROR(_xlfn.LET(
_xlpm.CSVVal,_xlfn.XLOOKUP($A1143,CSV!$A:$A,CSV!I:I,""),
_xlpm.MacVal,_xlfn.XLOOKUP($A1143,Output_Mac!$A:$A,Output_Mac!J:J,""),
_xlpm.MyAuditVal,_xlfn.XLOOKUP($A1143,My_Audit!$A:$A,My_Audit!I:I,""),
_xlfn.IFS(_xlpm.MyAuditVal&lt;&gt;"",UPPER(_xlpm.MyAuditVal),_xlpm.MacVal&lt;&gt;"",_xlpm.MacVal,_xlpm.CSVVal&lt;&gt;"",_xlpm.CSVVal
)),"")</f>
        <v/>
      </c>
      <c r="K1143" s="40" t="str" cm="1">
        <f t="array" ref="K1143">IFERROR(_xlfn.LET(
_xlpm.CSVVal,_xlfn.XLOOKUP($A1143,CSV!$A:$A,CSV!K:K,""),
_xlpm.MacVal,_xlfn.XLOOKUP($A1143,Output_Mac!$A:$A,Output_Mac!K:K,""),
_xlpm.MyAuditVal,_xlfn.XLOOKUP($A1143,My_Audit!$A:$A,My_Audit!J:J,""),
_xlfn.IFS(_xlpm.MyAuditVal&lt;&gt;"",UPPER(_xlpm.MyAuditVal),_xlpm.MacVal&lt;&gt;"",_xlpm.MacVal,_xlpm.CSVVal&lt;&gt;"",_xlpm.CSVVal
)),"")</f>
        <v/>
      </c>
      <c r="L1143" s="40" t="str" cm="1">
        <f t="array" ref="L1143">IFERROR(_xlfn.LET(
_xlpm.CSVVal,_xlfn.XLOOKUP($A1143,CSV!$A:$A,CSV!P:P,""),
_xlpm.MacVal,_xlfn.XLOOKUP($A1143,Output_Mac!$A:$A,Output_Mac!L:L,""),
_xlpm.MyAuditVal,_xlfn.XLOOKUP($A1143,My_Audit!$A:$A,My_Audit!K:K,""),
_xlfn.IFS(_xlpm.MyAuditVal&lt;&gt;"",UPPER(_xlpm.MyAuditVal),_xlpm.MacVal&lt;&gt;"",_xlpm.MacVal,_xlpm.CSVVal&lt;&gt;"",_xlpm.CSVVal
)),"")</f>
        <v/>
      </c>
      <c r="M1143" s="40" t="str" cm="1">
        <f t="array" ref="M1143">IFERROR(_xlfn.LET(
_xlpm.CSVVal,_xlfn.XLOOKUP($A1143,CSV!$A:$A,CSV!Q:Q,""),
_xlpm.MacVal,_xlfn.XLOOKUP($A1143,Output_Mac!$A:$A,Output_Mac!M:M,""),
_xlpm.MyAuditVal,_xlfn.XLOOKUP($A1143,My_Audit!$A:$A,My_Audit!L:L,""),
_xlfn.IFS(_xlpm.MyAuditVal&lt;&gt;"",UPPER(_xlpm.MyAuditVal),_xlpm.MacVal&lt;&gt;"",_xlpm.MacVal,_xlpm.CSVVal&lt;&gt;"",_xlpm.CSVVal
)),"")</f>
        <v/>
      </c>
      <c r="N1143" s="40"/>
      <c r="O1143" s="40" t="str">
        <f>_xlfn.LET(
    _xlpm.CSVVal, _xlfn.XLOOKUP($A1143, CSV!$A:$A, CSV!AA:AA, ""),
    _xlpm.MacVal, _xlfn.XLOOKUP($A1143, Output_Mac!$A:$A, Output_Mac!S:S, ""),
    _xlpm.MyAuditVal, _xlfn.XLOOKUP($A1143, My_Audit!$A:$A, My_Audit!P:P, ""),
    _xlfn.TEXTJOIN(", ", TRUE, _xlpm.MyAuditVal, _xlpm.MacVal, _xlpm.CSVVal)
)</f>
        <v/>
      </c>
      <c r="P1143" s="40" t="str" cm="1">
        <f t="array" ref="P1143">IFERROR(_xlfn.LET(
_xlpm.CSVVal,_xlfn.XLOOKUP($A1143,CSV!$A:$A,CSV!AB:AB,""),
_xlpm.MacVal,_xlfn.XLOOKUP($A1143,Output_Mac!$A:$A,Output_Mac!T:T,""),
_xlpm.MyAuditVal,_xlfn.XLOOKUP($A1143,My_Audit!$A:$A,My_Audit!Q:Q,""),
_xlfn.IFS(_xlpm.MyAuditVal&lt;&gt;"",UPPER(_xlpm.MyAuditVal),_xlpm.MacVal&lt;&gt;"",_xlpm.MacVal,_xlpm.CSVVal&lt;&gt;"",_xlpm.CSVVal
)),"No")</f>
        <v>No</v>
      </c>
      <c r="Q1143" s="40" t="str" cm="1">
        <f t="array" ref="Q1143">IFERROR(_xlfn.LET(
_xlpm.CSVVal,_xlfn.XLOOKUP($A1143,CSV!$A:$A,CSV!AC:AC,""),
_xlpm.MacVal,_xlfn.XLOOKUP($A1143,Output_Mac!$A:$A,Output_Mac!U:U,""),
_xlpm.MyAuditVal,_xlfn.XLOOKUP($A1143,My_Audit!$A:$A,My_Audit!R:R,""),
_xlfn.IFS(_xlpm.MyAuditVal&lt;&gt;"",UPPER(_xlpm.MyAuditVal),_xlpm.MacVal&lt;&gt;"",_xlpm.MacVal,_xlpm.CSVVal&lt;&gt;"",_xlpm.CSVVal
)),"")</f>
        <v/>
      </c>
      <c r="R1143" s="40"/>
      <c r="S1143" s="40"/>
      <c r="T1143" s="40"/>
      <c r="U1143" s="40"/>
      <c r="V1143" s="40"/>
      <c r="W1143" s="40"/>
      <c r="X1143" s="41" t="str">
        <f>_xlfn.LET(
    _xlpm.MacVal, _xlfn.XLOOKUP($A1143, Output_Mac!$A:$A, Output_Mac!AB:AB, ""),
    _xlpm.MyAuditVal, _xlfn.XLOOKUP($A1143, My_Audit!$A:$A, My_Audit!N:N, ""),
    _xlfn.TEXTJOIN(", ", TRUE, _xlpm.MyAuditVal, _xlpm.MacVal)
)</f>
        <v/>
      </c>
    </row>
    <row r="1144" spans="1:24">
      <c r="A1144" s="40" t="str">
        <f>_xlfn.TEXTJOIN("",TRUE,Input!$B$2,ROW(My_Audit!A1143))</f>
        <v>X1143</v>
      </c>
      <c r="B1144" s="40" t="str">
        <f>_xlfn.TEXTJOIN("-",TRUE,"ITD",Input!$A$2,A1144)</f>
        <v>ITD-X1143</v>
      </c>
      <c r="C1144" s="40" t="str" cm="1">
        <f t="array" ref="C1144">IFERROR(_xlfn.LET(
_xlpm.CSVVal,_xlfn.XLOOKUP($A1144,CSV!$A:$A,CSV!B:B,""),
_xlpm.MacVal,_xlfn.XLOOKUP($A1144,Output_Mac!$A:$A,Output_Mac!B:B,""),
_xlpm.MyAuditVal,_xlfn.XLOOKUP($A1144,My_Audit!$A:$A,My_Audit!B:B,""),
_xlfn.IFS(_xlpm.MyAuditVal&lt;&gt;"",UPPER(_xlpm.MyAuditVal),_xlpm.MacVal&lt;&gt;"",_xlpm.MacVal,_xlpm.CSVVal&lt;&gt;"",_xlpm.CSVVal
)),"")</f>
        <v/>
      </c>
      <c r="D1144" s="40" t="str" cm="1">
        <f t="array" ref="D1144">IFERROR(_xlfn.LET(
_xlpm.CSVVal,_xlfn.XLOOKUP($A1144,CSV!$A:$A,CSV!D:D,""),
_xlpm.MacVal,_xlfn.XLOOKUP($A1144,Output_Mac!$A:$A,Output_Mac!C:C,""),
_xlpm.MyAuditVal,_xlfn.XLOOKUP($A1144,My_Audit!$A:$A,My_Audit!C:C,""),
_xlfn.IFS(_xlpm.MyAuditVal&lt;&gt;"",_xlpm.MyAuditVal,_xlpm.MacVal&lt;&gt;"",_xlpm.MacVal,_xlpm.CSVVal&lt;&gt;"",_xlpm.CSVVal
)),"")</f>
        <v/>
      </c>
      <c r="E1144" s="40" t="str">
        <f>_xlfn.XLOOKUP(A1144,My_Audit!A:A,My_Audit!D:D,"")</f>
        <v/>
      </c>
      <c r="F1144" s="40" t="str" cm="1">
        <f t="array" ref="F1144">IFERROR(_xlfn.LET(
_xlpm.CSVVal,_xlfn.XLOOKUP($A1144,CSV!$A:$A,CSV!F:F,""),
_xlpm.MacVal,_xlfn.XLOOKUP($A1144,Output_Mac!$A:$A,Output_Mac!E:E,""),
_xlpm.MyAuditVal,_xlfn.XLOOKUP($A1144,My_Audit!$A:$A,My_Audit!E:E,""),
_xlfn.IFS(_xlpm.MyAuditVal&lt;&gt;"",_xlpm.MyAuditVal,_xlpm.MacVal&lt;&gt;"",_xlpm.MacVal,_xlpm.CSVVal&lt;&gt;"",_xlpm.CSVVal
)),"")</f>
        <v/>
      </c>
      <c r="G1144" s="40" t="str" cm="1">
        <f t="array" ref="G1144">IFERROR(_xlfn.LET(
_xlpm.CSVVal,_xlfn.XLOOKUP($A1144,CSV!$A:$A,CSV!G:G,""),
_xlpm.MacVal,_xlfn.XLOOKUP($A1144,Output_Mac!$A:$A,Output_Mac!F:F,""),
_xlpm.MyAuditVal,_xlfn.XLOOKUP($A1144,My_Audit!$A:$A,My_Audit!F:F,""),
_xlfn.IFS(_xlpm.MyAuditVal&lt;&gt;"",_xlpm.MyAuditVal,_xlpm.MacVal&lt;&gt;"",_xlpm.MacVal,_xlpm.CSVVal&lt;&gt;"",PROPER(_xlpm.CSVVal)
)),"")</f>
        <v/>
      </c>
      <c r="H1144" s="40" t="str" cm="1">
        <f t="array" ref="H1144">IFERROR(_xlfn.LET(
_xlpm.CSVVal,_xlfn.XLOOKUP($A1144,CSV!$A:$A,CSV!H:H,""),
_xlpm.MacVal,_xlfn.XLOOKUP($A1144,Output_Mac!$A:$A,Output_Mac!H:H,""),
_xlpm.MyAuditVal,_xlfn.XLOOKUP($A1144,My_Audit!$A:$A,My_Audit!G:G,""),
_xlfn.IFS(_xlpm.MyAuditVal&lt;&gt;"",_xlpm.MyAuditVal,_xlpm.MacVal&lt;&gt;"",_xlpm.MacVal,_xlpm.CSVVal&lt;&gt;"",_xlpm.CSVVal
)),"")</f>
        <v/>
      </c>
      <c r="I1144" s="40" t="str">
        <f>_xlfn.XLOOKUP(A1144,Output_Mac!A:A,Output_Mac!I:I,"")</f>
        <v/>
      </c>
      <c r="J1144" s="40" t="str" cm="1">
        <f t="array" ref="J1144">IFERROR(_xlfn.LET(
_xlpm.CSVVal,_xlfn.XLOOKUP($A1144,CSV!$A:$A,CSV!I:I,""),
_xlpm.MacVal,_xlfn.XLOOKUP($A1144,Output_Mac!$A:$A,Output_Mac!J:J,""),
_xlpm.MyAuditVal,_xlfn.XLOOKUP($A1144,My_Audit!$A:$A,My_Audit!I:I,""),
_xlfn.IFS(_xlpm.MyAuditVal&lt;&gt;"",UPPER(_xlpm.MyAuditVal),_xlpm.MacVal&lt;&gt;"",_xlpm.MacVal,_xlpm.CSVVal&lt;&gt;"",_xlpm.CSVVal
)),"")</f>
        <v/>
      </c>
      <c r="K1144" s="40" t="str" cm="1">
        <f t="array" ref="K1144">IFERROR(_xlfn.LET(
_xlpm.CSVVal,_xlfn.XLOOKUP($A1144,CSV!$A:$A,CSV!K:K,""),
_xlpm.MacVal,_xlfn.XLOOKUP($A1144,Output_Mac!$A:$A,Output_Mac!K:K,""),
_xlpm.MyAuditVal,_xlfn.XLOOKUP($A1144,My_Audit!$A:$A,My_Audit!J:J,""),
_xlfn.IFS(_xlpm.MyAuditVal&lt;&gt;"",UPPER(_xlpm.MyAuditVal),_xlpm.MacVal&lt;&gt;"",_xlpm.MacVal,_xlpm.CSVVal&lt;&gt;"",_xlpm.CSVVal
)),"")</f>
        <v/>
      </c>
      <c r="L1144" s="40" t="str" cm="1">
        <f t="array" ref="L1144">IFERROR(_xlfn.LET(
_xlpm.CSVVal,_xlfn.XLOOKUP($A1144,CSV!$A:$A,CSV!P:P,""),
_xlpm.MacVal,_xlfn.XLOOKUP($A1144,Output_Mac!$A:$A,Output_Mac!L:L,""),
_xlpm.MyAuditVal,_xlfn.XLOOKUP($A1144,My_Audit!$A:$A,My_Audit!K:K,""),
_xlfn.IFS(_xlpm.MyAuditVal&lt;&gt;"",UPPER(_xlpm.MyAuditVal),_xlpm.MacVal&lt;&gt;"",_xlpm.MacVal,_xlpm.CSVVal&lt;&gt;"",_xlpm.CSVVal
)),"")</f>
        <v/>
      </c>
      <c r="M1144" s="40" t="str" cm="1">
        <f t="array" ref="M1144">IFERROR(_xlfn.LET(
_xlpm.CSVVal,_xlfn.XLOOKUP($A1144,CSV!$A:$A,CSV!Q:Q,""),
_xlpm.MacVal,_xlfn.XLOOKUP($A1144,Output_Mac!$A:$A,Output_Mac!M:M,""),
_xlpm.MyAuditVal,_xlfn.XLOOKUP($A1144,My_Audit!$A:$A,My_Audit!L:L,""),
_xlfn.IFS(_xlpm.MyAuditVal&lt;&gt;"",UPPER(_xlpm.MyAuditVal),_xlpm.MacVal&lt;&gt;"",_xlpm.MacVal,_xlpm.CSVVal&lt;&gt;"",_xlpm.CSVVal
)),"")</f>
        <v/>
      </c>
      <c r="N1144" s="40"/>
      <c r="O1144" s="40" t="str">
        <f>_xlfn.LET(
    _xlpm.CSVVal, _xlfn.XLOOKUP($A1144, CSV!$A:$A, CSV!AA:AA, ""),
    _xlpm.MacVal, _xlfn.XLOOKUP($A1144, Output_Mac!$A:$A, Output_Mac!S:S, ""),
    _xlpm.MyAuditVal, _xlfn.XLOOKUP($A1144, My_Audit!$A:$A, My_Audit!P:P, ""),
    _xlfn.TEXTJOIN(", ", TRUE, _xlpm.MyAuditVal, _xlpm.MacVal, _xlpm.CSVVal)
)</f>
        <v/>
      </c>
      <c r="P1144" s="40" t="str" cm="1">
        <f t="array" ref="P1144">IFERROR(_xlfn.LET(
_xlpm.CSVVal,_xlfn.XLOOKUP($A1144,CSV!$A:$A,CSV!AB:AB,""),
_xlpm.MacVal,_xlfn.XLOOKUP($A1144,Output_Mac!$A:$A,Output_Mac!T:T,""),
_xlpm.MyAuditVal,_xlfn.XLOOKUP($A1144,My_Audit!$A:$A,My_Audit!Q:Q,""),
_xlfn.IFS(_xlpm.MyAuditVal&lt;&gt;"",UPPER(_xlpm.MyAuditVal),_xlpm.MacVal&lt;&gt;"",_xlpm.MacVal,_xlpm.CSVVal&lt;&gt;"",_xlpm.CSVVal
)),"No")</f>
        <v>No</v>
      </c>
      <c r="Q1144" s="40" t="str" cm="1">
        <f t="array" ref="Q1144">IFERROR(_xlfn.LET(
_xlpm.CSVVal,_xlfn.XLOOKUP($A1144,CSV!$A:$A,CSV!AC:AC,""),
_xlpm.MacVal,_xlfn.XLOOKUP($A1144,Output_Mac!$A:$A,Output_Mac!U:U,""),
_xlpm.MyAuditVal,_xlfn.XLOOKUP($A1144,My_Audit!$A:$A,My_Audit!R:R,""),
_xlfn.IFS(_xlpm.MyAuditVal&lt;&gt;"",UPPER(_xlpm.MyAuditVal),_xlpm.MacVal&lt;&gt;"",_xlpm.MacVal,_xlpm.CSVVal&lt;&gt;"",_xlpm.CSVVal
)),"")</f>
        <v/>
      </c>
      <c r="R1144" s="40"/>
      <c r="S1144" s="40"/>
      <c r="T1144" s="40"/>
      <c r="U1144" s="40"/>
      <c r="V1144" s="40"/>
      <c r="W1144" s="40"/>
      <c r="X1144" s="41" t="str">
        <f>_xlfn.LET(
    _xlpm.MacVal, _xlfn.XLOOKUP($A1144, Output_Mac!$A:$A, Output_Mac!AB:AB, ""),
    _xlpm.MyAuditVal, _xlfn.XLOOKUP($A1144, My_Audit!$A:$A, My_Audit!N:N, ""),
    _xlfn.TEXTJOIN(", ", TRUE, _xlpm.MyAuditVal, _xlpm.MacVal)
)</f>
        <v/>
      </c>
    </row>
    <row r="1145" spans="1:24">
      <c r="A1145" s="40" t="str">
        <f>_xlfn.TEXTJOIN("",TRUE,Input!$B$2,ROW(My_Audit!A1144))</f>
        <v>X1144</v>
      </c>
      <c r="B1145" s="40" t="str">
        <f>_xlfn.TEXTJOIN("-",TRUE,"ITD",Input!$A$2,A1145)</f>
        <v>ITD-X1144</v>
      </c>
      <c r="C1145" s="40" t="str" cm="1">
        <f t="array" ref="C1145">IFERROR(_xlfn.LET(
_xlpm.CSVVal,_xlfn.XLOOKUP($A1145,CSV!$A:$A,CSV!B:B,""),
_xlpm.MacVal,_xlfn.XLOOKUP($A1145,Output_Mac!$A:$A,Output_Mac!B:B,""),
_xlpm.MyAuditVal,_xlfn.XLOOKUP($A1145,My_Audit!$A:$A,My_Audit!B:B,""),
_xlfn.IFS(_xlpm.MyAuditVal&lt;&gt;"",UPPER(_xlpm.MyAuditVal),_xlpm.MacVal&lt;&gt;"",_xlpm.MacVal,_xlpm.CSVVal&lt;&gt;"",_xlpm.CSVVal
)),"")</f>
        <v/>
      </c>
      <c r="D1145" s="40" t="str" cm="1">
        <f t="array" ref="D1145">IFERROR(_xlfn.LET(
_xlpm.CSVVal,_xlfn.XLOOKUP($A1145,CSV!$A:$A,CSV!D:D,""),
_xlpm.MacVal,_xlfn.XLOOKUP($A1145,Output_Mac!$A:$A,Output_Mac!C:C,""),
_xlpm.MyAuditVal,_xlfn.XLOOKUP($A1145,My_Audit!$A:$A,My_Audit!C:C,""),
_xlfn.IFS(_xlpm.MyAuditVal&lt;&gt;"",_xlpm.MyAuditVal,_xlpm.MacVal&lt;&gt;"",_xlpm.MacVal,_xlpm.CSVVal&lt;&gt;"",_xlpm.CSVVal
)),"")</f>
        <v/>
      </c>
      <c r="E1145" s="40" t="str">
        <f>_xlfn.XLOOKUP(A1145,My_Audit!A:A,My_Audit!D:D,"")</f>
        <v/>
      </c>
      <c r="F1145" s="40" t="str" cm="1">
        <f t="array" ref="F1145">IFERROR(_xlfn.LET(
_xlpm.CSVVal,_xlfn.XLOOKUP($A1145,CSV!$A:$A,CSV!F:F,""),
_xlpm.MacVal,_xlfn.XLOOKUP($A1145,Output_Mac!$A:$A,Output_Mac!E:E,""),
_xlpm.MyAuditVal,_xlfn.XLOOKUP($A1145,My_Audit!$A:$A,My_Audit!E:E,""),
_xlfn.IFS(_xlpm.MyAuditVal&lt;&gt;"",_xlpm.MyAuditVal,_xlpm.MacVal&lt;&gt;"",_xlpm.MacVal,_xlpm.CSVVal&lt;&gt;"",_xlpm.CSVVal
)),"")</f>
        <v/>
      </c>
      <c r="G1145" s="40" t="str" cm="1">
        <f t="array" ref="G1145">IFERROR(_xlfn.LET(
_xlpm.CSVVal,_xlfn.XLOOKUP($A1145,CSV!$A:$A,CSV!G:G,""),
_xlpm.MacVal,_xlfn.XLOOKUP($A1145,Output_Mac!$A:$A,Output_Mac!F:F,""),
_xlpm.MyAuditVal,_xlfn.XLOOKUP($A1145,My_Audit!$A:$A,My_Audit!F:F,""),
_xlfn.IFS(_xlpm.MyAuditVal&lt;&gt;"",_xlpm.MyAuditVal,_xlpm.MacVal&lt;&gt;"",_xlpm.MacVal,_xlpm.CSVVal&lt;&gt;"",PROPER(_xlpm.CSVVal)
)),"")</f>
        <v/>
      </c>
      <c r="H1145" s="40" t="str" cm="1">
        <f t="array" ref="H1145">IFERROR(_xlfn.LET(
_xlpm.CSVVal,_xlfn.XLOOKUP($A1145,CSV!$A:$A,CSV!H:H,""),
_xlpm.MacVal,_xlfn.XLOOKUP($A1145,Output_Mac!$A:$A,Output_Mac!H:H,""),
_xlpm.MyAuditVal,_xlfn.XLOOKUP($A1145,My_Audit!$A:$A,My_Audit!G:G,""),
_xlfn.IFS(_xlpm.MyAuditVal&lt;&gt;"",_xlpm.MyAuditVal,_xlpm.MacVal&lt;&gt;"",_xlpm.MacVal,_xlpm.CSVVal&lt;&gt;"",_xlpm.CSVVal
)),"")</f>
        <v/>
      </c>
      <c r="I1145" s="40" t="str">
        <f>_xlfn.XLOOKUP(A1145,Output_Mac!A:A,Output_Mac!I:I,"")</f>
        <v/>
      </c>
      <c r="J1145" s="40" t="str" cm="1">
        <f t="array" ref="J1145">IFERROR(_xlfn.LET(
_xlpm.CSVVal,_xlfn.XLOOKUP($A1145,CSV!$A:$A,CSV!I:I,""),
_xlpm.MacVal,_xlfn.XLOOKUP($A1145,Output_Mac!$A:$A,Output_Mac!J:J,""),
_xlpm.MyAuditVal,_xlfn.XLOOKUP($A1145,My_Audit!$A:$A,My_Audit!I:I,""),
_xlfn.IFS(_xlpm.MyAuditVal&lt;&gt;"",UPPER(_xlpm.MyAuditVal),_xlpm.MacVal&lt;&gt;"",_xlpm.MacVal,_xlpm.CSVVal&lt;&gt;"",_xlpm.CSVVal
)),"")</f>
        <v/>
      </c>
      <c r="K1145" s="40" t="str" cm="1">
        <f t="array" ref="K1145">IFERROR(_xlfn.LET(
_xlpm.CSVVal,_xlfn.XLOOKUP($A1145,CSV!$A:$A,CSV!K:K,""),
_xlpm.MacVal,_xlfn.XLOOKUP($A1145,Output_Mac!$A:$A,Output_Mac!K:K,""),
_xlpm.MyAuditVal,_xlfn.XLOOKUP($A1145,My_Audit!$A:$A,My_Audit!J:J,""),
_xlfn.IFS(_xlpm.MyAuditVal&lt;&gt;"",UPPER(_xlpm.MyAuditVal),_xlpm.MacVal&lt;&gt;"",_xlpm.MacVal,_xlpm.CSVVal&lt;&gt;"",_xlpm.CSVVal
)),"")</f>
        <v/>
      </c>
      <c r="L1145" s="40" t="str" cm="1">
        <f t="array" ref="L1145">IFERROR(_xlfn.LET(
_xlpm.CSVVal,_xlfn.XLOOKUP($A1145,CSV!$A:$A,CSV!P:P,""),
_xlpm.MacVal,_xlfn.XLOOKUP($A1145,Output_Mac!$A:$A,Output_Mac!L:L,""),
_xlpm.MyAuditVal,_xlfn.XLOOKUP($A1145,My_Audit!$A:$A,My_Audit!K:K,""),
_xlfn.IFS(_xlpm.MyAuditVal&lt;&gt;"",UPPER(_xlpm.MyAuditVal),_xlpm.MacVal&lt;&gt;"",_xlpm.MacVal,_xlpm.CSVVal&lt;&gt;"",_xlpm.CSVVal
)),"")</f>
        <v/>
      </c>
      <c r="M1145" s="40" t="str" cm="1">
        <f t="array" ref="M1145">IFERROR(_xlfn.LET(
_xlpm.CSVVal,_xlfn.XLOOKUP($A1145,CSV!$A:$A,CSV!Q:Q,""),
_xlpm.MacVal,_xlfn.XLOOKUP($A1145,Output_Mac!$A:$A,Output_Mac!M:M,""),
_xlpm.MyAuditVal,_xlfn.XLOOKUP($A1145,My_Audit!$A:$A,My_Audit!L:L,""),
_xlfn.IFS(_xlpm.MyAuditVal&lt;&gt;"",UPPER(_xlpm.MyAuditVal),_xlpm.MacVal&lt;&gt;"",_xlpm.MacVal,_xlpm.CSVVal&lt;&gt;"",_xlpm.CSVVal
)),"")</f>
        <v/>
      </c>
      <c r="N1145" s="40"/>
      <c r="O1145" s="40" t="str">
        <f>_xlfn.LET(
    _xlpm.CSVVal, _xlfn.XLOOKUP($A1145, CSV!$A:$A, CSV!AA:AA, ""),
    _xlpm.MacVal, _xlfn.XLOOKUP($A1145, Output_Mac!$A:$A, Output_Mac!S:S, ""),
    _xlpm.MyAuditVal, _xlfn.XLOOKUP($A1145, My_Audit!$A:$A, My_Audit!P:P, ""),
    _xlfn.TEXTJOIN(", ", TRUE, _xlpm.MyAuditVal, _xlpm.MacVal, _xlpm.CSVVal)
)</f>
        <v/>
      </c>
      <c r="P1145" s="40" t="str" cm="1">
        <f t="array" ref="P1145">IFERROR(_xlfn.LET(
_xlpm.CSVVal,_xlfn.XLOOKUP($A1145,CSV!$A:$A,CSV!AB:AB,""),
_xlpm.MacVal,_xlfn.XLOOKUP($A1145,Output_Mac!$A:$A,Output_Mac!T:T,""),
_xlpm.MyAuditVal,_xlfn.XLOOKUP($A1145,My_Audit!$A:$A,My_Audit!Q:Q,""),
_xlfn.IFS(_xlpm.MyAuditVal&lt;&gt;"",UPPER(_xlpm.MyAuditVal),_xlpm.MacVal&lt;&gt;"",_xlpm.MacVal,_xlpm.CSVVal&lt;&gt;"",_xlpm.CSVVal
)),"No")</f>
        <v>No</v>
      </c>
      <c r="Q1145" s="40" t="str" cm="1">
        <f t="array" ref="Q1145">IFERROR(_xlfn.LET(
_xlpm.CSVVal,_xlfn.XLOOKUP($A1145,CSV!$A:$A,CSV!AC:AC,""),
_xlpm.MacVal,_xlfn.XLOOKUP($A1145,Output_Mac!$A:$A,Output_Mac!U:U,""),
_xlpm.MyAuditVal,_xlfn.XLOOKUP($A1145,My_Audit!$A:$A,My_Audit!R:R,""),
_xlfn.IFS(_xlpm.MyAuditVal&lt;&gt;"",UPPER(_xlpm.MyAuditVal),_xlpm.MacVal&lt;&gt;"",_xlpm.MacVal,_xlpm.CSVVal&lt;&gt;"",_xlpm.CSVVal
)),"")</f>
        <v/>
      </c>
      <c r="R1145" s="40"/>
      <c r="S1145" s="40"/>
      <c r="T1145" s="40"/>
      <c r="U1145" s="40"/>
      <c r="V1145" s="40"/>
      <c r="W1145" s="40"/>
      <c r="X1145" s="41" t="str">
        <f>_xlfn.LET(
    _xlpm.MacVal, _xlfn.XLOOKUP($A1145, Output_Mac!$A:$A, Output_Mac!AB:AB, ""),
    _xlpm.MyAuditVal, _xlfn.XLOOKUP($A1145, My_Audit!$A:$A, My_Audit!N:N, ""),
    _xlfn.TEXTJOIN(", ", TRUE, _xlpm.MyAuditVal, _xlpm.MacVal)
)</f>
        <v/>
      </c>
    </row>
    <row r="1146" spans="1:24">
      <c r="A1146" s="40" t="str">
        <f>_xlfn.TEXTJOIN("",TRUE,Input!$B$2,ROW(My_Audit!A1145))</f>
        <v>X1145</v>
      </c>
      <c r="B1146" s="40" t="str">
        <f>_xlfn.TEXTJOIN("-",TRUE,"ITD",Input!$A$2,A1146)</f>
        <v>ITD-X1145</v>
      </c>
      <c r="C1146" s="40" t="str" cm="1">
        <f t="array" ref="C1146">IFERROR(_xlfn.LET(
_xlpm.CSVVal,_xlfn.XLOOKUP($A1146,CSV!$A:$A,CSV!B:B,""),
_xlpm.MacVal,_xlfn.XLOOKUP($A1146,Output_Mac!$A:$A,Output_Mac!B:B,""),
_xlpm.MyAuditVal,_xlfn.XLOOKUP($A1146,My_Audit!$A:$A,My_Audit!B:B,""),
_xlfn.IFS(_xlpm.MyAuditVal&lt;&gt;"",UPPER(_xlpm.MyAuditVal),_xlpm.MacVal&lt;&gt;"",_xlpm.MacVal,_xlpm.CSVVal&lt;&gt;"",_xlpm.CSVVal
)),"")</f>
        <v/>
      </c>
      <c r="D1146" s="40" t="str" cm="1">
        <f t="array" ref="D1146">IFERROR(_xlfn.LET(
_xlpm.CSVVal,_xlfn.XLOOKUP($A1146,CSV!$A:$A,CSV!D:D,""),
_xlpm.MacVal,_xlfn.XLOOKUP($A1146,Output_Mac!$A:$A,Output_Mac!C:C,""),
_xlpm.MyAuditVal,_xlfn.XLOOKUP($A1146,My_Audit!$A:$A,My_Audit!C:C,""),
_xlfn.IFS(_xlpm.MyAuditVal&lt;&gt;"",_xlpm.MyAuditVal,_xlpm.MacVal&lt;&gt;"",_xlpm.MacVal,_xlpm.CSVVal&lt;&gt;"",_xlpm.CSVVal
)),"")</f>
        <v/>
      </c>
      <c r="E1146" s="40" t="str">
        <f>_xlfn.XLOOKUP(A1146,My_Audit!A:A,My_Audit!D:D,"")</f>
        <v/>
      </c>
      <c r="F1146" s="40" t="str" cm="1">
        <f t="array" ref="F1146">IFERROR(_xlfn.LET(
_xlpm.CSVVal,_xlfn.XLOOKUP($A1146,CSV!$A:$A,CSV!F:F,""),
_xlpm.MacVal,_xlfn.XLOOKUP($A1146,Output_Mac!$A:$A,Output_Mac!E:E,""),
_xlpm.MyAuditVal,_xlfn.XLOOKUP($A1146,My_Audit!$A:$A,My_Audit!E:E,""),
_xlfn.IFS(_xlpm.MyAuditVal&lt;&gt;"",_xlpm.MyAuditVal,_xlpm.MacVal&lt;&gt;"",_xlpm.MacVal,_xlpm.CSVVal&lt;&gt;"",_xlpm.CSVVal
)),"")</f>
        <v/>
      </c>
      <c r="G1146" s="40" t="str" cm="1">
        <f t="array" ref="G1146">IFERROR(_xlfn.LET(
_xlpm.CSVVal,_xlfn.XLOOKUP($A1146,CSV!$A:$A,CSV!G:G,""),
_xlpm.MacVal,_xlfn.XLOOKUP($A1146,Output_Mac!$A:$A,Output_Mac!F:F,""),
_xlpm.MyAuditVal,_xlfn.XLOOKUP($A1146,My_Audit!$A:$A,My_Audit!F:F,""),
_xlfn.IFS(_xlpm.MyAuditVal&lt;&gt;"",_xlpm.MyAuditVal,_xlpm.MacVal&lt;&gt;"",_xlpm.MacVal,_xlpm.CSVVal&lt;&gt;"",PROPER(_xlpm.CSVVal)
)),"")</f>
        <v/>
      </c>
      <c r="H1146" s="40" t="str" cm="1">
        <f t="array" ref="H1146">IFERROR(_xlfn.LET(
_xlpm.CSVVal,_xlfn.XLOOKUP($A1146,CSV!$A:$A,CSV!H:H,""),
_xlpm.MacVal,_xlfn.XLOOKUP($A1146,Output_Mac!$A:$A,Output_Mac!H:H,""),
_xlpm.MyAuditVal,_xlfn.XLOOKUP($A1146,My_Audit!$A:$A,My_Audit!G:G,""),
_xlfn.IFS(_xlpm.MyAuditVal&lt;&gt;"",_xlpm.MyAuditVal,_xlpm.MacVal&lt;&gt;"",_xlpm.MacVal,_xlpm.CSVVal&lt;&gt;"",_xlpm.CSVVal
)),"")</f>
        <v/>
      </c>
      <c r="I1146" s="40" t="str">
        <f>_xlfn.XLOOKUP(A1146,Output_Mac!A:A,Output_Mac!I:I,"")</f>
        <v/>
      </c>
      <c r="J1146" s="40" t="str" cm="1">
        <f t="array" ref="J1146">IFERROR(_xlfn.LET(
_xlpm.CSVVal,_xlfn.XLOOKUP($A1146,CSV!$A:$A,CSV!I:I,""),
_xlpm.MacVal,_xlfn.XLOOKUP($A1146,Output_Mac!$A:$A,Output_Mac!J:J,""),
_xlpm.MyAuditVal,_xlfn.XLOOKUP($A1146,My_Audit!$A:$A,My_Audit!I:I,""),
_xlfn.IFS(_xlpm.MyAuditVal&lt;&gt;"",UPPER(_xlpm.MyAuditVal),_xlpm.MacVal&lt;&gt;"",_xlpm.MacVal,_xlpm.CSVVal&lt;&gt;"",_xlpm.CSVVal
)),"")</f>
        <v/>
      </c>
      <c r="K1146" s="40" t="str" cm="1">
        <f t="array" ref="K1146">IFERROR(_xlfn.LET(
_xlpm.CSVVal,_xlfn.XLOOKUP($A1146,CSV!$A:$A,CSV!K:K,""),
_xlpm.MacVal,_xlfn.XLOOKUP($A1146,Output_Mac!$A:$A,Output_Mac!K:K,""),
_xlpm.MyAuditVal,_xlfn.XLOOKUP($A1146,My_Audit!$A:$A,My_Audit!J:J,""),
_xlfn.IFS(_xlpm.MyAuditVal&lt;&gt;"",UPPER(_xlpm.MyAuditVal),_xlpm.MacVal&lt;&gt;"",_xlpm.MacVal,_xlpm.CSVVal&lt;&gt;"",_xlpm.CSVVal
)),"")</f>
        <v/>
      </c>
      <c r="L1146" s="40" t="str" cm="1">
        <f t="array" ref="L1146">IFERROR(_xlfn.LET(
_xlpm.CSVVal,_xlfn.XLOOKUP($A1146,CSV!$A:$A,CSV!P:P,""),
_xlpm.MacVal,_xlfn.XLOOKUP($A1146,Output_Mac!$A:$A,Output_Mac!L:L,""),
_xlpm.MyAuditVal,_xlfn.XLOOKUP($A1146,My_Audit!$A:$A,My_Audit!K:K,""),
_xlfn.IFS(_xlpm.MyAuditVal&lt;&gt;"",UPPER(_xlpm.MyAuditVal),_xlpm.MacVal&lt;&gt;"",_xlpm.MacVal,_xlpm.CSVVal&lt;&gt;"",_xlpm.CSVVal
)),"")</f>
        <v/>
      </c>
      <c r="M1146" s="40" t="str" cm="1">
        <f t="array" ref="M1146">IFERROR(_xlfn.LET(
_xlpm.CSVVal,_xlfn.XLOOKUP($A1146,CSV!$A:$A,CSV!Q:Q,""),
_xlpm.MacVal,_xlfn.XLOOKUP($A1146,Output_Mac!$A:$A,Output_Mac!M:M,""),
_xlpm.MyAuditVal,_xlfn.XLOOKUP($A1146,My_Audit!$A:$A,My_Audit!L:L,""),
_xlfn.IFS(_xlpm.MyAuditVal&lt;&gt;"",UPPER(_xlpm.MyAuditVal),_xlpm.MacVal&lt;&gt;"",_xlpm.MacVal,_xlpm.CSVVal&lt;&gt;"",_xlpm.CSVVal
)),"")</f>
        <v/>
      </c>
      <c r="N1146" s="40"/>
      <c r="O1146" s="40" t="str">
        <f>_xlfn.LET(
    _xlpm.CSVVal, _xlfn.XLOOKUP($A1146, CSV!$A:$A, CSV!AA:AA, ""),
    _xlpm.MacVal, _xlfn.XLOOKUP($A1146, Output_Mac!$A:$A, Output_Mac!S:S, ""),
    _xlpm.MyAuditVal, _xlfn.XLOOKUP($A1146, My_Audit!$A:$A, My_Audit!P:P, ""),
    _xlfn.TEXTJOIN(", ", TRUE, _xlpm.MyAuditVal, _xlpm.MacVal, _xlpm.CSVVal)
)</f>
        <v/>
      </c>
      <c r="P1146" s="40" t="str" cm="1">
        <f t="array" ref="P1146">IFERROR(_xlfn.LET(
_xlpm.CSVVal,_xlfn.XLOOKUP($A1146,CSV!$A:$A,CSV!AB:AB,""),
_xlpm.MacVal,_xlfn.XLOOKUP($A1146,Output_Mac!$A:$A,Output_Mac!T:T,""),
_xlpm.MyAuditVal,_xlfn.XLOOKUP($A1146,My_Audit!$A:$A,My_Audit!Q:Q,""),
_xlfn.IFS(_xlpm.MyAuditVal&lt;&gt;"",UPPER(_xlpm.MyAuditVal),_xlpm.MacVal&lt;&gt;"",_xlpm.MacVal,_xlpm.CSVVal&lt;&gt;"",_xlpm.CSVVal
)),"No")</f>
        <v>No</v>
      </c>
      <c r="Q1146" s="40" t="str" cm="1">
        <f t="array" ref="Q1146">IFERROR(_xlfn.LET(
_xlpm.CSVVal,_xlfn.XLOOKUP($A1146,CSV!$A:$A,CSV!AC:AC,""),
_xlpm.MacVal,_xlfn.XLOOKUP($A1146,Output_Mac!$A:$A,Output_Mac!U:U,""),
_xlpm.MyAuditVal,_xlfn.XLOOKUP($A1146,My_Audit!$A:$A,My_Audit!R:R,""),
_xlfn.IFS(_xlpm.MyAuditVal&lt;&gt;"",UPPER(_xlpm.MyAuditVal),_xlpm.MacVal&lt;&gt;"",_xlpm.MacVal,_xlpm.CSVVal&lt;&gt;"",_xlpm.CSVVal
)),"")</f>
        <v/>
      </c>
      <c r="R1146" s="40"/>
      <c r="S1146" s="40"/>
      <c r="T1146" s="40"/>
      <c r="U1146" s="40"/>
      <c r="V1146" s="40"/>
      <c r="W1146" s="40"/>
      <c r="X1146" s="41" t="str">
        <f>_xlfn.LET(
    _xlpm.MacVal, _xlfn.XLOOKUP($A1146, Output_Mac!$A:$A, Output_Mac!AB:AB, ""),
    _xlpm.MyAuditVal, _xlfn.XLOOKUP($A1146, My_Audit!$A:$A, My_Audit!N:N, ""),
    _xlfn.TEXTJOIN(", ", TRUE, _xlpm.MyAuditVal, _xlpm.MacVal)
)</f>
        <v/>
      </c>
    </row>
    <row r="1147" spans="1:24">
      <c r="A1147" s="40" t="str">
        <f>_xlfn.TEXTJOIN("",TRUE,Input!$B$2,ROW(My_Audit!A1146))</f>
        <v>X1146</v>
      </c>
      <c r="B1147" s="40" t="str">
        <f>_xlfn.TEXTJOIN("-",TRUE,"ITD",Input!$A$2,A1147)</f>
        <v>ITD-X1146</v>
      </c>
      <c r="C1147" s="40" t="str" cm="1">
        <f t="array" ref="C1147">IFERROR(_xlfn.LET(
_xlpm.CSVVal,_xlfn.XLOOKUP($A1147,CSV!$A:$A,CSV!B:B,""),
_xlpm.MacVal,_xlfn.XLOOKUP($A1147,Output_Mac!$A:$A,Output_Mac!B:B,""),
_xlpm.MyAuditVal,_xlfn.XLOOKUP($A1147,My_Audit!$A:$A,My_Audit!B:B,""),
_xlfn.IFS(_xlpm.MyAuditVal&lt;&gt;"",UPPER(_xlpm.MyAuditVal),_xlpm.MacVal&lt;&gt;"",_xlpm.MacVal,_xlpm.CSVVal&lt;&gt;"",_xlpm.CSVVal
)),"")</f>
        <v/>
      </c>
      <c r="D1147" s="40" t="str" cm="1">
        <f t="array" ref="D1147">IFERROR(_xlfn.LET(
_xlpm.CSVVal,_xlfn.XLOOKUP($A1147,CSV!$A:$A,CSV!D:D,""),
_xlpm.MacVal,_xlfn.XLOOKUP($A1147,Output_Mac!$A:$A,Output_Mac!C:C,""),
_xlpm.MyAuditVal,_xlfn.XLOOKUP($A1147,My_Audit!$A:$A,My_Audit!C:C,""),
_xlfn.IFS(_xlpm.MyAuditVal&lt;&gt;"",_xlpm.MyAuditVal,_xlpm.MacVal&lt;&gt;"",_xlpm.MacVal,_xlpm.CSVVal&lt;&gt;"",_xlpm.CSVVal
)),"")</f>
        <v/>
      </c>
      <c r="E1147" s="40" t="str">
        <f>_xlfn.XLOOKUP(A1147,My_Audit!A:A,My_Audit!D:D,"")</f>
        <v/>
      </c>
      <c r="F1147" s="40" t="str" cm="1">
        <f t="array" ref="F1147">IFERROR(_xlfn.LET(
_xlpm.CSVVal,_xlfn.XLOOKUP($A1147,CSV!$A:$A,CSV!F:F,""),
_xlpm.MacVal,_xlfn.XLOOKUP($A1147,Output_Mac!$A:$A,Output_Mac!E:E,""),
_xlpm.MyAuditVal,_xlfn.XLOOKUP($A1147,My_Audit!$A:$A,My_Audit!E:E,""),
_xlfn.IFS(_xlpm.MyAuditVal&lt;&gt;"",_xlpm.MyAuditVal,_xlpm.MacVal&lt;&gt;"",_xlpm.MacVal,_xlpm.CSVVal&lt;&gt;"",_xlpm.CSVVal
)),"")</f>
        <v/>
      </c>
      <c r="G1147" s="40" t="str" cm="1">
        <f t="array" ref="G1147">IFERROR(_xlfn.LET(
_xlpm.CSVVal,_xlfn.XLOOKUP($A1147,CSV!$A:$A,CSV!G:G,""),
_xlpm.MacVal,_xlfn.XLOOKUP($A1147,Output_Mac!$A:$A,Output_Mac!F:F,""),
_xlpm.MyAuditVal,_xlfn.XLOOKUP($A1147,My_Audit!$A:$A,My_Audit!F:F,""),
_xlfn.IFS(_xlpm.MyAuditVal&lt;&gt;"",_xlpm.MyAuditVal,_xlpm.MacVal&lt;&gt;"",_xlpm.MacVal,_xlpm.CSVVal&lt;&gt;"",PROPER(_xlpm.CSVVal)
)),"")</f>
        <v/>
      </c>
      <c r="H1147" s="40" t="str" cm="1">
        <f t="array" ref="H1147">IFERROR(_xlfn.LET(
_xlpm.CSVVal,_xlfn.XLOOKUP($A1147,CSV!$A:$A,CSV!H:H,""),
_xlpm.MacVal,_xlfn.XLOOKUP($A1147,Output_Mac!$A:$A,Output_Mac!H:H,""),
_xlpm.MyAuditVal,_xlfn.XLOOKUP($A1147,My_Audit!$A:$A,My_Audit!G:G,""),
_xlfn.IFS(_xlpm.MyAuditVal&lt;&gt;"",_xlpm.MyAuditVal,_xlpm.MacVal&lt;&gt;"",_xlpm.MacVal,_xlpm.CSVVal&lt;&gt;"",_xlpm.CSVVal
)),"")</f>
        <v/>
      </c>
      <c r="I1147" s="40" t="str">
        <f>_xlfn.XLOOKUP(A1147,Output_Mac!A:A,Output_Mac!I:I,"")</f>
        <v/>
      </c>
      <c r="J1147" s="40" t="str" cm="1">
        <f t="array" ref="J1147">IFERROR(_xlfn.LET(
_xlpm.CSVVal,_xlfn.XLOOKUP($A1147,CSV!$A:$A,CSV!I:I,""),
_xlpm.MacVal,_xlfn.XLOOKUP($A1147,Output_Mac!$A:$A,Output_Mac!J:J,""),
_xlpm.MyAuditVal,_xlfn.XLOOKUP($A1147,My_Audit!$A:$A,My_Audit!I:I,""),
_xlfn.IFS(_xlpm.MyAuditVal&lt;&gt;"",UPPER(_xlpm.MyAuditVal),_xlpm.MacVal&lt;&gt;"",_xlpm.MacVal,_xlpm.CSVVal&lt;&gt;"",_xlpm.CSVVal
)),"")</f>
        <v/>
      </c>
      <c r="K1147" s="40" t="str" cm="1">
        <f t="array" ref="K1147">IFERROR(_xlfn.LET(
_xlpm.CSVVal,_xlfn.XLOOKUP($A1147,CSV!$A:$A,CSV!K:K,""),
_xlpm.MacVal,_xlfn.XLOOKUP($A1147,Output_Mac!$A:$A,Output_Mac!K:K,""),
_xlpm.MyAuditVal,_xlfn.XLOOKUP($A1147,My_Audit!$A:$A,My_Audit!J:J,""),
_xlfn.IFS(_xlpm.MyAuditVal&lt;&gt;"",UPPER(_xlpm.MyAuditVal),_xlpm.MacVal&lt;&gt;"",_xlpm.MacVal,_xlpm.CSVVal&lt;&gt;"",_xlpm.CSVVal
)),"")</f>
        <v/>
      </c>
      <c r="L1147" s="40" t="str" cm="1">
        <f t="array" ref="L1147">IFERROR(_xlfn.LET(
_xlpm.CSVVal,_xlfn.XLOOKUP($A1147,CSV!$A:$A,CSV!P:P,""),
_xlpm.MacVal,_xlfn.XLOOKUP($A1147,Output_Mac!$A:$A,Output_Mac!L:L,""),
_xlpm.MyAuditVal,_xlfn.XLOOKUP($A1147,My_Audit!$A:$A,My_Audit!K:K,""),
_xlfn.IFS(_xlpm.MyAuditVal&lt;&gt;"",UPPER(_xlpm.MyAuditVal),_xlpm.MacVal&lt;&gt;"",_xlpm.MacVal,_xlpm.CSVVal&lt;&gt;"",_xlpm.CSVVal
)),"")</f>
        <v/>
      </c>
      <c r="M1147" s="40" t="str" cm="1">
        <f t="array" ref="M1147">IFERROR(_xlfn.LET(
_xlpm.CSVVal,_xlfn.XLOOKUP($A1147,CSV!$A:$A,CSV!Q:Q,""),
_xlpm.MacVal,_xlfn.XLOOKUP($A1147,Output_Mac!$A:$A,Output_Mac!M:M,""),
_xlpm.MyAuditVal,_xlfn.XLOOKUP($A1147,My_Audit!$A:$A,My_Audit!L:L,""),
_xlfn.IFS(_xlpm.MyAuditVal&lt;&gt;"",UPPER(_xlpm.MyAuditVal),_xlpm.MacVal&lt;&gt;"",_xlpm.MacVal,_xlpm.CSVVal&lt;&gt;"",_xlpm.CSVVal
)),"")</f>
        <v/>
      </c>
      <c r="N1147" s="40"/>
      <c r="O1147" s="40" t="str">
        <f>_xlfn.LET(
    _xlpm.CSVVal, _xlfn.XLOOKUP($A1147, CSV!$A:$A, CSV!AA:AA, ""),
    _xlpm.MacVal, _xlfn.XLOOKUP($A1147, Output_Mac!$A:$A, Output_Mac!S:S, ""),
    _xlpm.MyAuditVal, _xlfn.XLOOKUP($A1147, My_Audit!$A:$A, My_Audit!P:P, ""),
    _xlfn.TEXTJOIN(", ", TRUE, _xlpm.MyAuditVal, _xlpm.MacVal, _xlpm.CSVVal)
)</f>
        <v/>
      </c>
      <c r="P1147" s="40" t="str" cm="1">
        <f t="array" ref="P1147">IFERROR(_xlfn.LET(
_xlpm.CSVVal,_xlfn.XLOOKUP($A1147,CSV!$A:$A,CSV!AB:AB,""),
_xlpm.MacVal,_xlfn.XLOOKUP($A1147,Output_Mac!$A:$A,Output_Mac!T:T,""),
_xlpm.MyAuditVal,_xlfn.XLOOKUP($A1147,My_Audit!$A:$A,My_Audit!Q:Q,""),
_xlfn.IFS(_xlpm.MyAuditVal&lt;&gt;"",UPPER(_xlpm.MyAuditVal),_xlpm.MacVal&lt;&gt;"",_xlpm.MacVal,_xlpm.CSVVal&lt;&gt;"",_xlpm.CSVVal
)),"No")</f>
        <v>No</v>
      </c>
      <c r="Q1147" s="40" t="str" cm="1">
        <f t="array" ref="Q1147">IFERROR(_xlfn.LET(
_xlpm.CSVVal,_xlfn.XLOOKUP($A1147,CSV!$A:$A,CSV!AC:AC,""),
_xlpm.MacVal,_xlfn.XLOOKUP($A1147,Output_Mac!$A:$A,Output_Mac!U:U,""),
_xlpm.MyAuditVal,_xlfn.XLOOKUP($A1147,My_Audit!$A:$A,My_Audit!R:R,""),
_xlfn.IFS(_xlpm.MyAuditVal&lt;&gt;"",UPPER(_xlpm.MyAuditVal),_xlpm.MacVal&lt;&gt;"",_xlpm.MacVal,_xlpm.CSVVal&lt;&gt;"",_xlpm.CSVVal
)),"")</f>
        <v/>
      </c>
      <c r="R1147" s="40"/>
      <c r="S1147" s="40"/>
      <c r="T1147" s="40"/>
      <c r="U1147" s="40"/>
      <c r="V1147" s="40"/>
      <c r="W1147" s="40"/>
      <c r="X1147" s="41" t="str">
        <f>_xlfn.LET(
    _xlpm.MacVal, _xlfn.XLOOKUP($A1147, Output_Mac!$A:$A, Output_Mac!AB:AB, ""),
    _xlpm.MyAuditVal, _xlfn.XLOOKUP($A1147, My_Audit!$A:$A, My_Audit!N:N, ""),
    _xlfn.TEXTJOIN(", ", TRUE, _xlpm.MyAuditVal, _xlpm.MacVal)
)</f>
        <v/>
      </c>
    </row>
    <row r="1148" spans="1:24">
      <c r="A1148" s="40" t="str">
        <f>_xlfn.TEXTJOIN("",TRUE,Input!$B$2,ROW(My_Audit!A1147))</f>
        <v>X1147</v>
      </c>
      <c r="B1148" s="40" t="str">
        <f>_xlfn.TEXTJOIN("-",TRUE,"ITD",Input!$A$2,A1148)</f>
        <v>ITD-X1147</v>
      </c>
      <c r="C1148" s="40" t="str" cm="1">
        <f t="array" ref="C1148">IFERROR(_xlfn.LET(
_xlpm.CSVVal,_xlfn.XLOOKUP($A1148,CSV!$A:$A,CSV!B:B,""),
_xlpm.MacVal,_xlfn.XLOOKUP($A1148,Output_Mac!$A:$A,Output_Mac!B:B,""),
_xlpm.MyAuditVal,_xlfn.XLOOKUP($A1148,My_Audit!$A:$A,My_Audit!B:B,""),
_xlfn.IFS(_xlpm.MyAuditVal&lt;&gt;"",UPPER(_xlpm.MyAuditVal),_xlpm.MacVal&lt;&gt;"",_xlpm.MacVal,_xlpm.CSVVal&lt;&gt;"",_xlpm.CSVVal
)),"")</f>
        <v/>
      </c>
      <c r="D1148" s="40" t="str" cm="1">
        <f t="array" ref="D1148">IFERROR(_xlfn.LET(
_xlpm.CSVVal,_xlfn.XLOOKUP($A1148,CSV!$A:$A,CSV!D:D,""),
_xlpm.MacVal,_xlfn.XLOOKUP($A1148,Output_Mac!$A:$A,Output_Mac!C:C,""),
_xlpm.MyAuditVal,_xlfn.XLOOKUP($A1148,My_Audit!$A:$A,My_Audit!C:C,""),
_xlfn.IFS(_xlpm.MyAuditVal&lt;&gt;"",_xlpm.MyAuditVal,_xlpm.MacVal&lt;&gt;"",_xlpm.MacVal,_xlpm.CSVVal&lt;&gt;"",_xlpm.CSVVal
)),"")</f>
        <v/>
      </c>
      <c r="E1148" s="40" t="str">
        <f>_xlfn.XLOOKUP(A1148,My_Audit!A:A,My_Audit!D:D,"")</f>
        <v/>
      </c>
      <c r="F1148" s="40" t="str" cm="1">
        <f t="array" ref="F1148">IFERROR(_xlfn.LET(
_xlpm.CSVVal,_xlfn.XLOOKUP($A1148,CSV!$A:$A,CSV!F:F,""),
_xlpm.MacVal,_xlfn.XLOOKUP($A1148,Output_Mac!$A:$A,Output_Mac!E:E,""),
_xlpm.MyAuditVal,_xlfn.XLOOKUP($A1148,My_Audit!$A:$A,My_Audit!E:E,""),
_xlfn.IFS(_xlpm.MyAuditVal&lt;&gt;"",_xlpm.MyAuditVal,_xlpm.MacVal&lt;&gt;"",_xlpm.MacVal,_xlpm.CSVVal&lt;&gt;"",_xlpm.CSVVal
)),"")</f>
        <v/>
      </c>
      <c r="G1148" s="40" t="str" cm="1">
        <f t="array" ref="G1148">IFERROR(_xlfn.LET(
_xlpm.CSVVal,_xlfn.XLOOKUP($A1148,CSV!$A:$A,CSV!G:G,""),
_xlpm.MacVal,_xlfn.XLOOKUP($A1148,Output_Mac!$A:$A,Output_Mac!F:F,""),
_xlpm.MyAuditVal,_xlfn.XLOOKUP($A1148,My_Audit!$A:$A,My_Audit!F:F,""),
_xlfn.IFS(_xlpm.MyAuditVal&lt;&gt;"",_xlpm.MyAuditVal,_xlpm.MacVal&lt;&gt;"",_xlpm.MacVal,_xlpm.CSVVal&lt;&gt;"",PROPER(_xlpm.CSVVal)
)),"")</f>
        <v/>
      </c>
      <c r="H1148" s="40" t="str" cm="1">
        <f t="array" ref="H1148">IFERROR(_xlfn.LET(
_xlpm.CSVVal,_xlfn.XLOOKUP($A1148,CSV!$A:$A,CSV!H:H,""),
_xlpm.MacVal,_xlfn.XLOOKUP($A1148,Output_Mac!$A:$A,Output_Mac!H:H,""),
_xlpm.MyAuditVal,_xlfn.XLOOKUP($A1148,My_Audit!$A:$A,My_Audit!G:G,""),
_xlfn.IFS(_xlpm.MyAuditVal&lt;&gt;"",_xlpm.MyAuditVal,_xlpm.MacVal&lt;&gt;"",_xlpm.MacVal,_xlpm.CSVVal&lt;&gt;"",_xlpm.CSVVal
)),"")</f>
        <v/>
      </c>
      <c r="I1148" s="40" t="str">
        <f>_xlfn.XLOOKUP(A1148,Output_Mac!A:A,Output_Mac!I:I,"")</f>
        <v/>
      </c>
      <c r="J1148" s="40" t="str" cm="1">
        <f t="array" ref="J1148">IFERROR(_xlfn.LET(
_xlpm.CSVVal,_xlfn.XLOOKUP($A1148,CSV!$A:$A,CSV!I:I,""),
_xlpm.MacVal,_xlfn.XLOOKUP($A1148,Output_Mac!$A:$A,Output_Mac!J:J,""),
_xlpm.MyAuditVal,_xlfn.XLOOKUP($A1148,My_Audit!$A:$A,My_Audit!I:I,""),
_xlfn.IFS(_xlpm.MyAuditVal&lt;&gt;"",UPPER(_xlpm.MyAuditVal),_xlpm.MacVal&lt;&gt;"",_xlpm.MacVal,_xlpm.CSVVal&lt;&gt;"",_xlpm.CSVVal
)),"")</f>
        <v/>
      </c>
      <c r="K1148" s="40" t="str" cm="1">
        <f t="array" ref="K1148">IFERROR(_xlfn.LET(
_xlpm.CSVVal,_xlfn.XLOOKUP($A1148,CSV!$A:$A,CSV!K:K,""),
_xlpm.MacVal,_xlfn.XLOOKUP($A1148,Output_Mac!$A:$A,Output_Mac!K:K,""),
_xlpm.MyAuditVal,_xlfn.XLOOKUP($A1148,My_Audit!$A:$A,My_Audit!J:J,""),
_xlfn.IFS(_xlpm.MyAuditVal&lt;&gt;"",UPPER(_xlpm.MyAuditVal),_xlpm.MacVal&lt;&gt;"",_xlpm.MacVal,_xlpm.CSVVal&lt;&gt;"",_xlpm.CSVVal
)),"")</f>
        <v/>
      </c>
      <c r="L1148" s="40" t="str" cm="1">
        <f t="array" ref="L1148">IFERROR(_xlfn.LET(
_xlpm.CSVVal,_xlfn.XLOOKUP($A1148,CSV!$A:$A,CSV!P:P,""),
_xlpm.MacVal,_xlfn.XLOOKUP($A1148,Output_Mac!$A:$A,Output_Mac!L:L,""),
_xlpm.MyAuditVal,_xlfn.XLOOKUP($A1148,My_Audit!$A:$A,My_Audit!K:K,""),
_xlfn.IFS(_xlpm.MyAuditVal&lt;&gt;"",UPPER(_xlpm.MyAuditVal),_xlpm.MacVal&lt;&gt;"",_xlpm.MacVal,_xlpm.CSVVal&lt;&gt;"",_xlpm.CSVVal
)),"")</f>
        <v/>
      </c>
      <c r="M1148" s="40" t="str" cm="1">
        <f t="array" ref="M1148">IFERROR(_xlfn.LET(
_xlpm.CSVVal,_xlfn.XLOOKUP($A1148,CSV!$A:$A,CSV!Q:Q,""),
_xlpm.MacVal,_xlfn.XLOOKUP($A1148,Output_Mac!$A:$A,Output_Mac!M:M,""),
_xlpm.MyAuditVal,_xlfn.XLOOKUP($A1148,My_Audit!$A:$A,My_Audit!L:L,""),
_xlfn.IFS(_xlpm.MyAuditVal&lt;&gt;"",UPPER(_xlpm.MyAuditVal),_xlpm.MacVal&lt;&gt;"",_xlpm.MacVal,_xlpm.CSVVal&lt;&gt;"",_xlpm.CSVVal
)),"")</f>
        <v/>
      </c>
      <c r="N1148" s="40"/>
      <c r="O1148" s="40" t="str">
        <f>_xlfn.LET(
    _xlpm.CSVVal, _xlfn.XLOOKUP($A1148, CSV!$A:$A, CSV!AA:AA, ""),
    _xlpm.MacVal, _xlfn.XLOOKUP($A1148, Output_Mac!$A:$A, Output_Mac!S:S, ""),
    _xlpm.MyAuditVal, _xlfn.XLOOKUP($A1148, My_Audit!$A:$A, My_Audit!P:P, ""),
    _xlfn.TEXTJOIN(", ", TRUE, _xlpm.MyAuditVal, _xlpm.MacVal, _xlpm.CSVVal)
)</f>
        <v/>
      </c>
      <c r="P1148" s="40" t="str" cm="1">
        <f t="array" ref="P1148">IFERROR(_xlfn.LET(
_xlpm.CSVVal,_xlfn.XLOOKUP($A1148,CSV!$A:$A,CSV!AB:AB,""),
_xlpm.MacVal,_xlfn.XLOOKUP($A1148,Output_Mac!$A:$A,Output_Mac!T:T,""),
_xlpm.MyAuditVal,_xlfn.XLOOKUP($A1148,My_Audit!$A:$A,My_Audit!Q:Q,""),
_xlfn.IFS(_xlpm.MyAuditVal&lt;&gt;"",UPPER(_xlpm.MyAuditVal),_xlpm.MacVal&lt;&gt;"",_xlpm.MacVal,_xlpm.CSVVal&lt;&gt;"",_xlpm.CSVVal
)),"No")</f>
        <v>No</v>
      </c>
      <c r="Q1148" s="40" t="str" cm="1">
        <f t="array" ref="Q1148">IFERROR(_xlfn.LET(
_xlpm.CSVVal,_xlfn.XLOOKUP($A1148,CSV!$A:$A,CSV!AC:AC,""),
_xlpm.MacVal,_xlfn.XLOOKUP($A1148,Output_Mac!$A:$A,Output_Mac!U:U,""),
_xlpm.MyAuditVal,_xlfn.XLOOKUP($A1148,My_Audit!$A:$A,My_Audit!R:R,""),
_xlfn.IFS(_xlpm.MyAuditVal&lt;&gt;"",UPPER(_xlpm.MyAuditVal),_xlpm.MacVal&lt;&gt;"",_xlpm.MacVal,_xlpm.CSVVal&lt;&gt;"",_xlpm.CSVVal
)),"")</f>
        <v/>
      </c>
      <c r="R1148" s="40"/>
      <c r="S1148" s="40"/>
      <c r="T1148" s="40"/>
      <c r="U1148" s="40"/>
      <c r="V1148" s="40"/>
      <c r="W1148" s="40"/>
      <c r="X1148" s="41" t="str">
        <f>_xlfn.LET(
    _xlpm.MacVal, _xlfn.XLOOKUP($A1148, Output_Mac!$A:$A, Output_Mac!AB:AB, ""),
    _xlpm.MyAuditVal, _xlfn.XLOOKUP($A1148, My_Audit!$A:$A, My_Audit!N:N, ""),
    _xlfn.TEXTJOIN(", ", TRUE, _xlpm.MyAuditVal, _xlpm.MacVal)
)</f>
        <v/>
      </c>
    </row>
    <row r="1149" spans="1:24">
      <c r="A1149" s="40" t="str">
        <f>_xlfn.TEXTJOIN("",TRUE,Input!$B$2,ROW(My_Audit!A1148))</f>
        <v>X1148</v>
      </c>
      <c r="B1149" s="40" t="str">
        <f>_xlfn.TEXTJOIN("-",TRUE,"ITD",Input!$A$2,A1149)</f>
        <v>ITD-X1148</v>
      </c>
      <c r="C1149" s="40" t="str" cm="1">
        <f t="array" ref="C1149">IFERROR(_xlfn.LET(
_xlpm.CSVVal,_xlfn.XLOOKUP($A1149,CSV!$A:$A,CSV!B:B,""),
_xlpm.MacVal,_xlfn.XLOOKUP($A1149,Output_Mac!$A:$A,Output_Mac!B:B,""),
_xlpm.MyAuditVal,_xlfn.XLOOKUP($A1149,My_Audit!$A:$A,My_Audit!B:B,""),
_xlfn.IFS(_xlpm.MyAuditVal&lt;&gt;"",UPPER(_xlpm.MyAuditVal),_xlpm.MacVal&lt;&gt;"",_xlpm.MacVal,_xlpm.CSVVal&lt;&gt;"",_xlpm.CSVVal
)),"")</f>
        <v/>
      </c>
      <c r="D1149" s="40" t="str" cm="1">
        <f t="array" ref="D1149">IFERROR(_xlfn.LET(
_xlpm.CSVVal,_xlfn.XLOOKUP($A1149,CSV!$A:$A,CSV!D:D,""),
_xlpm.MacVal,_xlfn.XLOOKUP($A1149,Output_Mac!$A:$A,Output_Mac!C:C,""),
_xlpm.MyAuditVal,_xlfn.XLOOKUP($A1149,My_Audit!$A:$A,My_Audit!C:C,""),
_xlfn.IFS(_xlpm.MyAuditVal&lt;&gt;"",_xlpm.MyAuditVal,_xlpm.MacVal&lt;&gt;"",_xlpm.MacVal,_xlpm.CSVVal&lt;&gt;"",_xlpm.CSVVal
)),"")</f>
        <v/>
      </c>
      <c r="E1149" s="40" t="str">
        <f>_xlfn.XLOOKUP(A1149,My_Audit!A:A,My_Audit!D:D,"")</f>
        <v/>
      </c>
      <c r="F1149" s="40" t="str" cm="1">
        <f t="array" ref="F1149">IFERROR(_xlfn.LET(
_xlpm.CSVVal,_xlfn.XLOOKUP($A1149,CSV!$A:$A,CSV!F:F,""),
_xlpm.MacVal,_xlfn.XLOOKUP($A1149,Output_Mac!$A:$A,Output_Mac!E:E,""),
_xlpm.MyAuditVal,_xlfn.XLOOKUP($A1149,My_Audit!$A:$A,My_Audit!E:E,""),
_xlfn.IFS(_xlpm.MyAuditVal&lt;&gt;"",_xlpm.MyAuditVal,_xlpm.MacVal&lt;&gt;"",_xlpm.MacVal,_xlpm.CSVVal&lt;&gt;"",_xlpm.CSVVal
)),"")</f>
        <v/>
      </c>
      <c r="G1149" s="40" t="str" cm="1">
        <f t="array" ref="G1149">IFERROR(_xlfn.LET(
_xlpm.CSVVal,_xlfn.XLOOKUP($A1149,CSV!$A:$A,CSV!G:G,""),
_xlpm.MacVal,_xlfn.XLOOKUP($A1149,Output_Mac!$A:$A,Output_Mac!F:F,""),
_xlpm.MyAuditVal,_xlfn.XLOOKUP($A1149,My_Audit!$A:$A,My_Audit!F:F,""),
_xlfn.IFS(_xlpm.MyAuditVal&lt;&gt;"",_xlpm.MyAuditVal,_xlpm.MacVal&lt;&gt;"",_xlpm.MacVal,_xlpm.CSVVal&lt;&gt;"",PROPER(_xlpm.CSVVal)
)),"")</f>
        <v/>
      </c>
      <c r="H1149" s="40" t="str" cm="1">
        <f t="array" ref="H1149">IFERROR(_xlfn.LET(
_xlpm.CSVVal,_xlfn.XLOOKUP($A1149,CSV!$A:$A,CSV!H:H,""),
_xlpm.MacVal,_xlfn.XLOOKUP($A1149,Output_Mac!$A:$A,Output_Mac!H:H,""),
_xlpm.MyAuditVal,_xlfn.XLOOKUP($A1149,My_Audit!$A:$A,My_Audit!G:G,""),
_xlfn.IFS(_xlpm.MyAuditVal&lt;&gt;"",_xlpm.MyAuditVal,_xlpm.MacVal&lt;&gt;"",_xlpm.MacVal,_xlpm.CSVVal&lt;&gt;"",_xlpm.CSVVal
)),"")</f>
        <v/>
      </c>
      <c r="I1149" s="40" t="str">
        <f>_xlfn.XLOOKUP(A1149,Output_Mac!A:A,Output_Mac!I:I,"")</f>
        <v/>
      </c>
      <c r="J1149" s="40" t="str" cm="1">
        <f t="array" ref="J1149">IFERROR(_xlfn.LET(
_xlpm.CSVVal,_xlfn.XLOOKUP($A1149,CSV!$A:$A,CSV!I:I,""),
_xlpm.MacVal,_xlfn.XLOOKUP($A1149,Output_Mac!$A:$A,Output_Mac!J:J,""),
_xlpm.MyAuditVal,_xlfn.XLOOKUP($A1149,My_Audit!$A:$A,My_Audit!I:I,""),
_xlfn.IFS(_xlpm.MyAuditVal&lt;&gt;"",UPPER(_xlpm.MyAuditVal),_xlpm.MacVal&lt;&gt;"",_xlpm.MacVal,_xlpm.CSVVal&lt;&gt;"",_xlpm.CSVVal
)),"")</f>
        <v/>
      </c>
      <c r="K1149" s="40" t="str" cm="1">
        <f t="array" ref="K1149">IFERROR(_xlfn.LET(
_xlpm.CSVVal,_xlfn.XLOOKUP($A1149,CSV!$A:$A,CSV!K:K,""),
_xlpm.MacVal,_xlfn.XLOOKUP($A1149,Output_Mac!$A:$A,Output_Mac!K:K,""),
_xlpm.MyAuditVal,_xlfn.XLOOKUP($A1149,My_Audit!$A:$A,My_Audit!J:J,""),
_xlfn.IFS(_xlpm.MyAuditVal&lt;&gt;"",UPPER(_xlpm.MyAuditVal),_xlpm.MacVal&lt;&gt;"",_xlpm.MacVal,_xlpm.CSVVal&lt;&gt;"",_xlpm.CSVVal
)),"")</f>
        <v/>
      </c>
      <c r="L1149" s="40" t="str" cm="1">
        <f t="array" ref="L1149">IFERROR(_xlfn.LET(
_xlpm.CSVVal,_xlfn.XLOOKUP($A1149,CSV!$A:$A,CSV!P:P,""),
_xlpm.MacVal,_xlfn.XLOOKUP($A1149,Output_Mac!$A:$A,Output_Mac!L:L,""),
_xlpm.MyAuditVal,_xlfn.XLOOKUP($A1149,My_Audit!$A:$A,My_Audit!K:K,""),
_xlfn.IFS(_xlpm.MyAuditVal&lt;&gt;"",UPPER(_xlpm.MyAuditVal),_xlpm.MacVal&lt;&gt;"",_xlpm.MacVal,_xlpm.CSVVal&lt;&gt;"",_xlpm.CSVVal
)),"")</f>
        <v/>
      </c>
      <c r="M1149" s="40" t="str" cm="1">
        <f t="array" ref="M1149">IFERROR(_xlfn.LET(
_xlpm.CSVVal,_xlfn.XLOOKUP($A1149,CSV!$A:$A,CSV!Q:Q,""),
_xlpm.MacVal,_xlfn.XLOOKUP($A1149,Output_Mac!$A:$A,Output_Mac!M:M,""),
_xlpm.MyAuditVal,_xlfn.XLOOKUP($A1149,My_Audit!$A:$A,My_Audit!L:L,""),
_xlfn.IFS(_xlpm.MyAuditVal&lt;&gt;"",UPPER(_xlpm.MyAuditVal),_xlpm.MacVal&lt;&gt;"",_xlpm.MacVal,_xlpm.CSVVal&lt;&gt;"",_xlpm.CSVVal
)),"")</f>
        <v/>
      </c>
      <c r="N1149" s="40"/>
      <c r="O1149" s="40" t="str">
        <f>_xlfn.LET(
    _xlpm.CSVVal, _xlfn.XLOOKUP($A1149, CSV!$A:$A, CSV!AA:AA, ""),
    _xlpm.MacVal, _xlfn.XLOOKUP($A1149, Output_Mac!$A:$A, Output_Mac!S:S, ""),
    _xlpm.MyAuditVal, _xlfn.XLOOKUP($A1149, My_Audit!$A:$A, My_Audit!P:P, ""),
    _xlfn.TEXTJOIN(", ", TRUE, _xlpm.MyAuditVal, _xlpm.MacVal, _xlpm.CSVVal)
)</f>
        <v/>
      </c>
      <c r="P1149" s="40" t="str" cm="1">
        <f t="array" ref="P1149">IFERROR(_xlfn.LET(
_xlpm.CSVVal,_xlfn.XLOOKUP($A1149,CSV!$A:$A,CSV!AB:AB,""),
_xlpm.MacVal,_xlfn.XLOOKUP($A1149,Output_Mac!$A:$A,Output_Mac!T:T,""),
_xlpm.MyAuditVal,_xlfn.XLOOKUP($A1149,My_Audit!$A:$A,My_Audit!Q:Q,""),
_xlfn.IFS(_xlpm.MyAuditVal&lt;&gt;"",UPPER(_xlpm.MyAuditVal),_xlpm.MacVal&lt;&gt;"",_xlpm.MacVal,_xlpm.CSVVal&lt;&gt;"",_xlpm.CSVVal
)),"No")</f>
        <v>No</v>
      </c>
      <c r="Q1149" s="40" t="str" cm="1">
        <f t="array" ref="Q1149">IFERROR(_xlfn.LET(
_xlpm.CSVVal,_xlfn.XLOOKUP($A1149,CSV!$A:$A,CSV!AC:AC,""),
_xlpm.MacVal,_xlfn.XLOOKUP($A1149,Output_Mac!$A:$A,Output_Mac!U:U,""),
_xlpm.MyAuditVal,_xlfn.XLOOKUP($A1149,My_Audit!$A:$A,My_Audit!R:R,""),
_xlfn.IFS(_xlpm.MyAuditVal&lt;&gt;"",UPPER(_xlpm.MyAuditVal),_xlpm.MacVal&lt;&gt;"",_xlpm.MacVal,_xlpm.CSVVal&lt;&gt;"",_xlpm.CSVVal
)),"")</f>
        <v/>
      </c>
      <c r="R1149" s="40"/>
      <c r="S1149" s="40"/>
      <c r="T1149" s="40"/>
      <c r="U1149" s="40"/>
      <c r="V1149" s="40"/>
      <c r="W1149" s="40"/>
      <c r="X1149" s="41" t="str">
        <f>_xlfn.LET(
    _xlpm.MacVal, _xlfn.XLOOKUP($A1149, Output_Mac!$A:$A, Output_Mac!AB:AB, ""),
    _xlpm.MyAuditVal, _xlfn.XLOOKUP($A1149, My_Audit!$A:$A, My_Audit!N:N, ""),
    _xlfn.TEXTJOIN(", ", TRUE, _xlpm.MyAuditVal, _xlpm.MacVal)
)</f>
        <v/>
      </c>
    </row>
    <row r="1150" spans="1:24">
      <c r="A1150" s="40" t="str">
        <f>_xlfn.TEXTJOIN("",TRUE,Input!$B$2,ROW(My_Audit!A1149))</f>
        <v>X1149</v>
      </c>
      <c r="B1150" s="40" t="str">
        <f>_xlfn.TEXTJOIN("-",TRUE,"ITD",Input!$A$2,A1150)</f>
        <v>ITD-X1149</v>
      </c>
      <c r="C1150" s="40" t="str" cm="1">
        <f t="array" ref="C1150">IFERROR(_xlfn.LET(
_xlpm.CSVVal,_xlfn.XLOOKUP($A1150,CSV!$A:$A,CSV!B:B,""),
_xlpm.MacVal,_xlfn.XLOOKUP($A1150,Output_Mac!$A:$A,Output_Mac!B:B,""),
_xlpm.MyAuditVal,_xlfn.XLOOKUP($A1150,My_Audit!$A:$A,My_Audit!B:B,""),
_xlfn.IFS(_xlpm.MyAuditVal&lt;&gt;"",UPPER(_xlpm.MyAuditVal),_xlpm.MacVal&lt;&gt;"",_xlpm.MacVal,_xlpm.CSVVal&lt;&gt;"",_xlpm.CSVVal
)),"")</f>
        <v/>
      </c>
      <c r="D1150" s="40" t="str" cm="1">
        <f t="array" ref="D1150">IFERROR(_xlfn.LET(
_xlpm.CSVVal,_xlfn.XLOOKUP($A1150,CSV!$A:$A,CSV!D:D,""),
_xlpm.MacVal,_xlfn.XLOOKUP($A1150,Output_Mac!$A:$A,Output_Mac!C:C,""),
_xlpm.MyAuditVal,_xlfn.XLOOKUP($A1150,My_Audit!$A:$A,My_Audit!C:C,""),
_xlfn.IFS(_xlpm.MyAuditVal&lt;&gt;"",_xlpm.MyAuditVal,_xlpm.MacVal&lt;&gt;"",_xlpm.MacVal,_xlpm.CSVVal&lt;&gt;"",_xlpm.CSVVal
)),"")</f>
        <v/>
      </c>
      <c r="E1150" s="40" t="str">
        <f>_xlfn.XLOOKUP(A1150,My_Audit!A:A,My_Audit!D:D,"")</f>
        <v/>
      </c>
      <c r="F1150" s="40" t="str" cm="1">
        <f t="array" ref="F1150">IFERROR(_xlfn.LET(
_xlpm.CSVVal,_xlfn.XLOOKUP($A1150,CSV!$A:$A,CSV!F:F,""),
_xlpm.MacVal,_xlfn.XLOOKUP($A1150,Output_Mac!$A:$A,Output_Mac!E:E,""),
_xlpm.MyAuditVal,_xlfn.XLOOKUP($A1150,My_Audit!$A:$A,My_Audit!E:E,""),
_xlfn.IFS(_xlpm.MyAuditVal&lt;&gt;"",_xlpm.MyAuditVal,_xlpm.MacVal&lt;&gt;"",_xlpm.MacVal,_xlpm.CSVVal&lt;&gt;"",_xlpm.CSVVal
)),"")</f>
        <v/>
      </c>
      <c r="G1150" s="40" t="str" cm="1">
        <f t="array" ref="G1150">IFERROR(_xlfn.LET(
_xlpm.CSVVal,_xlfn.XLOOKUP($A1150,CSV!$A:$A,CSV!G:G,""),
_xlpm.MacVal,_xlfn.XLOOKUP($A1150,Output_Mac!$A:$A,Output_Mac!F:F,""),
_xlpm.MyAuditVal,_xlfn.XLOOKUP($A1150,My_Audit!$A:$A,My_Audit!F:F,""),
_xlfn.IFS(_xlpm.MyAuditVal&lt;&gt;"",_xlpm.MyAuditVal,_xlpm.MacVal&lt;&gt;"",_xlpm.MacVal,_xlpm.CSVVal&lt;&gt;"",PROPER(_xlpm.CSVVal)
)),"")</f>
        <v/>
      </c>
      <c r="H1150" s="40" t="str" cm="1">
        <f t="array" ref="H1150">IFERROR(_xlfn.LET(
_xlpm.CSVVal,_xlfn.XLOOKUP($A1150,CSV!$A:$A,CSV!H:H,""),
_xlpm.MacVal,_xlfn.XLOOKUP($A1150,Output_Mac!$A:$A,Output_Mac!H:H,""),
_xlpm.MyAuditVal,_xlfn.XLOOKUP($A1150,My_Audit!$A:$A,My_Audit!G:G,""),
_xlfn.IFS(_xlpm.MyAuditVal&lt;&gt;"",_xlpm.MyAuditVal,_xlpm.MacVal&lt;&gt;"",_xlpm.MacVal,_xlpm.CSVVal&lt;&gt;"",_xlpm.CSVVal
)),"")</f>
        <v/>
      </c>
      <c r="I1150" s="40" t="str">
        <f>_xlfn.XLOOKUP(A1150,Output_Mac!A:A,Output_Mac!I:I,"")</f>
        <v/>
      </c>
      <c r="J1150" s="40" t="str" cm="1">
        <f t="array" ref="J1150">IFERROR(_xlfn.LET(
_xlpm.CSVVal,_xlfn.XLOOKUP($A1150,CSV!$A:$A,CSV!I:I,""),
_xlpm.MacVal,_xlfn.XLOOKUP($A1150,Output_Mac!$A:$A,Output_Mac!J:J,""),
_xlpm.MyAuditVal,_xlfn.XLOOKUP($A1150,My_Audit!$A:$A,My_Audit!I:I,""),
_xlfn.IFS(_xlpm.MyAuditVal&lt;&gt;"",UPPER(_xlpm.MyAuditVal),_xlpm.MacVal&lt;&gt;"",_xlpm.MacVal,_xlpm.CSVVal&lt;&gt;"",_xlpm.CSVVal
)),"")</f>
        <v/>
      </c>
      <c r="K1150" s="40" t="str" cm="1">
        <f t="array" ref="K1150">IFERROR(_xlfn.LET(
_xlpm.CSVVal,_xlfn.XLOOKUP($A1150,CSV!$A:$A,CSV!K:K,""),
_xlpm.MacVal,_xlfn.XLOOKUP($A1150,Output_Mac!$A:$A,Output_Mac!K:K,""),
_xlpm.MyAuditVal,_xlfn.XLOOKUP($A1150,My_Audit!$A:$A,My_Audit!J:J,""),
_xlfn.IFS(_xlpm.MyAuditVal&lt;&gt;"",UPPER(_xlpm.MyAuditVal),_xlpm.MacVal&lt;&gt;"",_xlpm.MacVal,_xlpm.CSVVal&lt;&gt;"",_xlpm.CSVVal
)),"")</f>
        <v/>
      </c>
      <c r="L1150" s="40" t="str" cm="1">
        <f t="array" ref="L1150">IFERROR(_xlfn.LET(
_xlpm.CSVVal,_xlfn.XLOOKUP($A1150,CSV!$A:$A,CSV!P:P,""),
_xlpm.MacVal,_xlfn.XLOOKUP($A1150,Output_Mac!$A:$A,Output_Mac!L:L,""),
_xlpm.MyAuditVal,_xlfn.XLOOKUP($A1150,My_Audit!$A:$A,My_Audit!K:K,""),
_xlfn.IFS(_xlpm.MyAuditVal&lt;&gt;"",UPPER(_xlpm.MyAuditVal),_xlpm.MacVal&lt;&gt;"",_xlpm.MacVal,_xlpm.CSVVal&lt;&gt;"",_xlpm.CSVVal
)),"")</f>
        <v/>
      </c>
      <c r="M1150" s="40" t="str" cm="1">
        <f t="array" ref="M1150">IFERROR(_xlfn.LET(
_xlpm.CSVVal,_xlfn.XLOOKUP($A1150,CSV!$A:$A,CSV!Q:Q,""),
_xlpm.MacVal,_xlfn.XLOOKUP($A1150,Output_Mac!$A:$A,Output_Mac!M:M,""),
_xlpm.MyAuditVal,_xlfn.XLOOKUP($A1150,My_Audit!$A:$A,My_Audit!L:L,""),
_xlfn.IFS(_xlpm.MyAuditVal&lt;&gt;"",UPPER(_xlpm.MyAuditVal),_xlpm.MacVal&lt;&gt;"",_xlpm.MacVal,_xlpm.CSVVal&lt;&gt;"",_xlpm.CSVVal
)),"")</f>
        <v/>
      </c>
      <c r="N1150" s="40"/>
      <c r="O1150" s="40" t="str">
        <f>_xlfn.LET(
    _xlpm.CSVVal, _xlfn.XLOOKUP($A1150, CSV!$A:$A, CSV!AA:AA, ""),
    _xlpm.MacVal, _xlfn.XLOOKUP($A1150, Output_Mac!$A:$A, Output_Mac!S:S, ""),
    _xlpm.MyAuditVal, _xlfn.XLOOKUP($A1150, My_Audit!$A:$A, My_Audit!P:P, ""),
    _xlfn.TEXTJOIN(", ", TRUE, _xlpm.MyAuditVal, _xlpm.MacVal, _xlpm.CSVVal)
)</f>
        <v/>
      </c>
      <c r="P1150" s="40" t="str" cm="1">
        <f t="array" ref="P1150">IFERROR(_xlfn.LET(
_xlpm.CSVVal,_xlfn.XLOOKUP($A1150,CSV!$A:$A,CSV!AB:AB,""),
_xlpm.MacVal,_xlfn.XLOOKUP($A1150,Output_Mac!$A:$A,Output_Mac!T:T,""),
_xlpm.MyAuditVal,_xlfn.XLOOKUP($A1150,My_Audit!$A:$A,My_Audit!Q:Q,""),
_xlfn.IFS(_xlpm.MyAuditVal&lt;&gt;"",UPPER(_xlpm.MyAuditVal),_xlpm.MacVal&lt;&gt;"",_xlpm.MacVal,_xlpm.CSVVal&lt;&gt;"",_xlpm.CSVVal
)),"No")</f>
        <v>No</v>
      </c>
      <c r="Q1150" s="40" t="str" cm="1">
        <f t="array" ref="Q1150">IFERROR(_xlfn.LET(
_xlpm.CSVVal,_xlfn.XLOOKUP($A1150,CSV!$A:$A,CSV!AC:AC,""),
_xlpm.MacVal,_xlfn.XLOOKUP($A1150,Output_Mac!$A:$A,Output_Mac!U:U,""),
_xlpm.MyAuditVal,_xlfn.XLOOKUP($A1150,My_Audit!$A:$A,My_Audit!R:R,""),
_xlfn.IFS(_xlpm.MyAuditVal&lt;&gt;"",UPPER(_xlpm.MyAuditVal),_xlpm.MacVal&lt;&gt;"",_xlpm.MacVal,_xlpm.CSVVal&lt;&gt;"",_xlpm.CSVVal
)),"")</f>
        <v/>
      </c>
      <c r="R1150" s="40"/>
      <c r="S1150" s="40"/>
      <c r="T1150" s="40"/>
      <c r="U1150" s="40"/>
      <c r="V1150" s="40"/>
      <c r="W1150" s="40"/>
      <c r="X1150" s="41" t="str">
        <f>_xlfn.LET(
    _xlpm.MacVal, _xlfn.XLOOKUP($A1150, Output_Mac!$A:$A, Output_Mac!AB:AB, ""),
    _xlpm.MyAuditVal, _xlfn.XLOOKUP($A1150, My_Audit!$A:$A, My_Audit!N:N, ""),
    _xlfn.TEXTJOIN(", ", TRUE, _xlpm.MyAuditVal, _xlpm.MacVal)
)</f>
        <v/>
      </c>
    </row>
    <row r="1151" spans="1:24">
      <c r="A1151" s="40" t="str">
        <f>_xlfn.TEXTJOIN("",TRUE,Input!$B$2,ROW(My_Audit!A1150))</f>
        <v>X1150</v>
      </c>
      <c r="B1151" s="40" t="str">
        <f>_xlfn.TEXTJOIN("-",TRUE,"ITD",Input!$A$2,A1151)</f>
        <v>ITD-X1150</v>
      </c>
      <c r="C1151" s="40" t="str" cm="1">
        <f t="array" ref="C1151">IFERROR(_xlfn.LET(
_xlpm.CSVVal,_xlfn.XLOOKUP($A1151,CSV!$A:$A,CSV!B:B,""),
_xlpm.MacVal,_xlfn.XLOOKUP($A1151,Output_Mac!$A:$A,Output_Mac!B:B,""),
_xlpm.MyAuditVal,_xlfn.XLOOKUP($A1151,My_Audit!$A:$A,My_Audit!B:B,""),
_xlfn.IFS(_xlpm.MyAuditVal&lt;&gt;"",UPPER(_xlpm.MyAuditVal),_xlpm.MacVal&lt;&gt;"",_xlpm.MacVal,_xlpm.CSVVal&lt;&gt;"",_xlpm.CSVVal
)),"")</f>
        <v/>
      </c>
      <c r="D1151" s="40" t="str" cm="1">
        <f t="array" ref="D1151">IFERROR(_xlfn.LET(
_xlpm.CSVVal,_xlfn.XLOOKUP($A1151,CSV!$A:$A,CSV!D:D,""),
_xlpm.MacVal,_xlfn.XLOOKUP($A1151,Output_Mac!$A:$A,Output_Mac!C:C,""),
_xlpm.MyAuditVal,_xlfn.XLOOKUP($A1151,My_Audit!$A:$A,My_Audit!C:C,""),
_xlfn.IFS(_xlpm.MyAuditVal&lt;&gt;"",_xlpm.MyAuditVal,_xlpm.MacVal&lt;&gt;"",_xlpm.MacVal,_xlpm.CSVVal&lt;&gt;"",_xlpm.CSVVal
)),"")</f>
        <v/>
      </c>
      <c r="E1151" s="40" t="str">
        <f>_xlfn.XLOOKUP(A1151,My_Audit!A:A,My_Audit!D:D,"")</f>
        <v/>
      </c>
      <c r="F1151" s="40" t="str" cm="1">
        <f t="array" ref="F1151">IFERROR(_xlfn.LET(
_xlpm.CSVVal,_xlfn.XLOOKUP($A1151,CSV!$A:$A,CSV!F:F,""),
_xlpm.MacVal,_xlfn.XLOOKUP($A1151,Output_Mac!$A:$A,Output_Mac!E:E,""),
_xlpm.MyAuditVal,_xlfn.XLOOKUP($A1151,My_Audit!$A:$A,My_Audit!E:E,""),
_xlfn.IFS(_xlpm.MyAuditVal&lt;&gt;"",_xlpm.MyAuditVal,_xlpm.MacVal&lt;&gt;"",_xlpm.MacVal,_xlpm.CSVVal&lt;&gt;"",_xlpm.CSVVal
)),"")</f>
        <v/>
      </c>
      <c r="G1151" s="40" t="str" cm="1">
        <f t="array" ref="G1151">IFERROR(_xlfn.LET(
_xlpm.CSVVal,_xlfn.XLOOKUP($A1151,CSV!$A:$A,CSV!G:G,""),
_xlpm.MacVal,_xlfn.XLOOKUP($A1151,Output_Mac!$A:$A,Output_Mac!F:F,""),
_xlpm.MyAuditVal,_xlfn.XLOOKUP($A1151,My_Audit!$A:$A,My_Audit!F:F,""),
_xlfn.IFS(_xlpm.MyAuditVal&lt;&gt;"",_xlpm.MyAuditVal,_xlpm.MacVal&lt;&gt;"",_xlpm.MacVal,_xlpm.CSVVal&lt;&gt;"",PROPER(_xlpm.CSVVal)
)),"")</f>
        <v/>
      </c>
      <c r="H1151" s="40" t="str" cm="1">
        <f t="array" ref="H1151">IFERROR(_xlfn.LET(
_xlpm.CSVVal,_xlfn.XLOOKUP($A1151,CSV!$A:$A,CSV!H:H,""),
_xlpm.MacVal,_xlfn.XLOOKUP($A1151,Output_Mac!$A:$A,Output_Mac!H:H,""),
_xlpm.MyAuditVal,_xlfn.XLOOKUP($A1151,My_Audit!$A:$A,My_Audit!G:G,""),
_xlfn.IFS(_xlpm.MyAuditVal&lt;&gt;"",_xlpm.MyAuditVal,_xlpm.MacVal&lt;&gt;"",_xlpm.MacVal,_xlpm.CSVVal&lt;&gt;"",_xlpm.CSVVal
)),"")</f>
        <v/>
      </c>
      <c r="I1151" s="40" t="str">
        <f>_xlfn.XLOOKUP(A1151,Output_Mac!A:A,Output_Mac!I:I,"")</f>
        <v/>
      </c>
      <c r="J1151" s="40" t="str" cm="1">
        <f t="array" ref="J1151">IFERROR(_xlfn.LET(
_xlpm.CSVVal,_xlfn.XLOOKUP($A1151,CSV!$A:$A,CSV!I:I,""),
_xlpm.MacVal,_xlfn.XLOOKUP($A1151,Output_Mac!$A:$A,Output_Mac!J:J,""),
_xlpm.MyAuditVal,_xlfn.XLOOKUP($A1151,My_Audit!$A:$A,My_Audit!I:I,""),
_xlfn.IFS(_xlpm.MyAuditVal&lt;&gt;"",UPPER(_xlpm.MyAuditVal),_xlpm.MacVal&lt;&gt;"",_xlpm.MacVal,_xlpm.CSVVal&lt;&gt;"",_xlpm.CSVVal
)),"")</f>
        <v/>
      </c>
      <c r="K1151" s="40" t="str" cm="1">
        <f t="array" ref="K1151">IFERROR(_xlfn.LET(
_xlpm.CSVVal,_xlfn.XLOOKUP($A1151,CSV!$A:$A,CSV!K:K,""),
_xlpm.MacVal,_xlfn.XLOOKUP($A1151,Output_Mac!$A:$A,Output_Mac!K:K,""),
_xlpm.MyAuditVal,_xlfn.XLOOKUP($A1151,My_Audit!$A:$A,My_Audit!J:J,""),
_xlfn.IFS(_xlpm.MyAuditVal&lt;&gt;"",UPPER(_xlpm.MyAuditVal),_xlpm.MacVal&lt;&gt;"",_xlpm.MacVal,_xlpm.CSVVal&lt;&gt;"",_xlpm.CSVVal
)),"")</f>
        <v/>
      </c>
      <c r="L1151" s="40" t="str" cm="1">
        <f t="array" ref="L1151">IFERROR(_xlfn.LET(
_xlpm.CSVVal,_xlfn.XLOOKUP($A1151,CSV!$A:$A,CSV!P:P,""),
_xlpm.MacVal,_xlfn.XLOOKUP($A1151,Output_Mac!$A:$A,Output_Mac!L:L,""),
_xlpm.MyAuditVal,_xlfn.XLOOKUP($A1151,My_Audit!$A:$A,My_Audit!K:K,""),
_xlfn.IFS(_xlpm.MyAuditVal&lt;&gt;"",UPPER(_xlpm.MyAuditVal),_xlpm.MacVal&lt;&gt;"",_xlpm.MacVal,_xlpm.CSVVal&lt;&gt;"",_xlpm.CSVVal
)),"")</f>
        <v/>
      </c>
      <c r="M1151" s="40" t="str" cm="1">
        <f t="array" ref="M1151">IFERROR(_xlfn.LET(
_xlpm.CSVVal,_xlfn.XLOOKUP($A1151,CSV!$A:$A,CSV!Q:Q,""),
_xlpm.MacVal,_xlfn.XLOOKUP($A1151,Output_Mac!$A:$A,Output_Mac!M:M,""),
_xlpm.MyAuditVal,_xlfn.XLOOKUP($A1151,My_Audit!$A:$A,My_Audit!L:L,""),
_xlfn.IFS(_xlpm.MyAuditVal&lt;&gt;"",UPPER(_xlpm.MyAuditVal),_xlpm.MacVal&lt;&gt;"",_xlpm.MacVal,_xlpm.CSVVal&lt;&gt;"",_xlpm.CSVVal
)),"")</f>
        <v/>
      </c>
      <c r="N1151" s="40"/>
      <c r="O1151" s="40" t="str">
        <f>_xlfn.LET(
    _xlpm.CSVVal, _xlfn.XLOOKUP($A1151, CSV!$A:$A, CSV!AA:AA, ""),
    _xlpm.MacVal, _xlfn.XLOOKUP($A1151, Output_Mac!$A:$A, Output_Mac!S:S, ""),
    _xlpm.MyAuditVal, _xlfn.XLOOKUP($A1151, My_Audit!$A:$A, My_Audit!P:P, ""),
    _xlfn.TEXTJOIN(", ", TRUE, _xlpm.MyAuditVal, _xlpm.MacVal, _xlpm.CSVVal)
)</f>
        <v/>
      </c>
      <c r="P1151" s="40" t="str" cm="1">
        <f t="array" ref="P1151">IFERROR(_xlfn.LET(
_xlpm.CSVVal,_xlfn.XLOOKUP($A1151,CSV!$A:$A,CSV!AB:AB,""),
_xlpm.MacVal,_xlfn.XLOOKUP($A1151,Output_Mac!$A:$A,Output_Mac!T:T,""),
_xlpm.MyAuditVal,_xlfn.XLOOKUP($A1151,My_Audit!$A:$A,My_Audit!Q:Q,""),
_xlfn.IFS(_xlpm.MyAuditVal&lt;&gt;"",UPPER(_xlpm.MyAuditVal),_xlpm.MacVal&lt;&gt;"",_xlpm.MacVal,_xlpm.CSVVal&lt;&gt;"",_xlpm.CSVVal
)),"No")</f>
        <v>No</v>
      </c>
      <c r="Q1151" s="40" t="str" cm="1">
        <f t="array" ref="Q1151">IFERROR(_xlfn.LET(
_xlpm.CSVVal,_xlfn.XLOOKUP($A1151,CSV!$A:$A,CSV!AC:AC,""),
_xlpm.MacVal,_xlfn.XLOOKUP($A1151,Output_Mac!$A:$A,Output_Mac!U:U,""),
_xlpm.MyAuditVal,_xlfn.XLOOKUP($A1151,My_Audit!$A:$A,My_Audit!R:R,""),
_xlfn.IFS(_xlpm.MyAuditVal&lt;&gt;"",UPPER(_xlpm.MyAuditVal),_xlpm.MacVal&lt;&gt;"",_xlpm.MacVal,_xlpm.CSVVal&lt;&gt;"",_xlpm.CSVVal
)),"")</f>
        <v/>
      </c>
      <c r="R1151" s="40"/>
      <c r="S1151" s="40"/>
      <c r="T1151" s="40"/>
      <c r="U1151" s="40"/>
      <c r="V1151" s="40"/>
      <c r="W1151" s="40"/>
      <c r="X1151" s="41" t="str">
        <f>_xlfn.LET(
    _xlpm.MacVal, _xlfn.XLOOKUP($A1151, Output_Mac!$A:$A, Output_Mac!AB:AB, ""),
    _xlpm.MyAuditVal, _xlfn.XLOOKUP($A1151, My_Audit!$A:$A, My_Audit!N:N, ""),
    _xlfn.TEXTJOIN(", ", TRUE, _xlpm.MyAuditVal, _xlpm.MacVal)
)</f>
        <v/>
      </c>
    </row>
    <row r="1152" spans="1:24">
      <c r="A1152" s="40" t="str">
        <f>_xlfn.TEXTJOIN("",TRUE,Input!$B$2,ROW(My_Audit!A1151))</f>
        <v>X1151</v>
      </c>
      <c r="B1152" s="40" t="str">
        <f>_xlfn.TEXTJOIN("-",TRUE,"ITD",Input!$A$2,A1152)</f>
        <v>ITD-X1151</v>
      </c>
      <c r="C1152" s="40" t="str" cm="1">
        <f t="array" ref="C1152">IFERROR(_xlfn.LET(
_xlpm.CSVVal,_xlfn.XLOOKUP($A1152,CSV!$A:$A,CSV!B:B,""),
_xlpm.MacVal,_xlfn.XLOOKUP($A1152,Output_Mac!$A:$A,Output_Mac!B:B,""),
_xlpm.MyAuditVal,_xlfn.XLOOKUP($A1152,My_Audit!$A:$A,My_Audit!B:B,""),
_xlfn.IFS(_xlpm.MyAuditVal&lt;&gt;"",UPPER(_xlpm.MyAuditVal),_xlpm.MacVal&lt;&gt;"",_xlpm.MacVal,_xlpm.CSVVal&lt;&gt;"",_xlpm.CSVVal
)),"")</f>
        <v/>
      </c>
      <c r="D1152" s="40" t="str" cm="1">
        <f t="array" ref="D1152">IFERROR(_xlfn.LET(
_xlpm.CSVVal,_xlfn.XLOOKUP($A1152,CSV!$A:$A,CSV!D:D,""),
_xlpm.MacVal,_xlfn.XLOOKUP($A1152,Output_Mac!$A:$A,Output_Mac!C:C,""),
_xlpm.MyAuditVal,_xlfn.XLOOKUP($A1152,My_Audit!$A:$A,My_Audit!C:C,""),
_xlfn.IFS(_xlpm.MyAuditVal&lt;&gt;"",_xlpm.MyAuditVal,_xlpm.MacVal&lt;&gt;"",_xlpm.MacVal,_xlpm.CSVVal&lt;&gt;"",_xlpm.CSVVal
)),"")</f>
        <v/>
      </c>
      <c r="E1152" s="40" t="str">
        <f>_xlfn.XLOOKUP(A1152,My_Audit!A:A,My_Audit!D:D,"")</f>
        <v/>
      </c>
      <c r="F1152" s="40" t="str" cm="1">
        <f t="array" ref="F1152">IFERROR(_xlfn.LET(
_xlpm.CSVVal,_xlfn.XLOOKUP($A1152,CSV!$A:$A,CSV!F:F,""),
_xlpm.MacVal,_xlfn.XLOOKUP($A1152,Output_Mac!$A:$A,Output_Mac!E:E,""),
_xlpm.MyAuditVal,_xlfn.XLOOKUP($A1152,My_Audit!$A:$A,My_Audit!E:E,""),
_xlfn.IFS(_xlpm.MyAuditVal&lt;&gt;"",_xlpm.MyAuditVal,_xlpm.MacVal&lt;&gt;"",_xlpm.MacVal,_xlpm.CSVVal&lt;&gt;"",_xlpm.CSVVal
)),"")</f>
        <v/>
      </c>
      <c r="G1152" s="40" t="str" cm="1">
        <f t="array" ref="G1152">IFERROR(_xlfn.LET(
_xlpm.CSVVal,_xlfn.XLOOKUP($A1152,CSV!$A:$A,CSV!G:G,""),
_xlpm.MacVal,_xlfn.XLOOKUP($A1152,Output_Mac!$A:$A,Output_Mac!F:F,""),
_xlpm.MyAuditVal,_xlfn.XLOOKUP($A1152,My_Audit!$A:$A,My_Audit!F:F,""),
_xlfn.IFS(_xlpm.MyAuditVal&lt;&gt;"",_xlpm.MyAuditVal,_xlpm.MacVal&lt;&gt;"",_xlpm.MacVal,_xlpm.CSVVal&lt;&gt;"",PROPER(_xlpm.CSVVal)
)),"")</f>
        <v/>
      </c>
      <c r="H1152" s="40" t="str" cm="1">
        <f t="array" ref="H1152">IFERROR(_xlfn.LET(
_xlpm.CSVVal,_xlfn.XLOOKUP($A1152,CSV!$A:$A,CSV!H:H,""),
_xlpm.MacVal,_xlfn.XLOOKUP($A1152,Output_Mac!$A:$A,Output_Mac!H:H,""),
_xlpm.MyAuditVal,_xlfn.XLOOKUP($A1152,My_Audit!$A:$A,My_Audit!G:G,""),
_xlfn.IFS(_xlpm.MyAuditVal&lt;&gt;"",_xlpm.MyAuditVal,_xlpm.MacVal&lt;&gt;"",_xlpm.MacVal,_xlpm.CSVVal&lt;&gt;"",_xlpm.CSVVal
)),"")</f>
        <v/>
      </c>
      <c r="I1152" s="40" t="str">
        <f>_xlfn.XLOOKUP(A1152,Output_Mac!A:A,Output_Mac!I:I,"")</f>
        <v/>
      </c>
      <c r="J1152" s="40" t="str" cm="1">
        <f t="array" ref="J1152">IFERROR(_xlfn.LET(
_xlpm.CSVVal,_xlfn.XLOOKUP($A1152,CSV!$A:$A,CSV!I:I,""),
_xlpm.MacVal,_xlfn.XLOOKUP($A1152,Output_Mac!$A:$A,Output_Mac!J:J,""),
_xlpm.MyAuditVal,_xlfn.XLOOKUP($A1152,My_Audit!$A:$A,My_Audit!I:I,""),
_xlfn.IFS(_xlpm.MyAuditVal&lt;&gt;"",UPPER(_xlpm.MyAuditVal),_xlpm.MacVal&lt;&gt;"",_xlpm.MacVal,_xlpm.CSVVal&lt;&gt;"",_xlpm.CSVVal
)),"")</f>
        <v/>
      </c>
      <c r="K1152" s="40" t="str" cm="1">
        <f t="array" ref="K1152">IFERROR(_xlfn.LET(
_xlpm.CSVVal,_xlfn.XLOOKUP($A1152,CSV!$A:$A,CSV!K:K,""),
_xlpm.MacVal,_xlfn.XLOOKUP($A1152,Output_Mac!$A:$A,Output_Mac!K:K,""),
_xlpm.MyAuditVal,_xlfn.XLOOKUP($A1152,My_Audit!$A:$A,My_Audit!J:J,""),
_xlfn.IFS(_xlpm.MyAuditVal&lt;&gt;"",UPPER(_xlpm.MyAuditVal),_xlpm.MacVal&lt;&gt;"",_xlpm.MacVal,_xlpm.CSVVal&lt;&gt;"",_xlpm.CSVVal
)),"")</f>
        <v/>
      </c>
      <c r="L1152" s="40" t="str" cm="1">
        <f t="array" ref="L1152">IFERROR(_xlfn.LET(
_xlpm.CSVVal,_xlfn.XLOOKUP($A1152,CSV!$A:$A,CSV!P:P,""),
_xlpm.MacVal,_xlfn.XLOOKUP($A1152,Output_Mac!$A:$A,Output_Mac!L:L,""),
_xlpm.MyAuditVal,_xlfn.XLOOKUP($A1152,My_Audit!$A:$A,My_Audit!K:K,""),
_xlfn.IFS(_xlpm.MyAuditVal&lt;&gt;"",UPPER(_xlpm.MyAuditVal),_xlpm.MacVal&lt;&gt;"",_xlpm.MacVal,_xlpm.CSVVal&lt;&gt;"",_xlpm.CSVVal
)),"")</f>
        <v/>
      </c>
      <c r="M1152" s="40" t="str" cm="1">
        <f t="array" ref="M1152">IFERROR(_xlfn.LET(
_xlpm.CSVVal,_xlfn.XLOOKUP($A1152,CSV!$A:$A,CSV!Q:Q,""),
_xlpm.MacVal,_xlfn.XLOOKUP($A1152,Output_Mac!$A:$A,Output_Mac!M:M,""),
_xlpm.MyAuditVal,_xlfn.XLOOKUP($A1152,My_Audit!$A:$A,My_Audit!L:L,""),
_xlfn.IFS(_xlpm.MyAuditVal&lt;&gt;"",UPPER(_xlpm.MyAuditVal),_xlpm.MacVal&lt;&gt;"",_xlpm.MacVal,_xlpm.CSVVal&lt;&gt;"",_xlpm.CSVVal
)),"")</f>
        <v/>
      </c>
      <c r="N1152" s="40"/>
      <c r="O1152" s="40" t="str">
        <f>_xlfn.LET(
    _xlpm.CSVVal, _xlfn.XLOOKUP($A1152, CSV!$A:$A, CSV!AA:AA, ""),
    _xlpm.MacVal, _xlfn.XLOOKUP($A1152, Output_Mac!$A:$A, Output_Mac!S:S, ""),
    _xlpm.MyAuditVal, _xlfn.XLOOKUP($A1152, My_Audit!$A:$A, My_Audit!P:P, ""),
    _xlfn.TEXTJOIN(", ", TRUE, _xlpm.MyAuditVal, _xlpm.MacVal, _xlpm.CSVVal)
)</f>
        <v/>
      </c>
      <c r="P1152" s="40" t="str" cm="1">
        <f t="array" ref="P1152">IFERROR(_xlfn.LET(
_xlpm.CSVVal,_xlfn.XLOOKUP($A1152,CSV!$A:$A,CSV!AB:AB,""),
_xlpm.MacVal,_xlfn.XLOOKUP($A1152,Output_Mac!$A:$A,Output_Mac!T:T,""),
_xlpm.MyAuditVal,_xlfn.XLOOKUP($A1152,My_Audit!$A:$A,My_Audit!Q:Q,""),
_xlfn.IFS(_xlpm.MyAuditVal&lt;&gt;"",UPPER(_xlpm.MyAuditVal),_xlpm.MacVal&lt;&gt;"",_xlpm.MacVal,_xlpm.CSVVal&lt;&gt;"",_xlpm.CSVVal
)),"No")</f>
        <v>No</v>
      </c>
      <c r="Q1152" s="40" t="str" cm="1">
        <f t="array" ref="Q1152">IFERROR(_xlfn.LET(
_xlpm.CSVVal,_xlfn.XLOOKUP($A1152,CSV!$A:$A,CSV!AC:AC,""),
_xlpm.MacVal,_xlfn.XLOOKUP($A1152,Output_Mac!$A:$A,Output_Mac!U:U,""),
_xlpm.MyAuditVal,_xlfn.XLOOKUP($A1152,My_Audit!$A:$A,My_Audit!R:R,""),
_xlfn.IFS(_xlpm.MyAuditVal&lt;&gt;"",UPPER(_xlpm.MyAuditVal),_xlpm.MacVal&lt;&gt;"",_xlpm.MacVal,_xlpm.CSVVal&lt;&gt;"",_xlpm.CSVVal
)),"")</f>
        <v/>
      </c>
      <c r="R1152" s="40"/>
      <c r="S1152" s="40"/>
      <c r="T1152" s="40"/>
      <c r="U1152" s="40"/>
      <c r="V1152" s="40"/>
      <c r="W1152" s="40"/>
      <c r="X1152" s="41" t="str">
        <f>_xlfn.LET(
    _xlpm.MacVal, _xlfn.XLOOKUP($A1152, Output_Mac!$A:$A, Output_Mac!AB:AB, ""),
    _xlpm.MyAuditVal, _xlfn.XLOOKUP($A1152, My_Audit!$A:$A, My_Audit!N:N, ""),
    _xlfn.TEXTJOIN(", ", TRUE, _xlpm.MyAuditVal, _xlpm.MacVal)
)</f>
        <v/>
      </c>
    </row>
    <row r="1153" spans="1:24">
      <c r="A1153" s="40" t="str">
        <f>_xlfn.TEXTJOIN("",TRUE,Input!$B$2,ROW(My_Audit!A1152))</f>
        <v>X1152</v>
      </c>
      <c r="B1153" s="40" t="str">
        <f>_xlfn.TEXTJOIN("-",TRUE,"ITD",Input!$A$2,A1153)</f>
        <v>ITD-X1152</v>
      </c>
      <c r="C1153" s="40" t="str" cm="1">
        <f t="array" ref="C1153">IFERROR(_xlfn.LET(
_xlpm.CSVVal,_xlfn.XLOOKUP($A1153,CSV!$A:$A,CSV!B:B,""),
_xlpm.MacVal,_xlfn.XLOOKUP($A1153,Output_Mac!$A:$A,Output_Mac!B:B,""),
_xlpm.MyAuditVal,_xlfn.XLOOKUP($A1153,My_Audit!$A:$A,My_Audit!B:B,""),
_xlfn.IFS(_xlpm.MyAuditVal&lt;&gt;"",UPPER(_xlpm.MyAuditVal),_xlpm.MacVal&lt;&gt;"",_xlpm.MacVal,_xlpm.CSVVal&lt;&gt;"",_xlpm.CSVVal
)),"")</f>
        <v/>
      </c>
      <c r="D1153" s="40" t="str" cm="1">
        <f t="array" ref="D1153">IFERROR(_xlfn.LET(
_xlpm.CSVVal,_xlfn.XLOOKUP($A1153,CSV!$A:$A,CSV!D:D,""),
_xlpm.MacVal,_xlfn.XLOOKUP($A1153,Output_Mac!$A:$A,Output_Mac!C:C,""),
_xlpm.MyAuditVal,_xlfn.XLOOKUP($A1153,My_Audit!$A:$A,My_Audit!C:C,""),
_xlfn.IFS(_xlpm.MyAuditVal&lt;&gt;"",_xlpm.MyAuditVal,_xlpm.MacVal&lt;&gt;"",_xlpm.MacVal,_xlpm.CSVVal&lt;&gt;"",_xlpm.CSVVal
)),"")</f>
        <v/>
      </c>
      <c r="E1153" s="40" t="str">
        <f>_xlfn.XLOOKUP(A1153,My_Audit!A:A,My_Audit!D:D,"")</f>
        <v/>
      </c>
      <c r="F1153" s="40" t="str" cm="1">
        <f t="array" ref="F1153">IFERROR(_xlfn.LET(
_xlpm.CSVVal,_xlfn.XLOOKUP($A1153,CSV!$A:$A,CSV!F:F,""),
_xlpm.MacVal,_xlfn.XLOOKUP($A1153,Output_Mac!$A:$A,Output_Mac!E:E,""),
_xlpm.MyAuditVal,_xlfn.XLOOKUP($A1153,My_Audit!$A:$A,My_Audit!E:E,""),
_xlfn.IFS(_xlpm.MyAuditVal&lt;&gt;"",_xlpm.MyAuditVal,_xlpm.MacVal&lt;&gt;"",_xlpm.MacVal,_xlpm.CSVVal&lt;&gt;"",_xlpm.CSVVal
)),"")</f>
        <v/>
      </c>
      <c r="G1153" s="40" t="str" cm="1">
        <f t="array" ref="G1153">IFERROR(_xlfn.LET(
_xlpm.CSVVal,_xlfn.XLOOKUP($A1153,CSV!$A:$A,CSV!G:G,""),
_xlpm.MacVal,_xlfn.XLOOKUP($A1153,Output_Mac!$A:$A,Output_Mac!F:F,""),
_xlpm.MyAuditVal,_xlfn.XLOOKUP($A1153,My_Audit!$A:$A,My_Audit!F:F,""),
_xlfn.IFS(_xlpm.MyAuditVal&lt;&gt;"",_xlpm.MyAuditVal,_xlpm.MacVal&lt;&gt;"",_xlpm.MacVal,_xlpm.CSVVal&lt;&gt;"",PROPER(_xlpm.CSVVal)
)),"")</f>
        <v/>
      </c>
      <c r="H1153" s="40" t="str" cm="1">
        <f t="array" ref="H1153">IFERROR(_xlfn.LET(
_xlpm.CSVVal,_xlfn.XLOOKUP($A1153,CSV!$A:$A,CSV!H:H,""),
_xlpm.MacVal,_xlfn.XLOOKUP($A1153,Output_Mac!$A:$A,Output_Mac!H:H,""),
_xlpm.MyAuditVal,_xlfn.XLOOKUP($A1153,My_Audit!$A:$A,My_Audit!G:G,""),
_xlfn.IFS(_xlpm.MyAuditVal&lt;&gt;"",_xlpm.MyAuditVal,_xlpm.MacVal&lt;&gt;"",_xlpm.MacVal,_xlpm.CSVVal&lt;&gt;"",_xlpm.CSVVal
)),"")</f>
        <v/>
      </c>
      <c r="I1153" s="40" t="str">
        <f>_xlfn.XLOOKUP(A1153,Output_Mac!A:A,Output_Mac!I:I,"")</f>
        <v/>
      </c>
      <c r="J1153" s="40" t="str" cm="1">
        <f t="array" ref="J1153">IFERROR(_xlfn.LET(
_xlpm.CSVVal,_xlfn.XLOOKUP($A1153,CSV!$A:$A,CSV!I:I,""),
_xlpm.MacVal,_xlfn.XLOOKUP($A1153,Output_Mac!$A:$A,Output_Mac!J:J,""),
_xlpm.MyAuditVal,_xlfn.XLOOKUP($A1153,My_Audit!$A:$A,My_Audit!I:I,""),
_xlfn.IFS(_xlpm.MyAuditVal&lt;&gt;"",UPPER(_xlpm.MyAuditVal),_xlpm.MacVal&lt;&gt;"",_xlpm.MacVal,_xlpm.CSVVal&lt;&gt;"",_xlpm.CSVVal
)),"")</f>
        <v/>
      </c>
      <c r="K1153" s="40" t="str" cm="1">
        <f t="array" ref="K1153">IFERROR(_xlfn.LET(
_xlpm.CSVVal,_xlfn.XLOOKUP($A1153,CSV!$A:$A,CSV!K:K,""),
_xlpm.MacVal,_xlfn.XLOOKUP($A1153,Output_Mac!$A:$A,Output_Mac!K:K,""),
_xlpm.MyAuditVal,_xlfn.XLOOKUP($A1153,My_Audit!$A:$A,My_Audit!J:J,""),
_xlfn.IFS(_xlpm.MyAuditVal&lt;&gt;"",UPPER(_xlpm.MyAuditVal),_xlpm.MacVal&lt;&gt;"",_xlpm.MacVal,_xlpm.CSVVal&lt;&gt;"",_xlpm.CSVVal
)),"")</f>
        <v/>
      </c>
      <c r="L1153" s="40" t="str" cm="1">
        <f t="array" ref="L1153">IFERROR(_xlfn.LET(
_xlpm.CSVVal,_xlfn.XLOOKUP($A1153,CSV!$A:$A,CSV!P:P,""),
_xlpm.MacVal,_xlfn.XLOOKUP($A1153,Output_Mac!$A:$A,Output_Mac!L:L,""),
_xlpm.MyAuditVal,_xlfn.XLOOKUP($A1153,My_Audit!$A:$A,My_Audit!K:K,""),
_xlfn.IFS(_xlpm.MyAuditVal&lt;&gt;"",UPPER(_xlpm.MyAuditVal),_xlpm.MacVal&lt;&gt;"",_xlpm.MacVal,_xlpm.CSVVal&lt;&gt;"",_xlpm.CSVVal
)),"")</f>
        <v/>
      </c>
      <c r="M1153" s="40" t="str" cm="1">
        <f t="array" ref="M1153">IFERROR(_xlfn.LET(
_xlpm.CSVVal,_xlfn.XLOOKUP($A1153,CSV!$A:$A,CSV!Q:Q,""),
_xlpm.MacVal,_xlfn.XLOOKUP($A1153,Output_Mac!$A:$A,Output_Mac!M:M,""),
_xlpm.MyAuditVal,_xlfn.XLOOKUP($A1153,My_Audit!$A:$A,My_Audit!L:L,""),
_xlfn.IFS(_xlpm.MyAuditVal&lt;&gt;"",UPPER(_xlpm.MyAuditVal),_xlpm.MacVal&lt;&gt;"",_xlpm.MacVal,_xlpm.CSVVal&lt;&gt;"",_xlpm.CSVVal
)),"")</f>
        <v/>
      </c>
      <c r="N1153" s="40"/>
      <c r="O1153" s="40" t="str">
        <f>_xlfn.LET(
    _xlpm.CSVVal, _xlfn.XLOOKUP($A1153, CSV!$A:$A, CSV!AA:AA, ""),
    _xlpm.MacVal, _xlfn.XLOOKUP($A1153, Output_Mac!$A:$A, Output_Mac!S:S, ""),
    _xlpm.MyAuditVal, _xlfn.XLOOKUP($A1153, My_Audit!$A:$A, My_Audit!P:P, ""),
    _xlfn.TEXTJOIN(", ", TRUE, _xlpm.MyAuditVal, _xlpm.MacVal, _xlpm.CSVVal)
)</f>
        <v/>
      </c>
      <c r="P1153" s="40" t="str" cm="1">
        <f t="array" ref="P1153">IFERROR(_xlfn.LET(
_xlpm.CSVVal,_xlfn.XLOOKUP($A1153,CSV!$A:$A,CSV!AB:AB,""),
_xlpm.MacVal,_xlfn.XLOOKUP($A1153,Output_Mac!$A:$A,Output_Mac!T:T,""),
_xlpm.MyAuditVal,_xlfn.XLOOKUP($A1153,My_Audit!$A:$A,My_Audit!Q:Q,""),
_xlfn.IFS(_xlpm.MyAuditVal&lt;&gt;"",UPPER(_xlpm.MyAuditVal),_xlpm.MacVal&lt;&gt;"",_xlpm.MacVal,_xlpm.CSVVal&lt;&gt;"",_xlpm.CSVVal
)),"No")</f>
        <v>No</v>
      </c>
      <c r="Q1153" s="40" t="str" cm="1">
        <f t="array" ref="Q1153">IFERROR(_xlfn.LET(
_xlpm.CSVVal,_xlfn.XLOOKUP($A1153,CSV!$A:$A,CSV!AC:AC,""),
_xlpm.MacVal,_xlfn.XLOOKUP($A1153,Output_Mac!$A:$A,Output_Mac!U:U,""),
_xlpm.MyAuditVal,_xlfn.XLOOKUP($A1153,My_Audit!$A:$A,My_Audit!R:R,""),
_xlfn.IFS(_xlpm.MyAuditVal&lt;&gt;"",UPPER(_xlpm.MyAuditVal),_xlpm.MacVal&lt;&gt;"",_xlpm.MacVal,_xlpm.CSVVal&lt;&gt;"",_xlpm.CSVVal
)),"")</f>
        <v/>
      </c>
      <c r="R1153" s="40"/>
      <c r="S1153" s="40"/>
      <c r="T1153" s="40"/>
      <c r="U1153" s="40"/>
      <c r="V1153" s="40"/>
      <c r="W1153" s="40"/>
      <c r="X1153" s="41" t="str">
        <f>_xlfn.LET(
    _xlpm.MacVal, _xlfn.XLOOKUP($A1153, Output_Mac!$A:$A, Output_Mac!AB:AB, ""),
    _xlpm.MyAuditVal, _xlfn.XLOOKUP($A1153, My_Audit!$A:$A, My_Audit!N:N, ""),
    _xlfn.TEXTJOIN(", ", TRUE, _xlpm.MyAuditVal, _xlpm.MacVal)
)</f>
        <v/>
      </c>
    </row>
    <row r="1154" spans="1:24">
      <c r="A1154" s="40" t="str">
        <f>_xlfn.TEXTJOIN("",TRUE,Input!$B$2,ROW(My_Audit!A1153))</f>
        <v>X1153</v>
      </c>
      <c r="B1154" s="40" t="str">
        <f>_xlfn.TEXTJOIN("-",TRUE,"ITD",Input!$A$2,A1154)</f>
        <v>ITD-X1153</v>
      </c>
      <c r="C1154" s="40" t="str" cm="1">
        <f t="array" ref="C1154">IFERROR(_xlfn.LET(
_xlpm.CSVVal,_xlfn.XLOOKUP($A1154,CSV!$A:$A,CSV!B:B,""),
_xlpm.MacVal,_xlfn.XLOOKUP($A1154,Output_Mac!$A:$A,Output_Mac!B:B,""),
_xlpm.MyAuditVal,_xlfn.XLOOKUP($A1154,My_Audit!$A:$A,My_Audit!B:B,""),
_xlfn.IFS(_xlpm.MyAuditVal&lt;&gt;"",UPPER(_xlpm.MyAuditVal),_xlpm.MacVal&lt;&gt;"",_xlpm.MacVal,_xlpm.CSVVal&lt;&gt;"",_xlpm.CSVVal
)),"")</f>
        <v/>
      </c>
      <c r="D1154" s="40" t="str" cm="1">
        <f t="array" ref="D1154">IFERROR(_xlfn.LET(
_xlpm.CSVVal,_xlfn.XLOOKUP($A1154,CSV!$A:$A,CSV!D:D,""),
_xlpm.MacVal,_xlfn.XLOOKUP($A1154,Output_Mac!$A:$A,Output_Mac!C:C,""),
_xlpm.MyAuditVal,_xlfn.XLOOKUP($A1154,My_Audit!$A:$A,My_Audit!C:C,""),
_xlfn.IFS(_xlpm.MyAuditVal&lt;&gt;"",_xlpm.MyAuditVal,_xlpm.MacVal&lt;&gt;"",_xlpm.MacVal,_xlpm.CSVVal&lt;&gt;"",_xlpm.CSVVal
)),"")</f>
        <v/>
      </c>
      <c r="E1154" s="40" t="str">
        <f>_xlfn.XLOOKUP(A1154,My_Audit!A:A,My_Audit!D:D,"")</f>
        <v/>
      </c>
      <c r="F1154" s="40" t="str" cm="1">
        <f t="array" ref="F1154">IFERROR(_xlfn.LET(
_xlpm.CSVVal,_xlfn.XLOOKUP($A1154,CSV!$A:$A,CSV!F:F,""),
_xlpm.MacVal,_xlfn.XLOOKUP($A1154,Output_Mac!$A:$A,Output_Mac!E:E,""),
_xlpm.MyAuditVal,_xlfn.XLOOKUP($A1154,My_Audit!$A:$A,My_Audit!E:E,""),
_xlfn.IFS(_xlpm.MyAuditVal&lt;&gt;"",_xlpm.MyAuditVal,_xlpm.MacVal&lt;&gt;"",_xlpm.MacVal,_xlpm.CSVVal&lt;&gt;"",_xlpm.CSVVal
)),"")</f>
        <v/>
      </c>
      <c r="G1154" s="40" t="str" cm="1">
        <f t="array" ref="G1154">IFERROR(_xlfn.LET(
_xlpm.CSVVal,_xlfn.XLOOKUP($A1154,CSV!$A:$A,CSV!G:G,""),
_xlpm.MacVal,_xlfn.XLOOKUP($A1154,Output_Mac!$A:$A,Output_Mac!F:F,""),
_xlpm.MyAuditVal,_xlfn.XLOOKUP($A1154,My_Audit!$A:$A,My_Audit!F:F,""),
_xlfn.IFS(_xlpm.MyAuditVal&lt;&gt;"",_xlpm.MyAuditVal,_xlpm.MacVal&lt;&gt;"",_xlpm.MacVal,_xlpm.CSVVal&lt;&gt;"",PROPER(_xlpm.CSVVal)
)),"")</f>
        <v/>
      </c>
      <c r="H1154" s="40" t="str" cm="1">
        <f t="array" ref="H1154">IFERROR(_xlfn.LET(
_xlpm.CSVVal,_xlfn.XLOOKUP($A1154,CSV!$A:$A,CSV!H:H,""),
_xlpm.MacVal,_xlfn.XLOOKUP($A1154,Output_Mac!$A:$A,Output_Mac!H:H,""),
_xlpm.MyAuditVal,_xlfn.XLOOKUP($A1154,My_Audit!$A:$A,My_Audit!G:G,""),
_xlfn.IFS(_xlpm.MyAuditVal&lt;&gt;"",_xlpm.MyAuditVal,_xlpm.MacVal&lt;&gt;"",_xlpm.MacVal,_xlpm.CSVVal&lt;&gt;"",_xlpm.CSVVal
)),"")</f>
        <v/>
      </c>
      <c r="I1154" s="40" t="str">
        <f>_xlfn.XLOOKUP(A1154,Output_Mac!A:A,Output_Mac!I:I,"")</f>
        <v/>
      </c>
      <c r="J1154" s="40" t="str" cm="1">
        <f t="array" ref="J1154">IFERROR(_xlfn.LET(
_xlpm.CSVVal,_xlfn.XLOOKUP($A1154,CSV!$A:$A,CSV!I:I,""),
_xlpm.MacVal,_xlfn.XLOOKUP($A1154,Output_Mac!$A:$A,Output_Mac!J:J,""),
_xlpm.MyAuditVal,_xlfn.XLOOKUP($A1154,My_Audit!$A:$A,My_Audit!I:I,""),
_xlfn.IFS(_xlpm.MyAuditVal&lt;&gt;"",UPPER(_xlpm.MyAuditVal),_xlpm.MacVal&lt;&gt;"",_xlpm.MacVal,_xlpm.CSVVal&lt;&gt;"",_xlpm.CSVVal
)),"")</f>
        <v/>
      </c>
      <c r="K1154" s="40" t="str" cm="1">
        <f t="array" ref="K1154">IFERROR(_xlfn.LET(
_xlpm.CSVVal,_xlfn.XLOOKUP($A1154,CSV!$A:$A,CSV!K:K,""),
_xlpm.MacVal,_xlfn.XLOOKUP($A1154,Output_Mac!$A:$A,Output_Mac!K:K,""),
_xlpm.MyAuditVal,_xlfn.XLOOKUP($A1154,My_Audit!$A:$A,My_Audit!J:J,""),
_xlfn.IFS(_xlpm.MyAuditVal&lt;&gt;"",UPPER(_xlpm.MyAuditVal),_xlpm.MacVal&lt;&gt;"",_xlpm.MacVal,_xlpm.CSVVal&lt;&gt;"",_xlpm.CSVVal
)),"")</f>
        <v/>
      </c>
      <c r="L1154" s="40" t="str" cm="1">
        <f t="array" ref="L1154">IFERROR(_xlfn.LET(
_xlpm.CSVVal,_xlfn.XLOOKUP($A1154,CSV!$A:$A,CSV!P:P,""),
_xlpm.MacVal,_xlfn.XLOOKUP($A1154,Output_Mac!$A:$A,Output_Mac!L:L,""),
_xlpm.MyAuditVal,_xlfn.XLOOKUP($A1154,My_Audit!$A:$A,My_Audit!K:K,""),
_xlfn.IFS(_xlpm.MyAuditVal&lt;&gt;"",UPPER(_xlpm.MyAuditVal),_xlpm.MacVal&lt;&gt;"",_xlpm.MacVal,_xlpm.CSVVal&lt;&gt;"",_xlpm.CSVVal
)),"")</f>
        <v/>
      </c>
      <c r="M1154" s="40" t="str" cm="1">
        <f t="array" ref="M1154">IFERROR(_xlfn.LET(
_xlpm.CSVVal,_xlfn.XLOOKUP($A1154,CSV!$A:$A,CSV!Q:Q,""),
_xlpm.MacVal,_xlfn.XLOOKUP($A1154,Output_Mac!$A:$A,Output_Mac!M:M,""),
_xlpm.MyAuditVal,_xlfn.XLOOKUP($A1154,My_Audit!$A:$A,My_Audit!L:L,""),
_xlfn.IFS(_xlpm.MyAuditVal&lt;&gt;"",UPPER(_xlpm.MyAuditVal),_xlpm.MacVal&lt;&gt;"",_xlpm.MacVal,_xlpm.CSVVal&lt;&gt;"",_xlpm.CSVVal
)),"")</f>
        <v/>
      </c>
      <c r="N1154" s="40"/>
      <c r="O1154" s="40" t="str">
        <f>_xlfn.LET(
    _xlpm.CSVVal, _xlfn.XLOOKUP($A1154, CSV!$A:$A, CSV!AA:AA, ""),
    _xlpm.MacVal, _xlfn.XLOOKUP($A1154, Output_Mac!$A:$A, Output_Mac!S:S, ""),
    _xlpm.MyAuditVal, _xlfn.XLOOKUP($A1154, My_Audit!$A:$A, My_Audit!P:P, ""),
    _xlfn.TEXTJOIN(", ", TRUE, _xlpm.MyAuditVal, _xlpm.MacVal, _xlpm.CSVVal)
)</f>
        <v/>
      </c>
      <c r="P1154" s="40" t="str" cm="1">
        <f t="array" ref="P1154">IFERROR(_xlfn.LET(
_xlpm.CSVVal,_xlfn.XLOOKUP($A1154,CSV!$A:$A,CSV!AB:AB,""),
_xlpm.MacVal,_xlfn.XLOOKUP($A1154,Output_Mac!$A:$A,Output_Mac!T:T,""),
_xlpm.MyAuditVal,_xlfn.XLOOKUP($A1154,My_Audit!$A:$A,My_Audit!Q:Q,""),
_xlfn.IFS(_xlpm.MyAuditVal&lt;&gt;"",UPPER(_xlpm.MyAuditVal),_xlpm.MacVal&lt;&gt;"",_xlpm.MacVal,_xlpm.CSVVal&lt;&gt;"",_xlpm.CSVVal
)),"No")</f>
        <v>No</v>
      </c>
      <c r="Q1154" s="40" t="str" cm="1">
        <f t="array" ref="Q1154">IFERROR(_xlfn.LET(
_xlpm.CSVVal,_xlfn.XLOOKUP($A1154,CSV!$A:$A,CSV!AC:AC,""),
_xlpm.MacVal,_xlfn.XLOOKUP($A1154,Output_Mac!$A:$A,Output_Mac!U:U,""),
_xlpm.MyAuditVal,_xlfn.XLOOKUP($A1154,My_Audit!$A:$A,My_Audit!R:R,""),
_xlfn.IFS(_xlpm.MyAuditVal&lt;&gt;"",UPPER(_xlpm.MyAuditVal),_xlpm.MacVal&lt;&gt;"",_xlpm.MacVal,_xlpm.CSVVal&lt;&gt;"",_xlpm.CSVVal
)),"")</f>
        <v/>
      </c>
      <c r="R1154" s="40"/>
      <c r="S1154" s="40"/>
      <c r="T1154" s="40"/>
      <c r="U1154" s="40"/>
      <c r="V1154" s="40"/>
      <c r="W1154" s="40"/>
      <c r="X1154" s="41" t="str">
        <f>_xlfn.LET(
    _xlpm.MacVal, _xlfn.XLOOKUP($A1154, Output_Mac!$A:$A, Output_Mac!AB:AB, ""),
    _xlpm.MyAuditVal, _xlfn.XLOOKUP($A1154, My_Audit!$A:$A, My_Audit!N:N, ""),
    _xlfn.TEXTJOIN(", ", TRUE, _xlpm.MyAuditVal, _xlpm.MacVal)
)</f>
        <v/>
      </c>
    </row>
    <row r="1155" spans="1:24">
      <c r="A1155" s="40" t="str">
        <f>_xlfn.TEXTJOIN("",TRUE,Input!$B$2,ROW(My_Audit!A1154))</f>
        <v>X1154</v>
      </c>
      <c r="B1155" s="40" t="str">
        <f>_xlfn.TEXTJOIN("-",TRUE,"ITD",Input!$A$2,A1155)</f>
        <v>ITD-X1154</v>
      </c>
      <c r="C1155" s="40" t="str" cm="1">
        <f t="array" ref="C1155">IFERROR(_xlfn.LET(
_xlpm.CSVVal,_xlfn.XLOOKUP($A1155,CSV!$A:$A,CSV!B:B,""),
_xlpm.MacVal,_xlfn.XLOOKUP($A1155,Output_Mac!$A:$A,Output_Mac!B:B,""),
_xlpm.MyAuditVal,_xlfn.XLOOKUP($A1155,My_Audit!$A:$A,My_Audit!B:B,""),
_xlfn.IFS(_xlpm.MyAuditVal&lt;&gt;"",UPPER(_xlpm.MyAuditVal),_xlpm.MacVal&lt;&gt;"",_xlpm.MacVal,_xlpm.CSVVal&lt;&gt;"",_xlpm.CSVVal
)),"")</f>
        <v/>
      </c>
      <c r="D1155" s="40" t="str" cm="1">
        <f t="array" ref="D1155">IFERROR(_xlfn.LET(
_xlpm.CSVVal,_xlfn.XLOOKUP($A1155,CSV!$A:$A,CSV!D:D,""),
_xlpm.MacVal,_xlfn.XLOOKUP($A1155,Output_Mac!$A:$A,Output_Mac!C:C,""),
_xlpm.MyAuditVal,_xlfn.XLOOKUP($A1155,My_Audit!$A:$A,My_Audit!C:C,""),
_xlfn.IFS(_xlpm.MyAuditVal&lt;&gt;"",_xlpm.MyAuditVal,_xlpm.MacVal&lt;&gt;"",_xlpm.MacVal,_xlpm.CSVVal&lt;&gt;"",_xlpm.CSVVal
)),"")</f>
        <v/>
      </c>
      <c r="E1155" s="40" t="str">
        <f>_xlfn.XLOOKUP(A1155,My_Audit!A:A,My_Audit!D:D,"")</f>
        <v/>
      </c>
      <c r="F1155" s="40" t="str" cm="1">
        <f t="array" ref="F1155">IFERROR(_xlfn.LET(
_xlpm.CSVVal,_xlfn.XLOOKUP($A1155,CSV!$A:$A,CSV!F:F,""),
_xlpm.MacVal,_xlfn.XLOOKUP($A1155,Output_Mac!$A:$A,Output_Mac!E:E,""),
_xlpm.MyAuditVal,_xlfn.XLOOKUP($A1155,My_Audit!$A:$A,My_Audit!E:E,""),
_xlfn.IFS(_xlpm.MyAuditVal&lt;&gt;"",_xlpm.MyAuditVal,_xlpm.MacVal&lt;&gt;"",_xlpm.MacVal,_xlpm.CSVVal&lt;&gt;"",_xlpm.CSVVal
)),"")</f>
        <v/>
      </c>
      <c r="G1155" s="40" t="str" cm="1">
        <f t="array" ref="G1155">IFERROR(_xlfn.LET(
_xlpm.CSVVal,_xlfn.XLOOKUP($A1155,CSV!$A:$A,CSV!G:G,""),
_xlpm.MacVal,_xlfn.XLOOKUP($A1155,Output_Mac!$A:$A,Output_Mac!F:F,""),
_xlpm.MyAuditVal,_xlfn.XLOOKUP($A1155,My_Audit!$A:$A,My_Audit!F:F,""),
_xlfn.IFS(_xlpm.MyAuditVal&lt;&gt;"",_xlpm.MyAuditVal,_xlpm.MacVal&lt;&gt;"",_xlpm.MacVal,_xlpm.CSVVal&lt;&gt;"",PROPER(_xlpm.CSVVal)
)),"")</f>
        <v/>
      </c>
      <c r="H1155" s="40" t="str" cm="1">
        <f t="array" ref="H1155">IFERROR(_xlfn.LET(
_xlpm.CSVVal,_xlfn.XLOOKUP($A1155,CSV!$A:$A,CSV!H:H,""),
_xlpm.MacVal,_xlfn.XLOOKUP($A1155,Output_Mac!$A:$A,Output_Mac!H:H,""),
_xlpm.MyAuditVal,_xlfn.XLOOKUP($A1155,My_Audit!$A:$A,My_Audit!G:G,""),
_xlfn.IFS(_xlpm.MyAuditVal&lt;&gt;"",_xlpm.MyAuditVal,_xlpm.MacVal&lt;&gt;"",_xlpm.MacVal,_xlpm.CSVVal&lt;&gt;"",_xlpm.CSVVal
)),"")</f>
        <v/>
      </c>
      <c r="I1155" s="40" t="str">
        <f>_xlfn.XLOOKUP(A1155,Output_Mac!A:A,Output_Mac!I:I,"")</f>
        <v/>
      </c>
      <c r="J1155" s="40" t="str" cm="1">
        <f t="array" ref="J1155">IFERROR(_xlfn.LET(
_xlpm.CSVVal,_xlfn.XLOOKUP($A1155,CSV!$A:$A,CSV!I:I,""),
_xlpm.MacVal,_xlfn.XLOOKUP($A1155,Output_Mac!$A:$A,Output_Mac!J:J,""),
_xlpm.MyAuditVal,_xlfn.XLOOKUP($A1155,My_Audit!$A:$A,My_Audit!I:I,""),
_xlfn.IFS(_xlpm.MyAuditVal&lt;&gt;"",UPPER(_xlpm.MyAuditVal),_xlpm.MacVal&lt;&gt;"",_xlpm.MacVal,_xlpm.CSVVal&lt;&gt;"",_xlpm.CSVVal
)),"")</f>
        <v/>
      </c>
      <c r="K1155" s="40" t="str" cm="1">
        <f t="array" ref="K1155">IFERROR(_xlfn.LET(
_xlpm.CSVVal,_xlfn.XLOOKUP($A1155,CSV!$A:$A,CSV!K:K,""),
_xlpm.MacVal,_xlfn.XLOOKUP($A1155,Output_Mac!$A:$A,Output_Mac!K:K,""),
_xlpm.MyAuditVal,_xlfn.XLOOKUP($A1155,My_Audit!$A:$A,My_Audit!J:J,""),
_xlfn.IFS(_xlpm.MyAuditVal&lt;&gt;"",UPPER(_xlpm.MyAuditVal),_xlpm.MacVal&lt;&gt;"",_xlpm.MacVal,_xlpm.CSVVal&lt;&gt;"",_xlpm.CSVVal
)),"")</f>
        <v/>
      </c>
      <c r="L1155" s="40" t="str" cm="1">
        <f t="array" ref="L1155">IFERROR(_xlfn.LET(
_xlpm.CSVVal,_xlfn.XLOOKUP($A1155,CSV!$A:$A,CSV!P:P,""),
_xlpm.MacVal,_xlfn.XLOOKUP($A1155,Output_Mac!$A:$A,Output_Mac!L:L,""),
_xlpm.MyAuditVal,_xlfn.XLOOKUP($A1155,My_Audit!$A:$A,My_Audit!K:K,""),
_xlfn.IFS(_xlpm.MyAuditVal&lt;&gt;"",UPPER(_xlpm.MyAuditVal),_xlpm.MacVal&lt;&gt;"",_xlpm.MacVal,_xlpm.CSVVal&lt;&gt;"",_xlpm.CSVVal
)),"")</f>
        <v/>
      </c>
      <c r="M1155" s="40" t="str" cm="1">
        <f t="array" ref="M1155">IFERROR(_xlfn.LET(
_xlpm.CSVVal,_xlfn.XLOOKUP($A1155,CSV!$A:$A,CSV!Q:Q,""),
_xlpm.MacVal,_xlfn.XLOOKUP($A1155,Output_Mac!$A:$A,Output_Mac!M:M,""),
_xlpm.MyAuditVal,_xlfn.XLOOKUP($A1155,My_Audit!$A:$A,My_Audit!L:L,""),
_xlfn.IFS(_xlpm.MyAuditVal&lt;&gt;"",UPPER(_xlpm.MyAuditVal),_xlpm.MacVal&lt;&gt;"",_xlpm.MacVal,_xlpm.CSVVal&lt;&gt;"",_xlpm.CSVVal
)),"")</f>
        <v/>
      </c>
      <c r="N1155" s="40"/>
      <c r="O1155" s="40" t="str">
        <f>_xlfn.LET(
    _xlpm.CSVVal, _xlfn.XLOOKUP($A1155, CSV!$A:$A, CSV!AA:AA, ""),
    _xlpm.MacVal, _xlfn.XLOOKUP($A1155, Output_Mac!$A:$A, Output_Mac!S:S, ""),
    _xlpm.MyAuditVal, _xlfn.XLOOKUP($A1155, My_Audit!$A:$A, My_Audit!P:P, ""),
    _xlfn.TEXTJOIN(", ", TRUE, _xlpm.MyAuditVal, _xlpm.MacVal, _xlpm.CSVVal)
)</f>
        <v/>
      </c>
      <c r="P1155" s="40" t="str" cm="1">
        <f t="array" ref="P1155">IFERROR(_xlfn.LET(
_xlpm.CSVVal,_xlfn.XLOOKUP($A1155,CSV!$A:$A,CSV!AB:AB,""),
_xlpm.MacVal,_xlfn.XLOOKUP($A1155,Output_Mac!$A:$A,Output_Mac!T:T,""),
_xlpm.MyAuditVal,_xlfn.XLOOKUP($A1155,My_Audit!$A:$A,My_Audit!Q:Q,""),
_xlfn.IFS(_xlpm.MyAuditVal&lt;&gt;"",UPPER(_xlpm.MyAuditVal),_xlpm.MacVal&lt;&gt;"",_xlpm.MacVal,_xlpm.CSVVal&lt;&gt;"",_xlpm.CSVVal
)),"No")</f>
        <v>No</v>
      </c>
      <c r="Q1155" s="40" t="str" cm="1">
        <f t="array" ref="Q1155">IFERROR(_xlfn.LET(
_xlpm.CSVVal,_xlfn.XLOOKUP($A1155,CSV!$A:$A,CSV!AC:AC,""),
_xlpm.MacVal,_xlfn.XLOOKUP($A1155,Output_Mac!$A:$A,Output_Mac!U:U,""),
_xlpm.MyAuditVal,_xlfn.XLOOKUP($A1155,My_Audit!$A:$A,My_Audit!R:R,""),
_xlfn.IFS(_xlpm.MyAuditVal&lt;&gt;"",UPPER(_xlpm.MyAuditVal),_xlpm.MacVal&lt;&gt;"",_xlpm.MacVal,_xlpm.CSVVal&lt;&gt;"",_xlpm.CSVVal
)),"")</f>
        <v/>
      </c>
      <c r="R1155" s="40"/>
      <c r="S1155" s="40"/>
      <c r="T1155" s="40"/>
      <c r="U1155" s="40"/>
      <c r="V1155" s="40"/>
      <c r="W1155" s="40"/>
      <c r="X1155" s="41" t="str">
        <f>_xlfn.LET(
    _xlpm.MacVal, _xlfn.XLOOKUP($A1155, Output_Mac!$A:$A, Output_Mac!AB:AB, ""),
    _xlpm.MyAuditVal, _xlfn.XLOOKUP($A1155, My_Audit!$A:$A, My_Audit!N:N, ""),
    _xlfn.TEXTJOIN(", ", TRUE, _xlpm.MyAuditVal, _xlpm.MacVal)
)</f>
        <v/>
      </c>
    </row>
    <row r="1156" spans="1:24">
      <c r="A1156" s="40" t="str">
        <f>_xlfn.TEXTJOIN("",TRUE,Input!$B$2,ROW(My_Audit!A1155))</f>
        <v>X1155</v>
      </c>
      <c r="B1156" s="40" t="str">
        <f>_xlfn.TEXTJOIN("-",TRUE,"ITD",Input!$A$2,A1156)</f>
        <v>ITD-X1155</v>
      </c>
      <c r="C1156" s="40" t="str" cm="1">
        <f t="array" ref="C1156">IFERROR(_xlfn.LET(
_xlpm.CSVVal,_xlfn.XLOOKUP($A1156,CSV!$A:$A,CSV!B:B,""),
_xlpm.MacVal,_xlfn.XLOOKUP($A1156,Output_Mac!$A:$A,Output_Mac!B:B,""),
_xlpm.MyAuditVal,_xlfn.XLOOKUP($A1156,My_Audit!$A:$A,My_Audit!B:B,""),
_xlfn.IFS(_xlpm.MyAuditVal&lt;&gt;"",UPPER(_xlpm.MyAuditVal),_xlpm.MacVal&lt;&gt;"",_xlpm.MacVal,_xlpm.CSVVal&lt;&gt;"",_xlpm.CSVVal
)),"")</f>
        <v/>
      </c>
      <c r="D1156" s="40" t="str" cm="1">
        <f t="array" ref="D1156">IFERROR(_xlfn.LET(
_xlpm.CSVVal,_xlfn.XLOOKUP($A1156,CSV!$A:$A,CSV!D:D,""),
_xlpm.MacVal,_xlfn.XLOOKUP($A1156,Output_Mac!$A:$A,Output_Mac!C:C,""),
_xlpm.MyAuditVal,_xlfn.XLOOKUP($A1156,My_Audit!$A:$A,My_Audit!C:C,""),
_xlfn.IFS(_xlpm.MyAuditVal&lt;&gt;"",_xlpm.MyAuditVal,_xlpm.MacVal&lt;&gt;"",_xlpm.MacVal,_xlpm.CSVVal&lt;&gt;"",_xlpm.CSVVal
)),"")</f>
        <v/>
      </c>
      <c r="E1156" s="40" t="str">
        <f>_xlfn.XLOOKUP(A1156,My_Audit!A:A,My_Audit!D:D,"")</f>
        <v/>
      </c>
      <c r="F1156" s="40" t="str" cm="1">
        <f t="array" ref="F1156">IFERROR(_xlfn.LET(
_xlpm.CSVVal,_xlfn.XLOOKUP($A1156,CSV!$A:$A,CSV!F:F,""),
_xlpm.MacVal,_xlfn.XLOOKUP($A1156,Output_Mac!$A:$A,Output_Mac!E:E,""),
_xlpm.MyAuditVal,_xlfn.XLOOKUP($A1156,My_Audit!$A:$A,My_Audit!E:E,""),
_xlfn.IFS(_xlpm.MyAuditVal&lt;&gt;"",_xlpm.MyAuditVal,_xlpm.MacVal&lt;&gt;"",_xlpm.MacVal,_xlpm.CSVVal&lt;&gt;"",_xlpm.CSVVal
)),"")</f>
        <v/>
      </c>
      <c r="G1156" s="40" t="str" cm="1">
        <f t="array" ref="G1156">IFERROR(_xlfn.LET(
_xlpm.CSVVal,_xlfn.XLOOKUP($A1156,CSV!$A:$A,CSV!G:G,""),
_xlpm.MacVal,_xlfn.XLOOKUP($A1156,Output_Mac!$A:$A,Output_Mac!F:F,""),
_xlpm.MyAuditVal,_xlfn.XLOOKUP($A1156,My_Audit!$A:$A,My_Audit!F:F,""),
_xlfn.IFS(_xlpm.MyAuditVal&lt;&gt;"",_xlpm.MyAuditVal,_xlpm.MacVal&lt;&gt;"",_xlpm.MacVal,_xlpm.CSVVal&lt;&gt;"",PROPER(_xlpm.CSVVal)
)),"")</f>
        <v/>
      </c>
      <c r="H1156" s="40" t="str" cm="1">
        <f t="array" ref="H1156">IFERROR(_xlfn.LET(
_xlpm.CSVVal,_xlfn.XLOOKUP($A1156,CSV!$A:$A,CSV!H:H,""),
_xlpm.MacVal,_xlfn.XLOOKUP($A1156,Output_Mac!$A:$A,Output_Mac!H:H,""),
_xlpm.MyAuditVal,_xlfn.XLOOKUP($A1156,My_Audit!$A:$A,My_Audit!G:G,""),
_xlfn.IFS(_xlpm.MyAuditVal&lt;&gt;"",_xlpm.MyAuditVal,_xlpm.MacVal&lt;&gt;"",_xlpm.MacVal,_xlpm.CSVVal&lt;&gt;"",_xlpm.CSVVal
)),"")</f>
        <v/>
      </c>
      <c r="I1156" s="40" t="str">
        <f>_xlfn.XLOOKUP(A1156,Output_Mac!A:A,Output_Mac!I:I,"")</f>
        <v/>
      </c>
      <c r="J1156" s="40" t="str" cm="1">
        <f t="array" ref="J1156">IFERROR(_xlfn.LET(
_xlpm.CSVVal,_xlfn.XLOOKUP($A1156,CSV!$A:$A,CSV!I:I,""),
_xlpm.MacVal,_xlfn.XLOOKUP($A1156,Output_Mac!$A:$A,Output_Mac!J:J,""),
_xlpm.MyAuditVal,_xlfn.XLOOKUP($A1156,My_Audit!$A:$A,My_Audit!I:I,""),
_xlfn.IFS(_xlpm.MyAuditVal&lt;&gt;"",UPPER(_xlpm.MyAuditVal),_xlpm.MacVal&lt;&gt;"",_xlpm.MacVal,_xlpm.CSVVal&lt;&gt;"",_xlpm.CSVVal
)),"")</f>
        <v/>
      </c>
      <c r="K1156" s="40" t="str" cm="1">
        <f t="array" ref="K1156">IFERROR(_xlfn.LET(
_xlpm.CSVVal,_xlfn.XLOOKUP($A1156,CSV!$A:$A,CSV!K:K,""),
_xlpm.MacVal,_xlfn.XLOOKUP($A1156,Output_Mac!$A:$A,Output_Mac!K:K,""),
_xlpm.MyAuditVal,_xlfn.XLOOKUP($A1156,My_Audit!$A:$A,My_Audit!J:J,""),
_xlfn.IFS(_xlpm.MyAuditVal&lt;&gt;"",UPPER(_xlpm.MyAuditVal),_xlpm.MacVal&lt;&gt;"",_xlpm.MacVal,_xlpm.CSVVal&lt;&gt;"",_xlpm.CSVVal
)),"")</f>
        <v/>
      </c>
      <c r="L1156" s="40" t="str" cm="1">
        <f t="array" ref="L1156">IFERROR(_xlfn.LET(
_xlpm.CSVVal,_xlfn.XLOOKUP($A1156,CSV!$A:$A,CSV!P:P,""),
_xlpm.MacVal,_xlfn.XLOOKUP($A1156,Output_Mac!$A:$A,Output_Mac!L:L,""),
_xlpm.MyAuditVal,_xlfn.XLOOKUP($A1156,My_Audit!$A:$A,My_Audit!K:K,""),
_xlfn.IFS(_xlpm.MyAuditVal&lt;&gt;"",UPPER(_xlpm.MyAuditVal),_xlpm.MacVal&lt;&gt;"",_xlpm.MacVal,_xlpm.CSVVal&lt;&gt;"",_xlpm.CSVVal
)),"")</f>
        <v/>
      </c>
      <c r="M1156" s="40" t="str" cm="1">
        <f t="array" ref="M1156">IFERROR(_xlfn.LET(
_xlpm.CSVVal,_xlfn.XLOOKUP($A1156,CSV!$A:$A,CSV!Q:Q,""),
_xlpm.MacVal,_xlfn.XLOOKUP($A1156,Output_Mac!$A:$A,Output_Mac!M:M,""),
_xlpm.MyAuditVal,_xlfn.XLOOKUP($A1156,My_Audit!$A:$A,My_Audit!L:L,""),
_xlfn.IFS(_xlpm.MyAuditVal&lt;&gt;"",UPPER(_xlpm.MyAuditVal),_xlpm.MacVal&lt;&gt;"",_xlpm.MacVal,_xlpm.CSVVal&lt;&gt;"",_xlpm.CSVVal
)),"")</f>
        <v/>
      </c>
      <c r="N1156" s="40"/>
      <c r="O1156" s="40" t="str">
        <f>_xlfn.LET(
    _xlpm.CSVVal, _xlfn.XLOOKUP($A1156, CSV!$A:$A, CSV!AA:AA, ""),
    _xlpm.MacVal, _xlfn.XLOOKUP($A1156, Output_Mac!$A:$A, Output_Mac!S:S, ""),
    _xlpm.MyAuditVal, _xlfn.XLOOKUP($A1156, My_Audit!$A:$A, My_Audit!P:P, ""),
    _xlfn.TEXTJOIN(", ", TRUE, _xlpm.MyAuditVal, _xlpm.MacVal, _xlpm.CSVVal)
)</f>
        <v/>
      </c>
      <c r="P1156" s="40" t="str" cm="1">
        <f t="array" ref="P1156">IFERROR(_xlfn.LET(
_xlpm.CSVVal,_xlfn.XLOOKUP($A1156,CSV!$A:$A,CSV!AB:AB,""),
_xlpm.MacVal,_xlfn.XLOOKUP($A1156,Output_Mac!$A:$A,Output_Mac!T:T,""),
_xlpm.MyAuditVal,_xlfn.XLOOKUP($A1156,My_Audit!$A:$A,My_Audit!Q:Q,""),
_xlfn.IFS(_xlpm.MyAuditVal&lt;&gt;"",UPPER(_xlpm.MyAuditVal),_xlpm.MacVal&lt;&gt;"",_xlpm.MacVal,_xlpm.CSVVal&lt;&gt;"",_xlpm.CSVVal
)),"No")</f>
        <v>No</v>
      </c>
      <c r="Q1156" s="40" t="str" cm="1">
        <f t="array" ref="Q1156">IFERROR(_xlfn.LET(
_xlpm.CSVVal,_xlfn.XLOOKUP($A1156,CSV!$A:$A,CSV!AC:AC,""),
_xlpm.MacVal,_xlfn.XLOOKUP($A1156,Output_Mac!$A:$A,Output_Mac!U:U,""),
_xlpm.MyAuditVal,_xlfn.XLOOKUP($A1156,My_Audit!$A:$A,My_Audit!R:R,""),
_xlfn.IFS(_xlpm.MyAuditVal&lt;&gt;"",UPPER(_xlpm.MyAuditVal),_xlpm.MacVal&lt;&gt;"",_xlpm.MacVal,_xlpm.CSVVal&lt;&gt;"",_xlpm.CSVVal
)),"")</f>
        <v/>
      </c>
      <c r="R1156" s="40"/>
      <c r="S1156" s="40"/>
      <c r="T1156" s="40"/>
      <c r="U1156" s="40"/>
      <c r="V1156" s="40"/>
      <c r="W1156" s="40"/>
      <c r="X1156" s="41" t="str">
        <f>_xlfn.LET(
    _xlpm.MacVal, _xlfn.XLOOKUP($A1156, Output_Mac!$A:$A, Output_Mac!AB:AB, ""),
    _xlpm.MyAuditVal, _xlfn.XLOOKUP($A1156, My_Audit!$A:$A, My_Audit!N:N, ""),
    _xlfn.TEXTJOIN(", ", TRUE, _xlpm.MyAuditVal, _xlpm.MacVal)
)</f>
        <v/>
      </c>
    </row>
    <row r="1157" spans="1:24">
      <c r="A1157" s="40" t="str">
        <f>_xlfn.TEXTJOIN("",TRUE,Input!$B$2,ROW(My_Audit!A1156))</f>
        <v>X1156</v>
      </c>
      <c r="B1157" s="40" t="str">
        <f>_xlfn.TEXTJOIN("-",TRUE,"ITD",Input!$A$2,A1157)</f>
        <v>ITD-X1156</v>
      </c>
      <c r="C1157" s="40" t="str" cm="1">
        <f t="array" ref="C1157">IFERROR(_xlfn.LET(
_xlpm.CSVVal,_xlfn.XLOOKUP($A1157,CSV!$A:$A,CSV!B:B,""),
_xlpm.MacVal,_xlfn.XLOOKUP($A1157,Output_Mac!$A:$A,Output_Mac!B:B,""),
_xlpm.MyAuditVal,_xlfn.XLOOKUP($A1157,My_Audit!$A:$A,My_Audit!B:B,""),
_xlfn.IFS(_xlpm.MyAuditVal&lt;&gt;"",UPPER(_xlpm.MyAuditVal),_xlpm.MacVal&lt;&gt;"",_xlpm.MacVal,_xlpm.CSVVal&lt;&gt;"",_xlpm.CSVVal
)),"")</f>
        <v/>
      </c>
      <c r="D1157" s="40" t="str" cm="1">
        <f t="array" ref="D1157">IFERROR(_xlfn.LET(
_xlpm.CSVVal,_xlfn.XLOOKUP($A1157,CSV!$A:$A,CSV!D:D,""),
_xlpm.MacVal,_xlfn.XLOOKUP($A1157,Output_Mac!$A:$A,Output_Mac!C:C,""),
_xlpm.MyAuditVal,_xlfn.XLOOKUP($A1157,My_Audit!$A:$A,My_Audit!C:C,""),
_xlfn.IFS(_xlpm.MyAuditVal&lt;&gt;"",_xlpm.MyAuditVal,_xlpm.MacVal&lt;&gt;"",_xlpm.MacVal,_xlpm.CSVVal&lt;&gt;"",_xlpm.CSVVal
)),"")</f>
        <v/>
      </c>
      <c r="E1157" s="40" t="str">
        <f>_xlfn.XLOOKUP(A1157,My_Audit!A:A,My_Audit!D:D,"")</f>
        <v/>
      </c>
      <c r="F1157" s="40" t="str" cm="1">
        <f t="array" ref="F1157">IFERROR(_xlfn.LET(
_xlpm.CSVVal,_xlfn.XLOOKUP($A1157,CSV!$A:$A,CSV!F:F,""),
_xlpm.MacVal,_xlfn.XLOOKUP($A1157,Output_Mac!$A:$A,Output_Mac!E:E,""),
_xlpm.MyAuditVal,_xlfn.XLOOKUP($A1157,My_Audit!$A:$A,My_Audit!E:E,""),
_xlfn.IFS(_xlpm.MyAuditVal&lt;&gt;"",_xlpm.MyAuditVal,_xlpm.MacVal&lt;&gt;"",_xlpm.MacVal,_xlpm.CSVVal&lt;&gt;"",_xlpm.CSVVal
)),"")</f>
        <v/>
      </c>
      <c r="G1157" s="40" t="str" cm="1">
        <f t="array" ref="G1157">IFERROR(_xlfn.LET(
_xlpm.CSVVal,_xlfn.XLOOKUP($A1157,CSV!$A:$A,CSV!G:G,""),
_xlpm.MacVal,_xlfn.XLOOKUP($A1157,Output_Mac!$A:$A,Output_Mac!F:F,""),
_xlpm.MyAuditVal,_xlfn.XLOOKUP($A1157,My_Audit!$A:$A,My_Audit!F:F,""),
_xlfn.IFS(_xlpm.MyAuditVal&lt;&gt;"",_xlpm.MyAuditVal,_xlpm.MacVal&lt;&gt;"",_xlpm.MacVal,_xlpm.CSVVal&lt;&gt;"",PROPER(_xlpm.CSVVal)
)),"")</f>
        <v/>
      </c>
      <c r="H1157" s="40" t="str" cm="1">
        <f t="array" ref="H1157">IFERROR(_xlfn.LET(
_xlpm.CSVVal,_xlfn.XLOOKUP($A1157,CSV!$A:$A,CSV!H:H,""),
_xlpm.MacVal,_xlfn.XLOOKUP($A1157,Output_Mac!$A:$A,Output_Mac!H:H,""),
_xlpm.MyAuditVal,_xlfn.XLOOKUP($A1157,My_Audit!$A:$A,My_Audit!G:G,""),
_xlfn.IFS(_xlpm.MyAuditVal&lt;&gt;"",_xlpm.MyAuditVal,_xlpm.MacVal&lt;&gt;"",_xlpm.MacVal,_xlpm.CSVVal&lt;&gt;"",_xlpm.CSVVal
)),"")</f>
        <v/>
      </c>
      <c r="I1157" s="40" t="str">
        <f>_xlfn.XLOOKUP(A1157,Output_Mac!A:A,Output_Mac!I:I,"")</f>
        <v/>
      </c>
      <c r="J1157" s="40" t="str" cm="1">
        <f t="array" ref="J1157">IFERROR(_xlfn.LET(
_xlpm.CSVVal,_xlfn.XLOOKUP($A1157,CSV!$A:$A,CSV!I:I,""),
_xlpm.MacVal,_xlfn.XLOOKUP($A1157,Output_Mac!$A:$A,Output_Mac!J:J,""),
_xlpm.MyAuditVal,_xlfn.XLOOKUP($A1157,My_Audit!$A:$A,My_Audit!I:I,""),
_xlfn.IFS(_xlpm.MyAuditVal&lt;&gt;"",UPPER(_xlpm.MyAuditVal),_xlpm.MacVal&lt;&gt;"",_xlpm.MacVal,_xlpm.CSVVal&lt;&gt;"",_xlpm.CSVVal
)),"")</f>
        <v/>
      </c>
      <c r="K1157" s="40" t="str" cm="1">
        <f t="array" ref="K1157">IFERROR(_xlfn.LET(
_xlpm.CSVVal,_xlfn.XLOOKUP($A1157,CSV!$A:$A,CSV!K:K,""),
_xlpm.MacVal,_xlfn.XLOOKUP($A1157,Output_Mac!$A:$A,Output_Mac!K:K,""),
_xlpm.MyAuditVal,_xlfn.XLOOKUP($A1157,My_Audit!$A:$A,My_Audit!J:J,""),
_xlfn.IFS(_xlpm.MyAuditVal&lt;&gt;"",UPPER(_xlpm.MyAuditVal),_xlpm.MacVal&lt;&gt;"",_xlpm.MacVal,_xlpm.CSVVal&lt;&gt;"",_xlpm.CSVVal
)),"")</f>
        <v/>
      </c>
      <c r="L1157" s="40" t="str" cm="1">
        <f t="array" ref="L1157">IFERROR(_xlfn.LET(
_xlpm.CSVVal,_xlfn.XLOOKUP($A1157,CSV!$A:$A,CSV!P:P,""),
_xlpm.MacVal,_xlfn.XLOOKUP($A1157,Output_Mac!$A:$A,Output_Mac!L:L,""),
_xlpm.MyAuditVal,_xlfn.XLOOKUP($A1157,My_Audit!$A:$A,My_Audit!K:K,""),
_xlfn.IFS(_xlpm.MyAuditVal&lt;&gt;"",UPPER(_xlpm.MyAuditVal),_xlpm.MacVal&lt;&gt;"",_xlpm.MacVal,_xlpm.CSVVal&lt;&gt;"",_xlpm.CSVVal
)),"")</f>
        <v/>
      </c>
      <c r="M1157" s="40" t="str" cm="1">
        <f t="array" ref="M1157">IFERROR(_xlfn.LET(
_xlpm.CSVVal,_xlfn.XLOOKUP($A1157,CSV!$A:$A,CSV!Q:Q,""),
_xlpm.MacVal,_xlfn.XLOOKUP($A1157,Output_Mac!$A:$A,Output_Mac!M:M,""),
_xlpm.MyAuditVal,_xlfn.XLOOKUP($A1157,My_Audit!$A:$A,My_Audit!L:L,""),
_xlfn.IFS(_xlpm.MyAuditVal&lt;&gt;"",UPPER(_xlpm.MyAuditVal),_xlpm.MacVal&lt;&gt;"",_xlpm.MacVal,_xlpm.CSVVal&lt;&gt;"",_xlpm.CSVVal
)),"")</f>
        <v/>
      </c>
      <c r="N1157" s="40"/>
      <c r="O1157" s="40" t="str">
        <f>_xlfn.LET(
    _xlpm.CSVVal, _xlfn.XLOOKUP($A1157, CSV!$A:$A, CSV!AA:AA, ""),
    _xlpm.MacVal, _xlfn.XLOOKUP($A1157, Output_Mac!$A:$A, Output_Mac!S:S, ""),
    _xlpm.MyAuditVal, _xlfn.XLOOKUP($A1157, My_Audit!$A:$A, My_Audit!P:P, ""),
    _xlfn.TEXTJOIN(", ", TRUE, _xlpm.MyAuditVal, _xlpm.MacVal, _xlpm.CSVVal)
)</f>
        <v/>
      </c>
      <c r="P1157" s="40" t="str" cm="1">
        <f t="array" ref="P1157">IFERROR(_xlfn.LET(
_xlpm.CSVVal,_xlfn.XLOOKUP($A1157,CSV!$A:$A,CSV!AB:AB,""),
_xlpm.MacVal,_xlfn.XLOOKUP($A1157,Output_Mac!$A:$A,Output_Mac!T:T,""),
_xlpm.MyAuditVal,_xlfn.XLOOKUP($A1157,My_Audit!$A:$A,My_Audit!Q:Q,""),
_xlfn.IFS(_xlpm.MyAuditVal&lt;&gt;"",UPPER(_xlpm.MyAuditVal),_xlpm.MacVal&lt;&gt;"",_xlpm.MacVal,_xlpm.CSVVal&lt;&gt;"",_xlpm.CSVVal
)),"No")</f>
        <v>No</v>
      </c>
      <c r="Q1157" s="40" t="str" cm="1">
        <f t="array" ref="Q1157">IFERROR(_xlfn.LET(
_xlpm.CSVVal,_xlfn.XLOOKUP($A1157,CSV!$A:$A,CSV!AC:AC,""),
_xlpm.MacVal,_xlfn.XLOOKUP($A1157,Output_Mac!$A:$A,Output_Mac!U:U,""),
_xlpm.MyAuditVal,_xlfn.XLOOKUP($A1157,My_Audit!$A:$A,My_Audit!R:R,""),
_xlfn.IFS(_xlpm.MyAuditVal&lt;&gt;"",UPPER(_xlpm.MyAuditVal),_xlpm.MacVal&lt;&gt;"",_xlpm.MacVal,_xlpm.CSVVal&lt;&gt;"",_xlpm.CSVVal
)),"")</f>
        <v/>
      </c>
      <c r="R1157" s="40"/>
      <c r="S1157" s="40"/>
      <c r="T1157" s="40"/>
      <c r="U1157" s="40"/>
      <c r="V1157" s="40"/>
      <c r="W1157" s="40"/>
      <c r="X1157" s="41" t="str">
        <f>_xlfn.LET(
    _xlpm.MacVal, _xlfn.XLOOKUP($A1157, Output_Mac!$A:$A, Output_Mac!AB:AB, ""),
    _xlpm.MyAuditVal, _xlfn.XLOOKUP($A1157, My_Audit!$A:$A, My_Audit!N:N, ""),
    _xlfn.TEXTJOIN(", ", TRUE, _xlpm.MyAuditVal, _xlpm.MacVal)
)</f>
        <v/>
      </c>
    </row>
    <row r="1158" spans="1:24">
      <c r="A1158" s="40" t="str">
        <f>_xlfn.TEXTJOIN("",TRUE,Input!$B$2,ROW(My_Audit!A1157))</f>
        <v>X1157</v>
      </c>
      <c r="B1158" s="40" t="str">
        <f>_xlfn.TEXTJOIN("-",TRUE,"ITD",Input!$A$2,A1158)</f>
        <v>ITD-X1157</v>
      </c>
      <c r="C1158" s="40" t="str" cm="1">
        <f t="array" ref="C1158">IFERROR(_xlfn.LET(
_xlpm.CSVVal,_xlfn.XLOOKUP($A1158,CSV!$A:$A,CSV!B:B,""),
_xlpm.MacVal,_xlfn.XLOOKUP($A1158,Output_Mac!$A:$A,Output_Mac!B:B,""),
_xlpm.MyAuditVal,_xlfn.XLOOKUP($A1158,My_Audit!$A:$A,My_Audit!B:B,""),
_xlfn.IFS(_xlpm.MyAuditVal&lt;&gt;"",UPPER(_xlpm.MyAuditVal),_xlpm.MacVal&lt;&gt;"",_xlpm.MacVal,_xlpm.CSVVal&lt;&gt;"",_xlpm.CSVVal
)),"")</f>
        <v/>
      </c>
      <c r="D1158" s="40" t="str" cm="1">
        <f t="array" ref="D1158">IFERROR(_xlfn.LET(
_xlpm.CSVVal,_xlfn.XLOOKUP($A1158,CSV!$A:$A,CSV!D:D,""),
_xlpm.MacVal,_xlfn.XLOOKUP($A1158,Output_Mac!$A:$A,Output_Mac!C:C,""),
_xlpm.MyAuditVal,_xlfn.XLOOKUP($A1158,My_Audit!$A:$A,My_Audit!C:C,""),
_xlfn.IFS(_xlpm.MyAuditVal&lt;&gt;"",_xlpm.MyAuditVal,_xlpm.MacVal&lt;&gt;"",_xlpm.MacVal,_xlpm.CSVVal&lt;&gt;"",_xlpm.CSVVal
)),"")</f>
        <v/>
      </c>
      <c r="E1158" s="40" t="str">
        <f>_xlfn.XLOOKUP(A1158,My_Audit!A:A,My_Audit!D:D,"")</f>
        <v/>
      </c>
      <c r="F1158" s="40" t="str" cm="1">
        <f t="array" ref="F1158">IFERROR(_xlfn.LET(
_xlpm.CSVVal,_xlfn.XLOOKUP($A1158,CSV!$A:$A,CSV!F:F,""),
_xlpm.MacVal,_xlfn.XLOOKUP($A1158,Output_Mac!$A:$A,Output_Mac!E:E,""),
_xlpm.MyAuditVal,_xlfn.XLOOKUP($A1158,My_Audit!$A:$A,My_Audit!E:E,""),
_xlfn.IFS(_xlpm.MyAuditVal&lt;&gt;"",_xlpm.MyAuditVal,_xlpm.MacVal&lt;&gt;"",_xlpm.MacVal,_xlpm.CSVVal&lt;&gt;"",_xlpm.CSVVal
)),"")</f>
        <v/>
      </c>
      <c r="G1158" s="40" t="str" cm="1">
        <f t="array" ref="G1158">IFERROR(_xlfn.LET(
_xlpm.CSVVal,_xlfn.XLOOKUP($A1158,CSV!$A:$A,CSV!G:G,""),
_xlpm.MacVal,_xlfn.XLOOKUP($A1158,Output_Mac!$A:$A,Output_Mac!F:F,""),
_xlpm.MyAuditVal,_xlfn.XLOOKUP($A1158,My_Audit!$A:$A,My_Audit!F:F,""),
_xlfn.IFS(_xlpm.MyAuditVal&lt;&gt;"",_xlpm.MyAuditVal,_xlpm.MacVal&lt;&gt;"",_xlpm.MacVal,_xlpm.CSVVal&lt;&gt;"",PROPER(_xlpm.CSVVal)
)),"")</f>
        <v/>
      </c>
      <c r="H1158" s="40" t="str" cm="1">
        <f t="array" ref="H1158">IFERROR(_xlfn.LET(
_xlpm.CSVVal,_xlfn.XLOOKUP($A1158,CSV!$A:$A,CSV!H:H,""),
_xlpm.MacVal,_xlfn.XLOOKUP($A1158,Output_Mac!$A:$A,Output_Mac!H:H,""),
_xlpm.MyAuditVal,_xlfn.XLOOKUP($A1158,My_Audit!$A:$A,My_Audit!G:G,""),
_xlfn.IFS(_xlpm.MyAuditVal&lt;&gt;"",_xlpm.MyAuditVal,_xlpm.MacVal&lt;&gt;"",_xlpm.MacVal,_xlpm.CSVVal&lt;&gt;"",_xlpm.CSVVal
)),"")</f>
        <v/>
      </c>
      <c r="I1158" s="40" t="str">
        <f>_xlfn.XLOOKUP(A1158,Output_Mac!A:A,Output_Mac!I:I,"")</f>
        <v/>
      </c>
      <c r="J1158" s="40" t="str" cm="1">
        <f t="array" ref="J1158">IFERROR(_xlfn.LET(
_xlpm.CSVVal,_xlfn.XLOOKUP($A1158,CSV!$A:$A,CSV!I:I,""),
_xlpm.MacVal,_xlfn.XLOOKUP($A1158,Output_Mac!$A:$A,Output_Mac!J:J,""),
_xlpm.MyAuditVal,_xlfn.XLOOKUP($A1158,My_Audit!$A:$A,My_Audit!I:I,""),
_xlfn.IFS(_xlpm.MyAuditVal&lt;&gt;"",UPPER(_xlpm.MyAuditVal),_xlpm.MacVal&lt;&gt;"",_xlpm.MacVal,_xlpm.CSVVal&lt;&gt;"",_xlpm.CSVVal
)),"")</f>
        <v/>
      </c>
      <c r="K1158" s="40" t="str" cm="1">
        <f t="array" ref="K1158">IFERROR(_xlfn.LET(
_xlpm.CSVVal,_xlfn.XLOOKUP($A1158,CSV!$A:$A,CSV!K:K,""),
_xlpm.MacVal,_xlfn.XLOOKUP($A1158,Output_Mac!$A:$A,Output_Mac!K:K,""),
_xlpm.MyAuditVal,_xlfn.XLOOKUP($A1158,My_Audit!$A:$A,My_Audit!J:J,""),
_xlfn.IFS(_xlpm.MyAuditVal&lt;&gt;"",UPPER(_xlpm.MyAuditVal),_xlpm.MacVal&lt;&gt;"",_xlpm.MacVal,_xlpm.CSVVal&lt;&gt;"",_xlpm.CSVVal
)),"")</f>
        <v/>
      </c>
      <c r="L1158" s="40" t="str" cm="1">
        <f t="array" ref="L1158">IFERROR(_xlfn.LET(
_xlpm.CSVVal,_xlfn.XLOOKUP($A1158,CSV!$A:$A,CSV!P:P,""),
_xlpm.MacVal,_xlfn.XLOOKUP($A1158,Output_Mac!$A:$A,Output_Mac!L:L,""),
_xlpm.MyAuditVal,_xlfn.XLOOKUP($A1158,My_Audit!$A:$A,My_Audit!K:K,""),
_xlfn.IFS(_xlpm.MyAuditVal&lt;&gt;"",UPPER(_xlpm.MyAuditVal),_xlpm.MacVal&lt;&gt;"",_xlpm.MacVal,_xlpm.CSVVal&lt;&gt;"",_xlpm.CSVVal
)),"")</f>
        <v/>
      </c>
      <c r="M1158" s="40" t="str" cm="1">
        <f t="array" ref="M1158">IFERROR(_xlfn.LET(
_xlpm.CSVVal,_xlfn.XLOOKUP($A1158,CSV!$A:$A,CSV!Q:Q,""),
_xlpm.MacVal,_xlfn.XLOOKUP($A1158,Output_Mac!$A:$A,Output_Mac!M:M,""),
_xlpm.MyAuditVal,_xlfn.XLOOKUP($A1158,My_Audit!$A:$A,My_Audit!L:L,""),
_xlfn.IFS(_xlpm.MyAuditVal&lt;&gt;"",UPPER(_xlpm.MyAuditVal),_xlpm.MacVal&lt;&gt;"",_xlpm.MacVal,_xlpm.CSVVal&lt;&gt;"",_xlpm.CSVVal
)),"")</f>
        <v/>
      </c>
      <c r="N1158" s="40"/>
      <c r="O1158" s="40" t="str">
        <f>_xlfn.LET(
    _xlpm.CSVVal, _xlfn.XLOOKUP($A1158, CSV!$A:$A, CSV!AA:AA, ""),
    _xlpm.MacVal, _xlfn.XLOOKUP($A1158, Output_Mac!$A:$A, Output_Mac!S:S, ""),
    _xlpm.MyAuditVal, _xlfn.XLOOKUP($A1158, My_Audit!$A:$A, My_Audit!P:P, ""),
    _xlfn.TEXTJOIN(", ", TRUE, _xlpm.MyAuditVal, _xlpm.MacVal, _xlpm.CSVVal)
)</f>
        <v/>
      </c>
      <c r="P1158" s="40" t="str" cm="1">
        <f t="array" ref="P1158">IFERROR(_xlfn.LET(
_xlpm.CSVVal,_xlfn.XLOOKUP($A1158,CSV!$A:$A,CSV!AB:AB,""),
_xlpm.MacVal,_xlfn.XLOOKUP($A1158,Output_Mac!$A:$A,Output_Mac!T:T,""),
_xlpm.MyAuditVal,_xlfn.XLOOKUP($A1158,My_Audit!$A:$A,My_Audit!Q:Q,""),
_xlfn.IFS(_xlpm.MyAuditVal&lt;&gt;"",UPPER(_xlpm.MyAuditVal),_xlpm.MacVal&lt;&gt;"",_xlpm.MacVal,_xlpm.CSVVal&lt;&gt;"",_xlpm.CSVVal
)),"No")</f>
        <v>No</v>
      </c>
      <c r="Q1158" s="40" t="str" cm="1">
        <f t="array" ref="Q1158">IFERROR(_xlfn.LET(
_xlpm.CSVVal,_xlfn.XLOOKUP($A1158,CSV!$A:$A,CSV!AC:AC,""),
_xlpm.MacVal,_xlfn.XLOOKUP($A1158,Output_Mac!$A:$A,Output_Mac!U:U,""),
_xlpm.MyAuditVal,_xlfn.XLOOKUP($A1158,My_Audit!$A:$A,My_Audit!R:R,""),
_xlfn.IFS(_xlpm.MyAuditVal&lt;&gt;"",UPPER(_xlpm.MyAuditVal),_xlpm.MacVal&lt;&gt;"",_xlpm.MacVal,_xlpm.CSVVal&lt;&gt;"",_xlpm.CSVVal
)),"")</f>
        <v/>
      </c>
      <c r="R1158" s="40"/>
      <c r="S1158" s="40"/>
      <c r="T1158" s="40"/>
      <c r="U1158" s="40"/>
      <c r="V1158" s="40"/>
      <c r="W1158" s="40"/>
      <c r="X1158" s="41" t="str">
        <f>_xlfn.LET(
    _xlpm.MacVal, _xlfn.XLOOKUP($A1158, Output_Mac!$A:$A, Output_Mac!AB:AB, ""),
    _xlpm.MyAuditVal, _xlfn.XLOOKUP($A1158, My_Audit!$A:$A, My_Audit!N:N, ""),
    _xlfn.TEXTJOIN(", ", TRUE, _xlpm.MyAuditVal, _xlpm.MacVal)
)</f>
        <v/>
      </c>
    </row>
    <row r="1159" spans="1:24">
      <c r="A1159" s="40" t="str">
        <f>_xlfn.TEXTJOIN("",TRUE,Input!$B$2,ROW(My_Audit!A1158))</f>
        <v>X1158</v>
      </c>
      <c r="B1159" s="40" t="str">
        <f>_xlfn.TEXTJOIN("-",TRUE,"ITD",Input!$A$2,A1159)</f>
        <v>ITD-X1158</v>
      </c>
      <c r="C1159" s="40" t="str" cm="1">
        <f t="array" ref="C1159">IFERROR(_xlfn.LET(
_xlpm.CSVVal,_xlfn.XLOOKUP($A1159,CSV!$A:$A,CSV!B:B,""),
_xlpm.MacVal,_xlfn.XLOOKUP($A1159,Output_Mac!$A:$A,Output_Mac!B:B,""),
_xlpm.MyAuditVal,_xlfn.XLOOKUP($A1159,My_Audit!$A:$A,My_Audit!B:B,""),
_xlfn.IFS(_xlpm.MyAuditVal&lt;&gt;"",UPPER(_xlpm.MyAuditVal),_xlpm.MacVal&lt;&gt;"",_xlpm.MacVal,_xlpm.CSVVal&lt;&gt;"",_xlpm.CSVVal
)),"")</f>
        <v/>
      </c>
      <c r="D1159" s="40" t="str" cm="1">
        <f t="array" ref="D1159">IFERROR(_xlfn.LET(
_xlpm.CSVVal,_xlfn.XLOOKUP($A1159,CSV!$A:$A,CSV!D:D,""),
_xlpm.MacVal,_xlfn.XLOOKUP($A1159,Output_Mac!$A:$A,Output_Mac!C:C,""),
_xlpm.MyAuditVal,_xlfn.XLOOKUP($A1159,My_Audit!$A:$A,My_Audit!C:C,""),
_xlfn.IFS(_xlpm.MyAuditVal&lt;&gt;"",_xlpm.MyAuditVal,_xlpm.MacVal&lt;&gt;"",_xlpm.MacVal,_xlpm.CSVVal&lt;&gt;"",_xlpm.CSVVal
)),"")</f>
        <v/>
      </c>
      <c r="E1159" s="40" t="str">
        <f>_xlfn.XLOOKUP(A1159,My_Audit!A:A,My_Audit!D:D,"")</f>
        <v/>
      </c>
      <c r="F1159" s="40" t="str" cm="1">
        <f t="array" ref="F1159">IFERROR(_xlfn.LET(
_xlpm.CSVVal,_xlfn.XLOOKUP($A1159,CSV!$A:$A,CSV!F:F,""),
_xlpm.MacVal,_xlfn.XLOOKUP($A1159,Output_Mac!$A:$A,Output_Mac!E:E,""),
_xlpm.MyAuditVal,_xlfn.XLOOKUP($A1159,My_Audit!$A:$A,My_Audit!E:E,""),
_xlfn.IFS(_xlpm.MyAuditVal&lt;&gt;"",_xlpm.MyAuditVal,_xlpm.MacVal&lt;&gt;"",_xlpm.MacVal,_xlpm.CSVVal&lt;&gt;"",_xlpm.CSVVal
)),"")</f>
        <v/>
      </c>
      <c r="G1159" s="40" t="str" cm="1">
        <f t="array" ref="G1159">IFERROR(_xlfn.LET(
_xlpm.CSVVal,_xlfn.XLOOKUP($A1159,CSV!$A:$A,CSV!G:G,""),
_xlpm.MacVal,_xlfn.XLOOKUP($A1159,Output_Mac!$A:$A,Output_Mac!F:F,""),
_xlpm.MyAuditVal,_xlfn.XLOOKUP($A1159,My_Audit!$A:$A,My_Audit!F:F,""),
_xlfn.IFS(_xlpm.MyAuditVal&lt;&gt;"",_xlpm.MyAuditVal,_xlpm.MacVal&lt;&gt;"",_xlpm.MacVal,_xlpm.CSVVal&lt;&gt;"",PROPER(_xlpm.CSVVal)
)),"")</f>
        <v/>
      </c>
      <c r="H1159" s="40" t="str" cm="1">
        <f t="array" ref="H1159">IFERROR(_xlfn.LET(
_xlpm.CSVVal,_xlfn.XLOOKUP($A1159,CSV!$A:$A,CSV!H:H,""),
_xlpm.MacVal,_xlfn.XLOOKUP($A1159,Output_Mac!$A:$A,Output_Mac!H:H,""),
_xlpm.MyAuditVal,_xlfn.XLOOKUP($A1159,My_Audit!$A:$A,My_Audit!G:G,""),
_xlfn.IFS(_xlpm.MyAuditVal&lt;&gt;"",_xlpm.MyAuditVal,_xlpm.MacVal&lt;&gt;"",_xlpm.MacVal,_xlpm.CSVVal&lt;&gt;"",_xlpm.CSVVal
)),"")</f>
        <v/>
      </c>
      <c r="I1159" s="40" t="str">
        <f>_xlfn.XLOOKUP(A1159,Output_Mac!A:A,Output_Mac!I:I,"")</f>
        <v/>
      </c>
      <c r="J1159" s="40" t="str" cm="1">
        <f t="array" ref="J1159">IFERROR(_xlfn.LET(
_xlpm.CSVVal,_xlfn.XLOOKUP($A1159,CSV!$A:$A,CSV!I:I,""),
_xlpm.MacVal,_xlfn.XLOOKUP($A1159,Output_Mac!$A:$A,Output_Mac!J:J,""),
_xlpm.MyAuditVal,_xlfn.XLOOKUP($A1159,My_Audit!$A:$A,My_Audit!I:I,""),
_xlfn.IFS(_xlpm.MyAuditVal&lt;&gt;"",UPPER(_xlpm.MyAuditVal),_xlpm.MacVal&lt;&gt;"",_xlpm.MacVal,_xlpm.CSVVal&lt;&gt;"",_xlpm.CSVVal
)),"")</f>
        <v/>
      </c>
      <c r="K1159" s="40" t="str" cm="1">
        <f t="array" ref="K1159">IFERROR(_xlfn.LET(
_xlpm.CSVVal,_xlfn.XLOOKUP($A1159,CSV!$A:$A,CSV!K:K,""),
_xlpm.MacVal,_xlfn.XLOOKUP($A1159,Output_Mac!$A:$A,Output_Mac!K:K,""),
_xlpm.MyAuditVal,_xlfn.XLOOKUP($A1159,My_Audit!$A:$A,My_Audit!J:J,""),
_xlfn.IFS(_xlpm.MyAuditVal&lt;&gt;"",UPPER(_xlpm.MyAuditVal),_xlpm.MacVal&lt;&gt;"",_xlpm.MacVal,_xlpm.CSVVal&lt;&gt;"",_xlpm.CSVVal
)),"")</f>
        <v/>
      </c>
      <c r="L1159" s="40" t="str" cm="1">
        <f t="array" ref="L1159">IFERROR(_xlfn.LET(
_xlpm.CSVVal,_xlfn.XLOOKUP($A1159,CSV!$A:$A,CSV!P:P,""),
_xlpm.MacVal,_xlfn.XLOOKUP($A1159,Output_Mac!$A:$A,Output_Mac!L:L,""),
_xlpm.MyAuditVal,_xlfn.XLOOKUP($A1159,My_Audit!$A:$A,My_Audit!K:K,""),
_xlfn.IFS(_xlpm.MyAuditVal&lt;&gt;"",UPPER(_xlpm.MyAuditVal),_xlpm.MacVal&lt;&gt;"",_xlpm.MacVal,_xlpm.CSVVal&lt;&gt;"",_xlpm.CSVVal
)),"")</f>
        <v/>
      </c>
      <c r="M1159" s="40" t="str" cm="1">
        <f t="array" ref="M1159">IFERROR(_xlfn.LET(
_xlpm.CSVVal,_xlfn.XLOOKUP($A1159,CSV!$A:$A,CSV!Q:Q,""),
_xlpm.MacVal,_xlfn.XLOOKUP($A1159,Output_Mac!$A:$A,Output_Mac!M:M,""),
_xlpm.MyAuditVal,_xlfn.XLOOKUP($A1159,My_Audit!$A:$A,My_Audit!L:L,""),
_xlfn.IFS(_xlpm.MyAuditVal&lt;&gt;"",UPPER(_xlpm.MyAuditVal),_xlpm.MacVal&lt;&gt;"",_xlpm.MacVal,_xlpm.CSVVal&lt;&gt;"",_xlpm.CSVVal
)),"")</f>
        <v/>
      </c>
      <c r="N1159" s="40"/>
      <c r="O1159" s="40" t="str">
        <f>_xlfn.LET(
    _xlpm.CSVVal, _xlfn.XLOOKUP($A1159, CSV!$A:$A, CSV!AA:AA, ""),
    _xlpm.MacVal, _xlfn.XLOOKUP($A1159, Output_Mac!$A:$A, Output_Mac!S:S, ""),
    _xlpm.MyAuditVal, _xlfn.XLOOKUP($A1159, My_Audit!$A:$A, My_Audit!P:P, ""),
    _xlfn.TEXTJOIN(", ", TRUE, _xlpm.MyAuditVal, _xlpm.MacVal, _xlpm.CSVVal)
)</f>
        <v/>
      </c>
      <c r="P1159" s="40" t="str" cm="1">
        <f t="array" ref="P1159">IFERROR(_xlfn.LET(
_xlpm.CSVVal,_xlfn.XLOOKUP($A1159,CSV!$A:$A,CSV!AB:AB,""),
_xlpm.MacVal,_xlfn.XLOOKUP($A1159,Output_Mac!$A:$A,Output_Mac!T:T,""),
_xlpm.MyAuditVal,_xlfn.XLOOKUP($A1159,My_Audit!$A:$A,My_Audit!Q:Q,""),
_xlfn.IFS(_xlpm.MyAuditVal&lt;&gt;"",UPPER(_xlpm.MyAuditVal),_xlpm.MacVal&lt;&gt;"",_xlpm.MacVal,_xlpm.CSVVal&lt;&gt;"",_xlpm.CSVVal
)),"No")</f>
        <v>No</v>
      </c>
      <c r="Q1159" s="40" t="str" cm="1">
        <f t="array" ref="Q1159">IFERROR(_xlfn.LET(
_xlpm.CSVVal,_xlfn.XLOOKUP($A1159,CSV!$A:$A,CSV!AC:AC,""),
_xlpm.MacVal,_xlfn.XLOOKUP($A1159,Output_Mac!$A:$A,Output_Mac!U:U,""),
_xlpm.MyAuditVal,_xlfn.XLOOKUP($A1159,My_Audit!$A:$A,My_Audit!R:R,""),
_xlfn.IFS(_xlpm.MyAuditVal&lt;&gt;"",UPPER(_xlpm.MyAuditVal),_xlpm.MacVal&lt;&gt;"",_xlpm.MacVal,_xlpm.CSVVal&lt;&gt;"",_xlpm.CSVVal
)),"")</f>
        <v/>
      </c>
      <c r="R1159" s="40"/>
      <c r="S1159" s="40"/>
      <c r="T1159" s="40"/>
      <c r="U1159" s="40"/>
      <c r="V1159" s="40"/>
      <c r="W1159" s="40"/>
      <c r="X1159" s="41" t="str">
        <f>_xlfn.LET(
    _xlpm.MacVal, _xlfn.XLOOKUP($A1159, Output_Mac!$A:$A, Output_Mac!AB:AB, ""),
    _xlpm.MyAuditVal, _xlfn.XLOOKUP($A1159, My_Audit!$A:$A, My_Audit!N:N, ""),
    _xlfn.TEXTJOIN(", ", TRUE, _xlpm.MyAuditVal, _xlpm.MacVal)
)</f>
        <v/>
      </c>
    </row>
    <row r="1160" spans="1:24">
      <c r="A1160" s="40" t="str">
        <f>_xlfn.TEXTJOIN("",TRUE,Input!$B$2,ROW(My_Audit!A1159))</f>
        <v>X1159</v>
      </c>
      <c r="B1160" s="40" t="str">
        <f>_xlfn.TEXTJOIN("-",TRUE,"ITD",Input!$A$2,A1160)</f>
        <v>ITD-X1159</v>
      </c>
      <c r="C1160" s="40" t="str" cm="1">
        <f t="array" ref="C1160">IFERROR(_xlfn.LET(
_xlpm.CSVVal,_xlfn.XLOOKUP($A1160,CSV!$A:$A,CSV!B:B,""),
_xlpm.MacVal,_xlfn.XLOOKUP($A1160,Output_Mac!$A:$A,Output_Mac!B:B,""),
_xlpm.MyAuditVal,_xlfn.XLOOKUP($A1160,My_Audit!$A:$A,My_Audit!B:B,""),
_xlfn.IFS(_xlpm.MyAuditVal&lt;&gt;"",UPPER(_xlpm.MyAuditVal),_xlpm.MacVal&lt;&gt;"",_xlpm.MacVal,_xlpm.CSVVal&lt;&gt;"",_xlpm.CSVVal
)),"")</f>
        <v/>
      </c>
      <c r="D1160" s="40" t="str" cm="1">
        <f t="array" ref="D1160">IFERROR(_xlfn.LET(
_xlpm.CSVVal,_xlfn.XLOOKUP($A1160,CSV!$A:$A,CSV!D:D,""),
_xlpm.MacVal,_xlfn.XLOOKUP($A1160,Output_Mac!$A:$A,Output_Mac!C:C,""),
_xlpm.MyAuditVal,_xlfn.XLOOKUP($A1160,My_Audit!$A:$A,My_Audit!C:C,""),
_xlfn.IFS(_xlpm.MyAuditVal&lt;&gt;"",_xlpm.MyAuditVal,_xlpm.MacVal&lt;&gt;"",_xlpm.MacVal,_xlpm.CSVVal&lt;&gt;"",_xlpm.CSVVal
)),"")</f>
        <v/>
      </c>
      <c r="E1160" s="40" t="str">
        <f>_xlfn.XLOOKUP(A1160,My_Audit!A:A,My_Audit!D:D,"")</f>
        <v/>
      </c>
      <c r="F1160" s="40" t="str" cm="1">
        <f t="array" ref="F1160">IFERROR(_xlfn.LET(
_xlpm.CSVVal,_xlfn.XLOOKUP($A1160,CSV!$A:$A,CSV!F:F,""),
_xlpm.MacVal,_xlfn.XLOOKUP($A1160,Output_Mac!$A:$A,Output_Mac!E:E,""),
_xlpm.MyAuditVal,_xlfn.XLOOKUP($A1160,My_Audit!$A:$A,My_Audit!E:E,""),
_xlfn.IFS(_xlpm.MyAuditVal&lt;&gt;"",_xlpm.MyAuditVal,_xlpm.MacVal&lt;&gt;"",_xlpm.MacVal,_xlpm.CSVVal&lt;&gt;"",_xlpm.CSVVal
)),"")</f>
        <v/>
      </c>
      <c r="G1160" s="40" t="str" cm="1">
        <f t="array" ref="G1160">IFERROR(_xlfn.LET(
_xlpm.CSVVal,_xlfn.XLOOKUP($A1160,CSV!$A:$A,CSV!G:G,""),
_xlpm.MacVal,_xlfn.XLOOKUP($A1160,Output_Mac!$A:$A,Output_Mac!F:F,""),
_xlpm.MyAuditVal,_xlfn.XLOOKUP($A1160,My_Audit!$A:$A,My_Audit!F:F,""),
_xlfn.IFS(_xlpm.MyAuditVal&lt;&gt;"",_xlpm.MyAuditVal,_xlpm.MacVal&lt;&gt;"",_xlpm.MacVal,_xlpm.CSVVal&lt;&gt;"",PROPER(_xlpm.CSVVal)
)),"")</f>
        <v/>
      </c>
      <c r="H1160" s="40" t="str" cm="1">
        <f t="array" ref="H1160">IFERROR(_xlfn.LET(
_xlpm.CSVVal,_xlfn.XLOOKUP($A1160,CSV!$A:$A,CSV!H:H,""),
_xlpm.MacVal,_xlfn.XLOOKUP($A1160,Output_Mac!$A:$A,Output_Mac!H:H,""),
_xlpm.MyAuditVal,_xlfn.XLOOKUP($A1160,My_Audit!$A:$A,My_Audit!G:G,""),
_xlfn.IFS(_xlpm.MyAuditVal&lt;&gt;"",_xlpm.MyAuditVal,_xlpm.MacVal&lt;&gt;"",_xlpm.MacVal,_xlpm.CSVVal&lt;&gt;"",_xlpm.CSVVal
)),"")</f>
        <v/>
      </c>
      <c r="I1160" s="40" t="str">
        <f>_xlfn.XLOOKUP(A1160,Output_Mac!A:A,Output_Mac!I:I,"")</f>
        <v/>
      </c>
      <c r="J1160" s="40" t="str" cm="1">
        <f t="array" ref="J1160">IFERROR(_xlfn.LET(
_xlpm.CSVVal,_xlfn.XLOOKUP($A1160,CSV!$A:$A,CSV!I:I,""),
_xlpm.MacVal,_xlfn.XLOOKUP($A1160,Output_Mac!$A:$A,Output_Mac!J:J,""),
_xlpm.MyAuditVal,_xlfn.XLOOKUP($A1160,My_Audit!$A:$A,My_Audit!I:I,""),
_xlfn.IFS(_xlpm.MyAuditVal&lt;&gt;"",UPPER(_xlpm.MyAuditVal),_xlpm.MacVal&lt;&gt;"",_xlpm.MacVal,_xlpm.CSVVal&lt;&gt;"",_xlpm.CSVVal
)),"")</f>
        <v/>
      </c>
      <c r="K1160" s="40" t="str" cm="1">
        <f t="array" ref="K1160">IFERROR(_xlfn.LET(
_xlpm.CSVVal,_xlfn.XLOOKUP($A1160,CSV!$A:$A,CSV!K:K,""),
_xlpm.MacVal,_xlfn.XLOOKUP($A1160,Output_Mac!$A:$A,Output_Mac!K:K,""),
_xlpm.MyAuditVal,_xlfn.XLOOKUP($A1160,My_Audit!$A:$A,My_Audit!J:J,""),
_xlfn.IFS(_xlpm.MyAuditVal&lt;&gt;"",UPPER(_xlpm.MyAuditVal),_xlpm.MacVal&lt;&gt;"",_xlpm.MacVal,_xlpm.CSVVal&lt;&gt;"",_xlpm.CSVVal
)),"")</f>
        <v/>
      </c>
      <c r="L1160" s="40" t="str" cm="1">
        <f t="array" ref="L1160">IFERROR(_xlfn.LET(
_xlpm.CSVVal,_xlfn.XLOOKUP($A1160,CSV!$A:$A,CSV!P:P,""),
_xlpm.MacVal,_xlfn.XLOOKUP($A1160,Output_Mac!$A:$A,Output_Mac!L:L,""),
_xlpm.MyAuditVal,_xlfn.XLOOKUP($A1160,My_Audit!$A:$A,My_Audit!K:K,""),
_xlfn.IFS(_xlpm.MyAuditVal&lt;&gt;"",UPPER(_xlpm.MyAuditVal),_xlpm.MacVal&lt;&gt;"",_xlpm.MacVal,_xlpm.CSVVal&lt;&gt;"",_xlpm.CSVVal
)),"")</f>
        <v/>
      </c>
      <c r="M1160" s="40" t="str" cm="1">
        <f t="array" ref="M1160">IFERROR(_xlfn.LET(
_xlpm.CSVVal,_xlfn.XLOOKUP($A1160,CSV!$A:$A,CSV!Q:Q,""),
_xlpm.MacVal,_xlfn.XLOOKUP($A1160,Output_Mac!$A:$A,Output_Mac!M:M,""),
_xlpm.MyAuditVal,_xlfn.XLOOKUP($A1160,My_Audit!$A:$A,My_Audit!L:L,""),
_xlfn.IFS(_xlpm.MyAuditVal&lt;&gt;"",UPPER(_xlpm.MyAuditVal),_xlpm.MacVal&lt;&gt;"",_xlpm.MacVal,_xlpm.CSVVal&lt;&gt;"",_xlpm.CSVVal
)),"")</f>
        <v/>
      </c>
      <c r="N1160" s="40"/>
      <c r="O1160" s="40" t="str">
        <f>_xlfn.LET(
    _xlpm.CSVVal, _xlfn.XLOOKUP($A1160, CSV!$A:$A, CSV!AA:AA, ""),
    _xlpm.MacVal, _xlfn.XLOOKUP($A1160, Output_Mac!$A:$A, Output_Mac!S:S, ""),
    _xlpm.MyAuditVal, _xlfn.XLOOKUP($A1160, My_Audit!$A:$A, My_Audit!P:P, ""),
    _xlfn.TEXTJOIN(", ", TRUE, _xlpm.MyAuditVal, _xlpm.MacVal, _xlpm.CSVVal)
)</f>
        <v/>
      </c>
      <c r="P1160" s="40" t="str" cm="1">
        <f t="array" ref="P1160">IFERROR(_xlfn.LET(
_xlpm.CSVVal,_xlfn.XLOOKUP($A1160,CSV!$A:$A,CSV!AB:AB,""),
_xlpm.MacVal,_xlfn.XLOOKUP($A1160,Output_Mac!$A:$A,Output_Mac!T:T,""),
_xlpm.MyAuditVal,_xlfn.XLOOKUP($A1160,My_Audit!$A:$A,My_Audit!Q:Q,""),
_xlfn.IFS(_xlpm.MyAuditVal&lt;&gt;"",UPPER(_xlpm.MyAuditVal),_xlpm.MacVal&lt;&gt;"",_xlpm.MacVal,_xlpm.CSVVal&lt;&gt;"",_xlpm.CSVVal
)),"No")</f>
        <v>No</v>
      </c>
      <c r="Q1160" s="40" t="str" cm="1">
        <f t="array" ref="Q1160">IFERROR(_xlfn.LET(
_xlpm.CSVVal,_xlfn.XLOOKUP($A1160,CSV!$A:$A,CSV!AC:AC,""),
_xlpm.MacVal,_xlfn.XLOOKUP($A1160,Output_Mac!$A:$A,Output_Mac!U:U,""),
_xlpm.MyAuditVal,_xlfn.XLOOKUP($A1160,My_Audit!$A:$A,My_Audit!R:R,""),
_xlfn.IFS(_xlpm.MyAuditVal&lt;&gt;"",UPPER(_xlpm.MyAuditVal),_xlpm.MacVal&lt;&gt;"",_xlpm.MacVal,_xlpm.CSVVal&lt;&gt;"",_xlpm.CSVVal
)),"")</f>
        <v/>
      </c>
      <c r="R1160" s="40"/>
      <c r="S1160" s="40"/>
      <c r="T1160" s="40"/>
      <c r="U1160" s="40"/>
      <c r="V1160" s="40"/>
      <c r="W1160" s="40"/>
      <c r="X1160" s="41" t="str">
        <f>_xlfn.LET(
    _xlpm.MacVal, _xlfn.XLOOKUP($A1160, Output_Mac!$A:$A, Output_Mac!AB:AB, ""),
    _xlpm.MyAuditVal, _xlfn.XLOOKUP($A1160, My_Audit!$A:$A, My_Audit!N:N, ""),
    _xlfn.TEXTJOIN(", ", TRUE, _xlpm.MyAuditVal, _xlpm.MacVal)
)</f>
        <v/>
      </c>
    </row>
    <row r="1161" spans="1:24">
      <c r="A1161" s="40" t="str">
        <f>_xlfn.TEXTJOIN("",TRUE,Input!$B$2,ROW(My_Audit!A1160))</f>
        <v>X1160</v>
      </c>
      <c r="B1161" s="40" t="str">
        <f>_xlfn.TEXTJOIN("-",TRUE,"ITD",Input!$A$2,A1161)</f>
        <v>ITD-X1160</v>
      </c>
      <c r="C1161" s="40" t="str" cm="1">
        <f t="array" ref="C1161">IFERROR(_xlfn.LET(
_xlpm.CSVVal,_xlfn.XLOOKUP($A1161,CSV!$A:$A,CSV!B:B,""),
_xlpm.MacVal,_xlfn.XLOOKUP($A1161,Output_Mac!$A:$A,Output_Mac!B:B,""),
_xlpm.MyAuditVal,_xlfn.XLOOKUP($A1161,My_Audit!$A:$A,My_Audit!B:B,""),
_xlfn.IFS(_xlpm.MyAuditVal&lt;&gt;"",UPPER(_xlpm.MyAuditVal),_xlpm.MacVal&lt;&gt;"",_xlpm.MacVal,_xlpm.CSVVal&lt;&gt;"",_xlpm.CSVVal
)),"")</f>
        <v/>
      </c>
      <c r="D1161" s="40" t="str" cm="1">
        <f t="array" ref="D1161">IFERROR(_xlfn.LET(
_xlpm.CSVVal,_xlfn.XLOOKUP($A1161,CSV!$A:$A,CSV!D:D,""),
_xlpm.MacVal,_xlfn.XLOOKUP($A1161,Output_Mac!$A:$A,Output_Mac!C:C,""),
_xlpm.MyAuditVal,_xlfn.XLOOKUP($A1161,My_Audit!$A:$A,My_Audit!C:C,""),
_xlfn.IFS(_xlpm.MyAuditVal&lt;&gt;"",_xlpm.MyAuditVal,_xlpm.MacVal&lt;&gt;"",_xlpm.MacVal,_xlpm.CSVVal&lt;&gt;"",_xlpm.CSVVal
)),"")</f>
        <v/>
      </c>
      <c r="E1161" s="40" t="str">
        <f>_xlfn.XLOOKUP(A1161,My_Audit!A:A,My_Audit!D:D,"")</f>
        <v/>
      </c>
      <c r="F1161" s="40" t="str" cm="1">
        <f t="array" ref="F1161">IFERROR(_xlfn.LET(
_xlpm.CSVVal,_xlfn.XLOOKUP($A1161,CSV!$A:$A,CSV!F:F,""),
_xlpm.MacVal,_xlfn.XLOOKUP($A1161,Output_Mac!$A:$A,Output_Mac!E:E,""),
_xlpm.MyAuditVal,_xlfn.XLOOKUP($A1161,My_Audit!$A:$A,My_Audit!E:E,""),
_xlfn.IFS(_xlpm.MyAuditVal&lt;&gt;"",_xlpm.MyAuditVal,_xlpm.MacVal&lt;&gt;"",_xlpm.MacVal,_xlpm.CSVVal&lt;&gt;"",_xlpm.CSVVal
)),"")</f>
        <v/>
      </c>
      <c r="G1161" s="40" t="str" cm="1">
        <f t="array" ref="G1161">IFERROR(_xlfn.LET(
_xlpm.CSVVal,_xlfn.XLOOKUP($A1161,CSV!$A:$A,CSV!G:G,""),
_xlpm.MacVal,_xlfn.XLOOKUP($A1161,Output_Mac!$A:$A,Output_Mac!F:F,""),
_xlpm.MyAuditVal,_xlfn.XLOOKUP($A1161,My_Audit!$A:$A,My_Audit!F:F,""),
_xlfn.IFS(_xlpm.MyAuditVal&lt;&gt;"",_xlpm.MyAuditVal,_xlpm.MacVal&lt;&gt;"",_xlpm.MacVal,_xlpm.CSVVal&lt;&gt;"",PROPER(_xlpm.CSVVal)
)),"")</f>
        <v/>
      </c>
      <c r="H1161" s="40" t="str" cm="1">
        <f t="array" ref="H1161">IFERROR(_xlfn.LET(
_xlpm.CSVVal,_xlfn.XLOOKUP($A1161,CSV!$A:$A,CSV!H:H,""),
_xlpm.MacVal,_xlfn.XLOOKUP($A1161,Output_Mac!$A:$A,Output_Mac!H:H,""),
_xlpm.MyAuditVal,_xlfn.XLOOKUP($A1161,My_Audit!$A:$A,My_Audit!G:G,""),
_xlfn.IFS(_xlpm.MyAuditVal&lt;&gt;"",_xlpm.MyAuditVal,_xlpm.MacVal&lt;&gt;"",_xlpm.MacVal,_xlpm.CSVVal&lt;&gt;"",_xlpm.CSVVal
)),"")</f>
        <v/>
      </c>
      <c r="I1161" s="40" t="str">
        <f>_xlfn.XLOOKUP(A1161,Output_Mac!A:A,Output_Mac!I:I,"")</f>
        <v/>
      </c>
      <c r="J1161" s="40" t="str" cm="1">
        <f t="array" ref="J1161">IFERROR(_xlfn.LET(
_xlpm.CSVVal,_xlfn.XLOOKUP($A1161,CSV!$A:$A,CSV!I:I,""),
_xlpm.MacVal,_xlfn.XLOOKUP($A1161,Output_Mac!$A:$A,Output_Mac!J:J,""),
_xlpm.MyAuditVal,_xlfn.XLOOKUP($A1161,My_Audit!$A:$A,My_Audit!I:I,""),
_xlfn.IFS(_xlpm.MyAuditVal&lt;&gt;"",UPPER(_xlpm.MyAuditVal),_xlpm.MacVal&lt;&gt;"",_xlpm.MacVal,_xlpm.CSVVal&lt;&gt;"",_xlpm.CSVVal
)),"")</f>
        <v/>
      </c>
      <c r="K1161" s="40" t="str" cm="1">
        <f t="array" ref="K1161">IFERROR(_xlfn.LET(
_xlpm.CSVVal,_xlfn.XLOOKUP($A1161,CSV!$A:$A,CSV!K:K,""),
_xlpm.MacVal,_xlfn.XLOOKUP($A1161,Output_Mac!$A:$A,Output_Mac!K:K,""),
_xlpm.MyAuditVal,_xlfn.XLOOKUP($A1161,My_Audit!$A:$A,My_Audit!J:J,""),
_xlfn.IFS(_xlpm.MyAuditVal&lt;&gt;"",UPPER(_xlpm.MyAuditVal),_xlpm.MacVal&lt;&gt;"",_xlpm.MacVal,_xlpm.CSVVal&lt;&gt;"",_xlpm.CSVVal
)),"")</f>
        <v/>
      </c>
      <c r="L1161" s="40" t="str" cm="1">
        <f t="array" ref="L1161">IFERROR(_xlfn.LET(
_xlpm.CSVVal,_xlfn.XLOOKUP($A1161,CSV!$A:$A,CSV!P:P,""),
_xlpm.MacVal,_xlfn.XLOOKUP($A1161,Output_Mac!$A:$A,Output_Mac!L:L,""),
_xlpm.MyAuditVal,_xlfn.XLOOKUP($A1161,My_Audit!$A:$A,My_Audit!K:K,""),
_xlfn.IFS(_xlpm.MyAuditVal&lt;&gt;"",UPPER(_xlpm.MyAuditVal),_xlpm.MacVal&lt;&gt;"",_xlpm.MacVal,_xlpm.CSVVal&lt;&gt;"",_xlpm.CSVVal
)),"")</f>
        <v/>
      </c>
      <c r="M1161" s="40" t="str" cm="1">
        <f t="array" ref="M1161">IFERROR(_xlfn.LET(
_xlpm.CSVVal,_xlfn.XLOOKUP($A1161,CSV!$A:$A,CSV!Q:Q,""),
_xlpm.MacVal,_xlfn.XLOOKUP($A1161,Output_Mac!$A:$A,Output_Mac!M:M,""),
_xlpm.MyAuditVal,_xlfn.XLOOKUP($A1161,My_Audit!$A:$A,My_Audit!L:L,""),
_xlfn.IFS(_xlpm.MyAuditVal&lt;&gt;"",UPPER(_xlpm.MyAuditVal),_xlpm.MacVal&lt;&gt;"",_xlpm.MacVal,_xlpm.CSVVal&lt;&gt;"",_xlpm.CSVVal
)),"")</f>
        <v/>
      </c>
      <c r="N1161" s="40"/>
      <c r="O1161" s="40" t="str">
        <f>_xlfn.LET(
    _xlpm.CSVVal, _xlfn.XLOOKUP($A1161, CSV!$A:$A, CSV!AA:AA, ""),
    _xlpm.MacVal, _xlfn.XLOOKUP($A1161, Output_Mac!$A:$A, Output_Mac!S:S, ""),
    _xlpm.MyAuditVal, _xlfn.XLOOKUP($A1161, My_Audit!$A:$A, My_Audit!P:P, ""),
    _xlfn.TEXTJOIN(", ", TRUE, _xlpm.MyAuditVal, _xlpm.MacVal, _xlpm.CSVVal)
)</f>
        <v/>
      </c>
      <c r="P1161" s="40" t="str" cm="1">
        <f t="array" ref="P1161">IFERROR(_xlfn.LET(
_xlpm.CSVVal,_xlfn.XLOOKUP($A1161,CSV!$A:$A,CSV!AB:AB,""),
_xlpm.MacVal,_xlfn.XLOOKUP($A1161,Output_Mac!$A:$A,Output_Mac!T:T,""),
_xlpm.MyAuditVal,_xlfn.XLOOKUP($A1161,My_Audit!$A:$A,My_Audit!Q:Q,""),
_xlfn.IFS(_xlpm.MyAuditVal&lt;&gt;"",UPPER(_xlpm.MyAuditVal),_xlpm.MacVal&lt;&gt;"",_xlpm.MacVal,_xlpm.CSVVal&lt;&gt;"",_xlpm.CSVVal
)),"No")</f>
        <v>No</v>
      </c>
      <c r="Q1161" s="40" t="str" cm="1">
        <f t="array" ref="Q1161">IFERROR(_xlfn.LET(
_xlpm.CSVVal,_xlfn.XLOOKUP($A1161,CSV!$A:$A,CSV!AC:AC,""),
_xlpm.MacVal,_xlfn.XLOOKUP($A1161,Output_Mac!$A:$A,Output_Mac!U:U,""),
_xlpm.MyAuditVal,_xlfn.XLOOKUP($A1161,My_Audit!$A:$A,My_Audit!R:R,""),
_xlfn.IFS(_xlpm.MyAuditVal&lt;&gt;"",UPPER(_xlpm.MyAuditVal),_xlpm.MacVal&lt;&gt;"",_xlpm.MacVal,_xlpm.CSVVal&lt;&gt;"",_xlpm.CSVVal
)),"")</f>
        <v/>
      </c>
      <c r="R1161" s="40"/>
      <c r="S1161" s="40"/>
      <c r="T1161" s="40"/>
      <c r="U1161" s="40"/>
      <c r="V1161" s="40"/>
      <c r="W1161" s="40"/>
      <c r="X1161" s="41" t="str">
        <f>_xlfn.LET(
    _xlpm.MacVal, _xlfn.XLOOKUP($A1161, Output_Mac!$A:$A, Output_Mac!AB:AB, ""),
    _xlpm.MyAuditVal, _xlfn.XLOOKUP($A1161, My_Audit!$A:$A, My_Audit!N:N, ""),
    _xlfn.TEXTJOIN(", ", TRUE, _xlpm.MyAuditVal, _xlpm.MacVal)
)</f>
        <v/>
      </c>
    </row>
    <row r="1162" spans="1:24">
      <c r="A1162" s="40" t="str">
        <f>_xlfn.TEXTJOIN("",TRUE,Input!$B$2,ROW(My_Audit!A1161))</f>
        <v>X1161</v>
      </c>
      <c r="B1162" s="40" t="str">
        <f>_xlfn.TEXTJOIN("-",TRUE,"ITD",Input!$A$2,A1162)</f>
        <v>ITD-X1161</v>
      </c>
      <c r="C1162" s="40" t="str" cm="1">
        <f t="array" ref="C1162">IFERROR(_xlfn.LET(
_xlpm.CSVVal,_xlfn.XLOOKUP($A1162,CSV!$A:$A,CSV!B:B,""),
_xlpm.MacVal,_xlfn.XLOOKUP($A1162,Output_Mac!$A:$A,Output_Mac!B:B,""),
_xlpm.MyAuditVal,_xlfn.XLOOKUP($A1162,My_Audit!$A:$A,My_Audit!B:B,""),
_xlfn.IFS(_xlpm.MyAuditVal&lt;&gt;"",UPPER(_xlpm.MyAuditVal),_xlpm.MacVal&lt;&gt;"",_xlpm.MacVal,_xlpm.CSVVal&lt;&gt;"",_xlpm.CSVVal
)),"")</f>
        <v/>
      </c>
      <c r="D1162" s="40" t="str" cm="1">
        <f t="array" ref="D1162">IFERROR(_xlfn.LET(
_xlpm.CSVVal,_xlfn.XLOOKUP($A1162,CSV!$A:$A,CSV!D:D,""),
_xlpm.MacVal,_xlfn.XLOOKUP($A1162,Output_Mac!$A:$A,Output_Mac!C:C,""),
_xlpm.MyAuditVal,_xlfn.XLOOKUP($A1162,My_Audit!$A:$A,My_Audit!C:C,""),
_xlfn.IFS(_xlpm.MyAuditVal&lt;&gt;"",_xlpm.MyAuditVal,_xlpm.MacVal&lt;&gt;"",_xlpm.MacVal,_xlpm.CSVVal&lt;&gt;"",_xlpm.CSVVal
)),"")</f>
        <v/>
      </c>
      <c r="E1162" s="40" t="str">
        <f>_xlfn.XLOOKUP(A1162,My_Audit!A:A,My_Audit!D:D,"")</f>
        <v/>
      </c>
      <c r="F1162" s="40" t="str" cm="1">
        <f t="array" ref="F1162">IFERROR(_xlfn.LET(
_xlpm.CSVVal,_xlfn.XLOOKUP($A1162,CSV!$A:$A,CSV!F:F,""),
_xlpm.MacVal,_xlfn.XLOOKUP($A1162,Output_Mac!$A:$A,Output_Mac!E:E,""),
_xlpm.MyAuditVal,_xlfn.XLOOKUP($A1162,My_Audit!$A:$A,My_Audit!E:E,""),
_xlfn.IFS(_xlpm.MyAuditVal&lt;&gt;"",_xlpm.MyAuditVal,_xlpm.MacVal&lt;&gt;"",_xlpm.MacVal,_xlpm.CSVVal&lt;&gt;"",_xlpm.CSVVal
)),"")</f>
        <v/>
      </c>
      <c r="G1162" s="40" t="str" cm="1">
        <f t="array" ref="G1162">IFERROR(_xlfn.LET(
_xlpm.CSVVal,_xlfn.XLOOKUP($A1162,CSV!$A:$A,CSV!G:G,""),
_xlpm.MacVal,_xlfn.XLOOKUP($A1162,Output_Mac!$A:$A,Output_Mac!F:F,""),
_xlpm.MyAuditVal,_xlfn.XLOOKUP($A1162,My_Audit!$A:$A,My_Audit!F:F,""),
_xlfn.IFS(_xlpm.MyAuditVal&lt;&gt;"",_xlpm.MyAuditVal,_xlpm.MacVal&lt;&gt;"",_xlpm.MacVal,_xlpm.CSVVal&lt;&gt;"",PROPER(_xlpm.CSVVal)
)),"")</f>
        <v/>
      </c>
      <c r="H1162" s="40" t="str" cm="1">
        <f t="array" ref="H1162">IFERROR(_xlfn.LET(
_xlpm.CSVVal,_xlfn.XLOOKUP($A1162,CSV!$A:$A,CSV!H:H,""),
_xlpm.MacVal,_xlfn.XLOOKUP($A1162,Output_Mac!$A:$A,Output_Mac!H:H,""),
_xlpm.MyAuditVal,_xlfn.XLOOKUP($A1162,My_Audit!$A:$A,My_Audit!G:G,""),
_xlfn.IFS(_xlpm.MyAuditVal&lt;&gt;"",_xlpm.MyAuditVal,_xlpm.MacVal&lt;&gt;"",_xlpm.MacVal,_xlpm.CSVVal&lt;&gt;"",_xlpm.CSVVal
)),"")</f>
        <v/>
      </c>
      <c r="I1162" s="40" t="str">
        <f>_xlfn.XLOOKUP(A1162,Output_Mac!A:A,Output_Mac!I:I,"")</f>
        <v/>
      </c>
      <c r="J1162" s="40" t="str" cm="1">
        <f t="array" ref="J1162">IFERROR(_xlfn.LET(
_xlpm.CSVVal,_xlfn.XLOOKUP($A1162,CSV!$A:$A,CSV!I:I,""),
_xlpm.MacVal,_xlfn.XLOOKUP($A1162,Output_Mac!$A:$A,Output_Mac!J:J,""),
_xlpm.MyAuditVal,_xlfn.XLOOKUP($A1162,My_Audit!$A:$A,My_Audit!I:I,""),
_xlfn.IFS(_xlpm.MyAuditVal&lt;&gt;"",UPPER(_xlpm.MyAuditVal),_xlpm.MacVal&lt;&gt;"",_xlpm.MacVal,_xlpm.CSVVal&lt;&gt;"",_xlpm.CSVVal
)),"")</f>
        <v/>
      </c>
      <c r="K1162" s="40" t="str" cm="1">
        <f t="array" ref="K1162">IFERROR(_xlfn.LET(
_xlpm.CSVVal,_xlfn.XLOOKUP($A1162,CSV!$A:$A,CSV!K:K,""),
_xlpm.MacVal,_xlfn.XLOOKUP($A1162,Output_Mac!$A:$A,Output_Mac!K:K,""),
_xlpm.MyAuditVal,_xlfn.XLOOKUP($A1162,My_Audit!$A:$A,My_Audit!J:J,""),
_xlfn.IFS(_xlpm.MyAuditVal&lt;&gt;"",UPPER(_xlpm.MyAuditVal),_xlpm.MacVal&lt;&gt;"",_xlpm.MacVal,_xlpm.CSVVal&lt;&gt;"",_xlpm.CSVVal
)),"")</f>
        <v/>
      </c>
      <c r="L1162" s="40" t="str" cm="1">
        <f t="array" ref="L1162">IFERROR(_xlfn.LET(
_xlpm.CSVVal,_xlfn.XLOOKUP($A1162,CSV!$A:$A,CSV!P:P,""),
_xlpm.MacVal,_xlfn.XLOOKUP($A1162,Output_Mac!$A:$A,Output_Mac!L:L,""),
_xlpm.MyAuditVal,_xlfn.XLOOKUP($A1162,My_Audit!$A:$A,My_Audit!K:K,""),
_xlfn.IFS(_xlpm.MyAuditVal&lt;&gt;"",UPPER(_xlpm.MyAuditVal),_xlpm.MacVal&lt;&gt;"",_xlpm.MacVal,_xlpm.CSVVal&lt;&gt;"",_xlpm.CSVVal
)),"")</f>
        <v/>
      </c>
      <c r="M1162" s="40" t="str" cm="1">
        <f t="array" ref="M1162">IFERROR(_xlfn.LET(
_xlpm.CSVVal,_xlfn.XLOOKUP($A1162,CSV!$A:$A,CSV!Q:Q,""),
_xlpm.MacVal,_xlfn.XLOOKUP($A1162,Output_Mac!$A:$A,Output_Mac!M:M,""),
_xlpm.MyAuditVal,_xlfn.XLOOKUP($A1162,My_Audit!$A:$A,My_Audit!L:L,""),
_xlfn.IFS(_xlpm.MyAuditVal&lt;&gt;"",UPPER(_xlpm.MyAuditVal),_xlpm.MacVal&lt;&gt;"",_xlpm.MacVal,_xlpm.CSVVal&lt;&gt;"",_xlpm.CSVVal
)),"")</f>
        <v/>
      </c>
      <c r="N1162" s="40"/>
      <c r="O1162" s="40" t="str">
        <f>_xlfn.LET(
    _xlpm.CSVVal, _xlfn.XLOOKUP($A1162, CSV!$A:$A, CSV!AA:AA, ""),
    _xlpm.MacVal, _xlfn.XLOOKUP($A1162, Output_Mac!$A:$A, Output_Mac!S:S, ""),
    _xlpm.MyAuditVal, _xlfn.XLOOKUP($A1162, My_Audit!$A:$A, My_Audit!P:P, ""),
    _xlfn.TEXTJOIN(", ", TRUE, _xlpm.MyAuditVal, _xlpm.MacVal, _xlpm.CSVVal)
)</f>
        <v/>
      </c>
      <c r="P1162" s="40" t="str" cm="1">
        <f t="array" ref="P1162">IFERROR(_xlfn.LET(
_xlpm.CSVVal,_xlfn.XLOOKUP($A1162,CSV!$A:$A,CSV!AB:AB,""),
_xlpm.MacVal,_xlfn.XLOOKUP($A1162,Output_Mac!$A:$A,Output_Mac!T:T,""),
_xlpm.MyAuditVal,_xlfn.XLOOKUP($A1162,My_Audit!$A:$A,My_Audit!Q:Q,""),
_xlfn.IFS(_xlpm.MyAuditVal&lt;&gt;"",UPPER(_xlpm.MyAuditVal),_xlpm.MacVal&lt;&gt;"",_xlpm.MacVal,_xlpm.CSVVal&lt;&gt;"",_xlpm.CSVVal
)),"No")</f>
        <v>No</v>
      </c>
      <c r="Q1162" s="40" t="str" cm="1">
        <f t="array" ref="Q1162">IFERROR(_xlfn.LET(
_xlpm.CSVVal,_xlfn.XLOOKUP($A1162,CSV!$A:$A,CSV!AC:AC,""),
_xlpm.MacVal,_xlfn.XLOOKUP($A1162,Output_Mac!$A:$A,Output_Mac!U:U,""),
_xlpm.MyAuditVal,_xlfn.XLOOKUP($A1162,My_Audit!$A:$A,My_Audit!R:R,""),
_xlfn.IFS(_xlpm.MyAuditVal&lt;&gt;"",UPPER(_xlpm.MyAuditVal),_xlpm.MacVal&lt;&gt;"",_xlpm.MacVal,_xlpm.CSVVal&lt;&gt;"",_xlpm.CSVVal
)),"")</f>
        <v/>
      </c>
      <c r="R1162" s="40"/>
      <c r="S1162" s="40"/>
      <c r="T1162" s="40"/>
      <c r="U1162" s="40"/>
      <c r="V1162" s="40"/>
      <c r="W1162" s="40"/>
      <c r="X1162" s="41" t="str">
        <f>_xlfn.LET(
    _xlpm.MacVal, _xlfn.XLOOKUP($A1162, Output_Mac!$A:$A, Output_Mac!AB:AB, ""),
    _xlpm.MyAuditVal, _xlfn.XLOOKUP($A1162, My_Audit!$A:$A, My_Audit!N:N, ""),
    _xlfn.TEXTJOIN(", ", TRUE, _xlpm.MyAuditVal, _xlpm.MacVal)
)</f>
        <v/>
      </c>
    </row>
    <row r="1163" spans="1:24">
      <c r="A1163" s="40" t="str">
        <f>_xlfn.TEXTJOIN("",TRUE,Input!$B$2,ROW(My_Audit!A1162))</f>
        <v>X1162</v>
      </c>
      <c r="B1163" s="40" t="str">
        <f>_xlfn.TEXTJOIN("-",TRUE,"ITD",Input!$A$2,A1163)</f>
        <v>ITD-X1162</v>
      </c>
      <c r="C1163" s="40" t="str" cm="1">
        <f t="array" ref="C1163">IFERROR(_xlfn.LET(
_xlpm.CSVVal,_xlfn.XLOOKUP($A1163,CSV!$A:$A,CSV!B:B,""),
_xlpm.MacVal,_xlfn.XLOOKUP($A1163,Output_Mac!$A:$A,Output_Mac!B:B,""),
_xlpm.MyAuditVal,_xlfn.XLOOKUP($A1163,My_Audit!$A:$A,My_Audit!B:B,""),
_xlfn.IFS(_xlpm.MyAuditVal&lt;&gt;"",UPPER(_xlpm.MyAuditVal),_xlpm.MacVal&lt;&gt;"",_xlpm.MacVal,_xlpm.CSVVal&lt;&gt;"",_xlpm.CSVVal
)),"")</f>
        <v/>
      </c>
      <c r="D1163" s="40" t="str" cm="1">
        <f t="array" ref="D1163">IFERROR(_xlfn.LET(
_xlpm.CSVVal,_xlfn.XLOOKUP($A1163,CSV!$A:$A,CSV!D:D,""),
_xlpm.MacVal,_xlfn.XLOOKUP($A1163,Output_Mac!$A:$A,Output_Mac!C:C,""),
_xlpm.MyAuditVal,_xlfn.XLOOKUP($A1163,My_Audit!$A:$A,My_Audit!C:C,""),
_xlfn.IFS(_xlpm.MyAuditVal&lt;&gt;"",_xlpm.MyAuditVal,_xlpm.MacVal&lt;&gt;"",_xlpm.MacVal,_xlpm.CSVVal&lt;&gt;"",_xlpm.CSVVal
)),"")</f>
        <v/>
      </c>
      <c r="E1163" s="40" t="str">
        <f>_xlfn.XLOOKUP(A1163,My_Audit!A:A,My_Audit!D:D,"")</f>
        <v/>
      </c>
      <c r="F1163" s="40" t="str" cm="1">
        <f t="array" ref="F1163">IFERROR(_xlfn.LET(
_xlpm.CSVVal,_xlfn.XLOOKUP($A1163,CSV!$A:$A,CSV!F:F,""),
_xlpm.MacVal,_xlfn.XLOOKUP($A1163,Output_Mac!$A:$A,Output_Mac!E:E,""),
_xlpm.MyAuditVal,_xlfn.XLOOKUP($A1163,My_Audit!$A:$A,My_Audit!E:E,""),
_xlfn.IFS(_xlpm.MyAuditVal&lt;&gt;"",_xlpm.MyAuditVal,_xlpm.MacVal&lt;&gt;"",_xlpm.MacVal,_xlpm.CSVVal&lt;&gt;"",_xlpm.CSVVal
)),"")</f>
        <v/>
      </c>
      <c r="G1163" s="40" t="str" cm="1">
        <f t="array" ref="G1163">IFERROR(_xlfn.LET(
_xlpm.CSVVal,_xlfn.XLOOKUP($A1163,CSV!$A:$A,CSV!G:G,""),
_xlpm.MacVal,_xlfn.XLOOKUP($A1163,Output_Mac!$A:$A,Output_Mac!F:F,""),
_xlpm.MyAuditVal,_xlfn.XLOOKUP($A1163,My_Audit!$A:$A,My_Audit!F:F,""),
_xlfn.IFS(_xlpm.MyAuditVal&lt;&gt;"",_xlpm.MyAuditVal,_xlpm.MacVal&lt;&gt;"",_xlpm.MacVal,_xlpm.CSVVal&lt;&gt;"",PROPER(_xlpm.CSVVal)
)),"")</f>
        <v/>
      </c>
      <c r="H1163" s="40" t="str" cm="1">
        <f t="array" ref="H1163">IFERROR(_xlfn.LET(
_xlpm.CSVVal,_xlfn.XLOOKUP($A1163,CSV!$A:$A,CSV!H:H,""),
_xlpm.MacVal,_xlfn.XLOOKUP($A1163,Output_Mac!$A:$A,Output_Mac!H:H,""),
_xlpm.MyAuditVal,_xlfn.XLOOKUP($A1163,My_Audit!$A:$A,My_Audit!G:G,""),
_xlfn.IFS(_xlpm.MyAuditVal&lt;&gt;"",_xlpm.MyAuditVal,_xlpm.MacVal&lt;&gt;"",_xlpm.MacVal,_xlpm.CSVVal&lt;&gt;"",_xlpm.CSVVal
)),"")</f>
        <v/>
      </c>
      <c r="I1163" s="40" t="str">
        <f>_xlfn.XLOOKUP(A1163,Output_Mac!A:A,Output_Mac!I:I,"")</f>
        <v/>
      </c>
      <c r="J1163" s="40" t="str" cm="1">
        <f t="array" ref="J1163">IFERROR(_xlfn.LET(
_xlpm.CSVVal,_xlfn.XLOOKUP($A1163,CSV!$A:$A,CSV!I:I,""),
_xlpm.MacVal,_xlfn.XLOOKUP($A1163,Output_Mac!$A:$A,Output_Mac!J:J,""),
_xlpm.MyAuditVal,_xlfn.XLOOKUP($A1163,My_Audit!$A:$A,My_Audit!I:I,""),
_xlfn.IFS(_xlpm.MyAuditVal&lt;&gt;"",UPPER(_xlpm.MyAuditVal),_xlpm.MacVal&lt;&gt;"",_xlpm.MacVal,_xlpm.CSVVal&lt;&gt;"",_xlpm.CSVVal
)),"")</f>
        <v/>
      </c>
      <c r="K1163" s="40" t="str" cm="1">
        <f t="array" ref="K1163">IFERROR(_xlfn.LET(
_xlpm.CSVVal,_xlfn.XLOOKUP($A1163,CSV!$A:$A,CSV!K:K,""),
_xlpm.MacVal,_xlfn.XLOOKUP($A1163,Output_Mac!$A:$A,Output_Mac!K:K,""),
_xlpm.MyAuditVal,_xlfn.XLOOKUP($A1163,My_Audit!$A:$A,My_Audit!J:J,""),
_xlfn.IFS(_xlpm.MyAuditVal&lt;&gt;"",UPPER(_xlpm.MyAuditVal),_xlpm.MacVal&lt;&gt;"",_xlpm.MacVal,_xlpm.CSVVal&lt;&gt;"",_xlpm.CSVVal
)),"")</f>
        <v/>
      </c>
      <c r="L1163" s="40" t="str" cm="1">
        <f t="array" ref="L1163">IFERROR(_xlfn.LET(
_xlpm.CSVVal,_xlfn.XLOOKUP($A1163,CSV!$A:$A,CSV!P:P,""),
_xlpm.MacVal,_xlfn.XLOOKUP($A1163,Output_Mac!$A:$A,Output_Mac!L:L,""),
_xlpm.MyAuditVal,_xlfn.XLOOKUP($A1163,My_Audit!$A:$A,My_Audit!K:K,""),
_xlfn.IFS(_xlpm.MyAuditVal&lt;&gt;"",UPPER(_xlpm.MyAuditVal),_xlpm.MacVal&lt;&gt;"",_xlpm.MacVal,_xlpm.CSVVal&lt;&gt;"",_xlpm.CSVVal
)),"")</f>
        <v/>
      </c>
      <c r="M1163" s="40" t="str" cm="1">
        <f t="array" ref="M1163">IFERROR(_xlfn.LET(
_xlpm.CSVVal,_xlfn.XLOOKUP($A1163,CSV!$A:$A,CSV!Q:Q,""),
_xlpm.MacVal,_xlfn.XLOOKUP($A1163,Output_Mac!$A:$A,Output_Mac!M:M,""),
_xlpm.MyAuditVal,_xlfn.XLOOKUP($A1163,My_Audit!$A:$A,My_Audit!L:L,""),
_xlfn.IFS(_xlpm.MyAuditVal&lt;&gt;"",UPPER(_xlpm.MyAuditVal),_xlpm.MacVal&lt;&gt;"",_xlpm.MacVal,_xlpm.CSVVal&lt;&gt;"",_xlpm.CSVVal
)),"")</f>
        <v/>
      </c>
      <c r="N1163" s="40"/>
      <c r="O1163" s="40" t="str">
        <f>_xlfn.LET(
    _xlpm.CSVVal, _xlfn.XLOOKUP($A1163, CSV!$A:$A, CSV!AA:AA, ""),
    _xlpm.MacVal, _xlfn.XLOOKUP($A1163, Output_Mac!$A:$A, Output_Mac!S:S, ""),
    _xlpm.MyAuditVal, _xlfn.XLOOKUP($A1163, My_Audit!$A:$A, My_Audit!P:P, ""),
    _xlfn.TEXTJOIN(", ", TRUE, _xlpm.MyAuditVal, _xlpm.MacVal, _xlpm.CSVVal)
)</f>
        <v/>
      </c>
      <c r="P1163" s="40" t="str" cm="1">
        <f t="array" ref="P1163">IFERROR(_xlfn.LET(
_xlpm.CSVVal,_xlfn.XLOOKUP($A1163,CSV!$A:$A,CSV!AB:AB,""),
_xlpm.MacVal,_xlfn.XLOOKUP($A1163,Output_Mac!$A:$A,Output_Mac!T:T,""),
_xlpm.MyAuditVal,_xlfn.XLOOKUP($A1163,My_Audit!$A:$A,My_Audit!Q:Q,""),
_xlfn.IFS(_xlpm.MyAuditVal&lt;&gt;"",UPPER(_xlpm.MyAuditVal),_xlpm.MacVal&lt;&gt;"",_xlpm.MacVal,_xlpm.CSVVal&lt;&gt;"",_xlpm.CSVVal
)),"No")</f>
        <v>No</v>
      </c>
      <c r="Q1163" s="40" t="str" cm="1">
        <f t="array" ref="Q1163">IFERROR(_xlfn.LET(
_xlpm.CSVVal,_xlfn.XLOOKUP($A1163,CSV!$A:$A,CSV!AC:AC,""),
_xlpm.MacVal,_xlfn.XLOOKUP($A1163,Output_Mac!$A:$A,Output_Mac!U:U,""),
_xlpm.MyAuditVal,_xlfn.XLOOKUP($A1163,My_Audit!$A:$A,My_Audit!R:R,""),
_xlfn.IFS(_xlpm.MyAuditVal&lt;&gt;"",UPPER(_xlpm.MyAuditVal),_xlpm.MacVal&lt;&gt;"",_xlpm.MacVal,_xlpm.CSVVal&lt;&gt;"",_xlpm.CSVVal
)),"")</f>
        <v/>
      </c>
      <c r="R1163" s="40"/>
      <c r="S1163" s="40"/>
      <c r="T1163" s="40"/>
      <c r="U1163" s="40"/>
      <c r="V1163" s="40"/>
      <c r="W1163" s="40"/>
      <c r="X1163" s="41" t="str">
        <f>_xlfn.LET(
    _xlpm.MacVal, _xlfn.XLOOKUP($A1163, Output_Mac!$A:$A, Output_Mac!AB:AB, ""),
    _xlpm.MyAuditVal, _xlfn.XLOOKUP($A1163, My_Audit!$A:$A, My_Audit!N:N, ""),
    _xlfn.TEXTJOIN(", ", TRUE, _xlpm.MyAuditVal, _xlpm.MacVal)
)</f>
        <v/>
      </c>
    </row>
    <row r="1164" spans="1:24">
      <c r="A1164" s="40" t="str">
        <f>_xlfn.TEXTJOIN("",TRUE,Input!$B$2,ROW(My_Audit!A1163))</f>
        <v>X1163</v>
      </c>
      <c r="B1164" s="40" t="str">
        <f>_xlfn.TEXTJOIN("-",TRUE,"ITD",Input!$A$2,A1164)</f>
        <v>ITD-X1163</v>
      </c>
      <c r="C1164" s="40" t="str" cm="1">
        <f t="array" ref="C1164">IFERROR(_xlfn.LET(
_xlpm.CSVVal,_xlfn.XLOOKUP($A1164,CSV!$A:$A,CSV!B:B,""),
_xlpm.MacVal,_xlfn.XLOOKUP($A1164,Output_Mac!$A:$A,Output_Mac!B:B,""),
_xlpm.MyAuditVal,_xlfn.XLOOKUP($A1164,My_Audit!$A:$A,My_Audit!B:B,""),
_xlfn.IFS(_xlpm.MyAuditVal&lt;&gt;"",UPPER(_xlpm.MyAuditVal),_xlpm.MacVal&lt;&gt;"",_xlpm.MacVal,_xlpm.CSVVal&lt;&gt;"",_xlpm.CSVVal
)),"")</f>
        <v/>
      </c>
      <c r="D1164" s="40" t="str" cm="1">
        <f t="array" ref="D1164">IFERROR(_xlfn.LET(
_xlpm.CSVVal,_xlfn.XLOOKUP($A1164,CSV!$A:$A,CSV!D:D,""),
_xlpm.MacVal,_xlfn.XLOOKUP($A1164,Output_Mac!$A:$A,Output_Mac!C:C,""),
_xlpm.MyAuditVal,_xlfn.XLOOKUP($A1164,My_Audit!$A:$A,My_Audit!C:C,""),
_xlfn.IFS(_xlpm.MyAuditVal&lt;&gt;"",_xlpm.MyAuditVal,_xlpm.MacVal&lt;&gt;"",_xlpm.MacVal,_xlpm.CSVVal&lt;&gt;"",_xlpm.CSVVal
)),"")</f>
        <v/>
      </c>
      <c r="E1164" s="40" t="str">
        <f>_xlfn.XLOOKUP(A1164,My_Audit!A:A,My_Audit!D:D,"")</f>
        <v/>
      </c>
      <c r="F1164" s="40" t="str" cm="1">
        <f t="array" ref="F1164">IFERROR(_xlfn.LET(
_xlpm.CSVVal,_xlfn.XLOOKUP($A1164,CSV!$A:$A,CSV!F:F,""),
_xlpm.MacVal,_xlfn.XLOOKUP($A1164,Output_Mac!$A:$A,Output_Mac!E:E,""),
_xlpm.MyAuditVal,_xlfn.XLOOKUP($A1164,My_Audit!$A:$A,My_Audit!E:E,""),
_xlfn.IFS(_xlpm.MyAuditVal&lt;&gt;"",_xlpm.MyAuditVal,_xlpm.MacVal&lt;&gt;"",_xlpm.MacVal,_xlpm.CSVVal&lt;&gt;"",_xlpm.CSVVal
)),"")</f>
        <v/>
      </c>
      <c r="G1164" s="40" t="str" cm="1">
        <f t="array" ref="G1164">IFERROR(_xlfn.LET(
_xlpm.CSVVal,_xlfn.XLOOKUP($A1164,CSV!$A:$A,CSV!G:G,""),
_xlpm.MacVal,_xlfn.XLOOKUP($A1164,Output_Mac!$A:$A,Output_Mac!F:F,""),
_xlpm.MyAuditVal,_xlfn.XLOOKUP($A1164,My_Audit!$A:$A,My_Audit!F:F,""),
_xlfn.IFS(_xlpm.MyAuditVal&lt;&gt;"",_xlpm.MyAuditVal,_xlpm.MacVal&lt;&gt;"",_xlpm.MacVal,_xlpm.CSVVal&lt;&gt;"",PROPER(_xlpm.CSVVal)
)),"")</f>
        <v/>
      </c>
      <c r="H1164" s="40" t="str" cm="1">
        <f t="array" ref="H1164">IFERROR(_xlfn.LET(
_xlpm.CSVVal,_xlfn.XLOOKUP($A1164,CSV!$A:$A,CSV!H:H,""),
_xlpm.MacVal,_xlfn.XLOOKUP($A1164,Output_Mac!$A:$A,Output_Mac!H:H,""),
_xlpm.MyAuditVal,_xlfn.XLOOKUP($A1164,My_Audit!$A:$A,My_Audit!G:G,""),
_xlfn.IFS(_xlpm.MyAuditVal&lt;&gt;"",_xlpm.MyAuditVal,_xlpm.MacVal&lt;&gt;"",_xlpm.MacVal,_xlpm.CSVVal&lt;&gt;"",_xlpm.CSVVal
)),"")</f>
        <v/>
      </c>
      <c r="I1164" s="40" t="str">
        <f>_xlfn.XLOOKUP(A1164,Output_Mac!A:A,Output_Mac!I:I,"")</f>
        <v/>
      </c>
      <c r="J1164" s="40" t="str" cm="1">
        <f t="array" ref="J1164">IFERROR(_xlfn.LET(
_xlpm.CSVVal,_xlfn.XLOOKUP($A1164,CSV!$A:$A,CSV!I:I,""),
_xlpm.MacVal,_xlfn.XLOOKUP($A1164,Output_Mac!$A:$A,Output_Mac!J:J,""),
_xlpm.MyAuditVal,_xlfn.XLOOKUP($A1164,My_Audit!$A:$A,My_Audit!I:I,""),
_xlfn.IFS(_xlpm.MyAuditVal&lt;&gt;"",UPPER(_xlpm.MyAuditVal),_xlpm.MacVal&lt;&gt;"",_xlpm.MacVal,_xlpm.CSVVal&lt;&gt;"",_xlpm.CSVVal
)),"")</f>
        <v/>
      </c>
      <c r="K1164" s="40" t="str" cm="1">
        <f t="array" ref="K1164">IFERROR(_xlfn.LET(
_xlpm.CSVVal,_xlfn.XLOOKUP($A1164,CSV!$A:$A,CSV!K:K,""),
_xlpm.MacVal,_xlfn.XLOOKUP($A1164,Output_Mac!$A:$A,Output_Mac!K:K,""),
_xlpm.MyAuditVal,_xlfn.XLOOKUP($A1164,My_Audit!$A:$A,My_Audit!J:J,""),
_xlfn.IFS(_xlpm.MyAuditVal&lt;&gt;"",UPPER(_xlpm.MyAuditVal),_xlpm.MacVal&lt;&gt;"",_xlpm.MacVal,_xlpm.CSVVal&lt;&gt;"",_xlpm.CSVVal
)),"")</f>
        <v/>
      </c>
      <c r="L1164" s="40" t="str" cm="1">
        <f t="array" ref="L1164">IFERROR(_xlfn.LET(
_xlpm.CSVVal,_xlfn.XLOOKUP($A1164,CSV!$A:$A,CSV!P:P,""),
_xlpm.MacVal,_xlfn.XLOOKUP($A1164,Output_Mac!$A:$A,Output_Mac!L:L,""),
_xlpm.MyAuditVal,_xlfn.XLOOKUP($A1164,My_Audit!$A:$A,My_Audit!K:K,""),
_xlfn.IFS(_xlpm.MyAuditVal&lt;&gt;"",UPPER(_xlpm.MyAuditVal),_xlpm.MacVal&lt;&gt;"",_xlpm.MacVal,_xlpm.CSVVal&lt;&gt;"",_xlpm.CSVVal
)),"")</f>
        <v/>
      </c>
      <c r="M1164" s="40" t="str" cm="1">
        <f t="array" ref="M1164">IFERROR(_xlfn.LET(
_xlpm.CSVVal,_xlfn.XLOOKUP($A1164,CSV!$A:$A,CSV!Q:Q,""),
_xlpm.MacVal,_xlfn.XLOOKUP($A1164,Output_Mac!$A:$A,Output_Mac!M:M,""),
_xlpm.MyAuditVal,_xlfn.XLOOKUP($A1164,My_Audit!$A:$A,My_Audit!L:L,""),
_xlfn.IFS(_xlpm.MyAuditVal&lt;&gt;"",UPPER(_xlpm.MyAuditVal),_xlpm.MacVal&lt;&gt;"",_xlpm.MacVal,_xlpm.CSVVal&lt;&gt;"",_xlpm.CSVVal
)),"")</f>
        <v/>
      </c>
      <c r="N1164" s="40"/>
      <c r="O1164" s="40" t="str">
        <f>_xlfn.LET(
    _xlpm.CSVVal, _xlfn.XLOOKUP($A1164, CSV!$A:$A, CSV!AA:AA, ""),
    _xlpm.MacVal, _xlfn.XLOOKUP($A1164, Output_Mac!$A:$A, Output_Mac!S:S, ""),
    _xlpm.MyAuditVal, _xlfn.XLOOKUP($A1164, My_Audit!$A:$A, My_Audit!P:P, ""),
    _xlfn.TEXTJOIN(", ", TRUE, _xlpm.MyAuditVal, _xlpm.MacVal, _xlpm.CSVVal)
)</f>
        <v/>
      </c>
      <c r="P1164" s="40" t="str" cm="1">
        <f t="array" ref="P1164">IFERROR(_xlfn.LET(
_xlpm.CSVVal,_xlfn.XLOOKUP($A1164,CSV!$A:$A,CSV!AB:AB,""),
_xlpm.MacVal,_xlfn.XLOOKUP($A1164,Output_Mac!$A:$A,Output_Mac!T:T,""),
_xlpm.MyAuditVal,_xlfn.XLOOKUP($A1164,My_Audit!$A:$A,My_Audit!Q:Q,""),
_xlfn.IFS(_xlpm.MyAuditVal&lt;&gt;"",UPPER(_xlpm.MyAuditVal),_xlpm.MacVal&lt;&gt;"",_xlpm.MacVal,_xlpm.CSVVal&lt;&gt;"",_xlpm.CSVVal
)),"No")</f>
        <v>No</v>
      </c>
      <c r="Q1164" s="40" t="str" cm="1">
        <f t="array" ref="Q1164">IFERROR(_xlfn.LET(
_xlpm.CSVVal,_xlfn.XLOOKUP($A1164,CSV!$A:$A,CSV!AC:AC,""),
_xlpm.MacVal,_xlfn.XLOOKUP($A1164,Output_Mac!$A:$A,Output_Mac!U:U,""),
_xlpm.MyAuditVal,_xlfn.XLOOKUP($A1164,My_Audit!$A:$A,My_Audit!R:R,""),
_xlfn.IFS(_xlpm.MyAuditVal&lt;&gt;"",UPPER(_xlpm.MyAuditVal),_xlpm.MacVal&lt;&gt;"",_xlpm.MacVal,_xlpm.CSVVal&lt;&gt;"",_xlpm.CSVVal
)),"")</f>
        <v/>
      </c>
      <c r="R1164" s="40"/>
      <c r="S1164" s="40"/>
      <c r="T1164" s="40"/>
      <c r="U1164" s="40"/>
      <c r="V1164" s="40"/>
      <c r="W1164" s="40"/>
      <c r="X1164" s="41" t="str">
        <f>_xlfn.LET(
    _xlpm.MacVal, _xlfn.XLOOKUP($A1164, Output_Mac!$A:$A, Output_Mac!AB:AB, ""),
    _xlpm.MyAuditVal, _xlfn.XLOOKUP($A1164, My_Audit!$A:$A, My_Audit!N:N, ""),
    _xlfn.TEXTJOIN(", ", TRUE, _xlpm.MyAuditVal, _xlpm.MacVal)
)</f>
        <v/>
      </c>
    </row>
    <row r="1165" spans="1:24">
      <c r="A1165" s="40" t="str">
        <f>_xlfn.TEXTJOIN("",TRUE,Input!$B$2,ROW(My_Audit!A1164))</f>
        <v>X1164</v>
      </c>
      <c r="B1165" s="40" t="str">
        <f>_xlfn.TEXTJOIN("-",TRUE,"ITD",Input!$A$2,A1165)</f>
        <v>ITD-X1164</v>
      </c>
      <c r="C1165" s="40" t="str" cm="1">
        <f t="array" ref="C1165">IFERROR(_xlfn.LET(
_xlpm.CSVVal,_xlfn.XLOOKUP($A1165,CSV!$A:$A,CSV!B:B,""),
_xlpm.MacVal,_xlfn.XLOOKUP($A1165,Output_Mac!$A:$A,Output_Mac!B:B,""),
_xlpm.MyAuditVal,_xlfn.XLOOKUP($A1165,My_Audit!$A:$A,My_Audit!B:B,""),
_xlfn.IFS(_xlpm.MyAuditVal&lt;&gt;"",UPPER(_xlpm.MyAuditVal),_xlpm.MacVal&lt;&gt;"",_xlpm.MacVal,_xlpm.CSVVal&lt;&gt;"",_xlpm.CSVVal
)),"")</f>
        <v/>
      </c>
      <c r="D1165" s="40" t="str" cm="1">
        <f t="array" ref="D1165">IFERROR(_xlfn.LET(
_xlpm.CSVVal,_xlfn.XLOOKUP($A1165,CSV!$A:$A,CSV!D:D,""),
_xlpm.MacVal,_xlfn.XLOOKUP($A1165,Output_Mac!$A:$A,Output_Mac!C:C,""),
_xlpm.MyAuditVal,_xlfn.XLOOKUP($A1165,My_Audit!$A:$A,My_Audit!C:C,""),
_xlfn.IFS(_xlpm.MyAuditVal&lt;&gt;"",_xlpm.MyAuditVal,_xlpm.MacVal&lt;&gt;"",_xlpm.MacVal,_xlpm.CSVVal&lt;&gt;"",_xlpm.CSVVal
)),"")</f>
        <v/>
      </c>
      <c r="E1165" s="40" t="str">
        <f>_xlfn.XLOOKUP(A1165,My_Audit!A:A,My_Audit!D:D,"")</f>
        <v/>
      </c>
      <c r="F1165" s="40" t="str" cm="1">
        <f t="array" ref="F1165">IFERROR(_xlfn.LET(
_xlpm.CSVVal,_xlfn.XLOOKUP($A1165,CSV!$A:$A,CSV!F:F,""),
_xlpm.MacVal,_xlfn.XLOOKUP($A1165,Output_Mac!$A:$A,Output_Mac!E:E,""),
_xlpm.MyAuditVal,_xlfn.XLOOKUP($A1165,My_Audit!$A:$A,My_Audit!E:E,""),
_xlfn.IFS(_xlpm.MyAuditVal&lt;&gt;"",_xlpm.MyAuditVal,_xlpm.MacVal&lt;&gt;"",_xlpm.MacVal,_xlpm.CSVVal&lt;&gt;"",_xlpm.CSVVal
)),"")</f>
        <v/>
      </c>
      <c r="G1165" s="40" t="str" cm="1">
        <f t="array" ref="G1165">IFERROR(_xlfn.LET(
_xlpm.CSVVal,_xlfn.XLOOKUP($A1165,CSV!$A:$A,CSV!G:G,""),
_xlpm.MacVal,_xlfn.XLOOKUP($A1165,Output_Mac!$A:$A,Output_Mac!F:F,""),
_xlpm.MyAuditVal,_xlfn.XLOOKUP($A1165,My_Audit!$A:$A,My_Audit!F:F,""),
_xlfn.IFS(_xlpm.MyAuditVal&lt;&gt;"",_xlpm.MyAuditVal,_xlpm.MacVal&lt;&gt;"",_xlpm.MacVal,_xlpm.CSVVal&lt;&gt;"",PROPER(_xlpm.CSVVal)
)),"")</f>
        <v/>
      </c>
      <c r="H1165" s="40" t="str" cm="1">
        <f t="array" ref="H1165">IFERROR(_xlfn.LET(
_xlpm.CSVVal,_xlfn.XLOOKUP($A1165,CSV!$A:$A,CSV!H:H,""),
_xlpm.MacVal,_xlfn.XLOOKUP($A1165,Output_Mac!$A:$A,Output_Mac!H:H,""),
_xlpm.MyAuditVal,_xlfn.XLOOKUP($A1165,My_Audit!$A:$A,My_Audit!G:G,""),
_xlfn.IFS(_xlpm.MyAuditVal&lt;&gt;"",_xlpm.MyAuditVal,_xlpm.MacVal&lt;&gt;"",_xlpm.MacVal,_xlpm.CSVVal&lt;&gt;"",_xlpm.CSVVal
)),"")</f>
        <v/>
      </c>
      <c r="I1165" s="40" t="str">
        <f>_xlfn.XLOOKUP(A1165,Output_Mac!A:A,Output_Mac!I:I,"")</f>
        <v/>
      </c>
      <c r="J1165" s="40" t="str" cm="1">
        <f t="array" ref="J1165">IFERROR(_xlfn.LET(
_xlpm.CSVVal,_xlfn.XLOOKUP($A1165,CSV!$A:$A,CSV!I:I,""),
_xlpm.MacVal,_xlfn.XLOOKUP($A1165,Output_Mac!$A:$A,Output_Mac!J:J,""),
_xlpm.MyAuditVal,_xlfn.XLOOKUP($A1165,My_Audit!$A:$A,My_Audit!I:I,""),
_xlfn.IFS(_xlpm.MyAuditVal&lt;&gt;"",UPPER(_xlpm.MyAuditVal),_xlpm.MacVal&lt;&gt;"",_xlpm.MacVal,_xlpm.CSVVal&lt;&gt;"",_xlpm.CSVVal
)),"")</f>
        <v/>
      </c>
      <c r="K1165" s="40" t="str" cm="1">
        <f t="array" ref="K1165">IFERROR(_xlfn.LET(
_xlpm.CSVVal,_xlfn.XLOOKUP($A1165,CSV!$A:$A,CSV!K:K,""),
_xlpm.MacVal,_xlfn.XLOOKUP($A1165,Output_Mac!$A:$A,Output_Mac!K:K,""),
_xlpm.MyAuditVal,_xlfn.XLOOKUP($A1165,My_Audit!$A:$A,My_Audit!J:J,""),
_xlfn.IFS(_xlpm.MyAuditVal&lt;&gt;"",UPPER(_xlpm.MyAuditVal),_xlpm.MacVal&lt;&gt;"",_xlpm.MacVal,_xlpm.CSVVal&lt;&gt;"",_xlpm.CSVVal
)),"")</f>
        <v/>
      </c>
      <c r="L1165" s="40" t="str" cm="1">
        <f t="array" ref="L1165">IFERROR(_xlfn.LET(
_xlpm.CSVVal,_xlfn.XLOOKUP($A1165,CSV!$A:$A,CSV!P:P,""),
_xlpm.MacVal,_xlfn.XLOOKUP($A1165,Output_Mac!$A:$A,Output_Mac!L:L,""),
_xlpm.MyAuditVal,_xlfn.XLOOKUP($A1165,My_Audit!$A:$A,My_Audit!K:K,""),
_xlfn.IFS(_xlpm.MyAuditVal&lt;&gt;"",UPPER(_xlpm.MyAuditVal),_xlpm.MacVal&lt;&gt;"",_xlpm.MacVal,_xlpm.CSVVal&lt;&gt;"",_xlpm.CSVVal
)),"")</f>
        <v/>
      </c>
      <c r="M1165" s="40" t="str" cm="1">
        <f t="array" ref="M1165">IFERROR(_xlfn.LET(
_xlpm.CSVVal,_xlfn.XLOOKUP($A1165,CSV!$A:$A,CSV!Q:Q,""),
_xlpm.MacVal,_xlfn.XLOOKUP($A1165,Output_Mac!$A:$A,Output_Mac!M:M,""),
_xlpm.MyAuditVal,_xlfn.XLOOKUP($A1165,My_Audit!$A:$A,My_Audit!L:L,""),
_xlfn.IFS(_xlpm.MyAuditVal&lt;&gt;"",UPPER(_xlpm.MyAuditVal),_xlpm.MacVal&lt;&gt;"",_xlpm.MacVal,_xlpm.CSVVal&lt;&gt;"",_xlpm.CSVVal
)),"")</f>
        <v/>
      </c>
      <c r="N1165" s="40"/>
      <c r="O1165" s="40" t="str">
        <f>_xlfn.LET(
    _xlpm.CSVVal, _xlfn.XLOOKUP($A1165, CSV!$A:$A, CSV!AA:AA, ""),
    _xlpm.MacVal, _xlfn.XLOOKUP($A1165, Output_Mac!$A:$A, Output_Mac!S:S, ""),
    _xlpm.MyAuditVal, _xlfn.XLOOKUP($A1165, My_Audit!$A:$A, My_Audit!P:P, ""),
    _xlfn.TEXTJOIN(", ", TRUE, _xlpm.MyAuditVal, _xlpm.MacVal, _xlpm.CSVVal)
)</f>
        <v/>
      </c>
      <c r="P1165" s="40" t="str" cm="1">
        <f t="array" ref="P1165">IFERROR(_xlfn.LET(
_xlpm.CSVVal,_xlfn.XLOOKUP($A1165,CSV!$A:$A,CSV!AB:AB,""),
_xlpm.MacVal,_xlfn.XLOOKUP($A1165,Output_Mac!$A:$A,Output_Mac!T:T,""),
_xlpm.MyAuditVal,_xlfn.XLOOKUP($A1165,My_Audit!$A:$A,My_Audit!Q:Q,""),
_xlfn.IFS(_xlpm.MyAuditVal&lt;&gt;"",UPPER(_xlpm.MyAuditVal),_xlpm.MacVal&lt;&gt;"",_xlpm.MacVal,_xlpm.CSVVal&lt;&gt;"",_xlpm.CSVVal
)),"No")</f>
        <v>No</v>
      </c>
      <c r="Q1165" s="40" t="str" cm="1">
        <f t="array" ref="Q1165">IFERROR(_xlfn.LET(
_xlpm.CSVVal,_xlfn.XLOOKUP($A1165,CSV!$A:$A,CSV!AC:AC,""),
_xlpm.MacVal,_xlfn.XLOOKUP($A1165,Output_Mac!$A:$A,Output_Mac!U:U,""),
_xlpm.MyAuditVal,_xlfn.XLOOKUP($A1165,My_Audit!$A:$A,My_Audit!R:R,""),
_xlfn.IFS(_xlpm.MyAuditVal&lt;&gt;"",UPPER(_xlpm.MyAuditVal),_xlpm.MacVal&lt;&gt;"",_xlpm.MacVal,_xlpm.CSVVal&lt;&gt;"",_xlpm.CSVVal
)),"")</f>
        <v/>
      </c>
      <c r="R1165" s="40"/>
      <c r="S1165" s="40"/>
      <c r="T1165" s="40"/>
      <c r="U1165" s="40"/>
      <c r="V1165" s="40"/>
      <c r="W1165" s="40"/>
      <c r="X1165" s="41" t="str">
        <f>_xlfn.LET(
    _xlpm.MacVal, _xlfn.XLOOKUP($A1165, Output_Mac!$A:$A, Output_Mac!AB:AB, ""),
    _xlpm.MyAuditVal, _xlfn.XLOOKUP($A1165, My_Audit!$A:$A, My_Audit!N:N, ""),
    _xlfn.TEXTJOIN(", ", TRUE, _xlpm.MyAuditVal, _xlpm.MacVal)
)</f>
        <v/>
      </c>
    </row>
    <row r="1166" spans="1:24">
      <c r="A1166" s="40" t="str">
        <f>_xlfn.TEXTJOIN("",TRUE,Input!$B$2,ROW(My_Audit!A1165))</f>
        <v>X1165</v>
      </c>
      <c r="B1166" s="40" t="str">
        <f>_xlfn.TEXTJOIN("-",TRUE,"ITD",Input!$A$2,A1166)</f>
        <v>ITD-X1165</v>
      </c>
      <c r="C1166" s="40" t="str" cm="1">
        <f t="array" ref="C1166">IFERROR(_xlfn.LET(
_xlpm.CSVVal,_xlfn.XLOOKUP($A1166,CSV!$A:$A,CSV!B:B,""),
_xlpm.MacVal,_xlfn.XLOOKUP($A1166,Output_Mac!$A:$A,Output_Mac!B:B,""),
_xlpm.MyAuditVal,_xlfn.XLOOKUP($A1166,My_Audit!$A:$A,My_Audit!B:B,""),
_xlfn.IFS(_xlpm.MyAuditVal&lt;&gt;"",UPPER(_xlpm.MyAuditVal),_xlpm.MacVal&lt;&gt;"",_xlpm.MacVal,_xlpm.CSVVal&lt;&gt;"",_xlpm.CSVVal
)),"")</f>
        <v/>
      </c>
      <c r="D1166" s="40" t="str" cm="1">
        <f t="array" ref="D1166">IFERROR(_xlfn.LET(
_xlpm.CSVVal,_xlfn.XLOOKUP($A1166,CSV!$A:$A,CSV!D:D,""),
_xlpm.MacVal,_xlfn.XLOOKUP($A1166,Output_Mac!$A:$A,Output_Mac!C:C,""),
_xlpm.MyAuditVal,_xlfn.XLOOKUP($A1166,My_Audit!$A:$A,My_Audit!C:C,""),
_xlfn.IFS(_xlpm.MyAuditVal&lt;&gt;"",_xlpm.MyAuditVal,_xlpm.MacVal&lt;&gt;"",_xlpm.MacVal,_xlpm.CSVVal&lt;&gt;"",_xlpm.CSVVal
)),"")</f>
        <v/>
      </c>
      <c r="E1166" s="40" t="str">
        <f>_xlfn.XLOOKUP(A1166,My_Audit!A:A,My_Audit!D:D,"")</f>
        <v/>
      </c>
      <c r="F1166" s="40" t="str" cm="1">
        <f t="array" ref="F1166">IFERROR(_xlfn.LET(
_xlpm.CSVVal,_xlfn.XLOOKUP($A1166,CSV!$A:$A,CSV!F:F,""),
_xlpm.MacVal,_xlfn.XLOOKUP($A1166,Output_Mac!$A:$A,Output_Mac!E:E,""),
_xlpm.MyAuditVal,_xlfn.XLOOKUP($A1166,My_Audit!$A:$A,My_Audit!E:E,""),
_xlfn.IFS(_xlpm.MyAuditVal&lt;&gt;"",_xlpm.MyAuditVal,_xlpm.MacVal&lt;&gt;"",_xlpm.MacVal,_xlpm.CSVVal&lt;&gt;"",_xlpm.CSVVal
)),"")</f>
        <v/>
      </c>
      <c r="G1166" s="40" t="str" cm="1">
        <f t="array" ref="G1166">IFERROR(_xlfn.LET(
_xlpm.CSVVal,_xlfn.XLOOKUP($A1166,CSV!$A:$A,CSV!G:G,""),
_xlpm.MacVal,_xlfn.XLOOKUP($A1166,Output_Mac!$A:$A,Output_Mac!F:F,""),
_xlpm.MyAuditVal,_xlfn.XLOOKUP($A1166,My_Audit!$A:$A,My_Audit!F:F,""),
_xlfn.IFS(_xlpm.MyAuditVal&lt;&gt;"",_xlpm.MyAuditVal,_xlpm.MacVal&lt;&gt;"",_xlpm.MacVal,_xlpm.CSVVal&lt;&gt;"",PROPER(_xlpm.CSVVal)
)),"")</f>
        <v/>
      </c>
      <c r="H1166" s="40" t="str" cm="1">
        <f t="array" ref="H1166">IFERROR(_xlfn.LET(
_xlpm.CSVVal,_xlfn.XLOOKUP($A1166,CSV!$A:$A,CSV!H:H,""),
_xlpm.MacVal,_xlfn.XLOOKUP($A1166,Output_Mac!$A:$A,Output_Mac!H:H,""),
_xlpm.MyAuditVal,_xlfn.XLOOKUP($A1166,My_Audit!$A:$A,My_Audit!G:G,""),
_xlfn.IFS(_xlpm.MyAuditVal&lt;&gt;"",_xlpm.MyAuditVal,_xlpm.MacVal&lt;&gt;"",_xlpm.MacVal,_xlpm.CSVVal&lt;&gt;"",_xlpm.CSVVal
)),"")</f>
        <v/>
      </c>
      <c r="I1166" s="40" t="str">
        <f>_xlfn.XLOOKUP(A1166,Output_Mac!A:A,Output_Mac!I:I,"")</f>
        <v/>
      </c>
      <c r="J1166" s="40" t="str" cm="1">
        <f t="array" ref="J1166">IFERROR(_xlfn.LET(
_xlpm.CSVVal,_xlfn.XLOOKUP($A1166,CSV!$A:$A,CSV!I:I,""),
_xlpm.MacVal,_xlfn.XLOOKUP($A1166,Output_Mac!$A:$A,Output_Mac!J:J,""),
_xlpm.MyAuditVal,_xlfn.XLOOKUP($A1166,My_Audit!$A:$A,My_Audit!I:I,""),
_xlfn.IFS(_xlpm.MyAuditVal&lt;&gt;"",UPPER(_xlpm.MyAuditVal),_xlpm.MacVal&lt;&gt;"",_xlpm.MacVal,_xlpm.CSVVal&lt;&gt;"",_xlpm.CSVVal
)),"")</f>
        <v/>
      </c>
      <c r="K1166" s="40" t="str" cm="1">
        <f t="array" ref="K1166">IFERROR(_xlfn.LET(
_xlpm.CSVVal,_xlfn.XLOOKUP($A1166,CSV!$A:$A,CSV!K:K,""),
_xlpm.MacVal,_xlfn.XLOOKUP($A1166,Output_Mac!$A:$A,Output_Mac!K:K,""),
_xlpm.MyAuditVal,_xlfn.XLOOKUP($A1166,My_Audit!$A:$A,My_Audit!J:J,""),
_xlfn.IFS(_xlpm.MyAuditVal&lt;&gt;"",UPPER(_xlpm.MyAuditVal),_xlpm.MacVal&lt;&gt;"",_xlpm.MacVal,_xlpm.CSVVal&lt;&gt;"",_xlpm.CSVVal
)),"")</f>
        <v/>
      </c>
      <c r="L1166" s="40" t="str" cm="1">
        <f t="array" ref="L1166">IFERROR(_xlfn.LET(
_xlpm.CSVVal,_xlfn.XLOOKUP($A1166,CSV!$A:$A,CSV!P:P,""),
_xlpm.MacVal,_xlfn.XLOOKUP($A1166,Output_Mac!$A:$A,Output_Mac!L:L,""),
_xlpm.MyAuditVal,_xlfn.XLOOKUP($A1166,My_Audit!$A:$A,My_Audit!K:K,""),
_xlfn.IFS(_xlpm.MyAuditVal&lt;&gt;"",UPPER(_xlpm.MyAuditVal),_xlpm.MacVal&lt;&gt;"",_xlpm.MacVal,_xlpm.CSVVal&lt;&gt;"",_xlpm.CSVVal
)),"")</f>
        <v/>
      </c>
      <c r="M1166" s="40" t="str" cm="1">
        <f t="array" ref="M1166">IFERROR(_xlfn.LET(
_xlpm.CSVVal,_xlfn.XLOOKUP($A1166,CSV!$A:$A,CSV!Q:Q,""),
_xlpm.MacVal,_xlfn.XLOOKUP($A1166,Output_Mac!$A:$A,Output_Mac!M:M,""),
_xlpm.MyAuditVal,_xlfn.XLOOKUP($A1166,My_Audit!$A:$A,My_Audit!L:L,""),
_xlfn.IFS(_xlpm.MyAuditVal&lt;&gt;"",UPPER(_xlpm.MyAuditVal),_xlpm.MacVal&lt;&gt;"",_xlpm.MacVal,_xlpm.CSVVal&lt;&gt;"",_xlpm.CSVVal
)),"")</f>
        <v/>
      </c>
      <c r="N1166" s="40"/>
      <c r="O1166" s="40" t="str">
        <f>_xlfn.LET(
    _xlpm.CSVVal, _xlfn.XLOOKUP($A1166, CSV!$A:$A, CSV!AA:AA, ""),
    _xlpm.MacVal, _xlfn.XLOOKUP($A1166, Output_Mac!$A:$A, Output_Mac!S:S, ""),
    _xlpm.MyAuditVal, _xlfn.XLOOKUP($A1166, My_Audit!$A:$A, My_Audit!P:P, ""),
    _xlfn.TEXTJOIN(", ", TRUE, _xlpm.MyAuditVal, _xlpm.MacVal, _xlpm.CSVVal)
)</f>
        <v/>
      </c>
      <c r="P1166" s="40" t="str" cm="1">
        <f t="array" ref="P1166">IFERROR(_xlfn.LET(
_xlpm.CSVVal,_xlfn.XLOOKUP($A1166,CSV!$A:$A,CSV!AB:AB,""),
_xlpm.MacVal,_xlfn.XLOOKUP($A1166,Output_Mac!$A:$A,Output_Mac!T:T,""),
_xlpm.MyAuditVal,_xlfn.XLOOKUP($A1166,My_Audit!$A:$A,My_Audit!Q:Q,""),
_xlfn.IFS(_xlpm.MyAuditVal&lt;&gt;"",UPPER(_xlpm.MyAuditVal),_xlpm.MacVal&lt;&gt;"",_xlpm.MacVal,_xlpm.CSVVal&lt;&gt;"",_xlpm.CSVVal
)),"No")</f>
        <v>No</v>
      </c>
      <c r="Q1166" s="40" t="str" cm="1">
        <f t="array" ref="Q1166">IFERROR(_xlfn.LET(
_xlpm.CSVVal,_xlfn.XLOOKUP($A1166,CSV!$A:$A,CSV!AC:AC,""),
_xlpm.MacVal,_xlfn.XLOOKUP($A1166,Output_Mac!$A:$A,Output_Mac!U:U,""),
_xlpm.MyAuditVal,_xlfn.XLOOKUP($A1166,My_Audit!$A:$A,My_Audit!R:R,""),
_xlfn.IFS(_xlpm.MyAuditVal&lt;&gt;"",UPPER(_xlpm.MyAuditVal),_xlpm.MacVal&lt;&gt;"",_xlpm.MacVal,_xlpm.CSVVal&lt;&gt;"",_xlpm.CSVVal
)),"")</f>
        <v/>
      </c>
      <c r="R1166" s="40"/>
      <c r="S1166" s="40"/>
      <c r="T1166" s="40"/>
      <c r="U1166" s="40"/>
      <c r="V1166" s="40"/>
      <c r="W1166" s="40"/>
      <c r="X1166" s="41" t="str">
        <f>_xlfn.LET(
    _xlpm.MacVal, _xlfn.XLOOKUP($A1166, Output_Mac!$A:$A, Output_Mac!AB:AB, ""),
    _xlpm.MyAuditVal, _xlfn.XLOOKUP($A1166, My_Audit!$A:$A, My_Audit!N:N, ""),
    _xlfn.TEXTJOIN(", ", TRUE, _xlpm.MyAuditVal, _xlpm.MacVal)
)</f>
        <v/>
      </c>
    </row>
    <row r="1167" spans="1:24">
      <c r="A1167" s="40" t="str">
        <f>_xlfn.TEXTJOIN("",TRUE,Input!$B$2,ROW(My_Audit!A1166))</f>
        <v>X1166</v>
      </c>
      <c r="B1167" s="40" t="str">
        <f>_xlfn.TEXTJOIN("-",TRUE,"ITD",Input!$A$2,A1167)</f>
        <v>ITD-X1166</v>
      </c>
      <c r="C1167" s="40" t="str" cm="1">
        <f t="array" ref="C1167">IFERROR(_xlfn.LET(
_xlpm.CSVVal,_xlfn.XLOOKUP($A1167,CSV!$A:$A,CSV!B:B,""),
_xlpm.MacVal,_xlfn.XLOOKUP($A1167,Output_Mac!$A:$A,Output_Mac!B:B,""),
_xlpm.MyAuditVal,_xlfn.XLOOKUP($A1167,My_Audit!$A:$A,My_Audit!B:B,""),
_xlfn.IFS(_xlpm.MyAuditVal&lt;&gt;"",UPPER(_xlpm.MyAuditVal),_xlpm.MacVal&lt;&gt;"",_xlpm.MacVal,_xlpm.CSVVal&lt;&gt;"",_xlpm.CSVVal
)),"")</f>
        <v/>
      </c>
      <c r="D1167" s="40" t="str" cm="1">
        <f t="array" ref="D1167">IFERROR(_xlfn.LET(
_xlpm.CSVVal,_xlfn.XLOOKUP($A1167,CSV!$A:$A,CSV!D:D,""),
_xlpm.MacVal,_xlfn.XLOOKUP($A1167,Output_Mac!$A:$A,Output_Mac!C:C,""),
_xlpm.MyAuditVal,_xlfn.XLOOKUP($A1167,My_Audit!$A:$A,My_Audit!C:C,""),
_xlfn.IFS(_xlpm.MyAuditVal&lt;&gt;"",_xlpm.MyAuditVal,_xlpm.MacVal&lt;&gt;"",_xlpm.MacVal,_xlpm.CSVVal&lt;&gt;"",_xlpm.CSVVal
)),"")</f>
        <v/>
      </c>
      <c r="E1167" s="40" t="str">
        <f>_xlfn.XLOOKUP(A1167,My_Audit!A:A,My_Audit!D:D,"")</f>
        <v/>
      </c>
      <c r="F1167" s="40" t="str" cm="1">
        <f t="array" ref="F1167">IFERROR(_xlfn.LET(
_xlpm.CSVVal,_xlfn.XLOOKUP($A1167,CSV!$A:$A,CSV!F:F,""),
_xlpm.MacVal,_xlfn.XLOOKUP($A1167,Output_Mac!$A:$A,Output_Mac!E:E,""),
_xlpm.MyAuditVal,_xlfn.XLOOKUP($A1167,My_Audit!$A:$A,My_Audit!E:E,""),
_xlfn.IFS(_xlpm.MyAuditVal&lt;&gt;"",_xlpm.MyAuditVal,_xlpm.MacVal&lt;&gt;"",_xlpm.MacVal,_xlpm.CSVVal&lt;&gt;"",_xlpm.CSVVal
)),"")</f>
        <v/>
      </c>
      <c r="G1167" s="40" t="str" cm="1">
        <f t="array" ref="G1167">IFERROR(_xlfn.LET(
_xlpm.CSVVal,_xlfn.XLOOKUP($A1167,CSV!$A:$A,CSV!G:G,""),
_xlpm.MacVal,_xlfn.XLOOKUP($A1167,Output_Mac!$A:$A,Output_Mac!F:F,""),
_xlpm.MyAuditVal,_xlfn.XLOOKUP($A1167,My_Audit!$A:$A,My_Audit!F:F,""),
_xlfn.IFS(_xlpm.MyAuditVal&lt;&gt;"",_xlpm.MyAuditVal,_xlpm.MacVal&lt;&gt;"",_xlpm.MacVal,_xlpm.CSVVal&lt;&gt;"",PROPER(_xlpm.CSVVal)
)),"")</f>
        <v/>
      </c>
      <c r="H1167" s="40" t="str" cm="1">
        <f t="array" ref="H1167">IFERROR(_xlfn.LET(
_xlpm.CSVVal,_xlfn.XLOOKUP($A1167,CSV!$A:$A,CSV!H:H,""),
_xlpm.MacVal,_xlfn.XLOOKUP($A1167,Output_Mac!$A:$A,Output_Mac!H:H,""),
_xlpm.MyAuditVal,_xlfn.XLOOKUP($A1167,My_Audit!$A:$A,My_Audit!G:G,""),
_xlfn.IFS(_xlpm.MyAuditVal&lt;&gt;"",_xlpm.MyAuditVal,_xlpm.MacVal&lt;&gt;"",_xlpm.MacVal,_xlpm.CSVVal&lt;&gt;"",_xlpm.CSVVal
)),"")</f>
        <v/>
      </c>
      <c r="I1167" s="40" t="str">
        <f>_xlfn.XLOOKUP(A1167,Output_Mac!A:A,Output_Mac!I:I,"")</f>
        <v/>
      </c>
      <c r="J1167" s="40" t="str" cm="1">
        <f t="array" ref="J1167">IFERROR(_xlfn.LET(
_xlpm.CSVVal,_xlfn.XLOOKUP($A1167,CSV!$A:$A,CSV!I:I,""),
_xlpm.MacVal,_xlfn.XLOOKUP($A1167,Output_Mac!$A:$A,Output_Mac!J:J,""),
_xlpm.MyAuditVal,_xlfn.XLOOKUP($A1167,My_Audit!$A:$A,My_Audit!I:I,""),
_xlfn.IFS(_xlpm.MyAuditVal&lt;&gt;"",UPPER(_xlpm.MyAuditVal),_xlpm.MacVal&lt;&gt;"",_xlpm.MacVal,_xlpm.CSVVal&lt;&gt;"",_xlpm.CSVVal
)),"")</f>
        <v/>
      </c>
      <c r="K1167" s="40" t="str" cm="1">
        <f t="array" ref="K1167">IFERROR(_xlfn.LET(
_xlpm.CSVVal,_xlfn.XLOOKUP($A1167,CSV!$A:$A,CSV!K:K,""),
_xlpm.MacVal,_xlfn.XLOOKUP($A1167,Output_Mac!$A:$A,Output_Mac!K:K,""),
_xlpm.MyAuditVal,_xlfn.XLOOKUP($A1167,My_Audit!$A:$A,My_Audit!J:J,""),
_xlfn.IFS(_xlpm.MyAuditVal&lt;&gt;"",UPPER(_xlpm.MyAuditVal),_xlpm.MacVal&lt;&gt;"",_xlpm.MacVal,_xlpm.CSVVal&lt;&gt;"",_xlpm.CSVVal
)),"")</f>
        <v/>
      </c>
      <c r="L1167" s="40" t="str" cm="1">
        <f t="array" ref="L1167">IFERROR(_xlfn.LET(
_xlpm.CSVVal,_xlfn.XLOOKUP($A1167,CSV!$A:$A,CSV!P:P,""),
_xlpm.MacVal,_xlfn.XLOOKUP($A1167,Output_Mac!$A:$A,Output_Mac!L:L,""),
_xlpm.MyAuditVal,_xlfn.XLOOKUP($A1167,My_Audit!$A:$A,My_Audit!K:K,""),
_xlfn.IFS(_xlpm.MyAuditVal&lt;&gt;"",UPPER(_xlpm.MyAuditVal),_xlpm.MacVal&lt;&gt;"",_xlpm.MacVal,_xlpm.CSVVal&lt;&gt;"",_xlpm.CSVVal
)),"")</f>
        <v/>
      </c>
      <c r="M1167" s="40" t="str" cm="1">
        <f t="array" ref="M1167">IFERROR(_xlfn.LET(
_xlpm.CSVVal,_xlfn.XLOOKUP($A1167,CSV!$A:$A,CSV!Q:Q,""),
_xlpm.MacVal,_xlfn.XLOOKUP($A1167,Output_Mac!$A:$A,Output_Mac!M:M,""),
_xlpm.MyAuditVal,_xlfn.XLOOKUP($A1167,My_Audit!$A:$A,My_Audit!L:L,""),
_xlfn.IFS(_xlpm.MyAuditVal&lt;&gt;"",UPPER(_xlpm.MyAuditVal),_xlpm.MacVal&lt;&gt;"",_xlpm.MacVal,_xlpm.CSVVal&lt;&gt;"",_xlpm.CSVVal
)),"")</f>
        <v/>
      </c>
      <c r="N1167" s="40"/>
      <c r="O1167" s="40" t="str">
        <f>_xlfn.LET(
    _xlpm.CSVVal, _xlfn.XLOOKUP($A1167, CSV!$A:$A, CSV!AA:AA, ""),
    _xlpm.MacVal, _xlfn.XLOOKUP($A1167, Output_Mac!$A:$A, Output_Mac!S:S, ""),
    _xlpm.MyAuditVal, _xlfn.XLOOKUP($A1167, My_Audit!$A:$A, My_Audit!P:P, ""),
    _xlfn.TEXTJOIN(", ", TRUE, _xlpm.MyAuditVal, _xlpm.MacVal, _xlpm.CSVVal)
)</f>
        <v/>
      </c>
      <c r="P1167" s="40" t="str" cm="1">
        <f t="array" ref="P1167">IFERROR(_xlfn.LET(
_xlpm.CSVVal,_xlfn.XLOOKUP($A1167,CSV!$A:$A,CSV!AB:AB,""),
_xlpm.MacVal,_xlfn.XLOOKUP($A1167,Output_Mac!$A:$A,Output_Mac!T:T,""),
_xlpm.MyAuditVal,_xlfn.XLOOKUP($A1167,My_Audit!$A:$A,My_Audit!Q:Q,""),
_xlfn.IFS(_xlpm.MyAuditVal&lt;&gt;"",UPPER(_xlpm.MyAuditVal),_xlpm.MacVal&lt;&gt;"",_xlpm.MacVal,_xlpm.CSVVal&lt;&gt;"",_xlpm.CSVVal
)),"No")</f>
        <v>No</v>
      </c>
      <c r="Q1167" s="40" t="str" cm="1">
        <f t="array" ref="Q1167">IFERROR(_xlfn.LET(
_xlpm.CSVVal,_xlfn.XLOOKUP($A1167,CSV!$A:$A,CSV!AC:AC,""),
_xlpm.MacVal,_xlfn.XLOOKUP($A1167,Output_Mac!$A:$A,Output_Mac!U:U,""),
_xlpm.MyAuditVal,_xlfn.XLOOKUP($A1167,My_Audit!$A:$A,My_Audit!R:R,""),
_xlfn.IFS(_xlpm.MyAuditVal&lt;&gt;"",UPPER(_xlpm.MyAuditVal),_xlpm.MacVal&lt;&gt;"",_xlpm.MacVal,_xlpm.CSVVal&lt;&gt;"",_xlpm.CSVVal
)),"")</f>
        <v/>
      </c>
      <c r="R1167" s="40"/>
      <c r="S1167" s="40"/>
      <c r="T1167" s="40"/>
      <c r="U1167" s="40"/>
      <c r="V1167" s="40"/>
      <c r="W1167" s="40"/>
      <c r="X1167" s="41" t="str">
        <f>_xlfn.LET(
    _xlpm.MacVal, _xlfn.XLOOKUP($A1167, Output_Mac!$A:$A, Output_Mac!AB:AB, ""),
    _xlpm.MyAuditVal, _xlfn.XLOOKUP($A1167, My_Audit!$A:$A, My_Audit!N:N, ""),
    _xlfn.TEXTJOIN(", ", TRUE, _xlpm.MyAuditVal, _xlpm.MacVal)
)</f>
        <v/>
      </c>
    </row>
    <row r="1168" spans="1:24">
      <c r="A1168" s="40" t="str">
        <f>_xlfn.TEXTJOIN("",TRUE,Input!$B$2,ROW(My_Audit!A1167))</f>
        <v>X1167</v>
      </c>
      <c r="B1168" s="40" t="str">
        <f>_xlfn.TEXTJOIN("-",TRUE,"ITD",Input!$A$2,A1168)</f>
        <v>ITD-X1167</v>
      </c>
      <c r="C1168" s="40" t="str" cm="1">
        <f t="array" ref="C1168">IFERROR(_xlfn.LET(
_xlpm.CSVVal,_xlfn.XLOOKUP($A1168,CSV!$A:$A,CSV!B:B,""),
_xlpm.MacVal,_xlfn.XLOOKUP($A1168,Output_Mac!$A:$A,Output_Mac!B:B,""),
_xlpm.MyAuditVal,_xlfn.XLOOKUP($A1168,My_Audit!$A:$A,My_Audit!B:B,""),
_xlfn.IFS(_xlpm.MyAuditVal&lt;&gt;"",UPPER(_xlpm.MyAuditVal),_xlpm.MacVal&lt;&gt;"",_xlpm.MacVal,_xlpm.CSVVal&lt;&gt;"",_xlpm.CSVVal
)),"")</f>
        <v/>
      </c>
      <c r="D1168" s="40" t="str" cm="1">
        <f t="array" ref="D1168">IFERROR(_xlfn.LET(
_xlpm.CSVVal,_xlfn.XLOOKUP($A1168,CSV!$A:$A,CSV!D:D,""),
_xlpm.MacVal,_xlfn.XLOOKUP($A1168,Output_Mac!$A:$A,Output_Mac!C:C,""),
_xlpm.MyAuditVal,_xlfn.XLOOKUP($A1168,My_Audit!$A:$A,My_Audit!C:C,""),
_xlfn.IFS(_xlpm.MyAuditVal&lt;&gt;"",_xlpm.MyAuditVal,_xlpm.MacVal&lt;&gt;"",_xlpm.MacVal,_xlpm.CSVVal&lt;&gt;"",_xlpm.CSVVal
)),"")</f>
        <v/>
      </c>
      <c r="E1168" s="40" t="str">
        <f>_xlfn.XLOOKUP(A1168,My_Audit!A:A,My_Audit!D:D,"")</f>
        <v/>
      </c>
      <c r="F1168" s="40" t="str" cm="1">
        <f t="array" ref="F1168">IFERROR(_xlfn.LET(
_xlpm.CSVVal,_xlfn.XLOOKUP($A1168,CSV!$A:$A,CSV!F:F,""),
_xlpm.MacVal,_xlfn.XLOOKUP($A1168,Output_Mac!$A:$A,Output_Mac!E:E,""),
_xlpm.MyAuditVal,_xlfn.XLOOKUP($A1168,My_Audit!$A:$A,My_Audit!E:E,""),
_xlfn.IFS(_xlpm.MyAuditVal&lt;&gt;"",_xlpm.MyAuditVal,_xlpm.MacVal&lt;&gt;"",_xlpm.MacVal,_xlpm.CSVVal&lt;&gt;"",_xlpm.CSVVal
)),"")</f>
        <v/>
      </c>
      <c r="G1168" s="40" t="str" cm="1">
        <f t="array" ref="G1168">IFERROR(_xlfn.LET(
_xlpm.CSVVal,_xlfn.XLOOKUP($A1168,CSV!$A:$A,CSV!G:G,""),
_xlpm.MacVal,_xlfn.XLOOKUP($A1168,Output_Mac!$A:$A,Output_Mac!F:F,""),
_xlpm.MyAuditVal,_xlfn.XLOOKUP($A1168,My_Audit!$A:$A,My_Audit!F:F,""),
_xlfn.IFS(_xlpm.MyAuditVal&lt;&gt;"",_xlpm.MyAuditVal,_xlpm.MacVal&lt;&gt;"",_xlpm.MacVal,_xlpm.CSVVal&lt;&gt;"",PROPER(_xlpm.CSVVal)
)),"")</f>
        <v/>
      </c>
      <c r="H1168" s="40" t="str" cm="1">
        <f t="array" ref="H1168">IFERROR(_xlfn.LET(
_xlpm.CSVVal,_xlfn.XLOOKUP($A1168,CSV!$A:$A,CSV!H:H,""),
_xlpm.MacVal,_xlfn.XLOOKUP($A1168,Output_Mac!$A:$A,Output_Mac!H:H,""),
_xlpm.MyAuditVal,_xlfn.XLOOKUP($A1168,My_Audit!$A:$A,My_Audit!G:G,""),
_xlfn.IFS(_xlpm.MyAuditVal&lt;&gt;"",_xlpm.MyAuditVal,_xlpm.MacVal&lt;&gt;"",_xlpm.MacVal,_xlpm.CSVVal&lt;&gt;"",_xlpm.CSVVal
)),"")</f>
        <v/>
      </c>
      <c r="I1168" s="40" t="str">
        <f>_xlfn.XLOOKUP(A1168,Output_Mac!A:A,Output_Mac!I:I,"")</f>
        <v/>
      </c>
      <c r="J1168" s="40" t="str" cm="1">
        <f t="array" ref="J1168">IFERROR(_xlfn.LET(
_xlpm.CSVVal,_xlfn.XLOOKUP($A1168,CSV!$A:$A,CSV!I:I,""),
_xlpm.MacVal,_xlfn.XLOOKUP($A1168,Output_Mac!$A:$A,Output_Mac!J:J,""),
_xlpm.MyAuditVal,_xlfn.XLOOKUP($A1168,My_Audit!$A:$A,My_Audit!I:I,""),
_xlfn.IFS(_xlpm.MyAuditVal&lt;&gt;"",UPPER(_xlpm.MyAuditVal),_xlpm.MacVal&lt;&gt;"",_xlpm.MacVal,_xlpm.CSVVal&lt;&gt;"",_xlpm.CSVVal
)),"")</f>
        <v/>
      </c>
      <c r="K1168" s="40" t="str" cm="1">
        <f t="array" ref="K1168">IFERROR(_xlfn.LET(
_xlpm.CSVVal,_xlfn.XLOOKUP($A1168,CSV!$A:$A,CSV!K:K,""),
_xlpm.MacVal,_xlfn.XLOOKUP($A1168,Output_Mac!$A:$A,Output_Mac!K:K,""),
_xlpm.MyAuditVal,_xlfn.XLOOKUP($A1168,My_Audit!$A:$A,My_Audit!J:J,""),
_xlfn.IFS(_xlpm.MyAuditVal&lt;&gt;"",UPPER(_xlpm.MyAuditVal),_xlpm.MacVal&lt;&gt;"",_xlpm.MacVal,_xlpm.CSVVal&lt;&gt;"",_xlpm.CSVVal
)),"")</f>
        <v/>
      </c>
      <c r="L1168" s="40" t="str" cm="1">
        <f t="array" ref="L1168">IFERROR(_xlfn.LET(
_xlpm.CSVVal,_xlfn.XLOOKUP($A1168,CSV!$A:$A,CSV!P:P,""),
_xlpm.MacVal,_xlfn.XLOOKUP($A1168,Output_Mac!$A:$A,Output_Mac!L:L,""),
_xlpm.MyAuditVal,_xlfn.XLOOKUP($A1168,My_Audit!$A:$A,My_Audit!K:K,""),
_xlfn.IFS(_xlpm.MyAuditVal&lt;&gt;"",UPPER(_xlpm.MyAuditVal),_xlpm.MacVal&lt;&gt;"",_xlpm.MacVal,_xlpm.CSVVal&lt;&gt;"",_xlpm.CSVVal
)),"")</f>
        <v/>
      </c>
      <c r="M1168" s="40" t="str" cm="1">
        <f t="array" ref="M1168">IFERROR(_xlfn.LET(
_xlpm.CSVVal,_xlfn.XLOOKUP($A1168,CSV!$A:$A,CSV!Q:Q,""),
_xlpm.MacVal,_xlfn.XLOOKUP($A1168,Output_Mac!$A:$A,Output_Mac!M:M,""),
_xlpm.MyAuditVal,_xlfn.XLOOKUP($A1168,My_Audit!$A:$A,My_Audit!L:L,""),
_xlfn.IFS(_xlpm.MyAuditVal&lt;&gt;"",UPPER(_xlpm.MyAuditVal),_xlpm.MacVal&lt;&gt;"",_xlpm.MacVal,_xlpm.CSVVal&lt;&gt;"",_xlpm.CSVVal
)),"")</f>
        <v/>
      </c>
      <c r="N1168" s="40"/>
      <c r="O1168" s="40" t="str">
        <f>_xlfn.LET(
    _xlpm.CSVVal, _xlfn.XLOOKUP($A1168, CSV!$A:$A, CSV!AA:AA, ""),
    _xlpm.MacVal, _xlfn.XLOOKUP($A1168, Output_Mac!$A:$A, Output_Mac!S:S, ""),
    _xlpm.MyAuditVal, _xlfn.XLOOKUP($A1168, My_Audit!$A:$A, My_Audit!P:P, ""),
    _xlfn.TEXTJOIN(", ", TRUE, _xlpm.MyAuditVal, _xlpm.MacVal, _xlpm.CSVVal)
)</f>
        <v/>
      </c>
      <c r="P1168" s="40" t="str" cm="1">
        <f t="array" ref="P1168">IFERROR(_xlfn.LET(
_xlpm.CSVVal,_xlfn.XLOOKUP($A1168,CSV!$A:$A,CSV!AB:AB,""),
_xlpm.MacVal,_xlfn.XLOOKUP($A1168,Output_Mac!$A:$A,Output_Mac!T:T,""),
_xlpm.MyAuditVal,_xlfn.XLOOKUP($A1168,My_Audit!$A:$A,My_Audit!Q:Q,""),
_xlfn.IFS(_xlpm.MyAuditVal&lt;&gt;"",UPPER(_xlpm.MyAuditVal),_xlpm.MacVal&lt;&gt;"",_xlpm.MacVal,_xlpm.CSVVal&lt;&gt;"",_xlpm.CSVVal
)),"No")</f>
        <v>No</v>
      </c>
      <c r="Q1168" s="40" t="str" cm="1">
        <f t="array" ref="Q1168">IFERROR(_xlfn.LET(
_xlpm.CSVVal,_xlfn.XLOOKUP($A1168,CSV!$A:$A,CSV!AC:AC,""),
_xlpm.MacVal,_xlfn.XLOOKUP($A1168,Output_Mac!$A:$A,Output_Mac!U:U,""),
_xlpm.MyAuditVal,_xlfn.XLOOKUP($A1168,My_Audit!$A:$A,My_Audit!R:R,""),
_xlfn.IFS(_xlpm.MyAuditVal&lt;&gt;"",UPPER(_xlpm.MyAuditVal),_xlpm.MacVal&lt;&gt;"",_xlpm.MacVal,_xlpm.CSVVal&lt;&gt;"",_xlpm.CSVVal
)),"")</f>
        <v/>
      </c>
      <c r="R1168" s="40"/>
      <c r="S1168" s="40"/>
      <c r="T1168" s="40"/>
      <c r="U1168" s="40"/>
      <c r="V1168" s="40"/>
      <c r="W1168" s="40"/>
      <c r="X1168" s="41" t="str">
        <f>_xlfn.LET(
    _xlpm.MacVal, _xlfn.XLOOKUP($A1168, Output_Mac!$A:$A, Output_Mac!AB:AB, ""),
    _xlpm.MyAuditVal, _xlfn.XLOOKUP($A1168, My_Audit!$A:$A, My_Audit!N:N, ""),
    _xlfn.TEXTJOIN(", ", TRUE, _xlpm.MyAuditVal, _xlpm.MacVal)
)</f>
        <v/>
      </c>
    </row>
    <row r="1169" spans="1:24">
      <c r="A1169" s="40" t="str">
        <f>_xlfn.TEXTJOIN("",TRUE,Input!$B$2,ROW(My_Audit!A1168))</f>
        <v>X1168</v>
      </c>
      <c r="B1169" s="40" t="str">
        <f>_xlfn.TEXTJOIN("-",TRUE,"ITD",Input!$A$2,A1169)</f>
        <v>ITD-X1168</v>
      </c>
      <c r="C1169" s="40" t="str" cm="1">
        <f t="array" ref="C1169">IFERROR(_xlfn.LET(
_xlpm.CSVVal,_xlfn.XLOOKUP($A1169,CSV!$A:$A,CSV!B:B,""),
_xlpm.MacVal,_xlfn.XLOOKUP($A1169,Output_Mac!$A:$A,Output_Mac!B:B,""),
_xlpm.MyAuditVal,_xlfn.XLOOKUP($A1169,My_Audit!$A:$A,My_Audit!B:B,""),
_xlfn.IFS(_xlpm.MyAuditVal&lt;&gt;"",UPPER(_xlpm.MyAuditVal),_xlpm.MacVal&lt;&gt;"",_xlpm.MacVal,_xlpm.CSVVal&lt;&gt;"",_xlpm.CSVVal
)),"")</f>
        <v/>
      </c>
      <c r="D1169" s="40" t="str" cm="1">
        <f t="array" ref="D1169">IFERROR(_xlfn.LET(
_xlpm.CSVVal,_xlfn.XLOOKUP($A1169,CSV!$A:$A,CSV!D:D,""),
_xlpm.MacVal,_xlfn.XLOOKUP($A1169,Output_Mac!$A:$A,Output_Mac!C:C,""),
_xlpm.MyAuditVal,_xlfn.XLOOKUP($A1169,My_Audit!$A:$A,My_Audit!C:C,""),
_xlfn.IFS(_xlpm.MyAuditVal&lt;&gt;"",_xlpm.MyAuditVal,_xlpm.MacVal&lt;&gt;"",_xlpm.MacVal,_xlpm.CSVVal&lt;&gt;"",_xlpm.CSVVal
)),"")</f>
        <v/>
      </c>
      <c r="E1169" s="40" t="str">
        <f>_xlfn.XLOOKUP(A1169,My_Audit!A:A,My_Audit!D:D,"")</f>
        <v/>
      </c>
      <c r="F1169" s="40" t="str" cm="1">
        <f t="array" ref="F1169">IFERROR(_xlfn.LET(
_xlpm.CSVVal,_xlfn.XLOOKUP($A1169,CSV!$A:$A,CSV!F:F,""),
_xlpm.MacVal,_xlfn.XLOOKUP($A1169,Output_Mac!$A:$A,Output_Mac!E:E,""),
_xlpm.MyAuditVal,_xlfn.XLOOKUP($A1169,My_Audit!$A:$A,My_Audit!E:E,""),
_xlfn.IFS(_xlpm.MyAuditVal&lt;&gt;"",_xlpm.MyAuditVal,_xlpm.MacVal&lt;&gt;"",_xlpm.MacVal,_xlpm.CSVVal&lt;&gt;"",_xlpm.CSVVal
)),"")</f>
        <v/>
      </c>
      <c r="G1169" s="40" t="str" cm="1">
        <f t="array" ref="G1169">IFERROR(_xlfn.LET(
_xlpm.CSVVal,_xlfn.XLOOKUP($A1169,CSV!$A:$A,CSV!G:G,""),
_xlpm.MacVal,_xlfn.XLOOKUP($A1169,Output_Mac!$A:$A,Output_Mac!F:F,""),
_xlpm.MyAuditVal,_xlfn.XLOOKUP($A1169,My_Audit!$A:$A,My_Audit!F:F,""),
_xlfn.IFS(_xlpm.MyAuditVal&lt;&gt;"",_xlpm.MyAuditVal,_xlpm.MacVal&lt;&gt;"",_xlpm.MacVal,_xlpm.CSVVal&lt;&gt;"",PROPER(_xlpm.CSVVal)
)),"")</f>
        <v/>
      </c>
      <c r="H1169" s="40" t="str" cm="1">
        <f t="array" ref="H1169">IFERROR(_xlfn.LET(
_xlpm.CSVVal,_xlfn.XLOOKUP($A1169,CSV!$A:$A,CSV!H:H,""),
_xlpm.MacVal,_xlfn.XLOOKUP($A1169,Output_Mac!$A:$A,Output_Mac!H:H,""),
_xlpm.MyAuditVal,_xlfn.XLOOKUP($A1169,My_Audit!$A:$A,My_Audit!G:G,""),
_xlfn.IFS(_xlpm.MyAuditVal&lt;&gt;"",_xlpm.MyAuditVal,_xlpm.MacVal&lt;&gt;"",_xlpm.MacVal,_xlpm.CSVVal&lt;&gt;"",_xlpm.CSVVal
)),"")</f>
        <v/>
      </c>
      <c r="I1169" s="40" t="str">
        <f>_xlfn.XLOOKUP(A1169,Output_Mac!A:A,Output_Mac!I:I,"")</f>
        <v/>
      </c>
      <c r="J1169" s="40" t="str" cm="1">
        <f t="array" ref="J1169">IFERROR(_xlfn.LET(
_xlpm.CSVVal,_xlfn.XLOOKUP($A1169,CSV!$A:$A,CSV!I:I,""),
_xlpm.MacVal,_xlfn.XLOOKUP($A1169,Output_Mac!$A:$A,Output_Mac!J:J,""),
_xlpm.MyAuditVal,_xlfn.XLOOKUP($A1169,My_Audit!$A:$A,My_Audit!I:I,""),
_xlfn.IFS(_xlpm.MyAuditVal&lt;&gt;"",UPPER(_xlpm.MyAuditVal),_xlpm.MacVal&lt;&gt;"",_xlpm.MacVal,_xlpm.CSVVal&lt;&gt;"",_xlpm.CSVVal
)),"")</f>
        <v/>
      </c>
      <c r="K1169" s="40" t="str" cm="1">
        <f t="array" ref="K1169">IFERROR(_xlfn.LET(
_xlpm.CSVVal,_xlfn.XLOOKUP($A1169,CSV!$A:$A,CSV!K:K,""),
_xlpm.MacVal,_xlfn.XLOOKUP($A1169,Output_Mac!$A:$A,Output_Mac!K:K,""),
_xlpm.MyAuditVal,_xlfn.XLOOKUP($A1169,My_Audit!$A:$A,My_Audit!J:J,""),
_xlfn.IFS(_xlpm.MyAuditVal&lt;&gt;"",UPPER(_xlpm.MyAuditVal),_xlpm.MacVal&lt;&gt;"",_xlpm.MacVal,_xlpm.CSVVal&lt;&gt;"",_xlpm.CSVVal
)),"")</f>
        <v/>
      </c>
      <c r="L1169" s="40" t="str" cm="1">
        <f t="array" ref="L1169">IFERROR(_xlfn.LET(
_xlpm.CSVVal,_xlfn.XLOOKUP($A1169,CSV!$A:$A,CSV!P:P,""),
_xlpm.MacVal,_xlfn.XLOOKUP($A1169,Output_Mac!$A:$A,Output_Mac!L:L,""),
_xlpm.MyAuditVal,_xlfn.XLOOKUP($A1169,My_Audit!$A:$A,My_Audit!K:K,""),
_xlfn.IFS(_xlpm.MyAuditVal&lt;&gt;"",UPPER(_xlpm.MyAuditVal),_xlpm.MacVal&lt;&gt;"",_xlpm.MacVal,_xlpm.CSVVal&lt;&gt;"",_xlpm.CSVVal
)),"")</f>
        <v/>
      </c>
      <c r="M1169" s="40" t="str" cm="1">
        <f t="array" ref="M1169">IFERROR(_xlfn.LET(
_xlpm.CSVVal,_xlfn.XLOOKUP($A1169,CSV!$A:$A,CSV!Q:Q,""),
_xlpm.MacVal,_xlfn.XLOOKUP($A1169,Output_Mac!$A:$A,Output_Mac!M:M,""),
_xlpm.MyAuditVal,_xlfn.XLOOKUP($A1169,My_Audit!$A:$A,My_Audit!L:L,""),
_xlfn.IFS(_xlpm.MyAuditVal&lt;&gt;"",UPPER(_xlpm.MyAuditVal),_xlpm.MacVal&lt;&gt;"",_xlpm.MacVal,_xlpm.CSVVal&lt;&gt;"",_xlpm.CSVVal
)),"")</f>
        <v/>
      </c>
      <c r="N1169" s="40"/>
      <c r="O1169" s="40" t="str">
        <f>_xlfn.LET(
    _xlpm.CSVVal, _xlfn.XLOOKUP($A1169, CSV!$A:$A, CSV!AA:AA, ""),
    _xlpm.MacVal, _xlfn.XLOOKUP($A1169, Output_Mac!$A:$A, Output_Mac!S:S, ""),
    _xlpm.MyAuditVal, _xlfn.XLOOKUP($A1169, My_Audit!$A:$A, My_Audit!P:P, ""),
    _xlfn.TEXTJOIN(", ", TRUE, _xlpm.MyAuditVal, _xlpm.MacVal, _xlpm.CSVVal)
)</f>
        <v/>
      </c>
      <c r="P1169" s="40" t="str" cm="1">
        <f t="array" ref="P1169">IFERROR(_xlfn.LET(
_xlpm.CSVVal,_xlfn.XLOOKUP($A1169,CSV!$A:$A,CSV!AB:AB,""),
_xlpm.MacVal,_xlfn.XLOOKUP($A1169,Output_Mac!$A:$A,Output_Mac!T:T,""),
_xlpm.MyAuditVal,_xlfn.XLOOKUP($A1169,My_Audit!$A:$A,My_Audit!Q:Q,""),
_xlfn.IFS(_xlpm.MyAuditVal&lt;&gt;"",UPPER(_xlpm.MyAuditVal),_xlpm.MacVal&lt;&gt;"",_xlpm.MacVal,_xlpm.CSVVal&lt;&gt;"",_xlpm.CSVVal
)),"No")</f>
        <v>No</v>
      </c>
      <c r="Q1169" s="40" t="str" cm="1">
        <f t="array" ref="Q1169">IFERROR(_xlfn.LET(
_xlpm.CSVVal,_xlfn.XLOOKUP($A1169,CSV!$A:$A,CSV!AC:AC,""),
_xlpm.MacVal,_xlfn.XLOOKUP($A1169,Output_Mac!$A:$A,Output_Mac!U:U,""),
_xlpm.MyAuditVal,_xlfn.XLOOKUP($A1169,My_Audit!$A:$A,My_Audit!R:R,""),
_xlfn.IFS(_xlpm.MyAuditVal&lt;&gt;"",UPPER(_xlpm.MyAuditVal),_xlpm.MacVal&lt;&gt;"",_xlpm.MacVal,_xlpm.CSVVal&lt;&gt;"",_xlpm.CSVVal
)),"")</f>
        <v/>
      </c>
      <c r="R1169" s="40"/>
      <c r="S1169" s="40"/>
      <c r="T1169" s="40"/>
      <c r="U1169" s="40"/>
      <c r="V1169" s="40"/>
      <c r="W1169" s="40"/>
      <c r="X1169" s="41" t="str">
        <f>_xlfn.LET(
    _xlpm.MacVal, _xlfn.XLOOKUP($A1169, Output_Mac!$A:$A, Output_Mac!AB:AB, ""),
    _xlpm.MyAuditVal, _xlfn.XLOOKUP($A1169, My_Audit!$A:$A, My_Audit!N:N, ""),
    _xlfn.TEXTJOIN(", ", TRUE, _xlpm.MyAuditVal, _xlpm.MacVal)
)</f>
        <v/>
      </c>
    </row>
    <row r="1170" spans="1:24">
      <c r="A1170" s="40" t="str">
        <f>_xlfn.TEXTJOIN("",TRUE,Input!$B$2,ROW(My_Audit!A1169))</f>
        <v>X1169</v>
      </c>
      <c r="B1170" s="40" t="str">
        <f>_xlfn.TEXTJOIN("-",TRUE,"ITD",Input!$A$2,A1170)</f>
        <v>ITD-X1169</v>
      </c>
      <c r="C1170" s="40" t="str" cm="1">
        <f t="array" ref="C1170">IFERROR(_xlfn.LET(
_xlpm.CSVVal,_xlfn.XLOOKUP($A1170,CSV!$A:$A,CSV!B:B,""),
_xlpm.MacVal,_xlfn.XLOOKUP($A1170,Output_Mac!$A:$A,Output_Mac!B:B,""),
_xlpm.MyAuditVal,_xlfn.XLOOKUP($A1170,My_Audit!$A:$A,My_Audit!B:B,""),
_xlfn.IFS(_xlpm.MyAuditVal&lt;&gt;"",UPPER(_xlpm.MyAuditVal),_xlpm.MacVal&lt;&gt;"",_xlpm.MacVal,_xlpm.CSVVal&lt;&gt;"",_xlpm.CSVVal
)),"")</f>
        <v/>
      </c>
      <c r="D1170" s="40" t="str" cm="1">
        <f t="array" ref="D1170">IFERROR(_xlfn.LET(
_xlpm.CSVVal,_xlfn.XLOOKUP($A1170,CSV!$A:$A,CSV!D:D,""),
_xlpm.MacVal,_xlfn.XLOOKUP($A1170,Output_Mac!$A:$A,Output_Mac!C:C,""),
_xlpm.MyAuditVal,_xlfn.XLOOKUP($A1170,My_Audit!$A:$A,My_Audit!C:C,""),
_xlfn.IFS(_xlpm.MyAuditVal&lt;&gt;"",_xlpm.MyAuditVal,_xlpm.MacVal&lt;&gt;"",_xlpm.MacVal,_xlpm.CSVVal&lt;&gt;"",_xlpm.CSVVal
)),"")</f>
        <v/>
      </c>
      <c r="E1170" s="40" t="str">
        <f>_xlfn.XLOOKUP(A1170,My_Audit!A:A,My_Audit!D:D,"")</f>
        <v/>
      </c>
      <c r="F1170" s="40" t="str" cm="1">
        <f t="array" ref="F1170">IFERROR(_xlfn.LET(
_xlpm.CSVVal,_xlfn.XLOOKUP($A1170,CSV!$A:$A,CSV!F:F,""),
_xlpm.MacVal,_xlfn.XLOOKUP($A1170,Output_Mac!$A:$A,Output_Mac!E:E,""),
_xlpm.MyAuditVal,_xlfn.XLOOKUP($A1170,My_Audit!$A:$A,My_Audit!E:E,""),
_xlfn.IFS(_xlpm.MyAuditVal&lt;&gt;"",_xlpm.MyAuditVal,_xlpm.MacVal&lt;&gt;"",_xlpm.MacVal,_xlpm.CSVVal&lt;&gt;"",_xlpm.CSVVal
)),"")</f>
        <v/>
      </c>
      <c r="G1170" s="40" t="str" cm="1">
        <f t="array" ref="G1170">IFERROR(_xlfn.LET(
_xlpm.CSVVal,_xlfn.XLOOKUP($A1170,CSV!$A:$A,CSV!G:G,""),
_xlpm.MacVal,_xlfn.XLOOKUP($A1170,Output_Mac!$A:$A,Output_Mac!F:F,""),
_xlpm.MyAuditVal,_xlfn.XLOOKUP($A1170,My_Audit!$A:$A,My_Audit!F:F,""),
_xlfn.IFS(_xlpm.MyAuditVal&lt;&gt;"",_xlpm.MyAuditVal,_xlpm.MacVal&lt;&gt;"",_xlpm.MacVal,_xlpm.CSVVal&lt;&gt;"",PROPER(_xlpm.CSVVal)
)),"")</f>
        <v/>
      </c>
      <c r="H1170" s="40" t="str" cm="1">
        <f t="array" ref="H1170">IFERROR(_xlfn.LET(
_xlpm.CSVVal,_xlfn.XLOOKUP($A1170,CSV!$A:$A,CSV!H:H,""),
_xlpm.MacVal,_xlfn.XLOOKUP($A1170,Output_Mac!$A:$A,Output_Mac!H:H,""),
_xlpm.MyAuditVal,_xlfn.XLOOKUP($A1170,My_Audit!$A:$A,My_Audit!G:G,""),
_xlfn.IFS(_xlpm.MyAuditVal&lt;&gt;"",_xlpm.MyAuditVal,_xlpm.MacVal&lt;&gt;"",_xlpm.MacVal,_xlpm.CSVVal&lt;&gt;"",_xlpm.CSVVal
)),"")</f>
        <v/>
      </c>
      <c r="I1170" s="40" t="str">
        <f>_xlfn.XLOOKUP(A1170,Output_Mac!A:A,Output_Mac!I:I,"")</f>
        <v/>
      </c>
      <c r="J1170" s="40" t="str" cm="1">
        <f t="array" ref="J1170">IFERROR(_xlfn.LET(
_xlpm.CSVVal,_xlfn.XLOOKUP($A1170,CSV!$A:$A,CSV!I:I,""),
_xlpm.MacVal,_xlfn.XLOOKUP($A1170,Output_Mac!$A:$A,Output_Mac!J:J,""),
_xlpm.MyAuditVal,_xlfn.XLOOKUP($A1170,My_Audit!$A:$A,My_Audit!I:I,""),
_xlfn.IFS(_xlpm.MyAuditVal&lt;&gt;"",UPPER(_xlpm.MyAuditVal),_xlpm.MacVal&lt;&gt;"",_xlpm.MacVal,_xlpm.CSVVal&lt;&gt;"",_xlpm.CSVVal
)),"")</f>
        <v/>
      </c>
      <c r="K1170" s="40" t="str" cm="1">
        <f t="array" ref="K1170">IFERROR(_xlfn.LET(
_xlpm.CSVVal,_xlfn.XLOOKUP($A1170,CSV!$A:$A,CSV!K:K,""),
_xlpm.MacVal,_xlfn.XLOOKUP($A1170,Output_Mac!$A:$A,Output_Mac!K:K,""),
_xlpm.MyAuditVal,_xlfn.XLOOKUP($A1170,My_Audit!$A:$A,My_Audit!J:J,""),
_xlfn.IFS(_xlpm.MyAuditVal&lt;&gt;"",UPPER(_xlpm.MyAuditVal),_xlpm.MacVal&lt;&gt;"",_xlpm.MacVal,_xlpm.CSVVal&lt;&gt;"",_xlpm.CSVVal
)),"")</f>
        <v/>
      </c>
      <c r="L1170" s="40" t="str" cm="1">
        <f t="array" ref="L1170">IFERROR(_xlfn.LET(
_xlpm.CSVVal,_xlfn.XLOOKUP($A1170,CSV!$A:$A,CSV!P:P,""),
_xlpm.MacVal,_xlfn.XLOOKUP($A1170,Output_Mac!$A:$A,Output_Mac!L:L,""),
_xlpm.MyAuditVal,_xlfn.XLOOKUP($A1170,My_Audit!$A:$A,My_Audit!K:K,""),
_xlfn.IFS(_xlpm.MyAuditVal&lt;&gt;"",UPPER(_xlpm.MyAuditVal),_xlpm.MacVal&lt;&gt;"",_xlpm.MacVal,_xlpm.CSVVal&lt;&gt;"",_xlpm.CSVVal
)),"")</f>
        <v/>
      </c>
      <c r="M1170" s="40" t="str" cm="1">
        <f t="array" ref="M1170">IFERROR(_xlfn.LET(
_xlpm.CSVVal,_xlfn.XLOOKUP($A1170,CSV!$A:$A,CSV!Q:Q,""),
_xlpm.MacVal,_xlfn.XLOOKUP($A1170,Output_Mac!$A:$A,Output_Mac!M:M,""),
_xlpm.MyAuditVal,_xlfn.XLOOKUP($A1170,My_Audit!$A:$A,My_Audit!L:L,""),
_xlfn.IFS(_xlpm.MyAuditVal&lt;&gt;"",UPPER(_xlpm.MyAuditVal),_xlpm.MacVal&lt;&gt;"",_xlpm.MacVal,_xlpm.CSVVal&lt;&gt;"",_xlpm.CSVVal
)),"")</f>
        <v/>
      </c>
      <c r="N1170" s="40"/>
      <c r="O1170" s="40" t="str">
        <f>_xlfn.LET(
    _xlpm.CSVVal, _xlfn.XLOOKUP($A1170, CSV!$A:$A, CSV!AA:AA, ""),
    _xlpm.MacVal, _xlfn.XLOOKUP($A1170, Output_Mac!$A:$A, Output_Mac!S:S, ""),
    _xlpm.MyAuditVal, _xlfn.XLOOKUP($A1170, My_Audit!$A:$A, My_Audit!P:P, ""),
    _xlfn.TEXTJOIN(", ", TRUE, _xlpm.MyAuditVal, _xlpm.MacVal, _xlpm.CSVVal)
)</f>
        <v/>
      </c>
      <c r="P1170" s="40" t="str" cm="1">
        <f t="array" ref="P1170">IFERROR(_xlfn.LET(
_xlpm.CSVVal,_xlfn.XLOOKUP($A1170,CSV!$A:$A,CSV!AB:AB,""),
_xlpm.MacVal,_xlfn.XLOOKUP($A1170,Output_Mac!$A:$A,Output_Mac!T:T,""),
_xlpm.MyAuditVal,_xlfn.XLOOKUP($A1170,My_Audit!$A:$A,My_Audit!Q:Q,""),
_xlfn.IFS(_xlpm.MyAuditVal&lt;&gt;"",UPPER(_xlpm.MyAuditVal),_xlpm.MacVal&lt;&gt;"",_xlpm.MacVal,_xlpm.CSVVal&lt;&gt;"",_xlpm.CSVVal
)),"No")</f>
        <v>No</v>
      </c>
      <c r="Q1170" s="40" t="str" cm="1">
        <f t="array" ref="Q1170">IFERROR(_xlfn.LET(
_xlpm.CSVVal,_xlfn.XLOOKUP($A1170,CSV!$A:$A,CSV!AC:AC,""),
_xlpm.MacVal,_xlfn.XLOOKUP($A1170,Output_Mac!$A:$A,Output_Mac!U:U,""),
_xlpm.MyAuditVal,_xlfn.XLOOKUP($A1170,My_Audit!$A:$A,My_Audit!R:R,""),
_xlfn.IFS(_xlpm.MyAuditVal&lt;&gt;"",UPPER(_xlpm.MyAuditVal),_xlpm.MacVal&lt;&gt;"",_xlpm.MacVal,_xlpm.CSVVal&lt;&gt;"",_xlpm.CSVVal
)),"")</f>
        <v/>
      </c>
      <c r="R1170" s="40"/>
      <c r="S1170" s="40"/>
      <c r="T1170" s="40"/>
      <c r="U1170" s="40"/>
      <c r="V1170" s="40"/>
      <c r="W1170" s="40"/>
      <c r="X1170" s="41" t="str">
        <f>_xlfn.LET(
    _xlpm.MacVal, _xlfn.XLOOKUP($A1170, Output_Mac!$A:$A, Output_Mac!AB:AB, ""),
    _xlpm.MyAuditVal, _xlfn.XLOOKUP($A1170, My_Audit!$A:$A, My_Audit!N:N, ""),
    _xlfn.TEXTJOIN(", ", TRUE, _xlpm.MyAuditVal, _xlpm.MacVal)
)</f>
        <v/>
      </c>
    </row>
    <row r="1171" spans="1:24">
      <c r="A1171" s="40" t="str">
        <f>_xlfn.TEXTJOIN("",TRUE,Input!$B$2,ROW(My_Audit!A1170))</f>
        <v>X1170</v>
      </c>
      <c r="B1171" s="40" t="str">
        <f>_xlfn.TEXTJOIN("-",TRUE,"ITD",Input!$A$2,A1171)</f>
        <v>ITD-X1170</v>
      </c>
      <c r="C1171" s="40" t="str" cm="1">
        <f t="array" ref="C1171">IFERROR(_xlfn.LET(
_xlpm.CSVVal,_xlfn.XLOOKUP($A1171,CSV!$A:$A,CSV!B:B,""),
_xlpm.MacVal,_xlfn.XLOOKUP($A1171,Output_Mac!$A:$A,Output_Mac!B:B,""),
_xlpm.MyAuditVal,_xlfn.XLOOKUP($A1171,My_Audit!$A:$A,My_Audit!B:B,""),
_xlfn.IFS(_xlpm.MyAuditVal&lt;&gt;"",UPPER(_xlpm.MyAuditVal),_xlpm.MacVal&lt;&gt;"",_xlpm.MacVal,_xlpm.CSVVal&lt;&gt;"",_xlpm.CSVVal
)),"")</f>
        <v/>
      </c>
      <c r="D1171" s="40" t="str" cm="1">
        <f t="array" ref="D1171">IFERROR(_xlfn.LET(
_xlpm.CSVVal,_xlfn.XLOOKUP($A1171,CSV!$A:$A,CSV!D:D,""),
_xlpm.MacVal,_xlfn.XLOOKUP($A1171,Output_Mac!$A:$A,Output_Mac!C:C,""),
_xlpm.MyAuditVal,_xlfn.XLOOKUP($A1171,My_Audit!$A:$A,My_Audit!C:C,""),
_xlfn.IFS(_xlpm.MyAuditVal&lt;&gt;"",_xlpm.MyAuditVal,_xlpm.MacVal&lt;&gt;"",_xlpm.MacVal,_xlpm.CSVVal&lt;&gt;"",_xlpm.CSVVal
)),"")</f>
        <v/>
      </c>
      <c r="E1171" s="40" t="str">
        <f>_xlfn.XLOOKUP(A1171,My_Audit!A:A,My_Audit!D:D,"")</f>
        <v/>
      </c>
      <c r="F1171" s="40" t="str" cm="1">
        <f t="array" ref="F1171">IFERROR(_xlfn.LET(
_xlpm.CSVVal,_xlfn.XLOOKUP($A1171,CSV!$A:$A,CSV!F:F,""),
_xlpm.MacVal,_xlfn.XLOOKUP($A1171,Output_Mac!$A:$A,Output_Mac!E:E,""),
_xlpm.MyAuditVal,_xlfn.XLOOKUP($A1171,My_Audit!$A:$A,My_Audit!E:E,""),
_xlfn.IFS(_xlpm.MyAuditVal&lt;&gt;"",_xlpm.MyAuditVal,_xlpm.MacVal&lt;&gt;"",_xlpm.MacVal,_xlpm.CSVVal&lt;&gt;"",_xlpm.CSVVal
)),"")</f>
        <v/>
      </c>
      <c r="G1171" s="40" t="str" cm="1">
        <f t="array" ref="G1171">IFERROR(_xlfn.LET(
_xlpm.CSVVal,_xlfn.XLOOKUP($A1171,CSV!$A:$A,CSV!G:G,""),
_xlpm.MacVal,_xlfn.XLOOKUP($A1171,Output_Mac!$A:$A,Output_Mac!F:F,""),
_xlpm.MyAuditVal,_xlfn.XLOOKUP($A1171,My_Audit!$A:$A,My_Audit!F:F,""),
_xlfn.IFS(_xlpm.MyAuditVal&lt;&gt;"",_xlpm.MyAuditVal,_xlpm.MacVal&lt;&gt;"",_xlpm.MacVal,_xlpm.CSVVal&lt;&gt;"",PROPER(_xlpm.CSVVal)
)),"")</f>
        <v/>
      </c>
      <c r="H1171" s="40" t="str" cm="1">
        <f t="array" ref="H1171">IFERROR(_xlfn.LET(
_xlpm.CSVVal,_xlfn.XLOOKUP($A1171,CSV!$A:$A,CSV!H:H,""),
_xlpm.MacVal,_xlfn.XLOOKUP($A1171,Output_Mac!$A:$A,Output_Mac!H:H,""),
_xlpm.MyAuditVal,_xlfn.XLOOKUP($A1171,My_Audit!$A:$A,My_Audit!G:G,""),
_xlfn.IFS(_xlpm.MyAuditVal&lt;&gt;"",_xlpm.MyAuditVal,_xlpm.MacVal&lt;&gt;"",_xlpm.MacVal,_xlpm.CSVVal&lt;&gt;"",_xlpm.CSVVal
)),"")</f>
        <v/>
      </c>
      <c r="I1171" s="40" t="str">
        <f>_xlfn.XLOOKUP(A1171,Output_Mac!A:A,Output_Mac!I:I,"")</f>
        <v/>
      </c>
      <c r="J1171" s="40" t="str" cm="1">
        <f t="array" ref="J1171">IFERROR(_xlfn.LET(
_xlpm.CSVVal,_xlfn.XLOOKUP($A1171,CSV!$A:$A,CSV!I:I,""),
_xlpm.MacVal,_xlfn.XLOOKUP($A1171,Output_Mac!$A:$A,Output_Mac!J:J,""),
_xlpm.MyAuditVal,_xlfn.XLOOKUP($A1171,My_Audit!$A:$A,My_Audit!I:I,""),
_xlfn.IFS(_xlpm.MyAuditVal&lt;&gt;"",UPPER(_xlpm.MyAuditVal),_xlpm.MacVal&lt;&gt;"",_xlpm.MacVal,_xlpm.CSVVal&lt;&gt;"",_xlpm.CSVVal
)),"")</f>
        <v/>
      </c>
      <c r="K1171" s="40" t="str" cm="1">
        <f t="array" ref="K1171">IFERROR(_xlfn.LET(
_xlpm.CSVVal,_xlfn.XLOOKUP($A1171,CSV!$A:$A,CSV!K:K,""),
_xlpm.MacVal,_xlfn.XLOOKUP($A1171,Output_Mac!$A:$A,Output_Mac!K:K,""),
_xlpm.MyAuditVal,_xlfn.XLOOKUP($A1171,My_Audit!$A:$A,My_Audit!J:J,""),
_xlfn.IFS(_xlpm.MyAuditVal&lt;&gt;"",UPPER(_xlpm.MyAuditVal),_xlpm.MacVal&lt;&gt;"",_xlpm.MacVal,_xlpm.CSVVal&lt;&gt;"",_xlpm.CSVVal
)),"")</f>
        <v/>
      </c>
      <c r="L1171" s="40" t="str" cm="1">
        <f t="array" ref="L1171">IFERROR(_xlfn.LET(
_xlpm.CSVVal,_xlfn.XLOOKUP($A1171,CSV!$A:$A,CSV!P:P,""),
_xlpm.MacVal,_xlfn.XLOOKUP($A1171,Output_Mac!$A:$A,Output_Mac!L:L,""),
_xlpm.MyAuditVal,_xlfn.XLOOKUP($A1171,My_Audit!$A:$A,My_Audit!K:K,""),
_xlfn.IFS(_xlpm.MyAuditVal&lt;&gt;"",UPPER(_xlpm.MyAuditVal),_xlpm.MacVal&lt;&gt;"",_xlpm.MacVal,_xlpm.CSVVal&lt;&gt;"",_xlpm.CSVVal
)),"")</f>
        <v/>
      </c>
      <c r="M1171" s="40" t="str" cm="1">
        <f t="array" ref="M1171">IFERROR(_xlfn.LET(
_xlpm.CSVVal,_xlfn.XLOOKUP($A1171,CSV!$A:$A,CSV!Q:Q,""),
_xlpm.MacVal,_xlfn.XLOOKUP($A1171,Output_Mac!$A:$A,Output_Mac!M:M,""),
_xlpm.MyAuditVal,_xlfn.XLOOKUP($A1171,My_Audit!$A:$A,My_Audit!L:L,""),
_xlfn.IFS(_xlpm.MyAuditVal&lt;&gt;"",UPPER(_xlpm.MyAuditVal),_xlpm.MacVal&lt;&gt;"",_xlpm.MacVal,_xlpm.CSVVal&lt;&gt;"",_xlpm.CSVVal
)),"")</f>
        <v/>
      </c>
      <c r="N1171" s="40"/>
      <c r="O1171" s="40" t="str">
        <f>_xlfn.LET(
    _xlpm.CSVVal, _xlfn.XLOOKUP($A1171, CSV!$A:$A, CSV!AA:AA, ""),
    _xlpm.MacVal, _xlfn.XLOOKUP($A1171, Output_Mac!$A:$A, Output_Mac!S:S, ""),
    _xlpm.MyAuditVal, _xlfn.XLOOKUP($A1171, My_Audit!$A:$A, My_Audit!P:P, ""),
    _xlfn.TEXTJOIN(", ", TRUE, _xlpm.MyAuditVal, _xlpm.MacVal, _xlpm.CSVVal)
)</f>
        <v/>
      </c>
      <c r="P1171" s="40" t="str" cm="1">
        <f t="array" ref="P1171">IFERROR(_xlfn.LET(
_xlpm.CSVVal,_xlfn.XLOOKUP($A1171,CSV!$A:$A,CSV!AB:AB,""),
_xlpm.MacVal,_xlfn.XLOOKUP($A1171,Output_Mac!$A:$A,Output_Mac!T:T,""),
_xlpm.MyAuditVal,_xlfn.XLOOKUP($A1171,My_Audit!$A:$A,My_Audit!Q:Q,""),
_xlfn.IFS(_xlpm.MyAuditVal&lt;&gt;"",UPPER(_xlpm.MyAuditVal),_xlpm.MacVal&lt;&gt;"",_xlpm.MacVal,_xlpm.CSVVal&lt;&gt;"",_xlpm.CSVVal
)),"No")</f>
        <v>No</v>
      </c>
      <c r="Q1171" s="40" t="str" cm="1">
        <f t="array" ref="Q1171">IFERROR(_xlfn.LET(
_xlpm.CSVVal,_xlfn.XLOOKUP($A1171,CSV!$A:$A,CSV!AC:AC,""),
_xlpm.MacVal,_xlfn.XLOOKUP($A1171,Output_Mac!$A:$A,Output_Mac!U:U,""),
_xlpm.MyAuditVal,_xlfn.XLOOKUP($A1171,My_Audit!$A:$A,My_Audit!R:R,""),
_xlfn.IFS(_xlpm.MyAuditVal&lt;&gt;"",UPPER(_xlpm.MyAuditVal),_xlpm.MacVal&lt;&gt;"",_xlpm.MacVal,_xlpm.CSVVal&lt;&gt;"",_xlpm.CSVVal
)),"")</f>
        <v/>
      </c>
      <c r="R1171" s="40"/>
      <c r="S1171" s="40"/>
      <c r="T1171" s="40"/>
      <c r="U1171" s="40"/>
      <c r="V1171" s="40"/>
      <c r="W1171" s="40"/>
      <c r="X1171" s="41" t="str">
        <f>_xlfn.LET(
    _xlpm.MacVal, _xlfn.XLOOKUP($A1171, Output_Mac!$A:$A, Output_Mac!AB:AB, ""),
    _xlpm.MyAuditVal, _xlfn.XLOOKUP($A1171, My_Audit!$A:$A, My_Audit!N:N, ""),
    _xlfn.TEXTJOIN(", ", TRUE, _xlpm.MyAuditVal, _xlpm.MacVal)
)</f>
        <v/>
      </c>
    </row>
    <row r="1172" spans="1:24">
      <c r="A1172" s="40" t="str">
        <f>_xlfn.TEXTJOIN("",TRUE,Input!$B$2,ROW(My_Audit!A1171))</f>
        <v>X1171</v>
      </c>
      <c r="B1172" s="40" t="str">
        <f>_xlfn.TEXTJOIN("-",TRUE,"ITD",Input!$A$2,A1172)</f>
        <v>ITD-X1171</v>
      </c>
      <c r="C1172" s="40" t="str" cm="1">
        <f t="array" ref="C1172">IFERROR(_xlfn.LET(
_xlpm.CSVVal,_xlfn.XLOOKUP($A1172,CSV!$A:$A,CSV!B:B,""),
_xlpm.MacVal,_xlfn.XLOOKUP($A1172,Output_Mac!$A:$A,Output_Mac!B:B,""),
_xlpm.MyAuditVal,_xlfn.XLOOKUP($A1172,My_Audit!$A:$A,My_Audit!B:B,""),
_xlfn.IFS(_xlpm.MyAuditVal&lt;&gt;"",UPPER(_xlpm.MyAuditVal),_xlpm.MacVal&lt;&gt;"",_xlpm.MacVal,_xlpm.CSVVal&lt;&gt;"",_xlpm.CSVVal
)),"")</f>
        <v/>
      </c>
      <c r="D1172" s="40" t="str" cm="1">
        <f t="array" ref="D1172">IFERROR(_xlfn.LET(
_xlpm.CSVVal,_xlfn.XLOOKUP($A1172,CSV!$A:$A,CSV!D:D,""),
_xlpm.MacVal,_xlfn.XLOOKUP($A1172,Output_Mac!$A:$A,Output_Mac!C:C,""),
_xlpm.MyAuditVal,_xlfn.XLOOKUP($A1172,My_Audit!$A:$A,My_Audit!C:C,""),
_xlfn.IFS(_xlpm.MyAuditVal&lt;&gt;"",_xlpm.MyAuditVal,_xlpm.MacVal&lt;&gt;"",_xlpm.MacVal,_xlpm.CSVVal&lt;&gt;"",_xlpm.CSVVal
)),"")</f>
        <v/>
      </c>
      <c r="E1172" s="40" t="str">
        <f>_xlfn.XLOOKUP(A1172,My_Audit!A:A,My_Audit!D:D,"")</f>
        <v/>
      </c>
      <c r="F1172" s="40" t="str" cm="1">
        <f t="array" ref="F1172">IFERROR(_xlfn.LET(
_xlpm.CSVVal,_xlfn.XLOOKUP($A1172,CSV!$A:$A,CSV!F:F,""),
_xlpm.MacVal,_xlfn.XLOOKUP($A1172,Output_Mac!$A:$A,Output_Mac!E:E,""),
_xlpm.MyAuditVal,_xlfn.XLOOKUP($A1172,My_Audit!$A:$A,My_Audit!E:E,""),
_xlfn.IFS(_xlpm.MyAuditVal&lt;&gt;"",_xlpm.MyAuditVal,_xlpm.MacVal&lt;&gt;"",_xlpm.MacVal,_xlpm.CSVVal&lt;&gt;"",_xlpm.CSVVal
)),"")</f>
        <v/>
      </c>
      <c r="G1172" s="40" t="str" cm="1">
        <f t="array" ref="G1172">IFERROR(_xlfn.LET(
_xlpm.CSVVal,_xlfn.XLOOKUP($A1172,CSV!$A:$A,CSV!G:G,""),
_xlpm.MacVal,_xlfn.XLOOKUP($A1172,Output_Mac!$A:$A,Output_Mac!F:F,""),
_xlpm.MyAuditVal,_xlfn.XLOOKUP($A1172,My_Audit!$A:$A,My_Audit!F:F,""),
_xlfn.IFS(_xlpm.MyAuditVal&lt;&gt;"",_xlpm.MyAuditVal,_xlpm.MacVal&lt;&gt;"",_xlpm.MacVal,_xlpm.CSVVal&lt;&gt;"",PROPER(_xlpm.CSVVal)
)),"")</f>
        <v/>
      </c>
      <c r="H1172" s="40" t="str" cm="1">
        <f t="array" ref="H1172">IFERROR(_xlfn.LET(
_xlpm.CSVVal,_xlfn.XLOOKUP($A1172,CSV!$A:$A,CSV!H:H,""),
_xlpm.MacVal,_xlfn.XLOOKUP($A1172,Output_Mac!$A:$A,Output_Mac!H:H,""),
_xlpm.MyAuditVal,_xlfn.XLOOKUP($A1172,My_Audit!$A:$A,My_Audit!G:G,""),
_xlfn.IFS(_xlpm.MyAuditVal&lt;&gt;"",_xlpm.MyAuditVal,_xlpm.MacVal&lt;&gt;"",_xlpm.MacVal,_xlpm.CSVVal&lt;&gt;"",_xlpm.CSVVal
)),"")</f>
        <v/>
      </c>
      <c r="I1172" s="40" t="str">
        <f>_xlfn.XLOOKUP(A1172,Output_Mac!A:A,Output_Mac!I:I,"")</f>
        <v/>
      </c>
      <c r="J1172" s="40" t="str" cm="1">
        <f t="array" ref="J1172">IFERROR(_xlfn.LET(
_xlpm.CSVVal,_xlfn.XLOOKUP($A1172,CSV!$A:$A,CSV!I:I,""),
_xlpm.MacVal,_xlfn.XLOOKUP($A1172,Output_Mac!$A:$A,Output_Mac!J:J,""),
_xlpm.MyAuditVal,_xlfn.XLOOKUP($A1172,My_Audit!$A:$A,My_Audit!I:I,""),
_xlfn.IFS(_xlpm.MyAuditVal&lt;&gt;"",UPPER(_xlpm.MyAuditVal),_xlpm.MacVal&lt;&gt;"",_xlpm.MacVal,_xlpm.CSVVal&lt;&gt;"",_xlpm.CSVVal
)),"")</f>
        <v/>
      </c>
      <c r="K1172" s="40" t="str" cm="1">
        <f t="array" ref="K1172">IFERROR(_xlfn.LET(
_xlpm.CSVVal,_xlfn.XLOOKUP($A1172,CSV!$A:$A,CSV!K:K,""),
_xlpm.MacVal,_xlfn.XLOOKUP($A1172,Output_Mac!$A:$A,Output_Mac!K:K,""),
_xlpm.MyAuditVal,_xlfn.XLOOKUP($A1172,My_Audit!$A:$A,My_Audit!J:J,""),
_xlfn.IFS(_xlpm.MyAuditVal&lt;&gt;"",UPPER(_xlpm.MyAuditVal),_xlpm.MacVal&lt;&gt;"",_xlpm.MacVal,_xlpm.CSVVal&lt;&gt;"",_xlpm.CSVVal
)),"")</f>
        <v/>
      </c>
      <c r="L1172" s="40" t="str" cm="1">
        <f t="array" ref="L1172">IFERROR(_xlfn.LET(
_xlpm.CSVVal,_xlfn.XLOOKUP($A1172,CSV!$A:$A,CSV!P:P,""),
_xlpm.MacVal,_xlfn.XLOOKUP($A1172,Output_Mac!$A:$A,Output_Mac!L:L,""),
_xlpm.MyAuditVal,_xlfn.XLOOKUP($A1172,My_Audit!$A:$A,My_Audit!K:K,""),
_xlfn.IFS(_xlpm.MyAuditVal&lt;&gt;"",UPPER(_xlpm.MyAuditVal),_xlpm.MacVal&lt;&gt;"",_xlpm.MacVal,_xlpm.CSVVal&lt;&gt;"",_xlpm.CSVVal
)),"")</f>
        <v/>
      </c>
      <c r="M1172" s="40" t="str" cm="1">
        <f t="array" ref="M1172">IFERROR(_xlfn.LET(
_xlpm.CSVVal,_xlfn.XLOOKUP($A1172,CSV!$A:$A,CSV!Q:Q,""),
_xlpm.MacVal,_xlfn.XLOOKUP($A1172,Output_Mac!$A:$A,Output_Mac!M:M,""),
_xlpm.MyAuditVal,_xlfn.XLOOKUP($A1172,My_Audit!$A:$A,My_Audit!L:L,""),
_xlfn.IFS(_xlpm.MyAuditVal&lt;&gt;"",UPPER(_xlpm.MyAuditVal),_xlpm.MacVal&lt;&gt;"",_xlpm.MacVal,_xlpm.CSVVal&lt;&gt;"",_xlpm.CSVVal
)),"")</f>
        <v/>
      </c>
      <c r="N1172" s="40"/>
      <c r="O1172" s="40" t="str">
        <f>_xlfn.LET(
    _xlpm.CSVVal, _xlfn.XLOOKUP($A1172, CSV!$A:$A, CSV!AA:AA, ""),
    _xlpm.MacVal, _xlfn.XLOOKUP($A1172, Output_Mac!$A:$A, Output_Mac!S:S, ""),
    _xlpm.MyAuditVal, _xlfn.XLOOKUP($A1172, My_Audit!$A:$A, My_Audit!P:P, ""),
    _xlfn.TEXTJOIN(", ", TRUE, _xlpm.MyAuditVal, _xlpm.MacVal, _xlpm.CSVVal)
)</f>
        <v/>
      </c>
      <c r="P1172" s="40" t="str" cm="1">
        <f t="array" ref="P1172">IFERROR(_xlfn.LET(
_xlpm.CSVVal,_xlfn.XLOOKUP($A1172,CSV!$A:$A,CSV!AB:AB,""),
_xlpm.MacVal,_xlfn.XLOOKUP($A1172,Output_Mac!$A:$A,Output_Mac!T:T,""),
_xlpm.MyAuditVal,_xlfn.XLOOKUP($A1172,My_Audit!$A:$A,My_Audit!Q:Q,""),
_xlfn.IFS(_xlpm.MyAuditVal&lt;&gt;"",UPPER(_xlpm.MyAuditVal),_xlpm.MacVal&lt;&gt;"",_xlpm.MacVal,_xlpm.CSVVal&lt;&gt;"",_xlpm.CSVVal
)),"No")</f>
        <v>No</v>
      </c>
      <c r="Q1172" s="40" t="str" cm="1">
        <f t="array" ref="Q1172">IFERROR(_xlfn.LET(
_xlpm.CSVVal,_xlfn.XLOOKUP($A1172,CSV!$A:$A,CSV!AC:AC,""),
_xlpm.MacVal,_xlfn.XLOOKUP($A1172,Output_Mac!$A:$A,Output_Mac!U:U,""),
_xlpm.MyAuditVal,_xlfn.XLOOKUP($A1172,My_Audit!$A:$A,My_Audit!R:R,""),
_xlfn.IFS(_xlpm.MyAuditVal&lt;&gt;"",UPPER(_xlpm.MyAuditVal),_xlpm.MacVal&lt;&gt;"",_xlpm.MacVal,_xlpm.CSVVal&lt;&gt;"",_xlpm.CSVVal
)),"")</f>
        <v/>
      </c>
      <c r="R1172" s="40"/>
      <c r="S1172" s="40"/>
      <c r="T1172" s="40"/>
      <c r="U1172" s="40"/>
      <c r="V1172" s="40"/>
      <c r="W1172" s="40"/>
      <c r="X1172" s="41" t="str">
        <f>_xlfn.LET(
    _xlpm.MacVal, _xlfn.XLOOKUP($A1172, Output_Mac!$A:$A, Output_Mac!AB:AB, ""),
    _xlpm.MyAuditVal, _xlfn.XLOOKUP($A1172, My_Audit!$A:$A, My_Audit!N:N, ""),
    _xlfn.TEXTJOIN(", ", TRUE, _xlpm.MyAuditVal, _xlpm.MacVal)
)</f>
        <v/>
      </c>
    </row>
    <row r="1173" spans="1:24">
      <c r="A1173" s="40" t="str">
        <f>_xlfn.TEXTJOIN("",TRUE,Input!$B$2,ROW(My_Audit!A1172))</f>
        <v>X1172</v>
      </c>
      <c r="B1173" s="40" t="str">
        <f>_xlfn.TEXTJOIN("-",TRUE,"ITD",Input!$A$2,A1173)</f>
        <v>ITD-X1172</v>
      </c>
      <c r="C1173" s="40" t="str" cm="1">
        <f t="array" ref="C1173">IFERROR(_xlfn.LET(
_xlpm.CSVVal,_xlfn.XLOOKUP($A1173,CSV!$A:$A,CSV!B:B,""),
_xlpm.MacVal,_xlfn.XLOOKUP($A1173,Output_Mac!$A:$A,Output_Mac!B:B,""),
_xlpm.MyAuditVal,_xlfn.XLOOKUP($A1173,My_Audit!$A:$A,My_Audit!B:B,""),
_xlfn.IFS(_xlpm.MyAuditVal&lt;&gt;"",UPPER(_xlpm.MyAuditVal),_xlpm.MacVal&lt;&gt;"",_xlpm.MacVal,_xlpm.CSVVal&lt;&gt;"",_xlpm.CSVVal
)),"")</f>
        <v/>
      </c>
      <c r="D1173" s="40" t="str" cm="1">
        <f t="array" ref="D1173">IFERROR(_xlfn.LET(
_xlpm.CSVVal,_xlfn.XLOOKUP($A1173,CSV!$A:$A,CSV!D:D,""),
_xlpm.MacVal,_xlfn.XLOOKUP($A1173,Output_Mac!$A:$A,Output_Mac!C:C,""),
_xlpm.MyAuditVal,_xlfn.XLOOKUP($A1173,My_Audit!$A:$A,My_Audit!C:C,""),
_xlfn.IFS(_xlpm.MyAuditVal&lt;&gt;"",_xlpm.MyAuditVal,_xlpm.MacVal&lt;&gt;"",_xlpm.MacVal,_xlpm.CSVVal&lt;&gt;"",_xlpm.CSVVal
)),"")</f>
        <v/>
      </c>
      <c r="E1173" s="40" t="str">
        <f>_xlfn.XLOOKUP(A1173,My_Audit!A:A,My_Audit!D:D,"")</f>
        <v/>
      </c>
      <c r="F1173" s="40" t="str" cm="1">
        <f t="array" ref="F1173">IFERROR(_xlfn.LET(
_xlpm.CSVVal,_xlfn.XLOOKUP($A1173,CSV!$A:$A,CSV!F:F,""),
_xlpm.MacVal,_xlfn.XLOOKUP($A1173,Output_Mac!$A:$A,Output_Mac!E:E,""),
_xlpm.MyAuditVal,_xlfn.XLOOKUP($A1173,My_Audit!$A:$A,My_Audit!E:E,""),
_xlfn.IFS(_xlpm.MyAuditVal&lt;&gt;"",_xlpm.MyAuditVal,_xlpm.MacVal&lt;&gt;"",_xlpm.MacVal,_xlpm.CSVVal&lt;&gt;"",_xlpm.CSVVal
)),"")</f>
        <v/>
      </c>
      <c r="G1173" s="40" t="str" cm="1">
        <f t="array" ref="G1173">IFERROR(_xlfn.LET(
_xlpm.CSVVal,_xlfn.XLOOKUP($A1173,CSV!$A:$A,CSV!G:G,""),
_xlpm.MacVal,_xlfn.XLOOKUP($A1173,Output_Mac!$A:$A,Output_Mac!F:F,""),
_xlpm.MyAuditVal,_xlfn.XLOOKUP($A1173,My_Audit!$A:$A,My_Audit!F:F,""),
_xlfn.IFS(_xlpm.MyAuditVal&lt;&gt;"",_xlpm.MyAuditVal,_xlpm.MacVal&lt;&gt;"",_xlpm.MacVal,_xlpm.CSVVal&lt;&gt;"",PROPER(_xlpm.CSVVal)
)),"")</f>
        <v/>
      </c>
      <c r="H1173" s="40" t="str" cm="1">
        <f t="array" ref="H1173">IFERROR(_xlfn.LET(
_xlpm.CSVVal,_xlfn.XLOOKUP($A1173,CSV!$A:$A,CSV!H:H,""),
_xlpm.MacVal,_xlfn.XLOOKUP($A1173,Output_Mac!$A:$A,Output_Mac!H:H,""),
_xlpm.MyAuditVal,_xlfn.XLOOKUP($A1173,My_Audit!$A:$A,My_Audit!G:G,""),
_xlfn.IFS(_xlpm.MyAuditVal&lt;&gt;"",_xlpm.MyAuditVal,_xlpm.MacVal&lt;&gt;"",_xlpm.MacVal,_xlpm.CSVVal&lt;&gt;"",_xlpm.CSVVal
)),"")</f>
        <v/>
      </c>
      <c r="I1173" s="40" t="str">
        <f>_xlfn.XLOOKUP(A1173,Output_Mac!A:A,Output_Mac!I:I,"")</f>
        <v/>
      </c>
      <c r="J1173" s="40" t="str" cm="1">
        <f t="array" ref="J1173">IFERROR(_xlfn.LET(
_xlpm.CSVVal,_xlfn.XLOOKUP($A1173,CSV!$A:$A,CSV!I:I,""),
_xlpm.MacVal,_xlfn.XLOOKUP($A1173,Output_Mac!$A:$A,Output_Mac!J:J,""),
_xlpm.MyAuditVal,_xlfn.XLOOKUP($A1173,My_Audit!$A:$A,My_Audit!I:I,""),
_xlfn.IFS(_xlpm.MyAuditVal&lt;&gt;"",UPPER(_xlpm.MyAuditVal),_xlpm.MacVal&lt;&gt;"",_xlpm.MacVal,_xlpm.CSVVal&lt;&gt;"",_xlpm.CSVVal
)),"")</f>
        <v/>
      </c>
      <c r="K1173" s="40" t="str" cm="1">
        <f t="array" ref="K1173">IFERROR(_xlfn.LET(
_xlpm.CSVVal,_xlfn.XLOOKUP($A1173,CSV!$A:$A,CSV!K:K,""),
_xlpm.MacVal,_xlfn.XLOOKUP($A1173,Output_Mac!$A:$A,Output_Mac!K:K,""),
_xlpm.MyAuditVal,_xlfn.XLOOKUP($A1173,My_Audit!$A:$A,My_Audit!J:J,""),
_xlfn.IFS(_xlpm.MyAuditVal&lt;&gt;"",UPPER(_xlpm.MyAuditVal),_xlpm.MacVal&lt;&gt;"",_xlpm.MacVal,_xlpm.CSVVal&lt;&gt;"",_xlpm.CSVVal
)),"")</f>
        <v/>
      </c>
      <c r="L1173" s="40" t="str" cm="1">
        <f t="array" ref="L1173">IFERROR(_xlfn.LET(
_xlpm.CSVVal,_xlfn.XLOOKUP($A1173,CSV!$A:$A,CSV!P:P,""),
_xlpm.MacVal,_xlfn.XLOOKUP($A1173,Output_Mac!$A:$A,Output_Mac!L:L,""),
_xlpm.MyAuditVal,_xlfn.XLOOKUP($A1173,My_Audit!$A:$A,My_Audit!K:K,""),
_xlfn.IFS(_xlpm.MyAuditVal&lt;&gt;"",UPPER(_xlpm.MyAuditVal),_xlpm.MacVal&lt;&gt;"",_xlpm.MacVal,_xlpm.CSVVal&lt;&gt;"",_xlpm.CSVVal
)),"")</f>
        <v/>
      </c>
      <c r="M1173" s="40" t="str" cm="1">
        <f t="array" ref="M1173">IFERROR(_xlfn.LET(
_xlpm.CSVVal,_xlfn.XLOOKUP($A1173,CSV!$A:$A,CSV!Q:Q,""),
_xlpm.MacVal,_xlfn.XLOOKUP($A1173,Output_Mac!$A:$A,Output_Mac!M:M,""),
_xlpm.MyAuditVal,_xlfn.XLOOKUP($A1173,My_Audit!$A:$A,My_Audit!L:L,""),
_xlfn.IFS(_xlpm.MyAuditVal&lt;&gt;"",UPPER(_xlpm.MyAuditVal),_xlpm.MacVal&lt;&gt;"",_xlpm.MacVal,_xlpm.CSVVal&lt;&gt;"",_xlpm.CSVVal
)),"")</f>
        <v/>
      </c>
      <c r="N1173" s="40"/>
      <c r="O1173" s="40" t="str">
        <f>_xlfn.LET(
    _xlpm.CSVVal, _xlfn.XLOOKUP($A1173, CSV!$A:$A, CSV!AA:AA, ""),
    _xlpm.MacVal, _xlfn.XLOOKUP($A1173, Output_Mac!$A:$A, Output_Mac!S:S, ""),
    _xlpm.MyAuditVal, _xlfn.XLOOKUP($A1173, My_Audit!$A:$A, My_Audit!P:P, ""),
    _xlfn.TEXTJOIN(", ", TRUE, _xlpm.MyAuditVal, _xlpm.MacVal, _xlpm.CSVVal)
)</f>
        <v/>
      </c>
      <c r="P1173" s="40" t="str" cm="1">
        <f t="array" ref="P1173">IFERROR(_xlfn.LET(
_xlpm.CSVVal,_xlfn.XLOOKUP($A1173,CSV!$A:$A,CSV!AB:AB,""),
_xlpm.MacVal,_xlfn.XLOOKUP($A1173,Output_Mac!$A:$A,Output_Mac!T:T,""),
_xlpm.MyAuditVal,_xlfn.XLOOKUP($A1173,My_Audit!$A:$A,My_Audit!Q:Q,""),
_xlfn.IFS(_xlpm.MyAuditVal&lt;&gt;"",UPPER(_xlpm.MyAuditVal),_xlpm.MacVal&lt;&gt;"",_xlpm.MacVal,_xlpm.CSVVal&lt;&gt;"",_xlpm.CSVVal
)),"No")</f>
        <v>No</v>
      </c>
      <c r="Q1173" s="40" t="str" cm="1">
        <f t="array" ref="Q1173">IFERROR(_xlfn.LET(
_xlpm.CSVVal,_xlfn.XLOOKUP($A1173,CSV!$A:$A,CSV!AC:AC,""),
_xlpm.MacVal,_xlfn.XLOOKUP($A1173,Output_Mac!$A:$A,Output_Mac!U:U,""),
_xlpm.MyAuditVal,_xlfn.XLOOKUP($A1173,My_Audit!$A:$A,My_Audit!R:R,""),
_xlfn.IFS(_xlpm.MyAuditVal&lt;&gt;"",UPPER(_xlpm.MyAuditVal),_xlpm.MacVal&lt;&gt;"",_xlpm.MacVal,_xlpm.CSVVal&lt;&gt;"",_xlpm.CSVVal
)),"")</f>
        <v/>
      </c>
      <c r="R1173" s="40"/>
      <c r="S1173" s="40"/>
      <c r="T1173" s="40"/>
      <c r="U1173" s="40"/>
      <c r="V1173" s="40"/>
      <c r="W1173" s="40"/>
      <c r="X1173" s="41" t="str">
        <f>_xlfn.LET(
    _xlpm.MacVal, _xlfn.XLOOKUP($A1173, Output_Mac!$A:$A, Output_Mac!AB:AB, ""),
    _xlpm.MyAuditVal, _xlfn.XLOOKUP($A1173, My_Audit!$A:$A, My_Audit!N:N, ""),
    _xlfn.TEXTJOIN(", ", TRUE, _xlpm.MyAuditVal, _xlpm.MacVal)
)</f>
        <v/>
      </c>
    </row>
    <row r="1174" spans="1:24">
      <c r="A1174" s="40" t="str">
        <f>_xlfn.TEXTJOIN("",TRUE,Input!$B$2,ROW(My_Audit!A1173))</f>
        <v>X1173</v>
      </c>
      <c r="B1174" s="40" t="str">
        <f>_xlfn.TEXTJOIN("-",TRUE,"ITD",Input!$A$2,A1174)</f>
        <v>ITD-X1173</v>
      </c>
      <c r="C1174" s="40" t="str" cm="1">
        <f t="array" ref="C1174">IFERROR(_xlfn.LET(
_xlpm.CSVVal,_xlfn.XLOOKUP($A1174,CSV!$A:$A,CSV!B:B,""),
_xlpm.MacVal,_xlfn.XLOOKUP($A1174,Output_Mac!$A:$A,Output_Mac!B:B,""),
_xlpm.MyAuditVal,_xlfn.XLOOKUP($A1174,My_Audit!$A:$A,My_Audit!B:B,""),
_xlfn.IFS(_xlpm.MyAuditVal&lt;&gt;"",UPPER(_xlpm.MyAuditVal),_xlpm.MacVal&lt;&gt;"",_xlpm.MacVal,_xlpm.CSVVal&lt;&gt;"",_xlpm.CSVVal
)),"")</f>
        <v/>
      </c>
      <c r="D1174" s="40" t="str" cm="1">
        <f t="array" ref="D1174">IFERROR(_xlfn.LET(
_xlpm.CSVVal,_xlfn.XLOOKUP($A1174,CSV!$A:$A,CSV!D:D,""),
_xlpm.MacVal,_xlfn.XLOOKUP($A1174,Output_Mac!$A:$A,Output_Mac!C:C,""),
_xlpm.MyAuditVal,_xlfn.XLOOKUP($A1174,My_Audit!$A:$A,My_Audit!C:C,""),
_xlfn.IFS(_xlpm.MyAuditVal&lt;&gt;"",_xlpm.MyAuditVal,_xlpm.MacVal&lt;&gt;"",_xlpm.MacVal,_xlpm.CSVVal&lt;&gt;"",_xlpm.CSVVal
)),"")</f>
        <v/>
      </c>
      <c r="E1174" s="40" t="str">
        <f>_xlfn.XLOOKUP(A1174,My_Audit!A:A,My_Audit!D:D,"")</f>
        <v/>
      </c>
      <c r="F1174" s="40" t="str" cm="1">
        <f t="array" ref="F1174">IFERROR(_xlfn.LET(
_xlpm.CSVVal,_xlfn.XLOOKUP($A1174,CSV!$A:$A,CSV!F:F,""),
_xlpm.MacVal,_xlfn.XLOOKUP($A1174,Output_Mac!$A:$A,Output_Mac!E:E,""),
_xlpm.MyAuditVal,_xlfn.XLOOKUP($A1174,My_Audit!$A:$A,My_Audit!E:E,""),
_xlfn.IFS(_xlpm.MyAuditVal&lt;&gt;"",_xlpm.MyAuditVal,_xlpm.MacVal&lt;&gt;"",_xlpm.MacVal,_xlpm.CSVVal&lt;&gt;"",_xlpm.CSVVal
)),"")</f>
        <v/>
      </c>
      <c r="G1174" s="40" t="str" cm="1">
        <f t="array" ref="G1174">IFERROR(_xlfn.LET(
_xlpm.CSVVal,_xlfn.XLOOKUP($A1174,CSV!$A:$A,CSV!G:G,""),
_xlpm.MacVal,_xlfn.XLOOKUP($A1174,Output_Mac!$A:$A,Output_Mac!F:F,""),
_xlpm.MyAuditVal,_xlfn.XLOOKUP($A1174,My_Audit!$A:$A,My_Audit!F:F,""),
_xlfn.IFS(_xlpm.MyAuditVal&lt;&gt;"",_xlpm.MyAuditVal,_xlpm.MacVal&lt;&gt;"",_xlpm.MacVal,_xlpm.CSVVal&lt;&gt;"",PROPER(_xlpm.CSVVal)
)),"")</f>
        <v/>
      </c>
      <c r="H1174" s="40" t="str" cm="1">
        <f t="array" ref="H1174">IFERROR(_xlfn.LET(
_xlpm.CSVVal,_xlfn.XLOOKUP($A1174,CSV!$A:$A,CSV!H:H,""),
_xlpm.MacVal,_xlfn.XLOOKUP($A1174,Output_Mac!$A:$A,Output_Mac!H:H,""),
_xlpm.MyAuditVal,_xlfn.XLOOKUP($A1174,My_Audit!$A:$A,My_Audit!G:G,""),
_xlfn.IFS(_xlpm.MyAuditVal&lt;&gt;"",_xlpm.MyAuditVal,_xlpm.MacVal&lt;&gt;"",_xlpm.MacVal,_xlpm.CSVVal&lt;&gt;"",_xlpm.CSVVal
)),"")</f>
        <v/>
      </c>
      <c r="I1174" s="40" t="str">
        <f>_xlfn.XLOOKUP(A1174,Output_Mac!A:A,Output_Mac!I:I,"")</f>
        <v/>
      </c>
      <c r="J1174" s="40" t="str" cm="1">
        <f t="array" ref="J1174">IFERROR(_xlfn.LET(
_xlpm.CSVVal,_xlfn.XLOOKUP($A1174,CSV!$A:$A,CSV!I:I,""),
_xlpm.MacVal,_xlfn.XLOOKUP($A1174,Output_Mac!$A:$A,Output_Mac!J:J,""),
_xlpm.MyAuditVal,_xlfn.XLOOKUP($A1174,My_Audit!$A:$A,My_Audit!I:I,""),
_xlfn.IFS(_xlpm.MyAuditVal&lt;&gt;"",UPPER(_xlpm.MyAuditVal),_xlpm.MacVal&lt;&gt;"",_xlpm.MacVal,_xlpm.CSVVal&lt;&gt;"",_xlpm.CSVVal
)),"")</f>
        <v/>
      </c>
      <c r="K1174" s="40" t="str" cm="1">
        <f t="array" ref="K1174">IFERROR(_xlfn.LET(
_xlpm.CSVVal,_xlfn.XLOOKUP($A1174,CSV!$A:$A,CSV!K:K,""),
_xlpm.MacVal,_xlfn.XLOOKUP($A1174,Output_Mac!$A:$A,Output_Mac!K:K,""),
_xlpm.MyAuditVal,_xlfn.XLOOKUP($A1174,My_Audit!$A:$A,My_Audit!J:J,""),
_xlfn.IFS(_xlpm.MyAuditVal&lt;&gt;"",UPPER(_xlpm.MyAuditVal),_xlpm.MacVal&lt;&gt;"",_xlpm.MacVal,_xlpm.CSVVal&lt;&gt;"",_xlpm.CSVVal
)),"")</f>
        <v/>
      </c>
      <c r="L1174" s="40" t="str" cm="1">
        <f t="array" ref="L1174">IFERROR(_xlfn.LET(
_xlpm.CSVVal,_xlfn.XLOOKUP($A1174,CSV!$A:$A,CSV!P:P,""),
_xlpm.MacVal,_xlfn.XLOOKUP($A1174,Output_Mac!$A:$A,Output_Mac!L:L,""),
_xlpm.MyAuditVal,_xlfn.XLOOKUP($A1174,My_Audit!$A:$A,My_Audit!K:K,""),
_xlfn.IFS(_xlpm.MyAuditVal&lt;&gt;"",UPPER(_xlpm.MyAuditVal),_xlpm.MacVal&lt;&gt;"",_xlpm.MacVal,_xlpm.CSVVal&lt;&gt;"",_xlpm.CSVVal
)),"")</f>
        <v/>
      </c>
      <c r="M1174" s="40" t="str" cm="1">
        <f t="array" ref="M1174">IFERROR(_xlfn.LET(
_xlpm.CSVVal,_xlfn.XLOOKUP($A1174,CSV!$A:$A,CSV!Q:Q,""),
_xlpm.MacVal,_xlfn.XLOOKUP($A1174,Output_Mac!$A:$A,Output_Mac!M:M,""),
_xlpm.MyAuditVal,_xlfn.XLOOKUP($A1174,My_Audit!$A:$A,My_Audit!L:L,""),
_xlfn.IFS(_xlpm.MyAuditVal&lt;&gt;"",UPPER(_xlpm.MyAuditVal),_xlpm.MacVal&lt;&gt;"",_xlpm.MacVal,_xlpm.CSVVal&lt;&gt;"",_xlpm.CSVVal
)),"")</f>
        <v/>
      </c>
      <c r="N1174" s="40"/>
      <c r="O1174" s="40" t="str">
        <f>_xlfn.LET(
    _xlpm.CSVVal, _xlfn.XLOOKUP($A1174, CSV!$A:$A, CSV!AA:AA, ""),
    _xlpm.MacVal, _xlfn.XLOOKUP($A1174, Output_Mac!$A:$A, Output_Mac!S:S, ""),
    _xlpm.MyAuditVal, _xlfn.XLOOKUP($A1174, My_Audit!$A:$A, My_Audit!P:P, ""),
    _xlfn.TEXTJOIN(", ", TRUE, _xlpm.MyAuditVal, _xlpm.MacVal, _xlpm.CSVVal)
)</f>
        <v/>
      </c>
      <c r="P1174" s="40" t="str" cm="1">
        <f t="array" ref="P1174">IFERROR(_xlfn.LET(
_xlpm.CSVVal,_xlfn.XLOOKUP($A1174,CSV!$A:$A,CSV!AB:AB,""),
_xlpm.MacVal,_xlfn.XLOOKUP($A1174,Output_Mac!$A:$A,Output_Mac!T:T,""),
_xlpm.MyAuditVal,_xlfn.XLOOKUP($A1174,My_Audit!$A:$A,My_Audit!Q:Q,""),
_xlfn.IFS(_xlpm.MyAuditVal&lt;&gt;"",UPPER(_xlpm.MyAuditVal),_xlpm.MacVal&lt;&gt;"",_xlpm.MacVal,_xlpm.CSVVal&lt;&gt;"",_xlpm.CSVVal
)),"No")</f>
        <v>No</v>
      </c>
      <c r="Q1174" s="40" t="str" cm="1">
        <f t="array" ref="Q1174">IFERROR(_xlfn.LET(
_xlpm.CSVVal,_xlfn.XLOOKUP($A1174,CSV!$A:$A,CSV!AC:AC,""),
_xlpm.MacVal,_xlfn.XLOOKUP($A1174,Output_Mac!$A:$A,Output_Mac!U:U,""),
_xlpm.MyAuditVal,_xlfn.XLOOKUP($A1174,My_Audit!$A:$A,My_Audit!R:R,""),
_xlfn.IFS(_xlpm.MyAuditVal&lt;&gt;"",UPPER(_xlpm.MyAuditVal),_xlpm.MacVal&lt;&gt;"",_xlpm.MacVal,_xlpm.CSVVal&lt;&gt;"",_xlpm.CSVVal
)),"")</f>
        <v/>
      </c>
      <c r="R1174" s="40"/>
      <c r="S1174" s="40"/>
      <c r="T1174" s="40"/>
      <c r="U1174" s="40"/>
      <c r="V1174" s="40"/>
      <c r="W1174" s="40"/>
      <c r="X1174" s="41" t="str">
        <f>_xlfn.LET(
    _xlpm.MacVal, _xlfn.XLOOKUP($A1174, Output_Mac!$A:$A, Output_Mac!AB:AB, ""),
    _xlpm.MyAuditVal, _xlfn.XLOOKUP($A1174, My_Audit!$A:$A, My_Audit!N:N, ""),
    _xlfn.TEXTJOIN(", ", TRUE, _xlpm.MyAuditVal, _xlpm.MacVal)
)</f>
        <v/>
      </c>
    </row>
    <row r="1175" spans="1:24">
      <c r="A1175" s="40" t="str">
        <f>_xlfn.TEXTJOIN("",TRUE,Input!$B$2,ROW(My_Audit!A1174))</f>
        <v>X1174</v>
      </c>
      <c r="B1175" s="40" t="str">
        <f>_xlfn.TEXTJOIN("-",TRUE,"ITD",Input!$A$2,A1175)</f>
        <v>ITD-X1174</v>
      </c>
      <c r="C1175" s="40" t="str" cm="1">
        <f t="array" ref="C1175">IFERROR(_xlfn.LET(
_xlpm.CSVVal,_xlfn.XLOOKUP($A1175,CSV!$A:$A,CSV!B:B,""),
_xlpm.MacVal,_xlfn.XLOOKUP($A1175,Output_Mac!$A:$A,Output_Mac!B:B,""),
_xlpm.MyAuditVal,_xlfn.XLOOKUP($A1175,My_Audit!$A:$A,My_Audit!B:B,""),
_xlfn.IFS(_xlpm.MyAuditVal&lt;&gt;"",UPPER(_xlpm.MyAuditVal),_xlpm.MacVal&lt;&gt;"",_xlpm.MacVal,_xlpm.CSVVal&lt;&gt;"",_xlpm.CSVVal
)),"")</f>
        <v/>
      </c>
      <c r="D1175" s="40" t="str" cm="1">
        <f t="array" ref="D1175">IFERROR(_xlfn.LET(
_xlpm.CSVVal,_xlfn.XLOOKUP($A1175,CSV!$A:$A,CSV!D:D,""),
_xlpm.MacVal,_xlfn.XLOOKUP($A1175,Output_Mac!$A:$A,Output_Mac!C:C,""),
_xlpm.MyAuditVal,_xlfn.XLOOKUP($A1175,My_Audit!$A:$A,My_Audit!C:C,""),
_xlfn.IFS(_xlpm.MyAuditVal&lt;&gt;"",_xlpm.MyAuditVal,_xlpm.MacVal&lt;&gt;"",_xlpm.MacVal,_xlpm.CSVVal&lt;&gt;"",_xlpm.CSVVal
)),"")</f>
        <v/>
      </c>
      <c r="E1175" s="40" t="str">
        <f>_xlfn.XLOOKUP(A1175,My_Audit!A:A,My_Audit!D:D,"")</f>
        <v/>
      </c>
      <c r="F1175" s="40" t="str" cm="1">
        <f t="array" ref="F1175">IFERROR(_xlfn.LET(
_xlpm.CSVVal,_xlfn.XLOOKUP($A1175,CSV!$A:$A,CSV!F:F,""),
_xlpm.MacVal,_xlfn.XLOOKUP($A1175,Output_Mac!$A:$A,Output_Mac!E:E,""),
_xlpm.MyAuditVal,_xlfn.XLOOKUP($A1175,My_Audit!$A:$A,My_Audit!E:E,""),
_xlfn.IFS(_xlpm.MyAuditVal&lt;&gt;"",_xlpm.MyAuditVal,_xlpm.MacVal&lt;&gt;"",_xlpm.MacVal,_xlpm.CSVVal&lt;&gt;"",_xlpm.CSVVal
)),"")</f>
        <v/>
      </c>
      <c r="G1175" s="40" t="str" cm="1">
        <f t="array" ref="G1175">IFERROR(_xlfn.LET(
_xlpm.CSVVal,_xlfn.XLOOKUP($A1175,CSV!$A:$A,CSV!G:G,""),
_xlpm.MacVal,_xlfn.XLOOKUP($A1175,Output_Mac!$A:$A,Output_Mac!F:F,""),
_xlpm.MyAuditVal,_xlfn.XLOOKUP($A1175,My_Audit!$A:$A,My_Audit!F:F,""),
_xlfn.IFS(_xlpm.MyAuditVal&lt;&gt;"",_xlpm.MyAuditVal,_xlpm.MacVal&lt;&gt;"",_xlpm.MacVal,_xlpm.CSVVal&lt;&gt;"",PROPER(_xlpm.CSVVal)
)),"")</f>
        <v/>
      </c>
      <c r="H1175" s="40" t="str" cm="1">
        <f t="array" ref="H1175">IFERROR(_xlfn.LET(
_xlpm.CSVVal,_xlfn.XLOOKUP($A1175,CSV!$A:$A,CSV!H:H,""),
_xlpm.MacVal,_xlfn.XLOOKUP($A1175,Output_Mac!$A:$A,Output_Mac!H:H,""),
_xlpm.MyAuditVal,_xlfn.XLOOKUP($A1175,My_Audit!$A:$A,My_Audit!G:G,""),
_xlfn.IFS(_xlpm.MyAuditVal&lt;&gt;"",_xlpm.MyAuditVal,_xlpm.MacVal&lt;&gt;"",_xlpm.MacVal,_xlpm.CSVVal&lt;&gt;"",_xlpm.CSVVal
)),"")</f>
        <v/>
      </c>
      <c r="I1175" s="40" t="str">
        <f>_xlfn.XLOOKUP(A1175,Output_Mac!A:A,Output_Mac!I:I,"")</f>
        <v/>
      </c>
      <c r="J1175" s="40" t="str" cm="1">
        <f t="array" ref="J1175">IFERROR(_xlfn.LET(
_xlpm.CSVVal,_xlfn.XLOOKUP($A1175,CSV!$A:$A,CSV!I:I,""),
_xlpm.MacVal,_xlfn.XLOOKUP($A1175,Output_Mac!$A:$A,Output_Mac!J:J,""),
_xlpm.MyAuditVal,_xlfn.XLOOKUP($A1175,My_Audit!$A:$A,My_Audit!I:I,""),
_xlfn.IFS(_xlpm.MyAuditVal&lt;&gt;"",UPPER(_xlpm.MyAuditVal),_xlpm.MacVal&lt;&gt;"",_xlpm.MacVal,_xlpm.CSVVal&lt;&gt;"",_xlpm.CSVVal
)),"")</f>
        <v/>
      </c>
      <c r="K1175" s="40" t="str" cm="1">
        <f t="array" ref="K1175">IFERROR(_xlfn.LET(
_xlpm.CSVVal,_xlfn.XLOOKUP($A1175,CSV!$A:$A,CSV!K:K,""),
_xlpm.MacVal,_xlfn.XLOOKUP($A1175,Output_Mac!$A:$A,Output_Mac!K:K,""),
_xlpm.MyAuditVal,_xlfn.XLOOKUP($A1175,My_Audit!$A:$A,My_Audit!J:J,""),
_xlfn.IFS(_xlpm.MyAuditVal&lt;&gt;"",UPPER(_xlpm.MyAuditVal),_xlpm.MacVal&lt;&gt;"",_xlpm.MacVal,_xlpm.CSVVal&lt;&gt;"",_xlpm.CSVVal
)),"")</f>
        <v/>
      </c>
      <c r="L1175" s="40" t="str" cm="1">
        <f t="array" ref="L1175">IFERROR(_xlfn.LET(
_xlpm.CSVVal,_xlfn.XLOOKUP($A1175,CSV!$A:$A,CSV!P:P,""),
_xlpm.MacVal,_xlfn.XLOOKUP($A1175,Output_Mac!$A:$A,Output_Mac!L:L,""),
_xlpm.MyAuditVal,_xlfn.XLOOKUP($A1175,My_Audit!$A:$A,My_Audit!K:K,""),
_xlfn.IFS(_xlpm.MyAuditVal&lt;&gt;"",UPPER(_xlpm.MyAuditVal),_xlpm.MacVal&lt;&gt;"",_xlpm.MacVal,_xlpm.CSVVal&lt;&gt;"",_xlpm.CSVVal
)),"")</f>
        <v/>
      </c>
      <c r="M1175" s="40" t="str" cm="1">
        <f t="array" ref="M1175">IFERROR(_xlfn.LET(
_xlpm.CSVVal,_xlfn.XLOOKUP($A1175,CSV!$A:$A,CSV!Q:Q,""),
_xlpm.MacVal,_xlfn.XLOOKUP($A1175,Output_Mac!$A:$A,Output_Mac!M:M,""),
_xlpm.MyAuditVal,_xlfn.XLOOKUP($A1175,My_Audit!$A:$A,My_Audit!L:L,""),
_xlfn.IFS(_xlpm.MyAuditVal&lt;&gt;"",UPPER(_xlpm.MyAuditVal),_xlpm.MacVal&lt;&gt;"",_xlpm.MacVal,_xlpm.CSVVal&lt;&gt;"",_xlpm.CSVVal
)),"")</f>
        <v/>
      </c>
      <c r="N1175" s="40"/>
      <c r="O1175" s="40" t="str">
        <f>_xlfn.LET(
    _xlpm.CSVVal, _xlfn.XLOOKUP($A1175, CSV!$A:$A, CSV!AA:AA, ""),
    _xlpm.MacVal, _xlfn.XLOOKUP($A1175, Output_Mac!$A:$A, Output_Mac!S:S, ""),
    _xlpm.MyAuditVal, _xlfn.XLOOKUP($A1175, My_Audit!$A:$A, My_Audit!P:P, ""),
    _xlfn.TEXTJOIN(", ", TRUE, _xlpm.MyAuditVal, _xlpm.MacVal, _xlpm.CSVVal)
)</f>
        <v/>
      </c>
      <c r="P1175" s="40" t="str" cm="1">
        <f t="array" ref="P1175">IFERROR(_xlfn.LET(
_xlpm.CSVVal,_xlfn.XLOOKUP($A1175,CSV!$A:$A,CSV!AB:AB,""),
_xlpm.MacVal,_xlfn.XLOOKUP($A1175,Output_Mac!$A:$A,Output_Mac!T:T,""),
_xlpm.MyAuditVal,_xlfn.XLOOKUP($A1175,My_Audit!$A:$A,My_Audit!Q:Q,""),
_xlfn.IFS(_xlpm.MyAuditVal&lt;&gt;"",UPPER(_xlpm.MyAuditVal),_xlpm.MacVal&lt;&gt;"",_xlpm.MacVal,_xlpm.CSVVal&lt;&gt;"",_xlpm.CSVVal
)),"No")</f>
        <v>No</v>
      </c>
      <c r="Q1175" s="40" t="str" cm="1">
        <f t="array" ref="Q1175">IFERROR(_xlfn.LET(
_xlpm.CSVVal,_xlfn.XLOOKUP($A1175,CSV!$A:$A,CSV!AC:AC,""),
_xlpm.MacVal,_xlfn.XLOOKUP($A1175,Output_Mac!$A:$A,Output_Mac!U:U,""),
_xlpm.MyAuditVal,_xlfn.XLOOKUP($A1175,My_Audit!$A:$A,My_Audit!R:R,""),
_xlfn.IFS(_xlpm.MyAuditVal&lt;&gt;"",UPPER(_xlpm.MyAuditVal),_xlpm.MacVal&lt;&gt;"",_xlpm.MacVal,_xlpm.CSVVal&lt;&gt;"",_xlpm.CSVVal
)),"")</f>
        <v/>
      </c>
      <c r="R1175" s="40"/>
      <c r="S1175" s="40"/>
      <c r="T1175" s="40"/>
      <c r="U1175" s="40"/>
      <c r="V1175" s="40"/>
      <c r="W1175" s="40"/>
      <c r="X1175" s="41" t="str">
        <f>_xlfn.LET(
    _xlpm.MacVal, _xlfn.XLOOKUP($A1175, Output_Mac!$A:$A, Output_Mac!AB:AB, ""),
    _xlpm.MyAuditVal, _xlfn.XLOOKUP($A1175, My_Audit!$A:$A, My_Audit!N:N, ""),
    _xlfn.TEXTJOIN(", ", TRUE, _xlpm.MyAuditVal, _xlpm.MacVal)
)</f>
        <v/>
      </c>
    </row>
    <row r="1176" spans="1:24">
      <c r="A1176" s="40" t="str">
        <f>_xlfn.TEXTJOIN("",TRUE,Input!$B$2,ROW(My_Audit!A1175))</f>
        <v>X1175</v>
      </c>
      <c r="B1176" s="40" t="str">
        <f>_xlfn.TEXTJOIN("-",TRUE,"ITD",Input!$A$2,A1176)</f>
        <v>ITD-X1175</v>
      </c>
      <c r="C1176" s="40" t="str" cm="1">
        <f t="array" ref="C1176">IFERROR(_xlfn.LET(
_xlpm.CSVVal,_xlfn.XLOOKUP($A1176,CSV!$A:$A,CSV!B:B,""),
_xlpm.MacVal,_xlfn.XLOOKUP($A1176,Output_Mac!$A:$A,Output_Mac!B:B,""),
_xlpm.MyAuditVal,_xlfn.XLOOKUP($A1176,My_Audit!$A:$A,My_Audit!B:B,""),
_xlfn.IFS(_xlpm.MyAuditVal&lt;&gt;"",UPPER(_xlpm.MyAuditVal),_xlpm.MacVal&lt;&gt;"",_xlpm.MacVal,_xlpm.CSVVal&lt;&gt;"",_xlpm.CSVVal
)),"")</f>
        <v/>
      </c>
      <c r="D1176" s="40" t="str" cm="1">
        <f t="array" ref="D1176">IFERROR(_xlfn.LET(
_xlpm.CSVVal,_xlfn.XLOOKUP($A1176,CSV!$A:$A,CSV!D:D,""),
_xlpm.MacVal,_xlfn.XLOOKUP($A1176,Output_Mac!$A:$A,Output_Mac!C:C,""),
_xlpm.MyAuditVal,_xlfn.XLOOKUP($A1176,My_Audit!$A:$A,My_Audit!C:C,""),
_xlfn.IFS(_xlpm.MyAuditVal&lt;&gt;"",_xlpm.MyAuditVal,_xlpm.MacVal&lt;&gt;"",_xlpm.MacVal,_xlpm.CSVVal&lt;&gt;"",_xlpm.CSVVal
)),"")</f>
        <v/>
      </c>
      <c r="E1176" s="40" t="str">
        <f>_xlfn.XLOOKUP(A1176,My_Audit!A:A,My_Audit!D:D,"")</f>
        <v/>
      </c>
      <c r="F1176" s="40" t="str" cm="1">
        <f t="array" ref="F1176">IFERROR(_xlfn.LET(
_xlpm.CSVVal,_xlfn.XLOOKUP($A1176,CSV!$A:$A,CSV!F:F,""),
_xlpm.MacVal,_xlfn.XLOOKUP($A1176,Output_Mac!$A:$A,Output_Mac!E:E,""),
_xlpm.MyAuditVal,_xlfn.XLOOKUP($A1176,My_Audit!$A:$A,My_Audit!E:E,""),
_xlfn.IFS(_xlpm.MyAuditVal&lt;&gt;"",_xlpm.MyAuditVal,_xlpm.MacVal&lt;&gt;"",_xlpm.MacVal,_xlpm.CSVVal&lt;&gt;"",_xlpm.CSVVal
)),"")</f>
        <v/>
      </c>
      <c r="G1176" s="40" t="str" cm="1">
        <f t="array" ref="G1176">IFERROR(_xlfn.LET(
_xlpm.CSVVal,_xlfn.XLOOKUP($A1176,CSV!$A:$A,CSV!G:G,""),
_xlpm.MacVal,_xlfn.XLOOKUP($A1176,Output_Mac!$A:$A,Output_Mac!F:F,""),
_xlpm.MyAuditVal,_xlfn.XLOOKUP($A1176,My_Audit!$A:$A,My_Audit!F:F,""),
_xlfn.IFS(_xlpm.MyAuditVal&lt;&gt;"",_xlpm.MyAuditVal,_xlpm.MacVal&lt;&gt;"",_xlpm.MacVal,_xlpm.CSVVal&lt;&gt;"",PROPER(_xlpm.CSVVal)
)),"")</f>
        <v/>
      </c>
      <c r="H1176" s="40" t="str" cm="1">
        <f t="array" ref="H1176">IFERROR(_xlfn.LET(
_xlpm.CSVVal,_xlfn.XLOOKUP($A1176,CSV!$A:$A,CSV!H:H,""),
_xlpm.MacVal,_xlfn.XLOOKUP($A1176,Output_Mac!$A:$A,Output_Mac!H:H,""),
_xlpm.MyAuditVal,_xlfn.XLOOKUP($A1176,My_Audit!$A:$A,My_Audit!G:G,""),
_xlfn.IFS(_xlpm.MyAuditVal&lt;&gt;"",_xlpm.MyAuditVal,_xlpm.MacVal&lt;&gt;"",_xlpm.MacVal,_xlpm.CSVVal&lt;&gt;"",_xlpm.CSVVal
)),"")</f>
        <v/>
      </c>
      <c r="I1176" s="40" t="str">
        <f>_xlfn.XLOOKUP(A1176,Output_Mac!A:A,Output_Mac!I:I,"")</f>
        <v/>
      </c>
      <c r="J1176" s="40" t="str" cm="1">
        <f t="array" ref="J1176">IFERROR(_xlfn.LET(
_xlpm.CSVVal,_xlfn.XLOOKUP($A1176,CSV!$A:$A,CSV!I:I,""),
_xlpm.MacVal,_xlfn.XLOOKUP($A1176,Output_Mac!$A:$A,Output_Mac!J:J,""),
_xlpm.MyAuditVal,_xlfn.XLOOKUP($A1176,My_Audit!$A:$A,My_Audit!I:I,""),
_xlfn.IFS(_xlpm.MyAuditVal&lt;&gt;"",UPPER(_xlpm.MyAuditVal),_xlpm.MacVal&lt;&gt;"",_xlpm.MacVal,_xlpm.CSVVal&lt;&gt;"",_xlpm.CSVVal
)),"")</f>
        <v/>
      </c>
      <c r="K1176" s="40" t="str" cm="1">
        <f t="array" ref="K1176">IFERROR(_xlfn.LET(
_xlpm.CSVVal,_xlfn.XLOOKUP($A1176,CSV!$A:$A,CSV!K:K,""),
_xlpm.MacVal,_xlfn.XLOOKUP($A1176,Output_Mac!$A:$A,Output_Mac!K:K,""),
_xlpm.MyAuditVal,_xlfn.XLOOKUP($A1176,My_Audit!$A:$A,My_Audit!J:J,""),
_xlfn.IFS(_xlpm.MyAuditVal&lt;&gt;"",UPPER(_xlpm.MyAuditVal),_xlpm.MacVal&lt;&gt;"",_xlpm.MacVal,_xlpm.CSVVal&lt;&gt;"",_xlpm.CSVVal
)),"")</f>
        <v/>
      </c>
      <c r="L1176" s="40" t="str" cm="1">
        <f t="array" ref="L1176">IFERROR(_xlfn.LET(
_xlpm.CSVVal,_xlfn.XLOOKUP($A1176,CSV!$A:$A,CSV!P:P,""),
_xlpm.MacVal,_xlfn.XLOOKUP($A1176,Output_Mac!$A:$A,Output_Mac!L:L,""),
_xlpm.MyAuditVal,_xlfn.XLOOKUP($A1176,My_Audit!$A:$A,My_Audit!K:K,""),
_xlfn.IFS(_xlpm.MyAuditVal&lt;&gt;"",UPPER(_xlpm.MyAuditVal),_xlpm.MacVal&lt;&gt;"",_xlpm.MacVal,_xlpm.CSVVal&lt;&gt;"",_xlpm.CSVVal
)),"")</f>
        <v/>
      </c>
      <c r="M1176" s="40" t="str" cm="1">
        <f t="array" ref="M1176">IFERROR(_xlfn.LET(
_xlpm.CSVVal,_xlfn.XLOOKUP($A1176,CSV!$A:$A,CSV!Q:Q,""),
_xlpm.MacVal,_xlfn.XLOOKUP($A1176,Output_Mac!$A:$A,Output_Mac!M:M,""),
_xlpm.MyAuditVal,_xlfn.XLOOKUP($A1176,My_Audit!$A:$A,My_Audit!L:L,""),
_xlfn.IFS(_xlpm.MyAuditVal&lt;&gt;"",UPPER(_xlpm.MyAuditVal),_xlpm.MacVal&lt;&gt;"",_xlpm.MacVal,_xlpm.CSVVal&lt;&gt;"",_xlpm.CSVVal
)),"")</f>
        <v/>
      </c>
      <c r="N1176" s="40"/>
      <c r="O1176" s="40" t="str">
        <f>_xlfn.LET(
    _xlpm.CSVVal, _xlfn.XLOOKUP($A1176, CSV!$A:$A, CSV!AA:AA, ""),
    _xlpm.MacVal, _xlfn.XLOOKUP($A1176, Output_Mac!$A:$A, Output_Mac!S:S, ""),
    _xlpm.MyAuditVal, _xlfn.XLOOKUP($A1176, My_Audit!$A:$A, My_Audit!P:P, ""),
    _xlfn.TEXTJOIN(", ", TRUE, _xlpm.MyAuditVal, _xlpm.MacVal, _xlpm.CSVVal)
)</f>
        <v/>
      </c>
      <c r="P1176" s="40" t="str" cm="1">
        <f t="array" ref="P1176">IFERROR(_xlfn.LET(
_xlpm.CSVVal,_xlfn.XLOOKUP($A1176,CSV!$A:$A,CSV!AB:AB,""),
_xlpm.MacVal,_xlfn.XLOOKUP($A1176,Output_Mac!$A:$A,Output_Mac!T:T,""),
_xlpm.MyAuditVal,_xlfn.XLOOKUP($A1176,My_Audit!$A:$A,My_Audit!Q:Q,""),
_xlfn.IFS(_xlpm.MyAuditVal&lt;&gt;"",UPPER(_xlpm.MyAuditVal),_xlpm.MacVal&lt;&gt;"",_xlpm.MacVal,_xlpm.CSVVal&lt;&gt;"",_xlpm.CSVVal
)),"No")</f>
        <v>No</v>
      </c>
      <c r="Q1176" s="40" t="str" cm="1">
        <f t="array" ref="Q1176">IFERROR(_xlfn.LET(
_xlpm.CSVVal,_xlfn.XLOOKUP($A1176,CSV!$A:$A,CSV!AC:AC,""),
_xlpm.MacVal,_xlfn.XLOOKUP($A1176,Output_Mac!$A:$A,Output_Mac!U:U,""),
_xlpm.MyAuditVal,_xlfn.XLOOKUP($A1176,My_Audit!$A:$A,My_Audit!R:R,""),
_xlfn.IFS(_xlpm.MyAuditVal&lt;&gt;"",UPPER(_xlpm.MyAuditVal),_xlpm.MacVal&lt;&gt;"",_xlpm.MacVal,_xlpm.CSVVal&lt;&gt;"",_xlpm.CSVVal
)),"")</f>
        <v/>
      </c>
      <c r="R1176" s="40"/>
      <c r="S1176" s="40"/>
      <c r="T1176" s="40"/>
      <c r="U1176" s="40"/>
      <c r="V1176" s="40"/>
      <c r="W1176" s="40"/>
      <c r="X1176" s="41" t="str">
        <f>_xlfn.LET(
    _xlpm.MacVal, _xlfn.XLOOKUP($A1176, Output_Mac!$A:$A, Output_Mac!AB:AB, ""),
    _xlpm.MyAuditVal, _xlfn.XLOOKUP($A1176, My_Audit!$A:$A, My_Audit!N:N, ""),
    _xlfn.TEXTJOIN(", ", TRUE, _xlpm.MyAuditVal, _xlpm.MacVal)
)</f>
        <v/>
      </c>
    </row>
    <row r="1177" spans="1:24">
      <c r="A1177" s="40" t="str">
        <f>_xlfn.TEXTJOIN("",TRUE,Input!$B$2,ROW(My_Audit!A1176))</f>
        <v>X1176</v>
      </c>
      <c r="B1177" s="40" t="str">
        <f>_xlfn.TEXTJOIN("-",TRUE,"ITD",Input!$A$2,A1177)</f>
        <v>ITD-X1176</v>
      </c>
      <c r="C1177" s="40" t="str" cm="1">
        <f t="array" ref="C1177">IFERROR(_xlfn.LET(
_xlpm.CSVVal,_xlfn.XLOOKUP($A1177,CSV!$A:$A,CSV!B:B,""),
_xlpm.MacVal,_xlfn.XLOOKUP($A1177,Output_Mac!$A:$A,Output_Mac!B:B,""),
_xlpm.MyAuditVal,_xlfn.XLOOKUP($A1177,My_Audit!$A:$A,My_Audit!B:B,""),
_xlfn.IFS(_xlpm.MyAuditVal&lt;&gt;"",UPPER(_xlpm.MyAuditVal),_xlpm.MacVal&lt;&gt;"",_xlpm.MacVal,_xlpm.CSVVal&lt;&gt;"",_xlpm.CSVVal
)),"")</f>
        <v/>
      </c>
      <c r="D1177" s="40" t="str" cm="1">
        <f t="array" ref="D1177">IFERROR(_xlfn.LET(
_xlpm.CSVVal,_xlfn.XLOOKUP($A1177,CSV!$A:$A,CSV!D:D,""),
_xlpm.MacVal,_xlfn.XLOOKUP($A1177,Output_Mac!$A:$A,Output_Mac!C:C,""),
_xlpm.MyAuditVal,_xlfn.XLOOKUP($A1177,My_Audit!$A:$A,My_Audit!C:C,""),
_xlfn.IFS(_xlpm.MyAuditVal&lt;&gt;"",_xlpm.MyAuditVal,_xlpm.MacVal&lt;&gt;"",_xlpm.MacVal,_xlpm.CSVVal&lt;&gt;"",_xlpm.CSVVal
)),"")</f>
        <v/>
      </c>
      <c r="E1177" s="40" t="str">
        <f>_xlfn.XLOOKUP(A1177,My_Audit!A:A,My_Audit!D:D,"")</f>
        <v/>
      </c>
      <c r="F1177" s="40" t="str" cm="1">
        <f t="array" ref="F1177">IFERROR(_xlfn.LET(
_xlpm.CSVVal,_xlfn.XLOOKUP($A1177,CSV!$A:$A,CSV!F:F,""),
_xlpm.MacVal,_xlfn.XLOOKUP($A1177,Output_Mac!$A:$A,Output_Mac!E:E,""),
_xlpm.MyAuditVal,_xlfn.XLOOKUP($A1177,My_Audit!$A:$A,My_Audit!E:E,""),
_xlfn.IFS(_xlpm.MyAuditVal&lt;&gt;"",_xlpm.MyAuditVal,_xlpm.MacVal&lt;&gt;"",_xlpm.MacVal,_xlpm.CSVVal&lt;&gt;"",_xlpm.CSVVal
)),"")</f>
        <v/>
      </c>
      <c r="G1177" s="40" t="str" cm="1">
        <f t="array" ref="G1177">IFERROR(_xlfn.LET(
_xlpm.CSVVal,_xlfn.XLOOKUP($A1177,CSV!$A:$A,CSV!G:G,""),
_xlpm.MacVal,_xlfn.XLOOKUP($A1177,Output_Mac!$A:$A,Output_Mac!F:F,""),
_xlpm.MyAuditVal,_xlfn.XLOOKUP($A1177,My_Audit!$A:$A,My_Audit!F:F,""),
_xlfn.IFS(_xlpm.MyAuditVal&lt;&gt;"",_xlpm.MyAuditVal,_xlpm.MacVal&lt;&gt;"",_xlpm.MacVal,_xlpm.CSVVal&lt;&gt;"",PROPER(_xlpm.CSVVal)
)),"")</f>
        <v/>
      </c>
      <c r="H1177" s="40" t="str" cm="1">
        <f t="array" ref="H1177">IFERROR(_xlfn.LET(
_xlpm.CSVVal,_xlfn.XLOOKUP($A1177,CSV!$A:$A,CSV!H:H,""),
_xlpm.MacVal,_xlfn.XLOOKUP($A1177,Output_Mac!$A:$A,Output_Mac!H:H,""),
_xlpm.MyAuditVal,_xlfn.XLOOKUP($A1177,My_Audit!$A:$A,My_Audit!G:G,""),
_xlfn.IFS(_xlpm.MyAuditVal&lt;&gt;"",_xlpm.MyAuditVal,_xlpm.MacVal&lt;&gt;"",_xlpm.MacVal,_xlpm.CSVVal&lt;&gt;"",_xlpm.CSVVal
)),"")</f>
        <v/>
      </c>
      <c r="I1177" s="40" t="str">
        <f>_xlfn.XLOOKUP(A1177,Output_Mac!A:A,Output_Mac!I:I,"")</f>
        <v/>
      </c>
      <c r="J1177" s="40" t="str" cm="1">
        <f t="array" ref="J1177">IFERROR(_xlfn.LET(
_xlpm.CSVVal,_xlfn.XLOOKUP($A1177,CSV!$A:$A,CSV!I:I,""),
_xlpm.MacVal,_xlfn.XLOOKUP($A1177,Output_Mac!$A:$A,Output_Mac!J:J,""),
_xlpm.MyAuditVal,_xlfn.XLOOKUP($A1177,My_Audit!$A:$A,My_Audit!I:I,""),
_xlfn.IFS(_xlpm.MyAuditVal&lt;&gt;"",UPPER(_xlpm.MyAuditVal),_xlpm.MacVal&lt;&gt;"",_xlpm.MacVal,_xlpm.CSVVal&lt;&gt;"",_xlpm.CSVVal
)),"")</f>
        <v/>
      </c>
      <c r="K1177" s="40" t="str" cm="1">
        <f t="array" ref="K1177">IFERROR(_xlfn.LET(
_xlpm.CSVVal,_xlfn.XLOOKUP($A1177,CSV!$A:$A,CSV!K:K,""),
_xlpm.MacVal,_xlfn.XLOOKUP($A1177,Output_Mac!$A:$A,Output_Mac!K:K,""),
_xlpm.MyAuditVal,_xlfn.XLOOKUP($A1177,My_Audit!$A:$A,My_Audit!J:J,""),
_xlfn.IFS(_xlpm.MyAuditVal&lt;&gt;"",UPPER(_xlpm.MyAuditVal),_xlpm.MacVal&lt;&gt;"",_xlpm.MacVal,_xlpm.CSVVal&lt;&gt;"",_xlpm.CSVVal
)),"")</f>
        <v/>
      </c>
      <c r="L1177" s="40" t="str" cm="1">
        <f t="array" ref="L1177">IFERROR(_xlfn.LET(
_xlpm.CSVVal,_xlfn.XLOOKUP($A1177,CSV!$A:$A,CSV!P:P,""),
_xlpm.MacVal,_xlfn.XLOOKUP($A1177,Output_Mac!$A:$A,Output_Mac!L:L,""),
_xlpm.MyAuditVal,_xlfn.XLOOKUP($A1177,My_Audit!$A:$A,My_Audit!K:K,""),
_xlfn.IFS(_xlpm.MyAuditVal&lt;&gt;"",UPPER(_xlpm.MyAuditVal),_xlpm.MacVal&lt;&gt;"",_xlpm.MacVal,_xlpm.CSVVal&lt;&gt;"",_xlpm.CSVVal
)),"")</f>
        <v/>
      </c>
      <c r="M1177" s="40" t="str" cm="1">
        <f t="array" ref="M1177">IFERROR(_xlfn.LET(
_xlpm.CSVVal,_xlfn.XLOOKUP($A1177,CSV!$A:$A,CSV!Q:Q,""),
_xlpm.MacVal,_xlfn.XLOOKUP($A1177,Output_Mac!$A:$A,Output_Mac!M:M,""),
_xlpm.MyAuditVal,_xlfn.XLOOKUP($A1177,My_Audit!$A:$A,My_Audit!L:L,""),
_xlfn.IFS(_xlpm.MyAuditVal&lt;&gt;"",UPPER(_xlpm.MyAuditVal),_xlpm.MacVal&lt;&gt;"",_xlpm.MacVal,_xlpm.CSVVal&lt;&gt;"",_xlpm.CSVVal
)),"")</f>
        <v/>
      </c>
      <c r="N1177" s="40"/>
      <c r="O1177" s="40" t="str">
        <f>_xlfn.LET(
    _xlpm.CSVVal, _xlfn.XLOOKUP($A1177, CSV!$A:$A, CSV!AA:AA, ""),
    _xlpm.MacVal, _xlfn.XLOOKUP($A1177, Output_Mac!$A:$A, Output_Mac!S:S, ""),
    _xlpm.MyAuditVal, _xlfn.XLOOKUP($A1177, My_Audit!$A:$A, My_Audit!P:P, ""),
    _xlfn.TEXTJOIN(", ", TRUE, _xlpm.MyAuditVal, _xlpm.MacVal, _xlpm.CSVVal)
)</f>
        <v/>
      </c>
      <c r="P1177" s="40" t="str" cm="1">
        <f t="array" ref="P1177">IFERROR(_xlfn.LET(
_xlpm.CSVVal,_xlfn.XLOOKUP($A1177,CSV!$A:$A,CSV!AB:AB,""),
_xlpm.MacVal,_xlfn.XLOOKUP($A1177,Output_Mac!$A:$A,Output_Mac!T:T,""),
_xlpm.MyAuditVal,_xlfn.XLOOKUP($A1177,My_Audit!$A:$A,My_Audit!Q:Q,""),
_xlfn.IFS(_xlpm.MyAuditVal&lt;&gt;"",UPPER(_xlpm.MyAuditVal),_xlpm.MacVal&lt;&gt;"",_xlpm.MacVal,_xlpm.CSVVal&lt;&gt;"",_xlpm.CSVVal
)),"No")</f>
        <v>No</v>
      </c>
      <c r="Q1177" s="40" t="str" cm="1">
        <f t="array" ref="Q1177">IFERROR(_xlfn.LET(
_xlpm.CSVVal,_xlfn.XLOOKUP($A1177,CSV!$A:$A,CSV!AC:AC,""),
_xlpm.MacVal,_xlfn.XLOOKUP($A1177,Output_Mac!$A:$A,Output_Mac!U:U,""),
_xlpm.MyAuditVal,_xlfn.XLOOKUP($A1177,My_Audit!$A:$A,My_Audit!R:R,""),
_xlfn.IFS(_xlpm.MyAuditVal&lt;&gt;"",UPPER(_xlpm.MyAuditVal),_xlpm.MacVal&lt;&gt;"",_xlpm.MacVal,_xlpm.CSVVal&lt;&gt;"",_xlpm.CSVVal
)),"")</f>
        <v/>
      </c>
      <c r="R1177" s="40"/>
      <c r="S1177" s="40"/>
      <c r="T1177" s="40"/>
      <c r="U1177" s="40"/>
      <c r="V1177" s="40"/>
      <c r="W1177" s="40"/>
      <c r="X1177" s="41" t="str">
        <f>_xlfn.LET(
    _xlpm.MacVal, _xlfn.XLOOKUP($A1177, Output_Mac!$A:$A, Output_Mac!AB:AB, ""),
    _xlpm.MyAuditVal, _xlfn.XLOOKUP($A1177, My_Audit!$A:$A, My_Audit!N:N, ""),
    _xlfn.TEXTJOIN(", ", TRUE, _xlpm.MyAuditVal, _xlpm.MacVal)
)</f>
        <v/>
      </c>
    </row>
    <row r="1178" spans="1:24">
      <c r="A1178" s="40" t="str">
        <f>_xlfn.TEXTJOIN("",TRUE,Input!$B$2,ROW(My_Audit!A1177))</f>
        <v>X1177</v>
      </c>
      <c r="B1178" s="40" t="str">
        <f>_xlfn.TEXTJOIN("-",TRUE,"ITD",Input!$A$2,A1178)</f>
        <v>ITD-X1177</v>
      </c>
      <c r="C1178" s="40" t="str" cm="1">
        <f t="array" ref="C1178">IFERROR(_xlfn.LET(
_xlpm.CSVVal,_xlfn.XLOOKUP($A1178,CSV!$A:$A,CSV!B:B,""),
_xlpm.MacVal,_xlfn.XLOOKUP($A1178,Output_Mac!$A:$A,Output_Mac!B:B,""),
_xlpm.MyAuditVal,_xlfn.XLOOKUP($A1178,My_Audit!$A:$A,My_Audit!B:B,""),
_xlfn.IFS(_xlpm.MyAuditVal&lt;&gt;"",UPPER(_xlpm.MyAuditVal),_xlpm.MacVal&lt;&gt;"",_xlpm.MacVal,_xlpm.CSVVal&lt;&gt;"",_xlpm.CSVVal
)),"")</f>
        <v/>
      </c>
      <c r="D1178" s="40" t="str" cm="1">
        <f t="array" ref="D1178">IFERROR(_xlfn.LET(
_xlpm.CSVVal,_xlfn.XLOOKUP($A1178,CSV!$A:$A,CSV!D:D,""),
_xlpm.MacVal,_xlfn.XLOOKUP($A1178,Output_Mac!$A:$A,Output_Mac!C:C,""),
_xlpm.MyAuditVal,_xlfn.XLOOKUP($A1178,My_Audit!$A:$A,My_Audit!C:C,""),
_xlfn.IFS(_xlpm.MyAuditVal&lt;&gt;"",_xlpm.MyAuditVal,_xlpm.MacVal&lt;&gt;"",_xlpm.MacVal,_xlpm.CSVVal&lt;&gt;"",_xlpm.CSVVal
)),"")</f>
        <v/>
      </c>
      <c r="E1178" s="40" t="str">
        <f>_xlfn.XLOOKUP(A1178,My_Audit!A:A,My_Audit!D:D,"")</f>
        <v/>
      </c>
      <c r="F1178" s="40" t="str" cm="1">
        <f t="array" ref="F1178">IFERROR(_xlfn.LET(
_xlpm.CSVVal,_xlfn.XLOOKUP($A1178,CSV!$A:$A,CSV!F:F,""),
_xlpm.MacVal,_xlfn.XLOOKUP($A1178,Output_Mac!$A:$A,Output_Mac!E:E,""),
_xlpm.MyAuditVal,_xlfn.XLOOKUP($A1178,My_Audit!$A:$A,My_Audit!E:E,""),
_xlfn.IFS(_xlpm.MyAuditVal&lt;&gt;"",_xlpm.MyAuditVal,_xlpm.MacVal&lt;&gt;"",_xlpm.MacVal,_xlpm.CSVVal&lt;&gt;"",_xlpm.CSVVal
)),"")</f>
        <v/>
      </c>
      <c r="G1178" s="40" t="str" cm="1">
        <f t="array" ref="G1178">IFERROR(_xlfn.LET(
_xlpm.CSVVal,_xlfn.XLOOKUP($A1178,CSV!$A:$A,CSV!G:G,""),
_xlpm.MacVal,_xlfn.XLOOKUP($A1178,Output_Mac!$A:$A,Output_Mac!F:F,""),
_xlpm.MyAuditVal,_xlfn.XLOOKUP($A1178,My_Audit!$A:$A,My_Audit!F:F,""),
_xlfn.IFS(_xlpm.MyAuditVal&lt;&gt;"",_xlpm.MyAuditVal,_xlpm.MacVal&lt;&gt;"",_xlpm.MacVal,_xlpm.CSVVal&lt;&gt;"",PROPER(_xlpm.CSVVal)
)),"")</f>
        <v/>
      </c>
      <c r="H1178" s="40" t="str" cm="1">
        <f t="array" ref="H1178">IFERROR(_xlfn.LET(
_xlpm.CSVVal,_xlfn.XLOOKUP($A1178,CSV!$A:$A,CSV!H:H,""),
_xlpm.MacVal,_xlfn.XLOOKUP($A1178,Output_Mac!$A:$A,Output_Mac!H:H,""),
_xlpm.MyAuditVal,_xlfn.XLOOKUP($A1178,My_Audit!$A:$A,My_Audit!G:G,""),
_xlfn.IFS(_xlpm.MyAuditVal&lt;&gt;"",_xlpm.MyAuditVal,_xlpm.MacVal&lt;&gt;"",_xlpm.MacVal,_xlpm.CSVVal&lt;&gt;"",_xlpm.CSVVal
)),"")</f>
        <v/>
      </c>
      <c r="I1178" s="40" t="str">
        <f>_xlfn.XLOOKUP(A1178,Output_Mac!A:A,Output_Mac!I:I,"")</f>
        <v/>
      </c>
      <c r="J1178" s="40" t="str" cm="1">
        <f t="array" ref="J1178">IFERROR(_xlfn.LET(
_xlpm.CSVVal,_xlfn.XLOOKUP($A1178,CSV!$A:$A,CSV!I:I,""),
_xlpm.MacVal,_xlfn.XLOOKUP($A1178,Output_Mac!$A:$A,Output_Mac!J:J,""),
_xlpm.MyAuditVal,_xlfn.XLOOKUP($A1178,My_Audit!$A:$A,My_Audit!I:I,""),
_xlfn.IFS(_xlpm.MyAuditVal&lt;&gt;"",UPPER(_xlpm.MyAuditVal),_xlpm.MacVal&lt;&gt;"",_xlpm.MacVal,_xlpm.CSVVal&lt;&gt;"",_xlpm.CSVVal
)),"")</f>
        <v/>
      </c>
      <c r="K1178" s="40" t="str" cm="1">
        <f t="array" ref="K1178">IFERROR(_xlfn.LET(
_xlpm.CSVVal,_xlfn.XLOOKUP($A1178,CSV!$A:$A,CSV!K:K,""),
_xlpm.MacVal,_xlfn.XLOOKUP($A1178,Output_Mac!$A:$A,Output_Mac!K:K,""),
_xlpm.MyAuditVal,_xlfn.XLOOKUP($A1178,My_Audit!$A:$A,My_Audit!J:J,""),
_xlfn.IFS(_xlpm.MyAuditVal&lt;&gt;"",UPPER(_xlpm.MyAuditVal),_xlpm.MacVal&lt;&gt;"",_xlpm.MacVal,_xlpm.CSVVal&lt;&gt;"",_xlpm.CSVVal
)),"")</f>
        <v/>
      </c>
      <c r="L1178" s="40" t="str" cm="1">
        <f t="array" ref="L1178">IFERROR(_xlfn.LET(
_xlpm.CSVVal,_xlfn.XLOOKUP($A1178,CSV!$A:$A,CSV!P:P,""),
_xlpm.MacVal,_xlfn.XLOOKUP($A1178,Output_Mac!$A:$A,Output_Mac!L:L,""),
_xlpm.MyAuditVal,_xlfn.XLOOKUP($A1178,My_Audit!$A:$A,My_Audit!K:K,""),
_xlfn.IFS(_xlpm.MyAuditVal&lt;&gt;"",UPPER(_xlpm.MyAuditVal),_xlpm.MacVal&lt;&gt;"",_xlpm.MacVal,_xlpm.CSVVal&lt;&gt;"",_xlpm.CSVVal
)),"")</f>
        <v/>
      </c>
      <c r="M1178" s="40" t="str" cm="1">
        <f t="array" ref="M1178">IFERROR(_xlfn.LET(
_xlpm.CSVVal,_xlfn.XLOOKUP($A1178,CSV!$A:$A,CSV!Q:Q,""),
_xlpm.MacVal,_xlfn.XLOOKUP($A1178,Output_Mac!$A:$A,Output_Mac!M:M,""),
_xlpm.MyAuditVal,_xlfn.XLOOKUP($A1178,My_Audit!$A:$A,My_Audit!L:L,""),
_xlfn.IFS(_xlpm.MyAuditVal&lt;&gt;"",UPPER(_xlpm.MyAuditVal),_xlpm.MacVal&lt;&gt;"",_xlpm.MacVal,_xlpm.CSVVal&lt;&gt;"",_xlpm.CSVVal
)),"")</f>
        <v/>
      </c>
      <c r="N1178" s="40"/>
      <c r="O1178" s="40" t="str">
        <f>_xlfn.LET(
    _xlpm.CSVVal, _xlfn.XLOOKUP($A1178, CSV!$A:$A, CSV!AA:AA, ""),
    _xlpm.MacVal, _xlfn.XLOOKUP($A1178, Output_Mac!$A:$A, Output_Mac!S:S, ""),
    _xlpm.MyAuditVal, _xlfn.XLOOKUP($A1178, My_Audit!$A:$A, My_Audit!P:P, ""),
    _xlfn.TEXTJOIN(", ", TRUE, _xlpm.MyAuditVal, _xlpm.MacVal, _xlpm.CSVVal)
)</f>
        <v/>
      </c>
      <c r="P1178" s="40" t="str" cm="1">
        <f t="array" ref="P1178">IFERROR(_xlfn.LET(
_xlpm.CSVVal,_xlfn.XLOOKUP($A1178,CSV!$A:$A,CSV!AB:AB,""),
_xlpm.MacVal,_xlfn.XLOOKUP($A1178,Output_Mac!$A:$A,Output_Mac!T:T,""),
_xlpm.MyAuditVal,_xlfn.XLOOKUP($A1178,My_Audit!$A:$A,My_Audit!Q:Q,""),
_xlfn.IFS(_xlpm.MyAuditVal&lt;&gt;"",UPPER(_xlpm.MyAuditVal),_xlpm.MacVal&lt;&gt;"",_xlpm.MacVal,_xlpm.CSVVal&lt;&gt;"",_xlpm.CSVVal
)),"No")</f>
        <v>No</v>
      </c>
      <c r="Q1178" s="40" t="str" cm="1">
        <f t="array" ref="Q1178">IFERROR(_xlfn.LET(
_xlpm.CSVVal,_xlfn.XLOOKUP($A1178,CSV!$A:$A,CSV!AC:AC,""),
_xlpm.MacVal,_xlfn.XLOOKUP($A1178,Output_Mac!$A:$A,Output_Mac!U:U,""),
_xlpm.MyAuditVal,_xlfn.XLOOKUP($A1178,My_Audit!$A:$A,My_Audit!R:R,""),
_xlfn.IFS(_xlpm.MyAuditVal&lt;&gt;"",UPPER(_xlpm.MyAuditVal),_xlpm.MacVal&lt;&gt;"",_xlpm.MacVal,_xlpm.CSVVal&lt;&gt;"",_xlpm.CSVVal
)),"")</f>
        <v/>
      </c>
      <c r="R1178" s="40"/>
      <c r="S1178" s="40"/>
      <c r="T1178" s="40"/>
      <c r="U1178" s="40"/>
      <c r="V1178" s="40"/>
      <c r="W1178" s="40"/>
      <c r="X1178" s="41" t="str">
        <f>_xlfn.LET(
    _xlpm.MacVal, _xlfn.XLOOKUP($A1178, Output_Mac!$A:$A, Output_Mac!AB:AB, ""),
    _xlpm.MyAuditVal, _xlfn.XLOOKUP($A1178, My_Audit!$A:$A, My_Audit!N:N, ""),
    _xlfn.TEXTJOIN(", ", TRUE, _xlpm.MyAuditVal, _xlpm.MacVal)
)</f>
        <v/>
      </c>
    </row>
    <row r="1179" spans="1:24">
      <c r="A1179" s="40" t="str">
        <f>_xlfn.TEXTJOIN("",TRUE,Input!$B$2,ROW(My_Audit!A1178))</f>
        <v>X1178</v>
      </c>
      <c r="B1179" s="40" t="str">
        <f>_xlfn.TEXTJOIN("-",TRUE,"ITD",Input!$A$2,A1179)</f>
        <v>ITD-X1178</v>
      </c>
      <c r="C1179" s="40" t="str" cm="1">
        <f t="array" ref="C1179">IFERROR(_xlfn.LET(
_xlpm.CSVVal,_xlfn.XLOOKUP($A1179,CSV!$A:$A,CSV!B:B,""),
_xlpm.MacVal,_xlfn.XLOOKUP($A1179,Output_Mac!$A:$A,Output_Mac!B:B,""),
_xlpm.MyAuditVal,_xlfn.XLOOKUP($A1179,My_Audit!$A:$A,My_Audit!B:B,""),
_xlfn.IFS(_xlpm.MyAuditVal&lt;&gt;"",UPPER(_xlpm.MyAuditVal),_xlpm.MacVal&lt;&gt;"",_xlpm.MacVal,_xlpm.CSVVal&lt;&gt;"",_xlpm.CSVVal
)),"")</f>
        <v/>
      </c>
      <c r="D1179" s="40" t="str" cm="1">
        <f t="array" ref="D1179">IFERROR(_xlfn.LET(
_xlpm.CSVVal,_xlfn.XLOOKUP($A1179,CSV!$A:$A,CSV!D:D,""),
_xlpm.MacVal,_xlfn.XLOOKUP($A1179,Output_Mac!$A:$A,Output_Mac!C:C,""),
_xlpm.MyAuditVal,_xlfn.XLOOKUP($A1179,My_Audit!$A:$A,My_Audit!C:C,""),
_xlfn.IFS(_xlpm.MyAuditVal&lt;&gt;"",_xlpm.MyAuditVal,_xlpm.MacVal&lt;&gt;"",_xlpm.MacVal,_xlpm.CSVVal&lt;&gt;"",_xlpm.CSVVal
)),"")</f>
        <v/>
      </c>
      <c r="E1179" s="40" t="str">
        <f>_xlfn.XLOOKUP(A1179,My_Audit!A:A,My_Audit!D:D,"")</f>
        <v/>
      </c>
      <c r="F1179" s="40" t="str" cm="1">
        <f t="array" ref="F1179">IFERROR(_xlfn.LET(
_xlpm.CSVVal,_xlfn.XLOOKUP($A1179,CSV!$A:$A,CSV!F:F,""),
_xlpm.MacVal,_xlfn.XLOOKUP($A1179,Output_Mac!$A:$A,Output_Mac!E:E,""),
_xlpm.MyAuditVal,_xlfn.XLOOKUP($A1179,My_Audit!$A:$A,My_Audit!E:E,""),
_xlfn.IFS(_xlpm.MyAuditVal&lt;&gt;"",_xlpm.MyAuditVal,_xlpm.MacVal&lt;&gt;"",_xlpm.MacVal,_xlpm.CSVVal&lt;&gt;"",_xlpm.CSVVal
)),"")</f>
        <v/>
      </c>
      <c r="G1179" s="40" t="str" cm="1">
        <f t="array" ref="G1179">IFERROR(_xlfn.LET(
_xlpm.CSVVal,_xlfn.XLOOKUP($A1179,CSV!$A:$A,CSV!G:G,""),
_xlpm.MacVal,_xlfn.XLOOKUP($A1179,Output_Mac!$A:$A,Output_Mac!F:F,""),
_xlpm.MyAuditVal,_xlfn.XLOOKUP($A1179,My_Audit!$A:$A,My_Audit!F:F,""),
_xlfn.IFS(_xlpm.MyAuditVal&lt;&gt;"",_xlpm.MyAuditVal,_xlpm.MacVal&lt;&gt;"",_xlpm.MacVal,_xlpm.CSVVal&lt;&gt;"",PROPER(_xlpm.CSVVal)
)),"")</f>
        <v/>
      </c>
      <c r="H1179" s="40" t="str" cm="1">
        <f t="array" ref="H1179">IFERROR(_xlfn.LET(
_xlpm.CSVVal,_xlfn.XLOOKUP($A1179,CSV!$A:$A,CSV!H:H,""),
_xlpm.MacVal,_xlfn.XLOOKUP($A1179,Output_Mac!$A:$A,Output_Mac!H:H,""),
_xlpm.MyAuditVal,_xlfn.XLOOKUP($A1179,My_Audit!$A:$A,My_Audit!G:G,""),
_xlfn.IFS(_xlpm.MyAuditVal&lt;&gt;"",_xlpm.MyAuditVal,_xlpm.MacVal&lt;&gt;"",_xlpm.MacVal,_xlpm.CSVVal&lt;&gt;"",_xlpm.CSVVal
)),"")</f>
        <v/>
      </c>
      <c r="I1179" s="40" t="str">
        <f>_xlfn.XLOOKUP(A1179,Output_Mac!A:A,Output_Mac!I:I,"")</f>
        <v/>
      </c>
      <c r="J1179" s="40" t="str" cm="1">
        <f t="array" ref="J1179">IFERROR(_xlfn.LET(
_xlpm.CSVVal,_xlfn.XLOOKUP($A1179,CSV!$A:$A,CSV!I:I,""),
_xlpm.MacVal,_xlfn.XLOOKUP($A1179,Output_Mac!$A:$A,Output_Mac!J:J,""),
_xlpm.MyAuditVal,_xlfn.XLOOKUP($A1179,My_Audit!$A:$A,My_Audit!I:I,""),
_xlfn.IFS(_xlpm.MyAuditVal&lt;&gt;"",UPPER(_xlpm.MyAuditVal),_xlpm.MacVal&lt;&gt;"",_xlpm.MacVal,_xlpm.CSVVal&lt;&gt;"",_xlpm.CSVVal
)),"")</f>
        <v/>
      </c>
      <c r="K1179" s="40" t="str" cm="1">
        <f t="array" ref="K1179">IFERROR(_xlfn.LET(
_xlpm.CSVVal,_xlfn.XLOOKUP($A1179,CSV!$A:$A,CSV!K:K,""),
_xlpm.MacVal,_xlfn.XLOOKUP($A1179,Output_Mac!$A:$A,Output_Mac!K:K,""),
_xlpm.MyAuditVal,_xlfn.XLOOKUP($A1179,My_Audit!$A:$A,My_Audit!J:J,""),
_xlfn.IFS(_xlpm.MyAuditVal&lt;&gt;"",UPPER(_xlpm.MyAuditVal),_xlpm.MacVal&lt;&gt;"",_xlpm.MacVal,_xlpm.CSVVal&lt;&gt;"",_xlpm.CSVVal
)),"")</f>
        <v/>
      </c>
      <c r="L1179" s="40" t="str" cm="1">
        <f t="array" ref="L1179">IFERROR(_xlfn.LET(
_xlpm.CSVVal,_xlfn.XLOOKUP($A1179,CSV!$A:$A,CSV!P:P,""),
_xlpm.MacVal,_xlfn.XLOOKUP($A1179,Output_Mac!$A:$A,Output_Mac!L:L,""),
_xlpm.MyAuditVal,_xlfn.XLOOKUP($A1179,My_Audit!$A:$A,My_Audit!K:K,""),
_xlfn.IFS(_xlpm.MyAuditVal&lt;&gt;"",UPPER(_xlpm.MyAuditVal),_xlpm.MacVal&lt;&gt;"",_xlpm.MacVal,_xlpm.CSVVal&lt;&gt;"",_xlpm.CSVVal
)),"")</f>
        <v/>
      </c>
      <c r="M1179" s="40" t="str" cm="1">
        <f t="array" ref="M1179">IFERROR(_xlfn.LET(
_xlpm.CSVVal,_xlfn.XLOOKUP($A1179,CSV!$A:$A,CSV!Q:Q,""),
_xlpm.MacVal,_xlfn.XLOOKUP($A1179,Output_Mac!$A:$A,Output_Mac!M:M,""),
_xlpm.MyAuditVal,_xlfn.XLOOKUP($A1179,My_Audit!$A:$A,My_Audit!L:L,""),
_xlfn.IFS(_xlpm.MyAuditVal&lt;&gt;"",UPPER(_xlpm.MyAuditVal),_xlpm.MacVal&lt;&gt;"",_xlpm.MacVal,_xlpm.CSVVal&lt;&gt;"",_xlpm.CSVVal
)),"")</f>
        <v/>
      </c>
      <c r="N1179" s="40"/>
      <c r="O1179" s="40" t="str">
        <f>_xlfn.LET(
    _xlpm.CSVVal, _xlfn.XLOOKUP($A1179, CSV!$A:$A, CSV!AA:AA, ""),
    _xlpm.MacVal, _xlfn.XLOOKUP($A1179, Output_Mac!$A:$A, Output_Mac!S:S, ""),
    _xlpm.MyAuditVal, _xlfn.XLOOKUP($A1179, My_Audit!$A:$A, My_Audit!P:P, ""),
    _xlfn.TEXTJOIN(", ", TRUE, _xlpm.MyAuditVal, _xlpm.MacVal, _xlpm.CSVVal)
)</f>
        <v/>
      </c>
      <c r="P1179" s="40" t="str" cm="1">
        <f t="array" ref="P1179">IFERROR(_xlfn.LET(
_xlpm.CSVVal,_xlfn.XLOOKUP($A1179,CSV!$A:$A,CSV!AB:AB,""),
_xlpm.MacVal,_xlfn.XLOOKUP($A1179,Output_Mac!$A:$A,Output_Mac!T:T,""),
_xlpm.MyAuditVal,_xlfn.XLOOKUP($A1179,My_Audit!$A:$A,My_Audit!Q:Q,""),
_xlfn.IFS(_xlpm.MyAuditVal&lt;&gt;"",UPPER(_xlpm.MyAuditVal),_xlpm.MacVal&lt;&gt;"",_xlpm.MacVal,_xlpm.CSVVal&lt;&gt;"",_xlpm.CSVVal
)),"No")</f>
        <v>No</v>
      </c>
      <c r="Q1179" s="40" t="str" cm="1">
        <f t="array" ref="Q1179">IFERROR(_xlfn.LET(
_xlpm.CSVVal,_xlfn.XLOOKUP($A1179,CSV!$A:$A,CSV!AC:AC,""),
_xlpm.MacVal,_xlfn.XLOOKUP($A1179,Output_Mac!$A:$A,Output_Mac!U:U,""),
_xlpm.MyAuditVal,_xlfn.XLOOKUP($A1179,My_Audit!$A:$A,My_Audit!R:R,""),
_xlfn.IFS(_xlpm.MyAuditVal&lt;&gt;"",UPPER(_xlpm.MyAuditVal),_xlpm.MacVal&lt;&gt;"",_xlpm.MacVal,_xlpm.CSVVal&lt;&gt;"",_xlpm.CSVVal
)),"")</f>
        <v/>
      </c>
      <c r="R1179" s="40"/>
      <c r="S1179" s="40"/>
      <c r="T1179" s="40"/>
      <c r="U1179" s="40"/>
      <c r="V1179" s="40"/>
      <c r="W1179" s="40"/>
      <c r="X1179" s="41" t="str">
        <f>_xlfn.LET(
    _xlpm.MacVal, _xlfn.XLOOKUP($A1179, Output_Mac!$A:$A, Output_Mac!AB:AB, ""),
    _xlpm.MyAuditVal, _xlfn.XLOOKUP($A1179, My_Audit!$A:$A, My_Audit!N:N, ""),
    _xlfn.TEXTJOIN(", ", TRUE, _xlpm.MyAuditVal, _xlpm.MacVal)
)</f>
        <v/>
      </c>
    </row>
    <row r="1180" spans="1:24">
      <c r="A1180" s="40" t="str">
        <f>_xlfn.TEXTJOIN("",TRUE,Input!$B$2,ROW(My_Audit!A1179))</f>
        <v>X1179</v>
      </c>
      <c r="B1180" s="40" t="str">
        <f>_xlfn.TEXTJOIN("-",TRUE,"ITD",Input!$A$2,A1180)</f>
        <v>ITD-X1179</v>
      </c>
      <c r="C1180" s="40" t="str" cm="1">
        <f t="array" ref="C1180">IFERROR(_xlfn.LET(
_xlpm.CSVVal,_xlfn.XLOOKUP($A1180,CSV!$A:$A,CSV!B:B,""),
_xlpm.MacVal,_xlfn.XLOOKUP($A1180,Output_Mac!$A:$A,Output_Mac!B:B,""),
_xlpm.MyAuditVal,_xlfn.XLOOKUP($A1180,My_Audit!$A:$A,My_Audit!B:B,""),
_xlfn.IFS(_xlpm.MyAuditVal&lt;&gt;"",UPPER(_xlpm.MyAuditVal),_xlpm.MacVal&lt;&gt;"",_xlpm.MacVal,_xlpm.CSVVal&lt;&gt;"",_xlpm.CSVVal
)),"")</f>
        <v/>
      </c>
      <c r="D1180" s="40" t="str" cm="1">
        <f t="array" ref="D1180">IFERROR(_xlfn.LET(
_xlpm.CSVVal,_xlfn.XLOOKUP($A1180,CSV!$A:$A,CSV!D:D,""),
_xlpm.MacVal,_xlfn.XLOOKUP($A1180,Output_Mac!$A:$A,Output_Mac!C:C,""),
_xlpm.MyAuditVal,_xlfn.XLOOKUP($A1180,My_Audit!$A:$A,My_Audit!C:C,""),
_xlfn.IFS(_xlpm.MyAuditVal&lt;&gt;"",_xlpm.MyAuditVal,_xlpm.MacVal&lt;&gt;"",_xlpm.MacVal,_xlpm.CSVVal&lt;&gt;"",_xlpm.CSVVal
)),"")</f>
        <v/>
      </c>
      <c r="E1180" s="40" t="str">
        <f>_xlfn.XLOOKUP(A1180,My_Audit!A:A,My_Audit!D:D,"")</f>
        <v/>
      </c>
      <c r="F1180" s="40" t="str" cm="1">
        <f t="array" ref="F1180">IFERROR(_xlfn.LET(
_xlpm.CSVVal,_xlfn.XLOOKUP($A1180,CSV!$A:$A,CSV!F:F,""),
_xlpm.MacVal,_xlfn.XLOOKUP($A1180,Output_Mac!$A:$A,Output_Mac!E:E,""),
_xlpm.MyAuditVal,_xlfn.XLOOKUP($A1180,My_Audit!$A:$A,My_Audit!E:E,""),
_xlfn.IFS(_xlpm.MyAuditVal&lt;&gt;"",_xlpm.MyAuditVal,_xlpm.MacVal&lt;&gt;"",_xlpm.MacVal,_xlpm.CSVVal&lt;&gt;"",_xlpm.CSVVal
)),"")</f>
        <v/>
      </c>
      <c r="G1180" s="40" t="str" cm="1">
        <f t="array" ref="G1180">IFERROR(_xlfn.LET(
_xlpm.CSVVal,_xlfn.XLOOKUP($A1180,CSV!$A:$A,CSV!G:G,""),
_xlpm.MacVal,_xlfn.XLOOKUP($A1180,Output_Mac!$A:$A,Output_Mac!F:F,""),
_xlpm.MyAuditVal,_xlfn.XLOOKUP($A1180,My_Audit!$A:$A,My_Audit!F:F,""),
_xlfn.IFS(_xlpm.MyAuditVal&lt;&gt;"",_xlpm.MyAuditVal,_xlpm.MacVal&lt;&gt;"",_xlpm.MacVal,_xlpm.CSVVal&lt;&gt;"",PROPER(_xlpm.CSVVal)
)),"")</f>
        <v/>
      </c>
      <c r="H1180" s="40" t="str" cm="1">
        <f t="array" ref="H1180">IFERROR(_xlfn.LET(
_xlpm.CSVVal,_xlfn.XLOOKUP($A1180,CSV!$A:$A,CSV!H:H,""),
_xlpm.MacVal,_xlfn.XLOOKUP($A1180,Output_Mac!$A:$A,Output_Mac!H:H,""),
_xlpm.MyAuditVal,_xlfn.XLOOKUP($A1180,My_Audit!$A:$A,My_Audit!G:G,""),
_xlfn.IFS(_xlpm.MyAuditVal&lt;&gt;"",_xlpm.MyAuditVal,_xlpm.MacVal&lt;&gt;"",_xlpm.MacVal,_xlpm.CSVVal&lt;&gt;"",_xlpm.CSVVal
)),"")</f>
        <v/>
      </c>
      <c r="I1180" s="40" t="str">
        <f>_xlfn.XLOOKUP(A1180,Output_Mac!A:A,Output_Mac!I:I,"")</f>
        <v/>
      </c>
      <c r="J1180" s="40" t="str" cm="1">
        <f t="array" ref="J1180">IFERROR(_xlfn.LET(
_xlpm.CSVVal,_xlfn.XLOOKUP($A1180,CSV!$A:$A,CSV!I:I,""),
_xlpm.MacVal,_xlfn.XLOOKUP($A1180,Output_Mac!$A:$A,Output_Mac!J:J,""),
_xlpm.MyAuditVal,_xlfn.XLOOKUP($A1180,My_Audit!$A:$A,My_Audit!I:I,""),
_xlfn.IFS(_xlpm.MyAuditVal&lt;&gt;"",UPPER(_xlpm.MyAuditVal),_xlpm.MacVal&lt;&gt;"",_xlpm.MacVal,_xlpm.CSVVal&lt;&gt;"",_xlpm.CSVVal
)),"")</f>
        <v/>
      </c>
      <c r="K1180" s="40" t="str" cm="1">
        <f t="array" ref="K1180">IFERROR(_xlfn.LET(
_xlpm.CSVVal,_xlfn.XLOOKUP($A1180,CSV!$A:$A,CSV!K:K,""),
_xlpm.MacVal,_xlfn.XLOOKUP($A1180,Output_Mac!$A:$A,Output_Mac!K:K,""),
_xlpm.MyAuditVal,_xlfn.XLOOKUP($A1180,My_Audit!$A:$A,My_Audit!J:J,""),
_xlfn.IFS(_xlpm.MyAuditVal&lt;&gt;"",UPPER(_xlpm.MyAuditVal),_xlpm.MacVal&lt;&gt;"",_xlpm.MacVal,_xlpm.CSVVal&lt;&gt;"",_xlpm.CSVVal
)),"")</f>
        <v/>
      </c>
      <c r="L1180" s="40" t="str" cm="1">
        <f t="array" ref="L1180">IFERROR(_xlfn.LET(
_xlpm.CSVVal,_xlfn.XLOOKUP($A1180,CSV!$A:$A,CSV!P:P,""),
_xlpm.MacVal,_xlfn.XLOOKUP($A1180,Output_Mac!$A:$A,Output_Mac!L:L,""),
_xlpm.MyAuditVal,_xlfn.XLOOKUP($A1180,My_Audit!$A:$A,My_Audit!K:K,""),
_xlfn.IFS(_xlpm.MyAuditVal&lt;&gt;"",UPPER(_xlpm.MyAuditVal),_xlpm.MacVal&lt;&gt;"",_xlpm.MacVal,_xlpm.CSVVal&lt;&gt;"",_xlpm.CSVVal
)),"")</f>
        <v/>
      </c>
      <c r="M1180" s="40" t="str" cm="1">
        <f t="array" ref="M1180">IFERROR(_xlfn.LET(
_xlpm.CSVVal,_xlfn.XLOOKUP($A1180,CSV!$A:$A,CSV!Q:Q,""),
_xlpm.MacVal,_xlfn.XLOOKUP($A1180,Output_Mac!$A:$A,Output_Mac!M:M,""),
_xlpm.MyAuditVal,_xlfn.XLOOKUP($A1180,My_Audit!$A:$A,My_Audit!L:L,""),
_xlfn.IFS(_xlpm.MyAuditVal&lt;&gt;"",UPPER(_xlpm.MyAuditVal),_xlpm.MacVal&lt;&gt;"",_xlpm.MacVal,_xlpm.CSVVal&lt;&gt;"",_xlpm.CSVVal
)),"")</f>
        <v/>
      </c>
      <c r="N1180" s="40"/>
      <c r="O1180" s="40" t="str">
        <f>_xlfn.LET(
    _xlpm.CSVVal, _xlfn.XLOOKUP($A1180, CSV!$A:$A, CSV!AA:AA, ""),
    _xlpm.MacVal, _xlfn.XLOOKUP($A1180, Output_Mac!$A:$A, Output_Mac!S:S, ""),
    _xlpm.MyAuditVal, _xlfn.XLOOKUP($A1180, My_Audit!$A:$A, My_Audit!P:P, ""),
    _xlfn.TEXTJOIN(", ", TRUE, _xlpm.MyAuditVal, _xlpm.MacVal, _xlpm.CSVVal)
)</f>
        <v/>
      </c>
      <c r="P1180" s="40" t="str" cm="1">
        <f t="array" ref="P1180">IFERROR(_xlfn.LET(
_xlpm.CSVVal,_xlfn.XLOOKUP($A1180,CSV!$A:$A,CSV!AB:AB,""),
_xlpm.MacVal,_xlfn.XLOOKUP($A1180,Output_Mac!$A:$A,Output_Mac!T:T,""),
_xlpm.MyAuditVal,_xlfn.XLOOKUP($A1180,My_Audit!$A:$A,My_Audit!Q:Q,""),
_xlfn.IFS(_xlpm.MyAuditVal&lt;&gt;"",UPPER(_xlpm.MyAuditVal),_xlpm.MacVal&lt;&gt;"",_xlpm.MacVal,_xlpm.CSVVal&lt;&gt;"",_xlpm.CSVVal
)),"No")</f>
        <v>No</v>
      </c>
      <c r="Q1180" s="40" t="str" cm="1">
        <f t="array" ref="Q1180">IFERROR(_xlfn.LET(
_xlpm.CSVVal,_xlfn.XLOOKUP($A1180,CSV!$A:$A,CSV!AC:AC,""),
_xlpm.MacVal,_xlfn.XLOOKUP($A1180,Output_Mac!$A:$A,Output_Mac!U:U,""),
_xlpm.MyAuditVal,_xlfn.XLOOKUP($A1180,My_Audit!$A:$A,My_Audit!R:R,""),
_xlfn.IFS(_xlpm.MyAuditVal&lt;&gt;"",UPPER(_xlpm.MyAuditVal),_xlpm.MacVal&lt;&gt;"",_xlpm.MacVal,_xlpm.CSVVal&lt;&gt;"",_xlpm.CSVVal
)),"")</f>
        <v/>
      </c>
      <c r="R1180" s="40"/>
      <c r="S1180" s="40"/>
      <c r="T1180" s="40"/>
      <c r="U1180" s="40"/>
      <c r="V1180" s="40"/>
      <c r="W1180" s="40"/>
      <c r="X1180" s="41" t="str">
        <f>_xlfn.LET(
    _xlpm.MacVal, _xlfn.XLOOKUP($A1180, Output_Mac!$A:$A, Output_Mac!AB:AB, ""),
    _xlpm.MyAuditVal, _xlfn.XLOOKUP($A1180, My_Audit!$A:$A, My_Audit!N:N, ""),
    _xlfn.TEXTJOIN(", ", TRUE, _xlpm.MyAuditVal, _xlpm.MacVal)
)</f>
        <v/>
      </c>
    </row>
    <row r="1181" spans="1:24">
      <c r="A1181" s="40" t="str">
        <f>_xlfn.TEXTJOIN("",TRUE,Input!$B$2,ROW(My_Audit!A1180))</f>
        <v>X1180</v>
      </c>
      <c r="B1181" s="40" t="str">
        <f>_xlfn.TEXTJOIN("-",TRUE,"ITD",Input!$A$2,A1181)</f>
        <v>ITD-X1180</v>
      </c>
      <c r="C1181" s="40" t="str" cm="1">
        <f t="array" ref="C1181">IFERROR(_xlfn.LET(
_xlpm.CSVVal,_xlfn.XLOOKUP($A1181,CSV!$A:$A,CSV!B:B,""),
_xlpm.MacVal,_xlfn.XLOOKUP($A1181,Output_Mac!$A:$A,Output_Mac!B:B,""),
_xlpm.MyAuditVal,_xlfn.XLOOKUP($A1181,My_Audit!$A:$A,My_Audit!B:B,""),
_xlfn.IFS(_xlpm.MyAuditVal&lt;&gt;"",UPPER(_xlpm.MyAuditVal),_xlpm.MacVal&lt;&gt;"",_xlpm.MacVal,_xlpm.CSVVal&lt;&gt;"",_xlpm.CSVVal
)),"")</f>
        <v/>
      </c>
      <c r="D1181" s="40" t="str" cm="1">
        <f t="array" ref="D1181">IFERROR(_xlfn.LET(
_xlpm.CSVVal,_xlfn.XLOOKUP($A1181,CSV!$A:$A,CSV!D:D,""),
_xlpm.MacVal,_xlfn.XLOOKUP($A1181,Output_Mac!$A:$A,Output_Mac!C:C,""),
_xlpm.MyAuditVal,_xlfn.XLOOKUP($A1181,My_Audit!$A:$A,My_Audit!C:C,""),
_xlfn.IFS(_xlpm.MyAuditVal&lt;&gt;"",_xlpm.MyAuditVal,_xlpm.MacVal&lt;&gt;"",_xlpm.MacVal,_xlpm.CSVVal&lt;&gt;"",_xlpm.CSVVal
)),"")</f>
        <v/>
      </c>
      <c r="E1181" s="40" t="str">
        <f>_xlfn.XLOOKUP(A1181,My_Audit!A:A,My_Audit!D:D,"")</f>
        <v/>
      </c>
      <c r="F1181" s="40" t="str" cm="1">
        <f t="array" ref="F1181">IFERROR(_xlfn.LET(
_xlpm.CSVVal,_xlfn.XLOOKUP($A1181,CSV!$A:$A,CSV!F:F,""),
_xlpm.MacVal,_xlfn.XLOOKUP($A1181,Output_Mac!$A:$A,Output_Mac!E:E,""),
_xlpm.MyAuditVal,_xlfn.XLOOKUP($A1181,My_Audit!$A:$A,My_Audit!E:E,""),
_xlfn.IFS(_xlpm.MyAuditVal&lt;&gt;"",_xlpm.MyAuditVal,_xlpm.MacVal&lt;&gt;"",_xlpm.MacVal,_xlpm.CSVVal&lt;&gt;"",_xlpm.CSVVal
)),"")</f>
        <v/>
      </c>
      <c r="G1181" s="40" t="str" cm="1">
        <f t="array" ref="G1181">IFERROR(_xlfn.LET(
_xlpm.CSVVal,_xlfn.XLOOKUP($A1181,CSV!$A:$A,CSV!G:G,""),
_xlpm.MacVal,_xlfn.XLOOKUP($A1181,Output_Mac!$A:$A,Output_Mac!F:F,""),
_xlpm.MyAuditVal,_xlfn.XLOOKUP($A1181,My_Audit!$A:$A,My_Audit!F:F,""),
_xlfn.IFS(_xlpm.MyAuditVal&lt;&gt;"",_xlpm.MyAuditVal,_xlpm.MacVal&lt;&gt;"",_xlpm.MacVal,_xlpm.CSVVal&lt;&gt;"",PROPER(_xlpm.CSVVal)
)),"")</f>
        <v/>
      </c>
      <c r="H1181" s="40" t="str" cm="1">
        <f t="array" ref="H1181">IFERROR(_xlfn.LET(
_xlpm.CSVVal,_xlfn.XLOOKUP($A1181,CSV!$A:$A,CSV!H:H,""),
_xlpm.MacVal,_xlfn.XLOOKUP($A1181,Output_Mac!$A:$A,Output_Mac!H:H,""),
_xlpm.MyAuditVal,_xlfn.XLOOKUP($A1181,My_Audit!$A:$A,My_Audit!G:G,""),
_xlfn.IFS(_xlpm.MyAuditVal&lt;&gt;"",_xlpm.MyAuditVal,_xlpm.MacVal&lt;&gt;"",_xlpm.MacVal,_xlpm.CSVVal&lt;&gt;"",_xlpm.CSVVal
)),"")</f>
        <v/>
      </c>
      <c r="I1181" s="40" t="str">
        <f>_xlfn.XLOOKUP(A1181,Output_Mac!A:A,Output_Mac!I:I,"")</f>
        <v/>
      </c>
      <c r="J1181" s="40" t="str" cm="1">
        <f t="array" ref="J1181">IFERROR(_xlfn.LET(
_xlpm.CSVVal,_xlfn.XLOOKUP($A1181,CSV!$A:$A,CSV!I:I,""),
_xlpm.MacVal,_xlfn.XLOOKUP($A1181,Output_Mac!$A:$A,Output_Mac!J:J,""),
_xlpm.MyAuditVal,_xlfn.XLOOKUP($A1181,My_Audit!$A:$A,My_Audit!I:I,""),
_xlfn.IFS(_xlpm.MyAuditVal&lt;&gt;"",UPPER(_xlpm.MyAuditVal),_xlpm.MacVal&lt;&gt;"",_xlpm.MacVal,_xlpm.CSVVal&lt;&gt;"",_xlpm.CSVVal
)),"")</f>
        <v/>
      </c>
      <c r="K1181" s="40" t="str" cm="1">
        <f t="array" ref="K1181">IFERROR(_xlfn.LET(
_xlpm.CSVVal,_xlfn.XLOOKUP($A1181,CSV!$A:$A,CSV!K:K,""),
_xlpm.MacVal,_xlfn.XLOOKUP($A1181,Output_Mac!$A:$A,Output_Mac!K:K,""),
_xlpm.MyAuditVal,_xlfn.XLOOKUP($A1181,My_Audit!$A:$A,My_Audit!J:J,""),
_xlfn.IFS(_xlpm.MyAuditVal&lt;&gt;"",UPPER(_xlpm.MyAuditVal),_xlpm.MacVal&lt;&gt;"",_xlpm.MacVal,_xlpm.CSVVal&lt;&gt;"",_xlpm.CSVVal
)),"")</f>
        <v/>
      </c>
      <c r="L1181" s="40" t="str" cm="1">
        <f t="array" ref="L1181">IFERROR(_xlfn.LET(
_xlpm.CSVVal,_xlfn.XLOOKUP($A1181,CSV!$A:$A,CSV!P:P,""),
_xlpm.MacVal,_xlfn.XLOOKUP($A1181,Output_Mac!$A:$A,Output_Mac!L:L,""),
_xlpm.MyAuditVal,_xlfn.XLOOKUP($A1181,My_Audit!$A:$A,My_Audit!K:K,""),
_xlfn.IFS(_xlpm.MyAuditVal&lt;&gt;"",UPPER(_xlpm.MyAuditVal),_xlpm.MacVal&lt;&gt;"",_xlpm.MacVal,_xlpm.CSVVal&lt;&gt;"",_xlpm.CSVVal
)),"")</f>
        <v/>
      </c>
      <c r="M1181" s="40" t="str" cm="1">
        <f t="array" ref="M1181">IFERROR(_xlfn.LET(
_xlpm.CSVVal,_xlfn.XLOOKUP($A1181,CSV!$A:$A,CSV!Q:Q,""),
_xlpm.MacVal,_xlfn.XLOOKUP($A1181,Output_Mac!$A:$A,Output_Mac!M:M,""),
_xlpm.MyAuditVal,_xlfn.XLOOKUP($A1181,My_Audit!$A:$A,My_Audit!L:L,""),
_xlfn.IFS(_xlpm.MyAuditVal&lt;&gt;"",UPPER(_xlpm.MyAuditVal),_xlpm.MacVal&lt;&gt;"",_xlpm.MacVal,_xlpm.CSVVal&lt;&gt;"",_xlpm.CSVVal
)),"")</f>
        <v/>
      </c>
      <c r="N1181" s="40"/>
      <c r="O1181" s="40" t="str">
        <f>_xlfn.LET(
    _xlpm.CSVVal, _xlfn.XLOOKUP($A1181, CSV!$A:$A, CSV!AA:AA, ""),
    _xlpm.MacVal, _xlfn.XLOOKUP($A1181, Output_Mac!$A:$A, Output_Mac!S:S, ""),
    _xlpm.MyAuditVal, _xlfn.XLOOKUP($A1181, My_Audit!$A:$A, My_Audit!P:P, ""),
    _xlfn.TEXTJOIN(", ", TRUE, _xlpm.MyAuditVal, _xlpm.MacVal, _xlpm.CSVVal)
)</f>
        <v/>
      </c>
      <c r="P1181" s="40" t="str" cm="1">
        <f t="array" ref="P1181">IFERROR(_xlfn.LET(
_xlpm.CSVVal,_xlfn.XLOOKUP($A1181,CSV!$A:$A,CSV!AB:AB,""),
_xlpm.MacVal,_xlfn.XLOOKUP($A1181,Output_Mac!$A:$A,Output_Mac!T:T,""),
_xlpm.MyAuditVal,_xlfn.XLOOKUP($A1181,My_Audit!$A:$A,My_Audit!Q:Q,""),
_xlfn.IFS(_xlpm.MyAuditVal&lt;&gt;"",UPPER(_xlpm.MyAuditVal),_xlpm.MacVal&lt;&gt;"",_xlpm.MacVal,_xlpm.CSVVal&lt;&gt;"",_xlpm.CSVVal
)),"No")</f>
        <v>No</v>
      </c>
      <c r="Q1181" s="40" t="str" cm="1">
        <f t="array" ref="Q1181">IFERROR(_xlfn.LET(
_xlpm.CSVVal,_xlfn.XLOOKUP($A1181,CSV!$A:$A,CSV!AC:AC,""),
_xlpm.MacVal,_xlfn.XLOOKUP($A1181,Output_Mac!$A:$A,Output_Mac!U:U,""),
_xlpm.MyAuditVal,_xlfn.XLOOKUP($A1181,My_Audit!$A:$A,My_Audit!R:R,""),
_xlfn.IFS(_xlpm.MyAuditVal&lt;&gt;"",UPPER(_xlpm.MyAuditVal),_xlpm.MacVal&lt;&gt;"",_xlpm.MacVal,_xlpm.CSVVal&lt;&gt;"",_xlpm.CSVVal
)),"")</f>
        <v/>
      </c>
      <c r="R1181" s="40"/>
      <c r="S1181" s="40"/>
      <c r="T1181" s="40"/>
      <c r="U1181" s="40"/>
      <c r="V1181" s="40"/>
      <c r="W1181" s="40"/>
      <c r="X1181" s="41" t="str">
        <f>_xlfn.LET(
    _xlpm.MacVal, _xlfn.XLOOKUP($A1181, Output_Mac!$A:$A, Output_Mac!AB:AB, ""),
    _xlpm.MyAuditVal, _xlfn.XLOOKUP($A1181, My_Audit!$A:$A, My_Audit!N:N, ""),
    _xlfn.TEXTJOIN(", ", TRUE, _xlpm.MyAuditVal, _xlpm.MacVal)
)</f>
        <v/>
      </c>
    </row>
    <row r="1182" spans="1:24">
      <c r="A1182" s="40" t="str">
        <f>_xlfn.TEXTJOIN("",TRUE,Input!$B$2,ROW(My_Audit!A1181))</f>
        <v>X1181</v>
      </c>
      <c r="B1182" s="40" t="str">
        <f>_xlfn.TEXTJOIN("-",TRUE,"ITD",Input!$A$2,A1182)</f>
        <v>ITD-X1181</v>
      </c>
      <c r="C1182" s="40" t="str" cm="1">
        <f t="array" ref="C1182">IFERROR(_xlfn.LET(
_xlpm.CSVVal,_xlfn.XLOOKUP($A1182,CSV!$A:$A,CSV!B:B,""),
_xlpm.MacVal,_xlfn.XLOOKUP($A1182,Output_Mac!$A:$A,Output_Mac!B:B,""),
_xlpm.MyAuditVal,_xlfn.XLOOKUP($A1182,My_Audit!$A:$A,My_Audit!B:B,""),
_xlfn.IFS(_xlpm.MyAuditVal&lt;&gt;"",UPPER(_xlpm.MyAuditVal),_xlpm.MacVal&lt;&gt;"",_xlpm.MacVal,_xlpm.CSVVal&lt;&gt;"",_xlpm.CSVVal
)),"")</f>
        <v/>
      </c>
      <c r="D1182" s="40" t="str" cm="1">
        <f t="array" ref="D1182">IFERROR(_xlfn.LET(
_xlpm.CSVVal,_xlfn.XLOOKUP($A1182,CSV!$A:$A,CSV!D:D,""),
_xlpm.MacVal,_xlfn.XLOOKUP($A1182,Output_Mac!$A:$A,Output_Mac!C:C,""),
_xlpm.MyAuditVal,_xlfn.XLOOKUP($A1182,My_Audit!$A:$A,My_Audit!C:C,""),
_xlfn.IFS(_xlpm.MyAuditVal&lt;&gt;"",_xlpm.MyAuditVal,_xlpm.MacVal&lt;&gt;"",_xlpm.MacVal,_xlpm.CSVVal&lt;&gt;"",_xlpm.CSVVal
)),"")</f>
        <v/>
      </c>
      <c r="E1182" s="40" t="str">
        <f>_xlfn.XLOOKUP(A1182,My_Audit!A:A,My_Audit!D:D,"")</f>
        <v/>
      </c>
      <c r="F1182" s="40" t="str" cm="1">
        <f t="array" ref="F1182">IFERROR(_xlfn.LET(
_xlpm.CSVVal,_xlfn.XLOOKUP($A1182,CSV!$A:$A,CSV!F:F,""),
_xlpm.MacVal,_xlfn.XLOOKUP($A1182,Output_Mac!$A:$A,Output_Mac!E:E,""),
_xlpm.MyAuditVal,_xlfn.XLOOKUP($A1182,My_Audit!$A:$A,My_Audit!E:E,""),
_xlfn.IFS(_xlpm.MyAuditVal&lt;&gt;"",_xlpm.MyAuditVal,_xlpm.MacVal&lt;&gt;"",_xlpm.MacVal,_xlpm.CSVVal&lt;&gt;"",_xlpm.CSVVal
)),"")</f>
        <v/>
      </c>
      <c r="G1182" s="40" t="str" cm="1">
        <f t="array" ref="G1182">IFERROR(_xlfn.LET(
_xlpm.CSVVal,_xlfn.XLOOKUP($A1182,CSV!$A:$A,CSV!G:G,""),
_xlpm.MacVal,_xlfn.XLOOKUP($A1182,Output_Mac!$A:$A,Output_Mac!F:F,""),
_xlpm.MyAuditVal,_xlfn.XLOOKUP($A1182,My_Audit!$A:$A,My_Audit!F:F,""),
_xlfn.IFS(_xlpm.MyAuditVal&lt;&gt;"",_xlpm.MyAuditVal,_xlpm.MacVal&lt;&gt;"",_xlpm.MacVal,_xlpm.CSVVal&lt;&gt;"",PROPER(_xlpm.CSVVal)
)),"")</f>
        <v/>
      </c>
      <c r="H1182" s="40" t="str" cm="1">
        <f t="array" ref="H1182">IFERROR(_xlfn.LET(
_xlpm.CSVVal,_xlfn.XLOOKUP($A1182,CSV!$A:$A,CSV!H:H,""),
_xlpm.MacVal,_xlfn.XLOOKUP($A1182,Output_Mac!$A:$A,Output_Mac!H:H,""),
_xlpm.MyAuditVal,_xlfn.XLOOKUP($A1182,My_Audit!$A:$A,My_Audit!G:G,""),
_xlfn.IFS(_xlpm.MyAuditVal&lt;&gt;"",_xlpm.MyAuditVal,_xlpm.MacVal&lt;&gt;"",_xlpm.MacVal,_xlpm.CSVVal&lt;&gt;"",_xlpm.CSVVal
)),"")</f>
        <v/>
      </c>
      <c r="I1182" s="40" t="str">
        <f>_xlfn.XLOOKUP(A1182,Output_Mac!A:A,Output_Mac!I:I,"")</f>
        <v/>
      </c>
      <c r="J1182" s="40" t="str" cm="1">
        <f t="array" ref="J1182">IFERROR(_xlfn.LET(
_xlpm.CSVVal,_xlfn.XLOOKUP($A1182,CSV!$A:$A,CSV!I:I,""),
_xlpm.MacVal,_xlfn.XLOOKUP($A1182,Output_Mac!$A:$A,Output_Mac!J:J,""),
_xlpm.MyAuditVal,_xlfn.XLOOKUP($A1182,My_Audit!$A:$A,My_Audit!I:I,""),
_xlfn.IFS(_xlpm.MyAuditVal&lt;&gt;"",UPPER(_xlpm.MyAuditVal),_xlpm.MacVal&lt;&gt;"",_xlpm.MacVal,_xlpm.CSVVal&lt;&gt;"",_xlpm.CSVVal
)),"")</f>
        <v/>
      </c>
      <c r="K1182" s="40" t="str" cm="1">
        <f t="array" ref="K1182">IFERROR(_xlfn.LET(
_xlpm.CSVVal,_xlfn.XLOOKUP($A1182,CSV!$A:$A,CSV!K:K,""),
_xlpm.MacVal,_xlfn.XLOOKUP($A1182,Output_Mac!$A:$A,Output_Mac!K:K,""),
_xlpm.MyAuditVal,_xlfn.XLOOKUP($A1182,My_Audit!$A:$A,My_Audit!J:J,""),
_xlfn.IFS(_xlpm.MyAuditVal&lt;&gt;"",UPPER(_xlpm.MyAuditVal),_xlpm.MacVal&lt;&gt;"",_xlpm.MacVal,_xlpm.CSVVal&lt;&gt;"",_xlpm.CSVVal
)),"")</f>
        <v/>
      </c>
      <c r="L1182" s="40" t="str" cm="1">
        <f t="array" ref="L1182">IFERROR(_xlfn.LET(
_xlpm.CSVVal,_xlfn.XLOOKUP($A1182,CSV!$A:$A,CSV!P:P,""),
_xlpm.MacVal,_xlfn.XLOOKUP($A1182,Output_Mac!$A:$A,Output_Mac!L:L,""),
_xlpm.MyAuditVal,_xlfn.XLOOKUP($A1182,My_Audit!$A:$A,My_Audit!K:K,""),
_xlfn.IFS(_xlpm.MyAuditVal&lt;&gt;"",UPPER(_xlpm.MyAuditVal),_xlpm.MacVal&lt;&gt;"",_xlpm.MacVal,_xlpm.CSVVal&lt;&gt;"",_xlpm.CSVVal
)),"")</f>
        <v/>
      </c>
      <c r="M1182" s="40" t="str" cm="1">
        <f t="array" ref="M1182">IFERROR(_xlfn.LET(
_xlpm.CSVVal,_xlfn.XLOOKUP($A1182,CSV!$A:$A,CSV!Q:Q,""),
_xlpm.MacVal,_xlfn.XLOOKUP($A1182,Output_Mac!$A:$A,Output_Mac!M:M,""),
_xlpm.MyAuditVal,_xlfn.XLOOKUP($A1182,My_Audit!$A:$A,My_Audit!L:L,""),
_xlfn.IFS(_xlpm.MyAuditVal&lt;&gt;"",UPPER(_xlpm.MyAuditVal),_xlpm.MacVal&lt;&gt;"",_xlpm.MacVal,_xlpm.CSVVal&lt;&gt;"",_xlpm.CSVVal
)),"")</f>
        <v/>
      </c>
      <c r="N1182" s="40"/>
      <c r="O1182" s="40" t="str">
        <f>_xlfn.LET(
    _xlpm.CSVVal, _xlfn.XLOOKUP($A1182, CSV!$A:$A, CSV!AA:AA, ""),
    _xlpm.MacVal, _xlfn.XLOOKUP($A1182, Output_Mac!$A:$A, Output_Mac!S:S, ""),
    _xlpm.MyAuditVal, _xlfn.XLOOKUP($A1182, My_Audit!$A:$A, My_Audit!P:P, ""),
    _xlfn.TEXTJOIN(", ", TRUE, _xlpm.MyAuditVal, _xlpm.MacVal, _xlpm.CSVVal)
)</f>
        <v/>
      </c>
      <c r="P1182" s="40" t="str" cm="1">
        <f t="array" ref="P1182">IFERROR(_xlfn.LET(
_xlpm.CSVVal,_xlfn.XLOOKUP($A1182,CSV!$A:$A,CSV!AB:AB,""),
_xlpm.MacVal,_xlfn.XLOOKUP($A1182,Output_Mac!$A:$A,Output_Mac!T:T,""),
_xlpm.MyAuditVal,_xlfn.XLOOKUP($A1182,My_Audit!$A:$A,My_Audit!Q:Q,""),
_xlfn.IFS(_xlpm.MyAuditVal&lt;&gt;"",UPPER(_xlpm.MyAuditVal),_xlpm.MacVal&lt;&gt;"",_xlpm.MacVal,_xlpm.CSVVal&lt;&gt;"",_xlpm.CSVVal
)),"No")</f>
        <v>No</v>
      </c>
      <c r="Q1182" s="40" t="str" cm="1">
        <f t="array" ref="Q1182">IFERROR(_xlfn.LET(
_xlpm.CSVVal,_xlfn.XLOOKUP($A1182,CSV!$A:$A,CSV!AC:AC,""),
_xlpm.MacVal,_xlfn.XLOOKUP($A1182,Output_Mac!$A:$A,Output_Mac!U:U,""),
_xlpm.MyAuditVal,_xlfn.XLOOKUP($A1182,My_Audit!$A:$A,My_Audit!R:R,""),
_xlfn.IFS(_xlpm.MyAuditVal&lt;&gt;"",UPPER(_xlpm.MyAuditVal),_xlpm.MacVal&lt;&gt;"",_xlpm.MacVal,_xlpm.CSVVal&lt;&gt;"",_xlpm.CSVVal
)),"")</f>
        <v/>
      </c>
      <c r="R1182" s="40"/>
      <c r="S1182" s="40"/>
      <c r="T1182" s="40"/>
      <c r="U1182" s="40"/>
      <c r="V1182" s="40"/>
      <c r="W1182" s="40"/>
      <c r="X1182" s="41" t="str">
        <f>_xlfn.LET(
    _xlpm.MacVal, _xlfn.XLOOKUP($A1182, Output_Mac!$A:$A, Output_Mac!AB:AB, ""),
    _xlpm.MyAuditVal, _xlfn.XLOOKUP($A1182, My_Audit!$A:$A, My_Audit!N:N, ""),
    _xlfn.TEXTJOIN(", ", TRUE, _xlpm.MyAuditVal, _xlpm.MacVal)
)</f>
        <v/>
      </c>
    </row>
    <row r="1183" spans="1:24">
      <c r="A1183" s="40" t="str">
        <f>_xlfn.TEXTJOIN("",TRUE,Input!$B$2,ROW(My_Audit!A1182))</f>
        <v>X1182</v>
      </c>
      <c r="B1183" s="40" t="str">
        <f>_xlfn.TEXTJOIN("-",TRUE,"ITD",Input!$A$2,A1183)</f>
        <v>ITD-X1182</v>
      </c>
      <c r="C1183" s="40" t="str" cm="1">
        <f t="array" ref="C1183">IFERROR(_xlfn.LET(
_xlpm.CSVVal,_xlfn.XLOOKUP($A1183,CSV!$A:$A,CSV!B:B,""),
_xlpm.MacVal,_xlfn.XLOOKUP($A1183,Output_Mac!$A:$A,Output_Mac!B:B,""),
_xlpm.MyAuditVal,_xlfn.XLOOKUP($A1183,My_Audit!$A:$A,My_Audit!B:B,""),
_xlfn.IFS(_xlpm.MyAuditVal&lt;&gt;"",UPPER(_xlpm.MyAuditVal),_xlpm.MacVal&lt;&gt;"",_xlpm.MacVal,_xlpm.CSVVal&lt;&gt;"",_xlpm.CSVVal
)),"")</f>
        <v/>
      </c>
      <c r="D1183" s="40" t="str" cm="1">
        <f t="array" ref="D1183">IFERROR(_xlfn.LET(
_xlpm.CSVVal,_xlfn.XLOOKUP($A1183,CSV!$A:$A,CSV!D:D,""),
_xlpm.MacVal,_xlfn.XLOOKUP($A1183,Output_Mac!$A:$A,Output_Mac!C:C,""),
_xlpm.MyAuditVal,_xlfn.XLOOKUP($A1183,My_Audit!$A:$A,My_Audit!C:C,""),
_xlfn.IFS(_xlpm.MyAuditVal&lt;&gt;"",_xlpm.MyAuditVal,_xlpm.MacVal&lt;&gt;"",_xlpm.MacVal,_xlpm.CSVVal&lt;&gt;"",_xlpm.CSVVal
)),"")</f>
        <v/>
      </c>
      <c r="E1183" s="40" t="str">
        <f>_xlfn.XLOOKUP(A1183,My_Audit!A:A,My_Audit!D:D,"")</f>
        <v/>
      </c>
      <c r="F1183" s="40" t="str" cm="1">
        <f t="array" ref="F1183">IFERROR(_xlfn.LET(
_xlpm.CSVVal,_xlfn.XLOOKUP($A1183,CSV!$A:$A,CSV!F:F,""),
_xlpm.MacVal,_xlfn.XLOOKUP($A1183,Output_Mac!$A:$A,Output_Mac!E:E,""),
_xlpm.MyAuditVal,_xlfn.XLOOKUP($A1183,My_Audit!$A:$A,My_Audit!E:E,""),
_xlfn.IFS(_xlpm.MyAuditVal&lt;&gt;"",_xlpm.MyAuditVal,_xlpm.MacVal&lt;&gt;"",_xlpm.MacVal,_xlpm.CSVVal&lt;&gt;"",_xlpm.CSVVal
)),"")</f>
        <v/>
      </c>
      <c r="G1183" s="40" t="str" cm="1">
        <f t="array" ref="G1183">IFERROR(_xlfn.LET(
_xlpm.CSVVal,_xlfn.XLOOKUP($A1183,CSV!$A:$A,CSV!G:G,""),
_xlpm.MacVal,_xlfn.XLOOKUP($A1183,Output_Mac!$A:$A,Output_Mac!F:F,""),
_xlpm.MyAuditVal,_xlfn.XLOOKUP($A1183,My_Audit!$A:$A,My_Audit!F:F,""),
_xlfn.IFS(_xlpm.MyAuditVal&lt;&gt;"",_xlpm.MyAuditVal,_xlpm.MacVal&lt;&gt;"",_xlpm.MacVal,_xlpm.CSVVal&lt;&gt;"",PROPER(_xlpm.CSVVal)
)),"")</f>
        <v/>
      </c>
      <c r="H1183" s="40" t="str" cm="1">
        <f t="array" ref="H1183">IFERROR(_xlfn.LET(
_xlpm.CSVVal,_xlfn.XLOOKUP($A1183,CSV!$A:$A,CSV!H:H,""),
_xlpm.MacVal,_xlfn.XLOOKUP($A1183,Output_Mac!$A:$A,Output_Mac!H:H,""),
_xlpm.MyAuditVal,_xlfn.XLOOKUP($A1183,My_Audit!$A:$A,My_Audit!G:G,""),
_xlfn.IFS(_xlpm.MyAuditVal&lt;&gt;"",_xlpm.MyAuditVal,_xlpm.MacVal&lt;&gt;"",_xlpm.MacVal,_xlpm.CSVVal&lt;&gt;"",_xlpm.CSVVal
)),"")</f>
        <v/>
      </c>
      <c r="I1183" s="40" t="str">
        <f>_xlfn.XLOOKUP(A1183,Output_Mac!A:A,Output_Mac!I:I,"")</f>
        <v/>
      </c>
      <c r="J1183" s="40" t="str" cm="1">
        <f t="array" ref="J1183">IFERROR(_xlfn.LET(
_xlpm.CSVVal,_xlfn.XLOOKUP($A1183,CSV!$A:$A,CSV!I:I,""),
_xlpm.MacVal,_xlfn.XLOOKUP($A1183,Output_Mac!$A:$A,Output_Mac!J:J,""),
_xlpm.MyAuditVal,_xlfn.XLOOKUP($A1183,My_Audit!$A:$A,My_Audit!I:I,""),
_xlfn.IFS(_xlpm.MyAuditVal&lt;&gt;"",UPPER(_xlpm.MyAuditVal),_xlpm.MacVal&lt;&gt;"",_xlpm.MacVal,_xlpm.CSVVal&lt;&gt;"",_xlpm.CSVVal
)),"")</f>
        <v/>
      </c>
      <c r="K1183" s="40" t="str" cm="1">
        <f t="array" ref="K1183">IFERROR(_xlfn.LET(
_xlpm.CSVVal,_xlfn.XLOOKUP($A1183,CSV!$A:$A,CSV!K:K,""),
_xlpm.MacVal,_xlfn.XLOOKUP($A1183,Output_Mac!$A:$A,Output_Mac!K:K,""),
_xlpm.MyAuditVal,_xlfn.XLOOKUP($A1183,My_Audit!$A:$A,My_Audit!J:J,""),
_xlfn.IFS(_xlpm.MyAuditVal&lt;&gt;"",UPPER(_xlpm.MyAuditVal),_xlpm.MacVal&lt;&gt;"",_xlpm.MacVal,_xlpm.CSVVal&lt;&gt;"",_xlpm.CSVVal
)),"")</f>
        <v/>
      </c>
      <c r="L1183" s="40" t="str" cm="1">
        <f t="array" ref="L1183">IFERROR(_xlfn.LET(
_xlpm.CSVVal,_xlfn.XLOOKUP($A1183,CSV!$A:$A,CSV!P:P,""),
_xlpm.MacVal,_xlfn.XLOOKUP($A1183,Output_Mac!$A:$A,Output_Mac!L:L,""),
_xlpm.MyAuditVal,_xlfn.XLOOKUP($A1183,My_Audit!$A:$A,My_Audit!K:K,""),
_xlfn.IFS(_xlpm.MyAuditVal&lt;&gt;"",UPPER(_xlpm.MyAuditVal),_xlpm.MacVal&lt;&gt;"",_xlpm.MacVal,_xlpm.CSVVal&lt;&gt;"",_xlpm.CSVVal
)),"")</f>
        <v/>
      </c>
      <c r="M1183" s="40" t="str" cm="1">
        <f t="array" ref="M1183">IFERROR(_xlfn.LET(
_xlpm.CSVVal,_xlfn.XLOOKUP($A1183,CSV!$A:$A,CSV!Q:Q,""),
_xlpm.MacVal,_xlfn.XLOOKUP($A1183,Output_Mac!$A:$A,Output_Mac!M:M,""),
_xlpm.MyAuditVal,_xlfn.XLOOKUP($A1183,My_Audit!$A:$A,My_Audit!L:L,""),
_xlfn.IFS(_xlpm.MyAuditVal&lt;&gt;"",UPPER(_xlpm.MyAuditVal),_xlpm.MacVal&lt;&gt;"",_xlpm.MacVal,_xlpm.CSVVal&lt;&gt;"",_xlpm.CSVVal
)),"")</f>
        <v/>
      </c>
      <c r="N1183" s="40"/>
      <c r="O1183" s="40" t="str">
        <f>_xlfn.LET(
    _xlpm.CSVVal, _xlfn.XLOOKUP($A1183, CSV!$A:$A, CSV!AA:AA, ""),
    _xlpm.MacVal, _xlfn.XLOOKUP($A1183, Output_Mac!$A:$A, Output_Mac!S:S, ""),
    _xlpm.MyAuditVal, _xlfn.XLOOKUP($A1183, My_Audit!$A:$A, My_Audit!P:P, ""),
    _xlfn.TEXTJOIN(", ", TRUE, _xlpm.MyAuditVal, _xlpm.MacVal, _xlpm.CSVVal)
)</f>
        <v/>
      </c>
      <c r="P1183" s="40" t="str" cm="1">
        <f t="array" ref="P1183">IFERROR(_xlfn.LET(
_xlpm.CSVVal,_xlfn.XLOOKUP($A1183,CSV!$A:$A,CSV!AB:AB,""),
_xlpm.MacVal,_xlfn.XLOOKUP($A1183,Output_Mac!$A:$A,Output_Mac!T:T,""),
_xlpm.MyAuditVal,_xlfn.XLOOKUP($A1183,My_Audit!$A:$A,My_Audit!Q:Q,""),
_xlfn.IFS(_xlpm.MyAuditVal&lt;&gt;"",UPPER(_xlpm.MyAuditVal),_xlpm.MacVal&lt;&gt;"",_xlpm.MacVal,_xlpm.CSVVal&lt;&gt;"",_xlpm.CSVVal
)),"No")</f>
        <v>No</v>
      </c>
      <c r="Q1183" s="40" t="str" cm="1">
        <f t="array" ref="Q1183">IFERROR(_xlfn.LET(
_xlpm.CSVVal,_xlfn.XLOOKUP($A1183,CSV!$A:$A,CSV!AC:AC,""),
_xlpm.MacVal,_xlfn.XLOOKUP($A1183,Output_Mac!$A:$A,Output_Mac!U:U,""),
_xlpm.MyAuditVal,_xlfn.XLOOKUP($A1183,My_Audit!$A:$A,My_Audit!R:R,""),
_xlfn.IFS(_xlpm.MyAuditVal&lt;&gt;"",UPPER(_xlpm.MyAuditVal),_xlpm.MacVal&lt;&gt;"",_xlpm.MacVal,_xlpm.CSVVal&lt;&gt;"",_xlpm.CSVVal
)),"")</f>
        <v/>
      </c>
      <c r="R1183" s="40"/>
      <c r="S1183" s="40"/>
      <c r="T1183" s="40"/>
      <c r="U1183" s="40"/>
      <c r="V1183" s="40"/>
      <c r="W1183" s="40"/>
      <c r="X1183" s="41" t="str">
        <f>_xlfn.LET(
    _xlpm.MacVal, _xlfn.XLOOKUP($A1183, Output_Mac!$A:$A, Output_Mac!AB:AB, ""),
    _xlpm.MyAuditVal, _xlfn.XLOOKUP($A1183, My_Audit!$A:$A, My_Audit!N:N, ""),
    _xlfn.TEXTJOIN(", ", TRUE, _xlpm.MyAuditVal, _xlpm.MacVal)
)</f>
        <v/>
      </c>
    </row>
    <row r="1184" spans="1:24">
      <c r="A1184" s="40" t="str">
        <f>_xlfn.TEXTJOIN("",TRUE,Input!$B$2,ROW(My_Audit!A1183))</f>
        <v>X1183</v>
      </c>
      <c r="B1184" s="40" t="str">
        <f>_xlfn.TEXTJOIN("-",TRUE,"ITD",Input!$A$2,A1184)</f>
        <v>ITD-X1183</v>
      </c>
      <c r="C1184" s="40" t="str" cm="1">
        <f t="array" ref="C1184">IFERROR(_xlfn.LET(
_xlpm.CSVVal,_xlfn.XLOOKUP($A1184,CSV!$A:$A,CSV!B:B,""),
_xlpm.MacVal,_xlfn.XLOOKUP($A1184,Output_Mac!$A:$A,Output_Mac!B:B,""),
_xlpm.MyAuditVal,_xlfn.XLOOKUP($A1184,My_Audit!$A:$A,My_Audit!B:B,""),
_xlfn.IFS(_xlpm.MyAuditVal&lt;&gt;"",UPPER(_xlpm.MyAuditVal),_xlpm.MacVal&lt;&gt;"",_xlpm.MacVal,_xlpm.CSVVal&lt;&gt;"",_xlpm.CSVVal
)),"")</f>
        <v/>
      </c>
      <c r="D1184" s="40" t="str" cm="1">
        <f t="array" ref="D1184">IFERROR(_xlfn.LET(
_xlpm.CSVVal,_xlfn.XLOOKUP($A1184,CSV!$A:$A,CSV!D:D,""),
_xlpm.MacVal,_xlfn.XLOOKUP($A1184,Output_Mac!$A:$A,Output_Mac!C:C,""),
_xlpm.MyAuditVal,_xlfn.XLOOKUP($A1184,My_Audit!$A:$A,My_Audit!C:C,""),
_xlfn.IFS(_xlpm.MyAuditVal&lt;&gt;"",_xlpm.MyAuditVal,_xlpm.MacVal&lt;&gt;"",_xlpm.MacVal,_xlpm.CSVVal&lt;&gt;"",_xlpm.CSVVal
)),"")</f>
        <v/>
      </c>
      <c r="E1184" s="40" t="str">
        <f>_xlfn.XLOOKUP(A1184,My_Audit!A:A,My_Audit!D:D,"")</f>
        <v/>
      </c>
      <c r="F1184" s="40" t="str" cm="1">
        <f t="array" ref="F1184">IFERROR(_xlfn.LET(
_xlpm.CSVVal,_xlfn.XLOOKUP($A1184,CSV!$A:$A,CSV!F:F,""),
_xlpm.MacVal,_xlfn.XLOOKUP($A1184,Output_Mac!$A:$A,Output_Mac!E:E,""),
_xlpm.MyAuditVal,_xlfn.XLOOKUP($A1184,My_Audit!$A:$A,My_Audit!E:E,""),
_xlfn.IFS(_xlpm.MyAuditVal&lt;&gt;"",_xlpm.MyAuditVal,_xlpm.MacVal&lt;&gt;"",_xlpm.MacVal,_xlpm.CSVVal&lt;&gt;"",_xlpm.CSVVal
)),"")</f>
        <v/>
      </c>
      <c r="G1184" s="40" t="str" cm="1">
        <f t="array" ref="G1184">IFERROR(_xlfn.LET(
_xlpm.CSVVal,_xlfn.XLOOKUP($A1184,CSV!$A:$A,CSV!G:G,""),
_xlpm.MacVal,_xlfn.XLOOKUP($A1184,Output_Mac!$A:$A,Output_Mac!F:F,""),
_xlpm.MyAuditVal,_xlfn.XLOOKUP($A1184,My_Audit!$A:$A,My_Audit!F:F,""),
_xlfn.IFS(_xlpm.MyAuditVal&lt;&gt;"",_xlpm.MyAuditVal,_xlpm.MacVal&lt;&gt;"",_xlpm.MacVal,_xlpm.CSVVal&lt;&gt;"",PROPER(_xlpm.CSVVal)
)),"")</f>
        <v/>
      </c>
      <c r="H1184" s="40" t="str" cm="1">
        <f t="array" ref="H1184">IFERROR(_xlfn.LET(
_xlpm.CSVVal,_xlfn.XLOOKUP($A1184,CSV!$A:$A,CSV!H:H,""),
_xlpm.MacVal,_xlfn.XLOOKUP($A1184,Output_Mac!$A:$A,Output_Mac!H:H,""),
_xlpm.MyAuditVal,_xlfn.XLOOKUP($A1184,My_Audit!$A:$A,My_Audit!G:G,""),
_xlfn.IFS(_xlpm.MyAuditVal&lt;&gt;"",_xlpm.MyAuditVal,_xlpm.MacVal&lt;&gt;"",_xlpm.MacVal,_xlpm.CSVVal&lt;&gt;"",_xlpm.CSVVal
)),"")</f>
        <v/>
      </c>
      <c r="I1184" s="40" t="str">
        <f>_xlfn.XLOOKUP(A1184,Output_Mac!A:A,Output_Mac!I:I,"")</f>
        <v/>
      </c>
      <c r="J1184" s="40" t="str" cm="1">
        <f t="array" ref="J1184">IFERROR(_xlfn.LET(
_xlpm.CSVVal,_xlfn.XLOOKUP($A1184,CSV!$A:$A,CSV!I:I,""),
_xlpm.MacVal,_xlfn.XLOOKUP($A1184,Output_Mac!$A:$A,Output_Mac!J:J,""),
_xlpm.MyAuditVal,_xlfn.XLOOKUP($A1184,My_Audit!$A:$A,My_Audit!I:I,""),
_xlfn.IFS(_xlpm.MyAuditVal&lt;&gt;"",UPPER(_xlpm.MyAuditVal),_xlpm.MacVal&lt;&gt;"",_xlpm.MacVal,_xlpm.CSVVal&lt;&gt;"",_xlpm.CSVVal
)),"")</f>
        <v/>
      </c>
      <c r="K1184" s="40" t="str" cm="1">
        <f t="array" ref="K1184">IFERROR(_xlfn.LET(
_xlpm.CSVVal,_xlfn.XLOOKUP($A1184,CSV!$A:$A,CSV!K:K,""),
_xlpm.MacVal,_xlfn.XLOOKUP($A1184,Output_Mac!$A:$A,Output_Mac!K:K,""),
_xlpm.MyAuditVal,_xlfn.XLOOKUP($A1184,My_Audit!$A:$A,My_Audit!J:J,""),
_xlfn.IFS(_xlpm.MyAuditVal&lt;&gt;"",UPPER(_xlpm.MyAuditVal),_xlpm.MacVal&lt;&gt;"",_xlpm.MacVal,_xlpm.CSVVal&lt;&gt;"",_xlpm.CSVVal
)),"")</f>
        <v/>
      </c>
      <c r="L1184" s="40" t="str" cm="1">
        <f t="array" ref="L1184">IFERROR(_xlfn.LET(
_xlpm.CSVVal,_xlfn.XLOOKUP($A1184,CSV!$A:$A,CSV!P:P,""),
_xlpm.MacVal,_xlfn.XLOOKUP($A1184,Output_Mac!$A:$A,Output_Mac!L:L,""),
_xlpm.MyAuditVal,_xlfn.XLOOKUP($A1184,My_Audit!$A:$A,My_Audit!K:K,""),
_xlfn.IFS(_xlpm.MyAuditVal&lt;&gt;"",UPPER(_xlpm.MyAuditVal),_xlpm.MacVal&lt;&gt;"",_xlpm.MacVal,_xlpm.CSVVal&lt;&gt;"",_xlpm.CSVVal
)),"")</f>
        <v/>
      </c>
      <c r="M1184" s="40" t="str" cm="1">
        <f t="array" ref="M1184">IFERROR(_xlfn.LET(
_xlpm.CSVVal,_xlfn.XLOOKUP($A1184,CSV!$A:$A,CSV!Q:Q,""),
_xlpm.MacVal,_xlfn.XLOOKUP($A1184,Output_Mac!$A:$A,Output_Mac!M:M,""),
_xlpm.MyAuditVal,_xlfn.XLOOKUP($A1184,My_Audit!$A:$A,My_Audit!L:L,""),
_xlfn.IFS(_xlpm.MyAuditVal&lt;&gt;"",UPPER(_xlpm.MyAuditVal),_xlpm.MacVal&lt;&gt;"",_xlpm.MacVal,_xlpm.CSVVal&lt;&gt;"",_xlpm.CSVVal
)),"")</f>
        <v/>
      </c>
      <c r="N1184" s="40"/>
      <c r="O1184" s="40" t="str">
        <f>_xlfn.LET(
    _xlpm.CSVVal, _xlfn.XLOOKUP($A1184, CSV!$A:$A, CSV!AA:AA, ""),
    _xlpm.MacVal, _xlfn.XLOOKUP($A1184, Output_Mac!$A:$A, Output_Mac!S:S, ""),
    _xlpm.MyAuditVal, _xlfn.XLOOKUP($A1184, My_Audit!$A:$A, My_Audit!P:P, ""),
    _xlfn.TEXTJOIN(", ", TRUE, _xlpm.MyAuditVal, _xlpm.MacVal, _xlpm.CSVVal)
)</f>
        <v/>
      </c>
      <c r="P1184" s="40" t="str" cm="1">
        <f t="array" ref="P1184">IFERROR(_xlfn.LET(
_xlpm.CSVVal,_xlfn.XLOOKUP($A1184,CSV!$A:$A,CSV!AB:AB,""),
_xlpm.MacVal,_xlfn.XLOOKUP($A1184,Output_Mac!$A:$A,Output_Mac!T:T,""),
_xlpm.MyAuditVal,_xlfn.XLOOKUP($A1184,My_Audit!$A:$A,My_Audit!Q:Q,""),
_xlfn.IFS(_xlpm.MyAuditVal&lt;&gt;"",UPPER(_xlpm.MyAuditVal),_xlpm.MacVal&lt;&gt;"",_xlpm.MacVal,_xlpm.CSVVal&lt;&gt;"",_xlpm.CSVVal
)),"No")</f>
        <v>No</v>
      </c>
      <c r="Q1184" s="40" t="str" cm="1">
        <f t="array" ref="Q1184">IFERROR(_xlfn.LET(
_xlpm.CSVVal,_xlfn.XLOOKUP($A1184,CSV!$A:$A,CSV!AC:AC,""),
_xlpm.MacVal,_xlfn.XLOOKUP($A1184,Output_Mac!$A:$A,Output_Mac!U:U,""),
_xlpm.MyAuditVal,_xlfn.XLOOKUP($A1184,My_Audit!$A:$A,My_Audit!R:R,""),
_xlfn.IFS(_xlpm.MyAuditVal&lt;&gt;"",UPPER(_xlpm.MyAuditVal),_xlpm.MacVal&lt;&gt;"",_xlpm.MacVal,_xlpm.CSVVal&lt;&gt;"",_xlpm.CSVVal
)),"")</f>
        <v/>
      </c>
      <c r="R1184" s="40"/>
      <c r="S1184" s="40"/>
      <c r="T1184" s="40"/>
      <c r="U1184" s="40"/>
      <c r="V1184" s="40"/>
      <c r="W1184" s="40"/>
      <c r="X1184" s="41" t="str">
        <f>_xlfn.LET(
    _xlpm.MacVal, _xlfn.XLOOKUP($A1184, Output_Mac!$A:$A, Output_Mac!AB:AB, ""),
    _xlpm.MyAuditVal, _xlfn.XLOOKUP($A1184, My_Audit!$A:$A, My_Audit!N:N, ""),
    _xlfn.TEXTJOIN(", ", TRUE, _xlpm.MyAuditVal, _xlpm.MacVal)
)</f>
        <v/>
      </c>
    </row>
    <row r="1185" spans="1:24">
      <c r="A1185" s="40" t="str">
        <f>_xlfn.TEXTJOIN("",TRUE,Input!$B$2,ROW(My_Audit!A1184))</f>
        <v>X1184</v>
      </c>
      <c r="B1185" s="40" t="str">
        <f>_xlfn.TEXTJOIN("-",TRUE,"ITD",Input!$A$2,A1185)</f>
        <v>ITD-X1184</v>
      </c>
      <c r="C1185" s="40" t="str" cm="1">
        <f t="array" ref="C1185">IFERROR(_xlfn.LET(
_xlpm.CSVVal,_xlfn.XLOOKUP($A1185,CSV!$A:$A,CSV!B:B,""),
_xlpm.MacVal,_xlfn.XLOOKUP($A1185,Output_Mac!$A:$A,Output_Mac!B:B,""),
_xlpm.MyAuditVal,_xlfn.XLOOKUP($A1185,My_Audit!$A:$A,My_Audit!B:B,""),
_xlfn.IFS(_xlpm.MyAuditVal&lt;&gt;"",UPPER(_xlpm.MyAuditVal),_xlpm.MacVal&lt;&gt;"",_xlpm.MacVal,_xlpm.CSVVal&lt;&gt;"",_xlpm.CSVVal
)),"")</f>
        <v/>
      </c>
      <c r="D1185" s="40" t="str" cm="1">
        <f t="array" ref="D1185">IFERROR(_xlfn.LET(
_xlpm.CSVVal,_xlfn.XLOOKUP($A1185,CSV!$A:$A,CSV!D:D,""),
_xlpm.MacVal,_xlfn.XLOOKUP($A1185,Output_Mac!$A:$A,Output_Mac!C:C,""),
_xlpm.MyAuditVal,_xlfn.XLOOKUP($A1185,My_Audit!$A:$A,My_Audit!C:C,""),
_xlfn.IFS(_xlpm.MyAuditVal&lt;&gt;"",_xlpm.MyAuditVal,_xlpm.MacVal&lt;&gt;"",_xlpm.MacVal,_xlpm.CSVVal&lt;&gt;"",_xlpm.CSVVal
)),"")</f>
        <v/>
      </c>
      <c r="E1185" s="40" t="str">
        <f>_xlfn.XLOOKUP(A1185,My_Audit!A:A,My_Audit!D:D,"")</f>
        <v/>
      </c>
      <c r="F1185" s="40" t="str" cm="1">
        <f t="array" ref="F1185">IFERROR(_xlfn.LET(
_xlpm.CSVVal,_xlfn.XLOOKUP($A1185,CSV!$A:$A,CSV!F:F,""),
_xlpm.MacVal,_xlfn.XLOOKUP($A1185,Output_Mac!$A:$A,Output_Mac!E:E,""),
_xlpm.MyAuditVal,_xlfn.XLOOKUP($A1185,My_Audit!$A:$A,My_Audit!E:E,""),
_xlfn.IFS(_xlpm.MyAuditVal&lt;&gt;"",_xlpm.MyAuditVal,_xlpm.MacVal&lt;&gt;"",_xlpm.MacVal,_xlpm.CSVVal&lt;&gt;"",_xlpm.CSVVal
)),"")</f>
        <v/>
      </c>
      <c r="G1185" s="40" t="str" cm="1">
        <f t="array" ref="G1185">IFERROR(_xlfn.LET(
_xlpm.CSVVal,_xlfn.XLOOKUP($A1185,CSV!$A:$A,CSV!G:G,""),
_xlpm.MacVal,_xlfn.XLOOKUP($A1185,Output_Mac!$A:$A,Output_Mac!F:F,""),
_xlpm.MyAuditVal,_xlfn.XLOOKUP($A1185,My_Audit!$A:$A,My_Audit!F:F,""),
_xlfn.IFS(_xlpm.MyAuditVal&lt;&gt;"",_xlpm.MyAuditVal,_xlpm.MacVal&lt;&gt;"",_xlpm.MacVal,_xlpm.CSVVal&lt;&gt;"",PROPER(_xlpm.CSVVal)
)),"")</f>
        <v/>
      </c>
      <c r="H1185" s="40" t="str" cm="1">
        <f t="array" ref="H1185">IFERROR(_xlfn.LET(
_xlpm.CSVVal,_xlfn.XLOOKUP($A1185,CSV!$A:$A,CSV!H:H,""),
_xlpm.MacVal,_xlfn.XLOOKUP($A1185,Output_Mac!$A:$A,Output_Mac!H:H,""),
_xlpm.MyAuditVal,_xlfn.XLOOKUP($A1185,My_Audit!$A:$A,My_Audit!G:G,""),
_xlfn.IFS(_xlpm.MyAuditVal&lt;&gt;"",_xlpm.MyAuditVal,_xlpm.MacVal&lt;&gt;"",_xlpm.MacVal,_xlpm.CSVVal&lt;&gt;"",_xlpm.CSVVal
)),"")</f>
        <v/>
      </c>
      <c r="I1185" s="40" t="str">
        <f>_xlfn.XLOOKUP(A1185,Output_Mac!A:A,Output_Mac!I:I,"")</f>
        <v/>
      </c>
      <c r="J1185" s="40" t="str" cm="1">
        <f t="array" ref="J1185">IFERROR(_xlfn.LET(
_xlpm.CSVVal,_xlfn.XLOOKUP($A1185,CSV!$A:$A,CSV!I:I,""),
_xlpm.MacVal,_xlfn.XLOOKUP($A1185,Output_Mac!$A:$A,Output_Mac!J:J,""),
_xlpm.MyAuditVal,_xlfn.XLOOKUP($A1185,My_Audit!$A:$A,My_Audit!I:I,""),
_xlfn.IFS(_xlpm.MyAuditVal&lt;&gt;"",UPPER(_xlpm.MyAuditVal),_xlpm.MacVal&lt;&gt;"",_xlpm.MacVal,_xlpm.CSVVal&lt;&gt;"",_xlpm.CSVVal
)),"")</f>
        <v/>
      </c>
      <c r="K1185" s="40" t="str" cm="1">
        <f t="array" ref="K1185">IFERROR(_xlfn.LET(
_xlpm.CSVVal,_xlfn.XLOOKUP($A1185,CSV!$A:$A,CSV!K:K,""),
_xlpm.MacVal,_xlfn.XLOOKUP($A1185,Output_Mac!$A:$A,Output_Mac!K:K,""),
_xlpm.MyAuditVal,_xlfn.XLOOKUP($A1185,My_Audit!$A:$A,My_Audit!J:J,""),
_xlfn.IFS(_xlpm.MyAuditVal&lt;&gt;"",UPPER(_xlpm.MyAuditVal),_xlpm.MacVal&lt;&gt;"",_xlpm.MacVal,_xlpm.CSVVal&lt;&gt;"",_xlpm.CSVVal
)),"")</f>
        <v/>
      </c>
      <c r="L1185" s="40" t="str" cm="1">
        <f t="array" ref="L1185">IFERROR(_xlfn.LET(
_xlpm.CSVVal,_xlfn.XLOOKUP($A1185,CSV!$A:$A,CSV!P:P,""),
_xlpm.MacVal,_xlfn.XLOOKUP($A1185,Output_Mac!$A:$A,Output_Mac!L:L,""),
_xlpm.MyAuditVal,_xlfn.XLOOKUP($A1185,My_Audit!$A:$A,My_Audit!K:K,""),
_xlfn.IFS(_xlpm.MyAuditVal&lt;&gt;"",UPPER(_xlpm.MyAuditVal),_xlpm.MacVal&lt;&gt;"",_xlpm.MacVal,_xlpm.CSVVal&lt;&gt;"",_xlpm.CSVVal
)),"")</f>
        <v/>
      </c>
      <c r="M1185" s="40" t="str" cm="1">
        <f t="array" ref="M1185">IFERROR(_xlfn.LET(
_xlpm.CSVVal,_xlfn.XLOOKUP($A1185,CSV!$A:$A,CSV!Q:Q,""),
_xlpm.MacVal,_xlfn.XLOOKUP($A1185,Output_Mac!$A:$A,Output_Mac!M:M,""),
_xlpm.MyAuditVal,_xlfn.XLOOKUP($A1185,My_Audit!$A:$A,My_Audit!L:L,""),
_xlfn.IFS(_xlpm.MyAuditVal&lt;&gt;"",UPPER(_xlpm.MyAuditVal),_xlpm.MacVal&lt;&gt;"",_xlpm.MacVal,_xlpm.CSVVal&lt;&gt;"",_xlpm.CSVVal
)),"")</f>
        <v/>
      </c>
      <c r="N1185" s="40"/>
      <c r="O1185" s="40" t="str">
        <f>_xlfn.LET(
    _xlpm.CSVVal, _xlfn.XLOOKUP($A1185, CSV!$A:$A, CSV!AA:AA, ""),
    _xlpm.MacVal, _xlfn.XLOOKUP($A1185, Output_Mac!$A:$A, Output_Mac!S:S, ""),
    _xlpm.MyAuditVal, _xlfn.XLOOKUP($A1185, My_Audit!$A:$A, My_Audit!P:P, ""),
    _xlfn.TEXTJOIN(", ", TRUE, _xlpm.MyAuditVal, _xlpm.MacVal, _xlpm.CSVVal)
)</f>
        <v/>
      </c>
      <c r="P1185" s="40" t="str" cm="1">
        <f t="array" ref="P1185">IFERROR(_xlfn.LET(
_xlpm.CSVVal,_xlfn.XLOOKUP($A1185,CSV!$A:$A,CSV!AB:AB,""),
_xlpm.MacVal,_xlfn.XLOOKUP($A1185,Output_Mac!$A:$A,Output_Mac!T:T,""),
_xlpm.MyAuditVal,_xlfn.XLOOKUP($A1185,My_Audit!$A:$A,My_Audit!Q:Q,""),
_xlfn.IFS(_xlpm.MyAuditVal&lt;&gt;"",UPPER(_xlpm.MyAuditVal),_xlpm.MacVal&lt;&gt;"",_xlpm.MacVal,_xlpm.CSVVal&lt;&gt;"",_xlpm.CSVVal
)),"No")</f>
        <v>No</v>
      </c>
      <c r="Q1185" s="40" t="str" cm="1">
        <f t="array" ref="Q1185">IFERROR(_xlfn.LET(
_xlpm.CSVVal,_xlfn.XLOOKUP($A1185,CSV!$A:$A,CSV!AC:AC,""),
_xlpm.MacVal,_xlfn.XLOOKUP($A1185,Output_Mac!$A:$A,Output_Mac!U:U,""),
_xlpm.MyAuditVal,_xlfn.XLOOKUP($A1185,My_Audit!$A:$A,My_Audit!R:R,""),
_xlfn.IFS(_xlpm.MyAuditVal&lt;&gt;"",UPPER(_xlpm.MyAuditVal),_xlpm.MacVal&lt;&gt;"",_xlpm.MacVal,_xlpm.CSVVal&lt;&gt;"",_xlpm.CSVVal
)),"")</f>
        <v/>
      </c>
      <c r="R1185" s="40"/>
      <c r="S1185" s="40"/>
      <c r="T1185" s="40"/>
      <c r="U1185" s="40"/>
      <c r="V1185" s="40"/>
      <c r="W1185" s="40"/>
      <c r="X1185" s="41" t="str">
        <f>_xlfn.LET(
    _xlpm.MacVal, _xlfn.XLOOKUP($A1185, Output_Mac!$A:$A, Output_Mac!AB:AB, ""),
    _xlpm.MyAuditVal, _xlfn.XLOOKUP($A1185, My_Audit!$A:$A, My_Audit!N:N, ""),
    _xlfn.TEXTJOIN(", ", TRUE, _xlpm.MyAuditVal, _xlpm.MacVal)
)</f>
        <v/>
      </c>
    </row>
    <row r="1186" spans="1:24">
      <c r="A1186" s="40" t="str">
        <f>_xlfn.TEXTJOIN("",TRUE,Input!$B$2,ROW(My_Audit!A1185))</f>
        <v>X1185</v>
      </c>
      <c r="B1186" s="40" t="str">
        <f>_xlfn.TEXTJOIN("-",TRUE,"ITD",Input!$A$2,A1186)</f>
        <v>ITD-X1185</v>
      </c>
      <c r="C1186" s="40" t="str" cm="1">
        <f t="array" ref="C1186">IFERROR(_xlfn.LET(
_xlpm.CSVVal,_xlfn.XLOOKUP($A1186,CSV!$A:$A,CSV!B:B,""),
_xlpm.MacVal,_xlfn.XLOOKUP($A1186,Output_Mac!$A:$A,Output_Mac!B:B,""),
_xlpm.MyAuditVal,_xlfn.XLOOKUP($A1186,My_Audit!$A:$A,My_Audit!B:B,""),
_xlfn.IFS(_xlpm.MyAuditVal&lt;&gt;"",UPPER(_xlpm.MyAuditVal),_xlpm.MacVal&lt;&gt;"",_xlpm.MacVal,_xlpm.CSVVal&lt;&gt;"",_xlpm.CSVVal
)),"")</f>
        <v/>
      </c>
      <c r="D1186" s="40" t="str" cm="1">
        <f t="array" ref="D1186">IFERROR(_xlfn.LET(
_xlpm.CSVVal,_xlfn.XLOOKUP($A1186,CSV!$A:$A,CSV!D:D,""),
_xlpm.MacVal,_xlfn.XLOOKUP($A1186,Output_Mac!$A:$A,Output_Mac!C:C,""),
_xlpm.MyAuditVal,_xlfn.XLOOKUP($A1186,My_Audit!$A:$A,My_Audit!C:C,""),
_xlfn.IFS(_xlpm.MyAuditVal&lt;&gt;"",_xlpm.MyAuditVal,_xlpm.MacVal&lt;&gt;"",_xlpm.MacVal,_xlpm.CSVVal&lt;&gt;"",_xlpm.CSVVal
)),"")</f>
        <v/>
      </c>
      <c r="E1186" s="40" t="str">
        <f>_xlfn.XLOOKUP(A1186,My_Audit!A:A,My_Audit!D:D,"")</f>
        <v/>
      </c>
      <c r="F1186" s="40" t="str" cm="1">
        <f t="array" ref="F1186">IFERROR(_xlfn.LET(
_xlpm.CSVVal,_xlfn.XLOOKUP($A1186,CSV!$A:$A,CSV!F:F,""),
_xlpm.MacVal,_xlfn.XLOOKUP($A1186,Output_Mac!$A:$A,Output_Mac!E:E,""),
_xlpm.MyAuditVal,_xlfn.XLOOKUP($A1186,My_Audit!$A:$A,My_Audit!E:E,""),
_xlfn.IFS(_xlpm.MyAuditVal&lt;&gt;"",_xlpm.MyAuditVal,_xlpm.MacVal&lt;&gt;"",_xlpm.MacVal,_xlpm.CSVVal&lt;&gt;"",_xlpm.CSVVal
)),"")</f>
        <v/>
      </c>
      <c r="G1186" s="40" t="str" cm="1">
        <f t="array" ref="G1186">IFERROR(_xlfn.LET(
_xlpm.CSVVal,_xlfn.XLOOKUP($A1186,CSV!$A:$A,CSV!G:G,""),
_xlpm.MacVal,_xlfn.XLOOKUP($A1186,Output_Mac!$A:$A,Output_Mac!F:F,""),
_xlpm.MyAuditVal,_xlfn.XLOOKUP($A1186,My_Audit!$A:$A,My_Audit!F:F,""),
_xlfn.IFS(_xlpm.MyAuditVal&lt;&gt;"",_xlpm.MyAuditVal,_xlpm.MacVal&lt;&gt;"",_xlpm.MacVal,_xlpm.CSVVal&lt;&gt;"",PROPER(_xlpm.CSVVal)
)),"")</f>
        <v/>
      </c>
      <c r="H1186" s="40" t="str" cm="1">
        <f t="array" ref="H1186">IFERROR(_xlfn.LET(
_xlpm.CSVVal,_xlfn.XLOOKUP($A1186,CSV!$A:$A,CSV!H:H,""),
_xlpm.MacVal,_xlfn.XLOOKUP($A1186,Output_Mac!$A:$A,Output_Mac!H:H,""),
_xlpm.MyAuditVal,_xlfn.XLOOKUP($A1186,My_Audit!$A:$A,My_Audit!G:G,""),
_xlfn.IFS(_xlpm.MyAuditVal&lt;&gt;"",_xlpm.MyAuditVal,_xlpm.MacVal&lt;&gt;"",_xlpm.MacVal,_xlpm.CSVVal&lt;&gt;"",_xlpm.CSVVal
)),"")</f>
        <v/>
      </c>
      <c r="I1186" s="40" t="str">
        <f>_xlfn.XLOOKUP(A1186,Output_Mac!A:A,Output_Mac!I:I,"")</f>
        <v/>
      </c>
      <c r="J1186" s="40" t="str" cm="1">
        <f t="array" ref="J1186">IFERROR(_xlfn.LET(
_xlpm.CSVVal,_xlfn.XLOOKUP($A1186,CSV!$A:$A,CSV!I:I,""),
_xlpm.MacVal,_xlfn.XLOOKUP($A1186,Output_Mac!$A:$A,Output_Mac!J:J,""),
_xlpm.MyAuditVal,_xlfn.XLOOKUP($A1186,My_Audit!$A:$A,My_Audit!I:I,""),
_xlfn.IFS(_xlpm.MyAuditVal&lt;&gt;"",UPPER(_xlpm.MyAuditVal),_xlpm.MacVal&lt;&gt;"",_xlpm.MacVal,_xlpm.CSVVal&lt;&gt;"",_xlpm.CSVVal
)),"")</f>
        <v/>
      </c>
      <c r="K1186" s="40" t="str" cm="1">
        <f t="array" ref="K1186">IFERROR(_xlfn.LET(
_xlpm.CSVVal,_xlfn.XLOOKUP($A1186,CSV!$A:$A,CSV!K:K,""),
_xlpm.MacVal,_xlfn.XLOOKUP($A1186,Output_Mac!$A:$A,Output_Mac!K:K,""),
_xlpm.MyAuditVal,_xlfn.XLOOKUP($A1186,My_Audit!$A:$A,My_Audit!J:J,""),
_xlfn.IFS(_xlpm.MyAuditVal&lt;&gt;"",UPPER(_xlpm.MyAuditVal),_xlpm.MacVal&lt;&gt;"",_xlpm.MacVal,_xlpm.CSVVal&lt;&gt;"",_xlpm.CSVVal
)),"")</f>
        <v/>
      </c>
      <c r="L1186" s="40" t="str" cm="1">
        <f t="array" ref="L1186">IFERROR(_xlfn.LET(
_xlpm.CSVVal,_xlfn.XLOOKUP($A1186,CSV!$A:$A,CSV!P:P,""),
_xlpm.MacVal,_xlfn.XLOOKUP($A1186,Output_Mac!$A:$A,Output_Mac!L:L,""),
_xlpm.MyAuditVal,_xlfn.XLOOKUP($A1186,My_Audit!$A:$A,My_Audit!K:K,""),
_xlfn.IFS(_xlpm.MyAuditVal&lt;&gt;"",UPPER(_xlpm.MyAuditVal),_xlpm.MacVal&lt;&gt;"",_xlpm.MacVal,_xlpm.CSVVal&lt;&gt;"",_xlpm.CSVVal
)),"")</f>
        <v/>
      </c>
      <c r="M1186" s="40" t="str" cm="1">
        <f t="array" ref="M1186">IFERROR(_xlfn.LET(
_xlpm.CSVVal,_xlfn.XLOOKUP($A1186,CSV!$A:$A,CSV!Q:Q,""),
_xlpm.MacVal,_xlfn.XLOOKUP($A1186,Output_Mac!$A:$A,Output_Mac!M:M,""),
_xlpm.MyAuditVal,_xlfn.XLOOKUP($A1186,My_Audit!$A:$A,My_Audit!L:L,""),
_xlfn.IFS(_xlpm.MyAuditVal&lt;&gt;"",UPPER(_xlpm.MyAuditVal),_xlpm.MacVal&lt;&gt;"",_xlpm.MacVal,_xlpm.CSVVal&lt;&gt;"",_xlpm.CSVVal
)),"")</f>
        <v/>
      </c>
      <c r="N1186" s="40"/>
      <c r="O1186" s="40" t="str">
        <f>_xlfn.LET(
    _xlpm.CSVVal, _xlfn.XLOOKUP($A1186, CSV!$A:$A, CSV!AA:AA, ""),
    _xlpm.MacVal, _xlfn.XLOOKUP($A1186, Output_Mac!$A:$A, Output_Mac!S:S, ""),
    _xlpm.MyAuditVal, _xlfn.XLOOKUP($A1186, My_Audit!$A:$A, My_Audit!P:P, ""),
    _xlfn.TEXTJOIN(", ", TRUE, _xlpm.MyAuditVal, _xlpm.MacVal, _xlpm.CSVVal)
)</f>
        <v/>
      </c>
      <c r="P1186" s="40" t="str" cm="1">
        <f t="array" ref="P1186">IFERROR(_xlfn.LET(
_xlpm.CSVVal,_xlfn.XLOOKUP($A1186,CSV!$A:$A,CSV!AB:AB,""),
_xlpm.MacVal,_xlfn.XLOOKUP($A1186,Output_Mac!$A:$A,Output_Mac!T:T,""),
_xlpm.MyAuditVal,_xlfn.XLOOKUP($A1186,My_Audit!$A:$A,My_Audit!Q:Q,""),
_xlfn.IFS(_xlpm.MyAuditVal&lt;&gt;"",UPPER(_xlpm.MyAuditVal),_xlpm.MacVal&lt;&gt;"",_xlpm.MacVal,_xlpm.CSVVal&lt;&gt;"",_xlpm.CSVVal
)),"No")</f>
        <v>No</v>
      </c>
      <c r="Q1186" s="40" t="str" cm="1">
        <f t="array" ref="Q1186">IFERROR(_xlfn.LET(
_xlpm.CSVVal,_xlfn.XLOOKUP($A1186,CSV!$A:$A,CSV!AC:AC,""),
_xlpm.MacVal,_xlfn.XLOOKUP($A1186,Output_Mac!$A:$A,Output_Mac!U:U,""),
_xlpm.MyAuditVal,_xlfn.XLOOKUP($A1186,My_Audit!$A:$A,My_Audit!R:R,""),
_xlfn.IFS(_xlpm.MyAuditVal&lt;&gt;"",UPPER(_xlpm.MyAuditVal),_xlpm.MacVal&lt;&gt;"",_xlpm.MacVal,_xlpm.CSVVal&lt;&gt;"",_xlpm.CSVVal
)),"")</f>
        <v/>
      </c>
      <c r="R1186" s="40"/>
      <c r="S1186" s="40"/>
      <c r="T1186" s="40"/>
      <c r="U1186" s="40"/>
      <c r="V1186" s="40"/>
      <c r="W1186" s="40"/>
      <c r="X1186" s="41" t="str">
        <f>_xlfn.LET(
    _xlpm.MacVal, _xlfn.XLOOKUP($A1186, Output_Mac!$A:$A, Output_Mac!AB:AB, ""),
    _xlpm.MyAuditVal, _xlfn.XLOOKUP($A1186, My_Audit!$A:$A, My_Audit!N:N, ""),
    _xlfn.TEXTJOIN(", ", TRUE, _xlpm.MyAuditVal, _xlpm.MacVal)
)</f>
        <v/>
      </c>
    </row>
    <row r="1187" spans="1:24">
      <c r="A1187" s="40" t="str">
        <f>_xlfn.TEXTJOIN("",TRUE,Input!$B$2,ROW(My_Audit!A1186))</f>
        <v>X1186</v>
      </c>
      <c r="B1187" s="40" t="str">
        <f>_xlfn.TEXTJOIN("-",TRUE,"ITD",Input!$A$2,A1187)</f>
        <v>ITD-X1186</v>
      </c>
      <c r="C1187" s="40" t="str" cm="1">
        <f t="array" ref="C1187">IFERROR(_xlfn.LET(
_xlpm.CSVVal,_xlfn.XLOOKUP($A1187,CSV!$A:$A,CSV!B:B,""),
_xlpm.MacVal,_xlfn.XLOOKUP($A1187,Output_Mac!$A:$A,Output_Mac!B:B,""),
_xlpm.MyAuditVal,_xlfn.XLOOKUP($A1187,My_Audit!$A:$A,My_Audit!B:B,""),
_xlfn.IFS(_xlpm.MyAuditVal&lt;&gt;"",UPPER(_xlpm.MyAuditVal),_xlpm.MacVal&lt;&gt;"",_xlpm.MacVal,_xlpm.CSVVal&lt;&gt;"",_xlpm.CSVVal
)),"")</f>
        <v/>
      </c>
      <c r="D1187" s="40" t="str" cm="1">
        <f t="array" ref="D1187">IFERROR(_xlfn.LET(
_xlpm.CSVVal,_xlfn.XLOOKUP($A1187,CSV!$A:$A,CSV!D:D,""),
_xlpm.MacVal,_xlfn.XLOOKUP($A1187,Output_Mac!$A:$A,Output_Mac!C:C,""),
_xlpm.MyAuditVal,_xlfn.XLOOKUP($A1187,My_Audit!$A:$A,My_Audit!C:C,""),
_xlfn.IFS(_xlpm.MyAuditVal&lt;&gt;"",_xlpm.MyAuditVal,_xlpm.MacVal&lt;&gt;"",_xlpm.MacVal,_xlpm.CSVVal&lt;&gt;"",_xlpm.CSVVal
)),"")</f>
        <v/>
      </c>
      <c r="E1187" s="40" t="str">
        <f>_xlfn.XLOOKUP(A1187,My_Audit!A:A,My_Audit!D:D,"")</f>
        <v/>
      </c>
      <c r="F1187" s="40" t="str" cm="1">
        <f t="array" ref="F1187">IFERROR(_xlfn.LET(
_xlpm.CSVVal,_xlfn.XLOOKUP($A1187,CSV!$A:$A,CSV!F:F,""),
_xlpm.MacVal,_xlfn.XLOOKUP($A1187,Output_Mac!$A:$A,Output_Mac!E:E,""),
_xlpm.MyAuditVal,_xlfn.XLOOKUP($A1187,My_Audit!$A:$A,My_Audit!E:E,""),
_xlfn.IFS(_xlpm.MyAuditVal&lt;&gt;"",_xlpm.MyAuditVal,_xlpm.MacVal&lt;&gt;"",_xlpm.MacVal,_xlpm.CSVVal&lt;&gt;"",_xlpm.CSVVal
)),"")</f>
        <v/>
      </c>
      <c r="G1187" s="40" t="str" cm="1">
        <f t="array" ref="G1187">IFERROR(_xlfn.LET(
_xlpm.CSVVal,_xlfn.XLOOKUP($A1187,CSV!$A:$A,CSV!G:G,""),
_xlpm.MacVal,_xlfn.XLOOKUP($A1187,Output_Mac!$A:$A,Output_Mac!F:F,""),
_xlpm.MyAuditVal,_xlfn.XLOOKUP($A1187,My_Audit!$A:$A,My_Audit!F:F,""),
_xlfn.IFS(_xlpm.MyAuditVal&lt;&gt;"",_xlpm.MyAuditVal,_xlpm.MacVal&lt;&gt;"",_xlpm.MacVal,_xlpm.CSVVal&lt;&gt;"",PROPER(_xlpm.CSVVal)
)),"")</f>
        <v/>
      </c>
      <c r="H1187" s="40" t="str" cm="1">
        <f t="array" ref="H1187">IFERROR(_xlfn.LET(
_xlpm.CSVVal,_xlfn.XLOOKUP($A1187,CSV!$A:$A,CSV!H:H,""),
_xlpm.MacVal,_xlfn.XLOOKUP($A1187,Output_Mac!$A:$A,Output_Mac!H:H,""),
_xlpm.MyAuditVal,_xlfn.XLOOKUP($A1187,My_Audit!$A:$A,My_Audit!G:G,""),
_xlfn.IFS(_xlpm.MyAuditVal&lt;&gt;"",_xlpm.MyAuditVal,_xlpm.MacVal&lt;&gt;"",_xlpm.MacVal,_xlpm.CSVVal&lt;&gt;"",_xlpm.CSVVal
)),"")</f>
        <v/>
      </c>
      <c r="I1187" s="40" t="str">
        <f>_xlfn.XLOOKUP(A1187,Output_Mac!A:A,Output_Mac!I:I,"")</f>
        <v/>
      </c>
      <c r="J1187" s="40" t="str" cm="1">
        <f t="array" ref="J1187">IFERROR(_xlfn.LET(
_xlpm.CSVVal,_xlfn.XLOOKUP($A1187,CSV!$A:$A,CSV!I:I,""),
_xlpm.MacVal,_xlfn.XLOOKUP($A1187,Output_Mac!$A:$A,Output_Mac!J:J,""),
_xlpm.MyAuditVal,_xlfn.XLOOKUP($A1187,My_Audit!$A:$A,My_Audit!I:I,""),
_xlfn.IFS(_xlpm.MyAuditVal&lt;&gt;"",UPPER(_xlpm.MyAuditVal),_xlpm.MacVal&lt;&gt;"",_xlpm.MacVal,_xlpm.CSVVal&lt;&gt;"",_xlpm.CSVVal
)),"")</f>
        <v/>
      </c>
      <c r="K1187" s="40" t="str" cm="1">
        <f t="array" ref="K1187">IFERROR(_xlfn.LET(
_xlpm.CSVVal,_xlfn.XLOOKUP($A1187,CSV!$A:$A,CSV!K:K,""),
_xlpm.MacVal,_xlfn.XLOOKUP($A1187,Output_Mac!$A:$A,Output_Mac!K:K,""),
_xlpm.MyAuditVal,_xlfn.XLOOKUP($A1187,My_Audit!$A:$A,My_Audit!J:J,""),
_xlfn.IFS(_xlpm.MyAuditVal&lt;&gt;"",UPPER(_xlpm.MyAuditVal),_xlpm.MacVal&lt;&gt;"",_xlpm.MacVal,_xlpm.CSVVal&lt;&gt;"",_xlpm.CSVVal
)),"")</f>
        <v/>
      </c>
      <c r="L1187" s="40" t="str" cm="1">
        <f t="array" ref="L1187">IFERROR(_xlfn.LET(
_xlpm.CSVVal,_xlfn.XLOOKUP($A1187,CSV!$A:$A,CSV!P:P,""),
_xlpm.MacVal,_xlfn.XLOOKUP($A1187,Output_Mac!$A:$A,Output_Mac!L:L,""),
_xlpm.MyAuditVal,_xlfn.XLOOKUP($A1187,My_Audit!$A:$A,My_Audit!K:K,""),
_xlfn.IFS(_xlpm.MyAuditVal&lt;&gt;"",UPPER(_xlpm.MyAuditVal),_xlpm.MacVal&lt;&gt;"",_xlpm.MacVal,_xlpm.CSVVal&lt;&gt;"",_xlpm.CSVVal
)),"")</f>
        <v/>
      </c>
      <c r="M1187" s="40" t="str" cm="1">
        <f t="array" ref="M1187">IFERROR(_xlfn.LET(
_xlpm.CSVVal,_xlfn.XLOOKUP($A1187,CSV!$A:$A,CSV!Q:Q,""),
_xlpm.MacVal,_xlfn.XLOOKUP($A1187,Output_Mac!$A:$A,Output_Mac!M:M,""),
_xlpm.MyAuditVal,_xlfn.XLOOKUP($A1187,My_Audit!$A:$A,My_Audit!L:L,""),
_xlfn.IFS(_xlpm.MyAuditVal&lt;&gt;"",UPPER(_xlpm.MyAuditVal),_xlpm.MacVal&lt;&gt;"",_xlpm.MacVal,_xlpm.CSVVal&lt;&gt;"",_xlpm.CSVVal
)),"")</f>
        <v/>
      </c>
      <c r="N1187" s="40"/>
      <c r="O1187" s="40" t="str">
        <f>_xlfn.LET(
    _xlpm.CSVVal, _xlfn.XLOOKUP($A1187, CSV!$A:$A, CSV!AA:AA, ""),
    _xlpm.MacVal, _xlfn.XLOOKUP($A1187, Output_Mac!$A:$A, Output_Mac!S:S, ""),
    _xlpm.MyAuditVal, _xlfn.XLOOKUP($A1187, My_Audit!$A:$A, My_Audit!P:P, ""),
    _xlfn.TEXTJOIN(", ", TRUE, _xlpm.MyAuditVal, _xlpm.MacVal, _xlpm.CSVVal)
)</f>
        <v/>
      </c>
      <c r="P1187" s="40" t="str" cm="1">
        <f t="array" ref="P1187">IFERROR(_xlfn.LET(
_xlpm.CSVVal,_xlfn.XLOOKUP($A1187,CSV!$A:$A,CSV!AB:AB,""),
_xlpm.MacVal,_xlfn.XLOOKUP($A1187,Output_Mac!$A:$A,Output_Mac!T:T,""),
_xlpm.MyAuditVal,_xlfn.XLOOKUP($A1187,My_Audit!$A:$A,My_Audit!Q:Q,""),
_xlfn.IFS(_xlpm.MyAuditVal&lt;&gt;"",UPPER(_xlpm.MyAuditVal),_xlpm.MacVal&lt;&gt;"",_xlpm.MacVal,_xlpm.CSVVal&lt;&gt;"",_xlpm.CSVVal
)),"No")</f>
        <v>No</v>
      </c>
      <c r="Q1187" s="40" t="str" cm="1">
        <f t="array" ref="Q1187">IFERROR(_xlfn.LET(
_xlpm.CSVVal,_xlfn.XLOOKUP($A1187,CSV!$A:$A,CSV!AC:AC,""),
_xlpm.MacVal,_xlfn.XLOOKUP($A1187,Output_Mac!$A:$A,Output_Mac!U:U,""),
_xlpm.MyAuditVal,_xlfn.XLOOKUP($A1187,My_Audit!$A:$A,My_Audit!R:R,""),
_xlfn.IFS(_xlpm.MyAuditVal&lt;&gt;"",UPPER(_xlpm.MyAuditVal),_xlpm.MacVal&lt;&gt;"",_xlpm.MacVal,_xlpm.CSVVal&lt;&gt;"",_xlpm.CSVVal
)),"")</f>
        <v/>
      </c>
      <c r="R1187" s="40"/>
      <c r="S1187" s="40"/>
      <c r="T1187" s="40"/>
      <c r="U1187" s="40"/>
      <c r="V1187" s="40"/>
      <c r="W1187" s="40"/>
      <c r="X1187" s="41" t="str">
        <f>_xlfn.LET(
    _xlpm.MacVal, _xlfn.XLOOKUP($A1187, Output_Mac!$A:$A, Output_Mac!AB:AB, ""),
    _xlpm.MyAuditVal, _xlfn.XLOOKUP($A1187, My_Audit!$A:$A, My_Audit!N:N, ""),
    _xlfn.TEXTJOIN(", ", TRUE, _xlpm.MyAuditVal, _xlpm.MacVal)
)</f>
        <v/>
      </c>
    </row>
    <row r="1188" spans="1:24">
      <c r="A1188" s="40" t="str">
        <f>_xlfn.TEXTJOIN("",TRUE,Input!$B$2,ROW(My_Audit!A1187))</f>
        <v>X1187</v>
      </c>
      <c r="B1188" s="40" t="str">
        <f>_xlfn.TEXTJOIN("-",TRUE,"ITD",Input!$A$2,A1188)</f>
        <v>ITD-X1187</v>
      </c>
      <c r="C1188" s="40" t="str" cm="1">
        <f t="array" ref="C1188">IFERROR(_xlfn.LET(
_xlpm.CSVVal,_xlfn.XLOOKUP($A1188,CSV!$A:$A,CSV!B:B,""),
_xlpm.MacVal,_xlfn.XLOOKUP($A1188,Output_Mac!$A:$A,Output_Mac!B:B,""),
_xlpm.MyAuditVal,_xlfn.XLOOKUP($A1188,My_Audit!$A:$A,My_Audit!B:B,""),
_xlfn.IFS(_xlpm.MyAuditVal&lt;&gt;"",UPPER(_xlpm.MyAuditVal),_xlpm.MacVal&lt;&gt;"",_xlpm.MacVal,_xlpm.CSVVal&lt;&gt;"",_xlpm.CSVVal
)),"")</f>
        <v/>
      </c>
      <c r="D1188" s="40" t="str" cm="1">
        <f t="array" ref="D1188">IFERROR(_xlfn.LET(
_xlpm.CSVVal,_xlfn.XLOOKUP($A1188,CSV!$A:$A,CSV!D:D,""),
_xlpm.MacVal,_xlfn.XLOOKUP($A1188,Output_Mac!$A:$A,Output_Mac!C:C,""),
_xlpm.MyAuditVal,_xlfn.XLOOKUP($A1188,My_Audit!$A:$A,My_Audit!C:C,""),
_xlfn.IFS(_xlpm.MyAuditVal&lt;&gt;"",_xlpm.MyAuditVal,_xlpm.MacVal&lt;&gt;"",_xlpm.MacVal,_xlpm.CSVVal&lt;&gt;"",_xlpm.CSVVal
)),"")</f>
        <v/>
      </c>
      <c r="E1188" s="40" t="str">
        <f>_xlfn.XLOOKUP(A1188,My_Audit!A:A,My_Audit!D:D,"")</f>
        <v/>
      </c>
      <c r="F1188" s="40" t="str" cm="1">
        <f t="array" ref="F1188">IFERROR(_xlfn.LET(
_xlpm.CSVVal,_xlfn.XLOOKUP($A1188,CSV!$A:$A,CSV!F:F,""),
_xlpm.MacVal,_xlfn.XLOOKUP($A1188,Output_Mac!$A:$A,Output_Mac!E:E,""),
_xlpm.MyAuditVal,_xlfn.XLOOKUP($A1188,My_Audit!$A:$A,My_Audit!E:E,""),
_xlfn.IFS(_xlpm.MyAuditVal&lt;&gt;"",_xlpm.MyAuditVal,_xlpm.MacVal&lt;&gt;"",_xlpm.MacVal,_xlpm.CSVVal&lt;&gt;"",_xlpm.CSVVal
)),"")</f>
        <v/>
      </c>
      <c r="G1188" s="40" t="str" cm="1">
        <f t="array" ref="G1188">IFERROR(_xlfn.LET(
_xlpm.CSVVal,_xlfn.XLOOKUP($A1188,CSV!$A:$A,CSV!G:G,""),
_xlpm.MacVal,_xlfn.XLOOKUP($A1188,Output_Mac!$A:$A,Output_Mac!F:F,""),
_xlpm.MyAuditVal,_xlfn.XLOOKUP($A1188,My_Audit!$A:$A,My_Audit!F:F,""),
_xlfn.IFS(_xlpm.MyAuditVal&lt;&gt;"",_xlpm.MyAuditVal,_xlpm.MacVal&lt;&gt;"",_xlpm.MacVal,_xlpm.CSVVal&lt;&gt;"",PROPER(_xlpm.CSVVal)
)),"")</f>
        <v/>
      </c>
      <c r="H1188" s="40" t="str" cm="1">
        <f t="array" ref="H1188">IFERROR(_xlfn.LET(
_xlpm.CSVVal,_xlfn.XLOOKUP($A1188,CSV!$A:$A,CSV!H:H,""),
_xlpm.MacVal,_xlfn.XLOOKUP($A1188,Output_Mac!$A:$A,Output_Mac!H:H,""),
_xlpm.MyAuditVal,_xlfn.XLOOKUP($A1188,My_Audit!$A:$A,My_Audit!G:G,""),
_xlfn.IFS(_xlpm.MyAuditVal&lt;&gt;"",_xlpm.MyAuditVal,_xlpm.MacVal&lt;&gt;"",_xlpm.MacVal,_xlpm.CSVVal&lt;&gt;"",_xlpm.CSVVal
)),"")</f>
        <v/>
      </c>
      <c r="I1188" s="40" t="str">
        <f>_xlfn.XLOOKUP(A1188,Output_Mac!A:A,Output_Mac!I:I,"")</f>
        <v/>
      </c>
      <c r="J1188" s="40" t="str" cm="1">
        <f t="array" ref="J1188">IFERROR(_xlfn.LET(
_xlpm.CSVVal,_xlfn.XLOOKUP($A1188,CSV!$A:$A,CSV!I:I,""),
_xlpm.MacVal,_xlfn.XLOOKUP($A1188,Output_Mac!$A:$A,Output_Mac!J:J,""),
_xlpm.MyAuditVal,_xlfn.XLOOKUP($A1188,My_Audit!$A:$A,My_Audit!I:I,""),
_xlfn.IFS(_xlpm.MyAuditVal&lt;&gt;"",UPPER(_xlpm.MyAuditVal),_xlpm.MacVal&lt;&gt;"",_xlpm.MacVal,_xlpm.CSVVal&lt;&gt;"",_xlpm.CSVVal
)),"")</f>
        <v/>
      </c>
      <c r="K1188" s="40" t="str" cm="1">
        <f t="array" ref="K1188">IFERROR(_xlfn.LET(
_xlpm.CSVVal,_xlfn.XLOOKUP($A1188,CSV!$A:$A,CSV!K:K,""),
_xlpm.MacVal,_xlfn.XLOOKUP($A1188,Output_Mac!$A:$A,Output_Mac!K:K,""),
_xlpm.MyAuditVal,_xlfn.XLOOKUP($A1188,My_Audit!$A:$A,My_Audit!J:J,""),
_xlfn.IFS(_xlpm.MyAuditVal&lt;&gt;"",UPPER(_xlpm.MyAuditVal),_xlpm.MacVal&lt;&gt;"",_xlpm.MacVal,_xlpm.CSVVal&lt;&gt;"",_xlpm.CSVVal
)),"")</f>
        <v/>
      </c>
      <c r="L1188" s="40" t="str" cm="1">
        <f t="array" ref="L1188">IFERROR(_xlfn.LET(
_xlpm.CSVVal,_xlfn.XLOOKUP($A1188,CSV!$A:$A,CSV!P:P,""),
_xlpm.MacVal,_xlfn.XLOOKUP($A1188,Output_Mac!$A:$A,Output_Mac!L:L,""),
_xlpm.MyAuditVal,_xlfn.XLOOKUP($A1188,My_Audit!$A:$A,My_Audit!K:K,""),
_xlfn.IFS(_xlpm.MyAuditVal&lt;&gt;"",UPPER(_xlpm.MyAuditVal),_xlpm.MacVal&lt;&gt;"",_xlpm.MacVal,_xlpm.CSVVal&lt;&gt;"",_xlpm.CSVVal
)),"")</f>
        <v/>
      </c>
      <c r="M1188" s="40" t="str" cm="1">
        <f t="array" ref="M1188">IFERROR(_xlfn.LET(
_xlpm.CSVVal,_xlfn.XLOOKUP($A1188,CSV!$A:$A,CSV!Q:Q,""),
_xlpm.MacVal,_xlfn.XLOOKUP($A1188,Output_Mac!$A:$A,Output_Mac!M:M,""),
_xlpm.MyAuditVal,_xlfn.XLOOKUP($A1188,My_Audit!$A:$A,My_Audit!L:L,""),
_xlfn.IFS(_xlpm.MyAuditVal&lt;&gt;"",UPPER(_xlpm.MyAuditVal),_xlpm.MacVal&lt;&gt;"",_xlpm.MacVal,_xlpm.CSVVal&lt;&gt;"",_xlpm.CSVVal
)),"")</f>
        <v/>
      </c>
      <c r="N1188" s="40"/>
      <c r="O1188" s="40" t="str">
        <f>_xlfn.LET(
    _xlpm.CSVVal, _xlfn.XLOOKUP($A1188, CSV!$A:$A, CSV!AA:AA, ""),
    _xlpm.MacVal, _xlfn.XLOOKUP($A1188, Output_Mac!$A:$A, Output_Mac!S:S, ""),
    _xlpm.MyAuditVal, _xlfn.XLOOKUP($A1188, My_Audit!$A:$A, My_Audit!P:P, ""),
    _xlfn.TEXTJOIN(", ", TRUE, _xlpm.MyAuditVal, _xlpm.MacVal, _xlpm.CSVVal)
)</f>
        <v/>
      </c>
      <c r="P1188" s="40" t="str" cm="1">
        <f t="array" ref="P1188">IFERROR(_xlfn.LET(
_xlpm.CSVVal,_xlfn.XLOOKUP($A1188,CSV!$A:$A,CSV!AB:AB,""),
_xlpm.MacVal,_xlfn.XLOOKUP($A1188,Output_Mac!$A:$A,Output_Mac!T:T,""),
_xlpm.MyAuditVal,_xlfn.XLOOKUP($A1188,My_Audit!$A:$A,My_Audit!Q:Q,""),
_xlfn.IFS(_xlpm.MyAuditVal&lt;&gt;"",UPPER(_xlpm.MyAuditVal),_xlpm.MacVal&lt;&gt;"",_xlpm.MacVal,_xlpm.CSVVal&lt;&gt;"",_xlpm.CSVVal
)),"No")</f>
        <v>No</v>
      </c>
      <c r="Q1188" s="40" t="str" cm="1">
        <f t="array" ref="Q1188">IFERROR(_xlfn.LET(
_xlpm.CSVVal,_xlfn.XLOOKUP($A1188,CSV!$A:$A,CSV!AC:AC,""),
_xlpm.MacVal,_xlfn.XLOOKUP($A1188,Output_Mac!$A:$A,Output_Mac!U:U,""),
_xlpm.MyAuditVal,_xlfn.XLOOKUP($A1188,My_Audit!$A:$A,My_Audit!R:R,""),
_xlfn.IFS(_xlpm.MyAuditVal&lt;&gt;"",UPPER(_xlpm.MyAuditVal),_xlpm.MacVal&lt;&gt;"",_xlpm.MacVal,_xlpm.CSVVal&lt;&gt;"",_xlpm.CSVVal
)),"")</f>
        <v/>
      </c>
      <c r="R1188" s="40"/>
      <c r="S1188" s="40"/>
      <c r="T1188" s="40"/>
      <c r="U1188" s="40"/>
      <c r="V1188" s="40"/>
      <c r="W1188" s="40"/>
      <c r="X1188" s="41" t="str">
        <f>_xlfn.LET(
    _xlpm.MacVal, _xlfn.XLOOKUP($A1188, Output_Mac!$A:$A, Output_Mac!AB:AB, ""),
    _xlpm.MyAuditVal, _xlfn.XLOOKUP($A1188, My_Audit!$A:$A, My_Audit!N:N, ""),
    _xlfn.TEXTJOIN(", ", TRUE, _xlpm.MyAuditVal, _xlpm.MacVal)
)</f>
        <v/>
      </c>
    </row>
    <row r="1189" spans="1:24">
      <c r="A1189" s="40" t="str">
        <f>_xlfn.TEXTJOIN("",TRUE,Input!$B$2,ROW(My_Audit!A1188))</f>
        <v>X1188</v>
      </c>
      <c r="B1189" s="40" t="str">
        <f>_xlfn.TEXTJOIN("-",TRUE,"ITD",Input!$A$2,A1189)</f>
        <v>ITD-X1188</v>
      </c>
      <c r="C1189" s="40" t="str" cm="1">
        <f t="array" ref="C1189">IFERROR(_xlfn.LET(
_xlpm.CSVVal,_xlfn.XLOOKUP($A1189,CSV!$A:$A,CSV!B:B,""),
_xlpm.MacVal,_xlfn.XLOOKUP($A1189,Output_Mac!$A:$A,Output_Mac!B:B,""),
_xlpm.MyAuditVal,_xlfn.XLOOKUP($A1189,My_Audit!$A:$A,My_Audit!B:B,""),
_xlfn.IFS(_xlpm.MyAuditVal&lt;&gt;"",UPPER(_xlpm.MyAuditVal),_xlpm.MacVal&lt;&gt;"",_xlpm.MacVal,_xlpm.CSVVal&lt;&gt;"",_xlpm.CSVVal
)),"")</f>
        <v/>
      </c>
      <c r="D1189" s="40" t="str" cm="1">
        <f t="array" ref="D1189">IFERROR(_xlfn.LET(
_xlpm.CSVVal,_xlfn.XLOOKUP($A1189,CSV!$A:$A,CSV!D:D,""),
_xlpm.MacVal,_xlfn.XLOOKUP($A1189,Output_Mac!$A:$A,Output_Mac!C:C,""),
_xlpm.MyAuditVal,_xlfn.XLOOKUP($A1189,My_Audit!$A:$A,My_Audit!C:C,""),
_xlfn.IFS(_xlpm.MyAuditVal&lt;&gt;"",_xlpm.MyAuditVal,_xlpm.MacVal&lt;&gt;"",_xlpm.MacVal,_xlpm.CSVVal&lt;&gt;"",_xlpm.CSVVal
)),"")</f>
        <v/>
      </c>
      <c r="E1189" s="40" t="str">
        <f>_xlfn.XLOOKUP(A1189,My_Audit!A:A,My_Audit!D:D,"")</f>
        <v/>
      </c>
      <c r="F1189" s="40" t="str" cm="1">
        <f t="array" ref="F1189">IFERROR(_xlfn.LET(
_xlpm.CSVVal,_xlfn.XLOOKUP($A1189,CSV!$A:$A,CSV!F:F,""),
_xlpm.MacVal,_xlfn.XLOOKUP($A1189,Output_Mac!$A:$A,Output_Mac!E:E,""),
_xlpm.MyAuditVal,_xlfn.XLOOKUP($A1189,My_Audit!$A:$A,My_Audit!E:E,""),
_xlfn.IFS(_xlpm.MyAuditVal&lt;&gt;"",_xlpm.MyAuditVal,_xlpm.MacVal&lt;&gt;"",_xlpm.MacVal,_xlpm.CSVVal&lt;&gt;"",_xlpm.CSVVal
)),"")</f>
        <v/>
      </c>
      <c r="G1189" s="40" t="str" cm="1">
        <f t="array" ref="G1189">IFERROR(_xlfn.LET(
_xlpm.CSVVal,_xlfn.XLOOKUP($A1189,CSV!$A:$A,CSV!G:G,""),
_xlpm.MacVal,_xlfn.XLOOKUP($A1189,Output_Mac!$A:$A,Output_Mac!F:F,""),
_xlpm.MyAuditVal,_xlfn.XLOOKUP($A1189,My_Audit!$A:$A,My_Audit!F:F,""),
_xlfn.IFS(_xlpm.MyAuditVal&lt;&gt;"",_xlpm.MyAuditVal,_xlpm.MacVal&lt;&gt;"",_xlpm.MacVal,_xlpm.CSVVal&lt;&gt;"",PROPER(_xlpm.CSVVal)
)),"")</f>
        <v/>
      </c>
      <c r="H1189" s="40" t="str" cm="1">
        <f t="array" ref="H1189">IFERROR(_xlfn.LET(
_xlpm.CSVVal,_xlfn.XLOOKUP($A1189,CSV!$A:$A,CSV!H:H,""),
_xlpm.MacVal,_xlfn.XLOOKUP($A1189,Output_Mac!$A:$A,Output_Mac!H:H,""),
_xlpm.MyAuditVal,_xlfn.XLOOKUP($A1189,My_Audit!$A:$A,My_Audit!G:G,""),
_xlfn.IFS(_xlpm.MyAuditVal&lt;&gt;"",_xlpm.MyAuditVal,_xlpm.MacVal&lt;&gt;"",_xlpm.MacVal,_xlpm.CSVVal&lt;&gt;"",_xlpm.CSVVal
)),"")</f>
        <v/>
      </c>
      <c r="I1189" s="40" t="str">
        <f>_xlfn.XLOOKUP(A1189,Output_Mac!A:A,Output_Mac!I:I,"")</f>
        <v/>
      </c>
      <c r="J1189" s="40" t="str" cm="1">
        <f t="array" ref="J1189">IFERROR(_xlfn.LET(
_xlpm.CSVVal,_xlfn.XLOOKUP($A1189,CSV!$A:$A,CSV!I:I,""),
_xlpm.MacVal,_xlfn.XLOOKUP($A1189,Output_Mac!$A:$A,Output_Mac!J:J,""),
_xlpm.MyAuditVal,_xlfn.XLOOKUP($A1189,My_Audit!$A:$A,My_Audit!I:I,""),
_xlfn.IFS(_xlpm.MyAuditVal&lt;&gt;"",UPPER(_xlpm.MyAuditVal),_xlpm.MacVal&lt;&gt;"",_xlpm.MacVal,_xlpm.CSVVal&lt;&gt;"",_xlpm.CSVVal
)),"")</f>
        <v/>
      </c>
      <c r="K1189" s="40" t="str" cm="1">
        <f t="array" ref="K1189">IFERROR(_xlfn.LET(
_xlpm.CSVVal,_xlfn.XLOOKUP($A1189,CSV!$A:$A,CSV!K:K,""),
_xlpm.MacVal,_xlfn.XLOOKUP($A1189,Output_Mac!$A:$A,Output_Mac!K:K,""),
_xlpm.MyAuditVal,_xlfn.XLOOKUP($A1189,My_Audit!$A:$A,My_Audit!J:J,""),
_xlfn.IFS(_xlpm.MyAuditVal&lt;&gt;"",UPPER(_xlpm.MyAuditVal),_xlpm.MacVal&lt;&gt;"",_xlpm.MacVal,_xlpm.CSVVal&lt;&gt;"",_xlpm.CSVVal
)),"")</f>
        <v/>
      </c>
      <c r="L1189" s="40" t="str" cm="1">
        <f t="array" ref="L1189">IFERROR(_xlfn.LET(
_xlpm.CSVVal,_xlfn.XLOOKUP($A1189,CSV!$A:$A,CSV!P:P,""),
_xlpm.MacVal,_xlfn.XLOOKUP($A1189,Output_Mac!$A:$A,Output_Mac!L:L,""),
_xlpm.MyAuditVal,_xlfn.XLOOKUP($A1189,My_Audit!$A:$A,My_Audit!K:K,""),
_xlfn.IFS(_xlpm.MyAuditVal&lt;&gt;"",UPPER(_xlpm.MyAuditVal),_xlpm.MacVal&lt;&gt;"",_xlpm.MacVal,_xlpm.CSVVal&lt;&gt;"",_xlpm.CSVVal
)),"")</f>
        <v/>
      </c>
      <c r="M1189" s="40" t="str" cm="1">
        <f t="array" ref="M1189">IFERROR(_xlfn.LET(
_xlpm.CSVVal,_xlfn.XLOOKUP($A1189,CSV!$A:$A,CSV!Q:Q,""),
_xlpm.MacVal,_xlfn.XLOOKUP($A1189,Output_Mac!$A:$A,Output_Mac!M:M,""),
_xlpm.MyAuditVal,_xlfn.XLOOKUP($A1189,My_Audit!$A:$A,My_Audit!L:L,""),
_xlfn.IFS(_xlpm.MyAuditVal&lt;&gt;"",UPPER(_xlpm.MyAuditVal),_xlpm.MacVal&lt;&gt;"",_xlpm.MacVal,_xlpm.CSVVal&lt;&gt;"",_xlpm.CSVVal
)),"")</f>
        <v/>
      </c>
      <c r="N1189" s="40"/>
      <c r="O1189" s="40" t="str">
        <f>_xlfn.LET(
    _xlpm.CSVVal, _xlfn.XLOOKUP($A1189, CSV!$A:$A, CSV!AA:AA, ""),
    _xlpm.MacVal, _xlfn.XLOOKUP($A1189, Output_Mac!$A:$A, Output_Mac!S:S, ""),
    _xlpm.MyAuditVal, _xlfn.XLOOKUP($A1189, My_Audit!$A:$A, My_Audit!P:P, ""),
    _xlfn.TEXTJOIN(", ", TRUE, _xlpm.MyAuditVal, _xlpm.MacVal, _xlpm.CSVVal)
)</f>
        <v/>
      </c>
      <c r="P1189" s="40" t="str" cm="1">
        <f t="array" ref="P1189">IFERROR(_xlfn.LET(
_xlpm.CSVVal,_xlfn.XLOOKUP($A1189,CSV!$A:$A,CSV!AB:AB,""),
_xlpm.MacVal,_xlfn.XLOOKUP($A1189,Output_Mac!$A:$A,Output_Mac!T:T,""),
_xlpm.MyAuditVal,_xlfn.XLOOKUP($A1189,My_Audit!$A:$A,My_Audit!Q:Q,""),
_xlfn.IFS(_xlpm.MyAuditVal&lt;&gt;"",UPPER(_xlpm.MyAuditVal),_xlpm.MacVal&lt;&gt;"",_xlpm.MacVal,_xlpm.CSVVal&lt;&gt;"",_xlpm.CSVVal
)),"No")</f>
        <v>No</v>
      </c>
      <c r="Q1189" s="40" t="str" cm="1">
        <f t="array" ref="Q1189">IFERROR(_xlfn.LET(
_xlpm.CSVVal,_xlfn.XLOOKUP($A1189,CSV!$A:$A,CSV!AC:AC,""),
_xlpm.MacVal,_xlfn.XLOOKUP($A1189,Output_Mac!$A:$A,Output_Mac!U:U,""),
_xlpm.MyAuditVal,_xlfn.XLOOKUP($A1189,My_Audit!$A:$A,My_Audit!R:R,""),
_xlfn.IFS(_xlpm.MyAuditVal&lt;&gt;"",UPPER(_xlpm.MyAuditVal),_xlpm.MacVal&lt;&gt;"",_xlpm.MacVal,_xlpm.CSVVal&lt;&gt;"",_xlpm.CSVVal
)),"")</f>
        <v/>
      </c>
      <c r="R1189" s="40"/>
      <c r="S1189" s="40"/>
      <c r="T1189" s="40"/>
      <c r="U1189" s="40"/>
      <c r="V1189" s="40"/>
      <c r="W1189" s="40"/>
      <c r="X1189" s="41" t="str">
        <f>_xlfn.LET(
    _xlpm.MacVal, _xlfn.XLOOKUP($A1189, Output_Mac!$A:$A, Output_Mac!AB:AB, ""),
    _xlpm.MyAuditVal, _xlfn.XLOOKUP($A1189, My_Audit!$A:$A, My_Audit!N:N, ""),
    _xlfn.TEXTJOIN(", ", TRUE, _xlpm.MyAuditVal, _xlpm.MacVal)
)</f>
        <v/>
      </c>
    </row>
    <row r="1190" spans="1:24">
      <c r="A1190" s="40" t="str">
        <f>_xlfn.TEXTJOIN("",TRUE,Input!$B$2,ROW(My_Audit!A1189))</f>
        <v>X1189</v>
      </c>
      <c r="B1190" s="40" t="str">
        <f>_xlfn.TEXTJOIN("-",TRUE,"ITD",Input!$A$2,A1190)</f>
        <v>ITD-X1189</v>
      </c>
      <c r="C1190" s="40" t="str" cm="1">
        <f t="array" ref="C1190">IFERROR(_xlfn.LET(
_xlpm.CSVVal,_xlfn.XLOOKUP($A1190,CSV!$A:$A,CSV!B:B,""),
_xlpm.MacVal,_xlfn.XLOOKUP($A1190,Output_Mac!$A:$A,Output_Mac!B:B,""),
_xlpm.MyAuditVal,_xlfn.XLOOKUP($A1190,My_Audit!$A:$A,My_Audit!B:B,""),
_xlfn.IFS(_xlpm.MyAuditVal&lt;&gt;"",UPPER(_xlpm.MyAuditVal),_xlpm.MacVal&lt;&gt;"",_xlpm.MacVal,_xlpm.CSVVal&lt;&gt;"",_xlpm.CSVVal
)),"")</f>
        <v/>
      </c>
      <c r="D1190" s="40" t="str" cm="1">
        <f t="array" ref="D1190">IFERROR(_xlfn.LET(
_xlpm.CSVVal,_xlfn.XLOOKUP($A1190,CSV!$A:$A,CSV!D:D,""),
_xlpm.MacVal,_xlfn.XLOOKUP($A1190,Output_Mac!$A:$A,Output_Mac!C:C,""),
_xlpm.MyAuditVal,_xlfn.XLOOKUP($A1190,My_Audit!$A:$A,My_Audit!C:C,""),
_xlfn.IFS(_xlpm.MyAuditVal&lt;&gt;"",_xlpm.MyAuditVal,_xlpm.MacVal&lt;&gt;"",_xlpm.MacVal,_xlpm.CSVVal&lt;&gt;"",_xlpm.CSVVal
)),"")</f>
        <v/>
      </c>
      <c r="E1190" s="40" t="str">
        <f>_xlfn.XLOOKUP(A1190,My_Audit!A:A,My_Audit!D:D,"")</f>
        <v/>
      </c>
      <c r="F1190" s="40" t="str" cm="1">
        <f t="array" ref="F1190">IFERROR(_xlfn.LET(
_xlpm.CSVVal,_xlfn.XLOOKUP($A1190,CSV!$A:$A,CSV!F:F,""),
_xlpm.MacVal,_xlfn.XLOOKUP($A1190,Output_Mac!$A:$A,Output_Mac!E:E,""),
_xlpm.MyAuditVal,_xlfn.XLOOKUP($A1190,My_Audit!$A:$A,My_Audit!E:E,""),
_xlfn.IFS(_xlpm.MyAuditVal&lt;&gt;"",_xlpm.MyAuditVal,_xlpm.MacVal&lt;&gt;"",_xlpm.MacVal,_xlpm.CSVVal&lt;&gt;"",_xlpm.CSVVal
)),"")</f>
        <v/>
      </c>
      <c r="G1190" s="40" t="str" cm="1">
        <f t="array" ref="G1190">IFERROR(_xlfn.LET(
_xlpm.CSVVal,_xlfn.XLOOKUP($A1190,CSV!$A:$A,CSV!G:G,""),
_xlpm.MacVal,_xlfn.XLOOKUP($A1190,Output_Mac!$A:$A,Output_Mac!F:F,""),
_xlpm.MyAuditVal,_xlfn.XLOOKUP($A1190,My_Audit!$A:$A,My_Audit!F:F,""),
_xlfn.IFS(_xlpm.MyAuditVal&lt;&gt;"",_xlpm.MyAuditVal,_xlpm.MacVal&lt;&gt;"",_xlpm.MacVal,_xlpm.CSVVal&lt;&gt;"",PROPER(_xlpm.CSVVal)
)),"")</f>
        <v/>
      </c>
      <c r="H1190" s="40" t="str" cm="1">
        <f t="array" ref="H1190">IFERROR(_xlfn.LET(
_xlpm.CSVVal,_xlfn.XLOOKUP($A1190,CSV!$A:$A,CSV!H:H,""),
_xlpm.MacVal,_xlfn.XLOOKUP($A1190,Output_Mac!$A:$A,Output_Mac!H:H,""),
_xlpm.MyAuditVal,_xlfn.XLOOKUP($A1190,My_Audit!$A:$A,My_Audit!G:G,""),
_xlfn.IFS(_xlpm.MyAuditVal&lt;&gt;"",_xlpm.MyAuditVal,_xlpm.MacVal&lt;&gt;"",_xlpm.MacVal,_xlpm.CSVVal&lt;&gt;"",_xlpm.CSVVal
)),"")</f>
        <v/>
      </c>
      <c r="I1190" s="40" t="str">
        <f>_xlfn.XLOOKUP(A1190,Output_Mac!A:A,Output_Mac!I:I,"")</f>
        <v/>
      </c>
      <c r="J1190" s="40" t="str" cm="1">
        <f t="array" ref="J1190">IFERROR(_xlfn.LET(
_xlpm.CSVVal,_xlfn.XLOOKUP($A1190,CSV!$A:$A,CSV!I:I,""),
_xlpm.MacVal,_xlfn.XLOOKUP($A1190,Output_Mac!$A:$A,Output_Mac!J:J,""),
_xlpm.MyAuditVal,_xlfn.XLOOKUP($A1190,My_Audit!$A:$A,My_Audit!I:I,""),
_xlfn.IFS(_xlpm.MyAuditVal&lt;&gt;"",UPPER(_xlpm.MyAuditVal),_xlpm.MacVal&lt;&gt;"",_xlpm.MacVal,_xlpm.CSVVal&lt;&gt;"",_xlpm.CSVVal
)),"")</f>
        <v/>
      </c>
      <c r="K1190" s="40" t="str" cm="1">
        <f t="array" ref="K1190">IFERROR(_xlfn.LET(
_xlpm.CSVVal,_xlfn.XLOOKUP($A1190,CSV!$A:$A,CSV!K:K,""),
_xlpm.MacVal,_xlfn.XLOOKUP($A1190,Output_Mac!$A:$A,Output_Mac!K:K,""),
_xlpm.MyAuditVal,_xlfn.XLOOKUP($A1190,My_Audit!$A:$A,My_Audit!J:J,""),
_xlfn.IFS(_xlpm.MyAuditVal&lt;&gt;"",UPPER(_xlpm.MyAuditVal),_xlpm.MacVal&lt;&gt;"",_xlpm.MacVal,_xlpm.CSVVal&lt;&gt;"",_xlpm.CSVVal
)),"")</f>
        <v/>
      </c>
      <c r="L1190" s="40" t="str" cm="1">
        <f t="array" ref="L1190">IFERROR(_xlfn.LET(
_xlpm.CSVVal,_xlfn.XLOOKUP($A1190,CSV!$A:$A,CSV!P:P,""),
_xlpm.MacVal,_xlfn.XLOOKUP($A1190,Output_Mac!$A:$A,Output_Mac!L:L,""),
_xlpm.MyAuditVal,_xlfn.XLOOKUP($A1190,My_Audit!$A:$A,My_Audit!K:K,""),
_xlfn.IFS(_xlpm.MyAuditVal&lt;&gt;"",UPPER(_xlpm.MyAuditVal),_xlpm.MacVal&lt;&gt;"",_xlpm.MacVal,_xlpm.CSVVal&lt;&gt;"",_xlpm.CSVVal
)),"")</f>
        <v/>
      </c>
      <c r="M1190" s="40" t="str" cm="1">
        <f t="array" ref="M1190">IFERROR(_xlfn.LET(
_xlpm.CSVVal,_xlfn.XLOOKUP($A1190,CSV!$A:$A,CSV!Q:Q,""),
_xlpm.MacVal,_xlfn.XLOOKUP($A1190,Output_Mac!$A:$A,Output_Mac!M:M,""),
_xlpm.MyAuditVal,_xlfn.XLOOKUP($A1190,My_Audit!$A:$A,My_Audit!L:L,""),
_xlfn.IFS(_xlpm.MyAuditVal&lt;&gt;"",UPPER(_xlpm.MyAuditVal),_xlpm.MacVal&lt;&gt;"",_xlpm.MacVal,_xlpm.CSVVal&lt;&gt;"",_xlpm.CSVVal
)),"")</f>
        <v/>
      </c>
      <c r="N1190" s="40"/>
      <c r="O1190" s="40" t="str">
        <f>_xlfn.LET(
    _xlpm.CSVVal, _xlfn.XLOOKUP($A1190, CSV!$A:$A, CSV!AA:AA, ""),
    _xlpm.MacVal, _xlfn.XLOOKUP($A1190, Output_Mac!$A:$A, Output_Mac!S:S, ""),
    _xlpm.MyAuditVal, _xlfn.XLOOKUP($A1190, My_Audit!$A:$A, My_Audit!P:P, ""),
    _xlfn.TEXTJOIN(", ", TRUE, _xlpm.MyAuditVal, _xlpm.MacVal, _xlpm.CSVVal)
)</f>
        <v/>
      </c>
      <c r="P1190" s="40" t="str" cm="1">
        <f t="array" ref="P1190">IFERROR(_xlfn.LET(
_xlpm.CSVVal,_xlfn.XLOOKUP($A1190,CSV!$A:$A,CSV!AB:AB,""),
_xlpm.MacVal,_xlfn.XLOOKUP($A1190,Output_Mac!$A:$A,Output_Mac!T:T,""),
_xlpm.MyAuditVal,_xlfn.XLOOKUP($A1190,My_Audit!$A:$A,My_Audit!Q:Q,""),
_xlfn.IFS(_xlpm.MyAuditVal&lt;&gt;"",UPPER(_xlpm.MyAuditVal),_xlpm.MacVal&lt;&gt;"",_xlpm.MacVal,_xlpm.CSVVal&lt;&gt;"",_xlpm.CSVVal
)),"No")</f>
        <v>No</v>
      </c>
      <c r="Q1190" s="40" t="str" cm="1">
        <f t="array" ref="Q1190">IFERROR(_xlfn.LET(
_xlpm.CSVVal,_xlfn.XLOOKUP($A1190,CSV!$A:$A,CSV!AC:AC,""),
_xlpm.MacVal,_xlfn.XLOOKUP($A1190,Output_Mac!$A:$A,Output_Mac!U:U,""),
_xlpm.MyAuditVal,_xlfn.XLOOKUP($A1190,My_Audit!$A:$A,My_Audit!R:R,""),
_xlfn.IFS(_xlpm.MyAuditVal&lt;&gt;"",UPPER(_xlpm.MyAuditVal),_xlpm.MacVal&lt;&gt;"",_xlpm.MacVal,_xlpm.CSVVal&lt;&gt;"",_xlpm.CSVVal
)),"")</f>
        <v/>
      </c>
      <c r="R1190" s="40"/>
      <c r="S1190" s="40"/>
      <c r="T1190" s="40"/>
      <c r="U1190" s="40"/>
      <c r="V1190" s="40"/>
      <c r="W1190" s="40"/>
      <c r="X1190" s="41" t="str">
        <f>_xlfn.LET(
    _xlpm.MacVal, _xlfn.XLOOKUP($A1190, Output_Mac!$A:$A, Output_Mac!AB:AB, ""),
    _xlpm.MyAuditVal, _xlfn.XLOOKUP($A1190, My_Audit!$A:$A, My_Audit!N:N, ""),
    _xlfn.TEXTJOIN(", ", TRUE, _xlpm.MyAuditVal, _xlpm.MacVal)
)</f>
        <v/>
      </c>
    </row>
    <row r="1191" spans="1:24">
      <c r="A1191" s="40" t="str">
        <f>_xlfn.TEXTJOIN("",TRUE,Input!$B$2,ROW(My_Audit!A1190))</f>
        <v>X1190</v>
      </c>
      <c r="B1191" s="40" t="str">
        <f>_xlfn.TEXTJOIN("-",TRUE,"ITD",Input!$A$2,A1191)</f>
        <v>ITD-X1190</v>
      </c>
      <c r="C1191" s="40" t="str" cm="1">
        <f t="array" ref="C1191">IFERROR(_xlfn.LET(
_xlpm.CSVVal,_xlfn.XLOOKUP($A1191,CSV!$A:$A,CSV!B:B,""),
_xlpm.MacVal,_xlfn.XLOOKUP($A1191,Output_Mac!$A:$A,Output_Mac!B:B,""),
_xlpm.MyAuditVal,_xlfn.XLOOKUP($A1191,My_Audit!$A:$A,My_Audit!B:B,""),
_xlfn.IFS(_xlpm.MyAuditVal&lt;&gt;"",UPPER(_xlpm.MyAuditVal),_xlpm.MacVal&lt;&gt;"",_xlpm.MacVal,_xlpm.CSVVal&lt;&gt;"",_xlpm.CSVVal
)),"")</f>
        <v/>
      </c>
      <c r="D1191" s="40" t="str" cm="1">
        <f t="array" ref="D1191">IFERROR(_xlfn.LET(
_xlpm.CSVVal,_xlfn.XLOOKUP($A1191,CSV!$A:$A,CSV!D:D,""),
_xlpm.MacVal,_xlfn.XLOOKUP($A1191,Output_Mac!$A:$A,Output_Mac!C:C,""),
_xlpm.MyAuditVal,_xlfn.XLOOKUP($A1191,My_Audit!$A:$A,My_Audit!C:C,""),
_xlfn.IFS(_xlpm.MyAuditVal&lt;&gt;"",_xlpm.MyAuditVal,_xlpm.MacVal&lt;&gt;"",_xlpm.MacVal,_xlpm.CSVVal&lt;&gt;"",_xlpm.CSVVal
)),"")</f>
        <v/>
      </c>
      <c r="E1191" s="40" t="str">
        <f>_xlfn.XLOOKUP(A1191,My_Audit!A:A,My_Audit!D:D,"")</f>
        <v/>
      </c>
      <c r="F1191" s="40" t="str" cm="1">
        <f t="array" ref="F1191">IFERROR(_xlfn.LET(
_xlpm.CSVVal,_xlfn.XLOOKUP($A1191,CSV!$A:$A,CSV!F:F,""),
_xlpm.MacVal,_xlfn.XLOOKUP($A1191,Output_Mac!$A:$A,Output_Mac!E:E,""),
_xlpm.MyAuditVal,_xlfn.XLOOKUP($A1191,My_Audit!$A:$A,My_Audit!E:E,""),
_xlfn.IFS(_xlpm.MyAuditVal&lt;&gt;"",_xlpm.MyAuditVal,_xlpm.MacVal&lt;&gt;"",_xlpm.MacVal,_xlpm.CSVVal&lt;&gt;"",_xlpm.CSVVal
)),"")</f>
        <v/>
      </c>
      <c r="G1191" s="40" t="str" cm="1">
        <f t="array" ref="G1191">IFERROR(_xlfn.LET(
_xlpm.CSVVal,_xlfn.XLOOKUP($A1191,CSV!$A:$A,CSV!G:G,""),
_xlpm.MacVal,_xlfn.XLOOKUP($A1191,Output_Mac!$A:$A,Output_Mac!F:F,""),
_xlpm.MyAuditVal,_xlfn.XLOOKUP($A1191,My_Audit!$A:$A,My_Audit!F:F,""),
_xlfn.IFS(_xlpm.MyAuditVal&lt;&gt;"",_xlpm.MyAuditVal,_xlpm.MacVal&lt;&gt;"",_xlpm.MacVal,_xlpm.CSVVal&lt;&gt;"",PROPER(_xlpm.CSVVal)
)),"")</f>
        <v/>
      </c>
      <c r="H1191" s="40" t="str" cm="1">
        <f t="array" ref="H1191">IFERROR(_xlfn.LET(
_xlpm.CSVVal,_xlfn.XLOOKUP($A1191,CSV!$A:$A,CSV!H:H,""),
_xlpm.MacVal,_xlfn.XLOOKUP($A1191,Output_Mac!$A:$A,Output_Mac!H:H,""),
_xlpm.MyAuditVal,_xlfn.XLOOKUP($A1191,My_Audit!$A:$A,My_Audit!G:G,""),
_xlfn.IFS(_xlpm.MyAuditVal&lt;&gt;"",_xlpm.MyAuditVal,_xlpm.MacVal&lt;&gt;"",_xlpm.MacVal,_xlpm.CSVVal&lt;&gt;"",_xlpm.CSVVal
)),"")</f>
        <v/>
      </c>
      <c r="I1191" s="40" t="str">
        <f>_xlfn.XLOOKUP(A1191,Output_Mac!A:A,Output_Mac!I:I,"")</f>
        <v/>
      </c>
      <c r="J1191" s="40" t="str" cm="1">
        <f t="array" ref="J1191">IFERROR(_xlfn.LET(
_xlpm.CSVVal,_xlfn.XLOOKUP($A1191,CSV!$A:$A,CSV!I:I,""),
_xlpm.MacVal,_xlfn.XLOOKUP($A1191,Output_Mac!$A:$A,Output_Mac!J:J,""),
_xlpm.MyAuditVal,_xlfn.XLOOKUP($A1191,My_Audit!$A:$A,My_Audit!I:I,""),
_xlfn.IFS(_xlpm.MyAuditVal&lt;&gt;"",UPPER(_xlpm.MyAuditVal),_xlpm.MacVal&lt;&gt;"",_xlpm.MacVal,_xlpm.CSVVal&lt;&gt;"",_xlpm.CSVVal
)),"")</f>
        <v/>
      </c>
      <c r="K1191" s="40" t="str" cm="1">
        <f t="array" ref="K1191">IFERROR(_xlfn.LET(
_xlpm.CSVVal,_xlfn.XLOOKUP($A1191,CSV!$A:$A,CSV!K:K,""),
_xlpm.MacVal,_xlfn.XLOOKUP($A1191,Output_Mac!$A:$A,Output_Mac!K:K,""),
_xlpm.MyAuditVal,_xlfn.XLOOKUP($A1191,My_Audit!$A:$A,My_Audit!J:J,""),
_xlfn.IFS(_xlpm.MyAuditVal&lt;&gt;"",UPPER(_xlpm.MyAuditVal),_xlpm.MacVal&lt;&gt;"",_xlpm.MacVal,_xlpm.CSVVal&lt;&gt;"",_xlpm.CSVVal
)),"")</f>
        <v/>
      </c>
      <c r="L1191" s="40" t="str" cm="1">
        <f t="array" ref="L1191">IFERROR(_xlfn.LET(
_xlpm.CSVVal,_xlfn.XLOOKUP($A1191,CSV!$A:$A,CSV!P:P,""),
_xlpm.MacVal,_xlfn.XLOOKUP($A1191,Output_Mac!$A:$A,Output_Mac!L:L,""),
_xlpm.MyAuditVal,_xlfn.XLOOKUP($A1191,My_Audit!$A:$A,My_Audit!K:K,""),
_xlfn.IFS(_xlpm.MyAuditVal&lt;&gt;"",UPPER(_xlpm.MyAuditVal),_xlpm.MacVal&lt;&gt;"",_xlpm.MacVal,_xlpm.CSVVal&lt;&gt;"",_xlpm.CSVVal
)),"")</f>
        <v/>
      </c>
      <c r="M1191" s="40" t="str" cm="1">
        <f t="array" ref="M1191">IFERROR(_xlfn.LET(
_xlpm.CSVVal,_xlfn.XLOOKUP($A1191,CSV!$A:$A,CSV!Q:Q,""),
_xlpm.MacVal,_xlfn.XLOOKUP($A1191,Output_Mac!$A:$A,Output_Mac!M:M,""),
_xlpm.MyAuditVal,_xlfn.XLOOKUP($A1191,My_Audit!$A:$A,My_Audit!L:L,""),
_xlfn.IFS(_xlpm.MyAuditVal&lt;&gt;"",UPPER(_xlpm.MyAuditVal),_xlpm.MacVal&lt;&gt;"",_xlpm.MacVal,_xlpm.CSVVal&lt;&gt;"",_xlpm.CSVVal
)),"")</f>
        <v/>
      </c>
      <c r="N1191" s="40"/>
      <c r="O1191" s="40" t="str">
        <f>_xlfn.LET(
    _xlpm.CSVVal, _xlfn.XLOOKUP($A1191, CSV!$A:$A, CSV!AA:AA, ""),
    _xlpm.MacVal, _xlfn.XLOOKUP($A1191, Output_Mac!$A:$A, Output_Mac!S:S, ""),
    _xlpm.MyAuditVal, _xlfn.XLOOKUP($A1191, My_Audit!$A:$A, My_Audit!P:P, ""),
    _xlfn.TEXTJOIN(", ", TRUE, _xlpm.MyAuditVal, _xlpm.MacVal, _xlpm.CSVVal)
)</f>
        <v/>
      </c>
      <c r="P1191" s="40" t="str" cm="1">
        <f t="array" ref="P1191">IFERROR(_xlfn.LET(
_xlpm.CSVVal,_xlfn.XLOOKUP($A1191,CSV!$A:$A,CSV!AB:AB,""),
_xlpm.MacVal,_xlfn.XLOOKUP($A1191,Output_Mac!$A:$A,Output_Mac!T:T,""),
_xlpm.MyAuditVal,_xlfn.XLOOKUP($A1191,My_Audit!$A:$A,My_Audit!Q:Q,""),
_xlfn.IFS(_xlpm.MyAuditVal&lt;&gt;"",UPPER(_xlpm.MyAuditVal),_xlpm.MacVal&lt;&gt;"",_xlpm.MacVal,_xlpm.CSVVal&lt;&gt;"",_xlpm.CSVVal
)),"No")</f>
        <v>No</v>
      </c>
      <c r="Q1191" s="40" t="str" cm="1">
        <f t="array" ref="Q1191">IFERROR(_xlfn.LET(
_xlpm.CSVVal,_xlfn.XLOOKUP($A1191,CSV!$A:$A,CSV!AC:AC,""),
_xlpm.MacVal,_xlfn.XLOOKUP($A1191,Output_Mac!$A:$A,Output_Mac!U:U,""),
_xlpm.MyAuditVal,_xlfn.XLOOKUP($A1191,My_Audit!$A:$A,My_Audit!R:R,""),
_xlfn.IFS(_xlpm.MyAuditVal&lt;&gt;"",UPPER(_xlpm.MyAuditVal),_xlpm.MacVal&lt;&gt;"",_xlpm.MacVal,_xlpm.CSVVal&lt;&gt;"",_xlpm.CSVVal
)),"")</f>
        <v/>
      </c>
      <c r="R1191" s="40"/>
      <c r="S1191" s="40"/>
      <c r="T1191" s="40"/>
      <c r="U1191" s="40"/>
      <c r="V1191" s="40"/>
      <c r="W1191" s="40"/>
      <c r="X1191" s="41" t="str">
        <f>_xlfn.LET(
    _xlpm.MacVal, _xlfn.XLOOKUP($A1191, Output_Mac!$A:$A, Output_Mac!AB:AB, ""),
    _xlpm.MyAuditVal, _xlfn.XLOOKUP($A1191, My_Audit!$A:$A, My_Audit!N:N, ""),
    _xlfn.TEXTJOIN(", ", TRUE, _xlpm.MyAuditVal, _xlpm.MacVal)
)</f>
        <v/>
      </c>
    </row>
    <row r="1192" spans="1:24">
      <c r="A1192" s="40" t="str">
        <f>_xlfn.TEXTJOIN("",TRUE,Input!$B$2,ROW(My_Audit!A1191))</f>
        <v>X1191</v>
      </c>
      <c r="B1192" s="40" t="str">
        <f>_xlfn.TEXTJOIN("-",TRUE,"ITD",Input!$A$2,A1192)</f>
        <v>ITD-X1191</v>
      </c>
      <c r="C1192" s="40" t="str" cm="1">
        <f t="array" ref="C1192">IFERROR(_xlfn.LET(
_xlpm.CSVVal,_xlfn.XLOOKUP($A1192,CSV!$A:$A,CSV!B:B,""),
_xlpm.MacVal,_xlfn.XLOOKUP($A1192,Output_Mac!$A:$A,Output_Mac!B:B,""),
_xlpm.MyAuditVal,_xlfn.XLOOKUP($A1192,My_Audit!$A:$A,My_Audit!B:B,""),
_xlfn.IFS(_xlpm.MyAuditVal&lt;&gt;"",UPPER(_xlpm.MyAuditVal),_xlpm.MacVal&lt;&gt;"",_xlpm.MacVal,_xlpm.CSVVal&lt;&gt;"",_xlpm.CSVVal
)),"")</f>
        <v/>
      </c>
      <c r="D1192" s="40" t="str" cm="1">
        <f t="array" ref="D1192">IFERROR(_xlfn.LET(
_xlpm.CSVVal,_xlfn.XLOOKUP($A1192,CSV!$A:$A,CSV!D:D,""),
_xlpm.MacVal,_xlfn.XLOOKUP($A1192,Output_Mac!$A:$A,Output_Mac!C:C,""),
_xlpm.MyAuditVal,_xlfn.XLOOKUP($A1192,My_Audit!$A:$A,My_Audit!C:C,""),
_xlfn.IFS(_xlpm.MyAuditVal&lt;&gt;"",_xlpm.MyAuditVal,_xlpm.MacVal&lt;&gt;"",_xlpm.MacVal,_xlpm.CSVVal&lt;&gt;"",_xlpm.CSVVal
)),"")</f>
        <v/>
      </c>
      <c r="E1192" s="40" t="str">
        <f>_xlfn.XLOOKUP(A1192,My_Audit!A:A,My_Audit!D:D,"")</f>
        <v/>
      </c>
      <c r="F1192" s="40" t="str" cm="1">
        <f t="array" ref="F1192">IFERROR(_xlfn.LET(
_xlpm.CSVVal,_xlfn.XLOOKUP($A1192,CSV!$A:$A,CSV!F:F,""),
_xlpm.MacVal,_xlfn.XLOOKUP($A1192,Output_Mac!$A:$A,Output_Mac!E:E,""),
_xlpm.MyAuditVal,_xlfn.XLOOKUP($A1192,My_Audit!$A:$A,My_Audit!E:E,""),
_xlfn.IFS(_xlpm.MyAuditVal&lt;&gt;"",_xlpm.MyAuditVal,_xlpm.MacVal&lt;&gt;"",_xlpm.MacVal,_xlpm.CSVVal&lt;&gt;"",_xlpm.CSVVal
)),"")</f>
        <v/>
      </c>
      <c r="G1192" s="40" t="str" cm="1">
        <f t="array" ref="G1192">IFERROR(_xlfn.LET(
_xlpm.CSVVal,_xlfn.XLOOKUP($A1192,CSV!$A:$A,CSV!G:G,""),
_xlpm.MacVal,_xlfn.XLOOKUP($A1192,Output_Mac!$A:$A,Output_Mac!F:F,""),
_xlpm.MyAuditVal,_xlfn.XLOOKUP($A1192,My_Audit!$A:$A,My_Audit!F:F,""),
_xlfn.IFS(_xlpm.MyAuditVal&lt;&gt;"",_xlpm.MyAuditVal,_xlpm.MacVal&lt;&gt;"",_xlpm.MacVal,_xlpm.CSVVal&lt;&gt;"",PROPER(_xlpm.CSVVal)
)),"")</f>
        <v/>
      </c>
      <c r="H1192" s="40" t="str" cm="1">
        <f t="array" ref="H1192">IFERROR(_xlfn.LET(
_xlpm.CSVVal,_xlfn.XLOOKUP($A1192,CSV!$A:$A,CSV!H:H,""),
_xlpm.MacVal,_xlfn.XLOOKUP($A1192,Output_Mac!$A:$A,Output_Mac!H:H,""),
_xlpm.MyAuditVal,_xlfn.XLOOKUP($A1192,My_Audit!$A:$A,My_Audit!G:G,""),
_xlfn.IFS(_xlpm.MyAuditVal&lt;&gt;"",_xlpm.MyAuditVal,_xlpm.MacVal&lt;&gt;"",_xlpm.MacVal,_xlpm.CSVVal&lt;&gt;"",_xlpm.CSVVal
)),"")</f>
        <v/>
      </c>
      <c r="I1192" s="40" t="str">
        <f>_xlfn.XLOOKUP(A1192,Output_Mac!A:A,Output_Mac!I:I,"")</f>
        <v/>
      </c>
      <c r="J1192" s="40" t="str" cm="1">
        <f t="array" ref="J1192">IFERROR(_xlfn.LET(
_xlpm.CSVVal,_xlfn.XLOOKUP($A1192,CSV!$A:$A,CSV!I:I,""),
_xlpm.MacVal,_xlfn.XLOOKUP($A1192,Output_Mac!$A:$A,Output_Mac!J:J,""),
_xlpm.MyAuditVal,_xlfn.XLOOKUP($A1192,My_Audit!$A:$A,My_Audit!I:I,""),
_xlfn.IFS(_xlpm.MyAuditVal&lt;&gt;"",UPPER(_xlpm.MyAuditVal),_xlpm.MacVal&lt;&gt;"",_xlpm.MacVal,_xlpm.CSVVal&lt;&gt;"",_xlpm.CSVVal
)),"")</f>
        <v/>
      </c>
      <c r="K1192" s="40" t="str" cm="1">
        <f t="array" ref="K1192">IFERROR(_xlfn.LET(
_xlpm.CSVVal,_xlfn.XLOOKUP($A1192,CSV!$A:$A,CSV!K:K,""),
_xlpm.MacVal,_xlfn.XLOOKUP($A1192,Output_Mac!$A:$A,Output_Mac!K:K,""),
_xlpm.MyAuditVal,_xlfn.XLOOKUP($A1192,My_Audit!$A:$A,My_Audit!J:J,""),
_xlfn.IFS(_xlpm.MyAuditVal&lt;&gt;"",UPPER(_xlpm.MyAuditVal),_xlpm.MacVal&lt;&gt;"",_xlpm.MacVal,_xlpm.CSVVal&lt;&gt;"",_xlpm.CSVVal
)),"")</f>
        <v/>
      </c>
      <c r="L1192" s="40" t="str" cm="1">
        <f t="array" ref="L1192">IFERROR(_xlfn.LET(
_xlpm.CSVVal,_xlfn.XLOOKUP($A1192,CSV!$A:$A,CSV!P:P,""),
_xlpm.MacVal,_xlfn.XLOOKUP($A1192,Output_Mac!$A:$A,Output_Mac!L:L,""),
_xlpm.MyAuditVal,_xlfn.XLOOKUP($A1192,My_Audit!$A:$A,My_Audit!K:K,""),
_xlfn.IFS(_xlpm.MyAuditVal&lt;&gt;"",UPPER(_xlpm.MyAuditVal),_xlpm.MacVal&lt;&gt;"",_xlpm.MacVal,_xlpm.CSVVal&lt;&gt;"",_xlpm.CSVVal
)),"")</f>
        <v/>
      </c>
      <c r="M1192" s="40" t="str" cm="1">
        <f t="array" ref="M1192">IFERROR(_xlfn.LET(
_xlpm.CSVVal,_xlfn.XLOOKUP($A1192,CSV!$A:$A,CSV!Q:Q,""),
_xlpm.MacVal,_xlfn.XLOOKUP($A1192,Output_Mac!$A:$A,Output_Mac!M:M,""),
_xlpm.MyAuditVal,_xlfn.XLOOKUP($A1192,My_Audit!$A:$A,My_Audit!L:L,""),
_xlfn.IFS(_xlpm.MyAuditVal&lt;&gt;"",UPPER(_xlpm.MyAuditVal),_xlpm.MacVal&lt;&gt;"",_xlpm.MacVal,_xlpm.CSVVal&lt;&gt;"",_xlpm.CSVVal
)),"")</f>
        <v/>
      </c>
      <c r="N1192" s="40"/>
      <c r="O1192" s="40" t="str">
        <f>_xlfn.LET(
    _xlpm.CSVVal, _xlfn.XLOOKUP($A1192, CSV!$A:$A, CSV!AA:AA, ""),
    _xlpm.MacVal, _xlfn.XLOOKUP($A1192, Output_Mac!$A:$A, Output_Mac!S:S, ""),
    _xlpm.MyAuditVal, _xlfn.XLOOKUP($A1192, My_Audit!$A:$A, My_Audit!P:P, ""),
    _xlfn.TEXTJOIN(", ", TRUE, _xlpm.MyAuditVal, _xlpm.MacVal, _xlpm.CSVVal)
)</f>
        <v/>
      </c>
      <c r="P1192" s="40" t="str" cm="1">
        <f t="array" ref="P1192">IFERROR(_xlfn.LET(
_xlpm.CSVVal,_xlfn.XLOOKUP($A1192,CSV!$A:$A,CSV!AB:AB,""),
_xlpm.MacVal,_xlfn.XLOOKUP($A1192,Output_Mac!$A:$A,Output_Mac!T:T,""),
_xlpm.MyAuditVal,_xlfn.XLOOKUP($A1192,My_Audit!$A:$A,My_Audit!Q:Q,""),
_xlfn.IFS(_xlpm.MyAuditVal&lt;&gt;"",UPPER(_xlpm.MyAuditVal),_xlpm.MacVal&lt;&gt;"",_xlpm.MacVal,_xlpm.CSVVal&lt;&gt;"",_xlpm.CSVVal
)),"No")</f>
        <v>No</v>
      </c>
      <c r="Q1192" s="40" t="str" cm="1">
        <f t="array" ref="Q1192">IFERROR(_xlfn.LET(
_xlpm.CSVVal,_xlfn.XLOOKUP($A1192,CSV!$A:$A,CSV!AC:AC,""),
_xlpm.MacVal,_xlfn.XLOOKUP($A1192,Output_Mac!$A:$A,Output_Mac!U:U,""),
_xlpm.MyAuditVal,_xlfn.XLOOKUP($A1192,My_Audit!$A:$A,My_Audit!R:R,""),
_xlfn.IFS(_xlpm.MyAuditVal&lt;&gt;"",UPPER(_xlpm.MyAuditVal),_xlpm.MacVal&lt;&gt;"",_xlpm.MacVal,_xlpm.CSVVal&lt;&gt;"",_xlpm.CSVVal
)),"")</f>
        <v/>
      </c>
      <c r="R1192" s="40"/>
      <c r="S1192" s="40"/>
      <c r="T1192" s="40"/>
      <c r="U1192" s="40"/>
      <c r="V1192" s="40"/>
      <c r="W1192" s="40"/>
      <c r="X1192" s="41" t="str">
        <f>_xlfn.LET(
    _xlpm.MacVal, _xlfn.XLOOKUP($A1192, Output_Mac!$A:$A, Output_Mac!AB:AB, ""),
    _xlpm.MyAuditVal, _xlfn.XLOOKUP($A1192, My_Audit!$A:$A, My_Audit!N:N, ""),
    _xlfn.TEXTJOIN(", ", TRUE, _xlpm.MyAuditVal, _xlpm.MacVal)
)</f>
        <v/>
      </c>
    </row>
    <row r="1193" spans="1:24">
      <c r="A1193" s="40" t="str">
        <f>_xlfn.TEXTJOIN("",TRUE,Input!$B$2,ROW(My_Audit!A1192))</f>
        <v>X1192</v>
      </c>
      <c r="B1193" s="40" t="str">
        <f>_xlfn.TEXTJOIN("-",TRUE,"ITD",Input!$A$2,A1193)</f>
        <v>ITD-X1192</v>
      </c>
      <c r="C1193" s="40" t="str" cm="1">
        <f t="array" ref="C1193">IFERROR(_xlfn.LET(
_xlpm.CSVVal,_xlfn.XLOOKUP($A1193,CSV!$A:$A,CSV!B:B,""),
_xlpm.MacVal,_xlfn.XLOOKUP($A1193,Output_Mac!$A:$A,Output_Mac!B:B,""),
_xlpm.MyAuditVal,_xlfn.XLOOKUP($A1193,My_Audit!$A:$A,My_Audit!B:B,""),
_xlfn.IFS(_xlpm.MyAuditVal&lt;&gt;"",UPPER(_xlpm.MyAuditVal),_xlpm.MacVal&lt;&gt;"",_xlpm.MacVal,_xlpm.CSVVal&lt;&gt;"",_xlpm.CSVVal
)),"")</f>
        <v/>
      </c>
      <c r="D1193" s="40" t="str" cm="1">
        <f t="array" ref="D1193">IFERROR(_xlfn.LET(
_xlpm.CSVVal,_xlfn.XLOOKUP($A1193,CSV!$A:$A,CSV!D:D,""),
_xlpm.MacVal,_xlfn.XLOOKUP($A1193,Output_Mac!$A:$A,Output_Mac!C:C,""),
_xlpm.MyAuditVal,_xlfn.XLOOKUP($A1193,My_Audit!$A:$A,My_Audit!C:C,""),
_xlfn.IFS(_xlpm.MyAuditVal&lt;&gt;"",_xlpm.MyAuditVal,_xlpm.MacVal&lt;&gt;"",_xlpm.MacVal,_xlpm.CSVVal&lt;&gt;"",_xlpm.CSVVal
)),"")</f>
        <v/>
      </c>
      <c r="E1193" s="40" t="str">
        <f>_xlfn.XLOOKUP(A1193,My_Audit!A:A,My_Audit!D:D,"")</f>
        <v/>
      </c>
      <c r="F1193" s="40" t="str" cm="1">
        <f t="array" ref="F1193">IFERROR(_xlfn.LET(
_xlpm.CSVVal,_xlfn.XLOOKUP($A1193,CSV!$A:$A,CSV!F:F,""),
_xlpm.MacVal,_xlfn.XLOOKUP($A1193,Output_Mac!$A:$A,Output_Mac!E:E,""),
_xlpm.MyAuditVal,_xlfn.XLOOKUP($A1193,My_Audit!$A:$A,My_Audit!E:E,""),
_xlfn.IFS(_xlpm.MyAuditVal&lt;&gt;"",_xlpm.MyAuditVal,_xlpm.MacVal&lt;&gt;"",_xlpm.MacVal,_xlpm.CSVVal&lt;&gt;"",_xlpm.CSVVal
)),"")</f>
        <v/>
      </c>
      <c r="G1193" s="40" t="str" cm="1">
        <f t="array" ref="G1193">IFERROR(_xlfn.LET(
_xlpm.CSVVal,_xlfn.XLOOKUP($A1193,CSV!$A:$A,CSV!G:G,""),
_xlpm.MacVal,_xlfn.XLOOKUP($A1193,Output_Mac!$A:$A,Output_Mac!F:F,""),
_xlpm.MyAuditVal,_xlfn.XLOOKUP($A1193,My_Audit!$A:$A,My_Audit!F:F,""),
_xlfn.IFS(_xlpm.MyAuditVal&lt;&gt;"",_xlpm.MyAuditVal,_xlpm.MacVal&lt;&gt;"",_xlpm.MacVal,_xlpm.CSVVal&lt;&gt;"",PROPER(_xlpm.CSVVal)
)),"")</f>
        <v/>
      </c>
      <c r="H1193" s="40" t="str" cm="1">
        <f t="array" ref="H1193">IFERROR(_xlfn.LET(
_xlpm.CSVVal,_xlfn.XLOOKUP($A1193,CSV!$A:$A,CSV!H:H,""),
_xlpm.MacVal,_xlfn.XLOOKUP($A1193,Output_Mac!$A:$A,Output_Mac!H:H,""),
_xlpm.MyAuditVal,_xlfn.XLOOKUP($A1193,My_Audit!$A:$A,My_Audit!G:G,""),
_xlfn.IFS(_xlpm.MyAuditVal&lt;&gt;"",_xlpm.MyAuditVal,_xlpm.MacVal&lt;&gt;"",_xlpm.MacVal,_xlpm.CSVVal&lt;&gt;"",_xlpm.CSVVal
)),"")</f>
        <v/>
      </c>
      <c r="I1193" s="40" t="str">
        <f>_xlfn.XLOOKUP(A1193,Output_Mac!A:A,Output_Mac!I:I,"")</f>
        <v/>
      </c>
      <c r="J1193" s="40" t="str" cm="1">
        <f t="array" ref="J1193">IFERROR(_xlfn.LET(
_xlpm.CSVVal,_xlfn.XLOOKUP($A1193,CSV!$A:$A,CSV!I:I,""),
_xlpm.MacVal,_xlfn.XLOOKUP($A1193,Output_Mac!$A:$A,Output_Mac!J:J,""),
_xlpm.MyAuditVal,_xlfn.XLOOKUP($A1193,My_Audit!$A:$A,My_Audit!I:I,""),
_xlfn.IFS(_xlpm.MyAuditVal&lt;&gt;"",UPPER(_xlpm.MyAuditVal),_xlpm.MacVal&lt;&gt;"",_xlpm.MacVal,_xlpm.CSVVal&lt;&gt;"",_xlpm.CSVVal
)),"")</f>
        <v/>
      </c>
      <c r="K1193" s="40" t="str" cm="1">
        <f t="array" ref="K1193">IFERROR(_xlfn.LET(
_xlpm.CSVVal,_xlfn.XLOOKUP($A1193,CSV!$A:$A,CSV!K:K,""),
_xlpm.MacVal,_xlfn.XLOOKUP($A1193,Output_Mac!$A:$A,Output_Mac!K:K,""),
_xlpm.MyAuditVal,_xlfn.XLOOKUP($A1193,My_Audit!$A:$A,My_Audit!J:J,""),
_xlfn.IFS(_xlpm.MyAuditVal&lt;&gt;"",UPPER(_xlpm.MyAuditVal),_xlpm.MacVal&lt;&gt;"",_xlpm.MacVal,_xlpm.CSVVal&lt;&gt;"",_xlpm.CSVVal
)),"")</f>
        <v/>
      </c>
      <c r="L1193" s="40" t="str" cm="1">
        <f t="array" ref="L1193">IFERROR(_xlfn.LET(
_xlpm.CSVVal,_xlfn.XLOOKUP($A1193,CSV!$A:$A,CSV!P:P,""),
_xlpm.MacVal,_xlfn.XLOOKUP($A1193,Output_Mac!$A:$A,Output_Mac!L:L,""),
_xlpm.MyAuditVal,_xlfn.XLOOKUP($A1193,My_Audit!$A:$A,My_Audit!K:K,""),
_xlfn.IFS(_xlpm.MyAuditVal&lt;&gt;"",UPPER(_xlpm.MyAuditVal),_xlpm.MacVal&lt;&gt;"",_xlpm.MacVal,_xlpm.CSVVal&lt;&gt;"",_xlpm.CSVVal
)),"")</f>
        <v/>
      </c>
      <c r="M1193" s="40" t="str" cm="1">
        <f t="array" ref="M1193">IFERROR(_xlfn.LET(
_xlpm.CSVVal,_xlfn.XLOOKUP($A1193,CSV!$A:$A,CSV!Q:Q,""),
_xlpm.MacVal,_xlfn.XLOOKUP($A1193,Output_Mac!$A:$A,Output_Mac!M:M,""),
_xlpm.MyAuditVal,_xlfn.XLOOKUP($A1193,My_Audit!$A:$A,My_Audit!L:L,""),
_xlfn.IFS(_xlpm.MyAuditVal&lt;&gt;"",UPPER(_xlpm.MyAuditVal),_xlpm.MacVal&lt;&gt;"",_xlpm.MacVal,_xlpm.CSVVal&lt;&gt;"",_xlpm.CSVVal
)),"")</f>
        <v/>
      </c>
      <c r="N1193" s="40"/>
      <c r="O1193" s="40" t="str">
        <f>_xlfn.LET(
    _xlpm.CSVVal, _xlfn.XLOOKUP($A1193, CSV!$A:$A, CSV!AA:AA, ""),
    _xlpm.MacVal, _xlfn.XLOOKUP($A1193, Output_Mac!$A:$A, Output_Mac!S:S, ""),
    _xlpm.MyAuditVal, _xlfn.XLOOKUP($A1193, My_Audit!$A:$A, My_Audit!P:P, ""),
    _xlfn.TEXTJOIN(", ", TRUE, _xlpm.MyAuditVal, _xlpm.MacVal, _xlpm.CSVVal)
)</f>
        <v/>
      </c>
      <c r="P1193" s="40" t="str" cm="1">
        <f t="array" ref="P1193">IFERROR(_xlfn.LET(
_xlpm.CSVVal,_xlfn.XLOOKUP($A1193,CSV!$A:$A,CSV!AB:AB,""),
_xlpm.MacVal,_xlfn.XLOOKUP($A1193,Output_Mac!$A:$A,Output_Mac!T:T,""),
_xlpm.MyAuditVal,_xlfn.XLOOKUP($A1193,My_Audit!$A:$A,My_Audit!Q:Q,""),
_xlfn.IFS(_xlpm.MyAuditVal&lt;&gt;"",UPPER(_xlpm.MyAuditVal),_xlpm.MacVal&lt;&gt;"",_xlpm.MacVal,_xlpm.CSVVal&lt;&gt;"",_xlpm.CSVVal
)),"No")</f>
        <v>No</v>
      </c>
      <c r="Q1193" s="40" t="str" cm="1">
        <f t="array" ref="Q1193">IFERROR(_xlfn.LET(
_xlpm.CSVVal,_xlfn.XLOOKUP($A1193,CSV!$A:$A,CSV!AC:AC,""),
_xlpm.MacVal,_xlfn.XLOOKUP($A1193,Output_Mac!$A:$A,Output_Mac!U:U,""),
_xlpm.MyAuditVal,_xlfn.XLOOKUP($A1193,My_Audit!$A:$A,My_Audit!R:R,""),
_xlfn.IFS(_xlpm.MyAuditVal&lt;&gt;"",UPPER(_xlpm.MyAuditVal),_xlpm.MacVal&lt;&gt;"",_xlpm.MacVal,_xlpm.CSVVal&lt;&gt;"",_xlpm.CSVVal
)),"")</f>
        <v/>
      </c>
      <c r="R1193" s="40"/>
      <c r="S1193" s="40"/>
      <c r="T1193" s="40"/>
      <c r="U1193" s="40"/>
      <c r="V1193" s="40"/>
      <c r="W1193" s="40"/>
      <c r="X1193" s="41" t="str">
        <f>_xlfn.LET(
    _xlpm.MacVal, _xlfn.XLOOKUP($A1193, Output_Mac!$A:$A, Output_Mac!AB:AB, ""),
    _xlpm.MyAuditVal, _xlfn.XLOOKUP($A1193, My_Audit!$A:$A, My_Audit!N:N, ""),
    _xlfn.TEXTJOIN(", ", TRUE, _xlpm.MyAuditVal, _xlpm.MacVal)
)</f>
        <v/>
      </c>
    </row>
    <row r="1194" spans="1:24">
      <c r="A1194" s="40" t="str">
        <f>_xlfn.TEXTJOIN("",TRUE,Input!$B$2,ROW(My_Audit!A1193))</f>
        <v>X1193</v>
      </c>
      <c r="B1194" s="40" t="str">
        <f>_xlfn.TEXTJOIN("-",TRUE,"ITD",Input!$A$2,A1194)</f>
        <v>ITD-X1193</v>
      </c>
      <c r="C1194" s="40" t="str" cm="1">
        <f t="array" ref="C1194">IFERROR(_xlfn.LET(
_xlpm.CSVVal,_xlfn.XLOOKUP($A1194,CSV!$A:$A,CSV!B:B,""),
_xlpm.MacVal,_xlfn.XLOOKUP($A1194,Output_Mac!$A:$A,Output_Mac!B:B,""),
_xlpm.MyAuditVal,_xlfn.XLOOKUP($A1194,My_Audit!$A:$A,My_Audit!B:B,""),
_xlfn.IFS(_xlpm.MyAuditVal&lt;&gt;"",UPPER(_xlpm.MyAuditVal),_xlpm.MacVal&lt;&gt;"",_xlpm.MacVal,_xlpm.CSVVal&lt;&gt;"",_xlpm.CSVVal
)),"")</f>
        <v/>
      </c>
      <c r="D1194" s="40" t="str" cm="1">
        <f t="array" ref="D1194">IFERROR(_xlfn.LET(
_xlpm.CSVVal,_xlfn.XLOOKUP($A1194,CSV!$A:$A,CSV!D:D,""),
_xlpm.MacVal,_xlfn.XLOOKUP($A1194,Output_Mac!$A:$A,Output_Mac!C:C,""),
_xlpm.MyAuditVal,_xlfn.XLOOKUP($A1194,My_Audit!$A:$A,My_Audit!C:C,""),
_xlfn.IFS(_xlpm.MyAuditVal&lt;&gt;"",_xlpm.MyAuditVal,_xlpm.MacVal&lt;&gt;"",_xlpm.MacVal,_xlpm.CSVVal&lt;&gt;"",_xlpm.CSVVal
)),"")</f>
        <v/>
      </c>
      <c r="E1194" s="40" t="str">
        <f>_xlfn.XLOOKUP(A1194,My_Audit!A:A,My_Audit!D:D,"")</f>
        <v/>
      </c>
      <c r="F1194" s="40" t="str" cm="1">
        <f t="array" ref="F1194">IFERROR(_xlfn.LET(
_xlpm.CSVVal,_xlfn.XLOOKUP($A1194,CSV!$A:$A,CSV!F:F,""),
_xlpm.MacVal,_xlfn.XLOOKUP($A1194,Output_Mac!$A:$A,Output_Mac!E:E,""),
_xlpm.MyAuditVal,_xlfn.XLOOKUP($A1194,My_Audit!$A:$A,My_Audit!E:E,""),
_xlfn.IFS(_xlpm.MyAuditVal&lt;&gt;"",_xlpm.MyAuditVal,_xlpm.MacVal&lt;&gt;"",_xlpm.MacVal,_xlpm.CSVVal&lt;&gt;"",_xlpm.CSVVal
)),"")</f>
        <v/>
      </c>
      <c r="G1194" s="40" t="str" cm="1">
        <f t="array" ref="G1194">IFERROR(_xlfn.LET(
_xlpm.CSVVal,_xlfn.XLOOKUP($A1194,CSV!$A:$A,CSV!G:G,""),
_xlpm.MacVal,_xlfn.XLOOKUP($A1194,Output_Mac!$A:$A,Output_Mac!F:F,""),
_xlpm.MyAuditVal,_xlfn.XLOOKUP($A1194,My_Audit!$A:$A,My_Audit!F:F,""),
_xlfn.IFS(_xlpm.MyAuditVal&lt;&gt;"",_xlpm.MyAuditVal,_xlpm.MacVal&lt;&gt;"",_xlpm.MacVal,_xlpm.CSVVal&lt;&gt;"",PROPER(_xlpm.CSVVal)
)),"")</f>
        <v/>
      </c>
      <c r="H1194" s="40" t="str" cm="1">
        <f t="array" ref="H1194">IFERROR(_xlfn.LET(
_xlpm.CSVVal,_xlfn.XLOOKUP($A1194,CSV!$A:$A,CSV!H:H,""),
_xlpm.MacVal,_xlfn.XLOOKUP($A1194,Output_Mac!$A:$A,Output_Mac!H:H,""),
_xlpm.MyAuditVal,_xlfn.XLOOKUP($A1194,My_Audit!$A:$A,My_Audit!G:G,""),
_xlfn.IFS(_xlpm.MyAuditVal&lt;&gt;"",_xlpm.MyAuditVal,_xlpm.MacVal&lt;&gt;"",_xlpm.MacVal,_xlpm.CSVVal&lt;&gt;"",_xlpm.CSVVal
)),"")</f>
        <v/>
      </c>
      <c r="I1194" s="40" t="str">
        <f>_xlfn.XLOOKUP(A1194,Output_Mac!A:A,Output_Mac!I:I,"")</f>
        <v/>
      </c>
      <c r="J1194" s="40" t="str" cm="1">
        <f t="array" ref="J1194">IFERROR(_xlfn.LET(
_xlpm.CSVVal,_xlfn.XLOOKUP($A1194,CSV!$A:$A,CSV!I:I,""),
_xlpm.MacVal,_xlfn.XLOOKUP($A1194,Output_Mac!$A:$A,Output_Mac!J:J,""),
_xlpm.MyAuditVal,_xlfn.XLOOKUP($A1194,My_Audit!$A:$A,My_Audit!I:I,""),
_xlfn.IFS(_xlpm.MyAuditVal&lt;&gt;"",UPPER(_xlpm.MyAuditVal),_xlpm.MacVal&lt;&gt;"",_xlpm.MacVal,_xlpm.CSVVal&lt;&gt;"",_xlpm.CSVVal
)),"")</f>
        <v/>
      </c>
      <c r="K1194" s="40" t="str" cm="1">
        <f t="array" ref="K1194">IFERROR(_xlfn.LET(
_xlpm.CSVVal,_xlfn.XLOOKUP($A1194,CSV!$A:$A,CSV!K:K,""),
_xlpm.MacVal,_xlfn.XLOOKUP($A1194,Output_Mac!$A:$A,Output_Mac!K:K,""),
_xlpm.MyAuditVal,_xlfn.XLOOKUP($A1194,My_Audit!$A:$A,My_Audit!J:J,""),
_xlfn.IFS(_xlpm.MyAuditVal&lt;&gt;"",UPPER(_xlpm.MyAuditVal),_xlpm.MacVal&lt;&gt;"",_xlpm.MacVal,_xlpm.CSVVal&lt;&gt;"",_xlpm.CSVVal
)),"")</f>
        <v/>
      </c>
      <c r="L1194" s="40" t="str" cm="1">
        <f t="array" ref="L1194">IFERROR(_xlfn.LET(
_xlpm.CSVVal,_xlfn.XLOOKUP($A1194,CSV!$A:$A,CSV!P:P,""),
_xlpm.MacVal,_xlfn.XLOOKUP($A1194,Output_Mac!$A:$A,Output_Mac!L:L,""),
_xlpm.MyAuditVal,_xlfn.XLOOKUP($A1194,My_Audit!$A:$A,My_Audit!K:K,""),
_xlfn.IFS(_xlpm.MyAuditVal&lt;&gt;"",UPPER(_xlpm.MyAuditVal),_xlpm.MacVal&lt;&gt;"",_xlpm.MacVal,_xlpm.CSVVal&lt;&gt;"",_xlpm.CSVVal
)),"")</f>
        <v/>
      </c>
      <c r="M1194" s="40" t="str" cm="1">
        <f t="array" ref="M1194">IFERROR(_xlfn.LET(
_xlpm.CSVVal,_xlfn.XLOOKUP($A1194,CSV!$A:$A,CSV!Q:Q,""),
_xlpm.MacVal,_xlfn.XLOOKUP($A1194,Output_Mac!$A:$A,Output_Mac!M:M,""),
_xlpm.MyAuditVal,_xlfn.XLOOKUP($A1194,My_Audit!$A:$A,My_Audit!L:L,""),
_xlfn.IFS(_xlpm.MyAuditVal&lt;&gt;"",UPPER(_xlpm.MyAuditVal),_xlpm.MacVal&lt;&gt;"",_xlpm.MacVal,_xlpm.CSVVal&lt;&gt;"",_xlpm.CSVVal
)),"")</f>
        <v/>
      </c>
      <c r="N1194" s="40"/>
      <c r="O1194" s="40" t="str">
        <f>_xlfn.LET(
    _xlpm.CSVVal, _xlfn.XLOOKUP($A1194, CSV!$A:$A, CSV!AA:AA, ""),
    _xlpm.MacVal, _xlfn.XLOOKUP($A1194, Output_Mac!$A:$A, Output_Mac!S:S, ""),
    _xlpm.MyAuditVal, _xlfn.XLOOKUP($A1194, My_Audit!$A:$A, My_Audit!P:P, ""),
    _xlfn.TEXTJOIN(", ", TRUE, _xlpm.MyAuditVal, _xlpm.MacVal, _xlpm.CSVVal)
)</f>
        <v/>
      </c>
      <c r="P1194" s="40" t="str" cm="1">
        <f t="array" ref="P1194">IFERROR(_xlfn.LET(
_xlpm.CSVVal,_xlfn.XLOOKUP($A1194,CSV!$A:$A,CSV!AB:AB,""),
_xlpm.MacVal,_xlfn.XLOOKUP($A1194,Output_Mac!$A:$A,Output_Mac!T:T,""),
_xlpm.MyAuditVal,_xlfn.XLOOKUP($A1194,My_Audit!$A:$A,My_Audit!Q:Q,""),
_xlfn.IFS(_xlpm.MyAuditVal&lt;&gt;"",UPPER(_xlpm.MyAuditVal),_xlpm.MacVal&lt;&gt;"",_xlpm.MacVal,_xlpm.CSVVal&lt;&gt;"",_xlpm.CSVVal
)),"No")</f>
        <v>No</v>
      </c>
      <c r="Q1194" s="40" t="str" cm="1">
        <f t="array" ref="Q1194">IFERROR(_xlfn.LET(
_xlpm.CSVVal,_xlfn.XLOOKUP($A1194,CSV!$A:$A,CSV!AC:AC,""),
_xlpm.MacVal,_xlfn.XLOOKUP($A1194,Output_Mac!$A:$A,Output_Mac!U:U,""),
_xlpm.MyAuditVal,_xlfn.XLOOKUP($A1194,My_Audit!$A:$A,My_Audit!R:R,""),
_xlfn.IFS(_xlpm.MyAuditVal&lt;&gt;"",UPPER(_xlpm.MyAuditVal),_xlpm.MacVal&lt;&gt;"",_xlpm.MacVal,_xlpm.CSVVal&lt;&gt;"",_xlpm.CSVVal
)),"")</f>
        <v/>
      </c>
      <c r="R1194" s="40"/>
      <c r="S1194" s="40"/>
      <c r="T1194" s="40"/>
      <c r="U1194" s="40"/>
      <c r="V1194" s="40"/>
      <c r="W1194" s="40"/>
      <c r="X1194" s="41" t="str">
        <f>_xlfn.LET(
    _xlpm.MacVal, _xlfn.XLOOKUP($A1194, Output_Mac!$A:$A, Output_Mac!AB:AB, ""),
    _xlpm.MyAuditVal, _xlfn.XLOOKUP($A1194, My_Audit!$A:$A, My_Audit!N:N, ""),
    _xlfn.TEXTJOIN(", ", TRUE, _xlpm.MyAuditVal, _xlpm.MacVal)
)</f>
        <v/>
      </c>
    </row>
    <row r="1195" spans="1:24">
      <c r="A1195" s="40" t="str">
        <f>_xlfn.TEXTJOIN("",TRUE,Input!$B$2,ROW(My_Audit!A1194))</f>
        <v>X1194</v>
      </c>
      <c r="B1195" s="40" t="str">
        <f>_xlfn.TEXTJOIN("-",TRUE,"ITD",Input!$A$2,A1195)</f>
        <v>ITD-X1194</v>
      </c>
      <c r="C1195" s="40" t="str" cm="1">
        <f t="array" ref="C1195">IFERROR(_xlfn.LET(
_xlpm.CSVVal,_xlfn.XLOOKUP($A1195,CSV!$A:$A,CSV!B:B,""),
_xlpm.MacVal,_xlfn.XLOOKUP($A1195,Output_Mac!$A:$A,Output_Mac!B:B,""),
_xlpm.MyAuditVal,_xlfn.XLOOKUP($A1195,My_Audit!$A:$A,My_Audit!B:B,""),
_xlfn.IFS(_xlpm.MyAuditVal&lt;&gt;"",UPPER(_xlpm.MyAuditVal),_xlpm.MacVal&lt;&gt;"",_xlpm.MacVal,_xlpm.CSVVal&lt;&gt;"",_xlpm.CSVVal
)),"")</f>
        <v/>
      </c>
      <c r="D1195" s="40" t="str" cm="1">
        <f t="array" ref="D1195">IFERROR(_xlfn.LET(
_xlpm.CSVVal,_xlfn.XLOOKUP($A1195,CSV!$A:$A,CSV!D:D,""),
_xlpm.MacVal,_xlfn.XLOOKUP($A1195,Output_Mac!$A:$A,Output_Mac!C:C,""),
_xlpm.MyAuditVal,_xlfn.XLOOKUP($A1195,My_Audit!$A:$A,My_Audit!C:C,""),
_xlfn.IFS(_xlpm.MyAuditVal&lt;&gt;"",_xlpm.MyAuditVal,_xlpm.MacVal&lt;&gt;"",_xlpm.MacVal,_xlpm.CSVVal&lt;&gt;"",_xlpm.CSVVal
)),"")</f>
        <v/>
      </c>
      <c r="E1195" s="40" t="str">
        <f>_xlfn.XLOOKUP(A1195,My_Audit!A:A,My_Audit!D:D,"")</f>
        <v/>
      </c>
      <c r="F1195" s="40" t="str" cm="1">
        <f t="array" ref="F1195">IFERROR(_xlfn.LET(
_xlpm.CSVVal,_xlfn.XLOOKUP($A1195,CSV!$A:$A,CSV!F:F,""),
_xlpm.MacVal,_xlfn.XLOOKUP($A1195,Output_Mac!$A:$A,Output_Mac!E:E,""),
_xlpm.MyAuditVal,_xlfn.XLOOKUP($A1195,My_Audit!$A:$A,My_Audit!E:E,""),
_xlfn.IFS(_xlpm.MyAuditVal&lt;&gt;"",_xlpm.MyAuditVal,_xlpm.MacVal&lt;&gt;"",_xlpm.MacVal,_xlpm.CSVVal&lt;&gt;"",_xlpm.CSVVal
)),"")</f>
        <v/>
      </c>
      <c r="G1195" s="40" t="str" cm="1">
        <f t="array" ref="G1195">IFERROR(_xlfn.LET(
_xlpm.CSVVal,_xlfn.XLOOKUP($A1195,CSV!$A:$A,CSV!G:G,""),
_xlpm.MacVal,_xlfn.XLOOKUP($A1195,Output_Mac!$A:$A,Output_Mac!F:F,""),
_xlpm.MyAuditVal,_xlfn.XLOOKUP($A1195,My_Audit!$A:$A,My_Audit!F:F,""),
_xlfn.IFS(_xlpm.MyAuditVal&lt;&gt;"",_xlpm.MyAuditVal,_xlpm.MacVal&lt;&gt;"",_xlpm.MacVal,_xlpm.CSVVal&lt;&gt;"",PROPER(_xlpm.CSVVal)
)),"")</f>
        <v/>
      </c>
      <c r="H1195" s="40" t="str" cm="1">
        <f t="array" ref="H1195">IFERROR(_xlfn.LET(
_xlpm.CSVVal,_xlfn.XLOOKUP($A1195,CSV!$A:$A,CSV!H:H,""),
_xlpm.MacVal,_xlfn.XLOOKUP($A1195,Output_Mac!$A:$A,Output_Mac!H:H,""),
_xlpm.MyAuditVal,_xlfn.XLOOKUP($A1195,My_Audit!$A:$A,My_Audit!G:G,""),
_xlfn.IFS(_xlpm.MyAuditVal&lt;&gt;"",_xlpm.MyAuditVal,_xlpm.MacVal&lt;&gt;"",_xlpm.MacVal,_xlpm.CSVVal&lt;&gt;"",_xlpm.CSVVal
)),"")</f>
        <v/>
      </c>
      <c r="I1195" s="40" t="str">
        <f>_xlfn.XLOOKUP(A1195,Output_Mac!A:A,Output_Mac!I:I,"")</f>
        <v/>
      </c>
      <c r="J1195" s="40" t="str" cm="1">
        <f t="array" ref="J1195">IFERROR(_xlfn.LET(
_xlpm.CSVVal,_xlfn.XLOOKUP($A1195,CSV!$A:$A,CSV!I:I,""),
_xlpm.MacVal,_xlfn.XLOOKUP($A1195,Output_Mac!$A:$A,Output_Mac!J:J,""),
_xlpm.MyAuditVal,_xlfn.XLOOKUP($A1195,My_Audit!$A:$A,My_Audit!I:I,""),
_xlfn.IFS(_xlpm.MyAuditVal&lt;&gt;"",UPPER(_xlpm.MyAuditVal),_xlpm.MacVal&lt;&gt;"",_xlpm.MacVal,_xlpm.CSVVal&lt;&gt;"",_xlpm.CSVVal
)),"")</f>
        <v/>
      </c>
      <c r="K1195" s="40" t="str" cm="1">
        <f t="array" ref="K1195">IFERROR(_xlfn.LET(
_xlpm.CSVVal,_xlfn.XLOOKUP($A1195,CSV!$A:$A,CSV!K:K,""),
_xlpm.MacVal,_xlfn.XLOOKUP($A1195,Output_Mac!$A:$A,Output_Mac!K:K,""),
_xlpm.MyAuditVal,_xlfn.XLOOKUP($A1195,My_Audit!$A:$A,My_Audit!J:J,""),
_xlfn.IFS(_xlpm.MyAuditVal&lt;&gt;"",UPPER(_xlpm.MyAuditVal),_xlpm.MacVal&lt;&gt;"",_xlpm.MacVal,_xlpm.CSVVal&lt;&gt;"",_xlpm.CSVVal
)),"")</f>
        <v/>
      </c>
      <c r="L1195" s="40" t="str" cm="1">
        <f t="array" ref="L1195">IFERROR(_xlfn.LET(
_xlpm.CSVVal,_xlfn.XLOOKUP($A1195,CSV!$A:$A,CSV!P:P,""),
_xlpm.MacVal,_xlfn.XLOOKUP($A1195,Output_Mac!$A:$A,Output_Mac!L:L,""),
_xlpm.MyAuditVal,_xlfn.XLOOKUP($A1195,My_Audit!$A:$A,My_Audit!K:K,""),
_xlfn.IFS(_xlpm.MyAuditVal&lt;&gt;"",UPPER(_xlpm.MyAuditVal),_xlpm.MacVal&lt;&gt;"",_xlpm.MacVal,_xlpm.CSVVal&lt;&gt;"",_xlpm.CSVVal
)),"")</f>
        <v/>
      </c>
      <c r="M1195" s="40" t="str" cm="1">
        <f t="array" ref="M1195">IFERROR(_xlfn.LET(
_xlpm.CSVVal,_xlfn.XLOOKUP($A1195,CSV!$A:$A,CSV!Q:Q,""),
_xlpm.MacVal,_xlfn.XLOOKUP($A1195,Output_Mac!$A:$A,Output_Mac!M:M,""),
_xlpm.MyAuditVal,_xlfn.XLOOKUP($A1195,My_Audit!$A:$A,My_Audit!L:L,""),
_xlfn.IFS(_xlpm.MyAuditVal&lt;&gt;"",UPPER(_xlpm.MyAuditVal),_xlpm.MacVal&lt;&gt;"",_xlpm.MacVal,_xlpm.CSVVal&lt;&gt;"",_xlpm.CSVVal
)),"")</f>
        <v/>
      </c>
      <c r="N1195" s="40"/>
      <c r="O1195" s="40" t="str">
        <f>_xlfn.LET(
    _xlpm.CSVVal, _xlfn.XLOOKUP($A1195, CSV!$A:$A, CSV!AA:AA, ""),
    _xlpm.MacVal, _xlfn.XLOOKUP($A1195, Output_Mac!$A:$A, Output_Mac!S:S, ""),
    _xlpm.MyAuditVal, _xlfn.XLOOKUP($A1195, My_Audit!$A:$A, My_Audit!P:P, ""),
    _xlfn.TEXTJOIN(", ", TRUE, _xlpm.MyAuditVal, _xlpm.MacVal, _xlpm.CSVVal)
)</f>
        <v/>
      </c>
      <c r="P1195" s="40" t="str" cm="1">
        <f t="array" ref="P1195">IFERROR(_xlfn.LET(
_xlpm.CSVVal,_xlfn.XLOOKUP($A1195,CSV!$A:$A,CSV!AB:AB,""),
_xlpm.MacVal,_xlfn.XLOOKUP($A1195,Output_Mac!$A:$A,Output_Mac!T:T,""),
_xlpm.MyAuditVal,_xlfn.XLOOKUP($A1195,My_Audit!$A:$A,My_Audit!Q:Q,""),
_xlfn.IFS(_xlpm.MyAuditVal&lt;&gt;"",UPPER(_xlpm.MyAuditVal),_xlpm.MacVal&lt;&gt;"",_xlpm.MacVal,_xlpm.CSVVal&lt;&gt;"",_xlpm.CSVVal
)),"No")</f>
        <v>No</v>
      </c>
      <c r="Q1195" s="40" t="str" cm="1">
        <f t="array" ref="Q1195">IFERROR(_xlfn.LET(
_xlpm.CSVVal,_xlfn.XLOOKUP($A1195,CSV!$A:$A,CSV!AC:AC,""),
_xlpm.MacVal,_xlfn.XLOOKUP($A1195,Output_Mac!$A:$A,Output_Mac!U:U,""),
_xlpm.MyAuditVal,_xlfn.XLOOKUP($A1195,My_Audit!$A:$A,My_Audit!R:R,""),
_xlfn.IFS(_xlpm.MyAuditVal&lt;&gt;"",UPPER(_xlpm.MyAuditVal),_xlpm.MacVal&lt;&gt;"",_xlpm.MacVal,_xlpm.CSVVal&lt;&gt;"",_xlpm.CSVVal
)),"")</f>
        <v/>
      </c>
      <c r="R1195" s="40"/>
      <c r="S1195" s="40"/>
      <c r="T1195" s="40"/>
      <c r="U1195" s="40"/>
      <c r="V1195" s="40"/>
      <c r="W1195" s="40"/>
      <c r="X1195" s="41" t="str">
        <f>_xlfn.LET(
    _xlpm.MacVal, _xlfn.XLOOKUP($A1195, Output_Mac!$A:$A, Output_Mac!AB:AB, ""),
    _xlpm.MyAuditVal, _xlfn.XLOOKUP($A1195, My_Audit!$A:$A, My_Audit!N:N, ""),
    _xlfn.TEXTJOIN(", ", TRUE, _xlpm.MyAuditVal, _xlpm.MacVal)
)</f>
        <v/>
      </c>
    </row>
    <row r="1196" spans="1:24">
      <c r="A1196" s="40" t="str">
        <f>_xlfn.TEXTJOIN("",TRUE,Input!$B$2,ROW(My_Audit!A1195))</f>
        <v>X1195</v>
      </c>
      <c r="B1196" s="40" t="str">
        <f>_xlfn.TEXTJOIN("-",TRUE,"ITD",Input!$A$2,A1196)</f>
        <v>ITD-X1195</v>
      </c>
      <c r="C1196" s="40" t="str" cm="1">
        <f t="array" ref="C1196">IFERROR(_xlfn.LET(
_xlpm.CSVVal,_xlfn.XLOOKUP($A1196,CSV!$A:$A,CSV!B:B,""),
_xlpm.MacVal,_xlfn.XLOOKUP($A1196,Output_Mac!$A:$A,Output_Mac!B:B,""),
_xlpm.MyAuditVal,_xlfn.XLOOKUP($A1196,My_Audit!$A:$A,My_Audit!B:B,""),
_xlfn.IFS(_xlpm.MyAuditVal&lt;&gt;"",UPPER(_xlpm.MyAuditVal),_xlpm.MacVal&lt;&gt;"",_xlpm.MacVal,_xlpm.CSVVal&lt;&gt;"",_xlpm.CSVVal
)),"")</f>
        <v/>
      </c>
      <c r="D1196" s="40" t="str" cm="1">
        <f t="array" ref="D1196">IFERROR(_xlfn.LET(
_xlpm.CSVVal,_xlfn.XLOOKUP($A1196,CSV!$A:$A,CSV!D:D,""),
_xlpm.MacVal,_xlfn.XLOOKUP($A1196,Output_Mac!$A:$A,Output_Mac!C:C,""),
_xlpm.MyAuditVal,_xlfn.XLOOKUP($A1196,My_Audit!$A:$A,My_Audit!C:C,""),
_xlfn.IFS(_xlpm.MyAuditVal&lt;&gt;"",_xlpm.MyAuditVal,_xlpm.MacVal&lt;&gt;"",_xlpm.MacVal,_xlpm.CSVVal&lt;&gt;"",_xlpm.CSVVal
)),"")</f>
        <v/>
      </c>
      <c r="E1196" s="40" t="str">
        <f>_xlfn.XLOOKUP(A1196,My_Audit!A:A,My_Audit!D:D,"")</f>
        <v/>
      </c>
      <c r="F1196" s="40" t="str" cm="1">
        <f t="array" ref="F1196">IFERROR(_xlfn.LET(
_xlpm.CSVVal,_xlfn.XLOOKUP($A1196,CSV!$A:$A,CSV!F:F,""),
_xlpm.MacVal,_xlfn.XLOOKUP($A1196,Output_Mac!$A:$A,Output_Mac!E:E,""),
_xlpm.MyAuditVal,_xlfn.XLOOKUP($A1196,My_Audit!$A:$A,My_Audit!E:E,""),
_xlfn.IFS(_xlpm.MyAuditVal&lt;&gt;"",_xlpm.MyAuditVal,_xlpm.MacVal&lt;&gt;"",_xlpm.MacVal,_xlpm.CSVVal&lt;&gt;"",_xlpm.CSVVal
)),"")</f>
        <v/>
      </c>
      <c r="G1196" s="40" t="str" cm="1">
        <f t="array" ref="G1196">IFERROR(_xlfn.LET(
_xlpm.CSVVal,_xlfn.XLOOKUP($A1196,CSV!$A:$A,CSV!G:G,""),
_xlpm.MacVal,_xlfn.XLOOKUP($A1196,Output_Mac!$A:$A,Output_Mac!F:F,""),
_xlpm.MyAuditVal,_xlfn.XLOOKUP($A1196,My_Audit!$A:$A,My_Audit!F:F,""),
_xlfn.IFS(_xlpm.MyAuditVal&lt;&gt;"",_xlpm.MyAuditVal,_xlpm.MacVal&lt;&gt;"",_xlpm.MacVal,_xlpm.CSVVal&lt;&gt;"",PROPER(_xlpm.CSVVal)
)),"")</f>
        <v/>
      </c>
      <c r="H1196" s="40" t="str" cm="1">
        <f t="array" ref="H1196">IFERROR(_xlfn.LET(
_xlpm.CSVVal,_xlfn.XLOOKUP($A1196,CSV!$A:$A,CSV!H:H,""),
_xlpm.MacVal,_xlfn.XLOOKUP($A1196,Output_Mac!$A:$A,Output_Mac!H:H,""),
_xlpm.MyAuditVal,_xlfn.XLOOKUP($A1196,My_Audit!$A:$A,My_Audit!G:G,""),
_xlfn.IFS(_xlpm.MyAuditVal&lt;&gt;"",_xlpm.MyAuditVal,_xlpm.MacVal&lt;&gt;"",_xlpm.MacVal,_xlpm.CSVVal&lt;&gt;"",_xlpm.CSVVal
)),"")</f>
        <v/>
      </c>
      <c r="I1196" s="40" t="str">
        <f>_xlfn.XLOOKUP(A1196,Output_Mac!A:A,Output_Mac!I:I,"")</f>
        <v/>
      </c>
      <c r="J1196" s="40" t="str" cm="1">
        <f t="array" ref="J1196">IFERROR(_xlfn.LET(
_xlpm.CSVVal,_xlfn.XLOOKUP($A1196,CSV!$A:$A,CSV!I:I,""),
_xlpm.MacVal,_xlfn.XLOOKUP($A1196,Output_Mac!$A:$A,Output_Mac!J:J,""),
_xlpm.MyAuditVal,_xlfn.XLOOKUP($A1196,My_Audit!$A:$A,My_Audit!I:I,""),
_xlfn.IFS(_xlpm.MyAuditVal&lt;&gt;"",UPPER(_xlpm.MyAuditVal),_xlpm.MacVal&lt;&gt;"",_xlpm.MacVal,_xlpm.CSVVal&lt;&gt;"",_xlpm.CSVVal
)),"")</f>
        <v/>
      </c>
      <c r="K1196" s="40" t="str" cm="1">
        <f t="array" ref="K1196">IFERROR(_xlfn.LET(
_xlpm.CSVVal,_xlfn.XLOOKUP($A1196,CSV!$A:$A,CSV!K:K,""),
_xlpm.MacVal,_xlfn.XLOOKUP($A1196,Output_Mac!$A:$A,Output_Mac!K:K,""),
_xlpm.MyAuditVal,_xlfn.XLOOKUP($A1196,My_Audit!$A:$A,My_Audit!J:J,""),
_xlfn.IFS(_xlpm.MyAuditVal&lt;&gt;"",UPPER(_xlpm.MyAuditVal),_xlpm.MacVal&lt;&gt;"",_xlpm.MacVal,_xlpm.CSVVal&lt;&gt;"",_xlpm.CSVVal
)),"")</f>
        <v/>
      </c>
      <c r="L1196" s="40" t="str" cm="1">
        <f t="array" ref="L1196">IFERROR(_xlfn.LET(
_xlpm.CSVVal,_xlfn.XLOOKUP($A1196,CSV!$A:$A,CSV!P:P,""),
_xlpm.MacVal,_xlfn.XLOOKUP($A1196,Output_Mac!$A:$A,Output_Mac!L:L,""),
_xlpm.MyAuditVal,_xlfn.XLOOKUP($A1196,My_Audit!$A:$A,My_Audit!K:K,""),
_xlfn.IFS(_xlpm.MyAuditVal&lt;&gt;"",UPPER(_xlpm.MyAuditVal),_xlpm.MacVal&lt;&gt;"",_xlpm.MacVal,_xlpm.CSVVal&lt;&gt;"",_xlpm.CSVVal
)),"")</f>
        <v/>
      </c>
      <c r="M1196" s="40" t="str" cm="1">
        <f t="array" ref="M1196">IFERROR(_xlfn.LET(
_xlpm.CSVVal,_xlfn.XLOOKUP($A1196,CSV!$A:$A,CSV!Q:Q,""),
_xlpm.MacVal,_xlfn.XLOOKUP($A1196,Output_Mac!$A:$A,Output_Mac!M:M,""),
_xlpm.MyAuditVal,_xlfn.XLOOKUP($A1196,My_Audit!$A:$A,My_Audit!L:L,""),
_xlfn.IFS(_xlpm.MyAuditVal&lt;&gt;"",UPPER(_xlpm.MyAuditVal),_xlpm.MacVal&lt;&gt;"",_xlpm.MacVal,_xlpm.CSVVal&lt;&gt;"",_xlpm.CSVVal
)),"")</f>
        <v/>
      </c>
      <c r="N1196" s="40"/>
      <c r="O1196" s="40" t="str">
        <f>_xlfn.LET(
    _xlpm.CSVVal, _xlfn.XLOOKUP($A1196, CSV!$A:$A, CSV!AA:AA, ""),
    _xlpm.MacVal, _xlfn.XLOOKUP($A1196, Output_Mac!$A:$A, Output_Mac!S:S, ""),
    _xlpm.MyAuditVal, _xlfn.XLOOKUP($A1196, My_Audit!$A:$A, My_Audit!P:P, ""),
    _xlfn.TEXTJOIN(", ", TRUE, _xlpm.MyAuditVal, _xlpm.MacVal, _xlpm.CSVVal)
)</f>
        <v/>
      </c>
      <c r="P1196" s="40" t="str" cm="1">
        <f t="array" ref="P1196">IFERROR(_xlfn.LET(
_xlpm.CSVVal,_xlfn.XLOOKUP($A1196,CSV!$A:$A,CSV!AB:AB,""),
_xlpm.MacVal,_xlfn.XLOOKUP($A1196,Output_Mac!$A:$A,Output_Mac!T:T,""),
_xlpm.MyAuditVal,_xlfn.XLOOKUP($A1196,My_Audit!$A:$A,My_Audit!Q:Q,""),
_xlfn.IFS(_xlpm.MyAuditVal&lt;&gt;"",UPPER(_xlpm.MyAuditVal),_xlpm.MacVal&lt;&gt;"",_xlpm.MacVal,_xlpm.CSVVal&lt;&gt;"",_xlpm.CSVVal
)),"No")</f>
        <v>No</v>
      </c>
      <c r="Q1196" s="40" t="str" cm="1">
        <f t="array" ref="Q1196">IFERROR(_xlfn.LET(
_xlpm.CSVVal,_xlfn.XLOOKUP($A1196,CSV!$A:$A,CSV!AC:AC,""),
_xlpm.MacVal,_xlfn.XLOOKUP($A1196,Output_Mac!$A:$A,Output_Mac!U:U,""),
_xlpm.MyAuditVal,_xlfn.XLOOKUP($A1196,My_Audit!$A:$A,My_Audit!R:R,""),
_xlfn.IFS(_xlpm.MyAuditVal&lt;&gt;"",UPPER(_xlpm.MyAuditVal),_xlpm.MacVal&lt;&gt;"",_xlpm.MacVal,_xlpm.CSVVal&lt;&gt;"",_xlpm.CSVVal
)),"")</f>
        <v/>
      </c>
      <c r="R1196" s="40"/>
      <c r="S1196" s="40"/>
      <c r="T1196" s="40"/>
      <c r="U1196" s="40"/>
      <c r="V1196" s="40"/>
      <c r="W1196" s="40"/>
      <c r="X1196" s="41" t="str">
        <f>_xlfn.LET(
    _xlpm.MacVal, _xlfn.XLOOKUP($A1196, Output_Mac!$A:$A, Output_Mac!AB:AB, ""),
    _xlpm.MyAuditVal, _xlfn.XLOOKUP($A1196, My_Audit!$A:$A, My_Audit!N:N, ""),
    _xlfn.TEXTJOIN(", ", TRUE, _xlpm.MyAuditVal, _xlpm.MacVal)
)</f>
        <v/>
      </c>
    </row>
    <row r="1197" spans="1:24">
      <c r="A1197" s="40" t="str">
        <f>_xlfn.TEXTJOIN("",TRUE,Input!$B$2,ROW(My_Audit!A1196))</f>
        <v>X1196</v>
      </c>
      <c r="B1197" s="40" t="str">
        <f>_xlfn.TEXTJOIN("-",TRUE,"ITD",Input!$A$2,A1197)</f>
        <v>ITD-X1196</v>
      </c>
      <c r="C1197" s="40" t="str" cm="1">
        <f t="array" ref="C1197">IFERROR(_xlfn.LET(
_xlpm.CSVVal,_xlfn.XLOOKUP($A1197,CSV!$A:$A,CSV!B:B,""),
_xlpm.MacVal,_xlfn.XLOOKUP($A1197,Output_Mac!$A:$A,Output_Mac!B:B,""),
_xlpm.MyAuditVal,_xlfn.XLOOKUP($A1197,My_Audit!$A:$A,My_Audit!B:B,""),
_xlfn.IFS(_xlpm.MyAuditVal&lt;&gt;"",UPPER(_xlpm.MyAuditVal),_xlpm.MacVal&lt;&gt;"",_xlpm.MacVal,_xlpm.CSVVal&lt;&gt;"",_xlpm.CSVVal
)),"")</f>
        <v/>
      </c>
      <c r="D1197" s="40" t="str" cm="1">
        <f t="array" ref="D1197">IFERROR(_xlfn.LET(
_xlpm.CSVVal,_xlfn.XLOOKUP($A1197,CSV!$A:$A,CSV!D:D,""),
_xlpm.MacVal,_xlfn.XLOOKUP($A1197,Output_Mac!$A:$A,Output_Mac!C:C,""),
_xlpm.MyAuditVal,_xlfn.XLOOKUP($A1197,My_Audit!$A:$A,My_Audit!C:C,""),
_xlfn.IFS(_xlpm.MyAuditVal&lt;&gt;"",_xlpm.MyAuditVal,_xlpm.MacVal&lt;&gt;"",_xlpm.MacVal,_xlpm.CSVVal&lt;&gt;"",_xlpm.CSVVal
)),"")</f>
        <v/>
      </c>
      <c r="E1197" s="40" t="str">
        <f>_xlfn.XLOOKUP(A1197,My_Audit!A:A,My_Audit!D:D,"")</f>
        <v/>
      </c>
      <c r="F1197" s="40" t="str" cm="1">
        <f t="array" ref="F1197">IFERROR(_xlfn.LET(
_xlpm.CSVVal,_xlfn.XLOOKUP($A1197,CSV!$A:$A,CSV!F:F,""),
_xlpm.MacVal,_xlfn.XLOOKUP($A1197,Output_Mac!$A:$A,Output_Mac!E:E,""),
_xlpm.MyAuditVal,_xlfn.XLOOKUP($A1197,My_Audit!$A:$A,My_Audit!E:E,""),
_xlfn.IFS(_xlpm.MyAuditVal&lt;&gt;"",_xlpm.MyAuditVal,_xlpm.MacVal&lt;&gt;"",_xlpm.MacVal,_xlpm.CSVVal&lt;&gt;"",_xlpm.CSVVal
)),"")</f>
        <v/>
      </c>
      <c r="G1197" s="40" t="str" cm="1">
        <f t="array" ref="G1197">IFERROR(_xlfn.LET(
_xlpm.CSVVal,_xlfn.XLOOKUP($A1197,CSV!$A:$A,CSV!G:G,""),
_xlpm.MacVal,_xlfn.XLOOKUP($A1197,Output_Mac!$A:$A,Output_Mac!F:F,""),
_xlpm.MyAuditVal,_xlfn.XLOOKUP($A1197,My_Audit!$A:$A,My_Audit!F:F,""),
_xlfn.IFS(_xlpm.MyAuditVal&lt;&gt;"",_xlpm.MyAuditVal,_xlpm.MacVal&lt;&gt;"",_xlpm.MacVal,_xlpm.CSVVal&lt;&gt;"",PROPER(_xlpm.CSVVal)
)),"")</f>
        <v/>
      </c>
      <c r="H1197" s="40" t="str" cm="1">
        <f t="array" ref="H1197">IFERROR(_xlfn.LET(
_xlpm.CSVVal,_xlfn.XLOOKUP($A1197,CSV!$A:$A,CSV!H:H,""),
_xlpm.MacVal,_xlfn.XLOOKUP($A1197,Output_Mac!$A:$A,Output_Mac!H:H,""),
_xlpm.MyAuditVal,_xlfn.XLOOKUP($A1197,My_Audit!$A:$A,My_Audit!G:G,""),
_xlfn.IFS(_xlpm.MyAuditVal&lt;&gt;"",_xlpm.MyAuditVal,_xlpm.MacVal&lt;&gt;"",_xlpm.MacVal,_xlpm.CSVVal&lt;&gt;"",_xlpm.CSVVal
)),"")</f>
        <v/>
      </c>
      <c r="I1197" s="40" t="str">
        <f>_xlfn.XLOOKUP(A1197,Output_Mac!A:A,Output_Mac!I:I,"")</f>
        <v/>
      </c>
      <c r="J1197" s="40" t="str" cm="1">
        <f t="array" ref="J1197">IFERROR(_xlfn.LET(
_xlpm.CSVVal,_xlfn.XLOOKUP($A1197,CSV!$A:$A,CSV!I:I,""),
_xlpm.MacVal,_xlfn.XLOOKUP($A1197,Output_Mac!$A:$A,Output_Mac!J:J,""),
_xlpm.MyAuditVal,_xlfn.XLOOKUP($A1197,My_Audit!$A:$A,My_Audit!I:I,""),
_xlfn.IFS(_xlpm.MyAuditVal&lt;&gt;"",UPPER(_xlpm.MyAuditVal),_xlpm.MacVal&lt;&gt;"",_xlpm.MacVal,_xlpm.CSVVal&lt;&gt;"",_xlpm.CSVVal
)),"")</f>
        <v/>
      </c>
      <c r="K1197" s="40" t="str" cm="1">
        <f t="array" ref="K1197">IFERROR(_xlfn.LET(
_xlpm.CSVVal,_xlfn.XLOOKUP($A1197,CSV!$A:$A,CSV!K:K,""),
_xlpm.MacVal,_xlfn.XLOOKUP($A1197,Output_Mac!$A:$A,Output_Mac!K:K,""),
_xlpm.MyAuditVal,_xlfn.XLOOKUP($A1197,My_Audit!$A:$A,My_Audit!J:J,""),
_xlfn.IFS(_xlpm.MyAuditVal&lt;&gt;"",UPPER(_xlpm.MyAuditVal),_xlpm.MacVal&lt;&gt;"",_xlpm.MacVal,_xlpm.CSVVal&lt;&gt;"",_xlpm.CSVVal
)),"")</f>
        <v/>
      </c>
      <c r="L1197" s="40" t="str" cm="1">
        <f t="array" ref="L1197">IFERROR(_xlfn.LET(
_xlpm.CSVVal,_xlfn.XLOOKUP($A1197,CSV!$A:$A,CSV!P:P,""),
_xlpm.MacVal,_xlfn.XLOOKUP($A1197,Output_Mac!$A:$A,Output_Mac!L:L,""),
_xlpm.MyAuditVal,_xlfn.XLOOKUP($A1197,My_Audit!$A:$A,My_Audit!K:K,""),
_xlfn.IFS(_xlpm.MyAuditVal&lt;&gt;"",UPPER(_xlpm.MyAuditVal),_xlpm.MacVal&lt;&gt;"",_xlpm.MacVal,_xlpm.CSVVal&lt;&gt;"",_xlpm.CSVVal
)),"")</f>
        <v/>
      </c>
      <c r="M1197" s="40" t="str" cm="1">
        <f t="array" ref="M1197">IFERROR(_xlfn.LET(
_xlpm.CSVVal,_xlfn.XLOOKUP($A1197,CSV!$A:$A,CSV!Q:Q,""),
_xlpm.MacVal,_xlfn.XLOOKUP($A1197,Output_Mac!$A:$A,Output_Mac!M:M,""),
_xlpm.MyAuditVal,_xlfn.XLOOKUP($A1197,My_Audit!$A:$A,My_Audit!L:L,""),
_xlfn.IFS(_xlpm.MyAuditVal&lt;&gt;"",UPPER(_xlpm.MyAuditVal),_xlpm.MacVal&lt;&gt;"",_xlpm.MacVal,_xlpm.CSVVal&lt;&gt;"",_xlpm.CSVVal
)),"")</f>
        <v/>
      </c>
      <c r="N1197" s="40"/>
      <c r="O1197" s="40" t="str">
        <f>_xlfn.LET(
    _xlpm.CSVVal, _xlfn.XLOOKUP($A1197, CSV!$A:$A, CSV!AA:AA, ""),
    _xlpm.MacVal, _xlfn.XLOOKUP($A1197, Output_Mac!$A:$A, Output_Mac!S:S, ""),
    _xlpm.MyAuditVal, _xlfn.XLOOKUP($A1197, My_Audit!$A:$A, My_Audit!P:P, ""),
    _xlfn.TEXTJOIN(", ", TRUE, _xlpm.MyAuditVal, _xlpm.MacVal, _xlpm.CSVVal)
)</f>
        <v/>
      </c>
      <c r="P1197" s="40" t="str" cm="1">
        <f t="array" ref="P1197">IFERROR(_xlfn.LET(
_xlpm.CSVVal,_xlfn.XLOOKUP($A1197,CSV!$A:$A,CSV!AB:AB,""),
_xlpm.MacVal,_xlfn.XLOOKUP($A1197,Output_Mac!$A:$A,Output_Mac!T:T,""),
_xlpm.MyAuditVal,_xlfn.XLOOKUP($A1197,My_Audit!$A:$A,My_Audit!Q:Q,""),
_xlfn.IFS(_xlpm.MyAuditVal&lt;&gt;"",UPPER(_xlpm.MyAuditVal),_xlpm.MacVal&lt;&gt;"",_xlpm.MacVal,_xlpm.CSVVal&lt;&gt;"",_xlpm.CSVVal
)),"No")</f>
        <v>No</v>
      </c>
      <c r="Q1197" s="40" t="str" cm="1">
        <f t="array" ref="Q1197">IFERROR(_xlfn.LET(
_xlpm.CSVVal,_xlfn.XLOOKUP($A1197,CSV!$A:$A,CSV!AC:AC,""),
_xlpm.MacVal,_xlfn.XLOOKUP($A1197,Output_Mac!$A:$A,Output_Mac!U:U,""),
_xlpm.MyAuditVal,_xlfn.XLOOKUP($A1197,My_Audit!$A:$A,My_Audit!R:R,""),
_xlfn.IFS(_xlpm.MyAuditVal&lt;&gt;"",UPPER(_xlpm.MyAuditVal),_xlpm.MacVal&lt;&gt;"",_xlpm.MacVal,_xlpm.CSVVal&lt;&gt;"",_xlpm.CSVVal
)),"")</f>
        <v/>
      </c>
      <c r="R1197" s="40"/>
      <c r="S1197" s="40"/>
      <c r="T1197" s="40"/>
      <c r="U1197" s="40"/>
      <c r="V1197" s="40"/>
      <c r="W1197" s="40"/>
      <c r="X1197" s="41" t="str">
        <f>_xlfn.LET(
    _xlpm.MacVal, _xlfn.XLOOKUP($A1197, Output_Mac!$A:$A, Output_Mac!AB:AB, ""),
    _xlpm.MyAuditVal, _xlfn.XLOOKUP($A1197, My_Audit!$A:$A, My_Audit!N:N, ""),
    _xlfn.TEXTJOIN(", ", TRUE, _xlpm.MyAuditVal, _xlpm.MacVal)
)</f>
        <v/>
      </c>
    </row>
    <row r="1198" spans="1:24">
      <c r="A1198" s="40" t="str">
        <f>_xlfn.TEXTJOIN("",TRUE,Input!$B$2,ROW(My_Audit!A1197))</f>
        <v>X1197</v>
      </c>
      <c r="B1198" s="40" t="str">
        <f>_xlfn.TEXTJOIN("-",TRUE,"ITD",Input!$A$2,A1198)</f>
        <v>ITD-X1197</v>
      </c>
      <c r="C1198" s="40" t="str" cm="1">
        <f t="array" ref="C1198">IFERROR(_xlfn.LET(
_xlpm.CSVVal,_xlfn.XLOOKUP($A1198,CSV!$A:$A,CSV!B:B,""),
_xlpm.MacVal,_xlfn.XLOOKUP($A1198,Output_Mac!$A:$A,Output_Mac!B:B,""),
_xlpm.MyAuditVal,_xlfn.XLOOKUP($A1198,My_Audit!$A:$A,My_Audit!B:B,""),
_xlfn.IFS(_xlpm.MyAuditVal&lt;&gt;"",UPPER(_xlpm.MyAuditVal),_xlpm.MacVal&lt;&gt;"",_xlpm.MacVal,_xlpm.CSVVal&lt;&gt;"",_xlpm.CSVVal
)),"")</f>
        <v/>
      </c>
      <c r="D1198" s="40" t="str" cm="1">
        <f t="array" ref="D1198">IFERROR(_xlfn.LET(
_xlpm.CSVVal,_xlfn.XLOOKUP($A1198,CSV!$A:$A,CSV!D:D,""),
_xlpm.MacVal,_xlfn.XLOOKUP($A1198,Output_Mac!$A:$A,Output_Mac!C:C,""),
_xlpm.MyAuditVal,_xlfn.XLOOKUP($A1198,My_Audit!$A:$A,My_Audit!C:C,""),
_xlfn.IFS(_xlpm.MyAuditVal&lt;&gt;"",_xlpm.MyAuditVal,_xlpm.MacVal&lt;&gt;"",_xlpm.MacVal,_xlpm.CSVVal&lt;&gt;"",_xlpm.CSVVal
)),"")</f>
        <v/>
      </c>
      <c r="E1198" s="40" t="str">
        <f>_xlfn.XLOOKUP(A1198,My_Audit!A:A,My_Audit!D:D,"")</f>
        <v/>
      </c>
      <c r="F1198" s="40" t="str" cm="1">
        <f t="array" ref="F1198">IFERROR(_xlfn.LET(
_xlpm.CSVVal,_xlfn.XLOOKUP($A1198,CSV!$A:$A,CSV!F:F,""),
_xlpm.MacVal,_xlfn.XLOOKUP($A1198,Output_Mac!$A:$A,Output_Mac!E:E,""),
_xlpm.MyAuditVal,_xlfn.XLOOKUP($A1198,My_Audit!$A:$A,My_Audit!E:E,""),
_xlfn.IFS(_xlpm.MyAuditVal&lt;&gt;"",_xlpm.MyAuditVal,_xlpm.MacVal&lt;&gt;"",_xlpm.MacVal,_xlpm.CSVVal&lt;&gt;"",_xlpm.CSVVal
)),"")</f>
        <v/>
      </c>
      <c r="G1198" s="40" t="str" cm="1">
        <f t="array" ref="G1198">IFERROR(_xlfn.LET(
_xlpm.CSVVal,_xlfn.XLOOKUP($A1198,CSV!$A:$A,CSV!G:G,""),
_xlpm.MacVal,_xlfn.XLOOKUP($A1198,Output_Mac!$A:$A,Output_Mac!F:F,""),
_xlpm.MyAuditVal,_xlfn.XLOOKUP($A1198,My_Audit!$A:$A,My_Audit!F:F,""),
_xlfn.IFS(_xlpm.MyAuditVal&lt;&gt;"",_xlpm.MyAuditVal,_xlpm.MacVal&lt;&gt;"",_xlpm.MacVal,_xlpm.CSVVal&lt;&gt;"",PROPER(_xlpm.CSVVal)
)),"")</f>
        <v/>
      </c>
      <c r="H1198" s="40" t="str" cm="1">
        <f t="array" ref="H1198">IFERROR(_xlfn.LET(
_xlpm.CSVVal,_xlfn.XLOOKUP($A1198,CSV!$A:$A,CSV!H:H,""),
_xlpm.MacVal,_xlfn.XLOOKUP($A1198,Output_Mac!$A:$A,Output_Mac!H:H,""),
_xlpm.MyAuditVal,_xlfn.XLOOKUP($A1198,My_Audit!$A:$A,My_Audit!G:G,""),
_xlfn.IFS(_xlpm.MyAuditVal&lt;&gt;"",_xlpm.MyAuditVal,_xlpm.MacVal&lt;&gt;"",_xlpm.MacVal,_xlpm.CSVVal&lt;&gt;"",_xlpm.CSVVal
)),"")</f>
        <v/>
      </c>
      <c r="I1198" s="40" t="str">
        <f>_xlfn.XLOOKUP(A1198,Output_Mac!A:A,Output_Mac!I:I,"")</f>
        <v/>
      </c>
      <c r="J1198" s="40" t="str" cm="1">
        <f t="array" ref="J1198">IFERROR(_xlfn.LET(
_xlpm.CSVVal,_xlfn.XLOOKUP($A1198,CSV!$A:$A,CSV!I:I,""),
_xlpm.MacVal,_xlfn.XLOOKUP($A1198,Output_Mac!$A:$A,Output_Mac!J:J,""),
_xlpm.MyAuditVal,_xlfn.XLOOKUP($A1198,My_Audit!$A:$A,My_Audit!I:I,""),
_xlfn.IFS(_xlpm.MyAuditVal&lt;&gt;"",UPPER(_xlpm.MyAuditVal),_xlpm.MacVal&lt;&gt;"",_xlpm.MacVal,_xlpm.CSVVal&lt;&gt;"",_xlpm.CSVVal
)),"")</f>
        <v/>
      </c>
      <c r="K1198" s="40" t="str" cm="1">
        <f t="array" ref="K1198">IFERROR(_xlfn.LET(
_xlpm.CSVVal,_xlfn.XLOOKUP($A1198,CSV!$A:$A,CSV!K:K,""),
_xlpm.MacVal,_xlfn.XLOOKUP($A1198,Output_Mac!$A:$A,Output_Mac!K:K,""),
_xlpm.MyAuditVal,_xlfn.XLOOKUP($A1198,My_Audit!$A:$A,My_Audit!J:J,""),
_xlfn.IFS(_xlpm.MyAuditVal&lt;&gt;"",UPPER(_xlpm.MyAuditVal),_xlpm.MacVal&lt;&gt;"",_xlpm.MacVal,_xlpm.CSVVal&lt;&gt;"",_xlpm.CSVVal
)),"")</f>
        <v/>
      </c>
      <c r="L1198" s="40" t="str" cm="1">
        <f t="array" ref="L1198">IFERROR(_xlfn.LET(
_xlpm.CSVVal,_xlfn.XLOOKUP($A1198,CSV!$A:$A,CSV!P:P,""),
_xlpm.MacVal,_xlfn.XLOOKUP($A1198,Output_Mac!$A:$A,Output_Mac!L:L,""),
_xlpm.MyAuditVal,_xlfn.XLOOKUP($A1198,My_Audit!$A:$A,My_Audit!K:K,""),
_xlfn.IFS(_xlpm.MyAuditVal&lt;&gt;"",UPPER(_xlpm.MyAuditVal),_xlpm.MacVal&lt;&gt;"",_xlpm.MacVal,_xlpm.CSVVal&lt;&gt;"",_xlpm.CSVVal
)),"")</f>
        <v/>
      </c>
      <c r="M1198" s="40" t="str" cm="1">
        <f t="array" ref="M1198">IFERROR(_xlfn.LET(
_xlpm.CSVVal,_xlfn.XLOOKUP($A1198,CSV!$A:$A,CSV!Q:Q,""),
_xlpm.MacVal,_xlfn.XLOOKUP($A1198,Output_Mac!$A:$A,Output_Mac!M:M,""),
_xlpm.MyAuditVal,_xlfn.XLOOKUP($A1198,My_Audit!$A:$A,My_Audit!L:L,""),
_xlfn.IFS(_xlpm.MyAuditVal&lt;&gt;"",UPPER(_xlpm.MyAuditVal),_xlpm.MacVal&lt;&gt;"",_xlpm.MacVal,_xlpm.CSVVal&lt;&gt;"",_xlpm.CSVVal
)),"")</f>
        <v/>
      </c>
      <c r="N1198" s="40"/>
      <c r="O1198" s="40" t="str">
        <f>_xlfn.LET(
    _xlpm.CSVVal, _xlfn.XLOOKUP($A1198, CSV!$A:$A, CSV!AA:AA, ""),
    _xlpm.MacVal, _xlfn.XLOOKUP($A1198, Output_Mac!$A:$A, Output_Mac!S:S, ""),
    _xlpm.MyAuditVal, _xlfn.XLOOKUP($A1198, My_Audit!$A:$A, My_Audit!P:P, ""),
    _xlfn.TEXTJOIN(", ", TRUE, _xlpm.MyAuditVal, _xlpm.MacVal, _xlpm.CSVVal)
)</f>
        <v/>
      </c>
      <c r="P1198" s="40" t="str" cm="1">
        <f t="array" ref="P1198">IFERROR(_xlfn.LET(
_xlpm.CSVVal,_xlfn.XLOOKUP($A1198,CSV!$A:$A,CSV!AB:AB,""),
_xlpm.MacVal,_xlfn.XLOOKUP($A1198,Output_Mac!$A:$A,Output_Mac!T:T,""),
_xlpm.MyAuditVal,_xlfn.XLOOKUP($A1198,My_Audit!$A:$A,My_Audit!Q:Q,""),
_xlfn.IFS(_xlpm.MyAuditVal&lt;&gt;"",UPPER(_xlpm.MyAuditVal),_xlpm.MacVal&lt;&gt;"",_xlpm.MacVal,_xlpm.CSVVal&lt;&gt;"",_xlpm.CSVVal
)),"No")</f>
        <v>No</v>
      </c>
      <c r="Q1198" s="40" t="str" cm="1">
        <f t="array" ref="Q1198">IFERROR(_xlfn.LET(
_xlpm.CSVVal,_xlfn.XLOOKUP($A1198,CSV!$A:$A,CSV!AC:AC,""),
_xlpm.MacVal,_xlfn.XLOOKUP($A1198,Output_Mac!$A:$A,Output_Mac!U:U,""),
_xlpm.MyAuditVal,_xlfn.XLOOKUP($A1198,My_Audit!$A:$A,My_Audit!R:R,""),
_xlfn.IFS(_xlpm.MyAuditVal&lt;&gt;"",UPPER(_xlpm.MyAuditVal),_xlpm.MacVal&lt;&gt;"",_xlpm.MacVal,_xlpm.CSVVal&lt;&gt;"",_xlpm.CSVVal
)),"")</f>
        <v/>
      </c>
      <c r="R1198" s="40"/>
      <c r="S1198" s="40"/>
      <c r="T1198" s="40"/>
      <c r="U1198" s="40"/>
      <c r="V1198" s="40"/>
      <c r="W1198" s="40"/>
      <c r="X1198" s="41" t="str">
        <f>_xlfn.LET(
    _xlpm.MacVal, _xlfn.XLOOKUP($A1198, Output_Mac!$A:$A, Output_Mac!AB:AB, ""),
    _xlpm.MyAuditVal, _xlfn.XLOOKUP($A1198, My_Audit!$A:$A, My_Audit!N:N, ""),
    _xlfn.TEXTJOIN(", ", TRUE, _xlpm.MyAuditVal, _xlpm.MacVal)
)</f>
        <v/>
      </c>
    </row>
    <row r="1199" spans="1:24">
      <c r="A1199" s="40" t="str">
        <f>_xlfn.TEXTJOIN("",TRUE,Input!$B$2,ROW(My_Audit!A1198))</f>
        <v>X1198</v>
      </c>
      <c r="B1199" s="40" t="str">
        <f>_xlfn.TEXTJOIN("-",TRUE,"ITD",Input!$A$2,A1199)</f>
        <v>ITD-X1198</v>
      </c>
      <c r="C1199" s="40" t="str" cm="1">
        <f t="array" ref="C1199">IFERROR(_xlfn.LET(
_xlpm.CSVVal,_xlfn.XLOOKUP($A1199,CSV!$A:$A,CSV!B:B,""),
_xlpm.MacVal,_xlfn.XLOOKUP($A1199,Output_Mac!$A:$A,Output_Mac!B:B,""),
_xlpm.MyAuditVal,_xlfn.XLOOKUP($A1199,My_Audit!$A:$A,My_Audit!B:B,""),
_xlfn.IFS(_xlpm.MyAuditVal&lt;&gt;"",UPPER(_xlpm.MyAuditVal),_xlpm.MacVal&lt;&gt;"",_xlpm.MacVal,_xlpm.CSVVal&lt;&gt;"",_xlpm.CSVVal
)),"")</f>
        <v/>
      </c>
      <c r="D1199" s="40" t="str" cm="1">
        <f t="array" ref="D1199">IFERROR(_xlfn.LET(
_xlpm.CSVVal,_xlfn.XLOOKUP($A1199,CSV!$A:$A,CSV!D:D,""),
_xlpm.MacVal,_xlfn.XLOOKUP($A1199,Output_Mac!$A:$A,Output_Mac!C:C,""),
_xlpm.MyAuditVal,_xlfn.XLOOKUP($A1199,My_Audit!$A:$A,My_Audit!C:C,""),
_xlfn.IFS(_xlpm.MyAuditVal&lt;&gt;"",_xlpm.MyAuditVal,_xlpm.MacVal&lt;&gt;"",_xlpm.MacVal,_xlpm.CSVVal&lt;&gt;"",_xlpm.CSVVal
)),"")</f>
        <v/>
      </c>
      <c r="E1199" s="40" t="str">
        <f>_xlfn.XLOOKUP(A1199,My_Audit!A:A,My_Audit!D:D,"")</f>
        <v/>
      </c>
      <c r="F1199" s="40" t="str" cm="1">
        <f t="array" ref="F1199">IFERROR(_xlfn.LET(
_xlpm.CSVVal,_xlfn.XLOOKUP($A1199,CSV!$A:$A,CSV!F:F,""),
_xlpm.MacVal,_xlfn.XLOOKUP($A1199,Output_Mac!$A:$A,Output_Mac!E:E,""),
_xlpm.MyAuditVal,_xlfn.XLOOKUP($A1199,My_Audit!$A:$A,My_Audit!E:E,""),
_xlfn.IFS(_xlpm.MyAuditVal&lt;&gt;"",_xlpm.MyAuditVal,_xlpm.MacVal&lt;&gt;"",_xlpm.MacVal,_xlpm.CSVVal&lt;&gt;"",_xlpm.CSVVal
)),"")</f>
        <v/>
      </c>
      <c r="G1199" s="40" t="str" cm="1">
        <f t="array" ref="G1199">IFERROR(_xlfn.LET(
_xlpm.CSVVal,_xlfn.XLOOKUP($A1199,CSV!$A:$A,CSV!G:G,""),
_xlpm.MacVal,_xlfn.XLOOKUP($A1199,Output_Mac!$A:$A,Output_Mac!F:F,""),
_xlpm.MyAuditVal,_xlfn.XLOOKUP($A1199,My_Audit!$A:$A,My_Audit!F:F,""),
_xlfn.IFS(_xlpm.MyAuditVal&lt;&gt;"",_xlpm.MyAuditVal,_xlpm.MacVal&lt;&gt;"",_xlpm.MacVal,_xlpm.CSVVal&lt;&gt;"",PROPER(_xlpm.CSVVal)
)),"")</f>
        <v/>
      </c>
      <c r="H1199" s="40" t="str" cm="1">
        <f t="array" ref="H1199">IFERROR(_xlfn.LET(
_xlpm.CSVVal,_xlfn.XLOOKUP($A1199,CSV!$A:$A,CSV!H:H,""),
_xlpm.MacVal,_xlfn.XLOOKUP($A1199,Output_Mac!$A:$A,Output_Mac!H:H,""),
_xlpm.MyAuditVal,_xlfn.XLOOKUP($A1199,My_Audit!$A:$A,My_Audit!G:G,""),
_xlfn.IFS(_xlpm.MyAuditVal&lt;&gt;"",_xlpm.MyAuditVal,_xlpm.MacVal&lt;&gt;"",_xlpm.MacVal,_xlpm.CSVVal&lt;&gt;"",_xlpm.CSVVal
)),"")</f>
        <v/>
      </c>
      <c r="I1199" s="40" t="str">
        <f>_xlfn.XLOOKUP(A1199,Output_Mac!A:A,Output_Mac!I:I,"")</f>
        <v/>
      </c>
      <c r="J1199" s="40" t="str" cm="1">
        <f t="array" ref="J1199">IFERROR(_xlfn.LET(
_xlpm.CSVVal,_xlfn.XLOOKUP($A1199,CSV!$A:$A,CSV!I:I,""),
_xlpm.MacVal,_xlfn.XLOOKUP($A1199,Output_Mac!$A:$A,Output_Mac!J:J,""),
_xlpm.MyAuditVal,_xlfn.XLOOKUP($A1199,My_Audit!$A:$A,My_Audit!I:I,""),
_xlfn.IFS(_xlpm.MyAuditVal&lt;&gt;"",UPPER(_xlpm.MyAuditVal),_xlpm.MacVal&lt;&gt;"",_xlpm.MacVal,_xlpm.CSVVal&lt;&gt;"",_xlpm.CSVVal
)),"")</f>
        <v/>
      </c>
      <c r="K1199" s="40" t="str" cm="1">
        <f t="array" ref="K1199">IFERROR(_xlfn.LET(
_xlpm.CSVVal,_xlfn.XLOOKUP($A1199,CSV!$A:$A,CSV!K:K,""),
_xlpm.MacVal,_xlfn.XLOOKUP($A1199,Output_Mac!$A:$A,Output_Mac!K:K,""),
_xlpm.MyAuditVal,_xlfn.XLOOKUP($A1199,My_Audit!$A:$A,My_Audit!J:J,""),
_xlfn.IFS(_xlpm.MyAuditVal&lt;&gt;"",UPPER(_xlpm.MyAuditVal),_xlpm.MacVal&lt;&gt;"",_xlpm.MacVal,_xlpm.CSVVal&lt;&gt;"",_xlpm.CSVVal
)),"")</f>
        <v/>
      </c>
      <c r="L1199" s="40" t="str" cm="1">
        <f t="array" ref="L1199">IFERROR(_xlfn.LET(
_xlpm.CSVVal,_xlfn.XLOOKUP($A1199,CSV!$A:$A,CSV!P:P,""),
_xlpm.MacVal,_xlfn.XLOOKUP($A1199,Output_Mac!$A:$A,Output_Mac!L:L,""),
_xlpm.MyAuditVal,_xlfn.XLOOKUP($A1199,My_Audit!$A:$A,My_Audit!K:K,""),
_xlfn.IFS(_xlpm.MyAuditVal&lt;&gt;"",UPPER(_xlpm.MyAuditVal),_xlpm.MacVal&lt;&gt;"",_xlpm.MacVal,_xlpm.CSVVal&lt;&gt;"",_xlpm.CSVVal
)),"")</f>
        <v/>
      </c>
      <c r="M1199" s="40" t="str" cm="1">
        <f t="array" ref="M1199">IFERROR(_xlfn.LET(
_xlpm.CSVVal,_xlfn.XLOOKUP($A1199,CSV!$A:$A,CSV!Q:Q,""),
_xlpm.MacVal,_xlfn.XLOOKUP($A1199,Output_Mac!$A:$A,Output_Mac!M:M,""),
_xlpm.MyAuditVal,_xlfn.XLOOKUP($A1199,My_Audit!$A:$A,My_Audit!L:L,""),
_xlfn.IFS(_xlpm.MyAuditVal&lt;&gt;"",UPPER(_xlpm.MyAuditVal),_xlpm.MacVal&lt;&gt;"",_xlpm.MacVal,_xlpm.CSVVal&lt;&gt;"",_xlpm.CSVVal
)),"")</f>
        <v/>
      </c>
      <c r="N1199" s="40"/>
      <c r="O1199" s="40" t="str">
        <f>_xlfn.LET(
    _xlpm.CSVVal, _xlfn.XLOOKUP($A1199, CSV!$A:$A, CSV!AA:AA, ""),
    _xlpm.MacVal, _xlfn.XLOOKUP($A1199, Output_Mac!$A:$A, Output_Mac!S:S, ""),
    _xlpm.MyAuditVal, _xlfn.XLOOKUP($A1199, My_Audit!$A:$A, My_Audit!P:P, ""),
    _xlfn.TEXTJOIN(", ", TRUE, _xlpm.MyAuditVal, _xlpm.MacVal, _xlpm.CSVVal)
)</f>
        <v/>
      </c>
      <c r="P1199" s="40" t="str" cm="1">
        <f t="array" ref="P1199">IFERROR(_xlfn.LET(
_xlpm.CSVVal,_xlfn.XLOOKUP($A1199,CSV!$A:$A,CSV!AB:AB,""),
_xlpm.MacVal,_xlfn.XLOOKUP($A1199,Output_Mac!$A:$A,Output_Mac!T:T,""),
_xlpm.MyAuditVal,_xlfn.XLOOKUP($A1199,My_Audit!$A:$A,My_Audit!Q:Q,""),
_xlfn.IFS(_xlpm.MyAuditVal&lt;&gt;"",UPPER(_xlpm.MyAuditVal),_xlpm.MacVal&lt;&gt;"",_xlpm.MacVal,_xlpm.CSVVal&lt;&gt;"",_xlpm.CSVVal
)),"No")</f>
        <v>No</v>
      </c>
      <c r="Q1199" s="40" t="str" cm="1">
        <f t="array" ref="Q1199">IFERROR(_xlfn.LET(
_xlpm.CSVVal,_xlfn.XLOOKUP($A1199,CSV!$A:$A,CSV!AC:AC,""),
_xlpm.MacVal,_xlfn.XLOOKUP($A1199,Output_Mac!$A:$A,Output_Mac!U:U,""),
_xlpm.MyAuditVal,_xlfn.XLOOKUP($A1199,My_Audit!$A:$A,My_Audit!R:R,""),
_xlfn.IFS(_xlpm.MyAuditVal&lt;&gt;"",UPPER(_xlpm.MyAuditVal),_xlpm.MacVal&lt;&gt;"",_xlpm.MacVal,_xlpm.CSVVal&lt;&gt;"",_xlpm.CSVVal
)),"")</f>
        <v/>
      </c>
      <c r="R1199" s="40"/>
      <c r="S1199" s="40"/>
      <c r="T1199" s="40"/>
      <c r="U1199" s="40"/>
      <c r="V1199" s="40"/>
      <c r="W1199" s="40"/>
      <c r="X1199" s="41" t="str">
        <f>_xlfn.LET(
    _xlpm.MacVal, _xlfn.XLOOKUP($A1199, Output_Mac!$A:$A, Output_Mac!AB:AB, ""),
    _xlpm.MyAuditVal, _xlfn.XLOOKUP($A1199, My_Audit!$A:$A, My_Audit!N:N, ""),
    _xlfn.TEXTJOIN(", ", TRUE, _xlpm.MyAuditVal, _xlpm.MacVal)
)</f>
        <v/>
      </c>
    </row>
    <row r="1200" spans="1:24">
      <c r="A1200" s="40" t="str">
        <f>_xlfn.TEXTJOIN("",TRUE,Input!$B$2,ROW(My_Audit!A1199))</f>
        <v>X1199</v>
      </c>
      <c r="B1200" s="40" t="str">
        <f>_xlfn.TEXTJOIN("-",TRUE,"ITD",Input!$A$2,A1200)</f>
        <v>ITD-X1199</v>
      </c>
      <c r="C1200" s="40" t="str" cm="1">
        <f t="array" ref="C1200">IFERROR(_xlfn.LET(
_xlpm.CSVVal,_xlfn.XLOOKUP($A1200,CSV!$A:$A,CSV!B:B,""),
_xlpm.MacVal,_xlfn.XLOOKUP($A1200,Output_Mac!$A:$A,Output_Mac!B:B,""),
_xlpm.MyAuditVal,_xlfn.XLOOKUP($A1200,My_Audit!$A:$A,My_Audit!B:B,""),
_xlfn.IFS(_xlpm.MyAuditVal&lt;&gt;"",UPPER(_xlpm.MyAuditVal),_xlpm.MacVal&lt;&gt;"",_xlpm.MacVal,_xlpm.CSVVal&lt;&gt;"",_xlpm.CSVVal
)),"")</f>
        <v/>
      </c>
      <c r="D1200" s="40" t="str" cm="1">
        <f t="array" ref="D1200">IFERROR(_xlfn.LET(
_xlpm.CSVVal,_xlfn.XLOOKUP($A1200,CSV!$A:$A,CSV!D:D,""),
_xlpm.MacVal,_xlfn.XLOOKUP($A1200,Output_Mac!$A:$A,Output_Mac!C:C,""),
_xlpm.MyAuditVal,_xlfn.XLOOKUP($A1200,My_Audit!$A:$A,My_Audit!C:C,""),
_xlfn.IFS(_xlpm.MyAuditVal&lt;&gt;"",_xlpm.MyAuditVal,_xlpm.MacVal&lt;&gt;"",_xlpm.MacVal,_xlpm.CSVVal&lt;&gt;"",_xlpm.CSVVal
)),"")</f>
        <v/>
      </c>
      <c r="E1200" s="40" t="str">
        <f>_xlfn.XLOOKUP(A1200,My_Audit!A:A,My_Audit!D:D,"")</f>
        <v/>
      </c>
      <c r="F1200" s="40" t="str" cm="1">
        <f t="array" ref="F1200">IFERROR(_xlfn.LET(
_xlpm.CSVVal,_xlfn.XLOOKUP($A1200,CSV!$A:$A,CSV!F:F,""),
_xlpm.MacVal,_xlfn.XLOOKUP($A1200,Output_Mac!$A:$A,Output_Mac!E:E,""),
_xlpm.MyAuditVal,_xlfn.XLOOKUP($A1200,My_Audit!$A:$A,My_Audit!E:E,""),
_xlfn.IFS(_xlpm.MyAuditVal&lt;&gt;"",_xlpm.MyAuditVal,_xlpm.MacVal&lt;&gt;"",_xlpm.MacVal,_xlpm.CSVVal&lt;&gt;"",_xlpm.CSVVal
)),"")</f>
        <v/>
      </c>
      <c r="G1200" s="40" t="str" cm="1">
        <f t="array" ref="G1200">IFERROR(_xlfn.LET(
_xlpm.CSVVal,_xlfn.XLOOKUP($A1200,CSV!$A:$A,CSV!G:G,""),
_xlpm.MacVal,_xlfn.XLOOKUP($A1200,Output_Mac!$A:$A,Output_Mac!F:F,""),
_xlpm.MyAuditVal,_xlfn.XLOOKUP($A1200,My_Audit!$A:$A,My_Audit!F:F,""),
_xlfn.IFS(_xlpm.MyAuditVal&lt;&gt;"",_xlpm.MyAuditVal,_xlpm.MacVal&lt;&gt;"",_xlpm.MacVal,_xlpm.CSVVal&lt;&gt;"",PROPER(_xlpm.CSVVal)
)),"")</f>
        <v/>
      </c>
      <c r="H1200" s="40" t="str" cm="1">
        <f t="array" ref="H1200">IFERROR(_xlfn.LET(
_xlpm.CSVVal,_xlfn.XLOOKUP($A1200,CSV!$A:$A,CSV!H:H,""),
_xlpm.MacVal,_xlfn.XLOOKUP($A1200,Output_Mac!$A:$A,Output_Mac!H:H,""),
_xlpm.MyAuditVal,_xlfn.XLOOKUP($A1200,My_Audit!$A:$A,My_Audit!G:G,""),
_xlfn.IFS(_xlpm.MyAuditVal&lt;&gt;"",_xlpm.MyAuditVal,_xlpm.MacVal&lt;&gt;"",_xlpm.MacVal,_xlpm.CSVVal&lt;&gt;"",_xlpm.CSVVal
)),"")</f>
        <v/>
      </c>
      <c r="I1200" s="40" t="str">
        <f>_xlfn.XLOOKUP(A1200,Output_Mac!A:A,Output_Mac!I:I,"")</f>
        <v/>
      </c>
      <c r="J1200" s="40" t="str" cm="1">
        <f t="array" ref="J1200">IFERROR(_xlfn.LET(
_xlpm.CSVVal,_xlfn.XLOOKUP($A1200,CSV!$A:$A,CSV!I:I,""),
_xlpm.MacVal,_xlfn.XLOOKUP($A1200,Output_Mac!$A:$A,Output_Mac!J:J,""),
_xlpm.MyAuditVal,_xlfn.XLOOKUP($A1200,My_Audit!$A:$A,My_Audit!I:I,""),
_xlfn.IFS(_xlpm.MyAuditVal&lt;&gt;"",UPPER(_xlpm.MyAuditVal),_xlpm.MacVal&lt;&gt;"",_xlpm.MacVal,_xlpm.CSVVal&lt;&gt;"",_xlpm.CSVVal
)),"")</f>
        <v/>
      </c>
      <c r="K1200" s="40" t="str" cm="1">
        <f t="array" ref="K1200">IFERROR(_xlfn.LET(
_xlpm.CSVVal,_xlfn.XLOOKUP($A1200,CSV!$A:$A,CSV!K:K,""),
_xlpm.MacVal,_xlfn.XLOOKUP($A1200,Output_Mac!$A:$A,Output_Mac!K:K,""),
_xlpm.MyAuditVal,_xlfn.XLOOKUP($A1200,My_Audit!$A:$A,My_Audit!J:J,""),
_xlfn.IFS(_xlpm.MyAuditVal&lt;&gt;"",UPPER(_xlpm.MyAuditVal),_xlpm.MacVal&lt;&gt;"",_xlpm.MacVal,_xlpm.CSVVal&lt;&gt;"",_xlpm.CSVVal
)),"")</f>
        <v/>
      </c>
      <c r="L1200" s="40" t="str" cm="1">
        <f t="array" ref="L1200">IFERROR(_xlfn.LET(
_xlpm.CSVVal,_xlfn.XLOOKUP($A1200,CSV!$A:$A,CSV!P:P,""),
_xlpm.MacVal,_xlfn.XLOOKUP($A1200,Output_Mac!$A:$A,Output_Mac!L:L,""),
_xlpm.MyAuditVal,_xlfn.XLOOKUP($A1200,My_Audit!$A:$A,My_Audit!K:K,""),
_xlfn.IFS(_xlpm.MyAuditVal&lt;&gt;"",UPPER(_xlpm.MyAuditVal),_xlpm.MacVal&lt;&gt;"",_xlpm.MacVal,_xlpm.CSVVal&lt;&gt;"",_xlpm.CSVVal
)),"")</f>
        <v/>
      </c>
      <c r="M1200" s="40" t="str" cm="1">
        <f t="array" ref="M1200">IFERROR(_xlfn.LET(
_xlpm.CSVVal,_xlfn.XLOOKUP($A1200,CSV!$A:$A,CSV!Q:Q,""),
_xlpm.MacVal,_xlfn.XLOOKUP($A1200,Output_Mac!$A:$A,Output_Mac!M:M,""),
_xlpm.MyAuditVal,_xlfn.XLOOKUP($A1200,My_Audit!$A:$A,My_Audit!L:L,""),
_xlfn.IFS(_xlpm.MyAuditVal&lt;&gt;"",UPPER(_xlpm.MyAuditVal),_xlpm.MacVal&lt;&gt;"",_xlpm.MacVal,_xlpm.CSVVal&lt;&gt;"",_xlpm.CSVVal
)),"")</f>
        <v/>
      </c>
      <c r="N1200" s="40"/>
      <c r="O1200" s="40" t="str">
        <f>_xlfn.LET(
    _xlpm.CSVVal, _xlfn.XLOOKUP($A1200, CSV!$A:$A, CSV!AA:AA, ""),
    _xlpm.MacVal, _xlfn.XLOOKUP($A1200, Output_Mac!$A:$A, Output_Mac!S:S, ""),
    _xlpm.MyAuditVal, _xlfn.XLOOKUP($A1200, My_Audit!$A:$A, My_Audit!P:P, ""),
    _xlfn.TEXTJOIN(", ", TRUE, _xlpm.MyAuditVal, _xlpm.MacVal, _xlpm.CSVVal)
)</f>
        <v/>
      </c>
      <c r="P1200" s="40" t="str" cm="1">
        <f t="array" ref="P1200">IFERROR(_xlfn.LET(
_xlpm.CSVVal,_xlfn.XLOOKUP($A1200,CSV!$A:$A,CSV!AB:AB,""),
_xlpm.MacVal,_xlfn.XLOOKUP($A1200,Output_Mac!$A:$A,Output_Mac!T:T,""),
_xlpm.MyAuditVal,_xlfn.XLOOKUP($A1200,My_Audit!$A:$A,My_Audit!Q:Q,""),
_xlfn.IFS(_xlpm.MyAuditVal&lt;&gt;"",UPPER(_xlpm.MyAuditVal),_xlpm.MacVal&lt;&gt;"",_xlpm.MacVal,_xlpm.CSVVal&lt;&gt;"",_xlpm.CSVVal
)),"No")</f>
        <v>No</v>
      </c>
      <c r="Q1200" s="40" t="str" cm="1">
        <f t="array" ref="Q1200">IFERROR(_xlfn.LET(
_xlpm.CSVVal,_xlfn.XLOOKUP($A1200,CSV!$A:$A,CSV!AC:AC,""),
_xlpm.MacVal,_xlfn.XLOOKUP($A1200,Output_Mac!$A:$A,Output_Mac!U:U,""),
_xlpm.MyAuditVal,_xlfn.XLOOKUP($A1200,My_Audit!$A:$A,My_Audit!R:R,""),
_xlfn.IFS(_xlpm.MyAuditVal&lt;&gt;"",UPPER(_xlpm.MyAuditVal),_xlpm.MacVal&lt;&gt;"",_xlpm.MacVal,_xlpm.CSVVal&lt;&gt;"",_xlpm.CSVVal
)),"")</f>
        <v/>
      </c>
      <c r="R1200" s="40"/>
      <c r="S1200" s="40"/>
      <c r="T1200" s="40"/>
      <c r="U1200" s="40"/>
      <c r="V1200" s="40"/>
      <c r="W1200" s="40"/>
      <c r="X1200" s="41" t="str">
        <f>_xlfn.LET(
    _xlpm.MacVal, _xlfn.XLOOKUP($A1200, Output_Mac!$A:$A, Output_Mac!AB:AB, ""),
    _xlpm.MyAuditVal, _xlfn.XLOOKUP($A1200, My_Audit!$A:$A, My_Audit!N:N, ""),
    _xlfn.TEXTJOIN(", ", TRUE, _xlpm.MyAuditVal, _xlpm.MacVal)
)</f>
        <v/>
      </c>
    </row>
    <row r="1201" spans="1:24">
      <c r="A1201" s="40" t="str">
        <f>_xlfn.TEXTJOIN("",TRUE,Input!$B$2,ROW(My_Audit!A1200))</f>
        <v>X1200</v>
      </c>
      <c r="B1201" s="40" t="str">
        <f>_xlfn.TEXTJOIN("-",TRUE,"ITD",Input!$A$2,A1201)</f>
        <v>ITD-X1200</v>
      </c>
      <c r="C1201" s="40" t="str" cm="1">
        <f t="array" ref="C1201">IFERROR(_xlfn.LET(
_xlpm.CSVVal,_xlfn.XLOOKUP($A1201,CSV!$A:$A,CSV!B:B,""),
_xlpm.MacVal,_xlfn.XLOOKUP($A1201,Output_Mac!$A:$A,Output_Mac!B:B,""),
_xlpm.MyAuditVal,_xlfn.XLOOKUP($A1201,My_Audit!$A:$A,My_Audit!B:B,""),
_xlfn.IFS(_xlpm.MyAuditVal&lt;&gt;"",UPPER(_xlpm.MyAuditVal),_xlpm.MacVal&lt;&gt;"",_xlpm.MacVal,_xlpm.CSVVal&lt;&gt;"",_xlpm.CSVVal
)),"")</f>
        <v/>
      </c>
      <c r="D1201" s="40" t="str" cm="1">
        <f t="array" ref="D1201">IFERROR(_xlfn.LET(
_xlpm.CSVVal,_xlfn.XLOOKUP($A1201,CSV!$A:$A,CSV!D:D,""),
_xlpm.MacVal,_xlfn.XLOOKUP($A1201,Output_Mac!$A:$A,Output_Mac!C:C,""),
_xlpm.MyAuditVal,_xlfn.XLOOKUP($A1201,My_Audit!$A:$A,My_Audit!C:C,""),
_xlfn.IFS(_xlpm.MyAuditVal&lt;&gt;"",_xlpm.MyAuditVal,_xlpm.MacVal&lt;&gt;"",_xlpm.MacVal,_xlpm.CSVVal&lt;&gt;"",_xlpm.CSVVal
)),"")</f>
        <v/>
      </c>
      <c r="E1201" s="40" t="str">
        <f>_xlfn.XLOOKUP(A1201,My_Audit!A:A,My_Audit!D:D,"")</f>
        <v/>
      </c>
      <c r="F1201" s="40" t="str" cm="1">
        <f t="array" ref="F1201">IFERROR(_xlfn.LET(
_xlpm.CSVVal,_xlfn.XLOOKUP($A1201,CSV!$A:$A,CSV!F:F,""),
_xlpm.MacVal,_xlfn.XLOOKUP($A1201,Output_Mac!$A:$A,Output_Mac!E:E,""),
_xlpm.MyAuditVal,_xlfn.XLOOKUP($A1201,My_Audit!$A:$A,My_Audit!E:E,""),
_xlfn.IFS(_xlpm.MyAuditVal&lt;&gt;"",_xlpm.MyAuditVal,_xlpm.MacVal&lt;&gt;"",_xlpm.MacVal,_xlpm.CSVVal&lt;&gt;"",_xlpm.CSVVal
)),"")</f>
        <v/>
      </c>
      <c r="G1201" s="40" t="str" cm="1">
        <f t="array" ref="G1201">IFERROR(_xlfn.LET(
_xlpm.CSVVal,_xlfn.XLOOKUP($A1201,CSV!$A:$A,CSV!G:G,""),
_xlpm.MacVal,_xlfn.XLOOKUP($A1201,Output_Mac!$A:$A,Output_Mac!F:F,""),
_xlpm.MyAuditVal,_xlfn.XLOOKUP($A1201,My_Audit!$A:$A,My_Audit!F:F,""),
_xlfn.IFS(_xlpm.MyAuditVal&lt;&gt;"",_xlpm.MyAuditVal,_xlpm.MacVal&lt;&gt;"",_xlpm.MacVal,_xlpm.CSVVal&lt;&gt;"",PROPER(_xlpm.CSVVal)
)),"")</f>
        <v/>
      </c>
      <c r="H1201" s="40" t="str" cm="1">
        <f t="array" ref="H1201">IFERROR(_xlfn.LET(
_xlpm.CSVVal,_xlfn.XLOOKUP($A1201,CSV!$A:$A,CSV!H:H,""),
_xlpm.MacVal,_xlfn.XLOOKUP($A1201,Output_Mac!$A:$A,Output_Mac!H:H,""),
_xlpm.MyAuditVal,_xlfn.XLOOKUP($A1201,My_Audit!$A:$A,My_Audit!G:G,""),
_xlfn.IFS(_xlpm.MyAuditVal&lt;&gt;"",_xlpm.MyAuditVal,_xlpm.MacVal&lt;&gt;"",_xlpm.MacVal,_xlpm.CSVVal&lt;&gt;"",_xlpm.CSVVal
)),"")</f>
        <v/>
      </c>
      <c r="I1201" s="40" t="str">
        <f>_xlfn.XLOOKUP(A1201,Output_Mac!A:A,Output_Mac!I:I,"")</f>
        <v/>
      </c>
      <c r="J1201" s="40" t="str" cm="1">
        <f t="array" ref="J1201">IFERROR(_xlfn.LET(
_xlpm.CSVVal,_xlfn.XLOOKUP($A1201,CSV!$A:$A,CSV!I:I,""),
_xlpm.MacVal,_xlfn.XLOOKUP($A1201,Output_Mac!$A:$A,Output_Mac!J:J,""),
_xlpm.MyAuditVal,_xlfn.XLOOKUP($A1201,My_Audit!$A:$A,My_Audit!I:I,""),
_xlfn.IFS(_xlpm.MyAuditVal&lt;&gt;"",UPPER(_xlpm.MyAuditVal),_xlpm.MacVal&lt;&gt;"",_xlpm.MacVal,_xlpm.CSVVal&lt;&gt;"",_xlpm.CSVVal
)),"")</f>
        <v/>
      </c>
      <c r="K1201" s="40" t="str" cm="1">
        <f t="array" ref="K1201">IFERROR(_xlfn.LET(
_xlpm.CSVVal,_xlfn.XLOOKUP($A1201,CSV!$A:$A,CSV!K:K,""),
_xlpm.MacVal,_xlfn.XLOOKUP($A1201,Output_Mac!$A:$A,Output_Mac!K:K,""),
_xlpm.MyAuditVal,_xlfn.XLOOKUP($A1201,My_Audit!$A:$A,My_Audit!J:J,""),
_xlfn.IFS(_xlpm.MyAuditVal&lt;&gt;"",UPPER(_xlpm.MyAuditVal),_xlpm.MacVal&lt;&gt;"",_xlpm.MacVal,_xlpm.CSVVal&lt;&gt;"",_xlpm.CSVVal
)),"")</f>
        <v/>
      </c>
      <c r="L1201" s="40" t="str" cm="1">
        <f t="array" ref="L1201">IFERROR(_xlfn.LET(
_xlpm.CSVVal,_xlfn.XLOOKUP($A1201,CSV!$A:$A,CSV!P:P,""),
_xlpm.MacVal,_xlfn.XLOOKUP($A1201,Output_Mac!$A:$A,Output_Mac!L:L,""),
_xlpm.MyAuditVal,_xlfn.XLOOKUP($A1201,My_Audit!$A:$A,My_Audit!K:K,""),
_xlfn.IFS(_xlpm.MyAuditVal&lt;&gt;"",UPPER(_xlpm.MyAuditVal),_xlpm.MacVal&lt;&gt;"",_xlpm.MacVal,_xlpm.CSVVal&lt;&gt;"",_xlpm.CSVVal
)),"")</f>
        <v/>
      </c>
      <c r="M1201" s="40" t="str" cm="1">
        <f t="array" ref="M1201">IFERROR(_xlfn.LET(
_xlpm.CSVVal,_xlfn.XLOOKUP($A1201,CSV!$A:$A,CSV!Q:Q,""),
_xlpm.MacVal,_xlfn.XLOOKUP($A1201,Output_Mac!$A:$A,Output_Mac!M:M,""),
_xlpm.MyAuditVal,_xlfn.XLOOKUP($A1201,My_Audit!$A:$A,My_Audit!L:L,""),
_xlfn.IFS(_xlpm.MyAuditVal&lt;&gt;"",UPPER(_xlpm.MyAuditVal),_xlpm.MacVal&lt;&gt;"",_xlpm.MacVal,_xlpm.CSVVal&lt;&gt;"",_xlpm.CSVVal
)),"")</f>
        <v/>
      </c>
      <c r="N1201" s="40"/>
      <c r="O1201" s="40" t="str">
        <f>_xlfn.LET(
    _xlpm.CSVVal, _xlfn.XLOOKUP($A1201, CSV!$A:$A, CSV!AA:AA, ""),
    _xlpm.MacVal, _xlfn.XLOOKUP($A1201, Output_Mac!$A:$A, Output_Mac!S:S, ""),
    _xlpm.MyAuditVal, _xlfn.XLOOKUP($A1201, My_Audit!$A:$A, My_Audit!P:P, ""),
    _xlfn.TEXTJOIN(", ", TRUE, _xlpm.MyAuditVal, _xlpm.MacVal, _xlpm.CSVVal)
)</f>
        <v/>
      </c>
      <c r="P1201" s="40" t="str" cm="1">
        <f t="array" ref="P1201">IFERROR(_xlfn.LET(
_xlpm.CSVVal,_xlfn.XLOOKUP($A1201,CSV!$A:$A,CSV!AB:AB,""),
_xlpm.MacVal,_xlfn.XLOOKUP($A1201,Output_Mac!$A:$A,Output_Mac!T:T,""),
_xlpm.MyAuditVal,_xlfn.XLOOKUP($A1201,My_Audit!$A:$A,My_Audit!Q:Q,""),
_xlfn.IFS(_xlpm.MyAuditVal&lt;&gt;"",UPPER(_xlpm.MyAuditVal),_xlpm.MacVal&lt;&gt;"",_xlpm.MacVal,_xlpm.CSVVal&lt;&gt;"",_xlpm.CSVVal
)),"No")</f>
        <v>No</v>
      </c>
      <c r="Q1201" s="40" t="str" cm="1">
        <f t="array" ref="Q1201">IFERROR(_xlfn.LET(
_xlpm.CSVVal,_xlfn.XLOOKUP($A1201,CSV!$A:$A,CSV!AC:AC,""),
_xlpm.MacVal,_xlfn.XLOOKUP($A1201,Output_Mac!$A:$A,Output_Mac!U:U,""),
_xlpm.MyAuditVal,_xlfn.XLOOKUP($A1201,My_Audit!$A:$A,My_Audit!R:R,""),
_xlfn.IFS(_xlpm.MyAuditVal&lt;&gt;"",UPPER(_xlpm.MyAuditVal),_xlpm.MacVal&lt;&gt;"",_xlpm.MacVal,_xlpm.CSVVal&lt;&gt;"",_xlpm.CSVVal
)),"")</f>
        <v/>
      </c>
      <c r="R1201" s="40"/>
      <c r="S1201" s="40"/>
      <c r="T1201" s="40"/>
      <c r="U1201" s="40"/>
      <c r="V1201" s="40"/>
      <c r="W1201" s="40"/>
      <c r="X1201" s="41" t="str">
        <f>_xlfn.LET(
    _xlpm.MacVal, _xlfn.XLOOKUP($A1201, Output_Mac!$A:$A, Output_Mac!AB:AB, ""),
    _xlpm.MyAuditVal, _xlfn.XLOOKUP($A1201, My_Audit!$A:$A, My_Audit!N:N, ""),
    _xlfn.TEXTJOIN(", ", TRUE, _xlpm.MyAuditVal, _xlpm.MacVal)
)</f>
        <v/>
      </c>
    </row>
    <row r="1202" spans="1:24">
      <c r="A1202" s="40" t="str">
        <f>_xlfn.TEXTJOIN("",TRUE,Input!$B$2,ROW(My_Audit!A1201))</f>
        <v>X1201</v>
      </c>
      <c r="B1202" s="40" t="str">
        <f>_xlfn.TEXTJOIN("-",TRUE,"ITD",Input!$A$2,A1202)</f>
        <v>ITD-X1201</v>
      </c>
      <c r="C1202" s="40" t="str" cm="1">
        <f t="array" ref="C1202">IFERROR(_xlfn.LET(
_xlpm.CSVVal,_xlfn.XLOOKUP($A1202,CSV!$A:$A,CSV!B:B,""),
_xlpm.MacVal,_xlfn.XLOOKUP($A1202,Output_Mac!$A:$A,Output_Mac!B:B,""),
_xlpm.MyAuditVal,_xlfn.XLOOKUP($A1202,My_Audit!$A:$A,My_Audit!B:B,""),
_xlfn.IFS(_xlpm.MyAuditVal&lt;&gt;"",UPPER(_xlpm.MyAuditVal),_xlpm.MacVal&lt;&gt;"",_xlpm.MacVal,_xlpm.CSVVal&lt;&gt;"",_xlpm.CSVVal
)),"")</f>
        <v/>
      </c>
      <c r="D1202" s="40" t="str" cm="1">
        <f t="array" ref="D1202">IFERROR(_xlfn.LET(
_xlpm.CSVVal,_xlfn.XLOOKUP($A1202,CSV!$A:$A,CSV!D:D,""),
_xlpm.MacVal,_xlfn.XLOOKUP($A1202,Output_Mac!$A:$A,Output_Mac!C:C,""),
_xlpm.MyAuditVal,_xlfn.XLOOKUP($A1202,My_Audit!$A:$A,My_Audit!C:C,""),
_xlfn.IFS(_xlpm.MyAuditVal&lt;&gt;"",_xlpm.MyAuditVal,_xlpm.MacVal&lt;&gt;"",_xlpm.MacVal,_xlpm.CSVVal&lt;&gt;"",_xlpm.CSVVal
)),"")</f>
        <v/>
      </c>
      <c r="E1202" s="40" t="str">
        <f>_xlfn.XLOOKUP(A1202,My_Audit!A:A,My_Audit!D:D,"")</f>
        <v/>
      </c>
      <c r="F1202" s="40" t="str" cm="1">
        <f t="array" ref="F1202">IFERROR(_xlfn.LET(
_xlpm.CSVVal,_xlfn.XLOOKUP($A1202,CSV!$A:$A,CSV!F:F,""),
_xlpm.MacVal,_xlfn.XLOOKUP($A1202,Output_Mac!$A:$A,Output_Mac!E:E,""),
_xlpm.MyAuditVal,_xlfn.XLOOKUP($A1202,My_Audit!$A:$A,My_Audit!E:E,""),
_xlfn.IFS(_xlpm.MyAuditVal&lt;&gt;"",_xlpm.MyAuditVal,_xlpm.MacVal&lt;&gt;"",_xlpm.MacVal,_xlpm.CSVVal&lt;&gt;"",_xlpm.CSVVal
)),"")</f>
        <v/>
      </c>
      <c r="G1202" s="40" t="str" cm="1">
        <f t="array" ref="G1202">IFERROR(_xlfn.LET(
_xlpm.CSVVal,_xlfn.XLOOKUP($A1202,CSV!$A:$A,CSV!G:G,""),
_xlpm.MacVal,_xlfn.XLOOKUP($A1202,Output_Mac!$A:$A,Output_Mac!F:F,""),
_xlpm.MyAuditVal,_xlfn.XLOOKUP($A1202,My_Audit!$A:$A,My_Audit!F:F,""),
_xlfn.IFS(_xlpm.MyAuditVal&lt;&gt;"",_xlpm.MyAuditVal,_xlpm.MacVal&lt;&gt;"",_xlpm.MacVal,_xlpm.CSVVal&lt;&gt;"",PROPER(_xlpm.CSVVal)
)),"")</f>
        <v/>
      </c>
      <c r="H1202" s="40" t="str" cm="1">
        <f t="array" ref="H1202">IFERROR(_xlfn.LET(
_xlpm.CSVVal,_xlfn.XLOOKUP($A1202,CSV!$A:$A,CSV!H:H,""),
_xlpm.MacVal,_xlfn.XLOOKUP($A1202,Output_Mac!$A:$A,Output_Mac!H:H,""),
_xlpm.MyAuditVal,_xlfn.XLOOKUP($A1202,My_Audit!$A:$A,My_Audit!G:G,""),
_xlfn.IFS(_xlpm.MyAuditVal&lt;&gt;"",_xlpm.MyAuditVal,_xlpm.MacVal&lt;&gt;"",_xlpm.MacVal,_xlpm.CSVVal&lt;&gt;"",_xlpm.CSVVal
)),"")</f>
        <v/>
      </c>
      <c r="I1202" s="40" t="str">
        <f>_xlfn.XLOOKUP(A1202,Output_Mac!A:A,Output_Mac!I:I,"")</f>
        <v/>
      </c>
      <c r="J1202" s="40" t="str" cm="1">
        <f t="array" ref="J1202">IFERROR(_xlfn.LET(
_xlpm.CSVVal,_xlfn.XLOOKUP($A1202,CSV!$A:$A,CSV!I:I,""),
_xlpm.MacVal,_xlfn.XLOOKUP($A1202,Output_Mac!$A:$A,Output_Mac!J:J,""),
_xlpm.MyAuditVal,_xlfn.XLOOKUP($A1202,My_Audit!$A:$A,My_Audit!I:I,""),
_xlfn.IFS(_xlpm.MyAuditVal&lt;&gt;"",UPPER(_xlpm.MyAuditVal),_xlpm.MacVal&lt;&gt;"",_xlpm.MacVal,_xlpm.CSVVal&lt;&gt;"",_xlpm.CSVVal
)),"")</f>
        <v/>
      </c>
      <c r="K1202" s="40" t="str" cm="1">
        <f t="array" ref="K1202">IFERROR(_xlfn.LET(
_xlpm.CSVVal,_xlfn.XLOOKUP($A1202,CSV!$A:$A,CSV!K:K,""),
_xlpm.MacVal,_xlfn.XLOOKUP($A1202,Output_Mac!$A:$A,Output_Mac!K:K,""),
_xlpm.MyAuditVal,_xlfn.XLOOKUP($A1202,My_Audit!$A:$A,My_Audit!J:J,""),
_xlfn.IFS(_xlpm.MyAuditVal&lt;&gt;"",UPPER(_xlpm.MyAuditVal),_xlpm.MacVal&lt;&gt;"",_xlpm.MacVal,_xlpm.CSVVal&lt;&gt;"",_xlpm.CSVVal
)),"")</f>
        <v/>
      </c>
      <c r="L1202" s="40" t="str" cm="1">
        <f t="array" ref="L1202">IFERROR(_xlfn.LET(
_xlpm.CSVVal,_xlfn.XLOOKUP($A1202,CSV!$A:$A,CSV!P:P,""),
_xlpm.MacVal,_xlfn.XLOOKUP($A1202,Output_Mac!$A:$A,Output_Mac!L:L,""),
_xlpm.MyAuditVal,_xlfn.XLOOKUP($A1202,My_Audit!$A:$A,My_Audit!K:K,""),
_xlfn.IFS(_xlpm.MyAuditVal&lt;&gt;"",UPPER(_xlpm.MyAuditVal),_xlpm.MacVal&lt;&gt;"",_xlpm.MacVal,_xlpm.CSVVal&lt;&gt;"",_xlpm.CSVVal
)),"")</f>
        <v/>
      </c>
      <c r="M1202" s="40" t="str" cm="1">
        <f t="array" ref="M1202">IFERROR(_xlfn.LET(
_xlpm.CSVVal,_xlfn.XLOOKUP($A1202,CSV!$A:$A,CSV!Q:Q,""),
_xlpm.MacVal,_xlfn.XLOOKUP($A1202,Output_Mac!$A:$A,Output_Mac!M:M,""),
_xlpm.MyAuditVal,_xlfn.XLOOKUP($A1202,My_Audit!$A:$A,My_Audit!L:L,""),
_xlfn.IFS(_xlpm.MyAuditVal&lt;&gt;"",UPPER(_xlpm.MyAuditVal),_xlpm.MacVal&lt;&gt;"",_xlpm.MacVal,_xlpm.CSVVal&lt;&gt;"",_xlpm.CSVVal
)),"")</f>
        <v/>
      </c>
      <c r="N1202" s="40"/>
      <c r="O1202" s="40" t="str">
        <f>_xlfn.LET(
    _xlpm.CSVVal, _xlfn.XLOOKUP($A1202, CSV!$A:$A, CSV!AA:AA, ""),
    _xlpm.MacVal, _xlfn.XLOOKUP($A1202, Output_Mac!$A:$A, Output_Mac!S:S, ""),
    _xlpm.MyAuditVal, _xlfn.XLOOKUP($A1202, My_Audit!$A:$A, My_Audit!P:P, ""),
    _xlfn.TEXTJOIN(", ", TRUE, _xlpm.MyAuditVal, _xlpm.MacVal, _xlpm.CSVVal)
)</f>
        <v/>
      </c>
      <c r="P1202" s="40" t="str" cm="1">
        <f t="array" ref="P1202">IFERROR(_xlfn.LET(
_xlpm.CSVVal,_xlfn.XLOOKUP($A1202,CSV!$A:$A,CSV!AB:AB,""),
_xlpm.MacVal,_xlfn.XLOOKUP($A1202,Output_Mac!$A:$A,Output_Mac!T:T,""),
_xlpm.MyAuditVal,_xlfn.XLOOKUP($A1202,My_Audit!$A:$A,My_Audit!Q:Q,""),
_xlfn.IFS(_xlpm.MyAuditVal&lt;&gt;"",UPPER(_xlpm.MyAuditVal),_xlpm.MacVal&lt;&gt;"",_xlpm.MacVal,_xlpm.CSVVal&lt;&gt;"",_xlpm.CSVVal
)),"No")</f>
        <v>No</v>
      </c>
      <c r="Q1202" s="40" t="str" cm="1">
        <f t="array" ref="Q1202">IFERROR(_xlfn.LET(
_xlpm.CSVVal,_xlfn.XLOOKUP($A1202,CSV!$A:$A,CSV!AC:AC,""),
_xlpm.MacVal,_xlfn.XLOOKUP($A1202,Output_Mac!$A:$A,Output_Mac!U:U,""),
_xlpm.MyAuditVal,_xlfn.XLOOKUP($A1202,My_Audit!$A:$A,My_Audit!R:R,""),
_xlfn.IFS(_xlpm.MyAuditVal&lt;&gt;"",UPPER(_xlpm.MyAuditVal),_xlpm.MacVal&lt;&gt;"",_xlpm.MacVal,_xlpm.CSVVal&lt;&gt;"",_xlpm.CSVVal
)),"")</f>
        <v/>
      </c>
      <c r="R1202" s="40"/>
      <c r="S1202" s="40"/>
      <c r="T1202" s="40"/>
      <c r="U1202" s="40"/>
      <c r="V1202" s="40"/>
      <c r="W1202" s="40"/>
      <c r="X1202" s="41" t="str">
        <f>_xlfn.LET(
    _xlpm.MacVal, _xlfn.XLOOKUP($A1202, Output_Mac!$A:$A, Output_Mac!AB:AB, ""),
    _xlpm.MyAuditVal, _xlfn.XLOOKUP($A1202, My_Audit!$A:$A, My_Audit!N:N, ""),
    _xlfn.TEXTJOIN(", ", TRUE, _xlpm.MyAuditVal, _xlpm.MacVal)
)</f>
        <v/>
      </c>
    </row>
    <row r="1203" spans="1:24">
      <c r="A1203" s="40" t="str">
        <f>_xlfn.TEXTJOIN("",TRUE,Input!$B$2,ROW(My_Audit!A1202))</f>
        <v>X1202</v>
      </c>
      <c r="B1203" s="40" t="str">
        <f>_xlfn.TEXTJOIN("-",TRUE,"ITD",Input!$A$2,A1203)</f>
        <v>ITD-X1202</v>
      </c>
      <c r="C1203" s="40" t="str" cm="1">
        <f t="array" ref="C1203">IFERROR(_xlfn.LET(
_xlpm.CSVVal,_xlfn.XLOOKUP($A1203,CSV!$A:$A,CSV!B:B,""),
_xlpm.MacVal,_xlfn.XLOOKUP($A1203,Output_Mac!$A:$A,Output_Mac!B:B,""),
_xlpm.MyAuditVal,_xlfn.XLOOKUP($A1203,My_Audit!$A:$A,My_Audit!B:B,""),
_xlfn.IFS(_xlpm.MyAuditVal&lt;&gt;"",UPPER(_xlpm.MyAuditVal),_xlpm.MacVal&lt;&gt;"",_xlpm.MacVal,_xlpm.CSVVal&lt;&gt;"",_xlpm.CSVVal
)),"")</f>
        <v/>
      </c>
      <c r="D1203" s="40" t="str" cm="1">
        <f t="array" ref="D1203">IFERROR(_xlfn.LET(
_xlpm.CSVVal,_xlfn.XLOOKUP($A1203,CSV!$A:$A,CSV!D:D,""),
_xlpm.MacVal,_xlfn.XLOOKUP($A1203,Output_Mac!$A:$A,Output_Mac!C:C,""),
_xlpm.MyAuditVal,_xlfn.XLOOKUP($A1203,My_Audit!$A:$A,My_Audit!C:C,""),
_xlfn.IFS(_xlpm.MyAuditVal&lt;&gt;"",_xlpm.MyAuditVal,_xlpm.MacVal&lt;&gt;"",_xlpm.MacVal,_xlpm.CSVVal&lt;&gt;"",_xlpm.CSVVal
)),"")</f>
        <v/>
      </c>
      <c r="E1203" s="40" t="str">
        <f>_xlfn.XLOOKUP(A1203,My_Audit!A:A,My_Audit!D:D,"")</f>
        <v/>
      </c>
      <c r="F1203" s="40" t="str" cm="1">
        <f t="array" ref="F1203">IFERROR(_xlfn.LET(
_xlpm.CSVVal,_xlfn.XLOOKUP($A1203,CSV!$A:$A,CSV!F:F,""),
_xlpm.MacVal,_xlfn.XLOOKUP($A1203,Output_Mac!$A:$A,Output_Mac!E:E,""),
_xlpm.MyAuditVal,_xlfn.XLOOKUP($A1203,My_Audit!$A:$A,My_Audit!E:E,""),
_xlfn.IFS(_xlpm.MyAuditVal&lt;&gt;"",_xlpm.MyAuditVal,_xlpm.MacVal&lt;&gt;"",_xlpm.MacVal,_xlpm.CSVVal&lt;&gt;"",_xlpm.CSVVal
)),"")</f>
        <v/>
      </c>
      <c r="G1203" s="40" t="str" cm="1">
        <f t="array" ref="G1203">IFERROR(_xlfn.LET(
_xlpm.CSVVal,_xlfn.XLOOKUP($A1203,CSV!$A:$A,CSV!G:G,""),
_xlpm.MacVal,_xlfn.XLOOKUP($A1203,Output_Mac!$A:$A,Output_Mac!F:F,""),
_xlpm.MyAuditVal,_xlfn.XLOOKUP($A1203,My_Audit!$A:$A,My_Audit!F:F,""),
_xlfn.IFS(_xlpm.MyAuditVal&lt;&gt;"",_xlpm.MyAuditVal,_xlpm.MacVal&lt;&gt;"",_xlpm.MacVal,_xlpm.CSVVal&lt;&gt;"",PROPER(_xlpm.CSVVal)
)),"")</f>
        <v/>
      </c>
      <c r="H1203" s="40" t="str" cm="1">
        <f t="array" ref="H1203">IFERROR(_xlfn.LET(
_xlpm.CSVVal,_xlfn.XLOOKUP($A1203,CSV!$A:$A,CSV!H:H,""),
_xlpm.MacVal,_xlfn.XLOOKUP($A1203,Output_Mac!$A:$A,Output_Mac!H:H,""),
_xlpm.MyAuditVal,_xlfn.XLOOKUP($A1203,My_Audit!$A:$A,My_Audit!G:G,""),
_xlfn.IFS(_xlpm.MyAuditVal&lt;&gt;"",_xlpm.MyAuditVal,_xlpm.MacVal&lt;&gt;"",_xlpm.MacVal,_xlpm.CSVVal&lt;&gt;"",_xlpm.CSVVal
)),"")</f>
        <v/>
      </c>
      <c r="I1203" s="40" t="str">
        <f>_xlfn.XLOOKUP(A1203,Output_Mac!A:A,Output_Mac!I:I,"")</f>
        <v/>
      </c>
      <c r="J1203" s="40" t="str" cm="1">
        <f t="array" ref="J1203">IFERROR(_xlfn.LET(
_xlpm.CSVVal,_xlfn.XLOOKUP($A1203,CSV!$A:$A,CSV!I:I,""),
_xlpm.MacVal,_xlfn.XLOOKUP($A1203,Output_Mac!$A:$A,Output_Mac!J:J,""),
_xlpm.MyAuditVal,_xlfn.XLOOKUP($A1203,My_Audit!$A:$A,My_Audit!I:I,""),
_xlfn.IFS(_xlpm.MyAuditVal&lt;&gt;"",UPPER(_xlpm.MyAuditVal),_xlpm.MacVal&lt;&gt;"",_xlpm.MacVal,_xlpm.CSVVal&lt;&gt;"",_xlpm.CSVVal
)),"")</f>
        <v/>
      </c>
      <c r="K1203" s="40" t="str" cm="1">
        <f t="array" ref="K1203">IFERROR(_xlfn.LET(
_xlpm.CSVVal,_xlfn.XLOOKUP($A1203,CSV!$A:$A,CSV!K:K,""),
_xlpm.MacVal,_xlfn.XLOOKUP($A1203,Output_Mac!$A:$A,Output_Mac!K:K,""),
_xlpm.MyAuditVal,_xlfn.XLOOKUP($A1203,My_Audit!$A:$A,My_Audit!J:J,""),
_xlfn.IFS(_xlpm.MyAuditVal&lt;&gt;"",UPPER(_xlpm.MyAuditVal),_xlpm.MacVal&lt;&gt;"",_xlpm.MacVal,_xlpm.CSVVal&lt;&gt;"",_xlpm.CSVVal
)),"")</f>
        <v/>
      </c>
      <c r="L1203" s="40" t="str" cm="1">
        <f t="array" ref="L1203">IFERROR(_xlfn.LET(
_xlpm.CSVVal,_xlfn.XLOOKUP($A1203,CSV!$A:$A,CSV!P:P,""),
_xlpm.MacVal,_xlfn.XLOOKUP($A1203,Output_Mac!$A:$A,Output_Mac!L:L,""),
_xlpm.MyAuditVal,_xlfn.XLOOKUP($A1203,My_Audit!$A:$A,My_Audit!K:K,""),
_xlfn.IFS(_xlpm.MyAuditVal&lt;&gt;"",UPPER(_xlpm.MyAuditVal),_xlpm.MacVal&lt;&gt;"",_xlpm.MacVal,_xlpm.CSVVal&lt;&gt;"",_xlpm.CSVVal
)),"")</f>
        <v/>
      </c>
      <c r="M1203" s="40" t="str" cm="1">
        <f t="array" ref="M1203">IFERROR(_xlfn.LET(
_xlpm.CSVVal,_xlfn.XLOOKUP($A1203,CSV!$A:$A,CSV!Q:Q,""),
_xlpm.MacVal,_xlfn.XLOOKUP($A1203,Output_Mac!$A:$A,Output_Mac!M:M,""),
_xlpm.MyAuditVal,_xlfn.XLOOKUP($A1203,My_Audit!$A:$A,My_Audit!L:L,""),
_xlfn.IFS(_xlpm.MyAuditVal&lt;&gt;"",UPPER(_xlpm.MyAuditVal),_xlpm.MacVal&lt;&gt;"",_xlpm.MacVal,_xlpm.CSVVal&lt;&gt;"",_xlpm.CSVVal
)),"")</f>
        <v/>
      </c>
      <c r="N1203" s="40"/>
      <c r="O1203" s="40" t="str">
        <f>_xlfn.LET(
    _xlpm.CSVVal, _xlfn.XLOOKUP($A1203, CSV!$A:$A, CSV!AA:AA, ""),
    _xlpm.MacVal, _xlfn.XLOOKUP($A1203, Output_Mac!$A:$A, Output_Mac!S:S, ""),
    _xlpm.MyAuditVal, _xlfn.XLOOKUP($A1203, My_Audit!$A:$A, My_Audit!P:P, ""),
    _xlfn.TEXTJOIN(", ", TRUE, _xlpm.MyAuditVal, _xlpm.MacVal, _xlpm.CSVVal)
)</f>
        <v/>
      </c>
      <c r="P1203" s="40" t="str" cm="1">
        <f t="array" ref="P1203">IFERROR(_xlfn.LET(
_xlpm.CSVVal,_xlfn.XLOOKUP($A1203,CSV!$A:$A,CSV!AB:AB,""),
_xlpm.MacVal,_xlfn.XLOOKUP($A1203,Output_Mac!$A:$A,Output_Mac!T:T,""),
_xlpm.MyAuditVal,_xlfn.XLOOKUP($A1203,My_Audit!$A:$A,My_Audit!Q:Q,""),
_xlfn.IFS(_xlpm.MyAuditVal&lt;&gt;"",UPPER(_xlpm.MyAuditVal),_xlpm.MacVal&lt;&gt;"",_xlpm.MacVal,_xlpm.CSVVal&lt;&gt;"",_xlpm.CSVVal
)),"No")</f>
        <v>No</v>
      </c>
      <c r="Q1203" s="40" t="str" cm="1">
        <f t="array" ref="Q1203">IFERROR(_xlfn.LET(
_xlpm.CSVVal,_xlfn.XLOOKUP($A1203,CSV!$A:$A,CSV!AC:AC,""),
_xlpm.MacVal,_xlfn.XLOOKUP($A1203,Output_Mac!$A:$A,Output_Mac!U:U,""),
_xlpm.MyAuditVal,_xlfn.XLOOKUP($A1203,My_Audit!$A:$A,My_Audit!R:R,""),
_xlfn.IFS(_xlpm.MyAuditVal&lt;&gt;"",UPPER(_xlpm.MyAuditVal),_xlpm.MacVal&lt;&gt;"",_xlpm.MacVal,_xlpm.CSVVal&lt;&gt;"",_xlpm.CSVVal
)),"")</f>
        <v/>
      </c>
      <c r="R1203" s="40"/>
      <c r="S1203" s="40"/>
      <c r="T1203" s="40"/>
      <c r="U1203" s="40"/>
      <c r="V1203" s="40"/>
      <c r="W1203" s="40"/>
      <c r="X1203" s="41" t="str">
        <f>_xlfn.LET(
    _xlpm.MacVal, _xlfn.XLOOKUP($A1203, Output_Mac!$A:$A, Output_Mac!AB:AB, ""),
    _xlpm.MyAuditVal, _xlfn.XLOOKUP($A1203, My_Audit!$A:$A, My_Audit!N:N, ""),
    _xlfn.TEXTJOIN(", ", TRUE, _xlpm.MyAuditVal, _xlpm.MacVal)
)</f>
        <v/>
      </c>
    </row>
    <row r="1204" spans="1:24">
      <c r="A1204" s="40" t="str">
        <f>_xlfn.TEXTJOIN("",TRUE,Input!$B$2,ROW(My_Audit!A1203))</f>
        <v>X1203</v>
      </c>
      <c r="B1204" s="40" t="str">
        <f>_xlfn.TEXTJOIN("-",TRUE,"ITD",Input!$A$2,A1204)</f>
        <v>ITD-X1203</v>
      </c>
      <c r="C1204" s="40" t="str" cm="1">
        <f t="array" ref="C1204">IFERROR(_xlfn.LET(
_xlpm.CSVVal,_xlfn.XLOOKUP($A1204,CSV!$A:$A,CSV!B:B,""),
_xlpm.MacVal,_xlfn.XLOOKUP($A1204,Output_Mac!$A:$A,Output_Mac!B:B,""),
_xlpm.MyAuditVal,_xlfn.XLOOKUP($A1204,My_Audit!$A:$A,My_Audit!B:B,""),
_xlfn.IFS(_xlpm.MyAuditVal&lt;&gt;"",UPPER(_xlpm.MyAuditVal),_xlpm.MacVal&lt;&gt;"",_xlpm.MacVal,_xlpm.CSVVal&lt;&gt;"",_xlpm.CSVVal
)),"")</f>
        <v/>
      </c>
      <c r="D1204" s="40" t="str" cm="1">
        <f t="array" ref="D1204">IFERROR(_xlfn.LET(
_xlpm.CSVVal,_xlfn.XLOOKUP($A1204,CSV!$A:$A,CSV!D:D,""),
_xlpm.MacVal,_xlfn.XLOOKUP($A1204,Output_Mac!$A:$A,Output_Mac!C:C,""),
_xlpm.MyAuditVal,_xlfn.XLOOKUP($A1204,My_Audit!$A:$A,My_Audit!C:C,""),
_xlfn.IFS(_xlpm.MyAuditVal&lt;&gt;"",_xlpm.MyAuditVal,_xlpm.MacVal&lt;&gt;"",_xlpm.MacVal,_xlpm.CSVVal&lt;&gt;"",_xlpm.CSVVal
)),"")</f>
        <v/>
      </c>
      <c r="E1204" s="40" t="str">
        <f>_xlfn.XLOOKUP(A1204,My_Audit!A:A,My_Audit!D:D,"")</f>
        <v/>
      </c>
      <c r="F1204" s="40" t="str" cm="1">
        <f t="array" ref="F1204">IFERROR(_xlfn.LET(
_xlpm.CSVVal,_xlfn.XLOOKUP($A1204,CSV!$A:$A,CSV!F:F,""),
_xlpm.MacVal,_xlfn.XLOOKUP($A1204,Output_Mac!$A:$A,Output_Mac!E:E,""),
_xlpm.MyAuditVal,_xlfn.XLOOKUP($A1204,My_Audit!$A:$A,My_Audit!E:E,""),
_xlfn.IFS(_xlpm.MyAuditVal&lt;&gt;"",_xlpm.MyAuditVal,_xlpm.MacVal&lt;&gt;"",_xlpm.MacVal,_xlpm.CSVVal&lt;&gt;"",_xlpm.CSVVal
)),"")</f>
        <v/>
      </c>
      <c r="G1204" s="40" t="str" cm="1">
        <f t="array" ref="G1204">IFERROR(_xlfn.LET(
_xlpm.CSVVal,_xlfn.XLOOKUP($A1204,CSV!$A:$A,CSV!G:G,""),
_xlpm.MacVal,_xlfn.XLOOKUP($A1204,Output_Mac!$A:$A,Output_Mac!F:F,""),
_xlpm.MyAuditVal,_xlfn.XLOOKUP($A1204,My_Audit!$A:$A,My_Audit!F:F,""),
_xlfn.IFS(_xlpm.MyAuditVal&lt;&gt;"",_xlpm.MyAuditVal,_xlpm.MacVal&lt;&gt;"",_xlpm.MacVal,_xlpm.CSVVal&lt;&gt;"",PROPER(_xlpm.CSVVal)
)),"")</f>
        <v/>
      </c>
      <c r="H1204" s="40" t="str" cm="1">
        <f t="array" ref="H1204">IFERROR(_xlfn.LET(
_xlpm.CSVVal,_xlfn.XLOOKUP($A1204,CSV!$A:$A,CSV!H:H,""),
_xlpm.MacVal,_xlfn.XLOOKUP($A1204,Output_Mac!$A:$A,Output_Mac!H:H,""),
_xlpm.MyAuditVal,_xlfn.XLOOKUP($A1204,My_Audit!$A:$A,My_Audit!G:G,""),
_xlfn.IFS(_xlpm.MyAuditVal&lt;&gt;"",_xlpm.MyAuditVal,_xlpm.MacVal&lt;&gt;"",_xlpm.MacVal,_xlpm.CSVVal&lt;&gt;"",_xlpm.CSVVal
)),"")</f>
        <v/>
      </c>
      <c r="I1204" s="40" t="str">
        <f>_xlfn.XLOOKUP(A1204,Output_Mac!A:A,Output_Mac!I:I,"")</f>
        <v/>
      </c>
      <c r="J1204" s="40" t="str" cm="1">
        <f t="array" ref="J1204">IFERROR(_xlfn.LET(
_xlpm.CSVVal,_xlfn.XLOOKUP($A1204,CSV!$A:$A,CSV!I:I,""),
_xlpm.MacVal,_xlfn.XLOOKUP($A1204,Output_Mac!$A:$A,Output_Mac!J:J,""),
_xlpm.MyAuditVal,_xlfn.XLOOKUP($A1204,My_Audit!$A:$A,My_Audit!I:I,""),
_xlfn.IFS(_xlpm.MyAuditVal&lt;&gt;"",UPPER(_xlpm.MyAuditVal),_xlpm.MacVal&lt;&gt;"",_xlpm.MacVal,_xlpm.CSVVal&lt;&gt;"",_xlpm.CSVVal
)),"")</f>
        <v/>
      </c>
      <c r="K1204" s="40" t="str" cm="1">
        <f t="array" ref="K1204">IFERROR(_xlfn.LET(
_xlpm.CSVVal,_xlfn.XLOOKUP($A1204,CSV!$A:$A,CSV!K:K,""),
_xlpm.MacVal,_xlfn.XLOOKUP($A1204,Output_Mac!$A:$A,Output_Mac!K:K,""),
_xlpm.MyAuditVal,_xlfn.XLOOKUP($A1204,My_Audit!$A:$A,My_Audit!J:J,""),
_xlfn.IFS(_xlpm.MyAuditVal&lt;&gt;"",UPPER(_xlpm.MyAuditVal),_xlpm.MacVal&lt;&gt;"",_xlpm.MacVal,_xlpm.CSVVal&lt;&gt;"",_xlpm.CSVVal
)),"")</f>
        <v/>
      </c>
      <c r="L1204" s="40" t="str" cm="1">
        <f t="array" ref="L1204">IFERROR(_xlfn.LET(
_xlpm.CSVVal,_xlfn.XLOOKUP($A1204,CSV!$A:$A,CSV!P:P,""),
_xlpm.MacVal,_xlfn.XLOOKUP($A1204,Output_Mac!$A:$A,Output_Mac!L:L,""),
_xlpm.MyAuditVal,_xlfn.XLOOKUP($A1204,My_Audit!$A:$A,My_Audit!K:K,""),
_xlfn.IFS(_xlpm.MyAuditVal&lt;&gt;"",UPPER(_xlpm.MyAuditVal),_xlpm.MacVal&lt;&gt;"",_xlpm.MacVal,_xlpm.CSVVal&lt;&gt;"",_xlpm.CSVVal
)),"")</f>
        <v/>
      </c>
      <c r="M1204" s="40" t="str" cm="1">
        <f t="array" ref="M1204">IFERROR(_xlfn.LET(
_xlpm.CSVVal,_xlfn.XLOOKUP($A1204,CSV!$A:$A,CSV!Q:Q,""),
_xlpm.MacVal,_xlfn.XLOOKUP($A1204,Output_Mac!$A:$A,Output_Mac!M:M,""),
_xlpm.MyAuditVal,_xlfn.XLOOKUP($A1204,My_Audit!$A:$A,My_Audit!L:L,""),
_xlfn.IFS(_xlpm.MyAuditVal&lt;&gt;"",UPPER(_xlpm.MyAuditVal),_xlpm.MacVal&lt;&gt;"",_xlpm.MacVal,_xlpm.CSVVal&lt;&gt;"",_xlpm.CSVVal
)),"")</f>
        <v/>
      </c>
      <c r="N1204" s="40"/>
      <c r="O1204" s="40" t="str">
        <f>_xlfn.LET(
    _xlpm.CSVVal, _xlfn.XLOOKUP($A1204, CSV!$A:$A, CSV!AA:AA, ""),
    _xlpm.MacVal, _xlfn.XLOOKUP($A1204, Output_Mac!$A:$A, Output_Mac!S:S, ""),
    _xlpm.MyAuditVal, _xlfn.XLOOKUP($A1204, My_Audit!$A:$A, My_Audit!P:P, ""),
    _xlfn.TEXTJOIN(", ", TRUE, _xlpm.MyAuditVal, _xlpm.MacVal, _xlpm.CSVVal)
)</f>
        <v/>
      </c>
      <c r="P1204" s="40" t="str" cm="1">
        <f t="array" ref="P1204">IFERROR(_xlfn.LET(
_xlpm.CSVVal,_xlfn.XLOOKUP($A1204,CSV!$A:$A,CSV!AB:AB,""),
_xlpm.MacVal,_xlfn.XLOOKUP($A1204,Output_Mac!$A:$A,Output_Mac!T:T,""),
_xlpm.MyAuditVal,_xlfn.XLOOKUP($A1204,My_Audit!$A:$A,My_Audit!Q:Q,""),
_xlfn.IFS(_xlpm.MyAuditVal&lt;&gt;"",UPPER(_xlpm.MyAuditVal),_xlpm.MacVal&lt;&gt;"",_xlpm.MacVal,_xlpm.CSVVal&lt;&gt;"",_xlpm.CSVVal
)),"No")</f>
        <v>No</v>
      </c>
      <c r="Q1204" s="40" t="str" cm="1">
        <f t="array" ref="Q1204">IFERROR(_xlfn.LET(
_xlpm.CSVVal,_xlfn.XLOOKUP($A1204,CSV!$A:$A,CSV!AC:AC,""),
_xlpm.MacVal,_xlfn.XLOOKUP($A1204,Output_Mac!$A:$A,Output_Mac!U:U,""),
_xlpm.MyAuditVal,_xlfn.XLOOKUP($A1204,My_Audit!$A:$A,My_Audit!R:R,""),
_xlfn.IFS(_xlpm.MyAuditVal&lt;&gt;"",UPPER(_xlpm.MyAuditVal),_xlpm.MacVal&lt;&gt;"",_xlpm.MacVal,_xlpm.CSVVal&lt;&gt;"",_xlpm.CSVVal
)),"")</f>
        <v/>
      </c>
      <c r="R1204" s="40"/>
      <c r="S1204" s="40"/>
      <c r="T1204" s="40"/>
      <c r="U1204" s="40"/>
      <c r="V1204" s="40"/>
      <c r="W1204" s="40"/>
      <c r="X1204" s="41" t="str">
        <f>_xlfn.LET(
    _xlpm.MacVal, _xlfn.XLOOKUP($A1204, Output_Mac!$A:$A, Output_Mac!AB:AB, ""),
    _xlpm.MyAuditVal, _xlfn.XLOOKUP($A1204, My_Audit!$A:$A, My_Audit!N:N, ""),
    _xlfn.TEXTJOIN(", ", TRUE, _xlpm.MyAuditVal, _xlpm.MacVal)
)</f>
        <v/>
      </c>
    </row>
    <row r="1205" spans="1:24">
      <c r="A1205" s="40" t="str">
        <f>_xlfn.TEXTJOIN("",TRUE,Input!$B$2,ROW(My_Audit!A1204))</f>
        <v>X1204</v>
      </c>
      <c r="B1205" s="40" t="str">
        <f>_xlfn.TEXTJOIN("-",TRUE,"ITD",Input!$A$2,A1205)</f>
        <v>ITD-X1204</v>
      </c>
      <c r="C1205" s="40" t="str" cm="1">
        <f t="array" ref="C1205">IFERROR(_xlfn.LET(
_xlpm.CSVVal,_xlfn.XLOOKUP($A1205,CSV!$A:$A,CSV!B:B,""),
_xlpm.MacVal,_xlfn.XLOOKUP($A1205,Output_Mac!$A:$A,Output_Mac!B:B,""),
_xlpm.MyAuditVal,_xlfn.XLOOKUP($A1205,My_Audit!$A:$A,My_Audit!B:B,""),
_xlfn.IFS(_xlpm.MyAuditVal&lt;&gt;"",UPPER(_xlpm.MyAuditVal),_xlpm.MacVal&lt;&gt;"",_xlpm.MacVal,_xlpm.CSVVal&lt;&gt;"",_xlpm.CSVVal
)),"")</f>
        <v/>
      </c>
      <c r="D1205" s="40" t="str" cm="1">
        <f t="array" ref="D1205">IFERROR(_xlfn.LET(
_xlpm.CSVVal,_xlfn.XLOOKUP($A1205,CSV!$A:$A,CSV!D:D,""),
_xlpm.MacVal,_xlfn.XLOOKUP($A1205,Output_Mac!$A:$A,Output_Mac!C:C,""),
_xlpm.MyAuditVal,_xlfn.XLOOKUP($A1205,My_Audit!$A:$A,My_Audit!C:C,""),
_xlfn.IFS(_xlpm.MyAuditVal&lt;&gt;"",_xlpm.MyAuditVal,_xlpm.MacVal&lt;&gt;"",_xlpm.MacVal,_xlpm.CSVVal&lt;&gt;"",_xlpm.CSVVal
)),"")</f>
        <v/>
      </c>
      <c r="E1205" s="40" t="str">
        <f>_xlfn.XLOOKUP(A1205,My_Audit!A:A,My_Audit!D:D,"")</f>
        <v/>
      </c>
      <c r="F1205" s="40" t="str" cm="1">
        <f t="array" ref="F1205">IFERROR(_xlfn.LET(
_xlpm.CSVVal,_xlfn.XLOOKUP($A1205,CSV!$A:$A,CSV!F:F,""),
_xlpm.MacVal,_xlfn.XLOOKUP($A1205,Output_Mac!$A:$A,Output_Mac!E:E,""),
_xlpm.MyAuditVal,_xlfn.XLOOKUP($A1205,My_Audit!$A:$A,My_Audit!E:E,""),
_xlfn.IFS(_xlpm.MyAuditVal&lt;&gt;"",_xlpm.MyAuditVal,_xlpm.MacVal&lt;&gt;"",_xlpm.MacVal,_xlpm.CSVVal&lt;&gt;"",_xlpm.CSVVal
)),"")</f>
        <v/>
      </c>
      <c r="G1205" s="40" t="str" cm="1">
        <f t="array" ref="G1205">IFERROR(_xlfn.LET(
_xlpm.CSVVal,_xlfn.XLOOKUP($A1205,CSV!$A:$A,CSV!G:G,""),
_xlpm.MacVal,_xlfn.XLOOKUP($A1205,Output_Mac!$A:$A,Output_Mac!F:F,""),
_xlpm.MyAuditVal,_xlfn.XLOOKUP($A1205,My_Audit!$A:$A,My_Audit!F:F,""),
_xlfn.IFS(_xlpm.MyAuditVal&lt;&gt;"",_xlpm.MyAuditVal,_xlpm.MacVal&lt;&gt;"",_xlpm.MacVal,_xlpm.CSVVal&lt;&gt;"",PROPER(_xlpm.CSVVal)
)),"")</f>
        <v/>
      </c>
      <c r="H1205" s="40" t="str" cm="1">
        <f t="array" ref="H1205">IFERROR(_xlfn.LET(
_xlpm.CSVVal,_xlfn.XLOOKUP($A1205,CSV!$A:$A,CSV!H:H,""),
_xlpm.MacVal,_xlfn.XLOOKUP($A1205,Output_Mac!$A:$A,Output_Mac!H:H,""),
_xlpm.MyAuditVal,_xlfn.XLOOKUP($A1205,My_Audit!$A:$A,My_Audit!G:G,""),
_xlfn.IFS(_xlpm.MyAuditVal&lt;&gt;"",_xlpm.MyAuditVal,_xlpm.MacVal&lt;&gt;"",_xlpm.MacVal,_xlpm.CSVVal&lt;&gt;"",_xlpm.CSVVal
)),"")</f>
        <v/>
      </c>
      <c r="I1205" s="40" t="str">
        <f>_xlfn.XLOOKUP(A1205,Output_Mac!A:A,Output_Mac!I:I,"")</f>
        <v/>
      </c>
      <c r="J1205" s="40" t="str" cm="1">
        <f t="array" ref="J1205">IFERROR(_xlfn.LET(
_xlpm.CSVVal,_xlfn.XLOOKUP($A1205,CSV!$A:$A,CSV!I:I,""),
_xlpm.MacVal,_xlfn.XLOOKUP($A1205,Output_Mac!$A:$A,Output_Mac!J:J,""),
_xlpm.MyAuditVal,_xlfn.XLOOKUP($A1205,My_Audit!$A:$A,My_Audit!I:I,""),
_xlfn.IFS(_xlpm.MyAuditVal&lt;&gt;"",UPPER(_xlpm.MyAuditVal),_xlpm.MacVal&lt;&gt;"",_xlpm.MacVal,_xlpm.CSVVal&lt;&gt;"",_xlpm.CSVVal
)),"")</f>
        <v/>
      </c>
      <c r="K1205" s="40" t="str" cm="1">
        <f t="array" ref="K1205">IFERROR(_xlfn.LET(
_xlpm.CSVVal,_xlfn.XLOOKUP($A1205,CSV!$A:$A,CSV!K:K,""),
_xlpm.MacVal,_xlfn.XLOOKUP($A1205,Output_Mac!$A:$A,Output_Mac!K:K,""),
_xlpm.MyAuditVal,_xlfn.XLOOKUP($A1205,My_Audit!$A:$A,My_Audit!J:J,""),
_xlfn.IFS(_xlpm.MyAuditVal&lt;&gt;"",UPPER(_xlpm.MyAuditVal),_xlpm.MacVal&lt;&gt;"",_xlpm.MacVal,_xlpm.CSVVal&lt;&gt;"",_xlpm.CSVVal
)),"")</f>
        <v/>
      </c>
      <c r="L1205" s="40" t="str" cm="1">
        <f t="array" ref="L1205">IFERROR(_xlfn.LET(
_xlpm.CSVVal,_xlfn.XLOOKUP($A1205,CSV!$A:$A,CSV!P:P,""),
_xlpm.MacVal,_xlfn.XLOOKUP($A1205,Output_Mac!$A:$A,Output_Mac!L:L,""),
_xlpm.MyAuditVal,_xlfn.XLOOKUP($A1205,My_Audit!$A:$A,My_Audit!K:K,""),
_xlfn.IFS(_xlpm.MyAuditVal&lt;&gt;"",UPPER(_xlpm.MyAuditVal),_xlpm.MacVal&lt;&gt;"",_xlpm.MacVal,_xlpm.CSVVal&lt;&gt;"",_xlpm.CSVVal
)),"")</f>
        <v/>
      </c>
      <c r="M1205" s="40" t="str" cm="1">
        <f t="array" ref="M1205">IFERROR(_xlfn.LET(
_xlpm.CSVVal,_xlfn.XLOOKUP($A1205,CSV!$A:$A,CSV!Q:Q,""),
_xlpm.MacVal,_xlfn.XLOOKUP($A1205,Output_Mac!$A:$A,Output_Mac!M:M,""),
_xlpm.MyAuditVal,_xlfn.XLOOKUP($A1205,My_Audit!$A:$A,My_Audit!L:L,""),
_xlfn.IFS(_xlpm.MyAuditVal&lt;&gt;"",UPPER(_xlpm.MyAuditVal),_xlpm.MacVal&lt;&gt;"",_xlpm.MacVal,_xlpm.CSVVal&lt;&gt;"",_xlpm.CSVVal
)),"")</f>
        <v/>
      </c>
      <c r="N1205" s="40"/>
      <c r="O1205" s="40" t="str">
        <f>_xlfn.LET(
    _xlpm.CSVVal, _xlfn.XLOOKUP($A1205, CSV!$A:$A, CSV!AA:AA, ""),
    _xlpm.MacVal, _xlfn.XLOOKUP($A1205, Output_Mac!$A:$A, Output_Mac!S:S, ""),
    _xlpm.MyAuditVal, _xlfn.XLOOKUP($A1205, My_Audit!$A:$A, My_Audit!P:P, ""),
    _xlfn.TEXTJOIN(", ", TRUE, _xlpm.MyAuditVal, _xlpm.MacVal, _xlpm.CSVVal)
)</f>
        <v/>
      </c>
      <c r="P1205" s="40" t="str" cm="1">
        <f t="array" ref="P1205">IFERROR(_xlfn.LET(
_xlpm.CSVVal,_xlfn.XLOOKUP($A1205,CSV!$A:$A,CSV!AB:AB,""),
_xlpm.MacVal,_xlfn.XLOOKUP($A1205,Output_Mac!$A:$A,Output_Mac!T:T,""),
_xlpm.MyAuditVal,_xlfn.XLOOKUP($A1205,My_Audit!$A:$A,My_Audit!Q:Q,""),
_xlfn.IFS(_xlpm.MyAuditVal&lt;&gt;"",UPPER(_xlpm.MyAuditVal),_xlpm.MacVal&lt;&gt;"",_xlpm.MacVal,_xlpm.CSVVal&lt;&gt;"",_xlpm.CSVVal
)),"No")</f>
        <v>No</v>
      </c>
      <c r="Q1205" s="40" t="str" cm="1">
        <f t="array" ref="Q1205">IFERROR(_xlfn.LET(
_xlpm.CSVVal,_xlfn.XLOOKUP($A1205,CSV!$A:$A,CSV!AC:AC,""),
_xlpm.MacVal,_xlfn.XLOOKUP($A1205,Output_Mac!$A:$A,Output_Mac!U:U,""),
_xlpm.MyAuditVal,_xlfn.XLOOKUP($A1205,My_Audit!$A:$A,My_Audit!R:R,""),
_xlfn.IFS(_xlpm.MyAuditVal&lt;&gt;"",UPPER(_xlpm.MyAuditVal),_xlpm.MacVal&lt;&gt;"",_xlpm.MacVal,_xlpm.CSVVal&lt;&gt;"",_xlpm.CSVVal
)),"")</f>
        <v/>
      </c>
      <c r="R1205" s="40"/>
      <c r="S1205" s="40"/>
      <c r="T1205" s="40"/>
      <c r="U1205" s="40"/>
      <c r="V1205" s="40"/>
      <c r="W1205" s="40"/>
      <c r="X1205" s="41" t="str">
        <f>_xlfn.LET(
    _xlpm.MacVal, _xlfn.XLOOKUP($A1205, Output_Mac!$A:$A, Output_Mac!AB:AB, ""),
    _xlpm.MyAuditVal, _xlfn.XLOOKUP($A1205, My_Audit!$A:$A, My_Audit!N:N, ""),
    _xlfn.TEXTJOIN(", ", TRUE, _xlpm.MyAuditVal, _xlpm.MacVal)
)</f>
        <v/>
      </c>
    </row>
    <row r="1206" spans="1:24">
      <c r="A1206" s="40" t="str">
        <f>_xlfn.TEXTJOIN("",TRUE,Input!$B$2,ROW(My_Audit!A1205))</f>
        <v>X1205</v>
      </c>
      <c r="B1206" s="40" t="str">
        <f>_xlfn.TEXTJOIN("-",TRUE,"ITD",Input!$A$2,A1206)</f>
        <v>ITD-X1205</v>
      </c>
      <c r="C1206" s="40" t="str" cm="1">
        <f t="array" ref="C1206">IFERROR(_xlfn.LET(
_xlpm.CSVVal,_xlfn.XLOOKUP($A1206,CSV!$A:$A,CSV!B:B,""),
_xlpm.MacVal,_xlfn.XLOOKUP($A1206,Output_Mac!$A:$A,Output_Mac!B:B,""),
_xlpm.MyAuditVal,_xlfn.XLOOKUP($A1206,My_Audit!$A:$A,My_Audit!B:B,""),
_xlfn.IFS(_xlpm.MyAuditVal&lt;&gt;"",UPPER(_xlpm.MyAuditVal),_xlpm.MacVal&lt;&gt;"",_xlpm.MacVal,_xlpm.CSVVal&lt;&gt;"",_xlpm.CSVVal
)),"")</f>
        <v/>
      </c>
      <c r="D1206" s="40" t="str" cm="1">
        <f t="array" ref="D1206">IFERROR(_xlfn.LET(
_xlpm.CSVVal,_xlfn.XLOOKUP($A1206,CSV!$A:$A,CSV!D:D,""),
_xlpm.MacVal,_xlfn.XLOOKUP($A1206,Output_Mac!$A:$A,Output_Mac!C:C,""),
_xlpm.MyAuditVal,_xlfn.XLOOKUP($A1206,My_Audit!$A:$A,My_Audit!C:C,""),
_xlfn.IFS(_xlpm.MyAuditVal&lt;&gt;"",_xlpm.MyAuditVal,_xlpm.MacVal&lt;&gt;"",_xlpm.MacVal,_xlpm.CSVVal&lt;&gt;"",_xlpm.CSVVal
)),"")</f>
        <v/>
      </c>
      <c r="E1206" s="40" t="str">
        <f>_xlfn.XLOOKUP(A1206,My_Audit!A:A,My_Audit!D:D,"")</f>
        <v/>
      </c>
      <c r="F1206" s="40" t="str" cm="1">
        <f t="array" ref="F1206">IFERROR(_xlfn.LET(
_xlpm.CSVVal,_xlfn.XLOOKUP($A1206,CSV!$A:$A,CSV!F:F,""),
_xlpm.MacVal,_xlfn.XLOOKUP($A1206,Output_Mac!$A:$A,Output_Mac!E:E,""),
_xlpm.MyAuditVal,_xlfn.XLOOKUP($A1206,My_Audit!$A:$A,My_Audit!E:E,""),
_xlfn.IFS(_xlpm.MyAuditVal&lt;&gt;"",_xlpm.MyAuditVal,_xlpm.MacVal&lt;&gt;"",_xlpm.MacVal,_xlpm.CSVVal&lt;&gt;"",_xlpm.CSVVal
)),"")</f>
        <v/>
      </c>
      <c r="G1206" s="40" t="str" cm="1">
        <f t="array" ref="G1206">IFERROR(_xlfn.LET(
_xlpm.CSVVal,_xlfn.XLOOKUP($A1206,CSV!$A:$A,CSV!G:G,""),
_xlpm.MacVal,_xlfn.XLOOKUP($A1206,Output_Mac!$A:$A,Output_Mac!F:F,""),
_xlpm.MyAuditVal,_xlfn.XLOOKUP($A1206,My_Audit!$A:$A,My_Audit!F:F,""),
_xlfn.IFS(_xlpm.MyAuditVal&lt;&gt;"",_xlpm.MyAuditVal,_xlpm.MacVal&lt;&gt;"",_xlpm.MacVal,_xlpm.CSVVal&lt;&gt;"",PROPER(_xlpm.CSVVal)
)),"")</f>
        <v/>
      </c>
      <c r="H1206" s="40" t="str" cm="1">
        <f t="array" ref="H1206">IFERROR(_xlfn.LET(
_xlpm.CSVVal,_xlfn.XLOOKUP($A1206,CSV!$A:$A,CSV!H:H,""),
_xlpm.MacVal,_xlfn.XLOOKUP($A1206,Output_Mac!$A:$A,Output_Mac!H:H,""),
_xlpm.MyAuditVal,_xlfn.XLOOKUP($A1206,My_Audit!$A:$A,My_Audit!G:G,""),
_xlfn.IFS(_xlpm.MyAuditVal&lt;&gt;"",_xlpm.MyAuditVal,_xlpm.MacVal&lt;&gt;"",_xlpm.MacVal,_xlpm.CSVVal&lt;&gt;"",_xlpm.CSVVal
)),"")</f>
        <v/>
      </c>
      <c r="I1206" s="40" t="str">
        <f>_xlfn.XLOOKUP(A1206,Output_Mac!A:A,Output_Mac!I:I,"")</f>
        <v/>
      </c>
      <c r="J1206" s="40" t="str" cm="1">
        <f t="array" ref="J1206">IFERROR(_xlfn.LET(
_xlpm.CSVVal,_xlfn.XLOOKUP($A1206,CSV!$A:$A,CSV!I:I,""),
_xlpm.MacVal,_xlfn.XLOOKUP($A1206,Output_Mac!$A:$A,Output_Mac!J:J,""),
_xlpm.MyAuditVal,_xlfn.XLOOKUP($A1206,My_Audit!$A:$A,My_Audit!I:I,""),
_xlfn.IFS(_xlpm.MyAuditVal&lt;&gt;"",UPPER(_xlpm.MyAuditVal),_xlpm.MacVal&lt;&gt;"",_xlpm.MacVal,_xlpm.CSVVal&lt;&gt;"",_xlpm.CSVVal
)),"")</f>
        <v/>
      </c>
      <c r="K1206" s="40" t="str" cm="1">
        <f t="array" ref="K1206">IFERROR(_xlfn.LET(
_xlpm.CSVVal,_xlfn.XLOOKUP($A1206,CSV!$A:$A,CSV!K:K,""),
_xlpm.MacVal,_xlfn.XLOOKUP($A1206,Output_Mac!$A:$A,Output_Mac!K:K,""),
_xlpm.MyAuditVal,_xlfn.XLOOKUP($A1206,My_Audit!$A:$A,My_Audit!J:J,""),
_xlfn.IFS(_xlpm.MyAuditVal&lt;&gt;"",UPPER(_xlpm.MyAuditVal),_xlpm.MacVal&lt;&gt;"",_xlpm.MacVal,_xlpm.CSVVal&lt;&gt;"",_xlpm.CSVVal
)),"")</f>
        <v/>
      </c>
      <c r="L1206" s="40" t="str" cm="1">
        <f t="array" ref="L1206">IFERROR(_xlfn.LET(
_xlpm.CSVVal,_xlfn.XLOOKUP($A1206,CSV!$A:$A,CSV!P:P,""),
_xlpm.MacVal,_xlfn.XLOOKUP($A1206,Output_Mac!$A:$A,Output_Mac!L:L,""),
_xlpm.MyAuditVal,_xlfn.XLOOKUP($A1206,My_Audit!$A:$A,My_Audit!K:K,""),
_xlfn.IFS(_xlpm.MyAuditVal&lt;&gt;"",UPPER(_xlpm.MyAuditVal),_xlpm.MacVal&lt;&gt;"",_xlpm.MacVal,_xlpm.CSVVal&lt;&gt;"",_xlpm.CSVVal
)),"")</f>
        <v/>
      </c>
      <c r="M1206" s="40" t="str" cm="1">
        <f t="array" ref="M1206">IFERROR(_xlfn.LET(
_xlpm.CSVVal,_xlfn.XLOOKUP($A1206,CSV!$A:$A,CSV!Q:Q,""),
_xlpm.MacVal,_xlfn.XLOOKUP($A1206,Output_Mac!$A:$A,Output_Mac!M:M,""),
_xlpm.MyAuditVal,_xlfn.XLOOKUP($A1206,My_Audit!$A:$A,My_Audit!L:L,""),
_xlfn.IFS(_xlpm.MyAuditVal&lt;&gt;"",UPPER(_xlpm.MyAuditVal),_xlpm.MacVal&lt;&gt;"",_xlpm.MacVal,_xlpm.CSVVal&lt;&gt;"",_xlpm.CSVVal
)),"")</f>
        <v/>
      </c>
      <c r="N1206" s="40"/>
      <c r="O1206" s="40" t="str">
        <f>_xlfn.LET(
    _xlpm.CSVVal, _xlfn.XLOOKUP($A1206, CSV!$A:$A, CSV!AA:AA, ""),
    _xlpm.MacVal, _xlfn.XLOOKUP($A1206, Output_Mac!$A:$A, Output_Mac!S:S, ""),
    _xlpm.MyAuditVal, _xlfn.XLOOKUP($A1206, My_Audit!$A:$A, My_Audit!P:P, ""),
    _xlfn.TEXTJOIN(", ", TRUE, _xlpm.MyAuditVal, _xlpm.MacVal, _xlpm.CSVVal)
)</f>
        <v/>
      </c>
      <c r="P1206" s="40" t="str" cm="1">
        <f t="array" ref="P1206">IFERROR(_xlfn.LET(
_xlpm.CSVVal,_xlfn.XLOOKUP($A1206,CSV!$A:$A,CSV!AB:AB,""),
_xlpm.MacVal,_xlfn.XLOOKUP($A1206,Output_Mac!$A:$A,Output_Mac!T:T,""),
_xlpm.MyAuditVal,_xlfn.XLOOKUP($A1206,My_Audit!$A:$A,My_Audit!Q:Q,""),
_xlfn.IFS(_xlpm.MyAuditVal&lt;&gt;"",UPPER(_xlpm.MyAuditVal),_xlpm.MacVal&lt;&gt;"",_xlpm.MacVal,_xlpm.CSVVal&lt;&gt;"",_xlpm.CSVVal
)),"No")</f>
        <v>No</v>
      </c>
      <c r="Q1206" s="40" t="str" cm="1">
        <f t="array" ref="Q1206">IFERROR(_xlfn.LET(
_xlpm.CSVVal,_xlfn.XLOOKUP($A1206,CSV!$A:$A,CSV!AC:AC,""),
_xlpm.MacVal,_xlfn.XLOOKUP($A1206,Output_Mac!$A:$A,Output_Mac!U:U,""),
_xlpm.MyAuditVal,_xlfn.XLOOKUP($A1206,My_Audit!$A:$A,My_Audit!R:R,""),
_xlfn.IFS(_xlpm.MyAuditVal&lt;&gt;"",UPPER(_xlpm.MyAuditVal),_xlpm.MacVal&lt;&gt;"",_xlpm.MacVal,_xlpm.CSVVal&lt;&gt;"",_xlpm.CSVVal
)),"")</f>
        <v/>
      </c>
      <c r="R1206" s="40"/>
      <c r="S1206" s="40"/>
      <c r="T1206" s="40"/>
      <c r="U1206" s="40"/>
      <c r="V1206" s="40"/>
      <c r="W1206" s="40"/>
      <c r="X1206" s="41" t="str">
        <f>_xlfn.LET(
    _xlpm.MacVal, _xlfn.XLOOKUP($A1206, Output_Mac!$A:$A, Output_Mac!AB:AB, ""),
    _xlpm.MyAuditVal, _xlfn.XLOOKUP($A1206, My_Audit!$A:$A, My_Audit!N:N, ""),
    _xlfn.TEXTJOIN(", ", TRUE, _xlpm.MyAuditVal, _xlpm.MacVal)
)</f>
        <v/>
      </c>
    </row>
    <row r="1207" spans="1:24">
      <c r="A1207" s="40" t="str">
        <f>_xlfn.TEXTJOIN("",TRUE,Input!$B$2,ROW(My_Audit!A1206))</f>
        <v>X1206</v>
      </c>
      <c r="B1207" s="40" t="str">
        <f>_xlfn.TEXTJOIN("-",TRUE,"ITD",Input!$A$2,A1207)</f>
        <v>ITD-X1206</v>
      </c>
      <c r="C1207" s="40" t="str" cm="1">
        <f t="array" ref="C1207">IFERROR(_xlfn.LET(
_xlpm.CSVVal,_xlfn.XLOOKUP($A1207,CSV!$A:$A,CSV!B:B,""),
_xlpm.MacVal,_xlfn.XLOOKUP($A1207,Output_Mac!$A:$A,Output_Mac!B:B,""),
_xlpm.MyAuditVal,_xlfn.XLOOKUP($A1207,My_Audit!$A:$A,My_Audit!B:B,""),
_xlfn.IFS(_xlpm.MyAuditVal&lt;&gt;"",UPPER(_xlpm.MyAuditVal),_xlpm.MacVal&lt;&gt;"",_xlpm.MacVal,_xlpm.CSVVal&lt;&gt;"",_xlpm.CSVVal
)),"")</f>
        <v/>
      </c>
      <c r="D1207" s="40" t="str" cm="1">
        <f t="array" ref="D1207">IFERROR(_xlfn.LET(
_xlpm.CSVVal,_xlfn.XLOOKUP($A1207,CSV!$A:$A,CSV!D:D,""),
_xlpm.MacVal,_xlfn.XLOOKUP($A1207,Output_Mac!$A:$A,Output_Mac!C:C,""),
_xlpm.MyAuditVal,_xlfn.XLOOKUP($A1207,My_Audit!$A:$A,My_Audit!C:C,""),
_xlfn.IFS(_xlpm.MyAuditVal&lt;&gt;"",_xlpm.MyAuditVal,_xlpm.MacVal&lt;&gt;"",_xlpm.MacVal,_xlpm.CSVVal&lt;&gt;"",_xlpm.CSVVal
)),"")</f>
        <v/>
      </c>
      <c r="E1207" s="40" t="str">
        <f>_xlfn.XLOOKUP(A1207,My_Audit!A:A,My_Audit!D:D,"")</f>
        <v/>
      </c>
      <c r="F1207" s="40" t="str" cm="1">
        <f t="array" ref="F1207">IFERROR(_xlfn.LET(
_xlpm.CSVVal,_xlfn.XLOOKUP($A1207,CSV!$A:$A,CSV!F:F,""),
_xlpm.MacVal,_xlfn.XLOOKUP($A1207,Output_Mac!$A:$A,Output_Mac!E:E,""),
_xlpm.MyAuditVal,_xlfn.XLOOKUP($A1207,My_Audit!$A:$A,My_Audit!E:E,""),
_xlfn.IFS(_xlpm.MyAuditVal&lt;&gt;"",_xlpm.MyAuditVal,_xlpm.MacVal&lt;&gt;"",_xlpm.MacVal,_xlpm.CSVVal&lt;&gt;"",_xlpm.CSVVal
)),"")</f>
        <v/>
      </c>
      <c r="G1207" s="40" t="str" cm="1">
        <f t="array" ref="G1207">IFERROR(_xlfn.LET(
_xlpm.CSVVal,_xlfn.XLOOKUP($A1207,CSV!$A:$A,CSV!G:G,""),
_xlpm.MacVal,_xlfn.XLOOKUP($A1207,Output_Mac!$A:$A,Output_Mac!F:F,""),
_xlpm.MyAuditVal,_xlfn.XLOOKUP($A1207,My_Audit!$A:$A,My_Audit!F:F,""),
_xlfn.IFS(_xlpm.MyAuditVal&lt;&gt;"",_xlpm.MyAuditVal,_xlpm.MacVal&lt;&gt;"",_xlpm.MacVal,_xlpm.CSVVal&lt;&gt;"",PROPER(_xlpm.CSVVal)
)),"")</f>
        <v/>
      </c>
      <c r="H1207" s="40" t="str" cm="1">
        <f t="array" ref="H1207">IFERROR(_xlfn.LET(
_xlpm.CSVVal,_xlfn.XLOOKUP($A1207,CSV!$A:$A,CSV!H:H,""),
_xlpm.MacVal,_xlfn.XLOOKUP($A1207,Output_Mac!$A:$A,Output_Mac!H:H,""),
_xlpm.MyAuditVal,_xlfn.XLOOKUP($A1207,My_Audit!$A:$A,My_Audit!G:G,""),
_xlfn.IFS(_xlpm.MyAuditVal&lt;&gt;"",_xlpm.MyAuditVal,_xlpm.MacVal&lt;&gt;"",_xlpm.MacVal,_xlpm.CSVVal&lt;&gt;"",_xlpm.CSVVal
)),"")</f>
        <v/>
      </c>
      <c r="I1207" s="40" t="str">
        <f>_xlfn.XLOOKUP(A1207,Output_Mac!A:A,Output_Mac!I:I,"")</f>
        <v/>
      </c>
      <c r="J1207" s="40" t="str" cm="1">
        <f t="array" ref="J1207">IFERROR(_xlfn.LET(
_xlpm.CSVVal,_xlfn.XLOOKUP($A1207,CSV!$A:$A,CSV!I:I,""),
_xlpm.MacVal,_xlfn.XLOOKUP($A1207,Output_Mac!$A:$A,Output_Mac!J:J,""),
_xlpm.MyAuditVal,_xlfn.XLOOKUP($A1207,My_Audit!$A:$A,My_Audit!I:I,""),
_xlfn.IFS(_xlpm.MyAuditVal&lt;&gt;"",UPPER(_xlpm.MyAuditVal),_xlpm.MacVal&lt;&gt;"",_xlpm.MacVal,_xlpm.CSVVal&lt;&gt;"",_xlpm.CSVVal
)),"")</f>
        <v/>
      </c>
      <c r="K1207" s="40" t="str" cm="1">
        <f t="array" ref="K1207">IFERROR(_xlfn.LET(
_xlpm.CSVVal,_xlfn.XLOOKUP($A1207,CSV!$A:$A,CSV!K:K,""),
_xlpm.MacVal,_xlfn.XLOOKUP($A1207,Output_Mac!$A:$A,Output_Mac!K:K,""),
_xlpm.MyAuditVal,_xlfn.XLOOKUP($A1207,My_Audit!$A:$A,My_Audit!J:J,""),
_xlfn.IFS(_xlpm.MyAuditVal&lt;&gt;"",UPPER(_xlpm.MyAuditVal),_xlpm.MacVal&lt;&gt;"",_xlpm.MacVal,_xlpm.CSVVal&lt;&gt;"",_xlpm.CSVVal
)),"")</f>
        <v/>
      </c>
      <c r="L1207" s="40" t="str" cm="1">
        <f t="array" ref="L1207">IFERROR(_xlfn.LET(
_xlpm.CSVVal,_xlfn.XLOOKUP($A1207,CSV!$A:$A,CSV!P:P,""),
_xlpm.MacVal,_xlfn.XLOOKUP($A1207,Output_Mac!$A:$A,Output_Mac!L:L,""),
_xlpm.MyAuditVal,_xlfn.XLOOKUP($A1207,My_Audit!$A:$A,My_Audit!K:K,""),
_xlfn.IFS(_xlpm.MyAuditVal&lt;&gt;"",UPPER(_xlpm.MyAuditVal),_xlpm.MacVal&lt;&gt;"",_xlpm.MacVal,_xlpm.CSVVal&lt;&gt;"",_xlpm.CSVVal
)),"")</f>
        <v/>
      </c>
      <c r="M1207" s="40" t="str" cm="1">
        <f t="array" ref="M1207">IFERROR(_xlfn.LET(
_xlpm.CSVVal,_xlfn.XLOOKUP($A1207,CSV!$A:$A,CSV!Q:Q,""),
_xlpm.MacVal,_xlfn.XLOOKUP($A1207,Output_Mac!$A:$A,Output_Mac!M:M,""),
_xlpm.MyAuditVal,_xlfn.XLOOKUP($A1207,My_Audit!$A:$A,My_Audit!L:L,""),
_xlfn.IFS(_xlpm.MyAuditVal&lt;&gt;"",UPPER(_xlpm.MyAuditVal),_xlpm.MacVal&lt;&gt;"",_xlpm.MacVal,_xlpm.CSVVal&lt;&gt;"",_xlpm.CSVVal
)),"")</f>
        <v/>
      </c>
      <c r="N1207" s="40"/>
      <c r="O1207" s="40" t="str">
        <f>_xlfn.LET(
    _xlpm.CSVVal, _xlfn.XLOOKUP($A1207, CSV!$A:$A, CSV!AA:AA, ""),
    _xlpm.MacVal, _xlfn.XLOOKUP($A1207, Output_Mac!$A:$A, Output_Mac!S:S, ""),
    _xlpm.MyAuditVal, _xlfn.XLOOKUP($A1207, My_Audit!$A:$A, My_Audit!P:P, ""),
    _xlfn.TEXTJOIN(", ", TRUE, _xlpm.MyAuditVal, _xlpm.MacVal, _xlpm.CSVVal)
)</f>
        <v/>
      </c>
      <c r="P1207" s="40" t="str" cm="1">
        <f t="array" ref="P1207">IFERROR(_xlfn.LET(
_xlpm.CSVVal,_xlfn.XLOOKUP($A1207,CSV!$A:$A,CSV!AB:AB,""),
_xlpm.MacVal,_xlfn.XLOOKUP($A1207,Output_Mac!$A:$A,Output_Mac!T:T,""),
_xlpm.MyAuditVal,_xlfn.XLOOKUP($A1207,My_Audit!$A:$A,My_Audit!Q:Q,""),
_xlfn.IFS(_xlpm.MyAuditVal&lt;&gt;"",UPPER(_xlpm.MyAuditVal),_xlpm.MacVal&lt;&gt;"",_xlpm.MacVal,_xlpm.CSVVal&lt;&gt;"",_xlpm.CSVVal
)),"No")</f>
        <v>No</v>
      </c>
      <c r="Q1207" s="40" t="str" cm="1">
        <f t="array" ref="Q1207">IFERROR(_xlfn.LET(
_xlpm.CSVVal,_xlfn.XLOOKUP($A1207,CSV!$A:$A,CSV!AC:AC,""),
_xlpm.MacVal,_xlfn.XLOOKUP($A1207,Output_Mac!$A:$A,Output_Mac!U:U,""),
_xlpm.MyAuditVal,_xlfn.XLOOKUP($A1207,My_Audit!$A:$A,My_Audit!R:R,""),
_xlfn.IFS(_xlpm.MyAuditVal&lt;&gt;"",UPPER(_xlpm.MyAuditVal),_xlpm.MacVal&lt;&gt;"",_xlpm.MacVal,_xlpm.CSVVal&lt;&gt;"",_xlpm.CSVVal
)),"")</f>
        <v/>
      </c>
      <c r="R1207" s="40"/>
      <c r="S1207" s="40"/>
      <c r="T1207" s="40"/>
      <c r="U1207" s="40"/>
      <c r="V1207" s="40"/>
      <c r="W1207" s="40"/>
      <c r="X1207" s="41" t="str">
        <f>_xlfn.LET(
    _xlpm.MacVal, _xlfn.XLOOKUP($A1207, Output_Mac!$A:$A, Output_Mac!AB:AB, ""),
    _xlpm.MyAuditVal, _xlfn.XLOOKUP($A1207, My_Audit!$A:$A, My_Audit!N:N, ""),
    _xlfn.TEXTJOIN(", ", TRUE, _xlpm.MyAuditVal, _xlpm.MacVal)
)</f>
        <v/>
      </c>
    </row>
    <row r="1208" spans="1:24">
      <c r="A1208" s="40" t="str">
        <f>_xlfn.TEXTJOIN("",TRUE,Input!$B$2,ROW(My_Audit!A1207))</f>
        <v>X1207</v>
      </c>
      <c r="B1208" s="40" t="str">
        <f>_xlfn.TEXTJOIN("-",TRUE,"ITD",Input!$A$2,A1208)</f>
        <v>ITD-X1207</v>
      </c>
      <c r="C1208" s="40" t="str" cm="1">
        <f t="array" ref="C1208">IFERROR(_xlfn.LET(
_xlpm.CSVVal,_xlfn.XLOOKUP($A1208,CSV!$A:$A,CSV!B:B,""),
_xlpm.MacVal,_xlfn.XLOOKUP($A1208,Output_Mac!$A:$A,Output_Mac!B:B,""),
_xlpm.MyAuditVal,_xlfn.XLOOKUP($A1208,My_Audit!$A:$A,My_Audit!B:B,""),
_xlfn.IFS(_xlpm.MyAuditVal&lt;&gt;"",UPPER(_xlpm.MyAuditVal),_xlpm.MacVal&lt;&gt;"",_xlpm.MacVal,_xlpm.CSVVal&lt;&gt;"",_xlpm.CSVVal
)),"")</f>
        <v/>
      </c>
      <c r="D1208" s="40" t="str" cm="1">
        <f t="array" ref="D1208">IFERROR(_xlfn.LET(
_xlpm.CSVVal,_xlfn.XLOOKUP($A1208,CSV!$A:$A,CSV!D:D,""),
_xlpm.MacVal,_xlfn.XLOOKUP($A1208,Output_Mac!$A:$A,Output_Mac!C:C,""),
_xlpm.MyAuditVal,_xlfn.XLOOKUP($A1208,My_Audit!$A:$A,My_Audit!C:C,""),
_xlfn.IFS(_xlpm.MyAuditVal&lt;&gt;"",_xlpm.MyAuditVal,_xlpm.MacVal&lt;&gt;"",_xlpm.MacVal,_xlpm.CSVVal&lt;&gt;"",_xlpm.CSVVal
)),"")</f>
        <v/>
      </c>
      <c r="E1208" s="40" t="str">
        <f>_xlfn.XLOOKUP(A1208,My_Audit!A:A,My_Audit!D:D,"")</f>
        <v/>
      </c>
      <c r="F1208" s="40" t="str" cm="1">
        <f t="array" ref="F1208">IFERROR(_xlfn.LET(
_xlpm.CSVVal,_xlfn.XLOOKUP($A1208,CSV!$A:$A,CSV!F:F,""),
_xlpm.MacVal,_xlfn.XLOOKUP($A1208,Output_Mac!$A:$A,Output_Mac!E:E,""),
_xlpm.MyAuditVal,_xlfn.XLOOKUP($A1208,My_Audit!$A:$A,My_Audit!E:E,""),
_xlfn.IFS(_xlpm.MyAuditVal&lt;&gt;"",_xlpm.MyAuditVal,_xlpm.MacVal&lt;&gt;"",_xlpm.MacVal,_xlpm.CSVVal&lt;&gt;"",_xlpm.CSVVal
)),"")</f>
        <v/>
      </c>
      <c r="G1208" s="40" t="str" cm="1">
        <f t="array" ref="G1208">IFERROR(_xlfn.LET(
_xlpm.CSVVal,_xlfn.XLOOKUP($A1208,CSV!$A:$A,CSV!G:G,""),
_xlpm.MacVal,_xlfn.XLOOKUP($A1208,Output_Mac!$A:$A,Output_Mac!F:F,""),
_xlpm.MyAuditVal,_xlfn.XLOOKUP($A1208,My_Audit!$A:$A,My_Audit!F:F,""),
_xlfn.IFS(_xlpm.MyAuditVal&lt;&gt;"",_xlpm.MyAuditVal,_xlpm.MacVal&lt;&gt;"",_xlpm.MacVal,_xlpm.CSVVal&lt;&gt;"",PROPER(_xlpm.CSVVal)
)),"")</f>
        <v/>
      </c>
      <c r="H1208" s="40" t="str" cm="1">
        <f t="array" ref="H1208">IFERROR(_xlfn.LET(
_xlpm.CSVVal,_xlfn.XLOOKUP($A1208,CSV!$A:$A,CSV!H:H,""),
_xlpm.MacVal,_xlfn.XLOOKUP($A1208,Output_Mac!$A:$A,Output_Mac!H:H,""),
_xlpm.MyAuditVal,_xlfn.XLOOKUP($A1208,My_Audit!$A:$A,My_Audit!G:G,""),
_xlfn.IFS(_xlpm.MyAuditVal&lt;&gt;"",_xlpm.MyAuditVal,_xlpm.MacVal&lt;&gt;"",_xlpm.MacVal,_xlpm.CSVVal&lt;&gt;"",_xlpm.CSVVal
)),"")</f>
        <v/>
      </c>
      <c r="I1208" s="40" t="str">
        <f>_xlfn.XLOOKUP(A1208,Output_Mac!A:A,Output_Mac!I:I,"")</f>
        <v/>
      </c>
      <c r="J1208" s="40" t="str" cm="1">
        <f t="array" ref="J1208">IFERROR(_xlfn.LET(
_xlpm.CSVVal,_xlfn.XLOOKUP($A1208,CSV!$A:$A,CSV!I:I,""),
_xlpm.MacVal,_xlfn.XLOOKUP($A1208,Output_Mac!$A:$A,Output_Mac!J:J,""),
_xlpm.MyAuditVal,_xlfn.XLOOKUP($A1208,My_Audit!$A:$A,My_Audit!I:I,""),
_xlfn.IFS(_xlpm.MyAuditVal&lt;&gt;"",UPPER(_xlpm.MyAuditVal),_xlpm.MacVal&lt;&gt;"",_xlpm.MacVal,_xlpm.CSVVal&lt;&gt;"",_xlpm.CSVVal
)),"")</f>
        <v/>
      </c>
      <c r="K1208" s="40" t="str" cm="1">
        <f t="array" ref="K1208">IFERROR(_xlfn.LET(
_xlpm.CSVVal,_xlfn.XLOOKUP($A1208,CSV!$A:$A,CSV!K:K,""),
_xlpm.MacVal,_xlfn.XLOOKUP($A1208,Output_Mac!$A:$A,Output_Mac!K:K,""),
_xlpm.MyAuditVal,_xlfn.XLOOKUP($A1208,My_Audit!$A:$A,My_Audit!J:J,""),
_xlfn.IFS(_xlpm.MyAuditVal&lt;&gt;"",UPPER(_xlpm.MyAuditVal),_xlpm.MacVal&lt;&gt;"",_xlpm.MacVal,_xlpm.CSVVal&lt;&gt;"",_xlpm.CSVVal
)),"")</f>
        <v/>
      </c>
      <c r="L1208" s="40" t="str" cm="1">
        <f t="array" ref="L1208">IFERROR(_xlfn.LET(
_xlpm.CSVVal,_xlfn.XLOOKUP($A1208,CSV!$A:$A,CSV!P:P,""),
_xlpm.MacVal,_xlfn.XLOOKUP($A1208,Output_Mac!$A:$A,Output_Mac!L:L,""),
_xlpm.MyAuditVal,_xlfn.XLOOKUP($A1208,My_Audit!$A:$A,My_Audit!K:K,""),
_xlfn.IFS(_xlpm.MyAuditVal&lt;&gt;"",UPPER(_xlpm.MyAuditVal),_xlpm.MacVal&lt;&gt;"",_xlpm.MacVal,_xlpm.CSVVal&lt;&gt;"",_xlpm.CSVVal
)),"")</f>
        <v/>
      </c>
      <c r="M1208" s="40" t="str" cm="1">
        <f t="array" ref="M1208">IFERROR(_xlfn.LET(
_xlpm.CSVVal,_xlfn.XLOOKUP($A1208,CSV!$A:$A,CSV!Q:Q,""),
_xlpm.MacVal,_xlfn.XLOOKUP($A1208,Output_Mac!$A:$A,Output_Mac!M:M,""),
_xlpm.MyAuditVal,_xlfn.XLOOKUP($A1208,My_Audit!$A:$A,My_Audit!L:L,""),
_xlfn.IFS(_xlpm.MyAuditVal&lt;&gt;"",UPPER(_xlpm.MyAuditVal),_xlpm.MacVal&lt;&gt;"",_xlpm.MacVal,_xlpm.CSVVal&lt;&gt;"",_xlpm.CSVVal
)),"")</f>
        <v/>
      </c>
      <c r="N1208" s="40"/>
      <c r="O1208" s="40" t="str">
        <f>_xlfn.LET(
    _xlpm.CSVVal, _xlfn.XLOOKUP($A1208, CSV!$A:$A, CSV!AA:AA, ""),
    _xlpm.MacVal, _xlfn.XLOOKUP($A1208, Output_Mac!$A:$A, Output_Mac!S:S, ""),
    _xlpm.MyAuditVal, _xlfn.XLOOKUP($A1208, My_Audit!$A:$A, My_Audit!P:P, ""),
    _xlfn.TEXTJOIN(", ", TRUE, _xlpm.MyAuditVal, _xlpm.MacVal, _xlpm.CSVVal)
)</f>
        <v/>
      </c>
      <c r="P1208" s="40" t="str" cm="1">
        <f t="array" ref="P1208">IFERROR(_xlfn.LET(
_xlpm.CSVVal,_xlfn.XLOOKUP($A1208,CSV!$A:$A,CSV!AB:AB,""),
_xlpm.MacVal,_xlfn.XLOOKUP($A1208,Output_Mac!$A:$A,Output_Mac!T:T,""),
_xlpm.MyAuditVal,_xlfn.XLOOKUP($A1208,My_Audit!$A:$A,My_Audit!Q:Q,""),
_xlfn.IFS(_xlpm.MyAuditVal&lt;&gt;"",UPPER(_xlpm.MyAuditVal),_xlpm.MacVal&lt;&gt;"",_xlpm.MacVal,_xlpm.CSVVal&lt;&gt;"",_xlpm.CSVVal
)),"No")</f>
        <v>No</v>
      </c>
      <c r="Q1208" s="40" t="str" cm="1">
        <f t="array" ref="Q1208">IFERROR(_xlfn.LET(
_xlpm.CSVVal,_xlfn.XLOOKUP($A1208,CSV!$A:$A,CSV!AC:AC,""),
_xlpm.MacVal,_xlfn.XLOOKUP($A1208,Output_Mac!$A:$A,Output_Mac!U:U,""),
_xlpm.MyAuditVal,_xlfn.XLOOKUP($A1208,My_Audit!$A:$A,My_Audit!R:R,""),
_xlfn.IFS(_xlpm.MyAuditVal&lt;&gt;"",UPPER(_xlpm.MyAuditVal),_xlpm.MacVal&lt;&gt;"",_xlpm.MacVal,_xlpm.CSVVal&lt;&gt;"",_xlpm.CSVVal
)),"")</f>
        <v/>
      </c>
      <c r="R1208" s="40"/>
      <c r="S1208" s="40"/>
      <c r="T1208" s="40"/>
      <c r="U1208" s="40"/>
      <c r="V1208" s="40"/>
      <c r="W1208" s="40"/>
      <c r="X1208" s="41" t="str">
        <f>_xlfn.LET(
    _xlpm.MacVal, _xlfn.XLOOKUP($A1208, Output_Mac!$A:$A, Output_Mac!AB:AB, ""),
    _xlpm.MyAuditVal, _xlfn.XLOOKUP($A1208, My_Audit!$A:$A, My_Audit!N:N, ""),
    _xlfn.TEXTJOIN(", ", TRUE, _xlpm.MyAuditVal, _xlpm.MacVal)
)</f>
        <v/>
      </c>
    </row>
    <row r="1209" spans="1:24">
      <c r="A1209" s="40" t="str">
        <f>_xlfn.TEXTJOIN("",TRUE,Input!$B$2,ROW(My_Audit!A1208))</f>
        <v>X1208</v>
      </c>
      <c r="B1209" s="40" t="str">
        <f>_xlfn.TEXTJOIN("-",TRUE,"ITD",Input!$A$2,A1209)</f>
        <v>ITD-X1208</v>
      </c>
      <c r="C1209" s="40" t="str" cm="1">
        <f t="array" ref="C1209">IFERROR(_xlfn.LET(
_xlpm.CSVVal,_xlfn.XLOOKUP($A1209,CSV!$A:$A,CSV!B:B,""),
_xlpm.MacVal,_xlfn.XLOOKUP($A1209,Output_Mac!$A:$A,Output_Mac!B:B,""),
_xlpm.MyAuditVal,_xlfn.XLOOKUP($A1209,My_Audit!$A:$A,My_Audit!B:B,""),
_xlfn.IFS(_xlpm.MyAuditVal&lt;&gt;"",UPPER(_xlpm.MyAuditVal),_xlpm.MacVal&lt;&gt;"",_xlpm.MacVal,_xlpm.CSVVal&lt;&gt;"",_xlpm.CSVVal
)),"")</f>
        <v/>
      </c>
      <c r="D1209" s="40" t="str" cm="1">
        <f t="array" ref="D1209">IFERROR(_xlfn.LET(
_xlpm.CSVVal,_xlfn.XLOOKUP($A1209,CSV!$A:$A,CSV!D:D,""),
_xlpm.MacVal,_xlfn.XLOOKUP($A1209,Output_Mac!$A:$A,Output_Mac!C:C,""),
_xlpm.MyAuditVal,_xlfn.XLOOKUP($A1209,My_Audit!$A:$A,My_Audit!C:C,""),
_xlfn.IFS(_xlpm.MyAuditVal&lt;&gt;"",_xlpm.MyAuditVal,_xlpm.MacVal&lt;&gt;"",_xlpm.MacVal,_xlpm.CSVVal&lt;&gt;"",_xlpm.CSVVal
)),"")</f>
        <v/>
      </c>
      <c r="E1209" s="40" t="str">
        <f>_xlfn.XLOOKUP(A1209,My_Audit!A:A,My_Audit!D:D,"")</f>
        <v/>
      </c>
      <c r="F1209" s="40" t="str" cm="1">
        <f t="array" ref="F1209">IFERROR(_xlfn.LET(
_xlpm.CSVVal,_xlfn.XLOOKUP($A1209,CSV!$A:$A,CSV!F:F,""),
_xlpm.MacVal,_xlfn.XLOOKUP($A1209,Output_Mac!$A:$A,Output_Mac!E:E,""),
_xlpm.MyAuditVal,_xlfn.XLOOKUP($A1209,My_Audit!$A:$A,My_Audit!E:E,""),
_xlfn.IFS(_xlpm.MyAuditVal&lt;&gt;"",_xlpm.MyAuditVal,_xlpm.MacVal&lt;&gt;"",_xlpm.MacVal,_xlpm.CSVVal&lt;&gt;"",_xlpm.CSVVal
)),"")</f>
        <v/>
      </c>
      <c r="G1209" s="40" t="str" cm="1">
        <f t="array" ref="G1209">IFERROR(_xlfn.LET(
_xlpm.CSVVal,_xlfn.XLOOKUP($A1209,CSV!$A:$A,CSV!G:G,""),
_xlpm.MacVal,_xlfn.XLOOKUP($A1209,Output_Mac!$A:$A,Output_Mac!F:F,""),
_xlpm.MyAuditVal,_xlfn.XLOOKUP($A1209,My_Audit!$A:$A,My_Audit!F:F,""),
_xlfn.IFS(_xlpm.MyAuditVal&lt;&gt;"",_xlpm.MyAuditVal,_xlpm.MacVal&lt;&gt;"",_xlpm.MacVal,_xlpm.CSVVal&lt;&gt;"",PROPER(_xlpm.CSVVal)
)),"")</f>
        <v/>
      </c>
      <c r="H1209" s="40" t="str" cm="1">
        <f t="array" ref="H1209">IFERROR(_xlfn.LET(
_xlpm.CSVVal,_xlfn.XLOOKUP($A1209,CSV!$A:$A,CSV!H:H,""),
_xlpm.MacVal,_xlfn.XLOOKUP($A1209,Output_Mac!$A:$A,Output_Mac!H:H,""),
_xlpm.MyAuditVal,_xlfn.XLOOKUP($A1209,My_Audit!$A:$A,My_Audit!G:G,""),
_xlfn.IFS(_xlpm.MyAuditVal&lt;&gt;"",_xlpm.MyAuditVal,_xlpm.MacVal&lt;&gt;"",_xlpm.MacVal,_xlpm.CSVVal&lt;&gt;"",_xlpm.CSVVal
)),"")</f>
        <v/>
      </c>
      <c r="I1209" s="40" t="str">
        <f>_xlfn.XLOOKUP(A1209,Output_Mac!A:A,Output_Mac!I:I,"")</f>
        <v/>
      </c>
      <c r="J1209" s="40" t="str" cm="1">
        <f t="array" ref="J1209">IFERROR(_xlfn.LET(
_xlpm.CSVVal,_xlfn.XLOOKUP($A1209,CSV!$A:$A,CSV!I:I,""),
_xlpm.MacVal,_xlfn.XLOOKUP($A1209,Output_Mac!$A:$A,Output_Mac!J:J,""),
_xlpm.MyAuditVal,_xlfn.XLOOKUP($A1209,My_Audit!$A:$A,My_Audit!I:I,""),
_xlfn.IFS(_xlpm.MyAuditVal&lt;&gt;"",UPPER(_xlpm.MyAuditVal),_xlpm.MacVal&lt;&gt;"",_xlpm.MacVal,_xlpm.CSVVal&lt;&gt;"",_xlpm.CSVVal
)),"")</f>
        <v/>
      </c>
      <c r="K1209" s="40" t="str" cm="1">
        <f t="array" ref="K1209">IFERROR(_xlfn.LET(
_xlpm.CSVVal,_xlfn.XLOOKUP($A1209,CSV!$A:$A,CSV!K:K,""),
_xlpm.MacVal,_xlfn.XLOOKUP($A1209,Output_Mac!$A:$A,Output_Mac!K:K,""),
_xlpm.MyAuditVal,_xlfn.XLOOKUP($A1209,My_Audit!$A:$A,My_Audit!J:J,""),
_xlfn.IFS(_xlpm.MyAuditVal&lt;&gt;"",UPPER(_xlpm.MyAuditVal),_xlpm.MacVal&lt;&gt;"",_xlpm.MacVal,_xlpm.CSVVal&lt;&gt;"",_xlpm.CSVVal
)),"")</f>
        <v/>
      </c>
      <c r="L1209" s="40" t="str" cm="1">
        <f t="array" ref="L1209">IFERROR(_xlfn.LET(
_xlpm.CSVVal,_xlfn.XLOOKUP($A1209,CSV!$A:$A,CSV!P:P,""),
_xlpm.MacVal,_xlfn.XLOOKUP($A1209,Output_Mac!$A:$A,Output_Mac!L:L,""),
_xlpm.MyAuditVal,_xlfn.XLOOKUP($A1209,My_Audit!$A:$A,My_Audit!K:K,""),
_xlfn.IFS(_xlpm.MyAuditVal&lt;&gt;"",UPPER(_xlpm.MyAuditVal),_xlpm.MacVal&lt;&gt;"",_xlpm.MacVal,_xlpm.CSVVal&lt;&gt;"",_xlpm.CSVVal
)),"")</f>
        <v/>
      </c>
      <c r="M1209" s="40" t="str" cm="1">
        <f t="array" ref="M1209">IFERROR(_xlfn.LET(
_xlpm.CSVVal,_xlfn.XLOOKUP($A1209,CSV!$A:$A,CSV!Q:Q,""),
_xlpm.MacVal,_xlfn.XLOOKUP($A1209,Output_Mac!$A:$A,Output_Mac!M:M,""),
_xlpm.MyAuditVal,_xlfn.XLOOKUP($A1209,My_Audit!$A:$A,My_Audit!L:L,""),
_xlfn.IFS(_xlpm.MyAuditVal&lt;&gt;"",UPPER(_xlpm.MyAuditVal),_xlpm.MacVal&lt;&gt;"",_xlpm.MacVal,_xlpm.CSVVal&lt;&gt;"",_xlpm.CSVVal
)),"")</f>
        <v/>
      </c>
      <c r="N1209" s="40"/>
      <c r="O1209" s="40" t="str">
        <f>_xlfn.LET(
    _xlpm.CSVVal, _xlfn.XLOOKUP($A1209, CSV!$A:$A, CSV!AA:AA, ""),
    _xlpm.MacVal, _xlfn.XLOOKUP($A1209, Output_Mac!$A:$A, Output_Mac!S:S, ""),
    _xlpm.MyAuditVal, _xlfn.XLOOKUP($A1209, My_Audit!$A:$A, My_Audit!P:P, ""),
    _xlfn.TEXTJOIN(", ", TRUE, _xlpm.MyAuditVal, _xlpm.MacVal, _xlpm.CSVVal)
)</f>
        <v/>
      </c>
      <c r="P1209" s="40" t="str" cm="1">
        <f t="array" ref="P1209">IFERROR(_xlfn.LET(
_xlpm.CSVVal,_xlfn.XLOOKUP($A1209,CSV!$A:$A,CSV!AB:AB,""),
_xlpm.MacVal,_xlfn.XLOOKUP($A1209,Output_Mac!$A:$A,Output_Mac!T:T,""),
_xlpm.MyAuditVal,_xlfn.XLOOKUP($A1209,My_Audit!$A:$A,My_Audit!Q:Q,""),
_xlfn.IFS(_xlpm.MyAuditVal&lt;&gt;"",UPPER(_xlpm.MyAuditVal),_xlpm.MacVal&lt;&gt;"",_xlpm.MacVal,_xlpm.CSVVal&lt;&gt;"",_xlpm.CSVVal
)),"No")</f>
        <v>No</v>
      </c>
      <c r="Q1209" s="40" t="str" cm="1">
        <f t="array" ref="Q1209">IFERROR(_xlfn.LET(
_xlpm.CSVVal,_xlfn.XLOOKUP($A1209,CSV!$A:$A,CSV!AC:AC,""),
_xlpm.MacVal,_xlfn.XLOOKUP($A1209,Output_Mac!$A:$A,Output_Mac!U:U,""),
_xlpm.MyAuditVal,_xlfn.XLOOKUP($A1209,My_Audit!$A:$A,My_Audit!R:R,""),
_xlfn.IFS(_xlpm.MyAuditVal&lt;&gt;"",UPPER(_xlpm.MyAuditVal),_xlpm.MacVal&lt;&gt;"",_xlpm.MacVal,_xlpm.CSVVal&lt;&gt;"",_xlpm.CSVVal
)),"")</f>
        <v/>
      </c>
      <c r="R1209" s="40"/>
      <c r="S1209" s="40"/>
      <c r="T1209" s="40"/>
      <c r="U1209" s="40"/>
      <c r="V1209" s="40"/>
      <c r="W1209" s="40"/>
      <c r="X1209" s="41" t="str">
        <f>_xlfn.LET(
    _xlpm.MacVal, _xlfn.XLOOKUP($A1209, Output_Mac!$A:$A, Output_Mac!AB:AB, ""),
    _xlpm.MyAuditVal, _xlfn.XLOOKUP($A1209, My_Audit!$A:$A, My_Audit!N:N, ""),
    _xlfn.TEXTJOIN(", ", TRUE, _xlpm.MyAuditVal, _xlpm.MacVal)
)</f>
        <v/>
      </c>
    </row>
    <row r="1210" spans="1:24">
      <c r="A1210" s="40" t="str">
        <f>_xlfn.TEXTJOIN("",TRUE,Input!$B$2,ROW(My_Audit!A1209))</f>
        <v>X1209</v>
      </c>
      <c r="B1210" s="40" t="str">
        <f>_xlfn.TEXTJOIN("-",TRUE,"ITD",Input!$A$2,A1210)</f>
        <v>ITD-X1209</v>
      </c>
      <c r="C1210" s="40" t="str" cm="1">
        <f t="array" ref="C1210">IFERROR(_xlfn.LET(
_xlpm.CSVVal,_xlfn.XLOOKUP($A1210,CSV!$A:$A,CSV!B:B,""),
_xlpm.MacVal,_xlfn.XLOOKUP($A1210,Output_Mac!$A:$A,Output_Mac!B:B,""),
_xlpm.MyAuditVal,_xlfn.XLOOKUP($A1210,My_Audit!$A:$A,My_Audit!B:B,""),
_xlfn.IFS(_xlpm.MyAuditVal&lt;&gt;"",UPPER(_xlpm.MyAuditVal),_xlpm.MacVal&lt;&gt;"",_xlpm.MacVal,_xlpm.CSVVal&lt;&gt;"",_xlpm.CSVVal
)),"")</f>
        <v/>
      </c>
      <c r="D1210" s="40" t="str" cm="1">
        <f t="array" ref="D1210">IFERROR(_xlfn.LET(
_xlpm.CSVVal,_xlfn.XLOOKUP($A1210,CSV!$A:$A,CSV!D:D,""),
_xlpm.MacVal,_xlfn.XLOOKUP($A1210,Output_Mac!$A:$A,Output_Mac!C:C,""),
_xlpm.MyAuditVal,_xlfn.XLOOKUP($A1210,My_Audit!$A:$A,My_Audit!C:C,""),
_xlfn.IFS(_xlpm.MyAuditVal&lt;&gt;"",_xlpm.MyAuditVal,_xlpm.MacVal&lt;&gt;"",_xlpm.MacVal,_xlpm.CSVVal&lt;&gt;"",_xlpm.CSVVal
)),"")</f>
        <v/>
      </c>
      <c r="E1210" s="40" t="str">
        <f>_xlfn.XLOOKUP(A1210,My_Audit!A:A,My_Audit!D:D,"")</f>
        <v/>
      </c>
      <c r="F1210" s="40" t="str" cm="1">
        <f t="array" ref="F1210">IFERROR(_xlfn.LET(
_xlpm.CSVVal,_xlfn.XLOOKUP($A1210,CSV!$A:$A,CSV!F:F,""),
_xlpm.MacVal,_xlfn.XLOOKUP($A1210,Output_Mac!$A:$A,Output_Mac!E:E,""),
_xlpm.MyAuditVal,_xlfn.XLOOKUP($A1210,My_Audit!$A:$A,My_Audit!E:E,""),
_xlfn.IFS(_xlpm.MyAuditVal&lt;&gt;"",_xlpm.MyAuditVal,_xlpm.MacVal&lt;&gt;"",_xlpm.MacVal,_xlpm.CSVVal&lt;&gt;"",_xlpm.CSVVal
)),"")</f>
        <v/>
      </c>
      <c r="G1210" s="40" t="str" cm="1">
        <f t="array" ref="G1210">IFERROR(_xlfn.LET(
_xlpm.CSVVal,_xlfn.XLOOKUP($A1210,CSV!$A:$A,CSV!G:G,""),
_xlpm.MacVal,_xlfn.XLOOKUP($A1210,Output_Mac!$A:$A,Output_Mac!F:F,""),
_xlpm.MyAuditVal,_xlfn.XLOOKUP($A1210,My_Audit!$A:$A,My_Audit!F:F,""),
_xlfn.IFS(_xlpm.MyAuditVal&lt;&gt;"",_xlpm.MyAuditVal,_xlpm.MacVal&lt;&gt;"",_xlpm.MacVal,_xlpm.CSVVal&lt;&gt;"",PROPER(_xlpm.CSVVal)
)),"")</f>
        <v/>
      </c>
      <c r="H1210" s="40" t="str" cm="1">
        <f t="array" ref="H1210">IFERROR(_xlfn.LET(
_xlpm.CSVVal,_xlfn.XLOOKUP($A1210,CSV!$A:$A,CSV!H:H,""),
_xlpm.MacVal,_xlfn.XLOOKUP($A1210,Output_Mac!$A:$A,Output_Mac!H:H,""),
_xlpm.MyAuditVal,_xlfn.XLOOKUP($A1210,My_Audit!$A:$A,My_Audit!G:G,""),
_xlfn.IFS(_xlpm.MyAuditVal&lt;&gt;"",_xlpm.MyAuditVal,_xlpm.MacVal&lt;&gt;"",_xlpm.MacVal,_xlpm.CSVVal&lt;&gt;"",_xlpm.CSVVal
)),"")</f>
        <v/>
      </c>
      <c r="I1210" s="40" t="str">
        <f>_xlfn.XLOOKUP(A1210,Output_Mac!A:A,Output_Mac!I:I,"")</f>
        <v/>
      </c>
      <c r="J1210" s="40" t="str" cm="1">
        <f t="array" ref="J1210">IFERROR(_xlfn.LET(
_xlpm.CSVVal,_xlfn.XLOOKUP($A1210,CSV!$A:$A,CSV!I:I,""),
_xlpm.MacVal,_xlfn.XLOOKUP($A1210,Output_Mac!$A:$A,Output_Mac!J:J,""),
_xlpm.MyAuditVal,_xlfn.XLOOKUP($A1210,My_Audit!$A:$A,My_Audit!I:I,""),
_xlfn.IFS(_xlpm.MyAuditVal&lt;&gt;"",UPPER(_xlpm.MyAuditVal),_xlpm.MacVal&lt;&gt;"",_xlpm.MacVal,_xlpm.CSVVal&lt;&gt;"",_xlpm.CSVVal
)),"")</f>
        <v/>
      </c>
      <c r="K1210" s="40" t="str" cm="1">
        <f t="array" ref="K1210">IFERROR(_xlfn.LET(
_xlpm.CSVVal,_xlfn.XLOOKUP($A1210,CSV!$A:$A,CSV!K:K,""),
_xlpm.MacVal,_xlfn.XLOOKUP($A1210,Output_Mac!$A:$A,Output_Mac!K:K,""),
_xlpm.MyAuditVal,_xlfn.XLOOKUP($A1210,My_Audit!$A:$A,My_Audit!J:J,""),
_xlfn.IFS(_xlpm.MyAuditVal&lt;&gt;"",UPPER(_xlpm.MyAuditVal),_xlpm.MacVal&lt;&gt;"",_xlpm.MacVal,_xlpm.CSVVal&lt;&gt;"",_xlpm.CSVVal
)),"")</f>
        <v/>
      </c>
      <c r="L1210" s="40" t="str" cm="1">
        <f t="array" ref="L1210">IFERROR(_xlfn.LET(
_xlpm.CSVVal,_xlfn.XLOOKUP($A1210,CSV!$A:$A,CSV!P:P,""),
_xlpm.MacVal,_xlfn.XLOOKUP($A1210,Output_Mac!$A:$A,Output_Mac!L:L,""),
_xlpm.MyAuditVal,_xlfn.XLOOKUP($A1210,My_Audit!$A:$A,My_Audit!K:K,""),
_xlfn.IFS(_xlpm.MyAuditVal&lt;&gt;"",UPPER(_xlpm.MyAuditVal),_xlpm.MacVal&lt;&gt;"",_xlpm.MacVal,_xlpm.CSVVal&lt;&gt;"",_xlpm.CSVVal
)),"")</f>
        <v/>
      </c>
      <c r="M1210" s="40" t="str" cm="1">
        <f t="array" ref="M1210">IFERROR(_xlfn.LET(
_xlpm.CSVVal,_xlfn.XLOOKUP($A1210,CSV!$A:$A,CSV!Q:Q,""),
_xlpm.MacVal,_xlfn.XLOOKUP($A1210,Output_Mac!$A:$A,Output_Mac!M:M,""),
_xlpm.MyAuditVal,_xlfn.XLOOKUP($A1210,My_Audit!$A:$A,My_Audit!L:L,""),
_xlfn.IFS(_xlpm.MyAuditVal&lt;&gt;"",UPPER(_xlpm.MyAuditVal),_xlpm.MacVal&lt;&gt;"",_xlpm.MacVal,_xlpm.CSVVal&lt;&gt;"",_xlpm.CSVVal
)),"")</f>
        <v/>
      </c>
      <c r="N1210" s="40"/>
      <c r="O1210" s="40" t="str">
        <f>_xlfn.LET(
    _xlpm.CSVVal, _xlfn.XLOOKUP($A1210, CSV!$A:$A, CSV!AA:AA, ""),
    _xlpm.MacVal, _xlfn.XLOOKUP($A1210, Output_Mac!$A:$A, Output_Mac!S:S, ""),
    _xlpm.MyAuditVal, _xlfn.XLOOKUP($A1210, My_Audit!$A:$A, My_Audit!P:P, ""),
    _xlfn.TEXTJOIN(", ", TRUE, _xlpm.MyAuditVal, _xlpm.MacVal, _xlpm.CSVVal)
)</f>
        <v/>
      </c>
      <c r="P1210" s="40" t="str" cm="1">
        <f t="array" ref="P1210">IFERROR(_xlfn.LET(
_xlpm.CSVVal,_xlfn.XLOOKUP($A1210,CSV!$A:$A,CSV!AB:AB,""),
_xlpm.MacVal,_xlfn.XLOOKUP($A1210,Output_Mac!$A:$A,Output_Mac!T:T,""),
_xlpm.MyAuditVal,_xlfn.XLOOKUP($A1210,My_Audit!$A:$A,My_Audit!Q:Q,""),
_xlfn.IFS(_xlpm.MyAuditVal&lt;&gt;"",UPPER(_xlpm.MyAuditVal),_xlpm.MacVal&lt;&gt;"",_xlpm.MacVal,_xlpm.CSVVal&lt;&gt;"",_xlpm.CSVVal
)),"No")</f>
        <v>No</v>
      </c>
      <c r="Q1210" s="40" t="str" cm="1">
        <f t="array" ref="Q1210">IFERROR(_xlfn.LET(
_xlpm.CSVVal,_xlfn.XLOOKUP($A1210,CSV!$A:$A,CSV!AC:AC,""),
_xlpm.MacVal,_xlfn.XLOOKUP($A1210,Output_Mac!$A:$A,Output_Mac!U:U,""),
_xlpm.MyAuditVal,_xlfn.XLOOKUP($A1210,My_Audit!$A:$A,My_Audit!R:R,""),
_xlfn.IFS(_xlpm.MyAuditVal&lt;&gt;"",UPPER(_xlpm.MyAuditVal),_xlpm.MacVal&lt;&gt;"",_xlpm.MacVal,_xlpm.CSVVal&lt;&gt;"",_xlpm.CSVVal
)),"")</f>
        <v/>
      </c>
      <c r="R1210" s="40"/>
      <c r="S1210" s="40"/>
      <c r="T1210" s="40"/>
      <c r="U1210" s="40"/>
      <c r="V1210" s="40"/>
      <c r="W1210" s="40"/>
      <c r="X1210" s="41" t="str">
        <f>_xlfn.LET(
    _xlpm.MacVal, _xlfn.XLOOKUP($A1210, Output_Mac!$A:$A, Output_Mac!AB:AB, ""),
    _xlpm.MyAuditVal, _xlfn.XLOOKUP($A1210, My_Audit!$A:$A, My_Audit!N:N, ""),
    _xlfn.TEXTJOIN(", ", TRUE, _xlpm.MyAuditVal, _xlpm.MacVal)
)</f>
        <v/>
      </c>
    </row>
    <row r="1211" spans="1:24">
      <c r="A1211" s="40" t="str">
        <f>_xlfn.TEXTJOIN("",TRUE,Input!$B$2,ROW(My_Audit!A1210))</f>
        <v>X1210</v>
      </c>
      <c r="B1211" s="40" t="str">
        <f>_xlfn.TEXTJOIN("-",TRUE,"ITD",Input!$A$2,A1211)</f>
        <v>ITD-X1210</v>
      </c>
      <c r="C1211" s="40" t="str" cm="1">
        <f t="array" ref="C1211">IFERROR(_xlfn.LET(
_xlpm.CSVVal,_xlfn.XLOOKUP($A1211,CSV!$A:$A,CSV!B:B,""),
_xlpm.MacVal,_xlfn.XLOOKUP($A1211,Output_Mac!$A:$A,Output_Mac!B:B,""),
_xlpm.MyAuditVal,_xlfn.XLOOKUP($A1211,My_Audit!$A:$A,My_Audit!B:B,""),
_xlfn.IFS(_xlpm.MyAuditVal&lt;&gt;"",UPPER(_xlpm.MyAuditVal),_xlpm.MacVal&lt;&gt;"",_xlpm.MacVal,_xlpm.CSVVal&lt;&gt;"",_xlpm.CSVVal
)),"")</f>
        <v/>
      </c>
      <c r="D1211" s="40" t="str" cm="1">
        <f t="array" ref="D1211">IFERROR(_xlfn.LET(
_xlpm.CSVVal,_xlfn.XLOOKUP($A1211,CSV!$A:$A,CSV!D:D,""),
_xlpm.MacVal,_xlfn.XLOOKUP($A1211,Output_Mac!$A:$A,Output_Mac!C:C,""),
_xlpm.MyAuditVal,_xlfn.XLOOKUP($A1211,My_Audit!$A:$A,My_Audit!C:C,""),
_xlfn.IFS(_xlpm.MyAuditVal&lt;&gt;"",_xlpm.MyAuditVal,_xlpm.MacVal&lt;&gt;"",_xlpm.MacVal,_xlpm.CSVVal&lt;&gt;"",_xlpm.CSVVal
)),"")</f>
        <v/>
      </c>
      <c r="E1211" s="40" t="str">
        <f>_xlfn.XLOOKUP(A1211,My_Audit!A:A,My_Audit!D:D,"")</f>
        <v/>
      </c>
      <c r="F1211" s="40" t="str" cm="1">
        <f t="array" ref="F1211">IFERROR(_xlfn.LET(
_xlpm.CSVVal,_xlfn.XLOOKUP($A1211,CSV!$A:$A,CSV!F:F,""),
_xlpm.MacVal,_xlfn.XLOOKUP($A1211,Output_Mac!$A:$A,Output_Mac!E:E,""),
_xlpm.MyAuditVal,_xlfn.XLOOKUP($A1211,My_Audit!$A:$A,My_Audit!E:E,""),
_xlfn.IFS(_xlpm.MyAuditVal&lt;&gt;"",_xlpm.MyAuditVal,_xlpm.MacVal&lt;&gt;"",_xlpm.MacVal,_xlpm.CSVVal&lt;&gt;"",_xlpm.CSVVal
)),"")</f>
        <v/>
      </c>
      <c r="G1211" s="40" t="str" cm="1">
        <f t="array" ref="G1211">IFERROR(_xlfn.LET(
_xlpm.CSVVal,_xlfn.XLOOKUP($A1211,CSV!$A:$A,CSV!G:G,""),
_xlpm.MacVal,_xlfn.XLOOKUP($A1211,Output_Mac!$A:$A,Output_Mac!F:F,""),
_xlpm.MyAuditVal,_xlfn.XLOOKUP($A1211,My_Audit!$A:$A,My_Audit!F:F,""),
_xlfn.IFS(_xlpm.MyAuditVal&lt;&gt;"",_xlpm.MyAuditVal,_xlpm.MacVal&lt;&gt;"",_xlpm.MacVal,_xlpm.CSVVal&lt;&gt;"",PROPER(_xlpm.CSVVal)
)),"")</f>
        <v/>
      </c>
      <c r="H1211" s="40" t="str" cm="1">
        <f t="array" ref="H1211">IFERROR(_xlfn.LET(
_xlpm.CSVVal,_xlfn.XLOOKUP($A1211,CSV!$A:$A,CSV!H:H,""),
_xlpm.MacVal,_xlfn.XLOOKUP($A1211,Output_Mac!$A:$A,Output_Mac!H:H,""),
_xlpm.MyAuditVal,_xlfn.XLOOKUP($A1211,My_Audit!$A:$A,My_Audit!G:G,""),
_xlfn.IFS(_xlpm.MyAuditVal&lt;&gt;"",_xlpm.MyAuditVal,_xlpm.MacVal&lt;&gt;"",_xlpm.MacVal,_xlpm.CSVVal&lt;&gt;"",_xlpm.CSVVal
)),"")</f>
        <v/>
      </c>
      <c r="I1211" s="40" t="str">
        <f>_xlfn.XLOOKUP(A1211,Output_Mac!A:A,Output_Mac!I:I,"")</f>
        <v/>
      </c>
      <c r="J1211" s="40" t="str" cm="1">
        <f t="array" ref="J1211">IFERROR(_xlfn.LET(
_xlpm.CSVVal,_xlfn.XLOOKUP($A1211,CSV!$A:$A,CSV!I:I,""),
_xlpm.MacVal,_xlfn.XLOOKUP($A1211,Output_Mac!$A:$A,Output_Mac!J:J,""),
_xlpm.MyAuditVal,_xlfn.XLOOKUP($A1211,My_Audit!$A:$A,My_Audit!I:I,""),
_xlfn.IFS(_xlpm.MyAuditVal&lt;&gt;"",UPPER(_xlpm.MyAuditVal),_xlpm.MacVal&lt;&gt;"",_xlpm.MacVal,_xlpm.CSVVal&lt;&gt;"",_xlpm.CSVVal
)),"")</f>
        <v/>
      </c>
      <c r="K1211" s="40" t="str" cm="1">
        <f t="array" ref="K1211">IFERROR(_xlfn.LET(
_xlpm.CSVVal,_xlfn.XLOOKUP($A1211,CSV!$A:$A,CSV!K:K,""),
_xlpm.MacVal,_xlfn.XLOOKUP($A1211,Output_Mac!$A:$A,Output_Mac!K:K,""),
_xlpm.MyAuditVal,_xlfn.XLOOKUP($A1211,My_Audit!$A:$A,My_Audit!J:J,""),
_xlfn.IFS(_xlpm.MyAuditVal&lt;&gt;"",UPPER(_xlpm.MyAuditVal),_xlpm.MacVal&lt;&gt;"",_xlpm.MacVal,_xlpm.CSVVal&lt;&gt;"",_xlpm.CSVVal
)),"")</f>
        <v/>
      </c>
      <c r="L1211" s="40" t="str" cm="1">
        <f t="array" ref="L1211">IFERROR(_xlfn.LET(
_xlpm.CSVVal,_xlfn.XLOOKUP($A1211,CSV!$A:$A,CSV!P:P,""),
_xlpm.MacVal,_xlfn.XLOOKUP($A1211,Output_Mac!$A:$A,Output_Mac!L:L,""),
_xlpm.MyAuditVal,_xlfn.XLOOKUP($A1211,My_Audit!$A:$A,My_Audit!K:K,""),
_xlfn.IFS(_xlpm.MyAuditVal&lt;&gt;"",UPPER(_xlpm.MyAuditVal),_xlpm.MacVal&lt;&gt;"",_xlpm.MacVal,_xlpm.CSVVal&lt;&gt;"",_xlpm.CSVVal
)),"")</f>
        <v/>
      </c>
      <c r="M1211" s="40" t="str" cm="1">
        <f t="array" ref="M1211">IFERROR(_xlfn.LET(
_xlpm.CSVVal,_xlfn.XLOOKUP($A1211,CSV!$A:$A,CSV!Q:Q,""),
_xlpm.MacVal,_xlfn.XLOOKUP($A1211,Output_Mac!$A:$A,Output_Mac!M:M,""),
_xlpm.MyAuditVal,_xlfn.XLOOKUP($A1211,My_Audit!$A:$A,My_Audit!L:L,""),
_xlfn.IFS(_xlpm.MyAuditVal&lt;&gt;"",UPPER(_xlpm.MyAuditVal),_xlpm.MacVal&lt;&gt;"",_xlpm.MacVal,_xlpm.CSVVal&lt;&gt;"",_xlpm.CSVVal
)),"")</f>
        <v/>
      </c>
      <c r="N1211" s="40"/>
      <c r="O1211" s="40" t="str">
        <f>_xlfn.LET(
    _xlpm.CSVVal, _xlfn.XLOOKUP($A1211, CSV!$A:$A, CSV!AA:AA, ""),
    _xlpm.MacVal, _xlfn.XLOOKUP($A1211, Output_Mac!$A:$A, Output_Mac!S:S, ""),
    _xlpm.MyAuditVal, _xlfn.XLOOKUP($A1211, My_Audit!$A:$A, My_Audit!P:P, ""),
    _xlfn.TEXTJOIN(", ", TRUE, _xlpm.MyAuditVal, _xlpm.MacVal, _xlpm.CSVVal)
)</f>
        <v/>
      </c>
      <c r="P1211" s="40" t="str" cm="1">
        <f t="array" ref="P1211">IFERROR(_xlfn.LET(
_xlpm.CSVVal,_xlfn.XLOOKUP($A1211,CSV!$A:$A,CSV!AB:AB,""),
_xlpm.MacVal,_xlfn.XLOOKUP($A1211,Output_Mac!$A:$A,Output_Mac!T:T,""),
_xlpm.MyAuditVal,_xlfn.XLOOKUP($A1211,My_Audit!$A:$A,My_Audit!Q:Q,""),
_xlfn.IFS(_xlpm.MyAuditVal&lt;&gt;"",UPPER(_xlpm.MyAuditVal),_xlpm.MacVal&lt;&gt;"",_xlpm.MacVal,_xlpm.CSVVal&lt;&gt;"",_xlpm.CSVVal
)),"No")</f>
        <v>No</v>
      </c>
      <c r="Q1211" s="40" t="str" cm="1">
        <f t="array" ref="Q1211">IFERROR(_xlfn.LET(
_xlpm.CSVVal,_xlfn.XLOOKUP($A1211,CSV!$A:$A,CSV!AC:AC,""),
_xlpm.MacVal,_xlfn.XLOOKUP($A1211,Output_Mac!$A:$A,Output_Mac!U:U,""),
_xlpm.MyAuditVal,_xlfn.XLOOKUP($A1211,My_Audit!$A:$A,My_Audit!R:R,""),
_xlfn.IFS(_xlpm.MyAuditVal&lt;&gt;"",UPPER(_xlpm.MyAuditVal),_xlpm.MacVal&lt;&gt;"",_xlpm.MacVal,_xlpm.CSVVal&lt;&gt;"",_xlpm.CSVVal
)),"")</f>
        <v/>
      </c>
      <c r="R1211" s="40"/>
      <c r="S1211" s="40"/>
      <c r="T1211" s="40"/>
      <c r="U1211" s="40"/>
      <c r="V1211" s="40"/>
      <c r="W1211" s="40"/>
      <c r="X1211" s="41" t="str">
        <f>_xlfn.LET(
    _xlpm.MacVal, _xlfn.XLOOKUP($A1211, Output_Mac!$A:$A, Output_Mac!AB:AB, ""),
    _xlpm.MyAuditVal, _xlfn.XLOOKUP($A1211, My_Audit!$A:$A, My_Audit!N:N, ""),
    _xlfn.TEXTJOIN(", ", TRUE, _xlpm.MyAuditVal, _xlpm.MacVal)
)</f>
        <v/>
      </c>
    </row>
    <row r="1212" spans="1:24">
      <c r="A1212" s="40" t="str">
        <f>_xlfn.TEXTJOIN("",TRUE,Input!$B$2,ROW(My_Audit!A1211))</f>
        <v>X1211</v>
      </c>
      <c r="B1212" s="40" t="str">
        <f>_xlfn.TEXTJOIN("-",TRUE,"ITD",Input!$A$2,A1212)</f>
        <v>ITD-X1211</v>
      </c>
      <c r="C1212" s="40" t="str" cm="1">
        <f t="array" ref="C1212">IFERROR(_xlfn.LET(
_xlpm.CSVVal,_xlfn.XLOOKUP($A1212,CSV!$A:$A,CSV!B:B,""),
_xlpm.MacVal,_xlfn.XLOOKUP($A1212,Output_Mac!$A:$A,Output_Mac!B:B,""),
_xlpm.MyAuditVal,_xlfn.XLOOKUP($A1212,My_Audit!$A:$A,My_Audit!B:B,""),
_xlfn.IFS(_xlpm.MyAuditVal&lt;&gt;"",UPPER(_xlpm.MyAuditVal),_xlpm.MacVal&lt;&gt;"",_xlpm.MacVal,_xlpm.CSVVal&lt;&gt;"",_xlpm.CSVVal
)),"")</f>
        <v/>
      </c>
      <c r="D1212" s="40" t="str" cm="1">
        <f t="array" ref="D1212">IFERROR(_xlfn.LET(
_xlpm.CSVVal,_xlfn.XLOOKUP($A1212,CSV!$A:$A,CSV!D:D,""),
_xlpm.MacVal,_xlfn.XLOOKUP($A1212,Output_Mac!$A:$A,Output_Mac!C:C,""),
_xlpm.MyAuditVal,_xlfn.XLOOKUP($A1212,My_Audit!$A:$A,My_Audit!C:C,""),
_xlfn.IFS(_xlpm.MyAuditVal&lt;&gt;"",_xlpm.MyAuditVal,_xlpm.MacVal&lt;&gt;"",_xlpm.MacVal,_xlpm.CSVVal&lt;&gt;"",_xlpm.CSVVal
)),"")</f>
        <v/>
      </c>
      <c r="E1212" s="40" t="str">
        <f>_xlfn.XLOOKUP(A1212,My_Audit!A:A,My_Audit!D:D,"")</f>
        <v/>
      </c>
      <c r="F1212" s="40" t="str" cm="1">
        <f t="array" ref="F1212">IFERROR(_xlfn.LET(
_xlpm.CSVVal,_xlfn.XLOOKUP($A1212,CSV!$A:$A,CSV!F:F,""),
_xlpm.MacVal,_xlfn.XLOOKUP($A1212,Output_Mac!$A:$A,Output_Mac!E:E,""),
_xlpm.MyAuditVal,_xlfn.XLOOKUP($A1212,My_Audit!$A:$A,My_Audit!E:E,""),
_xlfn.IFS(_xlpm.MyAuditVal&lt;&gt;"",_xlpm.MyAuditVal,_xlpm.MacVal&lt;&gt;"",_xlpm.MacVal,_xlpm.CSVVal&lt;&gt;"",_xlpm.CSVVal
)),"")</f>
        <v/>
      </c>
      <c r="G1212" s="40" t="str" cm="1">
        <f t="array" ref="G1212">IFERROR(_xlfn.LET(
_xlpm.CSVVal,_xlfn.XLOOKUP($A1212,CSV!$A:$A,CSV!G:G,""),
_xlpm.MacVal,_xlfn.XLOOKUP($A1212,Output_Mac!$A:$A,Output_Mac!F:F,""),
_xlpm.MyAuditVal,_xlfn.XLOOKUP($A1212,My_Audit!$A:$A,My_Audit!F:F,""),
_xlfn.IFS(_xlpm.MyAuditVal&lt;&gt;"",_xlpm.MyAuditVal,_xlpm.MacVal&lt;&gt;"",_xlpm.MacVal,_xlpm.CSVVal&lt;&gt;"",PROPER(_xlpm.CSVVal)
)),"")</f>
        <v/>
      </c>
      <c r="H1212" s="40" t="str" cm="1">
        <f t="array" ref="H1212">IFERROR(_xlfn.LET(
_xlpm.CSVVal,_xlfn.XLOOKUP($A1212,CSV!$A:$A,CSV!H:H,""),
_xlpm.MacVal,_xlfn.XLOOKUP($A1212,Output_Mac!$A:$A,Output_Mac!H:H,""),
_xlpm.MyAuditVal,_xlfn.XLOOKUP($A1212,My_Audit!$A:$A,My_Audit!G:G,""),
_xlfn.IFS(_xlpm.MyAuditVal&lt;&gt;"",_xlpm.MyAuditVal,_xlpm.MacVal&lt;&gt;"",_xlpm.MacVal,_xlpm.CSVVal&lt;&gt;"",_xlpm.CSVVal
)),"")</f>
        <v/>
      </c>
      <c r="I1212" s="40" t="str">
        <f>_xlfn.XLOOKUP(A1212,Output_Mac!A:A,Output_Mac!I:I,"")</f>
        <v/>
      </c>
      <c r="J1212" s="40" t="str" cm="1">
        <f t="array" ref="J1212">IFERROR(_xlfn.LET(
_xlpm.CSVVal,_xlfn.XLOOKUP($A1212,CSV!$A:$A,CSV!I:I,""),
_xlpm.MacVal,_xlfn.XLOOKUP($A1212,Output_Mac!$A:$A,Output_Mac!J:J,""),
_xlpm.MyAuditVal,_xlfn.XLOOKUP($A1212,My_Audit!$A:$A,My_Audit!I:I,""),
_xlfn.IFS(_xlpm.MyAuditVal&lt;&gt;"",UPPER(_xlpm.MyAuditVal),_xlpm.MacVal&lt;&gt;"",_xlpm.MacVal,_xlpm.CSVVal&lt;&gt;"",_xlpm.CSVVal
)),"")</f>
        <v/>
      </c>
      <c r="K1212" s="40" t="str" cm="1">
        <f t="array" ref="K1212">IFERROR(_xlfn.LET(
_xlpm.CSVVal,_xlfn.XLOOKUP($A1212,CSV!$A:$A,CSV!K:K,""),
_xlpm.MacVal,_xlfn.XLOOKUP($A1212,Output_Mac!$A:$A,Output_Mac!K:K,""),
_xlpm.MyAuditVal,_xlfn.XLOOKUP($A1212,My_Audit!$A:$A,My_Audit!J:J,""),
_xlfn.IFS(_xlpm.MyAuditVal&lt;&gt;"",UPPER(_xlpm.MyAuditVal),_xlpm.MacVal&lt;&gt;"",_xlpm.MacVal,_xlpm.CSVVal&lt;&gt;"",_xlpm.CSVVal
)),"")</f>
        <v/>
      </c>
      <c r="L1212" s="40" t="str" cm="1">
        <f t="array" ref="L1212">IFERROR(_xlfn.LET(
_xlpm.CSVVal,_xlfn.XLOOKUP($A1212,CSV!$A:$A,CSV!P:P,""),
_xlpm.MacVal,_xlfn.XLOOKUP($A1212,Output_Mac!$A:$A,Output_Mac!L:L,""),
_xlpm.MyAuditVal,_xlfn.XLOOKUP($A1212,My_Audit!$A:$A,My_Audit!K:K,""),
_xlfn.IFS(_xlpm.MyAuditVal&lt;&gt;"",UPPER(_xlpm.MyAuditVal),_xlpm.MacVal&lt;&gt;"",_xlpm.MacVal,_xlpm.CSVVal&lt;&gt;"",_xlpm.CSVVal
)),"")</f>
        <v/>
      </c>
      <c r="M1212" s="40" t="str" cm="1">
        <f t="array" ref="M1212">IFERROR(_xlfn.LET(
_xlpm.CSVVal,_xlfn.XLOOKUP($A1212,CSV!$A:$A,CSV!Q:Q,""),
_xlpm.MacVal,_xlfn.XLOOKUP($A1212,Output_Mac!$A:$A,Output_Mac!M:M,""),
_xlpm.MyAuditVal,_xlfn.XLOOKUP($A1212,My_Audit!$A:$A,My_Audit!L:L,""),
_xlfn.IFS(_xlpm.MyAuditVal&lt;&gt;"",UPPER(_xlpm.MyAuditVal),_xlpm.MacVal&lt;&gt;"",_xlpm.MacVal,_xlpm.CSVVal&lt;&gt;"",_xlpm.CSVVal
)),"")</f>
        <v/>
      </c>
      <c r="N1212" s="40"/>
      <c r="O1212" s="40" t="str">
        <f>_xlfn.LET(
    _xlpm.CSVVal, _xlfn.XLOOKUP($A1212, CSV!$A:$A, CSV!AA:AA, ""),
    _xlpm.MacVal, _xlfn.XLOOKUP($A1212, Output_Mac!$A:$A, Output_Mac!S:S, ""),
    _xlpm.MyAuditVal, _xlfn.XLOOKUP($A1212, My_Audit!$A:$A, My_Audit!P:P, ""),
    _xlfn.TEXTJOIN(", ", TRUE, _xlpm.MyAuditVal, _xlpm.MacVal, _xlpm.CSVVal)
)</f>
        <v/>
      </c>
      <c r="P1212" s="40" t="str" cm="1">
        <f t="array" ref="P1212">IFERROR(_xlfn.LET(
_xlpm.CSVVal,_xlfn.XLOOKUP($A1212,CSV!$A:$A,CSV!AB:AB,""),
_xlpm.MacVal,_xlfn.XLOOKUP($A1212,Output_Mac!$A:$A,Output_Mac!T:T,""),
_xlpm.MyAuditVal,_xlfn.XLOOKUP($A1212,My_Audit!$A:$A,My_Audit!Q:Q,""),
_xlfn.IFS(_xlpm.MyAuditVal&lt;&gt;"",UPPER(_xlpm.MyAuditVal),_xlpm.MacVal&lt;&gt;"",_xlpm.MacVal,_xlpm.CSVVal&lt;&gt;"",_xlpm.CSVVal
)),"No")</f>
        <v>No</v>
      </c>
      <c r="Q1212" s="40" t="str" cm="1">
        <f t="array" ref="Q1212">IFERROR(_xlfn.LET(
_xlpm.CSVVal,_xlfn.XLOOKUP($A1212,CSV!$A:$A,CSV!AC:AC,""),
_xlpm.MacVal,_xlfn.XLOOKUP($A1212,Output_Mac!$A:$A,Output_Mac!U:U,""),
_xlpm.MyAuditVal,_xlfn.XLOOKUP($A1212,My_Audit!$A:$A,My_Audit!R:R,""),
_xlfn.IFS(_xlpm.MyAuditVal&lt;&gt;"",UPPER(_xlpm.MyAuditVal),_xlpm.MacVal&lt;&gt;"",_xlpm.MacVal,_xlpm.CSVVal&lt;&gt;"",_xlpm.CSVVal
)),"")</f>
        <v/>
      </c>
      <c r="R1212" s="40"/>
      <c r="S1212" s="40"/>
      <c r="T1212" s="40"/>
      <c r="U1212" s="40"/>
      <c r="V1212" s="40"/>
      <c r="W1212" s="40"/>
      <c r="X1212" s="41" t="str">
        <f>_xlfn.LET(
    _xlpm.MacVal, _xlfn.XLOOKUP($A1212, Output_Mac!$A:$A, Output_Mac!AB:AB, ""),
    _xlpm.MyAuditVal, _xlfn.XLOOKUP($A1212, My_Audit!$A:$A, My_Audit!N:N, ""),
    _xlfn.TEXTJOIN(", ", TRUE, _xlpm.MyAuditVal, _xlpm.MacVal)
)</f>
        <v/>
      </c>
    </row>
    <row r="1213" spans="1:24">
      <c r="A1213" s="40" t="str">
        <f>_xlfn.TEXTJOIN("",TRUE,Input!$B$2,ROW(My_Audit!A1212))</f>
        <v>X1212</v>
      </c>
      <c r="B1213" s="40" t="str">
        <f>_xlfn.TEXTJOIN("-",TRUE,"ITD",Input!$A$2,A1213)</f>
        <v>ITD-X1212</v>
      </c>
      <c r="C1213" s="40" t="str" cm="1">
        <f t="array" ref="C1213">IFERROR(_xlfn.LET(
_xlpm.CSVVal,_xlfn.XLOOKUP($A1213,CSV!$A:$A,CSV!B:B,""),
_xlpm.MacVal,_xlfn.XLOOKUP($A1213,Output_Mac!$A:$A,Output_Mac!B:B,""),
_xlpm.MyAuditVal,_xlfn.XLOOKUP($A1213,My_Audit!$A:$A,My_Audit!B:B,""),
_xlfn.IFS(_xlpm.MyAuditVal&lt;&gt;"",UPPER(_xlpm.MyAuditVal),_xlpm.MacVal&lt;&gt;"",_xlpm.MacVal,_xlpm.CSVVal&lt;&gt;"",_xlpm.CSVVal
)),"")</f>
        <v/>
      </c>
      <c r="D1213" s="40" t="str" cm="1">
        <f t="array" ref="D1213">IFERROR(_xlfn.LET(
_xlpm.CSVVal,_xlfn.XLOOKUP($A1213,CSV!$A:$A,CSV!D:D,""),
_xlpm.MacVal,_xlfn.XLOOKUP($A1213,Output_Mac!$A:$A,Output_Mac!C:C,""),
_xlpm.MyAuditVal,_xlfn.XLOOKUP($A1213,My_Audit!$A:$A,My_Audit!C:C,""),
_xlfn.IFS(_xlpm.MyAuditVal&lt;&gt;"",_xlpm.MyAuditVal,_xlpm.MacVal&lt;&gt;"",_xlpm.MacVal,_xlpm.CSVVal&lt;&gt;"",_xlpm.CSVVal
)),"")</f>
        <v/>
      </c>
      <c r="E1213" s="40" t="str">
        <f>_xlfn.XLOOKUP(A1213,My_Audit!A:A,My_Audit!D:D,"")</f>
        <v/>
      </c>
      <c r="F1213" s="40" t="str" cm="1">
        <f t="array" ref="F1213">IFERROR(_xlfn.LET(
_xlpm.CSVVal,_xlfn.XLOOKUP($A1213,CSV!$A:$A,CSV!F:F,""),
_xlpm.MacVal,_xlfn.XLOOKUP($A1213,Output_Mac!$A:$A,Output_Mac!E:E,""),
_xlpm.MyAuditVal,_xlfn.XLOOKUP($A1213,My_Audit!$A:$A,My_Audit!E:E,""),
_xlfn.IFS(_xlpm.MyAuditVal&lt;&gt;"",_xlpm.MyAuditVal,_xlpm.MacVal&lt;&gt;"",_xlpm.MacVal,_xlpm.CSVVal&lt;&gt;"",_xlpm.CSVVal
)),"")</f>
        <v/>
      </c>
      <c r="G1213" s="40" t="str" cm="1">
        <f t="array" ref="G1213">IFERROR(_xlfn.LET(
_xlpm.CSVVal,_xlfn.XLOOKUP($A1213,CSV!$A:$A,CSV!G:G,""),
_xlpm.MacVal,_xlfn.XLOOKUP($A1213,Output_Mac!$A:$A,Output_Mac!F:F,""),
_xlpm.MyAuditVal,_xlfn.XLOOKUP($A1213,My_Audit!$A:$A,My_Audit!F:F,""),
_xlfn.IFS(_xlpm.MyAuditVal&lt;&gt;"",_xlpm.MyAuditVal,_xlpm.MacVal&lt;&gt;"",_xlpm.MacVal,_xlpm.CSVVal&lt;&gt;"",PROPER(_xlpm.CSVVal)
)),"")</f>
        <v/>
      </c>
      <c r="H1213" s="40" t="str" cm="1">
        <f t="array" ref="H1213">IFERROR(_xlfn.LET(
_xlpm.CSVVal,_xlfn.XLOOKUP($A1213,CSV!$A:$A,CSV!H:H,""),
_xlpm.MacVal,_xlfn.XLOOKUP($A1213,Output_Mac!$A:$A,Output_Mac!H:H,""),
_xlpm.MyAuditVal,_xlfn.XLOOKUP($A1213,My_Audit!$A:$A,My_Audit!G:G,""),
_xlfn.IFS(_xlpm.MyAuditVal&lt;&gt;"",_xlpm.MyAuditVal,_xlpm.MacVal&lt;&gt;"",_xlpm.MacVal,_xlpm.CSVVal&lt;&gt;"",_xlpm.CSVVal
)),"")</f>
        <v/>
      </c>
      <c r="I1213" s="40" t="str">
        <f>_xlfn.XLOOKUP(A1213,Output_Mac!A:A,Output_Mac!I:I,"")</f>
        <v/>
      </c>
      <c r="J1213" s="40" t="str" cm="1">
        <f t="array" ref="J1213">IFERROR(_xlfn.LET(
_xlpm.CSVVal,_xlfn.XLOOKUP($A1213,CSV!$A:$A,CSV!I:I,""),
_xlpm.MacVal,_xlfn.XLOOKUP($A1213,Output_Mac!$A:$A,Output_Mac!J:J,""),
_xlpm.MyAuditVal,_xlfn.XLOOKUP($A1213,My_Audit!$A:$A,My_Audit!I:I,""),
_xlfn.IFS(_xlpm.MyAuditVal&lt;&gt;"",UPPER(_xlpm.MyAuditVal),_xlpm.MacVal&lt;&gt;"",_xlpm.MacVal,_xlpm.CSVVal&lt;&gt;"",_xlpm.CSVVal
)),"")</f>
        <v/>
      </c>
      <c r="K1213" s="40" t="str" cm="1">
        <f t="array" ref="K1213">IFERROR(_xlfn.LET(
_xlpm.CSVVal,_xlfn.XLOOKUP($A1213,CSV!$A:$A,CSV!K:K,""),
_xlpm.MacVal,_xlfn.XLOOKUP($A1213,Output_Mac!$A:$A,Output_Mac!K:K,""),
_xlpm.MyAuditVal,_xlfn.XLOOKUP($A1213,My_Audit!$A:$A,My_Audit!J:J,""),
_xlfn.IFS(_xlpm.MyAuditVal&lt;&gt;"",UPPER(_xlpm.MyAuditVal),_xlpm.MacVal&lt;&gt;"",_xlpm.MacVal,_xlpm.CSVVal&lt;&gt;"",_xlpm.CSVVal
)),"")</f>
        <v/>
      </c>
      <c r="L1213" s="40" t="str" cm="1">
        <f t="array" ref="L1213">IFERROR(_xlfn.LET(
_xlpm.CSVVal,_xlfn.XLOOKUP($A1213,CSV!$A:$A,CSV!P:P,""),
_xlpm.MacVal,_xlfn.XLOOKUP($A1213,Output_Mac!$A:$A,Output_Mac!L:L,""),
_xlpm.MyAuditVal,_xlfn.XLOOKUP($A1213,My_Audit!$A:$A,My_Audit!K:K,""),
_xlfn.IFS(_xlpm.MyAuditVal&lt;&gt;"",UPPER(_xlpm.MyAuditVal),_xlpm.MacVal&lt;&gt;"",_xlpm.MacVal,_xlpm.CSVVal&lt;&gt;"",_xlpm.CSVVal
)),"")</f>
        <v/>
      </c>
      <c r="M1213" s="40" t="str" cm="1">
        <f t="array" ref="M1213">IFERROR(_xlfn.LET(
_xlpm.CSVVal,_xlfn.XLOOKUP($A1213,CSV!$A:$A,CSV!Q:Q,""),
_xlpm.MacVal,_xlfn.XLOOKUP($A1213,Output_Mac!$A:$A,Output_Mac!M:M,""),
_xlpm.MyAuditVal,_xlfn.XLOOKUP($A1213,My_Audit!$A:$A,My_Audit!L:L,""),
_xlfn.IFS(_xlpm.MyAuditVal&lt;&gt;"",UPPER(_xlpm.MyAuditVal),_xlpm.MacVal&lt;&gt;"",_xlpm.MacVal,_xlpm.CSVVal&lt;&gt;"",_xlpm.CSVVal
)),"")</f>
        <v/>
      </c>
      <c r="N1213" s="40"/>
      <c r="O1213" s="40" t="str">
        <f>_xlfn.LET(
    _xlpm.CSVVal, _xlfn.XLOOKUP($A1213, CSV!$A:$A, CSV!AA:AA, ""),
    _xlpm.MacVal, _xlfn.XLOOKUP($A1213, Output_Mac!$A:$A, Output_Mac!S:S, ""),
    _xlpm.MyAuditVal, _xlfn.XLOOKUP($A1213, My_Audit!$A:$A, My_Audit!P:P, ""),
    _xlfn.TEXTJOIN(", ", TRUE, _xlpm.MyAuditVal, _xlpm.MacVal, _xlpm.CSVVal)
)</f>
        <v/>
      </c>
      <c r="P1213" s="40" t="str" cm="1">
        <f t="array" ref="P1213">IFERROR(_xlfn.LET(
_xlpm.CSVVal,_xlfn.XLOOKUP($A1213,CSV!$A:$A,CSV!AB:AB,""),
_xlpm.MacVal,_xlfn.XLOOKUP($A1213,Output_Mac!$A:$A,Output_Mac!T:T,""),
_xlpm.MyAuditVal,_xlfn.XLOOKUP($A1213,My_Audit!$A:$A,My_Audit!Q:Q,""),
_xlfn.IFS(_xlpm.MyAuditVal&lt;&gt;"",UPPER(_xlpm.MyAuditVal),_xlpm.MacVal&lt;&gt;"",_xlpm.MacVal,_xlpm.CSVVal&lt;&gt;"",_xlpm.CSVVal
)),"No")</f>
        <v>No</v>
      </c>
      <c r="Q1213" s="40" t="str" cm="1">
        <f t="array" ref="Q1213">IFERROR(_xlfn.LET(
_xlpm.CSVVal,_xlfn.XLOOKUP($A1213,CSV!$A:$A,CSV!AC:AC,""),
_xlpm.MacVal,_xlfn.XLOOKUP($A1213,Output_Mac!$A:$A,Output_Mac!U:U,""),
_xlpm.MyAuditVal,_xlfn.XLOOKUP($A1213,My_Audit!$A:$A,My_Audit!R:R,""),
_xlfn.IFS(_xlpm.MyAuditVal&lt;&gt;"",UPPER(_xlpm.MyAuditVal),_xlpm.MacVal&lt;&gt;"",_xlpm.MacVal,_xlpm.CSVVal&lt;&gt;"",_xlpm.CSVVal
)),"")</f>
        <v/>
      </c>
      <c r="R1213" s="40"/>
      <c r="S1213" s="40"/>
      <c r="T1213" s="40"/>
      <c r="U1213" s="40"/>
      <c r="V1213" s="40"/>
      <c r="W1213" s="40"/>
      <c r="X1213" s="41" t="str">
        <f>_xlfn.LET(
    _xlpm.MacVal, _xlfn.XLOOKUP($A1213, Output_Mac!$A:$A, Output_Mac!AB:AB, ""),
    _xlpm.MyAuditVal, _xlfn.XLOOKUP($A1213, My_Audit!$A:$A, My_Audit!N:N, ""),
    _xlfn.TEXTJOIN(", ", TRUE, _xlpm.MyAuditVal, _xlpm.MacVal)
)</f>
        <v/>
      </c>
    </row>
    <row r="1214" spans="1:24">
      <c r="A1214" s="40" t="str">
        <f>_xlfn.TEXTJOIN("",TRUE,Input!$B$2,ROW(My_Audit!A1213))</f>
        <v>X1213</v>
      </c>
      <c r="B1214" s="40" t="str">
        <f>_xlfn.TEXTJOIN("-",TRUE,"ITD",Input!$A$2,A1214)</f>
        <v>ITD-X1213</v>
      </c>
      <c r="C1214" s="40" t="str" cm="1">
        <f t="array" ref="C1214">IFERROR(_xlfn.LET(
_xlpm.CSVVal,_xlfn.XLOOKUP($A1214,CSV!$A:$A,CSV!B:B,""),
_xlpm.MacVal,_xlfn.XLOOKUP($A1214,Output_Mac!$A:$A,Output_Mac!B:B,""),
_xlpm.MyAuditVal,_xlfn.XLOOKUP($A1214,My_Audit!$A:$A,My_Audit!B:B,""),
_xlfn.IFS(_xlpm.MyAuditVal&lt;&gt;"",UPPER(_xlpm.MyAuditVal),_xlpm.MacVal&lt;&gt;"",_xlpm.MacVal,_xlpm.CSVVal&lt;&gt;"",_xlpm.CSVVal
)),"")</f>
        <v/>
      </c>
      <c r="D1214" s="40" t="str" cm="1">
        <f t="array" ref="D1214">IFERROR(_xlfn.LET(
_xlpm.CSVVal,_xlfn.XLOOKUP($A1214,CSV!$A:$A,CSV!D:D,""),
_xlpm.MacVal,_xlfn.XLOOKUP($A1214,Output_Mac!$A:$A,Output_Mac!C:C,""),
_xlpm.MyAuditVal,_xlfn.XLOOKUP($A1214,My_Audit!$A:$A,My_Audit!C:C,""),
_xlfn.IFS(_xlpm.MyAuditVal&lt;&gt;"",_xlpm.MyAuditVal,_xlpm.MacVal&lt;&gt;"",_xlpm.MacVal,_xlpm.CSVVal&lt;&gt;"",_xlpm.CSVVal
)),"")</f>
        <v/>
      </c>
      <c r="E1214" s="40" t="str">
        <f>_xlfn.XLOOKUP(A1214,My_Audit!A:A,My_Audit!D:D,"")</f>
        <v/>
      </c>
      <c r="F1214" s="40" t="str" cm="1">
        <f t="array" ref="F1214">IFERROR(_xlfn.LET(
_xlpm.CSVVal,_xlfn.XLOOKUP($A1214,CSV!$A:$A,CSV!F:F,""),
_xlpm.MacVal,_xlfn.XLOOKUP($A1214,Output_Mac!$A:$A,Output_Mac!E:E,""),
_xlpm.MyAuditVal,_xlfn.XLOOKUP($A1214,My_Audit!$A:$A,My_Audit!E:E,""),
_xlfn.IFS(_xlpm.MyAuditVal&lt;&gt;"",_xlpm.MyAuditVal,_xlpm.MacVal&lt;&gt;"",_xlpm.MacVal,_xlpm.CSVVal&lt;&gt;"",_xlpm.CSVVal
)),"")</f>
        <v/>
      </c>
      <c r="G1214" s="40" t="str" cm="1">
        <f t="array" ref="G1214">IFERROR(_xlfn.LET(
_xlpm.CSVVal,_xlfn.XLOOKUP($A1214,CSV!$A:$A,CSV!G:G,""),
_xlpm.MacVal,_xlfn.XLOOKUP($A1214,Output_Mac!$A:$A,Output_Mac!F:F,""),
_xlpm.MyAuditVal,_xlfn.XLOOKUP($A1214,My_Audit!$A:$A,My_Audit!F:F,""),
_xlfn.IFS(_xlpm.MyAuditVal&lt;&gt;"",_xlpm.MyAuditVal,_xlpm.MacVal&lt;&gt;"",_xlpm.MacVal,_xlpm.CSVVal&lt;&gt;"",PROPER(_xlpm.CSVVal)
)),"")</f>
        <v/>
      </c>
      <c r="H1214" s="40" t="str" cm="1">
        <f t="array" ref="H1214">IFERROR(_xlfn.LET(
_xlpm.CSVVal,_xlfn.XLOOKUP($A1214,CSV!$A:$A,CSV!H:H,""),
_xlpm.MacVal,_xlfn.XLOOKUP($A1214,Output_Mac!$A:$A,Output_Mac!H:H,""),
_xlpm.MyAuditVal,_xlfn.XLOOKUP($A1214,My_Audit!$A:$A,My_Audit!G:G,""),
_xlfn.IFS(_xlpm.MyAuditVal&lt;&gt;"",_xlpm.MyAuditVal,_xlpm.MacVal&lt;&gt;"",_xlpm.MacVal,_xlpm.CSVVal&lt;&gt;"",_xlpm.CSVVal
)),"")</f>
        <v/>
      </c>
      <c r="I1214" s="40" t="str">
        <f>_xlfn.XLOOKUP(A1214,Output_Mac!A:A,Output_Mac!I:I,"")</f>
        <v/>
      </c>
      <c r="J1214" s="40" t="str" cm="1">
        <f t="array" ref="J1214">IFERROR(_xlfn.LET(
_xlpm.CSVVal,_xlfn.XLOOKUP($A1214,CSV!$A:$A,CSV!I:I,""),
_xlpm.MacVal,_xlfn.XLOOKUP($A1214,Output_Mac!$A:$A,Output_Mac!J:J,""),
_xlpm.MyAuditVal,_xlfn.XLOOKUP($A1214,My_Audit!$A:$A,My_Audit!I:I,""),
_xlfn.IFS(_xlpm.MyAuditVal&lt;&gt;"",UPPER(_xlpm.MyAuditVal),_xlpm.MacVal&lt;&gt;"",_xlpm.MacVal,_xlpm.CSVVal&lt;&gt;"",_xlpm.CSVVal
)),"")</f>
        <v/>
      </c>
      <c r="K1214" s="40" t="str" cm="1">
        <f t="array" ref="K1214">IFERROR(_xlfn.LET(
_xlpm.CSVVal,_xlfn.XLOOKUP($A1214,CSV!$A:$A,CSV!K:K,""),
_xlpm.MacVal,_xlfn.XLOOKUP($A1214,Output_Mac!$A:$A,Output_Mac!K:K,""),
_xlpm.MyAuditVal,_xlfn.XLOOKUP($A1214,My_Audit!$A:$A,My_Audit!J:J,""),
_xlfn.IFS(_xlpm.MyAuditVal&lt;&gt;"",UPPER(_xlpm.MyAuditVal),_xlpm.MacVal&lt;&gt;"",_xlpm.MacVal,_xlpm.CSVVal&lt;&gt;"",_xlpm.CSVVal
)),"")</f>
        <v/>
      </c>
      <c r="L1214" s="40" t="str" cm="1">
        <f t="array" ref="L1214">IFERROR(_xlfn.LET(
_xlpm.CSVVal,_xlfn.XLOOKUP($A1214,CSV!$A:$A,CSV!P:P,""),
_xlpm.MacVal,_xlfn.XLOOKUP($A1214,Output_Mac!$A:$A,Output_Mac!L:L,""),
_xlpm.MyAuditVal,_xlfn.XLOOKUP($A1214,My_Audit!$A:$A,My_Audit!K:K,""),
_xlfn.IFS(_xlpm.MyAuditVal&lt;&gt;"",UPPER(_xlpm.MyAuditVal),_xlpm.MacVal&lt;&gt;"",_xlpm.MacVal,_xlpm.CSVVal&lt;&gt;"",_xlpm.CSVVal
)),"")</f>
        <v/>
      </c>
      <c r="M1214" s="40" t="str" cm="1">
        <f t="array" ref="M1214">IFERROR(_xlfn.LET(
_xlpm.CSVVal,_xlfn.XLOOKUP($A1214,CSV!$A:$A,CSV!Q:Q,""),
_xlpm.MacVal,_xlfn.XLOOKUP($A1214,Output_Mac!$A:$A,Output_Mac!M:M,""),
_xlpm.MyAuditVal,_xlfn.XLOOKUP($A1214,My_Audit!$A:$A,My_Audit!L:L,""),
_xlfn.IFS(_xlpm.MyAuditVal&lt;&gt;"",UPPER(_xlpm.MyAuditVal),_xlpm.MacVal&lt;&gt;"",_xlpm.MacVal,_xlpm.CSVVal&lt;&gt;"",_xlpm.CSVVal
)),"")</f>
        <v/>
      </c>
      <c r="N1214" s="40"/>
      <c r="O1214" s="40" t="str">
        <f>_xlfn.LET(
    _xlpm.CSVVal, _xlfn.XLOOKUP($A1214, CSV!$A:$A, CSV!AA:AA, ""),
    _xlpm.MacVal, _xlfn.XLOOKUP($A1214, Output_Mac!$A:$A, Output_Mac!S:S, ""),
    _xlpm.MyAuditVal, _xlfn.XLOOKUP($A1214, My_Audit!$A:$A, My_Audit!P:P, ""),
    _xlfn.TEXTJOIN(", ", TRUE, _xlpm.MyAuditVal, _xlpm.MacVal, _xlpm.CSVVal)
)</f>
        <v/>
      </c>
      <c r="P1214" s="40" t="str" cm="1">
        <f t="array" ref="P1214">IFERROR(_xlfn.LET(
_xlpm.CSVVal,_xlfn.XLOOKUP($A1214,CSV!$A:$A,CSV!AB:AB,""),
_xlpm.MacVal,_xlfn.XLOOKUP($A1214,Output_Mac!$A:$A,Output_Mac!T:T,""),
_xlpm.MyAuditVal,_xlfn.XLOOKUP($A1214,My_Audit!$A:$A,My_Audit!Q:Q,""),
_xlfn.IFS(_xlpm.MyAuditVal&lt;&gt;"",UPPER(_xlpm.MyAuditVal),_xlpm.MacVal&lt;&gt;"",_xlpm.MacVal,_xlpm.CSVVal&lt;&gt;"",_xlpm.CSVVal
)),"No")</f>
        <v>No</v>
      </c>
      <c r="Q1214" s="40" t="str" cm="1">
        <f t="array" ref="Q1214">IFERROR(_xlfn.LET(
_xlpm.CSVVal,_xlfn.XLOOKUP($A1214,CSV!$A:$A,CSV!AC:AC,""),
_xlpm.MacVal,_xlfn.XLOOKUP($A1214,Output_Mac!$A:$A,Output_Mac!U:U,""),
_xlpm.MyAuditVal,_xlfn.XLOOKUP($A1214,My_Audit!$A:$A,My_Audit!R:R,""),
_xlfn.IFS(_xlpm.MyAuditVal&lt;&gt;"",UPPER(_xlpm.MyAuditVal),_xlpm.MacVal&lt;&gt;"",_xlpm.MacVal,_xlpm.CSVVal&lt;&gt;"",_xlpm.CSVVal
)),"")</f>
        <v/>
      </c>
      <c r="R1214" s="40"/>
      <c r="S1214" s="40"/>
      <c r="T1214" s="40"/>
      <c r="U1214" s="40"/>
      <c r="V1214" s="40"/>
      <c r="W1214" s="40"/>
      <c r="X1214" s="41" t="str">
        <f>_xlfn.LET(
    _xlpm.MacVal, _xlfn.XLOOKUP($A1214, Output_Mac!$A:$A, Output_Mac!AB:AB, ""),
    _xlpm.MyAuditVal, _xlfn.XLOOKUP($A1214, My_Audit!$A:$A, My_Audit!N:N, ""),
    _xlfn.TEXTJOIN(", ", TRUE, _xlpm.MyAuditVal, _xlpm.MacVal)
)</f>
        <v/>
      </c>
    </row>
    <row r="1215" spans="1:24">
      <c r="A1215" s="40" t="str">
        <f>_xlfn.TEXTJOIN("",TRUE,Input!$B$2,ROW(My_Audit!A1214))</f>
        <v>X1214</v>
      </c>
      <c r="B1215" s="40" t="str">
        <f>_xlfn.TEXTJOIN("-",TRUE,"ITD",Input!$A$2,A1215)</f>
        <v>ITD-X1214</v>
      </c>
      <c r="C1215" s="40" t="str" cm="1">
        <f t="array" ref="C1215">IFERROR(_xlfn.LET(
_xlpm.CSVVal,_xlfn.XLOOKUP($A1215,CSV!$A:$A,CSV!B:B,""),
_xlpm.MacVal,_xlfn.XLOOKUP($A1215,Output_Mac!$A:$A,Output_Mac!B:B,""),
_xlpm.MyAuditVal,_xlfn.XLOOKUP($A1215,My_Audit!$A:$A,My_Audit!B:B,""),
_xlfn.IFS(_xlpm.MyAuditVal&lt;&gt;"",UPPER(_xlpm.MyAuditVal),_xlpm.MacVal&lt;&gt;"",_xlpm.MacVal,_xlpm.CSVVal&lt;&gt;"",_xlpm.CSVVal
)),"")</f>
        <v/>
      </c>
      <c r="D1215" s="40" t="str" cm="1">
        <f t="array" ref="D1215">IFERROR(_xlfn.LET(
_xlpm.CSVVal,_xlfn.XLOOKUP($A1215,CSV!$A:$A,CSV!D:D,""),
_xlpm.MacVal,_xlfn.XLOOKUP($A1215,Output_Mac!$A:$A,Output_Mac!C:C,""),
_xlpm.MyAuditVal,_xlfn.XLOOKUP($A1215,My_Audit!$A:$A,My_Audit!C:C,""),
_xlfn.IFS(_xlpm.MyAuditVal&lt;&gt;"",_xlpm.MyAuditVal,_xlpm.MacVal&lt;&gt;"",_xlpm.MacVal,_xlpm.CSVVal&lt;&gt;"",_xlpm.CSVVal
)),"")</f>
        <v/>
      </c>
      <c r="E1215" s="40" t="str">
        <f>_xlfn.XLOOKUP(A1215,My_Audit!A:A,My_Audit!D:D,"")</f>
        <v/>
      </c>
      <c r="F1215" s="40" t="str" cm="1">
        <f t="array" ref="F1215">IFERROR(_xlfn.LET(
_xlpm.CSVVal,_xlfn.XLOOKUP($A1215,CSV!$A:$A,CSV!F:F,""),
_xlpm.MacVal,_xlfn.XLOOKUP($A1215,Output_Mac!$A:$A,Output_Mac!E:E,""),
_xlpm.MyAuditVal,_xlfn.XLOOKUP($A1215,My_Audit!$A:$A,My_Audit!E:E,""),
_xlfn.IFS(_xlpm.MyAuditVal&lt;&gt;"",_xlpm.MyAuditVal,_xlpm.MacVal&lt;&gt;"",_xlpm.MacVal,_xlpm.CSVVal&lt;&gt;"",_xlpm.CSVVal
)),"")</f>
        <v/>
      </c>
      <c r="G1215" s="40" t="str" cm="1">
        <f t="array" ref="G1215">IFERROR(_xlfn.LET(
_xlpm.CSVVal,_xlfn.XLOOKUP($A1215,CSV!$A:$A,CSV!G:G,""),
_xlpm.MacVal,_xlfn.XLOOKUP($A1215,Output_Mac!$A:$A,Output_Mac!F:F,""),
_xlpm.MyAuditVal,_xlfn.XLOOKUP($A1215,My_Audit!$A:$A,My_Audit!F:F,""),
_xlfn.IFS(_xlpm.MyAuditVal&lt;&gt;"",_xlpm.MyAuditVal,_xlpm.MacVal&lt;&gt;"",_xlpm.MacVal,_xlpm.CSVVal&lt;&gt;"",PROPER(_xlpm.CSVVal)
)),"")</f>
        <v/>
      </c>
      <c r="H1215" s="40" t="str" cm="1">
        <f t="array" ref="H1215">IFERROR(_xlfn.LET(
_xlpm.CSVVal,_xlfn.XLOOKUP($A1215,CSV!$A:$A,CSV!H:H,""),
_xlpm.MacVal,_xlfn.XLOOKUP($A1215,Output_Mac!$A:$A,Output_Mac!H:H,""),
_xlpm.MyAuditVal,_xlfn.XLOOKUP($A1215,My_Audit!$A:$A,My_Audit!G:G,""),
_xlfn.IFS(_xlpm.MyAuditVal&lt;&gt;"",_xlpm.MyAuditVal,_xlpm.MacVal&lt;&gt;"",_xlpm.MacVal,_xlpm.CSVVal&lt;&gt;"",_xlpm.CSVVal
)),"")</f>
        <v/>
      </c>
      <c r="I1215" s="40" t="str">
        <f>_xlfn.XLOOKUP(A1215,Output_Mac!A:A,Output_Mac!I:I,"")</f>
        <v/>
      </c>
      <c r="J1215" s="40" t="str" cm="1">
        <f t="array" ref="J1215">IFERROR(_xlfn.LET(
_xlpm.CSVVal,_xlfn.XLOOKUP($A1215,CSV!$A:$A,CSV!I:I,""),
_xlpm.MacVal,_xlfn.XLOOKUP($A1215,Output_Mac!$A:$A,Output_Mac!J:J,""),
_xlpm.MyAuditVal,_xlfn.XLOOKUP($A1215,My_Audit!$A:$A,My_Audit!I:I,""),
_xlfn.IFS(_xlpm.MyAuditVal&lt;&gt;"",UPPER(_xlpm.MyAuditVal),_xlpm.MacVal&lt;&gt;"",_xlpm.MacVal,_xlpm.CSVVal&lt;&gt;"",_xlpm.CSVVal
)),"")</f>
        <v/>
      </c>
      <c r="K1215" s="40" t="str" cm="1">
        <f t="array" ref="K1215">IFERROR(_xlfn.LET(
_xlpm.CSVVal,_xlfn.XLOOKUP($A1215,CSV!$A:$A,CSV!K:K,""),
_xlpm.MacVal,_xlfn.XLOOKUP($A1215,Output_Mac!$A:$A,Output_Mac!K:K,""),
_xlpm.MyAuditVal,_xlfn.XLOOKUP($A1215,My_Audit!$A:$A,My_Audit!J:J,""),
_xlfn.IFS(_xlpm.MyAuditVal&lt;&gt;"",UPPER(_xlpm.MyAuditVal),_xlpm.MacVal&lt;&gt;"",_xlpm.MacVal,_xlpm.CSVVal&lt;&gt;"",_xlpm.CSVVal
)),"")</f>
        <v/>
      </c>
      <c r="L1215" s="40" t="str" cm="1">
        <f t="array" ref="L1215">IFERROR(_xlfn.LET(
_xlpm.CSVVal,_xlfn.XLOOKUP($A1215,CSV!$A:$A,CSV!P:P,""),
_xlpm.MacVal,_xlfn.XLOOKUP($A1215,Output_Mac!$A:$A,Output_Mac!L:L,""),
_xlpm.MyAuditVal,_xlfn.XLOOKUP($A1215,My_Audit!$A:$A,My_Audit!K:K,""),
_xlfn.IFS(_xlpm.MyAuditVal&lt;&gt;"",UPPER(_xlpm.MyAuditVal),_xlpm.MacVal&lt;&gt;"",_xlpm.MacVal,_xlpm.CSVVal&lt;&gt;"",_xlpm.CSVVal
)),"")</f>
        <v/>
      </c>
      <c r="M1215" s="40" t="str" cm="1">
        <f t="array" ref="M1215">IFERROR(_xlfn.LET(
_xlpm.CSVVal,_xlfn.XLOOKUP($A1215,CSV!$A:$A,CSV!Q:Q,""),
_xlpm.MacVal,_xlfn.XLOOKUP($A1215,Output_Mac!$A:$A,Output_Mac!M:M,""),
_xlpm.MyAuditVal,_xlfn.XLOOKUP($A1215,My_Audit!$A:$A,My_Audit!L:L,""),
_xlfn.IFS(_xlpm.MyAuditVal&lt;&gt;"",UPPER(_xlpm.MyAuditVal),_xlpm.MacVal&lt;&gt;"",_xlpm.MacVal,_xlpm.CSVVal&lt;&gt;"",_xlpm.CSVVal
)),"")</f>
        <v/>
      </c>
      <c r="N1215" s="40"/>
      <c r="O1215" s="40" t="str">
        <f>_xlfn.LET(
    _xlpm.CSVVal, _xlfn.XLOOKUP($A1215, CSV!$A:$A, CSV!AA:AA, ""),
    _xlpm.MacVal, _xlfn.XLOOKUP($A1215, Output_Mac!$A:$A, Output_Mac!S:S, ""),
    _xlpm.MyAuditVal, _xlfn.XLOOKUP($A1215, My_Audit!$A:$A, My_Audit!P:P, ""),
    _xlfn.TEXTJOIN(", ", TRUE, _xlpm.MyAuditVal, _xlpm.MacVal, _xlpm.CSVVal)
)</f>
        <v/>
      </c>
      <c r="P1215" s="40" t="str" cm="1">
        <f t="array" ref="P1215">IFERROR(_xlfn.LET(
_xlpm.CSVVal,_xlfn.XLOOKUP($A1215,CSV!$A:$A,CSV!AB:AB,""),
_xlpm.MacVal,_xlfn.XLOOKUP($A1215,Output_Mac!$A:$A,Output_Mac!T:T,""),
_xlpm.MyAuditVal,_xlfn.XLOOKUP($A1215,My_Audit!$A:$A,My_Audit!Q:Q,""),
_xlfn.IFS(_xlpm.MyAuditVal&lt;&gt;"",UPPER(_xlpm.MyAuditVal),_xlpm.MacVal&lt;&gt;"",_xlpm.MacVal,_xlpm.CSVVal&lt;&gt;"",_xlpm.CSVVal
)),"No")</f>
        <v>No</v>
      </c>
      <c r="Q1215" s="40" t="str" cm="1">
        <f t="array" ref="Q1215">IFERROR(_xlfn.LET(
_xlpm.CSVVal,_xlfn.XLOOKUP($A1215,CSV!$A:$A,CSV!AC:AC,""),
_xlpm.MacVal,_xlfn.XLOOKUP($A1215,Output_Mac!$A:$A,Output_Mac!U:U,""),
_xlpm.MyAuditVal,_xlfn.XLOOKUP($A1215,My_Audit!$A:$A,My_Audit!R:R,""),
_xlfn.IFS(_xlpm.MyAuditVal&lt;&gt;"",UPPER(_xlpm.MyAuditVal),_xlpm.MacVal&lt;&gt;"",_xlpm.MacVal,_xlpm.CSVVal&lt;&gt;"",_xlpm.CSVVal
)),"")</f>
        <v/>
      </c>
      <c r="R1215" s="40"/>
      <c r="S1215" s="40"/>
      <c r="T1215" s="40"/>
      <c r="U1215" s="40"/>
      <c r="V1215" s="40"/>
      <c r="W1215" s="40"/>
      <c r="X1215" s="41" t="str">
        <f>_xlfn.LET(
    _xlpm.MacVal, _xlfn.XLOOKUP($A1215, Output_Mac!$A:$A, Output_Mac!AB:AB, ""),
    _xlpm.MyAuditVal, _xlfn.XLOOKUP($A1215, My_Audit!$A:$A, My_Audit!N:N, ""),
    _xlfn.TEXTJOIN(", ", TRUE, _xlpm.MyAuditVal, _xlpm.MacVal)
)</f>
        <v/>
      </c>
    </row>
    <row r="1216" spans="1:24">
      <c r="A1216" s="40" t="str">
        <f>_xlfn.TEXTJOIN("",TRUE,Input!$B$2,ROW(My_Audit!A1215))</f>
        <v>X1215</v>
      </c>
      <c r="B1216" s="40" t="str">
        <f>_xlfn.TEXTJOIN("-",TRUE,"ITD",Input!$A$2,A1216)</f>
        <v>ITD-X1215</v>
      </c>
      <c r="C1216" s="40" t="str" cm="1">
        <f t="array" ref="C1216">IFERROR(_xlfn.LET(
_xlpm.CSVVal,_xlfn.XLOOKUP($A1216,CSV!$A:$A,CSV!B:B,""),
_xlpm.MacVal,_xlfn.XLOOKUP($A1216,Output_Mac!$A:$A,Output_Mac!B:B,""),
_xlpm.MyAuditVal,_xlfn.XLOOKUP($A1216,My_Audit!$A:$A,My_Audit!B:B,""),
_xlfn.IFS(_xlpm.MyAuditVal&lt;&gt;"",UPPER(_xlpm.MyAuditVal),_xlpm.MacVal&lt;&gt;"",_xlpm.MacVal,_xlpm.CSVVal&lt;&gt;"",_xlpm.CSVVal
)),"")</f>
        <v/>
      </c>
      <c r="D1216" s="40" t="str" cm="1">
        <f t="array" ref="D1216">IFERROR(_xlfn.LET(
_xlpm.CSVVal,_xlfn.XLOOKUP($A1216,CSV!$A:$A,CSV!D:D,""),
_xlpm.MacVal,_xlfn.XLOOKUP($A1216,Output_Mac!$A:$A,Output_Mac!C:C,""),
_xlpm.MyAuditVal,_xlfn.XLOOKUP($A1216,My_Audit!$A:$A,My_Audit!C:C,""),
_xlfn.IFS(_xlpm.MyAuditVal&lt;&gt;"",_xlpm.MyAuditVal,_xlpm.MacVal&lt;&gt;"",_xlpm.MacVal,_xlpm.CSVVal&lt;&gt;"",_xlpm.CSVVal
)),"")</f>
        <v/>
      </c>
      <c r="E1216" s="40" t="str">
        <f>_xlfn.XLOOKUP(A1216,My_Audit!A:A,My_Audit!D:D,"")</f>
        <v/>
      </c>
      <c r="F1216" s="40" t="str" cm="1">
        <f t="array" ref="F1216">IFERROR(_xlfn.LET(
_xlpm.CSVVal,_xlfn.XLOOKUP($A1216,CSV!$A:$A,CSV!F:F,""),
_xlpm.MacVal,_xlfn.XLOOKUP($A1216,Output_Mac!$A:$A,Output_Mac!E:E,""),
_xlpm.MyAuditVal,_xlfn.XLOOKUP($A1216,My_Audit!$A:$A,My_Audit!E:E,""),
_xlfn.IFS(_xlpm.MyAuditVal&lt;&gt;"",_xlpm.MyAuditVal,_xlpm.MacVal&lt;&gt;"",_xlpm.MacVal,_xlpm.CSVVal&lt;&gt;"",_xlpm.CSVVal
)),"")</f>
        <v/>
      </c>
      <c r="G1216" s="40" t="str" cm="1">
        <f t="array" ref="G1216">IFERROR(_xlfn.LET(
_xlpm.CSVVal,_xlfn.XLOOKUP($A1216,CSV!$A:$A,CSV!G:G,""),
_xlpm.MacVal,_xlfn.XLOOKUP($A1216,Output_Mac!$A:$A,Output_Mac!F:F,""),
_xlpm.MyAuditVal,_xlfn.XLOOKUP($A1216,My_Audit!$A:$A,My_Audit!F:F,""),
_xlfn.IFS(_xlpm.MyAuditVal&lt;&gt;"",_xlpm.MyAuditVal,_xlpm.MacVal&lt;&gt;"",_xlpm.MacVal,_xlpm.CSVVal&lt;&gt;"",PROPER(_xlpm.CSVVal)
)),"")</f>
        <v/>
      </c>
      <c r="H1216" s="40" t="str" cm="1">
        <f t="array" ref="H1216">IFERROR(_xlfn.LET(
_xlpm.CSVVal,_xlfn.XLOOKUP($A1216,CSV!$A:$A,CSV!H:H,""),
_xlpm.MacVal,_xlfn.XLOOKUP($A1216,Output_Mac!$A:$A,Output_Mac!H:H,""),
_xlpm.MyAuditVal,_xlfn.XLOOKUP($A1216,My_Audit!$A:$A,My_Audit!G:G,""),
_xlfn.IFS(_xlpm.MyAuditVal&lt;&gt;"",_xlpm.MyAuditVal,_xlpm.MacVal&lt;&gt;"",_xlpm.MacVal,_xlpm.CSVVal&lt;&gt;"",_xlpm.CSVVal
)),"")</f>
        <v/>
      </c>
      <c r="I1216" s="40" t="str">
        <f>_xlfn.XLOOKUP(A1216,Output_Mac!A:A,Output_Mac!I:I,"")</f>
        <v/>
      </c>
      <c r="J1216" s="40" t="str" cm="1">
        <f t="array" ref="J1216">IFERROR(_xlfn.LET(
_xlpm.CSVVal,_xlfn.XLOOKUP($A1216,CSV!$A:$A,CSV!I:I,""),
_xlpm.MacVal,_xlfn.XLOOKUP($A1216,Output_Mac!$A:$A,Output_Mac!J:J,""),
_xlpm.MyAuditVal,_xlfn.XLOOKUP($A1216,My_Audit!$A:$A,My_Audit!I:I,""),
_xlfn.IFS(_xlpm.MyAuditVal&lt;&gt;"",UPPER(_xlpm.MyAuditVal),_xlpm.MacVal&lt;&gt;"",_xlpm.MacVal,_xlpm.CSVVal&lt;&gt;"",_xlpm.CSVVal
)),"")</f>
        <v/>
      </c>
      <c r="K1216" s="40" t="str" cm="1">
        <f t="array" ref="K1216">IFERROR(_xlfn.LET(
_xlpm.CSVVal,_xlfn.XLOOKUP($A1216,CSV!$A:$A,CSV!K:K,""),
_xlpm.MacVal,_xlfn.XLOOKUP($A1216,Output_Mac!$A:$A,Output_Mac!K:K,""),
_xlpm.MyAuditVal,_xlfn.XLOOKUP($A1216,My_Audit!$A:$A,My_Audit!J:J,""),
_xlfn.IFS(_xlpm.MyAuditVal&lt;&gt;"",UPPER(_xlpm.MyAuditVal),_xlpm.MacVal&lt;&gt;"",_xlpm.MacVal,_xlpm.CSVVal&lt;&gt;"",_xlpm.CSVVal
)),"")</f>
        <v/>
      </c>
      <c r="L1216" s="40" t="str" cm="1">
        <f t="array" ref="L1216">IFERROR(_xlfn.LET(
_xlpm.CSVVal,_xlfn.XLOOKUP($A1216,CSV!$A:$A,CSV!P:P,""),
_xlpm.MacVal,_xlfn.XLOOKUP($A1216,Output_Mac!$A:$A,Output_Mac!L:L,""),
_xlpm.MyAuditVal,_xlfn.XLOOKUP($A1216,My_Audit!$A:$A,My_Audit!K:K,""),
_xlfn.IFS(_xlpm.MyAuditVal&lt;&gt;"",UPPER(_xlpm.MyAuditVal),_xlpm.MacVal&lt;&gt;"",_xlpm.MacVal,_xlpm.CSVVal&lt;&gt;"",_xlpm.CSVVal
)),"")</f>
        <v/>
      </c>
      <c r="M1216" s="40" t="str" cm="1">
        <f t="array" ref="M1216">IFERROR(_xlfn.LET(
_xlpm.CSVVal,_xlfn.XLOOKUP($A1216,CSV!$A:$A,CSV!Q:Q,""),
_xlpm.MacVal,_xlfn.XLOOKUP($A1216,Output_Mac!$A:$A,Output_Mac!M:M,""),
_xlpm.MyAuditVal,_xlfn.XLOOKUP($A1216,My_Audit!$A:$A,My_Audit!L:L,""),
_xlfn.IFS(_xlpm.MyAuditVal&lt;&gt;"",UPPER(_xlpm.MyAuditVal),_xlpm.MacVal&lt;&gt;"",_xlpm.MacVal,_xlpm.CSVVal&lt;&gt;"",_xlpm.CSVVal
)),"")</f>
        <v/>
      </c>
      <c r="N1216" s="40"/>
      <c r="O1216" s="40" t="str">
        <f>_xlfn.LET(
    _xlpm.CSVVal, _xlfn.XLOOKUP($A1216, CSV!$A:$A, CSV!AA:AA, ""),
    _xlpm.MacVal, _xlfn.XLOOKUP($A1216, Output_Mac!$A:$A, Output_Mac!S:S, ""),
    _xlpm.MyAuditVal, _xlfn.XLOOKUP($A1216, My_Audit!$A:$A, My_Audit!P:P, ""),
    _xlfn.TEXTJOIN(", ", TRUE, _xlpm.MyAuditVal, _xlpm.MacVal, _xlpm.CSVVal)
)</f>
        <v/>
      </c>
      <c r="P1216" s="40" t="str" cm="1">
        <f t="array" ref="P1216">IFERROR(_xlfn.LET(
_xlpm.CSVVal,_xlfn.XLOOKUP($A1216,CSV!$A:$A,CSV!AB:AB,""),
_xlpm.MacVal,_xlfn.XLOOKUP($A1216,Output_Mac!$A:$A,Output_Mac!T:T,""),
_xlpm.MyAuditVal,_xlfn.XLOOKUP($A1216,My_Audit!$A:$A,My_Audit!Q:Q,""),
_xlfn.IFS(_xlpm.MyAuditVal&lt;&gt;"",UPPER(_xlpm.MyAuditVal),_xlpm.MacVal&lt;&gt;"",_xlpm.MacVal,_xlpm.CSVVal&lt;&gt;"",_xlpm.CSVVal
)),"No")</f>
        <v>No</v>
      </c>
      <c r="Q1216" s="40" t="str" cm="1">
        <f t="array" ref="Q1216">IFERROR(_xlfn.LET(
_xlpm.CSVVal,_xlfn.XLOOKUP($A1216,CSV!$A:$A,CSV!AC:AC,""),
_xlpm.MacVal,_xlfn.XLOOKUP($A1216,Output_Mac!$A:$A,Output_Mac!U:U,""),
_xlpm.MyAuditVal,_xlfn.XLOOKUP($A1216,My_Audit!$A:$A,My_Audit!R:R,""),
_xlfn.IFS(_xlpm.MyAuditVal&lt;&gt;"",UPPER(_xlpm.MyAuditVal),_xlpm.MacVal&lt;&gt;"",_xlpm.MacVal,_xlpm.CSVVal&lt;&gt;"",_xlpm.CSVVal
)),"")</f>
        <v/>
      </c>
      <c r="R1216" s="40"/>
      <c r="S1216" s="40"/>
      <c r="T1216" s="40"/>
      <c r="U1216" s="40"/>
      <c r="V1216" s="40"/>
      <c r="W1216" s="40"/>
      <c r="X1216" s="41" t="str">
        <f>_xlfn.LET(
    _xlpm.MacVal, _xlfn.XLOOKUP($A1216, Output_Mac!$A:$A, Output_Mac!AB:AB, ""),
    _xlpm.MyAuditVal, _xlfn.XLOOKUP($A1216, My_Audit!$A:$A, My_Audit!N:N, ""),
    _xlfn.TEXTJOIN(", ", TRUE, _xlpm.MyAuditVal, _xlpm.MacVal)
)</f>
        <v/>
      </c>
    </row>
    <row r="1217" spans="1:24">
      <c r="A1217" s="40" t="str">
        <f>_xlfn.TEXTJOIN("",TRUE,Input!$B$2,ROW(My_Audit!A1216))</f>
        <v>X1216</v>
      </c>
      <c r="B1217" s="40" t="str">
        <f>_xlfn.TEXTJOIN("-",TRUE,"ITD",Input!$A$2,A1217)</f>
        <v>ITD-X1216</v>
      </c>
      <c r="C1217" s="40" t="str" cm="1">
        <f t="array" ref="C1217">IFERROR(_xlfn.LET(
_xlpm.CSVVal,_xlfn.XLOOKUP($A1217,CSV!$A:$A,CSV!B:B,""),
_xlpm.MacVal,_xlfn.XLOOKUP($A1217,Output_Mac!$A:$A,Output_Mac!B:B,""),
_xlpm.MyAuditVal,_xlfn.XLOOKUP($A1217,My_Audit!$A:$A,My_Audit!B:B,""),
_xlfn.IFS(_xlpm.MyAuditVal&lt;&gt;"",UPPER(_xlpm.MyAuditVal),_xlpm.MacVal&lt;&gt;"",_xlpm.MacVal,_xlpm.CSVVal&lt;&gt;"",_xlpm.CSVVal
)),"")</f>
        <v/>
      </c>
      <c r="D1217" s="40" t="str" cm="1">
        <f t="array" ref="D1217">IFERROR(_xlfn.LET(
_xlpm.CSVVal,_xlfn.XLOOKUP($A1217,CSV!$A:$A,CSV!D:D,""),
_xlpm.MacVal,_xlfn.XLOOKUP($A1217,Output_Mac!$A:$A,Output_Mac!C:C,""),
_xlpm.MyAuditVal,_xlfn.XLOOKUP($A1217,My_Audit!$A:$A,My_Audit!C:C,""),
_xlfn.IFS(_xlpm.MyAuditVal&lt;&gt;"",_xlpm.MyAuditVal,_xlpm.MacVal&lt;&gt;"",_xlpm.MacVal,_xlpm.CSVVal&lt;&gt;"",_xlpm.CSVVal
)),"")</f>
        <v/>
      </c>
      <c r="E1217" s="40" t="str">
        <f>_xlfn.XLOOKUP(A1217,My_Audit!A:A,My_Audit!D:D,"")</f>
        <v/>
      </c>
      <c r="F1217" s="40" t="str" cm="1">
        <f t="array" ref="F1217">IFERROR(_xlfn.LET(
_xlpm.CSVVal,_xlfn.XLOOKUP($A1217,CSV!$A:$A,CSV!F:F,""),
_xlpm.MacVal,_xlfn.XLOOKUP($A1217,Output_Mac!$A:$A,Output_Mac!E:E,""),
_xlpm.MyAuditVal,_xlfn.XLOOKUP($A1217,My_Audit!$A:$A,My_Audit!E:E,""),
_xlfn.IFS(_xlpm.MyAuditVal&lt;&gt;"",_xlpm.MyAuditVal,_xlpm.MacVal&lt;&gt;"",_xlpm.MacVal,_xlpm.CSVVal&lt;&gt;"",_xlpm.CSVVal
)),"")</f>
        <v/>
      </c>
      <c r="G1217" s="40" t="str" cm="1">
        <f t="array" ref="G1217">IFERROR(_xlfn.LET(
_xlpm.CSVVal,_xlfn.XLOOKUP($A1217,CSV!$A:$A,CSV!G:G,""),
_xlpm.MacVal,_xlfn.XLOOKUP($A1217,Output_Mac!$A:$A,Output_Mac!F:F,""),
_xlpm.MyAuditVal,_xlfn.XLOOKUP($A1217,My_Audit!$A:$A,My_Audit!F:F,""),
_xlfn.IFS(_xlpm.MyAuditVal&lt;&gt;"",_xlpm.MyAuditVal,_xlpm.MacVal&lt;&gt;"",_xlpm.MacVal,_xlpm.CSVVal&lt;&gt;"",PROPER(_xlpm.CSVVal)
)),"")</f>
        <v/>
      </c>
      <c r="H1217" s="40" t="str" cm="1">
        <f t="array" ref="H1217">IFERROR(_xlfn.LET(
_xlpm.CSVVal,_xlfn.XLOOKUP($A1217,CSV!$A:$A,CSV!H:H,""),
_xlpm.MacVal,_xlfn.XLOOKUP($A1217,Output_Mac!$A:$A,Output_Mac!H:H,""),
_xlpm.MyAuditVal,_xlfn.XLOOKUP($A1217,My_Audit!$A:$A,My_Audit!G:G,""),
_xlfn.IFS(_xlpm.MyAuditVal&lt;&gt;"",_xlpm.MyAuditVal,_xlpm.MacVal&lt;&gt;"",_xlpm.MacVal,_xlpm.CSVVal&lt;&gt;"",_xlpm.CSVVal
)),"")</f>
        <v/>
      </c>
      <c r="I1217" s="40" t="str">
        <f>_xlfn.XLOOKUP(A1217,Output_Mac!A:A,Output_Mac!I:I,"")</f>
        <v/>
      </c>
      <c r="J1217" s="40" t="str" cm="1">
        <f t="array" ref="J1217">IFERROR(_xlfn.LET(
_xlpm.CSVVal,_xlfn.XLOOKUP($A1217,CSV!$A:$A,CSV!I:I,""),
_xlpm.MacVal,_xlfn.XLOOKUP($A1217,Output_Mac!$A:$A,Output_Mac!J:J,""),
_xlpm.MyAuditVal,_xlfn.XLOOKUP($A1217,My_Audit!$A:$A,My_Audit!I:I,""),
_xlfn.IFS(_xlpm.MyAuditVal&lt;&gt;"",UPPER(_xlpm.MyAuditVal),_xlpm.MacVal&lt;&gt;"",_xlpm.MacVal,_xlpm.CSVVal&lt;&gt;"",_xlpm.CSVVal
)),"")</f>
        <v/>
      </c>
      <c r="K1217" s="40" t="str" cm="1">
        <f t="array" ref="K1217">IFERROR(_xlfn.LET(
_xlpm.CSVVal,_xlfn.XLOOKUP($A1217,CSV!$A:$A,CSV!K:K,""),
_xlpm.MacVal,_xlfn.XLOOKUP($A1217,Output_Mac!$A:$A,Output_Mac!K:K,""),
_xlpm.MyAuditVal,_xlfn.XLOOKUP($A1217,My_Audit!$A:$A,My_Audit!J:J,""),
_xlfn.IFS(_xlpm.MyAuditVal&lt;&gt;"",UPPER(_xlpm.MyAuditVal),_xlpm.MacVal&lt;&gt;"",_xlpm.MacVal,_xlpm.CSVVal&lt;&gt;"",_xlpm.CSVVal
)),"")</f>
        <v/>
      </c>
      <c r="L1217" s="40" t="str" cm="1">
        <f t="array" ref="L1217">IFERROR(_xlfn.LET(
_xlpm.CSVVal,_xlfn.XLOOKUP($A1217,CSV!$A:$A,CSV!P:P,""),
_xlpm.MacVal,_xlfn.XLOOKUP($A1217,Output_Mac!$A:$A,Output_Mac!L:L,""),
_xlpm.MyAuditVal,_xlfn.XLOOKUP($A1217,My_Audit!$A:$A,My_Audit!K:K,""),
_xlfn.IFS(_xlpm.MyAuditVal&lt;&gt;"",UPPER(_xlpm.MyAuditVal),_xlpm.MacVal&lt;&gt;"",_xlpm.MacVal,_xlpm.CSVVal&lt;&gt;"",_xlpm.CSVVal
)),"")</f>
        <v/>
      </c>
      <c r="M1217" s="40" t="str" cm="1">
        <f t="array" ref="M1217">IFERROR(_xlfn.LET(
_xlpm.CSVVal,_xlfn.XLOOKUP($A1217,CSV!$A:$A,CSV!Q:Q,""),
_xlpm.MacVal,_xlfn.XLOOKUP($A1217,Output_Mac!$A:$A,Output_Mac!M:M,""),
_xlpm.MyAuditVal,_xlfn.XLOOKUP($A1217,My_Audit!$A:$A,My_Audit!L:L,""),
_xlfn.IFS(_xlpm.MyAuditVal&lt;&gt;"",UPPER(_xlpm.MyAuditVal),_xlpm.MacVal&lt;&gt;"",_xlpm.MacVal,_xlpm.CSVVal&lt;&gt;"",_xlpm.CSVVal
)),"")</f>
        <v/>
      </c>
      <c r="N1217" s="40"/>
      <c r="O1217" s="40" t="str">
        <f>_xlfn.LET(
    _xlpm.CSVVal, _xlfn.XLOOKUP($A1217, CSV!$A:$A, CSV!AA:AA, ""),
    _xlpm.MacVal, _xlfn.XLOOKUP($A1217, Output_Mac!$A:$A, Output_Mac!S:S, ""),
    _xlpm.MyAuditVal, _xlfn.XLOOKUP($A1217, My_Audit!$A:$A, My_Audit!P:P, ""),
    _xlfn.TEXTJOIN(", ", TRUE, _xlpm.MyAuditVal, _xlpm.MacVal, _xlpm.CSVVal)
)</f>
        <v/>
      </c>
      <c r="P1217" s="40" t="str" cm="1">
        <f t="array" ref="P1217">IFERROR(_xlfn.LET(
_xlpm.CSVVal,_xlfn.XLOOKUP($A1217,CSV!$A:$A,CSV!AB:AB,""),
_xlpm.MacVal,_xlfn.XLOOKUP($A1217,Output_Mac!$A:$A,Output_Mac!T:T,""),
_xlpm.MyAuditVal,_xlfn.XLOOKUP($A1217,My_Audit!$A:$A,My_Audit!Q:Q,""),
_xlfn.IFS(_xlpm.MyAuditVal&lt;&gt;"",UPPER(_xlpm.MyAuditVal),_xlpm.MacVal&lt;&gt;"",_xlpm.MacVal,_xlpm.CSVVal&lt;&gt;"",_xlpm.CSVVal
)),"No")</f>
        <v>No</v>
      </c>
      <c r="Q1217" s="40" t="str" cm="1">
        <f t="array" ref="Q1217">IFERROR(_xlfn.LET(
_xlpm.CSVVal,_xlfn.XLOOKUP($A1217,CSV!$A:$A,CSV!AC:AC,""),
_xlpm.MacVal,_xlfn.XLOOKUP($A1217,Output_Mac!$A:$A,Output_Mac!U:U,""),
_xlpm.MyAuditVal,_xlfn.XLOOKUP($A1217,My_Audit!$A:$A,My_Audit!R:R,""),
_xlfn.IFS(_xlpm.MyAuditVal&lt;&gt;"",UPPER(_xlpm.MyAuditVal),_xlpm.MacVal&lt;&gt;"",_xlpm.MacVal,_xlpm.CSVVal&lt;&gt;"",_xlpm.CSVVal
)),"")</f>
        <v/>
      </c>
      <c r="R1217" s="40"/>
      <c r="S1217" s="40"/>
      <c r="T1217" s="40"/>
      <c r="U1217" s="40"/>
      <c r="V1217" s="40"/>
      <c r="W1217" s="40"/>
      <c r="X1217" s="41" t="str">
        <f>_xlfn.LET(
    _xlpm.MacVal, _xlfn.XLOOKUP($A1217, Output_Mac!$A:$A, Output_Mac!AB:AB, ""),
    _xlpm.MyAuditVal, _xlfn.XLOOKUP($A1217, My_Audit!$A:$A, My_Audit!N:N, ""),
    _xlfn.TEXTJOIN(", ", TRUE, _xlpm.MyAuditVal, _xlpm.MacVal)
)</f>
        <v/>
      </c>
    </row>
    <row r="1218" spans="1:24">
      <c r="A1218" s="40" t="str">
        <f>_xlfn.TEXTJOIN("",TRUE,Input!$B$2,ROW(My_Audit!A1217))</f>
        <v>X1217</v>
      </c>
      <c r="B1218" s="40" t="str">
        <f>_xlfn.TEXTJOIN("-",TRUE,"ITD",Input!$A$2,A1218)</f>
        <v>ITD-X1217</v>
      </c>
      <c r="C1218" s="40" t="str" cm="1">
        <f t="array" ref="C1218">IFERROR(_xlfn.LET(
_xlpm.CSVVal,_xlfn.XLOOKUP($A1218,CSV!$A:$A,CSV!B:B,""),
_xlpm.MacVal,_xlfn.XLOOKUP($A1218,Output_Mac!$A:$A,Output_Mac!B:B,""),
_xlpm.MyAuditVal,_xlfn.XLOOKUP($A1218,My_Audit!$A:$A,My_Audit!B:B,""),
_xlfn.IFS(_xlpm.MyAuditVal&lt;&gt;"",UPPER(_xlpm.MyAuditVal),_xlpm.MacVal&lt;&gt;"",_xlpm.MacVal,_xlpm.CSVVal&lt;&gt;"",_xlpm.CSVVal
)),"")</f>
        <v/>
      </c>
      <c r="D1218" s="40" t="str" cm="1">
        <f t="array" ref="D1218">IFERROR(_xlfn.LET(
_xlpm.CSVVal,_xlfn.XLOOKUP($A1218,CSV!$A:$A,CSV!D:D,""),
_xlpm.MacVal,_xlfn.XLOOKUP($A1218,Output_Mac!$A:$A,Output_Mac!C:C,""),
_xlpm.MyAuditVal,_xlfn.XLOOKUP($A1218,My_Audit!$A:$A,My_Audit!C:C,""),
_xlfn.IFS(_xlpm.MyAuditVal&lt;&gt;"",_xlpm.MyAuditVal,_xlpm.MacVal&lt;&gt;"",_xlpm.MacVal,_xlpm.CSVVal&lt;&gt;"",_xlpm.CSVVal
)),"")</f>
        <v/>
      </c>
      <c r="E1218" s="40" t="str">
        <f>_xlfn.XLOOKUP(A1218,My_Audit!A:A,My_Audit!D:D,"")</f>
        <v/>
      </c>
      <c r="F1218" s="40" t="str" cm="1">
        <f t="array" ref="F1218">IFERROR(_xlfn.LET(
_xlpm.CSVVal,_xlfn.XLOOKUP($A1218,CSV!$A:$A,CSV!F:F,""),
_xlpm.MacVal,_xlfn.XLOOKUP($A1218,Output_Mac!$A:$A,Output_Mac!E:E,""),
_xlpm.MyAuditVal,_xlfn.XLOOKUP($A1218,My_Audit!$A:$A,My_Audit!E:E,""),
_xlfn.IFS(_xlpm.MyAuditVal&lt;&gt;"",_xlpm.MyAuditVal,_xlpm.MacVal&lt;&gt;"",_xlpm.MacVal,_xlpm.CSVVal&lt;&gt;"",_xlpm.CSVVal
)),"")</f>
        <v/>
      </c>
      <c r="G1218" s="40" t="str" cm="1">
        <f t="array" ref="G1218">IFERROR(_xlfn.LET(
_xlpm.CSVVal,_xlfn.XLOOKUP($A1218,CSV!$A:$A,CSV!G:G,""),
_xlpm.MacVal,_xlfn.XLOOKUP($A1218,Output_Mac!$A:$A,Output_Mac!F:F,""),
_xlpm.MyAuditVal,_xlfn.XLOOKUP($A1218,My_Audit!$A:$A,My_Audit!F:F,""),
_xlfn.IFS(_xlpm.MyAuditVal&lt;&gt;"",_xlpm.MyAuditVal,_xlpm.MacVal&lt;&gt;"",_xlpm.MacVal,_xlpm.CSVVal&lt;&gt;"",PROPER(_xlpm.CSVVal)
)),"")</f>
        <v/>
      </c>
      <c r="H1218" s="40" t="str" cm="1">
        <f t="array" ref="H1218">IFERROR(_xlfn.LET(
_xlpm.CSVVal,_xlfn.XLOOKUP($A1218,CSV!$A:$A,CSV!H:H,""),
_xlpm.MacVal,_xlfn.XLOOKUP($A1218,Output_Mac!$A:$A,Output_Mac!H:H,""),
_xlpm.MyAuditVal,_xlfn.XLOOKUP($A1218,My_Audit!$A:$A,My_Audit!G:G,""),
_xlfn.IFS(_xlpm.MyAuditVal&lt;&gt;"",_xlpm.MyAuditVal,_xlpm.MacVal&lt;&gt;"",_xlpm.MacVal,_xlpm.CSVVal&lt;&gt;"",_xlpm.CSVVal
)),"")</f>
        <v/>
      </c>
      <c r="I1218" s="40" t="str">
        <f>_xlfn.XLOOKUP(A1218,Output_Mac!A:A,Output_Mac!I:I,"")</f>
        <v/>
      </c>
      <c r="J1218" s="40" t="str" cm="1">
        <f t="array" ref="J1218">IFERROR(_xlfn.LET(
_xlpm.CSVVal,_xlfn.XLOOKUP($A1218,CSV!$A:$A,CSV!I:I,""),
_xlpm.MacVal,_xlfn.XLOOKUP($A1218,Output_Mac!$A:$A,Output_Mac!J:J,""),
_xlpm.MyAuditVal,_xlfn.XLOOKUP($A1218,My_Audit!$A:$A,My_Audit!I:I,""),
_xlfn.IFS(_xlpm.MyAuditVal&lt;&gt;"",UPPER(_xlpm.MyAuditVal),_xlpm.MacVal&lt;&gt;"",_xlpm.MacVal,_xlpm.CSVVal&lt;&gt;"",_xlpm.CSVVal
)),"")</f>
        <v/>
      </c>
      <c r="K1218" s="40" t="str" cm="1">
        <f t="array" ref="K1218">IFERROR(_xlfn.LET(
_xlpm.CSVVal,_xlfn.XLOOKUP($A1218,CSV!$A:$A,CSV!K:K,""),
_xlpm.MacVal,_xlfn.XLOOKUP($A1218,Output_Mac!$A:$A,Output_Mac!K:K,""),
_xlpm.MyAuditVal,_xlfn.XLOOKUP($A1218,My_Audit!$A:$A,My_Audit!J:J,""),
_xlfn.IFS(_xlpm.MyAuditVal&lt;&gt;"",UPPER(_xlpm.MyAuditVal),_xlpm.MacVal&lt;&gt;"",_xlpm.MacVal,_xlpm.CSVVal&lt;&gt;"",_xlpm.CSVVal
)),"")</f>
        <v/>
      </c>
      <c r="L1218" s="40" t="str" cm="1">
        <f t="array" ref="L1218">IFERROR(_xlfn.LET(
_xlpm.CSVVal,_xlfn.XLOOKUP($A1218,CSV!$A:$A,CSV!P:P,""),
_xlpm.MacVal,_xlfn.XLOOKUP($A1218,Output_Mac!$A:$A,Output_Mac!L:L,""),
_xlpm.MyAuditVal,_xlfn.XLOOKUP($A1218,My_Audit!$A:$A,My_Audit!K:K,""),
_xlfn.IFS(_xlpm.MyAuditVal&lt;&gt;"",UPPER(_xlpm.MyAuditVal),_xlpm.MacVal&lt;&gt;"",_xlpm.MacVal,_xlpm.CSVVal&lt;&gt;"",_xlpm.CSVVal
)),"")</f>
        <v/>
      </c>
      <c r="M1218" s="40" t="str" cm="1">
        <f t="array" ref="M1218">IFERROR(_xlfn.LET(
_xlpm.CSVVal,_xlfn.XLOOKUP($A1218,CSV!$A:$A,CSV!Q:Q,""),
_xlpm.MacVal,_xlfn.XLOOKUP($A1218,Output_Mac!$A:$A,Output_Mac!M:M,""),
_xlpm.MyAuditVal,_xlfn.XLOOKUP($A1218,My_Audit!$A:$A,My_Audit!L:L,""),
_xlfn.IFS(_xlpm.MyAuditVal&lt;&gt;"",UPPER(_xlpm.MyAuditVal),_xlpm.MacVal&lt;&gt;"",_xlpm.MacVal,_xlpm.CSVVal&lt;&gt;"",_xlpm.CSVVal
)),"")</f>
        <v/>
      </c>
      <c r="N1218" s="40"/>
      <c r="O1218" s="40" t="str">
        <f>_xlfn.LET(
    _xlpm.CSVVal, _xlfn.XLOOKUP($A1218, CSV!$A:$A, CSV!AA:AA, ""),
    _xlpm.MacVal, _xlfn.XLOOKUP($A1218, Output_Mac!$A:$A, Output_Mac!S:S, ""),
    _xlpm.MyAuditVal, _xlfn.XLOOKUP($A1218, My_Audit!$A:$A, My_Audit!P:P, ""),
    _xlfn.TEXTJOIN(", ", TRUE, _xlpm.MyAuditVal, _xlpm.MacVal, _xlpm.CSVVal)
)</f>
        <v/>
      </c>
      <c r="P1218" s="40" t="str" cm="1">
        <f t="array" ref="P1218">IFERROR(_xlfn.LET(
_xlpm.CSVVal,_xlfn.XLOOKUP($A1218,CSV!$A:$A,CSV!AB:AB,""),
_xlpm.MacVal,_xlfn.XLOOKUP($A1218,Output_Mac!$A:$A,Output_Mac!T:T,""),
_xlpm.MyAuditVal,_xlfn.XLOOKUP($A1218,My_Audit!$A:$A,My_Audit!Q:Q,""),
_xlfn.IFS(_xlpm.MyAuditVal&lt;&gt;"",UPPER(_xlpm.MyAuditVal),_xlpm.MacVal&lt;&gt;"",_xlpm.MacVal,_xlpm.CSVVal&lt;&gt;"",_xlpm.CSVVal
)),"No")</f>
        <v>No</v>
      </c>
      <c r="Q1218" s="40" t="str" cm="1">
        <f t="array" ref="Q1218">IFERROR(_xlfn.LET(
_xlpm.CSVVal,_xlfn.XLOOKUP($A1218,CSV!$A:$A,CSV!AC:AC,""),
_xlpm.MacVal,_xlfn.XLOOKUP($A1218,Output_Mac!$A:$A,Output_Mac!U:U,""),
_xlpm.MyAuditVal,_xlfn.XLOOKUP($A1218,My_Audit!$A:$A,My_Audit!R:R,""),
_xlfn.IFS(_xlpm.MyAuditVal&lt;&gt;"",UPPER(_xlpm.MyAuditVal),_xlpm.MacVal&lt;&gt;"",_xlpm.MacVal,_xlpm.CSVVal&lt;&gt;"",_xlpm.CSVVal
)),"")</f>
        <v/>
      </c>
      <c r="R1218" s="40"/>
      <c r="S1218" s="40"/>
      <c r="T1218" s="40"/>
      <c r="U1218" s="40"/>
      <c r="V1218" s="40"/>
      <c r="W1218" s="40"/>
      <c r="X1218" s="41" t="str">
        <f>_xlfn.LET(
    _xlpm.MacVal, _xlfn.XLOOKUP($A1218, Output_Mac!$A:$A, Output_Mac!AB:AB, ""),
    _xlpm.MyAuditVal, _xlfn.XLOOKUP($A1218, My_Audit!$A:$A, My_Audit!N:N, ""),
    _xlfn.TEXTJOIN(", ", TRUE, _xlpm.MyAuditVal, _xlpm.MacVal)
)</f>
        <v/>
      </c>
    </row>
    <row r="1219" spans="1:24">
      <c r="A1219" s="40" t="str">
        <f>_xlfn.TEXTJOIN("",TRUE,Input!$B$2,ROW(My_Audit!A1218))</f>
        <v>X1218</v>
      </c>
      <c r="B1219" s="40" t="str">
        <f>_xlfn.TEXTJOIN("-",TRUE,"ITD",Input!$A$2,A1219)</f>
        <v>ITD-X1218</v>
      </c>
      <c r="C1219" s="40" t="str" cm="1">
        <f t="array" ref="C1219">IFERROR(_xlfn.LET(
_xlpm.CSVVal,_xlfn.XLOOKUP($A1219,CSV!$A:$A,CSV!B:B,""),
_xlpm.MacVal,_xlfn.XLOOKUP($A1219,Output_Mac!$A:$A,Output_Mac!B:B,""),
_xlpm.MyAuditVal,_xlfn.XLOOKUP($A1219,My_Audit!$A:$A,My_Audit!B:B,""),
_xlfn.IFS(_xlpm.MyAuditVal&lt;&gt;"",UPPER(_xlpm.MyAuditVal),_xlpm.MacVal&lt;&gt;"",_xlpm.MacVal,_xlpm.CSVVal&lt;&gt;"",_xlpm.CSVVal
)),"")</f>
        <v/>
      </c>
      <c r="D1219" s="40" t="str" cm="1">
        <f t="array" ref="D1219">IFERROR(_xlfn.LET(
_xlpm.CSVVal,_xlfn.XLOOKUP($A1219,CSV!$A:$A,CSV!D:D,""),
_xlpm.MacVal,_xlfn.XLOOKUP($A1219,Output_Mac!$A:$A,Output_Mac!C:C,""),
_xlpm.MyAuditVal,_xlfn.XLOOKUP($A1219,My_Audit!$A:$A,My_Audit!C:C,""),
_xlfn.IFS(_xlpm.MyAuditVal&lt;&gt;"",_xlpm.MyAuditVal,_xlpm.MacVal&lt;&gt;"",_xlpm.MacVal,_xlpm.CSVVal&lt;&gt;"",_xlpm.CSVVal
)),"")</f>
        <v/>
      </c>
      <c r="E1219" s="40" t="str">
        <f>_xlfn.XLOOKUP(A1219,My_Audit!A:A,My_Audit!D:D,"")</f>
        <v/>
      </c>
      <c r="F1219" s="40" t="str" cm="1">
        <f t="array" ref="F1219">IFERROR(_xlfn.LET(
_xlpm.CSVVal,_xlfn.XLOOKUP($A1219,CSV!$A:$A,CSV!F:F,""),
_xlpm.MacVal,_xlfn.XLOOKUP($A1219,Output_Mac!$A:$A,Output_Mac!E:E,""),
_xlpm.MyAuditVal,_xlfn.XLOOKUP($A1219,My_Audit!$A:$A,My_Audit!E:E,""),
_xlfn.IFS(_xlpm.MyAuditVal&lt;&gt;"",_xlpm.MyAuditVal,_xlpm.MacVal&lt;&gt;"",_xlpm.MacVal,_xlpm.CSVVal&lt;&gt;"",_xlpm.CSVVal
)),"")</f>
        <v/>
      </c>
      <c r="G1219" s="40" t="str" cm="1">
        <f t="array" ref="G1219">IFERROR(_xlfn.LET(
_xlpm.CSVVal,_xlfn.XLOOKUP($A1219,CSV!$A:$A,CSV!G:G,""),
_xlpm.MacVal,_xlfn.XLOOKUP($A1219,Output_Mac!$A:$A,Output_Mac!F:F,""),
_xlpm.MyAuditVal,_xlfn.XLOOKUP($A1219,My_Audit!$A:$A,My_Audit!F:F,""),
_xlfn.IFS(_xlpm.MyAuditVal&lt;&gt;"",_xlpm.MyAuditVal,_xlpm.MacVal&lt;&gt;"",_xlpm.MacVal,_xlpm.CSVVal&lt;&gt;"",PROPER(_xlpm.CSVVal)
)),"")</f>
        <v/>
      </c>
      <c r="H1219" s="40" t="str" cm="1">
        <f t="array" ref="H1219">IFERROR(_xlfn.LET(
_xlpm.CSVVal,_xlfn.XLOOKUP($A1219,CSV!$A:$A,CSV!H:H,""),
_xlpm.MacVal,_xlfn.XLOOKUP($A1219,Output_Mac!$A:$A,Output_Mac!H:H,""),
_xlpm.MyAuditVal,_xlfn.XLOOKUP($A1219,My_Audit!$A:$A,My_Audit!G:G,""),
_xlfn.IFS(_xlpm.MyAuditVal&lt;&gt;"",_xlpm.MyAuditVal,_xlpm.MacVal&lt;&gt;"",_xlpm.MacVal,_xlpm.CSVVal&lt;&gt;"",_xlpm.CSVVal
)),"")</f>
        <v/>
      </c>
      <c r="I1219" s="40" t="str">
        <f>_xlfn.XLOOKUP(A1219,Output_Mac!A:A,Output_Mac!I:I,"")</f>
        <v/>
      </c>
      <c r="J1219" s="40" t="str" cm="1">
        <f t="array" ref="J1219">IFERROR(_xlfn.LET(
_xlpm.CSVVal,_xlfn.XLOOKUP($A1219,CSV!$A:$A,CSV!I:I,""),
_xlpm.MacVal,_xlfn.XLOOKUP($A1219,Output_Mac!$A:$A,Output_Mac!J:J,""),
_xlpm.MyAuditVal,_xlfn.XLOOKUP($A1219,My_Audit!$A:$A,My_Audit!I:I,""),
_xlfn.IFS(_xlpm.MyAuditVal&lt;&gt;"",UPPER(_xlpm.MyAuditVal),_xlpm.MacVal&lt;&gt;"",_xlpm.MacVal,_xlpm.CSVVal&lt;&gt;"",_xlpm.CSVVal
)),"")</f>
        <v/>
      </c>
      <c r="K1219" s="40" t="str" cm="1">
        <f t="array" ref="K1219">IFERROR(_xlfn.LET(
_xlpm.CSVVal,_xlfn.XLOOKUP($A1219,CSV!$A:$A,CSV!K:K,""),
_xlpm.MacVal,_xlfn.XLOOKUP($A1219,Output_Mac!$A:$A,Output_Mac!K:K,""),
_xlpm.MyAuditVal,_xlfn.XLOOKUP($A1219,My_Audit!$A:$A,My_Audit!J:J,""),
_xlfn.IFS(_xlpm.MyAuditVal&lt;&gt;"",UPPER(_xlpm.MyAuditVal),_xlpm.MacVal&lt;&gt;"",_xlpm.MacVal,_xlpm.CSVVal&lt;&gt;"",_xlpm.CSVVal
)),"")</f>
        <v/>
      </c>
      <c r="L1219" s="40" t="str" cm="1">
        <f t="array" ref="L1219">IFERROR(_xlfn.LET(
_xlpm.CSVVal,_xlfn.XLOOKUP($A1219,CSV!$A:$A,CSV!P:P,""),
_xlpm.MacVal,_xlfn.XLOOKUP($A1219,Output_Mac!$A:$A,Output_Mac!L:L,""),
_xlpm.MyAuditVal,_xlfn.XLOOKUP($A1219,My_Audit!$A:$A,My_Audit!K:K,""),
_xlfn.IFS(_xlpm.MyAuditVal&lt;&gt;"",UPPER(_xlpm.MyAuditVal),_xlpm.MacVal&lt;&gt;"",_xlpm.MacVal,_xlpm.CSVVal&lt;&gt;"",_xlpm.CSVVal
)),"")</f>
        <v/>
      </c>
      <c r="M1219" s="40" t="str" cm="1">
        <f t="array" ref="M1219">IFERROR(_xlfn.LET(
_xlpm.CSVVal,_xlfn.XLOOKUP($A1219,CSV!$A:$A,CSV!Q:Q,""),
_xlpm.MacVal,_xlfn.XLOOKUP($A1219,Output_Mac!$A:$A,Output_Mac!M:M,""),
_xlpm.MyAuditVal,_xlfn.XLOOKUP($A1219,My_Audit!$A:$A,My_Audit!L:L,""),
_xlfn.IFS(_xlpm.MyAuditVal&lt;&gt;"",UPPER(_xlpm.MyAuditVal),_xlpm.MacVal&lt;&gt;"",_xlpm.MacVal,_xlpm.CSVVal&lt;&gt;"",_xlpm.CSVVal
)),"")</f>
        <v/>
      </c>
      <c r="N1219" s="40"/>
      <c r="O1219" s="40" t="str">
        <f>_xlfn.LET(
    _xlpm.CSVVal, _xlfn.XLOOKUP($A1219, CSV!$A:$A, CSV!AA:AA, ""),
    _xlpm.MacVal, _xlfn.XLOOKUP($A1219, Output_Mac!$A:$A, Output_Mac!S:S, ""),
    _xlpm.MyAuditVal, _xlfn.XLOOKUP($A1219, My_Audit!$A:$A, My_Audit!P:P, ""),
    _xlfn.TEXTJOIN(", ", TRUE, _xlpm.MyAuditVal, _xlpm.MacVal, _xlpm.CSVVal)
)</f>
        <v/>
      </c>
      <c r="P1219" s="40" t="str" cm="1">
        <f t="array" ref="P1219">IFERROR(_xlfn.LET(
_xlpm.CSVVal,_xlfn.XLOOKUP($A1219,CSV!$A:$A,CSV!AB:AB,""),
_xlpm.MacVal,_xlfn.XLOOKUP($A1219,Output_Mac!$A:$A,Output_Mac!T:T,""),
_xlpm.MyAuditVal,_xlfn.XLOOKUP($A1219,My_Audit!$A:$A,My_Audit!Q:Q,""),
_xlfn.IFS(_xlpm.MyAuditVal&lt;&gt;"",UPPER(_xlpm.MyAuditVal),_xlpm.MacVal&lt;&gt;"",_xlpm.MacVal,_xlpm.CSVVal&lt;&gt;"",_xlpm.CSVVal
)),"No")</f>
        <v>No</v>
      </c>
      <c r="Q1219" s="40" t="str" cm="1">
        <f t="array" ref="Q1219">IFERROR(_xlfn.LET(
_xlpm.CSVVal,_xlfn.XLOOKUP($A1219,CSV!$A:$A,CSV!AC:AC,""),
_xlpm.MacVal,_xlfn.XLOOKUP($A1219,Output_Mac!$A:$A,Output_Mac!U:U,""),
_xlpm.MyAuditVal,_xlfn.XLOOKUP($A1219,My_Audit!$A:$A,My_Audit!R:R,""),
_xlfn.IFS(_xlpm.MyAuditVal&lt;&gt;"",UPPER(_xlpm.MyAuditVal),_xlpm.MacVal&lt;&gt;"",_xlpm.MacVal,_xlpm.CSVVal&lt;&gt;"",_xlpm.CSVVal
)),"")</f>
        <v/>
      </c>
      <c r="R1219" s="40"/>
      <c r="S1219" s="40"/>
      <c r="T1219" s="40"/>
      <c r="U1219" s="40"/>
      <c r="V1219" s="40"/>
      <c r="W1219" s="40"/>
      <c r="X1219" s="41" t="str">
        <f>_xlfn.LET(
    _xlpm.MacVal, _xlfn.XLOOKUP($A1219, Output_Mac!$A:$A, Output_Mac!AB:AB, ""),
    _xlpm.MyAuditVal, _xlfn.XLOOKUP($A1219, My_Audit!$A:$A, My_Audit!N:N, ""),
    _xlfn.TEXTJOIN(", ", TRUE, _xlpm.MyAuditVal, _xlpm.MacVal)
)</f>
        <v/>
      </c>
    </row>
    <row r="1220" spans="1:24">
      <c r="A1220" s="40" t="str">
        <f>_xlfn.TEXTJOIN("",TRUE,Input!$B$2,ROW(My_Audit!A1219))</f>
        <v>X1219</v>
      </c>
      <c r="B1220" s="40" t="str">
        <f>_xlfn.TEXTJOIN("-",TRUE,"ITD",Input!$A$2,A1220)</f>
        <v>ITD-X1219</v>
      </c>
      <c r="C1220" s="40" t="str" cm="1">
        <f t="array" ref="C1220">IFERROR(_xlfn.LET(
_xlpm.CSVVal,_xlfn.XLOOKUP($A1220,CSV!$A:$A,CSV!B:B,""),
_xlpm.MacVal,_xlfn.XLOOKUP($A1220,Output_Mac!$A:$A,Output_Mac!B:B,""),
_xlpm.MyAuditVal,_xlfn.XLOOKUP($A1220,My_Audit!$A:$A,My_Audit!B:B,""),
_xlfn.IFS(_xlpm.MyAuditVal&lt;&gt;"",UPPER(_xlpm.MyAuditVal),_xlpm.MacVal&lt;&gt;"",_xlpm.MacVal,_xlpm.CSVVal&lt;&gt;"",_xlpm.CSVVal
)),"")</f>
        <v/>
      </c>
      <c r="D1220" s="40" t="str" cm="1">
        <f t="array" ref="D1220">IFERROR(_xlfn.LET(
_xlpm.CSVVal,_xlfn.XLOOKUP($A1220,CSV!$A:$A,CSV!D:D,""),
_xlpm.MacVal,_xlfn.XLOOKUP($A1220,Output_Mac!$A:$A,Output_Mac!C:C,""),
_xlpm.MyAuditVal,_xlfn.XLOOKUP($A1220,My_Audit!$A:$A,My_Audit!C:C,""),
_xlfn.IFS(_xlpm.MyAuditVal&lt;&gt;"",_xlpm.MyAuditVal,_xlpm.MacVal&lt;&gt;"",_xlpm.MacVal,_xlpm.CSVVal&lt;&gt;"",_xlpm.CSVVal
)),"")</f>
        <v/>
      </c>
      <c r="E1220" s="40" t="str">
        <f>_xlfn.XLOOKUP(A1220,My_Audit!A:A,My_Audit!D:D,"")</f>
        <v/>
      </c>
      <c r="F1220" s="40" t="str" cm="1">
        <f t="array" ref="F1220">IFERROR(_xlfn.LET(
_xlpm.CSVVal,_xlfn.XLOOKUP($A1220,CSV!$A:$A,CSV!F:F,""),
_xlpm.MacVal,_xlfn.XLOOKUP($A1220,Output_Mac!$A:$A,Output_Mac!E:E,""),
_xlpm.MyAuditVal,_xlfn.XLOOKUP($A1220,My_Audit!$A:$A,My_Audit!E:E,""),
_xlfn.IFS(_xlpm.MyAuditVal&lt;&gt;"",_xlpm.MyAuditVal,_xlpm.MacVal&lt;&gt;"",_xlpm.MacVal,_xlpm.CSVVal&lt;&gt;"",_xlpm.CSVVal
)),"")</f>
        <v/>
      </c>
      <c r="G1220" s="40" t="str" cm="1">
        <f t="array" ref="G1220">IFERROR(_xlfn.LET(
_xlpm.CSVVal,_xlfn.XLOOKUP($A1220,CSV!$A:$A,CSV!G:G,""),
_xlpm.MacVal,_xlfn.XLOOKUP($A1220,Output_Mac!$A:$A,Output_Mac!F:F,""),
_xlpm.MyAuditVal,_xlfn.XLOOKUP($A1220,My_Audit!$A:$A,My_Audit!F:F,""),
_xlfn.IFS(_xlpm.MyAuditVal&lt;&gt;"",_xlpm.MyAuditVal,_xlpm.MacVal&lt;&gt;"",_xlpm.MacVal,_xlpm.CSVVal&lt;&gt;"",PROPER(_xlpm.CSVVal)
)),"")</f>
        <v/>
      </c>
      <c r="H1220" s="40" t="str" cm="1">
        <f t="array" ref="H1220">IFERROR(_xlfn.LET(
_xlpm.CSVVal,_xlfn.XLOOKUP($A1220,CSV!$A:$A,CSV!H:H,""),
_xlpm.MacVal,_xlfn.XLOOKUP($A1220,Output_Mac!$A:$A,Output_Mac!H:H,""),
_xlpm.MyAuditVal,_xlfn.XLOOKUP($A1220,My_Audit!$A:$A,My_Audit!G:G,""),
_xlfn.IFS(_xlpm.MyAuditVal&lt;&gt;"",_xlpm.MyAuditVal,_xlpm.MacVal&lt;&gt;"",_xlpm.MacVal,_xlpm.CSVVal&lt;&gt;"",_xlpm.CSVVal
)),"")</f>
        <v/>
      </c>
      <c r="I1220" s="40" t="str">
        <f>_xlfn.XLOOKUP(A1220,Output_Mac!A:A,Output_Mac!I:I,"")</f>
        <v/>
      </c>
      <c r="J1220" s="40" t="str" cm="1">
        <f t="array" ref="J1220">IFERROR(_xlfn.LET(
_xlpm.CSVVal,_xlfn.XLOOKUP($A1220,CSV!$A:$A,CSV!I:I,""),
_xlpm.MacVal,_xlfn.XLOOKUP($A1220,Output_Mac!$A:$A,Output_Mac!J:J,""),
_xlpm.MyAuditVal,_xlfn.XLOOKUP($A1220,My_Audit!$A:$A,My_Audit!I:I,""),
_xlfn.IFS(_xlpm.MyAuditVal&lt;&gt;"",UPPER(_xlpm.MyAuditVal),_xlpm.MacVal&lt;&gt;"",_xlpm.MacVal,_xlpm.CSVVal&lt;&gt;"",_xlpm.CSVVal
)),"")</f>
        <v/>
      </c>
      <c r="K1220" s="40" t="str" cm="1">
        <f t="array" ref="K1220">IFERROR(_xlfn.LET(
_xlpm.CSVVal,_xlfn.XLOOKUP($A1220,CSV!$A:$A,CSV!K:K,""),
_xlpm.MacVal,_xlfn.XLOOKUP($A1220,Output_Mac!$A:$A,Output_Mac!K:K,""),
_xlpm.MyAuditVal,_xlfn.XLOOKUP($A1220,My_Audit!$A:$A,My_Audit!J:J,""),
_xlfn.IFS(_xlpm.MyAuditVal&lt;&gt;"",UPPER(_xlpm.MyAuditVal),_xlpm.MacVal&lt;&gt;"",_xlpm.MacVal,_xlpm.CSVVal&lt;&gt;"",_xlpm.CSVVal
)),"")</f>
        <v/>
      </c>
      <c r="L1220" s="40" t="str" cm="1">
        <f t="array" ref="L1220">IFERROR(_xlfn.LET(
_xlpm.CSVVal,_xlfn.XLOOKUP($A1220,CSV!$A:$A,CSV!P:P,""),
_xlpm.MacVal,_xlfn.XLOOKUP($A1220,Output_Mac!$A:$A,Output_Mac!L:L,""),
_xlpm.MyAuditVal,_xlfn.XLOOKUP($A1220,My_Audit!$A:$A,My_Audit!K:K,""),
_xlfn.IFS(_xlpm.MyAuditVal&lt;&gt;"",UPPER(_xlpm.MyAuditVal),_xlpm.MacVal&lt;&gt;"",_xlpm.MacVal,_xlpm.CSVVal&lt;&gt;"",_xlpm.CSVVal
)),"")</f>
        <v/>
      </c>
      <c r="M1220" s="40" t="str" cm="1">
        <f t="array" ref="M1220">IFERROR(_xlfn.LET(
_xlpm.CSVVal,_xlfn.XLOOKUP($A1220,CSV!$A:$A,CSV!Q:Q,""),
_xlpm.MacVal,_xlfn.XLOOKUP($A1220,Output_Mac!$A:$A,Output_Mac!M:M,""),
_xlpm.MyAuditVal,_xlfn.XLOOKUP($A1220,My_Audit!$A:$A,My_Audit!L:L,""),
_xlfn.IFS(_xlpm.MyAuditVal&lt;&gt;"",UPPER(_xlpm.MyAuditVal),_xlpm.MacVal&lt;&gt;"",_xlpm.MacVal,_xlpm.CSVVal&lt;&gt;"",_xlpm.CSVVal
)),"")</f>
        <v/>
      </c>
      <c r="N1220" s="40"/>
      <c r="O1220" s="40" t="str">
        <f>_xlfn.LET(
    _xlpm.CSVVal, _xlfn.XLOOKUP($A1220, CSV!$A:$A, CSV!AA:AA, ""),
    _xlpm.MacVal, _xlfn.XLOOKUP($A1220, Output_Mac!$A:$A, Output_Mac!S:S, ""),
    _xlpm.MyAuditVal, _xlfn.XLOOKUP($A1220, My_Audit!$A:$A, My_Audit!P:P, ""),
    _xlfn.TEXTJOIN(", ", TRUE, _xlpm.MyAuditVal, _xlpm.MacVal, _xlpm.CSVVal)
)</f>
        <v/>
      </c>
      <c r="P1220" s="40" t="str" cm="1">
        <f t="array" ref="P1220">IFERROR(_xlfn.LET(
_xlpm.CSVVal,_xlfn.XLOOKUP($A1220,CSV!$A:$A,CSV!AB:AB,""),
_xlpm.MacVal,_xlfn.XLOOKUP($A1220,Output_Mac!$A:$A,Output_Mac!T:T,""),
_xlpm.MyAuditVal,_xlfn.XLOOKUP($A1220,My_Audit!$A:$A,My_Audit!Q:Q,""),
_xlfn.IFS(_xlpm.MyAuditVal&lt;&gt;"",UPPER(_xlpm.MyAuditVal),_xlpm.MacVal&lt;&gt;"",_xlpm.MacVal,_xlpm.CSVVal&lt;&gt;"",_xlpm.CSVVal
)),"No")</f>
        <v>No</v>
      </c>
      <c r="Q1220" s="40" t="str" cm="1">
        <f t="array" ref="Q1220">IFERROR(_xlfn.LET(
_xlpm.CSVVal,_xlfn.XLOOKUP($A1220,CSV!$A:$A,CSV!AC:AC,""),
_xlpm.MacVal,_xlfn.XLOOKUP($A1220,Output_Mac!$A:$A,Output_Mac!U:U,""),
_xlpm.MyAuditVal,_xlfn.XLOOKUP($A1220,My_Audit!$A:$A,My_Audit!R:R,""),
_xlfn.IFS(_xlpm.MyAuditVal&lt;&gt;"",UPPER(_xlpm.MyAuditVal),_xlpm.MacVal&lt;&gt;"",_xlpm.MacVal,_xlpm.CSVVal&lt;&gt;"",_xlpm.CSVVal
)),"")</f>
        <v/>
      </c>
      <c r="R1220" s="40"/>
      <c r="S1220" s="40"/>
      <c r="T1220" s="40"/>
      <c r="U1220" s="40"/>
      <c r="V1220" s="40"/>
      <c r="W1220" s="40"/>
      <c r="X1220" s="41" t="str">
        <f>_xlfn.LET(
    _xlpm.MacVal, _xlfn.XLOOKUP($A1220, Output_Mac!$A:$A, Output_Mac!AB:AB, ""),
    _xlpm.MyAuditVal, _xlfn.XLOOKUP($A1220, My_Audit!$A:$A, My_Audit!N:N, ""),
    _xlfn.TEXTJOIN(", ", TRUE, _xlpm.MyAuditVal, _xlpm.MacVal)
)</f>
        <v/>
      </c>
    </row>
    <row r="1221" spans="1:24">
      <c r="A1221" s="40" t="str">
        <f>_xlfn.TEXTJOIN("",TRUE,Input!$B$2,ROW(My_Audit!A1220))</f>
        <v>X1220</v>
      </c>
      <c r="B1221" s="40" t="str">
        <f>_xlfn.TEXTJOIN("-",TRUE,"ITD",Input!$A$2,A1221)</f>
        <v>ITD-X1220</v>
      </c>
      <c r="C1221" s="40" t="str" cm="1">
        <f t="array" ref="C1221">IFERROR(_xlfn.LET(
_xlpm.CSVVal,_xlfn.XLOOKUP($A1221,CSV!$A:$A,CSV!B:B,""),
_xlpm.MacVal,_xlfn.XLOOKUP($A1221,Output_Mac!$A:$A,Output_Mac!B:B,""),
_xlpm.MyAuditVal,_xlfn.XLOOKUP($A1221,My_Audit!$A:$A,My_Audit!B:B,""),
_xlfn.IFS(_xlpm.MyAuditVal&lt;&gt;"",UPPER(_xlpm.MyAuditVal),_xlpm.MacVal&lt;&gt;"",_xlpm.MacVal,_xlpm.CSVVal&lt;&gt;"",_xlpm.CSVVal
)),"")</f>
        <v/>
      </c>
      <c r="D1221" s="40" t="str" cm="1">
        <f t="array" ref="D1221">IFERROR(_xlfn.LET(
_xlpm.CSVVal,_xlfn.XLOOKUP($A1221,CSV!$A:$A,CSV!D:D,""),
_xlpm.MacVal,_xlfn.XLOOKUP($A1221,Output_Mac!$A:$A,Output_Mac!C:C,""),
_xlpm.MyAuditVal,_xlfn.XLOOKUP($A1221,My_Audit!$A:$A,My_Audit!C:C,""),
_xlfn.IFS(_xlpm.MyAuditVal&lt;&gt;"",_xlpm.MyAuditVal,_xlpm.MacVal&lt;&gt;"",_xlpm.MacVal,_xlpm.CSVVal&lt;&gt;"",_xlpm.CSVVal
)),"")</f>
        <v/>
      </c>
      <c r="E1221" s="40" t="str">
        <f>_xlfn.XLOOKUP(A1221,My_Audit!A:A,My_Audit!D:D,"")</f>
        <v/>
      </c>
      <c r="F1221" s="40" t="str" cm="1">
        <f t="array" ref="F1221">IFERROR(_xlfn.LET(
_xlpm.CSVVal,_xlfn.XLOOKUP($A1221,CSV!$A:$A,CSV!F:F,""),
_xlpm.MacVal,_xlfn.XLOOKUP($A1221,Output_Mac!$A:$A,Output_Mac!E:E,""),
_xlpm.MyAuditVal,_xlfn.XLOOKUP($A1221,My_Audit!$A:$A,My_Audit!E:E,""),
_xlfn.IFS(_xlpm.MyAuditVal&lt;&gt;"",_xlpm.MyAuditVal,_xlpm.MacVal&lt;&gt;"",_xlpm.MacVal,_xlpm.CSVVal&lt;&gt;"",_xlpm.CSVVal
)),"")</f>
        <v/>
      </c>
      <c r="G1221" s="40" t="str" cm="1">
        <f t="array" ref="G1221">IFERROR(_xlfn.LET(
_xlpm.CSVVal,_xlfn.XLOOKUP($A1221,CSV!$A:$A,CSV!G:G,""),
_xlpm.MacVal,_xlfn.XLOOKUP($A1221,Output_Mac!$A:$A,Output_Mac!F:F,""),
_xlpm.MyAuditVal,_xlfn.XLOOKUP($A1221,My_Audit!$A:$A,My_Audit!F:F,""),
_xlfn.IFS(_xlpm.MyAuditVal&lt;&gt;"",_xlpm.MyAuditVal,_xlpm.MacVal&lt;&gt;"",_xlpm.MacVal,_xlpm.CSVVal&lt;&gt;"",PROPER(_xlpm.CSVVal)
)),"")</f>
        <v/>
      </c>
      <c r="H1221" s="40" t="str" cm="1">
        <f t="array" ref="H1221">IFERROR(_xlfn.LET(
_xlpm.CSVVal,_xlfn.XLOOKUP($A1221,CSV!$A:$A,CSV!H:H,""),
_xlpm.MacVal,_xlfn.XLOOKUP($A1221,Output_Mac!$A:$A,Output_Mac!H:H,""),
_xlpm.MyAuditVal,_xlfn.XLOOKUP($A1221,My_Audit!$A:$A,My_Audit!G:G,""),
_xlfn.IFS(_xlpm.MyAuditVal&lt;&gt;"",_xlpm.MyAuditVal,_xlpm.MacVal&lt;&gt;"",_xlpm.MacVal,_xlpm.CSVVal&lt;&gt;"",_xlpm.CSVVal
)),"")</f>
        <v/>
      </c>
      <c r="I1221" s="40" t="str">
        <f>_xlfn.XLOOKUP(A1221,Output_Mac!A:A,Output_Mac!I:I,"")</f>
        <v/>
      </c>
      <c r="J1221" s="40" t="str" cm="1">
        <f t="array" ref="J1221">IFERROR(_xlfn.LET(
_xlpm.CSVVal,_xlfn.XLOOKUP($A1221,CSV!$A:$A,CSV!I:I,""),
_xlpm.MacVal,_xlfn.XLOOKUP($A1221,Output_Mac!$A:$A,Output_Mac!J:J,""),
_xlpm.MyAuditVal,_xlfn.XLOOKUP($A1221,My_Audit!$A:$A,My_Audit!I:I,""),
_xlfn.IFS(_xlpm.MyAuditVal&lt;&gt;"",UPPER(_xlpm.MyAuditVal),_xlpm.MacVal&lt;&gt;"",_xlpm.MacVal,_xlpm.CSVVal&lt;&gt;"",_xlpm.CSVVal
)),"")</f>
        <v/>
      </c>
      <c r="K1221" s="40" t="str" cm="1">
        <f t="array" ref="K1221">IFERROR(_xlfn.LET(
_xlpm.CSVVal,_xlfn.XLOOKUP($A1221,CSV!$A:$A,CSV!K:K,""),
_xlpm.MacVal,_xlfn.XLOOKUP($A1221,Output_Mac!$A:$A,Output_Mac!K:K,""),
_xlpm.MyAuditVal,_xlfn.XLOOKUP($A1221,My_Audit!$A:$A,My_Audit!J:J,""),
_xlfn.IFS(_xlpm.MyAuditVal&lt;&gt;"",UPPER(_xlpm.MyAuditVal),_xlpm.MacVal&lt;&gt;"",_xlpm.MacVal,_xlpm.CSVVal&lt;&gt;"",_xlpm.CSVVal
)),"")</f>
        <v/>
      </c>
      <c r="L1221" s="40" t="str" cm="1">
        <f t="array" ref="L1221">IFERROR(_xlfn.LET(
_xlpm.CSVVal,_xlfn.XLOOKUP($A1221,CSV!$A:$A,CSV!P:P,""),
_xlpm.MacVal,_xlfn.XLOOKUP($A1221,Output_Mac!$A:$A,Output_Mac!L:L,""),
_xlpm.MyAuditVal,_xlfn.XLOOKUP($A1221,My_Audit!$A:$A,My_Audit!K:K,""),
_xlfn.IFS(_xlpm.MyAuditVal&lt;&gt;"",UPPER(_xlpm.MyAuditVal),_xlpm.MacVal&lt;&gt;"",_xlpm.MacVal,_xlpm.CSVVal&lt;&gt;"",_xlpm.CSVVal
)),"")</f>
        <v/>
      </c>
      <c r="M1221" s="40" t="str" cm="1">
        <f t="array" ref="M1221">IFERROR(_xlfn.LET(
_xlpm.CSVVal,_xlfn.XLOOKUP($A1221,CSV!$A:$A,CSV!Q:Q,""),
_xlpm.MacVal,_xlfn.XLOOKUP($A1221,Output_Mac!$A:$A,Output_Mac!M:M,""),
_xlpm.MyAuditVal,_xlfn.XLOOKUP($A1221,My_Audit!$A:$A,My_Audit!L:L,""),
_xlfn.IFS(_xlpm.MyAuditVal&lt;&gt;"",UPPER(_xlpm.MyAuditVal),_xlpm.MacVal&lt;&gt;"",_xlpm.MacVal,_xlpm.CSVVal&lt;&gt;"",_xlpm.CSVVal
)),"")</f>
        <v/>
      </c>
      <c r="N1221" s="40"/>
      <c r="O1221" s="40" t="str">
        <f>_xlfn.LET(
    _xlpm.CSVVal, _xlfn.XLOOKUP($A1221, CSV!$A:$A, CSV!AA:AA, ""),
    _xlpm.MacVal, _xlfn.XLOOKUP($A1221, Output_Mac!$A:$A, Output_Mac!S:S, ""),
    _xlpm.MyAuditVal, _xlfn.XLOOKUP($A1221, My_Audit!$A:$A, My_Audit!P:P, ""),
    _xlfn.TEXTJOIN(", ", TRUE, _xlpm.MyAuditVal, _xlpm.MacVal, _xlpm.CSVVal)
)</f>
        <v/>
      </c>
      <c r="P1221" s="40" t="str" cm="1">
        <f t="array" ref="P1221">IFERROR(_xlfn.LET(
_xlpm.CSVVal,_xlfn.XLOOKUP($A1221,CSV!$A:$A,CSV!AB:AB,""),
_xlpm.MacVal,_xlfn.XLOOKUP($A1221,Output_Mac!$A:$A,Output_Mac!T:T,""),
_xlpm.MyAuditVal,_xlfn.XLOOKUP($A1221,My_Audit!$A:$A,My_Audit!Q:Q,""),
_xlfn.IFS(_xlpm.MyAuditVal&lt;&gt;"",UPPER(_xlpm.MyAuditVal),_xlpm.MacVal&lt;&gt;"",_xlpm.MacVal,_xlpm.CSVVal&lt;&gt;"",_xlpm.CSVVal
)),"No")</f>
        <v>No</v>
      </c>
      <c r="Q1221" s="40" t="str" cm="1">
        <f t="array" ref="Q1221">IFERROR(_xlfn.LET(
_xlpm.CSVVal,_xlfn.XLOOKUP($A1221,CSV!$A:$A,CSV!AC:AC,""),
_xlpm.MacVal,_xlfn.XLOOKUP($A1221,Output_Mac!$A:$A,Output_Mac!U:U,""),
_xlpm.MyAuditVal,_xlfn.XLOOKUP($A1221,My_Audit!$A:$A,My_Audit!R:R,""),
_xlfn.IFS(_xlpm.MyAuditVal&lt;&gt;"",UPPER(_xlpm.MyAuditVal),_xlpm.MacVal&lt;&gt;"",_xlpm.MacVal,_xlpm.CSVVal&lt;&gt;"",_xlpm.CSVVal
)),"")</f>
        <v/>
      </c>
      <c r="R1221" s="40"/>
      <c r="S1221" s="40"/>
      <c r="T1221" s="40"/>
      <c r="U1221" s="40"/>
      <c r="V1221" s="40"/>
      <c r="W1221" s="40"/>
      <c r="X1221" s="41" t="str">
        <f>_xlfn.LET(
    _xlpm.MacVal, _xlfn.XLOOKUP($A1221, Output_Mac!$A:$A, Output_Mac!AB:AB, ""),
    _xlpm.MyAuditVal, _xlfn.XLOOKUP($A1221, My_Audit!$A:$A, My_Audit!N:N, ""),
    _xlfn.TEXTJOIN(", ", TRUE, _xlpm.MyAuditVal, _xlpm.MacVal)
)</f>
        <v/>
      </c>
    </row>
    <row r="1222" spans="1:24">
      <c r="A1222" s="40" t="str">
        <f>_xlfn.TEXTJOIN("",TRUE,Input!$B$2,ROW(My_Audit!A1221))</f>
        <v>X1221</v>
      </c>
      <c r="B1222" s="40" t="str">
        <f>_xlfn.TEXTJOIN("-",TRUE,"ITD",Input!$A$2,A1222)</f>
        <v>ITD-X1221</v>
      </c>
      <c r="C1222" s="40" t="str" cm="1">
        <f t="array" ref="C1222">IFERROR(_xlfn.LET(
_xlpm.CSVVal,_xlfn.XLOOKUP($A1222,CSV!$A:$A,CSV!B:B,""),
_xlpm.MacVal,_xlfn.XLOOKUP($A1222,Output_Mac!$A:$A,Output_Mac!B:B,""),
_xlpm.MyAuditVal,_xlfn.XLOOKUP($A1222,My_Audit!$A:$A,My_Audit!B:B,""),
_xlfn.IFS(_xlpm.MyAuditVal&lt;&gt;"",UPPER(_xlpm.MyAuditVal),_xlpm.MacVal&lt;&gt;"",_xlpm.MacVal,_xlpm.CSVVal&lt;&gt;"",_xlpm.CSVVal
)),"")</f>
        <v/>
      </c>
      <c r="D1222" s="40" t="str" cm="1">
        <f t="array" ref="D1222">IFERROR(_xlfn.LET(
_xlpm.CSVVal,_xlfn.XLOOKUP($A1222,CSV!$A:$A,CSV!D:D,""),
_xlpm.MacVal,_xlfn.XLOOKUP($A1222,Output_Mac!$A:$A,Output_Mac!C:C,""),
_xlpm.MyAuditVal,_xlfn.XLOOKUP($A1222,My_Audit!$A:$A,My_Audit!C:C,""),
_xlfn.IFS(_xlpm.MyAuditVal&lt;&gt;"",_xlpm.MyAuditVal,_xlpm.MacVal&lt;&gt;"",_xlpm.MacVal,_xlpm.CSVVal&lt;&gt;"",_xlpm.CSVVal
)),"")</f>
        <v/>
      </c>
      <c r="E1222" s="40" t="str">
        <f>_xlfn.XLOOKUP(A1222,My_Audit!A:A,My_Audit!D:D,"")</f>
        <v/>
      </c>
      <c r="F1222" s="40" t="str" cm="1">
        <f t="array" ref="F1222">IFERROR(_xlfn.LET(
_xlpm.CSVVal,_xlfn.XLOOKUP($A1222,CSV!$A:$A,CSV!F:F,""),
_xlpm.MacVal,_xlfn.XLOOKUP($A1222,Output_Mac!$A:$A,Output_Mac!E:E,""),
_xlpm.MyAuditVal,_xlfn.XLOOKUP($A1222,My_Audit!$A:$A,My_Audit!E:E,""),
_xlfn.IFS(_xlpm.MyAuditVal&lt;&gt;"",_xlpm.MyAuditVal,_xlpm.MacVal&lt;&gt;"",_xlpm.MacVal,_xlpm.CSVVal&lt;&gt;"",_xlpm.CSVVal
)),"")</f>
        <v/>
      </c>
      <c r="G1222" s="40" t="str" cm="1">
        <f t="array" ref="G1222">IFERROR(_xlfn.LET(
_xlpm.CSVVal,_xlfn.XLOOKUP($A1222,CSV!$A:$A,CSV!G:G,""),
_xlpm.MacVal,_xlfn.XLOOKUP($A1222,Output_Mac!$A:$A,Output_Mac!F:F,""),
_xlpm.MyAuditVal,_xlfn.XLOOKUP($A1222,My_Audit!$A:$A,My_Audit!F:F,""),
_xlfn.IFS(_xlpm.MyAuditVal&lt;&gt;"",_xlpm.MyAuditVal,_xlpm.MacVal&lt;&gt;"",_xlpm.MacVal,_xlpm.CSVVal&lt;&gt;"",PROPER(_xlpm.CSVVal)
)),"")</f>
        <v/>
      </c>
      <c r="H1222" s="40" t="str" cm="1">
        <f t="array" ref="H1222">IFERROR(_xlfn.LET(
_xlpm.CSVVal,_xlfn.XLOOKUP($A1222,CSV!$A:$A,CSV!H:H,""),
_xlpm.MacVal,_xlfn.XLOOKUP($A1222,Output_Mac!$A:$A,Output_Mac!H:H,""),
_xlpm.MyAuditVal,_xlfn.XLOOKUP($A1222,My_Audit!$A:$A,My_Audit!G:G,""),
_xlfn.IFS(_xlpm.MyAuditVal&lt;&gt;"",_xlpm.MyAuditVal,_xlpm.MacVal&lt;&gt;"",_xlpm.MacVal,_xlpm.CSVVal&lt;&gt;"",_xlpm.CSVVal
)),"")</f>
        <v/>
      </c>
      <c r="I1222" s="40" t="str">
        <f>_xlfn.XLOOKUP(A1222,Output_Mac!A:A,Output_Mac!I:I,"")</f>
        <v/>
      </c>
      <c r="J1222" s="40" t="str" cm="1">
        <f t="array" ref="J1222">IFERROR(_xlfn.LET(
_xlpm.CSVVal,_xlfn.XLOOKUP($A1222,CSV!$A:$A,CSV!I:I,""),
_xlpm.MacVal,_xlfn.XLOOKUP($A1222,Output_Mac!$A:$A,Output_Mac!J:J,""),
_xlpm.MyAuditVal,_xlfn.XLOOKUP($A1222,My_Audit!$A:$A,My_Audit!I:I,""),
_xlfn.IFS(_xlpm.MyAuditVal&lt;&gt;"",UPPER(_xlpm.MyAuditVal),_xlpm.MacVal&lt;&gt;"",_xlpm.MacVal,_xlpm.CSVVal&lt;&gt;"",_xlpm.CSVVal
)),"")</f>
        <v/>
      </c>
      <c r="K1222" s="40" t="str" cm="1">
        <f t="array" ref="K1222">IFERROR(_xlfn.LET(
_xlpm.CSVVal,_xlfn.XLOOKUP($A1222,CSV!$A:$A,CSV!K:K,""),
_xlpm.MacVal,_xlfn.XLOOKUP($A1222,Output_Mac!$A:$A,Output_Mac!K:K,""),
_xlpm.MyAuditVal,_xlfn.XLOOKUP($A1222,My_Audit!$A:$A,My_Audit!J:J,""),
_xlfn.IFS(_xlpm.MyAuditVal&lt;&gt;"",UPPER(_xlpm.MyAuditVal),_xlpm.MacVal&lt;&gt;"",_xlpm.MacVal,_xlpm.CSVVal&lt;&gt;"",_xlpm.CSVVal
)),"")</f>
        <v/>
      </c>
      <c r="L1222" s="40" t="str" cm="1">
        <f t="array" ref="L1222">IFERROR(_xlfn.LET(
_xlpm.CSVVal,_xlfn.XLOOKUP($A1222,CSV!$A:$A,CSV!P:P,""),
_xlpm.MacVal,_xlfn.XLOOKUP($A1222,Output_Mac!$A:$A,Output_Mac!L:L,""),
_xlpm.MyAuditVal,_xlfn.XLOOKUP($A1222,My_Audit!$A:$A,My_Audit!K:K,""),
_xlfn.IFS(_xlpm.MyAuditVal&lt;&gt;"",UPPER(_xlpm.MyAuditVal),_xlpm.MacVal&lt;&gt;"",_xlpm.MacVal,_xlpm.CSVVal&lt;&gt;"",_xlpm.CSVVal
)),"")</f>
        <v/>
      </c>
      <c r="M1222" s="40" t="str" cm="1">
        <f t="array" ref="M1222">IFERROR(_xlfn.LET(
_xlpm.CSVVal,_xlfn.XLOOKUP($A1222,CSV!$A:$A,CSV!Q:Q,""),
_xlpm.MacVal,_xlfn.XLOOKUP($A1222,Output_Mac!$A:$A,Output_Mac!M:M,""),
_xlpm.MyAuditVal,_xlfn.XLOOKUP($A1222,My_Audit!$A:$A,My_Audit!L:L,""),
_xlfn.IFS(_xlpm.MyAuditVal&lt;&gt;"",UPPER(_xlpm.MyAuditVal),_xlpm.MacVal&lt;&gt;"",_xlpm.MacVal,_xlpm.CSVVal&lt;&gt;"",_xlpm.CSVVal
)),"")</f>
        <v/>
      </c>
      <c r="N1222" s="40"/>
      <c r="O1222" s="40" t="str">
        <f>_xlfn.LET(
    _xlpm.CSVVal, _xlfn.XLOOKUP($A1222, CSV!$A:$A, CSV!AA:AA, ""),
    _xlpm.MacVal, _xlfn.XLOOKUP($A1222, Output_Mac!$A:$A, Output_Mac!S:S, ""),
    _xlpm.MyAuditVal, _xlfn.XLOOKUP($A1222, My_Audit!$A:$A, My_Audit!P:P, ""),
    _xlfn.TEXTJOIN(", ", TRUE, _xlpm.MyAuditVal, _xlpm.MacVal, _xlpm.CSVVal)
)</f>
        <v/>
      </c>
      <c r="P1222" s="40" t="str" cm="1">
        <f t="array" ref="P1222">IFERROR(_xlfn.LET(
_xlpm.CSVVal,_xlfn.XLOOKUP($A1222,CSV!$A:$A,CSV!AB:AB,""),
_xlpm.MacVal,_xlfn.XLOOKUP($A1222,Output_Mac!$A:$A,Output_Mac!T:T,""),
_xlpm.MyAuditVal,_xlfn.XLOOKUP($A1222,My_Audit!$A:$A,My_Audit!Q:Q,""),
_xlfn.IFS(_xlpm.MyAuditVal&lt;&gt;"",UPPER(_xlpm.MyAuditVal),_xlpm.MacVal&lt;&gt;"",_xlpm.MacVal,_xlpm.CSVVal&lt;&gt;"",_xlpm.CSVVal
)),"No")</f>
        <v>No</v>
      </c>
      <c r="Q1222" s="40" t="str" cm="1">
        <f t="array" ref="Q1222">IFERROR(_xlfn.LET(
_xlpm.CSVVal,_xlfn.XLOOKUP($A1222,CSV!$A:$A,CSV!AC:AC,""),
_xlpm.MacVal,_xlfn.XLOOKUP($A1222,Output_Mac!$A:$A,Output_Mac!U:U,""),
_xlpm.MyAuditVal,_xlfn.XLOOKUP($A1222,My_Audit!$A:$A,My_Audit!R:R,""),
_xlfn.IFS(_xlpm.MyAuditVal&lt;&gt;"",UPPER(_xlpm.MyAuditVal),_xlpm.MacVal&lt;&gt;"",_xlpm.MacVal,_xlpm.CSVVal&lt;&gt;"",_xlpm.CSVVal
)),"")</f>
        <v/>
      </c>
      <c r="R1222" s="40"/>
      <c r="S1222" s="40"/>
      <c r="T1222" s="40"/>
      <c r="U1222" s="40"/>
      <c r="V1222" s="40"/>
      <c r="W1222" s="40"/>
      <c r="X1222" s="41" t="str">
        <f>_xlfn.LET(
    _xlpm.MacVal, _xlfn.XLOOKUP($A1222, Output_Mac!$A:$A, Output_Mac!AB:AB, ""),
    _xlpm.MyAuditVal, _xlfn.XLOOKUP($A1222, My_Audit!$A:$A, My_Audit!N:N, ""),
    _xlfn.TEXTJOIN(", ", TRUE, _xlpm.MyAuditVal, _xlpm.MacVal)
)</f>
        <v/>
      </c>
    </row>
    <row r="1223" spans="1:24">
      <c r="A1223" s="40" t="str">
        <f>_xlfn.TEXTJOIN("",TRUE,Input!$B$2,ROW(My_Audit!A1222))</f>
        <v>X1222</v>
      </c>
      <c r="B1223" s="40" t="str">
        <f>_xlfn.TEXTJOIN("-",TRUE,"ITD",Input!$A$2,A1223)</f>
        <v>ITD-X1222</v>
      </c>
      <c r="C1223" s="40" t="str" cm="1">
        <f t="array" ref="C1223">IFERROR(_xlfn.LET(
_xlpm.CSVVal,_xlfn.XLOOKUP($A1223,CSV!$A:$A,CSV!B:B,""),
_xlpm.MacVal,_xlfn.XLOOKUP($A1223,Output_Mac!$A:$A,Output_Mac!B:B,""),
_xlpm.MyAuditVal,_xlfn.XLOOKUP($A1223,My_Audit!$A:$A,My_Audit!B:B,""),
_xlfn.IFS(_xlpm.MyAuditVal&lt;&gt;"",UPPER(_xlpm.MyAuditVal),_xlpm.MacVal&lt;&gt;"",_xlpm.MacVal,_xlpm.CSVVal&lt;&gt;"",_xlpm.CSVVal
)),"")</f>
        <v/>
      </c>
      <c r="D1223" s="40" t="str" cm="1">
        <f t="array" ref="D1223">IFERROR(_xlfn.LET(
_xlpm.CSVVal,_xlfn.XLOOKUP($A1223,CSV!$A:$A,CSV!D:D,""),
_xlpm.MacVal,_xlfn.XLOOKUP($A1223,Output_Mac!$A:$A,Output_Mac!C:C,""),
_xlpm.MyAuditVal,_xlfn.XLOOKUP($A1223,My_Audit!$A:$A,My_Audit!C:C,""),
_xlfn.IFS(_xlpm.MyAuditVal&lt;&gt;"",_xlpm.MyAuditVal,_xlpm.MacVal&lt;&gt;"",_xlpm.MacVal,_xlpm.CSVVal&lt;&gt;"",_xlpm.CSVVal
)),"")</f>
        <v/>
      </c>
      <c r="E1223" s="40" t="str">
        <f>_xlfn.XLOOKUP(A1223,My_Audit!A:A,My_Audit!D:D,"")</f>
        <v/>
      </c>
      <c r="F1223" s="40" t="str" cm="1">
        <f t="array" ref="F1223">IFERROR(_xlfn.LET(
_xlpm.CSVVal,_xlfn.XLOOKUP($A1223,CSV!$A:$A,CSV!F:F,""),
_xlpm.MacVal,_xlfn.XLOOKUP($A1223,Output_Mac!$A:$A,Output_Mac!E:E,""),
_xlpm.MyAuditVal,_xlfn.XLOOKUP($A1223,My_Audit!$A:$A,My_Audit!E:E,""),
_xlfn.IFS(_xlpm.MyAuditVal&lt;&gt;"",_xlpm.MyAuditVal,_xlpm.MacVal&lt;&gt;"",_xlpm.MacVal,_xlpm.CSVVal&lt;&gt;"",_xlpm.CSVVal
)),"")</f>
        <v/>
      </c>
      <c r="G1223" s="40" t="str" cm="1">
        <f t="array" ref="G1223">IFERROR(_xlfn.LET(
_xlpm.CSVVal,_xlfn.XLOOKUP($A1223,CSV!$A:$A,CSV!G:G,""),
_xlpm.MacVal,_xlfn.XLOOKUP($A1223,Output_Mac!$A:$A,Output_Mac!F:F,""),
_xlpm.MyAuditVal,_xlfn.XLOOKUP($A1223,My_Audit!$A:$A,My_Audit!F:F,""),
_xlfn.IFS(_xlpm.MyAuditVal&lt;&gt;"",_xlpm.MyAuditVal,_xlpm.MacVal&lt;&gt;"",_xlpm.MacVal,_xlpm.CSVVal&lt;&gt;"",PROPER(_xlpm.CSVVal)
)),"")</f>
        <v/>
      </c>
      <c r="H1223" s="40" t="str" cm="1">
        <f t="array" ref="H1223">IFERROR(_xlfn.LET(
_xlpm.CSVVal,_xlfn.XLOOKUP($A1223,CSV!$A:$A,CSV!H:H,""),
_xlpm.MacVal,_xlfn.XLOOKUP($A1223,Output_Mac!$A:$A,Output_Mac!H:H,""),
_xlpm.MyAuditVal,_xlfn.XLOOKUP($A1223,My_Audit!$A:$A,My_Audit!G:G,""),
_xlfn.IFS(_xlpm.MyAuditVal&lt;&gt;"",_xlpm.MyAuditVal,_xlpm.MacVal&lt;&gt;"",_xlpm.MacVal,_xlpm.CSVVal&lt;&gt;"",_xlpm.CSVVal
)),"")</f>
        <v/>
      </c>
      <c r="I1223" s="40" t="str">
        <f>_xlfn.XLOOKUP(A1223,Output_Mac!A:A,Output_Mac!I:I,"")</f>
        <v/>
      </c>
      <c r="J1223" s="40" t="str" cm="1">
        <f t="array" ref="J1223">IFERROR(_xlfn.LET(
_xlpm.CSVVal,_xlfn.XLOOKUP($A1223,CSV!$A:$A,CSV!I:I,""),
_xlpm.MacVal,_xlfn.XLOOKUP($A1223,Output_Mac!$A:$A,Output_Mac!J:J,""),
_xlpm.MyAuditVal,_xlfn.XLOOKUP($A1223,My_Audit!$A:$A,My_Audit!I:I,""),
_xlfn.IFS(_xlpm.MyAuditVal&lt;&gt;"",UPPER(_xlpm.MyAuditVal),_xlpm.MacVal&lt;&gt;"",_xlpm.MacVal,_xlpm.CSVVal&lt;&gt;"",_xlpm.CSVVal
)),"")</f>
        <v/>
      </c>
      <c r="K1223" s="40" t="str" cm="1">
        <f t="array" ref="K1223">IFERROR(_xlfn.LET(
_xlpm.CSVVal,_xlfn.XLOOKUP($A1223,CSV!$A:$A,CSV!K:K,""),
_xlpm.MacVal,_xlfn.XLOOKUP($A1223,Output_Mac!$A:$A,Output_Mac!K:K,""),
_xlpm.MyAuditVal,_xlfn.XLOOKUP($A1223,My_Audit!$A:$A,My_Audit!J:J,""),
_xlfn.IFS(_xlpm.MyAuditVal&lt;&gt;"",UPPER(_xlpm.MyAuditVal),_xlpm.MacVal&lt;&gt;"",_xlpm.MacVal,_xlpm.CSVVal&lt;&gt;"",_xlpm.CSVVal
)),"")</f>
        <v/>
      </c>
      <c r="L1223" s="40" t="str" cm="1">
        <f t="array" ref="L1223">IFERROR(_xlfn.LET(
_xlpm.CSVVal,_xlfn.XLOOKUP($A1223,CSV!$A:$A,CSV!P:P,""),
_xlpm.MacVal,_xlfn.XLOOKUP($A1223,Output_Mac!$A:$A,Output_Mac!L:L,""),
_xlpm.MyAuditVal,_xlfn.XLOOKUP($A1223,My_Audit!$A:$A,My_Audit!K:K,""),
_xlfn.IFS(_xlpm.MyAuditVal&lt;&gt;"",UPPER(_xlpm.MyAuditVal),_xlpm.MacVal&lt;&gt;"",_xlpm.MacVal,_xlpm.CSVVal&lt;&gt;"",_xlpm.CSVVal
)),"")</f>
        <v/>
      </c>
      <c r="M1223" s="40" t="str" cm="1">
        <f t="array" ref="M1223">IFERROR(_xlfn.LET(
_xlpm.CSVVal,_xlfn.XLOOKUP($A1223,CSV!$A:$A,CSV!Q:Q,""),
_xlpm.MacVal,_xlfn.XLOOKUP($A1223,Output_Mac!$A:$A,Output_Mac!M:M,""),
_xlpm.MyAuditVal,_xlfn.XLOOKUP($A1223,My_Audit!$A:$A,My_Audit!L:L,""),
_xlfn.IFS(_xlpm.MyAuditVal&lt;&gt;"",UPPER(_xlpm.MyAuditVal),_xlpm.MacVal&lt;&gt;"",_xlpm.MacVal,_xlpm.CSVVal&lt;&gt;"",_xlpm.CSVVal
)),"")</f>
        <v/>
      </c>
      <c r="N1223" s="40"/>
      <c r="O1223" s="40" t="str">
        <f>_xlfn.LET(
    _xlpm.CSVVal, _xlfn.XLOOKUP($A1223, CSV!$A:$A, CSV!AA:AA, ""),
    _xlpm.MacVal, _xlfn.XLOOKUP($A1223, Output_Mac!$A:$A, Output_Mac!S:S, ""),
    _xlpm.MyAuditVal, _xlfn.XLOOKUP($A1223, My_Audit!$A:$A, My_Audit!P:P, ""),
    _xlfn.TEXTJOIN(", ", TRUE, _xlpm.MyAuditVal, _xlpm.MacVal, _xlpm.CSVVal)
)</f>
        <v/>
      </c>
      <c r="P1223" s="40" t="str" cm="1">
        <f t="array" ref="P1223">IFERROR(_xlfn.LET(
_xlpm.CSVVal,_xlfn.XLOOKUP($A1223,CSV!$A:$A,CSV!AB:AB,""),
_xlpm.MacVal,_xlfn.XLOOKUP($A1223,Output_Mac!$A:$A,Output_Mac!T:T,""),
_xlpm.MyAuditVal,_xlfn.XLOOKUP($A1223,My_Audit!$A:$A,My_Audit!Q:Q,""),
_xlfn.IFS(_xlpm.MyAuditVal&lt;&gt;"",UPPER(_xlpm.MyAuditVal),_xlpm.MacVal&lt;&gt;"",_xlpm.MacVal,_xlpm.CSVVal&lt;&gt;"",_xlpm.CSVVal
)),"No")</f>
        <v>No</v>
      </c>
      <c r="Q1223" s="40" t="str" cm="1">
        <f t="array" ref="Q1223">IFERROR(_xlfn.LET(
_xlpm.CSVVal,_xlfn.XLOOKUP($A1223,CSV!$A:$A,CSV!AC:AC,""),
_xlpm.MacVal,_xlfn.XLOOKUP($A1223,Output_Mac!$A:$A,Output_Mac!U:U,""),
_xlpm.MyAuditVal,_xlfn.XLOOKUP($A1223,My_Audit!$A:$A,My_Audit!R:R,""),
_xlfn.IFS(_xlpm.MyAuditVal&lt;&gt;"",UPPER(_xlpm.MyAuditVal),_xlpm.MacVal&lt;&gt;"",_xlpm.MacVal,_xlpm.CSVVal&lt;&gt;"",_xlpm.CSVVal
)),"")</f>
        <v/>
      </c>
      <c r="R1223" s="40"/>
      <c r="S1223" s="40"/>
      <c r="T1223" s="40"/>
      <c r="U1223" s="40"/>
      <c r="V1223" s="40"/>
      <c r="W1223" s="40"/>
      <c r="X1223" s="41" t="str">
        <f>_xlfn.LET(
    _xlpm.MacVal, _xlfn.XLOOKUP($A1223, Output_Mac!$A:$A, Output_Mac!AB:AB, ""),
    _xlpm.MyAuditVal, _xlfn.XLOOKUP($A1223, My_Audit!$A:$A, My_Audit!N:N, ""),
    _xlfn.TEXTJOIN(", ", TRUE, _xlpm.MyAuditVal, _xlpm.MacVal)
)</f>
        <v/>
      </c>
    </row>
    <row r="1224" spans="1:24">
      <c r="A1224" s="40" t="str">
        <f>_xlfn.TEXTJOIN("",TRUE,Input!$B$2,ROW(My_Audit!A1223))</f>
        <v>X1223</v>
      </c>
      <c r="B1224" s="40" t="str">
        <f>_xlfn.TEXTJOIN("-",TRUE,"ITD",Input!$A$2,A1224)</f>
        <v>ITD-X1223</v>
      </c>
      <c r="C1224" s="40" t="str" cm="1">
        <f t="array" ref="C1224">IFERROR(_xlfn.LET(
_xlpm.CSVVal,_xlfn.XLOOKUP($A1224,CSV!$A:$A,CSV!B:B,""),
_xlpm.MacVal,_xlfn.XLOOKUP($A1224,Output_Mac!$A:$A,Output_Mac!B:B,""),
_xlpm.MyAuditVal,_xlfn.XLOOKUP($A1224,My_Audit!$A:$A,My_Audit!B:B,""),
_xlfn.IFS(_xlpm.MyAuditVal&lt;&gt;"",UPPER(_xlpm.MyAuditVal),_xlpm.MacVal&lt;&gt;"",_xlpm.MacVal,_xlpm.CSVVal&lt;&gt;"",_xlpm.CSVVal
)),"")</f>
        <v/>
      </c>
      <c r="D1224" s="40" t="str" cm="1">
        <f t="array" ref="D1224">IFERROR(_xlfn.LET(
_xlpm.CSVVal,_xlfn.XLOOKUP($A1224,CSV!$A:$A,CSV!D:D,""),
_xlpm.MacVal,_xlfn.XLOOKUP($A1224,Output_Mac!$A:$A,Output_Mac!C:C,""),
_xlpm.MyAuditVal,_xlfn.XLOOKUP($A1224,My_Audit!$A:$A,My_Audit!C:C,""),
_xlfn.IFS(_xlpm.MyAuditVal&lt;&gt;"",_xlpm.MyAuditVal,_xlpm.MacVal&lt;&gt;"",_xlpm.MacVal,_xlpm.CSVVal&lt;&gt;"",_xlpm.CSVVal
)),"")</f>
        <v/>
      </c>
      <c r="E1224" s="40" t="str">
        <f>_xlfn.XLOOKUP(A1224,My_Audit!A:A,My_Audit!D:D,"")</f>
        <v/>
      </c>
      <c r="F1224" s="40" t="str" cm="1">
        <f t="array" ref="F1224">IFERROR(_xlfn.LET(
_xlpm.CSVVal,_xlfn.XLOOKUP($A1224,CSV!$A:$A,CSV!F:F,""),
_xlpm.MacVal,_xlfn.XLOOKUP($A1224,Output_Mac!$A:$A,Output_Mac!E:E,""),
_xlpm.MyAuditVal,_xlfn.XLOOKUP($A1224,My_Audit!$A:$A,My_Audit!E:E,""),
_xlfn.IFS(_xlpm.MyAuditVal&lt;&gt;"",_xlpm.MyAuditVal,_xlpm.MacVal&lt;&gt;"",_xlpm.MacVal,_xlpm.CSVVal&lt;&gt;"",_xlpm.CSVVal
)),"")</f>
        <v/>
      </c>
      <c r="G1224" s="40" t="str" cm="1">
        <f t="array" ref="G1224">IFERROR(_xlfn.LET(
_xlpm.CSVVal,_xlfn.XLOOKUP($A1224,CSV!$A:$A,CSV!G:G,""),
_xlpm.MacVal,_xlfn.XLOOKUP($A1224,Output_Mac!$A:$A,Output_Mac!F:F,""),
_xlpm.MyAuditVal,_xlfn.XLOOKUP($A1224,My_Audit!$A:$A,My_Audit!F:F,""),
_xlfn.IFS(_xlpm.MyAuditVal&lt;&gt;"",_xlpm.MyAuditVal,_xlpm.MacVal&lt;&gt;"",_xlpm.MacVal,_xlpm.CSVVal&lt;&gt;"",PROPER(_xlpm.CSVVal)
)),"")</f>
        <v/>
      </c>
      <c r="H1224" s="40" t="str" cm="1">
        <f t="array" ref="H1224">IFERROR(_xlfn.LET(
_xlpm.CSVVal,_xlfn.XLOOKUP($A1224,CSV!$A:$A,CSV!H:H,""),
_xlpm.MacVal,_xlfn.XLOOKUP($A1224,Output_Mac!$A:$A,Output_Mac!H:H,""),
_xlpm.MyAuditVal,_xlfn.XLOOKUP($A1224,My_Audit!$A:$A,My_Audit!G:G,""),
_xlfn.IFS(_xlpm.MyAuditVal&lt;&gt;"",_xlpm.MyAuditVal,_xlpm.MacVal&lt;&gt;"",_xlpm.MacVal,_xlpm.CSVVal&lt;&gt;"",_xlpm.CSVVal
)),"")</f>
        <v/>
      </c>
      <c r="I1224" s="40" t="str">
        <f>_xlfn.XLOOKUP(A1224,Output_Mac!A:A,Output_Mac!I:I,"")</f>
        <v/>
      </c>
      <c r="J1224" s="40" t="str" cm="1">
        <f t="array" ref="J1224">IFERROR(_xlfn.LET(
_xlpm.CSVVal,_xlfn.XLOOKUP($A1224,CSV!$A:$A,CSV!I:I,""),
_xlpm.MacVal,_xlfn.XLOOKUP($A1224,Output_Mac!$A:$A,Output_Mac!J:J,""),
_xlpm.MyAuditVal,_xlfn.XLOOKUP($A1224,My_Audit!$A:$A,My_Audit!I:I,""),
_xlfn.IFS(_xlpm.MyAuditVal&lt;&gt;"",UPPER(_xlpm.MyAuditVal),_xlpm.MacVal&lt;&gt;"",_xlpm.MacVal,_xlpm.CSVVal&lt;&gt;"",_xlpm.CSVVal
)),"")</f>
        <v/>
      </c>
      <c r="K1224" s="40" t="str" cm="1">
        <f t="array" ref="K1224">IFERROR(_xlfn.LET(
_xlpm.CSVVal,_xlfn.XLOOKUP($A1224,CSV!$A:$A,CSV!K:K,""),
_xlpm.MacVal,_xlfn.XLOOKUP($A1224,Output_Mac!$A:$A,Output_Mac!K:K,""),
_xlpm.MyAuditVal,_xlfn.XLOOKUP($A1224,My_Audit!$A:$A,My_Audit!J:J,""),
_xlfn.IFS(_xlpm.MyAuditVal&lt;&gt;"",UPPER(_xlpm.MyAuditVal),_xlpm.MacVal&lt;&gt;"",_xlpm.MacVal,_xlpm.CSVVal&lt;&gt;"",_xlpm.CSVVal
)),"")</f>
        <v/>
      </c>
      <c r="L1224" s="40" t="str" cm="1">
        <f t="array" ref="L1224">IFERROR(_xlfn.LET(
_xlpm.CSVVal,_xlfn.XLOOKUP($A1224,CSV!$A:$A,CSV!P:P,""),
_xlpm.MacVal,_xlfn.XLOOKUP($A1224,Output_Mac!$A:$A,Output_Mac!L:L,""),
_xlpm.MyAuditVal,_xlfn.XLOOKUP($A1224,My_Audit!$A:$A,My_Audit!K:K,""),
_xlfn.IFS(_xlpm.MyAuditVal&lt;&gt;"",UPPER(_xlpm.MyAuditVal),_xlpm.MacVal&lt;&gt;"",_xlpm.MacVal,_xlpm.CSVVal&lt;&gt;"",_xlpm.CSVVal
)),"")</f>
        <v/>
      </c>
      <c r="M1224" s="40" t="str" cm="1">
        <f t="array" ref="M1224">IFERROR(_xlfn.LET(
_xlpm.CSVVal,_xlfn.XLOOKUP($A1224,CSV!$A:$A,CSV!Q:Q,""),
_xlpm.MacVal,_xlfn.XLOOKUP($A1224,Output_Mac!$A:$A,Output_Mac!M:M,""),
_xlpm.MyAuditVal,_xlfn.XLOOKUP($A1224,My_Audit!$A:$A,My_Audit!L:L,""),
_xlfn.IFS(_xlpm.MyAuditVal&lt;&gt;"",UPPER(_xlpm.MyAuditVal),_xlpm.MacVal&lt;&gt;"",_xlpm.MacVal,_xlpm.CSVVal&lt;&gt;"",_xlpm.CSVVal
)),"")</f>
        <v/>
      </c>
      <c r="N1224" s="40"/>
      <c r="O1224" s="40" t="str">
        <f>_xlfn.LET(
    _xlpm.CSVVal, _xlfn.XLOOKUP($A1224, CSV!$A:$A, CSV!AA:AA, ""),
    _xlpm.MacVal, _xlfn.XLOOKUP($A1224, Output_Mac!$A:$A, Output_Mac!S:S, ""),
    _xlpm.MyAuditVal, _xlfn.XLOOKUP($A1224, My_Audit!$A:$A, My_Audit!P:P, ""),
    _xlfn.TEXTJOIN(", ", TRUE, _xlpm.MyAuditVal, _xlpm.MacVal, _xlpm.CSVVal)
)</f>
        <v/>
      </c>
      <c r="P1224" s="40" t="str" cm="1">
        <f t="array" ref="P1224">IFERROR(_xlfn.LET(
_xlpm.CSVVal,_xlfn.XLOOKUP($A1224,CSV!$A:$A,CSV!AB:AB,""),
_xlpm.MacVal,_xlfn.XLOOKUP($A1224,Output_Mac!$A:$A,Output_Mac!T:T,""),
_xlpm.MyAuditVal,_xlfn.XLOOKUP($A1224,My_Audit!$A:$A,My_Audit!Q:Q,""),
_xlfn.IFS(_xlpm.MyAuditVal&lt;&gt;"",UPPER(_xlpm.MyAuditVal),_xlpm.MacVal&lt;&gt;"",_xlpm.MacVal,_xlpm.CSVVal&lt;&gt;"",_xlpm.CSVVal
)),"No")</f>
        <v>No</v>
      </c>
      <c r="Q1224" s="40" t="str" cm="1">
        <f t="array" ref="Q1224">IFERROR(_xlfn.LET(
_xlpm.CSVVal,_xlfn.XLOOKUP($A1224,CSV!$A:$A,CSV!AC:AC,""),
_xlpm.MacVal,_xlfn.XLOOKUP($A1224,Output_Mac!$A:$A,Output_Mac!U:U,""),
_xlpm.MyAuditVal,_xlfn.XLOOKUP($A1224,My_Audit!$A:$A,My_Audit!R:R,""),
_xlfn.IFS(_xlpm.MyAuditVal&lt;&gt;"",UPPER(_xlpm.MyAuditVal),_xlpm.MacVal&lt;&gt;"",_xlpm.MacVal,_xlpm.CSVVal&lt;&gt;"",_xlpm.CSVVal
)),"")</f>
        <v/>
      </c>
      <c r="R1224" s="40"/>
      <c r="S1224" s="40"/>
      <c r="T1224" s="40"/>
      <c r="U1224" s="40"/>
      <c r="V1224" s="40"/>
      <c r="W1224" s="40"/>
      <c r="X1224" s="41" t="str">
        <f>_xlfn.LET(
    _xlpm.MacVal, _xlfn.XLOOKUP($A1224, Output_Mac!$A:$A, Output_Mac!AB:AB, ""),
    _xlpm.MyAuditVal, _xlfn.XLOOKUP($A1224, My_Audit!$A:$A, My_Audit!N:N, ""),
    _xlfn.TEXTJOIN(", ", TRUE, _xlpm.MyAuditVal, _xlpm.MacVal)
)</f>
        <v/>
      </c>
    </row>
    <row r="1225" spans="1:24">
      <c r="A1225" s="40" t="str">
        <f>_xlfn.TEXTJOIN("",TRUE,Input!$B$2,ROW(My_Audit!A1224))</f>
        <v>X1224</v>
      </c>
      <c r="B1225" s="40" t="str">
        <f>_xlfn.TEXTJOIN("-",TRUE,"ITD",Input!$A$2,A1225)</f>
        <v>ITD-X1224</v>
      </c>
      <c r="C1225" s="40" t="str" cm="1">
        <f t="array" ref="C1225">IFERROR(_xlfn.LET(
_xlpm.CSVVal,_xlfn.XLOOKUP($A1225,CSV!$A:$A,CSV!B:B,""),
_xlpm.MacVal,_xlfn.XLOOKUP($A1225,Output_Mac!$A:$A,Output_Mac!B:B,""),
_xlpm.MyAuditVal,_xlfn.XLOOKUP($A1225,My_Audit!$A:$A,My_Audit!B:B,""),
_xlfn.IFS(_xlpm.MyAuditVal&lt;&gt;"",UPPER(_xlpm.MyAuditVal),_xlpm.MacVal&lt;&gt;"",_xlpm.MacVal,_xlpm.CSVVal&lt;&gt;"",_xlpm.CSVVal
)),"")</f>
        <v/>
      </c>
      <c r="D1225" s="40" t="str" cm="1">
        <f t="array" ref="D1225">IFERROR(_xlfn.LET(
_xlpm.CSVVal,_xlfn.XLOOKUP($A1225,CSV!$A:$A,CSV!D:D,""),
_xlpm.MacVal,_xlfn.XLOOKUP($A1225,Output_Mac!$A:$A,Output_Mac!C:C,""),
_xlpm.MyAuditVal,_xlfn.XLOOKUP($A1225,My_Audit!$A:$A,My_Audit!C:C,""),
_xlfn.IFS(_xlpm.MyAuditVal&lt;&gt;"",_xlpm.MyAuditVal,_xlpm.MacVal&lt;&gt;"",_xlpm.MacVal,_xlpm.CSVVal&lt;&gt;"",_xlpm.CSVVal
)),"")</f>
        <v/>
      </c>
      <c r="E1225" s="40" t="str">
        <f>_xlfn.XLOOKUP(A1225,My_Audit!A:A,My_Audit!D:D,"")</f>
        <v/>
      </c>
      <c r="F1225" s="40" t="str" cm="1">
        <f t="array" ref="F1225">IFERROR(_xlfn.LET(
_xlpm.CSVVal,_xlfn.XLOOKUP($A1225,CSV!$A:$A,CSV!F:F,""),
_xlpm.MacVal,_xlfn.XLOOKUP($A1225,Output_Mac!$A:$A,Output_Mac!E:E,""),
_xlpm.MyAuditVal,_xlfn.XLOOKUP($A1225,My_Audit!$A:$A,My_Audit!E:E,""),
_xlfn.IFS(_xlpm.MyAuditVal&lt;&gt;"",_xlpm.MyAuditVal,_xlpm.MacVal&lt;&gt;"",_xlpm.MacVal,_xlpm.CSVVal&lt;&gt;"",_xlpm.CSVVal
)),"")</f>
        <v/>
      </c>
      <c r="G1225" s="40" t="str" cm="1">
        <f t="array" ref="G1225">IFERROR(_xlfn.LET(
_xlpm.CSVVal,_xlfn.XLOOKUP($A1225,CSV!$A:$A,CSV!G:G,""),
_xlpm.MacVal,_xlfn.XLOOKUP($A1225,Output_Mac!$A:$A,Output_Mac!F:F,""),
_xlpm.MyAuditVal,_xlfn.XLOOKUP($A1225,My_Audit!$A:$A,My_Audit!F:F,""),
_xlfn.IFS(_xlpm.MyAuditVal&lt;&gt;"",_xlpm.MyAuditVal,_xlpm.MacVal&lt;&gt;"",_xlpm.MacVal,_xlpm.CSVVal&lt;&gt;"",PROPER(_xlpm.CSVVal)
)),"")</f>
        <v/>
      </c>
      <c r="H1225" s="40" t="str" cm="1">
        <f t="array" ref="H1225">IFERROR(_xlfn.LET(
_xlpm.CSVVal,_xlfn.XLOOKUP($A1225,CSV!$A:$A,CSV!H:H,""),
_xlpm.MacVal,_xlfn.XLOOKUP($A1225,Output_Mac!$A:$A,Output_Mac!H:H,""),
_xlpm.MyAuditVal,_xlfn.XLOOKUP($A1225,My_Audit!$A:$A,My_Audit!G:G,""),
_xlfn.IFS(_xlpm.MyAuditVal&lt;&gt;"",_xlpm.MyAuditVal,_xlpm.MacVal&lt;&gt;"",_xlpm.MacVal,_xlpm.CSVVal&lt;&gt;"",_xlpm.CSVVal
)),"")</f>
        <v/>
      </c>
      <c r="I1225" s="40" t="str">
        <f>_xlfn.XLOOKUP(A1225,Output_Mac!A:A,Output_Mac!I:I,"")</f>
        <v/>
      </c>
      <c r="J1225" s="40" t="str" cm="1">
        <f t="array" ref="J1225">IFERROR(_xlfn.LET(
_xlpm.CSVVal,_xlfn.XLOOKUP($A1225,CSV!$A:$A,CSV!I:I,""),
_xlpm.MacVal,_xlfn.XLOOKUP($A1225,Output_Mac!$A:$A,Output_Mac!J:J,""),
_xlpm.MyAuditVal,_xlfn.XLOOKUP($A1225,My_Audit!$A:$A,My_Audit!I:I,""),
_xlfn.IFS(_xlpm.MyAuditVal&lt;&gt;"",UPPER(_xlpm.MyAuditVal),_xlpm.MacVal&lt;&gt;"",_xlpm.MacVal,_xlpm.CSVVal&lt;&gt;"",_xlpm.CSVVal
)),"")</f>
        <v/>
      </c>
      <c r="K1225" s="40" t="str" cm="1">
        <f t="array" ref="K1225">IFERROR(_xlfn.LET(
_xlpm.CSVVal,_xlfn.XLOOKUP($A1225,CSV!$A:$A,CSV!K:K,""),
_xlpm.MacVal,_xlfn.XLOOKUP($A1225,Output_Mac!$A:$A,Output_Mac!K:K,""),
_xlpm.MyAuditVal,_xlfn.XLOOKUP($A1225,My_Audit!$A:$A,My_Audit!J:J,""),
_xlfn.IFS(_xlpm.MyAuditVal&lt;&gt;"",UPPER(_xlpm.MyAuditVal),_xlpm.MacVal&lt;&gt;"",_xlpm.MacVal,_xlpm.CSVVal&lt;&gt;"",_xlpm.CSVVal
)),"")</f>
        <v/>
      </c>
      <c r="L1225" s="40" t="str" cm="1">
        <f t="array" ref="L1225">IFERROR(_xlfn.LET(
_xlpm.CSVVal,_xlfn.XLOOKUP($A1225,CSV!$A:$A,CSV!P:P,""),
_xlpm.MacVal,_xlfn.XLOOKUP($A1225,Output_Mac!$A:$A,Output_Mac!L:L,""),
_xlpm.MyAuditVal,_xlfn.XLOOKUP($A1225,My_Audit!$A:$A,My_Audit!K:K,""),
_xlfn.IFS(_xlpm.MyAuditVal&lt;&gt;"",UPPER(_xlpm.MyAuditVal),_xlpm.MacVal&lt;&gt;"",_xlpm.MacVal,_xlpm.CSVVal&lt;&gt;"",_xlpm.CSVVal
)),"")</f>
        <v/>
      </c>
      <c r="M1225" s="40" t="str" cm="1">
        <f t="array" ref="M1225">IFERROR(_xlfn.LET(
_xlpm.CSVVal,_xlfn.XLOOKUP($A1225,CSV!$A:$A,CSV!Q:Q,""),
_xlpm.MacVal,_xlfn.XLOOKUP($A1225,Output_Mac!$A:$A,Output_Mac!M:M,""),
_xlpm.MyAuditVal,_xlfn.XLOOKUP($A1225,My_Audit!$A:$A,My_Audit!L:L,""),
_xlfn.IFS(_xlpm.MyAuditVal&lt;&gt;"",UPPER(_xlpm.MyAuditVal),_xlpm.MacVal&lt;&gt;"",_xlpm.MacVal,_xlpm.CSVVal&lt;&gt;"",_xlpm.CSVVal
)),"")</f>
        <v/>
      </c>
      <c r="N1225" s="40"/>
      <c r="O1225" s="40" t="str">
        <f>_xlfn.LET(
    _xlpm.CSVVal, _xlfn.XLOOKUP($A1225, CSV!$A:$A, CSV!AA:AA, ""),
    _xlpm.MacVal, _xlfn.XLOOKUP($A1225, Output_Mac!$A:$A, Output_Mac!S:S, ""),
    _xlpm.MyAuditVal, _xlfn.XLOOKUP($A1225, My_Audit!$A:$A, My_Audit!P:P, ""),
    _xlfn.TEXTJOIN(", ", TRUE, _xlpm.MyAuditVal, _xlpm.MacVal, _xlpm.CSVVal)
)</f>
        <v/>
      </c>
      <c r="P1225" s="40" t="str" cm="1">
        <f t="array" ref="P1225">IFERROR(_xlfn.LET(
_xlpm.CSVVal,_xlfn.XLOOKUP($A1225,CSV!$A:$A,CSV!AB:AB,""),
_xlpm.MacVal,_xlfn.XLOOKUP($A1225,Output_Mac!$A:$A,Output_Mac!T:T,""),
_xlpm.MyAuditVal,_xlfn.XLOOKUP($A1225,My_Audit!$A:$A,My_Audit!Q:Q,""),
_xlfn.IFS(_xlpm.MyAuditVal&lt;&gt;"",UPPER(_xlpm.MyAuditVal),_xlpm.MacVal&lt;&gt;"",_xlpm.MacVal,_xlpm.CSVVal&lt;&gt;"",_xlpm.CSVVal
)),"No")</f>
        <v>No</v>
      </c>
      <c r="Q1225" s="40" t="str" cm="1">
        <f t="array" ref="Q1225">IFERROR(_xlfn.LET(
_xlpm.CSVVal,_xlfn.XLOOKUP($A1225,CSV!$A:$A,CSV!AC:AC,""),
_xlpm.MacVal,_xlfn.XLOOKUP($A1225,Output_Mac!$A:$A,Output_Mac!U:U,""),
_xlpm.MyAuditVal,_xlfn.XLOOKUP($A1225,My_Audit!$A:$A,My_Audit!R:R,""),
_xlfn.IFS(_xlpm.MyAuditVal&lt;&gt;"",UPPER(_xlpm.MyAuditVal),_xlpm.MacVal&lt;&gt;"",_xlpm.MacVal,_xlpm.CSVVal&lt;&gt;"",_xlpm.CSVVal
)),"")</f>
        <v/>
      </c>
      <c r="R1225" s="40"/>
      <c r="S1225" s="40"/>
      <c r="T1225" s="40"/>
      <c r="U1225" s="40"/>
      <c r="V1225" s="40"/>
      <c r="W1225" s="40"/>
      <c r="X1225" s="41" t="str">
        <f>_xlfn.LET(
    _xlpm.MacVal, _xlfn.XLOOKUP($A1225, Output_Mac!$A:$A, Output_Mac!AB:AB, ""),
    _xlpm.MyAuditVal, _xlfn.XLOOKUP($A1225, My_Audit!$A:$A, My_Audit!N:N, ""),
    _xlfn.TEXTJOIN(", ", TRUE, _xlpm.MyAuditVal, _xlpm.MacVal)
)</f>
        <v/>
      </c>
    </row>
    <row r="1226" spans="1:24">
      <c r="A1226" s="40" t="str">
        <f>_xlfn.TEXTJOIN("",TRUE,Input!$B$2,ROW(My_Audit!A1225))</f>
        <v>X1225</v>
      </c>
      <c r="B1226" s="40" t="str">
        <f>_xlfn.TEXTJOIN("-",TRUE,"ITD",Input!$A$2,A1226)</f>
        <v>ITD-X1225</v>
      </c>
      <c r="C1226" s="40" t="str" cm="1">
        <f t="array" ref="C1226">IFERROR(_xlfn.LET(
_xlpm.CSVVal,_xlfn.XLOOKUP($A1226,CSV!$A:$A,CSV!B:B,""),
_xlpm.MacVal,_xlfn.XLOOKUP($A1226,Output_Mac!$A:$A,Output_Mac!B:B,""),
_xlpm.MyAuditVal,_xlfn.XLOOKUP($A1226,My_Audit!$A:$A,My_Audit!B:B,""),
_xlfn.IFS(_xlpm.MyAuditVal&lt;&gt;"",UPPER(_xlpm.MyAuditVal),_xlpm.MacVal&lt;&gt;"",_xlpm.MacVal,_xlpm.CSVVal&lt;&gt;"",_xlpm.CSVVal
)),"")</f>
        <v/>
      </c>
      <c r="D1226" s="40" t="str" cm="1">
        <f t="array" ref="D1226">IFERROR(_xlfn.LET(
_xlpm.CSVVal,_xlfn.XLOOKUP($A1226,CSV!$A:$A,CSV!D:D,""),
_xlpm.MacVal,_xlfn.XLOOKUP($A1226,Output_Mac!$A:$A,Output_Mac!C:C,""),
_xlpm.MyAuditVal,_xlfn.XLOOKUP($A1226,My_Audit!$A:$A,My_Audit!C:C,""),
_xlfn.IFS(_xlpm.MyAuditVal&lt;&gt;"",_xlpm.MyAuditVal,_xlpm.MacVal&lt;&gt;"",_xlpm.MacVal,_xlpm.CSVVal&lt;&gt;"",_xlpm.CSVVal
)),"")</f>
        <v/>
      </c>
      <c r="E1226" s="40" t="str">
        <f>_xlfn.XLOOKUP(A1226,My_Audit!A:A,My_Audit!D:D,"")</f>
        <v/>
      </c>
      <c r="F1226" s="40" t="str" cm="1">
        <f t="array" ref="F1226">IFERROR(_xlfn.LET(
_xlpm.CSVVal,_xlfn.XLOOKUP($A1226,CSV!$A:$A,CSV!F:F,""),
_xlpm.MacVal,_xlfn.XLOOKUP($A1226,Output_Mac!$A:$A,Output_Mac!E:E,""),
_xlpm.MyAuditVal,_xlfn.XLOOKUP($A1226,My_Audit!$A:$A,My_Audit!E:E,""),
_xlfn.IFS(_xlpm.MyAuditVal&lt;&gt;"",_xlpm.MyAuditVal,_xlpm.MacVal&lt;&gt;"",_xlpm.MacVal,_xlpm.CSVVal&lt;&gt;"",_xlpm.CSVVal
)),"")</f>
        <v/>
      </c>
      <c r="G1226" s="40" t="str" cm="1">
        <f t="array" ref="G1226">IFERROR(_xlfn.LET(
_xlpm.CSVVal,_xlfn.XLOOKUP($A1226,CSV!$A:$A,CSV!G:G,""),
_xlpm.MacVal,_xlfn.XLOOKUP($A1226,Output_Mac!$A:$A,Output_Mac!F:F,""),
_xlpm.MyAuditVal,_xlfn.XLOOKUP($A1226,My_Audit!$A:$A,My_Audit!F:F,""),
_xlfn.IFS(_xlpm.MyAuditVal&lt;&gt;"",_xlpm.MyAuditVal,_xlpm.MacVal&lt;&gt;"",_xlpm.MacVal,_xlpm.CSVVal&lt;&gt;"",PROPER(_xlpm.CSVVal)
)),"")</f>
        <v/>
      </c>
      <c r="H1226" s="40" t="str" cm="1">
        <f t="array" ref="H1226">IFERROR(_xlfn.LET(
_xlpm.CSVVal,_xlfn.XLOOKUP($A1226,CSV!$A:$A,CSV!H:H,""),
_xlpm.MacVal,_xlfn.XLOOKUP($A1226,Output_Mac!$A:$A,Output_Mac!H:H,""),
_xlpm.MyAuditVal,_xlfn.XLOOKUP($A1226,My_Audit!$A:$A,My_Audit!G:G,""),
_xlfn.IFS(_xlpm.MyAuditVal&lt;&gt;"",_xlpm.MyAuditVal,_xlpm.MacVal&lt;&gt;"",_xlpm.MacVal,_xlpm.CSVVal&lt;&gt;"",_xlpm.CSVVal
)),"")</f>
        <v/>
      </c>
      <c r="I1226" s="40" t="str">
        <f>_xlfn.XLOOKUP(A1226,Output_Mac!A:A,Output_Mac!I:I,"")</f>
        <v/>
      </c>
      <c r="J1226" s="40" t="str" cm="1">
        <f t="array" ref="J1226">IFERROR(_xlfn.LET(
_xlpm.CSVVal,_xlfn.XLOOKUP($A1226,CSV!$A:$A,CSV!I:I,""),
_xlpm.MacVal,_xlfn.XLOOKUP($A1226,Output_Mac!$A:$A,Output_Mac!J:J,""),
_xlpm.MyAuditVal,_xlfn.XLOOKUP($A1226,My_Audit!$A:$A,My_Audit!I:I,""),
_xlfn.IFS(_xlpm.MyAuditVal&lt;&gt;"",UPPER(_xlpm.MyAuditVal),_xlpm.MacVal&lt;&gt;"",_xlpm.MacVal,_xlpm.CSVVal&lt;&gt;"",_xlpm.CSVVal
)),"")</f>
        <v/>
      </c>
      <c r="K1226" s="40" t="str" cm="1">
        <f t="array" ref="K1226">IFERROR(_xlfn.LET(
_xlpm.CSVVal,_xlfn.XLOOKUP($A1226,CSV!$A:$A,CSV!K:K,""),
_xlpm.MacVal,_xlfn.XLOOKUP($A1226,Output_Mac!$A:$A,Output_Mac!K:K,""),
_xlpm.MyAuditVal,_xlfn.XLOOKUP($A1226,My_Audit!$A:$A,My_Audit!J:J,""),
_xlfn.IFS(_xlpm.MyAuditVal&lt;&gt;"",UPPER(_xlpm.MyAuditVal),_xlpm.MacVal&lt;&gt;"",_xlpm.MacVal,_xlpm.CSVVal&lt;&gt;"",_xlpm.CSVVal
)),"")</f>
        <v/>
      </c>
      <c r="L1226" s="40" t="str" cm="1">
        <f t="array" ref="L1226">IFERROR(_xlfn.LET(
_xlpm.CSVVal,_xlfn.XLOOKUP($A1226,CSV!$A:$A,CSV!P:P,""),
_xlpm.MacVal,_xlfn.XLOOKUP($A1226,Output_Mac!$A:$A,Output_Mac!L:L,""),
_xlpm.MyAuditVal,_xlfn.XLOOKUP($A1226,My_Audit!$A:$A,My_Audit!K:K,""),
_xlfn.IFS(_xlpm.MyAuditVal&lt;&gt;"",UPPER(_xlpm.MyAuditVal),_xlpm.MacVal&lt;&gt;"",_xlpm.MacVal,_xlpm.CSVVal&lt;&gt;"",_xlpm.CSVVal
)),"")</f>
        <v/>
      </c>
      <c r="M1226" s="40" t="str" cm="1">
        <f t="array" ref="M1226">IFERROR(_xlfn.LET(
_xlpm.CSVVal,_xlfn.XLOOKUP($A1226,CSV!$A:$A,CSV!Q:Q,""),
_xlpm.MacVal,_xlfn.XLOOKUP($A1226,Output_Mac!$A:$A,Output_Mac!M:M,""),
_xlpm.MyAuditVal,_xlfn.XLOOKUP($A1226,My_Audit!$A:$A,My_Audit!L:L,""),
_xlfn.IFS(_xlpm.MyAuditVal&lt;&gt;"",UPPER(_xlpm.MyAuditVal),_xlpm.MacVal&lt;&gt;"",_xlpm.MacVal,_xlpm.CSVVal&lt;&gt;"",_xlpm.CSVVal
)),"")</f>
        <v/>
      </c>
      <c r="N1226" s="40"/>
      <c r="O1226" s="40" t="str">
        <f>_xlfn.LET(
    _xlpm.CSVVal, _xlfn.XLOOKUP($A1226, CSV!$A:$A, CSV!AA:AA, ""),
    _xlpm.MacVal, _xlfn.XLOOKUP($A1226, Output_Mac!$A:$A, Output_Mac!S:S, ""),
    _xlpm.MyAuditVal, _xlfn.XLOOKUP($A1226, My_Audit!$A:$A, My_Audit!P:P, ""),
    _xlfn.TEXTJOIN(", ", TRUE, _xlpm.MyAuditVal, _xlpm.MacVal, _xlpm.CSVVal)
)</f>
        <v/>
      </c>
      <c r="P1226" s="40" t="str" cm="1">
        <f t="array" ref="P1226">IFERROR(_xlfn.LET(
_xlpm.CSVVal,_xlfn.XLOOKUP($A1226,CSV!$A:$A,CSV!AB:AB,""),
_xlpm.MacVal,_xlfn.XLOOKUP($A1226,Output_Mac!$A:$A,Output_Mac!T:T,""),
_xlpm.MyAuditVal,_xlfn.XLOOKUP($A1226,My_Audit!$A:$A,My_Audit!Q:Q,""),
_xlfn.IFS(_xlpm.MyAuditVal&lt;&gt;"",UPPER(_xlpm.MyAuditVal),_xlpm.MacVal&lt;&gt;"",_xlpm.MacVal,_xlpm.CSVVal&lt;&gt;"",_xlpm.CSVVal
)),"No")</f>
        <v>No</v>
      </c>
      <c r="Q1226" s="40" t="str" cm="1">
        <f t="array" ref="Q1226">IFERROR(_xlfn.LET(
_xlpm.CSVVal,_xlfn.XLOOKUP($A1226,CSV!$A:$A,CSV!AC:AC,""),
_xlpm.MacVal,_xlfn.XLOOKUP($A1226,Output_Mac!$A:$A,Output_Mac!U:U,""),
_xlpm.MyAuditVal,_xlfn.XLOOKUP($A1226,My_Audit!$A:$A,My_Audit!R:R,""),
_xlfn.IFS(_xlpm.MyAuditVal&lt;&gt;"",UPPER(_xlpm.MyAuditVal),_xlpm.MacVal&lt;&gt;"",_xlpm.MacVal,_xlpm.CSVVal&lt;&gt;"",_xlpm.CSVVal
)),"")</f>
        <v/>
      </c>
      <c r="R1226" s="40"/>
      <c r="S1226" s="40"/>
      <c r="T1226" s="40"/>
      <c r="U1226" s="40"/>
      <c r="V1226" s="40"/>
      <c r="W1226" s="40"/>
      <c r="X1226" s="41" t="str">
        <f>_xlfn.LET(
    _xlpm.MacVal, _xlfn.XLOOKUP($A1226, Output_Mac!$A:$A, Output_Mac!AB:AB, ""),
    _xlpm.MyAuditVal, _xlfn.XLOOKUP($A1226, My_Audit!$A:$A, My_Audit!N:N, ""),
    _xlfn.TEXTJOIN(", ", TRUE, _xlpm.MyAuditVal, _xlpm.MacVal)
)</f>
        <v/>
      </c>
    </row>
    <row r="1227" spans="1:24">
      <c r="A1227" s="40" t="str">
        <f>_xlfn.TEXTJOIN("",TRUE,Input!$B$2,ROW(My_Audit!A1226))</f>
        <v>X1226</v>
      </c>
      <c r="B1227" s="40" t="str">
        <f>_xlfn.TEXTJOIN("-",TRUE,"ITD",Input!$A$2,A1227)</f>
        <v>ITD-X1226</v>
      </c>
      <c r="C1227" s="40" t="str" cm="1">
        <f t="array" ref="C1227">IFERROR(_xlfn.LET(
_xlpm.CSVVal,_xlfn.XLOOKUP($A1227,CSV!$A:$A,CSV!B:B,""),
_xlpm.MacVal,_xlfn.XLOOKUP($A1227,Output_Mac!$A:$A,Output_Mac!B:B,""),
_xlpm.MyAuditVal,_xlfn.XLOOKUP($A1227,My_Audit!$A:$A,My_Audit!B:B,""),
_xlfn.IFS(_xlpm.MyAuditVal&lt;&gt;"",UPPER(_xlpm.MyAuditVal),_xlpm.MacVal&lt;&gt;"",_xlpm.MacVal,_xlpm.CSVVal&lt;&gt;"",_xlpm.CSVVal
)),"")</f>
        <v/>
      </c>
      <c r="D1227" s="40" t="str" cm="1">
        <f t="array" ref="D1227">IFERROR(_xlfn.LET(
_xlpm.CSVVal,_xlfn.XLOOKUP($A1227,CSV!$A:$A,CSV!D:D,""),
_xlpm.MacVal,_xlfn.XLOOKUP($A1227,Output_Mac!$A:$A,Output_Mac!C:C,""),
_xlpm.MyAuditVal,_xlfn.XLOOKUP($A1227,My_Audit!$A:$A,My_Audit!C:C,""),
_xlfn.IFS(_xlpm.MyAuditVal&lt;&gt;"",_xlpm.MyAuditVal,_xlpm.MacVal&lt;&gt;"",_xlpm.MacVal,_xlpm.CSVVal&lt;&gt;"",_xlpm.CSVVal
)),"")</f>
        <v/>
      </c>
      <c r="E1227" s="40" t="str">
        <f>_xlfn.XLOOKUP(A1227,My_Audit!A:A,My_Audit!D:D,"")</f>
        <v/>
      </c>
      <c r="F1227" s="40" t="str" cm="1">
        <f t="array" ref="F1227">IFERROR(_xlfn.LET(
_xlpm.CSVVal,_xlfn.XLOOKUP($A1227,CSV!$A:$A,CSV!F:F,""),
_xlpm.MacVal,_xlfn.XLOOKUP($A1227,Output_Mac!$A:$A,Output_Mac!E:E,""),
_xlpm.MyAuditVal,_xlfn.XLOOKUP($A1227,My_Audit!$A:$A,My_Audit!E:E,""),
_xlfn.IFS(_xlpm.MyAuditVal&lt;&gt;"",_xlpm.MyAuditVal,_xlpm.MacVal&lt;&gt;"",_xlpm.MacVal,_xlpm.CSVVal&lt;&gt;"",_xlpm.CSVVal
)),"")</f>
        <v/>
      </c>
      <c r="G1227" s="40" t="str" cm="1">
        <f t="array" ref="G1227">IFERROR(_xlfn.LET(
_xlpm.CSVVal,_xlfn.XLOOKUP($A1227,CSV!$A:$A,CSV!G:G,""),
_xlpm.MacVal,_xlfn.XLOOKUP($A1227,Output_Mac!$A:$A,Output_Mac!F:F,""),
_xlpm.MyAuditVal,_xlfn.XLOOKUP($A1227,My_Audit!$A:$A,My_Audit!F:F,""),
_xlfn.IFS(_xlpm.MyAuditVal&lt;&gt;"",_xlpm.MyAuditVal,_xlpm.MacVal&lt;&gt;"",_xlpm.MacVal,_xlpm.CSVVal&lt;&gt;"",PROPER(_xlpm.CSVVal)
)),"")</f>
        <v/>
      </c>
      <c r="H1227" s="40" t="str" cm="1">
        <f t="array" ref="H1227">IFERROR(_xlfn.LET(
_xlpm.CSVVal,_xlfn.XLOOKUP($A1227,CSV!$A:$A,CSV!H:H,""),
_xlpm.MacVal,_xlfn.XLOOKUP($A1227,Output_Mac!$A:$A,Output_Mac!H:H,""),
_xlpm.MyAuditVal,_xlfn.XLOOKUP($A1227,My_Audit!$A:$A,My_Audit!G:G,""),
_xlfn.IFS(_xlpm.MyAuditVal&lt;&gt;"",_xlpm.MyAuditVal,_xlpm.MacVal&lt;&gt;"",_xlpm.MacVal,_xlpm.CSVVal&lt;&gt;"",_xlpm.CSVVal
)),"")</f>
        <v/>
      </c>
      <c r="I1227" s="40" t="str">
        <f>_xlfn.XLOOKUP(A1227,Output_Mac!A:A,Output_Mac!I:I,"")</f>
        <v/>
      </c>
      <c r="J1227" s="40" t="str" cm="1">
        <f t="array" ref="J1227">IFERROR(_xlfn.LET(
_xlpm.CSVVal,_xlfn.XLOOKUP($A1227,CSV!$A:$A,CSV!I:I,""),
_xlpm.MacVal,_xlfn.XLOOKUP($A1227,Output_Mac!$A:$A,Output_Mac!J:J,""),
_xlpm.MyAuditVal,_xlfn.XLOOKUP($A1227,My_Audit!$A:$A,My_Audit!I:I,""),
_xlfn.IFS(_xlpm.MyAuditVal&lt;&gt;"",UPPER(_xlpm.MyAuditVal),_xlpm.MacVal&lt;&gt;"",_xlpm.MacVal,_xlpm.CSVVal&lt;&gt;"",_xlpm.CSVVal
)),"")</f>
        <v/>
      </c>
      <c r="K1227" s="40" t="str" cm="1">
        <f t="array" ref="K1227">IFERROR(_xlfn.LET(
_xlpm.CSVVal,_xlfn.XLOOKUP($A1227,CSV!$A:$A,CSV!K:K,""),
_xlpm.MacVal,_xlfn.XLOOKUP($A1227,Output_Mac!$A:$A,Output_Mac!K:K,""),
_xlpm.MyAuditVal,_xlfn.XLOOKUP($A1227,My_Audit!$A:$A,My_Audit!J:J,""),
_xlfn.IFS(_xlpm.MyAuditVal&lt;&gt;"",UPPER(_xlpm.MyAuditVal),_xlpm.MacVal&lt;&gt;"",_xlpm.MacVal,_xlpm.CSVVal&lt;&gt;"",_xlpm.CSVVal
)),"")</f>
        <v/>
      </c>
      <c r="L1227" s="40" t="str" cm="1">
        <f t="array" ref="L1227">IFERROR(_xlfn.LET(
_xlpm.CSVVal,_xlfn.XLOOKUP($A1227,CSV!$A:$A,CSV!P:P,""),
_xlpm.MacVal,_xlfn.XLOOKUP($A1227,Output_Mac!$A:$A,Output_Mac!L:L,""),
_xlpm.MyAuditVal,_xlfn.XLOOKUP($A1227,My_Audit!$A:$A,My_Audit!K:K,""),
_xlfn.IFS(_xlpm.MyAuditVal&lt;&gt;"",UPPER(_xlpm.MyAuditVal),_xlpm.MacVal&lt;&gt;"",_xlpm.MacVal,_xlpm.CSVVal&lt;&gt;"",_xlpm.CSVVal
)),"")</f>
        <v/>
      </c>
      <c r="M1227" s="40" t="str" cm="1">
        <f t="array" ref="M1227">IFERROR(_xlfn.LET(
_xlpm.CSVVal,_xlfn.XLOOKUP($A1227,CSV!$A:$A,CSV!Q:Q,""),
_xlpm.MacVal,_xlfn.XLOOKUP($A1227,Output_Mac!$A:$A,Output_Mac!M:M,""),
_xlpm.MyAuditVal,_xlfn.XLOOKUP($A1227,My_Audit!$A:$A,My_Audit!L:L,""),
_xlfn.IFS(_xlpm.MyAuditVal&lt;&gt;"",UPPER(_xlpm.MyAuditVal),_xlpm.MacVal&lt;&gt;"",_xlpm.MacVal,_xlpm.CSVVal&lt;&gt;"",_xlpm.CSVVal
)),"")</f>
        <v/>
      </c>
      <c r="N1227" s="40"/>
      <c r="O1227" s="40" t="str">
        <f>_xlfn.LET(
    _xlpm.CSVVal, _xlfn.XLOOKUP($A1227, CSV!$A:$A, CSV!AA:AA, ""),
    _xlpm.MacVal, _xlfn.XLOOKUP($A1227, Output_Mac!$A:$A, Output_Mac!S:S, ""),
    _xlpm.MyAuditVal, _xlfn.XLOOKUP($A1227, My_Audit!$A:$A, My_Audit!P:P, ""),
    _xlfn.TEXTJOIN(", ", TRUE, _xlpm.MyAuditVal, _xlpm.MacVal, _xlpm.CSVVal)
)</f>
        <v/>
      </c>
      <c r="P1227" s="40" t="str" cm="1">
        <f t="array" ref="P1227">IFERROR(_xlfn.LET(
_xlpm.CSVVal,_xlfn.XLOOKUP($A1227,CSV!$A:$A,CSV!AB:AB,""),
_xlpm.MacVal,_xlfn.XLOOKUP($A1227,Output_Mac!$A:$A,Output_Mac!T:T,""),
_xlpm.MyAuditVal,_xlfn.XLOOKUP($A1227,My_Audit!$A:$A,My_Audit!Q:Q,""),
_xlfn.IFS(_xlpm.MyAuditVal&lt;&gt;"",UPPER(_xlpm.MyAuditVal),_xlpm.MacVal&lt;&gt;"",_xlpm.MacVal,_xlpm.CSVVal&lt;&gt;"",_xlpm.CSVVal
)),"No")</f>
        <v>No</v>
      </c>
      <c r="Q1227" s="40" t="str" cm="1">
        <f t="array" ref="Q1227">IFERROR(_xlfn.LET(
_xlpm.CSVVal,_xlfn.XLOOKUP($A1227,CSV!$A:$A,CSV!AC:AC,""),
_xlpm.MacVal,_xlfn.XLOOKUP($A1227,Output_Mac!$A:$A,Output_Mac!U:U,""),
_xlpm.MyAuditVal,_xlfn.XLOOKUP($A1227,My_Audit!$A:$A,My_Audit!R:R,""),
_xlfn.IFS(_xlpm.MyAuditVal&lt;&gt;"",UPPER(_xlpm.MyAuditVal),_xlpm.MacVal&lt;&gt;"",_xlpm.MacVal,_xlpm.CSVVal&lt;&gt;"",_xlpm.CSVVal
)),"")</f>
        <v/>
      </c>
      <c r="R1227" s="40"/>
      <c r="S1227" s="40"/>
      <c r="T1227" s="40"/>
      <c r="U1227" s="40"/>
      <c r="V1227" s="40"/>
      <c r="W1227" s="40"/>
      <c r="X1227" s="41" t="str">
        <f>_xlfn.LET(
    _xlpm.MacVal, _xlfn.XLOOKUP($A1227, Output_Mac!$A:$A, Output_Mac!AB:AB, ""),
    _xlpm.MyAuditVal, _xlfn.XLOOKUP($A1227, My_Audit!$A:$A, My_Audit!N:N, ""),
    _xlfn.TEXTJOIN(", ", TRUE, _xlpm.MyAuditVal, _xlpm.MacVal)
)</f>
        <v/>
      </c>
    </row>
    <row r="1228" spans="1:24">
      <c r="A1228" s="40" t="str">
        <f>_xlfn.TEXTJOIN("",TRUE,Input!$B$2,ROW(My_Audit!A1227))</f>
        <v>X1227</v>
      </c>
      <c r="B1228" s="40" t="str">
        <f>_xlfn.TEXTJOIN("-",TRUE,"ITD",Input!$A$2,A1228)</f>
        <v>ITD-X1227</v>
      </c>
      <c r="C1228" s="40" t="str" cm="1">
        <f t="array" ref="C1228">IFERROR(_xlfn.LET(
_xlpm.CSVVal,_xlfn.XLOOKUP($A1228,CSV!$A:$A,CSV!B:B,""),
_xlpm.MacVal,_xlfn.XLOOKUP($A1228,Output_Mac!$A:$A,Output_Mac!B:B,""),
_xlpm.MyAuditVal,_xlfn.XLOOKUP($A1228,My_Audit!$A:$A,My_Audit!B:B,""),
_xlfn.IFS(_xlpm.MyAuditVal&lt;&gt;"",UPPER(_xlpm.MyAuditVal),_xlpm.MacVal&lt;&gt;"",_xlpm.MacVal,_xlpm.CSVVal&lt;&gt;"",_xlpm.CSVVal
)),"")</f>
        <v/>
      </c>
      <c r="D1228" s="40" t="str" cm="1">
        <f t="array" ref="D1228">IFERROR(_xlfn.LET(
_xlpm.CSVVal,_xlfn.XLOOKUP($A1228,CSV!$A:$A,CSV!D:D,""),
_xlpm.MacVal,_xlfn.XLOOKUP($A1228,Output_Mac!$A:$A,Output_Mac!C:C,""),
_xlpm.MyAuditVal,_xlfn.XLOOKUP($A1228,My_Audit!$A:$A,My_Audit!C:C,""),
_xlfn.IFS(_xlpm.MyAuditVal&lt;&gt;"",_xlpm.MyAuditVal,_xlpm.MacVal&lt;&gt;"",_xlpm.MacVal,_xlpm.CSVVal&lt;&gt;"",_xlpm.CSVVal
)),"")</f>
        <v/>
      </c>
      <c r="E1228" s="40" t="str">
        <f>_xlfn.XLOOKUP(A1228,My_Audit!A:A,My_Audit!D:D,"")</f>
        <v/>
      </c>
      <c r="F1228" s="40" t="str" cm="1">
        <f t="array" ref="F1228">IFERROR(_xlfn.LET(
_xlpm.CSVVal,_xlfn.XLOOKUP($A1228,CSV!$A:$A,CSV!F:F,""),
_xlpm.MacVal,_xlfn.XLOOKUP($A1228,Output_Mac!$A:$A,Output_Mac!E:E,""),
_xlpm.MyAuditVal,_xlfn.XLOOKUP($A1228,My_Audit!$A:$A,My_Audit!E:E,""),
_xlfn.IFS(_xlpm.MyAuditVal&lt;&gt;"",_xlpm.MyAuditVal,_xlpm.MacVal&lt;&gt;"",_xlpm.MacVal,_xlpm.CSVVal&lt;&gt;"",_xlpm.CSVVal
)),"")</f>
        <v/>
      </c>
      <c r="G1228" s="40" t="str" cm="1">
        <f t="array" ref="G1228">IFERROR(_xlfn.LET(
_xlpm.CSVVal,_xlfn.XLOOKUP($A1228,CSV!$A:$A,CSV!G:G,""),
_xlpm.MacVal,_xlfn.XLOOKUP($A1228,Output_Mac!$A:$A,Output_Mac!F:F,""),
_xlpm.MyAuditVal,_xlfn.XLOOKUP($A1228,My_Audit!$A:$A,My_Audit!F:F,""),
_xlfn.IFS(_xlpm.MyAuditVal&lt;&gt;"",_xlpm.MyAuditVal,_xlpm.MacVal&lt;&gt;"",_xlpm.MacVal,_xlpm.CSVVal&lt;&gt;"",PROPER(_xlpm.CSVVal)
)),"")</f>
        <v/>
      </c>
      <c r="H1228" s="40" t="str" cm="1">
        <f t="array" ref="H1228">IFERROR(_xlfn.LET(
_xlpm.CSVVal,_xlfn.XLOOKUP($A1228,CSV!$A:$A,CSV!H:H,""),
_xlpm.MacVal,_xlfn.XLOOKUP($A1228,Output_Mac!$A:$A,Output_Mac!H:H,""),
_xlpm.MyAuditVal,_xlfn.XLOOKUP($A1228,My_Audit!$A:$A,My_Audit!G:G,""),
_xlfn.IFS(_xlpm.MyAuditVal&lt;&gt;"",_xlpm.MyAuditVal,_xlpm.MacVal&lt;&gt;"",_xlpm.MacVal,_xlpm.CSVVal&lt;&gt;"",_xlpm.CSVVal
)),"")</f>
        <v/>
      </c>
      <c r="I1228" s="40" t="str">
        <f>_xlfn.XLOOKUP(A1228,Output_Mac!A:A,Output_Mac!I:I,"")</f>
        <v/>
      </c>
      <c r="J1228" s="40" t="str" cm="1">
        <f t="array" ref="J1228">IFERROR(_xlfn.LET(
_xlpm.CSVVal,_xlfn.XLOOKUP($A1228,CSV!$A:$A,CSV!I:I,""),
_xlpm.MacVal,_xlfn.XLOOKUP($A1228,Output_Mac!$A:$A,Output_Mac!J:J,""),
_xlpm.MyAuditVal,_xlfn.XLOOKUP($A1228,My_Audit!$A:$A,My_Audit!I:I,""),
_xlfn.IFS(_xlpm.MyAuditVal&lt;&gt;"",UPPER(_xlpm.MyAuditVal),_xlpm.MacVal&lt;&gt;"",_xlpm.MacVal,_xlpm.CSVVal&lt;&gt;"",_xlpm.CSVVal
)),"")</f>
        <v/>
      </c>
      <c r="K1228" s="40" t="str" cm="1">
        <f t="array" ref="K1228">IFERROR(_xlfn.LET(
_xlpm.CSVVal,_xlfn.XLOOKUP($A1228,CSV!$A:$A,CSV!K:K,""),
_xlpm.MacVal,_xlfn.XLOOKUP($A1228,Output_Mac!$A:$A,Output_Mac!K:K,""),
_xlpm.MyAuditVal,_xlfn.XLOOKUP($A1228,My_Audit!$A:$A,My_Audit!J:J,""),
_xlfn.IFS(_xlpm.MyAuditVal&lt;&gt;"",UPPER(_xlpm.MyAuditVal),_xlpm.MacVal&lt;&gt;"",_xlpm.MacVal,_xlpm.CSVVal&lt;&gt;"",_xlpm.CSVVal
)),"")</f>
        <v/>
      </c>
      <c r="L1228" s="40" t="str" cm="1">
        <f t="array" ref="L1228">IFERROR(_xlfn.LET(
_xlpm.CSVVal,_xlfn.XLOOKUP($A1228,CSV!$A:$A,CSV!P:P,""),
_xlpm.MacVal,_xlfn.XLOOKUP($A1228,Output_Mac!$A:$A,Output_Mac!L:L,""),
_xlpm.MyAuditVal,_xlfn.XLOOKUP($A1228,My_Audit!$A:$A,My_Audit!K:K,""),
_xlfn.IFS(_xlpm.MyAuditVal&lt;&gt;"",UPPER(_xlpm.MyAuditVal),_xlpm.MacVal&lt;&gt;"",_xlpm.MacVal,_xlpm.CSVVal&lt;&gt;"",_xlpm.CSVVal
)),"")</f>
        <v/>
      </c>
      <c r="M1228" s="40" t="str" cm="1">
        <f t="array" ref="M1228">IFERROR(_xlfn.LET(
_xlpm.CSVVal,_xlfn.XLOOKUP($A1228,CSV!$A:$A,CSV!Q:Q,""),
_xlpm.MacVal,_xlfn.XLOOKUP($A1228,Output_Mac!$A:$A,Output_Mac!M:M,""),
_xlpm.MyAuditVal,_xlfn.XLOOKUP($A1228,My_Audit!$A:$A,My_Audit!L:L,""),
_xlfn.IFS(_xlpm.MyAuditVal&lt;&gt;"",UPPER(_xlpm.MyAuditVal),_xlpm.MacVal&lt;&gt;"",_xlpm.MacVal,_xlpm.CSVVal&lt;&gt;"",_xlpm.CSVVal
)),"")</f>
        <v/>
      </c>
      <c r="N1228" s="40"/>
      <c r="O1228" s="40" t="str">
        <f>_xlfn.LET(
    _xlpm.CSVVal, _xlfn.XLOOKUP($A1228, CSV!$A:$A, CSV!AA:AA, ""),
    _xlpm.MacVal, _xlfn.XLOOKUP($A1228, Output_Mac!$A:$A, Output_Mac!S:S, ""),
    _xlpm.MyAuditVal, _xlfn.XLOOKUP($A1228, My_Audit!$A:$A, My_Audit!P:P, ""),
    _xlfn.TEXTJOIN(", ", TRUE, _xlpm.MyAuditVal, _xlpm.MacVal, _xlpm.CSVVal)
)</f>
        <v/>
      </c>
      <c r="P1228" s="40" t="str" cm="1">
        <f t="array" ref="P1228">IFERROR(_xlfn.LET(
_xlpm.CSVVal,_xlfn.XLOOKUP($A1228,CSV!$A:$A,CSV!AB:AB,""),
_xlpm.MacVal,_xlfn.XLOOKUP($A1228,Output_Mac!$A:$A,Output_Mac!T:T,""),
_xlpm.MyAuditVal,_xlfn.XLOOKUP($A1228,My_Audit!$A:$A,My_Audit!Q:Q,""),
_xlfn.IFS(_xlpm.MyAuditVal&lt;&gt;"",UPPER(_xlpm.MyAuditVal),_xlpm.MacVal&lt;&gt;"",_xlpm.MacVal,_xlpm.CSVVal&lt;&gt;"",_xlpm.CSVVal
)),"No")</f>
        <v>No</v>
      </c>
      <c r="Q1228" s="40" t="str" cm="1">
        <f t="array" ref="Q1228">IFERROR(_xlfn.LET(
_xlpm.CSVVal,_xlfn.XLOOKUP($A1228,CSV!$A:$A,CSV!AC:AC,""),
_xlpm.MacVal,_xlfn.XLOOKUP($A1228,Output_Mac!$A:$A,Output_Mac!U:U,""),
_xlpm.MyAuditVal,_xlfn.XLOOKUP($A1228,My_Audit!$A:$A,My_Audit!R:R,""),
_xlfn.IFS(_xlpm.MyAuditVal&lt;&gt;"",UPPER(_xlpm.MyAuditVal),_xlpm.MacVal&lt;&gt;"",_xlpm.MacVal,_xlpm.CSVVal&lt;&gt;"",_xlpm.CSVVal
)),"")</f>
        <v/>
      </c>
      <c r="R1228" s="40"/>
      <c r="S1228" s="40"/>
      <c r="T1228" s="40"/>
      <c r="U1228" s="40"/>
      <c r="V1228" s="40"/>
      <c r="W1228" s="40"/>
      <c r="X1228" s="41" t="str">
        <f>_xlfn.LET(
    _xlpm.MacVal, _xlfn.XLOOKUP($A1228, Output_Mac!$A:$A, Output_Mac!AB:AB, ""),
    _xlpm.MyAuditVal, _xlfn.XLOOKUP($A1228, My_Audit!$A:$A, My_Audit!N:N, ""),
    _xlfn.TEXTJOIN(", ", TRUE, _xlpm.MyAuditVal, _xlpm.MacVal)
)</f>
        <v/>
      </c>
    </row>
    <row r="1229" spans="1:24">
      <c r="A1229" s="40" t="str">
        <f>_xlfn.TEXTJOIN("",TRUE,Input!$B$2,ROW(My_Audit!A1228))</f>
        <v>X1228</v>
      </c>
      <c r="B1229" s="40" t="str">
        <f>_xlfn.TEXTJOIN("-",TRUE,"ITD",Input!$A$2,A1229)</f>
        <v>ITD-X1228</v>
      </c>
      <c r="C1229" s="40" t="str" cm="1">
        <f t="array" ref="C1229">IFERROR(_xlfn.LET(
_xlpm.CSVVal,_xlfn.XLOOKUP($A1229,CSV!$A:$A,CSV!B:B,""),
_xlpm.MacVal,_xlfn.XLOOKUP($A1229,Output_Mac!$A:$A,Output_Mac!B:B,""),
_xlpm.MyAuditVal,_xlfn.XLOOKUP($A1229,My_Audit!$A:$A,My_Audit!B:B,""),
_xlfn.IFS(_xlpm.MyAuditVal&lt;&gt;"",UPPER(_xlpm.MyAuditVal),_xlpm.MacVal&lt;&gt;"",_xlpm.MacVal,_xlpm.CSVVal&lt;&gt;"",_xlpm.CSVVal
)),"")</f>
        <v/>
      </c>
      <c r="D1229" s="40" t="str" cm="1">
        <f t="array" ref="D1229">IFERROR(_xlfn.LET(
_xlpm.CSVVal,_xlfn.XLOOKUP($A1229,CSV!$A:$A,CSV!D:D,""),
_xlpm.MacVal,_xlfn.XLOOKUP($A1229,Output_Mac!$A:$A,Output_Mac!C:C,""),
_xlpm.MyAuditVal,_xlfn.XLOOKUP($A1229,My_Audit!$A:$A,My_Audit!C:C,""),
_xlfn.IFS(_xlpm.MyAuditVal&lt;&gt;"",_xlpm.MyAuditVal,_xlpm.MacVal&lt;&gt;"",_xlpm.MacVal,_xlpm.CSVVal&lt;&gt;"",_xlpm.CSVVal
)),"")</f>
        <v/>
      </c>
      <c r="E1229" s="40" t="str">
        <f>_xlfn.XLOOKUP(A1229,My_Audit!A:A,My_Audit!D:D,"")</f>
        <v/>
      </c>
      <c r="F1229" s="40" t="str" cm="1">
        <f t="array" ref="F1229">IFERROR(_xlfn.LET(
_xlpm.CSVVal,_xlfn.XLOOKUP($A1229,CSV!$A:$A,CSV!F:F,""),
_xlpm.MacVal,_xlfn.XLOOKUP($A1229,Output_Mac!$A:$A,Output_Mac!E:E,""),
_xlpm.MyAuditVal,_xlfn.XLOOKUP($A1229,My_Audit!$A:$A,My_Audit!E:E,""),
_xlfn.IFS(_xlpm.MyAuditVal&lt;&gt;"",_xlpm.MyAuditVal,_xlpm.MacVal&lt;&gt;"",_xlpm.MacVal,_xlpm.CSVVal&lt;&gt;"",_xlpm.CSVVal
)),"")</f>
        <v/>
      </c>
      <c r="G1229" s="40" t="str" cm="1">
        <f t="array" ref="G1229">IFERROR(_xlfn.LET(
_xlpm.CSVVal,_xlfn.XLOOKUP($A1229,CSV!$A:$A,CSV!G:G,""),
_xlpm.MacVal,_xlfn.XLOOKUP($A1229,Output_Mac!$A:$A,Output_Mac!F:F,""),
_xlpm.MyAuditVal,_xlfn.XLOOKUP($A1229,My_Audit!$A:$A,My_Audit!F:F,""),
_xlfn.IFS(_xlpm.MyAuditVal&lt;&gt;"",_xlpm.MyAuditVal,_xlpm.MacVal&lt;&gt;"",_xlpm.MacVal,_xlpm.CSVVal&lt;&gt;"",PROPER(_xlpm.CSVVal)
)),"")</f>
        <v/>
      </c>
      <c r="H1229" s="40" t="str" cm="1">
        <f t="array" ref="H1229">IFERROR(_xlfn.LET(
_xlpm.CSVVal,_xlfn.XLOOKUP($A1229,CSV!$A:$A,CSV!H:H,""),
_xlpm.MacVal,_xlfn.XLOOKUP($A1229,Output_Mac!$A:$A,Output_Mac!H:H,""),
_xlpm.MyAuditVal,_xlfn.XLOOKUP($A1229,My_Audit!$A:$A,My_Audit!G:G,""),
_xlfn.IFS(_xlpm.MyAuditVal&lt;&gt;"",_xlpm.MyAuditVal,_xlpm.MacVal&lt;&gt;"",_xlpm.MacVal,_xlpm.CSVVal&lt;&gt;"",_xlpm.CSVVal
)),"")</f>
        <v/>
      </c>
      <c r="I1229" s="40" t="str">
        <f>_xlfn.XLOOKUP(A1229,Output_Mac!A:A,Output_Mac!I:I,"")</f>
        <v/>
      </c>
      <c r="J1229" s="40" t="str" cm="1">
        <f t="array" ref="J1229">IFERROR(_xlfn.LET(
_xlpm.CSVVal,_xlfn.XLOOKUP($A1229,CSV!$A:$A,CSV!I:I,""),
_xlpm.MacVal,_xlfn.XLOOKUP($A1229,Output_Mac!$A:$A,Output_Mac!J:J,""),
_xlpm.MyAuditVal,_xlfn.XLOOKUP($A1229,My_Audit!$A:$A,My_Audit!I:I,""),
_xlfn.IFS(_xlpm.MyAuditVal&lt;&gt;"",UPPER(_xlpm.MyAuditVal),_xlpm.MacVal&lt;&gt;"",_xlpm.MacVal,_xlpm.CSVVal&lt;&gt;"",_xlpm.CSVVal
)),"")</f>
        <v/>
      </c>
      <c r="K1229" s="40" t="str" cm="1">
        <f t="array" ref="K1229">IFERROR(_xlfn.LET(
_xlpm.CSVVal,_xlfn.XLOOKUP($A1229,CSV!$A:$A,CSV!K:K,""),
_xlpm.MacVal,_xlfn.XLOOKUP($A1229,Output_Mac!$A:$A,Output_Mac!K:K,""),
_xlpm.MyAuditVal,_xlfn.XLOOKUP($A1229,My_Audit!$A:$A,My_Audit!J:J,""),
_xlfn.IFS(_xlpm.MyAuditVal&lt;&gt;"",UPPER(_xlpm.MyAuditVal),_xlpm.MacVal&lt;&gt;"",_xlpm.MacVal,_xlpm.CSVVal&lt;&gt;"",_xlpm.CSVVal
)),"")</f>
        <v/>
      </c>
      <c r="L1229" s="40" t="str" cm="1">
        <f t="array" ref="L1229">IFERROR(_xlfn.LET(
_xlpm.CSVVal,_xlfn.XLOOKUP($A1229,CSV!$A:$A,CSV!P:P,""),
_xlpm.MacVal,_xlfn.XLOOKUP($A1229,Output_Mac!$A:$A,Output_Mac!L:L,""),
_xlpm.MyAuditVal,_xlfn.XLOOKUP($A1229,My_Audit!$A:$A,My_Audit!K:K,""),
_xlfn.IFS(_xlpm.MyAuditVal&lt;&gt;"",UPPER(_xlpm.MyAuditVal),_xlpm.MacVal&lt;&gt;"",_xlpm.MacVal,_xlpm.CSVVal&lt;&gt;"",_xlpm.CSVVal
)),"")</f>
        <v/>
      </c>
      <c r="M1229" s="40" t="str" cm="1">
        <f t="array" ref="M1229">IFERROR(_xlfn.LET(
_xlpm.CSVVal,_xlfn.XLOOKUP($A1229,CSV!$A:$A,CSV!Q:Q,""),
_xlpm.MacVal,_xlfn.XLOOKUP($A1229,Output_Mac!$A:$A,Output_Mac!M:M,""),
_xlpm.MyAuditVal,_xlfn.XLOOKUP($A1229,My_Audit!$A:$A,My_Audit!L:L,""),
_xlfn.IFS(_xlpm.MyAuditVal&lt;&gt;"",UPPER(_xlpm.MyAuditVal),_xlpm.MacVal&lt;&gt;"",_xlpm.MacVal,_xlpm.CSVVal&lt;&gt;"",_xlpm.CSVVal
)),"")</f>
        <v/>
      </c>
      <c r="N1229" s="40"/>
      <c r="O1229" s="40" t="str">
        <f>_xlfn.LET(
    _xlpm.CSVVal, _xlfn.XLOOKUP($A1229, CSV!$A:$A, CSV!AA:AA, ""),
    _xlpm.MacVal, _xlfn.XLOOKUP($A1229, Output_Mac!$A:$A, Output_Mac!S:S, ""),
    _xlpm.MyAuditVal, _xlfn.XLOOKUP($A1229, My_Audit!$A:$A, My_Audit!P:P, ""),
    _xlfn.TEXTJOIN(", ", TRUE, _xlpm.MyAuditVal, _xlpm.MacVal, _xlpm.CSVVal)
)</f>
        <v/>
      </c>
      <c r="P1229" s="40" t="str" cm="1">
        <f t="array" ref="P1229">IFERROR(_xlfn.LET(
_xlpm.CSVVal,_xlfn.XLOOKUP($A1229,CSV!$A:$A,CSV!AB:AB,""),
_xlpm.MacVal,_xlfn.XLOOKUP($A1229,Output_Mac!$A:$A,Output_Mac!T:T,""),
_xlpm.MyAuditVal,_xlfn.XLOOKUP($A1229,My_Audit!$A:$A,My_Audit!Q:Q,""),
_xlfn.IFS(_xlpm.MyAuditVal&lt;&gt;"",UPPER(_xlpm.MyAuditVal),_xlpm.MacVal&lt;&gt;"",_xlpm.MacVal,_xlpm.CSVVal&lt;&gt;"",_xlpm.CSVVal
)),"No")</f>
        <v>No</v>
      </c>
      <c r="Q1229" s="40" t="str" cm="1">
        <f t="array" ref="Q1229">IFERROR(_xlfn.LET(
_xlpm.CSVVal,_xlfn.XLOOKUP($A1229,CSV!$A:$A,CSV!AC:AC,""),
_xlpm.MacVal,_xlfn.XLOOKUP($A1229,Output_Mac!$A:$A,Output_Mac!U:U,""),
_xlpm.MyAuditVal,_xlfn.XLOOKUP($A1229,My_Audit!$A:$A,My_Audit!R:R,""),
_xlfn.IFS(_xlpm.MyAuditVal&lt;&gt;"",UPPER(_xlpm.MyAuditVal),_xlpm.MacVal&lt;&gt;"",_xlpm.MacVal,_xlpm.CSVVal&lt;&gt;"",_xlpm.CSVVal
)),"")</f>
        <v/>
      </c>
      <c r="R1229" s="40"/>
      <c r="S1229" s="40"/>
      <c r="T1229" s="40"/>
      <c r="U1229" s="40"/>
      <c r="V1229" s="40"/>
      <c r="W1229" s="40"/>
      <c r="X1229" s="41" t="str">
        <f>_xlfn.LET(
    _xlpm.MacVal, _xlfn.XLOOKUP($A1229, Output_Mac!$A:$A, Output_Mac!AB:AB, ""),
    _xlpm.MyAuditVal, _xlfn.XLOOKUP($A1229, My_Audit!$A:$A, My_Audit!N:N, ""),
    _xlfn.TEXTJOIN(", ", TRUE, _xlpm.MyAuditVal, _xlpm.MacVal)
)</f>
        <v/>
      </c>
    </row>
    <row r="1230" spans="1:24">
      <c r="A1230" s="40" t="str">
        <f>_xlfn.TEXTJOIN("",TRUE,Input!$B$2,ROW(My_Audit!A1229))</f>
        <v>X1229</v>
      </c>
      <c r="B1230" s="40" t="str">
        <f>_xlfn.TEXTJOIN("-",TRUE,"ITD",Input!$A$2,A1230)</f>
        <v>ITD-X1229</v>
      </c>
      <c r="C1230" s="40" t="str" cm="1">
        <f t="array" ref="C1230">IFERROR(_xlfn.LET(
_xlpm.CSVVal,_xlfn.XLOOKUP($A1230,CSV!$A:$A,CSV!B:B,""),
_xlpm.MacVal,_xlfn.XLOOKUP($A1230,Output_Mac!$A:$A,Output_Mac!B:B,""),
_xlpm.MyAuditVal,_xlfn.XLOOKUP($A1230,My_Audit!$A:$A,My_Audit!B:B,""),
_xlfn.IFS(_xlpm.MyAuditVal&lt;&gt;"",UPPER(_xlpm.MyAuditVal),_xlpm.MacVal&lt;&gt;"",_xlpm.MacVal,_xlpm.CSVVal&lt;&gt;"",_xlpm.CSVVal
)),"")</f>
        <v/>
      </c>
      <c r="D1230" s="40" t="str" cm="1">
        <f t="array" ref="D1230">IFERROR(_xlfn.LET(
_xlpm.CSVVal,_xlfn.XLOOKUP($A1230,CSV!$A:$A,CSV!D:D,""),
_xlpm.MacVal,_xlfn.XLOOKUP($A1230,Output_Mac!$A:$A,Output_Mac!C:C,""),
_xlpm.MyAuditVal,_xlfn.XLOOKUP($A1230,My_Audit!$A:$A,My_Audit!C:C,""),
_xlfn.IFS(_xlpm.MyAuditVal&lt;&gt;"",_xlpm.MyAuditVal,_xlpm.MacVal&lt;&gt;"",_xlpm.MacVal,_xlpm.CSVVal&lt;&gt;"",_xlpm.CSVVal
)),"")</f>
        <v/>
      </c>
      <c r="E1230" s="40" t="str">
        <f>_xlfn.XLOOKUP(A1230,My_Audit!A:A,My_Audit!D:D,"")</f>
        <v/>
      </c>
      <c r="F1230" s="40" t="str" cm="1">
        <f t="array" ref="F1230">IFERROR(_xlfn.LET(
_xlpm.CSVVal,_xlfn.XLOOKUP($A1230,CSV!$A:$A,CSV!F:F,""),
_xlpm.MacVal,_xlfn.XLOOKUP($A1230,Output_Mac!$A:$A,Output_Mac!E:E,""),
_xlpm.MyAuditVal,_xlfn.XLOOKUP($A1230,My_Audit!$A:$A,My_Audit!E:E,""),
_xlfn.IFS(_xlpm.MyAuditVal&lt;&gt;"",_xlpm.MyAuditVal,_xlpm.MacVal&lt;&gt;"",_xlpm.MacVal,_xlpm.CSVVal&lt;&gt;"",_xlpm.CSVVal
)),"")</f>
        <v/>
      </c>
      <c r="G1230" s="40" t="str" cm="1">
        <f t="array" ref="G1230">IFERROR(_xlfn.LET(
_xlpm.CSVVal,_xlfn.XLOOKUP($A1230,CSV!$A:$A,CSV!G:G,""),
_xlpm.MacVal,_xlfn.XLOOKUP($A1230,Output_Mac!$A:$A,Output_Mac!F:F,""),
_xlpm.MyAuditVal,_xlfn.XLOOKUP($A1230,My_Audit!$A:$A,My_Audit!F:F,""),
_xlfn.IFS(_xlpm.MyAuditVal&lt;&gt;"",_xlpm.MyAuditVal,_xlpm.MacVal&lt;&gt;"",_xlpm.MacVal,_xlpm.CSVVal&lt;&gt;"",PROPER(_xlpm.CSVVal)
)),"")</f>
        <v/>
      </c>
      <c r="H1230" s="40" t="str" cm="1">
        <f t="array" ref="H1230">IFERROR(_xlfn.LET(
_xlpm.CSVVal,_xlfn.XLOOKUP($A1230,CSV!$A:$A,CSV!H:H,""),
_xlpm.MacVal,_xlfn.XLOOKUP($A1230,Output_Mac!$A:$A,Output_Mac!H:H,""),
_xlpm.MyAuditVal,_xlfn.XLOOKUP($A1230,My_Audit!$A:$A,My_Audit!G:G,""),
_xlfn.IFS(_xlpm.MyAuditVal&lt;&gt;"",_xlpm.MyAuditVal,_xlpm.MacVal&lt;&gt;"",_xlpm.MacVal,_xlpm.CSVVal&lt;&gt;"",_xlpm.CSVVal
)),"")</f>
        <v/>
      </c>
      <c r="I1230" s="40" t="str">
        <f>_xlfn.XLOOKUP(A1230,Output_Mac!A:A,Output_Mac!I:I,"")</f>
        <v/>
      </c>
      <c r="J1230" s="40" t="str" cm="1">
        <f t="array" ref="J1230">IFERROR(_xlfn.LET(
_xlpm.CSVVal,_xlfn.XLOOKUP($A1230,CSV!$A:$A,CSV!I:I,""),
_xlpm.MacVal,_xlfn.XLOOKUP($A1230,Output_Mac!$A:$A,Output_Mac!J:J,""),
_xlpm.MyAuditVal,_xlfn.XLOOKUP($A1230,My_Audit!$A:$A,My_Audit!I:I,""),
_xlfn.IFS(_xlpm.MyAuditVal&lt;&gt;"",UPPER(_xlpm.MyAuditVal),_xlpm.MacVal&lt;&gt;"",_xlpm.MacVal,_xlpm.CSVVal&lt;&gt;"",_xlpm.CSVVal
)),"")</f>
        <v/>
      </c>
      <c r="K1230" s="40" t="str" cm="1">
        <f t="array" ref="K1230">IFERROR(_xlfn.LET(
_xlpm.CSVVal,_xlfn.XLOOKUP($A1230,CSV!$A:$A,CSV!K:K,""),
_xlpm.MacVal,_xlfn.XLOOKUP($A1230,Output_Mac!$A:$A,Output_Mac!K:K,""),
_xlpm.MyAuditVal,_xlfn.XLOOKUP($A1230,My_Audit!$A:$A,My_Audit!J:J,""),
_xlfn.IFS(_xlpm.MyAuditVal&lt;&gt;"",UPPER(_xlpm.MyAuditVal),_xlpm.MacVal&lt;&gt;"",_xlpm.MacVal,_xlpm.CSVVal&lt;&gt;"",_xlpm.CSVVal
)),"")</f>
        <v/>
      </c>
      <c r="L1230" s="40" t="str" cm="1">
        <f t="array" ref="L1230">IFERROR(_xlfn.LET(
_xlpm.CSVVal,_xlfn.XLOOKUP($A1230,CSV!$A:$A,CSV!P:P,""),
_xlpm.MacVal,_xlfn.XLOOKUP($A1230,Output_Mac!$A:$A,Output_Mac!L:L,""),
_xlpm.MyAuditVal,_xlfn.XLOOKUP($A1230,My_Audit!$A:$A,My_Audit!K:K,""),
_xlfn.IFS(_xlpm.MyAuditVal&lt;&gt;"",UPPER(_xlpm.MyAuditVal),_xlpm.MacVal&lt;&gt;"",_xlpm.MacVal,_xlpm.CSVVal&lt;&gt;"",_xlpm.CSVVal
)),"")</f>
        <v/>
      </c>
      <c r="M1230" s="40" t="str" cm="1">
        <f t="array" ref="M1230">IFERROR(_xlfn.LET(
_xlpm.CSVVal,_xlfn.XLOOKUP($A1230,CSV!$A:$A,CSV!Q:Q,""),
_xlpm.MacVal,_xlfn.XLOOKUP($A1230,Output_Mac!$A:$A,Output_Mac!M:M,""),
_xlpm.MyAuditVal,_xlfn.XLOOKUP($A1230,My_Audit!$A:$A,My_Audit!L:L,""),
_xlfn.IFS(_xlpm.MyAuditVal&lt;&gt;"",UPPER(_xlpm.MyAuditVal),_xlpm.MacVal&lt;&gt;"",_xlpm.MacVal,_xlpm.CSVVal&lt;&gt;"",_xlpm.CSVVal
)),"")</f>
        <v/>
      </c>
      <c r="N1230" s="40"/>
      <c r="O1230" s="40" t="str">
        <f>_xlfn.LET(
    _xlpm.CSVVal, _xlfn.XLOOKUP($A1230, CSV!$A:$A, CSV!AA:AA, ""),
    _xlpm.MacVal, _xlfn.XLOOKUP($A1230, Output_Mac!$A:$A, Output_Mac!S:S, ""),
    _xlpm.MyAuditVal, _xlfn.XLOOKUP($A1230, My_Audit!$A:$A, My_Audit!P:P, ""),
    _xlfn.TEXTJOIN(", ", TRUE, _xlpm.MyAuditVal, _xlpm.MacVal, _xlpm.CSVVal)
)</f>
        <v/>
      </c>
      <c r="P1230" s="40" t="str" cm="1">
        <f t="array" ref="P1230">IFERROR(_xlfn.LET(
_xlpm.CSVVal,_xlfn.XLOOKUP($A1230,CSV!$A:$A,CSV!AB:AB,""),
_xlpm.MacVal,_xlfn.XLOOKUP($A1230,Output_Mac!$A:$A,Output_Mac!T:T,""),
_xlpm.MyAuditVal,_xlfn.XLOOKUP($A1230,My_Audit!$A:$A,My_Audit!Q:Q,""),
_xlfn.IFS(_xlpm.MyAuditVal&lt;&gt;"",UPPER(_xlpm.MyAuditVal),_xlpm.MacVal&lt;&gt;"",_xlpm.MacVal,_xlpm.CSVVal&lt;&gt;"",_xlpm.CSVVal
)),"No")</f>
        <v>No</v>
      </c>
      <c r="Q1230" s="40" t="str" cm="1">
        <f t="array" ref="Q1230">IFERROR(_xlfn.LET(
_xlpm.CSVVal,_xlfn.XLOOKUP($A1230,CSV!$A:$A,CSV!AC:AC,""),
_xlpm.MacVal,_xlfn.XLOOKUP($A1230,Output_Mac!$A:$A,Output_Mac!U:U,""),
_xlpm.MyAuditVal,_xlfn.XLOOKUP($A1230,My_Audit!$A:$A,My_Audit!R:R,""),
_xlfn.IFS(_xlpm.MyAuditVal&lt;&gt;"",UPPER(_xlpm.MyAuditVal),_xlpm.MacVal&lt;&gt;"",_xlpm.MacVal,_xlpm.CSVVal&lt;&gt;"",_xlpm.CSVVal
)),"")</f>
        <v/>
      </c>
      <c r="R1230" s="40"/>
      <c r="S1230" s="40"/>
      <c r="T1230" s="40"/>
      <c r="U1230" s="40"/>
      <c r="V1230" s="40"/>
      <c r="W1230" s="40"/>
      <c r="X1230" s="41" t="str">
        <f>_xlfn.LET(
    _xlpm.MacVal, _xlfn.XLOOKUP($A1230, Output_Mac!$A:$A, Output_Mac!AB:AB, ""),
    _xlpm.MyAuditVal, _xlfn.XLOOKUP($A1230, My_Audit!$A:$A, My_Audit!N:N, ""),
    _xlfn.TEXTJOIN(", ", TRUE, _xlpm.MyAuditVal, _xlpm.MacVal)
)</f>
        <v/>
      </c>
    </row>
    <row r="1231" spans="1:24">
      <c r="A1231" s="40" t="str">
        <f>_xlfn.TEXTJOIN("",TRUE,Input!$B$2,ROW(My_Audit!A1230))</f>
        <v>X1230</v>
      </c>
      <c r="B1231" s="40" t="str">
        <f>_xlfn.TEXTJOIN("-",TRUE,"ITD",Input!$A$2,A1231)</f>
        <v>ITD-X1230</v>
      </c>
      <c r="C1231" s="40" t="str" cm="1">
        <f t="array" ref="C1231">IFERROR(_xlfn.LET(
_xlpm.CSVVal,_xlfn.XLOOKUP($A1231,CSV!$A:$A,CSV!B:B,""),
_xlpm.MacVal,_xlfn.XLOOKUP($A1231,Output_Mac!$A:$A,Output_Mac!B:B,""),
_xlpm.MyAuditVal,_xlfn.XLOOKUP($A1231,My_Audit!$A:$A,My_Audit!B:B,""),
_xlfn.IFS(_xlpm.MyAuditVal&lt;&gt;"",UPPER(_xlpm.MyAuditVal),_xlpm.MacVal&lt;&gt;"",_xlpm.MacVal,_xlpm.CSVVal&lt;&gt;"",_xlpm.CSVVal
)),"")</f>
        <v/>
      </c>
      <c r="D1231" s="40" t="str" cm="1">
        <f t="array" ref="D1231">IFERROR(_xlfn.LET(
_xlpm.CSVVal,_xlfn.XLOOKUP($A1231,CSV!$A:$A,CSV!D:D,""),
_xlpm.MacVal,_xlfn.XLOOKUP($A1231,Output_Mac!$A:$A,Output_Mac!C:C,""),
_xlpm.MyAuditVal,_xlfn.XLOOKUP($A1231,My_Audit!$A:$A,My_Audit!C:C,""),
_xlfn.IFS(_xlpm.MyAuditVal&lt;&gt;"",_xlpm.MyAuditVal,_xlpm.MacVal&lt;&gt;"",_xlpm.MacVal,_xlpm.CSVVal&lt;&gt;"",_xlpm.CSVVal
)),"")</f>
        <v/>
      </c>
      <c r="E1231" s="40" t="str">
        <f>_xlfn.XLOOKUP(A1231,My_Audit!A:A,My_Audit!D:D,"")</f>
        <v/>
      </c>
      <c r="F1231" s="40" t="str" cm="1">
        <f t="array" ref="F1231">IFERROR(_xlfn.LET(
_xlpm.CSVVal,_xlfn.XLOOKUP($A1231,CSV!$A:$A,CSV!F:F,""),
_xlpm.MacVal,_xlfn.XLOOKUP($A1231,Output_Mac!$A:$A,Output_Mac!E:E,""),
_xlpm.MyAuditVal,_xlfn.XLOOKUP($A1231,My_Audit!$A:$A,My_Audit!E:E,""),
_xlfn.IFS(_xlpm.MyAuditVal&lt;&gt;"",_xlpm.MyAuditVal,_xlpm.MacVal&lt;&gt;"",_xlpm.MacVal,_xlpm.CSVVal&lt;&gt;"",_xlpm.CSVVal
)),"")</f>
        <v/>
      </c>
      <c r="G1231" s="40" t="str" cm="1">
        <f t="array" ref="G1231">IFERROR(_xlfn.LET(
_xlpm.CSVVal,_xlfn.XLOOKUP($A1231,CSV!$A:$A,CSV!G:G,""),
_xlpm.MacVal,_xlfn.XLOOKUP($A1231,Output_Mac!$A:$A,Output_Mac!F:F,""),
_xlpm.MyAuditVal,_xlfn.XLOOKUP($A1231,My_Audit!$A:$A,My_Audit!F:F,""),
_xlfn.IFS(_xlpm.MyAuditVal&lt;&gt;"",_xlpm.MyAuditVal,_xlpm.MacVal&lt;&gt;"",_xlpm.MacVal,_xlpm.CSVVal&lt;&gt;"",PROPER(_xlpm.CSVVal)
)),"")</f>
        <v/>
      </c>
      <c r="H1231" s="40" t="str" cm="1">
        <f t="array" ref="H1231">IFERROR(_xlfn.LET(
_xlpm.CSVVal,_xlfn.XLOOKUP($A1231,CSV!$A:$A,CSV!H:H,""),
_xlpm.MacVal,_xlfn.XLOOKUP($A1231,Output_Mac!$A:$A,Output_Mac!H:H,""),
_xlpm.MyAuditVal,_xlfn.XLOOKUP($A1231,My_Audit!$A:$A,My_Audit!G:G,""),
_xlfn.IFS(_xlpm.MyAuditVal&lt;&gt;"",_xlpm.MyAuditVal,_xlpm.MacVal&lt;&gt;"",_xlpm.MacVal,_xlpm.CSVVal&lt;&gt;"",_xlpm.CSVVal
)),"")</f>
        <v/>
      </c>
      <c r="I1231" s="40" t="str">
        <f>_xlfn.XLOOKUP(A1231,Output_Mac!A:A,Output_Mac!I:I,"")</f>
        <v/>
      </c>
      <c r="J1231" s="40" t="str" cm="1">
        <f t="array" ref="J1231">IFERROR(_xlfn.LET(
_xlpm.CSVVal,_xlfn.XLOOKUP($A1231,CSV!$A:$A,CSV!I:I,""),
_xlpm.MacVal,_xlfn.XLOOKUP($A1231,Output_Mac!$A:$A,Output_Mac!J:J,""),
_xlpm.MyAuditVal,_xlfn.XLOOKUP($A1231,My_Audit!$A:$A,My_Audit!I:I,""),
_xlfn.IFS(_xlpm.MyAuditVal&lt;&gt;"",UPPER(_xlpm.MyAuditVal),_xlpm.MacVal&lt;&gt;"",_xlpm.MacVal,_xlpm.CSVVal&lt;&gt;"",_xlpm.CSVVal
)),"")</f>
        <v/>
      </c>
      <c r="K1231" s="40" t="str" cm="1">
        <f t="array" ref="K1231">IFERROR(_xlfn.LET(
_xlpm.CSVVal,_xlfn.XLOOKUP($A1231,CSV!$A:$A,CSV!K:K,""),
_xlpm.MacVal,_xlfn.XLOOKUP($A1231,Output_Mac!$A:$A,Output_Mac!K:K,""),
_xlpm.MyAuditVal,_xlfn.XLOOKUP($A1231,My_Audit!$A:$A,My_Audit!J:J,""),
_xlfn.IFS(_xlpm.MyAuditVal&lt;&gt;"",UPPER(_xlpm.MyAuditVal),_xlpm.MacVal&lt;&gt;"",_xlpm.MacVal,_xlpm.CSVVal&lt;&gt;"",_xlpm.CSVVal
)),"")</f>
        <v/>
      </c>
      <c r="L1231" s="40" t="str" cm="1">
        <f t="array" ref="L1231">IFERROR(_xlfn.LET(
_xlpm.CSVVal,_xlfn.XLOOKUP($A1231,CSV!$A:$A,CSV!P:P,""),
_xlpm.MacVal,_xlfn.XLOOKUP($A1231,Output_Mac!$A:$A,Output_Mac!L:L,""),
_xlpm.MyAuditVal,_xlfn.XLOOKUP($A1231,My_Audit!$A:$A,My_Audit!K:K,""),
_xlfn.IFS(_xlpm.MyAuditVal&lt;&gt;"",UPPER(_xlpm.MyAuditVal),_xlpm.MacVal&lt;&gt;"",_xlpm.MacVal,_xlpm.CSVVal&lt;&gt;"",_xlpm.CSVVal
)),"")</f>
        <v/>
      </c>
      <c r="M1231" s="40" t="str" cm="1">
        <f t="array" ref="M1231">IFERROR(_xlfn.LET(
_xlpm.CSVVal,_xlfn.XLOOKUP($A1231,CSV!$A:$A,CSV!Q:Q,""),
_xlpm.MacVal,_xlfn.XLOOKUP($A1231,Output_Mac!$A:$A,Output_Mac!M:M,""),
_xlpm.MyAuditVal,_xlfn.XLOOKUP($A1231,My_Audit!$A:$A,My_Audit!L:L,""),
_xlfn.IFS(_xlpm.MyAuditVal&lt;&gt;"",UPPER(_xlpm.MyAuditVal),_xlpm.MacVal&lt;&gt;"",_xlpm.MacVal,_xlpm.CSVVal&lt;&gt;"",_xlpm.CSVVal
)),"")</f>
        <v/>
      </c>
      <c r="N1231" s="40"/>
      <c r="O1231" s="40" t="str">
        <f>_xlfn.LET(
    _xlpm.CSVVal, _xlfn.XLOOKUP($A1231, CSV!$A:$A, CSV!AA:AA, ""),
    _xlpm.MacVal, _xlfn.XLOOKUP($A1231, Output_Mac!$A:$A, Output_Mac!S:S, ""),
    _xlpm.MyAuditVal, _xlfn.XLOOKUP($A1231, My_Audit!$A:$A, My_Audit!P:P, ""),
    _xlfn.TEXTJOIN(", ", TRUE, _xlpm.MyAuditVal, _xlpm.MacVal, _xlpm.CSVVal)
)</f>
        <v/>
      </c>
      <c r="P1231" s="40" t="str" cm="1">
        <f t="array" ref="P1231">IFERROR(_xlfn.LET(
_xlpm.CSVVal,_xlfn.XLOOKUP($A1231,CSV!$A:$A,CSV!AB:AB,""),
_xlpm.MacVal,_xlfn.XLOOKUP($A1231,Output_Mac!$A:$A,Output_Mac!T:T,""),
_xlpm.MyAuditVal,_xlfn.XLOOKUP($A1231,My_Audit!$A:$A,My_Audit!Q:Q,""),
_xlfn.IFS(_xlpm.MyAuditVal&lt;&gt;"",UPPER(_xlpm.MyAuditVal),_xlpm.MacVal&lt;&gt;"",_xlpm.MacVal,_xlpm.CSVVal&lt;&gt;"",_xlpm.CSVVal
)),"No")</f>
        <v>No</v>
      </c>
      <c r="Q1231" s="40" t="str" cm="1">
        <f t="array" ref="Q1231">IFERROR(_xlfn.LET(
_xlpm.CSVVal,_xlfn.XLOOKUP($A1231,CSV!$A:$A,CSV!AC:AC,""),
_xlpm.MacVal,_xlfn.XLOOKUP($A1231,Output_Mac!$A:$A,Output_Mac!U:U,""),
_xlpm.MyAuditVal,_xlfn.XLOOKUP($A1231,My_Audit!$A:$A,My_Audit!R:R,""),
_xlfn.IFS(_xlpm.MyAuditVal&lt;&gt;"",UPPER(_xlpm.MyAuditVal),_xlpm.MacVal&lt;&gt;"",_xlpm.MacVal,_xlpm.CSVVal&lt;&gt;"",_xlpm.CSVVal
)),"")</f>
        <v/>
      </c>
      <c r="R1231" s="40"/>
      <c r="S1231" s="40"/>
      <c r="T1231" s="40"/>
      <c r="U1231" s="40"/>
      <c r="V1231" s="40"/>
      <c r="W1231" s="40"/>
      <c r="X1231" s="41" t="str">
        <f>_xlfn.LET(
    _xlpm.MacVal, _xlfn.XLOOKUP($A1231, Output_Mac!$A:$A, Output_Mac!AB:AB, ""),
    _xlpm.MyAuditVal, _xlfn.XLOOKUP($A1231, My_Audit!$A:$A, My_Audit!N:N, ""),
    _xlfn.TEXTJOIN(", ", TRUE, _xlpm.MyAuditVal, _xlpm.MacVal)
)</f>
        <v/>
      </c>
    </row>
    <row r="1232" spans="1:24">
      <c r="A1232" s="40" t="str">
        <f>_xlfn.TEXTJOIN("",TRUE,Input!$B$2,ROW(My_Audit!A1231))</f>
        <v>X1231</v>
      </c>
      <c r="B1232" s="40" t="str">
        <f>_xlfn.TEXTJOIN("-",TRUE,"ITD",Input!$A$2,A1232)</f>
        <v>ITD-X1231</v>
      </c>
      <c r="C1232" s="40" t="str" cm="1">
        <f t="array" ref="C1232">IFERROR(_xlfn.LET(
_xlpm.CSVVal,_xlfn.XLOOKUP($A1232,CSV!$A:$A,CSV!B:B,""),
_xlpm.MacVal,_xlfn.XLOOKUP($A1232,Output_Mac!$A:$A,Output_Mac!B:B,""),
_xlpm.MyAuditVal,_xlfn.XLOOKUP($A1232,My_Audit!$A:$A,My_Audit!B:B,""),
_xlfn.IFS(_xlpm.MyAuditVal&lt;&gt;"",UPPER(_xlpm.MyAuditVal),_xlpm.MacVal&lt;&gt;"",_xlpm.MacVal,_xlpm.CSVVal&lt;&gt;"",_xlpm.CSVVal
)),"")</f>
        <v/>
      </c>
      <c r="D1232" s="40" t="str" cm="1">
        <f t="array" ref="D1232">IFERROR(_xlfn.LET(
_xlpm.CSVVal,_xlfn.XLOOKUP($A1232,CSV!$A:$A,CSV!D:D,""),
_xlpm.MacVal,_xlfn.XLOOKUP($A1232,Output_Mac!$A:$A,Output_Mac!C:C,""),
_xlpm.MyAuditVal,_xlfn.XLOOKUP($A1232,My_Audit!$A:$A,My_Audit!C:C,""),
_xlfn.IFS(_xlpm.MyAuditVal&lt;&gt;"",_xlpm.MyAuditVal,_xlpm.MacVal&lt;&gt;"",_xlpm.MacVal,_xlpm.CSVVal&lt;&gt;"",_xlpm.CSVVal
)),"")</f>
        <v/>
      </c>
      <c r="E1232" s="40" t="str">
        <f>_xlfn.XLOOKUP(A1232,My_Audit!A:A,My_Audit!D:D,"")</f>
        <v/>
      </c>
      <c r="F1232" s="40" t="str" cm="1">
        <f t="array" ref="F1232">IFERROR(_xlfn.LET(
_xlpm.CSVVal,_xlfn.XLOOKUP($A1232,CSV!$A:$A,CSV!F:F,""),
_xlpm.MacVal,_xlfn.XLOOKUP($A1232,Output_Mac!$A:$A,Output_Mac!E:E,""),
_xlpm.MyAuditVal,_xlfn.XLOOKUP($A1232,My_Audit!$A:$A,My_Audit!E:E,""),
_xlfn.IFS(_xlpm.MyAuditVal&lt;&gt;"",_xlpm.MyAuditVal,_xlpm.MacVal&lt;&gt;"",_xlpm.MacVal,_xlpm.CSVVal&lt;&gt;"",_xlpm.CSVVal
)),"")</f>
        <v/>
      </c>
      <c r="G1232" s="40" t="str" cm="1">
        <f t="array" ref="G1232">IFERROR(_xlfn.LET(
_xlpm.CSVVal,_xlfn.XLOOKUP($A1232,CSV!$A:$A,CSV!G:G,""),
_xlpm.MacVal,_xlfn.XLOOKUP($A1232,Output_Mac!$A:$A,Output_Mac!F:F,""),
_xlpm.MyAuditVal,_xlfn.XLOOKUP($A1232,My_Audit!$A:$A,My_Audit!F:F,""),
_xlfn.IFS(_xlpm.MyAuditVal&lt;&gt;"",_xlpm.MyAuditVal,_xlpm.MacVal&lt;&gt;"",_xlpm.MacVal,_xlpm.CSVVal&lt;&gt;"",PROPER(_xlpm.CSVVal)
)),"")</f>
        <v/>
      </c>
      <c r="H1232" s="40" t="str" cm="1">
        <f t="array" ref="H1232">IFERROR(_xlfn.LET(
_xlpm.CSVVal,_xlfn.XLOOKUP($A1232,CSV!$A:$A,CSV!H:H,""),
_xlpm.MacVal,_xlfn.XLOOKUP($A1232,Output_Mac!$A:$A,Output_Mac!H:H,""),
_xlpm.MyAuditVal,_xlfn.XLOOKUP($A1232,My_Audit!$A:$A,My_Audit!G:G,""),
_xlfn.IFS(_xlpm.MyAuditVal&lt;&gt;"",_xlpm.MyAuditVal,_xlpm.MacVal&lt;&gt;"",_xlpm.MacVal,_xlpm.CSVVal&lt;&gt;"",_xlpm.CSVVal
)),"")</f>
        <v/>
      </c>
      <c r="I1232" s="40" t="str">
        <f>_xlfn.XLOOKUP(A1232,Output_Mac!A:A,Output_Mac!I:I,"")</f>
        <v/>
      </c>
      <c r="J1232" s="40" t="str" cm="1">
        <f t="array" ref="J1232">IFERROR(_xlfn.LET(
_xlpm.CSVVal,_xlfn.XLOOKUP($A1232,CSV!$A:$A,CSV!I:I,""),
_xlpm.MacVal,_xlfn.XLOOKUP($A1232,Output_Mac!$A:$A,Output_Mac!J:J,""),
_xlpm.MyAuditVal,_xlfn.XLOOKUP($A1232,My_Audit!$A:$A,My_Audit!I:I,""),
_xlfn.IFS(_xlpm.MyAuditVal&lt;&gt;"",UPPER(_xlpm.MyAuditVal),_xlpm.MacVal&lt;&gt;"",_xlpm.MacVal,_xlpm.CSVVal&lt;&gt;"",_xlpm.CSVVal
)),"")</f>
        <v/>
      </c>
      <c r="K1232" s="40" t="str" cm="1">
        <f t="array" ref="K1232">IFERROR(_xlfn.LET(
_xlpm.CSVVal,_xlfn.XLOOKUP($A1232,CSV!$A:$A,CSV!K:K,""),
_xlpm.MacVal,_xlfn.XLOOKUP($A1232,Output_Mac!$A:$A,Output_Mac!K:K,""),
_xlpm.MyAuditVal,_xlfn.XLOOKUP($A1232,My_Audit!$A:$A,My_Audit!J:J,""),
_xlfn.IFS(_xlpm.MyAuditVal&lt;&gt;"",UPPER(_xlpm.MyAuditVal),_xlpm.MacVal&lt;&gt;"",_xlpm.MacVal,_xlpm.CSVVal&lt;&gt;"",_xlpm.CSVVal
)),"")</f>
        <v/>
      </c>
      <c r="L1232" s="40" t="str" cm="1">
        <f t="array" ref="L1232">IFERROR(_xlfn.LET(
_xlpm.CSVVal,_xlfn.XLOOKUP($A1232,CSV!$A:$A,CSV!P:P,""),
_xlpm.MacVal,_xlfn.XLOOKUP($A1232,Output_Mac!$A:$A,Output_Mac!L:L,""),
_xlpm.MyAuditVal,_xlfn.XLOOKUP($A1232,My_Audit!$A:$A,My_Audit!K:K,""),
_xlfn.IFS(_xlpm.MyAuditVal&lt;&gt;"",UPPER(_xlpm.MyAuditVal),_xlpm.MacVal&lt;&gt;"",_xlpm.MacVal,_xlpm.CSVVal&lt;&gt;"",_xlpm.CSVVal
)),"")</f>
        <v/>
      </c>
      <c r="M1232" s="40" t="str" cm="1">
        <f t="array" ref="M1232">IFERROR(_xlfn.LET(
_xlpm.CSVVal,_xlfn.XLOOKUP($A1232,CSV!$A:$A,CSV!Q:Q,""),
_xlpm.MacVal,_xlfn.XLOOKUP($A1232,Output_Mac!$A:$A,Output_Mac!M:M,""),
_xlpm.MyAuditVal,_xlfn.XLOOKUP($A1232,My_Audit!$A:$A,My_Audit!L:L,""),
_xlfn.IFS(_xlpm.MyAuditVal&lt;&gt;"",UPPER(_xlpm.MyAuditVal),_xlpm.MacVal&lt;&gt;"",_xlpm.MacVal,_xlpm.CSVVal&lt;&gt;"",_xlpm.CSVVal
)),"")</f>
        <v/>
      </c>
      <c r="N1232" s="40"/>
      <c r="O1232" s="40" t="str">
        <f>_xlfn.LET(
    _xlpm.CSVVal, _xlfn.XLOOKUP($A1232, CSV!$A:$A, CSV!AA:AA, ""),
    _xlpm.MacVal, _xlfn.XLOOKUP($A1232, Output_Mac!$A:$A, Output_Mac!S:S, ""),
    _xlpm.MyAuditVal, _xlfn.XLOOKUP($A1232, My_Audit!$A:$A, My_Audit!P:P, ""),
    _xlfn.TEXTJOIN(", ", TRUE, _xlpm.MyAuditVal, _xlpm.MacVal, _xlpm.CSVVal)
)</f>
        <v/>
      </c>
      <c r="P1232" s="40" t="str" cm="1">
        <f t="array" ref="P1232">IFERROR(_xlfn.LET(
_xlpm.CSVVal,_xlfn.XLOOKUP($A1232,CSV!$A:$A,CSV!AB:AB,""),
_xlpm.MacVal,_xlfn.XLOOKUP($A1232,Output_Mac!$A:$A,Output_Mac!T:T,""),
_xlpm.MyAuditVal,_xlfn.XLOOKUP($A1232,My_Audit!$A:$A,My_Audit!Q:Q,""),
_xlfn.IFS(_xlpm.MyAuditVal&lt;&gt;"",UPPER(_xlpm.MyAuditVal),_xlpm.MacVal&lt;&gt;"",_xlpm.MacVal,_xlpm.CSVVal&lt;&gt;"",_xlpm.CSVVal
)),"No")</f>
        <v>No</v>
      </c>
      <c r="Q1232" s="40" t="str" cm="1">
        <f t="array" ref="Q1232">IFERROR(_xlfn.LET(
_xlpm.CSVVal,_xlfn.XLOOKUP($A1232,CSV!$A:$A,CSV!AC:AC,""),
_xlpm.MacVal,_xlfn.XLOOKUP($A1232,Output_Mac!$A:$A,Output_Mac!U:U,""),
_xlpm.MyAuditVal,_xlfn.XLOOKUP($A1232,My_Audit!$A:$A,My_Audit!R:R,""),
_xlfn.IFS(_xlpm.MyAuditVal&lt;&gt;"",UPPER(_xlpm.MyAuditVal),_xlpm.MacVal&lt;&gt;"",_xlpm.MacVal,_xlpm.CSVVal&lt;&gt;"",_xlpm.CSVVal
)),"")</f>
        <v/>
      </c>
      <c r="R1232" s="40"/>
      <c r="S1232" s="40"/>
      <c r="T1232" s="40"/>
      <c r="U1232" s="40"/>
      <c r="V1232" s="40"/>
      <c r="W1232" s="40"/>
      <c r="X1232" s="41" t="str">
        <f>_xlfn.LET(
    _xlpm.MacVal, _xlfn.XLOOKUP($A1232, Output_Mac!$A:$A, Output_Mac!AB:AB, ""),
    _xlpm.MyAuditVal, _xlfn.XLOOKUP($A1232, My_Audit!$A:$A, My_Audit!N:N, ""),
    _xlfn.TEXTJOIN(", ", TRUE, _xlpm.MyAuditVal, _xlpm.MacVal)
)</f>
        <v/>
      </c>
    </row>
    <row r="1233" spans="1:24">
      <c r="A1233" s="40" t="str">
        <f>_xlfn.TEXTJOIN("",TRUE,Input!$B$2,ROW(My_Audit!A1232))</f>
        <v>X1232</v>
      </c>
      <c r="B1233" s="40" t="str">
        <f>_xlfn.TEXTJOIN("-",TRUE,"ITD",Input!$A$2,A1233)</f>
        <v>ITD-X1232</v>
      </c>
      <c r="C1233" s="40" t="str" cm="1">
        <f t="array" ref="C1233">IFERROR(_xlfn.LET(
_xlpm.CSVVal,_xlfn.XLOOKUP($A1233,CSV!$A:$A,CSV!B:B,""),
_xlpm.MacVal,_xlfn.XLOOKUP($A1233,Output_Mac!$A:$A,Output_Mac!B:B,""),
_xlpm.MyAuditVal,_xlfn.XLOOKUP($A1233,My_Audit!$A:$A,My_Audit!B:B,""),
_xlfn.IFS(_xlpm.MyAuditVal&lt;&gt;"",UPPER(_xlpm.MyAuditVal),_xlpm.MacVal&lt;&gt;"",_xlpm.MacVal,_xlpm.CSVVal&lt;&gt;"",_xlpm.CSVVal
)),"")</f>
        <v/>
      </c>
      <c r="D1233" s="40" t="str" cm="1">
        <f t="array" ref="D1233">IFERROR(_xlfn.LET(
_xlpm.CSVVal,_xlfn.XLOOKUP($A1233,CSV!$A:$A,CSV!D:D,""),
_xlpm.MacVal,_xlfn.XLOOKUP($A1233,Output_Mac!$A:$A,Output_Mac!C:C,""),
_xlpm.MyAuditVal,_xlfn.XLOOKUP($A1233,My_Audit!$A:$A,My_Audit!C:C,""),
_xlfn.IFS(_xlpm.MyAuditVal&lt;&gt;"",_xlpm.MyAuditVal,_xlpm.MacVal&lt;&gt;"",_xlpm.MacVal,_xlpm.CSVVal&lt;&gt;"",_xlpm.CSVVal
)),"")</f>
        <v/>
      </c>
      <c r="E1233" s="40" t="str">
        <f>_xlfn.XLOOKUP(A1233,My_Audit!A:A,My_Audit!D:D,"")</f>
        <v/>
      </c>
      <c r="F1233" s="40" t="str" cm="1">
        <f t="array" ref="F1233">IFERROR(_xlfn.LET(
_xlpm.CSVVal,_xlfn.XLOOKUP($A1233,CSV!$A:$A,CSV!F:F,""),
_xlpm.MacVal,_xlfn.XLOOKUP($A1233,Output_Mac!$A:$A,Output_Mac!E:E,""),
_xlpm.MyAuditVal,_xlfn.XLOOKUP($A1233,My_Audit!$A:$A,My_Audit!E:E,""),
_xlfn.IFS(_xlpm.MyAuditVal&lt;&gt;"",_xlpm.MyAuditVal,_xlpm.MacVal&lt;&gt;"",_xlpm.MacVal,_xlpm.CSVVal&lt;&gt;"",_xlpm.CSVVal
)),"")</f>
        <v/>
      </c>
      <c r="G1233" s="40" t="str" cm="1">
        <f t="array" ref="G1233">IFERROR(_xlfn.LET(
_xlpm.CSVVal,_xlfn.XLOOKUP($A1233,CSV!$A:$A,CSV!G:G,""),
_xlpm.MacVal,_xlfn.XLOOKUP($A1233,Output_Mac!$A:$A,Output_Mac!F:F,""),
_xlpm.MyAuditVal,_xlfn.XLOOKUP($A1233,My_Audit!$A:$A,My_Audit!F:F,""),
_xlfn.IFS(_xlpm.MyAuditVal&lt;&gt;"",_xlpm.MyAuditVal,_xlpm.MacVal&lt;&gt;"",_xlpm.MacVal,_xlpm.CSVVal&lt;&gt;"",PROPER(_xlpm.CSVVal)
)),"")</f>
        <v/>
      </c>
      <c r="H1233" s="40" t="str" cm="1">
        <f t="array" ref="H1233">IFERROR(_xlfn.LET(
_xlpm.CSVVal,_xlfn.XLOOKUP($A1233,CSV!$A:$A,CSV!H:H,""),
_xlpm.MacVal,_xlfn.XLOOKUP($A1233,Output_Mac!$A:$A,Output_Mac!H:H,""),
_xlpm.MyAuditVal,_xlfn.XLOOKUP($A1233,My_Audit!$A:$A,My_Audit!G:G,""),
_xlfn.IFS(_xlpm.MyAuditVal&lt;&gt;"",_xlpm.MyAuditVal,_xlpm.MacVal&lt;&gt;"",_xlpm.MacVal,_xlpm.CSVVal&lt;&gt;"",_xlpm.CSVVal
)),"")</f>
        <v/>
      </c>
      <c r="I1233" s="40" t="str">
        <f>_xlfn.XLOOKUP(A1233,Output_Mac!A:A,Output_Mac!I:I,"")</f>
        <v/>
      </c>
      <c r="J1233" s="40" t="str" cm="1">
        <f t="array" ref="J1233">IFERROR(_xlfn.LET(
_xlpm.CSVVal,_xlfn.XLOOKUP($A1233,CSV!$A:$A,CSV!I:I,""),
_xlpm.MacVal,_xlfn.XLOOKUP($A1233,Output_Mac!$A:$A,Output_Mac!J:J,""),
_xlpm.MyAuditVal,_xlfn.XLOOKUP($A1233,My_Audit!$A:$A,My_Audit!I:I,""),
_xlfn.IFS(_xlpm.MyAuditVal&lt;&gt;"",UPPER(_xlpm.MyAuditVal),_xlpm.MacVal&lt;&gt;"",_xlpm.MacVal,_xlpm.CSVVal&lt;&gt;"",_xlpm.CSVVal
)),"")</f>
        <v/>
      </c>
      <c r="K1233" s="40" t="str" cm="1">
        <f t="array" ref="K1233">IFERROR(_xlfn.LET(
_xlpm.CSVVal,_xlfn.XLOOKUP($A1233,CSV!$A:$A,CSV!K:K,""),
_xlpm.MacVal,_xlfn.XLOOKUP($A1233,Output_Mac!$A:$A,Output_Mac!K:K,""),
_xlpm.MyAuditVal,_xlfn.XLOOKUP($A1233,My_Audit!$A:$A,My_Audit!J:J,""),
_xlfn.IFS(_xlpm.MyAuditVal&lt;&gt;"",UPPER(_xlpm.MyAuditVal),_xlpm.MacVal&lt;&gt;"",_xlpm.MacVal,_xlpm.CSVVal&lt;&gt;"",_xlpm.CSVVal
)),"")</f>
        <v/>
      </c>
      <c r="L1233" s="40" t="str" cm="1">
        <f t="array" ref="L1233">IFERROR(_xlfn.LET(
_xlpm.CSVVal,_xlfn.XLOOKUP($A1233,CSV!$A:$A,CSV!P:P,""),
_xlpm.MacVal,_xlfn.XLOOKUP($A1233,Output_Mac!$A:$A,Output_Mac!L:L,""),
_xlpm.MyAuditVal,_xlfn.XLOOKUP($A1233,My_Audit!$A:$A,My_Audit!K:K,""),
_xlfn.IFS(_xlpm.MyAuditVal&lt;&gt;"",UPPER(_xlpm.MyAuditVal),_xlpm.MacVal&lt;&gt;"",_xlpm.MacVal,_xlpm.CSVVal&lt;&gt;"",_xlpm.CSVVal
)),"")</f>
        <v/>
      </c>
      <c r="M1233" s="40" t="str" cm="1">
        <f t="array" ref="M1233">IFERROR(_xlfn.LET(
_xlpm.CSVVal,_xlfn.XLOOKUP($A1233,CSV!$A:$A,CSV!Q:Q,""),
_xlpm.MacVal,_xlfn.XLOOKUP($A1233,Output_Mac!$A:$A,Output_Mac!M:M,""),
_xlpm.MyAuditVal,_xlfn.XLOOKUP($A1233,My_Audit!$A:$A,My_Audit!L:L,""),
_xlfn.IFS(_xlpm.MyAuditVal&lt;&gt;"",UPPER(_xlpm.MyAuditVal),_xlpm.MacVal&lt;&gt;"",_xlpm.MacVal,_xlpm.CSVVal&lt;&gt;"",_xlpm.CSVVal
)),"")</f>
        <v/>
      </c>
      <c r="N1233" s="40"/>
      <c r="O1233" s="40" t="str">
        <f>_xlfn.LET(
    _xlpm.CSVVal, _xlfn.XLOOKUP($A1233, CSV!$A:$A, CSV!AA:AA, ""),
    _xlpm.MacVal, _xlfn.XLOOKUP($A1233, Output_Mac!$A:$A, Output_Mac!S:S, ""),
    _xlpm.MyAuditVal, _xlfn.XLOOKUP($A1233, My_Audit!$A:$A, My_Audit!P:P, ""),
    _xlfn.TEXTJOIN(", ", TRUE, _xlpm.MyAuditVal, _xlpm.MacVal, _xlpm.CSVVal)
)</f>
        <v/>
      </c>
      <c r="P1233" s="40" t="str" cm="1">
        <f t="array" ref="P1233">IFERROR(_xlfn.LET(
_xlpm.CSVVal,_xlfn.XLOOKUP($A1233,CSV!$A:$A,CSV!AB:AB,""),
_xlpm.MacVal,_xlfn.XLOOKUP($A1233,Output_Mac!$A:$A,Output_Mac!T:T,""),
_xlpm.MyAuditVal,_xlfn.XLOOKUP($A1233,My_Audit!$A:$A,My_Audit!Q:Q,""),
_xlfn.IFS(_xlpm.MyAuditVal&lt;&gt;"",UPPER(_xlpm.MyAuditVal),_xlpm.MacVal&lt;&gt;"",_xlpm.MacVal,_xlpm.CSVVal&lt;&gt;"",_xlpm.CSVVal
)),"No")</f>
        <v>No</v>
      </c>
      <c r="Q1233" s="40" t="str" cm="1">
        <f t="array" ref="Q1233">IFERROR(_xlfn.LET(
_xlpm.CSVVal,_xlfn.XLOOKUP($A1233,CSV!$A:$A,CSV!AC:AC,""),
_xlpm.MacVal,_xlfn.XLOOKUP($A1233,Output_Mac!$A:$A,Output_Mac!U:U,""),
_xlpm.MyAuditVal,_xlfn.XLOOKUP($A1233,My_Audit!$A:$A,My_Audit!R:R,""),
_xlfn.IFS(_xlpm.MyAuditVal&lt;&gt;"",UPPER(_xlpm.MyAuditVal),_xlpm.MacVal&lt;&gt;"",_xlpm.MacVal,_xlpm.CSVVal&lt;&gt;"",_xlpm.CSVVal
)),"")</f>
        <v/>
      </c>
      <c r="R1233" s="40"/>
      <c r="S1233" s="40"/>
      <c r="T1233" s="40"/>
      <c r="U1233" s="40"/>
      <c r="V1233" s="40"/>
      <c r="W1233" s="40"/>
      <c r="X1233" s="41" t="str">
        <f>_xlfn.LET(
    _xlpm.MacVal, _xlfn.XLOOKUP($A1233, Output_Mac!$A:$A, Output_Mac!AB:AB, ""),
    _xlpm.MyAuditVal, _xlfn.XLOOKUP($A1233, My_Audit!$A:$A, My_Audit!N:N, ""),
    _xlfn.TEXTJOIN(", ", TRUE, _xlpm.MyAuditVal, _xlpm.MacVal)
)</f>
        <v/>
      </c>
    </row>
    <row r="1234" spans="1:24">
      <c r="A1234" s="40" t="str">
        <f>_xlfn.TEXTJOIN("",TRUE,Input!$B$2,ROW(My_Audit!A1233))</f>
        <v>X1233</v>
      </c>
      <c r="B1234" s="40" t="str">
        <f>_xlfn.TEXTJOIN("-",TRUE,"ITD",Input!$A$2,A1234)</f>
        <v>ITD-X1233</v>
      </c>
      <c r="C1234" s="40" t="str" cm="1">
        <f t="array" ref="C1234">IFERROR(_xlfn.LET(
_xlpm.CSVVal,_xlfn.XLOOKUP($A1234,CSV!$A:$A,CSV!B:B,""),
_xlpm.MacVal,_xlfn.XLOOKUP($A1234,Output_Mac!$A:$A,Output_Mac!B:B,""),
_xlpm.MyAuditVal,_xlfn.XLOOKUP($A1234,My_Audit!$A:$A,My_Audit!B:B,""),
_xlfn.IFS(_xlpm.MyAuditVal&lt;&gt;"",UPPER(_xlpm.MyAuditVal),_xlpm.MacVal&lt;&gt;"",_xlpm.MacVal,_xlpm.CSVVal&lt;&gt;"",_xlpm.CSVVal
)),"")</f>
        <v/>
      </c>
      <c r="D1234" s="40" t="str" cm="1">
        <f t="array" ref="D1234">IFERROR(_xlfn.LET(
_xlpm.CSVVal,_xlfn.XLOOKUP($A1234,CSV!$A:$A,CSV!D:D,""),
_xlpm.MacVal,_xlfn.XLOOKUP($A1234,Output_Mac!$A:$A,Output_Mac!C:C,""),
_xlpm.MyAuditVal,_xlfn.XLOOKUP($A1234,My_Audit!$A:$A,My_Audit!C:C,""),
_xlfn.IFS(_xlpm.MyAuditVal&lt;&gt;"",_xlpm.MyAuditVal,_xlpm.MacVal&lt;&gt;"",_xlpm.MacVal,_xlpm.CSVVal&lt;&gt;"",_xlpm.CSVVal
)),"")</f>
        <v/>
      </c>
      <c r="E1234" s="40" t="str">
        <f>_xlfn.XLOOKUP(A1234,My_Audit!A:A,My_Audit!D:D,"")</f>
        <v/>
      </c>
      <c r="F1234" s="40" t="str" cm="1">
        <f t="array" ref="F1234">IFERROR(_xlfn.LET(
_xlpm.CSVVal,_xlfn.XLOOKUP($A1234,CSV!$A:$A,CSV!F:F,""),
_xlpm.MacVal,_xlfn.XLOOKUP($A1234,Output_Mac!$A:$A,Output_Mac!E:E,""),
_xlpm.MyAuditVal,_xlfn.XLOOKUP($A1234,My_Audit!$A:$A,My_Audit!E:E,""),
_xlfn.IFS(_xlpm.MyAuditVal&lt;&gt;"",_xlpm.MyAuditVal,_xlpm.MacVal&lt;&gt;"",_xlpm.MacVal,_xlpm.CSVVal&lt;&gt;"",_xlpm.CSVVal
)),"")</f>
        <v/>
      </c>
      <c r="G1234" s="40" t="str" cm="1">
        <f t="array" ref="G1234">IFERROR(_xlfn.LET(
_xlpm.CSVVal,_xlfn.XLOOKUP($A1234,CSV!$A:$A,CSV!G:G,""),
_xlpm.MacVal,_xlfn.XLOOKUP($A1234,Output_Mac!$A:$A,Output_Mac!F:F,""),
_xlpm.MyAuditVal,_xlfn.XLOOKUP($A1234,My_Audit!$A:$A,My_Audit!F:F,""),
_xlfn.IFS(_xlpm.MyAuditVal&lt;&gt;"",_xlpm.MyAuditVal,_xlpm.MacVal&lt;&gt;"",_xlpm.MacVal,_xlpm.CSVVal&lt;&gt;"",PROPER(_xlpm.CSVVal)
)),"")</f>
        <v/>
      </c>
      <c r="H1234" s="40" t="str" cm="1">
        <f t="array" ref="H1234">IFERROR(_xlfn.LET(
_xlpm.CSVVal,_xlfn.XLOOKUP($A1234,CSV!$A:$A,CSV!H:H,""),
_xlpm.MacVal,_xlfn.XLOOKUP($A1234,Output_Mac!$A:$A,Output_Mac!H:H,""),
_xlpm.MyAuditVal,_xlfn.XLOOKUP($A1234,My_Audit!$A:$A,My_Audit!G:G,""),
_xlfn.IFS(_xlpm.MyAuditVal&lt;&gt;"",_xlpm.MyAuditVal,_xlpm.MacVal&lt;&gt;"",_xlpm.MacVal,_xlpm.CSVVal&lt;&gt;"",_xlpm.CSVVal
)),"")</f>
        <v/>
      </c>
      <c r="I1234" s="40" t="str">
        <f>_xlfn.XLOOKUP(A1234,Output_Mac!A:A,Output_Mac!I:I,"")</f>
        <v/>
      </c>
      <c r="J1234" s="40" t="str" cm="1">
        <f t="array" ref="J1234">IFERROR(_xlfn.LET(
_xlpm.CSVVal,_xlfn.XLOOKUP($A1234,CSV!$A:$A,CSV!I:I,""),
_xlpm.MacVal,_xlfn.XLOOKUP($A1234,Output_Mac!$A:$A,Output_Mac!J:J,""),
_xlpm.MyAuditVal,_xlfn.XLOOKUP($A1234,My_Audit!$A:$A,My_Audit!I:I,""),
_xlfn.IFS(_xlpm.MyAuditVal&lt;&gt;"",UPPER(_xlpm.MyAuditVal),_xlpm.MacVal&lt;&gt;"",_xlpm.MacVal,_xlpm.CSVVal&lt;&gt;"",_xlpm.CSVVal
)),"")</f>
        <v/>
      </c>
      <c r="K1234" s="40" t="str" cm="1">
        <f t="array" ref="K1234">IFERROR(_xlfn.LET(
_xlpm.CSVVal,_xlfn.XLOOKUP($A1234,CSV!$A:$A,CSV!K:K,""),
_xlpm.MacVal,_xlfn.XLOOKUP($A1234,Output_Mac!$A:$A,Output_Mac!K:K,""),
_xlpm.MyAuditVal,_xlfn.XLOOKUP($A1234,My_Audit!$A:$A,My_Audit!J:J,""),
_xlfn.IFS(_xlpm.MyAuditVal&lt;&gt;"",UPPER(_xlpm.MyAuditVal),_xlpm.MacVal&lt;&gt;"",_xlpm.MacVal,_xlpm.CSVVal&lt;&gt;"",_xlpm.CSVVal
)),"")</f>
        <v/>
      </c>
      <c r="L1234" s="40" t="str" cm="1">
        <f t="array" ref="L1234">IFERROR(_xlfn.LET(
_xlpm.CSVVal,_xlfn.XLOOKUP($A1234,CSV!$A:$A,CSV!P:P,""),
_xlpm.MacVal,_xlfn.XLOOKUP($A1234,Output_Mac!$A:$A,Output_Mac!L:L,""),
_xlpm.MyAuditVal,_xlfn.XLOOKUP($A1234,My_Audit!$A:$A,My_Audit!K:K,""),
_xlfn.IFS(_xlpm.MyAuditVal&lt;&gt;"",UPPER(_xlpm.MyAuditVal),_xlpm.MacVal&lt;&gt;"",_xlpm.MacVal,_xlpm.CSVVal&lt;&gt;"",_xlpm.CSVVal
)),"")</f>
        <v/>
      </c>
      <c r="M1234" s="40" t="str" cm="1">
        <f t="array" ref="M1234">IFERROR(_xlfn.LET(
_xlpm.CSVVal,_xlfn.XLOOKUP($A1234,CSV!$A:$A,CSV!Q:Q,""),
_xlpm.MacVal,_xlfn.XLOOKUP($A1234,Output_Mac!$A:$A,Output_Mac!M:M,""),
_xlpm.MyAuditVal,_xlfn.XLOOKUP($A1234,My_Audit!$A:$A,My_Audit!L:L,""),
_xlfn.IFS(_xlpm.MyAuditVal&lt;&gt;"",UPPER(_xlpm.MyAuditVal),_xlpm.MacVal&lt;&gt;"",_xlpm.MacVal,_xlpm.CSVVal&lt;&gt;"",_xlpm.CSVVal
)),"")</f>
        <v/>
      </c>
      <c r="N1234" s="40"/>
      <c r="O1234" s="40" t="str">
        <f>_xlfn.LET(
    _xlpm.CSVVal, _xlfn.XLOOKUP($A1234, CSV!$A:$A, CSV!AA:AA, ""),
    _xlpm.MacVal, _xlfn.XLOOKUP($A1234, Output_Mac!$A:$A, Output_Mac!S:S, ""),
    _xlpm.MyAuditVal, _xlfn.XLOOKUP($A1234, My_Audit!$A:$A, My_Audit!P:P, ""),
    _xlfn.TEXTJOIN(", ", TRUE, _xlpm.MyAuditVal, _xlpm.MacVal, _xlpm.CSVVal)
)</f>
        <v/>
      </c>
      <c r="P1234" s="40" t="str" cm="1">
        <f t="array" ref="P1234">IFERROR(_xlfn.LET(
_xlpm.CSVVal,_xlfn.XLOOKUP($A1234,CSV!$A:$A,CSV!AB:AB,""),
_xlpm.MacVal,_xlfn.XLOOKUP($A1234,Output_Mac!$A:$A,Output_Mac!T:T,""),
_xlpm.MyAuditVal,_xlfn.XLOOKUP($A1234,My_Audit!$A:$A,My_Audit!Q:Q,""),
_xlfn.IFS(_xlpm.MyAuditVal&lt;&gt;"",UPPER(_xlpm.MyAuditVal),_xlpm.MacVal&lt;&gt;"",_xlpm.MacVal,_xlpm.CSVVal&lt;&gt;"",_xlpm.CSVVal
)),"No")</f>
        <v>No</v>
      </c>
      <c r="Q1234" s="40" t="str" cm="1">
        <f t="array" ref="Q1234">IFERROR(_xlfn.LET(
_xlpm.CSVVal,_xlfn.XLOOKUP($A1234,CSV!$A:$A,CSV!AC:AC,""),
_xlpm.MacVal,_xlfn.XLOOKUP($A1234,Output_Mac!$A:$A,Output_Mac!U:U,""),
_xlpm.MyAuditVal,_xlfn.XLOOKUP($A1234,My_Audit!$A:$A,My_Audit!R:R,""),
_xlfn.IFS(_xlpm.MyAuditVal&lt;&gt;"",UPPER(_xlpm.MyAuditVal),_xlpm.MacVal&lt;&gt;"",_xlpm.MacVal,_xlpm.CSVVal&lt;&gt;"",_xlpm.CSVVal
)),"")</f>
        <v/>
      </c>
      <c r="R1234" s="40"/>
      <c r="S1234" s="40"/>
      <c r="T1234" s="40"/>
      <c r="U1234" s="40"/>
      <c r="V1234" s="40"/>
      <c r="W1234" s="40"/>
      <c r="X1234" s="41" t="str">
        <f>_xlfn.LET(
    _xlpm.MacVal, _xlfn.XLOOKUP($A1234, Output_Mac!$A:$A, Output_Mac!AB:AB, ""),
    _xlpm.MyAuditVal, _xlfn.XLOOKUP($A1234, My_Audit!$A:$A, My_Audit!N:N, ""),
    _xlfn.TEXTJOIN(", ", TRUE, _xlpm.MyAuditVal, _xlpm.MacVal)
)</f>
        <v/>
      </c>
    </row>
    <row r="1235" spans="1:24">
      <c r="A1235" s="40" t="str">
        <f>_xlfn.TEXTJOIN("",TRUE,Input!$B$2,ROW(My_Audit!A1234))</f>
        <v>X1234</v>
      </c>
      <c r="B1235" s="40" t="str">
        <f>_xlfn.TEXTJOIN("-",TRUE,"ITD",Input!$A$2,A1235)</f>
        <v>ITD-X1234</v>
      </c>
      <c r="C1235" s="40" t="str" cm="1">
        <f t="array" ref="C1235">IFERROR(_xlfn.LET(
_xlpm.CSVVal,_xlfn.XLOOKUP($A1235,CSV!$A:$A,CSV!B:B,""),
_xlpm.MacVal,_xlfn.XLOOKUP($A1235,Output_Mac!$A:$A,Output_Mac!B:B,""),
_xlpm.MyAuditVal,_xlfn.XLOOKUP($A1235,My_Audit!$A:$A,My_Audit!B:B,""),
_xlfn.IFS(_xlpm.MyAuditVal&lt;&gt;"",UPPER(_xlpm.MyAuditVal),_xlpm.MacVal&lt;&gt;"",_xlpm.MacVal,_xlpm.CSVVal&lt;&gt;"",_xlpm.CSVVal
)),"")</f>
        <v/>
      </c>
      <c r="D1235" s="40" t="str" cm="1">
        <f t="array" ref="D1235">IFERROR(_xlfn.LET(
_xlpm.CSVVal,_xlfn.XLOOKUP($A1235,CSV!$A:$A,CSV!D:D,""),
_xlpm.MacVal,_xlfn.XLOOKUP($A1235,Output_Mac!$A:$A,Output_Mac!C:C,""),
_xlpm.MyAuditVal,_xlfn.XLOOKUP($A1235,My_Audit!$A:$A,My_Audit!C:C,""),
_xlfn.IFS(_xlpm.MyAuditVal&lt;&gt;"",_xlpm.MyAuditVal,_xlpm.MacVal&lt;&gt;"",_xlpm.MacVal,_xlpm.CSVVal&lt;&gt;"",_xlpm.CSVVal
)),"")</f>
        <v/>
      </c>
      <c r="E1235" s="40" t="str">
        <f>_xlfn.XLOOKUP(A1235,My_Audit!A:A,My_Audit!D:D,"")</f>
        <v/>
      </c>
      <c r="F1235" s="40" t="str" cm="1">
        <f t="array" ref="F1235">IFERROR(_xlfn.LET(
_xlpm.CSVVal,_xlfn.XLOOKUP($A1235,CSV!$A:$A,CSV!F:F,""),
_xlpm.MacVal,_xlfn.XLOOKUP($A1235,Output_Mac!$A:$A,Output_Mac!E:E,""),
_xlpm.MyAuditVal,_xlfn.XLOOKUP($A1235,My_Audit!$A:$A,My_Audit!E:E,""),
_xlfn.IFS(_xlpm.MyAuditVal&lt;&gt;"",_xlpm.MyAuditVal,_xlpm.MacVal&lt;&gt;"",_xlpm.MacVal,_xlpm.CSVVal&lt;&gt;"",_xlpm.CSVVal
)),"")</f>
        <v/>
      </c>
      <c r="G1235" s="40" t="str" cm="1">
        <f t="array" ref="G1235">IFERROR(_xlfn.LET(
_xlpm.CSVVal,_xlfn.XLOOKUP($A1235,CSV!$A:$A,CSV!G:G,""),
_xlpm.MacVal,_xlfn.XLOOKUP($A1235,Output_Mac!$A:$A,Output_Mac!F:F,""),
_xlpm.MyAuditVal,_xlfn.XLOOKUP($A1235,My_Audit!$A:$A,My_Audit!F:F,""),
_xlfn.IFS(_xlpm.MyAuditVal&lt;&gt;"",_xlpm.MyAuditVal,_xlpm.MacVal&lt;&gt;"",_xlpm.MacVal,_xlpm.CSVVal&lt;&gt;"",PROPER(_xlpm.CSVVal)
)),"")</f>
        <v/>
      </c>
      <c r="H1235" s="40" t="str" cm="1">
        <f t="array" ref="H1235">IFERROR(_xlfn.LET(
_xlpm.CSVVal,_xlfn.XLOOKUP($A1235,CSV!$A:$A,CSV!H:H,""),
_xlpm.MacVal,_xlfn.XLOOKUP($A1235,Output_Mac!$A:$A,Output_Mac!H:H,""),
_xlpm.MyAuditVal,_xlfn.XLOOKUP($A1235,My_Audit!$A:$A,My_Audit!G:G,""),
_xlfn.IFS(_xlpm.MyAuditVal&lt;&gt;"",_xlpm.MyAuditVal,_xlpm.MacVal&lt;&gt;"",_xlpm.MacVal,_xlpm.CSVVal&lt;&gt;"",_xlpm.CSVVal
)),"")</f>
        <v/>
      </c>
      <c r="I1235" s="40" t="str">
        <f>_xlfn.XLOOKUP(A1235,Output_Mac!A:A,Output_Mac!I:I,"")</f>
        <v/>
      </c>
      <c r="J1235" s="40" t="str" cm="1">
        <f t="array" ref="J1235">IFERROR(_xlfn.LET(
_xlpm.CSVVal,_xlfn.XLOOKUP($A1235,CSV!$A:$A,CSV!I:I,""),
_xlpm.MacVal,_xlfn.XLOOKUP($A1235,Output_Mac!$A:$A,Output_Mac!J:J,""),
_xlpm.MyAuditVal,_xlfn.XLOOKUP($A1235,My_Audit!$A:$A,My_Audit!I:I,""),
_xlfn.IFS(_xlpm.MyAuditVal&lt;&gt;"",UPPER(_xlpm.MyAuditVal),_xlpm.MacVal&lt;&gt;"",_xlpm.MacVal,_xlpm.CSVVal&lt;&gt;"",_xlpm.CSVVal
)),"")</f>
        <v/>
      </c>
      <c r="K1235" s="40" t="str" cm="1">
        <f t="array" ref="K1235">IFERROR(_xlfn.LET(
_xlpm.CSVVal,_xlfn.XLOOKUP($A1235,CSV!$A:$A,CSV!K:K,""),
_xlpm.MacVal,_xlfn.XLOOKUP($A1235,Output_Mac!$A:$A,Output_Mac!K:K,""),
_xlpm.MyAuditVal,_xlfn.XLOOKUP($A1235,My_Audit!$A:$A,My_Audit!J:J,""),
_xlfn.IFS(_xlpm.MyAuditVal&lt;&gt;"",UPPER(_xlpm.MyAuditVal),_xlpm.MacVal&lt;&gt;"",_xlpm.MacVal,_xlpm.CSVVal&lt;&gt;"",_xlpm.CSVVal
)),"")</f>
        <v/>
      </c>
      <c r="L1235" s="40" t="str" cm="1">
        <f t="array" ref="L1235">IFERROR(_xlfn.LET(
_xlpm.CSVVal,_xlfn.XLOOKUP($A1235,CSV!$A:$A,CSV!P:P,""),
_xlpm.MacVal,_xlfn.XLOOKUP($A1235,Output_Mac!$A:$A,Output_Mac!L:L,""),
_xlpm.MyAuditVal,_xlfn.XLOOKUP($A1235,My_Audit!$A:$A,My_Audit!K:K,""),
_xlfn.IFS(_xlpm.MyAuditVal&lt;&gt;"",UPPER(_xlpm.MyAuditVal),_xlpm.MacVal&lt;&gt;"",_xlpm.MacVal,_xlpm.CSVVal&lt;&gt;"",_xlpm.CSVVal
)),"")</f>
        <v/>
      </c>
      <c r="M1235" s="40" t="str" cm="1">
        <f t="array" ref="M1235">IFERROR(_xlfn.LET(
_xlpm.CSVVal,_xlfn.XLOOKUP($A1235,CSV!$A:$A,CSV!Q:Q,""),
_xlpm.MacVal,_xlfn.XLOOKUP($A1235,Output_Mac!$A:$A,Output_Mac!M:M,""),
_xlpm.MyAuditVal,_xlfn.XLOOKUP($A1235,My_Audit!$A:$A,My_Audit!L:L,""),
_xlfn.IFS(_xlpm.MyAuditVal&lt;&gt;"",UPPER(_xlpm.MyAuditVal),_xlpm.MacVal&lt;&gt;"",_xlpm.MacVal,_xlpm.CSVVal&lt;&gt;"",_xlpm.CSVVal
)),"")</f>
        <v/>
      </c>
      <c r="N1235" s="40"/>
      <c r="O1235" s="40" t="str">
        <f>_xlfn.LET(
    _xlpm.CSVVal, _xlfn.XLOOKUP($A1235, CSV!$A:$A, CSV!AA:AA, ""),
    _xlpm.MacVal, _xlfn.XLOOKUP($A1235, Output_Mac!$A:$A, Output_Mac!S:S, ""),
    _xlpm.MyAuditVal, _xlfn.XLOOKUP($A1235, My_Audit!$A:$A, My_Audit!P:P, ""),
    _xlfn.TEXTJOIN(", ", TRUE, _xlpm.MyAuditVal, _xlpm.MacVal, _xlpm.CSVVal)
)</f>
        <v/>
      </c>
      <c r="P1235" s="40" t="str" cm="1">
        <f t="array" ref="P1235">IFERROR(_xlfn.LET(
_xlpm.CSVVal,_xlfn.XLOOKUP($A1235,CSV!$A:$A,CSV!AB:AB,""),
_xlpm.MacVal,_xlfn.XLOOKUP($A1235,Output_Mac!$A:$A,Output_Mac!T:T,""),
_xlpm.MyAuditVal,_xlfn.XLOOKUP($A1235,My_Audit!$A:$A,My_Audit!Q:Q,""),
_xlfn.IFS(_xlpm.MyAuditVal&lt;&gt;"",UPPER(_xlpm.MyAuditVal),_xlpm.MacVal&lt;&gt;"",_xlpm.MacVal,_xlpm.CSVVal&lt;&gt;"",_xlpm.CSVVal
)),"No")</f>
        <v>No</v>
      </c>
      <c r="Q1235" s="40" t="str" cm="1">
        <f t="array" ref="Q1235">IFERROR(_xlfn.LET(
_xlpm.CSVVal,_xlfn.XLOOKUP($A1235,CSV!$A:$A,CSV!AC:AC,""),
_xlpm.MacVal,_xlfn.XLOOKUP($A1235,Output_Mac!$A:$A,Output_Mac!U:U,""),
_xlpm.MyAuditVal,_xlfn.XLOOKUP($A1235,My_Audit!$A:$A,My_Audit!R:R,""),
_xlfn.IFS(_xlpm.MyAuditVal&lt;&gt;"",UPPER(_xlpm.MyAuditVal),_xlpm.MacVal&lt;&gt;"",_xlpm.MacVal,_xlpm.CSVVal&lt;&gt;"",_xlpm.CSVVal
)),"")</f>
        <v/>
      </c>
      <c r="R1235" s="40"/>
      <c r="S1235" s="40"/>
      <c r="T1235" s="40"/>
      <c r="U1235" s="40"/>
      <c r="V1235" s="40"/>
      <c r="W1235" s="40"/>
      <c r="X1235" s="41" t="str">
        <f>_xlfn.LET(
    _xlpm.MacVal, _xlfn.XLOOKUP($A1235, Output_Mac!$A:$A, Output_Mac!AB:AB, ""),
    _xlpm.MyAuditVal, _xlfn.XLOOKUP($A1235, My_Audit!$A:$A, My_Audit!N:N, ""),
    _xlfn.TEXTJOIN(", ", TRUE, _xlpm.MyAuditVal, _xlpm.MacVal)
)</f>
        <v/>
      </c>
    </row>
    <row r="1236" spans="1:24">
      <c r="A1236" s="40" t="str">
        <f>_xlfn.TEXTJOIN("",TRUE,Input!$B$2,ROW(My_Audit!A1235))</f>
        <v>X1235</v>
      </c>
      <c r="B1236" s="40" t="str">
        <f>_xlfn.TEXTJOIN("-",TRUE,"ITD",Input!$A$2,A1236)</f>
        <v>ITD-X1235</v>
      </c>
      <c r="C1236" s="40" t="str" cm="1">
        <f t="array" ref="C1236">IFERROR(_xlfn.LET(
_xlpm.CSVVal,_xlfn.XLOOKUP($A1236,CSV!$A:$A,CSV!B:B,""),
_xlpm.MacVal,_xlfn.XLOOKUP($A1236,Output_Mac!$A:$A,Output_Mac!B:B,""),
_xlpm.MyAuditVal,_xlfn.XLOOKUP($A1236,My_Audit!$A:$A,My_Audit!B:B,""),
_xlfn.IFS(_xlpm.MyAuditVal&lt;&gt;"",UPPER(_xlpm.MyAuditVal),_xlpm.MacVal&lt;&gt;"",_xlpm.MacVal,_xlpm.CSVVal&lt;&gt;"",_xlpm.CSVVal
)),"")</f>
        <v/>
      </c>
      <c r="D1236" s="40" t="str" cm="1">
        <f t="array" ref="D1236">IFERROR(_xlfn.LET(
_xlpm.CSVVal,_xlfn.XLOOKUP($A1236,CSV!$A:$A,CSV!D:D,""),
_xlpm.MacVal,_xlfn.XLOOKUP($A1236,Output_Mac!$A:$A,Output_Mac!C:C,""),
_xlpm.MyAuditVal,_xlfn.XLOOKUP($A1236,My_Audit!$A:$A,My_Audit!C:C,""),
_xlfn.IFS(_xlpm.MyAuditVal&lt;&gt;"",_xlpm.MyAuditVal,_xlpm.MacVal&lt;&gt;"",_xlpm.MacVal,_xlpm.CSVVal&lt;&gt;"",_xlpm.CSVVal
)),"")</f>
        <v/>
      </c>
      <c r="E1236" s="40" t="str">
        <f>_xlfn.XLOOKUP(A1236,My_Audit!A:A,My_Audit!D:D,"")</f>
        <v/>
      </c>
      <c r="F1236" s="40" t="str" cm="1">
        <f t="array" ref="F1236">IFERROR(_xlfn.LET(
_xlpm.CSVVal,_xlfn.XLOOKUP($A1236,CSV!$A:$A,CSV!F:F,""),
_xlpm.MacVal,_xlfn.XLOOKUP($A1236,Output_Mac!$A:$A,Output_Mac!E:E,""),
_xlpm.MyAuditVal,_xlfn.XLOOKUP($A1236,My_Audit!$A:$A,My_Audit!E:E,""),
_xlfn.IFS(_xlpm.MyAuditVal&lt;&gt;"",_xlpm.MyAuditVal,_xlpm.MacVal&lt;&gt;"",_xlpm.MacVal,_xlpm.CSVVal&lt;&gt;"",_xlpm.CSVVal
)),"")</f>
        <v/>
      </c>
      <c r="G1236" s="40" t="str" cm="1">
        <f t="array" ref="G1236">IFERROR(_xlfn.LET(
_xlpm.CSVVal,_xlfn.XLOOKUP($A1236,CSV!$A:$A,CSV!G:G,""),
_xlpm.MacVal,_xlfn.XLOOKUP($A1236,Output_Mac!$A:$A,Output_Mac!F:F,""),
_xlpm.MyAuditVal,_xlfn.XLOOKUP($A1236,My_Audit!$A:$A,My_Audit!F:F,""),
_xlfn.IFS(_xlpm.MyAuditVal&lt;&gt;"",_xlpm.MyAuditVal,_xlpm.MacVal&lt;&gt;"",_xlpm.MacVal,_xlpm.CSVVal&lt;&gt;"",PROPER(_xlpm.CSVVal)
)),"")</f>
        <v/>
      </c>
      <c r="H1236" s="40" t="str" cm="1">
        <f t="array" ref="H1236">IFERROR(_xlfn.LET(
_xlpm.CSVVal,_xlfn.XLOOKUP($A1236,CSV!$A:$A,CSV!H:H,""),
_xlpm.MacVal,_xlfn.XLOOKUP($A1236,Output_Mac!$A:$A,Output_Mac!H:H,""),
_xlpm.MyAuditVal,_xlfn.XLOOKUP($A1236,My_Audit!$A:$A,My_Audit!G:G,""),
_xlfn.IFS(_xlpm.MyAuditVal&lt;&gt;"",_xlpm.MyAuditVal,_xlpm.MacVal&lt;&gt;"",_xlpm.MacVal,_xlpm.CSVVal&lt;&gt;"",_xlpm.CSVVal
)),"")</f>
        <v/>
      </c>
      <c r="I1236" s="40" t="str">
        <f>_xlfn.XLOOKUP(A1236,Output_Mac!A:A,Output_Mac!I:I,"")</f>
        <v/>
      </c>
      <c r="J1236" s="40" t="str" cm="1">
        <f t="array" ref="J1236">IFERROR(_xlfn.LET(
_xlpm.CSVVal,_xlfn.XLOOKUP($A1236,CSV!$A:$A,CSV!I:I,""),
_xlpm.MacVal,_xlfn.XLOOKUP($A1236,Output_Mac!$A:$A,Output_Mac!J:J,""),
_xlpm.MyAuditVal,_xlfn.XLOOKUP($A1236,My_Audit!$A:$A,My_Audit!I:I,""),
_xlfn.IFS(_xlpm.MyAuditVal&lt;&gt;"",UPPER(_xlpm.MyAuditVal),_xlpm.MacVal&lt;&gt;"",_xlpm.MacVal,_xlpm.CSVVal&lt;&gt;"",_xlpm.CSVVal
)),"")</f>
        <v/>
      </c>
      <c r="K1236" s="40" t="str" cm="1">
        <f t="array" ref="K1236">IFERROR(_xlfn.LET(
_xlpm.CSVVal,_xlfn.XLOOKUP($A1236,CSV!$A:$A,CSV!K:K,""),
_xlpm.MacVal,_xlfn.XLOOKUP($A1236,Output_Mac!$A:$A,Output_Mac!K:K,""),
_xlpm.MyAuditVal,_xlfn.XLOOKUP($A1236,My_Audit!$A:$A,My_Audit!J:J,""),
_xlfn.IFS(_xlpm.MyAuditVal&lt;&gt;"",UPPER(_xlpm.MyAuditVal),_xlpm.MacVal&lt;&gt;"",_xlpm.MacVal,_xlpm.CSVVal&lt;&gt;"",_xlpm.CSVVal
)),"")</f>
        <v/>
      </c>
      <c r="L1236" s="40" t="str" cm="1">
        <f t="array" ref="L1236">IFERROR(_xlfn.LET(
_xlpm.CSVVal,_xlfn.XLOOKUP($A1236,CSV!$A:$A,CSV!P:P,""),
_xlpm.MacVal,_xlfn.XLOOKUP($A1236,Output_Mac!$A:$A,Output_Mac!L:L,""),
_xlpm.MyAuditVal,_xlfn.XLOOKUP($A1236,My_Audit!$A:$A,My_Audit!K:K,""),
_xlfn.IFS(_xlpm.MyAuditVal&lt;&gt;"",UPPER(_xlpm.MyAuditVal),_xlpm.MacVal&lt;&gt;"",_xlpm.MacVal,_xlpm.CSVVal&lt;&gt;"",_xlpm.CSVVal
)),"")</f>
        <v/>
      </c>
      <c r="M1236" s="40" t="str" cm="1">
        <f t="array" ref="M1236">IFERROR(_xlfn.LET(
_xlpm.CSVVal,_xlfn.XLOOKUP($A1236,CSV!$A:$A,CSV!Q:Q,""),
_xlpm.MacVal,_xlfn.XLOOKUP($A1236,Output_Mac!$A:$A,Output_Mac!M:M,""),
_xlpm.MyAuditVal,_xlfn.XLOOKUP($A1236,My_Audit!$A:$A,My_Audit!L:L,""),
_xlfn.IFS(_xlpm.MyAuditVal&lt;&gt;"",UPPER(_xlpm.MyAuditVal),_xlpm.MacVal&lt;&gt;"",_xlpm.MacVal,_xlpm.CSVVal&lt;&gt;"",_xlpm.CSVVal
)),"")</f>
        <v/>
      </c>
      <c r="N1236" s="40"/>
      <c r="O1236" s="40" t="str">
        <f>_xlfn.LET(
    _xlpm.CSVVal, _xlfn.XLOOKUP($A1236, CSV!$A:$A, CSV!AA:AA, ""),
    _xlpm.MacVal, _xlfn.XLOOKUP($A1236, Output_Mac!$A:$A, Output_Mac!S:S, ""),
    _xlpm.MyAuditVal, _xlfn.XLOOKUP($A1236, My_Audit!$A:$A, My_Audit!P:P, ""),
    _xlfn.TEXTJOIN(", ", TRUE, _xlpm.MyAuditVal, _xlpm.MacVal, _xlpm.CSVVal)
)</f>
        <v/>
      </c>
      <c r="P1236" s="40" t="str" cm="1">
        <f t="array" ref="P1236">IFERROR(_xlfn.LET(
_xlpm.CSVVal,_xlfn.XLOOKUP($A1236,CSV!$A:$A,CSV!AB:AB,""),
_xlpm.MacVal,_xlfn.XLOOKUP($A1236,Output_Mac!$A:$A,Output_Mac!T:T,""),
_xlpm.MyAuditVal,_xlfn.XLOOKUP($A1236,My_Audit!$A:$A,My_Audit!Q:Q,""),
_xlfn.IFS(_xlpm.MyAuditVal&lt;&gt;"",UPPER(_xlpm.MyAuditVal),_xlpm.MacVal&lt;&gt;"",_xlpm.MacVal,_xlpm.CSVVal&lt;&gt;"",_xlpm.CSVVal
)),"No")</f>
        <v>No</v>
      </c>
      <c r="Q1236" s="40" t="str" cm="1">
        <f t="array" ref="Q1236">IFERROR(_xlfn.LET(
_xlpm.CSVVal,_xlfn.XLOOKUP($A1236,CSV!$A:$A,CSV!AC:AC,""),
_xlpm.MacVal,_xlfn.XLOOKUP($A1236,Output_Mac!$A:$A,Output_Mac!U:U,""),
_xlpm.MyAuditVal,_xlfn.XLOOKUP($A1236,My_Audit!$A:$A,My_Audit!R:R,""),
_xlfn.IFS(_xlpm.MyAuditVal&lt;&gt;"",UPPER(_xlpm.MyAuditVal),_xlpm.MacVal&lt;&gt;"",_xlpm.MacVal,_xlpm.CSVVal&lt;&gt;"",_xlpm.CSVVal
)),"")</f>
        <v/>
      </c>
      <c r="R1236" s="40"/>
      <c r="S1236" s="40"/>
      <c r="T1236" s="40"/>
      <c r="U1236" s="40"/>
      <c r="V1236" s="40"/>
      <c r="W1236" s="40"/>
      <c r="X1236" s="41" t="str">
        <f>_xlfn.LET(
    _xlpm.MacVal, _xlfn.XLOOKUP($A1236, Output_Mac!$A:$A, Output_Mac!AB:AB, ""),
    _xlpm.MyAuditVal, _xlfn.XLOOKUP($A1236, My_Audit!$A:$A, My_Audit!N:N, ""),
    _xlfn.TEXTJOIN(", ", TRUE, _xlpm.MyAuditVal, _xlpm.MacVal)
)</f>
        <v/>
      </c>
    </row>
    <row r="1237" spans="1:24">
      <c r="A1237" s="40" t="str">
        <f>_xlfn.TEXTJOIN("",TRUE,Input!$B$2,ROW(My_Audit!A1236))</f>
        <v>X1236</v>
      </c>
      <c r="B1237" s="40" t="str">
        <f>_xlfn.TEXTJOIN("-",TRUE,"ITD",Input!$A$2,A1237)</f>
        <v>ITD-X1236</v>
      </c>
      <c r="C1237" s="40" t="str" cm="1">
        <f t="array" ref="C1237">IFERROR(_xlfn.LET(
_xlpm.CSVVal,_xlfn.XLOOKUP($A1237,CSV!$A:$A,CSV!B:B,""),
_xlpm.MacVal,_xlfn.XLOOKUP($A1237,Output_Mac!$A:$A,Output_Mac!B:B,""),
_xlpm.MyAuditVal,_xlfn.XLOOKUP($A1237,My_Audit!$A:$A,My_Audit!B:B,""),
_xlfn.IFS(_xlpm.MyAuditVal&lt;&gt;"",UPPER(_xlpm.MyAuditVal),_xlpm.MacVal&lt;&gt;"",_xlpm.MacVal,_xlpm.CSVVal&lt;&gt;"",_xlpm.CSVVal
)),"")</f>
        <v/>
      </c>
      <c r="D1237" s="40" t="str" cm="1">
        <f t="array" ref="D1237">IFERROR(_xlfn.LET(
_xlpm.CSVVal,_xlfn.XLOOKUP($A1237,CSV!$A:$A,CSV!D:D,""),
_xlpm.MacVal,_xlfn.XLOOKUP($A1237,Output_Mac!$A:$A,Output_Mac!C:C,""),
_xlpm.MyAuditVal,_xlfn.XLOOKUP($A1237,My_Audit!$A:$A,My_Audit!C:C,""),
_xlfn.IFS(_xlpm.MyAuditVal&lt;&gt;"",_xlpm.MyAuditVal,_xlpm.MacVal&lt;&gt;"",_xlpm.MacVal,_xlpm.CSVVal&lt;&gt;"",_xlpm.CSVVal
)),"")</f>
        <v/>
      </c>
      <c r="E1237" s="40" t="str">
        <f>_xlfn.XLOOKUP(A1237,My_Audit!A:A,My_Audit!D:D,"")</f>
        <v/>
      </c>
      <c r="F1237" s="40" t="str" cm="1">
        <f t="array" ref="F1237">IFERROR(_xlfn.LET(
_xlpm.CSVVal,_xlfn.XLOOKUP($A1237,CSV!$A:$A,CSV!F:F,""),
_xlpm.MacVal,_xlfn.XLOOKUP($A1237,Output_Mac!$A:$A,Output_Mac!E:E,""),
_xlpm.MyAuditVal,_xlfn.XLOOKUP($A1237,My_Audit!$A:$A,My_Audit!E:E,""),
_xlfn.IFS(_xlpm.MyAuditVal&lt;&gt;"",_xlpm.MyAuditVal,_xlpm.MacVal&lt;&gt;"",_xlpm.MacVal,_xlpm.CSVVal&lt;&gt;"",_xlpm.CSVVal
)),"")</f>
        <v/>
      </c>
      <c r="G1237" s="40" t="str" cm="1">
        <f t="array" ref="G1237">IFERROR(_xlfn.LET(
_xlpm.CSVVal,_xlfn.XLOOKUP($A1237,CSV!$A:$A,CSV!G:G,""),
_xlpm.MacVal,_xlfn.XLOOKUP($A1237,Output_Mac!$A:$A,Output_Mac!F:F,""),
_xlpm.MyAuditVal,_xlfn.XLOOKUP($A1237,My_Audit!$A:$A,My_Audit!F:F,""),
_xlfn.IFS(_xlpm.MyAuditVal&lt;&gt;"",_xlpm.MyAuditVal,_xlpm.MacVal&lt;&gt;"",_xlpm.MacVal,_xlpm.CSVVal&lt;&gt;"",PROPER(_xlpm.CSVVal)
)),"")</f>
        <v/>
      </c>
      <c r="H1237" s="40" t="str" cm="1">
        <f t="array" ref="H1237">IFERROR(_xlfn.LET(
_xlpm.CSVVal,_xlfn.XLOOKUP($A1237,CSV!$A:$A,CSV!H:H,""),
_xlpm.MacVal,_xlfn.XLOOKUP($A1237,Output_Mac!$A:$A,Output_Mac!H:H,""),
_xlpm.MyAuditVal,_xlfn.XLOOKUP($A1237,My_Audit!$A:$A,My_Audit!G:G,""),
_xlfn.IFS(_xlpm.MyAuditVal&lt;&gt;"",_xlpm.MyAuditVal,_xlpm.MacVal&lt;&gt;"",_xlpm.MacVal,_xlpm.CSVVal&lt;&gt;"",_xlpm.CSVVal
)),"")</f>
        <v/>
      </c>
      <c r="I1237" s="40" t="str">
        <f>_xlfn.XLOOKUP(A1237,Output_Mac!A:A,Output_Mac!I:I,"")</f>
        <v/>
      </c>
      <c r="J1237" s="40" t="str" cm="1">
        <f t="array" ref="J1237">IFERROR(_xlfn.LET(
_xlpm.CSVVal,_xlfn.XLOOKUP($A1237,CSV!$A:$A,CSV!I:I,""),
_xlpm.MacVal,_xlfn.XLOOKUP($A1237,Output_Mac!$A:$A,Output_Mac!J:J,""),
_xlpm.MyAuditVal,_xlfn.XLOOKUP($A1237,My_Audit!$A:$A,My_Audit!I:I,""),
_xlfn.IFS(_xlpm.MyAuditVal&lt;&gt;"",UPPER(_xlpm.MyAuditVal),_xlpm.MacVal&lt;&gt;"",_xlpm.MacVal,_xlpm.CSVVal&lt;&gt;"",_xlpm.CSVVal
)),"")</f>
        <v/>
      </c>
      <c r="K1237" s="40" t="str" cm="1">
        <f t="array" ref="K1237">IFERROR(_xlfn.LET(
_xlpm.CSVVal,_xlfn.XLOOKUP($A1237,CSV!$A:$A,CSV!K:K,""),
_xlpm.MacVal,_xlfn.XLOOKUP($A1237,Output_Mac!$A:$A,Output_Mac!K:K,""),
_xlpm.MyAuditVal,_xlfn.XLOOKUP($A1237,My_Audit!$A:$A,My_Audit!J:J,""),
_xlfn.IFS(_xlpm.MyAuditVal&lt;&gt;"",UPPER(_xlpm.MyAuditVal),_xlpm.MacVal&lt;&gt;"",_xlpm.MacVal,_xlpm.CSVVal&lt;&gt;"",_xlpm.CSVVal
)),"")</f>
        <v/>
      </c>
      <c r="L1237" s="40" t="str" cm="1">
        <f t="array" ref="L1237">IFERROR(_xlfn.LET(
_xlpm.CSVVal,_xlfn.XLOOKUP($A1237,CSV!$A:$A,CSV!P:P,""),
_xlpm.MacVal,_xlfn.XLOOKUP($A1237,Output_Mac!$A:$A,Output_Mac!L:L,""),
_xlpm.MyAuditVal,_xlfn.XLOOKUP($A1237,My_Audit!$A:$A,My_Audit!K:K,""),
_xlfn.IFS(_xlpm.MyAuditVal&lt;&gt;"",UPPER(_xlpm.MyAuditVal),_xlpm.MacVal&lt;&gt;"",_xlpm.MacVal,_xlpm.CSVVal&lt;&gt;"",_xlpm.CSVVal
)),"")</f>
        <v/>
      </c>
      <c r="M1237" s="40" t="str" cm="1">
        <f t="array" ref="M1237">IFERROR(_xlfn.LET(
_xlpm.CSVVal,_xlfn.XLOOKUP($A1237,CSV!$A:$A,CSV!Q:Q,""),
_xlpm.MacVal,_xlfn.XLOOKUP($A1237,Output_Mac!$A:$A,Output_Mac!M:M,""),
_xlpm.MyAuditVal,_xlfn.XLOOKUP($A1237,My_Audit!$A:$A,My_Audit!L:L,""),
_xlfn.IFS(_xlpm.MyAuditVal&lt;&gt;"",UPPER(_xlpm.MyAuditVal),_xlpm.MacVal&lt;&gt;"",_xlpm.MacVal,_xlpm.CSVVal&lt;&gt;"",_xlpm.CSVVal
)),"")</f>
        <v/>
      </c>
      <c r="N1237" s="40"/>
      <c r="O1237" s="40" t="str">
        <f>_xlfn.LET(
    _xlpm.CSVVal, _xlfn.XLOOKUP($A1237, CSV!$A:$A, CSV!AA:AA, ""),
    _xlpm.MacVal, _xlfn.XLOOKUP($A1237, Output_Mac!$A:$A, Output_Mac!S:S, ""),
    _xlpm.MyAuditVal, _xlfn.XLOOKUP($A1237, My_Audit!$A:$A, My_Audit!P:P, ""),
    _xlfn.TEXTJOIN(", ", TRUE, _xlpm.MyAuditVal, _xlpm.MacVal, _xlpm.CSVVal)
)</f>
        <v/>
      </c>
      <c r="P1237" s="40" t="str" cm="1">
        <f t="array" ref="P1237">IFERROR(_xlfn.LET(
_xlpm.CSVVal,_xlfn.XLOOKUP($A1237,CSV!$A:$A,CSV!AB:AB,""),
_xlpm.MacVal,_xlfn.XLOOKUP($A1237,Output_Mac!$A:$A,Output_Mac!T:T,""),
_xlpm.MyAuditVal,_xlfn.XLOOKUP($A1237,My_Audit!$A:$A,My_Audit!Q:Q,""),
_xlfn.IFS(_xlpm.MyAuditVal&lt;&gt;"",UPPER(_xlpm.MyAuditVal),_xlpm.MacVal&lt;&gt;"",_xlpm.MacVal,_xlpm.CSVVal&lt;&gt;"",_xlpm.CSVVal
)),"No")</f>
        <v>No</v>
      </c>
      <c r="Q1237" s="40" t="str" cm="1">
        <f t="array" ref="Q1237">IFERROR(_xlfn.LET(
_xlpm.CSVVal,_xlfn.XLOOKUP($A1237,CSV!$A:$A,CSV!AC:AC,""),
_xlpm.MacVal,_xlfn.XLOOKUP($A1237,Output_Mac!$A:$A,Output_Mac!U:U,""),
_xlpm.MyAuditVal,_xlfn.XLOOKUP($A1237,My_Audit!$A:$A,My_Audit!R:R,""),
_xlfn.IFS(_xlpm.MyAuditVal&lt;&gt;"",UPPER(_xlpm.MyAuditVal),_xlpm.MacVal&lt;&gt;"",_xlpm.MacVal,_xlpm.CSVVal&lt;&gt;"",_xlpm.CSVVal
)),"")</f>
        <v/>
      </c>
      <c r="R1237" s="40"/>
      <c r="S1237" s="40"/>
      <c r="T1237" s="40"/>
      <c r="U1237" s="40"/>
      <c r="V1237" s="40"/>
      <c r="W1237" s="40"/>
      <c r="X1237" s="41" t="str">
        <f>_xlfn.LET(
    _xlpm.MacVal, _xlfn.XLOOKUP($A1237, Output_Mac!$A:$A, Output_Mac!AB:AB, ""),
    _xlpm.MyAuditVal, _xlfn.XLOOKUP($A1237, My_Audit!$A:$A, My_Audit!N:N, ""),
    _xlfn.TEXTJOIN(", ", TRUE, _xlpm.MyAuditVal, _xlpm.MacVal)
)</f>
        <v/>
      </c>
    </row>
    <row r="1238" spans="1:24">
      <c r="A1238" s="40" t="str">
        <f>_xlfn.TEXTJOIN("",TRUE,Input!$B$2,ROW(My_Audit!A1237))</f>
        <v>X1237</v>
      </c>
      <c r="B1238" s="40" t="str">
        <f>_xlfn.TEXTJOIN("-",TRUE,"ITD",Input!$A$2,A1238)</f>
        <v>ITD-X1237</v>
      </c>
      <c r="C1238" s="40" t="str" cm="1">
        <f t="array" ref="C1238">IFERROR(_xlfn.LET(
_xlpm.CSVVal,_xlfn.XLOOKUP($A1238,CSV!$A:$A,CSV!B:B,""),
_xlpm.MacVal,_xlfn.XLOOKUP($A1238,Output_Mac!$A:$A,Output_Mac!B:B,""),
_xlpm.MyAuditVal,_xlfn.XLOOKUP($A1238,My_Audit!$A:$A,My_Audit!B:B,""),
_xlfn.IFS(_xlpm.MyAuditVal&lt;&gt;"",UPPER(_xlpm.MyAuditVal),_xlpm.MacVal&lt;&gt;"",_xlpm.MacVal,_xlpm.CSVVal&lt;&gt;"",_xlpm.CSVVal
)),"")</f>
        <v/>
      </c>
      <c r="D1238" s="40" t="str" cm="1">
        <f t="array" ref="D1238">IFERROR(_xlfn.LET(
_xlpm.CSVVal,_xlfn.XLOOKUP($A1238,CSV!$A:$A,CSV!D:D,""),
_xlpm.MacVal,_xlfn.XLOOKUP($A1238,Output_Mac!$A:$A,Output_Mac!C:C,""),
_xlpm.MyAuditVal,_xlfn.XLOOKUP($A1238,My_Audit!$A:$A,My_Audit!C:C,""),
_xlfn.IFS(_xlpm.MyAuditVal&lt;&gt;"",_xlpm.MyAuditVal,_xlpm.MacVal&lt;&gt;"",_xlpm.MacVal,_xlpm.CSVVal&lt;&gt;"",_xlpm.CSVVal
)),"")</f>
        <v/>
      </c>
      <c r="E1238" s="40" t="str">
        <f>_xlfn.XLOOKUP(A1238,My_Audit!A:A,My_Audit!D:D,"")</f>
        <v/>
      </c>
      <c r="F1238" s="40" t="str" cm="1">
        <f t="array" ref="F1238">IFERROR(_xlfn.LET(
_xlpm.CSVVal,_xlfn.XLOOKUP($A1238,CSV!$A:$A,CSV!F:F,""),
_xlpm.MacVal,_xlfn.XLOOKUP($A1238,Output_Mac!$A:$A,Output_Mac!E:E,""),
_xlpm.MyAuditVal,_xlfn.XLOOKUP($A1238,My_Audit!$A:$A,My_Audit!E:E,""),
_xlfn.IFS(_xlpm.MyAuditVal&lt;&gt;"",_xlpm.MyAuditVal,_xlpm.MacVal&lt;&gt;"",_xlpm.MacVal,_xlpm.CSVVal&lt;&gt;"",_xlpm.CSVVal
)),"")</f>
        <v/>
      </c>
      <c r="G1238" s="40" t="str" cm="1">
        <f t="array" ref="G1238">IFERROR(_xlfn.LET(
_xlpm.CSVVal,_xlfn.XLOOKUP($A1238,CSV!$A:$A,CSV!G:G,""),
_xlpm.MacVal,_xlfn.XLOOKUP($A1238,Output_Mac!$A:$A,Output_Mac!F:F,""),
_xlpm.MyAuditVal,_xlfn.XLOOKUP($A1238,My_Audit!$A:$A,My_Audit!F:F,""),
_xlfn.IFS(_xlpm.MyAuditVal&lt;&gt;"",_xlpm.MyAuditVal,_xlpm.MacVal&lt;&gt;"",_xlpm.MacVal,_xlpm.CSVVal&lt;&gt;"",PROPER(_xlpm.CSVVal)
)),"")</f>
        <v/>
      </c>
      <c r="H1238" s="40" t="str" cm="1">
        <f t="array" ref="H1238">IFERROR(_xlfn.LET(
_xlpm.CSVVal,_xlfn.XLOOKUP($A1238,CSV!$A:$A,CSV!H:H,""),
_xlpm.MacVal,_xlfn.XLOOKUP($A1238,Output_Mac!$A:$A,Output_Mac!H:H,""),
_xlpm.MyAuditVal,_xlfn.XLOOKUP($A1238,My_Audit!$A:$A,My_Audit!G:G,""),
_xlfn.IFS(_xlpm.MyAuditVal&lt;&gt;"",_xlpm.MyAuditVal,_xlpm.MacVal&lt;&gt;"",_xlpm.MacVal,_xlpm.CSVVal&lt;&gt;"",_xlpm.CSVVal
)),"")</f>
        <v/>
      </c>
      <c r="I1238" s="40" t="str">
        <f>_xlfn.XLOOKUP(A1238,Output_Mac!A:A,Output_Mac!I:I,"")</f>
        <v/>
      </c>
      <c r="J1238" s="40" t="str" cm="1">
        <f t="array" ref="J1238">IFERROR(_xlfn.LET(
_xlpm.CSVVal,_xlfn.XLOOKUP($A1238,CSV!$A:$A,CSV!I:I,""),
_xlpm.MacVal,_xlfn.XLOOKUP($A1238,Output_Mac!$A:$A,Output_Mac!J:J,""),
_xlpm.MyAuditVal,_xlfn.XLOOKUP($A1238,My_Audit!$A:$A,My_Audit!I:I,""),
_xlfn.IFS(_xlpm.MyAuditVal&lt;&gt;"",UPPER(_xlpm.MyAuditVal),_xlpm.MacVal&lt;&gt;"",_xlpm.MacVal,_xlpm.CSVVal&lt;&gt;"",_xlpm.CSVVal
)),"")</f>
        <v/>
      </c>
      <c r="K1238" s="40" t="str" cm="1">
        <f t="array" ref="K1238">IFERROR(_xlfn.LET(
_xlpm.CSVVal,_xlfn.XLOOKUP($A1238,CSV!$A:$A,CSV!K:K,""),
_xlpm.MacVal,_xlfn.XLOOKUP($A1238,Output_Mac!$A:$A,Output_Mac!K:K,""),
_xlpm.MyAuditVal,_xlfn.XLOOKUP($A1238,My_Audit!$A:$A,My_Audit!J:J,""),
_xlfn.IFS(_xlpm.MyAuditVal&lt;&gt;"",UPPER(_xlpm.MyAuditVal),_xlpm.MacVal&lt;&gt;"",_xlpm.MacVal,_xlpm.CSVVal&lt;&gt;"",_xlpm.CSVVal
)),"")</f>
        <v/>
      </c>
      <c r="L1238" s="40" t="str" cm="1">
        <f t="array" ref="L1238">IFERROR(_xlfn.LET(
_xlpm.CSVVal,_xlfn.XLOOKUP($A1238,CSV!$A:$A,CSV!P:P,""),
_xlpm.MacVal,_xlfn.XLOOKUP($A1238,Output_Mac!$A:$A,Output_Mac!L:L,""),
_xlpm.MyAuditVal,_xlfn.XLOOKUP($A1238,My_Audit!$A:$A,My_Audit!K:K,""),
_xlfn.IFS(_xlpm.MyAuditVal&lt;&gt;"",UPPER(_xlpm.MyAuditVal),_xlpm.MacVal&lt;&gt;"",_xlpm.MacVal,_xlpm.CSVVal&lt;&gt;"",_xlpm.CSVVal
)),"")</f>
        <v/>
      </c>
      <c r="M1238" s="40" t="str" cm="1">
        <f t="array" ref="M1238">IFERROR(_xlfn.LET(
_xlpm.CSVVal,_xlfn.XLOOKUP($A1238,CSV!$A:$A,CSV!Q:Q,""),
_xlpm.MacVal,_xlfn.XLOOKUP($A1238,Output_Mac!$A:$A,Output_Mac!M:M,""),
_xlpm.MyAuditVal,_xlfn.XLOOKUP($A1238,My_Audit!$A:$A,My_Audit!L:L,""),
_xlfn.IFS(_xlpm.MyAuditVal&lt;&gt;"",UPPER(_xlpm.MyAuditVal),_xlpm.MacVal&lt;&gt;"",_xlpm.MacVal,_xlpm.CSVVal&lt;&gt;"",_xlpm.CSVVal
)),"")</f>
        <v/>
      </c>
      <c r="N1238" s="40"/>
      <c r="O1238" s="40" t="str">
        <f>_xlfn.LET(
    _xlpm.CSVVal, _xlfn.XLOOKUP($A1238, CSV!$A:$A, CSV!AA:AA, ""),
    _xlpm.MacVal, _xlfn.XLOOKUP($A1238, Output_Mac!$A:$A, Output_Mac!S:S, ""),
    _xlpm.MyAuditVal, _xlfn.XLOOKUP($A1238, My_Audit!$A:$A, My_Audit!P:P, ""),
    _xlfn.TEXTJOIN(", ", TRUE, _xlpm.MyAuditVal, _xlpm.MacVal, _xlpm.CSVVal)
)</f>
        <v/>
      </c>
      <c r="P1238" s="40" t="str" cm="1">
        <f t="array" ref="P1238">IFERROR(_xlfn.LET(
_xlpm.CSVVal,_xlfn.XLOOKUP($A1238,CSV!$A:$A,CSV!AB:AB,""),
_xlpm.MacVal,_xlfn.XLOOKUP($A1238,Output_Mac!$A:$A,Output_Mac!T:T,""),
_xlpm.MyAuditVal,_xlfn.XLOOKUP($A1238,My_Audit!$A:$A,My_Audit!Q:Q,""),
_xlfn.IFS(_xlpm.MyAuditVal&lt;&gt;"",UPPER(_xlpm.MyAuditVal),_xlpm.MacVal&lt;&gt;"",_xlpm.MacVal,_xlpm.CSVVal&lt;&gt;"",_xlpm.CSVVal
)),"No")</f>
        <v>No</v>
      </c>
      <c r="Q1238" s="40" t="str" cm="1">
        <f t="array" ref="Q1238">IFERROR(_xlfn.LET(
_xlpm.CSVVal,_xlfn.XLOOKUP($A1238,CSV!$A:$A,CSV!AC:AC,""),
_xlpm.MacVal,_xlfn.XLOOKUP($A1238,Output_Mac!$A:$A,Output_Mac!U:U,""),
_xlpm.MyAuditVal,_xlfn.XLOOKUP($A1238,My_Audit!$A:$A,My_Audit!R:R,""),
_xlfn.IFS(_xlpm.MyAuditVal&lt;&gt;"",UPPER(_xlpm.MyAuditVal),_xlpm.MacVal&lt;&gt;"",_xlpm.MacVal,_xlpm.CSVVal&lt;&gt;"",_xlpm.CSVVal
)),"")</f>
        <v/>
      </c>
      <c r="R1238" s="40"/>
      <c r="S1238" s="40"/>
      <c r="T1238" s="40"/>
      <c r="U1238" s="40"/>
      <c r="V1238" s="40"/>
      <c r="W1238" s="40"/>
      <c r="X1238" s="41" t="str">
        <f>_xlfn.LET(
    _xlpm.MacVal, _xlfn.XLOOKUP($A1238, Output_Mac!$A:$A, Output_Mac!AB:AB, ""),
    _xlpm.MyAuditVal, _xlfn.XLOOKUP($A1238, My_Audit!$A:$A, My_Audit!N:N, ""),
    _xlfn.TEXTJOIN(", ", TRUE, _xlpm.MyAuditVal, _xlpm.MacVal)
)</f>
        <v/>
      </c>
    </row>
    <row r="1239" spans="1:24">
      <c r="A1239" s="40" t="str">
        <f>_xlfn.TEXTJOIN("",TRUE,Input!$B$2,ROW(My_Audit!A1238))</f>
        <v>X1238</v>
      </c>
      <c r="B1239" s="40" t="str">
        <f>_xlfn.TEXTJOIN("-",TRUE,"ITD",Input!$A$2,A1239)</f>
        <v>ITD-X1238</v>
      </c>
      <c r="C1239" s="40" t="str" cm="1">
        <f t="array" ref="C1239">IFERROR(_xlfn.LET(
_xlpm.CSVVal,_xlfn.XLOOKUP($A1239,CSV!$A:$A,CSV!B:B,""),
_xlpm.MacVal,_xlfn.XLOOKUP($A1239,Output_Mac!$A:$A,Output_Mac!B:B,""),
_xlpm.MyAuditVal,_xlfn.XLOOKUP($A1239,My_Audit!$A:$A,My_Audit!B:B,""),
_xlfn.IFS(_xlpm.MyAuditVal&lt;&gt;"",UPPER(_xlpm.MyAuditVal),_xlpm.MacVal&lt;&gt;"",_xlpm.MacVal,_xlpm.CSVVal&lt;&gt;"",_xlpm.CSVVal
)),"")</f>
        <v/>
      </c>
      <c r="D1239" s="40" t="str" cm="1">
        <f t="array" ref="D1239">IFERROR(_xlfn.LET(
_xlpm.CSVVal,_xlfn.XLOOKUP($A1239,CSV!$A:$A,CSV!D:D,""),
_xlpm.MacVal,_xlfn.XLOOKUP($A1239,Output_Mac!$A:$A,Output_Mac!C:C,""),
_xlpm.MyAuditVal,_xlfn.XLOOKUP($A1239,My_Audit!$A:$A,My_Audit!C:C,""),
_xlfn.IFS(_xlpm.MyAuditVal&lt;&gt;"",_xlpm.MyAuditVal,_xlpm.MacVal&lt;&gt;"",_xlpm.MacVal,_xlpm.CSVVal&lt;&gt;"",_xlpm.CSVVal
)),"")</f>
        <v/>
      </c>
      <c r="E1239" s="40" t="str">
        <f>_xlfn.XLOOKUP(A1239,My_Audit!A:A,My_Audit!D:D,"")</f>
        <v/>
      </c>
      <c r="F1239" s="40" t="str" cm="1">
        <f t="array" ref="F1239">IFERROR(_xlfn.LET(
_xlpm.CSVVal,_xlfn.XLOOKUP($A1239,CSV!$A:$A,CSV!F:F,""),
_xlpm.MacVal,_xlfn.XLOOKUP($A1239,Output_Mac!$A:$A,Output_Mac!E:E,""),
_xlpm.MyAuditVal,_xlfn.XLOOKUP($A1239,My_Audit!$A:$A,My_Audit!E:E,""),
_xlfn.IFS(_xlpm.MyAuditVal&lt;&gt;"",_xlpm.MyAuditVal,_xlpm.MacVal&lt;&gt;"",_xlpm.MacVal,_xlpm.CSVVal&lt;&gt;"",_xlpm.CSVVal
)),"")</f>
        <v/>
      </c>
      <c r="G1239" s="40" t="str" cm="1">
        <f t="array" ref="G1239">IFERROR(_xlfn.LET(
_xlpm.CSVVal,_xlfn.XLOOKUP($A1239,CSV!$A:$A,CSV!G:G,""),
_xlpm.MacVal,_xlfn.XLOOKUP($A1239,Output_Mac!$A:$A,Output_Mac!F:F,""),
_xlpm.MyAuditVal,_xlfn.XLOOKUP($A1239,My_Audit!$A:$A,My_Audit!F:F,""),
_xlfn.IFS(_xlpm.MyAuditVal&lt;&gt;"",_xlpm.MyAuditVal,_xlpm.MacVal&lt;&gt;"",_xlpm.MacVal,_xlpm.CSVVal&lt;&gt;"",PROPER(_xlpm.CSVVal)
)),"")</f>
        <v/>
      </c>
      <c r="H1239" s="40" t="str" cm="1">
        <f t="array" ref="H1239">IFERROR(_xlfn.LET(
_xlpm.CSVVal,_xlfn.XLOOKUP($A1239,CSV!$A:$A,CSV!H:H,""),
_xlpm.MacVal,_xlfn.XLOOKUP($A1239,Output_Mac!$A:$A,Output_Mac!H:H,""),
_xlpm.MyAuditVal,_xlfn.XLOOKUP($A1239,My_Audit!$A:$A,My_Audit!G:G,""),
_xlfn.IFS(_xlpm.MyAuditVal&lt;&gt;"",_xlpm.MyAuditVal,_xlpm.MacVal&lt;&gt;"",_xlpm.MacVal,_xlpm.CSVVal&lt;&gt;"",_xlpm.CSVVal
)),"")</f>
        <v/>
      </c>
      <c r="I1239" s="40" t="str">
        <f>_xlfn.XLOOKUP(A1239,Output_Mac!A:A,Output_Mac!I:I,"")</f>
        <v/>
      </c>
      <c r="J1239" s="40" t="str" cm="1">
        <f t="array" ref="J1239">IFERROR(_xlfn.LET(
_xlpm.CSVVal,_xlfn.XLOOKUP($A1239,CSV!$A:$A,CSV!I:I,""),
_xlpm.MacVal,_xlfn.XLOOKUP($A1239,Output_Mac!$A:$A,Output_Mac!J:J,""),
_xlpm.MyAuditVal,_xlfn.XLOOKUP($A1239,My_Audit!$A:$A,My_Audit!I:I,""),
_xlfn.IFS(_xlpm.MyAuditVal&lt;&gt;"",UPPER(_xlpm.MyAuditVal),_xlpm.MacVal&lt;&gt;"",_xlpm.MacVal,_xlpm.CSVVal&lt;&gt;"",_xlpm.CSVVal
)),"")</f>
        <v/>
      </c>
      <c r="K1239" s="40" t="str" cm="1">
        <f t="array" ref="K1239">IFERROR(_xlfn.LET(
_xlpm.CSVVal,_xlfn.XLOOKUP($A1239,CSV!$A:$A,CSV!K:K,""),
_xlpm.MacVal,_xlfn.XLOOKUP($A1239,Output_Mac!$A:$A,Output_Mac!K:K,""),
_xlpm.MyAuditVal,_xlfn.XLOOKUP($A1239,My_Audit!$A:$A,My_Audit!J:J,""),
_xlfn.IFS(_xlpm.MyAuditVal&lt;&gt;"",UPPER(_xlpm.MyAuditVal),_xlpm.MacVal&lt;&gt;"",_xlpm.MacVal,_xlpm.CSVVal&lt;&gt;"",_xlpm.CSVVal
)),"")</f>
        <v/>
      </c>
      <c r="L1239" s="40" t="str" cm="1">
        <f t="array" ref="L1239">IFERROR(_xlfn.LET(
_xlpm.CSVVal,_xlfn.XLOOKUP($A1239,CSV!$A:$A,CSV!P:P,""),
_xlpm.MacVal,_xlfn.XLOOKUP($A1239,Output_Mac!$A:$A,Output_Mac!L:L,""),
_xlpm.MyAuditVal,_xlfn.XLOOKUP($A1239,My_Audit!$A:$A,My_Audit!K:K,""),
_xlfn.IFS(_xlpm.MyAuditVal&lt;&gt;"",UPPER(_xlpm.MyAuditVal),_xlpm.MacVal&lt;&gt;"",_xlpm.MacVal,_xlpm.CSVVal&lt;&gt;"",_xlpm.CSVVal
)),"")</f>
        <v/>
      </c>
      <c r="M1239" s="40" t="str" cm="1">
        <f t="array" ref="M1239">IFERROR(_xlfn.LET(
_xlpm.CSVVal,_xlfn.XLOOKUP($A1239,CSV!$A:$A,CSV!Q:Q,""),
_xlpm.MacVal,_xlfn.XLOOKUP($A1239,Output_Mac!$A:$A,Output_Mac!M:M,""),
_xlpm.MyAuditVal,_xlfn.XLOOKUP($A1239,My_Audit!$A:$A,My_Audit!L:L,""),
_xlfn.IFS(_xlpm.MyAuditVal&lt;&gt;"",UPPER(_xlpm.MyAuditVal),_xlpm.MacVal&lt;&gt;"",_xlpm.MacVal,_xlpm.CSVVal&lt;&gt;"",_xlpm.CSVVal
)),"")</f>
        <v/>
      </c>
      <c r="N1239" s="40"/>
      <c r="O1239" s="40" t="str">
        <f>_xlfn.LET(
    _xlpm.CSVVal, _xlfn.XLOOKUP($A1239, CSV!$A:$A, CSV!AA:AA, ""),
    _xlpm.MacVal, _xlfn.XLOOKUP($A1239, Output_Mac!$A:$A, Output_Mac!S:S, ""),
    _xlpm.MyAuditVal, _xlfn.XLOOKUP($A1239, My_Audit!$A:$A, My_Audit!P:P, ""),
    _xlfn.TEXTJOIN(", ", TRUE, _xlpm.MyAuditVal, _xlpm.MacVal, _xlpm.CSVVal)
)</f>
        <v/>
      </c>
      <c r="P1239" s="40" t="str" cm="1">
        <f t="array" ref="P1239">IFERROR(_xlfn.LET(
_xlpm.CSVVal,_xlfn.XLOOKUP($A1239,CSV!$A:$A,CSV!AB:AB,""),
_xlpm.MacVal,_xlfn.XLOOKUP($A1239,Output_Mac!$A:$A,Output_Mac!T:T,""),
_xlpm.MyAuditVal,_xlfn.XLOOKUP($A1239,My_Audit!$A:$A,My_Audit!Q:Q,""),
_xlfn.IFS(_xlpm.MyAuditVal&lt;&gt;"",UPPER(_xlpm.MyAuditVal),_xlpm.MacVal&lt;&gt;"",_xlpm.MacVal,_xlpm.CSVVal&lt;&gt;"",_xlpm.CSVVal
)),"No")</f>
        <v>No</v>
      </c>
      <c r="Q1239" s="40" t="str" cm="1">
        <f t="array" ref="Q1239">IFERROR(_xlfn.LET(
_xlpm.CSVVal,_xlfn.XLOOKUP($A1239,CSV!$A:$A,CSV!AC:AC,""),
_xlpm.MacVal,_xlfn.XLOOKUP($A1239,Output_Mac!$A:$A,Output_Mac!U:U,""),
_xlpm.MyAuditVal,_xlfn.XLOOKUP($A1239,My_Audit!$A:$A,My_Audit!R:R,""),
_xlfn.IFS(_xlpm.MyAuditVal&lt;&gt;"",UPPER(_xlpm.MyAuditVal),_xlpm.MacVal&lt;&gt;"",_xlpm.MacVal,_xlpm.CSVVal&lt;&gt;"",_xlpm.CSVVal
)),"")</f>
        <v/>
      </c>
      <c r="R1239" s="40"/>
      <c r="S1239" s="40"/>
      <c r="T1239" s="40"/>
      <c r="U1239" s="40"/>
      <c r="V1239" s="40"/>
      <c r="W1239" s="40"/>
      <c r="X1239" s="41" t="str">
        <f>_xlfn.LET(
    _xlpm.MacVal, _xlfn.XLOOKUP($A1239, Output_Mac!$A:$A, Output_Mac!AB:AB, ""),
    _xlpm.MyAuditVal, _xlfn.XLOOKUP($A1239, My_Audit!$A:$A, My_Audit!N:N, ""),
    _xlfn.TEXTJOIN(", ", TRUE, _xlpm.MyAuditVal, _xlpm.MacVal)
)</f>
        <v/>
      </c>
    </row>
    <row r="1240" spans="1:24">
      <c r="A1240" s="40" t="str">
        <f>_xlfn.TEXTJOIN("",TRUE,Input!$B$2,ROW(My_Audit!A1239))</f>
        <v>X1239</v>
      </c>
      <c r="B1240" s="40" t="str">
        <f>_xlfn.TEXTJOIN("-",TRUE,"ITD",Input!$A$2,A1240)</f>
        <v>ITD-X1239</v>
      </c>
      <c r="C1240" s="40" t="str" cm="1">
        <f t="array" ref="C1240">IFERROR(_xlfn.LET(
_xlpm.CSVVal,_xlfn.XLOOKUP($A1240,CSV!$A:$A,CSV!B:B,""),
_xlpm.MacVal,_xlfn.XLOOKUP($A1240,Output_Mac!$A:$A,Output_Mac!B:B,""),
_xlpm.MyAuditVal,_xlfn.XLOOKUP($A1240,My_Audit!$A:$A,My_Audit!B:B,""),
_xlfn.IFS(_xlpm.MyAuditVal&lt;&gt;"",UPPER(_xlpm.MyAuditVal),_xlpm.MacVal&lt;&gt;"",_xlpm.MacVal,_xlpm.CSVVal&lt;&gt;"",_xlpm.CSVVal
)),"")</f>
        <v/>
      </c>
      <c r="D1240" s="40" t="str" cm="1">
        <f t="array" ref="D1240">IFERROR(_xlfn.LET(
_xlpm.CSVVal,_xlfn.XLOOKUP($A1240,CSV!$A:$A,CSV!D:D,""),
_xlpm.MacVal,_xlfn.XLOOKUP($A1240,Output_Mac!$A:$A,Output_Mac!C:C,""),
_xlpm.MyAuditVal,_xlfn.XLOOKUP($A1240,My_Audit!$A:$A,My_Audit!C:C,""),
_xlfn.IFS(_xlpm.MyAuditVal&lt;&gt;"",_xlpm.MyAuditVal,_xlpm.MacVal&lt;&gt;"",_xlpm.MacVal,_xlpm.CSVVal&lt;&gt;"",_xlpm.CSVVal
)),"")</f>
        <v/>
      </c>
      <c r="E1240" s="40" t="str">
        <f>_xlfn.XLOOKUP(A1240,My_Audit!A:A,My_Audit!D:D,"")</f>
        <v/>
      </c>
      <c r="F1240" s="40" t="str" cm="1">
        <f t="array" ref="F1240">IFERROR(_xlfn.LET(
_xlpm.CSVVal,_xlfn.XLOOKUP($A1240,CSV!$A:$A,CSV!F:F,""),
_xlpm.MacVal,_xlfn.XLOOKUP($A1240,Output_Mac!$A:$A,Output_Mac!E:E,""),
_xlpm.MyAuditVal,_xlfn.XLOOKUP($A1240,My_Audit!$A:$A,My_Audit!E:E,""),
_xlfn.IFS(_xlpm.MyAuditVal&lt;&gt;"",_xlpm.MyAuditVal,_xlpm.MacVal&lt;&gt;"",_xlpm.MacVal,_xlpm.CSVVal&lt;&gt;"",_xlpm.CSVVal
)),"")</f>
        <v/>
      </c>
      <c r="G1240" s="40" t="str" cm="1">
        <f t="array" ref="G1240">IFERROR(_xlfn.LET(
_xlpm.CSVVal,_xlfn.XLOOKUP($A1240,CSV!$A:$A,CSV!G:G,""),
_xlpm.MacVal,_xlfn.XLOOKUP($A1240,Output_Mac!$A:$A,Output_Mac!F:F,""),
_xlpm.MyAuditVal,_xlfn.XLOOKUP($A1240,My_Audit!$A:$A,My_Audit!F:F,""),
_xlfn.IFS(_xlpm.MyAuditVal&lt;&gt;"",_xlpm.MyAuditVal,_xlpm.MacVal&lt;&gt;"",_xlpm.MacVal,_xlpm.CSVVal&lt;&gt;"",PROPER(_xlpm.CSVVal)
)),"")</f>
        <v/>
      </c>
      <c r="H1240" s="40" t="str" cm="1">
        <f t="array" ref="H1240">IFERROR(_xlfn.LET(
_xlpm.CSVVal,_xlfn.XLOOKUP($A1240,CSV!$A:$A,CSV!H:H,""),
_xlpm.MacVal,_xlfn.XLOOKUP($A1240,Output_Mac!$A:$A,Output_Mac!H:H,""),
_xlpm.MyAuditVal,_xlfn.XLOOKUP($A1240,My_Audit!$A:$A,My_Audit!G:G,""),
_xlfn.IFS(_xlpm.MyAuditVal&lt;&gt;"",_xlpm.MyAuditVal,_xlpm.MacVal&lt;&gt;"",_xlpm.MacVal,_xlpm.CSVVal&lt;&gt;"",_xlpm.CSVVal
)),"")</f>
        <v/>
      </c>
      <c r="I1240" s="40" t="str">
        <f>_xlfn.XLOOKUP(A1240,Output_Mac!A:A,Output_Mac!I:I,"")</f>
        <v/>
      </c>
      <c r="J1240" s="40" t="str" cm="1">
        <f t="array" ref="J1240">IFERROR(_xlfn.LET(
_xlpm.CSVVal,_xlfn.XLOOKUP($A1240,CSV!$A:$A,CSV!I:I,""),
_xlpm.MacVal,_xlfn.XLOOKUP($A1240,Output_Mac!$A:$A,Output_Mac!J:J,""),
_xlpm.MyAuditVal,_xlfn.XLOOKUP($A1240,My_Audit!$A:$A,My_Audit!I:I,""),
_xlfn.IFS(_xlpm.MyAuditVal&lt;&gt;"",UPPER(_xlpm.MyAuditVal),_xlpm.MacVal&lt;&gt;"",_xlpm.MacVal,_xlpm.CSVVal&lt;&gt;"",_xlpm.CSVVal
)),"")</f>
        <v/>
      </c>
      <c r="K1240" s="40" t="str" cm="1">
        <f t="array" ref="K1240">IFERROR(_xlfn.LET(
_xlpm.CSVVal,_xlfn.XLOOKUP($A1240,CSV!$A:$A,CSV!K:K,""),
_xlpm.MacVal,_xlfn.XLOOKUP($A1240,Output_Mac!$A:$A,Output_Mac!K:K,""),
_xlpm.MyAuditVal,_xlfn.XLOOKUP($A1240,My_Audit!$A:$A,My_Audit!J:J,""),
_xlfn.IFS(_xlpm.MyAuditVal&lt;&gt;"",UPPER(_xlpm.MyAuditVal),_xlpm.MacVal&lt;&gt;"",_xlpm.MacVal,_xlpm.CSVVal&lt;&gt;"",_xlpm.CSVVal
)),"")</f>
        <v/>
      </c>
      <c r="L1240" s="40" t="str" cm="1">
        <f t="array" ref="L1240">IFERROR(_xlfn.LET(
_xlpm.CSVVal,_xlfn.XLOOKUP($A1240,CSV!$A:$A,CSV!P:P,""),
_xlpm.MacVal,_xlfn.XLOOKUP($A1240,Output_Mac!$A:$A,Output_Mac!L:L,""),
_xlpm.MyAuditVal,_xlfn.XLOOKUP($A1240,My_Audit!$A:$A,My_Audit!K:K,""),
_xlfn.IFS(_xlpm.MyAuditVal&lt;&gt;"",UPPER(_xlpm.MyAuditVal),_xlpm.MacVal&lt;&gt;"",_xlpm.MacVal,_xlpm.CSVVal&lt;&gt;"",_xlpm.CSVVal
)),"")</f>
        <v/>
      </c>
      <c r="M1240" s="40" t="str" cm="1">
        <f t="array" ref="M1240">IFERROR(_xlfn.LET(
_xlpm.CSVVal,_xlfn.XLOOKUP($A1240,CSV!$A:$A,CSV!Q:Q,""),
_xlpm.MacVal,_xlfn.XLOOKUP($A1240,Output_Mac!$A:$A,Output_Mac!M:M,""),
_xlpm.MyAuditVal,_xlfn.XLOOKUP($A1240,My_Audit!$A:$A,My_Audit!L:L,""),
_xlfn.IFS(_xlpm.MyAuditVal&lt;&gt;"",UPPER(_xlpm.MyAuditVal),_xlpm.MacVal&lt;&gt;"",_xlpm.MacVal,_xlpm.CSVVal&lt;&gt;"",_xlpm.CSVVal
)),"")</f>
        <v/>
      </c>
      <c r="N1240" s="40"/>
      <c r="O1240" s="40" t="str">
        <f>_xlfn.LET(
    _xlpm.CSVVal, _xlfn.XLOOKUP($A1240, CSV!$A:$A, CSV!AA:AA, ""),
    _xlpm.MacVal, _xlfn.XLOOKUP($A1240, Output_Mac!$A:$A, Output_Mac!S:S, ""),
    _xlpm.MyAuditVal, _xlfn.XLOOKUP($A1240, My_Audit!$A:$A, My_Audit!P:P, ""),
    _xlfn.TEXTJOIN(", ", TRUE, _xlpm.MyAuditVal, _xlpm.MacVal, _xlpm.CSVVal)
)</f>
        <v/>
      </c>
      <c r="P1240" s="40" t="str" cm="1">
        <f t="array" ref="P1240">IFERROR(_xlfn.LET(
_xlpm.CSVVal,_xlfn.XLOOKUP($A1240,CSV!$A:$A,CSV!AB:AB,""),
_xlpm.MacVal,_xlfn.XLOOKUP($A1240,Output_Mac!$A:$A,Output_Mac!T:T,""),
_xlpm.MyAuditVal,_xlfn.XLOOKUP($A1240,My_Audit!$A:$A,My_Audit!Q:Q,""),
_xlfn.IFS(_xlpm.MyAuditVal&lt;&gt;"",UPPER(_xlpm.MyAuditVal),_xlpm.MacVal&lt;&gt;"",_xlpm.MacVal,_xlpm.CSVVal&lt;&gt;"",_xlpm.CSVVal
)),"No")</f>
        <v>No</v>
      </c>
      <c r="Q1240" s="40" t="str" cm="1">
        <f t="array" ref="Q1240">IFERROR(_xlfn.LET(
_xlpm.CSVVal,_xlfn.XLOOKUP($A1240,CSV!$A:$A,CSV!AC:AC,""),
_xlpm.MacVal,_xlfn.XLOOKUP($A1240,Output_Mac!$A:$A,Output_Mac!U:U,""),
_xlpm.MyAuditVal,_xlfn.XLOOKUP($A1240,My_Audit!$A:$A,My_Audit!R:R,""),
_xlfn.IFS(_xlpm.MyAuditVal&lt;&gt;"",UPPER(_xlpm.MyAuditVal),_xlpm.MacVal&lt;&gt;"",_xlpm.MacVal,_xlpm.CSVVal&lt;&gt;"",_xlpm.CSVVal
)),"")</f>
        <v/>
      </c>
      <c r="R1240" s="40"/>
      <c r="S1240" s="40"/>
      <c r="T1240" s="40"/>
      <c r="U1240" s="40"/>
      <c r="V1240" s="40"/>
      <c r="W1240" s="40"/>
      <c r="X1240" s="41" t="str">
        <f>_xlfn.LET(
    _xlpm.MacVal, _xlfn.XLOOKUP($A1240, Output_Mac!$A:$A, Output_Mac!AB:AB, ""),
    _xlpm.MyAuditVal, _xlfn.XLOOKUP($A1240, My_Audit!$A:$A, My_Audit!N:N, ""),
    _xlfn.TEXTJOIN(", ", TRUE, _xlpm.MyAuditVal, _xlpm.MacVal)
)</f>
        <v/>
      </c>
    </row>
    <row r="1241" spans="1:24">
      <c r="A1241" s="40" t="str">
        <f>_xlfn.TEXTJOIN("",TRUE,Input!$B$2,ROW(My_Audit!A1240))</f>
        <v>X1240</v>
      </c>
      <c r="B1241" s="40" t="str">
        <f>_xlfn.TEXTJOIN("-",TRUE,"ITD",Input!$A$2,A1241)</f>
        <v>ITD-X1240</v>
      </c>
      <c r="C1241" s="40" t="str" cm="1">
        <f t="array" ref="C1241">IFERROR(_xlfn.LET(
_xlpm.CSVVal,_xlfn.XLOOKUP($A1241,CSV!$A:$A,CSV!B:B,""),
_xlpm.MacVal,_xlfn.XLOOKUP($A1241,Output_Mac!$A:$A,Output_Mac!B:B,""),
_xlpm.MyAuditVal,_xlfn.XLOOKUP($A1241,My_Audit!$A:$A,My_Audit!B:B,""),
_xlfn.IFS(_xlpm.MyAuditVal&lt;&gt;"",UPPER(_xlpm.MyAuditVal),_xlpm.MacVal&lt;&gt;"",_xlpm.MacVal,_xlpm.CSVVal&lt;&gt;"",_xlpm.CSVVal
)),"")</f>
        <v/>
      </c>
      <c r="D1241" s="40" t="str" cm="1">
        <f t="array" ref="D1241">IFERROR(_xlfn.LET(
_xlpm.CSVVal,_xlfn.XLOOKUP($A1241,CSV!$A:$A,CSV!D:D,""),
_xlpm.MacVal,_xlfn.XLOOKUP($A1241,Output_Mac!$A:$A,Output_Mac!C:C,""),
_xlpm.MyAuditVal,_xlfn.XLOOKUP($A1241,My_Audit!$A:$A,My_Audit!C:C,""),
_xlfn.IFS(_xlpm.MyAuditVal&lt;&gt;"",_xlpm.MyAuditVal,_xlpm.MacVal&lt;&gt;"",_xlpm.MacVal,_xlpm.CSVVal&lt;&gt;"",_xlpm.CSVVal
)),"")</f>
        <v/>
      </c>
      <c r="E1241" s="40" t="str">
        <f>_xlfn.XLOOKUP(A1241,My_Audit!A:A,My_Audit!D:D,"")</f>
        <v/>
      </c>
      <c r="F1241" s="40" t="str" cm="1">
        <f t="array" ref="F1241">IFERROR(_xlfn.LET(
_xlpm.CSVVal,_xlfn.XLOOKUP($A1241,CSV!$A:$A,CSV!F:F,""),
_xlpm.MacVal,_xlfn.XLOOKUP($A1241,Output_Mac!$A:$A,Output_Mac!E:E,""),
_xlpm.MyAuditVal,_xlfn.XLOOKUP($A1241,My_Audit!$A:$A,My_Audit!E:E,""),
_xlfn.IFS(_xlpm.MyAuditVal&lt;&gt;"",_xlpm.MyAuditVal,_xlpm.MacVal&lt;&gt;"",_xlpm.MacVal,_xlpm.CSVVal&lt;&gt;"",_xlpm.CSVVal
)),"")</f>
        <v/>
      </c>
      <c r="G1241" s="40" t="str" cm="1">
        <f t="array" ref="G1241">IFERROR(_xlfn.LET(
_xlpm.CSVVal,_xlfn.XLOOKUP($A1241,CSV!$A:$A,CSV!G:G,""),
_xlpm.MacVal,_xlfn.XLOOKUP($A1241,Output_Mac!$A:$A,Output_Mac!F:F,""),
_xlpm.MyAuditVal,_xlfn.XLOOKUP($A1241,My_Audit!$A:$A,My_Audit!F:F,""),
_xlfn.IFS(_xlpm.MyAuditVal&lt;&gt;"",_xlpm.MyAuditVal,_xlpm.MacVal&lt;&gt;"",_xlpm.MacVal,_xlpm.CSVVal&lt;&gt;"",PROPER(_xlpm.CSVVal)
)),"")</f>
        <v/>
      </c>
      <c r="H1241" s="40" t="str" cm="1">
        <f t="array" ref="H1241">IFERROR(_xlfn.LET(
_xlpm.CSVVal,_xlfn.XLOOKUP($A1241,CSV!$A:$A,CSV!H:H,""),
_xlpm.MacVal,_xlfn.XLOOKUP($A1241,Output_Mac!$A:$A,Output_Mac!H:H,""),
_xlpm.MyAuditVal,_xlfn.XLOOKUP($A1241,My_Audit!$A:$A,My_Audit!G:G,""),
_xlfn.IFS(_xlpm.MyAuditVal&lt;&gt;"",_xlpm.MyAuditVal,_xlpm.MacVal&lt;&gt;"",_xlpm.MacVal,_xlpm.CSVVal&lt;&gt;"",_xlpm.CSVVal
)),"")</f>
        <v/>
      </c>
      <c r="I1241" s="40" t="str">
        <f>_xlfn.XLOOKUP(A1241,Output_Mac!A:A,Output_Mac!I:I,"")</f>
        <v/>
      </c>
      <c r="J1241" s="40" t="str" cm="1">
        <f t="array" ref="J1241">IFERROR(_xlfn.LET(
_xlpm.CSVVal,_xlfn.XLOOKUP($A1241,CSV!$A:$A,CSV!I:I,""),
_xlpm.MacVal,_xlfn.XLOOKUP($A1241,Output_Mac!$A:$A,Output_Mac!J:J,""),
_xlpm.MyAuditVal,_xlfn.XLOOKUP($A1241,My_Audit!$A:$A,My_Audit!I:I,""),
_xlfn.IFS(_xlpm.MyAuditVal&lt;&gt;"",UPPER(_xlpm.MyAuditVal),_xlpm.MacVal&lt;&gt;"",_xlpm.MacVal,_xlpm.CSVVal&lt;&gt;"",_xlpm.CSVVal
)),"")</f>
        <v/>
      </c>
      <c r="K1241" s="40" t="str" cm="1">
        <f t="array" ref="K1241">IFERROR(_xlfn.LET(
_xlpm.CSVVal,_xlfn.XLOOKUP($A1241,CSV!$A:$A,CSV!K:K,""),
_xlpm.MacVal,_xlfn.XLOOKUP($A1241,Output_Mac!$A:$A,Output_Mac!K:K,""),
_xlpm.MyAuditVal,_xlfn.XLOOKUP($A1241,My_Audit!$A:$A,My_Audit!J:J,""),
_xlfn.IFS(_xlpm.MyAuditVal&lt;&gt;"",UPPER(_xlpm.MyAuditVal),_xlpm.MacVal&lt;&gt;"",_xlpm.MacVal,_xlpm.CSVVal&lt;&gt;"",_xlpm.CSVVal
)),"")</f>
        <v/>
      </c>
      <c r="L1241" s="40" t="str" cm="1">
        <f t="array" ref="L1241">IFERROR(_xlfn.LET(
_xlpm.CSVVal,_xlfn.XLOOKUP($A1241,CSV!$A:$A,CSV!P:P,""),
_xlpm.MacVal,_xlfn.XLOOKUP($A1241,Output_Mac!$A:$A,Output_Mac!L:L,""),
_xlpm.MyAuditVal,_xlfn.XLOOKUP($A1241,My_Audit!$A:$A,My_Audit!K:K,""),
_xlfn.IFS(_xlpm.MyAuditVal&lt;&gt;"",UPPER(_xlpm.MyAuditVal),_xlpm.MacVal&lt;&gt;"",_xlpm.MacVal,_xlpm.CSVVal&lt;&gt;"",_xlpm.CSVVal
)),"")</f>
        <v/>
      </c>
      <c r="M1241" s="40" t="str" cm="1">
        <f t="array" ref="M1241">IFERROR(_xlfn.LET(
_xlpm.CSVVal,_xlfn.XLOOKUP($A1241,CSV!$A:$A,CSV!Q:Q,""),
_xlpm.MacVal,_xlfn.XLOOKUP($A1241,Output_Mac!$A:$A,Output_Mac!M:M,""),
_xlpm.MyAuditVal,_xlfn.XLOOKUP($A1241,My_Audit!$A:$A,My_Audit!L:L,""),
_xlfn.IFS(_xlpm.MyAuditVal&lt;&gt;"",UPPER(_xlpm.MyAuditVal),_xlpm.MacVal&lt;&gt;"",_xlpm.MacVal,_xlpm.CSVVal&lt;&gt;"",_xlpm.CSVVal
)),"")</f>
        <v/>
      </c>
      <c r="N1241" s="40"/>
      <c r="O1241" s="40" t="str">
        <f>_xlfn.LET(
    _xlpm.CSVVal, _xlfn.XLOOKUP($A1241, CSV!$A:$A, CSV!AA:AA, ""),
    _xlpm.MacVal, _xlfn.XLOOKUP($A1241, Output_Mac!$A:$A, Output_Mac!S:S, ""),
    _xlpm.MyAuditVal, _xlfn.XLOOKUP($A1241, My_Audit!$A:$A, My_Audit!P:P, ""),
    _xlfn.TEXTJOIN(", ", TRUE, _xlpm.MyAuditVal, _xlpm.MacVal, _xlpm.CSVVal)
)</f>
        <v/>
      </c>
      <c r="P1241" s="40" t="str" cm="1">
        <f t="array" ref="P1241">IFERROR(_xlfn.LET(
_xlpm.CSVVal,_xlfn.XLOOKUP($A1241,CSV!$A:$A,CSV!AB:AB,""),
_xlpm.MacVal,_xlfn.XLOOKUP($A1241,Output_Mac!$A:$A,Output_Mac!T:T,""),
_xlpm.MyAuditVal,_xlfn.XLOOKUP($A1241,My_Audit!$A:$A,My_Audit!Q:Q,""),
_xlfn.IFS(_xlpm.MyAuditVal&lt;&gt;"",UPPER(_xlpm.MyAuditVal),_xlpm.MacVal&lt;&gt;"",_xlpm.MacVal,_xlpm.CSVVal&lt;&gt;"",_xlpm.CSVVal
)),"No")</f>
        <v>No</v>
      </c>
      <c r="Q1241" s="40" t="str" cm="1">
        <f t="array" ref="Q1241">IFERROR(_xlfn.LET(
_xlpm.CSVVal,_xlfn.XLOOKUP($A1241,CSV!$A:$A,CSV!AC:AC,""),
_xlpm.MacVal,_xlfn.XLOOKUP($A1241,Output_Mac!$A:$A,Output_Mac!U:U,""),
_xlpm.MyAuditVal,_xlfn.XLOOKUP($A1241,My_Audit!$A:$A,My_Audit!R:R,""),
_xlfn.IFS(_xlpm.MyAuditVal&lt;&gt;"",UPPER(_xlpm.MyAuditVal),_xlpm.MacVal&lt;&gt;"",_xlpm.MacVal,_xlpm.CSVVal&lt;&gt;"",_xlpm.CSVVal
)),"")</f>
        <v/>
      </c>
      <c r="R1241" s="40"/>
      <c r="S1241" s="40"/>
      <c r="T1241" s="40"/>
      <c r="U1241" s="40"/>
      <c r="V1241" s="40"/>
      <c r="W1241" s="40"/>
      <c r="X1241" s="41" t="str">
        <f>_xlfn.LET(
    _xlpm.MacVal, _xlfn.XLOOKUP($A1241, Output_Mac!$A:$A, Output_Mac!AB:AB, ""),
    _xlpm.MyAuditVal, _xlfn.XLOOKUP($A1241, My_Audit!$A:$A, My_Audit!N:N, ""),
    _xlfn.TEXTJOIN(", ", TRUE, _xlpm.MyAuditVal, _xlpm.MacVal)
)</f>
        <v/>
      </c>
    </row>
    <row r="1242" spans="1:24">
      <c r="A1242" s="40" t="str">
        <f>_xlfn.TEXTJOIN("",TRUE,Input!$B$2,ROW(My_Audit!A1241))</f>
        <v>X1241</v>
      </c>
      <c r="B1242" s="40" t="str">
        <f>_xlfn.TEXTJOIN("-",TRUE,"ITD",Input!$A$2,A1242)</f>
        <v>ITD-X1241</v>
      </c>
      <c r="C1242" s="40" t="str" cm="1">
        <f t="array" ref="C1242">IFERROR(_xlfn.LET(
_xlpm.CSVVal,_xlfn.XLOOKUP($A1242,CSV!$A:$A,CSV!B:B,""),
_xlpm.MacVal,_xlfn.XLOOKUP($A1242,Output_Mac!$A:$A,Output_Mac!B:B,""),
_xlpm.MyAuditVal,_xlfn.XLOOKUP($A1242,My_Audit!$A:$A,My_Audit!B:B,""),
_xlfn.IFS(_xlpm.MyAuditVal&lt;&gt;"",UPPER(_xlpm.MyAuditVal),_xlpm.MacVal&lt;&gt;"",_xlpm.MacVal,_xlpm.CSVVal&lt;&gt;"",_xlpm.CSVVal
)),"")</f>
        <v/>
      </c>
      <c r="D1242" s="40" t="str" cm="1">
        <f t="array" ref="D1242">IFERROR(_xlfn.LET(
_xlpm.CSVVal,_xlfn.XLOOKUP($A1242,CSV!$A:$A,CSV!D:D,""),
_xlpm.MacVal,_xlfn.XLOOKUP($A1242,Output_Mac!$A:$A,Output_Mac!C:C,""),
_xlpm.MyAuditVal,_xlfn.XLOOKUP($A1242,My_Audit!$A:$A,My_Audit!C:C,""),
_xlfn.IFS(_xlpm.MyAuditVal&lt;&gt;"",_xlpm.MyAuditVal,_xlpm.MacVal&lt;&gt;"",_xlpm.MacVal,_xlpm.CSVVal&lt;&gt;"",_xlpm.CSVVal
)),"")</f>
        <v/>
      </c>
      <c r="E1242" s="40" t="str">
        <f>_xlfn.XLOOKUP(A1242,My_Audit!A:A,My_Audit!D:D,"")</f>
        <v/>
      </c>
      <c r="F1242" s="40" t="str" cm="1">
        <f t="array" ref="F1242">IFERROR(_xlfn.LET(
_xlpm.CSVVal,_xlfn.XLOOKUP($A1242,CSV!$A:$A,CSV!F:F,""),
_xlpm.MacVal,_xlfn.XLOOKUP($A1242,Output_Mac!$A:$A,Output_Mac!E:E,""),
_xlpm.MyAuditVal,_xlfn.XLOOKUP($A1242,My_Audit!$A:$A,My_Audit!E:E,""),
_xlfn.IFS(_xlpm.MyAuditVal&lt;&gt;"",_xlpm.MyAuditVal,_xlpm.MacVal&lt;&gt;"",_xlpm.MacVal,_xlpm.CSVVal&lt;&gt;"",_xlpm.CSVVal
)),"")</f>
        <v/>
      </c>
      <c r="G1242" s="40" t="str" cm="1">
        <f t="array" ref="G1242">IFERROR(_xlfn.LET(
_xlpm.CSVVal,_xlfn.XLOOKUP($A1242,CSV!$A:$A,CSV!G:G,""),
_xlpm.MacVal,_xlfn.XLOOKUP($A1242,Output_Mac!$A:$A,Output_Mac!F:F,""),
_xlpm.MyAuditVal,_xlfn.XLOOKUP($A1242,My_Audit!$A:$A,My_Audit!F:F,""),
_xlfn.IFS(_xlpm.MyAuditVal&lt;&gt;"",_xlpm.MyAuditVal,_xlpm.MacVal&lt;&gt;"",_xlpm.MacVal,_xlpm.CSVVal&lt;&gt;"",PROPER(_xlpm.CSVVal)
)),"")</f>
        <v/>
      </c>
      <c r="H1242" s="40" t="str" cm="1">
        <f t="array" ref="H1242">IFERROR(_xlfn.LET(
_xlpm.CSVVal,_xlfn.XLOOKUP($A1242,CSV!$A:$A,CSV!H:H,""),
_xlpm.MacVal,_xlfn.XLOOKUP($A1242,Output_Mac!$A:$A,Output_Mac!H:H,""),
_xlpm.MyAuditVal,_xlfn.XLOOKUP($A1242,My_Audit!$A:$A,My_Audit!G:G,""),
_xlfn.IFS(_xlpm.MyAuditVal&lt;&gt;"",_xlpm.MyAuditVal,_xlpm.MacVal&lt;&gt;"",_xlpm.MacVal,_xlpm.CSVVal&lt;&gt;"",_xlpm.CSVVal
)),"")</f>
        <v/>
      </c>
      <c r="I1242" s="40" t="str">
        <f>_xlfn.XLOOKUP(A1242,Output_Mac!A:A,Output_Mac!I:I,"")</f>
        <v/>
      </c>
      <c r="J1242" s="40" t="str" cm="1">
        <f t="array" ref="J1242">IFERROR(_xlfn.LET(
_xlpm.CSVVal,_xlfn.XLOOKUP($A1242,CSV!$A:$A,CSV!I:I,""),
_xlpm.MacVal,_xlfn.XLOOKUP($A1242,Output_Mac!$A:$A,Output_Mac!J:J,""),
_xlpm.MyAuditVal,_xlfn.XLOOKUP($A1242,My_Audit!$A:$A,My_Audit!I:I,""),
_xlfn.IFS(_xlpm.MyAuditVal&lt;&gt;"",UPPER(_xlpm.MyAuditVal),_xlpm.MacVal&lt;&gt;"",_xlpm.MacVal,_xlpm.CSVVal&lt;&gt;"",_xlpm.CSVVal
)),"")</f>
        <v/>
      </c>
      <c r="K1242" s="40" t="str" cm="1">
        <f t="array" ref="K1242">IFERROR(_xlfn.LET(
_xlpm.CSVVal,_xlfn.XLOOKUP($A1242,CSV!$A:$A,CSV!K:K,""),
_xlpm.MacVal,_xlfn.XLOOKUP($A1242,Output_Mac!$A:$A,Output_Mac!K:K,""),
_xlpm.MyAuditVal,_xlfn.XLOOKUP($A1242,My_Audit!$A:$A,My_Audit!J:J,""),
_xlfn.IFS(_xlpm.MyAuditVal&lt;&gt;"",UPPER(_xlpm.MyAuditVal),_xlpm.MacVal&lt;&gt;"",_xlpm.MacVal,_xlpm.CSVVal&lt;&gt;"",_xlpm.CSVVal
)),"")</f>
        <v/>
      </c>
      <c r="L1242" s="40" t="str" cm="1">
        <f t="array" ref="L1242">IFERROR(_xlfn.LET(
_xlpm.CSVVal,_xlfn.XLOOKUP($A1242,CSV!$A:$A,CSV!P:P,""),
_xlpm.MacVal,_xlfn.XLOOKUP($A1242,Output_Mac!$A:$A,Output_Mac!L:L,""),
_xlpm.MyAuditVal,_xlfn.XLOOKUP($A1242,My_Audit!$A:$A,My_Audit!K:K,""),
_xlfn.IFS(_xlpm.MyAuditVal&lt;&gt;"",UPPER(_xlpm.MyAuditVal),_xlpm.MacVal&lt;&gt;"",_xlpm.MacVal,_xlpm.CSVVal&lt;&gt;"",_xlpm.CSVVal
)),"")</f>
        <v/>
      </c>
      <c r="M1242" s="40" t="str" cm="1">
        <f t="array" ref="M1242">IFERROR(_xlfn.LET(
_xlpm.CSVVal,_xlfn.XLOOKUP($A1242,CSV!$A:$A,CSV!Q:Q,""),
_xlpm.MacVal,_xlfn.XLOOKUP($A1242,Output_Mac!$A:$A,Output_Mac!M:M,""),
_xlpm.MyAuditVal,_xlfn.XLOOKUP($A1242,My_Audit!$A:$A,My_Audit!L:L,""),
_xlfn.IFS(_xlpm.MyAuditVal&lt;&gt;"",UPPER(_xlpm.MyAuditVal),_xlpm.MacVal&lt;&gt;"",_xlpm.MacVal,_xlpm.CSVVal&lt;&gt;"",_xlpm.CSVVal
)),"")</f>
        <v/>
      </c>
      <c r="N1242" s="40"/>
      <c r="O1242" s="40" t="str">
        <f>_xlfn.LET(
    _xlpm.CSVVal, _xlfn.XLOOKUP($A1242, CSV!$A:$A, CSV!AA:AA, ""),
    _xlpm.MacVal, _xlfn.XLOOKUP($A1242, Output_Mac!$A:$A, Output_Mac!S:S, ""),
    _xlpm.MyAuditVal, _xlfn.XLOOKUP($A1242, My_Audit!$A:$A, My_Audit!P:P, ""),
    _xlfn.TEXTJOIN(", ", TRUE, _xlpm.MyAuditVal, _xlpm.MacVal, _xlpm.CSVVal)
)</f>
        <v/>
      </c>
      <c r="P1242" s="40" t="str" cm="1">
        <f t="array" ref="P1242">IFERROR(_xlfn.LET(
_xlpm.CSVVal,_xlfn.XLOOKUP($A1242,CSV!$A:$A,CSV!AB:AB,""),
_xlpm.MacVal,_xlfn.XLOOKUP($A1242,Output_Mac!$A:$A,Output_Mac!T:T,""),
_xlpm.MyAuditVal,_xlfn.XLOOKUP($A1242,My_Audit!$A:$A,My_Audit!Q:Q,""),
_xlfn.IFS(_xlpm.MyAuditVal&lt;&gt;"",UPPER(_xlpm.MyAuditVal),_xlpm.MacVal&lt;&gt;"",_xlpm.MacVal,_xlpm.CSVVal&lt;&gt;"",_xlpm.CSVVal
)),"No")</f>
        <v>No</v>
      </c>
      <c r="Q1242" s="40" t="str" cm="1">
        <f t="array" ref="Q1242">IFERROR(_xlfn.LET(
_xlpm.CSVVal,_xlfn.XLOOKUP($A1242,CSV!$A:$A,CSV!AC:AC,""),
_xlpm.MacVal,_xlfn.XLOOKUP($A1242,Output_Mac!$A:$A,Output_Mac!U:U,""),
_xlpm.MyAuditVal,_xlfn.XLOOKUP($A1242,My_Audit!$A:$A,My_Audit!R:R,""),
_xlfn.IFS(_xlpm.MyAuditVal&lt;&gt;"",UPPER(_xlpm.MyAuditVal),_xlpm.MacVal&lt;&gt;"",_xlpm.MacVal,_xlpm.CSVVal&lt;&gt;"",_xlpm.CSVVal
)),"")</f>
        <v/>
      </c>
      <c r="R1242" s="40"/>
      <c r="S1242" s="40"/>
      <c r="T1242" s="40"/>
      <c r="U1242" s="40"/>
      <c r="V1242" s="40"/>
      <c r="W1242" s="40"/>
      <c r="X1242" s="41" t="str">
        <f>_xlfn.LET(
    _xlpm.MacVal, _xlfn.XLOOKUP($A1242, Output_Mac!$A:$A, Output_Mac!AB:AB, ""),
    _xlpm.MyAuditVal, _xlfn.XLOOKUP($A1242, My_Audit!$A:$A, My_Audit!N:N, ""),
    _xlfn.TEXTJOIN(", ", TRUE, _xlpm.MyAuditVal, _xlpm.MacVal)
)</f>
        <v/>
      </c>
    </row>
    <row r="1243" spans="1:24">
      <c r="A1243" s="40" t="str">
        <f>_xlfn.TEXTJOIN("",TRUE,Input!$B$2,ROW(My_Audit!A1242))</f>
        <v>X1242</v>
      </c>
      <c r="B1243" s="40" t="str">
        <f>_xlfn.TEXTJOIN("-",TRUE,"ITD",Input!$A$2,A1243)</f>
        <v>ITD-X1242</v>
      </c>
      <c r="C1243" s="40" t="str" cm="1">
        <f t="array" ref="C1243">IFERROR(_xlfn.LET(
_xlpm.CSVVal,_xlfn.XLOOKUP($A1243,CSV!$A:$A,CSV!B:B,""),
_xlpm.MacVal,_xlfn.XLOOKUP($A1243,Output_Mac!$A:$A,Output_Mac!B:B,""),
_xlpm.MyAuditVal,_xlfn.XLOOKUP($A1243,My_Audit!$A:$A,My_Audit!B:B,""),
_xlfn.IFS(_xlpm.MyAuditVal&lt;&gt;"",UPPER(_xlpm.MyAuditVal),_xlpm.MacVal&lt;&gt;"",_xlpm.MacVal,_xlpm.CSVVal&lt;&gt;"",_xlpm.CSVVal
)),"")</f>
        <v/>
      </c>
      <c r="D1243" s="40" t="str" cm="1">
        <f t="array" ref="D1243">IFERROR(_xlfn.LET(
_xlpm.CSVVal,_xlfn.XLOOKUP($A1243,CSV!$A:$A,CSV!D:D,""),
_xlpm.MacVal,_xlfn.XLOOKUP($A1243,Output_Mac!$A:$A,Output_Mac!C:C,""),
_xlpm.MyAuditVal,_xlfn.XLOOKUP($A1243,My_Audit!$A:$A,My_Audit!C:C,""),
_xlfn.IFS(_xlpm.MyAuditVal&lt;&gt;"",_xlpm.MyAuditVal,_xlpm.MacVal&lt;&gt;"",_xlpm.MacVal,_xlpm.CSVVal&lt;&gt;"",_xlpm.CSVVal
)),"")</f>
        <v/>
      </c>
      <c r="E1243" s="40" t="str">
        <f>_xlfn.XLOOKUP(A1243,My_Audit!A:A,My_Audit!D:D,"")</f>
        <v/>
      </c>
      <c r="F1243" s="40" t="str" cm="1">
        <f t="array" ref="F1243">IFERROR(_xlfn.LET(
_xlpm.CSVVal,_xlfn.XLOOKUP($A1243,CSV!$A:$A,CSV!F:F,""),
_xlpm.MacVal,_xlfn.XLOOKUP($A1243,Output_Mac!$A:$A,Output_Mac!E:E,""),
_xlpm.MyAuditVal,_xlfn.XLOOKUP($A1243,My_Audit!$A:$A,My_Audit!E:E,""),
_xlfn.IFS(_xlpm.MyAuditVal&lt;&gt;"",_xlpm.MyAuditVal,_xlpm.MacVal&lt;&gt;"",_xlpm.MacVal,_xlpm.CSVVal&lt;&gt;"",_xlpm.CSVVal
)),"")</f>
        <v/>
      </c>
      <c r="G1243" s="40" t="str" cm="1">
        <f t="array" ref="G1243">IFERROR(_xlfn.LET(
_xlpm.CSVVal,_xlfn.XLOOKUP($A1243,CSV!$A:$A,CSV!G:G,""),
_xlpm.MacVal,_xlfn.XLOOKUP($A1243,Output_Mac!$A:$A,Output_Mac!F:F,""),
_xlpm.MyAuditVal,_xlfn.XLOOKUP($A1243,My_Audit!$A:$A,My_Audit!F:F,""),
_xlfn.IFS(_xlpm.MyAuditVal&lt;&gt;"",_xlpm.MyAuditVal,_xlpm.MacVal&lt;&gt;"",_xlpm.MacVal,_xlpm.CSVVal&lt;&gt;"",PROPER(_xlpm.CSVVal)
)),"")</f>
        <v/>
      </c>
      <c r="H1243" s="40" t="str" cm="1">
        <f t="array" ref="H1243">IFERROR(_xlfn.LET(
_xlpm.CSVVal,_xlfn.XLOOKUP($A1243,CSV!$A:$A,CSV!H:H,""),
_xlpm.MacVal,_xlfn.XLOOKUP($A1243,Output_Mac!$A:$A,Output_Mac!H:H,""),
_xlpm.MyAuditVal,_xlfn.XLOOKUP($A1243,My_Audit!$A:$A,My_Audit!G:G,""),
_xlfn.IFS(_xlpm.MyAuditVal&lt;&gt;"",_xlpm.MyAuditVal,_xlpm.MacVal&lt;&gt;"",_xlpm.MacVal,_xlpm.CSVVal&lt;&gt;"",_xlpm.CSVVal
)),"")</f>
        <v/>
      </c>
      <c r="I1243" s="40" t="str">
        <f>_xlfn.XLOOKUP(A1243,Output_Mac!A:A,Output_Mac!I:I,"")</f>
        <v/>
      </c>
      <c r="J1243" s="40" t="str" cm="1">
        <f t="array" ref="J1243">IFERROR(_xlfn.LET(
_xlpm.CSVVal,_xlfn.XLOOKUP($A1243,CSV!$A:$A,CSV!I:I,""),
_xlpm.MacVal,_xlfn.XLOOKUP($A1243,Output_Mac!$A:$A,Output_Mac!J:J,""),
_xlpm.MyAuditVal,_xlfn.XLOOKUP($A1243,My_Audit!$A:$A,My_Audit!I:I,""),
_xlfn.IFS(_xlpm.MyAuditVal&lt;&gt;"",UPPER(_xlpm.MyAuditVal),_xlpm.MacVal&lt;&gt;"",_xlpm.MacVal,_xlpm.CSVVal&lt;&gt;"",_xlpm.CSVVal
)),"")</f>
        <v/>
      </c>
      <c r="K1243" s="40" t="str" cm="1">
        <f t="array" ref="K1243">IFERROR(_xlfn.LET(
_xlpm.CSVVal,_xlfn.XLOOKUP($A1243,CSV!$A:$A,CSV!K:K,""),
_xlpm.MacVal,_xlfn.XLOOKUP($A1243,Output_Mac!$A:$A,Output_Mac!K:K,""),
_xlpm.MyAuditVal,_xlfn.XLOOKUP($A1243,My_Audit!$A:$A,My_Audit!J:J,""),
_xlfn.IFS(_xlpm.MyAuditVal&lt;&gt;"",UPPER(_xlpm.MyAuditVal),_xlpm.MacVal&lt;&gt;"",_xlpm.MacVal,_xlpm.CSVVal&lt;&gt;"",_xlpm.CSVVal
)),"")</f>
        <v/>
      </c>
      <c r="L1243" s="40" t="str" cm="1">
        <f t="array" ref="L1243">IFERROR(_xlfn.LET(
_xlpm.CSVVal,_xlfn.XLOOKUP($A1243,CSV!$A:$A,CSV!P:P,""),
_xlpm.MacVal,_xlfn.XLOOKUP($A1243,Output_Mac!$A:$A,Output_Mac!L:L,""),
_xlpm.MyAuditVal,_xlfn.XLOOKUP($A1243,My_Audit!$A:$A,My_Audit!K:K,""),
_xlfn.IFS(_xlpm.MyAuditVal&lt;&gt;"",UPPER(_xlpm.MyAuditVal),_xlpm.MacVal&lt;&gt;"",_xlpm.MacVal,_xlpm.CSVVal&lt;&gt;"",_xlpm.CSVVal
)),"")</f>
        <v/>
      </c>
      <c r="M1243" s="40" t="str" cm="1">
        <f t="array" ref="M1243">IFERROR(_xlfn.LET(
_xlpm.CSVVal,_xlfn.XLOOKUP($A1243,CSV!$A:$A,CSV!Q:Q,""),
_xlpm.MacVal,_xlfn.XLOOKUP($A1243,Output_Mac!$A:$A,Output_Mac!M:M,""),
_xlpm.MyAuditVal,_xlfn.XLOOKUP($A1243,My_Audit!$A:$A,My_Audit!L:L,""),
_xlfn.IFS(_xlpm.MyAuditVal&lt;&gt;"",UPPER(_xlpm.MyAuditVal),_xlpm.MacVal&lt;&gt;"",_xlpm.MacVal,_xlpm.CSVVal&lt;&gt;"",_xlpm.CSVVal
)),"")</f>
        <v/>
      </c>
      <c r="N1243" s="40"/>
      <c r="O1243" s="40" t="str">
        <f>_xlfn.LET(
    _xlpm.CSVVal, _xlfn.XLOOKUP($A1243, CSV!$A:$A, CSV!AA:AA, ""),
    _xlpm.MacVal, _xlfn.XLOOKUP($A1243, Output_Mac!$A:$A, Output_Mac!S:S, ""),
    _xlpm.MyAuditVal, _xlfn.XLOOKUP($A1243, My_Audit!$A:$A, My_Audit!P:P, ""),
    _xlfn.TEXTJOIN(", ", TRUE, _xlpm.MyAuditVal, _xlpm.MacVal, _xlpm.CSVVal)
)</f>
        <v/>
      </c>
      <c r="P1243" s="40" t="str" cm="1">
        <f t="array" ref="P1243">IFERROR(_xlfn.LET(
_xlpm.CSVVal,_xlfn.XLOOKUP($A1243,CSV!$A:$A,CSV!AB:AB,""),
_xlpm.MacVal,_xlfn.XLOOKUP($A1243,Output_Mac!$A:$A,Output_Mac!T:T,""),
_xlpm.MyAuditVal,_xlfn.XLOOKUP($A1243,My_Audit!$A:$A,My_Audit!Q:Q,""),
_xlfn.IFS(_xlpm.MyAuditVal&lt;&gt;"",UPPER(_xlpm.MyAuditVal),_xlpm.MacVal&lt;&gt;"",_xlpm.MacVal,_xlpm.CSVVal&lt;&gt;"",_xlpm.CSVVal
)),"No")</f>
        <v>No</v>
      </c>
      <c r="Q1243" s="40" t="str" cm="1">
        <f t="array" ref="Q1243">IFERROR(_xlfn.LET(
_xlpm.CSVVal,_xlfn.XLOOKUP($A1243,CSV!$A:$A,CSV!AC:AC,""),
_xlpm.MacVal,_xlfn.XLOOKUP($A1243,Output_Mac!$A:$A,Output_Mac!U:U,""),
_xlpm.MyAuditVal,_xlfn.XLOOKUP($A1243,My_Audit!$A:$A,My_Audit!R:R,""),
_xlfn.IFS(_xlpm.MyAuditVal&lt;&gt;"",UPPER(_xlpm.MyAuditVal),_xlpm.MacVal&lt;&gt;"",_xlpm.MacVal,_xlpm.CSVVal&lt;&gt;"",_xlpm.CSVVal
)),"")</f>
        <v/>
      </c>
      <c r="R1243" s="40"/>
      <c r="S1243" s="40"/>
      <c r="T1243" s="40"/>
      <c r="U1243" s="40"/>
      <c r="V1243" s="40"/>
      <c r="W1243" s="40"/>
      <c r="X1243" s="41" t="str">
        <f>_xlfn.LET(
    _xlpm.MacVal, _xlfn.XLOOKUP($A1243, Output_Mac!$A:$A, Output_Mac!AB:AB, ""),
    _xlpm.MyAuditVal, _xlfn.XLOOKUP($A1243, My_Audit!$A:$A, My_Audit!N:N, ""),
    _xlfn.TEXTJOIN(", ", TRUE, _xlpm.MyAuditVal, _xlpm.MacVal)
)</f>
        <v/>
      </c>
    </row>
    <row r="1244" spans="1:24">
      <c r="A1244" s="40" t="str">
        <f>_xlfn.TEXTJOIN("",TRUE,Input!$B$2,ROW(My_Audit!A1243))</f>
        <v>X1243</v>
      </c>
      <c r="B1244" s="40" t="str">
        <f>_xlfn.TEXTJOIN("-",TRUE,"ITD",Input!$A$2,A1244)</f>
        <v>ITD-X1243</v>
      </c>
      <c r="C1244" s="40" t="str" cm="1">
        <f t="array" ref="C1244">IFERROR(_xlfn.LET(
_xlpm.CSVVal,_xlfn.XLOOKUP($A1244,CSV!$A:$A,CSV!B:B,""),
_xlpm.MacVal,_xlfn.XLOOKUP($A1244,Output_Mac!$A:$A,Output_Mac!B:B,""),
_xlpm.MyAuditVal,_xlfn.XLOOKUP($A1244,My_Audit!$A:$A,My_Audit!B:B,""),
_xlfn.IFS(_xlpm.MyAuditVal&lt;&gt;"",UPPER(_xlpm.MyAuditVal),_xlpm.MacVal&lt;&gt;"",_xlpm.MacVal,_xlpm.CSVVal&lt;&gt;"",_xlpm.CSVVal
)),"")</f>
        <v/>
      </c>
      <c r="D1244" s="40" t="str" cm="1">
        <f t="array" ref="D1244">IFERROR(_xlfn.LET(
_xlpm.CSVVal,_xlfn.XLOOKUP($A1244,CSV!$A:$A,CSV!D:D,""),
_xlpm.MacVal,_xlfn.XLOOKUP($A1244,Output_Mac!$A:$A,Output_Mac!C:C,""),
_xlpm.MyAuditVal,_xlfn.XLOOKUP($A1244,My_Audit!$A:$A,My_Audit!C:C,""),
_xlfn.IFS(_xlpm.MyAuditVal&lt;&gt;"",_xlpm.MyAuditVal,_xlpm.MacVal&lt;&gt;"",_xlpm.MacVal,_xlpm.CSVVal&lt;&gt;"",_xlpm.CSVVal
)),"")</f>
        <v/>
      </c>
      <c r="E1244" s="40" t="str">
        <f>_xlfn.XLOOKUP(A1244,My_Audit!A:A,My_Audit!D:D,"")</f>
        <v/>
      </c>
      <c r="F1244" s="40" t="str" cm="1">
        <f t="array" ref="F1244">IFERROR(_xlfn.LET(
_xlpm.CSVVal,_xlfn.XLOOKUP($A1244,CSV!$A:$A,CSV!F:F,""),
_xlpm.MacVal,_xlfn.XLOOKUP($A1244,Output_Mac!$A:$A,Output_Mac!E:E,""),
_xlpm.MyAuditVal,_xlfn.XLOOKUP($A1244,My_Audit!$A:$A,My_Audit!E:E,""),
_xlfn.IFS(_xlpm.MyAuditVal&lt;&gt;"",_xlpm.MyAuditVal,_xlpm.MacVal&lt;&gt;"",_xlpm.MacVal,_xlpm.CSVVal&lt;&gt;"",_xlpm.CSVVal
)),"")</f>
        <v/>
      </c>
      <c r="G1244" s="40" t="str" cm="1">
        <f t="array" ref="G1244">IFERROR(_xlfn.LET(
_xlpm.CSVVal,_xlfn.XLOOKUP($A1244,CSV!$A:$A,CSV!G:G,""),
_xlpm.MacVal,_xlfn.XLOOKUP($A1244,Output_Mac!$A:$A,Output_Mac!F:F,""),
_xlpm.MyAuditVal,_xlfn.XLOOKUP($A1244,My_Audit!$A:$A,My_Audit!F:F,""),
_xlfn.IFS(_xlpm.MyAuditVal&lt;&gt;"",_xlpm.MyAuditVal,_xlpm.MacVal&lt;&gt;"",_xlpm.MacVal,_xlpm.CSVVal&lt;&gt;"",PROPER(_xlpm.CSVVal)
)),"")</f>
        <v/>
      </c>
      <c r="H1244" s="40" t="str" cm="1">
        <f t="array" ref="H1244">IFERROR(_xlfn.LET(
_xlpm.CSVVal,_xlfn.XLOOKUP($A1244,CSV!$A:$A,CSV!H:H,""),
_xlpm.MacVal,_xlfn.XLOOKUP($A1244,Output_Mac!$A:$A,Output_Mac!H:H,""),
_xlpm.MyAuditVal,_xlfn.XLOOKUP($A1244,My_Audit!$A:$A,My_Audit!G:G,""),
_xlfn.IFS(_xlpm.MyAuditVal&lt;&gt;"",_xlpm.MyAuditVal,_xlpm.MacVal&lt;&gt;"",_xlpm.MacVal,_xlpm.CSVVal&lt;&gt;"",_xlpm.CSVVal
)),"")</f>
        <v/>
      </c>
      <c r="I1244" s="40" t="str">
        <f>_xlfn.XLOOKUP(A1244,Output_Mac!A:A,Output_Mac!I:I,"")</f>
        <v/>
      </c>
      <c r="J1244" s="40" t="str" cm="1">
        <f t="array" ref="J1244">IFERROR(_xlfn.LET(
_xlpm.CSVVal,_xlfn.XLOOKUP($A1244,CSV!$A:$A,CSV!I:I,""),
_xlpm.MacVal,_xlfn.XLOOKUP($A1244,Output_Mac!$A:$A,Output_Mac!J:J,""),
_xlpm.MyAuditVal,_xlfn.XLOOKUP($A1244,My_Audit!$A:$A,My_Audit!I:I,""),
_xlfn.IFS(_xlpm.MyAuditVal&lt;&gt;"",UPPER(_xlpm.MyAuditVal),_xlpm.MacVal&lt;&gt;"",_xlpm.MacVal,_xlpm.CSVVal&lt;&gt;"",_xlpm.CSVVal
)),"")</f>
        <v/>
      </c>
      <c r="K1244" s="40" t="str" cm="1">
        <f t="array" ref="K1244">IFERROR(_xlfn.LET(
_xlpm.CSVVal,_xlfn.XLOOKUP($A1244,CSV!$A:$A,CSV!K:K,""),
_xlpm.MacVal,_xlfn.XLOOKUP($A1244,Output_Mac!$A:$A,Output_Mac!K:K,""),
_xlpm.MyAuditVal,_xlfn.XLOOKUP($A1244,My_Audit!$A:$A,My_Audit!J:J,""),
_xlfn.IFS(_xlpm.MyAuditVal&lt;&gt;"",UPPER(_xlpm.MyAuditVal),_xlpm.MacVal&lt;&gt;"",_xlpm.MacVal,_xlpm.CSVVal&lt;&gt;"",_xlpm.CSVVal
)),"")</f>
        <v/>
      </c>
      <c r="L1244" s="40" t="str" cm="1">
        <f t="array" ref="L1244">IFERROR(_xlfn.LET(
_xlpm.CSVVal,_xlfn.XLOOKUP($A1244,CSV!$A:$A,CSV!P:P,""),
_xlpm.MacVal,_xlfn.XLOOKUP($A1244,Output_Mac!$A:$A,Output_Mac!L:L,""),
_xlpm.MyAuditVal,_xlfn.XLOOKUP($A1244,My_Audit!$A:$A,My_Audit!K:K,""),
_xlfn.IFS(_xlpm.MyAuditVal&lt;&gt;"",UPPER(_xlpm.MyAuditVal),_xlpm.MacVal&lt;&gt;"",_xlpm.MacVal,_xlpm.CSVVal&lt;&gt;"",_xlpm.CSVVal
)),"")</f>
        <v/>
      </c>
      <c r="M1244" s="40" t="str" cm="1">
        <f t="array" ref="M1244">IFERROR(_xlfn.LET(
_xlpm.CSVVal,_xlfn.XLOOKUP($A1244,CSV!$A:$A,CSV!Q:Q,""),
_xlpm.MacVal,_xlfn.XLOOKUP($A1244,Output_Mac!$A:$A,Output_Mac!M:M,""),
_xlpm.MyAuditVal,_xlfn.XLOOKUP($A1244,My_Audit!$A:$A,My_Audit!L:L,""),
_xlfn.IFS(_xlpm.MyAuditVal&lt;&gt;"",UPPER(_xlpm.MyAuditVal),_xlpm.MacVal&lt;&gt;"",_xlpm.MacVal,_xlpm.CSVVal&lt;&gt;"",_xlpm.CSVVal
)),"")</f>
        <v/>
      </c>
      <c r="N1244" s="40"/>
      <c r="O1244" s="40" t="str">
        <f>_xlfn.LET(
    _xlpm.CSVVal, _xlfn.XLOOKUP($A1244, CSV!$A:$A, CSV!AA:AA, ""),
    _xlpm.MacVal, _xlfn.XLOOKUP($A1244, Output_Mac!$A:$A, Output_Mac!S:S, ""),
    _xlpm.MyAuditVal, _xlfn.XLOOKUP($A1244, My_Audit!$A:$A, My_Audit!P:P, ""),
    _xlfn.TEXTJOIN(", ", TRUE, _xlpm.MyAuditVal, _xlpm.MacVal, _xlpm.CSVVal)
)</f>
        <v/>
      </c>
      <c r="P1244" s="40" t="str" cm="1">
        <f t="array" ref="P1244">IFERROR(_xlfn.LET(
_xlpm.CSVVal,_xlfn.XLOOKUP($A1244,CSV!$A:$A,CSV!AB:AB,""),
_xlpm.MacVal,_xlfn.XLOOKUP($A1244,Output_Mac!$A:$A,Output_Mac!T:T,""),
_xlpm.MyAuditVal,_xlfn.XLOOKUP($A1244,My_Audit!$A:$A,My_Audit!Q:Q,""),
_xlfn.IFS(_xlpm.MyAuditVal&lt;&gt;"",UPPER(_xlpm.MyAuditVal),_xlpm.MacVal&lt;&gt;"",_xlpm.MacVal,_xlpm.CSVVal&lt;&gt;"",_xlpm.CSVVal
)),"No")</f>
        <v>No</v>
      </c>
      <c r="Q1244" s="40" t="str" cm="1">
        <f t="array" ref="Q1244">IFERROR(_xlfn.LET(
_xlpm.CSVVal,_xlfn.XLOOKUP($A1244,CSV!$A:$A,CSV!AC:AC,""),
_xlpm.MacVal,_xlfn.XLOOKUP($A1244,Output_Mac!$A:$A,Output_Mac!U:U,""),
_xlpm.MyAuditVal,_xlfn.XLOOKUP($A1244,My_Audit!$A:$A,My_Audit!R:R,""),
_xlfn.IFS(_xlpm.MyAuditVal&lt;&gt;"",UPPER(_xlpm.MyAuditVal),_xlpm.MacVal&lt;&gt;"",_xlpm.MacVal,_xlpm.CSVVal&lt;&gt;"",_xlpm.CSVVal
)),"")</f>
        <v/>
      </c>
      <c r="R1244" s="40"/>
      <c r="S1244" s="40"/>
      <c r="T1244" s="40"/>
      <c r="U1244" s="40"/>
      <c r="V1244" s="40"/>
      <c r="W1244" s="40"/>
      <c r="X1244" s="41" t="str">
        <f>_xlfn.LET(
    _xlpm.MacVal, _xlfn.XLOOKUP($A1244, Output_Mac!$A:$A, Output_Mac!AB:AB, ""),
    _xlpm.MyAuditVal, _xlfn.XLOOKUP($A1244, My_Audit!$A:$A, My_Audit!N:N, ""),
    _xlfn.TEXTJOIN(", ", TRUE, _xlpm.MyAuditVal, _xlpm.MacVal)
)</f>
        <v/>
      </c>
    </row>
    <row r="1245" spans="1:24">
      <c r="A1245" s="40" t="str">
        <f>_xlfn.TEXTJOIN("",TRUE,Input!$B$2,ROW(My_Audit!A1244))</f>
        <v>X1244</v>
      </c>
      <c r="B1245" s="40" t="str">
        <f>_xlfn.TEXTJOIN("-",TRUE,"ITD",Input!$A$2,A1245)</f>
        <v>ITD-X1244</v>
      </c>
      <c r="C1245" s="40" t="str" cm="1">
        <f t="array" ref="C1245">IFERROR(_xlfn.LET(
_xlpm.CSVVal,_xlfn.XLOOKUP($A1245,CSV!$A:$A,CSV!B:B,""),
_xlpm.MacVal,_xlfn.XLOOKUP($A1245,Output_Mac!$A:$A,Output_Mac!B:B,""),
_xlpm.MyAuditVal,_xlfn.XLOOKUP($A1245,My_Audit!$A:$A,My_Audit!B:B,""),
_xlfn.IFS(_xlpm.MyAuditVal&lt;&gt;"",UPPER(_xlpm.MyAuditVal),_xlpm.MacVal&lt;&gt;"",_xlpm.MacVal,_xlpm.CSVVal&lt;&gt;"",_xlpm.CSVVal
)),"")</f>
        <v/>
      </c>
      <c r="D1245" s="40" t="str" cm="1">
        <f t="array" ref="D1245">IFERROR(_xlfn.LET(
_xlpm.CSVVal,_xlfn.XLOOKUP($A1245,CSV!$A:$A,CSV!D:D,""),
_xlpm.MacVal,_xlfn.XLOOKUP($A1245,Output_Mac!$A:$A,Output_Mac!C:C,""),
_xlpm.MyAuditVal,_xlfn.XLOOKUP($A1245,My_Audit!$A:$A,My_Audit!C:C,""),
_xlfn.IFS(_xlpm.MyAuditVal&lt;&gt;"",_xlpm.MyAuditVal,_xlpm.MacVal&lt;&gt;"",_xlpm.MacVal,_xlpm.CSVVal&lt;&gt;"",_xlpm.CSVVal
)),"")</f>
        <v/>
      </c>
      <c r="E1245" s="40" t="str">
        <f>_xlfn.XLOOKUP(A1245,My_Audit!A:A,My_Audit!D:D,"")</f>
        <v/>
      </c>
      <c r="F1245" s="40" t="str" cm="1">
        <f t="array" ref="F1245">IFERROR(_xlfn.LET(
_xlpm.CSVVal,_xlfn.XLOOKUP($A1245,CSV!$A:$A,CSV!F:F,""),
_xlpm.MacVal,_xlfn.XLOOKUP($A1245,Output_Mac!$A:$A,Output_Mac!E:E,""),
_xlpm.MyAuditVal,_xlfn.XLOOKUP($A1245,My_Audit!$A:$A,My_Audit!E:E,""),
_xlfn.IFS(_xlpm.MyAuditVal&lt;&gt;"",_xlpm.MyAuditVal,_xlpm.MacVal&lt;&gt;"",_xlpm.MacVal,_xlpm.CSVVal&lt;&gt;"",_xlpm.CSVVal
)),"")</f>
        <v/>
      </c>
      <c r="G1245" s="40" t="str" cm="1">
        <f t="array" ref="G1245">IFERROR(_xlfn.LET(
_xlpm.CSVVal,_xlfn.XLOOKUP($A1245,CSV!$A:$A,CSV!G:G,""),
_xlpm.MacVal,_xlfn.XLOOKUP($A1245,Output_Mac!$A:$A,Output_Mac!F:F,""),
_xlpm.MyAuditVal,_xlfn.XLOOKUP($A1245,My_Audit!$A:$A,My_Audit!F:F,""),
_xlfn.IFS(_xlpm.MyAuditVal&lt;&gt;"",_xlpm.MyAuditVal,_xlpm.MacVal&lt;&gt;"",_xlpm.MacVal,_xlpm.CSVVal&lt;&gt;"",PROPER(_xlpm.CSVVal)
)),"")</f>
        <v/>
      </c>
      <c r="H1245" s="40" t="str" cm="1">
        <f t="array" ref="H1245">IFERROR(_xlfn.LET(
_xlpm.CSVVal,_xlfn.XLOOKUP($A1245,CSV!$A:$A,CSV!H:H,""),
_xlpm.MacVal,_xlfn.XLOOKUP($A1245,Output_Mac!$A:$A,Output_Mac!H:H,""),
_xlpm.MyAuditVal,_xlfn.XLOOKUP($A1245,My_Audit!$A:$A,My_Audit!G:G,""),
_xlfn.IFS(_xlpm.MyAuditVal&lt;&gt;"",_xlpm.MyAuditVal,_xlpm.MacVal&lt;&gt;"",_xlpm.MacVal,_xlpm.CSVVal&lt;&gt;"",_xlpm.CSVVal
)),"")</f>
        <v/>
      </c>
      <c r="I1245" s="40" t="str">
        <f>_xlfn.XLOOKUP(A1245,Output_Mac!A:A,Output_Mac!I:I,"")</f>
        <v/>
      </c>
      <c r="J1245" s="40" t="str" cm="1">
        <f t="array" ref="J1245">IFERROR(_xlfn.LET(
_xlpm.CSVVal,_xlfn.XLOOKUP($A1245,CSV!$A:$A,CSV!I:I,""),
_xlpm.MacVal,_xlfn.XLOOKUP($A1245,Output_Mac!$A:$A,Output_Mac!J:J,""),
_xlpm.MyAuditVal,_xlfn.XLOOKUP($A1245,My_Audit!$A:$A,My_Audit!I:I,""),
_xlfn.IFS(_xlpm.MyAuditVal&lt;&gt;"",UPPER(_xlpm.MyAuditVal),_xlpm.MacVal&lt;&gt;"",_xlpm.MacVal,_xlpm.CSVVal&lt;&gt;"",_xlpm.CSVVal
)),"")</f>
        <v/>
      </c>
      <c r="K1245" s="40" t="str" cm="1">
        <f t="array" ref="K1245">IFERROR(_xlfn.LET(
_xlpm.CSVVal,_xlfn.XLOOKUP($A1245,CSV!$A:$A,CSV!K:K,""),
_xlpm.MacVal,_xlfn.XLOOKUP($A1245,Output_Mac!$A:$A,Output_Mac!K:K,""),
_xlpm.MyAuditVal,_xlfn.XLOOKUP($A1245,My_Audit!$A:$A,My_Audit!J:J,""),
_xlfn.IFS(_xlpm.MyAuditVal&lt;&gt;"",UPPER(_xlpm.MyAuditVal),_xlpm.MacVal&lt;&gt;"",_xlpm.MacVal,_xlpm.CSVVal&lt;&gt;"",_xlpm.CSVVal
)),"")</f>
        <v/>
      </c>
      <c r="L1245" s="40" t="str" cm="1">
        <f t="array" ref="L1245">IFERROR(_xlfn.LET(
_xlpm.CSVVal,_xlfn.XLOOKUP($A1245,CSV!$A:$A,CSV!P:P,""),
_xlpm.MacVal,_xlfn.XLOOKUP($A1245,Output_Mac!$A:$A,Output_Mac!L:L,""),
_xlpm.MyAuditVal,_xlfn.XLOOKUP($A1245,My_Audit!$A:$A,My_Audit!K:K,""),
_xlfn.IFS(_xlpm.MyAuditVal&lt;&gt;"",UPPER(_xlpm.MyAuditVal),_xlpm.MacVal&lt;&gt;"",_xlpm.MacVal,_xlpm.CSVVal&lt;&gt;"",_xlpm.CSVVal
)),"")</f>
        <v/>
      </c>
      <c r="M1245" s="40" t="str" cm="1">
        <f t="array" ref="M1245">IFERROR(_xlfn.LET(
_xlpm.CSVVal,_xlfn.XLOOKUP($A1245,CSV!$A:$A,CSV!Q:Q,""),
_xlpm.MacVal,_xlfn.XLOOKUP($A1245,Output_Mac!$A:$A,Output_Mac!M:M,""),
_xlpm.MyAuditVal,_xlfn.XLOOKUP($A1245,My_Audit!$A:$A,My_Audit!L:L,""),
_xlfn.IFS(_xlpm.MyAuditVal&lt;&gt;"",UPPER(_xlpm.MyAuditVal),_xlpm.MacVal&lt;&gt;"",_xlpm.MacVal,_xlpm.CSVVal&lt;&gt;"",_xlpm.CSVVal
)),"")</f>
        <v/>
      </c>
      <c r="N1245" s="40"/>
      <c r="O1245" s="40" t="str">
        <f>_xlfn.LET(
    _xlpm.CSVVal, _xlfn.XLOOKUP($A1245, CSV!$A:$A, CSV!AA:AA, ""),
    _xlpm.MacVal, _xlfn.XLOOKUP($A1245, Output_Mac!$A:$A, Output_Mac!S:S, ""),
    _xlpm.MyAuditVal, _xlfn.XLOOKUP($A1245, My_Audit!$A:$A, My_Audit!P:P, ""),
    _xlfn.TEXTJOIN(", ", TRUE, _xlpm.MyAuditVal, _xlpm.MacVal, _xlpm.CSVVal)
)</f>
        <v/>
      </c>
      <c r="P1245" s="40" t="str" cm="1">
        <f t="array" ref="P1245">IFERROR(_xlfn.LET(
_xlpm.CSVVal,_xlfn.XLOOKUP($A1245,CSV!$A:$A,CSV!AB:AB,""),
_xlpm.MacVal,_xlfn.XLOOKUP($A1245,Output_Mac!$A:$A,Output_Mac!T:T,""),
_xlpm.MyAuditVal,_xlfn.XLOOKUP($A1245,My_Audit!$A:$A,My_Audit!Q:Q,""),
_xlfn.IFS(_xlpm.MyAuditVal&lt;&gt;"",UPPER(_xlpm.MyAuditVal),_xlpm.MacVal&lt;&gt;"",_xlpm.MacVal,_xlpm.CSVVal&lt;&gt;"",_xlpm.CSVVal
)),"No")</f>
        <v>No</v>
      </c>
      <c r="Q1245" s="40" t="str" cm="1">
        <f t="array" ref="Q1245">IFERROR(_xlfn.LET(
_xlpm.CSVVal,_xlfn.XLOOKUP($A1245,CSV!$A:$A,CSV!AC:AC,""),
_xlpm.MacVal,_xlfn.XLOOKUP($A1245,Output_Mac!$A:$A,Output_Mac!U:U,""),
_xlpm.MyAuditVal,_xlfn.XLOOKUP($A1245,My_Audit!$A:$A,My_Audit!R:R,""),
_xlfn.IFS(_xlpm.MyAuditVal&lt;&gt;"",UPPER(_xlpm.MyAuditVal),_xlpm.MacVal&lt;&gt;"",_xlpm.MacVal,_xlpm.CSVVal&lt;&gt;"",_xlpm.CSVVal
)),"")</f>
        <v/>
      </c>
      <c r="R1245" s="40"/>
      <c r="S1245" s="40"/>
      <c r="T1245" s="40"/>
      <c r="U1245" s="40"/>
      <c r="V1245" s="40"/>
      <c r="W1245" s="40"/>
      <c r="X1245" s="41" t="str">
        <f>_xlfn.LET(
    _xlpm.MacVal, _xlfn.XLOOKUP($A1245, Output_Mac!$A:$A, Output_Mac!AB:AB, ""),
    _xlpm.MyAuditVal, _xlfn.XLOOKUP($A1245, My_Audit!$A:$A, My_Audit!N:N, ""),
    _xlfn.TEXTJOIN(", ", TRUE, _xlpm.MyAuditVal, _xlpm.MacVal)
)</f>
        <v/>
      </c>
    </row>
    <row r="1246" spans="1:24">
      <c r="A1246" s="40" t="str">
        <f>_xlfn.TEXTJOIN("",TRUE,Input!$B$2,ROW(My_Audit!A1245))</f>
        <v>X1245</v>
      </c>
      <c r="B1246" s="40" t="str">
        <f>_xlfn.TEXTJOIN("-",TRUE,"ITD",Input!$A$2,A1246)</f>
        <v>ITD-X1245</v>
      </c>
      <c r="C1246" s="40" t="str" cm="1">
        <f t="array" ref="C1246">IFERROR(_xlfn.LET(
_xlpm.CSVVal,_xlfn.XLOOKUP($A1246,CSV!$A:$A,CSV!B:B,""),
_xlpm.MacVal,_xlfn.XLOOKUP($A1246,Output_Mac!$A:$A,Output_Mac!B:B,""),
_xlpm.MyAuditVal,_xlfn.XLOOKUP($A1246,My_Audit!$A:$A,My_Audit!B:B,""),
_xlfn.IFS(_xlpm.MyAuditVal&lt;&gt;"",UPPER(_xlpm.MyAuditVal),_xlpm.MacVal&lt;&gt;"",_xlpm.MacVal,_xlpm.CSVVal&lt;&gt;"",_xlpm.CSVVal
)),"")</f>
        <v/>
      </c>
      <c r="D1246" s="40" t="str" cm="1">
        <f t="array" ref="D1246">IFERROR(_xlfn.LET(
_xlpm.CSVVal,_xlfn.XLOOKUP($A1246,CSV!$A:$A,CSV!D:D,""),
_xlpm.MacVal,_xlfn.XLOOKUP($A1246,Output_Mac!$A:$A,Output_Mac!C:C,""),
_xlpm.MyAuditVal,_xlfn.XLOOKUP($A1246,My_Audit!$A:$A,My_Audit!C:C,""),
_xlfn.IFS(_xlpm.MyAuditVal&lt;&gt;"",_xlpm.MyAuditVal,_xlpm.MacVal&lt;&gt;"",_xlpm.MacVal,_xlpm.CSVVal&lt;&gt;"",_xlpm.CSVVal
)),"")</f>
        <v/>
      </c>
      <c r="E1246" s="40" t="str">
        <f>_xlfn.XLOOKUP(A1246,My_Audit!A:A,My_Audit!D:D,"")</f>
        <v/>
      </c>
      <c r="F1246" s="40" t="str" cm="1">
        <f t="array" ref="F1246">IFERROR(_xlfn.LET(
_xlpm.CSVVal,_xlfn.XLOOKUP($A1246,CSV!$A:$A,CSV!F:F,""),
_xlpm.MacVal,_xlfn.XLOOKUP($A1246,Output_Mac!$A:$A,Output_Mac!E:E,""),
_xlpm.MyAuditVal,_xlfn.XLOOKUP($A1246,My_Audit!$A:$A,My_Audit!E:E,""),
_xlfn.IFS(_xlpm.MyAuditVal&lt;&gt;"",_xlpm.MyAuditVal,_xlpm.MacVal&lt;&gt;"",_xlpm.MacVal,_xlpm.CSVVal&lt;&gt;"",_xlpm.CSVVal
)),"")</f>
        <v/>
      </c>
      <c r="G1246" s="40" t="str" cm="1">
        <f t="array" ref="G1246">IFERROR(_xlfn.LET(
_xlpm.CSVVal,_xlfn.XLOOKUP($A1246,CSV!$A:$A,CSV!G:G,""),
_xlpm.MacVal,_xlfn.XLOOKUP($A1246,Output_Mac!$A:$A,Output_Mac!F:F,""),
_xlpm.MyAuditVal,_xlfn.XLOOKUP($A1246,My_Audit!$A:$A,My_Audit!F:F,""),
_xlfn.IFS(_xlpm.MyAuditVal&lt;&gt;"",_xlpm.MyAuditVal,_xlpm.MacVal&lt;&gt;"",_xlpm.MacVal,_xlpm.CSVVal&lt;&gt;"",PROPER(_xlpm.CSVVal)
)),"")</f>
        <v/>
      </c>
      <c r="H1246" s="40" t="str" cm="1">
        <f t="array" ref="H1246">IFERROR(_xlfn.LET(
_xlpm.CSVVal,_xlfn.XLOOKUP($A1246,CSV!$A:$A,CSV!H:H,""),
_xlpm.MacVal,_xlfn.XLOOKUP($A1246,Output_Mac!$A:$A,Output_Mac!H:H,""),
_xlpm.MyAuditVal,_xlfn.XLOOKUP($A1246,My_Audit!$A:$A,My_Audit!G:G,""),
_xlfn.IFS(_xlpm.MyAuditVal&lt;&gt;"",_xlpm.MyAuditVal,_xlpm.MacVal&lt;&gt;"",_xlpm.MacVal,_xlpm.CSVVal&lt;&gt;"",_xlpm.CSVVal
)),"")</f>
        <v/>
      </c>
      <c r="I1246" s="40" t="str">
        <f>_xlfn.XLOOKUP(A1246,Output_Mac!A:A,Output_Mac!I:I,"")</f>
        <v/>
      </c>
      <c r="J1246" s="40" t="str" cm="1">
        <f t="array" ref="J1246">IFERROR(_xlfn.LET(
_xlpm.CSVVal,_xlfn.XLOOKUP($A1246,CSV!$A:$A,CSV!I:I,""),
_xlpm.MacVal,_xlfn.XLOOKUP($A1246,Output_Mac!$A:$A,Output_Mac!J:J,""),
_xlpm.MyAuditVal,_xlfn.XLOOKUP($A1246,My_Audit!$A:$A,My_Audit!I:I,""),
_xlfn.IFS(_xlpm.MyAuditVal&lt;&gt;"",UPPER(_xlpm.MyAuditVal),_xlpm.MacVal&lt;&gt;"",_xlpm.MacVal,_xlpm.CSVVal&lt;&gt;"",_xlpm.CSVVal
)),"")</f>
        <v/>
      </c>
      <c r="K1246" s="40" t="str" cm="1">
        <f t="array" ref="K1246">IFERROR(_xlfn.LET(
_xlpm.CSVVal,_xlfn.XLOOKUP($A1246,CSV!$A:$A,CSV!K:K,""),
_xlpm.MacVal,_xlfn.XLOOKUP($A1246,Output_Mac!$A:$A,Output_Mac!K:K,""),
_xlpm.MyAuditVal,_xlfn.XLOOKUP($A1246,My_Audit!$A:$A,My_Audit!J:J,""),
_xlfn.IFS(_xlpm.MyAuditVal&lt;&gt;"",UPPER(_xlpm.MyAuditVal),_xlpm.MacVal&lt;&gt;"",_xlpm.MacVal,_xlpm.CSVVal&lt;&gt;"",_xlpm.CSVVal
)),"")</f>
        <v/>
      </c>
      <c r="L1246" s="40" t="str" cm="1">
        <f t="array" ref="L1246">IFERROR(_xlfn.LET(
_xlpm.CSVVal,_xlfn.XLOOKUP($A1246,CSV!$A:$A,CSV!P:P,""),
_xlpm.MacVal,_xlfn.XLOOKUP($A1246,Output_Mac!$A:$A,Output_Mac!L:L,""),
_xlpm.MyAuditVal,_xlfn.XLOOKUP($A1246,My_Audit!$A:$A,My_Audit!K:K,""),
_xlfn.IFS(_xlpm.MyAuditVal&lt;&gt;"",UPPER(_xlpm.MyAuditVal),_xlpm.MacVal&lt;&gt;"",_xlpm.MacVal,_xlpm.CSVVal&lt;&gt;"",_xlpm.CSVVal
)),"")</f>
        <v/>
      </c>
      <c r="M1246" s="40" t="str" cm="1">
        <f t="array" ref="M1246">IFERROR(_xlfn.LET(
_xlpm.CSVVal,_xlfn.XLOOKUP($A1246,CSV!$A:$A,CSV!Q:Q,""),
_xlpm.MacVal,_xlfn.XLOOKUP($A1246,Output_Mac!$A:$A,Output_Mac!M:M,""),
_xlpm.MyAuditVal,_xlfn.XLOOKUP($A1246,My_Audit!$A:$A,My_Audit!L:L,""),
_xlfn.IFS(_xlpm.MyAuditVal&lt;&gt;"",UPPER(_xlpm.MyAuditVal),_xlpm.MacVal&lt;&gt;"",_xlpm.MacVal,_xlpm.CSVVal&lt;&gt;"",_xlpm.CSVVal
)),"")</f>
        <v/>
      </c>
      <c r="N1246" s="40"/>
      <c r="O1246" s="40" t="str">
        <f>_xlfn.LET(
    _xlpm.CSVVal, _xlfn.XLOOKUP($A1246, CSV!$A:$A, CSV!AA:AA, ""),
    _xlpm.MacVal, _xlfn.XLOOKUP($A1246, Output_Mac!$A:$A, Output_Mac!S:S, ""),
    _xlpm.MyAuditVal, _xlfn.XLOOKUP($A1246, My_Audit!$A:$A, My_Audit!P:P, ""),
    _xlfn.TEXTJOIN(", ", TRUE, _xlpm.MyAuditVal, _xlpm.MacVal, _xlpm.CSVVal)
)</f>
        <v/>
      </c>
      <c r="P1246" s="40" t="str" cm="1">
        <f t="array" ref="P1246">IFERROR(_xlfn.LET(
_xlpm.CSVVal,_xlfn.XLOOKUP($A1246,CSV!$A:$A,CSV!AB:AB,""),
_xlpm.MacVal,_xlfn.XLOOKUP($A1246,Output_Mac!$A:$A,Output_Mac!T:T,""),
_xlpm.MyAuditVal,_xlfn.XLOOKUP($A1246,My_Audit!$A:$A,My_Audit!Q:Q,""),
_xlfn.IFS(_xlpm.MyAuditVal&lt;&gt;"",UPPER(_xlpm.MyAuditVal),_xlpm.MacVal&lt;&gt;"",_xlpm.MacVal,_xlpm.CSVVal&lt;&gt;"",_xlpm.CSVVal
)),"No")</f>
        <v>No</v>
      </c>
      <c r="Q1246" s="40" t="str" cm="1">
        <f t="array" ref="Q1246">IFERROR(_xlfn.LET(
_xlpm.CSVVal,_xlfn.XLOOKUP($A1246,CSV!$A:$A,CSV!AC:AC,""),
_xlpm.MacVal,_xlfn.XLOOKUP($A1246,Output_Mac!$A:$A,Output_Mac!U:U,""),
_xlpm.MyAuditVal,_xlfn.XLOOKUP($A1246,My_Audit!$A:$A,My_Audit!R:R,""),
_xlfn.IFS(_xlpm.MyAuditVal&lt;&gt;"",UPPER(_xlpm.MyAuditVal),_xlpm.MacVal&lt;&gt;"",_xlpm.MacVal,_xlpm.CSVVal&lt;&gt;"",_xlpm.CSVVal
)),"")</f>
        <v/>
      </c>
      <c r="R1246" s="40"/>
      <c r="S1246" s="40"/>
      <c r="T1246" s="40"/>
      <c r="U1246" s="40"/>
      <c r="V1246" s="40"/>
      <c r="W1246" s="40"/>
      <c r="X1246" s="41" t="str">
        <f>_xlfn.LET(
    _xlpm.MacVal, _xlfn.XLOOKUP($A1246, Output_Mac!$A:$A, Output_Mac!AB:AB, ""),
    _xlpm.MyAuditVal, _xlfn.XLOOKUP($A1246, My_Audit!$A:$A, My_Audit!N:N, ""),
    _xlfn.TEXTJOIN(", ", TRUE, _xlpm.MyAuditVal, _xlpm.MacVal)
)</f>
        <v/>
      </c>
    </row>
    <row r="1247" spans="1:24">
      <c r="A1247" s="40" t="str">
        <f>_xlfn.TEXTJOIN("",TRUE,Input!$B$2,ROW(My_Audit!A1246))</f>
        <v>X1246</v>
      </c>
      <c r="B1247" s="40" t="str">
        <f>_xlfn.TEXTJOIN("-",TRUE,"ITD",Input!$A$2,A1247)</f>
        <v>ITD-X1246</v>
      </c>
      <c r="C1247" s="40" t="str" cm="1">
        <f t="array" ref="C1247">IFERROR(_xlfn.LET(
_xlpm.CSVVal,_xlfn.XLOOKUP($A1247,CSV!$A:$A,CSV!B:B,""),
_xlpm.MacVal,_xlfn.XLOOKUP($A1247,Output_Mac!$A:$A,Output_Mac!B:B,""),
_xlpm.MyAuditVal,_xlfn.XLOOKUP($A1247,My_Audit!$A:$A,My_Audit!B:B,""),
_xlfn.IFS(_xlpm.MyAuditVal&lt;&gt;"",UPPER(_xlpm.MyAuditVal),_xlpm.MacVal&lt;&gt;"",_xlpm.MacVal,_xlpm.CSVVal&lt;&gt;"",_xlpm.CSVVal
)),"")</f>
        <v/>
      </c>
      <c r="D1247" s="40" t="str" cm="1">
        <f t="array" ref="D1247">IFERROR(_xlfn.LET(
_xlpm.CSVVal,_xlfn.XLOOKUP($A1247,CSV!$A:$A,CSV!D:D,""),
_xlpm.MacVal,_xlfn.XLOOKUP($A1247,Output_Mac!$A:$A,Output_Mac!C:C,""),
_xlpm.MyAuditVal,_xlfn.XLOOKUP($A1247,My_Audit!$A:$A,My_Audit!C:C,""),
_xlfn.IFS(_xlpm.MyAuditVal&lt;&gt;"",_xlpm.MyAuditVal,_xlpm.MacVal&lt;&gt;"",_xlpm.MacVal,_xlpm.CSVVal&lt;&gt;"",_xlpm.CSVVal
)),"")</f>
        <v/>
      </c>
      <c r="E1247" s="40" t="str">
        <f>_xlfn.XLOOKUP(A1247,My_Audit!A:A,My_Audit!D:D,"")</f>
        <v/>
      </c>
      <c r="F1247" s="40" t="str" cm="1">
        <f t="array" ref="F1247">IFERROR(_xlfn.LET(
_xlpm.CSVVal,_xlfn.XLOOKUP($A1247,CSV!$A:$A,CSV!F:F,""),
_xlpm.MacVal,_xlfn.XLOOKUP($A1247,Output_Mac!$A:$A,Output_Mac!E:E,""),
_xlpm.MyAuditVal,_xlfn.XLOOKUP($A1247,My_Audit!$A:$A,My_Audit!E:E,""),
_xlfn.IFS(_xlpm.MyAuditVal&lt;&gt;"",_xlpm.MyAuditVal,_xlpm.MacVal&lt;&gt;"",_xlpm.MacVal,_xlpm.CSVVal&lt;&gt;"",_xlpm.CSVVal
)),"")</f>
        <v/>
      </c>
      <c r="G1247" s="40" t="str" cm="1">
        <f t="array" ref="G1247">IFERROR(_xlfn.LET(
_xlpm.CSVVal,_xlfn.XLOOKUP($A1247,CSV!$A:$A,CSV!G:G,""),
_xlpm.MacVal,_xlfn.XLOOKUP($A1247,Output_Mac!$A:$A,Output_Mac!F:F,""),
_xlpm.MyAuditVal,_xlfn.XLOOKUP($A1247,My_Audit!$A:$A,My_Audit!F:F,""),
_xlfn.IFS(_xlpm.MyAuditVal&lt;&gt;"",_xlpm.MyAuditVal,_xlpm.MacVal&lt;&gt;"",_xlpm.MacVal,_xlpm.CSVVal&lt;&gt;"",PROPER(_xlpm.CSVVal)
)),"")</f>
        <v/>
      </c>
      <c r="H1247" s="40" t="str" cm="1">
        <f t="array" ref="H1247">IFERROR(_xlfn.LET(
_xlpm.CSVVal,_xlfn.XLOOKUP($A1247,CSV!$A:$A,CSV!H:H,""),
_xlpm.MacVal,_xlfn.XLOOKUP($A1247,Output_Mac!$A:$A,Output_Mac!H:H,""),
_xlpm.MyAuditVal,_xlfn.XLOOKUP($A1247,My_Audit!$A:$A,My_Audit!G:G,""),
_xlfn.IFS(_xlpm.MyAuditVal&lt;&gt;"",_xlpm.MyAuditVal,_xlpm.MacVal&lt;&gt;"",_xlpm.MacVal,_xlpm.CSVVal&lt;&gt;"",_xlpm.CSVVal
)),"")</f>
        <v/>
      </c>
      <c r="I1247" s="40" t="str">
        <f>_xlfn.XLOOKUP(A1247,Output_Mac!A:A,Output_Mac!I:I,"")</f>
        <v/>
      </c>
      <c r="J1247" s="40" t="str" cm="1">
        <f t="array" ref="J1247">IFERROR(_xlfn.LET(
_xlpm.CSVVal,_xlfn.XLOOKUP($A1247,CSV!$A:$A,CSV!I:I,""),
_xlpm.MacVal,_xlfn.XLOOKUP($A1247,Output_Mac!$A:$A,Output_Mac!J:J,""),
_xlpm.MyAuditVal,_xlfn.XLOOKUP($A1247,My_Audit!$A:$A,My_Audit!I:I,""),
_xlfn.IFS(_xlpm.MyAuditVal&lt;&gt;"",UPPER(_xlpm.MyAuditVal),_xlpm.MacVal&lt;&gt;"",_xlpm.MacVal,_xlpm.CSVVal&lt;&gt;"",_xlpm.CSVVal
)),"")</f>
        <v/>
      </c>
      <c r="K1247" s="40" t="str" cm="1">
        <f t="array" ref="K1247">IFERROR(_xlfn.LET(
_xlpm.CSVVal,_xlfn.XLOOKUP($A1247,CSV!$A:$A,CSV!K:K,""),
_xlpm.MacVal,_xlfn.XLOOKUP($A1247,Output_Mac!$A:$A,Output_Mac!K:K,""),
_xlpm.MyAuditVal,_xlfn.XLOOKUP($A1247,My_Audit!$A:$A,My_Audit!J:J,""),
_xlfn.IFS(_xlpm.MyAuditVal&lt;&gt;"",UPPER(_xlpm.MyAuditVal),_xlpm.MacVal&lt;&gt;"",_xlpm.MacVal,_xlpm.CSVVal&lt;&gt;"",_xlpm.CSVVal
)),"")</f>
        <v/>
      </c>
      <c r="L1247" s="40" t="str" cm="1">
        <f t="array" ref="L1247">IFERROR(_xlfn.LET(
_xlpm.CSVVal,_xlfn.XLOOKUP($A1247,CSV!$A:$A,CSV!P:P,""),
_xlpm.MacVal,_xlfn.XLOOKUP($A1247,Output_Mac!$A:$A,Output_Mac!L:L,""),
_xlpm.MyAuditVal,_xlfn.XLOOKUP($A1247,My_Audit!$A:$A,My_Audit!K:K,""),
_xlfn.IFS(_xlpm.MyAuditVal&lt;&gt;"",UPPER(_xlpm.MyAuditVal),_xlpm.MacVal&lt;&gt;"",_xlpm.MacVal,_xlpm.CSVVal&lt;&gt;"",_xlpm.CSVVal
)),"")</f>
        <v/>
      </c>
      <c r="M1247" s="40" t="str" cm="1">
        <f t="array" ref="M1247">IFERROR(_xlfn.LET(
_xlpm.CSVVal,_xlfn.XLOOKUP($A1247,CSV!$A:$A,CSV!Q:Q,""),
_xlpm.MacVal,_xlfn.XLOOKUP($A1247,Output_Mac!$A:$A,Output_Mac!M:M,""),
_xlpm.MyAuditVal,_xlfn.XLOOKUP($A1247,My_Audit!$A:$A,My_Audit!L:L,""),
_xlfn.IFS(_xlpm.MyAuditVal&lt;&gt;"",UPPER(_xlpm.MyAuditVal),_xlpm.MacVal&lt;&gt;"",_xlpm.MacVal,_xlpm.CSVVal&lt;&gt;"",_xlpm.CSVVal
)),"")</f>
        <v/>
      </c>
      <c r="N1247" s="40"/>
      <c r="O1247" s="40" t="str">
        <f>_xlfn.LET(
    _xlpm.CSVVal, _xlfn.XLOOKUP($A1247, CSV!$A:$A, CSV!AA:AA, ""),
    _xlpm.MacVal, _xlfn.XLOOKUP($A1247, Output_Mac!$A:$A, Output_Mac!S:S, ""),
    _xlpm.MyAuditVal, _xlfn.XLOOKUP($A1247, My_Audit!$A:$A, My_Audit!P:P, ""),
    _xlfn.TEXTJOIN(", ", TRUE, _xlpm.MyAuditVal, _xlpm.MacVal, _xlpm.CSVVal)
)</f>
        <v/>
      </c>
      <c r="P1247" s="40" t="str" cm="1">
        <f t="array" ref="P1247">IFERROR(_xlfn.LET(
_xlpm.CSVVal,_xlfn.XLOOKUP($A1247,CSV!$A:$A,CSV!AB:AB,""),
_xlpm.MacVal,_xlfn.XLOOKUP($A1247,Output_Mac!$A:$A,Output_Mac!T:T,""),
_xlpm.MyAuditVal,_xlfn.XLOOKUP($A1247,My_Audit!$A:$A,My_Audit!Q:Q,""),
_xlfn.IFS(_xlpm.MyAuditVal&lt;&gt;"",UPPER(_xlpm.MyAuditVal),_xlpm.MacVal&lt;&gt;"",_xlpm.MacVal,_xlpm.CSVVal&lt;&gt;"",_xlpm.CSVVal
)),"No")</f>
        <v>No</v>
      </c>
      <c r="Q1247" s="40" t="str" cm="1">
        <f t="array" ref="Q1247">IFERROR(_xlfn.LET(
_xlpm.CSVVal,_xlfn.XLOOKUP($A1247,CSV!$A:$A,CSV!AC:AC,""),
_xlpm.MacVal,_xlfn.XLOOKUP($A1247,Output_Mac!$A:$A,Output_Mac!U:U,""),
_xlpm.MyAuditVal,_xlfn.XLOOKUP($A1247,My_Audit!$A:$A,My_Audit!R:R,""),
_xlfn.IFS(_xlpm.MyAuditVal&lt;&gt;"",UPPER(_xlpm.MyAuditVal),_xlpm.MacVal&lt;&gt;"",_xlpm.MacVal,_xlpm.CSVVal&lt;&gt;"",_xlpm.CSVVal
)),"")</f>
        <v/>
      </c>
      <c r="R1247" s="40"/>
      <c r="S1247" s="40"/>
      <c r="T1247" s="40"/>
      <c r="U1247" s="40"/>
      <c r="V1247" s="40"/>
      <c r="W1247" s="40"/>
      <c r="X1247" s="41" t="str">
        <f>_xlfn.LET(
    _xlpm.MacVal, _xlfn.XLOOKUP($A1247, Output_Mac!$A:$A, Output_Mac!AB:AB, ""),
    _xlpm.MyAuditVal, _xlfn.XLOOKUP($A1247, My_Audit!$A:$A, My_Audit!N:N, ""),
    _xlfn.TEXTJOIN(", ", TRUE, _xlpm.MyAuditVal, _xlpm.MacVal)
)</f>
        <v/>
      </c>
    </row>
    <row r="1248" spans="1:24">
      <c r="A1248" s="40" t="str">
        <f>_xlfn.TEXTJOIN("",TRUE,Input!$B$2,ROW(My_Audit!A1247))</f>
        <v>X1247</v>
      </c>
      <c r="B1248" s="40" t="str">
        <f>_xlfn.TEXTJOIN("-",TRUE,"ITD",Input!$A$2,A1248)</f>
        <v>ITD-X1247</v>
      </c>
      <c r="C1248" s="40" t="str" cm="1">
        <f t="array" ref="C1248">IFERROR(_xlfn.LET(
_xlpm.CSVVal,_xlfn.XLOOKUP($A1248,CSV!$A:$A,CSV!B:B,""),
_xlpm.MacVal,_xlfn.XLOOKUP($A1248,Output_Mac!$A:$A,Output_Mac!B:B,""),
_xlpm.MyAuditVal,_xlfn.XLOOKUP($A1248,My_Audit!$A:$A,My_Audit!B:B,""),
_xlfn.IFS(_xlpm.MyAuditVal&lt;&gt;"",UPPER(_xlpm.MyAuditVal),_xlpm.MacVal&lt;&gt;"",_xlpm.MacVal,_xlpm.CSVVal&lt;&gt;"",_xlpm.CSVVal
)),"")</f>
        <v/>
      </c>
      <c r="D1248" s="40" t="str" cm="1">
        <f t="array" ref="D1248">IFERROR(_xlfn.LET(
_xlpm.CSVVal,_xlfn.XLOOKUP($A1248,CSV!$A:$A,CSV!D:D,""),
_xlpm.MacVal,_xlfn.XLOOKUP($A1248,Output_Mac!$A:$A,Output_Mac!C:C,""),
_xlpm.MyAuditVal,_xlfn.XLOOKUP($A1248,My_Audit!$A:$A,My_Audit!C:C,""),
_xlfn.IFS(_xlpm.MyAuditVal&lt;&gt;"",_xlpm.MyAuditVal,_xlpm.MacVal&lt;&gt;"",_xlpm.MacVal,_xlpm.CSVVal&lt;&gt;"",_xlpm.CSVVal
)),"")</f>
        <v/>
      </c>
      <c r="E1248" s="40" t="str">
        <f>_xlfn.XLOOKUP(A1248,My_Audit!A:A,My_Audit!D:D,"")</f>
        <v/>
      </c>
      <c r="F1248" s="40" t="str" cm="1">
        <f t="array" ref="F1248">IFERROR(_xlfn.LET(
_xlpm.CSVVal,_xlfn.XLOOKUP($A1248,CSV!$A:$A,CSV!F:F,""),
_xlpm.MacVal,_xlfn.XLOOKUP($A1248,Output_Mac!$A:$A,Output_Mac!E:E,""),
_xlpm.MyAuditVal,_xlfn.XLOOKUP($A1248,My_Audit!$A:$A,My_Audit!E:E,""),
_xlfn.IFS(_xlpm.MyAuditVal&lt;&gt;"",_xlpm.MyAuditVal,_xlpm.MacVal&lt;&gt;"",_xlpm.MacVal,_xlpm.CSVVal&lt;&gt;"",_xlpm.CSVVal
)),"")</f>
        <v/>
      </c>
      <c r="G1248" s="40" t="str" cm="1">
        <f t="array" ref="G1248">IFERROR(_xlfn.LET(
_xlpm.CSVVal,_xlfn.XLOOKUP($A1248,CSV!$A:$A,CSV!G:G,""),
_xlpm.MacVal,_xlfn.XLOOKUP($A1248,Output_Mac!$A:$A,Output_Mac!F:F,""),
_xlpm.MyAuditVal,_xlfn.XLOOKUP($A1248,My_Audit!$A:$A,My_Audit!F:F,""),
_xlfn.IFS(_xlpm.MyAuditVal&lt;&gt;"",_xlpm.MyAuditVal,_xlpm.MacVal&lt;&gt;"",_xlpm.MacVal,_xlpm.CSVVal&lt;&gt;"",PROPER(_xlpm.CSVVal)
)),"")</f>
        <v/>
      </c>
      <c r="H1248" s="40" t="str" cm="1">
        <f t="array" ref="H1248">IFERROR(_xlfn.LET(
_xlpm.CSVVal,_xlfn.XLOOKUP($A1248,CSV!$A:$A,CSV!H:H,""),
_xlpm.MacVal,_xlfn.XLOOKUP($A1248,Output_Mac!$A:$A,Output_Mac!H:H,""),
_xlpm.MyAuditVal,_xlfn.XLOOKUP($A1248,My_Audit!$A:$A,My_Audit!G:G,""),
_xlfn.IFS(_xlpm.MyAuditVal&lt;&gt;"",_xlpm.MyAuditVal,_xlpm.MacVal&lt;&gt;"",_xlpm.MacVal,_xlpm.CSVVal&lt;&gt;"",_xlpm.CSVVal
)),"")</f>
        <v/>
      </c>
      <c r="I1248" s="40" t="str">
        <f>_xlfn.XLOOKUP(A1248,Output_Mac!A:A,Output_Mac!I:I,"")</f>
        <v/>
      </c>
      <c r="J1248" s="40" t="str" cm="1">
        <f t="array" ref="J1248">IFERROR(_xlfn.LET(
_xlpm.CSVVal,_xlfn.XLOOKUP($A1248,CSV!$A:$A,CSV!I:I,""),
_xlpm.MacVal,_xlfn.XLOOKUP($A1248,Output_Mac!$A:$A,Output_Mac!J:J,""),
_xlpm.MyAuditVal,_xlfn.XLOOKUP($A1248,My_Audit!$A:$A,My_Audit!I:I,""),
_xlfn.IFS(_xlpm.MyAuditVal&lt;&gt;"",UPPER(_xlpm.MyAuditVal),_xlpm.MacVal&lt;&gt;"",_xlpm.MacVal,_xlpm.CSVVal&lt;&gt;"",_xlpm.CSVVal
)),"")</f>
        <v/>
      </c>
      <c r="K1248" s="40" t="str" cm="1">
        <f t="array" ref="K1248">IFERROR(_xlfn.LET(
_xlpm.CSVVal,_xlfn.XLOOKUP($A1248,CSV!$A:$A,CSV!K:K,""),
_xlpm.MacVal,_xlfn.XLOOKUP($A1248,Output_Mac!$A:$A,Output_Mac!K:K,""),
_xlpm.MyAuditVal,_xlfn.XLOOKUP($A1248,My_Audit!$A:$A,My_Audit!J:J,""),
_xlfn.IFS(_xlpm.MyAuditVal&lt;&gt;"",UPPER(_xlpm.MyAuditVal),_xlpm.MacVal&lt;&gt;"",_xlpm.MacVal,_xlpm.CSVVal&lt;&gt;"",_xlpm.CSVVal
)),"")</f>
        <v/>
      </c>
      <c r="L1248" s="40" t="str" cm="1">
        <f t="array" ref="L1248">IFERROR(_xlfn.LET(
_xlpm.CSVVal,_xlfn.XLOOKUP($A1248,CSV!$A:$A,CSV!P:P,""),
_xlpm.MacVal,_xlfn.XLOOKUP($A1248,Output_Mac!$A:$A,Output_Mac!L:L,""),
_xlpm.MyAuditVal,_xlfn.XLOOKUP($A1248,My_Audit!$A:$A,My_Audit!K:K,""),
_xlfn.IFS(_xlpm.MyAuditVal&lt;&gt;"",UPPER(_xlpm.MyAuditVal),_xlpm.MacVal&lt;&gt;"",_xlpm.MacVal,_xlpm.CSVVal&lt;&gt;"",_xlpm.CSVVal
)),"")</f>
        <v/>
      </c>
      <c r="M1248" s="40" t="str" cm="1">
        <f t="array" ref="M1248">IFERROR(_xlfn.LET(
_xlpm.CSVVal,_xlfn.XLOOKUP($A1248,CSV!$A:$A,CSV!Q:Q,""),
_xlpm.MacVal,_xlfn.XLOOKUP($A1248,Output_Mac!$A:$A,Output_Mac!M:M,""),
_xlpm.MyAuditVal,_xlfn.XLOOKUP($A1248,My_Audit!$A:$A,My_Audit!L:L,""),
_xlfn.IFS(_xlpm.MyAuditVal&lt;&gt;"",UPPER(_xlpm.MyAuditVal),_xlpm.MacVal&lt;&gt;"",_xlpm.MacVal,_xlpm.CSVVal&lt;&gt;"",_xlpm.CSVVal
)),"")</f>
        <v/>
      </c>
      <c r="N1248" s="40"/>
      <c r="O1248" s="40" t="str">
        <f>_xlfn.LET(
    _xlpm.CSVVal, _xlfn.XLOOKUP($A1248, CSV!$A:$A, CSV!AA:AA, ""),
    _xlpm.MacVal, _xlfn.XLOOKUP($A1248, Output_Mac!$A:$A, Output_Mac!S:S, ""),
    _xlpm.MyAuditVal, _xlfn.XLOOKUP($A1248, My_Audit!$A:$A, My_Audit!P:P, ""),
    _xlfn.TEXTJOIN(", ", TRUE, _xlpm.MyAuditVal, _xlpm.MacVal, _xlpm.CSVVal)
)</f>
        <v/>
      </c>
      <c r="P1248" s="40" t="str" cm="1">
        <f t="array" ref="P1248">IFERROR(_xlfn.LET(
_xlpm.CSVVal,_xlfn.XLOOKUP($A1248,CSV!$A:$A,CSV!AB:AB,""),
_xlpm.MacVal,_xlfn.XLOOKUP($A1248,Output_Mac!$A:$A,Output_Mac!T:T,""),
_xlpm.MyAuditVal,_xlfn.XLOOKUP($A1248,My_Audit!$A:$A,My_Audit!Q:Q,""),
_xlfn.IFS(_xlpm.MyAuditVal&lt;&gt;"",UPPER(_xlpm.MyAuditVal),_xlpm.MacVal&lt;&gt;"",_xlpm.MacVal,_xlpm.CSVVal&lt;&gt;"",_xlpm.CSVVal
)),"No")</f>
        <v>No</v>
      </c>
      <c r="Q1248" s="40" t="str" cm="1">
        <f t="array" ref="Q1248">IFERROR(_xlfn.LET(
_xlpm.CSVVal,_xlfn.XLOOKUP($A1248,CSV!$A:$A,CSV!AC:AC,""),
_xlpm.MacVal,_xlfn.XLOOKUP($A1248,Output_Mac!$A:$A,Output_Mac!U:U,""),
_xlpm.MyAuditVal,_xlfn.XLOOKUP($A1248,My_Audit!$A:$A,My_Audit!R:R,""),
_xlfn.IFS(_xlpm.MyAuditVal&lt;&gt;"",UPPER(_xlpm.MyAuditVal),_xlpm.MacVal&lt;&gt;"",_xlpm.MacVal,_xlpm.CSVVal&lt;&gt;"",_xlpm.CSVVal
)),"")</f>
        <v/>
      </c>
      <c r="R1248" s="40"/>
      <c r="S1248" s="40"/>
      <c r="T1248" s="40"/>
      <c r="U1248" s="40"/>
      <c r="V1248" s="40"/>
      <c r="W1248" s="40"/>
      <c r="X1248" s="41" t="str">
        <f>_xlfn.LET(
    _xlpm.MacVal, _xlfn.XLOOKUP($A1248, Output_Mac!$A:$A, Output_Mac!AB:AB, ""),
    _xlpm.MyAuditVal, _xlfn.XLOOKUP($A1248, My_Audit!$A:$A, My_Audit!N:N, ""),
    _xlfn.TEXTJOIN(", ", TRUE, _xlpm.MyAuditVal, _xlpm.MacVal)
)</f>
        <v/>
      </c>
    </row>
    <row r="1249" spans="1:24">
      <c r="A1249" s="40" t="str">
        <f>_xlfn.TEXTJOIN("",TRUE,Input!$B$2,ROW(My_Audit!A1248))</f>
        <v>X1248</v>
      </c>
      <c r="B1249" s="40" t="str">
        <f>_xlfn.TEXTJOIN("-",TRUE,"ITD",Input!$A$2,A1249)</f>
        <v>ITD-X1248</v>
      </c>
      <c r="C1249" s="40" t="str" cm="1">
        <f t="array" ref="C1249">IFERROR(_xlfn.LET(
_xlpm.CSVVal,_xlfn.XLOOKUP($A1249,CSV!$A:$A,CSV!B:B,""),
_xlpm.MacVal,_xlfn.XLOOKUP($A1249,Output_Mac!$A:$A,Output_Mac!B:B,""),
_xlpm.MyAuditVal,_xlfn.XLOOKUP($A1249,My_Audit!$A:$A,My_Audit!B:B,""),
_xlfn.IFS(_xlpm.MyAuditVal&lt;&gt;"",UPPER(_xlpm.MyAuditVal),_xlpm.MacVal&lt;&gt;"",_xlpm.MacVal,_xlpm.CSVVal&lt;&gt;"",_xlpm.CSVVal
)),"")</f>
        <v/>
      </c>
      <c r="D1249" s="40" t="str" cm="1">
        <f t="array" ref="D1249">IFERROR(_xlfn.LET(
_xlpm.CSVVal,_xlfn.XLOOKUP($A1249,CSV!$A:$A,CSV!D:D,""),
_xlpm.MacVal,_xlfn.XLOOKUP($A1249,Output_Mac!$A:$A,Output_Mac!C:C,""),
_xlpm.MyAuditVal,_xlfn.XLOOKUP($A1249,My_Audit!$A:$A,My_Audit!C:C,""),
_xlfn.IFS(_xlpm.MyAuditVal&lt;&gt;"",_xlpm.MyAuditVal,_xlpm.MacVal&lt;&gt;"",_xlpm.MacVal,_xlpm.CSVVal&lt;&gt;"",_xlpm.CSVVal
)),"")</f>
        <v/>
      </c>
      <c r="E1249" s="40" t="str">
        <f>_xlfn.XLOOKUP(A1249,My_Audit!A:A,My_Audit!D:D,"")</f>
        <v/>
      </c>
      <c r="F1249" s="40" t="str" cm="1">
        <f t="array" ref="F1249">IFERROR(_xlfn.LET(
_xlpm.CSVVal,_xlfn.XLOOKUP($A1249,CSV!$A:$A,CSV!F:F,""),
_xlpm.MacVal,_xlfn.XLOOKUP($A1249,Output_Mac!$A:$A,Output_Mac!E:E,""),
_xlpm.MyAuditVal,_xlfn.XLOOKUP($A1249,My_Audit!$A:$A,My_Audit!E:E,""),
_xlfn.IFS(_xlpm.MyAuditVal&lt;&gt;"",_xlpm.MyAuditVal,_xlpm.MacVal&lt;&gt;"",_xlpm.MacVal,_xlpm.CSVVal&lt;&gt;"",_xlpm.CSVVal
)),"")</f>
        <v/>
      </c>
      <c r="G1249" s="40" t="str" cm="1">
        <f t="array" ref="G1249">IFERROR(_xlfn.LET(
_xlpm.CSVVal,_xlfn.XLOOKUP($A1249,CSV!$A:$A,CSV!G:G,""),
_xlpm.MacVal,_xlfn.XLOOKUP($A1249,Output_Mac!$A:$A,Output_Mac!F:F,""),
_xlpm.MyAuditVal,_xlfn.XLOOKUP($A1249,My_Audit!$A:$A,My_Audit!F:F,""),
_xlfn.IFS(_xlpm.MyAuditVal&lt;&gt;"",_xlpm.MyAuditVal,_xlpm.MacVal&lt;&gt;"",_xlpm.MacVal,_xlpm.CSVVal&lt;&gt;"",PROPER(_xlpm.CSVVal)
)),"")</f>
        <v/>
      </c>
      <c r="H1249" s="40" t="str" cm="1">
        <f t="array" ref="H1249">IFERROR(_xlfn.LET(
_xlpm.CSVVal,_xlfn.XLOOKUP($A1249,CSV!$A:$A,CSV!H:H,""),
_xlpm.MacVal,_xlfn.XLOOKUP($A1249,Output_Mac!$A:$A,Output_Mac!H:H,""),
_xlpm.MyAuditVal,_xlfn.XLOOKUP($A1249,My_Audit!$A:$A,My_Audit!G:G,""),
_xlfn.IFS(_xlpm.MyAuditVal&lt;&gt;"",_xlpm.MyAuditVal,_xlpm.MacVal&lt;&gt;"",_xlpm.MacVal,_xlpm.CSVVal&lt;&gt;"",_xlpm.CSVVal
)),"")</f>
        <v/>
      </c>
      <c r="I1249" s="40" t="str">
        <f>_xlfn.XLOOKUP(A1249,Output_Mac!A:A,Output_Mac!I:I,"")</f>
        <v/>
      </c>
      <c r="J1249" s="40" t="str" cm="1">
        <f t="array" ref="J1249">IFERROR(_xlfn.LET(
_xlpm.CSVVal,_xlfn.XLOOKUP($A1249,CSV!$A:$A,CSV!I:I,""),
_xlpm.MacVal,_xlfn.XLOOKUP($A1249,Output_Mac!$A:$A,Output_Mac!J:J,""),
_xlpm.MyAuditVal,_xlfn.XLOOKUP($A1249,My_Audit!$A:$A,My_Audit!I:I,""),
_xlfn.IFS(_xlpm.MyAuditVal&lt;&gt;"",UPPER(_xlpm.MyAuditVal),_xlpm.MacVal&lt;&gt;"",_xlpm.MacVal,_xlpm.CSVVal&lt;&gt;"",_xlpm.CSVVal
)),"")</f>
        <v/>
      </c>
      <c r="K1249" s="40" t="str" cm="1">
        <f t="array" ref="K1249">IFERROR(_xlfn.LET(
_xlpm.CSVVal,_xlfn.XLOOKUP($A1249,CSV!$A:$A,CSV!K:K,""),
_xlpm.MacVal,_xlfn.XLOOKUP($A1249,Output_Mac!$A:$A,Output_Mac!K:K,""),
_xlpm.MyAuditVal,_xlfn.XLOOKUP($A1249,My_Audit!$A:$A,My_Audit!J:J,""),
_xlfn.IFS(_xlpm.MyAuditVal&lt;&gt;"",UPPER(_xlpm.MyAuditVal),_xlpm.MacVal&lt;&gt;"",_xlpm.MacVal,_xlpm.CSVVal&lt;&gt;"",_xlpm.CSVVal
)),"")</f>
        <v/>
      </c>
      <c r="L1249" s="40" t="str" cm="1">
        <f t="array" ref="L1249">IFERROR(_xlfn.LET(
_xlpm.CSVVal,_xlfn.XLOOKUP($A1249,CSV!$A:$A,CSV!P:P,""),
_xlpm.MacVal,_xlfn.XLOOKUP($A1249,Output_Mac!$A:$A,Output_Mac!L:L,""),
_xlpm.MyAuditVal,_xlfn.XLOOKUP($A1249,My_Audit!$A:$A,My_Audit!K:K,""),
_xlfn.IFS(_xlpm.MyAuditVal&lt;&gt;"",UPPER(_xlpm.MyAuditVal),_xlpm.MacVal&lt;&gt;"",_xlpm.MacVal,_xlpm.CSVVal&lt;&gt;"",_xlpm.CSVVal
)),"")</f>
        <v/>
      </c>
      <c r="M1249" s="40" t="str" cm="1">
        <f t="array" ref="M1249">IFERROR(_xlfn.LET(
_xlpm.CSVVal,_xlfn.XLOOKUP($A1249,CSV!$A:$A,CSV!Q:Q,""),
_xlpm.MacVal,_xlfn.XLOOKUP($A1249,Output_Mac!$A:$A,Output_Mac!M:M,""),
_xlpm.MyAuditVal,_xlfn.XLOOKUP($A1249,My_Audit!$A:$A,My_Audit!L:L,""),
_xlfn.IFS(_xlpm.MyAuditVal&lt;&gt;"",UPPER(_xlpm.MyAuditVal),_xlpm.MacVal&lt;&gt;"",_xlpm.MacVal,_xlpm.CSVVal&lt;&gt;"",_xlpm.CSVVal
)),"")</f>
        <v/>
      </c>
      <c r="N1249" s="40"/>
      <c r="O1249" s="40" t="str">
        <f>_xlfn.LET(
    _xlpm.CSVVal, _xlfn.XLOOKUP($A1249, CSV!$A:$A, CSV!AA:AA, ""),
    _xlpm.MacVal, _xlfn.XLOOKUP($A1249, Output_Mac!$A:$A, Output_Mac!S:S, ""),
    _xlpm.MyAuditVal, _xlfn.XLOOKUP($A1249, My_Audit!$A:$A, My_Audit!P:P, ""),
    _xlfn.TEXTJOIN(", ", TRUE, _xlpm.MyAuditVal, _xlpm.MacVal, _xlpm.CSVVal)
)</f>
        <v/>
      </c>
      <c r="P1249" s="40" t="str" cm="1">
        <f t="array" ref="P1249">IFERROR(_xlfn.LET(
_xlpm.CSVVal,_xlfn.XLOOKUP($A1249,CSV!$A:$A,CSV!AB:AB,""),
_xlpm.MacVal,_xlfn.XLOOKUP($A1249,Output_Mac!$A:$A,Output_Mac!T:T,""),
_xlpm.MyAuditVal,_xlfn.XLOOKUP($A1249,My_Audit!$A:$A,My_Audit!Q:Q,""),
_xlfn.IFS(_xlpm.MyAuditVal&lt;&gt;"",UPPER(_xlpm.MyAuditVal),_xlpm.MacVal&lt;&gt;"",_xlpm.MacVal,_xlpm.CSVVal&lt;&gt;"",_xlpm.CSVVal
)),"No")</f>
        <v>No</v>
      </c>
      <c r="Q1249" s="40" t="str" cm="1">
        <f t="array" ref="Q1249">IFERROR(_xlfn.LET(
_xlpm.CSVVal,_xlfn.XLOOKUP($A1249,CSV!$A:$A,CSV!AC:AC,""),
_xlpm.MacVal,_xlfn.XLOOKUP($A1249,Output_Mac!$A:$A,Output_Mac!U:U,""),
_xlpm.MyAuditVal,_xlfn.XLOOKUP($A1249,My_Audit!$A:$A,My_Audit!R:R,""),
_xlfn.IFS(_xlpm.MyAuditVal&lt;&gt;"",UPPER(_xlpm.MyAuditVal),_xlpm.MacVal&lt;&gt;"",_xlpm.MacVal,_xlpm.CSVVal&lt;&gt;"",_xlpm.CSVVal
)),"")</f>
        <v/>
      </c>
      <c r="R1249" s="40"/>
      <c r="S1249" s="40"/>
      <c r="T1249" s="40"/>
      <c r="U1249" s="40"/>
      <c r="V1249" s="40"/>
      <c r="W1249" s="40"/>
      <c r="X1249" s="41" t="str">
        <f>_xlfn.LET(
    _xlpm.MacVal, _xlfn.XLOOKUP($A1249, Output_Mac!$A:$A, Output_Mac!AB:AB, ""),
    _xlpm.MyAuditVal, _xlfn.XLOOKUP($A1249, My_Audit!$A:$A, My_Audit!N:N, ""),
    _xlfn.TEXTJOIN(", ", TRUE, _xlpm.MyAuditVal, _xlpm.MacVal)
)</f>
        <v/>
      </c>
    </row>
    <row r="1250" spans="1:24">
      <c r="A1250" s="40" t="str">
        <f>_xlfn.TEXTJOIN("",TRUE,Input!$B$2,ROW(My_Audit!A1249))</f>
        <v>X1249</v>
      </c>
      <c r="B1250" s="40" t="str">
        <f>_xlfn.TEXTJOIN("-",TRUE,"ITD",Input!$A$2,A1250)</f>
        <v>ITD-X1249</v>
      </c>
      <c r="C1250" s="40" t="str" cm="1">
        <f t="array" ref="C1250">IFERROR(_xlfn.LET(
_xlpm.CSVVal,_xlfn.XLOOKUP($A1250,CSV!$A:$A,CSV!B:B,""),
_xlpm.MacVal,_xlfn.XLOOKUP($A1250,Output_Mac!$A:$A,Output_Mac!B:B,""),
_xlpm.MyAuditVal,_xlfn.XLOOKUP($A1250,My_Audit!$A:$A,My_Audit!B:B,""),
_xlfn.IFS(_xlpm.MyAuditVal&lt;&gt;"",UPPER(_xlpm.MyAuditVal),_xlpm.MacVal&lt;&gt;"",_xlpm.MacVal,_xlpm.CSVVal&lt;&gt;"",_xlpm.CSVVal
)),"")</f>
        <v/>
      </c>
      <c r="D1250" s="40" t="str" cm="1">
        <f t="array" ref="D1250">IFERROR(_xlfn.LET(
_xlpm.CSVVal,_xlfn.XLOOKUP($A1250,CSV!$A:$A,CSV!D:D,""),
_xlpm.MacVal,_xlfn.XLOOKUP($A1250,Output_Mac!$A:$A,Output_Mac!C:C,""),
_xlpm.MyAuditVal,_xlfn.XLOOKUP($A1250,My_Audit!$A:$A,My_Audit!C:C,""),
_xlfn.IFS(_xlpm.MyAuditVal&lt;&gt;"",_xlpm.MyAuditVal,_xlpm.MacVal&lt;&gt;"",_xlpm.MacVal,_xlpm.CSVVal&lt;&gt;"",_xlpm.CSVVal
)),"")</f>
        <v/>
      </c>
      <c r="E1250" s="40" t="str">
        <f>_xlfn.XLOOKUP(A1250,My_Audit!A:A,My_Audit!D:D,"")</f>
        <v/>
      </c>
      <c r="F1250" s="40" t="str" cm="1">
        <f t="array" ref="F1250">IFERROR(_xlfn.LET(
_xlpm.CSVVal,_xlfn.XLOOKUP($A1250,CSV!$A:$A,CSV!F:F,""),
_xlpm.MacVal,_xlfn.XLOOKUP($A1250,Output_Mac!$A:$A,Output_Mac!E:E,""),
_xlpm.MyAuditVal,_xlfn.XLOOKUP($A1250,My_Audit!$A:$A,My_Audit!E:E,""),
_xlfn.IFS(_xlpm.MyAuditVal&lt;&gt;"",_xlpm.MyAuditVal,_xlpm.MacVal&lt;&gt;"",_xlpm.MacVal,_xlpm.CSVVal&lt;&gt;"",_xlpm.CSVVal
)),"")</f>
        <v/>
      </c>
      <c r="G1250" s="40" t="str" cm="1">
        <f t="array" ref="G1250">IFERROR(_xlfn.LET(
_xlpm.CSVVal,_xlfn.XLOOKUP($A1250,CSV!$A:$A,CSV!G:G,""),
_xlpm.MacVal,_xlfn.XLOOKUP($A1250,Output_Mac!$A:$A,Output_Mac!F:F,""),
_xlpm.MyAuditVal,_xlfn.XLOOKUP($A1250,My_Audit!$A:$A,My_Audit!F:F,""),
_xlfn.IFS(_xlpm.MyAuditVal&lt;&gt;"",_xlpm.MyAuditVal,_xlpm.MacVal&lt;&gt;"",_xlpm.MacVal,_xlpm.CSVVal&lt;&gt;"",PROPER(_xlpm.CSVVal)
)),"")</f>
        <v/>
      </c>
      <c r="H1250" s="40" t="str" cm="1">
        <f t="array" ref="H1250">IFERROR(_xlfn.LET(
_xlpm.CSVVal,_xlfn.XLOOKUP($A1250,CSV!$A:$A,CSV!H:H,""),
_xlpm.MacVal,_xlfn.XLOOKUP($A1250,Output_Mac!$A:$A,Output_Mac!H:H,""),
_xlpm.MyAuditVal,_xlfn.XLOOKUP($A1250,My_Audit!$A:$A,My_Audit!G:G,""),
_xlfn.IFS(_xlpm.MyAuditVal&lt;&gt;"",_xlpm.MyAuditVal,_xlpm.MacVal&lt;&gt;"",_xlpm.MacVal,_xlpm.CSVVal&lt;&gt;"",_xlpm.CSVVal
)),"")</f>
        <v/>
      </c>
      <c r="I1250" s="40" t="str">
        <f>_xlfn.XLOOKUP(A1250,Output_Mac!A:A,Output_Mac!I:I,"")</f>
        <v/>
      </c>
      <c r="J1250" s="40" t="str" cm="1">
        <f t="array" ref="J1250">IFERROR(_xlfn.LET(
_xlpm.CSVVal,_xlfn.XLOOKUP($A1250,CSV!$A:$A,CSV!I:I,""),
_xlpm.MacVal,_xlfn.XLOOKUP($A1250,Output_Mac!$A:$A,Output_Mac!J:J,""),
_xlpm.MyAuditVal,_xlfn.XLOOKUP($A1250,My_Audit!$A:$A,My_Audit!I:I,""),
_xlfn.IFS(_xlpm.MyAuditVal&lt;&gt;"",UPPER(_xlpm.MyAuditVal),_xlpm.MacVal&lt;&gt;"",_xlpm.MacVal,_xlpm.CSVVal&lt;&gt;"",_xlpm.CSVVal
)),"")</f>
        <v/>
      </c>
      <c r="K1250" s="40" t="str" cm="1">
        <f t="array" ref="K1250">IFERROR(_xlfn.LET(
_xlpm.CSVVal,_xlfn.XLOOKUP($A1250,CSV!$A:$A,CSV!K:K,""),
_xlpm.MacVal,_xlfn.XLOOKUP($A1250,Output_Mac!$A:$A,Output_Mac!K:K,""),
_xlpm.MyAuditVal,_xlfn.XLOOKUP($A1250,My_Audit!$A:$A,My_Audit!J:J,""),
_xlfn.IFS(_xlpm.MyAuditVal&lt;&gt;"",UPPER(_xlpm.MyAuditVal),_xlpm.MacVal&lt;&gt;"",_xlpm.MacVal,_xlpm.CSVVal&lt;&gt;"",_xlpm.CSVVal
)),"")</f>
        <v/>
      </c>
      <c r="L1250" s="40" t="str" cm="1">
        <f t="array" ref="L1250">IFERROR(_xlfn.LET(
_xlpm.CSVVal,_xlfn.XLOOKUP($A1250,CSV!$A:$A,CSV!P:P,""),
_xlpm.MacVal,_xlfn.XLOOKUP($A1250,Output_Mac!$A:$A,Output_Mac!L:L,""),
_xlpm.MyAuditVal,_xlfn.XLOOKUP($A1250,My_Audit!$A:$A,My_Audit!K:K,""),
_xlfn.IFS(_xlpm.MyAuditVal&lt;&gt;"",UPPER(_xlpm.MyAuditVal),_xlpm.MacVal&lt;&gt;"",_xlpm.MacVal,_xlpm.CSVVal&lt;&gt;"",_xlpm.CSVVal
)),"")</f>
        <v/>
      </c>
      <c r="M1250" s="40" t="str" cm="1">
        <f t="array" ref="M1250">IFERROR(_xlfn.LET(
_xlpm.CSVVal,_xlfn.XLOOKUP($A1250,CSV!$A:$A,CSV!Q:Q,""),
_xlpm.MacVal,_xlfn.XLOOKUP($A1250,Output_Mac!$A:$A,Output_Mac!M:M,""),
_xlpm.MyAuditVal,_xlfn.XLOOKUP($A1250,My_Audit!$A:$A,My_Audit!L:L,""),
_xlfn.IFS(_xlpm.MyAuditVal&lt;&gt;"",UPPER(_xlpm.MyAuditVal),_xlpm.MacVal&lt;&gt;"",_xlpm.MacVal,_xlpm.CSVVal&lt;&gt;"",_xlpm.CSVVal
)),"")</f>
        <v/>
      </c>
      <c r="N1250" s="40"/>
      <c r="O1250" s="40" t="str">
        <f>_xlfn.LET(
    _xlpm.CSVVal, _xlfn.XLOOKUP($A1250, CSV!$A:$A, CSV!AA:AA, ""),
    _xlpm.MacVal, _xlfn.XLOOKUP($A1250, Output_Mac!$A:$A, Output_Mac!S:S, ""),
    _xlpm.MyAuditVal, _xlfn.XLOOKUP($A1250, My_Audit!$A:$A, My_Audit!P:P, ""),
    _xlfn.TEXTJOIN(", ", TRUE, _xlpm.MyAuditVal, _xlpm.MacVal, _xlpm.CSVVal)
)</f>
        <v/>
      </c>
      <c r="P1250" s="40" t="str" cm="1">
        <f t="array" ref="P1250">IFERROR(_xlfn.LET(
_xlpm.CSVVal,_xlfn.XLOOKUP($A1250,CSV!$A:$A,CSV!AB:AB,""),
_xlpm.MacVal,_xlfn.XLOOKUP($A1250,Output_Mac!$A:$A,Output_Mac!T:T,""),
_xlpm.MyAuditVal,_xlfn.XLOOKUP($A1250,My_Audit!$A:$A,My_Audit!Q:Q,""),
_xlfn.IFS(_xlpm.MyAuditVal&lt;&gt;"",UPPER(_xlpm.MyAuditVal),_xlpm.MacVal&lt;&gt;"",_xlpm.MacVal,_xlpm.CSVVal&lt;&gt;"",_xlpm.CSVVal
)),"No")</f>
        <v>No</v>
      </c>
      <c r="Q1250" s="40" t="str" cm="1">
        <f t="array" ref="Q1250">IFERROR(_xlfn.LET(
_xlpm.CSVVal,_xlfn.XLOOKUP($A1250,CSV!$A:$A,CSV!AC:AC,""),
_xlpm.MacVal,_xlfn.XLOOKUP($A1250,Output_Mac!$A:$A,Output_Mac!U:U,""),
_xlpm.MyAuditVal,_xlfn.XLOOKUP($A1250,My_Audit!$A:$A,My_Audit!R:R,""),
_xlfn.IFS(_xlpm.MyAuditVal&lt;&gt;"",UPPER(_xlpm.MyAuditVal),_xlpm.MacVal&lt;&gt;"",_xlpm.MacVal,_xlpm.CSVVal&lt;&gt;"",_xlpm.CSVVal
)),"")</f>
        <v/>
      </c>
      <c r="R1250" s="40"/>
      <c r="S1250" s="40"/>
      <c r="T1250" s="40"/>
      <c r="U1250" s="40"/>
      <c r="V1250" s="40"/>
      <c r="W1250" s="40"/>
      <c r="X1250" s="41" t="str">
        <f>_xlfn.LET(
    _xlpm.MacVal, _xlfn.XLOOKUP($A1250, Output_Mac!$A:$A, Output_Mac!AB:AB, ""),
    _xlpm.MyAuditVal, _xlfn.XLOOKUP($A1250, My_Audit!$A:$A, My_Audit!N:N, ""),
    _xlfn.TEXTJOIN(", ", TRUE, _xlpm.MyAuditVal, _xlpm.MacVal)
)</f>
        <v/>
      </c>
    </row>
    <row r="1251" spans="1:24">
      <c r="A1251" s="40" t="str">
        <f>_xlfn.TEXTJOIN("",TRUE,Input!$B$2,ROW(My_Audit!A1250))</f>
        <v>X1250</v>
      </c>
      <c r="B1251" s="40" t="str">
        <f>_xlfn.TEXTJOIN("-",TRUE,"ITD",Input!$A$2,A1251)</f>
        <v>ITD-X1250</v>
      </c>
      <c r="C1251" s="40" t="str" cm="1">
        <f t="array" ref="C1251">IFERROR(_xlfn.LET(
_xlpm.CSVVal,_xlfn.XLOOKUP($A1251,CSV!$A:$A,CSV!B:B,""),
_xlpm.MacVal,_xlfn.XLOOKUP($A1251,Output_Mac!$A:$A,Output_Mac!B:B,""),
_xlpm.MyAuditVal,_xlfn.XLOOKUP($A1251,My_Audit!$A:$A,My_Audit!B:B,""),
_xlfn.IFS(_xlpm.MyAuditVal&lt;&gt;"",UPPER(_xlpm.MyAuditVal),_xlpm.MacVal&lt;&gt;"",_xlpm.MacVal,_xlpm.CSVVal&lt;&gt;"",_xlpm.CSVVal
)),"")</f>
        <v/>
      </c>
      <c r="D1251" s="40" t="str" cm="1">
        <f t="array" ref="D1251">IFERROR(_xlfn.LET(
_xlpm.CSVVal,_xlfn.XLOOKUP($A1251,CSV!$A:$A,CSV!D:D,""),
_xlpm.MacVal,_xlfn.XLOOKUP($A1251,Output_Mac!$A:$A,Output_Mac!C:C,""),
_xlpm.MyAuditVal,_xlfn.XLOOKUP($A1251,My_Audit!$A:$A,My_Audit!C:C,""),
_xlfn.IFS(_xlpm.MyAuditVal&lt;&gt;"",_xlpm.MyAuditVal,_xlpm.MacVal&lt;&gt;"",_xlpm.MacVal,_xlpm.CSVVal&lt;&gt;"",_xlpm.CSVVal
)),"")</f>
        <v/>
      </c>
      <c r="E1251" s="40" t="str">
        <f>_xlfn.XLOOKUP(A1251,My_Audit!A:A,My_Audit!D:D,"")</f>
        <v/>
      </c>
      <c r="F1251" s="40" t="str" cm="1">
        <f t="array" ref="F1251">IFERROR(_xlfn.LET(
_xlpm.CSVVal,_xlfn.XLOOKUP($A1251,CSV!$A:$A,CSV!F:F,""),
_xlpm.MacVal,_xlfn.XLOOKUP($A1251,Output_Mac!$A:$A,Output_Mac!E:E,""),
_xlpm.MyAuditVal,_xlfn.XLOOKUP($A1251,My_Audit!$A:$A,My_Audit!E:E,""),
_xlfn.IFS(_xlpm.MyAuditVal&lt;&gt;"",_xlpm.MyAuditVal,_xlpm.MacVal&lt;&gt;"",_xlpm.MacVal,_xlpm.CSVVal&lt;&gt;"",_xlpm.CSVVal
)),"")</f>
        <v/>
      </c>
      <c r="G1251" s="40" t="str" cm="1">
        <f t="array" ref="G1251">IFERROR(_xlfn.LET(
_xlpm.CSVVal,_xlfn.XLOOKUP($A1251,CSV!$A:$A,CSV!G:G,""),
_xlpm.MacVal,_xlfn.XLOOKUP($A1251,Output_Mac!$A:$A,Output_Mac!F:F,""),
_xlpm.MyAuditVal,_xlfn.XLOOKUP($A1251,My_Audit!$A:$A,My_Audit!F:F,""),
_xlfn.IFS(_xlpm.MyAuditVal&lt;&gt;"",_xlpm.MyAuditVal,_xlpm.MacVal&lt;&gt;"",_xlpm.MacVal,_xlpm.CSVVal&lt;&gt;"",PROPER(_xlpm.CSVVal)
)),"")</f>
        <v/>
      </c>
      <c r="H1251" s="40" t="str" cm="1">
        <f t="array" ref="H1251">IFERROR(_xlfn.LET(
_xlpm.CSVVal,_xlfn.XLOOKUP($A1251,CSV!$A:$A,CSV!H:H,""),
_xlpm.MacVal,_xlfn.XLOOKUP($A1251,Output_Mac!$A:$A,Output_Mac!H:H,""),
_xlpm.MyAuditVal,_xlfn.XLOOKUP($A1251,My_Audit!$A:$A,My_Audit!G:G,""),
_xlfn.IFS(_xlpm.MyAuditVal&lt;&gt;"",_xlpm.MyAuditVal,_xlpm.MacVal&lt;&gt;"",_xlpm.MacVal,_xlpm.CSVVal&lt;&gt;"",_xlpm.CSVVal
)),"")</f>
        <v/>
      </c>
      <c r="I1251" s="40" t="str">
        <f>_xlfn.XLOOKUP(A1251,Output_Mac!A:A,Output_Mac!I:I,"")</f>
        <v/>
      </c>
      <c r="J1251" s="40" t="str" cm="1">
        <f t="array" ref="J1251">IFERROR(_xlfn.LET(
_xlpm.CSVVal,_xlfn.XLOOKUP($A1251,CSV!$A:$A,CSV!I:I,""),
_xlpm.MacVal,_xlfn.XLOOKUP($A1251,Output_Mac!$A:$A,Output_Mac!J:J,""),
_xlpm.MyAuditVal,_xlfn.XLOOKUP($A1251,My_Audit!$A:$A,My_Audit!I:I,""),
_xlfn.IFS(_xlpm.MyAuditVal&lt;&gt;"",UPPER(_xlpm.MyAuditVal),_xlpm.MacVal&lt;&gt;"",_xlpm.MacVal,_xlpm.CSVVal&lt;&gt;"",_xlpm.CSVVal
)),"")</f>
        <v/>
      </c>
      <c r="K1251" s="40" t="str" cm="1">
        <f t="array" ref="K1251">IFERROR(_xlfn.LET(
_xlpm.CSVVal,_xlfn.XLOOKUP($A1251,CSV!$A:$A,CSV!K:K,""),
_xlpm.MacVal,_xlfn.XLOOKUP($A1251,Output_Mac!$A:$A,Output_Mac!K:K,""),
_xlpm.MyAuditVal,_xlfn.XLOOKUP($A1251,My_Audit!$A:$A,My_Audit!J:J,""),
_xlfn.IFS(_xlpm.MyAuditVal&lt;&gt;"",UPPER(_xlpm.MyAuditVal),_xlpm.MacVal&lt;&gt;"",_xlpm.MacVal,_xlpm.CSVVal&lt;&gt;"",_xlpm.CSVVal
)),"")</f>
        <v/>
      </c>
      <c r="L1251" s="40" t="str" cm="1">
        <f t="array" ref="L1251">IFERROR(_xlfn.LET(
_xlpm.CSVVal,_xlfn.XLOOKUP($A1251,CSV!$A:$A,CSV!P:P,""),
_xlpm.MacVal,_xlfn.XLOOKUP($A1251,Output_Mac!$A:$A,Output_Mac!L:L,""),
_xlpm.MyAuditVal,_xlfn.XLOOKUP($A1251,My_Audit!$A:$A,My_Audit!K:K,""),
_xlfn.IFS(_xlpm.MyAuditVal&lt;&gt;"",UPPER(_xlpm.MyAuditVal),_xlpm.MacVal&lt;&gt;"",_xlpm.MacVal,_xlpm.CSVVal&lt;&gt;"",_xlpm.CSVVal
)),"")</f>
        <v/>
      </c>
      <c r="M1251" s="40" t="str" cm="1">
        <f t="array" ref="M1251">IFERROR(_xlfn.LET(
_xlpm.CSVVal,_xlfn.XLOOKUP($A1251,CSV!$A:$A,CSV!Q:Q,""),
_xlpm.MacVal,_xlfn.XLOOKUP($A1251,Output_Mac!$A:$A,Output_Mac!M:M,""),
_xlpm.MyAuditVal,_xlfn.XLOOKUP($A1251,My_Audit!$A:$A,My_Audit!L:L,""),
_xlfn.IFS(_xlpm.MyAuditVal&lt;&gt;"",UPPER(_xlpm.MyAuditVal),_xlpm.MacVal&lt;&gt;"",_xlpm.MacVal,_xlpm.CSVVal&lt;&gt;"",_xlpm.CSVVal
)),"")</f>
        <v/>
      </c>
      <c r="N1251" s="40"/>
      <c r="O1251" s="40" t="str">
        <f>_xlfn.LET(
    _xlpm.CSVVal, _xlfn.XLOOKUP($A1251, CSV!$A:$A, CSV!AA:AA, ""),
    _xlpm.MacVal, _xlfn.XLOOKUP($A1251, Output_Mac!$A:$A, Output_Mac!S:S, ""),
    _xlpm.MyAuditVal, _xlfn.XLOOKUP($A1251, My_Audit!$A:$A, My_Audit!P:P, ""),
    _xlfn.TEXTJOIN(", ", TRUE, _xlpm.MyAuditVal, _xlpm.MacVal, _xlpm.CSVVal)
)</f>
        <v/>
      </c>
      <c r="P1251" s="40" t="str" cm="1">
        <f t="array" ref="P1251">IFERROR(_xlfn.LET(
_xlpm.CSVVal,_xlfn.XLOOKUP($A1251,CSV!$A:$A,CSV!AB:AB,""),
_xlpm.MacVal,_xlfn.XLOOKUP($A1251,Output_Mac!$A:$A,Output_Mac!T:T,""),
_xlpm.MyAuditVal,_xlfn.XLOOKUP($A1251,My_Audit!$A:$A,My_Audit!Q:Q,""),
_xlfn.IFS(_xlpm.MyAuditVal&lt;&gt;"",UPPER(_xlpm.MyAuditVal),_xlpm.MacVal&lt;&gt;"",_xlpm.MacVal,_xlpm.CSVVal&lt;&gt;"",_xlpm.CSVVal
)),"No")</f>
        <v>No</v>
      </c>
      <c r="Q1251" s="40" t="str" cm="1">
        <f t="array" ref="Q1251">IFERROR(_xlfn.LET(
_xlpm.CSVVal,_xlfn.XLOOKUP($A1251,CSV!$A:$A,CSV!AC:AC,""),
_xlpm.MacVal,_xlfn.XLOOKUP($A1251,Output_Mac!$A:$A,Output_Mac!U:U,""),
_xlpm.MyAuditVal,_xlfn.XLOOKUP($A1251,My_Audit!$A:$A,My_Audit!R:R,""),
_xlfn.IFS(_xlpm.MyAuditVal&lt;&gt;"",UPPER(_xlpm.MyAuditVal),_xlpm.MacVal&lt;&gt;"",_xlpm.MacVal,_xlpm.CSVVal&lt;&gt;"",_xlpm.CSVVal
)),"")</f>
        <v/>
      </c>
      <c r="R1251" s="40"/>
      <c r="S1251" s="40"/>
      <c r="T1251" s="40"/>
      <c r="U1251" s="40"/>
      <c r="V1251" s="40"/>
      <c r="W1251" s="40"/>
      <c r="X1251" s="41" t="str">
        <f>_xlfn.LET(
    _xlpm.MacVal, _xlfn.XLOOKUP($A1251, Output_Mac!$A:$A, Output_Mac!AB:AB, ""),
    _xlpm.MyAuditVal, _xlfn.XLOOKUP($A1251, My_Audit!$A:$A, My_Audit!N:N, ""),
    _xlfn.TEXTJOIN(", ", TRUE, _xlpm.MyAuditVal, _xlpm.MacVal)
)</f>
        <v/>
      </c>
    </row>
    <row r="1252" spans="1:24">
      <c r="A1252" s="40" t="str">
        <f>_xlfn.TEXTJOIN("",TRUE,Input!$B$2,ROW(My_Audit!A1251))</f>
        <v>X1251</v>
      </c>
      <c r="B1252" s="40" t="str">
        <f>_xlfn.TEXTJOIN("-",TRUE,"ITD",Input!$A$2,A1252)</f>
        <v>ITD-X1251</v>
      </c>
      <c r="C1252" s="40" t="str" cm="1">
        <f t="array" ref="C1252">IFERROR(_xlfn.LET(
_xlpm.CSVVal,_xlfn.XLOOKUP($A1252,CSV!$A:$A,CSV!B:B,""),
_xlpm.MacVal,_xlfn.XLOOKUP($A1252,Output_Mac!$A:$A,Output_Mac!B:B,""),
_xlpm.MyAuditVal,_xlfn.XLOOKUP($A1252,My_Audit!$A:$A,My_Audit!B:B,""),
_xlfn.IFS(_xlpm.MyAuditVal&lt;&gt;"",UPPER(_xlpm.MyAuditVal),_xlpm.MacVal&lt;&gt;"",_xlpm.MacVal,_xlpm.CSVVal&lt;&gt;"",_xlpm.CSVVal
)),"")</f>
        <v/>
      </c>
      <c r="D1252" s="40" t="str" cm="1">
        <f t="array" ref="D1252">IFERROR(_xlfn.LET(
_xlpm.CSVVal,_xlfn.XLOOKUP($A1252,CSV!$A:$A,CSV!D:D,""),
_xlpm.MacVal,_xlfn.XLOOKUP($A1252,Output_Mac!$A:$A,Output_Mac!C:C,""),
_xlpm.MyAuditVal,_xlfn.XLOOKUP($A1252,My_Audit!$A:$A,My_Audit!C:C,""),
_xlfn.IFS(_xlpm.MyAuditVal&lt;&gt;"",_xlpm.MyAuditVal,_xlpm.MacVal&lt;&gt;"",_xlpm.MacVal,_xlpm.CSVVal&lt;&gt;"",_xlpm.CSVVal
)),"")</f>
        <v/>
      </c>
      <c r="E1252" s="40" t="str">
        <f>_xlfn.XLOOKUP(A1252,My_Audit!A:A,My_Audit!D:D,"")</f>
        <v/>
      </c>
      <c r="F1252" s="40" t="str" cm="1">
        <f t="array" ref="F1252">IFERROR(_xlfn.LET(
_xlpm.CSVVal,_xlfn.XLOOKUP($A1252,CSV!$A:$A,CSV!F:F,""),
_xlpm.MacVal,_xlfn.XLOOKUP($A1252,Output_Mac!$A:$A,Output_Mac!E:E,""),
_xlpm.MyAuditVal,_xlfn.XLOOKUP($A1252,My_Audit!$A:$A,My_Audit!E:E,""),
_xlfn.IFS(_xlpm.MyAuditVal&lt;&gt;"",_xlpm.MyAuditVal,_xlpm.MacVal&lt;&gt;"",_xlpm.MacVal,_xlpm.CSVVal&lt;&gt;"",_xlpm.CSVVal
)),"")</f>
        <v/>
      </c>
      <c r="G1252" s="40" t="str" cm="1">
        <f t="array" ref="G1252">IFERROR(_xlfn.LET(
_xlpm.CSVVal,_xlfn.XLOOKUP($A1252,CSV!$A:$A,CSV!G:G,""),
_xlpm.MacVal,_xlfn.XLOOKUP($A1252,Output_Mac!$A:$A,Output_Mac!F:F,""),
_xlpm.MyAuditVal,_xlfn.XLOOKUP($A1252,My_Audit!$A:$A,My_Audit!F:F,""),
_xlfn.IFS(_xlpm.MyAuditVal&lt;&gt;"",_xlpm.MyAuditVal,_xlpm.MacVal&lt;&gt;"",_xlpm.MacVal,_xlpm.CSVVal&lt;&gt;"",PROPER(_xlpm.CSVVal)
)),"")</f>
        <v/>
      </c>
      <c r="H1252" s="40" t="str" cm="1">
        <f t="array" ref="H1252">IFERROR(_xlfn.LET(
_xlpm.CSVVal,_xlfn.XLOOKUP($A1252,CSV!$A:$A,CSV!H:H,""),
_xlpm.MacVal,_xlfn.XLOOKUP($A1252,Output_Mac!$A:$A,Output_Mac!H:H,""),
_xlpm.MyAuditVal,_xlfn.XLOOKUP($A1252,My_Audit!$A:$A,My_Audit!G:G,""),
_xlfn.IFS(_xlpm.MyAuditVal&lt;&gt;"",_xlpm.MyAuditVal,_xlpm.MacVal&lt;&gt;"",_xlpm.MacVal,_xlpm.CSVVal&lt;&gt;"",_xlpm.CSVVal
)),"")</f>
        <v/>
      </c>
      <c r="I1252" s="40" t="str">
        <f>_xlfn.XLOOKUP(A1252,Output_Mac!A:A,Output_Mac!I:I,"")</f>
        <v/>
      </c>
      <c r="J1252" s="40" t="str" cm="1">
        <f t="array" ref="J1252">IFERROR(_xlfn.LET(
_xlpm.CSVVal,_xlfn.XLOOKUP($A1252,CSV!$A:$A,CSV!I:I,""),
_xlpm.MacVal,_xlfn.XLOOKUP($A1252,Output_Mac!$A:$A,Output_Mac!J:J,""),
_xlpm.MyAuditVal,_xlfn.XLOOKUP($A1252,My_Audit!$A:$A,My_Audit!I:I,""),
_xlfn.IFS(_xlpm.MyAuditVal&lt;&gt;"",UPPER(_xlpm.MyAuditVal),_xlpm.MacVal&lt;&gt;"",_xlpm.MacVal,_xlpm.CSVVal&lt;&gt;"",_xlpm.CSVVal
)),"")</f>
        <v/>
      </c>
      <c r="K1252" s="40" t="str" cm="1">
        <f t="array" ref="K1252">IFERROR(_xlfn.LET(
_xlpm.CSVVal,_xlfn.XLOOKUP($A1252,CSV!$A:$A,CSV!K:K,""),
_xlpm.MacVal,_xlfn.XLOOKUP($A1252,Output_Mac!$A:$A,Output_Mac!K:K,""),
_xlpm.MyAuditVal,_xlfn.XLOOKUP($A1252,My_Audit!$A:$A,My_Audit!J:J,""),
_xlfn.IFS(_xlpm.MyAuditVal&lt;&gt;"",UPPER(_xlpm.MyAuditVal),_xlpm.MacVal&lt;&gt;"",_xlpm.MacVal,_xlpm.CSVVal&lt;&gt;"",_xlpm.CSVVal
)),"")</f>
        <v/>
      </c>
      <c r="L1252" s="40" t="str" cm="1">
        <f t="array" ref="L1252">IFERROR(_xlfn.LET(
_xlpm.CSVVal,_xlfn.XLOOKUP($A1252,CSV!$A:$A,CSV!P:P,""),
_xlpm.MacVal,_xlfn.XLOOKUP($A1252,Output_Mac!$A:$A,Output_Mac!L:L,""),
_xlpm.MyAuditVal,_xlfn.XLOOKUP($A1252,My_Audit!$A:$A,My_Audit!K:K,""),
_xlfn.IFS(_xlpm.MyAuditVal&lt;&gt;"",UPPER(_xlpm.MyAuditVal),_xlpm.MacVal&lt;&gt;"",_xlpm.MacVal,_xlpm.CSVVal&lt;&gt;"",_xlpm.CSVVal
)),"")</f>
        <v/>
      </c>
      <c r="M1252" s="40" t="str" cm="1">
        <f t="array" ref="M1252">IFERROR(_xlfn.LET(
_xlpm.CSVVal,_xlfn.XLOOKUP($A1252,CSV!$A:$A,CSV!Q:Q,""),
_xlpm.MacVal,_xlfn.XLOOKUP($A1252,Output_Mac!$A:$A,Output_Mac!M:M,""),
_xlpm.MyAuditVal,_xlfn.XLOOKUP($A1252,My_Audit!$A:$A,My_Audit!L:L,""),
_xlfn.IFS(_xlpm.MyAuditVal&lt;&gt;"",UPPER(_xlpm.MyAuditVal),_xlpm.MacVal&lt;&gt;"",_xlpm.MacVal,_xlpm.CSVVal&lt;&gt;"",_xlpm.CSVVal
)),"")</f>
        <v/>
      </c>
      <c r="N1252" s="40"/>
      <c r="O1252" s="40" t="str">
        <f>_xlfn.LET(
    _xlpm.CSVVal, _xlfn.XLOOKUP($A1252, CSV!$A:$A, CSV!AA:AA, ""),
    _xlpm.MacVal, _xlfn.XLOOKUP($A1252, Output_Mac!$A:$A, Output_Mac!S:S, ""),
    _xlpm.MyAuditVal, _xlfn.XLOOKUP($A1252, My_Audit!$A:$A, My_Audit!P:P, ""),
    _xlfn.TEXTJOIN(", ", TRUE, _xlpm.MyAuditVal, _xlpm.MacVal, _xlpm.CSVVal)
)</f>
        <v/>
      </c>
      <c r="P1252" s="40" t="str" cm="1">
        <f t="array" ref="P1252">IFERROR(_xlfn.LET(
_xlpm.CSVVal,_xlfn.XLOOKUP($A1252,CSV!$A:$A,CSV!AB:AB,""),
_xlpm.MacVal,_xlfn.XLOOKUP($A1252,Output_Mac!$A:$A,Output_Mac!T:T,""),
_xlpm.MyAuditVal,_xlfn.XLOOKUP($A1252,My_Audit!$A:$A,My_Audit!Q:Q,""),
_xlfn.IFS(_xlpm.MyAuditVal&lt;&gt;"",UPPER(_xlpm.MyAuditVal),_xlpm.MacVal&lt;&gt;"",_xlpm.MacVal,_xlpm.CSVVal&lt;&gt;"",_xlpm.CSVVal
)),"No")</f>
        <v>No</v>
      </c>
      <c r="Q1252" s="40" t="str" cm="1">
        <f t="array" ref="Q1252">IFERROR(_xlfn.LET(
_xlpm.CSVVal,_xlfn.XLOOKUP($A1252,CSV!$A:$A,CSV!AC:AC,""),
_xlpm.MacVal,_xlfn.XLOOKUP($A1252,Output_Mac!$A:$A,Output_Mac!U:U,""),
_xlpm.MyAuditVal,_xlfn.XLOOKUP($A1252,My_Audit!$A:$A,My_Audit!R:R,""),
_xlfn.IFS(_xlpm.MyAuditVal&lt;&gt;"",UPPER(_xlpm.MyAuditVal),_xlpm.MacVal&lt;&gt;"",_xlpm.MacVal,_xlpm.CSVVal&lt;&gt;"",_xlpm.CSVVal
)),"")</f>
        <v/>
      </c>
      <c r="R1252" s="40"/>
      <c r="S1252" s="40"/>
      <c r="T1252" s="40"/>
      <c r="U1252" s="40"/>
      <c r="V1252" s="40"/>
      <c r="W1252" s="40"/>
      <c r="X1252" s="41" t="str">
        <f>_xlfn.LET(
    _xlpm.MacVal, _xlfn.XLOOKUP($A1252, Output_Mac!$A:$A, Output_Mac!AB:AB, ""),
    _xlpm.MyAuditVal, _xlfn.XLOOKUP($A1252, My_Audit!$A:$A, My_Audit!N:N, ""),
    _xlfn.TEXTJOIN(", ", TRUE, _xlpm.MyAuditVal, _xlpm.MacVal)
)</f>
        <v/>
      </c>
    </row>
    <row r="1253" spans="1:24">
      <c r="A1253" s="40" t="str">
        <f>_xlfn.TEXTJOIN("",TRUE,Input!$B$2,ROW(My_Audit!A1252))</f>
        <v>X1252</v>
      </c>
      <c r="B1253" s="40" t="str">
        <f>_xlfn.TEXTJOIN("-",TRUE,"ITD",Input!$A$2,A1253)</f>
        <v>ITD-X1252</v>
      </c>
      <c r="C1253" s="40" t="str" cm="1">
        <f t="array" ref="C1253">IFERROR(_xlfn.LET(
_xlpm.CSVVal,_xlfn.XLOOKUP($A1253,CSV!$A:$A,CSV!B:B,""),
_xlpm.MacVal,_xlfn.XLOOKUP($A1253,Output_Mac!$A:$A,Output_Mac!B:B,""),
_xlpm.MyAuditVal,_xlfn.XLOOKUP($A1253,My_Audit!$A:$A,My_Audit!B:B,""),
_xlfn.IFS(_xlpm.MyAuditVal&lt;&gt;"",UPPER(_xlpm.MyAuditVal),_xlpm.MacVal&lt;&gt;"",_xlpm.MacVal,_xlpm.CSVVal&lt;&gt;"",_xlpm.CSVVal
)),"")</f>
        <v/>
      </c>
      <c r="D1253" s="40" t="str" cm="1">
        <f t="array" ref="D1253">IFERROR(_xlfn.LET(
_xlpm.CSVVal,_xlfn.XLOOKUP($A1253,CSV!$A:$A,CSV!D:D,""),
_xlpm.MacVal,_xlfn.XLOOKUP($A1253,Output_Mac!$A:$A,Output_Mac!C:C,""),
_xlpm.MyAuditVal,_xlfn.XLOOKUP($A1253,My_Audit!$A:$A,My_Audit!C:C,""),
_xlfn.IFS(_xlpm.MyAuditVal&lt;&gt;"",_xlpm.MyAuditVal,_xlpm.MacVal&lt;&gt;"",_xlpm.MacVal,_xlpm.CSVVal&lt;&gt;"",_xlpm.CSVVal
)),"")</f>
        <v/>
      </c>
      <c r="E1253" s="40" t="str">
        <f>_xlfn.XLOOKUP(A1253,My_Audit!A:A,My_Audit!D:D,"")</f>
        <v/>
      </c>
      <c r="F1253" s="40" t="str" cm="1">
        <f t="array" ref="F1253">IFERROR(_xlfn.LET(
_xlpm.CSVVal,_xlfn.XLOOKUP($A1253,CSV!$A:$A,CSV!F:F,""),
_xlpm.MacVal,_xlfn.XLOOKUP($A1253,Output_Mac!$A:$A,Output_Mac!E:E,""),
_xlpm.MyAuditVal,_xlfn.XLOOKUP($A1253,My_Audit!$A:$A,My_Audit!E:E,""),
_xlfn.IFS(_xlpm.MyAuditVal&lt;&gt;"",_xlpm.MyAuditVal,_xlpm.MacVal&lt;&gt;"",_xlpm.MacVal,_xlpm.CSVVal&lt;&gt;"",_xlpm.CSVVal
)),"")</f>
        <v/>
      </c>
      <c r="G1253" s="40" t="str" cm="1">
        <f t="array" ref="G1253">IFERROR(_xlfn.LET(
_xlpm.CSVVal,_xlfn.XLOOKUP($A1253,CSV!$A:$A,CSV!G:G,""),
_xlpm.MacVal,_xlfn.XLOOKUP($A1253,Output_Mac!$A:$A,Output_Mac!F:F,""),
_xlpm.MyAuditVal,_xlfn.XLOOKUP($A1253,My_Audit!$A:$A,My_Audit!F:F,""),
_xlfn.IFS(_xlpm.MyAuditVal&lt;&gt;"",_xlpm.MyAuditVal,_xlpm.MacVal&lt;&gt;"",_xlpm.MacVal,_xlpm.CSVVal&lt;&gt;"",PROPER(_xlpm.CSVVal)
)),"")</f>
        <v/>
      </c>
      <c r="H1253" s="40" t="str" cm="1">
        <f t="array" ref="H1253">IFERROR(_xlfn.LET(
_xlpm.CSVVal,_xlfn.XLOOKUP($A1253,CSV!$A:$A,CSV!H:H,""),
_xlpm.MacVal,_xlfn.XLOOKUP($A1253,Output_Mac!$A:$A,Output_Mac!H:H,""),
_xlpm.MyAuditVal,_xlfn.XLOOKUP($A1253,My_Audit!$A:$A,My_Audit!G:G,""),
_xlfn.IFS(_xlpm.MyAuditVal&lt;&gt;"",_xlpm.MyAuditVal,_xlpm.MacVal&lt;&gt;"",_xlpm.MacVal,_xlpm.CSVVal&lt;&gt;"",_xlpm.CSVVal
)),"")</f>
        <v/>
      </c>
      <c r="I1253" s="40" t="str">
        <f>_xlfn.XLOOKUP(A1253,Output_Mac!A:A,Output_Mac!I:I,"")</f>
        <v/>
      </c>
      <c r="J1253" s="40" t="str" cm="1">
        <f t="array" ref="J1253">IFERROR(_xlfn.LET(
_xlpm.CSVVal,_xlfn.XLOOKUP($A1253,CSV!$A:$A,CSV!I:I,""),
_xlpm.MacVal,_xlfn.XLOOKUP($A1253,Output_Mac!$A:$A,Output_Mac!J:J,""),
_xlpm.MyAuditVal,_xlfn.XLOOKUP($A1253,My_Audit!$A:$A,My_Audit!I:I,""),
_xlfn.IFS(_xlpm.MyAuditVal&lt;&gt;"",UPPER(_xlpm.MyAuditVal),_xlpm.MacVal&lt;&gt;"",_xlpm.MacVal,_xlpm.CSVVal&lt;&gt;"",_xlpm.CSVVal
)),"")</f>
        <v/>
      </c>
      <c r="K1253" s="40" t="str" cm="1">
        <f t="array" ref="K1253">IFERROR(_xlfn.LET(
_xlpm.CSVVal,_xlfn.XLOOKUP($A1253,CSV!$A:$A,CSV!K:K,""),
_xlpm.MacVal,_xlfn.XLOOKUP($A1253,Output_Mac!$A:$A,Output_Mac!K:K,""),
_xlpm.MyAuditVal,_xlfn.XLOOKUP($A1253,My_Audit!$A:$A,My_Audit!J:J,""),
_xlfn.IFS(_xlpm.MyAuditVal&lt;&gt;"",UPPER(_xlpm.MyAuditVal),_xlpm.MacVal&lt;&gt;"",_xlpm.MacVal,_xlpm.CSVVal&lt;&gt;"",_xlpm.CSVVal
)),"")</f>
        <v/>
      </c>
      <c r="L1253" s="40" t="str" cm="1">
        <f t="array" ref="L1253">IFERROR(_xlfn.LET(
_xlpm.CSVVal,_xlfn.XLOOKUP($A1253,CSV!$A:$A,CSV!P:P,""),
_xlpm.MacVal,_xlfn.XLOOKUP($A1253,Output_Mac!$A:$A,Output_Mac!L:L,""),
_xlpm.MyAuditVal,_xlfn.XLOOKUP($A1253,My_Audit!$A:$A,My_Audit!K:K,""),
_xlfn.IFS(_xlpm.MyAuditVal&lt;&gt;"",UPPER(_xlpm.MyAuditVal),_xlpm.MacVal&lt;&gt;"",_xlpm.MacVal,_xlpm.CSVVal&lt;&gt;"",_xlpm.CSVVal
)),"")</f>
        <v/>
      </c>
      <c r="M1253" s="40" t="str" cm="1">
        <f t="array" ref="M1253">IFERROR(_xlfn.LET(
_xlpm.CSVVal,_xlfn.XLOOKUP($A1253,CSV!$A:$A,CSV!Q:Q,""),
_xlpm.MacVal,_xlfn.XLOOKUP($A1253,Output_Mac!$A:$A,Output_Mac!M:M,""),
_xlpm.MyAuditVal,_xlfn.XLOOKUP($A1253,My_Audit!$A:$A,My_Audit!L:L,""),
_xlfn.IFS(_xlpm.MyAuditVal&lt;&gt;"",UPPER(_xlpm.MyAuditVal),_xlpm.MacVal&lt;&gt;"",_xlpm.MacVal,_xlpm.CSVVal&lt;&gt;"",_xlpm.CSVVal
)),"")</f>
        <v/>
      </c>
      <c r="N1253" s="40"/>
      <c r="O1253" s="40" t="str">
        <f>_xlfn.LET(
    _xlpm.CSVVal, _xlfn.XLOOKUP($A1253, CSV!$A:$A, CSV!AA:AA, ""),
    _xlpm.MacVal, _xlfn.XLOOKUP($A1253, Output_Mac!$A:$A, Output_Mac!S:S, ""),
    _xlpm.MyAuditVal, _xlfn.XLOOKUP($A1253, My_Audit!$A:$A, My_Audit!P:P, ""),
    _xlfn.TEXTJOIN(", ", TRUE, _xlpm.MyAuditVal, _xlpm.MacVal, _xlpm.CSVVal)
)</f>
        <v/>
      </c>
      <c r="P1253" s="40" t="str" cm="1">
        <f t="array" ref="P1253">IFERROR(_xlfn.LET(
_xlpm.CSVVal,_xlfn.XLOOKUP($A1253,CSV!$A:$A,CSV!AB:AB,""),
_xlpm.MacVal,_xlfn.XLOOKUP($A1253,Output_Mac!$A:$A,Output_Mac!T:T,""),
_xlpm.MyAuditVal,_xlfn.XLOOKUP($A1253,My_Audit!$A:$A,My_Audit!Q:Q,""),
_xlfn.IFS(_xlpm.MyAuditVal&lt;&gt;"",UPPER(_xlpm.MyAuditVal),_xlpm.MacVal&lt;&gt;"",_xlpm.MacVal,_xlpm.CSVVal&lt;&gt;"",_xlpm.CSVVal
)),"No")</f>
        <v>No</v>
      </c>
      <c r="Q1253" s="40" t="str" cm="1">
        <f t="array" ref="Q1253">IFERROR(_xlfn.LET(
_xlpm.CSVVal,_xlfn.XLOOKUP($A1253,CSV!$A:$A,CSV!AC:AC,""),
_xlpm.MacVal,_xlfn.XLOOKUP($A1253,Output_Mac!$A:$A,Output_Mac!U:U,""),
_xlpm.MyAuditVal,_xlfn.XLOOKUP($A1253,My_Audit!$A:$A,My_Audit!R:R,""),
_xlfn.IFS(_xlpm.MyAuditVal&lt;&gt;"",UPPER(_xlpm.MyAuditVal),_xlpm.MacVal&lt;&gt;"",_xlpm.MacVal,_xlpm.CSVVal&lt;&gt;"",_xlpm.CSVVal
)),"")</f>
        <v/>
      </c>
      <c r="R1253" s="40"/>
      <c r="S1253" s="40"/>
      <c r="T1253" s="40"/>
      <c r="U1253" s="40"/>
      <c r="V1253" s="40"/>
      <c r="W1253" s="40"/>
      <c r="X1253" s="41" t="str">
        <f>_xlfn.LET(
    _xlpm.MacVal, _xlfn.XLOOKUP($A1253, Output_Mac!$A:$A, Output_Mac!AB:AB, ""),
    _xlpm.MyAuditVal, _xlfn.XLOOKUP($A1253, My_Audit!$A:$A, My_Audit!N:N, ""),
    _xlfn.TEXTJOIN(", ", TRUE, _xlpm.MyAuditVal, _xlpm.MacVal)
)</f>
        <v/>
      </c>
    </row>
    <row r="1254" spans="1:24">
      <c r="A1254" s="40" t="str">
        <f>_xlfn.TEXTJOIN("",TRUE,Input!$B$2,ROW(My_Audit!A1253))</f>
        <v>X1253</v>
      </c>
      <c r="B1254" s="40" t="str">
        <f>_xlfn.TEXTJOIN("-",TRUE,"ITD",Input!$A$2,A1254)</f>
        <v>ITD-X1253</v>
      </c>
      <c r="C1254" s="40" t="str" cm="1">
        <f t="array" ref="C1254">IFERROR(_xlfn.LET(
_xlpm.CSVVal,_xlfn.XLOOKUP($A1254,CSV!$A:$A,CSV!B:B,""),
_xlpm.MacVal,_xlfn.XLOOKUP($A1254,Output_Mac!$A:$A,Output_Mac!B:B,""),
_xlpm.MyAuditVal,_xlfn.XLOOKUP($A1254,My_Audit!$A:$A,My_Audit!B:B,""),
_xlfn.IFS(_xlpm.MyAuditVal&lt;&gt;"",UPPER(_xlpm.MyAuditVal),_xlpm.MacVal&lt;&gt;"",_xlpm.MacVal,_xlpm.CSVVal&lt;&gt;"",_xlpm.CSVVal
)),"")</f>
        <v/>
      </c>
      <c r="D1254" s="40" t="str" cm="1">
        <f t="array" ref="D1254">IFERROR(_xlfn.LET(
_xlpm.CSVVal,_xlfn.XLOOKUP($A1254,CSV!$A:$A,CSV!D:D,""),
_xlpm.MacVal,_xlfn.XLOOKUP($A1254,Output_Mac!$A:$A,Output_Mac!C:C,""),
_xlpm.MyAuditVal,_xlfn.XLOOKUP($A1254,My_Audit!$A:$A,My_Audit!C:C,""),
_xlfn.IFS(_xlpm.MyAuditVal&lt;&gt;"",_xlpm.MyAuditVal,_xlpm.MacVal&lt;&gt;"",_xlpm.MacVal,_xlpm.CSVVal&lt;&gt;"",_xlpm.CSVVal
)),"")</f>
        <v/>
      </c>
      <c r="E1254" s="40" t="str">
        <f>_xlfn.XLOOKUP(A1254,My_Audit!A:A,My_Audit!D:D,"")</f>
        <v/>
      </c>
      <c r="F1254" s="40" t="str" cm="1">
        <f t="array" ref="F1254">IFERROR(_xlfn.LET(
_xlpm.CSVVal,_xlfn.XLOOKUP($A1254,CSV!$A:$A,CSV!F:F,""),
_xlpm.MacVal,_xlfn.XLOOKUP($A1254,Output_Mac!$A:$A,Output_Mac!E:E,""),
_xlpm.MyAuditVal,_xlfn.XLOOKUP($A1254,My_Audit!$A:$A,My_Audit!E:E,""),
_xlfn.IFS(_xlpm.MyAuditVal&lt;&gt;"",_xlpm.MyAuditVal,_xlpm.MacVal&lt;&gt;"",_xlpm.MacVal,_xlpm.CSVVal&lt;&gt;"",_xlpm.CSVVal
)),"")</f>
        <v/>
      </c>
      <c r="G1254" s="40" t="str" cm="1">
        <f t="array" ref="G1254">IFERROR(_xlfn.LET(
_xlpm.CSVVal,_xlfn.XLOOKUP($A1254,CSV!$A:$A,CSV!G:G,""),
_xlpm.MacVal,_xlfn.XLOOKUP($A1254,Output_Mac!$A:$A,Output_Mac!F:F,""),
_xlpm.MyAuditVal,_xlfn.XLOOKUP($A1254,My_Audit!$A:$A,My_Audit!F:F,""),
_xlfn.IFS(_xlpm.MyAuditVal&lt;&gt;"",_xlpm.MyAuditVal,_xlpm.MacVal&lt;&gt;"",_xlpm.MacVal,_xlpm.CSVVal&lt;&gt;"",PROPER(_xlpm.CSVVal)
)),"")</f>
        <v/>
      </c>
      <c r="H1254" s="40" t="str" cm="1">
        <f t="array" ref="H1254">IFERROR(_xlfn.LET(
_xlpm.CSVVal,_xlfn.XLOOKUP($A1254,CSV!$A:$A,CSV!H:H,""),
_xlpm.MacVal,_xlfn.XLOOKUP($A1254,Output_Mac!$A:$A,Output_Mac!H:H,""),
_xlpm.MyAuditVal,_xlfn.XLOOKUP($A1254,My_Audit!$A:$A,My_Audit!G:G,""),
_xlfn.IFS(_xlpm.MyAuditVal&lt;&gt;"",_xlpm.MyAuditVal,_xlpm.MacVal&lt;&gt;"",_xlpm.MacVal,_xlpm.CSVVal&lt;&gt;"",_xlpm.CSVVal
)),"")</f>
        <v/>
      </c>
      <c r="I1254" s="40" t="str">
        <f>_xlfn.XLOOKUP(A1254,Output_Mac!A:A,Output_Mac!I:I,"")</f>
        <v/>
      </c>
      <c r="J1254" s="40" t="str" cm="1">
        <f t="array" ref="J1254">IFERROR(_xlfn.LET(
_xlpm.CSVVal,_xlfn.XLOOKUP($A1254,CSV!$A:$A,CSV!I:I,""),
_xlpm.MacVal,_xlfn.XLOOKUP($A1254,Output_Mac!$A:$A,Output_Mac!J:J,""),
_xlpm.MyAuditVal,_xlfn.XLOOKUP($A1254,My_Audit!$A:$A,My_Audit!I:I,""),
_xlfn.IFS(_xlpm.MyAuditVal&lt;&gt;"",UPPER(_xlpm.MyAuditVal),_xlpm.MacVal&lt;&gt;"",_xlpm.MacVal,_xlpm.CSVVal&lt;&gt;"",_xlpm.CSVVal
)),"")</f>
        <v/>
      </c>
      <c r="K1254" s="40" t="str" cm="1">
        <f t="array" ref="K1254">IFERROR(_xlfn.LET(
_xlpm.CSVVal,_xlfn.XLOOKUP($A1254,CSV!$A:$A,CSV!K:K,""),
_xlpm.MacVal,_xlfn.XLOOKUP($A1254,Output_Mac!$A:$A,Output_Mac!K:K,""),
_xlpm.MyAuditVal,_xlfn.XLOOKUP($A1254,My_Audit!$A:$A,My_Audit!J:J,""),
_xlfn.IFS(_xlpm.MyAuditVal&lt;&gt;"",UPPER(_xlpm.MyAuditVal),_xlpm.MacVal&lt;&gt;"",_xlpm.MacVal,_xlpm.CSVVal&lt;&gt;"",_xlpm.CSVVal
)),"")</f>
        <v/>
      </c>
      <c r="L1254" s="40" t="str" cm="1">
        <f t="array" ref="L1254">IFERROR(_xlfn.LET(
_xlpm.CSVVal,_xlfn.XLOOKUP($A1254,CSV!$A:$A,CSV!P:P,""),
_xlpm.MacVal,_xlfn.XLOOKUP($A1254,Output_Mac!$A:$A,Output_Mac!L:L,""),
_xlpm.MyAuditVal,_xlfn.XLOOKUP($A1254,My_Audit!$A:$A,My_Audit!K:K,""),
_xlfn.IFS(_xlpm.MyAuditVal&lt;&gt;"",UPPER(_xlpm.MyAuditVal),_xlpm.MacVal&lt;&gt;"",_xlpm.MacVal,_xlpm.CSVVal&lt;&gt;"",_xlpm.CSVVal
)),"")</f>
        <v/>
      </c>
      <c r="M1254" s="40" t="str" cm="1">
        <f t="array" ref="M1254">IFERROR(_xlfn.LET(
_xlpm.CSVVal,_xlfn.XLOOKUP($A1254,CSV!$A:$A,CSV!Q:Q,""),
_xlpm.MacVal,_xlfn.XLOOKUP($A1254,Output_Mac!$A:$A,Output_Mac!M:M,""),
_xlpm.MyAuditVal,_xlfn.XLOOKUP($A1254,My_Audit!$A:$A,My_Audit!L:L,""),
_xlfn.IFS(_xlpm.MyAuditVal&lt;&gt;"",UPPER(_xlpm.MyAuditVal),_xlpm.MacVal&lt;&gt;"",_xlpm.MacVal,_xlpm.CSVVal&lt;&gt;"",_xlpm.CSVVal
)),"")</f>
        <v/>
      </c>
      <c r="N1254" s="40"/>
      <c r="O1254" s="40" t="str">
        <f>_xlfn.LET(
    _xlpm.CSVVal, _xlfn.XLOOKUP($A1254, CSV!$A:$A, CSV!AA:AA, ""),
    _xlpm.MacVal, _xlfn.XLOOKUP($A1254, Output_Mac!$A:$A, Output_Mac!S:S, ""),
    _xlpm.MyAuditVal, _xlfn.XLOOKUP($A1254, My_Audit!$A:$A, My_Audit!P:P, ""),
    _xlfn.TEXTJOIN(", ", TRUE, _xlpm.MyAuditVal, _xlpm.MacVal, _xlpm.CSVVal)
)</f>
        <v/>
      </c>
      <c r="P1254" s="40" t="str" cm="1">
        <f t="array" ref="P1254">IFERROR(_xlfn.LET(
_xlpm.CSVVal,_xlfn.XLOOKUP($A1254,CSV!$A:$A,CSV!AB:AB,""),
_xlpm.MacVal,_xlfn.XLOOKUP($A1254,Output_Mac!$A:$A,Output_Mac!T:T,""),
_xlpm.MyAuditVal,_xlfn.XLOOKUP($A1254,My_Audit!$A:$A,My_Audit!Q:Q,""),
_xlfn.IFS(_xlpm.MyAuditVal&lt;&gt;"",UPPER(_xlpm.MyAuditVal),_xlpm.MacVal&lt;&gt;"",_xlpm.MacVal,_xlpm.CSVVal&lt;&gt;"",_xlpm.CSVVal
)),"No")</f>
        <v>No</v>
      </c>
      <c r="Q1254" s="40" t="str" cm="1">
        <f t="array" ref="Q1254">IFERROR(_xlfn.LET(
_xlpm.CSVVal,_xlfn.XLOOKUP($A1254,CSV!$A:$A,CSV!AC:AC,""),
_xlpm.MacVal,_xlfn.XLOOKUP($A1254,Output_Mac!$A:$A,Output_Mac!U:U,""),
_xlpm.MyAuditVal,_xlfn.XLOOKUP($A1254,My_Audit!$A:$A,My_Audit!R:R,""),
_xlfn.IFS(_xlpm.MyAuditVal&lt;&gt;"",UPPER(_xlpm.MyAuditVal),_xlpm.MacVal&lt;&gt;"",_xlpm.MacVal,_xlpm.CSVVal&lt;&gt;"",_xlpm.CSVVal
)),"")</f>
        <v/>
      </c>
      <c r="R1254" s="40"/>
      <c r="S1254" s="40"/>
      <c r="T1254" s="40"/>
      <c r="U1254" s="40"/>
      <c r="V1254" s="40"/>
      <c r="W1254" s="40"/>
      <c r="X1254" s="41" t="str">
        <f>_xlfn.LET(
    _xlpm.MacVal, _xlfn.XLOOKUP($A1254, Output_Mac!$A:$A, Output_Mac!AB:AB, ""),
    _xlpm.MyAuditVal, _xlfn.XLOOKUP($A1254, My_Audit!$A:$A, My_Audit!N:N, ""),
    _xlfn.TEXTJOIN(", ", TRUE, _xlpm.MyAuditVal, _xlpm.MacVal)
)</f>
        <v/>
      </c>
    </row>
    <row r="1255" spans="1:24">
      <c r="A1255" s="40" t="str">
        <f>_xlfn.TEXTJOIN("",TRUE,Input!$B$2,ROW(My_Audit!A1254))</f>
        <v>X1254</v>
      </c>
      <c r="B1255" s="40" t="str">
        <f>_xlfn.TEXTJOIN("-",TRUE,"ITD",Input!$A$2,A1255)</f>
        <v>ITD-X1254</v>
      </c>
      <c r="C1255" s="40" t="str" cm="1">
        <f t="array" ref="C1255">IFERROR(_xlfn.LET(
_xlpm.CSVVal,_xlfn.XLOOKUP($A1255,CSV!$A:$A,CSV!B:B,""),
_xlpm.MacVal,_xlfn.XLOOKUP($A1255,Output_Mac!$A:$A,Output_Mac!B:B,""),
_xlpm.MyAuditVal,_xlfn.XLOOKUP($A1255,My_Audit!$A:$A,My_Audit!B:B,""),
_xlfn.IFS(_xlpm.MyAuditVal&lt;&gt;"",UPPER(_xlpm.MyAuditVal),_xlpm.MacVal&lt;&gt;"",_xlpm.MacVal,_xlpm.CSVVal&lt;&gt;"",_xlpm.CSVVal
)),"")</f>
        <v/>
      </c>
      <c r="D1255" s="40" t="str" cm="1">
        <f t="array" ref="D1255">IFERROR(_xlfn.LET(
_xlpm.CSVVal,_xlfn.XLOOKUP($A1255,CSV!$A:$A,CSV!D:D,""),
_xlpm.MacVal,_xlfn.XLOOKUP($A1255,Output_Mac!$A:$A,Output_Mac!C:C,""),
_xlpm.MyAuditVal,_xlfn.XLOOKUP($A1255,My_Audit!$A:$A,My_Audit!C:C,""),
_xlfn.IFS(_xlpm.MyAuditVal&lt;&gt;"",_xlpm.MyAuditVal,_xlpm.MacVal&lt;&gt;"",_xlpm.MacVal,_xlpm.CSVVal&lt;&gt;"",_xlpm.CSVVal
)),"")</f>
        <v/>
      </c>
      <c r="E1255" s="40" t="str">
        <f>_xlfn.XLOOKUP(A1255,My_Audit!A:A,My_Audit!D:D,"")</f>
        <v/>
      </c>
      <c r="F1255" s="40" t="str" cm="1">
        <f t="array" ref="F1255">IFERROR(_xlfn.LET(
_xlpm.CSVVal,_xlfn.XLOOKUP($A1255,CSV!$A:$A,CSV!F:F,""),
_xlpm.MacVal,_xlfn.XLOOKUP($A1255,Output_Mac!$A:$A,Output_Mac!E:E,""),
_xlpm.MyAuditVal,_xlfn.XLOOKUP($A1255,My_Audit!$A:$A,My_Audit!E:E,""),
_xlfn.IFS(_xlpm.MyAuditVal&lt;&gt;"",_xlpm.MyAuditVal,_xlpm.MacVal&lt;&gt;"",_xlpm.MacVal,_xlpm.CSVVal&lt;&gt;"",_xlpm.CSVVal
)),"")</f>
        <v/>
      </c>
      <c r="G1255" s="40" t="str" cm="1">
        <f t="array" ref="G1255">IFERROR(_xlfn.LET(
_xlpm.CSVVal,_xlfn.XLOOKUP($A1255,CSV!$A:$A,CSV!G:G,""),
_xlpm.MacVal,_xlfn.XLOOKUP($A1255,Output_Mac!$A:$A,Output_Mac!F:F,""),
_xlpm.MyAuditVal,_xlfn.XLOOKUP($A1255,My_Audit!$A:$A,My_Audit!F:F,""),
_xlfn.IFS(_xlpm.MyAuditVal&lt;&gt;"",_xlpm.MyAuditVal,_xlpm.MacVal&lt;&gt;"",_xlpm.MacVal,_xlpm.CSVVal&lt;&gt;"",PROPER(_xlpm.CSVVal)
)),"")</f>
        <v/>
      </c>
      <c r="H1255" s="40" t="str" cm="1">
        <f t="array" ref="H1255">IFERROR(_xlfn.LET(
_xlpm.CSVVal,_xlfn.XLOOKUP($A1255,CSV!$A:$A,CSV!H:H,""),
_xlpm.MacVal,_xlfn.XLOOKUP($A1255,Output_Mac!$A:$A,Output_Mac!H:H,""),
_xlpm.MyAuditVal,_xlfn.XLOOKUP($A1255,My_Audit!$A:$A,My_Audit!G:G,""),
_xlfn.IFS(_xlpm.MyAuditVal&lt;&gt;"",_xlpm.MyAuditVal,_xlpm.MacVal&lt;&gt;"",_xlpm.MacVal,_xlpm.CSVVal&lt;&gt;"",_xlpm.CSVVal
)),"")</f>
        <v/>
      </c>
      <c r="I1255" s="40" t="str">
        <f>_xlfn.XLOOKUP(A1255,Output_Mac!A:A,Output_Mac!I:I,"")</f>
        <v/>
      </c>
      <c r="J1255" s="40" t="str" cm="1">
        <f t="array" ref="J1255">IFERROR(_xlfn.LET(
_xlpm.CSVVal,_xlfn.XLOOKUP($A1255,CSV!$A:$A,CSV!I:I,""),
_xlpm.MacVal,_xlfn.XLOOKUP($A1255,Output_Mac!$A:$A,Output_Mac!J:J,""),
_xlpm.MyAuditVal,_xlfn.XLOOKUP($A1255,My_Audit!$A:$A,My_Audit!I:I,""),
_xlfn.IFS(_xlpm.MyAuditVal&lt;&gt;"",UPPER(_xlpm.MyAuditVal),_xlpm.MacVal&lt;&gt;"",_xlpm.MacVal,_xlpm.CSVVal&lt;&gt;"",_xlpm.CSVVal
)),"")</f>
        <v/>
      </c>
      <c r="K1255" s="40" t="str" cm="1">
        <f t="array" ref="K1255">IFERROR(_xlfn.LET(
_xlpm.CSVVal,_xlfn.XLOOKUP($A1255,CSV!$A:$A,CSV!K:K,""),
_xlpm.MacVal,_xlfn.XLOOKUP($A1255,Output_Mac!$A:$A,Output_Mac!K:K,""),
_xlpm.MyAuditVal,_xlfn.XLOOKUP($A1255,My_Audit!$A:$A,My_Audit!J:J,""),
_xlfn.IFS(_xlpm.MyAuditVal&lt;&gt;"",UPPER(_xlpm.MyAuditVal),_xlpm.MacVal&lt;&gt;"",_xlpm.MacVal,_xlpm.CSVVal&lt;&gt;"",_xlpm.CSVVal
)),"")</f>
        <v/>
      </c>
      <c r="L1255" s="40" t="str" cm="1">
        <f t="array" ref="L1255">IFERROR(_xlfn.LET(
_xlpm.CSVVal,_xlfn.XLOOKUP($A1255,CSV!$A:$A,CSV!P:P,""),
_xlpm.MacVal,_xlfn.XLOOKUP($A1255,Output_Mac!$A:$A,Output_Mac!L:L,""),
_xlpm.MyAuditVal,_xlfn.XLOOKUP($A1255,My_Audit!$A:$A,My_Audit!K:K,""),
_xlfn.IFS(_xlpm.MyAuditVal&lt;&gt;"",UPPER(_xlpm.MyAuditVal),_xlpm.MacVal&lt;&gt;"",_xlpm.MacVal,_xlpm.CSVVal&lt;&gt;"",_xlpm.CSVVal
)),"")</f>
        <v/>
      </c>
      <c r="M1255" s="40" t="str" cm="1">
        <f t="array" ref="M1255">IFERROR(_xlfn.LET(
_xlpm.CSVVal,_xlfn.XLOOKUP($A1255,CSV!$A:$A,CSV!Q:Q,""),
_xlpm.MacVal,_xlfn.XLOOKUP($A1255,Output_Mac!$A:$A,Output_Mac!M:M,""),
_xlpm.MyAuditVal,_xlfn.XLOOKUP($A1255,My_Audit!$A:$A,My_Audit!L:L,""),
_xlfn.IFS(_xlpm.MyAuditVal&lt;&gt;"",UPPER(_xlpm.MyAuditVal),_xlpm.MacVal&lt;&gt;"",_xlpm.MacVal,_xlpm.CSVVal&lt;&gt;"",_xlpm.CSVVal
)),"")</f>
        <v/>
      </c>
      <c r="N1255" s="40"/>
      <c r="O1255" s="40" t="str">
        <f>_xlfn.LET(
    _xlpm.CSVVal, _xlfn.XLOOKUP($A1255, CSV!$A:$A, CSV!AA:AA, ""),
    _xlpm.MacVal, _xlfn.XLOOKUP($A1255, Output_Mac!$A:$A, Output_Mac!S:S, ""),
    _xlpm.MyAuditVal, _xlfn.XLOOKUP($A1255, My_Audit!$A:$A, My_Audit!P:P, ""),
    _xlfn.TEXTJOIN(", ", TRUE, _xlpm.MyAuditVal, _xlpm.MacVal, _xlpm.CSVVal)
)</f>
        <v/>
      </c>
      <c r="P1255" s="40" t="str" cm="1">
        <f t="array" ref="P1255">IFERROR(_xlfn.LET(
_xlpm.CSVVal,_xlfn.XLOOKUP($A1255,CSV!$A:$A,CSV!AB:AB,""),
_xlpm.MacVal,_xlfn.XLOOKUP($A1255,Output_Mac!$A:$A,Output_Mac!T:T,""),
_xlpm.MyAuditVal,_xlfn.XLOOKUP($A1255,My_Audit!$A:$A,My_Audit!Q:Q,""),
_xlfn.IFS(_xlpm.MyAuditVal&lt;&gt;"",UPPER(_xlpm.MyAuditVal),_xlpm.MacVal&lt;&gt;"",_xlpm.MacVal,_xlpm.CSVVal&lt;&gt;"",_xlpm.CSVVal
)),"No")</f>
        <v>No</v>
      </c>
      <c r="Q1255" s="40" t="str" cm="1">
        <f t="array" ref="Q1255">IFERROR(_xlfn.LET(
_xlpm.CSVVal,_xlfn.XLOOKUP($A1255,CSV!$A:$A,CSV!AC:AC,""),
_xlpm.MacVal,_xlfn.XLOOKUP($A1255,Output_Mac!$A:$A,Output_Mac!U:U,""),
_xlpm.MyAuditVal,_xlfn.XLOOKUP($A1255,My_Audit!$A:$A,My_Audit!R:R,""),
_xlfn.IFS(_xlpm.MyAuditVal&lt;&gt;"",UPPER(_xlpm.MyAuditVal),_xlpm.MacVal&lt;&gt;"",_xlpm.MacVal,_xlpm.CSVVal&lt;&gt;"",_xlpm.CSVVal
)),"")</f>
        <v/>
      </c>
      <c r="R1255" s="40"/>
      <c r="S1255" s="40"/>
      <c r="T1255" s="40"/>
      <c r="U1255" s="40"/>
      <c r="V1255" s="40"/>
      <c r="W1255" s="40"/>
      <c r="X1255" s="41" t="str">
        <f>_xlfn.LET(
    _xlpm.MacVal, _xlfn.XLOOKUP($A1255, Output_Mac!$A:$A, Output_Mac!AB:AB, ""),
    _xlpm.MyAuditVal, _xlfn.XLOOKUP($A1255, My_Audit!$A:$A, My_Audit!N:N, ""),
    _xlfn.TEXTJOIN(", ", TRUE, _xlpm.MyAuditVal, _xlpm.MacVal)
)</f>
        <v/>
      </c>
    </row>
    <row r="1256" spans="1:24">
      <c r="A1256" s="40" t="str">
        <f>_xlfn.TEXTJOIN("",TRUE,Input!$B$2,ROW(My_Audit!A1255))</f>
        <v>X1255</v>
      </c>
      <c r="B1256" s="40" t="str">
        <f>_xlfn.TEXTJOIN("-",TRUE,"ITD",Input!$A$2,A1256)</f>
        <v>ITD-X1255</v>
      </c>
      <c r="C1256" s="40" t="str" cm="1">
        <f t="array" ref="C1256">IFERROR(_xlfn.LET(
_xlpm.CSVVal,_xlfn.XLOOKUP($A1256,CSV!$A:$A,CSV!B:B,""),
_xlpm.MacVal,_xlfn.XLOOKUP($A1256,Output_Mac!$A:$A,Output_Mac!B:B,""),
_xlpm.MyAuditVal,_xlfn.XLOOKUP($A1256,My_Audit!$A:$A,My_Audit!B:B,""),
_xlfn.IFS(_xlpm.MyAuditVal&lt;&gt;"",UPPER(_xlpm.MyAuditVal),_xlpm.MacVal&lt;&gt;"",_xlpm.MacVal,_xlpm.CSVVal&lt;&gt;"",_xlpm.CSVVal
)),"")</f>
        <v/>
      </c>
      <c r="D1256" s="40" t="str" cm="1">
        <f t="array" ref="D1256">IFERROR(_xlfn.LET(
_xlpm.CSVVal,_xlfn.XLOOKUP($A1256,CSV!$A:$A,CSV!D:D,""),
_xlpm.MacVal,_xlfn.XLOOKUP($A1256,Output_Mac!$A:$A,Output_Mac!C:C,""),
_xlpm.MyAuditVal,_xlfn.XLOOKUP($A1256,My_Audit!$A:$A,My_Audit!C:C,""),
_xlfn.IFS(_xlpm.MyAuditVal&lt;&gt;"",_xlpm.MyAuditVal,_xlpm.MacVal&lt;&gt;"",_xlpm.MacVal,_xlpm.CSVVal&lt;&gt;"",_xlpm.CSVVal
)),"")</f>
        <v/>
      </c>
      <c r="E1256" s="40" t="str">
        <f>_xlfn.XLOOKUP(A1256,My_Audit!A:A,My_Audit!D:D,"")</f>
        <v/>
      </c>
      <c r="F1256" s="40" t="str" cm="1">
        <f t="array" ref="F1256">IFERROR(_xlfn.LET(
_xlpm.CSVVal,_xlfn.XLOOKUP($A1256,CSV!$A:$A,CSV!F:F,""),
_xlpm.MacVal,_xlfn.XLOOKUP($A1256,Output_Mac!$A:$A,Output_Mac!E:E,""),
_xlpm.MyAuditVal,_xlfn.XLOOKUP($A1256,My_Audit!$A:$A,My_Audit!E:E,""),
_xlfn.IFS(_xlpm.MyAuditVal&lt;&gt;"",_xlpm.MyAuditVal,_xlpm.MacVal&lt;&gt;"",_xlpm.MacVal,_xlpm.CSVVal&lt;&gt;"",_xlpm.CSVVal
)),"")</f>
        <v/>
      </c>
      <c r="G1256" s="40" t="str" cm="1">
        <f t="array" ref="G1256">IFERROR(_xlfn.LET(
_xlpm.CSVVal,_xlfn.XLOOKUP($A1256,CSV!$A:$A,CSV!G:G,""),
_xlpm.MacVal,_xlfn.XLOOKUP($A1256,Output_Mac!$A:$A,Output_Mac!F:F,""),
_xlpm.MyAuditVal,_xlfn.XLOOKUP($A1256,My_Audit!$A:$A,My_Audit!F:F,""),
_xlfn.IFS(_xlpm.MyAuditVal&lt;&gt;"",_xlpm.MyAuditVal,_xlpm.MacVal&lt;&gt;"",_xlpm.MacVal,_xlpm.CSVVal&lt;&gt;"",PROPER(_xlpm.CSVVal)
)),"")</f>
        <v/>
      </c>
      <c r="H1256" s="40" t="str" cm="1">
        <f t="array" ref="H1256">IFERROR(_xlfn.LET(
_xlpm.CSVVal,_xlfn.XLOOKUP($A1256,CSV!$A:$A,CSV!H:H,""),
_xlpm.MacVal,_xlfn.XLOOKUP($A1256,Output_Mac!$A:$A,Output_Mac!H:H,""),
_xlpm.MyAuditVal,_xlfn.XLOOKUP($A1256,My_Audit!$A:$A,My_Audit!G:G,""),
_xlfn.IFS(_xlpm.MyAuditVal&lt;&gt;"",_xlpm.MyAuditVal,_xlpm.MacVal&lt;&gt;"",_xlpm.MacVal,_xlpm.CSVVal&lt;&gt;"",_xlpm.CSVVal
)),"")</f>
        <v/>
      </c>
      <c r="I1256" s="40" t="str">
        <f>_xlfn.XLOOKUP(A1256,Output_Mac!A:A,Output_Mac!I:I,"")</f>
        <v/>
      </c>
      <c r="J1256" s="40" t="str" cm="1">
        <f t="array" ref="J1256">IFERROR(_xlfn.LET(
_xlpm.CSVVal,_xlfn.XLOOKUP($A1256,CSV!$A:$A,CSV!I:I,""),
_xlpm.MacVal,_xlfn.XLOOKUP($A1256,Output_Mac!$A:$A,Output_Mac!J:J,""),
_xlpm.MyAuditVal,_xlfn.XLOOKUP($A1256,My_Audit!$A:$A,My_Audit!I:I,""),
_xlfn.IFS(_xlpm.MyAuditVal&lt;&gt;"",UPPER(_xlpm.MyAuditVal),_xlpm.MacVal&lt;&gt;"",_xlpm.MacVal,_xlpm.CSVVal&lt;&gt;"",_xlpm.CSVVal
)),"")</f>
        <v/>
      </c>
      <c r="K1256" s="40" t="str" cm="1">
        <f t="array" ref="K1256">IFERROR(_xlfn.LET(
_xlpm.CSVVal,_xlfn.XLOOKUP($A1256,CSV!$A:$A,CSV!K:K,""),
_xlpm.MacVal,_xlfn.XLOOKUP($A1256,Output_Mac!$A:$A,Output_Mac!K:K,""),
_xlpm.MyAuditVal,_xlfn.XLOOKUP($A1256,My_Audit!$A:$A,My_Audit!J:J,""),
_xlfn.IFS(_xlpm.MyAuditVal&lt;&gt;"",UPPER(_xlpm.MyAuditVal),_xlpm.MacVal&lt;&gt;"",_xlpm.MacVal,_xlpm.CSVVal&lt;&gt;"",_xlpm.CSVVal
)),"")</f>
        <v/>
      </c>
      <c r="L1256" s="40" t="str" cm="1">
        <f t="array" ref="L1256">IFERROR(_xlfn.LET(
_xlpm.CSVVal,_xlfn.XLOOKUP($A1256,CSV!$A:$A,CSV!P:P,""),
_xlpm.MacVal,_xlfn.XLOOKUP($A1256,Output_Mac!$A:$A,Output_Mac!L:L,""),
_xlpm.MyAuditVal,_xlfn.XLOOKUP($A1256,My_Audit!$A:$A,My_Audit!K:K,""),
_xlfn.IFS(_xlpm.MyAuditVal&lt;&gt;"",UPPER(_xlpm.MyAuditVal),_xlpm.MacVal&lt;&gt;"",_xlpm.MacVal,_xlpm.CSVVal&lt;&gt;"",_xlpm.CSVVal
)),"")</f>
        <v/>
      </c>
      <c r="M1256" s="40" t="str" cm="1">
        <f t="array" ref="M1256">IFERROR(_xlfn.LET(
_xlpm.CSVVal,_xlfn.XLOOKUP($A1256,CSV!$A:$A,CSV!Q:Q,""),
_xlpm.MacVal,_xlfn.XLOOKUP($A1256,Output_Mac!$A:$A,Output_Mac!M:M,""),
_xlpm.MyAuditVal,_xlfn.XLOOKUP($A1256,My_Audit!$A:$A,My_Audit!L:L,""),
_xlfn.IFS(_xlpm.MyAuditVal&lt;&gt;"",UPPER(_xlpm.MyAuditVal),_xlpm.MacVal&lt;&gt;"",_xlpm.MacVal,_xlpm.CSVVal&lt;&gt;"",_xlpm.CSVVal
)),"")</f>
        <v/>
      </c>
      <c r="N1256" s="40"/>
      <c r="O1256" s="40" t="str">
        <f>_xlfn.LET(
    _xlpm.CSVVal, _xlfn.XLOOKUP($A1256, CSV!$A:$A, CSV!AA:AA, ""),
    _xlpm.MacVal, _xlfn.XLOOKUP($A1256, Output_Mac!$A:$A, Output_Mac!S:S, ""),
    _xlpm.MyAuditVal, _xlfn.XLOOKUP($A1256, My_Audit!$A:$A, My_Audit!P:P, ""),
    _xlfn.TEXTJOIN(", ", TRUE, _xlpm.MyAuditVal, _xlpm.MacVal, _xlpm.CSVVal)
)</f>
        <v/>
      </c>
      <c r="P1256" s="40" t="str" cm="1">
        <f t="array" ref="P1256">IFERROR(_xlfn.LET(
_xlpm.CSVVal,_xlfn.XLOOKUP($A1256,CSV!$A:$A,CSV!AB:AB,""),
_xlpm.MacVal,_xlfn.XLOOKUP($A1256,Output_Mac!$A:$A,Output_Mac!T:T,""),
_xlpm.MyAuditVal,_xlfn.XLOOKUP($A1256,My_Audit!$A:$A,My_Audit!Q:Q,""),
_xlfn.IFS(_xlpm.MyAuditVal&lt;&gt;"",UPPER(_xlpm.MyAuditVal),_xlpm.MacVal&lt;&gt;"",_xlpm.MacVal,_xlpm.CSVVal&lt;&gt;"",_xlpm.CSVVal
)),"No")</f>
        <v>No</v>
      </c>
      <c r="Q1256" s="40" t="str" cm="1">
        <f t="array" ref="Q1256">IFERROR(_xlfn.LET(
_xlpm.CSVVal,_xlfn.XLOOKUP($A1256,CSV!$A:$A,CSV!AC:AC,""),
_xlpm.MacVal,_xlfn.XLOOKUP($A1256,Output_Mac!$A:$A,Output_Mac!U:U,""),
_xlpm.MyAuditVal,_xlfn.XLOOKUP($A1256,My_Audit!$A:$A,My_Audit!R:R,""),
_xlfn.IFS(_xlpm.MyAuditVal&lt;&gt;"",UPPER(_xlpm.MyAuditVal),_xlpm.MacVal&lt;&gt;"",_xlpm.MacVal,_xlpm.CSVVal&lt;&gt;"",_xlpm.CSVVal
)),"")</f>
        <v/>
      </c>
      <c r="R1256" s="40"/>
      <c r="S1256" s="40"/>
      <c r="T1256" s="40"/>
      <c r="U1256" s="40"/>
      <c r="V1256" s="40"/>
      <c r="W1256" s="40"/>
      <c r="X1256" s="41" t="str">
        <f>_xlfn.LET(
    _xlpm.MacVal, _xlfn.XLOOKUP($A1256, Output_Mac!$A:$A, Output_Mac!AB:AB, ""),
    _xlpm.MyAuditVal, _xlfn.XLOOKUP($A1256, My_Audit!$A:$A, My_Audit!N:N, ""),
    _xlfn.TEXTJOIN(", ", TRUE, _xlpm.MyAuditVal, _xlpm.MacVal)
)</f>
        <v/>
      </c>
    </row>
    <row r="1257" spans="1:24">
      <c r="A1257" s="40" t="str">
        <f>_xlfn.TEXTJOIN("",TRUE,Input!$B$2,ROW(My_Audit!A1256))</f>
        <v>X1256</v>
      </c>
      <c r="B1257" s="40" t="str">
        <f>_xlfn.TEXTJOIN("-",TRUE,"ITD",Input!$A$2,A1257)</f>
        <v>ITD-X1256</v>
      </c>
      <c r="C1257" s="40" t="str" cm="1">
        <f t="array" ref="C1257">IFERROR(_xlfn.LET(
_xlpm.CSVVal,_xlfn.XLOOKUP($A1257,CSV!$A:$A,CSV!B:B,""),
_xlpm.MacVal,_xlfn.XLOOKUP($A1257,Output_Mac!$A:$A,Output_Mac!B:B,""),
_xlpm.MyAuditVal,_xlfn.XLOOKUP($A1257,My_Audit!$A:$A,My_Audit!B:B,""),
_xlfn.IFS(_xlpm.MyAuditVal&lt;&gt;"",UPPER(_xlpm.MyAuditVal),_xlpm.MacVal&lt;&gt;"",_xlpm.MacVal,_xlpm.CSVVal&lt;&gt;"",_xlpm.CSVVal
)),"")</f>
        <v/>
      </c>
      <c r="D1257" s="40" t="str" cm="1">
        <f t="array" ref="D1257">IFERROR(_xlfn.LET(
_xlpm.CSVVal,_xlfn.XLOOKUP($A1257,CSV!$A:$A,CSV!D:D,""),
_xlpm.MacVal,_xlfn.XLOOKUP($A1257,Output_Mac!$A:$A,Output_Mac!C:C,""),
_xlpm.MyAuditVal,_xlfn.XLOOKUP($A1257,My_Audit!$A:$A,My_Audit!C:C,""),
_xlfn.IFS(_xlpm.MyAuditVal&lt;&gt;"",_xlpm.MyAuditVal,_xlpm.MacVal&lt;&gt;"",_xlpm.MacVal,_xlpm.CSVVal&lt;&gt;"",_xlpm.CSVVal
)),"")</f>
        <v/>
      </c>
      <c r="E1257" s="40" t="str">
        <f>_xlfn.XLOOKUP(A1257,My_Audit!A:A,My_Audit!D:D,"")</f>
        <v/>
      </c>
      <c r="F1257" s="40" t="str" cm="1">
        <f t="array" ref="F1257">IFERROR(_xlfn.LET(
_xlpm.CSVVal,_xlfn.XLOOKUP($A1257,CSV!$A:$A,CSV!F:F,""),
_xlpm.MacVal,_xlfn.XLOOKUP($A1257,Output_Mac!$A:$A,Output_Mac!E:E,""),
_xlpm.MyAuditVal,_xlfn.XLOOKUP($A1257,My_Audit!$A:$A,My_Audit!E:E,""),
_xlfn.IFS(_xlpm.MyAuditVal&lt;&gt;"",_xlpm.MyAuditVal,_xlpm.MacVal&lt;&gt;"",_xlpm.MacVal,_xlpm.CSVVal&lt;&gt;"",_xlpm.CSVVal
)),"")</f>
        <v/>
      </c>
      <c r="G1257" s="40" t="str" cm="1">
        <f t="array" ref="G1257">IFERROR(_xlfn.LET(
_xlpm.CSVVal,_xlfn.XLOOKUP($A1257,CSV!$A:$A,CSV!G:G,""),
_xlpm.MacVal,_xlfn.XLOOKUP($A1257,Output_Mac!$A:$A,Output_Mac!F:F,""),
_xlpm.MyAuditVal,_xlfn.XLOOKUP($A1257,My_Audit!$A:$A,My_Audit!F:F,""),
_xlfn.IFS(_xlpm.MyAuditVal&lt;&gt;"",_xlpm.MyAuditVal,_xlpm.MacVal&lt;&gt;"",_xlpm.MacVal,_xlpm.CSVVal&lt;&gt;"",PROPER(_xlpm.CSVVal)
)),"")</f>
        <v/>
      </c>
      <c r="H1257" s="40" t="str" cm="1">
        <f t="array" ref="H1257">IFERROR(_xlfn.LET(
_xlpm.CSVVal,_xlfn.XLOOKUP($A1257,CSV!$A:$A,CSV!H:H,""),
_xlpm.MacVal,_xlfn.XLOOKUP($A1257,Output_Mac!$A:$A,Output_Mac!H:H,""),
_xlpm.MyAuditVal,_xlfn.XLOOKUP($A1257,My_Audit!$A:$A,My_Audit!G:G,""),
_xlfn.IFS(_xlpm.MyAuditVal&lt;&gt;"",_xlpm.MyAuditVal,_xlpm.MacVal&lt;&gt;"",_xlpm.MacVal,_xlpm.CSVVal&lt;&gt;"",_xlpm.CSVVal
)),"")</f>
        <v/>
      </c>
      <c r="I1257" s="40" t="str">
        <f>_xlfn.XLOOKUP(A1257,Output_Mac!A:A,Output_Mac!I:I,"")</f>
        <v/>
      </c>
      <c r="J1257" s="40" t="str" cm="1">
        <f t="array" ref="J1257">IFERROR(_xlfn.LET(
_xlpm.CSVVal,_xlfn.XLOOKUP($A1257,CSV!$A:$A,CSV!I:I,""),
_xlpm.MacVal,_xlfn.XLOOKUP($A1257,Output_Mac!$A:$A,Output_Mac!J:J,""),
_xlpm.MyAuditVal,_xlfn.XLOOKUP($A1257,My_Audit!$A:$A,My_Audit!I:I,""),
_xlfn.IFS(_xlpm.MyAuditVal&lt;&gt;"",UPPER(_xlpm.MyAuditVal),_xlpm.MacVal&lt;&gt;"",_xlpm.MacVal,_xlpm.CSVVal&lt;&gt;"",_xlpm.CSVVal
)),"")</f>
        <v/>
      </c>
      <c r="K1257" s="40" t="str" cm="1">
        <f t="array" ref="K1257">IFERROR(_xlfn.LET(
_xlpm.CSVVal,_xlfn.XLOOKUP($A1257,CSV!$A:$A,CSV!K:K,""),
_xlpm.MacVal,_xlfn.XLOOKUP($A1257,Output_Mac!$A:$A,Output_Mac!K:K,""),
_xlpm.MyAuditVal,_xlfn.XLOOKUP($A1257,My_Audit!$A:$A,My_Audit!J:J,""),
_xlfn.IFS(_xlpm.MyAuditVal&lt;&gt;"",UPPER(_xlpm.MyAuditVal),_xlpm.MacVal&lt;&gt;"",_xlpm.MacVal,_xlpm.CSVVal&lt;&gt;"",_xlpm.CSVVal
)),"")</f>
        <v/>
      </c>
      <c r="L1257" s="40" t="str" cm="1">
        <f t="array" ref="L1257">IFERROR(_xlfn.LET(
_xlpm.CSVVal,_xlfn.XLOOKUP($A1257,CSV!$A:$A,CSV!P:P,""),
_xlpm.MacVal,_xlfn.XLOOKUP($A1257,Output_Mac!$A:$A,Output_Mac!L:L,""),
_xlpm.MyAuditVal,_xlfn.XLOOKUP($A1257,My_Audit!$A:$A,My_Audit!K:K,""),
_xlfn.IFS(_xlpm.MyAuditVal&lt;&gt;"",UPPER(_xlpm.MyAuditVal),_xlpm.MacVal&lt;&gt;"",_xlpm.MacVal,_xlpm.CSVVal&lt;&gt;"",_xlpm.CSVVal
)),"")</f>
        <v/>
      </c>
      <c r="M1257" s="40" t="str" cm="1">
        <f t="array" ref="M1257">IFERROR(_xlfn.LET(
_xlpm.CSVVal,_xlfn.XLOOKUP($A1257,CSV!$A:$A,CSV!Q:Q,""),
_xlpm.MacVal,_xlfn.XLOOKUP($A1257,Output_Mac!$A:$A,Output_Mac!M:M,""),
_xlpm.MyAuditVal,_xlfn.XLOOKUP($A1257,My_Audit!$A:$A,My_Audit!L:L,""),
_xlfn.IFS(_xlpm.MyAuditVal&lt;&gt;"",UPPER(_xlpm.MyAuditVal),_xlpm.MacVal&lt;&gt;"",_xlpm.MacVal,_xlpm.CSVVal&lt;&gt;"",_xlpm.CSVVal
)),"")</f>
        <v/>
      </c>
      <c r="N1257" s="40"/>
      <c r="O1257" s="40" t="str">
        <f>_xlfn.LET(
    _xlpm.CSVVal, _xlfn.XLOOKUP($A1257, CSV!$A:$A, CSV!AA:AA, ""),
    _xlpm.MacVal, _xlfn.XLOOKUP($A1257, Output_Mac!$A:$A, Output_Mac!S:S, ""),
    _xlpm.MyAuditVal, _xlfn.XLOOKUP($A1257, My_Audit!$A:$A, My_Audit!P:P, ""),
    _xlfn.TEXTJOIN(", ", TRUE, _xlpm.MyAuditVal, _xlpm.MacVal, _xlpm.CSVVal)
)</f>
        <v/>
      </c>
      <c r="P1257" s="40" t="str" cm="1">
        <f t="array" ref="P1257">IFERROR(_xlfn.LET(
_xlpm.CSVVal,_xlfn.XLOOKUP($A1257,CSV!$A:$A,CSV!AB:AB,""),
_xlpm.MacVal,_xlfn.XLOOKUP($A1257,Output_Mac!$A:$A,Output_Mac!T:T,""),
_xlpm.MyAuditVal,_xlfn.XLOOKUP($A1257,My_Audit!$A:$A,My_Audit!Q:Q,""),
_xlfn.IFS(_xlpm.MyAuditVal&lt;&gt;"",UPPER(_xlpm.MyAuditVal),_xlpm.MacVal&lt;&gt;"",_xlpm.MacVal,_xlpm.CSVVal&lt;&gt;"",_xlpm.CSVVal
)),"No")</f>
        <v>No</v>
      </c>
      <c r="Q1257" s="40" t="str" cm="1">
        <f t="array" ref="Q1257">IFERROR(_xlfn.LET(
_xlpm.CSVVal,_xlfn.XLOOKUP($A1257,CSV!$A:$A,CSV!AC:AC,""),
_xlpm.MacVal,_xlfn.XLOOKUP($A1257,Output_Mac!$A:$A,Output_Mac!U:U,""),
_xlpm.MyAuditVal,_xlfn.XLOOKUP($A1257,My_Audit!$A:$A,My_Audit!R:R,""),
_xlfn.IFS(_xlpm.MyAuditVal&lt;&gt;"",UPPER(_xlpm.MyAuditVal),_xlpm.MacVal&lt;&gt;"",_xlpm.MacVal,_xlpm.CSVVal&lt;&gt;"",_xlpm.CSVVal
)),"")</f>
        <v/>
      </c>
      <c r="R1257" s="40"/>
      <c r="S1257" s="40"/>
      <c r="T1257" s="40"/>
      <c r="U1257" s="40"/>
      <c r="V1257" s="40"/>
      <c r="W1257" s="40"/>
      <c r="X1257" s="41" t="str">
        <f>_xlfn.LET(
    _xlpm.MacVal, _xlfn.XLOOKUP($A1257, Output_Mac!$A:$A, Output_Mac!AB:AB, ""),
    _xlpm.MyAuditVal, _xlfn.XLOOKUP($A1257, My_Audit!$A:$A, My_Audit!N:N, ""),
    _xlfn.TEXTJOIN(", ", TRUE, _xlpm.MyAuditVal, _xlpm.MacVal)
)</f>
        <v/>
      </c>
    </row>
    <row r="1258" spans="1:24">
      <c r="A1258" s="40" t="str">
        <f>_xlfn.TEXTJOIN("",TRUE,Input!$B$2,ROW(My_Audit!A1257))</f>
        <v>X1257</v>
      </c>
      <c r="B1258" s="40" t="str">
        <f>_xlfn.TEXTJOIN("-",TRUE,"ITD",Input!$A$2,A1258)</f>
        <v>ITD-X1257</v>
      </c>
      <c r="C1258" s="40" t="str" cm="1">
        <f t="array" ref="C1258">IFERROR(_xlfn.LET(
_xlpm.CSVVal,_xlfn.XLOOKUP($A1258,CSV!$A:$A,CSV!B:B,""),
_xlpm.MacVal,_xlfn.XLOOKUP($A1258,Output_Mac!$A:$A,Output_Mac!B:B,""),
_xlpm.MyAuditVal,_xlfn.XLOOKUP($A1258,My_Audit!$A:$A,My_Audit!B:B,""),
_xlfn.IFS(_xlpm.MyAuditVal&lt;&gt;"",UPPER(_xlpm.MyAuditVal),_xlpm.MacVal&lt;&gt;"",_xlpm.MacVal,_xlpm.CSVVal&lt;&gt;"",_xlpm.CSVVal
)),"")</f>
        <v/>
      </c>
      <c r="D1258" s="40" t="str" cm="1">
        <f t="array" ref="D1258">IFERROR(_xlfn.LET(
_xlpm.CSVVal,_xlfn.XLOOKUP($A1258,CSV!$A:$A,CSV!D:D,""),
_xlpm.MacVal,_xlfn.XLOOKUP($A1258,Output_Mac!$A:$A,Output_Mac!C:C,""),
_xlpm.MyAuditVal,_xlfn.XLOOKUP($A1258,My_Audit!$A:$A,My_Audit!C:C,""),
_xlfn.IFS(_xlpm.MyAuditVal&lt;&gt;"",_xlpm.MyAuditVal,_xlpm.MacVal&lt;&gt;"",_xlpm.MacVal,_xlpm.CSVVal&lt;&gt;"",_xlpm.CSVVal
)),"")</f>
        <v/>
      </c>
      <c r="E1258" s="40" t="str">
        <f>_xlfn.XLOOKUP(A1258,My_Audit!A:A,My_Audit!D:D,"")</f>
        <v/>
      </c>
      <c r="F1258" s="40" t="str" cm="1">
        <f t="array" ref="F1258">IFERROR(_xlfn.LET(
_xlpm.CSVVal,_xlfn.XLOOKUP($A1258,CSV!$A:$A,CSV!F:F,""),
_xlpm.MacVal,_xlfn.XLOOKUP($A1258,Output_Mac!$A:$A,Output_Mac!E:E,""),
_xlpm.MyAuditVal,_xlfn.XLOOKUP($A1258,My_Audit!$A:$A,My_Audit!E:E,""),
_xlfn.IFS(_xlpm.MyAuditVal&lt;&gt;"",_xlpm.MyAuditVal,_xlpm.MacVal&lt;&gt;"",_xlpm.MacVal,_xlpm.CSVVal&lt;&gt;"",_xlpm.CSVVal
)),"")</f>
        <v/>
      </c>
      <c r="G1258" s="40" t="str" cm="1">
        <f t="array" ref="G1258">IFERROR(_xlfn.LET(
_xlpm.CSVVal,_xlfn.XLOOKUP($A1258,CSV!$A:$A,CSV!G:G,""),
_xlpm.MacVal,_xlfn.XLOOKUP($A1258,Output_Mac!$A:$A,Output_Mac!F:F,""),
_xlpm.MyAuditVal,_xlfn.XLOOKUP($A1258,My_Audit!$A:$A,My_Audit!F:F,""),
_xlfn.IFS(_xlpm.MyAuditVal&lt;&gt;"",_xlpm.MyAuditVal,_xlpm.MacVal&lt;&gt;"",_xlpm.MacVal,_xlpm.CSVVal&lt;&gt;"",PROPER(_xlpm.CSVVal)
)),"")</f>
        <v/>
      </c>
      <c r="H1258" s="40" t="str" cm="1">
        <f t="array" ref="H1258">IFERROR(_xlfn.LET(
_xlpm.CSVVal,_xlfn.XLOOKUP($A1258,CSV!$A:$A,CSV!H:H,""),
_xlpm.MacVal,_xlfn.XLOOKUP($A1258,Output_Mac!$A:$A,Output_Mac!H:H,""),
_xlpm.MyAuditVal,_xlfn.XLOOKUP($A1258,My_Audit!$A:$A,My_Audit!G:G,""),
_xlfn.IFS(_xlpm.MyAuditVal&lt;&gt;"",_xlpm.MyAuditVal,_xlpm.MacVal&lt;&gt;"",_xlpm.MacVal,_xlpm.CSVVal&lt;&gt;"",_xlpm.CSVVal
)),"")</f>
        <v/>
      </c>
      <c r="I1258" s="40" t="str">
        <f>_xlfn.XLOOKUP(A1258,Output_Mac!A:A,Output_Mac!I:I,"")</f>
        <v/>
      </c>
      <c r="J1258" s="40" t="str" cm="1">
        <f t="array" ref="J1258">IFERROR(_xlfn.LET(
_xlpm.CSVVal,_xlfn.XLOOKUP($A1258,CSV!$A:$A,CSV!I:I,""),
_xlpm.MacVal,_xlfn.XLOOKUP($A1258,Output_Mac!$A:$A,Output_Mac!J:J,""),
_xlpm.MyAuditVal,_xlfn.XLOOKUP($A1258,My_Audit!$A:$A,My_Audit!I:I,""),
_xlfn.IFS(_xlpm.MyAuditVal&lt;&gt;"",UPPER(_xlpm.MyAuditVal),_xlpm.MacVal&lt;&gt;"",_xlpm.MacVal,_xlpm.CSVVal&lt;&gt;"",_xlpm.CSVVal
)),"")</f>
        <v/>
      </c>
      <c r="K1258" s="40" t="str" cm="1">
        <f t="array" ref="K1258">IFERROR(_xlfn.LET(
_xlpm.CSVVal,_xlfn.XLOOKUP($A1258,CSV!$A:$A,CSV!K:K,""),
_xlpm.MacVal,_xlfn.XLOOKUP($A1258,Output_Mac!$A:$A,Output_Mac!K:K,""),
_xlpm.MyAuditVal,_xlfn.XLOOKUP($A1258,My_Audit!$A:$A,My_Audit!J:J,""),
_xlfn.IFS(_xlpm.MyAuditVal&lt;&gt;"",UPPER(_xlpm.MyAuditVal),_xlpm.MacVal&lt;&gt;"",_xlpm.MacVal,_xlpm.CSVVal&lt;&gt;"",_xlpm.CSVVal
)),"")</f>
        <v/>
      </c>
      <c r="L1258" s="40" t="str" cm="1">
        <f t="array" ref="L1258">IFERROR(_xlfn.LET(
_xlpm.CSVVal,_xlfn.XLOOKUP($A1258,CSV!$A:$A,CSV!P:P,""),
_xlpm.MacVal,_xlfn.XLOOKUP($A1258,Output_Mac!$A:$A,Output_Mac!L:L,""),
_xlpm.MyAuditVal,_xlfn.XLOOKUP($A1258,My_Audit!$A:$A,My_Audit!K:K,""),
_xlfn.IFS(_xlpm.MyAuditVal&lt;&gt;"",UPPER(_xlpm.MyAuditVal),_xlpm.MacVal&lt;&gt;"",_xlpm.MacVal,_xlpm.CSVVal&lt;&gt;"",_xlpm.CSVVal
)),"")</f>
        <v/>
      </c>
      <c r="M1258" s="40" t="str" cm="1">
        <f t="array" ref="M1258">IFERROR(_xlfn.LET(
_xlpm.CSVVal,_xlfn.XLOOKUP($A1258,CSV!$A:$A,CSV!Q:Q,""),
_xlpm.MacVal,_xlfn.XLOOKUP($A1258,Output_Mac!$A:$A,Output_Mac!M:M,""),
_xlpm.MyAuditVal,_xlfn.XLOOKUP($A1258,My_Audit!$A:$A,My_Audit!L:L,""),
_xlfn.IFS(_xlpm.MyAuditVal&lt;&gt;"",UPPER(_xlpm.MyAuditVal),_xlpm.MacVal&lt;&gt;"",_xlpm.MacVal,_xlpm.CSVVal&lt;&gt;"",_xlpm.CSVVal
)),"")</f>
        <v/>
      </c>
      <c r="N1258" s="40"/>
      <c r="O1258" s="40" t="str">
        <f>_xlfn.LET(
    _xlpm.CSVVal, _xlfn.XLOOKUP($A1258, CSV!$A:$A, CSV!AA:AA, ""),
    _xlpm.MacVal, _xlfn.XLOOKUP($A1258, Output_Mac!$A:$A, Output_Mac!S:S, ""),
    _xlpm.MyAuditVal, _xlfn.XLOOKUP($A1258, My_Audit!$A:$A, My_Audit!P:P, ""),
    _xlfn.TEXTJOIN(", ", TRUE, _xlpm.MyAuditVal, _xlpm.MacVal, _xlpm.CSVVal)
)</f>
        <v/>
      </c>
      <c r="P1258" s="40" t="str" cm="1">
        <f t="array" ref="P1258">IFERROR(_xlfn.LET(
_xlpm.CSVVal,_xlfn.XLOOKUP($A1258,CSV!$A:$A,CSV!AB:AB,""),
_xlpm.MacVal,_xlfn.XLOOKUP($A1258,Output_Mac!$A:$A,Output_Mac!T:T,""),
_xlpm.MyAuditVal,_xlfn.XLOOKUP($A1258,My_Audit!$A:$A,My_Audit!Q:Q,""),
_xlfn.IFS(_xlpm.MyAuditVal&lt;&gt;"",UPPER(_xlpm.MyAuditVal),_xlpm.MacVal&lt;&gt;"",_xlpm.MacVal,_xlpm.CSVVal&lt;&gt;"",_xlpm.CSVVal
)),"No")</f>
        <v>No</v>
      </c>
      <c r="Q1258" s="40" t="str" cm="1">
        <f t="array" ref="Q1258">IFERROR(_xlfn.LET(
_xlpm.CSVVal,_xlfn.XLOOKUP($A1258,CSV!$A:$A,CSV!AC:AC,""),
_xlpm.MacVal,_xlfn.XLOOKUP($A1258,Output_Mac!$A:$A,Output_Mac!U:U,""),
_xlpm.MyAuditVal,_xlfn.XLOOKUP($A1258,My_Audit!$A:$A,My_Audit!R:R,""),
_xlfn.IFS(_xlpm.MyAuditVal&lt;&gt;"",UPPER(_xlpm.MyAuditVal),_xlpm.MacVal&lt;&gt;"",_xlpm.MacVal,_xlpm.CSVVal&lt;&gt;"",_xlpm.CSVVal
)),"")</f>
        <v/>
      </c>
      <c r="R1258" s="40"/>
      <c r="S1258" s="40"/>
      <c r="T1258" s="40"/>
      <c r="U1258" s="40"/>
      <c r="V1258" s="40"/>
      <c r="W1258" s="40"/>
      <c r="X1258" s="41" t="str">
        <f>_xlfn.LET(
    _xlpm.MacVal, _xlfn.XLOOKUP($A1258, Output_Mac!$A:$A, Output_Mac!AB:AB, ""),
    _xlpm.MyAuditVal, _xlfn.XLOOKUP($A1258, My_Audit!$A:$A, My_Audit!N:N, ""),
    _xlfn.TEXTJOIN(", ", TRUE, _xlpm.MyAuditVal, _xlpm.MacVal)
)</f>
        <v/>
      </c>
    </row>
    <row r="1259" spans="1:24">
      <c r="A1259" s="40" t="str">
        <f>_xlfn.TEXTJOIN("",TRUE,Input!$B$2,ROW(My_Audit!A1258))</f>
        <v>X1258</v>
      </c>
      <c r="B1259" s="40" t="str">
        <f>_xlfn.TEXTJOIN("-",TRUE,"ITD",Input!$A$2,A1259)</f>
        <v>ITD-X1258</v>
      </c>
      <c r="C1259" s="40" t="str" cm="1">
        <f t="array" ref="C1259">IFERROR(_xlfn.LET(
_xlpm.CSVVal,_xlfn.XLOOKUP($A1259,CSV!$A:$A,CSV!B:B,""),
_xlpm.MacVal,_xlfn.XLOOKUP($A1259,Output_Mac!$A:$A,Output_Mac!B:B,""),
_xlpm.MyAuditVal,_xlfn.XLOOKUP($A1259,My_Audit!$A:$A,My_Audit!B:B,""),
_xlfn.IFS(_xlpm.MyAuditVal&lt;&gt;"",UPPER(_xlpm.MyAuditVal),_xlpm.MacVal&lt;&gt;"",_xlpm.MacVal,_xlpm.CSVVal&lt;&gt;"",_xlpm.CSVVal
)),"")</f>
        <v/>
      </c>
      <c r="D1259" s="40" t="str" cm="1">
        <f t="array" ref="D1259">IFERROR(_xlfn.LET(
_xlpm.CSVVal,_xlfn.XLOOKUP($A1259,CSV!$A:$A,CSV!D:D,""),
_xlpm.MacVal,_xlfn.XLOOKUP($A1259,Output_Mac!$A:$A,Output_Mac!C:C,""),
_xlpm.MyAuditVal,_xlfn.XLOOKUP($A1259,My_Audit!$A:$A,My_Audit!C:C,""),
_xlfn.IFS(_xlpm.MyAuditVal&lt;&gt;"",_xlpm.MyAuditVal,_xlpm.MacVal&lt;&gt;"",_xlpm.MacVal,_xlpm.CSVVal&lt;&gt;"",_xlpm.CSVVal
)),"")</f>
        <v/>
      </c>
      <c r="E1259" s="40" t="str">
        <f>_xlfn.XLOOKUP(A1259,My_Audit!A:A,My_Audit!D:D,"")</f>
        <v/>
      </c>
      <c r="F1259" s="40" t="str" cm="1">
        <f t="array" ref="F1259">IFERROR(_xlfn.LET(
_xlpm.CSVVal,_xlfn.XLOOKUP($A1259,CSV!$A:$A,CSV!F:F,""),
_xlpm.MacVal,_xlfn.XLOOKUP($A1259,Output_Mac!$A:$A,Output_Mac!E:E,""),
_xlpm.MyAuditVal,_xlfn.XLOOKUP($A1259,My_Audit!$A:$A,My_Audit!E:E,""),
_xlfn.IFS(_xlpm.MyAuditVal&lt;&gt;"",_xlpm.MyAuditVal,_xlpm.MacVal&lt;&gt;"",_xlpm.MacVal,_xlpm.CSVVal&lt;&gt;"",_xlpm.CSVVal
)),"")</f>
        <v/>
      </c>
      <c r="G1259" s="40" t="str" cm="1">
        <f t="array" ref="G1259">IFERROR(_xlfn.LET(
_xlpm.CSVVal,_xlfn.XLOOKUP($A1259,CSV!$A:$A,CSV!G:G,""),
_xlpm.MacVal,_xlfn.XLOOKUP($A1259,Output_Mac!$A:$A,Output_Mac!F:F,""),
_xlpm.MyAuditVal,_xlfn.XLOOKUP($A1259,My_Audit!$A:$A,My_Audit!F:F,""),
_xlfn.IFS(_xlpm.MyAuditVal&lt;&gt;"",_xlpm.MyAuditVal,_xlpm.MacVal&lt;&gt;"",_xlpm.MacVal,_xlpm.CSVVal&lt;&gt;"",PROPER(_xlpm.CSVVal)
)),"")</f>
        <v/>
      </c>
      <c r="H1259" s="40" t="str" cm="1">
        <f t="array" ref="H1259">IFERROR(_xlfn.LET(
_xlpm.CSVVal,_xlfn.XLOOKUP($A1259,CSV!$A:$A,CSV!H:H,""),
_xlpm.MacVal,_xlfn.XLOOKUP($A1259,Output_Mac!$A:$A,Output_Mac!H:H,""),
_xlpm.MyAuditVal,_xlfn.XLOOKUP($A1259,My_Audit!$A:$A,My_Audit!G:G,""),
_xlfn.IFS(_xlpm.MyAuditVal&lt;&gt;"",_xlpm.MyAuditVal,_xlpm.MacVal&lt;&gt;"",_xlpm.MacVal,_xlpm.CSVVal&lt;&gt;"",_xlpm.CSVVal
)),"")</f>
        <v/>
      </c>
      <c r="I1259" s="40" t="str">
        <f>_xlfn.XLOOKUP(A1259,Output_Mac!A:A,Output_Mac!I:I,"")</f>
        <v/>
      </c>
      <c r="J1259" s="40" t="str" cm="1">
        <f t="array" ref="J1259">IFERROR(_xlfn.LET(
_xlpm.CSVVal,_xlfn.XLOOKUP($A1259,CSV!$A:$A,CSV!I:I,""),
_xlpm.MacVal,_xlfn.XLOOKUP($A1259,Output_Mac!$A:$A,Output_Mac!J:J,""),
_xlpm.MyAuditVal,_xlfn.XLOOKUP($A1259,My_Audit!$A:$A,My_Audit!I:I,""),
_xlfn.IFS(_xlpm.MyAuditVal&lt;&gt;"",UPPER(_xlpm.MyAuditVal),_xlpm.MacVal&lt;&gt;"",_xlpm.MacVal,_xlpm.CSVVal&lt;&gt;"",_xlpm.CSVVal
)),"")</f>
        <v/>
      </c>
      <c r="K1259" s="40" t="str" cm="1">
        <f t="array" ref="K1259">IFERROR(_xlfn.LET(
_xlpm.CSVVal,_xlfn.XLOOKUP($A1259,CSV!$A:$A,CSV!K:K,""),
_xlpm.MacVal,_xlfn.XLOOKUP($A1259,Output_Mac!$A:$A,Output_Mac!K:K,""),
_xlpm.MyAuditVal,_xlfn.XLOOKUP($A1259,My_Audit!$A:$A,My_Audit!J:J,""),
_xlfn.IFS(_xlpm.MyAuditVal&lt;&gt;"",UPPER(_xlpm.MyAuditVal),_xlpm.MacVal&lt;&gt;"",_xlpm.MacVal,_xlpm.CSVVal&lt;&gt;"",_xlpm.CSVVal
)),"")</f>
        <v/>
      </c>
      <c r="L1259" s="40" t="str" cm="1">
        <f t="array" ref="L1259">IFERROR(_xlfn.LET(
_xlpm.CSVVal,_xlfn.XLOOKUP($A1259,CSV!$A:$A,CSV!P:P,""),
_xlpm.MacVal,_xlfn.XLOOKUP($A1259,Output_Mac!$A:$A,Output_Mac!L:L,""),
_xlpm.MyAuditVal,_xlfn.XLOOKUP($A1259,My_Audit!$A:$A,My_Audit!K:K,""),
_xlfn.IFS(_xlpm.MyAuditVal&lt;&gt;"",UPPER(_xlpm.MyAuditVal),_xlpm.MacVal&lt;&gt;"",_xlpm.MacVal,_xlpm.CSVVal&lt;&gt;"",_xlpm.CSVVal
)),"")</f>
        <v/>
      </c>
      <c r="M1259" s="40" t="str" cm="1">
        <f t="array" ref="M1259">IFERROR(_xlfn.LET(
_xlpm.CSVVal,_xlfn.XLOOKUP($A1259,CSV!$A:$A,CSV!Q:Q,""),
_xlpm.MacVal,_xlfn.XLOOKUP($A1259,Output_Mac!$A:$A,Output_Mac!M:M,""),
_xlpm.MyAuditVal,_xlfn.XLOOKUP($A1259,My_Audit!$A:$A,My_Audit!L:L,""),
_xlfn.IFS(_xlpm.MyAuditVal&lt;&gt;"",UPPER(_xlpm.MyAuditVal),_xlpm.MacVal&lt;&gt;"",_xlpm.MacVal,_xlpm.CSVVal&lt;&gt;"",_xlpm.CSVVal
)),"")</f>
        <v/>
      </c>
      <c r="N1259" s="40"/>
      <c r="O1259" s="40" t="str">
        <f>_xlfn.LET(
    _xlpm.CSVVal, _xlfn.XLOOKUP($A1259, CSV!$A:$A, CSV!AA:AA, ""),
    _xlpm.MacVal, _xlfn.XLOOKUP($A1259, Output_Mac!$A:$A, Output_Mac!S:S, ""),
    _xlpm.MyAuditVal, _xlfn.XLOOKUP($A1259, My_Audit!$A:$A, My_Audit!P:P, ""),
    _xlfn.TEXTJOIN(", ", TRUE, _xlpm.MyAuditVal, _xlpm.MacVal, _xlpm.CSVVal)
)</f>
        <v/>
      </c>
      <c r="P1259" s="40" t="str" cm="1">
        <f t="array" ref="P1259">IFERROR(_xlfn.LET(
_xlpm.CSVVal,_xlfn.XLOOKUP($A1259,CSV!$A:$A,CSV!AB:AB,""),
_xlpm.MacVal,_xlfn.XLOOKUP($A1259,Output_Mac!$A:$A,Output_Mac!T:T,""),
_xlpm.MyAuditVal,_xlfn.XLOOKUP($A1259,My_Audit!$A:$A,My_Audit!Q:Q,""),
_xlfn.IFS(_xlpm.MyAuditVal&lt;&gt;"",UPPER(_xlpm.MyAuditVal),_xlpm.MacVal&lt;&gt;"",_xlpm.MacVal,_xlpm.CSVVal&lt;&gt;"",_xlpm.CSVVal
)),"No")</f>
        <v>No</v>
      </c>
      <c r="Q1259" s="40" t="str" cm="1">
        <f t="array" ref="Q1259">IFERROR(_xlfn.LET(
_xlpm.CSVVal,_xlfn.XLOOKUP($A1259,CSV!$A:$A,CSV!AC:AC,""),
_xlpm.MacVal,_xlfn.XLOOKUP($A1259,Output_Mac!$A:$A,Output_Mac!U:U,""),
_xlpm.MyAuditVal,_xlfn.XLOOKUP($A1259,My_Audit!$A:$A,My_Audit!R:R,""),
_xlfn.IFS(_xlpm.MyAuditVal&lt;&gt;"",UPPER(_xlpm.MyAuditVal),_xlpm.MacVal&lt;&gt;"",_xlpm.MacVal,_xlpm.CSVVal&lt;&gt;"",_xlpm.CSVVal
)),"")</f>
        <v/>
      </c>
      <c r="R1259" s="40"/>
      <c r="S1259" s="40"/>
      <c r="T1259" s="40"/>
      <c r="U1259" s="40"/>
      <c r="V1259" s="40"/>
      <c r="W1259" s="40"/>
      <c r="X1259" s="41" t="str">
        <f>_xlfn.LET(
    _xlpm.MacVal, _xlfn.XLOOKUP($A1259, Output_Mac!$A:$A, Output_Mac!AB:AB, ""),
    _xlpm.MyAuditVal, _xlfn.XLOOKUP($A1259, My_Audit!$A:$A, My_Audit!N:N, ""),
    _xlfn.TEXTJOIN(", ", TRUE, _xlpm.MyAuditVal, _xlpm.MacVal)
)</f>
        <v/>
      </c>
    </row>
    <row r="1260" spans="1:24">
      <c r="A1260" s="40" t="str">
        <f>_xlfn.TEXTJOIN("",TRUE,Input!$B$2,ROW(My_Audit!A1259))</f>
        <v>X1259</v>
      </c>
      <c r="B1260" s="40" t="str">
        <f>_xlfn.TEXTJOIN("-",TRUE,"ITD",Input!$A$2,A1260)</f>
        <v>ITD-X1259</v>
      </c>
      <c r="C1260" s="40" t="str" cm="1">
        <f t="array" ref="C1260">IFERROR(_xlfn.LET(
_xlpm.CSVVal,_xlfn.XLOOKUP($A1260,CSV!$A:$A,CSV!B:B,""),
_xlpm.MacVal,_xlfn.XLOOKUP($A1260,Output_Mac!$A:$A,Output_Mac!B:B,""),
_xlpm.MyAuditVal,_xlfn.XLOOKUP($A1260,My_Audit!$A:$A,My_Audit!B:B,""),
_xlfn.IFS(_xlpm.MyAuditVal&lt;&gt;"",UPPER(_xlpm.MyAuditVal),_xlpm.MacVal&lt;&gt;"",_xlpm.MacVal,_xlpm.CSVVal&lt;&gt;"",_xlpm.CSVVal
)),"")</f>
        <v/>
      </c>
      <c r="D1260" s="40" t="str" cm="1">
        <f t="array" ref="D1260">IFERROR(_xlfn.LET(
_xlpm.CSVVal,_xlfn.XLOOKUP($A1260,CSV!$A:$A,CSV!D:D,""),
_xlpm.MacVal,_xlfn.XLOOKUP($A1260,Output_Mac!$A:$A,Output_Mac!C:C,""),
_xlpm.MyAuditVal,_xlfn.XLOOKUP($A1260,My_Audit!$A:$A,My_Audit!C:C,""),
_xlfn.IFS(_xlpm.MyAuditVal&lt;&gt;"",_xlpm.MyAuditVal,_xlpm.MacVal&lt;&gt;"",_xlpm.MacVal,_xlpm.CSVVal&lt;&gt;"",_xlpm.CSVVal
)),"")</f>
        <v/>
      </c>
      <c r="E1260" s="40" t="str">
        <f>_xlfn.XLOOKUP(A1260,My_Audit!A:A,My_Audit!D:D,"")</f>
        <v/>
      </c>
      <c r="F1260" s="40" t="str" cm="1">
        <f t="array" ref="F1260">IFERROR(_xlfn.LET(
_xlpm.CSVVal,_xlfn.XLOOKUP($A1260,CSV!$A:$A,CSV!F:F,""),
_xlpm.MacVal,_xlfn.XLOOKUP($A1260,Output_Mac!$A:$A,Output_Mac!E:E,""),
_xlpm.MyAuditVal,_xlfn.XLOOKUP($A1260,My_Audit!$A:$A,My_Audit!E:E,""),
_xlfn.IFS(_xlpm.MyAuditVal&lt;&gt;"",_xlpm.MyAuditVal,_xlpm.MacVal&lt;&gt;"",_xlpm.MacVal,_xlpm.CSVVal&lt;&gt;"",_xlpm.CSVVal
)),"")</f>
        <v/>
      </c>
      <c r="G1260" s="40" t="str" cm="1">
        <f t="array" ref="G1260">IFERROR(_xlfn.LET(
_xlpm.CSVVal,_xlfn.XLOOKUP($A1260,CSV!$A:$A,CSV!G:G,""),
_xlpm.MacVal,_xlfn.XLOOKUP($A1260,Output_Mac!$A:$A,Output_Mac!F:F,""),
_xlpm.MyAuditVal,_xlfn.XLOOKUP($A1260,My_Audit!$A:$A,My_Audit!F:F,""),
_xlfn.IFS(_xlpm.MyAuditVal&lt;&gt;"",_xlpm.MyAuditVal,_xlpm.MacVal&lt;&gt;"",_xlpm.MacVal,_xlpm.CSVVal&lt;&gt;"",PROPER(_xlpm.CSVVal)
)),"")</f>
        <v/>
      </c>
      <c r="H1260" s="40" t="str" cm="1">
        <f t="array" ref="H1260">IFERROR(_xlfn.LET(
_xlpm.CSVVal,_xlfn.XLOOKUP($A1260,CSV!$A:$A,CSV!H:H,""),
_xlpm.MacVal,_xlfn.XLOOKUP($A1260,Output_Mac!$A:$A,Output_Mac!H:H,""),
_xlpm.MyAuditVal,_xlfn.XLOOKUP($A1260,My_Audit!$A:$A,My_Audit!G:G,""),
_xlfn.IFS(_xlpm.MyAuditVal&lt;&gt;"",_xlpm.MyAuditVal,_xlpm.MacVal&lt;&gt;"",_xlpm.MacVal,_xlpm.CSVVal&lt;&gt;"",_xlpm.CSVVal
)),"")</f>
        <v/>
      </c>
      <c r="I1260" s="40" t="str">
        <f>_xlfn.XLOOKUP(A1260,Output_Mac!A:A,Output_Mac!I:I,"")</f>
        <v/>
      </c>
      <c r="J1260" s="40" t="str" cm="1">
        <f t="array" ref="J1260">IFERROR(_xlfn.LET(
_xlpm.CSVVal,_xlfn.XLOOKUP($A1260,CSV!$A:$A,CSV!I:I,""),
_xlpm.MacVal,_xlfn.XLOOKUP($A1260,Output_Mac!$A:$A,Output_Mac!J:J,""),
_xlpm.MyAuditVal,_xlfn.XLOOKUP($A1260,My_Audit!$A:$A,My_Audit!I:I,""),
_xlfn.IFS(_xlpm.MyAuditVal&lt;&gt;"",UPPER(_xlpm.MyAuditVal),_xlpm.MacVal&lt;&gt;"",_xlpm.MacVal,_xlpm.CSVVal&lt;&gt;"",_xlpm.CSVVal
)),"")</f>
        <v/>
      </c>
      <c r="K1260" s="40" t="str" cm="1">
        <f t="array" ref="K1260">IFERROR(_xlfn.LET(
_xlpm.CSVVal,_xlfn.XLOOKUP($A1260,CSV!$A:$A,CSV!K:K,""),
_xlpm.MacVal,_xlfn.XLOOKUP($A1260,Output_Mac!$A:$A,Output_Mac!K:K,""),
_xlpm.MyAuditVal,_xlfn.XLOOKUP($A1260,My_Audit!$A:$A,My_Audit!J:J,""),
_xlfn.IFS(_xlpm.MyAuditVal&lt;&gt;"",UPPER(_xlpm.MyAuditVal),_xlpm.MacVal&lt;&gt;"",_xlpm.MacVal,_xlpm.CSVVal&lt;&gt;"",_xlpm.CSVVal
)),"")</f>
        <v/>
      </c>
      <c r="L1260" s="40" t="str" cm="1">
        <f t="array" ref="L1260">IFERROR(_xlfn.LET(
_xlpm.CSVVal,_xlfn.XLOOKUP($A1260,CSV!$A:$A,CSV!P:P,""),
_xlpm.MacVal,_xlfn.XLOOKUP($A1260,Output_Mac!$A:$A,Output_Mac!L:L,""),
_xlpm.MyAuditVal,_xlfn.XLOOKUP($A1260,My_Audit!$A:$A,My_Audit!K:K,""),
_xlfn.IFS(_xlpm.MyAuditVal&lt;&gt;"",UPPER(_xlpm.MyAuditVal),_xlpm.MacVal&lt;&gt;"",_xlpm.MacVal,_xlpm.CSVVal&lt;&gt;"",_xlpm.CSVVal
)),"")</f>
        <v/>
      </c>
      <c r="M1260" s="40" t="str" cm="1">
        <f t="array" ref="M1260">IFERROR(_xlfn.LET(
_xlpm.CSVVal,_xlfn.XLOOKUP($A1260,CSV!$A:$A,CSV!Q:Q,""),
_xlpm.MacVal,_xlfn.XLOOKUP($A1260,Output_Mac!$A:$A,Output_Mac!M:M,""),
_xlpm.MyAuditVal,_xlfn.XLOOKUP($A1260,My_Audit!$A:$A,My_Audit!L:L,""),
_xlfn.IFS(_xlpm.MyAuditVal&lt;&gt;"",UPPER(_xlpm.MyAuditVal),_xlpm.MacVal&lt;&gt;"",_xlpm.MacVal,_xlpm.CSVVal&lt;&gt;"",_xlpm.CSVVal
)),"")</f>
        <v/>
      </c>
      <c r="N1260" s="40"/>
      <c r="O1260" s="40" t="str">
        <f>_xlfn.LET(
    _xlpm.CSVVal, _xlfn.XLOOKUP($A1260, CSV!$A:$A, CSV!AA:AA, ""),
    _xlpm.MacVal, _xlfn.XLOOKUP($A1260, Output_Mac!$A:$A, Output_Mac!S:S, ""),
    _xlpm.MyAuditVal, _xlfn.XLOOKUP($A1260, My_Audit!$A:$A, My_Audit!P:P, ""),
    _xlfn.TEXTJOIN(", ", TRUE, _xlpm.MyAuditVal, _xlpm.MacVal, _xlpm.CSVVal)
)</f>
        <v/>
      </c>
      <c r="P1260" s="40" t="str" cm="1">
        <f t="array" ref="P1260">IFERROR(_xlfn.LET(
_xlpm.CSVVal,_xlfn.XLOOKUP($A1260,CSV!$A:$A,CSV!AB:AB,""),
_xlpm.MacVal,_xlfn.XLOOKUP($A1260,Output_Mac!$A:$A,Output_Mac!T:T,""),
_xlpm.MyAuditVal,_xlfn.XLOOKUP($A1260,My_Audit!$A:$A,My_Audit!Q:Q,""),
_xlfn.IFS(_xlpm.MyAuditVal&lt;&gt;"",UPPER(_xlpm.MyAuditVal),_xlpm.MacVal&lt;&gt;"",_xlpm.MacVal,_xlpm.CSVVal&lt;&gt;"",_xlpm.CSVVal
)),"No")</f>
        <v>No</v>
      </c>
      <c r="Q1260" s="40" t="str" cm="1">
        <f t="array" ref="Q1260">IFERROR(_xlfn.LET(
_xlpm.CSVVal,_xlfn.XLOOKUP($A1260,CSV!$A:$A,CSV!AC:AC,""),
_xlpm.MacVal,_xlfn.XLOOKUP($A1260,Output_Mac!$A:$A,Output_Mac!U:U,""),
_xlpm.MyAuditVal,_xlfn.XLOOKUP($A1260,My_Audit!$A:$A,My_Audit!R:R,""),
_xlfn.IFS(_xlpm.MyAuditVal&lt;&gt;"",UPPER(_xlpm.MyAuditVal),_xlpm.MacVal&lt;&gt;"",_xlpm.MacVal,_xlpm.CSVVal&lt;&gt;"",_xlpm.CSVVal
)),"")</f>
        <v/>
      </c>
      <c r="R1260" s="40"/>
      <c r="S1260" s="40"/>
      <c r="T1260" s="40"/>
      <c r="U1260" s="40"/>
      <c r="V1260" s="40"/>
      <c r="W1260" s="40"/>
      <c r="X1260" s="41" t="str">
        <f>_xlfn.LET(
    _xlpm.MacVal, _xlfn.XLOOKUP($A1260, Output_Mac!$A:$A, Output_Mac!AB:AB, ""),
    _xlpm.MyAuditVal, _xlfn.XLOOKUP($A1260, My_Audit!$A:$A, My_Audit!N:N, ""),
    _xlfn.TEXTJOIN(", ", TRUE, _xlpm.MyAuditVal, _xlpm.MacVal)
)</f>
        <v/>
      </c>
    </row>
    <row r="1261" spans="1:24">
      <c r="A1261" s="40" t="str">
        <f>_xlfn.TEXTJOIN("",TRUE,Input!$B$2,ROW(My_Audit!A1260))</f>
        <v>X1260</v>
      </c>
      <c r="B1261" s="40" t="str">
        <f>_xlfn.TEXTJOIN("-",TRUE,"ITD",Input!$A$2,A1261)</f>
        <v>ITD-X1260</v>
      </c>
      <c r="C1261" s="40" t="str" cm="1">
        <f t="array" ref="C1261">IFERROR(_xlfn.LET(
_xlpm.CSVVal,_xlfn.XLOOKUP($A1261,CSV!$A:$A,CSV!B:B,""),
_xlpm.MacVal,_xlfn.XLOOKUP($A1261,Output_Mac!$A:$A,Output_Mac!B:B,""),
_xlpm.MyAuditVal,_xlfn.XLOOKUP($A1261,My_Audit!$A:$A,My_Audit!B:B,""),
_xlfn.IFS(_xlpm.MyAuditVal&lt;&gt;"",UPPER(_xlpm.MyAuditVal),_xlpm.MacVal&lt;&gt;"",_xlpm.MacVal,_xlpm.CSVVal&lt;&gt;"",_xlpm.CSVVal
)),"")</f>
        <v/>
      </c>
      <c r="D1261" s="40" t="str" cm="1">
        <f t="array" ref="D1261">IFERROR(_xlfn.LET(
_xlpm.CSVVal,_xlfn.XLOOKUP($A1261,CSV!$A:$A,CSV!D:D,""),
_xlpm.MacVal,_xlfn.XLOOKUP($A1261,Output_Mac!$A:$A,Output_Mac!C:C,""),
_xlpm.MyAuditVal,_xlfn.XLOOKUP($A1261,My_Audit!$A:$A,My_Audit!C:C,""),
_xlfn.IFS(_xlpm.MyAuditVal&lt;&gt;"",_xlpm.MyAuditVal,_xlpm.MacVal&lt;&gt;"",_xlpm.MacVal,_xlpm.CSVVal&lt;&gt;"",_xlpm.CSVVal
)),"")</f>
        <v/>
      </c>
      <c r="E1261" s="40" t="str">
        <f>_xlfn.XLOOKUP(A1261,My_Audit!A:A,My_Audit!D:D,"")</f>
        <v/>
      </c>
      <c r="F1261" s="40" t="str" cm="1">
        <f t="array" ref="F1261">IFERROR(_xlfn.LET(
_xlpm.CSVVal,_xlfn.XLOOKUP($A1261,CSV!$A:$A,CSV!F:F,""),
_xlpm.MacVal,_xlfn.XLOOKUP($A1261,Output_Mac!$A:$A,Output_Mac!E:E,""),
_xlpm.MyAuditVal,_xlfn.XLOOKUP($A1261,My_Audit!$A:$A,My_Audit!E:E,""),
_xlfn.IFS(_xlpm.MyAuditVal&lt;&gt;"",_xlpm.MyAuditVal,_xlpm.MacVal&lt;&gt;"",_xlpm.MacVal,_xlpm.CSVVal&lt;&gt;"",_xlpm.CSVVal
)),"")</f>
        <v/>
      </c>
      <c r="G1261" s="40" t="str" cm="1">
        <f t="array" ref="G1261">IFERROR(_xlfn.LET(
_xlpm.CSVVal,_xlfn.XLOOKUP($A1261,CSV!$A:$A,CSV!G:G,""),
_xlpm.MacVal,_xlfn.XLOOKUP($A1261,Output_Mac!$A:$A,Output_Mac!F:F,""),
_xlpm.MyAuditVal,_xlfn.XLOOKUP($A1261,My_Audit!$A:$A,My_Audit!F:F,""),
_xlfn.IFS(_xlpm.MyAuditVal&lt;&gt;"",_xlpm.MyAuditVal,_xlpm.MacVal&lt;&gt;"",_xlpm.MacVal,_xlpm.CSVVal&lt;&gt;"",PROPER(_xlpm.CSVVal)
)),"")</f>
        <v/>
      </c>
      <c r="H1261" s="40" t="str" cm="1">
        <f t="array" ref="H1261">IFERROR(_xlfn.LET(
_xlpm.CSVVal,_xlfn.XLOOKUP($A1261,CSV!$A:$A,CSV!H:H,""),
_xlpm.MacVal,_xlfn.XLOOKUP($A1261,Output_Mac!$A:$A,Output_Mac!H:H,""),
_xlpm.MyAuditVal,_xlfn.XLOOKUP($A1261,My_Audit!$A:$A,My_Audit!G:G,""),
_xlfn.IFS(_xlpm.MyAuditVal&lt;&gt;"",_xlpm.MyAuditVal,_xlpm.MacVal&lt;&gt;"",_xlpm.MacVal,_xlpm.CSVVal&lt;&gt;"",_xlpm.CSVVal
)),"")</f>
        <v/>
      </c>
      <c r="I1261" s="40" t="str">
        <f>_xlfn.XLOOKUP(A1261,Output_Mac!A:A,Output_Mac!I:I,"")</f>
        <v/>
      </c>
      <c r="J1261" s="40" t="str" cm="1">
        <f t="array" ref="J1261">IFERROR(_xlfn.LET(
_xlpm.CSVVal,_xlfn.XLOOKUP($A1261,CSV!$A:$A,CSV!I:I,""),
_xlpm.MacVal,_xlfn.XLOOKUP($A1261,Output_Mac!$A:$A,Output_Mac!J:J,""),
_xlpm.MyAuditVal,_xlfn.XLOOKUP($A1261,My_Audit!$A:$A,My_Audit!I:I,""),
_xlfn.IFS(_xlpm.MyAuditVal&lt;&gt;"",UPPER(_xlpm.MyAuditVal),_xlpm.MacVal&lt;&gt;"",_xlpm.MacVal,_xlpm.CSVVal&lt;&gt;"",_xlpm.CSVVal
)),"")</f>
        <v/>
      </c>
      <c r="K1261" s="40" t="str" cm="1">
        <f t="array" ref="K1261">IFERROR(_xlfn.LET(
_xlpm.CSVVal,_xlfn.XLOOKUP($A1261,CSV!$A:$A,CSV!K:K,""),
_xlpm.MacVal,_xlfn.XLOOKUP($A1261,Output_Mac!$A:$A,Output_Mac!K:K,""),
_xlpm.MyAuditVal,_xlfn.XLOOKUP($A1261,My_Audit!$A:$A,My_Audit!J:J,""),
_xlfn.IFS(_xlpm.MyAuditVal&lt;&gt;"",UPPER(_xlpm.MyAuditVal),_xlpm.MacVal&lt;&gt;"",_xlpm.MacVal,_xlpm.CSVVal&lt;&gt;"",_xlpm.CSVVal
)),"")</f>
        <v/>
      </c>
      <c r="L1261" s="40" t="str" cm="1">
        <f t="array" ref="L1261">IFERROR(_xlfn.LET(
_xlpm.CSVVal,_xlfn.XLOOKUP($A1261,CSV!$A:$A,CSV!P:P,""),
_xlpm.MacVal,_xlfn.XLOOKUP($A1261,Output_Mac!$A:$A,Output_Mac!L:L,""),
_xlpm.MyAuditVal,_xlfn.XLOOKUP($A1261,My_Audit!$A:$A,My_Audit!K:K,""),
_xlfn.IFS(_xlpm.MyAuditVal&lt;&gt;"",UPPER(_xlpm.MyAuditVal),_xlpm.MacVal&lt;&gt;"",_xlpm.MacVal,_xlpm.CSVVal&lt;&gt;"",_xlpm.CSVVal
)),"")</f>
        <v/>
      </c>
      <c r="M1261" s="40" t="str" cm="1">
        <f t="array" ref="M1261">IFERROR(_xlfn.LET(
_xlpm.CSVVal,_xlfn.XLOOKUP($A1261,CSV!$A:$A,CSV!Q:Q,""),
_xlpm.MacVal,_xlfn.XLOOKUP($A1261,Output_Mac!$A:$A,Output_Mac!M:M,""),
_xlpm.MyAuditVal,_xlfn.XLOOKUP($A1261,My_Audit!$A:$A,My_Audit!L:L,""),
_xlfn.IFS(_xlpm.MyAuditVal&lt;&gt;"",UPPER(_xlpm.MyAuditVal),_xlpm.MacVal&lt;&gt;"",_xlpm.MacVal,_xlpm.CSVVal&lt;&gt;"",_xlpm.CSVVal
)),"")</f>
        <v/>
      </c>
      <c r="N1261" s="40"/>
      <c r="O1261" s="40" t="str">
        <f>_xlfn.LET(
    _xlpm.CSVVal, _xlfn.XLOOKUP($A1261, CSV!$A:$A, CSV!AA:AA, ""),
    _xlpm.MacVal, _xlfn.XLOOKUP($A1261, Output_Mac!$A:$A, Output_Mac!S:S, ""),
    _xlpm.MyAuditVal, _xlfn.XLOOKUP($A1261, My_Audit!$A:$A, My_Audit!P:P, ""),
    _xlfn.TEXTJOIN(", ", TRUE, _xlpm.MyAuditVal, _xlpm.MacVal, _xlpm.CSVVal)
)</f>
        <v/>
      </c>
      <c r="P1261" s="40" t="str" cm="1">
        <f t="array" ref="P1261">IFERROR(_xlfn.LET(
_xlpm.CSVVal,_xlfn.XLOOKUP($A1261,CSV!$A:$A,CSV!AB:AB,""),
_xlpm.MacVal,_xlfn.XLOOKUP($A1261,Output_Mac!$A:$A,Output_Mac!T:T,""),
_xlpm.MyAuditVal,_xlfn.XLOOKUP($A1261,My_Audit!$A:$A,My_Audit!Q:Q,""),
_xlfn.IFS(_xlpm.MyAuditVal&lt;&gt;"",UPPER(_xlpm.MyAuditVal),_xlpm.MacVal&lt;&gt;"",_xlpm.MacVal,_xlpm.CSVVal&lt;&gt;"",_xlpm.CSVVal
)),"No")</f>
        <v>No</v>
      </c>
      <c r="Q1261" s="40" t="str" cm="1">
        <f t="array" ref="Q1261">IFERROR(_xlfn.LET(
_xlpm.CSVVal,_xlfn.XLOOKUP($A1261,CSV!$A:$A,CSV!AC:AC,""),
_xlpm.MacVal,_xlfn.XLOOKUP($A1261,Output_Mac!$A:$A,Output_Mac!U:U,""),
_xlpm.MyAuditVal,_xlfn.XLOOKUP($A1261,My_Audit!$A:$A,My_Audit!R:R,""),
_xlfn.IFS(_xlpm.MyAuditVal&lt;&gt;"",UPPER(_xlpm.MyAuditVal),_xlpm.MacVal&lt;&gt;"",_xlpm.MacVal,_xlpm.CSVVal&lt;&gt;"",_xlpm.CSVVal
)),"")</f>
        <v/>
      </c>
      <c r="R1261" s="40"/>
      <c r="S1261" s="40"/>
      <c r="T1261" s="40"/>
      <c r="U1261" s="40"/>
      <c r="V1261" s="40"/>
      <c r="W1261" s="40"/>
      <c r="X1261" s="41" t="str">
        <f>_xlfn.LET(
    _xlpm.MacVal, _xlfn.XLOOKUP($A1261, Output_Mac!$A:$A, Output_Mac!AB:AB, ""),
    _xlpm.MyAuditVal, _xlfn.XLOOKUP($A1261, My_Audit!$A:$A, My_Audit!N:N, ""),
    _xlfn.TEXTJOIN(", ", TRUE, _xlpm.MyAuditVal, _xlpm.MacVal)
)</f>
        <v/>
      </c>
    </row>
    <row r="1262" spans="1:24">
      <c r="A1262" s="40" t="str">
        <f>_xlfn.TEXTJOIN("",TRUE,Input!$B$2,ROW(My_Audit!A1261))</f>
        <v>X1261</v>
      </c>
      <c r="B1262" s="40" t="str">
        <f>_xlfn.TEXTJOIN("-",TRUE,"ITD",Input!$A$2,A1262)</f>
        <v>ITD-X1261</v>
      </c>
      <c r="C1262" s="40" t="str" cm="1">
        <f t="array" ref="C1262">IFERROR(_xlfn.LET(
_xlpm.CSVVal,_xlfn.XLOOKUP($A1262,CSV!$A:$A,CSV!B:B,""),
_xlpm.MacVal,_xlfn.XLOOKUP($A1262,Output_Mac!$A:$A,Output_Mac!B:B,""),
_xlpm.MyAuditVal,_xlfn.XLOOKUP($A1262,My_Audit!$A:$A,My_Audit!B:B,""),
_xlfn.IFS(_xlpm.MyAuditVal&lt;&gt;"",UPPER(_xlpm.MyAuditVal),_xlpm.MacVal&lt;&gt;"",_xlpm.MacVal,_xlpm.CSVVal&lt;&gt;"",_xlpm.CSVVal
)),"")</f>
        <v/>
      </c>
      <c r="D1262" s="40" t="str" cm="1">
        <f t="array" ref="D1262">IFERROR(_xlfn.LET(
_xlpm.CSVVal,_xlfn.XLOOKUP($A1262,CSV!$A:$A,CSV!D:D,""),
_xlpm.MacVal,_xlfn.XLOOKUP($A1262,Output_Mac!$A:$A,Output_Mac!C:C,""),
_xlpm.MyAuditVal,_xlfn.XLOOKUP($A1262,My_Audit!$A:$A,My_Audit!C:C,""),
_xlfn.IFS(_xlpm.MyAuditVal&lt;&gt;"",_xlpm.MyAuditVal,_xlpm.MacVal&lt;&gt;"",_xlpm.MacVal,_xlpm.CSVVal&lt;&gt;"",_xlpm.CSVVal
)),"")</f>
        <v/>
      </c>
      <c r="E1262" s="40" t="str">
        <f>_xlfn.XLOOKUP(A1262,My_Audit!A:A,My_Audit!D:D,"")</f>
        <v/>
      </c>
      <c r="F1262" s="40" t="str" cm="1">
        <f t="array" ref="F1262">IFERROR(_xlfn.LET(
_xlpm.CSVVal,_xlfn.XLOOKUP($A1262,CSV!$A:$A,CSV!F:F,""),
_xlpm.MacVal,_xlfn.XLOOKUP($A1262,Output_Mac!$A:$A,Output_Mac!E:E,""),
_xlpm.MyAuditVal,_xlfn.XLOOKUP($A1262,My_Audit!$A:$A,My_Audit!E:E,""),
_xlfn.IFS(_xlpm.MyAuditVal&lt;&gt;"",_xlpm.MyAuditVal,_xlpm.MacVal&lt;&gt;"",_xlpm.MacVal,_xlpm.CSVVal&lt;&gt;"",_xlpm.CSVVal
)),"")</f>
        <v/>
      </c>
      <c r="G1262" s="40" t="str" cm="1">
        <f t="array" ref="G1262">IFERROR(_xlfn.LET(
_xlpm.CSVVal,_xlfn.XLOOKUP($A1262,CSV!$A:$A,CSV!G:G,""),
_xlpm.MacVal,_xlfn.XLOOKUP($A1262,Output_Mac!$A:$A,Output_Mac!F:F,""),
_xlpm.MyAuditVal,_xlfn.XLOOKUP($A1262,My_Audit!$A:$A,My_Audit!F:F,""),
_xlfn.IFS(_xlpm.MyAuditVal&lt;&gt;"",_xlpm.MyAuditVal,_xlpm.MacVal&lt;&gt;"",_xlpm.MacVal,_xlpm.CSVVal&lt;&gt;"",PROPER(_xlpm.CSVVal)
)),"")</f>
        <v/>
      </c>
      <c r="H1262" s="40" t="str" cm="1">
        <f t="array" ref="H1262">IFERROR(_xlfn.LET(
_xlpm.CSVVal,_xlfn.XLOOKUP($A1262,CSV!$A:$A,CSV!H:H,""),
_xlpm.MacVal,_xlfn.XLOOKUP($A1262,Output_Mac!$A:$A,Output_Mac!H:H,""),
_xlpm.MyAuditVal,_xlfn.XLOOKUP($A1262,My_Audit!$A:$A,My_Audit!G:G,""),
_xlfn.IFS(_xlpm.MyAuditVal&lt;&gt;"",_xlpm.MyAuditVal,_xlpm.MacVal&lt;&gt;"",_xlpm.MacVal,_xlpm.CSVVal&lt;&gt;"",_xlpm.CSVVal
)),"")</f>
        <v/>
      </c>
      <c r="I1262" s="40" t="str">
        <f>_xlfn.XLOOKUP(A1262,Output_Mac!A:A,Output_Mac!I:I,"")</f>
        <v/>
      </c>
      <c r="J1262" s="40" t="str" cm="1">
        <f t="array" ref="J1262">IFERROR(_xlfn.LET(
_xlpm.CSVVal,_xlfn.XLOOKUP($A1262,CSV!$A:$A,CSV!I:I,""),
_xlpm.MacVal,_xlfn.XLOOKUP($A1262,Output_Mac!$A:$A,Output_Mac!J:J,""),
_xlpm.MyAuditVal,_xlfn.XLOOKUP($A1262,My_Audit!$A:$A,My_Audit!I:I,""),
_xlfn.IFS(_xlpm.MyAuditVal&lt;&gt;"",UPPER(_xlpm.MyAuditVal),_xlpm.MacVal&lt;&gt;"",_xlpm.MacVal,_xlpm.CSVVal&lt;&gt;"",_xlpm.CSVVal
)),"")</f>
        <v/>
      </c>
      <c r="K1262" s="40" t="str" cm="1">
        <f t="array" ref="K1262">IFERROR(_xlfn.LET(
_xlpm.CSVVal,_xlfn.XLOOKUP($A1262,CSV!$A:$A,CSV!K:K,""),
_xlpm.MacVal,_xlfn.XLOOKUP($A1262,Output_Mac!$A:$A,Output_Mac!K:K,""),
_xlpm.MyAuditVal,_xlfn.XLOOKUP($A1262,My_Audit!$A:$A,My_Audit!J:J,""),
_xlfn.IFS(_xlpm.MyAuditVal&lt;&gt;"",UPPER(_xlpm.MyAuditVal),_xlpm.MacVal&lt;&gt;"",_xlpm.MacVal,_xlpm.CSVVal&lt;&gt;"",_xlpm.CSVVal
)),"")</f>
        <v/>
      </c>
      <c r="L1262" s="40" t="str" cm="1">
        <f t="array" ref="L1262">IFERROR(_xlfn.LET(
_xlpm.CSVVal,_xlfn.XLOOKUP($A1262,CSV!$A:$A,CSV!P:P,""),
_xlpm.MacVal,_xlfn.XLOOKUP($A1262,Output_Mac!$A:$A,Output_Mac!L:L,""),
_xlpm.MyAuditVal,_xlfn.XLOOKUP($A1262,My_Audit!$A:$A,My_Audit!K:K,""),
_xlfn.IFS(_xlpm.MyAuditVal&lt;&gt;"",UPPER(_xlpm.MyAuditVal),_xlpm.MacVal&lt;&gt;"",_xlpm.MacVal,_xlpm.CSVVal&lt;&gt;"",_xlpm.CSVVal
)),"")</f>
        <v/>
      </c>
      <c r="M1262" s="40" t="str" cm="1">
        <f t="array" ref="M1262">IFERROR(_xlfn.LET(
_xlpm.CSVVal,_xlfn.XLOOKUP($A1262,CSV!$A:$A,CSV!Q:Q,""),
_xlpm.MacVal,_xlfn.XLOOKUP($A1262,Output_Mac!$A:$A,Output_Mac!M:M,""),
_xlpm.MyAuditVal,_xlfn.XLOOKUP($A1262,My_Audit!$A:$A,My_Audit!L:L,""),
_xlfn.IFS(_xlpm.MyAuditVal&lt;&gt;"",UPPER(_xlpm.MyAuditVal),_xlpm.MacVal&lt;&gt;"",_xlpm.MacVal,_xlpm.CSVVal&lt;&gt;"",_xlpm.CSVVal
)),"")</f>
        <v/>
      </c>
      <c r="N1262" s="40"/>
      <c r="O1262" s="40" t="str">
        <f>_xlfn.LET(
    _xlpm.CSVVal, _xlfn.XLOOKUP($A1262, CSV!$A:$A, CSV!AA:AA, ""),
    _xlpm.MacVal, _xlfn.XLOOKUP($A1262, Output_Mac!$A:$A, Output_Mac!S:S, ""),
    _xlpm.MyAuditVal, _xlfn.XLOOKUP($A1262, My_Audit!$A:$A, My_Audit!P:P, ""),
    _xlfn.TEXTJOIN(", ", TRUE, _xlpm.MyAuditVal, _xlpm.MacVal, _xlpm.CSVVal)
)</f>
        <v/>
      </c>
      <c r="P1262" s="40" t="str" cm="1">
        <f t="array" ref="P1262">IFERROR(_xlfn.LET(
_xlpm.CSVVal,_xlfn.XLOOKUP($A1262,CSV!$A:$A,CSV!AB:AB,""),
_xlpm.MacVal,_xlfn.XLOOKUP($A1262,Output_Mac!$A:$A,Output_Mac!T:T,""),
_xlpm.MyAuditVal,_xlfn.XLOOKUP($A1262,My_Audit!$A:$A,My_Audit!Q:Q,""),
_xlfn.IFS(_xlpm.MyAuditVal&lt;&gt;"",UPPER(_xlpm.MyAuditVal),_xlpm.MacVal&lt;&gt;"",_xlpm.MacVal,_xlpm.CSVVal&lt;&gt;"",_xlpm.CSVVal
)),"No")</f>
        <v>No</v>
      </c>
      <c r="Q1262" s="40" t="str" cm="1">
        <f t="array" ref="Q1262">IFERROR(_xlfn.LET(
_xlpm.CSVVal,_xlfn.XLOOKUP($A1262,CSV!$A:$A,CSV!AC:AC,""),
_xlpm.MacVal,_xlfn.XLOOKUP($A1262,Output_Mac!$A:$A,Output_Mac!U:U,""),
_xlpm.MyAuditVal,_xlfn.XLOOKUP($A1262,My_Audit!$A:$A,My_Audit!R:R,""),
_xlfn.IFS(_xlpm.MyAuditVal&lt;&gt;"",UPPER(_xlpm.MyAuditVal),_xlpm.MacVal&lt;&gt;"",_xlpm.MacVal,_xlpm.CSVVal&lt;&gt;"",_xlpm.CSVVal
)),"")</f>
        <v/>
      </c>
      <c r="R1262" s="40"/>
      <c r="S1262" s="40"/>
      <c r="T1262" s="40"/>
      <c r="U1262" s="40"/>
      <c r="V1262" s="40"/>
      <c r="W1262" s="40"/>
      <c r="X1262" s="41" t="str">
        <f>_xlfn.LET(
    _xlpm.MacVal, _xlfn.XLOOKUP($A1262, Output_Mac!$A:$A, Output_Mac!AB:AB, ""),
    _xlpm.MyAuditVal, _xlfn.XLOOKUP($A1262, My_Audit!$A:$A, My_Audit!N:N, ""),
    _xlfn.TEXTJOIN(", ", TRUE, _xlpm.MyAuditVal, _xlpm.MacVal)
)</f>
        <v/>
      </c>
    </row>
    <row r="1263" spans="1:24">
      <c r="A1263" s="40" t="str">
        <f>_xlfn.TEXTJOIN("",TRUE,Input!$B$2,ROW(My_Audit!A1262))</f>
        <v>X1262</v>
      </c>
      <c r="B1263" s="40" t="str">
        <f>_xlfn.TEXTJOIN("-",TRUE,"ITD",Input!$A$2,A1263)</f>
        <v>ITD-X1262</v>
      </c>
      <c r="C1263" s="40" t="str" cm="1">
        <f t="array" ref="C1263">IFERROR(_xlfn.LET(
_xlpm.CSVVal,_xlfn.XLOOKUP($A1263,CSV!$A:$A,CSV!B:B,""),
_xlpm.MacVal,_xlfn.XLOOKUP($A1263,Output_Mac!$A:$A,Output_Mac!B:B,""),
_xlpm.MyAuditVal,_xlfn.XLOOKUP($A1263,My_Audit!$A:$A,My_Audit!B:B,""),
_xlfn.IFS(_xlpm.MyAuditVal&lt;&gt;"",UPPER(_xlpm.MyAuditVal),_xlpm.MacVal&lt;&gt;"",_xlpm.MacVal,_xlpm.CSVVal&lt;&gt;"",_xlpm.CSVVal
)),"")</f>
        <v/>
      </c>
      <c r="D1263" s="40" t="str" cm="1">
        <f t="array" ref="D1263">IFERROR(_xlfn.LET(
_xlpm.CSVVal,_xlfn.XLOOKUP($A1263,CSV!$A:$A,CSV!D:D,""),
_xlpm.MacVal,_xlfn.XLOOKUP($A1263,Output_Mac!$A:$A,Output_Mac!C:C,""),
_xlpm.MyAuditVal,_xlfn.XLOOKUP($A1263,My_Audit!$A:$A,My_Audit!C:C,""),
_xlfn.IFS(_xlpm.MyAuditVal&lt;&gt;"",_xlpm.MyAuditVal,_xlpm.MacVal&lt;&gt;"",_xlpm.MacVal,_xlpm.CSVVal&lt;&gt;"",_xlpm.CSVVal
)),"")</f>
        <v/>
      </c>
      <c r="E1263" s="40" t="str">
        <f>_xlfn.XLOOKUP(A1263,My_Audit!A:A,My_Audit!D:D,"")</f>
        <v/>
      </c>
      <c r="F1263" s="40" t="str" cm="1">
        <f t="array" ref="F1263">IFERROR(_xlfn.LET(
_xlpm.CSVVal,_xlfn.XLOOKUP($A1263,CSV!$A:$A,CSV!F:F,""),
_xlpm.MacVal,_xlfn.XLOOKUP($A1263,Output_Mac!$A:$A,Output_Mac!E:E,""),
_xlpm.MyAuditVal,_xlfn.XLOOKUP($A1263,My_Audit!$A:$A,My_Audit!E:E,""),
_xlfn.IFS(_xlpm.MyAuditVal&lt;&gt;"",_xlpm.MyAuditVal,_xlpm.MacVal&lt;&gt;"",_xlpm.MacVal,_xlpm.CSVVal&lt;&gt;"",_xlpm.CSVVal
)),"")</f>
        <v/>
      </c>
      <c r="G1263" s="40" t="str" cm="1">
        <f t="array" ref="G1263">IFERROR(_xlfn.LET(
_xlpm.CSVVal,_xlfn.XLOOKUP($A1263,CSV!$A:$A,CSV!G:G,""),
_xlpm.MacVal,_xlfn.XLOOKUP($A1263,Output_Mac!$A:$A,Output_Mac!F:F,""),
_xlpm.MyAuditVal,_xlfn.XLOOKUP($A1263,My_Audit!$A:$A,My_Audit!F:F,""),
_xlfn.IFS(_xlpm.MyAuditVal&lt;&gt;"",_xlpm.MyAuditVal,_xlpm.MacVal&lt;&gt;"",_xlpm.MacVal,_xlpm.CSVVal&lt;&gt;"",PROPER(_xlpm.CSVVal)
)),"")</f>
        <v/>
      </c>
      <c r="H1263" s="40" t="str" cm="1">
        <f t="array" ref="H1263">IFERROR(_xlfn.LET(
_xlpm.CSVVal,_xlfn.XLOOKUP($A1263,CSV!$A:$A,CSV!H:H,""),
_xlpm.MacVal,_xlfn.XLOOKUP($A1263,Output_Mac!$A:$A,Output_Mac!H:H,""),
_xlpm.MyAuditVal,_xlfn.XLOOKUP($A1263,My_Audit!$A:$A,My_Audit!G:G,""),
_xlfn.IFS(_xlpm.MyAuditVal&lt;&gt;"",_xlpm.MyAuditVal,_xlpm.MacVal&lt;&gt;"",_xlpm.MacVal,_xlpm.CSVVal&lt;&gt;"",_xlpm.CSVVal
)),"")</f>
        <v/>
      </c>
      <c r="I1263" s="40" t="str">
        <f>_xlfn.XLOOKUP(A1263,Output_Mac!A:A,Output_Mac!I:I,"")</f>
        <v/>
      </c>
      <c r="J1263" s="40" t="str" cm="1">
        <f t="array" ref="J1263">IFERROR(_xlfn.LET(
_xlpm.CSVVal,_xlfn.XLOOKUP($A1263,CSV!$A:$A,CSV!I:I,""),
_xlpm.MacVal,_xlfn.XLOOKUP($A1263,Output_Mac!$A:$A,Output_Mac!J:J,""),
_xlpm.MyAuditVal,_xlfn.XLOOKUP($A1263,My_Audit!$A:$A,My_Audit!I:I,""),
_xlfn.IFS(_xlpm.MyAuditVal&lt;&gt;"",UPPER(_xlpm.MyAuditVal),_xlpm.MacVal&lt;&gt;"",_xlpm.MacVal,_xlpm.CSVVal&lt;&gt;"",_xlpm.CSVVal
)),"")</f>
        <v/>
      </c>
      <c r="K1263" s="40" t="str" cm="1">
        <f t="array" ref="K1263">IFERROR(_xlfn.LET(
_xlpm.CSVVal,_xlfn.XLOOKUP($A1263,CSV!$A:$A,CSV!K:K,""),
_xlpm.MacVal,_xlfn.XLOOKUP($A1263,Output_Mac!$A:$A,Output_Mac!K:K,""),
_xlpm.MyAuditVal,_xlfn.XLOOKUP($A1263,My_Audit!$A:$A,My_Audit!J:J,""),
_xlfn.IFS(_xlpm.MyAuditVal&lt;&gt;"",UPPER(_xlpm.MyAuditVal),_xlpm.MacVal&lt;&gt;"",_xlpm.MacVal,_xlpm.CSVVal&lt;&gt;"",_xlpm.CSVVal
)),"")</f>
        <v/>
      </c>
      <c r="L1263" s="40" t="str" cm="1">
        <f t="array" ref="L1263">IFERROR(_xlfn.LET(
_xlpm.CSVVal,_xlfn.XLOOKUP($A1263,CSV!$A:$A,CSV!P:P,""),
_xlpm.MacVal,_xlfn.XLOOKUP($A1263,Output_Mac!$A:$A,Output_Mac!L:L,""),
_xlpm.MyAuditVal,_xlfn.XLOOKUP($A1263,My_Audit!$A:$A,My_Audit!K:K,""),
_xlfn.IFS(_xlpm.MyAuditVal&lt;&gt;"",UPPER(_xlpm.MyAuditVal),_xlpm.MacVal&lt;&gt;"",_xlpm.MacVal,_xlpm.CSVVal&lt;&gt;"",_xlpm.CSVVal
)),"")</f>
        <v/>
      </c>
      <c r="M1263" s="40" t="str" cm="1">
        <f t="array" ref="M1263">IFERROR(_xlfn.LET(
_xlpm.CSVVal,_xlfn.XLOOKUP($A1263,CSV!$A:$A,CSV!Q:Q,""),
_xlpm.MacVal,_xlfn.XLOOKUP($A1263,Output_Mac!$A:$A,Output_Mac!M:M,""),
_xlpm.MyAuditVal,_xlfn.XLOOKUP($A1263,My_Audit!$A:$A,My_Audit!L:L,""),
_xlfn.IFS(_xlpm.MyAuditVal&lt;&gt;"",UPPER(_xlpm.MyAuditVal),_xlpm.MacVal&lt;&gt;"",_xlpm.MacVal,_xlpm.CSVVal&lt;&gt;"",_xlpm.CSVVal
)),"")</f>
        <v/>
      </c>
      <c r="N1263" s="40"/>
      <c r="O1263" s="40" t="str">
        <f>_xlfn.LET(
    _xlpm.CSVVal, _xlfn.XLOOKUP($A1263, CSV!$A:$A, CSV!AA:AA, ""),
    _xlpm.MacVal, _xlfn.XLOOKUP($A1263, Output_Mac!$A:$A, Output_Mac!S:S, ""),
    _xlpm.MyAuditVal, _xlfn.XLOOKUP($A1263, My_Audit!$A:$A, My_Audit!P:P, ""),
    _xlfn.TEXTJOIN(", ", TRUE, _xlpm.MyAuditVal, _xlpm.MacVal, _xlpm.CSVVal)
)</f>
        <v/>
      </c>
      <c r="P1263" s="40" t="str" cm="1">
        <f t="array" ref="P1263">IFERROR(_xlfn.LET(
_xlpm.CSVVal,_xlfn.XLOOKUP($A1263,CSV!$A:$A,CSV!AB:AB,""),
_xlpm.MacVal,_xlfn.XLOOKUP($A1263,Output_Mac!$A:$A,Output_Mac!T:T,""),
_xlpm.MyAuditVal,_xlfn.XLOOKUP($A1263,My_Audit!$A:$A,My_Audit!Q:Q,""),
_xlfn.IFS(_xlpm.MyAuditVal&lt;&gt;"",UPPER(_xlpm.MyAuditVal),_xlpm.MacVal&lt;&gt;"",_xlpm.MacVal,_xlpm.CSVVal&lt;&gt;"",_xlpm.CSVVal
)),"No")</f>
        <v>No</v>
      </c>
      <c r="Q1263" s="40" t="str" cm="1">
        <f t="array" ref="Q1263">IFERROR(_xlfn.LET(
_xlpm.CSVVal,_xlfn.XLOOKUP($A1263,CSV!$A:$A,CSV!AC:AC,""),
_xlpm.MacVal,_xlfn.XLOOKUP($A1263,Output_Mac!$A:$A,Output_Mac!U:U,""),
_xlpm.MyAuditVal,_xlfn.XLOOKUP($A1263,My_Audit!$A:$A,My_Audit!R:R,""),
_xlfn.IFS(_xlpm.MyAuditVal&lt;&gt;"",UPPER(_xlpm.MyAuditVal),_xlpm.MacVal&lt;&gt;"",_xlpm.MacVal,_xlpm.CSVVal&lt;&gt;"",_xlpm.CSVVal
)),"")</f>
        <v/>
      </c>
      <c r="R1263" s="40"/>
      <c r="S1263" s="40"/>
      <c r="T1263" s="40"/>
      <c r="U1263" s="40"/>
      <c r="V1263" s="40"/>
      <c r="W1263" s="40"/>
      <c r="X1263" s="41" t="str">
        <f>_xlfn.LET(
    _xlpm.MacVal, _xlfn.XLOOKUP($A1263, Output_Mac!$A:$A, Output_Mac!AB:AB, ""),
    _xlpm.MyAuditVal, _xlfn.XLOOKUP($A1263, My_Audit!$A:$A, My_Audit!N:N, ""),
    _xlfn.TEXTJOIN(", ", TRUE, _xlpm.MyAuditVal, _xlpm.MacVal)
)</f>
        <v/>
      </c>
    </row>
    <row r="1264" spans="1:24">
      <c r="A1264" s="40" t="str">
        <f>_xlfn.TEXTJOIN("",TRUE,Input!$B$2,ROW(My_Audit!A1263))</f>
        <v>X1263</v>
      </c>
      <c r="B1264" s="40" t="str">
        <f>_xlfn.TEXTJOIN("-",TRUE,"ITD",Input!$A$2,A1264)</f>
        <v>ITD-X1263</v>
      </c>
      <c r="C1264" s="40" t="str" cm="1">
        <f t="array" ref="C1264">IFERROR(_xlfn.LET(
_xlpm.CSVVal,_xlfn.XLOOKUP($A1264,CSV!$A:$A,CSV!B:B,""),
_xlpm.MacVal,_xlfn.XLOOKUP($A1264,Output_Mac!$A:$A,Output_Mac!B:B,""),
_xlpm.MyAuditVal,_xlfn.XLOOKUP($A1264,My_Audit!$A:$A,My_Audit!B:B,""),
_xlfn.IFS(_xlpm.MyAuditVal&lt;&gt;"",UPPER(_xlpm.MyAuditVal),_xlpm.MacVal&lt;&gt;"",_xlpm.MacVal,_xlpm.CSVVal&lt;&gt;"",_xlpm.CSVVal
)),"")</f>
        <v/>
      </c>
      <c r="D1264" s="40" t="str" cm="1">
        <f t="array" ref="D1264">IFERROR(_xlfn.LET(
_xlpm.CSVVal,_xlfn.XLOOKUP($A1264,CSV!$A:$A,CSV!D:D,""),
_xlpm.MacVal,_xlfn.XLOOKUP($A1264,Output_Mac!$A:$A,Output_Mac!C:C,""),
_xlpm.MyAuditVal,_xlfn.XLOOKUP($A1264,My_Audit!$A:$A,My_Audit!C:C,""),
_xlfn.IFS(_xlpm.MyAuditVal&lt;&gt;"",_xlpm.MyAuditVal,_xlpm.MacVal&lt;&gt;"",_xlpm.MacVal,_xlpm.CSVVal&lt;&gt;"",_xlpm.CSVVal
)),"")</f>
        <v/>
      </c>
      <c r="E1264" s="40" t="str">
        <f>_xlfn.XLOOKUP(A1264,My_Audit!A:A,My_Audit!D:D,"")</f>
        <v/>
      </c>
      <c r="F1264" s="40" t="str" cm="1">
        <f t="array" ref="F1264">IFERROR(_xlfn.LET(
_xlpm.CSVVal,_xlfn.XLOOKUP($A1264,CSV!$A:$A,CSV!F:F,""),
_xlpm.MacVal,_xlfn.XLOOKUP($A1264,Output_Mac!$A:$A,Output_Mac!E:E,""),
_xlpm.MyAuditVal,_xlfn.XLOOKUP($A1264,My_Audit!$A:$A,My_Audit!E:E,""),
_xlfn.IFS(_xlpm.MyAuditVal&lt;&gt;"",_xlpm.MyAuditVal,_xlpm.MacVal&lt;&gt;"",_xlpm.MacVal,_xlpm.CSVVal&lt;&gt;"",_xlpm.CSVVal
)),"")</f>
        <v/>
      </c>
      <c r="G1264" s="40" t="str" cm="1">
        <f t="array" ref="G1264">IFERROR(_xlfn.LET(
_xlpm.CSVVal,_xlfn.XLOOKUP($A1264,CSV!$A:$A,CSV!G:G,""),
_xlpm.MacVal,_xlfn.XLOOKUP($A1264,Output_Mac!$A:$A,Output_Mac!F:F,""),
_xlpm.MyAuditVal,_xlfn.XLOOKUP($A1264,My_Audit!$A:$A,My_Audit!F:F,""),
_xlfn.IFS(_xlpm.MyAuditVal&lt;&gt;"",_xlpm.MyAuditVal,_xlpm.MacVal&lt;&gt;"",_xlpm.MacVal,_xlpm.CSVVal&lt;&gt;"",PROPER(_xlpm.CSVVal)
)),"")</f>
        <v/>
      </c>
      <c r="H1264" s="40" t="str" cm="1">
        <f t="array" ref="H1264">IFERROR(_xlfn.LET(
_xlpm.CSVVal,_xlfn.XLOOKUP($A1264,CSV!$A:$A,CSV!H:H,""),
_xlpm.MacVal,_xlfn.XLOOKUP($A1264,Output_Mac!$A:$A,Output_Mac!H:H,""),
_xlpm.MyAuditVal,_xlfn.XLOOKUP($A1264,My_Audit!$A:$A,My_Audit!G:G,""),
_xlfn.IFS(_xlpm.MyAuditVal&lt;&gt;"",_xlpm.MyAuditVal,_xlpm.MacVal&lt;&gt;"",_xlpm.MacVal,_xlpm.CSVVal&lt;&gt;"",_xlpm.CSVVal
)),"")</f>
        <v/>
      </c>
      <c r="I1264" s="40" t="str">
        <f>_xlfn.XLOOKUP(A1264,Output_Mac!A:A,Output_Mac!I:I,"")</f>
        <v/>
      </c>
      <c r="J1264" s="40" t="str" cm="1">
        <f t="array" ref="J1264">IFERROR(_xlfn.LET(
_xlpm.CSVVal,_xlfn.XLOOKUP($A1264,CSV!$A:$A,CSV!I:I,""),
_xlpm.MacVal,_xlfn.XLOOKUP($A1264,Output_Mac!$A:$A,Output_Mac!J:J,""),
_xlpm.MyAuditVal,_xlfn.XLOOKUP($A1264,My_Audit!$A:$A,My_Audit!I:I,""),
_xlfn.IFS(_xlpm.MyAuditVal&lt;&gt;"",UPPER(_xlpm.MyAuditVal),_xlpm.MacVal&lt;&gt;"",_xlpm.MacVal,_xlpm.CSVVal&lt;&gt;"",_xlpm.CSVVal
)),"")</f>
        <v/>
      </c>
      <c r="K1264" s="40" t="str" cm="1">
        <f t="array" ref="K1264">IFERROR(_xlfn.LET(
_xlpm.CSVVal,_xlfn.XLOOKUP($A1264,CSV!$A:$A,CSV!K:K,""),
_xlpm.MacVal,_xlfn.XLOOKUP($A1264,Output_Mac!$A:$A,Output_Mac!K:K,""),
_xlpm.MyAuditVal,_xlfn.XLOOKUP($A1264,My_Audit!$A:$A,My_Audit!J:J,""),
_xlfn.IFS(_xlpm.MyAuditVal&lt;&gt;"",UPPER(_xlpm.MyAuditVal),_xlpm.MacVal&lt;&gt;"",_xlpm.MacVal,_xlpm.CSVVal&lt;&gt;"",_xlpm.CSVVal
)),"")</f>
        <v/>
      </c>
      <c r="L1264" s="40" t="str" cm="1">
        <f t="array" ref="L1264">IFERROR(_xlfn.LET(
_xlpm.CSVVal,_xlfn.XLOOKUP($A1264,CSV!$A:$A,CSV!P:P,""),
_xlpm.MacVal,_xlfn.XLOOKUP($A1264,Output_Mac!$A:$A,Output_Mac!L:L,""),
_xlpm.MyAuditVal,_xlfn.XLOOKUP($A1264,My_Audit!$A:$A,My_Audit!K:K,""),
_xlfn.IFS(_xlpm.MyAuditVal&lt;&gt;"",UPPER(_xlpm.MyAuditVal),_xlpm.MacVal&lt;&gt;"",_xlpm.MacVal,_xlpm.CSVVal&lt;&gt;"",_xlpm.CSVVal
)),"")</f>
        <v/>
      </c>
      <c r="M1264" s="40" t="str" cm="1">
        <f t="array" ref="M1264">IFERROR(_xlfn.LET(
_xlpm.CSVVal,_xlfn.XLOOKUP($A1264,CSV!$A:$A,CSV!Q:Q,""),
_xlpm.MacVal,_xlfn.XLOOKUP($A1264,Output_Mac!$A:$A,Output_Mac!M:M,""),
_xlpm.MyAuditVal,_xlfn.XLOOKUP($A1264,My_Audit!$A:$A,My_Audit!L:L,""),
_xlfn.IFS(_xlpm.MyAuditVal&lt;&gt;"",UPPER(_xlpm.MyAuditVal),_xlpm.MacVal&lt;&gt;"",_xlpm.MacVal,_xlpm.CSVVal&lt;&gt;"",_xlpm.CSVVal
)),"")</f>
        <v/>
      </c>
      <c r="N1264" s="40"/>
      <c r="O1264" s="40" t="str">
        <f>_xlfn.LET(
    _xlpm.CSVVal, _xlfn.XLOOKUP($A1264, CSV!$A:$A, CSV!AA:AA, ""),
    _xlpm.MacVal, _xlfn.XLOOKUP($A1264, Output_Mac!$A:$A, Output_Mac!S:S, ""),
    _xlpm.MyAuditVal, _xlfn.XLOOKUP($A1264, My_Audit!$A:$A, My_Audit!P:P, ""),
    _xlfn.TEXTJOIN(", ", TRUE, _xlpm.MyAuditVal, _xlpm.MacVal, _xlpm.CSVVal)
)</f>
        <v/>
      </c>
      <c r="P1264" s="40" t="str" cm="1">
        <f t="array" ref="P1264">IFERROR(_xlfn.LET(
_xlpm.CSVVal,_xlfn.XLOOKUP($A1264,CSV!$A:$A,CSV!AB:AB,""),
_xlpm.MacVal,_xlfn.XLOOKUP($A1264,Output_Mac!$A:$A,Output_Mac!T:T,""),
_xlpm.MyAuditVal,_xlfn.XLOOKUP($A1264,My_Audit!$A:$A,My_Audit!Q:Q,""),
_xlfn.IFS(_xlpm.MyAuditVal&lt;&gt;"",UPPER(_xlpm.MyAuditVal),_xlpm.MacVal&lt;&gt;"",_xlpm.MacVal,_xlpm.CSVVal&lt;&gt;"",_xlpm.CSVVal
)),"No")</f>
        <v>No</v>
      </c>
      <c r="Q1264" s="40" t="str" cm="1">
        <f t="array" ref="Q1264">IFERROR(_xlfn.LET(
_xlpm.CSVVal,_xlfn.XLOOKUP($A1264,CSV!$A:$A,CSV!AC:AC,""),
_xlpm.MacVal,_xlfn.XLOOKUP($A1264,Output_Mac!$A:$A,Output_Mac!U:U,""),
_xlpm.MyAuditVal,_xlfn.XLOOKUP($A1264,My_Audit!$A:$A,My_Audit!R:R,""),
_xlfn.IFS(_xlpm.MyAuditVal&lt;&gt;"",UPPER(_xlpm.MyAuditVal),_xlpm.MacVal&lt;&gt;"",_xlpm.MacVal,_xlpm.CSVVal&lt;&gt;"",_xlpm.CSVVal
)),"")</f>
        <v/>
      </c>
      <c r="R1264" s="40"/>
      <c r="S1264" s="40"/>
      <c r="T1264" s="40"/>
      <c r="U1264" s="40"/>
      <c r="V1264" s="40"/>
      <c r="W1264" s="40"/>
      <c r="X1264" s="41" t="str">
        <f>_xlfn.LET(
    _xlpm.MacVal, _xlfn.XLOOKUP($A1264, Output_Mac!$A:$A, Output_Mac!AB:AB, ""),
    _xlpm.MyAuditVal, _xlfn.XLOOKUP($A1264, My_Audit!$A:$A, My_Audit!N:N, ""),
    _xlfn.TEXTJOIN(", ", TRUE, _xlpm.MyAuditVal, _xlpm.MacVal)
)</f>
        <v/>
      </c>
    </row>
    <row r="1265" spans="1:24">
      <c r="A1265" s="40" t="str">
        <f>_xlfn.TEXTJOIN("",TRUE,Input!$B$2,ROW(My_Audit!A1264))</f>
        <v>X1264</v>
      </c>
      <c r="B1265" s="40" t="str">
        <f>_xlfn.TEXTJOIN("-",TRUE,"ITD",Input!$A$2,A1265)</f>
        <v>ITD-X1264</v>
      </c>
      <c r="C1265" s="40" t="str" cm="1">
        <f t="array" ref="C1265">IFERROR(_xlfn.LET(
_xlpm.CSVVal,_xlfn.XLOOKUP($A1265,CSV!$A:$A,CSV!B:B,""),
_xlpm.MacVal,_xlfn.XLOOKUP($A1265,Output_Mac!$A:$A,Output_Mac!B:B,""),
_xlpm.MyAuditVal,_xlfn.XLOOKUP($A1265,My_Audit!$A:$A,My_Audit!B:B,""),
_xlfn.IFS(_xlpm.MyAuditVal&lt;&gt;"",UPPER(_xlpm.MyAuditVal),_xlpm.MacVal&lt;&gt;"",_xlpm.MacVal,_xlpm.CSVVal&lt;&gt;"",_xlpm.CSVVal
)),"")</f>
        <v/>
      </c>
      <c r="D1265" s="40" t="str" cm="1">
        <f t="array" ref="D1265">IFERROR(_xlfn.LET(
_xlpm.CSVVal,_xlfn.XLOOKUP($A1265,CSV!$A:$A,CSV!D:D,""),
_xlpm.MacVal,_xlfn.XLOOKUP($A1265,Output_Mac!$A:$A,Output_Mac!C:C,""),
_xlpm.MyAuditVal,_xlfn.XLOOKUP($A1265,My_Audit!$A:$A,My_Audit!C:C,""),
_xlfn.IFS(_xlpm.MyAuditVal&lt;&gt;"",_xlpm.MyAuditVal,_xlpm.MacVal&lt;&gt;"",_xlpm.MacVal,_xlpm.CSVVal&lt;&gt;"",_xlpm.CSVVal
)),"")</f>
        <v/>
      </c>
      <c r="E1265" s="40" t="str">
        <f>_xlfn.XLOOKUP(A1265,My_Audit!A:A,My_Audit!D:D,"")</f>
        <v/>
      </c>
      <c r="F1265" s="40" t="str" cm="1">
        <f t="array" ref="F1265">IFERROR(_xlfn.LET(
_xlpm.CSVVal,_xlfn.XLOOKUP($A1265,CSV!$A:$A,CSV!F:F,""),
_xlpm.MacVal,_xlfn.XLOOKUP($A1265,Output_Mac!$A:$A,Output_Mac!E:E,""),
_xlpm.MyAuditVal,_xlfn.XLOOKUP($A1265,My_Audit!$A:$A,My_Audit!E:E,""),
_xlfn.IFS(_xlpm.MyAuditVal&lt;&gt;"",_xlpm.MyAuditVal,_xlpm.MacVal&lt;&gt;"",_xlpm.MacVal,_xlpm.CSVVal&lt;&gt;"",_xlpm.CSVVal
)),"")</f>
        <v/>
      </c>
      <c r="G1265" s="40" t="str" cm="1">
        <f t="array" ref="G1265">IFERROR(_xlfn.LET(
_xlpm.CSVVal,_xlfn.XLOOKUP($A1265,CSV!$A:$A,CSV!G:G,""),
_xlpm.MacVal,_xlfn.XLOOKUP($A1265,Output_Mac!$A:$A,Output_Mac!F:F,""),
_xlpm.MyAuditVal,_xlfn.XLOOKUP($A1265,My_Audit!$A:$A,My_Audit!F:F,""),
_xlfn.IFS(_xlpm.MyAuditVal&lt;&gt;"",_xlpm.MyAuditVal,_xlpm.MacVal&lt;&gt;"",_xlpm.MacVal,_xlpm.CSVVal&lt;&gt;"",PROPER(_xlpm.CSVVal)
)),"")</f>
        <v/>
      </c>
      <c r="H1265" s="40" t="str" cm="1">
        <f t="array" ref="H1265">IFERROR(_xlfn.LET(
_xlpm.CSVVal,_xlfn.XLOOKUP($A1265,CSV!$A:$A,CSV!H:H,""),
_xlpm.MacVal,_xlfn.XLOOKUP($A1265,Output_Mac!$A:$A,Output_Mac!H:H,""),
_xlpm.MyAuditVal,_xlfn.XLOOKUP($A1265,My_Audit!$A:$A,My_Audit!G:G,""),
_xlfn.IFS(_xlpm.MyAuditVal&lt;&gt;"",_xlpm.MyAuditVal,_xlpm.MacVal&lt;&gt;"",_xlpm.MacVal,_xlpm.CSVVal&lt;&gt;"",_xlpm.CSVVal
)),"")</f>
        <v/>
      </c>
      <c r="I1265" s="40" t="str">
        <f>_xlfn.XLOOKUP(A1265,Output_Mac!A:A,Output_Mac!I:I,"")</f>
        <v/>
      </c>
      <c r="J1265" s="40" t="str" cm="1">
        <f t="array" ref="J1265">IFERROR(_xlfn.LET(
_xlpm.CSVVal,_xlfn.XLOOKUP($A1265,CSV!$A:$A,CSV!I:I,""),
_xlpm.MacVal,_xlfn.XLOOKUP($A1265,Output_Mac!$A:$A,Output_Mac!J:J,""),
_xlpm.MyAuditVal,_xlfn.XLOOKUP($A1265,My_Audit!$A:$A,My_Audit!I:I,""),
_xlfn.IFS(_xlpm.MyAuditVal&lt;&gt;"",UPPER(_xlpm.MyAuditVal),_xlpm.MacVal&lt;&gt;"",_xlpm.MacVal,_xlpm.CSVVal&lt;&gt;"",_xlpm.CSVVal
)),"")</f>
        <v/>
      </c>
      <c r="K1265" s="40" t="str" cm="1">
        <f t="array" ref="K1265">IFERROR(_xlfn.LET(
_xlpm.CSVVal,_xlfn.XLOOKUP($A1265,CSV!$A:$A,CSV!K:K,""),
_xlpm.MacVal,_xlfn.XLOOKUP($A1265,Output_Mac!$A:$A,Output_Mac!K:K,""),
_xlpm.MyAuditVal,_xlfn.XLOOKUP($A1265,My_Audit!$A:$A,My_Audit!J:J,""),
_xlfn.IFS(_xlpm.MyAuditVal&lt;&gt;"",UPPER(_xlpm.MyAuditVal),_xlpm.MacVal&lt;&gt;"",_xlpm.MacVal,_xlpm.CSVVal&lt;&gt;"",_xlpm.CSVVal
)),"")</f>
        <v/>
      </c>
      <c r="L1265" s="40" t="str" cm="1">
        <f t="array" ref="L1265">IFERROR(_xlfn.LET(
_xlpm.CSVVal,_xlfn.XLOOKUP($A1265,CSV!$A:$A,CSV!P:P,""),
_xlpm.MacVal,_xlfn.XLOOKUP($A1265,Output_Mac!$A:$A,Output_Mac!L:L,""),
_xlpm.MyAuditVal,_xlfn.XLOOKUP($A1265,My_Audit!$A:$A,My_Audit!K:K,""),
_xlfn.IFS(_xlpm.MyAuditVal&lt;&gt;"",UPPER(_xlpm.MyAuditVal),_xlpm.MacVal&lt;&gt;"",_xlpm.MacVal,_xlpm.CSVVal&lt;&gt;"",_xlpm.CSVVal
)),"")</f>
        <v/>
      </c>
      <c r="M1265" s="40" t="str" cm="1">
        <f t="array" ref="M1265">IFERROR(_xlfn.LET(
_xlpm.CSVVal,_xlfn.XLOOKUP($A1265,CSV!$A:$A,CSV!Q:Q,""),
_xlpm.MacVal,_xlfn.XLOOKUP($A1265,Output_Mac!$A:$A,Output_Mac!M:M,""),
_xlpm.MyAuditVal,_xlfn.XLOOKUP($A1265,My_Audit!$A:$A,My_Audit!L:L,""),
_xlfn.IFS(_xlpm.MyAuditVal&lt;&gt;"",UPPER(_xlpm.MyAuditVal),_xlpm.MacVal&lt;&gt;"",_xlpm.MacVal,_xlpm.CSVVal&lt;&gt;"",_xlpm.CSVVal
)),"")</f>
        <v/>
      </c>
      <c r="N1265" s="40"/>
      <c r="O1265" s="40" t="str">
        <f>_xlfn.LET(
    _xlpm.CSVVal, _xlfn.XLOOKUP($A1265, CSV!$A:$A, CSV!AA:AA, ""),
    _xlpm.MacVal, _xlfn.XLOOKUP($A1265, Output_Mac!$A:$A, Output_Mac!S:S, ""),
    _xlpm.MyAuditVal, _xlfn.XLOOKUP($A1265, My_Audit!$A:$A, My_Audit!P:P, ""),
    _xlfn.TEXTJOIN(", ", TRUE, _xlpm.MyAuditVal, _xlpm.MacVal, _xlpm.CSVVal)
)</f>
        <v/>
      </c>
      <c r="P1265" s="40" t="str" cm="1">
        <f t="array" ref="P1265">IFERROR(_xlfn.LET(
_xlpm.CSVVal,_xlfn.XLOOKUP($A1265,CSV!$A:$A,CSV!AB:AB,""),
_xlpm.MacVal,_xlfn.XLOOKUP($A1265,Output_Mac!$A:$A,Output_Mac!T:T,""),
_xlpm.MyAuditVal,_xlfn.XLOOKUP($A1265,My_Audit!$A:$A,My_Audit!Q:Q,""),
_xlfn.IFS(_xlpm.MyAuditVal&lt;&gt;"",UPPER(_xlpm.MyAuditVal),_xlpm.MacVal&lt;&gt;"",_xlpm.MacVal,_xlpm.CSVVal&lt;&gt;"",_xlpm.CSVVal
)),"No")</f>
        <v>No</v>
      </c>
      <c r="Q1265" s="40" t="str" cm="1">
        <f t="array" ref="Q1265">IFERROR(_xlfn.LET(
_xlpm.CSVVal,_xlfn.XLOOKUP($A1265,CSV!$A:$A,CSV!AC:AC,""),
_xlpm.MacVal,_xlfn.XLOOKUP($A1265,Output_Mac!$A:$A,Output_Mac!U:U,""),
_xlpm.MyAuditVal,_xlfn.XLOOKUP($A1265,My_Audit!$A:$A,My_Audit!R:R,""),
_xlfn.IFS(_xlpm.MyAuditVal&lt;&gt;"",UPPER(_xlpm.MyAuditVal),_xlpm.MacVal&lt;&gt;"",_xlpm.MacVal,_xlpm.CSVVal&lt;&gt;"",_xlpm.CSVVal
)),"")</f>
        <v/>
      </c>
      <c r="R1265" s="40"/>
      <c r="S1265" s="40"/>
      <c r="T1265" s="40"/>
      <c r="U1265" s="40"/>
      <c r="V1265" s="40"/>
      <c r="W1265" s="40"/>
      <c r="X1265" s="41" t="str">
        <f>_xlfn.LET(
    _xlpm.MacVal, _xlfn.XLOOKUP($A1265, Output_Mac!$A:$A, Output_Mac!AB:AB, ""),
    _xlpm.MyAuditVal, _xlfn.XLOOKUP($A1265, My_Audit!$A:$A, My_Audit!N:N, ""),
    _xlfn.TEXTJOIN(", ", TRUE, _xlpm.MyAuditVal, _xlpm.MacVal)
)</f>
        <v/>
      </c>
    </row>
    <row r="1266" spans="1:24">
      <c r="A1266" s="40" t="str">
        <f>_xlfn.TEXTJOIN("",TRUE,Input!$B$2,ROW(My_Audit!A1265))</f>
        <v>X1265</v>
      </c>
      <c r="B1266" s="40" t="str">
        <f>_xlfn.TEXTJOIN("-",TRUE,"ITD",Input!$A$2,A1266)</f>
        <v>ITD-X1265</v>
      </c>
      <c r="C1266" s="40" t="str" cm="1">
        <f t="array" ref="C1266">IFERROR(_xlfn.LET(
_xlpm.CSVVal,_xlfn.XLOOKUP($A1266,CSV!$A:$A,CSV!B:B,""),
_xlpm.MacVal,_xlfn.XLOOKUP($A1266,Output_Mac!$A:$A,Output_Mac!B:B,""),
_xlpm.MyAuditVal,_xlfn.XLOOKUP($A1266,My_Audit!$A:$A,My_Audit!B:B,""),
_xlfn.IFS(_xlpm.MyAuditVal&lt;&gt;"",UPPER(_xlpm.MyAuditVal),_xlpm.MacVal&lt;&gt;"",_xlpm.MacVal,_xlpm.CSVVal&lt;&gt;"",_xlpm.CSVVal
)),"")</f>
        <v/>
      </c>
      <c r="D1266" s="40" t="str" cm="1">
        <f t="array" ref="D1266">IFERROR(_xlfn.LET(
_xlpm.CSVVal,_xlfn.XLOOKUP($A1266,CSV!$A:$A,CSV!D:D,""),
_xlpm.MacVal,_xlfn.XLOOKUP($A1266,Output_Mac!$A:$A,Output_Mac!C:C,""),
_xlpm.MyAuditVal,_xlfn.XLOOKUP($A1266,My_Audit!$A:$A,My_Audit!C:C,""),
_xlfn.IFS(_xlpm.MyAuditVal&lt;&gt;"",_xlpm.MyAuditVal,_xlpm.MacVal&lt;&gt;"",_xlpm.MacVal,_xlpm.CSVVal&lt;&gt;"",_xlpm.CSVVal
)),"")</f>
        <v/>
      </c>
      <c r="E1266" s="40" t="str">
        <f>_xlfn.XLOOKUP(A1266,My_Audit!A:A,My_Audit!D:D,"")</f>
        <v/>
      </c>
      <c r="F1266" s="40" t="str" cm="1">
        <f t="array" ref="F1266">IFERROR(_xlfn.LET(
_xlpm.CSVVal,_xlfn.XLOOKUP($A1266,CSV!$A:$A,CSV!F:F,""),
_xlpm.MacVal,_xlfn.XLOOKUP($A1266,Output_Mac!$A:$A,Output_Mac!E:E,""),
_xlpm.MyAuditVal,_xlfn.XLOOKUP($A1266,My_Audit!$A:$A,My_Audit!E:E,""),
_xlfn.IFS(_xlpm.MyAuditVal&lt;&gt;"",_xlpm.MyAuditVal,_xlpm.MacVal&lt;&gt;"",_xlpm.MacVal,_xlpm.CSVVal&lt;&gt;"",_xlpm.CSVVal
)),"")</f>
        <v/>
      </c>
      <c r="G1266" s="40" t="str" cm="1">
        <f t="array" ref="G1266">IFERROR(_xlfn.LET(
_xlpm.CSVVal,_xlfn.XLOOKUP($A1266,CSV!$A:$A,CSV!G:G,""),
_xlpm.MacVal,_xlfn.XLOOKUP($A1266,Output_Mac!$A:$A,Output_Mac!F:F,""),
_xlpm.MyAuditVal,_xlfn.XLOOKUP($A1266,My_Audit!$A:$A,My_Audit!F:F,""),
_xlfn.IFS(_xlpm.MyAuditVal&lt;&gt;"",_xlpm.MyAuditVal,_xlpm.MacVal&lt;&gt;"",_xlpm.MacVal,_xlpm.CSVVal&lt;&gt;"",PROPER(_xlpm.CSVVal)
)),"")</f>
        <v/>
      </c>
      <c r="H1266" s="40" t="str" cm="1">
        <f t="array" ref="H1266">IFERROR(_xlfn.LET(
_xlpm.CSVVal,_xlfn.XLOOKUP($A1266,CSV!$A:$A,CSV!H:H,""),
_xlpm.MacVal,_xlfn.XLOOKUP($A1266,Output_Mac!$A:$A,Output_Mac!H:H,""),
_xlpm.MyAuditVal,_xlfn.XLOOKUP($A1266,My_Audit!$A:$A,My_Audit!G:G,""),
_xlfn.IFS(_xlpm.MyAuditVal&lt;&gt;"",_xlpm.MyAuditVal,_xlpm.MacVal&lt;&gt;"",_xlpm.MacVal,_xlpm.CSVVal&lt;&gt;"",_xlpm.CSVVal
)),"")</f>
        <v/>
      </c>
      <c r="I1266" s="40" t="str">
        <f>_xlfn.XLOOKUP(A1266,Output_Mac!A:A,Output_Mac!I:I,"")</f>
        <v/>
      </c>
      <c r="J1266" s="40" t="str" cm="1">
        <f t="array" ref="J1266">IFERROR(_xlfn.LET(
_xlpm.CSVVal,_xlfn.XLOOKUP($A1266,CSV!$A:$A,CSV!I:I,""),
_xlpm.MacVal,_xlfn.XLOOKUP($A1266,Output_Mac!$A:$A,Output_Mac!J:J,""),
_xlpm.MyAuditVal,_xlfn.XLOOKUP($A1266,My_Audit!$A:$A,My_Audit!I:I,""),
_xlfn.IFS(_xlpm.MyAuditVal&lt;&gt;"",UPPER(_xlpm.MyAuditVal),_xlpm.MacVal&lt;&gt;"",_xlpm.MacVal,_xlpm.CSVVal&lt;&gt;"",_xlpm.CSVVal
)),"")</f>
        <v/>
      </c>
      <c r="K1266" s="40" t="str" cm="1">
        <f t="array" ref="K1266">IFERROR(_xlfn.LET(
_xlpm.CSVVal,_xlfn.XLOOKUP($A1266,CSV!$A:$A,CSV!K:K,""),
_xlpm.MacVal,_xlfn.XLOOKUP($A1266,Output_Mac!$A:$A,Output_Mac!K:K,""),
_xlpm.MyAuditVal,_xlfn.XLOOKUP($A1266,My_Audit!$A:$A,My_Audit!J:J,""),
_xlfn.IFS(_xlpm.MyAuditVal&lt;&gt;"",UPPER(_xlpm.MyAuditVal),_xlpm.MacVal&lt;&gt;"",_xlpm.MacVal,_xlpm.CSVVal&lt;&gt;"",_xlpm.CSVVal
)),"")</f>
        <v/>
      </c>
      <c r="L1266" s="40" t="str" cm="1">
        <f t="array" ref="L1266">IFERROR(_xlfn.LET(
_xlpm.CSVVal,_xlfn.XLOOKUP($A1266,CSV!$A:$A,CSV!P:P,""),
_xlpm.MacVal,_xlfn.XLOOKUP($A1266,Output_Mac!$A:$A,Output_Mac!L:L,""),
_xlpm.MyAuditVal,_xlfn.XLOOKUP($A1266,My_Audit!$A:$A,My_Audit!K:K,""),
_xlfn.IFS(_xlpm.MyAuditVal&lt;&gt;"",UPPER(_xlpm.MyAuditVal),_xlpm.MacVal&lt;&gt;"",_xlpm.MacVal,_xlpm.CSVVal&lt;&gt;"",_xlpm.CSVVal
)),"")</f>
        <v/>
      </c>
      <c r="M1266" s="40" t="str" cm="1">
        <f t="array" ref="M1266">IFERROR(_xlfn.LET(
_xlpm.CSVVal,_xlfn.XLOOKUP($A1266,CSV!$A:$A,CSV!Q:Q,""),
_xlpm.MacVal,_xlfn.XLOOKUP($A1266,Output_Mac!$A:$A,Output_Mac!M:M,""),
_xlpm.MyAuditVal,_xlfn.XLOOKUP($A1266,My_Audit!$A:$A,My_Audit!L:L,""),
_xlfn.IFS(_xlpm.MyAuditVal&lt;&gt;"",UPPER(_xlpm.MyAuditVal),_xlpm.MacVal&lt;&gt;"",_xlpm.MacVal,_xlpm.CSVVal&lt;&gt;"",_xlpm.CSVVal
)),"")</f>
        <v/>
      </c>
      <c r="N1266" s="40"/>
      <c r="O1266" s="40" t="str">
        <f>_xlfn.LET(
    _xlpm.CSVVal, _xlfn.XLOOKUP($A1266, CSV!$A:$A, CSV!AA:AA, ""),
    _xlpm.MacVal, _xlfn.XLOOKUP($A1266, Output_Mac!$A:$A, Output_Mac!S:S, ""),
    _xlpm.MyAuditVal, _xlfn.XLOOKUP($A1266, My_Audit!$A:$A, My_Audit!P:P, ""),
    _xlfn.TEXTJOIN(", ", TRUE, _xlpm.MyAuditVal, _xlpm.MacVal, _xlpm.CSVVal)
)</f>
        <v/>
      </c>
      <c r="P1266" s="40" t="str" cm="1">
        <f t="array" ref="P1266">IFERROR(_xlfn.LET(
_xlpm.CSVVal,_xlfn.XLOOKUP($A1266,CSV!$A:$A,CSV!AB:AB,""),
_xlpm.MacVal,_xlfn.XLOOKUP($A1266,Output_Mac!$A:$A,Output_Mac!T:T,""),
_xlpm.MyAuditVal,_xlfn.XLOOKUP($A1266,My_Audit!$A:$A,My_Audit!Q:Q,""),
_xlfn.IFS(_xlpm.MyAuditVal&lt;&gt;"",UPPER(_xlpm.MyAuditVal),_xlpm.MacVal&lt;&gt;"",_xlpm.MacVal,_xlpm.CSVVal&lt;&gt;"",_xlpm.CSVVal
)),"No")</f>
        <v>No</v>
      </c>
      <c r="Q1266" s="40" t="str" cm="1">
        <f t="array" ref="Q1266">IFERROR(_xlfn.LET(
_xlpm.CSVVal,_xlfn.XLOOKUP($A1266,CSV!$A:$A,CSV!AC:AC,""),
_xlpm.MacVal,_xlfn.XLOOKUP($A1266,Output_Mac!$A:$A,Output_Mac!U:U,""),
_xlpm.MyAuditVal,_xlfn.XLOOKUP($A1266,My_Audit!$A:$A,My_Audit!R:R,""),
_xlfn.IFS(_xlpm.MyAuditVal&lt;&gt;"",UPPER(_xlpm.MyAuditVal),_xlpm.MacVal&lt;&gt;"",_xlpm.MacVal,_xlpm.CSVVal&lt;&gt;"",_xlpm.CSVVal
)),"")</f>
        <v/>
      </c>
      <c r="R1266" s="40"/>
      <c r="S1266" s="40"/>
      <c r="T1266" s="40"/>
      <c r="U1266" s="40"/>
      <c r="V1266" s="40"/>
      <c r="W1266" s="40"/>
      <c r="X1266" s="41" t="str">
        <f>_xlfn.LET(
    _xlpm.MacVal, _xlfn.XLOOKUP($A1266, Output_Mac!$A:$A, Output_Mac!AB:AB, ""),
    _xlpm.MyAuditVal, _xlfn.XLOOKUP($A1266, My_Audit!$A:$A, My_Audit!N:N, ""),
    _xlfn.TEXTJOIN(", ", TRUE, _xlpm.MyAuditVal, _xlpm.MacVal)
)</f>
        <v/>
      </c>
    </row>
    <row r="1267" spans="1:24">
      <c r="A1267" s="40" t="str">
        <f>_xlfn.TEXTJOIN("",TRUE,Input!$B$2,ROW(My_Audit!A1266))</f>
        <v>X1266</v>
      </c>
      <c r="B1267" s="40" t="str">
        <f>_xlfn.TEXTJOIN("-",TRUE,"ITD",Input!$A$2,A1267)</f>
        <v>ITD-X1266</v>
      </c>
      <c r="C1267" s="40" t="str" cm="1">
        <f t="array" ref="C1267">IFERROR(_xlfn.LET(
_xlpm.CSVVal,_xlfn.XLOOKUP($A1267,CSV!$A:$A,CSV!B:B,""),
_xlpm.MacVal,_xlfn.XLOOKUP($A1267,Output_Mac!$A:$A,Output_Mac!B:B,""),
_xlpm.MyAuditVal,_xlfn.XLOOKUP($A1267,My_Audit!$A:$A,My_Audit!B:B,""),
_xlfn.IFS(_xlpm.MyAuditVal&lt;&gt;"",UPPER(_xlpm.MyAuditVal),_xlpm.MacVal&lt;&gt;"",_xlpm.MacVal,_xlpm.CSVVal&lt;&gt;"",_xlpm.CSVVal
)),"")</f>
        <v/>
      </c>
      <c r="D1267" s="40" t="str" cm="1">
        <f t="array" ref="D1267">IFERROR(_xlfn.LET(
_xlpm.CSVVal,_xlfn.XLOOKUP($A1267,CSV!$A:$A,CSV!D:D,""),
_xlpm.MacVal,_xlfn.XLOOKUP($A1267,Output_Mac!$A:$A,Output_Mac!C:C,""),
_xlpm.MyAuditVal,_xlfn.XLOOKUP($A1267,My_Audit!$A:$A,My_Audit!C:C,""),
_xlfn.IFS(_xlpm.MyAuditVal&lt;&gt;"",_xlpm.MyAuditVal,_xlpm.MacVal&lt;&gt;"",_xlpm.MacVal,_xlpm.CSVVal&lt;&gt;"",_xlpm.CSVVal
)),"")</f>
        <v/>
      </c>
      <c r="E1267" s="40" t="str">
        <f>_xlfn.XLOOKUP(A1267,My_Audit!A:A,My_Audit!D:D,"")</f>
        <v/>
      </c>
      <c r="F1267" s="40" t="str" cm="1">
        <f t="array" ref="F1267">IFERROR(_xlfn.LET(
_xlpm.CSVVal,_xlfn.XLOOKUP($A1267,CSV!$A:$A,CSV!F:F,""),
_xlpm.MacVal,_xlfn.XLOOKUP($A1267,Output_Mac!$A:$A,Output_Mac!E:E,""),
_xlpm.MyAuditVal,_xlfn.XLOOKUP($A1267,My_Audit!$A:$A,My_Audit!E:E,""),
_xlfn.IFS(_xlpm.MyAuditVal&lt;&gt;"",_xlpm.MyAuditVal,_xlpm.MacVal&lt;&gt;"",_xlpm.MacVal,_xlpm.CSVVal&lt;&gt;"",_xlpm.CSVVal
)),"")</f>
        <v/>
      </c>
      <c r="G1267" s="40" t="str" cm="1">
        <f t="array" ref="G1267">IFERROR(_xlfn.LET(
_xlpm.CSVVal,_xlfn.XLOOKUP($A1267,CSV!$A:$A,CSV!G:G,""),
_xlpm.MacVal,_xlfn.XLOOKUP($A1267,Output_Mac!$A:$A,Output_Mac!F:F,""),
_xlpm.MyAuditVal,_xlfn.XLOOKUP($A1267,My_Audit!$A:$A,My_Audit!F:F,""),
_xlfn.IFS(_xlpm.MyAuditVal&lt;&gt;"",_xlpm.MyAuditVal,_xlpm.MacVal&lt;&gt;"",_xlpm.MacVal,_xlpm.CSVVal&lt;&gt;"",PROPER(_xlpm.CSVVal)
)),"")</f>
        <v/>
      </c>
      <c r="H1267" s="40" t="str" cm="1">
        <f t="array" ref="H1267">IFERROR(_xlfn.LET(
_xlpm.CSVVal,_xlfn.XLOOKUP($A1267,CSV!$A:$A,CSV!H:H,""),
_xlpm.MacVal,_xlfn.XLOOKUP($A1267,Output_Mac!$A:$A,Output_Mac!H:H,""),
_xlpm.MyAuditVal,_xlfn.XLOOKUP($A1267,My_Audit!$A:$A,My_Audit!G:G,""),
_xlfn.IFS(_xlpm.MyAuditVal&lt;&gt;"",_xlpm.MyAuditVal,_xlpm.MacVal&lt;&gt;"",_xlpm.MacVal,_xlpm.CSVVal&lt;&gt;"",_xlpm.CSVVal
)),"")</f>
        <v/>
      </c>
      <c r="I1267" s="40" t="str">
        <f>_xlfn.XLOOKUP(A1267,Output_Mac!A:A,Output_Mac!I:I,"")</f>
        <v/>
      </c>
      <c r="J1267" s="40" t="str" cm="1">
        <f t="array" ref="J1267">IFERROR(_xlfn.LET(
_xlpm.CSVVal,_xlfn.XLOOKUP($A1267,CSV!$A:$A,CSV!I:I,""),
_xlpm.MacVal,_xlfn.XLOOKUP($A1267,Output_Mac!$A:$A,Output_Mac!J:J,""),
_xlpm.MyAuditVal,_xlfn.XLOOKUP($A1267,My_Audit!$A:$A,My_Audit!I:I,""),
_xlfn.IFS(_xlpm.MyAuditVal&lt;&gt;"",UPPER(_xlpm.MyAuditVal),_xlpm.MacVal&lt;&gt;"",_xlpm.MacVal,_xlpm.CSVVal&lt;&gt;"",_xlpm.CSVVal
)),"")</f>
        <v/>
      </c>
      <c r="K1267" s="40" t="str" cm="1">
        <f t="array" ref="K1267">IFERROR(_xlfn.LET(
_xlpm.CSVVal,_xlfn.XLOOKUP($A1267,CSV!$A:$A,CSV!K:K,""),
_xlpm.MacVal,_xlfn.XLOOKUP($A1267,Output_Mac!$A:$A,Output_Mac!K:K,""),
_xlpm.MyAuditVal,_xlfn.XLOOKUP($A1267,My_Audit!$A:$A,My_Audit!J:J,""),
_xlfn.IFS(_xlpm.MyAuditVal&lt;&gt;"",UPPER(_xlpm.MyAuditVal),_xlpm.MacVal&lt;&gt;"",_xlpm.MacVal,_xlpm.CSVVal&lt;&gt;"",_xlpm.CSVVal
)),"")</f>
        <v/>
      </c>
      <c r="L1267" s="40" t="str" cm="1">
        <f t="array" ref="L1267">IFERROR(_xlfn.LET(
_xlpm.CSVVal,_xlfn.XLOOKUP($A1267,CSV!$A:$A,CSV!P:P,""),
_xlpm.MacVal,_xlfn.XLOOKUP($A1267,Output_Mac!$A:$A,Output_Mac!L:L,""),
_xlpm.MyAuditVal,_xlfn.XLOOKUP($A1267,My_Audit!$A:$A,My_Audit!K:K,""),
_xlfn.IFS(_xlpm.MyAuditVal&lt;&gt;"",UPPER(_xlpm.MyAuditVal),_xlpm.MacVal&lt;&gt;"",_xlpm.MacVal,_xlpm.CSVVal&lt;&gt;"",_xlpm.CSVVal
)),"")</f>
        <v/>
      </c>
      <c r="M1267" s="40" t="str" cm="1">
        <f t="array" ref="M1267">IFERROR(_xlfn.LET(
_xlpm.CSVVal,_xlfn.XLOOKUP($A1267,CSV!$A:$A,CSV!Q:Q,""),
_xlpm.MacVal,_xlfn.XLOOKUP($A1267,Output_Mac!$A:$A,Output_Mac!M:M,""),
_xlpm.MyAuditVal,_xlfn.XLOOKUP($A1267,My_Audit!$A:$A,My_Audit!L:L,""),
_xlfn.IFS(_xlpm.MyAuditVal&lt;&gt;"",UPPER(_xlpm.MyAuditVal),_xlpm.MacVal&lt;&gt;"",_xlpm.MacVal,_xlpm.CSVVal&lt;&gt;"",_xlpm.CSVVal
)),"")</f>
        <v/>
      </c>
      <c r="N1267" s="40"/>
      <c r="O1267" s="40" t="str">
        <f>_xlfn.LET(
    _xlpm.CSVVal, _xlfn.XLOOKUP($A1267, CSV!$A:$A, CSV!AA:AA, ""),
    _xlpm.MacVal, _xlfn.XLOOKUP($A1267, Output_Mac!$A:$A, Output_Mac!S:S, ""),
    _xlpm.MyAuditVal, _xlfn.XLOOKUP($A1267, My_Audit!$A:$A, My_Audit!P:P, ""),
    _xlfn.TEXTJOIN(", ", TRUE, _xlpm.MyAuditVal, _xlpm.MacVal, _xlpm.CSVVal)
)</f>
        <v/>
      </c>
      <c r="P1267" s="40" t="str" cm="1">
        <f t="array" ref="P1267">IFERROR(_xlfn.LET(
_xlpm.CSVVal,_xlfn.XLOOKUP($A1267,CSV!$A:$A,CSV!AB:AB,""),
_xlpm.MacVal,_xlfn.XLOOKUP($A1267,Output_Mac!$A:$A,Output_Mac!T:T,""),
_xlpm.MyAuditVal,_xlfn.XLOOKUP($A1267,My_Audit!$A:$A,My_Audit!Q:Q,""),
_xlfn.IFS(_xlpm.MyAuditVal&lt;&gt;"",UPPER(_xlpm.MyAuditVal),_xlpm.MacVal&lt;&gt;"",_xlpm.MacVal,_xlpm.CSVVal&lt;&gt;"",_xlpm.CSVVal
)),"No")</f>
        <v>No</v>
      </c>
      <c r="Q1267" s="40" t="str" cm="1">
        <f t="array" ref="Q1267">IFERROR(_xlfn.LET(
_xlpm.CSVVal,_xlfn.XLOOKUP($A1267,CSV!$A:$A,CSV!AC:AC,""),
_xlpm.MacVal,_xlfn.XLOOKUP($A1267,Output_Mac!$A:$A,Output_Mac!U:U,""),
_xlpm.MyAuditVal,_xlfn.XLOOKUP($A1267,My_Audit!$A:$A,My_Audit!R:R,""),
_xlfn.IFS(_xlpm.MyAuditVal&lt;&gt;"",UPPER(_xlpm.MyAuditVal),_xlpm.MacVal&lt;&gt;"",_xlpm.MacVal,_xlpm.CSVVal&lt;&gt;"",_xlpm.CSVVal
)),"")</f>
        <v/>
      </c>
      <c r="R1267" s="40"/>
      <c r="S1267" s="40"/>
      <c r="T1267" s="40"/>
      <c r="U1267" s="40"/>
      <c r="V1267" s="40"/>
      <c r="W1267" s="40"/>
      <c r="X1267" s="41" t="str">
        <f>_xlfn.LET(
    _xlpm.MacVal, _xlfn.XLOOKUP($A1267, Output_Mac!$A:$A, Output_Mac!AB:AB, ""),
    _xlpm.MyAuditVal, _xlfn.XLOOKUP($A1267, My_Audit!$A:$A, My_Audit!N:N, ""),
    _xlfn.TEXTJOIN(", ", TRUE, _xlpm.MyAuditVal, _xlpm.MacVal)
)</f>
        <v/>
      </c>
    </row>
    <row r="1268" spans="1:24">
      <c r="A1268" s="40" t="str">
        <f>_xlfn.TEXTJOIN("",TRUE,Input!$B$2,ROW(My_Audit!A1267))</f>
        <v>X1267</v>
      </c>
      <c r="B1268" s="40" t="str">
        <f>_xlfn.TEXTJOIN("-",TRUE,"ITD",Input!$A$2,A1268)</f>
        <v>ITD-X1267</v>
      </c>
      <c r="C1268" s="40" t="str" cm="1">
        <f t="array" ref="C1268">IFERROR(_xlfn.LET(
_xlpm.CSVVal,_xlfn.XLOOKUP($A1268,CSV!$A:$A,CSV!B:B,""),
_xlpm.MacVal,_xlfn.XLOOKUP($A1268,Output_Mac!$A:$A,Output_Mac!B:B,""),
_xlpm.MyAuditVal,_xlfn.XLOOKUP($A1268,My_Audit!$A:$A,My_Audit!B:B,""),
_xlfn.IFS(_xlpm.MyAuditVal&lt;&gt;"",UPPER(_xlpm.MyAuditVal),_xlpm.MacVal&lt;&gt;"",_xlpm.MacVal,_xlpm.CSVVal&lt;&gt;"",_xlpm.CSVVal
)),"")</f>
        <v/>
      </c>
      <c r="D1268" s="40" t="str" cm="1">
        <f t="array" ref="D1268">IFERROR(_xlfn.LET(
_xlpm.CSVVal,_xlfn.XLOOKUP($A1268,CSV!$A:$A,CSV!D:D,""),
_xlpm.MacVal,_xlfn.XLOOKUP($A1268,Output_Mac!$A:$A,Output_Mac!C:C,""),
_xlpm.MyAuditVal,_xlfn.XLOOKUP($A1268,My_Audit!$A:$A,My_Audit!C:C,""),
_xlfn.IFS(_xlpm.MyAuditVal&lt;&gt;"",_xlpm.MyAuditVal,_xlpm.MacVal&lt;&gt;"",_xlpm.MacVal,_xlpm.CSVVal&lt;&gt;"",_xlpm.CSVVal
)),"")</f>
        <v/>
      </c>
      <c r="E1268" s="40" t="str">
        <f>_xlfn.XLOOKUP(A1268,My_Audit!A:A,My_Audit!D:D,"")</f>
        <v/>
      </c>
      <c r="F1268" s="40" t="str" cm="1">
        <f t="array" ref="F1268">IFERROR(_xlfn.LET(
_xlpm.CSVVal,_xlfn.XLOOKUP($A1268,CSV!$A:$A,CSV!F:F,""),
_xlpm.MacVal,_xlfn.XLOOKUP($A1268,Output_Mac!$A:$A,Output_Mac!E:E,""),
_xlpm.MyAuditVal,_xlfn.XLOOKUP($A1268,My_Audit!$A:$A,My_Audit!E:E,""),
_xlfn.IFS(_xlpm.MyAuditVal&lt;&gt;"",_xlpm.MyAuditVal,_xlpm.MacVal&lt;&gt;"",_xlpm.MacVal,_xlpm.CSVVal&lt;&gt;"",_xlpm.CSVVal
)),"")</f>
        <v/>
      </c>
      <c r="G1268" s="40" t="str" cm="1">
        <f t="array" ref="G1268">IFERROR(_xlfn.LET(
_xlpm.CSVVal,_xlfn.XLOOKUP($A1268,CSV!$A:$A,CSV!G:G,""),
_xlpm.MacVal,_xlfn.XLOOKUP($A1268,Output_Mac!$A:$A,Output_Mac!F:F,""),
_xlpm.MyAuditVal,_xlfn.XLOOKUP($A1268,My_Audit!$A:$A,My_Audit!F:F,""),
_xlfn.IFS(_xlpm.MyAuditVal&lt;&gt;"",_xlpm.MyAuditVal,_xlpm.MacVal&lt;&gt;"",_xlpm.MacVal,_xlpm.CSVVal&lt;&gt;"",PROPER(_xlpm.CSVVal)
)),"")</f>
        <v/>
      </c>
      <c r="H1268" s="40" t="str" cm="1">
        <f t="array" ref="H1268">IFERROR(_xlfn.LET(
_xlpm.CSVVal,_xlfn.XLOOKUP($A1268,CSV!$A:$A,CSV!H:H,""),
_xlpm.MacVal,_xlfn.XLOOKUP($A1268,Output_Mac!$A:$A,Output_Mac!H:H,""),
_xlpm.MyAuditVal,_xlfn.XLOOKUP($A1268,My_Audit!$A:$A,My_Audit!G:G,""),
_xlfn.IFS(_xlpm.MyAuditVal&lt;&gt;"",_xlpm.MyAuditVal,_xlpm.MacVal&lt;&gt;"",_xlpm.MacVal,_xlpm.CSVVal&lt;&gt;"",_xlpm.CSVVal
)),"")</f>
        <v/>
      </c>
      <c r="I1268" s="40" t="str">
        <f>_xlfn.XLOOKUP(A1268,Output_Mac!A:A,Output_Mac!I:I,"")</f>
        <v/>
      </c>
      <c r="J1268" s="40" t="str" cm="1">
        <f t="array" ref="J1268">IFERROR(_xlfn.LET(
_xlpm.CSVVal,_xlfn.XLOOKUP($A1268,CSV!$A:$A,CSV!I:I,""),
_xlpm.MacVal,_xlfn.XLOOKUP($A1268,Output_Mac!$A:$A,Output_Mac!J:J,""),
_xlpm.MyAuditVal,_xlfn.XLOOKUP($A1268,My_Audit!$A:$A,My_Audit!I:I,""),
_xlfn.IFS(_xlpm.MyAuditVal&lt;&gt;"",UPPER(_xlpm.MyAuditVal),_xlpm.MacVal&lt;&gt;"",_xlpm.MacVal,_xlpm.CSVVal&lt;&gt;"",_xlpm.CSVVal
)),"")</f>
        <v/>
      </c>
      <c r="K1268" s="40" t="str" cm="1">
        <f t="array" ref="K1268">IFERROR(_xlfn.LET(
_xlpm.CSVVal,_xlfn.XLOOKUP($A1268,CSV!$A:$A,CSV!K:K,""),
_xlpm.MacVal,_xlfn.XLOOKUP($A1268,Output_Mac!$A:$A,Output_Mac!K:K,""),
_xlpm.MyAuditVal,_xlfn.XLOOKUP($A1268,My_Audit!$A:$A,My_Audit!J:J,""),
_xlfn.IFS(_xlpm.MyAuditVal&lt;&gt;"",UPPER(_xlpm.MyAuditVal),_xlpm.MacVal&lt;&gt;"",_xlpm.MacVal,_xlpm.CSVVal&lt;&gt;"",_xlpm.CSVVal
)),"")</f>
        <v/>
      </c>
      <c r="L1268" s="40" t="str" cm="1">
        <f t="array" ref="L1268">IFERROR(_xlfn.LET(
_xlpm.CSVVal,_xlfn.XLOOKUP($A1268,CSV!$A:$A,CSV!P:P,""),
_xlpm.MacVal,_xlfn.XLOOKUP($A1268,Output_Mac!$A:$A,Output_Mac!L:L,""),
_xlpm.MyAuditVal,_xlfn.XLOOKUP($A1268,My_Audit!$A:$A,My_Audit!K:K,""),
_xlfn.IFS(_xlpm.MyAuditVal&lt;&gt;"",UPPER(_xlpm.MyAuditVal),_xlpm.MacVal&lt;&gt;"",_xlpm.MacVal,_xlpm.CSVVal&lt;&gt;"",_xlpm.CSVVal
)),"")</f>
        <v/>
      </c>
      <c r="M1268" s="40" t="str" cm="1">
        <f t="array" ref="M1268">IFERROR(_xlfn.LET(
_xlpm.CSVVal,_xlfn.XLOOKUP($A1268,CSV!$A:$A,CSV!Q:Q,""),
_xlpm.MacVal,_xlfn.XLOOKUP($A1268,Output_Mac!$A:$A,Output_Mac!M:M,""),
_xlpm.MyAuditVal,_xlfn.XLOOKUP($A1268,My_Audit!$A:$A,My_Audit!L:L,""),
_xlfn.IFS(_xlpm.MyAuditVal&lt;&gt;"",UPPER(_xlpm.MyAuditVal),_xlpm.MacVal&lt;&gt;"",_xlpm.MacVal,_xlpm.CSVVal&lt;&gt;"",_xlpm.CSVVal
)),"")</f>
        <v/>
      </c>
      <c r="N1268" s="40"/>
      <c r="O1268" s="40" t="str">
        <f>_xlfn.LET(
    _xlpm.CSVVal, _xlfn.XLOOKUP($A1268, CSV!$A:$A, CSV!AA:AA, ""),
    _xlpm.MacVal, _xlfn.XLOOKUP($A1268, Output_Mac!$A:$A, Output_Mac!S:S, ""),
    _xlpm.MyAuditVal, _xlfn.XLOOKUP($A1268, My_Audit!$A:$A, My_Audit!P:P, ""),
    _xlfn.TEXTJOIN(", ", TRUE, _xlpm.MyAuditVal, _xlpm.MacVal, _xlpm.CSVVal)
)</f>
        <v/>
      </c>
      <c r="P1268" s="40" t="str" cm="1">
        <f t="array" ref="P1268">IFERROR(_xlfn.LET(
_xlpm.CSVVal,_xlfn.XLOOKUP($A1268,CSV!$A:$A,CSV!AB:AB,""),
_xlpm.MacVal,_xlfn.XLOOKUP($A1268,Output_Mac!$A:$A,Output_Mac!T:T,""),
_xlpm.MyAuditVal,_xlfn.XLOOKUP($A1268,My_Audit!$A:$A,My_Audit!Q:Q,""),
_xlfn.IFS(_xlpm.MyAuditVal&lt;&gt;"",UPPER(_xlpm.MyAuditVal),_xlpm.MacVal&lt;&gt;"",_xlpm.MacVal,_xlpm.CSVVal&lt;&gt;"",_xlpm.CSVVal
)),"No")</f>
        <v>No</v>
      </c>
      <c r="Q1268" s="40" t="str" cm="1">
        <f t="array" ref="Q1268">IFERROR(_xlfn.LET(
_xlpm.CSVVal,_xlfn.XLOOKUP($A1268,CSV!$A:$A,CSV!AC:AC,""),
_xlpm.MacVal,_xlfn.XLOOKUP($A1268,Output_Mac!$A:$A,Output_Mac!U:U,""),
_xlpm.MyAuditVal,_xlfn.XLOOKUP($A1268,My_Audit!$A:$A,My_Audit!R:R,""),
_xlfn.IFS(_xlpm.MyAuditVal&lt;&gt;"",UPPER(_xlpm.MyAuditVal),_xlpm.MacVal&lt;&gt;"",_xlpm.MacVal,_xlpm.CSVVal&lt;&gt;"",_xlpm.CSVVal
)),"")</f>
        <v/>
      </c>
      <c r="R1268" s="40"/>
      <c r="S1268" s="40"/>
      <c r="T1268" s="40"/>
      <c r="U1268" s="40"/>
      <c r="V1268" s="40"/>
      <c r="W1268" s="40"/>
      <c r="X1268" s="41" t="str">
        <f>_xlfn.LET(
    _xlpm.MacVal, _xlfn.XLOOKUP($A1268, Output_Mac!$A:$A, Output_Mac!AB:AB, ""),
    _xlpm.MyAuditVal, _xlfn.XLOOKUP($A1268, My_Audit!$A:$A, My_Audit!N:N, ""),
    _xlfn.TEXTJOIN(", ", TRUE, _xlpm.MyAuditVal, _xlpm.MacVal)
)</f>
        <v/>
      </c>
    </row>
    <row r="1269" spans="1:24">
      <c r="A1269" s="40" t="str">
        <f>_xlfn.TEXTJOIN("",TRUE,Input!$B$2,ROW(My_Audit!A1268))</f>
        <v>X1268</v>
      </c>
      <c r="B1269" s="40" t="str">
        <f>_xlfn.TEXTJOIN("-",TRUE,"ITD",Input!$A$2,A1269)</f>
        <v>ITD-X1268</v>
      </c>
      <c r="C1269" s="40" t="str" cm="1">
        <f t="array" ref="C1269">IFERROR(_xlfn.LET(
_xlpm.CSVVal,_xlfn.XLOOKUP($A1269,CSV!$A:$A,CSV!B:B,""),
_xlpm.MacVal,_xlfn.XLOOKUP($A1269,Output_Mac!$A:$A,Output_Mac!B:B,""),
_xlpm.MyAuditVal,_xlfn.XLOOKUP($A1269,My_Audit!$A:$A,My_Audit!B:B,""),
_xlfn.IFS(_xlpm.MyAuditVal&lt;&gt;"",UPPER(_xlpm.MyAuditVal),_xlpm.MacVal&lt;&gt;"",_xlpm.MacVal,_xlpm.CSVVal&lt;&gt;"",_xlpm.CSVVal
)),"")</f>
        <v/>
      </c>
      <c r="D1269" s="40" t="str" cm="1">
        <f t="array" ref="D1269">IFERROR(_xlfn.LET(
_xlpm.CSVVal,_xlfn.XLOOKUP($A1269,CSV!$A:$A,CSV!D:D,""),
_xlpm.MacVal,_xlfn.XLOOKUP($A1269,Output_Mac!$A:$A,Output_Mac!C:C,""),
_xlpm.MyAuditVal,_xlfn.XLOOKUP($A1269,My_Audit!$A:$A,My_Audit!C:C,""),
_xlfn.IFS(_xlpm.MyAuditVal&lt;&gt;"",_xlpm.MyAuditVal,_xlpm.MacVal&lt;&gt;"",_xlpm.MacVal,_xlpm.CSVVal&lt;&gt;"",_xlpm.CSVVal
)),"")</f>
        <v/>
      </c>
      <c r="E1269" s="40" t="str">
        <f>_xlfn.XLOOKUP(A1269,My_Audit!A:A,My_Audit!D:D,"")</f>
        <v/>
      </c>
      <c r="F1269" s="40" t="str" cm="1">
        <f t="array" ref="F1269">IFERROR(_xlfn.LET(
_xlpm.CSVVal,_xlfn.XLOOKUP($A1269,CSV!$A:$A,CSV!F:F,""),
_xlpm.MacVal,_xlfn.XLOOKUP($A1269,Output_Mac!$A:$A,Output_Mac!E:E,""),
_xlpm.MyAuditVal,_xlfn.XLOOKUP($A1269,My_Audit!$A:$A,My_Audit!E:E,""),
_xlfn.IFS(_xlpm.MyAuditVal&lt;&gt;"",_xlpm.MyAuditVal,_xlpm.MacVal&lt;&gt;"",_xlpm.MacVal,_xlpm.CSVVal&lt;&gt;"",_xlpm.CSVVal
)),"")</f>
        <v/>
      </c>
      <c r="G1269" s="40" t="str" cm="1">
        <f t="array" ref="G1269">IFERROR(_xlfn.LET(
_xlpm.CSVVal,_xlfn.XLOOKUP($A1269,CSV!$A:$A,CSV!G:G,""),
_xlpm.MacVal,_xlfn.XLOOKUP($A1269,Output_Mac!$A:$A,Output_Mac!F:F,""),
_xlpm.MyAuditVal,_xlfn.XLOOKUP($A1269,My_Audit!$A:$A,My_Audit!F:F,""),
_xlfn.IFS(_xlpm.MyAuditVal&lt;&gt;"",_xlpm.MyAuditVal,_xlpm.MacVal&lt;&gt;"",_xlpm.MacVal,_xlpm.CSVVal&lt;&gt;"",PROPER(_xlpm.CSVVal)
)),"")</f>
        <v/>
      </c>
      <c r="H1269" s="40" t="str" cm="1">
        <f t="array" ref="H1269">IFERROR(_xlfn.LET(
_xlpm.CSVVal,_xlfn.XLOOKUP($A1269,CSV!$A:$A,CSV!H:H,""),
_xlpm.MacVal,_xlfn.XLOOKUP($A1269,Output_Mac!$A:$A,Output_Mac!H:H,""),
_xlpm.MyAuditVal,_xlfn.XLOOKUP($A1269,My_Audit!$A:$A,My_Audit!G:G,""),
_xlfn.IFS(_xlpm.MyAuditVal&lt;&gt;"",_xlpm.MyAuditVal,_xlpm.MacVal&lt;&gt;"",_xlpm.MacVal,_xlpm.CSVVal&lt;&gt;"",_xlpm.CSVVal
)),"")</f>
        <v/>
      </c>
      <c r="I1269" s="40" t="str">
        <f>_xlfn.XLOOKUP(A1269,Output_Mac!A:A,Output_Mac!I:I,"")</f>
        <v/>
      </c>
      <c r="J1269" s="40" t="str" cm="1">
        <f t="array" ref="J1269">IFERROR(_xlfn.LET(
_xlpm.CSVVal,_xlfn.XLOOKUP($A1269,CSV!$A:$A,CSV!I:I,""),
_xlpm.MacVal,_xlfn.XLOOKUP($A1269,Output_Mac!$A:$A,Output_Mac!J:J,""),
_xlpm.MyAuditVal,_xlfn.XLOOKUP($A1269,My_Audit!$A:$A,My_Audit!I:I,""),
_xlfn.IFS(_xlpm.MyAuditVal&lt;&gt;"",UPPER(_xlpm.MyAuditVal),_xlpm.MacVal&lt;&gt;"",_xlpm.MacVal,_xlpm.CSVVal&lt;&gt;"",_xlpm.CSVVal
)),"")</f>
        <v/>
      </c>
      <c r="K1269" s="40" t="str" cm="1">
        <f t="array" ref="K1269">IFERROR(_xlfn.LET(
_xlpm.CSVVal,_xlfn.XLOOKUP($A1269,CSV!$A:$A,CSV!K:K,""),
_xlpm.MacVal,_xlfn.XLOOKUP($A1269,Output_Mac!$A:$A,Output_Mac!K:K,""),
_xlpm.MyAuditVal,_xlfn.XLOOKUP($A1269,My_Audit!$A:$A,My_Audit!J:J,""),
_xlfn.IFS(_xlpm.MyAuditVal&lt;&gt;"",UPPER(_xlpm.MyAuditVal),_xlpm.MacVal&lt;&gt;"",_xlpm.MacVal,_xlpm.CSVVal&lt;&gt;"",_xlpm.CSVVal
)),"")</f>
        <v/>
      </c>
      <c r="L1269" s="40" t="str" cm="1">
        <f t="array" ref="L1269">IFERROR(_xlfn.LET(
_xlpm.CSVVal,_xlfn.XLOOKUP($A1269,CSV!$A:$A,CSV!P:P,""),
_xlpm.MacVal,_xlfn.XLOOKUP($A1269,Output_Mac!$A:$A,Output_Mac!L:L,""),
_xlpm.MyAuditVal,_xlfn.XLOOKUP($A1269,My_Audit!$A:$A,My_Audit!K:K,""),
_xlfn.IFS(_xlpm.MyAuditVal&lt;&gt;"",UPPER(_xlpm.MyAuditVal),_xlpm.MacVal&lt;&gt;"",_xlpm.MacVal,_xlpm.CSVVal&lt;&gt;"",_xlpm.CSVVal
)),"")</f>
        <v/>
      </c>
      <c r="M1269" s="40" t="str" cm="1">
        <f t="array" ref="M1269">IFERROR(_xlfn.LET(
_xlpm.CSVVal,_xlfn.XLOOKUP($A1269,CSV!$A:$A,CSV!Q:Q,""),
_xlpm.MacVal,_xlfn.XLOOKUP($A1269,Output_Mac!$A:$A,Output_Mac!M:M,""),
_xlpm.MyAuditVal,_xlfn.XLOOKUP($A1269,My_Audit!$A:$A,My_Audit!L:L,""),
_xlfn.IFS(_xlpm.MyAuditVal&lt;&gt;"",UPPER(_xlpm.MyAuditVal),_xlpm.MacVal&lt;&gt;"",_xlpm.MacVal,_xlpm.CSVVal&lt;&gt;"",_xlpm.CSVVal
)),"")</f>
        <v/>
      </c>
      <c r="N1269" s="40"/>
      <c r="O1269" s="40" t="str">
        <f>_xlfn.LET(
    _xlpm.CSVVal, _xlfn.XLOOKUP($A1269, CSV!$A:$A, CSV!AA:AA, ""),
    _xlpm.MacVal, _xlfn.XLOOKUP($A1269, Output_Mac!$A:$A, Output_Mac!S:S, ""),
    _xlpm.MyAuditVal, _xlfn.XLOOKUP($A1269, My_Audit!$A:$A, My_Audit!P:P, ""),
    _xlfn.TEXTJOIN(", ", TRUE, _xlpm.MyAuditVal, _xlpm.MacVal, _xlpm.CSVVal)
)</f>
        <v/>
      </c>
      <c r="P1269" s="40" t="str" cm="1">
        <f t="array" ref="P1269">IFERROR(_xlfn.LET(
_xlpm.CSVVal,_xlfn.XLOOKUP($A1269,CSV!$A:$A,CSV!AB:AB,""),
_xlpm.MacVal,_xlfn.XLOOKUP($A1269,Output_Mac!$A:$A,Output_Mac!T:T,""),
_xlpm.MyAuditVal,_xlfn.XLOOKUP($A1269,My_Audit!$A:$A,My_Audit!Q:Q,""),
_xlfn.IFS(_xlpm.MyAuditVal&lt;&gt;"",UPPER(_xlpm.MyAuditVal),_xlpm.MacVal&lt;&gt;"",_xlpm.MacVal,_xlpm.CSVVal&lt;&gt;"",_xlpm.CSVVal
)),"No")</f>
        <v>No</v>
      </c>
      <c r="Q1269" s="40" t="str" cm="1">
        <f t="array" ref="Q1269">IFERROR(_xlfn.LET(
_xlpm.CSVVal,_xlfn.XLOOKUP($A1269,CSV!$A:$A,CSV!AC:AC,""),
_xlpm.MacVal,_xlfn.XLOOKUP($A1269,Output_Mac!$A:$A,Output_Mac!U:U,""),
_xlpm.MyAuditVal,_xlfn.XLOOKUP($A1269,My_Audit!$A:$A,My_Audit!R:R,""),
_xlfn.IFS(_xlpm.MyAuditVal&lt;&gt;"",UPPER(_xlpm.MyAuditVal),_xlpm.MacVal&lt;&gt;"",_xlpm.MacVal,_xlpm.CSVVal&lt;&gt;"",_xlpm.CSVVal
)),"")</f>
        <v/>
      </c>
      <c r="R1269" s="40"/>
      <c r="S1269" s="40"/>
      <c r="T1269" s="40"/>
      <c r="U1269" s="40"/>
      <c r="V1269" s="40"/>
      <c r="W1269" s="40"/>
      <c r="X1269" s="41" t="str">
        <f>_xlfn.LET(
    _xlpm.MacVal, _xlfn.XLOOKUP($A1269, Output_Mac!$A:$A, Output_Mac!AB:AB, ""),
    _xlpm.MyAuditVal, _xlfn.XLOOKUP($A1269, My_Audit!$A:$A, My_Audit!N:N, ""),
    _xlfn.TEXTJOIN(", ", TRUE, _xlpm.MyAuditVal, _xlpm.MacVal)
)</f>
        <v/>
      </c>
    </row>
    <row r="1270" spans="1:24">
      <c r="A1270" s="40" t="str">
        <f>_xlfn.TEXTJOIN("",TRUE,Input!$B$2,ROW(My_Audit!A1269))</f>
        <v>X1269</v>
      </c>
      <c r="B1270" s="40" t="str">
        <f>_xlfn.TEXTJOIN("-",TRUE,"ITD",Input!$A$2,A1270)</f>
        <v>ITD-X1269</v>
      </c>
      <c r="C1270" s="40" t="str" cm="1">
        <f t="array" ref="C1270">IFERROR(_xlfn.LET(
_xlpm.CSVVal,_xlfn.XLOOKUP($A1270,CSV!$A:$A,CSV!B:B,""),
_xlpm.MacVal,_xlfn.XLOOKUP($A1270,Output_Mac!$A:$A,Output_Mac!B:B,""),
_xlpm.MyAuditVal,_xlfn.XLOOKUP($A1270,My_Audit!$A:$A,My_Audit!B:B,""),
_xlfn.IFS(_xlpm.MyAuditVal&lt;&gt;"",UPPER(_xlpm.MyAuditVal),_xlpm.MacVal&lt;&gt;"",_xlpm.MacVal,_xlpm.CSVVal&lt;&gt;"",_xlpm.CSVVal
)),"")</f>
        <v/>
      </c>
      <c r="D1270" s="40" t="str" cm="1">
        <f t="array" ref="D1270">IFERROR(_xlfn.LET(
_xlpm.CSVVal,_xlfn.XLOOKUP($A1270,CSV!$A:$A,CSV!D:D,""),
_xlpm.MacVal,_xlfn.XLOOKUP($A1270,Output_Mac!$A:$A,Output_Mac!C:C,""),
_xlpm.MyAuditVal,_xlfn.XLOOKUP($A1270,My_Audit!$A:$A,My_Audit!C:C,""),
_xlfn.IFS(_xlpm.MyAuditVal&lt;&gt;"",_xlpm.MyAuditVal,_xlpm.MacVal&lt;&gt;"",_xlpm.MacVal,_xlpm.CSVVal&lt;&gt;"",_xlpm.CSVVal
)),"")</f>
        <v/>
      </c>
      <c r="E1270" s="40" t="str">
        <f>_xlfn.XLOOKUP(A1270,My_Audit!A:A,My_Audit!D:D,"")</f>
        <v/>
      </c>
      <c r="F1270" s="40" t="str" cm="1">
        <f t="array" ref="F1270">IFERROR(_xlfn.LET(
_xlpm.CSVVal,_xlfn.XLOOKUP($A1270,CSV!$A:$A,CSV!F:F,""),
_xlpm.MacVal,_xlfn.XLOOKUP($A1270,Output_Mac!$A:$A,Output_Mac!E:E,""),
_xlpm.MyAuditVal,_xlfn.XLOOKUP($A1270,My_Audit!$A:$A,My_Audit!E:E,""),
_xlfn.IFS(_xlpm.MyAuditVal&lt;&gt;"",_xlpm.MyAuditVal,_xlpm.MacVal&lt;&gt;"",_xlpm.MacVal,_xlpm.CSVVal&lt;&gt;"",_xlpm.CSVVal
)),"")</f>
        <v/>
      </c>
      <c r="G1270" s="40" t="str" cm="1">
        <f t="array" ref="G1270">IFERROR(_xlfn.LET(
_xlpm.CSVVal,_xlfn.XLOOKUP($A1270,CSV!$A:$A,CSV!G:G,""),
_xlpm.MacVal,_xlfn.XLOOKUP($A1270,Output_Mac!$A:$A,Output_Mac!F:F,""),
_xlpm.MyAuditVal,_xlfn.XLOOKUP($A1270,My_Audit!$A:$A,My_Audit!F:F,""),
_xlfn.IFS(_xlpm.MyAuditVal&lt;&gt;"",_xlpm.MyAuditVal,_xlpm.MacVal&lt;&gt;"",_xlpm.MacVal,_xlpm.CSVVal&lt;&gt;"",PROPER(_xlpm.CSVVal)
)),"")</f>
        <v/>
      </c>
      <c r="H1270" s="40" t="str" cm="1">
        <f t="array" ref="H1270">IFERROR(_xlfn.LET(
_xlpm.CSVVal,_xlfn.XLOOKUP($A1270,CSV!$A:$A,CSV!H:H,""),
_xlpm.MacVal,_xlfn.XLOOKUP($A1270,Output_Mac!$A:$A,Output_Mac!H:H,""),
_xlpm.MyAuditVal,_xlfn.XLOOKUP($A1270,My_Audit!$A:$A,My_Audit!G:G,""),
_xlfn.IFS(_xlpm.MyAuditVal&lt;&gt;"",_xlpm.MyAuditVal,_xlpm.MacVal&lt;&gt;"",_xlpm.MacVal,_xlpm.CSVVal&lt;&gt;"",_xlpm.CSVVal
)),"")</f>
        <v/>
      </c>
      <c r="I1270" s="40" t="str">
        <f>_xlfn.XLOOKUP(A1270,Output_Mac!A:A,Output_Mac!I:I,"")</f>
        <v/>
      </c>
      <c r="J1270" s="40" t="str" cm="1">
        <f t="array" ref="J1270">IFERROR(_xlfn.LET(
_xlpm.CSVVal,_xlfn.XLOOKUP($A1270,CSV!$A:$A,CSV!I:I,""),
_xlpm.MacVal,_xlfn.XLOOKUP($A1270,Output_Mac!$A:$A,Output_Mac!J:J,""),
_xlpm.MyAuditVal,_xlfn.XLOOKUP($A1270,My_Audit!$A:$A,My_Audit!I:I,""),
_xlfn.IFS(_xlpm.MyAuditVal&lt;&gt;"",UPPER(_xlpm.MyAuditVal),_xlpm.MacVal&lt;&gt;"",_xlpm.MacVal,_xlpm.CSVVal&lt;&gt;"",_xlpm.CSVVal
)),"")</f>
        <v/>
      </c>
      <c r="K1270" s="40" t="str" cm="1">
        <f t="array" ref="K1270">IFERROR(_xlfn.LET(
_xlpm.CSVVal,_xlfn.XLOOKUP($A1270,CSV!$A:$A,CSV!K:K,""),
_xlpm.MacVal,_xlfn.XLOOKUP($A1270,Output_Mac!$A:$A,Output_Mac!K:K,""),
_xlpm.MyAuditVal,_xlfn.XLOOKUP($A1270,My_Audit!$A:$A,My_Audit!J:J,""),
_xlfn.IFS(_xlpm.MyAuditVal&lt;&gt;"",UPPER(_xlpm.MyAuditVal),_xlpm.MacVal&lt;&gt;"",_xlpm.MacVal,_xlpm.CSVVal&lt;&gt;"",_xlpm.CSVVal
)),"")</f>
        <v/>
      </c>
      <c r="L1270" s="40" t="str" cm="1">
        <f t="array" ref="L1270">IFERROR(_xlfn.LET(
_xlpm.CSVVal,_xlfn.XLOOKUP($A1270,CSV!$A:$A,CSV!P:P,""),
_xlpm.MacVal,_xlfn.XLOOKUP($A1270,Output_Mac!$A:$A,Output_Mac!L:L,""),
_xlpm.MyAuditVal,_xlfn.XLOOKUP($A1270,My_Audit!$A:$A,My_Audit!K:K,""),
_xlfn.IFS(_xlpm.MyAuditVal&lt;&gt;"",UPPER(_xlpm.MyAuditVal),_xlpm.MacVal&lt;&gt;"",_xlpm.MacVal,_xlpm.CSVVal&lt;&gt;"",_xlpm.CSVVal
)),"")</f>
        <v/>
      </c>
      <c r="M1270" s="40" t="str" cm="1">
        <f t="array" ref="M1270">IFERROR(_xlfn.LET(
_xlpm.CSVVal,_xlfn.XLOOKUP($A1270,CSV!$A:$A,CSV!Q:Q,""),
_xlpm.MacVal,_xlfn.XLOOKUP($A1270,Output_Mac!$A:$A,Output_Mac!M:M,""),
_xlpm.MyAuditVal,_xlfn.XLOOKUP($A1270,My_Audit!$A:$A,My_Audit!L:L,""),
_xlfn.IFS(_xlpm.MyAuditVal&lt;&gt;"",UPPER(_xlpm.MyAuditVal),_xlpm.MacVal&lt;&gt;"",_xlpm.MacVal,_xlpm.CSVVal&lt;&gt;"",_xlpm.CSVVal
)),"")</f>
        <v/>
      </c>
      <c r="N1270" s="40"/>
      <c r="O1270" s="40" t="str">
        <f>_xlfn.LET(
    _xlpm.CSVVal, _xlfn.XLOOKUP($A1270, CSV!$A:$A, CSV!AA:AA, ""),
    _xlpm.MacVal, _xlfn.XLOOKUP($A1270, Output_Mac!$A:$A, Output_Mac!S:S, ""),
    _xlpm.MyAuditVal, _xlfn.XLOOKUP($A1270, My_Audit!$A:$A, My_Audit!P:P, ""),
    _xlfn.TEXTJOIN(", ", TRUE, _xlpm.MyAuditVal, _xlpm.MacVal, _xlpm.CSVVal)
)</f>
        <v/>
      </c>
      <c r="P1270" s="40" t="str" cm="1">
        <f t="array" ref="P1270">IFERROR(_xlfn.LET(
_xlpm.CSVVal,_xlfn.XLOOKUP($A1270,CSV!$A:$A,CSV!AB:AB,""),
_xlpm.MacVal,_xlfn.XLOOKUP($A1270,Output_Mac!$A:$A,Output_Mac!T:T,""),
_xlpm.MyAuditVal,_xlfn.XLOOKUP($A1270,My_Audit!$A:$A,My_Audit!Q:Q,""),
_xlfn.IFS(_xlpm.MyAuditVal&lt;&gt;"",UPPER(_xlpm.MyAuditVal),_xlpm.MacVal&lt;&gt;"",_xlpm.MacVal,_xlpm.CSVVal&lt;&gt;"",_xlpm.CSVVal
)),"No")</f>
        <v>No</v>
      </c>
      <c r="Q1270" s="40" t="str" cm="1">
        <f t="array" ref="Q1270">IFERROR(_xlfn.LET(
_xlpm.CSVVal,_xlfn.XLOOKUP($A1270,CSV!$A:$A,CSV!AC:AC,""),
_xlpm.MacVal,_xlfn.XLOOKUP($A1270,Output_Mac!$A:$A,Output_Mac!U:U,""),
_xlpm.MyAuditVal,_xlfn.XLOOKUP($A1270,My_Audit!$A:$A,My_Audit!R:R,""),
_xlfn.IFS(_xlpm.MyAuditVal&lt;&gt;"",UPPER(_xlpm.MyAuditVal),_xlpm.MacVal&lt;&gt;"",_xlpm.MacVal,_xlpm.CSVVal&lt;&gt;"",_xlpm.CSVVal
)),"")</f>
        <v/>
      </c>
      <c r="R1270" s="40"/>
      <c r="S1270" s="40"/>
      <c r="T1270" s="40"/>
      <c r="U1270" s="40"/>
      <c r="V1270" s="40"/>
      <c r="W1270" s="40"/>
      <c r="X1270" s="41" t="str">
        <f>_xlfn.LET(
    _xlpm.MacVal, _xlfn.XLOOKUP($A1270, Output_Mac!$A:$A, Output_Mac!AB:AB, ""),
    _xlpm.MyAuditVal, _xlfn.XLOOKUP($A1270, My_Audit!$A:$A, My_Audit!N:N, ""),
    _xlfn.TEXTJOIN(", ", TRUE, _xlpm.MyAuditVal, _xlpm.MacVal)
)</f>
        <v/>
      </c>
    </row>
    <row r="1271" spans="1:24">
      <c r="A1271" s="40" t="str">
        <f>_xlfn.TEXTJOIN("",TRUE,Input!$B$2,ROW(My_Audit!A1270))</f>
        <v>X1270</v>
      </c>
      <c r="B1271" s="40" t="str">
        <f>_xlfn.TEXTJOIN("-",TRUE,"ITD",Input!$A$2,A1271)</f>
        <v>ITD-X1270</v>
      </c>
      <c r="C1271" s="40" t="str" cm="1">
        <f t="array" ref="C1271">IFERROR(_xlfn.LET(
_xlpm.CSVVal,_xlfn.XLOOKUP($A1271,CSV!$A:$A,CSV!B:B,""),
_xlpm.MacVal,_xlfn.XLOOKUP($A1271,Output_Mac!$A:$A,Output_Mac!B:B,""),
_xlpm.MyAuditVal,_xlfn.XLOOKUP($A1271,My_Audit!$A:$A,My_Audit!B:B,""),
_xlfn.IFS(_xlpm.MyAuditVal&lt;&gt;"",UPPER(_xlpm.MyAuditVal),_xlpm.MacVal&lt;&gt;"",_xlpm.MacVal,_xlpm.CSVVal&lt;&gt;"",_xlpm.CSVVal
)),"")</f>
        <v/>
      </c>
      <c r="D1271" s="40" t="str" cm="1">
        <f t="array" ref="D1271">IFERROR(_xlfn.LET(
_xlpm.CSVVal,_xlfn.XLOOKUP($A1271,CSV!$A:$A,CSV!D:D,""),
_xlpm.MacVal,_xlfn.XLOOKUP($A1271,Output_Mac!$A:$A,Output_Mac!C:C,""),
_xlpm.MyAuditVal,_xlfn.XLOOKUP($A1271,My_Audit!$A:$A,My_Audit!C:C,""),
_xlfn.IFS(_xlpm.MyAuditVal&lt;&gt;"",_xlpm.MyAuditVal,_xlpm.MacVal&lt;&gt;"",_xlpm.MacVal,_xlpm.CSVVal&lt;&gt;"",_xlpm.CSVVal
)),"")</f>
        <v/>
      </c>
      <c r="E1271" s="40" t="str">
        <f>_xlfn.XLOOKUP(A1271,My_Audit!A:A,My_Audit!D:D,"")</f>
        <v/>
      </c>
      <c r="F1271" s="40" t="str" cm="1">
        <f t="array" ref="F1271">IFERROR(_xlfn.LET(
_xlpm.CSVVal,_xlfn.XLOOKUP($A1271,CSV!$A:$A,CSV!F:F,""),
_xlpm.MacVal,_xlfn.XLOOKUP($A1271,Output_Mac!$A:$A,Output_Mac!E:E,""),
_xlpm.MyAuditVal,_xlfn.XLOOKUP($A1271,My_Audit!$A:$A,My_Audit!E:E,""),
_xlfn.IFS(_xlpm.MyAuditVal&lt;&gt;"",_xlpm.MyAuditVal,_xlpm.MacVal&lt;&gt;"",_xlpm.MacVal,_xlpm.CSVVal&lt;&gt;"",_xlpm.CSVVal
)),"")</f>
        <v/>
      </c>
      <c r="G1271" s="40" t="str" cm="1">
        <f t="array" ref="G1271">IFERROR(_xlfn.LET(
_xlpm.CSVVal,_xlfn.XLOOKUP($A1271,CSV!$A:$A,CSV!G:G,""),
_xlpm.MacVal,_xlfn.XLOOKUP($A1271,Output_Mac!$A:$A,Output_Mac!F:F,""),
_xlpm.MyAuditVal,_xlfn.XLOOKUP($A1271,My_Audit!$A:$A,My_Audit!F:F,""),
_xlfn.IFS(_xlpm.MyAuditVal&lt;&gt;"",_xlpm.MyAuditVal,_xlpm.MacVal&lt;&gt;"",_xlpm.MacVal,_xlpm.CSVVal&lt;&gt;"",PROPER(_xlpm.CSVVal)
)),"")</f>
        <v/>
      </c>
      <c r="H1271" s="40" t="str" cm="1">
        <f t="array" ref="H1271">IFERROR(_xlfn.LET(
_xlpm.CSVVal,_xlfn.XLOOKUP($A1271,CSV!$A:$A,CSV!H:H,""),
_xlpm.MacVal,_xlfn.XLOOKUP($A1271,Output_Mac!$A:$A,Output_Mac!H:H,""),
_xlpm.MyAuditVal,_xlfn.XLOOKUP($A1271,My_Audit!$A:$A,My_Audit!G:G,""),
_xlfn.IFS(_xlpm.MyAuditVal&lt;&gt;"",_xlpm.MyAuditVal,_xlpm.MacVal&lt;&gt;"",_xlpm.MacVal,_xlpm.CSVVal&lt;&gt;"",_xlpm.CSVVal
)),"")</f>
        <v/>
      </c>
      <c r="I1271" s="40" t="str">
        <f>_xlfn.XLOOKUP(A1271,Output_Mac!A:A,Output_Mac!I:I,"")</f>
        <v/>
      </c>
      <c r="J1271" s="40" t="str" cm="1">
        <f t="array" ref="J1271">IFERROR(_xlfn.LET(
_xlpm.CSVVal,_xlfn.XLOOKUP($A1271,CSV!$A:$A,CSV!I:I,""),
_xlpm.MacVal,_xlfn.XLOOKUP($A1271,Output_Mac!$A:$A,Output_Mac!J:J,""),
_xlpm.MyAuditVal,_xlfn.XLOOKUP($A1271,My_Audit!$A:$A,My_Audit!I:I,""),
_xlfn.IFS(_xlpm.MyAuditVal&lt;&gt;"",UPPER(_xlpm.MyAuditVal),_xlpm.MacVal&lt;&gt;"",_xlpm.MacVal,_xlpm.CSVVal&lt;&gt;"",_xlpm.CSVVal
)),"")</f>
        <v/>
      </c>
      <c r="K1271" s="40" t="str" cm="1">
        <f t="array" ref="K1271">IFERROR(_xlfn.LET(
_xlpm.CSVVal,_xlfn.XLOOKUP($A1271,CSV!$A:$A,CSV!K:K,""),
_xlpm.MacVal,_xlfn.XLOOKUP($A1271,Output_Mac!$A:$A,Output_Mac!K:K,""),
_xlpm.MyAuditVal,_xlfn.XLOOKUP($A1271,My_Audit!$A:$A,My_Audit!J:J,""),
_xlfn.IFS(_xlpm.MyAuditVal&lt;&gt;"",UPPER(_xlpm.MyAuditVal),_xlpm.MacVal&lt;&gt;"",_xlpm.MacVal,_xlpm.CSVVal&lt;&gt;"",_xlpm.CSVVal
)),"")</f>
        <v/>
      </c>
      <c r="L1271" s="40" t="str" cm="1">
        <f t="array" ref="L1271">IFERROR(_xlfn.LET(
_xlpm.CSVVal,_xlfn.XLOOKUP($A1271,CSV!$A:$A,CSV!P:P,""),
_xlpm.MacVal,_xlfn.XLOOKUP($A1271,Output_Mac!$A:$A,Output_Mac!L:L,""),
_xlpm.MyAuditVal,_xlfn.XLOOKUP($A1271,My_Audit!$A:$A,My_Audit!K:K,""),
_xlfn.IFS(_xlpm.MyAuditVal&lt;&gt;"",UPPER(_xlpm.MyAuditVal),_xlpm.MacVal&lt;&gt;"",_xlpm.MacVal,_xlpm.CSVVal&lt;&gt;"",_xlpm.CSVVal
)),"")</f>
        <v/>
      </c>
      <c r="M1271" s="40" t="str" cm="1">
        <f t="array" ref="M1271">IFERROR(_xlfn.LET(
_xlpm.CSVVal,_xlfn.XLOOKUP($A1271,CSV!$A:$A,CSV!Q:Q,""),
_xlpm.MacVal,_xlfn.XLOOKUP($A1271,Output_Mac!$A:$A,Output_Mac!M:M,""),
_xlpm.MyAuditVal,_xlfn.XLOOKUP($A1271,My_Audit!$A:$A,My_Audit!L:L,""),
_xlfn.IFS(_xlpm.MyAuditVal&lt;&gt;"",UPPER(_xlpm.MyAuditVal),_xlpm.MacVal&lt;&gt;"",_xlpm.MacVal,_xlpm.CSVVal&lt;&gt;"",_xlpm.CSVVal
)),"")</f>
        <v/>
      </c>
      <c r="N1271" s="40"/>
      <c r="O1271" s="40" t="str">
        <f>_xlfn.LET(
    _xlpm.CSVVal, _xlfn.XLOOKUP($A1271, CSV!$A:$A, CSV!AA:AA, ""),
    _xlpm.MacVal, _xlfn.XLOOKUP($A1271, Output_Mac!$A:$A, Output_Mac!S:S, ""),
    _xlpm.MyAuditVal, _xlfn.XLOOKUP($A1271, My_Audit!$A:$A, My_Audit!P:P, ""),
    _xlfn.TEXTJOIN(", ", TRUE, _xlpm.MyAuditVal, _xlpm.MacVal, _xlpm.CSVVal)
)</f>
        <v/>
      </c>
      <c r="P1271" s="40" t="str" cm="1">
        <f t="array" ref="P1271">IFERROR(_xlfn.LET(
_xlpm.CSVVal,_xlfn.XLOOKUP($A1271,CSV!$A:$A,CSV!AB:AB,""),
_xlpm.MacVal,_xlfn.XLOOKUP($A1271,Output_Mac!$A:$A,Output_Mac!T:T,""),
_xlpm.MyAuditVal,_xlfn.XLOOKUP($A1271,My_Audit!$A:$A,My_Audit!Q:Q,""),
_xlfn.IFS(_xlpm.MyAuditVal&lt;&gt;"",UPPER(_xlpm.MyAuditVal),_xlpm.MacVal&lt;&gt;"",_xlpm.MacVal,_xlpm.CSVVal&lt;&gt;"",_xlpm.CSVVal
)),"No")</f>
        <v>No</v>
      </c>
      <c r="Q1271" s="40" t="str" cm="1">
        <f t="array" ref="Q1271">IFERROR(_xlfn.LET(
_xlpm.CSVVal,_xlfn.XLOOKUP($A1271,CSV!$A:$A,CSV!AC:AC,""),
_xlpm.MacVal,_xlfn.XLOOKUP($A1271,Output_Mac!$A:$A,Output_Mac!U:U,""),
_xlpm.MyAuditVal,_xlfn.XLOOKUP($A1271,My_Audit!$A:$A,My_Audit!R:R,""),
_xlfn.IFS(_xlpm.MyAuditVal&lt;&gt;"",UPPER(_xlpm.MyAuditVal),_xlpm.MacVal&lt;&gt;"",_xlpm.MacVal,_xlpm.CSVVal&lt;&gt;"",_xlpm.CSVVal
)),"")</f>
        <v/>
      </c>
      <c r="R1271" s="40"/>
      <c r="S1271" s="40"/>
      <c r="T1271" s="40"/>
      <c r="U1271" s="40"/>
      <c r="V1271" s="40"/>
      <c r="W1271" s="40"/>
      <c r="X1271" s="41" t="str">
        <f>_xlfn.LET(
    _xlpm.MacVal, _xlfn.XLOOKUP($A1271, Output_Mac!$A:$A, Output_Mac!AB:AB, ""),
    _xlpm.MyAuditVal, _xlfn.XLOOKUP($A1271, My_Audit!$A:$A, My_Audit!N:N, ""),
    _xlfn.TEXTJOIN(", ", TRUE, _xlpm.MyAuditVal, _xlpm.MacVal)
)</f>
        <v/>
      </c>
    </row>
    <row r="1272" spans="1:24">
      <c r="A1272" s="40" t="str">
        <f>_xlfn.TEXTJOIN("",TRUE,Input!$B$2,ROW(My_Audit!A1271))</f>
        <v>X1271</v>
      </c>
      <c r="B1272" s="40" t="str">
        <f>_xlfn.TEXTJOIN("-",TRUE,"ITD",Input!$A$2,A1272)</f>
        <v>ITD-X1271</v>
      </c>
      <c r="C1272" s="40" t="str" cm="1">
        <f t="array" ref="C1272">IFERROR(_xlfn.LET(
_xlpm.CSVVal,_xlfn.XLOOKUP($A1272,CSV!$A:$A,CSV!B:B,""),
_xlpm.MacVal,_xlfn.XLOOKUP($A1272,Output_Mac!$A:$A,Output_Mac!B:B,""),
_xlpm.MyAuditVal,_xlfn.XLOOKUP($A1272,My_Audit!$A:$A,My_Audit!B:B,""),
_xlfn.IFS(_xlpm.MyAuditVal&lt;&gt;"",UPPER(_xlpm.MyAuditVal),_xlpm.MacVal&lt;&gt;"",_xlpm.MacVal,_xlpm.CSVVal&lt;&gt;"",_xlpm.CSVVal
)),"")</f>
        <v/>
      </c>
      <c r="D1272" s="40" t="str" cm="1">
        <f t="array" ref="D1272">IFERROR(_xlfn.LET(
_xlpm.CSVVal,_xlfn.XLOOKUP($A1272,CSV!$A:$A,CSV!D:D,""),
_xlpm.MacVal,_xlfn.XLOOKUP($A1272,Output_Mac!$A:$A,Output_Mac!C:C,""),
_xlpm.MyAuditVal,_xlfn.XLOOKUP($A1272,My_Audit!$A:$A,My_Audit!C:C,""),
_xlfn.IFS(_xlpm.MyAuditVal&lt;&gt;"",_xlpm.MyAuditVal,_xlpm.MacVal&lt;&gt;"",_xlpm.MacVal,_xlpm.CSVVal&lt;&gt;"",_xlpm.CSVVal
)),"")</f>
        <v/>
      </c>
      <c r="E1272" s="40" t="str">
        <f>_xlfn.XLOOKUP(A1272,My_Audit!A:A,My_Audit!D:D,"")</f>
        <v/>
      </c>
      <c r="F1272" s="40" t="str" cm="1">
        <f t="array" ref="F1272">IFERROR(_xlfn.LET(
_xlpm.CSVVal,_xlfn.XLOOKUP($A1272,CSV!$A:$A,CSV!F:F,""),
_xlpm.MacVal,_xlfn.XLOOKUP($A1272,Output_Mac!$A:$A,Output_Mac!E:E,""),
_xlpm.MyAuditVal,_xlfn.XLOOKUP($A1272,My_Audit!$A:$A,My_Audit!E:E,""),
_xlfn.IFS(_xlpm.MyAuditVal&lt;&gt;"",_xlpm.MyAuditVal,_xlpm.MacVal&lt;&gt;"",_xlpm.MacVal,_xlpm.CSVVal&lt;&gt;"",_xlpm.CSVVal
)),"")</f>
        <v/>
      </c>
      <c r="G1272" s="40" t="str" cm="1">
        <f t="array" ref="G1272">IFERROR(_xlfn.LET(
_xlpm.CSVVal,_xlfn.XLOOKUP($A1272,CSV!$A:$A,CSV!G:G,""),
_xlpm.MacVal,_xlfn.XLOOKUP($A1272,Output_Mac!$A:$A,Output_Mac!F:F,""),
_xlpm.MyAuditVal,_xlfn.XLOOKUP($A1272,My_Audit!$A:$A,My_Audit!F:F,""),
_xlfn.IFS(_xlpm.MyAuditVal&lt;&gt;"",_xlpm.MyAuditVal,_xlpm.MacVal&lt;&gt;"",_xlpm.MacVal,_xlpm.CSVVal&lt;&gt;"",PROPER(_xlpm.CSVVal)
)),"")</f>
        <v/>
      </c>
      <c r="H1272" s="40" t="str" cm="1">
        <f t="array" ref="H1272">IFERROR(_xlfn.LET(
_xlpm.CSVVal,_xlfn.XLOOKUP($A1272,CSV!$A:$A,CSV!H:H,""),
_xlpm.MacVal,_xlfn.XLOOKUP($A1272,Output_Mac!$A:$A,Output_Mac!H:H,""),
_xlpm.MyAuditVal,_xlfn.XLOOKUP($A1272,My_Audit!$A:$A,My_Audit!G:G,""),
_xlfn.IFS(_xlpm.MyAuditVal&lt;&gt;"",_xlpm.MyAuditVal,_xlpm.MacVal&lt;&gt;"",_xlpm.MacVal,_xlpm.CSVVal&lt;&gt;"",_xlpm.CSVVal
)),"")</f>
        <v/>
      </c>
      <c r="I1272" s="40" t="str">
        <f>_xlfn.XLOOKUP(A1272,Output_Mac!A:A,Output_Mac!I:I,"")</f>
        <v/>
      </c>
      <c r="J1272" s="40" t="str" cm="1">
        <f t="array" ref="J1272">IFERROR(_xlfn.LET(
_xlpm.CSVVal,_xlfn.XLOOKUP($A1272,CSV!$A:$A,CSV!I:I,""),
_xlpm.MacVal,_xlfn.XLOOKUP($A1272,Output_Mac!$A:$A,Output_Mac!J:J,""),
_xlpm.MyAuditVal,_xlfn.XLOOKUP($A1272,My_Audit!$A:$A,My_Audit!I:I,""),
_xlfn.IFS(_xlpm.MyAuditVal&lt;&gt;"",UPPER(_xlpm.MyAuditVal),_xlpm.MacVal&lt;&gt;"",_xlpm.MacVal,_xlpm.CSVVal&lt;&gt;"",_xlpm.CSVVal
)),"")</f>
        <v/>
      </c>
      <c r="K1272" s="40" t="str" cm="1">
        <f t="array" ref="K1272">IFERROR(_xlfn.LET(
_xlpm.CSVVal,_xlfn.XLOOKUP($A1272,CSV!$A:$A,CSV!K:K,""),
_xlpm.MacVal,_xlfn.XLOOKUP($A1272,Output_Mac!$A:$A,Output_Mac!K:K,""),
_xlpm.MyAuditVal,_xlfn.XLOOKUP($A1272,My_Audit!$A:$A,My_Audit!J:J,""),
_xlfn.IFS(_xlpm.MyAuditVal&lt;&gt;"",UPPER(_xlpm.MyAuditVal),_xlpm.MacVal&lt;&gt;"",_xlpm.MacVal,_xlpm.CSVVal&lt;&gt;"",_xlpm.CSVVal
)),"")</f>
        <v/>
      </c>
      <c r="L1272" s="40" t="str" cm="1">
        <f t="array" ref="L1272">IFERROR(_xlfn.LET(
_xlpm.CSVVal,_xlfn.XLOOKUP($A1272,CSV!$A:$A,CSV!P:P,""),
_xlpm.MacVal,_xlfn.XLOOKUP($A1272,Output_Mac!$A:$A,Output_Mac!L:L,""),
_xlpm.MyAuditVal,_xlfn.XLOOKUP($A1272,My_Audit!$A:$A,My_Audit!K:K,""),
_xlfn.IFS(_xlpm.MyAuditVal&lt;&gt;"",UPPER(_xlpm.MyAuditVal),_xlpm.MacVal&lt;&gt;"",_xlpm.MacVal,_xlpm.CSVVal&lt;&gt;"",_xlpm.CSVVal
)),"")</f>
        <v/>
      </c>
      <c r="M1272" s="40" t="str" cm="1">
        <f t="array" ref="M1272">IFERROR(_xlfn.LET(
_xlpm.CSVVal,_xlfn.XLOOKUP($A1272,CSV!$A:$A,CSV!Q:Q,""),
_xlpm.MacVal,_xlfn.XLOOKUP($A1272,Output_Mac!$A:$A,Output_Mac!M:M,""),
_xlpm.MyAuditVal,_xlfn.XLOOKUP($A1272,My_Audit!$A:$A,My_Audit!L:L,""),
_xlfn.IFS(_xlpm.MyAuditVal&lt;&gt;"",UPPER(_xlpm.MyAuditVal),_xlpm.MacVal&lt;&gt;"",_xlpm.MacVal,_xlpm.CSVVal&lt;&gt;"",_xlpm.CSVVal
)),"")</f>
        <v/>
      </c>
      <c r="N1272" s="40"/>
      <c r="O1272" s="40" t="str">
        <f>_xlfn.LET(
    _xlpm.CSVVal, _xlfn.XLOOKUP($A1272, CSV!$A:$A, CSV!AA:AA, ""),
    _xlpm.MacVal, _xlfn.XLOOKUP($A1272, Output_Mac!$A:$A, Output_Mac!S:S, ""),
    _xlpm.MyAuditVal, _xlfn.XLOOKUP($A1272, My_Audit!$A:$A, My_Audit!P:P, ""),
    _xlfn.TEXTJOIN(", ", TRUE, _xlpm.MyAuditVal, _xlpm.MacVal, _xlpm.CSVVal)
)</f>
        <v/>
      </c>
      <c r="P1272" s="40" t="str" cm="1">
        <f t="array" ref="P1272">IFERROR(_xlfn.LET(
_xlpm.CSVVal,_xlfn.XLOOKUP($A1272,CSV!$A:$A,CSV!AB:AB,""),
_xlpm.MacVal,_xlfn.XLOOKUP($A1272,Output_Mac!$A:$A,Output_Mac!T:T,""),
_xlpm.MyAuditVal,_xlfn.XLOOKUP($A1272,My_Audit!$A:$A,My_Audit!Q:Q,""),
_xlfn.IFS(_xlpm.MyAuditVal&lt;&gt;"",UPPER(_xlpm.MyAuditVal),_xlpm.MacVal&lt;&gt;"",_xlpm.MacVal,_xlpm.CSVVal&lt;&gt;"",_xlpm.CSVVal
)),"No")</f>
        <v>No</v>
      </c>
      <c r="Q1272" s="40" t="str" cm="1">
        <f t="array" ref="Q1272">IFERROR(_xlfn.LET(
_xlpm.CSVVal,_xlfn.XLOOKUP($A1272,CSV!$A:$A,CSV!AC:AC,""),
_xlpm.MacVal,_xlfn.XLOOKUP($A1272,Output_Mac!$A:$A,Output_Mac!U:U,""),
_xlpm.MyAuditVal,_xlfn.XLOOKUP($A1272,My_Audit!$A:$A,My_Audit!R:R,""),
_xlfn.IFS(_xlpm.MyAuditVal&lt;&gt;"",UPPER(_xlpm.MyAuditVal),_xlpm.MacVal&lt;&gt;"",_xlpm.MacVal,_xlpm.CSVVal&lt;&gt;"",_xlpm.CSVVal
)),"")</f>
        <v/>
      </c>
      <c r="R1272" s="40"/>
      <c r="S1272" s="40"/>
      <c r="T1272" s="40"/>
      <c r="U1272" s="40"/>
      <c r="V1272" s="40"/>
      <c r="W1272" s="40"/>
      <c r="X1272" s="41" t="str">
        <f>_xlfn.LET(
    _xlpm.MacVal, _xlfn.XLOOKUP($A1272, Output_Mac!$A:$A, Output_Mac!AB:AB, ""),
    _xlpm.MyAuditVal, _xlfn.XLOOKUP($A1272, My_Audit!$A:$A, My_Audit!N:N, ""),
    _xlfn.TEXTJOIN(", ", TRUE, _xlpm.MyAuditVal, _xlpm.MacVal)
)</f>
        <v/>
      </c>
    </row>
    <row r="1273" spans="1:24">
      <c r="A1273" s="40" t="str">
        <f>_xlfn.TEXTJOIN("",TRUE,Input!$B$2,ROW(My_Audit!A1272))</f>
        <v>X1272</v>
      </c>
      <c r="B1273" s="40" t="str">
        <f>_xlfn.TEXTJOIN("-",TRUE,"ITD",Input!$A$2,A1273)</f>
        <v>ITD-X1272</v>
      </c>
      <c r="C1273" s="40" t="str" cm="1">
        <f t="array" ref="C1273">IFERROR(_xlfn.LET(
_xlpm.CSVVal,_xlfn.XLOOKUP($A1273,CSV!$A:$A,CSV!B:B,""),
_xlpm.MacVal,_xlfn.XLOOKUP($A1273,Output_Mac!$A:$A,Output_Mac!B:B,""),
_xlpm.MyAuditVal,_xlfn.XLOOKUP($A1273,My_Audit!$A:$A,My_Audit!B:B,""),
_xlfn.IFS(_xlpm.MyAuditVal&lt;&gt;"",UPPER(_xlpm.MyAuditVal),_xlpm.MacVal&lt;&gt;"",_xlpm.MacVal,_xlpm.CSVVal&lt;&gt;"",_xlpm.CSVVal
)),"")</f>
        <v/>
      </c>
      <c r="D1273" s="40" t="str" cm="1">
        <f t="array" ref="D1273">IFERROR(_xlfn.LET(
_xlpm.CSVVal,_xlfn.XLOOKUP($A1273,CSV!$A:$A,CSV!D:D,""),
_xlpm.MacVal,_xlfn.XLOOKUP($A1273,Output_Mac!$A:$A,Output_Mac!C:C,""),
_xlpm.MyAuditVal,_xlfn.XLOOKUP($A1273,My_Audit!$A:$A,My_Audit!C:C,""),
_xlfn.IFS(_xlpm.MyAuditVal&lt;&gt;"",_xlpm.MyAuditVal,_xlpm.MacVal&lt;&gt;"",_xlpm.MacVal,_xlpm.CSVVal&lt;&gt;"",_xlpm.CSVVal
)),"")</f>
        <v/>
      </c>
      <c r="E1273" s="40" t="str">
        <f>_xlfn.XLOOKUP(A1273,My_Audit!A:A,My_Audit!D:D,"")</f>
        <v/>
      </c>
      <c r="F1273" s="40" t="str" cm="1">
        <f t="array" ref="F1273">IFERROR(_xlfn.LET(
_xlpm.CSVVal,_xlfn.XLOOKUP($A1273,CSV!$A:$A,CSV!F:F,""),
_xlpm.MacVal,_xlfn.XLOOKUP($A1273,Output_Mac!$A:$A,Output_Mac!E:E,""),
_xlpm.MyAuditVal,_xlfn.XLOOKUP($A1273,My_Audit!$A:$A,My_Audit!E:E,""),
_xlfn.IFS(_xlpm.MyAuditVal&lt;&gt;"",_xlpm.MyAuditVal,_xlpm.MacVal&lt;&gt;"",_xlpm.MacVal,_xlpm.CSVVal&lt;&gt;"",_xlpm.CSVVal
)),"")</f>
        <v/>
      </c>
      <c r="G1273" s="40" t="str" cm="1">
        <f t="array" ref="G1273">IFERROR(_xlfn.LET(
_xlpm.CSVVal,_xlfn.XLOOKUP($A1273,CSV!$A:$A,CSV!G:G,""),
_xlpm.MacVal,_xlfn.XLOOKUP($A1273,Output_Mac!$A:$A,Output_Mac!F:F,""),
_xlpm.MyAuditVal,_xlfn.XLOOKUP($A1273,My_Audit!$A:$A,My_Audit!F:F,""),
_xlfn.IFS(_xlpm.MyAuditVal&lt;&gt;"",_xlpm.MyAuditVal,_xlpm.MacVal&lt;&gt;"",_xlpm.MacVal,_xlpm.CSVVal&lt;&gt;"",PROPER(_xlpm.CSVVal)
)),"")</f>
        <v/>
      </c>
      <c r="H1273" s="40" t="str" cm="1">
        <f t="array" ref="H1273">IFERROR(_xlfn.LET(
_xlpm.CSVVal,_xlfn.XLOOKUP($A1273,CSV!$A:$A,CSV!H:H,""),
_xlpm.MacVal,_xlfn.XLOOKUP($A1273,Output_Mac!$A:$A,Output_Mac!H:H,""),
_xlpm.MyAuditVal,_xlfn.XLOOKUP($A1273,My_Audit!$A:$A,My_Audit!G:G,""),
_xlfn.IFS(_xlpm.MyAuditVal&lt;&gt;"",_xlpm.MyAuditVal,_xlpm.MacVal&lt;&gt;"",_xlpm.MacVal,_xlpm.CSVVal&lt;&gt;"",_xlpm.CSVVal
)),"")</f>
        <v/>
      </c>
      <c r="I1273" s="40" t="str">
        <f>_xlfn.XLOOKUP(A1273,Output_Mac!A:A,Output_Mac!I:I,"")</f>
        <v/>
      </c>
      <c r="J1273" s="40" t="str" cm="1">
        <f t="array" ref="J1273">IFERROR(_xlfn.LET(
_xlpm.CSVVal,_xlfn.XLOOKUP($A1273,CSV!$A:$A,CSV!I:I,""),
_xlpm.MacVal,_xlfn.XLOOKUP($A1273,Output_Mac!$A:$A,Output_Mac!J:J,""),
_xlpm.MyAuditVal,_xlfn.XLOOKUP($A1273,My_Audit!$A:$A,My_Audit!I:I,""),
_xlfn.IFS(_xlpm.MyAuditVal&lt;&gt;"",UPPER(_xlpm.MyAuditVal),_xlpm.MacVal&lt;&gt;"",_xlpm.MacVal,_xlpm.CSVVal&lt;&gt;"",_xlpm.CSVVal
)),"")</f>
        <v/>
      </c>
      <c r="K1273" s="40" t="str" cm="1">
        <f t="array" ref="K1273">IFERROR(_xlfn.LET(
_xlpm.CSVVal,_xlfn.XLOOKUP($A1273,CSV!$A:$A,CSV!K:K,""),
_xlpm.MacVal,_xlfn.XLOOKUP($A1273,Output_Mac!$A:$A,Output_Mac!K:K,""),
_xlpm.MyAuditVal,_xlfn.XLOOKUP($A1273,My_Audit!$A:$A,My_Audit!J:J,""),
_xlfn.IFS(_xlpm.MyAuditVal&lt;&gt;"",UPPER(_xlpm.MyAuditVal),_xlpm.MacVal&lt;&gt;"",_xlpm.MacVal,_xlpm.CSVVal&lt;&gt;"",_xlpm.CSVVal
)),"")</f>
        <v/>
      </c>
      <c r="L1273" s="40" t="str" cm="1">
        <f t="array" ref="L1273">IFERROR(_xlfn.LET(
_xlpm.CSVVal,_xlfn.XLOOKUP($A1273,CSV!$A:$A,CSV!P:P,""),
_xlpm.MacVal,_xlfn.XLOOKUP($A1273,Output_Mac!$A:$A,Output_Mac!L:L,""),
_xlpm.MyAuditVal,_xlfn.XLOOKUP($A1273,My_Audit!$A:$A,My_Audit!K:K,""),
_xlfn.IFS(_xlpm.MyAuditVal&lt;&gt;"",UPPER(_xlpm.MyAuditVal),_xlpm.MacVal&lt;&gt;"",_xlpm.MacVal,_xlpm.CSVVal&lt;&gt;"",_xlpm.CSVVal
)),"")</f>
        <v/>
      </c>
      <c r="M1273" s="40" t="str" cm="1">
        <f t="array" ref="M1273">IFERROR(_xlfn.LET(
_xlpm.CSVVal,_xlfn.XLOOKUP($A1273,CSV!$A:$A,CSV!Q:Q,""),
_xlpm.MacVal,_xlfn.XLOOKUP($A1273,Output_Mac!$A:$A,Output_Mac!M:M,""),
_xlpm.MyAuditVal,_xlfn.XLOOKUP($A1273,My_Audit!$A:$A,My_Audit!L:L,""),
_xlfn.IFS(_xlpm.MyAuditVal&lt;&gt;"",UPPER(_xlpm.MyAuditVal),_xlpm.MacVal&lt;&gt;"",_xlpm.MacVal,_xlpm.CSVVal&lt;&gt;"",_xlpm.CSVVal
)),"")</f>
        <v/>
      </c>
      <c r="N1273" s="40"/>
      <c r="O1273" s="40" t="str">
        <f>_xlfn.LET(
    _xlpm.CSVVal, _xlfn.XLOOKUP($A1273, CSV!$A:$A, CSV!AA:AA, ""),
    _xlpm.MacVal, _xlfn.XLOOKUP($A1273, Output_Mac!$A:$A, Output_Mac!S:S, ""),
    _xlpm.MyAuditVal, _xlfn.XLOOKUP($A1273, My_Audit!$A:$A, My_Audit!P:P, ""),
    _xlfn.TEXTJOIN(", ", TRUE, _xlpm.MyAuditVal, _xlpm.MacVal, _xlpm.CSVVal)
)</f>
        <v/>
      </c>
      <c r="P1273" s="40" t="str" cm="1">
        <f t="array" ref="P1273">IFERROR(_xlfn.LET(
_xlpm.CSVVal,_xlfn.XLOOKUP($A1273,CSV!$A:$A,CSV!AB:AB,""),
_xlpm.MacVal,_xlfn.XLOOKUP($A1273,Output_Mac!$A:$A,Output_Mac!T:T,""),
_xlpm.MyAuditVal,_xlfn.XLOOKUP($A1273,My_Audit!$A:$A,My_Audit!Q:Q,""),
_xlfn.IFS(_xlpm.MyAuditVal&lt;&gt;"",UPPER(_xlpm.MyAuditVal),_xlpm.MacVal&lt;&gt;"",_xlpm.MacVal,_xlpm.CSVVal&lt;&gt;"",_xlpm.CSVVal
)),"No")</f>
        <v>No</v>
      </c>
      <c r="Q1273" s="40" t="str" cm="1">
        <f t="array" ref="Q1273">IFERROR(_xlfn.LET(
_xlpm.CSVVal,_xlfn.XLOOKUP($A1273,CSV!$A:$A,CSV!AC:AC,""),
_xlpm.MacVal,_xlfn.XLOOKUP($A1273,Output_Mac!$A:$A,Output_Mac!U:U,""),
_xlpm.MyAuditVal,_xlfn.XLOOKUP($A1273,My_Audit!$A:$A,My_Audit!R:R,""),
_xlfn.IFS(_xlpm.MyAuditVal&lt;&gt;"",UPPER(_xlpm.MyAuditVal),_xlpm.MacVal&lt;&gt;"",_xlpm.MacVal,_xlpm.CSVVal&lt;&gt;"",_xlpm.CSVVal
)),"")</f>
        <v/>
      </c>
      <c r="R1273" s="40"/>
      <c r="S1273" s="40"/>
      <c r="T1273" s="40"/>
      <c r="U1273" s="40"/>
      <c r="V1273" s="40"/>
      <c r="W1273" s="40"/>
      <c r="X1273" s="41" t="str">
        <f>_xlfn.LET(
    _xlpm.MacVal, _xlfn.XLOOKUP($A1273, Output_Mac!$A:$A, Output_Mac!AB:AB, ""),
    _xlpm.MyAuditVal, _xlfn.XLOOKUP($A1273, My_Audit!$A:$A, My_Audit!N:N, ""),
    _xlfn.TEXTJOIN(", ", TRUE, _xlpm.MyAuditVal, _xlpm.MacVal)
)</f>
        <v/>
      </c>
    </row>
    <row r="1274" spans="1:24">
      <c r="A1274" s="40" t="str">
        <f>_xlfn.TEXTJOIN("",TRUE,Input!$B$2,ROW(My_Audit!A1273))</f>
        <v>X1273</v>
      </c>
      <c r="B1274" s="40" t="str">
        <f>_xlfn.TEXTJOIN("-",TRUE,"ITD",Input!$A$2,A1274)</f>
        <v>ITD-X1273</v>
      </c>
      <c r="C1274" s="40" t="str" cm="1">
        <f t="array" ref="C1274">IFERROR(_xlfn.LET(
_xlpm.CSVVal,_xlfn.XLOOKUP($A1274,CSV!$A:$A,CSV!B:B,""),
_xlpm.MacVal,_xlfn.XLOOKUP($A1274,Output_Mac!$A:$A,Output_Mac!B:B,""),
_xlpm.MyAuditVal,_xlfn.XLOOKUP($A1274,My_Audit!$A:$A,My_Audit!B:B,""),
_xlfn.IFS(_xlpm.MyAuditVal&lt;&gt;"",UPPER(_xlpm.MyAuditVal),_xlpm.MacVal&lt;&gt;"",_xlpm.MacVal,_xlpm.CSVVal&lt;&gt;"",_xlpm.CSVVal
)),"")</f>
        <v/>
      </c>
      <c r="D1274" s="40" t="str" cm="1">
        <f t="array" ref="D1274">IFERROR(_xlfn.LET(
_xlpm.CSVVal,_xlfn.XLOOKUP($A1274,CSV!$A:$A,CSV!D:D,""),
_xlpm.MacVal,_xlfn.XLOOKUP($A1274,Output_Mac!$A:$A,Output_Mac!C:C,""),
_xlpm.MyAuditVal,_xlfn.XLOOKUP($A1274,My_Audit!$A:$A,My_Audit!C:C,""),
_xlfn.IFS(_xlpm.MyAuditVal&lt;&gt;"",_xlpm.MyAuditVal,_xlpm.MacVal&lt;&gt;"",_xlpm.MacVal,_xlpm.CSVVal&lt;&gt;"",_xlpm.CSVVal
)),"")</f>
        <v/>
      </c>
      <c r="E1274" s="40" t="str">
        <f>_xlfn.XLOOKUP(A1274,My_Audit!A:A,My_Audit!D:D,"")</f>
        <v/>
      </c>
      <c r="F1274" s="40" t="str" cm="1">
        <f t="array" ref="F1274">IFERROR(_xlfn.LET(
_xlpm.CSVVal,_xlfn.XLOOKUP($A1274,CSV!$A:$A,CSV!F:F,""),
_xlpm.MacVal,_xlfn.XLOOKUP($A1274,Output_Mac!$A:$A,Output_Mac!E:E,""),
_xlpm.MyAuditVal,_xlfn.XLOOKUP($A1274,My_Audit!$A:$A,My_Audit!E:E,""),
_xlfn.IFS(_xlpm.MyAuditVal&lt;&gt;"",_xlpm.MyAuditVal,_xlpm.MacVal&lt;&gt;"",_xlpm.MacVal,_xlpm.CSVVal&lt;&gt;"",_xlpm.CSVVal
)),"")</f>
        <v/>
      </c>
      <c r="G1274" s="40" t="str" cm="1">
        <f t="array" ref="G1274">IFERROR(_xlfn.LET(
_xlpm.CSVVal,_xlfn.XLOOKUP($A1274,CSV!$A:$A,CSV!G:G,""),
_xlpm.MacVal,_xlfn.XLOOKUP($A1274,Output_Mac!$A:$A,Output_Mac!F:F,""),
_xlpm.MyAuditVal,_xlfn.XLOOKUP($A1274,My_Audit!$A:$A,My_Audit!F:F,""),
_xlfn.IFS(_xlpm.MyAuditVal&lt;&gt;"",_xlpm.MyAuditVal,_xlpm.MacVal&lt;&gt;"",_xlpm.MacVal,_xlpm.CSVVal&lt;&gt;"",PROPER(_xlpm.CSVVal)
)),"")</f>
        <v/>
      </c>
      <c r="H1274" s="40" t="str" cm="1">
        <f t="array" ref="H1274">IFERROR(_xlfn.LET(
_xlpm.CSVVal,_xlfn.XLOOKUP($A1274,CSV!$A:$A,CSV!H:H,""),
_xlpm.MacVal,_xlfn.XLOOKUP($A1274,Output_Mac!$A:$A,Output_Mac!H:H,""),
_xlpm.MyAuditVal,_xlfn.XLOOKUP($A1274,My_Audit!$A:$A,My_Audit!G:G,""),
_xlfn.IFS(_xlpm.MyAuditVal&lt;&gt;"",_xlpm.MyAuditVal,_xlpm.MacVal&lt;&gt;"",_xlpm.MacVal,_xlpm.CSVVal&lt;&gt;"",_xlpm.CSVVal
)),"")</f>
        <v/>
      </c>
      <c r="I1274" s="40" t="str">
        <f>_xlfn.XLOOKUP(A1274,Output_Mac!A:A,Output_Mac!I:I,"")</f>
        <v/>
      </c>
      <c r="J1274" s="40" t="str" cm="1">
        <f t="array" ref="J1274">IFERROR(_xlfn.LET(
_xlpm.CSVVal,_xlfn.XLOOKUP($A1274,CSV!$A:$A,CSV!I:I,""),
_xlpm.MacVal,_xlfn.XLOOKUP($A1274,Output_Mac!$A:$A,Output_Mac!J:J,""),
_xlpm.MyAuditVal,_xlfn.XLOOKUP($A1274,My_Audit!$A:$A,My_Audit!I:I,""),
_xlfn.IFS(_xlpm.MyAuditVal&lt;&gt;"",UPPER(_xlpm.MyAuditVal),_xlpm.MacVal&lt;&gt;"",_xlpm.MacVal,_xlpm.CSVVal&lt;&gt;"",_xlpm.CSVVal
)),"")</f>
        <v/>
      </c>
      <c r="K1274" s="40" t="str" cm="1">
        <f t="array" ref="K1274">IFERROR(_xlfn.LET(
_xlpm.CSVVal,_xlfn.XLOOKUP($A1274,CSV!$A:$A,CSV!K:K,""),
_xlpm.MacVal,_xlfn.XLOOKUP($A1274,Output_Mac!$A:$A,Output_Mac!K:K,""),
_xlpm.MyAuditVal,_xlfn.XLOOKUP($A1274,My_Audit!$A:$A,My_Audit!J:J,""),
_xlfn.IFS(_xlpm.MyAuditVal&lt;&gt;"",UPPER(_xlpm.MyAuditVal),_xlpm.MacVal&lt;&gt;"",_xlpm.MacVal,_xlpm.CSVVal&lt;&gt;"",_xlpm.CSVVal
)),"")</f>
        <v/>
      </c>
      <c r="L1274" s="40" t="str" cm="1">
        <f t="array" ref="L1274">IFERROR(_xlfn.LET(
_xlpm.CSVVal,_xlfn.XLOOKUP($A1274,CSV!$A:$A,CSV!P:P,""),
_xlpm.MacVal,_xlfn.XLOOKUP($A1274,Output_Mac!$A:$A,Output_Mac!L:L,""),
_xlpm.MyAuditVal,_xlfn.XLOOKUP($A1274,My_Audit!$A:$A,My_Audit!K:K,""),
_xlfn.IFS(_xlpm.MyAuditVal&lt;&gt;"",UPPER(_xlpm.MyAuditVal),_xlpm.MacVal&lt;&gt;"",_xlpm.MacVal,_xlpm.CSVVal&lt;&gt;"",_xlpm.CSVVal
)),"")</f>
        <v/>
      </c>
      <c r="M1274" s="40" t="str" cm="1">
        <f t="array" ref="M1274">IFERROR(_xlfn.LET(
_xlpm.CSVVal,_xlfn.XLOOKUP($A1274,CSV!$A:$A,CSV!Q:Q,""),
_xlpm.MacVal,_xlfn.XLOOKUP($A1274,Output_Mac!$A:$A,Output_Mac!M:M,""),
_xlpm.MyAuditVal,_xlfn.XLOOKUP($A1274,My_Audit!$A:$A,My_Audit!L:L,""),
_xlfn.IFS(_xlpm.MyAuditVal&lt;&gt;"",UPPER(_xlpm.MyAuditVal),_xlpm.MacVal&lt;&gt;"",_xlpm.MacVal,_xlpm.CSVVal&lt;&gt;"",_xlpm.CSVVal
)),"")</f>
        <v/>
      </c>
      <c r="N1274" s="40"/>
      <c r="O1274" s="40" t="str">
        <f>_xlfn.LET(
    _xlpm.CSVVal, _xlfn.XLOOKUP($A1274, CSV!$A:$A, CSV!AA:AA, ""),
    _xlpm.MacVal, _xlfn.XLOOKUP($A1274, Output_Mac!$A:$A, Output_Mac!S:S, ""),
    _xlpm.MyAuditVal, _xlfn.XLOOKUP($A1274, My_Audit!$A:$A, My_Audit!P:P, ""),
    _xlfn.TEXTJOIN(", ", TRUE, _xlpm.MyAuditVal, _xlpm.MacVal, _xlpm.CSVVal)
)</f>
        <v/>
      </c>
      <c r="P1274" s="40" t="str" cm="1">
        <f t="array" ref="P1274">IFERROR(_xlfn.LET(
_xlpm.CSVVal,_xlfn.XLOOKUP($A1274,CSV!$A:$A,CSV!AB:AB,""),
_xlpm.MacVal,_xlfn.XLOOKUP($A1274,Output_Mac!$A:$A,Output_Mac!T:T,""),
_xlpm.MyAuditVal,_xlfn.XLOOKUP($A1274,My_Audit!$A:$A,My_Audit!Q:Q,""),
_xlfn.IFS(_xlpm.MyAuditVal&lt;&gt;"",UPPER(_xlpm.MyAuditVal),_xlpm.MacVal&lt;&gt;"",_xlpm.MacVal,_xlpm.CSVVal&lt;&gt;"",_xlpm.CSVVal
)),"No")</f>
        <v>No</v>
      </c>
      <c r="Q1274" s="40" t="str" cm="1">
        <f t="array" ref="Q1274">IFERROR(_xlfn.LET(
_xlpm.CSVVal,_xlfn.XLOOKUP($A1274,CSV!$A:$A,CSV!AC:AC,""),
_xlpm.MacVal,_xlfn.XLOOKUP($A1274,Output_Mac!$A:$A,Output_Mac!U:U,""),
_xlpm.MyAuditVal,_xlfn.XLOOKUP($A1274,My_Audit!$A:$A,My_Audit!R:R,""),
_xlfn.IFS(_xlpm.MyAuditVal&lt;&gt;"",UPPER(_xlpm.MyAuditVal),_xlpm.MacVal&lt;&gt;"",_xlpm.MacVal,_xlpm.CSVVal&lt;&gt;"",_xlpm.CSVVal
)),"")</f>
        <v/>
      </c>
      <c r="R1274" s="40"/>
      <c r="S1274" s="40"/>
      <c r="T1274" s="40"/>
      <c r="U1274" s="40"/>
      <c r="V1274" s="40"/>
      <c r="W1274" s="40"/>
      <c r="X1274" s="41" t="str">
        <f>_xlfn.LET(
    _xlpm.MacVal, _xlfn.XLOOKUP($A1274, Output_Mac!$A:$A, Output_Mac!AB:AB, ""),
    _xlpm.MyAuditVal, _xlfn.XLOOKUP($A1274, My_Audit!$A:$A, My_Audit!N:N, ""),
    _xlfn.TEXTJOIN(", ", TRUE, _xlpm.MyAuditVal, _xlpm.MacVal)
)</f>
        <v/>
      </c>
    </row>
    <row r="1275" spans="1:24">
      <c r="A1275" s="40" t="str">
        <f>_xlfn.TEXTJOIN("",TRUE,Input!$B$2,ROW(My_Audit!A1274))</f>
        <v>X1274</v>
      </c>
      <c r="B1275" s="40" t="str">
        <f>_xlfn.TEXTJOIN("-",TRUE,"ITD",Input!$A$2,A1275)</f>
        <v>ITD-X1274</v>
      </c>
      <c r="C1275" s="40" t="str" cm="1">
        <f t="array" ref="C1275">IFERROR(_xlfn.LET(
_xlpm.CSVVal,_xlfn.XLOOKUP($A1275,CSV!$A:$A,CSV!B:B,""),
_xlpm.MacVal,_xlfn.XLOOKUP($A1275,Output_Mac!$A:$A,Output_Mac!B:B,""),
_xlpm.MyAuditVal,_xlfn.XLOOKUP($A1275,My_Audit!$A:$A,My_Audit!B:B,""),
_xlfn.IFS(_xlpm.MyAuditVal&lt;&gt;"",UPPER(_xlpm.MyAuditVal),_xlpm.MacVal&lt;&gt;"",_xlpm.MacVal,_xlpm.CSVVal&lt;&gt;"",_xlpm.CSVVal
)),"")</f>
        <v/>
      </c>
      <c r="D1275" s="40" t="str" cm="1">
        <f t="array" ref="D1275">IFERROR(_xlfn.LET(
_xlpm.CSVVal,_xlfn.XLOOKUP($A1275,CSV!$A:$A,CSV!D:D,""),
_xlpm.MacVal,_xlfn.XLOOKUP($A1275,Output_Mac!$A:$A,Output_Mac!C:C,""),
_xlpm.MyAuditVal,_xlfn.XLOOKUP($A1275,My_Audit!$A:$A,My_Audit!C:C,""),
_xlfn.IFS(_xlpm.MyAuditVal&lt;&gt;"",_xlpm.MyAuditVal,_xlpm.MacVal&lt;&gt;"",_xlpm.MacVal,_xlpm.CSVVal&lt;&gt;"",_xlpm.CSVVal
)),"")</f>
        <v/>
      </c>
      <c r="E1275" s="40" t="str">
        <f>_xlfn.XLOOKUP(A1275,My_Audit!A:A,My_Audit!D:D,"")</f>
        <v/>
      </c>
      <c r="F1275" s="40" t="str" cm="1">
        <f t="array" ref="F1275">IFERROR(_xlfn.LET(
_xlpm.CSVVal,_xlfn.XLOOKUP($A1275,CSV!$A:$A,CSV!F:F,""),
_xlpm.MacVal,_xlfn.XLOOKUP($A1275,Output_Mac!$A:$A,Output_Mac!E:E,""),
_xlpm.MyAuditVal,_xlfn.XLOOKUP($A1275,My_Audit!$A:$A,My_Audit!E:E,""),
_xlfn.IFS(_xlpm.MyAuditVal&lt;&gt;"",_xlpm.MyAuditVal,_xlpm.MacVal&lt;&gt;"",_xlpm.MacVal,_xlpm.CSVVal&lt;&gt;"",_xlpm.CSVVal
)),"")</f>
        <v/>
      </c>
      <c r="G1275" s="40" t="str" cm="1">
        <f t="array" ref="G1275">IFERROR(_xlfn.LET(
_xlpm.CSVVal,_xlfn.XLOOKUP($A1275,CSV!$A:$A,CSV!G:G,""),
_xlpm.MacVal,_xlfn.XLOOKUP($A1275,Output_Mac!$A:$A,Output_Mac!F:F,""),
_xlpm.MyAuditVal,_xlfn.XLOOKUP($A1275,My_Audit!$A:$A,My_Audit!F:F,""),
_xlfn.IFS(_xlpm.MyAuditVal&lt;&gt;"",_xlpm.MyAuditVal,_xlpm.MacVal&lt;&gt;"",_xlpm.MacVal,_xlpm.CSVVal&lt;&gt;"",PROPER(_xlpm.CSVVal)
)),"")</f>
        <v/>
      </c>
      <c r="H1275" s="40" t="str" cm="1">
        <f t="array" ref="H1275">IFERROR(_xlfn.LET(
_xlpm.CSVVal,_xlfn.XLOOKUP($A1275,CSV!$A:$A,CSV!H:H,""),
_xlpm.MacVal,_xlfn.XLOOKUP($A1275,Output_Mac!$A:$A,Output_Mac!H:H,""),
_xlpm.MyAuditVal,_xlfn.XLOOKUP($A1275,My_Audit!$A:$A,My_Audit!G:G,""),
_xlfn.IFS(_xlpm.MyAuditVal&lt;&gt;"",_xlpm.MyAuditVal,_xlpm.MacVal&lt;&gt;"",_xlpm.MacVal,_xlpm.CSVVal&lt;&gt;"",_xlpm.CSVVal
)),"")</f>
        <v/>
      </c>
      <c r="I1275" s="40" t="str">
        <f>_xlfn.XLOOKUP(A1275,Output_Mac!A:A,Output_Mac!I:I,"")</f>
        <v/>
      </c>
      <c r="J1275" s="40" t="str" cm="1">
        <f t="array" ref="J1275">IFERROR(_xlfn.LET(
_xlpm.CSVVal,_xlfn.XLOOKUP($A1275,CSV!$A:$A,CSV!I:I,""),
_xlpm.MacVal,_xlfn.XLOOKUP($A1275,Output_Mac!$A:$A,Output_Mac!J:J,""),
_xlpm.MyAuditVal,_xlfn.XLOOKUP($A1275,My_Audit!$A:$A,My_Audit!I:I,""),
_xlfn.IFS(_xlpm.MyAuditVal&lt;&gt;"",UPPER(_xlpm.MyAuditVal),_xlpm.MacVal&lt;&gt;"",_xlpm.MacVal,_xlpm.CSVVal&lt;&gt;"",_xlpm.CSVVal
)),"")</f>
        <v/>
      </c>
      <c r="K1275" s="40" t="str" cm="1">
        <f t="array" ref="K1275">IFERROR(_xlfn.LET(
_xlpm.CSVVal,_xlfn.XLOOKUP($A1275,CSV!$A:$A,CSV!K:K,""),
_xlpm.MacVal,_xlfn.XLOOKUP($A1275,Output_Mac!$A:$A,Output_Mac!K:K,""),
_xlpm.MyAuditVal,_xlfn.XLOOKUP($A1275,My_Audit!$A:$A,My_Audit!J:J,""),
_xlfn.IFS(_xlpm.MyAuditVal&lt;&gt;"",UPPER(_xlpm.MyAuditVal),_xlpm.MacVal&lt;&gt;"",_xlpm.MacVal,_xlpm.CSVVal&lt;&gt;"",_xlpm.CSVVal
)),"")</f>
        <v/>
      </c>
      <c r="L1275" s="40" t="str" cm="1">
        <f t="array" ref="L1275">IFERROR(_xlfn.LET(
_xlpm.CSVVal,_xlfn.XLOOKUP($A1275,CSV!$A:$A,CSV!P:P,""),
_xlpm.MacVal,_xlfn.XLOOKUP($A1275,Output_Mac!$A:$A,Output_Mac!L:L,""),
_xlpm.MyAuditVal,_xlfn.XLOOKUP($A1275,My_Audit!$A:$A,My_Audit!K:K,""),
_xlfn.IFS(_xlpm.MyAuditVal&lt;&gt;"",UPPER(_xlpm.MyAuditVal),_xlpm.MacVal&lt;&gt;"",_xlpm.MacVal,_xlpm.CSVVal&lt;&gt;"",_xlpm.CSVVal
)),"")</f>
        <v/>
      </c>
      <c r="M1275" s="40" t="str" cm="1">
        <f t="array" ref="M1275">IFERROR(_xlfn.LET(
_xlpm.CSVVal,_xlfn.XLOOKUP($A1275,CSV!$A:$A,CSV!Q:Q,""),
_xlpm.MacVal,_xlfn.XLOOKUP($A1275,Output_Mac!$A:$A,Output_Mac!M:M,""),
_xlpm.MyAuditVal,_xlfn.XLOOKUP($A1275,My_Audit!$A:$A,My_Audit!L:L,""),
_xlfn.IFS(_xlpm.MyAuditVal&lt;&gt;"",UPPER(_xlpm.MyAuditVal),_xlpm.MacVal&lt;&gt;"",_xlpm.MacVal,_xlpm.CSVVal&lt;&gt;"",_xlpm.CSVVal
)),"")</f>
        <v/>
      </c>
      <c r="N1275" s="40"/>
      <c r="O1275" s="40" t="str">
        <f>_xlfn.LET(
    _xlpm.CSVVal, _xlfn.XLOOKUP($A1275, CSV!$A:$A, CSV!AA:AA, ""),
    _xlpm.MacVal, _xlfn.XLOOKUP($A1275, Output_Mac!$A:$A, Output_Mac!S:S, ""),
    _xlpm.MyAuditVal, _xlfn.XLOOKUP($A1275, My_Audit!$A:$A, My_Audit!P:P, ""),
    _xlfn.TEXTJOIN(", ", TRUE, _xlpm.MyAuditVal, _xlpm.MacVal, _xlpm.CSVVal)
)</f>
        <v/>
      </c>
      <c r="P1275" s="40" t="str" cm="1">
        <f t="array" ref="P1275">IFERROR(_xlfn.LET(
_xlpm.CSVVal,_xlfn.XLOOKUP($A1275,CSV!$A:$A,CSV!AB:AB,""),
_xlpm.MacVal,_xlfn.XLOOKUP($A1275,Output_Mac!$A:$A,Output_Mac!T:T,""),
_xlpm.MyAuditVal,_xlfn.XLOOKUP($A1275,My_Audit!$A:$A,My_Audit!Q:Q,""),
_xlfn.IFS(_xlpm.MyAuditVal&lt;&gt;"",UPPER(_xlpm.MyAuditVal),_xlpm.MacVal&lt;&gt;"",_xlpm.MacVal,_xlpm.CSVVal&lt;&gt;"",_xlpm.CSVVal
)),"No")</f>
        <v>No</v>
      </c>
      <c r="Q1275" s="40" t="str" cm="1">
        <f t="array" ref="Q1275">IFERROR(_xlfn.LET(
_xlpm.CSVVal,_xlfn.XLOOKUP($A1275,CSV!$A:$A,CSV!AC:AC,""),
_xlpm.MacVal,_xlfn.XLOOKUP($A1275,Output_Mac!$A:$A,Output_Mac!U:U,""),
_xlpm.MyAuditVal,_xlfn.XLOOKUP($A1275,My_Audit!$A:$A,My_Audit!R:R,""),
_xlfn.IFS(_xlpm.MyAuditVal&lt;&gt;"",UPPER(_xlpm.MyAuditVal),_xlpm.MacVal&lt;&gt;"",_xlpm.MacVal,_xlpm.CSVVal&lt;&gt;"",_xlpm.CSVVal
)),"")</f>
        <v/>
      </c>
      <c r="R1275" s="40"/>
      <c r="S1275" s="40"/>
      <c r="T1275" s="40"/>
      <c r="U1275" s="40"/>
      <c r="V1275" s="40"/>
      <c r="W1275" s="40"/>
      <c r="X1275" s="41" t="str">
        <f>_xlfn.LET(
    _xlpm.MacVal, _xlfn.XLOOKUP($A1275, Output_Mac!$A:$A, Output_Mac!AB:AB, ""),
    _xlpm.MyAuditVal, _xlfn.XLOOKUP($A1275, My_Audit!$A:$A, My_Audit!N:N, ""),
    _xlfn.TEXTJOIN(", ", TRUE, _xlpm.MyAuditVal, _xlpm.MacVal)
)</f>
        <v/>
      </c>
    </row>
    <row r="1276" spans="1:24">
      <c r="A1276" s="40" t="str">
        <f>_xlfn.TEXTJOIN("",TRUE,Input!$B$2,ROW(My_Audit!A1275))</f>
        <v>X1275</v>
      </c>
      <c r="B1276" s="40" t="str">
        <f>_xlfn.TEXTJOIN("-",TRUE,"ITD",Input!$A$2,A1276)</f>
        <v>ITD-X1275</v>
      </c>
      <c r="C1276" s="40" t="str" cm="1">
        <f t="array" ref="C1276">IFERROR(_xlfn.LET(
_xlpm.CSVVal,_xlfn.XLOOKUP($A1276,CSV!$A:$A,CSV!B:B,""),
_xlpm.MacVal,_xlfn.XLOOKUP($A1276,Output_Mac!$A:$A,Output_Mac!B:B,""),
_xlpm.MyAuditVal,_xlfn.XLOOKUP($A1276,My_Audit!$A:$A,My_Audit!B:B,""),
_xlfn.IFS(_xlpm.MyAuditVal&lt;&gt;"",UPPER(_xlpm.MyAuditVal),_xlpm.MacVal&lt;&gt;"",_xlpm.MacVal,_xlpm.CSVVal&lt;&gt;"",_xlpm.CSVVal
)),"")</f>
        <v/>
      </c>
      <c r="D1276" s="40" t="str" cm="1">
        <f t="array" ref="D1276">IFERROR(_xlfn.LET(
_xlpm.CSVVal,_xlfn.XLOOKUP($A1276,CSV!$A:$A,CSV!D:D,""),
_xlpm.MacVal,_xlfn.XLOOKUP($A1276,Output_Mac!$A:$A,Output_Mac!C:C,""),
_xlpm.MyAuditVal,_xlfn.XLOOKUP($A1276,My_Audit!$A:$A,My_Audit!C:C,""),
_xlfn.IFS(_xlpm.MyAuditVal&lt;&gt;"",_xlpm.MyAuditVal,_xlpm.MacVal&lt;&gt;"",_xlpm.MacVal,_xlpm.CSVVal&lt;&gt;"",_xlpm.CSVVal
)),"")</f>
        <v/>
      </c>
      <c r="E1276" s="40" t="str">
        <f>_xlfn.XLOOKUP(A1276,My_Audit!A:A,My_Audit!D:D,"")</f>
        <v/>
      </c>
      <c r="F1276" s="40" t="str" cm="1">
        <f t="array" ref="F1276">IFERROR(_xlfn.LET(
_xlpm.CSVVal,_xlfn.XLOOKUP($A1276,CSV!$A:$A,CSV!F:F,""),
_xlpm.MacVal,_xlfn.XLOOKUP($A1276,Output_Mac!$A:$A,Output_Mac!E:E,""),
_xlpm.MyAuditVal,_xlfn.XLOOKUP($A1276,My_Audit!$A:$A,My_Audit!E:E,""),
_xlfn.IFS(_xlpm.MyAuditVal&lt;&gt;"",_xlpm.MyAuditVal,_xlpm.MacVal&lt;&gt;"",_xlpm.MacVal,_xlpm.CSVVal&lt;&gt;"",_xlpm.CSVVal
)),"")</f>
        <v/>
      </c>
      <c r="G1276" s="40" t="str" cm="1">
        <f t="array" ref="G1276">IFERROR(_xlfn.LET(
_xlpm.CSVVal,_xlfn.XLOOKUP($A1276,CSV!$A:$A,CSV!G:G,""),
_xlpm.MacVal,_xlfn.XLOOKUP($A1276,Output_Mac!$A:$A,Output_Mac!F:F,""),
_xlpm.MyAuditVal,_xlfn.XLOOKUP($A1276,My_Audit!$A:$A,My_Audit!F:F,""),
_xlfn.IFS(_xlpm.MyAuditVal&lt;&gt;"",_xlpm.MyAuditVal,_xlpm.MacVal&lt;&gt;"",_xlpm.MacVal,_xlpm.CSVVal&lt;&gt;"",PROPER(_xlpm.CSVVal)
)),"")</f>
        <v/>
      </c>
      <c r="H1276" s="40" t="str" cm="1">
        <f t="array" ref="H1276">IFERROR(_xlfn.LET(
_xlpm.CSVVal,_xlfn.XLOOKUP($A1276,CSV!$A:$A,CSV!H:H,""),
_xlpm.MacVal,_xlfn.XLOOKUP($A1276,Output_Mac!$A:$A,Output_Mac!H:H,""),
_xlpm.MyAuditVal,_xlfn.XLOOKUP($A1276,My_Audit!$A:$A,My_Audit!G:G,""),
_xlfn.IFS(_xlpm.MyAuditVal&lt;&gt;"",_xlpm.MyAuditVal,_xlpm.MacVal&lt;&gt;"",_xlpm.MacVal,_xlpm.CSVVal&lt;&gt;"",_xlpm.CSVVal
)),"")</f>
        <v/>
      </c>
      <c r="I1276" s="40" t="str">
        <f>_xlfn.XLOOKUP(A1276,Output_Mac!A:A,Output_Mac!I:I,"")</f>
        <v/>
      </c>
      <c r="J1276" s="40" t="str" cm="1">
        <f t="array" ref="J1276">IFERROR(_xlfn.LET(
_xlpm.CSVVal,_xlfn.XLOOKUP($A1276,CSV!$A:$A,CSV!I:I,""),
_xlpm.MacVal,_xlfn.XLOOKUP($A1276,Output_Mac!$A:$A,Output_Mac!J:J,""),
_xlpm.MyAuditVal,_xlfn.XLOOKUP($A1276,My_Audit!$A:$A,My_Audit!I:I,""),
_xlfn.IFS(_xlpm.MyAuditVal&lt;&gt;"",UPPER(_xlpm.MyAuditVal),_xlpm.MacVal&lt;&gt;"",_xlpm.MacVal,_xlpm.CSVVal&lt;&gt;"",_xlpm.CSVVal
)),"")</f>
        <v/>
      </c>
      <c r="K1276" s="40" t="str" cm="1">
        <f t="array" ref="K1276">IFERROR(_xlfn.LET(
_xlpm.CSVVal,_xlfn.XLOOKUP($A1276,CSV!$A:$A,CSV!K:K,""),
_xlpm.MacVal,_xlfn.XLOOKUP($A1276,Output_Mac!$A:$A,Output_Mac!K:K,""),
_xlpm.MyAuditVal,_xlfn.XLOOKUP($A1276,My_Audit!$A:$A,My_Audit!J:J,""),
_xlfn.IFS(_xlpm.MyAuditVal&lt;&gt;"",UPPER(_xlpm.MyAuditVal),_xlpm.MacVal&lt;&gt;"",_xlpm.MacVal,_xlpm.CSVVal&lt;&gt;"",_xlpm.CSVVal
)),"")</f>
        <v/>
      </c>
      <c r="L1276" s="40" t="str" cm="1">
        <f t="array" ref="L1276">IFERROR(_xlfn.LET(
_xlpm.CSVVal,_xlfn.XLOOKUP($A1276,CSV!$A:$A,CSV!P:P,""),
_xlpm.MacVal,_xlfn.XLOOKUP($A1276,Output_Mac!$A:$A,Output_Mac!L:L,""),
_xlpm.MyAuditVal,_xlfn.XLOOKUP($A1276,My_Audit!$A:$A,My_Audit!K:K,""),
_xlfn.IFS(_xlpm.MyAuditVal&lt;&gt;"",UPPER(_xlpm.MyAuditVal),_xlpm.MacVal&lt;&gt;"",_xlpm.MacVal,_xlpm.CSVVal&lt;&gt;"",_xlpm.CSVVal
)),"")</f>
        <v/>
      </c>
      <c r="M1276" s="40" t="str" cm="1">
        <f t="array" ref="M1276">IFERROR(_xlfn.LET(
_xlpm.CSVVal,_xlfn.XLOOKUP($A1276,CSV!$A:$A,CSV!Q:Q,""),
_xlpm.MacVal,_xlfn.XLOOKUP($A1276,Output_Mac!$A:$A,Output_Mac!M:M,""),
_xlpm.MyAuditVal,_xlfn.XLOOKUP($A1276,My_Audit!$A:$A,My_Audit!L:L,""),
_xlfn.IFS(_xlpm.MyAuditVal&lt;&gt;"",UPPER(_xlpm.MyAuditVal),_xlpm.MacVal&lt;&gt;"",_xlpm.MacVal,_xlpm.CSVVal&lt;&gt;"",_xlpm.CSVVal
)),"")</f>
        <v/>
      </c>
      <c r="N1276" s="40"/>
      <c r="O1276" s="40" t="str">
        <f>_xlfn.LET(
    _xlpm.CSVVal, _xlfn.XLOOKUP($A1276, CSV!$A:$A, CSV!AA:AA, ""),
    _xlpm.MacVal, _xlfn.XLOOKUP($A1276, Output_Mac!$A:$A, Output_Mac!S:S, ""),
    _xlpm.MyAuditVal, _xlfn.XLOOKUP($A1276, My_Audit!$A:$A, My_Audit!P:P, ""),
    _xlfn.TEXTJOIN(", ", TRUE, _xlpm.MyAuditVal, _xlpm.MacVal, _xlpm.CSVVal)
)</f>
        <v/>
      </c>
      <c r="P1276" s="40" t="str" cm="1">
        <f t="array" ref="P1276">IFERROR(_xlfn.LET(
_xlpm.CSVVal,_xlfn.XLOOKUP($A1276,CSV!$A:$A,CSV!AB:AB,""),
_xlpm.MacVal,_xlfn.XLOOKUP($A1276,Output_Mac!$A:$A,Output_Mac!T:T,""),
_xlpm.MyAuditVal,_xlfn.XLOOKUP($A1276,My_Audit!$A:$A,My_Audit!Q:Q,""),
_xlfn.IFS(_xlpm.MyAuditVal&lt;&gt;"",UPPER(_xlpm.MyAuditVal),_xlpm.MacVal&lt;&gt;"",_xlpm.MacVal,_xlpm.CSVVal&lt;&gt;"",_xlpm.CSVVal
)),"No")</f>
        <v>No</v>
      </c>
      <c r="Q1276" s="40" t="str" cm="1">
        <f t="array" ref="Q1276">IFERROR(_xlfn.LET(
_xlpm.CSVVal,_xlfn.XLOOKUP($A1276,CSV!$A:$A,CSV!AC:AC,""),
_xlpm.MacVal,_xlfn.XLOOKUP($A1276,Output_Mac!$A:$A,Output_Mac!U:U,""),
_xlpm.MyAuditVal,_xlfn.XLOOKUP($A1276,My_Audit!$A:$A,My_Audit!R:R,""),
_xlfn.IFS(_xlpm.MyAuditVal&lt;&gt;"",UPPER(_xlpm.MyAuditVal),_xlpm.MacVal&lt;&gt;"",_xlpm.MacVal,_xlpm.CSVVal&lt;&gt;"",_xlpm.CSVVal
)),"")</f>
        <v/>
      </c>
      <c r="R1276" s="40"/>
      <c r="S1276" s="40"/>
      <c r="T1276" s="40"/>
      <c r="U1276" s="40"/>
      <c r="V1276" s="40"/>
      <c r="W1276" s="40"/>
      <c r="X1276" s="41" t="str">
        <f>_xlfn.LET(
    _xlpm.MacVal, _xlfn.XLOOKUP($A1276, Output_Mac!$A:$A, Output_Mac!AB:AB, ""),
    _xlpm.MyAuditVal, _xlfn.XLOOKUP($A1276, My_Audit!$A:$A, My_Audit!N:N, ""),
    _xlfn.TEXTJOIN(", ", TRUE, _xlpm.MyAuditVal, _xlpm.MacVal)
)</f>
        <v/>
      </c>
    </row>
    <row r="1277" spans="1:24">
      <c r="A1277" s="40" t="str">
        <f>_xlfn.TEXTJOIN("",TRUE,Input!$B$2,ROW(My_Audit!A1276))</f>
        <v>X1276</v>
      </c>
      <c r="B1277" s="40" t="str">
        <f>_xlfn.TEXTJOIN("-",TRUE,"ITD",Input!$A$2,A1277)</f>
        <v>ITD-X1276</v>
      </c>
      <c r="C1277" s="40" t="str" cm="1">
        <f t="array" ref="C1277">IFERROR(_xlfn.LET(
_xlpm.CSVVal,_xlfn.XLOOKUP($A1277,CSV!$A:$A,CSV!B:B,""),
_xlpm.MacVal,_xlfn.XLOOKUP($A1277,Output_Mac!$A:$A,Output_Mac!B:B,""),
_xlpm.MyAuditVal,_xlfn.XLOOKUP($A1277,My_Audit!$A:$A,My_Audit!B:B,""),
_xlfn.IFS(_xlpm.MyAuditVal&lt;&gt;"",UPPER(_xlpm.MyAuditVal),_xlpm.MacVal&lt;&gt;"",_xlpm.MacVal,_xlpm.CSVVal&lt;&gt;"",_xlpm.CSVVal
)),"")</f>
        <v/>
      </c>
      <c r="D1277" s="40" t="str" cm="1">
        <f t="array" ref="D1277">IFERROR(_xlfn.LET(
_xlpm.CSVVal,_xlfn.XLOOKUP($A1277,CSV!$A:$A,CSV!D:D,""),
_xlpm.MacVal,_xlfn.XLOOKUP($A1277,Output_Mac!$A:$A,Output_Mac!C:C,""),
_xlpm.MyAuditVal,_xlfn.XLOOKUP($A1277,My_Audit!$A:$A,My_Audit!C:C,""),
_xlfn.IFS(_xlpm.MyAuditVal&lt;&gt;"",_xlpm.MyAuditVal,_xlpm.MacVal&lt;&gt;"",_xlpm.MacVal,_xlpm.CSVVal&lt;&gt;"",_xlpm.CSVVal
)),"")</f>
        <v/>
      </c>
      <c r="E1277" s="40" t="str">
        <f>_xlfn.XLOOKUP(A1277,My_Audit!A:A,My_Audit!D:D,"")</f>
        <v/>
      </c>
      <c r="F1277" s="40" t="str" cm="1">
        <f t="array" ref="F1277">IFERROR(_xlfn.LET(
_xlpm.CSVVal,_xlfn.XLOOKUP($A1277,CSV!$A:$A,CSV!F:F,""),
_xlpm.MacVal,_xlfn.XLOOKUP($A1277,Output_Mac!$A:$A,Output_Mac!E:E,""),
_xlpm.MyAuditVal,_xlfn.XLOOKUP($A1277,My_Audit!$A:$A,My_Audit!E:E,""),
_xlfn.IFS(_xlpm.MyAuditVal&lt;&gt;"",_xlpm.MyAuditVal,_xlpm.MacVal&lt;&gt;"",_xlpm.MacVal,_xlpm.CSVVal&lt;&gt;"",_xlpm.CSVVal
)),"")</f>
        <v/>
      </c>
      <c r="G1277" s="40" t="str" cm="1">
        <f t="array" ref="G1277">IFERROR(_xlfn.LET(
_xlpm.CSVVal,_xlfn.XLOOKUP($A1277,CSV!$A:$A,CSV!G:G,""),
_xlpm.MacVal,_xlfn.XLOOKUP($A1277,Output_Mac!$A:$A,Output_Mac!F:F,""),
_xlpm.MyAuditVal,_xlfn.XLOOKUP($A1277,My_Audit!$A:$A,My_Audit!F:F,""),
_xlfn.IFS(_xlpm.MyAuditVal&lt;&gt;"",_xlpm.MyAuditVal,_xlpm.MacVal&lt;&gt;"",_xlpm.MacVal,_xlpm.CSVVal&lt;&gt;"",PROPER(_xlpm.CSVVal)
)),"")</f>
        <v/>
      </c>
      <c r="H1277" s="40" t="str" cm="1">
        <f t="array" ref="H1277">IFERROR(_xlfn.LET(
_xlpm.CSVVal,_xlfn.XLOOKUP($A1277,CSV!$A:$A,CSV!H:H,""),
_xlpm.MacVal,_xlfn.XLOOKUP($A1277,Output_Mac!$A:$A,Output_Mac!H:H,""),
_xlpm.MyAuditVal,_xlfn.XLOOKUP($A1277,My_Audit!$A:$A,My_Audit!G:G,""),
_xlfn.IFS(_xlpm.MyAuditVal&lt;&gt;"",_xlpm.MyAuditVal,_xlpm.MacVal&lt;&gt;"",_xlpm.MacVal,_xlpm.CSVVal&lt;&gt;"",_xlpm.CSVVal
)),"")</f>
        <v/>
      </c>
      <c r="I1277" s="40" t="str">
        <f>_xlfn.XLOOKUP(A1277,Output_Mac!A:A,Output_Mac!I:I,"")</f>
        <v/>
      </c>
      <c r="J1277" s="40" t="str" cm="1">
        <f t="array" ref="J1277">IFERROR(_xlfn.LET(
_xlpm.CSVVal,_xlfn.XLOOKUP($A1277,CSV!$A:$A,CSV!I:I,""),
_xlpm.MacVal,_xlfn.XLOOKUP($A1277,Output_Mac!$A:$A,Output_Mac!J:J,""),
_xlpm.MyAuditVal,_xlfn.XLOOKUP($A1277,My_Audit!$A:$A,My_Audit!I:I,""),
_xlfn.IFS(_xlpm.MyAuditVal&lt;&gt;"",UPPER(_xlpm.MyAuditVal),_xlpm.MacVal&lt;&gt;"",_xlpm.MacVal,_xlpm.CSVVal&lt;&gt;"",_xlpm.CSVVal
)),"")</f>
        <v/>
      </c>
      <c r="K1277" s="40" t="str" cm="1">
        <f t="array" ref="K1277">IFERROR(_xlfn.LET(
_xlpm.CSVVal,_xlfn.XLOOKUP($A1277,CSV!$A:$A,CSV!K:K,""),
_xlpm.MacVal,_xlfn.XLOOKUP($A1277,Output_Mac!$A:$A,Output_Mac!K:K,""),
_xlpm.MyAuditVal,_xlfn.XLOOKUP($A1277,My_Audit!$A:$A,My_Audit!J:J,""),
_xlfn.IFS(_xlpm.MyAuditVal&lt;&gt;"",UPPER(_xlpm.MyAuditVal),_xlpm.MacVal&lt;&gt;"",_xlpm.MacVal,_xlpm.CSVVal&lt;&gt;"",_xlpm.CSVVal
)),"")</f>
        <v/>
      </c>
      <c r="L1277" s="40" t="str" cm="1">
        <f t="array" ref="L1277">IFERROR(_xlfn.LET(
_xlpm.CSVVal,_xlfn.XLOOKUP($A1277,CSV!$A:$A,CSV!P:P,""),
_xlpm.MacVal,_xlfn.XLOOKUP($A1277,Output_Mac!$A:$A,Output_Mac!L:L,""),
_xlpm.MyAuditVal,_xlfn.XLOOKUP($A1277,My_Audit!$A:$A,My_Audit!K:K,""),
_xlfn.IFS(_xlpm.MyAuditVal&lt;&gt;"",UPPER(_xlpm.MyAuditVal),_xlpm.MacVal&lt;&gt;"",_xlpm.MacVal,_xlpm.CSVVal&lt;&gt;"",_xlpm.CSVVal
)),"")</f>
        <v/>
      </c>
      <c r="M1277" s="40" t="str" cm="1">
        <f t="array" ref="M1277">IFERROR(_xlfn.LET(
_xlpm.CSVVal,_xlfn.XLOOKUP($A1277,CSV!$A:$A,CSV!Q:Q,""),
_xlpm.MacVal,_xlfn.XLOOKUP($A1277,Output_Mac!$A:$A,Output_Mac!M:M,""),
_xlpm.MyAuditVal,_xlfn.XLOOKUP($A1277,My_Audit!$A:$A,My_Audit!L:L,""),
_xlfn.IFS(_xlpm.MyAuditVal&lt;&gt;"",UPPER(_xlpm.MyAuditVal),_xlpm.MacVal&lt;&gt;"",_xlpm.MacVal,_xlpm.CSVVal&lt;&gt;"",_xlpm.CSVVal
)),"")</f>
        <v/>
      </c>
      <c r="N1277" s="40"/>
      <c r="O1277" s="40" t="str">
        <f>_xlfn.LET(
    _xlpm.CSVVal, _xlfn.XLOOKUP($A1277, CSV!$A:$A, CSV!AA:AA, ""),
    _xlpm.MacVal, _xlfn.XLOOKUP($A1277, Output_Mac!$A:$A, Output_Mac!S:S, ""),
    _xlpm.MyAuditVal, _xlfn.XLOOKUP($A1277, My_Audit!$A:$A, My_Audit!P:P, ""),
    _xlfn.TEXTJOIN(", ", TRUE, _xlpm.MyAuditVal, _xlpm.MacVal, _xlpm.CSVVal)
)</f>
        <v/>
      </c>
      <c r="P1277" s="40" t="str" cm="1">
        <f t="array" ref="P1277">IFERROR(_xlfn.LET(
_xlpm.CSVVal,_xlfn.XLOOKUP($A1277,CSV!$A:$A,CSV!AB:AB,""),
_xlpm.MacVal,_xlfn.XLOOKUP($A1277,Output_Mac!$A:$A,Output_Mac!T:T,""),
_xlpm.MyAuditVal,_xlfn.XLOOKUP($A1277,My_Audit!$A:$A,My_Audit!Q:Q,""),
_xlfn.IFS(_xlpm.MyAuditVal&lt;&gt;"",UPPER(_xlpm.MyAuditVal),_xlpm.MacVal&lt;&gt;"",_xlpm.MacVal,_xlpm.CSVVal&lt;&gt;"",_xlpm.CSVVal
)),"No")</f>
        <v>No</v>
      </c>
      <c r="Q1277" s="40" t="str" cm="1">
        <f t="array" ref="Q1277">IFERROR(_xlfn.LET(
_xlpm.CSVVal,_xlfn.XLOOKUP($A1277,CSV!$A:$A,CSV!AC:AC,""),
_xlpm.MacVal,_xlfn.XLOOKUP($A1277,Output_Mac!$A:$A,Output_Mac!U:U,""),
_xlpm.MyAuditVal,_xlfn.XLOOKUP($A1277,My_Audit!$A:$A,My_Audit!R:R,""),
_xlfn.IFS(_xlpm.MyAuditVal&lt;&gt;"",UPPER(_xlpm.MyAuditVal),_xlpm.MacVal&lt;&gt;"",_xlpm.MacVal,_xlpm.CSVVal&lt;&gt;"",_xlpm.CSVVal
)),"")</f>
        <v/>
      </c>
      <c r="R1277" s="40"/>
      <c r="S1277" s="40"/>
      <c r="T1277" s="40"/>
      <c r="U1277" s="40"/>
      <c r="V1277" s="40"/>
      <c r="W1277" s="40"/>
      <c r="X1277" s="41" t="str">
        <f>_xlfn.LET(
    _xlpm.MacVal, _xlfn.XLOOKUP($A1277, Output_Mac!$A:$A, Output_Mac!AB:AB, ""),
    _xlpm.MyAuditVal, _xlfn.XLOOKUP($A1277, My_Audit!$A:$A, My_Audit!N:N, ""),
    _xlfn.TEXTJOIN(", ", TRUE, _xlpm.MyAuditVal, _xlpm.MacVal)
)</f>
        <v/>
      </c>
    </row>
    <row r="1278" spans="1:24">
      <c r="A1278" s="40" t="str">
        <f>_xlfn.TEXTJOIN("",TRUE,Input!$B$2,ROW(My_Audit!A1277))</f>
        <v>X1277</v>
      </c>
      <c r="B1278" s="40" t="str">
        <f>_xlfn.TEXTJOIN("-",TRUE,"ITD",Input!$A$2,A1278)</f>
        <v>ITD-X1277</v>
      </c>
      <c r="C1278" s="40" t="str" cm="1">
        <f t="array" ref="C1278">IFERROR(_xlfn.LET(
_xlpm.CSVVal,_xlfn.XLOOKUP($A1278,CSV!$A:$A,CSV!B:B,""),
_xlpm.MacVal,_xlfn.XLOOKUP($A1278,Output_Mac!$A:$A,Output_Mac!B:B,""),
_xlpm.MyAuditVal,_xlfn.XLOOKUP($A1278,My_Audit!$A:$A,My_Audit!B:B,""),
_xlfn.IFS(_xlpm.MyAuditVal&lt;&gt;"",UPPER(_xlpm.MyAuditVal),_xlpm.MacVal&lt;&gt;"",_xlpm.MacVal,_xlpm.CSVVal&lt;&gt;"",_xlpm.CSVVal
)),"")</f>
        <v/>
      </c>
      <c r="D1278" s="40" t="str" cm="1">
        <f t="array" ref="D1278">IFERROR(_xlfn.LET(
_xlpm.CSVVal,_xlfn.XLOOKUP($A1278,CSV!$A:$A,CSV!D:D,""),
_xlpm.MacVal,_xlfn.XLOOKUP($A1278,Output_Mac!$A:$A,Output_Mac!C:C,""),
_xlpm.MyAuditVal,_xlfn.XLOOKUP($A1278,My_Audit!$A:$A,My_Audit!C:C,""),
_xlfn.IFS(_xlpm.MyAuditVal&lt;&gt;"",_xlpm.MyAuditVal,_xlpm.MacVal&lt;&gt;"",_xlpm.MacVal,_xlpm.CSVVal&lt;&gt;"",_xlpm.CSVVal
)),"")</f>
        <v/>
      </c>
      <c r="E1278" s="40" t="str">
        <f>_xlfn.XLOOKUP(A1278,My_Audit!A:A,My_Audit!D:D,"")</f>
        <v/>
      </c>
      <c r="F1278" s="40" t="str" cm="1">
        <f t="array" ref="F1278">IFERROR(_xlfn.LET(
_xlpm.CSVVal,_xlfn.XLOOKUP($A1278,CSV!$A:$A,CSV!F:F,""),
_xlpm.MacVal,_xlfn.XLOOKUP($A1278,Output_Mac!$A:$A,Output_Mac!E:E,""),
_xlpm.MyAuditVal,_xlfn.XLOOKUP($A1278,My_Audit!$A:$A,My_Audit!E:E,""),
_xlfn.IFS(_xlpm.MyAuditVal&lt;&gt;"",_xlpm.MyAuditVal,_xlpm.MacVal&lt;&gt;"",_xlpm.MacVal,_xlpm.CSVVal&lt;&gt;"",_xlpm.CSVVal
)),"")</f>
        <v/>
      </c>
      <c r="G1278" s="40" t="str" cm="1">
        <f t="array" ref="G1278">IFERROR(_xlfn.LET(
_xlpm.CSVVal,_xlfn.XLOOKUP($A1278,CSV!$A:$A,CSV!G:G,""),
_xlpm.MacVal,_xlfn.XLOOKUP($A1278,Output_Mac!$A:$A,Output_Mac!F:F,""),
_xlpm.MyAuditVal,_xlfn.XLOOKUP($A1278,My_Audit!$A:$A,My_Audit!F:F,""),
_xlfn.IFS(_xlpm.MyAuditVal&lt;&gt;"",_xlpm.MyAuditVal,_xlpm.MacVal&lt;&gt;"",_xlpm.MacVal,_xlpm.CSVVal&lt;&gt;"",PROPER(_xlpm.CSVVal)
)),"")</f>
        <v/>
      </c>
      <c r="H1278" s="40" t="str" cm="1">
        <f t="array" ref="H1278">IFERROR(_xlfn.LET(
_xlpm.CSVVal,_xlfn.XLOOKUP($A1278,CSV!$A:$A,CSV!H:H,""),
_xlpm.MacVal,_xlfn.XLOOKUP($A1278,Output_Mac!$A:$A,Output_Mac!H:H,""),
_xlpm.MyAuditVal,_xlfn.XLOOKUP($A1278,My_Audit!$A:$A,My_Audit!G:G,""),
_xlfn.IFS(_xlpm.MyAuditVal&lt;&gt;"",_xlpm.MyAuditVal,_xlpm.MacVal&lt;&gt;"",_xlpm.MacVal,_xlpm.CSVVal&lt;&gt;"",_xlpm.CSVVal
)),"")</f>
        <v/>
      </c>
      <c r="I1278" s="40" t="str">
        <f>_xlfn.XLOOKUP(A1278,Output_Mac!A:A,Output_Mac!I:I,"")</f>
        <v/>
      </c>
      <c r="J1278" s="40" t="str" cm="1">
        <f t="array" ref="J1278">IFERROR(_xlfn.LET(
_xlpm.CSVVal,_xlfn.XLOOKUP($A1278,CSV!$A:$A,CSV!I:I,""),
_xlpm.MacVal,_xlfn.XLOOKUP($A1278,Output_Mac!$A:$A,Output_Mac!J:J,""),
_xlpm.MyAuditVal,_xlfn.XLOOKUP($A1278,My_Audit!$A:$A,My_Audit!I:I,""),
_xlfn.IFS(_xlpm.MyAuditVal&lt;&gt;"",UPPER(_xlpm.MyAuditVal),_xlpm.MacVal&lt;&gt;"",_xlpm.MacVal,_xlpm.CSVVal&lt;&gt;"",_xlpm.CSVVal
)),"")</f>
        <v/>
      </c>
      <c r="K1278" s="40" t="str" cm="1">
        <f t="array" ref="K1278">IFERROR(_xlfn.LET(
_xlpm.CSVVal,_xlfn.XLOOKUP($A1278,CSV!$A:$A,CSV!K:K,""),
_xlpm.MacVal,_xlfn.XLOOKUP($A1278,Output_Mac!$A:$A,Output_Mac!K:K,""),
_xlpm.MyAuditVal,_xlfn.XLOOKUP($A1278,My_Audit!$A:$A,My_Audit!J:J,""),
_xlfn.IFS(_xlpm.MyAuditVal&lt;&gt;"",UPPER(_xlpm.MyAuditVal),_xlpm.MacVal&lt;&gt;"",_xlpm.MacVal,_xlpm.CSVVal&lt;&gt;"",_xlpm.CSVVal
)),"")</f>
        <v/>
      </c>
      <c r="L1278" s="40" t="str" cm="1">
        <f t="array" ref="L1278">IFERROR(_xlfn.LET(
_xlpm.CSVVal,_xlfn.XLOOKUP($A1278,CSV!$A:$A,CSV!P:P,""),
_xlpm.MacVal,_xlfn.XLOOKUP($A1278,Output_Mac!$A:$A,Output_Mac!L:L,""),
_xlpm.MyAuditVal,_xlfn.XLOOKUP($A1278,My_Audit!$A:$A,My_Audit!K:K,""),
_xlfn.IFS(_xlpm.MyAuditVal&lt;&gt;"",UPPER(_xlpm.MyAuditVal),_xlpm.MacVal&lt;&gt;"",_xlpm.MacVal,_xlpm.CSVVal&lt;&gt;"",_xlpm.CSVVal
)),"")</f>
        <v/>
      </c>
      <c r="M1278" s="40" t="str" cm="1">
        <f t="array" ref="M1278">IFERROR(_xlfn.LET(
_xlpm.CSVVal,_xlfn.XLOOKUP($A1278,CSV!$A:$A,CSV!Q:Q,""),
_xlpm.MacVal,_xlfn.XLOOKUP($A1278,Output_Mac!$A:$A,Output_Mac!M:M,""),
_xlpm.MyAuditVal,_xlfn.XLOOKUP($A1278,My_Audit!$A:$A,My_Audit!L:L,""),
_xlfn.IFS(_xlpm.MyAuditVal&lt;&gt;"",UPPER(_xlpm.MyAuditVal),_xlpm.MacVal&lt;&gt;"",_xlpm.MacVal,_xlpm.CSVVal&lt;&gt;"",_xlpm.CSVVal
)),"")</f>
        <v/>
      </c>
      <c r="N1278" s="40"/>
      <c r="O1278" s="40" t="str">
        <f>_xlfn.LET(
    _xlpm.CSVVal, _xlfn.XLOOKUP($A1278, CSV!$A:$A, CSV!AA:AA, ""),
    _xlpm.MacVal, _xlfn.XLOOKUP($A1278, Output_Mac!$A:$A, Output_Mac!S:S, ""),
    _xlpm.MyAuditVal, _xlfn.XLOOKUP($A1278, My_Audit!$A:$A, My_Audit!P:P, ""),
    _xlfn.TEXTJOIN(", ", TRUE, _xlpm.MyAuditVal, _xlpm.MacVal, _xlpm.CSVVal)
)</f>
        <v/>
      </c>
      <c r="P1278" s="40" t="str" cm="1">
        <f t="array" ref="P1278">IFERROR(_xlfn.LET(
_xlpm.CSVVal,_xlfn.XLOOKUP($A1278,CSV!$A:$A,CSV!AB:AB,""),
_xlpm.MacVal,_xlfn.XLOOKUP($A1278,Output_Mac!$A:$A,Output_Mac!T:T,""),
_xlpm.MyAuditVal,_xlfn.XLOOKUP($A1278,My_Audit!$A:$A,My_Audit!Q:Q,""),
_xlfn.IFS(_xlpm.MyAuditVal&lt;&gt;"",UPPER(_xlpm.MyAuditVal),_xlpm.MacVal&lt;&gt;"",_xlpm.MacVal,_xlpm.CSVVal&lt;&gt;"",_xlpm.CSVVal
)),"No")</f>
        <v>No</v>
      </c>
      <c r="Q1278" s="40" t="str" cm="1">
        <f t="array" ref="Q1278">IFERROR(_xlfn.LET(
_xlpm.CSVVal,_xlfn.XLOOKUP($A1278,CSV!$A:$A,CSV!AC:AC,""),
_xlpm.MacVal,_xlfn.XLOOKUP($A1278,Output_Mac!$A:$A,Output_Mac!U:U,""),
_xlpm.MyAuditVal,_xlfn.XLOOKUP($A1278,My_Audit!$A:$A,My_Audit!R:R,""),
_xlfn.IFS(_xlpm.MyAuditVal&lt;&gt;"",UPPER(_xlpm.MyAuditVal),_xlpm.MacVal&lt;&gt;"",_xlpm.MacVal,_xlpm.CSVVal&lt;&gt;"",_xlpm.CSVVal
)),"")</f>
        <v/>
      </c>
      <c r="R1278" s="40"/>
      <c r="S1278" s="40"/>
      <c r="T1278" s="40"/>
      <c r="U1278" s="40"/>
      <c r="V1278" s="40"/>
      <c r="W1278" s="40"/>
      <c r="X1278" s="41" t="str">
        <f>_xlfn.LET(
    _xlpm.MacVal, _xlfn.XLOOKUP($A1278, Output_Mac!$A:$A, Output_Mac!AB:AB, ""),
    _xlpm.MyAuditVal, _xlfn.XLOOKUP($A1278, My_Audit!$A:$A, My_Audit!N:N, ""),
    _xlfn.TEXTJOIN(", ", TRUE, _xlpm.MyAuditVal, _xlpm.MacVal)
)</f>
        <v/>
      </c>
    </row>
    <row r="1279" spans="1:24">
      <c r="A1279" s="40" t="str">
        <f>_xlfn.TEXTJOIN("",TRUE,Input!$B$2,ROW(My_Audit!A1278))</f>
        <v>X1278</v>
      </c>
      <c r="B1279" s="40" t="str">
        <f>_xlfn.TEXTJOIN("-",TRUE,"ITD",Input!$A$2,A1279)</f>
        <v>ITD-X1278</v>
      </c>
      <c r="C1279" s="40" t="str" cm="1">
        <f t="array" ref="C1279">IFERROR(_xlfn.LET(
_xlpm.CSVVal,_xlfn.XLOOKUP($A1279,CSV!$A:$A,CSV!B:B,""),
_xlpm.MacVal,_xlfn.XLOOKUP($A1279,Output_Mac!$A:$A,Output_Mac!B:B,""),
_xlpm.MyAuditVal,_xlfn.XLOOKUP($A1279,My_Audit!$A:$A,My_Audit!B:B,""),
_xlfn.IFS(_xlpm.MyAuditVal&lt;&gt;"",UPPER(_xlpm.MyAuditVal),_xlpm.MacVal&lt;&gt;"",_xlpm.MacVal,_xlpm.CSVVal&lt;&gt;"",_xlpm.CSVVal
)),"")</f>
        <v/>
      </c>
      <c r="D1279" s="40" t="str" cm="1">
        <f t="array" ref="D1279">IFERROR(_xlfn.LET(
_xlpm.CSVVal,_xlfn.XLOOKUP($A1279,CSV!$A:$A,CSV!D:D,""),
_xlpm.MacVal,_xlfn.XLOOKUP($A1279,Output_Mac!$A:$A,Output_Mac!C:C,""),
_xlpm.MyAuditVal,_xlfn.XLOOKUP($A1279,My_Audit!$A:$A,My_Audit!C:C,""),
_xlfn.IFS(_xlpm.MyAuditVal&lt;&gt;"",_xlpm.MyAuditVal,_xlpm.MacVal&lt;&gt;"",_xlpm.MacVal,_xlpm.CSVVal&lt;&gt;"",_xlpm.CSVVal
)),"")</f>
        <v/>
      </c>
      <c r="E1279" s="40" t="str">
        <f>_xlfn.XLOOKUP(A1279,My_Audit!A:A,My_Audit!D:D,"")</f>
        <v/>
      </c>
      <c r="F1279" s="40" t="str" cm="1">
        <f t="array" ref="F1279">IFERROR(_xlfn.LET(
_xlpm.CSVVal,_xlfn.XLOOKUP($A1279,CSV!$A:$A,CSV!F:F,""),
_xlpm.MacVal,_xlfn.XLOOKUP($A1279,Output_Mac!$A:$A,Output_Mac!E:E,""),
_xlpm.MyAuditVal,_xlfn.XLOOKUP($A1279,My_Audit!$A:$A,My_Audit!E:E,""),
_xlfn.IFS(_xlpm.MyAuditVal&lt;&gt;"",_xlpm.MyAuditVal,_xlpm.MacVal&lt;&gt;"",_xlpm.MacVal,_xlpm.CSVVal&lt;&gt;"",_xlpm.CSVVal
)),"")</f>
        <v/>
      </c>
      <c r="G1279" s="40" t="str" cm="1">
        <f t="array" ref="G1279">IFERROR(_xlfn.LET(
_xlpm.CSVVal,_xlfn.XLOOKUP($A1279,CSV!$A:$A,CSV!G:G,""),
_xlpm.MacVal,_xlfn.XLOOKUP($A1279,Output_Mac!$A:$A,Output_Mac!F:F,""),
_xlpm.MyAuditVal,_xlfn.XLOOKUP($A1279,My_Audit!$A:$A,My_Audit!F:F,""),
_xlfn.IFS(_xlpm.MyAuditVal&lt;&gt;"",_xlpm.MyAuditVal,_xlpm.MacVal&lt;&gt;"",_xlpm.MacVal,_xlpm.CSVVal&lt;&gt;"",PROPER(_xlpm.CSVVal)
)),"")</f>
        <v/>
      </c>
      <c r="H1279" s="40" t="str" cm="1">
        <f t="array" ref="H1279">IFERROR(_xlfn.LET(
_xlpm.CSVVal,_xlfn.XLOOKUP($A1279,CSV!$A:$A,CSV!H:H,""),
_xlpm.MacVal,_xlfn.XLOOKUP($A1279,Output_Mac!$A:$A,Output_Mac!H:H,""),
_xlpm.MyAuditVal,_xlfn.XLOOKUP($A1279,My_Audit!$A:$A,My_Audit!G:G,""),
_xlfn.IFS(_xlpm.MyAuditVal&lt;&gt;"",_xlpm.MyAuditVal,_xlpm.MacVal&lt;&gt;"",_xlpm.MacVal,_xlpm.CSVVal&lt;&gt;"",_xlpm.CSVVal
)),"")</f>
        <v/>
      </c>
      <c r="I1279" s="40" t="str">
        <f>_xlfn.XLOOKUP(A1279,Output_Mac!A:A,Output_Mac!I:I,"")</f>
        <v/>
      </c>
      <c r="J1279" s="40" t="str" cm="1">
        <f t="array" ref="J1279">IFERROR(_xlfn.LET(
_xlpm.CSVVal,_xlfn.XLOOKUP($A1279,CSV!$A:$A,CSV!I:I,""),
_xlpm.MacVal,_xlfn.XLOOKUP($A1279,Output_Mac!$A:$A,Output_Mac!J:J,""),
_xlpm.MyAuditVal,_xlfn.XLOOKUP($A1279,My_Audit!$A:$A,My_Audit!I:I,""),
_xlfn.IFS(_xlpm.MyAuditVal&lt;&gt;"",UPPER(_xlpm.MyAuditVal),_xlpm.MacVal&lt;&gt;"",_xlpm.MacVal,_xlpm.CSVVal&lt;&gt;"",_xlpm.CSVVal
)),"")</f>
        <v/>
      </c>
      <c r="K1279" s="40" t="str" cm="1">
        <f t="array" ref="K1279">IFERROR(_xlfn.LET(
_xlpm.CSVVal,_xlfn.XLOOKUP($A1279,CSV!$A:$A,CSV!K:K,""),
_xlpm.MacVal,_xlfn.XLOOKUP($A1279,Output_Mac!$A:$A,Output_Mac!K:K,""),
_xlpm.MyAuditVal,_xlfn.XLOOKUP($A1279,My_Audit!$A:$A,My_Audit!J:J,""),
_xlfn.IFS(_xlpm.MyAuditVal&lt;&gt;"",UPPER(_xlpm.MyAuditVal),_xlpm.MacVal&lt;&gt;"",_xlpm.MacVal,_xlpm.CSVVal&lt;&gt;"",_xlpm.CSVVal
)),"")</f>
        <v/>
      </c>
      <c r="L1279" s="40" t="str" cm="1">
        <f t="array" ref="L1279">IFERROR(_xlfn.LET(
_xlpm.CSVVal,_xlfn.XLOOKUP($A1279,CSV!$A:$A,CSV!P:P,""),
_xlpm.MacVal,_xlfn.XLOOKUP($A1279,Output_Mac!$A:$A,Output_Mac!L:L,""),
_xlpm.MyAuditVal,_xlfn.XLOOKUP($A1279,My_Audit!$A:$A,My_Audit!K:K,""),
_xlfn.IFS(_xlpm.MyAuditVal&lt;&gt;"",UPPER(_xlpm.MyAuditVal),_xlpm.MacVal&lt;&gt;"",_xlpm.MacVal,_xlpm.CSVVal&lt;&gt;"",_xlpm.CSVVal
)),"")</f>
        <v/>
      </c>
      <c r="M1279" s="40" t="str" cm="1">
        <f t="array" ref="M1279">IFERROR(_xlfn.LET(
_xlpm.CSVVal,_xlfn.XLOOKUP($A1279,CSV!$A:$A,CSV!Q:Q,""),
_xlpm.MacVal,_xlfn.XLOOKUP($A1279,Output_Mac!$A:$A,Output_Mac!M:M,""),
_xlpm.MyAuditVal,_xlfn.XLOOKUP($A1279,My_Audit!$A:$A,My_Audit!L:L,""),
_xlfn.IFS(_xlpm.MyAuditVal&lt;&gt;"",UPPER(_xlpm.MyAuditVal),_xlpm.MacVal&lt;&gt;"",_xlpm.MacVal,_xlpm.CSVVal&lt;&gt;"",_xlpm.CSVVal
)),"")</f>
        <v/>
      </c>
      <c r="N1279" s="40"/>
      <c r="O1279" s="40" t="str">
        <f>_xlfn.LET(
    _xlpm.CSVVal, _xlfn.XLOOKUP($A1279, CSV!$A:$A, CSV!AA:AA, ""),
    _xlpm.MacVal, _xlfn.XLOOKUP($A1279, Output_Mac!$A:$A, Output_Mac!S:S, ""),
    _xlpm.MyAuditVal, _xlfn.XLOOKUP($A1279, My_Audit!$A:$A, My_Audit!P:P, ""),
    _xlfn.TEXTJOIN(", ", TRUE, _xlpm.MyAuditVal, _xlpm.MacVal, _xlpm.CSVVal)
)</f>
        <v/>
      </c>
      <c r="P1279" s="40" t="str" cm="1">
        <f t="array" ref="P1279">IFERROR(_xlfn.LET(
_xlpm.CSVVal,_xlfn.XLOOKUP($A1279,CSV!$A:$A,CSV!AB:AB,""),
_xlpm.MacVal,_xlfn.XLOOKUP($A1279,Output_Mac!$A:$A,Output_Mac!T:T,""),
_xlpm.MyAuditVal,_xlfn.XLOOKUP($A1279,My_Audit!$A:$A,My_Audit!Q:Q,""),
_xlfn.IFS(_xlpm.MyAuditVal&lt;&gt;"",UPPER(_xlpm.MyAuditVal),_xlpm.MacVal&lt;&gt;"",_xlpm.MacVal,_xlpm.CSVVal&lt;&gt;"",_xlpm.CSVVal
)),"No")</f>
        <v>No</v>
      </c>
      <c r="Q1279" s="40" t="str" cm="1">
        <f t="array" ref="Q1279">IFERROR(_xlfn.LET(
_xlpm.CSVVal,_xlfn.XLOOKUP($A1279,CSV!$A:$A,CSV!AC:AC,""),
_xlpm.MacVal,_xlfn.XLOOKUP($A1279,Output_Mac!$A:$A,Output_Mac!U:U,""),
_xlpm.MyAuditVal,_xlfn.XLOOKUP($A1279,My_Audit!$A:$A,My_Audit!R:R,""),
_xlfn.IFS(_xlpm.MyAuditVal&lt;&gt;"",UPPER(_xlpm.MyAuditVal),_xlpm.MacVal&lt;&gt;"",_xlpm.MacVal,_xlpm.CSVVal&lt;&gt;"",_xlpm.CSVVal
)),"")</f>
        <v/>
      </c>
      <c r="R1279" s="40"/>
      <c r="S1279" s="40"/>
      <c r="T1279" s="40"/>
      <c r="U1279" s="40"/>
      <c r="V1279" s="40"/>
      <c r="W1279" s="40"/>
      <c r="X1279" s="41" t="str">
        <f>_xlfn.LET(
    _xlpm.MacVal, _xlfn.XLOOKUP($A1279, Output_Mac!$A:$A, Output_Mac!AB:AB, ""),
    _xlpm.MyAuditVal, _xlfn.XLOOKUP($A1279, My_Audit!$A:$A, My_Audit!N:N, ""),
    _xlfn.TEXTJOIN(", ", TRUE, _xlpm.MyAuditVal, _xlpm.MacVal)
)</f>
        <v/>
      </c>
    </row>
    <row r="1280" spans="1:24">
      <c r="A1280" s="40" t="str">
        <f>_xlfn.TEXTJOIN("",TRUE,Input!$B$2,ROW(My_Audit!A1279))</f>
        <v>X1279</v>
      </c>
      <c r="B1280" s="40" t="str">
        <f>_xlfn.TEXTJOIN("-",TRUE,"ITD",Input!$A$2,A1280)</f>
        <v>ITD-X1279</v>
      </c>
      <c r="C1280" s="40" t="str" cm="1">
        <f t="array" ref="C1280">IFERROR(_xlfn.LET(
_xlpm.CSVVal,_xlfn.XLOOKUP($A1280,CSV!$A:$A,CSV!B:B,""),
_xlpm.MacVal,_xlfn.XLOOKUP($A1280,Output_Mac!$A:$A,Output_Mac!B:B,""),
_xlpm.MyAuditVal,_xlfn.XLOOKUP($A1280,My_Audit!$A:$A,My_Audit!B:B,""),
_xlfn.IFS(_xlpm.MyAuditVal&lt;&gt;"",UPPER(_xlpm.MyAuditVal),_xlpm.MacVal&lt;&gt;"",_xlpm.MacVal,_xlpm.CSVVal&lt;&gt;"",_xlpm.CSVVal
)),"")</f>
        <v/>
      </c>
      <c r="D1280" s="40" t="str" cm="1">
        <f t="array" ref="D1280">IFERROR(_xlfn.LET(
_xlpm.CSVVal,_xlfn.XLOOKUP($A1280,CSV!$A:$A,CSV!D:D,""),
_xlpm.MacVal,_xlfn.XLOOKUP($A1280,Output_Mac!$A:$A,Output_Mac!C:C,""),
_xlpm.MyAuditVal,_xlfn.XLOOKUP($A1280,My_Audit!$A:$A,My_Audit!C:C,""),
_xlfn.IFS(_xlpm.MyAuditVal&lt;&gt;"",_xlpm.MyAuditVal,_xlpm.MacVal&lt;&gt;"",_xlpm.MacVal,_xlpm.CSVVal&lt;&gt;"",_xlpm.CSVVal
)),"")</f>
        <v/>
      </c>
      <c r="E1280" s="40" t="str">
        <f>_xlfn.XLOOKUP(A1280,My_Audit!A:A,My_Audit!D:D,"")</f>
        <v/>
      </c>
      <c r="F1280" s="40" t="str" cm="1">
        <f t="array" ref="F1280">IFERROR(_xlfn.LET(
_xlpm.CSVVal,_xlfn.XLOOKUP($A1280,CSV!$A:$A,CSV!F:F,""),
_xlpm.MacVal,_xlfn.XLOOKUP($A1280,Output_Mac!$A:$A,Output_Mac!E:E,""),
_xlpm.MyAuditVal,_xlfn.XLOOKUP($A1280,My_Audit!$A:$A,My_Audit!E:E,""),
_xlfn.IFS(_xlpm.MyAuditVal&lt;&gt;"",_xlpm.MyAuditVal,_xlpm.MacVal&lt;&gt;"",_xlpm.MacVal,_xlpm.CSVVal&lt;&gt;"",_xlpm.CSVVal
)),"")</f>
        <v/>
      </c>
      <c r="G1280" s="40" t="str" cm="1">
        <f t="array" ref="G1280">IFERROR(_xlfn.LET(
_xlpm.CSVVal,_xlfn.XLOOKUP($A1280,CSV!$A:$A,CSV!G:G,""),
_xlpm.MacVal,_xlfn.XLOOKUP($A1280,Output_Mac!$A:$A,Output_Mac!F:F,""),
_xlpm.MyAuditVal,_xlfn.XLOOKUP($A1280,My_Audit!$A:$A,My_Audit!F:F,""),
_xlfn.IFS(_xlpm.MyAuditVal&lt;&gt;"",_xlpm.MyAuditVal,_xlpm.MacVal&lt;&gt;"",_xlpm.MacVal,_xlpm.CSVVal&lt;&gt;"",PROPER(_xlpm.CSVVal)
)),"")</f>
        <v/>
      </c>
      <c r="H1280" s="40" t="str" cm="1">
        <f t="array" ref="H1280">IFERROR(_xlfn.LET(
_xlpm.CSVVal,_xlfn.XLOOKUP($A1280,CSV!$A:$A,CSV!H:H,""),
_xlpm.MacVal,_xlfn.XLOOKUP($A1280,Output_Mac!$A:$A,Output_Mac!H:H,""),
_xlpm.MyAuditVal,_xlfn.XLOOKUP($A1280,My_Audit!$A:$A,My_Audit!G:G,""),
_xlfn.IFS(_xlpm.MyAuditVal&lt;&gt;"",_xlpm.MyAuditVal,_xlpm.MacVal&lt;&gt;"",_xlpm.MacVal,_xlpm.CSVVal&lt;&gt;"",_xlpm.CSVVal
)),"")</f>
        <v/>
      </c>
      <c r="I1280" s="40" t="str">
        <f>_xlfn.XLOOKUP(A1280,Output_Mac!A:A,Output_Mac!I:I,"")</f>
        <v/>
      </c>
      <c r="J1280" s="40" t="str" cm="1">
        <f t="array" ref="J1280">IFERROR(_xlfn.LET(
_xlpm.CSVVal,_xlfn.XLOOKUP($A1280,CSV!$A:$A,CSV!I:I,""),
_xlpm.MacVal,_xlfn.XLOOKUP($A1280,Output_Mac!$A:$A,Output_Mac!J:J,""),
_xlpm.MyAuditVal,_xlfn.XLOOKUP($A1280,My_Audit!$A:$A,My_Audit!I:I,""),
_xlfn.IFS(_xlpm.MyAuditVal&lt;&gt;"",UPPER(_xlpm.MyAuditVal),_xlpm.MacVal&lt;&gt;"",_xlpm.MacVal,_xlpm.CSVVal&lt;&gt;"",_xlpm.CSVVal
)),"")</f>
        <v/>
      </c>
      <c r="K1280" s="40" t="str" cm="1">
        <f t="array" ref="K1280">IFERROR(_xlfn.LET(
_xlpm.CSVVal,_xlfn.XLOOKUP($A1280,CSV!$A:$A,CSV!K:K,""),
_xlpm.MacVal,_xlfn.XLOOKUP($A1280,Output_Mac!$A:$A,Output_Mac!K:K,""),
_xlpm.MyAuditVal,_xlfn.XLOOKUP($A1280,My_Audit!$A:$A,My_Audit!J:J,""),
_xlfn.IFS(_xlpm.MyAuditVal&lt;&gt;"",UPPER(_xlpm.MyAuditVal),_xlpm.MacVal&lt;&gt;"",_xlpm.MacVal,_xlpm.CSVVal&lt;&gt;"",_xlpm.CSVVal
)),"")</f>
        <v/>
      </c>
      <c r="L1280" s="40" t="str" cm="1">
        <f t="array" ref="L1280">IFERROR(_xlfn.LET(
_xlpm.CSVVal,_xlfn.XLOOKUP($A1280,CSV!$A:$A,CSV!P:P,""),
_xlpm.MacVal,_xlfn.XLOOKUP($A1280,Output_Mac!$A:$A,Output_Mac!L:L,""),
_xlpm.MyAuditVal,_xlfn.XLOOKUP($A1280,My_Audit!$A:$A,My_Audit!K:K,""),
_xlfn.IFS(_xlpm.MyAuditVal&lt;&gt;"",UPPER(_xlpm.MyAuditVal),_xlpm.MacVal&lt;&gt;"",_xlpm.MacVal,_xlpm.CSVVal&lt;&gt;"",_xlpm.CSVVal
)),"")</f>
        <v/>
      </c>
      <c r="M1280" s="40" t="str" cm="1">
        <f t="array" ref="M1280">IFERROR(_xlfn.LET(
_xlpm.CSVVal,_xlfn.XLOOKUP($A1280,CSV!$A:$A,CSV!Q:Q,""),
_xlpm.MacVal,_xlfn.XLOOKUP($A1280,Output_Mac!$A:$A,Output_Mac!M:M,""),
_xlpm.MyAuditVal,_xlfn.XLOOKUP($A1280,My_Audit!$A:$A,My_Audit!L:L,""),
_xlfn.IFS(_xlpm.MyAuditVal&lt;&gt;"",UPPER(_xlpm.MyAuditVal),_xlpm.MacVal&lt;&gt;"",_xlpm.MacVal,_xlpm.CSVVal&lt;&gt;"",_xlpm.CSVVal
)),"")</f>
        <v/>
      </c>
      <c r="N1280" s="40"/>
      <c r="O1280" s="40" t="str">
        <f>_xlfn.LET(
    _xlpm.CSVVal, _xlfn.XLOOKUP($A1280, CSV!$A:$A, CSV!AA:AA, ""),
    _xlpm.MacVal, _xlfn.XLOOKUP($A1280, Output_Mac!$A:$A, Output_Mac!S:S, ""),
    _xlpm.MyAuditVal, _xlfn.XLOOKUP($A1280, My_Audit!$A:$A, My_Audit!P:P, ""),
    _xlfn.TEXTJOIN(", ", TRUE, _xlpm.MyAuditVal, _xlpm.MacVal, _xlpm.CSVVal)
)</f>
        <v/>
      </c>
      <c r="P1280" s="40" t="str" cm="1">
        <f t="array" ref="P1280">IFERROR(_xlfn.LET(
_xlpm.CSVVal,_xlfn.XLOOKUP($A1280,CSV!$A:$A,CSV!AB:AB,""),
_xlpm.MacVal,_xlfn.XLOOKUP($A1280,Output_Mac!$A:$A,Output_Mac!T:T,""),
_xlpm.MyAuditVal,_xlfn.XLOOKUP($A1280,My_Audit!$A:$A,My_Audit!Q:Q,""),
_xlfn.IFS(_xlpm.MyAuditVal&lt;&gt;"",UPPER(_xlpm.MyAuditVal),_xlpm.MacVal&lt;&gt;"",_xlpm.MacVal,_xlpm.CSVVal&lt;&gt;"",_xlpm.CSVVal
)),"No")</f>
        <v>No</v>
      </c>
      <c r="Q1280" s="40" t="str" cm="1">
        <f t="array" ref="Q1280">IFERROR(_xlfn.LET(
_xlpm.CSVVal,_xlfn.XLOOKUP($A1280,CSV!$A:$A,CSV!AC:AC,""),
_xlpm.MacVal,_xlfn.XLOOKUP($A1280,Output_Mac!$A:$A,Output_Mac!U:U,""),
_xlpm.MyAuditVal,_xlfn.XLOOKUP($A1280,My_Audit!$A:$A,My_Audit!R:R,""),
_xlfn.IFS(_xlpm.MyAuditVal&lt;&gt;"",UPPER(_xlpm.MyAuditVal),_xlpm.MacVal&lt;&gt;"",_xlpm.MacVal,_xlpm.CSVVal&lt;&gt;"",_xlpm.CSVVal
)),"")</f>
        <v/>
      </c>
      <c r="R1280" s="40"/>
      <c r="S1280" s="40"/>
      <c r="T1280" s="40"/>
      <c r="U1280" s="40"/>
      <c r="V1280" s="40"/>
      <c r="W1280" s="40"/>
      <c r="X1280" s="41" t="str">
        <f>_xlfn.LET(
    _xlpm.MacVal, _xlfn.XLOOKUP($A1280, Output_Mac!$A:$A, Output_Mac!AB:AB, ""),
    _xlpm.MyAuditVal, _xlfn.XLOOKUP($A1280, My_Audit!$A:$A, My_Audit!N:N, ""),
    _xlfn.TEXTJOIN(", ", TRUE, _xlpm.MyAuditVal, _xlpm.MacVal)
)</f>
        <v/>
      </c>
    </row>
    <row r="1281" spans="1:24">
      <c r="A1281" s="40" t="str">
        <f>_xlfn.TEXTJOIN("",TRUE,Input!$B$2,ROW(My_Audit!A1280))</f>
        <v>X1280</v>
      </c>
      <c r="B1281" s="40" t="str">
        <f>_xlfn.TEXTJOIN("-",TRUE,"ITD",Input!$A$2,A1281)</f>
        <v>ITD-X1280</v>
      </c>
      <c r="C1281" s="40" t="str" cm="1">
        <f t="array" ref="C1281">IFERROR(_xlfn.LET(
_xlpm.CSVVal,_xlfn.XLOOKUP($A1281,CSV!$A:$A,CSV!B:B,""),
_xlpm.MacVal,_xlfn.XLOOKUP($A1281,Output_Mac!$A:$A,Output_Mac!B:B,""),
_xlpm.MyAuditVal,_xlfn.XLOOKUP($A1281,My_Audit!$A:$A,My_Audit!B:B,""),
_xlfn.IFS(_xlpm.MyAuditVal&lt;&gt;"",UPPER(_xlpm.MyAuditVal),_xlpm.MacVal&lt;&gt;"",_xlpm.MacVal,_xlpm.CSVVal&lt;&gt;"",_xlpm.CSVVal
)),"")</f>
        <v/>
      </c>
      <c r="D1281" s="40" t="str" cm="1">
        <f t="array" ref="D1281">IFERROR(_xlfn.LET(
_xlpm.CSVVal,_xlfn.XLOOKUP($A1281,CSV!$A:$A,CSV!D:D,""),
_xlpm.MacVal,_xlfn.XLOOKUP($A1281,Output_Mac!$A:$A,Output_Mac!C:C,""),
_xlpm.MyAuditVal,_xlfn.XLOOKUP($A1281,My_Audit!$A:$A,My_Audit!C:C,""),
_xlfn.IFS(_xlpm.MyAuditVal&lt;&gt;"",_xlpm.MyAuditVal,_xlpm.MacVal&lt;&gt;"",_xlpm.MacVal,_xlpm.CSVVal&lt;&gt;"",_xlpm.CSVVal
)),"")</f>
        <v/>
      </c>
      <c r="E1281" s="40" t="str">
        <f>_xlfn.XLOOKUP(A1281,My_Audit!A:A,My_Audit!D:D,"")</f>
        <v/>
      </c>
      <c r="F1281" s="40" t="str" cm="1">
        <f t="array" ref="F1281">IFERROR(_xlfn.LET(
_xlpm.CSVVal,_xlfn.XLOOKUP($A1281,CSV!$A:$A,CSV!F:F,""),
_xlpm.MacVal,_xlfn.XLOOKUP($A1281,Output_Mac!$A:$A,Output_Mac!E:E,""),
_xlpm.MyAuditVal,_xlfn.XLOOKUP($A1281,My_Audit!$A:$A,My_Audit!E:E,""),
_xlfn.IFS(_xlpm.MyAuditVal&lt;&gt;"",_xlpm.MyAuditVal,_xlpm.MacVal&lt;&gt;"",_xlpm.MacVal,_xlpm.CSVVal&lt;&gt;"",_xlpm.CSVVal
)),"")</f>
        <v/>
      </c>
      <c r="G1281" s="40" t="str" cm="1">
        <f t="array" ref="G1281">IFERROR(_xlfn.LET(
_xlpm.CSVVal,_xlfn.XLOOKUP($A1281,CSV!$A:$A,CSV!G:G,""),
_xlpm.MacVal,_xlfn.XLOOKUP($A1281,Output_Mac!$A:$A,Output_Mac!F:F,""),
_xlpm.MyAuditVal,_xlfn.XLOOKUP($A1281,My_Audit!$A:$A,My_Audit!F:F,""),
_xlfn.IFS(_xlpm.MyAuditVal&lt;&gt;"",_xlpm.MyAuditVal,_xlpm.MacVal&lt;&gt;"",_xlpm.MacVal,_xlpm.CSVVal&lt;&gt;"",PROPER(_xlpm.CSVVal)
)),"")</f>
        <v/>
      </c>
      <c r="H1281" s="40" t="str" cm="1">
        <f t="array" ref="H1281">IFERROR(_xlfn.LET(
_xlpm.CSVVal,_xlfn.XLOOKUP($A1281,CSV!$A:$A,CSV!H:H,""),
_xlpm.MacVal,_xlfn.XLOOKUP($A1281,Output_Mac!$A:$A,Output_Mac!H:H,""),
_xlpm.MyAuditVal,_xlfn.XLOOKUP($A1281,My_Audit!$A:$A,My_Audit!G:G,""),
_xlfn.IFS(_xlpm.MyAuditVal&lt;&gt;"",_xlpm.MyAuditVal,_xlpm.MacVal&lt;&gt;"",_xlpm.MacVal,_xlpm.CSVVal&lt;&gt;"",_xlpm.CSVVal
)),"")</f>
        <v/>
      </c>
      <c r="I1281" s="40" t="str">
        <f>_xlfn.XLOOKUP(A1281,Output_Mac!A:A,Output_Mac!I:I,"")</f>
        <v/>
      </c>
      <c r="J1281" s="40" t="str" cm="1">
        <f t="array" ref="J1281">IFERROR(_xlfn.LET(
_xlpm.CSVVal,_xlfn.XLOOKUP($A1281,CSV!$A:$A,CSV!I:I,""),
_xlpm.MacVal,_xlfn.XLOOKUP($A1281,Output_Mac!$A:$A,Output_Mac!J:J,""),
_xlpm.MyAuditVal,_xlfn.XLOOKUP($A1281,My_Audit!$A:$A,My_Audit!I:I,""),
_xlfn.IFS(_xlpm.MyAuditVal&lt;&gt;"",UPPER(_xlpm.MyAuditVal),_xlpm.MacVal&lt;&gt;"",_xlpm.MacVal,_xlpm.CSVVal&lt;&gt;"",_xlpm.CSVVal
)),"")</f>
        <v/>
      </c>
      <c r="K1281" s="40" t="str" cm="1">
        <f t="array" ref="K1281">IFERROR(_xlfn.LET(
_xlpm.CSVVal,_xlfn.XLOOKUP($A1281,CSV!$A:$A,CSV!K:K,""),
_xlpm.MacVal,_xlfn.XLOOKUP($A1281,Output_Mac!$A:$A,Output_Mac!K:K,""),
_xlpm.MyAuditVal,_xlfn.XLOOKUP($A1281,My_Audit!$A:$A,My_Audit!J:J,""),
_xlfn.IFS(_xlpm.MyAuditVal&lt;&gt;"",UPPER(_xlpm.MyAuditVal),_xlpm.MacVal&lt;&gt;"",_xlpm.MacVal,_xlpm.CSVVal&lt;&gt;"",_xlpm.CSVVal
)),"")</f>
        <v/>
      </c>
      <c r="L1281" s="40" t="str" cm="1">
        <f t="array" ref="L1281">IFERROR(_xlfn.LET(
_xlpm.CSVVal,_xlfn.XLOOKUP($A1281,CSV!$A:$A,CSV!P:P,""),
_xlpm.MacVal,_xlfn.XLOOKUP($A1281,Output_Mac!$A:$A,Output_Mac!L:L,""),
_xlpm.MyAuditVal,_xlfn.XLOOKUP($A1281,My_Audit!$A:$A,My_Audit!K:K,""),
_xlfn.IFS(_xlpm.MyAuditVal&lt;&gt;"",UPPER(_xlpm.MyAuditVal),_xlpm.MacVal&lt;&gt;"",_xlpm.MacVal,_xlpm.CSVVal&lt;&gt;"",_xlpm.CSVVal
)),"")</f>
        <v/>
      </c>
      <c r="M1281" s="40" t="str" cm="1">
        <f t="array" ref="M1281">IFERROR(_xlfn.LET(
_xlpm.CSVVal,_xlfn.XLOOKUP($A1281,CSV!$A:$A,CSV!Q:Q,""),
_xlpm.MacVal,_xlfn.XLOOKUP($A1281,Output_Mac!$A:$A,Output_Mac!M:M,""),
_xlpm.MyAuditVal,_xlfn.XLOOKUP($A1281,My_Audit!$A:$A,My_Audit!L:L,""),
_xlfn.IFS(_xlpm.MyAuditVal&lt;&gt;"",UPPER(_xlpm.MyAuditVal),_xlpm.MacVal&lt;&gt;"",_xlpm.MacVal,_xlpm.CSVVal&lt;&gt;"",_xlpm.CSVVal
)),"")</f>
        <v/>
      </c>
      <c r="N1281" s="40"/>
      <c r="O1281" s="40" t="str">
        <f>_xlfn.LET(
    _xlpm.CSVVal, _xlfn.XLOOKUP($A1281, CSV!$A:$A, CSV!AA:AA, ""),
    _xlpm.MacVal, _xlfn.XLOOKUP($A1281, Output_Mac!$A:$A, Output_Mac!S:S, ""),
    _xlpm.MyAuditVal, _xlfn.XLOOKUP($A1281, My_Audit!$A:$A, My_Audit!P:P, ""),
    _xlfn.TEXTJOIN(", ", TRUE, _xlpm.MyAuditVal, _xlpm.MacVal, _xlpm.CSVVal)
)</f>
        <v/>
      </c>
      <c r="P1281" s="40" t="str" cm="1">
        <f t="array" ref="P1281">IFERROR(_xlfn.LET(
_xlpm.CSVVal,_xlfn.XLOOKUP($A1281,CSV!$A:$A,CSV!AB:AB,""),
_xlpm.MacVal,_xlfn.XLOOKUP($A1281,Output_Mac!$A:$A,Output_Mac!T:T,""),
_xlpm.MyAuditVal,_xlfn.XLOOKUP($A1281,My_Audit!$A:$A,My_Audit!Q:Q,""),
_xlfn.IFS(_xlpm.MyAuditVal&lt;&gt;"",UPPER(_xlpm.MyAuditVal),_xlpm.MacVal&lt;&gt;"",_xlpm.MacVal,_xlpm.CSVVal&lt;&gt;"",_xlpm.CSVVal
)),"No")</f>
        <v>No</v>
      </c>
      <c r="Q1281" s="40" t="str" cm="1">
        <f t="array" ref="Q1281">IFERROR(_xlfn.LET(
_xlpm.CSVVal,_xlfn.XLOOKUP($A1281,CSV!$A:$A,CSV!AC:AC,""),
_xlpm.MacVal,_xlfn.XLOOKUP($A1281,Output_Mac!$A:$A,Output_Mac!U:U,""),
_xlpm.MyAuditVal,_xlfn.XLOOKUP($A1281,My_Audit!$A:$A,My_Audit!R:R,""),
_xlfn.IFS(_xlpm.MyAuditVal&lt;&gt;"",UPPER(_xlpm.MyAuditVal),_xlpm.MacVal&lt;&gt;"",_xlpm.MacVal,_xlpm.CSVVal&lt;&gt;"",_xlpm.CSVVal
)),"")</f>
        <v/>
      </c>
      <c r="R1281" s="40"/>
      <c r="S1281" s="40"/>
      <c r="T1281" s="40"/>
      <c r="U1281" s="40"/>
      <c r="V1281" s="40"/>
      <c r="W1281" s="40"/>
      <c r="X1281" s="41" t="str">
        <f>_xlfn.LET(
    _xlpm.MacVal, _xlfn.XLOOKUP($A1281, Output_Mac!$A:$A, Output_Mac!AB:AB, ""),
    _xlpm.MyAuditVal, _xlfn.XLOOKUP($A1281, My_Audit!$A:$A, My_Audit!N:N, ""),
    _xlfn.TEXTJOIN(", ", TRUE, _xlpm.MyAuditVal, _xlpm.MacVal)
)</f>
        <v/>
      </c>
    </row>
    <row r="1282" spans="1:24">
      <c r="A1282" s="40" t="str">
        <f>_xlfn.TEXTJOIN("",TRUE,Input!$B$2,ROW(My_Audit!A1281))</f>
        <v>X1281</v>
      </c>
      <c r="B1282" s="40" t="str">
        <f>_xlfn.TEXTJOIN("-",TRUE,"ITD",Input!$A$2,A1282)</f>
        <v>ITD-X1281</v>
      </c>
      <c r="C1282" s="40" t="str" cm="1">
        <f t="array" ref="C1282">IFERROR(_xlfn.LET(
_xlpm.CSVVal,_xlfn.XLOOKUP($A1282,CSV!$A:$A,CSV!B:B,""),
_xlpm.MacVal,_xlfn.XLOOKUP($A1282,Output_Mac!$A:$A,Output_Mac!B:B,""),
_xlpm.MyAuditVal,_xlfn.XLOOKUP($A1282,My_Audit!$A:$A,My_Audit!B:B,""),
_xlfn.IFS(_xlpm.MyAuditVal&lt;&gt;"",UPPER(_xlpm.MyAuditVal),_xlpm.MacVal&lt;&gt;"",_xlpm.MacVal,_xlpm.CSVVal&lt;&gt;"",_xlpm.CSVVal
)),"")</f>
        <v/>
      </c>
      <c r="D1282" s="40" t="str" cm="1">
        <f t="array" ref="D1282">IFERROR(_xlfn.LET(
_xlpm.CSVVal,_xlfn.XLOOKUP($A1282,CSV!$A:$A,CSV!D:D,""),
_xlpm.MacVal,_xlfn.XLOOKUP($A1282,Output_Mac!$A:$A,Output_Mac!C:C,""),
_xlpm.MyAuditVal,_xlfn.XLOOKUP($A1282,My_Audit!$A:$A,My_Audit!C:C,""),
_xlfn.IFS(_xlpm.MyAuditVal&lt;&gt;"",_xlpm.MyAuditVal,_xlpm.MacVal&lt;&gt;"",_xlpm.MacVal,_xlpm.CSVVal&lt;&gt;"",_xlpm.CSVVal
)),"")</f>
        <v/>
      </c>
      <c r="E1282" s="40" t="str">
        <f>_xlfn.XLOOKUP(A1282,My_Audit!A:A,My_Audit!D:D,"")</f>
        <v/>
      </c>
      <c r="F1282" s="40" t="str" cm="1">
        <f t="array" ref="F1282">IFERROR(_xlfn.LET(
_xlpm.CSVVal,_xlfn.XLOOKUP($A1282,CSV!$A:$A,CSV!F:F,""),
_xlpm.MacVal,_xlfn.XLOOKUP($A1282,Output_Mac!$A:$A,Output_Mac!E:E,""),
_xlpm.MyAuditVal,_xlfn.XLOOKUP($A1282,My_Audit!$A:$A,My_Audit!E:E,""),
_xlfn.IFS(_xlpm.MyAuditVal&lt;&gt;"",_xlpm.MyAuditVal,_xlpm.MacVal&lt;&gt;"",_xlpm.MacVal,_xlpm.CSVVal&lt;&gt;"",_xlpm.CSVVal
)),"")</f>
        <v/>
      </c>
      <c r="G1282" s="40" t="str" cm="1">
        <f t="array" ref="G1282">IFERROR(_xlfn.LET(
_xlpm.CSVVal,_xlfn.XLOOKUP($A1282,CSV!$A:$A,CSV!G:G,""),
_xlpm.MacVal,_xlfn.XLOOKUP($A1282,Output_Mac!$A:$A,Output_Mac!F:F,""),
_xlpm.MyAuditVal,_xlfn.XLOOKUP($A1282,My_Audit!$A:$A,My_Audit!F:F,""),
_xlfn.IFS(_xlpm.MyAuditVal&lt;&gt;"",_xlpm.MyAuditVal,_xlpm.MacVal&lt;&gt;"",_xlpm.MacVal,_xlpm.CSVVal&lt;&gt;"",PROPER(_xlpm.CSVVal)
)),"")</f>
        <v/>
      </c>
      <c r="H1282" s="40" t="str" cm="1">
        <f t="array" ref="H1282">IFERROR(_xlfn.LET(
_xlpm.CSVVal,_xlfn.XLOOKUP($A1282,CSV!$A:$A,CSV!H:H,""),
_xlpm.MacVal,_xlfn.XLOOKUP($A1282,Output_Mac!$A:$A,Output_Mac!H:H,""),
_xlpm.MyAuditVal,_xlfn.XLOOKUP($A1282,My_Audit!$A:$A,My_Audit!G:G,""),
_xlfn.IFS(_xlpm.MyAuditVal&lt;&gt;"",_xlpm.MyAuditVal,_xlpm.MacVal&lt;&gt;"",_xlpm.MacVal,_xlpm.CSVVal&lt;&gt;"",_xlpm.CSVVal
)),"")</f>
        <v/>
      </c>
      <c r="I1282" s="40" t="str">
        <f>_xlfn.XLOOKUP(A1282,Output_Mac!A:A,Output_Mac!I:I,"")</f>
        <v/>
      </c>
      <c r="J1282" s="40" t="str" cm="1">
        <f t="array" ref="J1282">IFERROR(_xlfn.LET(
_xlpm.CSVVal,_xlfn.XLOOKUP($A1282,CSV!$A:$A,CSV!I:I,""),
_xlpm.MacVal,_xlfn.XLOOKUP($A1282,Output_Mac!$A:$A,Output_Mac!J:J,""),
_xlpm.MyAuditVal,_xlfn.XLOOKUP($A1282,My_Audit!$A:$A,My_Audit!I:I,""),
_xlfn.IFS(_xlpm.MyAuditVal&lt;&gt;"",UPPER(_xlpm.MyAuditVal),_xlpm.MacVal&lt;&gt;"",_xlpm.MacVal,_xlpm.CSVVal&lt;&gt;"",_xlpm.CSVVal
)),"")</f>
        <v/>
      </c>
      <c r="K1282" s="40" t="str" cm="1">
        <f t="array" ref="K1282">IFERROR(_xlfn.LET(
_xlpm.CSVVal,_xlfn.XLOOKUP($A1282,CSV!$A:$A,CSV!K:K,""),
_xlpm.MacVal,_xlfn.XLOOKUP($A1282,Output_Mac!$A:$A,Output_Mac!K:K,""),
_xlpm.MyAuditVal,_xlfn.XLOOKUP($A1282,My_Audit!$A:$A,My_Audit!J:J,""),
_xlfn.IFS(_xlpm.MyAuditVal&lt;&gt;"",UPPER(_xlpm.MyAuditVal),_xlpm.MacVal&lt;&gt;"",_xlpm.MacVal,_xlpm.CSVVal&lt;&gt;"",_xlpm.CSVVal
)),"")</f>
        <v/>
      </c>
      <c r="L1282" s="40" t="str" cm="1">
        <f t="array" ref="L1282">IFERROR(_xlfn.LET(
_xlpm.CSVVal,_xlfn.XLOOKUP($A1282,CSV!$A:$A,CSV!P:P,""),
_xlpm.MacVal,_xlfn.XLOOKUP($A1282,Output_Mac!$A:$A,Output_Mac!L:L,""),
_xlpm.MyAuditVal,_xlfn.XLOOKUP($A1282,My_Audit!$A:$A,My_Audit!K:K,""),
_xlfn.IFS(_xlpm.MyAuditVal&lt;&gt;"",UPPER(_xlpm.MyAuditVal),_xlpm.MacVal&lt;&gt;"",_xlpm.MacVal,_xlpm.CSVVal&lt;&gt;"",_xlpm.CSVVal
)),"")</f>
        <v/>
      </c>
      <c r="M1282" s="40" t="str" cm="1">
        <f t="array" ref="M1282">IFERROR(_xlfn.LET(
_xlpm.CSVVal,_xlfn.XLOOKUP($A1282,CSV!$A:$A,CSV!Q:Q,""),
_xlpm.MacVal,_xlfn.XLOOKUP($A1282,Output_Mac!$A:$A,Output_Mac!M:M,""),
_xlpm.MyAuditVal,_xlfn.XLOOKUP($A1282,My_Audit!$A:$A,My_Audit!L:L,""),
_xlfn.IFS(_xlpm.MyAuditVal&lt;&gt;"",UPPER(_xlpm.MyAuditVal),_xlpm.MacVal&lt;&gt;"",_xlpm.MacVal,_xlpm.CSVVal&lt;&gt;"",_xlpm.CSVVal
)),"")</f>
        <v/>
      </c>
      <c r="N1282" s="40"/>
      <c r="O1282" s="40" t="str">
        <f>_xlfn.LET(
    _xlpm.CSVVal, _xlfn.XLOOKUP($A1282, CSV!$A:$A, CSV!AA:AA, ""),
    _xlpm.MacVal, _xlfn.XLOOKUP($A1282, Output_Mac!$A:$A, Output_Mac!S:S, ""),
    _xlpm.MyAuditVal, _xlfn.XLOOKUP($A1282, My_Audit!$A:$A, My_Audit!P:P, ""),
    _xlfn.TEXTJOIN(", ", TRUE, _xlpm.MyAuditVal, _xlpm.MacVal, _xlpm.CSVVal)
)</f>
        <v/>
      </c>
      <c r="P1282" s="40" t="str" cm="1">
        <f t="array" ref="P1282">IFERROR(_xlfn.LET(
_xlpm.CSVVal,_xlfn.XLOOKUP($A1282,CSV!$A:$A,CSV!AB:AB,""),
_xlpm.MacVal,_xlfn.XLOOKUP($A1282,Output_Mac!$A:$A,Output_Mac!T:T,""),
_xlpm.MyAuditVal,_xlfn.XLOOKUP($A1282,My_Audit!$A:$A,My_Audit!Q:Q,""),
_xlfn.IFS(_xlpm.MyAuditVal&lt;&gt;"",UPPER(_xlpm.MyAuditVal),_xlpm.MacVal&lt;&gt;"",_xlpm.MacVal,_xlpm.CSVVal&lt;&gt;"",_xlpm.CSVVal
)),"No")</f>
        <v>No</v>
      </c>
      <c r="Q1282" s="40" t="str" cm="1">
        <f t="array" ref="Q1282">IFERROR(_xlfn.LET(
_xlpm.CSVVal,_xlfn.XLOOKUP($A1282,CSV!$A:$A,CSV!AC:AC,""),
_xlpm.MacVal,_xlfn.XLOOKUP($A1282,Output_Mac!$A:$A,Output_Mac!U:U,""),
_xlpm.MyAuditVal,_xlfn.XLOOKUP($A1282,My_Audit!$A:$A,My_Audit!R:R,""),
_xlfn.IFS(_xlpm.MyAuditVal&lt;&gt;"",UPPER(_xlpm.MyAuditVal),_xlpm.MacVal&lt;&gt;"",_xlpm.MacVal,_xlpm.CSVVal&lt;&gt;"",_xlpm.CSVVal
)),"")</f>
        <v/>
      </c>
      <c r="R1282" s="40"/>
      <c r="S1282" s="40"/>
      <c r="T1282" s="40"/>
      <c r="U1282" s="40"/>
      <c r="V1282" s="40"/>
      <c r="W1282" s="40"/>
      <c r="X1282" s="41" t="str">
        <f>_xlfn.LET(
    _xlpm.MacVal, _xlfn.XLOOKUP($A1282, Output_Mac!$A:$A, Output_Mac!AB:AB, ""),
    _xlpm.MyAuditVal, _xlfn.XLOOKUP($A1282, My_Audit!$A:$A, My_Audit!N:N, ""),
    _xlfn.TEXTJOIN(", ", TRUE, _xlpm.MyAuditVal, _xlpm.MacVal)
)</f>
        <v/>
      </c>
    </row>
    <row r="1283" spans="1:24">
      <c r="A1283" s="40" t="str">
        <f>_xlfn.TEXTJOIN("",TRUE,Input!$B$2,ROW(My_Audit!A1282))</f>
        <v>X1282</v>
      </c>
      <c r="B1283" s="40" t="str">
        <f>_xlfn.TEXTJOIN("-",TRUE,"ITD",Input!$A$2,A1283)</f>
        <v>ITD-X1282</v>
      </c>
      <c r="C1283" s="40" t="str" cm="1">
        <f t="array" ref="C1283">IFERROR(_xlfn.LET(
_xlpm.CSVVal,_xlfn.XLOOKUP($A1283,CSV!$A:$A,CSV!B:B,""),
_xlpm.MacVal,_xlfn.XLOOKUP($A1283,Output_Mac!$A:$A,Output_Mac!B:B,""),
_xlpm.MyAuditVal,_xlfn.XLOOKUP($A1283,My_Audit!$A:$A,My_Audit!B:B,""),
_xlfn.IFS(_xlpm.MyAuditVal&lt;&gt;"",UPPER(_xlpm.MyAuditVal),_xlpm.MacVal&lt;&gt;"",_xlpm.MacVal,_xlpm.CSVVal&lt;&gt;"",_xlpm.CSVVal
)),"")</f>
        <v/>
      </c>
      <c r="D1283" s="40" t="str" cm="1">
        <f t="array" ref="D1283">IFERROR(_xlfn.LET(
_xlpm.CSVVal,_xlfn.XLOOKUP($A1283,CSV!$A:$A,CSV!D:D,""),
_xlpm.MacVal,_xlfn.XLOOKUP($A1283,Output_Mac!$A:$A,Output_Mac!C:C,""),
_xlpm.MyAuditVal,_xlfn.XLOOKUP($A1283,My_Audit!$A:$A,My_Audit!C:C,""),
_xlfn.IFS(_xlpm.MyAuditVal&lt;&gt;"",_xlpm.MyAuditVal,_xlpm.MacVal&lt;&gt;"",_xlpm.MacVal,_xlpm.CSVVal&lt;&gt;"",_xlpm.CSVVal
)),"")</f>
        <v/>
      </c>
      <c r="E1283" s="40" t="str">
        <f>_xlfn.XLOOKUP(A1283,My_Audit!A:A,My_Audit!D:D,"")</f>
        <v/>
      </c>
      <c r="F1283" s="40" t="str" cm="1">
        <f t="array" ref="F1283">IFERROR(_xlfn.LET(
_xlpm.CSVVal,_xlfn.XLOOKUP($A1283,CSV!$A:$A,CSV!F:F,""),
_xlpm.MacVal,_xlfn.XLOOKUP($A1283,Output_Mac!$A:$A,Output_Mac!E:E,""),
_xlpm.MyAuditVal,_xlfn.XLOOKUP($A1283,My_Audit!$A:$A,My_Audit!E:E,""),
_xlfn.IFS(_xlpm.MyAuditVal&lt;&gt;"",_xlpm.MyAuditVal,_xlpm.MacVal&lt;&gt;"",_xlpm.MacVal,_xlpm.CSVVal&lt;&gt;"",_xlpm.CSVVal
)),"")</f>
        <v/>
      </c>
      <c r="G1283" s="40" t="str" cm="1">
        <f t="array" ref="G1283">IFERROR(_xlfn.LET(
_xlpm.CSVVal,_xlfn.XLOOKUP($A1283,CSV!$A:$A,CSV!G:G,""),
_xlpm.MacVal,_xlfn.XLOOKUP($A1283,Output_Mac!$A:$A,Output_Mac!F:F,""),
_xlpm.MyAuditVal,_xlfn.XLOOKUP($A1283,My_Audit!$A:$A,My_Audit!F:F,""),
_xlfn.IFS(_xlpm.MyAuditVal&lt;&gt;"",_xlpm.MyAuditVal,_xlpm.MacVal&lt;&gt;"",_xlpm.MacVal,_xlpm.CSVVal&lt;&gt;"",PROPER(_xlpm.CSVVal)
)),"")</f>
        <v/>
      </c>
      <c r="H1283" s="40" t="str" cm="1">
        <f t="array" ref="H1283">IFERROR(_xlfn.LET(
_xlpm.CSVVal,_xlfn.XLOOKUP($A1283,CSV!$A:$A,CSV!H:H,""),
_xlpm.MacVal,_xlfn.XLOOKUP($A1283,Output_Mac!$A:$A,Output_Mac!H:H,""),
_xlpm.MyAuditVal,_xlfn.XLOOKUP($A1283,My_Audit!$A:$A,My_Audit!G:G,""),
_xlfn.IFS(_xlpm.MyAuditVal&lt;&gt;"",_xlpm.MyAuditVal,_xlpm.MacVal&lt;&gt;"",_xlpm.MacVal,_xlpm.CSVVal&lt;&gt;"",_xlpm.CSVVal
)),"")</f>
        <v/>
      </c>
      <c r="I1283" s="40" t="str">
        <f>_xlfn.XLOOKUP(A1283,Output_Mac!A:A,Output_Mac!I:I,"")</f>
        <v/>
      </c>
      <c r="J1283" s="40" t="str" cm="1">
        <f t="array" ref="J1283">IFERROR(_xlfn.LET(
_xlpm.CSVVal,_xlfn.XLOOKUP($A1283,CSV!$A:$A,CSV!I:I,""),
_xlpm.MacVal,_xlfn.XLOOKUP($A1283,Output_Mac!$A:$A,Output_Mac!J:J,""),
_xlpm.MyAuditVal,_xlfn.XLOOKUP($A1283,My_Audit!$A:$A,My_Audit!I:I,""),
_xlfn.IFS(_xlpm.MyAuditVal&lt;&gt;"",UPPER(_xlpm.MyAuditVal),_xlpm.MacVal&lt;&gt;"",_xlpm.MacVal,_xlpm.CSVVal&lt;&gt;"",_xlpm.CSVVal
)),"")</f>
        <v/>
      </c>
      <c r="K1283" s="40" t="str" cm="1">
        <f t="array" ref="K1283">IFERROR(_xlfn.LET(
_xlpm.CSVVal,_xlfn.XLOOKUP($A1283,CSV!$A:$A,CSV!K:K,""),
_xlpm.MacVal,_xlfn.XLOOKUP($A1283,Output_Mac!$A:$A,Output_Mac!K:K,""),
_xlpm.MyAuditVal,_xlfn.XLOOKUP($A1283,My_Audit!$A:$A,My_Audit!J:J,""),
_xlfn.IFS(_xlpm.MyAuditVal&lt;&gt;"",UPPER(_xlpm.MyAuditVal),_xlpm.MacVal&lt;&gt;"",_xlpm.MacVal,_xlpm.CSVVal&lt;&gt;"",_xlpm.CSVVal
)),"")</f>
        <v/>
      </c>
      <c r="L1283" s="40" t="str" cm="1">
        <f t="array" ref="L1283">IFERROR(_xlfn.LET(
_xlpm.CSVVal,_xlfn.XLOOKUP($A1283,CSV!$A:$A,CSV!P:P,""),
_xlpm.MacVal,_xlfn.XLOOKUP($A1283,Output_Mac!$A:$A,Output_Mac!L:L,""),
_xlpm.MyAuditVal,_xlfn.XLOOKUP($A1283,My_Audit!$A:$A,My_Audit!K:K,""),
_xlfn.IFS(_xlpm.MyAuditVal&lt;&gt;"",UPPER(_xlpm.MyAuditVal),_xlpm.MacVal&lt;&gt;"",_xlpm.MacVal,_xlpm.CSVVal&lt;&gt;"",_xlpm.CSVVal
)),"")</f>
        <v/>
      </c>
      <c r="M1283" s="40" t="str" cm="1">
        <f t="array" ref="M1283">IFERROR(_xlfn.LET(
_xlpm.CSVVal,_xlfn.XLOOKUP($A1283,CSV!$A:$A,CSV!Q:Q,""),
_xlpm.MacVal,_xlfn.XLOOKUP($A1283,Output_Mac!$A:$A,Output_Mac!M:M,""),
_xlpm.MyAuditVal,_xlfn.XLOOKUP($A1283,My_Audit!$A:$A,My_Audit!L:L,""),
_xlfn.IFS(_xlpm.MyAuditVal&lt;&gt;"",UPPER(_xlpm.MyAuditVal),_xlpm.MacVal&lt;&gt;"",_xlpm.MacVal,_xlpm.CSVVal&lt;&gt;"",_xlpm.CSVVal
)),"")</f>
        <v/>
      </c>
      <c r="N1283" s="40"/>
      <c r="O1283" s="40" t="str">
        <f>_xlfn.LET(
    _xlpm.CSVVal, _xlfn.XLOOKUP($A1283, CSV!$A:$A, CSV!AA:AA, ""),
    _xlpm.MacVal, _xlfn.XLOOKUP($A1283, Output_Mac!$A:$A, Output_Mac!S:S, ""),
    _xlpm.MyAuditVal, _xlfn.XLOOKUP($A1283, My_Audit!$A:$A, My_Audit!P:P, ""),
    _xlfn.TEXTJOIN(", ", TRUE, _xlpm.MyAuditVal, _xlpm.MacVal, _xlpm.CSVVal)
)</f>
        <v/>
      </c>
      <c r="P1283" s="40" t="str" cm="1">
        <f t="array" ref="P1283">IFERROR(_xlfn.LET(
_xlpm.CSVVal,_xlfn.XLOOKUP($A1283,CSV!$A:$A,CSV!AB:AB,""),
_xlpm.MacVal,_xlfn.XLOOKUP($A1283,Output_Mac!$A:$A,Output_Mac!T:T,""),
_xlpm.MyAuditVal,_xlfn.XLOOKUP($A1283,My_Audit!$A:$A,My_Audit!Q:Q,""),
_xlfn.IFS(_xlpm.MyAuditVal&lt;&gt;"",UPPER(_xlpm.MyAuditVal),_xlpm.MacVal&lt;&gt;"",_xlpm.MacVal,_xlpm.CSVVal&lt;&gt;"",_xlpm.CSVVal
)),"No")</f>
        <v>No</v>
      </c>
      <c r="Q1283" s="40" t="str" cm="1">
        <f t="array" ref="Q1283">IFERROR(_xlfn.LET(
_xlpm.CSVVal,_xlfn.XLOOKUP($A1283,CSV!$A:$A,CSV!AC:AC,""),
_xlpm.MacVal,_xlfn.XLOOKUP($A1283,Output_Mac!$A:$A,Output_Mac!U:U,""),
_xlpm.MyAuditVal,_xlfn.XLOOKUP($A1283,My_Audit!$A:$A,My_Audit!R:R,""),
_xlfn.IFS(_xlpm.MyAuditVal&lt;&gt;"",UPPER(_xlpm.MyAuditVal),_xlpm.MacVal&lt;&gt;"",_xlpm.MacVal,_xlpm.CSVVal&lt;&gt;"",_xlpm.CSVVal
)),"")</f>
        <v/>
      </c>
      <c r="R1283" s="40"/>
      <c r="S1283" s="40"/>
      <c r="T1283" s="40"/>
      <c r="U1283" s="40"/>
      <c r="V1283" s="40"/>
      <c r="W1283" s="40"/>
      <c r="X1283" s="41" t="str">
        <f>_xlfn.LET(
    _xlpm.MacVal, _xlfn.XLOOKUP($A1283, Output_Mac!$A:$A, Output_Mac!AB:AB, ""),
    _xlpm.MyAuditVal, _xlfn.XLOOKUP($A1283, My_Audit!$A:$A, My_Audit!N:N, ""),
    _xlfn.TEXTJOIN(", ", TRUE, _xlpm.MyAuditVal, _xlpm.MacVal)
)</f>
        <v/>
      </c>
    </row>
    <row r="1284" spans="1:24">
      <c r="A1284" s="40" t="str">
        <f>_xlfn.TEXTJOIN("",TRUE,Input!$B$2,ROW(My_Audit!A1283))</f>
        <v>X1283</v>
      </c>
      <c r="B1284" s="40" t="str">
        <f>_xlfn.TEXTJOIN("-",TRUE,"ITD",Input!$A$2,A1284)</f>
        <v>ITD-X1283</v>
      </c>
      <c r="C1284" s="40" t="str" cm="1">
        <f t="array" ref="C1284">IFERROR(_xlfn.LET(
_xlpm.CSVVal,_xlfn.XLOOKUP($A1284,CSV!$A:$A,CSV!B:B,""),
_xlpm.MacVal,_xlfn.XLOOKUP($A1284,Output_Mac!$A:$A,Output_Mac!B:B,""),
_xlpm.MyAuditVal,_xlfn.XLOOKUP($A1284,My_Audit!$A:$A,My_Audit!B:B,""),
_xlfn.IFS(_xlpm.MyAuditVal&lt;&gt;"",UPPER(_xlpm.MyAuditVal),_xlpm.MacVal&lt;&gt;"",_xlpm.MacVal,_xlpm.CSVVal&lt;&gt;"",_xlpm.CSVVal
)),"")</f>
        <v/>
      </c>
      <c r="D1284" s="40" t="str" cm="1">
        <f t="array" ref="D1284">IFERROR(_xlfn.LET(
_xlpm.CSVVal,_xlfn.XLOOKUP($A1284,CSV!$A:$A,CSV!D:D,""),
_xlpm.MacVal,_xlfn.XLOOKUP($A1284,Output_Mac!$A:$A,Output_Mac!C:C,""),
_xlpm.MyAuditVal,_xlfn.XLOOKUP($A1284,My_Audit!$A:$A,My_Audit!C:C,""),
_xlfn.IFS(_xlpm.MyAuditVal&lt;&gt;"",_xlpm.MyAuditVal,_xlpm.MacVal&lt;&gt;"",_xlpm.MacVal,_xlpm.CSVVal&lt;&gt;"",_xlpm.CSVVal
)),"")</f>
        <v/>
      </c>
      <c r="E1284" s="40" t="str">
        <f>_xlfn.XLOOKUP(A1284,My_Audit!A:A,My_Audit!D:D,"")</f>
        <v/>
      </c>
      <c r="F1284" s="40" t="str" cm="1">
        <f t="array" ref="F1284">IFERROR(_xlfn.LET(
_xlpm.CSVVal,_xlfn.XLOOKUP($A1284,CSV!$A:$A,CSV!F:F,""),
_xlpm.MacVal,_xlfn.XLOOKUP($A1284,Output_Mac!$A:$A,Output_Mac!E:E,""),
_xlpm.MyAuditVal,_xlfn.XLOOKUP($A1284,My_Audit!$A:$A,My_Audit!E:E,""),
_xlfn.IFS(_xlpm.MyAuditVal&lt;&gt;"",_xlpm.MyAuditVal,_xlpm.MacVal&lt;&gt;"",_xlpm.MacVal,_xlpm.CSVVal&lt;&gt;"",_xlpm.CSVVal
)),"")</f>
        <v/>
      </c>
      <c r="G1284" s="40" t="str" cm="1">
        <f t="array" ref="G1284">IFERROR(_xlfn.LET(
_xlpm.CSVVal,_xlfn.XLOOKUP($A1284,CSV!$A:$A,CSV!G:G,""),
_xlpm.MacVal,_xlfn.XLOOKUP($A1284,Output_Mac!$A:$A,Output_Mac!F:F,""),
_xlpm.MyAuditVal,_xlfn.XLOOKUP($A1284,My_Audit!$A:$A,My_Audit!F:F,""),
_xlfn.IFS(_xlpm.MyAuditVal&lt;&gt;"",_xlpm.MyAuditVal,_xlpm.MacVal&lt;&gt;"",_xlpm.MacVal,_xlpm.CSVVal&lt;&gt;"",PROPER(_xlpm.CSVVal)
)),"")</f>
        <v/>
      </c>
      <c r="H1284" s="40" t="str" cm="1">
        <f t="array" ref="H1284">IFERROR(_xlfn.LET(
_xlpm.CSVVal,_xlfn.XLOOKUP($A1284,CSV!$A:$A,CSV!H:H,""),
_xlpm.MacVal,_xlfn.XLOOKUP($A1284,Output_Mac!$A:$A,Output_Mac!H:H,""),
_xlpm.MyAuditVal,_xlfn.XLOOKUP($A1284,My_Audit!$A:$A,My_Audit!G:G,""),
_xlfn.IFS(_xlpm.MyAuditVal&lt;&gt;"",_xlpm.MyAuditVal,_xlpm.MacVal&lt;&gt;"",_xlpm.MacVal,_xlpm.CSVVal&lt;&gt;"",_xlpm.CSVVal
)),"")</f>
        <v/>
      </c>
      <c r="I1284" s="40" t="str">
        <f>_xlfn.XLOOKUP(A1284,Output_Mac!A:A,Output_Mac!I:I,"")</f>
        <v/>
      </c>
      <c r="J1284" s="40" t="str" cm="1">
        <f t="array" ref="J1284">IFERROR(_xlfn.LET(
_xlpm.CSVVal,_xlfn.XLOOKUP($A1284,CSV!$A:$A,CSV!I:I,""),
_xlpm.MacVal,_xlfn.XLOOKUP($A1284,Output_Mac!$A:$A,Output_Mac!J:J,""),
_xlpm.MyAuditVal,_xlfn.XLOOKUP($A1284,My_Audit!$A:$A,My_Audit!I:I,""),
_xlfn.IFS(_xlpm.MyAuditVal&lt;&gt;"",UPPER(_xlpm.MyAuditVal),_xlpm.MacVal&lt;&gt;"",_xlpm.MacVal,_xlpm.CSVVal&lt;&gt;"",_xlpm.CSVVal
)),"")</f>
        <v/>
      </c>
      <c r="K1284" s="40" t="str" cm="1">
        <f t="array" ref="K1284">IFERROR(_xlfn.LET(
_xlpm.CSVVal,_xlfn.XLOOKUP($A1284,CSV!$A:$A,CSV!K:K,""),
_xlpm.MacVal,_xlfn.XLOOKUP($A1284,Output_Mac!$A:$A,Output_Mac!K:K,""),
_xlpm.MyAuditVal,_xlfn.XLOOKUP($A1284,My_Audit!$A:$A,My_Audit!J:J,""),
_xlfn.IFS(_xlpm.MyAuditVal&lt;&gt;"",UPPER(_xlpm.MyAuditVal),_xlpm.MacVal&lt;&gt;"",_xlpm.MacVal,_xlpm.CSVVal&lt;&gt;"",_xlpm.CSVVal
)),"")</f>
        <v/>
      </c>
      <c r="L1284" s="40" t="str" cm="1">
        <f t="array" ref="L1284">IFERROR(_xlfn.LET(
_xlpm.CSVVal,_xlfn.XLOOKUP($A1284,CSV!$A:$A,CSV!P:P,""),
_xlpm.MacVal,_xlfn.XLOOKUP($A1284,Output_Mac!$A:$A,Output_Mac!L:L,""),
_xlpm.MyAuditVal,_xlfn.XLOOKUP($A1284,My_Audit!$A:$A,My_Audit!K:K,""),
_xlfn.IFS(_xlpm.MyAuditVal&lt;&gt;"",UPPER(_xlpm.MyAuditVal),_xlpm.MacVal&lt;&gt;"",_xlpm.MacVal,_xlpm.CSVVal&lt;&gt;"",_xlpm.CSVVal
)),"")</f>
        <v/>
      </c>
      <c r="M1284" s="40" t="str" cm="1">
        <f t="array" ref="M1284">IFERROR(_xlfn.LET(
_xlpm.CSVVal,_xlfn.XLOOKUP($A1284,CSV!$A:$A,CSV!Q:Q,""),
_xlpm.MacVal,_xlfn.XLOOKUP($A1284,Output_Mac!$A:$A,Output_Mac!M:M,""),
_xlpm.MyAuditVal,_xlfn.XLOOKUP($A1284,My_Audit!$A:$A,My_Audit!L:L,""),
_xlfn.IFS(_xlpm.MyAuditVal&lt;&gt;"",UPPER(_xlpm.MyAuditVal),_xlpm.MacVal&lt;&gt;"",_xlpm.MacVal,_xlpm.CSVVal&lt;&gt;"",_xlpm.CSVVal
)),"")</f>
        <v/>
      </c>
      <c r="N1284" s="40"/>
      <c r="O1284" s="40" t="str">
        <f>_xlfn.LET(
    _xlpm.CSVVal, _xlfn.XLOOKUP($A1284, CSV!$A:$A, CSV!AA:AA, ""),
    _xlpm.MacVal, _xlfn.XLOOKUP($A1284, Output_Mac!$A:$A, Output_Mac!S:S, ""),
    _xlpm.MyAuditVal, _xlfn.XLOOKUP($A1284, My_Audit!$A:$A, My_Audit!P:P, ""),
    _xlfn.TEXTJOIN(", ", TRUE, _xlpm.MyAuditVal, _xlpm.MacVal, _xlpm.CSVVal)
)</f>
        <v/>
      </c>
      <c r="P1284" s="40" t="str" cm="1">
        <f t="array" ref="P1284">IFERROR(_xlfn.LET(
_xlpm.CSVVal,_xlfn.XLOOKUP($A1284,CSV!$A:$A,CSV!AB:AB,""),
_xlpm.MacVal,_xlfn.XLOOKUP($A1284,Output_Mac!$A:$A,Output_Mac!T:T,""),
_xlpm.MyAuditVal,_xlfn.XLOOKUP($A1284,My_Audit!$A:$A,My_Audit!Q:Q,""),
_xlfn.IFS(_xlpm.MyAuditVal&lt;&gt;"",UPPER(_xlpm.MyAuditVal),_xlpm.MacVal&lt;&gt;"",_xlpm.MacVal,_xlpm.CSVVal&lt;&gt;"",_xlpm.CSVVal
)),"No")</f>
        <v>No</v>
      </c>
      <c r="Q1284" s="40" t="str" cm="1">
        <f t="array" ref="Q1284">IFERROR(_xlfn.LET(
_xlpm.CSVVal,_xlfn.XLOOKUP($A1284,CSV!$A:$A,CSV!AC:AC,""),
_xlpm.MacVal,_xlfn.XLOOKUP($A1284,Output_Mac!$A:$A,Output_Mac!U:U,""),
_xlpm.MyAuditVal,_xlfn.XLOOKUP($A1284,My_Audit!$A:$A,My_Audit!R:R,""),
_xlfn.IFS(_xlpm.MyAuditVal&lt;&gt;"",UPPER(_xlpm.MyAuditVal),_xlpm.MacVal&lt;&gt;"",_xlpm.MacVal,_xlpm.CSVVal&lt;&gt;"",_xlpm.CSVVal
)),"")</f>
        <v/>
      </c>
      <c r="R1284" s="40"/>
      <c r="S1284" s="40"/>
      <c r="T1284" s="40"/>
      <c r="U1284" s="40"/>
      <c r="V1284" s="40"/>
      <c r="W1284" s="40"/>
      <c r="X1284" s="41" t="str">
        <f>_xlfn.LET(
    _xlpm.MacVal, _xlfn.XLOOKUP($A1284, Output_Mac!$A:$A, Output_Mac!AB:AB, ""),
    _xlpm.MyAuditVal, _xlfn.XLOOKUP($A1284, My_Audit!$A:$A, My_Audit!N:N, ""),
    _xlfn.TEXTJOIN(", ", TRUE, _xlpm.MyAuditVal, _xlpm.MacVal)
)</f>
        <v/>
      </c>
    </row>
    <row r="1285" spans="1:24">
      <c r="A1285" s="40" t="str">
        <f>_xlfn.TEXTJOIN("",TRUE,Input!$B$2,ROW(My_Audit!A1284))</f>
        <v>X1284</v>
      </c>
      <c r="B1285" s="40" t="str">
        <f>_xlfn.TEXTJOIN("-",TRUE,"ITD",Input!$A$2,A1285)</f>
        <v>ITD-X1284</v>
      </c>
      <c r="C1285" s="40" t="str" cm="1">
        <f t="array" ref="C1285">IFERROR(_xlfn.LET(
_xlpm.CSVVal,_xlfn.XLOOKUP($A1285,CSV!$A:$A,CSV!B:B,""),
_xlpm.MacVal,_xlfn.XLOOKUP($A1285,Output_Mac!$A:$A,Output_Mac!B:B,""),
_xlpm.MyAuditVal,_xlfn.XLOOKUP($A1285,My_Audit!$A:$A,My_Audit!B:B,""),
_xlfn.IFS(_xlpm.MyAuditVal&lt;&gt;"",UPPER(_xlpm.MyAuditVal),_xlpm.MacVal&lt;&gt;"",_xlpm.MacVal,_xlpm.CSVVal&lt;&gt;"",_xlpm.CSVVal
)),"")</f>
        <v/>
      </c>
      <c r="D1285" s="40" t="str" cm="1">
        <f t="array" ref="D1285">IFERROR(_xlfn.LET(
_xlpm.CSVVal,_xlfn.XLOOKUP($A1285,CSV!$A:$A,CSV!D:D,""),
_xlpm.MacVal,_xlfn.XLOOKUP($A1285,Output_Mac!$A:$A,Output_Mac!C:C,""),
_xlpm.MyAuditVal,_xlfn.XLOOKUP($A1285,My_Audit!$A:$A,My_Audit!C:C,""),
_xlfn.IFS(_xlpm.MyAuditVal&lt;&gt;"",_xlpm.MyAuditVal,_xlpm.MacVal&lt;&gt;"",_xlpm.MacVal,_xlpm.CSVVal&lt;&gt;"",_xlpm.CSVVal
)),"")</f>
        <v/>
      </c>
      <c r="E1285" s="40" t="str">
        <f>_xlfn.XLOOKUP(A1285,My_Audit!A:A,My_Audit!D:D,"")</f>
        <v/>
      </c>
      <c r="F1285" s="40" t="str" cm="1">
        <f t="array" ref="F1285">IFERROR(_xlfn.LET(
_xlpm.CSVVal,_xlfn.XLOOKUP($A1285,CSV!$A:$A,CSV!F:F,""),
_xlpm.MacVal,_xlfn.XLOOKUP($A1285,Output_Mac!$A:$A,Output_Mac!E:E,""),
_xlpm.MyAuditVal,_xlfn.XLOOKUP($A1285,My_Audit!$A:$A,My_Audit!E:E,""),
_xlfn.IFS(_xlpm.MyAuditVal&lt;&gt;"",_xlpm.MyAuditVal,_xlpm.MacVal&lt;&gt;"",_xlpm.MacVal,_xlpm.CSVVal&lt;&gt;"",_xlpm.CSVVal
)),"")</f>
        <v/>
      </c>
      <c r="G1285" s="40" t="str" cm="1">
        <f t="array" ref="G1285">IFERROR(_xlfn.LET(
_xlpm.CSVVal,_xlfn.XLOOKUP($A1285,CSV!$A:$A,CSV!G:G,""),
_xlpm.MacVal,_xlfn.XLOOKUP($A1285,Output_Mac!$A:$A,Output_Mac!F:F,""),
_xlpm.MyAuditVal,_xlfn.XLOOKUP($A1285,My_Audit!$A:$A,My_Audit!F:F,""),
_xlfn.IFS(_xlpm.MyAuditVal&lt;&gt;"",_xlpm.MyAuditVal,_xlpm.MacVal&lt;&gt;"",_xlpm.MacVal,_xlpm.CSVVal&lt;&gt;"",PROPER(_xlpm.CSVVal)
)),"")</f>
        <v/>
      </c>
      <c r="H1285" s="40" t="str" cm="1">
        <f t="array" ref="H1285">IFERROR(_xlfn.LET(
_xlpm.CSVVal,_xlfn.XLOOKUP($A1285,CSV!$A:$A,CSV!H:H,""),
_xlpm.MacVal,_xlfn.XLOOKUP($A1285,Output_Mac!$A:$A,Output_Mac!H:H,""),
_xlpm.MyAuditVal,_xlfn.XLOOKUP($A1285,My_Audit!$A:$A,My_Audit!G:G,""),
_xlfn.IFS(_xlpm.MyAuditVal&lt;&gt;"",_xlpm.MyAuditVal,_xlpm.MacVal&lt;&gt;"",_xlpm.MacVal,_xlpm.CSVVal&lt;&gt;"",_xlpm.CSVVal
)),"")</f>
        <v/>
      </c>
      <c r="I1285" s="40" t="str">
        <f>_xlfn.XLOOKUP(A1285,Output_Mac!A:A,Output_Mac!I:I,"")</f>
        <v/>
      </c>
      <c r="J1285" s="40" t="str" cm="1">
        <f t="array" ref="J1285">IFERROR(_xlfn.LET(
_xlpm.CSVVal,_xlfn.XLOOKUP($A1285,CSV!$A:$A,CSV!I:I,""),
_xlpm.MacVal,_xlfn.XLOOKUP($A1285,Output_Mac!$A:$A,Output_Mac!J:J,""),
_xlpm.MyAuditVal,_xlfn.XLOOKUP($A1285,My_Audit!$A:$A,My_Audit!I:I,""),
_xlfn.IFS(_xlpm.MyAuditVal&lt;&gt;"",UPPER(_xlpm.MyAuditVal),_xlpm.MacVal&lt;&gt;"",_xlpm.MacVal,_xlpm.CSVVal&lt;&gt;"",_xlpm.CSVVal
)),"")</f>
        <v/>
      </c>
      <c r="K1285" s="40" t="str" cm="1">
        <f t="array" ref="K1285">IFERROR(_xlfn.LET(
_xlpm.CSVVal,_xlfn.XLOOKUP($A1285,CSV!$A:$A,CSV!K:K,""),
_xlpm.MacVal,_xlfn.XLOOKUP($A1285,Output_Mac!$A:$A,Output_Mac!K:K,""),
_xlpm.MyAuditVal,_xlfn.XLOOKUP($A1285,My_Audit!$A:$A,My_Audit!J:J,""),
_xlfn.IFS(_xlpm.MyAuditVal&lt;&gt;"",UPPER(_xlpm.MyAuditVal),_xlpm.MacVal&lt;&gt;"",_xlpm.MacVal,_xlpm.CSVVal&lt;&gt;"",_xlpm.CSVVal
)),"")</f>
        <v/>
      </c>
      <c r="L1285" s="40" t="str" cm="1">
        <f t="array" ref="L1285">IFERROR(_xlfn.LET(
_xlpm.CSVVal,_xlfn.XLOOKUP($A1285,CSV!$A:$A,CSV!P:P,""),
_xlpm.MacVal,_xlfn.XLOOKUP($A1285,Output_Mac!$A:$A,Output_Mac!L:L,""),
_xlpm.MyAuditVal,_xlfn.XLOOKUP($A1285,My_Audit!$A:$A,My_Audit!K:K,""),
_xlfn.IFS(_xlpm.MyAuditVal&lt;&gt;"",UPPER(_xlpm.MyAuditVal),_xlpm.MacVal&lt;&gt;"",_xlpm.MacVal,_xlpm.CSVVal&lt;&gt;"",_xlpm.CSVVal
)),"")</f>
        <v/>
      </c>
      <c r="M1285" s="40" t="str" cm="1">
        <f t="array" ref="M1285">IFERROR(_xlfn.LET(
_xlpm.CSVVal,_xlfn.XLOOKUP($A1285,CSV!$A:$A,CSV!Q:Q,""),
_xlpm.MacVal,_xlfn.XLOOKUP($A1285,Output_Mac!$A:$A,Output_Mac!M:M,""),
_xlpm.MyAuditVal,_xlfn.XLOOKUP($A1285,My_Audit!$A:$A,My_Audit!L:L,""),
_xlfn.IFS(_xlpm.MyAuditVal&lt;&gt;"",UPPER(_xlpm.MyAuditVal),_xlpm.MacVal&lt;&gt;"",_xlpm.MacVal,_xlpm.CSVVal&lt;&gt;"",_xlpm.CSVVal
)),"")</f>
        <v/>
      </c>
      <c r="N1285" s="40"/>
      <c r="O1285" s="40" t="str">
        <f>_xlfn.LET(
    _xlpm.CSVVal, _xlfn.XLOOKUP($A1285, CSV!$A:$A, CSV!AA:AA, ""),
    _xlpm.MacVal, _xlfn.XLOOKUP($A1285, Output_Mac!$A:$A, Output_Mac!S:S, ""),
    _xlpm.MyAuditVal, _xlfn.XLOOKUP($A1285, My_Audit!$A:$A, My_Audit!P:P, ""),
    _xlfn.TEXTJOIN(", ", TRUE, _xlpm.MyAuditVal, _xlpm.MacVal, _xlpm.CSVVal)
)</f>
        <v/>
      </c>
      <c r="P1285" s="40" t="str" cm="1">
        <f t="array" ref="P1285">IFERROR(_xlfn.LET(
_xlpm.CSVVal,_xlfn.XLOOKUP($A1285,CSV!$A:$A,CSV!AB:AB,""),
_xlpm.MacVal,_xlfn.XLOOKUP($A1285,Output_Mac!$A:$A,Output_Mac!T:T,""),
_xlpm.MyAuditVal,_xlfn.XLOOKUP($A1285,My_Audit!$A:$A,My_Audit!Q:Q,""),
_xlfn.IFS(_xlpm.MyAuditVal&lt;&gt;"",UPPER(_xlpm.MyAuditVal),_xlpm.MacVal&lt;&gt;"",_xlpm.MacVal,_xlpm.CSVVal&lt;&gt;"",_xlpm.CSVVal
)),"No")</f>
        <v>No</v>
      </c>
      <c r="Q1285" s="40" t="str" cm="1">
        <f t="array" ref="Q1285">IFERROR(_xlfn.LET(
_xlpm.CSVVal,_xlfn.XLOOKUP($A1285,CSV!$A:$A,CSV!AC:AC,""),
_xlpm.MacVal,_xlfn.XLOOKUP($A1285,Output_Mac!$A:$A,Output_Mac!U:U,""),
_xlpm.MyAuditVal,_xlfn.XLOOKUP($A1285,My_Audit!$A:$A,My_Audit!R:R,""),
_xlfn.IFS(_xlpm.MyAuditVal&lt;&gt;"",UPPER(_xlpm.MyAuditVal),_xlpm.MacVal&lt;&gt;"",_xlpm.MacVal,_xlpm.CSVVal&lt;&gt;"",_xlpm.CSVVal
)),"")</f>
        <v/>
      </c>
      <c r="R1285" s="40"/>
      <c r="S1285" s="40"/>
      <c r="T1285" s="40"/>
      <c r="U1285" s="40"/>
      <c r="V1285" s="40"/>
      <c r="W1285" s="40"/>
      <c r="X1285" s="41" t="str">
        <f>_xlfn.LET(
    _xlpm.MacVal, _xlfn.XLOOKUP($A1285, Output_Mac!$A:$A, Output_Mac!AB:AB, ""),
    _xlpm.MyAuditVal, _xlfn.XLOOKUP($A1285, My_Audit!$A:$A, My_Audit!N:N, ""),
    _xlfn.TEXTJOIN(", ", TRUE, _xlpm.MyAuditVal, _xlpm.MacVal)
)</f>
        <v/>
      </c>
    </row>
    <row r="1286" spans="1:24">
      <c r="A1286" s="40" t="str">
        <f>_xlfn.TEXTJOIN("",TRUE,Input!$B$2,ROW(My_Audit!A1285))</f>
        <v>X1285</v>
      </c>
      <c r="B1286" s="40" t="str">
        <f>_xlfn.TEXTJOIN("-",TRUE,"ITD",Input!$A$2,A1286)</f>
        <v>ITD-X1285</v>
      </c>
      <c r="C1286" s="40" t="str" cm="1">
        <f t="array" ref="C1286">IFERROR(_xlfn.LET(
_xlpm.CSVVal,_xlfn.XLOOKUP($A1286,CSV!$A:$A,CSV!B:B,""),
_xlpm.MacVal,_xlfn.XLOOKUP($A1286,Output_Mac!$A:$A,Output_Mac!B:B,""),
_xlpm.MyAuditVal,_xlfn.XLOOKUP($A1286,My_Audit!$A:$A,My_Audit!B:B,""),
_xlfn.IFS(_xlpm.MyAuditVal&lt;&gt;"",UPPER(_xlpm.MyAuditVal),_xlpm.MacVal&lt;&gt;"",_xlpm.MacVal,_xlpm.CSVVal&lt;&gt;"",_xlpm.CSVVal
)),"")</f>
        <v/>
      </c>
      <c r="D1286" s="40" t="str" cm="1">
        <f t="array" ref="D1286">IFERROR(_xlfn.LET(
_xlpm.CSVVal,_xlfn.XLOOKUP($A1286,CSV!$A:$A,CSV!D:D,""),
_xlpm.MacVal,_xlfn.XLOOKUP($A1286,Output_Mac!$A:$A,Output_Mac!C:C,""),
_xlpm.MyAuditVal,_xlfn.XLOOKUP($A1286,My_Audit!$A:$A,My_Audit!C:C,""),
_xlfn.IFS(_xlpm.MyAuditVal&lt;&gt;"",_xlpm.MyAuditVal,_xlpm.MacVal&lt;&gt;"",_xlpm.MacVal,_xlpm.CSVVal&lt;&gt;"",_xlpm.CSVVal
)),"")</f>
        <v/>
      </c>
      <c r="E1286" s="40" t="str">
        <f>_xlfn.XLOOKUP(A1286,My_Audit!A:A,My_Audit!D:D,"")</f>
        <v/>
      </c>
      <c r="F1286" s="40" t="str" cm="1">
        <f t="array" ref="F1286">IFERROR(_xlfn.LET(
_xlpm.CSVVal,_xlfn.XLOOKUP($A1286,CSV!$A:$A,CSV!F:F,""),
_xlpm.MacVal,_xlfn.XLOOKUP($A1286,Output_Mac!$A:$A,Output_Mac!E:E,""),
_xlpm.MyAuditVal,_xlfn.XLOOKUP($A1286,My_Audit!$A:$A,My_Audit!E:E,""),
_xlfn.IFS(_xlpm.MyAuditVal&lt;&gt;"",_xlpm.MyAuditVal,_xlpm.MacVal&lt;&gt;"",_xlpm.MacVal,_xlpm.CSVVal&lt;&gt;"",_xlpm.CSVVal
)),"")</f>
        <v/>
      </c>
      <c r="G1286" s="40" t="str" cm="1">
        <f t="array" ref="G1286">IFERROR(_xlfn.LET(
_xlpm.CSVVal,_xlfn.XLOOKUP($A1286,CSV!$A:$A,CSV!G:G,""),
_xlpm.MacVal,_xlfn.XLOOKUP($A1286,Output_Mac!$A:$A,Output_Mac!F:F,""),
_xlpm.MyAuditVal,_xlfn.XLOOKUP($A1286,My_Audit!$A:$A,My_Audit!F:F,""),
_xlfn.IFS(_xlpm.MyAuditVal&lt;&gt;"",_xlpm.MyAuditVal,_xlpm.MacVal&lt;&gt;"",_xlpm.MacVal,_xlpm.CSVVal&lt;&gt;"",PROPER(_xlpm.CSVVal)
)),"")</f>
        <v/>
      </c>
      <c r="H1286" s="40" t="str" cm="1">
        <f t="array" ref="H1286">IFERROR(_xlfn.LET(
_xlpm.CSVVal,_xlfn.XLOOKUP($A1286,CSV!$A:$A,CSV!H:H,""),
_xlpm.MacVal,_xlfn.XLOOKUP($A1286,Output_Mac!$A:$A,Output_Mac!H:H,""),
_xlpm.MyAuditVal,_xlfn.XLOOKUP($A1286,My_Audit!$A:$A,My_Audit!G:G,""),
_xlfn.IFS(_xlpm.MyAuditVal&lt;&gt;"",_xlpm.MyAuditVal,_xlpm.MacVal&lt;&gt;"",_xlpm.MacVal,_xlpm.CSVVal&lt;&gt;"",_xlpm.CSVVal
)),"")</f>
        <v/>
      </c>
      <c r="I1286" s="40" t="str">
        <f>_xlfn.XLOOKUP(A1286,Output_Mac!A:A,Output_Mac!I:I,"")</f>
        <v/>
      </c>
      <c r="J1286" s="40" t="str" cm="1">
        <f t="array" ref="J1286">IFERROR(_xlfn.LET(
_xlpm.CSVVal,_xlfn.XLOOKUP($A1286,CSV!$A:$A,CSV!I:I,""),
_xlpm.MacVal,_xlfn.XLOOKUP($A1286,Output_Mac!$A:$A,Output_Mac!J:J,""),
_xlpm.MyAuditVal,_xlfn.XLOOKUP($A1286,My_Audit!$A:$A,My_Audit!I:I,""),
_xlfn.IFS(_xlpm.MyAuditVal&lt;&gt;"",UPPER(_xlpm.MyAuditVal),_xlpm.MacVal&lt;&gt;"",_xlpm.MacVal,_xlpm.CSVVal&lt;&gt;"",_xlpm.CSVVal
)),"")</f>
        <v/>
      </c>
      <c r="K1286" s="40" t="str" cm="1">
        <f t="array" ref="K1286">IFERROR(_xlfn.LET(
_xlpm.CSVVal,_xlfn.XLOOKUP($A1286,CSV!$A:$A,CSV!K:K,""),
_xlpm.MacVal,_xlfn.XLOOKUP($A1286,Output_Mac!$A:$A,Output_Mac!K:K,""),
_xlpm.MyAuditVal,_xlfn.XLOOKUP($A1286,My_Audit!$A:$A,My_Audit!J:J,""),
_xlfn.IFS(_xlpm.MyAuditVal&lt;&gt;"",UPPER(_xlpm.MyAuditVal),_xlpm.MacVal&lt;&gt;"",_xlpm.MacVal,_xlpm.CSVVal&lt;&gt;"",_xlpm.CSVVal
)),"")</f>
        <v/>
      </c>
      <c r="L1286" s="40" t="str" cm="1">
        <f t="array" ref="L1286">IFERROR(_xlfn.LET(
_xlpm.CSVVal,_xlfn.XLOOKUP($A1286,CSV!$A:$A,CSV!P:P,""),
_xlpm.MacVal,_xlfn.XLOOKUP($A1286,Output_Mac!$A:$A,Output_Mac!L:L,""),
_xlpm.MyAuditVal,_xlfn.XLOOKUP($A1286,My_Audit!$A:$A,My_Audit!K:K,""),
_xlfn.IFS(_xlpm.MyAuditVal&lt;&gt;"",UPPER(_xlpm.MyAuditVal),_xlpm.MacVal&lt;&gt;"",_xlpm.MacVal,_xlpm.CSVVal&lt;&gt;"",_xlpm.CSVVal
)),"")</f>
        <v/>
      </c>
      <c r="M1286" s="40" t="str" cm="1">
        <f t="array" ref="M1286">IFERROR(_xlfn.LET(
_xlpm.CSVVal,_xlfn.XLOOKUP($A1286,CSV!$A:$A,CSV!Q:Q,""),
_xlpm.MacVal,_xlfn.XLOOKUP($A1286,Output_Mac!$A:$A,Output_Mac!M:M,""),
_xlpm.MyAuditVal,_xlfn.XLOOKUP($A1286,My_Audit!$A:$A,My_Audit!L:L,""),
_xlfn.IFS(_xlpm.MyAuditVal&lt;&gt;"",UPPER(_xlpm.MyAuditVal),_xlpm.MacVal&lt;&gt;"",_xlpm.MacVal,_xlpm.CSVVal&lt;&gt;"",_xlpm.CSVVal
)),"")</f>
        <v/>
      </c>
      <c r="N1286" s="40"/>
      <c r="O1286" s="40" t="str">
        <f>_xlfn.LET(
    _xlpm.CSVVal, _xlfn.XLOOKUP($A1286, CSV!$A:$A, CSV!AA:AA, ""),
    _xlpm.MacVal, _xlfn.XLOOKUP($A1286, Output_Mac!$A:$A, Output_Mac!S:S, ""),
    _xlpm.MyAuditVal, _xlfn.XLOOKUP($A1286, My_Audit!$A:$A, My_Audit!P:P, ""),
    _xlfn.TEXTJOIN(", ", TRUE, _xlpm.MyAuditVal, _xlpm.MacVal, _xlpm.CSVVal)
)</f>
        <v/>
      </c>
      <c r="P1286" s="40" t="str" cm="1">
        <f t="array" ref="P1286">IFERROR(_xlfn.LET(
_xlpm.CSVVal,_xlfn.XLOOKUP($A1286,CSV!$A:$A,CSV!AB:AB,""),
_xlpm.MacVal,_xlfn.XLOOKUP($A1286,Output_Mac!$A:$A,Output_Mac!T:T,""),
_xlpm.MyAuditVal,_xlfn.XLOOKUP($A1286,My_Audit!$A:$A,My_Audit!Q:Q,""),
_xlfn.IFS(_xlpm.MyAuditVal&lt;&gt;"",UPPER(_xlpm.MyAuditVal),_xlpm.MacVal&lt;&gt;"",_xlpm.MacVal,_xlpm.CSVVal&lt;&gt;"",_xlpm.CSVVal
)),"No")</f>
        <v>No</v>
      </c>
      <c r="Q1286" s="40" t="str" cm="1">
        <f t="array" ref="Q1286">IFERROR(_xlfn.LET(
_xlpm.CSVVal,_xlfn.XLOOKUP($A1286,CSV!$A:$A,CSV!AC:AC,""),
_xlpm.MacVal,_xlfn.XLOOKUP($A1286,Output_Mac!$A:$A,Output_Mac!U:U,""),
_xlpm.MyAuditVal,_xlfn.XLOOKUP($A1286,My_Audit!$A:$A,My_Audit!R:R,""),
_xlfn.IFS(_xlpm.MyAuditVal&lt;&gt;"",UPPER(_xlpm.MyAuditVal),_xlpm.MacVal&lt;&gt;"",_xlpm.MacVal,_xlpm.CSVVal&lt;&gt;"",_xlpm.CSVVal
)),"")</f>
        <v/>
      </c>
      <c r="R1286" s="40"/>
      <c r="S1286" s="40"/>
      <c r="T1286" s="40"/>
      <c r="U1286" s="40"/>
      <c r="V1286" s="40"/>
      <c r="W1286" s="40"/>
      <c r="X1286" s="41" t="str">
        <f>_xlfn.LET(
    _xlpm.MacVal, _xlfn.XLOOKUP($A1286, Output_Mac!$A:$A, Output_Mac!AB:AB, ""),
    _xlpm.MyAuditVal, _xlfn.XLOOKUP($A1286, My_Audit!$A:$A, My_Audit!N:N, ""),
    _xlfn.TEXTJOIN(", ", TRUE, _xlpm.MyAuditVal, _xlpm.MacVal)
)</f>
        <v/>
      </c>
    </row>
    <row r="1287" spans="1:24">
      <c r="A1287" s="40" t="str">
        <f>_xlfn.TEXTJOIN("",TRUE,Input!$B$2,ROW(My_Audit!A1286))</f>
        <v>X1286</v>
      </c>
      <c r="B1287" s="40" t="str">
        <f>_xlfn.TEXTJOIN("-",TRUE,"ITD",Input!$A$2,A1287)</f>
        <v>ITD-X1286</v>
      </c>
      <c r="C1287" s="40" t="str" cm="1">
        <f t="array" ref="C1287">IFERROR(_xlfn.LET(
_xlpm.CSVVal,_xlfn.XLOOKUP($A1287,CSV!$A:$A,CSV!B:B,""),
_xlpm.MacVal,_xlfn.XLOOKUP($A1287,Output_Mac!$A:$A,Output_Mac!B:B,""),
_xlpm.MyAuditVal,_xlfn.XLOOKUP($A1287,My_Audit!$A:$A,My_Audit!B:B,""),
_xlfn.IFS(_xlpm.MyAuditVal&lt;&gt;"",UPPER(_xlpm.MyAuditVal),_xlpm.MacVal&lt;&gt;"",_xlpm.MacVal,_xlpm.CSVVal&lt;&gt;"",_xlpm.CSVVal
)),"")</f>
        <v/>
      </c>
      <c r="D1287" s="40" t="str" cm="1">
        <f t="array" ref="D1287">IFERROR(_xlfn.LET(
_xlpm.CSVVal,_xlfn.XLOOKUP($A1287,CSV!$A:$A,CSV!D:D,""),
_xlpm.MacVal,_xlfn.XLOOKUP($A1287,Output_Mac!$A:$A,Output_Mac!C:C,""),
_xlpm.MyAuditVal,_xlfn.XLOOKUP($A1287,My_Audit!$A:$A,My_Audit!C:C,""),
_xlfn.IFS(_xlpm.MyAuditVal&lt;&gt;"",_xlpm.MyAuditVal,_xlpm.MacVal&lt;&gt;"",_xlpm.MacVal,_xlpm.CSVVal&lt;&gt;"",_xlpm.CSVVal
)),"")</f>
        <v/>
      </c>
      <c r="E1287" s="40" t="str">
        <f>_xlfn.XLOOKUP(A1287,My_Audit!A:A,My_Audit!D:D,"")</f>
        <v/>
      </c>
      <c r="F1287" s="40" t="str" cm="1">
        <f t="array" ref="F1287">IFERROR(_xlfn.LET(
_xlpm.CSVVal,_xlfn.XLOOKUP($A1287,CSV!$A:$A,CSV!F:F,""),
_xlpm.MacVal,_xlfn.XLOOKUP($A1287,Output_Mac!$A:$A,Output_Mac!E:E,""),
_xlpm.MyAuditVal,_xlfn.XLOOKUP($A1287,My_Audit!$A:$A,My_Audit!E:E,""),
_xlfn.IFS(_xlpm.MyAuditVal&lt;&gt;"",_xlpm.MyAuditVal,_xlpm.MacVal&lt;&gt;"",_xlpm.MacVal,_xlpm.CSVVal&lt;&gt;"",_xlpm.CSVVal
)),"")</f>
        <v/>
      </c>
      <c r="G1287" s="40" t="str" cm="1">
        <f t="array" ref="G1287">IFERROR(_xlfn.LET(
_xlpm.CSVVal,_xlfn.XLOOKUP($A1287,CSV!$A:$A,CSV!G:G,""),
_xlpm.MacVal,_xlfn.XLOOKUP($A1287,Output_Mac!$A:$A,Output_Mac!F:F,""),
_xlpm.MyAuditVal,_xlfn.XLOOKUP($A1287,My_Audit!$A:$A,My_Audit!F:F,""),
_xlfn.IFS(_xlpm.MyAuditVal&lt;&gt;"",_xlpm.MyAuditVal,_xlpm.MacVal&lt;&gt;"",_xlpm.MacVal,_xlpm.CSVVal&lt;&gt;"",PROPER(_xlpm.CSVVal)
)),"")</f>
        <v/>
      </c>
      <c r="H1287" s="40" t="str" cm="1">
        <f t="array" ref="H1287">IFERROR(_xlfn.LET(
_xlpm.CSVVal,_xlfn.XLOOKUP($A1287,CSV!$A:$A,CSV!H:H,""),
_xlpm.MacVal,_xlfn.XLOOKUP($A1287,Output_Mac!$A:$A,Output_Mac!H:H,""),
_xlpm.MyAuditVal,_xlfn.XLOOKUP($A1287,My_Audit!$A:$A,My_Audit!G:G,""),
_xlfn.IFS(_xlpm.MyAuditVal&lt;&gt;"",_xlpm.MyAuditVal,_xlpm.MacVal&lt;&gt;"",_xlpm.MacVal,_xlpm.CSVVal&lt;&gt;"",_xlpm.CSVVal
)),"")</f>
        <v/>
      </c>
      <c r="I1287" s="40" t="str">
        <f>_xlfn.XLOOKUP(A1287,Output_Mac!A:A,Output_Mac!I:I,"")</f>
        <v/>
      </c>
      <c r="J1287" s="40" t="str" cm="1">
        <f t="array" ref="J1287">IFERROR(_xlfn.LET(
_xlpm.CSVVal,_xlfn.XLOOKUP($A1287,CSV!$A:$A,CSV!I:I,""),
_xlpm.MacVal,_xlfn.XLOOKUP($A1287,Output_Mac!$A:$A,Output_Mac!J:J,""),
_xlpm.MyAuditVal,_xlfn.XLOOKUP($A1287,My_Audit!$A:$A,My_Audit!I:I,""),
_xlfn.IFS(_xlpm.MyAuditVal&lt;&gt;"",UPPER(_xlpm.MyAuditVal),_xlpm.MacVal&lt;&gt;"",_xlpm.MacVal,_xlpm.CSVVal&lt;&gt;"",_xlpm.CSVVal
)),"")</f>
        <v/>
      </c>
      <c r="K1287" s="40" t="str" cm="1">
        <f t="array" ref="K1287">IFERROR(_xlfn.LET(
_xlpm.CSVVal,_xlfn.XLOOKUP($A1287,CSV!$A:$A,CSV!K:K,""),
_xlpm.MacVal,_xlfn.XLOOKUP($A1287,Output_Mac!$A:$A,Output_Mac!K:K,""),
_xlpm.MyAuditVal,_xlfn.XLOOKUP($A1287,My_Audit!$A:$A,My_Audit!J:J,""),
_xlfn.IFS(_xlpm.MyAuditVal&lt;&gt;"",UPPER(_xlpm.MyAuditVal),_xlpm.MacVal&lt;&gt;"",_xlpm.MacVal,_xlpm.CSVVal&lt;&gt;"",_xlpm.CSVVal
)),"")</f>
        <v/>
      </c>
      <c r="L1287" s="40" t="str" cm="1">
        <f t="array" ref="L1287">IFERROR(_xlfn.LET(
_xlpm.CSVVal,_xlfn.XLOOKUP($A1287,CSV!$A:$A,CSV!P:P,""),
_xlpm.MacVal,_xlfn.XLOOKUP($A1287,Output_Mac!$A:$A,Output_Mac!L:L,""),
_xlpm.MyAuditVal,_xlfn.XLOOKUP($A1287,My_Audit!$A:$A,My_Audit!K:K,""),
_xlfn.IFS(_xlpm.MyAuditVal&lt;&gt;"",UPPER(_xlpm.MyAuditVal),_xlpm.MacVal&lt;&gt;"",_xlpm.MacVal,_xlpm.CSVVal&lt;&gt;"",_xlpm.CSVVal
)),"")</f>
        <v/>
      </c>
      <c r="M1287" s="40" t="str" cm="1">
        <f t="array" ref="M1287">IFERROR(_xlfn.LET(
_xlpm.CSVVal,_xlfn.XLOOKUP($A1287,CSV!$A:$A,CSV!Q:Q,""),
_xlpm.MacVal,_xlfn.XLOOKUP($A1287,Output_Mac!$A:$A,Output_Mac!M:M,""),
_xlpm.MyAuditVal,_xlfn.XLOOKUP($A1287,My_Audit!$A:$A,My_Audit!L:L,""),
_xlfn.IFS(_xlpm.MyAuditVal&lt;&gt;"",UPPER(_xlpm.MyAuditVal),_xlpm.MacVal&lt;&gt;"",_xlpm.MacVal,_xlpm.CSVVal&lt;&gt;"",_xlpm.CSVVal
)),"")</f>
        <v/>
      </c>
      <c r="N1287" s="40"/>
      <c r="O1287" s="40" t="str">
        <f>_xlfn.LET(
    _xlpm.CSVVal, _xlfn.XLOOKUP($A1287, CSV!$A:$A, CSV!AA:AA, ""),
    _xlpm.MacVal, _xlfn.XLOOKUP($A1287, Output_Mac!$A:$A, Output_Mac!S:S, ""),
    _xlpm.MyAuditVal, _xlfn.XLOOKUP($A1287, My_Audit!$A:$A, My_Audit!P:P, ""),
    _xlfn.TEXTJOIN(", ", TRUE, _xlpm.MyAuditVal, _xlpm.MacVal, _xlpm.CSVVal)
)</f>
        <v/>
      </c>
      <c r="P1287" s="40" t="str" cm="1">
        <f t="array" ref="P1287">IFERROR(_xlfn.LET(
_xlpm.CSVVal,_xlfn.XLOOKUP($A1287,CSV!$A:$A,CSV!AB:AB,""),
_xlpm.MacVal,_xlfn.XLOOKUP($A1287,Output_Mac!$A:$A,Output_Mac!T:T,""),
_xlpm.MyAuditVal,_xlfn.XLOOKUP($A1287,My_Audit!$A:$A,My_Audit!Q:Q,""),
_xlfn.IFS(_xlpm.MyAuditVal&lt;&gt;"",UPPER(_xlpm.MyAuditVal),_xlpm.MacVal&lt;&gt;"",_xlpm.MacVal,_xlpm.CSVVal&lt;&gt;"",_xlpm.CSVVal
)),"No")</f>
        <v>No</v>
      </c>
      <c r="Q1287" s="40" t="str" cm="1">
        <f t="array" ref="Q1287">IFERROR(_xlfn.LET(
_xlpm.CSVVal,_xlfn.XLOOKUP($A1287,CSV!$A:$A,CSV!AC:AC,""),
_xlpm.MacVal,_xlfn.XLOOKUP($A1287,Output_Mac!$A:$A,Output_Mac!U:U,""),
_xlpm.MyAuditVal,_xlfn.XLOOKUP($A1287,My_Audit!$A:$A,My_Audit!R:R,""),
_xlfn.IFS(_xlpm.MyAuditVal&lt;&gt;"",UPPER(_xlpm.MyAuditVal),_xlpm.MacVal&lt;&gt;"",_xlpm.MacVal,_xlpm.CSVVal&lt;&gt;"",_xlpm.CSVVal
)),"")</f>
        <v/>
      </c>
      <c r="R1287" s="40"/>
      <c r="S1287" s="40"/>
      <c r="T1287" s="40"/>
      <c r="U1287" s="40"/>
      <c r="V1287" s="40"/>
      <c r="W1287" s="40"/>
      <c r="X1287" s="41" t="str">
        <f>_xlfn.LET(
    _xlpm.MacVal, _xlfn.XLOOKUP($A1287, Output_Mac!$A:$A, Output_Mac!AB:AB, ""),
    _xlpm.MyAuditVal, _xlfn.XLOOKUP($A1287, My_Audit!$A:$A, My_Audit!N:N, ""),
    _xlfn.TEXTJOIN(", ", TRUE, _xlpm.MyAuditVal, _xlpm.MacVal)
)</f>
        <v/>
      </c>
    </row>
    <row r="1288" spans="1:24">
      <c r="A1288" s="40" t="str">
        <f>_xlfn.TEXTJOIN("",TRUE,Input!$B$2,ROW(My_Audit!A1287))</f>
        <v>X1287</v>
      </c>
      <c r="B1288" s="40" t="str">
        <f>_xlfn.TEXTJOIN("-",TRUE,"ITD",Input!$A$2,A1288)</f>
        <v>ITD-X1287</v>
      </c>
      <c r="C1288" s="40" t="str" cm="1">
        <f t="array" ref="C1288">IFERROR(_xlfn.LET(
_xlpm.CSVVal,_xlfn.XLOOKUP($A1288,CSV!$A:$A,CSV!B:B,""),
_xlpm.MacVal,_xlfn.XLOOKUP($A1288,Output_Mac!$A:$A,Output_Mac!B:B,""),
_xlpm.MyAuditVal,_xlfn.XLOOKUP($A1288,My_Audit!$A:$A,My_Audit!B:B,""),
_xlfn.IFS(_xlpm.MyAuditVal&lt;&gt;"",UPPER(_xlpm.MyAuditVal),_xlpm.MacVal&lt;&gt;"",_xlpm.MacVal,_xlpm.CSVVal&lt;&gt;"",_xlpm.CSVVal
)),"")</f>
        <v/>
      </c>
      <c r="D1288" s="40" t="str" cm="1">
        <f t="array" ref="D1288">IFERROR(_xlfn.LET(
_xlpm.CSVVal,_xlfn.XLOOKUP($A1288,CSV!$A:$A,CSV!D:D,""),
_xlpm.MacVal,_xlfn.XLOOKUP($A1288,Output_Mac!$A:$A,Output_Mac!C:C,""),
_xlpm.MyAuditVal,_xlfn.XLOOKUP($A1288,My_Audit!$A:$A,My_Audit!C:C,""),
_xlfn.IFS(_xlpm.MyAuditVal&lt;&gt;"",_xlpm.MyAuditVal,_xlpm.MacVal&lt;&gt;"",_xlpm.MacVal,_xlpm.CSVVal&lt;&gt;"",_xlpm.CSVVal
)),"")</f>
        <v/>
      </c>
      <c r="E1288" s="40" t="str">
        <f>_xlfn.XLOOKUP(A1288,My_Audit!A:A,My_Audit!D:D,"")</f>
        <v/>
      </c>
      <c r="F1288" s="40" t="str" cm="1">
        <f t="array" ref="F1288">IFERROR(_xlfn.LET(
_xlpm.CSVVal,_xlfn.XLOOKUP($A1288,CSV!$A:$A,CSV!F:F,""),
_xlpm.MacVal,_xlfn.XLOOKUP($A1288,Output_Mac!$A:$A,Output_Mac!E:E,""),
_xlpm.MyAuditVal,_xlfn.XLOOKUP($A1288,My_Audit!$A:$A,My_Audit!E:E,""),
_xlfn.IFS(_xlpm.MyAuditVal&lt;&gt;"",_xlpm.MyAuditVal,_xlpm.MacVal&lt;&gt;"",_xlpm.MacVal,_xlpm.CSVVal&lt;&gt;"",_xlpm.CSVVal
)),"")</f>
        <v/>
      </c>
      <c r="G1288" s="40" t="str" cm="1">
        <f t="array" ref="G1288">IFERROR(_xlfn.LET(
_xlpm.CSVVal,_xlfn.XLOOKUP($A1288,CSV!$A:$A,CSV!G:G,""),
_xlpm.MacVal,_xlfn.XLOOKUP($A1288,Output_Mac!$A:$A,Output_Mac!F:F,""),
_xlpm.MyAuditVal,_xlfn.XLOOKUP($A1288,My_Audit!$A:$A,My_Audit!F:F,""),
_xlfn.IFS(_xlpm.MyAuditVal&lt;&gt;"",_xlpm.MyAuditVal,_xlpm.MacVal&lt;&gt;"",_xlpm.MacVal,_xlpm.CSVVal&lt;&gt;"",PROPER(_xlpm.CSVVal)
)),"")</f>
        <v/>
      </c>
      <c r="H1288" s="40" t="str" cm="1">
        <f t="array" ref="H1288">IFERROR(_xlfn.LET(
_xlpm.CSVVal,_xlfn.XLOOKUP($A1288,CSV!$A:$A,CSV!H:H,""),
_xlpm.MacVal,_xlfn.XLOOKUP($A1288,Output_Mac!$A:$A,Output_Mac!H:H,""),
_xlpm.MyAuditVal,_xlfn.XLOOKUP($A1288,My_Audit!$A:$A,My_Audit!G:G,""),
_xlfn.IFS(_xlpm.MyAuditVal&lt;&gt;"",_xlpm.MyAuditVal,_xlpm.MacVal&lt;&gt;"",_xlpm.MacVal,_xlpm.CSVVal&lt;&gt;"",_xlpm.CSVVal
)),"")</f>
        <v/>
      </c>
      <c r="I1288" s="40" t="str">
        <f>_xlfn.XLOOKUP(A1288,Output_Mac!A:A,Output_Mac!I:I,"")</f>
        <v/>
      </c>
      <c r="J1288" s="40" t="str" cm="1">
        <f t="array" ref="J1288">IFERROR(_xlfn.LET(
_xlpm.CSVVal,_xlfn.XLOOKUP($A1288,CSV!$A:$A,CSV!I:I,""),
_xlpm.MacVal,_xlfn.XLOOKUP($A1288,Output_Mac!$A:$A,Output_Mac!J:J,""),
_xlpm.MyAuditVal,_xlfn.XLOOKUP($A1288,My_Audit!$A:$A,My_Audit!I:I,""),
_xlfn.IFS(_xlpm.MyAuditVal&lt;&gt;"",UPPER(_xlpm.MyAuditVal),_xlpm.MacVal&lt;&gt;"",_xlpm.MacVal,_xlpm.CSVVal&lt;&gt;"",_xlpm.CSVVal
)),"")</f>
        <v/>
      </c>
      <c r="K1288" s="40" t="str" cm="1">
        <f t="array" ref="K1288">IFERROR(_xlfn.LET(
_xlpm.CSVVal,_xlfn.XLOOKUP($A1288,CSV!$A:$A,CSV!K:K,""),
_xlpm.MacVal,_xlfn.XLOOKUP($A1288,Output_Mac!$A:$A,Output_Mac!K:K,""),
_xlpm.MyAuditVal,_xlfn.XLOOKUP($A1288,My_Audit!$A:$A,My_Audit!J:J,""),
_xlfn.IFS(_xlpm.MyAuditVal&lt;&gt;"",UPPER(_xlpm.MyAuditVal),_xlpm.MacVal&lt;&gt;"",_xlpm.MacVal,_xlpm.CSVVal&lt;&gt;"",_xlpm.CSVVal
)),"")</f>
        <v/>
      </c>
      <c r="L1288" s="40" t="str" cm="1">
        <f t="array" ref="L1288">IFERROR(_xlfn.LET(
_xlpm.CSVVal,_xlfn.XLOOKUP($A1288,CSV!$A:$A,CSV!P:P,""),
_xlpm.MacVal,_xlfn.XLOOKUP($A1288,Output_Mac!$A:$A,Output_Mac!L:L,""),
_xlpm.MyAuditVal,_xlfn.XLOOKUP($A1288,My_Audit!$A:$A,My_Audit!K:K,""),
_xlfn.IFS(_xlpm.MyAuditVal&lt;&gt;"",UPPER(_xlpm.MyAuditVal),_xlpm.MacVal&lt;&gt;"",_xlpm.MacVal,_xlpm.CSVVal&lt;&gt;"",_xlpm.CSVVal
)),"")</f>
        <v/>
      </c>
      <c r="M1288" s="40" t="str" cm="1">
        <f t="array" ref="M1288">IFERROR(_xlfn.LET(
_xlpm.CSVVal,_xlfn.XLOOKUP($A1288,CSV!$A:$A,CSV!Q:Q,""),
_xlpm.MacVal,_xlfn.XLOOKUP($A1288,Output_Mac!$A:$A,Output_Mac!M:M,""),
_xlpm.MyAuditVal,_xlfn.XLOOKUP($A1288,My_Audit!$A:$A,My_Audit!L:L,""),
_xlfn.IFS(_xlpm.MyAuditVal&lt;&gt;"",UPPER(_xlpm.MyAuditVal),_xlpm.MacVal&lt;&gt;"",_xlpm.MacVal,_xlpm.CSVVal&lt;&gt;"",_xlpm.CSVVal
)),"")</f>
        <v/>
      </c>
      <c r="N1288" s="40"/>
      <c r="O1288" s="40" t="str">
        <f>_xlfn.LET(
    _xlpm.CSVVal, _xlfn.XLOOKUP($A1288, CSV!$A:$A, CSV!AA:AA, ""),
    _xlpm.MacVal, _xlfn.XLOOKUP($A1288, Output_Mac!$A:$A, Output_Mac!S:S, ""),
    _xlpm.MyAuditVal, _xlfn.XLOOKUP($A1288, My_Audit!$A:$A, My_Audit!P:P, ""),
    _xlfn.TEXTJOIN(", ", TRUE, _xlpm.MyAuditVal, _xlpm.MacVal, _xlpm.CSVVal)
)</f>
        <v/>
      </c>
      <c r="P1288" s="40" t="str" cm="1">
        <f t="array" ref="P1288">IFERROR(_xlfn.LET(
_xlpm.CSVVal,_xlfn.XLOOKUP($A1288,CSV!$A:$A,CSV!AB:AB,""),
_xlpm.MacVal,_xlfn.XLOOKUP($A1288,Output_Mac!$A:$A,Output_Mac!T:T,""),
_xlpm.MyAuditVal,_xlfn.XLOOKUP($A1288,My_Audit!$A:$A,My_Audit!Q:Q,""),
_xlfn.IFS(_xlpm.MyAuditVal&lt;&gt;"",UPPER(_xlpm.MyAuditVal),_xlpm.MacVal&lt;&gt;"",_xlpm.MacVal,_xlpm.CSVVal&lt;&gt;"",_xlpm.CSVVal
)),"No")</f>
        <v>No</v>
      </c>
      <c r="Q1288" s="40" t="str" cm="1">
        <f t="array" ref="Q1288">IFERROR(_xlfn.LET(
_xlpm.CSVVal,_xlfn.XLOOKUP($A1288,CSV!$A:$A,CSV!AC:AC,""),
_xlpm.MacVal,_xlfn.XLOOKUP($A1288,Output_Mac!$A:$A,Output_Mac!U:U,""),
_xlpm.MyAuditVal,_xlfn.XLOOKUP($A1288,My_Audit!$A:$A,My_Audit!R:R,""),
_xlfn.IFS(_xlpm.MyAuditVal&lt;&gt;"",UPPER(_xlpm.MyAuditVal),_xlpm.MacVal&lt;&gt;"",_xlpm.MacVal,_xlpm.CSVVal&lt;&gt;"",_xlpm.CSVVal
)),"")</f>
        <v/>
      </c>
      <c r="R1288" s="40"/>
      <c r="S1288" s="40"/>
      <c r="T1288" s="40"/>
      <c r="U1288" s="40"/>
      <c r="V1288" s="40"/>
      <c r="W1288" s="40"/>
      <c r="X1288" s="41" t="str">
        <f>_xlfn.LET(
    _xlpm.MacVal, _xlfn.XLOOKUP($A1288, Output_Mac!$A:$A, Output_Mac!AB:AB, ""),
    _xlpm.MyAuditVal, _xlfn.XLOOKUP($A1288, My_Audit!$A:$A, My_Audit!N:N, ""),
    _xlfn.TEXTJOIN(", ", TRUE, _xlpm.MyAuditVal, _xlpm.MacVal)
)</f>
        <v/>
      </c>
    </row>
    <row r="1289" spans="1:24">
      <c r="A1289" s="40" t="str">
        <f>_xlfn.TEXTJOIN("",TRUE,Input!$B$2,ROW(My_Audit!A1288))</f>
        <v>X1288</v>
      </c>
      <c r="B1289" s="40" t="str">
        <f>_xlfn.TEXTJOIN("-",TRUE,"ITD",Input!$A$2,A1289)</f>
        <v>ITD-X1288</v>
      </c>
      <c r="C1289" s="40" t="str" cm="1">
        <f t="array" ref="C1289">IFERROR(_xlfn.LET(
_xlpm.CSVVal,_xlfn.XLOOKUP($A1289,CSV!$A:$A,CSV!B:B,""),
_xlpm.MacVal,_xlfn.XLOOKUP($A1289,Output_Mac!$A:$A,Output_Mac!B:B,""),
_xlpm.MyAuditVal,_xlfn.XLOOKUP($A1289,My_Audit!$A:$A,My_Audit!B:B,""),
_xlfn.IFS(_xlpm.MyAuditVal&lt;&gt;"",UPPER(_xlpm.MyAuditVal),_xlpm.MacVal&lt;&gt;"",_xlpm.MacVal,_xlpm.CSVVal&lt;&gt;"",_xlpm.CSVVal
)),"")</f>
        <v/>
      </c>
      <c r="D1289" s="40" t="str" cm="1">
        <f t="array" ref="D1289">IFERROR(_xlfn.LET(
_xlpm.CSVVal,_xlfn.XLOOKUP($A1289,CSV!$A:$A,CSV!D:D,""),
_xlpm.MacVal,_xlfn.XLOOKUP($A1289,Output_Mac!$A:$A,Output_Mac!C:C,""),
_xlpm.MyAuditVal,_xlfn.XLOOKUP($A1289,My_Audit!$A:$A,My_Audit!C:C,""),
_xlfn.IFS(_xlpm.MyAuditVal&lt;&gt;"",_xlpm.MyAuditVal,_xlpm.MacVal&lt;&gt;"",_xlpm.MacVal,_xlpm.CSVVal&lt;&gt;"",_xlpm.CSVVal
)),"")</f>
        <v/>
      </c>
      <c r="E1289" s="40" t="str">
        <f>_xlfn.XLOOKUP(A1289,My_Audit!A:A,My_Audit!D:D,"")</f>
        <v/>
      </c>
      <c r="F1289" s="40" t="str" cm="1">
        <f t="array" ref="F1289">IFERROR(_xlfn.LET(
_xlpm.CSVVal,_xlfn.XLOOKUP($A1289,CSV!$A:$A,CSV!F:F,""),
_xlpm.MacVal,_xlfn.XLOOKUP($A1289,Output_Mac!$A:$A,Output_Mac!E:E,""),
_xlpm.MyAuditVal,_xlfn.XLOOKUP($A1289,My_Audit!$A:$A,My_Audit!E:E,""),
_xlfn.IFS(_xlpm.MyAuditVal&lt;&gt;"",_xlpm.MyAuditVal,_xlpm.MacVal&lt;&gt;"",_xlpm.MacVal,_xlpm.CSVVal&lt;&gt;"",_xlpm.CSVVal
)),"")</f>
        <v/>
      </c>
      <c r="G1289" s="40" t="str" cm="1">
        <f t="array" ref="G1289">IFERROR(_xlfn.LET(
_xlpm.CSVVal,_xlfn.XLOOKUP($A1289,CSV!$A:$A,CSV!G:G,""),
_xlpm.MacVal,_xlfn.XLOOKUP($A1289,Output_Mac!$A:$A,Output_Mac!F:F,""),
_xlpm.MyAuditVal,_xlfn.XLOOKUP($A1289,My_Audit!$A:$A,My_Audit!F:F,""),
_xlfn.IFS(_xlpm.MyAuditVal&lt;&gt;"",_xlpm.MyAuditVal,_xlpm.MacVal&lt;&gt;"",_xlpm.MacVal,_xlpm.CSVVal&lt;&gt;"",PROPER(_xlpm.CSVVal)
)),"")</f>
        <v/>
      </c>
      <c r="H1289" s="40" t="str" cm="1">
        <f t="array" ref="H1289">IFERROR(_xlfn.LET(
_xlpm.CSVVal,_xlfn.XLOOKUP($A1289,CSV!$A:$A,CSV!H:H,""),
_xlpm.MacVal,_xlfn.XLOOKUP($A1289,Output_Mac!$A:$A,Output_Mac!H:H,""),
_xlpm.MyAuditVal,_xlfn.XLOOKUP($A1289,My_Audit!$A:$A,My_Audit!G:G,""),
_xlfn.IFS(_xlpm.MyAuditVal&lt;&gt;"",_xlpm.MyAuditVal,_xlpm.MacVal&lt;&gt;"",_xlpm.MacVal,_xlpm.CSVVal&lt;&gt;"",_xlpm.CSVVal
)),"")</f>
        <v/>
      </c>
      <c r="I1289" s="40" t="str">
        <f>_xlfn.XLOOKUP(A1289,Output_Mac!A:A,Output_Mac!I:I,"")</f>
        <v/>
      </c>
      <c r="J1289" s="40" t="str" cm="1">
        <f t="array" ref="J1289">IFERROR(_xlfn.LET(
_xlpm.CSVVal,_xlfn.XLOOKUP($A1289,CSV!$A:$A,CSV!I:I,""),
_xlpm.MacVal,_xlfn.XLOOKUP($A1289,Output_Mac!$A:$A,Output_Mac!J:J,""),
_xlpm.MyAuditVal,_xlfn.XLOOKUP($A1289,My_Audit!$A:$A,My_Audit!I:I,""),
_xlfn.IFS(_xlpm.MyAuditVal&lt;&gt;"",UPPER(_xlpm.MyAuditVal),_xlpm.MacVal&lt;&gt;"",_xlpm.MacVal,_xlpm.CSVVal&lt;&gt;"",_xlpm.CSVVal
)),"")</f>
        <v/>
      </c>
      <c r="K1289" s="40" t="str" cm="1">
        <f t="array" ref="K1289">IFERROR(_xlfn.LET(
_xlpm.CSVVal,_xlfn.XLOOKUP($A1289,CSV!$A:$A,CSV!K:K,""),
_xlpm.MacVal,_xlfn.XLOOKUP($A1289,Output_Mac!$A:$A,Output_Mac!K:K,""),
_xlpm.MyAuditVal,_xlfn.XLOOKUP($A1289,My_Audit!$A:$A,My_Audit!J:J,""),
_xlfn.IFS(_xlpm.MyAuditVal&lt;&gt;"",UPPER(_xlpm.MyAuditVal),_xlpm.MacVal&lt;&gt;"",_xlpm.MacVal,_xlpm.CSVVal&lt;&gt;"",_xlpm.CSVVal
)),"")</f>
        <v/>
      </c>
      <c r="L1289" s="40" t="str" cm="1">
        <f t="array" ref="L1289">IFERROR(_xlfn.LET(
_xlpm.CSVVal,_xlfn.XLOOKUP($A1289,CSV!$A:$A,CSV!P:P,""),
_xlpm.MacVal,_xlfn.XLOOKUP($A1289,Output_Mac!$A:$A,Output_Mac!L:L,""),
_xlpm.MyAuditVal,_xlfn.XLOOKUP($A1289,My_Audit!$A:$A,My_Audit!K:K,""),
_xlfn.IFS(_xlpm.MyAuditVal&lt;&gt;"",UPPER(_xlpm.MyAuditVal),_xlpm.MacVal&lt;&gt;"",_xlpm.MacVal,_xlpm.CSVVal&lt;&gt;"",_xlpm.CSVVal
)),"")</f>
        <v/>
      </c>
      <c r="M1289" s="40" t="str" cm="1">
        <f t="array" ref="M1289">IFERROR(_xlfn.LET(
_xlpm.CSVVal,_xlfn.XLOOKUP($A1289,CSV!$A:$A,CSV!Q:Q,""),
_xlpm.MacVal,_xlfn.XLOOKUP($A1289,Output_Mac!$A:$A,Output_Mac!M:M,""),
_xlpm.MyAuditVal,_xlfn.XLOOKUP($A1289,My_Audit!$A:$A,My_Audit!L:L,""),
_xlfn.IFS(_xlpm.MyAuditVal&lt;&gt;"",UPPER(_xlpm.MyAuditVal),_xlpm.MacVal&lt;&gt;"",_xlpm.MacVal,_xlpm.CSVVal&lt;&gt;"",_xlpm.CSVVal
)),"")</f>
        <v/>
      </c>
      <c r="N1289" s="40"/>
      <c r="O1289" s="40" t="str">
        <f>_xlfn.LET(
    _xlpm.CSVVal, _xlfn.XLOOKUP($A1289, CSV!$A:$A, CSV!AA:AA, ""),
    _xlpm.MacVal, _xlfn.XLOOKUP($A1289, Output_Mac!$A:$A, Output_Mac!S:S, ""),
    _xlpm.MyAuditVal, _xlfn.XLOOKUP($A1289, My_Audit!$A:$A, My_Audit!P:P, ""),
    _xlfn.TEXTJOIN(", ", TRUE, _xlpm.MyAuditVal, _xlpm.MacVal, _xlpm.CSVVal)
)</f>
        <v/>
      </c>
      <c r="P1289" s="40" t="str" cm="1">
        <f t="array" ref="P1289">IFERROR(_xlfn.LET(
_xlpm.CSVVal,_xlfn.XLOOKUP($A1289,CSV!$A:$A,CSV!AB:AB,""),
_xlpm.MacVal,_xlfn.XLOOKUP($A1289,Output_Mac!$A:$A,Output_Mac!T:T,""),
_xlpm.MyAuditVal,_xlfn.XLOOKUP($A1289,My_Audit!$A:$A,My_Audit!Q:Q,""),
_xlfn.IFS(_xlpm.MyAuditVal&lt;&gt;"",UPPER(_xlpm.MyAuditVal),_xlpm.MacVal&lt;&gt;"",_xlpm.MacVal,_xlpm.CSVVal&lt;&gt;"",_xlpm.CSVVal
)),"No")</f>
        <v>No</v>
      </c>
      <c r="Q1289" s="40" t="str" cm="1">
        <f t="array" ref="Q1289">IFERROR(_xlfn.LET(
_xlpm.CSVVal,_xlfn.XLOOKUP($A1289,CSV!$A:$A,CSV!AC:AC,""),
_xlpm.MacVal,_xlfn.XLOOKUP($A1289,Output_Mac!$A:$A,Output_Mac!U:U,""),
_xlpm.MyAuditVal,_xlfn.XLOOKUP($A1289,My_Audit!$A:$A,My_Audit!R:R,""),
_xlfn.IFS(_xlpm.MyAuditVal&lt;&gt;"",UPPER(_xlpm.MyAuditVal),_xlpm.MacVal&lt;&gt;"",_xlpm.MacVal,_xlpm.CSVVal&lt;&gt;"",_xlpm.CSVVal
)),"")</f>
        <v/>
      </c>
      <c r="R1289" s="40"/>
      <c r="S1289" s="40"/>
      <c r="T1289" s="40"/>
      <c r="U1289" s="40"/>
      <c r="V1289" s="40"/>
      <c r="W1289" s="40"/>
      <c r="X1289" s="41" t="str">
        <f>_xlfn.LET(
    _xlpm.MacVal, _xlfn.XLOOKUP($A1289, Output_Mac!$A:$A, Output_Mac!AB:AB, ""),
    _xlpm.MyAuditVal, _xlfn.XLOOKUP($A1289, My_Audit!$A:$A, My_Audit!N:N, ""),
    _xlfn.TEXTJOIN(", ", TRUE, _xlpm.MyAuditVal, _xlpm.MacVal)
)</f>
        <v/>
      </c>
    </row>
    <row r="1290" spans="1:24">
      <c r="A1290" s="40" t="str">
        <f>_xlfn.TEXTJOIN("",TRUE,Input!$B$2,ROW(My_Audit!A1289))</f>
        <v>X1289</v>
      </c>
      <c r="B1290" s="40" t="str">
        <f>_xlfn.TEXTJOIN("-",TRUE,"ITD",Input!$A$2,A1290)</f>
        <v>ITD-X1289</v>
      </c>
      <c r="C1290" s="40" t="str" cm="1">
        <f t="array" ref="C1290">IFERROR(_xlfn.LET(
_xlpm.CSVVal,_xlfn.XLOOKUP($A1290,CSV!$A:$A,CSV!B:B,""),
_xlpm.MacVal,_xlfn.XLOOKUP($A1290,Output_Mac!$A:$A,Output_Mac!B:B,""),
_xlpm.MyAuditVal,_xlfn.XLOOKUP($A1290,My_Audit!$A:$A,My_Audit!B:B,""),
_xlfn.IFS(_xlpm.MyAuditVal&lt;&gt;"",UPPER(_xlpm.MyAuditVal),_xlpm.MacVal&lt;&gt;"",_xlpm.MacVal,_xlpm.CSVVal&lt;&gt;"",_xlpm.CSVVal
)),"")</f>
        <v/>
      </c>
      <c r="D1290" s="40" t="str" cm="1">
        <f t="array" ref="D1290">IFERROR(_xlfn.LET(
_xlpm.CSVVal,_xlfn.XLOOKUP($A1290,CSV!$A:$A,CSV!D:D,""),
_xlpm.MacVal,_xlfn.XLOOKUP($A1290,Output_Mac!$A:$A,Output_Mac!C:C,""),
_xlpm.MyAuditVal,_xlfn.XLOOKUP($A1290,My_Audit!$A:$A,My_Audit!C:C,""),
_xlfn.IFS(_xlpm.MyAuditVal&lt;&gt;"",_xlpm.MyAuditVal,_xlpm.MacVal&lt;&gt;"",_xlpm.MacVal,_xlpm.CSVVal&lt;&gt;"",_xlpm.CSVVal
)),"")</f>
        <v/>
      </c>
      <c r="E1290" s="40" t="str">
        <f>_xlfn.XLOOKUP(A1290,My_Audit!A:A,My_Audit!D:D,"")</f>
        <v/>
      </c>
      <c r="F1290" s="40" t="str" cm="1">
        <f t="array" ref="F1290">IFERROR(_xlfn.LET(
_xlpm.CSVVal,_xlfn.XLOOKUP($A1290,CSV!$A:$A,CSV!F:F,""),
_xlpm.MacVal,_xlfn.XLOOKUP($A1290,Output_Mac!$A:$A,Output_Mac!E:E,""),
_xlpm.MyAuditVal,_xlfn.XLOOKUP($A1290,My_Audit!$A:$A,My_Audit!E:E,""),
_xlfn.IFS(_xlpm.MyAuditVal&lt;&gt;"",_xlpm.MyAuditVal,_xlpm.MacVal&lt;&gt;"",_xlpm.MacVal,_xlpm.CSVVal&lt;&gt;"",_xlpm.CSVVal
)),"")</f>
        <v/>
      </c>
      <c r="G1290" s="40" t="str" cm="1">
        <f t="array" ref="G1290">IFERROR(_xlfn.LET(
_xlpm.CSVVal,_xlfn.XLOOKUP($A1290,CSV!$A:$A,CSV!G:G,""),
_xlpm.MacVal,_xlfn.XLOOKUP($A1290,Output_Mac!$A:$A,Output_Mac!F:F,""),
_xlpm.MyAuditVal,_xlfn.XLOOKUP($A1290,My_Audit!$A:$A,My_Audit!F:F,""),
_xlfn.IFS(_xlpm.MyAuditVal&lt;&gt;"",_xlpm.MyAuditVal,_xlpm.MacVal&lt;&gt;"",_xlpm.MacVal,_xlpm.CSVVal&lt;&gt;"",PROPER(_xlpm.CSVVal)
)),"")</f>
        <v/>
      </c>
      <c r="H1290" s="40" t="str" cm="1">
        <f t="array" ref="H1290">IFERROR(_xlfn.LET(
_xlpm.CSVVal,_xlfn.XLOOKUP($A1290,CSV!$A:$A,CSV!H:H,""),
_xlpm.MacVal,_xlfn.XLOOKUP($A1290,Output_Mac!$A:$A,Output_Mac!H:H,""),
_xlpm.MyAuditVal,_xlfn.XLOOKUP($A1290,My_Audit!$A:$A,My_Audit!G:G,""),
_xlfn.IFS(_xlpm.MyAuditVal&lt;&gt;"",_xlpm.MyAuditVal,_xlpm.MacVal&lt;&gt;"",_xlpm.MacVal,_xlpm.CSVVal&lt;&gt;"",_xlpm.CSVVal
)),"")</f>
        <v/>
      </c>
      <c r="I1290" s="40" t="str">
        <f>_xlfn.XLOOKUP(A1290,Output_Mac!A:A,Output_Mac!I:I,"")</f>
        <v/>
      </c>
      <c r="J1290" s="40" t="str" cm="1">
        <f t="array" ref="J1290">IFERROR(_xlfn.LET(
_xlpm.CSVVal,_xlfn.XLOOKUP($A1290,CSV!$A:$A,CSV!I:I,""),
_xlpm.MacVal,_xlfn.XLOOKUP($A1290,Output_Mac!$A:$A,Output_Mac!J:J,""),
_xlpm.MyAuditVal,_xlfn.XLOOKUP($A1290,My_Audit!$A:$A,My_Audit!I:I,""),
_xlfn.IFS(_xlpm.MyAuditVal&lt;&gt;"",UPPER(_xlpm.MyAuditVal),_xlpm.MacVal&lt;&gt;"",_xlpm.MacVal,_xlpm.CSVVal&lt;&gt;"",_xlpm.CSVVal
)),"")</f>
        <v/>
      </c>
      <c r="K1290" s="40" t="str" cm="1">
        <f t="array" ref="K1290">IFERROR(_xlfn.LET(
_xlpm.CSVVal,_xlfn.XLOOKUP($A1290,CSV!$A:$A,CSV!K:K,""),
_xlpm.MacVal,_xlfn.XLOOKUP($A1290,Output_Mac!$A:$A,Output_Mac!K:K,""),
_xlpm.MyAuditVal,_xlfn.XLOOKUP($A1290,My_Audit!$A:$A,My_Audit!J:J,""),
_xlfn.IFS(_xlpm.MyAuditVal&lt;&gt;"",UPPER(_xlpm.MyAuditVal),_xlpm.MacVal&lt;&gt;"",_xlpm.MacVal,_xlpm.CSVVal&lt;&gt;"",_xlpm.CSVVal
)),"")</f>
        <v/>
      </c>
      <c r="L1290" s="40" t="str" cm="1">
        <f t="array" ref="L1290">IFERROR(_xlfn.LET(
_xlpm.CSVVal,_xlfn.XLOOKUP($A1290,CSV!$A:$A,CSV!P:P,""),
_xlpm.MacVal,_xlfn.XLOOKUP($A1290,Output_Mac!$A:$A,Output_Mac!L:L,""),
_xlpm.MyAuditVal,_xlfn.XLOOKUP($A1290,My_Audit!$A:$A,My_Audit!K:K,""),
_xlfn.IFS(_xlpm.MyAuditVal&lt;&gt;"",UPPER(_xlpm.MyAuditVal),_xlpm.MacVal&lt;&gt;"",_xlpm.MacVal,_xlpm.CSVVal&lt;&gt;"",_xlpm.CSVVal
)),"")</f>
        <v/>
      </c>
      <c r="M1290" s="40" t="str" cm="1">
        <f t="array" ref="M1290">IFERROR(_xlfn.LET(
_xlpm.CSVVal,_xlfn.XLOOKUP($A1290,CSV!$A:$A,CSV!Q:Q,""),
_xlpm.MacVal,_xlfn.XLOOKUP($A1290,Output_Mac!$A:$A,Output_Mac!M:M,""),
_xlpm.MyAuditVal,_xlfn.XLOOKUP($A1290,My_Audit!$A:$A,My_Audit!L:L,""),
_xlfn.IFS(_xlpm.MyAuditVal&lt;&gt;"",UPPER(_xlpm.MyAuditVal),_xlpm.MacVal&lt;&gt;"",_xlpm.MacVal,_xlpm.CSVVal&lt;&gt;"",_xlpm.CSVVal
)),"")</f>
        <v/>
      </c>
      <c r="N1290" s="40"/>
      <c r="O1290" s="40" t="str">
        <f>_xlfn.LET(
    _xlpm.CSVVal, _xlfn.XLOOKUP($A1290, CSV!$A:$A, CSV!AA:AA, ""),
    _xlpm.MacVal, _xlfn.XLOOKUP($A1290, Output_Mac!$A:$A, Output_Mac!S:S, ""),
    _xlpm.MyAuditVal, _xlfn.XLOOKUP($A1290, My_Audit!$A:$A, My_Audit!P:P, ""),
    _xlfn.TEXTJOIN(", ", TRUE, _xlpm.MyAuditVal, _xlpm.MacVal, _xlpm.CSVVal)
)</f>
        <v/>
      </c>
      <c r="P1290" s="40" t="str" cm="1">
        <f t="array" ref="P1290">IFERROR(_xlfn.LET(
_xlpm.CSVVal,_xlfn.XLOOKUP($A1290,CSV!$A:$A,CSV!AB:AB,""),
_xlpm.MacVal,_xlfn.XLOOKUP($A1290,Output_Mac!$A:$A,Output_Mac!T:T,""),
_xlpm.MyAuditVal,_xlfn.XLOOKUP($A1290,My_Audit!$A:$A,My_Audit!Q:Q,""),
_xlfn.IFS(_xlpm.MyAuditVal&lt;&gt;"",UPPER(_xlpm.MyAuditVal),_xlpm.MacVal&lt;&gt;"",_xlpm.MacVal,_xlpm.CSVVal&lt;&gt;"",_xlpm.CSVVal
)),"No")</f>
        <v>No</v>
      </c>
      <c r="Q1290" s="40" t="str" cm="1">
        <f t="array" ref="Q1290">IFERROR(_xlfn.LET(
_xlpm.CSVVal,_xlfn.XLOOKUP($A1290,CSV!$A:$A,CSV!AC:AC,""),
_xlpm.MacVal,_xlfn.XLOOKUP($A1290,Output_Mac!$A:$A,Output_Mac!U:U,""),
_xlpm.MyAuditVal,_xlfn.XLOOKUP($A1290,My_Audit!$A:$A,My_Audit!R:R,""),
_xlfn.IFS(_xlpm.MyAuditVal&lt;&gt;"",UPPER(_xlpm.MyAuditVal),_xlpm.MacVal&lt;&gt;"",_xlpm.MacVal,_xlpm.CSVVal&lt;&gt;"",_xlpm.CSVVal
)),"")</f>
        <v/>
      </c>
      <c r="R1290" s="40"/>
      <c r="S1290" s="40"/>
      <c r="T1290" s="40"/>
      <c r="U1290" s="40"/>
      <c r="V1290" s="40"/>
      <c r="W1290" s="40"/>
      <c r="X1290" s="41" t="str">
        <f>_xlfn.LET(
    _xlpm.MacVal, _xlfn.XLOOKUP($A1290, Output_Mac!$A:$A, Output_Mac!AB:AB, ""),
    _xlpm.MyAuditVal, _xlfn.XLOOKUP($A1290, My_Audit!$A:$A, My_Audit!N:N, ""),
    _xlfn.TEXTJOIN(", ", TRUE, _xlpm.MyAuditVal, _xlpm.MacVal)
)</f>
        <v/>
      </c>
    </row>
    <row r="1291" spans="1:24">
      <c r="A1291" s="40" t="str">
        <f>_xlfn.TEXTJOIN("",TRUE,Input!$B$2,ROW(My_Audit!A1290))</f>
        <v>X1290</v>
      </c>
      <c r="B1291" s="40" t="str">
        <f>_xlfn.TEXTJOIN("-",TRUE,"ITD",Input!$A$2,A1291)</f>
        <v>ITD-X1290</v>
      </c>
      <c r="C1291" s="40" t="str" cm="1">
        <f t="array" ref="C1291">IFERROR(_xlfn.LET(
_xlpm.CSVVal,_xlfn.XLOOKUP($A1291,CSV!$A:$A,CSV!B:B,""),
_xlpm.MacVal,_xlfn.XLOOKUP($A1291,Output_Mac!$A:$A,Output_Mac!B:B,""),
_xlpm.MyAuditVal,_xlfn.XLOOKUP($A1291,My_Audit!$A:$A,My_Audit!B:B,""),
_xlfn.IFS(_xlpm.MyAuditVal&lt;&gt;"",UPPER(_xlpm.MyAuditVal),_xlpm.MacVal&lt;&gt;"",_xlpm.MacVal,_xlpm.CSVVal&lt;&gt;"",_xlpm.CSVVal
)),"")</f>
        <v/>
      </c>
      <c r="D1291" s="40" t="str" cm="1">
        <f t="array" ref="D1291">IFERROR(_xlfn.LET(
_xlpm.CSVVal,_xlfn.XLOOKUP($A1291,CSV!$A:$A,CSV!D:D,""),
_xlpm.MacVal,_xlfn.XLOOKUP($A1291,Output_Mac!$A:$A,Output_Mac!C:C,""),
_xlpm.MyAuditVal,_xlfn.XLOOKUP($A1291,My_Audit!$A:$A,My_Audit!C:C,""),
_xlfn.IFS(_xlpm.MyAuditVal&lt;&gt;"",_xlpm.MyAuditVal,_xlpm.MacVal&lt;&gt;"",_xlpm.MacVal,_xlpm.CSVVal&lt;&gt;"",_xlpm.CSVVal
)),"")</f>
        <v/>
      </c>
      <c r="E1291" s="40" t="str">
        <f>_xlfn.XLOOKUP(A1291,My_Audit!A:A,My_Audit!D:D,"")</f>
        <v/>
      </c>
      <c r="F1291" s="40" t="str" cm="1">
        <f t="array" ref="F1291">IFERROR(_xlfn.LET(
_xlpm.CSVVal,_xlfn.XLOOKUP($A1291,CSV!$A:$A,CSV!F:F,""),
_xlpm.MacVal,_xlfn.XLOOKUP($A1291,Output_Mac!$A:$A,Output_Mac!E:E,""),
_xlpm.MyAuditVal,_xlfn.XLOOKUP($A1291,My_Audit!$A:$A,My_Audit!E:E,""),
_xlfn.IFS(_xlpm.MyAuditVal&lt;&gt;"",_xlpm.MyAuditVal,_xlpm.MacVal&lt;&gt;"",_xlpm.MacVal,_xlpm.CSVVal&lt;&gt;"",_xlpm.CSVVal
)),"")</f>
        <v/>
      </c>
      <c r="G1291" s="40" t="str" cm="1">
        <f t="array" ref="G1291">IFERROR(_xlfn.LET(
_xlpm.CSVVal,_xlfn.XLOOKUP($A1291,CSV!$A:$A,CSV!G:G,""),
_xlpm.MacVal,_xlfn.XLOOKUP($A1291,Output_Mac!$A:$A,Output_Mac!F:F,""),
_xlpm.MyAuditVal,_xlfn.XLOOKUP($A1291,My_Audit!$A:$A,My_Audit!F:F,""),
_xlfn.IFS(_xlpm.MyAuditVal&lt;&gt;"",_xlpm.MyAuditVal,_xlpm.MacVal&lt;&gt;"",_xlpm.MacVal,_xlpm.CSVVal&lt;&gt;"",PROPER(_xlpm.CSVVal)
)),"")</f>
        <v/>
      </c>
      <c r="H1291" s="40" t="str" cm="1">
        <f t="array" ref="H1291">IFERROR(_xlfn.LET(
_xlpm.CSVVal,_xlfn.XLOOKUP($A1291,CSV!$A:$A,CSV!H:H,""),
_xlpm.MacVal,_xlfn.XLOOKUP($A1291,Output_Mac!$A:$A,Output_Mac!H:H,""),
_xlpm.MyAuditVal,_xlfn.XLOOKUP($A1291,My_Audit!$A:$A,My_Audit!G:G,""),
_xlfn.IFS(_xlpm.MyAuditVal&lt;&gt;"",_xlpm.MyAuditVal,_xlpm.MacVal&lt;&gt;"",_xlpm.MacVal,_xlpm.CSVVal&lt;&gt;"",_xlpm.CSVVal
)),"")</f>
        <v/>
      </c>
      <c r="I1291" s="40" t="str">
        <f>_xlfn.XLOOKUP(A1291,Output_Mac!A:A,Output_Mac!I:I,"")</f>
        <v/>
      </c>
      <c r="J1291" s="40" t="str" cm="1">
        <f t="array" ref="J1291">IFERROR(_xlfn.LET(
_xlpm.CSVVal,_xlfn.XLOOKUP($A1291,CSV!$A:$A,CSV!I:I,""),
_xlpm.MacVal,_xlfn.XLOOKUP($A1291,Output_Mac!$A:$A,Output_Mac!J:J,""),
_xlpm.MyAuditVal,_xlfn.XLOOKUP($A1291,My_Audit!$A:$A,My_Audit!I:I,""),
_xlfn.IFS(_xlpm.MyAuditVal&lt;&gt;"",UPPER(_xlpm.MyAuditVal),_xlpm.MacVal&lt;&gt;"",_xlpm.MacVal,_xlpm.CSVVal&lt;&gt;"",_xlpm.CSVVal
)),"")</f>
        <v/>
      </c>
      <c r="K1291" s="40" t="str" cm="1">
        <f t="array" ref="K1291">IFERROR(_xlfn.LET(
_xlpm.CSVVal,_xlfn.XLOOKUP($A1291,CSV!$A:$A,CSV!K:K,""),
_xlpm.MacVal,_xlfn.XLOOKUP($A1291,Output_Mac!$A:$A,Output_Mac!K:K,""),
_xlpm.MyAuditVal,_xlfn.XLOOKUP($A1291,My_Audit!$A:$A,My_Audit!J:J,""),
_xlfn.IFS(_xlpm.MyAuditVal&lt;&gt;"",UPPER(_xlpm.MyAuditVal),_xlpm.MacVal&lt;&gt;"",_xlpm.MacVal,_xlpm.CSVVal&lt;&gt;"",_xlpm.CSVVal
)),"")</f>
        <v/>
      </c>
      <c r="L1291" s="40" t="str" cm="1">
        <f t="array" ref="L1291">IFERROR(_xlfn.LET(
_xlpm.CSVVal,_xlfn.XLOOKUP($A1291,CSV!$A:$A,CSV!P:P,""),
_xlpm.MacVal,_xlfn.XLOOKUP($A1291,Output_Mac!$A:$A,Output_Mac!L:L,""),
_xlpm.MyAuditVal,_xlfn.XLOOKUP($A1291,My_Audit!$A:$A,My_Audit!K:K,""),
_xlfn.IFS(_xlpm.MyAuditVal&lt;&gt;"",UPPER(_xlpm.MyAuditVal),_xlpm.MacVal&lt;&gt;"",_xlpm.MacVal,_xlpm.CSVVal&lt;&gt;"",_xlpm.CSVVal
)),"")</f>
        <v/>
      </c>
      <c r="M1291" s="40" t="str" cm="1">
        <f t="array" ref="M1291">IFERROR(_xlfn.LET(
_xlpm.CSVVal,_xlfn.XLOOKUP($A1291,CSV!$A:$A,CSV!Q:Q,""),
_xlpm.MacVal,_xlfn.XLOOKUP($A1291,Output_Mac!$A:$A,Output_Mac!M:M,""),
_xlpm.MyAuditVal,_xlfn.XLOOKUP($A1291,My_Audit!$A:$A,My_Audit!L:L,""),
_xlfn.IFS(_xlpm.MyAuditVal&lt;&gt;"",UPPER(_xlpm.MyAuditVal),_xlpm.MacVal&lt;&gt;"",_xlpm.MacVal,_xlpm.CSVVal&lt;&gt;"",_xlpm.CSVVal
)),"")</f>
        <v/>
      </c>
      <c r="N1291" s="40"/>
      <c r="O1291" s="40" t="str">
        <f>_xlfn.LET(
    _xlpm.CSVVal, _xlfn.XLOOKUP($A1291, CSV!$A:$A, CSV!AA:AA, ""),
    _xlpm.MacVal, _xlfn.XLOOKUP($A1291, Output_Mac!$A:$A, Output_Mac!S:S, ""),
    _xlpm.MyAuditVal, _xlfn.XLOOKUP($A1291, My_Audit!$A:$A, My_Audit!P:P, ""),
    _xlfn.TEXTJOIN(", ", TRUE, _xlpm.MyAuditVal, _xlpm.MacVal, _xlpm.CSVVal)
)</f>
        <v/>
      </c>
      <c r="P1291" s="40" t="str" cm="1">
        <f t="array" ref="P1291">IFERROR(_xlfn.LET(
_xlpm.CSVVal,_xlfn.XLOOKUP($A1291,CSV!$A:$A,CSV!AB:AB,""),
_xlpm.MacVal,_xlfn.XLOOKUP($A1291,Output_Mac!$A:$A,Output_Mac!T:T,""),
_xlpm.MyAuditVal,_xlfn.XLOOKUP($A1291,My_Audit!$A:$A,My_Audit!Q:Q,""),
_xlfn.IFS(_xlpm.MyAuditVal&lt;&gt;"",UPPER(_xlpm.MyAuditVal),_xlpm.MacVal&lt;&gt;"",_xlpm.MacVal,_xlpm.CSVVal&lt;&gt;"",_xlpm.CSVVal
)),"No")</f>
        <v>No</v>
      </c>
      <c r="Q1291" s="40" t="str" cm="1">
        <f t="array" ref="Q1291">IFERROR(_xlfn.LET(
_xlpm.CSVVal,_xlfn.XLOOKUP($A1291,CSV!$A:$A,CSV!AC:AC,""),
_xlpm.MacVal,_xlfn.XLOOKUP($A1291,Output_Mac!$A:$A,Output_Mac!U:U,""),
_xlpm.MyAuditVal,_xlfn.XLOOKUP($A1291,My_Audit!$A:$A,My_Audit!R:R,""),
_xlfn.IFS(_xlpm.MyAuditVal&lt;&gt;"",UPPER(_xlpm.MyAuditVal),_xlpm.MacVal&lt;&gt;"",_xlpm.MacVal,_xlpm.CSVVal&lt;&gt;"",_xlpm.CSVVal
)),"")</f>
        <v/>
      </c>
      <c r="R1291" s="40"/>
      <c r="S1291" s="40"/>
      <c r="T1291" s="40"/>
      <c r="U1291" s="40"/>
      <c r="V1291" s="40"/>
      <c r="W1291" s="40"/>
      <c r="X1291" s="41" t="str">
        <f>_xlfn.LET(
    _xlpm.MacVal, _xlfn.XLOOKUP($A1291, Output_Mac!$A:$A, Output_Mac!AB:AB, ""),
    _xlpm.MyAuditVal, _xlfn.XLOOKUP($A1291, My_Audit!$A:$A, My_Audit!N:N, ""),
    _xlfn.TEXTJOIN(", ", TRUE, _xlpm.MyAuditVal, _xlpm.MacVal)
)</f>
        <v/>
      </c>
    </row>
    <row r="1292" spans="1:24">
      <c r="A1292" s="40" t="str">
        <f>_xlfn.TEXTJOIN("",TRUE,Input!$B$2,ROW(My_Audit!A1291))</f>
        <v>X1291</v>
      </c>
      <c r="B1292" s="40" t="str">
        <f>_xlfn.TEXTJOIN("-",TRUE,"ITD",Input!$A$2,A1292)</f>
        <v>ITD-X1291</v>
      </c>
      <c r="C1292" s="40" t="str" cm="1">
        <f t="array" ref="C1292">IFERROR(_xlfn.LET(
_xlpm.CSVVal,_xlfn.XLOOKUP($A1292,CSV!$A:$A,CSV!B:B,""),
_xlpm.MacVal,_xlfn.XLOOKUP($A1292,Output_Mac!$A:$A,Output_Mac!B:B,""),
_xlpm.MyAuditVal,_xlfn.XLOOKUP($A1292,My_Audit!$A:$A,My_Audit!B:B,""),
_xlfn.IFS(_xlpm.MyAuditVal&lt;&gt;"",UPPER(_xlpm.MyAuditVal),_xlpm.MacVal&lt;&gt;"",_xlpm.MacVal,_xlpm.CSVVal&lt;&gt;"",_xlpm.CSVVal
)),"")</f>
        <v/>
      </c>
      <c r="D1292" s="40" t="str" cm="1">
        <f t="array" ref="D1292">IFERROR(_xlfn.LET(
_xlpm.CSVVal,_xlfn.XLOOKUP($A1292,CSV!$A:$A,CSV!D:D,""),
_xlpm.MacVal,_xlfn.XLOOKUP($A1292,Output_Mac!$A:$A,Output_Mac!C:C,""),
_xlpm.MyAuditVal,_xlfn.XLOOKUP($A1292,My_Audit!$A:$A,My_Audit!C:C,""),
_xlfn.IFS(_xlpm.MyAuditVal&lt;&gt;"",_xlpm.MyAuditVal,_xlpm.MacVal&lt;&gt;"",_xlpm.MacVal,_xlpm.CSVVal&lt;&gt;"",_xlpm.CSVVal
)),"")</f>
        <v/>
      </c>
      <c r="E1292" s="40" t="str">
        <f>_xlfn.XLOOKUP(A1292,My_Audit!A:A,My_Audit!D:D,"")</f>
        <v/>
      </c>
      <c r="F1292" s="40" t="str" cm="1">
        <f t="array" ref="F1292">IFERROR(_xlfn.LET(
_xlpm.CSVVal,_xlfn.XLOOKUP($A1292,CSV!$A:$A,CSV!F:F,""),
_xlpm.MacVal,_xlfn.XLOOKUP($A1292,Output_Mac!$A:$A,Output_Mac!E:E,""),
_xlpm.MyAuditVal,_xlfn.XLOOKUP($A1292,My_Audit!$A:$A,My_Audit!E:E,""),
_xlfn.IFS(_xlpm.MyAuditVal&lt;&gt;"",_xlpm.MyAuditVal,_xlpm.MacVal&lt;&gt;"",_xlpm.MacVal,_xlpm.CSVVal&lt;&gt;"",_xlpm.CSVVal
)),"")</f>
        <v/>
      </c>
      <c r="G1292" s="40" t="str" cm="1">
        <f t="array" ref="G1292">IFERROR(_xlfn.LET(
_xlpm.CSVVal,_xlfn.XLOOKUP($A1292,CSV!$A:$A,CSV!G:G,""),
_xlpm.MacVal,_xlfn.XLOOKUP($A1292,Output_Mac!$A:$A,Output_Mac!F:F,""),
_xlpm.MyAuditVal,_xlfn.XLOOKUP($A1292,My_Audit!$A:$A,My_Audit!F:F,""),
_xlfn.IFS(_xlpm.MyAuditVal&lt;&gt;"",_xlpm.MyAuditVal,_xlpm.MacVal&lt;&gt;"",_xlpm.MacVal,_xlpm.CSVVal&lt;&gt;"",PROPER(_xlpm.CSVVal)
)),"")</f>
        <v/>
      </c>
      <c r="H1292" s="40" t="str" cm="1">
        <f t="array" ref="H1292">IFERROR(_xlfn.LET(
_xlpm.CSVVal,_xlfn.XLOOKUP($A1292,CSV!$A:$A,CSV!H:H,""),
_xlpm.MacVal,_xlfn.XLOOKUP($A1292,Output_Mac!$A:$A,Output_Mac!H:H,""),
_xlpm.MyAuditVal,_xlfn.XLOOKUP($A1292,My_Audit!$A:$A,My_Audit!G:G,""),
_xlfn.IFS(_xlpm.MyAuditVal&lt;&gt;"",_xlpm.MyAuditVal,_xlpm.MacVal&lt;&gt;"",_xlpm.MacVal,_xlpm.CSVVal&lt;&gt;"",_xlpm.CSVVal
)),"")</f>
        <v/>
      </c>
      <c r="I1292" s="40" t="str">
        <f>_xlfn.XLOOKUP(A1292,Output_Mac!A:A,Output_Mac!I:I,"")</f>
        <v/>
      </c>
      <c r="J1292" s="40" t="str" cm="1">
        <f t="array" ref="J1292">IFERROR(_xlfn.LET(
_xlpm.CSVVal,_xlfn.XLOOKUP($A1292,CSV!$A:$A,CSV!I:I,""),
_xlpm.MacVal,_xlfn.XLOOKUP($A1292,Output_Mac!$A:$A,Output_Mac!J:J,""),
_xlpm.MyAuditVal,_xlfn.XLOOKUP($A1292,My_Audit!$A:$A,My_Audit!I:I,""),
_xlfn.IFS(_xlpm.MyAuditVal&lt;&gt;"",UPPER(_xlpm.MyAuditVal),_xlpm.MacVal&lt;&gt;"",_xlpm.MacVal,_xlpm.CSVVal&lt;&gt;"",_xlpm.CSVVal
)),"")</f>
        <v/>
      </c>
      <c r="K1292" s="40" t="str" cm="1">
        <f t="array" ref="K1292">IFERROR(_xlfn.LET(
_xlpm.CSVVal,_xlfn.XLOOKUP($A1292,CSV!$A:$A,CSV!K:K,""),
_xlpm.MacVal,_xlfn.XLOOKUP($A1292,Output_Mac!$A:$A,Output_Mac!K:K,""),
_xlpm.MyAuditVal,_xlfn.XLOOKUP($A1292,My_Audit!$A:$A,My_Audit!J:J,""),
_xlfn.IFS(_xlpm.MyAuditVal&lt;&gt;"",UPPER(_xlpm.MyAuditVal),_xlpm.MacVal&lt;&gt;"",_xlpm.MacVal,_xlpm.CSVVal&lt;&gt;"",_xlpm.CSVVal
)),"")</f>
        <v/>
      </c>
      <c r="L1292" s="40" t="str" cm="1">
        <f t="array" ref="L1292">IFERROR(_xlfn.LET(
_xlpm.CSVVal,_xlfn.XLOOKUP($A1292,CSV!$A:$A,CSV!P:P,""),
_xlpm.MacVal,_xlfn.XLOOKUP($A1292,Output_Mac!$A:$A,Output_Mac!L:L,""),
_xlpm.MyAuditVal,_xlfn.XLOOKUP($A1292,My_Audit!$A:$A,My_Audit!K:K,""),
_xlfn.IFS(_xlpm.MyAuditVal&lt;&gt;"",UPPER(_xlpm.MyAuditVal),_xlpm.MacVal&lt;&gt;"",_xlpm.MacVal,_xlpm.CSVVal&lt;&gt;"",_xlpm.CSVVal
)),"")</f>
        <v/>
      </c>
      <c r="M1292" s="40" t="str" cm="1">
        <f t="array" ref="M1292">IFERROR(_xlfn.LET(
_xlpm.CSVVal,_xlfn.XLOOKUP($A1292,CSV!$A:$A,CSV!Q:Q,""),
_xlpm.MacVal,_xlfn.XLOOKUP($A1292,Output_Mac!$A:$A,Output_Mac!M:M,""),
_xlpm.MyAuditVal,_xlfn.XLOOKUP($A1292,My_Audit!$A:$A,My_Audit!L:L,""),
_xlfn.IFS(_xlpm.MyAuditVal&lt;&gt;"",UPPER(_xlpm.MyAuditVal),_xlpm.MacVal&lt;&gt;"",_xlpm.MacVal,_xlpm.CSVVal&lt;&gt;"",_xlpm.CSVVal
)),"")</f>
        <v/>
      </c>
      <c r="N1292" s="40"/>
      <c r="O1292" s="40" t="str">
        <f>_xlfn.LET(
    _xlpm.CSVVal, _xlfn.XLOOKUP($A1292, CSV!$A:$A, CSV!AA:AA, ""),
    _xlpm.MacVal, _xlfn.XLOOKUP($A1292, Output_Mac!$A:$A, Output_Mac!S:S, ""),
    _xlpm.MyAuditVal, _xlfn.XLOOKUP($A1292, My_Audit!$A:$A, My_Audit!P:P, ""),
    _xlfn.TEXTJOIN(", ", TRUE, _xlpm.MyAuditVal, _xlpm.MacVal, _xlpm.CSVVal)
)</f>
        <v/>
      </c>
      <c r="P1292" s="40" t="str" cm="1">
        <f t="array" ref="P1292">IFERROR(_xlfn.LET(
_xlpm.CSVVal,_xlfn.XLOOKUP($A1292,CSV!$A:$A,CSV!AB:AB,""),
_xlpm.MacVal,_xlfn.XLOOKUP($A1292,Output_Mac!$A:$A,Output_Mac!T:T,""),
_xlpm.MyAuditVal,_xlfn.XLOOKUP($A1292,My_Audit!$A:$A,My_Audit!Q:Q,""),
_xlfn.IFS(_xlpm.MyAuditVal&lt;&gt;"",UPPER(_xlpm.MyAuditVal),_xlpm.MacVal&lt;&gt;"",_xlpm.MacVal,_xlpm.CSVVal&lt;&gt;"",_xlpm.CSVVal
)),"No")</f>
        <v>No</v>
      </c>
      <c r="Q1292" s="40" t="str" cm="1">
        <f t="array" ref="Q1292">IFERROR(_xlfn.LET(
_xlpm.CSVVal,_xlfn.XLOOKUP($A1292,CSV!$A:$A,CSV!AC:AC,""),
_xlpm.MacVal,_xlfn.XLOOKUP($A1292,Output_Mac!$A:$A,Output_Mac!U:U,""),
_xlpm.MyAuditVal,_xlfn.XLOOKUP($A1292,My_Audit!$A:$A,My_Audit!R:R,""),
_xlfn.IFS(_xlpm.MyAuditVal&lt;&gt;"",UPPER(_xlpm.MyAuditVal),_xlpm.MacVal&lt;&gt;"",_xlpm.MacVal,_xlpm.CSVVal&lt;&gt;"",_xlpm.CSVVal
)),"")</f>
        <v/>
      </c>
      <c r="R1292" s="40"/>
      <c r="S1292" s="40"/>
      <c r="T1292" s="40"/>
      <c r="U1292" s="40"/>
      <c r="V1292" s="40"/>
      <c r="W1292" s="40"/>
      <c r="X1292" s="41" t="str">
        <f>_xlfn.LET(
    _xlpm.MacVal, _xlfn.XLOOKUP($A1292, Output_Mac!$A:$A, Output_Mac!AB:AB, ""),
    _xlpm.MyAuditVal, _xlfn.XLOOKUP($A1292, My_Audit!$A:$A, My_Audit!N:N, ""),
    _xlfn.TEXTJOIN(", ", TRUE, _xlpm.MyAuditVal, _xlpm.MacVal)
)</f>
        <v/>
      </c>
    </row>
    <row r="1293" spans="1:24">
      <c r="A1293" s="40" t="str">
        <f>_xlfn.TEXTJOIN("",TRUE,Input!$B$2,ROW(My_Audit!A1292))</f>
        <v>X1292</v>
      </c>
      <c r="B1293" s="40" t="str">
        <f>_xlfn.TEXTJOIN("-",TRUE,"ITD",Input!$A$2,A1293)</f>
        <v>ITD-X1292</v>
      </c>
      <c r="C1293" s="40" t="str" cm="1">
        <f t="array" ref="C1293">IFERROR(_xlfn.LET(
_xlpm.CSVVal,_xlfn.XLOOKUP($A1293,CSV!$A:$A,CSV!B:B,""),
_xlpm.MacVal,_xlfn.XLOOKUP($A1293,Output_Mac!$A:$A,Output_Mac!B:B,""),
_xlpm.MyAuditVal,_xlfn.XLOOKUP($A1293,My_Audit!$A:$A,My_Audit!B:B,""),
_xlfn.IFS(_xlpm.MyAuditVal&lt;&gt;"",UPPER(_xlpm.MyAuditVal),_xlpm.MacVal&lt;&gt;"",_xlpm.MacVal,_xlpm.CSVVal&lt;&gt;"",_xlpm.CSVVal
)),"")</f>
        <v/>
      </c>
      <c r="D1293" s="40" t="str" cm="1">
        <f t="array" ref="D1293">IFERROR(_xlfn.LET(
_xlpm.CSVVal,_xlfn.XLOOKUP($A1293,CSV!$A:$A,CSV!D:D,""),
_xlpm.MacVal,_xlfn.XLOOKUP($A1293,Output_Mac!$A:$A,Output_Mac!C:C,""),
_xlpm.MyAuditVal,_xlfn.XLOOKUP($A1293,My_Audit!$A:$A,My_Audit!C:C,""),
_xlfn.IFS(_xlpm.MyAuditVal&lt;&gt;"",_xlpm.MyAuditVal,_xlpm.MacVal&lt;&gt;"",_xlpm.MacVal,_xlpm.CSVVal&lt;&gt;"",_xlpm.CSVVal
)),"")</f>
        <v/>
      </c>
      <c r="E1293" s="40" t="str">
        <f>_xlfn.XLOOKUP(A1293,My_Audit!A:A,My_Audit!D:D,"")</f>
        <v/>
      </c>
      <c r="F1293" s="40" t="str" cm="1">
        <f t="array" ref="F1293">IFERROR(_xlfn.LET(
_xlpm.CSVVal,_xlfn.XLOOKUP($A1293,CSV!$A:$A,CSV!F:F,""),
_xlpm.MacVal,_xlfn.XLOOKUP($A1293,Output_Mac!$A:$A,Output_Mac!E:E,""),
_xlpm.MyAuditVal,_xlfn.XLOOKUP($A1293,My_Audit!$A:$A,My_Audit!E:E,""),
_xlfn.IFS(_xlpm.MyAuditVal&lt;&gt;"",_xlpm.MyAuditVal,_xlpm.MacVal&lt;&gt;"",_xlpm.MacVal,_xlpm.CSVVal&lt;&gt;"",_xlpm.CSVVal
)),"")</f>
        <v/>
      </c>
      <c r="G1293" s="40" t="str" cm="1">
        <f t="array" ref="G1293">IFERROR(_xlfn.LET(
_xlpm.CSVVal,_xlfn.XLOOKUP($A1293,CSV!$A:$A,CSV!G:G,""),
_xlpm.MacVal,_xlfn.XLOOKUP($A1293,Output_Mac!$A:$A,Output_Mac!F:F,""),
_xlpm.MyAuditVal,_xlfn.XLOOKUP($A1293,My_Audit!$A:$A,My_Audit!F:F,""),
_xlfn.IFS(_xlpm.MyAuditVal&lt;&gt;"",_xlpm.MyAuditVal,_xlpm.MacVal&lt;&gt;"",_xlpm.MacVal,_xlpm.CSVVal&lt;&gt;"",PROPER(_xlpm.CSVVal)
)),"")</f>
        <v/>
      </c>
      <c r="H1293" s="40" t="str" cm="1">
        <f t="array" ref="H1293">IFERROR(_xlfn.LET(
_xlpm.CSVVal,_xlfn.XLOOKUP($A1293,CSV!$A:$A,CSV!H:H,""),
_xlpm.MacVal,_xlfn.XLOOKUP($A1293,Output_Mac!$A:$A,Output_Mac!H:H,""),
_xlpm.MyAuditVal,_xlfn.XLOOKUP($A1293,My_Audit!$A:$A,My_Audit!G:G,""),
_xlfn.IFS(_xlpm.MyAuditVal&lt;&gt;"",_xlpm.MyAuditVal,_xlpm.MacVal&lt;&gt;"",_xlpm.MacVal,_xlpm.CSVVal&lt;&gt;"",_xlpm.CSVVal
)),"")</f>
        <v/>
      </c>
      <c r="I1293" s="40" t="str">
        <f>_xlfn.XLOOKUP(A1293,Output_Mac!A:A,Output_Mac!I:I,"")</f>
        <v/>
      </c>
      <c r="J1293" s="40" t="str" cm="1">
        <f t="array" ref="J1293">IFERROR(_xlfn.LET(
_xlpm.CSVVal,_xlfn.XLOOKUP($A1293,CSV!$A:$A,CSV!I:I,""),
_xlpm.MacVal,_xlfn.XLOOKUP($A1293,Output_Mac!$A:$A,Output_Mac!J:J,""),
_xlpm.MyAuditVal,_xlfn.XLOOKUP($A1293,My_Audit!$A:$A,My_Audit!I:I,""),
_xlfn.IFS(_xlpm.MyAuditVal&lt;&gt;"",UPPER(_xlpm.MyAuditVal),_xlpm.MacVal&lt;&gt;"",_xlpm.MacVal,_xlpm.CSVVal&lt;&gt;"",_xlpm.CSVVal
)),"")</f>
        <v/>
      </c>
      <c r="K1293" s="40" t="str" cm="1">
        <f t="array" ref="K1293">IFERROR(_xlfn.LET(
_xlpm.CSVVal,_xlfn.XLOOKUP($A1293,CSV!$A:$A,CSV!K:K,""),
_xlpm.MacVal,_xlfn.XLOOKUP($A1293,Output_Mac!$A:$A,Output_Mac!K:K,""),
_xlpm.MyAuditVal,_xlfn.XLOOKUP($A1293,My_Audit!$A:$A,My_Audit!J:J,""),
_xlfn.IFS(_xlpm.MyAuditVal&lt;&gt;"",UPPER(_xlpm.MyAuditVal),_xlpm.MacVal&lt;&gt;"",_xlpm.MacVal,_xlpm.CSVVal&lt;&gt;"",_xlpm.CSVVal
)),"")</f>
        <v/>
      </c>
      <c r="L1293" s="40" t="str" cm="1">
        <f t="array" ref="L1293">IFERROR(_xlfn.LET(
_xlpm.CSVVal,_xlfn.XLOOKUP($A1293,CSV!$A:$A,CSV!P:P,""),
_xlpm.MacVal,_xlfn.XLOOKUP($A1293,Output_Mac!$A:$A,Output_Mac!L:L,""),
_xlpm.MyAuditVal,_xlfn.XLOOKUP($A1293,My_Audit!$A:$A,My_Audit!K:K,""),
_xlfn.IFS(_xlpm.MyAuditVal&lt;&gt;"",UPPER(_xlpm.MyAuditVal),_xlpm.MacVal&lt;&gt;"",_xlpm.MacVal,_xlpm.CSVVal&lt;&gt;"",_xlpm.CSVVal
)),"")</f>
        <v/>
      </c>
      <c r="M1293" s="40" t="str" cm="1">
        <f t="array" ref="M1293">IFERROR(_xlfn.LET(
_xlpm.CSVVal,_xlfn.XLOOKUP($A1293,CSV!$A:$A,CSV!Q:Q,""),
_xlpm.MacVal,_xlfn.XLOOKUP($A1293,Output_Mac!$A:$A,Output_Mac!M:M,""),
_xlpm.MyAuditVal,_xlfn.XLOOKUP($A1293,My_Audit!$A:$A,My_Audit!L:L,""),
_xlfn.IFS(_xlpm.MyAuditVal&lt;&gt;"",UPPER(_xlpm.MyAuditVal),_xlpm.MacVal&lt;&gt;"",_xlpm.MacVal,_xlpm.CSVVal&lt;&gt;"",_xlpm.CSVVal
)),"")</f>
        <v/>
      </c>
      <c r="N1293" s="40"/>
      <c r="O1293" s="40" t="str">
        <f>_xlfn.LET(
    _xlpm.CSVVal, _xlfn.XLOOKUP($A1293, CSV!$A:$A, CSV!AA:AA, ""),
    _xlpm.MacVal, _xlfn.XLOOKUP($A1293, Output_Mac!$A:$A, Output_Mac!S:S, ""),
    _xlpm.MyAuditVal, _xlfn.XLOOKUP($A1293, My_Audit!$A:$A, My_Audit!P:P, ""),
    _xlfn.TEXTJOIN(", ", TRUE, _xlpm.MyAuditVal, _xlpm.MacVal, _xlpm.CSVVal)
)</f>
        <v/>
      </c>
      <c r="P1293" s="40" t="str" cm="1">
        <f t="array" ref="P1293">IFERROR(_xlfn.LET(
_xlpm.CSVVal,_xlfn.XLOOKUP($A1293,CSV!$A:$A,CSV!AB:AB,""),
_xlpm.MacVal,_xlfn.XLOOKUP($A1293,Output_Mac!$A:$A,Output_Mac!T:T,""),
_xlpm.MyAuditVal,_xlfn.XLOOKUP($A1293,My_Audit!$A:$A,My_Audit!Q:Q,""),
_xlfn.IFS(_xlpm.MyAuditVal&lt;&gt;"",UPPER(_xlpm.MyAuditVal),_xlpm.MacVal&lt;&gt;"",_xlpm.MacVal,_xlpm.CSVVal&lt;&gt;"",_xlpm.CSVVal
)),"No")</f>
        <v>No</v>
      </c>
      <c r="Q1293" s="40" t="str" cm="1">
        <f t="array" ref="Q1293">IFERROR(_xlfn.LET(
_xlpm.CSVVal,_xlfn.XLOOKUP($A1293,CSV!$A:$A,CSV!AC:AC,""),
_xlpm.MacVal,_xlfn.XLOOKUP($A1293,Output_Mac!$A:$A,Output_Mac!U:U,""),
_xlpm.MyAuditVal,_xlfn.XLOOKUP($A1293,My_Audit!$A:$A,My_Audit!R:R,""),
_xlfn.IFS(_xlpm.MyAuditVal&lt;&gt;"",UPPER(_xlpm.MyAuditVal),_xlpm.MacVal&lt;&gt;"",_xlpm.MacVal,_xlpm.CSVVal&lt;&gt;"",_xlpm.CSVVal
)),"")</f>
        <v/>
      </c>
      <c r="R1293" s="40"/>
      <c r="S1293" s="40"/>
      <c r="T1293" s="40"/>
      <c r="U1293" s="40"/>
      <c r="V1293" s="40"/>
      <c r="W1293" s="40"/>
      <c r="X1293" s="41" t="str">
        <f>_xlfn.LET(
    _xlpm.MacVal, _xlfn.XLOOKUP($A1293, Output_Mac!$A:$A, Output_Mac!AB:AB, ""),
    _xlpm.MyAuditVal, _xlfn.XLOOKUP($A1293, My_Audit!$A:$A, My_Audit!N:N, ""),
    _xlfn.TEXTJOIN(", ", TRUE, _xlpm.MyAuditVal, _xlpm.MacVal)
)</f>
        <v/>
      </c>
    </row>
    <row r="1294" spans="1:24">
      <c r="A1294" s="40" t="str">
        <f>_xlfn.TEXTJOIN("",TRUE,Input!$B$2,ROW(My_Audit!A1293))</f>
        <v>X1293</v>
      </c>
      <c r="B1294" s="40" t="str">
        <f>_xlfn.TEXTJOIN("-",TRUE,"ITD",Input!$A$2,A1294)</f>
        <v>ITD-X1293</v>
      </c>
      <c r="C1294" s="40" t="str" cm="1">
        <f t="array" ref="C1294">IFERROR(_xlfn.LET(
_xlpm.CSVVal,_xlfn.XLOOKUP($A1294,CSV!$A:$A,CSV!B:B,""),
_xlpm.MacVal,_xlfn.XLOOKUP($A1294,Output_Mac!$A:$A,Output_Mac!B:B,""),
_xlpm.MyAuditVal,_xlfn.XLOOKUP($A1294,My_Audit!$A:$A,My_Audit!B:B,""),
_xlfn.IFS(_xlpm.MyAuditVal&lt;&gt;"",UPPER(_xlpm.MyAuditVal),_xlpm.MacVal&lt;&gt;"",_xlpm.MacVal,_xlpm.CSVVal&lt;&gt;"",_xlpm.CSVVal
)),"")</f>
        <v/>
      </c>
      <c r="D1294" s="40" t="str" cm="1">
        <f t="array" ref="D1294">IFERROR(_xlfn.LET(
_xlpm.CSVVal,_xlfn.XLOOKUP($A1294,CSV!$A:$A,CSV!D:D,""),
_xlpm.MacVal,_xlfn.XLOOKUP($A1294,Output_Mac!$A:$A,Output_Mac!C:C,""),
_xlpm.MyAuditVal,_xlfn.XLOOKUP($A1294,My_Audit!$A:$A,My_Audit!C:C,""),
_xlfn.IFS(_xlpm.MyAuditVal&lt;&gt;"",_xlpm.MyAuditVal,_xlpm.MacVal&lt;&gt;"",_xlpm.MacVal,_xlpm.CSVVal&lt;&gt;"",_xlpm.CSVVal
)),"")</f>
        <v/>
      </c>
      <c r="E1294" s="40" t="str">
        <f>_xlfn.XLOOKUP(A1294,My_Audit!A:A,My_Audit!D:D,"")</f>
        <v/>
      </c>
      <c r="F1294" s="40" t="str" cm="1">
        <f t="array" ref="F1294">IFERROR(_xlfn.LET(
_xlpm.CSVVal,_xlfn.XLOOKUP($A1294,CSV!$A:$A,CSV!F:F,""),
_xlpm.MacVal,_xlfn.XLOOKUP($A1294,Output_Mac!$A:$A,Output_Mac!E:E,""),
_xlpm.MyAuditVal,_xlfn.XLOOKUP($A1294,My_Audit!$A:$A,My_Audit!E:E,""),
_xlfn.IFS(_xlpm.MyAuditVal&lt;&gt;"",_xlpm.MyAuditVal,_xlpm.MacVal&lt;&gt;"",_xlpm.MacVal,_xlpm.CSVVal&lt;&gt;"",_xlpm.CSVVal
)),"")</f>
        <v/>
      </c>
      <c r="G1294" s="40" t="str" cm="1">
        <f t="array" ref="G1294">IFERROR(_xlfn.LET(
_xlpm.CSVVal,_xlfn.XLOOKUP($A1294,CSV!$A:$A,CSV!G:G,""),
_xlpm.MacVal,_xlfn.XLOOKUP($A1294,Output_Mac!$A:$A,Output_Mac!F:F,""),
_xlpm.MyAuditVal,_xlfn.XLOOKUP($A1294,My_Audit!$A:$A,My_Audit!F:F,""),
_xlfn.IFS(_xlpm.MyAuditVal&lt;&gt;"",_xlpm.MyAuditVal,_xlpm.MacVal&lt;&gt;"",_xlpm.MacVal,_xlpm.CSVVal&lt;&gt;"",PROPER(_xlpm.CSVVal)
)),"")</f>
        <v/>
      </c>
      <c r="H1294" s="40" t="str" cm="1">
        <f t="array" ref="H1294">IFERROR(_xlfn.LET(
_xlpm.CSVVal,_xlfn.XLOOKUP($A1294,CSV!$A:$A,CSV!H:H,""),
_xlpm.MacVal,_xlfn.XLOOKUP($A1294,Output_Mac!$A:$A,Output_Mac!H:H,""),
_xlpm.MyAuditVal,_xlfn.XLOOKUP($A1294,My_Audit!$A:$A,My_Audit!G:G,""),
_xlfn.IFS(_xlpm.MyAuditVal&lt;&gt;"",_xlpm.MyAuditVal,_xlpm.MacVal&lt;&gt;"",_xlpm.MacVal,_xlpm.CSVVal&lt;&gt;"",_xlpm.CSVVal
)),"")</f>
        <v/>
      </c>
      <c r="I1294" s="40" t="str">
        <f>_xlfn.XLOOKUP(A1294,Output_Mac!A:A,Output_Mac!I:I,"")</f>
        <v/>
      </c>
      <c r="J1294" s="40" t="str" cm="1">
        <f t="array" ref="J1294">IFERROR(_xlfn.LET(
_xlpm.CSVVal,_xlfn.XLOOKUP($A1294,CSV!$A:$A,CSV!I:I,""),
_xlpm.MacVal,_xlfn.XLOOKUP($A1294,Output_Mac!$A:$A,Output_Mac!J:J,""),
_xlpm.MyAuditVal,_xlfn.XLOOKUP($A1294,My_Audit!$A:$A,My_Audit!I:I,""),
_xlfn.IFS(_xlpm.MyAuditVal&lt;&gt;"",UPPER(_xlpm.MyAuditVal),_xlpm.MacVal&lt;&gt;"",_xlpm.MacVal,_xlpm.CSVVal&lt;&gt;"",_xlpm.CSVVal
)),"")</f>
        <v/>
      </c>
      <c r="K1294" s="40" t="str" cm="1">
        <f t="array" ref="K1294">IFERROR(_xlfn.LET(
_xlpm.CSVVal,_xlfn.XLOOKUP($A1294,CSV!$A:$A,CSV!K:K,""),
_xlpm.MacVal,_xlfn.XLOOKUP($A1294,Output_Mac!$A:$A,Output_Mac!K:K,""),
_xlpm.MyAuditVal,_xlfn.XLOOKUP($A1294,My_Audit!$A:$A,My_Audit!J:J,""),
_xlfn.IFS(_xlpm.MyAuditVal&lt;&gt;"",UPPER(_xlpm.MyAuditVal),_xlpm.MacVal&lt;&gt;"",_xlpm.MacVal,_xlpm.CSVVal&lt;&gt;"",_xlpm.CSVVal
)),"")</f>
        <v/>
      </c>
      <c r="L1294" s="40" t="str" cm="1">
        <f t="array" ref="L1294">IFERROR(_xlfn.LET(
_xlpm.CSVVal,_xlfn.XLOOKUP($A1294,CSV!$A:$A,CSV!P:P,""),
_xlpm.MacVal,_xlfn.XLOOKUP($A1294,Output_Mac!$A:$A,Output_Mac!L:L,""),
_xlpm.MyAuditVal,_xlfn.XLOOKUP($A1294,My_Audit!$A:$A,My_Audit!K:K,""),
_xlfn.IFS(_xlpm.MyAuditVal&lt;&gt;"",UPPER(_xlpm.MyAuditVal),_xlpm.MacVal&lt;&gt;"",_xlpm.MacVal,_xlpm.CSVVal&lt;&gt;"",_xlpm.CSVVal
)),"")</f>
        <v/>
      </c>
      <c r="M1294" s="40" t="str" cm="1">
        <f t="array" ref="M1294">IFERROR(_xlfn.LET(
_xlpm.CSVVal,_xlfn.XLOOKUP($A1294,CSV!$A:$A,CSV!Q:Q,""),
_xlpm.MacVal,_xlfn.XLOOKUP($A1294,Output_Mac!$A:$A,Output_Mac!M:M,""),
_xlpm.MyAuditVal,_xlfn.XLOOKUP($A1294,My_Audit!$A:$A,My_Audit!L:L,""),
_xlfn.IFS(_xlpm.MyAuditVal&lt;&gt;"",UPPER(_xlpm.MyAuditVal),_xlpm.MacVal&lt;&gt;"",_xlpm.MacVal,_xlpm.CSVVal&lt;&gt;"",_xlpm.CSVVal
)),"")</f>
        <v/>
      </c>
      <c r="N1294" s="40"/>
      <c r="O1294" s="40" t="str">
        <f>_xlfn.LET(
    _xlpm.CSVVal, _xlfn.XLOOKUP($A1294, CSV!$A:$A, CSV!AA:AA, ""),
    _xlpm.MacVal, _xlfn.XLOOKUP($A1294, Output_Mac!$A:$A, Output_Mac!S:S, ""),
    _xlpm.MyAuditVal, _xlfn.XLOOKUP($A1294, My_Audit!$A:$A, My_Audit!P:P, ""),
    _xlfn.TEXTJOIN(", ", TRUE, _xlpm.MyAuditVal, _xlpm.MacVal, _xlpm.CSVVal)
)</f>
        <v/>
      </c>
      <c r="P1294" s="40" t="str" cm="1">
        <f t="array" ref="P1294">IFERROR(_xlfn.LET(
_xlpm.CSVVal,_xlfn.XLOOKUP($A1294,CSV!$A:$A,CSV!AB:AB,""),
_xlpm.MacVal,_xlfn.XLOOKUP($A1294,Output_Mac!$A:$A,Output_Mac!T:T,""),
_xlpm.MyAuditVal,_xlfn.XLOOKUP($A1294,My_Audit!$A:$A,My_Audit!Q:Q,""),
_xlfn.IFS(_xlpm.MyAuditVal&lt;&gt;"",UPPER(_xlpm.MyAuditVal),_xlpm.MacVal&lt;&gt;"",_xlpm.MacVal,_xlpm.CSVVal&lt;&gt;"",_xlpm.CSVVal
)),"No")</f>
        <v>No</v>
      </c>
      <c r="Q1294" s="40" t="str" cm="1">
        <f t="array" ref="Q1294">IFERROR(_xlfn.LET(
_xlpm.CSVVal,_xlfn.XLOOKUP($A1294,CSV!$A:$A,CSV!AC:AC,""),
_xlpm.MacVal,_xlfn.XLOOKUP($A1294,Output_Mac!$A:$A,Output_Mac!U:U,""),
_xlpm.MyAuditVal,_xlfn.XLOOKUP($A1294,My_Audit!$A:$A,My_Audit!R:R,""),
_xlfn.IFS(_xlpm.MyAuditVal&lt;&gt;"",UPPER(_xlpm.MyAuditVal),_xlpm.MacVal&lt;&gt;"",_xlpm.MacVal,_xlpm.CSVVal&lt;&gt;"",_xlpm.CSVVal
)),"")</f>
        <v/>
      </c>
      <c r="R1294" s="40"/>
      <c r="S1294" s="40"/>
      <c r="T1294" s="40"/>
      <c r="U1294" s="40"/>
      <c r="V1294" s="40"/>
      <c r="W1294" s="40"/>
      <c r="X1294" s="41" t="str">
        <f>_xlfn.LET(
    _xlpm.MacVal, _xlfn.XLOOKUP($A1294, Output_Mac!$A:$A, Output_Mac!AB:AB, ""),
    _xlpm.MyAuditVal, _xlfn.XLOOKUP($A1294, My_Audit!$A:$A, My_Audit!N:N, ""),
    _xlfn.TEXTJOIN(", ", TRUE, _xlpm.MyAuditVal, _xlpm.MacVal)
)</f>
        <v/>
      </c>
    </row>
    <row r="1295" spans="1:24">
      <c r="A1295" s="40" t="str">
        <f>_xlfn.TEXTJOIN("",TRUE,Input!$B$2,ROW(My_Audit!A1294))</f>
        <v>X1294</v>
      </c>
      <c r="B1295" s="40" t="str">
        <f>_xlfn.TEXTJOIN("-",TRUE,"ITD",Input!$A$2,A1295)</f>
        <v>ITD-X1294</v>
      </c>
      <c r="C1295" s="40" t="str" cm="1">
        <f t="array" ref="C1295">IFERROR(_xlfn.LET(
_xlpm.CSVVal,_xlfn.XLOOKUP($A1295,CSV!$A:$A,CSV!B:B,""),
_xlpm.MacVal,_xlfn.XLOOKUP($A1295,Output_Mac!$A:$A,Output_Mac!B:B,""),
_xlpm.MyAuditVal,_xlfn.XLOOKUP($A1295,My_Audit!$A:$A,My_Audit!B:B,""),
_xlfn.IFS(_xlpm.MyAuditVal&lt;&gt;"",UPPER(_xlpm.MyAuditVal),_xlpm.MacVal&lt;&gt;"",_xlpm.MacVal,_xlpm.CSVVal&lt;&gt;"",_xlpm.CSVVal
)),"")</f>
        <v/>
      </c>
      <c r="D1295" s="40" t="str" cm="1">
        <f t="array" ref="D1295">IFERROR(_xlfn.LET(
_xlpm.CSVVal,_xlfn.XLOOKUP($A1295,CSV!$A:$A,CSV!D:D,""),
_xlpm.MacVal,_xlfn.XLOOKUP($A1295,Output_Mac!$A:$A,Output_Mac!C:C,""),
_xlpm.MyAuditVal,_xlfn.XLOOKUP($A1295,My_Audit!$A:$A,My_Audit!C:C,""),
_xlfn.IFS(_xlpm.MyAuditVal&lt;&gt;"",_xlpm.MyAuditVal,_xlpm.MacVal&lt;&gt;"",_xlpm.MacVal,_xlpm.CSVVal&lt;&gt;"",_xlpm.CSVVal
)),"")</f>
        <v/>
      </c>
      <c r="E1295" s="40" t="str">
        <f>_xlfn.XLOOKUP(A1295,My_Audit!A:A,My_Audit!D:D,"")</f>
        <v/>
      </c>
      <c r="F1295" s="40" t="str" cm="1">
        <f t="array" ref="F1295">IFERROR(_xlfn.LET(
_xlpm.CSVVal,_xlfn.XLOOKUP($A1295,CSV!$A:$A,CSV!F:F,""),
_xlpm.MacVal,_xlfn.XLOOKUP($A1295,Output_Mac!$A:$A,Output_Mac!E:E,""),
_xlpm.MyAuditVal,_xlfn.XLOOKUP($A1295,My_Audit!$A:$A,My_Audit!E:E,""),
_xlfn.IFS(_xlpm.MyAuditVal&lt;&gt;"",_xlpm.MyAuditVal,_xlpm.MacVal&lt;&gt;"",_xlpm.MacVal,_xlpm.CSVVal&lt;&gt;"",_xlpm.CSVVal
)),"")</f>
        <v/>
      </c>
      <c r="G1295" s="40" t="str" cm="1">
        <f t="array" ref="G1295">IFERROR(_xlfn.LET(
_xlpm.CSVVal,_xlfn.XLOOKUP($A1295,CSV!$A:$A,CSV!G:G,""),
_xlpm.MacVal,_xlfn.XLOOKUP($A1295,Output_Mac!$A:$A,Output_Mac!F:F,""),
_xlpm.MyAuditVal,_xlfn.XLOOKUP($A1295,My_Audit!$A:$A,My_Audit!F:F,""),
_xlfn.IFS(_xlpm.MyAuditVal&lt;&gt;"",_xlpm.MyAuditVal,_xlpm.MacVal&lt;&gt;"",_xlpm.MacVal,_xlpm.CSVVal&lt;&gt;"",PROPER(_xlpm.CSVVal)
)),"")</f>
        <v/>
      </c>
      <c r="H1295" s="40" t="str" cm="1">
        <f t="array" ref="H1295">IFERROR(_xlfn.LET(
_xlpm.CSVVal,_xlfn.XLOOKUP($A1295,CSV!$A:$A,CSV!H:H,""),
_xlpm.MacVal,_xlfn.XLOOKUP($A1295,Output_Mac!$A:$A,Output_Mac!H:H,""),
_xlpm.MyAuditVal,_xlfn.XLOOKUP($A1295,My_Audit!$A:$A,My_Audit!G:G,""),
_xlfn.IFS(_xlpm.MyAuditVal&lt;&gt;"",_xlpm.MyAuditVal,_xlpm.MacVal&lt;&gt;"",_xlpm.MacVal,_xlpm.CSVVal&lt;&gt;"",_xlpm.CSVVal
)),"")</f>
        <v/>
      </c>
      <c r="I1295" s="40" t="str">
        <f>_xlfn.XLOOKUP(A1295,Output_Mac!A:A,Output_Mac!I:I,"")</f>
        <v/>
      </c>
      <c r="J1295" s="40" t="str" cm="1">
        <f t="array" ref="J1295">IFERROR(_xlfn.LET(
_xlpm.CSVVal,_xlfn.XLOOKUP($A1295,CSV!$A:$A,CSV!I:I,""),
_xlpm.MacVal,_xlfn.XLOOKUP($A1295,Output_Mac!$A:$A,Output_Mac!J:J,""),
_xlpm.MyAuditVal,_xlfn.XLOOKUP($A1295,My_Audit!$A:$A,My_Audit!I:I,""),
_xlfn.IFS(_xlpm.MyAuditVal&lt;&gt;"",UPPER(_xlpm.MyAuditVal),_xlpm.MacVal&lt;&gt;"",_xlpm.MacVal,_xlpm.CSVVal&lt;&gt;"",_xlpm.CSVVal
)),"")</f>
        <v/>
      </c>
      <c r="K1295" s="40" t="str" cm="1">
        <f t="array" ref="K1295">IFERROR(_xlfn.LET(
_xlpm.CSVVal,_xlfn.XLOOKUP($A1295,CSV!$A:$A,CSV!K:K,""),
_xlpm.MacVal,_xlfn.XLOOKUP($A1295,Output_Mac!$A:$A,Output_Mac!K:K,""),
_xlpm.MyAuditVal,_xlfn.XLOOKUP($A1295,My_Audit!$A:$A,My_Audit!J:J,""),
_xlfn.IFS(_xlpm.MyAuditVal&lt;&gt;"",UPPER(_xlpm.MyAuditVal),_xlpm.MacVal&lt;&gt;"",_xlpm.MacVal,_xlpm.CSVVal&lt;&gt;"",_xlpm.CSVVal
)),"")</f>
        <v/>
      </c>
      <c r="L1295" s="40" t="str" cm="1">
        <f t="array" ref="L1295">IFERROR(_xlfn.LET(
_xlpm.CSVVal,_xlfn.XLOOKUP($A1295,CSV!$A:$A,CSV!P:P,""),
_xlpm.MacVal,_xlfn.XLOOKUP($A1295,Output_Mac!$A:$A,Output_Mac!L:L,""),
_xlpm.MyAuditVal,_xlfn.XLOOKUP($A1295,My_Audit!$A:$A,My_Audit!K:K,""),
_xlfn.IFS(_xlpm.MyAuditVal&lt;&gt;"",UPPER(_xlpm.MyAuditVal),_xlpm.MacVal&lt;&gt;"",_xlpm.MacVal,_xlpm.CSVVal&lt;&gt;"",_xlpm.CSVVal
)),"")</f>
        <v/>
      </c>
      <c r="M1295" s="40" t="str" cm="1">
        <f t="array" ref="M1295">IFERROR(_xlfn.LET(
_xlpm.CSVVal,_xlfn.XLOOKUP($A1295,CSV!$A:$A,CSV!Q:Q,""),
_xlpm.MacVal,_xlfn.XLOOKUP($A1295,Output_Mac!$A:$A,Output_Mac!M:M,""),
_xlpm.MyAuditVal,_xlfn.XLOOKUP($A1295,My_Audit!$A:$A,My_Audit!L:L,""),
_xlfn.IFS(_xlpm.MyAuditVal&lt;&gt;"",UPPER(_xlpm.MyAuditVal),_xlpm.MacVal&lt;&gt;"",_xlpm.MacVal,_xlpm.CSVVal&lt;&gt;"",_xlpm.CSVVal
)),"")</f>
        <v/>
      </c>
      <c r="N1295" s="40"/>
      <c r="O1295" s="40" t="str">
        <f>_xlfn.LET(
    _xlpm.CSVVal, _xlfn.XLOOKUP($A1295, CSV!$A:$A, CSV!AA:AA, ""),
    _xlpm.MacVal, _xlfn.XLOOKUP($A1295, Output_Mac!$A:$A, Output_Mac!S:S, ""),
    _xlpm.MyAuditVal, _xlfn.XLOOKUP($A1295, My_Audit!$A:$A, My_Audit!P:P, ""),
    _xlfn.TEXTJOIN(", ", TRUE, _xlpm.MyAuditVal, _xlpm.MacVal, _xlpm.CSVVal)
)</f>
        <v/>
      </c>
      <c r="P1295" s="40" t="str" cm="1">
        <f t="array" ref="P1295">IFERROR(_xlfn.LET(
_xlpm.CSVVal,_xlfn.XLOOKUP($A1295,CSV!$A:$A,CSV!AB:AB,""),
_xlpm.MacVal,_xlfn.XLOOKUP($A1295,Output_Mac!$A:$A,Output_Mac!T:T,""),
_xlpm.MyAuditVal,_xlfn.XLOOKUP($A1295,My_Audit!$A:$A,My_Audit!Q:Q,""),
_xlfn.IFS(_xlpm.MyAuditVal&lt;&gt;"",UPPER(_xlpm.MyAuditVal),_xlpm.MacVal&lt;&gt;"",_xlpm.MacVal,_xlpm.CSVVal&lt;&gt;"",_xlpm.CSVVal
)),"No")</f>
        <v>No</v>
      </c>
      <c r="Q1295" s="40" t="str" cm="1">
        <f t="array" ref="Q1295">IFERROR(_xlfn.LET(
_xlpm.CSVVal,_xlfn.XLOOKUP($A1295,CSV!$A:$A,CSV!AC:AC,""),
_xlpm.MacVal,_xlfn.XLOOKUP($A1295,Output_Mac!$A:$A,Output_Mac!U:U,""),
_xlpm.MyAuditVal,_xlfn.XLOOKUP($A1295,My_Audit!$A:$A,My_Audit!R:R,""),
_xlfn.IFS(_xlpm.MyAuditVal&lt;&gt;"",UPPER(_xlpm.MyAuditVal),_xlpm.MacVal&lt;&gt;"",_xlpm.MacVal,_xlpm.CSVVal&lt;&gt;"",_xlpm.CSVVal
)),"")</f>
        <v/>
      </c>
      <c r="R1295" s="40"/>
      <c r="S1295" s="40"/>
      <c r="T1295" s="40"/>
      <c r="U1295" s="40"/>
      <c r="V1295" s="40"/>
      <c r="W1295" s="40"/>
      <c r="X1295" s="41" t="str">
        <f>_xlfn.LET(
    _xlpm.MacVal, _xlfn.XLOOKUP($A1295, Output_Mac!$A:$A, Output_Mac!AB:AB, ""),
    _xlpm.MyAuditVal, _xlfn.XLOOKUP($A1295, My_Audit!$A:$A, My_Audit!N:N, ""),
    _xlfn.TEXTJOIN(", ", TRUE, _xlpm.MyAuditVal, _xlpm.MacVal)
)</f>
        <v/>
      </c>
    </row>
    <row r="1296" spans="1:24">
      <c r="A1296" s="40" t="str">
        <f>_xlfn.TEXTJOIN("",TRUE,Input!$B$2,ROW(My_Audit!A1295))</f>
        <v>X1295</v>
      </c>
      <c r="B1296" s="40" t="str">
        <f>_xlfn.TEXTJOIN("-",TRUE,"ITD",Input!$A$2,A1296)</f>
        <v>ITD-X1295</v>
      </c>
      <c r="C1296" s="40" t="str" cm="1">
        <f t="array" ref="C1296">IFERROR(_xlfn.LET(
_xlpm.CSVVal,_xlfn.XLOOKUP($A1296,CSV!$A:$A,CSV!B:B,""),
_xlpm.MacVal,_xlfn.XLOOKUP($A1296,Output_Mac!$A:$A,Output_Mac!B:B,""),
_xlpm.MyAuditVal,_xlfn.XLOOKUP($A1296,My_Audit!$A:$A,My_Audit!B:B,""),
_xlfn.IFS(_xlpm.MyAuditVal&lt;&gt;"",UPPER(_xlpm.MyAuditVal),_xlpm.MacVal&lt;&gt;"",_xlpm.MacVal,_xlpm.CSVVal&lt;&gt;"",_xlpm.CSVVal
)),"")</f>
        <v/>
      </c>
      <c r="D1296" s="40" t="str" cm="1">
        <f t="array" ref="D1296">IFERROR(_xlfn.LET(
_xlpm.CSVVal,_xlfn.XLOOKUP($A1296,CSV!$A:$A,CSV!D:D,""),
_xlpm.MacVal,_xlfn.XLOOKUP($A1296,Output_Mac!$A:$A,Output_Mac!C:C,""),
_xlpm.MyAuditVal,_xlfn.XLOOKUP($A1296,My_Audit!$A:$A,My_Audit!C:C,""),
_xlfn.IFS(_xlpm.MyAuditVal&lt;&gt;"",_xlpm.MyAuditVal,_xlpm.MacVal&lt;&gt;"",_xlpm.MacVal,_xlpm.CSVVal&lt;&gt;"",_xlpm.CSVVal
)),"")</f>
        <v/>
      </c>
      <c r="E1296" s="40" t="str">
        <f>_xlfn.XLOOKUP(A1296,My_Audit!A:A,My_Audit!D:D,"")</f>
        <v/>
      </c>
      <c r="F1296" s="40" t="str" cm="1">
        <f t="array" ref="F1296">IFERROR(_xlfn.LET(
_xlpm.CSVVal,_xlfn.XLOOKUP($A1296,CSV!$A:$A,CSV!F:F,""),
_xlpm.MacVal,_xlfn.XLOOKUP($A1296,Output_Mac!$A:$A,Output_Mac!E:E,""),
_xlpm.MyAuditVal,_xlfn.XLOOKUP($A1296,My_Audit!$A:$A,My_Audit!E:E,""),
_xlfn.IFS(_xlpm.MyAuditVal&lt;&gt;"",_xlpm.MyAuditVal,_xlpm.MacVal&lt;&gt;"",_xlpm.MacVal,_xlpm.CSVVal&lt;&gt;"",_xlpm.CSVVal
)),"")</f>
        <v/>
      </c>
      <c r="G1296" s="40" t="str" cm="1">
        <f t="array" ref="G1296">IFERROR(_xlfn.LET(
_xlpm.CSVVal,_xlfn.XLOOKUP($A1296,CSV!$A:$A,CSV!G:G,""),
_xlpm.MacVal,_xlfn.XLOOKUP($A1296,Output_Mac!$A:$A,Output_Mac!F:F,""),
_xlpm.MyAuditVal,_xlfn.XLOOKUP($A1296,My_Audit!$A:$A,My_Audit!F:F,""),
_xlfn.IFS(_xlpm.MyAuditVal&lt;&gt;"",_xlpm.MyAuditVal,_xlpm.MacVal&lt;&gt;"",_xlpm.MacVal,_xlpm.CSVVal&lt;&gt;"",PROPER(_xlpm.CSVVal)
)),"")</f>
        <v/>
      </c>
      <c r="H1296" s="40" t="str" cm="1">
        <f t="array" ref="H1296">IFERROR(_xlfn.LET(
_xlpm.CSVVal,_xlfn.XLOOKUP($A1296,CSV!$A:$A,CSV!H:H,""),
_xlpm.MacVal,_xlfn.XLOOKUP($A1296,Output_Mac!$A:$A,Output_Mac!H:H,""),
_xlpm.MyAuditVal,_xlfn.XLOOKUP($A1296,My_Audit!$A:$A,My_Audit!G:G,""),
_xlfn.IFS(_xlpm.MyAuditVal&lt;&gt;"",_xlpm.MyAuditVal,_xlpm.MacVal&lt;&gt;"",_xlpm.MacVal,_xlpm.CSVVal&lt;&gt;"",_xlpm.CSVVal
)),"")</f>
        <v/>
      </c>
      <c r="I1296" s="40" t="str">
        <f>_xlfn.XLOOKUP(A1296,Output_Mac!A:A,Output_Mac!I:I,"")</f>
        <v/>
      </c>
      <c r="J1296" s="40" t="str" cm="1">
        <f t="array" ref="J1296">IFERROR(_xlfn.LET(
_xlpm.CSVVal,_xlfn.XLOOKUP($A1296,CSV!$A:$A,CSV!I:I,""),
_xlpm.MacVal,_xlfn.XLOOKUP($A1296,Output_Mac!$A:$A,Output_Mac!J:J,""),
_xlpm.MyAuditVal,_xlfn.XLOOKUP($A1296,My_Audit!$A:$A,My_Audit!I:I,""),
_xlfn.IFS(_xlpm.MyAuditVal&lt;&gt;"",UPPER(_xlpm.MyAuditVal),_xlpm.MacVal&lt;&gt;"",_xlpm.MacVal,_xlpm.CSVVal&lt;&gt;"",_xlpm.CSVVal
)),"")</f>
        <v/>
      </c>
      <c r="K1296" s="40" t="str" cm="1">
        <f t="array" ref="K1296">IFERROR(_xlfn.LET(
_xlpm.CSVVal,_xlfn.XLOOKUP($A1296,CSV!$A:$A,CSV!K:K,""),
_xlpm.MacVal,_xlfn.XLOOKUP($A1296,Output_Mac!$A:$A,Output_Mac!K:K,""),
_xlpm.MyAuditVal,_xlfn.XLOOKUP($A1296,My_Audit!$A:$A,My_Audit!J:J,""),
_xlfn.IFS(_xlpm.MyAuditVal&lt;&gt;"",UPPER(_xlpm.MyAuditVal),_xlpm.MacVal&lt;&gt;"",_xlpm.MacVal,_xlpm.CSVVal&lt;&gt;"",_xlpm.CSVVal
)),"")</f>
        <v/>
      </c>
      <c r="L1296" s="40" t="str" cm="1">
        <f t="array" ref="L1296">IFERROR(_xlfn.LET(
_xlpm.CSVVal,_xlfn.XLOOKUP($A1296,CSV!$A:$A,CSV!P:P,""),
_xlpm.MacVal,_xlfn.XLOOKUP($A1296,Output_Mac!$A:$A,Output_Mac!L:L,""),
_xlpm.MyAuditVal,_xlfn.XLOOKUP($A1296,My_Audit!$A:$A,My_Audit!K:K,""),
_xlfn.IFS(_xlpm.MyAuditVal&lt;&gt;"",UPPER(_xlpm.MyAuditVal),_xlpm.MacVal&lt;&gt;"",_xlpm.MacVal,_xlpm.CSVVal&lt;&gt;"",_xlpm.CSVVal
)),"")</f>
        <v/>
      </c>
      <c r="M1296" s="40" t="str" cm="1">
        <f t="array" ref="M1296">IFERROR(_xlfn.LET(
_xlpm.CSVVal,_xlfn.XLOOKUP($A1296,CSV!$A:$A,CSV!Q:Q,""),
_xlpm.MacVal,_xlfn.XLOOKUP($A1296,Output_Mac!$A:$A,Output_Mac!M:M,""),
_xlpm.MyAuditVal,_xlfn.XLOOKUP($A1296,My_Audit!$A:$A,My_Audit!L:L,""),
_xlfn.IFS(_xlpm.MyAuditVal&lt;&gt;"",UPPER(_xlpm.MyAuditVal),_xlpm.MacVal&lt;&gt;"",_xlpm.MacVal,_xlpm.CSVVal&lt;&gt;"",_xlpm.CSVVal
)),"")</f>
        <v/>
      </c>
      <c r="N1296" s="40"/>
      <c r="O1296" s="40" t="str">
        <f>_xlfn.LET(
    _xlpm.CSVVal, _xlfn.XLOOKUP($A1296, CSV!$A:$A, CSV!AA:AA, ""),
    _xlpm.MacVal, _xlfn.XLOOKUP($A1296, Output_Mac!$A:$A, Output_Mac!S:S, ""),
    _xlpm.MyAuditVal, _xlfn.XLOOKUP($A1296, My_Audit!$A:$A, My_Audit!P:P, ""),
    _xlfn.TEXTJOIN(", ", TRUE, _xlpm.MyAuditVal, _xlpm.MacVal, _xlpm.CSVVal)
)</f>
        <v/>
      </c>
      <c r="P1296" s="40" t="str" cm="1">
        <f t="array" ref="P1296">IFERROR(_xlfn.LET(
_xlpm.CSVVal,_xlfn.XLOOKUP($A1296,CSV!$A:$A,CSV!AB:AB,""),
_xlpm.MacVal,_xlfn.XLOOKUP($A1296,Output_Mac!$A:$A,Output_Mac!T:T,""),
_xlpm.MyAuditVal,_xlfn.XLOOKUP($A1296,My_Audit!$A:$A,My_Audit!Q:Q,""),
_xlfn.IFS(_xlpm.MyAuditVal&lt;&gt;"",UPPER(_xlpm.MyAuditVal),_xlpm.MacVal&lt;&gt;"",_xlpm.MacVal,_xlpm.CSVVal&lt;&gt;"",_xlpm.CSVVal
)),"No")</f>
        <v>No</v>
      </c>
      <c r="Q1296" s="40" t="str" cm="1">
        <f t="array" ref="Q1296">IFERROR(_xlfn.LET(
_xlpm.CSVVal,_xlfn.XLOOKUP($A1296,CSV!$A:$A,CSV!AC:AC,""),
_xlpm.MacVal,_xlfn.XLOOKUP($A1296,Output_Mac!$A:$A,Output_Mac!U:U,""),
_xlpm.MyAuditVal,_xlfn.XLOOKUP($A1296,My_Audit!$A:$A,My_Audit!R:R,""),
_xlfn.IFS(_xlpm.MyAuditVal&lt;&gt;"",UPPER(_xlpm.MyAuditVal),_xlpm.MacVal&lt;&gt;"",_xlpm.MacVal,_xlpm.CSVVal&lt;&gt;"",_xlpm.CSVVal
)),"")</f>
        <v/>
      </c>
      <c r="R1296" s="40"/>
      <c r="S1296" s="40"/>
      <c r="T1296" s="40"/>
      <c r="U1296" s="40"/>
      <c r="V1296" s="40"/>
      <c r="W1296" s="40"/>
      <c r="X1296" s="41" t="str">
        <f>_xlfn.LET(
    _xlpm.MacVal, _xlfn.XLOOKUP($A1296, Output_Mac!$A:$A, Output_Mac!AB:AB, ""),
    _xlpm.MyAuditVal, _xlfn.XLOOKUP($A1296, My_Audit!$A:$A, My_Audit!N:N, ""),
    _xlfn.TEXTJOIN(", ", TRUE, _xlpm.MyAuditVal, _xlpm.MacVal)
)</f>
        <v/>
      </c>
    </row>
    <row r="1297" spans="1:24">
      <c r="A1297" s="40" t="str">
        <f>_xlfn.TEXTJOIN("",TRUE,Input!$B$2,ROW(My_Audit!A1296))</f>
        <v>X1296</v>
      </c>
      <c r="B1297" s="40" t="str">
        <f>_xlfn.TEXTJOIN("-",TRUE,"ITD",Input!$A$2,A1297)</f>
        <v>ITD-X1296</v>
      </c>
      <c r="C1297" s="40" t="str" cm="1">
        <f t="array" ref="C1297">IFERROR(_xlfn.LET(
_xlpm.CSVVal,_xlfn.XLOOKUP($A1297,CSV!$A:$A,CSV!B:B,""),
_xlpm.MacVal,_xlfn.XLOOKUP($A1297,Output_Mac!$A:$A,Output_Mac!B:B,""),
_xlpm.MyAuditVal,_xlfn.XLOOKUP($A1297,My_Audit!$A:$A,My_Audit!B:B,""),
_xlfn.IFS(_xlpm.MyAuditVal&lt;&gt;"",UPPER(_xlpm.MyAuditVal),_xlpm.MacVal&lt;&gt;"",_xlpm.MacVal,_xlpm.CSVVal&lt;&gt;"",_xlpm.CSVVal
)),"")</f>
        <v/>
      </c>
      <c r="D1297" s="40" t="str" cm="1">
        <f t="array" ref="D1297">IFERROR(_xlfn.LET(
_xlpm.CSVVal,_xlfn.XLOOKUP($A1297,CSV!$A:$A,CSV!D:D,""),
_xlpm.MacVal,_xlfn.XLOOKUP($A1297,Output_Mac!$A:$A,Output_Mac!C:C,""),
_xlpm.MyAuditVal,_xlfn.XLOOKUP($A1297,My_Audit!$A:$A,My_Audit!C:C,""),
_xlfn.IFS(_xlpm.MyAuditVal&lt;&gt;"",_xlpm.MyAuditVal,_xlpm.MacVal&lt;&gt;"",_xlpm.MacVal,_xlpm.CSVVal&lt;&gt;"",_xlpm.CSVVal
)),"")</f>
        <v/>
      </c>
      <c r="E1297" s="40" t="str">
        <f>_xlfn.XLOOKUP(A1297,My_Audit!A:A,My_Audit!D:D,"")</f>
        <v/>
      </c>
      <c r="F1297" s="40" t="str" cm="1">
        <f t="array" ref="F1297">IFERROR(_xlfn.LET(
_xlpm.CSVVal,_xlfn.XLOOKUP($A1297,CSV!$A:$A,CSV!F:F,""),
_xlpm.MacVal,_xlfn.XLOOKUP($A1297,Output_Mac!$A:$A,Output_Mac!E:E,""),
_xlpm.MyAuditVal,_xlfn.XLOOKUP($A1297,My_Audit!$A:$A,My_Audit!E:E,""),
_xlfn.IFS(_xlpm.MyAuditVal&lt;&gt;"",_xlpm.MyAuditVal,_xlpm.MacVal&lt;&gt;"",_xlpm.MacVal,_xlpm.CSVVal&lt;&gt;"",_xlpm.CSVVal
)),"")</f>
        <v/>
      </c>
      <c r="G1297" s="40" t="str" cm="1">
        <f t="array" ref="G1297">IFERROR(_xlfn.LET(
_xlpm.CSVVal,_xlfn.XLOOKUP($A1297,CSV!$A:$A,CSV!G:G,""),
_xlpm.MacVal,_xlfn.XLOOKUP($A1297,Output_Mac!$A:$A,Output_Mac!F:F,""),
_xlpm.MyAuditVal,_xlfn.XLOOKUP($A1297,My_Audit!$A:$A,My_Audit!F:F,""),
_xlfn.IFS(_xlpm.MyAuditVal&lt;&gt;"",_xlpm.MyAuditVal,_xlpm.MacVal&lt;&gt;"",_xlpm.MacVal,_xlpm.CSVVal&lt;&gt;"",PROPER(_xlpm.CSVVal)
)),"")</f>
        <v/>
      </c>
      <c r="H1297" s="40" t="str" cm="1">
        <f t="array" ref="H1297">IFERROR(_xlfn.LET(
_xlpm.CSVVal,_xlfn.XLOOKUP($A1297,CSV!$A:$A,CSV!H:H,""),
_xlpm.MacVal,_xlfn.XLOOKUP($A1297,Output_Mac!$A:$A,Output_Mac!H:H,""),
_xlpm.MyAuditVal,_xlfn.XLOOKUP($A1297,My_Audit!$A:$A,My_Audit!G:G,""),
_xlfn.IFS(_xlpm.MyAuditVal&lt;&gt;"",_xlpm.MyAuditVal,_xlpm.MacVal&lt;&gt;"",_xlpm.MacVal,_xlpm.CSVVal&lt;&gt;"",_xlpm.CSVVal
)),"")</f>
        <v/>
      </c>
      <c r="I1297" s="40" t="str">
        <f>_xlfn.XLOOKUP(A1297,Output_Mac!A:A,Output_Mac!I:I,"")</f>
        <v/>
      </c>
      <c r="J1297" s="40" t="str" cm="1">
        <f t="array" ref="J1297">IFERROR(_xlfn.LET(
_xlpm.CSVVal,_xlfn.XLOOKUP($A1297,CSV!$A:$A,CSV!I:I,""),
_xlpm.MacVal,_xlfn.XLOOKUP($A1297,Output_Mac!$A:$A,Output_Mac!J:J,""),
_xlpm.MyAuditVal,_xlfn.XLOOKUP($A1297,My_Audit!$A:$A,My_Audit!I:I,""),
_xlfn.IFS(_xlpm.MyAuditVal&lt;&gt;"",UPPER(_xlpm.MyAuditVal),_xlpm.MacVal&lt;&gt;"",_xlpm.MacVal,_xlpm.CSVVal&lt;&gt;"",_xlpm.CSVVal
)),"")</f>
        <v/>
      </c>
      <c r="K1297" s="40" t="str" cm="1">
        <f t="array" ref="K1297">IFERROR(_xlfn.LET(
_xlpm.CSVVal,_xlfn.XLOOKUP($A1297,CSV!$A:$A,CSV!K:K,""),
_xlpm.MacVal,_xlfn.XLOOKUP($A1297,Output_Mac!$A:$A,Output_Mac!K:K,""),
_xlpm.MyAuditVal,_xlfn.XLOOKUP($A1297,My_Audit!$A:$A,My_Audit!J:J,""),
_xlfn.IFS(_xlpm.MyAuditVal&lt;&gt;"",UPPER(_xlpm.MyAuditVal),_xlpm.MacVal&lt;&gt;"",_xlpm.MacVal,_xlpm.CSVVal&lt;&gt;"",_xlpm.CSVVal
)),"")</f>
        <v/>
      </c>
      <c r="L1297" s="40" t="str" cm="1">
        <f t="array" ref="L1297">IFERROR(_xlfn.LET(
_xlpm.CSVVal,_xlfn.XLOOKUP($A1297,CSV!$A:$A,CSV!P:P,""),
_xlpm.MacVal,_xlfn.XLOOKUP($A1297,Output_Mac!$A:$A,Output_Mac!L:L,""),
_xlpm.MyAuditVal,_xlfn.XLOOKUP($A1297,My_Audit!$A:$A,My_Audit!K:K,""),
_xlfn.IFS(_xlpm.MyAuditVal&lt;&gt;"",UPPER(_xlpm.MyAuditVal),_xlpm.MacVal&lt;&gt;"",_xlpm.MacVal,_xlpm.CSVVal&lt;&gt;"",_xlpm.CSVVal
)),"")</f>
        <v/>
      </c>
      <c r="M1297" s="40" t="str" cm="1">
        <f t="array" ref="M1297">IFERROR(_xlfn.LET(
_xlpm.CSVVal,_xlfn.XLOOKUP($A1297,CSV!$A:$A,CSV!Q:Q,""),
_xlpm.MacVal,_xlfn.XLOOKUP($A1297,Output_Mac!$A:$A,Output_Mac!M:M,""),
_xlpm.MyAuditVal,_xlfn.XLOOKUP($A1297,My_Audit!$A:$A,My_Audit!L:L,""),
_xlfn.IFS(_xlpm.MyAuditVal&lt;&gt;"",UPPER(_xlpm.MyAuditVal),_xlpm.MacVal&lt;&gt;"",_xlpm.MacVal,_xlpm.CSVVal&lt;&gt;"",_xlpm.CSVVal
)),"")</f>
        <v/>
      </c>
      <c r="N1297" s="40"/>
      <c r="O1297" s="40" t="str">
        <f>_xlfn.LET(
    _xlpm.CSVVal, _xlfn.XLOOKUP($A1297, CSV!$A:$A, CSV!AA:AA, ""),
    _xlpm.MacVal, _xlfn.XLOOKUP($A1297, Output_Mac!$A:$A, Output_Mac!S:S, ""),
    _xlpm.MyAuditVal, _xlfn.XLOOKUP($A1297, My_Audit!$A:$A, My_Audit!P:P, ""),
    _xlfn.TEXTJOIN(", ", TRUE, _xlpm.MyAuditVal, _xlpm.MacVal, _xlpm.CSVVal)
)</f>
        <v/>
      </c>
      <c r="P1297" s="40" t="str" cm="1">
        <f t="array" ref="P1297">IFERROR(_xlfn.LET(
_xlpm.CSVVal,_xlfn.XLOOKUP($A1297,CSV!$A:$A,CSV!AB:AB,""),
_xlpm.MacVal,_xlfn.XLOOKUP($A1297,Output_Mac!$A:$A,Output_Mac!T:T,""),
_xlpm.MyAuditVal,_xlfn.XLOOKUP($A1297,My_Audit!$A:$A,My_Audit!Q:Q,""),
_xlfn.IFS(_xlpm.MyAuditVal&lt;&gt;"",UPPER(_xlpm.MyAuditVal),_xlpm.MacVal&lt;&gt;"",_xlpm.MacVal,_xlpm.CSVVal&lt;&gt;"",_xlpm.CSVVal
)),"No")</f>
        <v>No</v>
      </c>
      <c r="Q1297" s="40" t="str" cm="1">
        <f t="array" ref="Q1297">IFERROR(_xlfn.LET(
_xlpm.CSVVal,_xlfn.XLOOKUP($A1297,CSV!$A:$A,CSV!AC:AC,""),
_xlpm.MacVal,_xlfn.XLOOKUP($A1297,Output_Mac!$A:$A,Output_Mac!U:U,""),
_xlpm.MyAuditVal,_xlfn.XLOOKUP($A1297,My_Audit!$A:$A,My_Audit!R:R,""),
_xlfn.IFS(_xlpm.MyAuditVal&lt;&gt;"",UPPER(_xlpm.MyAuditVal),_xlpm.MacVal&lt;&gt;"",_xlpm.MacVal,_xlpm.CSVVal&lt;&gt;"",_xlpm.CSVVal
)),"")</f>
        <v/>
      </c>
      <c r="R1297" s="40"/>
      <c r="S1297" s="40"/>
      <c r="T1297" s="40"/>
      <c r="U1297" s="40"/>
      <c r="V1297" s="40"/>
      <c r="W1297" s="40"/>
      <c r="X1297" s="41" t="str">
        <f>_xlfn.LET(
    _xlpm.MacVal, _xlfn.XLOOKUP($A1297, Output_Mac!$A:$A, Output_Mac!AB:AB, ""),
    _xlpm.MyAuditVal, _xlfn.XLOOKUP($A1297, My_Audit!$A:$A, My_Audit!N:N, ""),
    _xlfn.TEXTJOIN(", ", TRUE, _xlpm.MyAuditVal, _xlpm.MacVal)
)</f>
        <v/>
      </c>
    </row>
    <row r="1298" spans="1:24">
      <c r="A1298" s="40" t="str">
        <f>_xlfn.TEXTJOIN("",TRUE,Input!$B$2,ROW(My_Audit!A1297))</f>
        <v>X1297</v>
      </c>
      <c r="B1298" s="40" t="str">
        <f>_xlfn.TEXTJOIN("-",TRUE,"ITD",Input!$A$2,A1298)</f>
        <v>ITD-X1297</v>
      </c>
      <c r="C1298" s="40" t="str" cm="1">
        <f t="array" ref="C1298">IFERROR(_xlfn.LET(
_xlpm.CSVVal,_xlfn.XLOOKUP($A1298,CSV!$A:$A,CSV!B:B,""),
_xlpm.MacVal,_xlfn.XLOOKUP($A1298,Output_Mac!$A:$A,Output_Mac!B:B,""),
_xlpm.MyAuditVal,_xlfn.XLOOKUP($A1298,My_Audit!$A:$A,My_Audit!B:B,""),
_xlfn.IFS(_xlpm.MyAuditVal&lt;&gt;"",UPPER(_xlpm.MyAuditVal),_xlpm.MacVal&lt;&gt;"",_xlpm.MacVal,_xlpm.CSVVal&lt;&gt;"",_xlpm.CSVVal
)),"")</f>
        <v/>
      </c>
      <c r="D1298" s="40" t="str" cm="1">
        <f t="array" ref="D1298">IFERROR(_xlfn.LET(
_xlpm.CSVVal,_xlfn.XLOOKUP($A1298,CSV!$A:$A,CSV!D:D,""),
_xlpm.MacVal,_xlfn.XLOOKUP($A1298,Output_Mac!$A:$A,Output_Mac!C:C,""),
_xlpm.MyAuditVal,_xlfn.XLOOKUP($A1298,My_Audit!$A:$A,My_Audit!C:C,""),
_xlfn.IFS(_xlpm.MyAuditVal&lt;&gt;"",_xlpm.MyAuditVal,_xlpm.MacVal&lt;&gt;"",_xlpm.MacVal,_xlpm.CSVVal&lt;&gt;"",_xlpm.CSVVal
)),"")</f>
        <v/>
      </c>
      <c r="E1298" s="40" t="str">
        <f>_xlfn.XLOOKUP(A1298,My_Audit!A:A,My_Audit!D:D,"")</f>
        <v/>
      </c>
      <c r="F1298" s="40" t="str" cm="1">
        <f t="array" ref="F1298">IFERROR(_xlfn.LET(
_xlpm.CSVVal,_xlfn.XLOOKUP($A1298,CSV!$A:$A,CSV!F:F,""),
_xlpm.MacVal,_xlfn.XLOOKUP($A1298,Output_Mac!$A:$A,Output_Mac!E:E,""),
_xlpm.MyAuditVal,_xlfn.XLOOKUP($A1298,My_Audit!$A:$A,My_Audit!E:E,""),
_xlfn.IFS(_xlpm.MyAuditVal&lt;&gt;"",_xlpm.MyAuditVal,_xlpm.MacVal&lt;&gt;"",_xlpm.MacVal,_xlpm.CSVVal&lt;&gt;"",_xlpm.CSVVal
)),"")</f>
        <v/>
      </c>
      <c r="G1298" s="40" t="str" cm="1">
        <f t="array" ref="G1298">IFERROR(_xlfn.LET(
_xlpm.CSVVal,_xlfn.XLOOKUP($A1298,CSV!$A:$A,CSV!G:G,""),
_xlpm.MacVal,_xlfn.XLOOKUP($A1298,Output_Mac!$A:$A,Output_Mac!F:F,""),
_xlpm.MyAuditVal,_xlfn.XLOOKUP($A1298,My_Audit!$A:$A,My_Audit!F:F,""),
_xlfn.IFS(_xlpm.MyAuditVal&lt;&gt;"",_xlpm.MyAuditVal,_xlpm.MacVal&lt;&gt;"",_xlpm.MacVal,_xlpm.CSVVal&lt;&gt;"",PROPER(_xlpm.CSVVal)
)),"")</f>
        <v/>
      </c>
      <c r="H1298" s="40" t="str" cm="1">
        <f t="array" ref="H1298">IFERROR(_xlfn.LET(
_xlpm.CSVVal,_xlfn.XLOOKUP($A1298,CSV!$A:$A,CSV!H:H,""),
_xlpm.MacVal,_xlfn.XLOOKUP($A1298,Output_Mac!$A:$A,Output_Mac!H:H,""),
_xlpm.MyAuditVal,_xlfn.XLOOKUP($A1298,My_Audit!$A:$A,My_Audit!G:G,""),
_xlfn.IFS(_xlpm.MyAuditVal&lt;&gt;"",_xlpm.MyAuditVal,_xlpm.MacVal&lt;&gt;"",_xlpm.MacVal,_xlpm.CSVVal&lt;&gt;"",_xlpm.CSVVal
)),"")</f>
        <v/>
      </c>
      <c r="I1298" s="40" t="str">
        <f>_xlfn.XLOOKUP(A1298,Output_Mac!A:A,Output_Mac!I:I,"")</f>
        <v/>
      </c>
      <c r="J1298" s="40" t="str" cm="1">
        <f t="array" ref="J1298">IFERROR(_xlfn.LET(
_xlpm.CSVVal,_xlfn.XLOOKUP($A1298,CSV!$A:$A,CSV!I:I,""),
_xlpm.MacVal,_xlfn.XLOOKUP($A1298,Output_Mac!$A:$A,Output_Mac!J:J,""),
_xlpm.MyAuditVal,_xlfn.XLOOKUP($A1298,My_Audit!$A:$A,My_Audit!I:I,""),
_xlfn.IFS(_xlpm.MyAuditVal&lt;&gt;"",UPPER(_xlpm.MyAuditVal),_xlpm.MacVal&lt;&gt;"",_xlpm.MacVal,_xlpm.CSVVal&lt;&gt;"",_xlpm.CSVVal
)),"")</f>
        <v/>
      </c>
      <c r="K1298" s="40" t="str" cm="1">
        <f t="array" ref="K1298">IFERROR(_xlfn.LET(
_xlpm.CSVVal,_xlfn.XLOOKUP($A1298,CSV!$A:$A,CSV!K:K,""),
_xlpm.MacVal,_xlfn.XLOOKUP($A1298,Output_Mac!$A:$A,Output_Mac!K:K,""),
_xlpm.MyAuditVal,_xlfn.XLOOKUP($A1298,My_Audit!$A:$A,My_Audit!J:J,""),
_xlfn.IFS(_xlpm.MyAuditVal&lt;&gt;"",UPPER(_xlpm.MyAuditVal),_xlpm.MacVal&lt;&gt;"",_xlpm.MacVal,_xlpm.CSVVal&lt;&gt;"",_xlpm.CSVVal
)),"")</f>
        <v/>
      </c>
      <c r="L1298" s="40" t="str" cm="1">
        <f t="array" ref="L1298">IFERROR(_xlfn.LET(
_xlpm.CSVVal,_xlfn.XLOOKUP($A1298,CSV!$A:$A,CSV!P:P,""),
_xlpm.MacVal,_xlfn.XLOOKUP($A1298,Output_Mac!$A:$A,Output_Mac!L:L,""),
_xlpm.MyAuditVal,_xlfn.XLOOKUP($A1298,My_Audit!$A:$A,My_Audit!K:K,""),
_xlfn.IFS(_xlpm.MyAuditVal&lt;&gt;"",UPPER(_xlpm.MyAuditVal),_xlpm.MacVal&lt;&gt;"",_xlpm.MacVal,_xlpm.CSVVal&lt;&gt;"",_xlpm.CSVVal
)),"")</f>
        <v/>
      </c>
      <c r="M1298" s="40" t="str" cm="1">
        <f t="array" ref="M1298">IFERROR(_xlfn.LET(
_xlpm.CSVVal,_xlfn.XLOOKUP($A1298,CSV!$A:$A,CSV!Q:Q,""),
_xlpm.MacVal,_xlfn.XLOOKUP($A1298,Output_Mac!$A:$A,Output_Mac!M:M,""),
_xlpm.MyAuditVal,_xlfn.XLOOKUP($A1298,My_Audit!$A:$A,My_Audit!L:L,""),
_xlfn.IFS(_xlpm.MyAuditVal&lt;&gt;"",UPPER(_xlpm.MyAuditVal),_xlpm.MacVal&lt;&gt;"",_xlpm.MacVal,_xlpm.CSVVal&lt;&gt;"",_xlpm.CSVVal
)),"")</f>
        <v/>
      </c>
      <c r="N1298" s="40"/>
      <c r="O1298" s="40" t="str">
        <f>_xlfn.LET(
    _xlpm.CSVVal, _xlfn.XLOOKUP($A1298, CSV!$A:$A, CSV!AA:AA, ""),
    _xlpm.MacVal, _xlfn.XLOOKUP($A1298, Output_Mac!$A:$A, Output_Mac!S:S, ""),
    _xlpm.MyAuditVal, _xlfn.XLOOKUP($A1298, My_Audit!$A:$A, My_Audit!P:P, ""),
    _xlfn.TEXTJOIN(", ", TRUE, _xlpm.MyAuditVal, _xlpm.MacVal, _xlpm.CSVVal)
)</f>
        <v/>
      </c>
      <c r="P1298" s="40" t="str" cm="1">
        <f t="array" ref="P1298">IFERROR(_xlfn.LET(
_xlpm.CSVVal,_xlfn.XLOOKUP($A1298,CSV!$A:$A,CSV!AB:AB,""),
_xlpm.MacVal,_xlfn.XLOOKUP($A1298,Output_Mac!$A:$A,Output_Mac!T:T,""),
_xlpm.MyAuditVal,_xlfn.XLOOKUP($A1298,My_Audit!$A:$A,My_Audit!Q:Q,""),
_xlfn.IFS(_xlpm.MyAuditVal&lt;&gt;"",UPPER(_xlpm.MyAuditVal),_xlpm.MacVal&lt;&gt;"",_xlpm.MacVal,_xlpm.CSVVal&lt;&gt;"",_xlpm.CSVVal
)),"No")</f>
        <v>No</v>
      </c>
      <c r="Q1298" s="40" t="str" cm="1">
        <f t="array" ref="Q1298">IFERROR(_xlfn.LET(
_xlpm.CSVVal,_xlfn.XLOOKUP($A1298,CSV!$A:$A,CSV!AC:AC,""),
_xlpm.MacVal,_xlfn.XLOOKUP($A1298,Output_Mac!$A:$A,Output_Mac!U:U,""),
_xlpm.MyAuditVal,_xlfn.XLOOKUP($A1298,My_Audit!$A:$A,My_Audit!R:R,""),
_xlfn.IFS(_xlpm.MyAuditVal&lt;&gt;"",UPPER(_xlpm.MyAuditVal),_xlpm.MacVal&lt;&gt;"",_xlpm.MacVal,_xlpm.CSVVal&lt;&gt;"",_xlpm.CSVVal
)),"")</f>
        <v/>
      </c>
      <c r="R1298" s="40"/>
      <c r="S1298" s="40"/>
      <c r="T1298" s="40"/>
      <c r="U1298" s="40"/>
      <c r="V1298" s="40"/>
      <c r="W1298" s="40"/>
      <c r="X1298" s="41" t="str">
        <f>_xlfn.LET(
    _xlpm.MacVal, _xlfn.XLOOKUP($A1298, Output_Mac!$A:$A, Output_Mac!AB:AB, ""),
    _xlpm.MyAuditVal, _xlfn.XLOOKUP($A1298, My_Audit!$A:$A, My_Audit!N:N, ""),
    _xlfn.TEXTJOIN(", ", TRUE, _xlpm.MyAuditVal, _xlpm.MacVal)
)</f>
        <v/>
      </c>
    </row>
    <row r="1299" spans="1:24">
      <c r="A1299" s="40" t="str">
        <f>_xlfn.TEXTJOIN("",TRUE,Input!$B$2,ROW(My_Audit!A1298))</f>
        <v>X1298</v>
      </c>
      <c r="B1299" s="40" t="str">
        <f>_xlfn.TEXTJOIN("-",TRUE,"ITD",Input!$A$2,A1299)</f>
        <v>ITD-X1298</v>
      </c>
      <c r="C1299" s="40" t="str" cm="1">
        <f t="array" ref="C1299">IFERROR(_xlfn.LET(
_xlpm.CSVVal,_xlfn.XLOOKUP($A1299,CSV!$A:$A,CSV!B:B,""),
_xlpm.MacVal,_xlfn.XLOOKUP($A1299,Output_Mac!$A:$A,Output_Mac!B:B,""),
_xlpm.MyAuditVal,_xlfn.XLOOKUP($A1299,My_Audit!$A:$A,My_Audit!B:B,""),
_xlfn.IFS(_xlpm.MyAuditVal&lt;&gt;"",UPPER(_xlpm.MyAuditVal),_xlpm.MacVal&lt;&gt;"",_xlpm.MacVal,_xlpm.CSVVal&lt;&gt;"",_xlpm.CSVVal
)),"")</f>
        <v/>
      </c>
      <c r="D1299" s="40" t="str" cm="1">
        <f t="array" ref="D1299">IFERROR(_xlfn.LET(
_xlpm.CSVVal,_xlfn.XLOOKUP($A1299,CSV!$A:$A,CSV!D:D,""),
_xlpm.MacVal,_xlfn.XLOOKUP($A1299,Output_Mac!$A:$A,Output_Mac!C:C,""),
_xlpm.MyAuditVal,_xlfn.XLOOKUP($A1299,My_Audit!$A:$A,My_Audit!C:C,""),
_xlfn.IFS(_xlpm.MyAuditVal&lt;&gt;"",_xlpm.MyAuditVal,_xlpm.MacVal&lt;&gt;"",_xlpm.MacVal,_xlpm.CSVVal&lt;&gt;"",_xlpm.CSVVal
)),"")</f>
        <v/>
      </c>
      <c r="E1299" s="40" t="str">
        <f>_xlfn.XLOOKUP(A1299,My_Audit!A:A,My_Audit!D:D,"")</f>
        <v/>
      </c>
      <c r="F1299" s="40" t="str" cm="1">
        <f t="array" ref="F1299">IFERROR(_xlfn.LET(
_xlpm.CSVVal,_xlfn.XLOOKUP($A1299,CSV!$A:$A,CSV!F:F,""),
_xlpm.MacVal,_xlfn.XLOOKUP($A1299,Output_Mac!$A:$A,Output_Mac!E:E,""),
_xlpm.MyAuditVal,_xlfn.XLOOKUP($A1299,My_Audit!$A:$A,My_Audit!E:E,""),
_xlfn.IFS(_xlpm.MyAuditVal&lt;&gt;"",_xlpm.MyAuditVal,_xlpm.MacVal&lt;&gt;"",_xlpm.MacVal,_xlpm.CSVVal&lt;&gt;"",_xlpm.CSVVal
)),"")</f>
        <v/>
      </c>
      <c r="G1299" s="40" t="str" cm="1">
        <f t="array" ref="G1299">IFERROR(_xlfn.LET(
_xlpm.CSVVal,_xlfn.XLOOKUP($A1299,CSV!$A:$A,CSV!G:G,""),
_xlpm.MacVal,_xlfn.XLOOKUP($A1299,Output_Mac!$A:$A,Output_Mac!F:F,""),
_xlpm.MyAuditVal,_xlfn.XLOOKUP($A1299,My_Audit!$A:$A,My_Audit!F:F,""),
_xlfn.IFS(_xlpm.MyAuditVal&lt;&gt;"",_xlpm.MyAuditVal,_xlpm.MacVal&lt;&gt;"",_xlpm.MacVal,_xlpm.CSVVal&lt;&gt;"",PROPER(_xlpm.CSVVal)
)),"")</f>
        <v/>
      </c>
      <c r="H1299" s="40" t="str" cm="1">
        <f t="array" ref="H1299">IFERROR(_xlfn.LET(
_xlpm.CSVVal,_xlfn.XLOOKUP($A1299,CSV!$A:$A,CSV!H:H,""),
_xlpm.MacVal,_xlfn.XLOOKUP($A1299,Output_Mac!$A:$A,Output_Mac!H:H,""),
_xlpm.MyAuditVal,_xlfn.XLOOKUP($A1299,My_Audit!$A:$A,My_Audit!G:G,""),
_xlfn.IFS(_xlpm.MyAuditVal&lt;&gt;"",_xlpm.MyAuditVal,_xlpm.MacVal&lt;&gt;"",_xlpm.MacVal,_xlpm.CSVVal&lt;&gt;"",_xlpm.CSVVal
)),"")</f>
        <v/>
      </c>
      <c r="I1299" s="40" t="str">
        <f>_xlfn.XLOOKUP(A1299,Output_Mac!A:A,Output_Mac!I:I,"")</f>
        <v/>
      </c>
      <c r="J1299" s="40" t="str" cm="1">
        <f t="array" ref="J1299">IFERROR(_xlfn.LET(
_xlpm.CSVVal,_xlfn.XLOOKUP($A1299,CSV!$A:$A,CSV!I:I,""),
_xlpm.MacVal,_xlfn.XLOOKUP($A1299,Output_Mac!$A:$A,Output_Mac!J:J,""),
_xlpm.MyAuditVal,_xlfn.XLOOKUP($A1299,My_Audit!$A:$A,My_Audit!I:I,""),
_xlfn.IFS(_xlpm.MyAuditVal&lt;&gt;"",UPPER(_xlpm.MyAuditVal),_xlpm.MacVal&lt;&gt;"",_xlpm.MacVal,_xlpm.CSVVal&lt;&gt;"",_xlpm.CSVVal
)),"")</f>
        <v/>
      </c>
      <c r="K1299" s="40" t="str" cm="1">
        <f t="array" ref="K1299">IFERROR(_xlfn.LET(
_xlpm.CSVVal,_xlfn.XLOOKUP($A1299,CSV!$A:$A,CSV!K:K,""),
_xlpm.MacVal,_xlfn.XLOOKUP($A1299,Output_Mac!$A:$A,Output_Mac!K:K,""),
_xlpm.MyAuditVal,_xlfn.XLOOKUP($A1299,My_Audit!$A:$A,My_Audit!J:J,""),
_xlfn.IFS(_xlpm.MyAuditVal&lt;&gt;"",UPPER(_xlpm.MyAuditVal),_xlpm.MacVal&lt;&gt;"",_xlpm.MacVal,_xlpm.CSVVal&lt;&gt;"",_xlpm.CSVVal
)),"")</f>
        <v/>
      </c>
      <c r="L1299" s="40" t="str" cm="1">
        <f t="array" ref="L1299">IFERROR(_xlfn.LET(
_xlpm.CSVVal,_xlfn.XLOOKUP($A1299,CSV!$A:$A,CSV!P:P,""),
_xlpm.MacVal,_xlfn.XLOOKUP($A1299,Output_Mac!$A:$A,Output_Mac!L:L,""),
_xlpm.MyAuditVal,_xlfn.XLOOKUP($A1299,My_Audit!$A:$A,My_Audit!K:K,""),
_xlfn.IFS(_xlpm.MyAuditVal&lt;&gt;"",UPPER(_xlpm.MyAuditVal),_xlpm.MacVal&lt;&gt;"",_xlpm.MacVal,_xlpm.CSVVal&lt;&gt;"",_xlpm.CSVVal
)),"")</f>
        <v/>
      </c>
      <c r="M1299" s="40" t="str" cm="1">
        <f t="array" ref="M1299">IFERROR(_xlfn.LET(
_xlpm.CSVVal,_xlfn.XLOOKUP($A1299,CSV!$A:$A,CSV!Q:Q,""),
_xlpm.MacVal,_xlfn.XLOOKUP($A1299,Output_Mac!$A:$A,Output_Mac!M:M,""),
_xlpm.MyAuditVal,_xlfn.XLOOKUP($A1299,My_Audit!$A:$A,My_Audit!L:L,""),
_xlfn.IFS(_xlpm.MyAuditVal&lt;&gt;"",UPPER(_xlpm.MyAuditVal),_xlpm.MacVal&lt;&gt;"",_xlpm.MacVal,_xlpm.CSVVal&lt;&gt;"",_xlpm.CSVVal
)),"")</f>
        <v/>
      </c>
      <c r="N1299" s="40"/>
      <c r="O1299" s="40" t="str">
        <f>_xlfn.LET(
    _xlpm.CSVVal, _xlfn.XLOOKUP($A1299, CSV!$A:$A, CSV!AA:AA, ""),
    _xlpm.MacVal, _xlfn.XLOOKUP($A1299, Output_Mac!$A:$A, Output_Mac!S:S, ""),
    _xlpm.MyAuditVal, _xlfn.XLOOKUP($A1299, My_Audit!$A:$A, My_Audit!P:P, ""),
    _xlfn.TEXTJOIN(", ", TRUE, _xlpm.MyAuditVal, _xlpm.MacVal, _xlpm.CSVVal)
)</f>
        <v/>
      </c>
      <c r="P1299" s="40" t="str" cm="1">
        <f t="array" ref="P1299">IFERROR(_xlfn.LET(
_xlpm.CSVVal,_xlfn.XLOOKUP($A1299,CSV!$A:$A,CSV!AB:AB,""),
_xlpm.MacVal,_xlfn.XLOOKUP($A1299,Output_Mac!$A:$A,Output_Mac!T:T,""),
_xlpm.MyAuditVal,_xlfn.XLOOKUP($A1299,My_Audit!$A:$A,My_Audit!Q:Q,""),
_xlfn.IFS(_xlpm.MyAuditVal&lt;&gt;"",UPPER(_xlpm.MyAuditVal),_xlpm.MacVal&lt;&gt;"",_xlpm.MacVal,_xlpm.CSVVal&lt;&gt;"",_xlpm.CSVVal
)),"No")</f>
        <v>No</v>
      </c>
      <c r="Q1299" s="40" t="str" cm="1">
        <f t="array" ref="Q1299">IFERROR(_xlfn.LET(
_xlpm.CSVVal,_xlfn.XLOOKUP($A1299,CSV!$A:$A,CSV!AC:AC,""),
_xlpm.MacVal,_xlfn.XLOOKUP($A1299,Output_Mac!$A:$A,Output_Mac!U:U,""),
_xlpm.MyAuditVal,_xlfn.XLOOKUP($A1299,My_Audit!$A:$A,My_Audit!R:R,""),
_xlfn.IFS(_xlpm.MyAuditVal&lt;&gt;"",UPPER(_xlpm.MyAuditVal),_xlpm.MacVal&lt;&gt;"",_xlpm.MacVal,_xlpm.CSVVal&lt;&gt;"",_xlpm.CSVVal
)),"")</f>
        <v/>
      </c>
      <c r="R1299" s="40"/>
      <c r="S1299" s="40"/>
      <c r="T1299" s="40"/>
      <c r="U1299" s="40"/>
      <c r="V1299" s="40"/>
      <c r="W1299" s="40"/>
      <c r="X1299" s="41" t="str">
        <f>_xlfn.LET(
    _xlpm.MacVal, _xlfn.XLOOKUP($A1299, Output_Mac!$A:$A, Output_Mac!AB:AB, ""),
    _xlpm.MyAuditVal, _xlfn.XLOOKUP($A1299, My_Audit!$A:$A, My_Audit!N:N, ""),
    _xlfn.TEXTJOIN(", ", TRUE, _xlpm.MyAuditVal, _xlpm.MacVal)
)</f>
        <v/>
      </c>
    </row>
    <row r="1300" spans="1:24">
      <c r="A1300" s="40" t="str">
        <f>_xlfn.TEXTJOIN("",TRUE,Input!$B$2,ROW(My_Audit!A1299))</f>
        <v>X1299</v>
      </c>
      <c r="B1300" s="40" t="str">
        <f>_xlfn.TEXTJOIN("-",TRUE,"ITD",Input!$A$2,A1300)</f>
        <v>ITD-X1299</v>
      </c>
      <c r="C1300" s="40" t="str" cm="1">
        <f t="array" ref="C1300">IFERROR(_xlfn.LET(
_xlpm.CSVVal,_xlfn.XLOOKUP($A1300,CSV!$A:$A,CSV!B:B,""),
_xlpm.MacVal,_xlfn.XLOOKUP($A1300,Output_Mac!$A:$A,Output_Mac!B:B,""),
_xlpm.MyAuditVal,_xlfn.XLOOKUP($A1300,My_Audit!$A:$A,My_Audit!B:B,""),
_xlfn.IFS(_xlpm.MyAuditVal&lt;&gt;"",UPPER(_xlpm.MyAuditVal),_xlpm.MacVal&lt;&gt;"",_xlpm.MacVal,_xlpm.CSVVal&lt;&gt;"",_xlpm.CSVVal
)),"")</f>
        <v/>
      </c>
      <c r="D1300" s="40" t="str" cm="1">
        <f t="array" ref="D1300">IFERROR(_xlfn.LET(
_xlpm.CSVVal,_xlfn.XLOOKUP($A1300,CSV!$A:$A,CSV!D:D,""),
_xlpm.MacVal,_xlfn.XLOOKUP($A1300,Output_Mac!$A:$A,Output_Mac!C:C,""),
_xlpm.MyAuditVal,_xlfn.XLOOKUP($A1300,My_Audit!$A:$A,My_Audit!C:C,""),
_xlfn.IFS(_xlpm.MyAuditVal&lt;&gt;"",_xlpm.MyAuditVal,_xlpm.MacVal&lt;&gt;"",_xlpm.MacVal,_xlpm.CSVVal&lt;&gt;"",_xlpm.CSVVal
)),"")</f>
        <v/>
      </c>
      <c r="E1300" s="40" t="str">
        <f>_xlfn.XLOOKUP(A1300,My_Audit!A:A,My_Audit!D:D,"")</f>
        <v/>
      </c>
      <c r="F1300" s="40" t="str" cm="1">
        <f t="array" ref="F1300">IFERROR(_xlfn.LET(
_xlpm.CSVVal,_xlfn.XLOOKUP($A1300,CSV!$A:$A,CSV!F:F,""),
_xlpm.MacVal,_xlfn.XLOOKUP($A1300,Output_Mac!$A:$A,Output_Mac!E:E,""),
_xlpm.MyAuditVal,_xlfn.XLOOKUP($A1300,My_Audit!$A:$A,My_Audit!E:E,""),
_xlfn.IFS(_xlpm.MyAuditVal&lt;&gt;"",_xlpm.MyAuditVal,_xlpm.MacVal&lt;&gt;"",_xlpm.MacVal,_xlpm.CSVVal&lt;&gt;"",_xlpm.CSVVal
)),"")</f>
        <v/>
      </c>
      <c r="G1300" s="40" t="str" cm="1">
        <f t="array" ref="G1300">IFERROR(_xlfn.LET(
_xlpm.CSVVal,_xlfn.XLOOKUP($A1300,CSV!$A:$A,CSV!G:G,""),
_xlpm.MacVal,_xlfn.XLOOKUP($A1300,Output_Mac!$A:$A,Output_Mac!F:F,""),
_xlpm.MyAuditVal,_xlfn.XLOOKUP($A1300,My_Audit!$A:$A,My_Audit!F:F,""),
_xlfn.IFS(_xlpm.MyAuditVal&lt;&gt;"",_xlpm.MyAuditVal,_xlpm.MacVal&lt;&gt;"",_xlpm.MacVal,_xlpm.CSVVal&lt;&gt;"",PROPER(_xlpm.CSVVal)
)),"")</f>
        <v/>
      </c>
      <c r="H1300" s="40" t="str" cm="1">
        <f t="array" ref="H1300">IFERROR(_xlfn.LET(
_xlpm.CSVVal,_xlfn.XLOOKUP($A1300,CSV!$A:$A,CSV!H:H,""),
_xlpm.MacVal,_xlfn.XLOOKUP($A1300,Output_Mac!$A:$A,Output_Mac!H:H,""),
_xlpm.MyAuditVal,_xlfn.XLOOKUP($A1300,My_Audit!$A:$A,My_Audit!G:G,""),
_xlfn.IFS(_xlpm.MyAuditVal&lt;&gt;"",_xlpm.MyAuditVal,_xlpm.MacVal&lt;&gt;"",_xlpm.MacVal,_xlpm.CSVVal&lt;&gt;"",_xlpm.CSVVal
)),"")</f>
        <v/>
      </c>
      <c r="I1300" s="40" t="str">
        <f>_xlfn.XLOOKUP(A1300,Output_Mac!A:A,Output_Mac!I:I,"")</f>
        <v/>
      </c>
      <c r="J1300" s="40" t="str" cm="1">
        <f t="array" ref="J1300">IFERROR(_xlfn.LET(
_xlpm.CSVVal,_xlfn.XLOOKUP($A1300,CSV!$A:$A,CSV!I:I,""),
_xlpm.MacVal,_xlfn.XLOOKUP($A1300,Output_Mac!$A:$A,Output_Mac!J:J,""),
_xlpm.MyAuditVal,_xlfn.XLOOKUP($A1300,My_Audit!$A:$A,My_Audit!I:I,""),
_xlfn.IFS(_xlpm.MyAuditVal&lt;&gt;"",UPPER(_xlpm.MyAuditVal),_xlpm.MacVal&lt;&gt;"",_xlpm.MacVal,_xlpm.CSVVal&lt;&gt;"",_xlpm.CSVVal
)),"")</f>
        <v/>
      </c>
      <c r="K1300" s="40" t="str" cm="1">
        <f t="array" ref="K1300">IFERROR(_xlfn.LET(
_xlpm.CSVVal,_xlfn.XLOOKUP($A1300,CSV!$A:$A,CSV!K:K,""),
_xlpm.MacVal,_xlfn.XLOOKUP($A1300,Output_Mac!$A:$A,Output_Mac!K:K,""),
_xlpm.MyAuditVal,_xlfn.XLOOKUP($A1300,My_Audit!$A:$A,My_Audit!J:J,""),
_xlfn.IFS(_xlpm.MyAuditVal&lt;&gt;"",UPPER(_xlpm.MyAuditVal),_xlpm.MacVal&lt;&gt;"",_xlpm.MacVal,_xlpm.CSVVal&lt;&gt;"",_xlpm.CSVVal
)),"")</f>
        <v/>
      </c>
      <c r="L1300" s="40" t="str" cm="1">
        <f t="array" ref="L1300">IFERROR(_xlfn.LET(
_xlpm.CSVVal,_xlfn.XLOOKUP($A1300,CSV!$A:$A,CSV!P:P,""),
_xlpm.MacVal,_xlfn.XLOOKUP($A1300,Output_Mac!$A:$A,Output_Mac!L:L,""),
_xlpm.MyAuditVal,_xlfn.XLOOKUP($A1300,My_Audit!$A:$A,My_Audit!K:K,""),
_xlfn.IFS(_xlpm.MyAuditVal&lt;&gt;"",UPPER(_xlpm.MyAuditVal),_xlpm.MacVal&lt;&gt;"",_xlpm.MacVal,_xlpm.CSVVal&lt;&gt;"",_xlpm.CSVVal
)),"")</f>
        <v/>
      </c>
      <c r="M1300" s="40" t="str" cm="1">
        <f t="array" ref="M1300">IFERROR(_xlfn.LET(
_xlpm.CSVVal,_xlfn.XLOOKUP($A1300,CSV!$A:$A,CSV!Q:Q,""),
_xlpm.MacVal,_xlfn.XLOOKUP($A1300,Output_Mac!$A:$A,Output_Mac!M:M,""),
_xlpm.MyAuditVal,_xlfn.XLOOKUP($A1300,My_Audit!$A:$A,My_Audit!L:L,""),
_xlfn.IFS(_xlpm.MyAuditVal&lt;&gt;"",UPPER(_xlpm.MyAuditVal),_xlpm.MacVal&lt;&gt;"",_xlpm.MacVal,_xlpm.CSVVal&lt;&gt;"",_xlpm.CSVVal
)),"")</f>
        <v/>
      </c>
      <c r="N1300" s="40"/>
      <c r="O1300" s="40" t="str">
        <f>_xlfn.LET(
    _xlpm.CSVVal, _xlfn.XLOOKUP($A1300, CSV!$A:$A, CSV!AA:AA, ""),
    _xlpm.MacVal, _xlfn.XLOOKUP($A1300, Output_Mac!$A:$A, Output_Mac!S:S, ""),
    _xlpm.MyAuditVal, _xlfn.XLOOKUP($A1300, My_Audit!$A:$A, My_Audit!P:P, ""),
    _xlfn.TEXTJOIN(", ", TRUE, _xlpm.MyAuditVal, _xlpm.MacVal, _xlpm.CSVVal)
)</f>
        <v/>
      </c>
      <c r="P1300" s="40" t="str" cm="1">
        <f t="array" ref="P1300">IFERROR(_xlfn.LET(
_xlpm.CSVVal,_xlfn.XLOOKUP($A1300,CSV!$A:$A,CSV!AB:AB,""),
_xlpm.MacVal,_xlfn.XLOOKUP($A1300,Output_Mac!$A:$A,Output_Mac!T:T,""),
_xlpm.MyAuditVal,_xlfn.XLOOKUP($A1300,My_Audit!$A:$A,My_Audit!Q:Q,""),
_xlfn.IFS(_xlpm.MyAuditVal&lt;&gt;"",UPPER(_xlpm.MyAuditVal),_xlpm.MacVal&lt;&gt;"",_xlpm.MacVal,_xlpm.CSVVal&lt;&gt;"",_xlpm.CSVVal
)),"No")</f>
        <v>No</v>
      </c>
      <c r="Q1300" s="40" t="str" cm="1">
        <f t="array" ref="Q1300">IFERROR(_xlfn.LET(
_xlpm.CSVVal,_xlfn.XLOOKUP($A1300,CSV!$A:$A,CSV!AC:AC,""),
_xlpm.MacVal,_xlfn.XLOOKUP($A1300,Output_Mac!$A:$A,Output_Mac!U:U,""),
_xlpm.MyAuditVal,_xlfn.XLOOKUP($A1300,My_Audit!$A:$A,My_Audit!R:R,""),
_xlfn.IFS(_xlpm.MyAuditVal&lt;&gt;"",UPPER(_xlpm.MyAuditVal),_xlpm.MacVal&lt;&gt;"",_xlpm.MacVal,_xlpm.CSVVal&lt;&gt;"",_xlpm.CSVVal
)),"")</f>
        <v/>
      </c>
      <c r="R1300" s="40"/>
      <c r="S1300" s="40"/>
      <c r="T1300" s="40"/>
      <c r="U1300" s="40"/>
      <c r="V1300" s="40"/>
      <c r="W1300" s="40"/>
      <c r="X1300" s="41" t="str">
        <f>_xlfn.LET(
    _xlpm.MacVal, _xlfn.XLOOKUP($A1300, Output_Mac!$A:$A, Output_Mac!AB:AB, ""),
    _xlpm.MyAuditVal, _xlfn.XLOOKUP($A1300, My_Audit!$A:$A, My_Audit!N:N, ""),
    _xlfn.TEXTJOIN(", ", TRUE, _xlpm.MyAuditVal, _xlpm.MacVal)
)</f>
        <v/>
      </c>
    </row>
    <row r="1301" spans="1:24">
      <c r="A1301" s="40" t="str">
        <f>_xlfn.TEXTJOIN("",TRUE,Input!$B$2,ROW(My_Audit!A1300))</f>
        <v>X1300</v>
      </c>
      <c r="B1301" s="40" t="str">
        <f>_xlfn.TEXTJOIN("-",TRUE,"ITD",Input!$A$2,A1301)</f>
        <v>ITD-X1300</v>
      </c>
      <c r="C1301" s="40" t="str" cm="1">
        <f t="array" ref="C1301">IFERROR(_xlfn.LET(
_xlpm.CSVVal,_xlfn.XLOOKUP($A1301,CSV!$A:$A,CSV!B:B,""),
_xlpm.MacVal,_xlfn.XLOOKUP($A1301,Output_Mac!$A:$A,Output_Mac!B:B,""),
_xlpm.MyAuditVal,_xlfn.XLOOKUP($A1301,My_Audit!$A:$A,My_Audit!B:B,""),
_xlfn.IFS(_xlpm.MyAuditVal&lt;&gt;"",UPPER(_xlpm.MyAuditVal),_xlpm.MacVal&lt;&gt;"",_xlpm.MacVal,_xlpm.CSVVal&lt;&gt;"",_xlpm.CSVVal
)),"")</f>
        <v/>
      </c>
      <c r="D1301" s="40" t="str" cm="1">
        <f t="array" ref="D1301">IFERROR(_xlfn.LET(
_xlpm.CSVVal,_xlfn.XLOOKUP($A1301,CSV!$A:$A,CSV!D:D,""),
_xlpm.MacVal,_xlfn.XLOOKUP($A1301,Output_Mac!$A:$A,Output_Mac!C:C,""),
_xlpm.MyAuditVal,_xlfn.XLOOKUP($A1301,My_Audit!$A:$A,My_Audit!C:C,""),
_xlfn.IFS(_xlpm.MyAuditVal&lt;&gt;"",_xlpm.MyAuditVal,_xlpm.MacVal&lt;&gt;"",_xlpm.MacVal,_xlpm.CSVVal&lt;&gt;"",_xlpm.CSVVal
)),"")</f>
        <v/>
      </c>
      <c r="E1301" s="40" t="str">
        <f>_xlfn.XLOOKUP(A1301,My_Audit!A:A,My_Audit!D:D,"")</f>
        <v/>
      </c>
      <c r="F1301" s="40" t="str" cm="1">
        <f t="array" ref="F1301">IFERROR(_xlfn.LET(
_xlpm.CSVVal,_xlfn.XLOOKUP($A1301,CSV!$A:$A,CSV!F:F,""),
_xlpm.MacVal,_xlfn.XLOOKUP($A1301,Output_Mac!$A:$A,Output_Mac!E:E,""),
_xlpm.MyAuditVal,_xlfn.XLOOKUP($A1301,My_Audit!$A:$A,My_Audit!E:E,""),
_xlfn.IFS(_xlpm.MyAuditVal&lt;&gt;"",_xlpm.MyAuditVal,_xlpm.MacVal&lt;&gt;"",_xlpm.MacVal,_xlpm.CSVVal&lt;&gt;"",_xlpm.CSVVal
)),"")</f>
        <v/>
      </c>
      <c r="G1301" s="40" t="str" cm="1">
        <f t="array" ref="G1301">IFERROR(_xlfn.LET(
_xlpm.CSVVal,_xlfn.XLOOKUP($A1301,CSV!$A:$A,CSV!G:G,""),
_xlpm.MacVal,_xlfn.XLOOKUP($A1301,Output_Mac!$A:$A,Output_Mac!F:F,""),
_xlpm.MyAuditVal,_xlfn.XLOOKUP($A1301,My_Audit!$A:$A,My_Audit!F:F,""),
_xlfn.IFS(_xlpm.MyAuditVal&lt;&gt;"",_xlpm.MyAuditVal,_xlpm.MacVal&lt;&gt;"",_xlpm.MacVal,_xlpm.CSVVal&lt;&gt;"",PROPER(_xlpm.CSVVal)
)),"")</f>
        <v/>
      </c>
      <c r="H1301" s="40" t="str" cm="1">
        <f t="array" ref="H1301">IFERROR(_xlfn.LET(
_xlpm.CSVVal,_xlfn.XLOOKUP($A1301,CSV!$A:$A,CSV!H:H,""),
_xlpm.MacVal,_xlfn.XLOOKUP($A1301,Output_Mac!$A:$A,Output_Mac!H:H,""),
_xlpm.MyAuditVal,_xlfn.XLOOKUP($A1301,My_Audit!$A:$A,My_Audit!G:G,""),
_xlfn.IFS(_xlpm.MyAuditVal&lt;&gt;"",_xlpm.MyAuditVal,_xlpm.MacVal&lt;&gt;"",_xlpm.MacVal,_xlpm.CSVVal&lt;&gt;"",_xlpm.CSVVal
)),"")</f>
        <v/>
      </c>
      <c r="I1301" s="40" t="str">
        <f>_xlfn.XLOOKUP(A1301,Output_Mac!A:A,Output_Mac!I:I,"")</f>
        <v/>
      </c>
      <c r="J1301" s="40" t="str" cm="1">
        <f t="array" ref="J1301">IFERROR(_xlfn.LET(
_xlpm.CSVVal,_xlfn.XLOOKUP($A1301,CSV!$A:$A,CSV!I:I,""),
_xlpm.MacVal,_xlfn.XLOOKUP($A1301,Output_Mac!$A:$A,Output_Mac!J:J,""),
_xlpm.MyAuditVal,_xlfn.XLOOKUP($A1301,My_Audit!$A:$A,My_Audit!I:I,""),
_xlfn.IFS(_xlpm.MyAuditVal&lt;&gt;"",UPPER(_xlpm.MyAuditVal),_xlpm.MacVal&lt;&gt;"",_xlpm.MacVal,_xlpm.CSVVal&lt;&gt;"",_xlpm.CSVVal
)),"")</f>
        <v/>
      </c>
      <c r="K1301" s="40" t="str" cm="1">
        <f t="array" ref="K1301">IFERROR(_xlfn.LET(
_xlpm.CSVVal,_xlfn.XLOOKUP($A1301,CSV!$A:$A,CSV!K:K,""),
_xlpm.MacVal,_xlfn.XLOOKUP($A1301,Output_Mac!$A:$A,Output_Mac!K:K,""),
_xlpm.MyAuditVal,_xlfn.XLOOKUP($A1301,My_Audit!$A:$A,My_Audit!J:J,""),
_xlfn.IFS(_xlpm.MyAuditVal&lt;&gt;"",UPPER(_xlpm.MyAuditVal),_xlpm.MacVal&lt;&gt;"",_xlpm.MacVal,_xlpm.CSVVal&lt;&gt;"",_xlpm.CSVVal
)),"")</f>
        <v/>
      </c>
      <c r="L1301" s="40" t="str" cm="1">
        <f t="array" ref="L1301">IFERROR(_xlfn.LET(
_xlpm.CSVVal,_xlfn.XLOOKUP($A1301,CSV!$A:$A,CSV!P:P,""),
_xlpm.MacVal,_xlfn.XLOOKUP($A1301,Output_Mac!$A:$A,Output_Mac!L:L,""),
_xlpm.MyAuditVal,_xlfn.XLOOKUP($A1301,My_Audit!$A:$A,My_Audit!K:K,""),
_xlfn.IFS(_xlpm.MyAuditVal&lt;&gt;"",UPPER(_xlpm.MyAuditVal),_xlpm.MacVal&lt;&gt;"",_xlpm.MacVal,_xlpm.CSVVal&lt;&gt;"",_xlpm.CSVVal
)),"")</f>
        <v/>
      </c>
      <c r="M1301" s="40" t="str" cm="1">
        <f t="array" ref="M1301">IFERROR(_xlfn.LET(
_xlpm.CSVVal,_xlfn.XLOOKUP($A1301,CSV!$A:$A,CSV!Q:Q,""),
_xlpm.MacVal,_xlfn.XLOOKUP($A1301,Output_Mac!$A:$A,Output_Mac!M:M,""),
_xlpm.MyAuditVal,_xlfn.XLOOKUP($A1301,My_Audit!$A:$A,My_Audit!L:L,""),
_xlfn.IFS(_xlpm.MyAuditVal&lt;&gt;"",UPPER(_xlpm.MyAuditVal),_xlpm.MacVal&lt;&gt;"",_xlpm.MacVal,_xlpm.CSVVal&lt;&gt;"",_xlpm.CSVVal
)),"")</f>
        <v/>
      </c>
      <c r="N1301" s="40"/>
      <c r="O1301" s="40" t="str">
        <f>_xlfn.LET(
    _xlpm.CSVVal, _xlfn.XLOOKUP($A1301, CSV!$A:$A, CSV!AA:AA, ""),
    _xlpm.MacVal, _xlfn.XLOOKUP($A1301, Output_Mac!$A:$A, Output_Mac!S:S, ""),
    _xlpm.MyAuditVal, _xlfn.XLOOKUP($A1301, My_Audit!$A:$A, My_Audit!P:P, ""),
    _xlfn.TEXTJOIN(", ", TRUE, _xlpm.MyAuditVal, _xlpm.MacVal, _xlpm.CSVVal)
)</f>
        <v/>
      </c>
      <c r="P1301" s="40" t="str" cm="1">
        <f t="array" ref="P1301">IFERROR(_xlfn.LET(
_xlpm.CSVVal,_xlfn.XLOOKUP($A1301,CSV!$A:$A,CSV!AB:AB,""),
_xlpm.MacVal,_xlfn.XLOOKUP($A1301,Output_Mac!$A:$A,Output_Mac!T:T,""),
_xlpm.MyAuditVal,_xlfn.XLOOKUP($A1301,My_Audit!$A:$A,My_Audit!Q:Q,""),
_xlfn.IFS(_xlpm.MyAuditVal&lt;&gt;"",UPPER(_xlpm.MyAuditVal),_xlpm.MacVal&lt;&gt;"",_xlpm.MacVal,_xlpm.CSVVal&lt;&gt;"",_xlpm.CSVVal
)),"No")</f>
        <v>No</v>
      </c>
      <c r="Q1301" s="40" t="str" cm="1">
        <f t="array" ref="Q1301">IFERROR(_xlfn.LET(
_xlpm.CSVVal,_xlfn.XLOOKUP($A1301,CSV!$A:$A,CSV!AC:AC,""),
_xlpm.MacVal,_xlfn.XLOOKUP($A1301,Output_Mac!$A:$A,Output_Mac!U:U,""),
_xlpm.MyAuditVal,_xlfn.XLOOKUP($A1301,My_Audit!$A:$A,My_Audit!R:R,""),
_xlfn.IFS(_xlpm.MyAuditVal&lt;&gt;"",UPPER(_xlpm.MyAuditVal),_xlpm.MacVal&lt;&gt;"",_xlpm.MacVal,_xlpm.CSVVal&lt;&gt;"",_xlpm.CSVVal
)),"")</f>
        <v/>
      </c>
      <c r="R1301" s="40"/>
      <c r="S1301" s="40"/>
      <c r="T1301" s="40"/>
      <c r="U1301" s="40"/>
      <c r="V1301" s="40"/>
      <c r="W1301" s="40"/>
      <c r="X1301" s="41" t="str">
        <f>_xlfn.LET(
    _xlpm.MacVal, _xlfn.XLOOKUP($A1301, Output_Mac!$A:$A, Output_Mac!AB:AB, ""),
    _xlpm.MyAuditVal, _xlfn.XLOOKUP($A1301, My_Audit!$A:$A, My_Audit!N:N, ""),
    _xlfn.TEXTJOIN(", ", TRUE, _xlpm.MyAuditVal, _xlpm.MacVal)
)</f>
        <v/>
      </c>
    </row>
    <row r="1302" spans="1:24">
      <c r="A1302" s="40" t="str">
        <f>_xlfn.TEXTJOIN("",TRUE,Input!$B$2,ROW(My_Audit!A1301))</f>
        <v>X1301</v>
      </c>
      <c r="B1302" s="40" t="str">
        <f>_xlfn.TEXTJOIN("-",TRUE,"ITD",Input!$A$2,A1302)</f>
        <v>ITD-X1301</v>
      </c>
      <c r="C1302" s="40" t="str" cm="1">
        <f t="array" ref="C1302">IFERROR(_xlfn.LET(
_xlpm.CSVVal,_xlfn.XLOOKUP($A1302,CSV!$A:$A,CSV!B:B,""),
_xlpm.MacVal,_xlfn.XLOOKUP($A1302,Output_Mac!$A:$A,Output_Mac!B:B,""),
_xlpm.MyAuditVal,_xlfn.XLOOKUP($A1302,My_Audit!$A:$A,My_Audit!B:B,""),
_xlfn.IFS(_xlpm.MyAuditVal&lt;&gt;"",UPPER(_xlpm.MyAuditVal),_xlpm.MacVal&lt;&gt;"",_xlpm.MacVal,_xlpm.CSVVal&lt;&gt;"",_xlpm.CSVVal
)),"")</f>
        <v/>
      </c>
      <c r="D1302" s="40" t="str" cm="1">
        <f t="array" ref="D1302">IFERROR(_xlfn.LET(
_xlpm.CSVVal,_xlfn.XLOOKUP($A1302,CSV!$A:$A,CSV!D:D,""),
_xlpm.MacVal,_xlfn.XLOOKUP($A1302,Output_Mac!$A:$A,Output_Mac!C:C,""),
_xlpm.MyAuditVal,_xlfn.XLOOKUP($A1302,My_Audit!$A:$A,My_Audit!C:C,""),
_xlfn.IFS(_xlpm.MyAuditVal&lt;&gt;"",_xlpm.MyAuditVal,_xlpm.MacVal&lt;&gt;"",_xlpm.MacVal,_xlpm.CSVVal&lt;&gt;"",_xlpm.CSVVal
)),"")</f>
        <v/>
      </c>
      <c r="E1302" s="40" t="str">
        <f>_xlfn.XLOOKUP(A1302,My_Audit!A:A,My_Audit!D:D,"")</f>
        <v/>
      </c>
      <c r="F1302" s="40" t="str" cm="1">
        <f t="array" ref="F1302">IFERROR(_xlfn.LET(
_xlpm.CSVVal,_xlfn.XLOOKUP($A1302,CSV!$A:$A,CSV!F:F,""),
_xlpm.MacVal,_xlfn.XLOOKUP($A1302,Output_Mac!$A:$A,Output_Mac!E:E,""),
_xlpm.MyAuditVal,_xlfn.XLOOKUP($A1302,My_Audit!$A:$A,My_Audit!E:E,""),
_xlfn.IFS(_xlpm.MyAuditVal&lt;&gt;"",_xlpm.MyAuditVal,_xlpm.MacVal&lt;&gt;"",_xlpm.MacVal,_xlpm.CSVVal&lt;&gt;"",_xlpm.CSVVal
)),"")</f>
        <v/>
      </c>
      <c r="G1302" s="40" t="str" cm="1">
        <f t="array" ref="G1302">IFERROR(_xlfn.LET(
_xlpm.CSVVal,_xlfn.XLOOKUP($A1302,CSV!$A:$A,CSV!G:G,""),
_xlpm.MacVal,_xlfn.XLOOKUP($A1302,Output_Mac!$A:$A,Output_Mac!F:F,""),
_xlpm.MyAuditVal,_xlfn.XLOOKUP($A1302,My_Audit!$A:$A,My_Audit!F:F,""),
_xlfn.IFS(_xlpm.MyAuditVal&lt;&gt;"",_xlpm.MyAuditVal,_xlpm.MacVal&lt;&gt;"",_xlpm.MacVal,_xlpm.CSVVal&lt;&gt;"",PROPER(_xlpm.CSVVal)
)),"")</f>
        <v/>
      </c>
      <c r="H1302" s="40" t="str" cm="1">
        <f t="array" ref="H1302">IFERROR(_xlfn.LET(
_xlpm.CSVVal,_xlfn.XLOOKUP($A1302,CSV!$A:$A,CSV!H:H,""),
_xlpm.MacVal,_xlfn.XLOOKUP($A1302,Output_Mac!$A:$A,Output_Mac!H:H,""),
_xlpm.MyAuditVal,_xlfn.XLOOKUP($A1302,My_Audit!$A:$A,My_Audit!G:G,""),
_xlfn.IFS(_xlpm.MyAuditVal&lt;&gt;"",_xlpm.MyAuditVal,_xlpm.MacVal&lt;&gt;"",_xlpm.MacVal,_xlpm.CSVVal&lt;&gt;"",_xlpm.CSVVal
)),"")</f>
        <v/>
      </c>
      <c r="I1302" s="40" t="str">
        <f>_xlfn.XLOOKUP(A1302,Output_Mac!A:A,Output_Mac!I:I,"")</f>
        <v/>
      </c>
      <c r="J1302" s="40" t="str" cm="1">
        <f t="array" ref="J1302">IFERROR(_xlfn.LET(
_xlpm.CSVVal,_xlfn.XLOOKUP($A1302,CSV!$A:$A,CSV!I:I,""),
_xlpm.MacVal,_xlfn.XLOOKUP($A1302,Output_Mac!$A:$A,Output_Mac!J:J,""),
_xlpm.MyAuditVal,_xlfn.XLOOKUP($A1302,My_Audit!$A:$A,My_Audit!I:I,""),
_xlfn.IFS(_xlpm.MyAuditVal&lt;&gt;"",UPPER(_xlpm.MyAuditVal),_xlpm.MacVal&lt;&gt;"",_xlpm.MacVal,_xlpm.CSVVal&lt;&gt;"",_xlpm.CSVVal
)),"")</f>
        <v/>
      </c>
      <c r="K1302" s="40" t="str" cm="1">
        <f t="array" ref="K1302">IFERROR(_xlfn.LET(
_xlpm.CSVVal,_xlfn.XLOOKUP($A1302,CSV!$A:$A,CSV!K:K,""),
_xlpm.MacVal,_xlfn.XLOOKUP($A1302,Output_Mac!$A:$A,Output_Mac!K:K,""),
_xlpm.MyAuditVal,_xlfn.XLOOKUP($A1302,My_Audit!$A:$A,My_Audit!J:J,""),
_xlfn.IFS(_xlpm.MyAuditVal&lt;&gt;"",UPPER(_xlpm.MyAuditVal),_xlpm.MacVal&lt;&gt;"",_xlpm.MacVal,_xlpm.CSVVal&lt;&gt;"",_xlpm.CSVVal
)),"")</f>
        <v/>
      </c>
      <c r="L1302" s="40" t="str" cm="1">
        <f t="array" ref="L1302">IFERROR(_xlfn.LET(
_xlpm.CSVVal,_xlfn.XLOOKUP($A1302,CSV!$A:$A,CSV!P:P,""),
_xlpm.MacVal,_xlfn.XLOOKUP($A1302,Output_Mac!$A:$A,Output_Mac!L:L,""),
_xlpm.MyAuditVal,_xlfn.XLOOKUP($A1302,My_Audit!$A:$A,My_Audit!K:K,""),
_xlfn.IFS(_xlpm.MyAuditVal&lt;&gt;"",UPPER(_xlpm.MyAuditVal),_xlpm.MacVal&lt;&gt;"",_xlpm.MacVal,_xlpm.CSVVal&lt;&gt;"",_xlpm.CSVVal
)),"")</f>
        <v/>
      </c>
      <c r="M1302" s="40" t="str" cm="1">
        <f t="array" ref="M1302">IFERROR(_xlfn.LET(
_xlpm.CSVVal,_xlfn.XLOOKUP($A1302,CSV!$A:$A,CSV!Q:Q,""),
_xlpm.MacVal,_xlfn.XLOOKUP($A1302,Output_Mac!$A:$A,Output_Mac!M:M,""),
_xlpm.MyAuditVal,_xlfn.XLOOKUP($A1302,My_Audit!$A:$A,My_Audit!L:L,""),
_xlfn.IFS(_xlpm.MyAuditVal&lt;&gt;"",UPPER(_xlpm.MyAuditVal),_xlpm.MacVal&lt;&gt;"",_xlpm.MacVal,_xlpm.CSVVal&lt;&gt;"",_xlpm.CSVVal
)),"")</f>
        <v/>
      </c>
      <c r="N1302" s="40"/>
      <c r="O1302" s="40" t="str">
        <f>_xlfn.LET(
    _xlpm.CSVVal, _xlfn.XLOOKUP($A1302, CSV!$A:$A, CSV!AA:AA, ""),
    _xlpm.MacVal, _xlfn.XLOOKUP($A1302, Output_Mac!$A:$A, Output_Mac!S:S, ""),
    _xlpm.MyAuditVal, _xlfn.XLOOKUP($A1302, My_Audit!$A:$A, My_Audit!P:P, ""),
    _xlfn.TEXTJOIN(", ", TRUE, _xlpm.MyAuditVal, _xlpm.MacVal, _xlpm.CSVVal)
)</f>
        <v/>
      </c>
      <c r="P1302" s="40" t="str" cm="1">
        <f t="array" ref="P1302">IFERROR(_xlfn.LET(
_xlpm.CSVVal,_xlfn.XLOOKUP($A1302,CSV!$A:$A,CSV!AB:AB,""),
_xlpm.MacVal,_xlfn.XLOOKUP($A1302,Output_Mac!$A:$A,Output_Mac!T:T,""),
_xlpm.MyAuditVal,_xlfn.XLOOKUP($A1302,My_Audit!$A:$A,My_Audit!Q:Q,""),
_xlfn.IFS(_xlpm.MyAuditVal&lt;&gt;"",UPPER(_xlpm.MyAuditVal),_xlpm.MacVal&lt;&gt;"",_xlpm.MacVal,_xlpm.CSVVal&lt;&gt;"",_xlpm.CSVVal
)),"No")</f>
        <v>No</v>
      </c>
      <c r="Q1302" s="40" t="str" cm="1">
        <f t="array" ref="Q1302">IFERROR(_xlfn.LET(
_xlpm.CSVVal,_xlfn.XLOOKUP($A1302,CSV!$A:$A,CSV!AC:AC,""),
_xlpm.MacVal,_xlfn.XLOOKUP($A1302,Output_Mac!$A:$A,Output_Mac!U:U,""),
_xlpm.MyAuditVal,_xlfn.XLOOKUP($A1302,My_Audit!$A:$A,My_Audit!R:R,""),
_xlfn.IFS(_xlpm.MyAuditVal&lt;&gt;"",UPPER(_xlpm.MyAuditVal),_xlpm.MacVal&lt;&gt;"",_xlpm.MacVal,_xlpm.CSVVal&lt;&gt;"",_xlpm.CSVVal
)),"")</f>
        <v/>
      </c>
      <c r="R1302" s="40"/>
      <c r="S1302" s="40"/>
      <c r="T1302" s="40"/>
      <c r="U1302" s="40"/>
      <c r="V1302" s="40"/>
      <c r="W1302" s="40"/>
      <c r="X1302" s="41" t="str">
        <f>_xlfn.LET(
    _xlpm.MacVal, _xlfn.XLOOKUP($A1302, Output_Mac!$A:$A, Output_Mac!AB:AB, ""),
    _xlpm.MyAuditVal, _xlfn.XLOOKUP($A1302, My_Audit!$A:$A, My_Audit!N:N, ""),
    _xlfn.TEXTJOIN(", ", TRUE, _xlpm.MyAuditVal, _xlpm.MacVal)
)</f>
        <v/>
      </c>
    </row>
    <row r="1303" spans="1:24">
      <c r="A1303" s="40" t="str">
        <f>_xlfn.TEXTJOIN("",TRUE,Input!$B$2,ROW(My_Audit!A1302))</f>
        <v>X1302</v>
      </c>
      <c r="B1303" s="40" t="str">
        <f>_xlfn.TEXTJOIN("-",TRUE,"ITD",Input!$A$2,A1303)</f>
        <v>ITD-X1302</v>
      </c>
      <c r="C1303" s="40" t="str" cm="1">
        <f t="array" ref="C1303">IFERROR(_xlfn.LET(
_xlpm.CSVVal,_xlfn.XLOOKUP($A1303,CSV!$A:$A,CSV!B:B,""),
_xlpm.MacVal,_xlfn.XLOOKUP($A1303,Output_Mac!$A:$A,Output_Mac!B:B,""),
_xlpm.MyAuditVal,_xlfn.XLOOKUP($A1303,My_Audit!$A:$A,My_Audit!B:B,""),
_xlfn.IFS(_xlpm.MyAuditVal&lt;&gt;"",UPPER(_xlpm.MyAuditVal),_xlpm.MacVal&lt;&gt;"",_xlpm.MacVal,_xlpm.CSVVal&lt;&gt;"",_xlpm.CSVVal
)),"")</f>
        <v/>
      </c>
      <c r="D1303" s="40" t="str" cm="1">
        <f t="array" ref="D1303">IFERROR(_xlfn.LET(
_xlpm.CSVVal,_xlfn.XLOOKUP($A1303,CSV!$A:$A,CSV!D:D,""),
_xlpm.MacVal,_xlfn.XLOOKUP($A1303,Output_Mac!$A:$A,Output_Mac!C:C,""),
_xlpm.MyAuditVal,_xlfn.XLOOKUP($A1303,My_Audit!$A:$A,My_Audit!C:C,""),
_xlfn.IFS(_xlpm.MyAuditVal&lt;&gt;"",_xlpm.MyAuditVal,_xlpm.MacVal&lt;&gt;"",_xlpm.MacVal,_xlpm.CSVVal&lt;&gt;"",_xlpm.CSVVal
)),"")</f>
        <v/>
      </c>
      <c r="E1303" s="40" t="str">
        <f>_xlfn.XLOOKUP(A1303,My_Audit!A:A,My_Audit!D:D,"")</f>
        <v/>
      </c>
      <c r="F1303" s="40" t="str" cm="1">
        <f t="array" ref="F1303">IFERROR(_xlfn.LET(
_xlpm.CSVVal,_xlfn.XLOOKUP($A1303,CSV!$A:$A,CSV!F:F,""),
_xlpm.MacVal,_xlfn.XLOOKUP($A1303,Output_Mac!$A:$A,Output_Mac!E:E,""),
_xlpm.MyAuditVal,_xlfn.XLOOKUP($A1303,My_Audit!$A:$A,My_Audit!E:E,""),
_xlfn.IFS(_xlpm.MyAuditVal&lt;&gt;"",_xlpm.MyAuditVal,_xlpm.MacVal&lt;&gt;"",_xlpm.MacVal,_xlpm.CSVVal&lt;&gt;"",_xlpm.CSVVal
)),"")</f>
        <v/>
      </c>
      <c r="G1303" s="40" t="str" cm="1">
        <f t="array" ref="G1303">IFERROR(_xlfn.LET(
_xlpm.CSVVal,_xlfn.XLOOKUP($A1303,CSV!$A:$A,CSV!G:G,""),
_xlpm.MacVal,_xlfn.XLOOKUP($A1303,Output_Mac!$A:$A,Output_Mac!F:F,""),
_xlpm.MyAuditVal,_xlfn.XLOOKUP($A1303,My_Audit!$A:$A,My_Audit!F:F,""),
_xlfn.IFS(_xlpm.MyAuditVal&lt;&gt;"",_xlpm.MyAuditVal,_xlpm.MacVal&lt;&gt;"",_xlpm.MacVal,_xlpm.CSVVal&lt;&gt;"",PROPER(_xlpm.CSVVal)
)),"")</f>
        <v/>
      </c>
      <c r="H1303" s="40" t="str" cm="1">
        <f t="array" ref="H1303">IFERROR(_xlfn.LET(
_xlpm.CSVVal,_xlfn.XLOOKUP($A1303,CSV!$A:$A,CSV!H:H,""),
_xlpm.MacVal,_xlfn.XLOOKUP($A1303,Output_Mac!$A:$A,Output_Mac!H:H,""),
_xlpm.MyAuditVal,_xlfn.XLOOKUP($A1303,My_Audit!$A:$A,My_Audit!G:G,""),
_xlfn.IFS(_xlpm.MyAuditVal&lt;&gt;"",_xlpm.MyAuditVal,_xlpm.MacVal&lt;&gt;"",_xlpm.MacVal,_xlpm.CSVVal&lt;&gt;"",_xlpm.CSVVal
)),"")</f>
        <v/>
      </c>
      <c r="I1303" s="40" t="str">
        <f>_xlfn.XLOOKUP(A1303,Output_Mac!A:A,Output_Mac!I:I,"")</f>
        <v/>
      </c>
      <c r="J1303" s="40" t="str" cm="1">
        <f t="array" ref="J1303">IFERROR(_xlfn.LET(
_xlpm.CSVVal,_xlfn.XLOOKUP($A1303,CSV!$A:$A,CSV!I:I,""),
_xlpm.MacVal,_xlfn.XLOOKUP($A1303,Output_Mac!$A:$A,Output_Mac!J:J,""),
_xlpm.MyAuditVal,_xlfn.XLOOKUP($A1303,My_Audit!$A:$A,My_Audit!I:I,""),
_xlfn.IFS(_xlpm.MyAuditVal&lt;&gt;"",UPPER(_xlpm.MyAuditVal),_xlpm.MacVal&lt;&gt;"",_xlpm.MacVal,_xlpm.CSVVal&lt;&gt;"",_xlpm.CSVVal
)),"")</f>
        <v/>
      </c>
      <c r="K1303" s="40" t="str" cm="1">
        <f t="array" ref="K1303">IFERROR(_xlfn.LET(
_xlpm.CSVVal,_xlfn.XLOOKUP($A1303,CSV!$A:$A,CSV!K:K,""),
_xlpm.MacVal,_xlfn.XLOOKUP($A1303,Output_Mac!$A:$A,Output_Mac!K:K,""),
_xlpm.MyAuditVal,_xlfn.XLOOKUP($A1303,My_Audit!$A:$A,My_Audit!J:J,""),
_xlfn.IFS(_xlpm.MyAuditVal&lt;&gt;"",UPPER(_xlpm.MyAuditVal),_xlpm.MacVal&lt;&gt;"",_xlpm.MacVal,_xlpm.CSVVal&lt;&gt;"",_xlpm.CSVVal
)),"")</f>
        <v/>
      </c>
      <c r="L1303" s="40" t="str" cm="1">
        <f t="array" ref="L1303">IFERROR(_xlfn.LET(
_xlpm.CSVVal,_xlfn.XLOOKUP($A1303,CSV!$A:$A,CSV!P:P,""),
_xlpm.MacVal,_xlfn.XLOOKUP($A1303,Output_Mac!$A:$A,Output_Mac!L:L,""),
_xlpm.MyAuditVal,_xlfn.XLOOKUP($A1303,My_Audit!$A:$A,My_Audit!K:K,""),
_xlfn.IFS(_xlpm.MyAuditVal&lt;&gt;"",UPPER(_xlpm.MyAuditVal),_xlpm.MacVal&lt;&gt;"",_xlpm.MacVal,_xlpm.CSVVal&lt;&gt;"",_xlpm.CSVVal
)),"")</f>
        <v/>
      </c>
      <c r="M1303" s="40" t="str" cm="1">
        <f t="array" ref="M1303">IFERROR(_xlfn.LET(
_xlpm.CSVVal,_xlfn.XLOOKUP($A1303,CSV!$A:$A,CSV!Q:Q,""),
_xlpm.MacVal,_xlfn.XLOOKUP($A1303,Output_Mac!$A:$A,Output_Mac!M:M,""),
_xlpm.MyAuditVal,_xlfn.XLOOKUP($A1303,My_Audit!$A:$A,My_Audit!L:L,""),
_xlfn.IFS(_xlpm.MyAuditVal&lt;&gt;"",UPPER(_xlpm.MyAuditVal),_xlpm.MacVal&lt;&gt;"",_xlpm.MacVal,_xlpm.CSVVal&lt;&gt;"",_xlpm.CSVVal
)),"")</f>
        <v/>
      </c>
      <c r="N1303" s="40"/>
      <c r="O1303" s="40" t="str">
        <f>_xlfn.LET(
    _xlpm.CSVVal, _xlfn.XLOOKUP($A1303, CSV!$A:$A, CSV!AA:AA, ""),
    _xlpm.MacVal, _xlfn.XLOOKUP($A1303, Output_Mac!$A:$A, Output_Mac!S:S, ""),
    _xlpm.MyAuditVal, _xlfn.XLOOKUP($A1303, My_Audit!$A:$A, My_Audit!P:P, ""),
    _xlfn.TEXTJOIN(", ", TRUE, _xlpm.MyAuditVal, _xlpm.MacVal, _xlpm.CSVVal)
)</f>
        <v/>
      </c>
      <c r="P1303" s="40" t="str" cm="1">
        <f t="array" ref="P1303">IFERROR(_xlfn.LET(
_xlpm.CSVVal,_xlfn.XLOOKUP($A1303,CSV!$A:$A,CSV!AB:AB,""),
_xlpm.MacVal,_xlfn.XLOOKUP($A1303,Output_Mac!$A:$A,Output_Mac!T:T,""),
_xlpm.MyAuditVal,_xlfn.XLOOKUP($A1303,My_Audit!$A:$A,My_Audit!Q:Q,""),
_xlfn.IFS(_xlpm.MyAuditVal&lt;&gt;"",UPPER(_xlpm.MyAuditVal),_xlpm.MacVal&lt;&gt;"",_xlpm.MacVal,_xlpm.CSVVal&lt;&gt;"",_xlpm.CSVVal
)),"No")</f>
        <v>No</v>
      </c>
      <c r="Q1303" s="40" t="str" cm="1">
        <f t="array" ref="Q1303">IFERROR(_xlfn.LET(
_xlpm.CSVVal,_xlfn.XLOOKUP($A1303,CSV!$A:$A,CSV!AC:AC,""),
_xlpm.MacVal,_xlfn.XLOOKUP($A1303,Output_Mac!$A:$A,Output_Mac!U:U,""),
_xlpm.MyAuditVal,_xlfn.XLOOKUP($A1303,My_Audit!$A:$A,My_Audit!R:R,""),
_xlfn.IFS(_xlpm.MyAuditVal&lt;&gt;"",UPPER(_xlpm.MyAuditVal),_xlpm.MacVal&lt;&gt;"",_xlpm.MacVal,_xlpm.CSVVal&lt;&gt;"",_xlpm.CSVVal
)),"")</f>
        <v/>
      </c>
      <c r="R1303" s="40"/>
      <c r="S1303" s="40"/>
      <c r="T1303" s="40"/>
      <c r="U1303" s="40"/>
      <c r="V1303" s="40"/>
      <c r="W1303" s="40"/>
      <c r="X1303" s="41" t="str">
        <f>_xlfn.LET(
    _xlpm.MacVal, _xlfn.XLOOKUP($A1303, Output_Mac!$A:$A, Output_Mac!AB:AB, ""),
    _xlpm.MyAuditVal, _xlfn.XLOOKUP($A1303, My_Audit!$A:$A, My_Audit!N:N, ""),
    _xlfn.TEXTJOIN(", ", TRUE, _xlpm.MyAuditVal, _xlpm.MacVal)
)</f>
        <v/>
      </c>
    </row>
    <row r="1304" spans="1:24">
      <c r="A1304" s="40" t="str">
        <f>_xlfn.TEXTJOIN("",TRUE,Input!$B$2,ROW(My_Audit!A1303))</f>
        <v>X1303</v>
      </c>
      <c r="B1304" s="40" t="str">
        <f>_xlfn.TEXTJOIN("-",TRUE,"ITD",Input!$A$2,A1304)</f>
        <v>ITD-X1303</v>
      </c>
      <c r="C1304" s="40" t="str" cm="1">
        <f t="array" ref="C1304">IFERROR(_xlfn.LET(
_xlpm.CSVVal,_xlfn.XLOOKUP($A1304,CSV!$A:$A,CSV!B:B,""),
_xlpm.MacVal,_xlfn.XLOOKUP($A1304,Output_Mac!$A:$A,Output_Mac!B:B,""),
_xlpm.MyAuditVal,_xlfn.XLOOKUP($A1304,My_Audit!$A:$A,My_Audit!B:B,""),
_xlfn.IFS(_xlpm.MyAuditVal&lt;&gt;"",UPPER(_xlpm.MyAuditVal),_xlpm.MacVal&lt;&gt;"",_xlpm.MacVal,_xlpm.CSVVal&lt;&gt;"",_xlpm.CSVVal
)),"")</f>
        <v/>
      </c>
      <c r="D1304" s="40" t="str" cm="1">
        <f t="array" ref="D1304">IFERROR(_xlfn.LET(
_xlpm.CSVVal,_xlfn.XLOOKUP($A1304,CSV!$A:$A,CSV!D:D,""),
_xlpm.MacVal,_xlfn.XLOOKUP($A1304,Output_Mac!$A:$A,Output_Mac!C:C,""),
_xlpm.MyAuditVal,_xlfn.XLOOKUP($A1304,My_Audit!$A:$A,My_Audit!C:C,""),
_xlfn.IFS(_xlpm.MyAuditVal&lt;&gt;"",_xlpm.MyAuditVal,_xlpm.MacVal&lt;&gt;"",_xlpm.MacVal,_xlpm.CSVVal&lt;&gt;"",_xlpm.CSVVal
)),"")</f>
        <v/>
      </c>
      <c r="E1304" s="40" t="str">
        <f>_xlfn.XLOOKUP(A1304,My_Audit!A:A,My_Audit!D:D,"")</f>
        <v/>
      </c>
      <c r="F1304" s="40" t="str" cm="1">
        <f t="array" ref="F1304">IFERROR(_xlfn.LET(
_xlpm.CSVVal,_xlfn.XLOOKUP($A1304,CSV!$A:$A,CSV!F:F,""),
_xlpm.MacVal,_xlfn.XLOOKUP($A1304,Output_Mac!$A:$A,Output_Mac!E:E,""),
_xlpm.MyAuditVal,_xlfn.XLOOKUP($A1304,My_Audit!$A:$A,My_Audit!E:E,""),
_xlfn.IFS(_xlpm.MyAuditVal&lt;&gt;"",_xlpm.MyAuditVal,_xlpm.MacVal&lt;&gt;"",_xlpm.MacVal,_xlpm.CSVVal&lt;&gt;"",_xlpm.CSVVal
)),"")</f>
        <v/>
      </c>
      <c r="G1304" s="40" t="str" cm="1">
        <f t="array" ref="G1304">IFERROR(_xlfn.LET(
_xlpm.CSVVal,_xlfn.XLOOKUP($A1304,CSV!$A:$A,CSV!G:G,""),
_xlpm.MacVal,_xlfn.XLOOKUP($A1304,Output_Mac!$A:$A,Output_Mac!F:F,""),
_xlpm.MyAuditVal,_xlfn.XLOOKUP($A1304,My_Audit!$A:$A,My_Audit!F:F,""),
_xlfn.IFS(_xlpm.MyAuditVal&lt;&gt;"",_xlpm.MyAuditVal,_xlpm.MacVal&lt;&gt;"",_xlpm.MacVal,_xlpm.CSVVal&lt;&gt;"",PROPER(_xlpm.CSVVal)
)),"")</f>
        <v/>
      </c>
      <c r="H1304" s="40" t="str" cm="1">
        <f t="array" ref="H1304">IFERROR(_xlfn.LET(
_xlpm.CSVVal,_xlfn.XLOOKUP($A1304,CSV!$A:$A,CSV!H:H,""),
_xlpm.MacVal,_xlfn.XLOOKUP($A1304,Output_Mac!$A:$A,Output_Mac!H:H,""),
_xlpm.MyAuditVal,_xlfn.XLOOKUP($A1304,My_Audit!$A:$A,My_Audit!G:G,""),
_xlfn.IFS(_xlpm.MyAuditVal&lt;&gt;"",_xlpm.MyAuditVal,_xlpm.MacVal&lt;&gt;"",_xlpm.MacVal,_xlpm.CSVVal&lt;&gt;"",_xlpm.CSVVal
)),"")</f>
        <v/>
      </c>
      <c r="I1304" s="40" t="str">
        <f>_xlfn.XLOOKUP(A1304,Output_Mac!A:A,Output_Mac!I:I,"")</f>
        <v/>
      </c>
      <c r="J1304" s="40" t="str" cm="1">
        <f t="array" ref="J1304">IFERROR(_xlfn.LET(
_xlpm.CSVVal,_xlfn.XLOOKUP($A1304,CSV!$A:$A,CSV!I:I,""),
_xlpm.MacVal,_xlfn.XLOOKUP($A1304,Output_Mac!$A:$A,Output_Mac!J:J,""),
_xlpm.MyAuditVal,_xlfn.XLOOKUP($A1304,My_Audit!$A:$A,My_Audit!I:I,""),
_xlfn.IFS(_xlpm.MyAuditVal&lt;&gt;"",UPPER(_xlpm.MyAuditVal),_xlpm.MacVal&lt;&gt;"",_xlpm.MacVal,_xlpm.CSVVal&lt;&gt;"",_xlpm.CSVVal
)),"")</f>
        <v/>
      </c>
      <c r="K1304" s="40" t="str" cm="1">
        <f t="array" ref="K1304">IFERROR(_xlfn.LET(
_xlpm.CSVVal,_xlfn.XLOOKUP($A1304,CSV!$A:$A,CSV!K:K,""),
_xlpm.MacVal,_xlfn.XLOOKUP($A1304,Output_Mac!$A:$A,Output_Mac!K:K,""),
_xlpm.MyAuditVal,_xlfn.XLOOKUP($A1304,My_Audit!$A:$A,My_Audit!J:J,""),
_xlfn.IFS(_xlpm.MyAuditVal&lt;&gt;"",UPPER(_xlpm.MyAuditVal),_xlpm.MacVal&lt;&gt;"",_xlpm.MacVal,_xlpm.CSVVal&lt;&gt;"",_xlpm.CSVVal
)),"")</f>
        <v/>
      </c>
      <c r="L1304" s="40" t="str" cm="1">
        <f t="array" ref="L1304">IFERROR(_xlfn.LET(
_xlpm.CSVVal,_xlfn.XLOOKUP($A1304,CSV!$A:$A,CSV!P:P,""),
_xlpm.MacVal,_xlfn.XLOOKUP($A1304,Output_Mac!$A:$A,Output_Mac!L:L,""),
_xlpm.MyAuditVal,_xlfn.XLOOKUP($A1304,My_Audit!$A:$A,My_Audit!K:K,""),
_xlfn.IFS(_xlpm.MyAuditVal&lt;&gt;"",UPPER(_xlpm.MyAuditVal),_xlpm.MacVal&lt;&gt;"",_xlpm.MacVal,_xlpm.CSVVal&lt;&gt;"",_xlpm.CSVVal
)),"")</f>
        <v/>
      </c>
      <c r="M1304" s="40" t="str" cm="1">
        <f t="array" ref="M1304">IFERROR(_xlfn.LET(
_xlpm.CSVVal,_xlfn.XLOOKUP($A1304,CSV!$A:$A,CSV!Q:Q,""),
_xlpm.MacVal,_xlfn.XLOOKUP($A1304,Output_Mac!$A:$A,Output_Mac!M:M,""),
_xlpm.MyAuditVal,_xlfn.XLOOKUP($A1304,My_Audit!$A:$A,My_Audit!L:L,""),
_xlfn.IFS(_xlpm.MyAuditVal&lt;&gt;"",UPPER(_xlpm.MyAuditVal),_xlpm.MacVal&lt;&gt;"",_xlpm.MacVal,_xlpm.CSVVal&lt;&gt;"",_xlpm.CSVVal
)),"")</f>
        <v/>
      </c>
      <c r="N1304" s="40"/>
      <c r="O1304" s="40" t="str">
        <f>_xlfn.LET(
    _xlpm.CSVVal, _xlfn.XLOOKUP($A1304, CSV!$A:$A, CSV!AA:AA, ""),
    _xlpm.MacVal, _xlfn.XLOOKUP($A1304, Output_Mac!$A:$A, Output_Mac!S:S, ""),
    _xlpm.MyAuditVal, _xlfn.XLOOKUP($A1304, My_Audit!$A:$A, My_Audit!P:P, ""),
    _xlfn.TEXTJOIN(", ", TRUE, _xlpm.MyAuditVal, _xlpm.MacVal, _xlpm.CSVVal)
)</f>
        <v/>
      </c>
      <c r="P1304" s="40" t="str" cm="1">
        <f t="array" ref="P1304">IFERROR(_xlfn.LET(
_xlpm.CSVVal,_xlfn.XLOOKUP($A1304,CSV!$A:$A,CSV!AB:AB,""),
_xlpm.MacVal,_xlfn.XLOOKUP($A1304,Output_Mac!$A:$A,Output_Mac!T:T,""),
_xlpm.MyAuditVal,_xlfn.XLOOKUP($A1304,My_Audit!$A:$A,My_Audit!Q:Q,""),
_xlfn.IFS(_xlpm.MyAuditVal&lt;&gt;"",UPPER(_xlpm.MyAuditVal),_xlpm.MacVal&lt;&gt;"",_xlpm.MacVal,_xlpm.CSVVal&lt;&gt;"",_xlpm.CSVVal
)),"No")</f>
        <v>No</v>
      </c>
      <c r="Q1304" s="40" t="str" cm="1">
        <f t="array" ref="Q1304">IFERROR(_xlfn.LET(
_xlpm.CSVVal,_xlfn.XLOOKUP($A1304,CSV!$A:$A,CSV!AC:AC,""),
_xlpm.MacVal,_xlfn.XLOOKUP($A1304,Output_Mac!$A:$A,Output_Mac!U:U,""),
_xlpm.MyAuditVal,_xlfn.XLOOKUP($A1304,My_Audit!$A:$A,My_Audit!R:R,""),
_xlfn.IFS(_xlpm.MyAuditVal&lt;&gt;"",UPPER(_xlpm.MyAuditVal),_xlpm.MacVal&lt;&gt;"",_xlpm.MacVal,_xlpm.CSVVal&lt;&gt;"",_xlpm.CSVVal
)),"")</f>
        <v/>
      </c>
      <c r="R1304" s="40"/>
      <c r="S1304" s="40"/>
      <c r="T1304" s="40"/>
      <c r="U1304" s="40"/>
      <c r="V1304" s="40"/>
      <c r="W1304" s="40"/>
      <c r="X1304" s="41" t="str">
        <f>_xlfn.LET(
    _xlpm.MacVal, _xlfn.XLOOKUP($A1304, Output_Mac!$A:$A, Output_Mac!AB:AB, ""),
    _xlpm.MyAuditVal, _xlfn.XLOOKUP($A1304, My_Audit!$A:$A, My_Audit!N:N, ""),
    _xlfn.TEXTJOIN(", ", TRUE, _xlpm.MyAuditVal, _xlpm.MacVal)
)</f>
        <v/>
      </c>
    </row>
    <row r="1305" spans="1:24">
      <c r="A1305" s="40" t="str">
        <f>_xlfn.TEXTJOIN("",TRUE,Input!$B$2,ROW(My_Audit!A1304))</f>
        <v>X1304</v>
      </c>
      <c r="B1305" s="40" t="str">
        <f>_xlfn.TEXTJOIN("-",TRUE,"ITD",Input!$A$2,A1305)</f>
        <v>ITD-X1304</v>
      </c>
      <c r="C1305" s="40" t="str" cm="1">
        <f t="array" ref="C1305">IFERROR(_xlfn.LET(
_xlpm.CSVVal,_xlfn.XLOOKUP($A1305,CSV!$A:$A,CSV!B:B,""),
_xlpm.MacVal,_xlfn.XLOOKUP($A1305,Output_Mac!$A:$A,Output_Mac!B:B,""),
_xlpm.MyAuditVal,_xlfn.XLOOKUP($A1305,My_Audit!$A:$A,My_Audit!B:B,""),
_xlfn.IFS(_xlpm.MyAuditVal&lt;&gt;"",UPPER(_xlpm.MyAuditVal),_xlpm.MacVal&lt;&gt;"",_xlpm.MacVal,_xlpm.CSVVal&lt;&gt;"",_xlpm.CSVVal
)),"")</f>
        <v/>
      </c>
      <c r="D1305" s="40" t="str" cm="1">
        <f t="array" ref="D1305">IFERROR(_xlfn.LET(
_xlpm.CSVVal,_xlfn.XLOOKUP($A1305,CSV!$A:$A,CSV!D:D,""),
_xlpm.MacVal,_xlfn.XLOOKUP($A1305,Output_Mac!$A:$A,Output_Mac!C:C,""),
_xlpm.MyAuditVal,_xlfn.XLOOKUP($A1305,My_Audit!$A:$A,My_Audit!C:C,""),
_xlfn.IFS(_xlpm.MyAuditVal&lt;&gt;"",_xlpm.MyAuditVal,_xlpm.MacVal&lt;&gt;"",_xlpm.MacVal,_xlpm.CSVVal&lt;&gt;"",_xlpm.CSVVal
)),"")</f>
        <v/>
      </c>
      <c r="E1305" s="40" t="str">
        <f>_xlfn.XLOOKUP(A1305,My_Audit!A:A,My_Audit!D:D,"")</f>
        <v/>
      </c>
      <c r="F1305" s="40" t="str" cm="1">
        <f t="array" ref="F1305">IFERROR(_xlfn.LET(
_xlpm.CSVVal,_xlfn.XLOOKUP($A1305,CSV!$A:$A,CSV!F:F,""),
_xlpm.MacVal,_xlfn.XLOOKUP($A1305,Output_Mac!$A:$A,Output_Mac!E:E,""),
_xlpm.MyAuditVal,_xlfn.XLOOKUP($A1305,My_Audit!$A:$A,My_Audit!E:E,""),
_xlfn.IFS(_xlpm.MyAuditVal&lt;&gt;"",_xlpm.MyAuditVal,_xlpm.MacVal&lt;&gt;"",_xlpm.MacVal,_xlpm.CSVVal&lt;&gt;"",_xlpm.CSVVal
)),"")</f>
        <v/>
      </c>
      <c r="G1305" s="40" t="str" cm="1">
        <f t="array" ref="G1305">IFERROR(_xlfn.LET(
_xlpm.CSVVal,_xlfn.XLOOKUP($A1305,CSV!$A:$A,CSV!G:G,""),
_xlpm.MacVal,_xlfn.XLOOKUP($A1305,Output_Mac!$A:$A,Output_Mac!F:F,""),
_xlpm.MyAuditVal,_xlfn.XLOOKUP($A1305,My_Audit!$A:$A,My_Audit!F:F,""),
_xlfn.IFS(_xlpm.MyAuditVal&lt;&gt;"",_xlpm.MyAuditVal,_xlpm.MacVal&lt;&gt;"",_xlpm.MacVal,_xlpm.CSVVal&lt;&gt;"",PROPER(_xlpm.CSVVal)
)),"")</f>
        <v/>
      </c>
      <c r="H1305" s="40" t="str" cm="1">
        <f t="array" ref="H1305">IFERROR(_xlfn.LET(
_xlpm.CSVVal,_xlfn.XLOOKUP($A1305,CSV!$A:$A,CSV!H:H,""),
_xlpm.MacVal,_xlfn.XLOOKUP($A1305,Output_Mac!$A:$A,Output_Mac!H:H,""),
_xlpm.MyAuditVal,_xlfn.XLOOKUP($A1305,My_Audit!$A:$A,My_Audit!G:G,""),
_xlfn.IFS(_xlpm.MyAuditVal&lt;&gt;"",_xlpm.MyAuditVal,_xlpm.MacVal&lt;&gt;"",_xlpm.MacVal,_xlpm.CSVVal&lt;&gt;"",_xlpm.CSVVal
)),"")</f>
        <v/>
      </c>
      <c r="I1305" s="40" t="str">
        <f>_xlfn.XLOOKUP(A1305,Output_Mac!A:A,Output_Mac!I:I,"")</f>
        <v/>
      </c>
      <c r="J1305" s="40" t="str" cm="1">
        <f t="array" ref="J1305">IFERROR(_xlfn.LET(
_xlpm.CSVVal,_xlfn.XLOOKUP($A1305,CSV!$A:$A,CSV!I:I,""),
_xlpm.MacVal,_xlfn.XLOOKUP($A1305,Output_Mac!$A:$A,Output_Mac!J:J,""),
_xlpm.MyAuditVal,_xlfn.XLOOKUP($A1305,My_Audit!$A:$A,My_Audit!I:I,""),
_xlfn.IFS(_xlpm.MyAuditVal&lt;&gt;"",UPPER(_xlpm.MyAuditVal),_xlpm.MacVal&lt;&gt;"",_xlpm.MacVal,_xlpm.CSVVal&lt;&gt;"",_xlpm.CSVVal
)),"")</f>
        <v/>
      </c>
      <c r="K1305" s="40" t="str" cm="1">
        <f t="array" ref="K1305">IFERROR(_xlfn.LET(
_xlpm.CSVVal,_xlfn.XLOOKUP($A1305,CSV!$A:$A,CSV!K:K,""),
_xlpm.MacVal,_xlfn.XLOOKUP($A1305,Output_Mac!$A:$A,Output_Mac!K:K,""),
_xlpm.MyAuditVal,_xlfn.XLOOKUP($A1305,My_Audit!$A:$A,My_Audit!J:J,""),
_xlfn.IFS(_xlpm.MyAuditVal&lt;&gt;"",UPPER(_xlpm.MyAuditVal),_xlpm.MacVal&lt;&gt;"",_xlpm.MacVal,_xlpm.CSVVal&lt;&gt;"",_xlpm.CSVVal
)),"")</f>
        <v/>
      </c>
      <c r="L1305" s="40" t="str" cm="1">
        <f t="array" ref="L1305">IFERROR(_xlfn.LET(
_xlpm.CSVVal,_xlfn.XLOOKUP($A1305,CSV!$A:$A,CSV!P:P,""),
_xlpm.MacVal,_xlfn.XLOOKUP($A1305,Output_Mac!$A:$A,Output_Mac!L:L,""),
_xlpm.MyAuditVal,_xlfn.XLOOKUP($A1305,My_Audit!$A:$A,My_Audit!K:K,""),
_xlfn.IFS(_xlpm.MyAuditVal&lt;&gt;"",UPPER(_xlpm.MyAuditVal),_xlpm.MacVal&lt;&gt;"",_xlpm.MacVal,_xlpm.CSVVal&lt;&gt;"",_xlpm.CSVVal
)),"")</f>
        <v/>
      </c>
      <c r="M1305" s="40" t="str" cm="1">
        <f t="array" ref="M1305">IFERROR(_xlfn.LET(
_xlpm.CSVVal,_xlfn.XLOOKUP($A1305,CSV!$A:$A,CSV!Q:Q,""),
_xlpm.MacVal,_xlfn.XLOOKUP($A1305,Output_Mac!$A:$A,Output_Mac!M:M,""),
_xlpm.MyAuditVal,_xlfn.XLOOKUP($A1305,My_Audit!$A:$A,My_Audit!L:L,""),
_xlfn.IFS(_xlpm.MyAuditVal&lt;&gt;"",UPPER(_xlpm.MyAuditVal),_xlpm.MacVal&lt;&gt;"",_xlpm.MacVal,_xlpm.CSVVal&lt;&gt;"",_xlpm.CSVVal
)),"")</f>
        <v/>
      </c>
      <c r="N1305" s="40"/>
      <c r="O1305" s="40" t="str">
        <f>_xlfn.LET(
    _xlpm.CSVVal, _xlfn.XLOOKUP($A1305, CSV!$A:$A, CSV!AA:AA, ""),
    _xlpm.MacVal, _xlfn.XLOOKUP($A1305, Output_Mac!$A:$A, Output_Mac!S:S, ""),
    _xlpm.MyAuditVal, _xlfn.XLOOKUP($A1305, My_Audit!$A:$A, My_Audit!P:P, ""),
    _xlfn.TEXTJOIN(", ", TRUE, _xlpm.MyAuditVal, _xlpm.MacVal, _xlpm.CSVVal)
)</f>
        <v/>
      </c>
      <c r="P1305" s="40" t="str" cm="1">
        <f t="array" ref="P1305">IFERROR(_xlfn.LET(
_xlpm.CSVVal,_xlfn.XLOOKUP($A1305,CSV!$A:$A,CSV!AB:AB,""),
_xlpm.MacVal,_xlfn.XLOOKUP($A1305,Output_Mac!$A:$A,Output_Mac!T:T,""),
_xlpm.MyAuditVal,_xlfn.XLOOKUP($A1305,My_Audit!$A:$A,My_Audit!Q:Q,""),
_xlfn.IFS(_xlpm.MyAuditVal&lt;&gt;"",UPPER(_xlpm.MyAuditVal),_xlpm.MacVal&lt;&gt;"",_xlpm.MacVal,_xlpm.CSVVal&lt;&gt;"",_xlpm.CSVVal
)),"No")</f>
        <v>No</v>
      </c>
      <c r="Q1305" s="40" t="str" cm="1">
        <f t="array" ref="Q1305">IFERROR(_xlfn.LET(
_xlpm.CSVVal,_xlfn.XLOOKUP($A1305,CSV!$A:$A,CSV!AC:AC,""),
_xlpm.MacVal,_xlfn.XLOOKUP($A1305,Output_Mac!$A:$A,Output_Mac!U:U,""),
_xlpm.MyAuditVal,_xlfn.XLOOKUP($A1305,My_Audit!$A:$A,My_Audit!R:R,""),
_xlfn.IFS(_xlpm.MyAuditVal&lt;&gt;"",UPPER(_xlpm.MyAuditVal),_xlpm.MacVal&lt;&gt;"",_xlpm.MacVal,_xlpm.CSVVal&lt;&gt;"",_xlpm.CSVVal
)),"")</f>
        <v/>
      </c>
      <c r="R1305" s="40"/>
      <c r="S1305" s="40"/>
      <c r="T1305" s="40"/>
      <c r="U1305" s="40"/>
      <c r="V1305" s="40"/>
      <c r="W1305" s="40"/>
      <c r="X1305" s="41" t="str">
        <f>_xlfn.LET(
    _xlpm.MacVal, _xlfn.XLOOKUP($A1305, Output_Mac!$A:$A, Output_Mac!AB:AB, ""),
    _xlpm.MyAuditVal, _xlfn.XLOOKUP($A1305, My_Audit!$A:$A, My_Audit!N:N, ""),
    _xlfn.TEXTJOIN(", ", TRUE, _xlpm.MyAuditVal, _xlpm.MacVal)
)</f>
        <v/>
      </c>
    </row>
    <row r="1306" spans="1:24">
      <c r="A1306" s="40" t="str">
        <f>_xlfn.TEXTJOIN("",TRUE,Input!$B$2,ROW(My_Audit!A1305))</f>
        <v>X1305</v>
      </c>
      <c r="B1306" s="40" t="str">
        <f>_xlfn.TEXTJOIN("-",TRUE,"ITD",Input!$A$2,A1306)</f>
        <v>ITD-X1305</v>
      </c>
      <c r="C1306" s="40" t="str" cm="1">
        <f t="array" ref="C1306">IFERROR(_xlfn.LET(
_xlpm.CSVVal,_xlfn.XLOOKUP($A1306,CSV!$A:$A,CSV!B:B,""),
_xlpm.MacVal,_xlfn.XLOOKUP($A1306,Output_Mac!$A:$A,Output_Mac!B:B,""),
_xlpm.MyAuditVal,_xlfn.XLOOKUP($A1306,My_Audit!$A:$A,My_Audit!B:B,""),
_xlfn.IFS(_xlpm.MyAuditVal&lt;&gt;"",UPPER(_xlpm.MyAuditVal),_xlpm.MacVal&lt;&gt;"",_xlpm.MacVal,_xlpm.CSVVal&lt;&gt;"",_xlpm.CSVVal
)),"")</f>
        <v/>
      </c>
      <c r="D1306" s="40" t="str" cm="1">
        <f t="array" ref="D1306">IFERROR(_xlfn.LET(
_xlpm.CSVVal,_xlfn.XLOOKUP($A1306,CSV!$A:$A,CSV!D:D,""),
_xlpm.MacVal,_xlfn.XLOOKUP($A1306,Output_Mac!$A:$A,Output_Mac!C:C,""),
_xlpm.MyAuditVal,_xlfn.XLOOKUP($A1306,My_Audit!$A:$A,My_Audit!C:C,""),
_xlfn.IFS(_xlpm.MyAuditVal&lt;&gt;"",_xlpm.MyAuditVal,_xlpm.MacVal&lt;&gt;"",_xlpm.MacVal,_xlpm.CSVVal&lt;&gt;"",_xlpm.CSVVal
)),"")</f>
        <v/>
      </c>
      <c r="E1306" s="40" t="str">
        <f>_xlfn.XLOOKUP(A1306,My_Audit!A:A,My_Audit!D:D,"")</f>
        <v/>
      </c>
      <c r="F1306" s="40" t="str" cm="1">
        <f t="array" ref="F1306">IFERROR(_xlfn.LET(
_xlpm.CSVVal,_xlfn.XLOOKUP($A1306,CSV!$A:$A,CSV!F:F,""),
_xlpm.MacVal,_xlfn.XLOOKUP($A1306,Output_Mac!$A:$A,Output_Mac!E:E,""),
_xlpm.MyAuditVal,_xlfn.XLOOKUP($A1306,My_Audit!$A:$A,My_Audit!E:E,""),
_xlfn.IFS(_xlpm.MyAuditVal&lt;&gt;"",_xlpm.MyAuditVal,_xlpm.MacVal&lt;&gt;"",_xlpm.MacVal,_xlpm.CSVVal&lt;&gt;"",_xlpm.CSVVal
)),"")</f>
        <v/>
      </c>
      <c r="G1306" s="40" t="str" cm="1">
        <f t="array" ref="G1306">IFERROR(_xlfn.LET(
_xlpm.CSVVal,_xlfn.XLOOKUP($A1306,CSV!$A:$A,CSV!G:G,""),
_xlpm.MacVal,_xlfn.XLOOKUP($A1306,Output_Mac!$A:$A,Output_Mac!F:F,""),
_xlpm.MyAuditVal,_xlfn.XLOOKUP($A1306,My_Audit!$A:$A,My_Audit!F:F,""),
_xlfn.IFS(_xlpm.MyAuditVal&lt;&gt;"",_xlpm.MyAuditVal,_xlpm.MacVal&lt;&gt;"",_xlpm.MacVal,_xlpm.CSVVal&lt;&gt;"",PROPER(_xlpm.CSVVal)
)),"")</f>
        <v/>
      </c>
      <c r="H1306" s="40" t="str" cm="1">
        <f t="array" ref="H1306">IFERROR(_xlfn.LET(
_xlpm.CSVVal,_xlfn.XLOOKUP($A1306,CSV!$A:$A,CSV!H:H,""),
_xlpm.MacVal,_xlfn.XLOOKUP($A1306,Output_Mac!$A:$A,Output_Mac!H:H,""),
_xlpm.MyAuditVal,_xlfn.XLOOKUP($A1306,My_Audit!$A:$A,My_Audit!G:G,""),
_xlfn.IFS(_xlpm.MyAuditVal&lt;&gt;"",_xlpm.MyAuditVal,_xlpm.MacVal&lt;&gt;"",_xlpm.MacVal,_xlpm.CSVVal&lt;&gt;"",_xlpm.CSVVal
)),"")</f>
        <v/>
      </c>
      <c r="I1306" s="40" t="str">
        <f>_xlfn.XLOOKUP(A1306,Output_Mac!A:A,Output_Mac!I:I,"")</f>
        <v/>
      </c>
      <c r="J1306" s="40" t="str" cm="1">
        <f t="array" ref="J1306">IFERROR(_xlfn.LET(
_xlpm.CSVVal,_xlfn.XLOOKUP($A1306,CSV!$A:$A,CSV!I:I,""),
_xlpm.MacVal,_xlfn.XLOOKUP($A1306,Output_Mac!$A:$A,Output_Mac!J:J,""),
_xlpm.MyAuditVal,_xlfn.XLOOKUP($A1306,My_Audit!$A:$A,My_Audit!I:I,""),
_xlfn.IFS(_xlpm.MyAuditVal&lt;&gt;"",UPPER(_xlpm.MyAuditVal),_xlpm.MacVal&lt;&gt;"",_xlpm.MacVal,_xlpm.CSVVal&lt;&gt;"",_xlpm.CSVVal
)),"")</f>
        <v/>
      </c>
      <c r="K1306" s="40" t="str" cm="1">
        <f t="array" ref="K1306">IFERROR(_xlfn.LET(
_xlpm.CSVVal,_xlfn.XLOOKUP($A1306,CSV!$A:$A,CSV!K:K,""),
_xlpm.MacVal,_xlfn.XLOOKUP($A1306,Output_Mac!$A:$A,Output_Mac!K:K,""),
_xlpm.MyAuditVal,_xlfn.XLOOKUP($A1306,My_Audit!$A:$A,My_Audit!J:J,""),
_xlfn.IFS(_xlpm.MyAuditVal&lt;&gt;"",UPPER(_xlpm.MyAuditVal),_xlpm.MacVal&lt;&gt;"",_xlpm.MacVal,_xlpm.CSVVal&lt;&gt;"",_xlpm.CSVVal
)),"")</f>
        <v/>
      </c>
      <c r="L1306" s="40" t="str" cm="1">
        <f t="array" ref="L1306">IFERROR(_xlfn.LET(
_xlpm.CSVVal,_xlfn.XLOOKUP($A1306,CSV!$A:$A,CSV!P:P,""),
_xlpm.MacVal,_xlfn.XLOOKUP($A1306,Output_Mac!$A:$A,Output_Mac!L:L,""),
_xlpm.MyAuditVal,_xlfn.XLOOKUP($A1306,My_Audit!$A:$A,My_Audit!K:K,""),
_xlfn.IFS(_xlpm.MyAuditVal&lt;&gt;"",UPPER(_xlpm.MyAuditVal),_xlpm.MacVal&lt;&gt;"",_xlpm.MacVal,_xlpm.CSVVal&lt;&gt;"",_xlpm.CSVVal
)),"")</f>
        <v/>
      </c>
      <c r="M1306" s="40" t="str" cm="1">
        <f t="array" ref="M1306">IFERROR(_xlfn.LET(
_xlpm.CSVVal,_xlfn.XLOOKUP($A1306,CSV!$A:$A,CSV!Q:Q,""),
_xlpm.MacVal,_xlfn.XLOOKUP($A1306,Output_Mac!$A:$A,Output_Mac!M:M,""),
_xlpm.MyAuditVal,_xlfn.XLOOKUP($A1306,My_Audit!$A:$A,My_Audit!L:L,""),
_xlfn.IFS(_xlpm.MyAuditVal&lt;&gt;"",UPPER(_xlpm.MyAuditVal),_xlpm.MacVal&lt;&gt;"",_xlpm.MacVal,_xlpm.CSVVal&lt;&gt;"",_xlpm.CSVVal
)),"")</f>
        <v/>
      </c>
      <c r="N1306" s="40"/>
      <c r="O1306" s="40" t="str">
        <f>_xlfn.LET(
    _xlpm.CSVVal, _xlfn.XLOOKUP($A1306, CSV!$A:$A, CSV!AA:AA, ""),
    _xlpm.MacVal, _xlfn.XLOOKUP($A1306, Output_Mac!$A:$A, Output_Mac!S:S, ""),
    _xlpm.MyAuditVal, _xlfn.XLOOKUP($A1306, My_Audit!$A:$A, My_Audit!P:P, ""),
    _xlfn.TEXTJOIN(", ", TRUE, _xlpm.MyAuditVal, _xlpm.MacVal, _xlpm.CSVVal)
)</f>
        <v/>
      </c>
      <c r="P1306" s="40" t="str" cm="1">
        <f t="array" ref="P1306">IFERROR(_xlfn.LET(
_xlpm.CSVVal,_xlfn.XLOOKUP($A1306,CSV!$A:$A,CSV!AB:AB,""),
_xlpm.MacVal,_xlfn.XLOOKUP($A1306,Output_Mac!$A:$A,Output_Mac!T:T,""),
_xlpm.MyAuditVal,_xlfn.XLOOKUP($A1306,My_Audit!$A:$A,My_Audit!Q:Q,""),
_xlfn.IFS(_xlpm.MyAuditVal&lt;&gt;"",UPPER(_xlpm.MyAuditVal),_xlpm.MacVal&lt;&gt;"",_xlpm.MacVal,_xlpm.CSVVal&lt;&gt;"",_xlpm.CSVVal
)),"No")</f>
        <v>No</v>
      </c>
      <c r="Q1306" s="40" t="str" cm="1">
        <f t="array" ref="Q1306">IFERROR(_xlfn.LET(
_xlpm.CSVVal,_xlfn.XLOOKUP($A1306,CSV!$A:$A,CSV!AC:AC,""),
_xlpm.MacVal,_xlfn.XLOOKUP($A1306,Output_Mac!$A:$A,Output_Mac!U:U,""),
_xlpm.MyAuditVal,_xlfn.XLOOKUP($A1306,My_Audit!$A:$A,My_Audit!R:R,""),
_xlfn.IFS(_xlpm.MyAuditVal&lt;&gt;"",UPPER(_xlpm.MyAuditVal),_xlpm.MacVal&lt;&gt;"",_xlpm.MacVal,_xlpm.CSVVal&lt;&gt;"",_xlpm.CSVVal
)),"")</f>
        <v/>
      </c>
      <c r="R1306" s="40"/>
      <c r="S1306" s="40"/>
      <c r="T1306" s="40"/>
      <c r="U1306" s="40"/>
      <c r="V1306" s="40"/>
      <c r="W1306" s="40"/>
      <c r="X1306" s="41" t="str">
        <f>_xlfn.LET(
    _xlpm.MacVal, _xlfn.XLOOKUP($A1306, Output_Mac!$A:$A, Output_Mac!AB:AB, ""),
    _xlpm.MyAuditVal, _xlfn.XLOOKUP($A1306, My_Audit!$A:$A, My_Audit!N:N, ""),
    _xlfn.TEXTJOIN(", ", TRUE, _xlpm.MyAuditVal, _xlpm.MacVal)
)</f>
        <v/>
      </c>
    </row>
    <row r="1307" spans="1:24">
      <c r="A1307" s="40" t="str">
        <f>_xlfn.TEXTJOIN("",TRUE,Input!$B$2,ROW(My_Audit!A1306))</f>
        <v>X1306</v>
      </c>
      <c r="B1307" s="40" t="str">
        <f>_xlfn.TEXTJOIN("-",TRUE,"ITD",Input!$A$2,A1307)</f>
        <v>ITD-X1306</v>
      </c>
      <c r="C1307" s="40" t="str" cm="1">
        <f t="array" ref="C1307">IFERROR(_xlfn.LET(
_xlpm.CSVVal,_xlfn.XLOOKUP($A1307,CSV!$A:$A,CSV!B:B,""),
_xlpm.MacVal,_xlfn.XLOOKUP($A1307,Output_Mac!$A:$A,Output_Mac!B:B,""),
_xlpm.MyAuditVal,_xlfn.XLOOKUP($A1307,My_Audit!$A:$A,My_Audit!B:B,""),
_xlfn.IFS(_xlpm.MyAuditVal&lt;&gt;"",UPPER(_xlpm.MyAuditVal),_xlpm.MacVal&lt;&gt;"",_xlpm.MacVal,_xlpm.CSVVal&lt;&gt;"",_xlpm.CSVVal
)),"")</f>
        <v/>
      </c>
      <c r="D1307" s="40" t="str" cm="1">
        <f t="array" ref="D1307">IFERROR(_xlfn.LET(
_xlpm.CSVVal,_xlfn.XLOOKUP($A1307,CSV!$A:$A,CSV!D:D,""),
_xlpm.MacVal,_xlfn.XLOOKUP($A1307,Output_Mac!$A:$A,Output_Mac!C:C,""),
_xlpm.MyAuditVal,_xlfn.XLOOKUP($A1307,My_Audit!$A:$A,My_Audit!C:C,""),
_xlfn.IFS(_xlpm.MyAuditVal&lt;&gt;"",_xlpm.MyAuditVal,_xlpm.MacVal&lt;&gt;"",_xlpm.MacVal,_xlpm.CSVVal&lt;&gt;"",_xlpm.CSVVal
)),"")</f>
        <v/>
      </c>
      <c r="E1307" s="40" t="str">
        <f>_xlfn.XLOOKUP(A1307,My_Audit!A:A,My_Audit!D:D,"")</f>
        <v/>
      </c>
      <c r="F1307" s="40" t="str" cm="1">
        <f t="array" ref="F1307">IFERROR(_xlfn.LET(
_xlpm.CSVVal,_xlfn.XLOOKUP($A1307,CSV!$A:$A,CSV!F:F,""),
_xlpm.MacVal,_xlfn.XLOOKUP($A1307,Output_Mac!$A:$A,Output_Mac!E:E,""),
_xlpm.MyAuditVal,_xlfn.XLOOKUP($A1307,My_Audit!$A:$A,My_Audit!E:E,""),
_xlfn.IFS(_xlpm.MyAuditVal&lt;&gt;"",_xlpm.MyAuditVal,_xlpm.MacVal&lt;&gt;"",_xlpm.MacVal,_xlpm.CSVVal&lt;&gt;"",_xlpm.CSVVal
)),"")</f>
        <v/>
      </c>
      <c r="G1307" s="40" t="str" cm="1">
        <f t="array" ref="G1307">IFERROR(_xlfn.LET(
_xlpm.CSVVal,_xlfn.XLOOKUP($A1307,CSV!$A:$A,CSV!G:G,""),
_xlpm.MacVal,_xlfn.XLOOKUP($A1307,Output_Mac!$A:$A,Output_Mac!F:F,""),
_xlpm.MyAuditVal,_xlfn.XLOOKUP($A1307,My_Audit!$A:$A,My_Audit!F:F,""),
_xlfn.IFS(_xlpm.MyAuditVal&lt;&gt;"",_xlpm.MyAuditVal,_xlpm.MacVal&lt;&gt;"",_xlpm.MacVal,_xlpm.CSVVal&lt;&gt;"",PROPER(_xlpm.CSVVal)
)),"")</f>
        <v/>
      </c>
      <c r="H1307" s="40" t="str" cm="1">
        <f t="array" ref="H1307">IFERROR(_xlfn.LET(
_xlpm.CSVVal,_xlfn.XLOOKUP($A1307,CSV!$A:$A,CSV!H:H,""),
_xlpm.MacVal,_xlfn.XLOOKUP($A1307,Output_Mac!$A:$A,Output_Mac!H:H,""),
_xlpm.MyAuditVal,_xlfn.XLOOKUP($A1307,My_Audit!$A:$A,My_Audit!G:G,""),
_xlfn.IFS(_xlpm.MyAuditVal&lt;&gt;"",_xlpm.MyAuditVal,_xlpm.MacVal&lt;&gt;"",_xlpm.MacVal,_xlpm.CSVVal&lt;&gt;"",_xlpm.CSVVal
)),"")</f>
        <v/>
      </c>
      <c r="I1307" s="40" t="str">
        <f>_xlfn.XLOOKUP(A1307,Output_Mac!A:A,Output_Mac!I:I,"")</f>
        <v/>
      </c>
      <c r="J1307" s="40" t="str" cm="1">
        <f t="array" ref="J1307">IFERROR(_xlfn.LET(
_xlpm.CSVVal,_xlfn.XLOOKUP($A1307,CSV!$A:$A,CSV!I:I,""),
_xlpm.MacVal,_xlfn.XLOOKUP($A1307,Output_Mac!$A:$A,Output_Mac!J:J,""),
_xlpm.MyAuditVal,_xlfn.XLOOKUP($A1307,My_Audit!$A:$A,My_Audit!I:I,""),
_xlfn.IFS(_xlpm.MyAuditVal&lt;&gt;"",UPPER(_xlpm.MyAuditVal),_xlpm.MacVal&lt;&gt;"",_xlpm.MacVal,_xlpm.CSVVal&lt;&gt;"",_xlpm.CSVVal
)),"")</f>
        <v/>
      </c>
      <c r="K1307" s="40" t="str" cm="1">
        <f t="array" ref="K1307">IFERROR(_xlfn.LET(
_xlpm.CSVVal,_xlfn.XLOOKUP($A1307,CSV!$A:$A,CSV!K:K,""),
_xlpm.MacVal,_xlfn.XLOOKUP($A1307,Output_Mac!$A:$A,Output_Mac!K:K,""),
_xlpm.MyAuditVal,_xlfn.XLOOKUP($A1307,My_Audit!$A:$A,My_Audit!J:J,""),
_xlfn.IFS(_xlpm.MyAuditVal&lt;&gt;"",UPPER(_xlpm.MyAuditVal),_xlpm.MacVal&lt;&gt;"",_xlpm.MacVal,_xlpm.CSVVal&lt;&gt;"",_xlpm.CSVVal
)),"")</f>
        <v/>
      </c>
      <c r="L1307" s="40" t="str" cm="1">
        <f t="array" ref="L1307">IFERROR(_xlfn.LET(
_xlpm.CSVVal,_xlfn.XLOOKUP($A1307,CSV!$A:$A,CSV!P:P,""),
_xlpm.MacVal,_xlfn.XLOOKUP($A1307,Output_Mac!$A:$A,Output_Mac!L:L,""),
_xlpm.MyAuditVal,_xlfn.XLOOKUP($A1307,My_Audit!$A:$A,My_Audit!K:K,""),
_xlfn.IFS(_xlpm.MyAuditVal&lt;&gt;"",UPPER(_xlpm.MyAuditVal),_xlpm.MacVal&lt;&gt;"",_xlpm.MacVal,_xlpm.CSVVal&lt;&gt;"",_xlpm.CSVVal
)),"")</f>
        <v/>
      </c>
      <c r="M1307" s="40" t="str" cm="1">
        <f t="array" ref="M1307">IFERROR(_xlfn.LET(
_xlpm.CSVVal,_xlfn.XLOOKUP($A1307,CSV!$A:$A,CSV!Q:Q,""),
_xlpm.MacVal,_xlfn.XLOOKUP($A1307,Output_Mac!$A:$A,Output_Mac!M:M,""),
_xlpm.MyAuditVal,_xlfn.XLOOKUP($A1307,My_Audit!$A:$A,My_Audit!L:L,""),
_xlfn.IFS(_xlpm.MyAuditVal&lt;&gt;"",UPPER(_xlpm.MyAuditVal),_xlpm.MacVal&lt;&gt;"",_xlpm.MacVal,_xlpm.CSVVal&lt;&gt;"",_xlpm.CSVVal
)),"")</f>
        <v/>
      </c>
      <c r="N1307" s="40"/>
      <c r="O1307" s="40" t="str">
        <f>_xlfn.LET(
    _xlpm.CSVVal, _xlfn.XLOOKUP($A1307, CSV!$A:$A, CSV!AA:AA, ""),
    _xlpm.MacVal, _xlfn.XLOOKUP($A1307, Output_Mac!$A:$A, Output_Mac!S:S, ""),
    _xlpm.MyAuditVal, _xlfn.XLOOKUP($A1307, My_Audit!$A:$A, My_Audit!P:P, ""),
    _xlfn.TEXTJOIN(", ", TRUE, _xlpm.MyAuditVal, _xlpm.MacVal, _xlpm.CSVVal)
)</f>
        <v/>
      </c>
      <c r="P1307" s="40" t="str" cm="1">
        <f t="array" ref="P1307">IFERROR(_xlfn.LET(
_xlpm.CSVVal,_xlfn.XLOOKUP($A1307,CSV!$A:$A,CSV!AB:AB,""),
_xlpm.MacVal,_xlfn.XLOOKUP($A1307,Output_Mac!$A:$A,Output_Mac!T:T,""),
_xlpm.MyAuditVal,_xlfn.XLOOKUP($A1307,My_Audit!$A:$A,My_Audit!Q:Q,""),
_xlfn.IFS(_xlpm.MyAuditVal&lt;&gt;"",UPPER(_xlpm.MyAuditVal),_xlpm.MacVal&lt;&gt;"",_xlpm.MacVal,_xlpm.CSVVal&lt;&gt;"",_xlpm.CSVVal
)),"No")</f>
        <v>No</v>
      </c>
      <c r="Q1307" s="40" t="str" cm="1">
        <f t="array" ref="Q1307">IFERROR(_xlfn.LET(
_xlpm.CSVVal,_xlfn.XLOOKUP($A1307,CSV!$A:$A,CSV!AC:AC,""),
_xlpm.MacVal,_xlfn.XLOOKUP($A1307,Output_Mac!$A:$A,Output_Mac!U:U,""),
_xlpm.MyAuditVal,_xlfn.XLOOKUP($A1307,My_Audit!$A:$A,My_Audit!R:R,""),
_xlfn.IFS(_xlpm.MyAuditVal&lt;&gt;"",UPPER(_xlpm.MyAuditVal),_xlpm.MacVal&lt;&gt;"",_xlpm.MacVal,_xlpm.CSVVal&lt;&gt;"",_xlpm.CSVVal
)),"")</f>
        <v/>
      </c>
      <c r="R1307" s="40"/>
      <c r="S1307" s="40"/>
      <c r="T1307" s="40"/>
      <c r="U1307" s="40"/>
      <c r="V1307" s="40"/>
      <c r="W1307" s="40"/>
      <c r="X1307" s="41" t="str">
        <f>_xlfn.LET(
    _xlpm.MacVal, _xlfn.XLOOKUP($A1307, Output_Mac!$A:$A, Output_Mac!AB:AB, ""),
    _xlpm.MyAuditVal, _xlfn.XLOOKUP($A1307, My_Audit!$A:$A, My_Audit!N:N, ""),
    _xlfn.TEXTJOIN(", ", TRUE, _xlpm.MyAuditVal, _xlpm.MacVal)
)</f>
        <v/>
      </c>
    </row>
    <row r="1308" spans="1:24">
      <c r="A1308" s="40" t="str">
        <f>_xlfn.TEXTJOIN("",TRUE,Input!$B$2,ROW(My_Audit!A1307))</f>
        <v>X1307</v>
      </c>
      <c r="B1308" s="40" t="str">
        <f>_xlfn.TEXTJOIN("-",TRUE,"ITD",Input!$A$2,A1308)</f>
        <v>ITD-X1307</v>
      </c>
      <c r="C1308" s="40" t="str" cm="1">
        <f t="array" ref="C1308">IFERROR(_xlfn.LET(
_xlpm.CSVVal,_xlfn.XLOOKUP($A1308,CSV!$A:$A,CSV!B:B,""),
_xlpm.MacVal,_xlfn.XLOOKUP($A1308,Output_Mac!$A:$A,Output_Mac!B:B,""),
_xlpm.MyAuditVal,_xlfn.XLOOKUP($A1308,My_Audit!$A:$A,My_Audit!B:B,""),
_xlfn.IFS(_xlpm.MyAuditVal&lt;&gt;"",UPPER(_xlpm.MyAuditVal),_xlpm.MacVal&lt;&gt;"",_xlpm.MacVal,_xlpm.CSVVal&lt;&gt;"",_xlpm.CSVVal
)),"")</f>
        <v/>
      </c>
      <c r="D1308" s="40" t="str" cm="1">
        <f t="array" ref="D1308">IFERROR(_xlfn.LET(
_xlpm.CSVVal,_xlfn.XLOOKUP($A1308,CSV!$A:$A,CSV!D:D,""),
_xlpm.MacVal,_xlfn.XLOOKUP($A1308,Output_Mac!$A:$A,Output_Mac!C:C,""),
_xlpm.MyAuditVal,_xlfn.XLOOKUP($A1308,My_Audit!$A:$A,My_Audit!C:C,""),
_xlfn.IFS(_xlpm.MyAuditVal&lt;&gt;"",_xlpm.MyAuditVal,_xlpm.MacVal&lt;&gt;"",_xlpm.MacVal,_xlpm.CSVVal&lt;&gt;"",_xlpm.CSVVal
)),"")</f>
        <v/>
      </c>
      <c r="E1308" s="40" t="str">
        <f>_xlfn.XLOOKUP(A1308,My_Audit!A:A,My_Audit!D:D,"")</f>
        <v/>
      </c>
      <c r="F1308" s="40" t="str" cm="1">
        <f t="array" ref="F1308">IFERROR(_xlfn.LET(
_xlpm.CSVVal,_xlfn.XLOOKUP($A1308,CSV!$A:$A,CSV!F:F,""),
_xlpm.MacVal,_xlfn.XLOOKUP($A1308,Output_Mac!$A:$A,Output_Mac!E:E,""),
_xlpm.MyAuditVal,_xlfn.XLOOKUP($A1308,My_Audit!$A:$A,My_Audit!E:E,""),
_xlfn.IFS(_xlpm.MyAuditVal&lt;&gt;"",_xlpm.MyAuditVal,_xlpm.MacVal&lt;&gt;"",_xlpm.MacVal,_xlpm.CSVVal&lt;&gt;"",_xlpm.CSVVal
)),"")</f>
        <v/>
      </c>
      <c r="G1308" s="40" t="str" cm="1">
        <f t="array" ref="G1308">IFERROR(_xlfn.LET(
_xlpm.CSVVal,_xlfn.XLOOKUP($A1308,CSV!$A:$A,CSV!G:G,""),
_xlpm.MacVal,_xlfn.XLOOKUP($A1308,Output_Mac!$A:$A,Output_Mac!F:F,""),
_xlpm.MyAuditVal,_xlfn.XLOOKUP($A1308,My_Audit!$A:$A,My_Audit!F:F,""),
_xlfn.IFS(_xlpm.MyAuditVal&lt;&gt;"",_xlpm.MyAuditVal,_xlpm.MacVal&lt;&gt;"",_xlpm.MacVal,_xlpm.CSVVal&lt;&gt;"",PROPER(_xlpm.CSVVal)
)),"")</f>
        <v/>
      </c>
      <c r="H1308" s="40" t="str" cm="1">
        <f t="array" ref="H1308">IFERROR(_xlfn.LET(
_xlpm.CSVVal,_xlfn.XLOOKUP($A1308,CSV!$A:$A,CSV!H:H,""),
_xlpm.MacVal,_xlfn.XLOOKUP($A1308,Output_Mac!$A:$A,Output_Mac!H:H,""),
_xlpm.MyAuditVal,_xlfn.XLOOKUP($A1308,My_Audit!$A:$A,My_Audit!G:G,""),
_xlfn.IFS(_xlpm.MyAuditVal&lt;&gt;"",_xlpm.MyAuditVal,_xlpm.MacVal&lt;&gt;"",_xlpm.MacVal,_xlpm.CSVVal&lt;&gt;"",_xlpm.CSVVal
)),"")</f>
        <v/>
      </c>
      <c r="I1308" s="40" t="str">
        <f>_xlfn.XLOOKUP(A1308,Output_Mac!A:A,Output_Mac!I:I,"")</f>
        <v/>
      </c>
      <c r="J1308" s="40" t="str" cm="1">
        <f t="array" ref="J1308">IFERROR(_xlfn.LET(
_xlpm.CSVVal,_xlfn.XLOOKUP($A1308,CSV!$A:$A,CSV!I:I,""),
_xlpm.MacVal,_xlfn.XLOOKUP($A1308,Output_Mac!$A:$A,Output_Mac!J:J,""),
_xlpm.MyAuditVal,_xlfn.XLOOKUP($A1308,My_Audit!$A:$A,My_Audit!I:I,""),
_xlfn.IFS(_xlpm.MyAuditVal&lt;&gt;"",UPPER(_xlpm.MyAuditVal),_xlpm.MacVal&lt;&gt;"",_xlpm.MacVal,_xlpm.CSVVal&lt;&gt;"",_xlpm.CSVVal
)),"")</f>
        <v/>
      </c>
      <c r="K1308" s="40" t="str" cm="1">
        <f t="array" ref="K1308">IFERROR(_xlfn.LET(
_xlpm.CSVVal,_xlfn.XLOOKUP($A1308,CSV!$A:$A,CSV!K:K,""),
_xlpm.MacVal,_xlfn.XLOOKUP($A1308,Output_Mac!$A:$A,Output_Mac!K:K,""),
_xlpm.MyAuditVal,_xlfn.XLOOKUP($A1308,My_Audit!$A:$A,My_Audit!J:J,""),
_xlfn.IFS(_xlpm.MyAuditVal&lt;&gt;"",UPPER(_xlpm.MyAuditVal),_xlpm.MacVal&lt;&gt;"",_xlpm.MacVal,_xlpm.CSVVal&lt;&gt;"",_xlpm.CSVVal
)),"")</f>
        <v/>
      </c>
      <c r="L1308" s="40" t="str" cm="1">
        <f t="array" ref="L1308">IFERROR(_xlfn.LET(
_xlpm.CSVVal,_xlfn.XLOOKUP($A1308,CSV!$A:$A,CSV!P:P,""),
_xlpm.MacVal,_xlfn.XLOOKUP($A1308,Output_Mac!$A:$A,Output_Mac!L:L,""),
_xlpm.MyAuditVal,_xlfn.XLOOKUP($A1308,My_Audit!$A:$A,My_Audit!K:K,""),
_xlfn.IFS(_xlpm.MyAuditVal&lt;&gt;"",UPPER(_xlpm.MyAuditVal),_xlpm.MacVal&lt;&gt;"",_xlpm.MacVal,_xlpm.CSVVal&lt;&gt;"",_xlpm.CSVVal
)),"")</f>
        <v/>
      </c>
      <c r="M1308" s="40" t="str" cm="1">
        <f t="array" ref="M1308">IFERROR(_xlfn.LET(
_xlpm.CSVVal,_xlfn.XLOOKUP($A1308,CSV!$A:$A,CSV!Q:Q,""),
_xlpm.MacVal,_xlfn.XLOOKUP($A1308,Output_Mac!$A:$A,Output_Mac!M:M,""),
_xlpm.MyAuditVal,_xlfn.XLOOKUP($A1308,My_Audit!$A:$A,My_Audit!L:L,""),
_xlfn.IFS(_xlpm.MyAuditVal&lt;&gt;"",UPPER(_xlpm.MyAuditVal),_xlpm.MacVal&lt;&gt;"",_xlpm.MacVal,_xlpm.CSVVal&lt;&gt;"",_xlpm.CSVVal
)),"")</f>
        <v/>
      </c>
      <c r="N1308" s="40"/>
      <c r="O1308" s="40" t="str">
        <f>_xlfn.LET(
    _xlpm.CSVVal, _xlfn.XLOOKUP($A1308, CSV!$A:$A, CSV!AA:AA, ""),
    _xlpm.MacVal, _xlfn.XLOOKUP($A1308, Output_Mac!$A:$A, Output_Mac!S:S, ""),
    _xlpm.MyAuditVal, _xlfn.XLOOKUP($A1308, My_Audit!$A:$A, My_Audit!P:P, ""),
    _xlfn.TEXTJOIN(", ", TRUE, _xlpm.MyAuditVal, _xlpm.MacVal, _xlpm.CSVVal)
)</f>
        <v/>
      </c>
      <c r="P1308" s="40" t="str" cm="1">
        <f t="array" ref="P1308">IFERROR(_xlfn.LET(
_xlpm.CSVVal,_xlfn.XLOOKUP($A1308,CSV!$A:$A,CSV!AB:AB,""),
_xlpm.MacVal,_xlfn.XLOOKUP($A1308,Output_Mac!$A:$A,Output_Mac!T:T,""),
_xlpm.MyAuditVal,_xlfn.XLOOKUP($A1308,My_Audit!$A:$A,My_Audit!Q:Q,""),
_xlfn.IFS(_xlpm.MyAuditVal&lt;&gt;"",UPPER(_xlpm.MyAuditVal),_xlpm.MacVal&lt;&gt;"",_xlpm.MacVal,_xlpm.CSVVal&lt;&gt;"",_xlpm.CSVVal
)),"No")</f>
        <v>No</v>
      </c>
      <c r="Q1308" s="40" t="str" cm="1">
        <f t="array" ref="Q1308">IFERROR(_xlfn.LET(
_xlpm.CSVVal,_xlfn.XLOOKUP($A1308,CSV!$A:$A,CSV!AC:AC,""),
_xlpm.MacVal,_xlfn.XLOOKUP($A1308,Output_Mac!$A:$A,Output_Mac!U:U,""),
_xlpm.MyAuditVal,_xlfn.XLOOKUP($A1308,My_Audit!$A:$A,My_Audit!R:R,""),
_xlfn.IFS(_xlpm.MyAuditVal&lt;&gt;"",UPPER(_xlpm.MyAuditVal),_xlpm.MacVal&lt;&gt;"",_xlpm.MacVal,_xlpm.CSVVal&lt;&gt;"",_xlpm.CSVVal
)),"")</f>
        <v/>
      </c>
      <c r="R1308" s="40"/>
      <c r="S1308" s="40"/>
      <c r="T1308" s="40"/>
      <c r="U1308" s="40"/>
      <c r="V1308" s="40"/>
      <c r="W1308" s="40"/>
      <c r="X1308" s="41" t="str">
        <f>_xlfn.LET(
    _xlpm.MacVal, _xlfn.XLOOKUP($A1308, Output_Mac!$A:$A, Output_Mac!AB:AB, ""),
    _xlpm.MyAuditVal, _xlfn.XLOOKUP($A1308, My_Audit!$A:$A, My_Audit!N:N, ""),
    _xlfn.TEXTJOIN(", ", TRUE, _xlpm.MyAuditVal, _xlpm.MacVal)
)</f>
        <v/>
      </c>
    </row>
    <row r="1309" spans="1:24">
      <c r="A1309" s="40" t="str">
        <f>_xlfn.TEXTJOIN("",TRUE,Input!$B$2,ROW(My_Audit!A1308))</f>
        <v>X1308</v>
      </c>
      <c r="B1309" s="40" t="str">
        <f>_xlfn.TEXTJOIN("-",TRUE,"ITD",Input!$A$2,A1309)</f>
        <v>ITD-X1308</v>
      </c>
      <c r="C1309" s="40" t="str" cm="1">
        <f t="array" ref="C1309">IFERROR(_xlfn.LET(
_xlpm.CSVVal,_xlfn.XLOOKUP($A1309,CSV!$A:$A,CSV!B:B,""),
_xlpm.MacVal,_xlfn.XLOOKUP($A1309,Output_Mac!$A:$A,Output_Mac!B:B,""),
_xlpm.MyAuditVal,_xlfn.XLOOKUP($A1309,My_Audit!$A:$A,My_Audit!B:B,""),
_xlfn.IFS(_xlpm.MyAuditVal&lt;&gt;"",UPPER(_xlpm.MyAuditVal),_xlpm.MacVal&lt;&gt;"",_xlpm.MacVal,_xlpm.CSVVal&lt;&gt;"",_xlpm.CSVVal
)),"")</f>
        <v/>
      </c>
      <c r="D1309" s="40" t="str" cm="1">
        <f t="array" ref="D1309">IFERROR(_xlfn.LET(
_xlpm.CSVVal,_xlfn.XLOOKUP($A1309,CSV!$A:$A,CSV!D:D,""),
_xlpm.MacVal,_xlfn.XLOOKUP($A1309,Output_Mac!$A:$A,Output_Mac!C:C,""),
_xlpm.MyAuditVal,_xlfn.XLOOKUP($A1309,My_Audit!$A:$A,My_Audit!C:C,""),
_xlfn.IFS(_xlpm.MyAuditVal&lt;&gt;"",_xlpm.MyAuditVal,_xlpm.MacVal&lt;&gt;"",_xlpm.MacVal,_xlpm.CSVVal&lt;&gt;"",_xlpm.CSVVal
)),"")</f>
        <v/>
      </c>
      <c r="E1309" s="40" t="str">
        <f>_xlfn.XLOOKUP(A1309,My_Audit!A:A,My_Audit!D:D,"")</f>
        <v/>
      </c>
      <c r="F1309" s="40" t="str" cm="1">
        <f t="array" ref="F1309">IFERROR(_xlfn.LET(
_xlpm.CSVVal,_xlfn.XLOOKUP($A1309,CSV!$A:$A,CSV!F:F,""),
_xlpm.MacVal,_xlfn.XLOOKUP($A1309,Output_Mac!$A:$A,Output_Mac!E:E,""),
_xlpm.MyAuditVal,_xlfn.XLOOKUP($A1309,My_Audit!$A:$A,My_Audit!E:E,""),
_xlfn.IFS(_xlpm.MyAuditVal&lt;&gt;"",_xlpm.MyAuditVal,_xlpm.MacVal&lt;&gt;"",_xlpm.MacVal,_xlpm.CSVVal&lt;&gt;"",_xlpm.CSVVal
)),"")</f>
        <v/>
      </c>
      <c r="G1309" s="40" t="str" cm="1">
        <f t="array" ref="G1309">IFERROR(_xlfn.LET(
_xlpm.CSVVal,_xlfn.XLOOKUP($A1309,CSV!$A:$A,CSV!G:G,""),
_xlpm.MacVal,_xlfn.XLOOKUP($A1309,Output_Mac!$A:$A,Output_Mac!F:F,""),
_xlpm.MyAuditVal,_xlfn.XLOOKUP($A1309,My_Audit!$A:$A,My_Audit!F:F,""),
_xlfn.IFS(_xlpm.MyAuditVal&lt;&gt;"",_xlpm.MyAuditVal,_xlpm.MacVal&lt;&gt;"",_xlpm.MacVal,_xlpm.CSVVal&lt;&gt;"",PROPER(_xlpm.CSVVal)
)),"")</f>
        <v/>
      </c>
      <c r="H1309" s="40" t="str" cm="1">
        <f t="array" ref="H1309">IFERROR(_xlfn.LET(
_xlpm.CSVVal,_xlfn.XLOOKUP($A1309,CSV!$A:$A,CSV!H:H,""),
_xlpm.MacVal,_xlfn.XLOOKUP($A1309,Output_Mac!$A:$A,Output_Mac!H:H,""),
_xlpm.MyAuditVal,_xlfn.XLOOKUP($A1309,My_Audit!$A:$A,My_Audit!G:G,""),
_xlfn.IFS(_xlpm.MyAuditVal&lt;&gt;"",_xlpm.MyAuditVal,_xlpm.MacVal&lt;&gt;"",_xlpm.MacVal,_xlpm.CSVVal&lt;&gt;"",_xlpm.CSVVal
)),"")</f>
        <v/>
      </c>
      <c r="I1309" s="40" t="str">
        <f>_xlfn.XLOOKUP(A1309,Output_Mac!A:A,Output_Mac!I:I,"")</f>
        <v/>
      </c>
      <c r="J1309" s="40" t="str" cm="1">
        <f t="array" ref="J1309">IFERROR(_xlfn.LET(
_xlpm.CSVVal,_xlfn.XLOOKUP($A1309,CSV!$A:$A,CSV!I:I,""),
_xlpm.MacVal,_xlfn.XLOOKUP($A1309,Output_Mac!$A:$A,Output_Mac!J:J,""),
_xlpm.MyAuditVal,_xlfn.XLOOKUP($A1309,My_Audit!$A:$A,My_Audit!I:I,""),
_xlfn.IFS(_xlpm.MyAuditVal&lt;&gt;"",UPPER(_xlpm.MyAuditVal),_xlpm.MacVal&lt;&gt;"",_xlpm.MacVal,_xlpm.CSVVal&lt;&gt;"",_xlpm.CSVVal
)),"")</f>
        <v/>
      </c>
      <c r="K1309" s="40" t="str" cm="1">
        <f t="array" ref="K1309">IFERROR(_xlfn.LET(
_xlpm.CSVVal,_xlfn.XLOOKUP($A1309,CSV!$A:$A,CSV!K:K,""),
_xlpm.MacVal,_xlfn.XLOOKUP($A1309,Output_Mac!$A:$A,Output_Mac!K:K,""),
_xlpm.MyAuditVal,_xlfn.XLOOKUP($A1309,My_Audit!$A:$A,My_Audit!J:J,""),
_xlfn.IFS(_xlpm.MyAuditVal&lt;&gt;"",UPPER(_xlpm.MyAuditVal),_xlpm.MacVal&lt;&gt;"",_xlpm.MacVal,_xlpm.CSVVal&lt;&gt;"",_xlpm.CSVVal
)),"")</f>
        <v/>
      </c>
      <c r="L1309" s="40" t="str" cm="1">
        <f t="array" ref="L1309">IFERROR(_xlfn.LET(
_xlpm.CSVVal,_xlfn.XLOOKUP($A1309,CSV!$A:$A,CSV!P:P,""),
_xlpm.MacVal,_xlfn.XLOOKUP($A1309,Output_Mac!$A:$A,Output_Mac!L:L,""),
_xlpm.MyAuditVal,_xlfn.XLOOKUP($A1309,My_Audit!$A:$A,My_Audit!K:K,""),
_xlfn.IFS(_xlpm.MyAuditVal&lt;&gt;"",UPPER(_xlpm.MyAuditVal),_xlpm.MacVal&lt;&gt;"",_xlpm.MacVal,_xlpm.CSVVal&lt;&gt;"",_xlpm.CSVVal
)),"")</f>
        <v/>
      </c>
      <c r="M1309" s="40" t="str" cm="1">
        <f t="array" ref="M1309">IFERROR(_xlfn.LET(
_xlpm.CSVVal,_xlfn.XLOOKUP($A1309,CSV!$A:$A,CSV!Q:Q,""),
_xlpm.MacVal,_xlfn.XLOOKUP($A1309,Output_Mac!$A:$A,Output_Mac!M:M,""),
_xlpm.MyAuditVal,_xlfn.XLOOKUP($A1309,My_Audit!$A:$A,My_Audit!L:L,""),
_xlfn.IFS(_xlpm.MyAuditVal&lt;&gt;"",UPPER(_xlpm.MyAuditVal),_xlpm.MacVal&lt;&gt;"",_xlpm.MacVal,_xlpm.CSVVal&lt;&gt;"",_xlpm.CSVVal
)),"")</f>
        <v/>
      </c>
      <c r="N1309" s="40"/>
      <c r="O1309" s="40" t="str">
        <f>_xlfn.LET(
    _xlpm.CSVVal, _xlfn.XLOOKUP($A1309, CSV!$A:$A, CSV!AA:AA, ""),
    _xlpm.MacVal, _xlfn.XLOOKUP($A1309, Output_Mac!$A:$A, Output_Mac!S:S, ""),
    _xlpm.MyAuditVal, _xlfn.XLOOKUP($A1309, My_Audit!$A:$A, My_Audit!P:P, ""),
    _xlfn.TEXTJOIN(", ", TRUE, _xlpm.MyAuditVal, _xlpm.MacVal, _xlpm.CSVVal)
)</f>
        <v/>
      </c>
      <c r="P1309" s="40" t="str" cm="1">
        <f t="array" ref="P1309">IFERROR(_xlfn.LET(
_xlpm.CSVVal,_xlfn.XLOOKUP($A1309,CSV!$A:$A,CSV!AB:AB,""),
_xlpm.MacVal,_xlfn.XLOOKUP($A1309,Output_Mac!$A:$A,Output_Mac!T:T,""),
_xlpm.MyAuditVal,_xlfn.XLOOKUP($A1309,My_Audit!$A:$A,My_Audit!Q:Q,""),
_xlfn.IFS(_xlpm.MyAuditVal&lt;&gt;"",UPPER(_xlpm.MyAuditVal),_xlpm.MacVal&lt;&gt;"",_xlpm.MacVal,_xlpm.CSVVal&lt;&gt;"",_xlpm.CSVVal
)),"No")</f>
        <v>No</v>
      </c>
      <c r="Q1309" s="40" t="str" cm="1">
        <f t="array" ref="Q1309">IFERROR(_xlfn.LET(
_xlpm.CSVVal,_xlfn.XLOOKUP($A1309,CSV!$A:$A,CSV!AC:AC,""),
_xlpm.MacVal,_xlfn.XLOOKUP($A1309,Output_Mac!$A:$A,Output_Mac!U:U,""),
_xlpm.MyAuditVal,_xlfn.XLOOKUP($A1309,My_Audit!$A:$A,My_Audit!R:R,""),
_xlfn.IFS(_xlpm.MyAuditVal&lt;&gt;"",UPPER(_xlpm.MyAuditVal),_xlpm.MacVal&lt;&gt;"",_xlpm.MacVal,_xlpm.CSVVal&lt;&gt;"",_xlpm.CSVVal
)),"")</f>
        <v/>
      </c>
      <c r="R1309" s="40"/>
      <c r="S1309" s="40"/>
      <c r="T1309" s="40"/>
      <c r="U1309" s="40"/>
      <c r="V1309" s="40"/>
      <c r="W1309" s="40"/>
      <c r="X1309" s="41" t="str">
        <f>_xlfn.LET(
    _xlpm.MacVal, _xlfn.XLOOKUP($A1309, Output_Mac!$A:$A, Output_Mac!AB:AB, ""),
    _xlpm.MyAuditVal, _xlfn.XLOOKUP($A1309, My_Audit!$A:$A, My_Audit!N:N, ""),
    _xlfn.TEXTJOIN(", ", TRUE, _xlpm.MyAuditVal, _xlpm.MacVal)
)</f>
        <v/>
      </c>
    </row>
    <row r="1310" spans="1:24">
      <c r="A1310" s="40" t="str">
        <f>_xlfn.TEXTJOIN("",TRUE,Input!$B$2,ROW(My_Audit!A1309))</f>
        <v>X1309</v>
      </c>
      <c r="B1310" s="40" t="str">
        <f>_xlfn.TEXTJOIN("-",TRUE,"ITD",Input!$A$2,A1310)</f>
        <v>ITD-X1309</v>
      </c>
      <c r="C1310" s="40" t="str" cm="1">
        <f t="array" ref="C1310">IFERROR(_xlfn.LET(
_xlpm.CSVVal,_xlfn.XLOOKUP($A1310,CSV!$A:$A,CSV!B:B,""),
_xlpm.MacVal,_xlfn.XLOOKUP($A1310,Output_Mac!$A:$A,Output_Mac!B:B,""),
_xlpm.MyAuditVal,_xlfn.XLOOKUP($A1310,My_Audit!$A:$A,My_Audit!B:B,""),
_xlfn.IFS(_xlpm.MyAuditVal&lt;&gt;"",UPPER(_xlpm.MyAuditVal),_xlpm.MacVal&lt;&gt;"",_xlpm.MacVal,_xlpm.CSVVal&lt;&gt;"",_xlpm.CSVVal
)),"")</f>
        <v/>
      </c>
      <c r="D1310" s="40" t="str" cm="1">
        <f t="array" ref="D1310">IFERROR(_xlfn.LET(
_xlpm.CSVVal,_xlfn.XLOOKUP($A1310,CSV!$A:$A,CSV!D:D,""),
_xlpm.MacVal,_xlfn.XLOOKUP($A1310,Output_Mac!$A:$A,Output_Mac!C:C,""),
_xlpm.MyAuditVal,_xlfn.XLOOKUP($A1310,My_Audit!$A:$A,My_Audit!C:C,""),
_xlfn.IFS(_xlpm.MyAuditVal&lt;&gt;"",_xlpm.MyAuditVal,_xlpm.MacVal&lt;&gt;"",_xlpm.MacVal,_xlpm.CSVVal&lt;&gt;"",_xlpm.CSVVal
)),"")</f>
        <v/>
      </c>
      <c r="E1310" s="40" t="str">
        <f>_xlfn.XLOOKUP(A1310,My_Audit!A:A,My_Audit!D:D,"")</f>
        <v/>
      </c>
      <c r="F1310" s="40" t="str" cm="1">
        <f t="array" ref="F1310">IFERROR(_xlfn.LET(
_xlpm.CSVVal,_xlfn.XLOOKUP($A1310,CSV!$A:$A,CSV!F:F,""),
_xlpm.MacVal,_xlfn.XLOOKUP($A1310,Output_Mac!$A:$A,Output_Mac!E:E,""),
_xlpm.MyAuditVal,_xlfn.XLOOKUP($A1310,My_Audit!$A:$A,My_Audit!E:E,""),
_xlfn.IFS(_xlpm.MyAuditVal&lt;&gt;"",_xlpm.MyAuditVal,_xlpm.MacVal&lt;&gt;"",_xlpm.MacVal,_xlpm.CSVVal&lt;&gt;"",_xlpm.CSVVal
)),"")</f>
        <v/>
      </c>
      <c r="G1310" s="40" t="str" cm="1">
        <f t="array" ref="G1310">IFERROR(_xlfn.LET(
_xlpm.CSVVal,_xlfn.XLOOKUP($A1310,CSV!$A:$A,CSV!G:G,""),
_xlpm.MacVal,_xlfn.XLOOKUP($A1310,Output_Mac!$A:$A,Output_Mac!F:F,""),
_xlpm.MyAuditVal,_xlfn.XLOOKUP($A1310,My_Audit!$A:$A,My_Audit!F:F,""),
_xlfn.IFS(_xlpm.MyAuditVal&lt;&gt;"",_xlpm.MyAuditVal,_xlpm.MacVal&lt;&gt;"",_xlpm.MacVal,_xlpm.CSVVal&lt;&gt;"",PROPER(_xlpm.CSVVal)
)),"")</f>
        <v/>
      </c>
      <c r="H1310" s="40" t="str" cm="1">
        <f t="array" ref="H1310">IFERROR(_xlfn.LET(
_xlpm.CSVVal,_xlfn.XLOOKUP($A1310,CSV!$A:$A,CSV!H:H,""),
_xlpm.MacVal,_xlfn.XLOOKUP($A1310,Output_Mac!$A:$A,Output_Mac!H:H,""),
_xlpm.MyAuditVal,_xlfn.XLOOKUP($A1310,My_Audit!$A:$A,My_Audit!G:G,""),
_xlfn.IFS(_xlpm.MyAuditVal&lt;&gt;"",_xlpm.MyAuditVal,_xlpm.MacVal&lt;&gt;"",_xlpm.MacVal,_xlpm.CSVVal&lt;&gt;"",_xlpm.CSVVal
)),"")</f>
        <v/>
      </c>
      <c r="I1310" s="40" t="str">
        <f>_xlfn.XLOOKUP(A1310,Output_Mac!A:A,Output_Mac!I:I,"")</f>
        <v/>
      </c>
      <c r="J1310" s="40" t="str" cm="1">
        <f t="array" ref="J1310">IFERROR(_xlfn.LET(
_xlpm.CSVVal,_xlfn.XLOOKUP($A1310,CSV!$A:$A,CSV!I:I,""),
_xlpm.MacVal,_xlfn.XLOOKUP($A1310,Output_Mac!$A:$A,Output_Mac!J:J,""),
_xlpm.MyAuditVal,_xlfn.XLOOKUP($A1310,My_Audit!$A:$A,My_Audit!I:I,""),
_xlfn.IFS(_xlpm.MyAuditVal&lt;&gt;"",UPPER(_xlpm.MyAuditVal),_xlpm.MacVal&lt;&gt;"",_xlpm.MacVal,_xlpm.CSVVal&lt;&gt;"",_xlpm.CSVVal
)),"")</f>
        <v/>
      </c>
      <c r="K1310" s="40" t="str" cm="1">
        <f t="array" ref="K1310">IFERROR(_xlfn.LET(
_xlpm.CSVVal,_xlfn.XLOOKUP($A1310,CSV!$A:$A,CSV!K:K,""),
_xlpm.MacVal,_xlfn.XLOOKUP($A1310,Output_Mac!$A:$A,Output_Mac!K:K,""),
_xlpm.MyAuditVal,_xlfn.XLOOKUP($A1310,My_Audit!$A:$A,My_Audit!J:J,""),
_xlfn.IFS(_xlpm.MyAuditVal&lt;&gt;"",UPPER(_xlpm.MyAuditVal),_xlpm.MacVal&lt;&gt;"",_xlpm.MacVal,_xlpm.CSVVal&lt;&gt;"",_xlpm.CSVVal
)),"")</f>
        <v/>
      </c>
      <c r="L1310" s="40" t="str" cm="1">
        <f t="array" ref="L1310">IFERROR(_xlfn.LET(
_xlpm.CSVVal,_xlfn.XLOOKUP($A1310,CSV!$A:$A,CSV!P:P,""),
_xlpm.MacVal,_xlfn.XLOOKUP($A1310,Output_Mac!$A:$A,Output_Mac!L:L,""),
_xlpm.MyAuditVal,_xlfn.XLOOKUP($A1310,My_Audit!$A:$A,My_Audit!K:K,""),
_xlfn.IFS(_xlpm.MyAuditVal&lt;&gt;"",UPPER(_xlpm.MyAuditVal),_xlpm.MacVal&lt;&gt;"",_xlpm.MacVal,_xlpm.CSVVal&lt;&gt;"",_xlpm.CSVVal
)),"")</f>
        <v/>
      </c>
      <c r="M1310" s="40" t="str" cm="1">
        <f t="array" ref="M1310">IFERROR(_xlfn.LET(
_xlpm.CSVVal,_xlfn.XLOOKUP($A1310,CSV!$A:$A,CSV!Q:Q,""),
_xlpm.MacVal,_xlfn.XLOOKUP($A1310,Output_Mac!$A:$A,Output_Mac!M:M,""),
_xlpm.MyAuditVal,_xlfn.XLOOKUP($A1310,My_Audit!$A:$A,My_Audit!L:L,""),
_xlfn.IFS(_xlpm.MyAuditVal&lt;&gt;"",UPPER(_xlpm.MyAuditVal),_xlpm.MacVal&lt;&gt;"",_xlpm.MacVal,_xlpm.CSVVal&lt;&gt;"",_xlpm.CSVVal
)),"")</f>
        <v/>
      </c>
      <c r="N1310" s="40"/>
      <c r="O1310" s="40" t="str">
        <f>_xlfn.LET(
    _xlpm.CSVVal, _xlfn.XLOOKUP($A1310, CSV!$A:$A, CSV!AA:AA, ""),
    _xlpm.MacVal, _xlfn.XLOOKUP($A1310, Output_Mac!$A:$A, Output_Mac!S:S, ""),
    _xlpm.MyAuditVal, _xlfn.XLOOKUP($A1310, My_Audit!$A:$A, My_Audit!P:P, ""),
    _xlfn.TEXTJOIN(", ", TRUE, _xlpm.MyAuditVal, _xlpm.MacVal, _xlpm.CSVVal)
)</f>
        <v/>
      </c>
      <c r="P1310" s="40" t="str" cm="1">
        <f t="array" ref="P1310">IFERROR(_xlfn.LET(
_xlpm.CSVVal,_xlfn.XLOOKUP($A1310,CSV!$A:$A,CSV!AB:AB,""),
_xlpm.MacVal,_xlfn.XLOOKUP($A1310,Output_Mac!$A:$A,Output_Mac!T:T,""),
_xlpm.MyAuditVal,_xlfn.XLOOKUP($A1310,My_Audit!$A:$A,My_Audit!Q:Q,""),
_xlfn.IFS(_xlpm.MyAuditVal&lt;&gt;"",UPPER(_xlpm.MyAuditVal),_xlpm.MacVal&lt;&gt;"",_xlpm.MacVal,_xlpm.CSVVal&lt;&gt;"",_xlpm.CSVVal
)),"No")</f>
        <v>No</v>
      </c>
      <c r="Q1310" s="40" t="str" cm="1">
        <f t="array" ref="Q1310">IFERROR(_xlfn.LET(
_xlpm.CSVVal,_xlfn.XLOOKUP($A1310,CSV!$A:$A,CSV!AC:AC,""),
_xlpm.MacVal,_xlfn.XLOOKUP($A1310,Output_Mac!$A:$A,Output_Mac!U:U,""),
_xlpm.MyAuditVal,_xlfn.XLOOKUP($A1310,My_Audit!$A:$A,My_Audit!R:R,""),
_xlfn.IFS(_xlpm.MyAuditVal&lt;&gt;"",UPPER(_xlpm.MyAuditVal),_xlpm.MacVal&lt;&gt;"",_xlpm.MacVal,_xlpm.CSVVal&lt;&gt;"",_xlpm.CSVVal
)),"")</f>
        <v/>
      </c>
      <c r="R1310" s="40"/>
      <c r="S1310" s="40"/>
      <c r="T1310" s="40"/>
      <c r="U1310" s="40"/>
      <c r="V1310" s="40"/>
      <c r="W1310" s="40"/>
      <c r="X1310" s="41" t="str">
        <f>_xlfn.LET(
    _xlpm.MacVal, _xlfn.XLOOKUP($A1310, Output_Mac!$A:$A, Output_Mac!AB:AB, ""),
    _xlpm.MyAuditVal, _xlfn.XLOOKUP($A1310, My_Audit!$A:$A, My_Audit!N:N, ""),
    _xlfn.TEXTJOIN(", ", TRUE, _xlpm.MyAuditVal, _xlpm.MacVal)
)</f>
        <v/>
      </c>
    </row>
    <row r="1311" spans="1:24">
      <c r="A1311" s="40" t="str">
        <f>_xlfn.TEXTJOIN("",TRUE,Input!$B$2,ROW(My_Audit!A1310))</f>
        <v>X1310</v>
      </c>
      <c r="B1311" s="40" t="str">
        <f>_xlfn.TEXTJOIN("-",TRUE,"ITD",Input!$A$2,A1311)</f>
        <v>ITD-X1310</v>
      </c>
      <c r="C1311" s="40" t="str" cm="1">
        <f t="array" ref="C1311">IFERROR(_xlfn.LET(
_xlpm.CSVVal,_xlfn.XLOOKUP($A1311,CSV!$A:$A,CSV!B:B,""),
_xlpm.MacVal,_xlfn.XLOOKUP($A1311,Output_Mac!$A:$A,Output_Mac!B:B,""),
_xlpm.MyAuditVal,_xlfn.XLOOKUP($A1311,My_Audit!$A:$A,My_Audit!B:B,""),
_xlfn.IFS(_xlpm.MyAuditVal&lt;&gt;"",UPPER(_xlpm.MyAuditVal),_xlpm.MacVal&lt;&gt;"",_xlpm.MacVal,_xlpm.CSVVal&lt;&gt;"",_xlpm.CSVVal
)),"")</f>
        <v/>
      </c>
      <c r="D1311" s="40" t="str" cm="1">
        <f t="array" ref="D1311">IFERROR(_xlfn.LET(
_xlpm.CSVVal,_xlfn.XLOOKUP($A1311,CSV!$A:$A,CSV!D:D,""),
_xlpm.MacVal,_xlfn.XLOOKUP($A1311,Output_Mac!$A:$A,Output_Mac!C:C,""),
_xlpm.MyAuditVal,_xlfn.XLOOKUP($A1311,My_Audit!$A:$A,My_Audit!C:C,""),
_xlfn.IFS(_xlpm.MyAuditVal&lt;&gt;"",_xlpm.MyAuditVal,_xlpm.MacVal&lt;&gt;"",_xlpm.MacVal,_xlpm.CSVVal&lt;&gt;"",_xlpm.CSVVal
)),"")</f>
        <v/>
      </c>
      <c r="E1311" s="40" t="str">
        <f>_xlfn.XLOOKUP(A1311,My_Audit!A:A,My_Audit!D:D,"")</f>
        <v/>
      </c>
      <c r="F1311" s="40" t="str" cm="1">
        <f t="array" ref="F1311">IFERROR(_xlfn.LET(
_xlpm.CSVVal,_xlfn.XLOOKUP($A1311,CSV!$A:$A,CSV!F:F,""),
_xlpm.MacVal,_xlfn.XLOOKUP($A1311,Output_Mac!$A:$A,Output_Mac!E:E,""),
_xlpm.MyAuditVal,_xlfn.XLOOKUP($A1311,My_Audit!$A:$A,My_Audit!E:E,""),
_xlfn.IFS(_xlpm.MyAuditVal&lt;&gt;"",_xlpm.MyAuditVal,_xlpm.MacVal&lt;&gt;"",_xlpm.MacVal,_xlpm.CSVVal&lt;&gt;"",_xlpm.CSVVal
)),"")</f>
        <v/>
      </c>
      <c r="G1311" s="40" t="str" cm="1">
        <f t="array" ref="G1311">IFERROR(_xlfn.LET(
_xlpm.CSVVal,_xlfn.XLOOKUP($A1311,CSV!$A:$A,CSV!G:G,""),
_xlpm.MacVal,_xlfn.XLOOKUP($A1311,Output_Mac!$A:$A,Output_Mac!F:F,""),
_xlpm.MyAuditVal,_xlfn.XLOOKUP($A1311,My_Audit!$A:$A,My_Audit!F:F,""),
_xlfn.IFS(_xlpm.MyAuditVal&lt;&gt;"",_xlpm.MyAuditVal,_xlpm.MacVal&lt;&gt;"",_xlpm.MacVal,_xlpm.CSVVal&lt;&gt;"",PROPER(_xlpm.CSVVal)
)),"")</f>
        <v/>
      </c>
      <c r="H1311" s="40" t="str" cm="1">
        <f t="array" ref="H1311">IFERROR(_xlfn.LET(
_xlpm.CSVVal,_xlfn.XLOOKUP($A1311,CSV!$A:$A,CSV!H:H,""),
_xlpm.MacVal,_xlfn.XLOOKUP($A1311,Output_Mac!$A:$A,Output_Mac!H:H,""),
_xlpm.MyAuditVal,_xlfn.XLOOKUP($A1311,My_Audit!$A:$A,My_Audit!G:G,""),
_xlfn.IFS(_xlpm.MyAuditVal&lt;&gt;"",_xlpm.MyAuditVal,_xlpm.MacVal&lt;&gt;"",_xlpm.MacVal,_xlpm.CSVVal&lt;&gt;"",_xlpm.CSVVal
)),"")</f>
        <v/>
      </c>
      <c r="I1311" s="40" t="str">
        <f>_xlfn.XLOOKUP(A1311,Output_Mac!A:A,Output_Mac!I:I,"")</f>
        <v/>
      </c>
      <c r="J1311" s="40" t="str" cm="1">
        <f t="array" ref="J1311">IFERROR(_xlfn.LET(
_xlpm.CSVVal,_xlfn.XLOOKUP($A1311,CSV!$A:$A,CSV!I:I,""),
_xlpm.MacVal,_xlfn.XLOOKUP($A1311,Output_Mac!$A:$A,Output_Mac!J:J,""),
_xlpm.MyAuditVal,_xlfn.XLOOKUP($A1311,My_Audit!$A:$A,My_Audit!I:I,""),
_xlfn.IFS(_xlpm.MyAuditVal&lt;&gt;"",UPPER(_xlpm.MyAuditVal),_xlpm.MacVal&lt;&gt;"",_xlpm.MacVal,_xlpm.CSVVal&lt;&gt;"",_xlpm.CSVVal
)),"")</f>
        <v/>
      </c>
      <c r="K1311" s="40" t="str" cm="1">
        <f t="array" ref="K1311">IFERROR(_xlfn.LET(
_xlpm.CSVVal,_xlfn.XLOOKUP($A1311,CSV!$A:$A,CSV!K:K,""),
_xlpm.MacVal,_xlfn.XLOOKUP($A1311,Output_Mac!$A:$A,Output_Mac!K:K,""),
_xlpm.MyAuditVal,_xlfn.XLOOKUP($A1311,My_Audit!$A:$A,My_Audit!J:J,""),
_xlfn.IFS(_xlpm.MyAuditVal&lt;&gt;"",UPPER(_xlpm.MyAuditVal),_xlpm.MacVal&lt;&gt;"",_xlpm.MacVal,_xlpm.CSVVal&lt;&gt;"",_xlpm.CSVVal
)),"")</f>
        <v/>
      </c>
      <c r="L1311" s="40" t="str" cm="1">
        <f t="array" ref="L1311">IFERROR(_xlfn.LET(
_xlpm.CSVVal,_xlfn.XLOOKUP($A1311,CSV!$A:$A,CSV!P:P,""),
_xlpm.MacVal,_xlfn.XLOOKUP($A1311,Output_Mac!$A:$A,Output_Mac!L:L,""),
_xlpm.MyAuditVal,_xlfn.XLOOKUP($A1311,My_Audit!$A:$A,My_Audit!K:K,""),
_xlfn.IFS(_xlpm.MyAuditVal&lt;&gt;"",UPPER(_xlpm.MyAuditVal),_xlpm.MacVal&lt;&gt;"",_xlpm.MacVal,_xlpm.CSVVal&lt;&gt;"",_xlpm.CSVVal
)),"")</f>
        <v/>
      </c>
      <c r="M1311" s="40" t="str" cm="1">
        <f t="array" ref="M1311">IFERROR(_xlfn.LET(
_xlpm.CSVVal,_xlfn.XLOOKUP($A1311,CSV!$A:$A,CSV!Q:Q,""),
_xlpm.MacVal,_xlfn.XLOOKUP($A1311,Output_Mac!$A:$A,Output_Mac!M:M,""),
_xlpm.MyAuditVal,_xlfn.XLOOKUP($A1311,My_Audit!$A:$A,My_Audit!L:L,""),
_xlfn.IFS(_xlpm.MyAuditVal&lt;&gt;"",UPPER(_xlpm.MyAuditVal),_xlpm.MacVal&lt;&gt;"",_xlpm.MacVal,_xlpm.CSVVal&lt;&gt;"",_xlpm.CSVVal
)),"")</f>
        <v/>
      </c>
      <c r="N1311" s="40"/>
      <c r="O1311" s="40" t="str">
        <f>_xlfn.LET(
    _xlpm.CSVVal, _xlfn.XLOOKUP($A1311, CSV!$A:$A, CSV!AA:AA, ""),
    _xlpm.MacVal, _xlfn.XLOOKUP($A1311, Output_Mac!$A:$A, Output_Mac!S:S, ""),
    _xlpm.MyAuditVal, _xlfn.XLOOKUP($A1311, My_Audit!$A:$A, My_Audit!P:P, ""),
    _xlfn.TEXTJOIN(", ", TRUE, _xlpm.MyAuditVal, _xlpm.MacVal, _xlpm.CSVVal)
)</f>
        <v/>
      </c>
      <c r="P1311" s="40" t="str" cm="1">
        <f t="array" ref="P1311">IFERROR(_xlfn.LET(
_xlpm.CSVVal,_xlfn.XLOOKUP($A1311,CSV!$A:$A,CSV!AB:AB,""),
_xlpm.MacVal,_xlfn.XLOOKUP($A1311,Output_Mac!$A:$A,Output_Mac!T:T,""),
_xlpm.MyAuditVal,_xlfn.XLOOKUP($A1311,My_Audit!$A:$A,My_Audit!Q:Q,""),
_xlfn.IFS(_xlpm.MyAuditVal&lt;&gt;"",UPPER(_xlpm.MyAuditVal),_xlpm.MacVal&lt;&gt;"",_xlpm.MacVal,_xlpm.CSVVal&lt;&gt;"",_xlpm.CSVVal
)),"No")</f>
        <v>No</v>
      </c>
      <c r="Q1311" s="40" t="str" cm="1">
        <f t="array" ref="Q1311">IFERROR(_xlfn.LET(
_xlpm.CSVVal,_xlfn.XLOOKUP($A1311,CSV!$A:$A,CSV!AC:AC,""),
_xlpm.MacVal,_xlfn.XLOOKUP($A1311,Output_Mac!$A:$A,Output_Mac!U:U,""),
_xlpm.MyAuditVal,_xlfn.XLOOKUP($A1311,My_Audit!$A:$A,My_Audit!R:R,""),
_xlfn.IFS(_xlpm.MyAuditVal&lt;&gt;"",UPPER(_xlpm.MyAuditVal),_xlpm.MacVal&lt;&gt;"",_xlpm.MacVal,_xlpm.CSVVal&lt;&gt;"",_xlpm.CSVVal
)),"")</f>
        <v/>
      </c>
      <c r="R1311" s="40"/>
      <c r="S1311" s="40"/>
      <c r="T1311" s="40"/>
      <c r="U1311" s="40"/>
      <c r="V1311" s="40"/>
      <c r="W1311" s="40"/>
      <c r="X1311" s="41" t="str">
        <f>_xlfn.LET(
    _xlpm.MacVal, _xlfn.XLOOKUP($A1311, Output_Mac!$A:$A, Output_Mac!AB:AB, ""),
    _xlpm.MyAuditVal, _xlfn.XLOOKUP($A1311, My_Audit!$A:$A, My_Audit!N:N, ""),
    _xlfn.TEXTJOIN(", ", TRUE, _xlpm.MyAuditVal, _xlpm.MacVal)
)</f>
        <v/>
      </c>
    </row>
    <row r="1312" spans="1:24">
      <c r="A1312" s="40" t="str">
        <f>_xlfn.TEXTJOIN("",TRUE,Input!$B$2,ROW(My_Audit!A1311))</f>
        <v>X1311</v>
      </c>
      <c r="B1312" s="40" t="str">
        <f>_xlfn.TEXTJOIN("-",TRUE,"ITD",Input!$A$2,A1312)</f>
        <v>ITD-X1311</v>
      </c>
      <c r="C1312" s="40" t="str" cm="1">
        <f t="array" ref="C1312">IFERROR(_xlfn.LET(
_xlpm.CSVVal,_xlfn.XLOOKUP($A1312,CSV!$A:$A,CSV!B:B,""),
_xlpm.MacVal,_xlfn.XLOOKUP($A1312,Output_Mac!$A:$A,Output_Mac!B:B,""),
_xlpm.MyAuditVal,_xlfn.XLOOKUP($A1312,My_Audit!$A:$A,My_Audit!B:B,""),
_xlfn.IFS(_xlpm.MyAuditVal&lt;&gt;"",UPPER(_xlpm.MyAuditVal),_xlpm.MacVal&lt;&gt;"",_xlpm.MacVal,_xlpm.CSVVal&lt;&gt;"",_xlpm.CSVVal
)),"")</f>
        <v/>
      </c>
      <c r="D1312" s="40" t="str" cm="1">
        <f t="array" ref="D1312">IFERROR(_xlfn.LET(
_xlpm.CSVVal,_xlfn.XLOOKUP($A1312,CSV!$A:$A,CSV!D:D,""),
_xlpm.MacVal,_xlfn.XLOOKUP($A1312,Output_Mac!$A:$A,Output_Mac!C:C,""),
_xlpm.MyAuditVal,_xlfn.XLOOKUP($A1312,My_Audit!$A:$A,My_Audit!C:C,""),
_xlfn.IFS(_xlpm.MyAuditVal&lt;&gt;"",_xlpm.MyAuditVal,_xlpm.MacVal&lt;&gt;"",_xlpm.MacVal,_xlpm.CSVVal&lt;&gt;"",_xlpm.CSVVal
)),"")</f>
        <v/>
      </c>
      <c r="E1312" s="40" t="str">
        <f>_xlfn.XLOOKUP(A1312,My_Audit!A:A,My_Audit!D:D,"")</f>
        <v/>
      </c>
      <c r="F1312" s="40" t="str" cm="1">
        <f t="array" ref="F1312">IFERROR(_xlfn.LET(
_xlpm.CSVVal,_xlfn.XLOOKUP($A1312,CSV!$A:$A,CSV!F:F,""),
_xlpm.MacVal,_xlfn.XLOOKUP($A1312,Output_Mac!$A:$A,Output_Mac!E:E,""),
_xlpm.MyAuditVal,_xlfn.XLOOKUP($A1312,My_Audit!$A:$A,My_Audit!E:E,""),
_xlfn.IFS(_xlpm.MyAuditVal&lt;&gt;"",_xlpm.MyAuditVal,_xlpm.MacVal&lt;&gt;"",_xlpm.MacVal,_xlpm.CSVVal&lt;&gt;"",_xlpm.CSVVal
)),"")</f>
        <v/>
      </c>
      <c r="G1312" s="40" t="str" cm="1">
        <f t="array" ref="G1312">IFERROR(_xlfn.LET(
_xlpm.CSVVal,_xlfn.XLOOKUP($A1312,CSV!$A:$A,CSV!G:G,""),
_xlpm.MacVal,_xlfn.XLOOKUP($A1312,Output_Mac!$A:$A,Output_Mac!F:F,""),
_xlpm.MyAuditVal,_xlfn.XLOOKUP($A1312,My_Audit!$A:$A,My_Audit!F:F,""),
_xlfn.IFS(_xlpm.MyAuditVal&lt;&gt;"",_xlpm.MyAuditVal,_xlpm.MacVal&lt;&gt;"",_xlpm.MacVal,_xlpm.CSVVal&lt;&gt;"",PROPER(_xlpm.CSVVal)
)),"")</f>
        <v/>
      </c>
      <c r="H1312" s="40" t="str" cm="1">
        <f t="array" ref="H1312">IFERROR(_xlfn.LET(
_xlpm.CSVVal,_xlfn.XLOOKUP($A1312,CSV!$A:$A,CSV!H:H,""),
_xlpm.MacVal,_xlfn.XLOOKUP($A1312,Output_Mac!$A:$A,Output_Mac!H:H,""),
_xlpm.MyAuditVal,_xlfn.XLOOKUP($A1312,My_Audit!$A:$A,My_Audit!G:G,""),
_xlfn.IFS(_xlpm.MyAuditVal&lt;&gt;"",_xlpm.MyAuditVal,_xlpm.MacVal&lt;&gt;"",_xlpm.MacVal,_xlpm.CSVVal&lt;&gt;"",_xlpm.CSVVal
)),"")</f>
        <v/>
      </c>
      <c r="I1312" s="40" t="str">
        <f>_xlfn.XLOOKUP(A1312,Output_Mac!A:A,Output_Mac!I:I,"")</f>
        <v/>
      </c>
      <c r="J1312" s="40" t="str" cm="1">
        <f t="array" ref="J1312">IFERROR(_xlfn.LET(
_xlpm.CSVVal,_xlfn.XLOOKUP($A1312,CSV!$A:$A,CSV!I:I,""),
_xlpm.MacVal,_xlfn.XLOOKUP($A1312,Output_Mac!$A:$A,Output_Mac!J:J,""),
_xlpm.MyAuditVal,_xlfn.XLOOKUP($A1312,My_Audit!$A:$A,My_Audit!I:I,""),
_xlfn.IFS(_xlpm.MyAuditVal&lt;&gt;"",UPPER(_xlpm.MyAuditVal),_xlpm.MacVal&lt;&gt;"",_xlpm.MacVal,_xlpm.CSVVal&lt;&gt;"",_xlpm.CSVVal
)),"")</f>
        <v/>
      </c>
      <c r="K1312" s="40" t="str" cm="1">
        <f t="array" ref="K1312">IFERROR(_xlfn.LET(
_xlpm.CSVVal,_xlfn.XLOOKUP($A1312,CSV!$A:$A,CSV!K:K,""),
_xlpm.MacVal,_xlfn.XLOOKUP($A1312,Output_Mac!$A:$A,Output_Mac!K:K,""),
_xlpm.MyAuditVal,_xlfn.XLOOKUP($A1312,My_Audit!$A:$A,My_Audit!J:J,""),
_xlfn.IFS(_xlpm.MyAuditVal&lt;&gt;"",UPPER(_xlpm.MyAuditVal),_xlpm.MacVal&lt;&gt;"",_xlpm.MacVal,_xlpm.CSVVal&lt;&gt;"",_xlpm.CSVVal
)),"")</f>
        <v/>
      </c>
      <c r="L1312" s="40" t="str" cm="1">
        <f t="array" ref="L1312">IFERROR(_xlfn.LET(
_xlpm.CSVVal,_xlfn.XLOOKUP($A1312,CSV!$A:$A,CSV!P:P,""),
_xlpm.MacVal,_xlfn.XLOOKUP($A1312,Output_Mac!$A:$A,Output_Mac!L:L,""),
_xlpm.MyAuditVal,_xlfn.XLOOKUP($A1312,My_Audit!$A:$A,My_Audit!K:K,""),
_xlfn.IFS(_xlpm.MyAuditVal&lt;&gt;"",UPPER(_xlpm.MyAuditVal),_xlpm.MacVal&lt;&gt;"",_xlpm.MacVal,_xlpm.CSVVal&lt;&gt;"",_xlpm.CSVVal
)),"")</f>
        <v/>
      </c>
      <c r="M1312" s="40" t="str" cm="1">
        <f t="array" ref="M1312">IFERROR(_xlfn.LET(
_xlpm.CSVVal,_xlfn.XLOOKUP($A1312,CSV!$A:$A,CSV!Q:Q,""),
_xlpm.MacVal,_xlfn.XLOOKUP($A1312,Output_Mac!$A:$A,Output_Mac!M:M,""),
_xlpm.MyAuditVal,_xlfn.XLOOKUP($A1312,My_Audit!$A:$A,My_Audit!L:L,""),
_xlfn.IFS(_xlpm.MyAuditVal&lt;&gt;"",UPPER(_xlpm.MyAuditVal),_xlpm.MacVal&lt;&gt;"",_xlpm.MacVal,_xlpm.CSVVal&lt;&gt;"",_xlpm.CSVVal
)),"")</f>
        <v/>
      </c>
      <c r="N1312" s="40"/>
      <c r="O1312" s="40" t="str">
        <f>_xlfn.LET(
    _xlpm.CSVVal, _xlfn.XLOOKUP($A1312, CSV!$A:$A, CSV!AA:AA, ""),
    _xlpm.MacVal, _xlfn.XLOOKUP($A1312, Output_Mac!$A:$A, Output_Mac!S:S, ""),
    _xlpm.MyAuditVal, _xlfn.XLOOKUP($A1312, My_Audit!$A:$A, My_Audit!P:P, ""),
    _xlfn.TEXTJOIN(", ", TRUE, _xlpm.MyAuditVal, _xlpm.MacVal, _xlpm.CSVVal)
)</f>
        <v/>
      </c>
      <c r="P1312" s="40" t="str" cm="1">
        <f t="array" ref="P1312">IFERROR(_xlfn.LET(
_xlpm.CSVVal,_xlfn.XLOOKUP($A1312,CSV!$A:$A,CSV!AB:AB,""),
_xlpm.MacVal,_xlfn.XLOOKUP($A1312,Output_Mac!$A:$A,Output_Mac!T:T,""),
_xlpm.MyAuditVal,_xlfn.XLOOKUP($A1312,My_Audit!$A:$A,My_Audit!Q:Q,""),
_xlfn.IFS(_xlpm.MyAuditVal&lt;&gt;"",UPPER(_xlpm.MyAuditVal),_xlpm.MacVal&lt;&gt;"",_xlpm.MacVal,_xlpm.CSVVal&lt;&gt;"",_xlpm.CSVVal
)),"No")</f>
        <v>No</v>
      </c>
      <c r="Q1312" s="40" t="str" cm="1">
        <f t="array" ref="Q1312">IFERROR(_xlfn.LET(
_xlpm.CSVVal,_xlfn.XLOOKUP($A1312,CSV!$A:$A,CSV!AC:AC,""),
_xlpm.MacVal,_xlfn.XLOOKUP($A1312,Output_Mac!$A:$A,Output_Mac!U:U,""),
_xlpm.MyAuditVal,_xlfn.XLOOKUP($A1312,My_Audit!$A:$A,My_Audit!R:R,""),
_xlfn.IFS(_xlpm.MyAuditVal&lt;&gt;"",UPPER(_xlpm.MyAuditVal),_xlpm.MacVal&lt;&gt;"",_xlpm.MacVal,_xlpm.CSVVal&lt;&gt;"",_xlpm.CSVVal
)),"")</f>
        <v/>
      </c>
      <c r="R1312" s="40"/>
      <c r="S1312" s="40"/>
      <c r="T1312" s="40"/>
      <c r="U1312" s="40"/>
      <c r="V1312" s="40"/>
      <c r="W1312" s="40"/>
      <c r="X1312" s="41" t="str">
        <f>_xlfn.LET(
    _xlpm.MacVal, _xlfn.XLOOKUP($A1312, Output_Mac!$A:$A, Output_Mac!AB:AB, ""),
    _xlpm.MyAuditVal, _xlfn.XLOOKUP($A1312, My_Audit!$A:$A, My_Audit!N:N, ""),
    _xlfn.TEXTJOIN(", ", TRUE, _xlpm.MyAuditVal, _xlpm.MacVal)
)</f>
        <v/>
      </c>
    </row>
    <row r="1313" spans="1:24">
      <c r="A1313" s="40" t="str">
        <f>_xlfn.TEXTJOIN("",TRUE,Input!$B$2,ROW(My_Audit!A1312))</f>
        <v>X1312</v>
      </c>
      <c r="B1313" s="40" t="str">
        <f>_xlfn.TEXTJOIN("-",TRUE,"ITD",Input!$A$2,A1313)</f>
        <v>ITD-X1312</v>
      </c>
      <c r="C1313" s="40" t="str" cm="1">
        <f t="array" ref="C1313">IFERROR(_xlfn.LET(
_xlpm.CSVVal,_xlfn.XLOOKUP($A1313,CSV!$A:$A,CSV!B:B,""),
_xlpm.MacVal,_xlfn.XLOOKUP($A1313,Output_Mac!$A:$A,Output_Mac!B:B,""),
_xlpm.MyAuditVal,_xlfn.XLOOKUP($A1313,My_Audit!$A:$A,My_Audit!B:B,""),
_xlfn.IFS(_xlpm.MyAuditVal&lt;&gt;"",UPPER(_xlpm.MyAuditVal),_xlpm.MacVal&lt;&gt;"",_xlpm.MacVal,_xlpm.CSVVal&lt;&gt;"",_xlpm.CSVVal
)),"")</f>
        <v/>
      </c>
      <c r="D1313" s="40" t="str" cm="1">
        <f t="array" ref="D1313">IFERROR(_xlfn.LET(
_xlpm.CSVVal,_xlfn.XLOOKUP($A1313,CSV!$A:$A,CSV!D:D,""),
_xlpm.MacVal,_xlfn.XLOOKUP($A1313,Output_Mac!$A:$A,Output_Mac!C:C,""),
_xlpm.MyAuditVal,_xlfn.XLOOKUP($A1313,My_Audit!$A:$A,My_Audit!C:C,""),
_xlfn.IFS(_xlpm.MyAuditVal&lt;&gt;"",_xlpm.MyAuditVal,_xlpm.MacVal&lt;&gt;"",_xlpm.MacVal,_xlpm.CSVVal&lt;&gt;"",_xlpm.CSVVal
)),"")</f>
        <v/>
      </c>
      <c r="E1313" s="40" t="str">
        <f>_xlfn.XLOOKUP(A1313,My_Audit!A:A,My_Audit!D:D,"")</f>
        <v/>
      </c>
      <c r="F1313" s="40" t="str" cm="1">
        <f t="array" ref="F1313">IFERROR(_xlfn.LET(
_xlpm.CSVVal,_xlfn.XLOOKUP($A1313,CSV!$A:$A,CSV!F:F,""),
_xlpm.MacVal,_xlfn.XLOOKUP($A1313,Output_Mac!$A:$A,Output_Mac!E:E,""),
_xlpm.MyAuditVal,_xlfn.XLOOKUP($A1313,My_Audit!$A:$A,My_Audit!E:E,""),
_xlfn.IFS(_xlpm.MyAuditVal&lt;&gt;"",_xlpm.MyAuditVal,_xlpm.MacVal&lt;&gt;"",_xlpm.MacVal,_xlpm.CSVVal&lt;&gt;"",_xlpm.CSVVal
)),"")</f>
        <v/>
      </c>
      <c r="G1313" s="40" t="str" cm="1">
        <f t="array" ref="G1313">IFERROR(_xlfn.LET(
_xlpm.CSVVal,_xlfn.XLOOKUP($A1313,CSV!$A:$A,CSV!G:G,""),
_xlpm.MacVal,_xlfn.XLOOKUP($A1313,Output_Mac!$A:$A,Output_Mac!F:F,""),
_xlpm.MyAuditVal,_xlfn.XLOOKUP($A1313,My_Audit!$A:$A,My_Audit!F:F,""),
_xlfn.IFS(_xlpm.MyAuditVal&lt;&gt;"",_xlpm.MyAuditVal,_xlpm.MacVal&lt;&gt;"",_xlpm.MacVal,_xlpm.CSVVal&lt;&gt;"",PROPER(_xlpm.CSVVal)
)),"")</f>
        <v/>
      </c>
      <c r="H1313" s="40" t="str" cm="1">
        <f t="array" ref="H1313">IFERROR(_xlfn.LET(
_xlpm.CSVVal,_xlfn.XLOOKUP($A1313,CSV!$A:$A,CSV!H:H,""),
_xlpm.MacVal,_xlfn.XLOOKUP($A1313,Output_Mac!$A:$A,Output_Mac!H:H,""),
_xlpm.MyAuditVal,_xlfn.XLOOKUP($A1313,My_Audit!$A:$A,My_Audit!G:G,""),
_xlfn.IFS(_xlpm.MyAuditVal&lt;&gt;"",_xlpm.MyAuditVal,_xlpm.MacVal&lt;&gt;"",_xlpm.MacVal,_xlpm.CSVVal&lt;&gt;"",_xlpm.CSVVal
)),"")</f>
        <v/>
      </c>
      <c r="I1313" s="40" t="str">
        <f>_xlfn.XLOOKUP(A1313,Output_Mac!A:A,Output_Mac!I:I,"")</f>
        <v/>
      </c>
      <c r="J1313" s="40" t="str" cm="1">
        <f t="array" ref="J1313">IFERROR(_xlfn.LET(
_xlpm.CSVVal,_xlfn.XLOOKUP($A1313,CSV!$A:$A,CSV!I:I,""),
_xlpm.MacVal,_xlfn.XLOOKUP($A1313,Output_Mac!$A:$A,Output_Mac!J:J,""),
_xlpm.MyAuditVal,_xlfn.XLOOKUP($A1313,My_Audit!$A:$A,My_Audit!I:I,""),
_xlfn.IFS(_xlpm.MyAuditVal&lt;&gt;"",UPPER(_xlpm.MyAuditVal),_xlpm.MacVal&lt;&gt;"",_xlpm.MacVal,_xlpm.CSVVal&lt;&gt;"",_xlpm.CSVVal
)),"")</f>
        <v/>
      </c>
      <c r="K1313" s="40" t="str" cm="1">
        <f t="array" ref="K1313">IFERROR(_xlfn.LET(
_xlpm.CSVVal,_xlfn.XLOOKUP($A1313,CSV!$A:$A,CSV!K:K,""),
_xlpm.MacVal,_xlfn.XLOOKUP($A1313,Output_Mac!$A:$A,Output_Mac!K:K,""),
_xlpm.MyAuditVal,_xlfn.XLOOKUP($A1313,My_Audit!$A:$A,My_Audit!J:J,""),
_xlfn.IFS(_xlpm.MyAuditVal&lt;&gt;"",UPPER(_xlpm.MyAuditVal),_xlpm.MacVal&lt;&gt;"",_xlpm.MacVal,_xlpm.CSVVal&lt;&gt;"",_xlpm.CSVVal
)),"")</f>
        <v/>
      </c>
      <c r="L1313" s="40" t="str" cm="1">
        <f t="array" ref="L1313">IFERROR(_xlfn.LET(
_xlpm.CSVVal,_xlfn.XLOOKUP($A1313,CSV!$A:$A,CSV!P:P,""),
_xlpm.MacVal,_xlfn.XLOOKUP($A1313,Output_Mac!$A:$A,Output_Mac!L:L,""),
_xlpm.MyAuditVal,_xlfn.XLOOKUP($A1313,My_Audit!$A:$A,My_Audit!K:K,""),
_xlfn.IFS(_xlpm.MyAuditVal&lt;&gt;"",UPPER(_xlpm.MyAuditVal),_xlpm.MacVal&lt;&gt;"",_xlpm.MacVal,_xlpm.CSVVal&lt;&gt;"",_xlpm.CSVVal
)),"")</f>
        <v/>
      </c>
      <c r="M1313" s="40" t="str" cm="1">
        <f t="array" ref="M1313">IFERROR(_xlfn.LET(
_xlpm.CSVVal,_xlfn.XLOOKUP($A1313,CSV!$A:$A,CSV!Q:Q,""),
_xlpm.MacVal,_xlfn.XLOOKUP($A1313,Output_Mac!$A:$A,Output_Mac!M:M,""),
_xlpm.MyAuditVal,_xlfn.XLOOKUP($A1313,My_Audit!$A:$A,My_Audit!L:L,""),
_xlfn.IFS(_xlpm.MyAuditVal&lt;&gt;"",UPPER(_xlpm.MyAuditVal),_xlpm.MacVal&lt;&gt;"",_xlpm.MacVal,_xlpm.CSVVal&lt;&gt;"",_xlpm.CSVVal
)),"")</f>
        <v/>
      </c>
      <c r="N1313" s="40"/>
      <c r="O1313" s="40" t="str">
        <f>_xlfn.LET(
    _xlpm.CSVVal, _xlfn.XLOOKUP($A1313, CSV!$A:$A, CSV!AA:AA, ""),
    _xlpm.MacVal, _xlfn.XLOOKUP($A1313, Output_Mac!$A:$A, Output_Mac!S:S, ""),
    _xlpm.MyAuditVal, _xlfn.XLOOKUP($A1313, My_Audit!$A:$A, My_Audit!P:P, ""),
    _xlfn.TEXTJOIN(", ", TRUE, _xlpm.MyAuditVal, _xlpm.MacVal, _xlpm.CSVVal)
)</f>
        <v/>
      </c>
      <c r="P1313" s="40" t="str" cm="1">
        <f t="array" ref="P1313">IFERROR(_xlfn.LET(
_xlpm.CSVVal,_xlfn.XLOOKUP($A1313,CSV!$A:$A,CSV!AB:AB,""),
_xlpm.MacVal,_xlfn.XLOOKUP($A1313,Output_Mac!$A:$A,Output_Mac!T:T,""),
_xlpm.MyAuditVal,_xlfn.XLOOKUP($A1313,My_Audit!$A:$A,My_Audit!Q:Q,""),
_xlfn.IFS(_xlpm.MyAuditVal&lt;&gt;"",UPPER(_xlpm.MyAuditVal),_xlpm.MacVal&lt;&gt;"",_xlpm.MacVal,_xlpm.CSVVal&lt;&gt;"",_xlpm.CSVVal
)),"No")</f>
        <v>No</v>
      </c>
      <c r="Q1313" s="40" t="str" cm="1">
        <f t="array" ref="Q1313">IFERROR(_xlfn.LET(
_xlpm.CSVVal,_xlfn.XLOOKUP($A1313,CSV!$A:$A,CSV!AC:AC,""),
_xlpm.MacVal,_xlfn.XLOOKUP($A1313,Output_Mac!$A:$A,Output_Mac!U:U,""),
_xlpm.MyAuditVal,_xlfn.XLOOKUP($A1313,My_Audit!$A:$A,My_Audit!R:R,""),
_xlfn.IFS(_xlpm.MyAuditVal&lt;&gt;"",UPPER(_xlpm.MyAuditVal),_xlpm.MacVal&lt;&gt;"",_xlpm.MacVal,_xlpm.CSVVal&lt;&gt;"",_xlpm.CSVVal
)),"")</f>
        <v/>
      </c>
      <c r="R1313" s="40"/>
      <c r="S1313" s="40"/>
      <c r="T1313" s="40"/>
      <c r="U1313" s="40"/>
      <c r="V1313" s="40"/>
      <c r="W1313" s="40"/>
      <c r="X1313" s="41" t="str">
        <f>_xlfn.LET(
    _xlpm.MacVal, _xlfn.XLOOKUP($A1313, Output_Mac!$A:$A, Output_Mac!AB:AB, ""),
    _xlpm.MyAuditVal, _xlfn.XLOOKUP($A1313, My_Audit!$A:$A, My_Audit!N:N, ""),
    _xlfn.TEXTJOIN(", ", TRUE, _xlpm.MyAuditVal, _xlpm.MacVal)
)</f>
        <v/>
      </c>
    </row>
    <row r="1314" spans="1:24">
      <c r="A1314" s="40" t="str">
        <f>_xlfn.TEXTJOIN("",TRUE,Input!$B$2,ROW(My_Audit!A1313))</f>
        <v>X1313</v>
      </c>
      <c r="B1314" s="40" t="str">
        <f>_xlfn.TEXTJOIN("-",TRUE,"ITD",Input!$A$2,A1314)</f>
        <v>ITD-X1313</v>
      </c>
      <c r="C1314" s="40" t="str" cm="1">
        <f t="array" ref="C1314">IFERROR(_xlfn.LET(
_xlpm.CSVVal,_xlfn.XLOOKUP($A1314,CSV!$A:$A,CSV!B:B,""),
_xlpm.MacVal,_xlfn.XLOOKUP($A1314,Output_Mac!$A:$A,Output_Mac!B:B,""),
_xlpm.MyAuditVal,_xlfn.XLOOKUP($A1314,My_Audit!$A:$A,My_Audit!B:B,""),
_xlfn.IFS(_xlpm.MyAuditVal&lt;&gt;"",UPPER(_xlpm.MyAuditVal),_xlpm.MacVal&lt;&gt;"",_xlpm.MacVal,_xlpm.CSVVal&lt;&gt;"",_xlpm.CSVVal
)),"")</f>
        <v/>
      </c>
      <c r="D1314" s="40" t="str" cm="1">
        <f t="array" ref="D1314">IFERROR(_xlfn.LET(
_xlpm.CSVVal,_xlfn.XLOOKUP($A1314,CSV!$A:$A,CSV!D:D,""),
_xlpm.MacVal,_xlfn.XLOOKUP($A1314,Output_Mac!$A:$A,Output_Mac!C:C,""),
_xlpm.MyAuditVal,_xlfn.XLOOKUP($A1314,My_Audit!$A:$A,My_Audit!C:C,""),
_xlfn.IFS(_xlpm.MyAuditVal&lt;&gt;"",_xlpm.MyAuditVal,_xlpm.MacVal&lt;&gt;"",_xlpm.MacVal,_xlpm.CSVVal&lt;&gt;"",_xlpm.CSVVal
)),"")</f>
        <v/>
      </c>
      <c r="E1314" s="40" t="str">
        <f>_xlfn.XLOOKUP(A1314,My_Audit!A:A,My_Audit!D:D,"")</f>
        <v/>
      </c>
      <c r="F1314" s="40" t="str" cm="1">
        <f t="array" ref="F1314">IFERROR(_xlfn.LET(
_xlpm.CSVVal,_xlfn.XLOOKUP($A1314,CSV!$A:$A,CSV!F:F,""),
_xlpm.MacVal,_xlfn.XLOOKUP($A1314,Output_Mac!$A:$A,Output_Mac!E:E,""),
_xlpm.MyAuditVal,_xlfn.XLOOKUP($A1314,My_Audit!$A:$A,My_Audit!E:E,""),
_xlfn.IFS(_xlpm.MyAuditVal&lt;&gt;"",_xlpm.MyAuditVal,_xlpm.MacVal&lt;&gt;"",_xlpm.MacVal,_xlpm.CSVVal&lt;&gt;"",_xlpm.CSVVal
)),"")</f>
        <v/>
      </c>
      <c r="G1314" s="40" t="str" cm="1">
        <f t="array" ref="G1314">IFERROR(_xlfn.LET(
_xlpm.CSVVal,_xlfn.XLOOKUP($A1314,CSV!$A:$A,CSV!G:G,""),
_xlpm.MacVal,_xlfn.XLOOKUP($A1314,Output_Mac!$A:$A,Output_Mac!F:F,""),
_xlpm.MyAuditVal,_xlfn.XLOOKUP($A1314,My_Audit!$A:$A,My_Audit!F:F,""),
_xlfn.IFS(_xlpm.MyAuditVal&lt;&gt;"",_xlpm.MyAuditVal,_xlpm.MacVal&lt;&gt;"",_xlpm.MacVal,_xlpm.CSVVal&lt;&gt;"",PROPER(_xlpm.CSVVal)
)),"")</f>
        <v/>
      </c>
      <c r="H1314" s="40" t="str" cm="1">
        <f t="array" ref="H1314">IFERROR(_xlfn.LET(
_xlpm.CSVVal,_xlfn.XLOOKUP($A1314,CSV!$A:$A,CSV!H:H,""),
_xlpm.MacVal,_xlfn.XLOOKUP($A1314,Output_Mac!$A:$A,Output_Mac!H:H,""),
_xlpm.MyAuditVal,_xlfn.XLOOKUP($A1314,My_Audit!$A:$A,My_Audit!G:G,""),
_xlfn.IFS(_xlpm.MyAuditVal&lt;&gt;"",_xlpm.MyAuditVal,_xlpm.MacVal&lt;&gt;"",_xlpm.MacVal,_xlpm.CSVVal&lt;&gt;"",_xlpm.CSVVal
)),"")</f>
        <v/>
      </c>
      <c r="I1314" s="40" t="str">
        <f>_xlfn.XLOOKUP(A1314,Output_Mac!A:A,Output_Mac!I:I,"")</f>
        <v/>
      </c>
      <c r="J1314" s="40" t="str" cm="1">
        <f t="array" ref="J1314">IFERROR(_xlfn.LET(
_xlpm.CSVVal,_xlfn.XLOOKUP($A1314,CSV!$A:$A,CSV!I:I,""),
_xlpm.MacVal,_xlfn.XLOOKUP($A1314,Output_Mac!$A:$A,Output_Mac!J:J,""),
_xlpm.MyAuditVal,_xlfn.XLOOKUP($A1314,My_Audit!$A:$A,My_Audit!I:I,""),
_xlfn.IFS(_xlpm.MyAuditVal&lt;&gt;"",UPPER(_xlpm.MyAuditVal),_xlpm.MacVal&lt;&gt;"",_xlpm.MacVal,_xlpm.CSVVal&lt;&gt;"",_xlpm.CSVVal
)),"")</f>
        <v/>
      </c>
      <c r="K1314" s="40" t="str" cm="1">
        <f t="array" ref="K1314">IFERROR(_xlfn.LET(
_xlpm.CSVVal,_xlfn.XLOOKUP($A1314,CSV!$A:$A,CSV!K:K,""),
_xlpm.MacVal,_xlfn.XLOOKUP($A1314,Output_Mac!$A:$A,Output_Mac!K:K,""),
_xlpm.MyAuditVal,_xlfn.XLOOKUP($A1314,My_Audit!$A:$A,My_Audit!J:J,""),
_xlfn.IFS(_xlpm.MyAuditVal&lt;&gt;"",UPPER(_xlpm.MyAuditVal),_xlpm.MacVal&lt;&gt;"",_xlpm.MacVal,_xlpm.CSVVal&lt;&gt;"",_xlpm.CSVVal
)),"")</f>
        <v/>
      </c>
      <c r="L1314" s="40" t="str" cm="1">
        <f t="array" ref="L1314">IFERROR(_xlfn.LET(
_xlpm.CSVVal,_xlfn.XLOOKUP($A1314,CSV!$A:$A,CSV!P:P,""),
_xlpm.MacVal,_xlfn.XLOOKUP($A1314,Output_Mac!$A:$A,Output_Mac!L:L,""),
_xlpm.MyAuditVal,_xlfn.XLOOKUP($A1314,My_Audit!$A:$A,My_Audit!K:K,""),
_xlfn.IFS(_xlpm.MyAuditVal&lt;&gt;"",UPPER(_xlpm.MyAuditVal),_xlpm.MacVal&lt;&gt;"",_xlpm.MacVal,_xlpm.CSVVal&lt;&gt;"",_xlpm.CSVVal
)),"")</f>
        <v/>
      </c>
      <c r="M1314" s="40" t="str" cm="1">
        <f t="array" ref="M1314">IFERROR(_xlfn.LET(
_xlpm.CSVVal,_xlfn.XLOOKUP($A1314,CSV!$A:$A,CSV!Q:Q,""),
_xlpm.MacVal,_xlfn.XLOOKUP($A1314,Output_Mac!$A:$A,Output_Mac!M:M,""),
_xlpm.MyAuditVal,_xlfn.XLOOKUP($A1314,My_Audit!$A:$A,My_Audit!L:L,""),
_xlfn.IFS(_xlpm.MyAuditVal&lt;&gt;"",UPPER(_xlpm.MyAuditVal),_xlpm.MacVal&lt;&gt;"",_xlpm.MacVal,_xlpm.CSVVal&lt;&gt;"",_xlpm.CSVVal
)),"")</f>
        <v/>
      </c>
      <c r="N1314" s="40"/>
      <c r="O1314" s="40" t="str">
        <f>_xlfn.LET(
    _xlpm.CSVVal, _xlfn.XLOOKUP($A1314, CSV!$A:$A, CSV!AA:AA, ""),
    _xlpm.MacVal, _xlfn.XLOOKUP($A1314, Output_Mac!$A:$A, Output_Mac!S:S, ""),
    _xlpm.MyAuditVal, _xlfn.XLOOKUP($A1314, My_Audit!$A:$A, My_Audit!P:P, ""),
    _xlfn.TEXTJOIN(", ", TRUE, _xlpm.MyAuditVal, _xlpm.MacVal, _xlpm.CSVVal)
)</f>
        <v/>
      </c>
      <c r="P1314" s="40" t="str" cm="1">
        <f t="array" ref="P1314">IFERROR(_xlfn.LET(
_xlpm.CSVVal,_xlfn.XLOOKUP($A1314,CSV!$A:$A,CSV!AB:AB,""),
_xlpm.MacVal,_xlfn.XLOOKUP($A1314,Output_Mac!$A:$A,Output_Mac!T:T,""),
_xlpm.MyAuditVal,_xlfn.XLOOKUP($A1314,My_Audit!$A:$A,My_Audit!Q:Q,""),
_xlfn.IFS(_xlpm.MyAuditVal&lt;&gt;"",UPPER(_xlpm.MyAuditVal),_xlpm.MacVal&lt;&gt;"",_xlpm.MacVal,_xlpm.CSVVal&lt;&gt;"",_xlpm.CSVVal
)),"No")</f>
        <v>No</v>
      </c>
      <c r="Q1314" s="40" t="str" cm="1">
        <f t="array" ref="Q1314">IFERROR(_xlfn.LET(
_xlpm.CSVVal,_xlfn.XLOOKUP($A1314,CSV!$A:$A,CSV!AC:AC,""),
_xlpm.MacVal,_xlfn.XLOOKUP($A1314,Output_Mac!$A:$A,Output_Mac!U:U,""),
_xlpm.MyAuditVal,_xlfn.XLOOKUP($A1314,My_Audit!$A:$A,My_Audit!R:R,""),
_xlfn.IFS(_xlpm.MyAuditVal&lt;&gt;"",UPPER(_xlpm.MyAuditVal),_xlpm.MacVal&lt;&gt;"",_xlpm.MacVal,_xlpm.CSVVal&lt;&gt;"",_xlpm.CSVVal
)),"")</f>
        <v/>
      </c>
      <c r="R1314" s="40"/>
      <c r="S1314" s="40"/>
      <c r="T1314" s="40"/>
      <c r="U1314" s="40"/>
      <c r="V1314" s="40"/>
      <c r="W1314" s="40"/>
      <c r="X1314" s="41" t="str">
        <f>_xlfn.LET(
    _xlpm.MacVal, _xlfn.XLOOKUP($A1314, Output_Mac!$A:$A, Output_Mac!AB:AB, ""),
    _xlpm.MyAuditVal, _xlfn.XLOOKUP($A1314, My_Audit!$A:$A, My_Audit!N:N, ""),
    _xlfn.TEXTJOIN(", ", TRUE, _xlpm.MyAuditVal, _xlpm.MacVal)
)</f>
        <v/>
      </c>
    </row>
    <row r="1315" spans="1:24">
      <c r="A1315" s="40" t="str">
        <f>_xlfn.TEXTJOIN("",TRUE,Input!$B$2,ROW(My_Audit!A1314))</f>
        <v>X1314</v>
      </c>
      <c r="B1315" s="40" t="str">
        <f>_xlfn.TEXTJOIN("-",TRUE,"ITD",Input!$A$2,A1315)</f>
        <v>ITD-X1314</v>
      </c>
      <c r="C1315" s="40" t="str" cm="1">
        <f t="array" ref="C1315">IFERROR(_xlfn.LET(
_xlpm.CSVVal,_xlfn.XLOOKUP($A1315,CSV!$A:$A,CSV!B:B,""),
_xlpm.MacVal,_xlfn.XLOOKUP($A1315,Output_Mac!$A:$A,Output_Mac!B:B,""),
_xlpm.MyAuditVal,_xlfn.XLOOKUP($A1315,My_Audit!$A:$A,My_Audit!B:B,""),
_xlfn.IFS(_xlpm.MyAuditVal&lt;&gt;"",UPPER(_xlpm.MyAuditVal),_xlpm.MacVal&lt;&gt;"",_xlpm.MacVal,_xlpm.CSVVal&lt;&gt;"",_xlpm.CSVVal
)),"")</f>
        <v/>
      </c>
      <c r="D1315" s="40" t="str" cm="1">
        <f t="array" ref="D1315">IFERROR(_xlfn.LET(
_xlpm.CSVVal,_xlfn.XLOOKUP($A1315,CSV!$A:$A,CSV!D:D,""),
_xlpm.MacVal,_xlfn.XLOOKUP($A1315,Output_Mac!$A:$A,Output_Mac!C:C,""),
_xlpm.MyAuditVal,_xlfn.XLOOKUP($A1315,My_Audit!$A:$A,My_Audit!C:C,""),
_xlfn.IFS(_xlpm.MyAuditVal&lt;&gt;"",_xlpm.MyAuditVal,_xlpm.MacVal&lt;&gt;"",_xlpm.MacVal,_xlpm.CSVVal&lt;&gt;"",_xlpm.CSVVal
)),"")</f>
        <v/>
      </c>
      <c r="E1315" s="40" t="str">
        <f>_xlfn.XLOOKUP(A1315,My_Audit!A:A,My_Audit!D:D,"")</f>
        <v/>
      </c>
      <c r="F1315" s="40" t="str" cm="1">
        <f t="array" ref="F1315">IFERROR(_xlfn.LET(
_xlpm.CSVVal,_xlfn.XLOOKUP($A1315,CSV!$A:$A,CSV!F:F,""),
_xlpm.MacVal,_xlfn.XLOOKUP($A1315,Output_Mac!$A:$A,Output_Mac!E:E,""),
_xlpm.MyAuditVal,_xlfn.XLOOKUP($A1315,My_Audit!$A:$A,My_Audit!E:E,""),
_xlfn.IFS(_xlpm.MyAuditVal&lt;&gt;"",_xlpm.MyAuditVal,_xlpm.MacVal&lt;&gt;"",_xlpm.MacVal,_xlpm.CSVVal&lt;&gt;"",_xlpm.CSVVal
)),"")</f>
        <v/>
      </c>
      <c r="G1315" s="40" t="str" cm="1">
        <f t="array" ref="G1315">IFERROR(_xlfn.LET(
_xlpm.CSVVal,_xlfn.XLOOKUP($A1315,CSV!$A:$A,CSV!G:G,""),
_xlpm.MacVal,_xlfn.XLOOKUP($A1315,Output_Mac!$A:$A,Output_Mac!F:F,""),
_xlpm.MyAuditVal,_xlfn.XLOOKUP($A1315,My_Audit!$A:$A,My_Audit!F:F,""),
_xlfn.IFS(_xlpm.MyAuditVal&lt;&gt;"",_xlpm.MyAuditVal,_xlpm.MacVal&lt;&gt;"",_xlpm.MacVal,_xlpm.CSVVal&lt;&gt;"",PROPER(_xlpm.CSVVal)
)),"")</f>
        <v/>
      </c>
      <c r="H1315" s="40" t="str" cm="1">
        <f t="array" ref="H1315">IFERROR(_xlfn.LET(
_xlpm.CSVVal,_xlfn.XLOOKUP($A1315,CSV!$A:$A,CSV!H:H,""),
_xlpm.MacVal,_xlfn.XLOOKUP($A1315,Output_Mac!$A:$A,Output_Mac!H:H,""),
_xlpm.MyAuditVal,_xlfn.XLOOKUP($A1315,My_Audit!$A:$A,My_Audit!G:G,""),
_xlfn.IFS(_xlpm.MyAuditVal&lt;&gt;"",_xlpm.MyAuditVal,_xlpm.MacVal&lt;&gt;"",_xlpm.MacVal,_xlpm.CSVVal&lt;&gt;"",_xlpm.CSVVal
)),"")</f>
        <v/>
      </c>
      <c r="I1315" s="40" t="str">
        <f>_xlfn.XLOOKUP(A1315,Output_Mac!A:A,Output_Mac!I:I,"")</f>
        <v/>
      </c>
      <c r="J1315" s="40" t="str" cm="1">
        <f t="array" ref="J1315">IFERROR(_xlfn.LET(
_xlpm.CSVVal,_xlfn.XLOOKUP($A1315,CSV!$A:$A,CSV!I:I,""),
_xlpm.MacVal,_xlfn.XLOOKUP($A1315,Output_Mac!$A:$A,Output_Mac!J:J,""),
_xlpm.MyAuditVal,_xlfn.XLOOKUP($A1315,My_Audit!$A:$A,My_Audit!I:I,""),
_xlfn.IFS(_xlpm.MyAuditVal&lt;&gt;"",UPPER(_xlpm.MyAuditVal),_xlpm.MacVal&lt;&gt;"",_xlpm.MacVal,_xlpm.CSVVal&lt;&gt;"",_xlpm.CSVVal
)),"")</f>
        <v/>
      </c>
      <c r="K1315" s="40" t="str" cm="1">
        <f t="array" ref="K1315">IFERROR(_xlfn.LET(
_xlpm.CSVVal,_xlfn.XLOOKUP($A1315,CSV!$A:$A,CSV!K:K,""),
_xlpm.MacVal,_xlfn.XLOOKUP($A1315,Output_Mac!$A:$A,Output_Mac!K:K,""),
_xlpm.MyAuditVal,_xlfn.XLOOKUP($A1315,My_Audit!$A:$A,My_Audit!J:J,""),
_xlfn.IFS(_xlpm.MyAuditVal&lt;&gt;"",UPPER(_xlpm.MyAuditVal),_xlpm.MacVal&lt;&gt;"",_xlpm.MacVal,_xlpm.CSVVal&lt;&gt;"",_xlpm.CSVVal
)),"")</f>
        <v/>
      </c>
      <c r="L1315" s="40" t="str" cm="1">
        <f t="array" ref="L1315">IFERROR(_xlfn.LET(
_xlpm.CSVVal,_xlfn.XLOOKUP($A1315,CSV!$A:$A,CSV!P:P,""),
_xlpm.MacVal,_xlfn.XLOOKUP($A1315,Output_Mac!$A:$A,Output_Mac!L:L,""),
_xlpm.MyAuditVal,_xlfn.XLOOKUP($A1315,My_Audit!$A:$A,My_Audit!K:K,""),
_xlfn.IFS(_xlpm.MyAuditVal&lt;&gt;"",UPPER(_xlpm.MyAuditVal),_xlpm.MacVal&lt;&gt;"",_xlpm.MacVal,_xlpm.CSVVal&lt;&gt;"",_xlpm.CSVVal
)),"")</f>
        <v/>
      </c>
      <c r="M1315" s="40" t="str" cm="1">
        <f t="array" ref="M1315">IFERROR(_xlfn.LET(
_xlpm.CSVVal,_xlfn.XLOOKUP($A1315,CSV!$A:$A,CSV!Q:Q,""),
_xlpm.MacVal,_xlfn.XLOOKUP($A1315,Output_Mac!$A:$A,Output_Mac!M:M,""),
_xlpm.MyAuditVal,_xlfn.XLOOKUP($A1315,My_Audit!$A:$A,My_Audit!L:L,""),
_xlfn.IFS(_xlpm.MyAuditVal&lt;&gt;"",UPPER(_xlpm.MyAuditVal),_xlpm.MacVal&lt;&gt;"",_xlpm.MacVal,_xlpm.CSVVal&lt;&gt;"",_xlpm.CSVVal
)),"")</f>
        <v/>
      </c>
      <c r="N1315" s="40"/>
      <c r="O1315" s="40" t="str">
        <f>_xlfn.LET(
    _xlpm.CSVVal, _xlfn.XLOOKUP($A1315, CSV!$A:$A, CSV!AA:AA, ""),
    _xlpm.MacVal, _xlfn.XLOOKUP($A1315, Output_Mac!$A:$A, Output_Mac!S:S, ""),
    _xlpm.MyAuditVal, _xlfn.XLOOKUP($A1315, My_Audit!$A:$A, My_Audit!P:P, ""),
    _xlfn.TEXTJOIN(", ", TRUE, _xlpm.MyAuditVal, _xlpm.MacVal, _xlpm.CSVVal)
)</f>
        <v/>
      </c>
      <c r="P1315" s="40" t="str" cm="1">
        <f t="array" ref="P1315">IFERROR(_xlfn.LET(
_xlpm.CSVVal,_xlfn.XLOOKUP($A1315,CSV!$A:$A,CSV!AB:AB,""),
_xlpm.MacVal,_xlfn.XLOOKUP($A1315,Output_Mac!$A:$A,Output_Mac!T:T,""),
_xlpm.MyAuditVal,_xlfn.XLOOKUP($A1315,My_Audit!$A:$A,My_Audit!Q:Q,""),
_xlfn.IFS(_xlpm.MyAuditVal&lt;&gt;"",UPPER(_xlpm.MyAuditVal),_xlpm.MacVal&lt;&gt;"",_xlpm.MacVal,_xlpm.CSVVal&lt;&gt;"",_xlpm.CSVVal
)),"No")</f>
        <v>No</v>
      </c>
      <c r="Q1315" s="40" t="str" cm="1">
        <f t="array" ref="Q1315">IFERROR(_xlfn.LET(
_xlpm.CSVVal,_xlfn.XLOOKUP($A1315,CSV!$A:$A,CSV!AC:AC,""),
_xlpm.MacVal,_xlfn.XLOOKUP($A1315,Output_Mac!$A:$A,Output_Mac!U:U,""),
_xlpm.MyAuditVal,_xlfn.XLOOKUP($A1315,My_Audit!$A:$A,My_Audit!R:R,""),
_xlfn.IFS(_xlpm.MyAuditVal&lt;&gt;"",UPPER(_xlpm.MyAuditVal),_xlpm.MacVal&lt;&gt;"",_xlpm.MacVal,_xlpm.CSVVal&lt;&gt;"",_xlpm.CSVVal
)),"")</f>
        <v/>
      </c>
      <c r="R1315" s="40"/>
      <c r="S1315" s="40"/>
      <c r="T1315" s="40"/>
      <c r="U1315" s="40"/>
      <c r="V1315" s="40"/>
      <c r="W1315" s="40"/>
      <c r="X1315" s="41" t="str">
        <f>_xlfn.LET(
    _xlpm.MacVal, _xlfn.XLOOKUP($A1315, Output_Mac!$A:$A, Output_Mac!AB:AB, ""),
    _xlpm.MyAuditVal, _xlfn.XLOOKUP($A1315, My_Audit!$A:$A, My_Audit!N:N, ""),
    _xlfn.TEXTJOIN(", ", TRUE, _xlpm.MyAuditVal, _xlpm.MacVal)
)</f>
        <v/>
      </c>
    </row>
    <row r="1316" spans="1:24">
      <c r="A1316" s="40" t="str">
        <f>_xlfn.TEXTJOIN("",TRUE,Input!$B$2,ROW(My_Audit!A1315))</f>
        <v>X1315</v>
      </c>
      <c r="B1316" s="40" t="str">
        <f>_xlfn.TEXTJOIN("-",TRUE,"ITD",Input!$A$2,A1316)</f>
        <v>ITD-X1315</v>
      </c>
      <c r="C1316" s="40" t="str" cm="1">
        <f t="array" ref="C1316">IFERROR(_xlfn.LET(
_xlpm.CSVVal,_xlfn.XLOOKUP($A1316,CSV!$A:$A,CSV!B:B,""),
_xlpm.MacVal,_xlfn.XLOOKUP($A1316,Output_Mac!$A:$A,Output_Mac!B:B,""),
_xlpm.MyAuditVal,_xlfn.XLOOKUP($A1316,My_Audit!$A:$A,My_Audit!B:B,""),
_xlfn.IFS(_xlpm.MyAuditVal&lt;&gt;"",UPPER(_xlpm.MyAuditVal),_xlpm.MacVal&lt;&gt;"",_xlpm.MacVal,_xlpm.CSVVal&lt;&gt;"",_xlpm.CSVVal
)),"")</f>
        <v/>
      </c>
      <c r="D1316" s="40" t="str" cm="1">
        <f t="array" ref="D1316">IFERROR(_xlfn.LET(
_xlpm.CSVVal,_xlfn.XLOOKUP($A1316,CSV!$A:$A,CSV!D:D,""),
_xlpm.MacVal,_xlfn.XLOOKUP($A1316,Output_Mac!$A:$A,Output_Mac!C:C,""),
_xlpm.MyAuditVal,_xlfn.XLOOKUP($A1316,My_Audit!$A:$A,My_Audit!C:C,""),
_xlfn.IFS(_xlpm.MyAuditVal&lt;&gt;"",_xlpm.MyAuditVal,_xlpm.MacVal&lt;&gt;"",_xlpm.MacVal,_xlpm.CSVVal&lt;&gt;"",_xlpm.CSVVal
)),"")</f>
        <v/>
      </c>
      <c r="E1316" s="40" t="str">
        <f>_xlfn.XLOOKUP(A1316,My_Audit!A:A,My_Audit!D:D,"")</f>
        <v/>
      </c>
      <c r="F1316" s="40" t="str" cm="1">
        <f t="array" ref="F1316">IFERROR(_xlfn.LET(
_xlpm.CSVVal,_xlfn.XLOOKUP($A1316,CSV!$A:$A,CSV!F:F,""),
_xlpm.MacVal,_xlfn.XLOOKUP($A1316,Output_Mac!$A:$A,Output_Mac!E:E,""),
_xlpm.MyAuditVal,_xlfn.XLOOKUP($A1316,My_Audit!$A:$A,My_Audit!E:E,""),
_xlfn.IFS(_xlpm.MyAuditVal&lt;&gt;"",_xlpm.MyAuditVal,_xlpm.MacVal&lt;&gt;"",_xlpm.MacVal,_xlpm.CSVVal&lt;&gt;"",_xlpm.CSVVal
)),"")</f>
        <v/>
      </c>
      <c r="G1316" s="40" t="str" cm="1">
        <f t="array" ref="G1316">IFERROR(_xlfn.LET(
_xlpm.CSVVal,_xlfn.XLOOKUP($A1316,CSV!$A:$A,CSV!G:G,""),
_xlpm.MacVal,_xlfn.XLOOKUP($A1316,Output_Mac!$A:$A,Output_Mac!F:F,""),
_xlpm.MyAuditVal,_xlfn.XLOOKUP($A1316,My_Audit!$A:$A,My_Audit!F:F,""),
_xlfn.IFS(_xlpm.MyAuditVal&lt;&gt;"",_xlpm.MyAuditVal,_xlpm.MacVal&lt;&gt;"",_xlpm.MacVal,_xlpm.CSVVal&lt;&gt;"",PROPER(_xlpm.CSVVal)
)),"")</f>
        <v/>
      </c>
      <c r="H1316" s="40" t="str" cm="1">
        <f t="array" ref="H1316">IFERROR(_xlfn.LET(
_xlpm.CSVVal,_xlfn.XLOOKUP($A1316,CSV!$A:$A,CSV!H:H,""),
_xlpm.MacVal,_xlfn.XLOOKUP($A1316,Output_Mac!$A:$A,Output_Mac!H:H,""),
_xlpm.MyAuditVal,_xlfn.XLOOKUP($A1316,My_Audit!$A:$A,My_Audit!G:G,""),
_xlfn.IFS(_xlpm.MyAuditVal&lt;&gt;"",_xlpm.MyAuditVal,_xlpm.MacVal&lt;&gt;"",_xlpm.MacVal,_xlpm.CSVVal&lt;&gt;"",_xlpm.CSVVal
)),"")</f>
        <v/>
      </c>
      <c r="I1316" s="40" t="str">
        <f>_xlfn.XLOOKUP(A1316,Output_Mac!A:A,Output_Mac!I:I,"")</f>
        <v/>
      </c>
      <c r="J1316" s="40" t="str" cm="1">
        <f t="array" ref="J1316">IFERROR(_xlfn.LET(
_xlpm.CSVVal,_xlfn.XLOOKUP($A1316,CSV!$A:$A,CSV!I:I,""),
_xlpm.MacVal,_xlfn.XLOOKUP($A1316,Output_Mac!$A:$A,Output_Mac!J:J,""),
_xlpm.MyAuditVal,_xlfn.XLOOKUP($A1316,My_Audit!$A:$A,My_Audit!I:I,""),
_xlfn.IFS(_xlpm.MyAuditVal&lt;&gt;"",UPPER(_xlpm.MyAuditVal),_xlpm.MacVal&lt;&gt;"",_xlpm.MacVal,_xlpm.CSVVal&lt;&gt;"",_xlpm.CSVVal
)),"")</f>
        <v/>
      </c>
      <c r="K1316" s="40" t="str" cm="1">
        <f t="array" ref="K1316">IFERROR(_xlfn.LET(
_xlpm.CSVVal,_xlfn.XLOOKUP($A1316,CSV!$A:$A,CSV!K:K,""),
_xlpm.MacVal,_xlfn.XLOOKUP($A1316,Output_Mac!$A:$A,Output_Mac!K:K,""),
_xlpm.MyAuditVal,_xlfn.XLOOKUP($A1316,My_Audit!$A:$A,My_Audit!J:J,""),
_xlfn.IFS(_xlpm.MyAuditVal&lt;&gt;"",UPPER(_xlpm.MyAuditVal),_xlpm.MacVal&lt;&gt;"",_xlpm.MacVal,_xlpm.CSVVal&lt;&gt;"",_xlpm.CSVVal
)),"")</f>
        <v/>
      </c>
      <c r="L1316" s="40" t="str" cm="1">
        <f t="array" ref="L1316">IFERROR(_xlfn.LET(
_xlpm.CSVVal,_xlfn.XLOOKUP($A1316,CSV!$A:$A,CSV!P:P,""),
_xlpm.MacVal,_xlfn.XLOOKUP($A1316,Output_Mac!$A:$A,Output_Mac!L:L,""),
_xlpm.MyAuditVal,_xlfn.XLOOKUP($A1316,My_Audit!$A:$A,My_Audit!K:K,""),
_xlfn.IFS(_xlpm.MyAuditVal&lt;&gt;"",UPPER(_xlpm.MyAuditVal),_xlpm.MacVal&lt;&gt;"",_xlpm.MacVal,_xlpm.CSVVal&lt;&gt;"",_xlpm.CSVVal
)),"")</f>
        <v/>
      </c>
      <c r="M1316" s="40" t="str" cm="1">
        <f t="array" ref="M1316">IFERROR(_xlfn.LET(
_xlpm.CSVVal,_xlfn.XLOOKUP($A1316,CSV!$A:$A,CSV!Q:Q,""),
_xlpm.MacVal,_xlfn.XLOOKUP($A1316,Output_Mac!$A:$A,Output_Mac!M:M,""),
_xlpm.MyAuditVal,_xlfn.XLOOKUP($A1316,My_Audit!$A:$A,My_Audit!L:L,""),
_xlfn.IFS(_xlpm.MyAuditVal&lt;&gt;"",UPPER(_xlpm.MyAuditVal),_xlpm.MacVal&lt;&gt;"",_xlpm.MacVal,_xlpm.CSVVal&lt;&gt;"",_xlpm.CSVVal
)),"")</f>
        <v/>
      </c>
      <c r="N1316" s="40"/>
      <c r="O1316" s="40" t="str">
        <f>_xlfn.LET(
    _xlpm.CSVVal, _xlfn.XLOOKUP($A1316, CSV!$A:$A, CSV!AA:AA, ""),
    _xlpm.MacVal, _xlfn.XLOOKUP($A1316, Output_Mac!$A:$A, Output_Mac!S:S, ""),
    _xlpm.MyAuditVal, _xlfn.XLOOKUP($A1316, My_Audit!$A:$A, My_Audit!P:P, ""),
    _xlfn.TEXTJOIN(", ", TRUE, _xlpm.MyAuditVal, _xlpm.MacVal, _xlpm.CSVVal)
)</f>
        <v/>
      </c>
      <c r="P1316" s="40" t="str" cm="1">
        <f t="array" ref="P1316">IFERROR(_xlfn.LET(
_xlpm.CSVVal,_xlfn.XLOOKUP($A1316,CSV!$A:$A,CSV!AB:AB,""),
_xlpm.MacVal,_xlfn.XLOOKUP($A1316,Output_Mac!$A:$A,Output_Mac!T:T,""),
_xlpm.MyAuditVal,_xlfn.XLOOKUP($A1316,My_Audit!$A:$A,My_Audit!Q:Q,""),
_xlfn.IFS(_xlpm.MyAuditVal&lt;&gt;"",UPPER(_xlpm.MyAuditVal),_xlpm.MacVal&lt;&gt;"",_xlpm.MacVal,_xlpm.CSVVal&lt;&gt;"",_xlpm.CSVVal
)),"No")</f>
        <v>No</v>
      </c>
      <c r="Q1316" s="40" t="str" cm="1">
        <f t="array" ref="Q1316">IFERROR(_xlfn.LET(
_xlpm.CSVVal,_xlfn.XLOOKUP($A1316,CSV!$A:$A,CSV!AC:AC,""),
_xlpm.MacVal,_xlfn.XLOOKUP($A1316,Output_Mac!$A:$A,Output_Mac!U:U,""),
_xlpm.MyAuditVal,_xlfn.XLOOKUP($A1316,My_Audit!$A:$A,My_Audit!R:R,""),
_xlfn.IFS(_xlpm.MyAuditVal&lt;&gt;"",UPPER(_xlpm.MyAuditVal),_xlpm.MacVal&lt;&gt;"",_xlpm.MacVal,_xlpm.CSVVal&lt;&gt;"",_xlpm.CSVVal
)),"")</f>
        <v/>
      </c>
      <c r="R1316" s="40"/>
      <c r="S1316" s="40"/>
      <c r="T1316" s="40"/>
      <c r="U1316" s="40"/>
      <c r="V1316" s="40"/>
      <c r="W1316" s="40"/>
      <c r="X1316" s="41" t="str">
        <f>_xlfn.LET(
    _xlpm.MacVal, _xlfn.XLOOKUP($A1316, Output_Mac!$A:$A, Output_Mac!AB:AB, ""),
    _xlpm.MyAuditVal, _xlfn.XLOOKUP($A1316, My_Audit!$A:$A, My_Audit!N:N, ""),
    _xlfn.TEXTJOIN(", ", TRUE, _xlpm.MyAuditVal, _xlpm.MacVal)
)</f>
        <v/>
      </c>
    </row>
    <row r="1317" spans="1:24">
      <c r="A1317" s="40" t="str">
        <f>_xlfn.TEXTJOIN("",TRUE,Input!$B$2,ROW(My_Audit!A1316))</f>
        <v>X1316</v>
      </c>
      <c r="B1317" s="40" t="str">
        <f>_xlfn.TEXTJOIN("-",TRUE,"ITD",Input!$A$2,A1317)</f>
        <v>ITD-X1316</v>
      </c>
      <c r="C1317" s="40" t="str" cm="1">
        <f t="array" ref="C1317">IFERROR(_xlfn.LET(
_xlpm.CSVVal,_xlfn.XLOOKUP($A1317,CSV!$A:$A,CSV!B:B,""),
_xlpm.MacVal,_xlfn.XLOOKUP($A1317,Output_Mac!$A:$A,Output_Mac!B:B,""),
_xlpm.MyAuditVal,_xlfn.XLOOKUP($A1317,My_Audit!$A:$A,My_Audit!B:B,""),
_xlfn.IFS(_xlpm.MyAuditVal&lt;&gt;"",UPPER(_xlpm.MyAuditVal),_xlpm.MacVal&lt;&gt;"",_xlpm.MacVal,_xlpm.CSVVal&lt;&gt;"",_xlpm.CSVVal
)),"")</f>
        <v/>
      </c>
      <c r="D1317" s="40" t="str" cm="1">
        <f t="array" ref="D1317">IFERROR(_xlfn.LET(
_xlpm.CSVVal,_xlfn.XLOOKUP($A1317,CSV!$A:$A,CSV!D:D,""),
_xlpm.MacVal,_xlfn.XLOOKUP($A1317,Output_Mac!$A:$A,Output_Mac!C:C,""),
_xlpm.MyAuditVal,_xlfn.XLOOKUP($A1317,My_Audit!$A:$A,My_Audit!C:C,""),
_xlfn.IFS(_xlpm.MyAuditVal&lt;&gt;"",_xlpm.MyAuditVal,_xlpm.MacVal&lt;&gt;"",_xlpm.MacVal,_xlpm.CSVVal&lt;&gt;"",_xlpm.CSVVal
)),"")</f>
        <v/>
      </c>
      <c r="E1317" s="40" t="str">
        <f>_xlfn.XLOOKUP(A1317,My_Audit!A:A,My_Audit!D:D,"")</f>
        <v/>
      </c>
      <c r="F1317" s="40" t="str" cm="1">
        <f t="array" ref="F1317">IFERROR(_xlfn.LET(
_xlpm.CSVVal,_xlfn.XLOOKUP($A1317,CSV!$A:$A,CSV!F:F,""),
_xlpm.MacVal,_xlfn.XLOOKUP($A1317,Output_Mac!$A:$A,Output_Mac!E:E,""),
_xlpm.MyAuditVal,_xlfn.XLOOKUP($A1317,My_Audit!$A:$A,My_Audit!E:E,""),
_xlfn.IFS(_xlpm.MyAuditVal&lt;&gt;"",_xlpm.MyAuditVal,_xlpm.MacVal&lt;&gt;"",_xlpm.MacVal,_xlpm.CSVVal&lt;&gt;"",_xlpm.CSVVal
)),"")</f>
        <v/>
      </c>
      <c r="G1317" s="40" t="str" cm="1">
        <f t="array" ref="G1317">IFERROR(_xlfn.LET(
_xlpm.CSVVal,_xlfn.XLOOKUP($A1317,CSV!$A:$A,CSV!G:G,""),
_xlpm.MacVal,_xlfn.XLOOKUP($A1317,Output_Mac!$A:$A,Output_Mac!F:F,""),
_xlpm.MyAuditVal,_xlfn.XLOOKUP($A1317,My_Audit!$A:$A,My_Audit!F:F,""),
_xlfn.IFS(_xlpm.MyAuditVal&lt;&gt;"",_xlpm.MyAuditVal,_xlpm.MacVal&lt;&gt;"",_xlpm.MacVal,_xlpm.CSVVal&lt;&gt;"",PROPER(_xlpm.CSVVal)
)),"")</f>
        <v/>
      </c>
      <c r="H1317" s="40" t="str" cm="1">
        <f t="array" ref="H1317">IFERROR(_xlfn.LET(
_xlpm.CSVVal,_xlfn.XLOOKUP($A1317,CSV!$A:$A,CSV!H:H,""),
_xlpm.MacVal,_xlfn.XLOOKUP($A1317,Output_Mac!$A:$A,Output_Mac!H:H,""),
_xlpm.MyAuditVal,_xlfn.XLOOKUP($A1317,My_Audit!$A:$A,My_Audit!G:G,""),
_xlfn.IFS(_xlpm.MyAuditVal&lt;&gt;"",_xlpm.MyAuditVal,_xlpm.MacVal&lt;&gt;"",_xlpm.MacVal,_xlpm.CSVVal&lt;&gt;"",_xlpm.CSVVal
)),"")</f>
        <v/>
      </c>
      <c r="I1317" s="40" t="str">
        <f>_xlfn.XLOOKUP(A1317,Output_Mac!A:A,Output_Mac!I:I,"")</f>
        <v/>
      </c>
      <c r="J1317" s="40" t="str" cm="1">
        <f t="array" ref="J1317">IFERROR(_xlfn.LET(
_xlpm.CSVVal,_xlfn.XLOOKUP($A1317,CSV!$A:$A,CSV!I:I,""),
_xlpm.MacVal,_xlfn.XLOOKUP($A1317,Output_Mac!$A:$A,Output_Mac!J:J,""),
_xlpm.MyAuditVal,_xlfn.XLOOKUP($A1317,My_Audit!$A:$A,My_Audit!I:I,""),
_xlfn.IFS(_xlpm.MyAuditVal&lt;&gt;"",UPPER(_xlpm.MyAuditVal),_xlpm.MacVal&lt;&gt;"",_xlpm.MacVal,_xlpm.CSVVal&lt;&gt;"",_xlpm.CSVVal
)),"")</f>
        <v/>
      </c>
      <c r="K1317" s="40" t="str" cm="1">
        <f t="array" ref="K1317">IFERROR(_xlfn.LET(
_xlpm.CSVVal,_xlfn.XLOOKUP($A1317,CSV!$A:$A,CSV!K:K,""),
_xlpm.MacVal,_xlfn.XLOOKUP($A1317,Output_Mac!$A:$A,Output_Mac!K:K,""),
_xlpm.MyAuditVal,_xlfn.XLOOKUP($A1317,My_Audit!$A:$A,My_Audit!J:J,""),
_xlfn.IFS(_xlpm.MyAuditVal&lt;&gt;"",UPPER(_xlpm.MyAuditVal),_xlpm.MacVal&lt;&gt;"",_xlpm.MacVal,_xlpm.CSVVal&lt;&gt;"",_xlpm.CSVVal
)),"")</f>
        <v/>
      </c>
      <c r="L1317" s="40" t="str" cm="1">
        <f t="array" ref="L1317">IFERROR(_xlfn.LET(
_xlpm.CSVVal,_xlfn.XLOOKUP($A1317,CSV!$A:$A,CSV!P:P,""),
_xlpm.MacVal,_xlfn.XLOOKUP($A1317,Output_Mac!$A:$A,Output_Mac!L:L,""),
_xlpm.MyAuditVal,_xlfn.XLOOKUP($A1317,My_Audit!$A:$A,My_Audit!K:K,""),
_xlfn.IFS(_xlpm.MyAuditVal&lt;&gt;"",UPPER(_xlpm.MyAuditVal),_xlpm.MacVal&lt;&gt;"",_xlpm.MacVal,_xlpm.CSVVal&lt;&gt;"",_xlpm.CSVVal
)),"")</f>
        <v/>
      </c>
      <c r="M1317" s="40" t="str" cm="1">
        <f t="array" ref="M1317">IFERROR(_xlfn.LET(
_xlpm.CSVVal,_xlfn.XLOOKUP($A1317,CSV!$A:$A,CSV!Q:Q,""),
_xlpm.MacVal,_xlfn.XLOOKUP($A1317,Output_Mac!$A:$A,Output_Mac!M:M,""),
_xlpm.MyAuditVal,_xlfn.XLOOKUP($A1317,My_Audit!$A:$A,My_Audit!L:L,""),
_xlfn.IFS(_xlpm.MyAuditVal&lt;&gt;"",UPPER(_xlpm.MyAuditVal),_xlpm.MacVal&lt;&gt;"",_xlpm.MacVal,_xlpm.CSVVal&lt;&gt;"",_xlpm.CSVVal
)),"")</f>
        <v/>
      </c>
      <c r="N1317" s="40"/>
      <c r="O1317" s="40" t="str">
        <f>_xlfn.LET(
    _xlpm.CSVVal, _xlfn.XLOOKUP($A1317, CSV!$A:$A, CSV!AA:AA, ""),
    _xlpm.MacVal, _xlfn.XLOOKUP($A1317, Output_Mac!$A:$A, Output_Mac!S:S, ""),
    _xlpm.MyAuditVal, _xlfn.XLOOKUP($A1317, My_Audit!$A:$A, My_Audit!P:P, ""),
    _xlfn.TEXTJOIN(", ", TRUE, _xlpm.MyAuditVal, _xlpm.MacVal, _xlpm.CSVVal)
)</f>
        <v/>
      </c>
      <c r="P1317" s="40" t="str" cm="1">
        <f t="array" ref="P1317">IFERROR(_xlfn.LET(
_xlpm.CSVVal,_xlfn.XLOOKUP($A1317,CSV!$A:$A,CSV!AB:AB,""),
_xlpm.MacVal,_xlfn.XLOOKUP($A1317,Output_Mac!$A:$A,Output_Mac!T:T,""),
_xlpm.MyAuditVal,_xlfn.XLOOKUP($A1317,My_Audit!$A:$A,My_Audit!Q:Q,""),
_xlfn.IFS(_xlpm.MyAuditVal&lt;&gt;"",UPPER(_xlpm.MyAuditVal),_xlpm.MacVal&lt;&gt;"",_xlpm.MacVal,_xlpm.CSVVal&lt;&gt;"",_xlpm.CSVVal
)),"No")</f>
        <v>No</v>
      </c>
      <c r="Q1317" s="40" t="str" cm="1">
        <f t="array" ref="Q1317">IFERROR(_xlfn.LET(
_xlpm.CSVVal,_xlfn.XLOOKUP($A1317,CSV!$A:$A,CSV!AC:AC,""),
_xlpm.MacVal,_xlfn.XLOOKUP($A1317,Output_Mac!$A:$A,Output_Mac!U:U,""),
_xlpm.MyAuditVal,_xlfn.XLOOKUP($A1317,My_Audit!$A:$A,My_Audit!R:R,""),
_xlfn.IFS(_xlpm.MyAuditVal&lt;&gt;"",UPPER(_xlpm.MyAuditVal),_xlpm.MacVal&lt;&gt;"",_xlpm.MacVal,_xlpm.CSVVal&lt;&gt;"",_xlpm.CSVVal
)),"")</f>
        <v/>
      </c>
      <c r="R1317" s="40"/>
      <c r="S1317" s="40"/>
      <c r="T1317" s="40"/>
      <c r="U1317" s="40"/>
      <c r="V1317" s="40"/>
      <c r="W1317" s="40"/>
      <c r="X1317" s="41" t="str">
        <f>_xlfn.LET(
    _xlpm.MacVal, _xlfn.XLOOKUP($A1317, Output_Mac!$A:$A, Output_Mac!AB:AB, ""),
    _xlpm.MyAuditVal, _xlfn.XLOOKUP($A1317, My_Audit!$A:$A, My_Audit!N:N, ""),
    _xlfn.TEXTJOIN(", ", TRUE, _xlpm.MyAuditVal, _xlpm.MacVal)
)</f>
        <v/>
      </c>
    </row>
    <row r="1318" spans="1:24">
      <c r="A1318" s="40" t="str">
        <f>_xlfn.TEXTJOIN("",TRUE,Input!$B$2,ROW(My_Audit!A1317))</f>
        <v>X1317</v>
      </c>
      <c r="B1318" s="40" t="str">
        <f>_xlfn.TEXTJOIN("-",TRUE,"ITD",Input!$A$2,A1318)</f>
        <v>ITD-X1317</v>
      </c>
      <c r="C1318" s="40" t="str" cm="1">
        <f t="array" ref="C1318">IFERROR(_xlfn.LET(
_xlpm.CSVVal,_xlfn.XLOOKUP($A1318,CSV!$A:$A,CSV!B:B,""),
_xlpm.MacVal,_xlfn.XLOOKUP($A1318,Output_Mac!$A:$A,Output_Mac!B:B,""),
_xlpm.MyAuditVal,_xlfn.XLOOKUP($A1318,My_Audit!$A:$A,My_Audit!B:B,""),
_xlfn.IFS(_xlpm.MyAuditVal&lt;&gt;"",UPPER(_xlpm.MyAuditVal),_xlpm.MacVal&lt;&gt;"",_xlpm.MacVal,_xlpm.CSVVal&lt;&gt;"",_xlpm.CSVVal
)),"")</f>
        <v/>
      </c>
      <c r="D1318" s="40" t="str" cm="1">
        <f t="array" ref="D1318">IFERROR(_xlfn.LET(
_xlpm.CSVVal,_xlfn.XLOOKUP($A1318,CSV!$A:$A,CSV!D:D,""),
_xlpm.MacVal,_xlfn.XLOOKUP($A1318,Output_Mac!$A:$A,Output_Mac!C:C,""),
_xlpm.MyAuditVal,_xlfn.XLOOKUP($A1318,My_Audit!$A:$A,My_Audit!C:C,""),
_xlfn.IFS(_xlpm.MyAuditVal&lt;&gt;"",_xlpm.MyAuditVal,_xlpm.MacVal&lt;&gt;"",_xlpm.MacVal,_xlpm.CSVVal&lt;&gt;"",_xlpm.CSVVal
)),"")</f>
        <v/>
      </c>
      <c r="E1318" s="40" t="str">
        <f>_xlfn.XLOOKUP(A1318,My_Audit!A:A,My_Audit!D:D,"")</f>
        <v/>
      </c>
      <c r="F1318" s="40" t="str" cm="1">
        <f t="array" ref="F1318">IFERROR(_xlfn.LET(
_xlpm.CSVVal,_xlfn.XLOOKUP($A1318,CSV!$A:$A,CSV!F:F,""),
_xlpm.MacVal,_xlfn.XLOOKUP($A1318,Output_Mac!$A:$A,Output_Mac!E:E,""),
_xlpm.MyAuditVal,_xlfn.XLOOKUP($A1318,My_Audit!$A:$A,My_Audit!E:E,""),
_xlfn.IFS(_xlpm.MyAuditVal&lt;&gt;"",_xlpm.MyAuditVal,_xlpm.MacVal&lt;&gt;"",_xlpm.MacVal,_xlpm.CSVVal&lt;&gt;"",_xlpm.CSVVal
)),"")</f>
        <v/>
      </c>
      <c r="G1318" s="40" t="str" cm="1">
        <f t="array" ref="G1318">IFERROR(_xlfn.LET(
_xlpm.CSVVal,_xlfn.XLOOKUP($A1318,CSV!$A:$A,CSV!G:G,""),
_xlpm.MacVal,_xlfn.XLOOKUP($A1318,Output_Mac!$A:$A,Output_Mac!F:F,""),
_xlpm.MyAuditVal,_xlfn.XLOOKUP($A1318,My_Audit!$A:$A,My_Audit!F:F,""),
_xlfn.IFS(_xlpm.MyAuditVal&lt;&gt;"",_xlpm.MyAuditVal,_xlpm.MacVal&lt;&gt;"",_xlpm.MacVal,_xlpm.CSVVal&lt;&gt;"",PROPER(_xlpm.CSVVal)
)),"")</f>
        <v/>
      </c>
      <c r="H1318" s="40" t="str" cm="1">
        <f t="array" ref="H1318">IFERROR(_xlfn.LET(
_xlpm.CSVVal,_xlfn.XLOOKUP($A1318,CSV!$A:$A,CSV!H:H,""),
_xlpm.MacVal,_xlfn.XLOOKUP($A1318,Output_Mac!$A:$A,Output_Mac!H:H,""),
_xlpm.MyAuditVal,_xlfn.XLOOKUP($A1318,My_Audit!$A:$A,My_Audit!G:G,""),
_xlfn.IFS(_xlpm.MyAuditVal&lt;&gt;"",_xlpm.MyAuditVal,_xlpm.MacVal&lt;&gt;"",_xlpm.MacVal,_xlpm.CSVVal&lt;&gt;"",_xlpm.CSVVal
)),"")</f>
        <v/>
      </c>
      <c r="I1318" s="40" t="str">
        <f>_xlfn.XLOOKUP(A1318,Output_Mac!A:A,Output_Mac!I:I,"")</f>
        <v/>
      </c>
      <c r="J1318" s="40" t="str" cm="1">
        <f t="array" ref="J1318">IFERROR(_xlfn.LET(
_xlpm.CSVVal,_xlfn.XLOOKUP($A1318,CSV!$A:$A,CSV!I:I,""),
_xlpm.MacVal,_xlfn.XLOOKUP($A1318,Output_Mac!$A:$A,Output_Mac!J:J,""),
_xlpm.MyAuditVal,_xlfn.XLOOKUP($A1318,My_Audit!$A:$A,My_Audit!I:I,""),
_xlfn.IFS(_xlpm.MyAuditVal&lt;&gt;"",UPPER(_xlpm.MyAuditVal),_xlpm.MacVal&lt;&gt;"",_xlpm.MacVal,_xlpm.CSVVal&lt;&gt;"",_xlpm.CSVVal
)),"")</f>
        <v/>
      </c>
      <c r="K1318" s="40" t="str" cm="1">
        <f t="array" ref="K1318">IFERROR(_xlfn.LET(
_xlpm.CSVVal,_xlfn.XLOOKUP($A1318,CSV!$A:$A,CSV!K:K,""),
_xlpm.MacVal,_xlfn.XLOOKUP($A1318,Output_Mac!$A:$A,Output_Mac!K:K,""),
_xlpm.MyAuditVal,_xlfn.XLOOKUP($A1318,My_Audit!$A:$A,My_Audit!J:J,""),
_xlfn.IFS(_xlpm.MyAuditVal&lt;&gt;"",UPPER(_xlpm.MyAuditVal),_xlpm.MacVal&lt;&gt;"",_xlpm.MacVal,_xlpm.CSVVal&lt;&gt;"",_xlpm.CSVVal
)),"")</f>
        <v/>
      </c>
      <c r="L1318" s="40" t="str" cm="1">
        <f t="array" ref="L1318">IFERROR(_xlfn.LET(
_xlpm.CSVVal,_xlfn.XLOOKUP($A1318,CSV!$A:$A,CSV!P:P,""),
_xlpm.MacVal,_xlfn.XLOOKUP($A1318,Output_Mac!$A:$A,Output_Mac!L:L,""),
_xlpm.MyAuditVal,_xlfn.XLOOKUP($A1318,My_Audit!$A:$A,My_Audit!K:K,""),
_xlfn.IFS(_xlpm.MyAuditVal&lt;&gt;"",UPPER(_xlpm.MyAuditVal),_xlpm.MacVal&lt;&gt;"",_xlpm.MacVal,_xlpm.CSVVal&lt;&gt;"",_xlpm.CSVVal
)),"")</f>
        <v/>
      </c>
      <c r="M1318" s="40" t="str" cm="1">
        <f t="array" ref="M1318">IFERROR(_xlfn.LET(
_xlpm.CSVVal,_xlfn.XLOOKUP($A1318,CSV!$A:$A,CSV!Q:Q,""),
_xlpm.MacVal,_xlfn.XLOOKUP($A1318,Output_Mac!$A:$A,Output_Mac!M:M,""),
_xlpm.MyAuditVal,_xlfn.XLOOKUP($A1318,My_Audit!$A:$A,My_Audit!L:L,""),
_xlfn.IFS(_xlpm.MyAuditVal&lt;&gt;"",UPPER(_xlpm.MyAuditVal),_xlpm.MacVal&lt;&gt;"",_xlpm.MacVal,_xlpm.CSVVal&lt;&gt;"",_xlpm.CSVVal
)),"")</f>
        <v/>
      </c>
      <c r="N1318" s="40"/>
      <c r="O1318" s="40" t="str">
        <f>_xlfn.LET(
    _xlpm.CSVVal, _xlfn.XLOOKUP($A1318, CSV!$A:$A, CSV!AA:AA, ""),
    _xlpm.MacVal, _xlfn.XLOOKUP($A1318, Output_Mac!$A:$A, Output_Mac!S:S, ""),
    _xlpm.MyAuditVal, _xlfn.XLOOKUP($A1318, My_Audit!$A:$A, My_Audit!P:P, ""),
    _xlfn.TEXTJOIN(", ", TRUE, _xlpm.MyAuditVal, _xlpm.MacVal, _xlpm.CSVVal)
)</f>
        <v/>
      </c>
      <c r="P1318" s="40" t="str" cm="1">
        <f t="array" ref="P1318">IFERROR(_xlfn.LET(
_xlpm.CSVVal,_xlfn.XLOOKUP($A1318,CSV!$A:$A,CSV!AB:AB,""),
_xlpm.MacVal,_xlfn.XLOOKUP($A1318,Output_Mac!$A:$A,Output_Mac!T:T,""),
_xlpm.MyAuditVal,_xlfn.XLOOKUP($A1318,My_Audit!$A:$A,My_Audit!Q:Q,""),
_xlfn.IFS(_xlpm.MyAuditVal&lt;&gt;"",UPPER(_xlpm.MyAuditVal),_xlpm.MacVal&lt;&gt;"",_xlpm.MacVal,_xlpm.CSVVal&lt;&gt;"",_xlpm.CSVVal
)),"No")</f>
        <v>No</v>
      </c>
      <c r="Q1318" s="40" t="str" cm="1">
        <f t="array" ref="Q1318">IFERROR(_xlfn.LET(
_xlpm.CSVVal,_xlfn.XLOOKUP($A1318,CSV!$A:$A,CSV!AC:AC,""),
_xlpm.MacVal,_xlfn.XLOOKUP($A1318,Output_Mac!$A:$A,Output_Mac!U:U,""),
_xlpm.MyAuditVal,_xlfn.XLOOKUP($A1318,My_Audit!$A:$A,My_Audit!R:R,""),
_xlfn.IFS(_xlpm.MyAuditVal&lt;&gt;"",UPPER(_xlpm.MyAuditVal),_xlpm.MacVal&lt;&gt;"",_xlpm.MacVal,_xlpm.CSVVal&lt;&gt;"",_xlpm.CSVVal
)),"")</f>
        <v/>
      </c>
      <c r="R1318" s="40"/>
      <c r="S1318" s="40"/>
      <c r="T1318" s="40"/>
      <c r="U1318" s="40"/>
      <c r="V1318" s="40"/>
      <c r="W1318" s="40"/>
      <c r="X1318" s="41" t="str">
        <f>_xlfn.LET(
    _xlpm.MacVal, _xlfn.XLOOKUP($A1318, Output_Mac!$A:$A, Output_Mac!AB:AB, ""),
    _xlpm.MyAuditVal, _xlfn.XLOOKUP($A1318, My_Audit!$A:$A, My_Audit!N:N, ""),
    _xlfn.TEXTJOIN(", ", TRUE, _xlpm.MyAuditVal, _xlpm.MacVal)
)</f>
        <v/>
      </c>
    </row>
    <row r="1319" spans="1:24">
      <c r="A1319" s="40" t="str">
        <f>_xlfn.TEXTJOIN("",TRUE,Input!$B$2,ROW(My_Audit!A1318))</f>
        <v>X1318</v>
      </c>
      <c r="B1319" s="40" t="str">
        <f>_xlfn.TEXTJOIN("-",TRUE,"ITD",Input!$A$2,A1319)</f>
        <v>ITD-X1318</v>
      </c>
      <c r="C1319" s="40" t="str" cm="1">
        <f t="array" ref="C1319">IFERROR(_xlfn.LET(
_xlpm.CSVVal,_xlfn.XLOOKUP($A1319,CSV!$A:$A,CSV!B:B,""),
_xlpm.MacVal,_xlfn.XLOOKUP($A1319,Output_Mac!$A:$A,Output_Mac!B:B,""),
_xlpm.MyAuditVal,_xlfn.XLOOKUP($A1319,My_Audit!$A:$A,My_Audit!B:B,""),
_xlfn.IFS(_xlpm.MyAuditVal&lt;&gt;"",UPPER(_xlpm.MyAuditVal),_xlpm.MacVal&lt;&gt;"",_xlpm.MacVal,_xlpm.CSVVal&lt;&gt;"",_xlpm.CSVVal
)),"")</f>
        <v/>
      </c>
      <c r="D1319" s="40" t="str" cm="1">
        <f t="array" ref="D1319">IFERROR(_xlfn.LET(
_xlpm.CSVVal,_xlfn.XLOOKUP($A1319,CSV!$A:$A,CSV!D:D,""),
_xlpm.MacVal,_xlfn.XLOOKUP($A1319,Output_Mac!$A:$A,Output_Mac!C:C,""),
_xlpm.MyAuditVal,_xlfn.XLOOKUP($A1319,My_Audit!$A:$A,My_Audit!C:C,""),
_xlfn.IFS(_xlpm.MyAuditVal&lt;&gt;"",_xlpm.MyAuditVal,_xlpm.MacVal&lt;&gt;"",_xlpm.MacVal,_xlpm.CSVVal&lt;&gt;"",_xlpm.CSVVal
)),"")</f>
        <v/>
      </c>
      <c r="E1319" s="40" t="str">
        <f>_xlfn.XLOOKUP(A1319,My_Audit!A:A,My_Audit!D:D,"")</f>
        <v/>
      </c>
      <c r="F1319" s="40" t="str" cm="1">
        <f t="array" ref="F1319">IFERROR(_xlfn.LET(
_xlpm.CSVVal,_xlfn.XLOOKUP($A1319,CSV!$A:$A,CSV!F:F,""),
_xlpm.MacVal,_xlfn.XLOOKUP($A1319,Output_Mac!$A:$A,Output_Mac!E:E,""),
_xlpm.MyAuditVal,_xlfn.XLOOKUP($A1319,My_Audit!$A:$A,My_Audit!E:E,""),
_xlfn.IFS(_xlpm.MyAuditVal&lt;&gt;"",_xlpm.MyAuditVal,_xlpm.MacVal&lt;&gt;"",_xlpm.MacVal,_xlpm.CSVVal&lt;&gt;"",_xlpm.CSVVal
)),"")</f>
        <v/>
      </c>
      <c r="G1319" s="40" t="str" cm="1">
        <f t="array" ref="G1319">IFERROR(_xlfn.LET(
_xlpm.CSVVal,_xlfn.XLOOKUP($A1319,CSV!$A:$A,CSV!G:G,""),
_xlpm.MacVal,_xlfn.XLOOKUP($A1319,Output_Mac!$A:$A,Output_Mac!F:F,""),
_xlpm.MyAuditVal,_xlfn.XLOOKUP($A1319,My_Audit!$A:$A,My_Audit!F:F,""),
_xlfn.IFS(_xlpm.MyAuditVal&lt;&gt;"",_xlpm.MyAuditVal,_xlpm.MacVal&lt;&gt;"",_xlpm.MacVal,_xlpm.CSVVal&lt;&gt;"",PROPER(_xlpm.CSVVal)
)),"")</f>
        <v/>
      </c>
      <c r="H1319" s="40" t="str" cm="1">
        <f t="array" ref="H1319">IFERROR(_xlfn.LET(
_xlpm.CSVVal,_xlfn.XLOOKUP($A1319,CSV!$A:$A,CSV!H:H,""),
_xlpm.MacVal,_xlfn.XLOOKUP($A1319,Output_Mac!$A:$A,Output_Mac!H:H,""),
_xlpm.MyAuditVal,_xlfn.XLOOKUP($A1319,My_Audit!$A:$A,My_Audit!G:G,""),
_xlfn.IFS(_xlpm.MyAuditVal&lt;&gt;"",_xlpm.MyAuditVal,_xlpm.MacVal&lt;&gt;"",_xlpm.MacVal,_xlpm.CSVVal&lt;&gt;"",_xlpm.CSVVal
)),"")</f>
        <v/>
      </c>
      <c r="I1319" s="40" t="str">
        <f>_xlfn.XLOOKUP(A1319,Output_Mac!A:A,Output_Mac!I:I,"")</f>
        <v/>
      </c>
      <c r="J1319" s="40" t="str" cm="1">
        <f t="array" ref="J1319">IFERROR(_xlfn.LET(
_xlpm.CSVVal,_xlfn.XLOOKUP($A1319,CSV!$A:$A,CSV!I:I,""),
_xlpm.MacVal,_xlfn.XLOOKUP($A1319,Output_Mac!$A:$A,Output_Mac!J:J,""),
_xlpm.MyAuditVal,_xlfn.XLOOKUP($A1319,My_Audit!$A:$A,My_Audit!I:I,""),
_xlfn.IFS(_xlpm.MyAuditVal&lt;&gt;"",UPPER(_xlpm.MyAuditVal),_xlpm.MacVal&lt;&gt;"",_xlpm.MacVal,_xlpm.CSVVal&lt;&gt;"",_xlpm.CSVVal
)),"")</f>
        <v/>
      </c>
      <c r="K1319" s="40" t="str" cm="1">
        <f t="array" ref="K1319">IFERROR(_xlfn.LET(
_xlpm.CSVVal,_xlfn.XLOOKUP($A1319,CSV!$A:$A,CSV!K:K,""),
_xlpm.MacVal,_xlfn.XLOOKUP($A1319,Output_Mac!$A:$A,Output_Mac!K:K,""),
_xlpm.MyAuditVal,_xlfn.XLOOKUP($A1319,My_Audit!$A:$A,My_Audit!J:J,""),
_xlfn.IFS(_xlpm.MyAuditVal&lt;&gt;"",UPPER(_xlpm.MyAuditVal),_xlpm.MacVal&lt;&gt;"",_xlpm.MacVal,_xlpm.CSVVal&lt;&gt;"",_xlpm.CSVVal
)),"")</f>
        <v/>
      </c>
      <c r="L1319" s="40" t="str" cm="1">
        <f t="array" ref="L1319">IFERROR(_xlfn.LET(
_xlpm.CSVVal,_xlfn.XLOOKUP($A1319,CSV!$A:$A,CSV!P:P,""),
_xlpm.MacVal,_xlfn.XLOOKUP($A1319,Output_Mac!$A:$A,Output_Mac!L:L,""),
_xlpm.MyAuditVal,_xlfn.XLOOKUP($A1319,My_Audit!$A:$A,My_Audit!K:K,""),
_xlfn.IFS(_xlpm.MyAuditVal&lt;&gt;"",UPPER(_xlpm.MyAuditVal),_xlpm.MacVal&lt;&gt;"",_xlpm.MacVal,_xlpm.CSVVal&lt;&gt;"",_xlpm.CSVVal
)),"")</f>
        <v/>
      </c>
      <c r="M1319" s="40" t="str" cm="1">
        <f t="array" ref="M1319">IFERROR(_xlfn.LET(
_xlpm.CSVVal,_xlfn.XLOOKUP($A1319,CSV!$A:$A,CSV!Q:Q,""),
_xlpm.MacVal,_xlfn.XLOOKUP($A1319,Output_Mac!$A:$A,Output_Mac!M:M,""),
_xlpm.MyAuditVal,_xlfn.XLOOKUP($A1319,My_Audit!$A:$A,My_Audit!L:L,""),
_xlfn.IFS(_xlpm.MyAuditVal&lt;&gt;"",UPPER(_xlpm.MyAuditVal),_xlpm.MacVal&lt;&gt;"",_xlpm.MacVal,_xlpm.CSVVal&lt;&gt;"",_xlpm.CSVVal
)),"")</f>
        <v/>
      </c>
      <c r="N1319" s="40"/>
      <c r="O1319" s="40" t="str">
        <f>_xlfn.LET(
    _xlpm.CSVVal, _xlfn.XLOOKUP($A1319, CSV!$A:$A, CSV!AA:AA, ""),
    _xlpm.MacVal, _xlfn.XLOOKUP($A1319, Output_Mac!$A:$A, Output_Mac!S:S, ""),
    _xlpm.MyAuditVal, _xlfn.XLOOKUP($A1319, My_Audit!$A:$A, My_Audit!P:P, ""),
    _xlfn.TEXTJOIN(", ", TRUE, _xlpm.MyAuditVal, _xlpm.MacVal, _xlpm.CSVVal)
)</f>
        <v/>
      </c>
      <c r="P1319" s="40" t="str" cm="1">
        <f t="array" ref="P1319">IFERROR(_xlfn.LET(
_xlpm.CSVVal,_xlfn.XLOOKUP($A1319,CSV!$A:$A,CSV!AB:AB,""),
_xlpm.MacVal,_xlfn.XLOOKUP($A1319,Output_Mac!$A:$A,Output_Mac!T:T,""),
_xlpm.MyAuditVal,_xlfn.XLOOKUP($A1319,My_Audit!$A:$A,My_Audit!Q:Q,""),
_xlfn.IFS(_xlpm.MyAuditVal&lt;&gt;"",UPPER(_xlpm.MyAuditVal),_xlpm.MacVal&lt;&gt;"",_xlpm.MacVal,_xlpm.CSVVal&lt;&gt;"",_xlpm.CSVVal
)),"No")</f>
        <v>No</v>
      </c>
      <c r="Q1319" s="40" t="str" cm="1">
        <f t="array" ref="Q1319">IFERROR(_xlfn.LET(
_xlpm.CSVVal,_xlfn.XLOOKUP($A1319,CSV!$A:$A,CSV!AC:AC,""),
_xlpm.MacVal,_xlfn.XLOOKUP($A1319,Output_Mac!$A:$A,Output_Mac!U:U,""),
_xlpm.MyAuditVal,_xlfn.XLOOKUP($A1319,My_Audit!$A:$A,My_Audit!R:R,""),
_xlfn.IFS(_xlpm.MyAuditVal&lt;&gt;"",UPPER(_xlpm.MyAuditVal),_xlpm.MacVal&lt;&gt;"",_xlpm.MacVal,_xlpm.CSVVal&lt;&gt;"",_xlpm.CSVVal
)),"")</f>
        <v/>
      </c>
      <c r="R1319" s="40"/>
      <c r="S1319" s="40"/>
      <c r="T1319" s="40"/>
      <c r="U1319" s="40"/>
      <c r="V1319" s="40"/>
      <c r="W1319" s="40"/>
      <c r="X1319" s="41" t="str">
        <f>_xlfn.LET(
    _xlpm.MacVal, _xlfn.XLOOKUP($A1319, Output_Mac!$A:$A, Output_Mac!AB:AB, ""),
    _xlpm.MyAuditVal, _xlfn.XLOOKUP($A1319, My_Audit!$A:$A, My_Audit!N:N, ""),
    _xlfn.TEXTJOIN(", ", TRUE, _xlpm.MyAuditVal, _xlpm.MacVal)
)</f>
        <v/>
      </c>
    </row>
    <row r="1320" spans="1:24">
      <c r="A1320" s="40" t="str">
        <f>_xlfn.TEXTJOIN("",TRUE,Input!$B$2,ROW(My_Audit!A1319))</f>
        <v>X1319</v>
      </c>
      <c r="B1320" s="40" t="str">
        <f>_xlfn.TEXTJOIN("-",TRUE,"ITD",Input!$A$2,A1320)</f>
        <v>ITD-X1319</v>
      </c>
      <c r="C1320" s="40" t="str" cm="1">
        <f t="array" ref="C1320">IFERROR(_xlfn.LET(
_xlpm.CSVVal,_xlfn.XLOOKUP($A1320,CSV!$A:$A,CSV!B:B,""),
_xlpm.MacVal,_xlfn.XLOOKUP($A1320,Output_Mac!$A:$A,Output_Mac!B:B,""),
_xlpm.MyAuditVal,_xlfn.XLOOKUP($A1320,My_Audit!$A:$A,My_Audit!B:B,""),
_xlfn.IFS(_xlpm.MyAuditVal&lt;&gt;"",UPPER(_xlpm.MyAuditVal),_xlpm.MacVal&lt;&gt;"",_xlpm.MacVal,_xlpm.CSVVal&lt;&gt;"",_xlpm.CSVVal
)),"")</f>
        <v/>
      </c>
      <c r="D1320" s="40" t="str" cm="1">
        <f t="array" ref="D1320">IFERROR(_xlfn.LET(
_xlpm.CSVVal,_xlfn.XLOOKUP($A1320,CSV!$A:$A,CSV!D:D,""),
_xlpm.MacVal,_xlfn.XLOOKUP($A1320,Output_Mac!$A:$A,Output_Mac!C:C,""),
_xlpm.MyAuditVal,_xlfn.XLOOKUP($A1320,My_Audit!$A:$A,My_Audit!C:C,""),
_xlfn.IFS(_xlpm.MyAuditVal&lt;&gt;"",_xlpm.MyAuditVal,_xlpm.MacVal&lt;&gt;"",_xlpm.MacVal,_xlpm.CSVVal&lt;&gt;"",_xlpm.CSVVal
)),"")</f>
        <v/>
      </c>
      <c r="E1320" s="40" t="str">
        <f>_xlfn.XLOOKUP(A1320,My_Audit!A:A,My_Audit!D:D,"")</f>
        <v/>
      </c>
      <c r="F1320" s="40" t="str" cm="1">
        <f t="array" ref="F1320">IFERROR(_xlfn.LET(
_xlpm.CSVVal,_xlfn.XLOOKUP($A1320,CSV!$A:$A,CSV!F:F,""),
_xlpm.MacVal,_xlfn.XLOOKUP($A1320,Output_Mac!$A:$A,Output_Mac!E:E,""),
_xlpm.MyAuditVal,_xlfn.XLOOKUP($A1320,My_Audit!$A:$A,My_Audit!E:E,""),
_xlfn.IFS(_xlpm.MyAuditVal&lt;&gt;"",_xlpm.MyAuditVal,_xlpm.MacVal&lt;&gt;"",_xlpm.MacVal,_xlpm.CSVVal&lt;&gt;"",_xlpm.CSVVal
)),"")</f>
        <v/>
      </c>
      <c r="G1320" s="40" t="str" cm="1">
        <f t="array" ref="G1320">IFERROR(_xlfn.LET(
_xlpm.CSVVal,_xlfn.XLOOKUP($A1320,CSV!$A:$A,CSV!G:G,""),
_xlpm.MacVal,_xlfn.XLOOKUP($A1320,Output_Mac!$A:$A,Output_Mac!F:F,""),
_xlpm.MyAuditVal,_xlfn.XLOOKUP($A1320,My_Audit!$A:$A,My_Audit!F:F,""),
_xlfn.IFS(_xlpm.MyAuditVal&lt;&gt;"",_xlpm.MyAuditVal,_xlpm.MacVal&lt;&gt;"",_xlpm.MacVal,_xlpm.CSVVal&lt;&gt;"",PROPER(_xlpm.CSVVal)
)),"")</f>
        <v/>
      </c>
      <c r="H1320" s="40" t="str" cm="1">
        <f t="array" ref="H1320">IFERROR(_xlfn.LET(
_xlpm.CSVVal,_xlfn.XLOOKUP($A1320,CSV!$A:$A,CSV!H:H,""),
_xlpm.MacVal,_xlfn.XLOOKUP($A1320,Output_Mac!$A:$A,Output_Mac!H:H,""),
_xlpm.MyAuditVal,_xlfn.XLOOKUP($A1320,My_Audit!$A:$A,My_Audit!G:G,""),
_xlfn.IFS(_xlpm.MyAuditVal&lt;&gt;"",_xlpm.MyAuditVal,_xlpm.MacVal&lt;&gt;"",_xlpm.MacVal,_xlpm.CSVVal&lt;&gt;"",_xlpm.CSVVal
)),"")</f>
        <v/>
      </c>
      <c r="I1320" s="40" t="str">
        <f>_xlfn.XLOOKUP(A1320,Output_Mac!A:A,Output_Mac!I:I,"")</f>
        <v/>
      </c>
      <c r="J1320" s="40" t="str" cm="1">
        <f t="array" ref="J1320">IFERROR(_xlfn.LET(
_xlpm.CSVVal,_xlfn.XLOOKUP($A1320,CSV!$A:$A,CSV!I:I,""),
_xlpm.MacVal,_xlfn.XLOOKUP($A1320,Output_Mac!$A:$A,Output_Mac!J:J,""),
_xlpm.MyAuditVal,_xlfn.XLOOKUP($A1320,My_Audit!$A:$A,My_Audit!I:I,""),
_xlfn.IFS(_xlpm.MyAuditVal&lt;&gt;"",UPPER(_xlpm.MyAuditVal),_xlpm.MacVal&lt;&gt;"",_xlpm.MacVal,_xlpm.CSVVal&lt;&gt;"",_xlpm.CSVVal
)),"")</f>
        <v/>
      </c>
      <c r="K1320" s="40" t="str" cm="1">
        <f t="array" ref="K1320">IFERROR(_xlfn.LET(
_xlpm.CSVVal,_xlfn.XLOOKUP($A1320,CSV!$A:$A,CSV!K:K,""),
_xlpm.MacVal,_xlfn.XLOOKUP($A1320,Output_Mac!$A:$A,Output_Mac!K:K,""),
_xlpm.MyAuditVal,_xlfn.XLOOKUP($A1320,My_Audit!$A:$A,My_Audit!J:J,""),
_xlfn.IFS(_xlpm.MyAuditVal&lt;&gt;"",UPPER(_xlpm.MyAuditVal),_xlpm.MacVal&lt;&gt;"",_xlpm.MacVal,_xlpm.CSVVal&lt;&gt;"",_xlpm.CSVVal
)),"")</f>
        <v/>
      </c>
      <c r="L1320" s="40" t="str" cm="1">
        <f t="array" ref="L1320">IFERROR(_xlfn.LET(
_xlpm.CSVVal,_xlfn.XLOOKUP($A1320,CSV!$A:$A,CSV!P:P,""),
_xlpm.MacVal,_xlfn.XLOOKUP($A1320,Output_Mac!$A:$A,Output_Mac!L:L,""),
_xlpm.MyAuditVal,_xlfn.XLOOKUP($A1320,My_Audit!$A:$A,My_Audit!K:K,""),
_xlfn.IFS(_xlpm.MyAuditVal&lt;&gt;"",UPPER(_xlpm.MyAuditVal),_xlpm.MacVal&lt;&gt;"",_xlpm.MacVal,_xlpm.CSVVal&lt;&gt;"",_xlpm.CSVVal
)),"")</f>
        <v/>
      </c>
      <c r="M1320" s="40" t="str" cm="1">
        <f t="array" ref="M1320">IFERROR(_xlfn.LET(
_xlpm.CSVVal,_xlfn.XLOOKUP($A1320,CSV!$A:$A,CSV!Q:Q,""),
_xlpm.MacVal,_xlfn.XLOOKUP($A1320,Output_Mac!$A:$A,Output_Mac!M:M,""),
_xlpm.MyAuditVal,_xlfn.XLOOKUP($A1320,My_Audit!$A:$A,My_Audit!L:L,""),
_xlfn.IFS(_xlpm.MyAuditVal&lt;&gt;"",UPPER(_xlpm.MyAuditVal),_xlpm.MacVal&lt;&gt;"",_xlpm.MacVal,_xlpm.CSVVal&lt;&gt;"",_xlpm.CSVVal
)),"")</f>
        <v/>
      </c>
      <c r="N1320" s="40"/>
      <c r="O1320" s="40" t="str">
        <f>_xlfn.LET(
    _xlpm.CSVVal, _xlfn.XLOOKUP($A1320, CSV!$A:$A, CSV!AA:AA, ""),
    _xlpm.MacVal, _xlfn.XLOOKUP($A1320, Output_Mac!$A:$A, Output_Mac!S:S, ""),
    _xlpm.MyAuditVal, _xlfn.XLOOKUP($A1320, My_Audit!$A:$A, My_Audit!P:P, ""),
    _xlfn.TEXTJOIN(", ", TRUE, _xlpm.MyAuditVal, _xlpm.MacVal, _xlpm.CSVVal)
)</f>
        <v/>
      </c>
      <c r="P1320" s="40" t="str" cm="1">
        <f t="array" ref="P1320">IFERROR(_xlfn.LET(
_xlpm.CSVVal,_xlfn.XLOOKUP($A1320,CSV!$A:$A,CSV!AB:AB,""),
_xlpm.MacVal,_xlfn.XLOOKUP($A1320,Output_Mac!$A:$A,Output_Mac!T:T,""),
_xlpm.MyAuditVal,_xlfn.XLOOKUP($A1320,My_Audit!$A:$A,My_Audit!Q:Q,""),
_xlfn.IFS(_xlpm.MyAuditVal&lt;&gt;"",UPPER(_xlpm.MyAuditVal),_xlpm.MacVal&lt;&gt;"",_xlpm.MacVal,_xlpm.CSVVal&lt;&gt;"",_xlpm.CSVVal
)),"No")</f>
        <v>No</v>
      </c>
      <c r="Q1320" s="40" t="str" cm="1">
        <f t="array" ref="Q1320">IFERROR(_xlfn.LET(
_xlpm.CSVVal,_xlfn.XLOOKUP($A1320,CSV!$A:$A,CSV!AC:AC,""),
_xlpm.MacVal,_xlfn.XLOOKUP($A1320,Output_Mac!$A:$A,Output_Mac!U:U,""),
_xlpm.MyAuditVal,_xlfn.XLOOKUP($A1320,My_Audit!$A:$A,My_Audit!R:R,""),
_xlfn.IFS(_xlpm.MyAuditVal&lt;&gt;"",UPPER(_xlpm.MyAuditVal),_xlpm.MacVal&lt;&gt;"",_xlpm.MacVal,_xlpm.CSVVal&lt;&gt;"",_xlpm.CSVVal
)),"")</f>
        <v/>
      </c>
      <c r="R1320" s="40"/>
      <c r="S1320" s="40"/>
      <c r="T1320" s="40"/>
      <c r="U1320" s="40"/>
      <c r="V1320" s="40"/>
      <c r="W1320" s="40"/>
      <c r="X1320" s="41" t="str">
        <f>_xlfn.LET(
    _xlpm.MacVal, _xlfn.XLOOKUP($A1320, Output_Mac!$A:$A, Output_Mac!AB:AB, ""),
    _xlpm.MyAuditVal, _xlfn.XLOOKUP($A1320, My_Audit!$A:$A, My_Audit!N:N, ""),
    _xlfn.TEXTJOIN(", ", TRUE, _xlpm.MyAuditVal, _xlpm.MacVal)
)</f>
        <v/>
      </c>
    </row>
    <row r="1321" spans="1:24">
      <c r="A1321" s="40" t="str">
        <f>_xlfn.TEXTJOIN("",TRUE,Input!$B$2,ROW(My_Audit!A1320))</f>
        <v>X1320</v>
      </c>
      <c r="B1321" s="40" t="str">
        <f>_xlfn.TEXTJOIN("-",TRUE,"ITD",Input!$A$2,A1321)</f>
        <v>ITD-X1320</v>
      </c>
      <c r="C1321" s="40" t="str" cm="1">
        <f t="array" ref="C1321">IFERROR(_xlfn.LET(
_xlpm.CSVVal,_xlfn.XLOOKUP($A1321,CSV!$A:$A,CSV!B:B,""),
_xlpm.MacVal,_xlfn.XLOOKUP($A1321,Output_Mac!$A:$A,Output_Mac!B:B,""),
_xlpm.MyAuditVal,_xlfn.XLOOKUP($A1321,My_Audit!$A:$A,My_Audit!B:B,""),
_xlfn.IFS(_xlpm.MyAuditVal&lt;&gt;"",UPPER(_xlpm.MyAuditVal),_xlpm.MacVal&lt;&gt;"",_xlpm.MacVal,_xlpm.CSVVal&lt;&gt;"",_xlpm.CSVVal
)),"")</f>
        <v/>
      </c>
      <c r="D1321" s="40" t="str" cm="1">
        <f t="array" ref="D1321">IFERROR(_xlfn.LET(
_xlpm.CSVVal,_xlfn.XLOOKUP($A1321,CSV!$A:$A,CSV!D:D,""),
_xlpm.MacVal,_xlfn.XLOOKUP($A1321,Output_Mac!$A:$A,Output_Mac!C:C,""),
_xlpm.MyAuditVal,_xlfn.XLOOKUP($A1321,My_Audit!$A:$A,My_Audit!C:C,""),
_xlfn.IFS(_xlpm.MyAuditVal&lt;&gt;"",_xlpm.MyAuditVal,_xlpm.MacVal&lt;&gt;"",_xlpm.MacVal,_xlpm.CSVVal&lt;&gt;"",_xlpm.CSVVal
)),"")</f>
        <v/>
      </c>
      <c r="E1321" s="40" t="str">
        <f>_xlfn.XLOOKUP(A1321,My_Audit!A:A,My_Audit!D:D,"")</f>
        <v/>
      </c>
      <c r="F1321" s="40" t="str" cm="1">
        <f t="array" ref="F1321">IFERROR(_xlfn.LET(
_xlpm.CSVVal,_xlfn.XLOOKUP($A1321,CSV!$A:$A,CSV!F:F,""),
_xlpm.MacVal,_xlfn.XLOOKUP($A1321,Output_Mac!$A:$A,Output_Mac!E:E,""),
_xlpm.MyAuditVal,_xlfn.XLOOKUP($A1321,My_Audit!$A:$A,My_Audit!E:E,""),
_xlfn.IFS(_xlpm.MyAuditVal&lt;&gt;"",_xlpm.MyAuditVal,_xlpm.MacVal&lt;&gt;"",_xlpm.MacVal,_xlpm.CSVVal&lt;&gt;"",_xlpm.CSVVal
)),"")</f>
        <v/>
      </c>
      <c r="G1321" s="40" t="str" cm="1">
        <f t="array" ref="G1321">IFERROR(_xlfn.LET(
_xlpm.CSVVal,_xlfn.XLOOKUP($A1321,CSV!$A:$A,CSV!G:G,""),
_xlpm.MacVal,_xlfn.XLOOKUP($A1321,Output_Mac!$A:$A,Output_Mac!F:F,""),
_xlpm.MyAuditVal,_xlfn.XLOOKUP($A1321,My_Audit!$A:$A,My_Audit!F:F,""),
_xlfn.IFS(_xlpm.MyAuditVal&lt;&gt;"",_xlpm.MyAuditVal,_xlpm.MacVal&lt;&gt;"",_xlpm.MacVal,_xlpm.CSVVal&lt;&gt;"",PROPER(_xlpm.CSVVal)
)),"")</f>
        <v/>
      </c>
      <c r="H1321" s="40" t="str" cm="1">
        <f t="array" ref="H1321">IFERROR(_xlfn.LET(
_xlpm.CSVVal,_xlfn.XLOOKUP($A1321,CSV!$A:$A,CSV!H:H,""),
_xlpm.MacVal,_xlfn.XLOOKUP($A1321,Output_Mac!$A:$A,Output_Mac!H:H,""),
_xlpm.MyAuditVal,_xlfn.XLOOKUP($A1321,My_Audit!$A:$A,My_Audit!G:G,""),
_xlfn.IFS(_xlpm.MyAuditVal&lt;&gt;"",_xlpm.MyAuditVal,_xlpm.MacVal&lt;&gt;"",_xlpm.MacVal,_xlpm.CSVVal&lt;&gt;"",_xlpm.CSVVal
)),"")</f>
        <v/>
      </c>
      <c r="I1321" s="40" t="str">
        <f>_xlfn.XLOOKUP(A1321,Output_Mac!A:A,Output_Mac!I:I,"")</f>
        <v/>
      </c>
      <c r="J1321" s="40" t="str" cm="1">
        <f t="array" ref="J1321">IFERROR(_xlfn.LET(
_xlpm.CSVVal,_xlfn.XLOOKUP($A1321,CSV!$A:$A,CSV!I:I,""),
_xlpm.MacVal,_xlfn.XLOOKUP($A1321,Output_Mac!$A:$A,Output_Mac!J:J,""),
_xlpm.MyAuditVal,_xlfn.XLOOKUP($A1321,My_Audit!$A:$A,My_Audit!I:I,""),
_xlfn.IFS(_xlpm.MyAuditVal&lt;&gt;"",UPPER(_xlpm.MyAuditVal),_xlpm.MacVal&lt;&gt;"",_xlpm.MacVal,_xlpm.CSVVal&lt;&gt;"",_xlpm.CSVVal
)),"")</f>
        <v/>
      </c>
      <c r="K1321" s="40" t="str" cm="1">
        <f t="array" ref="K1321">IFERROR(_xlfn.LET(
_xlpm.CSVVal,_xlfn.XLOOKUP($A1321,CSV!$A:$A,CSV!K:K,""),
_xlpm.MacVal,_xlfn.XLOOKUP($A1321,Output_Mac!$A:$A,Output_Mac!K:K,""),
_xlpm.MyAuditVal,_xlfn.XLOOKUP($A1321,My_Audit!$A:$A,My_Audit!J:J,""),
_xlfn.IFS(_xlpm.MyAuditVal&lt;&gt;"",UPPER(_xlpm.MyAuditVal),_xlpm.MacVal&lt;&gt;"",_xlpm.MacVal,_xlpm.CSVVal&lt;&gt;"",_xlpm.CSVVal
)),"")</f>
        <v/>
      </c>
      <c r="L1321" s="40" t="str" cm="1">
        <f t="array" ref="L1321">IFERROR(_xlfn.LET(
_xlpm.CSVVal,_xlfn.XLOOKUP($A1321,CSV!$A:$A,CSV!P:P,""),
_xlpm.MacVal,_xlfn.XLOOKUP($A1321,Output_Mac!$A:$A,Output_Mac!L:L,""),
_xlpm.MyAuditVal,_xlfn.XLOOKUP($A1321,My_Audit!$A:$A,My_Audit!K:K,""),
_xlfn.IFS(_xlpm.MyAuditVal&lt;&gt;"",UPPER(_xlpm.MyAuditVal),_xlpm.MacVal&lt;&gt;"",_xlpm.MacVal,_xlpm.CSVVal&lt;&gt;"",_xlpm.CSVVal
)),"")</f>
        <v/>
      </c>
      <c r="M1321" s="40" t="str" cm="1">
        <f t="array" ref="M1321">IFERROR(_xlfn.LET(
_xlpm.CSVVal,_xlfn.XLOOKUP($A1321,CSV!$A:$A,CSV!Q:Q,""),
_xlpm.MacVal,_xlfn.XLOOKUP($A1321,Output_Mac!$A:$A,Output_Mac!M:M,""),
_xlpm.MyAuditVal,_xlfn.XLOOKUP($A1321,My_Audit!$A:$A,My_Audit!L:L,""),
_xlfn.IFS(_xlpm.MyAuditVal&lt;&gt;"",UPPER(_xlpm.MyAuditVal),_xlpm.MacVal&lt;&gt;"",_xlpm.MacVal,_xlpm.CSVVal&lt;&gt;"",_xlpm.CSVVal
)),"")</f>
        <v/>
      </c>
      <c r="N1321" s="40"/>
      <c r="O1321" s="40" t="str">
        <f>_xlfn.LET(
    _xlpm.CSVVal, _xlfn.XLOOKUP($A1321, CSV!$A:$A, CSV!AA:AA, ""),
    _xlpm.MacVal, _xlfn.XLOOKUP($A1321, Output_Mac!$A:$A, Output_Mac!S:S, ""),
    _xlpm.MyAuditVal, _xlfn.XLOOKUP($A1321, My_Audit!$A:$A, My_Audit!P:P, ""),
    _xlfn.TEXTJOIN(", ", TRUE, _xlpm.MyAuditVal, _xlpm.MacVal, _xlpm.CSVVal)
)</f>
        <v/>
      </c>
      <c r="P1321" s="40" t="str" cm="1">
        <f t="array" ref="P1321">IFERROR(_xlfn.LET(
_xlpm.CSVVal,_xlfn.XLOOKUP($A1321,CSV!$A:$A,CSV!AB:AB,""),
_xlpm.MacVal,_xlfn.XLOOKUP($A1321,Output_Mac!$A:$A,Output_Mac!T:T,""),
_xlpm.MyAuditVal,_xlfn.XLOOKUP($A1321,My_Audit!$A:$A,My_Audit!Q:Q,""),
_xlfn.IFS(_xlpm.MyAuditVal&lt;&gt;"",UPPER(_xlpm.MyAuditVal),_xlpm.MacVal&lt;&gt;"",_xlpm.MacVal,_xlpm.CSVVal&lt;&gt;"",_xlpm.CSVVal
)),"No")</f>
        <v>No</v>
      </c>
      <c r="Q1321" s="40" t="str" cm="1">
        <f t="array" ref="Q1321">IFERROR(_xlfn.LET(
_xlpm.CSVVal,_xlfn.XLOOKUP($A1321,CSV!$A:$A,CSV!AC:AC,""),
_xlpm.MacVal,_xlfn.XLOOKUP($A1321,Output_Mac!$A:$A,Output_Mac!U:U,""),
_xlpm.MyAuditVal,_xlfn.XLOOKUP($A1321,My_Audit!$A:$A,My_Audit!R:R,""),
_xlfn.IFS(_xlpm.MyAuditVal&lt;&gt;"",UPPER(_xlpm.MyAuditVal),_xlpm.MacVal&lt;&gt;"",_xlpm.MacVal,_xlpm.CSVVal&lt;&gt;"",_xlpm.CSVVal
)),"")</f>
        <v/>
      </c>
      <c r="R1321" s="40"/>
      <c r="S1321" s="40"/>
      <c r="T1321" s="40"/>
      <c r="U1321" s="40"/>
      <c r="V1321" s="40"/>
      <c r="W1321" s="40"/>
      <c r="X1321" s="41" t="str">
        <f>_xlfn.LET(
    _xlpm.MacVal, _xlfn.XLOOKUP($A1321, Output_Mac!$A:$A, Output_Mac!AB:AB, ""),
    _xlpm.MyAuditVal, _xlfn.XLOOKUP($A1321, My_Audit!$A:$A, My_Audit!N:N, ""),
    _xlfn.TEXTJOIN(", ", TRUE, _xlpm.MyAuditVal, _xlpm.MacVal)
)</f>
        <v/>
      </c>
    </row>
    <row r="1322" spans="1:24">
      <c r="A1322" s="40" t="str">
        <f>_xlfn.TEXTJOIN("",TRUE,Input!$B$2,ROW(My_Audit!A1321))</f>
        <v>X1321</v>
      </c>
      <c r="B1322" s="40" t="str">
        <f>_xlfn.TEXTJOIN("-",TRUE,"ITD",Input!$A$2,A1322)</f>
        <v>ITD-X1321</v>
      </c>
      <c r="C1322" s="40" t="str" cm="1">
        <f t="array" ref="C1322">IFERROR(_xlfn.LET(
_xlpm.CSVVal,_xlfn.XLOOKUP($A1322,CSV!$A:$A,CSV!B:B,""),
_xlpm.MacVal,_xlfn.XLOOKUP($A1322,Output_Mac!$A:$A,Output_Mac!B:B,""),
_xlpm.MyAuditVal,_xlfn.XLOOKUP($A1322,My_Audit!$A:$A,My_Audit!B:B,""),
_xlfn.IFS(_xlpm.MyAuditVal&lt;&gt;"",UPPER(_xlpm.MyAuditVal),_xlpm.MacVal&lt;&gt;"",_xlpm.MacVal,_xlpm.CSVVal&lt;&gt;"",_xlpm.CSVVal
)),"")</f>
        <v/>
      </c>
      <c r="D1322" s="40" t="str" cm="1">
        <f t="array" ref="D1322">IFERROR(_xlfn.LET(
_xlpm.CSVVal,_xlfn.XLOOKUP($A1322,CSV!$A:$A,CSV!D:D,""),
_xlpm.MacVal,_xlfn.XLOOKUP($A1322,Output_Mac!$A:$A,Output_Mac!C:C,""),
_xlpm.MyAuditVal,_xlfn.XLOOKUP($A1322,My_Audit!$A:$A,My_Audit!C:C,""),
_xlfn.IFS(_xlpm.MyAuditVal&lt;&gt;"",_xlpm.MyAuditVal,_xlpm.MacVal&lt;&gt;"",_xlpm.MacVal,_xlpm.CSVVal&lt;&gt;"",_xlpm.CSVVal
)),"")</f>
        <v/>
      </c>
      <c r="E1322" s="40" t="str">
        <f>_xlfn.XLOOKUP(A1322,My_Audit!A:A,My_Audit!D:D,"")</f>
        <v/>
      </c>
      <c r="F1322" s="40" t="str" cm="1">
        <f t="array" ref="F1322">IFERROR(_xlfn.LET(
_xlpm.CSVVal,_xlfn.XLOOKUP($A1322,CSV!$A:$A,CSV!F:F,""),
_xlpm.MacVal,_xlfn.XLOOKUP($A1322,Output_Mac!$A:$A,Output_Mac!E:E,""),
_xlpm.MyAuditVal,_xlfn.XLOOKUP($A1322,My_Audit!$A:$A,My_Audit!E:E,""),
_xlfn.IFS(_xlpm.MyAuditVal&lt;&gt;"",_xlpm.MyAuditVal,_xlpm.MacVal&lt;&gt;"",_xlpm.MacVal,_xlpm.CSVVal&lt;&gt;"",_xlpm.CSVVal
)),"")</f>
        <v/>
      </c>
      <c r="G1322" s="40" t="str" cm="1">
        <f t="array" ref="G1322">IFERROR(_xlfn.LET(
_xlpm.CSVVal,_xlfn.XLOOKUP($A1322,CSV!$A:$A,CSV!G:G,""),
_xlpm.MacVal,_xlfn.XLOOKUP($A1322,Output_Mac!$A:$A,Output_Mac!F:F,""),
_xlpm.MyAuditVal,_xlfn.XLOOKUP($A1322,My_Audit!$A:$A,My_Audit!F:F,""),
_xlfn.IFS(_xlpm.MyAuditVal&lt;&gt;"",_xlpm.MyAuditVal,_xlpm.MacVal&lt;&gt;"",_xlpm.MacVal,_xlpm.CSVVal&lt;&gt;"",PROPER(_xlpm.CSVVal)
)),"")</f>
        <v/>
      </c>
      <c r="H1322" s="40" t="str" cm="1">
        <f t="array" ref="H1322">IFERROR(_xlfn.LET(
_xlpm.CSVVal,_xlfn.XLOOKUP($A1322,CSV!$A:$A,CSV!H:H,""),
_xlpm.MacVal,_xlfn.XLOOKUP($A1322,Output_Mac!$A:$A,Output_Mac!H:H,""),
_xlpm.MyAuditVal,_xlfn.XLOOKUP($A1322,My_Audit!$A:$A,My_Audit!G:G,""),
_xlfn.IFS(_xlpm.MyAuditVal&lt;&gt;"",_xlpm.MyAuditVal,_xlpm.MacVal&lt;&gt;"",_xlpm.MacVal,_xlpm.CSVVal&lt;&gt;"",_xlpm.CSVVal
)),"")</f>
        <v/>
      </c>
      <c r="I1322" s="40" t="str">
        <f>_xlfn.XLOOKUP(A1322,Output_Mac!A:A,Output_Mac!I:I,"")</f>
        <v/>
      </c>
      <c r="J1322" s="40" t="str" cm="1">
        <f t="array" ref="J1322">IFERROR(_xlfn.LET(
_xlpm.CSVVal,_xlfn.XLOOKUP($A1322,CSV!$A:$A,CSV!I:I,""),
_xlpm.MacVal,_xlfn.XLOOKUP($A1322,Output_Mac!$A:$A,Output_Mac!J:J,""),
_xlpm.MyAuditVal,_xlfn.XLOOKUP($A1322,My_Audit!$A:$A,My_Audit!I:I,""),
_xlfn.IFS(_xlpm.MyAuditVal&lt;&gt;"",UPPER(_xlpm.MyAuditVal),_xlpm.MacVal&lt;&gt;"",_xlpm.MacVal,_xlpm.CSVVal&lt;&gt;"",_xlpm.CSVVal
)),"")</f>
        <v/>
      </c>
      <c r="K1322" s="40" t="str" cm="1">
        <f t="array" ref="K1322">IFERROR(_xlfn.LET(
_xlpm.CSVVal,_xlfn.XLOOKUP($A1322,CSV!$A:$A,CSV!K:K,""),
_xlpm.MacVal,_xlfn.XLOOKUP($A1322,Output_Mac!$A:$A,Output_Mac!K:K,""),
_xlpm.MyAuditVal,_xlfn.XLOOKUP($A1322,My_Audit!$A:$A,My_Audit!J:J,""),
_xlfn.IFS(_xlpm.MyAuditVal&lt;&gt;"",UPPER(_xlpm.MyAuditVal),_xlpm.MacVal&lt;&gt;"",_xlpm.MacVal,_xlpm.CSVVal&lt;&gt;"",_xlpm.CSVVal
)),"")</f>
        <v/>
      </c>
      <c r="L1322" s="40" t="str" cm="1">
        <f t="array" ref="L1322">IFERROR(_xlfn.LET(
_xlpm.CSVVal,_xlfn.XLOOKUP($A1322,CSV!$A:$A,CSV!P:P,""),
_xlpm.MacVal,_xlfn.XLOOKUP($A1322,Output_Mac!$A:$A,Output_Mac!L:L,""),
_xlpm.MyAuditVal,_xlfn.XLOOKUP($A1322,My_Audit!$A:$A,My_Audit!K:K,""),
_xlfn.IFS(_xlpm.MyAuditVal&lt;&gt;"",UPPER(_xlpm.MyAuditVal),_xlpm.MacVal&lt;&gt;"",_xlpm.MacVal,_xlpm.CSVVal&lt;&gt;"",_xlpm.CSVVal
)),"")</f>
        <v/>
      </c>
      <c r="M1322" s="40" t="str" cm="1">
        <f t="array" ref="M1322">IFERROR(_xlfn.LET(
_xlpm.CSVVal,_xlfn.XLOOKUP($A1322,CSV!$A:$A,CSV!Q:Q,""),
_xlpm.MacVal,_xlfn.XLOOKUP($A1322,Output_Mac!$A:$A,Output_Mac!M:M,""),
_xlpm.MyAuditVal,_xlfn.XLOOKUP($A1322,My_Audit!$A:$A,My_Audit!L:L,""),
_xlfn.IFS(_xlpm.MyAuditVal&lt;&gt;"",UPPER(_xlpm.MyAuditVal),_xlpm.MacVal&lt;&gt;"",_xlpm.MacVal,_xlpm.CSVVal&lt;&gt;"",_xlpm.CSVVal
)),"")</f>
        <v/>
      </c>
      <c r="N1322" s="40"/>
      <c r="O1322" s="40" t="str">
        <f>_xlfn.LET(
    _xlpm.CSVVal, _xlfn.XLOOKUP($A1322, CSV!$A:$A, CSV!AA:AA, ""),
    _xlpm.MacVal, _xlfn.XLOOKUP($A1322, Output_Mac!$A:$A, Output_Mac!S:S, ""),
    _xlpm.MyAuditVal, _xlfn.XLOOKUP($A1322, My_Audit!$A:$A, My_Audit!P:P, ""),
    _xlfn.TEXTJOIN(", ", TRUE, _xlpm.MyAuditVal, _xlpm.MacVal, _xlpm.CSVVal)
)</f>
        <v/>
      </c>
      <c r="P1322" s="40" t="str" cm="1">
        <f t="array" ref="P1322">IFERROR(_xlfn.LET(
_xlpm.CSVVal,_xlfn.XLOOKUP($A1322,CSV!$A:$A,CSV!AB:AB,""),
_xlpm.MacVal,_xlfn.XLOOKUP($A1322,Output_Mac!$A:$A,Output_Mac!T:T,""),
_xlpm.MyAuditVal,_xlfn.XLOOKUP($A1322,My_Audit!$A:$A,My_Audit!Q:Q,""),
_xlfn.IFS(_xlpm.MyAuditVal&lt;&gt;"",UPPER(_xlpm.MyAuditVal),_xlpm.MacVal&lt;&gt;"",_xlpm.MacVal,_xlpm.CSVVal&lt;&gt;"",_xlpm.CSVVal
)),"No")</f>
        <v>No</v>
      </c>
      <c r="Q1322" s="40" t="str" cm="1">
        <f t="array" ref="Q1322">IFERROR(_xlfn.LET(
_xlpm.CSVVal,_xlfn.XLOOKUP($A1322,CSV!$A:$A,CSV!AC:AC,""),
_xlpm.MacVal,_xlfn.XLOOKUP($A1322,Output_Mac!$A:$A,Output_Mac!U:U,""),
_xlpm.MyAuditVal,_xlfn.XLOOKUP($A1322,My_Audit!$A:$A,My_Audit!R:R,""),
_xlfn.IFS(_xlpm.MyAuditVal&lt;&gt;"",UPPER(_xlpm.MyAuditVal),_xlpm.MacVal&lt;&gt;"",_xlpm.MacVal,_xlpm.CSVVal&lt;&gt;"",_xlpm.CSVVal
)),"")</f>
        <v/>
      </c>
      <c r="R1322" s="40"/>
      <c r="S1322" s="40"/>
      <c r="T1322" s="40"/>
      <c r="U1322" s="40"/>
      <c r="V1322" s="40"/>
      <c r="W1322" s="40"/>
      <c r="X1322" s="41" t="str">
        <f>_xlfn.LET(
    _xlpm.MacVal, _xlfn.XLOOKUP($A1322, Output_Mac!$A:$A, Output_Mac!AB:AB, ""),
    _xlpm.MyAuditVal, _xlfn.XLOOKUP($A1322, My_Audit!$A:$A, My_Audit!N:N, ""),
    _xlfn.TEXTJOIN(", ", TRUE, _xlpm.MyAuditVal, _xlpm.MacVal)
)</f>
        <v/>
      </c>
    </row>
    <row r="1323" spans="1:24">
      <c r="A1323" s="40" t="str">
        <f>_xlfn.TEXTJOIN("",TRUE,Input!$B$2,ROW(My_Audit!A1322))</f>
        <v>X1322</v>
      </c>
      <c r="B1323" s="40" t="str">
        <f>_xlfn.TEXTJOIN("-",TRUE,"ITD",Input!$A$2,A1323)</f>
        <v>ITD-X1322</v>
      </c>
      <c r="C1323" s="40" t="str" cm="1">
        <f t="array" ref="C1323">IFERROR(_xlfn.LET(
_xlpm.CSVVal,_xlfn.XLOOKUP($A1323,CSV!$A:$A,CSV!B:B,""),
_xlpm.MacVal,_xlfn.XLOOKUP($A1323,Output_Mac!$A:$A,Output_Mac!B:B,""),
_xlpm.MyAuditVal,_xlfn.XLOOKUP($A1323,My_Audit!$A:$A,My_Audit!B:B,""),
_xlfn.IFS(_xlpm.MyAuditVal&lt;&gt;"",UPPER(_xlpm.MyAuditVal),_xlpm.MacVal&lt;&gt;"",_xlpm.MacVal,_xlpm.CSVVal&lt;&gt;"",_xlpm.CSVVal
)),"")</f>
        <v/>
      </c>
      <c r="D1323" s="40" t="str" cm="1">
        <f t="array" ref="D1323">IFERROR(_xlfn.LET(
_xlpm.CSVVal,_xlfn.XLOOKUP($A1323,CSV!$A:$A,CSV!D:D,""),
_xlpm.MacVal,_xlfn.XLOOKUP($A1323,Output_Mac!$A:$A,Output_Mac!C:C,""),
_xlpm.MyAuditVal,_xlfn.XLOOKUP($A1323,My_Audit!$A:$A,My_Audit!C:C,""),
_xlfn.IFS(_xlpm.MyAuditVal&lt;&gt;"",_xlpm.MyAuditVal,_xlpm.MacVal&lt;&gt;"",_xlpm.MacVal,_xlpm.CSVVal&lt;&gt;"",_xlpm.CSVVal
)),"")</f>
        <v/>
      </c>
      <c r="E1323" s="40" t="str">
        <f>_xlfn.XLOOKUP(A1323,My_Audit!A:A,My_Audit!D:D,"")</f>
        <v/>
      </c>
      <c r="F1323" s="40" t="str" cm="1">
        <f t="array" ref="F1323">IFERROR(_xlfn.LET(
_xlpm.CSVVal,_xlfn.XLOOKUP($A1323,CSV!$A:$A,CSV!F:F,""),
_xlpm.MacVal,_xlfn.XLOOKUP($A1323,Output_Mac!$A:$A,Output_Mac!E:E,""),
_xlpm.MyAuditVal,_xlfn.XLOOKUP($A1323,My_Audit!$A:$A,My_Audit!E:E,""),
_xlfn.IFS(_xlpm.MyAuditVal&lt;&gt;"",_xlpm.MyAuditVal,_xlpm.MacVal&lt;&gt;"",_xlpm.MacVal,_xlpm.CSVVal&lt;&gt;"",_xlpm.CSVVal
)),"")</f>
        <v/>
      </c>
      <c r="G1323" s="40" t="str" cm="1">
        <f t="array" ref="G1323">IFERROR(_xlfn.LET(
_xlpm.CSVVal,_xlfn.XLOOKUP($A1323,CSV!$A:$A,CSV!G:G,""),
_xlpm.MacVal,_xlfn.XLOOKUP($A1323,Output_Mac!$A:$A,Output_Mac!F:F,""),
_xlpm.MyAuditVal,_xlfn.XLOOKUP($A1323,My_Audit!$A:$A,My_Audit!F:F,""),
_xlfn.IFS(_xlpm.MyAuditVal&lt;&gt;"",_xlpm.MyAuditVal,_xlpm.MacVal&lt;&gt;"",_xlpm.MacVal,_xlpm.CSVVal&lt;&gt;"",PROPER(_xlpm.CSVVal)
)),"")</f>
        <v/>
      </c>
      <c r="H1323" s="40" t="str" cm="1">
        <f t="array" ref="H1323">IFERROR(_xlfn.LET(
_xlpm.CSVVal,_xlfn.XLOOKUP($A1323,CSV!$A:$A,CSV!H:H,""),
_xlpm.MacVal,_xlfn.XLOOKUP($A1323,Output_Mac!$A:$A,Output_Mac!H:H,""),
_xlpm.MyAuditVal,_xlfn.XLOOKUP($A1323,My_Audit!$A:$A,My_Audit!G:G,""),
_xlfn.IFS(_xlpm.MyAuditVal&lt;&gt;"",_xlpm.MyAuditVal,_xlpm.MacVal&lt;&gt;"",_xlpm.MacVal,_xlpm.CSVVal&lt;&gt;"",_xlpm.CSVVal
)),"")</f>
        <v/>
      </c>
      <c r="I1323" s="40" t="str">
        <f>_xlfn.XLOOKUP(A1323,Output_Mac!A:A,Output_Mac!I:I,"")</f>
        <v/>
      </c>
      <c r="J1323" s="40" t="str" cm="1">
        <f t="array" ref="J1323">IFERROR(_xlfn.LET(
_xlpm.CSVVal,_xlfn.XLOOKUP($A1323,CSV!$A:$A,CSV!I:I,""),
_xlpm.MacVal,_xlfn.XLOOKUP($A1323,Output_Mac!$A:$A,Output_Mac!J:J,""),
_xlpm.MyAuditVal,_xlfn.XLOOKUP($A1323,My_Audit!$A:$A,My_Audit!I:I,""),
_xlfn.IFS(_xlpm.MyAuditVal&lt;&gt;"",UPPER(_xlpm.MyAuditVal),_xlpm.MacVal&lt;&gt;"",_xlpm.MacVal,_xlpm.CSVVal&lt;&gt;"",_xlpm.CSVVal
)),"")</f>
        <v/>
      </c>
      <c r="K1323" s="40" t="str" cm="1">
        <f t="array" ref="K1323">IFERROR(_xlfn.LET(
_xlpm.CSVVal,_xlfn.XLOOKUP($A1323,CSV!$A:$A,CSV!K:K,""),
_xlpm.MacVal,_xlfn.XLOOKUP($A1323,Output_Mac!$A:$A,Output_Mac!K:K,""),
_xlpm.MyAuditVal,_xlfn.XLOOKUP($A1323,My_Audit!$A:$A,My_Audit!J:J,""),
_xlfn.IFS(_xlpm.MyAuditVal&lt;&gt;"",UPPER(_xlpm.MyAuditVal),_xlpm.MacVal&lt;&gt;"",_xlpm.MacVal,_xlpm.CSVVal&lt;&gt;"",_xlpm.CSVVal
)),"")</f>
        <v/>
      </c>
      <c r="L1323" s="40" t="str" cm="1">
        <f t="array" ref="L1323">IFERROR(_xlfn.LET(
_xlpm.CSVVal,_xlfn.XLOOKUP($A1323,CSV!$A:$A,CSV!P:P,""),
_xlpm.MacVal,_xlfn.XLOOKUP($A1323,Output_Mac!$A:$A,Output_Mac!L:L,""),
_xlpm.MyAuditVal,_xlfn.XLOOKUP($A1323,My_Audit!$A:$A,My_Audit!K:K,""),
_xlfn.IFS(_xlpm.MyAuditVal&lt;&gt;"",UPPER(_xlpm.MyAuditVal),_xlpm.MacVal&lt;&gt;"",_xlpm.MacVal,_xlpm.CSVVal&lt;&gt;"",_xlpm.CSVVal
)),"")</f>
        <v/>
      </c>
      <c r="M1323" s="40" t="str" cm="1">
        <f t="array" ref="M1323">IFERROR(_xlfn.LET(
_xlpm.CSVVal,_xlfn.XLOOKUP($A1323,CSV!$A:$A,CSV!Q:Q,""),
_xlpm.MacVal,_xlfn.XLOOKUP($A1323,Output_Mac!$A:$A,Output_Mac!M:M,""),
_xlpm.MyAuditVal,_xlfn.XLOOKUP($A1323,My_Audit!$A:$A,My_Audit!L:L,""),
_xlfn.IFS(_xlpm.MyAuditVal&lt;&gt;"",UPPER(_xlpm.MyAuditVal),_xlpm.MacVal&lt;&gt;"",_xlpm.MacVal,_xlpm.CSVVal&lt;&gt;"",_xlpm.CSVVal
)),"")</f>
        <v/>
      </c>
      <c r="N1323" s="40"/>
      <c r="O1323" s="40" t="str">
        <f>_xlfn.LET(
    _xlpm.CSVVal, _xlfn.XLOOKUP($A1323, CSV!$A:$A, CSV!AA:AA, ""),
    _xlpm.MacVal, _xlfn.XLOOKUP($A1323, Output_Mac!$A:$A, Output_Mac!S:S, ""),
    _xlpm.MyAuditVal, _xlfn.XLOOKUP($A1323, My_Audit!$A:$A, My_Audit!P:P, ""),
    _xlfn.TEXTJOIN(", ", TRUE, _xlpm.MyAuditVal, _xlpm.MacVal, _xlpm.CSVVal)
)</f>
        <v/>
      </c>
      <c r="P1323" s="40" t="str" cm="1">
        <f t="array" ref="P1323">IFERROR(_xlfn.LET(
_xlpm.CSVVal,_xlfn.XLOOKUP($A1323,CSV!$A:$A,CSV!AB:AB,""),
_xlpm.MacVal,_xlfn.XLOOKUP($A1323,Output_Mac!$A:$A,Output_Mac!T:T,""),
_xlpm.MyAuditVal,_xlfn.XLOOKUP($A1323,My_Audit!$A:$A,My_Audit!Q:Q,""),
_xlfn.IFS(_xlpm.MyAuditVal&lt;&gt;"",UPPER(_xlpm.MyAuditVal),_xlpm.MacVal&lt;&gt;"",_xlpm.MacVal,_xlpm.CSVVal&lt;&gt;"",_xlpm.CSVVal
)),"No")</f>
        <v>No</v>
      </c>
      <c r="Q1323" s="40" t="str" cm="1">
        <f t="array" ref="Q1323">IFERROR(_xlfn.LET(
_xlpm.CSVVal,_xlfn.XLOOKUP($A1323,CSV!$A:$A,CSV!AC:AC,""),
_xlpm.MacVal,_xlfn.XLOOKUP($A1323,Output_Mac!$A:$A,Output_Mac!U:U,""),
_xlpm.MyAuditVal,_xlfn.XLOOKUP($A1323,My_Audit!$A:$A,My_Audit!R:R,""),
_xlfn.IFS(_xlpm.MyAuditVal&lt;&gt;"",UPPER(_xlpm.MyAuditVal),_xlpm.MacVal&lt;&gt;"",_xlpm.MacVal,_xlpm.CSVVal&lt;&gt;"",_xlpm.CSVVal
)),"")</f>
        <v/>
      </c>
      <c r="R1323" s="40"/>
      <c r="S1323" s="40"/>
      <c r="T1323" s="40"/>
      <c r="U1323" s="40"/>
      <c r="V1323" s="40"/>
      <c r="W1323" s="40"/>
      <c r="X1323" s="41" t="str">
        <f>_xlfn.LET(
    _xlpm.MacVal, _xlfn.XLOOKUP($A1323, Output_Mac!$A:$A, Output_Mac!AB:AB, ""),
    _xlpm.MyAuditVal, _xlfn.XLOOKUP($A1323, My_Audit!$A:$A, My_Audit!N:N, ""),
    _xlfn.TEXTJOIN(", ", TRUE, _xlpm.MyAuditVal, _xlpm.MacVal)
)</f>
        <v/>
      </c>
    </row>
    <row r="1324" spans="1:24">
      <c r="A1324" s="40" t="str">
        <f>_xlfn.TEXTJOIN("",TRUE,Input!$B$2,ROW(My_Audit!A1323))</f>
        <v>X1323</v>
      </c>
      <c r="B1324" s="40" t="str">
        <f>_xlfn.TEXTJOIN("-",TRUE,"ITD",Input!$A$2,A1324)</f>
        <v>ITD-X1323</v>
      </c>
      <c r="C1324" s="40" t="str" cm="1">
        <f t="array" ref="C1324">IFERROR(_xlfn.LET(
_xlpm.CSVVal,_xlfn.XLOOKUP($A1324,CSV!$A:$A,CSV!B:B,""),
_xlpm.MacVal,_xlfn.XLOOKUP($A1324,Output_Mac!$A:$A,Output_Mac!B:B,""),
_xlpm.MyAuditVal,_xlfn.XLOOKUP($A1324,My_Audit!$A:$A,My_Audit!B:B,""),
_xlfn.IFS(_xlpm.MyAuditVal&lt;&gt;"",UPPER(_xlpm.MyAuditVal),_xlpm.MacVal&lt;&gt;"",_xlpm.MacVal,_xlpm.CSVVal&lt;&gt;"",_xlpm.CSVVal
)),"")</f>
        <v/>
      </c>
      <c r="D1324" s="40" t="str" cm="1">
        <f t="array" ref="D1324">IFERROR(_xlfn.LET(
_xlpm.CSVVal,_xlfn.XLOOKUP($A1324,CSV!$A:$A,CSV!D:D,""),
_xlpm.MacVal,_xlfn.XLOOKUP($A1324,Output_Mac!$A:$A,Output_Mac!C:C,""),
_xlpm.MyAuditVal,_xlfn.XLOOKUP($A1324,My_Audit!$A:$A,My_Audit!C:C,""),
_xlfn.IFS(_xlpm.MyAuditVal&lt;&gt;"",_xlpm.MyAuditVal,_xlpm.MacVal&lt;&gt;"",_xlpm.MacVal,_xlpm.CSVVal&lt;&gt;"",_xlpm.CSVVal
)),"")</f>
        <v/>
      </c>
      <c r="E1324" s="40" t="str">
        <f>_xlfn.XLOOKUP(A1324,My_Audit!A:A,My_Audit!D:D,"")</f>
        <v/>
      </c>
      <c r="F1324" s="40" t="str" cm="1">
        <f t="array" ref="F1324">IFERROR(_xlfn.LET(
_xlpm.CSVVal,_xlfn.XLOOKUP($A1324,CSV!$A:$A,CSV!F:F,""),
_xlpm.MacVal,_xlfn.XLOOKUP($A1324,Output_Mac!$A:$A,Output_Mac!E:E,""),
_xlpm.MyAuditVal,_xlfn.XLOOKUP($A1324,My_Audit!$A:$A,My_Audit!E:E,""),
_xlfn.IFS(_xlpm.MyAuditVal&lt;&gt;"",_xlpm.MyAuditVal,_xlpm.MacVal&lt;&gt;"",_xlpm.MacVal,_xlpm.CSVVal&lt;&gt;"",_xlpm.CSVVal
)),"")</f>
        <v/>
      </c>
      <c r="G1324" s="40" t="str" cm="1">
        <f t="array" ref="G1324">IFERROR(_xlfn.LET(
_xlpm.CSVVal,_xlfn.XLOOKUP($A1324,CSV!$A:$A,CSV!G:G,""),
_xlpm.MacVal,_xlfn.XLOOKUP($A1324,Output_Mac!$A:$A,Output_Mac!F:F,""),
_xlpm.MyAuditVal,_xlfn.XLOOKUP($A1324,My_Audit!$A:$A,My_Audit!F:F,""),
_xlfn.IFS(_xlpm.MyAuditVal&lt;&gt;"",_xlpm.MyAuditVal,_xlpm.MacVal&lt;&gt;"",_xlpm.MacVal,_xlpm.CSVVal&lt;&gt;"",PROPER(_xlpm.CSVVal)
)),"")</f>
        <v/>
      </c>
      <c r="H1324" s="40" t="str" cm="1">
        <f t="array" ref="H1324">IFERROR(_xlfn.LET(
_xlpm.CSVVal,_xlfn.XLOOKUP($A1324,CSV!$A:$A,CSV!H:H,""),
_xlpm.MacVal,_xlfn.XLOOKUP($A1324,Output_Mac!$A:$A,Output_Mac!H:H,""),
_xlpm.MyAuditVal,_xlfn.XLOOKUP($A1324,My_Audit!$A:$A,My_Audit!G:G,""),
_xlfn.IFS(_xlpm.MyAuditVal&lt;&gt;"",_xlpm.MyAuditVal,_xlpm.MacVal&lt;&gt;"",_xlpm.MacVal,_xlpm.CSVVal&lt;&gt;"",_xlpm.CSVVal
)),"")</f>
        <v/>
      </c>
      <c r="I1324" s="40" t="str">
        <f>_xlfn.XLOOKUP(A1324,Output_Mac!A:A,Output_Mac!I:I,"")</f>
        <v/>
      </c>
      <c r="J1324" s="40" t="str" cm="1">
        <f t="array" ref="J1324">IFERROR(_xlfn.LET(
_xlpm.CSVVal,_xlfn.XLOOKUP($A1324,CSV!$A:$A,CSV!I:I,""),
_xlpm.MacVal,_xlfn.XLOOKUP($A1324,Output_Mac!$A:$A,Output_Mac!J:J,""),
_xlpm.MyAuditVal,_xlfn.XLOOKUP($A1324,My_Audit!$A:$A,My_Audit!I:I,""),
_xlfn.IFS(_xlpm.MyAuditVal&lt;&gt;"",UPPER(_xlpm.MyAuditVal),_xlpm.MacVal&lt;&gt;"",_xlpm.MacVal,_xlpm.CSVVal&lt;&gt;"",_xlpm.CSVVal
)),"")</f>
        <v/>
      </c>
      <c r="K1324" s="40" t="str" cm="1">
        <f t="array" ref="K1324">IFERROR(_xlfn.LET(
_xlpm.CSVVal,_xlfn.XLOOKUP($A1324,CSV!$A:$A,CSV!K:K,""),
_xlpm.MacVal,_xlfn.XLOOKUP($A1324,Output_Mac!$A:$A,Output_Mac!K:K,""),
_xlpm.MyAuditVal,_xlfn.XLOOKUP($A1324,My_Audit!$A:$A,My_Audit!J:J,""),
_xlfn.IFS(_xlpm.MyAuditVal&lt;&gt;"",UPPER(_xlpm.MyAuditVal),_xlpm.MacVal&lt;&gt;"",_xlpm.MacVal,_xlpm.CSVVal&lt;&gt;"",_xlpm.CSVVal
)),"")</f>
        <v/>
      </c>
      <c r="L1324" s="40" t="str" cm="1">
        <f t="array" ref="L1324">IFERROR(_xlfn.LET(
_xlpm.CSVVal,_xlfn.XLOOKUP($A1324,CSV!$A:$A,CSV!P:P,""),
_xlpm.MacVal,_xlfn.XLOOKUP($A1324,Output_Mac!$A:$A,Output_Mac!L:L,""),
_xlpm.MyAuditVal,_xlfn.XLOOKUP($A1324,My_Audit!$A:$A,My_Audit!K:K,""),
_xlfn.IFS(_xlpm.MyAuditVal&lt;&gt;"",UPPER(_xlpm.MyAuditVal),_xlpm.MacVal&lt;&gt;"",_xlpm.MacVal,_xlpm.CSVVal&lt;&gt;"",_xlpm.CSVVal
)),"")</f>
        <v/>
      </c>
      <c r="M1324" s="40" t="str" cm="1">
        <f t="array" ref="M1324">IFERROR(_xlfn.LET(
_xlpm.CSVVal,_xlfn.XLOOKUP($A1324,CSV!$A:$A,CSV!Q:Q,""),
_xlpm.MacVal,_xlfn.XLOOKUP($A1324,Output_Mac!$A:$A,Output_Mac!M:M,""),
_xlpm.MyAuditVal,_xlfn.XLOOKUP($A1324,My_Audit!$A:$A,My_Audit!L:L,""),
_xlfn.IFS(_xlpm.MyAuditVal&lt;&gt;"",UPPER(_xlpm.MyAuditVal),_xlpm.MacVal&lt;&gt;"",_xlpm.MacVal,_xlpm.CSVVal&lt;&gt;"",_xlpm.CSVVal
)),"")</f>
        <v/>
      </c>
      <c r="N1324" s="40"/>
      <c r="O1324" s="40" t="str">
        <f>_xlfn.LET(
    _xlpm.CSVVal, _xlfn.XLOOKUP($A1324, CSV!$A:$A, CSV!AA:AA, ""),
    _xlpm.MacVal, _xlfn.XLOOKUP($A1324, Output_Mac!$A:$A, Output_Mac!S:S, ""),
    _xlpm.MyAuditVal, _xlfn.XLOOKUP($A1324, My_Audit!$A:$A, My_Audit!P:P, ""),
    _xlfn.TEXTJOIN(", ", TRUE, _xlpm.MyAuditVal, _xlpm.MacVal, _xlpm.CSVVal)
)</f>
        <v/>
      </c>
      <c r="P1324" s="40" t="str" cm="1">
        <f t="array" ref="P1324">IFERROR(_xlfn.LET(
_xlpm.CSVVal,_xlfn.XLOOKUP($A1324,CSV!$A:$A,CSV!AB:AB,""),
_xlpm.MacVal,_xlfn.XLOOKUP($A1324,Output_Mac!$A:$A,Output_Mac!T:T,""),
_xlpm.MyAuditVal,_xlfn.XLOOKUP($A1324,My_Audit!$A:$A,My_Audit!Q:Q,""),
_xlfn.IFS(_xlpm.MyAuditVal&lt;&gt;"",UPPER(_xlpm.MyAuditVal),_xlpm.MacVal&lt;&gt;"",_xlpm.MacVal,_xlpm.CSVVal&lt;&gt;"",_xlpm.CSVVal
)),"No")</f>
        <v>No</v>
      </c>
      <c r="Q1324" s="40" t="str" cm="1">
        <f t="array" ref="Q1324">IFERROR(_xlfn.LET(
_xlpm.CSVVal,_xlfn.XLOOKUP($A1324,CSV!$A:$A,CSV!AC:AC,""),
_xlpm.MacVal,_xlfn.XLOOKUP($A1324,Output_Mac!$A:$A,Output_Mac!U:U,""),
_xlpm.MyAuditVal,_xlfn.XLOOKUP($A1324,My_Audit!$A:$A,My_Audit!R:R,""),
_xlfn.IFS(_xlpm.MyAuditVal&lt;&gt;"",UPPER(_xlpm.MyAuditVal),_xlpm.MacVal&lt;&gt;"",_xlpm.MacVal,_xlpm.CSVVal&lt;&gt;"",_xlpm.CSVVal
)),"")</f>
        <v/>
      </c>
      <c r="R1324" s="40"/>
      <c r="S1324" s="40"/>
      <c r="T1324" s="40"/>
      <c r="U1324" s="40"/>
      <c r="V1324" s="40"/>
      <c r="W1324" s="40"/>
      <c r="X1324" s="41" t="str">
        <f>_xlfn.LET(
    _xlpm.MacVal, _xlfn.XLOOKUP($A1324, Output_Mac!$A:$A, Output_Mac!AB:AB, ""),
    _xlpm.MyAuditVal, _xlfn.XLOOKUP($A1324, My_Audit!$A:$A, My_Audit!N:N, ""),
    _xlfn.TEXTJOIN(", ", TRUE, _xlpm.MyAuditVal, _xlpm.MacVal)
)</f>
        <v/>
      </c>
    </row>
    <row r="1325" spans="1:24">
      <c r="A1325" s="40" t="str">
        <f>_xlfn.TEXTJOIN("",TRUE,Input!$B$2,ROW(My_Audit!A1324))</f>
        <v>X1324</v>
      </c>
      <c r="B1325" s="40" t="str">
        <f>_xlfn.TEXTJOIN("-",TRUE,"ITD",Input!$A$2,A1325)</f>
        <v>ITD-X1324</v>
      </c>
      <c r="C1325" s="40" t="str" cm="1">
        <f t="array" ref="C1325">IFERROR(_xlfn.LET(
_xlpm.CSVVal,_xlfn.XLOOKUP($A1325,CSV!$A:$A,CSV!B:B,""),
_xlpm.MacVal,_xlfn.XLOOKUP($A1325,Output_Mac!$A:$A,Output_Mac!B:B,""),
_xlpm.MyAuditVal,_xlfn.XLOOKUP($A1325,My_Audit!$A:$A,My_Audit!B:B,""),
_xlfn.IFS(_xlpm.MyAuditVal&lt;&gt;"",UPPER(_xlpm.MyAuditVal),_xlpm.MacVal&lt;&gt;"",_xlpm.MacVal,_xlpm.CSVVal&lt;&gt;"",_xlpm.CSVVal
)),"")</f>
        <v/>
      </c>
      <c r="D1325" s="40" t="str" cm="1">
        <f t="array" ref="D1325">IFERROR(_xlfn.LET(
_xlpm.CSVVal,_xlfn.XLOOKUP($A1325,CSV!$A:$A,CSV!D:D,""),
_xlpm.MacVal,_xlfn.XLOOKUP($A1325,Output_Mac!$A:$A,Output_Mac!C:C,""),
_xlpm.MyAuditVal,_xlfn.XLOOKUP($A1325,My_Audit!$A:$A,My_Audit!C:C,""),
_xlfn.IFS(_xlpm.MyAuditVal&lt;&gt;"",_xlpm.MyAuditVal,_xlpm.MacVal&lt;&gt;"",_xlpm.MacVal,_xlpm.CSVVal&lt;&gt;"",_xlpm.CSVVal
)),"")</f>
        <v/>
      </c>
      <c r="E1325" s="40" t="str">
        <f>_xlfn.XLOOKUP(A1325,My_Audit!A:A,My_Audit!D:D,"")</f>
        <v/>
      </c>
      <c r="F1325" s="40" t="str" cm="1">
        <f t="array" ref="F1325">IFERROR(_xlfn.LET(
_xlpm.CSVVal,_xlfn.XLOOKUP($A1325,CSV!$A:$A,CSV!F:F,""),
_xlpm.MacVal,_xlfn.XLOOKUP($A1325,Output_Mac!$A:$A,Output_Mac!E:E,""),
_xlpm.MyAuditVal,_xlfn.XLOOKUP($A1325,My_Audit!$A:$A,My_Audit!E:E,""),
_xlfn.IFS(_xlpm.MyAuditVal&lt;&gt;"",_xlpm.MyAuditVal,_xlpm.MacVal&lt;&gt;"",_xlpm.MacVal,_xlpm.CSVVal&lt;&gt;"",_xlpm.CSVVal
)),"")</f>
        <v/>
      </c>
      <c r="G1325" s="40" t="str" cm="1">
        <f t="array" ref="G1325">IFERROR(_xlfn.LET(
_xlpm.CSVVal,_xlfn.XLOOKUP($A1325,CSV!$A:$A,CSV!G:G,""),
_xlpm.MacVal,_xlfn.XLOOKUP($A1325,Output_Mac!$A:$A,Output_Mac!F:F,""),
_xlpm.MyAuditVal,_xlfn.XLOOKUP($A1325,My_Audit!$A:$A,My_Audit!F:F,""),
_xlfn.IFS(_xlpm.MyAuditVal&lt;&gt;"",_xlpm.MyAuditVal,_xlpm.MacVal&lt;&gt;"",_xlpm.MacVal,_xlpm.CSVVal&lt;&gt;"",PROPER(_xlpm.CSVVal)
)),"")</f>
        <v/>
      </c>
      <c r="H1325" s="40" t="str" cm="1">
        <f t="array" ref="H1325">IFERROR(_xlfn.LET(
_xlpm.CSVVal,_xlfn.XLOOKUP($A1325,CSV!$A:$A,CSV!H:H,""),
_xlpm.MacVal,_xlfn.XLOOKUP($A1325,Output_Mac!$A:$A,Output_Mac!H:H,""),
_xlpm.MyAuditVal,_xlfn.XLOOKUP($A1325,My_Audit!$A:$A,My_Audit!G:G,""),
_xlfn.IFS(_xlpm.MyAuditVal&lt;&gt;"",_xlpm.MyAuditVal,_xlpm.MacVal&lt;&gt;"",_xlpm.MacVal,_xlpm.CSVVal&lt;&gt;"",_xlpm.CSVVal
)),"")</f>
        <v/>
      </c>
      <c r="I1325" s="40" t="str">
        <f>_xlfn.XLOOKUP(A1325,Output_Mac!A:A,Output_Mac!I:I,"")</f>
        <v/>
      </c>
      <c r="J1325" s="40" t="str" cm="1">
        <f t="array" ref="J1325">IFERROR(_xlfn.LET(
_xlpm.CSVVal,_xlfn.XLOOKUP($A1325,CSV!$A:$A,CSV!I:I,""),
_xlpm.MacVal,_xlfn.XLOOKUP($A1325,Output_Mac!$A:$A,Output_Mac!J:J,""),
_xlpm.MyAuditVal,_xlfn.XLOOKUP($A1325,My_Audit!$A:$A,My_Audit!I:I,""),
_xlfn.IFS(_xlpm.MyAuditVal&lt;&gt;"",UPPER(_xlpm.MyAuditVal),_xlpm.MacVal&lt;&gt;"",_xlpm.MacVal,_xlpm.CSVVal&lt;&gt;"",_xlpm.CSVVal
)),"")</f>
        <v/>
      </c>
      <c r="K1325" s="40" t="str" cm="1">
        <f t="array" ref="K1325">IFERROR(_xlfn.LET(
_xlpm.CSVVal,_xlfn.XLOOKUP($A1325,CSV!$A:$A,CSV!K:K,""),
_xlpm.MacVal,_xlfn.XLOOKUP($A1325,Output_Mac!$A:$A,Output_Mac!K:K,""),
_xlpm.MyAuditVal,_xlfn.XLOOKUP($A1325,My_Audit!$A:$A,My_Audit!J:J,""),
_xlfn.IFS(_xlpm.MyAuditVal&lt;&gt;"",UPPER(_xlpm.MyAuditVal),_xlpm.MacVal&lt;&gt;"",_xlpm.MacVal,_xlpm.CSVVal&lt;&gt;"",_xlpm.CSVVal
)),"")</f>
        <v/>
      </c>
      <c r="L1325" s="40" t="str" cm="1">
        <f t="array" ref="L1325">IFERROR(_xlfn.LET(
_xlpm.CSVVal,_xlfn.XLOOKUP($A1325,CSV!$A:$A,CSV!P:P,""),
_xlpm.MacVal,_xlfn.XLOOKUP($A1325,Output_Mac!$A:$A,Output_Mac!L:L,""),
_xlpm.MyAuditVal,_xlfn.XLOOKUP($A1325,My_Audit!$A:$A,My_Audit!K:K,""),
_xlfn.IFS(_xlpm.MyAuditVal&lt;&gt;"",UPPER(_xlpm.MyAuditVal),_xlpm.MacVal&lt;&gt;"",_xlpm.MacVal,_xlpm.CSVVal&lt;&gt;"",_xlpm.CSVVal
)),"")</f>
        <v/>
      </c>
      <c r="M1325" s="40" t="str" cm="1">
        <f t="array" ref="M1325">IFERROR(_xlfn.LET(
_xlpm.CSVVal,_xlfn.XLOOKUP($A1325,CSV!$A:$A,CSV!Q:Q,""),
_xlpm.MacVal,_xlfn.XLOOKUP($A1325,Output_Mac!$A:$A,Output_Mac!M:M,""),
_xlpm.MyAuditVal,_xlfn.XLOOKUP($A1325,My_Audit!$A:$A,My_Audit!L:L,""),
_xlfn.IFS(_xlpm.MyAuditVal&lt;&gt;"",UPPER(_xlpm.MyAuditVal),_xlpm.MacVal&lt;&gt;"",_xlpm.MacVal,_xlpm.CSVVal&lt;&gt;"",_xlpm.CSVVal
)),"")</f>
        <v/>
      </c>
      <c r="N1325" s="40"/>
      <c r="O1325" s="40" t="str">
        <f>_xlfn.LET(
    _xlpm.CSVVal, _xlfn.XLOOKUP($A1325, CSV!$A:$A, CSV!AA:AA, ""),
    _xlpm.MacVal, _xlfn.XLOOKUP($A1325, Output_Mac!$A:$A, Output_Mac!S:S, ""),
    _xlpm.MyAuditVal, _xlfn.XLOOKUP($A1325, My_Audit!$A:$A, My_Audit!P:P, ""),
    _xlfn.TEXTJOIN(", ", TRUE, _xlpm.MyAuditVal, _xlpm.MacVal, _xlpm.CSVVal)
)</f>
        <v/>
      </c>
      <c r="P1325" s="40" t="str" cm="1">
        <f t="array" ref="P1325">IFERROR(_xlfn.LET(
_xlpm.CSVVal,_xlfn.XLOOKUP($A1325,CSV!$A:$A,CSV!AB:AB,""),
_xlpm.MacVal,_xlfn.XLOOKUP($A1325,Output_Mac!$A:$A,Output_Mac!T:T,""),
_xlpm.MyAuditVal,_xlfn.XLOOKUP($A1325,My_Audit!$A:$A,My_Audit!Q:Q,""),
_xlfn.IFS(_xlpm.MyAuditVal&lt;&gt;"",UPPER(_xlpm.MyAuditVal),_xlpm.MacVal&lt;&gt;"",_xlpm.MacVal,_xlpm.CSVVal&lt;&gt;"",_xlpm.CSVVal
)),"No")</f>
        <v>No</v>
      </c>
      <c r="Q1325" s="40" t="str" cm="1">
        <f t="array" ref="Q1325">IFERROR(_xlfn.LET(
_xlpm.CSVVal,_xlfn.XLOOKUP($A1325,CSV!$A:$A,CSV!AC:AC,""),
_xlpm.MacVal,_xlfn.XLOOKUP($A1325,Output_Mac!$A:$A,Output_Mac!U:U,""),
_xlpm.MyAuditVal,_xlfn.XLOOKUP($A1325,My_Audit!$A:$A,My_Audit!R:R,""),
_xlfn.IFS(_xlpm.MyAuditVal&lt;&gt;"",UPPER(_xlpm.MyAuditVal),_xlpm.MacVal&lt;&gt;"",_xlpm.MacVal,_xlpm.CSVVal&lt;&gt;"",_xlpm.CSVVal
)),"")</f>
        <v/>
      </c>
      <c r="R1325" s="40"/>
      <c r="S1325" s="40"/>
      <c r="T1325" s="40"/>
      <c r="U1325" s="40"/>
      <c r="V1325" s="40"/>
      <c r="W1325" s="40"/>
      <c r="X1325" s="41" t="str">
        <f>_xlfn.LET(
    _xlpm.MacVal, _xlfn.XLOOKUP($A1325, Output_Mac!$A:$A, Output_Mac!AB:AB, ""),
    _xlpm.MyAuditVal, _xlfn.XLOOKUP($A1325, My_Audit!$A:$A, My_Audit!N:N, ""),
    _xlfn.TEXTJOIN(", ", TRUE, _xlpm.MyAuditVal, _xlpm.MacVal)
)</f>
        <v/>
      </c>
    </row>
    <row r="1326" spans="1:24">
      <c r="A1326" s="40" t="str">
        <f>_xlfn.TEXTJOIN("",TRUE,Input!$B$2,ROW(My_Audit!A1325))</f>
        <v>X1325</v>
      </c>
      <c r="B1326" s="40" t="str">
        <f>_xlfn.TEXTJOIN("-",TRUE,"ITD",Input!$A$2,A1326)</f>
        <v>ITD-X1325</v>
      </c>
      <c r="C1326" s="40" t="str" cm="1">
        <f t="array" ref="C1326">IFERROR(_xlfn.LET(
_xlpm.CSVVal,_xlfn.XLOOKUP($A1326,CSV!$A:$A,CSV!B:B,""),
_xlpm.MacVal,_xlfn.XLOOKUP($A1326,Output_Mac!$A:$A,Output_Mac!B:B,""),
_xlpm.MyAuditVal,_xlfn.XLOOKUP($A1326,My_Audit!$A:$A,My_Audit!B:B,""),
_xlfn.IFS(_xlpm.MyAuditVal&lt;&gt;"",UPPER(_xlpm.MyAuditVal),_xlpm.MacVal&lt;&gt;"",_xlpm.MacVal,_xlpm.CSVVal&lt;&gt;"",_xlpm.CSVVal
)),"")</f>
        <v/>
      </c>
      <c r="D1326" s="40" t="str" cm="1">
        <f t="array" ref="D1326">IFERROR(_xlfn.LET(
_xlpm.CSVVal,_xlfn.XLOOKUP($A1326,CSV!$A:$A,CSV!D:D,""),
_xlpm.MacVal,_xlfn.XLOOKUP($A1326,Output_Mac!$A:$A,Output_Mac!C:C,""),
_xlpm.MyAuditVal,_xlfn.XLOOKUP($A1326,My_Audit!$A:$A,My_Audit!C:C,""),
_xlfn.IFS(_xlpm.MyAuditVal&lt;&gt;"",_xlpm.MyAuditVal,_xlpm.MacVal&lt;&gt;"",_xlpm.MacVal,_xlpm.CSVVal&lt;&gt;"",_xlpm.CSVVal
)),"")</f>
        <v/>
      </c>
      <c r="E1326" s="40" t="str">
        <f>_xlfn.XLOOKUP(A1326,My_Audit!A:A,My_Audit!D:D,"")</f>
        <v/>
      </c>
      <c r="F1326" s="40" t="str" cm="1">
        <f t="array" ref="F1326">IFERROR(_xlfn.LET(
_xlpm.CSVVal,_xlfn.XLOOKUP($A1326,CSV!$A:$A,CSV!F:F,""),
_xlpm.MacVal,_xlfn.XLOOKUP($A1326,Output_Mac!$A:$A,Output_Mac!E:E,""),
_xlpm.MyAuditVal,_xlfn.XLOOKUP($A1326,My_Audit!$A:$A,My_Audit!E:E,""),
_xlfn.IFS(_xlpm.MyAuditVal&lt;&gt;"",_xlpm.MyAuditVal,_xlpm.MacVal&lt;&gt;"",_xlpm.MacVal,_xlpm.CSVVal&lt;&gt;"",_xlpm.CSVVal
)),"")</f>
        <v/>
      </c>
      <c r="G1326" s="40" t="str" cm="1">
        <f t="array" ref="G1326">IFERROR(_xlfn.LET(
_xlpm.CSVVal,_xlfn.XLOOKUP($A1326,CSV!$A:$A,CSV!G:G,""),
_xlpm.MacVal,_xlfn.XLOOKUP($A1326,Output_Mac!$A:$A,Output_Mac!F:F,""),
_xlpm.MyAuditVal,_xlfn.XLOOKUP($A1326,My_Audit!$A:$A,My_Audit!F:F,""),
_xlfn.IFS(_xlpm.MyAuditVal&lt;&gt;"",_xlpm.MyAuditVal,_xlpm.MacVal&lt;&gt;"",_xlpm.MacVal,_xlpm.CSVVal&lt;&gt;"",PROPER(_xlpm.CSVVal)
)),"")</f>
        <v/>
      </c>
      <c r="H1326" s="40" t="str" cm="1">
        <f t="array" ref="H1326">IFERROR(_xlfn.LET(
_xlpm.CSVVal,_xlfn.XLOOKUP($A1326,CSV!$A:$A,CSV!H:H,""),
_xlpm.MacVal,_xlfn.XLOOKUP($A1326,Output_Mac!$A:$A,Output_Mac!H:H,""),
_xlpm.MyAuditVal,_xlfn.XLOOKUP($A1326,My_Audit!$A:$A,My_Audit!G:G,""),
_xlfn.IFS(_xlpm.MyAuditVal&lt;&gt;"",_xlpm.MyAuditVal,_xlpm.MacVal&lt;&gt;"",_xlpm.MacVal,_xlpm.CSVVal&lt;&gt;"",_xlpm.CSVVal
)),"")</f>
        <v/>
      </c>
      <c r="I1326" s="40" t="str">
        <f>_xlfn.XLOOKUP(A1326,Output_Mac!A:A,Output_Mac!I:I,"")</f>
        <v/>
      </c>
      <c r="J1326" s="40" t="str" cm="1">
        <f t="array" ref="J1326">IFERROR(_xlfn.LET(
_xlpm.CSVVal,_xlfn.XLOOKUP($A1326,CSV!$A:$A,CSV!I:I,""),
_xlpm.MacVal,_xlfn.XLOOKUP($A1326,Output_Mac!$A:$A,Output_Mac!J:J,""),
_xlpm.MyAuditVal,_xlfn.XLOOKUP($A1326,My_Audit!$A:$A,My_Audit!I:I,""),
_xlfn.IFS(_xlpm.MyAuditVal&lt;&gt;"",UPPER(_xlpm.MyAuditVal),_xlpm.MacVal&lt;&gt;"",_xlpm.MacVal,_xlpm.CSVVal&lt;&gt;"",_xlpm.CSVVal
)),"")</f>
        <v/>
      </c>
      <c r="K1326" s="40" t="str" cm="1">
        <f t="array" ref="K1326">IFERROR(_xlfn.LET(
_xlpm.CSVVal,_xlfn.XLOOKUP($A1326,CSV!$A:$A,CSV!K:K,""),
_xlpm.MacVal,_xlfn.XLOOKUP($A1326,Output_Mac!$A:$A,Output_Mac!K:K,""),
_xlpm.MyAuditVal,_xlfn.XLOOKUP($A1326,My_Audit!$A:$A,My_Audit!J:J,""),
_xlfn.IFS(_xlpm.MyAuditVal&lt;&gt;"",UPPER(_xlpm.MyAuditVal),_xlpm.MacVal&lt;&gt;"",_xlpm.MacVal,_xlpm.CSVVal&lt;&gt;"",_xlpm.CSVVal
)),"")</f>
        <v/>
      </c>
      <c r="L1326" s="40" t="str" cm="1">
        <f t="array" ref="L1326">IFERROR(_xlfn.LET(
_xlpm.CSVVal,_xlfn.XLOOKUP($A1326,CSV!$A:$A,CSV!P:P,""),
_xlpm.MacVal,_xlfn.XLOOKUP($A1326,Output_Mac!$A:$A,Output_Mac!L:L,""),
_xlpm.MyAuditVal,_xlfn.XLOOKUP($A1326,My_Audit!$A:$A,My_Audit!K:K,""),
_xlfn.IFS(_xlpm.MyAuditVal&lt;&gt;"",UPPER(_xlpm.MyAuditVal),_xlpm.MacVal&lt;&gt;"",_xlpm.MacVal,_xlpm.CSVVal&lt;&gt;"",_xlpm.CSVVal
)),"")</f>
        <v/>
      </c>
      <c r="M1326" s="40" t="str" cm="1">
        <f t="array" ref="M1326">IFERROR(_xlfn.LET(
_xlpm.CSVVal,_xlfn.XLOOKUP($A1326,CSV!$A:$A,CSV!Q:Q,""),
_xlpm.MacVal,_xlfn.XLOOKUP($A1326,Output_Mac!$A:$A,Output_Mac!M:M,""),
_xlpm.MyAuditVal,_xlfn.XLOOKUP($A1326,My_Audit!$A:$A,My_Audit!L:L,""),
_xlfn.IFS(_xlpm.MyAuditVal&lt;&gt;"",UPPER(_xlpm.MyAuditVal),_xlpm.MacVal&lt;&gt;"",_xlpm.MacVal,_xlpm.CSVVal&lt;&gt;"",_xlpm.CSVVal
)),"")</f>
        <v/>
      </c>
      <c r="N1326" s="40"/>
      <c r="O1326" s="40" t="str">
        <f>_xlfn.LET(
    _xlpm.CSVVal, _xlfn.XLOOKUP($A1326, CSV!$A:$A, CSV!AA:AA, ""),
    _xlpm.MacVal, _xlfn.XLOOKUP($A1326, Output_Mac!$A:$A, Output_Mac!S:S, ""),
    _xlpm.MyAuditVal, _xlfn.XLOOKUP($A1326, My_Audit!$A:$A, My_Audit!P:P, ""),
    _xlfn.TEXTJOIN(", ", TRUE, _xlpm.MyAuditVal, _xlpm.MacVal, _xlpm.CSVVal)
)</f>
        <v/>
      </c>
      <c r="P1326" s="40" t="str" cm="1">
        <f t="array" ref="P1326">IFERROR(_xlfn.LET(
_xlpm.CSVVal,_xlfn.XLOOKUP($A1326,CSV!$A:$A,CSV!AB:AB,""),
_xlpm.MacVal,_xlfn.XLOOKUP($A1326,Output_Mac!$A:$A,Output_Mac!T:T,""),
_xlpm.MyAuditVal,_xlfn.XLOOKUP($A1326,My_Audit!$A:$A,My_Audit!Q:Q,""),
_xlfn.IFS(_xlpm.MyAuditVal&lt;&gt;"",UPPER(_xlpm.MyAuditVal),_xlpm.MacVal&lt;&gt;"",_xlpm.MacVal,_xlpm.CSVVal&lt;&gt;"",_xlpm.CSVVal
)),"No")</f>
        <v>No</v>
      </c>
      <c r="Q1326" s="40" t="str" cm="1">
        <f t="array" ref="Q1326">IFERROR(_xlfn.LET(
_xlpm.CSVVal,_xlfn.XLOOKUP($A1326,CSV!$A:$A,CSV!AC:AC,""),
_xlpm.MacVal,_xlfn.XLOOKUP($A1326,Output_Mac!$A:$A,Output_Mac!U:U,""),
_xlpm.MyAuditVal,_xlfn.XLOOKUP($A1326,My_Audit!$A:$A,My_Audit!R:R,""),
_xlfn.IFS(_xlpm.MyAuditVal&lt;&gt;"",UPPER(_xlpm.MyAuditVal),_xlpm.MacVal&lt;&gt;"",_xlpm.MacVal,_xlpm.CSVVal&lt;&gt;"",_xlpm.CSVVal
)),"")</f>
        <v/>
      </c>
      <c r="R1326" s="40"/>
      <c r="S1326" s="40"/>
      <c r="T1326" s="40"/>
      <c r="U1326" s="40"/>
      <c r="V1326" s="40"/>
      <c r="W1326" s="40"/>
      <c r="X1326" s="41" t="str">
        <f>_xlfn.LET(
    _xlpm.MacVal, _xlfn.XLOOKUP($A1326, Output_Mac!$A:$A, Output_Mac!AB:AB, ""),
    _xlpm.MyAuditVal, _xlfn.XLOOKUP($A1326, My_Audit!$A:$A, My_Audit!N:N, ""),
    _xlfn.TEXTJOIN(", ", TRUE, _xlpm.MyAuditVal, _xlpm.MacVal)
)</f>
        <v/>
      </c>
    </row>
    <row r="1327" spans="1:24">
      <c r="A1327" s="40" t="str">
        <f>_xlfn.TEXTJOIN("",TRUE,Input!$B$2,ROW(My_Audit!A1326))</f>
        <v>X1326</v>
      </c>
      <c r="B1327" s="40" t="str">
        <f>_xlfn.TEXTJOIN("-",TRUE,"ITD",Input!$A$2,A1327)</f>
        <v>ITD-X1326</v>
      </c>
      <c r="C1327" s="40" t="str" cm="1">
        <f t="array" ref="C1327">IFERROR(_xlfn.LET(
_xlpm.CSVVal,_xlfn.XLOOKUP($A1327,CSV!$A:$A,CSV!B:B,""),
_xlpm.MacVal,_xlfn.XLOOKUP($A1327,Output_Mac!$A:$A,Output_Mac!B:B,""),
_xlpm.MyAuditVal,_xlfn.XLOOKUP($A1327,My_Audit!$A:$A,My_Audit!B:B,""),
_xlfn.IFS(_xlpm.MyAuditVal&lt;&gt;"",UPPER(_xlpm.MyAuditVal),_xlpm.MacVal&lt;&gt;"",_xlpm.MacVal,_xlpm.CSVVal&lt;&gt;"",_xlpm.CSVVal
)),"")</f>
        <v/>
      </c>
      <c r="D1327" s="40" t="str" cm="1">
        <f t="array" ref="D1327">IFERROR(_xlfn.LET(
_xlpm.CSVVal,_xlfn.XLOOKUP($A1327,CSV!$A:$A,CSV!D:D,""),
_xlpm.MacVal,_xlfn.XLOOKUP($A1327,Output_Mac!$A:$A,Output_Mac!C:C,""),
_xlpm.MyAuditVal,_xlfn.XLOOKUP($A1327,My_Audit!$A:$A,My_Audit!C:C,""),
_xlfn.IFS(_xlpm.MyAuditVal&lt;&gt;"",_xlpm.MyAuditVal,_xlpm.MacVal&lt;&gt;"",_xlpm.MacVal,_xlpm.CSVVal&lt;&gt;"",_xlpm.CSVVal
)),"")</f>
        <v/>
      </c>
      <c r="E1327" s="40" t="str">
        <f>_xlfn.XLOOKUP(A1327,My_Audit!A:A,My_Audit!D:D,"")</f>
        <v/>
      </c>
      <c r="F1327" s="40" t="str" cm="1">
        <f t="array" ref="F1327">IFERROR(_xlfn.LET(
_xlpm.CSVVal,_xlfn.XLOOKUP($A1327,CSV!$A:$A,CSV!F:F,""),
_xlpm.MacVal,_xlfn.XLOOKUP($A1327,Output_Mac!$A:$A,Output_Mac!E:E,""),
_xlpm.MyAuditVal,_xlfn.XLOOKUP($A1327,My_Audit!$A:$A,My_Audit!E:E,""),
_xlfn.IFS(_xlpm.MyAuditVal&lt;&gt;"",_xlpm.MyAuditVal,_xlpm.MacVal&lt;&gt;"",_xlpm.MacVal,_xlpm.CSVVal&lt;&gt;"",_xlpm.CSVVal
)),"")</f>
        <v/>
      </c>
      <c r="G1327" s="40" t="str" cm="1">
        <f t="array" ref="G1327">IFERROR(_xlfn.LET(
_xlpm.CSVVal,_xlfn.XLOOKUP($A1327,CSV!$A:$A,CSV!G:G,""),
_xlpm.MacVal,_xlfn.XLOOKUP($A1327,Output_Mac!$A:$A,Output_Mac!F:F,""),
_xlpm.MyAuditVal,_xlfn.XLOOKUP($A1327,My_Audit!$A:$A,My_Audit!F:F,""),
_xlfn.IFS(_xlpm.MyAuditVal&lt;&gt;"",_xlpm.MyAuditVal,_xlpm.MacVal&lt;&gt;"",_xlpm.MacVal,_xlpm.CSVVal&lt;&gt;"",PROPER(_xlpm.CSVVal)
)),"")</f>
        <v/>
      </c>
      <c r="H1327" s="40" t="str" cm="1">
        <f t="array" ref="H1327">IFERROR(_xlfn.LET(
_xlpm.CSVVal,_xlfn.XLOOKUP($A1327,CSV!$A:$A,CSV!H:H,""),
_xlpm.MacVal,_xlfn.XLOOKUP($A1327,Output_Mac!$A:$A,Output_Mac!H:H,""),
_xlpm.MyAuditVal,_xlfn.XLOOKUP($A1327,My_Audit!$A:$A,My_Audit!G:G,""),
_xlfn.IFS(_xlpm.MyAuditVal&lt;&gt;"",_xlpm.MyAuditVal,_xlpm.MacVal&lt;&gt;"",_xlpm.MacVal,_xlpm.CSVVal&lt;&gt;"",_xlpm.CSVVal
)),"")</f>
        <v/>
      </c>
      <c r="I1327" s="40" t="str">
        <f>_xlfn.XLOOKUP(A1327,Output_Mac!A:A,Output_Mac!I:I,"")</f>
        <v/>
      </c>
      <c r="J1327" s="40" t="str" cm="1">
        <f t="array" ref="J1327">IFERROR(_xlfn.LET(
_xlpm.CSVVal,_xlfn.XLOOKUP($A1327,CSV!$A:$A,CSV!I:I,""),
_xlpm.MacVal,_xlfn.XLOOKUP($A1327,Output_Mac!$A:$A,Output_Mac!J:J,""),
_xlpm.MyAuditVal,_xlfn.XLOOKUP($A1327,My_Audit!$A:$A,My_Audit!I:I,""),
_xlfn.IFS(_xlpm.MyAuditVal&lt;&gt;"",UPPER(_xlpm.MyAuditVal),_xlpm.MacVal&lt;&gt;"",_xlpm.MacVal,_xlpm.CSVVal&lt;&gt;"",_xlpm.CSVVal
)),"")</f>
        <v/>
      </c>
      <c r="K1327" s="40" t="str" cm="1">
        <f t="array" ref="K1327">IFERROR(_xlfn.LET(
_xlpm.CSVVal,_xlfn.XLOOKUP($A1327,CSV!$A:$A,CSV!K:K,""),
_xlpm.MacVal,_xlfn.XLOOKUP($A1327,Output_Mac!$A:$A,Output_Mac!K:K,""),
_xlpm.MyAuditVal,_xlfn.XLOOKUP($A1327,My_Audit!$A:$A,My_Audit!J:J,""),
_xlfn.IFS(_xlpm.MyAuditVal&lt;&gt;"",UPPER(_xlpm.MyAuditVal),_xlpm.MacVal&lt;&gt;"",_xlpm.MacVal,_xlpm.CSVVal&lt;&gt;"",_xlpm.CSVVal
)),"")</f>
        <v/>
      </c>
      <c r="L1327" s="40" t="str" cm="1">
        <f t="array" ref="L1327">IFERROR(_xlfn.LET(
_xlpm.CSVVal,_xlfn.XLOOKUP($A1327,CSV!$A:$A,CSV!P:P,""),
_xlpm.MacVal,_xlfn.XLOOKUP($A1327,Output_Mac!$A:$A,Output_Mac!L:L,""),
_xlpm.MyAuditVal,_xlfn.XLOOKUP($A1327,My_Audit!$A:$A,My_Audit!K:K,""),
_xlfn.IFS(_xlpm.MyAuditVal&lt;&gt;"",UPPER(_xlpm.MyAuditVal),_xlpm.MacVal&lt;&gt;"",_xlpm.MacVal,_xlpm.CSVVal&lt;&gt;"",_xlpm.CSVVal
)),"")</f>
        <v/>
      </c>
      <c r="M1327" s="40" t="str" cm="1">
        <f t="array" ref="M1327">IFERROR(_xlfn.LET(
_xlpm.CSVVal,_xlfn.XLOOKUP($A1327,CSV!$A:$A,CSV!Q:Q,""),
_xlpm.MacVal,_xlfn.XLOOKUP($A1327,Output_Mac!$A:$A,Output_Mac!M:M,""),
_xlpm.MyAuditVal,_xlfn.XLOOKUP($A1327,My_Audit!$A:$A,My_Audit!L:L,""),
_xlfn.IFS(_xlpm.MyAuditVal&lt;&gt;"",UPPER(_xlpm.MyAuditVal),_xlpm.MacVal&lt;&gt;"",_xlpm.MacVal,_xlpm.CSVVal&lt;&gt;"",_xlpm.CSVVal
)),"")</f>
        <v/>
      </c>
      <c r="N1327" s="40"/>
      <c r="O1327" s="40" t="str">
        <f>_xlfn.LET(
    _xlpm.CSVVal, _xlfn.XLOOKUP($A1327, CSV!$A:$A, CSV!AA:AA, ""),
    _xlpm.MacVal, _xlfn.XLOOKUP($A1327, Output_Mac!$A:$A, Output_Mac!S:S, ""),
    _xlpm.MyAuditVal, _xlfn.XLOOKUP($A1327, My_Audit!$A:$A, My_Audit!P:P, ""),
    _xlfn.TEXTJOIN(", ", TRUE, _xlpm.MyAuditVal, _xlpm.MacVal, _xlpm.CSVVal)
)</f>
        <v/>
      </c>
      <c r="P1327" s="40" t="str" cm="1">
        <f t="array" ref="P1327">IFERROR(_xlfn.LET(
_xlpm.CSVVal,_xlfn.XLOOKUP($A1327,CSV!$A:$A,CSV!AB:AB,""),
_xlpm.MacVal,_xlfn.XLOOKUP($A1327,Output_Mac!$A:$A,Output_Mac!T:T,""),
_xlpm.MyAuditVal,_xlfn.XLOOKUP($A1327,My_Audit!$A:$A,My_Audit!Q:Q,""),
_xlfn.IFS(_xlpm.MyAuditVal&lt;&gt;"",UPPER(_xlpm.MyAuditVal),_xlpm.MacVal&lt;&gt;"",_xlpm.MacVal,_xlpm.CSVVal&lt;&gt;"",_xlpm.CSVVal
)),"No")</f>
        <v>No</v>
      </c>
      <c r="Q1327" s="40" t="str" cm="1">
        <f t="array" ref="Q1327">IFERROR(_xlfn.LET(
_xlpm.CSVVal,_xlfn.XLOOKUP($A1327,CSV!$A:$A,CSV!AC:AC,""),
_xlpm.MacVal,_xlfn.XLOOKUP($A1327,Output_Mac!$A:$A,Output_Mac!U:U,""),
_xlpm.MyAuditVal,_xlfn.XLOOKUP($A1327,My_Audit!$A:$A,My_Audit!R:R,""),
_xlfn.IFS(_xlpm.MyAuditVal&lt;&gt;"",UPPER(_xlpm.MyAuditVal),_xlpm.MacVal&lt;&gt;"",_xlpm.MacVal,_xlpm.CSVVal&lt;&gt;"",_xlpm.CSVVal
)),"")</f>
        <v/>
      </c>
      <c r="R1327" s="40"/>
      <c r="S1327" s="40"/>
      <c r="T1327" s="40"/>
      <c r="U1327" s="40"/>
      <c r="V1327" s="40"/>
      <c r="W1327" s="40"/>
      <c r="X1327" s="41" t="str">
        <f>_xlfn.LET(
    _xlpm.MacVal, _xlfn.XLOOKUP($A1327, Output_Mac!$A:$A, Output_Mac!AB:AB, ""),
    _xlpm.MyAuditVal, _xlfn.XLOOKUP($A1327, My_Audit!$A:$A, My_Audit!N:N, ""),
    _xlfn.TEXTJOIN(", ", TRUE, _xlpm.MyAuditVal, _xlpm.MacVal)
)</f>
        <v/>
      </c>
    </row>
    <row r="1328" spans="1:24">
      <c r="A1328" s="40" t="str">
        <f>_xlfn.TEXTJOIN("",TRUE,Input!$B$2,ROW(My_Audit!A1327))</f>
        <v>X1327</v>
      </c>
      <c r="B1328" s="40" t="str">
        <f>_xlfn.TEXTJOIN("-",TRUE,"ITD",Input!$A$2,A1328)</f>
        <v>ITD-X1327</v>
      </c>
      <c r="C1328" s="40" t="str" cm="1">
        <f t="array" ref="C1328">IFERROR(_xlfn.LET(
_xlpm.CSVVal,_xlfn.XLOOKUP($A1328,CSV!$A:$A,CSV!B:B,""),
_xlpm.MacVal,_xlfn.XLOOKUP($A1328,Output_Mac!$A:$A,Output_Mac!B:B,""),
_xlpm.MyAuditVal,_xlfn.XLOOKUP($A1328,My_Audit!$A:$A,My_Audit!B:B,""),
_xlfn.IFS(_xlpm.MyAuditVal&lt;&gt;"",UPPER(_xlpm.MyAuditVal),_xlpm.MacVal&lt;&gt;"",_xlpm.MacVal,_xlpm.CSVVal&lt;&gt;"",_xlpm.CSVVal
)),"")</f>
        <v/>
      </c>
      <c r="D1328" s="40" t="str" cm="1">
        <f t="array" ref="D1328">IFERROR(_xlfn.LET(
_xlpm.CSVVal,_xlfn.XLOOKUP($A1328,CSV!$A:$A,CSV!D:D,""),
_xlpm.MacVal,_xlfn.XLOOKUP($A1328,Output_Mac!$A:$A,Output_Mac!C:C,""),
_xlpm.MyAuditVal,_xlfn.XLOOKUP($A1328,My_Audit!$A:$A,My_Audit!C:C,""),
_xlfn.IFS(_xlpm.MyAuditVal&lt;&gt;"",_xlpm.MyAuditVal,_xlpm.MacVal&lt;&gt;"",_xlpm.MacVal,_xlpm.CSVVal&lt;&gt;"",_xlpm.CSVVal
)),"")</f>
        <v/>
      </c>
      <c r="E1328" s="40" t="str">
        <f>_xlfn.XLOOKUP(A1328,My_Audit!A:A,My_Audit!D:D,"")</f>
        <v/>
      </c>
      <c r="F1328" s="40" t="str" cm="1">
        <f t="array" ref="F1328">IFERROR(_xlfn.LET(
_xlpm.CSVVal,_xlfn.XLOOKUP($A1328,CSV!$A:$A,CSV!F:F,""),
_xlpm.MacVal,_xlfn.XLOOKUP($A1328,Output_Mac!$A:$A,Output_Mac!E:E,""),
_xlpm.MyAuditVal,_xlfn.XLOOKUP($A1328,My_Audit!$A:$A,My_Audit!E:E,""),
_xlfn.IFS(_xlpm.MyAuditVal&lt;&gt;"",_xlpm.MyAuditVal,_xlpm.MacVal&lt;&gt;"",_xlpm.MacVal,_xlpm.CSVVal&lt;&gt;"",_xlpm.CSVVal
)),"")</f>
        <v/>
      </c>
      <c r="G1328" s="40" t="str" cm="1">
        <f t="array" ref="G1328">IFERROR(_xlfn.LET(
_xlpm.CSVVal,_xlfn.XLOOKUP($A1328,CSV!$A:$A,CSV!G:G,""),
_xlpm.MacVal,_xlfn.XLOOKUP($A1328,Output_Mac!$A:$A,Output_Mac!F:F,""),
_xlpm.MyAuditVal,_xlfn.XLOOKUP($A1328,My_Audit!$A:$A,My_Audit!F:F,""),
_xlfn.IFS(_xlpm.MyAuditVal&lt;&gt;"",_xlpm.MyAuditVal,_xlpm.MacVal&lt;&gt;"",_xlpm.MacVal,_xlpm.CSVVal&lt;&gt;"",PROPER(_xlpm.CSVVal)
)),"")</f>
        <v/>
      </c>
      <c r="H1328" s="40" t="str" cm="1">
        <f t="array" ref="H1328">IFERROR(_xlfn.LET(
_xlpm.CSVVal,_xlfn.XLOOKUP($A1328,CSV!$A:$A,CSV!H:H,""),
_xlpm.MacVal,_xlfn.XLOOKUP($A1328,Output_Mac!$A:$A,Output_Mac!H:H,""),
_xlpm.MyAuditVal,_xlfn.XLOOKUP($A1328,My_Audit!$A:$A,My_Audit!G:G,""),
_xlfn.IFS(_xlpm.MyAuditVal&lt;&gt;"",_xlpm.MyAuditVal,_xlpm.MacVal&lt;&gt;"",_xlpm.MacVal,_xlpm.CSVVal&lt;&gt;"",_xlpm.CSVVal
)),"")</f>
        <v/>
      </c>
      <c r="I1328" s="40" t="str">
        <f>_xlfn.XLOOKUP(A1328,Output_Mac!A:A,Output_Mac!I:I,"")</f>
        <v/>
      </c>
      <c r="J1328" s="40" t="str" cm="1">
        <f t="array" ref="J1328">IFERROR(_xlfn.LET(
_xlpm.CSVVal,_xlfn.XLOOKUP($A1328,CSV!$A:$A,CSV!I:I,""),
_xlpm.MacVal,_xlfn.XLOOKUP($A1328,Output_Mac!$A:$A,Output_Mac!J:J,""),
_xlpm.MyAuditVal,_xlfn.XLOOKUP($A1328,My_Audit!$A:$A,My_Audit!I:I,""),
_xlfn.IFS(_xlpm.MyAuditVal&lt;&gt;"",UPPER(_xlpm.MyAuditVal),_xlpm.MacVal&lt;&gt;"",_xlpm.MacVal,_xlpm.CSVVal&lt;&gt;"",_xlpm.CSVVal
)),"")</f>
        <v/>
      </c>
      <c r="K1328" s="40" t="str" cm="1">
        <f t="array" ref="K1328">IFERROR(_xlfn.LET(
_xlpm.CSVVal,_xlfn.XLOOKUP($A1328,CSV!$A:$A,CSV!K:K,""),
_xlpm.MacVal,_xlfn.XLOOKUP($A1328,Output_Mac!$A:$A,Output_Mac!K:K,""),
_xlpm.MyAuditVal,_xlfn.XLOOKUP($A1328,My_Audit!$A:$A,My_Audit!J:J,""),
_xlfn.IFS(_xlpm.MyAuditVal&lt;&gt;"",UPPER(_xlpm.MyAuditVal),_xlpm.MacVal&lt;&gt;"",_xlpm.MacVal,_xlpm.CSVVal&lt;&gt;"",_xlpm.CSVVal
)),"")</f>
        <v/>
      </c>
      <c r="L1328" s="40" t="str" cm="1">
        <f t="array" ref="L1328">IFERROR(_xlfn.LET(
_xlpm.CSVVal,_xlfn.XLOOKUP($A1328,CSV!$A:$A,CSV!P:P,""),
_xlpm.MacVal,_xlfn.XLOOKUP($A1328,Output_Mac!$A:$A,Output_Mac!L:L,""),
_xlpm.MyAuditVal,_xlfn.XLOOKUP($A1328,My_Audit!$A:$A,My_Audit!K:K,""),
_xlfn.IFS(_xlpm.MyAuditVal&lt;&gt;"",UPPER(_xlpm.MyAuditVal),_xlpm.MacVal&lt;&gt;"",_xlpm.MacVal,_xlpm.CSVVal&lt;&gt;"",_xlpm.CSVVal
)),"")</f>
        <v/>
      </c>
      <c r="M1328" s="40" t="str" cm="1">
        <f t="array" ref="M1328">IFERROR(_xlfn.LET(
_xlpm.CSVVal,_xlfn.XLOOKUP($A1328,CSV!$A:$A,CSV!Q:Q,""),
_xlpm.MacVal,_xlfn.XLOOKUP($A1328,Output_Mac!$A:$A,Output_Mac!M:M,""),
_xlpm.MyAuditVal,_xlfn.XLOOKUP($A1328,My_Audit!$A:$A,My_Audit!L:L,""),
_xlfn.IFS(_xlpm.MyAuditVal&lt;&gt;"",UPPER(_xlpm.MyAuditVal),_xlpm.MacVal&lt;&gt;"",_xlpm.MacVal,_xlpm.CSVVal&lt;&gt;"",_xlpm.CSVVal
)),"")</f>
        <v/>
      </c>
      <c r="N1328" s="40"/>
      <c r="O1328" s="40" t="str">
        <f>_xlfn.LET(
    _xlpm.CSVVal, _xlfn.XLOOKUP($A1328, CSV!$A:$A, CSV!AA:AA, ""),
    _xlpm.MacVal, _xlfn.XLOOKUP($A1328, Output_Mac!$A:$A, Output_Mac!S:S, ""),
    _xlpm.MyAuditVal, _xlfn.XLOOKUP($A1328, My_Audit!$A:$A, My_Audit!P:P, ""),
    _xlfn.TEXTJOIN(", ", TRUE, _xlpm.MyAuditVal, _xlpm.MacVal, _xlpm.CSVVal)
)</f>
        <v/>
      </c>
      <c r="P1328" s="40" t="str" cm="1">
        <f t="array" ref="P1328">IFERROR(_xlfn.LET(
_xlpm.CSVVal,_xlfn.XLOOKUP($A1328,CSV!$A:$A,CSV!AB:AB,""),
_xlpm.MacVal,_xlfn.XLOOKUP($A1328,Output_Mac!$A:$A,Output_Mac!T:T,""),
_xlpm.MyAuditVal,_xlfn.XLOOKUP($A1328,My_Audit!$A:$A,My_Audit!Q:Q,""),
_xlfn.IFS(_xlpm.MyAuditVal&lt;&gt;"",UPPER(_xlpm.MyAuditVal),_xlpm.MacVal&lt;&gt;"",_xlpm.MacVal,_xlpm.CSVVal&lt;&gt;"",_xlpm.CSVVal
)),"No")</f>
        <v>No</v>
      </c>
      <c r="Q1328" s="40" t="str" cm="1">
        <f t="array" ref="Q1328">IFERROR(_xlfn.LET(
_xlpm.CSVVal,_xlfn.XLOOKUP($A1328,CSV!$A:$A,CSV!AC:AC,""),
_xlpm.MacVal,_xlfn.XLOOKUP($A1328,Output_Mac!$A:$A,Output_Mac!U:U,""),
_xlpm.MyAuditVal,_xlfn.XLOOKUP($A1328,My_Audit!$A:$A,My_Audit!R:R,""),
_xlfn.IFS(_xlpm.MyAuditVal&lt;&gt;"",UPPER(_xlpm.MyAuditVal),_xlpm.MacVal&lt;&gt;"",_xlpm.MacVal,_xlpm.CSVVal&lt;&gt;"",_xlpm.CSVVal
)),"")</f>
        <v/>
      </c>
      <c r="R1328" s="40"/>
      <c r="S1328" s="40"/>
      <c r="T1328" s="40"/>
      <c r="U1328" s="40"/>
      <c r="V1328" s="40"/>
      <c r="W1328" s="40"/>
      <c r="X1328" s="41" t="str">
        <f>_xlfn.LET(
    _xlpm.MacVal, _xlfn.XLOOKUP($A1328, Output_Mac!$A:$A, Output_Mac!AB:AB, ""),
    _xlpm.MyAuditVal, _xlfn.XLOOKUP($A1328, My_Audit!$A:$A, My_Audit!N:N, ""),
    _xlfn.TEXTJOIN(", ", TRUE, _xlpm.MyAuditVal, _xlpm.MacVal)
)</f>
        <v/>
      </c>
    </row>
    <row r="1329" spans="1:24">
      <c r="A1329" s="40" t="str">
        <f>_xlfn.TEXTJOIN("",TRUE,Input!$B$2,ROW(My_Audit!A1328))</f>
        <v>X1328</v>
      </c>
      <c r="B1329" s="40" t="str">
        <f>_xlfn.TEXTJOIN("-",TRUE,"ITD",Input!$A$2,A1329)</f>
        <v>ITD-X1328</v>
      </c>
      <c r="C1329" s="40" t="str" cm="1">
        <f t="array" ref="C1329">IFERROR(_xlfn.LET(
_xlpm.CSVVal,_xlfn.XLOOKUP($A1329,CSV!$A:$A,CSV!B:B,""),
_xlpm.MacVal,_xlfn.XLOOKUP($A1329,Output_Mac!$A:$A,Output_Mac!B:B,""),
_xlpm.MyAuditVal,_xlfn.XLOOKUP($A1329,My_Audit!$A:$A,My_Audit!B:B,""),
_xlfn.IFS(_xlpm.MyAuditVal&lt;&gt;"",UPPER(_xlpm.MyAuditVal),_xlpm.MacVal&lt;&gt;"",_xlpm.MacVal,_xlpm.CSVVal&lt;&gt;"",_xlpm.CSVVal
)),"")</f>
        <v/>
      </c>
      <c r="D1329" s="40" t="str" cm="1">
        <f t="array" ref="D1329">IFERROR(_xlfn.LET(
_xlpm.CSVVal,_xlfn.XLOOKUP($A1329,CSV!$A:$A,CSV!D:D,""),
_xlpm.MacVal,_xlfn.XLOOKUP($A1329,Output_Mac!$A:$A,Output_Mac!C:C,""),
_xlpm.MyAuditVal,_xlfn.XLOOKUP($A1329,My_Audit!$A:$A,My_Audit!C:C,""),
_xlfn.IFS(_xlpm.MyAuditVal&lt;&gt;"",_xlpm.MyAuditVal,_xlpm.MacVal&lt;&gt;"",_xlpm.MacVal,_xlpm.CSVVal&lt;&gt;"",_xlpm.CSVVal
)),"")</f>
        <v/>
      </c>
      <c r="E1329" s="40" t="str">
        <f>_xlfn.XLOOKUP(A1329,My_Audit!A:A,My_Audit!D:D,"")</f>
        <v/>
      </c>
      <c r="F1329" s="40" t="str" cm="1">
        <f t="array" ref="F1329">IFERROR(_xlfn.LET(
_xlpm.CSVVal,_xlfn.XLOOKUP($A1329,CSV!$A:$A,CSV!F:F,""),
_xlpm.MacVal,_xlfn.XLOOKUP($A1329,Output_Mac!$A:$A,Output_Mac!E:E,""),
_xlpm.MyAuditVal,_xlfn.XLOOKUP($A1329,My_Audit!$A:$A,My_Audit!E:E,""),
_xlfn.IFS(_xlpm.MyAuditVal&lt;&gt;"",_xlpm.MyAuditVal,_xlpm.MacVal&lt;&gt;"",_xlpm.MacVal,_xlpm.CSVVal&lt;&gt;"",_xlpm.CSVVal
)),"")</f>
        <v/>
      </c>
      <c r="G1329" s="40" t="str" cm="1">
        <f t="array" ref="G1329">IFERROR(_xlfn.LET(
_xlpm.CSVVal,_xlfn.XLOOKUP($A1329,CSV!$A:$A,CSV!G:G,""),
_xlpm.MacVal,_xlfn.XLOOKUP($A1329,Output_Mac!$A:$A,Output_Mac!F:F,""),
_xlpm.MyAuditVal,_xlfn.XLOOKUP($A1329,My_Audit!$A:$A,My_Audit!F:F,""),
_xlfn.IFS(_xlpm.MyAuditVal&lt;&gt;"",_xlpm.MyAuditVal,_xlpm.MacVal&lt;&gt;"",_xlpm.MacVal,_xlpm.CSVVal&lt;&gt;"",PROPER(_xlpm.CSVVal)
)),"")</f>
        <v/>
      </c>
      <c r="H1329" s="40" t="str" cm="1">
        <f t="array" ref="H1329">IFERROR(_xlfn.LET(
_xlpm.CSVVal,_xlfn.XLOOKUP($A1329,CSV!$A:$A,CSV!H:H,""),
_xlpm.MacVal,_xlfn.XLOOKUP($A1329,Output_Mac!$A:$A,Output_Mac!H:H,""),
_xlpm.MyAuditVal,_xlfn.XLOOKUP($A1329,My_Audit!$A:$A,My_Audit!G:G,""),
_xlfn.IFS(_xlpm.MyAuditVal&lt;&gt;"",_xlpm.MyAuditVal,_xlpm.MacVal&lt;&gt;"",_xlpm.MacVal,_xlpm.CSVVal&lt;&gt;"",_xlpm.CSVVal
)),"")</f>
        <v/>
      </c>
      <c r="I1329" s="40" t="str">
        <f>_xlfn.XLOOKUP(A1329,Output_Mac!A:A,Output_Mac!I:I,"")</f>
        <v/>
      </c>
      <c r="J1329" s="40" t="str" cm="1">
        <f t="array" ref="J1329">IFERROR(_xlfn.LET(
_xlpm.CSVVal,_xlfn.XLOOKUP($A1329,CSV!$A:$A,CSV!I:I,""),
_xlpm.MacVal,_xlfn.XLOOKUP($A1329,Output_Mac!$A:$A,Output_Mac!J:J,""),
_xlpm.MyAuditVal,_xlfn.XLOOKUP($A1329,My_Audit!$A:$A,My_Audit!I:I,""),
_xlfn.IFS(_xlpm.MyAuditVal&lt;&gt;"",UPPER(_xlpm.MyAuditVal),_xlpm.MacVal&lt;&gt;"",_xlpm.MacVal,_xlpm.CSVVal&lt;&gt;"",_xlpm.CSVVal
)),"")</f>
        <v/>
      </c>
      <c r="K1329" s="40" t="str" cm="1">
        <f t="array" ref="K1329">IFERROR(_xlfn.LET(
_xlpm.CSVVal,_xlfn.XLOOKUP($A1329,CSV!$A:$A,CSV!K:K,""),
_xlpm.MacVal,_xlfn.XLOOKUP($A1329,Output_Mac!$A:$A,Output_Mac!K:K,""),
_xlpm.MyAuditVal,_xlfn.XLOOKUP($A1329,My_Audit!$A:$A,My_Audit!J:J,""),
_xlfn.IFS(_xlpm.MyAuditVal&lt;&gt;"",UPPER(_xlpm.MyAuditVal),_xlpm.MacVal&lt;&gt;"",_xlpm.MacVal,_xlpm.CSVVal&lt;&gt;"",_xlpm.CSVVal
)),"")</f>
        <v/>
      </c>
      <c r="L1329" s="40" t="str" cm="1">
        <f t="array" ref="L1329">IFERROR(_xlfn.LET(
_xlpm.CSVVal,_xlfn.XLOOKUP($A1329,CSV!$A:$A,CSV!P:P,""),
_xlpm.MacVal,_xlfn.XLOOKUP($A1329,Output_Mac!$A:$A,Output_Mac!L:L,""),
_xlpm.MyAuditVal,_xlfn.XLOOKUP($A1329,My_Audit!$A:$A,My_Audit!K:K,""),
_xlfn.IFS(_xlpm.MyAuditVal&lt;&gt;"",UPPER(_xlpm.MyAuditVal),_xlpm.MacVal&lt;&gt;"",_xlpm.MacVal,_xlpm.CSVVal&lt;&gt;"",_xlpm.CSVVal
)),"")</f>
        <v/>
      </c>
      <c r="M1329" s="40" t="str" cm="1">
        <f t="array" ref="M1329">IFERROR(_xlfn.LET(
_xlpm.CSVVal,_xlfn.XLOOKUP($A1329,CSV!$A:$A,CSV!Q:Q,""),
_xlpm.MacVal,_xlfn.XLOOKUP($A1329,Output_Mac!$A:$A,Output_Mac!M:M,""),
_xlpm.MyAuditVal,_xlfn.XLOOKUP($A1329,My_Audit!$A:$A,My_Audit!L:L,""),
_xlfn.IFS(_xlpm.MyAuditVal&lt;&gt;"",UPPER(_xlpm.MyAuditVal),_xlpm.MacVal&lt;&gt;"",_xlpm.MacVal,_xlpm.CSVVal&lt;&gt;"",_xlpm.CSVVal
)),"")</f>
        <v/>
      </c>
      <c r="N1329" s="40"/>
      <c r="O1329" s="40" t="str">
        <f>_xlfn.LET(
    _xlpm.CSVVal, _xlfn.XLOOKUP($A1329, CSV!$A:$A, CSV!AA:AA, ""),
    _xlpm.MacVal, _xlfn.XLOOKUP($A1329, Output_Mac!$A:$A, Output_Mac!S:S, ""),
    _xlpm.MyAuditVal, _xlfn.XLOOKUP($A1329, My_Audit!$A:$A, My_Audit!P:P, ""),
    _xlfn.TEXTJOIN(", ", TRUE, _xlpm.MyAuditVal, _xlpm.MacVal, _xlpm.CSVVal)
)</f>
        <v/>
      </c>
      <c r="P1329" s="40" t="str" cm="1">
        <f t="array" ref="P1329">IFERROR(_xlfn.LET(
_xlpm.CSVVal,_xlfn.XLOOKUP($A1329,CSV!$A:$A,CSV!AB:AB,""),
_xlpm.MacVal,_xlfn.XLOOKUP($A1329,Output_Mac!$A:$A,Output_Mac!T:T,""),
_xlpm.MyAuditVal,_xlfn.XLOOKUP($A1329,My_Audit!$A:$A,My_Audit!Q:Q,""),
_xlfn.IFS(_xlpm.MyAuditVal&lt;&gt;"",UPPER(_xlpm.MyAuditVal),_xlpm.MacVal&lt;&gt;"",_xlpm.MacVal,_xlpm.CSVVal&lt;&gt;"",_xlpm.CSVVal
)),"No")</f>
        <v>No</v>
      </c>
      <c r="Q1329" s="40" t="str" cm="1">
        <f t="array" ref="Q1329">IFERROR(_xlfn.LET(
_xlpm.CSVVal,_xlfn.XLOOKUP($A1329,CSV!$A:$A,CSV!AC:AC,""),
_xlpm.MacVal,_xlfn.XLOOKUP($A1329,Output_Mac!$A:$A,Output_Mac!U:U,""),
_xlpm.MyAuditVal,_xlfn.XLOOKUP($A1329,My_Audit!$A:$A,My_Audit!R:R,""),
_xlfn.IFS(_xlpm.MyAuditVal&lt;&gt;"",UPPER(_xlpm.MyAuditVal),_xlpm.MacVal&lt;&gt;"",_xlpm.MacVal,_xlpm.CSVVal&lt;&gt;"",_xlpm.CSVVal
)),"")</f>
        <v/>
      </c>
      <c r="R1329" s="40"/>
      <c r="S1329" s="40"/>
      <c r="T1329" s="40"/>
      <c r="U1329" s="40"/>
      <c r="V1329" s="40"/>
      <c r="W1329" s="40"/>
      <c r="X1329" s="41" t="str">
        <f>_xlfn.LET(
    _xlpm.MacVal, _xlfn.XLOOKUP($A1329, Output_Mac!$A:$A, Output_Mac!AB:AB, ""),
    _xlpm.MyAuditVal, _xlfn.XLOOKUP($A1329, My_Audit!$A:$A, My_Audit!N:N, ""),
    _xlfn.TEXTJOIN(", ", TRUE, _xlpm.MyAuditVal, _xlpm.MacVal)
)</f>
        <v/>
      </c>
    </row>
    <row r="1330" spans="1:24">
      <c r="A1330" s="40" t="str">
        <f>_xlfn.TEXTJOIN("",TRUE,Input!$B$2,ROW(My_Audit!A1329))</f>
        <v>X1329</v>
      </c>
      <c r="B1330" s="40" t="str">
        <f>_xlfn.TEXTJOIN("-",TRUE,"ITD",Input!$A$2,A1330)</f>
        <v>ITD-X1329</v>
      </c>
      <c r="C1330" s="40" t="str" cm="1">
        <f t="array" ref="C1330">IFERROR(_xlfn.LET(
_xlpm.CSVVal,_xlfn.XLOOKUP($A1330,CSV!$A:$A,CSV!B:B,""),
_xlpm.MacVal,_xlfn.XLOOKUP($A1330,Output_Mac!$A:$A,Output_Mac!B:B,""),
_xlpm.MyAuditVal,_xlfn.XLOOKUP($A1330,My_Audit!$A:$A,My_Audit!B:B,""),
_xlfn.IFS(_xlpm.MyAuditVal&lt;&gt;"",UPPER(_xlpm.MyAuditVal),_xlpm.MacVal&lt;&gt;"",_xlpm.MacVal,_xlpm.CSVVal&lt;&gt;"",_xlpm.CSVVal
)),"")</f>
        <v/>
      </c>
      <c r="D1330" s="40" t="str" cm="1">
        <f t="array" ref="D1330">IFERROR(_xlfn.LET(
_xlpm.CSVVal,_xlfn.XLOOKUP($A1330,CSV!$A:$A,CSV!D:D,""),
_xlpm.MacVal,_xlfn.XLOOKUP($A1330,Output_Mac!$A:$A,Output_Mac!C:C,""),
_xlpm.MyAuditVal,_xlfn.XLOOKUP($A1330,My_Audit!$A:$A,My_Audit!C:C,""),
_xlfn.IFS(_xlpm.MyAuditVal&lt;&gt;"",_xlpm.MyAuditVal,_xlpm.MacVal&lt;&gt;"",_xlpm.MacVal,_xlpm.CSVVal&lt;&gt;"",_xlpm.CSVVal
)),"")</f>
        <v/>
      </c>
      <c r="E1330" s="40" t="str">
        <f>_xlfn.XLOOKUP(A1330,My_Audit!A:A,My_Audit!D:D,"")</f>
        <v/>
      </c>
      <c r="F1330" s="40" t="str" cm="1">
        <f t="array" ref="F1330">IFERROR(_xlfn.LET(
_xlpm.CSVVal,_xlfn.XLOOKUP($A1330,CSV!$A:$A,CSV!F:F,""),
_xlpm.MacVal,_xlfn.XLOOKUP($A1330,Output_Mac!$A:$A,Output_Mac!E:E,""),
_xlpm.MyAuditVal,_xlfn.XLOOKUP($A1330,My_Audit!$A:$A,My_Audit!E:E,""),
_xlfn.IFS(_xlpm.MyAuditVal&lt;&gt;"",_xlpm.MyAuditVal,_xlpm.MacVal&lt;&gt;"",_xlpm.MacVal,_xlpm.CSVVal&lt;&gt;"",_xlpm.CSVVal
)),"")</f>
        <v/>
      </c>
      <c r="G1330" s="40" t="str" cm="1">
        <f t="array" ref="G1330">IFERROR(_xlfn.LET(
_xlpm.CSVVal,_xlfn.XLOOKUP($A1330,CSV!$A:$A,CSV!G:G,""),
_xlpm.MacVal,_xlfn.XLOOKUP($A1330,Output_Mac!$A:$A,Output_Mac!F:F,""),
_xlpm.MyAuditVal,_xlfn.XLOOKUP($A1330,My_Audit!$A:$A,My_Audit!F:F,""),
_xlfn.IFS(_xlpm.MyAuditVal&lt;&gt;"",_xlpm.MyAuditVal,_xlpm.MacVal&lt;&gt;"",_xlpm.MacVal,_xlpm.CSVVal&lt;&gt;"",PROPER(_xlpm.CSVVal)
)),"")</f>
        <v/>
      </c>
      <c r="H1330" s="40" t="str" cm="1">
        <f t="array" ref="H1330">IFERROR(_xlfn.LET(
_xlpm.CSVVal,_xlfn.XLOOKUP($A1330,CSV!$A:$A,CSV!H:H,""),
_xlpm.MacVal,_xlfn.XLOOKUP($A1330,Output_Mac!$A:$A,Output_Mac!H:H,""),
_xlpm.MyAuditVal,_xlfn.XLOOKUP($A1330,My_Audit!$A:$A,My_Audit!G:G,""),
_xlfn.IFS(_xlpm.MyAuditVal&lt;&gt;"",_xlpm.MyAuditVal,_xlpm.MacVal&lt;&gt;"",_xlpm.MacVal,_xlpm.CSVVal&lt;&gt;"",_xlpm.CSVVal
)),"")</f>
        <v/>
      </c>
      <c r="I1330" s="40" t="str">
        <f>_xlfn.XLOOKUP(A1330,Output_Mac!A:A,Output_Mac!I:I,"")</f>
        <v/>
      </c>
      <c r="J1330" s="40" t="str" cm="1">
        <f t="array" ref="J1330">IFERROR(_xlfn.LET(
_xlpm.CSVVal,_xlfn.XLOOKUP($A1330,CSV!$A:$A,CSV!I:I,""),
_xlpm.MacVal,_xlfn.XLOOKUP($A1330,Output_Mac!$A:$A,Output_Mac!J:J,""),
_xlpm.MyAuditVal,_xlfn.XLOOKUP($A1330,My_Audit!$A:$A,My_Audit!I:I,""),
_xlfn.IFS(_xlpm.MyAuditVal&lt;&gt;"",UPPER(_xlpm.MyAuditVal),_xlpm.MacVal&lt;&gt;"",_xlpm.MacVal,_xlpm.CSVVal&lt;&gt;"",_xlpm.CSVVal
)),"")</f>
        <v/>
      </c>
      <c r="K1330" s="40" t="str" cm="1">
        <f t="array" ref="K1330">IFERROR(_xlfn.LET(
_xlpm.CSVVal,_xlfn.XLOOKUP($A1330,CSV!$A:$A,CSV!K:K,""),
_xlpm.MacVal,_xlfn.XLOOKUP($A1330,Output_Mac!$A:$A,Output_Mac!K:K,""),
_xlpm.MyAuditVal,_xlfn.XLOOKUP($A1330,My_Audit!$A:$A,My_Audit!J:J,""),
_xlfn.IFS(_xlpm.MyAuditVal&lt;&gt;"",UPPER(_xlpm.MyAuditVal),_xlpm.MacVal&lt;&gt;"",_xlpm.MacVal,_xlpm.CSVVal&lt;&gt;"",_xlpm.CSVVal
)),"")</f>
        <v/>
      </c>
      <c r="L1330" s="40" t="str" cm="1">
        <f t="array" ref="L1330">IFERROR(_xlfn.LET(
_xlpm.CSVVal,_xlfn.XLOOKUP($A1330,CSV!$A:$A,CSV!P:P,""),
_xlpm.MacVal,_xlfn.XLOOKUP($A1330,Output_Mac!$A:$A,Output_Mac!L:L,""),
_xlpm.MyAuditVal,_xlfn.XLOOKUP($A1330,My_Audit!$A:$A,My_Audit!K:K,""),
_xlfn.IFS(_xlpm.MyAuditVal&lt;&gt;"",UPPER(_xlpm.MyAuditVal),_xlpm.MacVal&lt;&gt;"",_xlpm.MacVal,_xlpm.CSVVal&lt;&gt;"",_xlpm.CSVVal
)),"")</f>
        <v/>
      </c>
      <c r="M1330" s="40" t="str" cm="1">
        <f t="array" ref="M1330">IFERROR(_xlfn.LET(
_xlpm.CSVVal,_xlfn.XLOOKUP($A1330,CSV!$A:$A,CSV!Q:Q,""),
_xlpm.MacVal,_xlfn.XLOOKUP($A1330,Output_Mac!$A:$A,Output_Mac!M:M,""),
_xlpm.MyAuditVal,_xlfn.XLOOKUP($A1330,My_Audit!$A:$A,My_Audit!L:L,""),
_xlfn.IFS(_xlpm.MyAuditVal&lt;&gt;"",UPPER(_xlpm.MyAuditVal),_xlpm.MacVal&lt;&gt;"",_xlpm.MacVal,_xlpm.CSVVal&lt;&gt;"",_xlpm.CSVVal
)),"")</f>
        <v/>
      </c>
      <c r="N1330" s="40"/>
      <c r="O1330" s="40" t="str">
        <f>_xlfn.LET(
    _xlpm.CSVVal, _xlfn.XLOOKUP($A1330, CSV!$A:$A, CSV!AA:AA, ""),
    _xlpm.MacVal, _xlfn.XLOOKUP($A1330, Output_Mac!$A:$A, Output_Mac!S:S, ""),
    _xlpm.MyAuditVal, _xlfn.XLOOKUP($A1330, My_Audit!$A:$A, My_Audit!P:P, ""),
    _xlfn.TEXTJOIN(", ", TRUE, _xlpm.MyAuditVal, _xlpm.MacVal, _xlpm.CSVVal)
)</f>
        <v/>
      </c>
      <c r="P1330" s="40" t="str" cm="1">
        <f t="array" ref="P1330">IFERROR(_xlfn.LET(
_xlpm.CSVVal,_xlfn.XLOOKUP($A1330,CSV!$A:$A,CSV!AB:AB,""),
_xlpm.MacVal,_xlfn.XLOOKUP($A1330,Output_Mac!$A:$A,Output_Mac!T:T,""),
_xlpm.MyAuditVal,_xlfn.XLOOKUP($A1330,My_Audit!$A:$A,My_Audit!Q:Q,""),
_xlfn.IFS(_xlpm.MyAuditVal&lt;&gt;"",UPPER(_xlpm.MyAuditVal),_xlpm.MacVal&lt;&gt;"",_xlpm.MacVal,_xlpm.CSVVal&lt;&gt;"",_xlpm.CSVVal
)),"No")</f>
        <v>No</v>
      </c>
      <c r="Q1330" s="40" t="str" cm="1">
        <f t="array" ref="Q1330">IFERROR(_xlfn.LET(
_xlpm.CSVVal,_xlfn.XLOOKUP($A1330,CSV!$A:$A,CSV!AC:AC,""),
_xlpm.MacVal,_xlfn.XLOOKUP($A1330,Output_Mac!$A:$A,Output_Mac!U:U,""),
_xlpm.MyAuditVal,_xlfn.XLOOKUP($A1330,My_Audit!$A:$A,My_Audit!R:R,""),
_xlfn.IFS(_xlpm.MyAuditVal&lt;&gt;"",UPPER(_xlpm.MyAuditVal),_xlpm.MacVal&lt;&gt;"",_xlpm.MacVal,_xlpm.CSVVal&lt;&gt;"",_xlpm.CSVVal
)),"")</f>
        <v/>
      </c>
      <c r="R1330" s="40"/>
      <c r="S1330" s="40"/>
      <c r="T1330" s="40"/>
      <c r="U1330" s="40"/>
      <c r="V1330" s="40"/>
      <c r="W1330" s="40"/>
      <c r="X1330" s="41" t="str">
        <f>_xlfn.LET(
    _xlpm.MacVal, _xlfn.XLOOKUP($A1330, Output_Mac!$A:$A, Output_Mac!AB:AB, ""),
    _xlpm.MyAuditVal, _xlfn.XLOOKUP($A1330, My_Audit!$A:$A, My_Audit!N:N, ""),
    _xlfn.TEXTJOIN(", ", TRUE, _xlpm.MyAuditVal, _xlpm.MacVal)
)</f>
        <v/>
      </c>
    </row>
    <row r="1331" spans="1:24">
      <c r="A1331" s="40" t="str">
        <f>_xlfn.TEXTJOIN("",TRUE,Input!$B$2,ROW(My_Audit!A1330))</f>
        <v>X1330</v>
      </c>
      <c r="B1331" s="40" t="str">
        <f>_xlfn.TEXTJOIN("-",TRUE,"ITD",Input!$A$2,A1331)</f>
        <v>ITD-X1330</v>
      </c>
      <c r="C1331" s="40" t="str" cm="1">
        <f t="array" ref="C1331">IFERROR(_xlfn.LET(
_xlpm.CSVVal,_xlfn.XLOOKUP($A1331,CSV!$A:$A,CSV!B:B,""),
_xlpm.MacVal,_xlfn.XLOOKUP($A1331,Output_Mac!$A:$A,Output_Mac!B:B,""),
_xlpm.MyAuditVal,_xlfn.XLOOKUP($A1331,My_Audit!$A:$A,My_Audit!B:B,""),
_xlfn.IFS(_xlpm.MyAuditVal&lt;&gt;"",UPPER(_xlpm.MyAuditVal),_xlpm.MacVal&lt;&gt;"",_xlpm.MacVal,_xlpm.CSVVal&lt;&gt;"",_xlpm.CSVVal
)),"")</f>
        <v/>
      </c>
      <c r="D1331" s="40" t="str" cm="1">
        <f t="array" ref="D1331">IFERROR(_xlfn.LET(
_xlpm.CSVVal,_xlfn.XLOOKUP($A1331,CSV!$A:$A,CSV!D:D,""),
_xlpm.MacVal,_xlfn.XLOOKUP($A1331,Output_Mac!$A:$A,Output_Mac!C:C,""),
_xlpm.MyAuditVal,_xlfn.XLOOKUP($A1331,My_Audit!$A:$A,My_Audit!C:C,""),
_xlfn.IFS(_xlpm.MyAuditVal&lt;&gt;"",_xlpm.MyAuditVal,_xlpm.MacVal&lt;&gt;"",_xlpm.MacVal,_xlpm.CSVVal&lt;&gt;"",_xlpm.CSVVal
)),"")</f>
        <v/>
      </c>
      <c r="E1331" s="40" t="str">
        <f>_xlfn.XLOOKUP(A1331,My_Audit!A:A,My_Audit!D:D,"")</f>
        <v/>
      </c>
      <c r="F1331" s="40" t="str" cm="1">
        <f t="array" ref="F1331">IFERROR(_xlfn.LET(
_xlpm.CSVVal,_xlfn.XLOOKUP($A1331,CSV!$A:$A,CSV!F:F,""),
_xlpm.MacVal,_xlfn.XLOOKUP($A1331,Output_Mac!$A:$A,Output_Mac!E:E,""),
_xlpm.MyAuditVal,_xlfn.XLOOKUP($A1331,My_Audit!$A:$A,My_Audit!E:E,""),
_xlfn.IFS(_xlpm.MyAuditVal&lt;&gt;"",_xlpm.MyAuditVal,_xlpm.MacVal&lt;&gt;"",_xlpm.MacVal,_xlpm.CSVVal&lt;&gt;"",_xlpm.CSVVal
)),"")</f>
        <v/>
      </c>
      <c r="G1331" s="40" t="str" cm="1">
        <f t="array" ref="G1331">IFERROR(_xlfn.LET(
_xlpm.CSVVal,_xlfn.XLOOKUP($A1331,CSV!$A:$A,CSV!G:G,""),
_xlpm.MacVal,_xlfn.XLOOKUP($A1331,Output_Mac!$A:$A,Output_Mac!F:F,""),
_xlpm.MyAuditVal,_xlfn.XLOOKUP($A1331,My_Audit!$A:$A,My_Audit!F:F,""),
_xlfn.IFS(_xlpm.MyAuditVal&lt;&gt;"",_xlpm.MyAuditVal,_xlpm.MacVal&lt;&gt;"",_xlpm.MacVal,_xlpm.CSVVal&lt;&gt;"",PROPER(_xlpm.CSVVal)
)),"")</f>
        <v/>
      </c>
      <c r="H1331" s="40" t="str" cm="1">
        <f t="array" ref="H1331">IFERROR(_xlfn.LET(
_xlpm.CSVVal,_xlfn.XLOOKUP($A1331,CSV!$A:$A,CSV!H:H,""),
_xlpm.MacVal,_xlfn.XLOOKUP($A1331,Output_Mac!$A:$A,Output_Mac!H:H,""),
_xlpm.MyAuditVal,_xlfn.XLOOKUP($A1331,My_Audit!$A:$A,My_Audit!G:G,""),
_xlfn.IFS(_xlpm.MyAuditVal&lt;&gt;"",_xlpm.MyAuditVal,_xlpm.MacVal&lt;&gt;"",_xlpm.MacVal,_xlpm.CSVVal&lt;&gt;"",_xlpm.CSVVal
)),"")</f>
        <v/>
      </c>
      <c r="I1331" s="40" t="str">
        <f>_xlfn.XLOOKUP(A1331,Output_Mac!A:A,Output_Mac!I:I,"")</f>
        <v/>
      </c>
      <c r="J1331" s="40" t="str" cm="1">
        <f t="array" ref="J1331">IFERROR(_xlfn.LET(
_xlpm.CSVVal,_xlfn.XLOOKUP($A1331,CSV!$A:$A,CSV!I:I,""),
_xlpm.MacVal,_xlfn.XLOOKUP($A1331,Output_Mac!$A:$A,Output_Mac!J:J,""),
_xlpm.MyAuditVal,_xlfn.XLOOKUP($A1331,My_Audit!$A:$A,My_Audit!I:I,""),
_xlfn.IFS(_xlpm.MyAuditVal&lt;&gt;"",UPPER(_xlpm.MyAuditVal),_xlpm.MacVal&lt;&gt;"",_xlpm.MacVal,_xlpm.CSVVal&lt;&gt;"",_xlpm.CSVVal
)),"")</f>
        <v/>
      </c>
      <c r="K1331" s="40" t="str" cm="1">
        <f t="array" ref="K1331">IFERROR(_xlfn.LET(
_xlpm.CSVVal,_xlfn.XLOOKUP($A1331,CSV!$A:$A,CSV!K:K,""),
_xlpm.MacVal,_xlfn.XLOOKUP($A1331,Output_Mac!$A:$A,Output_Mac!K:K,""),
_xlpm.MyAuditVal,_xlfn.XLOOKUP($A1331,My_Audit!$A:$A,My_Audit!J:J,""),
_xlfn.IFS(_xlpm.MyAuditVal&lt;&gt;"",UPPER(_xlpm.MyAuditVal),_xlpm.MacVal&lt;&gt;"",_xlpm.MacVal,_xlpm.CSVVal&lt;&gt;"",_xlpm.CSVVal
)),"")</f>
        <v/>
      </c>
      <c r="L1331" s="40" t="str" cm="1">
        <f t="array" ref="L1331">IFERROR(_xlfn.LET(
_xlpm.CSVVal,_xlfn.XLOOKUP($A1331,CSV!$A:$A,CSV!P:P,""),
_xlpm.MacVal,_xlfn.XLOOKUP($A1331,Output_Mac!$A:$A,Output_Mac!L:L,""),
_xlpm.MyAuditVal,_xlfn.XLOOKUP($A1331,My_Audit!$A:$A,My_Audit!K:K,""),
_xlfn.IFS(_xlpm.MyAuditVal&lt;&gt;"",UPPER(_xlpm.MyAuditVal),_xlpm.MacVal&lt;&gt;"",_xlpm.MacVal,_xlpm.CSVVal&lt;&gt;"",_xlpm.CSVVal
)),"")</f>
        <v/>
      </c>
      <c r="M1331" s="40" t="str" cm="1">
        <f t="array" ref="M1331">IFERROR(_xlfn.LET(
_xlpm.CSVVal,_xlfn.XLOOKUP($A1331,CSV!$A:$A,CSV!Q:Q,""),
_xlpm.MacVal,_xlfn.XLOOKUP($A1331,Output_Mac!$A:$A,Output_Mac!M:M,""),
_xlpm.MyAuditVal,_xlfn.XLOOKUP($A1331,My_Audit!$A:$A,My_Audit!L:L,""),
_xlfn.IFS(_xlpm.MyAuditVal&lt;&gt;"",UPPER(_xlpm.MyAuditVal),_xlpm.MacVal&lt;&gt;"",_xlpm.MacVal,_xlpm.CSVVal&lt;&gt;"",_xlpm.CSVVal
)),"")</f>
        <v/>
      </c>
      <c r="N1331" s="40"/>
      <c r="O1331" s="40" t="str">
        <f>_xlfn.LET(
    _xlpm.CSVVal, _xlfn.XLOOKUP($A1331, CSV!$A:$A, CSV!AA:AA, ""),
    _xlpm.MacVal, _xlfn.XLOOKUP($A1331, Output_Mac!$A:$A, Output_Mac!S:S, ""),
    _xlpm.MyAuditVal, _xlfn.XLOOKUP($A1331, My_Audit!$A:$A, My_Audit!P:P, ""),
    _xlfn.TEXTJOIN(", ", TRUE, _xlpm.MyAuditVal, _xlpm.MacVal, _xlpm.CSVVal)
)</f>
        <v/>
      </c>
      <c r="P1331" s="40" t="str" cm="1">
        <f t="array" ref="P1331">IFERROR(_xlfn.LET(
_xlpm.CSVVal,_xlfn.XLOOKUP($A1331,CSV!$A:$A,CSV!AB:AB,""),
_xlpm.MacVal,_xlfn.XLOOKUP($A1331,Output_Mac!$A:$A,Output_Mac!T:T,""),
_xlpm.MyAuditVal,_xlfn.XLOOKUP($A1331,My_Audit!$A:$A,My_Audit!Q:Q,""),
_xlfn.IFS(_xlpm.MyAuditVal&lt;&gt;"",UPPER(_xlpm.MyAuditVal),_xlpm.MacVal&lt;&gt;"",_xlpm.MacVal,_xlpm.CSVVal&lt;&gt;"",_xlpm.CSVVal
)),"No")</f>
        <v>No</v>
      </c>
      <c r="Q1331" s="40" t="str" cm="1">
        <f t="array" ref="Q1331">IFERROR(_xlfn.LET(
_xlpm.CSVVal,_xlfn.XLOOKUP($A1331,CSV!$A:$A,CSV!AC:AC,""),
_xlpm.MacVal,_xlfn.XLOOKUP($A1331,Output_Mac!$A:$A,Output_Mac!U:U,""),
_xlpm.MyAuditVal,_xlfn.XLOOKUP($A1331,My_Audit!$A:$A,My_Audit!R:R,""),
_xlfn.IFS(_xlpm.MyAuditVal&lt;&gt;"",UPPER(_xlpm.MyAuditVal),_xlpm.MacVal&lt;&gt;"",_xlpm.MacVal,_xlpm.CSVVal&lt;&gt;"",_xlpm.CSVVal
)),"")</f>
        <v/>
      </c>
      <c r="R1331" s="40"/>
      <c r="S1331" s="40"/>
      <c r="T1331" s="40"/>
      <c r="U1331" s="40"/>
      <c r="V1331" s="40"/>
      <c r="W1331" s="40"/>
      <c r="X1331" s="41" t="str">
        <f>_xlfn.LET(
    _xlpm.MacVal, _xlfn.XLOOKUP($A1331, Output_Mac!$A:$A, Output_Mac!AB:AB, ""),
    _xlpm.MyAuditVal, _xlfn.XLOOKUP($A1331, My_Audit!$A:$A, My_Audit!N:N, ""),
    _xlfn.TEXTJOIN(", ", TRUE, _xlpm.MyAuditVal, _xlpm.MacVal)
)</f>
        <v/>
      </c>
    </row>
    <row r="1332" spans="1:24">
      <c r="A1332" s="40" t="str">
        <f>_xlfn.TEXTJOIN("",TRUE,Input!$B$2,ROW(My_Audit!A1331))</f>
        <v>X1331</v>
      </c>
      <c r="B1332" s="40" t="str">
        <f>_xlfn.TEXTJOIN("-",TRUE,"ITD",Input!$A$2,A1332)</f>
        <v>ITD-X1331</v>
      </c>
      <c r="C1332" s="40" t="str" cm="1">
        <f t="array" ref="C1332">IFERROR(_xlfn.LET(
_xlpm.CSVVal,_xlfn.XLOOKUP($A1332,CSV!$A:$A,CSV!B:B,""),
_xlpm.MacVal,_xlfn.XLOOKUP($A1332,Output_Mac!$A:$A,Output_Mac!B:B,""),
_xlpm.MyAuditVal,_xlfn.XLOOKUP($A1332,My_Audit!$A:$A,My_Audit!B:B,""),
_xlfn.IFS(_xlpm.MyAuditVal&lt;&gt;"",UPPER(_xlpm.MyAuditVal),_xlpm.MacVal&lt;&gt;"",_xlpm.MacVal,_xlpm.CSVVal&lt;&gt;"",_xlpm.CSVVal
)),"")</f>
        <v/>
      </c>
      <c r="D1332" s="40" t="str" cm="1">
        <f t="array" ref="D1332">IFERROR(_xlfn.LET(
_xlpm.CSVVal,_xlfn.XLOOKUP($A1332,CSV!$A:$A,CSV!D:D,""),
_xlpm.MacVal,_xlfn.XLOOKUP($A1332,Output_Mac!$A:$A,Output_Mac!C:C,""),
_xlpm.MyAuditVal,_xlfn.XLOOKUP($A1332,My_Audit!$A:$A,My_Audit!C:C,""),
_xlfn.IFS(_xlpm.MyAuditVal&lt;&gt;"",_xlpm.MyAuditVal,_xlpm.MacVal&lt;&gt;"",_xlpm.MacVal,_xlpm.CSVVal&lt;&gt;"",_xlpm.CSVVal
)),"")</f>
        <v/>
      </c>
      <c r="E1332" s="40" t="str">
        <f>_xlfn.XLOOKUP(A1332,My_Audit!A:A,My_Audit!D:D,"")</f>
        <v/>
      </c>
      <c r="F1332" s="40" t="str" cm="1">
        <f t="array" ref="F1332">IFERROR(_xlfn.LET(
_xlpm.CSVVal,_xlfn.XLOOKUP($A1332,CSV!$A:$A,CSV!F:F,""),
_xlpm.MacVal,_xlfn.XLOOKUP($A1332,Output_Mac!$A:$A,Output_Mac!E:E,""),
_xlpm.MyAuditVal,_xlfn.XLOOKUP($A1332,My_Audit!$A:$A,My_Audit!E:E,""),
_xlfn.IFS(_xlpm.MyAuditVal&lt;&gt;"",_xlpm.MyAuditVal,_xlpm.MacVal&lt;&gt;"",_xlpm.MacVal,_xlpm.CSVVal&lt;&gt;"",_xlpm.CSVVal
)),"")</f>
        <v/>
      </c>
      <c r="G1332" s="40" t="str" cm="1">
        <f t="array" ref="G1332">IFERROR(_xlfn.LET(
_xlpm.CSVVal,_xlfn.XLOOKUP($A1332,CSV!$A:$A,CSV!G:G,""),
_xlpm.MacVal,_xlfn.XLOOKUP($A1332,Output_Mac!$A:$A,Output_Mac!F:F,""),
_xlpm.MyAuditVal,_xlfn.XLOOKUP($A1332,My_Audit!$A:$A,My_Audit!F:F,""),
_xlfn.IFS(_xlpm.MyAuditVal&lt;&gt;"",_xlpm.MyAuditVal,_xlpm.MacVal&lt;&gt;"",_xlpm.MacVal,_xlpm.CSVVal&lt;&gt;"",PROPER(_xlpm.CSVVal)
)),"")</f>
        <v/>
      </c>
      <c r="H1332" s="40" t="str" cm="1">
        <f t="array" ref="H1332">IFERROR(_xlfn.LET(
_xlpm.CSVVal,_xlfn.XLOOKUP($A1332,CSV!$A:$A,CSV!H:H,""),
_xlpm.MacVal,_xlfn.XLOOKUP($A1332,Output_Mac!$A:$A,Output_Mac!H:H,""),
_xlpm.MyAuditVal,_xlfn.XLOOKUP($A1332,My_Audit!$A:$A,My_Audit!G:G,""),
_xlfn.IFS(_xlpm.MyAuditVal&lt;&gt;"",_xlpm.MyAuditVal,_xlpm.MacVal&lt;&gt;"",_xlpm.MacVal,_xlpm.CSVVal&lt;&gt;"",_xlpm.CSVVal
)),"")</f>
        <v/>
      </c>
      <c r="I1332" s="40" t="str">
        <f>_xlfn.XLOOKUP(A1332,Output_Mac!A:A,Output_Mac!I:I,"")</f>
        <v/>
      </c>
      <c r="J1332" s="40" t="str" cm="1">
        <f t="array" ref="J1332">IFERROR(_xlfn.LET(
_xlpm.CSVVal,_xlfn.XLOOKUP($A1332,CSV!$A:$A,CSV!I:I,""),
_xlpm.MacVal,_xlfn.XLOOKUP($A1332,Output_Mac!$A:$A,Output_Mac!J:J,""),
_xlpm.MyAuditVal,_xlfn.XLOOKUP($A1332,My_Audit!$A:$A,My_Audit!I:I,""),
_xlfn.IFS(_xlpm.MyAuditVal&lt;&gt;"",UPPER(_xlpm.MyAuditVal),_xlpm.MacVal&lt;&gt;"",_xlpm.MacVal,_xlpm.CSVVal&lt;&gt;"",_xlpm.CSVVal
)),"")</f>
        <v/>
      </c>
      <c r="K1332" s="40" t="str" cm="1">
        <f t="array" ref="K1332">IFERROR(_xlfn.LET(
_xlpm.CSVVal,_xlfn.XLOOKUP($A1332,CSV!$A:$A,CSV!K:K,""),
_xlpm.MacVal,_xlfn.XLOOKUP($A1332,Output_Mac!$A:$A,Output_Mac!K:K,""),
_xlpm.MyAuditVal,_xlfn.XLOOKUP($A1332,My_Audit!$A:$A,My_Audit!J:J,""),
_xlfn.IFS(_xlpm.MyAuditVal&lt;&gt;"",UPPER(_xlpm.MyAuditVal),_xlpm.MacVal&lt;&gt;"",_xlpm.MacVal,_xlpm.CSVVal&lt;&gt;"",_xlpm.CSVVal
)),"")</f>
        <v/>
      </c>
      <c r="L1332" s="40" t="str" cm="1">
        <f t="array" ref="L1332">IFERROR(_xlfn.LET(
_xlpm.CSVVal,_xlfn.XLOOKUP($A1332,CSV!$A:$A,CSV!P:P,""),
_xlpm.MacVal,_xlfn.XLOOKUP($A1332,Output_Mac!$A:$A,Output_Mac!L:L,""),
_xlpm.MyAuditVal,_xlfn.XLOOKUP($A1332,My_Audit!$A:$A,My_Audit!K:K,""),
_xlfn.IFS(_xlpm.MyAuditVal&lt;&gt;"",UPPER(_xlpm.MyAuditVal),_xlpm.MacVal&lt;&gt;"",_xlpm.MacVal,_xlpm.CSVVal&lt;&gt;"",_xlpm.CSVVal
)),"")</f>
        <v/>
      </c>
      <c r="M1332" s="40" t="str" cm="1">
        <f t="array" ref="M1332">IFERROR(_xlfn.LET(
_xlpm.CSVVal,_xlfn.XLOOKUP($A1332,CSV!$A:$A,CSV!Q:Q,""),
_xlpm.MacVal,_xlfn.XLOOKUP($A1332,Output_Mac!$A:$A,Output_Mac!M:M,""),
_xlpm.MyAuditVal,_xlfn.XLOOKUP($A1332,My_Audit!$A:$A,My_Audit!L:L,""),
_xlfn.IFS(_xlpm.MyAuditVal&lt;&gt;"",UPPER(_xlpm.MyAuditVal),_xlpm.MacVal&lt;&gt;"",_xlpm.MacVal,_xlpm.CSVVal&lt;&gt;"",_xlpm.CSVVal
)),"")</f>
        <v/>
      </c>
      <c r="N1332" s="40"/>
      <c r="O1332" s="40" t="str">
        <f>_xlfn.LET(
    _xlpm.CSVVal, _xlfn.XLOOKUP($A1332, CSV!$A:$A, CSV!AA:AA, ""),
    _xlpm.MacVal, _xlfn.XLOOKUP($A1332, Output_Mac!$A:$A, Output_Mac!S:S, ""),
    _xlpm.MyAuditVal, _xlfn.XLOOKUP($A1332, My_Audit!$A:$A, My_Audit!P:P, ""),
    _xlfn.TEXTJOIN(", ", TRUE, _xlpm.MyAuditVal, _xlpm.MacVal, _xlpm.CSVVal)
)</f>
        <v/>
      </c>
      <c r="P1332" s="40" t="str" cm="1">
        <f t="array" ref="P1332">IFERROR(_xlfn.LET(
_xlpm.CSVVal,_xlfn.XLOOKUP($A1332,CSV!$A:$A,CSV!AB:AB,""),
_xlpm.MacVal,_xlfn.XLOOKUP($A1332,Output_Mac!$A:$A,Output_Mac!T:T,""),
_xlpm.MyAuditVal,_xlfn.XLOOKUP($A1332,My_Audit!$A:$A,My_Audit!Q:Q,""),
_xlfn.IFS(_xlpm.MyAuditVal&lt;&gt;"",UPPER(_xlpm.MyAuditVal),_xlpm.MacVal&lt;&gt;"",_xlpm.MacVal,_xlpm.CSVVal&lt;&gt;"",_xlpm.CSVVal
)),"No")</f>
        <v>No</v>
      </c>
      <c r="Q1332" s="40" t="str" cm="1">
        <f t="array" ref="Q1332">IFERROR(_xlfn.LET(
_xlpm.CSVVal,_xlfn.XLOOKUP($A1332,CSV!$A:$A,CSV!AC:AC,""),
_xlpm.MacVal,_xlfn.XLOOKUP($A1332,Output_Mac!$A:$A,Output_Mac!U:U,""),
_xlpm.MyAuditVal,_xlfn.XLOOKUP($A1332,My_Audit!$A:$A,My_Audit!R:R,""),
_xlfn.IFS(_xlpm.MyAuditVal&lt;&gt;"",UPPER(_xlpm.MyAuditVal),_xlpm.MacVal&lt;&gt;"",_xlpm.MacVal,_xlpm.CSVVal&lt;&gt;"",_xlpm.CSVVal
)),"")</f>
        <v/>
      </c>
      <c r="R1332" s="40"/>
      <c r="S1332" s="40"/>
      <c r="T1332" s="40"/>
      <c r="U1332" s="40"/>
      <c r="V1332" s="40"/>
      <c r="W1332" s="40"/>
      <c r="X1332" s="41" t="str">
        <f>_xlfn.LET(
    _xlpm.MacVal, _xlfn.XLOOKUP($A1332, Output_Mac!$A:$A, Output_Mac!AB:AB, ""),
    _xlpm.MyAuditVal, _xlfn.XLOOKUP($A1332, My_Audit!$A:$A, My_Audit!N:N, ""),
    _xlfn.TEXTJOIN(", ", TRUE, _xlpm.MyAuditVal, _xlpm.MacVal)
)</f>
        <v/>
      </c>
    </row>
    <row r="1333" spans="1:24">
      <c r="A1333" s="40" t="str">
        <f>_xlfn.TEXTJOIN("",TRUE,Input!$B$2,ROW(My_Audit!A1332))</f>
        <v>X1332</v>
      </c>
      <c r="B1333" s="40" t="str">
        <f>_xlfn.TEXTJOIN("-",TRUE,"ITD",Input!$A$2,A1333)</f>
        <v>ITD-X1332</v>
      </c>
      <c r="C1333" s="40" t="str" cm="1">
        <f t="array" ref="C1333">IFERROR(_xlfn.LET(
_xlpm.CSVVal,_xlfn.XLOOKUP($A1333,CSV!$A:$A,CSV!B:B,""),
_xlpm.MacVal,_xlfn.XLOOKUP($A1333,Output_Mac!$A:$A,Output_Mac!B:B,""),
_xlpm.MyAuditVal,_xlfn.XLOOKUP($A1333,My_Audit!$A:$A,My_Audit!B:B,""),
_xlfn.IFS(_xlpm.MyAuditVal&lt;&gt;"",UPPER(_xlpm.MyAuditVal),_xlpm.MacVal&lt;&gt;"",_xlpm.MacVal,_xlpm.CSVVal&lt;&gt;"",_xlpm.CSVVal
)),"")</f>
        <v/>
      </c>
      <c r="D1333" s="40" t="str" cm="1">
        <f t="array" ref="D1333">IFERROR(_xlfn.LET(
_xlpm.CSVVal,_xlfn.XLOOKUP($A1333,CSV!$A:$A,CSV!D:D,""),
_xlpm.MacVal,_xlfn.XLOOKUP($A1333,Output_Mac!$A:$A,Output_Mac!C:C,""),
_xlpm.MyAuditVal,_xlfn.XLOOKUP($A1333,My_Audit!$A:$A,My_Audit!C:C,""),
_xlfn.IFS(_xlpm.MyAuditVal&lt;&gt;"",_xlpm.MyAuditVal,_xlpm.MacVal&lt;&gt;"",_xlpm.MacVal,_xlpm.CSVVal&lt;&gt;"",_xlpm.CSVVal
)),"")</f>
        <v/>
      </c>
      <c r="E1333" s="40" t="str">
        <f>_xlfn.XLOOKUP(A1333,My_Audit!A:A,My_Audit!D:D,"")</f>
        <v/>
      </c>
      <c r="F1333" s="40" t="str" cm="1">
        <f t="array" ref="F1333">IFERROR(_xlfn.LET(
_xlpm.CSVVal,_xlfn.XLOOKUP($A1333,CSV!$A:$A,CSV!F:F,""),
_xlpm.MacVal,_xlfn.XLOOKUP($A1333,Output_Mac!$A:$A,Output_Mac!E:E,""),
_xlpm.MyAuditVal,_xlfn.XLOOKUP($A1333,My_Audit!$A:$A,My_Audit!E:E,""),
_xlfn.IFS(_xlpm.MyAuditVal&lt;&gt;"",_xlpm.MyAuditVal,_xlpm.MacVal&lt;&gt;"",_xlpm.MacVal,_xlpm.CSVVal&lt;&gt;"",_xlpm.CSVVal
)),"")</f>
        <v/>
      </c>
      <c r="G1333" s="40" t="str" cm="1">
        <f t="array" ref="G1333">IFERROR(_xlfn.LET(
_xlpm.CSVVal,_xlfn.XLOOKUP($A1333,CSV!$A:$A,CSV!G:G,""),
_xlpm.MacVal,_xlfn.XLOOKUP($A1333,Output_Mac!$A:$A,Output_Mac!F:F,""),
_xlpm.MyAuditVal,_xlfn.XLOOKUP($A1333,My_Audit!$A:$A,My_Audit!F:F,""),
_xlfn.IFS(_xlpm.MyAuditVal&lt;&gt;"",_xlpm.MyAuditVal,_xlpm.MacVal&lt;&gt;"",_xlpm.MacVal,_xlpm.CSVVal&lt;&gt;"",PROPER(_xlpm.CSVVal)
)),"")</f>
        <v/>
      </c>
      <c r="H1333" s="40" t="str" cm="1">
        <f t="array" ref="H1333">IFERROR(_xlfn.LET(
_xlpm.CSVVal,_xlfn.XLOOKUP($A1333,CSV!$A:$A,CSV!H:H,""),
_xlpm.MacVal,_xlfn.XLOOKUP($A1333,Output_Mac!$A:$A,Output_Mac!H:H,""),
_xlpm.MyAuditVal,_xlfn.XLOOKUP($A1333,My_Audit!$A:$A,My_Audit!G:G,""),
_xlfn.IFS(_xlpm.MyAuditVal&lt;&gt;"",_xlpm.MyAuditVal,_xlpm.MacVal&lt;&gt;"",_xlpm.MacVal,_xlpm.CSVVal&lt;&gt;"",_xlpm.CSVVal
)),"")</f>
        <v/>
      </c>
      <c r="I1333" s="40" t="str">
        <f>_xlfn.XLOOKUP(A1333,Output_Mac!A:A,Output_Mac!I:I,"")</f>
        <v/>
      </c>
      <c r="J1333" s="40" t="str" cm="1">
        <f t="array" ref="J1333">IFERROR(_xlfn.LET(
_xlpm.CSVVal,_xlfn.XLOOKUP($A1333,CSV!$A:$A,CSV!I:I,""),
_xlpm.MacVal,_xlfn.XLOOKUP($A1333,Output_Mac!$A:$A,Output_Mac!J:J,""),
_xlpm.MyAuditVal,_xlfn.XLOOKUP($A1333,My_Audit!$A:$A,My_Audit!I:I,""),
_xlfn.IFS(_xlpm.MyAuditVal&lt;&gt;"",UPPER(_xlpm.MyAuditVal),_xlpm.MacVal&lt;&gt;"",_xlpm.MacVal,_xlpm.CSVVal&lt;&gt;"",_xlpm.CSVVal
)),"")</f>
        <v/>
      </c>
      <c r="K1333" s="40" t="str" cm="1">
        <f t="array" ref="K1333">IFERROR(_xlfn.LET(
_xlpm.CSVVal,_xlfn.XLOOKUP($A1333,CSV!$A:$A,CSV!K:K,""),
_xlpm.MacVal,_xlfn.XLOOKUP($A1333,Output_Mac!$A:$A,Output_Mac!K:K,""),
_xlpm.MyAuditVal,_xlfn.XLOOKUP($A1333,My_Audit!$A:$A,My_Audit!J:J,""),
_xlfn.IFS(_xlpm.MyAuditVal&lt;&gt;"",UPPER(_xlpm.MyAuditVal),_xlpm.MacVal&lt;&gt;"",_xlpm.MacVal,_xlpm.CSVVal&lt;&gt;"",_xlpm.CSVVal
)),"")</f>
        <v/>
      </c>
      <c r="L1333" s="40" t="str" cm="1">
        <f t="array" ref="L1333">IFERROR(_xlfn.LET(
_xlpm.CSVVal,_xlfn.XLOOKUP($A1333,CSV!$A:$A,CSV!P:P,""),
_xlpm.MacVal,_xlfn.XLOOKUP($A1333,Output_Mac!$A:$A,Output_Mac!L:L,""),
_xlpm.MyAuditVal,_xlfn.XLOOKUP($A1333,My_Audit!$A:$A,My_Audit!K:K,""),
_xlfn.IFS(_xlpm.MyAuditVal&lt;&gt;"",UPPER(_xlpm.MyAuditVal),_xlpm.MacVal&lt;&gt;"",_xlpm.MacVal,_xlpm.CSVVal&lt;&gt;"",_xlpm.CSVVal
)),"")</f>
        <v/>
      </c>
      <c r="M1333" s="40" t="str" cm="1">
        <f t="array" ref="M1333">IFERROR(_xlfn.LET(
_xlpm.CSVVal,_xlfn.XLOOKUP($A1333,CSV!$A:$A,CSV!Q:Q,""),
_xlpm.MacVal,_xlfn.XLOOKUP($A1333,Output_Mac!$A:$A,Output_Mac!M:M,""),
_xlpm.MyAuditVal,_xlfn.XLOOKUP($A1333,My_Audit!$A:$A,My_Audit!L:L,""),
_xlfn.IFS(_xlpm.MyAuditVal&lt;&gt;"",UPPER(_xlpm.MyAuditVal),_xlpm.MacVal&lt;&gt;"",_xlpm.MacVal,_xlpm.CSVVal&lt;&gt;"",_xlpm.CSVVal
)),"")</f>
        <v/>
      </c>
      <c r="N1333" s="40"/>
      <c r="O1333" s="40" t="str">
        <f>_xlfn.LET(
    _xlpm.CSVVal, _xlfn.XLOOKUP($A1333, CSV!$A:$A, CSV!AA:AA, ""),
    _xlpm.MacVal, _xlfn.XLOOKUP($A1333, Output_Mac!$A:$A, Output_Mac!S:S, ""),
    _xlpm.MyAuditVal, _xlfn.XLOOKUP($A1333, My_Audit!$A:$A, My_Audit!P:P, ""),
    _xlfn.TEXTJOIN(", ", TRUE, _xlpm.MyAuditVal, _xlpm.MacVal, _xlpm.CSVVal)
)</f>
        <v/>
      </c>
      <c r="P1333" s="40" t="str" cm="1">
        <f t="array" ref="P1333">IFERROR(_xlfn.LET(
_xlpm.CSVVal,_xlfn.XLOOKUP($A1333,CSV!$A:$A,CSV!AB:AB,""),
_xlpm.MacVal,_xlfn.XLOOKUP($A1333,Output_Mac!$A:$A,Output_Mac!T:T,""),
_xlpm.MyAuditVal,_xlfn.XLOOKUP($A1333,My_Audit!$A:$A,My_Audit!Q:Q,""),
_xlfn.IFS(_xlpm.MyAuditVal&lt;&gt;"",UPPER(_xlpm.MyAuditVal),_xlpm.MacVal&lt;&gt;"",_xlpm.MacVal,_xlpm.CSVVal&lt;&gt;"",_xlpm.CSVVal
)),"No")</f>
        <v>No</v>
      </c>
      <c r="Q1333" s="40" t="str" cm="1">
        <f t="array" ref="Q1333">IFERROR(_xlfn.LET(
_xlpm.CSVVal,_xlfn.XLOOKUP($A1333,CSV!$A:$A,CSV!AC:AC,""),
_xlpm.MacVal,_xlfn.XLOOKUP($A1333,Output_Mac!$A:$A,Output_Mac!U:U,""),
_xlpm.MyAuditVal,_xlfn.XLOOKUP($A1333,My_Audit!$A:$A,My_Audit!R:R,""),
_xlfn.IFS(_xlpm.MyAuditVal&lt;&gt;"",UPPER(_xlpm.MyAuditVal),_xlpm.MacVal&lt;&gt;"",_xlpm.MacVal,_xlpm.CSVVal&lt;&gt;"",_xlpm.CSVVal
)),"")</f>
        <v/>
      </c>
      <c r="R1333" s="40"/>
      <c r="S1333" s="40"/>
      <c r="T1333" s="40"/>
      <c r="U1333" s="40"/>
      <c r="V1333" s="40"/>
      <c r="W1333" s="40"/>
      <c r="X1333" s="41" t="str">
        <f>_xlfn.LET(
    _xlpm.MacVal, _xlfn.XLOOKUP($A1333, Output_Mac!$A:$A, Output_Mac!AB:AB, ""),
    _xlpm.MyAuditVal, _xlfn.XLOOKUP($A1333, My_Audit!$A:$A, My_Audit!N:N, ""),
    _xlfn.TEXTJOIN(", ", TRUE, _xlpm.MyAuditVal, _xlpm.MacVal)
)</f>
        <v/>
      </c>
    </row>
    <row r="1334" spans="1:24">
      <c r="A1334" s="40" t="str">
        <f>_xlfn.TEXTJOIN("",TRUE,Input!$B$2,ROW(My_Audit!A1333))</f>
        <v>X1333</v>
      </c>
      <c r="B1334" s="40" t="str">
        <f>_xlfn.TEXTJOIN("-",TRUE,"ITD",Input!$A$2,A1334)</f>
        <v>ITD-X1333</v>
      </c>
      <c r="C1334" s="40" t="str" cm="1">
        <f t="array" ref="C1334">IFERROR(_xlfn.LET(
_xlpm.CSVVal,_xlfn.XLOOKUP($A1334,CSV!$A:$A,CSV!B:B,""),
_xlpm.MacVal,_xlfn.XLOOKUP($A1334,Output_Mac!$A:$A,Output_Mac!B:B,""),
_xlpm.MyAuditVal,_xlfn.XLOOKUP($A1334,My_Audit!$A:$A,My_Audit!B:B,""),
_xlfn.IFS(_xlpm.MyAuditVal&lt;&gt;"",UPPER(_xlpm.MyAuditVal),_xlpm.MacVal&lt;&gt;"",_xlpm.MacVal,_xlpm.CSVVal&lt;&gt;"",_xlpm.CSVVal
)),"")</f>
        <v/>
      </c>
      <c r="D1334" s="40" t="str" cm="1">
        <f t="array" ref="D1334">IFERROR(_xlfn.LET(
_xlpm.CSVVal,_xlfn.XLOOKUP($A1334,CSV!$A:$A,CSV!D:D,""),
_xlpm.MacVal,_xlfn.XLOOKUP($A1334,Output_Mac!$A:$A,Output_Mac!C:C,""),
_xlpm.MyAuditVal,_xlfn.XLOOKUP($A1334,My_Audit!$A:$A,My_Audit!C:C,""),
_xlfn.IFS(_xlpm.MyAuditVal&lt;&gt;"",_xlpm.MyAuditVal,_xlpm.MacVal&lt;&gt;"",_xlpm.MacVal,_xlpm.CSVVal&lt;&gt;"",_xlpm.CSVVal
)),"")</f>
        <v/>
      </c>
      <c r="E1334" s="40" t="str">
        <f>_xlfn.XLOOKUP(A1334,My_Audit!A:A,My_Audit!D:D,"")</f>
        <v/>
      </c>
      <c r="F1334" s="40" t="str" cm="1">
        <f t="array" ref="F1334">IFERROR(_xlfn.LET(
_xlpm.CSVVal,_xlfn.XLOOKUP($A1334,CSV!$A:$A,CSV!F:F,""),
_xlpm.MacVal,_xlfn.XLOOKUP($A1334,Output_Mac!$A:$A,Output_Mac!E:E,""),
_xlpm.MyAuditVal,_xlfn.XLOOKUP($A1334,My_Audit!$A:$A,My_Audit!E:E,""),
_xlfn.IFS(_xlpm.MyAuditVal&lt;&gt;"",_xlpm.MyAuditVal,_xlpm.MacVal&lt;&gt;"",_xlpm.MacVal,_xlpm.CSVVal&lt;&gt;"",_xlpm.CSVVal
)),"")</f>
        <v/>
      </c>
      <c r="G1334" s="40" t="str" cm="1">
        <f t="array" ref="G1334">IFERROR(_xlfn.LET(
_xlpm.CSVVal,_xlfn.XLOOKUP($A1334,CSV!$A:$A,CSV!G:G,""),
_xlpm.MacVal,_xlfn.XLOOKUP($A1334,Output_Mac!$A:$A,Output_Mac!F:F,""),
_xlpm.MyAuditVal,_xlfn.XLOOKUP($A1334,My_Audit!$A:$A,My_Audit!F:F,""),
_xlfn.IFS(_xlpm.MyAuditVal&lt;&gt;"",_xlpm.MyAuditVal,_xlpm.MacVal&lt;&gt;"",_xlpm.MacVal,_xlpm.CSVVal&lt;&gt;"",PROPER(_xlpm.CSVVal)
)),"")</f>
        <v/>
      </c>
      <c r="H1334" s="40" t="str" cm="1">
        <f t="array" ref="H1334">IFERROR(_xlfn.LET(
_xlpm.CSVVal,_xlfn.XLOOKUP($A1334,CSV!$A:$A,CSV!H:H,""),
_xlpm.MacVal,_xlfn.XLOOKUP($A1334,Output_Mac!$A:$A,Output_Mac!H:H,""),
_xlpm.MyAuditVal,_xlfn.XLOOKUP($A1334,My_Audit!$A:$A,My_Audit!G:G,""),
_xlfn.IFS(_xlpm.MyAuditVal&lt;&gt;"",_xlpm.MyAuditVal,_xlpm.MacVal&lt;&gt;"",_xlpm.MacVal,_xlpm.CSVVal&lt;&gt;"",_xlpm.CSVVal
)),"")</f>
        <v/>
      </c>
      <c r="I1334" s="40" t="str">
        <f>_xlfn.XLOOKUP(A1334,Output_Mac!A:A,Output_Mac!I:I,"")</f>
        <v/>
      </c>
      <c r="J1334" s="40" t="str" cm="1">
        <f t="array" ref="J1334">IFERROR(_xlfn.LET(
_xlpm.CSVVal,_xlfn.XLOOKUP($A1334,CSV!$A:$A,CSV!I:I,""),
_xlpm.MacVal,_xlfn.XLOOKUP($A1334,Output_Mac!$A:$A,Output_Mac!J:J,""),
_xlpm.MyAuditVal,_xlfn.XLOOKUP($A1334,My_Audit!$A:$A,My_Audit!I:I,""),
_xlfn.IFS(_xlpm.MyAuditVal&lt;&gt;"",UPPER(_xlpm.MyAuditVal),_xlpm.MacVal&lt;&gt;"",_xlpm.MacVal,_xlpm.CSVVal&lt;&gt;"",_xlpm.CSVVal
)),"")</f>
        <v/>
      </c>
      <c r="K1334" s="40" t="str" cm="1">
        <f t="array" ref="K1334">IFERROR(_xlfn.LET(
_xlpm.CSVVal,_xlfn.XLOOKUP($A1334,CSV!$A:$A,CSV!K:K,""),
_xlpm.MacVal,_xlfn.XLOOKUP($A1334,Output_Mac!$A:$A,Output_Mac!K:K,""),
_xlpm.MyAuditVal,_xlfn.XLOOKUP($A1334,My_Audit!$A:$A,My_Audit!J:J,""),
_xlfn.IFS(_xlpm.MyAuditVal&lt;&gt;"",UPPER(_xlpm.MyAuditVal),_xlpm.MacVal&lt;&gt;"",_xlpm.MacVal,_xlpm.CSVVal&lt;&gt;"",_xlpm.CSVVal
)),"")</f>
        <v/>
      </c>
      <c r="L1334" s="40" t="str" cm="1">
        <f t="array" ref="L1334">IFERROR(_xlfn.LET(
_xlpm.CSVVal,_xlfn.XLOOKUP($A1334,CSV!$A:$A,CSV!P:P,""),
_xlpm.MacVal,_xlfn.XLOOKUP($A1334,Output_Mac!$A:$A,Output_Mac!L:L,""),
_xlpm.MyAuditVal,_xlfn.XLOOKUP($A1334,My_Audit!$A:$A,My_Audit!K:K,""),
_xlfn.IFS(_xlpm.MyAuditVal&lt;&gt;"",UPPER(_xlpm.MyAuditVal),_xlpm.MacVal&lt;&gt;"",_xlpm.MacVal,_xlpm.CSVVal&lt;&gt;"",_xlpm.CSVVal
)),"")</f>
        <v/>
      </c>
      <c r="M1334" s="40" t="str" cm="1">
        <f t="array" ref="M1334">IFERROR(_xlfn.LET(
_xlpm.CSVVal,_xlfn.XLOOKUP($A1334,CSV!$A:$A,CSV!Q:Q,""),
_xlpm.MacVal,_xlfn.XLOOKUP($A1334,Output_Mac!$A:$A,Output_Mac!M:M,""),
_xlpm.MyAuditVal,_xlfn.XLOOKUP($A1334,My_Audit!$A:$A,My_Audit!L:L,""),
_xlfn.IFS(_xlpm.MyAuditVal&lt;&gt;"",UPPER(_xlpm.MyAuditVal),_xlpm.MacVal&lt;&gt;"",_xlpm.MacVal,_xlpm.CSVVal&lt;&gt;"",_xlpm.CSVVal
)),"")</f>
        <v/>
      </c>
      <c r="N1334" s="40"/>
      <c r="O1334" s="40" t="str">
        <f>_xlfn.LET(
    _xlpm.CSVVal, _xlfn.XLOOKUP($A1334, CSV!$A:$A, CSV!AA:AA, ""),
    _xlpm.MacVal, _xlfn.XLOOKUP($A1334, Output_Mac!$A:$A, Output_Mac!S:S, ""),
    _xlpm.MyAuditVal, _xlfn.XLOOKUP($A1334, My_Audit!$A:$A, My_Audit!P:P, ""),
    _xlfn.TEXTJOIN(", ", TRUE, _xlpm.MyAuditVal, _xlpm.MacVal, _xlpm.CSVVal)
)</f>
        <v/>
      </c>
      <c r="P1334" s="40" t="str" cm="1">
        <f t="array" ref="P1334">IFERROR(_xlfn.LET(
_xlpm.CSVVal,_xlfn.XLOOKUP($A1334,CSV!$A:$A,CSV!AB:AB,""),
_xlpm.MacVal,_xlfn.XLOOKUP($A1334,Output_Mac!$A:$A,Output_Mac!T:T,""),
_xlpm.MyAuditVal,_xlfn.XLOOKUP($A1334,My_Audit!$A:$A,My_Audit!Q:Q,""),
_xlfn.IFS(_xlpm.MyAuditVal&lt;&gt;"",UPPER(_xlpm.MyAuditVal),_xlpm.MacVal&lt;&gt;"",_xlpm.MacVal,_xlpm.CSVVal&lt;&gt;"",_xlpm.CSVVal
)),"No")</f>
        <v>No</v>
      </c>
      <c r="Q1334" s="40" t="str" cm="1">
        <f t="array" ref="Q1334">IFERROR(_xlfn.LET(
_xlpm.CSVVal,_xlfn.XLOOKUP($A1334,CSV!$A:$A,CSV!AC:AC,""),
_xlpm.MacVal,_xlfn.XLOOKUP($A1334,Output_Mac!$A:$A,Output_Mac!U:U,""),
_xlpm.MyAuditVal,_xlfn.XLOOKUP($A1334,My_Audit!$A:$A,My_Audit!R:R,""),
_xlfn.IFS(_xlpm.MyAuditVal&lt;&gt;"",UPPER(_xlpm.MyAuditVal),_xlpm.MacVal&lt;&gt;"",_xlpm.MacVal,_xlpm.CSVVal&lt;&gt;"",_xlpm.CSVVal
)),"")</f>
        <v/>
      </c>
      <c r="R1334" s="40"/>
      <c r="S1334" s="40"/>
      <c r="T1334" s="40"/>
      <c r="U1334" s="40"/>
      <c r="V1334" s="40"/>
      <c r="W1334" s="40"/>
      <c r="X1334" s="41" t="str">
        <f>_xlfn.LET(
    _xlpm.MacVal, _xlfn.XLOOKUP($A1334, Output_Mac!$A:$A, Output_Mac!AB:AB, ""),
    _xlpm.MyAuditVal, _xlfn.XLOOKUP($A1334, My_Audit!$A:$A, My_Audit!N:N, ""),
    _xlfn.TEXTJOIN(", ", TRUE, _xlpm.MyAuditVal, _xlpm.MacVal)
)</f>
        <v/>
      </c>
    </row>
    <row r="1335" spans="1:24">
      <c r="A1335" s="40" t="str">
        <f>_xlfn.TEXTJOIN("",TRUE,Input!$B$2,ROW(My_Audit!A1334))</f>
        <v>X1334</v>
      </c>
      <c r="B1335" s="40" t="str">
        <f>_xlfn.TEXTJOIN("-",TRUE,"ITD",Input!$A$2,A1335)</f>
        <v>ITD-X1334</v>
      </c>
      <c r="C1335" s="40" t="str" cm="1">
        <f t="array" ref="C1335">IFERROR(_xlfn.LET(
_xlpm.CSVVal,_xlfn.XLOOKUP($A1335,CSV!$A:$A,CSV!B:B,""),
_xlpm.MacVal,_xlfn.XLOOKUP($A1335,Output_Mac!$A:$A,Output_Mac!B:B,""),
_xlpm.MyAuditVal,_xlfn.XLOOKUP($A1335,My_Audit!$A:$A,My_Audit!B:B,""),
_xlfn.IFS(_xlpm.MyAuditVal&lt;&gt;"",UPPER(_xlpm.MyAuditVal),_xlpm.MacVal&lt;&gt;"",_xlpm.MacVal,_xlpm.CSVVal&lt;&gt;"",_xlpm.CSVVal
)),"")</f>
        <v/>
      </c>
      <c r="D1335" s="40" t="str" cm="1">
        <f t="array" ref="D1335">IFERROR(_xlfn.LET(
_xlpm.CSVVal,_xlfn.XLOOKUP($A1335,CSV!$A:$A,CSV!D:D,""),
_xlpm.MacVal,_xlfn.XLOOKUP($A1335,Output_Mac!$A:$A,Output_Mac!C:C,""),
_xlpm.MyAuditVal,_xlfn.XLOOKUP($A1335,My_Audit!$A:$A,My_Audit!C:C,""),
_xlfn.IFS(_xlpm.MyAuditVal&lt;&gt;"",_xlpm.MyAuditVal,_xlpm.MacVal&lt;&gt;"",_xlpm.MacVal,_xlpm.CSVVal&lt;&gt;"",_xlpm.CSVVal
)),"")</f>
        <v/>
      </c>
      <c r="E1335" s="40" t="str">
        <f>_xlfn.XLOOKUP(A1335,My_Audit!A:A,My_Audit!D:D,"")</f>
        <v/>
      </c>
      <c r="F1335" s="40" t="str" cm="1">
        <f t="array" ref="F1335">IFERROR(_xlfn.LET(
_xlpm.CSVVal,_xlfn.XLOOKUP($A1335,CSV!$A:$A,CSV!F:F,""),
_xlpm.MacVal,_xlfn.XLOOKUP($A1335,Output_Mac!$A:$A,Output_Mac!E:E,""),
_xlpm.MyAuditVal,_xlfn.XLOOKUP($A1335,My_Audit!$A:$A,My_Audit!E:E,""),
_xlfn.IFS(_xlpm.MyAuditVal&lt;&gt;"",_xlpm.MyAuditVal,_xlpm.MacVal&lt;&gt;"",_xlpm.MacVal,_xlpm.CSVVal&lt;&gt;"",_xlpm.CSVVal
)),"")</f>
        <v/>
      </c>
      <c r="G1335" s="40" t="str" cm="1">
        <f t="array" ref="G1335">IFERROR(_xlfn.LET(
_xlpm.CSVVal,_xlfn.XLOOKUP($A1335,CSV!$A:$A,CSV!G:G,""),
_xlpm.MacVal,_xlfn.XLOOKUP($A1335,Output_Mac!$A:$A,Output_Mac!F:F,""),
_xlpm.MyAuditVal,_xlfn.XLOOKUP($A1335,My_Audit!$A:$A,My_Audit!F:F,""),
_xlfn.IFS(_xlpm.MyAuditVal&lt;&gt;"",_xlpm.MyAuditVal,_xlpm.MacVal&lt;&gt;"",_xlpm.MacVal,_xlpm.CSVVal&lt;&gt;"",PROPER(_xlpm.CSVVal)
)),"")</f>
        <v/>
      </c>
      <c r="H1335" s="40" t="str" cm="1">
        <f t="array" ref="H1335">IFERROR(_xlfn.LET(
_xlpm.CSVVal,_xlfn.XLOOKUP($A1335,CSV!$A:$A,CSV!H:H,""),
_xlpm.MacVal,_xlfn.XLOOKUP($A1335,Output_Mac!$A:$A,Output_Mac!H:H,""),
_xlpm.MyAuditVal,_xlfn.XLOOKUP($A1335,My_Audit!$A:$A,My_Audit!G:G,""),
_xlfn.IFS(_xlpm.MyAuditVal&lt;&gt;"",_xlpm.MyAuditVal,_xlpm.MacVal&lt;&gt;"",_xlpm.MacVal,_xlpm.CSVVal&lt;&gt;"",_xlpm.CSVVal
)),"")</f>
        <v/>
      </c>
      <c r="I1335" s="40" t="str">
        <f>_xlfn.XLOOKUP(A1335,Output_Mac!A:A,Output_Mac!I:I,"")</f>
        <v/>
      </c>
      <c r="J1335" s="40" t="str" cm="1">
        <f t="array" ref="J1335">IFERROR(_xlfn.LET(
_xlpm.CSVVal,_xlfn.XLOOKUP($A1335,CSV!$A:$A,CSV!I:I,""),
_xlpm.MacVal,_xlfn.XLOOKUP($A1335,Output_Mac!$A:$A,Output_Mac!J:J,""),
_xlpm.MyAuditVal,_xlfn.XLOOKUP($A1335,My_Audit!$A:$A,My_Audit!I:I,""),
_xlfn.IFS(_xlpm.MyAuditVal&lt;&gt;"",UPPER(_xlpm.MyAuditVal),_xlpm.MacVal&lt;&gt;"",_xlpm.MacVal,_xlpm.CSVVal&lt;&gt;"",_xlpm.CSVVal
)),"")</f>
        <v/>
      </c>
      <c r="K1335" s="40" t="str" cm="1">
        <f t="array" ref="K1335">IFERROR(_xlfn.LET(
_xlpm.CSVVal,_xlfn.XLOOKUP($A1335,CSV!$A:$A,CSV!K:K,""),
_xlpm.MacVal,_xlfn.XLOOKUP($A1335,Output_Mac!$A:$A,Output_Mac!K:K,""),
_xlpm.MyAuditVal,_xlfn.XLOOKUP($A1335,My_Audit!$A:$A,My_Audit!J:J,""),
_xlfn.IFS(_xlpm.MyAuditVal&lt;&gt;"",UPPER(_xlpm.MyAuditVal),_xlpm.MacVal&lt;&gt;"",_xlpm.MacVal,_xlpm.CSVVal&lt;&gt;"",_xlpm.CSVVal
)),"")</f>
        <v/>
      </c>
      <c r="L1335" s="40" t="str" cm="1">
        <f t="array" ref="L1335">IFERROR(_xlfn.LET(
_xlpm.CSVVal,_xlfn.XLOOKUP($A1335,CSV!$A:$A,CSV!P:P,""),
_xlpm.MacVal,_xlfn.XLOOKUP($A1335,Output_Mac!$A:$A,Output_Mac!L:L,""),
_xlpm.MyAuditVal,_xlfn.XLOOKUP($A1335,My_Audit!$A:$A,My_Audit!K:K,""),
_xlfn.IFS(_xlpm.MyAuditVal&lt;&gt;"",UPPER(_xlpm.MyAuditVal),_xlpm.MacVal&lt;&gt;"",_xlpm.MacVal,_xlpm.CSVVal&lt;&gt;"",_xlpm.CSVVal
)),"")</f>
        <v/>
      </c>
      <c r="M1335" s="40" t="str" cm="1">
        <f t="array" ref="M1335">IFERROR(_xlfn.LET(
_xlpm.CSVVal,_xlfn.XLOOKUP($A1335,CSV!$A:$A,CSV!Q:Q,""),
_xlpm.MacVal,_xlfn.XLOOKUP($A1335,Output_Mac!$A:$A,Output_Mac!M:M,""),
_xlpm.MyAuditVal,_xlfn.XLOOKUP($A1335,My_Audit!$A:$A,My_Audit!L:L,""),
_xlfn.IFS(_xlpm.MyAuditVal&lt;&gt;"",UPPER(_xlpm.MyAuditVal),_xlpm.MacVal&lt;&gt;"",_xlpm.MacVal,_xlpm.CSVVal&lt;&gt;"",_xlpm.CSVVal
)),"")</f>
        <v/>
      </c>
      <c r="N1335" s="40"/>
      <c r="O1335" s="40" t="str">
        <f>_xlfn.LET(
    _xlpm.CSVVal, _xlfn.XLOOKUP($A1335, CSV!$A:$A, CSV!AA:AA, ""),
    _xlpm.MacVal, _xlfn.XLOOKUP($A1335, Output_Mac!$A:$A, Output_Mac!S:S, ""),
    _xlpm.MyAuditVal, _xlfn.XLOOKUP($A1335, My_Audit!$A:$A, My_Audit!P:P, ""),
    _xlfn.TEXTJOIN(", ", TRUE, _xlpm.MyAuditVal, _xlpm.MacVal, _xlpm.CSVVal)
)</f>
        <v/>
      </c>
      <c r="P1335" s="40" t="str" cm="1">
        <f t="array" ref="P1335">IFERROR(_xlfn.LET(
_xlpm.CSVVal,_xlfn.XLOOKUP($A1335,CSV!$A:$A,CSV!AB:AB,""),
_xlpm.MacVal,_xlfn.XLOOKUP($A1335,Output_Mac!$A:$A,Output_Mac!T:T,""),
_xlpm.MyAuditVal,_xlfn.XLOOKUP($A1335,My_Audit!$A:$A,My_Audit!Q:Q,""),
_xlfn.IFS(_xlpm.MyAuditVal&lt;&gt;"",UPPER(_xlpm.MyAuditVal),_xlpm.MacVal&lt;&gt;"",_xlpm.MacVal,_xlpm.CSVVal&lt;&gt;"",_xlpm.CSVVal
)),"No")</f>
        <v>No</v>
      </c>
      <c r="Q1335" s="40" t="str" cm="1">
        <f t="array" ref="Q1335">IFERROR(_xlfn.LET(
_xlpm.CSVVal,_xlfn.XLOOKUP($A1335,CSV!$A:$A,CSV!AC:AC,""),
_xlpm.MacVal,_xlfn.XLOOKUP($A1335,Output_Mac!$A:$A,Output_Mac!U:U,""),
_xlpm.MyAuditVal,_xlfn.XLOOKUP($A1335,My_Audit!$A:$A,My_Audit!R:R,""),
_xlfn.IFS(_xlpm.MyAuditVal&lt;&gt;"",UPPER(_xlpm.MyAuditVal),_xlpm.MacVal&lt;&gt;"",_xlpm.MacVal,_xlpm.CSVVal&lt;&gt;"",_xlpm.CSVVal
)),"")</f>
        <v/>
      </c>
      <c r="R1335" s="40"/>
      <c r="S1335" s="40"/>
      <c r="T1335" s="40"/>
      <c r="U1335" s="40"/>
      <c r="V1335" s="40"/>
      <c r="W1335" s="40"/>
      <c r="X1335" s="41" t="str">
        <f>_xlfn.LET(
    _xlpm.MacVal, _xlfn.XLOOKUP($A1335, Output_Mac!$A:$A, Output_Mac!AB:AB, ""),
    _xlpm.MyAuditVal, _xlfn.XLOOKUP($A1335, My_Audit!$A:$A, My_Audit!N:N, ""),
    _xlfn.TEXTJOIN(", ", TRUE, _xlpm.MyAuditVal, _xlpm.MacVal)
)</f>
        <v/>
      </c>
    </row>
    <row r="1336" spans="1:24">
      <c r="A1336" s="40" t="str">
        <f>_xlfn.TEXTJOIN("",TRUE,Input!$B$2,ROW(My_Audit!A1335))</f>
        <v>X1335</v>
      </c>
      <c r="B1336" s="40" t="str">
        <f>_xlfn.TEXTJOIN("-",TRUE,"ITD",Input!$A$2,A1336)</f>
        <v>ITD-X1335</v>
      </c>
      <c r="C1336" s="40" t="str" cm="1">
        <f t="array" ref="C1336">IFERROR(_xlfn.LET(
_xlpm.CSVVal,_xlfn.XLOOKUP($A1336,CSV!$A:$A,CSV!B:B,""),
_xlpm.MacVal,_xlfn.XLOOKUP($A1336,Output_Mac!$A:$A,Output_Mac!B:B,""),
_xlpm.MyAuditVal,_xlfn.XLOOKUP($A1336,My_Audit!$A:$A,My_Audit!B:B,""),
_xlfn.IFS(_xlpm.MyAuditVal&lt;&gt;"",UPPER(_xlpm.MyAuditVal),_xlpm.MacVal&lt;&gt;"",_xlpm.MacVal,_xlpm.CSVVal&lt;&gt;"",_xlpm.CSVVal
)),"")</f>
        <v/>
      </c>
      <c r="D1336" s="40" t="str" cm="1">
        <f t="array" ref="D1336">IFERROR(_xlfn.LET(
_xlpm.CSVVal,_xlfn.XLOOKUP($A1336,CSV!$A:$A,CSV!D:D,""),
_xlpm.MacVal,_xlfn.XLOOKUP($A1336,Output_Mac!$A:$A,Output_Mac!C:C,""),
_xlpm.MyAuditVal,_xlfn.XLOOKUP($A1336,My_Audit!$A:$A,My_Audit!C:C,""),
_xlfn.IFS(_xlpm.MyAuditVal&lt;&gt;"",_xlpm.MyAuditVal,_xlpm.MacVal&lt;&gt;"",_xlpm.MacVal,_xlpm.CSVVal&lt;&gt;"",_xlpm.CSVVal
)),"")</f>
        <v/>
      </c>
      <c r="E1336" s="40" t="str">
        <f>_xlfn.XLOOKUP(A1336,My_Audit!A:A,My_Audit!D:D,"")</f>
        <v/>
      </c>
      <c r="F1336" s="40" t="str" cm="1">
        <f t="array" ref="F1336">IFERROR(_xlfn.LET(
_xlpm.CSVVal,_xlfn.XLOOKUP($A1336,CSV!$A:$A,CSV!F:F,""),
_xlpm.MacVal,_xlfn.XLOOKUP($A1336,Output_Mac!$A:$A,Output_Mac!E:E,""),
_xlpm.MyAuditVal,_xlfn.XLOOKUP($A1336,My_Audit!$A:$A,My_Audit!E:E,""),
_xlfn.IFS(_xlpm.MyAuditVal&lt;&gt;"",_xlpm.MyAuditVal,_xlpm.MacVal&lt;&gt;"",_xlpm.MacVal,_xlpm.CSVVal&lt;&gt;"",_xlpm.CSVVal
)),"")</f>
        <v/>
      </c>
      <c r="G1336" s="40" t="str" cm="1">
        <f t="array" ref="G1336">IFERROR(_xlfn.LET(
_xlpm.CSVVal,_xlfn.XLOOKUP($A1336,CSV!$A:$A,CSV!G:G,""),
_xlpm.MacVal,_xlfn.XLOOKUP($A1336,Output_Mac!$A:$A,Output_Mac!F:F,""),
_xlpm.MyAuditVal,_xlfn.XLOOKUP($A1336,My_Audit!$A:$A,My_Audit!F:F,""),
_xlfn.IFS(_xlpm.MyAuditVal&lt;&gt;"",_xlpm.MyAuditVal,_xlpm.MacVal&lt;&gt;"",_xlpm.MacVal,_xlpm.CSVVal&lt;&gt;"",PROPER(_xlpm.CSVVal)
)),"")</f>
        <v/>
      </c>
      <c r="H1336" s="40" t="str" cm="1">
        <f t="array" ref="H1336">IFERROR(_xlfn.LET(
_xlpm.CSVVal,_xlfn.XLOOKUP($A1336,CSV!$A:$A,CSV!H:H,""),
_xlpm.MacVal,_xlfn.XLOOKUP($A1336,Output_Mac!$A:$A,Output_Mac!H:H,""),
_xlpm.MyAuditVal,_xlfn.XLOOKUP($A1336,My_Audit!$A:$A,My_Audit!G:G,""),
_xlfn.IFS(_xlpm.MyAuditVal&lt;&gt;"",_xlpm.MyAuditVal,_xlpm.MacVal&lt;&gt;"",_xlpm.MacVal,_xlpm.CSVVal&lt;&gt;"",_xlpm.CSVVal
)),"")</f>
        <v/>
      </c>
      <c r="I1336" s="40" t="str">
        <f>_xlfn.XLOOKUP(A1336,Output_Mac!A:A,Output_Mac!I:I,"")</f>
        <v/>
      </c>
      <c r="J1336" s="40" t="str" cm="1">
        <f t="array" ref="J1336">IFERROR(_xlfn.LET(
_xlpm.CSVVal,_xlfn.XLOOKUP($A1336,CSV!$A:$A,CSV!I:I,""),
_xlpm.MacVal,_xlfn.XLOOKUP($A1336,Output_Mac!$A:$A,Output_Mac!J:J,""),
_xlpm.MyAuditVal,_xlfn.XLOOKUP($A1336,My_Audit!$A:$A,My_Audit!I:I,""),
_xlfn.IFS(_xlpm.MyAuditVal&lt;&gt;"",UPPER(_xlpm.MyAuditVal),_xlpm.MacVal&lt;&gt;"",_xlpm.MacVal,_xlpm.CSVVal&lt;&gt;"",_xlpm.CSVVal
)),"")</f>
        <v/>
      </c>
      <c r="K1336" s="40" t="str" cm="1">
        <f t="array" ref="K1336">IFERROR(_xlfn.LET(
_xlpm.CSVVal,_xlfn.XLOOKUP($A1336,CSV!$A:$A,CSV!K:K,""),
_xlpm.MacVal,_xlfn.XLOOKUP($A1336,Output_Mac!$A:$A,Output_Mac!K:K,""),
_xlpm.MyAuditVal,_xlfn.XLOOKUP($A1336,My_Audit!$A:$A,My_Audit!J:J,""),
_xlfn.IFS(_xlpm.MyAuditVal&lt;&gt;"",UPPER(_xlpm.MyAuditVal),_xlpm.MacVal&lt;&gt;"",_xlpm.MacVal,_xlpm.CSVVal&lt;&gt;"",_xlpm.CSVVal
)),"")</f>
        <v/>
      </c>
      <c r="L1336" s="40" t="str" cm="1">
        <f t="array" ref="L1336">IFERROR(_xlfn.LET(
_xlpm.CSVVal,_xlfn.XLOOKUP($A1336,CSV!$A:$A,CSV!P:P,""),
_xlpm.MacVal,_xlfn.XLOOKUP($A1336,Output_Mac!$A:$A,Output_Mac!L:L,""),
_xlpm.MyAuditVal,_xlfn.XLOOKUP($A1336,My_Audit!$A:$A,My_Audit!K:K,""),
_xlfn.IFS(_xlpm.MyAuditVal&lt;&gt;"",UPPER(_xlpm.MyAuditVal),_xlpm.MacVal&lt;&gt;"",_xlpm.MacVal,_xlpm.CSVVal&lt;&gt;"",_xlpm.CSVVal
)),"")</f>
        <v/>
      </c>
      <c r="M1336" s="40" t="str" cm="1">
        <f t="array" ref="M1336">IFERROR(_xlfn.LET(
_xlpm.CSVVal,_xlfn.XLOOKUP($A1336,CSV!$A:$A,CSV!Q:Q,""),
_xlpm.MacVal,_xlfn.XLOOKUP($A1336,Output_Mac!$A:$A,Output_Mac!M:M,""),
_xlpm.MyAuditVal,_xlfn.XLOOKUP($A1336,My_Audit!$A:$A,My_Audit!L:L,""),
_xlfn.IFS(_xlpm.MyAuditVal&lt;&gt;"",UPPER(_xlpm.MyAuditVal),_xlpm.MacVal&lt;&gt;"",_xlpm.MacVal,_xlpm.CSVVal&lt;&gt;"",_xlpm.CSVVal
)),"")</f>
        <v/>
      </c>
      <c r="N1336" s="40"/>
      <c r="O1336" s="40" t="str">
        <f>_xlfn.LET(
    _xlpm.CSVVal, _xlfn.XLOOKUP($A1336, CSV!$A:$A, CSV!AA:AA, ""),
    _xlpm.MacVal, _xlfn.XLOOKUP($A1336, Output_Mac!$A:$A, Output_Mac!S:S, ""),
    _xlpm.MyAuditVal, _xlfn.XLOOKUP($A1336, My_Audit!$A:$A, My_Audit!P:P, ""),
    _xlfn.TEXTJOIN(", ", TRUE, _xlpm.MyAuditVal, _xlpm.MacVal, _xlpm.CSVVal)
)</f>
        <v/>
      </c>
      <c r="P1336" s="40" t="str" cm="1">
        <f t="array" ref="P1336">IFERROR(_xlfn.LET(
_xlpm.CSVVal,_xlfn.XLOOKUP($A1336,CSV!$A:$A,CSV!AB:AB,""),
_xlpm.MacVal,_xlfn.XLOOKUP($A1336,Output_Mac!$A:$A,Output_Mac!T:T,""),
_xlpm.MyAuditVal,_xlfn.XLOOKUP($A1336,My_Audit!$A:$A,My_Audit!Q:Q,""),
_xlfn.IFS(_xlpm.MyAuditVal&lt;&gt;"",UPPER(_xlpm.MyAuditVal),_xlpm.MacVal&lt;&gt;"",_xlpm.MacVal,_xlpm.CSVVal&lt;&gt;"",_xlpm.CSVVal
)),"No")</f>
        <v>No</v>
      </c>
      <c r="Q1336" s="40" t="str" cm="1">
        <f t="array" ref="Q1336">IFERROR(_xlfn.LET(
_xlpm.CSVVal,_xlfn.XLOOKUP($A1336,CSV!$A:$A,CSV!AC:AC,""),
_xlpm.MacVal,_xlfn.XLOOKUP($A1336,Output_Mac!$A:$A,Output_Mac!U:U,""),
_xlpm.MyAuditVal,_xlfn.XLOOKUP($A1336,My_Audit!$A:$A,My_Audit!R:R,""),
_xlfn.IFS(_xlpm.MyAuditVal&lt;&gt;"",UPPER(_xlpm.MyAuditVal),_xlpm.MacVal&lt;&gt;"",_xlpm.MacVal,_xlpm.CSVVal&lt;&gt;"",_xlpm.CSVVal
)),"")</f>
        <v/>
      </c>
      <c r="R1336" s="40"/>
      <c r="S1336" s="40"/>
      <c r="T1336" s="40"/>
      <c r="U1336" s="40"/>
      <c r="V1336" s="40"/>
      <c r="W1336" s="40"/>
      <c r="X1336" s="41" t="str">
        <f>_xlfn.LET(
    _xlpm.MacVal, _xlfn.XLOOKUP($A1336, Output_Mac!$A:$A, Output_Mac!AB:AB, ""),
    _xlpm.MyAuditVal, _xlfn.XLOOKUP($A1336, My_Audit!$A:$A, My_Audit!N:N, ""),
    _xlfn.TEXTJOIN(", ", TRUE, _xlpm.MyAuditVal, _xlpm.MacVal)
)</f>
        <v/>
      </c>
    </row>
    <row r="1337" spans="1:24">
      <c r="A1337" s="40" t="str">
        <f>_xlfn.TEXTJOIN("",TRUE,Input!$B$2,ROW(My_Audit!A1336))</f>
        <v>X1336</v>
      </c>
      <c r="B1337" s="40" t="str">
        <f>_xlfn.TEXTJOIN("-",TRUE,"ITD",Input!$A$2,A1337)</f>
        <v>ITD-X1336</v>
      </c>
      <c r="C1337" s="40" t="str" cm="1">
        <f t="array" ref="C1337">IFERROR(_xlfn.LET(
_xlpm.CSVVal,_xlfn.XLOOKUP($A1337,CSV!$A:$A,CSV!B:B,""),
_xlpm.MacVal,_xlfn.XLOOKUP($A1337,Output_Mac!$A:$A,Output_Mac!B:B,""),
_xlpm.MyAuditVal,_xlfn.XLOOKUP($A1337,My_Audit!$A:$A,My_Audit!B:B,""),
_xlfn.IFS(_xlpm.MyAuditVal&lt;&gt;"",UPPER(_xlpm.MyAuditVal),_xlpm.MacVal&lt;&gt;"",_xlpm.MacVal,_xlpm.CSVVal&lt;&gt;"",_xlpm.CSVVal
)),"")</f>
        <v/>
      </c>
      <c r="D1337" s="40" t="str" cm="1">
        <f t="array" ref="D1337">IFERROR(_xlfn.LET(
_xlpm.CSVVal,_xlfn.XLOOKUP($A1337,CSV!$A:$A,CSV!D:D,""),
_xlpm.MacVal,_xlfn.XLOOKUP($A1337,Output_Mac!$A:$A,Output_Mac!C:C,""),
_xlpm.MyAuditVal,_xlfn.XLOOKUP($A1337,My_Audit!$A:$A,My_Audit!C:C,""),
_xlfn.IFS(_xlpm.MyAuditVal&lt;&gt;"",_xlpm.MyAuditVal,_xlpm.MacVal&lt;&gt;"",_xlpm.MacVal,_xlpm.CSVVal&lt;&gt;"",_xlpm.CSVVal
)),"")</f>
        <v/>
      </c>
      <c r="E1337" s="40" t="str">
        <f>_xlfn.XLOOKUP(A1337,My_Audit!A:A,My_Audit!D:D,"")</f>
        <v/>
      </c>
      <c r="F1337" s="40" t="str" cm="1">
        <f t="array" ref="F1337">IFERROR(_xlfn.LET(
_xlpm.CSVVal,_xlfn.XLOOKUP($A1337,CSV!$A:$A,CSV!F:F,""),
_xlpm.MacVal,_xlfn.XLOOKUP($A1337,Output_Mac!$A:$A,Output_Mac!E:E,""),
_xlpm.MyAuditVal,_xlfn.XLOOKUP($A1337,My_Audit!$A:$A,My_Audit!E:E,""),
_xlfn.IFS(_xlpm.MyAuditVal&lt;&gt;"",_xlpm.MyAuditVal,_xlpm.MacVal&lt;&gt;"",_xlpm.MacVal,_xlpm.CSVVal&lt;&gt;"",_xlpm.CSVVal
)),"")</f>
        <v/>
      </c>
      <c r="G1337" s="40" t="str" cm="1">
        <f t="array" ref="G1337">IFERROR(_xlfn.LET(
_xlpm.CSVVal,_xlfn.XLOOKUP($A1337,CSV!$A:$A,CSV!G:G,""),
_xlpm.MacVal,_xlfn.XLOOKUP($A1337,Output_Mac!$A:$A,Output_Mac!F:F,""),
_xlpm.MyAuditVal,_xlfn.XLOOKUP($A1337,My_Audit!$A:$A,My_Audit!F:F,""),
_xlfn.IFS(_xlpm.MyAuditVal&lt;&gt;"",_xlpm.MyAuditVal,_xlpm.MacVal&lt;&gt;"",_xlpm.MacVal,_xlpm.CSVVal&lt;&gt;"",PROPER(_xlpm.CSVVal)
)),"")</f>
        <v/>
      </c>
      <c r="H1337" s="40" t="str" cm="1">
        <f t="array" ref="H1337">IFERROR(_xlfn.LET(
_xlpm.CSVVal,_xlfn.XLOOKUP($A1337,CSV!$A:$A,CSV!H:H,""),
_xlpm.MacVal,_xlfn.XLOOKUP($A1337,Output_Mac!$A:$A,Output_Mac!H:H,""),
_xlpm.MyAuditVal,_xlfn.XLOOKUP($A1337,My_Audit!$A:$A,My_Audit!G:G,""),
_xlfn.IFS(_xlpm.MyAuditVal&lt;&gt;"",_xlpm.MyAuditVal,_xlpm.MacVal&lt;&gt;"",_xlpm.MacVal,_xlpm.CSVVal&lt;&gt;"",_xlpm.CSVVal
)),"")</f>
        <v/>
      </c>
      <c r="I1337" s="40" t="str">
        <f>_xlfn.XLOOKUP(A1337,Output_Mac!A:A,Output_Mac!I:I,"")</f>
        <v/>
      </c>
      <c r="J1337" s="40" t="str" cm="1">
        <f t="array" ref="J1337">IFERROR(_xlfn.LET(
_xlpm.CSVVal,_xlfn.XLOOKUP($A1337,CSV!$A:$A,CSV!I:I,""),
_xlpm.MacVal,_xlfn.XLOOKUP($A1337,Output_Mac!$A:$A,Output_Mac!J:J,""),
_xlpm.MyAuditVal,_xlfn.XLOOKUP($A1337,My_Audit!$A:$A,My_Audit!I:I,""),
_xlfn.IFS(_xlpm.MyAuditVal&lt;&gt;"",UPPER(_xlpm.MyAuditVal),_xlpm.MacVal&lt;&gt;"",_xlpm.MacVal,_xlpm.CSVVal&lt;&gt;"",_xlpm.CSVVal
)),"")</f>
        <v/>
      </c>
      <c r="K1337" s="40" t="str" cm="1">
        <f t="array" ref="K1337">IFERROR(_xlfn.LET(
_xlpm.CSVVal,_xlfn.XLOOKUP($A1337,CSV!$A:$A,CSV!K:K,""),
_xlpm.MacVal,_xlfn.XLOOKUP($A1337,Output_Mac!$A:$A,Output_Mac!K:K,""),
_xlpm.MyAuditVal,_xlfn.XLOOKUP($A1337,My_Audit!$A:$A,My_Audit!J:J,""),
_xlfn.IFS(_xlpm.MyAuditVal&lt;&gt;"",UPPER(_xlpm.MyAuditVal),_xlpm.MacVal&lt;&gt;"",_xlpm.MacVal,_xlpm.CSVVal&lt;&gt;"",_xlpm.CSVVal
)),"")</f>
        <v/>
      </c>
      <c r="L1337" s="40" t="str" cm="1">
        <f t="array" ref="L1337">IFERROR(_xlfn.LET(
_xlpm.CSVVal,_xlfn.XLOOKUP($A1337,CSV!$A:$A,CSV!P:P,""),
_xlpm.MacVal,_xlfn.XLOOKUP($A1337,Output_Mac!$A:$A,Output_Mac!L:L,""),
_xlpm.MyAuditVal,_xlfn.XLOOKUP($A1337,My_Audit!$A:$A,My_Audit!K:K,""),
_xlfn.IFS(_xlpm.MyAuditVal&lt;&gt;"",UPPER(_xlpm.MyAuditVal),_xlpm.MacVal&lt;&gt;"",_xlpm.MacVal,_xlpm.CSVVal&lt;&gt;"",_xlpm.CSVVal
)),"")</f>
        <v/>
      </c>
      <c r="M1337" s="40" t="str" cm="1">
        <f t="array" ref="M1337">IFERROR(_xlfn.LET(
_xlpm.CSVVal,_xlfn.XLOOKUP($A1337,CSV!$A:$A,CSV!Q:Q,""),
_xlpm.MacVal,_xlfn.XLOOKUP($A1337,Output_Mac!$A:$A,Output_Mac!M:M,""),
_xlpm.MyAuditVal,_xlfn.XLOOKUP($A1337,My_Audit!$A:$A,My_Audit!L:L,""),
_xlfn.IFS(_xlpm.MyAuditVal&lt;&gt;"",UPPER(_xlpm.MyAuditVal),_xlpm.MacVal&lt;&gt;"",_xlpm.MacVal,_xlpm.CSVVal&lt;&gt;"",_xlpm.CSVVal
)),"")</f>
        <v/>
      </c>
      <c r="N1337" s="40"/>
      <c r="O1337" s="40" t="str">
        <f>_xlfn.LET(
    _xlpm.CSVVal, _xlfn.XLOOKUP($A1337, CSV!$A:$A, CSV!AA:AA, ""),
    _xlpm.MacVal, _xlfn.XLOOKUP($A1337, Output_Mac!$A:$A, Output_Mac!S:S, ""),
    _xlpm.MyAuditVal, _xlfn.XLOOKUP($A1337, My_Audit!$A:$A, My_Audit!P:P, ""),
    _xlfn.TEXTJOIN(", ", TRUE, _xlpm.MyAuditVal, _xlpm.MacVal, _xlpm.CSVVal)
)</f>
        <v/>
      </c>
      <c r="P1337" s="40" t="str" cm="1">
        <f t="array" ref="P1337">IFERROR(_xlfn.LET(
_xlpm.CSVVal,_xlfn.XLOOKUP($A1337,CSV!$A:$A,CSV!AB:AB,""),
_xlpm.MacVal,_xlfn.XLOOKUP($A1337,Output_Mac!$A:$A,Output_Mac!T:T,""),
_xlpm.MyAuditVal,_xlfn.XLOOKUP($A1337,My_Audit!$A:$A,My_Audit!Q:Q,""),
_xlfn.IFS(_xlpm.MyAuditVal&lt;&gt;"",UPPER(_xlpm.MyAuditVal),_xlpm.MacVal&lt;&gt;"",_xlpm.MacVal,_xlpm.CSVVal&lt;&gt;"",_xlpm.CSVVal
)),"No")</f>
        <v>No</v>
      </c>
      <c r="Q1337" s="40" t="str" cm="1">
        <f t="array" ref="Q1337">IFERROR(_xlfn.LET(
_xlpm.CSVVal,_xlfn.XLOOKUP($A1337,CSV!$A:$A,CSV!AC:AC,""),
_xlpm.MacVal,_xlfn.XLOOKUP($A1337,Output_Mac!$A:$A,Output_Mac!U:U,""),
_xlpm.MyAuditVal,_xlfn.XLOOKUP($A1337,My_Audit!$A:$A,My_Audit!R:R,""),
_xlfn.IFS(_xlpm.MyAuditVal&lt;&gt;"",UPPER(_xlpm.MyAuditVal),_xlpm.MacVal&lt;&gt;"",_xlpm.MacVal,_xlpm.CSVVal&lt;&gt;"",_xlpm.CSVVal
)),"")</f>
        <v/>
      </c>
      <c r="R1337" s="40"/>
      <c r="S1337" s="40"/>
      <c r="T1337" s="40"/>
      <c r="U1337" s="40"/>
      <c r="V1337" s="40"/>
      <c r="W1337" s="40"/>
      <c r="X1337" s="41" t="str">
        <f>_xlfn.LET(
    _xlpm.MacVal, _xlfn.XLOOKUP($A1337, Output_Mac!$A:$A, Output_Mac!AB:AB, ""),
    _xlpm.MyAuditVal, _xlfn.XLOOKUP($A1337, My_Audit!$A:$A, My_Audit!N:N, ""),
    _xlfn.TEXTJOIN(", ", TRUE, _xlpm.MyAuditVal, _xlpm.MacVal)
)</f>
        <v/>
      </c>
    </row>
    <row r="1338" spans="1:24">
      <c r="A1338" s="40" t="str">
        <f>_xlfn.TEXTJOIN("",TRUE,Input!$B$2,ROW(My_Audit!A1337))</f>
        <v>X1337</v>
      </c>
      <c r="B1338" s="40" t="str">
        <f>_xlfn.TEXTJOIN("-",TRUE,"ITD",Input!$A$2,A1338)</f>
        <v>ITD-X1337</v>
      </c>
      <c r="C1338" s="40" t="str" cm="1">
        <f t="array" ref="C1338">IFERROR(_xlfn.LET(
_xlpm.CSVVal,_xlfn.XLOOKUP($A1338,CSV!$A:$A,CSV!B:B,""),
_xlpm.MacVal,_xlfn.XLOOKUP($A1338,Output_Mac!$A:$A,Output_Mac!B:B,""),
_xlpm.MyAuditVal,_xlfn.XLOOKUP($A1338,My_Audit!$A:$A,My_Audit!B:B,""),
_xlfn.IFS(_xlpm.MyAuditVal&lt;&gt;"",UPPER(_xlpm.MyAuditVal),_xlpm.MacVal&lt;&gt;"",_xlpm.MacVal,_xlpm.CSVVal&lt;&gt;"",_xlpm.CSVVal
)),"")</f>
        <v/>
      </c>
      <c r="D1338" s="40" t="str" cm="1">
        <f t="array" ref="D1338">IFERROR(_xlfn.LET(
_xlpm.CSVVal,_xlfn.XLOOKUP($A1338,CSV!$A:$A,CSV!D:D,""),
_xlpm.MacVal,_xlfn.XLOOKUP($A1338,Output_Mac!$A:$A,Output_Mac!C:C,""),
_xlpm.MyAuditVal,_xlfn.XLOOKUP($A1338,My_Audit!$A:$A,My_Audit!C:C,""),
_xlfn.IFS(_xlpm.MyAuditVal&lt;&gt;"",_xlpm.MyAuditVal,_xlpm.MacVal&lt;&gt;"",_xlpm.MacVal,_xlpm.CSVVal&lt;&gt;"",_xlpm.CSVVal
)),"")</f>
        <v/>
      </c>
      <c r="E1338" s="40" t="str">
        <f>_xlfn.XLOOKUP(A1338,My_Audit!A:A,My_Audit!D:D,"")</f>
        <v/>
      </c>
      <c r="F1338" s="40" t="str" cm="1">
        <f t="array" ref="F1338">IFERROR(_xlfn.LET(
_xlpm.CSVVal,_xlfn.XLOOKUP($A1338,CSV!$A:$A,CSV!F:F,""),
_xlpm.MacVal,_xlfn.XLOOKUP($A1338,Output_Mac!$A:$A,Output_Mac!E:E,""),
_xlpm.MyAuditVal,_xlfn.XLOOKUP($A1338,My_Audit!$A:$A,My_Audit!E:E,""),
_xlfn.IFS(_xlpm.MyAuditVal&lt;&gt;"",_xlpm.MyAuditVal,_xlpm.MacVal&lt;&gt;"",_xlpm.MacVal,_xlpm.CSVVal&lt;&gt;"",_xlpm.CSVVal
)),"")</f>
        <v/>
      </c>
      <c r="G1338" s="40" t="str" cm="1">
        <f t="array" ref="G1338">IFERROR(_xlfn.LET(
_xlpm.CSVVal,_xlfn.XLOOKUP($A1338,CSV!$A:$A,CSV!G:G,""),
_xlpm.MacVal,_xlfn.XLOOKUP($A1338,Output_Mac!$A:$A,Output_Mac!F:F,""),
_xlpm.MyAuditVal,_xlfn.XLOOKUP($A1338,My_Audit!$A:$A,My_Audit!F:F,""),
_xlfn.IFS(_xlpm.MyAuditVal&lt;&gt;"",_xlpm.MyAuditVal,_xlpm.MacVal&lt;&gt;"",_xlpm.MacVal,_xlpm.CSVVal&lt;&gt;"",PROPER(_xlpm.CSVVal)
)),"")</f>
        <v/>
      </c>
      <c r="H1338" s="40" t="str" cm="1">
        <f t="array" ref="H1338">IFERROR(_xlfn.LET(
_xlpm.CSVVal,_xlfn.XLOOKUP($A1338,CSV!$A:$A,CSV!H:H,""),
_xlpm.MacVal,_xlfn.XLOOKUP($A1338,Output_Mac!$A:$A,Output_Mac!H:H,""),
_xlpm.MyAuditVal,_xlfn.XLOOKUP($A1338,My_Audit!$A:$A,My_Audit!G:G,""),
_xlfn.IFS(_xlpm.MyAuditVal&lt;&gt;"",_xlpm.MyAuditVal,_xlpm.MacVal&lt;&gt;"",_xlpm.MacVal,_xlpm.CSVVal&lt;&gt;"",_xlpm.CSVVal
)),"")</f>
        <v/>
      </c>
      <c r="I1338" s="40" t="str">
        <f>_xlfn.XLOOKUP(A1338,Output_Mac!A:A,Output_Mac!I:I,"")</f>
        <v/>
      </c>
      <c r="J1338" s="40" t="str" cm="1">
        <f t="array" ref="J1338">IFERROR(_xlfn.LET(
_xlpm.CSVVal,_xlfn.XLOOKUP($A1338,CSV!$A:$A,CSV!I:I,""),
_xlpm.MacVal,_xlfn.XLOOKUP($A1338,Output_Mac!$A:$A,Output_Mac!J:J,""),
_xlpm.MyAuditVal,_xlfn.XLOOKUP($A1338,My_Audit!$A:$A,My_Audit!I:I,""),
_xlfn.IFS(_xlpm.MyAuditVal&lt;&gt;"",UPPER(_xlpm.MyAuditVal),_xlpm.MacVal&lt;&gt;"",_xlpm.MacVal,_xlpm.CSVVal&lt;&gt;"",_xlpm.CSVVal
)),"")</f>
        <v/>
      </c>
      <c r="K1338" s="40" t="str" cm="1">
        <f t="array" ref="K1338">IFERROR(_xlfn.LET(
_xlpm.CSVVal,_xlfn.XLOOKUP($A1338,CSV!$A:$A,CSV!K:K,""),
_xlpm.MacVal,_xlfn.XLOOKUP($A1338,Output_Mac!$A:$A,Output_Mac!K:K,""),
_xlpm.MyAuditVal,_xlfn.XLOOKUP($A1338,My_Audit!$A:$A,My_Audit!J:J,""),
_xlfn.IFS(_xlpm.MyAuditVal&lt;&gt;"",UPPER(_xlpm.MyAuditVal),_xlpm.MacVal&lt;&gt;"",_xlpm.MacVal,_xlpm.CSVVal&lt;&gt;"",_xlpm.CSVVal
)),"")</f>
        <v/>
      </c>
      <c r="L1338" s="40" t="str" cm="1">
        <f t="array" ref="L1338">IFERROR(_xlfn.LET(
_xlpm.CSVVal,_xlfn.XLOOKUP($A1338,CSV!$A:$A,CSV!P:P,""),
_xlpm.MacVal,_xlfn.XLOOKUP($A1338,Output_Mac!$A:$A,Output_Mac!L:L,""),
_xlpm.MyAuditVal,_xlfn.XLOOKUP($A1338,My_Audit!$A:$A,My_Audit!K:K,""),
_xlfn.IFS(_xlpm.MyAuditVal&lt;&gt;"",UPPER(_xlpm.MyAuditVal),_xlpm.MacVal&lt;&gt;"",_xlpm.MacVal,_xlpm.CSVVal&lt;&gt;"",_xlpm.CSVVal
)),"")</f>
        <v/>
      </c>
      <c r="M1338" s="40" t="str" cm="1">
        <f t="array" ref="M1338">IFERROR(_xlfn.LET(
_xlpm.CSVVal,_xlfn.XLOOKUP($A1338,CSV!$A:$A,CSV!Q:Q,""),
_xlpm.MacVal,_xlfn.XLOOKUP($A1338,Output_Mac!$A:$A,Output_Mac!M:M,""),
_xlpm.MyAuditVal,_xlfn.XLOOKUP($A1338,My_Audit!$A:$A,My_Audit!L:L,""),
_xlfn.IFS(_xlpm.MyAuditVal&lt;&gt;"",UPPER(_xlpm.MyAuditVal),_xlpm.MacVal&lt;&gt;"",_xlpm.MacVal,_xlpm.CSVVal&lt;&gt;"",_xlpm.CSVVal
)),"")</f>
        <v/>
      </c>
      <c r="N1338" s="40"/>
      <c r="O1338" s="40" t="str">
        <f>_xlfn.LET(
    _xlpm.CSVVal, _xlfn.XLOOKUP($A1338, CSV!$A:$A, CSV!AA:AA, ""),
    _xlpm.MacVal, _xlfn.XLOOKUP($A1338, Output_Mac!$A:$A, Output_Mac!S:S, ""),
    _xlpm.MyAuditVal, _xlfn.XLOOKUP($A1338, My_Audit!$A:$A, My_Audit!P:P, ""),
    _xlfn.TEXTJOIN(", ", TRUE, _xlpm.MyAuditVal, _xlpm.MacVal, _xlpm.CSVVal)
)</f>
        <v/>
      </c>
      <c r="P1338" s="40" t="str" cm="1">
        <f t="array" ref="P1338">IFERROR(_xlfn.LET(
_xlpm.CSVVal,_xlfn.XLOOKUP($A1338,CSV!$A:$A,CSV!AB:AB,""),
_xlpm.MacVal,_xlfn.XLOOKUP($A1338,Output_Mac!$A:$A,Output_Mac!T:T,""),
_xlpm.MyAuditVal,_xlfn.XLOOKUP($A1338,My_Audit!$A:$A,My_Audit!Q:Q,""),
_xlfn.IFS(_xlpm.MyAuditVal&lt;&gt;"",UPPER(_xlpm.MyAuditVal),_xlpm.MacVal&lt;&gt;"",_xlpm.MacVal,_xlpm.CSVVal&lt;&gt;"",_xlpm.CSVVal
)),"No")</f>
        <v>No</v>
      </c>
      <c r="Q1338" s="40" t="str" cm="1">
        <f t="array" ref="Q1338">IFERROR(_xlfn.LET(
_xlpm.CSVVal,_xlfn.XLOOKUP($A1338,CSV!$A:$A,CSV!AC:AC,""),
_xlpm.MacVal,_xlfn.XLOOKUP($A1338,Output_Mac!$A:$A,Output_Mac!U:U,""),
_xlpm.MyAuditVal,_xlfn.XLOOKUP($A1338,My_Audit!$A:$A,My_Audit!R:R,""),
_xlfn.IFS(_xlpm.MyAuditVal&lt;&gt;"",UPPER(_xlpm.MyAuditVal),_xlpm.MacVal&lt;&gt;"",_xlpm.MacVal,_xlpm.CSVVal&lt;&gt;"",_xlpm.CSVVal
)),"")</f>
        <v/>
      </c>
      <c r="R1338" s="40"/>
      <c r="S1338" s="40"/>
      <c r="T1338" s="40"/>
      <c r="U1338" s="40"/>
      <c r="V1338" s="40"/>
      <c r="W1338" s="40"/>
      <c r="X1338" s="41" t="str">
        <f>_xlfn.LET(
    _xlpm.MacVal, _xlfn.XLOOKUP($A1338, Output_Mac!$A:$A, Output_Mac!AB:AB, ""),
    _xlpm.MyAuditVal, _xlfn.XLOOKUP($A1338, My_Audit!$A:$A, My_Audit!N:N, ""),
    _xlfn.TEXTJOIN(", ", TRUE, _xlpm.MyAuditVal, _xlpm.MacVal)
)</f>
        <v/>
      </c>
    </row>
    <row r="1339" spans="1:24">
      <c r="A1339" s="40" t="str">
        <f>_xlfn.TEXTJOIN("",TRUE,Input!$B$2,ROW(My_Audit!A1338))</f>
        <v>X1338</v>
      </c>
      <c r="B1339" s="40" t="str">
        <f>_xlfn.TEXTJOIN("-",TRUE,"ITD",Input!$A$2,A1339)</f>
        <v>ITD-X1338</v>
      </c>
      <c r="C1339" s="40" t="str" cm="1">
        <f t="array" ref="C1339">IFERROR(_xlfn.LET(
_xlpm.CSVVal,_xlfn.XLOOKUP($A1339,CSV!$A:$A,CSV!B:B,""),
_xlpm.MacVal,_xlfn.XLOOKUP($A1339,Output_Mac!$A:$A,Output_Mac!B:B,""),
_xlpm.MyAuditVal,_xlfn.XLOOKUP($A1339,My_Audit!$A:$A,My_Audit!B:B,""),
_xlfn.IFS(_xlpm.MyAuditVal&lt;&gt;"",UPPER(_xlpm.MyAuditVal),_xlpm.MacVal&lt;&gt;"",_xlpm.MacVal,_xlpm.CSVVal&lt;&gt;"",_xlpm.CSVVal
)),"")</f>
        <v/>
      </c>
      <c r="D1339" s="40" t="str" cm="1">
        <f t="array" ref="D1339">IFERROR(_xlfn.LET(
_xlpm.CSVVal,_xlfn.XLOOKUP($A1339,CSV!$A:$A,CSV!D:D,""),
_xlpm.MacVal,_xlfn.XLOOKUP($A1339,Output_Mac!$A:$A,Output_Mac!C:C,""),
_xlpm.MyAuditVal,_xlfn.XLOOKUP($A1339,My_Audit!$A:$A,My_Audit!C:C,""),
_xlfn.IFS(_xlpm.MyAuditVal&lt;&gt;"",_xlpm.MyAuditVal,_xlpm.MacVal&lt;&gt;"",_xlpm.MacVal,_xlpm.CSVVal&lt;&gt;"",_xlpm.CSVVal
)),"")</f>
        <v/>
      </c>
      <c r="E1339" s="40" t="str">
        <f>_xlfn.XLOOKUP(A1339,My_Audit!A:A,My_Audit!D:D,"")</f>
        <v/>
      </c>
      <c r="F1339" s="40" t="str" cm="1">
        <f t="array" ref="F1339">IFERROR(_xlfn.LET(
_xlpm.CSVVal,_xlfn.XLOOKUP($A1339,CSV!$A:$A,CSV!F:F,""),
_xlpm.MacVal,_xlfn.XLOOKUP($A1339,Output_Mac!$A:$A,Output_Mac!E:E,""),
_xlpm.MyAuditVal,_xlfn.XLOOKUP($A1339,My_Audit!$A:$A,My_Audit!E:E,""),
_xlfn.IFS(_xlpm.MyAuditVal&lt;&gt;"",_xlpm.MyAuditVal,_xlpm.MacVal&lt;&gt;"",_xlpm.MacVal,_xlpm.CSVVal&lt;&gt;"",_xlpm.CSVVal
)),"")</f>
        <v/>
      </c>
      <c r="G1339" s="40" t="str" cm="1">
        <f t="array" ref="G1339">IFERROR(_xlfn.LET(
_xlpm.CSVVal,_xlfn.XLOOKUP($A1339,CSV!$A:$A,CSV!G:G,""),
_xlpm.MacVal,_xlfn.XLOOKUP($A1339,Output_Mac!$A:$A,Output_Mac!F:F,""),
_xlpm.MyAuditVal,_xlfn.XLOOKUP($A1339,My_Audit!$A:$A,My_Audit!F:F,""),
_xlfn.IFS(_xlpm.MyAuditVal&lt;&gt;"",_xlpm.MyAuditVal,_xlpm.MacVal&lt;&gt;"",_xlpm.MacVal,_xlpm.CSVVal&lt;&gt;"",PROPER(_xlpm.CSVVal)
)),"")</f>
        <v/>
      </c>
      <c r="H1339" s="40" t="str" cm="1">
        <f t="array" ref="H1339">IFERROR(_xlfn.LET(
_xlpm.CSVVal,_xlfn.XLOOKUP($A1339,CSV!$A:$A,CSV!H:H,""),
_xlpm.MacVal,_xlfn.XLOOKUP($A1339,Output_Mac!$A:$A,Output_Mac!H:H,""),
_xlpm.MyAuditVal,_xlfn.XLOOKUP($A1339,My_Audit!$A:$A,My_Audit!G:G,""),
_xlfn.IFS(_xlpm.MyAuditVal&lt;&gt;"",_xlpm.MyAuditVal,_xlpm.MacVal&lt;&gt;"",_xlpm.MacVal,_xlpm.CSVVal&lt;&gt;"",_xlpm.CSVVal
)),"")</f>
        <v/>
      </c>
      <c r="I1339" s="40" t="str">
        <f>_xlfn.XLOOKUP(A1339,Output_Mac!A:A,Output_Mac!I:I,"")</f>
        <v/>
      </c>
      <c r="J1339" s="40" t="str" cm="1">
        <f t="array" ref="J1339">IFERROR(_xlfn.LET(
_xlpm.CSVVal,_xlfn.XLOOKUP($A1339,CSV!$A:$A,CSV!I:I,""),
_xlpm.MacVal,_xlfn.XLOOKUP($A1339,Output_Mac!$A:$A,Output_Mac!J:J,""),
_xlpm.MyAuditVal,_xlfn.XLOOKUP($A1339,My_Audit!$A:$A,My_Audit!I:I,""),
_xlfn.IFS(_xlpm.MyAuditVal&lt;&gt;"",UPPER(_xlpm.MyAuditVal),_xlpm.MacVal&lt;&gt;"",_xlpm.MacVal,_xlpm.CSVVal&lt;&gt;"",_xlpm.CSVVal
)),"")</f>
        <v/>
      </c>
      <c r="K1339" s="40" t="str" cm="1">
        <f t="array" ref="K1339">IFERROR(_xlfn.LET(
_xlpm.CSVVal,_xlfn.XLOOKUP($A1339,CSV!$A:$A,CSV!K:K,""),
_xlpm.MacVal,_xlfn.XLOOKUP($A1339,Output_Mac!$A:$A,Output_Mac!K:K,""),
_xlpm.MyAuditVal,_xlfn.XLOOKUP($A1339,My_Audit!$A:$A,My_Audit!J:J,""),
_xlfn.IFS(_xlpm.MyAuditVal&lt;&gt;"",UPPER(_xlpm.MyAuditVal),_xlpm.MacVal&lt;&gt;"",_xlpm.MacVal,_xlpm.CSVVal&lt;&gt;"",_xlpm.CSVVal
)),"")</f>
        <v/>
      </c>
      <c r="L1339" s="40" t="str" cm="1">
        <f t="array" ref="L1339">IFERROR(_xlfn.LET(
_xlpm.CSVVal,_xlfn.XLOOKUP($A1339,CSV!$A:$A,CSV!P:P,""),
_xlpm.MacVal,_xlfn.XLOOKUP($A1339,Output_Mac!$A:$A,Output_Mac!L:L,""),
_xlpm.MyAuditVal,_xlfn.XLOOKUP($A1339,My_Audit!$A:$A,My_Audit!K:K,""),
_xlfn.IFS(_xlpm.MyAuditVal&lt;&gt;"",UPPER(_xlpm.MyAuditVal),_xlpm.MacVal&lt;&gt;"",_xlpm.MacVal,_xlpm.CSVVal&lt;&gt;"",_xlpm.CSVVal
)),"")</f>
        <v/>
      </c>
      <c r="M1339" s="40" t="str" cm="1">
        <f t="array" ref="M1339">IFERROR(_xlfn.LET(
_xlpm.CSVVal,_xlfn.XLOOKUP($A1339,CSV!$A:$A,CSV!Q:Q,""),
_xlpm.MacVal,_xlfn.XLOOKUP($A1339,Output_Mac!$A:$A,Output_Mac!M:M,""),
_xlpm.MyAuditVal,_xlfn.XLOOKUP($A1339,My_Audit!$A:$A,My_Audit!L:L,""),
_xlfn.IFS(_xlpm.MyAuditVal&lt;&gt;"",UPPER(_xlpm.MyAuditVal),_xlpm.MacVal&lt;&gt;"",_xlpm.MacVal,_xlpm.CSVVal&lt;&gt;"",_xlpm.CSVVal
)),"")</f>
        <v/>
      </c>
      <c r="N1339" s="40"/>
      <c r="O1339" s="40" t="str">
        <f>_xlfn.LET(
    _xlpm.CSVVal, _xlfn.XLOOKUP($A1339, CSV!$A:$A, CSV!AA:AA, ""),
    _xlpm.MacVal, _xlfn.XLOOKUP($A1339, Output_Mac!$A:$A, Output_Mac!S:S, ""),
    _xlpm.MyAuditVal, _xlfn.XLOOKUP($A1339, My_Audit!$A:$A, My_Audit!P:P, ""),
    _xlfn.TEXTJOIN(", ", TRUE, _xlpm.MyAuditVal, _xlpm.MacVal, _xlpm.CSVVal)
)</f>
        <v/>
      </c>
      <c r="P1339" s="40" t="str" cm="1">
        <f t="array" ref="P1339">IFERROR(_xlfn.LET(
_xlpm.CSVVal,_xlfn.XLOOKUP($A1339,CSV!$A:$A,CSV!AB:AB,""),
_xlpm.MacVal,_xlfn.XLOOKUP($A1339,Output_Mac!$A:$A,Output_Mac!T:T,""),
_xlpm.MyAuditVal,_xlfn.XLOOKUP($A1339,My_Audit!$A:$A,My_Audit!Q:Q,""),
_xlfn.IFS(_xlpm.MyAuditVal&lt;&gt;"",UPPER(_xlpm.MyAuditVal),_xlpm.MacVal&lt;&gt;"",_xlpm.MacVal,_xlpm.CSVVal&lt;&gt;"",_xlpm.CSVVal
)),"No")</f>
        <v>No</v>
      </c>
      <c r="Q1339" s="40" t="str" cm="1">
        <f t="array" ref="Q1339">IFERROR(_xlfn.LET(
_xlpm.CSVVal,_xlfn.XLOOKUP($A1339,CSV!$A:$A,CSV!AC:AC,""),
_xlpm.MacVal,_xlfn.XLOOKUP($A1339,Output_Mac!$A:$A,Output_Mac!U:U,""),
_xlpm.MyAuditVal,_xlfn.XLOOKUP($A1339,My_Audit!$A:$A,My_Audit!R:R,""),
_xlfn.IFS(_xlpm.MyAuditVal&lt;&gt;"",UPPER(_xlpm.MyAuditVal),_xlpm.MacVal&lt;&gt;"",_xlpm.MacVal,_xlpm.CSVVal&lt;&gt;"",_xlpm.CSVVal
)),"")</f>
        <v/>
      </c>
      <c r="R1339" s="40"/>
      <c r="S1339" s="40"/>
      <c r="T1339" s="40"/>
      <c r="U1339" s="40"/>
      <c r="V1339" s="40"/>
      <c r="W1339" s="40"/>
      <c r="X1339" s="41" t="str">
        <f>_xlfn.LET(
    _xlpm.MacVal, _xlfn.XLOOKUP($A1339, Output_Mac!$A:$A, Output_Mac!AB:AB, ""),
    _xlpm.MyAuditVal, _xlfn.XLOOKUP($A1339, My_Audit!$A:$A, My_Audit!N:N, ""),
    _xlfn.TEXTJOIN(", ", TRUE, _xlpm.MyAuditVal, _xlpm.MacVal)
)</f>
        <v/>
      </c>
    </row>
    <row r="1340" spans="1:24">
      <c r="A1340" s="40" t="str">
        <f>_xlfn.TEXTJOIN("",TRUE,Input!$B$2,ROW(My_Audit!A1339))</f>
        <v>X1339</v>
      </c>
      <c r="B1340" s="40" t="str">
        <f>_xlfn.TEXTJOIN("-",TRUE,"ITD",Input!$A$2,A1340)</f>
        <v>ITD-X1339</v>
      </c>
      <c r="C1340" s="40" t="str" cm="1">
        <f t="array" ref="C1340">IFERROR(_xlfn.LET(
_xlpm.CSVVal,_xlfn.XLOOKUP($A1340,CSV!$A:$A,CSV!B:B,""),
_xlpm.MacVal,_xlfn.XLOOKUP($A1340,Output_Mac!$A:$A,Output_Mac!B:B,""),
_xlpm.MyAuditVal,_xlfn.XLOOKUP($A1340,My_Audit!$A:$A,My_Audit!B:B,""),
_xlfn.IFS(_xlpm.MyAuditVal&lt;&gt;"",UPPER(_xlpm.MyAuditVal),_xlpm.MacVal&lt;&gt;"",_xlpm.MacVal,_xlpm.CSVVal&lt;&gt;"",_xlpm.CSVVal
)),"")</f>
        <v/>
      </c>
      <c r="D1340" s="40" t="str" cm="1">
        <f t="array" ref="D1340">IFERROR(_xlfn.LET(
_xlpm.CSVVal,_xlfn.XLOOKUP($A1340,CSV!$A:$A,CSV!D:D,""),
_xlpm.MacVal,_xlfn.XLOOKUP($A1340,Output_Mac!$A:$A,Output_Mac!C:C,""),
_xlpm.MyAuditVal,_xlfn.XLOOKUP($A1340,My_Audit!$A:$A,My_Audit!C:C,""),
_xlfn.IFS(_xlpm.MyAuditVal&lt;&gt;"",_xlpm.MyAuditVal,_xlpm.MacVal&lt;&gt;"",_xlpm.MacVal,_xlpm.CSVVal&lt;&gt;"",_xlpm.CSVVal
)),"")</f>
        <v/>
      </c>
      <c r="E1340" s="40" t="str">
        <f>_xlfn.XLOOKUP(A1340,My_Audit!A:A,My_Audit!D:D,"")</f>
        <v/>
      </c>
      <c r="F1340" s="40" t="str" cm="1">
        <f t="array" ref="F1340">IFERROR(_xlfn.LET(
_xlpm.CSVVal,_xlfn.XLOOKUP($A1340,CSV!$A:$A,CSV!F:F,""),
_xlpm.MacVal,_xlfn.XLOOKUP($A1340,Output_Mac!$A:$A,Output_Mac!E:E,""),
_xlpm.MyAuditVal,_xlfn.XLOOKUP($A1340,My_Audit!$A:$A,My_Audit!E:E,""),
_xlfn.IFS(_xlpm.MyAuditVal&lt;&gt;"",_xlpm.MyAuditVal,_xlpm.MacVal&lt;&gt;"",_xlpm.MacVal,_xlpm.CSVVal&lt;&gt;"",_xlpm.CSVVal
)),"")</f>
        <v/>
      </c>
      <c r="G1340" s="40" t="str" cm="1">
        <f t="array" ref="G1340">IFERROR(_xlfn.LET(
_xlpm.CSVVal,_xlfn.XLOOKUP($A1340,CSV!$A:$A,CSV!G:G,""),
_xlpm.MacVal,_xlfn.XLOOKUP($A1340,Output_Mac!$A:$A,Output_Mac!F:F,""),
_xlpm.MyAuditVal,_xlfn.XLOOKUP($A1340,My_Audit!$A:$A,My_Audit!F:F,""),
_xlfn.IFS(_xlpm.MyAuditVal&lt;&gt;"",_xlpm.MyAuditVal,_xlpm.MacVal&lt;&gt;"",_xlpm.MacVal,_xlpm.CSVVal&lt;&gt;"",PROPER(_xlpm.CSVVal)
)),"")</f>
        <v/>
      </c>
      <c r="H1340" s="40" t="str" cm="1">
        <f t="array" ref="H1340">IFERROR(_xlfn.LET(
_xlpm.CSVVal,_xlfn.XLOOKUP($A1340,CSV!$A:$A,CSV!H:H,""),
_xlpm.MacVal,_xlfn.XLOOKUP($A1340,Output_Mac!$A:$A,Output_Mac!H:H,""),
_xlpm.MyAuditVal,_xlfn.XLOOKUP($A1340,My_Audit!$A:$A,My_Audit!G:G,""),
_xlfn.IFS(_xlpm.MyAuditVal&lt;&gt;"",_xlpm.MyAuditVal,_xlpm.MacVal&lt;&gt;"",_xlpm.MacVal,_xlpm.CSVVal&lt;&gt;"",_xlpm.CSVVal
)),"")</f>
        <v/>
      </c>
      <c r="I1340" s="40" t="str">
        <f>_xlfn.XLOOKUP(A1340,Output_Mac!A:A,Output_Mac!I:I,"")</f>
        <v/>
      </c>
      <c r="J1340" s="40" t="str" cm="1">
        <f t="array" ref="J1340">IFERROR(_xlfn.LET(
_xlpm.CSVVal,_xlfn.XLOOKUP($A1340,CSV!$A:$A,CSV!I:I,""),
_xlpm.MacVal,_xlfn.XLOOKUP($A1340,Output_Mac!$A:$A,Output_Mac!J:J,""),
_xlpm.MyAuditVal,_xlfn.XLOOKUP($A1340,My_Audit!$A:$A,My_Audit!I:I,""),
_xlfn.IFS(_xlpm.MyAuditVal&lt;&gt;"",UPPER(_xlpm.MyAuditVal),_xlpm.MacVal&lt;&gt;"",_xlpm.MacVal,_xlpm.CSVVal&lt;&gt;"",_xlpm.CSVVal
)),"")</f>
        <v/>
      </c>
      <c r="K1340" s="40" t="str" cm="1">
        <f t="array" ref="K1340">IFERROR(_xlfn.LET(
_xlpm.CSVVal,_xlfn.XLOOKUP($A1340,CSV!$A:$A,CSV!K:K,""),
_xlpm.MacVal,_xlfn.XLOOKUP($A1340,Output_Mac!$A:$A,Output_Mac!K:K,""),
_xlpm.MyAuditVal,_xlfn.XLOOKUP($A1340,My_Audit!$A:$A,My_Audit!J:J,""),
_xlfn.IFS(_xlpm.MyAuditVal&lt;&gt;"",UPPER(_xlpm.MyAuditVal),_xlpm.MacVal&lt;&gt;"",_xlpm.MacVal,_xlpm.CSVVal&lt;&gt;"",_xlpm.CSVVal
)),"")</f>
        <v/>
      </c>
      <c r="L1340" s="40" t="str" cm="1">
        <f t="array" ref="L1340">IFERROR(_xlfn.LET(
_xlpm.CSVVal,_xlfn.XLOOKUP($A1340,CSV!$A:$A,CSV!P:P,""),
_xlpm.MacVal,_xlfn.XLOOKUP($A1340,Output_Mac!$A:$A,Output_Mac!L:L,""),
_xlpm.MyAuditVal,_xlfn.XLOOKUP($A1340,My_Audit!$A:$A,My_Audit!K:K,""),
_xlfn.IFS(_xlpm.MyAuditVal&lt;&gt;"",UPPER(_xlpm.MyAuditVal),_xlpm.MacVal&lt;&gt;"",_xlpm.MacVal,_xlpm.CSVVal&lt;&gt;"",_xlpm.CSVVal
)),"")</f>
        <v/>
      </c>
      <c r="M1340" s="40" t="str" cm="1">
        <f t="array" ref="M1340">IFERROR(_xlfn.LET(
_xlpm.CSVVal,_xlfn.XLOOKUP($A1340,CSV!$A:$A,CSV!Q:Q,""),
_xlpm.MacVal,_xlfn.XLOOKUP($A1340,Output_Mac!$A:$A,Output_Mac!M:M,""),
_xlpm.MyAuditVal,_xlfn.XLOOKUP($A1340,My_Audit!$A:$A,My_Audit!L:L,""),
_xlfn.IFS(_xlpm.MyAuditVal&lt;&gt;"",UPPER(_xlpm.MyAuditVal),_xlpm.MacVal&lt;&gt;"",_xlpm.MacVal,_xlpm.CSVVal&lt;&gt;"",_xlpm.CSVVal
)),"")</f>
        <v/>
      </c>
      <c r="N1340" s="40"/>
      <c r="O1340" s="40" t="str">
        <f>_xlfn.LET(
    _xlpm.CSVVal, _xlfn.XLOOKUP($A1340, CSV!$A:$A, CSV!AA:AA, ""),
    _xlpm.MacVal, _xlfn.XLOOKUP($A1340, Output_Mac!$A:$A, Output_Mac!S:S, ""),
    _xlpm.MyAuditVal, _xlfn.XLOOKUP($A1340, My_Audit!$A:$A, My_Audit!P:P, ""),
    _xlfn.TEXTJOIN(", ", TRUE, _xlpm.MyAuditVal, _xlpm.MacVal, _xlpm.CSVVal)
)</f>
        <v/>
      </c>
      <c r="P1340" s="40" t="str" cm="1">
        <f t="array" ref="P1340">IFERROR(_xlfn.LET(
_xlpm.CSVVal,_xlfn.XLOOKUP($A1340,CSV!$A:$A,CSV!AB:AB,""),
_xlpm.MacVal,_xlfn.XLOOKUP($A1340,Output_Mac!$A:$A,Output_Mac!T:T,""),
_xlpm.MyAuditVal,_xlfn.XLOOKUP($A1340,My_Audit!$A:$A,My_Audit!Q:Q,""),
_xlfn.IFS(_xlpm.MyAuditVal&lt;&gt;"",UPPER(_xlpm.MyAuditVal),_xlpm.MacVal&lt;&gt;"",_xlpm.MacVal,_xlpm.CSVVal&lt;&gt;"",_xlpm.CSVVal
)),"No")</f>
        <v>No</v>
      </c>
      <c r="Q1340" s="40" t="str" cm="1">
        <f t="array" ref="Q1340">IFERROR(_xlfn.LET(
_xlpm.CSVVal,_xlfn.XLOOKUP($A1340,CSV!$A:$A,CSV!AC:AC,""),
_xlpm.MacVal,_xlfn.XLOOKUP($A1340,Output_Mac!$A:$A,Output_Mac!U:U,""),
_xlpm.MyAuditVal,_xlfn.XLOOKUP($A1340,My_Audit!$A:$A,My_Audit!R:R,""),
_xlfn.IFS(_xlpm.MyAuditVal&lt;&gt;"",UPPER(_xlpm.MyAuditVal),_xlpm.MacVal&lt;&gt;"",_xlpm.MacVal,_xlpm.CSVVal&lt;&gt;"",_xlpm.CSVVal
)),"")</f>
        <v/>
      </c>
      <c r="R1340" s="40"/>
      <c r="S1340" s="40"/>
      <c r="T1340" s="40"/>
      <c r="U1340" s="40"/>
      <c r="V1340" s="40"/>
      <c r="W1340" s="40"/>
      <c r="X1340" s="41" t="str">
        <f>_xlfn.LET(
    _xlpm.MacVal, _xlfn.XLOOKUP($A1340, Output_Mac!$A:$A, Output_Mac!AB:AB, ""),
    _xlpm.MyAuditVal, _xlfn.XLOOKUP($A1340, My_Audit!$A:$A, My_Audit!N:N, ""),
    _xlfn.TEXTJOIN(", ", TRUE, _xlpm.MyAuditVal, _xlpm.MacVal)
)</f>
        <v/>
      </c>
    </row>
    <row r="1341" spans="1:24">
      <c r="A1341" s="40" t="str">
        <f>_xlfn.TEXTJOIN("",TRUE,Input!$B$2,ROW(My_Audit!A1340))</f>
        <v>X1340</v>
      </c>
      <c r="B1341" s="40" t="str">
        <f>_xlfn.TEXTJOIN("-",TRUE,"ITD",Input!$A$2,A1341)</f>
        <v>ITD-X1340</v>
      </c>
      <c r="C1341" s="40" t="str" cm="1">
        <f t="array" ref="C1341">IFERROR(_xlfn.LET(
_xlpm.CSVVal,_xlfn.XLOOKUP($A1341,CSV!$A:$A,CSV!B:B,""),
_xlpm.MacVal,_xlfn.XLOOKUP($A1341,Output_Mac!$A:$A,Output_Mac!B:B,""),
_xlpm.MyAuditVal,_xlfn.XLOOKUP($A1341,My_Audit!$A:$A,My_Audit!B:B,""),
_xlfn.IFS(_xlpm.MyAuditVal&lt;&gt;"",UPPER(_xlpm.MyAuditVal),_xlpm.MacVal&lt;&gt;"",_xlpm.MacVal,_xlpm.CSVVal&lt;&gt;"",_xlpm.CSVVal
)),"")</f>
        <v/>
      </c>
      <c r="D1341" s="40" t="str" cm="1">
        <f t="array" ref="D1341">IFERROR(_xlfn.LET(
_xlpm.CSVVal,_xlfn.XLOOKUP($A1341,CSV!$A:$A,CSV!D:D,""),
_xlpm.MacVal,_xlfn.XLOOKUP($A1341,Output_Mac!$A:$A,Output_Mac!C:C,""),
_xlpm.MyAuditVal,_xlfn.XLOOKUP($A1341,My_Audit!$A:$A,My_Audit!C:C,""),
_xlfn.IFS(_xlpm.MyAuditVal&lt;&gt;"",_xlpm.MyAuditVal,_xlpm.MacVal&lt;&gt;"",_xlpm.MacVal,_xlpm.CSVVal&lt;&gt;"",_xlpm.CSVVal
)),"")</f>
        <v/>
      </c>
      <c r="E1341" s="40" t="str">
        <f>_xlfn.XLOOKUP(A1341,My_Audit!A:A,My_Audit!D:D,"")</f>
        <v/>
      </c>
      <c r="F1341" s="40" t="str" cm="1">
        <f t="array" ref="F1341">IFERROR(_xlfn.LET(
_xlpm.CSVVal,_xlfn.XLOOKUP($A1341,CSV!$A:$A,CSV!F:F,""),
_xlpm.MacVal,_xlfn.XLOOKUP($A1341,Output_Mac!$A:$A,Output_Mac!E:E,""),
_xlpm.MyAuditVal,_xlfn.XLOOKUP($A1341,My_Audit!$A:$A,My_Audit!E:E,""),
_xlfn.IFS(_xlpm.MyAuditVal&lt;&gt;"",_xlpm.MyAuditVal,_xlpm.MacVal&lt;&gt;"",_xlpm.MacVal,_xlpm.CSVVal&lt;&gt;"",_xlpm.CSVVal
)),"")</f>
        <v/>
      </c>
      <c r="G1341" s="40" t="str" cm="1">
        <f t="array" ref="G1341">IFERROR(_xlfn.LET(
_xlpm.CSVVal,_xlfn.XLOOKUP($A1341,CSV!$A:$A,CSV!G:G,""),
_xlpm.MacVal,_xlfn.XLOOKUP($A1341,Output_Mac!$A:$A,Output_Mac!F:F,""),
_xlpm.MyAuditVal,_xlfn.XLOOKUP($A1341,My_Audit!$A:$A,My_Audit!F:F,""),
_xlfn.IFS(_xlpm.MyAuditVal&lt;&gt;"",_xlpm.MyAuditVal,_xlpm.MacVal&lt;&gt;"",_xlpm.MacVal,_xlpm.CSVVal&lt;&gt;"",PROPER(_xlpm.CSVVal)
)),"")</f>
        <v/>
      </c>
      <c r="H1341" s="40" t="str" cm="1">
        <f t="array" ref="H1341">IFERROR(_xlfn.LET(
_xlpm.CSVVal,_xlfn.XLOOKUP($A1341,CSV!$A:$A,CSV!H:H,""),
_xlpm.MacVal,_xlfn.XLOOKUP($A1341,Output_Mac!$A:$A,Output_Mac!H:H,""),
_xlpm.MyAuditVal,_xlfn.XLOOKUP($A1341,My_Audit!$A:$A,My_Audit!G:G,""),
_xlfn.IFS(_xlpm.MyAuditVal&lt;&gt;"",_xlpm.MyAuditVal,_xlpm.MacVal&lt;&gt;"",_xlpm.MacVal,_xlpm.CSVVal&lt;&gt;"",_xlpm.CSVVal
)),"")</f>
        <v/>
      </c>
      <c r="I1341" s="40" t="str">
        <f>_xlfn.XLOOKUP(A1341,Output_Mac!A:A,Output_Mac!I:I,"")</f>
        <v/>
      </c>
      <c r="J1341" s="40" t="str" cm="1">
        <f t="array" ref="J1341">IFERROR(_xlfn.LET(
_xlpm.CSVVal,_xlfn.XLOOKUP($A1341,CSV!$A:$A,CSV!I:I,""),
_xlpm.MacVal,_xlfn.XLOOKUP($A1341,Output_Mac!$A:$A,Output_Mac!J:J,""),
_xlpm.MyAuditVal,_xlfn.XLOOKUP($A1341,My_Audit!$A:$A,My_Audit!I:I,""),
_xlfn.IFS(_xlpm.MyAuditVal&lt;&gt;"",UPPER(_xlpm.MyAuditVal),_xlpm.MacVal&lt;&gt;"",_xlpm.MacVal,_xlpm.CSVVal&lt;&gt;"",_xlpm.CSVVal
)),"")</f>
        <v/>
      </c>
      <c r="K1341" s="40" t="str" cm="1">
        <f t="array" ref="K1341">IFERROR(_xlfn.LET(
_xlpm.CSVVal,_xlfn.XLOOKUP($A1341,CSV!$A:$A,CSV!K:K,""),
_xlpm.MacVal,_xlfn.XLOOKUP($A1341,Output_Mac!$A:$A,Output_Mac!K:K,""),
_xlpm.MyAuditVal,_xlfn.XLOOKUP($A1341,My_Audit!$A:$A,My_Audit!J:J,""),
_xlfn.IFS(_xlpm.MyAuditVal&lt;&gt;"",UPPER(_xlpm.MyAuditVal),_xlpm.MacVal&lt;&gt;"",_xlpm.MacVal,_xlpm.CSVVal&lt;&gt;"",_xlpm.CSVVal
)),"")</f>
        <v/>
      </c>
      <c r="L1341" s="40" t="str" cm="1">
        <f t="array" ref="L1341">IFERROR(_xlfn.LET(
_xlpm.CSVVal,_xlfn.XLOOKUP($A1341,CSV!$A:$A,CSV!P:P,""),
_xlpm.MacVal,_xlfn.XLOOKUP($A1341,Output_Mac!$A:$A,Output_Mac!L:L,""),
_xlpm.MyAuditVal,_xlfn.XLOOKUP($A1341,My_Audit!$A:$A,My_Audit!K:K,""),
_xlfn.IFS(_xlpm.MyAuditVal&lt;&gt;"",UPPER(_xlpm.MyAuditVal),_xlpm.MacVal&lt;&gt;"",_xlpm.MacVal,_xlpm.CSVVal&lt;&gt;"",_xlpm.CSVVal
)),"")</f>
        <v/>
      </c>
      <c r="M1341" s="40" t="str" cm="1">
        <f t="array" ref="M1341">IFERROR(_xlfn.LET(
_xlpm.CSVVal,_xlfn.XLOOKUP($A1341,CSV!$A:$A,CSV!Q:Q,""),
_xlpm.MacVal,_xlfn.XLOOKUP($A1341,Output_Mac!$A:$A,Output_Mac!M:M,""),
_xlpm.MyAuditVal,_xlfn.XLOOKUP($A1341,My_Audit!$A:$A,My_Audit!L:L,""),
_xlfn.IFS(_xlpm.MyAuditVal&lt;&gt;"",UPPER(_xlpm.MyAuditVal),_xlpm.MacVal&lt;&gt;"",_xlpm.MacVal,_xlpm.CSVVal&lt;&gt;"",_xlpm.CSVVal
)),"")</f>
        <v/>
      </c>
      <c r="N1341" s="40"/>
      <c r="O1341" s="40" t="str">
        <f>_xlfn.LET(
    _xlpm.CSVVal, _xlfn.XLOOKUP($A1341, CSV!$A:$A, CSV!AA:AA, ""),
    _xlpm.MacVal, _xlfn.XLOOKUP($A1341, Output_Mac!$A:$A, Output_Mac!S:S, ""),
    _xlpm.MyAuditVal, _xlfn.XLOOKUP($A1341, My_Audit!$A:$A, My_Audit!P:P, ""),
    _xlfn.TEXTJOIN(", ", TRUE, _xlpm.MyAuditVal, _xlpm.MacVal, _xlpm.CSVVal)
)</f>
        <v/>
      </c>
      <c r="P1341" s="40" t="str" cm="1">
        <f t="array" ref="P1341">IFERROR(_xlfn.LET(
_xlpm.CSVVal,_xlfn.XLOOKUP($A1341,CSV!$A:$A,CSV!AB:AB,""),
_xlpm.MacVal,_xlfn.XLOOKUP($A1341,Output_Mac!$A:$A,Output_Mac!T:T,""),
_xlpm.MyAuditVal,_xlfn.XLOOKUP($A1341,My_Audit!$A:$A,My_Audit!Q:Q,""),
_xlfn.IFS(_xlpm.MyAuditVal&lt;&gt;"",UPPER(_xlpm.MyAuditVal),_xlpm.MacVal&lt;&gt;"",_xlpm.MacVal,_xlpm.CSVVal&lt;&gt;"",_xlpm.CSVVal
)),"No")</f>
        <v>No</v>
      </c>
      <c r="Q1341" s="40" t="str" cm="1">
        <f t="array" ref="Q1341">IFERROR(_xlfn.LET(
_xlpm.CSVVal,_xlfn.XLOOKUP($A1341,CSV!$A:$A,CSV!AC:AC,""),
_xlpm.MacVal,_xlfn.XLOOKUP($A1341,Output_Mac!$A:$A,Output_Mac!U:U,""),
_xlpm.MyAuditVal,_xlfn.XLOOKUP($A1341,My_Audit!$A:$A,My_Audit!R:R,""),
_xlfn.IFS(_xlpm.MyAuditVal&lt;&gt;"",UPPER(_xlpm.MyAuditVal),_xlpm.MacVal&lt;&gt;"",_xlpm.MacVal,_xlpm.CSVVal&lt;&gt;"",_xlpm.CSVVal
)),"")</f>
        <v/>
      </c>
      <c r="R1341" s="40"/>
      <c r="S1341" s="40"/>
      <c r="T1341" s="40"/>
      <c r="U1341" s="40"/>
      <c r="V1341" s="40"/>
      <c r="W1341" s="40"/>
      <c r="X1341" s="41" t="str">
        <f>_xlfn.LET(
    _xlpm.MacVal, _xlfn.XLOOKUP($A1341, Output_Mac!$A:$A, Output_Mac!AB:AB, ""),
    _xlpm.MyAuditVal, _xlfn.XLOOKUP($A1341, My_Audit!$A:$A, My_Audit!N:N, ""),
    _xlfn.TEXTJOIN(", ", TRUE, _xlpm.MyAuditVal, _xlpm.MacVal)
)</f>
        <v/>
      </c>
    </row>
    <row r="1342" spans="1:24">
      <c r="A1342" s="40" t="str">
        <f>_xlfn.TEXTJOIN("",TRUE,Input!$B$2,ROW(My_Audit!A1341))</f>
        <v>X1341</v>
      </c>
      <c r="B1342" s="40" t="str">
        <f>_xlfn.TEXTJOIN("-",TRUE,"ITD",Input!$A$2,A1342)</f>
        <v>ITD-X1341</v>
      </c>
      <c r="C1342" s="40" t="str" cm="1">
        <f t="array" ref="C1342">IFERROR(_xlfn.LET(
_xlpm.CSVVal,_xlfn.XLOOKUP($A1342,CSV!$A:$A,CSV!B:B,""),
_xlpm.MacVal,_xlfn.XLOOKUP($A1342,Output_Mac!$A:$A,Output_Mac!B:B,""),
_xlpm.MyAuditVal,_xlfn.XLOOKUP($A1342,My_Audit!$A:$A,My_Audit!B:B,""),
_xlfn.IFS(_xlpm.MyAuditVal&lt;&gt;"",UPPER(_xlpm.MyAuditVal),_xlpm.MacVal&lt;&gt;"",_xlpm.MacVal,_xlpm.CSVVal&lt;&gt;"",_xlpm.CSVVal
)),"")</f>
        <v/>
      </c>
      <c r="D1342" s="40" t="str" cm="1">
        <f t="array" ref="D1342">IFERROR(_xlfn.LET(
_xlpm.CSVVal,_xlfn.XLOOKUP($A1342,CSV!$A:$A,CSV!D:D,""),
_xlpm.MacVal,_xlfn.XLOOKUP($A1342,Output_Mac!$A:$A,Output_Mac!C:C,""),
_xlpm.MyAuditVal,_xlfn.XLOOKUP($A1342,My_Audit!$A:$A,My_Audit!C:C,""),
_xlfn.IFS(_xlpm.MyAuditVal&lt;&gt;"",_xlpm.MyAuditVal,_xlpm.MacVal&lt;&gt;"",_xlpm.MacVal,_xlpm.CSVVal&lt;&gt;"",_xlpm.CSVVal
)),"")</f>
        <v/>
      </c>
      <c r="E1342" s="40" t="str">
        <f>_xlfn.XLOOKUP(A1342,My_Audit!A:A,My_Audit!D:D,"")</f>
        <v/>
      </c>
      <c r="F1342" s="40" t="str" cm="1">
        <f t="array" ref="F1342">IFERROR(_xlfn.LET(
_xlpm.CSVVal,_xlfn.XLOOKUP($A1342,CSV!$A:$A,CSV!F:F,""),
_xlpm.MacVal,_xlfn.XLOOKUP($A1342,Output_Mac!$A:$A,Output_Mac!E:E,""),
_xlpm.MyAuditVal,_xlfn.XLOOKUP($A1342,My_Audit!$A:$A,My_Audit!E:E,""),
_xlfn.IFS(_xlpm.MyAuditVal&lt;&gt;"",_xlpm.MyAuditVal,_xlpm.MacVal&lt;&gt;"",_xlpm.MacVal,_xlpm.CSVVal&lt;&gt;"",_xlpm.CSVVal
)),"")</f>
        <v/>
      </c>
      <c r="G1342" s="40" t="str" cm="1">
        <f t="array" ref="G1342">IFERROR(_xlfn.LET(
_xlpm.CSVVal,_xlfn.XLOOKUP($A1342,CSV!$A:$A,CSV!G:G,""),
_xlpm.MacVal,_xlfn.XLOOKUP($A1342,Output_Mac!$A:$A,Output_Mac!F:F,""),
_xlpm.MyAuditVal,_xlfn.XLOOKUP($A1342,My_Audit!$A:$A,My_Audit!F:F,""),
_xlfn.IFS(_xlpm.MyAuditVal&lt;&gt;"",_xlpm.MyAuditVal,_xlpm.MacVal&lt;&gt;"",_xlpm.MacVal,_xlpm.CSVVal&lt;&gt;"",PROPER(_xlpm.CSVVal)
)),"")</f>
        <v/>
      </c>
      <c r="H1342" s="40" t="str" cm="1">
        <f t="array" ref="H1342">IFERROR(_xlfn.LET(
_xlpm.CSVVal,_xlfn.XLOOKUP($A1342,CSV!$A:$A,CSV!H:H,""),
_xlpm.MacVal,_xlfn.XLOOKUP($A1342,Output_Mac!$A:$A,Output_Mac!H:H,""),
_xlpm.MyAuditVal,_xlfn.XLOOKUP($A1342,My_Audit!$A:$A,My_Audit!G:G,""),
_xlfn.IFS(_xlpm.MyAuditVal&lt;&gt;"",_xlpm.MyAuditVal,_xlpm.MacVal&lt;&gt;"",_xlpm.MacVal,_xlpm.CSVVal&lt;&gt;"",_xlpm.CSVVal
)),"")</f>
        <v/>
      </c>
      <c r="I1342" s="40" t="str">
        <f>_xlfn.XLOOKUP(A1342,Output_Mac!A:A,Output_Mac!I:I,"")</f>
        <v/>
      </c>
      <c r="J1342" s="40" t="str" cm="1">
        <f t="array" ref="J1342">IFERROR(_xlfn.LET(
_xlpm.CSVVal,_xlfn.XLOOKUP($A1342,CSV!$A:$A,CSV!I:I,""),
_xlpm.MacVal,_xlfn.XLOOKUP($A1342,Output_Mac!$A:$A,Output_Mac!J:J,""),
_xlpm.MyAuditVal,_xlfn.XLOOKUP($A1342,My_Audit!$A:$A,My_Audit!I:I,""),
_xlfn.IFS(_xlpm.MyAuditVal&lt;&gt;"",UPPER(_xlpm.MyAuditVal),_xlpm.MacVal&lt;&gt;"",_xlpm.MacVal,_xlpm.CSVVal&lt;&gt;"",_xlpm.CSVVal
)),"")</f>
        <v/>
      </c>
      <c r="K1342" s="40" t="str" cm="1">
        <f t="array" ref="K1342">IFERROR(_xlfn.LET(
_xlpm.CSVVal,_xlfn.XLOOKUP($A1342,CSV!$A:$A,CSV!K:K,""),
_xlpm.MacVal,_xlfn.XLOOKUP($A1342,Output_Mac!$A:$A,Output_Mac!K:K,""),
_xlpm.MyAuditVal,_xlfn.XLOOKUP($A1342,My_Audit!$A:$A,My_Audit!J:J,""),
_xlfn.IFS(_xlpm.MyAuditVal&lt;&gt;"",UPPER(_xlpm.MyAuditVal),_xlpm.MacVal&lt;&gt;"",_xlpm.MacVal,_xlpm.CSVVal&lt;&gt;"",_xlpm.CSVVal
)),"")</f>
        <v/>
      </c>
      <c r="L1342" s="40" t="str" cm="1">
        <f t="array" ref="L1342">IFERROR(_xlfn.LET(
_xlpm.CSVVal,_xlfn.XLOOKUP($A1342,CSV!$A:$A,CSV!P:P,""),
_xlpm.MacVal,_xlfn.XLOOKUP($A1342,Output_Mac!$A:$A,Output_Mac!L:L,""),
_xlpm.MyAuditVal,_xlfn.XLOOKUP($A1342,My_Audit!$A:$A,My_Audit!K:K,""),
_xlfn.IFS(_xlpm.MyAuditVal&lt;&gt;"",UPPER(_xlpm.MyAuditVal),_xlpm.MacVal&lt;&gt;"",_xlpm.MacVal,_xlpm.CSVVal&lt;&gt;"",_xlpm.CSVVal
)),"")</f>
        <v/>
      </c>
      <c r="M1342" s="40" t="str" cm="1">
        <f t="array" ref="M1342">IFERROR(_xlfn.LET(
_xlpm.CSVVal,_xlfn.XLOOKUP($A1342,CSV!$A:$A,CSV!Q:Q,""),
_xlpm.MacVal,_xlfn.XLOOKUP($A1342,Output_Mac!$A:$A,Output_Mac!M:M,""),
_xlpm.MyAuditVal,_xlfn.XLOOKUP($A1342,My_Audit!$A:$A,My_Audit!L:L,""),
_xlfn.IFS(_xlpm.MyAuditVal&lt;&gt;"",UPPER(_xlpm.MyAuditVal),_xlpm.MacVal&lt;&gt;"",_xlpm.MacVal,_xlpm.CSVVal&lt;&gt;"",_xlpm.CSVVal
)),"")</f>
        <v/>
      </c>
      <c r="N1342" s="40"/>
      <c r="O1342" s="40" t="str">
        <f>_xlfn.LET(
    _xlpm.CSVVal, _xlfn.XLOOKUP($A1342, CSV!$A:$A, CSV!AA:AA, ""),
    _xlpm.MacVal, _xlfn.XLOOKUP($A1342, Output_Mac!$A:$A, Output_Mac!S:S, ""),
    _xlpm.MyAuditVal, _xlfn.XLOOKUP($A1342, My_Audit!$A:$A, My_Audit!P:P, ""),
    _xlfn.TEXTJOIN(", ", TRUE, _xlpm.MyAuditVal, _xlpm.MacVal, _xlpm.CSVVal)
)</f>
        <v/>
      </c>
      <c r="P1342" s="40" t="str" cm="1">
        <f t="array" ref="P1342">IFERROR(_xlfn.LET(
_xlpm.CSVVal,_xlfn.XLOOKUP($A1342,CSV!$A:$A,CSV!AB:AB,""),
_xlpm.MacVal,_xlfn.XLOOKUP($A1342,Output_Mac!$A:$A,Output_Mac!T:T,""),
_xlpm.MyAuditVal,_xlfn.XLOOKUP($A1342,My_Audit!$A:$A,My_Audit!Q:Q,""),
_xlfn.IFS(_xlpm.MyAuditVal&lt;&gt;"",UPPER(_xlpm.MyAuditVal),_xlpm.MacVal&lt;&gt;"",_xlpm.MacVal,_xlpm.CSVVal&lt;&gt;"",_xlpm.CSVVal
)),"No")</f>
        <v>No</v>
      </c>
      <c r="Q1342" s="40" t="str" cm="1">
        <f t="array" ref="Q1342">IFERROR(_xlfn.LET(
_xlpm.CSVVal,_xlfn.XLOOKUP($A1342,CSV!$A:$A,CSV!AC:AC,""),
_xlpm.MacVal,_xlfn.XLOOKUP($A1342,Output_Mac!$A:$A,Output_Mac!U:U,""),
_xlpm.MyAuditVal,_xlfn.XLOOKUP($A1342,My_Audit!$A:$A,My_Audit!R:R,""),
_xlfn.IFS(_xlpm.MyAuditVal&lt;&gt;"",UPPER(_xlpm.MyAuditVal),_xlpm.MacVal&lt;&gt;"",_xlpm.MacVal,_xlpm.CSVVal&lt;&gt;"",_xlpm.CSVVal
)),"")</f>
        <v/>
      </c>
      <c r="R1342" s="40"/>
      <c r="S1342" s="40"/>
      <c r="T1342" s="40"/>
      <c r="U1342" s="40"/>
      <c r="V1342" s="40"/>
      <c r="W1342" s="40"/>
      <c r="X1342" s="41" t="str">
        <f>_xlfn.LET(
    _xlpm.MacVal, _xlfn.XLOOKUP($A1342, Output_Mac!$A:$A, Output_Mac!AB:AB, ""),
    _xlpm.MyAuditVal, _xlfn.XLOOKUP($A1342, My_Audit!$A:$A, My_Audit!N:N, ""),
    _xlfn.TEXTJOIN(", ", TRUE, _xlpm.MyAuditVal, _xlpm.MacVal)
)</f>
        <v/>
      </c>
    </row>
    <row r="1343" spans="1:24">
      <c r="A1343" s="40" t="str">
        <f>_xlfn.TEXTJOIN("",TRUE,Input!$B$2,ROW(My_Audit!A1342))</f>
        <v>X1342</v>
      </c>
      <c r="B1343" s="40" t="str">
        <f>_xlfn.TEXTJOIN("-",TRUE,"ITD",Input!$A$2,A1343)</f>
        <v>ITD-X1342</v>
      </c>
      <c r="C1343" s="40" t="str" cm="1">
        <f t="array" ref="C1343">IFERROR(_xlfn.LET(
_xlpm.CSVVal,_xlfn.XLOOKUP($A1343,CSV!$A:$A,CSV!B:B,""),
_xlpm.MacVal,_xlfn.XLOOKUP($A1343,Output_Mac!$A:$A,Output_Mac!B:B,""),
_xlpm.MyAuditVal,_xlfn.XLOOKUP($A1343,My_Audit!$A:$A,My_Audit!B:B,""),
_xlfn.IFS(_xlpm.MyAuditVal&lt;&gt;"",UPPER(_xlpm.MyAuditVal),_xlpm.MacVal&lt;&gt;"",_xlpm.MacVal,_xlpm.CSVVal&lt;&gt;"",_xlpm.CSVVal
)),"")</f>
        <v/>
      </c>
      <c r="D1343" s="40" t="str" cm="1">
        <f t="array" ref="D1343">IFERROR(_xlfn.LET(
_xlpm.CSVVal,_xlfn.XLOOKUP($A1343,CSV!$A:$A,CSV!D:D,""),
_xlpm.MacVal,_xlfn.XLOOKUP($A1343,Output_Mac!$A:$A,Output_Mac!C:C,""),
_xlpm.MyAuditVal,_xlfn.XLOOKUP($A1343,My_Audit!$A:$A,My_Audit!C:C,""),
_xlfn.IFS(_xlpm.MyAuditVal&lt;&gt;"",_xlpm.MyAuditVal,_xlpm.MacVal&lt;&gt;"",_xlpm.MacVal,_xlpm.CSVVal&lt;&gt;"",_xlpm.CSVVal
)),"")</f>
        <v/>
      </c>
      <c r="E1343" s="40" t="str">
        <f>_xlfn.XLOOKUP(A1343,My_Audit!A:A,My_Audit!D:D,"")</f>
        <v/>
      </c>
      <c r="F1343" s="40" t="str" cm="1">
        <f t="array" ref="F1343">IFERROR(_xlfn.LET(
_xlpm.CSVVal,_xlfn.XLOOKUP($A1343,CSV!$A:$A,CSV!F:F,""),
_xlpm.MacVal,_xlfn.XLOOKUP($A1343,Output_Mac!$A:$A,Output_Mac!E:E,""),
_xlpm.MyAuditVal,_xlfn.XLOOKUP($A1343,My_Audit!$A:$A,My_Audit!E:E,""),
_xlfn.IFS(_xlpm.MyAuditVal&lt;&gt;"",_xlpm.MyAuditVal,_xlpm.MacVal&lt;&gt;"",_xlpm.MacVal,_xlpm.CSVVal&lt;&gt;"",_xlpm.CSVVal
)),"")</f>
        <v/>
      </c>
      <c r="G1343" s="40" t="str" cm="1">
        <f t="array" ref="G1343">IFERROR(_xlfn.LET(
_xlpm.CSVVal,_xlfn.XLOOKUP($A1343,CSV!$A:$A,CSV!G:G,""),
_xlpm.MacVal,_xlfn.XLOOKUP($A1343,Output_Mac!$A:$A,Output_Mac!F:F,""),
_xlpm.MyAuditVal,_xlfn.XLOOKUP($A1343,My_Audit!$A:$A,My_Audit!F:F,""),
_xlfn.IFS(_xlpm.MyAuditVal&lt;&gt;"",_xlpm.MyAuditVal,_xlpm.MacVal&lt;&gt;"",_xlpm.MacVal,_xlpm.CSVVal&lt;&gt;"",PROPER(_xlpm.CSVVal)
)),"")</f>
        <v/>
      </c>
      <c r="H1343" s="40" t="str" cm="1">
        <f t="array" ref="H1343">IFERROR(_xlfn.LET(
_xlpm.CSVVal,_xlfn.XLOOKUP($A1343,CSV!$A:$A,CSV!H:H,""),
_xlpm.MacVal,_xlfn.XLOOKUP($A1343,Output_Mac!$A:$A,Output_Mac!H:H,""),
_xlpm.MyAuditVal,_xlfn.XLOOKUP($A1343,My_Audit!$A:$A,My_Audit!G:G,""),
_xlfn.IFS(_xlpm.MyAuditVal&lt;&gt;"",_xlpm.MyAuditVal,_xlpm.MacVal&lt;&gt;"",_xlpm.MacVal,_xlpm.CSVVal&lt;&gt;"",_xlpm.CSVVal
)),"")</f>
        <v/>
      </c>
      <c r="I1343" s="40" t="str">
        <f>_xlfn.XLOOKUP(A1343,Output_Mac!A:A,Output_Mac!I:I,"")</f>
        <v/>
      </c>
      <c r="J1343" s="40" t="str" cm="1">
        <f t="array" ref="J1343">IFERROR(_xlfn.LET(
_xlpm.CSVVal,_xlfn.XLOOKUP($A1343,CSV!$A:$A,CSV!I:I,""),
_xlpm.MacVal,_xlfn.XLOOKUP($A1343,Output_Mac!$A:$A,Output_Mac!J:J,""),
_xlpm.MyAuditVal,_xlfn.XLOOKUP($A1343,My_Audit!$A:$A,My_Audit!I:I,""),
_xlfn.IFS(_xlpm.MyAuditVal&lt;&gt;"",UPPER(_xlpm.MyAuditVal),_xlpm.MacVal&lt;&gt;"",_xlpm.MacVal,_xlpm.CSVVal&lt;&gt;"",_xlpm.CSVVal
)),"")</f>
        <v/>
      </c>
      <c r="K1343" s="40" t="str" cm="1">
        <f t="array" ref="K1343">IFERROR(_xlfn.LET(
_xlpm.CSVVal,_xlfn.XLOOKUP($A1343,CSV!$A:$A,CSV!K:K,""),
_xlpm.MacVal,_xlfn.XLOOKUP($A1343,Output_Mac!$A:$A,Output_Mac!K:K,""),
_xlpm.MyAuditVal,_xlfn.XLOOKUP($A1343,My_Audit!$A:$A,My_Audit!J:J,""),
_xlfn.IFS(_xlpm.MyAuditVal&lt;&gt;"",UPPER(_xlpm.MyAuditVal),_xlpm.MacVal&lt;&gt;"",_xlpm.MacVal,_xlpm.CSVVal&lt;&gt;"",_xlpm.CSVVal
)),"")</f>
        <v/>
      </c>
      <c r="L1343" s="40" t="str" cm="1">
        <f t="array" ref="L1343">IFERROR(_xlfn.LET(
_xlpm.CSVVal,_xlfn.XLOOKUP($A1343,CSV!$A:$A,CSV!P:P,""),
_xlpm.MacVal,_xlfn.XLOOKUP($A1343,Output_Mac!$A:$A,Output_Mac!L:L,""),
_xlpm.MyAuditVal,_xlfn.XLOOKUP($A1343,My_Audit!$A:$A,My_Audit!K:K,""),
_xlfn.IFS(_xlpm.MyAuditVal&lt;&gt;"",UPPER(_xlpm.MyAuditVal),_xlpm.MacVal&lt;&gt;"",_xlpm.MacVal,_xlpm.CSVVal&lt;&gt;"",_xlpm.CSVVal
)),"")</f>
        <v/>
      </c>
      <c r="M1343" s="40" t="str" cm="1">
        <f t="array" ref="M1343">IFERROR(_xlfn.LET(
_xlpm.CSVVal,_xlfn.XLOOKUP($A1343,CSV!$A:$A,CSV!Q:Q,""),
_xlpm.MacVal,_xlfn.XLOOKUP($A1343,Output_Mac!$A:$A,Output_Mac!M:M,""),
_xlpm.MyAuditVal,_xlfn.XLOOKUP($A1343,My_Audit!$A:$A,My_Audit!L:L,""),
_xlfn.IFS(_xlpm.MyAuditVal&lt;&gt;"",UPPER(_xlpm.MyAuditVal),_xlpm.MacVal&lt;&gt;"",_xlpm.MacVal,_xlpm.CSVVal&lt;&gt;"",_xlpm.CSVVal
)),"")</f>
        <v/>
      </c>
      <c r="N1343" s="40"/>
      <c r="O1343" s="40" t="str">
        <f>_xlfn.LET(
    _xlpm.CSVVal, _xlfn.XLOOKUP($A1343, CSV!$A:$A, CSV!AA:AA, ""),
    _xlpm.MacVal, _xlfn.XLOOKUP($A1343, Output_Mac!$A:$A, Output_Mac!S:S, ""),
    _xlpm.MyAuditVal, _xlfn.XLOOKUP($A1343, My_Audit!$A:$A, My_Audit!P:P, ""),
    _xlfn.TEXTJOIN(", ", TRUE, _xlpm.MyAuditVal, _xlpm.MacVal, _xlpm.CSVVal)
)</f>
        <v/>
      </c>
      <c r="P1343" s="40" t="str" cm="1">
        <f t="array" ref="P1343">IFERROR(_xlfn.LET(
_xlpm.CSVVal,_xlfn.XLOOKUP($A1343,CSV!$A:$A,CSV!AB:AB,""),
_xlpm.MacVal,_xlfn.XLOOKUP($A1343,Output_Mac!$A:$A,Output_Mac!T:T,""),
_xlpm.MyAuditVal,_xlfn.XLOOKUP($A1343,My_Audit!$A:$A,My_Audit!Q:Q,""),
_xlfn.IFS(_xlpm.MyAuditVal&lt;&gt;"",UPPER(_xlpm.MyAuditVal),_xlpm.MacVal&lt;&gt;"",_xlpm.MacVal,_xlpm.CSVVal&lt;&gt;"",_xlpm.CSVVal
)),"No")</f>
        <v>No</v>
      </c>
      <c r="Q1343" s="40" t="str" cm="1">
        <f t="array" ref="Q1343">IFERROR(_xlfn.LET(
_xlpm.CSVVal,_xlfn.XLOOKUP($A1343,CSV!$A:$A,CSV!AC:AC,""),
_xlpm.MacVal,_xlfn.XLOOKUP($A1343,Output_Mac!$A:$A,Output_Mac!U:U,""),
_xlpm.MyAuditVal,_xlfn.XLOOKUP($A1343,My_Audit!$A:$A,My_Audit!R:R,""),
_xlfn.IFS(_xlpm.MyAuditVal&lt;&gt;"",UPPER(_xlpm.MyAuditVal),_xlpm.MacVal&lt;&gt;"",_xlpm.MacVal,_xlpm.CSVVal&lt;&gt;"",_xlpm.CSVVal
)),"")</f>
        <v/>
      </c>
      <c r="R1343" s="40"/>
      <c r="S1343" s="40"/>
      <c r="T1343" s="40"/>
      <c r="U1343" s="40"/>
      <c r="V1343" s="40"/>
      <c r="W1343" s="40"/>
      <c r="X1343" s="41" t="str">
        <f>_xlfn.LET(
    _xlpm.MacVal, _xlfn.XLOOKUP($A1343, Output_Mac!$A:$A, Output_Mac!AB:AB, ""),
    _xlpm.MyAuditVal, _xlfn.XLOOKUP($A1343, My_Audit!$A:$A, My_Audit!N:N, ""),
    _xlfn.TEXTJOIN(", ", TRUE, _xlpm.MyAuditVal, _xlpm.MacVal)
)</f>
        <v/>
      </c>
    </row>
    <row r="1344" spans="1:24">
      <c r="A1344" s="40" t="str">
        <f>_xlfn.TEXTJOIN("",TRUE,Input!$B$2,ROW(My_Audit!A1343))</f>
        <v>X1343</v>
      </c>
      <c r="B1344" s="40" t="str">
        <f>_xlfn.TEXTJOIN("-",TRUE,"ITD",Input!$A$2,A1344)</f>
        <v>ITD-X1343</v>
      </c>
      <c r="C1344" s="40" t="str" cm="1">
        <f t="array" ref="C1344">IFERROR(_xlfn.LET(
_xlpm.CSVVal,_xlfn.XLOOKUP($A1344,CSV!$A:$A,CSV!B:B,""),
_xlpm.MacVal,_xlfn.XLOOKUP($A1344,Output_Mac!$A:$A,Output_Mac!B:B,""),
_xlpm.MyAuditVal,_xlfn.XLOOKUP($A1344,My_Audit!$A:$A,My_Audit!B:B,""),
_xlfn.IFS(_xlpm.MyAuditVal&lt;&gt;"",UPPER(_xlpm.MyAuditVal),_xlpm.MacVal&lt;&gt;"",_xlpm.MacVal,_xlpm.CSVVal&lt;&gt;"",_xlpm.CSVVal
)),"")</f>
        <v/>
      </c>
      <c r="D1344" s="40" t="str" cm="1">
        <f t="array" ref="D1344">IFERROR(_xlfn.LET(
_xlpm.CSVVal,_xlfn.XLOOKUP($A1344,CSV!$A:$A,CSV!D:D,""),
_xlpm.MacVal,_xlfn.XLOOKUP($A1344,Output_Mac!$A:$A,Output_Mac!C:C,""),
_xlpm.MyAuditVal,_xlfn.XLOOKUP($A1344,My_Audit!$A:$A,My_Audit!C:C,""),
_xlfn.IFS(_xlpm.MyAuditVal&lt;&gt;"",_xlpm.MyAuditVal,_xlpm.MacVal&lt;&gt;"",_xlpm.MacVal,_xlpm.CSVVal&lt;&gt;"",_xlpm.CSVVal
)),"")</f>
        <v/>
      </c>
      <c r="E1344" s="40" t="str">
        <f>_xlfn.XLOOKUP(A1344,My_Audit!A:A,My_Audit!D:D,"")</f>
        <v/>
      </c>
      <c r="F1344" s="40" t="str" cm="1">
        <f t="array" ref="F1344">IFERROR(_xlfn.LET(
_xlpm.CSVVal,_xlfn.XLOOKUP($A1344,CSV!$A:$A,CSV!F:F,""),
_xlpm.MacVal,_xlfn.XLOOKUP($A1344,Output_Mac!$A:$A,Output_Mac!E:E,""),
_xlpm.MyAuditVal,_xlfn.XLOOKUP($A1344,My_Audit!$A:$A,My_Audit!E:E,""),
_xlfn.IFS(_xlpm.MyAuditVal&lt;&gt;"",_xlpm.MyAuditVal,_xlpm.MacVal&lt;&gt;"",_xlpm.MacVal,_xlpm.CSVVal&lt;&gt;"",_xlpm.CSVVal
)),"")</f>
        <v/>
      </c>
      <c r="G1344" s="40" t="str" cm="1">
        <f t="array" ref="G1344">IFERROR(_xlfn.LET(
_xlpm.CSVVal,_xlfn.XLOOKUP($A1344,CSV!$A:$A,CSV!G:G,""),
_xlpm.MacVal,_xlfn.XLOOKUP($A1344,Output_Mac!$A:$A,Output_Mac!F:F,""),
_xlpm.MyAuditVal,_xlfn.XLOOKUP($A1344,My_Audit!$A:$A,My_Audit!F:F,""),
_xlfn.IFS(_xlpm.MyAuditVal&lt;&gt;"",_xlpm.MyAuditVal,_xlpm.MacVal&lt;&gt;"",_xlpm.MacVal,_xlpm.CSVVal&lt;&gt;"",PROPER(_xlpm.CSVVal)
)),"")</f>
        <v/>
      </c>
      <c r="H1344" s="40" t="str" cm="1">
        <f t="array" ref="H1344">IFERROR(_xlfn.LET(
_xlpm.CSVVal,_xlfn.XLOOKUP($A1344,CSV!$A:$A,CSV!H:H,""),
_xlpm.MacVal,_xlfn.XLOOKUP($A1344,Output_Mac!$A:$A,Output_Mac!H:H,""),
_xlpm.MyAuditVal,_xlfn.XLOOKUP($A1344,My_Audit!$A:$A,My_Audit!G:G,""),
_xlfn.IFS(_xlpm.MyAuditVal&lt;&gt;"",_xlpm.MyAuditVal,_xlpm.MacVal&lt;&gt;"",_xlpm.MacVal,_xlpm.CSVVal&lt;&gt;"",_xlpm.CSVVal
)),"")</f>
        <v/>
      </c>
      <c r="I1344" s="40" t="str">
        <f>_xlfn.XLOOKUP(A1344,Output_Mac!A:A,Output_Mac!I:I,"")</f>
        <v/>
      </c>
      <c r="J1344" s="40" t="str" cm="1">
        <f t="array" ref="J1344">IFERROR(_xlfn.LET(
_xlpm.CSVVal,_xlfn.XLOOKUP($A1344,CSV!$A:$A,CSV!I:I,""),
_xlpm.MacVal,_xlfn.XLOOKUP($A1344,Output_Mac!$A:$A,Output_Mac!J:J,""),
_xlpm.MyAuditVal,_xlfn.XLOOKUP($A1344,My_Audit!$A:$A,My_Audit!I:I,""),
_xlfn.IFS(_xlpm.MyAuditVal&lt;&gt;"",UPPER(_xlpm.MyAuditVal),_xlpm.MacVal&lt;&gt;"",_xlpm.MacVal,_xlpm.CSVVal&lt;&gt;"",_xlpm.CSVVal
)),"")</f>
        <v/>
      </c>
      <c r="K1344" s="40" t="str" cm="1">
        <f t="array" ref="K1344">IFERROR(_xlfn.LET(
_xlpm.CSVVal,_xlfn.XLOOKUP($A1344,CSV!$A:$A,CSV!K:K,""),
_xlpm.MacVal,_xlfn.XLOOKUP($A1344,Output_Mac!$A:$A,Output_Mac!K:K,""),
_xlpm.MyAuditVal,_xlfn.XLOOKUP($A1344,My_Audit!$A:$A,My_Audit!J:J,""),
_xlfn.IFS(_xlpm.MyAuditVal&lt;&gt;"",UPPER(_xlpm.MyAuditVal),_xlpm.MacVal&lt;&gt;"",_xlpm.MacVal,_xlpm.CSVVal&lt;&gt;"",_xlpm.CSVVal
)),"")</f>
        <v/>
      </c>
      <c r="L1344" s="40" t="str" cm="1">
        <f t="array" ref="L1344">IFERROR(_xlfn.LET(
_xlpm.CSVVal,_xlfn.XLOOKUP($A1344,CSV!$A:$A,CSV!P:P,""),
_xlpm.MacVal,_xlfn.XLOOKUP($A1344,Output_Mac!$A:$A,Output_Mac!L:L,""),
_xlpm.MyAuditVal,_xlfn.XLOOKUP($A1344,My_Audit!$A:$A,My_Audit!K:K,""),
_xlfn.IFS(_xlpm.MyAuditVal&lt;&gt;"",UPPER(_xlpm.MyAuditVal),_xlpm.MacVal&lt;&gt;"",_xlpm.MacVal,_xlpm.CSVVal&lt;&gt;"",_xlpm.CSVVal
)),"")</f>
        <v/>
      </c>
      <c r="M1344" s="40" t="str" cm="1">
        <f t="array" ref="M1344">IFERROR(_xlfn.LET(
_xlpm.CSVVal,_xlfn.XLOOKUP($A1344,CSV!$A:$A,CSV!Q:Q,""),
_xlpm.MacVal,_xlfn.XLOOKUP($A1344,Output_Mac!$A:$A,Output_Mac!M:M,""),
_xlpm.MyAuditVal,_xlfn.XLOOKUP($A1344,My_Audit!$A:$A,My_Audit!L:L,""),
_xlfn.IFS(_xlpm.MyAuditVal&lt;&gt;"",UPPER(_xlpm.MyAuditVal),_xlpm.MacVal&lt;&gt;"",_xlpm.MacVal,_xlpm.CSVVal&lt;&gt;"",_xlpm.CSVVal
)),"")</f>
        <v/>
      </c>
      <c r="N1344" s="40"/>
      <c r="O1344" s="40" t="str">
        <f>_xlfn.LET(
    _xlpm.CSVVal, _xlfn.XLOOKUP($A1344, CSV!$A:$A, CSV!AA:AA, ""),
    _xlpm.MacVal, _xlfn.XLOOKUP($A1344, Output_Mac!$A:$A, Output_Mac!S:S, ""),
    _xlpm.MyAuditVal, _xlfn.XLOOKUP($A1344, My_Audit!$A:$A, My_Audit!P:P, ""),
    _xlfn.TEXTJOIN(", ", TRUE, _xlpm.MyAuditVal, _xlpm.MacVal, _xlpm.CSVVal)
)</f>
        <v/>
      </c>
      <c r="P1344" s="40" t="str" cm="1">
        <f t="array" ref="P1344">IFERROR(_xlfn.LET(
_xlpm.CSVVal,_xlfn.XLOOKUP($A1344,CSV!$A:$A,CSV!AB:AB,""),
_xlpm.MacVal,_xlfn.XLOOKUP($A1344,Output_Mac!$A:$A,Output_Mac!T:T,""),
_xlpm.MyAuditVal,_xlfn.XLOOKUP($A1344,My_Audit!$A:$A,My_Audit!Q:Q,""),
_xlfn.IFS(_xlpm.MyAuditVal&lt;&gt;"",UPPER(_xlpm.MyAuditVal),_xlpm.MacVal&lt;&gt;"",_xlpm.MacVal,_xlpm.CSVVal&lt;&gt;"",_xlpm.CSVVal
)),"No")</f>
        <v>No</v>
      </c>
      <c r="Q1344" s="40" t="str" cm="1">
        <f t="array" ref="Q1344">IFERROR(_xlfn.LET(
_xlpm.CSVVal,_xlfn.XLOOKUP($A1344,CSV!$A:$A,CSV!AC:AC,""),
_xlpm.MacVal,_xlfn.XLOOKUP($A1344,Output_Mac!$A:$A,Output_Mac!U:U,""),
_xlpm.MyAuditVal,_xlfn.XLOOKUP($A1344,My_Audit!$A:$A,My_Audit!R:R,""),
_xlfn.IFS(_xlpm.MyAuditVal&lt;&gt;"",UPPER(_xlpm.MyAuditVal),_xlpm.MacVal&lt;&gt;"",_xlpm.MacVal,_xlpm.CSVVal&lt;&gt;"",_xlpm.CSVVal
)),"")</f>
        <v/>
      </c>
      <c r="R1344" s="40"/>
      <c r="S1344" s="40"/>
      <c r="T1344" s="40"/>
      <c r="U1344" s="40"/>
      <c r="V1344" s="40"/>
      <c r="W1344" s="40"/>
      <c r="X1344" s="41" t="str">
        <f>_xlfn.LET(
    _xlpm.MacVal, _xlfn.XLOOKUP($A1344, Output_Mac!$A:$A, Output_Mac!AB:AB, ""),
    _xlpm.MyAuditVal, _xlfn.XLOOKUP($A1344, My_Audit!$A:$A, My_Audit!N:N, ""),
    _xlfn.TEXTJOIN(", ", TRUE, _xlpm.MyAuditVal, _xlpm.MacVal)
)</f>
        <v/>
      </c>
    </row>
    <row r="1345" spans="1:24">
      <c r="A1345" s="40" t="str">
        <f>_xlfn.TEXTJOIN("",TRUE,Input!$B$2,ROW(My_Audit!A1344))</f>
        <v>X1344</v>
      </c>
      <c r="B1345" s="40" t="str">
        <f>_xlfn.TEXTJOIN("-",TRUE,"ITD",Input!$A$2,A1345)</f>
        <v>ITD-X1344</v>
      </c>
      <c r="C1345" s="40" t="str" cm="1">
        <f t="array" ref="C1345">IFERROR(_xlfn.LET(
_xlpm.CSVVal,_xlfn.XLOOKUP($A1345,CSV!$A:$A,CSV!B:B,""),
_xlpm.MacVal,_xlfn.XLOOKUP($A1345,Output_Mac!$A:$A,Output_Mac!B:B,""),
_xlpm.MyAuditVal,_xlfn.XLOOKUP($A1345,My_Audit!$A:$A,My_Audit!B:B,""),
_xlfn.IFS(_xlpm.MyAuditVal&lt;&gt;"",UPPER(_xlpm.MyAuditVal),_xlpm.MacVal&lt;&gt;"",_xlpm.MacVal,_xlpm.CSVVal&lt;&gt;"",_xlpm.CSVVal
)),"")</f>
        <v/>
      </c>
      <c r="D1345" s="40" t="str" cm="1">
        <f t="array" ref="D1345">IFERROR(_xlfn.LET(
_xlpm.CSVVal,_xlfn.XLOOKUP($A1345,CSV!$A:$A,CSV!D:D,""),
_xlpm.MacVal,_xlfn.XLOOKUP($A1345,Output_Mac!$A:$A,Output_Mac!C:C,""),
_xlpm.MyAuditVal,_xlfn.XLOOKUP($A1345,My_Audit!$A:$A,My_Audit!C:C,""),
_xlfn.IFS(_xlpm.MyAuditVal&lt;&gt;"",_xlpm.MyAuditVal,_xlpm.MacVal&lt;&gt;"",_xlpm.MacVal,_xlpm.CSVVal&lt;&gt;"",_xlpm.CSVVal
)),"")</f>
        <v/>
      </c>
      <c r="E1345" s="40" t="str">
        <f>_xlfn.XLOOKUP(A1345,My_Audit!A:A,My_Audit!D:D,"")</f>
        <v/>
      </c>
      <c r="F1345" s="40" t="str" cm="1">
        <f t="array" ref="F1345">IFERROR(_xlfn.LET(
_xlpm.CSVVal,_xlfn.XLOOKUP($A1345,CSV!$A:$A,CSV!F:F,""),
_xlpm.MacVal,_xlfn.XLOOKUP($A1345,Output_Mac!$A:$A,Output_Mac!E:E,""),
_xlpm.MyAuditVal,_xlfn.XLOOKUP($A1345,My_Audit!$A:$A,My_Audit!E:E,""),
_xlfn.IFS(_xlpm.MyAuditVal&lt;&gt;"",_xlpm.MyAuditVal,_xlpm.MacVal&lt;&gt;"",_xlpm.MacVal,_xlpm.CSVVal&lt;&gt;"",_xlpm.CSVVal
)),"")</f>
        <v/>
      </c>
      <c r="G1345" s="40" t="str" cm="1">
        <f t="array" ref="G1345">IFERROR(_xlfn.LET(
_xlpm.CSVVal,_xlfn.XLOOKUP($A1345,CSV!$A:$A,CSV!G:G,""),
_xlpm.MacVal,_xlfn.XLOOKUP($A1345,Output_Mac!$A:$A,Output_Mac!F:F,""),
_xlpm.MyAuditVal,_xlfn.XLOOKUP($A1345,My_Audit!$A:$A,My_Audit!F:F,""),
_xlfn.IFS(_xlpm.MyAuditVal&lt;&gt;"",_xlpm.MyAuditVal,_xlpm.MacVal&lt;&gt;"",_xlpm.MacVal,_xlpm.CSVVal&lt;&gt;"",PROPER(_xlpm.CSVVal)
)),"")</f>
        <v/>
      </c>
      <c r="H1345" s="40" t="str" cm="1">
        <f t="array" ref="H1345">IFERROR(_xlfn.LET(
_xlpm.CSVVal,_xlfn.XLOOKUP($A1345,CSV!$A:$A,CSV!H:H,""),
_xlpm.MacVal,_xlfn.XLOOKUP($A1345,Output_Mac!$A:$A,Output_Mac!H:H,""),
_xlpm.MyAuditVal,_xlfn.XLOOKUP($A1345,My_Audit!$A:$A,My_Audit!G:G,""),
_xlfn.IFS(_xlpm.MyAuditVal&lt;&gt;"",_xlpm.MyAuditVal,_xlpm.MacVal&lt;&gt;"",_xlpm.MacVal,_xlpm.CSVVal&lt;&gt;"",_xlpm.CSVVal
)),"")</f>
        <v/>
      </c>
      <c r="I1345" s="40" t="str">
        <f>_xlfn.XLOOKUP(A1345,Output_Mac!A:A,Output_Mac!I:I,"")</f>
        <v/>
      </c>
      <c r="J1345" s="40" t="str" cm="1">
        <f t="array" ref="J1345">IFERROR(_xlfn.LET(
_xlpm.CSVVal,_xlfn.XLOOKUP($A1345,CSV!$A:$A,CSV!I:I,""),
_xlpm.MacVal,_xlfn.XLOOKUP($A1345,Output_Mac!$A:$A,Output_Mac!J:J,""),
_xlpm.MyAuditVal,_xlfn.XLOOKUP($A1345,My_Audit!$A:$A,My_Audit!I:I,""),
_xlfn.IFS(_xlpm.MyAuditVal&lt;&gt;"",UPPER(_xlpm.MyAuditVal),_xlpm.MacVal&lt;&gt;"",_xlpm.MacVal,_xlpm.CSVVal&lt;&gt;"",_xlpm.CSVVal
)),"")</f>
        <v/>
      </c>
      <c r="K1345" s="40" t="str" cm="1">
        <f t="array" ref="K1345">IFERROR(_xlfn.LET(
_xlpm.CSVVal,_xlfn.XLOOKUP($A1345,CSV!$A:$A,CSV!K:K,""),
_xlpm.MacVal,_xlfn.XLOOKUP($A1345,Output_Mac!$A:$A,Output_Mac!K:K,""),
_xlpm.MyAuditVal,_xlfn.XLOOKUP($A1345,My_Audit!$A:$A,My_Audit!J:J,""),
_xlfn.IFS(_xlpm.MyAuditVal&lt;&gt;"",UPPER(_xlpm.MyAuditVal),_xlpm.MacVal&lt;&gt;"",_xlpm.MacVal,_xlpm.CSVVal&lt;&gt;"",_xlpm.CSVVal
)),"")</f>
        <v/>
      </c>
      <c r="L1345" s="40" t="str" cm="1">
        <f t="array" ref="L1345">IFERROR(_xlfn.LET(
_xlpm.CSVVal,_xlfn.XLOOKUP($A1345,CSV!$A:$A,CSV!P:P,""),
_xlpm.MacVal,_xlfn.XLOOKUP($A1345,Output_Mac!$A:$A,Output_Mac!L:L,""),
_xlpm.MyAuditVal,_xlfn.XLOOKUP($A1345,My_Audit!$A:$A,My_Audit!K:K,""),
_xlfn.IFS(_xlpm.MyAuditVal&lt;&gt;"",UPPER(_xlpm.MyAuditVal),_xlpm.MacVal&lt;&gt;"",_xlpm.MacVal,_xlpm.CSVVal&lt;&gt;"",_xlpm.CSVVal
)),"")</f>
        <v/>
      </c>
      <c r="M1345" s="40" t="str" cm="1">
        <f t="array" ref="M1345">IFERROR(_xlfn.LET(
_xlpm.CSVVal,_xlfn.XLOOKUP($A1345,CSV!$A:$A,CSV!Q:Q,""),
_xlpm.MacVal,_xlfn.XLOOKUP($A1345,Output_Mac!$A:$A,Output_Mac!M:M,""),
_xlpm.MyAuditVal,_xlfn.XLOOKUP($A1345,My_Audit!$A:$A,My_Audit!L:L,""),
_xlfn.IFS(_xlpm.MyAuditVal&lt;&gt;"",UPPER(_xlpm.MyAuditVal),_xlpm.MacVal&lt;&gt;"",_xlpm.MacVal,_xlpm.CSVVal&lt;&gt;"",_xlpm.CSVVal
)),"")</f>
        <v/>
      </c>
      <c r="N1345" s="40"/>
      <c r="O1345" s="40" t="str">
        <f>_xlfn.LET(
    _xlpm.CSVVal, _xlfn.XLOOKUP($A1345, CSV!$A:$A, CSV!AA:AA, ""),
    _xlpm.MacVal, _xlfn.XLOOKUP($A1345, Output_Mac!$A:$A, Output_Mac!S:S, ""),
    _xlpm.MyAuditVal, _xlfn.XLOOKUP($A1345, My_Audit!$A:$A, My_Audit!P:P, ""),
    _xlfn.TEXTJOIN(", ", TRUE, _xlpm.MyAuditVal, _xlpm.MacVal, _xlpm.CSVVal)
)</f>
        <v/>
      </c>
      <c r="P1345" s="40" t="str" cm="1">
        <f t="array" ref="P1345">IFERROR(_xlfn.LET(
_xlpm.CSVVal,_xlfn.XLOOKUP($A1345,CSV!$A:$A,CSV!AB:AB,""),
_xlpm.MacVal,_xlfn.XLOOKUP($A1345,Output_Mac!$A:$A,Output_Mac!T:T,""),
_xlpm.MyAuditVal,_xlfn.XLOOKUP($A1345,My_Audit!$A:$A,My_Audit!Q:Q,""),
_xlfn.IFS(_xlpm.MyAuditVal&lt;&gt;"",UPPER(_xlpm.MyAuditVal),_xlpm.MacVal&lt;&gt;"",_xlpm.MacVal,_xlpm.CSVVal&lt;&gt;"",_xlpm.CSVVal
)),"No")</f>
        <v>No</v>
      </c>
      <c r="Q1345" s="40" t="str" cm="1">
        <f t="array" ref="Q1345">IFERROR(_xlfn.LET(
_xlpm.CSVVal,_xlfn.XLOOKUP($A1345,CSV!$A:$A,CSV!AC:AC,""),
_xlpm.MacVal,_xlfn.XLOOKUP($A1345,Output_Mac!$A:$A,Output_Mac!U:U,""),
_xlpm.MyAuditVal,_xlfn.XLOOKUP($A1345,My_Audit!$A:$A,My_Audit!R:R,""),
_xlfn.IFS(_xlpm.MyAuditVal&lt;&gt;"",UPPER(_xlpm.MyAuditVal),_xlpm.MacVal&lt;&gt;"",_xlpm.MacVal,_xlpm.CSVVal&lt;&gt;"",_xlpm.CSVVal
)),"")</f>
        <v/>
      </c>
      <c r="R1345" s="40"/>
      <c r="S1345" s="40"/>
      <c r="T1345" s="40"/>
      <c r="U1345" s="40"/>
      <c r="V1345" s="40"/>
      <c r="W1345" s="40"/>
      <c r="X1345" s="41" t="str">
        <f>_xlfn.LET(
    _xlpm.MacVal, _xlfn.XLOOKUP($A1345, Output_Mac!$A:$A, Output_Mac!AB:AB, ""),
    _xlpm.MyAuditVal, _xlfn.XLOOKUP($A1345, My_Audit!$A:$A, My_Audit!N:N, ""),
    _xlfn.TEXTJOIN(", ", TRUE, _xlpm.MyAuditVal, _xlpm.MacVal)
)</f>
        <v/>
      </c>
    </row>
    <row r="1346" spans="1:24">
      <c r="A1346" s="40" t="str">
        <f>_xlfn.TEXTJOIN("",TRUE,Input!$B$2,ROW(My_Audit!A1345))</f>
        <v>X1345</v>
      </c>
      <c r="B1346" s="40" t="str">
        <f>_xlfn.TEXTJOIN("-",TRUE,"ITD",Input!$A$2,A1346)</f>
        <v>ITD-X1345</v>
      </c>
      <c r="C1346" s="40" t="str" cm="1">
        <f t="array" ref="C1346">IFERROR(_xlfn.LET(
_xlpm.CSVVal,_xlfn.XLOOKUP($A1346,CSV!$A:$A,CSV!B:B,""),
_xlpm.MacVal,_xlfn.XLOOKUP($A1346,Output_Mac!$A:$A,Output_Mac!B:B,""),
_xlpm.MyAuditVal,_xlfn.XLOOKUP($A1346,My_Audit!$A:$A,My_Audit!B:B,""),
_xlfn.IFS(_xlpm.MyAuditVal&lt;&gt;"",UPPER(_xlpm.MyAuditVal),_xlpm.MacVal&lt;&gt;"",_xlpm.MacVal,_xlpm.CSVVal&lt;&gt;"",_xlpm.CSVVal
)),"")</f>
        <v/>
      </c>
      <c r="D1346" s="40" t="str" cm="1">
        <f t="array" ref="D1346">IFERROR(_xlfn.LET(
_xlpm.CSVVal,_xlfn.XLOOKUP($A1346,CSV!$A:$A,CSV!D:D,""),
_xlpm.MacVal,_xlfn.XLOOKUP($A1346,Output_Mac!$A:$A,Output_Mac!C:C,""),
_xlpm.MyAuditVal,_xlfn.XLOOKUP($A1346,My_Audit!$A:$A,My_Audit!C:C,""),
_xlfn.IFS(_xlpm.MyAuditVal&lt;&gt;"",_xlpm.MyAuditVal,_xlpm.MacVal&lt;&gt;"",_xlpm.MacVal,_xlpm.CSVVal&lt;&gt;"",_xlpm.CSVVal
)),"")</f>
        <v/>
      </c>
      <c r="E1346" s="40" t="str">
        <f>_xlfn.XLOOKUP(A1346,My_Audit!A:A,My_Audit!D:D,"")</f>
        <v/>
      </c>
      <c r="F1346" s="40" t="str" cm="1">
        <f t="array" ref="F1346">IFERROR(_xlfn.LET(
_xlpm.CSVVal,_xlfn.XLOOKUP($A1346,CSV!$A:$A,CSV!F:F,""),
_xlpm.MacVal,_xlfn.XLOOKUP($A1346,Output_Mac!$A:$A,Output_Mac!E:E,""),
_xlpm.MyAuditVal,_xlfn.XLOOKUP($A1346,My_Audit!$A:$A,My_Audit!E:E,""),
_xlfn.IFS(_xlpm.MyAuditVal&lt;&gt;"",_xlpm.MyAuditVal,_xlpm.MacVal&lt;&gt;"",_xlpm.MacVal,_xlpm.CSVVal&lt;&gt;"",_xlpm.CSVVal
)),"")</f>
        <v/>
      </c>
      <c r="G1346" s="40" t="str" cm="1">
        <f t="array" ref="G1346">IFERROR(_xlfn.LET(
_xlpm.CSVVal,_xlfn.XLOOKUP($A1346,CSV!$A:$A,CSV!G:G,""),
_xlpm.MacVal,_xlfn.XLOOKUP($A1346,Output_Mac!$A:$A,Output_Mac!F:F,""),
_xlpm.MyAuditVal,_xlfn.XLOOKUP($A1346,My_Audit!$A:$A,My_Audit!F:F,""),
_xlfn.IFS(_xlpm.MyAuditVal&lt;&gt;"",_xlpm.MyAuditVal,_xlpm.MacVal&lt;&gt;"",_xlpm.MacVal,_xlpm.CSVVal&lt;&gt;"",PROPER(_xlpm.CSVVal)
)),"")</f>
        <v/>
      </c>
      <c r="H1346" s="40" t="str" cm="1">
        <f t="array" ref="H1346">IFERROR(_xlfn.LET(
_xlpm.CSVVal,_xlfn.XLOOKUP($A1346,CSV!$A:$A,CSV!H:H,""),
_xlpm.MacVal,_xlfn.XLOOKUP($A1346,Output_Mac!$A:$A,Output_Mac!H:H,""),
_xlpm.MyAuditVal,_xlfn.XLOOKUP($A1346,My_Audit!$A:$A,My_Audit!G:G,""),
_xlfn.IFS(_xlpm.MyAuditVal&lt;&gt;"",_xlpm.MyAuditVal,_xlpm.MacVal&lt;&gt;"",_xlpm.MacVal,_xlpm.CSVVal&lt;&gt;"",_xlpm.CSVVal
)),"")</f>
        <v/>
      </c>
      <c r="I1346" s="40" t="str">
        <f>_xlfn.XLOOKUP(A1346,Output_Mac!A:A,Output_Mac!I:I,"")</f>
        <v/>
      </c>
      <c r="J1346" s="40" t="str" cm="1">
        <f t="array" ref="J1346">IFERROR(_xlfn.LET(
_xlpm.CSVVal,_xlfn.XLOOKUP($A1346,CSV!$A:$A,CSV!I:I,""),
_xlpm.MacVal,_xlfn.XLOOKUP($A1346,Output_Mac!$A:$A,Output_Mac!J:J,""),
_xlpm.MyAuditVal,_xlfn.XLOOKUP($A1346,My_Audit!$A:$A,My_Audit!I:I,""),
_xlfn.IFS(_xlpm.MyAuditVal&lt;&gt;"",UPPER(_xlpm.MyAuditVal),_xlpm.MacVal&lt;&gt;"",_xlpm.MacVal,_xlpm.CSVVal&lt;&gt;"",_xlpm.CSVVal
)),"")</f>
        <v/>
      </c>
      <c r="K1346" s="40" t="str" cm="1">
        <f t="array" ref="K1346">IFERROR(_xlfn.LET(
_xlpm.CSVVal,_xlfn.XLOOKUP($A1346,CSV!$A:$A,CSV!K:K,""),
_xlpm.MacVal,_xlfn.XLOOKUP($A1346,Output_Mac!$A:$A,Output_Mac!K:K,""),
_xlpm.MyAuditVal,_xlfn.XLOOKUP($A1346,My_Audit!$A:$A,My_Audit!J:J,""),
_xlfn.IFS(_xlpm.MyAuditVal&lt;&gt;"",UPPER(_xlpm.MyAuditVal),_xlpm.MacVal&lt;&gt;"",_xlpm.MacVal,_xlpm.CSVVal&lt;&gt;"",_xlpm.CSVVal
)),"")</f>
        <v/>
      </c>
      <c r="L1346" s="40" t="str" cm="1">
        <f t="array" ref="L1346">IFERROR(_xlfn.LET(
_xlpm.CSVVal,_xlfn.XLOOKUP($A1346,CSV!$A:$A,CSV!P:P,""),
_xlpm.MacVal,_xlfn.XLOOKUP($A1346,Output_Mac!$A:$A,Output_Mac!L:L,""),
_xlpm.MyAuditVal,_xlfn.XLOOKUP($A1346,My_Audit!$A:$A,My_Audit!K:K,""),
_xlfn.IFS(_xlpm.MyAuditVal&lt;&gt;"",UPPER(_xlpm.MyAuditVal),_xlpm.MacVal&lt;&gt;"",_xlpm.MacVal,_xlpm.CSVVal&lt;&gt;"",_xlpm.CSVVal
)),"")</f>
        <v/>
      </c>
      <c r="M1346" s="40" t="str" cm="1">
        <f t="array" ref="M1346">IFERROR(_xlfn.LET(
_xlpm.CSVVal,_xlfn.XLOOKUP($A1346,CSV!$A:$A,CSV!Q:Q,""),
_xlpm.MacVal,_xlfn.XLOOKUP($A1346,Output_Mac!$A:$A,Output_Mac!M:M,""),
_xlpm.MyAuditVal,_xlfn.XLOOKUP($A1346,My_Audit!$A:$A,My_Audit!L:L,""),
_xlfn.IFS(_xlpm.MyAuditVal&lt;&gt;"",UPPER(_xlpm.MyAuditVal),_xlpm.MacVal&lt;&gt;"",_xlpm.MacVal,_xlpm.CSVVal&lt;&gt;"",_xlpm.CSVVal
)),"")</f>
        <v/>
      </c>
      <c r="N1346" s="40"/>
      <c r="O1346" s="40" t="str">
        <f>_xlfn.LET(
    _xlpm.CSVVal, _xlfn.XLOOKUP($A1346, CSV!$A:$A, CSV!AA:AA, ""),
    _xlpm.MacVal, _xlfn.XLOOKUP($A1346, Output_Mac!$A:$A, Output_Mac!S:S, ""),
    _xlpm.MyAuditVal, _xlfn.XLOOKUP($A1346, My_Audit!$A:$A, My_Audit!P:P, ""),
    _xlfn.TEXTJOIN(", ", TRUE, _xlpm.MyAuditVal, _xlpm.MacVal, _xlpm.CSVVal)
)</f>
        <v/>
      </c>
      <c r="P1346" s="40" t="str" cm="1">
        <f t="array" ref="P1346">IFERROR(_xlfn.LET(
_xlpm.CSVVal,_xlfn.XLOOKUP($A1346,CSV!$A:$A,CSV!AB:AB,""),
_xlpm.MacVal,_xlfn.XLOOKUP($A1346,Output_Mac!$A:$A,Output_Mac!T:T,""),
_xlpm.MyAuditVal,_xlfn.XLOOKUP($A1346,My_Audit!$A:$A,My_Audit!Q:Q,""),
_xlfn.IFS(_xlpm.MyAuditVal&lt;&gt;"",UPPER(_xlpm.MyAuditVal),_xlpm.MacVal&lt;&gt;"",_xlpm.MacVal,_xlpm.CSVVal&lt;&gt;"",_xlpm.CSVVal
)),"No")</f>
        <v>No</v>
      </c>
      <c r="Q1346" s="40" t="str" cm="1">
        <f t="array" ref="Q1346">IFERROR(_xlfn.LET(
_xlpm.CSVVal,_xlfn.XLOOKUP($A1346,CSV!$A:$A,CSV!AC:AC,""),
_xlpm.MacVal,_xlfn.XLOOKUP($A1346,Output_Mac!$A:$A,Output_Mac!U:U,""),
_xlpm.MyAuditVal,_xlfn.XLOOKUP($A1346,My_Audit!$A:$A,My_Audit!R:R,""),
_xlfn.IFS(_xlpm.MyAuditVal&lt;&gt;"",UPPER(_xlpm.MyAuditVal),_xlpm.MacVal&lt;&gt;"",_xlpm.MacVal,_xlpm.CSVVal&lt;&gt;"",_xlpm.CSVVal
)),"")</f>
        <v/>
      </c>
      <c r="R1346" s="40"/>
      <c r="S1346" s="40"/>
      <c r="T1346" s="40"/>
      <c r="U1346" s="40"/>
      <c r="V1346" s="40"/>
      <c r="W1346" s="40"/>
      <c r="X1346" s="41" t="str">
        <f>_xlfn.LET(
    _xlpm.MacVal, _xlfn.XLOOKUP($A1346, Output_Mac!$A:$A, Output_Mac!AB:AB, ""),
    _xlpm.MyAuditVal, _xlfn.XLOOKUP($A1346, My_Audit!$A:$A, My_Audit!N:N, ""),
    _xlfn.TEXTJOIN(", ", TRUE, _xlpm.MyAuditVal, _xlpm.MacVal)
)</f>
        <v/>
      </c>
    </row>
    <row r="1347" spans="1:24">
      <c r="A1347" s="40" t="str">
        <f>_xlfn.TEXTJOIN("",TRUE,Input!$B$2,ROW(My_Audit!A1346))</f>
        <v>X1346</v>
      </c>
      <c r="B1347" s="40" t="str">
        <f>_xlfn.TEXTJOIN("-",TRUE,"ITD",Input!$A$2,A1347)</f>
        <v>ITD-X1346</v>
      </c>
      <c r="C1347" s="40" t="str" cm="1">
        <f t="array" ref="C1347">IFERROR(_xlfn.LET(
_xlpm.CSVVal,_xlfn.XLOOKUP($A1347,CSV!$A:$A,CSV!B:B,""),
_xlpm.MacVal,_xlfn.XLOOKUP($A1347,Output_Mac!$A:$A,Output_Mac!B:B,""),
_xlpm.MyAuditVal,_xlfn.XLOOKUP($A1347,My_Audit!$A:$A,My_Audit!B:B,""),
_xlfn.IFS(_xlpm.MyAuditVal&lt;&gt;"",UPPER(_xlpm.MyAuditVal),_xlpm.MacVal&lt;&gt;"",_xlpm.MacVal,_xlpm.CSVVal&lt;&gt;"",_xlpm.CSVVal
)),"")</f>
        <v/>
      </c>
      <c r="D1347" s="40" t="str" cm="1">
        <f t="array" ref="D1347">IFERROR(_xlfn.LET(
_xlpm.CSVVal,_xlfn.XLOOKUP($A1347,CSV!$A:$A,CSV!D:D,""),
_xlpm.MacVal,_xlfn.XLOOKUP($A1347,Output_Mac!$A:$A,Output_Mac!C:C,""),
_xlpm.MyAuditVal,_xlfn.XLOOKUP($A1347,My_Audit!$A:$A,My_Audit!C:C,""),
_xlfn.IFS(_xlpm.MyAuditVal&lt;&gt;"",_xlpm.MyAuditVal,_xlpm.MacVal&lt;&gt;"",_xlpm.MacVal,_xlpm.CSVVal&lt;&gt;"",_xlpm.CSVVal
)),"")</f>
        <v/>
      </c>
      <c r="E1347" s="40" t="str">
        <f>_xlfn.XLOOKUP(A1347,My_Audit!A:A,My_Audit!D:D,"")</f>
        <v/>
      </c>
      <c r="F1347" s="40" t="str" cm="1">
        <f t="array" ref="F1347">IFERROR(_xlfn.LET(
_xlpm.CSVVal,_xlfn.XLOOKUP($A1347,CSV!$A:$A,CSV!F:F,""),
_xlpm.MacVal,_xlfn.XLOOKUP($A1347,Output_Mac!$A:$A,Output_Mac!E:E,""),
_xlpm.MyAuditVal,_xlfn.XLOOKUP($A1347,My_Audit!$A:$A,My_Audit!E:E,""),
_xlfn.IFS(_xlpm.MyAuditVal&lt;&gt;"",_xlpm.MyAuditVal,_xlpm.MacVal&lt;&gt;"",_xlpm.MacVal,_xlpm.CSVVal&lt;&gt;"",_xlpm.CSVVal
)),"")</f>
        <v/>
      </c>
      <c r="G1347" s="40" t="str" cm="1">
        <f t="array" ref="G1347">IFERROR(_xlfn.LET(
_xlpm.CSVVal,_xlfn.XLOOKUP($A1347,CSV!$A:$A,CSV!G:G,""),
_xlpm.MacVal,_xlfn.XLOOKUP($A1347,Output_Mac!$A:$A,Output_Mac!F:F,""),
_xlpm.MyAuditVal,_xlfn.XLOOKUP($A1347,My_Audit!$A:$A,My_Audit!F:F,""),
_xlfn.IFS(_xlpm.MyAuditVal&lt;&gt;"",_xlpm.MyAuditVal,_xlpm.MacVal&lt;&gt;"",_xlpm.MacVal,_xlpm.CSVVal&lt;&gt;"",PROPER(_xlpm.CSVVal)
)),"")</f>
        <v/>
      </c>
      <c r="H1347" s="40" t="str" cm="1">
        <f t="array" ref="H1347">IFERROR(_xlfn.LET(
_xlpm.CSVVal,_xlfn.XLOOKUP($A1347,CSV!$A:$A,CSV!H:H,""),
_xlpm.MacVal,_xlfn.XLOOKUP($A1347,Output_Mac!$A:$A,Output_Mac!H:H,""),
_xlpm.MyAuditVal,_xlfn.XLOOKUP($A1347,My_Audit!$A:$A,My_Audit!G:G,""),
_xlfn.IFS(_xlpm.MyAuditVal&lt;&gt;"",_xlpm.MyAuditVal,_xlpm.MacVal&lt;&gt;"",_xlpm.MacVal,_xlpm.CSVVal&lt;&gt;"",_xlpm.CSVVal
)),"")</f>
        <v/>
      </c>
      <c r="I1347" s="40" t="str">
        <f>_xlfn.XLOOKUP(A1347,Output_Mac!A:A,Output_Mac!I:I,"")</f>
        <v/>
      </c>
      <c r="J1347" s="40" t="str" cm="1">
        <f t="array" ref="J1347">IFERROR(_xlfn.LET(
_xlpm.CSVVal,_xlfn.XLOOKUP($A1347,CSV!$A:$A,CSV!I:I,""),
_xlpm.MacVal,_xlfn.XLOOKUP($A1347,Output_Mac!$A:$A,Output_Mac!J:J,""),
_xlpm.MyAuditVal,_xlfn.XLOOKUP($A1347,My_Audit!$A:$A,My_Audit!I:I,""),
_xlfn.IFS(_xlpm.MyAuditVal&lt;&gt;"",UPPER(_xlpm.MyAuditVal),_xlpm.MacVal&lt;&gt;"",_xlpm.MacVal,_xlpm.CSVVal&lt;&gt;"",_xlpm.CSVVal
)),"")</f>
        <v/>
      </c>
      <c r="K1347" s="40" t="str" cm="1">
        <f t="array" ref="K1347">IFERROR(_xlfn.LET(
_xlpm.CSVVal,_xlfn.XLOOKUP($A1347,CSV!$A:$A,CSV!K:K,""),
_xlpm.MacVal,_xlfn.XLOOKUP($A1347,Output_Mac!$A:$A,Output_Mac!K:K,""),
_xlpm.MyAuditVal,_xlfn.XLOOKUP($A1347,My_Audit!$A:$A,My_Audit!J:J,""),
_xlfn.IFS(_xlpm.MyAuditVal&lt;&gt;"",UPPER(_xlpm.MyAuditVal),_xlpm.MacVal&lt;&gt;"",_xlpm.MacVal,_xlpm.CSVVal&lt;&gt;"",_xlpm.CSVVal
)),"")</f>
        <v/>
      </c>
      <c r="L1347" s="40" t="str" cm="1">
        <f t="array" ref="L1347">IFERROR(_xlfn.LET(
_xlpm.CSVVal,_xlfn.XLOOKUP($A1347,CSV!$A:$A,CSV!P:P,""),
_xlpm.MacVal,_xlfn.XLOOKUP($A1347,Output_Mac!$A:$A,Output_Mac!L:L,""),
_xlpm.MyAuditVal,_xlfn.XLOOKUP($A1347,My_Audit!$A:$A,My_Audit!K:K,""),
_xlfn.IFS(_xlpm.MyAuditVal&lt;&gt;"",UPPER(_xlpm.MyAuditVal),_xlpm.MacVal&lt;&gt;"",_xlpm.MacVal,_xlpm.CSVVal&lt;&gt;"",_xlpm.CSVVal
)),"")</f>
        <v/>
      </c>
      <c r="M1347" s="40" t="str" cm="1">
        <f t="array" ref="M1347">IFERROR(_xlfn.LET(
_xlpm.CSVVal,_xlfn.XLOOKUP($A1347,CSV!$A:$A,CSV!Q:Q,""),
_xlpm.MacVal,_xlfn.XLOOKUP($A1347,Output_Mac!$A:$A,Output_Mac!M:M,""),
_xlpm.MyAuditVal,_xlfn.XLOOKUP($A1347,My_Audit!$A:$A,My_Audit!L:L,""),
_xlfn.IFS(_xlpm.MyAuditVal&lt;&gt;"",UPPER(_xlpm.MyAuditVal),_xlpm.MacVal&lt;&gt;"",_xlpm.MacVal,_xlpm.CSVVal&lt;&gt;"",_xlpm.CSVVal
)),"")</f>
        <v/>
      </c>
      <c r="N1347" s="40"/>
      <c r="O1347" s="40" t="str">
        <f>_xlfn.LET(
    _xlpm.CSVVal, _xlfn.XLOOKUP($A1347, CSV!$A:$A, CSV!AA:AA, ""),
    _xlpm.MacVal, _xlfn.XLOOKUP($A1347, Output_Mac!$A:$A, Output_Mac!S:S, ""),
    _xlpm.MyAuditVal, _xlfn.XLOOKUP($A1347, My_Audit!$A:$A, My_Audit!P:P, ""),
    _xlfn.TEXTJOIN(", ", TRUE, _xlpm.MyAuditVal, _xlpm.MacVal, _xlpm.CSVVal)
)</f>
        <v/>
      </c>
      <c r="P1347" s="40" t="str" cm="1">
        <f t="array" ref="P1347">IFERROR(_xlfn.LET(
_xlpm.CSVVal,_xlfn.XLOOKUP($A1347,CSV!$A:$A,CSV!AB:AB,""),
_xlpm.MacVal,_xlfn.XLOOKUP($A1347,Output_Mac!$A:$A,Output_Mac!T:T,""),
_xlpm.MyAuditVal,_xlfn.XLOOKUP($A1347,My_Audit!$A:$A,My_Audit!Q:Q,""),
_xlfn.IFS(_xlpm.MyAuditVal&lt;&gt;"",UPPER(_xlpm.MyAuditVal),_xlpm.MacVal&lt;&gt;"",_xlpm.MacVal,_xlpm.CSVVal&lt;&gt;"",_xlpm.CSVVal
)),"No")</f>
        <v>No</v>
      </c>
      <c r="Q1347" s="40" t="str" cm="1">
        <f t="array" ref="Q1347">IFERROR(_xlfn.LET(
_xlpm.CSVVal,_xlfn.XLOOKUP($A1347,CSV!$A:$A,CSV!AC:AC,""),
_xlpm.MacVal,_xlfn.XLOOKUP($A1347,Output_Mac!$A:$A,Output_Mac!U:U,""),
_xlpm.MyAuditVal,_xlfn.XLOOKUP($A1347,My_Audit!$A:$A,My_Audit!R:R,""),
_xlfn.IFS(_xlpm.MyAuditVal&lt;&gt;"",UPPER(_xlpm.MyAuditVal),_xlpm.MacVal&lt;&gt;"",_xlpm.MacVal,_xlpm.CSVVal&lt;&gt;"",_xlpm.CSVVal
)),"")</f>
        <v/>
      </c>
      <c r="R1347" s="40"/>
      <c r="S1347" s="40"/>
      <c r="T1347" s="40"/>
      <c r="U1347" s="40"/>
      <c r="V1347" s="40"/>
      <c r="W1347" s="40"/>
      <c r="X1347" s="41" t="str">
        <f>_xlfn.LET(
    _xlpm.MacVal, _xlfn.XLOOKUP($A1347, Output_Mac!$A:$A, Output_Mac!AB:AB, ""),
    _xlpm.MyAuditVal, _xlfn.XLOOKUP($A1347, My_Audit!$A:$A, My_Audit!N:N, ""),
    _xlfn.TEXTJOIN(", ", TRUE, _xlpm.MyAuditVal, _xlpm.MacVal)
)</f>
        <v/>
      </c>
    </row>
    <row r="1348" spans="1:24">
      <c r="A1348" s="40" t="str">
        <f>_xlfn.TEXTJOIN("",TRUE,Input!$B$2,ROW(My_Audit!A1347))</f>
        <v>X1347</v>
      </c>
      <c r="B1348" s="40" t="str">
        <f>_xlfn.TEXTJOIN("-",TRUE,"ITD",Input!$A$2,A1348)</f>
        <v>ITD-X1347</v>
      </c>
      <c r="C1348" s="40" t="str" cm="1">
        <f t="array" ref="C1348">IFERROR(_xlfn.LET(
_xlpm.CSVVal,_xlfn.XLOOKUP($A1348,CSV!$A:$A,CSV!B:B,""),
_xlpm.MacVal,_xlfn.XLOOKUP($A1348,Output_Mac!$A:$A,Output_Mac!B:B,""),
_xlpm.MyAuditVal,_xlfn.XLOOKUP($A1348,My_Audit!$A:$A,My_Audit!B:B,""),
_xlfn.IFS(_xlpm.MyAuditVal&lt;&gt;"",UPPER(_xlpm.MyAuditVal),_xlpm.MacVal&lt;&gt;"",_xlpm.MacVal,_xlpm.CSVVal&lt;&gt;"",_xlpm.CSVVal
)),"")</f>
        <v/>
      </c>
      <c r="D1348" s="40" t="str" cm="1">
        <f t="array" ref="D1348">IFERROR(_xlfn.LET(
_xlpm.CSVVal,_xlfn.XLOOKUP($A1348,CSV!$A:$A,CSV!D:D,""),
_xlpm.MacVal,_xlfn.XLOOKUP($A1348,Output_Mac!$A:$A,Output_Mac!C:C,""),
_xlpm.MyAuditVal,_xlfn.XLOOKUP($A1348,My_Audit!$A:$A,My_Audit!C:C,""),
_xlfn.IFS(_xlpm.MyAuditVal&lt;&gt;"",_xlpm.MyAuditVal,_xlpm.MacVal&lt;&gt;"",_xlpm.MacVal,_xlpm.CSVVal&lt;&gt;"",_xlpm.CSVVal
)),"")</f>
        <v/>
      </c>
      <c r="E1348" s="40" t="str">
        <f>_xlfn.XLOOKUP(A1348,My_Audit!A:A,My_Audit!D:D,"")</f>
        <v/>
      </c>
      <c r="F1348" s="40" t="str" cm="1">
        <f t="array" ref="F1348">IFERROR(_xlfn.LET(
_xlpm.CSVVal,_xlfn.XLOOKUP($A1348,CSV!$A:$A,CSV!F:F,""),
_xlpm.MacVal,_xlfn.XLOOKUP($A1348,Output_Mac!$A:$A,Output_Mac!E:E,""),
_xlpm.MyAuditVal,_xlfn.XLOOKUP($A1348,My_Audit!$A:$A,My_Audit!E:E,""),
_xlfn.IFS(_xlpm.MyAuditVal&lt;&gt;"",_xlpm.MyAuditVal,_xlpm.MacVal&lt;&gt;"",_xlpm.MacVal,_xlpm.CSVVal&lt;&gt;"",_xlpm.CSVVal
)),"")</f>
        <v/>
      </c>
      <c r="G1348" s="40" t="str" cm="1">
        <f t="array" ref="G1348">IFERROR(_xlfn.LET(
_xlpm.CSVVal,_xlfn.XLOOKUP($A1348,CSV!$A:$A,CSV!G:G,""),
_xlpm.MacVal,_xlfn.XLOOKUP($A1348,Output_Mac!$A:$A,Output_Mac!F:F,""),
_xlpm.MyAuditVal,_xlfn.XLOOKUP($A1348,My_Audit!$A:$A,My_Audit!F:F,""),
_xlfn.IFS(_xlpm.MyAuditVal&lt;&gt;"",_xlpm.MyAuditVal,_xlpm.MacVal&lt;&gt;"",_xlpm.MacVal,_xlpm.CSVVal&lt;&gt;"",PROPER(_xlpm.CSVVal)
)),"")</f>
        <v/>
      </c>
      <c r="H1348" s="40" t="str" cm="1">
        <f t="array" ref="H1348">IFERROR(_xlfn.LET(
_xlpm.CSVVal,_xlfn.XLOOKUP($A1348,CSV!$A:$A,CSV!H:H,""),
_xlpm.MacVal,_xlfn.XLOOKUP($A1348,Output_Mac!$A:$A,Output_Mac!H:H,""),
_xlpm.MyAuditVal,_xlfn.XLOOKUP($A1348,My_Audit!$A:$A,My_Audit!G:G,""),
_xlfn.IFS(_xlpm.MyAuditVal&lt;&gt;"",_xlpm.MyAuditVal,_xlpm.MacVal&lt;&gt;"",_xlpm.MacVal,_xlpm.CSVVal&lt;&gt;"",_xlpm.CSVVal
)),"")</f>
        <v/>
      </c>
      <c r="I1348" s="40" t="str">
        <f>_xlfn.XLOOKUP(A1348,Output_Mac!A:A,Output_Mac!I:I,"")</f>
        <v/>
      </c>
      <c r="J1348" s="40" t="str" cm="1">
        <f t="array" ref="J1348">IFERROR(_xlfn.LET(
_xlpm.CSVVal,_xlfn.XLOOKUP($A1348,CSV!$A:$A,CSV!I:I,""),
_xlpm.MacVal,_xlfn.XLOOKUP($A1348,Output_Mac!$A:$A,Output_Mac!J:J,""),
_xlpm.MyAuditVal,_xlfn.XLOOKUP($A1348,My_Audit!$A:$A,My_Audit!I:I,""),
_xlfn.IFS(_xlpm.MyAuditVal&lt;&gt;"",UPPER(_xlpm.MyAuditVal),_xlpm.MacVal&lt;&gt;"",_xlpm.MacVal,_xlpm.CSVVal&lt;&gt;"",_xlpm.CSVVal
)),"")</f>
        <v/>
      </c>
      <c r="K1348" s="40" t="str" cm="1">
        <f t="array" ref="K1348">IFERROR(_xlfn.LET(
_xlpm.CSVVal,_xlfn.XLOOKUP($A1348,CSV!$A:$A,CSV!K:K,""),
_xlpm.MacVal,_xlfn.XLOOKUP($A1348,Output_Mac!$A:$A,Output_Mac!K:K,""),
_xlpm.MyAuditVal,_xlfn.XLOOKUP($A1348,My_Audit!$A:$A,My_Audit!J:J,""),
_xlfn.IFS(_xlpm.MyAuditVal&lt;&gt;"",UPPER(_xlpm.MyAuditVal),_xlpm.MacVal&lt;&gt;"",_xlpm.MacVal,_xlpm.CSVVal&lt;&gt;"",_xlpm.CSVVal
)),"")</f>
        <v/>
      </c>
      <c r="L1348" s="40" t="str" cm="1">
        <f t="array" ref="L1348">IFERROR(_xlfn.LET(
_xlpm.CSVVal,_xlfn.XLOOKUP($A1348,CSV!$A:$A,CSV!P:P,""),
_xlpm.MacVal,_xlfn.XLOOKUP($A1348,Output_Mac!$A:$A,Output_Mac!L:L,""),
_xlpm.MyAuditVal,_xlfn.XLOOKUP($A1348,My_Audit!$A:$A,My_Audit!K:K,""),
_xlfn.IFS(_xlpm.MyAuditVal&lt;&gt;"",UPPER(_xlpm.MyAuditVal),_xlpm.MacVal&lt;&gt;"",_xlpm.MacVal,_xlpm.CSVVal&lt;&gt;"",_xlpm.CSVVal
)),"")</f>
        <v/>
      </c>
      <c r="M1348" s="40" t="str" cm="1">
        <f t="array" ref="M1348">IFERROR(_xlfn.LET(
_xlpm.CSVVal,_xlfn.XLOOKUP($A1348,CSV!$A:$A,CSV!Q:Q,""),
_xlpm.MacVal,_xlfn.XLOOKUP($A1348,Output_Mac!$A:$A,Output_Mac!M:M,""),
_xlpm.MyAuditVal,_xlfn.XLOOKUP($A1348,My_Audit!$A:$A,My_Audit!L:L,""),
_xlfn.IFS(_xlpm.MyAuditVal&lt;&gt;"",UPPER(_xlpm.MyAuditVal),_xlpm.MacVal&lt;&gt;"",_xlpm.MacVal,_xlpm.CSVVal&lt;&gt;"",_xlpm.CSVVal
)),"")</f>
        <v/>
      </c>
      <c r="N1348" s="40"/>
      <c r="O1348" s="40" t="str">
        <f>_xlfn.LET(
    _xlpm.CSVVal, _xlfn.XLOOKUP($A1348, CSV!$A:$A, CSV!AA:AA, ""),
    _xlpm.MacVal, _xlfn.XLOOKUP($A1348, Output_Mac!$A:$A, Output_Mac!S:S, ""),
    _xlpm.MyAuditVal, _xlfn.XLOOKUP($A1348, My_Audit!$A:$A, My_Audit!P:P, ""),
    _xlfn.TEXTJOIN(", ", TRUE, _xlpm.MyAuditVal, _xlpm.MacVal, _xlpm.CSVVal)
)</f>
        <v/>
      </c>
      <c r="P1348" s="40" t="str" cm="1">
        <f t="array" ref="P1348">IFERROR(_xlfn.LET(
_xlpm.CSVVal,_xlfn.XLOOKUP($A1348,CSV!$A:$A,CSV!AB:AB,""),
_xlpm.MacVal,_xlfn.XLOOKUP($A1348,Output_Mac!$A:$A,Output_Mac!T:T,""),
_xlpm.MyAuditVal,_xlfn.XLOOKUP($A1348,My_Audit!$A:$A,My_Audit!Q:Q,""),
_xlfn.IFS(_xlpm.MyAuditVal&lt;&gt;"",UPPER(_xlpm.MyAuditVal),_xlpm.MacVal&lt;&gt;"",_xlpm.MacVal,_xlpm.CSVVal&lt;&gt;"",_xlpm.CSVVal
)),"No")</f>
        <v>No</v>
      </c>
      <c r="Q1348" s="40" t="str" cm="1">
        <f t="array" ref="Q1348">IFERROR(_xlfn.LET(
_xlpm.CSVVal,_xlfn.XLOOKUP($A1348,CSV!$A:$A,CSV!AC:AC,""),
_xlpm.MacVal,_xlfn.XLOOKUP($A1348,Output_Mac!$A:$A,Output_Mac!U:U,""),
_xlpm.MyAuditVal,_xlfn.XLOOKUP($A1348,My_Audit!$A:$A,My_Audit!R:R,""),
_xlfn.IFS(_xlpm.MyAuditVal&lt;&gt;"",UPPER(_xlpm.MyAuditVal),_xlpm.MacVal&lt;&gt;"",_xlpm.MacVal,_xlpm.CSVVal&lt;&gt;"",_xlpm.CSVVal
)),"")</f>
        <v/>
      </c>
      <c r="R1348" s="40"/>
      <c r="S1348" s="40"/>
      <c r="T1348" s="40"/>
      <c r="U1348" s="40"/>
      <c r="V1348" s="40"/>
      <c r="W1348" s="40"/>
      <c r="X1348" s="41" t="str">
        <f>_xlfn.LET(
    _xlpm.MacVal, _xlfn.XLOOKUP($A1348, Output_Mac!$A:$A, Output_Mac!AB:AB, ""),
    _xlpm.MyAuditVal, _xlfn.XLOOKUP($A1348, My_Audit!$A:$A, My_Audit!N:N, ""),
    _xlfn.TEXTJOIN(", ", TRUE, _xlpm.MyAuditVal, _xlpm.MacVal)
)</f>
        <v/>
      </c>
    </row>
    <row r="1349" spans="1:24">
      <c r="A1349" s="40" t="str">
        <f>_xlfn.TEXTJOIN("",TRUE,Input!$B$2,ROW(My_Audit!A1348))</f>
        <v>X1348</v>
      </c>
      <c r="B1349" s="40" t="str">
        <f>_xlfn.TEXTJOIN("-",TRUE,"ITD",Input!$A$2,A1349)</f>
        <v>ITD-X1348</v>
      </c>
      <c r="C1349" s="40" t="str" cm="1">
        <f t="array" ref="C1349">IFERROR(_xlfn.LET(
_xlpm.CSVVal,_xlfn.XLOOKUP($A1349,CSV!$A:$A,CSV!B:B,""),
_xlpm.MacVal,_xlfn.XLOOKUP($A1349,Output_Mac!$A:$A,Output_Mac!B:B,""),
_xlpm.MyAuditVal,_xlfn.XLOOKUP($A1349,My_Audit!$A:$A,My_Audit!B:B,""),
_xlfn.IFS(_xlpm.MyAuditVal&lt;&gt;"",UPPER(_xlpm.MyAuditVal),_xlpm.MacVal&lt;&gt;"",_xlpm.MacVal,_xlpm.CSVVal&lt;&gt;"",_xlpm.CSVVal
)),"")</f>
        <v/>
      </c>
      <c r="D1349" s="40" t="str" cm="1">
        <f t="array" ref="D1349">IFERROR(_xlfn.LET(
_xlpm.CSVVal,_xlfn.XLOOKUP($A1349,CSV!$A:$A,CSV!D:D,""),
_xlpm.MacVal,_xlfn.XLOOKUP($A1349,Output_Mac!$A:$A,Output_Mac!C:C,""),
_xlpm.MyAuditVal,_xlfn.XLOOKUP($A1349,My_Audit!$A:$A,My_Audit!C:C,""),
_xlfn.IFS(_xlpm.MyAuditVal&lt;&gt;"",_xlpm.MyAuditVal,_xlpm.MacVal&lt;&gt;"",_xlpm.MacVal,_xlpm.CSVVal&lt;&gt;"",_xlpm.CSVVal
)),"")</f>
        <v/>
      </c>
      <c r="E1349" s="40" t="str">
        <f>_xlfn.XLOOKUP(A1349,My_Audit!A:A,My_Audit!D:D,"")</f>
        <v/>
      </c>
      <c r="F1349" s="40" t="str" cm="1">
        <f t="array" ref="F1349">IFERROR(_xlfn.LET(
_xlpm.CSVVal,_xlfn.XLOOKUP($A1349,CSV!$A:$A,CSV!F:F,""),
_xlpm.MacVal,_xlfn.XLOOKUP($A1349,Output_Mac!$A:$A,Output_Mac!E:E,""),
_xlpm.MyAuditVal,_xlfn.XLOOKUP($A1349,My_Audit!$A:$A,My_Audit!E:E,""),
_xlfn.IFS(_xlpm.MyAuditVal&lt;&gt;"",_xlpm.MyAuditVal,_xlpm.MacVal&lt;&gt;"",_xlpm.MacVal,_xlpm.CSVVal&lt;&gt;"",_xlpm.CSVVal
)),"")</f>
        <v/>
      </c>
      <c r="G1349" s="40" t="str" cm="1">
        <f t="array" ref="G1349">IFERROR(_xlfn.LET(
_xlpm.CSVVal,_xlfn.XLOOKUP($A1349,CSV!$A:$A,CSV!G:G,""),
_xlpm.MacVal,_xlfn.XLOOKUP($A1349,Output_Mac!$A:$A,Output_Mac!F:F,""),
_xlpm.MyAuditVal,_xlfn.XLOOKUP($A1349,My_Audit!$A:$A,My_Audit!F:F,""),
_xlfn.IFS(_xlpm.MyAuditVal&lt;&gt;"",_xlpm.MyAuditVal,_xlpm.MacVal&lt;&gt;"",_xlpm.MacVal,_xlpm.CSVVal&lt;&gt;"",PROPER(_xlpm.CSVVal)
)),"")</f>
        <v/>
      </c>
      <c r="H1349" s="40" t="str" cm="1">
        <f t="array" ref="H1349">IFERROR(_xlfn.LET(
_xlpm.CSVVal,_xlfn.XLOOKUP($A1349,CSV!$A:$A,CSV!H:H,""),
_xlpm.MacVal,_xlfn.XLOOKUP($A1349,Output_Mac!$A:$A,Output_Mac!H:H,""),
_xlpm.MyAuditVal,_xlfn.XLOOKUP($A1349,My_Audit!$A:$A,My_Audit!G:G,""),
_xlfn.IFS(_xlpm.MyAuditVal&lt;&gt;"",_xlpm.MyAuditVal,_xlpm.MacVal&lt;&gt;"",_xlpm.MacVal,_xlpm.CSVVal&lt;&gt;"",_xlpm.CSVVal
)),"")</f>
        <v/>
      </c>
      <c r="I1349" s="40" t="str">
        <f>_xlfn.XLOOKUP(A1349,Output_Mac!A:A,Output_Mac!I:I,"")</f>
        <v/>
      </c>
      <c r="J1349" s="40" t="str" cm="1">
        <f t="array" ref="J1349">IFERROR(_xlfn.LET(
_xlpm.CSVVal,_xlfn.XLOOKUP($A1349,CSV!$A:$A,CSV!I:I,""),
_xlpm.MacVal,_xlfn.XLOOKUP($A1349,Output_Mac!$A:$A,Output_Mac!J:J,""),
_xlpm.MyAuditVal,_xlfn.XLOOKUP($A1349,My_Audit!$A:$A,My_Audit!I:I,""),
_xlfn.IFS(_xlpm.MyAuditVal&lt;&gt;"",UPPER(_xlpm.MyAuditVal),_xlpm.MacVal&lt;&gt;"",_xlpm.MacVal,_xlpm.CSVVal&lt;&gt;"",_xlpm.CSVVal
)),"")</f>
        <v/>
      </c>
      <c r="K1349" s="40" t="str" cm="1">
        <f t="array" ref="K1349">IFERROR(_xlfn.LET(
_xlpm.CSVVal,_xlfn.XLOOKUP($A1349,CSV!$A:$A,CSV!K:K,""),
_xlpm.MacVal,_xlfn.XLOOKUP($A1349,Output_Mac!$A:$A,Output_Mac!K:K,""),
_xlpm.MyAuditVal,_xlfn.XLOOKUP($A1349,My_Audit!$A:$A,My_Audit!J:J,""),
_xlfn.IFS(_xlpm.MyAuditVal&lt;&gt;"",UPPER(_xlpm.MyAuditVal),_xlpm.MacVal&lt;&gt;"",_xlpm.MacVal,_xlpm.CSVVal&lt;&gt;"",_xlpm.CSVVal
)),"")</f>
        <v/>
      </c>
      <c r="L1349" s="40" t="str" cm="1">
        <f t="array" ref="L1349">IFERROR(_xlfn.LET(
_xlpm.CSVVal,_xlfn.XLOOKUP($A1349,CSV!$A:$A,CSV!P:P,""),
_xlpm.MacVal,_xlfn.XLOOKUP($A1349,Output_Mac!$A:$A,Output_Mac!L:L,""),
_xlpm.MyAuditVal,_xlfn.XLOOKUP($A1349,My_Audit!$A:$A,My_Audit!K:K,""),
_xlfn.IFS(_xlpm.MyAuditVal&lt;&gt;"",UPPER(_xlpm.MyAuditVal),_xlpm.MacVal&lt;&gt;"",_xlpm.MacVal,_xlpm.CSVVal&lt;&gt;"",_xlpm.CSVVal
)),"")</f>
        <v/>
      </c>
      <c r="M1349" s="40" t="str" cm="1">
        <f t="array" ref="M1349">IFERROR(_xlfn.LET(
_xlpm.CSVVal,_xlfn.XLOOKUP($A1349,CSV!$A:$A,CSV!Q:Q,""),
_xlpm.MacVal,_xlfn.XLOOKUP($A1349,Output_Mac!$A:$A,Output_Mac!M:M,""),
_xlpm.MyAuditVal,_xlfn.XLOOKUP($A1349,My_Audit!$A:$A,My_Audit!L:L,""),
_xlfn.IFS(_xlpm.MyAuditVal&lt;&gt;"",UPPER(_xlpm.MyAuditVal),_xlpm.MacVal&lt;&gt;"",_xlpm.MacVal,_xlpm.CSVVal&lt;&gt;"",_xlpm.CSVVal
)),"")</f>
        <v/>
      </c>
      <c r="N1349" s="40"/>
      <c r="O1349" s="40" t="str">
        <f>_xlfn.LET(
    _xlpm.CSVVal, _xlfn.XLOOKUP($A1349, CSV!$A:$A, CSV!AA:AA, ""),
    _xlpm.MacVal, _xlfn.XLOOKUP($A1349, Output_Mac!$A:$A, Output_Mac!S:S, ""),
    _xlpm.MyAuditVal, _xlfn.XLOOKUP($A1349, My_Audit!$A:$A, My_Audit!P:P, ""),
    _xlfn.TEXTJOIN(", ", TRUE, _xlpm.MyAuditVal, _xlpm.MacVal, _xlpm.CSVVal)
)</f>
        <v/>
      </c>
      <c r="P1349" s="40" t="str" cm="1">
        <f t="array" ref="P1349">IFERROR(_xlfn.LET(
_xlpm.CSVVal,_xlfn.XLOOKUP($A1349,CSV!$A:$A,CSV!AB:AB,""),
_xlpm.MacVal,_xlfn.XLOOKUP($A1349,Output_Mac!$A:$A,Output_Mac!T:T,""),
_xlpm.MyAuditVal,_xlfn.XLOOKUP($A1349,My_Audit!$A:$A,My_Audit!Q:Q,""),
_xlfn.IFS(_xlpm.MyAuditVal&lt;&gt;"",UPPER(_xlpm.MyAuditVal),_xlpm.MacVal&lt;&gt;"",_xlpm.MacVal,_xlpm.CSVVal&lt;&gt;"",_xlpm.CSVVal
)),"No")</f>
        <v>No</v>
      </c>
      <c r="Q1349" s="40" t="str" cm="1">
        <f t="array" ref="Q1349">IFERROR(_xlfn.LET(
_xlpm.CSVVal,_xlfn.XLOOKUP($A1349,CSV!$A:$A,CSV!AC:AC,""),
_xlpm.MacVal,_xlfn.XLOOKUP($A1349,Output_Mac!$A:$A,Output_Mac!U:U,""),
_xlpm.MyAuditVal,_xlfn.XLOOKUP($A1349,My_Audit!$A:$A,My_Audit!R:R,""),
_xlfn.IFS(_xlpm.MyAuditVal&lt;&gt;"",UPPER(_xlpm.MyAuditVal),_xlpm.MacVal&lt;&gt;"",_xlpm.MacVal,_xlpm.CSVVal&lt;&gt;"",_xlpm.CSVVal
)),"")</f>
        <v/>
      </c>
      <c r="R1349" s="40"/>
      <c r="S1349" s="40"/>
      <c r="T1349" s="40"/>
      <c r="U1349" s="40"/>
      <c r="V1349" s="40"/>
      <c r="W1349" s="40"/>
      <c r="X1349" s="41" t="str">
        <f>_xlfn.LET(
    _xlpm.MacVal, _xlfn.XLOOKUP($A1349, Output_Mac!$A:$A, Output_Mac!AB:AB, ""),
    _xlpm.MyAuditVal, _xlfn.XLOOKUP($A1349, My_Audit!$A:$A, My_Audit!N:N, ""),
    _xlfn.TEXTJOIN(", ", TRUE, _xlpm.MyAuditVal, _xlpm.MacVal)
)</f>
        <v/>
      </c>
    </row>
    <row r="1350" spans="1:24">
      <c r="A1350" s="40" t="str">
        <f>_xlfn.TEXTJOIN("",TRUE,Input!$B$2,ROW(My_Audit!A1349))</f>
        <v>X1349</v>
      </c>
      <c r="B1350" s="40" t="str">
        <f>_xlfn.TEXTJOIN("-",TRUE,"ITD",Input!$A$2,A1350)</f>
        <v>ITD-X1349</v>
      </c>
      <c r="C1350" s="40" t="str" cm="1">
        <f t="array" ref="C1350">IFERROR(_xlfn.LET(
_xlpm.CSVVal,_xlfn.XLOOKUP($A1350,CSV!$A:$A,CSV!B:B,""),
_xlpm.MacVal,_xlfn.XLOOKUP($A1350,Output_Mac!$A:$A,Output_Mac!B:B,""),
_xlpm.MyAuditVal,_xlfn.XLOOKUP($A1350,My_Audit!$A:$A,My_Audit!B:B,""),
_xlfn.IFS(_xlpm.MyAuditVal&lt;&gt;"",UPPER(_xlpm.MyAuditVal),_xlpm.MacVal&lt;&gt;"",_xlpm.MacVal,_xlpm.CSVVal&lt;&gt;"",_xlpm.CSVVal
)),"")</f>
        <v/>
      </c>
      <c r="D1350" s="40" t="str" cm="1">
        <f t="array" ref="D1350">IFERROR(_xlfn.LET(
_xlpm.CSVVal,_xlfn.XLOOKUP($A1350,CSV!$A:$A,CSV!D:D,""),
_xlpm.MacVal,_xlfn.XLOOKUP($A1350,Output_Mac!$A:$A,Output_Mac!C:C,""),
_xlpm.MyAuditVal,_xlfn.XLOOKUP($A1350,My_Audit!$A:$A,My_Audit!C:C,""),
_xlfn.IFS(_xlpm.MyAuditVal&lt;&gt;"",_xlpm.MyAuditVal,_xlpm.MacVal&lt;&gt;"",_xlpm.MacVal,_xlpm.CSVVal&lt;&gt;"",_xlpm.CSVVal
)),"")</f>
        <v/>
      </c>
      <c r="E1350" s="40" t="str">
        <f>_xlfn.XLOOKUP(A1350,My_Audit!A:A,My_Audit!D:D,"")</f>
        <v/>
      </c>
      <c r="F1350" s="40" t="str" cm="1">
        <f t="array" ref="F1350">IFERROR(_xlfn.LET(
_xlpm.CSVVal,_xlfn.XLOOKUP($A1350,CSV!$A:$A,CSV!F:F,""),
_xlpm.MacVal,_xlfn.XLOOKUP($A1350,Output_Mac!$A:$A,Output_Mac!E:E,""),
_xlpm.MyAuditVal,_xlfn.XLOOKUP($A1350,My_Audit!$A:$A,My_Audit!E:E,""),
_xlfn.IFS(_xlpm.MyAuditVal&lt;&gt;"",_xlpm.MyAuditVal,_xlpm.MacVal&lt;&gt;"",_xlpm.MacVal,_xlpm.CSVVal&lt;&gt;"",_xlpm.CSVVal
)),"")</f>
        <v/>
      </c>
      <c r="G1350" s="40" t="str" cm="1">
        <f t="array" ref="G1350">IFERROR(_xlfn.LET(
_xlpm.CSVVal,_xlfn.XLOOKUP($A1350,CSV!$A:$A,CSV!G:G,""),
_xlpm.MacVal,_xlfn.XLOOKUP($A1350,Output_Mac!$A:$A,Output_Mac!F:F,""),
_xlpm.MyAuditVal,_xlfn.XLOOKUP($A1350,My_Audit!$A:$A,My_Audit!F:F,""),
_xlfn.IFS(_xlpm.MyAuditVal&lt;&gt;"",_xlpm.MyAuditVal,_xlpm.MacVal&lt;&gt;"",_xlpm.MacVal,_xlpm.CSVVal&lt;&gt;"",PROPER(_xlpm.CSVVal)
)),"")</f>
        <v/>
      </c>
      <c r="H1350" s="40" t="str" cm="1">
        <f t="array" ref="H1350">IFERROR(_xlfn.LET(
_xlpm.CSVVal,_xlfn.XLOOKUP($A1350,CSV!$A:$A,CSV!H:H,""),
_xlpm.MacVal,_xlfn.XLOOKUP($A1350,Output_Mac!$A:$A,Output_Mac!H:H,""),
_xlpm.MyAuditVal,_xlfn.XLOOKUP($A1350,My_Audit!$A:$A,My_Audit!G:G,""),
_xlfn.IFS(_xlpm.MyAuditVal&lt;&gt;"",_xlpm.MyAuditVal,_xlpm.MacVal&lt;&gt;"",_xlpm.MacVal,_xlpm.CSVVal&lt;&gt;"",_xlpm.CSVVal
)),"")</f>
        <v/>
      </c>
      <c r="I1350" s="40" t="str">
        <f>_xlfn.XLOOKUP(A1350,Output_Mac!A:A,Output_Mac!I:I,"")</f>
        <v/>
      </c>
      <c r="J1350" s="40" t="str" cm="1">
        <f t="array" ref="J1350">IFERROR(_xlfn.LET(
_xlpm.CSVVal,_xlfn.XLOOKUP($A1350,CSV!$A:$A,CSV!I:I,""),
_xlpm.MacVal,_xlfn.XLOOKUP($A1350,Output_Mac!$A:$A,Output_Mac!J:J,""),
_xlpm.MyAuditVal,_xlfn.XLOOKUP($A1350,My_Audit!$A:$A,My_Audit!I:I,""),
_xlfn.IFS(_xlpm.MyAuditVal&lt;&gt;"",UPPER(_xlpm.MyAuditVal),_xlpm.MacVal&lt;&gt;"",_xlpm.MacVal,_xlpm.CSVVal&lt;&gt;"",_xlpm.CSVVal
)),"")</f>
        <v/>
      </c>
      <c r="K1350" s="40" t="str" cm="1">
        <f t="array" ref="K1350">IFERROR(_xlfn.LET(
_xlpm.CSVVal,_xlfn.XLOOKUP($A1350,CSV!$A:$A,CSV!K:K,""),
_xlpm.MacVal,_xlfn.XLOOKUP($A1350,Output_Mac!$A:$A,Output_Mac!K:K,""),
_xlpm.MyAuditVal,_xlfn.XLOOKUP($A1350,My_Audit!$A:$A,My_Audit!J:J,""),
_xlfn.IFS(_xlpm.MyAuditVal&lt;&gt;"",UPPER(_xlpm.MyAuditVal),_xlpm.MacVal&lt;&gt;"",_xlpm.MacVal,_xlpm.CSVVal&lt;&gt;"",_xlpm.CSVVal
)),"")</f>
        <v/>
      </c>
      <c r="L1350" s="40" t="str" cm="1">
        <f t="array" ref="L1350">IFERROR(_xlfn.LET(
_xlpm.CSVVal,_xlfn.XLOOKUP($A1350,CSV!$A:$A,CSV!P:P,""),
_xlpm.MacVal,_xlfn.XLOOKUP($A1350,Output_Mac!$A:$A,Output_Mac!L:L,""),
_xlpm.MyAuditVal,_xlfn.XLOOKUP($A1350,My_Audit!$A:$A,My_Audit!K:K,""),
_xlfn.IFS(_xlpm.MyAuditVal&lt;&gt;"",UPPER(_xlpm.MyAuditVal),_xlpm.MacVal&lt;&gt;"",_xlpm.MacVal,_xlpm.CSVVal&lt;&gt;"",_xlpm.CSVVal
)),"")</f>
        <v/>
      </c>
      <c r="M1350" s="40" t="str" cm="1">
        <f t="array" ref="M1350">IFERROR(_xlfn.LET(
_xlpm.CSVVal,_xlfn.XLOOKUP($A1350,CSV!$A:$A,CSV!Q:Q,""),
_xlpm.MacVal,_xlfn.XLOOKUP($A1350,Output_Mac!$A:$A,Output_Mac!M:M,""),
_xlpm.MyAuditVal,_xlfn.XLOOKUP($A1350,My_Audit!$A:$A,My_Audit!L:L,""),
_xlfn.IFS(_xlpm.MyAuditVal&lt;&gt;"",UPPER(_xlpm.MyAuditVal),_xlpm.MacVal&lt;&gt;"",_xlpm.MacVal,_xlpm.CSVVal&lt;&gt;"",_xlpm.CSVVal
)),"")</f>
        <v/>
      </c>
      <c r="N1350" s="40"/>
      <c r="O1350" s="40" t="str">
        <f>_xlfn.LET(
    _xlpm.CSVVal, _xlfn.XLOOKUP($A1350, CSV!$A:$A, CSV!AA:AA, ""),
    _xlpm.MacVal, _xlfn.XLOOKUP($A1350, Output_Mac!$A:$A, Output_Mac!S:S, ""),
    _xlpm.MyAuditVal, _xlfn.XLOOKUP($A1350, My_Audit!$A:$A, My_Audit!P:P, ""),
    _xlfn.TEXTJOIN(", ", TRUE, _xlpm.MyAuditVal, _xlpm.MacVal, _xlpm.CSVVal)
)</f>
        <v/>
      </c>
      <c r="P1350" s="40" t="str" cm="1">
        <f t="array" ref="P1350">IFERROR(_xlfn.LET(
_xlpm.CSVVal,_xlfn.XLOOKUP($A1350,CSV!$A:$A,CSV!AB:AB,""),
_xlpm.MacVal,_xlfn.XLOOKUP($A1350,Output_Mac!$A:$A,Output_Mac!T:T,""),
_xlpm.MyAuditVal,_xlfn.XLOOKUP($A1350,My_Audit!$A:$A,My_Audit!Q:Q,""),
_xlfn.IFS(_xlpm.MyAuditVal&lt;&gt;"",UPPER(_xlpm.MyAuditVal),_xlpm.MacVal&lt;&gt;"",_xlpm.MacVal,_xlpm.CSVVal&lt;&gt;"",_xlpm.CSVVal
)),"No")</f>
        <v>No</v>
      </c>
      <c r="Q1350" s="40" t="str" cm="1">
        <f t="array" ref="Q1350">IFERROR(_xlfn.LET(
_xlpm.CSVVal,_xlfn.XLOOKUP($A1350,CSV!$A:$A,CSV!AC:AC,""),
_xlpm.MacVal,_xlfn.XLOOKUP($A1350,Output_Mac!$A:$A,Output_Mac!U:U,""),
_xlpm.MyAuditVal,_xlfn.XLOOKUP($A1350,My_Audit!$A:$A,My_Audit!R:R,""),
_xlfn.IFS(_xlpm.MyAuditVal&lt;&gt;"",UPPER(_xlpm.MyAuditVal),_xlpm.MacVal&lt;&gt;"",_xlpm.MacVal,_xlpm.CSVVal&lt;&gt;"",_xlpm.CSVVal
)),"")</f>
        <v/>
      </c>
      <c r="R1350" s="40"/>
      <c r="S1350" s="40"/>
      <c r="T1350" s="40"/>
      <c r="U1350" s="40"/>
      <c r="V1350" s="40"/>
      <c r="W1350" s="40"/>
      <c r="X1350" s="41" t="str">
        <f>_xlfn.LET(
    _xlpm.MacVal, _xlfn.XLOOKUP($A1350, Output_Mac!$A:$A, Output_Mac!AB:AB, ""),
    _xlpm.MyAuditVal, _xlfn.XLOOKUP($A1350, My_Audit!$A:$A, My_Audit!N:N, ""),
    _xlfn.TEXTJOIN(", ", TRUE, _xlpm.MyAuditVal, _xlpm.MacVal)
)</f>
        <v/>
      </c>
    </row>
    <row r="1351" spans="1:24">
      <c r="A1351" s="40" t="str">
        <f>_xlfn.TEXTJOIN("",TRUE,Input!$B$2,ROW(My_Audit!A1350))</f>
        <v>X1350</v>
      </c>
      <c r="B1351" s="40" t="str">
        <f>_xlfn.TEXTJOIN("-",TRUE,"ITD",Input!$A$2,A1351)</f>
        <v>ITD-X1350</v>
      </c>
      <c r="C1351" s="40" t="str" cm="1">
        <f t="array" ref="C1351">IFERROR(_xlfn.LET(
_xlpm.CSVVal,_xlfn.XLOOKUP($A1351,CSV!$A:$A,CSV!B:B,""),
_xlpm.MacVal,_xlfn.XLOOKUP($A1351,Output_Mac!$A:$A,Output_Mac!B:B,""),
_xlpm.MyAuditVal,_xlfn.XLOOKUP($A1351,My_Audit!$A:$A,My_Audit!B:B,""),
_xlfn.IFS(_xlpm.MyAuditVal&lt;&gt;"",UPPER(_xlpm.MyAuditVal),_xlpm.MacVal&lt;&gt;"",_xlpm.MacVal,_xlpm.CSVVal&lt;&gt;"",_xlpm.CSVVal
)),"")</f>
        <v/>
      </c>
      <c r="D1351" s="40" t="str" cm="1">
        <f t="array" ref="D1351">IFERROR(_xlfn.LET(
_xlpm.CSVVal,_xlfn.XLOOKUP($A1351,CSV!$A:$A,CSV!D:D,""),
_xlpm.MacVal,_xlfn.XLOOKUP($A1351,Output_Mac!$A:$A,Output_Mac!C:C,""),
_xlpm.MyAuditVal,_xlfn.XLOOKUP($A1351,My_Audit!$A:$A,My_Audit!C:C,""),
_xlfn.IFS(_xlpm.MyAuditVal&lt;&gt;"",_xlpm.MyAuditVal,_xlpm.MacVal&lt;&gt;"",_xlpm.MacVal,_xlpm.CSVVal&lt;&gt;"",_xlpm.CSVVal
)),"")</f>
        <v/>
      </c>
      <c r="E1351" s="40" t="str">
        <f>_xlfn.XLOOKUP(A1351,My_Audit!A:A,My_Audit!D:D,"")</f>
        <v/>
      </c>
      <c r="F1351" s="40" t="str" cm="1">
        <f t="array" ref="F1351">IFERROR(_xlfn.LET(
_xlpm.CSVVal,_xlfn.XLOOKUP($A1351,CSV!$A:$A,CSV!F:F,""),
_xlpm.MacVal,_xlfn.XLOOKUP($A1351,Output_Mac!$A:$A,Output_Mac!E:E,""),
_xlpm.MyAuditVal,_xlfn.XLOOKUP($A1351,My_Audit!$A:$A,My_Audit!E:E,""),
_xlfn.IFS(_xlpm.MyAuditVal&lt;&gt;"",_xlpm.MyAuditVal,_xlpm.MacVal&lt;&gt;"",_xlpm.MacVal,_xlpm.CSVVal&lt;&gt;"",_xlpm.CSVVal
)),"")</f>
        <v/>
      </c>
      <c r="G1351" s="40" t="str" cm="1">
        <f t="array" ref="G1351">IFERROR(_xlfn.LET(
_xlpm.CSVVal,_xlfn.XLOOKUP($A1351,CSV!$A:$A,CSV!G:G,""),
_xlpm.MacVal,_xlfn.XLOOKUP($A1351,Output_Mac!$A:$A,Output_Mac!F:F,""),
_xlpm.MyAuditVal,_xlfn.XLOOKUP($A1351,My_Audit!$A:$A,My_Audit!F:F,""),
_xlfn.IFS(_xlpm.MyAuditVal&lt;&gt;"",_xlpm.MyAuditVal,_xlpm.MacVal&lt;&gt;"",_xlpm.MacVal,_xlpm.CSVVal&lt;&gt;"",PROPER(_xlpm.CSVVal)
)),"")</f>
        <v/>
      </c>
      <c r="H1351" s="40" t="str" cm="1">
        <f t="array" ref="H1351">IFERROR(_xlfn.LET(
_xlpm.CSVVal,_xlfn.XLOOKUP($A1351,CSV!$A:$A,CSV!H:H,""),
_xlpm.MacVal,_xlfn.XLOOKUP($A1351,Output_Mac!$A:$A,Output_Mac!H:H,""),
_xlpm.MyAuditVal,_xlfn.XLOOKUP($A1351,My_Audit!$A:$A,My_Audit!G:G,""),
_xlfn.IFS(_xlpm.MyAuditVal&lt;&gt;"",_xlpm.MyAuditVal,_xlpm.MacVal&lt;&gt;"",_xlpm.MacVal,_xlpm.CSVVal&lt;&gt;"",_xlpm.CSVVal
)),"")</f>
        <v/>
      </c>
      <c r="I1351" s="40" t="str">
        <f>_xlfn.XLOOKUP(A1351,Output_Mac!A:A,Output_Mac!I:I,"")</f>
        <v/>
      </c>
      <c r="J1351" s="40" t="str" cm="1">
        <f t="array" ref="J1351">IFERROR(_xlfn.LET(
_xlpm.CSVVal,_xlfn.XLOOKUP($A1351,CSV!$A:$A,CSV!I:I,""),
_xlpm.MacVal,_xlfn.XLOOKUP($A1351,Output_Mac!$A:$A,Output_Mac!J:J,""),
_xlpm.MyAuditVal,_xlfn.XLOOKUP($A1351,My_Audit!$A:$A,My_Audit!I:I,""),
_xlfn.IFS(_xlpm.MyAuditVal&lt;&gt;"",UPPER(_xlpm.MyAuditVal),_xlpm.MacVal&lt;&gt;"",_xlpm.MacVal,_xlpm.CSVVal&lt;&gt;"",_xlpm.CSVVal
)),"")</f>
        <v/>
      </c>
      <c r="K1351" s="40" t="str" cm="1">
        <f t="array" ref="K1351">IFERROR(_xlfn.LET(
_xlpm.CSVVal,_xlfn.XLOOKUP($A1351,CSV!$A:$A,CSV!K:K,""),
_xlpm.MacVal,_xlfn.XLOOKUP($A1351,Output_Mac!$A:$A,Output_Mac!K:K,""),
_xlpm.MyAuditVal,_xlfn.XLOOKUP($A1351,My_Audit!$A:$A,My_Audit!J:J,""),
_xlfn.IFS(_xlpm.MyAuditVal&lt;&gt;"",UPPER(_xlpm.MyAuditVal),_xlpm.MacVal&lt;&gt;"",_xlpm.MacVal,_xlpm.CSVVal&lt;&gt;"",_xlpm.CSVVal
)),"")</f>
        <v/>
      </c>
      <c r="L1351" s="40" t="str" cm="1">
        <f t="array" ref="L1351">IFERROR(_xlfn.LET(
_xlpm.CSVVal,_xlfn.XLOOKUP($A1351,CSV!$A:$A,CSV!P:P,""),
_xlpm.MacVal,_xlfn.XLOOKUP($A1351,Output_Mac!$A:$A,Output_Mac!L:L,""),
_xlpm.MyAuditVal,_xlfn.XLOOKUP($A1351,My_Audit!$A:$A,My_Audit!K:K,""),
_xlfn.IFS(_xlpm.MyAuditVal&lt;&gt;"",UPPER(_xlpm.MyAuditVal),_xlpm.MacVal&lt;&gt;"",_xlpm.MacVal,_xlpm.CSVVal&lt;&gt;"",_xlpm.CSVVal
)),"")</f>
        <v/>
      </c>
      <c r="M1351" s="40" t="str" cm="1">
        <f t="array" ref="M1351">IFERROR(_xlfn.LET(
_xlpm.CSVVal,_xlfn.XLOOKUP($A1351,CSV!$A:$A,CSV!Q:Q,""),
_xlpm.MacVal,_xlfn.XLOOKUP($A1351,Output_Mac!$A:$A,Output_Mac!M:M,""),
_xlpm.MyAuditVal,_xlfn.XLOOKUP($A1351,My_Audit!$A:$A,My_Audit!L:L,""),
_xlfn.IFS(_xlpm.MyAuditVal&lt;&gt;"",UPPER(_xlpm.MyAuditVal),_xlpm.MacVal&lt;&gt;"",_xlpm.MacVal,_xlpm.CSVVal&lt;&gt;"",_xlpm.CSVVal
)),"")</f>
        <v/>
      </c>
      <c r="N1351" s="40"/>
      <c r="O1351" s="40" t="str">
        <f>_xlfn.LET(
    _xlpm.CSVVal, _xlfn.XLOOKUP($A1351, CSV!$A:$A, CSV!AA:AA, ""),
    _xlpm.MacVal, _xlfn.XLOOKUP($A1351, Output_Mac!$A:$A, Output_Mac!S:S, ""),
    _xlpm.MyAuditVal, _xlfn.XLOOKUP($A1351, My_Audit!$A:$A, My_Audit!P:P, ""),
    _xlfn.TEXTJOIN(", ", TRUE, _xlpm.MyAuditVal, _xlpm.MacVal, _xlpm.CSVVal)
)</f>
        <v/>
      </c>
      <c r="P1351" s="40" t="str" cm="1">
        <f t="array" ref="P1351">IFERROR(_xlfn.LET(
_xlpm.CSVVal,_xlfn.XLOOKUP($A1351,CSV!$A:$A,CSV!AB:AB,""),
_xlpm.MacVal,_xlfn.XLOOKUP($A1351,Output_Mac!$A:$A,Output_Mac!T:T,""),
_xlpm.MyAuditVal,_xlfn.XLOOKUP($A1351,My_Audit!$A:$A,My_Audit!Q:Q,""),
_xlfn.IFS(_xlpm.MyAuditVal&lt;&gt;"",UPPER(_xlpm.MyAuditVal),_xlpm.MacVal&lt;&gt;"",_xlpm.MacVal,_xlpm.CSVVal&lt;&gt;"",_xlpm.CSVVal
)),"No")</f>
        <v>No</v>
      </c>
      <c r="Q1351" s="40" t="str" cm="1">
        <f t="array" ref="Q1351">IFERROR(_xlfn.LET(
_xlpm.CSVVal,_xlfn.XLOOKUP($A1351,CSV!$A:$A,CSV!AC:AC,""),
_xlpm.MacVal,_xlfn.XLOOKUP($A1351,Output_Mac!$A:$A,Output_Mac!U:U,""),
_xlpm.MyAuditVal,_xlfn.XLOOKUP($A1351,My_Audit!$A:$A,My_Audit!R:R,""),
_xlfn.IFS(_xlpm.MyAuditVal&lt;&gt;"",UPPER(_xlpm.MyAuditVal),_xlpm.MacVal&lt;&gt;"",_xlpm.MacVal,_xlpm.CSVVal&lt;&gt;"",_xlpm.CSVVal
)),"")</f>
        <v/>
      </c>
      <c r="R1351" s="40"/>
      <c r="S1351" s="40"/>
      <c r="T1351" s="40"/>
      <c r="U1351" s="40"/>
      <c r="V1351" s="40"/>
      <c r="W1351" s="40"/>
      <c r="X1351" s="41" t="str">
        <f>_xlfn.LET(
    _xlpm.MacVal, _xlfn.XLOOKUP($A1351, Output_Mac!$A:$A, Output_Mac!AB:AB, ""),
    _xlpm.MyAuditVal, _xlfn.XLOOKUP($A1351, My_Audit!$A:$A, My_Audit!N:N, ""),
    _xlfn.TEXTJOIN(", ", TRUE, _xlpm.MyAuditVal, _xlpm.MacVal)
)</f>
        <v/>
      </c>
    </row>
    <row r="1352" spans="1:24">
      <c r="A1352" s="40" t="str">
        <f>_xlfn.TEXTJOIN("",TRUE,Input!$B$2,ROW(My_Audit!A1351))</f>
        <v>X1351</v>
      </c>
      <c r="B1352" s="40" t="str">
        <f>_xlfn.TEXTJOIN("-",TRUE,"ITD",Input!$A$2,A1352)</f>
        <v>ITD-X1351</v>
      </c>
      <c r="C1352" s="40" t="str" cm="1">
        <f t="array" ref="C1352">IFERROR(_xlfn.LET(
_xlpm.CSVVal,_xlfn.XLOOKUP($A1352,CSV!$A:$A,CSV!B:B,""),
_xlpm.MacVal,_xlfn.XLOOKUP($A1352,Output_Mac!$A:$A,Output_Mac!B:B,""),
_xlpm.MyAuditVal,_xlfn.XLOOKUP($A1352,My_Audit!$A:$A,My_Audit!B:B,""),
_xlfn.IFS(_xlpm.MyAuditVal&lt;&gt;"",UPPER(_xlpm.MyAuditVal),_xlpm.MacVal&lt;&gt;"",_xlpm.MacVal,_xlpm.CSVVal&lt;&gt;"",_xlpm.CSVVal
)),"")</f>
        <v/>
      </c>
      <c r="D1352" s="40" t="str" cm="1">
        <f t="array" ref="D1352">IFERROR(_xlfn.LET(
_xlpm.CSVVal,_xlfn.XLOOKUP($A1352,CSV!$A:$A,CSV!D:D,""),
_xlpm.MacVal,_xlfn.XLOOKUP($A1352,Output_Mac!$A:$A,Output_Mac!C:C,""),
_xlpm.MyAuditVal,_xlfn.XLOOKUP($A1352,My_Audit!$A:$A,My_Audit!C:C,""),
_xlfn.IFS(_xlpm.MyAuditVal&lt;&gt;"",_xlpm.MyAuditVal,_xlpm.MacVal&lt;&gt;"",_xlpm.MacVal,_xlpm.CSVVal&lt;&gt;"",_xlpm.CSVVal
)),"")</f>
        <v/>
      </c>
      <c r="E1352" s="40" t="str">
        <f>_xlfn.XLOOKUP(A1352,My_Audit!A:A,My_Audit!D:D,"")</f>
        <v/>
      </c>
      <c r="F1352" s="40" t="str" cm="1">
        <f t="array" ref="F1352">IFERROR(_xlfn.LET(
_xlpm.CSVVal,_xlfn.XLOOKUP($A1352,CSV!$A:$A,CSV!F:F,""),
_xlpm.MacVal,_xlfn.XLOOKUP($A1352,Output_Mac!$A:$A,Output_Mac!E:E,""),
_xlpm.MyAuditVal,_xlfn.XLOOKUP($A1352,My_Audit!$A:$A,My_Audit!E:E,""),
_xlfn.IFS(_xlpm.MyAuditVal&lt;&gt;"",_xlpm.MyAuditVal,_xlpm.MacVal&lt;&gt;"",_xlpm.MacVal,_xlpm.CSVVal&lt;&gt;"",_xlpm.CSVVal
)),"")</f>
        <v/>
      </c>
      <c r="G1352" s="40" t="str" cm="1">
        <f t="array" ref="G1352">IFERROR(_xlfn.LET(
_xlpm.CSVVal,_xlfn.XLOOKUP($A1352,CSV!$A:$A,CSV!G:G,""),
_xlpm.MacVal,_xlfn.XLOOKUP($A1352,Output_Mac!$A:$A,Output_Mac!F:F,""),
_xlpm.MyAuditVal,_xlfn.XLOOKUP($A1352,My_Audit!$A:$A,My_Audit!F:F,""),
_xlfn.IFS(_xlpm.MyAuditVal&lt;&gt;"",_xlpm.MyAuditVal,_xlpm.MacVal&lt;&gt;"",_xlpm.MacVal,_xlpm.CSVVal&lt;&gt;"",PROPER(_xlpm.CSVVal)
)),"")</f>
        <v/>
      </c>
      <c r="H1352" s="40" t="str" cm="1">
        <f t="array" ref="H1352">IFERROR(_xlfn.LET(
_xlpm.CSVVal,_xlfn.XLOOKUP($A1352,CSV!$A:$A,CSV!H:H,""),
_xlpm.MacVal,_xlfn.XLOOKUP($A1352,Output_Mac!$A:$A,Output_Mac!H:H,""),
_xlpm.MyAuditVal,_xlfn.XLOOKUP($A1352,My_Audit!$A:$A,My_Audit!G:G,""),
_xlfn.IFS(_xlpm.MyAuditVal&lt;&gt;"",_xlpm.MyAuditVal,_xlpm.MacVal&lt;&gt;"",_xlpm.MacVal,_xlpm.CSVVal&lt;&gt;"",_xlpm.CSVVal
)),"")</f>
        <v/>
      </c>
      <c r="I1352" s="40" t="str">
        <f>_xlfn.XLOOKUP(A1352,Output_Mac!A:A,Output_Mac!I:I,"")</f>
        <v/>
      </c>
      <c r="J1352" s="40" t="str" cm="1">
        <f t="array" ref="J1352">IFERROR(_xlfn.LET(
_xlpm.CSVVal,_xlfn.XLOOKUP($A1352,CSV!$A:$A,CSV!I:I,""),
_xlpm.MacVal,_xlfn.XLOOKUP($A1352,Output_Mac!$A:$A,Output_Mac!J:J,""),
_xlpm.MyAuditVal,_xlfn.XLOOKUP($A1352,My_Audit!$A:$A,My_Audit!I:I,""),
_xlfn.IFS(_xlpm.MyAuditVal&lt;&gt;"",UPPER(_xlpm.MyAuditVal),_xlpm.MacVal&lt;&gt;"",_xlpm.MacVal,_xlpm.CSVVal&lt;&gt;"",_xlpm.CSVVal
)),"")</f>
        <v/>
      </c>
      <c r="K1352" s="40" t="str" cm="1">
        <f t="array" ref="K1352">IFERROR(_xlfn.LET(
_xlpm.CSVVal,_xlfn.XLOOKUP($A1352,CSV!$A:$A,CSV!K:K,""),
_xlpm.MacVal,_xlfn.XLOOKUP($A1352,Output_Mac!$A:$A,Output_Mac!K:K,""),
_xlpm.MyAuditVal,_xlfn.XLOOKUP($A1352,My_Audit!$A:$A,My_Audit!J:J,""),
_xlfn.IFS(_xlpm.MyAuditVal&lt;&gt;"",UPPER(_xlpm.MyAuditVal),_xlpm.MacVal&lt;&gt;"",_xlpm.MacVal,_xlpm.CSVVal&lt;&gt;"",_xlpm.CSVVal
)),"")</f>
        <v/>
      </c>
      <c r="L1352" s="40" t="str" cm="1">
        <f t="array" ref="L1352">IFERROR(_xlfn.LET(
_xlpm.CSVVal,_xlfn.XLOOKUP($A1352,CSV!$A:$A,CSV!P:P,""),
_xlpm.MacVal,_xlfn.XLOOKUP($A1352,Output_Mac!$A:$A,Output_Mac!L:L,""),
_xlpm.MyAuditVal,_xlfn.XLOOKUP($A1352,My_Audit!$A:$A,My_Audit!K:K,""),
_xlfn.IFS(_xlpm.MyAuditVal&lt;&gt;"",UPPER(_xlpm.MyAuditVal),_xlpm.MacVal&lt;&gt;"",_xlpm.MacVal,_xlpm.CSVVal&lt;&gt;"",_xlpm.CSVVal
)),"")</f>
        <v/>
      </c>
      <c r="M1352" s="40" t="str" cm="1">
        <f t="array" ref="M1352">IFERROR(_xlfn.LET(
_xlpm.CSVVal,_xlfn.XLOOKUP($A1352,CSV!$A:$A,CSV!Q:Q,""),
_xlpm.MacVal,_xlfn.XLOOKUP($A1352,Output_Mac!$A:$A,Output_Mac!M:M,""),
_xlpm.MyAuditVal,_xlfn.XLOOKUP($A1352,My_Audit!$A:$A,My_Audit!L:L,""),
_xlfn.IFS(_xlpm.MyAuditVal&lt;&gt;"",UPPER(_xlpm.MyAuditVal),_xlpm.MacVal&lt;&gt;"",_xlpm.MacVal,_xlpm.CSVVal&lt;&gt;"",_xlpm.CSVVal
)),"")</f>
        <v/>
      </c>
      <c r="N1352" s="40"/>
      <c r="O1352" s="40" t="str">
        <f>_xlfn.LET(
    _xlpm.CSVVal, _xlfn.XLOOKUP($A1352, CSV!$A:$A, CSV!AA:AA, ""),
    _xlpm.MacVal, _xlfn.XLOOKUP($A1352, Output_Mac!$A:$A, Output_Mac!S:S, ""),
    _xlpm.MyAuditVal, _xlfn.XLOOKUP($A1352, My_Audit!$A:$A, My_Audit!P:P, ""),
    _xlfn.TEXTJOIN(", ", TRUE, _xlpm.MyAuditVal, _xlpm.MacVal, _xlpm.CSVVal)
)</f>
        <v/>
      </c>
      <c r="P1352" s="40" t="str" cm="1">
        <f t="array" ref="P1352">IFERROR(_xlfn.LET(
_xlpm.CSVVal,_xlfn.XLOOKUP($A1352,CSV!$A:$A,CSV!AB:AB,""),
_xlpm.MacVal,_xlfn.XLOOKUP($A1352,Output_Mac!$A:$A,Output_Mac!T:T,""),
_xlpm.MyAuditVal,_xlfn.XLOOKUP($A1352,My_Audit!$A:$A,My_Audit!Q:Q,""),
_xlfn.IFS(_xlpm.MyAuditVal&lt;&gt;"",UPPER(_xlpm.MyAuditVal),_xlpm.MacVal&lt;&gt;"",_xlpm.MacVal,_xlpm.CSVVal&lt;&gt;"",_xlpm.CSVVal
)),"No")</f>
        <v>No</v>
      </c>
      <c r="Q1352" s="40" t="str" cm="1">
        <f t="array" ref="Q1352">IFERROR(_xlfn.LET(
_xlpm.CSVVal,_xlfn.XLOOKUP($A1352,CSV!$A:$A,CSV!AC:AC,""),
_xlpm.MacVal,_xlfn.XLOOKUP($A1352,Output_Mac!$A:$A,Output_Mac!U:U,""),
_xlpm.MyAuditVal,_xlfn.XLOOKUP($A1352,My_Audit!$A:$A,My_Audit!R:R,""),
_xlfn.IFS(_xlpm.MyAuditVal&lt;&gt;"",UPPER(_xlpm.MyAuditVal),_xlpm.MacVal&lt;&gt;"",_xlpm.MacVal,_xlpm.CSVVal&lt;&gt;"",_xlpm.CSVVal
)),"")</f>
        <v/>
      </c>
      <c r="R1352" s="40"/>
      <c r="S1352" s="40"/>
      <c r="T1352" s="40"/>
      <c r="U1352" s="40"/>
      <c r="V1352" s="40"/>
      <c r="W1352" s="40"/>
      <c r="X1352" s="41" t="str">
        <f>_xlfn.LET(
    _xlpm.MacVal, _xlfn.XLOOKUP($A1352, Output_Mac!$A:$A, Output_Mac!AB:AB, ""),
    _xlpm.MyAuditVal, _xlfn.XLOOKUP($A1352, My_Audit!$A:$A, My_Audit!N:N, ""),
    _xlfn.TEXTJOIN(", ", TRUE, _xlpm.MyAuditVal, _xlpm.MacVal)
)</f>
        <v/>
      </c>
    </row>
    <row r="1353" spans="1:24">
      <c r="A1353" s="40" t="str">
        <f>_xlfn.TEXTJOIN("",TRUE,Input!$B$2,ROW(My_Audit!A1352))</f>
        <v>X1352</v>
      </c>
      <c r="B1353" s="40" t="str">
        <f>_xlfn.TEXTJOIN("-",TRUE,"ITD",Input!$A$2,A1353)</f>
        <v>ITD-X1352</v>
      </c>
      <c r="C1353" s="40" t="str" cm="1">
        <f t="array" ref="C1353">IFERROR(_xlfn.LET(
_xlpm.CSVVal,_xlfn.XLOOKUP($A1353,CSV!$A:$A,CSV!B:B,""),
_xlpm.MacVal,_xlfn.XLOOKUP($A1353,Output_Mac!$A:$A,Output_Mac!B:B,""),
_xlpm.MyAuditVal,_xlfn.XLOOKUP($A1353,My_Audit!$A:$A,My_Audit!B:B,""),
_xlfn.IFS(_xlpm.MyAuditVal&lt;&gt;"",UPPER(_xlpm.MyAuditVal),_xlpm.MacVal&lt;&gt;"",_xlpm.MacVal,_xlpm.CSVVal&lt;&gt;"",_xlpm.CSVVal
)),"")</f>
        <v/>
      </c>
      <c r="D1353" s="40" t="str" cm="1">
        <f t="array" ref="D1353">IFERROR(_xlfn.LET(
_xlpm.CSVVal,_xlfn.XLOOKUP($A1353,CSV!$A:$A,CSV!D:D,""),
_xlpm.MacVal,_xlfn.XLOOKUP($A1353,Output_Mac!$A:$A,Output_Mac!C:C,""),
_xlpm.MyAuditVal,_xlfn.XLOOKUP($A1353,My_Audit!$A:$A,My_Audit!C:C,""),
_xlfn.IFS(_xlpm.MyAuditVal&lt;&gt;"",_xlpm.MyAuditVal,_xlpm.MacVal&lt;&gt;"",_xlpm.MacVal,_xlpm.CSVVal&lt;&gt;"",_xlpm.CSVVal
)),"")</f>
        <v/>
      </c>
      <c r="E1353" s="40" t="str">
        <f>_xlfn.XLOOKUP(A1353,My_Audit!A:A,My_Audit!D:D,"")</f>
        <v/>
      </c>
      <c r="F1353" s="40" t="str" cm="1">
        <f t="array" ref="F1353">IFERROR(_xlfn.LET(
_xlpm.CSVVal,_xlfn.XLOOKUP($A1353,CSV!$A:$A,CSV!F:F,""),
_xlpm.MacVal,_xlfn.XLOOKUP($A1353,Output_Mac!$A:$A,Output_Mac!E:E,""),
_xlpm.MyAuditVal,_xlfn.XLOOKUP($A1353,My_Audit!$A:$A,My_Audit!E:E,""),
_xlfn.IFS(_xlpm.MyAuditVal&lt;&gt;"",_xlpm.MyAuditVal,_xlpm.MacVal&lt;&gt;"",_xlpm.MacVal,_xlpm.CSVVal&lt;&gt;"",_xlpm.CSVVal
)),"")</f>
        <v/>
      </c>
      <c r="G1353" s="40" t="str" cm="1">
        <f t="array" ref="G1353">IFERROR(_xlfn.LET(
_xlpm.CSVVal,_xlfn.XLOOKUP($A1353,CSV!$A:$A,CSV!G:G,""),
_xlpm.MacVal,_xlfn.XLOOKUP($A1353,Output_Mac!$A:$A,Output_Mac!F:F,""),
_xlpm.MyAuditVal,_xlfn.XLOOKUP($A1353,My_Audit!$A:$A,My_Audit!F:F,""),
_xlfn.IFS(_xlpm.MyAuditVal&lt;&gt;"",_xlpm.MyAuditVal,_xlpm.MacVal&lt;&gt;"",_xlpm.MacVal,_xlpm.CSVVal&lt;&gt;"",PROPER(_xlpm.CSVVal)
)),"")</f>
        <v/>
      </c>
      <c r="H1353" s="40" t="str" cm="1">
        <f t="array" ref="H1353">IFERROR(_xlfn.LET(
_xlpm.CSVVal,_xlfn.XLOOKUP($A1353,CSV!$A:$A,CSV!H:H,""),
_xlpm.MacVal,_xlfn.XLOOKUP($A1353,Output_Mac!$A:$A,Output_Mac!H:H,""),
_xlpm.MyAuditVal,_xlfn.XLOOKUP($A1353,My_Audit!$A:$A,My_Audit!G:G,""),
_xlfn.IFS(_xlpm.MyAuditVal&lt;&gt;"",_xlpm.MyAuditVal,_xlpm.MacVal&lt;&gt;"",_xlpm.MacVal,_xlpm.CSVVal&lt;&gt;"",_xlpm.CSVVal
)),"")</f>
        <v/>
      </c>
      <c r="I1353" s="40" t="str">
        <f>_xlfn.XLOOKUP(A1353,Output_Mac!A:A,Output_Mac!I:I,"")</f>
        <v/>
      </c>
      <c r="J1353" s="40" t="str" cm="1">
        <f t="array" ref="J1353">IFERROR(_xlfn.LET(
_xlpm.CSVVal,_xlfn.XLOOKUP($A1353,CSV!$A:$A,CSV!I:I,""),
_xlpm.MacVal,_xlfn.XLOOKUP($A1353,Output_Mac!$A:$A,Output_Mac!J:J,""),
_xlpm.MyAuditVal,_xlfn.XLOOKUP($A1353,My_Audit!$A:$A,My_Audit!I:I,""),
_xlfn.IFS(_xlpm.MyAuditVal&lt;&gt;"",UPPER(_xlpm.MyAuditVal),_xlpm.MacVal&lt;&gt;"",_xlpm.MacVal,_xlpm.CSVVal&lt;&gt;"",_xlpm.CSVVal
)),"")</f>
        <v/>
      </c>
      <c r="K1353" s="40" t="str" cm="1">
        <f t="array" ref="K1353">IFERROR(_xlfn.LET(
_xlpm.CSVVal,_xlfn.XLOOKUP($A1353,CSV!$A:$A,CSV!K:K,""),
_xlpm.MacVal,_xlfn.XLOOKUP($A1353,Output_Mac!$A:$A,Output_Mac!K:K,""),
_xlpm.MyAuditVal,_xlfn.XLOOKUP($A1353,My_Audit!$A:$A,My_Audit!J:J,""),
_xlfn.IFS(_xlpm.MyAuditVal&lt;&gt;"",UPPER(_xlpm.MyAuditVal),_xlpm.MacVal&lt;&gt;"",_xlpm.MacVal,_xlpm.CSVVal&lt;&gt;"",_xlpm.CSVVal
)),"")</f>
        <v/>
      </c>
      <c r="L1353" s="40" t="str" cm="1">
        <f t="array" ref="L1353">IFERROR(_xlfn.LET(
_xlpm.CSVVal,_xlfn.XLOOKUP($A1353,CSV!$A:$A,CSV!P:P,""),
_xlpm.MacVal,_xlfn.XLOOKUP($A1353,Output_Mac!$A:$A,Output_Mac!L:L,""),
_xlpm.MyAuditVal,_xlfn.XLOOKUP($A1353,My_Audit!$A:$A,My_Audit!K:K,""),
_xlfn.IFS(_xlpm.MyAuditVal&lt;&gt;"",UPPER(_xlpm.MyAuditVal),_xlpm.MacVal&lt;&gt;"",_xlpm.MacVal,_xlpm.CSVVal&lt;&gt;"",_xlpm.CSVVal
)),"")</f>
        <v/>
      </c>
      <c r="M1353" s="40" t="str" cm="1">
        <f t="array" ref="M1353">IFERROR(_xlfn.LET(
_xlpm.CSVVal,_xlfn.XLOOKUP($A1353,CSV!$A:$A,CSV!Q:Q,""),
_xlpm.MacVal,_xlfn.XLOOKUP($A1353,Output_Mac!$A:$A,Output_Mac!M:M,""),
_xlpm.MyAuditVal,_xlfn.XLOOKUP($A1353,My_Audit!$A:$A,My_Audit!L:L,""),
_xlfn.IFS(_xlpm.MyAuditVal&lt;&gt;"",UPPER(_xlpm.MyAuditVal),_xlpm.MacVal&lt;&gt;"",_xlpm.MacVal,_xlpm.CSVVal&lt;&gt;"",_xlpm.CSVVal
)),"")</f>
        <v/>
      </c>
      <c r="N1353" s="40"/>
      <c r="O1353" s="40" t="str">
        <f>_xlfn.LET(
    _xlpm.CSVVal, _xlfn.XLOOKUP($A1353, CSV!$A:$A, CSV!AA:AA, ""),
    _xlpm.MacVal, _xlfn.XLOOKUP($A1353, Output_Mac!$A:$A, Output_Mac!S:S, ""),
    _xlpm.MyAuditVal, _xlfn.XLOOKUP($A1353, My_Audit!$A:$A, My_Audit!P:P, ""),
    _xlfn.TEXTJOIN(", ", TRUE, _xlpm.MyAuditVal, _xlpm.MacVal, _xlpm.CSVVal)
)</f>
        <v/>
      </c>
      <c r="P1353" s="40" t="str" cm="1">
        <f t="array" ref="P1353">IFERROR(_xlfn.LET(
_xlpm.CSVVal,_xlfn.XLOOKUP($A1353,CSV!$A:$A,CSV!AB:AB,""),
_xlpm.MacVal,_xlfn.XLOOKUP($A1353,Output_Mac!$A:$A,Output_Mac!T:T,""),
_xlpm.MyAuditVal,_xlfn.XLOOKUP($A1353,My_Audit!$A:$A,My_Audit!Q:Q,""),
_xlfn.IFS(_xlpm.MyAuditVal&lt;&gt;"",UPPER(_xlpm.MyAuditVal),_xlpm.MacVal&lt;&gt;"",_xlpm.MacVal,_xlpm.CSVVal&lt;&gt;"",_xlpm.CSVVal
)),"No")</f>
        <v>No</v>
      </c>
      <c r="Q1353" s="40" t="str" cm="1">
        <f t="array" ref="Q1353">IFERROR(_xlfn.LET(
_xlpm.CSVVal,_xlfn.XLOOKUP($A1353,CSV!$A:$A,CSV!AC:AC,""),
_xlpm.MacVal,_xlfn.XLOOKUP($A1353,Output_Mac!$A:$A,Output_Mac!U:U,""),
_xlpm.MyAuditVal,_xlfn.XLOOKUP($A1353,My_Audit!$A:$A,My_Audit!R:R,""),
_xlfn.IFS(_xlpm.MyAuditVal&lt;&gt;"",UPPER(_xlpm.MyAuditVal),_xlpm.MacVal&lt;&gt;"",_xlpm.MacVal,_xlpm.CSVVal&lt;&gt;"",_xlpm.CSVVal
)),"")</f>
        <v/>
      </c>
      <c r="R1353" s="40"/>
      <c r="S1353" s="40"/>
      <c r="T1353" s="40"/>
      <c r="U1353" s="40"/>
      <c r="V1353" s="40"/>
      <c r="W1353" s="40"/>
      <c r="X1353" s="41" t="str">
        <f>_xlfn.LET(
    _xlpm.MacVal, _xlfn.XLOOKUP($A1353, Output_Mac!$A:$A, Output_Mac!AB:AB, ""),
    _xlpm.MyAuditVal, _xlfn.XLOOKUP($A1353, My_Audit!$A:$A, My_Audit!N:N, ""),
    _xlfn.TEXTJOIN(", ", TRUE, _xlpm.MyAuditVal, _xlpm.MacVal)
)</f>
        <v/>
      </c>
    </row>
    <row r="1354" spans="1:24">
      <c r="A1354" s="40" t="str">
        <f>_xlfn.TEXTJOIN("",TRUE,Input!$B$2,ROW(My_Audit!A1353))</f>
        <v>X1353</v>
      </c>
      <c r="B1354" s="40" t="str">
        <f>_xlfn.TEXTJOIN("-",TRUE,"ITD",Input!$A$2,A1354)</f>
        <v>ITD-X1353</v>
      </c>
      <c r="C1354" s="40" t="str" cm="1">
        <f t="array" ref="C1354">IFERROR(_xlfn.LET(
_xlpm.CSVVal,_xlfn.XLOOKUP($A1354,CSV!$A:$A,CSV!B:B,""),
_xlpm.MacVal,_xlfn.XLOOKUP($A1354,Output_Mac!$A:$A,Output_Mac!B:B,""),
_xlpm.MyAuditVal,_xlfn.XLOOKUP($A1354,My_Audit!$A:$A,My_Audit!B:B,""),
_xlfn.IFS(_xlpm.MyAuditVal&lt;&gt;"",UPPER(_xlpm.MyAuditVal),_xlpm.MacVal&lt;&gt;"",_xlpm.MacVal,_xlpm.CSVVal&lt;&gt;"",_xlpm.CSVVal
)),"")</f>
        <v/>
      </c>
      <c r="D1354" s="40" t="str" cm="1">
        <f t="array" ref="D1354">IFERROR(_xlfn.LET(
_xlpm.CSVVal,_xlfn.XLOOKUP($A1354,CSV!$A:$A,CSV!D:D,""),
_xlpm.MacVal,_xlfn.XLOOKUP($A1354,Output_Mac!$A:$A,Output_Mac!C:C,""),
_xlpm.MyAuditVal,_xlfn.XLOOKUP($A1354,My_Audit!$A:$A,My_Audit!C:C,""),
_xlfn.IFS(_xlpm.MyAuditVal&lt;&gt;"",_xlpm.MyAuditVal,_xlpm.MacVal&lt;&gt;"",_xlpm.MacVal,_xlpm.CSVVal&lt;&gt;"",_xlpm.CSVVal
)),"")</f>
        <v/>
      </c>
      <c r="E1354" s="40" t="str">
        <f>_xlfn.XLOOKUP(A1354,My_Audit!A:A,My_Audit!D:D,"")</f>
        <v/>
      </c>
      <c r="F1354" s="40" t="str" cm="1">
        <f t="array" ref="F1354">IFERROR(_xlfn.LET(
_xlpm.CSVVal,_xlfn.XLOOKUP($A1354,CSV!$A:$A,CSV!F:F,""),
_xlpm.MacVal,_xlfn.XLOOKUP($A1354,Output_Mac!$A:$A,Output_Mac!E:E,""),
_xlpm.MyAuditVal,_xlfn.XLOOKUP($A1354,My_Audit!$A:$A,My_Audit!E:E,""),
_xlfn.IFS(_xlpm.MyAuditVal&lt;&gt;"",_xlpm.MyAuditVal,_xlpm.MacVal&lt;&gt;"",_xlpm.MacVal,_xlpm.CSVVal&lt;&gt;"",_xlpm.CSVVal
)),"")</f>
        <v/>
      </c>
      <c r="G1354" s="40" t="str" cm="1">
        <f t="array" ref="G1354">IFERROR(_xlfn.LET(
_xlpm.CSVVal,_xlfn.XLOOKUP($A1354,CSV!$A:$A,CSV!G:G,""),
_xlpm.MacVal,_xlfn.XLOOKUP($A1354,Output_Mac!$A:$A,Output_Mac!F:F,""),
_xlpm.MyAuditVal,_xlfn.XLOOKUP($A1354,My_Audit!$A:$A,My_Audit!F:F,""),
_xlfn.IFS(_xlpm.MyAuditVal&lt;&gt;"",_xlpm.MyAuditVal,_xlpm.MacVal&lt;&gt;"",_xlpm.MacVal,_xlpm.CSVVal&lt;&gt;"",PROPER(_xlpm.CSVVal)
)),"")</f>
        <v/>
      </c>
      <c r="H1354" s="40" t="str" cm="1">
        <f t="array" ref="H1354">IFERROR(_xlfn.LET(
_xlpm.CSVVal,_xlfn.XLOOKUP($A1354,CSV!$A:$A,CSV!H:H,""),
_xlpm.MacVal,_xlfn.XLOOKUP($A1354,Output_Mac!$A:$A,Output_Mac!H:H,""),
_xlpm.MyAuditVal,_xlfn.XLOOKUP($A1354,My_Audit!$A:$A,My_Audit!G:G,""),
_xlfn.IFS(_xlpm.MyAuditVal&lt;&gt;"",_xlpm.MyAuditVal,_xlpm.MacVal&lt;&gt;"",_xlpm.MacVal,_xlpm.CSVVal&lt;&gt;"",_xlpm.CSVVal
)),"")</f>
        <v/>
      </c>
      <c r="I1354" s="40" t="str">
        <f>_xlfn.XLOOKUP(A1354,Output_Mac!A:A,Output_Mac!I:I,"")</f>
        <v/>
      </c>
      <c r="J1354" s="40" t="str" cm="1">
        <f t="array" ref="J1354">IFERROR(_xlfn.LET(
_xlpm.CSVVal,_xlfn.XLOOKUP($A1354,CSV!$A:$A,CSV!I:I,""),
_xlpm.MacVal,_xlfn.XLOOKUP($A1354,Output_Mac!$A:$A,Output_Mac!J:J,""),
_xlpm.MyAuditVal,_xlfn.XLOOKUP($A1354,My_Audit!$A:$A,My_Audit!I:I,""),
_xlfn.IFS(_xlpm.MyAuditVal&lt;&gt;"",UPPER(_xlpm.MyAuditVal),_xlpm.MacVal&lt;&gt;"",_xlpm.MacVal,_xlpm.CSVVal&lt;&gt;"",_xlpm.CSVVal
)),"")</f>
        <v/>
      </c>
      <c r="K1354" s="40" t="str" cm="1">
        <f t="array" ref="K1354">IFERROR(_xlfn.LET(
_xlpm.CSVVal,_xlfn.XLOOKUP($A1354,CSV!$A:$A,CSV!K:K,""),
_xlpm.MacVal,_xlfn.XLOOKUP($A1354,Output_Mac!$A:$A,Output_Mac!K:K,""),
_xlpm.MyAuditVal,_xlfn.XLOOKUP($A1354,My_Audit!$A:$A,My_Audit!J:J,""),
_xlfn.IFS(_xlpm.MyAuditVal&lt;&gt;"",UPPER(_xlpm.MyAuditVal),_xlpm.MacVal&lt;&gt;"",_xlpm.MacVal,_xlpm.CSVVal&lt;&gt;"",_xlpm.CSVVal
)),"")</f>
        <v/>
      </c>
      <c r="L1354" s="40" t="str" cm="1">
        <f t="array" ref="L1354">IFERROR(_xlfn.LET(
_xlpm.CSVVal,_xlfn.XLOOKUP($A1354,CSV!$A:$A,CSV!P:P,""),
_xlpm.MacVal,_xlfn.XLOOKUP($A1354,Output_Mac!$A:$A,Output_Mac!L:L,""),
_xlpm.MyAuditVal,_xlfn.XLOOKUP($A1354,My_Audit!$A:$A,My_Audit!K:K,""),
_xlfn.IFS(_xlpm.MyAuditVal&lt;&gt;"",UPPER(_xlpm.MyAuditVal),_xlpm.MacVal&lt;&gt;"",_xlpm.MacVal,_xlpm.CSVVal&lt;&gt;"",_xlpm.CSVVal
)),"")</f>
        <v/>
      </c>
      <c r="M1354" s="40" t="str" cm="1">
        <f t="array" ref="M1354">IFERROR(_xlfn.LET(
_xlpm.CSVVal,_xlfn.XLOOKUP($A1354,CSV!$A:$A,CSV!Q:Q,""),
_xlpm.MacVal,_xlfn.XLOOKUP($A1354,Output_Mac!$A:$A,Output_Mac!M:M,""),
_xlpm.MyAuditVal,_xlfn.XLOOKUP($A1354,My_Audit!$A:$A,My_Audit!L:L,""),
_xlfn.IFS(_xlpm.MyAuditVal&lt;&gt;"",UPPER(_xlpm.MyAuditVal),_xlpm.MacVal&lt;&gt;"",_xlpm.MacVal,_xlpm.CSVVal&lt;&gt;"",_xlpm.CSVVal
)),"")</f>
        <v/>
      </c>
      <c r="N1354" s="40"/>
      <c r="O1354" s="40" t="str">
        <f>_xlfn.LET(
    _xlpm.CSVVal, _xlfn.XLOOKUP($A1354, CSV!$A:$A, CSV!AA:AA, ""),
    _xlpm.MacVal, _xlfn.XLOOKUP($A1354, Output_Mac!$A:$A, Output_Mac!S:S, ""),
    _xlpm.MyAuditVal, _xlfn.XLOOKUP($A1354, My_Audit!$A:$A, My_Audit!P:P, ""),
    _xlfn.TEXTJOIN(", ", TRUE, _xlpm.MyAuditVal, _xlpm.MacVal, _xlpm.CSVVal)
)</f>
        <v/>
      </c>
      <c r="P1354" s="40" t="str" cm="1">
        <f t="array" ref="P1354">IFERROR(_xlfn.LET(
_xlpm.CSVVal,_xlfn.XLOOKUP($A1354,CSV!$A:$A,CSV!AB:AB,""),
_xlpm.MacVal,_xlfn.XLOOKUP($A1354,Output_Mac!$A:$A,Output_Mac!T:T,""),
_xlpm.MyAuditVal,_xlfn.XLOOKUP($A1354,My_Audit!$A:$A,My_Audit!Q:Q,""),
_xlfn.IFS(_xlpm.MyAuditVal&lt;&gt;"",UPPER(_xlpm.MyAuditVal),_xlpm.MacVal&lt;&gt;"",_xlpm.MacVal,_xlpm.CSVVal&lt;&gt;"",_xlpm.CSVVal
)),"No")</f>
        <v>No</v>
      </c>
      <c r="Q1354" s="40" t="str" cm="1">
        <f t="array" ref="Q1354">IFERROR(_xlfn.LET(
_xlpm.CSVVal,_xlfn.XLOOKUP($A1354,CSV!$A:$A,CSV!AC:AC,""),
_xlpm.MacVal,_xlfn.XLOOKUP($A1354,Output_Mac!$A:$A,Output_Mac!U:U,""),
_xlpm.MyAuditVal,_xlfn.XLOOKUP($A1354,My_Audit!$A:$A,My_Audit!R:R,""),
_xlfn.IFS(_xlpm.MyAuditVal&lt;&gt;"",UPPER(_xlpm.MyAuditVal),_xlpm.MacVal&lt;&gt;"",_xlpm.MacVal,_xlpm.CSVVal&lt;&gt;"",_xlpm.CSVVal
)),"")</f>
        <v/>
      </c>
      <c r="R1354" s="40"/>
      <c r="S1354" s="40"/>
      <c r="T1354" s="40"/>
      <c r="U1354" s="40"/>
      <c r="V1354" s="40"/>
      <c r="W1354" s="40"/>
      <c r="X1354" s="41" t="str">
        <f>_xlfn.LET(
    _xlpm.MacVal, _xlfn.XLOOKUP($A1354, Output_Mac!$A:$A, Output_Mac!AB:AB, ""),
    _xlpm.MyAuditVal, _xlfn.XLOOKUP($A1354, My_Audit!$A:$A, My_Audit!N:N, ""),
    _xlfn.TEXTJOIN(", ", TRUE, _xlpm.MyAuditVal, _xlpm.MacVal)
)</f>
        <v/>
      </c>
    </row>
    <row r="1355" spans="1:24">
      <c r="A1355" s="40" t="str">
        <f>_xlfn.TEXTJOIN("",TRUE,Input!$B$2,ROW(My_Audit!A1354))</f>
        <v>X1354</v>
      </c>
      <c r="B1355" s="40" t="str">
        <f>_xlfn.TEXTJOIN("-",TRUE,"ITD",Input!$A$2,A1355)</f>
        <v>ITD-X1354</v>
      </c>
      <c r="C1355" s="40" t="str" cm="1">
        <f t="array" ref="C1355">IFERROR(_xlfn.LET(
_xlpm.CSVVal,_xlfn.XLOOKUP($A1355,CSV!$A:$A,CSV!B:B,""),
_xlpm.MacVal,_xlfn.XLOOKUP($A1355,Output_Mac!$A:$A,Output_Mac!B:B,""),
_xlpm.MyAuditVal,_xlfn.XLOOKUP($A1355,My_Audit!$A:$A,My_Audit!B:B,""),
_xlfn.IFS(_xlpm.MyAuditVal&lt;&gt;"",UPPER(_xlpm.MyAuditVal),_xlpm.MacVal&lt;&gt;"",_xlpm.MacVal,_xlpm.CSVVal&lt;&gt;"",_xlpm.CSVVal
)),"")</f>
        <v/>
      </c>
      <c r="D1355" s="40" t="str" cm="1">
        <f t="array" ref="D1355">IFERROR(_xlfn.LET(
_xlpm.CSVVal,_xlfn.XLOOKUP($A1355,CSV!$A:$A,CSV!D:D,""),
_xlpm.MacVal,_xlfn.XLOOKUP($A1355,Output_Mac!$A:$A,Output_Mac!C:C,""),
_xlpm.MyAuditVal,_xlfn.XLOOKUP($A1355,My_Audit!$A:$A,My_Audit!C:C,""),
_xlfn.IFS(_xlpm.MyAuditVal&lt;&gt;"",_xlpm.MyAuditVal,_xlpm.MacVal&lt;&gt;"",_xlpm.MacVal,_xlpm.CSVVal&lt;&gt;"",_xlpm.CSVVal
)),"")</f>
        <v/>
      </c>
      <c r="E1355" s="40" t="str">
        <f>_xlfn.XLOOKUP(A1355,My_Audit!A:A,My_Audit!D:D,"")</f>
        <v/>
      </c>
      <c r="F1355" s="40" t="str" cm="1">
        <f t="array" ref="F1355">IFERROR(_xlfn.LET(
_xlpm.CSVVal,_xlfn.XLOOKUP($A1355,CSV!$A:$A,CSV!F:F,""),
_xlpm.MacVal,_xlfn.XLOOKUP($A1355,Output_Mac!$A:$A,Output_Mac!E:E,""),
_xlpm.MyAuditVal,_xlfn.XLOOKUP($A1355,My_Audit!$A:$A,My_Audit!E:E,""),
_xlfn.IFS(_xlpm.MyAuditVal&lt;&gt;"",_xlpm.MyAuditVal,_xlpm.MacVal&lt;&gt;"",_xlpm.MacVal,_xlpm.CSVVal&lt;&gt;"",_xlpm.CSVVal
)),"")</f>
        <v/>
      </c>
      <c r="G1355" s="40" t="str" cm="1">
        <f t="array" ref="G1355">IFERROR(_xlfn.LET(
_xlpm.CSVVal,_xlfn.XLOOKUP($A1355,CSV!$A:$A,CSV!G:G,""),
_xlpm.MacVal,_xlfn.XLOOKUP($A1355,Output_Mac!$A:$A,Output_Mac!F:F,""),
_xlpm.MyAuditVal,_xlfn.XLOOKUP($A1355,My_Audit!$A:$A,My_Audit!F:F,""),
_xlfn.IFS(_xlpm.MyAuditVal&lt;&gt;"",_xlpm.MyAuditVal,_xlpm.MacVal&lt;&gt;"",_xlpm.MacVal,_xlpm.CSVVal&lt;&gt;"",PROPER(_xlpm.CSVVal)
)),"")</f>
        <v/>
      </c>
      <c r="H1355" s="40" t="str" cm="1">
        <f t="array" ref="H1355">IFERROR(_xlfn.LET(
_xlpm.CSVVal,_xlfn.XLOOKUP($A1355,CSV!$A:$A,CSV!H:H,""),
_xlpm.MacVal,_xlfn.XLOOKUP($A1355,Output_Mac!$A:$A,Output_Mac!H:H,""),
_xlpm.MyAuditVal,_xlfn.XLOOKUP($A1355,My_Audit!$A:$A,My_Audit!G:G,""),
_xlfn.IFS(_xlpm.MyAuditVal&lt;&gt;"",_xlpm.MyAuditVal,_xlpm.MacVal&lt;&gt;"",_xlpm.MacVal,_xlpm.CSVVal&lt;&gt;"",_xlpm.CSVVal
)),"")</f>
        <v/>
      </c>
      <c r="I1355" s="40" t="str">
        <f>_xlfn.XLOOKUP(A1355,Output_Mac!A:A,Output_Mac!I:I,"")</f>
        <v/>
      </c>
      <c r="J1355" s="40" t="str" cm="1">
        <f t="array" ref="J1355">IFERROR(_xlfn.LET(
_xlpm.CSVVal,_xlfn.XLOOKUP($A1355,CSV!$A:$A,CSV!I:I,""),
_xlpm.MacVal,_xlfn.XLOOKUP($A1355,Output_Mac!$A:$A,Output_Mac!J:J,""),
_xlpm.MyAuditVal,_xlfn.XLOOKUP($A1355,My_Audit!$A:$A,My_Audit!I:I,""),
_xlfn.IFS(_xlpm.MyAuditVal&lt;&gt;"",UPPER(_xlpm.MyAuditVal),_xlpm.MacVal&lt;&gt;"",_xlpm.MacVal,_xlpm.CSVVal&lt;&gt;"",_xlpm.CSVVal
)),"")</f>
        <v/>
      </c>
      <c r="K1355" s="40" t="str" cm="1">
        <f t="array" ref="K1355">IFERROR(_xlfn.LET(
_xlpm.CSVVal,_xlfn.XLOOKUP($A1355,CSV!$A:$A,CSV!K:K,""),
_xlpm.MacVal,_xlfn.XLOOKUP($A1355,Output_Mac!$A:$A,Output_Mac!K:K,""),
_xlpm.MyAuditVal,_xlfn.XLOOKUP($A1355,My_Audit!$A:$A,My_Audit!J:J,""),
_xlfn.IFS(_xlpm.MyAuditVal&lt;&gt;"",UPPER(_xlpm.MyAuditVal),_xlpm.MacVal&lt;&gt;"",_xlpm.MacVal,_xlpm.CSVVal&lt;&gt;"",_xlpm.CSVVal
)),"")</f>
        <v/>
      </c>
      <c r="L1355" s="40" t="str" cm="1">
        <f t="array" ref="L1355">IFERROR(_xlfn.LET(
_xlpm.CSVVal,_xlfn.XLOOKUP($A1355,CSV!$A:$A,CSV!P:P,""),
_xlpm.MacVal,_xlfn.XLOOKUP($A1355,Output_Mac!$A:$A,Output_Mac!L:L,""),
_xlpm.MyAuditVal,_xlfn.XLOOKUP($A1355,My_Audit!$A:$A,My_Audit!K:K,""),
_xlfn.IFS(_xlpm.MyAuditVal&lt;&gt;"",UPPER(_xlpm.MyAuditVal),_xlpm.MacVal&lt;&gt;"",_xlpm.MacVal,_xlpm.CSVVal&lt;&gt;"",_xlpm.CSVVal
)),"")</f>
        <v/>
      </c>
      <c r="M1355" s="40" t="str" cm="1">
        <f t="array" ref="M1355">IFERROR(_xlfn.LET(
_xlpm.CSVVal,_xlfn.XLOOKUP($A1355,CSV!$A:$A,CSV!Q:Q,""),
_xlpm.MacVal,_xlfn.XLOOKUP($A1355,Output_Mac!$A:$A,Output_Mac!M:M,""),
_xlpm.MyAuditVal,_xlfn.XLOOKUP($A1355,My_Audit!$A:$A,My_Audit!L:L,""),
_xlfn.IFS(_xlpm.MyAuditVal&lt;&gt;"",UPPER(_xlpm.MyAuditVal),_xlpm.MacVal&lt;&gt;"",_xlpm.MacVal,_xlpm.CSVVal&lt;&gt;"",_xlpm.CSVVal
)),"")</f>
        <v/>
      </c>
      <c r="N1355" s="40"/>
      <c r="O1355" s="40" t="str">
        <f>_xlfn.LET(
    _xlpm.CSVVal, _xlfn.XLOOKUP($A1355, CSV!$A:$A, CSV!AA:AA, ""),
    _xlpm.MacVal, _xlfn.XLOOKUP($A1355, Output_Mac!$A:$A, Output_Mac!S:S, ""),
    _xlpm.MyAuditVal, _xlfn.XLOOKUP($A1355, My_Audit!$A:$A, My_Audit!P:P, ""),
    _xlfn.TEXTJOIN(", ", TRUE, _xlpm.MyAuditVal, _xlpm.MacVal, _xlpm.CSVVal)
)</f>
        <v/>
      </c>
      <c r="P1355" s="40" t="str" cm="1">
        <f t="array" ref="P1355">IFERROR(_xlfn.LET(
_xlpm.CSVVal,_xlfn.XLOOKUP($A1355,CSV!$A:$A,CSV!AB:AB,""),
_xlpm.MacVal,_xlfn.XLOOKUP($A1355,Output_Mac!$A:$A,Output_Mac!T:T,""),
_xlpm.MyAuditVal,_xlfn.XLOOKUP($A1355,My_Audit!$A:$A,My_Audit!Q:Q,""),
_xlfn.IFS(_xlpm.MyAuditVal&lt;&gt;"",UPPER(_xlpm.MyAuditVal),_xlpm.MacVal&lt;&gt;"",_xlpm.MacVal,_xlpm.CSVVal&lt;&gt;"",_xlpm.CSVVal
)),"No")</f>
        <v>No</v>
      </c>
      <c r="Q1355" s="40" t="str" cm="1">
        <f t="array" ref="Q1355">IFERROR(_xlfn.LET(
_xlpm.CSVVal,_xlfn.XLOOKUP($A1355,CSV!$A:$A,CSV!AC:AC,""),
_xlpm.MacVal,_xlfn.XLOOKUP($A1355,Output_Mac!$A:$A,Output_Mac!U:U,""),
_xlpm.MyAuditVal,_xlfn.XLOOKUP($A1355,My_Audit!$A:$A,My_Audit!R:R,""),
_xlfn.IFS(_xlpm.MyAuditVal&lt;&gt;"",UPPER(_xlpm.MyAuditVal),_xlpm.MacVal&lt;&gt;"",_xlpm.MacVal,_xlpm.CSVVal&lt;&gt;"",_xlpm.CSVVal
)),"")</f>
        <v/>
      </c>
      <c r="R1355" s="40"/>
      <c r="S1355" s="40"/>
      <c r="T1355" s="40"/>
      <c r="U1355" s="40"/>
      <c r="V1355" s="40"/>
      <c r="W1355" s="40"/>
      <c r="X1355" s="41" t="str">
        <f>_xlfn.LET(
    _xlpm.MacVal, _xlfn.XLOOKUP($A1355, Output_Mac!$A:$A, Output_Mac!AB:AB, ""),
    _xlpm.MyAuditVal, _xlfn.XLOOKUP($A1355, My_Audit!$A:$A, My_Audit!N:N, ""),
    _xlfn.TEXTJOIN(", ", TRUE, _xlpm.MyAuditVal, _xlpm.MacVal)
)</f>
        <v/>
      </c>
    </row>
    <row r="1356" spans="1:24">
      <c r="A1356" s="40" t="str">
        <f>_xlfn.TEXTJOIN("",TRUE,Input!$B$2,ROW(My_Audit!A1355))</f>
        <v>X1355</v>
      </c>
      <c r="B1356" s="40" t="str">
        <f>_xlfn.TEXTJOIN("-",TRUE,"ITD",Input!$A$2,A1356)</f>
        <v>ITD-X1355</v>
      </c>
      <c r="C1356" s="40" t="str" cm="1">
        <f t="array" ref="C1356">IFERROR(_xlfn.LET(
_xlpm.CSVVal,_xlfn.XLOOKUP($A1356,CSV!$A:$A,CSV!B:B,""),
_xlpm.MacVal,_xlfn.XLOOKUP($A1356,Output_Mac!$A:$A,Output_Mac!B:B,""),
_xlpm.MyAuditVal,_xlfn.XLOOKUP($A1356,My_Audit!$A:$A,My_Audit!B:B,""),
_xlfn.IFS(_xlpm.MyAuditVal&lt;&gt;"",UPPER(_xlpm.MyAuditVal),_xlpm.MacVal&lt;&gt;"",_xlpm.MacVal,_xlpm.CSVVal&lt;&gt;"",_xlpm.CSVVal
)),"")</f>
        <v/>
      </c>
      <c r="D1356" s="40" t="str" cm="1">
        <f t="array" ref="D1356">IFERROR(_xlfn.LET(
_xlpm.CSVVal,_xlfn.XLOOKUP($A1356,CSV!$A:$A,CSV!D:D,""),
_xlpm.MacVal,_xlfn.XLOOKUP($A1356,Output_Mac!$A:$A,Output_Mac!C:C,""),
_xlpm.MyAuditVal,_xlfn.XLOOKUP($A1356,My_Audit!$A:$A,My_Audit!C:C,""),
_xlfn.IFS(_xlpm.MyAuditVal&lt;&gt;"",_xlpm.MyAuditVal,_xlpm.MacVal&lt;&gt;"",_xlpm.MacVal,_xlpm.CSVVal&lt;&gt;"",_xlpm.CSVVal
)),"")</f>
        <v/>
      </c>
      <c r="E1356" s="40" t="str">
        <f>_xlfn.XLOOKUP(A1356,My_Audit!A:A,My_Audit!D:D,"")</f>
        <v/>
      </c>
      <c r="F1356" s="40" t="str" cm="1">
        <f t="array" ref="F1356">IFERROR(_xlfn.LET(
_xlpm.CSVVal,_xlfn.XLOOKUP($A1356,CSV!$A:$A,CSV!F:F,""),
_xlpm.MacVal,_xlfn.XLOOKUP($A1356,Output_Mac!$A:$A,Output_Mac!E:E,""),
_xlpm.MyAuditVal,_xlfn.XLOOKUP($A1356,My_Audit!$A:$A,My_Audit!E:E,""),
_xlfn.IFS(_xlpm.MyAuditVal&lt;&gt;"",_xlpm.MyAuditVal,_xlpm.MacVal&lt;&gt;"",_xlpm.MacVal,_xlpm.CSVVal&lt;&gt;"",_xlpm.CSVVal
)),"")</f>
        <v/>
      </c>
      <c r="G1356" s="40" t="str" cm="1">
        <f t="array" ref="G1356">IFERROR(_xlfn.LET(
_xlpm.CSVVal,_xlfn.XLOOKUP($A1356,CSV!$A:$A,CSV!G:G,""),
_xlpm.MacVal,_xlfn.XLOOKUP($A1356,Output_Mac!$A:$A,Output_Mac!F:F,""),
_xlpm.MyAuditVal,_xlfn.XLOOKUP($A1356,My_Audit!$A:$A,My_Audit!F:F,""),
_xlfn.IFS(_xlpm.MyAuditVal&lt;&gt;"",_xlpm.MyAuditVal,_xlpm.MacVal&lt;&gt;"",_xlpm.MacVal,_xlpm.CSVVal&lt;&gt;"",PROPER(_xlpm.CSVVal)
)),"")</f>
        <v/>
      </c>
      <c r="H1356" s="40" t="str" cm="1">
        <f t="array" ref="H1356">IFERROR(_xlfn.LET(
_xlpm.CSVVal,_xlfn.XLOOKUP($A1356,CSV!$A:$A,CSV!H:H,""),
_xlpm.MacVal,_xlfn.XLOOKUP($A1356,Output_Mac!$A:$A,Output_Mac!H:H,""),
_xlpm.MyAuditVal,_xlfn.XLOOKUP($A1356,My_Audit!$A:$A,My_Audit!G:G,""),
_xlfn.IFS(_xlpm.MyAuditVal&lt;&gt;"",_xlpm.MyAuditVal,_xlpm.MacVal&lt;&gt;"",_xlpm.MacVal,_xlpm.CSVVal&lt;&gt;"",_xlpm.CSVVal
)),"")</f>
        <v/>
      </c>
      <c r="I1356" s="40" t="str">
        <f>_xlfn.XLOOKUP(A1356,Output_Mac!A:A,Output_Mac!I:I,"")</f>
        <v/>
      </c>
      <c r="J1356" s="40" t="str" cm="1">
        <f t="array" ref="J1356">IFERROR(_xlfn.LET(
_xlpm.CSVVal,_xlfn.XLOOKUP($A1356,CSV!$A:$A,CSV!I:I,""),
_xlpm.MacVal,_xlfn.XLOOKUP($A1356,Output_Mac!$A:$A,Output_Mac!J:J,""),
_xlpm.MyAuditVal,_xlfn.XLOOKUP($A1356,My_Audit!$A:$A,My_Audit!I:I,""),
_xlfn.IFS(_xlpm.MyAuditVal&lt;&gt;"",UPPER(_xlpm.MyAuditVal),_xlpm.MacVal&lt;&gt;"",_xlpm.MacVal,_xlpm.CSVVal&lt;&gt;"",_xlpm.CSVVal
)),"")</f>
        <v/>
      </c>
      <c r="K1356" s="40" t="str" cm="1">
        <f t="array" ref="K1356">IFERROR(_xlfn.LET(
_xlpm.CSVVal,_xlfn.XLOOKUP($A1356,CSV!$A:$A,CSV!K:K,""),
_xlpm.MacVal,_xlfn.XLOOKUP($A1356,Output_Mac!$A:$A,Output_Mac!K:K,""),
_xlpm.MyAuditVal,_xlfn.XLOOKUP($A1356,My_Audit!$A:$A,My_Audit!J:J,""),
_xlfn.IFS(_xlpm.MyAuditVal&lt;&gt;"",UPPER(_xlpm.MyAuditVal),_xlpm.MacVal&lt;&gt;"",_xlpm.MacVal,_xlpm.CSVVal&lt;&gt;"",_xlpm.CSVVal
)),"")</f>
        <v/>
      </c>
      <c r="L1356" s="40" t="str" cm="1">
        <f t="array" ref="L1356">IFERROR(_xlfn.LET(
_xlpm.CSVVal,_xlfn.XLOOKUP($A1356,CSV!$A:$A,CSV!P:P,""),
_xlpm.MacVal,_xlfn.XLOOKUP($A1356,Output_Mac!$A:$A,Output_Mac!L:L,""),
_xlpm.MyAuditVal,_xlfn.XLOOKUP($A1356,My_Audit!$A:$A,My_Audit!K:K,""),
_xlfn.IFS(_xlpm.MyAuditVal&lt;&gt;"",UPPER(_xlpm.MyAuditVal),_xlpm.MacVal&lt;&gt;"",_xlpm.MacVal,_xlpm.CSVVal&lt;&gt;"",_xlpm.CSVVal
)),"")</f>
        <v/>
      </c>
      <c r="M1356" s="40" t="str" cm="1">
        <f t="array" ref="M1356">IFERROR(_xlfn.LET(
_xlpm.CSVVal,_xlfn.XLOOKUP($A1356,CSV!$A:$A,CSV!Q:Q,""),
_xlpm.MacVal,_xlfn.XLOOKUP($A1356,Output_Mac!$A:$A,Output_Mac!M:M,""),
_xlpm.MyAuditVal,_xlfn.XLOOKUP($A1356,My_Audit!$A:$A,My_Audit!L:L,""),
_xlfn.IFS(_xlpm.MyAuditVal&lt;&gt;"",UPPER(_xlpm.MyAuditVal),_xlpm.MacVal&lt;&gt;"",_xlpm.MacVal,_xlpm.CSVVal&lt;&gt;"",_xlpm.CSVVal
)),"")</f>
        <v/>
      </c>
      <c r="N1356" s="40"/>
      <c r="O1356" s="40" t="str">
        <f>_xlfn.LET(
    _xlpm.CSVVal, _xlfn.XLOOKUP($A1356, CSV!$A:$A, CSV!AA:AA, ""),
    _xlpm.MacVal, _xlfn.XLOOKUP($A1356, Output_Mac!$A:$A, Output_Mac!S:S, ""),
    _xlpm.MyAuditVal, _xlfn.XLOOKUP($A1356, My_Audit!$A:$A, My_Audit!P:P, ""),
    _xlfn.TEXTJOIN(", ", TRUE, _xlpm.MyAuditVal, _xlpm.MacVal, _xlpm.CSVVal)
)</f>
        <v/>
      </c>
      <c r="P1356" s="40" t="str" cm="1">
        <f t="array" ref="P1356">IFERROR(_xlfn.LET(
_xlpm.CSVVal,_xlfn.XLOOKUP($A1356,CSV!$A:$A,CSV!AB:AB,""),
_xlpm.MacVal,_xlfn.XLOOKUP($A1356,Output_Mac!$A:$A,Output_Mac!T:T,""),
_xlpm.MyAuditVal,_xlfn.XLOOKUP($A1356,My_Audit!$A:$A,My_Audit!Q:Q,""),
_xlfn.IFS(_xlpm.MyAuditVal&lt;&gt;"",UPPER(_xlpm.MyAuditVal),_xlpm.MacVal&lt;&gt;"",_xlpm.MacVal,_xlpm.CSVVal&lt;&gt;"",_xlpm.CSVVal
)),"No")</f>
        <v>No</v>
      </c>
      <c r="Q1356" s="40" t="str" cm="1">
        <f t="array" ref="Q1356">IFERROR(_xlfn.LET(
_xlpm.CSVVal,_xlfn.XLOOKUP($A1356,CSV!$A:$A,CSV!AC:AC,""),
_xlpm.MacVal,_xlfn.XLOOKUP($A1356,Output_Mac!$A:$A,Output_Mac!U:U,""),
_xlpm.MyAuditVal,_xlfn.XLOOKUP($A1356,My_Audit!$A:$A,My_Audit!R:R,""),
_xlfn.IFS(_xlpm.MyAuditVal&lt;&gt;"",UPPER(_xlpm.MyAuditVal),_xlpm.MacVal&lt;&gt;"",_xlpm.MacVal,_xlpm.CSVVal&lt;&gt;"",_xlpm.CSVVal
)),"")</f>
        <v/>
      </c>
      <c r="R1356" s="40"/>
      <c r="S1356" s="40"/>
      <c r="T1356" s="40"/>
      <c r="U1356" s="40"/>
      <c r="V1356" s="40"/>
      <c r="W1356" s="40"/>
      <c r="X1356" s="41" t="str">
        <f>_xlfn.LET(
    _xlpm.MacVal, _xlfn.XLOOKUP($A1356, Output_Mac!$A:$A, Output_Mac!AB:AB, ""),
    _xlpm.MyAuditVal, _xlfn.XLOOKUP($A1356, My_Audit!$A:$A, My_Audit!N:N, ""),
    _xlfn.TEXTJOIN(", ", TRUE, _xlpm.MyAuditVal, _xlpm.MacVal)
)</f>
        <v/>
      </c>
    </row>
    <row r="1357" spans="1:24">
      <c r="A1357" s="40" t="str">
        <f>_xlfn.TEXTJOIN("",TRUE,Input!$B$2,ROW(My_Audit!A1356))</f>
        <v>X1356</v>
      </c>
      <c r="B1357" s="40" t="str">
        <f>_xlfn.TEXTJOIN("-",TRUE,"ITD",Input!$A$2,A1357)</f>
        <v>ITD-X1356</v>
      </c>
      <c r="C1357" s="40" t="str" cm="1">
        <f t="array" ref="C1357">IFERROR(_xlfn.LET(
_xlpm.CSVVal,_xlfn.XLOOKUP($A1357,CSV!$A:$A,CSV!B:B,""),
_xlpm.MacVal,_xlfn.XLOOKUP($A1357,Output_Mac!$A:$A,Output_Mac!B:B,""),
_xlpm.MyAuditVal,_xlfn.XLOOKUP($A1357,My_Audit!$A:$A,My_Audit!B:B,""),
_xlfn.IFS(_xlpm.MyAuditVal&lt;&gt;"",UPPER(_xlpm.MyAuditVal),_xlpm.MacVal&lt;&gt;"",_xlpm.MacVal,_xlpm.CSVVal&lt;&gt;"",_xlpm.CSVVal
)),"")</f>
        <v/>
      </c>
      <c r="D1357" s="40" t="str" cm="1">
        <f t="array" ref="D1357">IFERROR(_xlfn.LET(
_xlpm.CSVVal,_xlfn.XLOOKUP($A1357,CSV!$A:$A,CSV!D:D,""),
_xlpm.MacVal,_xlfn.XLOOKUP($A1357,Output_Mac!$A:$A,Output_Mac!C:C,""),
_xlpm.MyAuditVal,_xlfn.XLOOKUP($A1357,My_Audit!$A:$A,My_Audit!C:C,""),
_xlfn.IFS(_xlpm.MyAuditVal&lt;&gt;"",_xlpm.MyAuditVal,_xlpm.MacVal&lt;&gt;"",_xlpm.MacVal,_xlpm.CSVVal&lt;&gt;"",_xlpm.CSVVal
)),"")</f>
        <v/>
      </c>
      <c r="E1357" s="40" t="str">
        <f>_xlfn.XLOOKUP(A1357,My_Audit!A:A,My_Audit!D:D,"")</f>
        <v/>
      </c>
      <c r="F1357" s="40" t="str" cm="1">
        <f t="array" ref="F1357">IFERROR(_xlfn.LET(
_xlpm.CSVVal,_xlfn.XLOOKUP($A1357,CSV!$A:$A,CSV!F:F,""),
_xlpm.MacVal,_xlfn.XLOOKUP($A1357,Output_Mac!$A:$A,Output_Mac!E:E,""),
_xlpm.MyAuditVal,_xlfn.XLOOKUP($A1357,My_Audit!$A:$A,My_Audit!E:E,""),
_xlfn.IFS(_xlpm.MyAuditVal&lt;&gt;"",_xlpm.MyAuditVal,_xlpm.MacVal&lt;&gt;"",_xlpm.MacVal,_xlpm.CSVVal&lt;&gt;"",_xlpm.CSVVal
)),"")</f>
        <v/>
      </c>
      <c r="G1357" s="40" t="str" cm="1">
        <f t="array" ref="G1357">IFERROR(_xlfn.LET(
_xlpm.CSVVal,_xlfn.XLOOKUP($A1357,CSV!$A:$A,CSV!G:G,""),
_xlpm.MacVal,_xlfn.XLOOKUP($A1357,Output_Mac!$A:$A,Output_Mac!F:F,""),
_xlpm.MyAuditVal,_xlfn.XLOOKUP($A1357,My_Audit!$A:$A,My_Audit!F:F,""),
_xlfn.IFS(_xlpm.MyAuditVal&lt;&gt;"",_xlpm.MyAuditVal,_xlpm.MacVal&lt;&gt;"",_xlpm.MacVal,_xlpm.CSVVal&lt;&gt;"",PROPER(_xlpm.CSVVal)
)),"")</f>
        <v/>
      </c>
      <c r="H1357" s="40" t="str" cm="1">
        <f t="array" ref="H1357">IFERROR(_xlfn.LET(
_xlpm.CSVVal,_xlfn.XLOOKUP($A1357,CSV!$A:$A,CSV!H:H,""),
_xlpm.MacVal,_xlfn.XLOOKUP($A1357,Output_Mac!$A:$A,Output_Mac!H:H,""),
_xlpm.MyAuditVal,_xlfn.XLOOKUP($A1357,My_Audit!$A:$A,My_Audit!G:G,""),
_xlfn.IFS(_xlpm.MyAuditVal&lt;&gt;"",_xlpm.MyAuditVal,_xlpm.MacVal&lt;&gt;"",_xlpm.MacVal,_xlpm.CSVVal&lt;&gt;"",_xlpm.CSVVal
)),"")</f>
        <v/>
      </c>
      <c r="I1357" s="40" t="str">
        <f>_xlfn.XLOOKUP(A1357,Output_Mac!A:A,Output_Mac!I:I,"")</f>
        <v/>
      </c>
      <c r="J1357" s="40" t="str" cm="1">
        <f t="array" ref="J1357">IFERROR(_xlfn.LET(
_xlpm.CSVVal,_xlfn.XLOOKUP($A1357,CSV!$A:$A,CSV!I:I,""),
_xlpm.MacVal,_xlfn.XLOOKUP($A1357,Output_Mac!$A:$A,Output_Mac!J:J,""),
_xlpm.MyAuditVal,_xlfn.XLOOKUP($A1357,My_Audit!$A:$A,My_Audit!I:I,""),
_xlfn.IFS(_xlpm.MyAuditVal&lt;&gt;"",UPPER(_xlpm.MyAuditVal),_xlpm.MacVal&lt;&gt;"",_xlpm.MacVal,_xlpm.CSVVal&lt;&gt;"",_xlpm.CSVVal
)),"")</f>
        <v/>
      </c>
      <c r="K1357" s="40" t="str" cm="1">
        <f t="array" ref="K1357">IFERROR(_xlfn.LET(
_xlpm.CSVVal,_xlfn.XLOOKUP($A1357,CSV!$A:$A,CSV!K:K,""),
_xlpm.MacVal,_xlfn.XLOOKUP($A1357,Output_Mac!$A:$A,Output_Mac!K:K,""),
_xlpm.MyAuditVal,_xlfn.XLOOKUP($A1357,My_Audit!$A:$A,My_Audit!J:J,""),
_xlfn.IFS(_xlpm.MyAuditVal&lt;&gt;"",UPPER(_xlpm.MyAuditVal),_xlpm.MacVal&lt;&gt;"",_xlpm.MacVal,_xlpm.CSVVal&lt;&gt;"",_xlpm.CSVVal
)),"")</f>
        <v/>
      </c>
      <c r="L1357" s="40" t="str" cm="1">
        <f t="array" ref="L1357">IFERROR(_xlfn.LET(
_xlpm.CSVVal,_xlfn.XLOOKUP($A1357,CSV!$A:$A,CSV!P:P,""),
_xlpm.MacVal,_xlfn.XLOOKUP($A1357,Output_Mac!$A:$A,Output_Mac!L:L,""),
_xlpm.MyAuditVal,_xlfn.XLOOKUP($A1357,My_Audit!$A:$A,My_Audit!K:K,""),
_xlfn.IFS(_xlpm.MyAuditVal&lt;&gt;"",UPPER(_xlpm.MyAuditVal),_xlpm.MacVal&lt;&gt;"",_xlpm.MacVal,_xlpm.CSVVal&lt;&gt;"",_xlpm.CSVVal
)),"")</f>
        <v/>
      </c>
      <c r="M1357" s="40" t="str" cm="1">
        <f t="array" ref="M1357">IFERROR(_xlfn.LET(
_xlpm.CSVVal,_xlfn.XLOOKUP($A1357,CSV!$A:$A,CSV!Q:Q,""),
_xlpm.MacVal,_xlfn.XLOOKUP($A1357,Output_Mac!$A:$A,Output_Mac!M:M,""),
_xlpm.MyAuditVal,_xlfn.XLOOKUP($A1357,My_Audit!$A:$A,My_Audit!L:L,""),
_xlfn.IFS(_xlpm.MyAuditVal&lt;&gt;"",UPPER(_xlpm.MyAuditVal),_xlpm.MacVal&lt;&gt;"",_xlpm.MacVal,_xlpm.CSVVal&lt;&gt;"",_xlpm.CSVVal
)),"")</f>
        <v/>
      </c>
      <c r="N1357" s="40"/>
      <c r="O1357" s="40" t="str">
        <f>_xlfn.LET(
    _xlpm.CSVVal, _xlfn.XLOOKUP($A1357, CSV!$A:$A, CSV!AA:AA, ""),
    _xlpm.MacVal, _xlfn.XLOOKUP($A1357, Output_Mac!$A:$A, Output_Mac!S:S, ""),
    _xlpm.MyAuditVal, _xlfn.XLOOKUP($A1357, My_Audit!$A:$A, My_Audit!P:P, ""),
    _xlfn.TEXTJOIN(", ", TRUE, _xlpm.MyAuditVal, _xlpm.MacVal, _xlpm.CSVVal)
)</f>
        <v/>
      </c>
      <c r="P1357" s="40" t="str" cm="1">
        <f t="array" ref="P1357">IFERROR(_xlfn.LET(
_xlpm.CSVVal,_xlfn.XLOOKUP($A1357,CSV!$A:$A,CSV!AB:AB,""),
_xlpm.MacVal,_xlfn.XLOOKUP($A1357,Output_Mac!$A:$A,Output_Mac!T:T,""),
_xlpm.MyAuditVal,_xlfn.XLOOKUP($A1357,My_Audit!$A:$A,My_Audit!Q:Q,""),
_xlfn.IFS(_xlpm.MyAuditVal&lt;&gt;"",UPPER(_xlpm.MyAuditVal),_xlpm.MacVal&lt;&gt;"",_xlpm.MacVal,_xlpm.CSVVal&lt;&gt;"",_xlpm.CSVVal
)),"No")</f>
        <v>No</v>
      </c>
      <c r="Q1357" s="40" t="str" cm="1">
        <f t="array" ref="Q1357">IFERROR(_xlfn.LET(
_xlpm.CSVVal,_xlfn.XLOOKUP($A1357,CSV!$A:$A,CSV!AC:AC,""),
_xlpm.MacVal,_xlfn.XLOOKUP($A1357,Output_Mac!$A:$A,Output_Mac!U:U,""),
_xlpm.MyAuditVal,_xlfn.XLOOKUP($A1357,My_Audit!$A:$A,My_Audit!R:R,""),
_xlfn.IFS(_xlpm.MyAuditVal&lt;&gt;"",UPPER(_xlpm.MyAuditVal),_xlpm.MacVal&lt;&gt;"",_xlpm.MacVal,_xlpm.CSVVal&lt;&gt;"",_xlpm.CSVVal
)),"")</f>
        <v/>
      </c>
      <c r="R1357" s="40"/>
      <c r="S1357" s="40"/>
      <c r="T1357" s="40"/>
      <c r="U1357" s="40"/>
      <c r="V1357" s="40"/>
      <c r="W1357" s="40"/>
      <c r="X1357" s="41" t="str">
        <f>_xlfn.LET(
    _xlpm.MacVal, _xlfn.XLOOKUP($A1357, Output_Mac!$A:$A, Output_Mac!AB:AB, ""),
    _xlpm.MyAuditVal, _xlfn.XLOOKUP($A1357, My_Audit!$A:$A, My_Audit!N:N, ""),
    _xlfn.TEXTJOIN(", ", TRUE, _xlpm.MyAuditVal, _xlpm.MacVal)
)</f>
        <v/>
      </c>
    </row>
    <row r="1358" spans="1:24">
      <c r="A1358" s="40" t="str">
        <f>_xlfn.TEXTJOIN("",TRUE,Input!$B$2,ROW(My_Audit!A1357))</f>
        <v>X1357</v>
      </c>
      <c r="B1358" s="40" t="str">
        <f>_xlfn.TEXTJOIN("-",TRUE,"ITD",Input!$A$2,A1358)</f>
        <v>ITD-X1357</v>
      </c>
      <c r="C1358" s="40" t="str" cm="1">
        <f t="array" ref="C1358">IFERROR(_xlfn.LET(
_xlpm.CSVVal,_xlfn.XLOOKUP($A1358,CSV!$A:$A,CSV!B:B,""),
_xlpm.MacVal,_xlfn.XLOOKUP($A1358,Output_Mac!$A:$A,Output_Mac!B:B,""),
_xlpm.MyAuditVal,_xlfn.XLOOKUP($A1358,My_Audit!$A:$A,My_Audit!B:B,""),
_xlfn.IFS(_xlpm.MyAuditVal&lt;&gt;"",UPPER(_xlpm.MyAuditVal),_xlpm.MacVal&lt;&gt;"",_xlpm.MacVal,_xlpm.CSVVal&lt;&gt;"",_xlpm.CSVVal
)),"")</f>
        <v/>
      </c>
      <c r="D1358" s="40" t="str" cm="1">
        <f t="array" ref="D1358">IFERROR(_xlfn.LET(
_xlpm.CSVVal,_xlfn.XLOOKUP($A1358,CSV!$A:$A,CSV!D:D,""),
_xlpm.MacVal,_xlfn.XLOOKUP($A1358,Output_Mac!$A:$A,Output_Mac!C:C,""),
_xlpm.MyAuditVal,_xlfn.XLOOKUP($A1358,My_Audit!$A:$A,My_Audit!C:C,""),
_xlfn.IFS(_xlpm.MyAuditVal&lt;&gt;"",_xlpm.MyAuditVal,_xlpm.MacVal&lt;&gt;"",_xlpm.MacVal,_xlpm.CSVVal&lt;&gt;"",_xlpm.CSVVal
)),"")</f>
        <v/>
      </c>
      <c r="E1358" s="40" t="str">
        <f>_xlfn.XLOOKUP(A1358,My_Audit!A:A,My_Audit!D:D,"")</f>
        <v/>
      </c>
      <c r="F1358" s="40" t="str" cm="1">
        <f t="array" ref="F1358">IFERROR(_xlfn.LET(
_xlpm.CSVVal,_xlfn.XLOOKUP($A1358,CSV!$A:$A,CSV!F:F,""),
_xlpm.MacVal,_xlfn.XLOOKUP($A1358,Output_Mac!$A:$A,Output_Mac!E:E,""),
_xlpm.MyAuditVal,_xlfn.XLOOKUP($A1358,My_Audit!$A:$A,My_Audit!E:E,""),
_xlfn.IFS(_xlpm.MyAuditVal&lt;&gt;"",_xlpm.MyAuditVal,_xlpm.MacVal&lt;&gt;"",_xlpm.MacVal,_xlpm.CSVVal&lt;&gt;"",_xlpm.CSVVal
)),"")</f>
        <v/>
      </c>
      <c r="G1358" s="40" t="str" cm="1">
        <f t="array" ref="G1358">IFERROR(_xlfn.LET(
_xlpm.CSVVal,_xlfn.XLOOKUP($A1358,CSV!$A:$A,CSV!G:G,""),
_xlpm.MacVal,_xlfn.XLOOKUP($A1358,Output_Mac!$A:$A,Output_Mac!F:F,""),
_xlpm.MyAuditVal,_xlfn.XLOOKUP($A1358,My_Audit!$A:$A,My_Audit!F:F,""),
_xlfn.IFS(_xlpm.MyAuditVal&lt;&gt;"",_xlpm.MyAuditVal,_xlpm.MacVal&lt;&gt;"",_xlpm.MacVal,_xlpm.CSVVal&lt;&gt;"",PROPER(_xlpm.CSVVal)
)),"")</f>
        <v/>
      </c>
      <c r="H1358" s="40" t="str" cm="1">
        <f t="array" ref="H1358">IFERROR(_xlfn.LET(
_xlpm.CSVVal,_xlfn.XLOOKUP($A1358,CSV!$A:$A,CSV!H:H,""),
_xlpm.MacVal,_xlfn.XLOOKUP($A1358,Output_Mac!$A:$A,Output_Mac!H:H,""),
_xlpm.MyAuditVal,_xlfn.XLOOKUP($A1358,My_Audit!$A:$A,My_Audit!G:G,""),
_xlfn.IFS(_xlpm.MyAuditVal&lt;&gt;"",_xlpm.MyAuditVal,_xlpm.MacVal&lt;&gt;"",_xlpm.MacVal,_xlpm.CSVVal&lt;&gt;"",_xlpm.CSVVal
)),"")</f>
        <v/>
      </c>
      <c r="I1358" s="40" t="str">
        <f>_xlfn.XLOOKUP(A1358,Output_Mac!A:A,Output_Mac!I:I,"")</f>
        <v/>
      </c>
      <c r="J1358" s="40" t="str" cm="1">
        <f t="array" ref="J1358">IFERROR(_xlfn.LET(
_xlpm.CSVVal,_xlfn.XLOOKUP($A1358,CSV!$A:$A,CSV!I:I,""),
_xlpm.MacVal,_xlfn.XLOOKUP($A1358,Output_Mac!$A:$A,Output_Mac!J:J,""),
_xlpm.MyAuditVal,_xlfn.XLOOKUP($A1358,My_Audit!$A:$A,My_Audit!I:I,""),
_xlfn.IFS(_xlpm.MyAuditVal&lt;&gt;"",UPPER(_xlpm.MyAuditVal),_xlpm.MacVal&lt;&gt;"",_xlpm.MacVal,_xlpm.CSVVal&lt;&gt;"",_xlpm.CSVVal
)),"")</f>
        <v/>
      </c>
      <c r="K1358" s="40" t="str" cm="1">
        <f t="array" ref="K1358">IFERROR(_xlfn.LET(
_xlpm.CSVVal,_xlfn.XLOOKUP($A1358,CSV!$A:$A,CSV!K:K,""),
_xlpm.MacVal,_xlfn.XLOOKUP($A1358,Output_Mac!$A:$A,Output_Mac!K:K,""),
_xlpm.MyAuditVal,_xlfn.XLOOKUP($A1358,My_Audit!$A:$A,My_Audit!J:J,""),
_xlfn.IFS(_xlpm.MyAuditVal&lt;&gt;"",UPPER(_xlpm.MyAuditVal),_xlpm.MacVal&lt;&gt;"",_xlpm.MacVal,_xlpm.CSVVal&lt;&gt;"",_xlpm.CSVVal
)),"")</f>
        <v/>
      </c>
      <c r="L1358" s="40" t="str" cm="1">
        <f t="array" ref="L1358">IFERROR(_xlfn.LET(
_xlpm.CSVVal,_xlfn.XLOOKUP($A1358,CSV!$A:$A,CSV!P:P,""),
_xlpm.MacVal,_xlfn.XLOOKUP($A1358,Output_Mac!$A:$A,Output_Mac!L:L,""),
_xlpm.MyAuditVal,_xlfn.XLOOKUP($A1358,My_Audit!$A:$A,My_Audit!K:K,""),
_xlfn.IFS(_xlpm.MyAuditVal&lt;&gt;"",UPPER(_xlpm.MyAuditVal),_xlpm.MacVal&lt;&gt;"",_xlpm.MacVal,_xlpm.CSVVal&lt;&gt;"",_xlpm.CSVVal
)),"")</f>
        <v/>
      </c>
      <c r="M1358" s="40" t="str" cm="1">
        <f t="array" ref="M1358">IFERROR(_xlfn.LET(
_xlpm.CSVVal,_xlfn.XLOOKUP($A1358,CSV!$A:$A,CSV!Q:Q,""),
_xlpm.MacVal,_xlfn.XLOOKUP($A1358,Output_Mac!$A:$A,Output_Mac!M:M,""),
_xlpm.MyAuditVal,_xlfn.XLOOKUP($A1358,My_Audit!$A:$A,My_Audit!L:L,""),
_xlfn.IFS(_xlpm.MyAuditVal&lt;&gt;"",UPPER(_xlpm.MyAuditVal),_xlpm.MacVal&lt;&gt;"",_xlpm.MacVal,_xlpm.CSVVal&lt;&gt;"",_xlpm.CSVVal
)),"")</f>
        <v/>
      </c>
      <c r="N1358" s="40"/>
      <c r="O1358" s="40" t="str">
        <f>_xlfn.LET(
    _xlpm.CSVVal, _xlfn.XLOOKUP($A1358, CSV!$A:$A, CSV!AA:AA, ""),
    _xlpm.MacVal, _xlfn.XLOOKUP($A1358, Output_Mac!$A:$A, Output_Mac!S:S, ""),
    _xlpm.MyAuditVal, _xlfn.XLOOKUP($A1358, My_Audit!$A:$A, My_Audit!P:P, ""),
    _xlfn.TEXTJOIN(", ", TRUE, _xlpm.MyAuditVal, _xlpm.MacVal, _xlpm.CSVVal)
)</f>
        <v/>
      </c>
      <c r="P1358" s="40" t="str" cm="1">
        <f t="array" ref="P1358">IFERROR(_xlfn.LET(
_xlpm.CSVVal,_xlfn.XLOOKUP($A1358,CSV!$A:$A,CSV!AB:AB,""),
_xlpm.MacVal,_xlfn.XLOOKUP($A1358,Output_Mac!$A:$A,Output_Mac!T:T,""),
_xlpm.MyAuditVal,_xlfn.XLOOKUP($A1358,My_Audit!$A:$A,My_Audit!Q:Q,""),
_xlfn.IFS(_xlpm.MyAuditVal&lt;&gt;"",UPPER(_xlpm.MyAuditVal),_xlpm.MacVal&lt;&gt;"",_xlpm.MacVal,_xlpm.CSVVal&lt;&gt;"",_xlpm.CSVVal
)),"No")</f>
        <v>No</v>
      </c>
      <c r="Q1358" s="40" t="str" cm="1">
        <f t="array" ref="Q1358">IFERROR(_xlfn.LET(
_xlpm.CSVVal,_xlfn.XLOOKUP($A1358,CSV!$A:$A,CSV!AC:AC,""),
_xlpm.MacVal,_xlfn.XLOOKUP($A1358,Output_Mac!$A:$A,Output_Mac!U:U,""),
_xlpm.MyAuditVal,_xlfn.XLOOKUP($A1358,My_Audit!$A:$A,My_Audit!R:R,""),
_xlfn.IFS(_xlpm.MyAuditVal&lt;&gt;"",UPPER(_xlpm.MyAuditVal),_xlpm.MacVal&lt;&gt;"",_xlpm.MacVal,_xlpm.CSVVal&lt;&gt;"",_xlpm.CSVVal
)),"")</f>
        <v/>
      </c>
      <c r="R1358" s="40"/>
      <c r="S1358" s="40"/>
      <c r="T1358" s="40"/>
      <c r="U1358" s="40"/>
      <c r="V1358" s="40"/>
      <c r="W1358" s="40"/>
      <c r="X1358" s="41" t="str">
        <f>_xlfn.LET(
    _xlpm.MacVal, _xlfn.XLOOKUP($A1358, Output_Mac!$A:$A, Output_Mac!AB:AB, ""),
    _xlpm.MyAuditVal, _xlfn.XLOOKUP($A1358, My_Audit!$A:$A, My_Audit!N:N, ""),
    _xlfn.TEXTJOIN(", ", TRUE, _xlpm.MyAuditVal, _xlpm.MacVal)
)</f>
        <v/>
      </c>
    </row>
    <row r="1359" spans="1:24">
      <c r="A1359" s="40" t="str">
        <f>_xlfn.TEXTJOIN("",TRUE,Input!$B$2,ROW(My_Audit!A1358))</f>
        <v>X1358</v>
      </c>
      <c r="B1359" s="40" t="str">
        <f>_xlfn.TEXTJOIN("-",TRUE,"ITD",Input!$A$2,A1359)</f>
        <v>ITD-X1358</v>
      </c>
      <c r="C1359" s="40" t="str" cm="1">
        <f t="array" ref="C1359">IFERROR(_xlfn.LET(
_xlpm.CSVVal,_xlfn.XLOOKUP($A1359,CSV!$A:$A,CSV!B:B,""),
_xlpm.MacVal,_xlfn.XLOOKUP($A1359,Output_Mac!$A:$A,Output_Mac!B:B,""),
_xlpm.MyAuditVal,_xlfn.XLOOKUP($A1359,My_Audit!$A:$A,My_Audit!B:B,""),
_xlfn.IFS(_xlpm.MyAuditVal&lt;&gt;"",UPPER(_xlpm.MyAuditVal),_xlpm.MacVal&lt;&gt;"",_xlpm.MacVal,_xlpm.CSVVal&lt;&gt;"",_xlpm.CSVVal
)),"")</f>
        <v/>
      </c>
      <c r="D1359" s="40" t="str" cm="1">
        <f t="array" ref="D1359">IFERROR(_xlfn.LET(
_xlpm.CSVVal,_xlfn.XLOOKUP($A1359,CSV!$A:$A,CSV!D:D,""),
_xlpm.MacVal,_xlfn.XLOOKUP($A1359,Output_Mac!$A:$A,Output_Mac!C:C,""),
_xlpm.MyAuditVal,_xlfn.XLOOKUP($A1359,My_Audit!$A:$A,My_Audit!C:C,""),
_xlfn.IFS(_xlpm.MyAuditVal&lt;&gt;"",_xlpm.MyAuditVal,_xlpm.MacVal&lt;&gt;"",_xlpm.MacVal,_xlpm.CSVVal&lt;&gt;"",_xlpm.CSVVal
)),"")</f>
        <v/>
      </c>
      <c r="E1359" s="40" t="str">
        <f>_xlfn.XLOOKUP(A1359,My_Audit!A:A,My_Audit!D:D,"")</f>
        <v/>
      </c>
      <c r="F1359" s="40" t="str" cm="1">
        <f t="array" ref="F1359">IFERROR(_xlfn.LET(
_xlpm.CSVVal,_xlfn.XLOOKUP($A1359,CSV!$A:$A,CSV!F:F,""),
_xlpm.MacVal,_xlfn.XLOOKUP($A1359,Output_Mac!$A:$A,Output_Mac!E:E,""),
_xlpm.MyAuditVal,_xlfn.XLOOKUP($A1359,My_Audit!$A:$A,My_Audit!E:E,""),
_xlfn.IFS(_xlpm.MyAuditVal&lt;&gt;"",_xlpm.MyAuditVal,_xlpm.MacVal&lt;&gt;"",_xlpm.MacVal,_xlpm.CSVVal&lt;&gt;"",_xlpm.CSVVal
)),"")</f>
        <v/>
      </c>
      <c r="G1359" s="40" t="str" cm="1">
        <f t="array" ref="G1359">IFERROR(_xlfn.LET(
_xlpm.CSVVal,_xlfn.XLOOKUP($A1359,CSV!$A:$A,CSV!G:G,""),
_xlpm.MacVal,_xlfn.XLOOKUP($A1359,Output_Mac!$A:$A,Output_Mac!F:F,""),
_xlpm.MyAuditVal,_xlfn.XLOOKUP($A1359,My_Audit!$A:$A,My_Audit!F:F,""),
_xlfn.IFS(_xlpm.MyAuditVal&lt;&gt;"",_xlpm.MyAuditVal,_xlpm.MacVal&lt;&gt;"",_xlpm.MacVal,_xlpm.CSVVal&lt;&gt;"",PROPER(_xlpm.CSVVal)
)),"")</f>
        <v/>
      </c>
      <c r="H1359" s="40" t="str" cm="1">
        <f t="array" ref="H1359">IFERROR(_xlfn.LET(
_xlpm.CSVVal,_xlfn.XLOOKUP($A1359,CSV!$A:$A,CSV!H:H,""),
_xlpm.MacVal,_xlfn.XLOOKUP($A1359,Output_Mac!$A:$A,Output_Mac!H:H,""),
_xlpm.MyAuditVal,_xlfn.XLOOKUP($A1359,My_Audit!$A:$A,My_Audit!G:G,""),
_xlfn.IFS(_xlpm.MyAuditVal&lt;&gt;"",_xlpm.MyAuditVal,_xlpm.MacVal&lt;&gt;"",_xlpm.MacVal,_xlpm.CSVVal&lt;&gt;"",_xlpm.CSVVal
)),"")</f>
        <v/>
      </c>
      <c r="I1359" s="40" t="str">
        <f>_xlfn.XLOOKUP(A1359,Output_Mac!A:A,Output_Mac!I:I,"")</f>
        <v/>
      </c>
      <c r="J1359" s="40" t="str" cm="1">
        <f t="array" ref="J1359">IFERROR(_xlfn.LET(
_xlpm.CSVVal,_xlfn.XLOOKUP($A1359,CSV!$A:$A,CSV!I:I,""),
_xlpm.MacVal,_xlfn.XLOOKUP($A1359,Output_Mac!$A:$A,Output_Mac!J:J,""),
_xlpm.MyAuditVal,_xlfn.XLOOKUP($A1359,My_Audit!$A:$A,My_Audit!I:I,""),
_xlfn.IFS(_xlpm.MyAuditVal&lt;&gt;"",UPPER(_xlpm.MyAuditVal),_xlpm.MacVal&lt;&gt;"",_xlpm.MacVal,_xlpm.CSVVal&lt;&gt;"",_xlpm.CSVVal
)),"")</f>
        <v/>
      </c>
      <c r="K1359" s="40" t="str" cm="1">
        <f t="array" ref="K1359">IFERROR(_xlfn.LET(
_xlpm.CSVVal,_xlfn.XLOOKUP($A1359,CSV!$A:$A,CSV!K:K,""),
_xlpm.MacVal,_xlfn.XLOOKUP($A1359,Output_Mac!$A:$A,Output_Mac!K:K,""),
_xlpm.MyAuditVal,_xlfn.XLOOKUP($A1359,My_Audit!$A:$A,My_Audit!J:J,""),
_xlfn.IFS(_xlpm.MyAuditVal&lt;&gt;"",UPPER(_xlpm.MyAuditVal),_xlpm.MacVal&lt;&gt;"",_xlpm.MacVal,_xlpm.CSVVal&lt;&gt;"",_xlpm.CSVVal
)),"")</f>
        <v/>
      </c>
      <c r="L1359" s="40" t="str" cm="1">
        <f t="array" ref="L1359">IFERROR(_xlfn.LET(
_xlpm.CSVVal,_xlfn.XLOOKUP($A1359,CSV!$A:$A,CSV!P:P,""),
_xlpm.MacVal,_xlfn.XLOOKUP($A1359,Output_Mac!$A:$A,Output_Mac!L:L,""),
_xlpm.MyAuditVal,_xlfn.XLOOKUP($A1359,My_Audit!$A:$A,My_Audit!K:K,""),
_xlfn.IFS(_xlpm.MyAuditVal&lt;&gt;"",UPPER(_xlpm.MyAuditVal),_xlpm.MacVal&lt;&gt;"",_xlpm.MacVal,_xlpm.CSVVal&lt;&gt;"",_xlpm.CSVVal
)),"")</f>
        <v/>
      </c>
      <c r="M1359" s="40" t="str" cm="1">
        <f t="array" ref="M1359">IFERROR(_xlfn.LET(
_xlpm.CSVVal,_xlfn.XLOOKUP($A1359,CSV!$A:$A,CSV!Q:Q,""),
_xlpm.MacVal,_xlfn.XLOOKUP($A1359,Output_Mac!$A:$A,Output_Mac!M:M,""),
_xlpm.MyAuditVal,_xlfn.XLOOKUP($A1359,My_Audit!$A:$A,My_Audit!L:L,""),
_xlfn.IFS(_xlpm.MyAuditVal&lt;&gt;"",UPPER(_xlpm.MyAuditVal),_xlpm.MacVal&lt;&gt;"",_xlpm.MacVal,_xlpm.CSVVal&lt;&gt;"",_xlpm.CSVVal
)),"")</f>
        <v/>
      </c>
      <c r="N1359" s="40"/>
      <c r="O1359" s="40" t="str">
        <f>_xlfn.LET(
    _xlpm.CSVVal, _xlfn.XLOOKUP($A1359, CSV!$A:$A, CSV!AA:AA, ""),
    _xlpm.MacVal, _xlfn.XLOOKUP($A1359, Output_Mac!$A:$A, Output_Mac!S:S, ""),
    _xlpm.MyAuditVal, _xlfn.XLOOKUP($A1359, My_Audit!$A:$A, My_Audit!P:P, ""),
    _xlfn.TEXTJOIN(", ", TRUE, _xlpm.MyAuditVal, _xlpm.MacVal, _xlpm.CSVVal)
)</f>
        <v/>
      </c>
      <c r="P1359" s="40" t="str" cm="1">
        <f t="array" ref="P1359">IFERROR(_xlfn.LET(
_xlpm.CSVVal,_xlfn.XLOOKUP($A1359,CSV!$A:$A,CSV!AB:AB,""),
_xlpm.MacVal,_xlfn.XLOOKUP($A1359,Output_Mac!$A:$A,Output_Mac!T:T,""),
_xlpm.MyAuditVal,_xlfn.XLOOKUP($A1359,My_Audit!$A:$A,My_Audit!Q:Q,""),
_xlfn.IFS(_xlpm.MyAuditVal&lt;&gt;"",UPPER(_xlpm.MyAuditVal),_xlpm.MacVal&lt;&gt;"",_xlpm.MacVal,_xlpm.CSVVal&lt;&gt;"",_xlpm.CSVVal
)),"No")</f>
        <v>No</v>
      </c>
      <c r="Q1359" s="40" t="str" cm="1">
        <f t="array" ref="Q1359">IFERROR(_xlfn.LET(
_xlpm.CSVVal,_xlfn.XLOOKUP($A1359,CSV!$A:$A,CSV!AC:AC,""),
_xlpm.MacVal,_xlfn.XLOOKUP($A1359,Output_Mac!$A:$A,Output_Mac!U:U,""),
_xlpm.MyAuditVal,_xlfn.XLOOKUP($A1359,My_Audit!$A:$A,My_Audit!R:R,""),
_xlfn.IFS(_xlpm.MyAuditVal&lt;&gt;"",UPPER(_xlpm.MyAuditVal),_xlpm.MacVal&lt;&gt;"",_xlpm.MacVal,_xlpm.CSVVal&lt;&gt;"",_xlpm.CSVVal
)),"")</f>
        <v/>
      </c>
      <c r="R1359" s="40"/>
      <c r="S1359" s="40"/>
      <c r="T1359" s="40"/>
      <c r="U1359" s="40"/>
      <c r="V1359" s="40"/>
      <c r="W1359" s="40"/>
      <c r="X1359" s="41" t="str">
        <f>_xlfn.LET(
    _xlpm.MacVal, _xlfn.XLOOKUP($A1359, Output_Mac!$A:$A, Output_Mac!AB:AB, ""),
    _xlpm.MyAuditVal, _xlfn.XLOOKUP($A1359, My_Audit!$A:$A, My_Audit!N:N, ""),
    _xlfn.TEXTJOIN(", ", TRUE, _xlpm.MyAuditVal, _xlpm.MacVal)
)</f>
        <v/>
      </c>
    </row>
    <row r="1360" spans="1:24">
      <c r="A1360" s="40" t="str">
        <f>_xlfn.TEXTJOIN("",TRUE,Input!$B$2,ROW(My_Audit!A1359))</f>
        <v>X1359</v>
      </c>
      <c r="B1360" s="40" t="str">
        <f>_xlfn.TEXTJOIN("-",TRUE,"ITD",Input!$A$2,A1360)</f>
        <v>ITD-X1359</v>
      </c>
      <c r="C1360" s="40" t="str" cm="1">
        <f t="array" ref="C1360">IFERROR(_xlfn.LET(
_xlpm.CSVVal,_xlfn.XLOOKUP($A1360,CSV!$A:$A,CSV!B:B,""),
_xlpm.MacVal,_xlfn.XLOOKUP($A1360,Output_Mac!$A:$A,Output_Mac!B:B,""),
_xlpm.MyAuditVal,_xlfn.XLOOKUP($A1360,My_Audit!$A:$A,My_Audit!B:B,""),
_xlfn.IFS(_xlpm.MyAuditVal&lt;&gt;"",UPPER(_xlpm.MyAuditVal),_xlpm.MacVal&lt;&gt;"",_xlpm.MacVal,_xlpm.CSVVal&lt;&gt;"",_xlpm.CSVVal
)),"")</f>
        <v/>
      </c>
      <c r="D1360" s="40" t="str" cm="1">
        <f t="array" ref="D1360">IFERROR(_xlfn.LET(
_xlpm.CSVVal,_xlfn.XLOOKUP($A1360,CSV!$A:$A,CSV!D:D,""),
_xlpm.MacVal,_xlfn.XLOOKUP($A1360,Output_Mac!$A:$A,Output_Mac!C:C,""),
_xlpm.MyAuditVal,_xlfn.XLOOKUP($A1360,My_Audit!$A:$A,My_Audit!C:C,""),
_xlfn.IFS(_xlpm.MyAuditVal&lt;&gt;"",_xlpm.MyAuditVal,_xlpm.MacVal&lt;&gt;"",_xlpm.MacVal,_xlpm.CSVVal&lt;&gt;"",_xlpm.CSVVal
)),"")</f>
        <v/>
      </c>
      <c r="E1360" s="40" t="str">
        <f>_xlfn.XLOOKUP(A1360,My_Audit!A:A,My_Audit!D:D,"")</f>
        <v/>
      </c>
      <c r="F1360" s="40" t="str" cm="1">
        <f t="array" ref="F1360">IFERROR(_xlfn.LET(
_xlpm.CSVVal,_xlfn.XLOOKUP($A1360,CSV!$A:$A,CSV!F:F,""),
_xlpm.MacVal,_xlfn.XLOOKUP($A1360,Output_Mac!$A:$A,Output_Mac!E:E,""),
_xlpm.MyAuditVal,_xlfn.XLOOKUP($A1360,My_Audit!$A:$A,My_Audit!E:E,""),
_xlfn.IFS(_xlpm.MyAuditVal&lt;&gt;"",_xlpm.MyAuditVal,_xlpm.MacVal&lt;&gt;"",_xlpm.MacVal,_xlpm.CSVVal&lt;&gt;"",_xlpm.CSVVal
)),"")</f>
        <v/>
      </c>
      <c r="G1360" s="40" t="str" cm="1">
        <f t="array" ref="G1360">IFERROR(_xlfn.LET(
_xlpm.CSVVal,_xlfn.XLOOKUP($A1360,CSV!$A:$A,CSV!G:G,""),
_xlpm.MacVal,_xlfn.XLOOKUP($A1360,Output_Mac!$A:$A,Output_Mac!F:F,""),
_xlpm.MyAuditVal,_xlfn.XLOOKUP($A1360,My_Audit!$A:$A,My_Audit!F:F,""),
_xlfn.IFS(_xlpm.MyAuditVal&lt;&gt;"",_xlpm.MyAuditVal,_xlpm.MacVal&lt;&gt;"",_xlpm.MacVal,_xlpm.CSVVal&lt;&gt;"",PROPER(_xlpm.CSVVal)
)),"")</f>
        <v/>
      </c>
      <c r="H1360" s="40" t="str" cm="1">
        <f t="array" ref="H1360">IFERROR(_xlfn.LET(
_xlpm.CSVVal,_xlfn.XLOOKUP($A1360,CSV!$A:$A,CSV!H:H,""),
_xlpm.MacVal,_xlfn.XLOOKUP($A1360,Output_Mac!$A:$A,Output_Mac!H:H,""),
_xlpm.MyAuditVal,_xlfn.XLOOKUP($A1360,My_Audit!$A:$A,My_Audit!G:G,""),
_xlfn.IFS(_xlpm.MyAuditVal&lt;&gt;"",_xlpm.MyAuditVal,_xlpm.MacVal&lt;&gt;"",_xlpm.MacVal,_xlpm.CSVVal&lt;&gt;"",_xlpm.CSVVal
)),"")</f>
        <v/>
      </c>
      <c r="I1360" s="40" t="str">
        <f>_xlfn.XLOOKUP(A1360,Output_Mac!A:A,Output_Mac!I:I,"")</f>
        <v/>
      </c>
      <c r="J1360" s="40" t="str" cm="1">
        <f t="array" ref="J1360">IFERROR(_xlfn.LET(
_xlpm.CSVVal,_xlfn.XLOOKUP($A1360,CSV!$A:$A,CSV!I:I,""),
_xlpm.MacVal,_xlfn.XLOOKUP($A1360,Output_Mac!$A:$A,Output_Mac!J:J,""),
_xlpm.MyAuditVal,_xlfn.XLOOKUP($A1360,My_Audit!$A:$A,My_Audit!I:I,""),
_xlfn.IFS(_xlpm.MyAuditVal&lt;&gt;"",UPPER(_xlpm.MyAuditVal),_xlpm.MacVal&lt;&gt;"",_xlpm.MacVal,_xlpm.CSVVal&lt;&gt;"",_xlpm.CSVVal
)),"")</f>
        <v/>
      </c>
      <c r="K1360" s="40" t="str" cm="1">
        <f t="array" ref="K1360">IFERROR(_xlfn.LET(
_xlpm.CSVVal,_xlfn.XLOOKUP($A1360,CSV!$A:$A,CSV!K:K,""),
_xlpm.MacVal,_xlfn.XLOOKUP($A1360,Output_Mac!$A:$A,Output_Mac!K:K,""),
_xlpm.MyAuditVal,_xlfn.XLOOKUP($A1360,My_Audit!$A:$A,My_Audit!J:J,""),
_xlfn.IFS(_xlpm.MyAuditVal&lt;&gt;"",UPPER(_xlpm.MyAuditVal),_xlpm.MacVal&lt;&gt;"",_xlpm.MacVal,_xlpm.CSVVal&lt;&gt;"",_xlpm.CSVVal
)),"")</f>
        <v/>
      </c>
      <c r="L1360" s="40" t="str" cm="1">
        <f t="array" ref="L1360">IFERROR(_xlfn.LET(
_xlpm.CSVVal,_xlfn.XLOOKUP($A1360,CSV!$A:$A,CSV!P:P,""),
_xlpm.MacVal,_xlfn.XLOOKUP($A1360,Output_Mac!$A:$A,Output_Mac!L:L,""),
_xlpm.MyAuditVal,_xlfn.XLOOKUP($A1360,My_Audit!$A:$A,My_Audit!K:K,""),
_xlfn.IFS(_xlpm.MyAuditVal&lt;&gt;"",UPPER(_xlpm.MyAuditVal),_xlpm.MacVal&lt;&gt;"",_xlpm.MacVal,_xlpm.CSVVal&lt;&gt;"",_xlpm.CSVVal
)),"")</f>
        <v/>
      </c>
      <c r="M1360" s="40" t="str" cm="1">
        <f t="array" ref="M1360">IFERROR(_xlfn.LET(
_xlpm.CSVVal,_xlfn.XLOOKUP($A1360,CSV!$A:$A,CSV!Q:Q,""),
_xlpm.MacVal,_xlfn.XLOOKUP($A1360,Output_Mac!$A:$A,Output_Mac!M:M,""),
_xlpm.MyAuditVal,_xlfn.XLOOKUP($A1360,My_Audit!$A:$A,My_Audit!L:L,""),
_xlfn.IFS(_xlpm.MyAuditVal&lt;&gt;"",UPPER(_xlpm.MyAuditVal),_xlpm.MacVal&lt;&gt;"",_xlpm.MacVal,_xlpm.CSVVal&lt;&gt;"",_xlpm.CSVVal
)),"")</f>
        <v/>
      </c>
      <c r="N1360" s="40"/>
      <c r="O1360" s="40" t="str">
        <f>_xlfn.LET(
    _xlpm.CSVVal, _xlfn.XLOOKUP($A1360, CSV!$A:$A, CSV!AA:AA, ""),
    _xlpm.MacVal, _xlfn.XLOOKUP($A1360, Output_Mac!$A:$A, Output_Mac!S:S, ""),
    _xlpm.MyAuditVal, _xlfn.XLOOKUP($A1360, My_Audit!$A:$A, My_Audit!P:P, ""),
    _xlfn.TEXTJOIN(", ", TRUE, _xlpm.MyAuditVal, _xlpm.MacVal, _xlpm.CSVVal)
)</f>
        <v/>
      </c>
      <c r="P1360" s="40" t="str" cm="1">
        <f t="array" ref="P1360">IFERROR(_xlfn.LET(
_xlpm.CSVVal,_xlfn.XLOOKUP($A1360,CSV!$A:$A,CSV!AB:AB,""),
_xlpm.MacVal,_xlfn.XLOOKUP($A1360,Output_Mac!$A:$A,Output_Mac!T:T,""),
_xlpm.MyAuditVal,_xlfn.XLOOKUP($A1360,My_Audit!$A:$A,My_Audit!Q:Q,""),
_xlfn.IFS(_xlpm.MyAuditVal&lt;&gt;"",UPPER(_xlpm.MyAuditVal),_xlpm.MacVal&lt;&gt;"",_xlpm.MacVal,_xlpm.CSVVal&lt;&gt;"",_xlpm.CSVVal
)),"No")</f>
        <v>No</v>
      </c>
      <c r="Q1360" s="40" t="str" cm="1">
        <f t="array" ref="Q1360">IFERROR(_xlfn.LET(
_xlpm.CSVVal,_xlfn.XLOOKUP($A1360,CSV!$A:$A,CSV!AC:AC,""),
_xlpm.MacVal,_xlfn.XLOOKUP($A1360,Output_Mac!$A:$A,Output_Mac!U:U,""),
_xlpm.MyAuditVal,_xlfn.XLOOKUP($A1360,My_Audit!$A:$A,My_Audit!R:R,""),
_xlfn.IFS(_xlpm.MyAuditVal&lt;&gt;"",UPPER(_xlpm.MyAuditVal),_xlpm.MacVal&lt;&gt;"",_xlpm.MacVal,_xlpm.CSVVal&lt;&gt;"",_xlpm.CSVVal
)),"")</f>
        <v/>
      </c>
      <c r="R1360" s="40"/>
      <c r="S1360" s="40"/>
      <c r="T1360" s="40"/>
      <c r="U1360" s="40"/>
      <c r="V1360" s="40"/>
      <c r="W1360" s="40"/>
      <c r="X1360" s="41" t="str">
        <f>_xlfn.LET(
    _xlpm.MacVal, _xlfn.XLOOKUP($A1360, Output_Mac!$A:$A, Output_Mac!AB:AB, ""),
    _xlpm.MyAuditVal, _xlfn.XLOOKUP($A1360, My_Audit!$A:$A, My_Audit!N:N, ""),
    _xlfn.TEXTJOIN(", ", TRUE, _xlpm.MyAuditVal, _xlpm.MacVal)
)</f>
        <v/>
      </c>
    </row>
    <row r="1361" spans="1:24">
      <c r="A1361" s="40" t="str">
        <f>_xlfn.TEXTJOIN("",TRUE,Input!$B$2,ROW(My_Audit!A1360))</f>
        <v>X1360</v>
      </c>
      <c r="B1361" s="40" t="str">
        <f>_xlfn.TEXTJOIN("-",TRUE,"ITD",Input!$A$2,A1361)</f>
        <v>ITD-X1360</v>
      </c>
      <c r="C1361" s="40" t="str" cm="1">
        <f t="array" ref="C1361">IFERROR(_xlfn.LET(
_xlpm.CSVVal,_xlfn.XLOOKUP($A1361,CSV!$A:$A,CSV!B:B,""),
_xlpm.MacVal,_xlfn.XLOOKUP($A1361,Output_Mac!$A:$A,Output_Mac!B:B,""),
_xlpm.MyAuditVal,_xlfn.XLOOKUP($A1361,My_Audit!$A:$A,My_Audit!B:B,""),
_xlfn.IFS(_xlpm.MyAuditVal&lt;&gt;"",UPPER(_xlpm.MyAuditVal),_xlpm.MacVal&lt;&gt;"",_xlpm.MacVal,_xlpm.CSVVal&lt;&gt;"",_xlpm.CSVVal
)),"")</f>
        <v/>
      </c>
      <c r="D1361" s="40" t="str" cm="1">
        <f t="array" ref="D1361">IFERROR(_xlfn.LET(
_xlpm.CSVVal,_xlfn.XLOOKUP($A1361,CSV!$A:$A,CSV!D:D,""),
_xlpm.MacVal,_xlfn.XLOOKUP($A1361,Output_Mac!$A:$A,Output_Mac!C:C,""),
_xlpm.MyAuditVal,_xlfn.XLOOKUP($A1361,My_Audit!$A:$A,My_Audit!C:C,""),
_xlfn.IFS(_xlpm.MyAuditVal&lt;&gt;"",_xlpm.MyAuditVal,_xlpm.MacVal&lt;&gt;"",_xlpm.MacVal,_xlpm.CSVVal&lt;&gt;"",_xlpm.CSVVal
)),"")</f>
        <v/>
      </c>
      <c r="E1361" s="40" t="str">
        <f>_xlfn.XLOOKUP(A1361,My_Audit!A:A,My_Audit!D:D,"")</f>
        <v/>
      </c>
      <c r="F1361" s="40" t="str" cm="1">
        <f t="array" ref="F1361">IFERROR(_xlfn.LET(
_xlpm.CSVVal,_xlfn.XLOOKUP($A1361,CSV!$A:$A,CSV!F:F,""),
_xlpm.MacVal,_xlfn.XLOOKUP($A1361,Output_Mac!$A:$A,Output_Mac!E:E,""),
_xlpm.MyAuditVal,_xlfn.XLOOKUP($A1361,My_Audit!$A:$A,My_Audit!E:E,""),
_xlfn.IFS(_xlpm.MyAuditVal&lt;&gt;"",_xlpm.MyAuditVal,_xlpm.MacVal&lt;&gt;"",_xlpm.MacVal,_xlpm.CSVVal&lt;&gt;"",_xlpm.CSVVal
)),"")</f>
        <v/>
      </c>
      <c r="G1361" s="40" t="str" cm="1">
        <f t="array" ref="G1361">IFERROR(_xlfn.LET(
_xlpm.CSVVal,_xlfn.XLOOKUP($A1361,CSV!$A:$A,CSV!G:G,""),
_xlpm.MacVal,_xlfn.XLOOKUP($A1361,Output_Mac!$A:$A,Output_Mac!F:F,""),
_xlpm.MyAuditVal,_xlfn.XLOOKUP($A1361,My_Audit!$A:$A,My_Audit!F:F,""),
_xlfn.IFS(_xlpm.MyAuditVal&lt;&gt;"",_xlpm.MyAuditVal,_xlpm.MacVal&lt;&gt;"",_xlpm.MacVal,_xlpm.CSVVal&lt;&gt;"",PROPER(_xlpm.CSVVal)
)),"")</f>
        <v/>
      </c>
      <c r="H1361" s="40" t="str" cm="1">
        <f t="array" ref="H1361">IFERROR(_xlfn.LET(
_xlpm.CSVVal,_xlfn.XLOOKUP($A1361,CSV!$A:$A,CSV!H:H,""),
_xlpm.MacVal,_xlfn.XLOOKUP($A1361,Output_Mac!$A:$A,Output_Mac!H:H,""),
_xlpm.MyAuditVal,_xlfn.XLOOKUP($A1361,My_Audit!$A:$A,My_Audit!G:G,""),
_xlfn.IFS(_xlpm.MyAuditVal&lt;&gt;"",_xlpm.MyAuditVal,_xlpm.MacVal&lt;&gt;"",_xlpm.MacVal,_xlpm.CSVVal&lt;&gt;"",_xlpm.CSVVal
)),"")</f>
        <v/>
      </c>
      <c r="I1361" s="40" t="str">
        <f>_xlfn.XLOOKUP(A1361,Output_Mac!A:A,Output_Mac!I:I,"")</f>
        <v/>
      </c>
      <c r="J1361" s="40" t="str" cm="1">
        <f t="array" ref="J1361">IFERROR(_xlfn.LET(
_xlpm.CSVVal,_xlfn.XLOOKUP($A1361,CSV!$A:$A,CSV!I:I,""),
_xlpm.MacVal,_xlfn.XLOOKUP($A1361,Output_Mac!$A:$A,Output_Mac!J:J,""),
_xlpm.MyAuditVal,_xlfn.XLOOKUP($A1361,My_Audit!$A:$A,My_Audit!I:I,""),
_xlfn.IFS(_xlpm.MyAuditVal&lt;&gt;"",UPPER(_xlpm.MyAuditVal),_xlpm.MacVal&lt;&gt;"",_xlpm.MacVal,_xlpm.CSVVal&lt;&gt;"",_xlpm.CSVVal
)),"")</f>
        <v/>
      </c>
      <c r="K1361" s="40" t="str" cm="1">
        <f t="array" ref="K1361">IFERROR(_xlfn.LET(
_xlpm.CSVVal,_xlfn.XLOOKUP($A1361,CSV!$A:$A,CSV!K:K,""),
_xlpm.MacVal,_xlfn.XLOOKUP($A1361,Output_Mac!$A:$A,Output_Mac!K:K,""),
_xlpm.MyAuditVal,_xlfn.XLOOKUP($A1361,My_Audit!$A:$A,My_Audit!J:J,""),
_xlfn.IFS(_xlpm.MyAuditVal&lt;&gt;"",UPPER(_xlpm.MyAuditVal),_xlpm.MacVal&lt;&gt;"",_xlpm.MacVal,_xlpm.CSVVal&lt;&gt;"",_xlpm.CSVVal
)),"")</f>
        <v/>
      </c>
      <c r="L1361" s="40" t="str" cm="1">
        <f t="array" ref="L1361">IFERROR(_xlfn.LET(
_xlpm.CSVVal,_xlfn.XLOOKUP($A1361,CSV!$A:$A,CSV!P:P,""),
_xlpm.MacVal,_xlfn.XLOOKUP($A1361,Output_Mac!$A:$A,Output_Mac!L:L,""),
_xlpm.MyAuditVal,_xlfn.XLOOKUP($A1361,My_Audit!$A:$A,My_Audit!K:K,""),
_xlfn.IFS(_xlpm.MyAuditVal&lt;&gt;"",UPPER(_xlpm.MyAuditVal),_xlpm.MacVal&lt;&gt;"",_xlpm.MacVal,_xlpm.CSVVal&lt;&gt;"",_xlpm.CSVVal
)),"")</f>
        <v/>
      </c>
      <c r="M1361" s="40" t="str" cm="1">
        <f t="array" ref="M1361">IFERROR(_xlfn.LET(
_xlpm.CSVVal,_xlfn.XLOOKUP($A1361,CSV!$A:$A,CSV!Q:Q,""),
_xlpm.MacVal,_xlfn.XLOOKUP($A1361,Output_Mac!$A:$A,Output_Mac!M:M,""),
_xlpm.MyAuditVal,_xlfn.XLOOKUP($A1361,My_Audit!$A:$A,My_Audit!L:L,""),
_xlfn.IFS(_xlpm.MyAuditVal&lt;&gt;"",UPPER(_xlpm.MyAuditVal),_xlpm.MacVal&lt;&gt;"",_xlpm.MacVal,_xlpm.CSVVal&lt;&gt;"",_xlpm.CSVVal
)),"")</f>
        <v/>
      </c>
      <c r="N1361" s="40"/>
      <c r="O1361" s="40" t="str">
        <f>_xlfn.LET(
    _xlpm.CSVVal, _xlfn.XLOOKUP($A1361, CSV!$A:$A, CSV!AA:AA, ""),
    _xlpm.MacVal, _xlfn.XLOOKUP($A1361, Output_Mac!$A:$A, Output_Mac!S:S, ""),
    _xlpm.MyAuditVal, _xlfn.XLOOKUP($A1361, My_Audit!$A:$A, My_Audit!P:P, ""),
    _xlfn.TEXTJOIN(", ", TRUE, _xlpm.MyAuditVal, _xlpm.MacVal, _xlpm.CSVVal)
)</f>
        <v/>
      </c>
      <c r="P1361" s="40" t="str" cm="1">
        <f t="array" ref="P1361">IFERROR(_xlfn.LET(
_xlpm.CSVVal,_xlfn.XLOOKUP($A1361,CSV!$A:$A,CSV!AB:AB,""),
_xlpm.MacVal,_xlfn.XLOOKUP($A1361,Output_Mac!$A:$A,Output_Mac!T:T,""),
_xlpm.MyAuditVal,_xlfn.XLOOKUP($A1361,My_Audit!$A:$A,My_Audit!Q:Q,""),
_xlfn.IFS(_xlpm.MyAuditVal&lt;&gt;"",UPPER(_xlpm.MyAuditVal),_xlpm.MacVal&lt;&gt;"",_xlpm.MacVal,_xlpm.CSVVal&lt;&gt;"",_xlpm.CSVVal
)),"No")</f>
        <v>No</v>
      </c>
      <c r="Q1361" s="40" t="str" cm="1">
        <f t="array" ref="Q1361">IFERROR(_xlfn.LET(
_xlpm.CSVVal,_xlfn.XLOOKUP($A1361,CSV!$A:$A,CSV!AC:AC,""),
_xlpm.MacVal,_xlfn.XLOOKUP($A1361,Output_Mac!$A:$A,Output_Mac!U:U,""),
_xlpm.MyAuditVal,_xlfn.XLOOKUP($A1361,My_Audit!$A:$A,My_Audit!R:R,""),
_xlfn.IFS(_xlpm.MyAuditVal&lt;&gt;"",UPPER(_xlpm.MyAuditVal),_xlpm.MacVal&lt;&gt;"",_xlpm.MacVal,_xlpm.CSVVal&lt;&gt;"",_xlpm.CSVVal
)),"")</f>
        <v/>
      </c>
      <c r="R1361" s="40"/>
      <c r="S1361" s="40"/>
      <c r="T1361" s="40"/>
      <c r="U1361" s="40"/>
      <c r="V1361" s="40"/>
      <c r="W1361" s="40"/>
      <c r="X1361" s="41" t="str">
        <f>_xlfn.LET(
    _xlpm.MacVal, _xlfn.XLOOKUP($A1361, Output_Mac!$A:$A, Output_Mac!AB:AB, ""),
    _xlpm.MyAuditVal, _xlfn.XLOOKUP($A1361, My_Audit!$A:$A, My_Audit!N:N, ""),
    _xlfn.TEXTJOIN(", ", TRUE, _xlpm.MyAuditVal, _xlpm.MacVal)
)</f>
        <v/>
      </c>
    </row>
    <row r="1362" spans="1:24">
      <c r="A1362" s="40" t="str">
        <f>_xlfn.TEXTJOIN("",TRUE,Input!$B$2,ROW(My_Audit!A1361))</f>
        <v>X1361</v>
      </c>
      <c r="B1362" s="40" t="str">
        <f>_xlfn.TEXTJOIN("-",TRUE,"ITD",Input!$A$2,A1362)</f>
        <v>ITD-X1361</v>
      </c>
      <c r="C1362" s="40" t="str" cm="1">
        <f t="array" ref="C1362">IFERROR(_xlfn.LET(
_xlpm.CSVVal,_xlfn.XLOOKUP($A1362,CSV!$A:$A,CSV!B:B,""),
_xlpm.MacVal,_xlfn.XLOOKUP($A1362,Output_Mac!$A:$A,Output_Mac!B:B,""),
_xlpm.MyAuditVal,_xlfn.XLOOKUP($A1362,My_Audit!$A:$A,My_Audit!B:B,""),
_xlfn.IFS(_xlpm.MyAuditVal&lt;&gt;"",UPPER(_xlpm.MyAuditVal),_xlpm.MacVal&lt;&gt;"",_xlpm.MacVal,_xlpm.CSVVal&lt;&gt;"",_xlpm.CSVVal
)),"")</f>
        <v/>
      </c>
      <c r="D1362" s="40" t="str" cm="1">
        <f t="array" ref="D1362">IFERROR(_xlfn.LET(
_xlpm.CSVVal,_xlfn.XLOOKUP($A1362,CSV!$A:$A,CSV!D:D,""),
_xlpm.MacVal,_xlfn.XLOOKUP($A1362,Output_Mac!$A:$A,Output_Mac!C:C,""),
_xlpm.MyAuditVal,_xlfn.XLOOKUP($A1362,My_Audit!$A:$A,My_Audit!C:C,""),
_xlfn.IFS(_xlpm.MyAuditVal&lt;&gt;"",_xlpm.MyAuditVal,_xlpm.MacVal&lt;&gt;"",_xlpm.MacVal,_xlpm.CSVVal&lt;&gt;"",_xlpm.CSVVal
)),"")</f>
        <v/>
      </c>
      <c r="E1362" s="40" t="str">
        <f>_xlfn.XLOOKUP(A1362,My_Audit!A:A,My_Audit!D:D,"")</f>
        <v/>
      </c>
      <c r="F1362" s="40" t="str" cm="1">
        <f t="array" ref="F1362">IFERROR(_xlfn.LET(
_xlpm.CSVVal,_xlfn.XLOOKUP($A1362,CSV!$A:$A,CSV!F:F,""),
_xlpm.MacVal,_xlfn.XLOOKUP($A1362,Output_Mac!$A:$A,Output_Mac!E:E,""),
_xlpm.MyAuditVal,_xlfn.XLOOKUP($A1362,My_Audit!$A:$A,My_Audit!E:E,""),
_xlfn.IFS(_xlpm.MyAuditVal&lt;&gt;"",_xlpm.MyAuditVal,_xlpm.MacVal&lt;&gt;"",_xlpm.MacVal,_xlpm.CSVVal&lt;&gt;"",_xlpm.CSVVal
)),"")</f>
        <v/>
      </c>
      <c r="G1362" s="40" t="str" cm="1">
        <f t="array" ref="G1362">IFERROR(_xlfn.LET(
_xlpm.CSVVal,_xlfn.XLOOKUP($A1362,CSV!$A:$A,CSV!G:G,""),
_xlpm.MacVal,_xlfn.XLOOKUP($A1362,Output_Mac!$A:$A,Output_Mac!F:F,""),
_xlpm.MyAuditVal,_xlfn.XLOOKUP($A1362,My_Audit!$A:$A,My_Audit!F:F,""),
_xlfn.IFS(_xlpm.MyAuditVal&lt;&gt;"",_xlpm.MyAuditVal,_xlpm.MacVal&lt;&gt;"",_xlpm.MacVal,_xlpm.CSVVal&lt;&gt;"",PROPER(_xlpm.CSVVal)
)),"")</f>
        <v/>
      </c>
      <c r="H1362" s="40" t="str" cm="1">
        <f t="array" ref="H1362">IFERROR(_xlfn.LET(
_xlpm.CSVVal,_xlfn.XLOOKUP($A1362,CSV!$A:$A,CSV!H:H,""),
_xlpm.MacVal,_xlfn.XLOOKUP($A1362,Output_Mac!$A:$A,Output_Mac!H:H,""),
_xlpm.MyAuditVal,_xlfn.XLOOKUP($A1362,My_Audit!$A:$A,My_Audit!G:G,""),
_xlfn.IFS(_xlpm.MyAuditVal&lt;&gt;"",_xlpm.MyAuditVal,_xlpm.MacVal&lt;&gt;"",_xlpm.MacVal,_xlpm.CSVVal&lt;&gt;"",_xlpm.CSVVal
)),"")</f>
        <v/>
      </c>
      <c r="I1362" s="40" t="str">
        <f>_xlfn.XLOOKUP(A1362,Output_Mac!A:A,Output_Mac!I:I,"")</f>
        <v/>
      </c>
      <c r="J1362" s="40" t="str" cm="1">
        <f t="array" ref="J1362">IFERROR(_xlfn.LET(
_xlpm.CSVVal,_xlfn.XLOOKUP($A1362,CSV!$A:$A,CSV!I:I,""),
_xlpm.MacVal,_xlfn.XLOOKUP($A1362,Output_Mac!$A:$A,Output_Mac!J:J,""),
_xlpm.MyAuditVal,_xlfn.XLOOKUP($A1362,My_Audit!$A:$A,My_Audit!I:I,""),
_xlfn.IFS(_xlpm.MyAuditVal&lt;&gt;"",UPPER(_xlpm.MyAuditVal),_xlpm.MacVal&lt;&gt;"",_xlpm.MacVal,_xlpm.CSVVal&lt;&gt;"",_xlpm.CSVVal
)),"")</f>
        <v/>
      </c>
      <c r="K1362" s="40" t="str" cm="1">
        <f t="array" ref="K1362">IFERROR(_xlfn.LET(
_xlpm.CSVVal,_xlfn.XLOOKUP($A1362,CSV!$A:$A,CSV!K:K,""),
_xlpm.MacVal,_xlfn.XLOOKUP($A1362,Output_Mac!$A:$A,Output_Mac!K:K,""),
_xlpm.MyAuditVal,_xlfn.XLOOKUP($A1362,My_Audit!$A:$A,My_Audit!J:J,""),
_xlfn.IFS(_xlpm.MyAuditVal&lt;&gt;"",UPPER(_xlpm.MyAuditVal),_xlpm.MacVal&lt;&gt;"",_xlpm.MacVal,_xlpm.CSVVal&lt;&gt;"",_xlpm.CSVVal
)),"")</f>
        <v/>
      </c>
      <c r="L1362" s="40" t="str" cm="1">
        <f t="array" ref="L1362">IFERROR(_xlfn.LET(
_xlpm.CSVVal,_xlfn.XLOOKUP($A1362,CSV!$A:$A,CSV!P:P,""),
_xlpm.MacVal,_xlfn.XLOOKUP($A1362,Output_Mac!$A:$A,Output_Mac!L:L,""),
_xlpm.MyAuditVal,_xlfn.XLOOKUP($A1362,My_Audit!$A:$A,My_Audit!K:K,""),
_xlfn.IFS(_xlpm.MyAuditVal&lt;&gt;"",UPPER(_xlpm.MyAuditVal),_xlpm.MacVal&lt;&gt;"",_xlpm.MacVal,_xlpm.CSVVal&lt;&gt;"",_xlpm.CSVVal
)),"")</f>
        <v/>
      </c>
      <c r="M1362" s="40" t="str" cm="1">
        <f t="array" ref="M1362">IFERROR(_xlfn.LET(
_xlpm.CSVVal,_xlfn.XLOOKUP($A1362,CSV!$A:$A,CSV!Q:Q,""),
_xlpm.MacVal,_xlfn.XLOOKUP($A1362,Output_Mac!$A:$A,Output_Mac!M:M,""),
_xlpm.MyAuditVal,_xlfn.XLOOKUP($A1362,My_Audit!$A:$A,My_Audit!L:L,""),
_xlfn.IFS(_xlpm.MyAuditVal&lt;&gt;"",UPPER(_xlpm.MyAuditVal),_xlpm.MacVal&lt;&gt;"",_xlpm.MacVal,_xlpm.CSVVal&lt;&gt;"",_xlpm.CSVVal
)),"")</f>
        <v/>
      </c>
      <c r="N1362" s="40"/>
      <c r="O1362" s="40" t="str">
        <f>_xlfn.LET(
    _xlpm.CSVVal, _xlfn.XLOOKUP($A1362, CSV!$A:$A, CSV!AA:AA, ""),
    _xlpm.MacVal, _xlfn.XLOOKUP($A1362, Output_Mac!$A:$A, Output_Mac!S:S, ""),
    _xlpm.MyAuditVal, _xlfn.XLOOKUP($A1362, My_Audit!$A:$A, My_Audit!P:P, ""),
    _xlfn.TEXTJOIN(", ", TRUE, _xlpm.MyAuditVal, _xlpm.MacVal, _xlpm.CSVVal)
)</f>
        <v/>
      </c>
      <c r="P1362" s="40" t="str" cm="1">
        <f t="array" ref="P1362">IFERROR(_xlfn.LET(
_xlpm.CSVVal,_xlfn.XLOOKUP($A1362,CSV!$A:$A,CSV!AB:AB,""),
_xlpm.MacVal,_xlfn.XLOOKUP($A1362,Output_Mac!$A:$A,Output_Mac!T:T,""),
_xlpm.MyAuditVal,_xlfn.XLOOKUP($A1362,My_Audit!$A:$A,My_Audit!Q:Q,""),
_xlfn.IFS(_xlpm.MyAuditVal&lt;&gt;"",UPPER(_xlpm.MyAuditVal),_xlpm.MacVal&lt;&gt;"",_xlpm.MacVal,_xlpm.CSVVal&lt;&gt;"",_xlpm.CSVVal
)),"No")</f>
        <v>No</v>
      </c>
      <c r="Q1362" s="40" t="str" cm="1">
        <f t="array" ref="Q1362">IFERROR(_xlfn.LET(
_xlpm.CSVVal,_xlfn.XLOOKUP($A1362,CSV!$A:$A,CSV!AC:AC,""),
_xlpm.MacVal,_xlfn.XLOOKUP($A1362,Output_Mac!$A:$A,Output_Mac!U:U,""),
_xlpm.MyAuditVal,_xlfn.XLOOKUP($A1362,My_Audit!$A:$A,My_Audit!R:R,""),
_xlfn.IFS(_xlpm.MyAuditVal&lt;&gt;"",UPPER(_xlpm.MyAuditVal),_xlpm.MacVal&lt;&gt;"",_xlpm.MacVal,_xlpm.CSVVal&lt;&gt;"",_xlpm.CSVVal
)),"")</f>
        <v/>
      </c>
      <c r="R1362" s="40"/>
      <c r="S1362" s="40"/>
      <c r="T1362" s="40"/>
      <c r="U1362" s="40"/>
      <c r="V1362" s="40"/>
      <c r="W1362" s="40"/>
      <c r="X1362" s="41" t="str">
        <f>_xlfn.LET(
    _xlpm.MacVal, _xlfn.XLOOKUP($A1362, Output_Mac!$A:$A, Output_Mac!AB:AB, ""),
    _xlpm.MyAuditVal, _xlfn.XLOOKUP($A1362, My_Audit!$A:$A, My_Audit!N:N, ""),
    _xlfn.TEXTJOIN(", ", TRUE, _xlpm.MyAuditVal, _xlpm.MacVal)
)</f>
        <v/>
      </c>
    </row>
    <row r="1363" spans="1:24">
      <c r="A1363" s="40" t="str">
        <f>_xlfn.TEXTJOIN("",TRUE,Input!$B$2,ROW(My_Audit!A1362))</f>
        <v>X1362</v>
      </c>
      <c r="B1363" s="40" t="str">
        <f>_xlfn.TEXTJOIN("-",TRUE,"ITD",Input!$A$2,A1363)</f>
        <v>ITD-X1362</v>
      </c>
      <c r="C1363" s="40" t="str" cm="1">
        <f t="array" ref="C1363">IFERROR(_xlfn.LET(
_xlpm.CSVVal,_xlfn.XLOOKUP($A1363,CSV!$A:$A,CSV!B:B,""),
_xlpm.MacVal,_xlfn.XLOOKUP($A1363,Output_Mac!$A:$A,Output_Mac!B:B,""),
_xlpm.MyAuditVal,_xlfn.XLOOKUP($A1363,My_Audit!$A:$A,My_Audit!B:B,""),
_xlfn.IFS(_xlpm.MyAuditVal&lt;&gt;"",UPPER(_xlpm.MyAuditVal),_xlpm.MacVal&lt;&gt;"",_xlpm.MacVal,_xlpm.CSVVal&lt;&gt;"",_xlpm.CSVVal
)),"")</f>
        <v/>
      </c>
      <c r="D1363" s="40" t="str" cm="1">
        <f t="array" ref="D1363">IFERROR(_xlfn.LET(
_xlpm.CSVVal,_xlfn.XLOOKUP($A1363,CSV!$A:$A,CSV!D:D,""),
_xlpm.MacVal,_xlfn.XLOOKUP($A1363,Output_Mac!$A:$A,Output_Mac!C:C,""),
_xlpm.MyAuditVal,_xlfn.XLOOKUP($A1363,My_Audit!$A:$A,My_Audit!C:C,""),
_xlfn.IFS(_xlpm.MyAuditVal&lt;&gt;"",_xlpm.MyAuditVal,_xlpm.MacVal&lt;&gt;"",_xlpm.MacVal,_xlpm.CSVVal&lt;&gt;"",_xlpm.CSVVal
)),"")</f>
        <v/>
      </c>
      <c r="E1363" s="40" t="str">
        <f>_xlfn.XLOOKUP(A1363,My_Audit!A:A,My_Audit!D:D,"")</f>
        <v/>
      </c>
      <c r="F1363" s="40" t="str" cm="1">
        <f t="array" ref="F1363">IFERROR(_xlfn.LET(
_xlpm.CSVVal,_xlfn.XLOOKUP($A1363,CSV!$A:$A,CSV!F:F,""),
_xlpm.MacVal,_xlfn.XLOOKUP($A1363,Output_Mac!$A:$A,Output_Mac!E:E,""),
_xlpm.MyAuditVal,_xlfn.XLOOKUP($A1363,My_Audit!$A:$A,My_Audit!E:E,""),
_xlfn.IFS(_xlpm.MyAuditVal&lt;&gt;"",_xlpm.MyAuditVal,_xlpm.MacVal&lt;&gt;"",_xlpm.MacVal,_xlpm.CSVVal&lt;&gt;"",_xlpm.CSVVal
)),"")</f>
        <v/>
      </c>
      <c r="G1363" s="40" t="str" cm="1">
        <f t="array" ref="G1363">IFERROR(_xlfn.LET(
_xlpm.CSVVal,_xlfn.XLOOKUP($A1363,CSV!$A:$A,CSV!G:G,""),
_xlpm.MacVal,_xlfn.XLOOKUP($A1363,Output_Mac!$A:$A,Output_Mac!F:F,""),
_xlpm.MyAuditVal,_xlfn.XLOOKUP($A1363,My_Audit!$A:$A,My_Audit!F:F,""),
_xlfn.IFS(_xlpm.MyAuditVal&lt;&gt;"",_xlpm.MyAuditVal,_xlpm.MacVal&lt;&gt;"",_xlpm.MacVal,_xlpm.CSVVal&lt;&gt;"",PROPER(_xlpm.CSVVal)
)),"")</f>
        <v/>
      </c>
      <c r="H1363" s="40" t="str" cm="1">
        <f t="array" ref="H1363">IFERROR(_xlfn.LET(
_xlpm.CSVVal,_xlfn.XLOOKUP($A1363,CSV!$A:$A,CSV!H:H,""),
_xlpm.MacVal,_xlfn.XLOOKUP($A1363,Output_Mac!$A:$A,Output_Mac!H:H,""),
_xlpm.MyAuditVal,_xlfn.XLOOKUP($A1363,My_Audit!$A:$A,My_Audit!G:G,""),
_xlfn.IFS(_xlpm.MyAuditVal&lt;&gt;"",_xlpm.MyAuditVal,_xlpm.MacVal&lt;&gt;"",_xlpm.MacVal,_xlpm.CSVVal&lt;&gt;"",_xlpm.CSVVal
)),"")</f>
        <v/>
      </c>
      <c r="I1363" s="40" t="str">
        <f>_xlfn.XLOOKUP(A1363,Output_Mac!A:A,Output_Mac!I:I,"")</f>
        <v/>
      </c>
      <c r="J1363" s="40" t="str" cm="1">
        <f t="array" ref="J1363">IFERROR(_xlfn.LET(
_xlpm.CSVVal,_xlfn.XLOOKUP($A1363,CSV!$A:$A,CSV!I:I,""),
_xlpm.MacVal,_xlfn.XLOOKUP($A1363,Output_Mac!$A:$A,Output_Mac!J:J,""),
_xlpm.MyAuditVal,_xlfn.XLOOKUP($A1363,My_Audit!$A:$A,My_Audit!I:I,""),
_xlfn.IFS(_xlpm.MyAuditVal&lt;&gt;"",UPPER(_xlpm.MyAuditVal),_xlpm.MacVal&lt;&gt;"",_xlpm.MacVal,_xlpm.CSVVal&lt;&gt;"",_xlpm.CSVVal
)),"")</f>
        <v/>
      </c>
      <c r="K1363" s="40" t="str" cm="1">
        <f t="array" ref="K1363">IFERROR(_xlfn.LET(
_xlpm.CSVVal,_xlfn.XLOOKUP($A1363,CSV!$A:$A,CSV!K:K,""),
_xlpm.MacVal,_xlfn.XLOOKUP($A1363,Output_Mac!$A:$A,Output_Mac!K:K,""),
_xlpm.MyAuditVal,_xlfn.XLOOKUP($A1363,My_Audit!$A:$A,My_Audit!J:J,""),
_xlfn.IFS(_xlpm.MyAuditVal&lt;&gt;"",UPPER(_xlpm.MyAuditVal),_xlpm.MacVal&lt;&gt;"",_xlpm.MacVal,_xlpm.CSVVal&lt;&gt;"",_xlpm.CSVVal
)),"")</f>
        <v/>
      </c>
      <c r="L1363" s="40" t="str" cm="1">
        <f t="array" ref="L1363">IFERROR(_xlfn.LET(
_xlpm.CSVVal,_xlfn.XLOOKUP($A1363,CSV!$A:$A,CSV!P:P,""),
_xlpm.MacVal,_xlfn.XLOOKUP($A1363,Output_Mac!$A:$A,Output_Mac!L:L,""),
_xlpm.MyAuditVal,_xlfn.XLOOKUP($A1363,My_Audit!$A:$A,My_Audit!K:K,""),
_xlfn.IFS(_xlpm.MyAuditVal&lt;&gt;"",UPPER(_xlpm.MyAuditVal),_xlpm.MacVal&lt;&gt;"",_xlpm.MacVal,_xlpm.CSVVal&lt;&gt;"",_xlpm.CSVVal
)),"")</f>
        <v/>
      </c>
      <c r="M1363" s="40" t="str" cm="1">
        <f t="array" ref="M1363">IFERROR(_xlfn.LET(
_xlpm.CSVVal,_xlfn.XLOOKUP($A1363,CSV!$A:$A,CSV!Q:Q,""),
_xlpm.MacVal,_xlfn.XLOOKUP($A1363,Output_Mac!$A:$A,Output_Mac!M:M,""),
_xlpm.MyAuditVal,_xlfn.XLOOKUP($A1363,My_Audit!$A:$A,My_Audit!L:L,""),
_xlfn.IFS(_xlpm.MyAuditVal&lt;&gt;"",UPPER(_xlpm.MyAuditVal),_xlpm.MacVal&lt;&gt;"",_xlpm.MacVal,_xlpm.CSVVal&lt;&gt;"",_xlpm.CSVVal
)),"")</f>
        <v/>
      </c>
      <c r="N1363" s="40"/>
      <c r="O1363" s="40" t="str">
        <f>_xlfn.LET(
    _xlpm.CSVVal, _xlfn.XLOOKUP($A1363, CSV!$A:$A, CSV!AA:AA, ""),
    _xlpm.MacVal, _xlfn.XLOOKUP($A1363, Output_Mac!$A:$A, Output_Mac!S:S, ""),
    _xlpm.MyAuditVal, _xlfn.XLOOKUP($A1363, My_Audit!$A:$A, My_Audit!P:P, ""),
    _xlfn.TEXTJOIN(", ", TRUE, _xlpm.MyAuditVal, _xlpm.MacVal, _xlpm.CSVVal)
)</f>
        <v/>
      </c>
      <c r="P1363" s="40" t="str" cm="1">
        <f t="array" ref="P1363">IFERROR(_xlfn.LET(
_xlpm.CSVVal,_xlfn.XLOOKUP($A1363,CSV!$A:$A,CSV!AB:AB,""),
_xlpm.MacVal,_xlfn.XLOOKUP($A1363,Output_Mac!$A:$A,Output_Mac!T:T,""),
_xlpm.MyAuditVal,_xlfn.XLOOKUP($A1363,My_Audit!$A:$A,My_Audit!Q:Q,""),
_xlfn.IFS(_xlpm.MyAuditVal&lt;&gt;"",UPPER(_xlpm.MyAuditVal),_xlpm.MacVal&lt;&gt;"",_xlpm.MacVal,_xlpm.CSVVal&lt;&gt;"",_xlpm.CSVVal
)),"No")</f>
        <v>No</v>
      </c>
      <c r="Q1363" s="40" t="str" cm="1">
        <f t="array" ref="Q1363">IFERROR(_xlfn.LET(
_xlpm.CSVVal,_xlfn.XLOOKUP($A1363,CSV!$A:$A,CSV!AC:AC,""),
_xlpm.MacVal,_xlfn.XLOOKUP($A1363,Output_Mac!$A:$A,Output_Mac!U:U,""),
_xlpm.MyAuditVal,_xlfn.XLOOKUP($A1363,My_Audit!$A:$A,My_Audit!R:R,""),
_xlfn.IFS(_xlpm.MyAuditVal&lt;&gt;"",UPPER(_xlpm.MyAuditVal),_xlpm.MacVal&lt;&gt;"",_xlpm.MacVal,_xlpm.CSVVal&lt;&gt;"",_xlpm.CSVVal
)),"")</f>
        <v/>
      </c>
      <c r="R1363" s="40"/>
      <c r="S1363" s="40"/>
      <c r="T1363" s="40"/>
      <c r="U1363" s="40"/>
      <c r="V1363" s="40"/>
      <c r="W1363" s="40"/>
      <c r="X1363" s="41" t="str">
        <f>_xlfn.LET(
    _xlpm.MacVal, _xlfn.XLOOKUP($A1363, Output_Mac!$A:$A, Output_Mac!AB:AB, ""),
    _xlpm.MyAuditVal, _xlfn.XLOOKUP($A1363, My_Audit!$A:$A, My_Audit!N:N, ""),
    _xlfn.TEXTJOIN(", ", TRUE, _xlpm.MyAuditVal, _xlpm.MacVal)
)</f>
        <v/>
      </c>
    </row>
    <row r="1364" spans="1:24">
      <c r="A1364" s="40" t="str">
        <f>_xlfn.TEXTJOIN("",TRUE,Input!$B$2,ROW(My_Audit!A1363))</f>
        <v>X1363</v>
      </c>
      <c r="B1364" s="40" t="str">
        <f>_xlfn.TEXTJOIN("-",TRUE,"ITD",Input!$A$2,A1364)</f>
        <v>ITD-X1363</v>
      </c>
      <c r="C1364" s="40" t="str" cm="1">
        <f t="array" ref="C1364">IFERROR(_xlfn.LET(
_xlpm.CSVVal,_xlfn.XLOOKUP($A1364,CSV!$A:$A,CSV!B:B,""),
_xlpm.MacVal,_xlfn.XLOOKUP($A1364,Output_Mac!$A:$A,Output_Mac!B:B,""),
_xlpm.MyAuditVal,_xlfn.XLOOKUP($A1364,My_Audit!$A:$A,My_Audit!B:B,""),
_xlfn.IFS(_xlpm.MyAuditVal&lt;&gt;"",UPPER(_xlpm.MyAuditVal),_xlpm.MacVal&lt;&gt;"",_xlpm.MacVal,_xlpm.CSVVal&lt;&gt;"",_xlpm.CSVVal
)),"")</f>
        <v/>
      </c>
      <c r="D1364" s="40" t="str" cm="1">
        <f t="array" ref="D1364">IFERROR(_xlfn.LET(
_xlpm.CSVVal,_xlfn.XLOOKUP($A1364,CSV!$A:$A,CSV!D:D,""),
_xlpm.MacVal,_xlfn.XLOOKUP($A1364,Output_Mac!$A:$A,Output_Mac!C:C,""),
_xlpm.MyAuditVal,_xlfn.XLOOKUP($A1364,My_Audit!$A:$A,My_Audit!C:C,""),
_xlfn.IFS(_xlpm.MyAuditVal&lt;&gt;"",_xlpm.MyAuditVal,_xlpm.MacVal&lt;&gt;"",_xlpm.MacVal,_xlpm.CSVVal&lt;&gt;"",_xlpm.CSVVal
)),"")</f>
        <v/>
      </c>
      <c r="E1364" s="40" t="str">
        <f>_xlfn.XLOOKUP(A1364,My_Audit!A:A,My_Audit!D:D,"")</f>
        <v/>
      </c>
      <c r="F1364" s="40" t="str" cm="1">
        <f t="array" ref="F1364">IFERROR(_xlfn.LET(
_xlpm.CSVVal,_xlfn.XLOOKUP($A1364,CSV!$A:$A,CSV!F:F,""),
_xlpm.MacVal,_xlfn.XLOOKUP($A1364,Output_Mac!$A:$A,Output_Mac!E:E,""),
_xlpm.MyAuditVal,_xlfn.XLOOKUP($A1364,My_Audit!$A:$A,My_Audit!E:E,""),
_xlfn.IFS(_xlpm.MyAuditVal&lt;&gt;"",_xlpm.MyAuditVal,_xlpm.MacVal&lt;&gt;"",_xlpm.MacVal,_xlpm.CSVVal&lt;&gt;"",_xlpm.CSVVal
)),"")</f>
        <v/>
      </c>
      <c r="G1364" s="40" t="str" cm="1">
        <f t="array" ref="G1364">IFERROR(_xlfn.LET(
_xlpm.CSVVal,_xlfn.XLOOKUP($A1364,CSV!$A:$A,CSV!G:G,""),
_xlpm.MacVal,_xlfn.XLOOKUP($A1364,Output_Mac!$A:$A,Output_Mac!F:F,""),
_xlpm.MyAuditVal,_xlfn.XLOOKUP($A1364,My_Audit!$A:$A,My_Audit!F:F,""),
_xlfn.IFS(_xlpm.MyAuditVal&lt;&gt;"",_xlpm.MyAuditVal,_xlpm.MacVal&lt;&gt;"",_xlpm.MacVal,_xlpm.CSVVal&lt;&gt;"",PROPER(_xlpm.CSVVal)
)),"")</f>
        <v/>
      </c>
      <c r="H1364" s="40" t="str" cm="1">
        <f t="array" ref="H1364">IFERROR(_xlfn.LET(
_xlpm.CSVVal,_xlfn.XLOOKUP($A1364,CSV!$A:$A,CSV!H:H,""),
_xlpm.MacVal,_xlfn.XLOOKUP($A1364,Output_Mac!$A:$A,Output_Mac!H:H,""),
_xlpm.MyAuditVal,_xlfn.XLOOKUP($A1364,My_Audit!$A:$A,My_Audit!G:G,""),
_xlfn.IFS(_xlpm.MyAuditVal&lt;&gt;"",_xlpm.MyAuditVal,_xlpm.MacVal&lt;&gt;"",_xlpm.MacVal,_xlpm.CSVVal&lt;&gt;"",_xlpm.CSVVal
)),"")</f>
        <v/>
      </c>
      <c r="I1364" s="40" t="str">
        <f>_xlfn.XLOOKUP(A1364,Output_Mac!A:A,Output_Mac!I:I,"")</f>
        <v/>
      </c>
      <c r="J1364" s="40" t="str" cm="1">
        <f t="array" ref="J1364">IFERROR(_xlfn.LET(
_xlpm.CSVVal,_xlfn.XLOOKUP($A1364,CSV!$A:$A,CSV!I:I,""),
_xlpm.MacVal,_xlfn.XLOOKUP($A1364,Output_Mac!$A:$A,Output_Mac!J:J,""),
_xlpm.MyAuditVal,_xlfn.XLOOKUP($A1364,My_Audit!$A:$A,My_Audit!I:I,""),
_xlfn.IFS(_xlpm.MyAuditVal&lt;&gt;"",UPPER(_xlpm.MyAuditVal),_xlpm.MacVal&lt;&gt;"",_xlpm.MacVal,_xlpm.CSVVal&lt;&gt;"",_xlpm.CSVVal
)),"")</f>
        <v/>
      </c>
      <c r="K1364" s="40" t="str" cm="1">
        <f t="array" ref="K1364">IFERROR(_xlfn.LET(
_xlpm.CSVVal,_xlfn.XLOOKUP($A1364,CSV!$A:$A,CSV!K:K,""),
_xlpm.MacVal,_xlfn.XLOOKUP($A1364,Output_Mac!$A:$A,Output_Mac!K:K,""),
_xlpm.MyAuditVal,_xlfn.XLOOKUP($A1364,My_Audit!$A:$A,My_Audit!J:J,""),
_xlfn.IFS(_xlpm.MyAuditVal&lt;&gt;"",UPPER(_xlpm.MyAuditVal),_xlpm.MacVal&lt;&gt;"",_xlpm.MacVal,_xlpm.CSVVal&lt;&gt;"",_xlpm.CSVVal
)),"")</f>
        <v/>
      </c>
      <c r="L1364" s="40" t="str" cm="1">
        <f t="array" ref="L1364">IFERROR(_xlfn.LET(
_xlpm.CSVVal,_xlfn.XLOOKUP($A1364,CSV!$A:$A,CSV!P:P,""),
_xlpm.MacVal,_xlfn.XLOOKUP($A1364,Output_Mac!$A:$A,Output_Mac!L:L,""),
_xlpm.MyAuditVal,_xlfn.XLOOKUP($A1364,My_Audit!$A:$A,My_Audit!K:K,""),
_xlfn.IFS(_xlpm.MyAuditVal&lt;&gt;"",UPPER(_xlpm.MyAuditVal),_xlpm.MacVal&lt;&gt;"",_xlpm.MacVal,_xlpm.CSVVal&lt;&gt;"",_xlpm.CSVVal
)),"")</f>
        <v/>
      </c>
      <c r="M1364" s="40" t="str" cm="1">
        <f t="array" ref="M1364">IFERROR(_xlfn.LET(
_xlpm.CSVVal,_xlfn.XLOOKUP($A1364,CSV!$A:$A,CSV!Q:Q,""),
_xlpm.MacVal,_xlfn.XLOOKUP($A1364,Output_Mac!$A:$A,Output_Mac!M:M,""),
_xlpm.MyAuditVal,_xlfn.XLOOKUP($A1364,My_Audit!$A:$A,My_Audit!L:L,""),
_xlfn.IFS(_xlpm.MyAuditVal&lt;&gt;"",UPPER(_xlpm.MyAuditVal),_xlpm.MacVal&lt;&gt;"",_xlpm.MacVal,_xlpm.CSVVal&lt;&gt;"",_xlpm.CSVVal
)),"")</f>
        <v/>
      </c>
      <c r="N1364" s="40"/>
      <c r="O1364" s="40" t="str">
        <f>_xlfn.LET(
    _xlpm.CSVVal, _xlfn.XLOOKUP($A1364, CSV!$A:$A, CSV!AA:AA, ""),
    _xlpm.MacVal, _xlfn.XLOOKUP($A1364, Output_Mac!$A:$A, Output_Mac!S:S, ""),
    _xlpm.MyAuditVal, _xlfn.XLOOKUP($A1364, My_Audit!$A:$A, My_Audit!P:P, ""),
    _xlfn.TEXTJOIN(", ", TRUE, _xlpm.MyAuditVal, _xlpm.MacVal, _xlpm.CSVVal)
)</f>
        <v/>
      </c>
      <c r="P1364" s="40" t="str" cm="1">
        <f t="array" ref="P1364">IFERROR(_xlfn.LET(
_xlpm.CSVVal,_xlfn.XLOOKUP($A1364,CSV!$A:$A,CSV!AB:AB,""),
_xlpm.MacVal,_xlfn.XLOOKUP($A1364,Output_Mac!$A:$A,Output_Mac!T:T,""),
_xlpm.MyAuditVal,_xlfn.XLOOKUP($A1364,My_Audit!$A:$A,My_Audit!Q:Q,""),
_xlfn.IFS(_xlpm.MyAuditVal&lt;&gt;"",UPPER(_xlpm.MyAuditVal),_xlpm.MacVal&lt;&gt;"",_xlpm.MacVal,_xlpm.CSVVal&lt;&gt;"",_xlpm.CSVVal
)),"No")</f>
        <v>No</v>
      </c>
      <c r="Q1364" s="40" t="str" cm="1">
        <f t="array" ref="Q1364">IFERROR(_xlfn.LET(
_xlpm.CSVVal,_xlfn.XLOOKUP($A1364,CSV!$A:$A,CSV!AC:AC,""),
_xlpm.MacVal,_xlfn.XLOOKUP($A1364,Output_Mac!$A:$A,Output_Mac!U:U,""),
_xlpm.MyAuditVal,_xlfn.XLOOKUP($A1364,My_Audit!$A:$A,My_Audit!R:R,""),
_xlfn.IFS(_xlpm.MyAuditVal&lt;&gt;"",UPPER(_xlpm.MyAuditVal),_xlpm.MacVal&lt;&gt;"",_xlpm.MacVal,_xlpm.CSVVal&lt;&gt;"",_xlpm.CSVVal
)),"")</f>
        <v/>
      </c>
      <c r="R1364" s="40"/>
      <c r="S1364" s="40"/>
      <c r="T1364" s="40"/>
      <c r="U1364" s="40"/>
      <c r="V1364" s="40"/>
      <c r="W1364" s="40"/>
      <c r="X1364" s="41" t="str">
        <f>_xlfn.LET(
    _xlpm.MacVal, _xlfn.XLOOKUP($A1364, Output_Mac!$A:$A, Output_Mac!AB:AB, ""),
    _xlpm.MyAuditVal, _xlfn.XLOOKUP($A1364, My_Audit!$A:$A, My_Audit!N:N, ""),
    _xlfn.TEXTJOIN(", ", TRUE, _xlpm.MyAuditVal, _xlpm.MacVal)
)</f>
        <v/>
      </c>
    </row>
    <row r="1365" spans="1:24">
      <c r="A1365" s="40" t="str">
        <f>_xlfn.TEXTJOIN("",TRUE,Input!$B$2,ROW(My_Audit!A1364))</f>
        <v>X1364</v>
      </c>
      <c r="B1365" s="40" t="str">
        <f>_xlfn.TEXTJOIN("-",TRUE,"ITD",Input!$A$2,A1365)</f>
        <v>ITD-X1364</v>
      </c>
      <c r="C1365" s="40" t="str" cm="1">
        <f t="array" ref="C1365">IFERROR(_xlfn.LET(
_xlpm.CSVVal,_xlfn.XLOOKUP($A1365,CSV!$A:$A,CSV!B:B,""),
_xlpm.MacVal,_xlfn.XLOOKUP($A1365,Output_Mac!$A:$A,Output_Mac!B:B,""),
_xlpm.MyAuditVal,_xlfn.XLOOKUP($A1365,My_Audit!$A:$A,My_Audit!B:B,""),
_xlfn.IFS(_xlpm.MyAuditVal&lt;&gt;"",UPPER(_xlpm.MyAuditVal),_xlpm.MacVal&lt;&gt;"",_xlpm.MacVal,_xlpm.CSVVal&lt;&gt;"",_xlpm.CSVVal
)),"")</f>
        <v/>
      </c>
      <c r="D1365" s="40" t="str" cm="1">
        <f t="array" ref="D1365">IFERROR(_xlfn.LET(
_xlpm.CSVVal,_xlfn.XLOOKUP($A1365,CSV!$A:$A,CSV!D:D,""),
_xlpm.MacVal,_xlfn.XLOOKUP($A1365,Output_Mac!$A:$A,Output_Mac!C:C,""),
_xlpm.MyAuditVal,_xlfn.XLOOKUP($A1365,My_Audit!$A:$A,My_Audit!C:C,""),
_xlfn.IFS(_xlpm.MyAuditVal&lt;&gt;"",_xlpm.MyAuditVal,_xlpm.MacVal&lt;&gt;"",_xlpm.MacVal,_xlpm.CSVVal&lt;&gt;"",_xlpm.CSVVal
)),"")</f>
        <v/>
      </c>
      <c r="E1365" s="40" t="str">
        <f>_xlfn.XLOOKUP(A1365,My_Audit!A:A,My_Audit!D:D,"")</f>
        <v/>
      </c>
      <c r="F1365" s="40" t="str" cm="1">
        <f t="array" ref="F1365">IFERROR(_xlfn.LET(
_xlpm.CSVVal,_xlfn.XLOOKUP($A1365,CSV!$A:$A,CSV!F:F,""),
_xlpm.MacVal,_xlfn.XLOOKUP($A1365,Output_Mac!$A:$A,Output_Mac!E:E,""),
_xlpm.MyAuditVal,_xlfn.XLOOKUP($A1365,My_Audit!$A:$A,My_Audit!E:E,""),
_xlfn.IFS(_xlpm.MyAuditVal&lt;&gt;"",_xlpm.MyAuditVal,_xlpm.MacVal&lt;&gt;"",_xlpm.MacVal,_xlpm.CSVVal&lt;&gt;"",_xlpm.CSVVal
)),"")</f>
        <v/>
      </c>
      <c r="G1365" s="40" t="str" cm="1">
        <f t="array" ref="G1365">IFERROR(_xlfn.LET(
_xlpm.CSVVal,_xlfn.XLOOKUP($A1365,CSV!$A:$A,CSV!G:G,""),
_xlpm.MacVal,_xlfn.XLOOKUP($A1365,Output_Mac!$A:$A,Output_Mac!F:F,""),
_xlpm.MyAuditVal,_xlfn.XLOOKUP($A1365,My_Audit!$A:$A,My_Audit!F:F,""),
_xlfn.IFS(_xlpm.MyAuditVal&lt;&gt;"",_xlpm.MyAuditVal,_xlpm.MacVal&lt;&gt;"",_xlpm.MacVal,_xlpm.CSVVal&lt;&gt;"",PROPER(_xlpm.CSVVal)
)),"")</f>
        <v/>
      </c>
      <c r="H1365" s="40" t="str" cm="1">
        <f t="array" ref="H1365">IFERROR(_xlfn.LET(
_xlpm.CSVVal,_xlfn.XLOOKUP($A1365,CSV!$A:$A,CSV!H:H,""),
_xlpm.MacVal,_xlfn.XLOOKUP($A1365,Output_Mac!$A:$A,Output_Mac!H:H,""),
_xlpm.MyAuditVal,_xlfn.XLOOKUP($A1365,My_Audit!$A:$A,My_Audit!G:G,""),
_xlfn.IFS(_xlpm.MyAuditVal&lt;&gt;"",_xlpm.MyAuditVal,_xlpm.MacVal&lt;&gt;"",_xlpm.MacVal,_xlpm.CSVVal&lt;&gt;"",_xlpm.CSVVal
)),"")</f>
        <v/>
      </c>
      <c r="I1365" s="40" t="str">
        <f>_xlfn.XLOOKUP(A1365,Output_Mac!A:A,Output_Mac!I:I,"")</f>
        <v/>
      </c>
      <c r="J1365" s="40" t="str" cm="1">
        <f t="array" ref="J1365">IFERROR(_xlfn.LET(
_xlpm.CSVVal,_xlfn.XLOOKUP($A1365,CSV!$A:$A,CSV!I:I,""),
_xlpm.MacVal,_xlfn.XLOOKUP($A1365,Output_Mac!$A:$A,Output_Mac!J:J,""),
_xlpm.MyAuditVal,_xlfn.XLOOKUP($A1365,My_Audit!$A:$A,My_Audit!I:I,""),
_xlfn.IFS(_xlpm.MyAuditVal&lt;&gt;"",UPPER(_xlpm.MyAuditVal),_xlpm.MacVal&lt;&gt;"",_xlpm.MacVal,_xlpm.CSVVal&lt;&gt;"",_xlpm.CSVVal
)),"")</f>
        <v/>
      </c>
      <c r="K1365" s="40" t="str" cm="1">
        <f t="array" ref="K1365">IFERROR(_xlfn.LET(
_xlpm.CSVVal,_xlfn.XLOOKUP($A1365,CSV!$A:$A,CSV!K:K,""),
_xlpm.MacVal,_xlfn.XLOOKUP($A1365,Output_Mac!$A:$A,Output_Mac!K:K,""),
_xlpm.MyAuditVal,_xlfn.XLOOKUP($A1365,My_Audit!$A:$A,My_Audit!J:J,""),
_xlfn.IFS(_xlpm.MyAuditVal&lt;&gt;"",UPPER(_xlpm.MyAuditVal),_xlpm.MacVal&lt;&gt;"",_xlpm.MacVal,_xlpm.CSVVal&lt;&gt;"",_xlpm.CSVVal
)),"")</f>
        <v/>
      </c>
      <c r="L1365" s="40" t="str" cm="1">
        <f t="array" ref="L1365">IFERROR(_xlfn.LET(
_xlpm.CSVVal,_xlfn.XLOOKUP($A1365,CSV!$A:$A,CSV!P:P,""),
_xlpm.MacVal,_xlfn.XLOOKUP($A1365,Output_Mac!$A:$A,Output_Mac!L:L,""),
_xlpm.MyAuditVal,_xlfn.XLOOKUP($A1365,My_Audit!$A:$A,My_Audit!K:K,""),
_xlfn.IFS(_xlpm.MyAuditVal&lt;&gt;"",UPPER(_xlpm.MyAuditVal),_xlpm.MacVal&lt;&gt;"",_xlpm.MacVal,_xlpm.CSVVal&lt;&gt;"",_xlpm.CSVVal
)),"")</f>
        <v/>
      </c>
      <c r="M1365" s="40" t="str" cm="1">
        <f t="array" ref="M1365">IFERROR(_xlfn.LET(
_xlpm.CSVVal,_xlfn.XLOOKUP($A1365,CSV!$A:$A,CSV!Q:Q,""),
_xlpm.MacVal,_xlfn.XLOOKUP($A1365,Output_Mac!$A:$A,Output_Mac!M:M,""),
_xlpm.MyAuditVal,_xlfn.XLOOKUP($A1365,My_Audit!$A:$A,My_Audit!L:L,""),
_xlfn.IFS(_xlpm.MyAuditVal&lt;&gt;"",UPPER(_xlpm.MyAuditVal),_xlpm.MacVal&lt;&gt;"",_xlpm.MacVal,_xlpm.CSVVal&lt;&gt;"",_xlpm.CSVVal
)),"")</f>
        <v/>
      </c>
      <c r="N1365" s="40"/>
      <c r="O1365" s="40" t="str">
        <f>_xlfn.LET(
    _xlpm.CSVVal, _xlfn.XLOOKUP($A1365, CSV!$A:$A, CSV!AA:AA, ""),
    _xlpm.MacVal, _xlfn.XLOOKUP($A1365, Output_Mac!$A:$A, Output_Mac!S:S, ""),
    _xlpm.MyAuditVal, _xlfn.XLOOKUP($A1365, My_Audit!$A:$A, My_Audit!P:P, ""),
    _xlfn.TEXTJOIN(", ", TRUE, _xlpm.MyAuditVal, _xlpm.MacVal, _xlpm.CSVVal)
)</f>
        <v/>
      </c>
      <c r="P1365" s="40" t="str" cm="1">
        <f t="array" ref="P1365">IFERROR(_xlfn.LET(
_xlpm.CSVVal,_xlfn.XLOOKUP($A1365,CSV!$A:$A,CSV!AB:AB,""),
_xlpm.MacVal,_xlfn.XLOOKUP($A1365,Output_Mac!$A:$A,Output_Mac!T:T,""),
_xlpm.MyAuditVal,_xlfn.XLOOKUP($A1365,My_Audit!$A:$A,My_Audit!Q:Q,""),
_xlfn.IFS(_xlpm.MyAuditVal&lt;&gt;"",UPPER(_xlpm.MyAuditVal),_xlpm.MacVal&lt;&gt;"",_xlpm.MacVal,_xlpm.CSVVal&lt;&gt;"",_xlpm.CSVVal
)),"No")</f>
        <v>No</v>
      </c>
      <c r="Q1365" s="40" t="str" cm="1">
        <f t="array" ref="Q1365">IFERROR(_xlfn.LET(
_xlpm.CSVVal,_xlfn.XLOOKUP($A1365,CSV!$A:$A,CSV!AC:AC,""),
_xlpm.MacVal,_xlfn.XLOOKUP($A1365,Output_Mac!$A:$A,Output_Mac!U:U,""),
_xlpm.MyAuditVal,_xlfn.XLOOKUP($A1365,My_Audit!$A:$A,My_Audit!R:R,""),
_xlfn.IFS(_xlpm.MyAuditVal&lt;&gt;"",UPPER(_xlpm.MyAuditVal),_xlpm.MacVal&lt;&gt;"",_xlpm.MacVal,_xlpm.CSVVal&lt;&gt;"",_xlpm.CSVVal
)),"")</f>
        <v/>
      </c>
      <c r="R1365" s="40"/>
      <c r="S1365" s="40"/>
      <c r="T1365" s="40"/>
      <c r="U1365" s="40"/>
      <c r="V1365" s="40"/>
      <c r="W1365" s="40"/>
      <c r="X1365" s="41" t="str">
        <f>_xlfn.LET(
    _xlpm.MacVal, _xlfn.XLOOKUP($A1365, Output_Mac!$A:$A, Output_Mac!AB:AB, ""),
    _xlpm.MyAuditVal, _xlfn.XLOOKUP($A1365, My_Audit!$A:$A, My_Audit!N:N, ""),
    _xlfn.TEXTJOIN(", ", TRUE, _xlpm.MyAuditVal, _xlpm.MacVal)
)</f>
        <v/>
      </c>
    </row>
    <row r="1366" spans="1:24">
      <c r="A1366" s="40" t="str">
        <f>_xlfn.TEXTJOIN("",TRUE,Input!$B$2,ROW(My_Audit!A1365))</f>
        <v>X1365</v>
      </c>
      <c r="B1366" s="40" t="str">
        <f>_xlfn.TEXTJOIN("-",TRUE,"ITD",Input!$A$2,A1366)</f>
        <v>ITD-X1365</v>
      </c>
      <c r="C1366" s="40" t="str" cm="1">
        <f t="array" ref="C1366">IFERROR(_xlfn.LET(
_xlpm.CSVVal,_xlfn.XLOOKUP($A1366,CSV!$A:$A,CSV!B:B,""),
_xlpm.MacVal,_xlfn.XLOOKUP($A1366,Output_Mac!$A:$A,Output_Mac!B:B,""),
_xlpm.MyAuditVal,_xlfn.XLOOKUP($A1366,My_Audit!$A:$A,My_Audit!B:B,""),
_xlfn.IFS(_xlpm.MyAuditVal&lt;&gt;"",UPPER(_xlpm.MyAuditVal),_xlpm.MacVal&lt;&gt;"",_xlpm.MacVal,_xlpm.CSVVal&lt;&gt;"",_xlpm.CSVVal
)),"")</f>
        <v/>
      </c>
      <c r="D1366" s="40" t="str" cm="1">
        <f t="array" ref="D1366">IFERROR(_xlfn.LET(
_xlpm.CSVVal,_xlfn.XLOOKUP($A1366,CSV!$A:$A,CSV!D:D,""),
_xlpm.MacVal,_xlfn.XLOOKUP($A1366,Output_Mac!$A:$A,Output_Mac!C:C,""),
_xlpm.MyAuditVal,_xlfn.XLOOKUP($A1366,My_Audit!$A:$A,My_Audit!C:C,""),
_xlfn.IFS(_xlpm.MyAuditVal&lt;&gt;"",_xlpm.MyAuditVal,_xlpm.MacVal&lt;&gt;"",_xlpm.MacVal,_xlpm.CSVVal&lt;&gt;"",_xlpm.CSVVal
)),"")</f>
        <v/>
      </c>
      <c r="E1366" s="40" t="str">
        <f>_xlfn.XLOOKUP(A1366,My_Audit!A:A,My_Audit!D:D,"")</f>
        <v/>
      </c>
      <c r="F1366" s="40" t="str" cm="1">
        <f t="array" ref="F1366">IFERROR(_xlfn.LET(
_xlpm.CSVVal,_xlfn.XLOOKUP($A1366,CSV!$A:$A,CSV!F:F,""),
_xlpm.MacVal,_xlfn.XLOOKUP($A1366,Output_Mac!$A:$A,Output_Mac!E:E,""),
_xlpm.MyAuditVal,_xlfn.XLOOKUP($A1366,My_Audit!$A:$A,My_Audit!E:E,""),
_xlfn.IFS(_xlpm.MyAuditVal&lt;&gt;"",_xlpm.MyAuditVal,_xlpm.MacVal&lt;&gt;"",_xlpm.MacVal,_xlpm.CSVVal&lt;&gt;"",_xlpm.CSVVal
)),"")</f>
        <v/>
      </c>
      <c r="G1366" s="40" t="str" cm="1">
        <f t="array" ref="G1366">IFERROR(_xlfn.LET(
_xlpm.CSVVal,_xlfn.XLOOKUP($A1366,CSV!$A:$A,CSV!G:G,""),
_xlpm.MacVal,_xlfn.XLOOKUP($A1366,Output_Mac!$A:$A,Output_Mac!F:F,""),
_xlpm.MyAuditVal,_xlfn.XLOOKUP($A1366,My_Audit!$A:$A,My_Audit!F:F,""),
_xlfn.IFS(_xlpm.MyAuditVal&lt;&gt;"",_xlpm.MyAuditVal,_xlpm.MacVal&lt;&gt;"",_xlpm.MacVal,_xlpm.CSVVal&lt;&gt;"",PROPER(_xlpm.CSVVal)
)),"")</f>
        <v/>
      </c>
      <c r="H1366" s="40" t="str" cm="1">
        <f t="array" ref="H1366">IFERROR(_xlfn.LET(
_xlpm.CSVVal,_xlfn.XLOOKUP($A1366,CSV!$A:$A,CSV!H:H,""),
_xlpm.MacVal,_xlfn.XLOOKUP($A1366,Output_Mac!$A:$A,Output_Mac!H:H,""),
_xlpm.MyAuditVal,_xlfn.XLOOKUP($A1366,My_Audit!$A:$A,My_Audit!G:G,""),
_xlfn.IFS(_xlpm.MyAuditVal&lt;&gt;"",_xlpm.MyAuditVal,_xlpm.MacVal&lt;&gt;"",_xlpm.MacVal,_xlpm.CSVVal&lt;&gt;"",_xlpm.CSVVal
)),"")</f>
        <v/>
      </c>
      <c r="I1366" s="40" t="str">
        <f>_xlfn.XLOOKUP(A1366,Output_Mac!A:A,Output_Mac!I:I,"")</f>
        <v/>
      </c>
      <c r="J1366" s="40" t="str" cm="1">
        <f t="array" ref="J1366">IFERROR(_xlfn.LET(
_xlpm.CSVVal,_xlfn.XLOOKUP($A1366,CSV!$A:$A,CSV!I:I,""),
_xlpm.MacVal,_xlfn.XLOOKUP($A1366,Output_Mac!$A:$A,Output_Mac!J:J,""),
_xlpm.MyAuditVal,_xlfn.XLOOKUP($A1366,My_Audit!$A:$A,My_Audit!I:I,""),
_xlfn.IFS(_xlpm.MyAuditVal&lt;&gt;"",UPPER(_xlpm.MyAuditVal),_xlpm.MacVal&lt;&gt;"",_xlpm.MacVal,_xlpm.CSVVal&lt;&gt;"",_xlpm.CSVVal
)),"")</f>
        <v/>
      </c>
      <c r="K1366" s="40" t="str" cm="1">
        <f t="array" ref="K1366">IFERROR(_xlfn.LET(
_xlpm.CSVVal,_xlfn.XLOOKUP($A1366,CSV!$A:$A,CSV!K:K,""),
_xlpm.MacVal,_xlfn.XLOOKUP($A1366,Output_Mac!$A:$A,Output_Mac!K:K,""),
_xlpm.MyAuditVal,_xlfn.XLOOKUP($A1366,My_Audit!$A:$A,My_Audit!J:J,""),
_xlfn.IFS(_xlpm.MyAuditVal&lt;&gt;"",UPPER(_xlpm.MyAuditVal),_xlpm.MacVal&lt;&gt;"",_xlpm.MacVal,_xlpm.CSVVal&lt;&gt;"",_xlpm.CSVVal
)),"")</f>
        <v/>
      </c>
      <c r="L1366" s="40" t="str" cm="1">
        <f t="array" ref="L1366">IFERROR(_xlfn.LET(
_xlpm.CSVVal,_xlfn.XLOOKUP($A1366,CSV!$A:$A,CSV!P:P,""),
_xlpm.MacVal,_xlfn.XLOOKUP($A1366,Output_Mac!$A:$A,Output_Mac!L:L,""),
_xlpm.MyAuditVal,_xlfn.XLOOKUP($A1366,My_Audit!$A:$A,My_Audit!K:K,""),
_xlfn.IFS(_xlpm.MyAuditVal&lt;&gt;"",UPPER(_xlpm.MyAuditVal),_xlpm.MacVal&lt;&gt;"",_xlpm.MacVal,_xlpm.CSVVal&lt;&gt;"",_xlpm.CSVVal
)),"")</f>
        <v/>
      </c>
      <c r="M1366" s="40" t="str" cm="1">
        <f t="array" ref="M1366">IFERROR(_xlfn.LET(
_xlpm.CSVVal,_xlfn.XLOOKUP($A1366,CSV!$A:$A,CSV!Q:Q,""),
_xlpm.MacVal,_xlfn.XLOOKUP($A1366,Output_Mac!$A:$A,Output_Mac!M:M,""),
_xlpm.MyAuditVal,_xlfn.XLOOKUP($A1366,My_Audit!$A:$A,My_Audit!L:L,""),
_xlfn.IFS(_xlpm.MyAuditVal&lt;&gt;"",UPPER(_xlpm.MyAuditVal),_xlpm.MacVal&lt;&gt;"",_xlpm.MacVal,_xlpm.CSVVal&lt;&gt;"",_xlpm.CSVVal
)),"")</f>
        <v/>
      </c>
      <c r="N1366" s="40"/>
      <c r="O1366" s="40" t="str">
        <f>_xlfn.LET(
    _xlpm.CSVVal, _xlfn.XLOOKUP($A1366, CSV!$A:$A, CSV!AA:AA, ""),
    _xlpm.MacVal, _xlfn.XLOOKUP($A1366, Output_Mac!$A:$A, Output_Mac!S:S, ""),
    _xlpm.MyAuditVal, _xlfn.XLOOKUP($A1366, My_Audit!$A:$A, My_Audit!P:P, ""),
    _xlfn.TEXTJOIN(", ", TRUE, _xlpm.MyAuditVal, _xlpm.MacVal, _xlpm.CSVVal)
)</f>
        <v/>
      </c>
      <c r="P1366" s="40" t="str" cm="1">
        <f t="array" ref="P1366">IFERROR(_xlfn.LET(
_xlpm.CSVVal,_xlfn.XLOOKUP($A1366,CSV!$A:$A,CSV!AB:AB,""),
_xlpm.MacVal,_xlfn.XLOOKUP($A1366,Output_Mac!$A:$A,Output_Mac!T:T,""),
_xlpm.MyAuditVal,_xlfn.XLOOKUP($A1366,My_Audit!$A:$A,My_Audit!Q:Q,""),
_xlfn.IFS(_xlpm.MyAuditVal&lt;&gt;"",UPPER(_xlpm.MyAuditVal),_xlpm.MacVal&lt;&gt;"",_xlpm.MacVal,_xlpm.CSVVal&lt;&gt;"",_xlpm.CSVVal
)),"No")</f>
        <v>No</v>
      </c>
      <c r="Q1366" s="40" t="str" cm="1">
        <f t="array" ref="Q1366">IFERROR(_xlfn.LET(
_xlpm.CSVVal,_xlfn.XLOOKUP($A1366,CSV!$A:$A,CSV!AC:AC,""),
_xlpm.MacVal,_xlfn.XLOOKUP($A1366,Output_Mac!$A:$A,Output_Mac!U:U,""),
_xlpm.MyAuditVal,_xlfn.XLOOKUP($A1366,My_Audit!$A:$A,My_Audit!R:R,""),
_xlfn.IFS(_xlpm.MyAuditVal&lt;&gt;"",UPPER(_xlpm.MyAuditVal),_xlpm.MacVal&lt;&gt;"",_xlpm.MacVal,_xlpm.CSVVal&lt;&gt;"",_xlpm.CSVVal
)),"")</f>
        <v/>
      </c>
      <c r="R1366" s="40"/>
      <c r="S1366" s="40"/>
      <c r="T1366" s="40"/>
      <c r="U1366" s="40"/>
      <c r="V1366" s="40"/>
      <c r="W1366" s="40"/>
      <c r="X1366" s="41" t="str">
        <f>_xlfn.LET(
    _xlpm.MacVal, _xlfn.XLOOKUP($A1366, Output_Mac!$A:$A, Output_Mac!AB:AB, ""),
    _xlpm.MyAuditVal, _xlfn.XLOOKUP($A1366, My_Audit!$A:$A, My_Audit!N:N, ""),
    _xlfn.TEXTJOIN(", ", TRUE, _xlpm.MyAuditVal, _xlpm.MacVal)
)</f>
        <v/>
      </c>
    </row>
    <row r="1367" spans="1:24">
      <c r="A1367" s="40" t="str">
        <f>_xlfn.TEXTJOIN("",TRUE,Input!$B$2,ROW(My_Audit!A1366))</f>
        <v>X1366</v>
      </c>
      <c r="B1367" s="40" t="str">
        <f>_xlfn.TEXTJOIN("-",TRUE,"ITD",Input!$A$2,A1367)</f>
        <v>ITD-X1366</v>
      </c>
      <c r="C1367" s="40" t="str" cm="1">
        <f t="array" ref="C1367">IFERROR(_xlfn.LET(
_xlpm.CSVVal,_xlfn.XLOOKUP($A1367,CSV!$A:$A,CSV!B:B,""),
_xlpm.MacVal,_xlfn.XLOOKUP($A1367,Output_Mac!$A:$A,Output_Mac!B:B,""),
_xlpm.MyAuditVal,_xlfn.XLOOKUP($A1367,My_Audit!$A:$A,My_Audit!B:B,""),
_xlfn.IFS(_xlpm.MyAuditVal&lt;&gt;"",UPPER(_xlpm.MyAuditVal),_xlpm.MacVal&lt;&gt;"",_xlpm.MacVal,_xlpm.CSVVal&lt;&gt;"",_xlpm.CSVVal
)),"")</f>
        <v/>
      </c>
      <c r="D1367" s="40" t="str" cm="1">
        <f t="array" ref="D1367">IFERROR(_xlfn.LET(
_xlpm.CSVVal,_xlfn.XLOOKUP($A1367,CSV!$A:$A,CSV!D:D,""),
_xlpm.MacVal,_xlfn.XLOOKUP($A1367,Output_Mac!$A:$A,Output_Mac!C:C,""),
_xlpm.MyAuditVal,_xlfn.XLOOKUP($A1367,My_Audit!$A:$A,My_Audit!C:C,""),
_xlfn.IFS(_xlpm.MyAuditVal&lt;&gt;"",_xlpm.MyAuditVal,_xlpm.MacVal&lt;&gt;"",_xlpm.MacVal,_xlpm.CSVVal&lt;&gt;"",_xlpm.CSVVal
)),"")</f>
        <v/>
      </c>
      <c r="E1367" s="40" t="str">
        <f>_xlfn.XLOOKUP(A1367,My_Audit!A:A,My_Audit!D:D,"")</f>
        <v/>
      </c>
      <c r="F1367" s="40" t="str" cm="1">
        <f t="array" ref="F1367">IFERROR(_xlfn.LET(
_xlpm.CSVVal,_xlfn.XLOOKUP($A1367,CSV!$A:$A,CSV!F:F,""),
_xlpm.MacVal,_xlfn.XLOOKUP($A1367,Output_Mac!$A:$A,Output_Mac!E:E,""),
_xlpm.MyAuditVal,_xlfn.XLOOKUP($A1367,My_Audit!$A:$A,My_Audit!E:E,""),
_xlfn.IFS(_xlpm.MyAuditVal&lt;&gt;"",_xlpm.MyAuditVal,_xlpm.MacVal&lt;&gt;"",_xlpm.MacVal,_xlpm.CSVVal&lt;&gt;"",_xlpm.CSVVal
)),"")</f>
        <v/>
      </c>
      <c r="G1367" s="40" t="str" cm="1">
        <f t="array" ref="G1367">IFERROR(_xlfn.LET(
_xlpm.CSVVal,_xlfn.XLOOKUP($A1367,CSV!$A:$A,CSV!G:G,""),
_xlpm.MacVal,_xlfn.XLOOKUP($A1367,Output_Mac!$A:$A,Output_Mac!F:F,""),
_xlpm.MyAuditVal,_xlfn.XLOOKUP($A1367,My_Audit!$A:$A,My_Audit!F:F,""),
_xlfn.IFS(_xlpm.MyAuditVal&lt;&gt;"",_xlpm.MyAuditVal,_xlpm.MacVal&lt;&gt;"",_xlpm.MacVal,_xlpm.CSVVal&lt;&gt;"",PROPER(_xlpm.CSVVal)
)),"")</f>
        <v/>
      </c>
      <c r="H1367" s="40" t="str" cm="1">
        <f t="array" ref="H1367">IFERROR(_xlfn.LET(
_xlpm.CSVVal,_xlfn.XLOOKUP($A1367,CSV!$A:$A,CSV!H:H,""),
_xlpm.MacVal,_xlfn.XLOOKUP($A1367,Output_Mac!$A:$A,Output_Mac!H:H,""),
_xlpm.MyAuditVal,_xlfn.XLOOKUP($A1367,My_Audit!$A:$A,My_Audit!G:G,""),
_xlfn.IFS(_xlpm.MyAuditVal&lt;&gt;"",_xlpm.MyAuditVal,_xlpm.MacVal&lt;&gt;"",_xlpm.MacVal,_xlpm.CSVVal&lt;&gt;"",_xlpm.CSVVal
)),"")</f>
        <v/>
      </c>
      <c r="I1367" s="40" t="str">
        <f>_xlfn.XLOOKUP(A1367,Output_Mac!A:A,Output_Mac!I:I,"")</f>
        <v/>
      </c>
      <c r="J1367" s="40" t="str" cm="1">
        <f t="array" ref="J1367">IFERROR(_xlfn.LET(
_xlpm.CSVVal,_xlfn.XLOOKUP($A1367,CSV!$A:$A,CSV!I:I,""),
_xlpm.MacVal,_xlfn.XLOOKUP($A1367,Output_Mac!$A:$A,Output_Mac!J:J,""),
_xlpm.MyAuditVal,_xlfn.XLOOKUP($A1367,My_Audit!$A:$A,My_Audit!I:I,""),
_xlfn.IFS(_xlpm.MyAuditVal&lt;&gt;"",UPPER(_xlpm.MyAuditVal),_xlpm.MacVal&lt;&gt;"",_xlpm.MacVal,_xlpm.CSVVal&lt;&gt;"",_xlpm.CSVVal
)),"")</f>
        <v/>
      </c>
      <c r="K1367" s="40" t="str" cm="1">
        <f t="array" ref="K1367">IFERROR(_xlfn.LET(
_xlpm.CSVVal,_xlfn.XLOOKUP($A1367,CSV!$A:$A,CSV!K:K,""),
_xlpm.MacVal,_xlfn.XLOOKUP($A1367,Output_Mac!$A:$A,Output_Mac!K:K,""),
_xlpm.MyAuditVal,_xlfn.XLOOKUP($A1367,My_Audit!$A:$A,My_Audit!J:J,""),
_xlfn.IFS(_xlpm.MyAuditVal&lt;&gt;"",UPPER(_xlpm.MyAuditVal),_xlpm.MacVal&lt;&gt;"",_xlpm.MacVal,_xlpm.CSVVal&lt;&gt;"",_xlpm.CSVVal
)),"")</f>
        <v/>
      </c>
      <c r="L1367" s="40" t="str" cm="1">
        <f t="array" ref="L1367">IFERROR(_xlfn.LET(
_xlpm.CSVVal,_xlfn.XLOOKUP($A1367,CSV!$A:$A,CSV!P:P,""),
_xlpm.MacVal,_xlfn.XLOOKUP($A1367,Output_Mac!$A:$A,Output_Mac!L:L,""),
_xlpm.MyAuditVal,_xlfn.XLOOKUP($A1367,My_Audit!$A:$A,My_Audit!K:K,""),
_xlfn.IFS(_xlpm.MyAuditVal&lt;&gt;"",UPPER(_xlpm.MyAuditVal),_xlpm.MacVal&lt;&gt;"",_xlpm.MacVal,_xlpm.CSVVal&lt;&gt;"",_xlpm.CSVVal
)),"")</f>
        <v/>
      </c>
      <c r="M1367" s="40" t="str" cm="1">
        <f t="array" ref="M1367">IFERROR(_xlfn.LET(
_xlpm.CSVVal,_xlfn.XLOOKUP($A1367,CSV!$A:$A,CSV!Q:Q,""),
_xlpm.MacVal,_xlfn.XLOOKUP($A1367,Output_Mac!$A:$A,Output_Mac!M:M,""),
_xlpm.MyAuditVal,_xlfn.XLOOKUP($A1367,My_Audit!$A:$A,My_Audit!L:L,""),
_xlfn.IFS(_xlpm.MyAuditVal&lt;&gt;"",UPPER(_xlpm.MyAuditVal),_xlpm.MacVal&lt;&gt;"",_xlpm.MacVal,_xlpm.CSVVal&lt;&gt;"",_xlpm.CSVVal
)),"")</f>
        <v/>
      </c>
      <c r="N1367" s="40"/>
      <c r="O1367" s="40" t="str">
        <f>_xlfn.LET(
    _xlpm.CSVVal, _xlfn.XLOOKUP($A1367, CSV!$A:$A, CSV!AA:AA, ""),
    _xlpm.MacVal, _xlfn.XLOOKUP($A1367, Output_Mac!$A:$A, Output_Mac!S:S, ""),
    _xlpm.MyAuditVal, _xlfn.XLOOKUP($A1367, My_Audit!$A:$A, My_Audit!P:P, ""),
    _xlfn.TEXTJOIN(", ", TRUE, _xlpm.MyAuditVal, _xlpm.MacVal, _xlpm.CSVVal)
)</f>
        <v/>
      </c>
      <c r="P1367" s="40" t="str" cm="1">
        <f t="array" ref="P1367">IFERROR(_xlfn.LET(
_xlpm.CSVVal,_xlfn.XLOOKUP($A1367,CSV!$A:$A,CSV!AB:AB,""),
_xlpm.MacVal,_xlfn.XLOOKUP($A1367,Output_Mac!$A:$A,Output_Mac!T:T,""),
_xlpm.MyAuditVal,_xlfn.XLOOKUP($A1367,My_Audit!$A:$A,My_Audit!Q:Q,""),
_xlfn.IFS(_xlpm.MyAuditVal&lt;&gt;"",UPPER(_xlpm.MyAuditVal),_xlpm.MacVal&lt;&gt;"",_xlpm.MacVal,_xlpm.CSVVal&lt;&gt;"",_xlpm.CSVVal
)),"No")</f>
        <v>No</v>
      </c>
      <c r="Q1367" s="40" t="str" cm="1">
        <f t="array" ref="Q1367">IFERROR(_xlfn.LET(
_xlpm.CSVVal,_xlfn.XLOOKUP($A1367,CSV!$A:$A,CSV!AC:AC,""),
_xlpm.MacVal,_xlfn.XLOOKUP($A1367,Output_Mac!$A:$A,Output_Mac!U:U,""),
_xlpm.MyAuditVal,_xlfn.XLOOKUP($A1367,My_Audit!$A:$A,My_Audit!R:R,""),
_xlfn.IFS(_xlpm.MyAuditVal&lt;&gt;"",UPPER(_xlpm.MyAuditVal),_xlpm.MacVal&lt;&gt;"",_xlpm.MacVal,_xlpm.CSVVal&lt;&gt;"",_xlpm.CSVVal
)),"")</f>
        <v/>
      </c>
      <c r="R1367" s="40"/>
      <c r="S1367" s="40"/>
      <c r="T1367" s="40"/>
      <c r="U1367" s="40"/>
      <c r="V1367" s="40"/>
      <c r="W1367" s="40"/>
      <c r="X1367" s="41" t="str">
        <f>_xlfn.LET(
    _xlpm.MacVal, _xlfn.XLOOKUP($A1367, Output_Mac!$A:$A, Output_Mac!AB:AB, ""),
    _xlpm.MyAuditVal, _xlfn.XLOOKUP($A1367, My_Audit!$A:$A, My_Audit!N:N, ""),
    _xlfn.TEXTJOIN(", ", TRUE, _xlpm.MyAuditVal, _xlpm.MacVal)
)</f>
        <v/>
      </c>
    </row>
    <row r="1368" spans="1:24">
      <c r="A1368" s="40" t="str">
        <f>_xlfn.TEXTJOIN("",TRUE,Input!$B$2,ROW(My_Audit!A1367))</f>
        <v>X1367</v>
      </c>
      <c r="B1368" s="40" t="str">
        <f>_xlfn.TEXTJOIN("-",TRUE,"ITD",Input!$A$2,A1368)</f>
        <v>ITD-X1367</v>
      </c>
      <c r="C1368" s="40" t="str" cm="1">
        <f t="array" ref="C1368">IFERROR(_xlfn.LET(
_xlpm.CSVVal,_xlfn.XLOOKUP($A1368,CSV!$A:$A,CSV!B:B,""),
_xlpm.MacVal,_xlfn.XLOOKUP($A1368,Output_Mac!$A:$A,Output_Mac!B:B,""),
_xlpm.MyAuditVal,_xlfn.XLOOKUP($A1368,My_Audit!$A:$A,My_Audit!B:B,""),
_xlfn.IFS(_xlpm.MyAuditVal&lt;&gt;"",UPPER(_xlpm.MyAuditVal),_xlpm.MacVal&lt;&gt;"",_xlpm.MacVal,_xlpm.CSVVal&lt;&gt;"",_xlpm.CSVVal
)),"")</f>
        <v/>
      </c>
      <c r="D1368" s="40" t="str" cm="1">
        <f t="array" ref="D1368">IFERROR(_xlfn.LET(
_xlpm.CSVVal,_xlfn.XLOOKUP($A1368,CSV!$A:$A,CSV!D:D,""),
_xlpm.MacVal,_xlfn.XLOOKUP($A1368,Output_Mac!$A:$A,Output_Mac!C:C,""),
_xlpm.MyAuditVal,_xlfn.XLOOKUP($A1368,My_Audit!$A:$A,My_Audit!C:C,""),
_xlfn.IFS(_xlpm.MyAuditVal&lt;&gt;"",_xlpm.MyAuditVal,_xlpm.MacVal&lt;&gt;"",_xlpm.MacVal,_xlpm.CSVVal&lt;&gt;"",_xlpm.CSVVal
)),"")</f>
        <v/>
      </c>
      <c r="E1368" s="40" t="str">
        <f>_xlfn.XLOOKUP(A1368,My_Audit!A:A,My_Audit!D:D,"")</f>
        <v/>
      </c>
      <c r="F1368" s="40" t="str" cm="1">
        <f t="array" ref="F1368">IFERROR(_xlfn.LET(
_xlpm.CSVVal,_xlfn.XLOOKUP($A1368,CSV!$A:$A,CSV!F:F,""),
_xlpm.MacVal,_xlfn.XLOOKUP($A1368,Output_Mac!$A:$A,Output_Mac!E:E,""),
_xlpm.MyAuditVal,_xlfn.XLOOKUP($A1368,My_Audit!$A:$A,My_Audit!E:E,""),
_xlfn.IFS(_xlpm.MyAuditVal&lt;&gt;"",_xlpm.MyAuditVal,_xlpm.MacVal&lt;&gt;"",_xlpm.MacVal,_xlpm.CSVVal&lt;&gt;"",_xlpm.CSVVal
)),"")</f>
        <v/>
      </c>
      <c r="G1368" s="40" t="str" cm="1">
        <f t="array" ref="G1368">IFERROR(_xlfn.LET(
_xlpm.CSVVal,_xlfn.XLOOKUP($A1368,CSV!$A:$A,CSV!G:G,""),
_xlpm.MacVal,_xlfn.XLOOKUP($A1368,Output_Mac!$A:$A,Output_Mac!F:F,""),
_xlpm.MyAuditVal,_xlfn.XLOOKUP($A1368,My_Audit!$A:$A,My_Audit!F:F,""),
_xlfn.IFS(_xlpm.MyAuditVal&lt;&gt;"",_xlpm.MyAuditVal,_xlpm.MacVal&lt;&gt;"",_xlpm.MacVal,_xlpm.CSVVal&lt;&gt;"",PROPER(_xlpm.CSVVal)
)),"")</f>
        <v/>
      </c>
      <c r="H1368" s="40" t="str" cm="1">
        <f t="array" ref="H1368">IFERROR(_xlfn.LET(
_xlpm.CSVVal,_xlfn.XLOOKUP($A1368,CSV!$A:$A,CSV!H:H,""),
_xlpm.MacVal,_xlfn.XLOOKUP($A1368,Output_Mac!$A:$A,Output_Mac!H:H,""),
_xlpm.MyAuditVal,_xlfn.XLOOKUP($A1368,My_Audit!$A:$A,My_Audit!G:G,""),
_xlfn.IFS(_xlpm.MyAuditVal&lt;&gt;"",_xlpm.MyAuditVal,_xlpm.MacVal&lt;&gt;"",_xlpm.MacVal,_xlpm.CSVVal&lt;&gt;"",_xlpm.CSVVal
)),"")</f>
        <v/>
      </c>
      <c r="I1368" s="40" t="str">
        <f>_xlfn.XLOOKUP(A1368,Output_Mac!A:A,Output_Mac!I:I,"")</f>
        <v/>
      </c>
      <c r="J1368" s="40" t="str" cm="1">
        <f t="array" ref="J1368">IFERROR(_xlfn.LET(
_xlpm.CSVVal,_xlfn.XLOOKUP($A1368,CSV!$A:$A,CSV!I:I,""),
_xlpm.MacVal,_xlfn.XLOOKUP($A1368,Output_Mac!$A:$A,Output_Mac!J:J,""),
_xlpm.MyAuditVal,_xlfn.XLOOKUP($A1368,My_Audit!$A:$A,My_Audit!I:I,""),
_xlfn.IFS(_xlpm.MyAuditVal&lt;&gt;"",UPPER(_xlpm.MyAuditVal),_xlpm.MacVal&lt;&gt;"",_xlpm.MacVal,_xlpm.CSVVal&lt;&gt;"",_xlpm.CSVVal
)),"")</f>
        <v/>
      </c>
      <c r="K1368" s="40" t="str" cm="1">
        <f t="array" ref="K1368">IFERROR(_xlfn.LET(
_xlpm.CSVVal,_xlfn.XLOOKUP($A1368,CSV!$A:$A,CSV!K:K,""),
_xlpm.MacVal,_xlfn.XLOOKUP($A1368,Output_Mac!$A:$A,Output_Mac!K:K,""),
_xlpm.MyAuditVal,_xlfn.XLOOKUP($A1368,My_Audit!$A:$A,My_Audit!J:J,""),
_xlfn.IFS(_xlpm.MyAuditVal&lt;&gt;"",UPPER(_xlpm.MyAuditVal),_xlpm.MacVal&lt;&gt;"",_xlpm.MacVal,_xlpm.CSVVal&lt;&gt;"",_xlpm.CSVVal
)),"")</f>
        <v/>
      </c>
      <c r="L1368" s="40" t="str" cm="1">
        <f t="array" ref="L1368">IFERROR(_xlfn.LET(
_xlpm.CSVVal,_xlfn.XLOOKUP($A1368,CSV!$A:$A,CSV!P:P,""),
_xlpm.MacVal,_xlfn.XLOOKUP($A1368,Output_Mac!$A:$A,Output_Mac!L:L,""),
_xlpm.MyAuditVal,_xlfn.XLOOKUP($A1368,My_Audit!$A:$A,My_Audit!K:K,""),
_xlfn.IFS(_xlpm.MyAuditVal&lt;&gt;"",UPPER(_xlpm.MyAuditVal),_xlpm.MacVal&lt;&gt;"",_xlpm.MacVal,_xlpm.CSVVal&lt;&gt;"",_xlpm.CSVVal
)),"")</f>
        <v/>
      </c>
      <c r="M1368" s="40" t="str" cm="1">
        <f t="array" ref="M1368">IFERROR(_xlfn.LET(
_xlpm.CSVVal,_xlfn.XLOOKUP($A1368,CSV!$A:$A,CSV!Q:Q,""),
_xlpm.MacVal,_xlfn.XLOOKUP($A1368,Output_Mac!$A:$A,Output_Mac!M:M,""),
_xlpm.MyAuditVal,_xlfn.XLOOKUP($A1368,My_Audit!$A:$A,My_Audit!L:L,""),
_xlfn.IFS(_xlpm.MyAuditVal&lt;&gt;"",UPPER(_xlpm.MyAuditVal),_xlpm.MacVal&lt;&gt;"",_xlpm.MacVal,_xlpm.CSVVal&lt;&gt;"",_xlpm.CSVVal
)),"")</f>
        <v/>
      </c>
      <c r="N1368" s="40"/>
      <c r="O1368" s="40" t="str">
        <f>_xlfn.LET(
    _xlpm.CSVVal, _xlfn.XLOOKUP($A1368, CSV!$A:$A, CSV!AA:AA, ""),
    _xlpm.MacVal, _xlfn.XLOOKUP($A1368, Output_Mac!$A:$A, Output_Mac!S:S, ""),
    _xlpm.MyAuditVal, _xlfn.XLOOKUP($A1368, My_Audit!$A:$A, My_Audit!P:P, ""),
    _xlfn.TEXTJOIN(", ", TRUE, _xlpm.MyAuditVal, _xlpm.MacVal, _xlpm.CSVVal)
)</f>
        <v/>
      </c>
      <c r="P1368" s="40" t="str" cm="1">
        <f t="array" ref="P1368">IFERROR(_xlfn.LET(
_xlpm.CSVVal,_xlfn.XLOOKUP($A1368,CSV!$A:$A,CSV!AB:AB,""),
_xlpm.MacVal,_xlfn.XLOOKUP($A1368,Output_Mac!$A:$A,Output_Mac!T:T,""),
_xlpm.MyAuditVal,_xlfn.XLOOKUP($A1368,My_Audit!$A:$A,My_Audit!Q:Q,""),
_xlfn.IFS(_xlpm.MyAuditVal&lt;&gt;"",UPPER(_xlpm.MyAuditVal),_xlpm.MacVal&lt;&gt;"",_xlpm.MacVal,_xlpm.CSVVal&lt;&gt;"",_xlpm.CSVVal
)),"No")</f>
        <v>No</v>
      </c>
      <c r="Q1368" s="40" t="str" cm="1">
        <f t="array" ref="Q1368">IFERROR(_xlfn.LET(
_xlpm.CSVVal,_xlfn.XLOOKUP($A1368,CSV!$A:$A,CSV!AC:AC,""),
_xlpm.MacVal,_xlfn.XLOOKUP($A1368,Output_Mac!$A:$A,Output_Mac!U:U,""),
_xlpm.MyAuditVal,_xlfn.XLOOKUP($A1368,My_Audit!$A:$A,My_Audit!R:R,""),
_xlfn.IFS(_xlpm.MyAuditVal&lt;&gt;"",UPPER(_xlpm.MyAuditVal),_xlpm.MacVal&lt;&gt;"",_xlpm.MacVal,_xlpm.CSVVal&lt;&gt;"",_xlpm.CSVVal
)),"")</f>
        <v/>
      </c>
      <c r="R1368" s="40"/>
      <c r="S1368" s="40"/>
      <c r="T1368" s="40"/>
      <c r="U1368" s="40"/>
      <c r="V1368" s="40"/>
      <c r="W1368" s="40"/>
      <c r="X1368" s="41" t="str">
        <f>_xlfn.LET(
    _xlpm.MacVal, _xlfn.XLOOKUP($A1368, Output_Mac!$A:$A, Output_Mac!AB:AB, ""),
    _xlpm.MyAuditVal, _xlfn.XLOOKUP($A1368, My_Audit!$A:$A, My_Audit!N:N, ""),
    _xlfn.TEXTJOIN(", ", TRUE, _xlpm.MyAuditVal, _xlpm.MacVal)
)</f>
        <v/>
      </c>
    </row>
    <row r="1369" spans="1:24">
      <c r="A1369" s="40" t="str">
        <f>_xlfn.TEXTJOIN("",TRUE,Input!$B$2,ROW(My_Audit!A1368))</f>
        <v>X1368</v>
      </c>
      <c r="B1369" s="40" t="str">
        <f>_xlfn.TEXTJOIN("-",TRUE,"ITD",Input!$A$2,A1369)</f>
        <v>ITD-X1368</v>
      </c>
      <c r="C1369" s="40" t="str" cm="1">
        <f t="array" ref="C1369">IFERROR(_xlfn.LET(
_xlpm.CSVVal,_xlfn.XLOOKUP($A1369,CSV!$A:$A,CSV!B:B,""),
_xlpm.MacVal,_xlfn.XLOOKUP($A1369,Output_Mac!$A:$A,Output_Mac!B:B,""),
_xlpm.MyAuditVal,_xlfn.XLOOKUP($A1369,My_Audit!$A:$A,My_Audit!B:B,""),
_xlfn.IFS(_xlpm.MyAuditVal&lt;&gt;"",UPPER(_xlpm.MyAuditVal),_xlpm.MacVal&lt;&gt;"",_xlpm.MacVal,_xlpm.CSVVal&lt;&gt;"",_xlpm.CSVVal
)),"")</f>
        <v/>
      </c>
      <c r="D1369" s="40" t="str" cm="1">
        <f t="array" ref="D1369">IFERROR(_xlfn.LET(
_xlpm.CSVVal,_xlfn.XLOOKUP($A1369,CSV!$A:$A,CSV!D:D,""),
_xlpm.MacVal,_xlfn.XLOOKUP($A1369,Output_Mac!$A:$A,Output_Mac!C:C,""),
_xlpm.MyAuditVal,_xlfn.XLOOKUP($A1369,My_Audit!$A:$A,My_Audit!C:C,""),
_xlfn.IFS(_xlpm.MyAuditVal&lt;&gt;"",_xlpm.MyAuditVal,_xlpm.MacVal&lt;&gt;"",_xlpm.MacVal,_xlpm.CSVVal&lt;&gt;"",_xlpm.CSVVal
)),"")</f>
        <v/>
      </c>
      <c r="E1369" s="40" t="str">
        <f>_xlfn.XLOOKUP(A1369,My_Audit!A:A,My_Audit!D:D,"")</f>
        <v/>
      </c>
      <c r="F1369" s="40" t="str" cm="1">
        <f t="array" ref="F1369">IFERROR(_xlfn.LET(
_xlpm.CSVVal,_xlfn.XLOOKUP($A1369,CSV!$A:$A,CSV!F:F,""),
_xlpm.MacVal,_xlfn.XLOOKUP($A1369,Output_Mac!$A:$A,Output_Mac!E:E,""),
_xlpm.MyAuditVal,_xlfn.XLOOKUP($A1369,My_Audit!$A:$A,My_Audit!E:E,""),
_xlfn.IFS(_xlpm.MyAuditVal&lt;&gt;"",_xlpm.MyAuditVal,_xlpm.MacVal&lt;&gt;"",_xlpm.MacVal,_xlpm.CSVVal&lt;&gt;"",_xlpm.CSVVal
)),"")</f>
        <v/>
      </c>
      <c r="G1369" s="40" t="str" cm="1">
        <f t="array" ref="G1369">IFERROR(_xlfn.LET(
_xlpm.CSVVal,_xlfn.XLOOKUP($A1369,CSV!$A:$A,CSV!G:G,""),
_xlpm.MacVal,_xlfn.XLOOKUP($A1369,Output_Mac!$A:$A,Output_Mac!F:F,""),
_xlpm.MyAuditVal,_xlfn.XLOOKUP($A1369,My_Audit!$A:$A,My_Audit!F:F,""),
_xlfn.IFS(_xlpm.MyAuditVal&lt;&gt;"",_xlpm.MyAuditVal,_xlpm.MacVal&lt;&gt;"",_xlpm.MacVal,_xlpm.CSVVal&lt;&gt;"",PROPER(_xlpm.CSVVal)
)),"")</f>
        <v/>
      </c>
      <c r="H1369" s="40" t="str" cm="1">
        <f t="array" ref="H1369">IFERROR(_xlfn.LET(
_xlpm.CSVVal,_xlfn.XLOOKUP($A1369,CSV!$A:$A,CSV!H:H,""),
_xlpm.MacVal,_xlfn.XLOOKUP($A1369,Output_Mac!$A:$A,Output_Mac!H:H,""),
_xlpm.MyAuditVal,_xlfn.XLOOKUP($A1369,My_Audit!$A:$A,My_Audit!G:G,""),
_xlfn.IFS(_xlpm.MyAuditVal&lt;&gt;"",_xlpm.MyAuditVal,_xlpm.MacVal&lt;&gt;"",_xlpm.MacVal,_xlpm.CSVVal&lt;&gt;"",_xlpm.CSVVal
)),"")</f>
        <v/>
      </c>
      <c r="I1369" s="40" t="str">
        <f>_xlfn.XLOOKUP(A1369,Output_Mac!A:A,Output_Mac!I:I,"")</f>
        <v/>
      </c>
      <c r="J1369" s="40" t="str" cm="1">
        <f t="array" ref="J1369">IFERROR(_xlfn.LET(
_xlpm.CSVVal,_xlfn.XLOOKUP($A1369,CSV!$A:$A,CSV!I:I,""),
_xlpm.MacVal,_xlfn.XLOOKUP($A1369,Output_Mac!$A:$A,Output_Mac!J:J,""),
_xlpm.MyAuditVal,_xlfn.XLOOKUP($A1369,My_Audit!$A:$A,My_Audit!I:I,""),
_xlfn.IFS(_xlpm.MyAuditVal&lt;&gt;"",UPPER(_xlpm.MyAuditVal),_xlpm.MacVal&lt;&gt;"",_xlpm.MacVal,_xlpm.CSVVal&lt;&gt;"",_xlpm.CSVVal
)),"")</f>
        <v/>
      </c>
      <c r="K1369" s="40" t="str" cm="1">
        <f t="array" ref="K1369">IFERROR(_xlfn.LET(
_xlpm.CSVVal,_xlfn.XLOOKUP($A1369,CSV!$A:$A,CSV!K:K,""),
_xlpm.MacVal,_xlfn.XLOOKUP($A1369,Output_Mac!$A:$A,Output_Mac!K:K,""),
_xlpm.MyAuditVal,_xlfn.XLOOKUP($A1369,My_Audit!$A:$A,My_Audit!J:J,""),
_xlfn.IFS(_xlpm.MyAuditVal&lt;&gt;"",UPPER(_xlpm.MyAuditVal),_xlpm.MacVal&lt;&gt;"",_xlpm.MacVal,_xlpm.CSVVal&lt;&gt;"",_xlpm.CSVVal
)),"")</f>
        <v/>
      </c>
      <c r="L1369" s="40" t="str" cm="1">
        <f t="array" ref="L1369">IFERROR(_xlfn.LET(
_xlpm.CSVVal,_xlfn.XLOOKUP($A1369,CSV!$A:$A,CSV!P:P,""),
_xlpm.MacVal,_xlfn.XLOOKUP($A1369,Output_Mac!$A:$A,Output_Mac!L:L,""),
_xlpm.MyAuditVal,_xlfn.XLOOKUP($A1369,My_Audit!$A:$A,My_Audit!K:K,""),
_xlfn.IFS(_xlpm.MyAuditVal&lt;&gt;"",UPPER(_xlpm.MyAuditVal),_xlpm.MacVal&lt;&gt;"",_xlpm.MacVal,_xlpm.CSVVal&lt;&gt;"",_xlpm.CSVVal
)),"")</f>
        <v/>
      </c>
      <c r="M1369" s="40" t="str" cm="1">
        <f t="array" ref="M1369">IFERROR(_xlfn.LET(
_xlpm.CSVVal,_xlfn.XLOOKUP($A1369,CSV!$A:$A,CSV!Q:Q,""),
_xlpm.MacVal,_xlfn.XLOOKUP($A1369,Output_Mac!$A:$A,Output_Mac!M:M,""),
_xlpm.MyAuditVal,_xlfn.XLOOKUP($A1369,My_Audit!$A:$A,My_Audit!L:L,""),
_xlfn.IFS(_xlpm.MyAuditVal&lt;&gt;"",UPPER(_xlpm.MyAuditVal),_xlpm.MacVal&lt;&gt;"",_xlpm.MacVal,_xlpm.CSVVal&lt;&gt;"",_xlpm.CSVVal
)),"")</f>
        <v/>
      </c>
      <c r="N1369" s="40"/>
      <c r="O1369" s="40" t="str">
        <f>_xlfn.LET(
    _xlpm.CSVVal, _xlfn.XLOOKUP($A1369, CSV!$A:$A, CSV!AA:AA, ""),
    _xlpm.MacVal, _xlfn.XLOOKUP($A1369, Output_Mac!$A:$A, Output_Mac!S:S, ""),
    _xlpm.MyAuditVal, _xlfn.XLOOKUP($A1369, My_Audit!$A:$A, My_Audit!P:P, ""),
    _xlfn.TEXTJOIN(", ", TRUE, _xlpm.MyAuditVal, _xlpm.MacVal, _xlpm.CSVVal)
)</f>
        <v/>
      </c>
      <c r="P1369" s="40" t="str" cm="1">
        <f t="array" ref="P1369">IFERROR(_xlfn.LET(
_xlpm.CSVVal,_xlfn.XLOOKUP($A1369,CSV!$A:$A,CSV!AB:AB,""),
_xlpm.MacVal,_xlfn.XLOOKUP($A1369,Output_Mac!$A:$A,Output_Mac!T:T,""),
_xlpm.MyAuditVal,_xlfn.XLOOKUP($A1369,My_Audit!$A:$A,My_Audit!Q:Q,""),
_xlfn.IFS(_xlpm.MyAuditVal&lt;&gt;"",UPPER(_xlpm.MyAuditVal),_xlpm.MacVal&lt;&gt;"",_xlpm.MacVal,_xlpm.CSVVal&lt;&gt;"",_xlpm.CSVVal
)),"No")</f>
        <v>No</v>
      </c>
      <c r="Q1369" s="40" t="str" cm="1">
        <f t="array" ref="Q1369">IFERROR(_xlfn.LET(
_xlpm.CSVVal,_xlfn.XLOOKUP($A1369,CSV!$A:$A,CSV!AC:AC,""),
_xlpm.MacVal,_xlfn.XLOOKUP($A1369,Output_Mac!$A:$A,Output_Mac!U:U,""),
_xlpm.MyAuditVal,_xlfn.XLOOKUP($A1369,My_Audit!$A:$A,My_Audit!R:R,""),
_xlfn.IFS(_xlpm.MyAuditVal&lt;&gt;"",UPPER(_xlpm.MyAuditVal),_xlpm.MacVal&lt;&gt;"",_xlpm.MacVal,_xlpm.CSVVal&lt;&gt;"",_xlpm.CSVVal
)),"")</f>
        <v/>
      </c>
      <c r="R1369" s="40"/>
      <c r="S1369" s="40"/>
      <c r="T1369" s="40"/>
      <c r="U1369" s="40"/>
      <c r="V1369" s="40"/>
      <c r="W1369" s="40"/>
      <c r="X1369" s="41" t="str">
        <f>_xlfn.LET(
    _xlpm.MacVal, _xlfn.XLOOKUP($A1369, Output_Mac!$A:$A, Output_Mac!AB:AB, ""),
    _xlpm.MyAuditVal, _xlfn.XLOOKUP($A1369, My_Audit!$A:$A, My_Audit!N:N, ""),
    _xlfn.TEXTJOIN(", ", TRUE, _xlpm.MyAuditVal, _xlpm.MacVal)
)</f>
        <v/>
      </c>
    </row>
    <row r="1370" spans="1:24">
      <c r="A1370" s="40" t="str">
        <f>_xlfn.TEXTJOIN("",TRUE,Input!$B$2,ROW(My_Audit!A1369))</f>
        <v>X1369</v>
      </c>
      <c r="B1370" s="40" t="str">
        <f>_xlfn.TEXTJOIN("-",TRUE,"ITD",Input!$A$2,A1370)</f>
        <v>ITD-X1369</v>
      </c>
      <c r="C1370" s="40" t="str" cm="1">
        <f t="array" ref="C1370">IFERROR(_xlfn.LET(
_xlpm.CSVVal,_xlfn.XLOOKUP($A1370,CSV!$A:$A,CSV!B:B,""),
_xlpm.MacVal,_xlfn.XLOOKUP($A1370,Output_Mac!$A:$A,Output_Mac!B:B,""),
_xlpm.MyAuditVal,_xlfn.XLOOKUP($A1370,My_Audit!$A:$A,My_Audit!B:B,""),
_xlfn.IFS(_xlpm.MyAuditVal&lt;&gt;"",UPPER(_xlpm.MyAuditVal),_xlpm.MacVal&lt;&gt;"",_xlpm.MacVal,_xlpm.CSVVal&lt;&gt;"",_xlpm.CSVVal
)),"")</f>
        <v/>
      </c>
      <c r="D1370" s="40" t="str" cm="1">
        <f t="array" ref="D1370">IFERROR(_xlfn.LET(
_xlpm.CSVVal,_xlfn.XLOOKUP($A1370,CSV!$A:$A,CSV!D:D,""),
_xlpm.MacVal,_xlfn.XLOOKUP($A1370,Output_Mac!$A:$A,Output_Mac!C:C,""),
_xlpm.MyAuditVal,_xlfn.XLOOKUP($A1370,My_Audit!$A:$A,My_Audit!C:C,""),
_xlfn.IFS(_xlpm.MyAuditVal&lt;&gt;"",_xlpm.MyAuditVal,_xlpm.MacVal&lt;&gt;"",_xlpm.MacVal,_xlpm.CSVVal&lt;&gt;"",_xlpm.CSVVal
)),"")</f>
        <v/>
      </c>
      <c r="E1370" s="40" t="str">
        <f>_xlfn.XLOOKUP(A1370,My_Audit!A:A,My_Audit!D:D,"")</f>
        <v/>
      </c>
      <c r="F1370" s="40" t="str" cm="1">
        <f t="array" ref="F1370">IFERROR(_xlfn.LET(
_xlpm.CSVVal,_xlfn.XLOOKUP($A1370,CSV!$A:$A,CSV!F:F,""),
_xlpm.MacVal,_xlfn.XLOOKUP($A1370,Output_Mac!$A:$A,Output_Mac!E:E,""),
_xlpm.MyAuditVal,_xlfn.XLOOKUP($A1370,My_Audit!$A:$A,My_Audit!E:E,""),
_xlfn.IFS(_xlpm.MyAuditVal&lt;&gt;"",_xlpm.MyAuditVal,_xlpm.MacVal&lt;&gt;"",_xlpm.MacVal,_xlpm.CSVVal&lt;&gt;"",_xlpm.CSVVal
)),"")</f>
        <v/>
      </c>
      <c r="G1370" s="40" t="str" cm="1">
        <f t="array" ref="G1370">IFERROR(_xlfn.LET(
_xlpm.CSVVal,_xlfn.XLOOKUP($A1370,CSV!$A:$A,CSV!G:G,""),
_xlpm.MacVal,_xlfn.XLOOKUP($A1370,Output_Mac!$A:$A,Output_Mac!F:F,""),
_xlpm.MyAuditVal,_xlfn.XLOOKUP($A1370,My_Audit!$A:$A,My_Audit!F:F,""),
_xlfn.IFS(_xlpm.MyAuditVal&lt;&gt;"",_xlpm.MyAuditVal,_xlpm.MacVal&lt;&gt;"",_xlpm.MacVal,_xlpm.CSVVal&lt;&gt;"",PROPER(_xlpm.CSVVal)
)),"")</f>
        <v/>
      </c>
      <c r="H1370" s="40" t="str" cm="1">
        <f t="array" ref="H1370">IFERROR(_xlfn.LET(
_xlpm.CSVVal,_xlfn.XLOOKUP($A1370,CSV!$A:$A,CSV!H:H,""),
_xlpm.MacVal,_xlfn.XLOOKUP($A1370,Output_Mac!$A:$A,Output_Mac!H:H,""),
_xlpm.MyAuditVal,_xlfn.XLOOKUP($A1370,My_Audit!$A:$A,My_Audit!G:G,""),
_xlfn.IFS(_xlpm.MyAuditVal&lt;&gt;"",_xlpm.MyAuditVal,_xlpm.MacVal&lt;&gt;"",_xlpm.MacVal,_xlpm.CSVVal&lt;&gt;"",_xlpm.CSVVal
)),"")</f>
        <v/>
      </c>
      <c r="I1370" s="40" t="str">
        <f>_xlfn.XLOOKUP(A1370,Output_Mac!A:A,Output_Mac!I:I,"")</f>
        <v/>
      </c>
      <c r="J1370" s="40" t="str" cm="1">
        <f t="array" ref="J1370">IFERROR(_xlfn.LET(
_xlpm.CSVVal,_xlfn.XLOOKUP($A1370,CSV!$A:$A,CSV!I:I,""),
_xlpm.MacVal,_xlfn.XLOOKUP($A1370,Output_Mac!$A:$A,Output_Mac!J:J,""),
_xlpm.MyAuditVal,_xlfn.XLOOKUP($A1370,My_Audit!$A:$A,My_Audit!I:I,""),
_xlfn.IFS(_xlpm.MyAuditVal&lt;&gt;"",UPPER(_xlpm.MyAuditVal),_xlpm.MacVal&lt;&gt;"",_xlpm.MacVal,_xlpm.CSVVal&lt;&gt;"",_xlpm.CSVVal
)),"")</f>
        <v/>
      </c>
      <c r="K1370" s="40" t="str" cm="1">
        <f t="array" ref="K1370">IFERROR(_xlfn.LET(
_xlpm.CSVVal,_xlfn.XLOOKUP($A1370,CSV!$A:$A,CSV!K:K,""),
_xlpm.MacVal,_xlfn.XLOOKUP($A1370,Output_Mac!$A:$A,Output_Mac!K:K,""),
_xlpm.MyAuditVal,_xlfn.XLOOKUP($A1370,My_Audit!$A:$A,My_Audit!J:J,""),
_xlfn.IFS(_xlpm.MyAuditVal&lt;&gt;"",UPPER(_xlpm.MyAuditVal),_xlpm.MacVal&lt;&gt;"",_xlpm.MacVal,_xlpm.CSVVal&lt;&gt;"",_xlpm.CSVVal
)),"")</f>
        <v/>
      </c>
      <c r="L1370" s="40" t="str" cm="1">
        <f t="array" ref="L1370">IFERROR(_xlfn.LET(
_xlpm.CSVVal,_xlfn.XLOOKUP($A1370,CSV!$A:$A,CSV!P:P,""),
_xlpm.MacVal,_xlfn.XLOOKUP($A1370,Output_Mac!$A:$A,Output_Mac!L:L,""),
_xlpm.MyAuditVal,_xlfn.XLOOKUP($A1370,My_Audit!$A:$A,My_Audit!K:K,""),
_xlfn.IFS(_xlpm.MyAuditVal&lt;&gt;"",UPPER(_xlpm.MyAuditVal),_xlpm.MacVal&lt;&gt;"",_xlpm.MacVal,_xlpm.CSVVal&lt;&gt;"",_xlpm.CSVVal
)),"")</f>
        <v/>
      </c>
      <c r="M1370" s="40" t="str" cm="1">
        <f t="array" ref="M1370">IFERROR(_xlfn.LET(
_xlpm.CSVVal,_xlfn.XLOOKUP($A1370,CSV!$A:$A,CSV!Q:Q,""),
_xlpm.MacVal,_xlfn.XLOOKUP($A1370,Output_Mac!$A:$A,Output_Mac!M:M,""),
_xlpm.MyAuditVal,_xlfn.XLOOKUP($A1370,My_Audit!$A:$A,My_Audit!L:L,""),
_xlfn.IFS(_xlpm.MyAuditVal&lt;&gt;"",UPPER(_xlpm.MyAuditVal),_xlpm.MacVal&lt;&gt;"",_xlpm.MacVal,_xlpm.CSVVal&lt;&gt;"",_xlpm.CSVVal
)),"")</f>
        <v/>
      </c>
      <c r="N1370" s="40"/>
      <c r="O1370" s="40" t="str">
        <f>_xlfn.LET(
    _xlpm.CSVVal, _xlfn.XLOOKUP($A1370, CSV!$A:$A, CSV!AA:AA, ""),
    _xlpm.MacVal, _xlfn.XLOOKUP($A1370, Output_Mac!$A:$A, Output_Mac!S:S, ""),
    _xlpm.MyAuditVal, _xlfn.XLOOKUP($A1370, My_Audit!$A:$A, My_Audit!P:P, ""),
    _xlfn.TEXTJOIN(", ", TRUE, _xlpm.MyAuditVal, _xlpm.MacVal, _xlpm.CSVVal)
)</f>
        <v/>
      </c>
      <c r="P1370" s="40" t="str" cm="1">
        <f t="array" ref="P1370">IFERROR(_xlfn.LET(
_xlpm.CSVVal,_xlfn.XLOOKUP($A1370,CSV!$A:$A,CSV!AB:AB,""),
_xlpm.MacVal,_xlfn.XLOOKUP($A1370,Output_Mac!$A:$A,Output_Mac!T:T,""),
_xlpm.MyAuditVal,_xlfn.XLOOKUP($A1370,My_Audit!$A:$A,My_Audit!Q:Q,""),
_xlfn.IFS(_xlpm.MyAuditVal&lt;&gt;"",UPPER(_xlpm.MyAuditVal),_xlpm.MacVal&lt;&gt;"",_xlpm.MacVal,_xlpm.CSVVal&lt;&gt;"",_xlpm.CSVVal
)),"No")</f>
        <v>No</v>
      </c>
      <c r="Q1370" s="40" t="str" cm="1">
        <f t="array" ref="Q1370">IFERROR(_xlfn.LET(
_xlpm.CSVVal,_xlfn.XLOOKUP($A1370,CSV!$A:$A,CSV!AC:AC,""),
_xlpm.MacVal,_xlfn.XLOOKUP($A1370,Output_Mac!$A:$A,Output_Mac!U:U,""),
_xlpm.MyAuditVal,_xlfn.XLOOKUP($A1370,My_Audit!$A:$A,My_Audit!R:R,""),
_xlfn.IFS(_xlpm.MyAuditVal&lt;&gt;"",UPPER(_xlpm.MyAuditVal),_xlpm.MacVal&lt;&gt;"",_xlpm.MacVal,_xlpm.CSVVal&lt;&gt;"",_xlpm.CSVVal
)),"")</f>
        <v/>
      </c>
      <c r="R1370" s="40"/>
      <c r="S1370" s="40"/>
      <c r="T1370" s="40"/>
      <c r="U1370" s="40"/>
      <c r="V1370" s="40"/>
      <c r="W1370" s="40"/>
      <c r="X1370" s="41" t="str">
        <f>_xlfn.LET(
    _xlpm.MacVal, _xlfn.XLOOKUP($A1370, Output_Mac!$A:$A, Output_Mac!AB:AB, ""),
    _xlpm.MyAuditVal, _xlfn.XLOOKUP($A1370, My_Audit!$A:$A, My_Audit!N:N, ""),
    _xlfn.TEXTJOIN(", ", TRUE, _xlpm.MyAuditVal, _xlpm.MacVal)
)</f>
        <v/>
      </c>
    </row>
    <row r="1371" spans="1:24">
      <c r="A1371" s="40" t="str">
        <f>_xlfn.TEXTJOIN("",TRUE,Input!$B$2,ROW(My_Audit!A1370))</f>
        <v>X1370</v>
      </c>
      <c r="B1371" s="40" t="str">
        <f>_xlfn.TEXTJOIN("-",TRUE,"ITD",Input!$A$2,A1371)</f>
        <v>ITD-X1370</v>
      </c>
      <c r="C1371" s="40" t="str" cm="1">
        <f t="array" ref="C1371">IFERROR(_xlfn.LET(
_xlpm.CSVVal,_xlfn.XLOOKUP($A1371,CSV!$A:$A,CSV!B:B,""),
_xlpm.MacVal,_xlfn.XLOOKUP($A1371,Output_Mac!$A:$A,Output_Mac!B:B,""),
_xlpm.MyAuditVal,_xlfn.XLOOKUP($A1371,My_Audit!$A:$A,My_Audit!B:B,""),
_xlfn.IFS(_xlpm.MyAuditVal&lt;&gt;"",UPPER(_xlpm.MyAuditVal),_xlpm.MacVal&lt;&gt;"",_xlpm.MacVal,_xlpm.CSVVal&lt;&gt;"",_xlpm.CSVVal
)),"")</f>
        <v/>
      </c>
      <c r="D1371" s="40" t="str" cm="1">
        <f t="array" ref="D1371">IFERROR(_xlfn.LET(
_xlpm.CSVVal,_xlfn.XLOOKUP($A1371,CSV!$A:$A,CSV!D:D,""),
_xlpm.MacVal,_xlfn.XLOOKUP($A1371,Output_Mac!$A:$A,Output_Mac!C:C,""),
_xlpm.MyAuditVal,_xlfn.XLOOKUP($A1371,My_Audit!$A:$A,My_Audit!C:C,""),
_xlfn.IFS(_xlpm.MyAuditVal&lt;&gt;"",_xlpm.MyAuditVal,_xlpm.MacVal&lt;&gt;"",_xlpm.MacVal,_xlpm.CSVVal&lt;&gt;"",_xlpm.CSVVal
)),"")</f>
        <v/>
      </c>
      <c r="E1371" s="40" t="str">
        <f>_xlfn.XLOOKUP(A1371,My_Audit!A:A,My_Audit!D:D,"")</f>
        <v/>
      </c>
      <c r="F1371" s="40" t="str" cm="1">
        <f t="array" ref="F1371">IFERROR(_xlfn.LET(
_xlpm.CSVVal,_xlfn.XLOOKUP($A1371,CSV!$A:$A,CSV!F:F,""),
_xlpm.MacVal,_xlfn.XLOOKUP($A1371,Output_Mac!$A:$A,Output_Mac!E:E,""),
_xlpm.MyAuditVal,_xlfn.XLOOKUP($A1371,My_Audit!$A:$A,My_Audit!E:E,""),
_xlfn.IFS(_xlpm.MyAuditVal&lt;&gt;"",_xlpm.MyAuditVal,_xlpm.MacVal&lt;&gt;"",_xlpm.MacVal,_xlpm.CSVVal&lt;&gt;"",_xlpm.CSVVal
)),"")</f>
        <v/>
      </c>
      <c r="G1371" s="40" t="str" cm="1">
        <f t="array" ref="G1371">IFERROR(_xlfn.LET(
_xlpm.CSVVal,_xlfn.XLOOKUP($A1371,CSV!$A:$A,CSV!G:G,""),
_xlpm.MacVal,_xlfn.XLOOKUP($A1371,Output_Mac!$A:$A,Output_Mac!F:F,""),
_xlpm.MyAuditVal,_xlfn.XLOOKUP($A1371,My_Audit!$A:$A,My_Audit!F:F,""),
_xlfn.IFS(_xlpm.MyAuditVal&lt;&gt;"",_xlpm.MyAuditVal,_xlpm.MacVal&lt;&gt;"",_xlpm.MacVal,_xlpm.CSVVal&lt;&gt;"",PROPER(_xlpm.CSVVal)
)),"")</f>
        <v/>
      </c>
      <c r="H1371" s="40" t="str" cm="1">
        <f t="array" ref="H1371">IFERROR(_xlfn.LET(
_xlpm.CSVVal,_xlfn.XLOOKUP($A1371,CSV!$A:$A,CSV!H:H,""),
_xlpm.MacVal,_xlfn.XLOOKUP($A1371,Output_Mac!$A:$A,Output_Mac!H:H,""),
_xlpm.MyAuditVal,_xlfn.XLOOKUP($A1371,My_Audit!$A:$A,My_Audit!G:G,""),
_xlfn.IFS(_xlpm.MyAuditVal&lt;&gt;"",_xlpm.MyAuditVal,_xlpm.MacVal&lt;&gt;"",_xlpm.MacVal,_xlpm.CSVVal&lt;&gt;"",_xlpm.CSVVal
)),"")</f>
        <v/>
      </c>
      <c r="I1371" s="40" t="str">
        <f>_xlfn.XLOOKUP(A1371,Output_Mac!A:A,Output_Mac!I:I,"")</f>
        <v/>
      </c>
      <c r="J1371" s="40" t="str" cm="1">
        <f t="array" ref="J1371">IFERROR(_xlfn.LET(
_xlpm.CSVVal,_xlfn.XLOOKUP($A1371,CSV!$A:$A,CSV!I:I,""),
_xlpm.MacVal,_xlfn.XLOOKUP($A1371,Output_Mac!$A:$A,Output_Mac!J:J,""),
_xlpm.MyAuditVal,_xlfn.XLOOKUP($A1371,My_Audit!$A:$A,My_Audit!I:I,""),
_xlfn.IFS(_xlpm.MyAuditVal&lt;&gt;"",UPPER(_xlpm.MyAuditVal),_xlpm.MacVal&lt;&gt;"",_xlpm.MacVal,_xlpm.CSVVal&lt;&gt;"",_xlpm.CSVVal
)),"")</f>
        <v/>
      </c>
      <c r="K1371" s="40" t="str" cm="1">
        <f t="array" ref="K1371">IFERROR(_xlfn.LET(
_xlpm.CSVVal,_xlfn.XLOOKUP($A1371,CSV!$A:$A,CSV!K:K,""),
_xlpm.MacVal,_xlfn.XLOOKUP($A1371,Output_Mac!$A:$A,Output_Mac!K:K,""),
_xlpm.MyAuditVal,_xlfn.XLOOKUP($A1371,My_Audit!$A:$A,My_Audit!J:J,""),
_xlfn.IFS(_xlpm.MyAuditVal&lt;&gt;"",UPPER(_xlpm.MyAuditVal),_xlpm.MacVal&lt;&gt;"",_xlpm.MacVal,_xlpm.CSVVal&lt;&gt;"",_xlpm.CSVVal
)),"")</f>
        <v/>
      </c>
      <c r="L1371" s="40" t="str" cm="1">
        <f t="array" ref="L1371">IFERROR(_xlfn.LET(
_xlpm.CSVVal,_xlfn.XLOOKUP($A1371,CSV!$A:$A,CSV!P:P,""),
_xlpm.MacVal,_xlfn.XLOOKUP($A1371,Output_Mac!$A:$A,Output_Mac!L:L,""),
_xlpm.MyAuditVal,_xlfn.XLOOKUP($A1371,My_Audit!$A:$A,My_Audit!K:K,""),
_xlfn.IFS(_xlpm.MyAuditVal&lt;&gt;"",UPPER(_xlpm.MyAuditVal),_xlpm.MacVal&lt;&gt;"",_xlpm.MacVal,_xlpm.CSVVal&lt;&gt;"",_xlpm.CSVVal
)),"")</f>
        <v/>
      </c>
      <c r="M1371" s="40" t="str" cm="1">
        <f t="array" ref="M1371">IFERROR(_xlfn.LET(
_xlpm.CSVVal,_xlfn.XLOOKUP($A1371,CSV!$A:$A,CSV!Q:Q,""),
_xlpm.MacVal,_xlfn.XLOOKUP($A1371,Output_Mac!$A:$A,Output_Mac!M:M,""),
_xlpm.MyAuditVal,_xlfn.XLOOKUP($A1371,My_Audit!$A:$A,My_Audit!L:L,""),
_xlfn.IFS(_xlpm.MyAuditVal&lt;&gt;"",UPPER(_xlpm.MyAuditVal),_xlpm.MacVal&lt;&gt;"",_xlpm.MacVal,_xlpm.CSVVal&lt;&gt;"",_xlpm.CSVVal
)),"")</f>
        <v/>
      </c>
      <c r="N1371" s="40"/>
      <c r="O1371" s="40" t="str">
        <f>_xlfn.LET(
    _xlpm.CSVVal, _xlfn.XLOOKUP($A1371, CSV!$A:$A, CSV!AA:AA, ""),
    _xlpm.MacVal, _xlfn.XLOOKUP($A1371, Output_Mac!$A:$A, Output_Mac!S:S, ""),
    _xlpm.MyAuditVal, _xlfn.XLOOKUP($A1371, My_Audit!$A:$A, My_Audit!P:P, ""),
    _xlfn.TEXTJOIN(", ", TRUE, _xlpm.MyAuditVal, _xlpm.MacVal, _xlpm.CSVVal)
)</f>
        <v/>
      </c>
      <c r="P1371" s="40" t="str" cm="1">
        <f t="array" ref="P1371">IFERROR(_xlfn.LET(
_xlpm.CSVVal,_xlfn.XLOOKUP($A1371,CSV!$A:$A,CSV!AB:AB,""),
_xlpm.MacVal,_xlfn.XLOOKUP($A1371,Output_Mac!$A:$A,Output_Mac!T:T,""),
_xlpm.MyAuditVal,_xlfn.XLOOKUP($A1371,My_Audit!$A:$A,My_Audit!Q:Q,""),
_xlfn.IFS(_xlpm.MyAuditVal&lt;&gt;"",UPPER(_xlpm.MyAuditVal),_xlpm.MacVal&lt;&gt;"",_xlpm.MacVal,_xlpm.CSVVal&lt;&gt;"",_xlpm.CSVVal
)),"No")</f>
        <v>No</v>
      </c>
      <c r="Q1371" s="40" t="str" cm="1">
        <f t="array" ref="Q1371">IFERROR(_xlfn.LET(
_xlpm.CSVVal,_xlfn.XLOOKUP($A1371,CSV!$A:$A,CSV!AC:AC,""),
_xlpm.MacVal,_xlfn.XLOOKUP($A1371,Output_Mac!$A:$A,Output_Mac!U:U,""),
_xlpm.MyAuditVal,_xlfn.XLOOKUP($A1371,My_Audit!$A:$A,My_Audit!R:R,""),
_xlfn.IFS(_xlpm.MyAuditVal&lt;&gt;"",UPPER(_xlpm.MyAuditVal),_xlpm.MacVal&lt;&gt;"",_xlpm.MacVal,_xlpm.CSVVal&lt;&gt;"",_xlpm.CSVVal
)),"")</f>
        <v/>
      </c>
      <c r="R1371" s="40"/>
      <c r="S1371" s="40"/>
      <c r="T1371" s="40"/>
      <c r="U1371" s="40"/>
      <c r="V1371" s="40"/>
      <c r="W1371" s="40"/>
      <c r="X1371" s="41" t="str">
        <f>_xlfn.LET(
    _xlpm.MacVal, _xlfn.XLOOKUP($A1371, Output_Mac!$A:$A, Output_Mac!AB:AB, ""),
    _xlpm.MyAuditVal, _xlfn.XLOOKUP($A1371, My_Audit!$A:$A, My_Audit!N:N, ""),
    _xlfn.TEXTJOIN(", ", TRUE, _xlpm.MyAuditVal, _xlpm.MacVal)
)</f>
        <v/>
      </c>
    </row>
    <row r="1372" spans="1:24">
      <c r="A1372" s="40" t="str">
        <f>_xlfn.TEXTJOIN("",TRUE,Input!$B$2,ROW(My_Audit!A1371))</f>
        <v>X1371</v>
      </c>
      <c r="B1372" s="40" t="str">
        <f>_xlfn.TEXTJOIN("-",TRUE,"ITD",Input!$A$2,A1372)</f>
        <v>ITD-X1371</v>
      </c>
      <c r="C1372" s="40" t="str" cm="1">
        <f t="array" ref="C1372">IFERROR(_xlfn.LET(
_xlpm.CSVVal,_xlfn.XLOOKUP($A1372,CSV!$A:$A,CSV!B:B,""),
_xlpm.MacVal,_xlfn.XLOOKUP($A1372,Output_Mac!$A:$A,Output_Mac!B:B,""),
_xlpm.MyAuditVal,_xlfn.XLOOKUP($A1372,My_Audit!$A:$A,My_Audit!B:B,""),
_xlfn.IFS(_xlpm.MyAuditVal&lt;&gt;"",UPPER(_xlpm.MyAuditVal),_xlpm.MacVal&lt;&gt;"",_xlpm.MacVal,_xlpm.CSVVal&lt;&gt;"",_xlpm.CSVVal
)),"")</f>
        <v/>
      </c>
      <c r="D1372" s="40" t="str" cm="1">
        <f t="array" ref="D1372">IFERROR(_xlfn.LET(
_xlpm.CSVVal,_xlfn.XLOOKUP($A1372,CSV!$A:$A,CSV!D:D,""),
_xlpm.MacVal,_xlfn.XLOOKUP($A1372,Output_Mac!$A:$A,Output_Mac!C:C,""),
_xlpm.MyAuditVal,_xlfn.XLOOKUP($A1372,My_Audit!$A:$A,My_Audit!C:C,""),
_xlfn.IFS(_xlpm.MyAuditVal&lt;&gt;"",_xlpm.MyAuditVal,_xlpm.MacVal&lt;&gt;"",_xlpm.MacVal,_xlpm.CSVVal&lt;&gt;"",_xlpm.CSVVal
)),"")</f>
        <v/>
      </c>
      <c r="E1372" s="40" t="str">
        <f>_xlfn.XLOOKUP(A1372,My_Audit!A:A,My_Audit!D:D,"")</f>
        <v/>
      </c>
      <c r="F1372" s="40" t="str" cm="1">
        <f t="array" ref="F1372">IFERROR(_xlfn.LET(
_xlpm.CSVVal,_xlfn.XLOOKUP($A1372,CSV!$A:$A,CSV!F:F,""),
_xlpm.MacVal,_xlfn.XLOOKUP($A1372,Output_Mac!$A:$A,Output_Mac!E:E,""),
_xlpm.MyAuditVal,_xlfn.XLOOKUP($A1372,My_Audit!$A:$A,My_Audit!E:E,""),
_xlfn.IFS(_xlpm.MyAuditVal&lt;&gt;"",_xlpm.MyAuditVal,_xlpm.MacVal&lt;&gt;"",_xlpm.MacVal,_xlpm.CSVVal&lt;&gt;"",_xlpm.CSVVal
)),"")</f>
        <v/>
      </c>
      <c r="G1372" s="40" t="str" cm="1">
        <f t="array" ref="G1372">IFERROR(_xlfn.LET(
_xlpm.CSVVal,_xlfn.XLOOKUP($A1372,CSV!$A:$A,CSV!G:G,""),
_xlpm.MacVal,_xlfn.XLOOKUP($A1372,Output_Mac!$A:$A,Output_Mac!F:F,""),
_xlpm.MyAuditVal,_xlfn.XLOOKUP($A1372,My_Audit!$A:$A,My_Audit!F:F,""),
_xlfn.IFS(_xlpm.MyAuditVal&lt;&gt;"",_xlpm.MyAuditVal,_xlpm.MacVal&lt;&gt;"",_xlpm.MacVal,_xlpm.CSVVal&lt;&gt;"",PROPER(_xlpm.CSVVal)
)),"")</f>
        <v/>
      </c>
      <c r="H1372" s="40" t="str" cm="1">
        <f t="array" ref="H1372">IFERROR(_xlfn.LET(
_xlpm.CSVVal,_xlfn.XLOOKUP($A1372,CSV!$A:$A,CSV!H:H,""),
_xlpm.MacVal,_xlfn.XLOOKUP($A1372,Output_Mac!$A:$A,Output_Mac!H:H,""),
_xlpm.MyAuditVal,_xlfn.XLOOKUP($A1372,My_Audit!$A:$A,My_Audit!G:G,""),
_xlfn.IFS(_xlpm.MyAuditVal&lt;&gt;"",_xlpm.MyAuditVal,_xlpm.MacVal&lt;&gt;"",_xlpm.MacVal,_xlpm.CSVVal&lt;&gt;"",_xlpm.CSVVal
)),"")</f>
        <v/>
      </c>
      <c r="I1372" s="40" t="str">
        <f>_xlfn.XLOOKUP(A1372,Output_Mac!A:A,Output_Mac!I:I,"")</f>
        <v/>
      </c>
      <c r="J1372" s="40" t="str" cm="1">
        <f t="array" ref="J1372">IFERROR(_xlfn.LET(
_xlpm.CSVVal,_xlfn.XLOOKUP($A1372,CSV!$A:$A,CSV!I:I,""),
_xlpm.MacVal,_xlfn.XLOOKUP($A1372,Output_Mac!$A:$A,Output_Mac!J:J,""),
_xlpm.MyAuditVal,_xlfn.XLOOKUP($A1372,My_Audit!$A:$A,My_Audit!I:I,""),
_xlfn.IFS(_xlpm.MyAuditVal&lt;&gt;"",UPPER(_xlpm.MyAuditVal),_xlpm.MacVal&lt;&gt;"",_xlpm.MacVal,_xlpm.CSVVal&lt;&gt;"",_xlpm.CSVVal
)),"")</f>
        <v/>
      </c>
      <c r="K1372" s="40" t="str" cm="1">
        <f t="array" ref="K1372">IFERROR(_xlfn.LET(
_xlpm.CSVVal,_xlfn.XLOOKUP($A1372,CSV!$A:$A,CSV!K:K,""),
_xlpm.MacVal,_xlfn.XLOOKUP($A1372,Output_Mac!$A:$A,Output_Mac!K:K,""),
_xlpm.MyAuditVal,_xlfn.XLOOKUP($A1372,My_Audit!$A:$A,My_Audit!J:J,""),
_xlfn.IFS(_xlpm.MyAuditVal&lt;&gt;"",UPPER(_xlpm.MyAuditVal),_xlpm.MacVal&lt;&gt;"",_xlpm.MacVal,_xlpm.CSVVal&lt;&gt;"",_xlpm.CSVVal
)),"")</f>
        <v/>
      </c>
      <c r="L1372" s="40" t="str" cm="1">
        <f t="array" ref="L1372">IFERROR(_xlfn.LET(
_xlpm.CSVVal,_xlfn.XLOOKUP($A1372,CSV!$A:$A,CSV!P:P,""),
_xlpm.MacVal,_xlfn.XLOOKUP($A1372,Output_Mac!$A:$A,Output_Mac!L:L,""),
_xlpm.MyAuditVal,_xlfn.XLOOKUP($A1372,My_Audit!$A:$A,My_Audit!K:K,""),
_xlfn.IFS(_xlpm.MyAuditVal&lt;&gt;"",UPPER(_xlpm.MyAuditVal),_xlpm.MacVal&lt;&gt;"",_xlpm.MacVal,_xlpm.CSVVal&lt;&gt;"",_xlpm.CSVVal
)),"")</f>
        <v/>
      </c>
      <c r="M1372" s="40" t="str" cm="1">
        <f t="array" ref="M1372">IFERROR(_xlfn.LET(
_xlpm.CSVVal,_xlfn.XLOOKUP($A1372,CSV!$A:$A,CSV!Q:Q,""),
_xlpm.MacVal,_xlfn.XLOOKUP($A1372,Output_Mac!$A:$A,Output_Mac!M:M,""),
_xlpm.MyAuditVal,_xlfn.XLOOKUP($A1372,My_Audit!$A:$A,My_Audit!L:L,""),
_xlfn.IFS(_xlpm.MyAuditVal&lt;&gt;"",UPPER(_xlpm.MyAuditVal),_xlpm.MacVal&lt;&gt;"",_xlpm.MacVal,_xlpm.CSVVal&lt;&gt;"",_xlpm.CSVVal
)),"")</f>
        <v/>
      </c>
      <c r="N1372" s="40"/>
      <c r="O1372" s="40" t="str">
        <f>_xlfn.LET(
    _xlpm.CSVVal, _xlfn.XLOOKUP($A1372, CSV!$A:$A, CSV!AA:AA, ""),
    _xlpm.MacVal, _xlfn.XLOOKUP($A1372, Output_Mac!$A:$A, Output_Mac!S:S, ""),
    _xlpm.MyAuditVal, _xlfn.XLOOKUP($A1372, My_Audit!$A:$A, My_Audit!P:P, ""),
    _xlfn.TEXTJOIN(", ", TRUE, _xlpm.MyAuditVal, _xlpm.MacVal, _xlpm.CSVVal)
)</f>
        <v/>
      </c>
      <c r="P1372" s="40" t="str" cm="1">
        <f t="array" ref="P1372">IFERROR(_xlfn.LET(
_xlpm.CSVVal,_xlfn.XLOOKUP($A1372,CSV!$A:$A,CSV!AB:AB,""),
_xlpm.MacVal,_xlfn.XLOOKUP($A1372,Output_Mac!$A:$A,Output_Mac!T:T,""),
_xlpm.MyAuditVal,_xlfn.XLOOKUP($A1372,My_Audit!$A:$A,My_Audit!Q:Q,""),
_xlfn.IFS(_xlpm.MyAuditVal&lt;&gt;"",UPPER(_xlpm.MyAuditVal),_xlpm.MacVal&lt;&gt;"",_xlpm.MacVal,_xlpm.CSVVal&lt;&gt;"",_xlpm.CSVVal
)),"No")</f>
        <v>No</v>
      </c>
      <c r="Q1372" s="40" t="str" cm="1">
        <f t="array" ref="Q1372">IFERROR(_xlfn.LET(
_xlpm.CSVVal,_xlfn.XLOOKUP($A1372,CSV!$A:$A,CSV!AC:AC,""),
_xlpm.MacVal,_xlfn.XLOOKUP($A1372,Output_Mac!$A:$A,Output_Mac!U:U,""),
_xlpm.MyAuditVal,_xlfn.XLOOKUP($A1372,My_Audit!$A:$A,My_Audit!R:R,""),
_xlfn.IFS(_xlpm.MyAuditVal&lt;&gt;"",UPPER(_xlpm.MyAuditVal),_xlpm.MacVal&lt;&gt;"",_xlpm.MacVal,_xlpm.CSVVal&lt;&gt;"",_xlpm.CSVVal
)),"")</f>
        <v/>
      </c>
      <c r="R1372" s="40"/>
      <c r="S1372" s="40"/>
      <c r="T1372" s="40"/>
      <c r="U1372" s="40"/>
      <c r="V1372" s="40"/>
      <c r="W1372" s="40"/>
      <c r="X1372" s="41" t="str">
        <f>_xlfn.LET(
    _xlpm.MacVal, _xlfn.XLOOKUP($A1372, Output_Mac!$A:$A, Output_Mac!AB:AB, ""),
    _xlpm.MyAuditVal, _xlfn.XLOOKUP($A1372, My_Audit!$A:$A, My_Audit!N:N, ""),
    _xlfn.TEXTJOIN(", ", TRUE, _xlpm.MyAuditVal, _xlpm.MacVal)
)</f>
        <v/>
      </c>
    </row>
    <row r="1373" spans="1:24">
      <c r="A1373" s="40" t="str">
        <f>_xlfn.TEXTJOIN("",TRUE,Input!$B$2,ROW(My_Audit!A1372))</f>
        <v>X1372</v>
      </c>
      <c r="B1373" s="40" t="str">
        <f>_xlfn.TEXTJOIN("-",TRUE,"ITD",Input!$A$2,A1373)</f>
        <v>ITD-X1372</v>
      </c>
      <c r="C1373" s="40" t="str" cm="1">
        <f t="array" ref="C1373">IFERROR(_xlfn.LET(
_xlpm.CSVVal,_xlfn.XLOOKUP($A1373,CSV!$A:$A,CSV!B:B,""),
_xlpm.MacVal,_xlfn.XLOOKUP($A1373,Output_Mac!$A:$A,Output_Mac!B:B,""),
_xlpm.MyAuditVal,_xlfn.XLOOKUP($A1373,My_Audit!$A:$A,My_Audit!B:B,""),
_xlfn.IFS(_xlpm.MyAuditVal&lt;&gt;"",UPPER(_xlpm.MyAuditVal),_xlpm.MacVal&lt;&gt;"",_xlpm.MacVal,_xlpm.CSVVal&lt;&gt;"",_xlpm.CSVVal
)),"")</f>
        <v/>
      </c>
      <c r="D1373" s="40" t="str" cm="1">
        <f t="array" ref="D1373">IFERROR(_xlfn.LET(
_xlpm.CSVVal,_xlfn.XLOOKUP($A1373,CSV!$A:$A,CSV!D:D,""),
_xlpm.MacVal,_xlfn.XLOOKUP($A1373,Output_Mac!$A:$A,Output_Mac!C:C,""),
_xlpm.MyAuditVal,_xlfn.XLOOKUP($A1373,My_Audit!$A:$A,My_Audit!C:C,""),
_xlfn.IFS(_xlpm.MyAuditVal&lt;&gt;"",_xlpm.MyAuditVal,_xlpm.MacVal&lt;&gt;"",_xlpm.MacVal,_xlpm.CSVVal&lt;&gt;"",_xlpm.CSVVal
)),"")</f>
        <v/>
      </c>
      <c r="E1373" s="40" t="str">
        <f>_xlfn.XLOOKUP(A1373,My_Audit!A:A,My_Audit!D:D,"")</f>
        <v/>
      </c>
      <c r="F1373" s="40" t="str" cm="1">
        <f t="array" ref="F1373">IFERROR(_xlfn.LET(
_xlpm.CSVVal,_xlfn.XLOOKUP($A1373,CSV!$A:$A,CSV!F:F,""),
_xlpm.MacVal,_xlfn.XLOOKUP($A1373,Output_Mac!$A:$A,Output_Mac!E:E,""),
_xlpm.MyAuditVal,_xlfn.XLOOKUP($A1373,My_Audit!$A:$A,My_Audit!E:E,""),
_xlfn.IFS(_xlpm.MyAuditVal&lt;&gt;"",_xlpm.MyAuditVal,_xlpm.MacVal&lt;&gt;"",_xlpm.MacVal,_xlpm.CSVVal&lt;&gt;"",_xlpm.CSVVal
)),"")</f>
        <v/>
      </c>
      <c r="G1373" s="40" t="str" cm="1">
        <f t="array" ref="G1373">IFERROR(_xlfn.LET(
_xlpm.CSVVal,_xlfn.XLOOKUP($A1373,CSV!$A:$A,CSV!G:G,""),
_xlpm.MacVal,_xlfn.XLOOKUP($A1373,Output_Mac!$A:$A,Output_Mac!F:F,""),
_xlpm.MyAuditVal,_xlfn.XLOOKUP($A1373,My_Audit!$A:$A,My_Audit!F:F,""),
_xlfn.IFS(_xlpm.MyAuditVal&lt;&gt;"",_xlpm.MyAuditVal,_xlpm.MacVal&lt;&gt;"",_xlpm.MacVal,_xlpm.CSVVal&lt;&gt;"",PROPER(_xlpm.CSVVal)
)),"")</f>
        <v/>
      </c>
      <c r="H1373" s="40" t="str" cm="1">
        <f t="array" ref="H1373">IFERROR(_xlfn.LET(
_xlpm.CSVVal,_xlfn.XLOOKUP($A1373,CSV!$A:$A,CSV!H:H,""),
_xlpm.MacVal,_xlfn.XLOOKUP($A1373,Output_Mac!$A:$A,Output_Mac!H:H,""),
_xlpm.MyAuditVal,_xlfn.XLOOKUP($A1373,My_Audit!$A:$A,My_Audit!G:G,""),
_xlfn.IFS(_xlpm.MyAuditVal&lt;&gt;"",_xlpm.MyAuditVal,_xlpm.MacVal&lt;&gt;"",_xlpm.MacVal,_xlpm.CSVVal&lt;&gt;"",_xlpm.CSVVal
)),"")</f>
        <v/>
      </c>
      <c r="I1373" s="40" t="str">
        <f>_xlfn.XLOOKUP(A1373,Output_Mac!A:A,Output_Mac!I:I,"")</f>
        <v/>
      </c>
      <c r="J1373" s="40" t="str" cm="1">
        <f t="array" ref="J1373">IFERROR(_xlfn.LET(
_xlpm.CSVVal,_xlfn.XLOOKUP($A1373,CSV!$A:$A,CSV!I:I,""),
_xlpm.MacVal,_xlfn.XLOOKUP($A1373,Output_Mac!$A:$A,Output_Mac!J:J,""),
_xlpm.MyAuditVal,_xlfn.XLOOKUP($A1373,My_Audit!$A:$A,My_Audit!I:I,""),
_xlfn.IFS(_xlpm.MyAuditVal&lt;&gt;"",UPPER(_xlpm.MyAuditVal),_xlpm.MacVal&lt;&gt;"",_xlpm.MacVal,_xlpm.CSVVal&lt;&gt;"",_xlpm.CSVVal
)),"")</f>
        <v/>
      </c>
      <c r="K1373" s="40" t="str" cm="1">
        <f t="array" ref="K1373">IFERROR(_xlfn.LET(
_xlpm.CSVVal,_xlfn.XLOOKUP($A1373,CSV!$A:$A,CSV!K:K,""),
_xlpm.MacVal,_xlfn.XLOOKUP($A1373,Output_Mac!$A:$A,Output_Mac!K:K,""),
_xlpm.MyAuditVal,_xlfn.XLOOKUP($A1373,My_Audit!$A:$A,My_Audit!J:J,""),
_xlfn.IFS(_xlpm.MyAuditVal&lt;&gt;"",UPPER(_xlpm.MyAuditVal),_xlpm.MacVal&lt;&gt;"",_xlpm.MacVal,_xlpm.CSVVal&lt;&gt;"",_xlpm.CSVVal
)),"")</f>
        <v/>
      </c>
      <c r="L1373" s="40" t="str" cm="1">
        <f t="array" ref="L1373">IFERROR(_xlfn.LET(
_xlpm.CSVVal,_xlfn.XLOOKUP($A1373,CSV!$A:$A,CSV!P:P,""),
_xlpm.MacVal,_xlfn.XLOOKUP($A1373,Output_Mac!$A:$A,Output_Mac!L:L,""),
_xlpm.MyAuditVal,_xlfn.XLOOKUP($A1373,My_Audit!$A:$A,My_Audit!K:K,""),
_xlfn.IFS(_xlpm.MyAuditVal&lt;&gt;"",UPPER(_xlpm.MyAuditVal),_xlpm.MacVal&lt;&gt;"",_xlpm.MacVal,_xlpm.CSVVal&lt;&gt;"",_xlpm.CSVVal
)),"")</f>
        <v/>
      </c>
      <c r="M1373" s="40" t="str" cm="1">
        <f t="array" ref="M1373">IFERROR(_xlfn.LET(
_xlpm.CSVVal,_xlfn.XLOOKUP($A1373,CSV!$A:$A,CSV!Q:Q,""),
_xlpm.MacVal,_xlfn.XLOOKUP($A1373,Output_Mac!$A:$A,Output_Mac!M:M,""),
_xlpm.MyAuditVal,_xlfn.XLOOKUP($A1373,My_Audit!$A:$A,My_Audit!L:L,""),
_xlfn.IFS(_xlpm.MyAuditVal&lt;&gt;"",UPPER(_xlpm.MyAuditVal),_xlpm.MacVal&lt;&gt;"",_xlpm.MacVal,_xlpm.CSVVal&lt;&gt;"",_xlpm.CSVVal
)),"")</f>
        <v/>
      </c>
      <c r="N1373" s="40"/>
      <c r="O1373" s="40" t="str">
        <f>_xlfn.LET(
    _xlpm.CSVVal, _xlfn.XLOOKUP($A1373, CSV!$A:$A, CSV!AA:AA, ""),
    _xlpm.MacVal, _xlfn.XLOOKUP($A1373, Output_Mac!$A:$A, Output_Mac!S:S, ""),
    _xlpm.MyAuditVal, _xlfn.XLOOKUP($A1373, My_Audit!$A:$A, My_Audit!P:P, ""),
    _xlfn.TEXTJOIN(", ", TRUE, _xlpm.MyAuditVal, _xlpm.MacVal, _xlpm.CSVVal)
)</f>
        <v/>
      </c>
      <c r="P1373" s="40" t="str" cm="1">
        <f t="array" ref="P1373">IFERROR(_xlfn.LET(
_xlpm.CSVVal,_xlfn.XLOOKUP($A1373,CSV!$A:$A,CSV!AB:AB,""),
_xlpm.MacVal,_xlfn.XLOOKUP($A1373,Output_Mac!$A:$A,Output_Mac!T:T,""),
_xlpm.MyAuditVal,_xlfn.XLOOKUP($A1373,My_Audit!$A:$A,My_Audit!Q:Q,""),
_xlfn.IFS(_xlpm.MyAuditVal&lt;&gt;"",UPPER(_xlpm.MyAuditVal),_xlpm.MacVal&lt;&gt;"",_xlpm.MacVal,_xlpm.CSVVal&lt;&gt;"",_xlpm.CSVVal
)),"No")</f>
        <v>No</v>
      </c>
      <c r="Q1373" s="40" t="str" cm="1">
        <f t="array" ref="Q1373">IFERROR(_xlfn.LET(
_xlpm.CSVVal,_xlfn.XLOOKUP($A1373,CSV!$A:$A,CSV!AC:AC,""),
_xlpm.MacVal,_xlfn.XLOOKUP($A1373,Output_Mac!$A:$A,Output_Mac!U:U,""),
_xlpm.MyAuditVal,_xlfn.XLOOKUP($A1373,My_Audit!$A:$A,My_Audit!R:R,""),
_xlfn.IFS(_xlpm.MyAuditVal&lt;&gt;"",UPPER(_xlpm.MyAuditVal),_xlpm.MacVal&lt;&gt;"",_xlpm.MacVal,_xlpm.CSVVal&lt;&gt;"",_xlpm.CSVVal
)),"")</f>
        <v/>
      </c>
      <c r="R1373" s="40"/>
      <c r="S1373" s="40"/>
      <c r="T1373" s="40"/>
      <c r="U1373" s="40"/>
      <c r="V1373" s="40"/>
      <c r="W1373" s="40"/>
      <c r="X1373" s="41" t="str">
        <f>_xlfn.LET(
    _xlpm.MacVal, _xlfn.XLOOKUP($A1373, Output_Mac!$A:$A, Output_Mac!AB:AB, ""),
    _xlpm.MyAuditVal, _xlfn.XLOOKUP($A1373, My_Audit!$A:$A, My_Audit!N:N, ""),
    _xlfn.TEXTJOIN(", ", TRUE, _xlpm.MyAuditVal, _xlpm.MacVal)
)</f>
        <v/>
      </c>
    </row>
    <row r="1374" spans="1:24">
      <c r="A1374" s="40" t="str">
        <f>_xlfn.TEXTJOIN("",TRUE,Input!$B$2,ROW(My_Audit!A1373))</f>
        <v>X1373</v>
      </c>
      <c r="B1374" s="40" t="str">
        <f>_xlfn.TEXTJOIN("-",TRUE,"ITD",Input!$A$2,A1374)</f>
        <v>ITD-X1373</v>
      </c>
      <c r="C1374" s="40" t="str" cm="1">
        <f t="array" ref="C1374">IFERROR(_xlfn.LET(
_xlpm.CSVVal,_xlfn.XLOOKUP($A1374,CSV!$A:$A,CSV!B:B,""),
_xlpm.MacVal,_xlfn.XLOOKUP($A1374,Output_Mac!$A:$A,Output_Mac!B:B,""),
_xlpm.MyAuditVal,_xlfn.XLOOKUP($A1374,My_Audit!$A:$A,My_Audit!B:B,""),
_xlfn.IFS(_xlpm.MyAuditVal&lt;&gt;"",UPPER(_xlpm.MyAuditVal),_xlpm.MacVal&lt;&gt;"",_xlpm.MacVal,_xlpm.CSVVal&lt;&gt;"",_xlpm.CSVVal
)),"")</f>
        <v/>
      </c>
      <c r="D1374" s="40" t="str" cm="1">
        <f t="array" ref="D1374">IFERROR(_xlfn.LET(
_xlpm.CSVVal,_xlfn.XLOOKUP($A1374,CSV!$A:$A,CSV!D:D,""),
_xlpm.MacVal,_xlfn.XLOOKUP($A1374,Output_Mac!$A:$A,Output_Mac!C:C,""),
_xlpm.MyAuditVal,_xlfn.XLOOKUP($A1374,My_Audit!$A:$A,My_Audit!C:C,""),
_xlfn.IFS(_xlpm.MyAuditVal&lt;&gt;"",_xlpm.MyAuditVal,_xlpm.MacVal&lt;&gt;"",_xlpm.MacVal,_xlpm.CSVVal&lt;&gt;"",_xlpm.CSVVal
)),"")</f>
        <v/>
      </c>
      <c r="E1374" s="40" t="str">
        <f>_xlfn.XLOOKUP(A1374,My_Audit!A:A,My_Audit!D:D,"")</f>
        <v/>
      </c>
      <c r="F1374" s="40" t="str" cm="1">
        <f t="array" ref="F1374">IFERROR(_xlfn.LET(
_xlpm.CSVVal,_xlfn.XLOOKUP($A1374,CSV!$A:$A,CSV!F:F,""),
_xlpm.MacVal,_xlfn.XLOOKUP($A1374,Output_Mac!$A:$A,Output_Mac!E:E,""),
_xlpm.MyAuditVal,_xlfn.XLOOKUP($A1374,My_Audit!$A:$A,My_Audit!E:E,""),
_xlfn.IFS(_xlpm.MyAuditVal&lt;&gt;"",_xlpm.MyAuditVal,_xlpm.MacVal&lt;&gt;"",_xlpm.MacVal,_xlpm.CSVVal&lt;&gt;"",_xlpm.CSVVal
)),"")</f>
        <v/>
      </c>
      <c r="G1374" s="40" t="str" cm="1">
        <f t="array" ref="G1374">IFERROR(_xlfn.LET(
_xlpm.CSVVal,_xlfn.XLOOKUP($A1374,CSV!$A:$A,CSV!G:G,""),
_xlpm.MacVal,_xlfn.XLOOKUP($A1374,Output_Mac!$A:$A,Output_Mac!F:F,""),
_xlpm.MyAuditVal,_xlfn.XLOOKUP($A1374,My_Audit!$A:$A,My_Audit!F:F,""),
_xlfn.IFS(_xlpm.MyAuditVal&lt;&gt;"",_xlpm.MyAuditVal,_xlpm.MacVal&lt;&gt;"",_xlpm.MacVal,_xlpm.CSVVal&lt;&gt;"",PROPER(_xlpm.CSVVal)
)),"")</f>
        <v/>
      </c>
      <c r="H1374" s="40" t="str" cm="1">
        <f t="array" ref="H1374">IFERROR(_xlfn.LET(
_xlpm.CSVVal,_xlfn.XLOOKUP($A1374,CSV!$A:$A,CSV!H:H,""),
_xlpm.MacVal,_xlfn.XLOOKUP($A1374,Output_Mac!$A:$A,Output_Mac!H:H,""),
_xlpm.MyAuditVal,_xlfn.XLOOKUP($A1374,My_Audit!$A:$A,My_Audit!G:G,""),
_xlfn.IFS(_xlpm.MyAuditVal&lt;&gt;"",_xlpm.MyAuditVal,_xlpm.MacVal&lt;&gt;"",_xlpm.MacVal,_xlpm.CSVVal&lt;&gt;"",_xlpm.CSVVal
)),"")</f>
        <v/>
      </c>
      <c r="I1374" s="40" t="str">
        <f>_xlfn.XLOOKUP(A1374,Output_Mac!A:A,Output_Mac!I:I,"")</f>
        <v/>
      </c>
      <c r="J1374" s="40" t="str" cm="1">
        <f t="array" ref="J1374">IFERROR(_xlfn.LET(
_xlpm.CSVVal,_xlfn.XLOOKUP($A1374,CSV!$A:$A,CSV!I:I,""),
_xlpm.MacVal,_xlfn.XLOOKUP($A1374,Output_Mac!$A:$A,Output_Mac!J:J,""),
_xlpm.MyAuditVal,_xlfn.XLOOKUP($A1374,My_Audit!$A:$A,My_Audit!I:I,""),
_xlfn.IFS(_xlpm.MyAuditVal&lt;&gt;"",UPPER(_xlpm.MyAuditVal),_xlpm.MacVal&lt;&gt;"",_xlpm.MacVal,_xlpm.CSVVal&lt;&gt;"",_xlpm.CSVVal
)),"")</f>
        <v/>
      </c>
      <c r="K1374" s="40" t="str" cm="1">
        <f t="array" ref="K1374">IFERROR(_xlfn.LET(
_xlpm.CSVVal,_xlfn.XLOOKUP($A1374,CSV!$A:$A,CSV!K:K,""),
_xlpm.MacVal,_xlfn.XLOOKUP($A1374,Output_Mac!$A:$A,Output_Mac!K:K,""),
_xlpm.MyAuditVal,_xlfn.XLOOKUP($A1374,My_Audit!$A:$A,My_Audit!J:J,""),
_xlfn.IFS(_xlpm.MyAuditVal&lt;&gt;"",UPPER(_xlpm.MyAuditVal),_xlpm.MacVal&lt;&gt;"",_xlpm.MacVal,_xlpm.CSVVal&lt;&gt;"",_xlpm.CSVVal
)),"")</f>
        <v/>
      </c>
      <c r="L1374" s="40" t="str" cm="1">
        <f t="array" ref="L1374">IFERROR(_xlfn.LET(
_xlpm.CSVVal,_xlfn.XLOOKUP($A1374,CSV!$A:$A,CSV!P:P,""),
_xlpm.MacVal,_xlfn.XLOOKUP($A1374,Output_Mac!$A:$A,Output_Mac!L:L,""),
_xlpm.MyAuditVal,_xlfn.XLOOKUP($A1374,My_Audit!$A:$A,My_Audit!K:K,""),
_xlfn.IFS(_xlpm.MyAuditVal&lt;&gt;"",UPPER(_xlpm.MyAuditVal),_xlpm.MacVal&lt;&gt;"",_xlpm.MacVal,_xlpm.CSVVal&lt;&gt;"",_xlpm.CSVVal
)),"")</f>
        <v/>
      </c>
      <c r="M1374" s="40" t="str" cm="1">
        <f t="array" ref="M1374">IFERROR(_xlfn.LET(
_xlpm.CSVVal,_xlfn.XLOOKUP($A1374,CSV!$A:$A,CSV!Q:Q,""),
_xlpm.MacVal,_xlfn.XLOOKUP($A1374,Output_Mac!$A:$A,Output_Mac!M:M,""),
_xlpm.MyAuditVal,_xlfn.XLOOKUP($A1374,My_Audit!$A:$A,My_Audit!L:L,""),
_xlfn.IFS(_xlpm.MyAuditVal&lt;&gt;"",UPPER(_xlpm.MyAuditVal),_xlpm.MacVal&lt;&gt;"",_xlpm.MacVal,_xlpm.CSVVal&lt;&gt;"",_xlpm.CSVVal
)),"")</f>
        <v/>
      </c>
      <c r="N1374" s="40"/>
      <c r="O1374" s="40" t="str">
        <f>_xlfn.LET(
    _xlpm.CSVVal, _xlfn.XLOOKUP($A1374, CSV!$A:$A, CSV!AA:AA, ""),
    _xlpm.MacVal, _xlfn.XLOOKUP($A1374, Output_Mac!$A:$A, Output_Mac!S:S, ""),
    _xlpm.MyAuditVal, _xlfn.XLOOKUP($A1374, My_Audit!$A:$A, My_Audit!P:P, ""),
    _xlfn.TEXTJOIN(", ", TRUE, _xlpm.MyAuditVal, _xlpm.MacVal, _xlpm.CSVVal)
)</f>
        <v/>
      </c>
      <c r="P1374" s="40" t="str" cm="1">
        <f t="array" ref="P1374">IFERROR(_xlfn.LET(
_xlpm.CSVVal,_xlfn.XLOOKUP($A1374,CSV!$A:$A,CSV!AB:AB,""),
_xlpm.MacVal,_xlfn.XLOOKUP($A1374,Output_Mac!$A:$A,Output_Mac!T:T,""),
_xlpm.MyAuditVal,_xlfn.XLOOKUP($A1374,My_Audit!$A:$A,My_Audit!Q:Q,""),
_xlfn.IFS(_xlpm.MyAuditVal&lt;&gt;"",UPPER(_xlpm.MyAuditVal),_xlpm.MacVal&lt;&gt;"",_xlpm.MacVal,_xlpm.CSVVal&lt;&gt;"",_xlpm.CSVVal
)),"No")</f>
        <v>No</v>
      </c>
      <c r="Q1374" s="40" t="str" cm="1">
        <f t="array" ref="Q1374">IFERROR(_xlfn.LET(
_xlpm.CSVVal,_xlfn.XLOOKUP($A1374,CSV!$A:$A,CSV!AC:AC,""),
_xlpm.MacVal,_xlfn.XLOOKUP($A1374,Output_Mac!$A:$A,Output_Mac!U:U,""),
_xlpm.MyAuditVal,_xlfn.XLOOKUP($A1374,My_Audit!$A:$A,My_Audit!R:R,""),
_xlfn.IFS(_xlpm.MyAuditVal&lt;&gt;"",UPPER(_xlpm.MyAuditVal),_xlpm.MacVal&lt;&gt;"",_xlpm.MacVal,_xlpm.CSVVal&lt;&gt;"",_xlpm.CSVVal
)),"")</f>
        <v/>
      </c>
      <c r="R1374" s="40"/>
      <c r="S1374" s="40"/>
      <c r="T1374" s="40"/>
      <c r="U1374" s="40"/>
      <c r="V1374" s="40"/>
      <c r="W1374" s="40"/>
      <c r="X1374" s="41" t="str">
        <f>_xlfn.LET(
    _xlpm.MacVal, _xlfn.XLOOKUP($A1374, Output_Mac!$A:$A, Output_Mac!AB:AB, ""),
    _xlpm.MyAuditVal, _xlfn.XLOOKUP($A1374, My_Audit!$A:$A, My_Audit!N:N, ""),
    _xlfn.TEXTJOIN(", ", TRUE, _xlpm.MyAuditVal, _xlpm.MacVal)
)</f>
        <v/>
      </c>
    </row>
    <row r="1375" spans="1:24">
      <c r="A1375" s="40" t="str">
        <f>_xlfn.TEXTJOIN("",TRUE,Input!$B$2,ROW(My_Audit!A1374))</f>
        <v>X1374</v>
      </c>
      <c r="B1375" s="40" t="str">
        <f>_xlfn.TEXTJOIN("-",TRUE,"ITD",Input!$A$2,A1375)</f>
        <v>ITD-X1374</v>
      </c>
      <c r="C1375" s="40" t="str" cm="1">
        <f t="array" ref="C1375">IFERROR(_xlfn.LET(
_xlpm.CSVVal,_xlfn.XLOOKUP($A1375,CSV!$A:$A,CSV!B:B,""),
_xlpm.MacVal,_xlfn.XLOOKUP($A1375,Output_Mac!$A:$A,Output_Mac!B:B,""),
_xlpm.MyAuditVal,_xlfn.XLOOKUP($A1375,My_Audit!$A:$A,My_Audit!B:B,""),
_xlfn.IFS(_xlpm.MyAuditVal&lt;&gt;"",UPPER(_xlpm.MyAuditVal),_xlpm.MacVal&lt;&gt;"",_xlpm.MacVal,_xlpm.CSVVal&lt;&gt;"",_xlpm.CSVVal
)),"")</f>
        <v/>
      </c>
      <c r="D1375" s="40" t="str" cm="1">
        <f t="array" ref="D1375">IFERROR(_xlfn.LET(
_xlpm.CSVVal,_xlfn.XLOOKUP($A1375,CSV!$A:$A,CSV!D:D,""),
_xlpm.MacVal,_xlfn.XLOOKUP($A1375,Output_Mac!$A:$A,Output_Mac!C:C,""),
_xlpm.MyAuditVal,_xlfn.XLOOKUP($A1375,My_Audit!$A:$A,My_Audit!C:C,""),
_xlfn.IFS(_xlpm.MyAuditVal&lt;&gt;"",_xlpm.MyAuditVal,_xlpm.MacVal&lt;&gt;"",_xlpm.MacVal,_xlpm.CSVVal&lt;&gt;"",_xlpm.CSVVal
)),"")</f>
        <v/>
      </c>
      <c r="E1375" s="40" t="str">
        <f>_xlfn.XLOOKUP(A1375,My_Audit!A:A,My_Audit!D:D,"")</f>
        <v/>
      </c>
      <c r="F1375" s="40" t="str" cm="1">
        <f t="array" ref="F1375">IFERROR(_xlfn.LET(
_xlpm.CSVVal,_xlfn.XLOOKUP($A1375,CSV!$A:$A,CSV!F:F,""),
_xlpm.MacVal,_xlfn.XLOOKUP($A1375,Output_Mac!$A:$A,Output_Mac!E:E,""),
_xlpm.MyAuditVal,_xlfn.XLOOKUP($A1375,My_Audit!$A:$A,My_Audit!E:E,""),
_xlfn.IFS(_xlpm.MyAuditVal&lt;&gt;"",_xlpm.MyAuditVal,_xlpm.MacVal&lt;&gt;"",_xlpm.MacVal,_xlpm.CSVVal&lt;&gt;"",_xlpm.CSVVal
)),"")</f>
        <v/>
      </c>
      <c r="G1375" s="40" t="str" cm="1">
        <f t="array" ref="G1375">IFERROR(_xlfn.LET(
_xlpm.CSVVal,_xlfn.XLOOKUP($A1375,CSV!$A:$A,CSV!G:G,""),
_xlpm.MacVal,_xlfn.XLOOKUP($A1375,Output_Mac!$A:$A,Output_Mac!F:F,""),
_xlpm.MyAuditVal,_xlfn.XLOOKUP($A1375,My_Audit!$A:$A,My_Audit!F:F,""),
_xlfn.IFS(_xlpm.MyAuditVal&lt;&gt;"",_xlpm.MyAuditVal,_xlpm.MacVal&lt;&gt;"",_xlpm.MacVal,_xlpm.CSVVal&lt;&gt;"",PROPER(_xlpm.CSVVal)
)),"")</f>
        <v/>
      </c>
      <c r="H1375" s="40" t="str" cm="1">
        <f t="array" ref="H1375">IFERROR(_xlfn.LET(
_xlpm.CSVVal,_xlfn.XLOOKUP($A1375,CSV!$A:$A,CSV!H:H,""),
_xlpm.MacVal,_xlfn.XLOOKUP($A1375,Output_Mac!$A:$A,Output_Mac!H:H,""),
_xlpm.MyAuditVal,_xlfn.XLOOKUP($A1375,My_Audit!$A:$A,My_Audit!G:G,""),
_xlfn.IFS(_xlpm.MyAuditVal&lt;&gt;"",_xlpm.MyAuditVal,_xlpm.MacVal&lt;&gt;"",_xlpm.MacVal,_xlpm.CSVVal&lt;&gt;"",_xlpm.CSVVal
)),"")</f>
        <v/>
      </c>
      <c r="I1375" s="40" t="str">
        <f>_xlfn.XLOOKUP(A1375,Output_Mac!A:A,Output_Mac!I:I,"")</f>
        <v/>
      </c>
      <c r="J1375" s="40" t="str" cm="1">
        <f t="array" ref="J1375">IFERROR(_xlfn.LET(
_xlpm.CSVVal,_xlfn.XLOOKUP($A1375,CSV!$A:$A,CSV!I:I,""),
_xlpm.MacVal,_xlfn.XLOOKUP($A1375,Output_Mac!$A:$A,Output_Mac!J:J,""),
_xlpm.MyAuditVal,_xlfn.XLOOKUP($A1375,My_Audit!$A:$A,My_Audit!I:I,""),
_xlfn.IFS(_xlpm.MyAuditVal&lt;&gt;"",UPPER(_xlpm.MyAuditVal),_xlpm.MacVal&lt;&gt;"",_xlpm.MacVal,_xlpm.CSVVal&lt;&gt;"",_xlpm.CSVVal
)),"")</f>
        <v/>
      </c>
      <c r="K1375" s="40" t="str" cm="1">
        <f t="array" ref="K1375">IFERROR(_xlfn.LET(
_xlpm.CSVVal,_xlfn.XLOOKUP($A1375,CSV!$A:$A,CSV!K:K,""),
_xlpm.MacVal,_xlfn.XLOOKUP($A1375,Output_Mac!$A:$A,Output_Mac!K:K,""),
_xlpm.MyAuditVal,_xlfn.XLOOKUP($A1375,My_Audit!$A:$A,My_Audit!J:J,""),
_xlfn.IFS(_xlpm.MyAuditVal&lt;&gt;"",UPPER(_xlpm.MyAuditVal),_xlpm.MacVal&lt;&gt;"",_xlpm.MacVal,_xlpm.CSVVal&lt;&gt;"",_xlpm.CSVVal
)),"")</f>
        <v/>
      </c>
      <c r="L1375" s="40" t="str" cm="1">
        <f t="array" ref="L1375">IFERROR(_xlfn.LET(
_xlpm.CSVVal,_xlfn.XLOOKUP($A1375,CSV!$A:$A,CSV!P:P,""),
_xlpm.MacVal,_xlfn.XLOOKUP($A1375,Output_Mac!$A:$A,Output_Mac!L:L,""),
_xlpm.MyAuditVal,_xlfn.XLOOKUP($A1375,My_Audit!$A:$A,My_Audit!K:K,""),
_xlfn.IFS(_xlpm.MyAuditVal&lt;&gt;"",UPPER(_xlpm.MyAuditVal),_xlpm.MacVal&lt;&gt;"",_xlpm.MacVal,_xlpm.CSVVal&lt;&gt;"",_xlpm.CSVVal
)),"")</f>
        <v/>
      </c>
      <c r="M1375" s="40" t="str" cm="1">
        <f t="array" ref="M1375">IFERROR(_xlfn.LET(
_xlpm.CSVVal,_xlfn.XLOOKUP($A1375,CSV!$A:$A,CSV!Q:Q,""),
_xlpm.MacVal,_xlfn.XLOOKUP($A1375,Output_Mac!$A:$A,Output_Mac!M:M,""),
_xlpm.MyAuditVal,_xlfn.XLOOKUP($A1375,My_Audit!$A:$A,My_Audit!L:L,""),
_xlfn.IFS(_xlpm.MyAuditVal&lt;&gt;"",UPPER(_xlpm.MyAuditVal),_xlpm.MacVal&lt;&gt;"",_xlpm.MacVal,_xlpm.CSVVal&lt;&gt;"",_xlpm.CSVVal
)),"")</f>
        <v/>
      </c>
      <c r="N1375" s="40"/>
      <c r="O1375" s="40" t="str">
        <f>_xlfn.LET(
    _xlpm.CSVVal, _xlfn.XLOOKUP($A1375, CSV!$A:$A, CSV!AA:AA, ""),
    _xlpm.MacVal, _xlfn.XLOOKUP($A1375, Output_Mac!$A:$A, Output_Mac!S:S, ""),
    _xlpm.MyAuditVal, _xlfn.XLOOKUP($A1375, My_Audit!$A:$A, My_Audit!P:P, ""),
    _xlfn.TEXTJOIN(", ", TRUE, _xlpm.MyAuditVal, _xlpm.MacVal, _xlpm.CSVVal)
)</f>
        <v/>
      </c>
      <c r="P1375" s="40" t="str" cm="1">
        <f t="array" ref="P1375">IFERROR(_xlfn.LET(
_xlpm.CSVVal,_xlfn.XLOOKUP($A1375,CSV!$A:$A,CSV!AB:AB,""),
_xlpm.MacVal,_xlfn.XLOOKUP($A1375,Output_Mac!$A:$A,Output_Mac!T:T,""),
_xlpm.MyAuditVal,_xlfn.XLOOKUP($A1375,My_Audit!$A:$A,My_Audit!Q:Q,""),
_xlfn.IFS(_xlpm.MyAuditVal&lt;&gt;"",UPPER(_xlpm.MyAuditVal),_xlpm.MacVal&lt;&gt;"",_xlpm.MacVal,_xlpm.CSVVal&lt;&gt;"",_xlpm.CSVVal
)),"No")</f>
        <v>No</v>
      </c>
      <c r="Q1375" s="40" t="str" cm="1">
        <f t="array" ref="Q1375">IFERROR(_xlfn.LET(
_xlpm.CSVVal,_xlfn.XLOOKUP($A1375,CSV!$A:$A,CSV!AC:AC,""),
_xlpm.MacVal,_xlfn.XLOOKUP($A1375,Output_Mac!$A:$A,Output_Mac!U:U,""),
_xlpm.MyAuditVal,_xlfn.XLOOKUP($A1375,My_Audit!$A:$A,My_Audit!R:R,""),
_xlfn.IFS(_xlpm.MyAuditVal&lt;&gt;"",UPPER(_xlpm.MyAuditVal),_xlpm.MacVal&lt;&gt;"",_xlpm.MacVal,_xlpm.CSVVal&lt;&gt;"",_xlpm.CSVVal
)),"")</f>
        <v/>
      </c>
      <c r="R1375" s="40"/>
      <c r="S1375" s="40"/>
      <c r="T1375" s="40"/>
      <c r="U1375" s="40"/>
      <c r="V1375" s="40"/>
      <c r="W1375" s="40"/>
      <c r="X1375" s="41" t="str">
        <f>_xlfn.LET(
    _xlpm.MacVal, _xlfn.XLOOKUP($A1375, Output_Mac!$A:$A, Output_Mac!AB:AB, ""),
    _xlpm.MyAuditVal, _xlfn.XLOOKUP($A1375, My_Audit!$A:$A, My_Audit!N:N, ""),
    _xlfn.TEXTJOIN(", ", TRUE, _xlpm.MyAuditVal, _xlpm.MacVal)
)</f>
        <v/>
      </c>
    </row>
    <row r="1376" spans="1:24">
      <c r="A1376" s="40" t="str">
        <f>_xlfn.TEXTJOIN("",TRUE,Input!$B$2,ROW(My_Audit!A1375))</f>
        <v>X1375</v>
      </c>
      <c r="B1376" s="40" t="str">
        <f>_xlfn.TEXTJOIN("-",TRUE,"ITD",Input!$A$2,A1376)</f>
        <v>ITD-X1375</v>
      </c>
      <c r="C1376" s="40" t="str" cm="1">
        <f t="array" ref="C1376">IFERROR(_xlfn.LET(
_xlpm.CSVVal,_xlfn.XLOOKUP($A1376,CSV!$A:$A,CSV!B:B,""),
_xlpm.MacVal,_xlfn.XLOOKUP($A1376,Output_Mac!$A:$A,Output_Mac!B:B,""),
_xlpm.MyAuditVal,_xlfn.XLOOKUP($A1376,My_Audit!$A:$A,My_Audit!B:B,""),
_xlfn.IFS(_xlpm.MyAuditVal&lt;&gt;"",UPPER(_xlpm.MyAuditVal),_xlpm.MacVal&lt;&gt;"",_xlpm.MacVal,_xlpm.CSVVal&lt;&gt;"",_xlpm.CSVVal
)),"")</f>
        <v/>
      </c>
      <c r="D1376" s="40" t="str" cm="1">
        <f t="array" ref="D1376">IFERROR(_xlfn.LET(
_xlpm.CSVVal,_xlfn.XLOOKUP($A1376,CSV!$A:$A,CSV!D:D,""),
_xlpm.MacVal,_xlfn.XLOOKUP($A1376,Output_Mac!$A:$A,Output_Mac!C:C,""),
_xlpm.MyAuditVal,_xlfn.XLOOKUP($A1376,My_Audit!$A:$A,My_Audit!C:C,""),
_xlfn.IFS(_xlpm.MyAuditVal&lt;&gt;"",_xlpm.MyAuditVal,_xlpm.MacVal&lt;&gt;"",_xlpm.MacVal,_xlpm.CSVVal&lt;&gt;"",_xlpm.CSVVal
)),"")</f>
        <v/>
      </c>
      <c r="E1376" s="40" t="str">
        <f>_xlfn.XLOOKUP(A1376,My_Audit!A:A,My_Audit!D:D,"")</f>
        <v/>
      </c>
      <c r="F1376" s="40" t="str" cm="1">
        <f t="array" ref="F1376">IFERROR(_xlfn.LET(
_xlpm.CSVVal,_xlfn.XLOOKUP($A1376,CSV!$A:$A,CSV!F:F,""),
_xlpm.MacVal,_xlfn.XLOOKUP($A1376,Output_Mac!$A:$A,Output_Mac!E:E,""),
_xlpm.MyAuditVal,_xlfn.XLOOKUP($A1376,My_Audit!$A:$A,My_Audit!E:E,""),
_xlfn.IFS(_xlpm.MyAuditVal&lt;&gt;"",_xlpm.MyAuditVal,_xlpm.MacVal&lt;&gt;"",_xlpm.MacVal,_xlpm.CSVVal&lt;&gt;"",_xlpm.CSVVal
)),"")</f>
        <v/>
      </c>
      <c r="G1376" s="40" t="str" cm="1">
        <f t="array" ref="G1376">IFERROR(_xlfn.LET(
_xlpm.CSVVal,_xlfn.XLOOKUP($A1376,CSV!$A:$A,CSV!G:G,""),
_xlpm.MacVal,_xlfn.XLOOKUP($A1376,Output_Mac!$A:$A,Output_Mac!F:F,""),
_xlpm.MyAuditVal,_xlfn.XLOOKUP($A1376,My_Audit!$A:$A,My_Audit!F:F,""),
_xlfn.IFS(_xlpm.MyAuditVal&lt;&gt;"",_xlpm.MyAuditVal,_xlpm.MacVal&lt;&gt;"",_xlpm.MacVal,_xlpm.CSVVal&lt;&gt;"",PROPER(_xlpm.CSVVal)
)),"")</f>
        <v/>
      </c>
      <c r="H1376" s="40" t="str" cm="1">
        <f t="array" ref="H1376">IFERROR(_xlfn.LET(
_xlpm.CSVVal,_xlfn.XLOOKUP($A1376,CSV!$A:$A,CSV!H:H,""),
_xlpm.MacVal,_xlfn.XLOOKUP($A1376,Output_Mac!$A:$A,Output_Mac!H:H,""),
_xlpm.MyAuditVal,_xlfn.XLOOKUP($A1376,My_Audit!$A:$A,My_Audit!G:G,""),
_xlfn.IFS(_xlpm.MyAuditVal&lt;&gt;"",_xlpm.MyAuditVal,_xlpm.MacVal&lt;&gt;"",_xlpm.MacVal,_xlpm.CSVVal&lt;&gt;"",_xlpm.CSVVal
)),"")</f>
        <v/>
      </c>
      <c r="I1376" s="40" t="str">
        <f>_xlfn.XLOOKUP(A1376,Output_Mac!A:A,Output_Mac!I:I,"")</f>
        <v/>
      </c>
      <c r="J1376" s="40" t="str" cm="1">
        <f t="array" ref="J1376">IFERROR(_xlfn.LET(
_xlpm.CSVVal,_xlfn.XLOOKUP($A1376,CSV!$A:$A,CSV!I:I,""),
_xlpm.MacVal,_xlfn.XLOOKUP($A1376,Output_Mac!$A:$A,Output_Mac!J:J,""),
_xlpm.MyAuditVal,_xlfn.XLOOKUP($A1376,My_Audit!$A:$A,My_Audit!I:I,""),
_xlfn.IFS(_xlpm.MyAuditVal&lt;&gt;"",UPPER(_xlpm.MyAuditVal),_xlpm.MacVal&lt;&gt;"",_xlpm.MacVal,_xlpm.CSVVal&lt;&gt;"",_xlpm.CSVVal
)),"")</f>
        <v/>
      </c>
      <c r="K1376" s="40" t="str" cm="1">
        <f t="array" ref="K1376">IFERROR(_xlfn.LET(
_xlpm.CSVVal,_xlfn.XLOOKUP($A1376,CSV!$A:$A,CSV!K:K,""),
_xlpm.MacVal,_xlfn.XLOOKUP($A1376,Output_Mac!$A:$A,Output_Mac!K:K,""),
_xlpm.MyAuditVal,_xlfn.XLOOKUP($A1376,My_Audit!$A:$A,My_Audit!J:J,""),
_xlfn.IFS(_xlpm.MyAuditVal&lt;&gt;"",UPPER(_xlpm.MyAuditVal),_xlpm.MacVal&lt;&gt;"",_xlpm.MacVal,_xlpm.CSVVal&lt;&gt;"",_xlpm.CSVVal
)),"")</f>
        <v/>
      </c>
      <c r="L1376" s="40" t="str" cm="1">
        <f t="array" ref="L1376">IFERROR(_xlfn.LET(
_xlpm.CSVVal,_xlfn.XLOOKUP($A1376,CSV!$A:$A,CSV!P:P,""),
_xlpm.MacVal,_xlfn.XLOOKUP($A1376,Output_Mac!$A:$A,Output_Mac!L:L,""),
_xlpm.MyAuditVal,_xlfn.XLOOKUP($A1376,My_Audit!$A:$A,My_Audit!K:K,""),
_xlfn.IFS(_xlpm.MyAuditVal&lt;&gt;"",UPPER(_xlpm.MyAuditVal),_xlpm.MacVal&lt;&gt;"",_xlpm.MacVal,_xlpm.CSVVal&lt;&gt;"",_xlpm.CSVVal
)),"")</f>
        <v/>
      </c>
      <c r="M1376" s="40" t="str" cm="1">
        <f t="array" ref="M1376">IFERROR(_xlfn.LET(
_xlpm.CSVVal,_xlfn.XLOOKUP($A1376,CSV!$A:$A,CSV!Q:Q,""),
_xlpm.MacVal,_xlfn.XLOOKUP($A1376,Output_Mac!$A:$A,Output_Mac!M:M,""),
_xlpm.MyAuditVal,_xlfn.XLOOKUP($A1376,My_Audit!$A:$A,My_Audit!L:L,""),
_xlfn.IFS(_xlpm.MyAuditVal&lt;&gt;"",UPPER(_xlpm.MyAuditVal),_xlpm.MacVal&lt;&gt;"",_xlpm.MacVal,_xlpm.CSVVal&lt;&gt;"",_xlpm.CSVVal
)),"")</f>
        <v/>
      </c>
      <c r="N1376" s="40"/>
      <c r="O1376" s="40" t="str">
        <f>_xlfn.LET(
    _xlpm.CSVVal, _xlfn.XLOOKUP($A1376, CSV!$A:$A, CSV!AA:AA, ""),
    _xlpm.MacVal, _xlfn.XLOOKUP($A1376, Output_Mac!$A:$A, Output_Mac!S:S, ""),
    _xlpm.MyAuditVal, _xlfn.XLOOKUP($A1376, My_Audit!$A:$A, My_Audit!P:P, ""),
    _xlfn.TEXTJOIN(", ", TRUE, _xlpm.MyAuditVal, _xlpm.MacVal, _xlpm.CSVVal)
)</f>
        <v/>
      </c>
      <c r="P1376" s="40" t="str" cm="1">
        <f t="array" ref="P1376">IFERROR(_xlfn.LET(
_xlpm.CSVVal,_xlfn.XLOOKUP($A1376,CSV!$A:$A,CSV!AB:AB,""),
_xlpm.MacVal,_xlfn.XLOOKUP($A1376,Output_Mac!$A:$A,Output_Mac!T:T,""),
_xlpm.MyAuditVal,_xlfn.XLOOKUP($A1376,My_Audit!$A:$A,My_Audit!Q:Q,""),
_xlfn.IFS(_xlpm.MyAuditVal&lt;&gt;"",UPPER(_xlpm.MyAuditVal),_xlpm.MacVal&lt;&gt;"",_xlpm.MacVal,_xlpm.CSVVal&lt;&gt;"",_xlpm.CSVVal
)),"No")</f>
        <v>No</v>
      </c>
      <c r="Q1376" s="40" t="str" cm="1">
        <f t="array" ref="Q1376">IFERROR(_xlfn.LET(
_xlpm.CSVVal,_xlfn.XLOOKUP($A1376,CSV!$A:$A,CSV!AC:AC,""),
_xlpm.MacVal,_xlfn.XLOOKUP($A1376,Output_Mac!$A:$A,Output_Mac!U:U,""),
_xlpm.MyAuditVal,_xlfn.XLOOKUP($A1376,My_Audit!$A:$A,My_Audit!R:R,""),
_xlfn.IFS(_xlpm.MyAuditVal&lt;&gt;"",UPPER(_xlpm.MyAuditVal),_xlpm.MacVal&lt;&gt;"",_xlpm.MacVal,_xlpm.CSVVal&lt;&gt;"",_xlpm.CSVVal
)),"")</f>
        <v/>
      </c>
      <c r="R1376" s="40"/>
      <c r="S1376" s="40"/>
      <c r="T1376" s="40"/>
      <c r="U1376" s="40"/>
      <c r="V1376" s="40"/>
      <c r="W1376" s="40"/>
      <c r="X1376" s="41" t="str">
        <f>_xlfn.LET(
    _xlpm.MacVal, _xlfn.XLOOKUP($A1376, Output_Mac!$A:$A, Output_Mac!AB:AB, ""),
    _xlpm.MyAuditVal, _xlfn.XLOOKUP($A1376, My_Audit!$A:$A, My_Audit!N:N, ""),
    _xlfn.TEXTJOIN(", ", TRUE, _xlpm.MyAuditVal, _xlpm.MacVal)
)</f>
        <v/>
      </c>
    </row>
    <row r="1377" spans="1:24">
      <c r="A1377" s="40" t="str">
        <f>_xlfn.TEXTJOIN("",TRUE,Input!$B$2,ROW(My_Audit!A1376))</f>
        <v>X1376</v>
      </c>
      <c r="B1377" s="40" t="str">
        <f>_xlfn.TEXTJOIN("-",TRUE,"ITD",Input!$A$2,A1377)</f>
        <v>ITD-X1376</v>
      </c>
      <c r="C1377" s="40" t="str" cm="1">
        <f t="array" ref="C1377">IFERROR(_xlfn.LET(
_xlpm.CSVVal,_xlfn.XLOOKUP($A1377,CSV!$A:$A,CSV!B:B,""),
_xlpm.MacVal,_xlfn.XLOOKUP($A1377,Output_Mac!$A:$A,Output_Mac!B:B,""),
_xlpm.MyAuditVal,_xlfn.XLOOKUP($A1377,My_Audit!$A:$A,My_Audit!B:B,""),
_xlfn.IFS(_xlpm.MyAuditVal&lt;&gt;"",UPPER(_xlpm.MyAuditVal),_xlpm.MacVal&lt;&gt;"",_xlpm.MacVal,_xlpm.CSVVal&lt;&gt;"",_xlpm.CSVVal
)),"")</f>
        <v/>
      </c>
      <c r="D1377" s="40" t="str" cm="1">
        <f t="array" ref="D1377">IFERROR(_xlfn.LET(
_xlpm.CSVVal,_xlfn.XLOOKUP($A1377,CSV!$A:$A,CSV!D:D,""),
_xlpm.MacVal,_xlfn.XLOOKUP($A1377,Output_Mac!$A:$A,Output_Mac!C:C,""),
_xlpm.MyAuditVal,_xlfn.XLOOKUP($A1377,My_Audit!$A:$A,My_Audit!C:C,""),
_xlfn.IFS(_xlpm.MyAuditVal&lt;&gt;"",_xlpm.MyAuditVal,_xlpm.MacVal&lt;&gt;"",_xlpm.MacVal,_xlpm.CSVVal&lt;&gt;"",_xlpm.CSVVal
)),"")</f>
        <v/>
      </c>
      <c r="E1377" s="40" t="str">
        <f>_xlfn.XLOOKUP(A1377,My_Audit!A:A,My_Audit!D:D,"")</f>
        <v/>
      </c>
      <c r="F1377" s="40" t="str" cm="1">
        <f t="array" ref="F1377">IFERROR(_xlfn.LET(
_xlpm.CSVVal,_xlfn.XLOOKUP($A1377,CSV!$A:$A,CSV!F:F,""),
_xlpm.MacVal,_xlfn.XLOOKUP($A1377,Output_Mac!$A:$A,Output_Mac!E:E,""),
_xlpm.MyAuditVal,_xlfn.XLOOKUP($A1377,My_Audit!$A:$A,My_Audit!E:E,""),
_xlfn.IFS(_xlpm.MyAuditVal&lt;&gt;"",_xlpm.MyAuditVal,_xlpm.MacVal&lt;&gt;"",_xlpm.MacVal,_xlpm.CSVVal&lt;&gt;"",_xlpm.CSVVal
)),"")</f>
        <v/>
      </c>
      <c r="G1377" s="40" t="str" cm="1">
        <f t="array" ref="G1377">IFERROR(_xlfn.LET(
_xlpm.CSVVal,_xlfn.XLOOKUP($A1377,CSV!$A:$A,CSV!G:G,""),
_xlpm.MacVal,_xlfn.XLOOKUP($A1377,Output_Mac!$A:$A,Output_Mac!F:F,""),
_xlpm.MyAuditVal,_xlfn.XLOOKUP($A1377,My_Audit!$A:$A,My_Audit!F:F,""),
_xlfn.IFS(_xlpm.MyAuditVal&lt;&gt;"",_xlpm.MyAuditVal,_xlpm.MacVal&lt;&gt;"",_xlpm.MacVal,_xlpm.CSVVal&lt;&gt;"",PROPER(_xlpm.CSVVal)
)),"")</f>
        <v/>
      </c>
      <c r="H1377" s="40" t="str" cm="1">
        <f t="array" ref="H1377">IFERROR(_xlfn.LET(
_xlpm.CSVVal,_xlfn.XLOOKUP($A1377,CSV!$A:$A,CSV!H:H,""),
_xlpm.MacVal,_xlfn.XLOOKUP($A1377,Output_Mac!$A:$A,Output_Mac!H:H,""),
_xlpm.MyAuditVal,_xlfn.XLOOKUP($A1377,My_Audit!$A:$A,My_Audit!G:G,""),
_xlfn.IFS(_xlpm.MyAuditVal&lt;&gt;"",_xlpm.MyAuditVal,_xlpm.MacVal&lt;&gt;"",_xlpm.MacVal,_xlpm.CSVVal&lt;&gt;"",_xlpm.CSVVal
)),"")</f>
        <v/>
      </c>
      <c r="I1377" s="40" t="str">
        <f>_xlfn.XLOOKUP(A1377,Output_Mac!A:A,Output_Mac!I:I,"")</f>
        <v/>
      </c>
      <c r="J1377" s="40" t="str" cm="1">
        <f t="array" ref="J1377">IFERROR(_xlfn.LET(
_xlpm.CSVVal,_xlfn.XLOOKUP($A1377,CSV!$A:$A,CSV!I:I,""),
_xlpm.MacVal,_xlfn.XLOOKUP($A1377,Output_Mac!$A:$A,Output_Mac!J:J,""),
_xlpm.MyAuditVal,_xlfn.XLOOKUP($A1377,My_Audit!$A:$A,My_Audit!I:I,""),
_xlfn.IFS(_xlpm.MyAuditVal&lt;&gt;"",UPPER(_xlpm.MyAuditVal),_xlpm.MacVal&lt;&gt;"",_xlpm.MacVal,_xlpm.CSVVal&lt;&gt;"",_xlpm.CSVVal
)),"")</f>
        <v/>
      </c>
      <c r="K1377" s="40" t="str" cm="1">
        <f t="array" ref="K1377">IFERROR(_xlfn.LET(
_xlpm.CSVVal,_xlfn.XLOOKUP($A1377,CSV!$A:$A,CSV!K:K,""),
_xlpm.MacVal,_xlfn.XLOOKUP($A1377,Output_Mac!$A:$A,Output_Mac!K:K,""),
_xlpm.MyAuditVal,_xlfn.XLOOKUP($A1377,My_Audit!$A:$A,My_Audit!J:J,""),
_xlfn.IFS(_xlpm.MyAuditVal&lt;&gt;"",UPPER(_xlpm.MyAuditVal),_xlpm.MacVal&lt;&gt;"",_xlpm.MacVal,_xlpm.CSVVal&lt;&gt;"",_xlpm.CSVVal
)),"")</f>
        <v/>
      </c>
      <c r="L1377" s="40" t="str" cm="1">
        <f t="array" ref="L1377">IFERROR(_xlfn.LET(
_xlpm.CSVVal,_xlfn.XLOOKUP($A1377,CSV!$A:$A,CSV!P:P,""),
_xlpm.MacVal,_xlfn.XLOOKUP($A1377,Output_Mac!$A:$A,Output_Mac!L:L,""),
_xlpm.MyAuditVal,_xlfn.XLOOKUP($A1377,My_Audit!$A:$A,My_Audit!K:K,""),
_xlfn.IFS(_xlpm.MyAuditVal&lt;&gt;"",UPPER(_xlpm.MyAuditVal),_xlpm.MacVal&lt;&gt;"",_xlpm.MacVal,_xlpm.CSVVal&lt;&gt;"",_xlpm.CSVVal
)),"")</f>
        <v/>
      </c>
      <c r="M1377" s="40" t="str" cm="1">
        <f t="array" ref="M1377">IFERROR(_xlfn.LET(
_xlpm.CSVVal,_xlfn.XLOOKUP($A1377,CSV!$A:$A,CSV!Q:Q,""),
_xlpm.MacVal,_xlfn.XLOOKUP($A1377,Output_Mac!$A:$A,Output_Mac!M:M,""),
_xlpm.MyAuditVal,_xlfn.XLOOKUP($A1377,My_Audit!$A:$A,My_Audit!L:L,""),
_xlfn.IFS(_xlpm.MyAuditVal&lt;&gt;"",UPPER(_xlpm.MyAuditVal),_xlpm.MacVal&lt;&gt;"",_xlpm.MacVal,_xlpm.CSVVal&lt;&gt;"",_xlpm.CSVVal
)),"")</f>
        <v/>
      </c>
      <c r="N1377" s="40"/>
      <c r="O1377" s="40" t="str">
        <f>_xlfn.LET(
    _xlpm.CSVVal, _xlfn.XLOOKUP($A1377, CSV!$A:$A, CSV!AA:AA, ""),
    _xlpm.MacVal, _xlfn.XLOOKUP($A1377, Output_Mac!$A:$A, Output_Mac!S:S, ""),
    _xlpm.MyAuditVal, _xlfn.XLOOKUP($A1377, My_Audit!$A:$A, My_Audit!P:P, ""),
    _xlfn.TEXTJOIN(", ", TRUE, _xlpm.MyAuditVal, _xlpm.MacVal, _xlpm.CSVVal)
)</f>
        <v/>
      </c>
      <c r="P1377" s="40" t="str" cm="1">
        <f t="array" ref="P1377">IFERROR(_xlfn.LET(
_xlpm.CSVVal,_xlfn.XLOOKUP($A1377,CSV!$A:$A,CSV!AB:AB,""),
_xlpm.MacVal,_xlfn.XLOOKUP($A1377,Output_Mac!$A:$A,Output_Mac!T:T,""),
_xlpm.MyAuditVal,_xlfn.XLOOKUP($A1377,My_Audit!$A:$A,My_Audit!Q:Q,""),
_xlfn.IFS(_xlpm.MyAuditVal&lt;&gt;"",UPPER(_xlpm.MyAuditVal),_xlpm.MacVal&lt;&gt;"",_xlpm.MacVal,_xlpm.CSVVal&lt;&gt;"",_xlpm.CSVVal
)),"No")</f>
        <v>No</v>
      </c>
      <c r="Q1377" s="40" t="str" cm="1">
        <f t="array" ref="Q1377">IFERROR(_xlfn.LET(
_xlpm.CSVVal,_xlfn.XLOOKUP($A1377,CSV!$A:$A,CSV!AC:AC,""),
_xlpm.MacVal,_xlfn.XLOOKUP($A1377,Output_Mac!$A:$A,Output_Mac!U:U,""),
_xlpm.MyAuditVal,_xlfn.XLOOKUP($A1377,My_Audit!$A:$A,My_Audit!R:R,""),
_xlfn.IFS(_xlpm.MyAuditVal&lt;&gt;"",UPPER(_xlpm.MyAuditVal),_xlpm.MacVal&lt;&gt;"",_xlpm.MacVal,_xlpm.CSVVal&lt;&gt;"",_xlpm.CSVVal
)),"")</f>
        <v/>
      </c>
      <c r="R1377" s="40"/>
      <c r="S1377" s="40"/>
      <c r="T1377" s="40"/>
      <c r="U1377" s="40"/>
      <c r="V1377" s="40"/>
      <c r="W1377" s="40"/>
      <c r="X1377" s="41" t="str">
        <f>_xlfn.LET(
    _xlpm.MacVal, _xlfn.XLOOKUP($A1377, Output_Mac!$A:$A, Output_Mac!AB:AB, ""),
    _xlpm.MyAuditVal, _xlfn.XLOOKUP($A1377, My_Audit!$A:$A, My_Audit!N:N, ""),
    _xlfn.TEXTJOIN(", ", TRUE, _xlpm.MyAuditVal, _xlpm.MacVal)
)</f>
        <v/>
      </c>
    </row>
    <row r="1378" spans="1:24">
      <c r="A1378" s="40" t="str">
        <f>_xlfn.TEXTJOIN("",TRUE,Input!$B$2,ROW(My_Audit!A1377))</f>
        <v>X1377</v>
      </c>
      <c r="B1378" s="40" t="str">
        <f>_xlfn.TEXTJOIN("-",TRUE,"ITD",Input!$A$2,A1378)</f>
        <v>ITD-X1377</v>
      </c>
      <c r="C1378" s="40" t="str" cm="1">
        <f t="array" ref="C1378">IFERROR(_xlfn.LET(
_xlpm.CSVVal,_xlfn.XLOOKUP($A1378,CSV!$A:$A,CSV!B:B,""),
_xlpm.MacVal,_xlfn.XLOOKUP($A1378,Output_Mac!$A:$A,Output_Mac!B:B,""),
_xlpm.MyAuditVal,_xlfn.XLOOKUP($A1378,My_Audit!$A:$A,My_Audit!B:B,""),
_xlfn.IFS(_xlpm.MyAuditVal&lt;&gt;"",UPPER(_xlpm.MyAuditVal),_xlpm.MacVal&lt;&gt;"",_xlpm.MacVal,_xlpm.CSVVal&lt;&gt;"",_xlpm.CSVVal
)),"")</f>
        <v/>
      </c>
      <c r="D1378" s="40" t="str" cm="1">
        <f t="array" ref="D1378">IFERROR(_xlfn.LET(
_xlpm.CSVVal,_xlfn.XLOOKUP($A1378,CSV!$A:$A,CSV!D:D,""),
_xlpm.MacVal,_xlfn.XLOOKUP($A1378,Output_Mac!$A:$A,Output_Mac!C:C,""),
_xlpm.MyAuditVal,_xlfn.XLOOKUP($A1378,My_Audit!$A:$A,My_Audit!C:C,""),
_xlfn.IFS(_xlpm.MyAuditVal&lt;&gt;"",_xlpm.MyAuditVal,_xlpm.MacVal&lt;&gt;"",_xlpm.MacVal,_xlpm.CSVVal&lt;&gt;"",_xlpm.CSVVal
)),"")</f>
        <v/>
      </c>
      <c r="E1378" s="40" t="str">
        <f>_xlfn.XLOOKUP(A1378,My_Audit!A:A,My_Audit!D:D,"")</f>
        <v/>
      </c>
      <c r="F1378" s="40" t="str" cm="1">
        <f t="array" ref="F1378">IFERROR(_xlfn.LET(
_xlpm.CSVVal,_xlfn.XLOOKUP($A1378,CSV!$A:$A,CSV!F:F,""),
_xlpm.MacVal,_xlfn.XLOOKUP($A1378,Output_Mac!$A:$A,Output_Mac!E:E,""),
_xlpm.MyAuditVal,_xlfn.XLOOKUP($A1378,My_Audit!$A:$A,My_Audit!E:E,""),
_xlfn.IFS(_xlpm.MyAuditVal&lt;&gt;"",_xlpm.MyAuditVal,_xlpm.MacVal&lt;&gt;"",_xlpm.MacVal,_xlpm.CSVVal&lt;&gt;"",_xlpm.CSVVal
)),"")</f>
        <v/>
      </c>
      <c r="G1378" s="40" t="str" cm="1">
        <f t="array" ref="G1378">IFERROR(_xlfn.LET(
_xlpm.CSVVal,_xlfn.XLOOKUP($A1378,CSV!$A:$A,CSV!G:G,""),
_xlpm.MacVal,_xlfn.XLOOKUP($A1378,Output_Mac!$A:$A,Output_Mac!F:F,""),
_xlpm.MyAuditVal,_xlfn.XLOOKUP($A1378,My_Audit!$A:$A,My_Audit!F:F,""),
_xlfn.IFS(_xlpm.MyAuditVal&lt;&gt;"",_xlpm.MyAuditVal,_xlpm.MacVal&lt;&gt;"",_xlpm.MacVal,_xlpm.CSVVal&lt;&gt;"",PROPER(_xlpm.CSVVal)
)),"")</f>
        <v/>
      </c>
      <c r="H1378" s="40" t="str" cm="1">
        <f t="array" ref="H1378">IFERROR(_xlfn.LET(
_xlpm.CSVVal,_xlfn.XLOOKUP($A1378,CSV!$A:$A,CSV!H:H,""),
_xlpm.MacVal,_xlfn.XLOOKUP($A1378,Output_Mac!$A:$A,Output_Mac!H:H,""),
_xlpm.MyAuditVal,_xlfn.XLOOKUP($A1378,My_Audit!$A:$A,My_Audit!G:G,""),
_xlfn.IFS(_xlpm.MyAuditVal&lt;&gt;"",_xlpm.MyAuditVal,_xlpm.MacVal&lt;&gt;"",_xlpm.MacVal,_xlpm.CSVVal&lt;&gt;"",_xlpm.CSVVal
)),"")</f>
        <v/>
      </c>
      <c r="I1378" s="40" t="str">
        <f>_xlfn.XLOOKUP(A1378,Output_Mac!A:A,Output_Mac!I:I,"")</f>
        <v/>
      </c>
      <c r="J1378" s="40" t="str" cm="1">
        <f t="array" ref="J1378">IFERROR(_xlfn.LET(
_xlpm.CSVVal,_xlfn.XLOOKUP($A1378,CSV!$A:$A,CSV!I:I,""),
_xlpm.MacVal,_xlfn.XLOOKUP($A1378,Output_Mac!$A:$A,Output_Mac!J:J,""),
_xlpm.MyAuditVal,_xlfn.XLOOKUP($A1378,My_Audit!$A:$A,My_Audit!I:I,""),
_xlfn.IFS(_xlpm.MyAuditVal&lt;&gt;"",UPPER(_xlpm.MyAuditVal),_xlpm.MacVal&lt;&gt;"",_xlpm.MacVal,_xlpm.CSVVal&lt;&gt;"",_xlpm.CSVVal
)),"")</f>
        <v/>
      </c>
      <c r="K1378" s="40" t="str" cm="1">
        <f t="array" ref="K1378">IFERROR(_xlfn.LET(
_xlpm.CSVVal,_xlfn.XLOOKUP($A1378,CSV!$A:$A,CSV!K:K,""),
_xlpm.MacVal,_xlfn.XLOOKUP($A1378,Output_Mac!$A:$A,Output_Mac!K:K,""),
_xlpm.MyAuditVal,_xlfn.XLOOKUP($A1378,My_Audit!$A:$A,My_Audit!J:J,""),
_xlfn.IFS(_xlpm.MyAuditVal&lt;&gt;"",UPPER(_xlpm.MyAuditVal),_xlpm.MacVal&lt;&gt;"",_xlpm.MacVal,_xlpm.CSVVal&lt;&gt;"",_xlpm.CSVVal
)),"")</f>
        <v/>
      </c>
      <c r="L1378" s="40" t="str" cm="1">
        <f t="array" ref="L1378">IFERROR(_xlfn.LET(
_xlpm.CSVVal,_xlfn.XLOOKUP($A1378,CSV!$A:$A,CSV!P:P,""),
_xlpm.MacVal,_xlfn.XLOOKUP($A1378,Output_Mac!$A:$A,Output_Mac!L:L,""),
_xlpm.MyAuditVal,_xlfn.XLOOKUP($A1378,My_Audit!$A:$A,My_Audit!K:K,""),
_xlfn.IFS(_xlpm.MyAuditVal&lt;&gt;"",UPPER(_xlpm.MyAuditVal),_xlpm.MacVal&lt;&gt;"",_xlpm.MacVal,_xlpm.CSVVal&lt;&gt;"",_xlpm.CSVVal
)),"")</f>
        <v/>
      </c>
      <c r="M1378" s="40" t="str" cm="1">
        <f t="array" ref="M1378">IFERROR(_xlfn.LET(
_xlpm.CSVVal,_xlfn.XLOOKUP($A1378,CSV!$A:$A,CSV!Q:Q,""),
_xlpm.MacVal,_xlfn.XLOOKUP($A1378,Output_Mac!$A:$A,Output_Mac!M:M,""),
_xlpm.MyAuditVal,_xlfn.XLOOKUP($A1378,My_Audit!$A:$A,My_Audit!L:L,""),
_xlfn.IFS(_xlpm.MyAuditVal&lt;&gt;"",UPPER(_xlpm.MyAuditVal),_xlpm.MacVal&lt;&gt;"",_xlpm.MacVal,_xlpm.CSVVal&lt;&gt;"",_xlpm.CSVVal
)),"")</f>
        <v/>
      </c>
      <c r="N1378" s="40"/>
      <c r="O1378" s="40" t="str">
        <f>_xlfn.LET(
    _xlpm.CSVVal, _xlfn.XLOOKUP($A1378, CSV!$A:$A, CSV!AA:AA, ""),
    _xlpm.MacVal, _xlfn.XLOOKUP($A1378, Output_Mac!$A:$A, Output_Mac!S:S, ""),
    _xlpm.MyAuditVal, _xlfn.XLOOKUP($A1378, My_Audit!$A:$A, My_Audit!P:P, ""),
    _xlfn.TEXTJOIN(", ", TRUE, _xlpm.MyAuditVal, _xlpm.MacVal, _xlpm.CSVVal)
)</f>
        <v/>
      </c>
      <c r="P1378" s="40" t="str" cm="1">
        <f t="array" ref="P1378">IFERROR(_xlfn.LET(
_xlpm.CSVVal,_xlfn.XLOOKUP($A1378,CSV!$A:$A,CSV!AB:AB,""),
_xlpm.MacVal,_xlfn.XLOOKUP($A1378,Output_Mac!$A:$A,Output_Mac!T:T,""),
_xlpm.MyAuditVal,_xlfn.XLOOKUP($A1378,My_Audit!$A:$A,My_Audit!Q:Q,""),
_xlfn.IFS(_xlpm.MyAuditVal&lt;&gt;"",UPPER(_xlpm.MyAuditVal),_xlpm.MacVal&lt;&gt;"",_xlpm.MacVal,_xlpm.CSVVal&lt;&gt;"",_xlpm.CSVVal
)),"No")</f>
        <v>No</v>
      </c>
      <c r="Q1378" s="40" t="str" cm="1">
        <f t="array" ref="Q1378">IFERROR(_xlfn.LET(
_xlpm.CSVVal,_xlfn.XLOOKUP($A1378,CSV!$A:$A,CSV!AC:AC,""),
_xlpm.MacVal,_xlfn.XLOOKUP($A1378,Output_Mac!$A:$A,Output_Mac!U:U,""),
_xlpm.MyAuditVal,_xlfn.XLOOKUP($A1378,My_Audit!$A:$A,My_Audit!R:R,""),
_xlfn.IFS(_xlpm.MyAuditVal&lt;&gt;"",UPPER(_xlpm.MyAuditVal),_xlpm.MacVal&lt;&gt;"",_xlpm.MacVal,_xlpm.CSVVal&lt;&gt;"",_xlpm.CSVVal
)),"")</f>
        <v/>
      </c>
      <c r="R1378" s="40"/>
      <c r="S1378" s="40"/>
      <c r="T1378" s="40"/>
      <c r="U1378" s="40"/>
      <c r="V1378" s="40"/>
      <c r="W1378" s="40"/>
      <c r="X1378" s="41" t="str">
        <f>_xlfn.LET(
    _xlpm.MacVal, _xlfn.XLOOKUP($A1378, Output_Mac!$A:$A, Output_Mac!AB:AB, ""),
    _xlpm.MyAuditVal, _xlfn.XLOOKUP($A1378, My_Audit!$A:$A, My_Audit!N:N, ""),
    _xlfn.TEXTJOIN(", ", TRUE, _xlpm.MyAuditVal, _xlpm.MacVal)
)</f>
        <v/>
      </c>
    </row>
    <row r="1379" spans="1:24">
      <c r="A1379" s="40" t="str">
        <f>_xlfn.TEXTJOIN("",TRUE,Input!$B$2,ROW(My_Audit!A1378))</f>
        <v>X1378</v>
      </c>
      <c r="B1379" s="40" t="str">
        <f>_xlfn.TEXTJOIN("-",TRUE,"ITD",Input!$A$2,A1379)</f>
        <v>ITD-X1378</v>
      </c>
      <c r="C1379" s="40" t="str" cm="1">
        <f t="array" ref="C1379">IFERROR(_xlfn.LET(
_xlpm.CSVVal,_xlfn.XLOOKUP($A1379,CSV!$A:$A,CSV!B:B,""),
_xlpm.MacVal,_xlfn.XLOOKUP($A1379,Output_Mac!$A:$A,Output_Mac!B:B,""),
_xlpm.MyAuditVal,_xlfn.XLOOKUP($A1379,My_Audit!$A:$A,My_Audit!B:B,""),
_xlfn.IFS(_xlpm.MyAuditVal&lt;&gt;"",UPPER(_xlpm.MyAuditVal),_xlpm.MacVal&lt;&gt;"",_xlpm.MacVal,_xlpm.CSVVal&lt;&gt;"",_xlpm.CSVVal
)),"")</f>
        <v/>
      </c>
      <c r="D1379" s="40" t="str" cm="1">
        <f t="array" ref="D1379">IFERROR(_xlfn.LET(
_xlpm.CSVVal,_xlfn.XLOOKUP($A1379,CSV!$A:$A,CSV!D:D,""),
_xlpm.MacVal,_xlfn.XLOOKUP($A1379,Output_Mac!$A:$A,Output_Mac!C:C,""),
_xlpm.MyAuditVal,_xlfn.XLOOKUP($A1379,My_Audit!$A:$A,My_Audit!C:C,""),
_xlfn.IFS(_xlpm.MyAuditVal&lt;&gt;"",_xlpm.MyAuditVal,_xlpm.MacVal&lt;&gt;"",_xlpm.MacVal,_xlpm.CSVVal&lt;&gt;"",_xlpm.CSVVal
)),"")</f>
        <v/>
      </c>
      <c r="E1379" s="40" t="str">
        <f>_xlfn.XLOOKUP(A1379,My_Audit!A:A,My_Audit!D:D,"")</f>
        <v/>
      </c>
      <c r="F1379" s="40" t="str" cm="1">
        <f t="array" ref="F1379">IFERROR(_xlfn.LET(
_xlpm.CSVVal,_xlfn.XLOOKUP($A1379,CSV!$A:$A,CSV!F:F,""),
_xlpm.MacVal,_xlfn.XLOOKUP($A1379,Output_Mac!$A:$A,Output_Mac!E:E,""),
_xlpm.MyAuditVal,_xlfn.XLOOKUP($A1379,My_Audit!$A:$A,My_Audit!E:E,""),
_xlfn.IFS(_xlpm.MyAuditVal&lt;&gt;"",_xlpm.MyAuditVal,_xlpm.MacVal&lt;&gt;"",_xlpm.MacVal,_xlpm.CSVVal&lt;&gt;"",_xlpm.CSVVal
)),"")</f>
        <v/>
      </c>
      <c r="G1379" s="40" t="str" cm="1">
        <f t="array" ref="G1379">IFERROR(_xlfn.LET(
_xlpm.CSVVal,_xlfn.XLOOKUP($A1379,CSV!$A:$A,CSV!G:G,""),
_xlpm.MacVal,_xlfn.XLOOKUP($A1379,Output_Mac!$A:$A,Output_Mac!F:F,""),
_xlpm.MyAuditVal,_xlfn.XLOOKUP($A1379,My_Audit!$A:$A,My_Audit!F:F,""),
_xlfn.IFS(_xlpm.MyAuditVal&lt;&gt;"",_xlpm.MyAuditVal,_xlpm.MacVal&lt;&gt;"",_xlpm.MacVal,_xlpm.CSVVal&lt;&gt;"",PROPER(_xlpm.CSVVal)
)),"")</f>
        <v/>
      </c>
      <c r="H1379" s="40" t="str" cm="1">
        <f t="array" ref="H1379">IFERROR(_xlfn.LET(
_xlpm.CSVVal,_xlfn.XLOOKUP($A1379,CSV!$A:$A,CSV!H:H,""),
_xlpm.MacVal,_xlfn.XLOOKUP($A1379,Output_Mac!$A:$A,Output_Mac!H:H,""),
_xlpm.MyAuditVal,_xlfn.XLOOKUP($A1379,My_Audit!$A:$A,My_Audit!G:G,""),
_xlfn.IFS(_xlpm.MyAuditVal&lt;&gt;"",_xlpm.MyAuditVal,_xlpm.MacVal&lt;&gt;"",_xlpm.MacVal,_xlpm.CSVVal&lt;&gt;"",_xlpm.CSVVal
)),"")</f>
        <v/>
      </c>
      <c r="I1379" s="40" t="str">
        <f>_xlfn.XLOOKUP(A1379,Output_Mac!A:A,Output_Mac!I:I,"")</f>
        <v/>
      </c>
      <c r="J1379" s="40" t="str" cm="1">
        <f t="array" ref="J1379">IFERROR(_xlfn.LET(
_xlpm.CSVVal,_xlfn.XLOOKUP($A1379,CSV!$A:$A,CSV!I:I,""),
_xlpm.MacVal,_xlfn.XLOOKUP($A1379,Output_Mac!$A:$A,Output_Mac!J:J,""),
_xlpm.MyAuditVal,_xlfn.XLOOKUP($A1379,My_Audit!$A:$A,My_Audit!I:I,""),
_xlfn.IFS(_xlpm.MyAuditVal&lt;&gt;"",UPPER(_xlpm.MyAuditVal),_xlpm.MacVal&lt;&gt;"",_xlpm.MacVal,_xlpm.CSVVal&lt;&gt;"",_xlpm.CSVVal
)),"")</f>
        <v/>
      </c>
      <c r="K1379" s="40" t="str" cm="1">
        <f t="array" ref="K1379">IFERROR(_xlfn.LET(
_xlpm.CSVVal,_xlfn.XLOOKUP($A1379,CSV!$A:$A,CSV!K:K,""),
_xlpm.MacVal,_xlfn.XLOOKUP($A1379,Output_Mac!$A:$A,Output_Mac!K:K,""),
_xlpm.MyAuditVal,_xlfn.XLOOKUP($A1379,My_Audit!$A:$A,My_Audit!J:J,""),
_xlfn.IFS(_xlpm.MyAuditVal&lt;&gt;"",UPPER(_xlpm.MyAuditVal),_xlpm.MacVal&lt;&gt;"",_xlpm.MacVal,_xlpm.CSVVal&lt;&gt;"",_xlpm.CSVVal
)),"")</f>
        <v/>
      </c>
      <c r="L1379" s="40" t="str" cm="1">
        <f t="array" ref="L1379">IFERROR(_xlfn.LET(
_xlpm.CSVVal,_xlfn.XLOOKUP($A1379,CSV!$A:$A,CSV!P:P,""),
_xlpm.MacVal,_xlfn.XLOOKUP($A1379,Output_Mac!$A:$A,Output_Mac!L:L,""),
_xlpm.MyAuditVal,_xlfn.XLOOKUP($A1379,My_Audit!$A:$A,My_Audit!K:K,""),
_xlfn.IFS(_xlpm.MyAuditVal&lt;&gt;"",UPPER(_xlpm.MyAuditVal),_xlpm.MacVal&lt;&gt;"",_xlpm.MacVal,_xlpm.CSVVal&lt;&gt;"",_xlpm.CSVVal
)),"")</f>
        <v/>
      </c>
      <c r="M1379" s="40" t="str" cm="1">
        <f t="array" ref="M1379">IFERROR(_xlfn.LET(
_xlpm.CSVVal,_xlfn.XLOOKUP($A1379,CSV!$A:$A,CSV!Q:Q,""),
_xlpm.MacVal,_xlfn.XLOOKUP($A1379,Output_Mac!$A:$A,Output_Mac!M:M,""),
_xlpm.MyAuditVal,_xlfn.XLOOKUP($A1379,My_Audit!$A:$A,My_Audit!L:L,""),
_xlfn.IFS(_xlpm.MyAuditVal&lt;&gt;"",UPPER(_xlpm.MyAuditVal),_xlpm.MacVal&lt;&gt;"",_xlpm.MacVal,_xlpm.CSVVal&lt;&gt;"",_xlpm.CSVVal
)),"")</f>
        <v/>
      </c>
      <c r="N1379" s="40"/>
      <c r="O1379" s="40" t="str">
        <f>_xlfn.LET(
    _xlpm.CSVVal, _xlfn.XLOOKUP($A1379, CSV!$A:$A, CSV!AA:AA, ""),
    _xlpm.MacVal, _xlfn.XLOOKUP($A1379, Output_Mac!$A:$A, Output_Mac!S:S, ""),
    _xlpm.MyAuditVal, _xlfn.XLOOKUP($A1379, My_Audit!$A:$A, My_Audit!P:P, ""),
    _xlfn.TEXTJOIN(", ", TRUE, _xlpm.MyAuditVal, _xlpm.MacVal, _xlpm.CSVVal)
)</f>
        <v/>
      </c>
      <c r="P1379" s="40" t="str" cm="1">
        <f t="array" ref="P1379">IFERROR(_xlfn.LET(
_xlpm.CSVVal,_xlfn.XLOOKUP($A1379,CSV!$A:$A,CSV!AB:AB,""),
_xlpm.MacVal,_xlfn.XLOOKUP($A1379,Output_Mac!$A:$A,Output_Mac!T:T,""),
_xlpm.MyAuditVal,_xlfn.XLOOKUP($A1379,My_Audit!$A:$A,My_Audit!Q:Q,""),
_xlfn.IFS(_xlpm.MyAuditVal&lt;&gt;"",UPPER(_xlpm.MyAuditVal),_xlpm.MacVal&lt;&gt;"",_xlpm.MacVal,_xlpm.CSVVal&lt;&gt;"",_xlpm.CSVVal
)),"No")</f>
        <v>No</v>
      </c>
      <c r="Q1379" s="40" t="str" cm="1">
        <f t="array" ref="Q1379">IFERROR(_xlfn.LET(
_xlpm.CSVVal,_xlfn.XLOOKUP($A1379,CSV!$A:$A,CSV!AC:AC,""),
_xlpm.MacVal,_xlfn.XLOOKUP($A1379,Output_Mac!$A:$A,Output_Mac!U:U,""),
_xlpm.MyAuditVal,_xlfn.XLOOKUP($A1379,My_Audit!$A:$A,My_Audit!R:R,""),
_xlfn.IFS(_xlpm.MyAuditVal&lt;&gt;"",UPPER(_xlpm.MyAuditVal),_xlpm.MacVal&lt;&gt;"",_xlpm.MacVal,_xlpm.CSVVal&lt;&gt;"",_xlpm.CSVVal
)),"")</f>
        <v/>
      </c>
      <c r="R1379" s="40"/>
      <c r="S1379" s="40"/>
      <c r="T1379" s="40"/>
      <c r="U1379" s="40"/>
      <c r="V1379" s="40"/>
      <c r="W1379" s="40"/>
      <c r="X1379" s="41" t="str">
        <f>_xlfn.LET(
    _xlpm.MacVal, _xlfn.XLOOKUP($A1379, Output_Mac!$A:$A, Output_Mac!AB:AB, ""),
    _xlpm.MyAuditVal, _xlfn.XLOOKUP($A1379, My_Audit!$A:$A, My_Audit!N:N, ""),
    _xlfn.TEXTJOIN(", ", TRUE, _xlpm.MyAuditVal, _xlpm.MacVal)
)</f>
        <v/>
      </c>
    </row>
    <row r="1380" spans="1:24">
      <c r="A1380" s="40" t="str">
        <f>_xlfn.TEXTJOIN("",TRUE,Input!$B$2,ROW(My_Audit!A1379))</f>
        <v>X1379</v>
      </c>
      <c r="B1380" s="40" t="str">
        <f>_xlfn.TEXTJOIN("-",TRUE,"ITD",Input!$A$2,A1380)</f>
        <v>ITD-X1379</v>
      </c>
      <c r="C1380" s="40" t="str" cm="1">
        <f t="array" ref="C1380">IFERROR(_xlfn.LET(
_xlpm.CSVVal,_xlfn.XLOOKUP($A1380,CSV!$A:$A,CSV!B:B,""),
_xlpm.MacVal,_xlfn.XLOOKUP($A1380,Output_Mac!$A:$A,Output_Mac!B:B,""),
_xlpm.MyAuditVal,_xlfn.XLOOKUP($A1380,My_Audit!$A:$A,My_Audit!B:B,""),
_xlfn.IFS(_xlpm.MyAuditVal&lt;&gt;"",UPPER(_xlpm.MyAuditVal),_xlpm.MacVal&lt;&gt;"",_xlpm.MacVal,_xlpm.CSVVal&lt;&gt;"",_xlpm.CSVVal
)),"")</f>
        <v/>
      </c>
      <c r="D1380" s="40" t="str" cm="1">
        <f t="array" ref="D1380">IFERROR(_xlfn.LET(
_xlpm.CSVVal,_xlfn.XLOOKUP($A1380,CSV!$A:$A,CSV!D:D,""),
_xlpm.MacVal,_xlfn.XLOOKUP($A1380,Output_Mac!$A:$A,Output_Mac!C:C,""),
_xlpm.MyAuditVal,_xlfn.XLOOKUP($A1380,My_Audit!$A:$A,My_Audit!C:C,""),
_xlfn.IFS(_xlpm.MyAuditVal&lt;&gt;"",_xlpm.MyAuditVal,_xlpm.MacVal&lt;&gt;"",_xlpm.MacVal,_xlpm.CSVVal&lt;&gt;"",_xlpm.CSVVal
)),"")</f>
        <v/>
      </c>
      <c r="E1380" s="40" t="str">
        <f>_xlfn.XLOOKUP(A1380,My_Audit!A:A,My_Audit!D:D,"")</f>
        <v/>
      </c>
      <c r="F1380" s="40" t="str" cm="1">
        <f t="array" ref="F1380">IFERROR(_xlfn.LET(
_xlpm.CSVVal,_xlfn.XLOOKUP($A1380,CSV!$A:$A,CSV!F:F,""),
_xlpm.MacVal,_xlfn.XLOOKUP($A1380,Output_Mac!$A:$A,Output_Mac!E:E,""),
_xlpm.MyAuditVal,_xlfn.XLOOKUP($A1380,My_Audit!$A:$A,My_Audit!E:E,""),
_xlfn.IFS(_xlpm.MyAuditVal&lt;&gt;"",_xlpm.MyAuditVal,_xlpm.MacVal&lt;&gt;"",_xlpm.MacVal,_xlpm.CSVVal&lt;&gt;"",_xlpm.CSVVal
)),"")</f>
        <v/>
      </c>
      <c r="G1380" s="40" t="str" cm="1">
        <f t="array" ref="G1380">IFERROR(_xlfn.LET(
_xlpm.CSVVal,_xlfn.XLOOKUP($A1380,CSV!$A:$A,CSV!G:G,""),
_xlpm.MacVal,_xlfn.XLOOKUP($A1380,Output_Mac!$A:$A,Output_Mac!F:F,""),
_xlpm.MyAuditVal,_xlfn.XLOOKUP($A1380,My_Audit!$A:$A,My_Audit!F:F,""),
_xlfn.IFS(_xlpm.MyAuditVal&lt;&gt;"",_xlpm.MyAuditVal,_xlpm.MacVal&lt;&gt;"",_xlpm.MacVal,_xlpm.CSVVal&lt;&gt;"",PROPER(_xlpm.CSVVal)
)),"")</f>
        <v/>
      </c>
      <c r="H1380" s="40" t="str" cm="1">
        <f t="array" ref="H1380">IFERROR(_xlfn.LET(
_xlpm.CSVVal,_xlfn.XLOOKUP($A1380,CSV!$A:$A,CSV!H:H,""),
_xlpm.MacVal,_xlfn.XLOOKUP($A1380,Output_Mac!$A:$A,Output_Mac!H:H,""),
_xlpm.MyAuditVal,_xlfn.XLOOKUP($A1380,My_Audit!$A:$A,My_Audit!G:G,""),
_xlfn.IFS(_xlpm.MyAuditVal&lt;&gt;"",_xlpm.MyAuditVal,_xlpm.MacVal&lt;&gt;"",_xlpm.MacVal,_xlpm.CSVVal&lt;&gt;"",_xlpm.CSVVal
)),"")</f>
        <v/>
      </c>
      <c r="I1380" s="40" t="str">
        <f>_xlfn.XLOOKUP(A1380,Output_Mac!A:A,Output_Mac!I:I,"")</f>
        <v/>
      </c>
      <c r="J1380" s="40" t="str" cm="1">
        <f t="array" ref="J1380">IFERROR(_xlfn.LET(
_xlpm.CSVVal,_xlfn.XLOOKUP($A1380,CSV!$A:$A,CSV!I:I,""),
_xlpm.MacVal,_xlfn.XLOOKUP($A1380,Output_Mac!$A:$A,Output_Mac!J:J,""),
_xlpm.MyAuditVal,_xlfn.XLOOKUP($A1380,My_Audit!$A:$A,My_Audit!I:I,""),
_xlfn.IFS(_xlpm.MyAuditVal&lt;&gt;"",UPPER(_xlpm.MyAuditVal),_xlpm.MacVal&lt;&gt;"",_xlpm.MacVal,_xlpm.CSVVal&lt;&gt;"",_xlpm.CSVVal
)),"")</f>
        <v/>
      </c>
      <c r="K1380" s="40" t="str" cm="1">
        <f t="array" ref="K1380">IFERROR(_xlfn.LET(
_xlpm.CSVVal,_xlfn.XLOOKUP($A1380,CSV!$A:$A,CSV!K:K,""),
_xlpm.MacVal,_xlfn.XLOOKUP($A1380,Output_Mac!$A:$A,Output_Mac!K:K,""),
_xlpm.MyAuditVal,_xlfn.XLOOKUP($A1380,My_Audit!$A:$A,My_Audit!J:J,""),
_xlfn.IFS(_xlpm.MyAuditVal&lt;&gt;"",UPPER(_xlpm.MyAuditVal),_xlpm.MacVal&lt;&gt;"",_xlpm.MacVal,_xlpm.CSVVal&lt;&gt;"",_xlpm.CSVVal
)),"")</f>
        <v/>
      </c>
      <c r="L1380" s="40" t="str" cm="1">
        <f t="array" ref="L1380">IFERROR(_xlfn.LET(
_xlpm.CSVVal,_xlfn.XLOOKUP($A1380,CSV!$A:$A,CSV!P:P,""),
_xlpm.MacVal,_xlfn.XLOOKUP($A1380,Output_Mac!$A:$A,Output_Mac!L:L,""),
_xlpm.MyAuditVal,_xlfn.XLOOKUP($A1380,My_Audit!$A:$A,My_Audit!K:K,""),
_xlfn.IFS(_xlpm.MyAuditVal&lt;&gt;"",UPPER(_xlpm.MyAuditVal),_xlpm.MacVal&lt;&gt;"",_xlpm.MacVal,_xlpm.CSVVal&lt;&gt;"",_xlpm.CSVVal
)),"")</f>
        <v/>
      </c>
      <c r="M1380" s="40" t="str" cm="1">
        <f t="array" ref="M1380">IFERROR(_xlfn.LET(
_xlpm.CSVVal,_xlfn.XLOOKUP($A1380,CSV!$A:$A,CSV!Q:Q,""),
_xlpm.MacVal,_xlfn.XLOOKUP($A1380,Output_Mac!$A:$A,Output_Mac!M:M,""),
_xlpm.MyAuditVal,_xlfn.XLOOKUP($A1380,My_Audit!$A:$A,My_Audit!L:L,""),
_xlfn.IFS(_xlpm.MyAuditVal&lt;&gt;"",UPPER(_xlpm.MyAuditVal),_xlpm.MacVal&lt;&gt;"",_xlpm.MacVal,_xlpm.CSVVal&lt;&gt;"",_xlpm.CSVVal
)),"")</f>
        <v/>
      </c>
      <c r="N1380" s="40"/>
      <c r="O1380" s="40" t="str">
        <f>_xlfn.LET(
    _xlpm.CSVVal, _xlfn.XLOOKUP($A1380, CSV!$A:$A, CSV!AA:AA, ""),
    _xlpm.MacVal, _xlfn.XLOOKUP($A1380, Output_Mac!$A:$A, Output_Mac!S:S, ""),
    _xlpm.MyAuditVal, _xlfn.XLOOKUP($A1380, My_Audit!$A:$A, My_Audit!P:P, ""),
    _xlfn.TEXTJOIN(", ", TRUE, _xlpm.MyAuditVal, _xlpm.MacVal, _xlpm.CSVVal)
)</f>
        <v/>
      </c>
      <c r="P1380" s="40" t="str" cm="1">
        <f t="array" ref="P1380">IFERROR(_xlfn.LET(
_xlpm.CSVVal,_xlfn.XLOOKUP($A1380,CSV!$A:$A,CSV!AB:AB,""),
_xlpm.MacVal,_xlfn.XLOOKUP($A1380,Output_Mac!$A:$A,Output_Mac!T:T,""),
_xlpm.MyAuditVal,_xlfn.XLOOKUP($A1380,My_Audit!$A:$A,My_Audit!Q:Q,""),
_xlfn.IFS(_xlpm.MyAuditVal&lt;&gt;"",UPPER(_xlpm.MyAuditVal),_xlpm.MacVal&lt;&gt;"",_xlpm.MacVal,_xlpm.CSVVal&lt;&gt;"",_xlpm.CSVVal
)),"No")</f>
        <v>No</v>
      </c>
      <c r="Q1380" s="40" t="str" cm="1">
        <f t="array" ref="Q1380">IFERROR(_xlfn.LET(
_xlpm.CSVVal,_xlfn.XLOOKUP($A1380,CSV!$A:$A,CSV!AC:AC,""),
_xlpm.MacVal,_xlfn.XLOOKUP($A1380,Output_Mac!$A:$A,Output_Mac!U:U,""),
_xlpm.MyAuditVal,_xlfn.XLOOKUP($A1380,My_Audit!$A:$A,My_Audit!R:R,""),
_xlfn.IFS(_xlpm.MyAuditVal&lt;&gt;"",UPPER(_xlpm.MyAuditVal),_xlpm.MacVal&lt;&gt;"",_xlpm.MacVal,_xlpm.CSVVal&lt;&gt;"",_xlpm.CSVVal
)),"")</f>
        <v/>
      </c>
      <c r="R1380" s="40"/>
      <c r="S1380" s="40"/>
      <c r="T1380" s="40"/>
      <c r="U1380" s="40"/>
      <c r="V1380" s="40"/>
      <c r="W1380" s="40"/>
      <c r="X1380" s="41" t="str">
        <f>_xlfn.LET(
    _xlpm.MacVal, _xlfn.XLOOKUP($A1380, Output_Mac!$A:$A, Output_Mac!AB:AB, ""),
    _xlpm.MyAuditVal, _xlfn.XLOOKUP($A1380, My_Audit!$A:$A, My_Audit!N:N, ""),
    _xlfn.TEXTJOIN(", ", TRUE, _xlpm.MyAuditVal, _xlpm.MacVal)
)</f>
        <v/>
      </c>
    </row>
    <row r="1381" spans="1:24">
      <c r="A1381" s="40" t="str">
        <f>_xlfn.TEXTJOIN("",TRUE,Input!$B$2,ROW(My_Audit!A1380))</f>
        <v>X1380</v>
      </c>
      <c r="B1381" s="40" t="str">
        <f>_xlfn.TEXTJOIN("-",TRUE,"ITD",Input!$A$2,A1381)</f>
        <v>ITD-X1380</v>
      </c>
      <c r="C1381" s="40" t="str" cm="1">
        <f t="array" ref="C1381">IFERROR(_xlfn.LET(
_xlpm.CSVVal,_xlfn.XLOOKUP($A1381,CSV!$A:$A,CSV!B:B,""),
_xlpm.MacVal,_xlfn.XLOOKUP($A1381,Output_Mac!$A:$A,Output_Mac!B:B,""),
_xlpm.MyAuditVal,_xlfn.XLOOKUP($A1381,My_Audit!$A:$A,My_Audit!B:B,""),
_xlfn.IFS(_xlpm.MyAuditVal&lt;&gt;"",UPPER(_xlpm.MyAuditVal),_xlpm.MacVal&lt;&gt;"",_xlpm.MacVal,_xlpm.CSVVal&lt;&gt;"",_xlpm.CSVVal
)),"")</f>
        <v/>
      </c>
      <c r="D1381" s="40" t="str" cm="1">
        <f t="array" ref="D1381">IFERROR(_xlfn.LET(
_xlpm.CSVVal,_xlfn.XLOOKUP($A1381,CSV!$A:$A,CSV!D:D,""),
_xlpm.MacVal,_xlfn.XLOOKUP($A1381,Output_Mac!$A:$A,Output_Mac!C:C,""),
_xlpm.MyAuditVal,_xlfn.XLOOKUP($A1381,My_Audit!$A:$A,My_Audit!C:C,""),
_xlfn.IFS(_xlpm.MyAuditVal&lt;&gt;"",_xlpm.MyAuditVal,_xlpm.MacVal&lt;&gt;"",_xlpm.MacVal,_xlpm.CSVVal&lt;&gt;"",_xlpm.CSVVal
)),"")</f>
        <v/>
      </c>
      <c r="E1381" s="40" t="str">
        <f>_xlfn.XLOOKUP(A1381,My_Audit!A:A,My_Audit!D:D,"")</f>
        <v/>
      </c>
      <c r="F1381" s="40" t="str" cm="1">
        <f t="array" ref="F1381">IFERROR(_xlfn.LET(
_xlpm.CSVVal,_xlfn.XLOOKUP($A1381,CSV!$A:$A,CSV!F:F,""),
_xlpm.MacVal,_xlfn.XLOOKUP($A1381,Output_Mac!$A:$A,Output_Mac!E:E,""),
_xlpm.MyAuditVal,_xlfn.XLOOKUP($A1381,My_Audit!$A:$A,My_Audit!E:E,""),
_xlfn.IFS(_xlpm.MyAuditVal&lt;&gt;"",_xlpm.MyAuditVal,_xlpm.MacVal&lt;&gt;"",_xlpm.MacVal,_xlpm.CSVVal&lt;&gt;"",_xlpm.CSVVal
)),"")</f>
        <v/>
      </c>
      <c r="G1381" s="40" t="str" cm="1">
        <f t="array" ref="G1381">IFERROR(_xlfn.LET(
_xlpm.CSVVal,_xlfn.XLOOKUP($A1381,CSV!$A:$A,CSV!G:G,""),
_xlpm.MacVal,_xlfn.XLOOKUP($A1381,Output_Mac!$A:$A,Output_Mac!F:F,""),
_xlpm.MyAuditVal,_xlfn.XLOOKUP($A1381,My_Audit!$A:$A,My_Audit!F:F,""),
_xlfn.IFS(_xlpm.MyAuditVal&lt;&gt;"",_xlpm.MyAuditVal,_xlpm.MacVal&lt;&gt;"",_xlpm.MacVal,_xlpm.CSVVal&lt;&gt;"",PROPER(_xlpm.CSVVal)
)),"")</f>
        <v/>
      </c>
      <c r="H1381" s="40" t="str" cm="1">
        <f t="array" ref="H1381">IFERROR(_xlfn.LET(
_xlpm.CSVVal,_xlfn.XLOOKUP($A1381,CSV!$A:$A,CSV!H:H,""),
_xlpm.MacVal,_xlfn.XLOOKUP($A1381,Output_Mac!$A:$A,Output_Mac!H:H,""),
_xlpm.MyAuditVal,_xlfn.XLOOKUP($A1381,My_Audit!$A:$A,My_Audit!G:G,""),
_xlfn.IFS(_xlpm.MyAuditVal&lt;&gt;"",_xlpm.MyAuditVal,_xlpm.MacVal&lt;&gt;"",_xlpm.MacVal,_xlpm.CSVVal&lt;&gt;"",_xlpm.CSVVal
)),"")</f>
        <v/>
      </c>
      <c r="I1381" s="40" t="str">
        <f>_xlfn.XLOOKUP(A1381,Output_Mac!A:A,Output_Mac!I:I,"")</f>
        <v/>
      </c>
      <c r="J1381" s="40" t="str" cm="1">
        <f t="array" ref="J1381">IFERROR(_xlfn.LET(
_xlpm.CSVVal,_xlfn.XLOOKUP($A1381,CSV!$A:$A,CSV!I:I,""),
_xlpm.MacVal,_xlfn.XLOOKUP($A1381,Output_Mac!$A:$A,Output_Mac!J:J,""),
_xlpm.MyAuditVal,_xlfn.XLOOKUP($A1381,My_Audit!$A:$A,My_Audit!I:I,""),
_xlfn.IFS(_xlpm.MyAuditVal&lt;&gt;"",UPPER(_xlpm.MyAuditVal),_xlpm.MacVal&lt;&gt;"",_xlpm.MacVal,_xlpm.CSVVal&lt;&gt;"",_xlpm.CSVVal
)),"")</f>
        <v/>
      </c>
      <c r="K1381" s="40" t="str" cm="1">
        <f t="array" ref="K1381">IFERROR(_xlfn.LET(
_xlpm.CSVVal,_xlfn.XLOOKUP($A1381,CSV!$A:$A,CSV!K:K,""),
_xlpm.MacVal,_xlfn.XLOOKUP($A1381,Output_Mac!$A:$A,Output_Mac!K:K,""),
_xlpm.MyAuditVal,_xlfn.XLOOKUP($A1381,My_Audit!$A:$A,My_Audit!J:J,""),
_xlfn.IFS(_xlpm.MyAuditVal&lt;&gt;"",UPPER(_xlpm.MyAuditVal),_xlpm.MacVal&lt;&gt;"",_xlpm.MacVal,_xlpm.CSVVal&lt;&gt;"",_xlpm.CSVVal
)),"")</f>
        <v/>
      </c>
      <c r="L1381" s="40" t="str" cm="1">
        <f t="array" ref="L1381">IFERROR(_xlfn.LET(
_xlpm.CSVVal,_xlfn.XLOOKUP($A1381,CSV!$A:$A,CSV!P:P,""),
_xlpm.MacVal,_xlfn.XLOOKUP($A1381,Output_Mac!$A:$A,Output_Mac!L:L,""),
_xlpm.MyAuditVal,_xlfn.XLOOKUP($A1381,My_Audit!$A:$A,My_Audit!K:K,""),
_xlfn.IFS(_xlpm.MyAuditVal&lt;&gt;"",UPPER(_xlpm.MyAuditVal),_xlpm.MacVal&lt;&gt;"",_xlpm.MacVal,_xlpm.CSVVal&lt;&gt;"",_xlpm.CSVVal
)),"")</f>
        <v/>
      </c>
      <c r="M1381" s="40" t="str" cm="1">
        <f t="array" ref="M1381">IFERROR(_xlfn.LET(
_xlpm.CSVVal,_xlfn.XLOOKUP($A1381,CSV!$A:$A,CSV!Q:Q,""),
_xlpm.MacVal,_xlfn.XLOOKUP($A1381,Output_Mac!$A:$A,Output_Mac!M:M,""),
_xlpm.MyAuditVal,_xlfn.XLOOKUP($A1381,My_Audit!$A:$A,My_Audit!L:L,""),
_xlfn.IFS(_xlpm.MyAuditVal&lt;&gt;"",UPPER(_xlpm.MyAuditVal),_xlpm.MacVal&lt;&gt;"",_xlpm.MacVal,_xlpm.CSVVal&lt;&gt;"",_xlpm.CSVVal
)),"")</f>
        <v/>
      </c>
      <c r="N1381" s="40"/>
      <c r="O1381" s="40" t="str">
        <f>_xlfn.LET(
    _xlpm.CSVVal, _xlfn.XLOOKUP($A1381, CSV!$A:$A, CSV!AA:AA, ""),
    _xlpm.MacVal, _xlfn.XLOOKUP($A1381, Output_Mac!$A:$A, Output_Mac!S:S, ""),
    _xlpm.MyAuditVal, _xlfn.XLOOKUP($A1381, My_Audit!$A:$A, My_Audit!P:P, ""),
    _xlfn.TEXTJOIN(", ", TRUE, _xlpm.MyAuditVal, _xlpm.MacVal, _xlpm.CSVVal)
)</f>
        <v/>
      </c>
      <c r="P1381" s="40" t="str" cm="1">
        <f t="array" ref="P1381">IFERROR(_xlfn.LET(
_xlpm.CSVVal,_xlfn.XLOOKUP($A1381,CSV!$A:$A,CSV!AB:AB,""),
_xlpm.MacVal,_xlfn.XLOOKUP($A1381,Output_Mac!$A:$A,Output_Mac!T:T,""),
_xlpm.MyAuditVal,_xlfn.XLOOKUP($A1381,My_Audit!$A:$A,My_Audit!Q:Q,""),
_xlfn.IFS(_xlpm.MyAuditVal&lt;&gt;"",UPPER(_xlpm.MyAuditVal),_xlpm.MacVal&lt;&gt;"",_xlpm.MacVal,_xlpm.CSVVal&lt;&gt;"",_xlpm.CSVVal
)),"No")</f>
        <v>No</v>
      </c>
      <c r="Q1381" s="40" t="str" cm="1">
        <f t="array" ref="Q1381">IFERROR(_xlfn.LET(
_xlpm.CSVVal,_xlfn.XLOOKUP($A1381,CSV!$A:$A,CSV!AC:AC,""),
_xlpm.MacVal,_xlfn.XLOOKUP($A1381,Output_Mac!$A:$A,Output_Mac!U:U,""),
_xlpm.MyAuditVal,_xlfn.XLOOKUP($A1381,My_Audit!$A:$A,My_Audit!R:R,""),
_xlfn.IFS(_xlpm.MyAuditVal&lt;&gt;"",UPPER(_xlpm.MyAuditVal),_xlpm.MacVal&lt;&gt;"",_xlpm.MacVal,_xlpm.CSVVal&lt;&gt;"",_xlpm.CSVVal
)),"")</f>
        <v/>
      </c>
      <c r="R1381" s="40"/>
      <c r="S1381" s="40"/>
      <c r="T1381" s="40"/>
      <c r="U1381" s="40"/>
      <c r="V1381" s="40"/>
      <c r="W1381" s="40"/>
      <c r="X1381" s="41" t="str">
        <f>_xlfn.LET(
    _xlpm.MacVal, _xlfn.XLOOKUP($A1381, Output_Mac!$A:$A, Output_Mac!AB:AB, ""),
    _xlpm.MyAuditVal, _xlfn.XLOOKUP($A1381, My_Audit!$A:$A, My_Audit!N:N, ""),
    _xlfn.TEXTJOIN(", ", TRUE, _xlpm.MyAuditVal, _xlpm.MacVal)
)</f>
        <v/>
      </c>
    </row>
    <row r="1382" spans="1:24">
      <c r="A1382" s="40" t="str">
        <f>_xlfn.TEXTJOIN("",TRUE,Input!$B$2,ROW(My_Audit!A1381))</f>
        <v>X1381</v>
      </c>
      <c r="B1382" s="40" t="str">
        <f>_xlfn.TEXTJOIN("-",TRUE,"ITD",Input!$A$2,A1382)</f>
        <v>ITD-X1381</v>
      </c>
      <c r="C1382" s="40" t="str" cm="1">
        <f t="array" ref="C1382">IFERROR(_xlfn.LET(
_xlpm.CSVVal,_xlfn.XLOOKUP($A1382,CSV!$A:$A,CSV!B:B,""),
_xlpm.MacVal,_xlfn.XLOOKUP($A1382,Output_Mac!$A:$A,Output_Mac!B:B,""),
_xlpm.MyAuditVal,_xlfn.XLOOKUP($A1382,My_Audit!$A:$A,My_Audit!B:B,""),
_xlfn.IFS(_xlpm.MyAuditVal&lt;&gt;"",UPPER(_xlpm.MyAuditVal),_xlpm.MacVal&lt;&gt;"",_xlpm.MacVal,_xlpm.CSVVal&lt;&gt;"",_xlpm.CSVVal
)),"")</f>
        <v/>
      </c>
      <c r="D1382" s="40" t="str" cm="1">
        <f t="array" ref="D1382">IFERROR(_xlfn.LET(
_xlpm.CSVVal,_xlfn.XLOOKUP($A1382,CSV!$A:$A,CSV!D:D,""),
_xlpm.MacVal,_xlfn.XLOOKUP($A1382,Output_Mac!$A:$A,Output_Mac!C:C,""),
_xlpm.MyAuditVal,_xlfn.XLOOKUP($A1382,My_Audit!$A:$A,My_Audit!C:C,""),
_xlfn.IFS(_xlpm.MyAuditVal&lt;&gt;"",_xlpm.MyAuditVal,_xlpm.MacVal&lt;&gt;"",_xlpm.MacVal,_xlpm.CSVVal&lt;&gt;"",_xlpm.CSVVal
)),"")</f>
        <v/>
      </c>
      <c r="E1382" s="40" t="str">
        <f>_xlfn.XLOOKUP(A1382,My_Audit!A:A,My_Audit!D:D,"")</f>
        <v/>
      </c>
      <c r="F1382" s="40" t="str" cm="1">
        <f t="array" ref="F1382">IFERROR(_xlfn.LET(
_xlpm.CSVVal,_xlfn.XLOOKUP($A1382,CSV!$A:$A,CSV!F:F,""),
_xlpm.MacVal,_xlfn.XLOOKUP($A1382,Output_Mac!$A:$A,Output_Mac!E:E,""),
_xlpm.MyAuditVal,_xlfn.XLOOKUP($A1382,My_Audit!$A:$A,My_Audit!E:E,""),
_xlfn.IFS(_xlpm.MyAuditVal&lt;&gt;"",_xlpm.MyAuditVal,_xlpm.MacVal&lt;&gt;"",_xlpm.MacVal,_xlpm.CSVVal&lt;&gt;"",_xlpm.CSVVal
)),"")</f>
        <v/>
      </c>
      <c r="G1382" s="40" t="str" cm="1">
        <f t="array" ref="G1382">IFERROR(_xlfn.LET(
_xlpm.CSVVal,_xlfn.XLOOKUP($A1382,CSV!$A:$A,CSV!G:G,""),
_xlpm.MacVal,_xlfn.XLOOKUP($A1382,Output_Mac!$A:$A,Output_Mac!F:F,""),
_xlpm.MyAuditVal,_xlfn.XLOOKUP($A1382,My_Audit!$A:$A,My_Audit!F:F,""),
_xlfn.IFS(_xlpm.MyAuditVal&lt;&gt;"",_xlpm.MyAuditVal,_xlpm.MacVal&lt;&gt;"",_xlpm.MacVal,_xlpm.CSVVal&lt;&gt;"",PROPER(_xlpm.CSVVal)
)),"")</f>
        <v/>
      </c>
      <c r="H1382" s="40" t="str" cm="1">
        <f t="array" ref="H1382">IFERROR(_xlfn.LET(
_xlpm.CSVVal,_xlfn.XLOOKUP($A1382,CSV!$A:$A,CSV!H:H,""),
_xlpm.MacVal,_xlfn.XLOOKUP($A1382,Output_Mac!$A:$A,Output_Mac!H:H,""),
_xlpm.MyAuditVal,_xlfn.XLOOKUP($A1382,My_Audit!$A:$A,My_Audit!G:G,""),
_xlfn.IFS(_xlpm.MyAuditVal&lt;&gt;"",_xlpm.MyAuditVal,_xlpm.MacVal&lt;&gt;"",_xlpm.MacVal,_xlpm.CSVVal&lt;&gt;"",_xlpm.CSVVal
)),"")</f>
        <v/>
      </c>
      <c r="I1382" s="40" t="str">
        <f>_xlfn.XLOOKUP(A1382,Output_Mac!A:A,Output_Mac!I:I,"")</f>
        <v/>
      </c>
      <c r="J1382" s="40" t="str" cm="1">
        <f t="array" ref="J1382">IFERROR(_xlfn.LET(
_xlpm.CSVVal,_xlfn.XLOOKUP($A1382,CSV!$A:$A,CSV!I:I,""),
_xlpm.MacVal,_xlfn.XLOOKUP($A1382,Output_Mac!$A:$A,Output_Mac!J:J,""),
_xlpm.MyAuditVal,_xlfn.XLOOKUP($A1382,My_Audit!$A:$A,My_Audit!I:I,""),
_xlfn.IFS(_xlpm.MyAuditVal&lt;&gt;"",UPPER(_xlpm.MyAuditVal),_xlpm.MacVal&lt;&gt;"",_xlpm.MacVal,_xlpm.CSVVal&lt;&gt;"",_xlpm.CSVVal
)),"")</f>
        <v/>
      </c>
      <c r="K1382" s="40" t="str" cm="1">
        <f t="array" ref="K1382">IFERROR(_xlfn.LET(
_xlpm.CSVVal,_xlfn.XLOOKUP($A1382,CSV!$A:$A,CSV!K:K,""),
_xlpm.MacVal,_xlfn.XLOOKUP($A1382,Output_Mac!$A:$A,Output_Mac!K:K,""),
_xlpm.MyAuditVal,_xlfn.XLOOKUP($A1382,My_Audit!$A:$A,My_Audit!J:J,""),
_xlfn.IFS(_xlpm.MyAuditVal&lt;&gt;"",UPPER(_xlpm.MyAuditVal),_xlpm.MacVal&lt;&gt;"",_xlpm.MacVal,_xlpm.CSVVal&lt;&gt;"",_xlpm.CSVVal
)),"")</f>
        <v/>
      </c>
      <c r="L1382" s="40" t="str" cm="1">
        <f t="array" ref="L1382">IFERROR(_xlfn.LET(
_xlpm.CSVVal,_xlfn.XLOOKUP($A1382,CSV!$A:$A,CSV!P:P,""),
_xlpm.MacVal,_xlfn.XLOOKUP($A1382,Output_Mac!$A:$A,Output_Mac!L:L,""),
_xlpm.MyAuditVal,_xlfn.XLOOKUP($A1382,My_Audit!$A:$A,My_Audit!K:K,""),
_xlfn.IFS(_xlpm.MyAuditVal&lt;&gt;"",UPPER(_xlpm.MyAuditVal),_xlpm.MacVal&lt;&gt;"",_xlpm.MacVal,_xlpm.CSVVal&lt;&gt;"",_xlpm.CSVVal
)),"")</f>
        <v/>
      </c>
      <c r="M1382" s="40" t="str" cm="1">
        <f t="array" ref="M1382">IFERROR(_xlfn.LET(
_xlpm.CSVVal,_xlfn.XLOOKUP($A1382,CSV!$A:$A,CSV!Q:Q,""),
_xlpm.MacVal,_xlfn.XLOOKUP($A1382,Output_Mac!$A:$A,Output_Mac!M:M,""),
_xlpm.MyAuditVal,_xlfn.XLOOKUP($A1382,My_Audit!$A:$A,My_Audit!L:L,""),
_xlfn.IFS(_xlpm.MyAuditVal&lt;&gt;"",UPPER(_xlpm.MyAuditVal),_xlpm.MacVal&lt;&gt;"",_xlpm.MacVal,_xlpm.CSVVal&lt;&gt;"",_xlpm.CSVVal
)),"")</f>
        <v/>
      </c>
      <c r="N1382" s="40"/>
      <c r="O1382" s="40" t="str">
        <f>_xlfn.LET(
    _xlpm.CSVVal, _xlfn.XLOOKUP($A1382, CSV!$A:$A, CSV!AA:AA, ""),
    _xlpm.MacVal, _xlfn.XLOOKUP($A1382, Output_Mac!$A:$A, Output_Mac!S:S, ""),
    _xlpm.MyAuditVal, _xlfn.XLOOKUP($A1382, My_Audit!$A:$A, My_Audit!P:P, ""),
    _xlfn.TEXTJOIN(", ", TRUE, _xlpm.MyAuditVal, _xlpm.MacVal, _xlpm.CSVVal)
)</f>
        <v/>
      </c>
      <c r="P1382" s="40" t="str" cm="1">
        <f t="array" ref="P1382">IFERROR(_xlfn.LET(
_xlpm.CSVVal,_xlfn.XLOOKUP($A1382,CSV!$A:$A,CSV!AB:AB,""),
_xlpm.MacVal,_xlfn.XLOOKUP($A1382,Output_Mac!$A:$A,Output_Mac!T:T,""),
_xlpm.MyAuditVal,_xlfn.XLOOKUP($A1382,My_Audit!$A:$A,My_Audit!Q:Q,""),
_xlfn.IFS(_xlpm.MyAuditVal&lt;&gt;"",UPPER(_xlpm.MyAuditVal),_xlpm.MacVal&lt;&gt;"",_xlpm.MacVal,_xlpm.CSVVal&lt;&gt;"",_xlpm.CSVVal
)),"No")</f>
        <v>No</v>
      </c>
      <c r="Q1382" s="40" t="str" cm="1">
        <f t="array" ref="Q1382">IFERROR(_xlfn.LET(
_xlpm.CSVVal,_xlfn.XLOOKUP($A1382,CSV!$A:$A,CSV!AC:AC,""),
_xlpm.MacVal,_xlfn.XLOOKUP($A1382,Output_Mac!$A:$A,Output_Mac!U:U,""),
_xlpm.MyAuditVal,_xlfn.XLOOKUP($A1382,My_Audit!$A:$A,My_Audit!R:R,""),
_xlfn.IFS(_xlpm.MyAuditVal&lt;&gt;"",UPPER(_xlpm.MyAuditVal),_xlpm.MacVal&lt;&gt;"",_xlpm.MacVal,_xlpm.CSVVal&lt;&gt;"",_xlpm.CSVVal
)),"")</f>
        <v/>
      </c>
      <c r="R1382" s="40"/>
      <c r="S1382" s="40"/>
      <c r="T1382" s="40"/>
      <c r="U1382" s="40"/>
      <c r="V1382" s="40"/>
      <c r="W1382" s="40"/>
      <c r="X1382" s="41" t="str">
        <f>_xlfn.LET(
    _xlpm.MacVal, _xlfn.XLOOKUP($A1382, Output_Mac!$A:$A, Output_Mac!AB:AB, ""),
    _xlpm.MyAuditVal, _xlfn.XLOOKUP($A1382, My_Audit!$A:$A, My_Audit!N:N, ""),
    _xlfn.TEXTJOIN(", ", TRUE, _xlpm.MyAuditVal, _xlpm.MacVal)
)</f>
        <v/>
      </c>
    </row>
    <row r="1383" spans="1:24">
      <c r="A1383" s="40" t="str">
        <f>_xlfn.TEXTJOIN("",TRUE,Input!$B$2,ROW(My_Audit!A1382))</f>
        <v>X1382</v>
      </c>
      <c r="B1383" s="40" t="str">
        <f>_xlfn.TEXTJOIN("-",TRUE,"ITD",Input!$A$2,A1383)</f>
        <v>ITD-X1382</v>
      </c>
      <c r="C1383" s="40" t="str" cm="1">
        <f t="array" ref="C1383">IFERROR(_xlfn.LET(
_xlpm.CSVVal,_xlfn.XLOOKUP($A1383,CSV!$A:$A,CSV!B:B,""),
_xlpm.MacVal,_xlfn.XLOOKUP($A1383,Output_Mac!$A:$A,Output_Mac!B:B,""),
_xlpm.MyAuditVal,_xlfn.XLOOKUP($A1383,My_Audit!$A:$A,My_Audit!B:B,""),
_xlfn.IFS(_xlpm.MyAuditVal&lt;&gt;"",UPPER(_xlpm.MyAuditVal),_xlpm.MacVal&lt;&gt;"",_xlpm.MacVal,_xlpm.CSVVal&lt;&gt;"",_xlpm.CSVVal
)),"")</f>
        <v/>
      </c>
      <c r="D1383" s="40" t="str" cm="1">
        <f t="array" ref="D1383">IFERROR(_xlfn.LET(
_xlpm.CSVVal,_xlfn.XLOOKUP($A1383,CSV!$A:$A,CSV!D:D,""),
_xlpm.MacVal,_xlfn.XLOOKUP($A1383,Output_Mac!$A:$A,Output_Mac!C:C,""),
_xlpm.MyAuditVal,_xlfn.XLOOKUP($A1383,My_Audit!$A:$A,My_Audit!C:C,""),
_xlfn.IFS(_xlpm.MyAuditVal&lt;&gt;"",_xlpm.MyAuditVal,_xlpm.MacVal&lt;&gt;"",_xlpm.MacVal,_xlpm.CSVVal&lt;&gt;"",_xlpm.CSVVal
)),"")</f>
        <v/>
      </c>
      <c r="E1383" s="40" t="str">
        <f>_xlfn.XLOOKUP(A1383,My_Audit!A:A,My_Audit!D:D,"")</f>
        <v/>
      </c>
      <c r="F1383" s="40" t="str" cm="1">
        <f t="array" ref="F1383">IFERROR(_xlfn.LET(
_xlpm.CSVVal,_xlfn.XLOOKUP($A1383,CSV!$A:$A,CSV!F:F,""),
_xlpm.MacVal,_xlfn.XLOOKUP($A1383,Output_Mac!$A:$A,Output_Mac!E:E,""),
_xlpm.MyAuditVal,_xlfn.XLOOKUP($A1383,My_Audit!$A:$A,My_Audit!E:E,""),
_xlfn.IFS(_xlpm.MyAuditVal&lt;&gt;"",_xlpm.MyAuditVal,_xlpm.MacVal&lt;&gt;"",_xlpm.MacVal,_xlpm.CSVVal&lt;&gt;"",_xlpm.CSVVal
)),"")</f>
        <v/>
      </c>
      <c r="G1383" s="40" t="str" cm="1">
        <f t="array" ref="G1383">IFERROR(_xlfn.LET(
_xlpm.CSVVal,_xlfn.XLOOKUP($A1383,CSV!$A:$A,CSV!G:G,""),
_xlpm.MacVal,_xlfn.XLOOKUP($A1383,Output_Mac!$A:$A,Output_Mac!F:F,""),
_xlpm.MyAuditVal,_xlfn.XLOOKUP($A1383,My_Audit!$A:$A,My_Audit!F:F,""),
_xlfn.IFS(_xlpm.MyAuditVal&lt;&gt;"",_xlpm.MyAuditVal,_xlpm.MacVal&lt;&gt;"",_xlpm.MacVal,_xlpm.CSVVal&lt;&gt;"",PROPER(_xlpm.CSVVal)
)),"")</f>
        <v/>
      </c>
      <c r="H1383" s="40" t="str" cm="1">
        <f t="array" ref="H1383">IFERROR(_xlfn.LET(
_xlpm.CSVVal,_xlfn.XLOOKUP($A1383,CSV!$A:$A,CSV!H:H,""),
_xlpm.MacVal,_xlfn.XLOOKUP($A1383,Output_Mac!$A:$A,Output_Mac!H:H,""),
_xlpm.MyAuditVal,_xlfn.XLOOKUP($A1383,My_Audit!$A:$A,My_Audit!G:G,""),
_xlfn.IFS(_xlpm.MyAuditVal&lt;&gt;"",_xlpm.MyAuditVal,_xlpm.MacVal&lt;&gt;"",_xlpm.MacVal,_xlpm.CSVVal&lt;&gt;"",_xlpm.CSVVal
)),"")</f>
        <v/>
      </c>
      <c r="I1383" s="40" t="str">
        <f>_xlfn.XLOOKUP(A1383,Output_Mac!A:A,Output_Mac!I:I,"")</f>
        <v/>
      </c>
      <c r="J1383" s="40" t="str" cm="1">
        <f t="array" ref="J1383">IFERROR(_xlfn.LET(
_xlpm.CSVVal,_xlfn.XLOOKUP($A1383,CSV!$A:$A,CSV!I:I,""),
_xlpm.MacVal,_xlfn.XLOOKUP($A1383,Output_Mac!$A:$A,Output_Mac!J:J,""),
_xlpm.MyAuditVal,_xlfn.XLOOKUP($A1383,My_Audit!$A:$A,My_Audit!I:I,""),
_xlfn.IFS(_xlpm.MyAuditVal&lt;&gt;"",UPPER(_xlpm.MyAuditVal),_xlpm.MacVal&lt;&gt;"",_xlpm.MacVal,_xlpm.CSVVal&lt;&gt;"",_xlpm.CSVVal
)),"")</f>
        <v/>
      </c>
      <c r="K1383" s="40" t="str" cm="1">
        <f t="array" ref="K1383">IFERROR(_xlfn.LET(
_xlpm.CSVVal,_xlfn.XLOOKUP($A1383,CSV!$A:$A,CSV!K:K,""),
_xlpm.MacVal,_xlfn.XLOOKUP($A1383,Output_Mac!$A:$A,Output_Mac!K:K,""),
_xlpm.MyAuditVal,_xlfn.XLOOKUP($A1383,My_Audit!$A:$A,My_Audit!J:J,""),
_xlfn.IFS(_xlpm.MyAuditVal&lt;&gt;"",UPPER(_xlpm.MyAuditVal),_xlpm.MacVal&lt;&gt;"",_xlpm.MacVal,_xlpm.CSVVal&lt;&gt;"",_xlpm.CSVVal
)),"")</f>
        <v/>
      </c>
      <c r="L1383" s="40" t="str" cm="1">
        <f t="array" ref="L1383">IFERROR(_xlfn.LET(
_xlpm.CSVVal,_xlfn.XLOOKUP($A1383,CSV!$A:$A,CSV!P:P,""),
_xlpm.MacVal,_xlfn.XLOOKUP($A1383,Output_Mac!$A:$A,Output_Mac!L:L,""),
_xlpm.MyAuditVal,_xlfn.XLOOKUP($A1383,My_Audit!$A:$A,My_Audit!K:K,""),
_xlfn.IFS(_xlpm.MyAuditVal&lt;&gt;"",UPPER(_xlpm.MyAuditVal),_xlpm.MacVal&lt;&gt;"",_xlpm.MacVal,_xlpm.CSVVal&lt;&gt;"",_xlpm.CSVVal
)),"")</f>
        <v/>
      </c>
      <c r="M1383" s="40" t="str" cm="1">
        <f t="array" ref="M1383">IFERROR(_xlfn.LET(
_xlpm.CSVVal,_xlfn.XLOOKUP($A1383,CSV!$A:$A,CSV!Q:Q,""),
_xlpm.MacVal,_xlfn.XLOOKUP($A1383,Output_Mac!$A:$A,Output_Mac!M:M,""),
_xlpm.MyAuditVal,_xlfn.XLOOKUP($A1383,My_Audit!$A:$A,My_Audit!L:L,""),
_xlfn.IFS(_xlpm.MyAuditVal&lt;&gt;"",UPPER(_xlpm.MyAuditVal),_xlpm.MacVal&lt;&gt;"",_xlpm.MacVal,_xlpm.CSVVal&lt;&gt;"",_xlpm.CSVVal
)),"")</f>
        <v/>
      </c>
      <c r="N1383" s="40"/>
      <c r="O1383" s="40" t="str">
        <f>_xlfn.LET(
    _xlpm.CSVVal, _xlfn.XLOOKUP($A1383, CSV!$A:$A, CSV!AA:AA, ""),
    _xlpm.MacVal, _xlfn.XLOOKUP($A1383, Output_Mac!$A:$A, Output_Mac!S:S, ""),
    _xlpm.MyAuditVal, _xlfn.XLOOKUP($A1383, My_Audit!$A:$A, My_Audit!P:P, ""),
    _xlfn.TEXTJOIN(", ", TRUE, _xlpm.MyAuditVal, _xlpm.MacVal, _xlpm.CSVVal)
)</f>
        <v/>
      </c>
      <c r="P1383" s="40" t="str" cm="1">
        <f t="array" ref="P1383">IFERROR(_xlfn.LET(
_xlpm.CSVVal,_xlfn.XLOOKUP($A1383,CSV!$A:$A,CSV!AB:AB,""),
_xlpm.MacVal,_xlfn.XLOOKUP($A1383,Output_Mac!$A:$A,Output_Mac!T:T,""),
_xlpm.MyAuditVal,_xlfn.XLOOKUP($A1383,My_Audit!$A:$A,My_Audit!Q:Q,""),
_xlfn.IFS(_xlpm.MyAuditVal&lt;&gt;"",UPPER(_xlpm.MyAuditVal),_xlpm.MacVal&lt;&gt;"",_xlpm.MacVal,_xlpm.CSVVal&lt;&gt;"",_xlpm.CSVVal
)),"No")</f>
        <v>No</v>
      </c>
      <c r="Q1383" s="40" t="str" cm="1">
        <f t="array" ref="Q1383">IFERROR(_xlfn.LET(
_xlpm.CSVVal,_xlfn.XLOOKUP($A1383,CSV!$A:$A,CSV!AC:AC,""),
_xlpm.MacVal,_xlfn.XLOOKUP($A1383,Output_Mac!$A:$A,Output_Mac!U:U,""),
_xlpm.MyAuditVal,_xlfn.XLOOKUP($A1383,My_Audit!$A:$A,My_Audit!R:R,""),
_xlfn.IFS(_xlpm.MyAuditVal&lt;&gt;"",UPPER(_xlpm.MyAuditVal),_xlpm.MacVal&lt;&gt;"",_xlpm.MacVal,_xlpm.CSVVal&lt;&gt;"",_xlpm.CSVVal
)),"")</f>
        <v/>
      </c>
      <c r="R1383" s="40"/>
      <c r="S1383" s="40"/>
      <c r="T1383" s="40"/>
      <c r="U1383" s="40"/>
      <c r="V1383" s="40"/>
      <c r="W1383" s="40"/>
      <c r="X1383" s="41" t="str">
        <f>_xlfn.LET(
    _xlpm.MacVal, _xlfn.XLOOKUP($A1383, Output_Mac!$A:$A, Output_Mac!AB:AB, ""),
    _xlpm.MyAuditVal, _xlfn.XLOOKUP($A1383, My_Audit!$A:$A, My_Audit!N:N, ""),
    _xlfn.TEXTJOIN(", ", TRUE, _xlpm.MyAuditVal, _xlpm.MacVal)
)</f>
        <v/>
      </c>
    </row>
    <row r="1384" spans="1:24">
      <c r="A1384" s="40" t="str">
        <f>_xlfn.TEXTJOIN("",TRUE,Input!$B$2,ROW(My_Audit!A1383))</f>
        <v>X1383</v>
      </c>
      <c r="B1384" s="40" t="str">
        <f>_xlfn.TEXTJOIN("-",TRUE,"ITD",Input!$A$2,A1384)</f>
        <v>ITD-X1383</v>
      </c>
      <c r="C1384" s="40" t="str" cm="1">
        <f t="array" ref="C1384">IFERROR(_xlfn.LET(
_xlpm.CSVVal,_xlfn.XLOOKUP($A1384,CSV!$A:$A,CSV!B:B,""),
_xlpm.MacVal,_xlfn.XLOOKUP($A1384,Output_Mac!$A:$A,Output_Mac!B:B,""),
_xlpm.MyAuditVal,_xlfn.XLOOKUP($A1384,My_Audit!$A:$A,My_Audit!B:B,""),
_xlfn.IFS(_xlpm.MyAuditVal&lt;&gt;"",UPPER(_xlpm.MyAuditVal),_xlpm.MacVal&lt;&gt;"",_xlpm.MacVal,_xlpm.CSVVal&lt;&gt;"",_xlpm.CSVVal
)),"")</f>
        <v/>
      </c>
      <c r="D1384" s="40" t="str" cm="1">
        <f t="array" ref="D1384">IFERROR(_xlfn.LET(
_xlpm.CSVVal,_xlfn.XLOOKUP($A1384,CSV!$A:$A,CSV!D:D,""),
_xlpm.MacVal,_xlfn.XLOOKUP($A1384,Output_Mac!$A:$A,Output_Mac!C:C,""),
_xlpm.MyAuditVal,_xlfn.XLOOKUP($A1384,My_Audit!$A:$A,My_Audit!C:C,""),
_xlfn.IFS(_xlpm.MyAuditVal&lt;&gt;"",_xlpm.MyAuditVal,_xlpm.MacVal&lt;&gt;"",_xlpm.MacVal,_xlpm.CSVVal&lt;&gt;"",_xlpm.CSVVal
)),"")</f>
        <v/>
      </c>
      <c r="E1384" s="40" t="str">
        <f>_xlfn.XLOOKUP(A1384,My_Audit!A:A,My_Audit!D:D,"")</f>
        <v/>
      </c>
      <c r="F1384" s="40" t="str" cm="1">
        <f t="array" ref="F1384">IFERROR(_xlfn.LET(
_xlpm.CSVVal,_xlfn.XLOOKUP($A1384,CSV!$A:$A,CSV!F:F,""),
_xlpm.MacVal,_xlfn.XLOOKUP($A1384,Output_Mac!$A:$A,Output_Mac!E:E,""),
_xlpm.MyAuditVal,_xlfn.XLOOKUP($A1384,My_Audit!$A:$A,My_Audit!E:E,""),
_xlfn.IFS(_xlpm.MyAuditVal&lt;&gt;"",_xlpm.MyAuditVal,_xlpm.MacVal&lt;&gt;"",_xlpm.MacVal,_xlpm.CSVVal&lt;&gt;"",_xlpm.CSVVal
)),"")</f>
        <v/>
      </c>
      <c r="G1384" s="40" t="str" cm="1">
        <f t="array" ref="G1384">IFERROR(_xlfn.LET(
_xlpm.CSVVal,_xlfn.XLOOKUP($A1384,CSV!$A:$A,CSV!G:G,""),
_xlpm.MacVal,_xlfn.XLOOKUP($A1384,Output_Mac!$A:$A,Output_Mac!F:F,""),
_xlpm.MyAuditVal,_xlfn.XLOOKUP($A1384,My_Audit!$A:$A,My_Audit!F:F,""),
_xlfn.IFS(_xlpm.MyAuditVal&lt;&gt;"",_xlpm.MyAuditVal,_xlpm.MacVal&lt;&gt;"",_xlpm.MacVal,_xlpm.CSVVal&lt;&gt;"",PROPER(_xlpm.CSVVal)
)),"")</f>
        <v/>
      </c>
      <c r="H1384" s="40" t="str" cm="1">
        <f t="array" ref="H1384">IFERROR(_xlfn.LET(
_xlpm.CSVVal,_xlfn.XLOOKUP($A1384,CSV!$A:$A,CSV!H:H,""),
_xlpm.MacVal,_xlfn.XLOOKUP($A1384,Output_Mac!$A:$A,Output_Mac!H:H,""),
_xlpm.MyAuditVal,_xlfn.XLOOKUP($A1384,My_Audit!$A:$A,My_Audit!G:G,""),
_xlfn.IFS(_xlpm.MyAuditVal&lt;&gt;"",_xlpm.MyAuditVal,_xlpm.MacVal&lt;&gt;"",_xlpm.MacVal,_xlpm.CSVVal&lt;&gt;"",_xlpm.CSVVal
)),"")</f>
        <v/>
      </c>
      <c r="I1384" s="40" t="str">
        <f>_xlfn.XLOOKUP(A1384,Output_Mac!A:A,Output_Mac!I:I,"")</f>
        <v/>
      </c>
      <c r="J1384" s="40" t="str" cm="1">
        <f t="array" ref="J1384">IFERROR(_xlfn.LET(
_xlpm.CSVVal,_xlfn.XLOOKUP($A1384,CSV!$A:$A,CSV!I:I,""),
_xlpm.MacVal,_xlfn.XLOOKUP($A1384,Output_Mac!$A:$A,Output_Mac!J:J,""),
_xlpm.MyAuditVal,_xlfn.XLOOKUP($A1384,My_Audit!$A:$A,My_Audit!I:I,""),
_xlfn.IFS(_xlpm.MyAuditVal&lt;&gt;"",UPPER(_xlpm.MyAuditVal),_xlpm.MacVal&lt;&gt;"",_xlpm.MacVal,_xlpm.CSVVal&lt;&gt;"",_xlpm.CSVVal
)),"")</f>
        <v/>
      </c>
      <c r="K1384" s="40" t="str" cm="1">
        <f t="array" ref="K1384">IFERROR(_xlfn.LET(
_xlpm.CSVVal,_xlfn.XLOOKUP($A1384,CSV!$A:$A,CSV!K:K,""),
_xlpm.MacVal,_xlfn.XLOOKUP($A1384,Output_Mac!$A:$A,Output_Mac!K:K,""),
_xlpm.MyAuditVal,_xlfn.XLOOKUP($A1384,My_Audit!$A:$A,My_Audit!J:J,""),
_xlfn.IFS(_xlpm.MyAuditVal&lt;&gt;"",UPPER(_xlpm.MyAuditVal),_xlpm.MacVal&lt;&gt;"",_xlpm.MacVal,_xlpm.CSVVal&lt;&gt;"",_xlpm.CSVVal
)),"")</f>
        <v/>
      </c>
      <c r="L1384" s="40" t="str" cm="1">
        <f t="array" ref="L1384">IFERROR(_xlfn.LET(
_xlpm.CSVVal,_xlfn.XLOOKUP($A1384,CSV!$A:$A,CSV!P:P,""),
_xlpm.MacVal,_xlfn.XLOOKUP($A1384,Output_Mac!$A:$A,Output_Mac!L:L,""),
_xlpm.MyAuditVal,_xlfn.XLOOKUP($A1384,My_Audit!$A:$A,My_Audit!K:K,""),
_xlfn.IFS(_xlpm.MyAuditVal&lt;&gt;"",UPPER(_xlpm.MyAuditVal),_xlpm.MacVal&lt;&gt;"",_xlpm.MacVal,_xlpm.CSVVal&lt;&gt;"",_xlpm.CSVVal
)),"")</f>
        <v/>
      </c>
      <c r="M1384" s="40" t="str" cm="1">
        <f t="array" ref="M1384">IFERROR(_xlfn.LET(
_xlpm.CSVVal,_xlfn.XLOOKUP($A1384,CSV!$A:$A,CSV!Q:Q,""),
_xlpm.MacVal,_xlfn.XLOOKUP($A1384,Output_Mac!$A:$A,Output_Mac!M:M,""),
_xlpm.MyAuditVal,_xlfn.XLOOKUP($A1384,My_Audit!$A:$A,My_Audit!L:L,""),
_xlfn.IFS(_xlpm.MyAuditVal&lt;&gt;"",UPPER(_xlpm.MyAuditVal),_xlpm.MacVal&lt;&gt;"",_xlpm.MacVal,_xlpm.CSVVal&lt;&gt;"",_xlpm.CSVVal
)),"")</f>
        <v/>
      </c>
      <c r="N1384" s="40"/>
      <c r="O1384" s="40" t="str">
        <f>_xlfn.LET(
    _xlpm.CSVVal, _xlfn.XLOOKUP($A1384, CSV!$A:$A, CSV!AA:AA, ""),
    _xlpm.MacVal, _xlfn.XLOOKUP($A1384, Output_Mac!$A:$A, Output_Mac!S:S, ""),
    _xlpm.MyAuditVal, _xlfn.XLOOKUP($A1384, My_Audit!$A:$A, My_Audit!P:P, ""),
    _xlfn.TEXTJOIN(", ", TRUE, _xlpm.MyAuditVal, _xlpm.MacVal, _xlpm.CSVVal)
)</f>
        <v/>
      </c>
      <c r="P1384" s="40" t="str" cm="1">
        <f t="array" ref="P1384">IFERROR(_xlfn.LET(
_xlpm.CSVVal,_xlfn.XLOOKUP($A1384,CSV!$A:$A,CSV!AB:AB,""),
_xlpm.MacVal,_xlfn.XLOOKUP($A1384,Output_Mac!$A:$A,Output_Mac!T:T,""),
_xlpm.MyAuditVal,_xlfn.XLOOKUP($A1384,My_Audit!$A:$A,My_Audit!Q:Q,""),
_xlfn.IFS(_xlpm.MyAuditVal&lt;&gt;"",UPPER(_xlpm.MyAuditVal),_xlpm.MacVal&lt;&gt;"",_xlpm.MacVal,_xlpm.CSVVal&lt;&gt;"",_xlpm.CSVVal
)),"No")</f>
        <v>No</v>
      </c>
      <c r="Q1384" s="40" t="str" cm="1">
        <f t="array" ref="Q1384">IFERROR(_xlfn.LET(
_xlpm.CSVVal,_xlfn.XLOOKUP($A1384,CSV!$A:$A,CSV!AC:AC,""),
_xlpm.MacVal,_xlfn.XLOOKUP($A1384,Output_Mac!$A:$A,Output_Mac!U:U,""),
_xlpm.MyAuditVal,_xlfn.XLOOKUP($A1384,My_Audit!$A:$A,My_Audit!R:R,""),
_xlfn.IFS(_xlpm.MyAuditVal&lt;&gt;"",UPPER(_xlpm.MyAuditVal),_xlpm.MacVal&lt;&gt;"",_xlpm.MacVal,_xlpm.CSVVal&lt;&gt;"",_xlpm.CSVVal
)),"")</f>
        <v/>
      </c>
      <c r="R1384" s="40"/>
      <c r="S1384" s="40"/>
      <c r="T1384" s="40"/>
      <c r="U1384" s="40"/>
      <c r="V1384" s="40"/>
      <c r="W1384" s="40"/>
      <c r="X1384" s="41" t="str">
        <f>_xlfn.LET(
    _xlpm.MacVal, _xlfn.XLOOKUP($A1384, Output_Mac!$A:$A, Output_Mac!AB:AB, ""),
    _xlpm.MyAuditVal, _xlfn.XLOOKUP($A1384, My_Audit!$A:$A, My_Audit!N:N, ""),
    _xlfn.TEXTJOIN(", ", TRUE, _xlpm.MyAuditVal, _xlpm.MacVal)
)</f>
        <v/>
      </c>
    </row>
    <row r="1385" spans="1:24">
      <c r="A1385" s="40" t="str">
        <f>_xlfn.TEXTJOIN("",TRUE,Input!$B$2,ROW(My_Audit!A1384))</f>
        <v>X1384</v>
      </c>
      <c r="B1385" s="40" t="str">
        <f>_xlfn.TEXTJOIN("-",TRUE,"ITD",Input!$A$2,A1385)</f>
        <v>ITD-X1384</v>
      </c>
      <c r="C1385" s="40" t="str" cm="1">
        <f t="array" ref="C1385">IFERROR(_xlfn.LET(
_xlpm.CSVVal,_xlfn.XLOOKUP($A1385,CSV!$A:$A,CSV!B:B,""),
_xlpm.MacVal,_xlfn.XLOOKUP($A1385,Output_Mac!$A:$A,Output_Mac!B:B,""),
_xlpm.MyAuditVal,_xlfn.XLOOKUP($A1385,My_Audit!$A:$A,My_Audit!B:B,""),
_xlfn.IFS(_xlpm.MyAuditVal&lt;&gt;"",UPPER(_xlpm.MyAuditVal),_xlpm.MacVal&lt;&gt;"",_xlpm.MacVal,_xlpm.CSVVal&lt;&gt;"",_xlpm.CSVVal
)),"")</f>
        <v/>
      </c>
      <c r="D1385" s="40" t="str" cm="1">
        <f t="array" ref="D1385">IFERROR(_xlfn.LET(
_xlpm.CSVVal,_xlfn.XLOOKUP($A1385,CSV!$A:$A,CSV!D:D,""),
_xlpm.MacVal,_xlfn.XLOOKUP($A1385,Output_Mac!$A:$A,Output_Mac!C:C,""),
_xlpm.MyAuditVal,_xlfn.XLOOKUP($A1385,My_Audit!$A:$A,My_Audit!C:C,""),
_xlfn.IFS(_xlpm.MyAuditVal&lt;&gt;"",_xlpm.MyAuditVal,_xlpm.MacVal&lt;&gt;"",_xlpm.MacVal,_xlpm.CSVVal&lt;&gt;"",_xlpm.CSVVal
)),"")</f>
        <v/>
      </c>
      <c r="E1385" s="40" t="str">
        <f>_xlfn.XLOOKUP(A1385,My_Audit!A:A,My_Audit!D:D,"")</f>
        <v/>
      </c>
      <c r="F1385" s="40" t="str" cm="1">
        <f t="array" ref="F1385">IFERROR(_xlfn.LET(
_xlpm.CSVVal,_xlfn.XLOOKUP($A1385,CSV!$A:$A,CSV!F:F,""),
_xlpm.MacVal,_xlfn.XLOOKUP($A1385,Output_Mac!$A:$A,Output_Mac!E:E,""),
_xlpm.MyAuditVal,_xlfn.XLOOKUP($A1385,My_Audit!$A:$A,My_Audit!E:E,""),
_xlfn.IFS(_xlpm.MyAuditVal&lt;&gt;"",_xlpm.MyAuditVal,_xlpm.MacVal&lt;&gt;"",_xlpm.MacVal,_xlpm.CSVVal&lt;&gt;"",_xlpm.CSVVal
)),"")</f>
        <v/>
      </c>
      <c r="G1385" s="40" t="str" cm="1">
        <f t="array" ref="G1385">IFERROR(_xlfn.LET(
_xlpm.CSVVal,_xlfn.XLOOKUP($A1385,CSV!$A:$A,CSV!G:G,""),
_xlpm.MacVal,_xlfn.XLOOKUP($A1385,Output_Mac!$A:$A,Output_Mac!F:F,""),
_xlpm.MyAuditVal,_xlfn.XLOOKUP($A1385,My_Audit!$A:$A,My_Audit!F:F,""),
_xlfn.IFS(_xlpm.MyAuditVal&lt;&gt;"",_xlpm.MyAuditVal,_xlpm.MacVal&lt;&gt;"",_xlpm.MacVal,_xlpm.CSVVal&lt;&gt;"",PROPER(_xlpm.CSVVal)
)),"")</f>
        <v/>
      </c>
      <c r="H1385" s="40" t="str" cm="1">
        <f t="array" ref="H1385">IFERROR(_xlfn.LET(
_xlpm.CSVVal,_xlfn.XLOOKUP($A1385,CSV!$A:$A,CSV!H:H,""),
_xlpm.MacVal,_xlfn.XLOOKUP($A1385,Output_Mac!$A:$A,Output_Mac!H:H,""),
_xlpm.MyAuditVal,_xlfn.XLOOKUP($A1385,My_Audit!$A:$A,My_Audit!G:G,""),
_xlfn.IFS(_xlpm.MyAuditVal&lt;&gt;"",_xlpm.MyAuditVal,_xlpm.MacVal&lt;&gt;"",_xlpm.MacVal,_xlpm.CSVVal&lt;&gt;"",_xlpm.CSVVal
)),"")</f>
        <v/>
      </c>
      <c r="I1385" s="40" t="str">
        <f>_xlfn.XLOOKUP(A1385,Output_Mac!A:A,Output_Mac!I:I,"")</f>
        <v/>
      </c>
      <c r="J1385" s="40" t="str" cm="1">
        <f t="array" ref="J1385">IFERROR(_xlfn.LET(
_xlpm.CSVVal,_xlfn.XLOOKUP($A1385,CSV!$A:$A,CSV!I:I,""),
_xlpm.MacVal,_xlfn.XLOOKUP($A1385,Output_Mac!$A:$A,Output_Mac!J:J,""),
_xlpm.MyAuditVal,_xlfn.XLOOKUP($A1385,My_Audit!$A:$A,My_Audit!I:I,""),
_xlfn.IFS(_xlpm.MyAuditVal&lt;&gt;"",UPPER(_xlpm.MyAuditVal),_xlpm.MacVal&lt;&gt;"",_xlpm.MacVal,_xlpm.CSVVal&lt;&gt;"",_xlpm.CSVVal
)),"")</f>
        <v/>
      </c>
      <c r="K1385" s="40" t="str" cm="1">
        <f t="array" ref="K1385">IFERROR(_xlfn.LET(
_xlpm.CSVVal,_xlfn.XLOOKUP($A1385,CSV!$A:$A,CSV!K:K,""),
_xlpm.MacVal,_xlfn.XLOOKUP($A1385,Output_Mac!$A:$A,Output_Mac!K:K,""),
_xlpm.MyAuditVal,_xlfn.XLOOKUP($A1385,My_Audit!$A:$A,My_Audit!J:J,""),
_xlfn.IFS(_xlpm.MyAuditVal&lt;&gt;"",UPPER(_xlpm.MyAuditVal),_xlpm.MacVal&lt;&gt;"",_xlpm.MacVal,_xlpm.CSVVal&lt;&gt;"",_xlpm.CSVVal
)),"")</f>
        <v/>
      </c>
      <c r="L1385" s="40" t="str" cm="1">
        <f t="array" ref="L1385">IFERROR(_xlfn.LET(
_xlpm.CSVVal,_xlfn.XLOOKUP($A1385,CSV!$A:$A,CSV!P:P,""),
_xlpm.MacVal,_xlfn.XLOOKUP($A1385,Output_Mac!$A:$A,Output_Mac!L:L,""),
_xlpm.MyAuditVal,_xlfn.XLOOKUP($A1385,My_Audit!$A:$A,My_Audit!K:K,""),
_xlfn.IFS(_xlpm.MyAuditVal&lt;&gt;"",UPPER(_xlpm.MyAuditVal),_xlpm.MacVal&lt;&gt;"",_xlpm.MacVal,_xlpm.CSVVal&lt;&gt;"",_xlpm.CSVVal
)),"")</f>
        <v/>
      </c>
      <c r="M1385" s="40" t="str" cm="1">
        <f t="array" ref="M1385">IFERROR(_xlfn.LET(
_xlpm.CSVVal,_xlfn.XLOOKUP($A1385,CSV!$A:$A,CSV!Q:Q,""),
_xlpm.MacVal,_xlfn.XLOOKUP($A1385,Output_Mac!$A:$A,Output_Mac!M:M,""),
_xlpm.MyAuditVal,_xlfn.XLOOKUP($A1385,My_Audit!$A:$A,My_Audit!L:L,""),
_xlfn.IFS(_xlpm.MyAuditVal&lt;&gt;"",UPPER(_xlpm.MyAuditVal),_xlpm.MacVal&lt;&gt;"",_xlpm.MacVal,_xlpm.CSVVal&lt;&gt;"",_xlpm.CSVVal
)),"")</f>
        <v/>
      </c>
      <c r="N1385" s="40"/>
      <c r="O1385" s="40" t="str">
        <f>_xlfn.LET(
    _xlpm.CSVVal, _xlfn.XLOOKUP($A1385, CSV!$A:$A, CSV!AA:AA, ""),
    _xlpm.MacVal, _xlfn.XLOOKUP($A1385, Output_Mac!$A:$A, Output_Mac!S:S, ""),
    _xlpm.MyAuditVal, _xlfn.XLOOKUP($A1385, My_Audit!$A:$A, My_Audit!P:P, ""),
    _xlfn.TEXTJOIN(", ", TRUE, _xlpm.MyAuditVal, _xlpm.MacVal, _xlpm.CSVVal)
)</f>
        <v/>
      </c>
      <c r="P1385" s="40" t="str" cm="1">
        <f t="array" ref="P1385">IFERROR(_xlfn.LET(
_xlpm.CSVVal,_xlfn.XLOOKUP($A1385,CSV!$A:$A,CSV!AB:AB,""),
_xlpm.MacVal,_xlfn.XLOOKUP($A1385,Output_Mac!$A:$A,Output_Mac!T:T,""),
_xlpm.MyAuditVal,_xlfn.XLOOKUP($A1385,My_Audit!$A:$A,My_Audit!Q:Q,""),
_xlfn.IFS(_xlpm.MyAuditVal&lt;&gt;"",UPPER(_xlpm.MyAuditVal),_xlpm.MacVal&lt;&gt;"",_xlpm.MacVal,_xlpm.CSVVal&lt;&gt;"",_xlpm.CSVVal
)),"No")</f>
        <v>No</v>
      </c>
      <c r="Q1385" s="40" t="str" cm="1">
        <f t="array" ref="Q1385">IFERROR(_xlfn.LET(
_xlpm.CSVVal,_xlfn.XLOOKUP($A1385,CSV!$A:$A,CSV!AC:AC,""),
_xlpm.MacVal,_xlfn.XLOOKUP($A1385,Output_Mac!$A:$A,Output_Mac!U:U,""),
_xlpm.MyAuditVal,_xlfn.XLOOKUP($A1385,My_Audit!$A:$A,My_Audit!R:R,""),
_xlfn.IFS(_xlpm.MyAuditVal&lt;&gt;"",UPPER(_xlpm.MyAuditVal),_xlpm.MacVal&lt;&gt;"",_xlpm.MacVal,_xlpm.CSVVal&lt;&gt;"",_xlpm.CSVVal
)),"")</f>
        <v/>
      </c>
      <c r="R1385" s="40"/>
      <c r="S1385" s="40"/>
      <c r="T1385" s="40"/>
      <c r="U1385" s="40"/>
      <c r="V1385" s="40"/>
      <c r="W1385" s="40"/>
      <c r="X1385" s="41" t="str">
        <f>_xlfn.LET(
    _xlpm.MacVal, _xlfn.XLOOKUP($A1385, Output_Mac!$A:$A, Output_Mac!AB:AB, ""),
    _xlpm.MyAuditVal, _xlfn.XLOOKUP($A1385, My_Audit!$A:$A, My_Audit!N:N, ""),
    _xlfn.TEXTJOIN(", ", TRUE, _xlpm.MyAuditVal, _xlpm.MacVal)
)</f>
        <v/>
      </c>
    </row>
    <row r="1386" spans="1:24">
      <c r="A1386" s="40" t="str">
        <f>_xlfn.TEXTJOIN("",TRUE,Input!$B$2,ROW(My_Audit!A1385))</f>
        <v>X1385</v>
      </c>
      <c r="B1386" s="40" t="str">
        <f>_xlfn.TEXTJOIN("-",TRUE,"ITD",Input!$A$2,A1386)</f>
        <v>ITD-X1385</v>
      </c>
      <c r="C1386" s="40" t="str" cm="1">
        <f t="array" ref="C1386">IFERROR(_xlfn.LET(
_xlpm.CSVVal,_xlfn.XLOOKUP($A1386,CSV!$A:$A,CSV!B:B,""),
_xlpm.MacVal,_xlfn.XLOOKUP($A1386,Output_Mac!$A:$A,Output_Mac!B:B,""),
_xlpm.MyAuditVal,_xlfn.XLOOKUP($A1386,My_Audit!$A:$A,My_Audit!B:B,""),
_xlfn.IFS(_xlpm.MyAuditVal&lt;&gt;"",UPPER(_xlpm.MyAuditVal),_xlpm.MacVal&lt;&gt;"",_xlpm.MacVal,_xlpm.CSVVal&lt;&gt;"",_xlpm.CSVVal
)),"")</f>
        <v/>
      </c>
      <c r="D1386" s="40" t="str" cm="1">
        <f t="array" ref="D1386">IFERROR(_xlfn.LET(
_xlpm.CSVVal,_xlfn.XLOOKUP($A1386,CSV!$A:$A,CSV!D:D,""),
_xlpm.MacVal,_xlfn.XLOOKUP($A1386,Output_Mac!$A:$A,Output_Mac!C:C,""),
_xlpm.MyAuditVal,_xlfn.XLOOKUP($A1386,My_Audit!$A:$A,My_Audit!C:C,""),
_xlfn.IFS(_xlpm.MyAuditVal&lt;&gt;"",_xlpm.MyAuditVal,_xlpm.MacVal&lt;&gt;"",_xlpm.MacVal,_xlpm.CSVVal&lt;&gt;"",_xlpm.CSVVal
)),"")</f>
        <v/>
      </c>
      <c r="E1386" s="40" t="str">
        <f>_xlfn.XLOOKUP(A1386,My_Audit!A:A,My_Audit!D:D,"")</f>
        <v/>
      </c>
      <c r="F1386" s="40" t="str" cm="1">
        <f t="array" ref="F1386">IFERROR(_xlfn.LET(
_xlpm.CSVVal,_xlfn.XLOOKUP($A1386,CSV!$A:$A,CSV!F:F,""),
_xlpm.MacVal,_xlfn.XLOOKUP($A1386,Output_Mac!$A:$A,Output_Mac!E:E,""),
_xlpm.MyAuditVal,_xlfn.XLOOKUP($A1386,My_Audit!$A:$A,My_Audit!E:E,""),
_xlfn.IFS(_xlpm.MyAuditVal&lt;&gt;"",_xlpm.MyAuditVal,_xlpm.MacVal&lt;&gt;"",_xlpm.MacVal,_xlpm.CSVVal&lt;&gt;"",_xlpm.CSVVal
)),"")</f>
        <v/>
      </c>
      <c r="G1386" s="40" t="str" cm="1">
        <f t="array" ref="G1386">IFERROR(_xlfn.LET(
_xlpm.CSVVal,_xlfn.XLOOKUP($A1386,CSV!$A:$A,CSV!G:G,""),
_xlpm.MacVal,_xlfn.XLOOKUP($A1386,Output_Mac!$A:$A,Output_Mac!F:F,""),
_xlpm.MyAuditVal,_xlfn.XLOOKUP($A1386,My_Audit!$A:$A,My_Audit!F:F,""),
_xlfn.IFS(_xlpm.MyAuditVal&lt;&gt;"",_xlpm.MyAuditVal,_xlpm.MacVal&lt;&gt;"",_xlpm.MacVal,_xlpm.CSVVal&lt;&gt;"",PROPER(_xlpm.CSVVal)
)),"")</f>
        <v/>
      </c>
      <c r="H1386" s="40" t="str" cm="1">
        <f t="array" ref="H1386">IFERROR(_xlfn.LET(
_xlpm.CSVVal,_xlfn.XLOOKUP($A1386,CSV!$A:$A,CSV!H:H,""),
_xlpm.MacVal,_xlfn.XLOOKUP($A1386,Output_Mac!$A:$A,Output_Mac!H:H,""),
_xlpm.MyAuditVal,_xlfn.XLOOKUP($A1386,My_Audit!$A:$A,My_Audit!G:G,""),
_xlfn.IFS(_xlpm.MyAuditVal&lt;&gt;"",_xlpm.MyAuditVal,_xlpm.MacVal&lt;&gt;"",_xlpm.MacVal,_xlpm.CSVVal&lt;&gt;"",_xlpm.CSVVal
)),"")</f>
        <v/>
      </c>
      <c r="I1386" s="40" t="str">
        <f>_xlfn.XLOOKUP(A1386,Output_Mac!A:A,Output_Mac!I:I,"")</f>
        <v/>
      </c>
      <c r="J1386" s="40" t="str" cm="1">
        <f t="array" ref="J1386">IFERROR(_xlfn.LET(
_xlpm.CSVVal,_xlfn.XLOOKUP($A1386,CSV!$A:$A,CSV!I:I,""),
_xlpm.MacVal,_xlfn.XLOOKUP($A1386,Output_Mac!$A:$A,Output_Mac!J:J,""),
_xlpm.MyAuditVal,_xlfn.XLOOKUP($A1386,My_Audit!$A:$A,My_Audit!I:I,""),
_xlfn.IFS(_xlpm.MyAuditVal&lt;&gt;"",UPPER(_xlpm.MyAuditVal),_xlpm.MacVal&lt;&gt;"",_xlpm.MacVal,_xlpm.CSVVal&lt;&gt;"",_xlpm.CSVVal
)),"")</f>
        <v/>
      </c>
      <c r="K1386" s="40" t="str" cm="1">
        <f t="array" ref="K1386">IFERROR(_xlfn.LET(
_xlpm.CSVVal,_xlfn.XLOOKUP($A1386,CSV!$A:$A,CSV!K:K,""),
_xlpm.MacVal,_xlfn.XLOOKUP($A1386,Output_Mac!$A:$A,Output_Mac!K:K,""),
_xlpm.MyAuditVal,_xlfn.XLOOKUP($A1386,My_Audit!$A:$A,My_Audit!J:J,""),
_xlfn.IFS(_xlpm.MyAuditVal&lt;&gt;"",UPPER(_xlpm.MyAuditVal),_xlpm.MacVal&lt;&gt;"",_xlpm.MacVal,_xlpm.CSVVal&lt;&gt;"",_xlpm.CSVVal
)),"")</f>
        <v/>
      </c>
      <c r="L1386" s="40" t="str" cm="1">
        <f t="array" ref="L1386">IFERROR(_xlfn.LET(
_xlpm.CSVVal,_xlfn.XLOOKUP($A1386,CSV!$A:$A,CSV!P:P,""),
_xlpm.MacVal,_xlfn.XLOOKUP($A1386,Output_Mac!$A:$A,Output_Mac!L:L,""),
_xlpm.MyAuditVal,_xlfn.XLOOKUP($A1386,My_Audit!$A:$A,My_Audit!K:K,""),
_xlfn.IFS(_xlpm.MyAuditVal&lt;&gt;"",UPPER(_xlpm.MyAuditVal),_xlpm.MacVal&lt;&gt;"",_xlpm.MacVal,_xlpm.CSVVal&lt;&gt;"",_xlpm.CSVVal
)),"")</f>
        <v/>
      </c>
      <c r="M1386" s="40" t="str" cm="1">
        <f t="array" ref="M1386">IFERROR(_xlfn.LET(
_xlpm.CSVVal,_xlfn.XLOOKUP($A1386,CSV!$A:$A,CSV!Q:Q,""),
_xlpm.MacVal,_xlfn.XLOOKUP($A1386,Output_Mac!$A:$A,Output_Mac!M:M,""),
_xlpm.MyAuditVal,_xlfn.XLOOKUP($A1386,My_Audit!$A:$A,My_Audit!L:L,""),
_xlfn.IFS(_xlpm.MyAuditVal&lt;&gt;"",UPPER(_xlpm.MyAuditVal),_xlpm.MacVal&lt;&gt;"",_xlpm.MacVal,_xlpm.CSVVal&lt;&gt;"",_xlpm.CSVVal
)),"")</f>
        <v/>
      </c>
      <c r="N1386" s="40"/>
      <c r="O1386" s="40" t="str">
        <f>_xlfn.LET(
    _xlpm.CSVVal, _xlfn.XLOOKUP($A1386, CSV!$A:$A, CSV!AA:AA, ""),
    _xlpm.MacVal, _xlfn.XLOOKUP($A1386, Output_Mac!$A:$A, Output_Mac!S:S, ""),
    _xlpm.MyAuditVal, _xlfn.XLOOKUP($A1386, My_Audit!$A:$A, My_Audit!P:P, ""),
    _xlfn.TEXTJOIN(", ", TRUE, _xlpm.MyAuditVal, _xlpm.MacVal, _xlpm.CSVVal)
)</f>
        <v/>
      </c>
      <c r="P1386" s="40" t="str" cm="1">
        <f t="array" ref="P1386">IFERROR(_xlfn.LET(
_xlpm.CSVVal,_xlfn.XLOOKUP($A1386,CSV!$A:$A,CSV!AB:AB,""),
_xlpm.MacVal,_xlfn.XLOOKUP($A1386,Output_Mac!$A:$A,Output_Mac!T:T,""),
_xlpm.MyAuditVal,_xlfn.XLOOKUP($A1386,My_Audit!$A:$A,My_Audit!Q:Q,""),
_xlfn.IFS(_xlpm.MyAuditVal&lt;&gt;"",UPPER(_xlpm.MyAuditVal),_xlpm.MacVal&lt;&gt;"",_xlpm.MacVal,_xlpm.CSVVal&lt;&gt;"",_xlpm.CSVVal
)),"No")</f>
        <v>No</v>
      </c>
      <c r="Q1386" s="40" t="str" cm="1">
        <f t="array" ref="Q1386">IFERROR(_xlfn.LET(
_xlpm.CSVVal,_xlfn.XLOOKUP($A1386,CSV!$A:$A,CSV!AC:AC,""),
_xlpm.MacVal,_xlfn.XLOOKUP($A1386,Output_Mac!$A:$A,Output_Mac!U:U,""),
_xlpm.MyAuditVal,_xlfn.XLOOKUP($A1386,My_Audit!$A:$A,My_Audit!R:R,""),
_xlfn.IFS(_xlpm.MyAuditVal&lt;&gt;"",UPPER(_xlpm.MyAuditVal),_xlpm.MacVal&lt;&gt;"",_xlpm.MacVal,_xlpm.CSVVal&lt;&gt;"",_xlpm.CSVVal
)),"")</f>
        <v/>
      </c>
      <c r="R1386" s="40"/>
      <c r="S1386" s="40"/>
      <c r="T1386" s="40"/>
      <c r="U1386" s="40"/>
      <c r="V1386" s="40"/>
      <c r="W1386" s="40"/>
      <c r="X1386" s="41" t="str">
        <f>_xlfn.LET(
    _xlpm.MacVal, _xlfn.XLOOKUP($A1386, Output_Mac!$A:$A, Output_Mac!AB:AB, ""),
    _xlpm.MyAuditVal, _xlfn.XLOOKUP($A1386, My_Audit!$A:$A, My_Audit!N:N, ""),
    _xlfn.TEXTJOIN(", ", TRUE, _xlpm.MyAuditVal, _xlpm.MacVal)
)</f>
        <v/>
      </c>
    </row>
    <row r="1387" spans="1:24">
      <c r="A1387" s="40" t="str">
        <f>_xlfn.TEXTJOIN("",TRUE,Input!$B$2,ROW(My_Audit!A1386))</f>
        <v>X1386</v>
      </c>
      <c r="B1387" s="40" t="str">
        <f>_xlfn.TEXTJOIN("-",TRUE,"ITD",Input!$A$2,A1387)</f>
        <v>ITD-X1386</v>
      </c>
      <c r="C1387" s="40" t="str" cm="1">
        <f t="array" ref="C1387">IFERROR(_xlfn.LET(
_xlpm.CSVVal,_xlfn.XLOOKUP($A1387,CSV!$A:$A,CSV!B:B,""),
_xlpm.MacVal,_xlfn.XLOOKUP($A1387,Output_Mac!$A:$A,Output_Mac!B:B,""),
_xlpm.MyAuditVal,_xlfn.XLOOKUP($A1387,My_Audit!$A:$A,My_Audit!B:B,""),
_xlfn.IFS(_xlpm.MyAuditVal&lt;&gt;"",UPPER(_xlpm.MyAuditVal),_xlpm.MacVal&lt;&gt;"",_xlpm.MacVal,_xlpm.CSVVal&lt;&gt;"",_xlpm.CSVVal
)),"")</f>
        <v/>
      </c>
      <c r="D1387" s="40" t="str" cm="1">
        <f t="array" ref="D1387">IFERROR(_xlfn.LET(
_xlpm.CSVVal,_xlfn.XLOOKUP($A1387,CSV!$A:$A,CSV!D:D,""),
_xlpm.MacVal,_xlfn.XLOOKUP($A1387,Output_Mac!$A:$A,Output_Mac!C:C,""),
_xlpm.MyAuditVal,_xlfn.XLOOKUP($A1387,My_Audit!$A:$A,My_Audit!C:C,""),
_xlfn.IFS(_xlpm.MyAuditVal&lt;&gt;"",_xlpm.MyAuditVal,_xlpm.MacVal&lt;&gt;"",_xlpm.MacVal,_xlpm.CSVVal&lt;&gt;"",_xlpm.CSVVal
)),"")</f>
        <v/>
      </c>
      <c r="E1387" s="40" t="str">
        <f>_xlfn.XLOOKUP(A1387,My_Audit!A:A,My_Audit!D:D,"")</f>
        <v/>
      </c>
      <c r="F1387" s="40" t="str" cm="1">
        <f t="array" ref="F1387">IFERROR(_xlfn.LET(
_xlpm.CSVVal,_xlfn.XLOOKUP($A1387,CSV!$A:$A,CSV!F:F,""),
_xlpm.MacVal,_xlfn.XLOOKUP($A1387,Output_Mac!$A:$A,Output_Mac!E:E,""),
_xlpm.MyAuditVal,_xlfn.XLOOKUP($A1387,My_Audit!$A:$A,My_Audit!E:E,""),
_xlfn.IFS(_xlpm.MyAuditVal&lt;&gt;"",_xlpm.MyAuditVal,_xlpm.MacVal&lt;&gt;"",_xlpm.MacVal,_xlpm.CSVVal&lt;&gt;"",_xlpm.CSVVal
)),"")</f>
        <v/>
      </c>
      <c r="G1387" s="40" t="str" cm="1">
        <f t="array" ref="G1387">IFERROR(_xlfn.LET(
_xlpm.CSVVal,_xlfn.XLOOKUP($A1387,CSV!$A:$A,CSV!G:G,""),
_xlpm.MacVal,_xlfn.XLOOKUP($A1387,Output_Mac!$A:$A,Output_Mac!F:F,""),
_xlpm.MyAuditVal,_xlfn.XLOOKUP($A1387,My_Audit!$A:$A,My_Audit!F:F,""),
_xlfn.IFS(_xlpm.MyAuditVal&lt;&gt;"",_xlpm.MyAuditVal,_xlpm.MacVal&lt;&gt;"",_xlpm.MacVal,_xlpm.CSVVal&lt;&gt;"",PROPER(_xlpm.CSVVal)
)),"")</f>
        <v/>
      </c>
      <c r="H1387" s="40" t="str" cm="1">
        <f t="array" ref="H1387">IFERROR(_xlfn.LET(
_xlpm.CSVVal,_xlfn.XLOOKUP($A1387,CSV!$A:$A,CSV!H:H,""),
_xlpm.MacVal,_xlfn.XLOOKUP($A1387,Output_Mac!$A:$A,Output_Mac!H:H,""),
_xlpm.MyAuditVal,_xlfn.XLOOKUP($A1387,My_Audit!$A:$A,My_Audit!G:G,""),
_xlfn.IFS(_xlpm.MyAuditVal&lt;&gt;"",_xlpm.MyAuditVal,_xlpm.MacVal&lt;&gt;"",_xlpm.MacVal,_xlpm.CSVVal&lt;&gt;"",_xlpm.CSVVal
)),"")</f>
        <v/>
      </c>
      <c r="I1387" s="40" t="str">
        <f>_xlfn.XLOOKUP(A1387,Output_Mac!A:A,Output_Mac!I:I,"")</f>
        <v/>
      </c>
      <c r="J1387" s="40" t="str" cm="1">
        <f t="array" ref="J1387">IFERROR(_xlfn.LET(
_xlpm.CSVVal,_xlfn.XLOOKUP($A1387,CSV!$A:$A,CSV!I:I,""),
_xlpm.MacVal,_xlfn.XLOOKUP($A1387,Output_Mac!$A:$A,Output_Mac!J:J,""),
_xlpm.MyAuditVal,_xlfn.XLOOKUP($A1387,My_Audit!$A:$A,My_Audit!I:I,""),
_xlfn.IFS(_xlpm.MyAuditVal&lt;&gt;"",UPPER(_xlpm.MyAuditVal),_xlpm.MacVal&lt;&gt;"",_xlpm.MacVal,_xlpm.CSVVal&lt;&gt;"",_xlpm.CSVVal
)),"")</f>
        <v/>
      </c>
      <c r="K1387" s="40" t="str" cm="1">
        <f t="array" ref="K1387">IFERROR(_xlfn.LET(
_xlpm.CSVVal,_xlfn.XLOOKUP($A1387,CSV!$A:$A,CSV!K:K,""),
_xlpm.MacVal,_xlfn.XLOOKUP($A1387,Output_Mac!$A:$A,Output_Mac!K:K,""),
_xlpm.MyAuditVal,_xlfn.XLOOKUP($A1387,My_Audit!$A:$A,My_Audit!J:J,""),
_xlfn.IFS(_xlpm.MyAuditVal&lt;&gt;"",UPPER(_xlpm.MyAuditVal),_xlpm.MacVal&lt;&gt;"",_xlpm.MacVal,_xlpm.CSVVal&lt;&gt;"",_xlpm.CSVVal
)),"")</f>
        <v/>
      </c>
      <c r="L1387" s="40" t="str" cm="1">
        <f t="array" ref="L1387">IFERROR(_xlfn.LET(
_xlpm.CSVVal,_xlfn.XLOOKUP($A1387,CSV!$A:$A,CSV!P:P,""),
_xlpm.MacVal,_xlfn.XLOOKUP($A1387,Output_Mac!$A:$A,Output_Mac!L:L,""),
_xlpm.MyAuditVal,_xlfn.XLOOKUP($A1387,My_Audit!$A:$A,My_Audit!K:K,""),
_xlfn.IFS(_xlpm.MyAuditVal&lt;&gt;"",UPPER(_xlpm.MyAuditVal),_xlpm.MacVal&lt;&gt;"",_xlpm.MacVal,_xlpm.CSVVal&lt;&gt;"",_xlpm.CSVVal
)),"")</f>
        <v/>
      </c>
      <c r="M1387" s="40" t="str" cm="1">
        <f t="array" ref="M1387">IFERROR(_xlfn.LET(
_xlpm.CSVVal,_xlfn.XLOOKUP($A1387,CSV!$A:$A,CSV!Q:Q,""),
_xlpm.MacVal,_xlfn.XLOOKUP($A1387,Output_Mac!$A:$A,Output_Mac!M:M,""),
_xlpm.MyAuditVal,_xlfn.XLOOKUP($A1387,My_Audit!$A:$A,My_Audit!L:L,""),
_xlfn.IFS(_xlpm.MyAuditVal&lt;&gt;"",UPPER(_xlpm.MyAuditVal),_xlpm.MacVal&lt;&gt;"",_xlpm.MacVal,_xlpm.CSVVal&lt;&gt;"",_xlpm.CSVVal
)),"")</f>
        <v/>
      </c>
      <c r="N1387" s="40"/>
      <c r="O1387" s="40" t="str">
        <f>_xlfn.LET(
    _xlpm.CSVVal, _xlfn.XLOOKUP($A1387, CSV!$A:$A, CSV!AA:AA, ""),
    _xlpm.MacVal, _xlfn.XLOOKUP($A1387, Output_Mac!$A:$A, Output_Mac!S:S, ""),
    _xlpm.MyAuditVal, _xlfn.XLOOKUP($A1387, My_Audit!$A:$A, My_Audit!P:P, ""),
    _xlfn.TEXTJOIN(", ", TRUE, _xlpm.MyAuditVal, _xlpm.MacVal, _xlpm.CSVVal)
)</f>
        <v/>
      </c>
      <c r="P1387" s="40" t="str" cm="1">
        <f t="array" ref="P1387">IFERROR(_xlfn.LET(
_xlpm.CSVVal,_xlfn.XLOOKUP($A1387,CSV!$A:$A,CSV!AB:AB,""),
_xlpm.MacVal,_xlfn.XLOOKUP($A1387,Output_Mac!$A:$A,Output_Mac!T:T,""),
_xlpm.MyAuditVal,_xlfn.XLOOKUP($A1387,My_Audit!$A:$A,My_Audit!Q:Q,""),
_xlfn.IFS(_xlpm.MyAuditVal&lt;&gt;"",UPPER(_xlpm.MyAuditVal),_xlpm.MacVal&lt;&gt;"",_xlpm.MacVal,_xlpm.CSVVal&lt;&gt;"",_xlpm.CSVVal
)),"No")</f>
        <v>No</v>
      </c>
      <c r="Q1387" s="40" t="str" cm="1">
        <f t="array" ref="Q1387">IFERROR(_xlfn.LET(
_xlpm.CSVVal,_xlfn.XLOOKUP($A1387,CSV!$A:$A,CSV!AC:AC,""),
_xlpm.MacVal,_xlfn.XLOOKUP($A1387,Output_Mac!$A:$A,Output_Mac!U:U,""),
_xlpm.MyAuditVal,_xlfn.XLOOKUP($A1387,My_Audit!$A:$A,My_Audit!R:R,""),
_xlfn.IFS(_xlpm.MyAuditVal&lt;&gt;"",UPPER(_xlpm.MyAuditVal),_xlpm.MacVal&lt;&gt;"",_xlpm.MacVal,_xlpm.CSVVal&lt;&gt;"",_xlpm.CSVVal
)),"")</f>
        <v/>
      </c>
      <c r="R1387" s="40"/>
      <c r="S1387" s="40"/>
      <c r="T1387" s="40"/>
      <c r="U1387" s="40"/>
      <c r="V1387" s="40"/>
      <c r="W1387" s="40"/>
      <c r="X1387" s="41" t="str">
        <f>_xlfn.LET(
    _xlpm.MacVal, _xlfn.XLOOKUP($A1387, Output_Mac!$A:$A, Output_Mac!AB:AB, ""),
    _xlpm.MyAuditVal, _xlfn.XLOOKUP($A1387, My_Audit!$A:$A, My_Audit!N:N, ""),
    _xlfn.TEXTJOIN(", ", TRUE, _xlpm.MyAuditVal, _xlpm.MacVal)
)</f>
        <v/>
      </c>
    </row>
    <row r="1388" spans="1:24">
      <c r="A1388" s="40" t="str">
        <f>_xlfn.TEXTJOIN("",TRUE,Input!$B$2,ROW(My_Audit!A1387))</f>
        <v>X1387</v>
      </c>
      <c r="B1388" s="40" t="str">
        <f>_xlfn.TEXTJOIN("-",TRUE,"ITD",Input!$A$2,A1388)</f>
        <v>ITD-X1387</v>
      </c>
      <c r="C1388" s="40" t="str" cm="1">
        <f t="array" ref="C1388">IFERROR(_xlfn.LET(
_xlpm.CSVVal,_xlfn.XLOOKUP($A1388,CSV!$A:$A,CSV!B:B,""),
_xlpm.MacVal,_xlfn.XLOOKUP($A1388,Output_Mac!$A:$A,Output_Mac!B:B,""),
_xlpm.MyAuditVal,_xlfn.XLOOKUP($A1388,My_Audit!$A:$A,My_Audit!B:B,""),
_xlfn.IFS(_xlpm.MyAuditVal&lt;&gt;"",UPPER(_xlpm.MyAuditVal),_xlpm.MacVal&lt;&gt;"",_xlpm.MacVal,_xlpm.CSVVal&lt;&gt;"",_xlpm.CSVVal
)),"")</f>
        <v/>
      </c>
      <c r="D1388" s="40" t="str" cm="1">
        <f t="array" ref="D1388">IFERROR(_xlfn.LET(
_xlpm.CSVVal,_xlfn.XLOOKUP($A1388,CSV!$A:$A,CSV!D:D,""),
_xlpm.MacVal,_xlfn.XLOOKUP($A1388,Output_Mac!$A:$A,Output_Mac!C:C,""),
_xlpm.MyAuditVal,_xlfn.XLOOKUP($A1388,My_Audit!$A:$A,My_Audit!C:C,""),
_xlfn.IFS(_xlpm.MyAuditVal&lt;&gt;"",_xlpm.MyAuditVal,_xlpm.MacVal&lt;&gt;"",_xlpm.MacVal,_xlpm.CSVVal&lt;&gt;"",_xlpm.CSVVal
)),"")</f>
        <v/>
      </c>
      <c r="E1388" s="40" t="str">
        <f>_xlfn.XLOOKUP(A1388,My_Audit!A:A,My_Audit!D:D,"")</f>
        <v/>
      </c>
      <c r="F1388" s="40" t="str" cm="1">
        <f t="array" ref="F1388">IFERROR(_xlfn.LET(
_xlpm.CSVVal,_xlfn.XLOOKUP($A1388,CSV!$A:$A,CSV!F:F,""),
_xlpm.MacVal,_xlfn.XLOOKUP($A1388,Output_Mac!$A:$A,Output_Mac!E:E,""),
_xlpm.MyAuditVal,_xlfn.XLOOKUP($A1388,My_Audit!$A:$A,My_Audit!E:E,""),
_xlfn.IFS(_xlpm.MyAuditVal&lt;&gt;"",_xlpm.MyAuditVal,_xlpm.MacVal&lt;&gt;"",_xlpm.MacVal,_xlpm.CSVVal&lt;&gt;"",_xlpm.CSVVal
)),"")</f>
        <v/>
      </c>
      <c r="G1388" s="40" t="str" cm="1">
        <f t="array" ref="G1388">IFERROR(_xlfn.LET(
_xlpm.CSVVal,_xlfn.XLOOKUP($A1388,CSV!$A:$A,CSV!G:G,""),
_xlpm.MacVal,_xlfn.XLOOKUP($A1388,Output_Mac!$A:$A,Output_Mac!F:F,""),
_xlpm.MyAuditVal,_xlfn.XLOOKUP($A1388,My_Audit!$A:$A,My_Audit!F:F,""),
_xlfn.IFS(_xlpm.MyAuditVal&lt;&gt;"",_xlpm.MyAuditVal,_xlpm.MacVal&lt;&gt;"",_xlpm.MacVal,_xlpm.CSVVal&lt;&gt;"",PROPER(_xlpm.CSVVal)
)),"")</f>
        <v/>
      </c>
      <c r="H1388" s="40" t="str" cm="1">
        <f t="array" ref="H1388">IFERROR(_xlfn.LET(
_xlpm.CSVVal,_xlfn.XLOOKUP($A1388,CSV!$A:$A,CSV!H:H,""),
_xlpm.MacVal,_xlfn.XLOOKUP($A1388,Output_Mac!$A:$A,Output_Mac!H:H,""),
_xlpm.MyAuditVal,_xlfn.XLOOKUP($A1388,My_Audit!$A:$A,My_Audit!G:G,""),
_xlfn.IFS(_xlpm.MyAuditVal&lt;&gt;"",_xlpm.MyAuditVal,_xlpm.MacVal&lt;&gt;"",_xlpm.MacVal,_xlpm.CSVVal&lt;&gt;"",_xlpm.CSVVal
)),"")</f>
        <v/>
      </c>
      <c r="I1388" s="40" t="str">
        <f>_xlfn.XLOOKUP(A1388,Output_Mac!A:A,Output_Mac!I:I,"")</f>
        <v/>
      </c>
      <c r="J1388" s="40" t="str" cm="1">
        <f t="array" ref="J1388">IFERROR(_xlfn.LET(
_xlpm.CSVVal,_xlfn.XLOOKUP($A1388,CSV!$A:$A,CSV!I:I,""),
_xlpm.MacVal,_xlfn.XLOOKUP($A1388,Output_Mac!$A:$A,Output_Mac!J:J,""),
_xlpm.MyAuditVal,_xlfn.XLOOKUP($A1388,My_Audit!$A:$A,My_Audit!I:I,""),
_xlfn.IFS(_xlpm.MyAuditVal&lt;&gt;"",UPPER(_xlpm.MyAuditVal),_xlpm.MacVal&lt;&gt;"",_xlpm.MacVal,_xlpm.CSVVal&lt;&gt;"",_xlpm.CSVVal
)),"")</f>
        <v/>
      </c>
      <c r="K1388" s="40" t="str" cm="1">
        <f t="array" ref="K1388">IFERROR(_xlfn.LET(
_xlpm.CSVVal,_xlfn.XLOOKUP($A1388,CSV!$A:$A,CSV!K:K,""),
_xlpm.MacVal,_xlfn.XLOOKUP($A1388,Output_Mac!$A:$A,Output_Mac!K:K,""),
_xlpm.MyAuditVal,_xlfn.XLOOKUP($A1388,My_Audit!$A:$A,My_Audit!J:J,""),
_xlfn.IFS(_xlpm.MyAuditVal&lt;&gt;"",UPPER(_xlpm.MyAuditVal),_xlpm.MacVal&lt;&gt;"",_xlpm.MacVal,_xlpm.CSVVal&lt;&gt;"",_xlpm.CSVVal
)),"")</f>
        <v/>
      </c>
      <c r="L1388" s="40" t="str" cm="1">
        <f t="array" ref="L1388">IFERROR(_xlfn.LET(
_xlpm.CSVVal,_xlfn.XLOOKUP($A1388,CSV!$A:$A,CSV!P:P,""),
_xlpm.MacVal,_xlfn.XLOOKUP($A1388,Output_Mac!$A:$A,Output_Mac!L:L,""),
_xlpm.MyAuditVal,_xlfn.XLOOKUP($A1388,My_Audit!$A:$A,My_Audit!K:K,""),
_xlfn.IFS(_xlpm.MyAuditVal&lt;&gt;"",UPPER(_xlpm.MyAuditVal),_xlpm.MacVal&lt;&gt;"",_xlpm.MacVal,_xlpm.CSVVal&lt;&gt;"",_xlpm.CSVVal
)),"")</f>
        <v/>
      </c>
      <c r="M1388" s="40" t="str" cm="1">
        <f t="array" ref="M1388">IFERROR(_xlfn.LET(
_xlpm.CSVVal,_xlfn.XLOOKUP($A1388,CSV!$A:$A,CSV!Q:Q,""),
_xlpm.MacVal,_xlfn.XLOOKUP($A1388,Output_Mac!$A:$A,Output_Mac!M:M,""),
_xlpm.MyAuditVal,_xlfn.XLOOKUP($A1388,My_Audit!$A:$A,My_Audit!L:L,""),
_xlfn.IFS(_xlpm.MyAuditVal&lt;&gt;"",UPPER(_xlpm.MyAuditVal),_xlpm.MacVal&lt;&gt;"",_xlpm.MacVal,_xlpm.CSVVal&lt;&gt;"",_xlpm.CSVVal
)),"")</f>
        <v/>
      </c>
      <c r="N1388" s="40"/>
      <c r="O1388" s="40" t="str">
        <f>_xlfn.LET(
    _xlpm.CSVVal, _xlfn.XLOOKUP($A1388, CSV!$A:$A, CSV!AA:AA, ""),
    _xlpm.MacVal, _xlfn.XLOOKUP($A1388, Output_Mac!$A:$A, Output_Mac!S:S, ""),
    _xlpm.MyAuditVal, _xlfn.XLOOKUP($A1388, My_Audit!$A:$A, My_Audit!P:P, ""),
    _xlfn.TEXTJOIN(", ", TRUE, _xlpm.MyAuditVal, _xlpm.MacVal, _xlpm.CSVVal)
)</f>
        <v/>
      </c>
      <c r="P1388" s="40" t="str" cm="1">
        <f t="array" ref="P1388">IFERROR(_xlfn.LET(
_xlpm.CSVVal,_xlfn.XLOOKUP($A1388,CSV!$A:$A,CSV!AB:AB,""),
_xlpm.MacVal,_xlfn.XLOOKUP($A1388,Output_Mac!$A:$A,Output_Mac!T:T,""),
_xlpm.MyAuditVal,_xlfn.XLOOKUP($A1388,My_Audit!$A:$A,My_Audit!Q:Q,""),
_xlfn.IFS(_xlpm.MyAuditVal&lt;&gt;"",UPPER(_xlpm.MyAuditVal),_xlpm.MacVal&lt;&gt;"",_xlpm.MacVal,_xlpm.CSVVal&lt;&gt;"",_xlpm.CSVVal
)),"No")</f>
        <v>No</v>
      </c>
      <c r="Q1388" s="40" t="str" cm="1">
        <f t="array" ref="Q1388">IFERROR(_xlfn.LET(
_xlpm.CSVVal,_xlfn.XLOOKUP($A1388,CSV!$A:$A,CSV!AC:AC,""),
_xlpm.MacVal,_xlfn.XLOOKUP($A1388,Output_Mac!$A:$A,Output_Mac!U:U,""),
_xlpm.MyAuditVal,_xlfn.XLOOKUP($A1388,My_Audit!$A:$A,My_Audit!R:R,""),
_xlfn.IFS(_xlpm.MyAuditVal&lt;&gt;"",UPPER(_xlpm.MyAuditVal),_xlpm.MacVal&lt;&gt;"",_xlpm.MacVal,_xlpm.CSVVal&lt;&gt;"",_xlpm.CSVVal
)),"")</f>
        <v/>
      </c>
      <c r="R1388" s="40"/>
      <c r="S1388" s="40"/>
      <c r="T1388" s="40"/>
      <c r="U1388" s="40"/>
      <c r="V1388" s="40"/>
      <c r="W1388" s="40"/>
      <c r="X1388" s="41" t="str">
        <f>_xlfn.LET(
    _xlpm.MacVal, _xlfn.XLOOKUP($A1388, Output_Mac!$A:$A, Output_Mac!AB:AB, ""),
    _xlpm.MyAuditVal, _xlfn.XLOOKUP($A1388, My_Audit!$A:$A, My_Audit!N:N, ""),
    _xlfn.TEXTJOIN(", ", TRUE, _xlpm.MyAuditVal, _xlpm.MacVal)
)</f>
        <v/>
      </c>
    </row>
    <row r="1389" spans="1:24">
      <c r="A1389" s="40" t="str">
        <f>_xlfn.TEXTJOIN("",TRUE,Input!$B$2,ROW(My_Audit!A1388))</f>
        <v>X1388</v>
      </c>
      <c r="B1389" s="40" t="str">
        <f>_xlfn.TEXTJOIN("-",TRUE,"ITD",Input!$A$2,A1389)</f>
        <v>ITD-X1388</v>
      </c>
      <c r="C1389" s="40" t="str" cm="1">
        <f t="array" ref="C1389">IFERROR(_xlfn.LET(
_xlpm.CSVVal,_xlfn.XLOOKUP($A1389,CSV!$A:$A,CSV!B:B,""),
_xlpm.MacVal,_xlfn.XLOOKUP($A1389,Output_Mac!$A:$A,Output_Mac!B:B,""),
_xlpm.MyAuditVal,_xlfn.XLOOKUP($A1389,My_Audit!$A:$A,My_Audit!B:B,""),
_xlfn.IFS(_xlpm.MyAuditVal&lt;&gt;"",UPPER(_xlpm.MyAuditVal),_xlpm.MacVal&lt;&gt;"",_xlpm.MacVal,_xlpm.CSVVal&lt;&gt;"",_xlpm.CSVVal
)),"")</f>
        <v/>
      </c>
      <c r="D1389" s="40" t="str" cm="1">
        <f t="array" ref="D1389">IFERROR(_xlfn.LET(
_xlpm.CSVVal,_xlfn.XLOOKUP($A1389,CSV!$A:$A,CSV!D:D,""),
_xlpm.MacVal,_xlfn.XLOOKUP($A1389,Output_Mac!$A:$A,Output_Mac!C:C,""),
_xlpm.MyAuditVal,_xlfn.XLOOKUP($A1389,My_Audit!$A:$A,My_Audit!C:C,""),
_xlfn.IFS(_xlpm.MyAuditVal&lt;&gt;"",_xlpm.MyAuditVal,_xlpm.MacVal&lt;&gt;"",_xlpm.MacVal,_xlpm.CSVVal&lt;&gt;"",_xlpm.CSVVal
)),"")</f>
        <v/>
      </c>
      <c r="E1389" s="40" t="str">
        <f>_xlfn.XLOOKUP(A1389,My_Audit!A:A,My_Audit!D:D,"")</f>
        <v/>
      </c>
      <c r="F1389" s="40" t="str" cm="1">
        <f t="array" ref="F1389">IFERROR(_xlfn.LET(
_xlpm.CSVVal,_xlfn.XLOOKUP($A1389,CSV!$A:$A,CSV!F:F,""),
_xlpm.MacVal,_xlfn.XLOOKUP($A1389,Output_Mac!$A:$A,Output_Mac!E:E,""),
_xlpm.MyAuditVal,_xlfn.XLOOKUP($A1389,My_Audit!$A:$A,My_Audit!E:E,""),
_xlfn.IFS(_xlpm.MyAuditVal&lt;&gt;"",_xlpm.MyAuditVal,_xlpm.MacVal&lt;&gt;"",_xlpm.MacVal,_xlpm.CSVVal&lt;&gt;"",_xlpm.CSVVal
)),"")</f>
        <v/>
      </c>
      <c r="G1389" s="40" t="str" cm="1">
        <f t="array" ref="G1389">IFERROR(_xlfn.LET(
_xlpm.CSVVal,_xlfn.XLOOKUP($A1389,CSV!$A:$A,CSV!G:G,""),
_xlpm.MacVal,_xlfn.XLOOKUP($A1389,Output_Mac!$A:$A,Output_Mac!F:F,""),
_xlpm.MyAuditVal,_xlfn.XLOOKUP($A1389,My_Audit!$A:$A,My_Audit!F:F,""),
_xlfn.IFS(_xlpm.MyAuditVal&lt;&gt;"",_xlpm.MyAuditVal,_xlpm.MacVal&lt;&gt;"",_xlpm.MacVal,_xlpm.CSVVal&lt;&gt;"",PROPER(_xlpm.CSVVal)
)),"")</f>
        <v/>
      </c>
      <c r="H1389" s="40" t="str" cm="1">
        <f t="array" ref="H1389">IFERROR(_xlfn.LET(
_xlpm.CSVVal,_xlfn.XLOOKUP($A1389,CSV!$A:$A,CSV!H:H,""),
_xlpm.MacVal,_xlfn.XLOOKUP($A1389,Output_Mac!$A:$A,Output_Mac!H:H,""),
_xlpm.MyAuditVal,_xlfn.XLOOKUP($A1389,My_Audit!$A:$A,My_Audit!G:G,""),
_xlfn.IFS(_xlpm.MyAuditVal&lt;&gt;"",_xlpm.MyAuditVal,_xlpm.MacVal&lt;&gt;"",_xlpm.MacVal,_xlpm.CSVVal&lt;&gt;"",_xlpm.CSVVal
)),"")</f>
        <v/>
      </c>
      <c r="I1389" s="40" t="str">
        <f>_xlfn.XLOOKUP(A1389,Output_Mac!A:A,Output_Mac!I:I,"")</f>
        <v/>
      </c>
      <c r="J1389" s="40" t="str" cm="1">
        <f t="array" ref="J1389">IFERROR(_xlfn.LET(
_xlpm.CSVVal,_xlfn.XLOOKUP($A1389,CSV!$A:$A,CSV!I:I,""),
_xlpm.MacVal,_xlfn.XLOOKUP($A1389,Output_Mac!$A:$A,Output_Mac!J:J,""),
_xlpm.MyAuditVal,_xlfn.XLOOKUP($A1389,My_Audit!$A:$A,My_Audit!I:I,""),
_xlfn.IFS(_xlpm.MyAuditVal&lt;&gt;"",UPPER(_xlpm.MyAuditVal),_xlpm.MacVal&lt;&gt;"",_xlpm.MacVal,_xlpm.CSVVal&lt;&gt;"",_xlpm.CSVVal
)),"")</f>
        <v/>
      </c>
      <c r="K1389" s="40" t="str" cm="1">
        <f t="array" ref="K1389">IFERROR(_xlfn.LET(
_xlpm.CSVVal,_xlfn.XLOOKUP($A1389,CSV!$A:$A,CSV!K:K,""),
_xlpm.MacVal,_xlfn.XLOOKUP($A1389,Output_Mac!$A:$A,Output_Mac!K:K,""),
_xlpm.MyAuditVal,_xlfn.XLOOKUP($A1389,My_Audit!$A:$A,My_Audit!J:J,""),
_xlfn.IFS(_xlpm.MyAuditVal&lt;&gt;"",UPPER(_xlpm.MyAuditVal),_xlpm.MacVal&lt;&gt;"",_xlpm.MacVal,_xlpm.CSVVal&lt;&gt;"",_xlpm.CSVVal
)),"")</f>
        <v/>
      </c>
      <c r="L1389" s="40" t="str" cm="1">
        <f t="array" ref="L1389">IFERROR(_xlfn.LET(
_xlpm.CSVVal,_xlfn.XLOOKUP($A1389,CSV!$A:$A,CSV!P:P,""),
_xlpm.MacVal,_xlfn.XLOOKUP($A1389,Output_Mac!$A:$A,Output_Mac!L:L,""),
_xlpm.MyAuditVal,_xlfn.XLOOKUP($A1389,My_Audit!$A:$A,My_Audit!K:K,""),
_xlfn.IFS(_xlpm.MyAuditVal&lt;&gt;"",UPPER(_xlpm.MyAuditVal),_xlpm.MacVal&lt;&gt;"",_xlpm.MacVal,_xlpm.CSVVal&lt;&gt;"",_xlpm.CSVVal
)),"")</f>
        <v/>
      </c>
      <c r="M1389" s="40" t="str" cm="1">
        <f t="array" ref="M1389">IFERROR(_xlfn.LET(
_xlpm.CSVVal,_xlfn.XLOOKUP($A1389,CSV!$A:$A,CSV!Q:Q,""),
_xlpm.MacVal,_xlfn.XLOOKUP($A1389,Output_Mac!$A:$A,Output_Mac!M:M,""),
_xlpm.MyAuditVal,_xlfn.XLOOKUP($A1389,My_Audit!$A:$A,My_Audit!L:L,""),
_xlfn.IFS(_xlpm.MyAuditVal&lt;&gt;"",UPPER(_xlpm.MyAuditVal),_xlpm.MacVal&lt;&gt;"",_xlpm.MacVal,_xlpm.CSVVal&lt;&gt;"",_xlpm.CSVVal
)),"")</f>
        <v/>
      </c>
      <c r="N1389" s="40"/>
      <c r="O1389" s="40" t="str">
        <f>_xlfn.LET(
    _xlpm.CSVVal, _xlfn.XLOOKUP($A1389, CSV!$A:$A, CSV!AA:AA, ""),
    _xlpm.MacVal, _xlfn.XLOOKUP($A1389, Output_Mac!$A:$A, Output_Mac!S:S, ""),
    _xlpm.MyAuditVal, _xlfn.XLOOKUP($A1389, My_Audit!$A:$A, My_Audit!P:P, ""),
    _xlfn.TEXTJOIN(", ", TRUE, _xlpm.MyAuditVal, _xlpm.MacVal, _xlpm.CSVVal)
)</f>
        <v/>
      </c>
      <c r="P1389" s="40" t="str" cm="1">
        <f t="array" ref="P1389">IFERROR(_xlfn.LET(
_xlpm.CSVVal,_xlfn.XLOOKUP($A1389,CSV!$A:$A,CSV!AB:AB,""),
_xlpm.MacVal,_xlfn.XLOOKUP($A1389,Output_Mac!$A:$A,Output_Mac!T:T,""),
_xlpm.MyAuditVal,_xlfn.XLOOKUP($A1389,My_Audit!$A:$A,My_Audit!Q:Q,""),
_xlfn.IFS(_xlpm.MyAuditVal&lt;&gt;"",UPPER(_xlpm.MyAuditVal),_xlpm.MacVal&lt;&gt;"",_xlpm.MacVal,_xlpm.CSVVal&lt;&gt;"",_xlpm.CSVVal
)),"No")</f>
        <v>No</v>
      </c>
      <c r="Q1389" s="40" t="str" cm="1">
        <f t="array" ref="Q1389">IFERROR(_xlfn.LET(
_xlpm.CSVVal,_xlfn.XLOOKUP($A1389,CSV!$A:$A,CSV!AC:AC,""),
_xlpm.MacVal,_xlfn.XLOOKUP($A1389,Output_Mac!$A:$A,Output_Mac!U:U,""),
_xlpm.MyAuditVal,_xlfn.XLOOKUP($A1389,My_Audit!$A:$A,My_Audit!R:R,""),
_xlfn.IFS(_xlpm.MyAuditVal&lt;&gt;"",UPPER(_xlpm.MyAuditVal),_xlpm.MacVal&lt;&gt;"",_xlpm.MacVal,_xlpm.CSVVal&lt;&gt;"",_xlpm.CSVVal
)),"")</f>
        <v/>
      </c>
      <c r="R1389" s="40"/>
      <c r="S1389" s="40"/>
      <c r="T1389" s="40"/>
      <c r="U1389" s="40"/>
      <c r="V1389" s="40"/>
      <c r="W1389" s="40"/>
      <c r="X1389" s="41" t="str">
        <f>_xlfn.LET(
    _xlpm.MacVal, _xlfn.XLOOKUP($A1389, Output_Mac!$A:$A, Output_Mac!AB:AB, ""),
    _xlpm.MyAuditVal, _xlfn.XLOOKUP($A1389, My_Audit!$A:$A, My_Audit!N:N, ""),
    _xlfn.TEXTJOIN(", ", TRUE, _xlpm.MyAuditVal, _xlpm.MacVal)
)</f>
        <v/>
      </c>
    </row>
    <row r="1390" spans="1:24">
      <c r="A1390" s="40" t="str">
        <f>_xlfn.TEXTJOIN("",TRUE,Input!$B$2,ROW(My_Audit!A1389))</f>
        <v>X1389</v>
      </c>
      <c r="B1390" s="40" t="str">
        <f>_xlfn.TEXTJOIN("-",TRUE,"ITD",Input!$A$2,A1390)</f>
        <v>ITD-X1389</v>
      </c>
      <c r="C1390" s="40" t="str" cm="1">
        <f t="array" ref="C1390">IFERROR(_xlfn.LET(
_xlpm.CSVVal,_xlfn.XLOOKUP($A1390,CSV!$A:$A,CSV!B:B,""),
_xlpm.MacVal,_xlfn.XLOOKUP($A1390,Output_Mac!$A:$A,Output_Mac!B:B,""),
_xlpm.MyAuditVal,_xlfn.XLOOKUP($A1390,My_Audit!$A:$A,My_Audit!B:B,""),
_xlfn.IFS(_xlpm.MyAuditVal&lt;&gt;"",UPPER(_xlpm.MyAuditVal),_xlpm.MacVal&lt;&gt;"",_xlpm.MacVal,_xlpm.CSVVal&lt;&gt;"",_xlpm.CSVVal
)),"")</f>
        <v/>
      </c>
      <c r="D1390" s="40" t="str" cm="1">
        <f t="array" ref="D1390">IFERROR(_xlfn.LET(
_xlpm.CSVVal,_xlfn.XLOOKUP($A1390,CSV!$A:$A,CSV!D:D,""),
_xlpm.MacVal,_xlfn.XLOOKUP($A1390,Output_Mac!$A:$A,Output_Mac!C:C,""),
_xlpm.MyAuditVal,_xlfn.XLOOKUP($A1390,My_Audit!$A:$A,My_Audit!C:C,""),
_xlfn.IFS(_xlpm.MyAuditVal&lt;&gt;"",_xlpm.MyAuditVal,_xlpm.MacVal&lt;&gt;"",_xlpm.MacVal,_xlpm.CSVVal&lt;&gt;"",_xlpm.CSVVal
)),"")</f>
        <v/>
      </c>
      <c r="E1390" s="40" t="str">
        <f>_xlfn.XLOOKUP(A1390,My_Audit!A:A,My_Audit!D:D,"")</f>
        <v/>
      </c>
      <c r="F1390" s="40" t="str" cm="1">
        <f t="array" ref="F1390">IFERROR(_xlfn.LET(
_xlpm.CSVVal,_xlfn.XLOOKUP($A1390,CSV!$A:$A,CSV!F:F,""),
_xlpm.MacVal,_xlfn.XLOOKUP($A1390,Output_Mac!$A:$A,Output_Mac!E:E,""),
_xlpm.MyAuditVal,_xlfn.XLOOKUP($A1390,My_Audit!$A:$A,My_Audit!E:E,""),
_xlfn.IFS(_xlpm.MyAuditVal&lt;&gt;"",_xlpm.MyAuditVal,_xlpm.MacVal&lt;&gt;"",_xlpm.MacVal,_xlpm.CSVVal&lt;&gt;"",_xlpm.CSVVal
)),"")</f>
        <v/>
      </c>
      <c r="G1390" s="40" t="str" cm="1">
        <f t="array" ref="G1390">IFERROR(_xlfn.LET(
_xlpm.CSVVal,_xlfn.XLOOKUP($A1390,CSV!$A:$A,CSV!G:G,""),
_xlpm.MacVal,_xlfn.XLOOKUP($A1390,Output_Mac!$A:$A,Output_Mac!F:F,""),
_xlpm.MyAuditVal,_xlfn.XLOOKUP($A1390,My_Audit!$A:$A,My_Audit!F:F,""),
_xlfn.IFS(_xlpm.MyAuditVal&lt;&gt;"",_xlpm.MyAuditVal,_xlpm.MacVal&lt;&gt;"",_xlpm.MacVal,_xlpm.CSVVal&lt;&gt;"",PROPER(_xlpm.CSVVal)
)),"")</f>
        <v/>
      </c>
      <c r="H1390" s="40" t="str" cm="1">
        <f t="array" ref="H1390">IFERROR(_xlfn.LET(
_xlpm.CSVVal,_xlfn.XLOOKUP($A1390,CSV!$A:$A,CSV!H:H,""),
_xlpm.MacVal,_xlfn.XLOOKUP($A1390,Output_Mac!$A:$A,Output_Mac!H:H,""),
_xlpm.MyAuditVal,_xlfn.XLOOKUP($A1390,My_Audit!$A:$A,My_Audit!G:G,""),
_xlfn.IFS(_xlpm.MyAuditVal&lt;&gt;"",_xlpm.MyAuditVal,_xlpm.MacVal&lt;&gt;"",_xlpm.MacVal,_xlpm.CSVVal&lt;&gt;"",_xlpm.CSVVal
)),"")</f>
        <v/>
      </c>
      <c r="I1390" s="40" t="str">
        <f>_xlfn.XLOOKUP(A1390,Output_Mac!A:A,Output_Mac!I:I,"")</f>
        <v/>
      </c>
      <c r="J1390" s="40" t="str" cm="1">
        <f t="array" ref="J1390">IFERROR(_xlfn.LET(
_xlpm.CSVVal,_xlfn.XLOOKUP($A1390,CSV!$A:$A,CSV!I:I,""),
_xlpm.MacVal,_xlfn.XLOOKUP($A1390,Output_Mac!$A:$A,Output_Mac!J:J,""),
_xlpm.MyAuditVal,_xlfn.XLOOKUP($A1390,My_Audit!$A:$A,My_Audit!I:I,""),
_xlfn.IFS(_xlpm.MyAuditVal&lt;&gt;"",UPPER(_xlpm.MyAuditVal),_xlpm.MacVal&lt;&gt;"",_xlpm.MacVal,_xlpm.CSVVal&lt;&gt;"",_xlpm.CSVVal
)),"")</f>
        <v/>
      </c>
      <c r="K1390" s="40" t="str" cm="1">
        <f t="array" ref="K1390">IFERROR(_xlfn.LET(
_xlpm.CSVVal,_xlfn.XLOOKUP($A1390,CSV!$A:$A,CSV!K:K,""),
_xlpm.MacVal,_xlfn.XLOOKUP($A1390,Output_Mac!$A:$A,Output_Mac!K:K,""),
_xlpm.MyAuditVal,_xlfn.XLOOKUP($A1390,My_Audit!$A:$A,My_Audit!J:J,""),
_xlfn.IFS(_xlpm.MyAuditVal&lt;&gt;"",UPPER(_xlpm.MyAuditVal),_xlpm.MacVal&lt;&gt;"",_xlpm.MacVal,_xlpm.CSVVal&lt;&gt;"",_xlpm.CSVVal
)),"")</f>
        <v/>
      </c>
      <c r="L1390" s="40" t="str" cm="1">
        <f t="array" ref="L1390">IFERROR(_xlfn.LET(
_xlpm.CSVVal,_xlfn.XLOOKUP($A1390,CSV!$A:$A,CSV!P:P,""),
_xlpm.MacVal,_xlfn.XLOOKUP($A1390,Output_Mac!$A:$A,Output_Mac!L:L,""),
_xlpm.MyAuditVal,_xlfn.XLOOKUP($A1390,My_Audit!$A:$A,My_Audit!K:K,""),
_xlfn.IFS(_xlpm.MyAuditVal&lt;&gt;"",UPPER(_xlpm.MyAuditVal),_xlpm.MacVal&lt;&gt;"",_xlpm.MacVal,_xlpm.CSVVal&lt;&gt;"",_xlpm.CSVVal
)),"")</f>
        <v/>
      </c>
      <c r="M1390" s="40" t="str" cm="1">
        <f t="array" ref="M1390">IFERROR(_xlfn.LET(
_xlpm.CSVVal,_xlfn.XLOOKUP($A1390,CSV!$A:$A,CSV!Q:Q,""),
_xlpm.MacVal,_xlfn.XLOOKUP($A1390,Output_Mac!$A:$A,Output_Mac!M:M,""),
_xlpm.MyAuditVal,_xlfn.XLOOKUP($A1390,My_Audit!$A:$A,My_Audit!L:L,""),
_xlfn.IFS(_xlpm.MyAuditVal&lt;&gt;"",UPPER(_xlpm.MyAuditVal),_xlpm.MacVal&lt;&gt;"",_xlpm.MacVal,_xlpm.CSVVal&lt;&gt;"",_xlpm.CSVVal
)),"")</f>
        <v/>
      </c>
      <c r="N1390" s="40"/>
      <c r="O1390" s="40" t="str">
        <f>_xlfn.LET(
    _xlpm.CSVVal, _xlfn.XLOOKUP($A1390, CSV!$A:$A, CSV!AA:AA, ""),
    _xlpm.MacVal, _xlfn.XLOOKUP($A1390, Output_Mac!$A:$A, Output_Mac!S:S, ""),
    _xlpm.MyAuditVal, _xlfn.XLOOKUP($A1390, My_Audit!$A:$A, My_Audit!P:P, ""),
    _xlfn.TEXTJOIN(", ", TRUE, _xlpm.MyAuditVal, _xlpm.MacVal, _xlpm.CSVVal)
)</f>
        <v/>
      </c>
      <c r="P1390" s="40" t="str" cm="1">
        <f t="array" ref="P1390">IFERROR(_xlfn.LET(
_xlpm.CSVVal,_xlfn.XLOOKUP($A1390,CSV!$A:$A,CSV!AB:AB,""),
_xlpm.MacVal,_xlfn.XLOOKUP($A1390,Output_Mac!$A:$A,Output_Mac!T:T,""),
_xlpm.MyAuditVal,_xlfn.XLOOKUP($A1390,My_Audit!$A:$A,My_Audit!Q:Q,""),
_xlfn.IFS(_xlpm.MyAuditVal&lt;&gt;"",UPPER(_xlpm.MyAuditVal),_xlpm.MacVal&lt;&gt;"",_xlpm.MacVal,_xlpm.CSVVal&lt;&gt;"",_xlpm.CSVVal
)),"No")</f>
        <v>No</v>
      </c>
      <c r="Q1390" s="40" t="str" cm="1">
        <f t="array" ref="Q1390">IFERROR(_xlfn.LET(
_xlpm.CSVVal,_xlfn.XLOOKUP($A1390,CSV!$A:$A,CSV!AC:AC,""),
_xlpm.MacVal,_xlfn.XLOOKUP($A1390,Output_Mac!$A:$A,Output_Mac!U:U,""),
_xlpm.MyAuditVal,_xlfn.XLOOKUP($A1390,My_Audit!$A:$A,My_Audit!R:R,""),
_xlfn.IFS(_xlpm.MyAuditVal&lt;&gt;"",UPPER(_xlpm.MyAuditVal),_xlpm.MacVal&lt;&gt;"",_xlpm.MacVal,_xlpm.CSVVal&lt;&gt;"",_xlpm.CSVVal
)),"")</f>
        <v/>
      </c>
      <c r="R1390" s="40"/>
      <c r="S1390" s="40"/>
      <c r="T1390" s="40"/>
      <c r="U1390" s="40"/>
      <c r="V1390" s="40"/>
      <c r="W1390" s="40"/>
      <c r="X1390" s="41" t="str">
        <f>_xlfn.LET(
    _xlpm.MacVal, _xlfn.XLOOKUP($A1390, Output_Mac!$A:$A, Output_Mac!AB:AB, ""),
    _xlpm.MyAuditVal, _xlfn.XLOOKUP($A1390, My_Audit!$A:$A, My_Audit!N:N, ""),
    _xlfn.TEXTJOIN(", ", TRUE, _xlpm.MyAuditVal, _xlpm.MacVal)
)</f>
        <v/>
      </c>
    </row>
    <row r="1391" spans="1:24">
      <c r="A1391" s="40" t="str">
        <f>_xlfn.TEXTJOIN("",TRUE,Input!$B$2,ROW(My_Audit!A1390))</f>
        <v>X1390</v>
      </c>
      <c r="B1391" s="40" t="str">
        <f>_xlfn.TEXTJOIN("-",TRUE,"ITD",Input!$A$2,A1391)</f>
        <v>ITD-X1390</v>
      </c>
      <c r="C1391" s="40" t="str" cm="1">
        <f t="array" ref="C1391">IFERROR(_xlfn.LET(
_xlpm.CSVVal,_xlfn.XLOOKUP($A1391,CSV!$A:$A,CSV!B:B,""),
_xlpm.MacVal,_xlfn.XLOOKUP($A1391,Output_Mac!$A:$A,Output_Mac!B:B,""),
_xlpm.MyAuditVal,_xlfn.XLOOKUP($A1391,My_Audit!$A:$A,My_Audit!B:B,""),
_xlfn.IFS(_xlpm.MyAuditVal&lt;&gt;"",UPPER(_xlpm.MyAuditVal),_xlpm.MacVal&lt;&gt;"",_xlpm.MacVal,_xlpm.CSVVal&lt;&gt;"",_xlpm.CSVVal
)),"")</f>
        <v/>
      </c>
      <c r="D1391" s="40" t="str" cm="1">
        <f t="array" ref="D1391">IFERROR(_xlfn.LET(
_xlpm.CSVVal,_xlfn.XLOOKUP($A1391,CSV!$A:$A,CSV!D:D,""),
_xlpm.MacVal,_xlfn.XLOOKUP($A1391,Output_Mac!$A:$A,Output_Mac!C:C,""),
_xlpm.MyAuditVal,_xlfn.XLOOKUP($A1391,My_Audit!$A:$A,My_Audit!C:C,""),
_xlfn.IFS(_xlpm.MyAuditVal&lt;&gt;"",_xlpm.MyAuditVal,_xlpm.MacVal&lt;&gt;"",_xlpm.MacVal,_xlpm.CSVVal&lt;&gt;"",_xlpm.CSVVal
)),"")</f>
        <v/>
      </c>
      <c r="E1391" s="40" t="str">
        <f>_xlfn.XLOOKUP(A1391,My_Audit!A:A,My_Audit!D:D,"")</f>
        <v/>
      </c>
      <c r="F1391" s="40" t="str" cm="1">
        <f t="array" ref="F1391">IFERROR(_xlfn.LET(
_xlpm.CSVVal,_xlfn.XLOOKUP($A1391,CSV!$A:$A,CSV!F:F,""),
_xlpm.MacVal,_xlfn.XLOOKUP($A1391,Output_Mac!$A:$A,Output_Mac!E:E,""),
_xlpm.MyAuditVal,_xlfn.XLOOKUP($A1391,My_Audit!$A:$A,My_Audit!E:E,""),
_xlfn.IFS(_xlpm.MyAuditVal&lt;&gt;"",_xlpm.MyAuditVal,_xlpm.MacVal&lt;&gt;"",_xlpm.MacVal,_xlpm.CSVVal&lt;&gt;"",_xlpm.CSVVal
)),"")</f>
        <v/>
      </c>
      <c r="G1391" s="40" t="str" cm="1">
        <f t="array" ref="G1391">IFERROR(_xlfn.LET(
_xlpm.CSVVal,_xlfn.XLOOKUP($A1391,CSV!$A:$A,CSV!G:G,""),
_xlpm.MacVal,_xlfn.XLOOKUP($A1391,Output_Mac!$A:$A,Output_Mac!F:F,""),
_xlpm.MyAuditVal,_xlfn.XLOOKUP($A1391,My_Audit!$A:$A,My_Audit!F:F,""),
_xlfn.IFS(_xlpm.MyAuditVal&lt;&gt;"",_xlpm.MyAuditVal,_xlpm.MacVal&lt;&gt;"",_xlpm.MacVal,_xlpm.CSVVal&lt;&gt;"",PROPER(_xlpm.CSVVal)
)),"")</f>
        <v/>
      </c>
      <c r="H1391" s="40" t="str" cm="1">
        <f t="array" ref="H1391">IFERROR(_xlfn.LET(
_xlpm.CSVVal,_xlfn.XLOOKUP($A1391,CSV!$A:$A,CSV!H:H,""),
_xlpm.MacVal,_xlfn.XLOOKUP($A1391,Output_Mac!$A:$A,Output_Mac!H:H,""),
_xlpm.MyAuditVal,_xlfn.XLOOKUP($A1391,My_Audit!$A:$A,My_Audit!G:G,""),
_xlfn.IFS(_xlpm.MyAuditVal&lt;&gt;"",_xlpm.MyAuditVal,_xlpm.MacVal&lt;&gt;"",_xlpm.MacVal,_xlpm.CSVVal&lt;&gt;"",_xlpm.CSVVal
)),"")</f>
        <v/>
      </c>
      <c r="I1391" s="40" t="str">
        <f>_xlfn.XLOOKUP(A1391,Output_Mac!A:A,Output_Mac!I:I,"")</f>
        <v/>
      </c>
      <c r="J1391" s="40" t="str" cm="1">
        <f t="array" ref="J1391">IFERROR(_xlfn.LET(
_xlpm.CSVVal,_xlfn.XLOOKUP($A1391,CSV!$A:$A,CSV!I:I,""),
_xlpm.MacVal,_xlfn.XLOOKUP($A1391,Output_Mac!$A:$A,Output_Mac!J:J,""),
_xlpm.MyAuditVal,_xlfn.XLOOKUP($A1391,My_Audit!$A:$A,My_Audit!I:I,""),
_xlfn.IFS(_xlpm.MyAuditVal&lt;&gt;"",UPPER(_xlpm.MyAuditVal),_xlpm.MacVal&lt;&gt;"",_xlpm.MacVal,_xlpm.CSVVal&lt;&gt;"",_xlpm.CSVVal
)),"")</f>
        <v/>
      </c>
      <c r="K1391" s="40" t="str" cm="1">
        <f t="array" ref="K1391">IFERROR(_xlfn.LET(
_xlpm.CSVVal,_xlfn.XLOOKUP($A1391,CSV!$A:$A,CSV!K:K,""),
_xlpm.MacVal,_xlfn.XLOOKUP($A1391,Output_Mac!$A:$A,Output_Mac!K:K,""),
_xlpm.MyAuditVal,_xlfn.XLOOKUP($A1391,My_Audit!$A:$A,My_Audit!J:J,""),
_xlfn.IFS(_xlpm.MyAuditVal&lt;&gt;"",UPPER(_xlpm.MyAuditVal),_xlpm.MacVal&lt;&gt;"",_xlpm.MacVal,_xlpm.CSVVal&lt;&gt;"",_xlpm.CSVVal
)),"")</f>
        <v/>
      </c>
      <c r="L1391" s="40" t="str" cm="1">
        <f t="array" ref="L1391">IFERROR(_xlfn.LET(
_xlpm.CSVVal,_xlfn.XLOOKUP($A1391,CSV!$A:$A,CSV!P:P,""),
_xlpm.MacVal,_xlfn.XLOOKUP($A1391,Output_Mac!$A:$A,Output_Mac!L:L,""),
_xlpm.MyAuditVal,_xlfn.XLOOKUP($A1391,My_Audit!$A:$A,My_Audit!K:K,""),
_xlfn.IFS(_xlpm.MyAuditVal&lt;&gt;"",UPPER(_xlpm.MyAuditVal),_xlpm.MacVal&lt;&gt;"",_xlpm.MacVal,_xlpm.CSVVal&lt;&gt;"",_xlpm.CSVVal
)),"")</f>
        <v/>
      </c>
      <c r="M1391" s="40" t="str" cm="1">
        <f t="array" ref="M1391">IFERROR(_xlfn.LET(
_xlpm.CSVVal,_xlfn.XLOOKUP($A1391,CSV!$A:$A,CSV!Q:Q,""),
_xlpm.MacVal,_xlfn.XLOOKUP($A1391,Output_Mac!$A:$A,Output_Mac!M:M,""),
_xlpm.MyAuditVal,_xlfn.XLOOKUP($A1391,My_Audit!$A:$A,My_Audit!L:L,""),
_xlfn.IFS(_xlpm.MyAuditVal&lt;&gt;"",UPPER(_xlpm.MyAuditVal),_xlpm.MacVal&lt;&gt;"",_xlpm.MacVal,_xlpm.CSVVal&lt;&gt;"",_xlpm.CSVVal
)),"")</f>
        <v/>
      </c>
      <c r="N1391" s="40"/>
      <c r="O1391" s="40" t="str">
        <f>_xlfn.LET(
    _xlpm.CSVVal, _xlfn.XLOOKUP($A1391, CSV!$A:$A, CSV!AA:AA, ""),
    _xlpm.MacVal, _xlfn.XLOOKUP($A1391, Output_Mac!$A:$A, Output_Mac!S:S, ""),
    _xlpm.MyAuditVal, _xlfn.XLOOKUP($A1391, My_Audit!$A:$A, My_Audit!P:P, ""),
    _xlfn.TEXTJOIN(", ", TRUE, _xlpm.MyAuditVal, _xlpm.MacVal, _xlpm.CSVVal)
)</f>
        <v/>
      </c>
      <c r="P1391" s="40" t="str" cm="1">
        <f t="array" ref="P1391">IFERROR(_xlfn.LET(
_xlpm.CSVVal,_xlfn.XLOOKUP($A1391,CSV!$A:$A,CSV!AB:AB,""),
_xlpm.MacVal,_xlfn.XLOOKUP($A1391,Output_Mac!$A:$A,Output_Mac!T:T,""),
_xlpm.MyAuditVal,_xlfn.XLOOKUP($A1391,My_Audit!$A:$A,My_Audit!Q:Q,""),
_xlfn.IFS(_xlpm.MyAuditVal&lt;&gt;"",UPPER(_xlpm.MyAuditVal),_xlpm.MacVal&lt;&gt;"",_xlpm.MacVal,_xlpm.CSVVal&lt;&gt;"",_xlpm.CSVVal
)),"No")</f>
        <v>No</v>
      </c>
      <c r="Q1391" s="40" t="str" cm="1">
        <f t="array" ref="Q1391">IFERROR(_xlfn.LET(
_xlpm.CSVVal,_xlfn.XLOOKUP($A1391,CSV!$A:$A,CSV!AC:AC,""),
_xlpm.MacVal,_xlfn.XLOOKUP($A1391,Output_Mac!$A:$A,Output_Mac!U:U,""),
_xlpm.MyAuditVal,_xlfn.XLOOKUP($A1391,My_Audit!$A:$A,My_Audit!R:R,""),
_xlfn.IFS(_xlpm.MyAuditVal&lt;&gt;"",UPPER(_xlpm.MyAuditVal),_xlpm.MacVal&lt;&gt;"",_xlpm.MacVal,_xlpm.CSVVal&lt;&gt;"",_xlpm.CSVVal
)),"")</f>
        <v/>
      </c>
      <c r="R1391" s="40"/>
      <c r="S1391" s="40"/>
      <c r="T1391" s="40"/>
      <c r="U1391" s="40"/>
      <c r="V1391" s="40"/>
      <c r="W1391" s="40"/>
      <c r="X1391" s="41" t="str">
        <f>_xlfn.LET(
    _xlpm.MacVal, _xlfn.XLOOKUP($A1391, Output_Mac!$A:$A, Output_Mac!AB:AB, ""),
    _xlpm.MyAuditVal, _xlfn.XLOOKUP($A1391, My_Audit!$A:$A, My_Audit!N:N, ""),
    _xlfn.TEXTJOIN(", ", TRUE, _xlpm.MyAuditVal, _xlpm.MacVal)
)</f>
        <v/>
      </c>
    </row>
    <row r="1392" spans="1:24">
      <c r="A1392" s="40" t="str">
        <f>_xlfn.TEXTJOIN("",TRUE,Input!$B$2,ROW(My_Audit!A1391))</f>
        <v>X1391</v>
      </c>
      <c r="B1392" s="40" t="str">
        <f>_xlfn.TEXTJOIN("-",TRUE,"ITD",Input!$A$2,A1392)</f>
        <v>ITD-X1391</v>
      </c>
      <c r="C1392" s="40" t="str" cm="1">
        <f t="array" ref="C1392">IFERROR(_xlfn.LET(
_xlpm.CSVVal,_xlfn.XLOOKUP($A1392,CSV!$A:$A,CSV!B:B,""),
_xlpm.MacVal,_xlfn.XLOOKUP($A1392,Output_Mac!$A:$A,Output_Mac!B:B,""),
_xlpm.MyAuditVal,_xlfn.XLOOKUP($A1392,My_Audit!$A:$A,My_Audit!B:B,""),
_xlfn.IFS(_xlpm.MyAuditVal&lt;&gt;"",UPPER(_xlpm.MyAuditVal),_xlpm.MacVal&lt;&gt;"",_xlpm.MacVal,_xlpm.CSVVal&lt;&gt;"",_xlpm.CSVVal
)),"")</f>
        <v/>
      </c>
      <c r="D1392" s="40" t="str" cm="1">
        <f t="array" ref="D1392">IFERROR(_xlfn.LET(
_xlpm.CSVVal,_xlfn.XLOOKUP($A1392,CSV!$A:$A,CSV!D:D,""),
_xlpm.MacVal,_xlfn.XLOOKUP($A1392,Output_Mac!$A:$A,Output_Mac!C:C,""),
_xlpm.MyAuditVal,_xlfn.XLOOKUP($A1392,My_Audit!$A:$A,My_Audit!C:C,""),
_xlfn.IFS(_xlpm.MyAuditVal&lt;&gt;"",_xlpm.MyAuditVal,_xlpm.MacVal&lt;&gt;"",_xlpm.MacVal,_xlpm.CSVVal&lt;&gt;"",_xlpm.CSVVal
)),"")</f>
        <v/>
      </c>
      <c r="E1392" s="40" t="str">
        <f>_xlfn.XLOOKUP(A1392,My_Audit!A:A,My_Audit!D:D,"")</f>
        <v/>
      </c>
      <c r="F1392" s="40" t="str" cm="1">
        <f t="array" ref="F1392">IFERROR(_xlfn.LET(
_xlpm.CSVVal,_xlfn.XLOOKUP($A1392,CSV!$A:$A,CSV!F:F,""),
_xlpm.MacVal,_xlfn.XLOOKUP($A1392,Output_Mac!$A:$A,Output_Mac!E:E,""),
_xlpm.MyAuditVal,_xlfn.XLOOKUP($A1392,My_Audit!$A:$A,My_Audit!E:E,""),
_xlfn.IFS(_xlpm.MyAuditVal&lt;&gt;"",_xlpm.MyAuditVal,_xlpm.MacVal&lt;&gt;"",_xlpm.MacVal,_xlpm.CSVVal&lt;&gt;"",_xlpm.CSVVal
)),"")</f>
        <v/>
      </c>
      <c r="G1392" s="40" t="str" cm="1">
        <f t="array" ref="G1392">IFERROR(_xlfn.LET(
_xlpm.CSVVal,_xlfn.XLOOKUP($A1392,CSV!$A:$A,CSV!G:G,""),
_xlpm.MacVal,_xlfn.XLOOKUP($A1392,Output_Mac!$A:$A,Output_Mac!F:F,""),
_xlpm.MyAuditVal,_xlfn.XLOOKUP($A1392,My_Audit!$A:$A,My_Audit!F:F,""),
_xlfn.IFS(_xlpm.MyAuditVal&lt;&gt;"",_xlpm.MyAuditVal,_xlpm.MacVal&lt;&gt;"",_xlpm.MacVal,_xlpm.CSVVal&lt;&gt;"",PROPER(_xlpm.CSVVal)
)),"")</f>
        <v/>
      </c>
      <c r="H1392" s="40" t="str" cm="1">
        <f t="array" ref="H1392">IFERROR(_xlfn.LET(
_xlpm.CSVVal,_xlfn.XLOOKUP($A1392,CSV!$A:$A,CSV!H:H,""),
_xlpm.MacVal,_xlfn.XLOOKUP($A1392,Output_Mac!$A:$A,Output_Mac!H:H,""),
_xlpm.MyAuditVal,_xlfn.XLOOKUP($A1392,My_Audit!$A:$A,My_Audit!G:G,""),
_xlfn.IFS(_xlpm.MyAuditVal&lt;&gt;"",_xlpm.MyAuditVal,_xlpm.MacVal&lt;&gt;"",_xlpm.MacVal,_xlpm.CSVVal&lt;&gt;"",_xlpm.CSVVal
)),"")</f>
        <v/>
      </c>
      <c r="I1392" s="40" t="str">
        <f>_xlfn.XLOOKUP(A1392,Output_Mac!A:A,Output_Mac!I:I,"")</f>
        <v/>
      </c>
      <c r="J1392" s="40" t="str" cm="1">
        <f t="array" ref="J1392">IFERROR(_xlfn.LET(
_xlpm.CSVVal,_xlfn.XLOOKUP($A1392,CSV!$A:$A,CSV!I:I,""),
_xlpm.MacVal,_xlfn.XLOOKUP($A1392,Output_Mac!$A:$A,Output_Mac!J:J,""),
_xlpm.MyAuditVal,_xlfn.XLOOKUP($A1392,My_Audit!$A:$A,My_Audit!I:I,""),
_xlfn.IFS(_xlpm.MyAuditVal&lt;&gt;"",UPPER(_xlpm.MyAuditVal),_xlpm.MacVal&lt;&gt;"",_xlpm.MacVal,_xlpm.CSVVal&lt;&gt;"",_xlpm.CSVVal
)),"")</f>
        <v/>
      </c>
      <c r="K1392" s="40" t="str" cm="1">
        <f t="array" ref="K1392">IFERROR(_xlfn.LET(
_xlpm.CSVVal,_xlfn.XLOOKUP($A1392,CSV!$A:$A,CSV!K:K,""),
_xlpm.MacVal,_xlfn.XLOOKUP($A1392,Output_Mac!$A:$A,Output_Mac!K:K,""),
_xlpm.MyAuditVal,_xlfn.XLOOKUP($A1392,My_Audit!$A:$A,My_Audit!J:J,""),
_xlfn.IFS(_xlpm.MyAuditVal&lt;&gt;"",UPPER(_xlpm.MyAuditVal),_xlpm.MacVal&lt;&gt;"",_xlpm.MacVal,_xlpm.CSVVal&lt;&gt;"",_xlpm.CSVVal
)),"")</f>
        <v/>
      </c>
      <c r="L1392" s="40" t="str" cm="1">
        <f t="array" ref="L1392">IFERROR(_xlfn.LET(
_xlpm.CSVVal,_xlfn.XLOOKUP($A1392,CSV!$A:$A,CSV!P:P,""),
_xlpm.MacVal,_xlfn.XLOOKUP($A1392,Output_Mac!$A:$A,Output_Mac!L:L,""),
_xlpm.MyAuditVal,_xlfn.XLOOKUP($A1392,My_Audit!$A:$A,My_Audit!K:K,""),
_xlfn.IFS(_xlpm.MyAuditVal&lt;&gt;"",UPPER(_xlpm.MyAuditVal),_xlpm.MacVal&lt;&gt;"",_xlpm.MacVal,_xlpm.CSVVal&lt;&gt;"",_xlpm.CSVVal
)),"")</f>
        <v/>
      </c>
      <c r="M1392" s="40" t="str" cm="1">
        <f t="array" ref="M1392">IFERROR(_xlfn.LET(
_xlpm.CSVVal,_xlfn.XLOOKUP($A1392,CSV!$A:$A,CSV!Q:Q,""),
_xlpm.MacVal,_xlfn.XLOOKUP($A1392,Output_Mac!$A:$A,Output_Mac!M:M,""),
_xlpm.MyAuditVal,_xlfn.XLOOKUP($A1392,My_Audit!$A:$A,My_Audit!L:L,""),
_xlfn.IFS(_xlpm.MyAuditVal&lt;&gt;"",UPPER(_xlpm.MyAuditVal),_xlpm.MacVal&lt;&gt;"",_xlpm.MacVal,_xlpm.CSVVal&lt;&gt;"",_xlpm.CSVVal
)),"")</f>
        <v/>
      </c>
      <c r="N1392" s="40"/>
      <c r="O1392" s="40" t="str">
        <f>_xlfn.LET(
    _xlpm.CSVVal, _xlfn.XLOOKUP($A1392, CSV!$A:$A, CSV!AA:AA, ""),
    _xlpm.MacVal, _xlfn.XLOOKUP($A1392, Output_Mac!$A:$A, Output_Mac!S:S, ""),
    _xlpm.MyAuditVal, _xlfn.XLOOKUP($A1392, My_Audit!$A:$A, My_Audit!P:P, ""),
    _xlfn.TEXTJOIN(", ", TRUE, _xlpm.MyAuditVal, _xlpm.MacVal, _xlpm.CSVVal)
)</f>
        <v/>
      </c>
      <c r="P1392" s="40" t="str" cm="1">
        <f t="array" ref="P1392">IFERROR(_xlfn.LET(
_xlpm.CSVVal,_xlfn.XLOOKUP($A1392,CSV!$A:$A,CSV!AB:AB,""),
_xlpm.MacVal,_xlfn.XLOOKUP($A1392,Output_Mac!$A:$A,Output_Mac!T:T,""),
_xlpm.MyAuditVal,_xlfn.XLOOKUP($A1392,My_Audit!$A:$A,My_Audit!Q:Q,""),
_xlfn.IFS(_xlpm.MyAuditVal&lt;&gt;"",UPPER(_xlpm.MyAuditVal),_xlpm.MacVal&lt;&gt;"",_xlpm.MacVal,_xlpm.CSVVal&lt;&gt;"",_xlpm.CSVVal
)),"No")</f>
        <v>No</v>
      </c>
      <c r="Q1392" s="40" t="str" cm="1">
        <f t="array" ref="Q1392">IFERROR(_xlfn.LET(
_xlpm.CSVVal,_xlfn.XLOOKUP($A1392,CSV!$A:$A,CSV!AC:AC,""),
_xlpm.MacVal,_xlfn.XLOOKUP($A1392,Output_Mac!$A:$A,Output_Mac!U:U,""),
_xlpm.MyAuditVal,_xlfn.XLOOKUP($A1392,My_Audit!$A:$A,My_Audit!R:R,""),
_xlfn.IFS(_xlpm.MyAuditVal&lt;&gt;"",UPPER(_xlpm.MyAuditVal),_xlpm.MacVal&lt;&gt;"",_xlpm.MacVal,_xlpm.CSVVal&lt;&gt;"",_xlpm.CSVVal
)),"")</f>
        <v/>
      </c>
      <c r="R1392" s="40"/>
      <c r="S1392" s="40"/>
      <c r="T1392" s="40"/>
      <c r="U1392" s="40"/>
      <c r="V1392" s="40"/>
      <c r="W1392" s="40"/>
      <c r="X1392" s="41" t="str">
        <f>_xlfn.LET(
    _xlpm.MacVal, _xlfn.XLOOKUP($A1392, Output_Mac!$A:$A, Output_Mac!AB:AB, ""),
    _xlpm.MyAuditVal, _xlfn.XLOOKUP($A1392, My_Audit!$A:$A, My_Audit!N:N, ""),
    _xlfn.TEXTJOIN(", ", TRUE, _xlpm.MyAuditVal, _xlpm.MacVal)
)</f>
        <v/>
      </c>
    </row>
    <row r="1393" spans="1:24">
      <c r="A1393" s="40" t="str">
        <f>_xlfn.TEXTJOIN("",TRUE,Input!$B$2,ROW(My_Audit!A1392))</f>
        <v>X1392</v>
      </c>
      <c r="B1393" s="40" t="str">
        <f>_xlfn.TEXTJOIN("-",TRUE,"ITD",Input!$A$2,A1393)</f>
        <v>ITD-X1392</v>
      </c>
      <c r="C1393" s="40" t="str" cm="1">
        <f t="array" ref="C1393">IFERROR(_xlfn.LET(
_xlpm.CSVVal,_xlfn.XLOOKUP($A1393,CSV!$A:$A,CSV!B:B,""),
_xlpm.MacVal,_xlfn.XLOOKUP($A1393,Output_Mac!$A:$A,Output_Mac!B:B,""),
_xlpm.MyAuditVal,_xlfn.XLOOKUP($A1393,My_Audit!$A:$A,My_Audit!B:B,""),
_xlfn.IFS(_xlpm.MyAuditVal&lt;&gt;"",UPPER(_xlpm.MyAuditVal),_xlpm.MacVal&lt;&gt;"",_xlpm.MacVal,_xlpm.CSVVal&lt;&gt;"",_xlpm.CSVVal
)),"")</f>
        <v/>
      </c>
      <c r="D1393" s="40" t="str" cm="1">
        <f t="array" ref="D1393">IFERROR(_xlfn.LET(
_xlpm.CSVVal,_xlfn.XLOOKUP($A1393,CSV!$A:$A,CSV!D:D,""),
_xlpm.MacVal,_xlfn.XLOOKUP($A1393,Output_Mac!$A:$A,Output_Mac!C:C,""),
_xlpm.MyAuditVal,_xlfn.XLOOKUP($A1393,My_Audit!$A:$A,My_Audit!C:C,""),
_xlfn.IFS(_xlpm.MyAuditVal&lt;&gt;"",_xlpm.MyAuditVal,_xlpm.MacVal&lt;&gt;"",_xlpm.MacVal,_xlpm.CSVVal&lt;&gt;"",_xlpm.CSVVal
)),"")</f>
        <v/>
      </c>
      <c r="E1393" s="40" t="str">
        <f>_xlfn.XLOOKUP(A1393,My_Audit!A:A,My_Audit!D:D,"")</f>
        <v/>
      </c>
      <c r="F1393" s="40" t="str" cm="1">
        <f t="array" ref="F1393">IFERROR(_xlfn.LET(
_xlpm.CSVVal,_xlfn.XLOOKUP($A1393,CSV!$A:$A,CSV!F:F,""),
_xlpm.MacVal,_xlfn.XLOOKUP($A1393,Output_Mac!$A:$A,Output_Mac!E:E,""),
_xlpm.MyAuditVal,_xlfn.XLOOKUP($A1393,My_Audit!$A:$A,My_Audit!E:E,""),
_xlfn.IFS(_xlpm.MyAuditVal&lt;&gt;"",_xlpm.MyAuditVal,_xlpm.MacVal&lt;&gt;"",_xlpm.MacVal,_xlpm.CSVVal&lt;&gt;"",_xlpm.CSVVal
)),"")</f>
        <v/>
      </c>
      <c r="G1393" s="40" t="str" cm="1">
        <f t="array" ref="G1393">IFERROR(_xlfn.LET(
_xlpm.CSVVal,_xlfn.XLOOKUP($A1393,CSV!$A:$A,CSV!G:G,""),
_xlpm.MacVal,_xlfn.XLOOKUP($A1393,Output_Mac!$A:$A,Output_Mac!F:F,""),
_xlpm.MyAuditVal,_xlfn.XLOOKUP($A1393,My_Audit!$A:$A,My_Audit!F:F,""),
_xlfn.IFS(_xlpm.MyAuditVal&lt;&gt;"",_xlpm.MyAuditVal,_xlpm.MacVal&lt;&gt;"",_xlpm.MacVal,_xlpm.CSVVal&lt;&gt;"",PROPER(_xlpm.CSVVal)
)),"")</f>
        <v/>
      </c>
      <c r="H1393" s="40" t="str" cm="1">
        <f t="array" ref="H1393">IFERROR(_xlfn.LET(
_xlpm.CSVVal,_xlfn.XLOOKUP($A1393,CSV!$A:$A,CSV!H:H,""),
_xlpm.MacVal,_xlfn.XLOOKUP($A1393,Output_Mac!$A:$A,Output_Mac!H:H,""),
_xlpm.MyAuditVal,_xlfn.XLOOKUP($A1393,My_Audit!$A:$A,My_Audit!G:G,""),
_xlfn.IFS(_xlpm.MyAuditVal&lt;&gt;"",_xlpm.MyAuditVal,_xlpm.MacVal&lt;&gt;"",_xlpm.MacVal,_xlpm.CSVVal&lt;&gt;"",_xlpm.CSVVal
)),"")</f>
        <v/>
      </c>
      <c r="I1393" s="40" t="str">
        <f>_xlfn.XLOOKUP(A1393,Output_Mac!A:A,Output_Mac!I:I,"")</f>
        <v/>
      </c>
      <c r="J1393" s="40" t="str" cm="1">
        <f t="array" ref="J1393">IFERROR(_xlfn.LET(
_xlpm.CSVVal,_xlfn.XLOOKUP($A1393,CSV!$A:$A,CSV!I:I,""),
_xlpm.MacVal,_xlfn.XLOOKUP($A1393,Output_Mac!$A:$A,Output_Mac!J:J,""),
_xlpm.MyAuditVal,_xlfn.XLOOKUP($A1393,My_Audit!$A:$A,My_Audit!I:I,""),
_xlfn.IFS(_xlpm.MyAuditVal&lt;&gt;"",UPPER(_xlpm.MyAuditVal),_xlpm.MacVal&lt;&gt;"",_xlpm.MacVal,_xlpm.CSVVal&lt;&gt;"",_xlpm.CSVVal
)),"")</f>
        <v/>
      </c>
      <c r="K1393" s="40" t="str" cm="1">
        <f t="array" ref="K1393">IFERROR(_xlfn.LET(
_xlpm.CSVVal,_xlfn.XLOOKUP($A1393,CSV!$A:$A,CSV!K:K,""),
_xlpm.MacVal,_xlfn.XLOOKUP($A1393,Output_Mac!$A:$A,Output_Mac!K:K,""),
_xlpm.MyAuditVal,_xlfn.XLOOKUP($A1393,My_Audit!$A:$A,My_Audit!J:J,""),
_xlfn.IFS(_xlpm.MyAuditVal&lt;&gt;"",UPPER(_xlpm.MyAuditVal),_xlpm.MacVal&lt;&gt;"",_xlpm.MacVal,_xlpm.CSVVal&lt;&gt;"",_xlpm.CSVVal
)),"")</f>
        <v/>
      </c>
      <c r="L1393" s="40" t="str" cm="1">
        <f t="array" ref="L1393">IFERROR(_xlfn.LET(
_xlpm.CSVVal,_xlfn.XLOOKUP($A1393,CSV!$A:$A,CSV!P:P,""),
_xlpm.MacVal,_xlfn.XLOOKUP($A1393,Output_Mac!$A:$A,Output_Mac!L:L,""),
_xlpm.MyAuditVal,_xlfn.XLOOKUP($A1393,My_Audit!$A:$A,My_Audit!K:K,""),
_xlfn.IFS(_xlpm.MyAuditVal&lt;&gt;"",UPPER(_xlpm.MyAuditVal),_xlpm.MacVal&lt;&gt;"",_xlpm.MacVal,_xlpm.CSVVal&lt;&gt;"",_xlpm.CSVVal
)),"")</f>
        <v/>
      </c>
      <c r="M1393" s="40" t="str" cm="1">
        <f t="array" ref="M1393">IFERROR(_xlfn.LET(
_xlpm.CSVVal,_xlfn.XLOOKUP($A1393,CSV!$A:$A,CSV!Q:Q,""),
_xlpm.MacVal,_xlfn.XLOOKUP($A1393,Output_Mac!$A:$A,Output_Mac!M:M,""),
_xlpm.MyAuditVal,_xlfn.XLOOKUP($A1393,My_Audit!$A:$A,My_Audit!L:L,""),
_xlfn.IFS(_xlpm.MyAuditVal&lt;&gt;"",UPPER(_xlpm.MyAuditVal),_xlpm.MacVal&lt;&gt;"",_xlpm.MacVal,_xlpm.CSVVal&lt;&gt;"",_xlpm.CSVVal
)),"")</f>
        <v/>
      </c>
      <c r="N1393" s="40"/>
      <c r="O1393" s="40" t="str">
        <f>_xlfn.LET(
    _xlpm.CSVVal, _xlfn.XLOOKUP($A1393, CSV!$A:$A, CSV!AA:AA, ""),
    _xlpm.MacVal, _xlfn.XLOOKUP($A1393, Output_Mac!$A:$A, Output_Mac!S:S, ""),
    _xlpm.MyAuditVal, _xlfn.XLOOKUP($A1393, My_Audit!$A:$A, My_Audit!P:P, ""),
    _xlfn.TEXTJOIN(", ", TRUE, _xlpm.MyAuditVal, _xlpm.MacVal, _xlpm.CSVVal)
)</f>
        <v/>
      </c>
      <c r="P1393" s="40" t="str" cm="1">
        <f t="array" ref="P1393">IFERROR(_xlfn.LET(
_xlpm.CSVVal,_xlfn.XLOOKUP($A1393,CSV!$A:$A,CSV!AB:AB,""),
_xlpm.MacVal,_xlfn.XLOOKUP($A1393,Output_Mac!$A:$A,Output_Mac!T:T,""),
_xlpm.MyAuditVal,_xlfn.XLOOKUP($A1393,My_Audit!$A:$A,My_Audit!Q:Q,""),
_xlfn.IFS(_xlpm.MyAuditVal&lt;&gt;"",UPPER(_xlpm.MyAuditVal),_xlpm.MacVal&lt;&gt;"",_xlpm.MacVal,_xlpm.CSVVal&lt;&gt;"",_xlpm.CSVVal
)),"No")</f>
        <v>No</v>
      </c>
      <c r="Q1393" s="40" t="str" cm="1">
        <f t="array" ref="Q1393">IFERROR(_xlfn.LET(
_xlpm.CSVVal,_xlfn.XLOOKUP($A1393,CSV!$A:$A,CSV!AC:AC,""),
_xlpm.MacVal,_xlfn.XLOOKUP($A1393,Output_Mac!$A:$A,Output_Mac!U:U,""),
_xlpm.MyAuditVal,_xlfn.XLOOKUP($A1393,My_Audit!$A:$A,My_Audit!R:R,""),
_xlfn.IFS(_xlpm.MyAuditVal&lt;&gt;"",UPPER(_xlpm.MyAuditVal),_xlpm.MacVal&lt;&gt;"",_xlpm.MacVal,_xlpm.CSVVal&lt;&gt;"",_xlpm.CSVVal
)),"")</f>
        <v/>
      </c>
      <c r="R1393" s="40"/>
      <c r="S1393" s="40"/>
      <c r="T1393" s="40"/>
      <c r="U1393" s="40"/>
      <c r="V1393" s="40"/>
      <c r="W1393" s="40"/>
      <c r="X1393" s="41" t="str">
        <f>_xlfn.LET(
    _xlpm.MacVal, _xlfn.XLOOKUP($A1393, Output_Mac!$A:$A, Output_Mac!AB:AB, ""),
    _xlpm.MyAuditVal, _xlfn.XLOOKUP($A1393, My_Audit!$A:$A, My_Audit!N:N, ""),
    _xlfn.TEXTJOIN(", ", TRUE, _xlpm.MyAuditVal, _xlpm.MacVal)
)</f>
        <v/>
      </c>
    </row>
    <row r="1394" spans="1:24">
      <c r="A1394" s="40" t="str">
        <f>_xlfn.TEXTJOIN("",TRUE,Input!$B$2,ROW(My_Audit!A1393))</f>
        <v>X1393</v>
      </c>
      <c r="B1394" s="40" t="str">
        <f>_xlfn.TEXTJOIN("-",TRUE,"ITD",Input!$A$2,A1394)</f>
        <v>ITD-X1393</v>
      </c>
      <c r="C1394" s="40" t="str" cm="1">
        <f t="array" ref="C1394">IFERROR(_xlfn.LET(
_xlpm.CSVVal,_xlfn.XLOOKUP($A1394,CSV!$A:$A,CSV!B:B,""),
_xlpm.MacVal,_xlfn.XLOOKUP($A1394,Output_Mac!$A:$A,Output_Mac!B:B,""),
_xlpm.MyAuditVal,_xlfn.XLOOKUP($A1394,My_Audit!$A:$A,My_Audit!B:B,""),
_xlfn.IFS(_xlpm.MyAuditVal&lt;&gt;"",UPPER(_xlpm.MyAuditVal),_xlpm.MacVal&lt;&gt;"",_xlpm.MacVal,_xlpm.CSVVal&lt;&gt;"",_xlpm.CSVVal
)),"")</f>
        <v/>
      </c>
      <c r="D1394" s="40" t="str" cm="1">
        <f t="array" ref="D1394">IFERROR(_xlfn.LET(
_xlpm.CSVVal,_xlfn.XLOOKUP($A1394,CSV!$A:$A,CSV!D:D,""),
_xlpm.MacVal,_xlfn.XLOOKUP($A1394,Output_Mac!$A:$A,Output_Mac!C:C,""),
_xlpm.MyAuditVal,_xlfn.XLOOKUP($A1394,My_Audit!$A:$A,My_Audit!C:C,""),
_xlfn.IFS(_xlpm.MyAuditVal&lt;&gt;"",_xlpm.MyAuditVal,_xlpm.MacVal&lt;&gt;"",_xlpm.MacVal,_xlpm.CSVVal&lt;&gt;"",_xlpm.CSVVal
)),"")</f>
        <v/>
      </c>
      <c r="E1394" s="40" t="str">
        <f>_xlfn.XLOOKUP(A1394,My_Audit!A:A,My_Audit!D:D,"")</f>
        <v/>
      </c>
      <c r="F1394" s="40" t="str" cm="1">
        <f t="array" ref="F1394">IFERROR(_xlfn.LET(
_xlpm.CSVVal,_xlfn.XLOOKUP($A1394,CSV!$A:$A,CSV!F:F,""),
_xlpm.MacVal,_xlfn.XLOOKUP($A1394,Output_Mac!$A:$A,Output_Mac!E:E,""),
_xlpm.MyAuditVal,_xlfn.XLOOKUP($A1394,My_Audit!$A:$A,My_Audit!E:E,""),
_xlfn.IFS(_xlpm.MyAuditVal&lt;&gt;"",_xlpm.MyAuditVal,_xlpm.MacVal&lt;&gt;"",_xlpm.MacVal,_xlpm.CSVVal&lt;&gt;"",_xlpm.CSVVal
)),"")</f>
        <v/>
      </c>
      <c r="G1394" s="40" t="str" cm="1">
        <f t="array" ref="G1394">IFERROR(_xlfn.LET(
_xlpm.CSVVal,_xlfn.XLOOKUP($A1394,CSV!$A:$A,CSV!G:G,""),
_xlpm.MacVal,_xlfn.XLOOKUP($A1394,Output_Mac!$A:$A,Output_Mac!F:F,""),
_xlpm.MyAuditVal,_xlfn.XLOOKUP($A1394,My_Audit!$A:$A,My_Audit!F:F,""),
_xlfn.IFS(_xlpm.MyAuditVal&lt;&gt;"",_xlpm.MyAuditVal,_xlpm.MacVal&lt;&gt;"",_xlpm.MacVal,_xlpm.CSVVal&lt;&gt;"",PROPER(_xlpm.CSVVal)
)),"")</f>
        <v/>
      </c>
      <c r="H1394" s="40" t="str" cm="1">
        <f t="array" ref="H1394">IFERROR(_xlfn.LET(
_xlpm.CSVVal,_xlfn.XLOOKUP($A1394,CSV!$A:$A,CSV!H:H,""),
_xlpm.MacVal,_xlfn.XLOOKUP($A1394,Output_Mac!$A:$A,Output_Mac!H:H,""),
_xlpm.MyAuditVal,_xlfn.XLOOKUP($A1394,My_Audit!$A:$A,My_Audit!G:G,""),
_xlfn.IFS(_xlpm.MyAuditVal&lt;&gt;"",_xlpm.MyAuditVal,_xlpm.MacVal&lt;&gt;"",_xlpm.MacVal,_xlpm.CSVVal&lt;&gt;"",_xlpm.CSVVal
)),"")</f>
        <v/>
      </c>
      <c r="I1394" s="40" t="str">
        <f>_xlfn.XLOOKUP(A1394,Output_Mac!A:A,Output_Mac!I:I,"")</f>
        <v/>
      </c>
      <c r="J1394" s="40" t="str" cm="1">
        <f t="array" ref="J1394">IFERROR(_xlfn.LET(
_xlpm.CSVVal,_xlfn.XLOOKUP($A1394,CSV!$A:$A,CSV!I:I,""),
_xlpm.MacVal,_xlfn.XLOOKUP($A1394,Output_Mac!$A:$A,Output_Mac!J:J,""),
_xlpm.MyAuditVal,_xlfn.XLOOKUP($A1394,My_Audit!$A:$A,My_Audit!I:I,""),
_xlfn.IFS(_xlpm.MyAuditVal&lt;&gt;"",UPPER(_xlpm.MyAuditVal),_xlpm.MacVal&lt;&gt;"",_xlpm.MacVal,_xlpm.CSVVal&lt;&gt;"",_xlpm.CSVVal
)),"")</f>
        <v/>
      </c>
      <c r="K1394" s="40" t="str" cm="1">
        <f t="array" ref="K1394">IFERROR(_xlfn.LET(
_xlpm.CSVVal,_xlfn.XLOOKUP($A1394,CSV!$A:$A,CSV!K:K,""),
_xlpm.MacVal,_xlfn.XLOOKUP($A1394,Output_Mac!$A:$A,Output_Mac!K:K,""),
_xlpm.MyAuditVal,_xlfn.XLOOKUP($A1394,My_Audit!$A:$A,My_Audit!J:J,""),
_xlfn.IFS(_xlpm.MyAuditVal&lt;&gt;"",UPPER(_xlpm.MyAuditVal),_xlpm.MacVal&lt;&gt;"",_xlpm.MacVal,_xlpm.CSVVal&lt;&gt;"",_xlpm.CSVVal
)),"")</f>
        <v/>
      </c>
      <c r="L1394" s="40" t="str" cm="1">
        <f t="array" ref="L1394">IFERROR(_xlfn.LET(
_xlpm.CSVVal,_xlfn.XLOOKUP($A1394,CSV!$A:$A,CSV!P:P,""),
_xlpm.MacVal,_xlfn.XLOOKUP($A1394,Output_Mac!$A:$A,Output_Mac!L:L,""),
_xlpm.MyAuditVal,_xlfn.XLOOKUP($A1394,My_Audit!$A:$A,My_Audit!K:K,""),
_xlfn.IFS(_xlpm.MyAuditVal&lt;&gt;"",UPPER(_xlpm.MyAuditVal),_xlpm.MacVal&lt;&gt;"",_xlpm.MacVal,_xlpm.CSVVal&lt;&gt;"",_xlpm.CSVVal
)),"")</f>
        <v/>
      </c>
      <c r="M1394" s="40" t="str" cm="1">
        <f t="array" ref="M1394">IFERROR(_xlfn.LET(
_xlpm.CSVVal,_xlfn.XLOOKUP($A1394,CSV!$A:$A,CSV!Q:Q,""),
_xlpm.MacVal,_xlfn.XLOOKUP($A1394,Output_Mac!$A:$A,Output_Mac!M:M,""),
_xlpm.MyAuditVal,_xlfn.XLOOKUP($A1394,My_Audit!$A:$A,My_Audit!L:L,""),
_xlfn.IFS(_xlpm.MyAuditVal&lt;&gt;"",UPPER(_xlpm.MyAuditVal),_xlpm.MacVal&lt;&gt;"",_xlpm.MacVal,_xlpm.CSVVal&lt;&gt;"",_xlpm.CSVVal
)),"")</f>
        <v/>
      </c>
      <c r="N1394" s="40"/>
      <c r="O1394" s="40" t="str">
        <f>_xlfn.LET(
    _xlpm.CSVVal, _xlfn.XLOOKUP($A1394, CSV!$A:$A, CSV!AA:AA, ""),
    _xlpm.MacVal, _xlfn.XLOOKUP($A1394, Output_Mac!$A:$A, Output_Mac!S:S, ""),
    _xlpm.MyAuditVal, _xlfn.XLOOKUP($A1394, My_Audit!$A:$A, My_Audit!P:P, ""),
    _xlfn.TEXTJOIN(", ", TRUE, _xlpm.MyAuditVal, _xlpm.MacVal, _xlpm.CSVVal)
)</f>
        <v/>
      </c>
      <c r="P1394" s="40" t="str" cm="1">
        <f t="array" ref="P1394">IFERROR(_xlfn.LET(
_xlpm.CSVVal,_xlfn.XLOOKUP($A1394,CSV!$A:$A,CSV!AB:AB,""),
_xlpm.MacVal,_xlfn.XLOOKUP($A1394,Output_Mac!$A:$A,Output_Mac!T:T,""),
_xlpm.MyAuditVal,_xlfn.XLOOKUP($A1394,My_Audit!$A:$A,My_Audit!Q:Q,""),
_xlfn.IFS(_xlpm.MyAuditVal&lt;&gt;"",UPPER(_xlpm.MyAuditVal),_xlpm.MacVal&lt;&gt;"",_xlpm.MacVal,_xlpm.CSVVal&lt;&gt;"",_xlpm.CSVVal
)),"No")</f>
        <v>No</v>
      </c>
      <c r="Q1394" s="40" t="str" cm="1">
        <f t="array" ref="Q1394">IFERROR(_xlfn.LET(
_xlpm.CSVVal,_xlfn.XLOOKUP($A1394,CSV!$A:$A,CSV!AC:AC,""),
_xlpm.MacVal,_xlfn.XLOOKUP($A1394,Output_Mac!$A:$A,Output_Mac!U:U,""),
_xlpm.MyAuditVal,_xlfn.XLOOKUP($A1394,My_Audit!$A:$A,My_Audit!R:R,""),
_xlfn.IFS(_xlpm.MyAuditVal&lt;&gt;"",UPPER(_xlpm.MyAuditVal),_xlpm.MacVal&lt;&gt;"",_xlpm.MacVal,_xlpm.CSVVal&lt;&gt;"",_xlpm.CSVVal
)),"")</f>
        <v/>
      </c>
      <c r="R1394" s="40"/>
      <c r="S1394" s="40"/>
      <c r="T1394" s="40"/>
      <c r="U1394" s="40"/>
      <c r="V1394" s="40"/>
      <c r="W1394" s="40"/>
      <c r="X1394" s="41" t="str">
        <f>_xlfn.LET(
    _xlpm.MacVal, _xlfn.XLOOKUP($A1394, Output_Mac!$A:$A, Output_Mac!AB:AB, ""),
    _xlpm.MyAuditVal, _xlfn.XLOOKUP($A1394, My_Audit!$A:$A, My_Audit!N:N, ""),
    _xlfn.TEXTJOIN(", ", TRUE, _xlpm.MyAuditVal, _xlpm.MacVal)
)</f>
        <v/>
      </c>
    </row>
    <row r="1395" spans="1:24">
      <c r="A1395" s="40" t="str">
        <f>_xlfn.TEXTJOIN("",TRUE,Input!$B$2,ROW(My_Audit!A1394))</f>
        <v>X1394</v>
      </c>
      <c r="B1395" s="40" t="str">
        <f>_xlfn.TEXTJOIN("-",TRUE,"ITD",Input!$A$2,A1395)</f>
        <v>ITD-X1394</v>
      </c>
      <c r="C1395" s="40" t="str" cm="1">
        <f t="array" ref="C1395">IFERROR(_xlfn.LET(
_xlpm.CSVVal,_xlfn.XLOOKUP($A1395,CSV!$A:$A,CSV!B:B,""),
_xlpm.MacVal,_xlfn.XLOOKUP($A1395,Output_Mac!$A:$A,Output_Mac!B:B,""),
_xlpm.MyAuditVal,_xlfn.XLOOKUP($A1395,My_Audit!$A:$A,My_Audit!B:B,""),
_xlfn.IFS(_xlpm.MyAuditVal&lt;&gt;"",UPPER(_xlpm.MyAuditVal),_xlpm.MacVal&lt;&gt;"",_xlpm.MacVal,_xlpm.CSVVal&lt;&gt;"",_xlpm.CSVVal
)),"")</f>
        <v/>
      </c>
      <c r="D1395" s="40" t="str" cm="1">
        <f t="array" ref="D1395">IFERROR(_xlfn.LET(
_xlpm.CSVVal,_xlfn.XLOOKUP($A1395,CSV!$A:$A,CSV!D:D,""),
_xlpm.MacVal,_xlfn.XLOOKUP($A1395,Output_Mac!$A:$A,Output_Mac!C:C,""),
_xlpm.MyAuditVal,_xlfn.XLOOKUP($A1395,My_Audit!$A:$A,My_Audit!C:C,""),
_xlfn.IFS(_xlpm.MyAuditVal&lt;&gt;"",_xlpm.MyAuditVal,_xlpm.MacVal&lt;&gt;"",_xlpm.MacVal,_xlpm.CSVVal&lt;&gt;"",_xlpm.CSVVal
)),"")</f>
        <v/>
      </c>
      <c r="E1395" s="40" t="str">
        <f>_xlfn.XLOOKUP(A1395,My_Audit!A:A,My_Audit!D:D,"")</f>
        <v/>
      </c>
      <c r="F1395" s="40" t="str" cm="1">
        <f t="array" ref="F1395">IFERROR(_xlfn.LET(
_xlpm.CSVVal,_xlfn.XLOOKUP($A1395,CSV!$A:$A,CSV!F:F,""),
_xlpm.MacVal,_xlfn.XLOOKUP($A1395,Output_Mac!$A:$A,Output_Mac!E:E,""),
_xlpm.MyAuditVal,_xlfn.XLOOKUP($A1395,My_Audit!$A:$A,My_Audit!E:E,""),
_xlfn.IFS(_xlpm.MyAuditVal&lt;&gt;"",_xlpm.MyAuditVal,_xlpm.MacVal&lt;&gt;"",_xlpm.MacVal,_xlpm.CSVVal&lt;&gt;"",_xlpm.CSVVal
)),"")</f>
        <v/>
      </c>
      <c r="G1395" s="40" t="str" cm="1">
        <f t="array" ref="G1395">IFERROR(_xlfn.LET(
_xlpm.CSVVal,_xlfn.XLOOKUP($A1395,CSV!$A:$A,CSV!G:G,""),
_xlpm.MacVal,_xlfn.XLOOKUP($A1395,Output_Mac!$A:$A,Output_Mac!F:F,""),
_xlpm.MyAuditVal,_xlfn.XLOOKUP($A1395,My_Audit!$A:$A,My_Audit!F:F,""),
_xlfn.IFS(_xlpm.MyAuditVal&lt;&gt;"",_xlpm.MyAuditVal,_xlpm.MacVal&lt;&gt;"",_xlpm.MacVal,_xlpm.CSVVal&lt;&gt;"",PROPER(_xlpm.CSVVal)
)),"")</f>
        <v/>
      </c>
      <c r="H1395" s="40" t="str" cm="1">
        <f t="array" ref="H1395">IFERROR(_xlfn.LET(
_xlpm.CSVVal,_xlfn.XLOOKUP($A1395,CSV!$A:$A,CSV!H:H,""),
_xlpm.MacVal,_xlfn.XLOOKUP($A1395,Output_Mac!$A:$A,Output_Mac!H:H,""),
_xlpm.MyAuditVal,_xlfn.XLOOKUP($A1395,My_Audit!$A:$A,My_Audit!G:G,""),
_xlfn.IFS(_xlpm.MyAuditVal&lt;&gt;"",_xlpm.MyAuditVal,_xlpm.MacVal&lt;&gt;"",_xlpm.MacVal,_xlpm.CSVVal&lt;&gt;"",_xlpm.CSVVal
)),"")</f>
        <v/>
      </c>
      <c r="I1395" s="40" t="str">
        <f>_xlfn.XLOOKUP(A1395,Output_Mac!A:A,Output_Mac!I:I,"")</f>
        <v/>
      </c>
      <c r="J1395" s="40" t="str" cm="1">
        <f t="array" ref="J1395">IFERROR(_xlfn.LET(
_xlpm.CSVVal,_xlfn.XLOOKUP($A1395,CSV!$A:$A,CSV!I:I,""),
_xlpm.MacVal,_xlfn.XLOOKUP($A1395,Output_Mac!$A:$A,Output_Mac!J:J,""),
_xlpm.MyAuditVal,_xlfn.XLOOKUP($A1395,My_Audit!$A:$A,My_Audit!I:I,""),
_xlfn.IFS(_xlpm.MyAuditVal&lt;&gt;"",UPPER(_xlpm.MyAuditVal),_xlpm.MacVal&lt;&gt;"",_xlpm.MacVal,_xlpm.CSVVal&lt;&gt;"",_xlpm.CSVVal
)),"")</f>
        <v/>
      </c>
      <c r="K1395" s="40" t="str" cm="1">
        <f t="array" ref="K1395">IFERROR(_xlfn.LET(
_xlpm.CSVVal,_xlfn.XLOOKUP($A1395,CSV!$A:$A,CSV!K:K,""),
_xlpm.MacVal,_xlfn.XLOOKUP($A1395,Output_Mac!$A:$A,Output_Mac!K:K,""),
_xlpm.MyAuditVal,_xlfn.XLOOKUP($A1395,My_Audit!$A:$A,My_Audit!J:J,""),
_xlfn.IFS(_xlpm.MyAuditVal&lt;&gt;"",UPPER(_xlpm.MyAuditVal),_xlpm.MacVal&lt;&gt;"",_xlpm.MacVal,_xlpm.CSVVal&lt;&gt;"",_xlpm.CSVVal
)),"")</f>
        <v/>
      </c>
      <c r="L1395" s="40" t="str" cm="1">
        <f t="array" ref="L1395">IFERROR(_xlfn.LET(
_xlpm.CSVVal,_xlfn.XLOOKUP($A1395,CSV!$A:$A,CSV!P:P,""),
_xlpm.MacVal,_xlfn.XLOOKUP($A1395,Output_Mac!$A:$A,Output_Mac!L:L,""),
_xlpm.MyAuditVal,_xlfn.XLOOKUP($A1395,My_Audit!$A:$A,My_Audit!K:K,""),
_xlfn.IFS(_xlpm.MyAuditVal&lt;&gt;"",UPPER(_xlpm.MyAuditVal),_xlpm.MacVal&lt;&gt;"",_xlpm.MacVal,_xlpm.CSVVal&lt;&gt;"",_xlpm.CSVVal
)),"")</f>
        <v/>
      </c>
      <c r="M1395" s="40" t="str" cm="1">
        <f t="array" ref="M1395">IFERROR(_xlfn.LET(
_xlpm.CSVVal,_xlfn.XLOOKUP($A1395,CSV!$A:$A,CSV!Q:Q,""),
_xlpm.MacVal,_xlfn.XLOOKUP($A1395,Output_Mac!$A:$A,Output_Mac!M:M,""),
_xlpm.MyAuditVal,_xlfn.XLOOKUP($A1395,My_Audit!$A:$A,My_Audit!L:L,""),
_xlfn.IFS(_xlpm.MyAuditVal&lt;&gt;"",UPPER(_xlpm.MyAuditVal),_xlpm.MacVal&lt;&gt;"",_xlpm.MacVal,_xlpm.CSVVal&lt;&gt;"",_xlpm.CSVVal
)),"")</f>
        <v/>
      </c>
      <c r="N1395" s="40"/>
      <c r="O1395" s="40" t="str">
        <f>_xlfn.LET(
    _xlpm.CSVVal, _xlfn.XLOOKUP($A1395, CSV!$A:$A, CSV!AA:AA, ""),
    _xlpm.MacVal, _xlfn.XLOOKUP($A1395, Output_Mac!$A:$A, Output_Mac!S:S, ""),
    _xlpm.MyAuditVal, _xlfn.XLOOKUP($A1395, My_Audit!$A:$A, My_Audit!P:P, ""),
    _xlfn.TEXTJOIN(", ", TRUE, _xlpm.MyAuditVal, _xlpm.MacVal, _xlpm.CSVVal)
)</f>
        <v/>
      </c>
      <c r="P1395" s="40" t="str" cm="1">
        <f t="array" ref="P1395">IFERROR(_xlfn.LET(
_xlpm.CSVVal,_xlfn.XLOOKUP($A1395,CSV!$A:$A,CSV!AB:AB,""),
_xlpm.MacVal,_xlfn.XLOOKUP($A1395,Output_Mac!$A:$A,Output_Mac!T:T,""),
_xlpm.MyAuditVal,_xlfn.XLOOKUP($A1395,My_Audit!$A:$A,My_Audit!Q:Q,""),
_xlfn.IFS(_xlpm.MyAuditVal&lt;&gt;"",UPPER(_xlpm.MyAuditVal),_xlpm.MacVal&lt;&gt;"",_xlpm.MacVal,_xlpm.CSVVal&lt;&gt;"",_xlpm.CSVVal
)),"No")</f>
        <v>No</v>
      </c>
      <c r="Q1395" s="40" t="str" cm="1">
        <f t="array" ref="Q1395">IFERROR(_xlfn.LET(
_xlpm.CSVVal,_xlfn.XLOOKUP($A1395,CSV!$A:$A,CSV!AC:AC,""),
_xlpm.MacVal,_xlfn.XLOOKUP($A1395,Output_Mac!$A:$A,Output_Mac!U:U,""),
_xlpm.MyAuditVal,_xlfn.XLOOKUP($A1395,My_Audit!$A:$A,My_Audit!R:R,""),
_xlfn.IFS(_xlpm.MyAuditVal&lt;&gt;"",UPPER(_xlpm.MyAuditVal),_xlpm.MacVal&lt;&gt;"",_xlpm.MacVal,_xlpm.CSVVal&lt;&gt;"",_xlpm.CSVVal
)),"")</f>
        <v/>
      </c>
      <c r="R1395" s="40"/>
      <c r="S1395" s="40"/>
      <c r="T1395" s="40"/>
      <c r="U1395" s="40"/>
      <c r="V1395" s="40"/>
      <c r="W1395" s="40"/>
      <c r="X1395" s="41" t="str">
        <f>_xlfn.LET(
    _xlpm.MacVal, _xlfn.XLOOKUP($A1395, Output_Mac!$A:$A, Output_Mac!AB:AB, ""),
    _xlpm.MyAuditVal, _xlfn.XLOOKUP($A1395, My_Audit!$A:$A, My_Audit!N:N, ""),
    _xlfn.TEXTJOIN(", ", TRUE, _xlpm.MyAuditVal, _xlpm.MacVal)
)</f>
        <v/>
      </c>
    </row>
    <row r="1396" spans="1:24">
      <c r="A1396" s="40" t="str">
        <f>_xlfn.TEXTJOIN("",TRUE,Input!$B$2,ROW(My_Audit!A1395))</f>
        <v>X1395</v>
      </c>
      <c r="B1396" s="40" t="str">
        <f>_xlfn.TEXTJOIN("-",TRUE,"ITD",Input!$A$2,A1396)</f>
        <v>ITD-X1395</v>
      </c>
      <c r="C1396" s="40" t="str" cm="1">
        <f t="array" ref="C1396">IFERROR(_xlfn.LET(
_xlpm.CSVVal,_xlfn.XLOOKUP($A1396,CSV!$A:$A,CSV!B:B,""),
_xlpm.MacVal,_xlfn.XLOOKUP($A1396,Output_Mac!$A:$A,Output_Mac!B:B,""),
_xlpm.MyAuditVal,_xlfn.XLOOKUP($A1396,My_Audit!$A:$A,My_Audit!B:B,""),
_xlfn.IFS(_xlpm.MyAuditVal&lt;&gt;"",UPPER(_xlpm.MyAuditVal),_xlpm.MacVal&lt;&gt;"",_xlpm.MacVal,_xlpm.CSVVal&lt;&gt;"",_xlpm.CSVVal
)),"")</f>
        <v/>
      </c>
      <c r="D1396" s="40" t="str" cm="1">
        <f t="array" ref="D1396">IFERROR(_xlfn.LET(
_xlpm.CSVVal,_xlfn.XLOOKUP($A1396,CSV!$A:$A,CSV!D:D,""),
_xlpm.MacVal,_xlfn.XLOOKUP($A1396,Output_Mac!$A:$A,Output_Mac!C:C,""),
_xlpm.MyAuditVal,_xlfn.XLOOKUP($A1396,My_Audit!$A:$A,My_Audit!C:C,""),
_xlfn.IFS(_xlpm.MyAuditVal&lt;&gt;"",_xlpm.MyAuditVal,_xlpm.MacVal&lt;&gt;"",_xlpm.MacVal,_xlpm.CSVVal&lt;&gt;"",_xlpm.CSVVal
)),"")</f>
        <v/>
      </c>
      <c r="E1396" s="40" t="str">
        <f>_xlfn.XLOOKUP(A1396,My_Audit!A:A,My_Audit!D:D,"")</f>
        <v/>
      </c>
      <c r="F1396" s="40" t="str" cm="1">
        <f t="array" ref="F1396">IFERROR(_xlfn.LET(
_xlpm.CSVVal,_xlfn.XLOOKUP($A1396,CSV!$A:$A,CSV!F:F,""),
_xlpm.MacVal,_xlfn.XLOOKUP($A1396,Output_Mac!$A:$A,Output_Mac!E:E,""),
_xlpm.MyAuditVal,_xlfn.XLOOKUP($A1396,My_Audit!$A:$A,My_Audit!E:E,""),
_xlfn.IFS(_xlpm.MyAuditVal&lt;&gt;"",_xlpm.MyAuditVal,_xlpm.MacVal&lt;&gt;"",_xlpm.MacVal,_xlpm.CSVVal&lt;&gt;"",_xlpm.CSVVal
)),"")</f>
        <v/>
      </c>
      <c r="G1396" s="40" t="str" cm="1">
        <f t="array" ref="G1396">IFERROR(_xlfn.LET(
_xlpm.CSVVal,_xlfn.XLOOKUP($A1396,CSV!$A:$A,CSV!G:G,""),
_xlpm.MacVal,_xlfn.XLOOKUP($A1396,Output_Mac!$A:$A,Output_Mac!F:F,""),
_xlpm.MyAuditVal,_xlfn.XLOOKUP($A1396,My_Audit!$A:$A,My_Audit!F:F,""),
_xlfn.IFS(_xlpm.MyAuditVal&lt;&gt;"",_xlpm.MyAuditVal,_xlpm.MacVal&lt;&gt;"",_xlpm.MacVal,_xlpm.CSVVal&lt;&gt;"",PROPER(_xlpm.CSVVal)
)),"")</f>
        <v/>
      </c>
      <c r="H1396" s="40" t="str" cm="1">
        <f t="array" ref="H1396">IFERROR(_xlfn.LET(
_xlpm.CSVVal,_xlfn.XLOOKUP($A1396,CSV!$A:$A,CSV!H:H,""),
_xlpm.MacVal,_xlfn.XLOOKUP($A1396,Output_Mac!$A:$A,Output_Mac!H:H,""),
_xlpm.MyAuditVal,_xlfn.XLOOKUP($A1396,My_Audit!$A:$A,My_Audit!G:G,""),
_xlfn.IFS(_xlpm.MyAuditVal&lt;&gt;"",_xlpm.MyAuditVal,_xlpm.MacVal&lt;&gt;"",_xlpm.MacVal,_xlpm.CSVVal&lt;&gt;"",_xlpm.CSVVal
)),"")</f>
        <v/>
      </c>
      <c r="I1396" s="40" t="str">
        <f>_xlfn.XLOOKUP(A1396,Output_Mac!A:A,Output_Mac!I:I,"")</f>
        <v/>
      </c>
      <c r="J1396" s="40" t="str" cm="1">
        <f t="array" ref="J1396">IFERROR(_xlfn.LET(
_xlpm.CSVVal,_xlfn.XLOOKUP($A1396,CSV!$A:$A,CSV!I:I,""),
_xlpm.MacVal,_xlfn.XLOOKUP($A1396,Output_Mac!$A:$A,Output_Mac!J:J,""),
_xlpm.MyAuditVal,_xlfn.XLOOKUP($A1396,My_Audit!$A:$A,My_Audit!I:I,""),
_xlfn.IFS(_xlpm.MyAuditVal&lt;&gt;"",UPPER(_xlpm.MyAuditVal),_xlpm.MacVal&lt;&gt;"",_xlpm.MacVal,_xlpm.CSVVal&lt;&gt;"",_xlpm.CSVVal
)),"")</f>
        <v/>
      </c>
      <c r="K1396" s="40" t="str" cm="1">
        <f t="array" ref="K1396">IFERROR(_xlfn.LET(
_xlpm.CSVVal,_xlfn.XLOOKUP($A1396,CSV!$A:$A,CSV!K:K,""),
_xlpm.MacVal,_xlfn.XLOOKUP($A1396,Output_Mac!$A:$A,Output_Mac!K:K,""),
_xlpm.MyAuditVal,_xlfn.XLOOKUP($A1396,My_Audit!$A:$A,My_Audit!J:J,""),
_xlfn.IFS(_xlpm.MyAuditVal&lt;&gt;"",UPPER(_xlpm.MyAuditVal),_xlpm.MacVal&lt;&gt;"",_xlpm.MacVal,_xlpm.CSVVal&lt;&gt;"",_xlpm.CSVVal
)),"")</f>
        <v/>
      </c>
      <c r="L1396" s="40" t="str" cm="1">
        <f t="array" ref="L1396">IFERROR(_xlfn.LET(
_xlpm.CSVVal,_xlfn.XLOOKUP($A1396,CSV!$A:$A,CSV!P:P,""),
_xlpm.MacVal,_xlfn.XLOOKUP($A1396,Output_Mac!$A:$A,Output_Mac!L:L,""),
_xlpm.MyAuditVal,_xlfn.XLOOKUP($A1396,My_Audit!$A:$A,My_Audit!K:K,""),
_xlfn.IFS(_xlpm.MyAuditVal&lt;&gt;"",UPPER(_xlpm.MyAuditVal),_xlpm.MacVal&lt;&gt;"",_xlpm.MacVal,_xlpm.CSVVal&lt;&gt;"",_xlpm.CSVVal
)),"")</f>
        <v/>
      </c>
      <c r="M1396" s="40" t="str" cm="1">
        <f t="array" ref="M1396">IFERROR(_xlfn.LET(
_xlpm.CSVVal,_xlfn.XLOOKUP($A1396,CSV!$A:$A,CSV!Q:Q,""),
_xlpm.MacVal,_xlfn.XLOOKUP($A1396,Output_Mac!$A:$A,Output_Mac!M:M,""),
_xlpm.MyAuditVal,_xlfn.XLOOKUP($A1396,My_Audit!$A:$A,My_Audit!L:L,""),
_xlfn.IFS(_xlpm.MyAuditVal&lt;&gt;"",UPPER(_xlpm.MyAuditVal),_xlpm.MacVal&lt;&gt;"",_xlpm.MacVal,_xlpm.CSVVal&lt;&gt;"",_xlpm.CSVVal
)),"")</f>
        <v/>
      </c>
      <c r="N1396" s="40"/>
      <c r="O1396" s="40" t="str">
        <f>_xlfn.LET(
    _xlpm.CSVVal, _xlfn.XLOOKUP($A1396, CSV!$A:$A, CSV!AA:AA, ""),
    _xlpm.MacVal, _xlfn.XLOOKUP($A1396, Output_Mac!$A:$A, Output_Mac!S:S, ""),
    _xlpm.MyAuditVal, _xlfn.XLOOKUP($A1396, My_Audit!$A:$A, My_Audit!P:P, ""),
    _xlfn.TEXTJOIN(", ", TRUE, _xlpm.MyAuditVal, _xlpm.MacVal, _xlpm.CSVVal)
)</f>
        <v/>
      </c>
      <c r="P1396" s="40" t="str" cm="1">
        <f t="array" ref="P1396">IFERROR(_xlfn.LET(
_xlpm.CSVVal,_xlfn.XLOOKUP($A1396,CSV!$A:$A,CSV!AB:AB,""),
_xlpm.MacVal,_xlfn.XLOOKUP($A1396,Output_Mac!$A:$A,Output_Mac!T:T,""),
_xlpm.MyAuditVal,_xlfn.XLOOKUP($A1396,My_Audit!$A:$A,My_Audit!Q:Q,""),
_xlfn.IFS(_xlpm.MyAuditVal&lt;&gt;"",UPPER(_xlpm.MyAuditVal),_xlpm.MacVal&lt;&gt;"",_xlpm.MacVal,_xlpm.CSVVal&lt;&gt;"",_xlpm.CSVVal
)),"No")</f>
        <v>No</v>
      </c>
      <c r="Q1396" s="40" t="str" cm="1">
        <f t="array" ref="Q1396">IFERROR(_xlfn.LET(
_xlpm.CSVVal,_xlfn.XLOOKUP($A1396,CSV!$A:$A,CSV!AC:AC,""),
_xlpm.MacVal,_xlfn.XLOOKUP($A1396,Output_Mac!$A:$A,Output_Mac!U:U,""),
_xlpm.MyAuditVal,_xlfn.XLOOKUP($A1396,My_Audit!$A:$A,My_Audit!R:R,""),
_xlfn.IFS(_xlpm.MyAuditVal&lt;&gt;"",UPPER(_xlpm.MyAuditVal),_xlpm.MacVal&lt;&gt;"",_xlpm.MacVal,_xlpm.CSVVal&lt;&gt;"",_xlpm.CSVVal
)),"")</f>
        <v/>
      </c>
      <c r="R1396" s="40"/>
      <c r="S1396" s="40"/>
      <c r="T1396" s="40"/>
      <c r="U1396" s="40"/>
      <c r="V1396" s="40"/>
      <c r="W1396" s="40"/>
      <c r="X1396" s="41" t="str">
        <f>_xlfn.LET(
    _xlpm.MacVal, _xlfn.XLOOKUP($A1396, Output_Mac!$A:$A, Output_Mac!AB:AB, ""),
    _xlpm.MyAuditVal, _xlfn.XLOOKUP($A1396, My_Audit!$A:$A, My_Audit!N:N, ""),
    _xlfn.TEXTJOIN(", ", TRUE, _xlpm.MyAuditVal, _xlpm.MacVal)
)</f>
        <v/>
      </c>
    </row>
    <row r="1397" spans="1:24">
      <c r="A1397" s="40" t="str">
        <f>_xlfn.TEXTJOIN("",TRUE,Input!$B$2,ROW(My_Audit!A1396))</f>
        <v>X1396</v>
      </c>
      <c r="B1397" s="40" t="str">
        <f>_xlfn.TEXTJOIN("-",TRUE,"ITD",Input!$A$2,A1397)</f>
        <v>ITD-X1396</v>
      </c>
      <c r="C1397" s="40" t="str" cm="1">
        <f t="array" ref="C1397">IFERROR(_xlfn.LET(
_xlpm.CSVVal,_xlfn.XLOOKUP($A1397,CSV!$A:$A,CSV!B:B,""),
_xlpm.MacVal,_xlfn.XLOOKUP($A1397,Output_Mac!$A:$A,Output_Mac!B:B,""),
_xlpm.MyAuditVal,_xlfn.XLOOKUP($A1397,My_Audit!$A:$A,My_Audit!B:B,""),
_xlfn.IFS(_xlpm.MyAuditVal&lt;&gt;"",UPPER(_xlpm.MyAuditVal),_xlpm.MacVal&lt;&gt;"",_xlpm.MacVal,_xlpm.CSVVal&lt;&gt;"",_xlpm.CSVVal
)),"")</f>
        <v/>
      </c>
      <c r="D1397" s="40" t="str" cm="1">
        <f t="array" ref="D1397">IFERROR(_xlfn.LET(
_xlpm.CSVVal,_xlfn.XLOOKUP($A1397,CSV!$A:$A,CSV!D:D,""),
_xlpm.MacVal,_xlfn.XLOOKUP($A1397,Output_Mac!$A:$A,Output_Mac!C:C,""),
_xlpm.MyAuditVal,_xlfn.XLOOKUP($A1397,My_Audit!$A:$A,My_Audit!C:C,""),
_xlfn.IFS(_xlpm.MyAuditVal&lt;&gt;"",_xlpm.MyAuditVal,_xlpm.MacVal&lt;&gt;"",_xlpm.MacVal,_xlpm.CSVVal&lt;&gt;"",_xlpm.CSVVal
)),"")</f>
        <v/>
      </c>
      <c r="E1397" s="40" t="str">
        <f>_xlfn.XLOOKUP(A1397,My_Audit!A:A,My_Audit!D:D,"")</f>
        <v/>
      </c>
      <c r="F1397" s="40" t="str" cm="1">
        <f t="array" ref="F1397">IFERROR(_xlfn.LET(
_xlpm.CSVVal,_xlfn.XLOOKUP($A1397,CSV!$A:$A,CSV!F:F,""),
_xlpm.MacVal,_xlfn.XLOOKUP($A1397,Output_Mac!$A:$A,Output_Mac!E:E,""),
_xlpm.MyAuditVal,_xlfn.XLOOKUP($A1397,My_Audit!$A:$A,My_Audit!E:E,""),
_xlfn.IFS(_xlpm.MyAuditVal&lt;&gt;"",_xlpm.MyAuditVal,_xlpm.MacVal&lt;&gt;"",_xlpm.MacVal,_xlpm.CSVVal&lt;&gt;"",_xlpm.CSVVal
)),"")</f>
        <v/>
      </c>
      <c r="G1397" s="40" t="str" cm="1">
        <f t="array" ref="G1397">IFERROR(_xlfn.LET(
_xlpm.CSVVal,_xlfn.XLOOKUP($A1397,CSV!$A:$A,CSV!G:G,""),
_xlpm.MacVal,_xlfn.XLOOKUP($A1397,Output_Mac!$A:$A,Output_Mac!F:F,""),
_xlpm.MyAuditVal,_xlfn.XLOOKUP($A1397,My_Audit!$A:$A,My_Audit!F:F,""),
_xlfn.IFS(_xlpm.MyAuditVal&lt;&gt;"",_xlpm.MyAuditVal,_xlpm.MacVal&lt;&gt;"",_xlpm.MacVal,_xlpm.CSVVal&lt;&gt;"",PROPER(_xlpm.CSVVal)
)),"")</f>
        <v/>
      </c>
      <c r="H1397" s="40" t="str" cm="1">
        <f t="array" ref="H1397">IFERROR(_xlfn.LET(
_xlpm.CSVVal,_xlfn.XLOOKUP($A1397,CSV!$A:$A,CSV!H:H,""),
_xlpm.MacVal,_xlfn.XLOOKUP($A1397,Output_Mac!$A:$A,Output_Mac!H:H,""),
_xlpm.MyAuditVal,_xlfn.XLOOKUP($A1397,My_Audit!$A:$A,My_Audit!G:G,""),
_xlfn.IFS(_xlpm.MyAuditVal&lt;&gt;"",_xlpm.MyAuditVal,_xlpm.MacVal&lt;&gt;"",_xlpm.MacVal,_xlpm.CSVVal&lt;&gt;"",_xlpm.CSVVal
)),"")</f>
        <v/>
      </c>
      <c r="I1397" s="40" t="str">
        <f>_xlfn.XLOOKUP(A1397,Output_Mac!A:A,Output_Mac!I:I,"")</f>
        <v/>
      </c>
      <c r="J1397" s="40" t="str" cm="1">
        <f t="array" ref="J1397">IFERROR(_xlfn.LET(
_xlpm.CSVVal,_xlfn.XLOOKUP($A1397,CSV!$A:$A,CSV!I:I,""),
_xlpm.MacVal,_xlfn.XLOOKUP($A1397,Output_Mac!$A:$A,Output_Mac!J:J,""),
_xlpm.MyAuditVal,_xlfn.XLOOKUP($A1397,My_Audit!$A:$A,My_Audit!I:I,""),
_xlfn.IFS(_xlpm.MyAuditVal&lt;&gt;"",UPPER(_xlpm.MyAuditVal),_xlpm.MacVal&lt;&gt;"",_xlpm.MacVal,_xlpm.CSVVal&lt;&gt;"",_xlpm.CSVVal
)),"")</f>
        <v/>
      </c>
      <c r="K1397" s="40" t="str" cm="1">
        <f t="array" ref="K1397">IFERROR(_xlfn.LET(
_xlpm.CSVVal,_xlfn.XLOOKUP($A1397,CSV!$A:$A,CSV!K:K,""),
_xlpm.MacVal,_xlfn.XLOOKUP($A1397,Output_Mac!$A:$A,Output_Mac!K:K,""),
_xlpm.MyAuditVal,_xlfn.XLOOKUP($A1397,My_Audit!$A:$A,My_Audit!J:J,""),
_xlfn.IFS(_xlpm.MyAuditVal&lt;&gt;"",UPPER(_xlpm.MyAuditVal),_xlpm.MacVal&lt;&gt;"",_xlpm.MacVal,_xlpm.CSVVal&lt;&gt;"",_xlpm.CSVVal
)),"")</f>
        <v/>
      </c>
      <c r="L1397" s="40" t="str" cm="1">
        <f t="array" ref="L1397">IFERROR(_xlfn.LET(
_xlpm.CSVVal,_xlfn.XLOOKUP($A1397,CSV!$A:$A,CSV!P:P,""),
_xlpm.MacVal,_xlfn.XLOOKUP($A1397,Output_Mac!$A:$A,Output_Mac!L:L,""),
_xlpm.MyAuditVal,_xlfn.XLOOKUP($A1397,My_Audit!$A:$A,My_Audit!K:K,""),
_xlfn.IFS(_xlpm.MyAuditVal&lt;&gt;"",UPPER(_xlpm.MyAuditVal),_xlpm.MacVal&lt;&gt;"",_xlpm.MacVal,_xlpm.CSVVal&lt;&gt;"",_xlpm.CSVVal
)),"")</f>
        <v/>
      </c>
      <c r="M1397" s="40" t="str" cm="1">
        <f t="array" ref="M1397">IFERROR(_xlfn.LET(
_xlpm.CSVVal,_xlfn.XLOOKUP($A1397,CSV!$A:$A,CSV!Q:Q,""),
_xlpm.MacVal,_xlfn.XLOOKUP($A1397,Output_Mac!$A:$A,Output_Mac!M:M,""),
_xlpm.MyAuditVal,_xlfn.XLOOKUP($A1397,My_Audit!$A:$A,My_Audit!L:L,""),
_xlfn.IFS(_xlpm.MyAuditVal&lt;&gt;"",UPPER(_xlpm.MyAuditVal),_xlpm.MacVal&lt;&gt;"",_xlpm.MacVal,_xlpm.CSVVal&lt;&gt;"",_xlpm.CSVVal
)),"")</f>
        <v/>
      </c>
      <c r="N1397" s="40"/>
      <c r="O1397" s="40" t="str">
        <f>_xlfn.LET(
    _xlpm.CSVVal, _xlfn.XLOOKUP($A1397, CSV!$A:$A, CSV!AA:AA, ""),
    _xlpm.MacVal, _xlfn.XLOOKUP($A1397, Output_Mac!$A:$A, Output_Mac!S:S, ""),
    _xlpm.MyAuditVal, _xlfn.XLOOKUP($A1397, My_Audit!$A:$A, My_Audit!P:P, ""),
    _xlfn.TEXTJOIN(", ", TRUE, _xlpm.MyAuditVal, _xlpm.MacVal, _xlpm.CSVVal)
)</f>
        <v/>
      </c>
      <c r="P1397" s="40" t="str" cm="1">
        <f t="array" ref="P1397">IFERROR(_xlfn.LET(
_xlpm.CSVVal,_xlfn.XLOOKUP($A1397,CSV!$A:$A,CSV!AB:AB,""),
_xlpm.MacVal,_xlfn.XLOOKUP($A1397,Output_Mac!$A:$A,Output_Mac!T:T,""),
_xlpm.MyAuditVal,_xlfn.XLOOKUP($A1397,My_Audit!$A:$A,My_Audit!Q:Q,""),
_xlfn.IFS(_xlpm.MyAuditVal&lt;&gt;"",UPPER(_xlpm.MyAuditVal),_xlpm.MacVal&lt;&gt;"",_xlpm.MacVal,_xlpm.CSVVal&lt;&gt;"",_xlpm.CSVVal
)),"No")</f>
        <v>No</v>
      </c>
      <c r="Q1397" s="40" t="str" cm="1">
        <f t="array" ref="Q1397">IFERROR(_xlfn.LET(
_xlpm.CSVVal,_xlfn.XLOOKUP($A1397,CSV!$A:$A,CSV!AC:AC,""),
_xlpm.MacVal,_xlfn.XLOOKUP($A1397,Output_Mac!$A:$A,Output_Mac!U:U,""),
_xlpm.MyAuditVal,_xlfn.XLOOKUP($A1397,My_Audit!$A:$A,My_Audit!R:R,""),
_xlfn.IFS(_xlpm.MyAuditVal&lt;&gt;"",UPPER(_xlpm.MyAuditVal),_xlpm.MacVal&lt;&gt;"",_xlpm.MacVal,_xlpm.CSVVal&lt;&gt;"",_xlpm.CSVVal
)),"")</f>
        <v/>
      </c>
      <c r="R1397" s="40"/>
      <c r="S1397" s="40"/>
      <c r="T1397" s="40"/>
      <c r="U1397" s="40"/>
      <c r="V1397" s="40"/>
      <c r="W1397" s="40"/>
      <c r="X1397" s="41" t="str">
        <f>_xlfn.LET(
    _xlpm.MacVal, _xlfn.XLOOKUP($A1397, Output_Mac!$A:$A, Output_Mac!AB:AB, ""),
    _xlpm.MyAuditVal, _xlfn.XLOOKUP($A1397, My_Audit!$A:$A, My_Audit!N:N, ""),
    _xlfn.TEXTJOIN(", ", TRUE, _xlpm.MyAuditVal, _xlpm.MacVal)
)</f>
        <v/>
      </c>
    </row>
    <row r="1398" spans="1:24">
      <c r="A1398" s="40" t="str">
        <f>_xlfn.TEXTJOIN("",TRUE,Input!$B$2,ROW(My_Audit!A1397))</f>
        <v>X1397</v>
      </c>
      <c r="B1398" s="40" t="str">
        <f>_xlfn.TEXTJOIN("-",TRUE,"ITD",Input!$A$2,A1398)</f>
        <v>ITD-X1397</v>
      </c>
      <c r="C1398" s="40" t="str" cm="1">
        <f t="array" ref="C1398">IFERROR(_xlfn.LET(
_xlpm.CSVVal,_xlfn.XLOOKUP($A1398,CSV!$A:$A,CSV!B:B,""),
_xlpm.MacVal,_xlfn.XLOOKUP($A1398,Output_Mac!$A:$A,Output_Mac!B:B,""),
_xlpm.MyAuditVal,_xlfn.XLOOKUP($A1398,My_Audit!$A:$A,My_Audit!B:B,""),
_xlfn.IFS(_xlpm.MyAuditVal&lt;&gt;"",UPPER(_xlpm.MyAuditVal),_xlpm.MacVal&lt;&gt;"",_xlpm.MacVal,_xlpm.CSVVal&lt;&gt;"",_xlpm.CSVVal
)),"")</f>
        <v/>
      </c>
      <c r="D1398" s="40" t="str" cm="1">
        <f t="array" ref="D1398">IFERROR(_xlfn.LET(
_xlpm.CSVVal,_xlfn.XLOOKUP($A1398,CSV!$A:$A,CSV!D:D,""),
_xlpm.MacVal,_xlfn.XLOOKUP($A1398,Output_Mac!$A:$A,Output_Mac!C:C,""),
_xlpm.MyAuditVal,_xlfn.XLOOKUP($A1398,My_Audit!$A:$A,My_Audit!C:C,""),
_xlfn.IFS(_xlpm.MyAuditVal&lt;&gt;"",_xlpm.MyAuditVal,_xlpm.MacVal&lt;&gt;"",_xlpm.MacVal,_xlpm.CSVVal&lt;&gt;"",_xlpm.CSVVal
)),"")</f>
        <v/>
      </c>
      <c r="E1398" s="40" t="str">
        <f>_xlfn.XLOOKUP(A1398,My_Audit!A:A,My_Audit!D:D,"")</f>
        <v/>
      </c>
      <c r="F1398" s="40" t="str" cm="1">
        <f t="array" ref="F1398">IFERROR(_xlfn.LET(
_xlpm.CSVVal,_xlfn.XLOOKUP($A1398,CSV!$A:$A,CSV!F:F,""),
_xlpm.MacVal,_xlfn.XLOOKUP($A1398,Output_Mac!$A:$A,Output_Mac!E:E,""),
_xlpm.MyAuditVal,_xlfn.XLOOKUP($A1398,My_Audit!$A:$A,My_Audit!E:E,""),
_xlfn.IFS(_xlpm.MyAuditVal&lt;&gt;"",_xlpm.MyAuditVal,_xlpm.MacVal&lt;&gt;"",_xlpm.MacVal,_xlpm.CSVVal&lt;&gt;"",_xlpm.CSVVal
)),"")</f>
        <v/>
      </c>
      <c r="G1398" s="40" t="str" cm="1">
        <f t="array" ref="G1398">IFERROR(_xlfn.LET(
_xlpm.CSVVal,_xlfn.XLOOKUP($A1398,CSV!$A:$A,CSV!G:G,""),
_xlpm.MacVal,_xlfn.XLOOKUP($A1398,Output_Mac!$A:$A,Output_Mac!F:F,""),
_xlpm.MyAuditVal,_xlfn.XLOOKUP($A1398,My_Audit!$A:$A,My_Audit!F:F,""),
_xlfn.IFS(_xlpm.MyAuditVal&lt;&gt;"",_xlpm.MyAuditVal,_xlpm.MacVal&lt;&gt;"",_xlpm.MacVal,_xlpm.CSVVal&lt;&gt;"",PROPER(_xlpm.CSVVal)
)),"")</f>
        <v/>
      </c>
      <c r="H1398" s="40" t="str" cm="1">
        <f t="array" ref="H1398">IFERROR(_xlfn.LET(
_xlpm.CSVVal,_xlfn.XLOOKUP($A1398,CSV!$A:$A,CSV!H:H,""),
_xlpm.MacVal,_xlfn.XLOOKUP($A1398,Output_Mac!$A:$A,Output_Mac!H:H,""),
_xlpm.MyAuditVal,_xlfn.XLOOKUP($A1398,My_Audit!$A:$A,My_Audit!G:G,""),
_xlfn.IFS(_xlpm.MyAuditVal&lt;&gt;"",_xlpm.MyAuditVal,_xlpm.MacVal&lt;&gt;"",_xlpm.MacVal,_xlpm.CSVVal&lt;&gt;"",_xlpm.CSVVal
)),"")</f>
        <v/>
      </c>
      <c r="I1398" s="40" t="str">
        <f>_xlfn.XLOOKUP(A1398,Output_Mac!A:A,Output_Mac!I:I,"")</f>
        <v/>
      </c>
      <c r="J1398" s="40" t="str" cm="1">
        <f t="array" ref="J1398">IFERROR(_xlfn.LET(
_xlpm.CSVVal,_xlfn.XLOOKUP($A1398,CSV!$A:$A,CSV!I:I,""),
_xlpm.MacVal,_xlfn.XLOOKUP($A1398,Output_Mac!$A:$A,Output_Mac!J:J,""),
_xlpm.MyAuditVal,_xlfn.XLOOKUP($A1398,My_Audit!$A:$A,My_Audit!I:I,""),
_xlfn.IFS(_xlpm.MyAuditVal&lt;&gt;"",UPPER(_xlpm.MyAuditVal),_xlpm.MacVal&lt;&gt;"",_xlpm.MacVal,_xlpm.CSVVal&lt;&gt;"",_xlpm.CSVVal
)),"")</f>
        <v/>
      </c>
      <c r="K1398" s="40" t="str" cm="1">
        <f t="array" ref="K1398">IFERROR(_xlfn.LET(
_xlpm.CSVVal,_xlfn.XLOOKUP($A1398,CSV!$A:$A,CSV!K:K,""),
_xlpm.MacVal,_xlfn.XLOOKUP($A1398,Output_Mac!$A:$A,Output_Mac!K:K,""),
_xlpm.MyAuditVal,_xlfn.XLOOKUP($A1398,My_Audit!$A:$A,My_Audit!J:J,""),
_xlfn.IFS(_xlpm.MyAuditVal&lt;&gt;"",UPPER(_xlpm.MyAuditVal),_xlpm.MacVal&lt;&gt;"",_xlpm.MacVal,_xlpm.CSVVal&lt;&gt;"",_xlpm.CSVVal
)),"")</f>
        <v/>
      </c>
      <c r="L1398" s="40" t="str" cm="1">
        <f t="array" ref="L1398">IFERROR(_xlfn.LET(
_xlpm.CSVVal,_xlfn.XLOOKUP($A1398,CSV!$A:$A,CSV!P:P,""),
_xlpm.MacVal,_xlfn.XLOOKUP($A1398,Output_Mac!$A:$A,Output_Mac!L:L,""),
_xlpm.MyAuditVal,_xlfn.XLOOKUP($A1398,My_Audit!$A:$A,My_Audit!K:K,""),
_xlfn.IFS(_xlpm.MyAuditVal&lt;&gt;"",UPPER(_xlpm.MyAuditVal),_xlpm.MacVal&lt;&gt;"",_xlpm.MacVal,_xlpm.CSVVal&lt;&gt;"",_xlpm.CSVVal
)),"")</f>
        <v/>
      </c>
      <c r="M1398" s="40" t="str" cm="1">
        <f t="array" ref="M1398">IFERROR(_xlfn.LET(
_xlpm.CSVVal,_xlfn.XLOOKUP($A1398,CSV!$A:$A,CSV!Q:Q,""),
_xlpm.MacVal,_xlfn.XLOOKUP($A1398,Output_Mac!$A:$A,Output_Mac!M:M,""),
_xlpm.MyAuditVal,_xlfn.XLOOKUP($A1398,My_Audit!$A:$A,My_Audit!L:L,""),
_xlfn.IFS(_xlpm.MyAuditVal&lt;&gt;"",UPPER(_xlpm.MyAuditVal),_xlpm.MacVal&lt;&gt;"",_xlpm.MacVal,_xlpm.CSVVal&lt;&gt;"",_xlpm.CSVVal
)),"")</f>
        <v/>
      </c>
      <c r="N1398" s="40"/>
      <c r="O1398" s="40" t="str">
        <f>_xlfn.LET(
    _xlpm.CSVVal, _xlfn.XLOOKUP($A1398, CSV!$A:$A, CSV!AA:AA, ""),
    _xlpm.MacVal, _xlfn.XLOOKUP($A1398, Output_Mac!$A:$A, Output_Mac!S:S, ""),
    _xlpm.MyAuditVal, _xlfn.XLOOKUP($A1398, My_Audit!$A:$A, My_Audit!P:P, ""),
    _xlfn.TEXTJOIN(", ", TRUE, _xlpm.MyAuditVal, _xlpm.MacVal, _xlpm.CSVVal)
)</f>
        <v/>
      </c>
      <c r="P1398" s="40" t="str" cm="1">
        <f t="array" ref="P1398">IFERROR(_xlfn.LET(
_xlpm.CSVVal,_xlfn.XLOOKUP($A1398,CSV!$A:$A,CSV!AB:AB,""),
_xlpm.MacVal,_xlfn.XLOOKUP($A1398,Output_Mac!$A:$A,Output_Mac!T:T,""),
_xlpm.MyAuditVal,_xlfn.XLOOKUP($A1398,My_Audit!$A:$A,My_Audit!Q:Q,""),
_xlfn.IFS(_xlpm.MyAuditVal&lt;&gt;"",UPPER(_xlpm.MyAuditVal),_xlpm.MacVal&lt;&gt;"",_xlpm.MacVal,_xlpm.CSVVal&lt;&gt;"",_xlpm.CSVVal
)),"No")</f>
        <v>No</v>
      </c>
      <c r="Q1398" s="40" t="str" cm="1">
        <f t="array" ref="Q1398">IFERROR(_xlfn.LET(
_xlpm.CSVVal,_xlfn.XLOOKUP($A1398,CSV!$A:$A,CSV!AC:AC,""),
_xlpm.MacVal,_xlfn.XLOOKUP($A1398,Output_Mac!$A:$A,Output_Mac!U:U,""),
_xlpm.MyAuditVal,_xlfn.XLOOKUP($A1398,My_Audit!$A:$A,My_Audit!R:R,""),
_xlfn.IFS(_xlpm.MyAuditVal&lt;&gt;"",UPPER(_xlpm.MyAuditVal),_xlpm.MacVal&lt;&gt;"",_xlpm.MacVal,_xlpm.CSVVal&lt;&gt;"",_xlpm.CSVVal
)),"")</f>
        <v/>
      </c>
      <c r="R1398" s="40"/>
      <c r="S1398" s="40"/>
      <c r="T1398" s="40"/>
      <c r="U1398" s="40"/>
      <c r="V1398" s="40"/>
      <c r="W1398" s="40"/>
      <c r="X1398" s="41" t="str">
        <f>_xlfn.LET(
    _xlpm.MacVal, _xlfn.XLOOKUP($A1398, Output_Mac!$A:$A, Output_Mac!AB:AB, ""),
    _xlpm.MyAuditVal, _xlfn.XLOOKUP($A1398, My_Audit!$A:$A, My_Audit!N:N, ""),
    _xlfn.TEXTJOIN(", ", TRUE, _xlpm.MyAuditVal, _xlpm.MacVal)
)</f>
        <v/>
      </c>
    </row>
    <row r="1399" spans="1:24">
      <c r="A1399" s="40" t="str">
        <f>_xlfn.TEXTJOIN("",TRUE,Input!$B$2,ROW(My_Audit!A1398))</f>
        <v>X1398</v>
      </c>
      <c r="B1399" s="40" t="str">
        <f>_xlfn.TEXTJOIN("-",TRUE,"ITD",Input!$A$2,A1399)</f>
        <v>ITD-X1398</v>
      </c>
      <c r="C1399" s="40" t="str" cm="1">
        <f t="array" ref="C1399">IFERROR(_xlfn.LET(
_xlpm.CSVVal,_xlfn.XLOOKUP($A1399,CSV!$A:$A,CSV!B:B,""),
_xlpm.MacVal,_xlfn.XLOOKUP($A1399,Output_Mac!$A:$A,Output_Mac!B:B,""),
_xlpm.MyAuditVal,_xlfn.XLOOKUP($A1399,My_Audit!$A:$A,My_Audit!B:B,""),
_xlfn.IFS(_xlpm.MyAuditVal&lt;&gt;"",UPPER(_xlpm.MyAuditVal),_xlpm.MacVal&lt;&gt;"",_xlpm.MacVal,_xlpm.CSVVal&lt;&gt;"",_xlpm.CSVVal
)),"")</f>
        <v/>
      </c>
      <c r="D1399" s="40" t="str" cm="1">
        <f t="array" ref="D1399">IFERROR(_xlfn.LET(
_xlpm.CSVVal,_xlfn.XLOOKUP($A1399,CSV!$A:$A,CSV!D:D,""),
_xlpm.MacVal,_xlfn.XLOOKUP($A1399,Output_Mac!$A:$A,Output_Mac!C:C,""),
_xlpm.MyAuditVal,_xlfn.XLOOKUP($A1399,My_Audit!$A:$A,My_Audit!C:C,""),
_xlfn.IFS(_xlpm.MyAuditVal&lt;&gt;"",_xlpm.MyAuditVal,_xlpm.MacVal&lt;&gt;"",_xlpm.MacVal,_xlpm.CSVVal&lt;&gt;"",_xlpm.CSVVal
)),"")</f>
        <v/>
      </c>
      <c r="E1399" s="40" t="str">
        <f>_xlfn.XLOOKUP(A1399,My_Audit!A:A,My_Audit!D:D,"")</f>
        <v/>
      </c>
      <c r="F1399" s="40" t="str" cm="1">
        <f t="array" ref="F1399">IFERROR(_xlfn.LET(
_xlpm.CSVVal,_xlfn.XLOOKUP($A1399,CSV!$A:$A,CSV!F:F,""),
_xlpm.MacVal,_xlfn.XLOOKUP($A1399,Output_Mac!$A:$A,Output_Mac!E:E,""),
_xlpm.MyAuditVal,_xlfn.XLOOKUP($A1399,My_Audit!$A:$A,My_Audit!E:E,""),
_xlfn.IFS(_xlpm.MyAuditVal&lt;&gt;"",_xlpm.MyAuditVal,_xlpm.MacVal&lt;&gt;"",_xlpm.MacVal,_xlpm.CSVVal&lt;&gt;"",_xlpm.CSVVal
)),"")</f>
        <v/>
      </c>
      <c r="G1399" s="40" t="str" cm="1">
        <f t="array" ref="G1399">IFERROR(_xlfn.LET(
_xlpm.CSVVal,_xlfn.XLOOKUP($A1399,CSV!$A:$A,CSV!G:G,""),
_xlpm.MacVal,_xlfn.XLOOKUP($A1399,Output_Mac!$A:$A,Output_Mac!F:F,""),
_xlpm.MyAuditVal,_xlfn.XLOOKUP($A1399,My_Audit!$A:$A,My_Audit!F:F,""),
_xlfn.IFS(_xlpm.MyAuditVal&lt;&gt;"",_xlpm.MyAuditVal,_xlpm.MacVal&lt;&gt;"",_xlpm.MacVal,_xlpm.CSVVal&lt;&gt;"",PROPER(_xlpm.CSVVal)
)),"")</f>
        <v/>
      </c>
      <c r="H1399" s="40" t="str" cm="1">
        <f t="array" ref="H1399">IFERROR(_xlfn.LET(
_xlpm.CSVVal,_xlfn.XLOOKUP($A1399,CSV!$A:$A,CSV!H:H,""),
_xlpm.MacVal,_xlfn.XLOOKUP($A1399,Output_Mac!$A:$A,Output_Mac!H:H,""),
_xlpm.MyAuditVal,_xlfn.XLOOKUP($A1399,My_Audit!$A:$A,My_Audit!G:G,""),
_xlfn.IFS(_xlpm.MyAuditVal&lt;&gt;"",_xlpm.MyAuditVal,_xlpm.MacVal&lt;&gt;"",_xlpm.MacVal,_xlpm.CSVVal&lt;&gt;"",_xlpm.CSVVal
)),"")</f>
        <v/>
      </c>
      <c r="I1399" s="40" t="str">
        <f>_xlfn.XLOOKUP(A1399,Output_Mac!A:A,Output_Mac!I:I,"")</f>
        <v/>
      </c>
      <c r="J1399" s="40" t="str" cm="1">
        <f t="array" ref="J1399">IFERROR(_xlfn.LET(
_xlpm.CSVVal,_xlfn.XLOOKUP($A1399,CSV!$A:$A,CSV!I:I,""),
_xlpm.MacVal,_xlfn.XLOOKUP($A1399,Output_Mac!$A:$A,Output_Mac!J:J,""),
_xlpm.MyAuditVal,_xlfn.XLOOKUP($A1399,My_Audit!$A:$A,My_Audit!I:I,""),
_xlfn.IFS(_xlpm.MyAuditVal&lt;&gt;"",UPPER(_xlpm.MyAuditVal),_xlpm.MacVal&lt;&gt;"",_xlpm.MacVal,_xlpm.CSVVal&lt;&gt;"",_xlpm.CSVVal
)),"")</f>
        <v/>
      </c>
      <c r="K1399" s="40" t="str" cm="1">
        <f t="array" ref="K1399">IFERROR(_xlfn.LET(
_xlpm.CSVVal,_xlfn.XLOOKUP($A1399,CSV!$A:$A,CSV!K:K,""),
_xlpm.MacVal,_xlfn.XLOOKUP($A1399,Output_Mac!$A:$A,Output_Mac!K:K,""),
_xlpm.MyAuditVal,_xlfn.XLOOKUP($A1399,My_Audit!$A:$A,My_Audit!J:J,""),
_xlfn.IFS(_xlpm.MyAuditVal&lt;&gt;"",UPPER(_xlpm.MyAuditVal),_xlpm.MacVal&lt;&gt;"",_xlpm.MacVal,_xlpm.CSVVal&lt;&gt;"",_xlpm.CSVVal
)),"")</f>
        <v/>
      </c>
      <c r="L1399" s="40" t="str" cm="1">
        <f t="array" ref="L1399">IFERROR(_xlfn.LET(
_xlpm.CSVVal,_xlfn.XLOOKUP($A1399,CSV!$A:$A,CSV!P:P,""),
_xlpm.MacVal,_xlfn.XLOOKUP($A1399,Output_Mac!$A:$A,Output_Mac!L:L,""),
_xlpm.MyAuditVal,_xlfn.XLOOKUP($A1399,My_Audit!$A:$A,My_Audit!K:K,""),
_xlfn.IFS(_xlpm.MyAuditVal&lt;&gt;"",UPPER(_xlpm.MyAuditVal),_xlpm.MacVal&lt;&gt;"",_xlpm.MacVal,_xlpm.CSVVal&lt;&gt;"",_xlpm.CSVVal
)),"")</f>
        <v/>
      </c>
      <c r="M1399" s="40" t="str" cm="1">
        <f t="array" ref="M1399">IFERROR(_xlfn.LET(
_xlpm.CSVVal,_xlfn.XLOOKUP($A1399,CSV!$A:$A,CSV!Q:Q,""),
_xlpm.MacVal,_xlfn.XLOOKUP($A1399,Output_Mac!$A:$A,Output_Mac!M:M,""),
_xlpm.MyAuditVal,_xlfn.XLOOKUP($A1399,My_Audit!$A:$A,My_Audit!L:L,""),
_xlfn.IFS(_xlpm.MyAuditVal&lt;&gt;"",UPPER(_xlpm.MyAuditVal),_xlpm.MacVal&lt;&gt;"",_xlpm.MacVal,_xlpm.CSVVal&lt;&gt;"",_xlpm.CSVVal
)),"")</f>
        <v/>
      </c>
      <c r="N1399" s="40"/>
      <c r="O1399" s="40" t="str">
        <f>_xlfn.LET(
    _xlpm.CSVVal, _xlfn.XLOOKUP($A1399, CSV!$A:$A, CSV!AA:AA, ""),
    _xlpm.MacVal, _xlfn.XLOOKUP($A1399, Output_Mac!$A:$A, Output_Mac!S:S, ""),
    _xlpm.MyAuditVal, _xlfn.XLOOKUP($A1399, My_Audit!$A:$A, My_Audit!P:P, ""),
    _xlfn.TEXTJOIN(", ", TRUE, _xlpm.MyAuditVal, _xlpm.MacVal, _xlpm.CSVVal)
)</f>
        <v/>
      </c>
      <c r="P1399" s="40" t="str" cm="1">
        <f t="array" ref="P1399">IFERROR(_xlfn.LET(
_xlpm.CSVVal,_xlfn.XLOOKUP($A1399,CSV!$A:$A,CSV!AB:AB,""),
_xlpm.MacVal,_xlfn.XLOOKUP($A1399,Output_Mac!$A:$A,Output_Mac!T:T,""),
_xlpm.MyAuditVal,_xlfn.XLOOKUP($A1399,My_Audit!$A:$A,My_Audit!Q:Q,""),
_xlfn.IFS(_xlpm.MyAuditVal&lt;&gt;"",UPPER(_xlpm.MyAuditVal),_xlpm.MacVal&lt;&gt;"",_xlpm.MacVal,_xlpm.CSVVal&lt;&gt;"",_xlpm.CSVVal
)),"No")</f>
        <v>No</v>
      </c>
      <c r="Q1399" s="40" t="str" cm="1">
        <f t="array" ref="Q1399">IFERROR(_xlfn.LET(
_xlpm.CSVVal,_xlfn.XLOOKUP($A1399,CSV!$A:$A,CSV!AC:AC,""),
_xlpm.MacVal,_xlfn.XLOOKUP($A1399,Output_Mac!$A:$A,Output_Mac!U:U,""),
_xlpm.MyAuditVal,_xlfn.XLOOKUP($A1399,My_Audit!$A:$A,My_Audit!R:R,""),
_xlfn.IFS(_xlpm.MyAuditVal&lt;&gt;"",UPPER(_xlpm.MyAuditVal),_xlpm.MacVal&lt;&gt;"",_xlpm.MacVal,_xlpm.CSVVal&lt;&gt;"",_xlpm.CSVVal
)),"")</f>
        <v/>
      </c>
      <c r="R1399" s="40"/>
      <c r="S1399" s="40"/>
      <c r="T1399" s="40"/>
      <c r="U1399" s="40"/>
      <c r="V1399" s="40"/>
      <c r="W1399" s="40"/>
      <c r="X1399" s="41" t="str">
        <f>_xlfn.LET(
    _xlpm.MacVal, _xlfn.XLOOKUP($A1399, Output_Mac!$A:$A, Output_Mac!AB:AB, ""),
    _xlpm.MyAuditVal, _xlfn.XLOOKUP($A1399, My_Audit!$A:$A, My_Audit!N:N, ""),
    _xlfn.TEXTJOIN(", ", TRUE, _xlpm.MyAuditVal, _xlpm.MacVal)
)</f>
        <v/>
      </c>
    </row>
    <row r="1400" spans="1:24">
      <c r="A1400" s="40" t="str">
        <f>_xlfn.TEXTJOIN("",TRUE,Input!$B$2,ROW(My_Audit!A1399))</f>
        <v>X1399</v>
      </c>
      <c r="B1400" s="40" t="str">
        <f>_xlfn.TEXTJOIN("-",TRUE,"ITD",Input!$A$2,A1400)</f>
        <v>ITD-X1399</v>
      </c>
      <c r="C1400" s="40" t="str" cm="1">
        <f t="array" ref="C1400">IFERROR(_xlfn.LET(
_xlpm.CSVVal,_xlfn.XLOOKUP($A1400,CSV!$A:$A,CSV!B:B,""),
_xlpm.MacVal,_xlfn.XLOOKUP($A1400,Output_Mac!$A:$A,Output_Mac!B:B,""),
_xlpm.MyAuditVal,_xlfn.XLOOKUP($A1400,My_Audit!$A:$A,My_Audit!B:B,""),
_xlfn.IFS(_xlpm.MyAuditVal&lt;&gt;"",UPPER(_xlpm.MyAuditVal),_xlpm.MacVal&lt;&gt;"",_xlpm.MacVal,_xlpm.CSVVal&lt;&gt;"",_xlpm.CSVVal
)),"")</f>
        <v/>
      </c>
      <c r="D1400" s="40" t="str" cm="1">
        <f t="array" ref="D1400">IFERROR(_xlfn.LET(
_xlpm.CSVVal,_xlfn.XLOOKUP($A1400,CSV!$A:$A,CSV!D:D,""),
_xlpm.MacVal,_xlfn.XLOOKUP($A1400,Output_Mac!$A:$A,Output_Mac!C:C,""),
_xlpm.MyAuditVal,_xlfn.XLOOKUP($A1400,My_Audit!$A:$A,My_Audit!C:C,""),
_xlfn.IFS(_xlpm.MyAuditVal&lt;&gt;"",_xlpm.MyAuditVal,_xlpm.MacVal&lt;&gt;"",_xlpm.MacVal,_xlpm.CSVVal&lt;&gt;"",_xlpm.CSVVal
)),"")</f>
        <v/>
      </c>
      <c r="E1400" s="40" t="str">
        <f>_xlfn.XLOOKUP(A1400,My_Audit!A:A,My_Audit!D:D,"")</f>
        <v/>
      </c>
      <c r="F1400" s="40" t="str" cm="1">
        <f t="array" ref="F1400">IFERROR(_xlfn.LET(
_xlpm.CSVVal,_xlfn.XLOOKUP($A1400,CSV!$A:$A,CSV!F:F,""),
_xlpm.MacVal,_xlfn.XLOOKUP($A1400,Output_Mac!$A:$A,Output_Mac!E:E,""),
_xlpm.MyAuditVal,_xlfn.XLOOKUP($A1400,My_Audit!$A:$A,My_Audit!E:E,""),
_xlfn.IFS(_xlpm.MyAuditVal&lt;&gt;"",_xlpm.MyAuditVal,_xlpm.MacVal&lt;&gt;"",_xlpm.MacVal,_xlpm.CSVVal&lt;&gt;"",_xlpm.CSVVal
)),"")</f>
        <v/>
      </c>
      <c r="G1400" s="40" t="str" cm="1">
        <f t="array" ref="G1400">IFERROR(_xlfn.LET(
_xlpm.CSVVal,_xlfn.XLOOKUP($A1400,CSV!$A:$A,CSV!G:G,""),
_xlpm.MacVal,_xlfn.XLOOKUP($A1400,Output_Mac!$A:$A,Output_Mac!F:F,""),
_xlpm.MyAuditVal,_xlfn.XLOOKUP($A1400,My_Audit!$A:$A,My_Audit!F:F,""),
_xlfn.IFS(_xlpm.MyAuditVal&lt;&gt;"",_xlpm.MyAuditVal,_xlpm.MacVal&lt;&gt;"",_xlpm.MacVal,_xlpm.CSVVal&lt;&gt;"",PROPER(_xlpm.CSVVal)
)),"")</f>
        <v/>
      </c>
      <c r="H1400" s="40" t="str" cm="1">
        <f t="array" ref="H1400">IFERROR(_xlfn.LET(
_xlpm.CSVVal,_xlfn.XLOOKUP($A1400,CSV!$A:$A,CSV!H:H,""),
_xlpm.MacVal,_xlfn.XLOOKUP($A1400,Output_Mac!$A:$A,Output_Mac!H:H,""),
_xlpm.MyAuditVal,_xlfn.XLOOKUP($A1400,My_Audit!$A:$A,My_Audit!G:G,""),
_xlfn.IFS(_xlpm.MyAuditVal&lt;&gt;"",_xlpm.MyAuditVal,_xlpm.MacVal&lt;&gt;"",_xlpm.MacVal,_xlpm.CSVVal&lt;&gt;"",_xlpm.CSVVal
)),"")</f>
        <v/>
      </c>
      <c r="I1400" s="40" t="str">
        <f>_xlfn.XLOOKUP(A1400,Output_Mac!A:A,Output_Mac!I:I,"")</f>
        <v/>
      </c>
      <c r="J1400" s="40" t="str" cm="1">
        <f t="array" ref="J1400">IFERROR(_xlfn.LET(
_xlpm.CSVVal,_xlfn.XLOOKUP($A1400,CSV!$A:$A,CSV!I:I,""),
_xlpm.MacVal,_xlfn.XLOOKUP($A1400,Output_Mac!$A:$A,Output_Mac!J:J,""),
_xlpm.MyAuditVal,_xlfn.XLOOKUP($A1400,My_Audit!$A:$A,My_Audit!I:I,""),
_xlfn.IFS(_xlpm.MyAuditVal&lt;&gt;"",UPPER(_xlpm.MyAuditVal),_xlpm.MacVal&lt;&gt;"",_xlpm.MacVal,_xlpm.CSVVal&lt;&gt;"",_xlpm.CSVVal
)),"")</f>
        <v/>
      </c>
      <c r="K1400" s="40" t="str" cm="1">
        <f t="array" ref="K1400">IFERROR(_xlfn.LET(
_xlpm.CSVVal,_xlfn.XLOOKUP($A1400,CSV!$A:$A,CSV!K:K,""),
_xlpm.MacVal,_xlfn.XLOOKUP($A1400,Output_Mac!$A:$A,Output_Mac!K:K,""),
_xlpm.MyAuditVal,_xlfn.XLOOKUP($A1400,My_Audit!$A:$A,My_Audit!J:J,""),
_xlfn.IFS(_xlpm.MyAuditVal&lt;&gt;"",UPPER(_xlpm.MyAuditVal),_xlpm.MacVal&lt;&gt;"",_xlpm.MacVal,_xlpm.CSVVal&lt;&gt;"",_xlpm.CSVVal
)),"")</f>
        <v/>
      </c>
      <c r="L1400" s="40" t="str" cm="1">
        <f t="array" ref="L1400">IFERROR(_xlfn.LET(
_xlpm.CSVVal,_xlfn.XLOOKUP($A1400,CSV!$A:$A,CSV!P:P,""),
_xlpm.MacVal,_xlfn.XLOOKUP($A1400,Output_Mac!$A:$A,Output_Mac!L:L,""),
_xlpm.MyAuditVal,_xlfn.XLOOKUP($A1400,My_Audit!$A:$A,My_Audit!K:K,""),
_xlfn.IFS(_xlpm.MyAuditVal&lt;&gt;"",UPPER(_xlpm.MyAuditVal),_xlpm.MacVal&lt;&gt;"",_xlpm.MacVal,_xlpm.CSVVal&lt;&gt;"",_xlpm.CSVVal
)),"")</f>
        <v/>
      </c>
      <c r="M1400" s="40" t="str" cm="1">
        <f t="array" ref="M1400">IFERROR(_xlfn.LET(
_xlpm.CSVVal,_xlfn.XLOOKUP($A1400,CSV!$A:$A,CSV!Q:Q,""),
_xlpm.MacVal,_xlfn.XLOOKUP($A1400,Output_Mac!$A:$A,Output_Mac!M:M,""),
_xlpm.MyAuditVal,_xlfn.XLOOKUP($A1400,My_Audit!$A:$A,My_Audit!L:L,""),
_xlfn.IFS(_xlpm.MyAuditVal&lt;&gt;"",UPPER(_xlpm.MyAuditVal),_xlpm.MacVal&lt;&gt;"",_xlpm.MacVal,_xlpm.CSVVal&lt;&gt;"",_xlpm.CSVVal
)),"")</f>
        <v/>
      </c>
      <c r="N1400" s="40"/>
      <c r="O1400" s="40" t="str">
        <f>_xlfn.LET(
    _xlpm.CSVVal, _xlfn.XLOOKUP($A1400, CSV!$A:$A, CSV!AA:AA, ""),
    _xlpm.MacVal, _xlfn.XLOOKUP($A1400, Output_Mac!$A:$A, Output_Mac!S:S, ""),
    _xlpm.MyAuditVal, _xlfn.XLOOKUP($A1400, My_Audit!$A:$A, My_Audit!P:P, ""),
    _xlfn.TEXTJOIN(", ", TRUE, _xlpm.MyAuditVal, _xlpm.MacVal, _xlpm.CSVVal)
)</f>
        <v/>
      </c>
      <c r="P1400" s="40" t="str" cm="1">
        <f t="array" ref="P1400">IFERROR(_xlfn.LET(
_xlpm.CSVVal,_xlfn.XLOOKUP($A1400,CSV!$A:$A,CSV!AB:AB,""),
_xlpm.MacVal,_xlfn.XLOOKUP($A1400,Output_Mac!$A:$A,Output_Mac!T:T,""),
_xlpm.MyAuditVal,_xlfn.XLOOKUP($A1400,My_Audit!$A:$A,My_Audit!Q:Q,""),
_xlfn.IFS(_xlpm.MyAuditVal&lt;&gt;"",UPPER(_xlpm.MyAuditVal),_xlpm.MacVal&lt;&gt;"",_xlpm.MacVal,_xlpm.CSVVal&lt;&gt;"",_xlpm.CSVVal
)),"No")</f>
        <v>No</v>
      </c>
      <c r="Q1400" s="40" t="str" cm="1">
        <f t="array" ref="Q1400">IFERROR(_xlfn.LET(
_xlpm.CSVVal,_xlfn.XLOOKUP($A1400,CSV!$A:$A,CSV!AC:AC,""),
_xlpm.MacVal,_xlfn.XLOOKUP($A1400,Output_Mac!$A:$A,Output_Mac!U:U,""),
_xlpm.MyAuditVal,_xlfn.XLOOKUP($A1400,My_Audit!$A:$A,My_Audit!R:R,""),
_xlfn.IFS(_xlpm.MyAuditVal&lt;&gt;"",UPPER(_xlpm.MyAuditVal),_xlpm.MacVal&lt;&gt;"",_xlpm.MacVal,_xlpm.CSVVal&lt;&gt;"",_xlpm.CSVVal
)),"")</f>
        <v/>
      </c>
      <c r="R1400" s="40"/>
      <c r="S1400" s="40"/>
      <c r="T1400" s="40"/>
      <c r="U1400" s="40"/>
      <c r="V1400" s="40"/>
      <c r="W1400" s="40"/>
      <c r="X1400" s="41" t="str">
        <f>_xlfn.LET(
    _xlpm.MacVal, _xlfn.XLOOKUP($A1400, Output_Mac!$A:$A, Output_Mac!AB:AB, ""),
    _xlpm.MyAuditVal, _xlfn.XLOOKUP($A1400, My_Audit!$A:$A, My_Audit!N:N, ""),
    _xlfn.TEXTJOIN(", ", TRUE, _xlpm.MyAuditVal, _xlpm.MacVal)
)</f>
        <v/>
      </c>
    </row>
    <row r="1401" spans="1:24">
      <c r="A1401" s="40" t="str">
        <f>_xlfn.TEXTJOIN("",TRUE,Input!$B$2,ROW(My_Audit!A1400))</f>
        <v>X1400</v>
      </c>
      <c r="B1401" s="40" t="str">
        <f>_xlfn.TEXTJOIN("-",TRUE,"ITD",Input!$A$2,A1401)</f>
        <v>ITD-X1400</v>
      </c>
      <c r="C1401" s="40" t="str" cm="1">
        <f t="array" ref="C1401">IFERROR(_xlfn.LET(
_xlpm.CSVVal,_xlfn.XLOOKUP($A1401,CSV!$A:$A,CSV!B:B,""),
_xlpm.MacVal,_xlfn.XLOOKUP($A1401,Output_Mac!$A:$A,Output_Mac!B:B,""),
_xlpm.MyAuditVal,_xlfn.XLOOKUP($A1401,My_Audit!$A:$A,My_Audit!B:B,""),
_xlfn.IFS(_xlpm.MyAuditVal&lt;&gt;"",UPPER(_xlpm.MyAuditVal),_xlpm.MacVal&lt;&gt;"",_xlpm.MacVal,_xlpm.CSVVal&lt;&gt;"",_xlpm.CSVVal
)),"")</f>
        <v/>
      </c>
      <c r="D1401" s="40" t="str" cm="1">
        <f t="array" ref="D1401">IFERROR(_xlfn.LET(
_xlpm.CSVVal,_xlfn.XLOOKUP($A1401,CSV!$A:$A,CSV!D:D,""),
_xlpm.MacVal,_xlfn.XLOOKUP($A1401,Output_Mac!$A:$A,Output_Mac!C:C,""),
_xlpm.MyAuditVal,_xlfn.XLOOKUP($A1401,My_Audit!$A:$A,My_Audit!C:C,""),
_xlfn.IFS(_xlpm.MyAuditVal&lt;&gt;"",_xlpm.MyAuditVal,_xlpm.MacVal&lt;&gt;"",_xlpm.MacVal,_xlpm.CSVVal&lt;&gt;"",_xlpm.CSVVal
)),"")</f>
        <v/>
      </c>
      <c r="E1401" s="40" t="str">
        <f>_xlfn.XLOOKUP(A1401,My_Audit!A:A,My_Audit!D:D,"")</f>
        <v/>
      </c>
      <c r="F1401" s="40" t="str" cm="1">
        <f t="array" ref="F1401">IFERROR(_xlfn.LET(
_xlpm.CSVVal,_xlfn.XLOOKUP($A1401,CSV!$A:$A,CSV!F:F,""),
_xlpm.MacVal,_xlfn.XLOOKUP($A1401,Output_Mac!$A:$A,Output_Mac!E:E,""),
_xlpm.MyAuditVal,_xlfn.XLOOKUP($A1401,My_Audit!$A:$A,My_Audit!E:E,""),
_xlfn.IFS(_xlpm.MyAuditVal&lt;&gt;"",_xlpm.MyAuditVal,_xlpm.MacVal&lt;&gt;"",_xlpm.MacVal,_xlpm.CSVVal&lt;&gt;"",_xlpm.CSVVal
)),"")</f>
        <v/>
      </c>
      <c r="G1401" s="40" t="str" cm="1">
        <f t="array" ref="G1401">IFERROR(_xlfn.LET(
_xlpm.CSVVal,_xlfn.XLOOKUP($A1401,CSV!$A:$A,CSV!G:G,""),
_xlpm.MacVal,_xlfn.XLOOKUP($A1401,Output_Mac!$A:$A,Output_Mac!F:F,""),
_xlpm.MyAuditVal,_xlfn.XLOOKUP($A1401,My_Audit!$A:$A,My_Audit!F:F,""),
_xlfn.IFS(_xlpm.MyAuditVal&lt;&gt;"",_xlpm.MyAuditVal,_xlpm.MacVal&lt;&gt;"",_xlpm.MacVal,_xlpm.CSVVal&lt;&gt;"",PROPER(_xlpm.CSVVal)
)),"")</f>
        <v/>
      </c>
      <c r="H1401" s="40" t="str" cm="1">
        <f t="array" ref="H1401">IFERROR(_xlfn.LET(
_xlpm.CSVVal,_xlfn.XLOOKUP($A1401,CSV!$A:$A,CSV!H:H,""),
_xlpm.MacVal,_xlfn.XLOOKUP($A1401,Output_Mac!$A:$A,Output_Mac!H:H,""),
_xlpm.MyAuditVal,_xlfn.XLOOKUP($A1401,My_Audit!$A:$A,My_Audit!G:G,""),
_xlfn.IFS(_xlpm.MyAuditVal&lt;&gt;"",_xlpm.MyAuditVal,_xlpm.MacVal&lt;&gt;"",_xlpm.MacVal,_xlpm.CSVVal&lt;&gt;"",_xlpm.CSVVal
)),"")</f>
        <v/>
      </c>
      <c r="I1401" s="40" t="str">
        <f>_xlfn.XLOOKUP(A1401,Output_Mac!A:A,Output_Mac!I:I,"")</f>
        <v/>
      </c>
      <c r="J1401" s="40" t="str" cm="1">
        <f t="array" ref="J1401">IFERROR(_xlfn.LET(
_xlpm.CSVVal,_xlfn.XLOOKUP($A1401,CSV!$A:$A,CSV!I:I,""),
_xlpm.MacVal,_xlfn.XLOOKUP($A1401,Output_Mac!$A:$A,Output_Mac!J:J,""),
_xlpm.MyAuditVal,_xlfn.XLOOKUP($A1401,My_Audit!$A:$A,My_Audit!I:I,""),
_xlfn.IFS(_xlpm.MyAuditVal&lt;&gt;"",UPPER(_xlpm.MyAuditVal),_xlpm.MacVal&lt;&gt;"",_xlpm.MacVal,_xlpm.CSVVal&lt;&gt;"",_xlpm.CSVVal
)),"")</f>
        <v/>
      </c>
      <c r="K1401" s="40" t="str" cm="1">
        <f t="array" ref="K1401">IFERROR(_xlfn.LET(
_xlpm.CSVVal,_xlfn.XLOOKUP($A1401,CSV!$A:$A,CSV!K:K,""),
_xlpm.MacVal,_xlfn.XLOOKUP($A1401,Output_Mac!$A:$A,Output_Mac!K:K,""),
_xlpm.MyAuditVal,_xlfn.XLOOKUP($A1401,My_Audit!$A:$A,My_Audit!J:J,""),
_xlfn.IFS(_xlpm.MyAuditVal&lt;&gt;"",UPPER(_xlpm.MyAuditVal),_xlpm.MacVal&lt;&gt;"",_xlpm.MacVal,_xlpm.CSVVal&lt;&gt;"",_xlpm.CSVVal
)),"")</f>
        <v/>
      </c>
      <c r="L1401" s="40" t="str" cm="1">
        <f t="array" ref="L1401">IFERROR(_xlfn.LET(
_xlpm.CSVVal,_xlfn.XLOOKUP($A1401,CSV!$A:$A,CSV!P:P,""),
_xlpm.MacVal,_xlfn.XLOOKUP($A1401,Output_Mac!$A:$A,Output_Mac!L:L,""),
_xlpm.MyAuditVal,_xlfn.XLOOKUP($A1401,My_Audit!$A:$A,My_Audit!K:K,""),
_xlfn.IFS(_xlpm.MyAuditVal&lt;&gt;"",UPPER(_xlpm.MyAuditVal),_xlpm.MacVal&lt;&gt;"",_xlpm.MacVal,_xlpm.CSVVal&lt;&gt;"",_xlpm.CSVVal
)),"")</f>
        <v/>
      </c>
      <c r="M1401" s="40" t="str" cm="1">
        <f t="array" ref="M1401">IFERROR(_xlfn.LET(
_xlpm.CSVVal,_xlfn.XLOOKUP($A1401,CSV!$A:$A,CSV!Q:Q,""),
_xlpm.MacVal,_xlfn.XLOOKUP($A1401,Output_Mac!$A:$A,Output_Mac!M:M,""),
_xlpm.MyAuditVal,_xlfn.XLOOKUP($A1401,My_Audit!$A:$A,My_Audit!L:L,""),
_xlfn.IFS(_xlpm.MyAuditVal&lt;&gt;"",UPPER(_xlpm.MyAuditVal),_xlpm.MacVal&lt;&gt;"",_xlpm.MacVal,_xlpm.CSVVal&lt;&gt;"",_xlpm.CSVVal
)),"")</f>
        <v/>
      </c>
      <c r="N1401" s="40"/>
      <c r="O1401" s="40" t="str">
        <f>_xlfn.LET(
    _xlpm.CSVVal, _xlfn.XLOOKUP($A1401, CSV!$A:$A, CSV!AA:AA, ""),
    _xlpm.MacVal, _xlfn.XLOOKUP($A1401, Output_Mac!$A:$A, Output_Mac!S:S, ""),
    _xlpm.MyAuditVal, _xlfn.XLOOKUP($A1401, My_Audit!$A:$A, My_Audit!P:P, ""),
    _xlfn.TEXTJOIN(", ", TRUE, _xlpm.MyAuditVal, _xlpm.MacVal, _xlpm.CSVVal)
)</f>
        <v/>
      </c>
      <c r="P1401" s="40" t="str" cm="1">
        <f t="array" ref="P1401">IFERROR(_xlfn.LET(
_xlpm.CSVVal,_xlfn.XLOOKUP($A1401,CSV!$A:$A,CSV!AB:AB,""),
_xlpm.MacVal,_xlfn.XLOOKUP($A1401,Output_Mac!$A:$A,Output_Mac!T:T,""),
_xlpm.MyAuditVal,_xlfn.XLOOKUP($A1401,My_Audit!$A:$A,My_Audit!Q:Q,""),
_xlfn.IFS(_xlpm.MyAuditVal&lt;&gt;"",UPPER(_xlpm.MyAuditVal),_xlpm.MacVal&lt;&gt;"",_xlpm.MacVal,_xlpm.CSVVal&lt;&gt;"",_xlpm.CSVVal
)),"No")</f>
        <v>No</v>
      </c>
      <c r="Q1401" s="40" t="str" cm="1">
        <f t="array" ref="Q1401">IFERROR(_xlfn.LET(
_xlpm.CSVVal,_xlfn.XLOOKUP($A1401,CSV!$A:$A,CSV!AC:AC,""),
_xlpm.MacVal,_xlfn.XLOOKUP($A1401,Output_Mac!$A:$A,Output_Mac!U:U,""),
_xlpm.MyAuditVal,_xlfn.XLOOKUP($A1401,My_Audit!$A:$A,My_Audit!R:R,""),
_xlfn.IFS(_xlpm.MyAuditVal&lt;&gt;"",UPPER(_xlpm.MyAuditVal),_xlpm.MacVal&lt;&gt;"",_xlpm.MacVal,_xlpm.CSVVal&lt;&gt;"",_xlpm.CSVVal
)),"")</f>
        <v/>
      </c>
      <c r="R1401" s="40"/>
      <c r="S1401" s="40"/>
      <c r="T1401" s="40"/>
      <c r="U1401" s="40"/>
      <c r="V1401" s="40"/>
      <c r="W1401" s="40"/>
      <c r="X1401" s="41" t="str">
        <f>_xlfn.LET(
    _xlpm.MacVal, _xlfn.XLOOKUP($A1401, Output_Mac!$A:$A, Output_Mac!AB:AB, ""),
    _xlpm.MyAuditVal, _xlfn.XLOOKUP($A1401, My_Audit!$A:$A, My_Audit!N:N, ""),
    _xlfn.TEXTJOIN(", ", TRUE, _xlpm.MyAuditVal, _xlpm.MacVal)
)</f>
        <v/>
      </c>
    </row>
    <row r="1402" spans="1:24">
      <c r="A1402" s="40" t="str">
        <f>_xlfn.TEXTJOIN("",TRUE,Input!$B$2,ROW(My_Audit!A1401))</f>
        <v>X1401</v>
      </c>
      <c r="B1402" s="40" t="str">
        <f>_xlfn.TEXTJOIN("-",TRUE,"ITD",Input!$A$2,A1402)</f>
        <v>ITD-X1401</v>
      </c>
      <c r="C1402" s="40" t="str" cm="1">
        <f t="array" ref="C1402">IFERROR(_xlfn.LET(
_xlpm.CSVVal,_xlfn.XLOOKUP($A1402,CSV!$A:$A,CSV!B:B,""),
_xlpm.MacVal,_xlfn.XLOOKUP($A1402,Output_Mac!$A:$A,Output_Mac!B:B,""),
_xlpm.MyAuditVal,_xlfn.XLOOKUP($A1402,My_Audit!$A:$A,My_Audit!B:B,""),
_xlfn.IFS(_xlpm.MyAuditVal&lt;&gt;"",UPPER(_xlpm.MyAuditVal),_xlpm.MacVal&lt;&gt;"",_xlpm.MacVal,_xlpm.CSVVal&lt;&gt;"",_xlpm.CSVVal
)),"")</f>
        <v/>
      </c>
      <c r="D1402" s="40" t="str" cm="1">
        <f t="array" ref="D1402">IFERROR(_xlfn.LET(
_xlpm.CSVVal,_xlfn.XLOOKUP($A1402,CSV!$A:$A,CSV!D:D,""),
_xlpm.MacVal,_xlfn.XLOOKUP($A1402,Output_Mac!$A:$A,Output_Mac!C:C,""),
_xlpm.MyAuditVal,_xlfn.XLOOKUP($A1402,My_Audit!$A:$A,My_Audit!C:C,""),
_xlfn.IFS(_xlpm.MyAuditVal&lt;&gt;"",_xlpm.MyAuditVal,_xlpm.MacVal&lt;&gt;"",_xlpm.MacVal,_xlpm.CSVVal&lt;&gt;"",_xlpm.CSVVal
)),"")</f>
        <v/>
      </c>
      <c r="E1402" s="40" t="str">
        <f>_xlfn.XLOOKUP(A1402,My_Audit!A:A,My_Audit!D:D,"")</f>
        <v/>
      </c>
      <c r="F1402" s="40" t="str" cm="1">
        <f t="array" ref="F1402">IFERROR(_xlfn.LET(
_xlpm.CSVVal,_xlfn.XLOOKUP($A1402,CSV!$A:$A,CSV!F:F,""),
_xlpm.MacVal,_xlfn.XLOOKUP($A1402,Output_Mac!$A:$A,Output_Mac!E:E,""),
_xlpm.MyAuditVal,_xlfn.XLOOKUP($A1402,My_Audit!$A:$A,My_Audit!E:E,""),
_xlfn.IFS(_xlpm.MyAuditVal&lt;&gt;"",_xlpm.MyAuditVal,_xlpm.MacVal&lt;&gt;"",_xlpm.MacVal,_xlpm.CSVVal&lt;&gt;"",_xlpm.CSVVal
)),"")</f>
        <v/>
      </c>
      <c r="G1402" s="40" t="str" cm="1">
        <f t="array" ref="G1402">IFERROR(_xlfn.LET(
_xlpm.CSVVal,_xlfn.XLOOKUP($A1402,CSV!$A:$A,CSV!G:G,""),
_xlpm.MacVal,_xlfn.XLOOKUP($A1402,Output_Mac!$A:$A,Output_Mac!F:F,""),
_xlpm.MyAuditVal,_xlfn.XLOOKUP($A1402,My_Audit!$A:$A,My_Audit!F:F,""),
_xlfn.IFS(_xlpm.MyAuditVal&lt;&gt;"",_xlpm.MyAuditVal,_xlpm.MacVal&lt;&gt;"",_xlpm.MacVal,_xlpm.CSVVal&lt;&gt;"",PROPER(_xlpm.CSVVal)
)),"")</f>
        <v/>
      </c>
      <c r="H1402" s="40" t="str" cm="1">
        <f t="array" ref="H1402">IFERROR(_xlfn.LET(
_xlpm.CSVVal,_xlfn.XLOOKUP($A1402,CSV!$A:$A,CSV!H:H,""),
_xlpm.MacVal,_xlfn.XLOOKUP($A1402,Output_Mac!$A:$A,Output_Mac!H:H,""),
_xlpm.MyAuditVal,_xlfn.XLOOKUP($A1402,My_Audit!$A:$A,My_Audit!G:G,""),
_xlfn.IFS(_xlpm.MyAuditVal&lt;&gt;"",_xlpm.MyAuditVal,_xlpm.MacVal&lt;&gt;"",_xlpm.MacVal,_xlpm.CSVVal&lt;&gt;"",_xlpm.CSVVal
)),"")</f>
        <v/>
      </c>
      <c r="I1402" s="40" t="str">
        <f>_xlfn.XLOOKUP(A1402,Output_Mac!A:A,Output_Mac!I:I,"")</f>
        <v/>
      </c>
      <c r="J1402" s="40" t="str" cm="1">
        <f t="array" ref="J1402">IFERROR(_xlfn.LET(
_xlpm.CSVVal,_xlfn.XLOOKUP($A1402,CSV!$A:$A,CSV!I:I,""),
_xlpm.MacVal,_xlfn.XLOOKUP($A1402,Output_Mac!$A:$A,Output_Mac!J:J,""),
_xlpm.MyAuditVal,_xlfn.XLOOKUP($A1402,My_Audit!$A:$A,My_Audit!I:I,""),
_xlfn.IFS(_xlpm.MyAuditVal&lt;&gt;"",UPPER(_xlpm.MyAuditVal),_xlpm.MacVal&lt;&gt;"",_xlpm.MacVal,_xlpm.CSVVal&lt;&gt;"",_xlpm.CSVVal
)),"")</f>
        <v/>
      </c>
      <c r="K1402" s="40" t="str" cm="1">
        <f t="array" ref="K1402">IFERROR(_xlfn.LET(
_xlpm.CSVVal,_xlfn.XLOOKUP($A1402,CSV!$A:$A,CSV!K:K,""),
_xlpm.MacVal,_xlfn.XLOOKUP($A1402,Output_Mac!$A:$A,Output_Mac!K:K,""),
_xlpm.MyAuditVal,_xlfn.XLOOKUP($A1402,My_Audit!$A:$A,My_Audit!J:J,""),
_xlfn.IFS(_xlpm.MyAuditVal&lt;&gt;"",UPPER(_xlpm.MyAuditVal),_xlpm.MacVal&lt;&gt;"",_xlpm.MacVal,_xlpm.CSVVal&lt;&gt;"",_xlpm.CSVVal
)),"")</f>
        <v/>
      </c>
      <c r="L1402" s="40" t="str" cm="1">
        <f t="array" ref="L1402">IFERROR(_xlfn.LET(
_xlpm.CSVVal,_xlfn.XLOOKUP($A1402,CSV!$A:$A,CSV!P:P,""),
_xlpm.MacVal,_xlfn.XLOOKUP($A1402,Output_Mac!$A:$A,Output_Mac!L:L,""),
_xlpm.MyAuditVal,_xlfn.XLOOKUP($A1402,My_Audit!$A:$A,My_Audit!K:K,""),
_xlfn.IFS(_xlpm.MyAuditVal&lt;&gt;"",UPPER(_xlpm.MyAuditVal),_xlpm.MacVal&lt;&gt;"",_xlpm.MacVal,_xlpm.CSVVal&lt;&gt;"",_xlpm.CSVVal
)),"")</f>
        <v/>
      </c>
      <c r="M1402" s="40" t="str" cm="1">
        <f t="array" ref="M1402">IFERROR(_xlfn.LET(
_xlpm.CSVVal,_xlfn.XLOOKUP($A1402,CSV!$A:$A,CSV!Q:Q,""),
_xlpm.MacVal,_xlfn.XLOOKUP($A1402,Output_Mac!$A:$A,Output_Mac!M:M,""),
_xlpm.MyAuditVal,_xlfn.XLOOKUP($A1402,My_Audit!$A:$A,My_Audit!L:L,""),
_xlfn.IFS(_xlpm.MyAuditVal&lt;&gt;"",UPPER(_xlpm.MyAuditVal),_xlpm.MacVal&lt;&gt;"",_xlpm.MacVal,_xlpm.CSVVal&lt;&gt;"",_xlpm.CSVVal
)),"")</f>
        <v/>
      </c>
      <c r="N1402" s="40"/>
      <c r="O1402" s="40" t="str">
        <f>_xlfn.LET(
    _xlpm.CSVVal, _xlfn.XLOOKUP($A1402, CSV!$A:$A, CSV!AA:AA, ""),
    _xlpm.MacVal, _xlfn.XLOOKUP($A1402, Output_Mac!$A:$A, Output_Mac!S:S, ""),
    _xlpm.MyAuditVal, _xlfn.XLOOKUP($A1402, My_Audit!$A:$A, My_Audit!P:P, ""),
    _xlfn.TEXTJOIN(", ", TRUE, _xlpm.MyAuditVal, _xlpm.MacVal, _xlpm.CSVVal)
)</f>
        <v/>
      </c>
      <c r="P1402" s="40" t="str" cm="1">
        <f t="array" ref="P1402">IFERROR(_xlfn.LET(
_xlpm.CSVVal,_xlfn.XLOOKUP($A1402,CSV!$A:$A,CSV!AB:AB,""),
_xlpm.MacVal,_xlfn.XLOOKUP($A1402,Output_Mac!$A:$A,Output_Mac!T:T,""),
_xlpm.MyAuditVal,_xlfn.XLOOKUP($A1402,My_Audit!$A:$A,My_Audit!Q:Q,""),
_xlfn.IFS(_xlpm.MyAuditVal&lt;&gt;"",UPPER(_xlpm.MyAuditVal),_xlpm.MacVal&lt;&gt;"",_xlpm.MacVal,_xlpm.CSVVal&lt;&gt;"",_xlpm.CSVVal
)),"No")</f>
        <v>No</v>
      </c>
      <c r="Q1402" s="40" t="str" cm="1">
        <f t="array" ref="Q1402">IFERROR(_xlfn.LET(
_xlpm.CSVVal,_xlfn.XLOOKUP($A1402,CSV!$A:$A,CSV!AC:AC,""),
_xlpm.MacVal,_xlfn.XLOOKUP($A1402,Output_Mac!$A:$A,Output_Mac!U:U,""),
_xlpm.MyAuditVal,_xlfn.XLOOKUP($A1402,My_Audit!$A:$A,My_Audit!R:R,""),
_xlfn.IFS(_xlpm.MyAuditVal&lt;&gt;"",UPPER(_xlpm.MyAuditVal),_xlpm.MacVal&lt;&gt;"",_xlpm.MacVal,_xlpm.CSVVal&lt;&gt;"",_xlpm.CSVVal
)),"")</f>
        <v/>
      </c>
      <c r="R1402" s="40"/>
      <c r="S1402" s="40"/>
      <c r="T1402" s="40"/>
      <c r="U1402" s="40"/>
      <c r="V1402" s="40"/>
      <c r="W1402" s="40"/>
      <c r="X1402" s="41" t="str">
        <f>_xlfn.LET(
    _xlpm.MacVal, _xlfn.XLOOKUP($A1402, Output_Mac!$A:$A, Output_Mac!AB:AB, ""),
    _xlpm.MyAuditVal, _xlfn.XLOOKUP($A1402, My_Audit!$A:$A, My_Audit!N:N, ""),
    _xlfn.TEXTJOIN(", ", TRUE, _xlpm.MyAuditVal, _xlpm.MacVal)
)</f>
        <v/>
      </c>
    </row>
    <row r="1403" spans="1:24">
      <c r="A1403" s="40" t="str">
        <f>_xlfn.TEXTJOIN("",TRUE,Input!$B$2,ROW(My_Audit!A1402))</f>
        <v>X1402</v>
      </c>
      <c r="B1403" s="40" t="str">
        <f>_xlfn.TEXTJOIN("-",TRUE,"ITD",Input!$A$2,A1403)</f>
        <v>ITD-X1402</v>
      </c>
      <c r="C1403" s="40" t="str" cm="1">
        <f t="array" ref="C1403">IFERROR(_xlfn.LET(
_xlpm.CSVVal,_xlfn.XLOOKUP($A1403,CSV!$A:$A,CSV!B:B,""),
_xlpm.MacVal,_xlfn.XLOOKUP($A1403,Output_Mac!$A:$A,Output_Mac!B:B,""),
_xlpm.MyAuditVal,_xlfn.XLOOKUP($A1403,My_Audit!$A:$A,My_Audit!B:B,""),
_xlfn.IFS(_xlpm.MyAuditVal&lt;&gt;"",UPPER(_xlpm.MyAuditVal),_xlpm.MacVal&lt;&gt;"",_xlpm.MacVal,_xlpm.CSVVal&lt;&gt;"",_xlpm.CSVVal
)),"")</f>
        <v/>
      </c>
      <c r="D1403" s="40" t="str" cm="1">
        <f t="array" ref="D1403">IFERROR(_xlfn.LET(
_xlpm.CSVVal,_xlfn.XLOOKUP($A1403,CSV!$A:$A,CSV!D:D,""),
_xlpm.MacVal,_xlfn.XLOOKUP($A1403,Output_Mac!$A:$A,Output_Mac!C:C,""),
_xlpm.MyAuditVal,_xlfn.XLOOKUP($A1403,My_Audit!$A:$A,My_Audit!C:C,""),
_xlfn.IFS(_xlpm.MyAuditVal&lt;&gt;"",_xlpm.MyAuditVal,_xlpm.MacVal&lt;&gt;"",_xlpm.MacVal,_xlpm.CSVVal&lt;&gt;"",_xlpm.CSVVal
)),"")</f>
        <v/>
      </c>
      <c r="E1403" s="40" t="str">
        <f>_xlfn.XLOOKUP(A1403,My_Audit!A:A,My_Audit!D:D,"")</f>
        <v/>
      </c>
      <c r="F1403" s="40" t="str" cm="1">
        <f t="array" ref="F1403">IFERROR(_xlfn.LET(
_xlpm.CSVVal,_xlfn.XLOOKUP($A1403,CSV!$A:$A,CSV!F:F,""),
_xlpm.MacVal,_xlfn.XLOOKUP($A1403,Output_Mac!$A:$A,Output_Mac!E:E,""),
_xlpm.MyAuditVal,_xlfn.XLOOKUP($A1403,My_Audit!$A:$A,My_Audit!E:E,""),
_xlfn.IFS(_xlpm.MyAuditVal&lt;&gt;"",_xlpm.MyAuditVal,_xlpm.MacVal&lt;&gt;"",_xlpm.MacVal,_xlpm.CSVVal&lt;&gt;"",_xlpm.CSVVal
)),"")</f>
        <v/>
      </c>
      <c r="G1403" s="40" t="str" cm="1">
        <f t="array" ref="G1403">IFERROR(_xlfn.LET(
_xlpm.CSVVal,_xlfn.XLOOKUP($A1403,CSV!$A:$A,CSV!G:G,""),
_xlpm.MacVal,_xlfn.XLOOKUP($A1403,Output_Mac!$A:$A,Output_Mac!F:F,""),
_xlpm.MyAuditVal,_xlfn.XLOOKUP($A1403,My_Audit!$A:$A,My_Audit!F:F,""),
_xlfn.IFS(_xlpm.MyAuditVal&lt;&gt;"",_xlpm.MyAuditVal,_xlpm.MacVal&lt;&gt;"",_xlpm.MacVal,_xlpm.CSVVal&lt;&gt;"",PROPER(_xlpm.CSVVal)
)),"")</f>
        <v/>
      </c>
      <c r="H1403" s="40" t="str" cm="1">
        <f t="array" ref="H1403">IFERROR(_xlfn.LET(
_xlpm.CSVVal,_xlfn.XLOOKUP($A1403,CSV!$A:$A,CSV!H:H,""),
_xlpm.MacVal,_xlfn.XLOOKUP($A1403,Output_Mac!$A:$A,Output_Mac!H:H,""),
_xlpm.MyAuditVal,_xlfn.XLOOKUP($A1403,My_Audit!$A:$A,My_Audit!G:G,""),
_xlfn.IFS(_xlpm.MyAuditVal&lt;&gt;"",_xlpm.MyAuditVal,_xlpm.MacVal&lt;&gt;"",_xlpm.MacVal,_xlpm.CSVVal&lt;&gt;"",_xlpm.CSVVal
)),"")</f>
        <v/>
      </c>
      <c r="I1403" s="40" t="str">
        <f>_xlfn.XLOOKUP(A1403,Output_Mac!A:A,Output_Mac!I:I,"")</f>
        <v/>
      </c>
      <c r="J1403" s="40" t="str" cm="1">
        <f t="array" ref="J1403">IFERROR(_xlfn.LET(
_xlpm.CSVVal,_xlfn.XLOOKUP($A1403,CSV!$A:$A,CSV!I:I,""),
_xlpm.MacVal,_xlfn.XLOOKUP($A1403,Output_Mac!$A:$A,Output_Mac!J:J,""),
_xlpm.MyAuditVal,_xlfn.XLOOKUP($A1403,My_Audit!$A:$A,My_Audit!I:I,""),
_xlfn.IFS(_xlpm.MyAuditVal&lt;&gt;"",UPPER(_xlpm.MyAuditVal),_xlpm.MacVal&lt;&gt;"",_xlpm.MacVal,_xlpm.CSVVal&lt;&gt;"",_xlpm.CSVVal
)),"")</f>
        <v/>
      </c>
      <c r="K1403" s="40" t="str" cm="1">
        <f t="array" ref="K1403">IFERROR(_xlfn.LET(
_xlpm.CSVVal,_xlfn.XLOOKUP($A1403,CSV!$A:$A,CSV!K:K,""),
_xlpm.MacVal,_xlfn.XLOOKUP($A1403,Output_Mac!$A:$A,Output_Mac!K:K,""),
_xlpm.MyAuditVal,_xlfn.XLOOKUP($A1403,My_Audit!$A:$A,My_Audit!J:J,""),
_xlfn.IFS(_xlpm.MyAuditVal&lt;&gt;"",UPPER(_xlpm.MyAuditVal),_xlpm.MacVal&lt;&gt;"",_xlpm.MacVal,_xlpm.CSVVal&lt;&gt;"",_xlpm.CSVVal
)),"")</f>
        <v/>
      </c>
      <c r="L1403" s="40" t="str" cm="1">
        <f t="array" ref="L1403">IFERROR(_xlfn.LET(
_xlpm.CSVVal,_xlfn.XLOOKUP($A1403,CSV!$A:$A,CSV!P:P,""),
_xlpm.MacVal,_xlfn.XLOOKUP($A1403,Output_Mac!$A:$A,Output_Mac!L:L,""),
_xlpm.MyAuditVal,_xlfn.XLOOKUP($A1403,My_Audit!$A:$A,My_Audit!K:K,""),
_xlfn.IFS(_xlpm.MyAuditVal&lt;&gt;"",UPPER(_xlpm.MyAuditVal),_xlpm.MacVal&lt;&gt;"",_xlpm.MacVal,_xlpm.CSVVal&lt;&gt;"",_xlpm.CSVVal
)),"")</f>
        <v/>
      </c>
      <c r="M1403" s="40" t="str" cm="1">
        <f t="array" ref="M1403">IFERROR(_xlfn.LET(
_xlpm.CSVVal,_xlfn.XLOOKUP($A1403,CSV!$A:$A,CSV!Q:Q,""),
_xlpm.MacVal,_xlfn.XLOOKUP($A1403,Output_Mac!$A:$A,Output_Mac!M:M,""),
_xlpm.MyAuditVal,_xlfn.XLOOKUP($A1403,My_Audit!$A:$A,My_Audit!L:L,""),
_xlfn.IFS(_xlpm.MyAuditVal&lt;&gt;"",UPPER(_xlpm.MyAuditVal),_xlpm.MacVal&lt;&gt;"",_xlpm.MacVal,_xlpm.CSVVal&lt;&gt;"",_xlpm.CSVVal
)),"")</f>
        <v/>
      </c>
      <c r="N1403" s="40"/>
      <c r="O1403" s="40" t="str">
        <f>_xlfn.LET(
    _xlpm.CSVVal, _xlfn.XLOOKUP($A1403, CSV!$A:$A, CSV!AA:AA, ""),
    _xlpm.MacVal, _xlfn.XLOOKUP($A1403, Output_Mac!$A:$A, Output_Mac!S:S, ""),
    _xlpm.MyAuditVal, _xlfn.XLOOKUP($A1403, My_Audit!$A:$A, My_Audit!P:P, ""),
    _xlfn.TEXTJOIN(", ", TRUE, _xlpm.MyAuditVal, _xlpm.MacVal, _xlpm.CSVVal)
)</f>
        <v/>
      </c>
      <c r="P1403" s="40" t="str" cm="1">
        <f t="array" ref="P1403">IFERROR(_xlfn.LET(
_xlpm.CSVVal,_xlfn.XLOOKUP($A1403,CSV!$A:$A,CSV!AB:AB,""),
_xlpm.MacVal,_xlfn.XLOOKUP($A1403,Output_Mac!$A:$A,Output_Mac!T:T,""),
_xlpm.MyAuditVal,_xlfn.XLOOKUP($A1403,My_Audit!$A:$A,My_Audit!Q:Q,""),
_xlfn.IFS(_xlpm.MyAuditVal&lt;&gt;"",UPPER(_xlpm.MyAuditVal),_xlpm.MacVal&lt;&gt;"",_xlpm.MacVal,_xlpm.CSVVal&lt;&gt;"",_xlpm.CSVVal
)),"No")</f>
        <v>No</v>
      </c>
      <c r="Q1403" s="40" t="str" cm="1">
        <f t="array" ref="Q1403">IFERROR(_xlfn.LET(
_xlpm.CSVVal,_xlfn.XLOOKUP($A1403,CSV!$A:$A,CSV!AC:AC,""),
_xlpm.MacVal,_xlfn.XLOOKUP($A1403,Output_Mac!$A:$A,Output_Mac!U:U,""),
_xlpm.MyAuditVal,_xlfn.XLOOKUP($A1403,My_Audit!$A:$A,My_Audit!R:R,""),
_xlfn.IFS(_xlpm.MyAuditVal&lt;&gt;"",UPPER(_xlpm.MyAuditVal),_xlpm.MacVal&lt;&gt;"",_xlpm.MacVal,_xlpm.CSVVal&lt;&gt;"",_xlpm.CSVVal
)),"")</f>
        <v/>
      </c>
      <c r="R1403" s="40"/>
      <c r="S1403" s="40"/>
      <c r="T1403" s="40"/>
      <c r="U1403" s="40"/>
      <c r="V1403" s="40"/>
      <c r="W1403" s="40"/>
      <c r="X1403" s="41" t="str">
        <f>_xlfn.LET(
    _xlpm.MacVal, _xlfn.XLOOKUP($A1403, Output_Mac!$A:$A, Output_Mac!AB:AB, ""),
    _xlpm.MyAuditVal, _xlfn.XLOOKUP($A1403, My_Audit!$A:$A, My_Audit!N:N, ""),
    _xlfn.TEXTJOIN(", ", TRUE, _xlpm.MyAuditVal, _xlpm.MacVal)
)</f>
        <v/>
      </c>
    </row>
    <row r="1404" spans="1:24">
      <c r="A1404" s="40" t="str">
        <f>_xlfn.TEXTJOIN("",TRUE,Input!$B$2,ROW(My_Audit!A1403))</f>
        <v>X1403</v>
      </c>
      <c r="B1404" s="40" t="str">
        <f>_xlfn.TEXTJOIN("-",TRUE,"ITD",Input!$A$2,A1404)</f>
        <v>ITD-X1403</v>
      </c>
      <c r="C1404" s="40" t="str" cm="1">
        <f t="array" ref="C1404">IFERROR(_xlfn.LET(
_xlpm.CSVVal,_xlfn.XLOOKUP($A1404,CSV!$A:$A,CSV!B:B,""),
_xlpm.MacVal,_xlfn.XLOOKUP($A1404,Output_Mac!$A:$A,Output_Mac!B:B,""),
_xlpm.MyAuditVal,_xlfn.XLOOKUP($A1404,My_Audit!$A:$A,My_Audit!B:B,""),
_xlfn.IFS(_xlpm.MyAuditVal&lt;&gt;"",UPPER(_xlpm.MyAuditVal),_xlpm.MacVal&lt;&gt;"",_xlpm.MacVal,_xlpm.CSVVal&lt;&gt;"",_xlpm.CSVVal
)),"")</f>
        <v/>
      </c>
      <c r="D1404" s="40" t="str" cm="1">
        <f t="array" ref="D1404">IFERROR(_xlfn.LET(
_xlpm.CSVVal,_xlfn.XLOOKUP($A1404,CSV!$A:$A,CSV!D:D,""),
_xlpm.MacVal,_xlfn.XLOOKUP($A1404,Output_Mac!$A:$A,Output_Mac!C:C,""),
_xlpm.MyAuditVal,_xlfn.XLOOKUP($A1404,My_Audit!$A:$A,My_Audit!C:C,""),
_xlfn.IFS(_xlpm.MyAuditVal&lt;&gt;"",_xlpm.MyAuditVal,_xlpm.MacVal&lt;&gt;"",_xlpm.MacVal,_xlpm.CSVVal&lt;&gt;"",_xlpm.CSVVal
)),"")</f>
        <v/>
      </c>
      <c r="E1404" s="40" t="str">
        <f>_xlfn.XLOOKUP(A1404,My_Audit!A:A,My_Audit!D:D,"")</f>
        <v/>
      </c>
      <c r="F1404" s="40" t="str" cm="1">
        <f t="array" ref="F1404">IFERROR(_xlfn.LET(
_xlpm.CSVVal,_xlfn.XLOOKUP($A1404,CSV!$A:$A,CSV!F:F,""),
_xlpm.MacVal,_xlfn.XLOOKUP($A1404,Output_Mac!$A:$A,Output_Mac!E:E,""),
_xlpm.MyAuditVal,_xlfn.XLOOKUP($A1404,My_Audit!$A:$A,My_Audit!E:E,""),
_xlfn.IFS(_xlpm.MyAuditVal&lt;&gt;"",_xlpm.MyAuditVal,_xlpm.MacVal&lt;&gt;"",_xlpm.MacVal,_xlpm.CSVVal&lt;&gt;"",_xlpm.CSVVal
)),"")</f>
        <v/>
      </c>
      <c r="G1404" s="40" t="str" cm="1">
        <f t="array" ref="G1404">IFERROR(_xlfn.LET(
_xlpm.CSVVal,_xlfn.XLOOKUP($A1404,CSV!$A:$A,CSV!G:G,""),
_xlpm.MacVal,_xlfn.XLOOKUP($A1404,Output_Mac!$A:$A,Output_Mac!F:F,""),
_xlpm.MyAuditVal,_xlfn.XLOOKUP($A1404,My_Audit!$A:$A,My_Audit!F:F,""),
_xlfn.IFS(_xlpm.MyAuditVal&lt;&gt;"",_xlpm.MyAuditVal,_xlpm.MacVal&lt;&gt;"",_xlpm.MacVal,_xlpm.CSVVal&lt;&gt;"",PROPER(_xlpm.CSVVal)
)),"")</f>
        <v/>
      </c>
      <c r="H1404" s="40" t="str" cm="1">
        <f t="array" ref="H1404">IFERROR(_xlfn.LET(
_xlpm.CSVVal,_xlfn.XLOOKUP($A1404,CSV!$A:$A,CSV!H:H,""),
_xlpm.MacVal,_xlfn.XLOOKUP($A1404,Output_Mac!$A:$A,Output_Mac!H:H,""),
_xlpm.MyAuditVal,_xlfn.XLOOKUP($A1404,My_Audit!$A:$A,My_Audit!G:G,""),
_xlfn.IFS(_xlpm.MyAuditVal&lt;&gt;"",_xlpm.MyAuditVal,_xlpm.MacVal&lt;&gt;"",_xlpm.MacVal,_xlpm.CSVVal&lt;&gt;"",_xlpm.CSVVal
)),"")</f>
        <v/>
      </c>
      <c r="I1404" s="40" t="str">
        <f>_xlfn.XLOOKUP(A1404,Output_Mac!A:A,Output_Mac!I:I,"")</f>
        <v/>
      </c>
      <c r="J1404" s="40" t="str" cm="1">
        <f t="array" ref="J1404">IFERROR(_xlfn.LET(
_xlpm.CSVVal,_xlfn.XLOOKUP($A1404,CSV!$A:$A,CSV!I:I,""),
_xlpm.MacVal,_xlfn.XLOOKUP($A1404,Output_Mac!$A:$A,Output_Mac!J:J,""),
_xlpm.MyAuditVal,_xlfn.XLOOKUP($A1404,My_Audit!$A:$A,My_Audit!I:I,""),
_xlfn.IFS(_xlpm.MyAuditVal&lt;&gt;"",UPPER(_xlpm.MyAuditVal),_xlpm.MacVal&lt;&gt;"",_xlpm.MacVal,_xlpm.CSVVal&lt;&gt;"",_xlpm.CSVVal
)),"")</f>
        <v/>
      </c>
      <c r="K1404" s="40" t="str" cm="1">
        <f t="array" ref="K1404">IFERROR(_xlfn.LET(
_xlpm.CSVVal,_xlfn.XLOOKUP($A1404,CSV!$A:$A,CSV!K:K,""),
_xlpm.MacVal,_xlfn.XLOOKUP($A1404,Output_Mac!$A:$A,Output_Mac!K:K,""),
_xlpm.MyAuditVal,_xlfn.XLOOKUP($A1404,My_Audit!$A:$A,My_Audit!J:J,""),
_xlfn.IFS(_xlpm.MyAuditVal&lt;&gt;"",UPPER(_xlpm.MyAuditVal),_xlpm.MacVal&lt;&gt;"",_xlpm.MacVal,_xlpm.CSVVal&lt;&gt;"",_xlpm.CSVVal
)),"")</f>
        <v/>
      </c>
      <c r="L1404" s="40" t="str" cm="1">
        <f t="array" ref="L1404">IFERROR(_xlfn.LET(
_xlpm.CSVVal,_xlfn.XLOOKUP($A1404,CSV!$A:$A,CSV!P:P,""),
_xlpm.MacVal,_xlfn.XLOOKUP($A1404,Output_Mac!$A:$A,Output_Mac!L:L,""),
_xlpm.MyAuditVal,_xlfn.XLOOKUP($A1404,My_Audit!$A:$A,My_Audit!K:K,""),
_xlfn.IFS(_xlpm.MyAuditVal&lt;&gt;"",UPPER(_xlpm.MyAuditVal),_xlpm.MacVal&lt;&gt;"",_xlpm.MacVal,_xlpm.CSVVal&lt;&gt;"",_xlpm.CSVVal
)),"")</f>
        <v/>
      </c>
      <c r="M1404" s="40" t="str" cm="1">
        <f t="array" ref="M1404">IFERROR(_xlfn.LET(
_xlpm.CSVVal,_xlfn.XLOOKUP($A1404,CSV!$A:$A,CSV!Q:Q,""),
_xlpm.MacVal,_xlfn.XLOOKUP($A1404,Output_Mac!$A:$A,Output_Mac!M:M,""),
_xlpm.MyAuditVal,_xlfn.XLOOKUP($A1404,My_Audit!$A:$A,My_Audit!L:L,""),
_xlfn.IFS(_xlpm.MyAuditVal&lt;&gt;"",UPPER(_xlpm.MyAuditVal),_xlpm.MacVal&lt;&gt;"",_xlpm.MacVal,_xlpm.CSVVal&lt;&gt;"",_xlpm.CSVVal
)),"")</f>
        <v/>
      </c>
      <c r="N1404" s="40"/>
      <c r="O1404" s="40" t="str">
        <f>_xlfn.LET(
    _xlpm.CSVVal, _xlfn.XLOOKUP($A1404, CSV!$A:$A, CSV!AA:AA, ""),
    _xlpm.MacVal, _xlfn.XLOOKUP($A1404, Output_Mac!$A:$A, Output_Mac!S:S, ""),
    _xlpm.MyAuditVal, _xlfn.XLOOKUP($A1404, My_Audit!$A:$A, My_Audit!P:P, ""),
    _xlfn.TEXTJOIN(", ", TRUE, _xlpm.MyAuditVal, _xlpm.MacVal, _xlpm.CSVVal)
)</f>
        <v/>
      </c>
      <c r="P1404" s="40" t="str" cm="1">
        <f t="array" ref="P1404">IFERROR(_xlfn.LET(
_xlpm.CSVVal,_xlfn.XLOOKUP($A1404,CSV!$A:$A,CSV!AB:AB,""),
_xlpm.MacVal,_xlfn.XLOOKUP($A1404,Output_Mac!$A:$A,Output_Mac!T:T,""),
_xlpm.MyAuditVal,_xlfn.XLOOKUP($A1404,My_Audit!$A:$A,My_Audit!Q:Q,""),
_xlfn.IFS(_xlpm.MyAuditVal&lt;&gt;"",UPPER(_xlpm.MyAuditVal),_xlpm.MacVal&lt;&gt;"",_xlpm.MacVal,_xlpm.CSVVal&lt;&gt;"",_xlpm.CSVVal
)),"No")</f>
        <v>No</v>
      </c>
      <c r="Q1404" s="40" t="str" cm="1">
        <f t="array" ref="Q1404">IFERROR(_xlfn.LET(
_xlpm.CSVVal,_xlfn.XLOOKUP($A1404,CSV!$A:$A,CSV!AC:AC,""),
_xlpm.MacVal,_xlfn.XLOOKUP($A1404,Output_Mac!$A:$A,Output_Mac!U:U,""),
_xlpm.MyAuditVal,_xlfn.XLOOKUP($A1404,My_Audit!$A:$A,My_Audit!R:R,""),
_xlfn.IFS(_xlpm.MyAuditVal&lt;&gt;"",UPPER(_xlpm.MyAuditVal),_xlpm.MacVal&lt;&gt;"",_xlpm.MacVal,_xlpm.CSVVal&lt;&gt;"",_xlpm.CSVVal
)),"")</f>
        <v/>
      </c>
      <c r="R1404" s="40"/>
      <c r="S1404" s="40"/>
      <c r="T1404" s="40"/>
      <c r="U1404" s="40"/>
      <c r="V1404" s="40"/>
      <c r="W1404" s="40"/>
      <c r="X1404" s="41" t="str">
        <f>_xlfn.LET(
    _xlpm.MacVal, _xlfn.XLOOKUP($A1404, Output_Mac!$A:$A, Output_Mac!AB:AB, ""),
    _xlpm.MyAuditVal, _xlfn.XLOOKUP($A1404, My_Audit!$A:$A, My_Audit!N:N, ""),
    _xlfn.TEXTJOIN(", ", TRUE, _xlpm.MyAuditVal, _xlpm.MacVal)
)</f>
        <v/>
      </c>
    </row>
    <row r="1405" spans="1:24">
      <c r="A1405" s="40" t="str">
        <f>_xlfn.TEXTJOIN("",TRUE,Input!$B$2,ROW(My_Audit!A1404))</f>
        <v>X1404</v>
      </c>
      <c r="B1405" s="40" t="str">
        <f>_xlfn.TEXTJOIN("-",TRUE,"ITD",Input!$A$2,A1405)</f>
        <v>ITD-X1404</v>
      </c>
      <c r="C1405" s="40" t="str" cm="1">
        <f t="array" ref="C1405">IFERROR(_xlfn.LET(
_xlpm.CSVVal,_xlfn.XLOOKUP($A1405,CSV!$A:$A,CSV!B:B,""),
_xlpm.MacVal,_xlfn.XLOOKUP($A1405,Output_Mac!$A:$A,Output_Mac!B:B,""),
_xlpm.MyAuditVal,_xlfn.XLOOKUP($A1405,My_Audit!$A:$A,My_Audit!B:B,""),
_xlfn.IFS(_xlpm.MyAuditVal&lt;&gt;"",UPPER(_xlpm.MyAuditVal),_xlpm.MacVal&lt;&gt;"",_xlpm.MacVal,_xlpm.CSVVal&lt;&gt;"",_xlpm.CSVVal
)),"")</f>
        <v/>
      </c>
      <c r="D1405" s="40" t="str" cm="1">
        <f t="array" ref="D1405">IFERROR(_xlfn.LET(
_xlpm.CSVVal,_xlfn.XLOOKUP($A1405,CSV!$A:$A,CSV!D:D,""),
_xlpm.MacVal,_xlfn.XLOOKUP($A1405,Output_Mac!$A:$A,Output_Mac!C:C,""),
_xlpm.MyAuditVal,_xlfn.XLOOKUP($A1405,My_Audit!$A:$A,My_Audit!C:C,""),
_xlfn.IFS(_xlpm.MyAuditVal&lt;&gt;"",_xlpm.MyAuditVal,_xlpm.MacVal&lt;&gt;"",_xlpm.MacVal,_xlpm.CSVVal&lt;&gt;"",_xlpm.CSVVal
)),"")</f>
        <v/>
      </c>
      <c r="E1405" s="40" t="str">
        <f>_xlfn.XLOOKUP(A1405,My_Audit!A:A,My_Audit!D:D,"")</f>
        <v/>
      </c>
      <c r="F1405" s="40" t="str" cm="1">
        <f t="array" ref="F1405">IFERROR(_xlfn.LET(
_xlpm.CSVVal,_xlfn.XLOOKUP($A1405,CSV!$A:$A,CSV!F:F,""),
_xlpm.MacVal,_xlfn.XLOOKUP($A1405,Output_Mac!$A:$A,Output_Mac!E:E,""),
_xlpm.MyAuditVal,_xlfn.XLOOKUP($A1405,My_Audit!$A:$A,My_Audit!E:E,""),
_xlfn.IFS(_xlpm.MyAuditVal&lt;&gt;"",_xlpm.MyAuditVal,_xlpm.MacVal&lt;&gt;"",_xlpm.MacVal,_xlpm.CSVVal&lt;&gt;"",_xlpm.CSVVal
)),"")</f>
        <v/>
      </c>
      <c r="G1405" s="40" t="str" cm="1">
        <f t="array" ref="G1405">IFERROR(_xlfn.LET(
_xlpm.CSVVal,_xlfn.XLOOKUP($A1405,CSV!$A:$A,CSV!G:G,""),
_xlpm.MacVal,_xlfn.XLOOKUP($A1405,Output_Mac!$A:$A,Output_Mac!F:F,""),
_xlpm.MyAuditVal,_xlfn.XLOOKUP($A1405,My_Audit!$A:$A,My_Audit!F:F,""),
_xlfn.IFS(_xlpm.MyAuditVal&lt;&gt;"",_xlpm.MyAuditVal,_xlpm.MacVal&lt;&gt;"",_xlpm.MacVal,_xlpm.CSVVal&lt;&gt;"",PROPER(_xlpm.CSVVal)
)),"")</f>
        <v/>
      </c>
      <c r="H1405" s="40" t="str" cm="1">
        <f t="array" ref="H1405">IFERROR(_xlfn.LET(
_xlpm.CSVVal,_xlfn.XLOOKUP($A1405,CSV!$A:$A,CSV!H:H,""),
_xlpm.MacVal,_xlfn.XLOOKUP($A1405,Output_Mac!$A:$A,Output_Mac!H:H,""),
_xlpm.MyAuditVal,_xlfn.XLOOKUP($A1405,My_Audit!$A:$A,My_Audit!G:G,""),
_xlfn.IFS(_xlpm.MyAuditVal&lt;&gt;"",_xlpm.MyAuditVal,_xlpm.MacVal&lt;&gt;"",_xlpm.MacVal,_xlpm.CSVVal&lt;&gt;"",_xlpm.CSVVal
)),"")</f>
        <v/>
      </c>
      <c r="I1405" s="40" t="str">
        <f>_xlfn.XLOOKUP(A1405,Output_Mac!A:A,Output_Mac!I:I,"")</f>
        <v/>
      </c>
      <c r="J1405" s="40" t="str" cm="1">
        <f t="array" ref="J1405">IFERROR(_xlfn.LET(
_xlpm.CSVVal,_xlfn.XLOOKUP($A1405,CSV!$A:$A,CSV!I:I,""),
_xlpm.MacVal,_xlfn.XLOOKUP($A1405,Output_Mac!$A:$A,Output_Mac!J:J,""),
_xlpm.MyAuditVal,_xlfn.XLOOKUP($A1405,My_Audit!$A:$A,My_Audit!I:I,""),
_xlfn.IFS(_xlpm.MyAuditVal&lt;&gt;"",UPPER(_xlpm.MyAuditVal),_xlpm.MacVal&lt;&gt;"",_xlpm.MacVal,_xlpm.CSVVal&lt;&gt;"",_xlpm.CSVVal
)),"")</f>
        <v/>
      </c>
      <c r="K1405" s="40" t="str" cm="1">
        <f t="array" ref="K1405">IFERROR(_xlfn.LET(
_xlpm.CSVVal,_xlfn.XLOOKUP($A1405,CSV!$A:$A,CSV!K:K,""),
_xlpm.MacVal,_xlfn.XLOOKUP($A1405,Output_Mac!$A:$A,Output_Mac!K:K,""),
_xlpm.MyAuditVal,_xlfn.XLOOKUP($A1405,My_Audit!$A:$A,My_Audit!J:J,""),
_xlfn.IFS(_xlpm.MyAuditVal&lt;&gt;"",UPPER(_xlpm.MyAuditVal),_xlpm.MacVal&lt;&gt;"",_xlpm.MacVal,_xlpm.CSVVal&lt;&gt;"",_xlpm.CSVVal
)),"")</f>
        <v/>
      </c>
      <c r="L1405" s="40" t="str" cm="1">
        <f t="array" ref="L1405">IFERROR(_xlfn.LET(
_xlpm.CSVVal,_xlfn.XLOOKUP($A1405,CSV!$A:$A,CSV!P:P,""),
_xlpm.MacVal,_xlfn.XLOOKUP($A1405,Output_Mac!$A:$A,Output_Mac!L:L,""),
_xlpm.MyAuditVal,_xlfn.XLOOKUP($A1405,My_Audit!$A:$A,My_Audit!K:K,""),
_xlfn.IFS(_xlpm.MyAuditVal&lt;&gt;"",UPPER(_xlpm.MyAuditVal),_xlpm.MacVal&lt;&gt;"",_xlpm.MacVal,_xlpm.CSVVal&lt;&gt;"",_xlpm.CSVVal
)),"")</f>
        <v/>
      </c>
      <c r="M1405" s="40" t="str" cm="1">
        <f t="array" ref="M1405">IFERROR(_xlfn.LET(
_xlpm.CSVVal,_xlfn.XLOOKUP($A1405,CSV!$A:$A,CSV!Q:Q,""),
_xlpm.MacVal,_xlfn.XLOOKUP($A1405,Output_Mac!$A:$A,Output_Mac!M:M,""),
_xlpm.MyAuditVal,_xlfn.XLOOKUP($A1405,My_Audit!$A:$A,My_Audit!L:L,""),
_xlfn.IFS(_xlpm.MyAuditVal&lt;&gt;"",UPPER(_xlpm.MyAuditVal),_xlpm.MacVal&lt;&gt;"",_xlpm.MacVal,_xlpm.CSVVal&lt;&gt;"",_xlpm.CSVVal
)),"")</f>
        <v/>
      </c>
      <c r="N1405" s="40"/>
      <c r="O1405" s="40" t="str">
        <f>_xlfn.LET(
    _xlpm.CSVVal, _xlfn.XLOOKUP($A1405, CSV!$A:$A, CSV!AA:AA, ""),
    _xlpm.MacVal, _xlfn.XLOOKUP($A1405, Output_Mac!$A:$A, Output_Mac!S:S, ""),
    _xlpm.MyAuditVal, _xlfn.XLOOKUP($A1405, My_Audit!$A:$A, My_Audit!P:P, ""),
    _xlfn.TEXTJOIN(", ", TRUE, _xlpm.MyAuditVal, _xlpm.MacVal, _xlpm.CSVVal)
)</f>
        <v/>
      </c>
      <c r="P1405" s="40" t="str" cm="1">
        <f t="array" ref="P1405">IFERROR(_xlfn.LET(
_xlpm.CSVVal,_xlfn.XLOOKUP($A1405,CSV!$A:$A,CSV!AB:AB,""),
_xlpm.MacVal,_xlfn.XLOOKUP($A1405,Output_Mac!$A:$A,Output_Mac!T:T,""),
_xlpm.MyAuditVal,_xlfn.XLOOKUP($A1405,My_Audit!$A:$A,My_Audit!Q:Q,""),
_xlfn.IFS(_xlpm.MyAuditVal&lt;&gt;"",UPPER(_xlpm.MyAuditVal),_xlpm.MacVal&lt;&gt;"",_xlpm.MacVal,_xlpm.CSVVal&lt;&gt;"",_xlpm.CSVVal
)),"No")</f>
        <v>No</v>
      </c>
      <c r="Q1405" s="40" t="str" cm="1">
        <f t="array" ref="Q1405">IFERROR(_xlfn.LET(
_xlpm.CSVVal,_xlfn.XLOOKUP($A1405,CSV!$A:$A,CSV!AC:AC,""),
_xlpm.MacVal,_xlfn.XLOOKUP($A1405,Output_Mac!$A:$A,Output_Mac!U:U,""),
_xlpm.MyAuditVal,_xlfn.XLOOKUP($A1405,My_Audit!$A:$A,My_Audit!R:R,""),
_xlfn.IFS(_xlpm.MyAuditVal&lt;&gt;"",UPPER(_xlpm.MyAuditVal),_xlpm.MacVal&lt;&gt;"",_xlpm.MacVal,_xlpm.CSVVal&lt;&gt;"",_xlpm.CSVVal
)),"")</f>
        <v/>
      </c>
      <c r="R1405" s="40"/>
      <c r="S1405" s="40"/>
      <c r="T1405" s="40"/>
      <c r="U1405" s="40"/>
      <c r="V1405" s="40"/>
      <c r="W1405" s="40"/>
      <c r="X1405" s="41" t="str">
        <f>_xlfn.LET(
    _xlpm.MacVal, _xlfn.XLOOKUP($A1405, Output_Mac!$A:$A, Output_Mac!AB:AB, ""),
    _xlpm.MyAuditVal, _xlfn.XLOOKUP($A1405, My_Audit!$A:$A, My_Audit!N:N, ""),
    _xlfn.TEXTJOIN(", ", TRUE, _xlpm.MyAuditVal, _xlpm.MacVal)
)</f>
        <v/>
      </c>
    </row>
    <row r="1406" spans="1:24">
      <c r="A1406" s="40" t="str">
        <f>_xlfn.TEXTJOIN("",TRUE,Input!$B$2,ROW(My_Audit!A1405))</f>
        <v>X1405</v>
      </c>
      <c r="B1406" s="40" t="str">
        <f>_xlfn.TEXTJOIN("-",TRUE,"ITD",Input!$A$2,A1406)</f>
        <v>ITD-X1405</v>
      </c>
      <c r="C1406" s="40" t="str" cm="1">
        <f t="array" ref="C1406">IFERROR(_xlfn.LET(
_xlpm.CSVVal,_xlfn.XLOOKUP($A1406,CSV!$A:$A,CSV!B:B,""),
_xlpm.MacVal,_xlfn.XLOOKUP($A1406,Output_Mac!$A:$A,Output_Mac!B:B,""),
_xlpm.MyAuditVal,_xlfn.XLOOKUP($A1406,My_Audit!$A:$A,My_Audit!B:B,""),
_xlfn.IFS(_xlpm.MyAuditVal&lt;&gt;"",UPPER(_xlpm.MyAuditVal),_xlpm.MacVal&lt;&gt;"",_xlpm.MacVal,_xlpm.CSVVal&lt;&gt;"",_xlpm.CSVVal
)),"")</f>
        <v/>
      </c>
      <c r="D1406" s="40" t="str" cm="1">
        <f t="array" ref="D1406">IFERROR(_xlfn.LET(
_xlpm.CSVVal,_xlfn.XLOOKUP($A1406,CSV!$A:$A,CSV!D:D,""),
_xlpm.MacVal,_xlfn.XLOOKUP($A1406,Output_Mac!$A:$A,Output_Mac!C:C,""),
_xlpm.MyAuditVal,_xlfn.XLOOKUP($A1406,My_Audit!$A:$A,My_Audit!C:C,""),
_xlfn.IFS(_xlpm.MyAuditVal&lt;&gt;"",_xlpm.MyAuditVal,_xlpm.MacVal&lt;&gt;"",_xlpm.MacVal,_xlpm.CSVVal&lt;&gt;"",_xlpm.CSVVal
)),"")</f>
        <v/>
      </c>
      <c r="E1406" s="40" t="str">
        <f>_xlfn.XLOOKUP(A1406,My_Audit!A:A,My_Audit!D:D,"")</f>
        <v/>
      </c>
      <c r="F1406" s="40" t="str" cm="1">
        <f t="array" ref="F1406">IFERROR(_xlfn.LET(
_xlpm.CSVVal,_xlfn.XLOOKUP($A1406,CSV!$A:$A,CSV!F:F,""),
_xlpm.MacVal,_xlfn.XLOOKUP($A1406,Output_Mac!$A:$A,Output_Mac!E:E,""),
_xlpm.MyAuditVal,_xlfn.XLOOKUP($A1406,My_Audit!$A:$A,My_Audit!E:E,""),
_xlfn.IFS(_xlpm.MyAuditVal&lt;&gt;"",_xlpm.MyAuditVal,_xlpm.MacVal&lt;&gt;"",_xlpm.MacVal,_xlpm.CSVVal&lt;&gt;"",_xlpm.CSVVal
)),"")</f>
        <v/>
      </c>
      <c r="G1406" s="40" t="str" cm="1">
        <f t="array" ref="G1406">IFERROR(_xlfn.LET(
_xlpm.CSVVal,_xlfn.XLOOKUP($A1406,CSV!$A:$A,CSV!G:G,""),
_xlpm.MacVal,_xlfn.XLOOKUP($A1406,Output_Mac!$A:$A,Output_Mac!F:F,""),
_xlpm.MyAuditVal,_xlfn.XLOOKUP($A1406,My_Audit!$A:$A,My_Audit!F:F,""),
_xlfn.IFS(_xlpm.MyAuditVal&lt;&gt;"",_xlpm.MyAuditVal,_xlpm.MacVal&lt;&gt;"",_xlpm.MacVal,_xlpm.CSVVal&lt;&gt;"",PROPER(_xlpm.CSVVal)
)),"")</f>
        <v/>
      </c>
      <c r="H1406" s="40" t="str" cm="1">
        <f t="array" ref="H1406">IFERROR(_xlfn.LET(
_xlpm.CSVVal,_xlfn.XLOOKUP($A1406,CSV!$A:$A,CSV!H:H,""),
_xlpm.MacVal,_xlfn.XLOOKUP($A1406,Output_Mac!$A:$A,Output_Mac!H:H,""),
_xlpm.MyAuditVal,_xlfn.XLOOKUP($A1406,My_Audit!$A:$A,My_Audit!G:G,""),
_xlfn.IFS(_xlpm.MyAuditVal&lt;&gt;"",_xlpm.MyAuditVal,_xlpm.MacVal&lt;&gt;"",_xlpm.MacVal,_xlpm.CSVVal&lt;&gt;"",_xlpm.CSVVal
)),"")</f>
        <v/>
      </c>
      <c r="I1406" s="40" t="str">
        <f>_xlfn.XLOOKUP(A1406,Output_Mac!A:A,Output_Mac!I:I,"")</f>
        <v/>
      </c>
      <c r="J1406" s="40" t="str" cm="1">
        <f t="array" ref="J1406">IFERROR(_xlfn.LET(
_xlpm.CSVVal,_xlfn.XLOOKUP($A1406,CSV!$A:$A,CSV!I:I,""),
_xlpm.MacVal,_xlfn.XLOOKUP($A1406,Output_Mac!$A:$A,Output_Mac!J:J,""),
_xlpm.MyAuditVal,_xlfn.XLOOKUP($A1406,My_Audit!$A:$A,My_Audit!I:I,""),
_xlfn.IFS(_xlpm.MyAuditVal&lt;&gt;"",UPPER(_xlpm.MyAuditVal),_xlpm.MacVal&lt;&gt;"",_xlpm.MacVal,_xlpm.CSVVal&lt;&gt;"",_xlpm.CSVVal
)),"")</f>
        <v/>
      </c>
      <c r="K1406" s="40" t="str" cm="1">
        <f t="array" ref="K1406">IFERROR(_xlfn.LET(
_xlpm.CSVVal,_xlfn.XLOOKUP($A1406,CSV!$A:$A,CSV!K:K,""),
_xlpm.MacVal,_xlfn.XLOOKUP($A1406,Output_Mac!$A:$A,Output_Mac!K:K,""),
_xlpm.MyAuditVal,_xlfn.XLOOKUP($A1406,My_Audit!$A:$A,My_Audit!J:J,""),
_xlfn.IFS(_xlpm.MyAuditVal&lt;&gt;"",UPPER(_xlpm.MyAuditVal),_xlpm.MacVal&lt;&gt;"",_xlpm.MacVal,_xlpm.CSVVal&lt;&gt;"",_xlpm.CSVVal
)),"")</f>
        <v/>
      </c>
      <c r="L1406" s="40" t="str" cm="1">
        <f t="array" ref="L1406">IFERROR(_xlfn.LET(
_xlpm.CSVVal,_xlfn.XLOOKUP($A1406,CSV!$A:$A,CSV!P:P,""),
_xlpm.MacVal,_xlfn.XLOOKUP($A1406,Output_Mac!$A:$A,Output_Mac!L:L,""),
_xlpm.MyAuditVal,_xlfn.XLOOKUP($A1406,My_Audit!$A:$A,My_Audit!K:K,""),
_xlfn.IFS(_xlpm.MyAuditVal&lt;&gt;"",UPPER(_xlpm.MyAuditVal),_xlpm.MacVal&lt;&gt;"",_xlpm.MacVal,_xlpm.CSVVal&lt;&gt;"",_xlpm.CSVVal
)),"")</f>
        <v/>
      </c>
      <c r="M1406" s="40" t="str" cm="1">
        <f t="array" ref="M1406">IFERROR(_xlfn.LET(
_xlpm.CSVVal,_xlfn.XLOOKUP($A1406,CSV!$A:$A,CSV!Q:Q,""),
_xlpm.MacVal,_xlfn.XLOOKUP($A1406,Output_Mac!$A:$A,Output_Mac!M:M,""),
_xlpm.MyAuditVal,_xlfn.XLOOKUP($A1406,My_Audit!$A:$A,My_Audit!L:L,""),
_xlfn.IFS(_xlpm.MyAuditVal&lt;&gt;"",UPPER(_xlpm.MyAuditVal),_xlpm.MacVal&lt;&gt;"",_xlpm.MacVal,_xlpm.CSVVal&lt;&gt;"",_xlpm.CSVVal
)),"")</f>
        <v/>
      </c>
      <c r="N1406" s="40"/>
      <c r="O1406" s="40" t="str">
        <f>_xlfn.LET(
    _xlpm.CSVVal, _xlfn.XLOOKUP($A1406, CSV!$A:$A, CSV!AA:AA, ""),
    _xlpm.MacVal, _xlfn.XLOOKUP($A1406, Output_Mac!$A:$A, Output_Mac!S:S, ""),
    _xlpm.MyAuditVal, _xlfn.XLOOKUP($A1406, My_Audit!$A:$A, My_Audit!P:P, ""),
    _xlfn.TEXTJOIN(", ", TRUE, _xlpm.MyAuditVal, _xlpm.MacVal, _xlpm.CSVVal)
)</f>
        <v/>
      </c>
      <c r="P1406" s="40" t="str" cm="1">
        <f t="array" ref="P1406">IFERROR(_xlfn.LET(
_xlpm.CSVVal,_xlfn.XLOOKUP($A1406,CSV!$A:$A,CSV!AB:AB,""),
_xlpm.MacVal,_xlfn.XLOOKUP($A1406,Output_Mac!$A:$A,Output_Mac!T:T,""),
_xlpm.MyAuditVal,_xlfn.XLOOKUP($A1406,My_Audit!$A:$A,My_Audit!Q:Q,""),
_xlfn.IFS(_xlpm.MyAuditVal&lt;&gt;"",UPPER(_xlpm.MyAuditVal),_xlpm.MacVal&lt;&gt;"",_xlpm.MacVal,_xlpm.CSVVal&lt;&gt;"",_xlpm.CSVVal
)),"No")</f>
        <v>No</v>
      </c>
      <c r="Q1406" s="40" t="str" cm="1">
        <f t="array" ref="Q1406">IFERROR(_xlfn.LET(
_xlpm.CSVVal,_xlfn.XLOOKUP($A1406,CSV!$A:$A,CSV!AC:AC,""),
_xlpm.MacVal,_xlfn.XLOOKUP($A1406,Output_Mac!$A:$A,Output_Mac!U:U,""),
_xlpm.MyAuditVal,_xlfn.XLOOKUP($A1406,My_Audit!$A:$A,My_Audit!R:R,""),
_xlfn.IFS(_xlpm.MyAuditVal&lt;&gt;"",UPPER(_xlpm.MyAuditVal),_xlpm.MacVal&lt;&gt;"",_xlpm.MacVal,_xlpm.CSVVal&lt;&gt;"",_xlpm.CSVVal
)),"")</f>
        <v/>
      </c>
      <c r="R1406" s="40"/>
      <c r="S1406" s="40"/>
      <c r="T1406" s="40"/>
      <c r="U1406" s="40"/>
      <c r="V1406" s="40"/>
      <c r="W1406" s="40"/>
      <c r="X1406" s="41" t="str">
        <f>_xlfn.LET(
    _xlpm.MacVal, _xlfn.XLOOKUP($A1406, Output_Mac!$A:$A, Output_Mac!AB:AB, ""),
    _xlpm.MyAuditVal, _xlfn.XLOOKUP($A1406, My_Audit!$A:$A, My_Audit!N:N, ""),
    _xlfn.TEXTJOIN(", ", TRUE, _xlpm.MyAuditVal, _xlpm.MacVal)
)</f>
        <v/>
      </c>
    </row>
    <row r="1407" spans="1:24">
      <c r="A1407" s="40" t="str">
        <f>_xlfn.TEXTJOIN("",TRUE,Input!$B$2,ROW(My_Audit!A1406))</f>
        <v>X1406</v>
      </c>
      <c r="B1407" s="40" t="str">
        <f>_xlfn.TEXTJOIN("-",TRUE,"ITD",Input!$A$2,A1407)</f>
        <v>ITD-X1406</v>
      </c>
      <c r="C1407" s="40" t="str" cm="1">
        <f t="array" ref="C1407">IFERROR(_xlfn.LET(
_xlpm.CSVVal,_xlfn.XLOOKUP($A1407,CSV!$A:$A,CSV!B:B,""),
_xlpm.MacVal,_xlfn.XLOOKUP($A1407,Output_Mac!$A:$A,Output_Mac!B:B,""),
_xlpm.MyAuditVal,_xlfn.XLOOKUP($A1407,My_Audit!$A:$A,My_Audit!B:B,""),
_xlfn.IFS(_xlpm.MyAuditVal&lt;&gt;"",UPPER(_xlpm.MyAuditVal),_xlpm.MacVal&lt;&gt;"",_xlpm.MacVal,_xlpm.CSVVal&lt;&gt;"",_xlpm.CSVVal
)),"")</f>
        <v/>
      </c>
      <c r="D1407" s="40" t="str" cm="1">
        <f t="array" ref="D1407">IFERROR(_xlfn.LET(
_xlpm.CSVVal,_xlfn.XLOOKUP($A1407,CSV!$A:$A,CSV!D:D,""),
_xlpm.MacVal,_xlfn.XLOOKUP($A1407,Output_Mac!$A:$A,Output_Mac!C:C,""),
_xlpm.MyAuditVal,_xlfn.XLOOKUP($A1407,My_Audit!$A:$A,My_Audit!C:C,""),
_xlfn.IFS(_xlpm.MyAuditVal&lt;&gt;"",_xlpm.MyAuditVal,_xlpm.MacVal&lt;&gt;"",_xlpm.MacVal,_xlpm.CSVVal&lt;&gt;"",_xlpm.CSVVal
)),"")</f>
        <v/>
      </c>
      <c r="E1407" s="40" t="str">
        <f>_xlfn.XLOOKUP(A1407,My_Audit!A:A,My_Audit!D:D,"")</f>
        <v/>
      </c>
      <c r="F1407" s="40" t="str" cm="1">
        <f t="array" ref="F1407">IFERROR(_xlfn.LET(
_xlpm.CSVVal,_xlfn.XLOOKUP($A1407,CSV!$A:$A,CSV!F:F,""),
_xlpm.MacVal,_xlfn.XLOOKUP($A1407,Output_Mac!$A:$A,Output_Mac!E:E,""),
_xlpm.MyAuditVal,_xlfn.XLOOKUP($A1407,My_Audit!$A:$A,My_Audit!E:E,""),
_xlfn.IFS(_xlpm.MyAuditVal&lt;&gt;"",_xlpm.MyAuditVal,_xlpm.MacVal&lt;&gt;"",_xlpm.MacVal,_xlpm.CSVVal&lt;&gt;"",_xlpm.CSVVal
)),"")</f>
        <v/>
      </c>
      <c r="G1407" s="40" t="str" cm="1">
        <f t="array" ref="G1407">IFERROR(_xlfn.LET(
_xlpm.CSVVal,_xlfn.XLOOKUP($A1407,CSV!$A:$A,CSV!G:G,""),
_xlpm.MacVal,_xlfn.XLOOKUP($A1407,Output_Mac!$A:$A,Output_Mac!F:F,""),
_xlpm.MyAuditVal,_xlfn.XLOOKUP($A1407,My_Audit!$A:$A,My_Audit!F:F,""),
_xlfn.IFS(_xlpm.MyAuditVal&lt;&gt;"",_xlpm.MyAuditVal,_xlpm.MacVal&lt;&gt;"",_xlpm.MacVal,_xlpm.CSVVal&lt;&gt;"",PROPER(_xlpm.CSVVal)
)),"")</f>
        <v/>
      </c>
      <c r="H1407" s="40" t="str" cm="1">
        <f t="array" ref="H1407">IFERROR(_xlfn.LET(
_xlpm.CSVVal,_xlfn.XLOOKUP($A1407,CSV!$A:$A,CSV!H:H,""),
_xlpm.MacVal,_xlfn.XLOOKUP($A1407,Output_Mac!$A:$A,Output_Mac!H:H,""),
_xlpm.MyAuditVal,_xlfn.XLOOKUP($A1407,My_Audit!$A:$A,My_Audit!G:G,""),
_xlfn.IFS(_xlpm.MyAuditVal&lt;&gt;"",_xlpm.MyAuditVal,_xlpm.MacVal&lt;&gt;"",_xlpm.MacVal,_xlpm.CSVVal&lt;&gt;"",_xlpm.CSVVal
)),"")</f>
        <v/>
      </c>
      <c r="I1407" s="40" t="str">
        <f>_xlfn.XLOOKUP(A1407,Output_Mac!A:A,Output_Mac!I:I,"")</f>
        <v/>
      </c>
      <c r="J1407" s="40" t="str" cm="1">
        <f t="array" ref="J1407">IFERROR(_xlfn.LET(
_xlpm.CSVVal,_xlfn.XLOOKUP($A1407,CSV!$A:$A,CSV!I:I,""),
_xlpm.MacVal,_xlfn.XLOOKUP($A1407,Output_Mac!$A:$A,Output_Mac!J:J,""),
_xlpm.MyAuditVal,_xlfn.XLOOKUP($A1407,My_Audit!$A:$A,My_Audit!I:I,""),
_xlfn.IFS(_xlpm.MyAuditVal&lt;&gt;"",UPPER(_xlpm.MyAuditVal),_xlpm.MacVal&lt;&gt;"",_xlpm.MacVal,_xlpm.CSVVal&lt;&gt;"",_xlpm.CSVVal
)),"")</f>
        <v/>
      </c>
      <c r="K1407" s="40" t="str" cm="1">
        <f t="array" ref="K1407">IFERROR(_xlfn.LET(
_xlpm.CSVVal,_xlfn.XLOOKUP($A1407,CSV!$A:$A,CSV!K:K,""),
_xlpm.MacVal,_xlfn.XLOOKUP($A1407,Output_Mac!$A:$A,Output_Mac!K:K,""),
_xlpm.MyAuditVal,_xlfn.XLOOKUP($A1407,My_Audit!$A:$A,My_Audit!J:J,""),
_xlfn.IFS(_xlpm.MyAuditVal&lt;&gt;"",UPPER(_xlpm.MyAuditVal),_xlpm.MacVal&lt;&gt;"",_xlpm.MacVal,_xlpm.CSVVal&lt;&gt;"",_xlpm.CSVVal
)),"")</f>
        <v/>
      </c>
      <c r="L1407" s="40" t="str" cm="1">
        <f t="array" ref="L1407">IFERROR(_xlfn.LET(
_xlpm.CSVVal,_xlfn.XLOOKUP($A1407,CSV!$A:$A,CSV!P:P,""),
_xlpm.MacVal,_xlfn.XLOOKUP($A1407,Output_Mac!$A:$A,Output_Mac!L:L,""),
_xlpm.MyAuditVal,_xlfn.XLOOKUP($A1407,My_Audit!$A:$A,My_Audit!K:K,""),
_xlfn.IFS(_xlpm.MyAuditVal&lt;&gt;"",UPPER(_xlpm.MyAuditVal),_xlpm.MacVal&lt;&gt;"",_xlpm.MacVal,_xlpm.CSVVal&lt;&gt;"",_xlpm.CSVVal
)),"")</f>
        <v/>
      </c>
      <c r="M1407" s="40" t="str" cm="1">
        <f t="array" ref="M1407">IFERROR(_xlfn.LET(
_xlpm.CSVVal,_xlfn.XLOOKUP($A1407,CSV!$A:$A,CSV!Q:Q,""),
_xlpm.MacVal,_xlfn.XLOOKUP($A1407,Output_Mac!$A:$A,Output_Mac!M:M,""),
_xlpm.MyAuditVal,_xlfn.XLOOKUP($A1407,My_Audit!$A:$A,My_Audit!L:L,""),
_xlfn.IFS(_xlpm.MyAuditVal&lt;&gt;"",UPPER(_xlpm.MyAuditVal),_xlpm.MacVal&lt;&gt;"",_xlpm.MacVal,_xlpm.CSVVal&lt;&gt;"",_xlpm.CSVVal
)),"")</f>
        <v/>
      </c>
      <c r="N1407" s="40"/>
      <c r="O1407" s="40" t="str">
        <f>_xlfn.LET(
    _xlpm.CSVVal, _xlfn.XLOOKUP($A1407, CSV!$A:$A, CSV!AA:AA, ""),
    _xlpm.MacVal, _xlfn.XLOOKUP($A1407, Output_Mac!$A:$A, Output_Mac!S:S, ""),
    _xlpm.MyAuditVal, _xlfn.XLOOKUP($A1407, My_Audit!$A:$A, My_Audit!P:P, ""),
    _xlfn.TEXTJOIN(", ", TRUE, _xlpm.MyAuditVal, _xlpm.MacVal, _xlpm.CSVVal)
)</f>
        <v/>
      </c>
      <c r="P1407" s="40" t="str" cm="1">
        <f t="array" ref="P1407">IFERROR(_xlfn.LET(
_xlpm.CSVVal,_xlfn.XLOOKUP($A1407,CSV!$A:$A,CSV!AB:AB,""),
_xlpm.MacVal,_xlfn.XLOOKUP($A1407,Output_Mac!$A:$A,Output_Mac!T:T,""),
_xlpm.MyAuditVal,_xlfn.XLOOKUP($A1407,My_Audit!$A:$A,My_Audit!Q:Q,""),
_xlfn.IFS(_xlpm.MyAuditVal&lt;&gt;"",UPPER(_xlpm.MyAuditVal),_xlpm.MacVal&lt;&gt;"",_xlpm.MacVal,_xlpm.CSVVal&lt;&gt;"",_xlpm.CSVVal
)),"No")</f>
        <v>No</v>
      </c>
      <c r="Q1407" s="40" t="str" cm="1">
        <f t="array" ref="Q1407">IFERROR(_xlfn.LET(
_xlpm.CSVVal,_xlfn.XLOOKUP($A1407,CSV!$A:$A,CSV!AC:AC,""),
_xlpm.MacVal,_xlfn.XLOOKUP($A1407,Output_Mac!$A:$A,Output_Mac!U:U,""),
_xlpm.MyAuditVal,_xlfn.XLOOKUP($A1407,My_Audit!$A:$A,My_Audit!R:R,""),
_xlfn.IFS(_xlpm.MyAuditVal&lt;&gt;"",UPPER(_xlpm.MyAuditVal),_xlpm.MacVal&lt;&gt;"",_xlpm.MacVal,_xlpm.CSVVal&lt;&gt;"",_xlpm.CSVVal
)),"")</f>
        <v/>
      </c>
      <c r="R1407" s="40"/>
      <c r="S1407" s="40"/>
      <c r="T1407" s="40"/>
      <c r="U1407" s="40"/>
      <c r="V1407" s="40"/>
      <c r="W1407" s="40"/>
      <c r="X1407" s="41" t="str">
        <f>_xlfn.LET(
    _xlpm.MacVal, _xlfn.XLOOKUP($A1407, Output_Mac!$A:$A, Output_Mac!AB:AB, ""),
    _xlpm.MyAuditVal, _xlfn.XLOOKUP($A1407, My_Audit!$A:$A, My_Audit!N:N, ""),
    _xlfn.TEXTJOIN(", ", TRUE, _xlpm.MyAuditVal, _xlpm.MacVal)
)</f>
        <v/>
      </c>
    </row>
    <row r="1408" spans="1:24">
      <c r="A1408" s="40" t="str">
        <f>_xlfn.TEXTJOIN("",TRUE,Input!$B$2,ROW(My_Audit!A1407))</f>
        <v>X1407</v>
      </c>
      <c r="B1408" s="40" t="str">
        <f>_xlfn.TEXTJOIN("-",TRUE,"ITD",Input!$A$2,A1408)</f>
        <v>ITD-X1407</v>
      </c>
      <c r="C1408" s="40" t="str" cm="1">
        <f t="array" ref="C1408">IFERROR(_xlfn.LET(
_xlpm.CSVVal,_xlfn.XLOOKUP($A1408,CSV!$A:$A,CSV!B:B,""),
_xlpm.MacVal,_xlfn.XLOOKUP($A1408,Output_Mac!$A:$A,Output_Mac!B:B,""),
_xlpm.MyAuditVal,_xlfn.XLOOKUP($A1408,My_Audit!$A:$A,My_Audit!B:B,""),
_xlfn.IFS(_xlpm.MyAuditVal&lt;&gt;"",UPPER(_xlpm.MyAuditVal),_xlpm.MacVal&lt;&gt;"",_xlpm.MacVal,_xlpm.CSVVal&lt;&gt;"",_xlpm.CSVVal
)),"")</f>
        <v/>
      </c>
      <c r="D1408" s="40" t="str" cm="1">
        <f t="array" ref="D1408">IFERROR(_xlfn.LET(
_xlpm.CSVVal,_xlfn.XLOOKUP($A1408,CSV!$A:$A,CSV!D:D,""),
_xlpm.MacVal,_xlfn.XLOOKUP($A1408,Output_Mac!$A:$A,Output_Mac!C:C,""),
_xlpm.MyAuditVal,_xlfn.XLOOKUP($A1408,My_Audit!$A:$A,My_Audit!C:C,""),
_xlfn.IFS(_xlpm.MyAuditVal&lt;&gt;"",_xlpm.MyAuditVal,_xlpm.MacVal&lt;&gt;"",_xlpm.MacVal,_xlpm.CSVVal&lt;&gt;"",_xlpm.CSVVal
)),"")</f>
        <v/>
      </c>
      <c r="E1408" s="40" t="str">
        <f>_xlfn.XLOOKUP(A1408,My_Audit!A:A,My_Audit!D:D,"")</f>
        <v/>
      </c>
      <c r="F1408" s="40" t="str" cm="1">
        <f t="array" ref="F1408">IFERROR(_xlfn.LET(
_xlpm.CSVVal,_xlfn.XLOOKUP($A1408,CSV!$A:$A,CSV!F:F,""),
_xlpm.MacVal,_xlfn.XLOOKUP($A1408,Output_Mac!$A:$A,Output_Mac!E:E,""),
_xlpm.MyAuditVal,_xlfn.XLOOKUP($A1408,My_Audit!$A:$A,My_Audit!E:E,""),
_xlfn.IFS(_xlpm.MyAuditVal&lt;&gt;"",_xlpm.MyAuditVal,_xlpm.MacVal&lt;&gt;"",_xlpm.MacVal,_xlpm.CSVVal&lt;&gt;"",_xlpm.CSVVal
)),"")</f>
        <v/>
      </c>
      <c r="G1408" s="40" t="str" cm="1">
        <f t="array" ref="G1408">IFERROR(_xlfn.LET(
_xlpm.CSVVal,_xlfn.XLOOKUP($A1408,CSV!$A:$A,CSV!G:G,""),
_xlpm.MacVal,_xlfn.XLOOKUP($A1408,Output_Mac!$A:$A,Output_Mac!F:F,""),
_xlpm.MyAuditVal,_xlfn.XLOOKUP($A1408,My_Audit!$A:$A,My_Audit!F:F,""),
_xlfn.IFS(_xlpm.MyAuditVal&lt;&gt;"",_xlpm.MyAuditVal,_xlpm.MacVal&lt;&gt;"",_xlpm.MacVal,_xlpm.CSVVal&lt;&gt;"",PROPER(_xlpm.CSVVal)
)),"")</f>
        <v/>
      </c>
      <c r="H1408" s="40" t="str" cm="1">
        <f t="array" ref="H1408">IFERROR(_xlfn.LET(
_xlpm.CSVVal,_xlfn.XLOOKUP($A1408,CSV!$A:$A,CSV!H:H,""),
_xlpm.MacVal,_xlfn.XLOOKUP($A1408,Output_Mac!$A:$A,Output_Mac!H:H,""),
_xlpm.MyAuditVal,_xlfn.XLOOKUP($A1408,My_Audit!$A:$A,My_Audit!G:G,""),
_xlfn.IFS(_xlpm.MyAuditVal&lt;&gt;"",_xlpm.MyAuditVal,_xlpm.MacVal&lt;&gt;"",_xlpm.MacVal,_xlpm.CSVVal&lt;&gt;"",_xlpm.CSVVal
)),"")</f>
        <v/>
      </c>
      <c r="I1408" s="40" t="str">
        <f>_xlfn.XLOOKUP(A1408,Output_Mac!A:A,Output_Mac!I:I,"")</f>
        <v/>
      </c>
      <c r="J1408" s="40" t="str" cm="1">
        <f t="array" ref="J1408">IFERROR(_xlfn.LET(
_xlpm.CSVVal,_xlfn.XLOOKUP($A1408,CSV!$A:$A,CSV!I:I,""),
_xlpm.MacVal,_xlfn.XLOOKUP($A1408,Output_Mac!$A:$A,Output_Mac!J:J,""),
_xlpm.MyAuditVal,_xlfn.XLOOKUP($A1408,My_Audit!$A:$A,My_Audit!I:I,""),
_xlfn.IFS(_xlpm.MyAuditVal&lt;&gt;"",UPPER(_xlpm.MyAuditVal),_xlpm.MacVal&lt;&gt;"",_xlpm.MacVal,_xlpm.CSVVal&lt;&gt;"",_xlpm.CSVVal
)),"")</f>
        <v/>
      </c>
      <c r="K1408" s="40" t="str" cm="1">
        <f t="array" ref="K1408">IFERROR(_xlfn.LET(
_xlpm.CSVVal,_xlfn.XLOOKUP($A1408,CSV!$A:$A,CSV!K:K,""),
_xlpm.MacVal,_xlfn.XLOOKUP($A1408,Output_Mac!$A:$A,Output_Mac!K:K,""),
_xlpm.MyAuditVal,_xlfn.XLOOKUP($A1408,My_Audit!$A:$A,My_Audit!J:J,""),
_xlfn.IFS(_xlpm.MyAuditVal&lt;&gt;"",UPPER(_xlpm.MyAuditVal),_xlpm.MacVal&lt;&gt;"",_xlpm.MacVal,_xlpm.CSVVal&lt;&gt;"",_xlpm.CSVVal
)),"")</f>
        <v/>
      </c>
      <c r="L1408" s="40" t="str" cm="1">
        <f t="array" ref="L1408">IFERROR(_xlfn.LET(
_xlpm.CSVVal,_xlfn.XLOOKUP($A1408,CSV!$A:$A,CSV!P:P,""),
_xlpm.MacVal,_xlfn.XLOOKUP($A1408,Output_Mac!$A:$A,Output_Mac!L:L,""),
_xlpm.MyAuditVal,_xlfn.XLOOKUP($A1408,My_Audit!$A:$A,My_Audit!K:K,""),
_xlfn.IFS(_xlpm.MyAuditVal&lt;&gt;"",UPPER(_xlpm.MyAuditVal),_xlpm.MacVal&lt;&gt;"",_xlpm.MacVal,_xlpm.CSVVal&lt;&gt;"",_xlpm.CSVVal
)),"")</f>
        <v/>
      </c>
      <c r="M1408" s="40" t="str" cm="1">
        <f t="array" ref="M1408">IFERROR(_xlfn.LET(
_xlpm.CSVVal,_xlfn.XLOOKUP($A1408,CSV!$A:$A,CSV!Q:Q,""),
_xlpm.MacVal,_xlfn.XLOOKUP($A1408,Output_Mac!$A:$A,Output_Mac!M:M,""),
_xlpm.MyAuditVal,_xlfn.XLOOKUP($A1408,My_Audit!$A:$A,My_Audit!L:L,""),
_xlfn.IFS(_xlpm.MyAuditVal&lt;&gt;"",UPPER(_xlpm.MyAuditVal),_xlpm.MacVal&lt;&gt;"",_xlpm.MacVal,_xlpm.CSVVal&lt;&gt;"",_xlpm.CSVVal
)),"")</f>
        <v/>
      </c>
      <c r="N1408" s="40"/>
      <c r="O1408" s="40" t="str">
        <f>_xlfn.LET(
    _xlpm.CSVVal, _xlfn.XLOOKUP($A1408, CSV!$A:$A, CSV!AA:AA, ""),
    _xlpm.MacVal, _xlfn.XLOOKUP($A1408, Output_Mac!$A:$A, Output_Mac!S:S, ""),
    _xlpm.MyAuditVal, _xlfn.XLOOKUP($A1408, My_Audit!$A:$A, My_Audit!P:P, ""),
    _xlfn.TEXTJOIN(", ", TRUE, _xlpm.MyAuditVal, _xlpm.MacVal, _xlpm.CSVVal)
)</f>
        <v/>
      </c>
      <c r="P1408" s="40" t="str" cm="1">
        <f t="array" ref="P1408">IFERROR(_xlfn.LET(
_xlpm.CSVVal,_xlfn.XLOOKUP($A1408,CSV!$A:$A,CSV!AB:AB,""),
_xlpm.MacVal,_xlfn.XLOOKUP($A1408,Output_Mac!$A:$A,Output_Mac!T:T,""),
_xlpm.MyAuditVal,_xlfn.XLOOKUP($A1408,My_Audit!$A:$A,My_Audit!Q:Q,""),
_xlfn.IFS(_xlpm.MyAuditVal&lt;&gt;"",UPPER(_xlpm.MyAuditVal),_xlpm.MacVal&lt;&gt;"",_xlpm.MacVal,_xlpm.CSVVal&lt;&gt;"",_xlpm.CSVVal
)),"No")</f>
        <v>No</v>
      </c>
      <c r="Q1408" s="40" t="str" cm="1">
        <f t="array" ref="Q1408">IFERROR(_xlfn.LET(
_xlpm.CSVVal,_xlfn.XLOOKUP($A1408,CSV!$A:$A,CSV!AC:AC,""),
_xlpm.MacVal,_xlfn.XLOOKUP($A1408,Output_Mac!$A:$A,Output_Mac!U:U,""),
_xlpm.MyAuditVal,_xlfn.XLOOKUP($A1408,My_Audit!$A:$A,My_Audit!R:R,""),
_xlfn.IFS(_xlpm.MyAuditVal&lt;&gt;"",UPPER(_xlpm.MyAuditVal),_xlpm.MacVal&lt;&gt;"",_xlpm.MacVal,_xlpm.CSVVal&lt;&gt;"",_xlpm.CSVVal
)),"")</f>
        <v/>
      </c>
      <c r="R1408" s="40"/>
      <c r="S1408" s="40"/>
      <c r="T1408" s="40"/>
      <c r="U1408" s="40"/>
      <c r="V1408" s="40"/>
      <c r="W1408" s="40"/>
      <c r="X1408" s="41" t="str">
        <f>_xlfn.LET(
    _xlpm.MacVal, _xlfn.XLOOKUP($A1408, Output_Mac!$A:$A, Output_Mac!AB:AB, ""),
    _xlpm.MyAuditVal, _xlfn.XLOOKUP($A1408, My_Audit!$A:$A, My_Audit!N:N, ""),
    _xlfn.TEXTJOIN(", ", TRUE, _xlpm.MyAuditVal, _xlpm.MacVal)
)</f>
        <v/>
      </c>
    </row>
    <row r="1409" spans="1:24">
      <c r="A1409" s="40" t="str">
        <f>_xlfn.TEXTJOIN("",TRUE,Input!$B$2,ROW(My_Audit!A1408))</f>
        <v>X1408</v>
      </c>
      <c r="B1409" s="40" t="str">
        <f>_xlfn.TEXTJOIN("-",TRUE,"ITD",Input!$A$2,A1409)</f>
        <v>ITD-X1408</v>
      </c>
      <c r="C1409" s="40" t="str" cm="1">
        <f t="array" ref="C1409">IFERROR(_xlfn.LET(
_xlpm.CSVVal,_xlfn.XLOOKUP($A1409,CSV!$A:$A,CSV!B:B,""),
_xlpm.MacVal,_xlfn.XLOOKUP($A1409,Output_Mac!$A:$A,Output_Mac!B:B,""),
_xlpm.MyAuditVal,_xlfn.XLOOKUP($A1409,My_Audit!$A:$A,My_Audit!B:B,""),
_xlfn.IFS(_xlpm.MyAuditVal&lt;&gt;"",UPPER(_xlpm.MyAuditVal),_xlpm.MacVal&lt;&gt;"",_xlpm.MacVal,_xlpm.CSVVal&lt;&gt;"",_xlpm.CSVVal
)),"")</f>
        <v/>
      </c>
      <c r="D1409" s="40" t="str" cm="1">
        <f t="array" ref="D1409">IFERROR(_xlfn.LET(
_xlpm.CSVVal,_xlfn.XLOOKUP($A1409,CSV!$A:$A,CSV!D:D,""),
_xlpm.MacVal,_xlfn.XLOOKUP($A1409,Output_Mac!$A:$A,Output_Mac!C:C,""),
_xlpm.MyAuditVal,_xlfn.XLOOKUP($A1409,My_Audit!$A:$A,My_Audit!C:C,""),
_xlfn.IFS(_xlpm.MyAuditVal&lt;&gt;"",_xlpm.MyAuditVal,_xlpm.MacVal&lt;&gt;"",_xlpm.MacVal,_xlpm.CSVVal&lt;&gt;"",_xlpm.CSVVal
)),"")</f>
        <v/>
      </c>
      <c r="E1409" s="40" t="str">
        <f>_xlfn.XLOOKUP(A1409,My_Audit!A:A,My_Audit!D:D,"")</f>
        <v/>
      </c>
      <c r="F1409" s="40" t="str" cm="1">
        <f t="array" ref="F1409">IFERROR(_xlfn.LET(
_xlpm.CSVVal,_xlfn.XLOOKUP($A1409,CSV!$A:$A,CSV!F:F,""),
_xlpm.MacVal,_xlfn.XLOOKUP($A1409,Output_Mac!$A:$A,Output_Mac!E:E,""),
_xlpm.MyAuditVal,_xlfn.XLOOKUP($A1409,My_Audit!$A:$A,My_Audit!E:E,""),
_xlfn.IFS(_xlpm.MyAuditVal&lt;&gt;"",_xlpm.MyAuditVal,_xlpm.MacVal&lt;&gt;"",_xlpm.MacVal,_xlpm.CSVVal&lt;&gt;"",_xlpm.CSVVal
)),"")</f>
        <v/>
      </c>
      <c r="G1409" s="40" t="str" cm="1">
        <f t="array" ref="G1409">IFERROR(_xlfn.LET(
_xlpm.CSVVal,_xlfn.XLOOKUP($A1409,CSV!$A:$A,CSV!G:G,""),
_xlpm.MacVal,_xlfn.XLOOKUP($A1409,Output_Mac!$A:$A,Output_Mac!F:F,""),
_xlpm.MyAuditVal,_xlfn.XLOOKUP($A1409,My_Audit!$A:$A,My_Audit!F:F,""),
_xlfn.IFS(_xlpm.MyAuditVal&lt;&gt;"",_xlpm.MyAuditVal,_xlpm.MacVal&lt;&gt;"",_xlpm.MacVal,_xlpm.CSVVal&lt;&gt;"",PROPER(_xlpm.CSVVal)
)),"")</f>
        <v/>
      </c>
      <c r="H1409" s="40" t="str" cm="1">
        <f t="array" ref="H1409">IFERROR(_xlfn.LET(
_xlpm.CSVVal,_xlfn.XLOOKUP($A1409,CSV!$A:$A,CSV!H:H,""),
_xlpm.MacVal,_xlfn.XLOOKUP($A1409,Output_Mac!$A:$A,Output_Mac!H:H,""),
_xlpm.MyAuditVal,_xlfn.XLOOKUP($A1409,My_Audit!$A:$A,My_Audit!G:G,""),
_xlfn.IFS(_xlpm.MyAuditVal&lt;&gt;"",_xlpm.MyAuditVal,_xlpm.MacVal&lt;&gt;"",_xlpm.MacVal,_xlpm.CSVVal&lt;&gt;"",_xlpm.CSVVal
)),"")</f>
        <v/>
      </c>
      <c r="I1409" s="40" t="str">
        <f>_xlfn.XLOOKUP(A1409,Output_Mac!A:A,Output_Mac!I:I,"")</f>
        <v/>
      </c>
      <c r="J1409" s="40" t="str" cm="1">
        <f t="array" ref="J1409">IFERROR(_xlfn.LET(
_xlpm.CSVVal,_xlfn.XLOOKUP($A1409,CSV!$A:$A,CSV!I:I,""),
_xlpm.MacVal,_xlfn.XLOOKUP($A1409,Output_Mac!$A:$A,Output_Mac!J:J,""),
_xlpm.MyAuditVal,_xlfn.XLOOKUP($A1409,My_Audit!$A:$A,My_Audit!I:I,""),
_xlfn.IFS(_xlpm.MyAuditVal&lt;&gt;"",UPPER(_xlpm.MyAuditVal),_xlpm.MacVal&lt;&gt;"",_xlpm.MacVal,_xlpm.CSVVal&lt;&gt;"",_xlpm.CSVVal
)),"")</f>
        <v/>
      </c>
      <c r="K1409" s="40" t="str" cm="1">
        <f t="array" ref="K1409">IFERROR(_xlfn.LET(
_xlpm.CSVVal,_xlfn.XLOOKUP($A1409,CSV!$A:$A,CSV!K:K,""),
_xlpm.MacVal,_xlfn.XLOOKUP($A1409,Output_Mac!$A:$A,Output_Mac!K:K,""),
_xlpm.MyAuditVal,_xlfn.XLOOKUP($A1409,My_Audit!$A:$A,My_Audit!J:J,""),
_xlfn.IFS(_xlpm.MyAuditVal&lt;&gt;"",UPPER(_xlpm.MyAuditVal),_xlpm.MacVal&lt;&gt;"",_xlpm.MacVal,_xlpm.CSVVal&lt;&gt;"",_xlpm.CSVVal
)),"")</f>
        <v/>
      </c>
      <c r="L1409" s="40" t="str" cm="1">
        <f t="array" ref="L1409">IFERROR(_xlfn.LET(
_xlpm.CSVVal,_xlfn.XLOOKUP($A1409,CSV!$A:$A,CSV!P:P,""),
_xlpm.MacVal,_xlfn.XLOOKUP($A1409,Output_Mac!$A:$A,Output_Mac!L:L,""),
_xlpm.MyAuditVal,_xlfn.XLOOKUP($A1409,My_Audit!$A:$A,My_Audit!K:K,""),
_xlfn.IFS(_xlpm.MyAuditVal&lt;&gt;"",UPPER(_xlpm.MyAuditVal),_xlpm.MacVal&lt;&gt;"",_xlpm.MacVal,_xlpm.CSVVal&lt;&gt;"",_xlpm.CSVVal
)),"")</f>
        <v/>
      </c>
      <c r="M1409" s="40" t="str" cm="1">
        <f t="array" ref="M1409">IFERROR(_xlfn.LET(
_xlpm.CSVVal,_xlfn.XLOOKUP($A1409,CSV!$A:$A,CSV!Q:Q,""),
_xlpm.MacVal,_xlfn.XLOOKUP($A1409,Output_Mac!$A:$A,Output_Mac!M:M,""),
_xlpm.MyAuditVal,_xlfn.XLOOKUP($A1409,My_Audit!$A:$A,My_Audit!L:L,""),
_xlfn.IFS(_xlpm.MyAuditVal&lt;&gt;"",UPPER(_xlpm.MyAuditVal),_xlpm.MacVal&lt;&gt;"",_xlpm.MacVal,_xlpm.CSVVal&lt;&gt;"",_xlpm.CSVVal
)),"")</f>
        <v/>
      </c>
      <c r="N1409" s="40"/>
      <c r="O1409" s="40" t="str">
        <f>_xlfn.LET(
    _xlpm.CSVVal, _xlfn.XLOOKUP($A1409, CSV!$A:$A, CSV!AA:AA, ""),
    _xlpm.MacVal, _xlfn.XLOOKUP($A1409, Output_Mac!$A:$A, Output_Mac!S:S, ""),
    _xlpm.MyAuditVal, _xlfn.XLOOKUP($A1409, My_Audit!$A:$A, My_Audit!P:P, ""),
    _xlfn.TEXTJOIN(", ", TRUE, _xlpm.MyAuditVal, _xlpm.MacVal, _xlpm.CSVVal)
)</f>
        <v/>
      </c>
      <c r="P1409" s="40" t="str" cm="1">
        <f t="array" ref="P1409">IFERROR(_xlfn.LET(
_xlpm.CSVVal,_xlfn.XLOOKUP($A1409,CSV!$A:$A,CSV!AB:AB,""),
_xlpm.MacVal,_xlfn.XLOOKUP($A1409,Output_Mac!$A:$A,Output_Mac!T:T,""),
_xlpm.MyAuditVal,_xlfn.XLOOKUP($A1409,My_Audit!$A:$A,My_Audit!Q:Q,""),
_xlfn.IFS(_xlpm.MyAuditVal&lt;&gt;"",UPPER(_xlpm.MyAuditVal),_xlpm.MacVal&lt;&gt;"",_xlpm.MacVal,_xlpm.CSVVal&lt;&gt;"",_xlpm.CSVVal
)),"No")</f>
        <v>No</v>
      </c>
      <c r="Q1409" s="40" t="str" cm="1">
        <f t="array" ref="Q1409">IFERROR(_xlfn.LET(
_xlpm.CSVVal,_xlfn.XLOOKUP($A1409,CSV!$A:$A,CSV!AC:AC,""),
_xlpm.MacVal,_xlfn.XLOOKUP($A1409,Output_Mac!$A:$A,Output_Mac!U:U,""),
_xlpm.MyAuditVal,_xlfn.XLOOKUP($A1409,My_Audit!$A:$A,My_Audit!R:R,""),
_xlfn.IFS(_xlpm.MyAuditVal&lt;&gt;"",UPPER(_xlpm.MyAuditVal),_xlpm.MacVal&lt;&gt;"",_xlpm.MacVal,_xlpm.CSVVal&lt;&gt;"",_xlpm.CSVVal
)),"")</f>
        <v/>
      </c>
      <c r="R1409" s="40"/>
      <c r="S1409" s="40"/>
      <c r="T1409" s="40"/>
      <c r="U1409" s="40"/>
      <c r="V1409" s="40"/>
      <c r="W1409" s="40"/>
      <c r="X1409" s="41" t="str">
        <f>_xlfn.LET(
    _xlpm.MacVal, _xlfn.XLOOKUP($A1409, Output_Mac!$A:$A, Output_Mac!AB:AB, ""),
    _xlpm.MyAuditVal, _xlfn.XLOOKUP($A1409, My_Audit!$A:$A, My_Audit!N:N, ""),
    _xlfn.TEXTJOIN(", ", TRUE, _xlpm.MyAuditVal, _xlpm.MacVal)
)</f>
        <v/>
      </c>
    </row>
    <row r="1410" spans="1:24">
      <c r="A1410" s="40" t="str">
        <f>_xlfn.TEXTJOIN("",TRUE,Input!$B$2,ROW(My_Audit!A1409))</f>
        <v>X1409</v>
      </c>
      <c r="B1410" s="40" t="str">
        <f>_xlfn.TEXTJOIN("-",TRUE,"ITD",Input!$A$2,A1410)</f>
        <v>ITD-X1409</v>
      </c>
      <c r="C1410" s="40" t="str" cm="1">
        <f t="array" ref="C1410">IFERROR(_xlfn.LET(
_xlpm.CSVVal,_xlfn.XLOOKUP($A1410,CSV!$A:$A,CSV!B:B,""),
_xlpm.MacVal,_xlfn.XLOOKUP($A1410,Output_Mac!$A:$A,Output_Mac!B:B,""),
_xlpm.MyAuditVal,_xlfn.XLOOKUP($A1410,My_Audit!$A:$A,My_Audit!B:B,""),
_xlfn.IFS(_xlpm.MyAuditVal&lt;&gt;"",UPPER(_xlpm.MyAuditVal),_xlpm.MacVal&lt;&gt;"",_xlpm.MacVal,_xlpm.CSVVal&lt;&gt;"",_xlpm.CSVVal
)),"")</f>
        <v/>
      </c>
      <c r="D1410" s="40" t="str" cm="1">
        <f t="array" ref="D1410">IFERROR(_xlfn.LET(
_xlpm.CSVVal,_xlfn.XLOOKUP($A1410,CSV!$A:$A,CSV!D:D,""),
_xlpm.MacVal,_xlfn.XLOOKUP($A1410,Output_Mac!$A:$A,Output_Mac!C:C,""),
_xlpm.MyAuditVal,_xlfn.XLOOKUP($A1410,My_Audit!$A:$A,My_Audit!C:C,""),
_xlfn.IFS(_xlpm.MyAuditVal&lt;&gt;"",_xlpm.MyAuditVal,_xlpm.MacVal&lt;&gt;"",_xlpm.MacVal,_xlpm.CSVVal&lt;&gt;"",_xlpm.CSVVal
)),"")</f>
        <v/>
      </c>
      <c r="E1410" s="40" t="str">
        <f>_xlfn.XLOOKUP(A1410,My_Audit!A:A,My_Audit!D:D,"")</f>
        <v/>
      </c>
      <c r="F1410" s="40" t="str" cm="1">
        <f t="array" ref="F1410">IFERROR(_xlfn.LET(
_xlpm.CSVVal,_xlfn.XLOOKUP($A1410,CSV!$A:$A,CSV!F:F,""),
_xlpm.MacVal,_xlfn.XLOOKUP($A1410,Output_Mac!$A:$A,Output_Mac!E:E,""),
_xlpm.MyAuditVal,_xlfn.XLOOKUP($A1410,My_Audit!$A:$A,My_Audit!E:E,""),
_xlfn.IFS(_xlpm.MyAuditVal&lt;&gt;"",_xlpm.MyAuditVal,_xlpm.MacVal&lt;&gt;"",_xlpm.MacVal,_xlpm.CSVVal&lt;&gt;"",_xlpm.CSVVal
)),"")</f>
        <v/>
      </c>
      <c r="G1410" s="40" t="str" cm="1">
        <f t="array" ref="G1410">IFERROR(_xlfn.LET(
_xlpm.CSVVal,_xlfn.XLOOKUP($A1410,CSV!$A:$A,CSV!G:G,""),
_xlpm.MacVal,_xlfn.XLOOKUP($A1410,Output_Mac!$A:$A,Output_Mac!F:F,""),
_xlpm.MyAuditVal,_xlfn.XLOOKUP($A1410,My_Audit!$A:$A,My_Audit!F:F,""),
_xlfn.IFS(_xlpm.MyAuditVal&lt;&gt;"",_xlpm.MyAuditVal,_xlpm.MacVal&lt;&gt;"",_xlpm.MacVal,_xlpm.CSVVal&lt;&gt;"",PROPER(_xlpm.CSVVal)
)),"")</f>
        <v/>
      </c>
      <c r="H1410" s="40" t="str" cm="1">
        <f t="array" ref="H1410">IFERROR(_xlfn.LET(
_xlpm.CSVVal,_xlfn.XLOOKUP($A1410,CSV!$A:$A,CSV!H:H,""),
_xlpm.MacVal,_xlfn.XLOOKUP($A1410,Output_Mac!$A:$A,Output_Mac!H:H,""),
_xlpm.MyAuditVal,_xlfn.XLOOKUP($A1410,My_Audit!$A:$A,My_Audit!G:G,""),
_xlfn.IFS(_xlpm.MyAuditVal&lt;&gt;"",_xlpm.MyAuditVal,_xlpm.MacVal&lt;&gt;"",_xlpm.MacVal,_xlpm.CSVVal&lt;&gt;"",_xlpm.CSVVal
)),"")</f>
        <v/>
      </c>
      <c r="I1410" s="40" t="str">
        <f>_xlfn.XLOOKUP(A1410,Output_Mac!A:A,Output_Mac!I:I,"")</f>
        <v/>
      </c>
      <c r="J1410" s="40" t="str" cm="1">
        <f t="array" ref="J1410">IFERROR(_xlfn.LET(
_xlpm.CSVVal,_xlfn.XLOOKUP($A1410,CSV!$A:$A,CSV!I:I,""),
_xlpm.MacVal,_xlfn.XLOOKUP($A1410,Output_Mac!$A:$A,Output_Mac!J:J,""),
_xlpm.MyAuditVal,_xlfn.XLOOKUP($A1410,My_Audit!$A:$A,My_Audit!I:I,""),
_xlfn.IFS(_xlpm.MyAuditVal&lt;&gt;"",UPPER(_xlpm.MyAuditVal),_xlpm.MacVal&lt;&gt;"",_xlpm.MacVal,_xlpm.CSVVal&lt;&gt;"",_xlpm.CSVVal
)),"")</f>
        <v/>
      </c>
      <c r="K1410" s="40" t="str" cm="1">
        <f t="array" ref="K1410">IFERROR(_xlfn.LET(
_xlpm.CSVVal,_xlfn.XLOOKUP($A1410,CSV!$A:$A,CSV!K:K,""),
_xlpm.MacVal,_xlfn.XLOOKUP($A1410,Output_Mac!$A:$A,Output_Mac!K:K,""),
_xlpm.MyAuditVal,_xlfn.XLOOKUP($A1410,My_Audit!$A:$A,My_Audit!J:J,""),
_xlfn.IFS(_xlpm.MyAuditVal&lt;&gt;"",UPPER(_xlpm.MyAuditVal),_xlpm.MacVal&lt;&gt;"",_xlpm.MacVal,_xlpm.CSVVal&lt;&gt;"",_xlpm.CSVVal
)),"")</f>
        <v/>
      </c>
      <c r="L1410" s="40" t="str" cm="1">
        <f t="array" ref="L1410">IFERROR(_xlfn.LET(
_xlpm.CSVVal,_xlfn.XLOOKUP($A1410,CSV!$A:$A,CSV!P:P,""),
_xlpm.MacVal,_xlfn.XLOOKUP($A1410,Output_Mac!$A:$A,Output_Mac!L:L,""),
_xlpm.MyAuditVal,_xlfn.XLOOKUP($A1410,My_Audit!$A:$A,My_Audit!K:K,""),
_xlfn.IFS(_xlpm.MyAuditVal&lt;&gt;"",UPPER(_xlpm.MyAuditVal),_xlpm.MacVal&lt;&gt;"",_xlpm.MacVal,_xlpm.CSVVal&lt;&gt;"",_xlpm.CSVVal
)),"")</f>
        <v/>
      </c>
      <c r="M1410" s="40" t="str" cm="1">
        <f t="array" ref="M1410">IFERROR(_xlfn.LET(
_xlpm.CSVVal,_xlfn.XLOOKUP($A1410,CSV!$A:$A,CSV!Q:Q,""),
_xlpm.MacVal,_xlfn.XLOOKUP($A1410,Output_Mac!$A:$A,Output_Mac!M:M,""),
_xlpm.MyAuditVal,_xlfn.XLOOKUP($A1410,My_Audit!$A:$A,My_Audit!L:L,""),
_xlfn.IFS(_xlpm.MyAuditVal&lt;&gt;"",UPPER(_xlpm.MyAuditVal),_xlpm.MacVal&lt;&gt;"",_xlpm.MacVal,_xlpm.CSVVal&lt;&gt;"",_xlpm.CSVVal
)),"")</f>
        <v/>
      </c>
      <c r="N1410" s="40"/>
      <c r="O1410" s="40" t="str">
        <f>_xlfn.LET(
    _xlpm.CSVVal, _xlfn.XLOOKUP($A1410, CSV!$A:$A, CSV!AA:AA, ""),
    _xlpm.MacVal, _xlfn.XLOOKUP($A1410, Output_Mac!$A:$A, Output_Mac!S:S, ""),
    _xlpm.MyAuditVal, _xlfn.XLOOKUP($A1410, My_Audit!$A:$A, My_Audit!P:P, ""),
    _xlfn.TEXTJOIN(", ", TRUE, _xlpm.MyAuditVal, _xlpm.MacVal, _xlpm.CSVVal)
)</f>
        <v/>
      </c>
      <c r="P1410" s="40" t="str" cm="1">
        <f t="array" ref="P1410">IFERROR(_xlfn.LET(
_xlpm.CSVVal,_xlfn.XLOOKUP($A1410,CSV!$A:$A,CSV!AB:AB,""),
_xlpm.MacVal,_xlfn.XLOOKUP($A1410,Output_Mac!$A:$A,Output_Mac!T:T,""),
_xlpm.MyAuditVal,_xlfn.XLOOKUP($A1410,My_Audit!$A:$A,My_Audit!Q:Q,""),
_xlfn.IFS(_xlpm.MyAuditVal&lt;&gt;"",UPPER(_xlpm.MyAuditVal),_xlpm.MacVal&lt;&gt;"",_xlpm.MacVal,_xlpm.CSVVal&lt;&gt;"",_xlpm.CSVVal
)),"No")</f>
        <v>No</v>
      </c>
      <c r="Q1410" s="40" t="str" cm="1">
        <f t="array" ref="Q1410">IFERROR(_xlfn.LET(
_xlpm.CSVVal,_xlfn.XLOOKUP($A1410,CSV!$A:$A,CSV!AC:AC,""),
_xlpm.MacVal,_xlfn.XLOOKUP($A1410,Output_Mac!$A:$A,Output_Mac!U:U,""),
_xlpm.MyAuditVal,_xlfn.XLOOKUP($A1410,My_Audit!$A:$A,My_Audit!R:R,""),
_xlfn.IFS(_xlpm.MyAuditVal&lt;&gt;"",UPPER(_xlpm.MyAuditVal),_xlpm.MacVal&lt;&gt;"",_xlpm.MacVal,_xlpm.CSVVal&lt;&gt;"",_xlpm.CSVVal
)),"")</f>
        <v/>
      </c>
      <c r="R1410" s="40"/>
      <c r="S1410" s="40"/>
      <c r="T1410" s="40"/>
      <c r="U1410" s="40"/>
      <c r="V1410" s="40"/>
      <c r="W1410" s="40"/>
      <c r="X1410" s="41" t="str">
        <f>_xlfn.LET(
    _xlpm.MacVal, _xlfn.XLOOKUP($A1410, Output_Mac!$A:$A, Output_Mac!AB:AB, ""),
    _xlpm.MyAuditVal, _xlfn.XLOOKUP($A1410, My_Audit!$A:$A, My_Audit!N:N, ""),
    _xlfn.TEXTJOIN(", ", TRUE, _xlpm.MyAuditVal, _xlpm.MacVal)
)</f>
        <v/>
      </c>
    </row>
    <row r="1411" spans="1:24">
      <c r="A1411" s="40" t="str">
        <f>_xlfn.TEXTJOIN("",TRUE,Input!$B$2,ROW(My_Audit!A1410))</f>
        <v>X1410</v>
      </c>
      <c r="B1411" s="40" t="str">
        <f>_xlfn.TEXTJOIN("-",TRUE,"ITD",Input!$A$2,A1411)</f>
        <v>ITD-X1410</v>
      </c>
      <c r="C1411" s="40" t="str" cm="1">
        <f t="array" ref="C1411">IFERROR(_xlfn.LET(
_xlpm.CSVVal,_xlfn.XLOOKUP($A1411,CSV!$A:$A,CSV!B:B,""),
_xlpm.MacVal,_xlfn.XLOOKUP($A1411,Output_Mac!$A:$A,Output_Mac!B:B,""),
_xlpm.MyAuditVal,_xlfn.XLOOKUP($A1411,My_Audit!$A:$A,My_Audit!B:B,""),
_xlfn.IFS(_xlpm.MyAuditVal&lt;&gt;"",UPPER(_xlpm.MyAuditVal),_xlpm.MacVal&lt;&gt;"",_xlpm.MacVal,_xlpm.CSVVal&lt;&gt;"",_xlpm.CSVVal
)),"")</f>
        <v/>
      </c>
      <c r="D1411" s="40" t="str" cm="1">
        <f t="array" ref="D1411">IFERROR(_xlfn.LET(
_xlpm.CSVVal,_xlfn.XLOOKUP($A1411,CSV!$A:$A,CSV!D:D,""),
_xlpm.MacVal,_xlfn.XLOOKUP($A1411,Output_Mac!$A:$A,Output_Mac!C:C,""),
_xlpm.MyAuditVal,_xlfn.XLOOKUP($A1411,My_Audit!$A:$A,My_Audit!C:C,""),
_xlfn.IFS(_xlpm.MyAuditVal&lt;&gt;"",_xlpm.MyAuditVal,_xlpm.MacVal&lt;&gt;"",_xlpm.MacVal,_xlpm.CSVVal&lt;&gt;"",_xlpm.CSVVal
)),"")</f>
        <v/>
      </c>
      <c r="E1411" s="40" t="str">
        <f>_xlfn.XLOOKUP(A1411,My_Audit!A:A,My_Audit!D:D,"")</f>
        <v/>
      </c>
      <c r="F1411" s="40" t="str" cm="1">
        <f t="array" ref="F1411">IFERROR(_xlfn.LET(
_xlpm.CSVVal,_xlfn.XLOOKUP($A1411,CSV!$A:$A,CSV!F:F,""),
_xlpm.MacVal,_xlfn.XLOOKUP($A1411,Output_Mac!$A:$A,Output_Mac!E:E,""),
_xlpm.MyAuditVal,_xlfn.XLOOKUP($A1411,My_Audit!$A:$A,My_Audit!E:E,""),
_xlfn.IFS(_xlpm.MyAuditVal&lt;&gt;"",_xlpm.MyAuditVal,_xlpm.MacVal&lt;&gt;"",_xlpm.MacVal,_xlpm.CSVVal&lt;&gt;"",_xlpm.CSVVal
)),"")</f>
        <v/>
      </c>
      <c r="G1411" s="40" t="str" cm="1">
        <f t="array" ref="G1411">IFERROR(_xlfn.LET(
_xlpm.CSVVal,_xlfn.XLOOKUP($A1411,CSV!$A:$A,CSV!G:G,""),
_xlpm.MacVal,_xlfn.XLOOKUP($A1411,Output_Mac!$A:$A,Output_Mac!F:F,""),
_xlpm.MyAuditVal,_xlfn.XLOOKUP($A1411,My_Audit!$A:$A,My_Audit!F:F,""),
_xlfn.IFS(_xlpm.MyAuditVal&lt;&gt;"",_xlpm.MyAuditVal,_xlpm.MacVal&lt;&gt;"",_xlpm.MacVal,_xlpm.CSVVal&lt;&gt;"",PROPER(_xlpm.CSVVal)
)),"")</f>
        <v/>
      </c>
      <c r="H1411" s="40" t="str" cm="1">
        <f t="array" ref="H1411">IFERROR(_xlfn.LET(
_xlpm.CSVVal,_xlfn.XLOOKUP($A1411,CSV!$A:$A,CSV!H:H,""),
_xlpm.MacVal,_xlfn.XLOOKUP($A1411,Output_Mac!$A:$A,Output_Mac!H:H,""),
_xlpm.MyAuditVal,_xlfn.XLOOKUP($A1411,My_Audit!$A:$A,My_Audit!G:G,""),
_xlfn.IFS(_xlpm.MyAuditVal&lt;&gt;"",_xlpm.MyAuditVal,_xlpm.MacVal&lt;&gt;"",_xlpm.MacVal,_xlpm.CSVVal&lt;&gt;"",_xlpm.CSVVal
)),"")</f>
        <v/>
      </c>
      <c r="I1411" s="40" t="str">
        <f>_xlfn.XLOOKUP(A1411,Output_Mac!A:A,Output_Mac!I:I,"")</f>
        <v/>
      </c>
      <c r="J1411" s="40" t="str" cm="1">
        <f t="array" ref="J1411">IFERROR(_xlfn.LET(
_xlpm.CSVVal,_xlfn.XLOOKUP($A1411,CSV!$A:$A,CSV!I:I,""),
_xlpm.MacVal,_xlfn.XLOOKUP($A1411,Output_Mac!$A:$A,Output_Mac!J:J,""),
_xlpm.MyAuditVal,_xlfn.XLOOKUP($A1411,My_Audit!$A:$A,My_Audit!I:I,""),
_xlfn.IFS(_xlpm.MyAuditVal&lt;&gt;"",UPPER(_xlpm.MyAuditVal),_xlpm.MacVal&lt;&gt;"",_xlpm.MacVal,_xlpm.CSVVal&lt;&gt;"",_xlpm.CSVVal
)),"")</f>
        <v/>
      </c>
      <c r="K1411" s="40" t="str" cm="1">
        <f t="array" ref="K1411">IFERROR(_xlfn.LET(
_xlpm.CSVVal,_xlfn.XLOOKUP($A1411,CSV!$A:$A,CSV!K:K,""),
_xlpm.MacVal,_xlfn.XLOOKUP($A1411,Output_Mac!$A:$A,Output_Mac!K:K,""),
_xlpm.MyAuditVal,_xlfn.XLOOKUP($A1411,My_Audit!$A:$A,My_Audit!J:J,""),
_xlfn.IFS(_xlpm.MyAuditVal&lt;&gt;"",UPPER(_xlpm.MyAuditVal),_xlpm.MacVal&lt;&gt;"",_xlpm.MacVal,_xlpm.CSVVal&lt;&gt;"",_xlpm.CSVVal
)),"")</f>
        <v/>
      </c>
      <c r="L1411" s="40" t="str" cm="1">
        <f t="array" ref="L1411">IFERROR(_xlfn.LET(
_xlpm.CSVVal,_xlfn.XLOOKUP($A1411,CSV!$A:$A,CSV!P:P,""),
_xlpm.MacVal,_xlfn.XLOOKUP($A1411,Output_Mac!$A:$A,Output_Mac!L:L,""),
_xlpm.MyAuditVal,_xlfn.XLOOKUP($A1411,My_Audit!$A:$A,My_Audit!K:K,""),
_xlfn.IFS(_xlpm.MyAuditVal&lt;&gt;"",UPPER(_xlpm.MyAuditVal),_xlpm.MacVal&lt;&gt;"",_xlpm.MacVal,_xlpm.CSVVal&lt;&gt;"",_xlpm.CSVVal
)),"")</f>
        <v/>
      </c>
      <c r="M1411" s="40" t="str" cm="1">
        <f t="array" ref="M1411">IFERROR(_xlfn.LET(
_xlpm.CSVVal,_xlfn.XLOOKUP($A1411,CSV!$A:$A,CSV!Q:Q,""),
_xlpm.MacVal,_xlfn.XLOOKUP($A1411,Output_Mac!$A:$A,Output_Mac!M:M,""),
_xlpm.MyAuditVal,_xlfn.XLOOKUP($A1411,My_Audit!$A:$A,My_Audit!L:L,""),
_xlfn.IFS(_xlpm.MyAuditVal&lt;&gt;"",UPPER(_xlpm.MyAuditVal),_xlpm.MacVal&lt;&gt;"",_xlpm.MacVal,_xlpm.CSVVal&lt;&gt;"",_xlpm.CSVVal
)),"")</f>
        <v/>
      </c>
      <c r="N1411" s="40"/>
      <c r="O1411" s="40" t="str">
        <f>_xlfn.LET(
    _xlpm.CSVVal, _xlfn.XLOOKUP($A1411, CSV!$A:$A, CSV!AA:AA, ""),
    _xlpm.MacVal, _xlfn.XLOOKUP($A1411, Output_Mac!$A:$A, Output_Mac!S:S, ""),
    _xlpm.MyAuditVal, _xlfn.XLOOKUP($A1411, My_Audit!$A:$A, My_Audit!P:P, ""),
    _xlfn.TEXTJOIN(", ", TRUE, _xlpm.MyAuditVal, _xlpm.MacVal, _xlpm.CSVVal)
)</f>
        <v/>
      </c>
      <c r="P1411" s="40" t="str" cm="1">
        <f t="array" ref="P1411">IFERROR(_xlfn.LET(
_xlpm.CSVVal,_xlfn.XLOOKUP($A1411,CSV!$A:$A,CSV!AB:AB,""),
_xlpm.MacVal,_xlfn.XLOOKUP($A1411,Output_Mac!$A:$A,Output_Mac!T:T,""),
_xlpm.MyAuditVal,_xlfn.XLOOKUP($A1411,My_Audit!$A:$A,My_Audit!Q:Q,""),
_xlfn.IFS(_xlpm.MyAuditVal&lt;&gt;"",UPPER(_xlpm.MyAuditVal),_xlpm.MacVal&lt;&gt;"",_xlpm.MacVal,_xlpm.CSVVal&lt;&gt;"",_xlpm.CSVVal
)),"No")</f>
        <v>No</v>
      </c>
      <c r="Q1411" s="40" t="str" cm="1">
        <f t="array" ref="Q1411">IFERROR(_xlfn.LET(
_xlpm.CSVVal,_xlfn.XLOOKUP($A1411,CSV!$A:$A,CSV!AC:AC,""),
_xlpm.MacVal,_xlfn.XLOOKUP($A1411,Output_Mac!$A:$A,Output_Mac!U:U,""),
_xlpm.MyAuditVal,_xlfn.XLOOKUP($A1411,My_Audit!$A:$A,My_Audit!R:R,""),
_xlfn.IFS(_xlpm.MyAuditVal&lt;&gt;"",UPPER(_xlpm.MyAuditVal),_xlpm.MacVal&lt;&gt;"",_xlpm.MacVal,_xlpm.CSVVal&lt;&gt;"",_xlpm.CSVVal
)),"")</f>
        <v/>
      </c>
      <c r="R1411" s="40"/>
      <c r="S1411" s="40"/>
      <c r="T1411" s="40"/>
      <c r="U1411" s="40"/>
      <c r="V1411" s="40"/>
      <c r="W1411" s="40"/>
      <c r="X1411" s="41" t="str">
        <f>_xlfn.LET(
    _xlpm.MacVal, _xlfn.XLOOKUP($A1411, Output_Mac!$A:$A, Output_Mac!AB:AB, ""),
    _xlpm.MyAuditVal, _xlfn.XLOOKUP($A1411, My_Audit!$A:$A, My_Audit!N:N, ""),
    _xlfn.TEXTJOIN(", ", TRUE, _xlpm.MyAuditVal, _xlpm.MacVal)
)</f>
        <v/>
      </c>
    </row>
    <row r="1412" spans="1:24">
      <c r="A1412" s="40" t="str">
        <f>_xlfn.TEXTJOIN("",TRUE,Input!$B$2,ROW(My_Audit!A1411))</f>
        <v>X1411</v>
      </c>
      <c r="B1412" s="40" t="str">
        <f>_xlfn.TEXTJOIN("-",TRUE,"ITD",Input!$A$2,A1412)</f>
        <v>ITD-X1411</v>
      </c>
      <c r="C1412" s="40" t="str" cm="1">
        <f t="array" ref="C1412">IFERROR(_xlfn.LET(
_xlpm.CSVVal,_xlfn.XLOOKUP($A1412,CSV!$A:$A,CSV!B:B,""),
_xlpm.MacVal,_xlfn.XLOOKUP($A1412,Output_Mac!$A:$A,Output_Mac!B:B,""),
_xlpm.MyAuditVal,_xlfn.XLOOKUP($A1412,My_Audit!$A:$A,My_Audit!B:B,""),
_xlfn.IFS(_xlpm.MyAuditVal&lt;&gt;"",UPPER(_xlpm.MyAuditVal),_xlpm.MacVal&lt;&gt;"",_xlpm.MacVal,_xlpm.CSVVal&lt;&gt;"",_xlpm.CSVVal
)),"")</f>
        <v/>
      </c>
      <c r="D1412" s="40" t="str" cm="1">
        <f t="array" ref="D1412">IFERROR(_xlfn.LET(
_xlpm.CSVVal,_xlfn.XLOOKUP($A1412,CSV!$A:$A,CSV!D:D,""),
_xlpm.MacVal,_xlfn.XLOOKUP($A1412,Output_Mac!$A:$A,Output_Mac!C:C,""),
_xlpm.MyAuditVal,_xlfn.XLOOKUP($A1412,My_Audit!$A:$A,My_Audit!C:C,""),
_xlfn.IFS(_xlpm.MyAuditVal&lt;&gt;"",_xlpm.MyAuditVal,_xlpm.MacVal&lt;&gt;"",_xlpm.MacVal,_xlpm.CSVVal&lt;&gt;"",_xlpm.CSVVal
)),"")</f>
        <v/>
      </c>
      <c r="E1412" s="40" t="str">
        <f>_xlfn.XLOOKUP(A1412,My_Audit!A:A,My_Audit!D:D,"")</f>
        <v/>
      </c>
      <c r="F1412" s="40" t="str" cm="1">
        <f t="array" ref="F1412">IFERROR(_xlfn.LET(
_xlpm.CSVVal,_xlfn.XLOOKUP($A1412,CSV!$A:$A,CSV!F:F,""),
_xlpm.MacVal,_xlfn.XLOOKUP($A1412,Output_Mac!$A:$A,Output_Mac!E:E,""),
_xlpm.MyAuditVal,_xlfn.XLOOKUP($A1412,My_Audit!$A:$A,My_Audit!E:E,""),
_xlfn.IFS(_xlpm.MyAuditVal&lt;&gt;"",_xlpm.MyAuditVal,_xlpm.MacVal&lt;&gt;"",_xlpm.MacVal,_xlpm.CSVVal&lt;&gt;"",_xlpm.CSVVal
)),"")</f>
        <v/>
      </c>
      <c r="G1412" s="40" t="str" cm="1">
        <f t="array" ref="G1412">IFERROR(_xlfn.LET(
_xlpm.CSVVal,_xlfn.XLOOKUP($A1412,CSV!$A:$A,CSV!G:G,""),
_xlpm.MacVal,_xlfn.XLOOKUP($A1412,Output_Mac!$A:$A,Output_Mac!F:F,""),
_xlpm.MyAuditVal,_xlfn.XLOOKUP($A1412,My_Audit!$A:$A,My_Audit!F:F,""),
_xlfn.IFS(_xlpm.MyAuditVal&lt;&gt;"",_xlpm.MyAuditVal,_xlpm.MacVal&lt;&gt;"",_xlpm.MacVal,_xlpm.CSVVal&lt;&gt;"",PROPER(_xlpm.CSVVal)
)),"")</f>
        <v/>
      </c>
      <c r="H1412" s="40" t="str" cm="1">
        <f t="array" ref="H1412">IFERROR(_xlfn.LET(
_xlpm.CSVVal,_xlfn.XLOOKUP($A1412,CSV!$A:$A,CSV!H:H,""),
_xlpm.MacVal,_xlfn.XLOOKUP($A1412,Output_Mac!$A:$A,Output_Mac!H:H,""),
_xlpm.MyAuditVal,_xlfn.XLOOKUP($A1412,My_Audit!$A:$A,My_Audit!G:G,""),
_xlfn.IFS(_xlpm.MyAuditVal&lt;&gt;"",_xlpm.MyAuditVal,_xlpm.MacVal&lt;&gt;"",_xlpm.MacVal,_xlpm.CSVVal&lt;&gt;"",_xlpm.CSVVal
)),"")</f>
        <v/>
      </c>
      <c r="I1412" s="40" t="str">
        <f>_xlfn.XLOOKUP(A1412,Output_Mac!A:A,Output_Mac!I:I,"")</f>
        <v/>
      </c>
      <c r="J1412" s="40" t="str" cm="1">
        <f t="array" ref="J1412">IFERROR(_xlfn.LET(
_xlpm.CSVVal,_xlfn.XLOOKUP($A1412,CSV!$A:$A,CSV!I:I,""),
_xlpm.MacVal,_xlfn.XLOOKUP($A1412,Output_Mac!$A:$A,Output_Mac!J:J,""),
_xlpm.MyAuditVal,_xlfn.XLOOKUP($A1412,My_Audit!$A:$A,My_Audit!I:I,""),
_xlfn.IFS(_xlpm.MyAuditVal&lt;&gt;"",UPPER(_xlpm.MyAuditVal),_xlpm.MacVal&lt;&gt;"",_xlpm.MacVal,_xlpm.CSVVal&lt;&gt;"",_xlpm.CSVVal
)),"")</f>
        <v/>
      </c>
      <c r="K1412" s="40" t="str" cm="1">
        <f t="array" ref="K1412">IFERROR(_xlfn.LET(
_xlpm.CSVVal,_xlfn.XLOOKUP($A1412,CSV!$A:$A,CSV!K:K,""),
_xlpm.MacVal,_xlfn.XLOOKUP($A1412,Output_Mac!$A:$A,Output_Mac!K:K,""),
_xlpm.MyAuditVal,_xlfn.XLOOKUP($A1412,My_Audit!$A:$A,My_Audit!J:J,""),
_xlfn.IFS(_xlpm.MyAuditVal&lt;&gt;"",UPPER(_xlpm.MyAuditVal),_xlpm.MacVal&lt;&gt;"",_xlpm.MacVal,_xlpm.CSVVal&lt;&gt;"",_xlpm.CSVVal
)),"")</f>
        <v/>
      </c>
      <c r="L1412" s="40" t="str" cm="1">
        <f t="array" ref="L1412">IFERROR(_xlfn.LET(
_xlpm.CSVVal,_xlfn.XLOOKUP($A1412,CSV!$A:$A,CSV!P:P,""),
_xlpm.MacVal,_xlfn.XLOOKUP($A1412,Output_Mac!$A:$A,Output_Mac!L:L,""),
_xlpm.MyAuditVal,_xlfn.XLOOKUP($A1412,My_Audit!$A:$A,My_Audit!K:K,""),
_xlfn.IFS(_xlpm.MyAuditVal&lt;&gt;"",UPPER(_xlpm.MyAuditVal),_xlpm.MacVal&lt;&gt;"",_xlpm.MacVal,_xlpm.CSVVal&lt;&gt;"",_xlpm.CSVVal
)),"")</f>
        <v/>
      </c>
      <c r="M1412" s="40" t="str" cm="1">
        <f t="array" ref="M1412">IFERROR(_xlfn.LET(
_xlpm.CSVVal,_xlfn.XLOOKUP($A1412,CSV!$A:$A,CSV!Q:Q,""),
_xlpm.MacVal,_xlfn.XLOOKUP($A1412,Output_Mac!$A:$A,Output_Mac!M:M,""),
_xlpm.MyAuditVal,_xlfn.XLOOKUP($A1412,My_Audit!$A:$A,My_Audit!L:L,""),
_xlfn.IFS(_xlpm.MyAuditVal&lt;&gt;"",UPPER(_xlpm.MyAuditVal),_xlpm.MacVal&lt;&gt;"",_xlpm.MacVal,_xlpm.CSVVal&lt;&gt;"",_xlpm.CSVVal
)),"")</f>
        <v/>
      </c>
      <c r="N1412" s="40"/>
      <c r="O1412" s="40" t="str">
        <f>_xlfn.LET(
    _xlpm.CSVVal, _xlfn.XLOOKUP($A1412, CSV!$A:$A, CSV!AA:AA, ""),
    _xlpm.MacVal, _xlfn.XLOOKUP($A1412, Output_Mac!$A:$A, Output_Mac!S:S, ""),
    _xlpm.MyAuditVal, _xlfn.XLOOKUP($A1412, My_Audit!$A:$A, My_Audit!P:P, ""),
    _xlfn.TEXTJOIN(", ", TRUE, _xlpm.MyAuditVal, _xlpm.MacVal, _xlpm.CSVVal)
)</f>
        <v/>
      </c>
      <c r="P1412" s="40" t="str" cm="1">
        <f t="array" ref="P1412">IFERROR(_xlfn.LET(
_xlpm.CSVVal,_xlfn.XLOOKUP($A1412,CSV!$A:$A,CSV!AB:AB,""),
_xlpm.MacVal,_xlfn.XLOOKUP($A1412,Output_Mac!$A:$A,Output_Mac!T:T,""),
_xlpm.MyAuditVal,_xlfn.XLOOKUP($A1412,My_Audit!$A:$A,My_Audit!Q:Q,""),
_xlfn.IFS(_xlpm.MyAuditVal&lt;&gt;"",UPPER(_xlpm.MyAuditVal),_xlpm.MacVal&lt;&gt;"",_xlpm.MacVal,_xlpm.CSVVal&lt;&gt;"",_xlpm.CSVVal
)),"No")</f>
        <v>No</v>
      </c>
      <c r="Q1412" s="40" t="str" cm="1">
        <f t="array" ref="Q1412">IFERROR(_xlfn.LET(
_xlpm.CSVVal,_xlfn.XLOOKUP($A1412,CSV!$A:$A,CSV!AC:AC,""),
_xlpm.MacVal,_xlfn.XLOOKUP($A1412,Output_Mac!$A:$A,Output_Mac!U:U,""),
_xlpm.MyAuditVal,_xlfn.XLOOKUP($A1412,My_Audit!$A:$A,My_Audit!R:R,""),
_xlfn.IFS(_xlpm.MyAuditVal&lt;&gt;"",UPPER(_xlpm.MyAuditVal),_xlpm.MacVal&lt;&gt;"",_xlpm.MacVal,_xlpm.CSVVal&lt;&gt;"",_xlpm.CSVVal
)),"")</f>
        <v/>
      </c>
      <c r="R1412" s="40"/>
      <c r="S1412" s="40"/>
      <c r="T1412" s="40"/>
      <c r="U1412" s="40"/>
      <c r="V1412" s="40"/>
      <c r="W1412" s="40"/>
      <c r="X1412" s="41" t="str">
        <f>_xlfn.LET(
    _xlpm.MacVal, _xlfn.XLOOKUP($A1412, Output_Mac!$A:$A, Output_Mac!AB:AB, ""),
    _xlpm.MyAuditVal, _xlfn.XLOOKUP($A1412, My_Audit!$A:$A, My_Audit!N:N, ""),
    _xlfn.TEXTJOIN(", ", TRUE, _xlpm.MyAuditVal, _xlpm.MacVal)
)</f>
        <v/>
      </c>
    </row>
    <row r="1413" spans="1:24">
      <c r="A1413" s="40" t="str">
        <f>_xlfn.TEXTJOIN("",TRUE,Input!$B$2,ROW(My_Audit!A1412))</f>
        <v>X1412</v>
      </c>
      <c r="B1413" s="40" t="str">
        <f>_xlfn.TEXTJOIN("-",TRUE,"ITD",Input!$A$2,A1413)</f>
        <v>ITD-X1412</v>
      </c>
      <c r="C1413" s="40" t="str" cm="1">
        <f t="array" ref="C1413">IFERROR(_xlfn.LET(
_xlpm.CSVVal,_xlfn.XLOOKUP($A1413,CSV!$A:$A,CSV!B:B,""),
_xlpm.MacVal,_xlfn.XLOOKUP($A1413,Output_Mac!$A:$A,Output_Mac!B:B,""),
_xlpm.MyAuditVal,_xlfn.XLOOKUP($A1413,My_Audit!$A:$A,My_Audit!B:B,""),
_xlfn.IFS(_xlpm.MyAuditVal&lt;&gt;"",UPPER(_xlpm.MyAuditVal),_xlpm.MacVal&lt;&gt;"",_xlpm.MacVal,_xlpm.CSVVal&lt;&gt;"",_xlpm.CSVVal
)),"")</f>
        <v/>
      </c>
      <c r="D1413" s="40" t="str" cm="1">
        <f t="array" ref="D1413">IFERROR(_xlfn.LET(
_xlpm.CSVVal,_xlfn.XLOOKUP($A1413,CSV!$A:$A,CSV!D:D,""),
_xlpm.MacVal,_xlfn.XLOOKUP($A1413,Output_Mac!$A:$A,Output_Mac!C:C,""),
_xlpm.MyAuditVal,_xlfn.XLOOKUP($A1413,My_Audit!$A:$A,My_Audit!C:C,""),
_xlfn.IFS(_xlpm.MyAuditVal&lt;&gt;"",_xlpm.MyAuditVal,_xlpm.MacVal&lt;&gt;"",_xlpm.MacVal,_xlpm.CSVVal&lt;&gt;"",_xlpm.CSVVal
)),"")</f>
        <v/>
      </c>
      <c r="E1413" s="40" t="str">
        <f>_xlfn.XLOOKUP(A1413,My_Audit!A:A,My_Audit!D:D,"")</f>
        <v/>
      </c>
      <c r="F1413" s="40" t="str" cm="1">
        <f t="array" ref="F1413">IFERROR(_xlfn.LET(
_xlpm.CSVVal,_xlfn.XLOOKUP($A1413,CSV!$A:$A,CSV!F:F,""),
_xlpm.MacVal,_xlfn.XLOOKUP($A1413,Output_Mac!$A:$A,Output_Mac!E:E,""),
_xlpm.MyAuditVal,_xlfn.XLOOKUP($A1413,My_Audit!$A:$A,My_Audit!E:E,""),
_xlfn.IFS(_xlpm.MyAuditVal&lt;&gt;"",_xlpm.MyAuditVal,_xlpm.MacVal&lt;&gt;"",_xlpm.MacVal,_xlpm.CSVVal&lt;&gt;"",_xlpm.CSVVal
)),"")</f>
        <v/>
      </c>
      <c r="G1413" s="40" t="str" cm="1">
        <f t="array" ref="G1413">IFERROR(_xlfn.LET(
_xlpm.CSVVal,_xlfn.XLOOKUP($A1413,CSV!$A:$A,CSV!G:G,""),
_xlpm.MacVal,_xlfn.XLOOKUP($A1413,Output_Mac!$A:$A,Output_Mac!F:F,""),
_xlpm.MyAuditVal,_xlfn.XLOOKUP($A1413,My_Audit!$A:$A,My_Audit!F:F,""),
_xlfn.IFS(_xlpm.MyAuditVal&lt;&gt;"",_xlpm.MyAuditVal,_xlpm.MacVal&lt;&gt;"",_xlpm.MacVal,_xlpm.CSVVal&lt;&gt;"",PROPER(_xlpm.CSVVal)
)),"")</f>
        <v/>
      </c>
      <c r="H1413" s="40" t="str" cm="1">
        <f t="array" ref="H1413">IFERROR(_xlfn.LET(
_xlpm.CSVVal,_xlfn.XLOOKUP($A1413,CSV!$A:$A,CSV!H:H,""),
_xlpm.MacVal,_xlfn.XLOOKUP($A1413,Output_Mac!$A:$A,Output_Mac!H:H,""),
_xlpm.MyAuditVal,_xlfn.XLOOKUP($A1413,My_Audit!$A:$A,My_Audit!G:G,""),
_xlfn.IFS(_xlpm.MyAuditVal&lt;&gt;"",_xlpm.MyAuditVal,_xlpm.MacVal&lt;&gt;"",_xlpm.MacVal,_xlpm.CSVVal&lt;&gt;"",_xlpm.CSVVal
)),"")</f>
        <v/>
      </c>
      <c r="I1413" s="40" t="str">
        <f>_xlfn.XLOOKUP(A1413,Output_Mac!A:A,Output_Mac!I:I,"")</f>
        <v/>
      </c>
      <c r="J1413" s="40" t="str" cm="1">
        <f t="array" ref="J1413">IFERROR(_xlfn.LET(
_xlpm.CSVVal,_xlfn.XLOOKUP($A1413,CSV!$A:$A,CSV!I:I,""),
_xlpm.MacVal,_xlfn.XLOOKUP($A1413,Output_Mac!$A:$A,Output_Mac!J:J,""),
_xlpm.MyAuditVal,_xlfn.XLOOKUP($A1413,My_Audit!$A:$A,My_Audit!I:I,""),
_xlfn.IFS(_xlpm.MyAuditVal&lt;&gt;"",UPPER(_xlpm.MyAuditVal),_xlpm.MacVal&lt;&gt;"",_xlpm.MacVal,_xlpm.CSVVal&lt;&gt;"",_xlpm.CSVVal
)),"")</f>
        <v/>
      </c>
      <c r="K1413" s="40" t="str" cm="1">
        <f t="array" ref="K1413">IFERROR(_xlfn.LET(
_xlpm.CSVVal,_xlfn.XLOOKUP($A1413,CSV!$A:$A,CSV!K:K,""),
_xlpm.MacVal,_xlfn.XLOOKUP($A1413,Output_Mac!$A:$A,Output_Mac!K:K,""),
_xlpm.MyAuditVal,_xlfn.XLOOKUP($A1413,My_Audit!$A:$A,My_Audit!J:J,""),
_xlfn.IFS(_xlpm.MyAuditVal&lt;&gt;"",UPPER(_xlpm.MyAuditVal),_xlpm.MacVal&lt;&gt;"",_xlpm.MacVal,_xlpm.CSVVal&lt;&gt;"",_xlpm.CSVVal
)),"")</f>
        <v/>
      </c>
      <c r="L1413" s="40" t="str" cm="1">
        <f t="array" ref="L1413">IFERROR(_xlfn.LET(
_xlpm.CSVVal,_xlfn.XLOOKUP($A1413,CSV!$A:$A,CSV!P:P,""),
_xlpm.MacVal,_xlfn.XLOOKUP($A1413,Output_Mac!$A:$A,Output_Mac!L:L,""),
_xlpm.MyAuditVal,_xlfn.XLOOKUP($A1413,My_Audit!$A:$A,My_Audit!K:K,""),
_xlfn.IFS(_xlpm.MyAuditVal&lt;&gt;"",UPPER(_xlpm.MyAuditVal),_xlpm.MacVal&lt;&gt;"",_xlpm.MacVal,_xlpm.CSVVal&lt;&gt;"",_xlpm.CSVVal
)),"")</f>
        <v/>
      </c>
      <c r="M1413" s="40" t="str" cm="1">
        <f t="array" ref="M1413">IFERROR(_xlfn.LET(
_xlpm.CSVVal,_xlfn.XLOOKUP($A1413,CSV!$A:$A,CSV!Q:Q,""),
_xlpm.MacVal,_xlfn.XLOOKUP($A1413,Output_Mac!$A:$A,Output_Mac!M:M,""),
_xlpm.MyAuditVal,_xlfn.XLOOKUP($A1413,My_Audit!$A:$A,My_Audit!L:L,""),
_xlfn.IFS(_xlpm.MyAuditVal&lt;&gt;"",UPPER(_xlpm.MyAuditVal),_xlpm.MacVal&lt;&gt;"",_xlpm.MacVal,_xlpm.CSVVal&lt;&gt;"",_xlpm.CSVVal
)),"")</f>
        <v/>
      </c>
      <c r="N1413" s="40"/>
      <c r="O1413" s="40" t="str">
        <f>_xlfn.LET(
    _xlpm.CSVVal, _xlfn.XLOOKUP($A1413, CSV!$A:$A, CSV!AA:AA, ""),
    _xlpm.MacVal, _xlfn.XLOOKUP($A1413, Output_Mac!$A:$A, Output_Mac!S:S, ""),
    _xlpm.MyAuditVal, _xlfn.XLOOKUP($A1413, My_Audit!$A:$A, My_Audit!P:P, ""),
    _xlfn.TEXTJOIN(", ", TRUE, _xlpm.MyAuditVal, _xlpm.MacVal, _xlpm.CSVVal)
)</f>
        <v/>
      </c>
      <c r="P1413" s="40" t="str" cm="1">
        <f t="array" ref="P1413">IFERROR(_xlfn.LET(
_xlpm.CSVVal,_xlfn.XLOOKUP($A1413,CSV!$A:$A,CSV!AB:AB,""),
_xlpm.MacVal,_xlfn.XLOOKUP($A1413,Output_Mac!$A:$A,Output_Mac!T:T,""),
_xlpm.MyAuditVal,_xlfn.XLOOKUP($A1413,My_Audit!$A:$A,My_Audit!Q:Q,""),
_xlfn.IFS(_xlpm.MyAuditVal&lt;&gt;"",UPPER(_xlpm.MyAuditVal),_xlpm.MacVal&lt;&gt;"",_xlpm.MacVal,_xlpm.CSVVal&lt;&gt;"",_xlpm.CSVVal
)),"No")</f>
        <v>No</v>
      </c>
      <c r="Q1413" s="40" t="str" cm="1">
        <f t="array" ref="Q1413">IFERROR(_xlfn.LET(
_xlpm.CSVVal,_xlfn.XLOOKUP($A1413,CSV!$A:$A,CSV!AC:AC,""),
_xlpm.MacVal,_xlfn.XLOOKUP($A1413,Output_Mac!$A:$A,Output_Mac!U:U,""),
_xlpm.MyAuditVal,_xlfn.XLOOKUP($A1413,My_Audit!$A:$A,My_Audit!R:R,""),
_xlfn.IFS(_xlpm.MyAuditVal&lt;&gt;"",UPPER(_xlpm.MyAuditVal),_xlpm.MacVal&lt;&gt;"",_xlpm.MacVal,_xlpm.CSVVal&lt;&gt;"",_xlpm.CSVVal
)),"")</f>
        <v/>
      </c>
      <c r="R1413" s="40"/>
      <c r="S1413" s="40"/>
      <c r="T1413" s="40"/>
      <c r="U1413" s="40"/>
      <c r="V1413" s="40"/>
      <c r="W1413" s="40"/>
      <c r="X1413" s="41" t="str">
        <f>_xlfn.LET(
    _xlpm.MacVal, _xlfn.XLOOKUP($A1413, Output_Mac!$A:$A, Output_Mac!AB:AB, ""),
    _xlpm.MyAuditVal, _xlfn.XLOOKUP($A1413, My_Audit!$A:$A, My_Audit!N:N, ""),
    _xlfn.TEXTJOIN(", ", TRUE, _xlpm.MyAuditVal, _xlpm.MacVal)
)</f>
        <v/>
      </c>
    </row>
    <row r="1414" spans="1:24">
      <c r="A1414" s="40" t="str">
        <f>_xlfn.TEXTJOIN("",TRUE,Input!$B$2,ROW(My_Audit!A1413))</f>
        <v>X1413</v>
      </c>
      <c r="B1414" s="40" t="str">
        <f>_xlfn.TEXTJOIN("-",TRUE,"ITD",Input!$A$2,A1414)</f>
        <v>ITD-X1413</v>
      </c>
      <c r="C1414" s="40" t="str" cm="1">
        <f t="array" ref="C1414">IFERROR(_xlfn.LET(
_xlpm.CSVVal,_xlfn.XLOOKUP($A1414,CSV!$A:$A,CSV!B:B,""),
_xlpm.MacVal,_xlfn.XLOOKUP($A1414,Output_Mac!$A:$A,Output_Mac!B:B,""),
_xlpm.MyAuditVal,_xlfn.XLOOKUP($A1414,My_Audit!$A:$A,My_Audit!B:B,""),
_xlfn.IFS(_xlpm.MyAuditVal&lt;&gt;"",UPPER(_xlpm.MyAuditVal),_xlpm.MacVal&lt;&gt;"",_xlpm.MacVal,_xlpm.CSVVal&lt;&gt;"",_xlpm.CSVVal
)),"")</f>
        <v/>
      </c>
      <c r="D1414" s="40" t="str" cm="1">
        <f t="array" ref="D1414">IFERROR(_xlfn.LET(
_xlpm.CSVVal,_xlfn.XLOOKUP($A1414,CSV!$A:$A,CSV!D:D,""),
_xlpm.MacVal,_xlfn.XLOOKUP($A1414,Output_Mac!$A:$A,Output_Mac!C:C,""),
_xlpm.MyAuditVal,_xlfn.XLOOKUP($A1414,My_Audit!$A:$A,My_Audit!C:C,""),
_xlfn.IFS(_xlpm.MyAuditVal&lt;&gt;"",_xlpm.MyAuditVal,_xlpm.MacVal&lt;&gt;"",_xlpm.MacVal,_xlpm.CSVVal&lt;&gt;"",_xlpm.CSVVal
)),"")</f>
        <v/>
      </c>
      <c r="E1414" s="40" t="str">
        <f>_xlfn.XLOOKUP(A1414,My_Audit!A:A,My_Audit!D:D,"")</f>
        <v/>
      </c>
      <c r="F1414" s="40" t="str" cm="1">
        <f t="array" ref="F1414">IFERROR(_xlfn.LET(
_xlpm.CSVVal,_xlfn.XLOOKUP($A1414,CSV!$A:$A,CSV!F:F,""),
_xlpm.MacVal,_xlfn.XLOOKUP($A1414,Output_Mac!$A:$A,Output_Mac!E:E,""),
_xlpm.MyAuditVal,_xlfn.XLOOKUP($A1414,My_Audit!$A:$A,My_Audit!E:E,""),
_xlfn.IFS(_xlpm.MyAuditVal&lt;&gt;"",_xlpm.MyAuditVal,_xlpm.MacVal&lt;&gt;"",_xlpm.MacVal,_xlpm.CSVVal&lt;&gt;"",_xlpm.CSVVal
)),"")</f>
        <v/>
      </c>
      <c r="G1414" s="40" t="str" cm="1">
        <f t="array" ref="G1414">IFERROR(_xlfn.LET(
_xlpm.CSVVal,_xlfn.XLOOKUP($A1414,CSV!$A:$A,CSV!G:G,""),
_xlpm.MacVal,_xlfn.XLOOKUP($A1414,Output_Mac!$A:$A,Output_Mac!F:F,""),
_xlpm.MyAuditVal,_xlfn.XLOOKUP($A1414,My_Audit!$A:$A,My_Audit!F:F,""),
_xlfn.IFS(_xlpm.MyAuditVal&lt;&gt;"",_xlpm.MyAuditVal,_xlpm.MacVal&lt;&gt;"",_xlpm.MacVal,_xlpm.CSVVal&lt;&gt;"",PROPER(_xlpm.CSVVal)
)),"")</f>
        <v/>
      </c>
      <c r="H1414" s="40" t="str" cm="1">
        <f t="array" ref="H1414">IFERROR(_xlfn.LET(
_xlpm.CSVVal,_xlfn.XLOOKUP($A1414,CSV!$A:$A,CSV!H:H,""),
_xlpm.MacVal,_xlfn.XLOOKUP($A1414,Output_Mac!$A:$A,Output_Mac!H:H,""),
_xlpm.MyAuditVal,_xlfn.XLOOKUP($A1414,My_Audit!$A:$A,My_Audit!G:G,""),
_xlfn.IFS(_xlpm.MyAuditVal&lt;&gt;"",_xlpm.MyAuditVal,_xlpm.MacVal&lt;&gt;"",_xlpm.MacVal,_xlpm.CSVVal&lt;&gt;"",_xlpm.CSVVal
)),"")</f>
        <v/>
      </c>
      <c r="I1414" s="40" t="str">
        <f>_xlfn.XLOOKUP(A1414,Output_Mac!A:A,Output_Mac!I:I,"")</f>
        <v/>
      </c>
      <c r="J1414" s="40" t="str" cm="1">
        <f t="array" ref="J1414">IFERROR(_xlfn.LET(
_xlpm.CSVVal,_xlfn.XLOOKUP($A1414,CSV!$A:$A,CSV!I:I,""),
_xlpm.MacVal,_xlfn.XLOOKUP($A1414,Output_Mac!$A:$A,Output_Mac!J:J,""),
_xlpm.MyAuditVal,_xlfn.XLOOKUP($A1414,My_Audit!$A:$A,My_Audit!I:I,""),
_xlfn.IFS(_xlpm.MyAuditVal&lt;&gt;"",UPPER(_xlpm.MyAuditVal),_xlpm.MacVal&lt;&gt;"",_xlpm.MacVal,_xlpm.CSVVal&lt;&gt;"",_xlpm.CSVVal
)),"")</f>
        <v/>
      </c>
      <c r="K1414" s="40" t="str" cm="1">
        <f t="array" ref="K1414">IFERROR(_xlfn.LET(
_xlpm.CSVVal,_xlfn.XLOOKUP($A1414,CSV!$A:$A,CSV!K:K,""),
_xlpm.MacVal,_xlfn.XLOOKUP($A1414,Output_Mac!$A:$A,Output_Mac!K:K,""),
_xlpm.MyAuditVal,_xlfn.XLOOKUP($A1414,My_Audit!$A:$A,My_Audit!J:J,""),
_xlfn.IFS(_xlpm.MyAuditVal&lt;&gt;"",UPPER(_xlpm.MyAuditVal),_xlpm.MacVal&lt;&gt;"",_xlpm.MacVal,_xlpm.CSVVal&lt;&gt;"",_xlpm.CSVVal
)),"")</f>
        <v/>
      </c>
      <c r="L1414" s="40" t="str" cm="1">
        <f t="array" ref="L1414">IFERROR(_xlfn.LET(
_xlpm.CSVVal,_xlfn.XLOOKUP($A1414,CSV!$A:$A,CSV!P:P,""),
_xlpm.MacVal,_xlfn.XLOOKUP($A1414,Output_Mac!$A:$A,Output_Mac!L:L,""),
_xlpm.MyAuditVal,_xlfn.XLOOKUP($A1414,My_Audit!$A:$A,My_Audit!K:K,""),
_xlfn.IFS(_xlpm.MyAuditVal&lt;&gt;"",UPPER(_xlpm.MyAuditVal),_xlpm.MacVal&lt;&gt;"",_xlpm.MacVal,_xlpm.CSVVal&lt;&gt;"",_xlpm.CSVVal
)),"")</f>
        <v/>
      </c>
      <c r="M1414" s="40" t="str" cm="1">
        <f t="array" ref="M1414">IFERROR(_xlfn.LET(
_xlpm.CSVVal,_xlfn.XLOOKUP($A1414,CSV!$A:$A,CSV!Q:Q,""),
_xlpm.MacVal,_xlfn.XLOOKUP($A1414,Output_Mac!$A:$A,Output_Mac!M:M,""),
_xlpm.MyAuditVal,_xlfn.XLOOKUP($A1414,My_Audit!$A:$A,My_Audit!L:L,""),
_xlfn.IFS(_xlpm.MyAuditVal&lt;&gt;"",UPPER(_xlpm.MyAuditVal),_xlpm.MacVal&lt;&gt;"",_xlpm.MacVal,_xlpm.CSVVal&lt;&gt;"",_xlpm.CSVVal
)),"")</f>
        <v/>
      </c>
      <c r="N1414" s="40"/>
      <c r="O1414" s="40" t="str">
        <f>_xlfn.LET(
    _xlpm.CSVVal, _xlfn.XLOOKUP($A1414, CSV!$A:$A, CSV!AA:AA, ""),
    _xlpm.MacVal, _xlfn.XLOOKUP($A1414, Output_Mac!$A:$A, Output_Mac!S:S, ""),
    _xlpm.MyAuditVal, _xlfn.XLOOKUP($A1414, My_Audit!$A:$A, My_Audit!P:P, ""),
    _xlfn.TEXTJOIN(", ", TRUE, _xlpm.MyAuditVal, _xlpm.MacVal, _xlpm.CSVVal)
)</f>
        <v/>
      </c>
      <c r="P1414" s="40" t="str" cm="1">
        <f t="array" ref="P1414">IFERROR(_xlfn.LET(
_xlpm.CSVVal,_xlfn.XLOOKUP($A1414,CSV!$A:$A,CSV!AB:AB,""),
_xlpm.MacVal,_xlfn.XLOOKUP($A1414,Output_Mac!$A:$A,Output_Mac!T:T,""),
_xlpm.MyAuditVal,_xlfn.XLOOKUP($A1414,My_Audit!$A:$A,My_Audit!Q:Q,""),
_xlfn.IFS(_xlpm.MyAuditVal&lt;&gt;"",UPPER(_xlpm.MyAuditVal),_xlpm.MacVal&lt;&gt;"",_xlpm.MacVal,_xlpm.CSVVal&lt;&gt;"",_xlpm.CSVVal
)),"No")</f>
        <v>No</v>
      </c>
      <c r="Q1414" s="40" t="str" cm="1">
        <f t="array" ref="Q1414">IFERROR(_xlfn.LET(
_xlpm.CSVVal,_xlfn.XLOOKUP($A1414,CSV!$A:$A,CSV!AC:AC,""),
_xlpm.MacVal,_xlfn.XLOOKUP($A1414,Output_Mac!$A:$A,Output_Mac!U:U,""),
_xlpm.MyAuditVal,_xlfn.XLOOKUP($A1414,My_Audit!$A:$A,My_Audit!R:R,""),
_xlfn.IFS(_xlpm.MyAuditVal&lt;&gt;"",UPPER(_xlpm.MyAuditVal),_xlpm.MacVal&lt;&gt;"",_xlpm.MacVal,_xlpm.CSVVal&lt;&gt;"",_xlpm.CSVVal
)),"")</f>
        <v/>
      </c>
      <c r="R1414" s="40"/>
      <c r="S1414" s="40"/>
      <c r="T1414" s="40"/>
      <c r="U1414" s="40"/>
      <c r="V1414" s="40"/>
      <c r="W1414" s="40"/>
      <c r="X1414" s="41" t="str">
        <f>_xlfn.LET(
    _xlpm.MacVal, _xlfn.XLOOKUP($A1414, Output_Mac!$A:$A, Output_Mac!AB:AB, ""),
    _xlpm.MyAuditVal, _xlfn.XLOOKUP($A1414, My_Audit!$A:$A, My_Audit!N:N, ""),
    _xlfn.TEXTJOIN(", ", TRUE, _xlpm.MyAuditVal, _xlpm.MacVal)
)</f>
        <v/>
      </c>
    </row>
    <row r="1415" spans="1:24">
      <c r="A1415" s="40" t="str">
        <f>_xlfn.TEXTJOIN("",TRUE,Input!$B$2,ROW(My_Audit!A1414))</f>
        <v>X1414</v>
      </c>
      <c r="B1415" s="40" t="str">
        <f>_xlfn.TEXTJOIN("-",TRUE,"ITD",Input!$A$2,A1415)</f>
        <v>ITD-X1414</v>
      </c>
      <c r="C1415" s="40" t="str" cm="1">
        <f t="array" ref="C1415">IFERROR(_xlfn.LET(
_xlpm.CSVVal,_xlfn.XLOOKUP($A1415,CSV!$A:$A,CSV!B:B,""),
_xlpm.MacVal,_xlfn.XLOOKUP($A1415,Output_Mac!$A:$A,Output_Mac!B:B,""),
_xlpm.MyAuditVal,_xlfn.XLOOKUP($A1415,My_Audit!$A:$A,My_Audit!B:B,""),
_xlfn.IFS(_xlpm.MyAuditVal&lt;&gt;"",UPPER(_xlpm.MyAuditVal),_xlpm.MacVal&lt;&gt;"",_xlpm.MacVal,_xlpm.CSVVal&lt;&gt;"",_xlpm.CSVVal
)),"")</f>
        <v/>
      </c>
      <c r="D1415" s="40" t="str" cm="1">
        <f t="array" ref="D1415">IFERROR(_xlfn.LET(
_xlpm.CSVVal,_xlfn.XLOOKUP($A1415,CSV!$A:$A,CSV!D:D,""),
_xlpm.MacVal,_xlfn.XLOOKUP($A1415,Output_Mac!$A:$A,Output_Mac!C:C,""),
_xlpm.MyAuditVal,_xlfn.XLOOKUP($A1415,My_Audit!$A:$A,My_Audit!C:C,""),
_xlfn.IFS(_xlpm.MyAuditVal&lt;&gt;"",_xlpm.MyAuditVal,_xlpm.MacVal&lt;&gt;"",_xlpm.MacVal,_xlpm.CSVVal&lt;&gt;"",_xlpm.CSVVal
)),"")</f>
        <v/>
      </c>
      <c r="E1415" s="40" t="str">
        <f>_xlfn.XLOOKUP(A1415,My_Audit!A:A,My_Audit!D:D,"")</f>
        <v/>
      </c>
      <c r="F1415" s="40" t="str" cm="1">
        <f t="array" ref="F1415">IFERROR(_xlfn.LET(
_xlpm.CSVVal,_xlfn.XLOOKUP($A1415,CSV!$A:$A,CSV!F:F,""),
_xlpm.MacVal,_xlfn.XLOOKUP($A1415,Output_Mac!$A:$A,Output_Mac!E:E,""),
_xlpm.MyAuditVal,_xlfn.XLOOKUP($A1415,My_Audit!$A:$A,My_Audit!E:E,""),
_xlfn.IFS(_xlpm.MyAuditVal&lt;&gt;"",_xlpm.MyAuditVal,_xlpm.MacVal&lt;&gt;"",_xlpm.MacVal,_xlpm.CSVVal&lt;&gt;"",_xlpm.CSVVal
)),"")</f>
        <v/>
      </c>
      <c r="G1415" s="40" t="str" cm="1">
        <f t="array" ref="G1415">IFERROR(_xlfn.LET(
_xlpm.CSVVal,_xlfn.XLOOKUP($A1415,CSV!$A:$A,CSV!G:G,""),
_xlpm.MacVal,_xlfn.XLOOKUP($A1415,Output_Mac!$A:$A,Output_Mac!F:F,""),
_xlpm.MyAuditVal,_xlfn.XLOOKUP($A1415,My_Audit!$A:$A,My_Audit!F:F,""),
_xlfn.IFS(_xlpm.MyAuditVal&lt;&gt;"",_xlpm.MyAuditVal,_xlpm.MacVal&lt;&gt;"",_xlpm.MacVal,_xlpm.CSVVal&lt;&gt;"",PROPER(_xlpm.CSVVal)
)),"")</f>
        <v/>
      </c>
      <c r="H1415" s="40" t="str" cm="1">
        <f t="array" ref="H1415">IFERROR(_xlfn.LET(
_xlpm.CSVVal,_xlfn.XLOOKUP($A1415,CSV!$A:$A,CSV!H:H,""),
_xlpm.MacVal,_xlfn.XLOOKUP($A1415,Output_Mac!$A:$A,Output_Mac!H:H,""),
_xlpm.MyAuditVal,_xlfn.XLOOKUP($A1415,My_Audit!$A:$A,My_Audit!G:G,""),
_xlfn.IFS(_xlpm.MyAuditVal&lt;&gt;"",_xlpm.MyAuditVal,_xlpm.MacVal&lt;&gt;"",_xlpm.MacVal,_xlpm.CSVVal&lt;&gt;"",_xlpm.CSVVal
)),"")</f>
        <v/>
      </c>
      <c r="I1415" s="40" t="str">
        <f>_xlfn.XLOOKUP(A1415,Output_Mac!A:A,Output_Mac!I:I,"")</f>
        <v/>
      </c>
      <c r="J1415" s="40" t="str" cm="1">
        <f t="array" ref="J1415">IFERROR(_xlfn.LET(
_xlpm.CSVVal,_xlfn.XLOOKUP($A1415,CSV!$A:$A,CSV!I:I,""),
_xlpm.MacVal,_xlfn.XLOOKUP($A1415,Output_Mac!$A:$A,Output_Mac!J:J,""),
_xlpm.MyAuditVal,_xlfn.XLOOKUP($A1415,My_Audit!$A:$A,My_Audit!I:I,""),
_xlfn.IFS(_xlpm.MyAuditVal&lt;&gt;"",UPPER(_xlpm.MyAuditVal),_xlpm.MacVal&lt;&gt;"",_xlpm.MacVal,_xlpm.CSVVal&lt;&gt;"",_xlpm.CSVVal
)),"")</f>
        <v/>
      </c>
      <c r="K1415" s="40" t="str" cm="1">
        <f t="array" ref="K1415">IFERROR(_xlfn.LET(
_xlpm.CSVVal,_xlfn.XLOOKUP($A1415,CSV!$A:$A,CSV!K:K,""),
_xlpm.MacVal,_xlfn.XLOOKUP($A1415,Output_Mac!$A:$A,Output_Mac!K:K,""),
_xlpm.MyAuditVal,_xlfn.XLOOKUP($A1415,My_Audit!$A:$A,My_Audit!J:J,""),
_xlfn.IFS(_xlpm.MyAuditVal&lt;&gt;"",UPPER(_xlpm.MyAuditVal),_xlpm.MacVal&lt;&gt;"",_xlpm.MacVal,_xlpm.CSVVal&lt;&gt;"",_xlpm.CSVVal
)),"")</f>
        <v/>
      </c>
      <c r="L1415" s="40" t="str" cm="1">
        <f t="array" ref="L1415">IFERROR(_xlfn.LET(
_xlpm.CSVVal,_xlfn.XLOOKUP($A1415,CSV!$A:$A,CSV!P:P,""),
_xlpm.MacVal,_xlfn.XLOOKUP($A1415,Output_Mac!$A:$A,Output_Mac!L:L,""),
_xlpm.MyAuditVal,_xlfn.XLOOKUP($A1415,My_Audit!$A:$A,My_Audit!K:K,""),
_xlfn.IFS(_xlpm.MyAuditVal&lt;&gt;"",UPPER(_xlpm.MyAuditVal),_xlpm.MacVal&lt;&gt;"",_xlpm.MacVal,_xlpm.CSVVal&lt;&gt;"",_xlpm.CSVVal
)),"")</f>
        <v/>
      </c>
      <c r="M1415" s="40" t="str" cm="1">
        <f t="array" ref="M1415">IFERROR(_xlfn.LET(
_xlpm.CSVVal,_xlfn.XLOOKUP($A1415,CSV!$A:$A,CSV!Q:Q,""),
_xlpm.MacVal,_xlfn.XLOOKUP($A1415,Output_Mac!$A:$A,Output_Mac!M:M,""),
_xlpm.MyAuditVal,_xlfn.XLOOKUP($A1415,My_Audit!$A:$A,My_Audit!L:L,""),
_xlfn.IFS(_xlpm.MyAuditVal&lt;&gt;"",UPPER(_xlpm.MyAuditVal),_xlpm.MacVal&lt;&gt;"",_xlpm.MacVal,_xlpm.CSVVal&lt;&gt;"",_xlpm.CSVVal
)),"")</f>
        <v/>
      </c>
      <c r="N1415" s="40"/>
      <c r="O1415" s="40" t="str">
        <f>_xlfn.LET(
    _xlpm.CSVVal, _xlfn.XLOOKUP($A1415, CSV!$A:$A, CSV!AA:AA, ""),
    _xlpm.MacVal, _xlfn.XLOOKUP($A1415, Output_Mac!$A:$A, Output_Mac!S:S, ""),
    _xlpm.MyAuditVal, _xlfn.XLOOKUP($A1415, My_Audit!$A:$A, My_Audit!P:P, ""),
    _xlfn.TEXTJOIN(", ", TRUE, _xlpm.MyAuditVal, _xlpm.MacVal, _xlpm.CSVVal)
)</f>
        <v/>
      </c>
      <c r="P1415" s="40" t="str" cm="1">
        <f t="array" ref="P1415">IFERROR(_xlfn.LET(
_xlpm.CSVVal,_xlfn.XLOOKUP($A1415,CSV!$A:$A,CSV!AB:AB,""),
_xlpm.MacVal,_xlfn.XLOOKUP($A1415,Output_Mac!$A:$A,Output_Mac!T:T,""),
_xlpm.MyAuditVal,_xlfn.XLOOKUP($A1415,My_Audit!$A:$A,My_Audit!Q:Q,""),
_xlfn.IFS(_xlpm.MyAuditVal&lt;&gt;"",UPPER(_xlpm.MyAuditVal),_xlpm.MacVal&lt;&gt;"",_xlpm.MacVal,_xlpm.CSVVal&lt;&gt;"",_xlpm.CSVVal
)),"No")</f>
        <v>No</v>
      </c>
      <c r="Q1415" s="40" t="str" cm="1">
        <f t="array" ref="Q1415">IFERROR(_xlfn.LET(
_xlpm.CSVVal,_xlfn.XLOOKUP($A1415,CSV!$A:$A,CSV!AC:AC,""),
_xlpm.MacVal,_xlfn.XLOOKUP($A1415,Output_Mac!$A:$A,Output_Mac!U:U,""),
_xlpm.MyAuditVal,_xlfn.XLOOKUP($A1415,My_Audit!$A:$A,My_Audit!R:R,""),
_xlfn.IFS(_xlpm.MyAuditVal&lt;&gt;"",UPPER(_xlpm.MyAuditVal),_xlpm.MacVal&lt;&gt;"",_xlpm.MacVal,_xlpm.CSVVal&lt;&gt;"",_xlpm.CSVVal
)),"")</f>
        <v/>
      </c>
      <c r="R1415" s="40"/>
      <c r="S1415" s="40"/>
      <c r="T1415" s="40"/>
      <c r="U1415" s="40"/>
      <c r="V1415" s="40"/>
      <c r="W1415" s="40"/>
      <c r="X1415" s="41" t="str">
        <f>_xlfn.LET(
    _xlpm.MacVal, _xlfn.XLOOKUP($A1415, Output_Mac!$A:$A, Output_Mac!AB:AB, ""),
    _xlpm.MyAuditVal, _xlfn.XLOOKUP($A1415, My_Audit!$A:$A, My_Audit!N:N, ""),
    _xlfn.TEXTJOIN(", ", TRUE, _xlpm.MyAuditVal, _xlpm.MacVal)
)</f>
        <v/>
      </c>
    </row>
    <row r="1416" spans="1:24">
      <c r="A1416" s="40" t="str">
        <f>_xlfn.TEXTJOIN("",TRUE,Input!$B$2,ROW(My_Audit!A1415))</f>
        <v>X1415</v>
      </c>
      <c r="B1416" s="40" t="str">
        <f>_xlfn.TEXTJOIN("-",TRUE,"ITD",Input!$A$2,A1416)</f>
        <v>ITD-X1415</v>
      </c>
      <c r="C1416" s="40" t="str" cm="1">
        <f t="array" ref="C1416">IFERROR(_xlfn.LET(
_xlpm.CSVVal,_xlfn.XLOOKUP($A1416,CSV!$A:$A,CSV!B:B,""),
_xlpm.MacVal,_xlfn.XLOOKUP($A1416,Output_Mac!$A:$A,Output_Mac!B:B,""),
_xlpm.MyAuditVal,_xlfn.XLOOKUP($A1416,My_Audit!$A:$A,My_Audit!B:B,""),
_xlfn.IFS(_xlpm.MyAuditVal&lt;&gt;"",UPPER(_xlpm.MyAuditVal),_xlpm.MacVal&lt;&gt;"",_xlpm.MacVal,_xlpm.CSVVal&lt;&gt;"",_xlpm.CSVVal
)),"")</f>
        <v/>
      </c>
      <c r="D1416" s="40" t="str" cm="1">
        <f t="array" ref="D1416">IFERROR(_xlfn.LET(
_xlpm.CSVVal,_xlfn.XLOOKUP($A1416,CSV!$A:$A,CSV!D:D,""),
_xlpm.MacVal,_xlfn.XLOOKUP($A1416,Output_Mac!$A:$A,Output_Mac!C:C,""),
_xlpm.MyAuditVal,_xlfn.XLOOKUP($A1416,My_Audit!$A:$A,My_Audit!C:C,""),
_xlfn.IFS(_xlpm.MyAuditVal&lt;&gt;"",_xlpm.MyAuditVal,_xlpm.MacVal&lt;&gt;"",_xlpm.MacVal,_xlpm.CSVVal&lt;&gt;"",_xlpm.CSVVal
)),"")</f>
        <v/>
      </c>
      <c r="E1416" s="40" t="str">
        <f>_xlfn.XLOOKUP(A1416,My_Audit!A:A,My_Audit!D:D,"")</f>
        <v/>
      </c>
      <c r="F1416" s="40" t="str" cm="1">
        <f t="array" ref="F1416">IFERROR(_xlfn.LET(
_xlpm.CSVVal,_xlfn.XLOOKUP($A1416,CSV!$A:$A,CSV!F:F,""),
_xlpm.MacVal,_xlfn.XLOOKUP($A1416,Output_Mac!$A:$A,Output_Mac!E:E,""),
_xlpm.MyAuditVal,_xlfn.XLOOKUP($A1416,My_Audit!$A:$A,My_Audit!E:E,""),
_xlfn.IFS(_xlpm.MyAuditVal&lt;&gt;"",_xlpm.MyAuditVal,_xlpm.MacVal&lt;&gt;"",_xlpm.MacVal,_xlpm.CSVVal&lt;&gt;"",_xlpm.CSVVal
)),"")</f>
        <v/>
      </c>
      <c r="G1416" s="40" t="str" cm="1">
        <f t="array" ref="G1416">IFERROR(_xlfn.LET(
_xlpm.CSVVal,_xlfn.XLOOKUP($A1416,CSV!$A:$A,CSV!G:G,""),
_xlpm.MacVal,_xlfn.XLOOKUP($A1416,Output_Mac!$A:$A,Output_Mac!F:F,""),
_xlpm.MyAuditVal,_xlfn.XLOOKUP($A1416,My_Audit!$A:$A,My_Audit!F:F,""),
_xlfn.IFS(_xlpm.MyAuditVal&lt;&gt;"",_xlpm.MyAuditVal,_xlpm.MacVal&lt;&gt;"",_xlpm.MacVal,_xlpm.CSVVal&lt;&gt;"",PROPER(_xlpm.CSVVal)
)),"")</f>
        <v/>
      </c>
      <c r="H1416" s="40" t="str" cm="1">
        <f t="array" ref="H1416">IFERROR(_xlfn.LET(
_xlpm.CSVVal,_xlfn.XLOOKUP($A1416,CSV!$A:$A,CSV!H:H,""),
_xlpm.MacVal,_xlfn.XLOOKUP($A1416,Output_Mac!$A:$A,Output_Mac!H:H,""),
_xlpm.MyAuditVal,_xlfn.XLOOKUP($A1416,My_Audit!$A:$A,My_Audit!G:G,""),
_xlfn.IFS(_xlpm.MyAuditVal&lt;&gt;"",_xlpm.MyAuditVal,_xlpm.MacVal&lt;&gt;"",_xlpm.MacVal,_xlpm.CSVVal&lt;&gt;"",_xlpm.CSVVal
)),"")</f>
        <v/>
      </c>
      <c r="I1416" s="40" t="str">
        <f>_xlfn.XLOOKUP(A1416,Output_Mac!A:A,Output_Mac!I:I,"")</f>
        <v/>
      </c>
      <c r="J1416" s="40" t="str" cm="1">
        <f t="array" ref="J1416">IFERROR(_xlfn.LET(
_xlpm.CSVVal,_xlfn.XLOOKUP($A1416,CSV!$A:$A,CSV!I:I,""),
_xlpm.MacVal,_xlfn.XLOOKUP($A1416,Output_Mac!$A:$A,Output_Mac!J:J,""),
_xlpm.MyAuditVal,_xlfn.XLOOKUP($A1416,My_Audit!$A:$A,My_Audit!I:I,""),
_xlfn.IFS(_xlpm.MyAuditVal&lt;&gt;"",UPPER(_xlpm.MyAuditVal),_xlpm.MacVal&lt;&gt;"",_xlpm.MacVal,_xlpm.CSVVal&lt;&gt;"",_xlpm.CSVVal
)),"")</f>
        <v/>
      </c>
      <c r="K1416" s="40" t="str" cm="1">
        <f t="array" ref="K1416">IFERROR(_xlfn.LET(
_xlpm.CSVVal,_xlfn.XLOOKUP($A1416,CSV!$A:$A,CSV!K:K,""),
_xlpm.MacVal,_xlfn.XLOOKUP($A1416,Output_Mac!$A:$A,Output_Mac!K:K,""),
_xlpm.MyAuditVal,_xlfn.XLOOKUP($A1416,My_Audit!$A:$A,My_Audit!J:J,""),
_xlfn.IFS(_xlpm.MyAuditVal&lt;&gt;"",UPPER(_xlpm.MyAuditVal),_xlpm.MacVal&lt;&gt;"",_xlpm.MacVal,_xlpm.CSVVal&lt;&gt;"",_xlpm.CSVVal
)),"")</f>
        <v/>
      </c>
      <c r="L1416" s="40" t="str" cm="1">
        <f t="array" ref="L1416">IFERROR(_xlfn.LET(
_xlpm.CSVVal,_xlfn.XLOOKUP($A1416,CSV!$A:$A,CSV!P:P,""),
_xlpm.MacVal,_xlfn.XLOOKUP($A1416,Output_Mac!$A:$A,Output_Mac!L:L,""),
_xlpm.MyAuditVal,_xlfn.XLOOKUP($A1416,My_Audit!$A:$A,My_Audit!K:K,""),
_xlfn.IFS(_xlpm.MyAuditVal&lt;&gt;"",UPPER(_xlpm.MyAuditVal),_xlpm.MacVal&lt;&gt;"",_xlpm.MacVal,_xlpm.CSVVal&lt;&gt;"",_xlpm.CSVVal
)),"")</f>
        <v/>
      </c>
      <c r="M1416" s="40" t="str" cm="1">
        <f t="array" ref="M1416">IFERROR(_xlfn.LET(
_xlpm.CSVVal,_xlfn.XLOOKUP($A1416,CSV!$A:$A,CSV!Q:Q,""),
_xlpm.MacVal,_xlfn.XLOOKUP($A1416,Output_Mac!$A:$A,Output_Mac!M:M,""),
_xlpm.MyAuditVal,_xlfn.XLOOKUP($A1416,My_Audit!$A:$A,My_Audit!L:L,""),
_xlfn.IFS(_xlpm.MyAuditVal&lt;&gt;"",UPPER(_xlpm.MyAuditVal),_xlpm.MacVal&lt;&gt;"",_xlpm.MacVal,_xlpm.CSVVal&lt;&gt;"",_xlpm.CSVVal
)),"")</f>
        <v/>
      </c>
      <c r="N1416" s="40"/>
      <c r="O1416" s="40" t="str">
        <f>_xlfn.LET(
    _xlpm.CSVVal, _xlfn.XLOOKUP($A1416, CSV!$A:$A, CSV!AA:AA, ""),
    _xlpm.MacVal, _xlfn.XLOOKUP($A1416, Output_Mac!$A:$A, Output_Mac!S:S, ""),
    _xlpm.MyAuditVal, _xlfn.XLOOKUP($A1416, My_Audit!$A:$A, My_Audit!P:P, ""),
    _xlfn.TEXTJOIN(", ", TRUE, _xlpm.MyAuditVal, _xlpm.MacVal, _xlpm.CSVVal)
)</f>
        <v/>
      </c>
      <c r="P1416" s="40" t="str" cm="1">
        <f t="array" ref="P1416">IFERROR(_xlfn.LET(
_xlpm.CSVVal,_xlfn.XLOOKUP($A1416,CSV!$A:$A,CSV!AB:AB,""),
_xlpm.MacVal,_xlfn.XLOOKUP($A1416,Output_Mac!$A:$A,Output_Mac!T:T,""),
_xlpm.MyAuditVal,_xlfn.XLOOKUP($A1416,My_Audit!$A:$A,My_Audit!Q:Q,""),
_xlfn.IFS(_xlpm.MyAuditVal&lt;&gt;"",UPPER(_xlpm.MyAuditVal),_xlpm.MacVal&lt;&gt;"",_xlpm.MacVal,_xlpm.CSVVal&lt;&gt;"",_xlpm.CSVVal
)),"No")</f>
        <v>No</v>
      </c>
      <c r="Q1416" s="40" t="str" cm="1">
        <f t="array" ref="Q1416">IFERROR(_xlfn.LET(
_xlpm.CSVVal,_xlfn.XLOOKUP($A1416,CSV!$A:$A,CSV!AC:AC,""),
_xlpm.MacVal,_xlfn.XLOOKUP($A1416,Output_Mac!$A:$A,Output_Mac!U:U,""),
_xlpm.MyAuditVal,_xlfn.XLOOKUP($A1416,My_Audit!$A:$A,My_Audit!R:R,""),
_xlfn.IFS(_xlpm.MyAuditVal&lt;&gt;"",UPPER(_xlpm.MyAuditVal),_xlpm.MacVal&lt;&gt;"",_xlpm.MacVal,_xlpm.CSVVal&lt;&gt;"",_xlpm.CSVVal
)),"")</f>
        <v/>
      </c>
      <c r="R1416" s="40"/>
      <c r="S1416" s="40"/>
      <c r="T1416" s="40"/>
      <c r="U1416" s="40"/>
      <c r="V1416" s="40"/>
      <c r="W1416" s="40"/>
      <c r="X1416" s="41" t="str">
        <f>_xlfn.LET(
    _xlpm.MacVal, _xlfn.XLOOKUP($A1416, Output_Mac!$A:$A, Output_Mac!AB:AB, ""),
    _xlpm.MyAuditVal, _xlfn.XLOOKUP($A1416, My_Audit!$A:$A, My_Audit!N:N, ""),
    _xlfn.TEXTJOIN(", ", TRUE, _xlpm.MyAuditVal, _xlpm.MacVal)
)</f>
        <v/>
      </c>
    </row>
    <row r="1417" spans="1:24">
      <c r="A1417" s="40" t="str">
        <f>_xlfn.TEXTJOIN("",TRUE,Input!$B$2,ROW(My_Audit!A1416))</f>
        <v>X1416</v>
      </c>
      <c r="B1417" s="40" t="str">
        <f>_xlfn.TEXTJOIN("-",TRUE,"ITD",Input!$A$2,A1417)</f>
        <v>ITD-X1416</v>
      </c>
      <c r="C1417" s="40" t="str" cm="1">
        <f t="array" ref="C1417">IFERROR(_xlfn.LET(
_xlpm.CSVVal,_xlfn.XLOOKUP($A1417,CSV!$A:$A,CSV!B:B,""),
_xlpm.MacVal,_xlfn.XLOOKUP($A1417,Output_Mac!$A:$A,Output_Mac!B:B,""),
_xlpm.MyAuditVal,_xlfn.XLOOKUP($A1417,My_Audit!$A:$A,My_Audit!B:B,""),
_xlfn.IFS(_xlpm.MyAuditVal&lt;&gt;"",UPPER(_xlpm.MyAuditVal),_xlpm.MacVal&lt;&gt;"",_xlpm.MacVal,_xlpm.CSVVal&lt;&gt;"",_xlpm.CSVVal
)),"")</f>
        <v/>
      </c>
      <c r="D1417" s="40" t="str" cm="1">
        <f t="array" ref="D1417">IFERROR(_xlfn.LET(
_xlpm.CSVVal,_xlfn.XLOOKUP($A1417,CSV!$A:$A,CSV!D:D,""),
_xlpm.MacVal,_xlfn.XLOOKUP($A1417,Output_Mac!$A:$A,Output_Mac!C:C,""),
_xlpm.MyAuditVal,_xlfn.XLOOKUP($A1417,My_Audit!$A:$A,My_Audit!C:C,""),
_xlfn.IFS(_xlpm.MyAuditVal&lt;&gt;"",_xlpm.MyAuditVal,_xlpm.MacVal&lt;&gt;"",_xlpm.MacVal,_xlpm.CSVVal&lt;&gt;"",_xlpm.CSVVal
)),"")</f>
        <v/>
      </c>
      <c r="E1417" s="40" t="str">
        <f>_xlfn.XLOOKUP(A1417,My_Audit!A:A,My_Audit!D:D,"")</f>
        <v/>
      </c>
      <c r="F1417" s="40" t="str" cm="1">
        <f t="array" ref="F1417">IFERROR(_xlfn.LET(
_xlpm.CSVVal,_xlfn.XLOOKUP($A1417,CSV!$A:$A,CSV!F:F,""),
_xlpm.MacVal,_xlfn.XLOOKUP($A1417,Output_Mac!$A:$A,Output_Mac!E:E,""),
_xlpm.MyAuditVal,_xlfn.XLOOKUP($A1417,My_Audit!$A:$A,My_Audit!E:E,""),
_xlfn.IFS(_xlpm.MyAuditVal&lt;&gt;"",_xlpm.MyAuditVal,_xlpm.MacVal&lt;&gt;"",_xlpm.MacVal,_xlpm.CSVVal&lt;&gt;"",_xlpm.CSVVal
)),"")</f>
        <v/>
      </c>
      <c r="G1417" s="40" t="str" cm="1">
        <f t="array" ref="G1417">IFERROR(_xlfn.LET(
_xlpm.CSVVal,_xlfn.XLOOKUP($A1417,CSV!$A:$A,CSV!G:G,""),
_xlpm.MacVal,_xlfn.XLOOKUP($A1417,Output_Mac!$A:$A,Output_Mac!F:F,""),
_xlpm.MyAuditVal,_xlfn.XLOOKUP($A1417,My_Audit!$A:$A,My_Audit!F:F,""),
_xlfn.IFS(_xlpm.MyAuditVal&lt;&gt;"",_xlpm.MyAuditVal,_xlpm.MacVal&lt;&gt;"",_xlpm.MacVal,_xlpm.CSVVal&lt;&gt;"",PROPER(_xlpm.CSVVal)
)),"")</f>
        <v/>
      </c>
      <c r="H1417" s="40" t="str" cm="1">
        <f t="array" ref="H1417">IFERROR(_xlfn.LET(
_xlpm.CSVVal,_xlfn.XLOOKUP($A1417,CSV!$A:$A,CSV!H:H,""),
_xlpm.MacVal,_xlfn.XLOOKUP($A1417,Output_Mac!$A:$A,Output_Mac!H:H,""),
_xlpm.MyAuditVal,_xlfn.XLOOKUP($A1417,My_Audit!$A:$A,My_Audit!G:G,""),
_xlfn.IFS(_xlpm.MyAuditVal&lt;&gt;"",_xlpm.MyAuditVal,_xlpm.MacVal&lt;&gt;"",_xlpm.MacVal,_xlpm.CSVVal&lt;&gt;"",_xlpm.CSVVal
)),"")</f>
        <v/>
      </c>
      <c r="I1417" s="40" t="str">
        <f>_xlfn.XLOOKUP(A1417,Output_Mac!A:A,Output_Mac!I:I,"")</f>
        <v/>
      </c>
      <c r="J1417" s="40" t="str" cm="1">
        <f t="array" ref="J1417">IFERROR(_xlfn.LET(
_xlpm.CSVVal,_xlfn.XLOOKUP($A1417,CSV!$A:$A,CSV!I:I,""),
_xlpm.MacVal,_xlfn.XLOOKUP($A1417,Output_Mac!$A:$A,Output_Mac!J:J,""),
_xlpm.MyAuditVal,_xlfn.XLOOKUP($A1417,My_Audit!$A:$A,My_Audit!I:I,""),
_xlfn.IFS(_xlpm.MyAuditVal&lt;&gt;"",UPPER(_xlpm.MyAuditVal),_xlpm.MacVal&lt;&gt;"",_xlpm.MacVal,_xlpm.CSVVal&lt;&gt;"",_xlpm.CSVVal
)),"")</f>
        <v/>
      </c>
      <c r="K1417" s="40" t="str" cm="1">
        <f t="array" ref="K1417">IFERROR(_xlfn.LET(
_xlpm.CSVVal,_xlfn.XLOOKUP($A1417,CSV!$A:$A,CSV!K:K,""),
_xlpm.MacVal,_xlfn.XLOOKUP($A1417,Output_Mac!$A:$A,Output_Mac!K:K,""),
_xlpm.MyAuditVal,_xlfn.XLOOKUP($A1417,My_Audit!$A:$A,My_Audit!J:J,""),
_xlfn.IFS(_xlpm.MyAuditVal&lt;&gt;"",UPPER(_xlpm.MyAuditVal),_xlpm.MacVal&lt;&gt;"",_xlpm.MacVal,_xlpm.CSVVal&lt;&gt;"",_xlpm.CSVVal
)),"")</f>
        <v/>
      </c>
      <c r="L1417" s="40" t="str" cm="1">
        <f t="array" ref="L1417">IFERROR(_xlfn.LET(
_xlpm.CSVVal,_xlfn.XLOOKUP($A1417,CSV!$A:$A,CSV!P:P,""),
_xlpm.MacVal,_xlfn.XLOOKUP($A1417,Output_Mac!$A:$A,Output_Mac!L:L,""),
_xlpm.MyAuditVal,_xlfn.XLOOKUP($A1417,My_Audit!$A:$A,My_Audit!K:K,""),
_xlfn.IFS(_xlpm.MyAuditVal&lt;&gt;"",UPPER(_xlpm.MyAuditVal),_xlpm.MacVal&lt;&gt;"",_xlpm.MacVal,_xlpm.CSVVal&lt;&gt;"",_xlpm.CSVVal
)),"")</f>
        <v/>
      </c>
      <c r="M1417" s="40" t="str" cm="1">
        <f t="array" ref="M1417">IFERROR(_xlfn.LET(
_xlpm.CSVVal,_xlfn.XLOOKUP($A1417,CSV!$A:$A,CSV!Q:Q,""),
_xlpm.MacVal,_xlfn.XLOOKUP($A1417,Output_Mac!$A:$A,Output_Mac!M:M,""),
_xlpm.MyAuditVal,_xlfn.XLOOKUP($A1417,My_Audit!$A:$A,My_Audit!L:L,""),
_xlfn.IFS(_xlpm.MyAuditVal&lt;&gt;"",UPPER(_xlpm.MyAuditVal),_xlpm.MacVal&lt;&gt;"",_xlpm.MacVal,_xlpm.CSVVal&lt;&gt;"",_xlpm.CSVVal
)),"")</f>
        <v/>
      </c>
      <c r="N1417" s="40"/>
      <c r="O1417" s="40" t="str">
        <f>_xlfn.LET(
    _xlpm.CSVVal, _xlfn.XLOOKUP($A1417, CSV!$A:$A, CSV!AA:AA, ""),
    _xlpm.MacVal, _xlfn.XLOOKUP($A1417, Output_Mac!$A:$A, Output_Mac!S:S, ""),
    _xlpm.MyAuditVal, _xlfn.XLOOKUP($A1417, My_Audit!$A:$A, My_Audit!P:P, ""),
    _xlfn.TEXTJOIN(", ", TRUE, _xlpm.MyAuditVal, _xlpm.MacVal, _xlpm.CSVVal)
)</f>
        <v/>
      </c>
      <c r="P1417" s="40" t="str" cm="1">
        <f t="array" ref="P1417">IFERROR(_xlfn.LET(
_xlpm.CSVVal,_xlfn.XLOOKUP($A1417,CSV!$A:$A,CSV!AB:AB,""),
_xlpm.MacVal,_xlfn.XLOOKUP($A1417,Output_Mac!$A:$A,Output_Mac!T:T,""),
_xlpm.MyAuditVal,_xlfn.XLOOKUP($A1417,My_Audit!$A:$A,My_Audit!Q:Q,""),
_xlfn.IFS(_xlpm.MyAuditVal&lt;&gt;"",UPPER(_xlpm.MyAuditVal),_xlpm.MacVal&lt;&gt;"",_xlpm.MacVal,_xlpm.CSVVal&lt;&gt;"",_xlpm.CSVVal
)),"No")</f>
        <v>No</v>
      </c>
      <c r="Q1417" s="40" t="str" cm="1">
        <f t="array" ref="Q1417">IFERROR(_xlfn.LET(
_xlpm.CSVVal,_xlfn.XLOOKUP($A1417,CSV!$A:$A,CSV!AC:AC,""),
_xlpm.MacVal,_xlfn.XLOOKUP($A1417,Output_Mac!$A:$A,Output_Mac!U:U,""),
_xlpm.MyAuditVal,_xlfn.XLOOKUP($A1417,My_Audit!$A:$A,My_Audit!R:R,""),
_xlfn.IFS(_xlpm.MyAuditVal&lt;&gt;"",UPPER(_xlpm.MyAuditVal),_xlpm.MacVal&lt;&gt;"",_xlpm.MacVal,_xlpm.CSVVal&lt;&gt;"",_xlpm.CSVVal
)),"")</f>
        <v/>
      </c>
      <c r="R1417" s="40"/>
      <c r="S1417" s="40"/>
      <c r="T1417" s="40"/>
      <c r="U1417" s="40"/>
      <c r="V1417" s="40"/>
      <c r="W1417" s="40"/>
      <c r="X1417" s="41" t="str">
        <f>_xlfn.LET(
    _xlpm.MacVal, _xlfn.XLOOKUP($A1417, Output_Mac!$A:$A, Output_Mac!AB:AB, ""),
    _xlpm.MyAuditVal, _xlfn.XLOOKUP($A1417, My_Audit!$A:$A, My_Audit!N:N, ""),
    _xlfn.TEXTJOIN(", ", TRUE, _xlpm.MyAuditVal, _xlpm.MacVal)
)</f>
        <v/>
      </c>
    </row>
    <row r="1418" spans="1:24">
      <c r="A1418" s="40" t="str">
        <f>_xlfn.TEXTJOIN("",TRUE,Input!$B$2,ROW(My_Audit!A1417))</f>
        <v>X1417</v>
      </c>
      <c r="B1418" s="40" t="str">
        <f>_xlfn.TEXTJOIN("-",TRUE,"ITD",Input!$A$2,A1418)</f>
        <v>ITD-X1417</v>
      </c>
      <c r="C1418" s="40" t="str" cm="1">
        <f t="array" ref="C1418">IFERROR(_xlfn.LET(
_xlpm.CSVVal,_xlfn.XLOOKUP($A1418,CSV!$A:$A,CSV!B:B,""),
_xlpm.MacVal,_xlfn.XLOOKUP($A1418,Output_Mac!$A:$A,Output_Mac!B:B,""),
_xlpm.MyAuditVal,_xlfn.XLOOKUP($A1418,My_Audit!$A:$A,My_Audit!B:B,""),
_xlfn.IFS(_xlpm.MyAuditVal&lt;&gt;"",UPPER(_xlpm.MyAuditVal),_xlpm.MacVal&lt;&gt;"",_xlpm.MacVal,_xlpm.CSVVal&lt;&gt;"",_xlpm.CSVVal
)),"")</f>
        <v/>
      </c>
      <c r="D1418" s="40" t="str" cm="1">
        <f t="array" ref="D1418">IFERROR(_xlfn.LET(
_xlpm.CSVVal,_xlfn.XLOOKUP($A1418,CSV!$A:$A,CSV!D:D,""),
_xlpm.MacVal,_xlfn.XLOOKUP($A1418,Output_Mac!$A:$A,Output_Mac!C:C,""),
_xlpm.MyAuditVal,_xlfn.XLOOKUP($A1418,My_Audit!$A:$A,My_Audit!C:C,""),
_xlfn.IFS(_xlpm.MyAuditVal&lt;&gt;"",_xlpm.MyAuditVal,_xlpm.MacVal&lt;&gt;"",_xlpm.MacVal,_xlpm.CSVVal&lt;&gt;"",_xlpm.CSVVal
)),"")</f>
        <v/>
      </c>
      <c r="E1418" s="40" t="str">
        <f>_xlfn.XLOOKUP(A1418,My_Audit!A:A,My_Audit!D:D,"")</f>
        <v/>
      </c>
      <c r="F1418" s="40" t="str" cm="1">
        <f t="array" ref="F1418">IFERROR(_xlfn.LET(
_xlpm.CSVVal,_xlfn.XLOOKUP($A1418,CSV!$A:$A,CSV!F:F,""),
_xlpm.MacVal,_xlfn.XLOOKUP($A1418,Output_Mac!$A:$A,Output_Mac!E:E,""),
_xlpm.MyAuditVal,_xlfn.XLOOKUP($A1418,My_Audit!$A:$A,My_Audit!E:E,""),
_xlfn.IFS(_xlpm.MyAuditVal&lt;&gt;"",_xlpm.MyAuditVal,_xlpm.MacVal&lt;&gt;"",_xlpm.MacVal,_xlpm.CSVVal&lt;&gt;"",_xlpm.CSVVal
)),"")</f>
        <v/>
      </c>
      <c r="G1418" s="40" t="str" cm="1">
        <f t="array" ref="G1418">IFERROR(_xlfn.LET(
_xlpm.CSVVal,_xlfn.XLOOKUP($A1418,CSV!$A:$A,CSV!G:G,""),
_xlpm.MacVal,_xlfn.XLOOKUP($A1418,Output_Mac!$A:$A,Output_Mac!F:F,""),
_xlpm.MyAuditVal,_xlfn.XLOOKUP($A1418,My_Audit!$A:$A,My_Audit!F:F,""),
_xlfn.IFS(_xlpm.MyAuditVal&lt;&gt;"",_xlpm.MyAuditVal,_xlpm.MacVal&lt;&gt;"",_xlpm.MacVal,_xlpm.CSVVal&lt;&gt;"",PROPER(_xlpm.CSVVal)
)),"")</f>
        <v/>
      </c>
      <c r="H1418" s="40" t="str" cm="1">
        <f t="array" ref="H1418">IFERROR(_xlfn.LET(
_xlpm.CSVVal,_xlfn.XLOOKUP($A1418,CSV!$A:$A,CSV!H:H,""),
_xlpm.MacVal,_xlfn.XLOOKUP($A1418,Output_Mac!$A:$A,Output_Mac!H:H,""),
_xlpm.MyAuditVal,_xlfn.XLOOKUP($A1418,My_Audit!$A:$A,My_Audit!G:G,""),
_xlfn.IFS(_xlpm.MyAuditVal&lt;&gt;"",_xlpm.MyAuditVal,_xlpm.MacVal&lt;&gt;"",_xlpm.MacVal,_xlpm.CSVVal&lt;&gt;"",_xlpm.CSVVal
)),"")</f>
        <v/>
      </c>
      <c r="I1418" s="40" t="str">
        <f>_xlfn.XLOOKUP(A1418,Output_Mac!A:A,Output_Mac!I:I,"")</f>
        <v/>
      </c>
      <c r="J1418" s="40" t="str" cm="1">
        <f t="array" ref="J1418">IFERROR(_xlfn.LET(
_xlpm.CSVVal,_xlfn.XLOOKUP($A1418,CSV!$A:$A,CSV!I:I,""),
_xlpm.MacVal,_xlfn.XLOOKUP($A1418,Output_Mac!$A:$A,Output_Mac!J:J,""),
_xlpm.MyAuditVal,_xlfn.XLOOKUP($A1418,My_Audit!$A:$A,My_Audit!I:I,""),
_xlfn.IFS(_xlpm.MyAuditVal&lt;&gt;"",UPPER(_xlpm.MyAuditVal),_xlpm.MacVal&lt;&gt;"",_xlpm.MacVal,_xlpm.CSVVal&lt;&gt;"",_xlpm.CSVVal
)),"")</f>
        <v/>
      </c>
      <c r="K1418" s="40" t="str" cm="1">
        <f t="array" ref="K1418">IFERROR(_xlfn.LET(
_xlpm.CSVVal,_xlfn.XLOOKUP($A1418,CSV!$A:$A,CSV!K:K,""),
_xlpm.MacVal,_xlfn.XLOOKUP($A1418,Output_Mac!$A:$A,Output_Mac!K:K,""),
_xlpm.MyAuditVal,_xlfn.XLOOKUP($A1418,My_Audit!$A:$A,My_Audit!J:J,""),
_xlfn.IFS(_xlpm.MyAuditVal&lt;&gt;"",UPPER(_xlpm.MyAuditVal),_xlpm.MacVal&lt;&gt;"",_xlpm.MacVal,_xlpm.CSVVal&lt;&gt;"",_xlpm.CSVVal
)),"")</f>
        <v/>
      </c>
      <c r="L1418" s="40" t="str" cm="1">
        <f t="array" ref="L1418">IFERROR(_xlfn.LET(
_xlpm.CSVVal,_xlfn.XLOOKUP($A1418,CSV!$A:$A,CSV!P:P,""),
_xlpm.MacVal,_xlfn.XLOOKUP($A1418,Output_Mac!$A:$A,Output_Mac!L:L,""),
_xlpm.MyAuditVal,_xlfn.XLOOKUP($A1418,My_Audit!$A:$A,My_Audit!K:K,""),
_xlfn.IFS(_xlpm.MyAuditVal&lt;&gt;"",UPPER(_xlpm.MyAuditVal),_xlpm.MacVal&lt;&gt;"",_xlpm.MacVal,_xlpm.CSVVal&lt;&gt;"",_xlpm.CSVVal
)),"")</f>
        <v/>
      </c>
      <c r="M1418" s="40" t="str" cm="1">
        <f t="array" ref="M1418">IFERROR(_xlfn.LET(
_xlpm.CSVVal,_xlfn.XLOOKUP($A1418,CSV!$A:$A,CSV!Q:Q,""),
_xlpm.MacVal,_xlfn.XLOOKUP($A1418,Output_Mac!$A:$A,Output_Mac!M:M,""),
_xlpm.MyAuditVal,_xlfn.XLOOKUP($A1418,My_Audit!$A:$A,My_Audit!L:L,""),
_xlfn.IFS(_xlpm.MyAuditVal&lt;&gt;"",UPPER(_xlpm.MyAuditVal),_xlpm.MacVal&lt;&gt;"",_xlpm.MacVal,_xlpm.CSVVal&lt;&gt;"",_xlpm.CSVVal
)),"")</f>
        <v/>
      </c>
      <c r="N1418" s="40"/>
      <c r="O1418" s="40" t="str">
        <f>_xlfn.LET(
    _xlpm.CSVVal, _xlfn.XLOOKUP($A1418, CSV!$A:$A, CSV!AA:AA, ""),
    _xlpm.MacVal, _xlfn.XLOOKUP($A1418, Output_Mac!$A:$A, Output_Mac!S:S, ""),
    _xlpm.MyAuditVal, _xlfn.XLOOKUP($A1418, My_Audit!$A:$A, My_Audit!P:P, ""),
    _xlfn.TEXTJOIN(", ", TRUE, _xlpm.MyAuditVal, _xlpm.MacVal, _xlpm.CSVVal)
)</f>
        <v/>
      </c>
      <c r="P1418" s="40" t="str" cm="1">
        <f t="array" ref="P1418">IFERROR(_xlfn.LET(
_xlpm.CSVVal,_xlfn.XLOOKUP($A1418,CSV!$A:$A,CSV!AB:AB,""),
_xlpm.MacVal,_xlfn.XLOOKUP($A1418,Output_Mac!$A:$A,Output_Mac!T:T,""),
_xlpm.MyAuditVal,_xlfn.XLOOKUP($A1418,My_Audit!$A:$A,My_Audit!Q:Q,""),
_xlfn.IFS(_xlpm.MyAuditVal&lt;&gt;"",UPPER(_xlpm.MyAuditVal),_xlpm.MacVal&lt;&gt;"",_xlpm.MacVal,_xlpm.CSVVal&lt;&gt;"",_xlpm.CSVVal
)),"No")</f>
        <v>No</v>
      </c>
      <c r="Q1418" s="40" t="str" cm="1">
        <f t="array" ref="Q1418">IFERROR(_xlfn.LET(
_xlpm.CSVVal,_xlfn.XLOOKUP($A1418,CSV!$A:$A,CSV!AC:AC,""),
_xlpm.MacVal,_xlfn.XLOOKUP($A1418,Output_Mac!$A:$A,Output_Mac!U:U,""),
_xlpm.MyAuditVal,_xlfn.XLOOKUP($A1418,My_Audit!$A:$A,My_Audit!R:R,""),
_xlfn.IFS(_xlpm.MyAuditVal&lt;&gt;"",UPPER(_xlpm.MyAuditVal),_xlpm.MacVal&lt;&gt;"",_xlpm.MacVal,_xlpm.CSVVal&lt;&gt;"",_xlpm.CSVVal
)),"")</f>
        <v/>
      </c>
      <c r="R1418" s="40"/>
      <c r="S1418" s="40"/>
      <c r="T1418" s="40"/>
      <c r="U1418" s="40"/>
      <c r="V1418" s="40"/>
      <c r="W1418" s="40"/>
      <c r="X1418" s="41" t="str">
        <f>_xlfn.LET(
    _xlpm.MacVal, _xlfn.XLOOKUP($A1418, Output_Mac!$A:$A, Output_Mac!AB:AB, ""),
    _xlpm.MyAuditVal, _xlfn.XLOOKUP($A1418, My_Audit!$A:$A, My_Audit!N:N, ""),
    _xlfn.TEXTJOIN(", ", TRUE, _xlpm.MyAuditVal, _xlpm.MacVal)
)</f>
        <v/>
      </c>
    </row>
    <row r="1419" spans="1:24">
      <c r="A1419" s="40" t="str">
        <f>_xlfn.TEXTJOIN("",TRUE,Input!$B$2,ROW(My_Audit!A1418))</f>
        <v>X1418</v>
      </c>
      <c r="B1419" s="40" t="str">
        <f>_xlfn.TEXTJOIN("-",TRUE,"ITD",Input!$A$2,A1419)</f>
        <v>ITD-X1418</v>
      </c>
      <c r="C1419" s="40" t="str" cm="1">
        <f t="array" ref="C1419">IFERROR(_xlfn.LET(
_xlpm.CSVVal,_xlfn.XLOOKUP($A1419,CSV!$A:$A,CSV!B:B,""),
_xlpm.MacVal,_xlfn.XLOOKUP($A1419,Output_Mac!$A:$A,Output_Mac!B:B,""),
_xlpm.MyAuditVal,_xlfn.XLOOKUP($A1419,My_Audit!$A:$A,My_Audit!B:B,""),
_xlfn.IFS(_xlpm.MyAuditVal&lt;&gt;"",UPPER(_xlpm.MyAuditVal),_xlpm.MacVal&lt;&gt;"",_xlpm.MacVal,_xlpm.CSVVal&lt;&gt;"",_xlpm.CSVVal
)),"")</f>
        <v/>
      </c>
      <c r="D1419" s="40" t="str" cm="1">
        <f t="array" ref="D1419">IFERROR(_xlfn.LET(
_xlpm.CSVVal,_xlfn.XLOOKUP($A1419,CSV!$A:$A,CSV!D:D,""),
_xlpm.MacVal,_xlfn.XLOOKUP($A1419,Output_Mac!$A:$A,Output_Mac!C:C,""),
_xlpm.MyAuditVal,_xlfn.XLOOKUP($A1419,My_Audit!$A:$A,My_Audit!C:C,""),
_xlfn.IFS(_xlpm.MyAuditVal&lt;&gt;"",_xlpm.MyAuditVal,_xlpm.MacVal&lt;&gt;"",_xlpm.MacVal,_xlpm.CSVVal&lt;&gt;"",_xlpm.CSVVal
)),"")</f>
        <v/>
      </c>
      <c r="E1419" s="40" t="str">
        <f>_xlfn.XLOOKUP(A1419,My_Audit!A:A,My_Audit!D:D,"")</f>
        <v/>
      </c>
      <c r="F1419" s="40" t="str" cm="1">
        <f t="array" ref="F1419">IFERROR(_xlfn.LET(
_xlpm.CSVVal,_xlfn.XLOOKUP($A1419,CSV!$A:$A,CSV!F:F,""),
_xlpm.MacVal,_xlfn.XLOOKUP($A1419,Output_Mac!$A:$A,Output_Mac!E:E,""),
_xlpm.MyAuditVal,_xlfn.XLOOKUP($A1419,My_Audit!$A:$A,My_Audit!E:E,""),
_xlfn.IFS(_xlpm.MyAuditVal&lt;&gt;"",_xlpm.MyAuditVal,_xlpm.MacVal&lt;&gt;"",_xlpm.MacVal,_xlpm.CSVVal&lt;&gt;"",_xlpm.CSVVal
)),"")</f>
        <v/>
      </c>
      <c r="G1419" s="40" t="str" cm="1">
        <f t="array" ref="G1419">IFERROR(_xlfn.LET(
_xlpm.CSVVal,_xlfn.XLOOKUP($A1419,CSV!$A:$A,CSV!G:G,""),
_xlpm.MacVal,_xlfn.XLOOKUP($A1419,Output_Mac!$A:$A,Output_Mac!F:F,""),
_xlpm.MyAuditVal,_xlfn.XLOOKUP($A1419,My_Audit!$A:$A,My_Audit!F:F,""),
_xlfn.IFS(_xlpm.MyAuditVal&lt;&gt;"",_xlpm.MyAuditVal,_xlpm.MacVal&lt;&gt;"",_xlpm.MacVal,_xlpm.CSVVal&lt;&gt;"",PROPER(_xlpm.CSVVal)
)),"")</f>
        <v/>
      </c>
      <c r="H1419" s="40" t="str" cm="1">
        <f t="array" ref="H1419">IFERROR(_xlfn.LET(
_xlpm.CSVVal,_xlfn.XLOOKUP($A1419,CSV!$A:$A,CSV!H:H,""),
_xlpm.MacVal,_xlfn.XLOOKUP($A1419,Output_Mac!$A:$A,Output_Mac!H:H,""),
_xlpm.MyAuditVal,_xlfn.XLOOKUP($A1419,My_Audit!$A:$A,My_Audit!G:G,""),
_xlfn.IFS(_xlpm.MyAuditVal&lt;&gt;"",_xlpm.MyAuditVal,_xlpm.MacVal&lt;&gt;"",_xlpm.MacVal,_xlpm.CSVVal&lt;&gt;"",_xlpm.CSVVal
)),"")</f>
        <v/>
      </c>
      <c r="I1419" s="40" t="str">
        <f>_xlfn.XLOOKUP(A1419,Output_Mac!A:A,Output_Mac!I:I,"")</f>
        <v/>
      </c>
      <c r="J1419" s="40" t="str" cm="1">
        <f t="array" ref="J1419">IFERROR(_xlfn.LET(
_xlpm.CSVVal,_xlfn.XLOOKUP($A1419,CSV!$A:$A,CSV!I:I,""),
_xlpm.MacVal,_xlfn.XLOOKUP($A1419,Output_Mac!$A:$A,Output_Mac!J:J,""),
_xlpm.MyAuditVal,_xlfn.XLOOKUP($A1419,My_Audit!$A:$A,My_Audit!I:I,""),
_xlfn.IFS(_xlpm.MyAuditVal&lt;&gt;"",UPPER(_xlpm.MyAuditVal),_xlpm.MacVal&lt;&gt;"",_xlpm.MacVal,_xlpm.CSVVal&lt;&gt;"",_xlpm.CSVVal
)),"")</f>
        <v/>
      </c>
      <c r="K1419" s="40" t="str" cm="1">
        <f t="array" ref="K1419">IFERROR(_xlfn.LET(
_xlpm.CSVVal,_xlfn.XLOOKUP($A1419,CSV!$A:$A,CSV!K:K,""),
_xlpm.MacVal,_xlfn.XLOOKUP($A1419,Output_Mac!$A:$A,Output_Mac!K:K,""),
_xlpm.MyAuditVal,_xlfn.XLOOKUP($A1419,My_Audit!$A:$A,My_Audit!J:J,""),
_xlfn.IFS(_xlpm.MyAuditVal&lt;&gt;"",UPPER(_xlpm.MyAuditVal),_xlpm.MacVal&lt;&gt;"",_xlpm.MacVal,_xlpm.CSVVal&lt;&gt;"",_xlpm.CSVVal
)),"")</f>
        <v/>
      </c>
      <c r="L1419" s="40" t="str" cm="1">
        <f t="array" ref="L1419">IFERROR(_xlfn.LET(
_xlpm.CSVVal,_xlfn.XLOOKUP($A1419,CSV!$A:$A,CSV!P:P,""),
_xlpm.MacVal,_xlfn.XLOOKUP($A1419,Output_Mac!$A:$A,Output_Mac!L:L,""),
_xlpm.MyAuditVal,_xlfn.XLOOKUP($A1419,My_Audit!$A:$A,My_Audit!K:K,""),
_xlfn.IFS(_xlpm.MyAuditVal&lt;&gt;"",UPPER(_xlpm.MyAuditVal),_xlpm.MacVal&lt;&gt;"",_xlpm.MacVal,_xlpm.CSVVal&lt;&gt;"",_xlpm.CSVVal
)),"")</f>
        <v/>
      </c>
      <c r="M1419" s="40" t="str" cm="1">
        <f t="array" ref="M1419">IFERROR(_xlfn.LET(
_xlpm.CSVVal,_xlfn.XLOOKUP($A1419,CSV!$A:$A,CSV!Q:Q,""),
_xlpm.MacVal,_xlfn.XLOOKUP($A1419,Output_Mac!$A:$A,Output_Mac!M:M,""),
_xlpm.MyAuditVal,_xlfn.XLOOKUP($A1419,My_Audit!$A:$A,My_Audit!L:L,""),
_xlfn.IFS(_xlpm.MyAuditVal&lt;&gt;"",UPPER(_xlpm.MyAuditVal),_xlpm.MacVal&lt;&gt;"",_xlpm.MacVal,_xlpm.CSVVal&lt;&gt;"",_xlpm.CSVVal
)),"")</f>
        <v/>
      </c>
      <c r="N1419" s="40"/>
      <c r="O1419" s="40" t="str">
        <f>_xlfn.LET(
    _xlpm.CSVVal, _xlfn.XLOOKUP($A1419, CSV!$A:$A, CSV!AA:AA, ""),
    _xlpm.MacVal, _xlfn.XLOOKUP($A1419, Output_Mac!$A:$A, Output_Mac!S:S, ""),
    _xlpm.MyAuditVal, _xlfn.XLOOKUP($A1419, My_Audit!$A:$A, My_Audit!P:P, ""),
    _xlfn.TEXTJOIN(", ", TRUE, _xlpm.MyAuditVal, _xlpm.MacVal, _xlpm.CSVVal)
)</f>
        <v/>
      </c>
      <c r="P1419" s="40" t="str" cm="1">
        <f t="array" ref="P1419">IFERROR(_xlfn.LET(
_xlpm.CSVVal,_xlfn.XLOOKUP($A1419,CSV!$A:$A,CSV!AB:AB,""),
_xlpm.MacVal,_xlfn.XLOOKUP($A1419,Output_Mac!$A:$A,Output_Mac!T:T,""),
_xlpm.MyAuditVal,_xlfn.XLOOKUP($A1419,My_Audit!$A:$A,My_Audit!Q:Q,""),
_xlfn.IFS(_xlpm.MyAuditVal&lt;&gt;"",UPPER(_xlpm.MyAuditVal),_xlpm.MacVal&lt;&gt;"",_xlpm.MacVal,_xlpm.CSVVal&lt;&gt;"",_xlpm.CSVVal
)),"No")</f>
        <v>No</v>
      </c>
      <c r="Q1419" s="40" t="str" cm="1">
        <f t="array" ref="Q1419">IFERROR(_xlfn.LET(
_xlpm.CSVVal,_xlfn.XLOOKUP($A1419,CSV!$A:$A,CSV!AC:AC,""),
_xlpm.MacVal,_xlfn.XLOOKUP($A1419,Output_Mac!$A:$A,Output_Mac!U:U,""),
_xlpm.MyAuditVal,_xlfn.XLOOKUP($A1419,My_Audit!$A:$A,My_Audit!R:R,""),
_xlfn.IFS(_xlpm.MyAuditVal&lt;&gt;"",UPPER(_xlpm.MyAuditVal),_xlpm.MacVal&lt;&gt;"",_xlpm.MacVal,_xlpm.CSVVal&lt;&gt;"",_xlpm.CSVVal
)),"")</f>
        <v/>
      </c>
      <c r="R1419" s="40"/>
      <c r="S1419" s="40"/>
      <c r="T1419" s="40"/>
      <c r="U1419" s="40"/>
      <c r="V1419" s="40"/>
      <c r="W1419" s="40"/>
      <c r="X1419" s="41" t="str">
        <f>_xlfn.LET(
    _xlpm.MacVal, _xlfn.XLOOKUP($A1419, Output_Mac!$A:$A, Output_Mac!AB:AB, ""),
    _xlpm.MyAuditVal, _xlfn.XLOOKUP($A1419, My_Audit!$A:$A, My_Audit!N:N, ""),
    _xlfn.TEXTJOIN(", ", TRUE, _xlpm.MyAuditVal, _xlpm.MacVal)
)</f>
        <v/>
      </c>
    </row>
    <row r="1420" spans="1:24">
      <c r="A1420" s="40" t="str">
        <f>_xlfn.TEXTJOIN("",TRUE,Input!$B$2,ROW(My_Audit!A1419))</f>
        <v>X1419</v>
      </c>
      <c r="B1420" s="40" t="str">
        <f>_xlfn.TEXTJOIN("-",TRUE,"ITD",Input!$A$2,A1420)</f>
        <v>ITD-X1419</v>
      </c>
      <c r="C1420" s="40" t="str" cm="1">
        <f t="array" ref="C1420">IFERROR(_xlfn.LET(
_xlpm.CSVVal,_xlfn.XLOOKUP($A1420,CSV!$A:$A,CSV!B:B,""),
_xlpm.MacVal,_xlfn.XLOOKUP($A1420,Output_Mac!$A:$A,Output_Mac!B:B,""),
_xlpm.MyAuditVal,_xlfn.XLOOKUP($A1420,My_Audit!$A:$A,My_Audit!B:B,""),
_xlfn.IFS(_xlpm.MyAuditVal&lt;&gt;"",UPPER(_xlpm.MyAuditVal),_xlpm.MacVal&lt;&gt;"",_xlpm.MacVal,_xlpm.CSVVal&lt;&gt;"",_xlpm.CSVVal
)),"")</f>
        <v/>
      </c>
      <c r="D1420" s="40" t="str" cm="1">
        <f t="array" ref="D1420">IFERROR(_xlfn.LET(
_xlpm.CSVVal,_xlfn.XLOOKUP($A1420,CSV!$A:$A,CSV!D:D,""),
_xlpm.MacVal,_xlfn.XLOOKUP($A1420,Output_Mac!$A:$A,Output_Mac!C:C,""),
_xlpm.MyAuditVal,_xlfn.XLOOKUP($A1420,My_Audit!$A:$A,My_Audit!C:C,""),
_xlfn.IFS(_xlpm.MyAuditVal&lt;&gt;"",_xlpm.MyAuditVal,_xlpm.MacVal&lt;&gt;"",_xlpm.MacVal,_xlpm.CSVVal&lt;&gt;"",_xlpm.CSVVal
)),"")</f>
        <v/>
      </c>
      <c r="E1420" s="40" t="str">
        <f>_xlfn.XLOOKUP(A1420,My_Audit!A:A,My_Audit!D:D,"")</f>
        <v/>
      </c>
      <c r="F1420" s="40" t="str" cm="1">
        <f t="array" ref="F1420">IFERROR(_xlfn.LET(
_xlpm.CSVVal,_xlfn.XLOOKUP($A1420,CSV!$A:$A,CSV!F:F,""),
_xlpm.MacVal,_xlfn.XLOOKUP($A1420,Output_Mac!$A:$A,Output_Mac!E:E,""),
_xlpm.MyAuditVal,_xlfn.XLOOKUP($A1420,My_Audit!$A:$A,My_Audit!E:E,""),
_xlfn.IFS(_xlpm.MyAuditVal&lt;&gt;"",_xlpm.MyAuditVal,_xlpm.MacVal&lt;&gt;"",_xlpm.MacVal,_xlpm.CSVVal&lt;&gt;"",_xlpm.CSVVal
)),"")</f>
        <v/>
      </c>
      <c r="G1420" s="40" t="str" cm="1">
        <f t="array" ref="G1420">IFERROR(_xlfn.LET(
_xlpm.CSVVal,_xlfn.XLOOKUP($A1420,CSV!$A:$A,CSV!G:G,""),
_xlpm.MacVal,_xlfn.XLOOKUP($A1420,Output_Mac!$A:$A,Output_Mac!F:F,""),
_xlpm.MyAuditVal,_xlfn.XLOOKUP($A1420,My_Audit!$A:$A,My_Audit!F:F,""),
_xlfn.IFS(_xlpm.MyAuditVal&lt;&gt;"",_xlpm.MyAuditVal,_xlpm.MacVal&lt;&gt;"",_xlpm.MacVal,_xlpm.CSVVal&lt;&gt;"",PROPER(_xlpm.CSVVal)
)),"")</f>
        <v/>
      </c>
      <c r="H1420" s="40" t="str" cm="1">
        <f t="array" ref="H1420">IFERROR(_xlfn.LET(
_xlpm.CSVVal,_xlfn.XLOOKUP($A1420,CSV!$A:$A,CSV!H:H,""),
_xlpm.MacVal,_xlfn.XLOOKUP($A1420,Output_Mac!$A:$A,Output_Mac!H:H,""),
_xlpm.MyAuditVal,_xlfn.XLOOKUP($A1420,My_Audit!$A:$A,My_Audit!G:G,""),
_xlfn.IFS(_xlpm.MyAuditVal&lt;&gt;"",_xlpm.MyAuditVal,_xlpm.MacVal&lt;&gt;"",_xlpm.MacVal,_xlpm.CSVVal&lt;&gt;"",_xlpm.CSVVal
)),"")</f>
        <v/>
      </c>
      <c r="I1420" s="40" t="str">
        <f>_xlfn.XLOOKUP(A1420,Output_Mac!A:A,Output_Mac!I:I,"")</f>
        <v/>
      </c>
      <c r="J1420" s="40" t="str" cm="1">
        <f t="array" ref="J1420">IFERROR(_xlfn.LET(
_xlpm.CSVVal,_xlfn.XLOOKUP($A1420,CSV!$A:$A,CSV!I:I,""),
_xlpm.MacVal,_xlfn.XLOOKUP($A1420,Output_Mac!$A:$A,Output_Mac!J:J,""),
_xlpm.MyAuditVal,_xlfn.XLOOKUP($A1420,My_Audit!$A:$A,My_Audit!I:I,""),
_xlfn.IFS(_xlpm.MyAuditVal&lt;&gt;"",UPPER(_xlpm.MyAuditVal),_xlpm.MacVal&lt;&gt;"",_xlpm.MacVal,_xlpm.CSVVal&lt;&gt;"",_xlpm.CSVVal
)),"")</f>
        <v/>
      </c>
      <c r="K1420" s="40" t="str" cm="1">
        <f t="array" ref="K1420">IFERROR(_xlfn.LET(
_xlpm.CSVVal,_xlfn.XLOOKUP($A1420,CSV!$A:$A,CSV!K:K,""),
_xlpm.MacVal,_xlfn.XLOOKUP($A1420,Output_Mac!$A:$A,Output_Mac!K:K,""),
_xlpm.MyAuditVal,_xlfn.XLOOKUP($A1420,My_Audit!$A:$A,My_Audit!J:J,""),
_xlfn.IFS(_xlpm.MyAuditVal&lt;&gt;"",UPPER(_xlpm.MyAuditVal),_xlpm.MacVal&lt;&gt;"",_xlpm.MacVal,_xlpm.CSVVal&lt;&gt;"",_xlpm.CSVVal
)),"")</f>
        <v/>
      </c>
      <c r="L1420" s="40" t="str" cm="1">
        <f t="array" ref="L1420">IFERROR(_xlfn.LET(
_xlpm.CSVVal,_xlfn.XLOOKUP($A1420,CSV!$A:$A,CSV!P:P,""),
_xlpm.MacVal,_xlfn.XLOOKUP($A1420,Output_Mac!$A:$A,Output_Mac!L:L,""),
_xlpm.MyAuditVal,_xlfn.XLOOKUP($A1420,My_Audit!$A:$A,My_Audit!K:K,""),
_xlfn.IFS(_xlpm.MyAuditVal&lt;&gt;"",UPPER(_xlpm.MyAuditVal),_xlpm.MacVal&lt;&gt;"",_xlpm.MacVal,_xlpm.CSVVal&lt;&gt;"",_xlpm.CSVVal
)),"")</f>
        <v/>
      </c>
      <c r="M1420" s="40" t="str" cm="1">
        <f t="array" ref="M1420">IFERROR(_xlfn.LET(
_xlpm.CSVVal,_xlfn.XLOOKUP($A1420,CSV!$A:$A,CSV!Q:Q,""),
_xlpm.MacVal,_xlfn.XLOOKUP($A1420,Output_Mac!$A:$A,Output_Mac!M:M,""),
_xlpm.MyAuditVal,_xlfn.XLOOKUP($A1420,My_Audit!$A:$A,My_Audit!L:L,""),
_xlfn.IFS(_xlpm.MyAuditVal&lt;&gt;"",UPPER(_xlpm.MyAuditVal),_xlpm.MacVal&lt;&gt;"",_xlpm.MacVal,_xlpm.CSVVal&lt;&gt;"",_xlpm.CSVVal
)),"")</f>
        <v/>
      </c>
      <c r="N1420" s="40"/>
      <c r="O1420" s="40" t="str">
        <f>_xlfn.LET(
    _xlpm.CSVVal, _xlfn.XLOOKUP($A1420, CSV!$A:$A, CSV!AA:AA, ""),
    _xlpm.MacVal, _xlfn.XLOOKUP($A1420, Output_Mac!$A:$A, Output_Mac!S:S, ""),
    _xlpm.MyAuditVal, _xlfn.XLOOKUP($A1420, My_Audit!$A:$A, My_Audit!P:P, ""),
    _xlfn.TEXTJOIN(", ", TRUE, _xlpm.MyAuditVal, _xlpm.MacVal, _xlpm.CSVVal)
)</f>
        <v/>
      </c>
      <c r="P1420" s="40" t="str" cm="1">
        <f t="array" ref="P1420">IFERROR(_xlfn.LET(
_xlpm.CSVVal,_xlfn.XLOOKUP($A1420,CSV!$A:$A,CSV!AB:AB,""),
_xlpm.MacVal,_xlfn.XLOOKUP($A1420,Output_Mac!$A:$A,Output_Mac!T:T,""),
_xlpm.MyAuditVal,_xlfn.XLOOKUP($A1420,My_Audit!$A:$A,My_Audit!Q:Q,""),
_xlfn.IFS(_xlpm.MyAuditVal&lt;&gt;"",UPPER(_xlpm.MyAuditVal),_xlpm.MacVal&lt;&gt;"",_xlpm.MacVal,_xlpm.CSVVal&lt;&gt;"",_xlpm.CSVVal
)),"No")</f>
        <v>No</v>
      </c>
      <c r="Q1420" s="40" t="str" cm="1">
        <f t="array" ref="Q1420">IFERROR(_xlfn.LET(
_xlpm.CSVVal,_xlfn.XLOOKUP($A1420,CSV!$A:$A,CSV!AC:AC,""),
_xlpm.MacVal,_xlfn.XLOOKUP($A1420,Output_Mac!$A:$A,Output_Mac!U:U,""),
_xlpm.MyAuditVal,_xlfn.XLOOKUP($A1420,My_Audit!$A:$A,My_Audit!R:R,""),
_xlfn.IFS(_xlpm.MyAuditVal&lt;&gt;"",UPPER(_xlpm.MyAuditVal),_xlpm.MacVal&lt;&gt;"",_xlpm.MacVal,_xlpm.CSVVal&lt;&gt;"",_xlpm.CSVVal
)),"")</f>
        <v/>
      </c>
      <c r="R1420" s="40"/>
      <c r="S1420" s="40"/>
      <c r="T1420" s="40"/>
      <c r="U1420" s="40"/>
      <c r="V1420" s="40"/>
      <c r="W1420" s="40"/>
      <c r="X1420" s="41" t="str">
        <f>_xlfn.LET(
    _xlpm.MacVal, _xlfn.XLOOKUP($A1420, Output_Mac!$A:$A, Output_Mac!AB:AB, ""),
    _xlpm.MyAuditVal, _xlfn.XLOOKUP($A1420, My_Audit!$A:$A, My_Audit!N:N, ""),
    _xlfn.TEXTJOIN(", ", TRUE, _xlpm.MyAuditVal, _xlpm.MacVal)
)</f>
        <v/>
      </c>
    </row>
    <row r="1421" spans="1:24">
      <c r="A1421" s="40" t="str">
        <f>_xlfn.TEXTJOIN("",TRUE,Input!$B$2,ROW(My_Audit!A1420))</f>
        <v>X1420</v>
      </c>
      <c r="B1421" s="40" t="str">
        <f>_xlfn.TEXTJOIN("-",TRUE,"ITD",Input!$A$2,A1421)</f>
        <v>ITD-X1420</v>
      </c>
      <c r="C1421" s="40" t="str" cm="1">
        <f t="array" ref="C1421">IFERROR(_xlfn.LET(
_xlpm.CSVVal,_xlfn.XLOOKUP($A1421,CSV!$A:$A,CSV!B:B,""),
_xlpm.MacVal,_xlfn.XLOOKUP($A1421,Output_Mac!$A:$A,Output_Mac!B:B,""),
_xlpm.MyAuditVal,_xlfn.XLOOKUP($A1421,My_Audit!$A:$A,My_Audit!B:B,""),
_xlfn.IFS(_xlpm.MyAuditVal&lt;&gt;"",UPPER(_xlpm.MyAuditVal),_xlpm.MacVal&lt;&gt;"",_xlpm.MacVal,_xlpm.CSVVal&lt;&gt;"",_xlpm.CSVVal
)),"")</f>
        <v/>
      </c>
      <c r="D1421" s="40" t="str" cm="1">
        <f t="array" ref="D1421">IFERROR(_xlfn.LET(
_xlpm.CSVVal,_xlfn.XLOOKUP($A1421,CSV!$A:$A,CSV!D:D,""),
_xlpm.MacVal,_xlfn.XLOOKUP($A1421,Output_Mac!$A:$A,Output_Mac!C:C,""),
_xlpm.MyAuditVal,_xlfn.XLOOKUP($A1421,My_Audit!$A:$A,My_Audit!C:C,""),
_xlfn.IFS(_xlpm.MyAuditVal&lt;&gt;"",_xlpm.MyAuditVal,_xlpm.MacVal&lt;&gt;"",_xlpm.MacVal,_xlpm.CSVVal&lt;&gt;"",_xlpm.CSVVal
)),"")</f>
        <v/>
      </c>
      <c r="E1421" s="40" t="str">
        <f>_xlfn.XLOOKUP(A1421,My_Audit!A:A,My_Audit!D:D,"")</f>
        <v/>
      </c>
      <c r="F1421" s="40" t="str" cm="1">
        <f t="array" ref="F1421">IFERROR(_xlfn.LET(
_xlpm.CSVVal,_xlfn.XLOOKUP($A1421,CSV!$A:$A,CSV!F:F,""),
_xlpm.MacVal,_xlfn.XLOOKUP($A1421,Output_Mac!$A:$A,Output_Mac!E:E,""),
_xlpm.MyAuditVal,_xlfn.XLOOKUP($A1421,My_Audit!$A:$A,My_Audit!E:E,""),
_xlfn.IFS(_xlpm.MyAuditVal&lt;&gt;"",_xlpm.MyAuditVal,_xlpm.MacVal&lt;&gt;"",_xlpm.MacVal,_xlpm.CSVVal&lt;&gt;"",_xlpm.CSVVal
)),"")</f>
        <v/>
      </c>
      <c r="G1421" s="40" t="str" cm="1">
        <f t="array" ref="G1421">IFERROR(_xlfn.LET(
_xlpm.CSVVal,_xlfn.XLOOKUP($A1421,CSV!$A:$A,CSV!G:G,""),
_xlpm.MacVal,_xlfn.XLOOKUP($A1421,Output_Mac!$A:$A,Output_Mac!F:F,""),
_xlpm.MyAuditVal,_xlfn.XLOOKUP($A1421,My_Audit!$A:$A,My_Audit!F:F,""),
_xlfn.IFS(_xlpm.MyAuditVal&lt;&gt;"",_xlpm.MyAuditVal,_xlpm.MacVal&lt;&gt;"",_xlpm.MacVal,_xlpm.CSVVal&lt;&gt;"",PROPER(_xlpm.CSVVal)
)),"")</f>
        <v/>
      </c>
      <c r="H1421" s="40" t="str" cm="1">
        <f t="array" ref="H1421">IFERROR(_xlfn.LET(
_xlpm.CSVVal,_xlfn.XLOOKUP($A1421,CSV!$A:$A,CSV!H:H,""),
_xlpm.MacVal,_xlfn.XLOOKUP($A1421,Output_Mac!$A:$A,Output_Mac!H:H,""),
_xlpm.MyAuditVal,_xlfn.XLOOKUP($A1421,My_Audit!$A:$A,My_Audit!G:G,""),
_xlfn.IFS(_xlpm.MyAuditVal&lt;&gt;"",_xlpm.MyAuditVal,_xlpm.MacVal&lt;&gt;"",_xlpm.MacVal,_xlpm.CSVVal&lt;&gt;"",_xlpm.CSVVal
)),"")</f>
        <v/>
      </c>
      <c r="I1421" s="40" t="str">
        <f>_xlfn.XLOOKUP(A1421,Output_Mac!A:A,Output_Mac!I:I,"")</f>
        <v/>
      </c>
      <c r="J1421" s="40" t="str" cm="1">
        <f t="array" ref="J1421">IFERROR(_xlfn.LET(
_xlpm.CSVVal,_xlfn.XLOOKUP($A1421,CSV!$A:$A,CSV!I:I,""),
_xlpm.MacVal,_xlfn.XLOOKUP($A1421,Output_Mac!$A:$A,Output_Mac!J:J,""),
_xlpm.MyAuditVal,_xlfn.XLOOKUP($A1421,My_Audit!$A:$A,My_Audit!I:I,""),
_xlfn.IFS(_xlpm.MyAuditVal&lt;&gt;"",UPPER(_xlpm.MyAuditVal),_xlpm.MacVal&lt;&gt;"",_xlpm.MacVal,_xlpm.CSVVal&lt;&gt;"",_xlpm.CSVVal
)),"")</f>
        <v/>
      </c>
      <c r="K1421" s="40" t="str" cm="1">
        <f t="array" ref="K1421">IFERROR(_xlfn.LET(
_xlpm.CSVVal,_xlfn.XLOOKUP($A1421,CSV!$A:$A,CSV!K:K,""),
_xlpm.MacVal,_xlfn.XLOOKUP($A1421,Output_Mac!$A:$A,Output_Mac!K:K,""),
_xlpm.MyAuditVal,_xlfn.XLOOKUP($A1421,My_Audit!$A:$A,My_Audit!J:J,""),
_xlfn.IFS(_xlpm.MyAuditVal&lt;&gt;"",UPPER(_xlpm.MyAuditVal),_xlpm.MacVal&lt;&gt;"",_xlpm.MacVal,_xlpm.CSVVal&lt;&gt;"",_xlpm.CSVVal
)),"")</f>
        <v/>
      </c>
      <c r="L1421" s="40" t="str" cm="1">
        <f t="array" ref="L1421">IFERROR(_xlfn.LET(
_xlpm.CSVVal,_xlfn.XLOOKUP($A1421,CSV!$A:$A,CSV!P:P,""),
_xlpm.MacVal,_xlfn.XLOOKUP($A1421,Output_Mac!$A:$A,Output_Mac!L:L,""),
_xlpm.MyAuditVal,_xlfn.XLOOKUP($A1421,My_Audit!$A:$A,My_Audit!K:K,""),
_xlfn.IFS(_xlpm.MyAuditVal&lt;&gt;"",UPPER(_xlpm.MyAuditVal),_xlpm.MacVal&lt;&gt;"",_xlpm.MacVal,_xlpm.CSVVal&lt;&gt;"",_xlpm.CSVVal
)),"")</f>
        <v/>
      </c>
      <c r="M1421" s="40" t="str" cm="1">
        <f t="array" ref="M1421">IFERROR(_xlfn.LET(
_xlpm.CSVVal,_xlfn.XLOOKUP($A1421,CSV!$A:$A,CSV!Q:Q,""),
_xlpm.MacVal,_xlfn.XLOOKUP($A1421,Output_Mac!$A:$A,Output_Mac!M:M,""),
_xlpm.MyAuditVal,_xlfn.XLOOKUP($A1421,My_Audit!$A:$A,My_Audit!L:L,""),
_xlfn.IFS(_xlpm.MyAuditVal&lt;&gt;"",UPPER(_xlpm.MyAuditVal),_xlpm.MacVal&lt;&gt;"",_xlpm.MacVal,_xlpm.CSVVal&lt;&gt;"",_xlpm.CSVVal
)),"")</f>
        <v/>
      </c>
      <c r="N1421" s="40"/>
      <c r="O1421" s="40" t="str">
        <f>_xlfn.LET(
    _xlpm.CSVVal, _xlfn.XLOOKUP($A1421, CSV!$A:$A, CSV!AA:AA, ""),
    _xlpm.MacVal, _xlfn.XLOOKUP($A1421, Output_Mac!$A:$A, Output_Mac!S:S, ""),
    _xlpm.MyAuditVal, _xlfn.XLOOKUP($A1421, My_Audit!$A:$A, My_Audit!P:P, ""),
    _xlfn.TEXTJOIN(", ", TRUE, _xlpm.MyAuditVal, _xlpm.MacVal, _xlpm.CSVVal)
)</f>
        <v/>
      </c>
      <c r="P1421" s="40" t="str" cm="1">
        <f t="array" ref="P1421">IFERROR(_xlfn.LET(
_xlpm.CSVVal,_xlfn.XLOOKUP($A1421,CSV!$A:$A,CSV!AB:AB,""),
_xlpm.MacVal,_xlfn.XLOOKUP($A1421,Output_Mac!$A:$A,Output_Mac!T:T,""),
_xlpm.MyAuditVal,_xlfn.XLOOKUP($A1421,My_Audit!$A:$A,My_Audit!Q:Q,""),
_xlfn.IFS(_xlpm.MyAuditVal&lt;&gt;"",UPPER(_xlpm.MyAuditVal),_xlpm.MacVal&lt;&gt;"",_xlpm.MacVal,_xlpm.CSVVal&lt;&gt;"",_xlpm.CSVVal
)),"No")</f>
        <v>No</v>
      </c>
      <c r="Q1421" s="40" t="str" cm="1">
        <f t="array" ref="Q1421">IFERROR(_xlfn.LET(
_xlpm.CSVVal,_xlfn.XLOOKUP($A1421,CSV!$A:$A,CSV!AC:AC,""),
_xlpm.MacVal,_xlfn.XLOOKUP($A1421,Output_Mac!$A:$A,Output_Mac!U:U,""),
_xlpm.MyAuditVal,_xlfn.XLOOKUP($A1421,My_Audit!$A:$A,My_Audit!R:R,""),
_xlfn.IFS(_xlpm.MyAuditVal&lt;&gt;"",UPPER(_xlpm.MyAuditVal),_xlpm.MacVal&lt;&gt;"",_xlpm.MacVal,_xlpm.CSVVal&lt;&gt;"",_xlpm.CSVVal
)),"")</f>
        <v/>
      </c>
      <c r="R1421" s="40"/>
      <c r="S1421" s="40"/>
      <c r="T1421" s="40"/>
      <c r="U1421" s="40"/>
      <c r="V1421" s="40"/>
      <c r="W1421" s="40"/>
      <c r="X1421" s="41" t="str">
        <f>_xlfn.LET(
    _xlpm.MacVal, _xlfn.XLOOKUP($A1421, Output_Mac!$A:$A, Output_Mac!AB:AB, ""),
    _xlpm.MyAuditVal, _xlfn.XLOOKUP($A1421, My_Audit!$A:$A, My_Audit!N:N, ""),
    _xlfn.TEXTJOIN(", ", TRUE, _xlpm.MyAuditVal, _xlpm.MacVal)
)</f>
        <v/>
      </c>
    </row>
    <row r="1422" spans="1:24">
      <c r="A1422" s="40" t="str">
        <f>_xlfn.TEXTJOIN("",TRUE,Input!$B$2,ROW(My_Audit!A1421))</f>
        <v>X1421</v>
      </c>
      <c r="B1422" s="40" t="str">
        <f>_xlfn.TEXTJOIN("-",TRUE,"ITD",Input!$A$2,A1422)</f>
        <v>ITD-X1421</v>
      </c>
      <c r="C1422" s="40" t="str" cm="1">
        <f t="array" ref="C1422">IFERROR(_xlfn.LET(
_xlpm.CSVVal,_xlfn.XLOOKUP($A1422,CSV!$A:$A,CSV!B:B,""),
_xlpm.MacVal,_xlfn.XLOOKUP($A1422,Output_Mac!$A:$A,Output_Mac!B:B,""),
_xlpm.MyAuditVal,_xlfn.XLOOKUP($A1422,My_Audit!$A:$A,My_Audit!B:B,""),
_xlfn.IFS(_xlpm.MyAuditVal&lt;&gt;"",UPPER(_xlpm.MyAuditVal),_xlpm.MacVal&lt;&gt;"",_xlpm.MacVal,_xlpm.CSVVal&lt;&gt;"",_xlpm.CSVVal
)),"")</f>
        <v/>
      </c>
      <c r="D1422" s="40" t="str" cm="1">
        <f t="array" ref="D1422">IFERROR(_xlfn.LET(
_xlpm.CSVVal,_xlfn.XLOOKUP($A1422,CSV!$A:$A,CSV!D:D,""),
_xlpm.MacVal,_xlfn.XLOOKUP($A1422,Output_Mac!$A:$A,Output_Mac!C:C,""),
_xlpm.MyAuditVal,_xlfn.XLOOKUP($A1422,My_Audit!$A:$A,My_Audit!C:C,""),
_xlfn.IFS(_xlpm.MyAuditVal&lt;&gt;"",_xlpm.MyAuditVal,_xlpm.MacVal&lt;&gt;"",_xlpm.MacVal,_xlpm.CSVVal&lt;&gt;"",_xlpm.CSVVal
)),"")</f>
        <v/>
      </c>
      <c r="E1422" s="40" t="str">
        <f>_xlfn.XLOOKUP(A1422,My_Audit!A:A,My_Audit!D:D,"")</f>
        <v/>
      </c>
      <c r="F1422" s="40" t="str" cm="1">
        <f t="array" ref="F1422">IFERROR(_xlfn.LET(
_xlpm.CSVVal,_xlfn.XLOOKUP($A1422,CSV!$A:$A,CSV!F:F,""),
_xlpm.MacVal,_xlfn.XLOOKUP($A1422,Output_Mac!$A:$A,Output_Mac!E:E,""),
_xlpm.MyAuditVal,_xlfn.XLOOKUP($A1422,My_Audit!$A:$A,My_Audit!E:E,""),
_xlfn.IFS(_xlpm.MyAuditVal&lt;&gt;"",_xlpm.MyAuditVal,_xlpm.MacVal&lt;&gt;"",_xlpm.MacVal,_xlpm.CSVVal&lt;&gt;"",_xlpm.CSVVal
)),"")</f>
        <v/>
      </c>
      <c r="G1422" s="40" t="str" cm="1">
        <f t="array" ref="G1422">IFERROR(_xlfn.LET(
_xlpm.CSVVal,_xlfn.XLOOKUP($A1422,CSV!$A:$A,CSV!G:G,""),
_xlpm.MacVal,_xlfn.XLOOKUP($A1422,Output_Mac!$A:$A,Output_Mac!F:F,""),
_xlpm.MyAuditVal,_xlfn.XLOOKUP($A1422,My_Audit!$A:$A,My_Audit!F:F,""),
_xlfn.IFS(_xlpm.MyAuditVal&lt;&gt;"",_xlpm.MyAuditVal,_xlpm.MacVal&lt;&gt;"",_xlpm.MacVal,_xlpm.CSVVal&lt;&gt;"",PROPER(_xlpm.CSVVal)
)),"")</f>
        <v/>
      </c>
      <c r="H1422" s="40" t="str" cm="1">
        <f t="array" ref="H1422">IFERROR(_xlfn.LET(
_xlpm.CSVVal,_xlfn.XLOOKUP($A1422,CSV!$A:$A,CSV!H:H,""),
_xlpm.MacVal,_xlfn.XLOOKUP($A1422,Output_Mac!$A:$A,Output_Mac!H:H,""),
_xlpm.MyAuditVal,_xlfn.XLOOKUP($A1422,My_Audit!$A:$A,My_Audit!G:G,""),
_xlfn.IFS(_xlpm.MyAuditVal&lt;&gt;"",_xlpm.MyAuditVal,_xlpm.MacVal&lt;&gt;"",_xlpm.MacVal,_xlpm.CSVVal&lt;&gt;"",_xlpm.CSVVal
)),"")</f>
        <v/>
      </c>
      <c r="I1422" s="40" t="str">
        <f>_xlfn.XLOOKUP(A1422,Output_Mac!A:A,Output_Mac!I:I,"")</f>
        <v/>
      </c>
      <c r="J1422" s="40" t="str" cm="1">
        <f t="array" ref="J1422">IFERROR(_xlfn.LET(
_xlpm.CSVVal,_xlfn.XLOOKUP($A1422,CSV!$A:$A,CSV!I:I,""),
_xlpm.MacVal,_xlfn.XLOOKUP($A1422,Output_Mac!$A:$A,Output_Mac!J:J,""),
_xlpm.MyAuditVal,_xlfn.XLOOKUP($A1422,My_Audit!$A:$A,My_Audit!I:I,""),
_xlfn.IFS(_xlpm.MyAuditVal&lt;&gt;"",UPPER(_xlpm.MyAuditVal),_xlpm.MacVal&lt;&gt;"",_xlpm.MacVal,_xlpm.CSVVal&lt;&gt;"",_xlpm.CSVVal
)),"")</f>
        <v/>
      </c>
      <c r="K1422" s="40" t="str" cm="1">
        <f t="array" ref="K1422">IFERROR(_xlfn.LET(
_xlpm.CSVVal,_xlfn.XLOOKUP($A1422,CSV!$A:$A,CSV!K:K,""),
_xlpm.MacVal,_xlfn.XLOOKUP($A1422,Output_Mac!$A:$A,Output_Mac!K:K,""),
_xlpm.MyAuditVal,_xlfn.XLOOKUP($A1422,My_Audit!$A:$A,My_Audit!J:J,""),
_xlfn.IFS(_xlpm.MyAuditVal&lt;&gt;"",UPPER(_xlpm.MyAuditVal),_xlpm.MacVal&lt;&gt;"",_xlpm.MacVal,_xlpm.CSVVal&lt;&gt;"",_xlpm.CSVVal
)),"")</f>
        <v/>
      </c>
      <c r="L1422" s="40" t="str" cm="1">
        <f t="array" ref="L1422">IFERROR(_xlfn.LET(
_xlpm.CSVVal,_xlfn.XLOOKUP($A1422,CSV!$A:$A,CSV!P:P,""),
_xlpm.MacVal,_xlfn.XLOOKUP($A1422,Output_Mac!$A:$A,Output_Mac!L:L,""),
_xlpm.MyAuditVal,_xlfn.XLOOKUP($A1422,My_Audit!$A:$A,My_Audit!K:K,""),
_xlfn.IFS(_xlpm.MyAuditVal&lt;&gt;"",UPPER(_xlpm.MyAuditVal),_xlpm.MacVal&lt;&gt;"",_xlpm.MacVal,_xlpm.CSVVal&lt;&gt;"",_xlpm.CSVVal
)),"")</f>
        <v/>
      </c>
      <c r="M1422" s="40" t="str" cm="1">
        <f t="array" ref="M1422">IFERROR(_xlfn.LET(
_xlpm.CSVVal,_xlfn.XLOOKUP($A1422,CSV!$A:$A,CSV!Q:Q,""),
_xlpm.MacVal,_xlfn.XLOOKUP($A1422,Output_Mac!$A:$A,Output_Mac!M:M,""),
_xlpm.MyAuditVal,_xlfn.XLOOKUP($A1422,My_Audit!$A:$A,My_Audit!L:L,""),
_xlfn.IFS(_xlpm.MyAuditVal&lt;&gt;"",UPPER(_xlpm.MyAuditVal),_xlpm.MacVal&lt;&gt;"",_xlpm.MacVal,_xlpm.CSVVal&lt;&gt;"",_xlpm.CSVVal
)),"")</f>
        <v/>
      </c>
      <c r="N1422" s="40"/>
      <c r="O1422" s="40" t="str">
        <f>_xlfn.LET(
    _xlpm.CSVVal, _xlfn.XLOOKUP($A1422, CSV!$A:$A, CSV!AA:AA, ""),
    _xlpm.MacVal, _xlfn.XLOOKUP($A1422, Output_Mac!$A:$A, Output_Mac!S:S, ""),
    _xlpm.MyAuditVal, _xlfn.XLOOKUP($A1422, My_Audit!$A:$A, My_Audit!P:P, ""),
    _xlfn.TEXTJOIN(", ", TRUE, _xlpm.MyAuditVal, _xlpm.MacVal, _xlpm.CSVVal)
)</f>
        <v/>
      </c>
      <c r="P1422" s="40" t="str" cm="1">
        <f t="array" ref="P1422">IFERROR(_xlfn.LET(
_xlpm.CSVVal,_xlfn.XLOOKUP($A1422,CSV!$A:$A,CSV!AB:AB,""),
_xlpm.MacVal,_xlfn.XLOOKUP($A1422,Output_Mac!$A:$A,Output_Mac!T:T,""),
_xlpm.MyAuditVal,_xlfn.XLOOKUP($A1422,My_Audit!$A:$A,My_Audit!Q:Q,""),
_xlfn.IFS(_xlpm.MyAuditVal&lt;&gt;"",UPPER(_xlpm.MyAuditVal),_xlpm.MacVal&lt;&gt;"",_xlpm.MacVal,_xlpm.CSVVal&lt;&gt;"",_xlpm.CSVVal
)),"No")</f>
        <v>No</v>
      </c>
      <c r="Q1422" s="40" t="str" cm="1">
        <f t="array" ref="Q1422">IFERROR(_xlfn.LET(
_xlpm.CSVVal,_xlfn.XLOOKUP($A1422,CSV!$A:$A,CSV!AC:AC,""),
_xlpm.MacVal,_xlfn.XLOOKUP($A1422,Output_Mac!$A:$A,Output_Mac!U:U,""),
_xlpm.MyAuditVal,_xlfn.XLOOKUP($A1422,My_Audit!$A:$A,My_Audit!R:R,""),
_xlfn.IFS(_xlpm.MyAuditVal&lt;&gt;"",UPPER(_xlpm.MyAuditVal),_xlpm.MacVal&lt;&gt;"",_xlpm.MacVal,_xlpm.CSVVal&lt;&gt;"",_xlpm.CSVVal
)),"")</f>
        <v/>
      </c>
      <c r="R1422" s="40"/>
      <c r="S1422" s="40"/>
      <c r="T1422" s="40"/>
      <c r="U1422" s="40"/>
      <c r="V1422" s="40"/>
      <c r="W1422" s="40"/>
      <c r="X1422" s="41" t="str">
        <f>_xlfn.LET(
    _xlpm.MacVal, _xlfn.XLOOKUP($A1422, Output_Mac!$A:$A, Output_Mac!AB:AB, ""),
    _xlpm.MyAuditVal, _xlfn.XLOOKUP($A1422, My_Audit!$A:$A, My_Audit!N:N, ""),
    _xlfn.TEXTJOIN(", ", TRUE, _xlpm.MyAuditVal, _xlpm.MacVal)
)</f>
        <v/>
      </c>
    </row>
    <row r="1423" spans="1:24">
      <c r="A1423" s="40" t="str">
        <f>_xlfn.TEXTJOIN("",TRUE,Input!$B$2,ROW(My_Audit!A1422))</f>
        <v>X1422</v>
      </c>
      <c r="B1423" s="40" t="str">
        <f>_xlfn.TEXTJOIN("-",TRUE,"ITD",Input!$A$2,A1423)</f>
        <v>ITD-X1422</v>
      </c>
      <c r="C1423" s="40" t="str" cm="1">
        <f t="array" ref="C1423">IFERROR(_xlfn.LET(
_xlpm.CSVVal,_xlfn.XLOOKUP($A1423,CSV!$A:$A,CSV!B:B,""),
_xlpm.MacVal,_xlfn.XLOOKUP($A1423,Output_Mac!$A:$A,Output_Mac!B:B,""),
_xlpm.MyAuditVal,_xlfn.XLOOKUP($A1423,My_Audit!$A:$A,My_Audit!B:B,""),
_xlfn.IFS(_xlpm.MyAuditVal&lt;&gt;"",UPPER(_xlpm.MyAuditVal),_xlpm.MacVal&lt;&gt;"",_xlpm.MacVal,_xlpm.CSVVal&lt;&gt;"",_xlpm.CSVVal
)),"")</f>
        <v/>
      </c>
      <c r="D1423" s="40" t="str" cm="1">
        <f t="array" ref="D1423">IFERROR(_xlfn.LET(
_xlpm.CSVVal,_xlfn.XLOOKUP($A1423,CSV!$A:$A,CSV!D:D,""),
_xlpm.MacVal,_xlfn.XLOOKUP($A1423,Output_Mac!$A:$A,Output_Mac!C:C,""),
_xlpm.MyAuditVal,_xlfn.XLOOKUP($A1423,My_Audit!$A:$A,My_Audit!C:C,""),
_xlfn.IFS(_xlpm.MyAuditVal&lt;&gt;"",_xlpm.MyAuditVal,_xlpm.MacVal&lt;&gt;"",_xlpm.MacVal,_xlpm.CSVVal&lt;&gt;"",_xlpm.CSVVal
)),"")</f>
        <v/>
      </c>
      <c r="E1423" s="40" t="str">
        <f>_xlfn.XLOOKUP(A1423,My_Audit!A:A,My_Audit!D:D,"")</f>
        <v/>
      </c>
      <c r="F1423" s="40" t="str" cm="1">
        <f t="array" ref="F1423">IFERROR(_xlfn.LET(
_xlpm.CSVVal,_xlfn.XLOOKUP($A1423,CSV!$A:$A,CSV!F:F,""),
_xlpm.MacVal,_xlfn.XLOOKUP($A1423,Output_Mac!$A:$A,Output_Mac!E:E,""),
_xlpm.MyAuditVal,_xlfn.XLOOKUP($A1423,My_Audit!$A:$A,My_Audit!E:E,""),
_xlfn.IFS(_xlpm.MyAuditVal&lt;&gt;"",_xlpm.MyAuditVal,_xlpm.MacVal&lt;&gt;"",_xlpm.MacVal,_xlpm.CSVVal&lt;&gt;"",_xlpm.CSVVal
)),"")</f>
        <v/>
      </c>
      <c r="G1423" s="40" t="str" cm="1">
        <f t="array" ref="G1423">IFERROR(_xlfn.LET(
_xlpm.CSVVal,_xlfn.XLOOKUP($A1423,CSV!$A:$A,CSV!G:G,""),
_xlpm.MacVal,_xlfn.XLOOKUP($A1423,Output_Mac!$A:$A,Output_Mac!F:F,""),
_xlpm.MyAuditVal,_xlfn.XLOOKUP($A1423,My_Audit!$A:$A,My_Audit!F:F,""),
_xlfn.IFS(_xlpm.MyAuditVal&lt;&gt;"",_xlpm.MyAuditVal,_xlpm.MacVal&lt;&gt;"",_xlpm.MacVal,_xlpm.CSVVal&lt;&gt;"",PROPER(_xlpm.CSVVal)
)),"")</f>
        <v/>
      </c>
      <c r="H1423" s="40" t="str" cm="1">
        <f t="array" ref="H1423">IFERROR(_xlfn.LET(
_xlpm.CSVVal,_xlfn.XLOOKUP($A1423,CSV!$A:$A,CSV!H:H,""),
_xlpm.MacVal,_xlfn.XLOOKUP($A1423,Output_Mac!$A:$A,Output_Mac!H:H,""),
_xlpm.MyAuditVal,_xlfn.XLOOKUP($A1423,My_Audit!$A:$A,My_Audit!G:G,""),
_xlfn.IFS(_xlpm.MyAuditVal&lt;&gt;"",_xlpm.MyAuditVal,_xlpm.MacVal&lt;&gt;"",_xlpm.MacVal,_xlpm.CSVVal&lt;&gt;"",_xlpm.CSVVal
)),"")</f>
        <v/>
      </c>
      <c r="I1423" s="40" t="str">
        <f>_xlfn.XLOOKUP(A1423,Output_Mac!A:A,Output_Mac!I:I,"")</f>
        <v/>
      </c>
      <c r="J1423" s="40" t="str" cm="1">
        <f t="array" ref="J1423">IFERROR(_xlfn.LET(
_xlpm.CSVVal,_xlfn.XLOOKUP($A1423,CSV!$A:$A,CSV!I:I,""),
_xlpm.MacVal,_xlfn.XLOOKUP($A1423,Output_Mac!$A:$A,Output_Mac!J:J,""),
_xlpm.MyAuditVal,_xlfn.XLOOKUP($A1423,My_Audit!$A:$A,My_Audit!I:I,""),
_xlfn.IFS(_xlpm.MyAuditVal&lt;&gt;"",UPPER(_xlpm.MyAuditVal),_xlpm.MacVal&lt;&gt;"",_xlpm.MacVal,_xlpm.CSVVal&lt;&gt;"",_xlpm.CSVVal
)),"")</f>
        <v/>
      </c>
      <c r="K1423" s="40" t="str" cm="1">
        <f t="array" ref="K1423">IFERROR(_xlfn.LET(
_xlpm.CSVVal,_xlfn.XLOOKUP($A1423,CSV!$A:$A,CSV!K:K,""),
_xlpm.MacVal,_xlfn.XLOOKUP($A1423,Output_Mac!$A:$A,Output_Mac!K:K,""),
_xlpm.MyAuditVal,_xlfn.XLOOKUP($A1423,My_Audit!$A:$A,My_Audit!J:J,""),
_xlfn.IFS(_xlpm.MyAuditVal&lt;&gt;"",UPPER(_xlpm.MyAuditVal),_xlpm.MacVal&lt;&gt;"",_xlpm.MacVal,_xlpm.CSVVal&lt;&gt;"",_xlpm.CSVVal
)),"")</f>
        <v/>
      </c>
      <c r="L1423" s="40" t="str" cm="1">
        <f t="array" ref="L1423">IFERROR(_xlfn.LET(
_xlpm.CSVVal,_xlfn.XLOOKUP($A1423,CSV!$A:$A,CSV!P:P,""),
_xlpm.MacVal,_xlfn.XLOOKUP($A1423,Output_Mac!$A:$A,Output_Mac!L:L,""),
_xlpm.MyAuditVal,_xlfn.XLOOKUP($A1423,My_Audit!$A:$A,My_Audit!K:K,""),
_xlfn.IFS(_xlpm.MyAuditVal&lt;&gt;"",UPPER(_xlpm.MyAuditVal),_xlpm.MacVal&lt;&gt;"",_xlpm.MacVal,_xlpm.CSVVal&lt;&gt;"",_xlpm.CSVVal
)),"")</f>
        <v/>
      </c>
      <c r="M1423" s="40" t="str" cm="1">
        <f t="array" ref="M1423">IFERROR(_xlfn.LET(
_xlpm.CSVVal,_xlfn.XLOOKUP($A1423,CSV!$A:$A,CSV!Q:Q,""),
_xlpm.MacVal,_xlfn.XLOOKUP($A1423,Output_Mac!$A:$A,Output_Mac!M:M,""),
_xlpm.MyAuditVal,_xlfn.XLOOKUP($A1423,My_Audit!$A:$A,My_Audit!L:L,""),
_xlfn.IFS(_xlpm.MyAuditVal&lt;&gt;"",UPPER(_xlpm.MyAuditVal),_xlpm.MacVal&lt;&gt;"",_xlpm.MacVal,_xlpm.CSVVal&lt;&gt;"",_xlpm.CSVVal
)),"")</f>
        <v/>
      </c>
      <c r="N1423" s="40"/>
      <c r="O1423" s="40" t="str">
        <f>_xlfn.LET(
    _xlpm.CSVVal, _xlfn.XLOOKUP($A1423, CSV!$A:$A, CSV!AA:AA, ""),
    _xlpm.MacVal, _xlfn.XLOOKUP($A1423, Output_Mac!$A:$A, Output_Mac!S:S, ""),
    _xlpm.MyAuditVal, _xlfn.XLOOKUP($A1423, My_Audit!$A:$A, My_Audit!P:P, ""),
    _xlfn.TEXTJOIN(", ", TRUE, _xlpm.MyAuditVal, _xlpm.MacVal, _xlpm.CSVVal)
)</f>
        <v/>
      </c>
      <c r="P1423" s="40" t="str" cm="1">
        <f t="array" ref="P1423">IFERROR(_xlfn.LET(
_xlpm.CSVVal,_xlfn.XLOOKUP($A1423,CSV!$A:$A,CSV!AB:AB,""),
_xlpm.MacVal,_xlfn.XLOOKUP($A1423,Output_Mac!$A:$A,Output_Mac!T:T,""),
_xlpm.MyAuditVal,_xlfn.XLOOKUP($A1423,My_Audit!$A:$A,My_Audit!Q:Q,""),
_xlfn.IFS(_xlpm.MyAuditVal&lt;&gt;"",UPPER(_xlpm.MyAuditVal),_xlpm.MacVal&lt;&gt;"",_xlpm.MacVal,_xlpm.CSVVal&lt;&gt;"",_xlpm.CSVVal
)),"No")</f>
        <v>No</v>
      </c>
      <c r="Q1423" s="40" t="str" cm="1">
        <f t="array" ref="Q1423">IFERROR(_xlfn.LET(
_xlpm.CSVVal,_xlfn.XLOOKUP($A1423,CSV!$A:$A,CSV!AC:AC,""),
_xlpm.MacVal,_xlfn.XLOOKUP($A1423,Output_Mac!$A:$A,Output_Mac!U:U,""),
_xlpm.MyAuditVal,_xlfn.XLOOKUP($A1423,My_Audit!$A:$A,My_Audit!R:R,""),
_xlfn.IFS(_xlpm.MyAuditVal&lt;&gt;"",UPPER(_xlpm.MyAuditVal),_xlpm.MacVal&lt;&gt;"",_xlpm.MacVal,_xlpm.CSVVal&lt;&gt;"",_xlpm.CSVVal
)),"")</f>
        <v/>
      </c>
      <c r="R1423" s="40"/>
      <c r="S1423" s="40"/>
      <c r="T1423" s="40"/>
      <c r="U1423" s="40"/>
      <c r="V1423" s="40"/>
      <c r="W1423" s="40"/>
      <c r="X1423" s="41" t="str">
        <f>_xlfn.LET(
    _xlpm.MacVal, _xlfn.XLOOKUP($A1423, Output_Mac!$A:$A, Output_Mac!AB:AB, ""),
    _xlpm.MyAuditVal, _xlfn.XLOOKUP($A1423, My_Audit!$A:$A, My_Audit!N:N, ""),
    _xlfn.TEXTJOIN(", ", TRUE, _xlpm.MyAuditVal, _xlpm.MacVal)
)</f>
        <v/>
      </c>
    </row>
    <row r="1424" spans="1:24">
      <c r="A1424" s="40" t="str">
        <f>_xlfn.TEXTJOIN("",TRUE,Input!$B$2,ROW(My_Audit!A1423))</f>
        <v>X1423</v>
      </c>
      <c r="B1424" s="40" t="str">
        <f>_xlfn.TEXTJOIN("-",TRUE,"ITD",Input!$A$2,A1424)</f>
        <v>ITD-X1423</v>
      </c>
      <c r="C1424" s="40" t="str" cm="1">
        <f t="array" ref="C1424">IFERROR(_xlfn.LET(
_xlpm.CSVVal,_xlfn.XLOOKUP($A1424,CSV!$A:$A,CSV!B:B,""),
_xlpm.MacVal,_xlfn.XLOOKUP($A1424,Output_Mac!$A:$A,Output_Mac!B:B,""),
_xlpm.MyAuditVal,_xlfn.XLOOKUP($A1424,My_Audit!$A:$A,My_Audit!B:B,""),
_xlfn.IFS(_xlpm.MyAuditVal&lt;&gt;"",UPPER(_xlpm.MyAuditVal),_xlpm.MacVal&lt;&gt;"",_xlpm.MacVal,_xlpm.CSVVal&lt;&gt;"",_xlpm.CSVVal
)),"")</f>
        <v/>
      </c>
      <c r="D1424" s="40" t="str" cm="1">
        <f t="array" ref="D1424">IFERROR(_xlfn.LET(
_xlpm.CSVVal,_xlfn.XLOOKUP($A1424,CSV!$A:$A,CSV!D:D,""),
_xlpm.MacVal,_xlfn.XLOOKUP($A1424,Output_Mac!$A:$A,Output_Mac!C:C,""),
_xlpm.MyAuditVal,_xlfn.XLOOKUP($A1424,My_Audit!$A:$A,My_Audit!C:C,""),
_xlfn.IFS(_xlpm.MyAuditVal&lt;&gt;"",_xlpm.MyAuditVal,_xlpm.MacVal&lt;&gt;"",_xlpm.MacVal,_xlpm.CSVVal&lt;&gt;"",_xlpm.CSVVal
)),"")</f>
        <v/>
      </c>
      <c r="E1424" s="40" t="str">
        <f>_xlfn.XLOOKUP(A1424,My_Audit!A:A,My_Audit!D:D,"")</f>
        <v/>
      </c>
      <c r="F1424" s="40" t="str" cm="1">
        <f t="array" ref="F1424">IFERROR(_xlfn.LET(
_xlpm.CSVVal,_xlfn.XLOOKUP($A1424,CSV!$A:$A,CSV!F:F,""),
_xlpm.MacVal,_xlfn.XLOOKUP($A1424,Output_Mac!$A:$A,Output_Mac!E:E,""),
_xlpm.MyAuditVal,_xlfn.XLOOKUP($A1424,My_Audit!$A:$A,My_Audit!E:E,""),
_xlfn.IFS(_xlpm.MyAuditVal&lt;&gt;"",_xlpm.MyAuditVal,_xlpm.MacVal&lt;&gt;"",_xlpm.MacVal,_xlpm.CSVVal&lt;&gt;"",_xlpm.CSVVal
)),"")</f>
        <v/>
      </c>
      <c r="G1424" s="40" t="str" cm="1">
        <f t="array" ref="G1424">IFERROR(_xlfn.LET(
_xlpm.CSVVal,_xlfn.XLOOKUP($A1424,CSV!$A:$A,CSV!G:G,""),
_xlpm.MacVal,_xlfn.XLOOKUP($A1424,Output_Mac!$A:$A,Output_Mac!F:F,""),
_xlpm.MyAuditVal,_xlfn.XLOOKUP($A1424,My_Audit!$A:$A,My_Audit!F:F,""),
_xlfn.IFS(_xlpm.MyAuditVal&lt;&gt;"",_xlpm.MyAuditVal,_xlpm.MacVal&lt;&gt;"",_xlpm.MacVal,_xlpm.CSVVal&lt;&gt;"",PROPER(_xlpm.CSVVal)
)),"")</f>
        <v/>
      </c>
      <c r="H1424" s="40" t="str" cm="1">
        <f t="array" ref="H1424">IFERROR(_xlfn.LET(
_xlpm.CSVVal,_xlfn.XLOOKUP($A1424,CSV!$A:$A,CSV!H:H,""),
_xlpm.MacVal,_xlfn.XLOOKUP($A1424,Output_Mac!$A:$A,Output_Mac!H:H,""),
_xlpm.MyAuditVal,_xlfn.XLOOKUP($A1424,My_Audit!$A:$A,My_Audit!G:G,""),
_xlfn.IFS(_xlpm.MyAuditVal&lt;&gt;"",_xlpm.MyAuditVal,_xlpm.MacVal&lt;&gt;"",_xlpm.MacVal,_xlpm.CSVVal&lt;&gt;"",_xlpm.CSVVal
)),"")</f>
        <v/>
      </c>
      <c r="I1424" s="40" t="str">
        <f>_xlfn.XLOOKUP(A1424,Output_Mac!A:A,Output_Mac!I:I,"")</f>
        <v/>
      </c>
      <c r="J1424" s="40" t="str" cm="1">
        <f t="array" ref="J1424">IFERROR(_xlfn.LET(
_xlpm.CSVVal,_xlfn.XLOOKUP($A1424,CSV!$A:$A,CSV!I:I,""),
_xlpm.MacVal,_xlfn.XLOOKUP($A1424,Output_Mac!$A:$A,Output_Mac!J:J,""),
_xlpm.MyAuditVal,_xlfn.XLOOKUP($A1424,My_Audit!$A:$A,My_Audit!I:I,""),
_xlfn.IFS(_xlpm.MyAuditVal&lt;&gt;"",UPPER(_xlpm.MyAuditVal),_xlpm.MacVal&lt;&gt;"",_xlpm.MacVal,_xlpm.CSVVal&lt;&gt;"",_xlpm.CSVVal
)),"")</f>
        <v/>
      </c>
      <c r="K1424" s="40" t="str" cm="1">
        <f t="array" ref="K1424">IFERROR(_xlfn.LET(
_xlpm.CSVVal,_xlfn.XLOOKUP($A1424,CSV!$A:$A,CSV!K:K,""),
_xlpm.MacVal,_xlfn.XLOOKUP($A1424,Output_Mac!$A:$A,Output_Mac!K:K,""),
_xlpm.MyAuditVal,_xlfn.XLOOKUP($A1424,My_Audit!$A:$A,My_Audit!J:J,""),
_xlfn.IFS(_xlpm.MyAuditVal&lt;&gt;"",UPPER(_xlpm.MyAuditVal),_xlpm.MacVal&lt;&gt;"",_xlpm.MacVal,_xlpm.CSVVal&lt;&gt;"",_xlpm.CSVVal
)),"")</f>
        <v/>
      </c>
      <c r="L1424" s="40" t="str" cm="1">
        <f t="array" ref="L1424">IFERROR(_xlfn.LET(
_xlpm.CSVVal,_xlfn.XLOOKUP($A1424,CSV!$A:$A,CSV!P:P,""),
_xlpm.MacVal,_xlfn.XLOOKUP($A1424,Output_Mac!$A:$A,Output_Mac!L:L,""),
_xlpm.MyAuditVal,_xlfn.XLOOKUP($A1424,My_Audit!$A:$A,My_Audit!K:K,""),
_xlfn.IFS(_xlpm.MyAuditVal&lt;&gt;"",UPPER(_xlpm.MyAuditVal),_xlpm.MacVal&lt;&gt;"",_xlpm.MacVal,_xlpm.CSVVal&lt;&gt;"",_xlpm.CSVVal
)),"")</f>
        <v/>
      </c>
      <c r="M1424" s="40" t="str" cm="1">
        <f t="array" ref="M1424">IFERROR(_xlfn.LET(
_xlpm.CSVVal,_xlfn.XLOOKUP($A1424,CSV!$A:$A,CSV!Q:Q,""),
_xlpm.MacVal,_xlfn.XLOOKUP($A1424,Output_Mac!$A:$A,Output_Mac!M:M,""),
_xlpm.MyAuditVal,_xlfn.XLOOKUP($A1424,My_Audit!$A:$A,My_Audit!L:L,""),
_xlfn.IFS(_xlpm.MyAuditVal&lt;&gt;"",UPPER(_xlpm.MyAuditVal),_xlpm.MacVal&lt;&gt;"",_xlpm.MacVal,_xlpm.CSVVal&lt;&gt;"",_xlpm.CSVVal
)),"")</f>
        <v/>
      </c>
      <c r="N1424" s="40"/>
      <c r="O1424" s="40" t="str">
        <f>_xlfn.LET(
    _xlpm.CSVVal, _xlfn.XLOOKUP($A1424, CSV!$A:$A, CSV!AA:AA, ""),
    _xlpm.MacVal, _xlfn.XLOOKUP($A1424, Output_Mac!$A:$A, Output_Mac!S:S, ""),
    _xlpm.MyAuditVal, _xlfn.XLOOKUP($A1424, My_Audit!$A:$A, My_Audit!P:P, ""),
    _xlfn.TEXTJOIN(", ", TRUE, _xlpm.MyAuditVal, _xlpm.MacVal, _xlpm.CSVVal)
)</f>
        <v/>
      </c>
      <c r="P1424" s="40" t="str" cm="1">
        <f t="array" ref="P1424">IFERROR(_xlfn.LET(
_xlpm.CSVVal,_xlfn.XLOOKUP($A1424,CSV!$A:$A,CSV!AB:AB,""),
_xlpm.MacVal,_xlfn.XLOOKUP($A1424,Output_Mac!$A:$A,Output_Mac!T:T,""),
_xlpm.MyAuditVal,_xlfn.XLOOKUP($A1424,My_Audit!$A:$A,My_Audit!Q:Q,""),
_xlfn.IFS(_xlpm.MyAuditVal&lt;&gt;"",UPPER(_xlpm.MyAuditVal),_xlpm.MacVal&lt;&gt;"",_xlpm.MacVal,_xlpm.CSVVal&lt;&gt;"",_xlpm.CSVVal
)),"No")</f>
        <v>No</v>
      </c>
      <c r="Q1424" s="40" t="str" cm="1">
        <f t="array" ref="Q1424">IFERROR(_xlfn.LET(
_xlpm.CSVVal,_xlfn.XLOOKUP($A1424,CSV!$A:$A,CSV!AC:AC,""),
_xlpm.MacVal,_xlfn.XLOOKUP($A1424,Output_Mac!$A:$A,Output_Mac!U:U,""),
_xlpm.MyAuditVal,_xlfn.XLOOKUP($A1424,My_Audit!$A:$A,My_Audit!R:R,""),
_xlfn.IFS(_xlpm.MyAuditVal&lt;&gt;"",UPPER(_xlpm.MyAuditVal),_xlpm.MacVal&lt;&gt;"",_xlpm.MacVal,_xlpm.CSVVal&lt;&gt;"",_xlpm.CSVVal
)),"")</f>
        <v/>
      </c>
      <c r="R1424" s="40"/>
      <c r="S1424" s="40"/>
      <c r="T1424" s="40"/>
      <c r="U1424" s="40"/>
      <c r="V1424" s="40"/>
      <c r="W1424" s="40"/>
      <c r="X1424" s="41" t="str">
        <f>_xlfn.LET(
    _xlpm.MacVal, _xlfn.XLOOKUP($A1424, Output_Mac!$A:$A, Output_Mac!AB:AB, ""),
    _xlpm.MyAuditVal, _xlfn.XLOOKUP($A1424, My_Audit!$A:$A, My_Audit!N:N, ""),
    _xlfn.TEXTJOIN(", ", TRUE, _xlpm.MyAuditVal, _xlpm.MacVal)
)</f>
        <v/>
      </c>
    </row>
    <row r="1425" spans="1:24">
      <c r="A1425" s="40" t="str">
        <f>_xlfn.TEXTJOIN("",TRUE,Input!$B$2,ROW(My_Audit!A1424))</f>
        <v>X1424</v>
      </c>
      <c r="B1425" s="40" t="str">
        <f>_xlfn.TEXTJOIN("-",TRUE,"ITD",Input!$A$2,A1425)</f>
        <v>ITD-X1424</v>
      </c>
      <c r="C1425" s="40" t="str" cm="1">
        <f t="array" ref="C1425">IFERROR(_xlfn.LET(
_xlpm.CSVVal,_xlfn.XLOOKUP($A1425,CSV!$A:$A,CSV!B:B,""),
_xlpm.MacVal,_xlfn.XLOOKUP($A1425,Output_Mac!$A:$A,Output_Mac!B:B,""),
_xlpm.MyAuditVal,_xlfn.XLOOKUP($A1425,My_Audit!$A:$A,My_Audit!B:B,""),
_xlfn.IFS(_xlpm.MyAuditVal&lt;&gt;"",UPPER(_xlpm.MyAuditVal),_xlpm.MacVal&lt;&gt;"",_xlpm.MacVal,_xlpm.CSVVal&lt;&gt;"",_xlpm.CSVVal
)),"")</f>
        <v/>
      </c>
      <c r="D1425" s="40" t="str" cm="1">
        <f t="array" ref="D1425">IFERROR(_xlfn.LET(
_xlpm.CSVVal,_xlfn.XLOOKUP($A1425,CSV!$A:$A,CSV!D:D,""),
_xlpm.MacVal,_xlfn.XLOOKUP($A1425,Output_Mac!$A:$A,Output_Mac!C:C,""),
_xlpm.MyAuditVal,_xlfn.XLOOKUP($A1425,My_Audit!$A:$A,My_Audit!C:C,""),
_xlfn.IFS(_xlpm.MyAuditVal&lt;&gt;"",_xlpm.MyAuditVal,_xlpm.MacVal&lt;&gt;"",_xlpm.MacVal,_xlpm.CSVVal&lt;&gt;"",_xlpm.CSVVal
)),"")</f>
        <v/>
      </c>
      <c r="E1425" s="40" t="str">
        <f>_xlfn.XLOOKUP(A1425,My_Audit!A:A,My_Audit!D:D,"")</f>
        <v/>
      </c>
      <c r="F1425" s="40" t="str" cm="1">
        <f t="array" ref="F1425">IFERROR(_xlfn.LET(
_xlpm.CSVVal,_xlfn.XLOOKUP($A1425,CSV!$A:$A,CSV!F:F,""),
_xlpm.MacVal,_xlfn.XLOOKUP($A1425,Output_Mac!$A:$A,Output_Mac!E:E,""),
_xlpm.MyAuditVal,_xlfn.XLOOKUP($A1425,My_Audit!$A:$A,My_Audit!E:E,""),
_xlfn.IFS(_xlpm.MyAuditVal&lt;&gt;"",_xlpm.MyAuditVal,_xlpm.MacVal&lt;&gt;"",_xlpm.MacVal,_xlpm.CSVVal&lt;&gt;"",_xlpm.CSVVal
)),"")</f>
        <v/>
      </c>
      <c r="G1425" s="40" t="str" cm="1">
        <f t="array" ref="G1425">IFERROR(_xlfn.LET(
_xlpm.CSVVal,_xlfn.XLOOKUP($A1425,CSV!$A:$A,CSV!G:G,""),
_xlpm.MacVal,_xlfn.XLOOKUP($A1425,Output_Mac!$A:$A,Output_Mac!F:F,""),
_xlpm.MyAuditVal,_xlfn.XLOOKUP($A1425,My_Audit!$A:$A,My_Audit!F:F,""),
_xlfn.IFS(_xlpm.MyAuditVal&lt;&gt;"",_xlpm.MyAuditVal,_xlpm.MacVal&lt;&gt;"",_xlpm.MacVal,_xlpm.CSVVal&lt;&gt;"",PROPER(_xlpm.CSVVal)
)),"")</f>
        <v/>
      </c>
      <c r="H1425" s="40" t="str" cm="1">
        <f t="array" ref="H1425">IFERROR(_xlfn.LET(
_xlpm.CSVVal,_xlfn.XLOOKUP($A1425,CSV!$A:$A,CSV!H:H,""),
_xlpm.MacVal,_xlfn.XLOOKUP($A1425,Output_Mac!$A:$A,Output_Mac!H:H,""),
_xlpm.MyAuditVal,_xlfn.XLOOKUP($A1425,My_Audit!$A:$A,My_Audit!G:G,""),
_xlfn.IFS(_xlpm.MyAuditVal&lt;&gt;"",_xlpm.MyAuditVal,_xlpm.MacVal&lt;&gt;"",_xlpm.MacVal,_xlpm.CSVVal&lt;&gt;"",_xlpm.CSVVal
)),"")</f>
        <v/>
      </c>
      <c r="I1425" s="40" t="str">
        <f>_xlfn.XLOOKUP(A1425,Output_Mac!A:A,Output_Mac!I:I,"")</f>
        <v/>
      </c>
      <c r="J1425" s="40" t="str" cm="1">
        <f t="array" ref="J1425">IFERROR(_xlfn.LET(
_xlpm.CSVVal,_xlfn.XLOOKUP($A1425,CSV!$A:$A,CSV!I:I,""),
_xlpm.MacVal,_xlfn.XLOOKUP($A1425,Output_Mac!$A:$A,Output_Mac!J:J,""),
_xlpm.MyAuditVal,_xlfn.XLOOKUP($A1425,My_Audit!$A:$A,My_Audit!I:I,""),
_xlfn.IFS(_xlpm.MyAuditVal&lt;&gt;"",UPPER(_xlpm.MyAuditVal),_xlpm.MacVal&lt;&gt;"",_xlpm.MacVal,_xlpm.CSVVal&lt;&gt;"",_xlpm.CSVVal
)),"")</f>
        <v/>
      </c>
      <c r="K1425" s="40" t="str" cm="1">
        <f t="array" ref="K1425">IFERROR(_xlfn.LET(
_xlpm.CSVVal,_xlfn.XLOOKUP($A1425,CSV!$A:$A,CSV!K:K,""),
_xlpm.MacVal,_xlfn.XLOOKUP($A1425,Output_Mac!$A:$A,Output_Mac!K:K,""),
_xlpm.MyAuditVal,_xlfn.XLOOKUP($A1425,My_Audit!$A:$A,My_Audit!J:J,""),
_xlfn.IFS(_xlpm.MyAuditVal&lt;&gt;"",UPPER(_xlpm.MyAuditVal),_xlpm.MacVal&lt;&gt;"",_xlpm.MacVal,_xlpm.CSVVal&lt;&gt;"",_xlpm.CSVVal
)),"")</f>
        <v/>
      </c>
      <c r="L1425" s="40" t="str" cm="1">
        <f t="array" ref="L1425">IFERROR(_xlfn.LET(
_xlpm.CSVVal,_xlfn.XLOOKUP($A1425,CSV!$A:$A,CSV!P:P,""),
_xlpm.MacVal,_xlfn.XLOOKUP($A1425,Output_Mac!$A:$A,Output_Mac!L:L,""),
_xlpm.MyAuditVal,_xlfn.XLOOKUP($A1425,My_Audit!$A:$A,My_Audit!K:K,""),
_xlfn.IFS(_xlpm.MyAuditVal&lt;&gt;"",UPPER(_xlpm.MyAuditVal),_xlpm.MacVal&lt;&gt;"",_xlpm.MacVal,_xlpm.CSVVal&lt;&gt;"",_xlpm.CSVVal
)),"")</f>
        <v/>
      </c>
      <c r="M1425" s="40" t="str" cm="1">
        <f t="array" ref="M1425">IFERROR(_xlfn.LET(
_xlpm.CSVVal,_xlfn.XLOOKUP($A1425,CSV!$A:$A,CSV!Q:Q,""),
_xlpm.MacVal,_xlfn.XLOOKUP($A1425,Output_Mac!$A:$A,Output_Mac!M:M,""),
_xlpm.MyAuditVal,_xlfn.XLOOKUP($A1425,My_Audit!$A:$A,My_Audit!L:L,""),
_xlfn.IFS(_xlpm.MyAuditVal&lt;&gt;"",UPPER(_xlpm.MyAuditVal),_xlpm.MacVal&lt;&gt;"",_xlpm.MacVal,_xlpm.CSVVal&lt;&gt;"",_xlpm.CSVVal
)),"")</f>
        <v/>
      </c>
      <c r="N1425" s="40"/>
      <c r="O1425" s="40" t="str">
        <f>_xlfn.LET(
    _xlpm.CSVVal, _xlfn.XLOOKUP($A1425, CSV!$A:$A, CSV!AA:AA, ""),
    _xlpm.MacVal, _xlfn.XLOOKUP($A1425, Output_Mac!$A:$A, Output_Mac!S:S, ""),
    _xlpm.MyAuditVal, _xlfn.XLOOKUP($A1425, My_Audit!$A:$A, My_Audit!P:P, ""),
    _xlfn.TEXTJOIN(", ", TRUE, _xlpm.MyAuditVal, _xlpm.MacVal, _xlpm.CSVVal)
)</f>
        <v/>
      </c>
      <c r="P1425" s="40" t="str" cm="1">
        <f t="array" ref="P1425">IFERROR(_xlfn.LET(
_xlpm.CSVVal,_xlfn.XLOOKUP($A1425,CSV!$A:$A,CSV!AB:AB,""),
_xlpm.MacVal,_xlfn.XLOOKUP($A1425,Output_Mac!$A:$A,Output_Mac!T:T,""),
_xlpm.MyAuditVal,_xlfn.XLOOKUP($A1425,My_Audit!$A:$A,My_Audit!Q:Q,""),
_xlfn.IFS(_xlpm.MyAuditVal&lt;&gt;"",UPPER(_xlpm.MyAuditVal),_xlpm.MacVal&lt;&gt;"",_xlpm.MacVal,_xlpm.CSVVal&lt;&gt;"",_xlpm.CSVVal
)),"No")</f>
        <v>No</v>
      </c>
      <c r="Q1425" s="40" t="str" cm="1">
        <f t="array" ref="Q1425">IFERROR(_xlfn.LET(
_xlpm.CSVVal,_xlfn.XLOOKUP($A1425,CSV!$A:$A,CSV!AC:AC,""),
_xlpm.MacVal,_xlfn.XLOOKUP($A1425,Output_Mac!$A:$A,Output_Mac!U:U,""),
_xlpm.MyAuditVal,_xlfn.XLOOKUP($A1425,My_Audit!$A:$A,My_Audit!R:R,""),
_xlfn.IFS(_xlpm.MyAuditVal&lt;&gt;"",UPPER(_xlpm.MyAuditVal),_xlpm.MacVal&lt;&gt;"",_xlpm.MacVal,_xlpm.CSVVal&lt;&gt;"",_xlpm.CSVVal
)),"")</f>
        <v/>
      </c>
      <c r="R1425" s="40"/>
      <c r="S1425" s="40"/>
      <c r="T1425" s="40"/>
      <c r="U1425" s="40"/>
      <c r="V1425" s="40"/>
      <c r="W1425" s="40"/>
      <c r="X1425" s="41" t="str">
        <f>_xlfn.LET(
    _xlpm.MacVal, _xlfn.XLOOKUP($A1425, Output_Mac!$A:$A, Output_Mac!AB:AB, ""),
    _xlpm.MyAuditVal, _xlfn.XLOOKUP($A1425, My_Audit!$A:$A, My_Audit!N:N, ""),
    _xlfn.TEXTJOIN(", ", TRUE, _xlpm.MyAuditVal, _xlpm.MacVal)
)</f>
        <v/>
      </c>
    </row>
    <row r="1426" spans="1:24">
      <c r="A1426" s="40" t="str">
        <f>_xlfn.TEXTJOIN("",TRUE,Input!$B$2,ROW(My_Audit!A1425))</f>
        <v>X1425</v>
      </c>
      <c r="B1426" s="40" t="str">
        <f>_xlfn.TEXTJOIN("-",TRUE,"ITD",Input!$A$2,A1426)</f>
        <v>ITD-X1425</v>
      </c>
      <c r="C1426" s="40" t="str" cm="1">
        <f t="array" ref="C1426">IFERROR(_xlfn.LET(
_xlpm.CSVVal,_xlfn.XLOOKUP($A1426,CSV!$A:$A,CSV!B:B,""),
_xlpm.MacVal,_xlfn.XLOOKUP($A1426,Output_Mac!$A:$A,Output_Mac!B:B,""),
_xlpm.MyAuditVal,_xlfn.XLOOKUP($A1426,My_Audit!$A:$A,My_Audit!B:B,""),
_xlfn.IFS(_xlpm.MyAuditVal&lt;&gt;"",UPPER(_xlpm.MyAuditVal),_xlpm.MacVal&lt;&gt;"",_xlpm.MacVal,_xlpm.CSVVal&lt;&gt;"",_xlpm.CSVVal
)),"")</f>
        <v/>
      </c>
      <c r="D1426" s="40" t="str" cm="1">
        <f t="array" ref="D1426">IFERROR(_xlfn.LET(
_xlpm.CSVVal,_xlfn.XLOOKUP($A1426,CSV!$A:$A,CSV!D:D,""),
_xlpm.MacVal,_xlfn.XLOOKUP($A1426,Output_Mac!$A:$A,Output_Mac!C:C,""),
_xlpm.MyAuditVal,_xlfn.XLOOKUP($A1426,My_Audit!$A:$A,My_Audit!C:C,""),
_xlfn.IFS(_xlpm.MyAuditVal&lt;&gt;"",_xlpm.MyAuditVal,_xlpm.MacVal&lt;&gt;"",_xlpm.MacVal,_xlpm.CSVVal&lt;&gt;"",_xlpm.CSVVal
)),"")</f>
        <v/>
      </c>
      <c r="E1426" s="40" t="str">
        <f>_xlfn.XLOOKUP(A1426,My_Audit!A:A,My_Audit!D:D,"")</f>
        <v/>
      </c>
      <c r="F1426" s="40" t="str" cm="1">
        <f t="array" ref="F1426">IFERROR(_xlfn.LET(
_xlpm.CSVVal,_xlfn.XLOOKUP($A1426,CSV!$A:$A,CSV!F:F,""),
_xlpm.MacVal,_xlfn.XLOOKUP($A1426,Output_Mac!$A:$A,Output_Mac!E:E,""),
_xlpm.MyAuditVal,_xlfn.XLOOKUP($A1426,My_Audit!$A:$A,My_Audit!E:E,""),
_xlfn.IFS(_xlpm.MyAuditVal&lt;&gt;"",_xlpm.MyAuditVal,_xlpm.MacVal&lt;&gt;"",_xlpm.MacVal,_xlpm.CSVVal&lt;&gt;"",_xlpm.CSVVal
)),"")</f>
        <v/>
      </c>
      <c r="G1426" s="40" t="str" cm="1">
        <f t="array" ref="G1426">IFERROR(_xlfn.LET(
_xlpm.CSVVal,_xlfn.XLOOKUP($A1426,CSV!$A:$A,CSV!G:G,""),
_xlpm.MacVal,_xlfn.XLOOKUP($A1426,Output_Mac!$A:$A,Output_Mac!F:F,""),
_xlpm.MyAuditVal,_xlfn.XLOOKUP($A1426,My_Audit!$A:$A,My_Audit!F:F,""),
_xlfn.IFS(_xlpm.MyAuditVal&lt;&gt;"",_xlpm.MyAuditVal,_xlpm.MacVal&lt;&gt;"",_xlpm.MacVal,_xlpm.CSVVal&lt;&gt;"",PROPER(_xlpm.CSVVal)
)),"")</f>
        <v/>
      </c>
      <c r="H1426" s="40" t="str" cm="1">
        <f t="array" ref="H1426">IFERROR(_xlfn.LET(
_xlpm.CSVVal,_xlfn.XLOOKUP($A1426,CSV!$A:$A,CSV!H:H,""),
_xlpm.MacVal,_xlfn.XLOOKUP($A1426,Output_Mac!$A:$A,Output_Mac!H:H,""),
_xlpm.MyAuditVal,_xlfn.XLOOKUP($A1426,My_Audit!$A:$A,My_Audit!G:G,""),
_xlfn.IFS(_xlpm.MyAuditVal&lt;&gt;"",_xlpm.MyAuditVal,_xlpm.MacVal&lt;&gt;"",_xlpm.MacVal,_xlpm.CSVVal&lt;&gt;"",_xlpm.CSVVal
)),"")</f>
        <v/>
      </c>
      <c r="I1426" s="40" t="str">
        <f>_xlfn.XLOOKUP(A1426,Output_Mac!A:A,Output_Mac!I:I,"")</f>
        <v/>
      </c>
      <c r="J1426" s="40" t="str" cm="1">
        <f t="array" ref="J1426">IFERROR(_xlfn.LET(
_xlpm.CSVVal,_xlfn.XLOOKUP($A1426,CSV!$A:$A,CSV!I:I,""),
_xlpm.MacVal,_xlfn.XLOOKUP($A1426,Output_Mac!$A:$A,Output_Mac!J:J,""),
_xlpm.MyAuditVal,_xlfn.XLOOKUP($A1426,My_Audit!$A:$A,My_Audit!I:I,""),
_xlfn.IFS(_xlpm.MyAuditVal&lt;&gt;"",UPPER(_xlpm.MyAuditVal),_xlpm.MacVal&lt;&gt;"",_xlpm.MacVal,_xlpm.CSVVal&lt;&gt;"",_xlpm.CSVVal
)),"")</f>
        <v/>
      </c>
      <c r="K1426" s="40" t="str" cm="1">
        <f t="array" ref="K1426">IFERROR(_xlfn.LET(
_xlpm.CSVVal,_xlfn.XLOOKUP($A1426,CSV!$A:$A,CSV!K:K,""),
_xlpm.MacVal,_xlfn.XLOOKUP($A1426,Output_Mac!$A:$A,Output_Mac!K:K,""),
_xlpm.MyAuditVal,_xlfn.XLOOKUP($A1426,My_Audit!$A:$A,My_Audit!J:J,""),
_xlfn.IFS(_xlpm.MyAuditVal&lt;&gt;"",UPPER(_xlpm.MyAuditVal),_xlpm.MacVal&lt;&gt;"",_xlpm.MacVal,_xlpm.CSVVal&lt;&gt;"",_xlpm.CSVVal
)),"")</f>
        <v/>
      </c>
      <c r="L1426" s="40" t="str" cm="1">
        <f t="array" ref="L1426">IFERROR(_xlfn.LET(
_xlpm.CSVVal,_xlfn.XLOOKUP($A1426,CSV!$A:$A,CSV!P:P,""),
_xlpm.MacVal,_xlfn.XLOOKUP($A1426,Output_Mac!$A:$A,Output_Mac!L:L,""),
_xlpm.MyAuditVal,_xlfn.XLOOKUP($A1426,My_Audit!$A:$A,My_Audit!K:K,""),
_xlfn.IFS(_xlpm.MyAuditVal&lt;&gt;"",UPPER(_xlpm.MyAuditVal),_xlpm.MacVal&lt;&gt;"",_xlpm.MacVal,_xlpm.CSVVal&lt;&gt;"",_xlpm.CSVVal
)),"")</f>
        <v/>
      </c>
      <c r="M1426" s="40" t="str" cm="1">
        <f t="array" ref="M1426">IFERROR(_xlfn.LET(
_xlpm.CSVVal,_xlfn.XLOOKUP($A1426,CSV!$A:$A,CSV!Q:Q,""),
_xlpm.MacVal,_xlfn.XLOOKUP($A1426,Output_Mac!$A:$A,Output_Mac!M:M,""),
_xlpm.MyAuditVal,_xlfn.XLOOKUP($A1426,My_Audit!$A:$A,My_Audit!L:L,""),
_xlfn.IFS(_xlpm.MyAuditVal&lt;&gt;"",UPPER(_xlpm.MyAuditVal),_xlpm.MacVal&lt;&gt;"",_xlpm.MacVal,_xlpm.CSVVal&lt;&gt;"",_xlpm.CSVVal
)),"")</f>
        <v/>
      </c>
      <c r="N1426" s="40"/>
      <c r="O1426" s="40" t="str">
        <f>_xlfn.LET(
    _xlpm.CSVVal, _xlfn.XLOOKUP($A1426, CSV!$A:$A, CSV!AA:AA, ""),
    _xlpm.MacVal, _xlfn.XLOOKUP($A1426, Output_Mac!$A:$A, Output_Mac!S:S, ""),
    _xlpm.MyAuditVal, _xlfn.XLOOKUP($A1426, My_Audit!$A:$A, My_Audit!P:P, ""),
    _xlfn.TEXTJOIN(", ", TRUE, _xlpm.MyAuditVal, _xlpm.MacVal, _xlpm.CSVVal)
)</f>
        <v/>
      </c>
      <c r="P1426" s="40" t="str" cm="1">
        <f t="array" ref="P1426">IFERROR(_xlfn.LET(
_xlpm.CSVVal,_xlfn.XLOOKUP($A1426,CSV!$A:$A,CSV!AB:AB,""),
_xlpm.MacVal,_xlfn.XLOOKUP($A1426,Output_Mac!$A:$A,Output_Mac!T:T,""),
_xlpm.MyAuditVal,_xlfn.XLOOKUP($A1426,My_Audit!$A:$A,My_Audit!Q:Q,""),
_xlfn.IFS(_xlpm.MyAuditVal&lt;&gt;"",UPPER(_xlpm.MyAuditVal),_xlpm.MacVal&lt;&gt;"",_xlpm.MacVal,_xlpm.CSVVal&lt;&gt;"",_xlpm.CSVVal
)),"No")</f>
        <v>No</v>
      </c>
      <c r="Q1426" s="40" t="str" cm="1">
        <f t="array" ref="Q1426">IFERROR(_xlfn.LET(
_xlpm.CSVVal,_xlfn.XLOOKUP($A1426,CSV!$A:$A,CSV!AC:AC,""),
_xlpm.MacVal,_xlfn.XLOOKUP($A1426,Output_Mac!$A:$A,Output_Mac!U:U,""),
_xlpm.MyAuditVal,_xlfn.XLOOKUP($A1426,My_Audit!$A:$A,My_Audit!R:R,""),
_xlfn.IFS(_xlpm.MyAuditVal&lt;&gt;"",UPPER(_xlpm.MyAuditVal),_xlpm.MacVal&lt;&gt;"",_xlpm.MacVal,_xlpm.CSVVal&lt;&gt;"",_xlpm.CSVVal
)),"")</f>
        <v/>
      </c>
      <c r="R1426" s="40"/>
      <c r="S1426" s="40"/>
      <c r="T1426" s="40"/>
      <c r="U1426" s="40"/>
      <c r="V1426" s="40"/>
      <c r="W1426" s="40"/>
      <c r="X1426" s="41" t="str">
        <f>_xlfn.LET(
    _xlpm.MacVal, _xlfn.XLOOKUP($A1426, Output_Mac!$A:$A, Output_Mac!AB:AB, ""),
    _xlpm.MyAuditVal, _xlfn.XLOOKUP($A1426, My_Audit!$A:$A, My_Audit!N:N, ""),
    _xlfn.TEXTJOIN(", ", TRUE, _xlpm.MyAuditVal, _xlpm.MacVal)
)</f>
        <v/>
      </c>
    </row>
    <row r="1427" spans="1:24">
      <c r="A1427" s="40" t="str">
        <f>_xlfn.TEXTJOIN("",TRUE,Input!$B$2,ROW(My_Audit!A1426))</f>
        <v>X1426</v>
      </c>
      <c r="B1427" s="40" t="str">
        <f>_xlfn.TEXTJOIN("-",TRUE,"ITD",Input!$A$2,A1427)</f>
        <v>ITD-X1426</v>
      </c>
      <c r="C1427" s="40" t="str" cm="1">
        <f t="array" ref="C1427">IFERROR(_xlfn.LET(
_xlpm.CSVVal,_xlfn.XLOOKUP($A1427,CSV!$A:$A,CSV!B:B,""),
_xlpm.MacVal,_xlfn.XLOOKUP($A1427,Output_Mac!$A:$A,Output_Mac!B:B,""),
_xlpm.MyAuditVal,_xlfn.XLOOKUP($A1427,My_Audit!$A:$A,My_Audit!B:B,""),
_xlfn.IFS(_xlpm.MyAuditVal&lt;&gt;"",UPPER(_xlpm.MyAuditVal),_xlpm.MacVal&lt;&gt;"",_xlpm.MacVal,_xlpm.CSVVal&lt;&gt;"",_xlpm.CSVVal
)),"")</f>
        <v/>
      </c>
      <c r="D1427" s="40" t="str" cm="1">
        <f t="array" ref="D1427">IFERROR(_xlfn.LET(
_xlpm.CSVVal,_xlfn.XLOOKUP($A1427,CSV!$A:$A,CSV!D:D,""),
_xlpm.MacVal,_xlfn.XLOOKUP($A1427,Output_Mac!$A:$A,Output_Mac!C:C,""),
_xlpm.MyAuditVal,_xlfn.XLOOKUP($A1427,My_Audit!$A:$A,My_Audit!C:C,""),
_xlfn.IFS(_xlpm.MyAuditVal&lt;&gt;"",_xlpm.MyAuditVal,_xlpm.MacVal&lt;&gt;"",_xlpm.MacVal,_xlpm.CSVVal&lt;&gt;"",_xlpm.CSVVal
)),"")</f>
        <v/>
      </c>
      <c r="E1427" s="40" t="str">
        <f>_xlfn.XLOOKUP(A1427,My_Audit!A:A,My_Audit!D:D,"")</f>
        <v/>
      </c>
      <c r="F1427" s="40" t="str" cm="1">
        <f t="array" ref="F1427">IFERROR(_xlfn.LET(
_xlpm.CSVVal,_xlfn.XLOOKUP($A1427,CSV!$A:$A,CSV!F:F,""),
_xlpm.MacVal,_xlfn.XLOOKUP($A1427,Output_Mac!$A:$A,Output_Mac!E:E,""),
_xlpm.MyAuditVal,_xlfn.XLOOKUP($A1427,My_Audit!$A:$A,My_Audit!E:E,""),
_xlfn.IFS(_xlpm.MyAuditVal&lt;&gt;"",_xlpm.MyAuditVal,_xlpm.MacVal&lt;&gt;"",_xlpm.MacVal,_xlpm.CSVVal&lt;&gt;"",_xlpm.CSVVal
)),"")</f>
        <v/>
      </c>
      <c r="G1427" s="40" t="str" cm="1">
        <f t="array" ref="G1427">IFERROR(_xlfn.LET(
_xlpm.CSVVal,_xlfn.XLOOKUP($A1427,CSV!$A:$A,CSV!G:G,""),
_xlpm.MacVal,_xlfn.XLOOKUP($A1427,Output_Mac!$A:$A,Output_Mac!F:F,""),
_xlpm.MyAuditVal,_xlfn.XLOOKUP($A1427,My_Audit!$A:$A,My_Audit!F:F,""),
_xlfn.IFS(_xlpm.MyAuditVal&lt;&gt;"",_xlpm.MyAuditVal,_xlpm.MacVal&lt;&gt;"",_xlpm.MacVal,_xlpm.CSVVal&lt;&gt;"",PROPER(_xlpm.CSVVal)
)),"")</f>
        <v/>
      </c>
      <c r="H1427" s="40" t="str" cm="1">
        <f t="array" ref="H1427">IFERROR(_xlfn.LET(
_xlpm.CSVVal,_xlfn.XLOOKUP($A1427,CSV!$A:$A,CSV!H:H,""),
_xlpm.MacVal,_xlfn.XLOOKUP($A1427,Output_Mac!$A:$A,Output_Mac!H:H,""),
_xlpm.MyAuditVal,_xlfn.XLOOKUP($A1427,My_Audit!$A:$A,My_Audit!G:G,""),
_xlfn.IFS(_xlpm.MyAuditVal&lt;&gt;"",_xlpm.MyAuditVal,_xlpm.MacVal&lt;&gt;"",_xlpm.MacVal,_xlpm.CSVVal&lt;&gt;"",_xlpm.CSVVal
)),"")</f>
        <v/>
      </c>
      <c r="I1427" s="40" t="str">
        <f>_xlfn.XLOOKUP(A1427,Output_Mac!A:A,Output_Mac!I:I,"")</f>
        <v/>
      </c>
      <c r="J1427" s="40" t="str" cm="1">
        <f t="array" ref="J1427">IFERROR(_xlfn.LET(
_xlpm.CSVVal,_xlfn.XLOOKUP($A1427,CSV!$A:$A,CSV!I:I,""),
_xlpm.MacVal,_xlfn.XLOOKUP($A1427,Output_Mac!$A:$A,Output_Mac!J:J,""),
_xlpm.MyAuditVal,_xlfn.XLOOKUP($A1427,My_Audit!$A:$A,My_Audit!I:I,""),
_xlfn.IFS(_xlpm.MyAuditVal&lt;&gt;"",UPPER(_xlpm.MyAuditVal),_xlpm.MacVal&lt;&gt;"",_xlpm.MacVal,_xlpm.CSVVal&lt;&gt;"",_xlpm.CSVVal
)),"")</f>
        <v/>
      </c>
      <c r="K1427" s="40" t="str" cm="1">
        <f t="array" ref="K1427">IFERROR(_xlfn.LET(
_xlpm.CSVVal,_xlfn.XLOOKUP($A1427,CSV!$A:$A,CSV!K:K,""),
_xlpm.MacVal,_xlfn.XLOOKUP($A1427,Output_Mac!$A:$A,Output_Mac!K:K,""),
_xlpm.MyAuditVal,_xlfn.XLOOKUP($A1427,My_Audit!$A:$A,My_Audit!J:J,""),
_xlfn.IFS(_xlpm.MyAuditVal&lt;&gt;"",UPPER(_xlpm.MyAuditVal),_xlpm.MacVal&lt;&gt;"",_xlpm.MacVal,_xlpm.CSVVal&lt;&gt;"",_xlpm.CSVVal
)),"")</f>
        <v/>
      </c>
      <c r="L1427" s="40" t="str" cm="1">
        <f t="array" ref="L1427">IFERROR(_xlfn.LET(
_xlpm.CSVVal,_xlfn.XLOOKUP($A1427,CSV!$A:$A,CSV!P:P,""),
_xlpm.MacVal,_xlfn.XLOOKUP($A1427,Output_Mac!$A:$A,Output_Mac!L:L,""),
_xlpm.MyAuditVal,_xlfn.XLOOKUP($A1427,My_Audit!$A:$A,My_Audit!K:K,""),
_xlfn.IFS(_xlpm.MyAuditVal&lt;&gt;"",UPPER(_xlpm.MyAuditVal),_xlpm.MacVal&lt;&gt;"",_xlpm.MacVal,_xlpm.CSVVal&lt;&gt;"",_xlpm.CSVVal
)),"")</f>
        <v/>
      </c>
      <c r="M1427" s="40" t="str" cm="1">
        <f t="array" ref="M1427">IFERROR(_xlfn.LET(
_xlpm.CSVVal,_xlfn.XLOOKUP($A1427,CSV!$A:$A,CSV!Q:Q,""),
_xlpm.MacVal,_xlfn.XLOOKUP($A1427,Output_Mac!$A:$A,Output_Mac!M:M,""),
_xlpm.MyAuditVal,_xlfn.XLOOKUP($A1427,My_Audit!$A:$A,My_Audit!L:L,""),
_xlfn.IFS(_xlpm.MyAuditVal&lt;&gt;"",UPPER(_xlpm.MyAuditVal),_xlpm.MacVal&lt;&gt;"",_xlpm.MacVal,_xlpm.CSVVal&lt;&gt;"",_xlpm.CSVVal
)),"")</f>
        <v/>
      </c>
      <c r="N1427" s="40"/>
      <c r="O1427" s="40" t="str">
        <f>_xlfn.LET(
    _xlpm.CSVVal, _xlfn.XLOOKUP($A1427, CSV!$A:$A, CSV!AA:AA, ""),
    _xlpm.MacVal, _xlfn.XLOOKUP($A1427, Output_Mac!$A:$A, Output_Mac!S:S, ""),
    _xlpm.MyAuditVal, _xlfn.XLOOKUP($A1427, My_Audit!$A:$A, My_Audit!P:P, ""),
    _xlfn.TEXTJOIN(", ", TRUE, _xlpm.MyAuditVal, _xlpm.MacVal, _xlpm.CSVVal)
)</f>
        <v/>
      </c>
      <c r="P1427" s="40" t="str" cm="1">
        <f t="array" ref="P1427">IFERROR(_xlfn.LET(
_xlpm.CSVVal,_xlfn.XLOOKUP($A1427,CSV!$A:$A,CSV!AB:AB,""),
_xlpm.MacVal,_xlfn.XLOOKUP($A1427,Output_Mac!$A:$A,Output_Mac!T:T,""),
_xlpm.MyAuditVal,_xlfn.XLOOKUP($A1427,My_Audit!$A:$A,My_Audit!Q:Q,""),
_xlfn.IFS(_xlpm.MyAuditVal&lt;&gt;"",UPPER(_xlpm.MyAuditVal),_xlpm.MacVal&lt;&gt;"",_xlpm.MacVal,_xlpm.CSVVal&lt;&gt;"",_xlpm.CSVVal
)),"No")</f>
        <v>No</v>
      </c>
      <c r="Q1427" s="40" t="str" cm="1">
        <f t="array" ref="Q1427">IFERROR(_xlfn.LET(
_xlpm.CSVVal,_xlfn.XLOOKUP($A1427,CSV!$A:$A,CSV!AC:AC,""),
_xlpm.MacVal,_xlfn.XLOOKUP($A1427,Output_Mac!$A:$A,Output_Mac!U:U,""),
_xlpm.MyAuditVal,_xlfn.XLOOKUP($A1427,My_Audit!$A:$A,My_Audit!R:R,""),
_xlfn.IFS(_xlpm.MyAuditVal&lt;&gt;"",UPPER(_xlpm.MyAuditVal),_xlpm.MacVal&lt;&gt;"",_xlpm.MacVal,_xlpm.CSVVal&lt;&gt;"",_xlpm.CSVVal
)),"")</f>
        <v/>
      </c>
      <c r="R1427" s="40"/>
      <c r="S1427" s="40"/>
      <c r="T1427" s="40"/>
      <c r="U1427" s="40"/>
      <c r="V1427" s="40"/>
      <c r="W1427" s="40"/>
      <c r="X1427" s="41" t="str">
        <f>_xlfn.LET(
    _xlpm.MacVal, _xlfn.XLOOKUP($A1427, Output_Mac!$A:$A, Output_Mac!AB:AB, ""),
    _xlpm.MyAuditVal, _xlfn.XLOOKUP($A1427, My_Audit!$A:$A, My_Audit!N:N, ""),
    _xlfn.TEXTJOIN(", ", TRUE, _xlpm.MyAuditVal, _xlpm.MacVal)
)</f>
        <v/>
      </c>
    </row>
    <row r="1428" spans="1:24">
      <c r="A1428" s="40" t="str">
        <f>_xlfn.TEXTJOIN("",TRUE,Input!$B$2,ROW(My_Audit!A1427))</f>
        <v>X1427</v>
      </c>
      <c r="B1428" s="40" t="str">
        <f>_xlfn.TEXTJOIN("-",TRUE,"ITD",Input!$A$2,A1428)</f>
        <v>ITD-X1427</v>
      </c>
      <c r="C1428" s="40" t="str" cm="1">
        <f t="array" ref="C1428">IFERROR(_xlfn.LET(
_xlpm.CSVVal,_xlfn.XLOOKUP($A1428,CSV!$A:$A,CSV!B:B,""),
_xlpm.MacVal,_xlfn.XLOOKUP($A1428,Output_Mac!$A:$A,Output_Mac!B:B,""),
_xlpm.MyAuditVal,_xlfn.XLOOKUP($A1428,My_Audit!$A:$A,My_Audit!B:B,""),
_xlfn.IFS(_xlpm.MyAuditVal&lt;&gt;"",UPPER(_xlpm.MyAuditVal),_xlpm.MacVal&lt;&gt;"",_xlpm.MacVal,_xlpm.CSVVal&lt;&gt;"",_xlpm.CSVVal
)),"")</f>
        <v/>
      </c>
      <c r="D1428" s="40" t="str" cm="1">
        <f t="array" ref="D1428">IFERROR(_xlfn.LET(
_xlpm.CSVVal,_xlfn.XLOOKUP($A1428,CSV!$A:$A,CSV!D:D,""),
_xlpm.MacVal,_xlfn.XLOOKUP($A1428,Output_Mac!$A:$A,Output_Mac!C:C,""),
_xlpm.MyAuditVal,_xlfn.XLOOKUP($A1428,My_Audit!$A:$A,My_Audit!C:C,""),
_xlfn.IFS(_xlpm.MyAuditVal&lt;&gt;"",_xlpm.MyAuditVal,_xlpm.MacVal&lt;&gt;"",_xlpm.MacVal,_xlpm.CSVVal&lt;&gt;"",_xlpm.CSVVal
)),"")</f>
        <v/>
      </c>
      <c r="E1428" s="40" t="str">
        <f>_xlfn.XLOOKUP(A1428,My_Audit!A:A,My_Audit!D:D,"")</f>
        <v/>
      </c>
      <c r="F1428" s="40" t="str" cm="1">
        <f t="array" ref="F1428">IFERROR(_xlfn.LET(
_xlpm.CSVVal,_xlfn.XLOOKUP($A1428,CSV!$A:$A,CSV!F:F,""),
_xlpm.MacVal,_xlfn.XLOOKUP($A1428,Output_Mac!$A:$A,Output_Mac!E:E,""),
_xlpm.MyAuditVal,_xlfn.XLOOKUP($A1428,My_Audit!$A:$A,My_Audit!E:E,""),
_xlfn.IFS(_xlpm.MyAuditVal&lt;&gt;"",_xlpm.MyAuditVal,_xlpm.MacVal&lt;&gt;"",_xlpm.MacVal,_xlpm.CSVVal&lt;&gt;"",_xlpm.CSVVal
)),"")</f>
        <v/>
      </c>
      <c r="G1428" s="40" t="str" cm="1">
        <f t="array" ref="G1428">IFERROR(_xlfn.LET(
_xlpm.CSVVal,_xlfn.XLOOKUP($A1428,CSV!$A:$A,CSV!G:G,""),
_xlpm.MacVal,_xlfn.XLOOKUP($A1428,Output_Mac!$A:$A,Output_Mac!F:F,""),
_xlpm.MyAuditVal,_xlfn.XLOOKUP($A1428,My_Audit!$A:$A,My_Audit!F:F,""),
_xlfn.IFS(_xlpm.MyAuditVal&lt;&gt;"",_xlpm.MyAuditVal,_xlpm.MacVal&lt;&gt;"",_xlpm.MacVal,_xlpm.CSVVal&lt;&gt;"",PROPER(_xlpm.CSVVal)
)),"")</f>
        <v/>
      </c>
      <c r="H1428" s="40" t="str" cm="1">
        <f t="array" ref="H1428">IFERROR(_xlfn.LET(
_xlpm.CSVVal,_xlfn.XLOOKUP($A1428,CSV!$A:$A,CSV!H:H,""),
_xlpm.MacVal,_xlfn.XLOOKUP($A1428,Output_Mac!$A:$A,Output_Mac!H:H,""),
_xlpm.MyAuditVal,_xlfn.XLOOKUP($A1428,My_Audit!$A:$A,My_Audit!G:G,""),
_xlfn.IFS(_xlpm.MyAuditVal&lt;&gt;"",_xlpm.MyAuditVal,_xlpm.MacVal&lt;&gt;"",_xlpm.MacVal,_xlpm.CSVVal&lt;&gt;"",_xlpm.CSVVal
)),"")</f>
        <v/>
      </c>
      <c r="I1428" s="40" t="str">
        <f>_xlfn.XLOOKUP(A1428,Output_Mac!A:A,Output_Mac!I:I,"")</f>
        <v/>
      </c>
      <c r="J1428" s="40" t="str" cm="1">
        <f t="array" ref="J1428">IFERROR(_xlfn.LET(
_xlpm.CSVVal,_xlfn.XLOOKUP($A1428,CSV!$A:$A,CSV!I:I,""),
_xlpm.MacVal,_xlfn.XLOOKUP($A1428,Output_Mac!$A:$A,Output_Mac!J:J,""),
_xlpm.MyAuditVal,_xlfn.XLOOKUP($A1428,My_Audit!$A:$A,My_Audit!I:I,""),
_xlfn.IFS(_xlpm.MyAuditVal&lt;&gt;"",UPPER(_xlpm.MyAuditVal),_xlpm.MacVal&lt;&gt;"",_xlpm.MacVal,_xlpm.CSVVal&lt;&gt;"",_xlpm.CSVVal
)),"")</f>
        <v/>
      </c>
      <c r="K1428" s="40" t="str" cm="1">
        <f t="array" ref="K1428">IFERROR(_xlfn.LET(
_xlpm.CSVVal,_xlfn.XLOOKUP($A1428,CSV!$A:$A,CSV!K:K,""),
_xlpm.MacVal,_xlfn.XLOOKUP($A1428,Output_Mac!$A:$A,Output_Mac!K:K,""),
_xlpm.MyAuditVal,_xlfn.XLOOKUP($A1428,My_Audit!$A:$A,My_Audit!J:J,""),
_xlfn.IFS(_xlpm.MyAuditVal&lt;&gt;"",UPPER(_xlpm.MyAuditVal),_xlpm.MacVal&lt;&gt;"",_xlpm.MacVal,_xlpm.CSVVal&lt;&gt;"",_xlpm.CSVVal
)),"")</f>
        <v/>
      </c>
      <c r="L1428" s="40" t="str" cm="1">
        <f t="array" ref="L1428">IFERROR(_xlfn.LET(
_xlpm.CSVVal,_xlfn.XLOOKUP($A1428,CSV!$A:$A,CSV!P:P,""),
_xlpm.MacVal,_xlfn.XLOOKUP($A1428,Output_Mac!$A:$A,Output_Mac!L:L,""),
_xlpm.MyAuditVal,_xlfn.XLOOKUP($A1428,My_Audit!$A:$A,My_Audit!K:K,""),
_xlfn.IFS(_xlpm.MyAuditVal&lt;&gt;"",UPPER(_xlpm.MyAuditVal),_xlpm.MacVal&lt;&gt;"",_xlpm.MacVal,_xlpm.CSVVal&lt;&gt;"",_xlpm.CSVVal
)),"")</f>
        <v/>
      </c>
      <c r="M1428" s="40" t="str" cm="1">
        <f t="array" ref="M1428">IFERROR(_xlfn.LET(
_xlpm.CSVVal,_xlfn.XLOOKUP($A1428,CSV!$A:$A,CSV!Q:Q,""),
_xlpm.MacVal,_xlfn.XLOOKUP($A1428,Output_Mac!$A:$A,Output_Mac!M:M,""),
_xlpm.MyAuditVal,_xlfn.XLOOKUP($A1428,My_Audit!$A:$A,My_Audit!L:L,""),
_xlfn.IFS(_xlpm.MyAuditVal&lt;&gt;"",UPPER(_xlpm.MyAuditVal),_xlpm.MacVal&lt;&gt;"",_xlpm.MacVal,_xlpm.CSVVal&lt;&gt;"",_xlpm.CSVVal
)),"")</f>
        <v/>
      </c>
      <c r="N1428" s="40"/>
      <c r="O1428" s="40" t="str">
        <f>_xlfn.LET(
    _xlpm.CSVVal, _xlfn.XLOOKUP($A1428, CSV!$A:$A, CSV!AA:AA, ""),
    _xlpm.MacVal, _xlfn.XLOOKUP($A1428, Output_Mac!$A:$A, Output_Mac!S:S, ""),
    _xlpm.MyAuditVal, _xlfn.XLOOKUP($A1428, My_Audit!$A:$A, My_Audit!P:P, ""),
    _xlfn.TEXTJOIN(", ", TRUE, _xlpm.MyAuditVal, _xlpm.MacVal, _xlpm.CSVVal)
)</f>
        <v/>
      </c>
      <c r="P1428" s="40" t="str" cm="1">
        <f t="array" ref="P1428">IFERROR(_xlfn.LET(
_xlpm.CSVVal,_xlfn.XLOOKUP($A1428,CSV!$A:$A,CSV!AB:AB,""),
_xlpm.MacVal,_xlfn.XLOOKUP($A1428,Output_Mac!$A:$A,Output_Mac!T:T,""),
_xlpm.MyAuditVal,_xlfn.XLOOKUP($A1428,My_Audit!$A:$A,My_Audit!Q:Q,""),
_xlfn.IFS(_xlpm.MyAuditVal&lt;&gt;"",UPPER(_xlpm.MyAuditVal),_xlpm.MacVal&lt;&gt;"",_xlpm.MacVal,_xlpm.CSVVal&lt;&gt;"",_xlpm.CSVVal
)),"No")</f>
        <v>No</v>
      </c>
      <c r="Q1428" s="40" t="str" cm="1">
        <f t="array" ref="Q1428">IFERROR(_xlfn.LET(
_xlpm.CSVVal,_xlfn.XLOOKUP($A1428,CSV!$A:$A,CSV!AC:AC,""),
_xlpm.MacVal,_xlfn.XLOOKUP($A1428,Output_Mac!$A:$A,Output_Mac!U:U,""),
_xlpm.MyAuditVal,_xlfn.XLOOKUP($A1428,My_Audit!$A:$A,My_Audit!R:R,""),
_xlfn.IFS(_xlpm.MyAuditVal&lt;&gt;"",UPPER(_xlpm.MyAuditVal),_xlpm.MacVal&lt;&gt;"",_xlpm.MacVal,_xlpm.CSVVal&lt;&gt;"",_xlpm.CSVVal
)),"")</f>
        <v/>
      </c>
      <c r="R1428" s="40"/>
      <c r="S1428" s="40"/>
      <c r="T1428" s="40"/>
      <c r="U1428" s="40"/>
      <c r="V1428" s="40"/>
      <c r="W1428" s="40"/>
      <c r="X1428" s="41" t="str">
        <f>_xlfn.LET(
    _xlpm.MacVal, _xlfn.XLOOKUP($A1428, Output_Mac!$A:$A, Output_Mac!AB:AB, ""),
    _xlpm.MyAuditVal, _xlfn.XLOOKUP($A1428, My_Audit!$A:$A, My_Audit!N:N, ""),
    _xlfn.TEXTJOIN(", ", TRUE, _xlpm.MyAuditVal, _xlpm.MacVal)
)</f>
        <v/>
      </c>
    </row>
    <row r="1429" spans="1:24">
      <c r="A1429" s="40" t="str">
        <f>_xlfn.TEXTJOIN("",TRUE,Input!$B$2,ROW(My_Audit!A1428))</f>
        <v>X1428</v>
      </c>
      <c r="B1429" s="40" t="str">
        <f>_xlfn.TEXTJOIN("-",TRUE,"ITD",Input!$A$2,A1429)</f>
        <v>ITD-X1428</v>
      </c>
      <c r="C1429" s="40" t="str" cm="1">
        <f t="array" ref="C1429">IFERROR(_xlfn.LET(
_xlpm.CSVVal,_xlfn.XLOOKUP($A1429,CSV!$A:$A,CSV!B:B,""),
_xlpm.MacVal,_xlfn.XLOOKUP($A1429,Output_Mac!$A:$A,Output_Mac!B:B,""),
_xlpm.MyAuditVal,_xlfn.XLOOKUP($A1429,My_Audit!$A:$A,My_Audit!B:B,""),
_xlfn.IFS(_xlpm.MyAuditVal&lt;&gt;"",UPPER(_xlpm.MyAuditVal),_xlpm.MacVal&lt;&gt;"",_xlpm.MacVal,_xlpm.CSVVal&lt;&gt;"",_xlpm.CSVVal
)),"")</f>
        <v/>
      </c>
      <c r="D1429" s="40" t="str" cm="1">
        <f t="array" ref="D1429">IFERROR(_xlfn.LET(
_xlpm.CSVVal,_xlfn.XLOOKUP($A1429,CSV!$A:$A,CSV!D:D,""),
_xlpm.MacVal,_xlfn.XLOOKUP($A1429,Output_Mac!$A:$A,Output_Mac!C:C,""),
_xlpm.MyAuditVal,_xlfn.XLOOKUP($A1429,My_Audit!$A:$A,My_Audit!C:C,""),
_xlfn.IFS(_xlpm.MyAuditVal&lt;&gt;"",_xlpm.MyAuditVal,_xlpm.MacVal&lt;&gt;"",_xlpm.MacVal,_xlpm.CSVVal&lt;&gt;"",_xlpm.CSVVal
)),"")</f>
        <v/>
      </c>
      <c r="E1429" s="40" t="str">
        <f>_xlfn.XLOOKUP(A1429,My_Audit!A:A,My_Audit!D:D,"")</f>
        <v/>
      </c>
      <c r="F1429" s="40" t="str" cm="1">
        <f t="array" ref="F1429">IFERROR(_xlfn.LET(
_xlpm.CSVVal,_xlfn.XLOOKUP($A1429,CSV!$A:$A,CSV!F:F,""),
_xlpm.MacVal,_xlfn.XLOOKUP($A1429,Output_Mac!$A:$A,Output_Mac!E:E,""),
_xlpm.MyAuditVal,_xlfn.XLOOKUP($A1429,My_Audit!$A:$A,My_Audit!E:E,""),
_xlfn.IFS(_xlpm.MyAuditVal&lt;&gt;"",_xlpm.MyAuditVal,_xlpm.MacVal&lt;&gt;"",_xlpm.MacVal,_xlpm.CSVVal&lt;&gt;"",_xlpm.CSVVal
)),"")</f>
        <v/>
      </c>
      <c r="G1429" s="40" t="str" cm="1">
        <f t="array" ref="G1429">IFERROR(_xlfn.LET(
_xlpm.CSVVal,_xlfn.XLOOKUP($A1429,CSV!$A:$A,CSV!G:G,""),
_xlpm.MacVal,_xlfn.XLOOKUP($A1429,Output_Mac!$A:$A,Output_Mac!F:F,""),
_xlpm.MyAuditVal,_xlfn.XLOOKUP($A1429,My_Audit!$A:$A,My_Audit!F:F,""),
_xlfn.IFS(_xlpm.MyAuditVal&lt;&gt;"",_xlpm.MyAuditVal,_xlpm.MacVal&lt;&gt;"",_xlpm.MacVal,_xlpm.CSVVal&lt;&gt;"",PROPER(_xlpm.CSVVal)
)),"")</f>
        <v/>
      </c>
      <c r="H1429" s="40" t="str" cm="1">
        <f t="array" ref="H1429">IFERROR(_xlfn.LET(
_xlpm.CSVVal,_xlfn.XLOOKUP($A1429,CSV!$A:$A,CSV!H:H,""),
_xlpm.MacVal,_xlfn.XLOOKUP($A1429,Output_Mac!$A:$A,Output_Mac!H:H,""),
_xlpm.MyAuditVal,_xlfn.XLOOKUP($A1429,My_Audit!$A:$A,My_Audit!G:G,""),
_xlfn.IFS(_xlpm.MyAuditVal&lt;&gt;"",_xlpm.MyAuditVal,_xlpm.MacVal&lt;&gt;"",_xlpm.MacVal,_xlpm.CSVVal&lt;&gt;"",_xlpm.CSVVal
)),"")</f>
        <v/>
      </c>
      <c r="I1429" s="40" t="str">
        <f>_xlfn.XLOOKUP(A1429,Output_Mac!A:A,Output_Mac!I:I,"")</f>
        <v/>
      </c>
      <c r="J1429" s="40" t="str" cm="1">
        <f t="array" ref="J1429">IFERROR(_xlfn.LET(
_xlpm.CSVVal,_xlfn.XLOOKUP($A1429,CSV!$A:$A,CSV!I:I,""),
_xlpm.MacVal,_xlfn.XLOOKUP($A1429,Output_Mac!$A:$A,Output_Mac!J:J,""),
_xlpm.MyAuditVal,_xlfn.XLOOKUP($A1429,My_Audit!$A:$A,My_Audit!I:I,""),
_xlfn.IFS(_xlpm.MyAuditVal&lt;&gt;"",UPPER(_xlpm.MyAuditVal),_xlpm.MacVal&lt;&gt;"",_xlpm.MacVal,_xlpm.CSVVal&lt;&gt;"",_xlpm.CSVVal
)),"")</f>
        <v/>
      </c>
      <c r="K1429" s="40" t="str" cm="1">
        <f t="array" ref="K1429">IFERROR(_xlfn.LET(
_xlpm.CSVVal,_xlfn.XLOOKUP($A1429,CSV!$A:$A,CSV!K:K,""),
_xlpm.MacVal,_xlfn.XLOOKUP($A1429,Output_Mac!$A:$A,Output_Mac!K:K,""),
_xlpm.MyAuditVal,_xlfn.XLOOKUP($A1429,My_Audit!$A:$A,My_Audit!J:J,""),
_xlfn.IFS(_xlpm.MyAuditVal&lt;&gt;"",UPPER(_xlpm.MyAuditVal),_xlpm.MacVal&lt;&gt;"",_xlpm.MacVal,_xlpm.CSVVal&lt;&gt;"",_xlpm.CSVVal
)),"")</f>
        <v/>
      </c>
      <c r="L1429" s="40" t="str" cm="1">
        <f t="array" ref="L1429">IFERROR(_xlfn.LET(
_xlpm.CSVVal,_xlfn.XLOOKUP($A1429,CSV!$A:$A,CSV!P:P,""),
_xlpm.MacVal,_xlfn.XLOOKUP($A1429,Output_Mac!$A:$A,Output_Mac!L:L,""),
_xlpm.MyAuditVal,_xlfn.XLOOKUP($A1429,My_Audit!$A:$A,My_Audit!K:K,""),
_xlfn.IFS(_xlpm.MyAuditVal&lt;&gt;"",UPPER(_xlpm.MyAuditVal),_xlpm.MacVal&lt;&gt;"",_xlpm.MacVal,_xlpm.CSVVal&lt;&gt;"",_xlpm.CSVVal
)),"")</f>
        <v/>
      </c>
      <c r="M1429" s="40" t="str" cm="1">
        <f t="array" ref="M1429">IFERROR(_xlfn.LET(
_xlpm.CSVVal,_xlfn.XLOOKUP($A1429,CSV!$A:$A,CSV!Q:Q,""),
_xlpm.MacVal,_xlfn.XLOOKUP($A1429,Output_Mac!$A:$A,Output_Mac!M:M,""),
_xlpm.MyAuditVal,_xlfn.XLOOKUP($A1429,My_Audit!$A:$A,My_Audit!L:L,""),
_xlfn.IFS(_xlpm.MyAuditVal&lt;&gt;"",UPPER(_xlpm.MyAuditVal),_xlpm.MacVal&lt;&gt;"",_xlpm.MacVal,_xlpm.CSVVal&lt;&gt;"",_xlpm.CSVVal
)),"")</f>
        <v/>
      </c>
      <c r="N1429" s="40"/>
      <c r="O1429" s="40" t="str">
        <f>_xlfn.LET(
    _xlpm.CSVVal, _xlfn.XLOOKUP($A1429, CSV!$A:$A, CSV!AA:AA, ""),
    _xlpm.MacVal, _xlfn.XLOOKUP($A1429, Output_Mac!$A:$A, Output_Mac!S:S, ""),
    _xlpm.MyAuditVal, _xlfn.XLOOKUP($A1429, My_Audit!$A:$A, My_Audit!P:P, ""),
    _xlfn.TEXTJOIN(", ", TRUE, _xlpm.MyAuditVal, _xlpm.MacVal, _xlpm.CSVVal)
)</f>
        <v/>
      </c>
      <c r="P1429" s="40" t="str" cm="1">
        <f t="array" ref="P1429">IFERROR(_xlfn.LET(
_xlpm.CSVVal,_xlfn.XLOOKUP($A1429,CSV!$A:$A,CSV!AB:AB,""),
_xlpm.MacVal,_xlfn.XLOOKUP($A1429,Output_Mac!$A:$A,Output_Mac!T:T,""),
_xlpm.MyAuditVal,_xlfn.XLOOKUP($A1429,My_Audit!$A:$A,My_Audit!Q:Q,""),
_xlfn.IFS(_xlpm.MyAuditVal&lt;&gt;"",UPPER(_xlpm.MyAuditVal),_xlpm.MacVal&lt;&gt;"",_xlpm.MacVal,_xlpm.CSVVal&lt;&gt;"",_xlpm.CSVVal
)),"No")</f>
        <v>No</v>
      </c>
      <c r="Q1429" s="40" t="str" cm="1">
        <f t="array" ref="Q1429">IFERROR(_xlfn.LET(
_xlpm.CSVVal,_xlfn.XLOOKUP($A1429,CSV!$A:$A,CSV!AC:AC,""),
_xlpm.MacVal,_xlfn.XLOOKUP($A1429,Output_Mac!$A:$A,Output_Mac!U:U,""),
_xlpm.MyAuditVal,_xlfn.XLOOKUP($A1429,My_Audit!$A:$A,My_Audit!R:R,""),
_xlfn.IFS(_xlpm.MyAuditVal&lt;&gt;"",UPPER(_xlpm.MyAuditVal),_xlpm.MacVal&lt;&gt;"",_xlpm.MacVal,_xlpm.CSVVal&lt;&gt;"",_xlpm.CSVVal
)),"")</f>
        <v/>
      </c>
      <c r="R1429" s="40"/>
      <c r="S1429" s="40"/>
      <c r="T1429" s="40"/>
      <c r="U1429" s="40"/>
      <c r="V1429" s="40"/>
      <c r="W1429" s="40"/>
      <c r="X1429" s="41" t="str">
        <f>_xlfn.LET(
    _xlpm.MacVal, _xlfn.XLOOKUP($A1429, Output_Mac!$A:$A, Output_Mac!AB:AB, ""),
    _xlpm.MyAuditVal, _xlfn.XLOOKUP($A1429, My_Audit!$A:$A, My_Audit!N:N, ""),
    _xlfn.TEXTJOIN(", ", TRUE, _xlpm.MyAuditVal, _xlpm.MacVal)
)</f>
        <v/>
      </c>
    </row>
    <row r="1430" spans="1:24">
      <c r="A1430" s="40" t="str">
        <f>_xlfn.TEXTJOIN("",TRUE,Input!$B$2,ROW(My_Audit!A1429))</f>
        <v>X1429</v>
      </c>
      <c r="B1430" s="40" t="str">
        <f>_xlfn.TEXTJOIN("-",TRUE,"ITD",Input!$A$2,A1430)</f>
        <v>ITD-X1429</v>
      </c>
      <c r="C1430" s="40" t="str" cm="1">
        <f t="array" ref="C1430">IFERROR(_xlfn.LET(
_xlpm.CSVVal,_xlfn.XLOOKUP($A1430,CSV!$A:$A,CSV!B:B,""),
_xlpm.MacVal,_xlfn.XLOOKUP($A1430,Output_Mac!$A:$A,Output_Mac!B:B,""),
_xlpm.MyAuditVal,_xlfn.XLOOKUP($A1430,My_Audit!$A:$A,My_Audit!B:B,""),
_xlfn.IFS(_xlpm.MyAuditVal&lt;&gt;"",UPPER(_xlpm.MyAuditVal),_xlpm.MacVal&lt;&gt;"",_xlpm.MacVal,_xlpm.CSVVal&lt;&gt;"",_xlpm.CSVVal
)),"")</f>
        <v/>
      </c>
      <c r="D1430" s="40" t="str" cm="1">
        <f t="array" ref="D1430">IFERROR(_xlfn.LET(
_xlpm.CSVVal,_xlfn.XLOOKUP($A1430,CSV!$A:$A,CSV!D:D,""),
_xlpm.MacVal,_xlfn.XLOOKUP($A1430,Output_Mac!$A:$A,Output_Mac!C:C,""),
_xlpm.MyAuditVal,_xlfn.XLOOKUP($A1430,My_Audit!$A:$A,My_Audit!C:C,""),
_xlfn.IFS(_xlpm.MyAuditVal&lt;&gt;"",_xlpm.MyAuditVal,_xlpm.MacVal&lt;&gt;"",_xlpm.MacVal,_xlpm.CSVVal&lt;&gt;"",_xlpm.CSVVal
)),"")</f>
        <v/>
      </c>
      <c r="E1430" s="40" t="str">
        <f>_xlfn.XLOOKUP(A1430,My_Audit!A:A,My_Audit!D:D,"")</f>
        <v/>
      </c>
      <c r="F1430" s="40" t="str" cm="1">
        <f t="array" ref="F1430">IFERROR(_xlfn.LET(
_xlpm.CSVVal,_xlfn.XLOOKUP($A1430,CSV!$A:$A,CSV!F:F,""),
_xlpm.MacVal,_xlfn.XLOOKUP($A1430,Output_Mac!$A:$A,Output_Mac!E:E,""),
_xlpm.MyAuditVal,_xlfn.XLOOKUP($A1430,My_Audit!$A:$A,My_Audit!E:E,""),
_xlfn.IFS(_xlpm.MyAuditVal&lt;&gt;"",_xlpm.MyAuditVal,_xlpm.MacVal&lt;&gt;"",_xlpm.MacVal,_xlpm.CSVVal&lt;&gt;"",_xlpm.CSVVal
)),"")</f>
        <v/>
      </c>
      <c r="G1430" s="40" t="str" cm="1">
        <f t="array" ref="G1430">IFERROR(_xlfn.LET(
_xlpm.CSVVal,_xlfn.XLOOKUP($A1430,CSV!$A:$A,CSV!G:G,""),
_xlpm.MacVal,_xlfn.XLOOKUP($A1430,Output_Mac!$A:$A,Output_Mac!F:F,""),
_xlpm.MyAuditVal,_xlfn.XLOOKUP($A1430,My_Audit!$A:$A,My_Audit!F:F,""),
_xlfn.IFS(_xlpm.MyAuditVal&lt;&gt;"",_xlpm.MyAuditVal,_xlpm.MacVal&lt;&gt;"",_xlpm.MacVal,_xlpm.CSVVal&lt;&gt;"",PROPER(_xlpm.CSVVal)
)),"")</f>
        <v/>
      </c>
      <c r="H1430" s="40" t="str" cm="1">
        <f t="array" ref="H1430">IFERROR(_xlfn.LET(
_xlpm.CSVVal,_xlfn.XLOOKUP($A1430,CSV!$A:$A,CSV!H:H,""),
_xlpm.MacVal,_xlfn.XLOOKUP($A1430,Output_Mac!$A:$A,Output_Mac!H:H,""),
_xlpm.MyAuditVal,_xlfn.XLOOKUP($A1430,My_Audit!$A:$A,My_Audit!G:G,""),
_xlfn.IFS(_xlpm.MyAuditVal&lt;&gt;"",_xlpm.MyAuditVal,_xlpm.MacVal&lt;&gt;"",_xlpm.MacVal,_xlpm.CSVVal&lt;&gt;"",_xlpm.CSVVal
)),"")</f>
        <v/>
      </c>
      <c r="I1430" s="40" t="str">
        <f>_xlfn.XLOOKUP(A1430,Output_Mac!A:A,Output_Mac!I:I,"")</f>
        <v/>
      </c>
      <c r="J1430" s="40" t="str" cm="1">
        <f t="array" ref="J1430">IFERROR(_xlfn.LET(
_xlpm.CSVVal,_xlfn.XLOOKUP($A1430,CSV!$A:$A,CSV!I:I,""),
_xlpm.MacVal,_xlfn.XLOOKUP($A1430,Output_Mac!$A:$A,Output_Mac!J:J,""),
_xlpm.MyAuditVal,_xlfn.XLOOKUP($A1430,My_Audit!$A:$A,My_Audit!I:I,""),
_xlfn.IFS(_xlpm.MyAuditVal&lt;&gt;"",UPPER(_xlpm.MyAuditVal),_xlpm.MacVal&lt;&gt;"",_xlpm.MacVal,_xlpm.CSVVal&lt;&gt;"",_xlpm.CSVVal
)),"")</f>
        <v/>
      </c>
      <c r="K1430" s="40" t="str" cm="1">
        <f t="array" ref="K1430">IFERROR(_xlfn.LET(
_xlpm.CSVVal,_xlfn.XLOOKUP($A1430,CSV!$A:$A,CSV!K:K,""),
_xlpm.MacVal,_xlfn.XLOOKUP($A1430,Output_Mac!$A:$A,Output_Mac!K:K,""),
_xlpm.MyAuditVal,_xlfn.XLOOKUP($A1430,My_Audit!$A:$A,My_Audit!J:J,""),
_xlfn.IFS(_xlpm.MyAuditVal&lt;&gt;"",UPPER(_xlpm.MyAuditVal),_xlpm.MacVal&lt;&gt;"",_xlpm.MacVal,_xlpm.CSVVal&lt;&gt;"",_xlpm.CSVVal
)),"")</f>
        <v/>
      </c>
      <c r="L1430" s="40" t="str" cm="1">
        <f t="array" ref="L1430">IFERROR(_xlfn.LET(
_xlpm.CSVVal,_xlfn.XLOOKUP($A1430,CSV!$A:$A,CSV!P:P,""),
_xlpm.MacVal,_xlfn.XLOOKUP($A1430,Output_Mac!$A:$A,Output_Mac!L:L,""),
_xlpm.MyAuditVal,_xlfn.XLOOKUP($A1430,My_Audit!$A:$A,My_Audit!K:K,""),
_xlfn.IFS(_xlpm.MyAuditVal&lt;&gt;"",UPPER(_xlpm.MyAuditVal),_xlpm.MacVal&lt;&gt;"",_xlpm.MacVal,_xlpm.CSVVal&lt;&gt;"",_xlpm.CSVVal
)),"")</f>
        <v/>
      </c>
      <c r="M1430" s="40" t="str" cm="1">
        <f t="array" ref="M1430">IFERROR(_xlfn.LET(
_xlpm.CSVVal,_xlfn.XLOOKUP($A1430,CSV!$A:$A,CSV!Q:Q,""),
_xlpm.MacVal,_xlfn.XLOOKUP($A1430,Output_Mac!$A:$A,Output_Mac!M:M,""),
_xlpm.MyAuditVal,_xlfn.XLOOKUP($A1430,My_Audit!$A:$A,My_Audit!L:L,""),
_xlfn.IFS(_xlpm.MyAuditVal&lt;&gt;"",UPPER(_xlpm.MyAuditVal),_xlpm.MacVal&lt;&gt;"",_xlpm.MacVal,_xlpm.CSVVal&lt;&gt;"",_xlpm.CSVVal
)),"")</f>
        <v/>
      </c>
      <c r="N1430" s="40"/>
      <c r="O1430" s="40" t="str">
        <f>_xlfn.LET(
    _xlpm.CSVVal, _xlfn.XLOOKUP($A1430, CSV!$A:$A, CSV!AA:AA, ""),
    _xlpm.MacVal, _xlfn.XLOOKUP($A1430, Output_Mac!$A:$A, Output_Mac!S:S, ""),
    _xlpm.MyAuditVal, _xlfn.XLOOKUP($A1430, My_Audit!$A:$A, My_Audit!P:P, ""),
    _xlfn.TEXTJOIN(", ", TRUE, _xlpm.MyAuditVal, _xlpm.MacVal, _xlpm.CSVVal)
)</f>
        <v/>
      </c>
      <c r="P1430" s="40" t="str" cm="1">
        <f t="array" ref="P1430">IFERROR(_xlfn.LET(
_xlpm.CSVVal,_xlfn.XLOOKUP($A1430,CSV!$A:$A,CSV!AB:AB,""),
_xlpm.MacVal,_xlfn.XLOOKUP($A1430,Output_Mac!$A:$A,Output_Mac!T:T,""),
_xlpm.MyAuditVal,_xlfn.XLOOKUP($A1430,My_Audit!$A:$A,My_Audit!Q:Q,""),
_xlfn.IFS(_xlpm.MyAuditVal&lt;&gt;"",UPPER(_xlpm.MyAuditVal),_xlpm.MacVal&lt;&gt;"",_xlpm.MacVal,_xlpm.CSVVal&lt;&gt;"",_xlpm.CSVVal
)),"No")</f>
        <v>No</v>
      </c>
      <c r="Q1430" s="40" t="str" cm="1">
        <f t="array" ref="Q1430">IFERROR(_xlfn.LET(
_xlpm.CSVVal,_xlfn.XLOOKUP($A1430,CSV!$A:$A,CSV!AC:AC,""),
_xlpm.MacVal,_xlfn.XLOOKUP($A1430,Output_Mac!$A:$A,Output_Mac!U:U,""),
_xlpm.MyAuditVal,_xlfn.XLOOKUP($A1430,My_Audit!$A:$A,My_Audit!R:R,""),
_xlfn.IFS(_xlpm.MyAuditVal&lt;&gt;"",UPPER(_xlpm.MyAuditVal),_xlpm.MacVal&lt;&gt;"",_xlpm.MacVal,_xlpm.CSVVal&lt;&gt;"",_xlpm.CSVVal
)),"")</f>
        <v/>
      </c>
      <c r="R1430" s="40"/>
      <c r="S1430" s="40"/>
      <c r="T1430" s="40"/>
      <c r="U1430" s="40"/>
      <c r="V1430" s="40"/>
      <c r="W1430" s="40"/>
      <c r="X1430" s="41" t="str">
        <f>_xlfn.LET(
    _xlpm.MacVal, _xlfn.XLOOKUP($A1430, Output_Mac!$A:$A, Output_Mac!AB:AB, ""),
    _xlpm.MyAuditVal, _xlfn.XLOOKUP($A1430, My_Audit!$A:$A, My_Audit!N:N, ""),
    _xlfn.TEXTJOIN(", ", TRUE, _xlpm.MyAuditVal, _xlpm.MacVal)
)</f>
        <v/>
      </c>
    </row>
    <row r="1431" spans="1:24">
      <c r="A1431" s="40" t="str">
        <f>_xlfn.TEXTJOIN("",TRUE,Input!$B$2,ROW(My_Audit!A1430))</f>
        <v>X1430</v>
      </c>
      <c r="B1431" s="40" t="str">
        <f>_xlfn.TEXTJOIN("-",TRUE,"ITD",Input!$A$2,A1431)</f>
        <v>ITD-X1430</v>
      </c>
      <c r="C1431" s="40" t="str" cm="1">
        <f t="array" ref="C1431">IFERROR(_xlfn.LET(
_xlpm.CSVVal,_xlfn.XLOOKUP($A1431,CSV!$A:$A,CSV!B:B,""),
_xlpm.MacVal,_xlfn.XLOOKUP($A1431,Output_Mac!$A:$A,Output_Mac!B:B,""),
_xlpm.MyAuditVal,_xlfn.XLOOKUP($A1431,My_Audit!$A:$A,My_Audit!B:B,""),
_xlfn.IFS(_xlpm.MyAuditVal&lt;&gt;"",UPPER(_xlpm.MyAuditVal),_xlpm.MacVal&lt;&gt;"",_xlpm.MacVal,_xlpm.CSVVal&lt;&gt;"",_xlpm.CSVVal
)),"")</f>
        <v/>
      </c>
      <c r="D1431" s="40" t="str" cm="1">
        <f t="array" ref="D1431">IFERROR(_xlfn.LET(
_xlpm.CSVVal,_xlfn.XLOOKUP($A1431,CSV!$A:$A,CSV!D:D,""),
_xlpm.MacVal,_xlfn.XLOOKUP($A1431,Output_Mac!$A:$A,Output_Mac!C:C,""),
_xlpm.MyAuditVal,_xlfn.XLOOKUP($A1431,My_Audit!$A:$A,My_Audit!C:C,""),
_xlfn.IFS(_xlpm.MyAuditVal&lt;&gt;"",_xlpm.MyAuditVal,_xlpm.MacVal&lt;&gt;"",_xlpm.MacVal,_xlpm.CSVVal&lt;&gt;"",_xlpm.CSVVal
)),"")</f>
        <v/>
      </c>
      <c r="E1431" s="40" t="str">
        <f>_xlfn.XLOOKUP(A1431,My_Audit!A:A,My_Audit!D:D,"")</f>
        <v/>
      </c>
      <c r="F1431" s="40" t="str" cm="1">
        <f t="array" ref="F1431">IFERROR(_xlfn.LET(
_xlpm.CSVVal,_xlfn.XLOOKUP($A1431,CSV!$A:$A,CSV!F:F,""),
_xlpm.MacVal,_xlfn.XLOOKUP($A1431,Output_Mac!$A:$A,Output_Mac!E:E,""),
_xlpm.MyAuditVal,_xlfn.XLOOKUP($A1431,My_Audit!$A:$A,My_Audit!E:E,""),
_xlfn.IFS(_xlpm.MyAuditVal&lt;&gt;"",_xlpm.MyAuditVal,_xlpm.MacVal&lt;&gt;"",_xlpm.MacVal,_xlpm.CSVVal&lt;&gt;"",_xlpm.CSVVal
)),"")</f>
        <v/>
      </c>
      <c r="G1431" s="40" t="str" cm="1">
        <f t="array" ref="G1431">IFERROR(_xlfn.LET(
_xlpm.CSVVal,_xlfn.XLOOKUP($A1431,CSV!$A:$A,CSV!G:G,""),
_xlpm.MacVal,_xlfn.XLOOKUP($A1431,Output_Mac!$A:$A,Output_Mac!F:F,""),
_xlpm.MyAuditVal,_xlfn.XLOOKUP($A1431,My_Audit!$A:$A,My_Audit!F:F,""),
_xlfn.IFS(_xlpm.MyAuditVal&lt;&gt;"",_xlpm.MyAuditVal,_xlpm.MacVal&lt;&gt;"",_xlpm.MacVal,_xlpm.CSVVal&lt;&gt;"",PROPER(_xlpm.CSVVal)
)),"")</f>
        <v/>
      </c>
      <c r="H1431" s="40" t="str" cm="1">
        <f t="array" ref="H1431">IFERROR(_xlfn.LET(
_xlpm.CSVVal,_xlfn.XLOOKUP($A1431,CSV!$A:$A,CSV!H:H,""),
_xlpm.MacVal,_xlfn.XLOOKUP($A1431,Output_Mac!$A:$A,Output_Mac!H:H,""),
_xlpm.MyAuditVal,_xlfn.XLOOKUP($A1431,My_Audit!$A:$A,My_Audit!G:G,""),
_xlfn.IFS(_xlpm.MyAuditVal&lt;&gt;"",_xlpm.MyAuditVal,_xlpm.MacVal&lt;&gt;"",_xlpm.MacVal,_xlpm.CSVVal&lt;&gt;"",_xlpm.CSVVal
)),"")</f>
        <v/>
      </c>
      <c r="I1431" s="40" t="str">
        <f>_xlfn.XLOOKUP(A1431,Output_Mac!A:A,Output_Mac!I:I,"")</f>
        <v/>
      </c>
      <c r="J1431" s="40" t="str" cm="1">
        <f t="array" ref="J1431">IFERROR(_xlfn.LET(
_xlpm.CSVVal,_xlfn.XLOOKUP($A1431,CSV!$A:$A,CSV!I:I,""),
_xlpm.MacVal,_xlfn.XLOOKUP($A1431,Output_Mac!$A:$A,Output_Mac!J:J,""),
_xlpm.MyAuditVal,_xlfn.XLOOKUP($A1431,My_Audit!$A:$A,My_Audit!I:I,""),
_xlfn.IFS(_xlpm.MyAuditVal&lt;&gt;"",UPPER(_xlpm.MyAuditVal),_xlpm.MacVal&lt;&gt;"",_xlpm.MacVal,_xlpm.CSVVal&lt;&gt;"",_xlpm.CSVVal
)),"")</f>
        <v/>
      </c>
      <c r="K1431" s="40" t="str" cm="1">
        <f t="array" ref="K1431">IFERROR(_xlfn.LET(
_xlpm.CSVVal,_xlfn.XLOOKUP($A1431,CSV!$A:$A,CSV!K:K,""),
_xlpm.MacVal,_xlfn.XLOOKUP($A1431,Output_Mac!$A:$A,Output_Mac!K:K,""),
_xlpm.MyAuditVal,_xlfn.XLOOKUP($A1431,My_Audit!$A:$A,My_Audit!J:J,""),
_xlfn.IFS(_xlpm.MyAuditVal&lt;&gt;"",UPPER(_xlpm.MyAuditVal),_xlpm.MacVal&lt;&gt;"",_xlpm.MacVal,_xlpm.CSVVal&lt;&gt;"",_xlpm.CSVVal
)),"")</f>
        <v/>
      </c>
      <c r="L1431" s="40" t="str" cm="1">
        <f t="array" ref="L1431">IFERROR(_xlfn.LET(
_xlpm.CSVVal,_xlfn.XLOOKUP($A1431,CSV!$A:$A,CSV!P:P,""),
_xlpm.MacVal,_xlfn.XLOOKUP($A1431,Output_Mac!$A:$A,Output_Mac!L:L,""),
_xlpm.MyAuditVal,_xlfn.XLOOKUP($A1431,My_Audit!$A:$A,My_Audit!K:K,""),
_xlfn.IFS(_xlpm.MyAuditVal&lt;&gt;"",UPPER(_xlpm.MyAuditVal),_xlpm.MacVal&lt;&gt;"",_xlpm.MacVal,_xlpm.CSVVal&lt;&gt;"",_xlpm.CSVVal
)),"")</f>
        <v/>
      </c>
      <c r="M1431" s="40" t="str" cm="1">
        <f t="array" ref="M1431">IFERROR(_xlfn.LET(
_xlpm.CSVVal,_xlfn.XLOOKUP($A1431,CSV!$A:$A,CSV!Q:Q,""),
_xlpm.MacVal,_xlfn.XLOOKUP($A1431,Output_Mac!$A:$A,Output_Mac!M:M,""),
_xlpm.MyAuditVal,_xlfn.XLOOKUP($A1431,My_Audit!$A:$A,My_Audit!L:L,""),
_xlfn.IFS(_xlpm.MyAuditVal&lt;&gt;"",UPPER(_xlpm.MyAuditVal),_xlpm.MacVal&lt;&gt;"",_xlpm.MacVal,_xlpm.CSVVal&lt;&gt;"",_xlpm.CSVVal
)),"")</f>
        <v/>
      </c>
      <c r="N1431" s="40"/>
      <c r="O1431" s="40" t="str">
        <f>_xlfn.LET(
    _xlpm.CSVVal, _xlfn.XLOOKUP($A1431, CSV!$A:$A, CSV!AA:AA, ""),
    _xlpm.MacVal, _xlfn.XLOOKUP($A1431, Output_Mac!$A:$A, Output_Mac!S:S, ""),
    _xlpm.MyAuditVal, _xlfn.XLOOKUP($A1431, My_Audit!$A:$A, My_Audit!P:P, ""),
    _xlfn.TEXTJOIN(", ", TRUE, _xlpm.MyAuditVal, _xlpm.MacVal, _xlpm.CSVVal)
)</f>
        <v/>
      </c>
      <c r="P1431" s="40" t="str" cm="1">
        <f t="array" ref="P1431">IFERROR(_xlfn.LET(
_xlpm.CSVVal,_xlfn.XLOOKUP($A1431,CSV!$A:$A,CSV!AB:AB,""),
_xlpm.MacVal,_xlfn.XLOOKUP($A1431,Output_Mac!$A:$A,Output_Mac!T:T,""),
_xlpm.MyAuditVal,_xlfn.XLOOKUP($A1431,My_Audit!$A:$A,My_Audit!Q:Q,""),
_xlfn.IFS(_xlpm.MyAuditVal&lt;&gt;"",UPPER(_xlpm.MyAuditVal),_xlpm.MacVal&lt;&gt;"",_xlpm.MacVal,_xlpm.CSVVal&lt;&gt;"",_xlpm.CSVVal
)),"No")</f>
        <v>No</v>
      </c>
      <c r="Q1431" s="40" t="str" cm="1">
        <f t="array" ref="Q1431">IFERROR(_xlfn.LET(
_xlpm.CSVVal,_xlfn.XLOOKUP($A1431,CSV!$A:$A,CSV!AC:AC,""),
_xlpm.MacVal,_xlfn.XLOOKUP($A1431,Output_Mac!$A:$A,Output_Mac!U:U,""),
_xlpm.MyAuditVal,_xlfn.XLOOKUP($A1431,My_Audit!$A:$A,My_Audit!R:R,""),
_xlfn.IFS(_xlpm.MyAuditVal&lt;&gt;"",UPPER(_xlpm.MyAuditVal),_xlpm.MacVal&lt;&gt;"",_xlpm.MacVal,_xlpm.CSVVal&lt;&gt;"",_xlpm.CSVVal
)),"")</f>
        <v/>
      </c>
      <c r="R1431" s="40"/>
      <c r="S1431" s="40"/>
      <c r="T1431" s="40"/>
      <c r="U1431" s="40"/>
      <c r="V1431" s="40"/>
      <c r="W1431" s="40"/>
      <c r="X1431" s="41" t="str">
        <f>_xlfn.LET(
    _xlpm.MacVal, _xlfn.XLOOKUP($A1431, Output_Mac!$A:$A, Output_Mac!AB:AB, ""),
    _xlpm.MyAuditVal, _xlfn.XLOOKUP($A1431, My_Audit!$A:$A, My_Audit!N:N, ""),
    _xlfn.TEXTJOIN(", ", TRUE, _xlpm.MyAuditVal, _xlpm.MacVal)
)</f>
        <v/>
      </c>
    </row>
    <row r="1432" spans="1:24">
      <c r="A1432" s="40" t="str">
        <f>_xlfn.TEXTJOIN("",TRUE,Input!$B$2,ROW(My_Audit!A1431))</f>
        <v>X1431</v>
      </c>
      <c r="B1432" s="40" t="str">
        <f>_xlfn.TEXTJOIN("-",TRUE,"ITD",Input!$A$2,A1432)</f>
        <v>ITD-X1431</v>
      </c>
      <c r="C1432" s="40" t="str" cm="1">
        <f t="array" ref="C1432">IFERROR(_xlfn.LET(
_xlpm.CSVVal,_xlfn.XLOOKUP($A1432,CSV!$A:$A,CSV!B:B,""),
_xlpm.MacVal,_xlfn.XLOOKUP($A1432,Output_Mac!$A:$A,Output_Mac!B:B,""),
_xlpm.MyAuditVal,_xlfn.XLOOKUP($A1432,My_Audit!$A:$A,My_Audit!B:B,""),
_xlfn.IFS(_xlpm.MyAuditVal&lt;&gt;"",UPPER(_xlpm.MyAuditVal),_xlpm.MacVal&lt;&gt;"",_xlpm.MacVal,_xlpm.CSVVal&lt;&gt;"",_xlpm.CSVVal
)),"")</f>
        <v/>
      </c>
      <c r="D1432" s="40" t="str" cm="1">
        <f t="array" ref="D1432">IFERROR(_xlfn.LET(
_xlpm.CSVVal,_xlfn.XLOOKUP($A1432,CSV!$A:$A,CSV!D:D,""),
_xlpm.MacVal,_xlfn.XLOOKUP($A1432,Output_Mac!$A:$A,Output_Mac!C:C,""),
_xlpm.MyAuditVal,_xlfn.XLOOKUP($A1432,My_Audit!$A:$A,My_Audit!C:C,""),
_xlfn.IFS(_xlpm.MyAuditVal&lt;&gt;"",_xlpm.MyAuditVal,_xlpm.MacVal&lt;&gt;"",_xlpm.MacVal,_xlpm.CSVVal&lt;&gt;"",_xlpm.CSVVal
)),"")</f>
        <v/>
      </c>
      <c r="E1432" s="40" t="str">
        <f>_xlfn.XLOOKUP(A1432,My_Audit!A:A,My_Audit!D:D,"")</f>
        <v/>
      </c>
      <c r="F1432" s="40" t="str" cm="1">
        <f t="array" ref="F1432">IFERROR(_xlfn.LET(
_xlpm.CSVVal,_xlfn.XLOOKUP($A1432,CSV!$A:$A,CSV!F:F,""),
_xlpm.MacVal,_xlfn.XLOOKUP($A1432,Output_Mac!$A:$A,Output_Mac!E:E,""),
_xlpm.MyAuditVal,_xlfn.XLOOKUP($A1432,My_Audit!$A:$A,My_Audit!E:E,""),
_xlfn.IFS(_xlpm.MyAuditVal&lt;&gt;"",_xlpm.MyAuditVal,_xlpm.MacVal&lt;&gt;"",_xlpm.MacVal,_xlpm.CSVVal&lt;&gt;"",_xlpm.CSVVal
)),"")</f>
        <v/>
      </c>
      <c r="G1432" s="40" t="str" cm="1">
        <f t="array" ref="G1432">IFERROR(_xlfn.LET(
_xlpm.CSVVal,_xlfn.XLOOKUP($A1432,CSV!$A:$A,CSV!G:G,""),
_xlpm.MacVal,_xlfn.XLOOKUP($A1432,Output_Mac!$A:$A,Output_Mac!F:F,""),
_xlpm.MyAuditVal,_xlfn.XLOOKUP($A1432,My_Audit!$A:$A,My_Audit!F:F,""),
_xlfn.IFS(_xlpm.MyAuditVal&lt;&gt;"",_xlpm.MyAuditVal,_xlpm.MacVal&lt;&gt;"",_xlpm.MacVal,_xlpm.CSVVal&lt;&gt;"",PROPER(_xlpm.CSVVal)
)),"")</f>
        <v/>
      </c>
      <c r="H1432" s="40" t="str" cm="1">
        <f t="array" ref="H1432">IFERROR(_xlfn.LET(
_xlpm.CSVVal,_xlfn.XLOOKUP($A1432,CSV!$A:$A,CSV!H:H,""),
_xlpm.MacVal,_xlfn.XLOOKUP($A1432,Output_Mac!$A:$A,Output_Mac!H:H,""),
_xlpm.MyAuditVal,_xlfn.XLOOKUP($A1432,My_Audit!$A:$A,My_Audit!G:G,""),
_xlfn.IFS(_xlpm.MyAuditVal&lt;&gt;"",_xlpm.MyAuditVal,_xlpm.MacVal&lt;&gt;"",_xlpm.MacVal,_xlpm.CSVVal&lt;&gt;"",_xlpm.CSVVal
)),"")</f>
        <v/>
      </c>
      <c r="I1432" s="40" t="str">
        <f>_xlfn.XLOOKUP(A1432,Output_Mac!A:A,Output_Mac!I:I,"")</f>
        <v/>
      </c>
      <c r="J1432" s="40" t="str" cm="1">
        <f t="array" ref="J1432">IFERROR(_xlfn.LET(
_xlpm.CSVVal,_xlfn.XLOOKUP($A1432,CSV!$A:$A,CSV!I:I,""),
_xlpm.MacVal,_xlfn.XLOOKUP($A1432,Output_Mac!$A:$A,Output_Mac!J:J,""),
_xlpm.MyAuditVal,_xlfn.XLOOKUP($A1432,My_Audit!$A:$A,My_Audit!I:I,""),
_xlfn.IFS(_xlpm.MyAuditVal&lt;&gt;"",UPPER(_xlpm.MyAuditVal),_xlpm.MacVal&lt;&gt;"",_xlpm.MacVal,_xlpm.CSVVal&lt;&gt;"",_xlpm.CSVVal
)),"")</f>
        <v/>
      </c>
      <c r="K1432" s="40" t="str" cm="1">
        <f t="array" ref="K1432">IFERROR(_xlfn.LET(
_xlpm.CSVVal,_xlfn.XLOOKUP($A1432,CSV!$A:$A,CSV!K:K,""),
_xlpm.MacVal,_xlfn.XLOOKUP($A1432,Output_Mac!$A:$A,Output_Mac!K:K,""),
_xlpm.MyAuditVal,_xlfn.XLOOKUP($A1432,My_Audit!$A:$A,My_Audit!J:J,""),
_xlfn.IFS(_xlpm.MyAuditVal&lt;&gt;"",UPPER(_xlpm.MyAuditVal),_xlpm.MacVal&lt;&gt;"",_xlpm.MacVal,_xlpm.CSVVal&lt;&gt;"",_xlpm.CSVVal
)),"")</f>
        <v/>
      </c>
      <c r="L1432" s="40" t="str" cm="1">
        <f t="array" ref="L1432">IFERROR(_xlfn.LET(
_xlpm.CSVVal,_xlfn.XLOOKUP($A1432,CSV!$A:$A,CSV!P:P,""),
_xlpm.MacVal,_xlfn.XLOOKUP($A1432,Output_Mac!$A:$A,Output_Mac!L:L,""),
_xlpm.MyAuditVal,_xlfn.XLOOKUP($A1432,My_Audit!$A:$A,My_Audit!K:K,""),
_xlfn.IFS(_xlpm.MyAuditVal&lt;&gt;"",UPPER(_xlpm.MyAuditVal),_xlpm.MacVal&lt;&gt;"",_xlpm.MacVal,_xlpm.CSVVal&lt;&gt;"",_xlpm.CSVVal
)),"")</f>
        <v/>
      </c>
      <c r="M1432" s="40" t="str" cm="1">
        <f t="array" ref="M1432">IFERROR(_xlfn.LET(
_xlpm.CSVVal,_xlfn.XLOOKUP($A1432,CSV!$A:$A,CSV!Q:Q,""),
_xlpm.MacVal,_xlfn.XLOOKUP($A1432,Output_Mac!$A:$A,Output_Mac!M:M,""),
_xlpm.MyAuditVal,_xlfn.XLOOKUP($A1432,My_Audit!$A:$A,My_Audit!L:L,""),
_xlfn.IFS(_xlpm.MyAuditVal&lt;&gt;"",UPPER(_xlpm.MyAuditVal),_xlpm.MacVal&lt;&gt;"",_xlpm.MacVal,_xlpm.CSVVal&lt;&gt;"",_xlpm.CSVVal
)),"")</f>
        <v/>
      </c>
      <c r="N1432" s="40"/>
      <c r="O1432" s="40" t="str">
        <f>_xlfn.LET(
    _xlpm.CSVVal, _xlfn.XLOOKUP($A1432, CSV!$A:$A, CSV!AA:AA, ""),
    _xlpm.MacVal, _xlfn.XLOOKUP($A1432, Output_Mac!$A:$A, Output_Mac!S:S, ""),
    _xlpm.MyAuditVal, _xlfn.XLOOKUP($A1432, My_Audit!$A:$A, My_Audit!P:P, ""),
    _xlfn.TEXTJOIN(", ", TRUE, _xlpm.MyAuditVal, _xlpm.MacVal, _xlpm.CSVVal)
)</f>
        <v/>
      </c>
      <c r="P1432" s="40" t="str" cm="1">
        <f t="array" ref="P1432">IFERROR(_xlfn.LET(
_xlpm.CSVVal,_xlfn.XLOOKUP($A1432,CSV!$A:$A,CSV!AB:AB,""),
_xlpm.MacVal,_xlfn.XLOOKUP($A1432,Output_Mac!$A:$A,Output_Mac!T:T,""),
_xlpm.MyAuditVal,_xlfn.XLOOKUP($A1432,My_Audit!$A:$A,My_Audit!Q:Q,""),
_xlfn.IFS(_xlpm.MyAuditVal&lt;&gt;"",UPPER(_xlpm.MyAuditVal),_xlpm.MacVal&lt;&gt;"",_xlpm.MacVal,_xlpm.CSVVal&lt;&gt;"",_xlpm.CSVVal
)),"No")</f>
        <v>No</v>
      </c>
      <c r="Q1432" s="40" t="str" cm="1">
        <f t="array" ref="Q1432">IFERROR(_xlfn.LET(
_xlpm.CSVVal,_xlfn.XLOOKUP($A1432,CSV!$A:$A,CSV!AC:AC,""),
_xlpm.MacVal,_xlfn.XLOOKUP($A1432,Output_Mac!$A:$A,Output_Mac!U:U,""),
_xlpm.MyAuditVal,_xlfn.XLOOKUP($A1432,My_Audit!$A:$A,My_Audit!R:R,""),
_xlfn.IFS(_xlpm.MyAuditVal&lt;&gt;"",UPPER(_xlpm.MyAuditVal),_xlpm.MacVal&lt;&gt;"",_xlpm.MacVal,_xlpm.CSVVal&lt;&gt;"",_xlpm.CSVVal
)),"")</f>
        <v/>
      </c>
      <c r="R1432" s="40"/>
      <c r="S1432" s="40"/>
      <c r="T1432" s="40"/>
      <c r="U1432" s="40"/>
      <c r="V1432" s="40"/>
      <c r="W1432" s="40"/>
      <c r="X1432" s="41" t="str">
        <f>_xlfn.LET(
    _xlpm.MacVal, _xlfn.XLOOKUP($A1432, Output_Mac!$A:$A, Output_Mac!AB:AB, ""),
    _xlpm.MyAuditVal, _xlfn.XLOOKUP($A1432, My_Audit!$A:$A, My_Audit!N:N, ""),
    _xlfn.TEXTJOIN(", ", TRUE, _xlpm.MyAuditVal, _xlpm.MacVal)
)</f>
        <v/>
      </c>
    </row>
    <row r="1433" spans="1:24">
      <c r="A1433" s="40" t="str">
        <f>_xlfn.TEXTJOIN("",TRUE,Input!$B$2,ROW(My_Audit!A1432))</f>
        <v>X1432</v>
      </c>
      <c r="B1433" s="40" t="str">
        <f>_xlfn.TEXTJOIN("-",TRUE,"ITD",Input!$A$2,A1433)</f>
        <v>ITD-X1432</v>
      </c>
      <c r="C1433" s="40" t="str" cm="1">
        <f t="array" ref="C1433">IFERROR(_xlfn.LET(
_xlpm.CSVVal,_xlfn.XLOOKUP($A1433,CSV!$A:$A,CSV!B:B,""),
_xlpm.MacVal,_xlfn.XLOOKUP($A1433,Output_Mac!$A:$A,Output_Mac!B:B,""),
_xlpm.MyAuditVal,_xlfn.XLOOKUP($A1433,My_Audit!$A:$A,My_Audit!B:B,""),
_xlfn.IFS(_xlpm.MyAuditVal&lt;&gt;"",UPPER(_xlpm.MyAuditVal),_xlpm.MacVal&lt;&gt;"",_xlpm.MacVal,_xlpm.CSVVal&lt;&gt;"",_xlpm.CSVVal
)),"")</f>
        <v/>
      </c>
      <c r="D1433" s="40" t="str" cm="1">
        <f t="array" ref="D1433">IFERROR(_xlfn.LET(
_xlpm.CSVVal,_xlfn.XLOOKUP($A1433,CSV!$A:$A,CSV!D:D,""),
_xlpm.MacVal,_xlfn.XLOOKUP($A1433,Output_Mac!$A:$A,Output_Mac!C:C,""),
_xlpm.MyAuditVal,_xlfn.XLOOKUP($A1433,My_Audit!$A:$A,My_Audit!C:C,""),
_xlfn.IFS(_xlpm.MyAuditVal&lt;&gt;"",_xlpm.MyAuditVal,_xlpm.MacVal&lt;&gt;"",_xlpm.MacVal,_xlpm.CSVVal&lt;&gt;"",_xlpm.CSVVal
)),"")</f>
        <v/>
      </c>
      <c r="E1433" s="40" t="str">
        <f>_xlfn.XLOOKUP(A1433,My_Audit!A:A,My_Audit!D:D,"")</f>
        <v/>
      </c>
      <c r="F1433" s="40" t="str" cm="1">
        <f t="array" ref="F1433">IFERROR(_xlfn.LET(
_xlpm.CSVVal,_xlfn.XLOOKUP($A1433,CSV!$A:$A,CSV!F:F,""),
_xlpm.MacVal,_xlfn.XLOOKUP($A1433,Output_Mac!$A:$A,Output_Mac!E:E,""),
_xlpm.MyAuditVal,_xlfn.XLOOKUP($A1433,My_Audit!$A:$A,My_Audit!E:E,""),
_xlfn.IFS(_xlpm.MyAuditVal&lt;&gt;"",_xlpm.MyAuditVal,_xlpm.MacVal&lt;&gt;"",_xlpm.MacVal,_xlpm.CSVVal&lt;&gt;"",_xlpm.CSVVal
)),"")</f>
        <v/>
      </c>
      <c r="G1433" s="40" t="str" cm="1">
        <f t="array" ref="G1433">IFERROR(_xlfn.LET(
_xlpm.CSVVal,_xlfn.XLOOKUP($A1433,CSV!$A:$A,CSV!G:G,""),
_xlpm.MacVal,_xlfn.XLOOKUP($A1433,Output_Mac!$A:$A,Output_Mac!F:F,""),
_xlpm.MyAuditVal,_xlfn.XLOOKUP($A1433,My_Audit!$A:$A,My_Audit!F:F,""),
_xlfn.IFS(_xlpm.MyAuditVal&lt;&gt;"",_xlpm.MyAuditVal,_xlpm.MacVal&lt;&gt;"",_xlpm.MacVal,_xlpm.CSVVal&lt;&gt;"",PROPER(_xlpm.CSVVal)
)),"")</f>
        <v/>
      </c>
      <c r="H1433" s="40" t="str" cm="1">
        <f t="array" ref="H1433">IFERROR(_xlfn.LET(
_xlpm.CSVVal,_xlfn.XLOOKUP($A1433,CSV!$A:$A,CSV!H:H,""),
_xlpm.MacVal,_xlfn.XLOOKUP($A1433,Output_Mac!$A:$A,Output_Mac!H:H,""),
_xlpm.MyAuditVal,_xlfn.XLOOKUP($A1433,My_Audit!$A:$A,My_Audit!G:G,""),
_xlfn.IFS(_xlpm.MyAuditVal&lt;&gt;"",_xlpm.MyAuditVal,_xlpm.MacVal&lt;&gt;"",_xlpm.MacVal,_xlpm.CSVVal&lt;&gt;"",_xlpm.CSVVal
)),"")</f>
        <v/>
      </c>
      <c r="I1433" s="40" t="str">
        <f>_xlfn.XLOOKUP(A1433,Output_Mac!A:A,Output_Mac!I:I,"")</f>
        <v/>
      </c>
      <c r="J1433" s="40" t="str" cm="1">
        <f t="array" ref="J1433">IFERROR(_xlfn.LET(
_xlpm.CSVVal,_xlfn.XLOOKUP($A1433,CSV!$A:$A,CSV!I:I,""),
_xlpm.MacVal,_xlfn.XLOOKUP($A1433,Output_Mac!$A:$A,Output_Mac!J:J,""),
_xlpm.MyAuditVal,_xlfn.XLOOKUP($A1433,My_Audit!$A:$A,My_Audit!I:I,""),
_xlfn.IFS(_xlpm.MyAuditVal&lt;&gt;"",UPPER(_xlpm.MyAuditVal),_xlpm.MacVal&lt;&gt;"",_xlpm.MacVal,_xlpm.CSVVal&lt;&gt;"",_xlpm.CSVVal
)),"")</f>
        <v/>
      </c>
      <c r="K1433" s="40" t="str" cm="1">
        <f t="array" ref="K1433">IFERROR(_xlfn.LET(
_xlpm.CSVVal,_xlfn.XLOOKUP($A1433,CSV!$A:$A,CSV!K:K,""),
_xlpm.MacVal,_xlfn.XLOOKUP($A1433,Output_Mac!$A:$A,Output_Mac!K:K,""),
_xlpm.MyAuditVal,_xlfn.XLOOKUP($A1433,My_Audit!$A:$A,My_Audit!J:J,""),
_xlfn.IFS(_xlpm.MyAuditVal&lt;&gt;"",UPPER(_xlpm.MyAuditVal),_xlpm.MacVal&lt;&gt;"",_xlpm.MacVal,_xlpm.CSVVal&lt;&gt;"",_xlpm.CSVVal
)),"")</f>
        <v/>
      </c>
      <c r="L1433" s="40" t="str" cm="1">
        <f t="array" ref="L1433">IFERROR(_xlfn.LET(
_xlpm.CSVVal,_xlfn.XLOOKUP($A1433,CSV!$A:$A,CSV!P:P,""),
_xlpm.MacVal,_xlfn.XLOOKUP($A1433,Output_Mac!$A:$A,Output_Mac!L:L,""),
_xlpm.MyAuditVal,_xlfn.XLOOKUP($A1433,My_Audit!$A:$A,My_Audit!K:K,""),
_xlfn.IFS(_xlpm.MyAuditVal&lt;&gt;"",UPPER(_xlpm.MyAuditVal),_xlpm.MacVal&lt;&gt;"",_xlpm.MacVal,_xlpm.CSVVal&lt;&gt;"",_xlpm.CSVVal
)),"")</f>
        <v/>
      </c>
      <c r="M1433" s="40" t="str" cm="1">
        <f t="array" ref="M1433">IFERROR(_xlfn.LET(
_xlpm.CSVVal,_xlfn.XLOOKUP($A1433,CSV!$A:$A,CSV!Q:Q,""),
_xlpm.MacVal,_xlfn.XLOOKUP($A1433,Output_Mac!$A:$A,Output_Mac!M:M,""),
_xlpm.MyAuditVal,_xlfn.XLOOKUP($A1433,My_Audit!$A:$A,My_Audit!L:L,""),
_xlfn.IFS(_xlpm.MyAuditVal&lt;&gt;"",UPPER(_xlpm.MyAuditVal),_xlpm.MacVal&lt;&gt;"",_xlpm.MacVal,_xlpm.CSVVal&lt;&gt;"",_xlpm.CSVVal
)),"")</f>
        <v/>
      </c>
      <c r="N1433" s="40"/>
      <c r="O1433" s="40" t="str">
        <f>_xlfn.LET(
    _xlpm.CSVVal, _xlfn.XLOOKUP($A1433, CSV!$A:$A, CSV!AA:AA, ""),
    _xlpm.MacVal, _xlfn.XLOOKUP($A1433, Output_Mac!$A:$A, Output_Mac!S:S, ""),
    _xlpm.MyAuditVal, _xlfn.XLOOKUP($A1433, My_Audit!$A:$A, My_Audit!P:P, ""),
    _xlfn.TEXTJOIN(", ", TRUE, _xlpm.MyAuditVal, _xlpm.MacVal, _xlpm.CSVVal)
)</f>
        <v/>
      </c>
      <c r="P1433" s="40" t="str" cm="1">
        <f t="array" ref="P1433">IFERROR(_xlfn.LET(
_xlpm.CSVVal,_xlfn.XLOOKUP($A1433,CSV!$A:$A,CSV!AB:AB,""),
_xlpm.MacVal,_xlfn.XLOOKUP($A1433,Output_Mac!$A:$A,Output_Mac!T:T,""),
_xlpm.MyAuditVal,_xlfn.XLOOKUP($A1433,My_Audit!$A:$A,My_Audit!Q:Q,""),
_xlfn.IFS(_xlpm.MyAuditVal&lt;&gt;"",UPPER(_xlpm.MyAuditVal),_xlpm.MacVal&lt;&gt;"",_xlpm.MacVal,_xlpm.CSVVal&lt;&gt;"",_xlpm.CSVVal
)),"No")</f>
        <v>No</v>
      </c>
      <c r="Q1433" s="40" t="str" cm="1">
        <f t="array" ref="Q1433">IFERROR(_xlfn.LET(
_xlpm.CSVVal,_xlfn.XLOOKUP($A1433,CSV!$A:$A,CSV!AC:AC,""),
_xlpm.MacVal,_xlfn.XLOOKUP($A1433,Output_Mac!$A:$A,Output_Mac!U:U,""),
_xlpm.MyAuditVal,_xlfn.XLOOKUP($A1433,My_Audit!$A:$A,My_Audit!R:R,""),
_xlfn.IFS(_xlpm.MyAuditVal&lt;&gt;"",UPPER(_xlpm.MyAuditVal),_xlpm.MacVal&lt;&gt;"",_xlpm.MacVal,_xlpm.CSVVal&lt;&gt;"",_xlpm.CSVVal
)),"")</f>
        <v/>
      </c>
      <c r="R1433" s="40"/>
      <c r="S1433" s="40"/>
      <c r="T1433" s="40"/>
      <c r="U1433" s="40"/>
      <c r="V1433" s="40"/>
      <c r="W1433" s="40"/>
      <c r="X1433" s="41" t="str">
        <f>_xlfn.LET(
    _xlpm.MacVal, _xlfn.XLOOKUP($A1433, Output_Mac!$A:$A, Output_Mac!AB:AB, ""),
    _xlpm.MyAuditVal, _xlfn.XLOOKUP($A1433, My_Audit!$A:$A, My_Audit!N:N, ""),
    _xlfn.TEXTJOIN(", ", TRUE, _xlpm.MyAuditVal, _xlpm.MacVal)
)</f>
        <v/>
      </c>
    </row>
    <row r="1434" spans="1:24">
      <c r="A1434" s="40" t="str">
        <f>_xlfn.TEXTJOIN("",TRUE,Input!$B$2,ROW(My_Audit!A1433))</f>
        <v>X1433</v>
      </c>
      <c r="B1434" s="40" t="str">
        <f>_xlfn.TEXTJOIN("-",TRUE,"ITD",Input!$A$2,A1434)</f>
        <v>ITD-X1433</v>
      </c>
      <c r="C1434" s="40" t="str" cm="1">
        <f t="array" ref="C1434">IFERROR(_xlfn.LET(
_xlpm.CSVVal,_xlfn.XLOOKUP($A1434,CSV!$A:$A,CSV!B:B,""),
_xlpm.MacVal,_xlfn.XLOOKUP($A1434,Output_Mac!$A:$A,Output_Mac!B:B,""),
_xlpm.MyAuditVal,_xlfn.XLOOKUP($A1434,My_Audit!$A:$A,My_Audit!B:B,""),
_xlfn.IFS(_xlpm.MyAuditVal&lt;&gt;"",UPPER(_xlpm.MyAuditVal),_xlpm.MacVal&lt;&gt;"",_xlpm.MacVal,_xlpm.CSVVal&lt;&gt;"",_xlpm.CSVVal
)),"")</f>
        <v/>
      </c>
      <c r="D1434" s="40" t="str" cm="1">
        <f t="array" ref="D1434">IFERROR(_xlfn.LET(
_xlpm.CSVVal,_xlfn.XLOOKUP($A1434,CSV!$A:$A,CSV!D:D,""),
_xlpm.MacVal,_xlfn.XLOOKUP($A1434,Output_Mac!$A:$A,Output_Mac!C:C,""),
_xlpm.MyAuditVal,_xlfn.XLOOKUP($A1434,My_Audit!$A:$A,My_Audit!C:C,""),
_xlfn.IFS(_xlpm.MyAuditVal&lt;&gt;"",_xlpm.MyAuditVal,_xlpm.MacVal&lt;&gt;"",_xlpm.MacVal,_xlpm.CSVVal&lt;&gt;"",_xlpm.CSVVal
)),"")</f>
        <v/>
      </c>
      <c r="E1434" s="40" t="str">
        <f>_xlfn.XLOOKUP(A1434,My_Audit!A:A,My_Audit!D:D,"")</f>
        <v/>
      </c>
      <c r="F1434" s="40" t="str" cm="1">
        <f t="array" ref="F1434">IFERROR(_xlfn.LET(
_xlpm.CSVVal,_xlfn.XLOOKUP($A1434,CSV!$A:$A,CSV!F:F,""),
_xlpm.MacVal,_xlfn.XLOOKUP($A1434,Output_Mac!$A:$A,Output_Mac!E:E,""),
_xlpm.MyAuditVal,_xlfn.XLOOKUP($A1434,My_Audit!$A:$A,My_Audit!E:E,""),
_xlfn.IFS(_xlpm.MyAuditVal&lt;&gt;"",_xlpm.MyAuditVal,_xlpm.MacVal&lt;&gt;"",_xlpm.MacVal,_xlpm.CSVVal&lt;&gt;"",_xlpm.CSVVal
)),"")</f>
        <v/>
      </c>
      <c r="G1434" s="40" t="str" cm="1">
        <f t="array" ref="G1434">IFERROR(_xlfn.LET(
_xlpm.CSVVal,_xlfn.XLOOKUP($A1434,CSV!$A:$A,CSV!G:G,""),
_xlpm.MacVal,_xlfn.XLOOKUP($A1434,Output_Mac!$A:$A,Output_Mac!F:F,""),
_xlpm.MyAuditVal,_xlfn.XLOOKUP($A1434,My_Audit!$A:$A,My_Audit!F:F,""),
_xlfn.IFS(_xlpm.MyAuditVal&lt;&gt;"",_xlpm.MyAuditVal,_xlpm.MacVal&lt;&gt;"",_xlpm.MacVal,_xlpm.CSVVal&lt;&gt;"",PROPER(_xlpm.CSVVal)
)),"")</f>
        <v/>
      </c>
      <c r="H1434" s="40" t="str" cm="1">
        <f t="array" ref="H1434">IFERROR(_xlfn.LET(
_xlpm.CSVVal,_xlfn.XLOOKUP($A1434,CSV!$A:$A,CSV!H:H,""),
_xlpm.MacVal,_xlfn.XLOOKUP($A1434,Output_Mac!$A:$A,Output_Mac!H:H,""),
_xlpm.MyAuditVal,_xlfn.XLOOKUP($A1434,My_Audit!$A:$A,My_Audit!G:G,""),
_xlfn.IFS(_xlpm.MyAuditVal&lt;&gt;"",_xlpm.MyAuditVal,_xlpm.MacVal&lt;&gt;"",_xlpm.MacVal,_xlpm.CSVVal&lt;&gt;"",_xlpm.CSVVal
)),"")</f>
        <v/>
      </c>
      <c r="I1434" s="40" t="str">
        <f>_xlfn.XLOOKUP(A1434,Output_Mac!A:A,Output_Mac!I:I,"")</f>
        <v/>
      </c>
      <c r="J1434" s="40" t="str" cm="1">
        <f t="array" ref="J1434">IFERROR(_xlfn.LET(
_xlpm.CSVVal,_xlfn.XLOOKUP($A1434,CSV!$A:$A,CSV!I:I,""),
_xlpm.MacVal,_xlfn.XLOOKUP($A1434,Output_Mac!$A:$A,Output_Mac!J:J,""),
_xlpm.MyAuditVal,_xlfn.XLOOKUP($A1434,My_Audit!$A:$A,My_Audit!I:I,""),
_xlfn.IFS(_xlpm.MyAuditVal&lt;&gt;"",UPPER(_xlpm.MyAuditVal),_xlpm.MacVal&lt;&gt;"",_xlpm.MacVal,_xlpm.CSVVal&lt;&gt;"",_xlpm.CSVVal
)),"")</f>
        <v/>
      </c>
      <c r="K1434" s="40" t="str" cm="1">
        <f t="array" ref="K1434">IFERROR(_xlfn.LET(
_xlpm.CSVVal,_xlfn.XLOOKUP($A1434,CSV!$A:$A,CSV!K:K,""),
_xlpm.MacVal,_xlfn.XLOOKUP($A1434,Output_Mac!$A:$A,Output_Mac!K:K,""),
_xlpm.MyAuditVal,_xlfn.XLOOKUP($A1434,My_Audit!$A:$A,My_Audit!J:J,""),
_xlfn.IFS(_xlpm.MyAuditVal&lt;&gt;"",UPPER(_xlpm.MyAuditVal),_xlpm.MacVal&lt;&gt;"",_xlpm.MacVal,_xlpm.CSVVal&lt;&gt;"",_xlpm.CSVVal
)),"")</f>
        <v/>
      </c>
      <c r="L1434" s="40" t="str" cm="1">
        <f t="array" ref="L1434">IFERROR(_xlfn.LET(
_xlpm.CSVVal,_xlfn.XLOOKUP($A1434,CSV!$A:$A,CSV!P:P,""),
_xlpm.MacVal,_xlfn.XLOOKUP($A1434,Output_Mac!$A:$A,Output_Mac!L:L,""),
_xlpm.MyAuditVal,_xlfn.XLOOKUP($A1434,My_Audit!$A:$A,My_Audit!K:K,""),
_xlfn.IFS(_xlpm.MyAuditVal&lt;&gt;"",UPPER(_xlpm.MyAuditVal),_xlpm.MacVal&lt;&gt;"",_xlpm.MacVal,_xlpm.CSVVal&lt;&gt;"",_xlpm.CSVVal
)),"")</f>
        <v/>
      </c>
      <c r="M1434" s="40" t="str" cm="1">
        <f t="array" ref="M1434">IFERROR(_xlfn.LET(
_xlpm.CSVVal,_xlfn.XLOOKUP($A1434,CSV!$A:$A,CSV!Q:Q,""),
_xlpm.MacVal,_xlfn.XLOOKUP($A1434,Output_Mac!$A:$A,Output_Mac!M:M,""),
_xlpm.MyAuditVal,_xlfn.XLOOKUP($A1434,My_Audit!$A:$A,My_Audit!L:L,""),
_xlfn.IFS(_xlpm.MyAuditVal&lt;&gt;"",UPPER(_xlpm.MyAuditVal),_xlpm.MacVal&lt;&gt;"",_xlpm.MacVal,_xlpm.CSVVal&lt;&gt;"",_xlpm.CSVVal
)),"")</f>
        <v/>
      </c>
      <c r="N1434" s="40"/>
      <c r="O1434" s="40" t="str">
        <f>_xlfn.LET(
    _xlpm.CSVVal, _xlfn.XLOOKUP($A1434, CSV!$A:$A, CSV!AA:AA, ""),
    _xlpm.MacVal, _xlfn.XLOOKUP($A1434, Output_Mac!$A:$A, Output_Mac!S:S, ""),
    _xlpm.MyAuditVal, _xlfn.XLOOKUP($A1434, My_Audit!$A:$A, My_Audit!P:P, ""),
    _xlfn.TEXTJOIN(", ", TRUE, _xlpm.MyAuditVal, _xlpm.MacVal, _xlpm.CSVVal)
)</f>
        <v/>
      </c>
      <c r="P1434" s="40" t="str" cm="1">
        <f t="array" ref="P1434">IFERROR(_xlfn.LET(
_xlpm.CSVVal,_xlfn.XLOOKUP($A1434,CSV!$A:$A,CSV!AB:AB,""),
_xlpm.MacVal,_xlfn.XLOOKUP($A1434,Output_Mac!$A:$A,Output_Mac!T:T,""),
_xlpm.MyAuditVal,_xlfn.XLOOKUP($A1434,My_Audit!$A:$A,My_Audit!Q:Q,""),
_xlfn.IFS(_xlpm.MyAuditVal&lt;&gt;"",UPPER(_xlpm.MyAuditVal),_xlpm.MacVal&lt;&gt;"",_xlpm.MacVal,_xlpm.CSVVal&lt;&gt;"",_xlpm.CSVVal
)),"No")</f>
        <v>No</v>
      </c>
      <c r="Q1434" s="40" t="str" cm="1">
        <f t="array" ref="Q1434">IFERROR(_xlfn.LET(
_xlpm.CSVVal,_xlfn.XLOOKUP($A1434,CSV!$A:$A,CSV!AC:AC,""),
_xlpm.MacVal,_xlfn.XLOOKUP($A1434,Output_Mac!$A:$A,Output_Mac!U:U,""),
_xlpm.MyAuditVal,_xlfn.XLOOKUP($A1434,My_Audit!$A:$A,My_Audit!R:R,""),
_xlfn.IFS(_xlpm.MyAuditVal&lt;&gt;"",UPPER(_xlpm.MyAuditVal),_xlpm.MacVal&lt;&gt;"",_xlpm.MacVal,_xlpm.CSVVal&lt;&gt;"",_xlpm.CSVVal
)),"")</f>
        <v/>
      </c>
      <c r="R1434" s="40"/>
      <c r="S1434" s="40"/>
      <c r="T1434" s="40"/>
      <c r="U1434" s="40"/>
      <c r="V1434" s="40"/>
      <c r="W1434" s="40"/>
      <c r="X1434" s="41" t="str">
        <f>_xlfn.LET(
    _xlpm.MacVal, _xlfn.XLOOKUP($A1434, Output_Mac!$A:$A, Output_Mac!AB:AB, ""),
    _xlpm.MyAuditVal, _xlfn.XLOOKUP($A1434, My_Audit!$A:$A, My_Audit!N:N, ""),
    _xlfn.TEXTJOIN(", ", TRUE, _xlpm.MyAuditVal, _xlpm.MacVal)
)</f>
        <v/>
      </c>
    </row>
    <row r="1435" spans="1:24">
      <c r="A1435" s="40" t="str">
        <f>_xlfn.TEXTJOIN("",TRUE,Input!$B$2,ROW(My_Audit!A1434))</f>
        <v>X1434</v>
      </c>
      <c r="B1435" s="40" t="str">
        <f>_xlfn.TEXTJOIN("-",TRUE,"ITD",Input!$A$2,A1435)</f>
        <v>ITD-X1434</v>
      </c>
      <c r="C1435" s="40" t="str" cm="1">
        <f t="array" ref="C1435">IFERROR(_xlfn.LET(
_xlpm.CSVVal,_xlfn.XLOOKUP($A1435,CSV!$A:$A,CSV!B:B,""),
_xlpm.MacVal,_xlfn.XLOOKUP($A1435,Output_Mac!$A:$A,Output_Mac!B:B,""),
_xlpm.MyAuditVal,_xlfn.XLOOKUP($A1435,My_Audit!$A:$A,My_Audit!B:B,""),
_xlfn.IFS(_xlpm.MyAuditVal&lt;&gt;"",UPPER(_xlpm.MyAuditVal),_xlpm.MacVal&lt;&gt;"",_xlpm.MacVal,_xlpm.CSVVal&lt;&gt;"",_xlpm.CSVVal
)),"")</f>
        <v/>
      </c>
      <c r="D1435" s="40" t="str" cm="1">
        <f t="array" ref="D1435">IFERROR(_xlfn.LET(
_xlpm.CSVVal,_xlfn.XLOOKUP($A1435,CSV!$A:$A,CSV!D:D,""),
_xlpm.MacVal,_xlfn.XLOOKUP($A1435,Output_Mac!$A:$A,Output_Mac!C:C,""),
_xlpm.MyAuditVal,_xlfn.XLOOKUP($A1435,My_Audit!$A:$A,My_Audit!C:C,""),
_xlfn.IFS(_xlpm.MyAuditVal&lt;&gt;"",_xlpm.MyAuditVal,_xlpm.MacVal&lt;&gt;"",_xlpm.MacVal,_xlpm.CSVVal&lt;&gt;"",_xlpm.CSVVal
)),"")</f>
        <v/>
      </c>
      <c r="E1435" s="40" t="str">
        <f>_xlfn.XLOOKUP(A1435,My_Audit!A:A,My_Audit!D:D,"")</f>
        <v/>
      </c>
      <c r="F1435" s="40" t="str" cm="1">
        <f t="array" ref="F1435">IFERROR(_xlfn.LET(
_xlpm.CSVVal,_xlfn.XLOOKUP($A1435,CSV!$A:$A,CSV!F:F,""),
_xlpm.MacVal,_xlfn.XLOOKUP($A1435,Output_Mac!$A:$A,Output_Mac!E:E,""),
_xlpm.MyAuditVal,_xlfn.XLOOKUP($A1435,My_Audit!$A:$A,My_Audit!E:E,""),
_xlfn.IFS(_xlpm.MyAuditVal&lt;&gt;"",_xlpm.MyAuditVal,_xlpm.MacVal&lt;&gt;"",_xlpm.MacVal,_xlpm.CSVVal&lt;&gt;"",_xlpm.CSVVal
)),"")</f>
        <v/>
      </c>
      <c r="G1435" s="40" t="str" cm="1">
        <f t="array" ref="G1435">IFERROR(_xlfn.LET(
_xlpm.CSVVal,_xlfn.XLOOKUP($A1435,CSV!$A:$A,CSV!G:G,""),
_xlpm.MacVal,_xlfn.XLOOKUP($A1435,Output_Mac!$A:$A,Output_Mac!F:F,""),
_xlpm.MyAuditVal,_xlfn.XLOOKUP($A1435,My_Audit!$A:$A,My_Audit!F:F,""),
_xlfn.IFS(_xlpm.MyAuditVal&lt;&gt;"",_xlpm.MyAuditVal,_xlpm.MacVal&lt;&gt;"",_xlpm.MacVal,_xlpm.CSVVal&lt;&gt;"",PROPER(_xlpm.CSVVal)
)),"")</f>
        <v/>
      </c>
      <c r="H1435" s="40" t="str" cm="1">
        <f t="array" ref="H1435">IFERROR(_xlfn.LET(
_xlpm.CSVVal,_xlfn.XLOOKUP($A1435,CSV!$A:$A,CSV!H:H,""),
_xlpm.MacVal,_xlfn.XLOOKUP($A1435,Output_Mac!$A:$A,Output_Mac!H:H,""),
_xlpm.MyAuditVal,_xlfn.XLOOKUP($A1435,My_Audit!$A:$A,My_Audit!G:G,""),
_xlfn.IFS(_xlpm.MyAuditVal&lt;&gt;"",_xlpm.MyAuditVal,_xlpm.MacVal&lt;&gt;"",_xlpm.MacVal,_xlpm.CSVVal&lt;&gt;"",_xlpm.CSVVal
)),"")</f>
        <v/>
      </c>
      <c r="I1435" s="40" t="str">
        <f>_xlfn.XLOOKUP(A1435,Output_Mac!A:A,Output_Mac!I:I,"")</f>
        <v/>
      </c>
      <c r="J1435" s="40" t="str" cm="1">
        <f t="array" ref="J1435">IFERROR(_xlfn.LET(
_xlpm.CSVVal,_xlfn.XLOOKUP($A1435,CSV!$A:$A,CSV!I:I,""),
_xlpm.MacVal,_xlfn.XLOOKUP($A1435,Output_Mac!$A:$A,Output_Mac!J:J,""),
_xlpm.MyAuditVal,_xlfn.XLOOKUP($A1435,My_Audit!$A:$A,My_Audit!I:I,""),
_xlfn.IFS(_xlpm.MyAuditVal&lt;&gt;"",UPPER(_xlpm.MyAuditVal),_xlpm.MacVal&lt;&gt;"",_xlpm.MacVal,_xlpm.CSVVal&lt;&gt;"",_xlpm.CSVVal
)),"")</f>
        <v/>
      </c>
      <c r="K1435" s="40" t="str" cm="1">
        <f t="array" ref="K1435">IFERROR(_xlfn.LET(
_xlpm.CSVVal,_xlfn.XLOOKUP($A1435,CSV!$A:$A,CSV!K:K,""),
_xlpm.MacVal,_xlfn.XLOOKUP($A1435,Output_Mac!$A:$A,Output_Mac!K:K,""),
_xlpm.MyAuditVal,_xlfn.XLOOKUP($A1435,My_Audit!$A:$A,My_Audit!J:J,""),
_xlfn.IFS(_xlpm.MyAuditVal&lt;&gt;"",UPPER(_xlpm.MyAuditVal),_xlpm.MacVal&lt;&gt;"",_xlpm.MacVal,_xlpm.CSVVal&lt;&gt;"",_xlpm.CSVVal
)),"")</f>
        <v/>
      </c>
      <c r="L1435" s="40" t="str" cm="1">
        <f t="array" ref="L1435">IFERROR(_xlfn.LET(
_xlpm.CSVVal,_xlfn.XLOOKUP($A1435,CSV!$A:$A,CSV!P:P,""),
_xlpm.MacVal,_xlfn.XLOOKUP($A1435,Output_Mac!$A:$A,Output_Mac!L:L,""),
_xlpm.MyAuditVal,_xlfn.XLOOKUP($A1435,My_Audit!$A:$A,My_Audit!K:K,""),
_xlfn.IFS(_xlpm.MyAuditVal&lt;&gt;"",UPPER(_xlpm.MyAuditVal),_xlpm.MacVal&lt;&gt;"",_xlpm.MacVal,_xlpm.CSVVal&lt;&gt;"",_xlpm.CSVVal
)),"")</f>
        <v/>
      </c>
      <c r="M1435" s="40" t="str" cm="1">
        <f t="array" ref="M1435">IFERROR(_xlfn.LET(
_xlpm.CSVVal,_xlfn.XLOOKUP($A1435,CSV!$A:$A,CSV!Q:Q,""),
_xlpm.MacVal,_xlfn.XLOOKUP($A1435,Output_Mac!$A:$A,Output_Mac!M:M,""),
_xlpm.MyAuditVal,_xlfn.XLOOKUP($A1435,My_Audit!$A:$A,My_Audit!L:L,""),
_xlfn.IFS(_xlpm.MyAuditVal&lt;&gt;"",UPPER(_xlpm.MyAuditVal),_xlpm.MacVal&lt;&gt;"",_xlpm.MacVal,_xlpm.CSVVal&lt;&gt;"",_xlpm.CSVVal
)),"")</f>
        <v/>
      </c>
      <c r="N1435" s="40"/>
      <c r="O1435" s="40" t="str">
        <f>_xlfn.LET(
    _xlpm.CSVVal, _xlfn.XLOOKUP($A1435, CSV!$A:$A, CSV!AA:AA, ""),
    _xlpm.MacVal, _xlfn.XLOOKUP($A1435, Output_Mac!$A:$A, Output_Mac!S:S, ""),
    _xlpm.MyAuditVal, _xlfn.XLOOKUP($A1435, My_Audit!$A:$A, My_Audit!P:P, ""),
    _xlfn.TEXTJOIN(", ", TRUE, _xlpm.MyAuditVal, _xlpm.MacVal, _xlpm.CSVVal)
)</f>
        <v/>
      </c>
      <c r="P1435" s="40" t="str" cm="1">
        <f t="array" ref="P1435">IFERROR(_xlfn.LET(
_xlpm.CSVVal,_xlfn.XLOOKUP($A1435,CSV!$A:$A,CSV!AB:AB,""),
_xlpm.MacVal,_xlfn.XLOOKUP($A1435,Output_Mac!$A:$A,Output_Mac!T:T,""),
_xlpm.MyAuditVal,_xlfn.XLOOKUP($A1435,My_Audit!$A:$A,My_Audit!Q:Q,""),
_xlfn.IFS(_xlpm.MyAuditVal&lt;&gt;"",UPPER(_xlpm.MyAuditVal),_xlpm.MacVal&lt;&gt;"",_xlpm.MacVal,_xlpm.CSVVal&lt;&gt;"",_xlpm.CSVVal
)),"No")</f>
        <v>No</v>
      </c>
      <c r="Q1435" s="40" t="str" cm="1">
        <f t="array" ref="Q1435">IFERROR(_xlfn.LET(
_xlpm.CSVVal,_xlfn.XLOOKUP($A1435,CSV!$A:$A,CSV!AC:AC,""),
_xlpm.MacVal,_xlfn.XLOOKUP($A1435,Output_Mac!$A:$A,Output_Mac!U:U,""),
_xlpm.MyAuditVal,_xlfn.XLOOKUP($A1435,My_Audit!$A:$A,My_Audit!R:R,""),
_xlfn.IFS(_xlpm.MyAuditVal&lt;&gt;"",UPPER(_xlpm.MyAuditVal),_xlpm.MacVal&lt;&gt;"",_xlpm.MacVal,_xlpm.CSVVal&lt;&gt;"",_xlpm.CSVVal
)),"")</f>
        <v/>
      </c>
      <c r="R1435" s="40"/>
      <c r="S1435" s="40"/>
      <c r="T1435" s="40"/>
      <c r="U1435" s="40"/>
      <c r="V1435" s="40"/>
      <c r="W1435" s="40"/>
      <c r="X1435" s="41" t="str">
        <f>_xlfn.LET(
    _xlpm.MacVal, _xlfn.XLOOKUP($A1435, Output_Mac!$A:$A, Output_Mac!AB:AB, ""),
    _xlpm.MyAuditVal, _xlfn.XLOOKUP($A1435, My_Audit!$A:$A, My_Audit!N:N, ""),
    _xlfn.TEXTJOIN(", ", TRUE, _xlpm.MyAuditVal, _xlpm.MacVal)
)</f>
        <v/>
      </c>
    </row>
    <row r="1436" spans="1:24">
      <c r="A1436" s="40" t="str">
        <f>_xlfn.TEXTJOIN("",TRUE,Input!$B$2,ROW(My_Audit!A1435))</f>
        <v>X1435</v>
      </c>
      <c r="B1436" s="40" t="str">
        <f>_xlfn.TEXTJOIN("-",TRUE,"ITD",Input!$A$2,A1436)</f>
        <v>ITD-X1435</v>
      </c>
      <c r="C1436" s="40" t="str" cm="1">
        <f t="array" ref="C1436">IFERROR(_xlfn.LET(
_xlpm.CSVVal,_xlfn.XLOOKUP($A1436,CSV!$A:$A,CSV!B:B,""),
_xlpm.MacVal,_xlfn.XLOOKUP($A1436,Output_Mac!$A:$A,Output_Mac!B:B,""),
_xlpm.MyAuditVal,_xlfn.XLOOKUP($A1436,My_Audit!$A:$A,My_Audit!B:B,""),
_xlfn.IFS(_xlpm.MyAuditVal&lt;&gt;"",UPPER(_xlpm.MyAuditVal),_xlpm.MacVal&lt;&gt;"",_xlpm.MacVal,_xlpm.CSVVal&lt;&gt;"",_xlpm.CSVVal
)),"")</f>
        <v/>
      </c>
      <c r="D1436" s="40" t="str" cm="1">
        <f t="array" ref="D1436">IFERROR(_xlfn.LET(
_xlpm.CSVVal,_xlfn.XLOOKUP($A1436,CSV!$A:$A,CSV!D:D,""),
_xlpm.MacVal,_xlfn.XLOOKUP($A1436,Output_Mac!$A:$A,Output_Mac!C:C,""),
_xlpm.MyAuditVal,_xlfn.XLOOKUP($A1436,My_Audit!$A:$A,My_Audit!C:C,""),
_xlfn.IFS(_xlpm.MyAuditVal&lt;&gt;"",_xlpm.MyAuditVal,_xlpm.MacVal&lt;&gt;"",_xlpm.MacVal,_xlpm.CSVVal&lt;&gt;"",_xlpm.CSVVal
)),"")</f>
        <v/>
      </c>
      <c r="E1436" s="40" t="str">
        <f>_xlfn.XLOOKUP(A1436,My_Audit!A:A,My_Audit!D:D,"")</f>
        <v/>
      </c>
      <c r="F1436" s="40" t="str" cm="1">
        <f t="array" ref="F1436">IFERROR(_xlfn.LET(
_xlpm.CSVVal,_xlfn.XLOOKUP($A1436,CSV!$A:$A,CSV!F:F,""),
_xlpm.MacVal,_xlfn.XLOOKUP($A1436,Output_Mac!$A:$A,Output_Mac!E:E,""),
_xlpm.MyAuditVal,_xlfn.XLOOKUP($A1436,My_Audit!$A:$A,My_Audit!E:E,""),
_xlfn.IFS(_xlpm.MyAuditVal&lt;&gt;"",_xlpm.MyAuditVal,_xlpm.MacVal&lt;&gt;"",_xlpm.MacVal,_xlpm.CSVVal&lt;&gt;"",_xlpm.CSVVal
)),"")</f>
        <v/>
      </c>
      <c r="G1436" s="40" t="str" cm="1">
        <f t="array" ref="G1436">IFERROR(_xlfn.LET(
_xlpm.CSVVal,_xlfn.XLOOKUP($A1436,CSV!$A:$A,CSV!G:G,""),
_xlpm.MacVal,_xlfn.XLOOKUP($A1436,Output_Mac!$A:$A,Output_Mac!F:F,""),
_xlpm.MyAuditVal,_xlfn.XLOOKUP($A1436,My_Audit!$A:$A,My_Audit!F:F,""),
_xlfn.IFS(_xlpm.MyAuditVal&lt;&gt;"",_xlpm.MyAuditVal,_xlpm.MacVal&lt;&gt;"",_xlpm.MacVal,_xlpm.CSVVal&lt;&gt;"",PROPER(_xlpm.CSVVal)
)),"")</f>
        <v/>
      </c>
      <c r="H1436" s="40" t="str" cm="1">
        <f t="array" ref="H1436">IFERROR(_xlfn.LET(
_xlpm.CSVVal,_xlfn.XLOOKUP($A1436,CSV!$A:$A,CSV!H:H,""),
_xlpm.MacVal,_xlfn.XLOOKUP($A1436,Output_Mac!$A:$A,Output_Mac!H:H,""),
_xlpm.MyAuditVal,_xlfn.XLOOKUP($A1436,My_Audit!$A:$A,My_Audit!G:G,""),
_xlfn.IFS(_xlpm.MyAuditVal&lt;&gt;"",_xlpm.MyAuditVal,_xlpm.MacVal&lt;&gt;"",_xlpm.MacVal,_xlpm.CSVVal&lt;&gt;"",_xlpm.CSVVal
)),"")</f>
        <v/>
      </c>
      <c r="I1436" s="40" t="str">
        <f>_xlfn.XLOOKUP(A1436,Output_Mac!A:A,Output_Mac!I:I,"")</f>
        <v/>
      </c>
      <c r="J1436" s="40" t="str" cm="1">
        <f t="array" ref="J1436">IFERROR(_xlfn.LET(
_xlpm.CSVVal,_xlfn.XLOOKUP($A1436,CSV!$A:$A,CSV!I:I,""),
_xlpm.MacVal,_xlfn.XLOOKUP($A1436,Output_Mac!$A:$A,Output_Mac!J:J,""),
_xlpm.MyAuditVal,_xlfn.XLOOKUP($A1436,My_Audit!$A:$A,My_Audit!I:I,""),
_xlfn.IFS(_xlpm.MyAuditVal&lt;&gt;"",UPPER(_xlpm.MyAuditVal),_xlpm.MacVal&lt;&gt;"",_xlpm.MacVal,_xlpm.CSVVal&lt;&gt;"",_xlpm.CSVVal
)),"")</f>
        <v/>
      </c>
      <c r="K1436" s="40" t="str" cm="1">
        <f t="array" ref="K1436">IFERROR(_xlfn.LET(
_xlpm.CSVVal,_xlfn.XLOOKUP($A1436,CSV!$A:$A,CSV!K:K,""),
_xlpm.MacVal,_xlfn.XLOOKUP($A1436,Output_Mac!$A:$A,Output_Mac!K:K,""),
_xlpm.MyAuditVal,_xlfn.XLOOKUP($A1436,My_Audit!$A:$A,My_Audit!J:J,""),
_xlfn.IFS(_xlpm.MyAuditVal&lt;&gt;"",UPPER(_xlpm.MyAuditVal),_xlpm.MacVal&lt;&gt;"",_xlpm.MacVal,_xlpm.CSVVal&lt;&gt;"",_xlpm.CSVVal
)),"")</f>
        <v/>
      </c>
      <c r="L1436" s="40" t="str" cm="1">
        <f t="array" ref="L1436">IFERROR(_xlfn.LET(
_xlpm.CSVVal,_xlfn.XLOOKUP($A1436,CSV!$A:$A,CSV!P:P,""),
_xlpm.MacVal,_xlfn.XLOOKUP($A1436,Output_Mac!$A:$A,Output_Mac!L:L,""),
_xlpm.MyAuditVal,_xlfn.XLOOKUP($A1436,My_Audit!$A:$A,My_Audit!K:K,""),
_xlfn.IFS(_xlpm.MyAuditVal&lt;&gt;"",UPPER(_xlpm.MyAuditVal),_xlpm.MacVal&lt;&gt;"",_xlpm.MacVal,_xlpm.CSVVal&lt;&gt;"",_xlpm.CSVVal
)),"")</f>
        <v/>
      </c>
      <c r="M1436" s="40" t="str" cm="1">
        <f t="array" ref="M1436">IFERROR(_xlfn.LET(
_xlpm.CSVVal,_xlfn.XLOOKUP($A1436,CSV!$A:$A,CSV!Q:Q,""),
_xlpm.MacVal,_xlfn.XLOOKUP($A1436,Output_Mac!$A:$A,Output_Mac!M:M,""),
_xlpm.MyAuditVal,_xlfn.XLOOKUP($A1436,My_Audit!$A:$A,My_Audit!L:L,""),
_xlfn.IFS(_xlpm.MyAuditVal&lt;&gt;"",UPPER(_xlpm.MyAuditVal),_xlpm.MacVal&lt;&gt;"",_xlpm.MacVal,_xlpm.CSVVal&lt;&gt;"",_xlpm.CSVVal
)),"")</f>
        <v/>
      </c>
      <c r="N1436" s="40"/>
      <c r="O1436" s="40" t="str">
        <f>_xlfn.LET(
    _xlpm.CSVVal, _xlfn.XLOOKUP($A1436, CSV!$A:$A, CSV!AA:AA, ""),
    _xlpm.MacVal, _xlfn.XLOOKUP($A1436, Output_Mac!$A:$A, Output_Mac!S:S, ""),
    _xlpm.MyAuditVal, _xlfn.XLOOKUP($A1436, My_Audit!$A:$A, My_Audit!P:P, ""),
    _xlfn.TEXTJOIN(", ", TRUE, _xlpm.MyAuditVal, _xlpm.MacVal, _xlpm.CSVVal)
)</f>
        <v/>
      </c>
      <c r="P1436" s="40" t="str" cm="1">
        <f t="array" ref="P1436">IFERROR(_xlfn.LET(
_xlpm.CSVVal,_xlfn.XLOOKUP($A1436,CSV!$A:$A,CSV!AB:AB,""),
_xlpm.MacVal,_xlfn.XLOOKUP($A1436,Output_Mac!$A:$A,Output_Mac!T:T,""),
_xlpm.MyAuditVal,_xlfn.XLOOKUP($A1436,My_Audit!$A:$A,My_Audit!Q:Q,""),
_xlfn.IFS(_xlpm.MyAuditVal&lt;&gt;"",UPPER(_xlpm.MyAuditVal),_xlpm.MacVal&lt;&gt;"",_xlpm.MacVal,_xlpm.CSVVal&lt;&gt;"",_xlpm.CSVVal
)),"No")</f>
        <v>No</v>
      </c>
      <c r="Q1436" s="40" t="str" cm="1">
        <f t="array" ref="Q1436">IFERROR(_xlfn.LET(
_xlpm.CSVVal,_xlfn.XLOOKUP($A1436,CSV!$A:$A,CSV!AC:AC,""),
_xlpm.MacVal,_xlfn.XLOOKUP($A1436,Output_Mac!$A:$A,Output_Mac!U:U,""),
_xlpm.MyAuditVal,_xlfn.XLOOKUP($A1436,My_Audit!$A:$A,My_Audit!R:R,""),
_xlfn.IFS(_xlpm.MyAuditVal&lt;&gt;"",UPPER(_xlpm.MyAuditVal),_xlpm.MacVal&lt;&gt;"",_xlpm.MacVal,_xlpm.CSVVal&lt;&gt;"",_xlpm.CSVVal
)),"")</f>
        <v/>
      </c>
      <c r="R1436" s="40"/>
      <c r="S1436" s="40"/>
      <c r="T1436" s="40"/>
      <c r="U1436" s="40"/>
      <c r="V1436" s="40"/>
      <c r="W1436" s="40"/>
      <c r="X1436" s="41" t="str">
        <f>_xlfn.LET(
    _xlpm.MacVal, _xlfn.XLOOKUP($A1436, Output_Mac!$A:$A, Output_Mac!AB:AB, ""),
    _xlpm.MyAuditVal, _xlfn.XLOOKUP($A1436, My_Audit!$A:$A, My_Audit!N:N, ""),
    _xlfn.TEXTJOIN(", ", TRUE, _xlpm.MyAuditVal, _xlpm.MacVal)
)</f>
        <v/>
      </c>
    </row>
    <row r="1437" spans="1:24">
      <c r="A1437" s="40" t="str">
        <f>_xlfn.TEXTJOIN("",TRUE,Input!$B$2,ROW(My_Audit!A1436))</f>
        <v>X1436</v>
      </c>
      <c r="B1437" s="40" t="str">
        <f>_xlfn.TEXTJOIN("-",TRUE,"ITD",Input!$A$2,A1437)</f>
        <v>ITD-X1436</v>
      </c>
      <c r="C1437" s="40" t="str" cm="1">
        <f t="array" ref="C1437">IFERROR(_xlfn.LET(
_xlpm.CSVVal,_xlfn.XLOOKUP($A1437,CSV!$A:$A,CSV!B:B,""),
_xlpm.MacVal,_xlfn.XLOOKUP($A1437,Output_Mac!$A:$A,Output_Mac!B:B,""),
_xlpm.MyAuditVal,_xlfn.XLOOKUP($A1437,My_Audit!$A:$A,My_Audit!B:B,""),
_xlfn.IFS(_xlpm.MyAuditVal&lt;&gt;"",UPPER(_xlpm.MyAuditVal),_xlpm.MacVal&lt;&gt;"",_xlpm.MacVal,_xlpm.CSVVal&lt;&gt;"",_xlpm.CSVVal
)),"")</f>
        <v/>
      </c>
      <c r="D1437" s="40" t="str" cm="1">
        <f t="array" ref="D1437">IFERROR(_xlfn.LET(
_xlpm.CSVVal,_xlfn.XLOOKUP($A1437,CSV!$A:$A,CSV!D:D,""),
_xlpm.MacVal,_xlfn.XLOOKUP($A1437,Output_Mac!$A:$A,Output_Mac!C:C,""),
_xlpm.MyAuditVal,_xlfn.XLOOKUP($A1437,My_Audit!$A:$A,My_Audit!C:C,""),
_xlfn.IFS(_xlpm.MyAuditVal&lt;&gt;"",_xlpm.MyAuditVal,_xlpm.MacVal&lt;&gt;"",_xlpm.MacVal,_xlpm.CSVVal&lt;&gt;"",_xlpm.CSVVal
)),"")</f>
        <v/>
      </c>
      <c r="E1437" s="40" t="str">
        <f>_xlfn.XLOOKUP(A1437,My_Audit!A:A,My_Audit!D:D,"")</f>
        <v/>
      </c>
      <c r="F1437" s="40" t="str" cm="1">
        <f t="array" ref="F1437">IFERROR(_xlfn.LET(
_xlpm.CSVVal,_xlfn.XLOOKUP($A1437,CSV!$A:$A,CSV!F:F,""),
_xlpm.MacVal,_xlfn.XLOOKUP($A1437,Output_Mac!$A:$A,Output_Mac!E:E,""),
_xlpm.MyAuditVal,_xlfn.XLOOKUP($A1437,My_Audit!$A:$A,My_Audit!E:E,""),
_xlfn.IFS(_xlpm.MyAuditVal&lt;&gt;"",_xlpm.MyAuditVal,_xlpm.MacVal&lt;&gt;"",_xlpm.MacVal,_xlpm.CSVVal&lt;&gt;"",_xlpm.CSVVal
)),"")</f>
        <v/>
      </c>
      <c r="G1437" s="40" t="str" cm="1">
        <f t="array" ref="G1437">IFERROR(_xlfn.LET(
_xlpm.CSVVal,_xlfn.XLOOKUP($A1437,CSV!$A:$A,CSV!G:G,""),
_xlpm.MacVal,_xlfn.XLOOKUP($A1437,Output_Mac!$A:$A,Output_Mac!F:F,""),
_xlpm.MyAuditVal,_xlfn.XLOOKUP($A1437,My_Audit!$A:$A,My_Audit!F:F,""),
_xlfn.IFS(_xlpm.MyAuditVal&lt;&gt;"",_xlpm.MyAuditVal,_xlpm.MacVal&lt;&gt;"",_xlpm.MacVal,_xlpm.CSVVal&lt;&gt;"",PROPER(_xlpm.CSVVal)
)),"")</f>
        <v/>
      </c>
      <c r="H1437" s="40" t="str" cm="1">
        <f t="array" ref="H1437">IFERROR(_xlfn.LET(
_xlpm.CSVVal,_xlfn.XLOOKUP($A1437,CSV!$A:$A,CSV!H:H,""),
_xlpm.MacVal,_xlfn.XLOOKUP($A1437,Output_Mac!$A:$A,Output_Mac!H:H,""),
_xlpm.MyAuditVal,_xlfn.XLOOKUP($A1437,My_Audit!$A:$A,My_Audit!G:G,""),
_xlfn.IFS(_xlpm.MyAuditVal&lt;&gt;"",_xlpm.MyAuditVal,_xlpm.MacVal&lt;&gt;"",_xlpm.MacVal,_xlpm.CSVVal&lt;&gt;"",_xlpm.CSVVal
)),"")</f>
        <v/>
      </c>
      <c r="I1437" s="40" t="str">
        <f>_xlfn.XLOOKUP(A1437,Output_Mac!A:A,Output_Mac!I:I,"")</f>
        <v/>
      </c>
      <c r="J1437" s="40" t="str" cm="1">
        <f t="array" ref="J1437">IFERROR(_xlfn.LET(
_xlpm.CSVVal,_xlfn.XLOOKUP($A1437,CSV!$A:$A,CSV!I:I,""),
_xlpm.MacVal,_xlfn.XLOOKUP($A1437,Output_Mac!$A:$A,Output_Mac!J:J,""),
_xlpm.MyAuditVal,_xlfn.XLOOKUP($A1437,My_Audit!$A:$A,My_Audit!I:I,""),
_xlfn.IFS(_xlpm.MyAuditVal&lt;&gt;"",UPPER(_xlpm.MyAuditVal),_xlpm.MacVal&lt;&gt;"",_xlpm.MacVal,_xlpm.CSVVal&lt;&gt;"",_xlpm.CSVVal
)),"")</f>
        <v/>
      </c>
      <c r="K1437" s="40" t="str" cm="1">
        <f t="array" ref="K1437">IFERROR(_xlfn.LET(
_xlpm.CSVVal,_xlfn.XLOOKUP($A1437,CSV!$A:$A,CSV!K:K,""),
_xlpm.MacVal,_xlfn.XLOOKUP($A1437,Output_Mac!$A:$A,Output_Mac!K:K,""),
_xlpm.MyAuditVal,_xlfn.XLOOKUP($A1437,My_Audit!$A:$A,My_Audit!J:J,""),
_xlfn.IFS(_xlpm.MyAuditVal&lt;&gt;"",UPPER(_xlpm.MyAuditVal),_xlpm.MacVal&lt;&gt;"",_xlpm.MacVal,_xlpm.CSVVal&lt;&gt;"",_xlpm.CSVVal
)),"")</f>
        <v/>
      </c>
      <c r="L1437" s="40" t="str" cm="1">
        <f t="array" ref="L1437">IFERROR(_xlfn.LET(
_xlpm.CSVVal,_xlfn.XLOOKUP($A1437,CSV!$A:$A,CSV!P:P,""),
_xlpm.MacVal,_xlfn.XLOOKUP($A1437,Output_Mac!$A:$A,Output_Mac!L:L,""),
_xlpm.MyAuditVal,_xlfn.XLOOKUP($A1437,My_Audit!$A:$A,My_Audit!K:K,""),
_xlfn.IFS(_xlpm.MyAuditVal&lt;&gt;"",UPPER(_xlpm.MyAuditVal),_xlpm.MacVal&lt;&gt;"",_xlpm.MacVal,_xlpm.CSVVal&lt;&gt;"",_xlpm.CSVVal
)),"")</f>
        <v/>
      </c>
      <c r="M1437" s="40" t="str" cm="1">
        <f t="array" ref="M1437">IFERROR(_xlfn.LET(
_xlpm.CSVVal,_xlfn.XLOOKUP($A1437,CSV!$A:$A,CSV!Q:Q,""),
_xlpm.MacVal,_xlfn.XLOOKUP($A1437,Output_Mac!$A:$A,Output_Mac!M:M,""),
_xlpm.MyAuditVal,_xlfn.XLOOKUP($A1437,My_Audit!$A:$A,My_Audit!L:L,""),
_xlfn.IFS(_xlpm.MyAuditVal&lt;&gt;"",UPPER(_xlpm.MyAuditVal),_xlpm.MacVal&lt;&gt;"",_xlpm.MacVal,_xlpm.CSVVal&lt;&gt;"",_xlpm.CSVVal
)),"")</f>
        <v/>
      </c>
      <c r="N1437" s="40"/>
      <c r="O1437" s="40" t="str">
        <f>_xlfn.LET(
    _xlpm.CSVVal, _xlfn.XLOOKUP($A1437, CSV!$A:$A, CSV!AA:AA, ""),
    _xlpm.MacVal, _xlfn.XLOOKUP($A1437, Output_Mac!$A:$A, Output_Mac!S:S, ""),
    _xlpm.MyAuditVal, _xlfn.XLOOKUP($A1437, My_Audit!$A:$A, My_Audit!P:P, ""),
    _xlfn.TEXTJOIN(", ", TRUE, _xlpm.MyAuditVal, _xlpm.MacVal, _xlpm.CSVVal)
)</f>
        <v/>
      </c>
      <c r="P1437" s="40" t="str" cm="1">
        <f t="array" ref="P1437">IFERROR(_xlfn.LET(
_xlpm.CSVVal,_xlfn.XLOOKUP($A1437,CSV!$A:$A,CSV!AB:AB,""),
_xlpm.MacVal,_xlfn.XLOOKUP($A1437,Output_Mac!$A:$A,Output_Mac!T:T,""),
_xlpm.MyAuditVal,_xlfn.XLOOKUP($A1437,My_Audit!$A:$A,My_Audit!Q:Q,""),
_xlfn.IFS(_xlpm.MyAuditVal&lt;&gt;"",UPPER(_xlpm.MyAuditVal),_xlpm.MacVal&lt;&gt;"",_xlpm.MacVal,_xlpm.CSVVal&lt;&gt;"",_xlpm.CSVVal
)),"No")</f>
        <v>No</v>
      </c>
      <c r="Q1437" s="40" t="str" cm="1">
        <f t="array" ref="Q1437">IFERROR(_xlfn.LET(
_xlpm.CSVVal,_xlfn.XLOOKUP($A1437,CSV!$A:$A,CSV!AC:AC,""),
_xlpm.MacVal,_xlfn.XLOOKUP($A1437,Output_Mac!$A:$A,Output_Mac!U:U,""),
_xlpm.MyAuditVal,_xlfn.XLOOKUP($A1437,My_Audit!$A:$A,My_Audit!R:R,""),
_xlfn.IFS(_xlpm.MyAuditVal&lt;&gt;"",UPPER(_xlpm.MyAuditVal),_xlpm.MacVal&lt;&gt;"",_xlpm.MacVal,_xlpm.CSVVal&lt;&gt;"",_xlpm.CSVVal
)),"")</f>
        <v/>
      </c>
      <c r="R1437" s="40"/>
      <c r="S1437" s="40"/>
      <c r="T1437" s="40"/>
      <c r="U1437" s="40"/>
      <c r="V1437" s="40"/>
      <c r="W1437" s="40"/>
      <c r="X1437" s="41" t="str">
        <f>_xlfn.LET(
    _xlpm.MacVal, _xlfn.XLOOKUP($A1437, Output_Mac!$A:$A, Output_Mac!AB:AB, ""),
    _xlpm.MyAuditVal, _xlfn.XLOOKUP($A1437, My_Audit!$A:$A, My_Audit!N:N, ""),
    _xlfn.TEXTJOIN(", ", TRUE, _xlpm.MyAuditVal, _xlpm.MacVal)
)</f>
        <v/>
      </c>
    </row>
    <row r="1438" spans="1:24">
      <c r="A1438" s="40" t="str">
        <f>_xlfn.TEXTJOIN("",TRUE,Input!$B$2,ROW(My_Audit!A1437))</f>
        <v>X1437</v>
      </c>
      <c r="B1438" s="40" t="str">
        <f>_xlfn.TEXTJOIN("-",TRUE,"ITD",Input!$A$2,A1438)</f>
        <v>ITD-X1437</v>
      </c>
      <c r="C1438" s="40" t="str" cm="1">
        <f t="array" ref="C1438">IFERROR(_xlfn.LET(
_xlpm.CSVVal,_xlfn.XLOOKUP($A1438,CSV!$A:$A,CSV!B:B,""),
_xlpm.MacVal,_xlfn.XLOOKUP($A1438,Output_Mac!$A:$A,Output_Mac!B:B,""),
_xlpm.MyAuditVal,_xlfn.XLOOKUP($A1438,My_Audit!$A:$A,My_Audit!B:B,""),
_xlfn.IFS(_xlpm.MyAuditVal&lt;&gt;"",UPPER(_xlpm.MyAuditVal),_xlpm.MacVal&lt;&gt;"",_xlpm.MacVal,_xlpm.CSVVal&lt;&gt;"",_xlpm.CSVVal
)),"")</f>
        <v/>
      </c>
      <c r="D1438" s="40" t="str" cm="1">
        <f t="array" ref="D1438">IFERROR(_xlfn.LET(
_xlpm.CSVVal,_xlfn.XLOOKUP($A1438,CSV!$A:$A,CSV!D:D,""),
_xlpm.MacVal,_xlfn.XLOOKUP($A1438,Output_Mac!$A:$A,Output_Mac!C:C,""),
_xlpm.MyAuditVal,_xlfn.XLOOKUP($A1438,My_Audit!$A:$A,My_Audit!C:C,""),
_xlfn.IFS(_xlpm.MyAuditVal&lt;&gt;"",_xlpm.MyAuditVal,_xlpm.MacVal&lt;&gt;"",_xlpm.MacVal,_xlpm.CSVVal&lt;&gt;"",_xlpm.CSVVal
)),"")</f>
        <v/>
      </c>
      <c r="E1438" s="40" t="str">
        <f>_xlfn.XLOOKUP(A1438,My_Audit!A:A,My_Audit!D:D,"")</f>
        <v/>
      </c>
      <c r="F1438" s="40" t="str" cm="1">
        <f t="array" ref="F1438">IFERROR(_xlfn.LET(
_xlpm.CSVVal,_xlfn.XLOOKUP($A1438,CSV!$A:$A,CSV!F:F,""),
_xlpm.MacVal,_xlfn.XLOOKUP($A1438,Output_Mac!$A:$A,Output_Mac!E:E,""),
_xlpm.MyAuditVal,_xlfn.XLOOKUP($A1438,My_Audit!$A:$A,My_Audit!E:E,""),
_xlfn.IFS(_xlpm.MyAuditVal&lt;&gt;"",_xlpm.MyAuditVal,_xlpm.MacVal&lt;&gt;"",_xlpm.MacVal,_xlpm.CSVVal&lt;&gt;"",_xlpm.CSVVal
)),"")</f>
        <v/>
      </c>
      <c r="G1438" s="40" t="str" cm="1">
        <f t="array" ref="G1438">IFERROR(_xlfn.LET(
_xlpm.CSVVal,_xlfn.XLOOKUP($A1438,CSV!$A:$A,CSV!G:G,""),
_xlpm.MacVal,_xlfn.XLOOKUP($A1438,Output_Mac!$A:$A,Output_Mac!F:F,""),
_xlpm.MyAuditVal,_xlfn.XLOOKUP($A1438,My_Audit!$A:$A,My_Audit!F:F,""),
_xlfn.IFS(_xlpm.MyAuditVal&lt;&gt;"",_xlpm.MyAuditVal,_xlpm.MacVal&lt;&gt;"",_xlpm.MacVal,_xlpm.CSVVal&lt;&gt;"",PROPER(_xlpm.CSVVal)
)),"")</f>
        <v/>
      </c>
      <c r="H1438" s="40" t="str" cm="1">
        <f t="array" ref="H1438">IFERROR(_xlfn.LET(
_xlpm.CSVVal,_xlfn.XLOOKUP($A1438,CSV!$A:$A,CSV!H:H,""),
_xlpm.MacVal,_xlfn.XLOOKUP($A1438,Output_Mac!$A:$A,Output_Mac!H:H,""),
_xlpm.MyAuditVal,_xlfn.XLOOKUP($A1438,My_Audit!$A:$A,My_Audit!G:G,""),
_xlfn.IFS(_xlpm.MyAuditVal&lt;&gt;"",_xlpm.MyAuditVal,_xlpm.MacVal&lt;&gt;"",_xlpm.MacVal,_xlpm.CSVVal&lt;&gt;"",_xlpm.CSVVal
)),"")</f>
        <v/>
      </c>
      <c r="I1438" s="40" t="str">
        <f>_xlfn.XLOOKUP(A1438,Output_Mac!A:A,Output_Mac!I:I,"")</f>
        <v/>
      </c>
      <c r="J1438" s="40" t="str" cm="1">
        <f t="array" ref="J1438">IFERROR(_xlfn.LET(
_xlpm.CSVVal,_xlfn.XLOOKUP($A1438,CSV!$A:$A,CSV!I:I,""),
_xlpm.MacVal,_xlfn.XLOOKUP($A1438,Output_Mac!$A:$A,Output_Mac!J:J,""),
_xlpm.MyAuditVal,_xlfn.XLOOKUP($A1438,My_Audit!$A:$A,My_Audit!I:I,""),
_xlfn.IFS(_xlpm.MyAuditVal&lt;&gt;"",UPPER(_xlpm.MyAuditVal),_xlpm.MacVal&lt;&gt;"",_xlpm.MacVal,_xlpm.CSVVal&lt;&gt;"",_xlpm.CSVVal
)),"")</f>
        <v/>
      </c>
      <c r="K1438" s="40" t="str" cm="1">
        <f t="array" ref="K1438">IFERROR(_xlfn.LET(
_xlpm.CSVVal,_xlfn.XLOOKUP($A1438,CSV!$A:$A,CSV!K:K,""),
_xlpm.MacVal,_xlfn.XLOOKUP($A1438,Output_Mac!$A:$A,Output_Mac!K:K,""),
_xlpm.MyAuditVal,_xlfn.XLOOKUP($A1438,My_Audit!$A:$A,My_Audit!J:J,""),
_xlfn.IFS(_xlpm.MyAuditVal&lt;&gt;"",UPPER(_xlpm.MyAuditVal),_xlpm.MacVal&lt;&gt;"",_xlpm.MacVal,_xlpm.CSVVal&lt;&gt;"",_xlpm.CSVVal
)),"")</f>
        <v/>
      </c>
      <c r="L1438" s="40" t="str" cm="1">
        <f t="array" ref="L1438">IFERROR(_xlfn.LET(
_xlpm.CSVVal,_xlfn.XLOOKUP($A1438,CSV!$A:$A,CSV!P:P,""),
_xlpm.MacVal,_xlfn.XLOOKUP($A1438,Output_Mac!$A:$A,Output_Mac!L:L,""),
_xlpm.MyAuditVal,_xlfn.XLOOKUP($A1438,My_Audit!$A:$A,My_Audit!K:K,""),
_xlfn.IFS(_xlpm.MyAuditVal&lt;&gt;"",UPPER(_xlpm.MyAuditVal),_xlpm.MacVal&lt;&gt;"",_xlpm.MacVal,_xlpm.CSVVal&lt;&gt;"",_xlpm.CSVVal
)),"")</f>
        <v/>
      </c>
      <c r="M1438" s="40" t="str" cm="1">
        <f t="array" ref="M1438">IFERROR(_xlfn.LET(
_xlpm.CSVVal,_xlfn.XLOOKUP($A1438,CSV!$A:$A,CSV!Q:Q,""),
_xlpm.MacVal,_xlfn.XLOOKUP($A1438,Output_Mac!$A:$A,Output_Mac!M:M,""),
_xlpm.MyAuditVal,_xlfn.XLOOKUP($A1438,My_Audit!$A:$A,My_Audit!L:L,""),
_xlfn.IFS(_xlpm.MyAuditVal&lt;&gt;"",UPPER(_xlpm.MyAuditVal),_xlpm.MacVal&lt;&gt;"",_xlpm.MacVal,_xlpm.CSVVal&lt;&gt;"",_xlpm.CSVVal
)),"")</f>
        <v/>
      </c>
      <c r="N1438" s="40"/>
      <c r="O1438" s="40" t="str">
        <f>_xlfn.LET(
    _xlpm.CSVVal, _xlfn.XLOOKUP($A1438, CSV!$A:$A, CSV!AA:AA, ""),
    _xlpm.MacVal, _xlfn.XLOOKUP($A1438, Output_Mac!$A:$A, Output_Mac!S:S, ""),
    _xlpm.MyAuditVal, _xlfn.XLOOKUP($A1438, My_Audit!$A:$A, My_Audit!P:P, ""),
    _xlfn.TEXTJOIN(", ", TRUE, _xlpm.MyAuditVal, _xlpm.MacVal, _xlpm.CSVVal)
)</f>
        <v/>
      </c>
      <c r="P1438" s="40" t="str" cm="1">
        <f t="array" ref="P1438">IFERROR(_xlfn.LET(
_xlpm.CSVVal,_xlfn.XLOOKUP($A1438,CSV!$A:$A,CSV!AB:AB,""),
_xlpm.MacVal,_xlfn.XLOOKUP($A1438,Output_Mac!$A:$A,Output_Mac!T:T,""),
_xlpm.MyAuditVal,_xlfn.XLOOKUP($A1438,My_Audit!$A:$A,My_Audit!Q:Q,""),
_xlfn.IFS(_xlpm.MyAuditVal&lt;&gt;"",UPPER(_xlpm.MyAuditVal),_xlpm.MacVal&lt;&gt;"",_xlpm.MacVal,_xlpm.CSVVal&lt;&gt;"",_xlpm.CSVVal
)),"No")</f>
        <v>No</v>
      </c>
      <c r="Q1438" s="40" t="str" cm="1">
        <f t="array" ref="Q1438">IFERROR(_xlfn.LET(
_xlpm.CSVVal,_xlfn.XLOOKUP($A1438,CSV!$A:$A,CSV!AC:AC,""),
_xlpm.MacVal,_xlfn.XLOOKUP($A1438,Output_Mac!$A:$A,Output_Mac!U:U,""),
_xlpm.MyAuditVal,_xlfn.XLOOKUP($A1438,My_Audit!$A:$A,My_Audit!R:R,""),
_xlfn.IFS(_xlpm.MyAuditVal&lt;&gt;"",UPPER(_xlpm.MyAuditVal),_xlpm.MacVal&lt;&gt;"",_xlpm.MacVal,_xlpm.CSVVal&lt;&gt;"",_xlpm.CSVVal
)),"")</f>
        <v/>
      </c>
      <c r="R1438" s="40"/>
      <c r="S1438" s="40"/>
      <c r="T1438" s="40"/>
      <c r="U1438" s="40"/>
      <c r="V1438" s="40"/>
      <c r="W1438" s="40"/>
      <c r="X1438" s="41" t="str">
        <f>_xlfn.LET(
    _xlpm.MacVal, _xlfn.XLOOKUP($A1438, Output_Mac!$A:$A, Output_Mac!AB:AB, ""),
    _xlpm.MyAuditVal, _xlfn.XLOOKUP($A1438, My_Audit!$A:$A, My_Audit!N:N, ""),
    _xlfn.TEXTJOIN(", ", TRUE, _xlpm.MyAuditVal, _xlpm.MacVal)
)</f>
        <v/>
      </c>
    </row>
    <row r="1439" spans="1:24">
      <c r="A1439" s="40" t="str">
        <f>_xlfn.TEXTJOIN("",TRUE,Input!$B$2,ROW(My_Audit!A1438))</f>
        <v>X1438</v>
      </c>
      <c r="B1439" s="40" t="str">
        <f>_xlfn.TEXTJOIN("-",TRUE,"ITD",Input!$A$2,A1439)</f>
        <v>ITD-X1438</v>
      </c>
      <c r="C1439" s="40" t="str" cm="1">
        <f t="array" ref="C1439">IFERROR(_xlfn.LET(
_xlpm.CSVVal,_xlfn.XLOOKUP($A1439,CSV!$A:$A,CSV!B:B,""),
_xlpm.MacVal,_xlfn.XLOOKUP($A1439,Output_Mac!$A:$A,Output_Mac!B:B,""),
_xlpm.MyAuditVal,_xlfn.XLOOKUP($A1439,My_Audit!$A:$A,My_Audit!B:B,""),
_xlfn.IFS(_xlpm.MyAuditVal&lt;&gt;"",UPPER(_xlpm.MyAuditVal),_xlpm.MacVal&lt;&gt;"",_xlpm.MacVal,_xlpm.CSVVal&lt;&gt;"",_xlpm.CSVVal
)),"")</f>
        <v/>
      </c>
      <c r="D1439" s="40" t="str" cm="1">
        <f t="array" ref="D1439">IFERROR(_xlfn.LET(
_xlpm.CSVVal,_xlfn.XLOOKUP($A1439,CSV!$A:$A,CSV!D:D,""),
_xlpm.MacVal,_xlfn.XLOOKUP($A1439,Output_Mac!$A:$A,Output_Mac!C:C,""),
_xlpm.MyAuditVal,_xlfn.XLOOKUP($A1439,My_Audit!$A:$A,My_Audit!C:C,""),
_xlfn.IFS(_xlpm.MyAuditVal&lt;&gt;"",_xlpm.MyAuditVal,_xlpm.MacVal&lt;&gt;"",_xlpm.MacVal,_xlpm.CSVVal&lt;&gt;"",_xlpm.CSVVal
)),"")</f>
        <v/>
      </c>
      <c r="E1439" s="40" t="str">
        <f>_xlfn.XLOOKUP(A1439,My_Audit!A:A,My_Audit!D:D,"")</f>
        <v/>
      </c>
      <c r="F1439" s="40" t="str" cm="1">
        <f t="array" ref="F1439">IFERROR(_xlfn.LET(
_xlpm.CSVVal,_xlfn.XLOOKUP($A1439,CSV!$A:$A,CSV!F:F,""),
_xlpm.MacVal,_xlfn.XLOOKUP($A1439,Output_Mac!$A:$A,Output_Mac!E:E,""),
_xlpm.MyAuditVal,_xlfn.XLOOKUP($A1439,My_Audit!$A:$A,My_Audit!E:E,""),
_xlfn.IFS(_xlpm.MyAuditVal&lt;&gt;"",_xlpm.MyAuditVal,_xlpm.MacVal&lt;&gt;"",_xlpm.MacVal,_xlpm.CSVVal&lt;&gt;"",_xlpm.CSVVal
)),"")</f>
        <v/>
      </c>
      <c r="G1439" s="40" t="str" cm="1">
        <f t="array" ref="G1439">IFERROR(_xlfn.LET(
_xlpm.CSVVal,_xlfn.XLOOKUP($A1439,CSV!$A:$A,CSV!G:G,""),
_xlpm.MacVal,_xlfn.XLOOKUP($A1439,Output_Mac!$A:$A,Output_Mac!F:F,""),
_xlpm.MyAuditVal,_xlfn.XLOOKUP($A1439,My_Audit!$A:$A,My_Audit!F:F,""),
_xlfn.IFS(_xlpm.MyAuditVal&lt;&gt;"",_xlpm.MyAuditVal,_xlpm.MacVal&lt;&gt;"",_xlpm.MacVal,_xlpm.CSVVal&lt;&gt;"",PROPER(_xlpm.CSVVal)
)),"")</f>
        <v/>
      </c>
      <c r="H1439" s="40" t="str" cm="1">
        <f t="array" ref="H1439">IFERROR(_xlfn.LET(
_xlpm.CSVVal,_xlfn.XLOOKUP($A1439,CSV!$A:$A,CSV!H:H,""),
_xlpm.MacVal,_xlfn.XLOOKUP($A1439,Output_Mac!$A:$A,Output_Mac!H:H,""),
_xlpm.MyAuditVal,_xlfn.XLOOKUP($A1439,My_Audit!$A:$A,My_Audit!G:G,""),
_xlfn.IFS(_xlpm.MyAuditVal&lt;&gt;"",_xlpm.MyAuditVal,_xlpm.MacVal&lt;&gt;"",_xlpm.MacVal,_xlpm.CSVVal&lt;&gt;"",_xlpm.CSVVal
)),"")</f>
        <v/>
      </c>
      <c r="I1439" s="40" t="str">
        <f>_xlfn.XLOOKUP(A1439,Output_Mac!A:A,Output_Mac!I:I,"")</f>
        <v/>
      </c>
      <c r="J1439" s="40" t="str" cm="1">
        <f t="array" ref="J1439">IFERROR(_xlfn.LET(
_xlpm.CSVVal,_xlfn.XLOOKUP($A1439,CSV!$A:$A,CSV!I:I,""),
_xlpm.MacVal,_xlfn.XLOOKUP($A1439,Output_Mac!$A:$A,Output_Mac!J:J,""),
_xlpm.MyAuditVal,_xlfn.XLOOKUP($A1439,My_Audit!$A:$A,My_Audit!I:I,""),
_xlfn.IFS(_xlpm.MyAuditVal&lt;&gt;"",UPPER(_xlpm.MyAuditVal),_xlpm.MacVal&lt;&gt;"",_xlpm.MacVal,_xlpm.CSVVal&lt;&gt;"",_xlpm.CSVVal
)),"")</f>
        <v/>
      </c>
      <c r="K1439" s="40" t="str" cm="1">
        <f t="array" ref="K1439">IFERROR(_xlfn.LET(
_xlpm.CSVVal,_xlfn.XLOOKUP($A1439,CSV!$A:$A,CSV!K:K,""),
_xlpm.MacVal,_xlfn.XLOOKUP($A1439,Output_Mac!$A:$A,Output_Mac!K:K,""),
_xlpm.MyAuditVal,_xlfn.XLOOKUP($A1439,My_Audit!$A:$A,My_Audit!J:J,""),
_xlfn.IFS(_xlpm.MyAuditVal&lt;&gt;"",UPPER(_xlpm.MyAuditVal),_xlpm.MacVal&lt;&gt;"",_xlpm.MacVal,_xlpm.CSVVal&lt;&gt;"",_xlpm.CSVVal
)),"")</f>
        <v/>
      </c>
      <c r="L1439" s="40" t="str" cm="1">
        <f t="array" ref="L1439">IFERROR(_xlfn.LET(
_xlpm.CSVVal,_xlfn.XLOOKUP($A1439,CSV!$A:$A,CSV!P:P,""),
_xlpm.MacVal,_xlfn.XLOOKUP($A1439,Output_Mac!$A:$A,Output_Mac!L:L,""),
_xlpm.MyAuditVal,_xlfn.XLOOKUP($A1439,My_Audit!$A:$A,My_Audit!K:K,""),
_xlfn.IFS(_xlpm.MyAuditVal&lt;&gt;"",UPPER(_xlpm.MyAuditVal),_xlpm.MacVal&lt;&gt;"",_xlpm.MacVal,_xlpm.CSVVal&lt;&gt;"",_xlpm.CSVVal
)),"")</f>
        <v/>
      </c>
      <c r="M1439" s="40" t="str" cm="1">
        <f t="array" ref="M1439">IFERROR(_xlfn.LET(
_xlpm.CSVVal,_xlfn.XLOOKUP($A1439,CSV!$A:$A,CSV!Q:Q,""),
_xlpm.MacVal,_xlfn.XLOOKUP($A1439,Output_Mac!$A:$A,Output_Mac!M:M,""),
_xlpm.MyAuditVal,_xlfn.XLOOKUP($A1439,My_Audit!$A:$A,My_Audit!L:L,""),
_xlfn.IFS(_xlpm.MyAuditVal&lt;&gt;"",UPPER(_xlpm.MyAuditVal),_xlpm.MacVal&lt;&gt;"",_xlpm.MacVal,_xlpm.CSVVal&lt;&gt;"",_xlpm.CSVVal
)),"")</f>
        <v/>
      </c>
      <c r="N1439" s="40"/>
      <c r="O1439" s="40" t="str">
        <f>_xlfn.LET(
    _xlpm.CSVVal, _xlfn.XLOOKUP($A1439, CSV!$A:$A, CSV!AA:AA, ""),
    _xlpm.MacVal, _xlfn.XLOOKUP($A1439, Output_Mac!$A:$A, Output_Mac!S:S, ""),
    _xlpm.MyAuditVal, _xlfn.XLOOKUP($A1439, My_Audit!$A:$A, My_Audit!P:P, ""),
    _xlfn.TEXTJOIN(", ", TRUE, _xlpm.MyAuditVal, _xlpm.MacVal, _xlpm.CSVVal)
)</f>
        <v/>
      </c>
      <c r="P1439" s="40" t="str" cm="1">
        <f t="array" ref="P1439">IFERROR(_xlfn.LET(
_xlpm.CSVVal,_xlfn.XLOOKUP($A1439,CSV!$A:$A,CSV!AB:AB,""),
_xlpm.MacVal,_xlfn.XLOOKUP($A1439,Output_Mac!$A:$A,Output_Mac!T:T,""),
_xlpm.MyAuditVal,_xlfn.XLOOKUP($A1439,My_Audit!$A:$A,My_Audit!Q:Q,""),
_xlfn.IFS(_xlpm.MyAuditVal&lt;&gt;"",UPPER(_xlpm.MyAuditVal),_xlpm.MacVal&lt;&gt;"",_xlpm.MacVal,_xlpm.CSVVal&lt;&gt;"",_xlpm.CSVVal
)),"No")</f>
        <v>No</v>
      </c>
      <c r="Q1439" s="40" t="str" cm="1">
        <f t="array" ref="Q1439">IFERROR(_xlfn.LET(
_xlpm.CSVVal,_xlfn.XLOOKUP($A1439,CSV!$A:$A,CSV!AC:AC,""),
_xlpm.MacVal,_xlfn.XLOOKUP($A1439,Output_Mac!$A:$A,Output_Mac!U:U,""),
_xlpm.MyAuditVal,_xlfn.XLOOKUP($A1439,My_Audit!$A:$A,My_Audit!R:R,""),
_xlfn.IFS(_xlpm.MyAuditVal&lt;&gt;"",UPPER(_xlpm.MyAuditVal),_xlpm.MacVal&lt;&gt;"",_xlpm.MacVal,_xlpm.CSVVal&lt;&gt;"",_xlpm.CSVVal
)),"")</f>
        <v/>
      </c>
      <c r="R1439" s="40"/>
      <c r="S1439" s="40"/>
      <c r="T1439" s="40"/>
      <c r="U1439" s="40"/>
      <c r="V1439" s="40"/>
      <c r="W1439" s="40"/>
      <c r="X1439" s="41" t="str">
        <f>_xlfn.LET(
    _xlpm.MacVal, _xlfn.XLOOKUP($A1439, Output_Mac!$A:$A, Output_Mac!AB:AB, ""),
    _xlpm.MyAuditVal, _xlfn.XLOOKUP($A1439, My_Audit!$A:$A, My_Audit!N:N, ""),
    _xlfn.TEXTJOIN(", ", TRUE, _xlpm.MyAuditVal, _xlpm.MacVal)
)</f>
        <v/>
      </c>
    </row>
    <row r="1440" spans="1:24">
      <c r="A1440" s="40" t="str">
        <f>_xlfn.TEXTJOIN("",TRUE,Input!$B$2,ROW(My_Audit!A1439))</f>
        <v>X1439</v>
      </c>
      <c r="B1440" s="40" t="str">
        <f>_xlfn.TEXTJOIN("-",TRUE,"ITD",Input!$A$2,A1440)</f>
        <v>ITD-X1439</v>
      </c>
      <c r="C1440" s="40" t="str" cm="1">
        <f t="array" ref="C1440">IFERROR(_xlfn.LET(
_xlpm.CSVVal,_xlfn.XLOOKUP($A1440,CSV!$A:$A,CSV!B:B,""),
_xlpm.MacVal,_xlfn.XLOOKUP($A1440,Output_Mac!$A:$A,Output_Mac!B:B,""),
_xlpm.MyAuditVal,_xlfn.XLOOKUP($A1440,My_Audit!$A:$A,My_Audit!B:B,""),
_xlfn.IFS(_xlpm.MyAuditVal&lt;&gt;"",UPPER(_xlpm.MyAuditVal),_xlpm.MacVal&lt;&gt;"",_xlpm.MacVal,_xlpm.CSVVal&lt;&gt;"",_xlpm.CSVVal
)),"")</f>
        <v/>
      </c>
      <c r="D1440" s="40" t="str" cm="1">
        <f t="array" ref="D1440">IFERROR(_xlfn.LET(
_xlpm.CSVVal,_xlfn.XLOOKUP($A1440,CSV!$A:$A,CSV!D:D,""),
_xlpm.MacVal,_xlfn.XLOOKUP($A1440,Output_Mac!$A:$A,Output_Mac!C:C,""),
_xlpm.MyAuditVal,_xlfn.XLOOKUP($A1440,My_Audit!$A:$A,My_Audit!C:C,""),
_xlfn.IFS(_xlpm.MyAuditVal&lt;&gt;"",_xlpm.MyAuditVal,_xlpm.MacVal&lt;&gt;"",_xlpm.MacVal,_xlpm.CSVVal&lt;&gt;"",_xlpm.CSVVal
)),"")</f>
        <v/>
      </c>
      <c r="E1440" s="40" t="str">
        <f>_xlfn.XLOOKUP(A1440,My_Audit!A:A,My_Audit!D:D,"")</f>
        <v/>
      </c>
      <c r="F1440" s="40" t="str" cm="1">
        <f t="array" ref="F1440">IFERROR(_xlfn.LET(
_xlpm.CSVVal,_xlfn.XLOOKUP($A1440,CSV!$A:$A,CSV!F:F,""),
_xlpm.MacVal,_xlfn.XLOOKUP($A1440,Output_Mac!$A:$A,Output_Mac!E:E,""),
_xlpm.MyAuditVal,_xlfn.XLOOKUP($A1440,My_Audit!$A:$A,My_Audit!E:E,""),
_xlfn.IFS(_xlpm.MyAuditVal&lt;&gt;"",_xlpm.MyAuditVal,_xlpm.MacVal&lt;&gt;"",_xlpm.MacVal,_xlpm.CSVVal&lt;&gt;"",_xlpm.CSVVal
)),"")</f>
        <v/>
      </c>
      <c r="G1440" s="40" t="str" cm="1">
        <f t="array" ref="G1440">IFERROR(_xlfn.LET(
_xlpm.CSVVal,_xlfn.XLOOKUP($A1440,CSV!$A:$A,CSV!G:G,""),
_xlpm.MacVal,_xlfn.XLOOKUP($A1440,Output_Mac!$A:$A,Output_Mac!F:F,""),
_xlpm.MyAuditVal,_xlfn.XLOOKUP($A1440,My_Audit!$A:$A,My_Audit!F:F,""),
_xlfn.IFS(_xlpm.MyAuditVal&lt;&gt;"",_xlpm.MyAuditVal,_xlpm.MacVal&lt;&gt;"",_xlpm.MacVal,_xlpm.CSVVal&lt;&gt;"",PROPER(_xlpm.CSVVal)
)),"")</f>
        <v/>
      </c>
      <c r="H1440" s="40" t="str" cm="1">
        <f t="array" ref="H1440">IFERROR(_xlfn.LET(
_xlpm.CSVVal,_xlfn.XLOOKUP($A1440,CSV!$A:$A,CSV!H:H,""),
_xlpm.MacVal,_xlfn.XLOOKUP($A1440,Output_Mac!$A:$A,Output_Mac!H:H,""),
_xlpm.MyAuditVal,_xlfn.XLOOKUP($A1440,My_Audit!$A:$A,My_Audit!G:G,""),
_xlfn.IFS(_xlpm.MyAuditVal&lt;&gt;"",_xlpm.MyAuditVal,_xlpm.MacVal&lt;&gt;"",_xlpm.MacVal,_xlpm.CSVVal&lt;&gt;"",_xlpm.CSVVal
)),"")</f>
        <v/>
      </c>
      <c r="I1440" s="40" t="str">
        <f>_xlfn.XLOOKUP(A1440,Output_Mac!A:A,Output_Mac!I:I,"")</f>
        <v/>
      </c>
      <c r="J1440" s="40" t="str" cm="1">
        <f t="array" ref="J1440">IFERROR(_xlfn.LET(
_xlpm.CSVVal,_xlfn.XLOOKUP($A1440,CSV!$A:$A,CSV!I:I,""),
_xlpm.MacVal,_xlfn.XLOOKUP($A1440,Output_Mac!$A:$A,Output_Mac!J:J,""),
_xlpm.MyAuditVal,_xlfn.XLOOKUP($A1440,My_Audit!$A:$A,My_Audit!I:I,""),
_xlfn.IFS(_xlpm.MyAuditVal&lt;&gt;"",UPPER(_xlpm.MyAuditVal),_xlpm.MacVal&lt;&gt;"",_xlpm.MacVal,_xlpm.CSVVal&lt;&gt;"",_xlpm.CSVVal
)),"")</f>
        <v/>
      </c>
      <c r="K1440" s="40" t="str" cm="1">
        <f t="array" ref="K1440">IFERROR(_xlfn.LET(
_xlpm.CSVVal,_xlfn.XLOOKUP($A1440,CSV!$A:$A,CSV!K:K,""),
_xlpm.MacVal,_xlfn.XLOOKUP($A1440,Output_Mac!$A:$A,Output_Mac!K:K,""),
_xlpm.MyAuditVal,_xlfn.XLOOKUP($A1440,My_Audit!$A:$A,My_Audit!J:J,""),
_xlfn.IFS(_xlpm.MyAuditVal&lt;&gt;"",UPPER(_xlpm.MyAuditVal),_xlpm.MacVal&lt;&gt;"",_xlpm.MacVal,_xlpm.CSVVal&lt;&gt;"",_xlpm.CSVVal
)),"")</f>
        <v/>
      </c>
      <c r="L1440" s="40" t="str" cm="1">
        <f t="array" ref="L1440">IFERROR(_xlfn.LET(
_xlpm.CSVVal,_xlfn.XLOOKUP($A1440,CSV!$A:$A,CSV!P:P,""),
_xlpm.MacVal,_xlfn.XLOOKUP($A1440,Output_Mac!$A:$A,Output_Mac!L:L,""),
_xlpm.MyAuditVal,_xlfn.XLOOKUP($A1440,My_Audit!$A:$A,My_Audit!K:K,""),
_xlfn.IFS(_xlpm.MyAuditVal&lt;&gt;"",UPPER(_xlpm.MyAuditVal),_xlpm.MacVal&lt;&gt;"",_xlpm.MacVal,_xlpm.CSVVal&lt;&gt;"",_xlpm.CSVVal
)),"")</f>
        <v/>
      </c>
      <c r="M1440" s="40" t="str" cm="1">
        <f t="array" ref="M1440">IFERROR(_xlfn.LET(
_xlpm.CSVVal,_xlfn.XLOOKUP($A1440,CSV!$A:$A,CSV!Q:Q,""),
_xlpm.MacVal,_xlfn.XLOOKUP($A1440,Output_Mac!$A:$A,Output_Mac!M:M,""),
_xlpm.MyAuditVal,_xlfn.XLOOKUP($A1440,My_Audit!$A:$A,My_Audit!L:L,""),
_xlfn.IFS(_xlpm.MyAuditVal&lt;&gt;"",UPPER(_xlpm.MyAuditVal),_xlpm.MacVal&lt;&gt;"",_xlpm.MacVal,_xlpm.CSVVal&lt;&gt;"",_xlpm.CSVVal
)),"")</f>
        <v/>
      </c>
      <c r="N1440" s="40"/>
      <c r="O1440" s="40" t="str">
        <f>_xlfn.LET(
    _xlpm.CSVVal, _xlfn.XLOOKUP($A1440, CSV!$A:$A, CSV!AA:AA, ""),
    _xlpm.MacVal, _xlfn.XLOOKUP($A1440, Output_Mac!$A:$A, Output_Mac!S:S, ""),
    _xlpm.MyAuditVal, _xlfn.XLOOKUP($A1440, My_Audit!$A:$A, My_Audit!P:P, ""),
    _xlfn.TEXTJOIN(", ", TRUE, _xlpm.MyAuditVal, _xlpm.MacVal, _xlpm.CSVVal)
)</f>
        <v/>
      </c>
      <c r="P1440" s="40" t="str" cm="1">
        <f t="array" ref="P1440">IFERROR(_xlfn.LET(
_xlpm.CSVVal,_xlfn.XLOOKUP($A1440,CSV!$A:$A,CSV!AB:AB,""),
_xlpm.MacVal,_xlfn.XLOOKUP($A1440,Output_Mac!$A:$A,Output_Mac!T:T,""),
_xlpm.MyAuditVal,_xlfn.XLOOKUP($A1440,My_Audit!$A:$A,My_Audit!Q:Q,""),
_xlfn.IFS(_xlpm.MyAuditVal&lt;&gt;"",UPPER(_xlpm.MyAuditVal),_xlpm.MacVal&lt;&gt;"",_xlpm.MacVal,_xlpm.CSVVal&lt;&gt;"",_xlpm.CSVVal
)),"No")</f>
        <v>No</v>
      </c>
      <c r="Q1440" s="40" t="str" cm="1">
        <f t="array" ref="Q1440">IFERROR(_xlfn.LET(
_xlpm.CSVVal,_xlfn.XLOOKUP($A1440,CSV!$A:$A,CSV!AC:AC,""),
_xlpm.MacVal,_xlfn.XLOOKUP($A1440,Output_Mac!$A:$A,Output_Mac!U:U,""),
_xlpm.MyAuditVal,_xlfn.XLOOKUP($A1440,My_Audit!$A:$A,My_Audit!R:R,""),
_xlfn.IFS(_xlpm.MyAuditVal&lt;&gt;"",UPPER(_xlpm.MyAuditVal),_xlpm.MacVal&lt;&gt;"",_xlpm.MacVal,_xlpm.CSVVal&lt;&gt;"",_xlpm.CSVVal
)),"")</f>
        <v/>
      </c>
      <c r="R1440" s="40"/>
      <c r="S1440" s="40"/>
      <c r="T1440" s="40"/>
      <c r="U1440" s="40"/>
      <c r="V1440" s="40"/>
      <c r="W1440" s="40"/>
      <c r="X1440" s="41" t="str">
        <f>_xlfn.LET(
    _xlpm.MacVal, _xlfn.XLOOKUP($A1440, Output_Mac!$A:$A, Output_Mac!AB:AB, ""),
    _xlpm.MyAuditVal, _xlfn.XLOOKUP($A1440, My_Audit!$A:$A, My_Audit!N:N, ""),
    _xlfn.TEXTJOIN(", ", TRUE, _xlpm.MyAuditVal, _xlpm.MacVal)
)</f>
        <v/>
      </c>
    </row>
    <row r="1441" spans="1:24">
      <c r="A1441" s="40" t="str">
        <f>_xlfn.TEXTJOIN("",TRUE,Input!$B$2,ROW(My_Audit!A1440))</f>
        <v>X1440</v>
      </c>
      <c r="B1441" s="40" t="str">
        <f>_xlfn.TEXTJOIN("-",TRUE,"ITD",Input!$A$2,A1441)</f>
        <v>ITD-X1440</v>
      </c>
      <c r="C1441" s="40" t="str" cm="1">
        <f t="array" ref="C1441">IFERROR(_xlfn.LET(
_xlpm.CSVVal,_xlfn.XLOOKUP($A1441,CSV!$A:$A,CSV!B:B,""),
_xlpm.MacVal,_xlfn.XLOOKUP($A1441,Output_Mac!$A:$A,Output_Mac!B:B,""),
_xlpm.MyAuditVal,_xlfn.XLOOKUP($A1441,My_Audit!$A:$A,My_Audit!B:B,""),
_xlfn.IFS(_xlpm.MyAuditVal&lt;&gt;"",UPPER(_xlpm.MyAuditVal),_xlpm.MacVal&lt;&gt;"",_xlpm.MacVal,_xlpm.CSVVal&lt;&gt;"",_xlpm.CSVVal
)),"")</f>
        <v/>
      </c>
      <c r="D1441" s="40" t="str" cm="1">
        <f t="array" ref="D1441">IFERROR(_xlfn.LET(
_xlpm.CSVVal,_xlfn.XLOOKUP($A1441,CSV!$A:$A,CSV!D:D,""),
_xlpm.MacVal,_xlfn.XLOOKUP($A1441,Output_Mac!$A:$A,Output_Mac!C:C,""),
_xlpm.MyAuditVal,_xlfn.XLOOKUP($A1441,My_Audit!$A:$A,My_Audit!C:C,""),
_xlfn.IFS(_xlpm.MyAuditVal&lt;&gt;"",_xlpm.MyAuditVal,_xlpm.MacVal&lt;&gt;"",_xlpm.MacVal,_xlpm.CSVVal&lt;&gt;"",_xlpm.CSVVal
)),"")</f>
        <v/>
      </c>
      <c r="E1441" s="40" t="str">
        <f>_xlfn.XLOOKUP(A1441,My_Audit!A:A,My_Audit!D:D,"")</f>
        <v/>
      </c>
      <c r="F1441" s="40" t="str" cm="1">
        <f t="array" ref="F1441">IFERROR(_xlfn.LET(
_xlpm.CSVVal,_xlfn.XLOOKUP($A1441,CSV!$A:$A,CSV!F:F,""),
_xlpm.MacVal,_xlfn.XLOOKUP($A1441,Output_Mac!$A:$A,Output_Mac!E:E,""),
_xlpm.MyAuditVal,_xlfn.XLOOKUP($A1441,My_Audit!$A:$A,My_Audit!E:E,""),
_xlfn.IFS(_xlpm.MyAuditVal&lt;&gt;"",_xlpm.MyAuditVal,_xlpm.MacVal&lt;&gt;"",_xlpm.MacVal,_xlpm.CSVVal&lt;&gt;"",_xlpm.CSVVal
)),"")</f>
        <v/>
      </c>
      <c r="G1441" s="40" t="str" cm="1">
        <f t="array" ref="G1441">IFERROR(_xlfn.LET(
_xlpm.CSVVal,_xlfn.XLOOKUP($A1441,CSV!$A:$A,CSV!G:G,""),
_xlpm.MacVal,_xlfn.XLOOKUP($A1441,Output_Mac!$A:$A,Output_Mac!F:F,""),
_xlpm.MyAuditVal,_xlfn.XLOOKUP($A1441,My_Audit!$A:$A,My_Audit!F:F,""),
_xlfn.IFS(_xlpm.MyAuditVal&lt;&gt;"",_xlpm.MyAuditVal,_xlpm.MacVal&lt;&gt;"",_xlpm.MacVal,_xlpm.CSVVal&lt;&gt;"",PROPER(_xlpm.CSVVal)
)),"")</f>
        <v/>
      </c>
      <c r="H1441" s="40" t="str" cm="1">
        <f t="array" ref="H1441">IFERROR(_xlfn.LET(
_xlpm.CSVVal,_xlfn.XLOOKUP($A1441,CSV!$A:$A,CSV!H:H,""),
_xlpm.MacVal,_xlfn.XLOOKUP($A1441,Output_Mac!$A:$A,Output_Mac!H:H,""),
_xlpm.MyAuditVal,_xlfn.XLOOKUP($A1441,My_Audit!$A:$A,My_Audit!G:G,""),
_xlfn.IFS(_xlpm.MyAuditVal&lt;&gt;"",_xlpm.MyAuditVal,_xlpm.MacVal&lt;&gt;"",_xlpm.MacVal,_xlpm.CSVVal&lt;&gt;"",_xlpm.CSVVal
)),"")</f>
        <v/>
      </c>
      <c r="I1441" s="40" t="str">
        <f>_xlfn.XLOOKUP(A1441,Output_Mac!A:A,Output_Mac!I:I,"")</f>
        <v/>
      </c>
      <c r="J1441" s="40" t="str" cm="1">
        <f t="array" ref="J1441">IFERROR(_xlfn.LET(
_xlpm.CSVVal,_xlfn.XLOOKUP($A1441,CSV!$A:$A,CSV!I:I,""),
_xlpm.MacVal,_xlfn.XLOOKUP($A1441,Output_Mac!$A:$A,Output_Mac!J:J,""),
_xlpm.MyAuditVal,_xlfn.XLOOKUP($A1441,My_Audit!$A:$A,My_Audit!I:I,""),
_xlfn.IFS(_xlpm.MyAuditVal&lt;&gt;"",UPPER(_xlpm.MyAuditVal),_xlpm.MacVal&lt;&gt;"",_xlpm.MacVal,_xlpm.CSVVal&lt;&gt;"",_xlpm.CSVVal
)),"")</f>
        <v/>
      </c>
      <c r="K1441" s="40" t="str" cm="1">
        <f t="array" ref="K1441">IFERROR(_xlfn.LET(
_xlpm.CSVVal,_xlfn.XLOOKUP($A1441,CSV!$A:$A,CSV!K:K,""),
_xlpm.MacVal,_xlfn.XLOOKUP($A1441,Output_Mac!$A:$A,Output_Mac!K:K,""),
_xlpm.MyAuditVal,_xlfn.XLOOKUP($A1441,My_Audit!$A:$A,My_Audit!J:J,""),
_xlfn.IFS(_xlpm.MyAuditVal&lt;&gt;"",UPPER(_xlpm.MyAuditVal),_xlpm.MacVal&lt;&gt;"",_xlpm.MacVal,_xlpm.CSVVal&lt;&gt;"",_xlpm.CSVVal
)),"")</f>
        <v/>
      </c>
      <c r="L1441" s="40" t="str" cm="1">
        <f t="array" ref="L1441">IFERROR(_xlfn.LET(
_xlpm.CSVVal,_xlfn.XLOOKUP($A1441,CSV!$A:$A,CSV!P:P,""),
_xlpm.MacVal,_xlfn.XLOOKUP($A1441,Output_Mac!$A:$A,Output_Mac!L:L,""),
_xlpm.MyAuditVal,_xlfn.XLOOKUP($A1441,My_Audit!$A:$A,My_Audit!K:K,""),
_xlfn.IFS(_xlpm.MyAuditVal&lt;&gt;"",UPPER(_xlpm.MyAuditVal),_xlpm.MacVal&lt;&gt;"",_xlpm.MacVal,_xlpm.CSVVal&lt;&gt;"",_xlpm.CSVVal
)),"")</f>
        <v/>
      </c>
      <c r="M1441" s="40" t="str" cm="1">
        <f t="array" ref="M1441">IFERROR(_xlfn.LET(
_xlpm.CSVVal,_xlfn.XLOOKUP($A1441,CSV!$A:$A,CSV!Q:Q,""),
_xlpm.MacVal,_xlfn.XLOOKUP($A1441,Output_Mac!$A:$A,Output_Mac!M:M,""),
_xlpm.MyAuditVal,_xlfn.XLOOKUP($A1441,My_Audit!$A:$A,My_Audit!L:L,""),
_xlfn.IFS(_xlpm.MyAuditVal&lt;&gt;"",UPPER(_xlpm.MyAuditVal),_xlpm.MacVal&lt;&gt;"",_xlpm.MacVal,_xlpm.CSVVal&lt;&gt;"",_xlpm.CSVVal
)),"")</f>
        <v/>
      </c>
      <c r="N1441" s="40"/>
      <c r="O1441" s="40" t="str">
        <f>_xlfn.LET(
    _xlpm.CSVVal, _xlfn.XLOOKUP($A1441, CSV!$A:$A, CSV!AA:AA, ""),
    _xlpm.MacVal, _xlfn.XLOOKUP($A1441, Output_Mac!$A:$A, Output_Mac!S:S, ""),
    _xlpm.MyAuditVal, _xlfn.XLOOKUP($A1441, My_Audit!$A:$A, My_Audit!P:P, ""),
    _xlfn.TEXTJOIN(", ", TRUE, _xlpm.MyAuditVal, _xlpm.MacVal, _xlpm.CSVVal)
)</f>
        <v/>
      </c>
      <c r="P1441" s="40" t="str" cm="1">
        <f t="array" ref="P1441">IFERROR(_xlfn.LET(
_xlpm.CSVVal,_xlfn.XLOOKUP($A1441,CSV!$A:$A,CSV!AB:AB,""),
_xlpm.MacVal,_xlfn.XLOOKUP($A1441,Output_Mac!$A:$A,Output_Mac!T:T,""),
_xlpm.MyAuditVal,_xlfn.XLOOKUP($A1441,My_Audit!$A:$A,My_Audit!Q:Q,""),
_xlfn.IFS(_xlpm.MyAuditVal&lt;&gt;"",UPPER(_xlpm.MyAuditVal),_xlpm.MacVal&lt;&gt;"",_xlpm.MacVal,_xlpm.CSVVal&lt;&gt;"",_xlpm.CSVVal
)),"No")</f>
        <v>No</v>
      </c>
      <c r="Q1441" s="40" t="str" cm="1">
        <f t="array" ref="Q1441">IFERROR(_xlfn.LET(
_xlpm.CSVVal,_xlfn.XLOOKUP($A1441,CSV!$A:$A,CSV!AC:AC,""),
_xlpm.MacVal,_xlfn.XLOOKUP($A1441,Output_Mac!$A:$A,Output_Mac!U:U,""),
_xlpm.MyAuditVal,_xlfn.XLOOKUP($A1441,My_Audit!$A:$A,My_Audit!R:R,""),
_xlfn.IFS(_xlpm.MyAuditVal&lt;&gt;"",UPPER(_xlpm.MyAuditVal),_xlpm.MacVal&lt;&gt;"",_xlpm.MacVal,_xlpm.CSVVal&lt;&gt;"",_xlpm.CSVVal
)),"")</f>
        <v/>
      </c>
      <c r="R1441" s="40"/>
      <c r="S1441" s="40"/>
      <c r="T1441" s="40"/>
      <c r="U1441" s="40"/>
      <c r="V1441" s="40"/>
      <c r="W1441" s="40"/>
      <c r="X1441" s="41" t="str">
        <f>_xlfn.LET(
    _xlpm.MacVal, _xlfn.XLOOKUP($A1441, Output_Mac!$A:$A, Output_Mac!AB:AB, ""),
    _xlpm.MyAuditVal, _xlfn.XLOOKUP($A1441, My_Audit!$A:$A, My_Audit!N:N, ""),
    _xlfn.TEXTJOIN(", ", TRUE, _xlpm.MyAuditVal, _xlpm.MacVal)
)</f>
        <v/>
      </c>
    </row>
    <row r="1442" spans="1:24">
      <c r="A1442" s="40" t="str">
        <f>_xlfn.TEXTJOIN("",TRUE,Input!$B$2,ROW(My_Audit!A1441))</f>
        <v>X1441</v>
      </c>
      <c r="B1442" s="40" t="str">
        <f>_xlfn.TEXTJOIN("-",TRUE,"ITD",Input!$A$2,A1442)</f>
        <v>ITD-X1441</v>
      </c>
      <c r="C1442" s="40" t="str" cm="1">
        <f t="array" ref="C1442">IFERROR(_xlfn.LET(
_xlpm.CSVVal,_xlfn.XLOOKUP($A1442,CSV!$A:$A,CSV!B:B,""),
_xlpm.MacVal,_xlfn.XLOOKUP($A1442,Output_Mac!$A:$A,Output_Mac!B:B,""),
_xlpm.MyAuditVal,_xlfn.XLOOKUP($A1442,My_Audit!$A:$A,My_Audit!B:B,""),
_xlfn.IFS(_xlpm.MyAuditVal&lt;&gt;"",UPPER(_xlpm.MyAuditVal),_xlpm.MacVal&lt;&gt;"",_xlpm.MacVal,_xlpm.CSVVal&lt;&gt;"",_xlpm.CSVVal
)),"")</f>
        <v/>
      </c>
      <c r="D1442" s="40" t="str" cm="1">
        <f t="array" ref="D1442">IFERROR(_xlfn.LET(
_xlpm.CSVVal,_xlfn.XLOOKUP($A1442,CSV!$A:$A,CSV!D:D,""),
_xlpm.MacVal,_xlfn.XLOOKUP($A1442,Output_Mac!$A:$A,Output_Mac!C:C,""),
_xlpm.MyAuditVal,_xlfn.XLOOKUP($A1442,My_Audit!$A:$A,My_Audit!C:C,""),
_xlfn.IFS(_xlpm.MyAuditVal&lt;&gt;"",_xlpm.MyAuditVal,_xlpm.MacVal&lt;&gt;"",_xlpm.MacVal,_xlpm.CSVVal&lt;&gt;"",_xlpm.CSVVal
)),"")</f>
        <v/>
      </c>
      <c r="E1442" s="40" t="str">
        <f>_xlfn.XLOOKUP(A1442,My_Audit!A:A,My_Audit!D:D,"")</f>
        <v/>
      </c>
      <c r="F1442" s="40" t="str" cm="1">
        <f t="array" ref="F1442">IFERROR(_xlfn.LET(
_xlpm.CSVVal,_xlfn.XLOOKUP($A1442,CSV!$A:$A,CSV!F:F,""),
_xlpm.MacVal,_xlfn.XLOOKUP($A1442,Output_Mac!$A:$A,Output_Mac!E:E,""),
_xlpm.MyAuditVal,_xlfn.XLOOKUP($A1442,My_Audit!$A:$A,My_Audit!E:E,""),
_xlfn.IFS(_xlpm.MyAuditVal&lt;&gt;"",_xlpm.MyAuditVal,_xlpm.MacVal&lt;&gt;"",_xlpm.MacVal,_xlpm.CSVVal&lt;&gt;"",_xlpm.CSVVal
)),"")</f>
        <v/>
      </c>
      <c r="G1442" s="40" t="str" cm="1">
        <f t="array" ref="G1442">IFERROR(_xlfn.LET(
_xlpm.CSVVal,_xlfn.XLOOKUP($A1442,CSV!$A:$A,CSV!G:G,""),
_xlpm.MacVal,_xlfn.XLOOKUP($A1442,Output_Mac!$A:$A,Output_Mac!F:F,""),
_xlpm.MyAuditVal,_xlfn.XLOOKUP($A1442,My_Audit!$A:$A,My_Audit!F:F,""),
_xlfn.IFS(_xlpm.MyAuditVal&lt;&gt;"",_xlpm.MyAuditVal,_xlpm.MacVal&lt;&gt;"",_xlpm.MacVal,_xlpm.CSVVal&lt;&gt;"",PROPER(_xlpm.CSVVal)
)),"")</f>
        <v/>
      </c>
      <c r="H1442" s="40" t="str" cm="1">
        <f t="array" ref="H1442">IFERROR(_xlfn.LET(
_xlpm.CSVVal,_xlfn.XLOOKUP($A1442,CSV!$A:$A,CSV!H:H,""),
_xlpm.MacVal,_xlfn.XLOOKUP($A1442,Output_Mac!$A:$A,Output_Mac!H:H,""),
_xlpm.MyAuditVal,_xlfn.XLOOKUP($A1442,My_Audit!$A:$A,My_Audit!G:G,""),
_xlfn.IFS(_xlpm.MyAuditVal&lt;&gt;"",_xlpm.MyAuditVal,_xlpm.MacVal&lt;&gt;"",_xlpm.MacVal,_xlpm.CSVVal&lt;&gt;"",_xlpm.CSVVal
)),"")</f>
        <v/>
      </c>
      <c r="I1442" s="40" t="str">
        <f>_xlfn.XLOOKUP(A1442,Output_Mac!A:A,Output_Mac!I:I,"")</f>
        <v/>
      </c>
      <c r="J1442" s="40" t="str" cm="1">
        <f t="array" ref="J1442">IFERROR(_xlfn.LET(
_xlpm.CSVVal,_xlfn.XLOOKUP($A1442,CSV!$A:$A,CSV!I:I,""),
_xlpm.MacVal,_xlfn.XLOOKUP($A1442,Output_Mac!$A:$A,Output_Mac!J:J,""),
_xlpm.MyAuditVal,_xlfn.XLOOKUP($A1442,My_Audit!$A:$A,My_Audit!I:I,""),
_xlfn.IFS(_xlpm.MyAuditVal&lt;&gt;"",UPPER(_xlpm.MyAuditVal),_xlpm.MacVal&lt;&gt;"",_xlpm.MacVal,_xlpm.CSVVal&lt;&gt;"",_xlpm.CSVVal
)),"")</f>
        <v/>
      </c>
      <c r="K1442" s="40" t="str" cm="1">
        <f t="array" ref="K1442">IFERROR(_xlfn.LET(
_xlpm.CSVVal,_xlfn.XLOOKUP($A1442,CSV!$A:$A,CSV!K:K,""),
_xlpm.MacVal,_xlfn.XLOOKUP($A1442,Output_Mac!$A:$A,Output_Mac!K:K,""),
_xlpm.MyAuditVal,_xlfn.XLOOKUP($A1442,My_Audit!$A:$A,My_Audit!J:J,""),
_xlfn.IFS(_xlpm.MyAuditVal&lt;&gt;"",UPPER(_xlpm.MyAuditVal),_xlpm.MacVal&lt;&gt;"",_xlpm.MacVal,_xlpm.CSVVal&lt;&gt;"",_xlpm.CSVVal
)),"")</f>
        <v/>
      </c>
      <c r="L1442" s="40" t="str" cm="1">
        <f t="array" ref="L1442">IFERROR(_xlfn.LET(
_xlpm.CSVVal,_xlfn.XLOOKUP($A1442,CSV!$A:$A,CSV!P:P,""),
_xlpm.MacVal,_xlfn.XLOOKUP($A1442,Output_Mac!$A:$A,Output_Mac!L:L,""),
_xlpm.MyAuditVal,_xlfn.XLOOKUP($A1442,My_Audit!$A:$A,My_Audit!K:K,""),
_xlfn.IFS(_xlpm.MyAuditVal&lt;&gt;"",UPPER(_xlpm.MyAuditVal),_xlpm.MacVal&lt;&gt;"",_xlpm.MacVal,_xlpm.CSVVal&lt;&gt;"",_xlpm.CSVVal
)),"")</f>
        <v/>
      </c>
      <c r="M1442" s="40" t="str" cm="1">
        <f t="array" ref="M1442">IFERROR(_xlfn.LET(
_xlpm.CSVVal,_xlfn.XLOOKUP($A1442,CSV!$A:$A,CSV!Q:Q,""),
_xlpm.MacVal,_xlfn.XLOOKUP($A1442,Output_Mac!$A:$A,Output_Mac!M:M,""),
_xlpm.MyAuditVal,_xlfn.XLOOKUP($A1442,My_Audit!$A:$A,My_Audit!L:L,""),
_xlfn.IFS(_xlpm.MyAuditVal&lt;&gt;"",UPPER(_xlpm.MyAuditVal),_xlpm.MacVal&lt;&gt;"",_xlpm.MacVal,_xlpm.CSVVal&lt;&gt;"",_xlpm.CSVVal
)),"")</f>
        <v/>
      </c>
      <c r="N1442" s="40"/>
      <c r="O1442" s="40" t="str">
        <f>_xlfn.LET(
    _xlpm.CSVVal, _xlfn.XLOOKUP($A1442, CSV!$A:$A, CSV!AA:AA, ""),
    _xlpm.MacVal, _xlfn.XLOOKUP($A1442, Output_Mac!$A:$A, Output_Mac!S:S, ""),
    _xlpm.MyAuditVal, _xlfn.XLOOKUP($A1442, My_Audit!$A:$A, My_Audit!P:P, ""),
    _xlfn.TEXTJOIN(", ", TRUE, _xlpm.MyAuditVal, _xlpm.MacVal, _xlpm.CSVVal)
)</f>
        <v/>
      </c>
      <c r="P1442" s="40" t="str" cm="1">
        <f t="array" ref="P1442">IFERROR(_xlfn.LET(
_xlpm.CSVVal,_xlfn.XLOOKUP($A1442,CSV!$A:$A,CSV!AB:AB,""),
_xlpm.MacVal,_xlfn.XLOOKUP($A1442,Output_Mac!$A:$A,Output_Mac!T:T,""),
_xlpm.MyAuditVal,_xlfn.XLOOKUP($A1442,My_Audit!$A:$A,My_Audit!Q:Q,""),
_xlfn.IFS(_xlpm.MyAuditVal&lt;&gt;"",UPPER(_xlpm.MyAuditVal),_xlpm.MacVal&lt;&gt;"",_xlpm.MacVal,_xlpm.CSVVal&lt;&gt;"",_xlpm.CSVVal
)),"No")</f>
        <v>No</v>
      </c>
      <c r="Q1442" s="40" t="str" cm="1">
        <f t="array" ref="Q1442">IFERROR(_xlfn.LET(
_xlpm.CSVVal,_xlfn.XLOOKUP($A1442,CSV!$A:$A,CSV!AC:AC,""),
_xlpm.MacVal,_xlfn.XLOOKUP($A1442,Output_Mac!$A:$A,Output_Mac!U:U,""),
_xlpm.MyAuditVal,_xlfn.XLOOKUP($A1442,My_Audit!$A:$A,My_Audit!R:R,""),
_xlfn.IFS(_xlpm.MyAuditVal&lt;&gt;"",UPPER(_xlpm.MyAuditVal),_xlpm.MacVal&lt;&gt;"",_xlpm.MacVal,_xlpm.CSVVal&lt;&gt;"",_xlpm.CSVVal
)),"")</f>
        <v/>
      </c>
      <c r="R1442" s="40"/>
      <c r="S1442" s="40"/>
      <c r="T1442" s="40"/>
      <c r="U1442" s="40"/>
      <c r="V1442" s="40"/>
      <c r="W1442" s="40"/>
      <c r="X1442" s="41" t="str">
        <f>_xlfn.LET(
    _xlpm.MacVal, _xlfn.XLOOKUP($A1442, Output_Mac!$A:$A, Output_Mac!AB:AB, ""),
    _xlpm.MyAuditVal, _xlfn.XLOOKUP($A1442, My_Audit!$A:$A, My_Audit!N:N, ""),
    _xlfn.TEXTJOIN(", ", TRUE, _xlpm.MyAuditVal, _xlpm.MacVal)
)</f>
        <v/>
      </c>
    </row>
    <row r="1443" spans="1:24">
      <c r="A1443" s="40" t="str">
        <f>_xlfn.TEXTJOIN("",TRUE,Input!$B$2,ROW(My_Audit!A1442))</f>
        <v>X1442</v>
      </c>
      <c r="B1443" s="40" t="str">
        <f>_xlfn.TEXTJOIN("-",TRUE,"ITD",Input!$A$2,A1443)</f>
        <v>ITD-X1442</v>
      </c>
      <c r="C1443" s="40" t="str" cm="1">
        <f t="array" ref="C1443">IFERROR(_xlfn.LET(
_xlpm.CSVVal,_xlfn.XLOOKUP($A1443,CSV!$A:$A,CSV!B:B,""),
_xlpm.MacVal,_xlfn.XLOOKUP($A1443,Output_Mac!$A:$A,Output_Mac!B:B,""),
_xlpm.MyAuditVal,_xlfn.XLOOKUP($A1443,My_Audit!$A:$A,My_Audit!B:B,""),
_xlfn.IFS(_xlpm.MyAuditVal&lt;&gt;"",UPPER(_xlpm.MyAuditVal),_xlpm.MacVal&lt;&gt;"",_xlpm.MacVal,_xlpm.CSVVal&lt;&gt;"",_xlpm.CSVVal
)),"")</f>
        <v/>
      </c>
      <c r="D1443" s="40" t="str" cm="1">
        <f t="array" ref="D1443">IFERROR(_xlfn.LET(
_xlpm.CSVVal,_xlfn.XLOOKUP($A1443,CSV!$A:$A,CSV!D:D,""),
_xlpm.MacVal,_xlfn.XLOOKUP($A1443,Output_Mac!$A:$A,Output_Mac!C:C,""),
_xlpm.MyAuditVal,_xlfn.XLOOKUP($A1443,My_Audit!$A:$A,My_Audit!C:C,""),
_xlfn.IFS(_xlpm.MyAuditVal&lt;&gt;"",_xlpm.MyAuditVal,_xlpm.MacVal&lt;&gt;"",_xlpm.MacVal,_xlpm.CSVVal&lt;&gt;"",_xlpm.CSVVal
)),"")</f>
        <v/>
      </c>
      <c r="E1443" s="40" t="str">
        <f>_xlfn.XLOOKUP(A1443,My_Audit!A:A,My_Audit!D:D,"")</f>
        <v/>
      </c>
      <c r="F1443" s="40" t="str" cm="1">
        <f t="array" ref="F1443">IFERROR(_xlfn.LET(
_xlpm.CSVVal,_xlfn.XLOOKUP($A1443,CSV!$A:$A,CSV!F:F,""),
_xlpm.MacVal,_xlfn.XLOOKUP($A1443,Output_Mac!$A:$A,Output_Mac!E:E,""),
_xlpm.MyAuditVal,_xlfn.XLOOKUP($A1443,My_Audit!$A:$A,My_Audit!E:E,""),
_xlfn.IFS(_xlpm.MyAuditVal&lt;&gt;"",_xlpm.MyAuditVal,_xlpm.MacVal&lt;&gt;"",_xlpm.MacVal,_xlpm.CSVVal&lt;&gt;"",_xlpm.CSVVal
)),"")</f>
        <v/>
      </c>
      <c r="G1443" s="40" t="str" cm="1">
        <f t="array" ref="G1443">IFERROR(_xlfn.LET(
_xlpm.CSVVal,_xlfn.XLOOKUP($A1443,CSV!$A:$A,CSV!G:G,""),
_xlpm.MacVal,_xlfn.XLOOKUP($A1443,Output_Mac!$A:$A,Output_Mac!F:F,""),
_xlpm.MyAuditVal,_xlfn.XLOOKUP($A1443,My_Audit!$A:$A,My_Audit!F:F,""),
_xlfn.IFS(_xlpm.MyAuditVal&lt;&gt;"",_xlpm.MyAuditVal,_xlpm.MacVal&lt;&gt;"",_xlpm.MacVal,_xlpm.CSVVal&lt;&gt;"",PROPER(_xlpm.CSVVal)
)),"")</f>
        <v/>
      </c>
      <c r="H1443" s="40" t="str" cm="1">
        <f t="array" ref="H1443">IFERROR(_xlfn.LET(
_xlpm.CSVVal,_xlfn.XLOOKUP($A1443,CSV!$A:$A,CSV!H:H,""),
_xlpm.MacVal,_xlfn.XLOOKUP($A1443,Output_Mac!$A:$A,Output_Mac!H:H,""),
_xlpm.MyAuditVal,_xlfn.XLOOKUP($A1443,My_Audit!$A:$A,My_Audit!G:G,""),
_xlfn.IFS(_xlpm.MyAuditVal&lt;&gt;"",_xlpm.MyAuditVal,_xlpm.MacVal&lt;&gt;"",_xlpm.MacVal,_xlpm.CSVVal&lt;&gt;"",_xlpm.CSVVal
)),"")</f>
        <v/>
      </c>
      <c r="I1443" s="40" t="str">
        <f>_xlfn.XLOOKUP(A1443,Output_Mac!A:A,Output_Mac!I:I,"")</f>
        <v/>
      </c>
      <c r="J1443" s="40" t="str" cm="1">
        <f t="array" ref="J1443">IFERROR(_xlfn.LET(
_xlpm.CSVVal,_xlfn.XLOOKUP($A1443,CSV!$A:$A,CSV!I:I,""),
_xlpm.MacVal,_xlfn.XLOOKUP($A1443,Output_Mac!$A:$A,Output_Mac!J:J,""),
_xlpm.MyAuditVal,_xlfn.XLOOKUP($A1443,My_Audit!$A:$A,My_Audit!I:I,""),
_xlfn.IFS(_xlpm.MyAuditVal&lt;&gt;"",UPPER(_xlpm.MyAuditVal),_xlpm.MacVal&lt;&gt;"",_xlpm.MacVal,_xlpm.CSVVal&lt;&gt;"",_xlpm.CSVVal
)),"")</f>
        <v/>
      </c>
      <c r="K1443" s="40" t="str" cm="1">
        <f t="array" ref="K1443">IFERROR(_xlfn.LET(
_xlpm.CSVVal,_xlfn.XLOOKUP($A1443,CSV!$A:$A,CSV!K:K,""),
_xlpm.MacVal,_xlfn.XLOOKUP($A1443,Output_Mac!$A:$A,Output_Mac!K:K,""),
_xlpm.MyAuditVal,_xlfn.XLOOKUP($A1443,My_Audit!$A:$A,My_Audit!J:J,""),
_xlfn.IFS(_xlpm.MyAuditVal&lt;&gt;"",UPPER(_xlpm.MyAuditVal),_xlpm.MacVal&lt;&gt;"",_xlpm.MacVal,_xlpm.CSVVal&lt;&gt;"",_xlpm.CSVVal
)),"")</f>
        <v/>
      </c>
      <c r="L1443" s="40" t="str" cm="1">
        <f t="array" ref="L1443">IFERROR(_xlfn.LET(
_xlpm.CSVVal,_xlfn.XLOOKUP($A1443,CSV!$A:$A,CSV!P:P,""),
_xlpm.MacVal,_xlfn.XLOOKUP($A1443,Output_Mac!$A:$A,Output_Mac!L:L,""),
_xlpm.MyAuditVal,_xlfn.XLOOKUP($A1443,My_Audit!$A:$A,My_Audit!K:K,""),
_xlfn.IFS(_xlpm.MyAuditVal&lt;&gt;"",UPPER(_xlpm.MyAuditVal),_xlpm.MacVal&lt;&gt;"",_xlpm.MacVal,_xlpm.CSVVal&lt;&gt;"",_xlpm.CSVVal
)),"")</f>
        <v/>
      </c>
      <c r="M1443" s="40" t="str" cm="1">
        <f t="array" ref="M1443">IFERROR(_xlfn.LET(
_xlpm.CSVVal,_xlfn.XLOOKUP($A1443,CSV!$A:$A,CSV!Q:Q,""),
_xlpm.MacVal,_xlfn.XLOOKUP($A1443,Output_Mac!$A:$A,Output_Mac!M:M,""),
_xlpm.MyAuditVal,_xlfn.XLOOKUP($A1443,My_Audit!$A:$A,My_Audit!L:L,""),
_xlfn.IFS(_xlpm.MyAuditVal&lt;&gt;"",UPPER(_xlpm.MyAuditVal),_xlpm.MacVal&lt;&gt;"",_xlpm.MacVal,_xlpm.CSVVal&lt;&gt;"",_xlpm.CSVVal
)),"")</f>
        <v/>
      </c>
      <c r="N1443" s="40"/>
      <c r="O1443" s="40" t="str">
        <f>_xlfn.LET(
    _xlpm.CSVVal, _xlfn.XLOOKUP($A1443, CSV!$A:$A, CSV!AA:AA, ""),
    _xlpm.MacVal, _xlfn.XLOOKUP($A1443, Output_Mac!$A:$A, Output_Mac!S:S, ""),
    _xlpm.MyAuditVal, _xlfn.XLOOKUP($A1443, My_Audit!$A:$A, My_Audit!P:P, ""),
    _xlfn.TEXTJOIN(", ", TRUE, _xlpm.MyAuditVal, _xlpm.MacVal, _xlpm.CSVVal)
)</f>
        <v/>
      </c>
      <c r="P1443" s="40" t="str" cm="1">
        <f t="array" ref="P1443">IFERROR(_xlfn.LET(
_xlpm.CSVVal,_xlfn.XLOOKUP($A1443,CSV!$A:$A,CSV!AB:AB,""),
_xlpm.MacVal,_xlfn.XLOOKUP($A1443,Output_Mac!$A:$A,Output_Mac!T:T,""),
_xlpm.MyAuditVal,_xlfn.XLOOKUP($A1443,My_Audit!$A:$A,My_Audit!Q:Q,""),
_xlfn.IFS(_xlpm.MyAuditVal&lt;&gt;"",UPPER(_xlpm.MyAuditVal),_xlpm.MacVal&lt;&gt;"",_xlpm.MacVal,_xlpm.CSVVal&lt;&gt;"",_xlpm.CSVVal
)),"No")</f>
        <v>No</v>
      </c>
      <c r="Q1443" s="40" t="str" cm="1">
        <f t="array" ref="Q1443">IFERROR(_xlfn.LET(
_xlpm.CSVVal,_xlfn.XLOOKUP($A1443,CSV!$A:$A,CSV!AC:AC,""),
_xlpm.MacVal,_xlfn.XLOOKUP($A1443,Output_Mac!$A:$A,Output_Mac!U:U,""),
_xlpm.MyAuditVal,_xlfn.XLOOKUP($A1443,My_Audit!$A:$A,My_Audit!R:R,""),
_xlfn.IFS(_xlpm.MyAuditVal&lt;&gt;"",UPPER(_xlpm.MyAuditVal),_xlpm.MacVal&lt;&gt;"",_xlpm.MacVal,_xlpm.CSVVal&lt;&gt;"",_xlpm.CSVVal
)),"")</f>
        <v/>
      </c>
      <c r="R1443" s="40"/>
      <c r="S1443" s="40"/>
      <c r="T1443" s="40"/>
      <c r="U1443" s="40"/>
      <c r="V1443" s="40"/>
      <c r="W1443" s="40"/>
      <c r="X1443" s="41" t="str">
        <f>_xlfn.LET(
    _xlpm.MacVal, _xlfn.XLOOKUP($A1443, Output_Mac!$A:$A, Output_Mac!AB:AB, ""),
    _xlpm.MyAuditVal, _xlfn.XLOOKUP($A1443, My_Audit!$A:$A, My_Audit!N:N, ""),
    _xlfn.TEXTJOIN(", ", TRUE, _xlpm.MyAuditVal, _xlpm.MacVal)
)</f>
        <v/>
      </c>
    </row>
    <row r="1444" spans="1:24">
      <c r="A1444" s="40" t="str">
        <f>_xlfn.TEXTJOIN("",TRUE,Input!$B$2,ROW(My_Audit!A1443))</f>
        <v>X1443</v>
      </c>
      <c r="B1444" s="40" t="str">
        <f>_xlfn.TEXTJOIN("-",TRUE,"ITD",Input!$A$2,A1444)</f>
        <v>ITD-X1443</v>
      </c>
      <c r="C1444" s="40" t="str" cm="1">
        <f t="array" ref="C1444">IFERROR(_xlfn.LET(
_xlpm.CSVVal,_xlfn.XLOOKUP($A1444,CSV!$A:$A,CSV!B:B,""),
_xlpm.MacVal,_xlfn.XLOOKUP($A1444,Output_Mac!$A:$A,Output_Mac!B:B,""),
_xlpm.MyAuditVal,_xlfn.XLOOKUP($A1444,My_Audit!$A:$A,My_Audit!B:B,""),
_xlfn.IFS(_xlpm.MyAuditVal&lt;&gt;"",UPPER(_xlpm.MyAuditVal),_xlpm.MacVal&lt;&gt;"",_xlpm.MacVal,_xlpm.CSVVal&lt;&gt;"",_xlpm.CSVVal
)),"")</f>
        <v/>
      </c>
      <c r="D1444" s="40" t="str" cm="1">
        <f t="array" ref="D1444">IFERROR(_xlfn.LET(
_xlpm.CSVVal,_xlfn.XLOOKUP($A1444,CSV!$A:$A,CSV!D:D,""),
_xlpm.MacVal,_xlfn.XLOOKUP($A1444,Output_Mac!$A:$A,Output_Mac!C:C,""),
_xlpm.MyAuditVal,_xlfn.XLOOKUP($A1444,My_Audit!$A:$A,My_Audit!C:C,""),
_xlfn.IFS(_xlpm.MyAuditVal&lt;&gt;"",_xlpm.MyAuditVal,_xlpm.MacVal&lt;&gt;"",_xlpm.MacVal,_xlpm.CSVVal&lt;&gt;"",_xlpm.CSVVal
)),"")</f>
        <v/>
      </c>
      <c r="E1444" s="40" t="str">
        <f>_xlfn.XLOOKUP(A1444,My_Audit!A:A,My_Audit!D:D,"")</f>
        <v/>
      </c>
      <c r="F1444" s="40" t="str" cm="1">
        <f t="array" ref="F1444">IFERROR(_xlfn.LET(
_xlpm.CSVVal,_xlfn.XLOOKUP($A1444,CSV!$A:$A,CSV!F:F,""),
_xlpm.MacVal,_xlfn.XLOOKUP($A1444,Output_Mac!$A:$A,Output_Mac!E:E,""),
_xlpm.MyAuditVal,_xlfn.XLOOKUP($A1444,My_Audit!$A:$A,My_Audit!E:E,""),
_xlfn.IFS(_xlpm.MyAuditVal&lt;&gt;"",_xlpm.MyAuditVal,_xlpm.MacVal&lt;&gt;"",_xlpm.MacVal,_xlpm.CSVVal&lt;&gt;"",_xlpm.CSVVal
)),"")</f>
        <v/>
      </c>
      <c r="G1444" s="40" t="str" cm="1">
        <f t="array" ref="G1444">IFERROR(_xlfn.LET(
_xlpm.CSVVal,_xlfn.XLOOKUP($A1444,CSV!$A:$A,CSV!G:G,""),
_xlpm.MacVal,_xlfn.XLOOKUP($A1444,Output_Mac!$A:$A,Output_Mac!F:F,""),
_xlpm.MyAuditVal,_xlfn.XLOOKUP($A1444,My_Audit!$A:$A,My_Audit!F:F,""),
_xlfn.IFS(_xlpm.MyAuditVal&lt;&gt;"",_xlpm.MyAuditVal,_xlpm.MacVal&lt;&gt;"",_xlpm.MacVal,_xlpm.CSVVal&lt;&gt;"",PROPER(_xlpm.CSVVal)
)),"")</f>
        <v/>
      </c>
      <c r="H1444" s="40" t="str" cm="1">
        <f t="array" ref="H1444">IFERROR(_xlfn.LET(
_xlpm.CSVVal,_xlfn.XLOOKUP($A1444,CSV!$A:$A,CSV!H:H,""),
_xlpm.MacVal,_xlfn.XLOOKUP($A1444,Output_Mac!$A:$A,Output_Mac!H:H,""),
_xlpm.MyAuditVal,_xlfn.XLOOKUP($A1444,My_Audit!$A:$A,My_Audit!G:G,""),
_xlfn.IFS(_xlpm.MyAuditVal&lt;&gt;"",_xlpm.MyAuditVal,_xlpm.MacVal&lt;&gt;"",_xlpm.MacVal,_xlpm.CSVVal&lt;&gt;"",_xlpm.CSVVal
)),"")</f>
        <v/>
      </c>
      <c r="I1444" s="40" t="str">
        <f>_xlfn.XLOOKUP(A1444,Output_Mac!A:A,Output_Mac!I:I,"")</f>
        <v/>
      </c>
      <c r="J1444" s="40" t="str" cm="1">
        <f t="array" ref="J1444">IFERROR(_xlfn.LET(
_xlpm.CSVVal,_xlfn.XLOOKUP($A1444,CSV!$A:$A,CSV!I:I,""),
_xlpm.MacVal,_xlfn.XLOOKUP($A1444,Output_Mac!$A:$A,Output_Mac!J:J,""),
_xlpm.MyAuditVal,_xlfn.XLOOKUP($A1444,My_Audit!$A:$A,My_Audit!I:I,""),
_xlfn.IFS(_xlpm.MyAuditVal&lt;&gt;"",UPPER(_xlpm.MyAuditVal),_xlpm.MacVal&lt;&gt;"",_xlpm.MacVal,_xlpm.CSVVal&lt;&gt;"",_xlpm.CSVVal
)),"")</f>
        <v/>
      </c>
      <c r="K1444" s="40" t="str" cm="1">
        <f t="array" ref="K1444">IFERROR(_xlfn.LET(
_xlpm.CSVVal,_xlfn.XLOOKUP($A1444,CSV!$A:$A,CSV!K:K,""),
_xlpm.MacVal,_xlfn.XLOOKUP($A1444,Output_Mac!$A:$A,Output_Mac!K:K,""),
_xlpm.MyAuditVal,_xlfn.XLOOKUP($A1444,My_Audit!$A:$A,My_Audit!J:J,""),
_xlfn.IFS(_xlpm.MyAuditVal&lt;&gt;"",UPPER(_xlpm.MyAuditVal),_xlpm.MacVal&lt;&gt;"",_xlpm.MacVal,_xlpm.CSVVal&lt;&gt;"",_xlpm.CSVVal
)),"")</f>
        <v/>
      </c>
      <c r="L1444" s="40" t="str" cm="1">
        <f t="array" ref="L1444">IFERROR(_xlfn.LET(
_xlpm.CSVVal,_xlfn.XLOOKUP($A1444,CSV!$A:$A,CSV!P:P,""),
_xlpm.MacVal,_xlfn.XLOOKUP($A1444,Output_Mac!$A:$A,Output_Mac!L:L,""),
_xlpm.MyAuditVal,_xlfn.XLOOKUP($A1444,My_Audit!$A:$A,My_Audit!K:K,""),
_xlfn.IFS(_xlpm.MyAuditVal&lt;&gt;"",UPPER(_xlpm.MyAuditVal),_xlpm.MacVal&lt;&gt;"",_xlpm.MacVal,_xlpm.CSVVal&lt;&gt;"",_xlpm.CSVVal
)),"")</f>
        <v/>
      </c>
      <c r="M1444" s="40" t="str" cm="1">
        <f t="array" ref="M1444">IFERROR(_xlfn.LET(
_xlpm.CSVVal,_xlfn.XLOOKUP($A1444,CSV!$A:$A,CSV!Q:Q,""),
_xlpm.MacVal,_xlfn.XLOOKUP($A1444,Output_Mac!$A:$A,Output_Mac!M:M,""),
_xlpm.MyAuditVal,_xlfn.XLOOKUP($A1444,My_Audit!$A:$A,My_Audit!L:L,""),
_xlfn.IFS(_xlpm.MyAuditVal&lt;&gt;"",UPPER(_xlpm.MyAuditVal),_xlpm.MacVal&lt;&gt;"",_xlpm.MacVal,_xlpm.CSVVal&lt;&gt;"",_xlpm.CSVVal
)),"")</f>
        <v/>
      </c>
      <c r="N1444" s="40"/>
      <c r="O1444" s="40" t="str">
        <f>_xlfn.LET(
    _xlpm.CSVVal, _xlfn.XLOOKUP($A1444, CSV!$A:$A, CSV!AA:AA, ""),
    _xlpm.MacVal, _xlfn.XLOOKUP($A1444, Output_Mac!$A:$A, Output_Mac!S:S, ""),
    _xlpm.MyAuditVal, _xlfn.XLOOKUP($A1444, My_Audit!$A:$A, My_Audit!P:P, ""),
    _xlfn.TEXTJOIN(", ", TRUE, _xlpm.MyAuditVal, _xlpm.MacVal, _xlpm.CSVVal)
)</f>
        <v/>
      </c>
      <c r="P1444" s="40" t="str" cm="1">
        <f t="array" ref="P1444">IFERROR(_xlfn.LET(
_xlpm.CSVVal,_xlfn.XLOOKUP($A1444,CSV!$A:$A,CSV!AB:AB,""),
_xlpm.MacVal,_xlfn.XLOOKUP($A1444,Output_Mac!$A:$A,Output_Mac!T:T,""),
_xlpm.MyAuditVal,_xlfn.XLOOKUP($A1444,My_Audit!$A:$A,My_Audit!Q:Q,""),
_xlfn.IFS(_xlpm.MyAuditVal&lt;&gt;"",UPPER(_xlpm.MyAuditVal),_xlpm.MacVal&lt;&gt;"",_xlpm.MacVal,_xlpm.CSVVal&lt;&gt;"",_xlpm.CSVVal
)),"No")</f>
        <v>No</v>
      </c>
      <c r="Q1444" s="40" t="str" cm="1">
        <f t="array" ref="Q1444">IFERROR(_xlfn.LET(
_xlpm.CSVVal,_xlfn.XLOOKUP($A1444,CSV!$A:$A,CSV!AC:AC,""),
_xlpm.MacVal,_xlfn.XLOOKUP($A1444,Output_Mac!$A:$A,Output_Mac!U:U,""),
_xlpm.MyAuditVal,_xlfn.XLOOKUP($A1444,My_Audit!$A:$A,My_Audit!R:R,""),
_xlfn.IFS(_xlpm.MyAuditVal&lt;&gt;"",UPPER(_xlpm.MyAuditVal),_xlpm.MacVal&lt;&gt;"",_xlpm.MacVal,_xlpm.CSVVal&lt;&gt;"",_xlpm.CSVVal
)),"")</f>
        <v/>
      </c>
      <c r="R1444" s="40"/>
      <c r="S1444" s="40"/>
      <c r="T1444" s="40"/>
      <c r="U1444" s="40"/>
      <c r="V1444" s="40"/>
      <c r="W1444" s="40"/>
      <c r="X1444" s="41" t="str">
        <f>_xlfn.LET(
    _xlpm.MacVal, _xlfn.XLOOKUP($A1444, Output_Mac!$A:$A, Output_Mac!AB:AB, ""),
    _xlpm.MyAuditVal, _xlfn.XLOOKUP($A1444, My_Audit!$A:$A, My_Audit!N:N, ""),
    _xlfn.TEXTJOIN(", ", TRUE, _xlpm.MyAuditVal, _xlpm.MacVal)
)</f>
        <v/>
      </c>
    </row>
    <row r="1445" spans="1:24">
      <c r="A1445" s="40" t="str">
        <f>_xlfn.TEXTJOIN("",TRUE,Input!$B$2,ROW(My_Audit!A1444))</f>
        <v>X1444</v>
      </c>
      <c r="B1445" s="40" t="str">
        <f>_xlfn.TEXTJOIN("-",TRUE,"ITD",Input!$A$2,A1445)</f>
        <v>ITD-X1444</v>
      </c>
      <c r="C1445" s="40" t="str" cm="1">
        <f t="array" ref="C1445">IFERROR(_xlfn.LET(
_xlpm.CSVVal,_xlfn.XLOOKUP($A1445,CSV!$A:$A,CSV!B:B,""),
_xlpm.MacVal,_xlfn.XLOOKUP($A1445,Output_Mac!$A:$A,Output_Mac!B:B,""),
_xlpm.MyAuditVal,_xlfn.XLOOKUP($A1445,My_Audit!$A:$A,My_Audit!B:B,""),
_xlfn.IFS(_xlpm.MyAuditVal&lt;&gt;"",UPPER(_xlpm.MyAuditVal),_xlpm.MacVal&lt;&gt;"",_xlpm.MacVal,_xlpm.CSVVal&lt;&gt;"",_xlpm.CSVVal
)),"")</f>
        <v/>
      </c>
      <c r="D1445" s="40" t="str" cm="1">
        <f t="array" ref="D1445">IFERROR(_xlfn.LET(
_xlpm.CSVVal,_xlfn.XLOOKUP($A1445,CSV!$A:$A,CSV!D:D,""),
_xlpm.MacVal,_xlfn.XLOOKUP($A1445,Output_Mac!$A:$A,Output_Mac!C:C,""),
_xlpm.MyAuditVal,_xlfn.XLOOKUP($A1445,My_Audit!$A:$A,My_Audit!C:C,""),
_xlfn.IFS(_xlpm.MyAuditVal&lt;&gt;"",_xlpm.MyAuditVal,_xlpm.MacVal&lt;&gt;"",_xlpm.MacVal,_xlpm.CSVVal&lt;&gt;"",_xlpm.CSVVal
)),"")</f>
        <v/>
      </c>
      <c r="E1445" s="40" t="str">
        <f>_xlfn.XLOOKUP(A1445,My_Audit!A:A,My_Audit!D:D,"")</f>
        <v/>
      </c>
      <c r="F1445" s="40" t="str" cm="1">
        <f t="array" ref="F1445">IFERROR(_xlfn.LET(
_xlpm.CSVVal,_xlfn.XLOOKUP($A1445,CSV!$A:$A,CSV!F:F,""),
_xlpm.MacVal,_xlfn.XLOOKUP($A1445,Output_Mac!$A:$A,Output_Mac!E:E,""),
_xlpm.MyAuditVal,_xlfn.XLOOKUP($A1445,My_Audit!$A:$A,My_Audit!E:E,""),
_xlfn.IFS(_xlpm.MyAuditVal&lt;&gt;"",_xlpm.MyAuditVal,_xlpm.MacVal&lt;&gt;"",_xlpm.MacVal,_xlpm.CSVVal&lt;&gt;"",_xlpm.CSVVal
)),"")</f>
        <v/>
      </c>
      <c r="G1445" s="40" t="str" cm="1">
        <f t="array" ref="G1445">IFERROR(_xlfn.LET(
_xlpm.CSVVal,_xlfn.XLOOKUP($A1445,CSV!$A:$A,CSV!G:G,""),
_xlpm.MacVal,_xlfn.XLOOKUP($A1445,Output_Mac!$A:$A,Output_Mac!F:F,""),
_xlpm.MyAuditVal,_xlfn.XLOOKUP($A1445,My_Audit!$A:$A,My_Audit!F:F,""),
_xlfn.IFS(_xlpm.MyAuditVal&lt;&gt;"",_xlpm.MyAuditVal,_xlpm.MacVal&lt;&gt;"",_xlpm.MacVal,_xlpm.CSVVal&lt;&gt;"",PROPER(_xlpm.CSVVal)
)),"")</f>
        <v/>
      </c>
      <c r="H1445" s="40" t="str" cm="1">
        <f t="array" ref="H1445">IFERROR(_xlfn.LET(
_xlpm.CSVVal,_xlfn.XLOOKUP($A1445,CSV!$A:$A,CSV!H:H,""),
_xlpm.MacVal,_xlfn.XLOOKUP($A1445,Output_Mac!$A:$A,Output_Mac!H:H,""),
_xlpm.MyAuditVal,_xlfn.XLOOKUP($A1445,My_Audit!$A:$A,My_Audit!G:G,""),
_xlfn.IFS(_xlpm.MyAuditVal&lt;&gt;"",_xlpm.MyAuditVal,_xlpm.MacVal&lt;&gt;"",_xlpm.MacVal,_xlpm.CSVVal&lt;&gt;"",_xlpm.CSVVal
)),"")</f>
        <v/>
      </c>
      <c r="I1445" s="40" t="str">
        <f>_xlfn.XLOOKUP(A1445,Output_Mac!A:A,Output_Mac!I:I,"")</f>
        <v/>
      </c>
      <c r="J1445" s="40" t="str" cm="1">
        <f t="array" ref="J1445">IFERROR(_xlfn.LET(
_xlpm.CSVVal,_xlfn.XLOOKUP($A1445,CSV!$A:$A,CSV!I:I,""),
_xlpm.MacVal,_xlfn.XLOOKUP($A1445,Output_Mac!$A:$A,Output_Mac!J:J,""),
_xlpm.MyAuditVal,_xlfn.XLOOKUP($A1445,My_Audit!$A:$A,My_Audit!I:I,""),
_xlfn.IFS(_xlpm.MyAuditVal&lt;&gt;"",UPPER(_xlpm.MyAuditVal),_xlpm.MacVal&lt;&gt;"",_xlpm.MacVal,_xlpm.CSVVal&lt;&gt;"",_xlpm.CSVVal
)),"")</f>
        <v/>
      </c>
      <c r="K1445" s="40" t="str" cm="1">
        <f t="array" ref="K1445">IFERROR(_xlfn.LET(
_xlpm.CSVVal,_xlfn.XLOOKUP($A1445,CSV!$A:$A,CSV!K:K,""),
_xlpm.MacVal,_xlfn.XLOOKUP($A1445,Output_Mac!$A:$A,Output_Mac!K:K,""),
_xlpm.MyAuditVal,_xlfn.XLOOKUP($A1445,My_Audit!$A:$A,My_Audit!J:J,""),
_xlfn.IFS(_xlpm.MyAuditVal&lt;&gt;"",UPPER(_xlpm.MyAuditVal),_xlpm.MacVal&lt;&gt;"",_xlpm.MacVal,_xlpm.CSVVal&lt;&gt;"",_xlpm.CSVVal
)),"")</f>
        <v/>
      </c>
      <c r="L1445" s="40" t="str" cm="1">
        <f t="array" ref="L1445">IFERROR(_xlfn.LET(
_xlpm.CSVVal,_xlfn.XLOOKUP($A1445,CSV!$A:$A,CSV!P:P,""),
_xlpm.MacVal,_xlfn.XLOOKUP($A1445,Output_Mac!$A:$A,Output_Mac!L:L,""),
_xlpm.MyAuditVal,_xlfn.XLOOKUP($A1445,My_Audit!$A:$A,My_Audit!K:K,""),
_xlfn.IFS(_xlpm.MyAuditVal&lt;&gt;"",UPPER(_xlpm.MyAuditVal),_xlpm.MacVal&lt;&gt;"",_xlpm.MacVal,_xlpm.CSVVal&lt;&gt;"",_xlpm.CSVVal
)),"")</f>
        <v/>
      </c>
      <c r="M1445" s="40" t="str" cm="1">
        <f t="array" ref="M1445">IFERROR(_xlfn.LET(
_xlpm.CSVVal,_xlfn.XLOOKUP($A1445,CSV!$A:$A,CSV!Q:Q,""),
_xlpm.MacVal,_xlfn.XLOOKUP($A1445,Output_Mac!$A:$A,Output_Mac!M:M,""),
_xlpm.MyAuditVal,_xlfn.XLOOKUP($A1445,My_Audit!$A:$A,My_Audit!L:L,""),
_xlfn.IFS(_xlpm.MyAuditVal&lt;&gt;"",UPPER(_xlpm.MyAuditVal),_xlpm.MacVal&lt;&gt;"",_xlpm.MacVal,_xlpm.CSVVal&lt;&gt;"",_xlpm.CSVVal
)),"")</f>
        <v/>
      </c>
      <c r="N1445" s="40"/>
      <c r="O1445" s="40" t="str">
        <f>_xlfn.LET(
    _xlpm.CSVVal, _xlfn.XLOOKUP($A1445, CSV!$A:$A, CSV!AA:AA, ""),
    _xlpm.MacVal, _xlfn.XLOOKUP($A1445, Output_Mac!$A:$A, Output_Mac!S:S, ""),
    _xlpm.MyAuditVal, _xlfn.XLOOKUP($A1445, My_Audit!$A:$A, My_Audit!P:P, ""),
    _xlfn.TEXTJOIN(", ", TRUE, _xlpm.MyAuditVal, _xlpm.MacVal, _xlpm.CSVVal)
)</f>
        <v/>
      </c>
      <c r="P1445" s="40" t="str" cm="1">
        <f t="array" ref="P1445">IFERROR(_xlfn.LET(
_xlpm.CSVVal,_xlfn.XLOOKUP($A1445,CSV!$A:$A,CSV!AB:AB,""),
_xlpm.MacVal,_xlfn.XLOOKUP($A1445,Output_Mac!$A:$A,Output_Mac!T:T,""),
_xlpm.MyAuditVal,_xlfn.XLOOKUP($A1445,My_Audit!$A:$A,My_Audit!Q:Q,""),
_xlfn.IFS(_xlpm.MyAuditVal&lt;&gt;"",UPPER(_xlpm.MyAuditVal),_xlpm.MacVal&lt;&gt;"",_xlpm.MacVal,_xlpm.CSVVal&lt;&gt;"",_xlpm.CSVVal
)),"No")</f>
        <v>No</v>
      </c>
      <c r="Q1445" s="40" t="str" cm="1">
        <f t="array" ref="Q1445">IFERROR(_xlfn.LET(
_xlpm.CSVVal,_xlfn.XLOOKUP($A1445,CSV!$A:$A,CSV!AC:AC,""),
_xlpm.MacVal,_xlfn.XLOOKUP($A1445,Output_Mac!$A:$A,Output_Mac!U:U,""),
_xlpm.MyAuditVal,_xlfn.XLOOKUP($A1445,My_Audit!$A:$A,My_Audit!R:R,""),
_xlfn.IFS(_xlpm.MyAuditVal&lt;&gt;"",UPPER(_xlpm.MyAuditVal),_xlpm.MacVal&lt;&gt;"",_xlpm.MacVal,_xlpm.CSVVal&lt;&gt;"",_xlpm.CSVVal
)),"")</f>
        <v/>
      </c>
      <c r="R1445" s="40"/>
      <c r="S1445" s="40"/>
      <c r="T1445" s="40"/>
      <c r="U1445" s="40"/>
      <c r="V1445" s="40"/>
      <c r="W1445" s="40"/>
      <c r="X1445" s="41" t="str">
        <f>_xlfn.LET(
    _xlpm.MacVal, _xlfn.XLOOKUP($A1445, Output_Mac!$A:$A, Output_Mac!AB:AB, ""),
    _xlpm.MyAuditVal, _xlfn.XLOOKUP($A1445, My_Audit!$A:$A, My_Audit!N:N, ""),
    _xlfn.TEXTJOIN(", ", TRUE, _xlpm.MyAuditVal, _xlpm.MacVal)
)</f>
        <v/>
      </c>
    </row>
    <row r="1446" spans="1:24">
      <c r="A1446" s="40" t="str">
        <f>_xlfn.TEXTJOIN("",TRUE,Input!$B$2,ROW(My_Audit!A1445))</f>
        <v>X1445</v>
      </c>
      <c r="B1446" s="40" t="str">
        <f>_xlfn.TEXTJOIN("-",TRUE,"ITD",Input!$A$2,A1446)</f>
        <v>ITD-X1445</v>
      </c>
      <c r="C1446" s="40" t="str" cm="1">
        <f t="array" ref="C1446">IFERROR(_xlfn.LET(
_xlpm.CSVVal,_xlfn.XLOOKUP($A1446,CSV!$A:$A,CSV!B:B,""),
_xlpm.MacVal,_xlfn.XLOOKUP($A1446,Output_Mac!$A:$A,Output_Mac!B:B,""),
_xlpm.MyAuditVal,_xlfn.XLOOKUP($A1446,My_Audit!$A:$A,My_Audit!B:B,""),
_xlfn.IFS(_xlpm.MyAuditVal&lt;&gt;"",UPPER(_xlpm.MyAuditVal),_xlpm.MacVal&lt;&gt;"",_xlpm.MacVal,_xlpm.CSVVal&lt;&gt;"",_xlpm.CSVVal
)),"")</f>
        <v/>
      </c>
      <c r="D1446" s="40" t="str" cm="1">
        <f t="array" ref="D1446">IFERROR(_xlfn.LET(
_xlpm.CSVVal,_xlfn.XLOOKUP($A1446,CSV!$A:$A,CSV!D:D,""),
_xlpm.MacVal,_xlfn.XLOOKUP($A1446,Output_Mac!$A:$A,Output_Mac!C:C,""),
_xlpm.MyAuditVal,_xlfn.XLOOKUP($A1446,My_Audit!$A:$A,My_Audit!C:C,""),
_xlfn.IFS(_xlpm.MyAuditVal&lt;&gt;"",_xlpm.MyAuditVal,_xlpm.MacVal&lt;&gt;"",_xlpm.MacVal,_xlpm.CSVVal&lt;&gt;"",_xlpm.CSVVal
)),"")</f>
        <v/>
      </c>
      <c r="E1446" s="40" t="str">
        <f>_xlfn.XLOOKUP(A1446,My_Audit!A:A,My_Audit!D:D,"")</f>
        <v/>
      </c>
      <c r="F1446" s="40" t="str" cm="1">
        <f t="array" ref="F1446">IFERROR(_xlfn.LET(
_xlpm.CSVVal,_xlfn.XLOOKUP($A1446,CSV!$A:$A,CSV!F:F,""),
_xlpm.MacVal,_xlfn.XLOOKUP($A1446,Output_Mac!$A:$A,Output_Mac!E:E,""),
_xlpm.MyAuditVal,_xlfn.XLOOKUP($A1446,My_Audit!$A:$A,My_Audit!E:E,""),
_xlfn.IFS(_xlpm.MyAuditVal&lt;&gt;"",_xlpm.MyAuditVal,_xlpm.MacVal&lt;&gt;"",_xlpm.MacVal,_xlpm.CSVVal&lt;&gt;"",_xlpm.CSVVal
)),"")</f>
        <v/>
      </c>
      <c r="G1446" s="40" t="str" cm="1">
        <f t="array" ref="G1446">IFERROR(_xlfn.LET(
_xlpm.CSVVal,_xlfn.XLOOKUP($A1446,CSV!$A:$A,CSV!G:G,""),
_xlpm.MacVal,_xlfn.XLOOKUP($A1446,Output_Mac!$A:$A,Output_Mac!F:F,""),
_xlpm.MyAuditVal,_xlfn.XLOOKUP($A1446,My_Audit!$A:$A,My_Audit!F:F,""),
_xlfn.IFS(_xlpm.MyAuditVal&lt;&gt;"",_xlpm.MyAuditVal,_xlpm.MacVal&lt;&gt;"",_xlpm.MacVal,_xlpm.CSVVal&lt;&gt;"",PROPER(_xlpm.CSVVal)
)),"")</f>
        <v/>
      </c>
      <c r="H1446" s="40" t="str" cm="1">
        <f t="array" ref="H1446">IFERROR(_xlfn.LET(
_xlpm.CSVVal,_xlfn.XLOOKUP($A1446,CSV!$A:$A,CSV!H:H,""),
_xlpm.MacVal,_xlfn.XLOOKUP($A1446,Output_Mac!$A:$A,Output_Mac!H:H,""),
_xlpm.MyAuditVal,_xlfn.XLOOKUP($A1446,My_Audit!$A:$A,My_Audit!G:G,""),
_xlfn.IFS(_xlpm.MyAuditVal&lt;&gt;"",_xlpm.MyAuditVal,_xlpm.MacVal&lt;&gt;"",_xlpm.MacVal,_xlpm.CSVVal&lt;&gt;"",_xlpm.CSVVal
)),"")</f>
        <v/>
      </c>
      <c r="I1446" s="40" t="str">
        <f>_xlfn.XLOOKUP(A1446,Output_Mac!A:A,Output_Mac!I:I,"")</f>
        <v/>
      </c>
      <c r="J1446" s="40" t="str" cm="1">
        <f t="array" ref="J1446">IFERROR(_xlfn.LET(
_xlpm.CSVVal,_xlfn.XLOOKUP($A1446,CSV!$A:$A,CSV!I:I,""),
_xlpm.MacVal,_xlfn.XLOOKUP($A1446,Output_Mac!$A:$A,Output_Mac!J:J,""),
_xlpm.MyAuditVal,_xlfn.XLOOKUP($A1446,My_Audit!$A:$A,My_Audit!I:I,""),
_xlfn.IFS(_xlpm.MyAuditVal&lt;&gt;"",UPPER(_xlpm.MyAuditVal),_xlpm.MacVal&lt;&gt;"",_xlpm.MacVal,_xlpm.CSVVal&lt;&gt;"",_xlpm.CSVVal
)),"")</f>
        <v/>
      </c>
      <c r="K1446" s="40" t="str" cm="1">
        <f t="array" ref="K1446">IFERROR(_xlfn.LET(
_xlpm.CSVVal,_xlfn.XLOOKUP($A1446,CSV!$A:$A,CSV!K:K,""),
_xlpm.MacVal,_xlfn.XLOOKUP($A1446,Output_Mac!$A:$A,Output_Mac!K:K,""),
_xlpm.MyAuditVal,_xlfn.XLOOKUP($A1446,My_Audit!$A:$A,My_Audit!J:J,""),
_xlfn.IFS(_xlpm.MyAuditVal&lt;&gt;"",UPPER(_xlpm.MyAuditVal),_xlpm.MacVal&lt;&gt;"",_xlpm.MacVal,_xlpm.CSVVal&lt;&gt;"",_xlpm.CSVVal
)),"")</f>
        <v/>
      </c>
      <c r="L1446" s="40" t="str" cm="1">
        <f t="array" ref="L1446">IFERROR(_xlfn.LET(
_xlpm.CSVVal,_xlfn.XLOOKUP($A1446,CSV!$A:$A,CSV!P:P,""),
_xlpm.MacVal,_xlfn.XLOOKUP($A1446,Output_Mac!$A:$A,Output_Mac!L:L,""),
_xlpm.MyAuditVal,_xlfn.XLOOKUP($A1446,My_Audit!$A:$A,My_Audit!K:K,""),
_xlfn.IFS(_xlpm.MyAuditVal&lt;&gt;"",UPPER(_xlpm.MyAuditVal),_xlpm.MacVal&lt;&gt;"",_xlpm.MacVal,_xlpm.CSVVal&lt;&gt;"",_xlpm.CSVVal
)),"")</f>
        <v/>
      </c>
      <c r="M1446" s="40" t="str" cm="1">
        <f t="array" ref="M1446">IFERROR(_xlfn.LET(
_xlpm.CSVVal,_xlfn.XLOOKUP($A1446,CSV!$A:$A,CSV!Q:Q,""),
_xlpm.MacVal,_xlfn.XLOOKUP($A1446,Output_Mac!$A:$A,Output_Mac!M:M,""),
_xlpm.MyAuditVal,_xlfn.XLOOKUP($A1446,My_Audit!$A:$A,My_Audit!L:L,""),
_xlfn.IFS(_xlpm.MyAuditVal&lt;&gt;"",UPPER(_xlpm.MyAuditVal),_xlpm.MacVal&lt;&gt;"",_xlpm.MacVal,_xlpm.CSVVal&lt;&gt;"",_xlpm.CSVVal
)),"")</f>
        <v/>
      </c>
      <c r="N1446" s="40"/>
      <c r="O1446" s="40" t="str">
        <f>_xlfn.LET(
    _xlpm.CSVVal, _xlfn.XLOOKUP($A1446, CSV!$A:$A, CSV!AA:AA, ""),
    _xlpm.MacVal, _xlfn.XLOOKUP($A1446, Output_Mac!$A:$A, Output_Mac!S:S, ""),
    _xlpm.MyAuditVal, _xlfn.XLOOKUP($A1446, My_Audit!$A:$A, My_Audit!P:P, ""),
    _xlfn.TEXTJOIN(", ", TRUE, _xlpm.MyAuditVal, _xlpm.MacVal, _xlpm.CSVVal)
)</f>
        <v/>
      </c>
      <c r="P1446" s="40" t="str" cm="1">
        <f t="array" ref="P1446">IFERROR(_xlfn.LET(
_xlpm.CSVVal,_xlfn.XLOOKUP($A1446,CSV!$A:$A,CSV!AB:AB,""),
_xlpm.MacVal,_xlfn.XLOOKUP($A1446,Output_Mac!$A:$A,Output_Mac!T:T,""),
_xlpm.MyAuditVal,_xlfn.XLOOKUP($A1446,My_Audit!$A:$A,My_Audit!Q:Q,""),
_xlfn.IFS(_xlpm.MyAuditVal&lt;&gt;"",UPPER(_xlpm.MyAuditVal),_xlpm.MacVal&lt;&gt;"",_xlpm.MacVal,_xlpm.CSVVal&lt;&gt;"",_xlpm.CSVVal
)),"No")</f>
        <v>No</v>
      </c>
      <c r="Q1446" s="40" t="str" cm="1">
        <f t="array" ref="Q1446">IFERROR(_xlfn.LET(
_xlpm.CSVVal,_xlfn.XLOOKUP($A1446,CSV!$A:$A,CSV!AC:AC,""),
_xlpm.MacVal,_xlfn.XLOOKUP($A1446,Output_Mac!$A:$A,Output_Mac!U:U,""),
_xlpm.MyAuditVal,_xlfn.XLOOKUP($A1446,My_Audit!$A:$A,My_Audit!R:R,""),
_xlfn.IFS(_xlpm.MyAuditVal&lt;&gt;"",UPPER(_xlpm.MyAuditVal),_xlpm.MacVal&lt;&gt;"",_xlpm.MacVal,_xlpm.CSVVal&lt;&gt;"",_xlpm.CSVVal
)),"")</f>
        <v/>
      </c>
      <c r="R1446" s="40"/>
      <c r="S1446" s="40"/>
      <c r="T1446" s="40"/>
      <c r="U1446" s="40"/>
      <c r="V1446" s="40"/>
      <c r="W1446" s="40"/>
      <c r="X1446" s="41" t="str">
        <f>_xlfn.LET(
    _xlpm.MacVal, _xlfn.XLOOKUP($A1446, Output_Mac!$A:$A, Output_Mac!AB:AB, ""),
    _xlpm.MyAuditVal, _xlfn.XLOOKUP($A1446, My_Audit!$A:$A, My_Audit!N:N, ""),
    _xlfn.TEXTJOIN(", ", TRUE, _xlpm.MyAuditVal, _xlpm.MacVal)
)</f>
        <v/>
      </c>
    </row>
    <row r="1447" spans="1:24">
      <c r="A1447" s="40" t="str">
        <f>_xlfn.TEXTJOIN("",TRUE,Input!$B$2,ROW(My_Audit!A1446))</f>
        <v>X1446</v>
      </c>
      <c r="B1447" s="40" t="str">
        <f>_xlfn.TEXTJOIN("-",TRUE,"ITD",Input!$A$2,A1447)</f>
        <v>ITD-X1446</v>
      </c>
      <c r="C1447" s="40" t="str" cm="1">
        <f t="array" ref="C1447">IFERROR(_xlfn.LET(
_xlpm.CSVVal,_xlfn.XLOOKUP($A1447,CSV!$A:$A,CSV!B:B,""),
_xlpm.MacVal,_xlfn.XLOOKUP($A1447,Output_Mac!$A:$A,Output_Mac!B:B,""),
_xlpm.MyAuditVal,_xlfn.XLOOKUP($A1447,My_Audit!$A:$A,My_Audit!B:B,""),
_xlfn.IFS(_xlpm.MyAuditVal&lt;&gt;"",UPPER(_xlpm.MyAuditVal),_xlpm.MacVal&lt;&gt;"",_xlpm.MacVal,_xlpm.CSVVal&lt;&gt;"",_xlpm.CSVVal
)),"")</f>
        <v/>
      </c>
      <c r="D1447" s="40" t="str" cm="1">
        <f t="array" ref="D1447">IFERROR(_xlfn.LET(
_xlpm.CSVVal,_xlfn.XLOOKUP($A1447,CSV!$A:$A,CSV!D:D,""),
_xlpm.MacVal,_xlfn.XLOOKUP($A1447,Output_Mac!$A:$A,Output_Mac!C:C,""),
_xlpm.MyAuditVal,_xlfn.XLOOKUP($A1447,My_Audit!$A:$A,My_Audit!C:C,""),
_xlfn.IFS(_xlpm.MyAuditVal&lt;&gt;"",_xlpm.MyAuditVal,_xlpm.MacVal&lt;&gt;"",_xlpm.MacVal,_xlpm.CSVVal&lt;&gt;"",_xlpm.CSVVal
)),"")</f>
        <v/>
      </c>
      <c r="E1447" s="40" t="str">
        <f>_xlfn.XLOOKUP(A1447,My_Audit!A:A,My_Audit!D:D,"")</f>
        <v/>
      </c>
      <c r="F1447" s="40" t="str" cm="1">
        <f t="array" ref="F1447">IFERROR(_xlfn.LET(
_xlpm.CSVVal,_xlfn.XLOOKUP($A1447,CSV!$A:$A,CSV!F:F,""),
_xlpm.MacVal,_xlfn.XLOOKUP($A1447,Output_Mac!$A:$A,Output_Mac!E:E,""),
_xlpm.MyAuditVal,_xlfn.XLOOKUP($A1447,My_Audit!$A:$A,My_Audit!E:E,""),
_xlfn.IFS(_xlpm.MyAuditVal&lt;&gt;"",_xlpm.MyAuditVal,_xlpm.MacVal&lt;&gt;"",_xlpm.MacVal,_xlpm.CSVVal&lt;&gt;"",_xlpm.CSVVal
)),"")</f>
        <v/>
      </c>
      <c r="G1447" s="40" t="str" cm="1">
        <f t="array" ref="G1447">IFERROR(_xlfn.LET(
_xlpm.CSVVal,_xlfn.XLOOKUP($A1447,CSV!$A:$A,CSV!G:G,""),
_xlpm.MacVal,_xlfn.XLOOKUP($A1447,Output_Mac!$A:$A,Output_Mac!F:F,""),
_xlpm.MyAuditVal,_xlfn.XLOOKUP($A1447,My_Audit!$A:$A,My_Audit!F:F,""),
_xlfn.IFS(_xlpm.MyAuditVal&lt;&gt;"",_xlpm.MyAuditVal,_xlpm.MacVal&lt;&gt;"",_xlpm.MacVal,_xlpm.CSVVal&lt;&gt;"",PROPER(_xlpm.CSVVal)
)),"")</f>
        <v/>
      </c>
      <c r="H1447" s="40" t="str" cm="1">
        <f t="array" ref="H1447">IFERROR(_xlfn.LET(
_xlpm.CSVVal,_xlfn.XLOOKUP($A1447,CSV!$A:$A,CSV!H:H,""),
_xlpm.MacVal,_xlfn.XLOOKUP($A1447,Output_Mac!$A:$A,Output_Mac!H:H,""),
_xlpm.MyAuditVal,_xlfn.XLOOKUP($A1447,My_Audit!$A:$A,My_Audit!G:G,""),
_xlfn.IFS(_xlpm.MyAuditVal&lt;&gt;"",_xlpm.MyAuditVal,_xlpm.MacVal&lt;&gt;"",_xlpm.MacVal,_xlpm.CSVVal&lt;&gt;"",_xlpm.CSVVal
)),"")</f>
        <v/>
      </c>
      <c r="I1447" s="40" t="str">
        <f>_xlfn.XLOOKUP(A1447,Output_Mac!A:A,Output_Mac!I:I,"")</f>
        <v/>
      </c>
      <c r="J1447" s="40" t="str" cm="1">
        <f t="array" ref="J1447">IFERROR(_xlfn.LET(
_xlpm.CSVVal,_xlfn.XLOOKUP($A1447,CSV!$A:$A,CSV!I:I,""),
_xlpm.MacVal,_xlfn.XLOOKUP($A1447,Output_Mac!$A:$A,Output_Mac!J:J,""),
_xlpm.MyAuditVal,_xlfn.XLOOKUP($A1447,My_Audit!$A:$A,My_Audit!I:I,""),
_xlfn.IFS(_xlpm.MyAuditVal&lt;&gt;"",UPPER(_xlpm.MyAuditVal),_xlpm.MacVal&lt;&gt;"",_xlpm.MacVal,_xlpm.CSVVal&lt;&gt;"",_xlpm.CSVVal
)),"")</f>
        <v/>
      </c>
      <c r="K1447" s="40" t="str" cm="1">
        <f t="array" ref="K1447">IFERROR(_xlfn.LET(
_xlpm.CSVVal,_xlfn.XLOOKUP($A1447,CSV!$A:$A,CSV!K:K,""),
_xlpm.MacVal,_xlfn.XLOOKUP($A1447,Output_Mac!$A:$A,Output_Mac!K:K,""),
_xlpm.MyAuditVal,_xlfn.XLOOKUP($A1447,My_Audit!$A:$A,My_Audit!J:J,""),
_xlfn.IFS(_xlpm.MyAuditVal&lt;&gt;"",UPPER(_xlpm.MyAuditVal),_xlpm.MacVal&lt;&gt;"",_xlpm.MacVal,_xlpm.CSVVal&lt;&gt;"",_xlpm.CSVVal
)),"")</f>
        <v/>
      </c>
      <c r="L1447" s="40" t="str" cm="1">
        <f t="array" ref="L1447">IFERROR(_xlfn.LET(
_xlpm.CSVVal,_xlfn.XLOOKUP($A1447,CSV!$A:$A,CSV!P:P,""),
_xlpm.MacVal,_xlfn.XLOOKUP($A1447,Output_Mac!$A:$A,Output_Mac!L:L,""),
_xlpm.MyAuditVal,_xlfn.XLOOKUP($A1447,My_Audit!$A:$A,My_Audit!K:K,""),
_xlfn.IFS(_xlpm.MyAuditVal&lt;&gt;"",UPPER(_xlpm.MyAuditVal),_xlpm.MacVal&lt;&gt;"",_xlpm.MacVal,_xlpm.CSVVal&lt;&gt;"",_xlpm.CSVVal
)),"")</f>
        <v/>
      </c>
      <c r="M1447" s="40" t="str" cm="1">
        <f t="array" ref="M1447">IFERROR(_xlfn.LET(
_xlpm.CSVVal,_xlfn.XLOOKUP($A1447,CSV!$A:$A,CSV!Q:Q,""),
_xlpm.MacVal,_xlfn.XLOOKUP($A1447,Output_Mac!$A:$A,Output_Mac!M:M,""),
_xlpm.MyAuditVal,_xlfn.XLOOKUP($A1447,My_Audit!$A:$A,My_Audit!L:L,""),
_xlfn.IFS(_xlpm.MyAuditVal&lt;&gt;"",UPPER(_xlpm.MyAuditVal),_xlpm.MacVal&lt;&gt;"",_xlpm.MacVal,_xlpm.CSVVal&lt;&gt;"",_xlpm.CSVVal
)),"")</f>
        <v/>
      </c>
      <c r="N1447" s="40"/>
      <c r="O1447" s="40" t="str">
        <f>_xlfn.LET(
    _xlpm.CSVVal, _xlfn.XLOOKUP($A1447, CSV!$A:$A, CSV!AA:AA, ""),
    _xlpm.MacVal, _xlfn.XLOOKUP($A1447, Output_Mac!$A:$A, Output_Mac!S:S, ""),
    _xlpm.MyAuditVal, _xlfn.XLOOKUP($A1447, My_Audit!$A:$A, My_Audit!P:P, ""),
    _xlfn.TEXTJOIN(", ", TRUE, _xlpm.MyAuditVal, _xlpm.MacVal, _xlpm.CSVVal)
)</f>
        <v/>
      </c>
      <c r="P1447" s="40" t="str" cm="1">
        <f t="array" ref="P1447">IFERROR(_xlfn.LET(
_xlpm.CSVVal,_xlfn.XLOOKUP($A1447,CSV!$A:$A,CSV!AB:AB,""),
_xlpm.MacVal,_xlfn.XLOOKUP($A1447,Output_Mac!$A:$A,Output_Mac!T:T,""),
_xlpm.MyAuditVal,_xlfn.XLOOKUP($A1447,My_Audit!$A:$A,My_Audit!Q:Q,""),
_xlfn.IFS(_xlpm.MyAuditVal&lt;&gt;"",UPPER(_xlpm.MyAuditVal),_xlpm.MacVal&lt;&gt;"",_xlpm.MacVal,_xlpm.CSVVal&lt;&gt;"",_xlpm.CSVVal
)),"No")</f>
        <v>No</v>
      </c>
      <c r="Q1447" s="40" t="str" cm="1">
        <f t="array" ref="Q1447">IFERROR(_xlfn.LET(
_xlpm.CSVVal,_xlfn.XLOOKUP($A1447,CSV!$A:$A,CSV!AC:AC,""),
_xlpm.MacVal,_xlfn.XLOOKUP($A1447,Output_Mac!$A:$A,Output_Mac!U:U,""),
_xlpm.MyAuditVal,_xlfn.XLOOKUP($A1447,My_Audit!$A:$A,My_Audit!R:R,""),
_xlfn.IFS(_xlpm.MyAuditVal&lt;&gt;"",UPPER(_xlpm.MyAuditVal),_xlpm.MacVal&lt;&gt;"",_xlpm.MacVal,_xlpm.CSVVal&lt;&gt;"",_xlpm.CSVVal
)),"")</f>
        <v/>
      </c>
      <c r="R1447" s="40"/>
      <c r="S1447" s="40"/>
      <c r="T1447" s="40"/>
      <c r="U1447" s="40"/>
      <c r="V1447" s="40"/>
      <c r="W1447" s="40"/>
      <c r="X1447" s="41" t="str">
        <f>_xlfn.LET(
    _xlpm.MacVal, _xlfn.XLOOKUP($A1447, Output_Mac!$A:$A, Output_Mac!AB:AB, ""),
    _xlpm.MyAuditVal, _xlfn.XLOOKUP($A1447, My_Audit!$A:$A, My_Audit!N:N, ""),
    _xlfn.TEXTJOIN(", ", TRUE, _xlpm.MyAuditVal, _xlpm.MacVal)
)</f>
        <v/>
      </c>
    </row>
    <row r="1448" spans="1:24">
      <c r="A1448" s="40" t="str">
        <f>_xlfn.TEXTJOIN("",TRUE,Input!$B$2,ROW(My_Audit!A1447))</f>
        <v>X1447</v>
      </c>
      <c r="B1448" s="40" t="str">
        <f>_xlfn.TEXTJOIN("-",TRUE,"ITD",Input!$A$2,A1448)</f>
        <v>ITD-X1447</v>
      </c>
      <c r="C1448" s="40" t="str" cm="1">
        <f t="array" ref="C1448">IFERROR(_xlfn.LET(
_xlpm.CSVVal,_xlfn.XLOOKUP($A1448,CSV!$A:$A,CSV!B:B,""),
_xlpm.MacVal,_xlfn.XLOOKUP($A1448,Output_Mac!$A:$A,Output_Mac!B:B,""),
_xlpm.MyAuditVal,_xlfn.XLOOKUP($A1448,My_Audit!$A:$A,My_Audit!B:B,""),
_xlfn.IFS(_xlpm.MyAuditVal&lt;&gt;"",UPPER(_xlpm.MyAuditVal),_xlpm.MacVal&lt;&gt;"",_xlpm.MacVal,_xlpm.CSVVal&lt;&gt;"",_xlpm.CSVVal
)),"")</f>
        <v/>
      </c>
      <c r="D1448" s="40" t="str" cm="1">
        <f t="array" ref="D1448">IFERROR(_xlfn.LET(
_xlpm.CSVVal,_xlfn.XLOOKUP($A1448,CSV!$A:$A,CSV!D:D,""),
_xlpm.MacVal,_xlfn.XLOOKUP($A1448,Output_Mac!$A:$A,Output_Mac!C:C,""),
_xlpm.MyAuditVal,_xlfn.XLOOKUP($A1448,My_Audit!$A:$A,My_Audit!C:C,""),
_xlfn.IFS(_xlpm.MyAuditVal&lt;&gt;"",_xlpm.MyAuditVal,_xlpm.MacVal&lt;&gt;"",_xlpm.MacVal,_xlpm.CSVVal&lt;&gt;"",_xlpm.CSVVal
)),"")</f>
        <v/>
      </c>
      <c r="E1448" s="40" t="str">
        <f>_xlfn.XLOOKUP(A1448,My_Audit!A:A,My_Audit!D:D,"")</f>
        <v/>
      </c>
      <c r="F1448" s="40" t="str" cm="1">
        <f t="array" ref="F1448">IFERROR(_xlfn.LET(
_xlpm.CSVVal,_xlfn.XLOOKUP($A1448,CSV!$A:$A,CSV!F:F,""),
_xlpm.MacVal,_xlfn.XLOOKUP($A1448,Output_Mac!$A:$A,Output_Mac!E:E,""),
_xlpm.MyAuditVal,_xlfn.XLOOKUP($A1448,My_Audit!$A:$A,My_Audit!E:E,""),
_xlfn.IFS(_xlpm.MyAuditVal&lt;&gt;"",_xlpm.MyAuditVal,_xlpm.MacVal&lt;&gt;"",_xlpm.MacVal,_xlpm.CSVVal&lt;&gt;"",_xlpm.CSVVal
)),"")</f>
        <v/>
      </c>
      <c r="G1448" s="40" t="str" cm="1">
        <f t="array" ref="G1448">IFERROR(_xlfn.LET(
_xlpm.CSVVal,_xlfn.XLOOKUP($A1448,CSV!$A:$A,CSV!G:G,""),
_xlpm.MacVal,_xlfn.XLOOKUP($A1448,Output_Mac!$A:$A,Output_Mac!F:F,""),
_xlpm.MyAuditVal,_xlfn.XLOOKUP($A1448,My_Audit!$A:$A,My_Audit!F:F,""),
_xlfn.IFS(_xlpm.MyAuditVal&lt;&gt;"",_xlpm.MyAuditVal,_xlpm.MacVal&lt;&gt;"",_xlpm.MacVal,_xlpm.CSVVal&lt;&gt;"",PROPER(_xlpm.CSVVal)
)),"")</f>
        <v/>
      </c>
      <c r="H1448" s="40" t="str" cm="1">
        <f t="array" ref="H1448">IFERROR(_xlfn.LET(
_xlpm.CSVVal,_xlfn.XLOOKUP($A1448,CSV!$A:$A,CSV!H:H,""),
_xlpm.MacVal,_xlfn.XLOOKUP($A1448,Output_Mac!$A:$A,Output_Mac!H:H,""),
_xlpm.MyAuditVal,_xlfn.XLOOKUP($A1448,My_Audit!$A:$A,My_Audit!G:G,""),
_xlfn.IFS(_xlpm.MyAuditVal&lt;&gt;"",_xlpm.MyAuditVal,_xlpm.MacVal&lt;&gt;"",_xlpm.MacVal,_xlpm.CSVVal&lt;&gt;"",_xlpm.CSVVal
)),"")</f>
        <v/>
      </c>
      <c r="I1448" s="40" t="str">
        <f>_xlfn.XLOOKUP(A1448,Output_Mac!A:A,Output_Mac!I:I,"")</f>
        <v/>
      </c>
      <c r="J1448" s="40" t="str" cm="1">
        <f t="array" ref="J1448">IFERROR(_xlfn.LET(
_xlpm.CSVVal,_xlfn.XLOOKUP($A1448,CSV!$A:$A,CSV!I:I,""),
_xlpm.MacVal,_xlfn.XLOOKUP($A1448,Output_Mac!$A:$A,Output_Mac!J:J,""),
_xlpm.MyAuditVal,_xlfn.XLOOKUP($A1448,My_Audit!$A:$A,My_Audit!I:I,""),
_xlfn.IFS(_xlpm.MyAuditVal&lt;&gt;"",UPPER(_xlpm.MyAuditVal),_xlpm.MacVal&lt;&gt;"",_xlpm.MacVal,_xlpm.CSVVal&lt;&gt;"",_xlpm.CSVVal
)),"")</f>
        <v/>
      </c>
      <c r="K1448" s="40" t="str" cm="1">
        <f t="array" ref="K1448">IFERROR(_xlfn.LET(
_xlpm.CSVVal,_xlfn.XLOOKUP($A1448,CSV!$A:$A,CSV!K:K,""),
_xlpm.MacVal,_xlfn.XLOOKUP($A1448,Output_Mac!$A:$A,Output_Mac!K:K,""),
_xlpm.MyAuditVal,_xlfn.XLOOKUP($A1448,My_Audit!$A:$A,My_Audit!J:J,""),
_xlfn.IFS(_xlpm.MyAuditVal&lt;&gt;"",UPPER(_xlpm.MyAuditVal),_xlpm.MacVal&lt;&gt;"",_xlpm.MacVal,_xlpm.CSVVal&lt;&gt;"",_xlpm.CSVVal
)),"")</f>
        <v/>
      </c>
      <c r="L1448" s="40" t="str" cm="1">
        <f t="array" ref="L1448">IFERROR(_xlfn.LET(
_xlpm.CSVVal,_xlfn.XLOOKUP($A1448,CSV!$A:$A,CSV!P:P,""),
_xlpm.MacVal,_xlfn.XLOOKUP($A1448,Output_Mac!$A:$A,Output_Mac!L:L,""),
_xlpm.MyAuditVal,_xlfn.XLOOKUP($A1448,My_Audit!$A:$A,My_Audit!K:K,""),
_xlfn.IFS(_xlpm.MyAuditVal&lt;&gt;"",UPPER(_xlpm.MyAuditVal),_xlpm.MacVal&lt;&gt;"",_xlpm.MacVal,_xlpm.CSVVal&lt;&gt;"",_xlpm.CSVVal
)),"")</f>
        <v/>
      </c>
      <c r="M1448" s="40" t="str" cm="1">
        <f t="array" ref="M1448">IFERROR(_xlfn.LET(
_xlpm.CSVVal,_xlfn.XLOOKUP($A1448,CSV!$A:$A,CSV!Q:Q,""),
_xlpm.MacVal,_xlfn.XLOOKUP($A1448,Output_Mac!$A:$A,Output_Mac!M:M,""),
_xlpm.MyAuditVal,_xlfn.XLOOKUP($A1448,My_Audit!$A:$A,My_Audit!L:L,""),
_xlfn.IFS(_xlpm.MyAuditVal&lt;&gt;"",UPPER(_xlpm.MyAuditVal),_xlpm.MacVal&lt;&gt;"",_xlpm.MacVal,_xlpm.CSVVal&lt;&gt;"",_xlpm.CSVVal
)),"")</f>
        <v/>
      </c>
      <c r="N1448" s="40"/>
      <c r="O1448" s="40" t="str">
        <f>_xlfn.LET(
    _xlpm.CSVVal, _xlfn.XLOOKUP($A1448, CSV!$A:$A, CSV!AA:AA, ""),
    _xlpm.MacVal, _xlfn.XLOOKUP($A1448, Output_Mac!$A:$A, Output_Mac!S:S, ""),
    _xlpm.MyAuditVal, _xlfn.XLOOKUP($A1448, My_Audit!$A:$A, My_Audit!P:P, ""),
    _xlfn.TEXTJOIN(", ", TRUE, _xlpm.MyAuditVal, _xlpm.MacVal, _xlpm.CSVVal)
)</f>
        <v/>
      </c>
      <c r="P1448" s="40" t="str" cm="1">
        <f t="array" ref="P1448">IFERROR(_xlfn.LET(
_xlpm.CSVVal,_xlfn.XLOOKUP($A1448,CSV!$A:$A,CSV!AB:AB,""),
_xlpm.MacVal,_xlfn.XLOOKUP($A1448,Output_Mac!$A:$A,Output_Mac!T:T,""),
_xlpm.MyAuditVal,_xlfn.XLOOKUP($A1448,My_Audit!$A:$A,My_Audit!Q:Q,""),
_xlfn.IFS(_xlpm.MyAuditVal&lt;&gt;"",UPPER(_xlpm.MyAuditVal),_xlpm.MacVal&lt;&gt;"",_xlpm.MacVal,_xlpm.CSVVal&lt;&gt;"",_xlpm.CSVVal
)),"No")</f>
        <v>No</v>
      </c>
      <c r="Q1448" s="40" t="str" cm="1">
        <f t="array" ref="Q1448">IFERROR(_xlfn.LET(
_xlpm.CSVVal,_xlfn.XLOOKUP($A1448,CSV!$A:$A,CSV!AC:AC,""),
_xlpm.MacVal,_xlfn.XLOOKUP($A1448,Output_Mac!$A:$A,Output_Mac!U:U,""),
_xlpm.MyAuditVal,_xlfn.XLOOKUP($A1448,My_Audit!$A:$A,My_Audit!R:R,""),
_xlfn.IFS(_xlpm.MyAuditVal&lt;&gt;"",UPPER(_xlpm.MyAuditVal),_xlpm.MacVal&lt;&gt;"",_xlpm.MacVal,_xlpm.CSVVal&lt;&gt;"",_xlpm.CSVVal
)),"")</f>
        <v/>
      </c>
      <c r="R1448" s="40"/>
      <c r="S1448" s="40"/>
      <c r="T1448" s="40"/>
      <c r="U1448" s="40"/>
      <c r="V1448" s="40"/>
      <c r="W1448" s="40"/>
      <c r="X1448" s="41" t="str">
        <f>_xlfn.LET(
    _xlpm.MacVal, _xlfn.XLOOKUP($A1448, Output_Mac!$A:$A, Output_Mac!AB:AB, ""),
    _xlpm.MyAuditVal, _xlfn.XLOOKUP($A1448, My_Audit!$A:$A, My_Audit!N:N, ""),
    _xlfn.TEXTJOIN(", ", TRUE, _xlpm.MyAuditVal, _xlpm.MacVal)
)</f>
        <v/>
      </c>
    </row>
    <row r="1449" spans="1:24">
      <c r="A1449" s="40" t="str">
        <f>_xlfn.TEXTJOIN("",TRUE,Input!$B$2,ROW(My_Audit!A1448))</f>
        <v>X1448</v>
      </c>
      <c r="B1449" s="40" t="str">
        <f>_xlfn.TEXTJOIN("-",TRUE,"ITD",Input!$A$2,A1449)</f>
        <v>ITD-X1448</v>
      </c>
      <c r="C1449" s="40" t="str" cm="1">
        <f t="array" ref="C1449">IFERROR(_xlfn.LET(
_xlpm.CSVVal,_xlfn.XLOOKUP($A1449,CSV!$A:$A,CSV!B:B,""),
_xlpm.MacVal,_xlfn.XLOOKUP($A1449,Output_Mac!$A:$A,Output_Mac!B:B,""),
_xlpm.MyAuditVal,_xlfn.XLOOKUP($A1449,My_Audit!$A:$A,My_Audit!B:B,""),
_xlfn.IFS(_xlpm.MyAuditVal&lt;&gt;"",UPPER(_xlpm.MyAuditVal),_xlpm.MacVal&lt;&gt;"",_xlpm.MacVal,_xlpm.CSVVal&lt;&gt;"",_xlpm.CSVVal
)),"")</f>
        <v/>
      </c>
      <c r="D1449" s="40" t="str" cm="1">
        <f t="array" ref="D1449">IFERROR(_xlfn.LET(
_xlpm.CSVVal,_xlfn.XLOOKUP($A1449,CSV!$A:$A,CSV!D:D,""),
_xlpm.MacVal,_xlfn.XLOOKUP($A1449,Output_Mac!$A:$A,Output_Mac!C:C,""),
_xlpm.MyAuditVal,_xlfn.XLOOKUP($A1449,My_Audit!$A:$A,My_Audit!C:C,""),
_xlfn.IFS(_xlpm.MyAuditVal&lt;&gt;"",_xlpm.MyAuditVal,_xlpm.MacVal&lt;&gt;"",_xlpm.MacVal,_xlpm.CSVVal&lt;&gt;"",_xlpm.CSVVal
)),"")</f>
        <v/>
      </c>
      <c r="E1449" s="40" t="str">
        <f>_xlfn.XLOOKUP(A1449,My_Audit!A:A,My_Audit!D:D,"")</f>
        <v/>
      </c>
      <c r="F1449" s="40" t="str" cm="1">
        <f t="array" ref="F1449">IFERROR(_xlfn.LET(
_xlpm.CSVVal,_xlfn.XLOOKUP($A1449,CSV!$A:$A,CSV!F:F,""),
_xlpm.MacVal,_xlfn.XLOOKUP($A1449,Output_Mac!$A:$A,Output_Mac!E:E,""),
_xlpm.MyAuditVal,_xlfn.XLOOKUP($A1449,My_Audit!$A:$A,My_Audit!E:E,""),
_xlfn.IFS(_xlpm.MyAuditVal&lt;&gt;"",_xlpm.MyAuditVal,_xlpm.MacVal&lt;&gt;"",_xlpm.MacVal,_xlpm.CSVVal&lt;&gt;"",_xlpm.CSVVal
)),"")</f>
        <v/>
      </c>
      <c r="G1449" s="40" t="str" cm="1">
        <f t="array" ref="G1449">IFERROR(_xlfn.LET(
_xlpm.CSVVal,_xlfn.XLOOKUP($A1449,CSV!$A:$A,CSV!G:G,""),
_xlpm.MacVal,_xlfn.XLOOKUP($A1449,Output_Mac!$A:$A,Output_Mac!F:F,""),
_xlpm.MyAuditVal,_xlfn.XLOOKUP($A1449,My_Audit!$A:$A,My_Audit!F:F,""),
_xlfn.IFS(_xlpm.MyAuditVal&lt;&gt;"",_xlpm.MyAuditVal,_xlpm.MacVal&lt;&gt;"",_xlpm.MacVal,_xlpm.CSVVal&lt;&gt;"",PROPER(_xlpm.CSVVal)
)),"")</f>
        <v/>
      </c>
      <c r="H1449" s="40" t="str" cm="1">
        <f t="array" ref="H1449">IFERROR(_xlfn.LET(
_xlpm.CSVVal,_xlfn.XLOOKUP($A1449,CSV!$A:$A,CSV!H:H,""),
_xlpm.MacVal,_xlfn.XLOOKUP($A1449,Output_Mac!$A:$A,Output_Mac!H:H,""),
_xlpm.MyAuditVal,_xlfn.XLOOKUP($A1449,My_Audit!$A:$A,My_Audit!G:G,""),
_xlfn.IFS(_xlpm.MyAuditVal&lt;&gt;"",_xlpm.MyAuditVal,_xlpm.MacVal&lt;&gt;"",_xlpm.MacVal,_xlpm.CSVVal&lt;&gt;"",_xlpm.CSVVal
)),"")</f>
        <v/>
      </c>
      <c r="I1449" s="40" t="str">
        <f>_xlfn.XLOOKUP(A1449,Output_Mac!A:A,Output_Mac!I:I,"")</f>
        <v/>
      </c>
      <c r="J1449" s="40" t="str" cm="1">
        <f t="array" ref="J1449">IFERROR(_xlfn.LET(
_xlpm.CSVVal,_xlfn.XLOOKUP($A1449,CSV!$A:$A,CSV!I:I,""),
_xlpm.MacVal,_xlfn.XLOOKUP($A1449,Output_Mac!$A:$A,Output_Mac!J:J,""),
_xlpm.MyAuditVal,_xlfn.XLOOKUP($A1449,My_Audit!$A:$A,My_Audit!I:I,""),
_xlfn.IFS(_xlpm.MyAuditVal&lt;&gt;"",UPPER(_xlpm.MyAuditVal),_xlpm.MacVal&lt;&gt;"",_xlpm.MacVal,_xlpm.CSVVal&lt;&gt;"",_xlpm.CSVVal
)),"")</f>
        <v/>
      </c>
      <c r="K1449" s="40" t="str" cm="1">
        <f t="array" ref="K1449">IFERROR(_xlfn.LET(
_xlpm.CSVVal,_xlfn.XLOOKUP($A1449,CSV!$A:$A,CSV!K:K,""),
_xlpm.MacVal,_xlfn.XLOOKUP($A1449,Output_Mac!$A:$A,Output_Mac!K:K,""),
_xlpm.MyAuditVal,_xlfn.XLOOKUP($A1449,My_Audit!$A:$A,My_Audit!J:J,""),
_xlfn.IFS(_xlpm.MyAuditVal&lt;&gt;"",UPPER(_xlpm.MyAuditVal),_xlpm.MacVal&lt;&gt;"",_xlpm.MacVal,_xlpm.CSVVal&lt;&gt;"",_xlpm.CSVVal
)),"")</f>
        <v/>
      </c>
      <c r="L1449" s="40" t="str" cm="1">
        <f t="array" ref="L1449">IFERROR(_xlfn.LET(
_xlpm.CSVVal,_xlfn.XLOOKUP($A1449,CSV!$A:$A,CSV!P:P,""),
_xlpm.MacVal,_xlfn.XLOOKUP($A1449,Output_Mac!$A:$A,Output_Mac!L:L,""),
_xlpm.MyAuditVal,_xlfn.XLOOKUP($A1449,My_Audit!$A:$A,My_Audit!K:K,""),
_xlfn.IFS(_xlpm.MyAuditVal&lt;&gt;"",UPPER(_xlpm.MyAuditVal),_xlpm.MacVal&lt;&gt;"",_xlpm.MacVal,_xlpm.CSVVal&lt;&gt;"",_xlpm.CSVVal
)),"")</f>
        <v/>
      </c>
      <c r="M1449" s="40" t="str" cm="1">
        <f t="array" ref="M1449">IFERROR(_xlfn.LET(
_xlpm.CSVVal,_xlfn.XLOOKUP($A1449,CSV!$A:$A,CSV!Q:Q,""),
_xlpm.MacVal,_xlfn.XLOOKUP($A1449,Output_Mac!$A:$A,Output_Mac!M:M,""),
_xlpm.MyAuditVal,_xlfn.XLOOKUP($A1449,My_Audit!$A:$A,My_Audit!L:L,""),
_xlfn.IFS(_xlpm.MyAuditVal&lt;&gt;"",UPPER(_xlpm.MyAuditVal),_xlpm.MacVal&lt;&gt;"",_xlpm.MacVal,_xlpm.CSVVal&lt;&gt;"",_xlpm.CSVVal
)),"")</f>
        <v/>
      </c>
      <c r="N1449" s="40"/>
      <c r="O1449" s="40" t="str">
        <f>_xlfn.LET(
    _xlpm.CSVVal, _xlfn.XLOOKUP($A1449, CSV!$A:$A, CSV!AA:AA, ""),
    _xlpm.MacVal, _xlfn.XLOOKUP($A1449, Output_Mac!$A:$A, Output_Mac!S:S, ""),
    _xlpm.MyAuditVal, _xlfn.XLOOKUP($A1449, My_Audit!$A:$A, My_Audit!P:P, ""),
    _xlfn.TEXTJOIN(", ", TRUE, _xlpm.MyAuditVal, _xlpm.MacVal, _xlpm.CSVVal)
)</f>
        <v/>
      </c>
      <c r="P1449" s="40" t="str" cm="1">
        <f t="array" ref="P1449">IFERROR(_xlfn.LET(
_xlpm.CSVVal,_xlfn.XLOOKUP($A1449,CSV!$A:$A,CSV!AB:AB,""),
_xlpm.MacVal,_xlfn.XLOOKUP($A1449,Output_Mac!$A:$A,Output_Mac!T:T,""),
_xlpm.MyAuditVal,_xlfn.XLOOKUP($A1449,My_Audit!$A:$A,My_Audit!Q:Q,""),
_xlfn.IFS(_xlpm.MyAuditVal&lt;&gt;"",UPPER(_xlpm.MyAuditVal),_xlpm.MacVal&lt;&gt;"",_xlpm.MacVal,_xlpm.CSVVal&lt;&gt;"",_xlpm.CSVVal
)),"No")</f>
        <v>No</v>
      </c>
      <c r="Q1449" s="40" t="str" cm="1">
        <f t="array" ref="Q1449">IFERROR(_xlfn.LET(
_xlpm.CSVVal,_xlfn.XLOOKUP($A1449,CSV!$A:$A,CSV!AC:AC,""),
_xlpm.MacVal,_xlfn.XLOOKUP($A1449,Output_Mac!$A:$A,Output_Mac!U:U,""),
_xlpm.MyAuditVal,_xlfn.XLOOKUP($A1449,My_Audit!$A:$A,My_Audit!R:R,""),
_xlfn.IFS(_xlpm.MyAuditVal&lt;&gt;"",UPPER(_xlpm.MyAuditVal),_xlpm.MacVal&lt;&gt;"",_xlpm.MacVal,_xlpm.CSVVal&lt;&gt;"",_xlpm.CSVVal
)),"")</f>
        <v/>
      </c>
      <c r="R1449" s="40"/>
      <c r="S1449" s="40"/>
      <c r="T1449" s="40"/>
      <c r="U1449" s="40"/>
      <c r="V1449" s="40"/>
      <c r="W1449" s="40"/>
      <c r="X1449" s="41" t="str">
        <f>_xlfn.LET(
    _xlpm.MacVal, _xlfn.XLOOKUP($A1449, Output_Mac!$A:$A, Output_Mac!AB:AB, ""),
    _xlpm.MyAuditVal, _xlfn.XLOOKUP($A1449, My_Audit!$A:$A, My_Audit!N:N, ""),
    _xlfn.TEXTJOIN(", ", TRUE, _xlpm.MyAuditVal, _xlpm.MacVal)
)</f>
        <v/>
      </c>
    </row>
    <row r="1450" spans="1:24">
      <c r="A1450" s="40" t="str">
        <f>_xlfn.TEXTJOIN("",TRUE,Input!$B$2,ROW(My_Audit!A1449))</f>
        <v>X1449</v>
      </c>
      <c r="B1450" s="40" t="str">
        <f>_xlfn.TEXTJOIN("-",TRUE,"ITD",Input!$A$2,A1450)</f>
        <v>ITD-X1449</v>
      </c>
      <c r="C1450" s="40" t="str" cm="1">
        <f t="array" ref="C1450">IFERROR(_xlfn.LET(
_xlpm.CSVVal,_xlfn.XLOOKUP($A1450,CSV!$A:$A,CSV!B:B,""),
_xlpm.MacVal,_xlfn.XLOOKUP($A1450,Output_Mac!$A:$A,Output_Mac!B:B,""),
_xlpm.MyAuditVal,_xlfn.XLOOKUP($A1450,My_Audit!$A:$A,My_Audit!B:B,""),
_xlfn.IFS(_xlpm.MyAuditVal&lt;&gt;"",UPPER(_xlpm.MyAuditVal),_xlpm.MacVal&lt;&gt;"",_xlpm.MacVal,_xlpm.CSVVal&lt;&gt;"",_xlpm.CSVVal
)),"")</f>
        <v/>
      </c>
      <c r="D1450" s="40" t="str" cm="1">
        <f t="array" ref="D1450">IFERROR(_xlfn.LET(
_xlpm.CSVVal,_xlfn.XLOOKUP($A1450,CSV!$A:$A,CSV!D:D,""),
_xlpm.MacVal,_xlfn.XLOOKUP($A1450,Output_Mac!$A:$A,Output_Mac!C:C,""),
_xlpm.MyAuditVal,_xlfn.XLOOKUP($A1450,My_Audit!$A:$A,My_Audit!C:C,""),
_xlfn.IFS(_xlpm.MyAuditVal&lt;&gt;"",_xlpm.MyAuditVal,_xlpm.MacVal&lt;&gt;"",_xlpm.MacVal,_xlpm.CSVVal&lt;&gt;"",_xlpm.CSVVal
)),"")</f>
        <v/>
      </c>
      <c r="E1450" s="40" t="str">
        <f>_xlfn.XLOOKUP(A1450,My_Audit!A:A,My_Audit!D:D,"")</f>
        <v/>
      </c>
      <c r="F1450" s="40" t="str" cm="1">
        <f t="array" ref="F1450">IFERROR(_xlfn.LET(
_xlpm.CSVVal,_xlfn.XLOOKUP($A1450,CSV!$A:$A,CSV!F:F,""),
_xlpm.MacVal,_xlfn.XLOOKUP($A1450,Output_Mac!$A:$A,Output_Mac!E:E,""),
_xlpm.MyAuditVal,_xlfn.XLOOKUP($A1450,My_Audit!$A:$A,My_Audit!E:E,""),
_xlfn.IFS(_xlpm.MyAuditVal&lt;&gt;"",_xlpm.MyAuditVal,_xlpm.MacVal&lt;&gt;"",_xlpm.MacVal,_xlpm.CSVVal&lt;&gt;"",_xlpm.CSVVal
)),"")</f>
        <v/>
      </c>
      <c r="G1450" s="40" t="str" cm="1">
        <f t="array" ref="G1450">IFERROR(_xlfn.LET(
_xlpm.CSVVal,_xlfn.XLOOKUP($A1450,CSV!$A:$A,CSV!G:G,""),
_xlpm.MacVal,_xlfn.XLOOKUP($A1450,Output_Mac!$A:$A,Output_Mac!F:F,""),
_xlpm.MyAuditVal,_xlfn.XLOOKUP($A1450,My_Audit!$A:$A,My_Audit!F:F,""),
_xlfn.IFS(_xlpm.MyAuditVal&lt;&gt;"",_xlpm.MyAuditVal,_xlpm.MacVal&lt;&gt;"",_xlpm.MacVal,_xlpm.CSVVal&lt;&gt;"",PROPER(_xlpm.CSVVal)
)),"")</f>
        <v/>
      </c>
      <c r="H1450" s="40" t="str" cm="1">
        <f t="array" ref="H1450">IFERROR(_xlfn.LET(
_xlpm.CSVVal,_xlfn.XLOOKUP($A1450,CSV!$A:$A,CSV!H:H,""),
_xlpm.MacVal,_xlfn.XLOOKUP($A1450,Output_Mac!$A:$A,Output_Mac!H:H,""),
_xlpm.MyAuditVal,_xlfn.XLOOKUP($A1450,My_Audit!$A:$A,My_Audit!G:G,""),
_xlfn.IFS(_xlpm.MyAuditVal&lt;&gt;"",_xlpm.MyAuditVal,_xlpm.MacVal&lt;&gt;"",_xlpm.MacVal,_xlpm.CSVVal&lt;&gt;"",_xlpm.CSVVal
)),"")</f>
        <v/>
      </c>
      <c r="I1450" s="40" t="str">
        <f>_xlfn.XLOOKUP(A1450,Output_Mac!A:A,Output_Mac!I:I,"")</f>
        <v/>
      </c>
      <c r="J1450" s="40" t="str" cm="1">
        <f t="array" ref="J1450">IFERROR(_xlfn.LET(
_xlpm.CSVVal,_xlfn.XLOOKUP($A1450,CSV!$A:$A,CSV!I:I,""),
_xlpm.MacVal,_xlfn.XLOOKUP($A1450,Output_Mac!$A:$A,Output_Mac!J:J,""),
_xlpm.MyAuditVal,_xlfn.XLOOKUP($A1450,My_Audit!$A:$A,My_Audit!I:I,""),
_xlfn.IFS(_xlpm.MyAuditVal&lt;&gt;"",UPPER(_xlpm.MyAuditVal),_xlpm.MacVal&lt;&gt;"",_xlpm.MacVal,_xlpm.CSVVal&lt;&gt;"",_xlpm.CSVVal
)),"")</f>
        <v/>
      </c>
      <c r="K1450" s="40" t="str" cm="1">
        <f t="array" ref="K1450">IFERROR(_xlfn.LET(
_xlpm.CSVVal,_xlfn.XLOOKUP($A1450,CSV!$A:$A,CSV!K:K,""),
_xlpm.MacVal,_xlfn.XLOOKUP($A1450,Output_Mac!$A:$A,Output_Mac!K:K,""),
_xlpm.MyAuditVal,_xlfn.XLOOKUP($A1450,My_Audit!$A:$A,My_Audit!J:J,""),
_xlfn.IFS(_xlpm.MyAuditVal&lt;&gt;"",UPPER(_xlpm.MyAuditVal),_xlpm.MacVal&lt;&gt;"",_xlpm.MacVal,_xlpm.CSVVal&lt;&gt;"",_xlpm.CSVVal
)),"")</f>
        <v/>
      </c>
      <c r="L1450" s="40" t="str" cm="1">
        <f t="array" ref="L1450">IFERROR(_xlfn.LET(
_xlpm.CSVVal,_xlfn.XLOOKUP($A1450,CSV!$A:$A,CSV!P:P,""),
_xlpm.MacVal,_xlfn.XLOOKUP($A1450,Output_Mac!$A:$A,Output_Mac!L:L,""),
_xlpm.MyAuditVal,_xlfn.XLOOKUP($A1450,My_Audit!$A:$A,My_Audit!K:K,""),
_xlfn.IFS(_xlpm.MyAuditVal&lt;&gt;"",UPPER(_xlpm.MyAuditVal),_xlpm.MacVal&lt;&gt;"",_xlpm.MacVal,_xlpm.CSVVal&lt;&gt;"",_xlpm.CSVVal
)),"")</f>
        <v/>
      </c>
      <c r="M1450" s="40" t="str" cm="1">
        <f t="array" ref="M1450">IFERROR(_xlfn.LET(
_xlpm.CSVVal,_xlfn.XLOOKUP($A1450,CSV!$A:$A,CSV!Q:Q,""),
_xlpm.MacVal,_xlfn.XLOOKUP($A1450,Output_Mac!$A:$A,Output_Mac!M:M,""),
_xlpm.MyAuditVal,_xlfn.XLOOKUP($A1450,My_Audit!$A:$A,My_Audit!L:L,""),
_xlfn.IFS(_xlpm.MyAuditVal&lt;&gt;"",UPPER(_xlpm.MyAuditVal),_xlpm.MacVal&lt;&gt;"",_xlpm.MacVal,_xlpm.CSVVal&lt;&gt;"",_xlpm.CSVVal
)),"")</f>
        <v/>
      </c>
      <c r="N1450" s="40"/>
      <c r="O1450" s="40" t="str">
        <f>_xlfn.LET(
    _xlpm.CSVVal, _xlfn.XLOOKUP($A1450, CSV!$A:$A, CSV!AA:AA, ""),
    _xlpm.MacVal, _xlfn.XLOOKUP($A1450, Output_Mac!$A:$A, Output_Mac!S:S, ""),
    _xlpm.MyAuditVal, _xlfn.XLOOKUP($A1450, My_Audit!$A:$A, My_Audit!P:P, ""),
    _xlfn.TEXTJOIN(", ", TRUE, _xlpm.MyAuditVal, _xlpm.MacVal, _xlpm.CSVVal)
)</f>
        <v/>
      </c>
      <c r="P1450" s="40" t="str" cm="1">
        <f t="array" ref="P1450">IFERROR(_xlfn.LET(
_xlpm.CSVVal,_xlfn.XLOOKUP($A1450,CSV!$A:$A,CSV!AB:AB,""),
_xlpm.MacVal,_xlfn.XLOOKUP($A1450,Output_Mac!$A:$A,Output_Mac!T:T,""),
_xlpm.MyAuditVal,_xlfn.XLOOKUP($A1450,My_Audit!$A:$A,My_Audit!Q:Q,""),
_xlfn.IFS(_xlpm.MyAuditVal&lt;&gt;"",UPPER(_xlpm.MyAuditVal),_xlpm.MacVal&lt;&gt;"",_xlpm.MacVal,_xlpm.CSVVal&lt;&gt;"",_xlpm.CSVVal
)),"No")</f>
        <v>No</v>
      </c>
      <c r="Q1450" s="40" t="str" cm="1">
        <f t="array" ref="Q1450">IFERROR(_xlfn.LET(
_xlpm.CSVVal,_xlfn.XLOOKUP($A1450,CSV!$A:$A,CSV!AC:AC,""),
_xlpm.MacVal,_xlfn.XLOOKUP($A1450,Output_Mac!$A:$A,Output_Mac!U:U,""),
_xlpm.MyAuditVal,_xlfn.XLOOKUP($A1450,My_Audit!$A:$A,My_Audit!R:R,""),
_xlfn.IFS(_xlpm.MyAuditVal&lt;&gt;"",UPPER(_xlpm.MyAuditVal),_xlpm.MacVal&lt;&gt;"",_xlpm.MacVal,_xlpm.CSVVal&lt;&gt;"",_xlpm.CSVVal
)),"")</f>
        <v/>
      </c>
      <c r="R1450" s="40"/>
      <c r="S1450" s="40"/>
      <c r="T1450" s="40"/>
      <c r="U1450" s="40"/>
      <c r="V1450" s="40"/>
      <c r="W1450" s="40"/>
      <c r="X1450" s="41" t="str">
        <f>_xlfn.LET(
    _xlpm.MacVal, _xlfn.XLOOKUP($A1450, Output_Mac!$A:$A, Output_Mac!AB:AB, ""),
    _xlpm.MyAuditVal, _xlfn.XLOOKUP($A1450, My_Audit!$A:$A, My_Audit!N:N, ""),
    _xlfn.TEXTJOIN(", ", TRUE, _xlpm.MyAuditVal, _xlpm.MacVal)
)</f>
        <v/>
      </c>
    </row>
    <row r="1451" spans="1:24">
      <c r="A1451" s="40" t="str">
        <f>_xlfn.TEXTJOIN("",TRUE,Input!$B$2,ROW(My_Audit!A1450))</f>
        <v>X1450</v>
      </c>
      <c r="B1451" s="40" t="str">
        <f>_xlfn.TEXTJOIN("-",TRUE,"ITD",Input!$A$2,A1451)</f>
        <v>ITD-X1450</v>
      </c>
      <c r="C1451" s="40" t="str" cm="1">
        <f t="array" ref="C1451">IFERROR(_xlfn.LET(
_xlpm.CSVVal,_xlfn.XLOOKUP($A1451,CSV!$A:$A,CSV!B:B,""),
_xlpm.MacVal,_xlfn.XLOOKUP($A1451,Output_Mac!$A:$A,Output_Mac!B:B,""),
_xlpm.MyAuditVal,_xlfn.XLOOKUP($A1451,My_Audit!$A:$A,My_Audit!B:B,""),
_xlfn.IFS(_xlpm.MyAuditVal&lt;&gt;"",UPPER(_xlpm.MyAuditVal),_xlpm.MacVal&lt;&gt;"",_xlpm.MacVal,_xlpm.CSVVal&lt;&gt;"",_xlpm.CSVVal
)),"")</f>
        <v/>
      </c>
      <c r="D1451" s="40" t="str" cm="1">
        <f t="array" ref="D1451">IFERROR(_xlfn.LET(
_xlpm.CSVVal,_xlfn.XLOOKUP($A1451,CSV!$A:$A,CSV!D:D,""),
_xlpm.MacVal,_xlfn.XLOOKUP($A1451,Output_Mac!$A:$A,Output_Mac!C:C,""),
_xlpm.MyAuditVal,_xlfn.XLOOKUP($A1451,My_Audit!$A:$A,My_Audit!C:C,""),
_xlfn.IFS(_xlpm.MyAuditVal&lt;&gt;"",_xlpm.MyAuditVal,_xlpm.MacVal&lt;&gt;"",_xlpm.MacVal,_xlpm.CSVVal&lt;&gt;"",_xlpm.CSVVal
)),"")</f>
        <v/>
      </c>
      <c r="E1451" s="40" t="str">
        <f>_xlfn.XLOOKUP(A1451,My_Audit!A:A,My_Audit!D:D,"")</f>
        <v/>
      </c>
      <c r="F1451" s="40" t="str" cm="1">
        <f t="array" ref="F1451">IFERROR(_xlfn.LET(
_xlpm.CSVVal,_xlfn.XLOOKUP($A1451,CSV!$A:$A,CSV!F:F,""),
_xlpm.MacVal,_xlfn.XLOOKUP($A1451,Output_Mac!$A:$A,Output_Mac!E:E,""),
_xlpm.MyAuditVal,_xlfn.XLOOKUP($A1451,My_Audit!$A:$A,My_Audit!E:E,""),
_xlfn.IFS(_xlpm.MyAuditVal&lt;&gt;"",_xlpm.MyAuditVal,_xlpm.MacVal&lt;&gt;"",_xlpm.MacVal,_xlpm.CSVVal&lt;&gt;"",_xlpm.CSVVal
)),"")</f>
        <v/>
      </c>
      <c r="G1451" s="40" t="str" cm="1">
        <f t="array" ref="G1451">IFERROR(_xlfn.LET(
_xlpm.CSVVal,_xlfn.XLOOKUP($A1451,CSV!$A:$A,CSV!G:G,""),
_xlpm.MacVal,_xlfn.XLOOKUP($A1451,Output_Mac!$A:$A,Output_Mac!F:F,""),
_xlpm.MyAuditVal,_xlfn.XLOOKUP($A1451,My_Audit!$A:$A,My_Audit!F:F,""),
_xlfn.IFS(_xlpm.MyAuditVal&lt;&gt;"",_xlpm.MyAuditVal,_xlpm.MacVal&lt;&gt;"",_xlpm.MacVal,_xlpm.CSVVal&lt;&gt;"",PROPER(_xlpm.CSVVal)
)),"")</f>
        <v/>
      </c>
      <c r="H1451" s="40" t="str" cm="1">
        <f t="array" ref="H1451">IFERROR(_xlfn.LET(
_xlpm.CSVVal,_xlfn.XLOOKUP($A1451,CSV!$A:$A,CSV!H:H,""),
_xlpm.MacVal,_xlfn.XLOOKUP($A1451,Output_Mac!$A:$A,Output_Mac!H:H,""),
_xlpm.MyAuditVal,_xlfn.XLOOKUP($A1451,My_Audit!$A:$A,My_Audit!G:G,""),
_xlfn.IFS(_xlpm.MyAuditVal&lt;&gt;"",_xlpm.MyAuditVal,_xlpm.MacVal&lt;&gt;"",_xlpm.MacVal,_xlpm.CSVVal&lt;&gt;"",_xlpm.CSVVal
)),"")</f>
        <v/>
      </c>
      <c r="I1451" s="40" t="str">
        <f>_xlfn.XLOOKUP(A1451,Output_Mac!A:A,Output_Mac!I:I,"")</f>
        <v/>
      </c>
      <c r="J1451" s="40" t="str" cm="1">
        <f t="array" ref="J1451">IFERROR(_xlfn.LET(
_xlpm.CSVVal,_xlfn.XLOOKUP($A1451,CSV!$A:$A,CSV!I:I,""),
_xlpm.MacVal,_xlfn.XLOOKUP($A1451,Output_Mac!$A:$A,Output_Mac!J:J,""),
_xlpm.MyAuditVal,_xlfn.XLOOKUP($A1451,My_Audit!$A:$A,My_Audit!I:I,""),
_xlfn.IFS(_xlpm.MyAuditVal&lt;&gt;"",UPPER(_xlpm.MyAuditVal),_xlpm.MacVal&lt;&gt;"",_xlpm.MacVal,_xlpm.CSVVal&lt;&gt;"",_xlpm.CSVVal
)),"")</f>
        <v/>
      </c>
      <c r="K1451" s="40" t="str" cm="1">
        <f t="array" ref="K1451">IFERROR(_xlfn.LET(
_xlpm.CSVVal,_xlfn.XLOOKUP($A1451,CSV!$A:$A,CSV!K:K,""),
_xlpm.MacVal,_xlfn.XLOOKUP($A1451,Output_Mac!$A:$A,Output_Mac!K:K,""),
_xlpm.MyAuditVal,_xlfn.XLOOKUP($A1451,My_Audit!$A:$A,My_Audit!J:J,""),
_xlfn.IFS(_xlpm.MyAuditVal&lt;&gt;"",UPPER(_xlpm.MyAuditVal),_xlpm.MacVal&lt;&gt;"",_xlpm.MacVal,_xlpm.CSVVal&lt;&gt;"",_xlpm.CSVVal
)),"")</f>
        <v/>
      </c>
      <c r="L1451" s="40" t="str" cm="1">
        <f t="array" ref="L1451">IFERROR(_xlfn.LET(
_xlpm.CSVVal,_xlfn.XLOOKUP($A1451,CSV!$A:$A,CSV!P:P,""),
_xlpm.MacVal,_xlfn.XLOOKUP($A1451,Output_Mac!$A:$A,Output_Mac!L:L,""),
_xlpm.MyAuditVal,_xlfn.XLOOKUP($A1451,My_Audit!$A:$A,My_Audit!K:K,""),
_xlfn.IFS(_xlpm.MyAuditVal&lt;&gt;"",UPPER(_xlpm.MyAuditVal),_xlpm.MacVal&lt;&gt;"",_xlpm.MacVal,_xlpm.CSVVal&lt;&gt;"",_xlpm.CSVVal
)),"")</f>
        <v/>
      </c>
      <c r="M1451" s="40" t="str" cm="1">
        <f t="array" ref="M1451">IFERROR(_xlfn.LET(
_xlpm.CSVVal,_xlfn.XLOOKUP($A1451,CSV!$A:$A,CSV!Q:Q,""),
_xlpm.MacVal,_xlfn.XLOOKUP($A1451,Output_Mac!$A:$A,Output_Mac!M:M,""),
_xlpm.MyAuditVal,_xlfn.XLOOKUP($A1451,My_Audit!$A:$A,My_Audit!L:L,""),
_xlfn.IFS(_xlpm.MyAuditVal&lt;&gt;"",UPPER(_xlpm.MyAuditVal),_xlpm.MacVal&lt;&gt;"",_xlpm.MacVal,_xlpm.CSVVal&lt;&gt;"",_xlpm.CSVVal
)),"")</f>
        <v/>
      </c>
      <c r="N1451" s="40"/>
      <c r="O1451" s="40" t="str">
        <f>_xlfn.LET(
    _xlpm.CSVVal, _xlfn.XLOOKUP($A1451, CSV!$A:$A, CSV!AA:AA, ""),
    _xlpm.MacVal, _xlfn.XLOOKUP($A1451, Output_Mac!$A:$A, Output_Mac!S:S, ""),
    _xlpm.MyAuditVal, _xlfn.XLOOKUP($A1451, My_Audit!$A:$A, My_Audit!P:P, ""),
    _xlfn.TEXTJOIN(", ", TRUE, _xlpm.MyAuditVal, _xlpm.MacVal, _xlpm.CSVVal)
)</f>
        <v/>
      </c>
      <c r="P1451" s="40" t="str" cm="1">
        <f t="array" ref="P1451">IFERROR(_xlfn.LET(
_xlpm.CSVVal,_xlfn.XLOOKUP($A1451,CSV!$A:$A,CSV!AB:AB,""),
_xlpm.MacVal,_xlfn.XLOOKUP($A1451,Output_Mac!$A:$A,Output_Mac!T:T,""),
_xlpm.MyAuditVal,_xlfn.XLOOKUP($A1451,My_Audit!$A:$A,My_Audit!Q:Q,""),
_xlfn.IFS(_xlpm.MyAuditVal&lt;&gt;"",UPPER(_xlpm.MyAuditVal),_xlpm.MacVal&lt;&gt;"",_xlpm.MacVal,_xlpm.CSVVal&lt;&gt;"",_xlpm.CSVVal
)),"No")</f>
        <v>No</v>
      </c>
      <c r="Q1451" s="40" t="str" cm="1">
        <f t="array" ref="Q1451">IFERROR(_xlfn.LET(
_xlpm.CSVVal,_xlfn.XLOOKUP($A1451,CSV!$A:$A,CSV!AC:AC,""),
_xlpm.MacVal,_xlfn.XLOOKUP($A1451,Output_Mac!$A:$A,Output_Mac!U:U,""),
_xlpm.MyAuditVal,_xlfn.XLOOKUP($A1451,My_Audit!$A:$A,My_Audit!R:R,""),
_xlfn.IFS(_xlpm.MyAuditVal&lt;&gt;"",UPPER(_xlpm.MyAuditVal),_xlpm.MacVal&lt;&gt;"",_xlpm.MacVal,_xlpm.CSVVal&lt;&gt;"",_xlpm.CSVVal
)),"")</f>
        <v/>
      </c>
      <c r="R1451" s="40"/>
      <c r="S1451" s="40"/>
      <c r="T1451" s="40"/>
      <c r="U1451" s="40"/>
      <c r="V1451" s="40"/>
      <c r="W1451" s="40"/>
      <c r="X1451" s="41" t="str">
        <f>_xlfn.LET(
    _xlpm.MacVal, _xlfn.XLOOKUP($A1451, Output_Mac!$A:$A, Output_Mac!AB:AB, ""),
    _xlpm.MyAuditVal, _xlfn.XLOOKUP($A1451, My_Audit!$A:$A, My_Audit!N:N, ""),
    _xlfn.TEXTJOIN(", ", TRUE, _xlpm.MyAuditVal, _xlpm.MacVal)
)</f>
        <v/>
      </c>
    </row>
    <row r="1452" spans="1:24">
      <c r="A1452" s="40" t="str">
        <f>_xlfn.TEXTJOIN("",TRUE,Input!$B$2,ROW(My_Audit!A1451))</f>
        <v>X1451</v>
      </c>
      <c r="B1452" s="40" t="str">
        <f>_xlfn.TEXTJOIN("-",TRUE,"ITD",Input!$A$2,A1452)</f>
        <v>ITD-X1451</v>
      </c>
      <c r="C1452" s="40" t="str" cm="1">
        <f t="array" ref="C1452">IFERROR(_xlfn.LET(
_xlpm.CSVVal,_xlfn.XLOOKUP($A1452,CSV!$A:$A,CSV!B:B,""),
_xlpm.MacVal,_xlfn.XLOOKUP($A1452,Output_Mac!$A:$A,Output_Mac!B:B,""),
_xlpm.MyAuditVal,_xlfn.XLOOKUP($A1452,My_Audit!$A:$A,My_Audit!B:B,""),
_xlfn.IFS(_xlpm.MyAuditVal&lt;&gt;"",UPPER(_xlpm.MyAuditVal),_xlpm.MacVal&lt;&gt;"",_xlpm.MacVal,_xlpm.CSVVal&lt;&gt;"",_xlpm.CSVVal
)),"")</f>
        <v/>
      </c>
      <c r="D1452" s="40" t="str" cm="1">
        <f t="array" ref="D1452">IFERROR(_xlfn.LET(
_xlpm.CSVVal,_xlfn.XLOOKUP($A1452,CSV!$A:$A,CSV!D:D,""),
_xlpm.MacVal,_xlfn.XLOOKUP($A1452,Output_Mac!$A:$A,Output_Mac!C:C,""),
_xlpm.MyAuditVal,_xlfn.XLOOKUP($A1452,My_Audit!$A:$A,My_Audit!C:C,""),
_xlfn.IFS(_xlpm.MyAuditVal&lt;&gt;"",_xlpm.MyAuditVal,_xlpm.MacVal&lt;&gt;"",_xlpm.MacVal,_xlpm.CSVVal&lt;&gt;"",_xlpm.CSVVal
)),"")</f>
        <v/>
      </c>
      <c r="E1452" s="40" t="str">
        <f>_xlfn.XLOOKUP(A1452,My_Audit!A:A,My_Audit!D:D,"")</f>
        <v/>
      </c>
      <c r="F1452" s="40" t="str" cm="1">
        <f t="array" ref="F1452">IFERROR(_xlfn.LET(
_xlpm.CSVVal,_xlfn.XLOOKUP($A1452,CSV!$A:$A,CSV!F:F,""),
_xlpm.MacVal,_xlfn.XLOOKUP($A1452,Output_Mac!$A:$A,Output_Mac!E:E,""),
_xlpm.MyAuditVal,_xlfn.XLOOKUP($A1452,My_Audit!$A:$A,My_Audit!E:E,""),
_xlfn.IFS(_xlpm.MyAuditVal&lt;&gt;"",_xlpm.MyAuditVal,_xlpm.MacVal&lt;&gt;"",_xlpm.MacVal,_xlpm.CSVVal&lt;&gt;"",_xlpm.CSVVal
)),"")</f>
        <v/>
      </c>
      <c r="G1452" s="40" t="str" cm="1">
        <f t="array" ref="G1452">IFERROR(_xlfn.LET(
_xlpm.CSVVal,_xlfn.XLOOKUP($A1452,CSV!$A:$A,CSV!G:G,""),
_xlpm.MacVal,_xlfn.XLOOKUP($A1452,Output_Mac!$A:$A,Output_Mac!F:F,""),
_xlpm.MyAuditVal,_xlfn.XLOOKUP($A1452,My_Audit!$A:$A,My_Audit!F:F,""),
_xlfn.IFS(_xlpm.MyAuditVal&lt;&gt;"",_xlpm.MyAuditVal,_xlpm.MacVal&lt;&gt;"",_xlpm.MacVal,_xlpm.CSVVal&lt;&gt;"",PROPER(_xlpm.CSVVal)
)),"")</f>
        <v/>
      </c>
      <c r="H1452" s="40" t="str" cm="1">
        <f t="array" ref="H1452">IFERROR(_xlfn.LET(
_xlpm.CSVVal,_xlfn.XLOOKUP($A1452,CSV!$A:$A,CSV!H:H,""),
_xlpm.MacVal,_xlfn.XLOOKUP($A1452,Output_Mac!$A:$A,Output_Mac!H:H,""),
_xlpm.MyAuditVal,_xlfn.XLOOKUP($A1452,My_Audit!$A:$A,My_Audit!G:G,""),
_xlfn.IFS(_xlpm.MyAuditVal&lt;&gt;"",_xlpm.MyAuditVal,_xlpm.MacVal&lt;&gt;"",_xlpm.MacVal,_xlpm.CSVVal&lt;&gt;"",_xlpm.CSVVal
)),"")</f>
        <v/>
      </c>
      <c r="I1452" s="40" t="str">
        <f>_xlfn.XLOOKUP(A1452,Output_Mac!A:A,Output_Mac!I:I,"")</f>
        <v/>
      </c>
      <c r="J1452" s="40" t="str" cm="1">
        <f t="array" ref="J1452">IFERROR(_xlfn.LET(
_xlpm.CSVVal,_xlfn.XLOOKUP($A1452,CSV!$A:$A,CSV!I:I,""),
_xlpm.MacVal,_xlfn.XLOOKUP($A1452,Output_Mac!$A:$A,Output_Mac!J:J,""),
_xlpm.MyAuditVal,_xlfn.XLOOKUP($A1452,My_Audit!$A:$A,My_Audit!I:I,""),
_xlfn.IFS(_xlpm.MyAuditVal&lt;&gt;"",UPPER(_xlpm.MyAuditVal),_xlpm.MacVal&lt;&gt;"",_xlpm.MacVal,_xlpm.CSVVal&lt;&gt;"",_xlpm.CSVVal
)),"")</f>
        <v/>
      </c>
      <c r="K1452" s="40" t="str" cm="1">
        <f t="array" ref="K1452">IFERROR(_xlfn.LET(
_xlpm.CSVVal,_xlfn.XLOOKUP($A1452,CSV!$A:$A,CSV!K:K,""),
_xlpm.MacVal,_xlfn.XLOOKUP($A1452,Output_Mac!$A:$A,Output_Mac!K:K,""),
_xlpm.MyAuditVal,_xlfn.XLOOKUP($A1452,My_Audit!$A:$A,My_Audit!J:J,""),
_xlfn.IFS(_xlpm.MyAuditVal&lt;&gt;"",UPPER(_xlpm.MyAuditVal),_xlpm.MacVal&lt;&gt;"",_xlpm.MacVal,_xlpm.CSVVal&lt;&gt;"",_xlpm.CSVVal
)),"")</f>
        <v/>
      </c>
      <c r="L1452" s="40" t="str" cm="1">
        <f t="array" ref="L1452">IFERROR(_xlfn.LET(
_xlpm.CSVVal,_xlfn.XLOOKUP($A1452,CSV!$A:$A,CSV!P:P,""),
_xlpm.MacVal,_xlfn.XLOOKUP($A1452,Output_Mac!$A:$A,Output_Mac!L:L,""),
_xlpm.MyAuditVal,_xlfn.XLOOKUP($A1452,My_Audit!$A:$A,My_Audit!K:K,""),
_xlfn.IFS(_xlpm.MyAuditVal&lt;&gt;"",UPPER(_xlpm.MyAuditVal),_xlpm.MacVal&lt;&gt;"",_xlpm.MacVal,_xlpm.CSVVal&lt;&gt;"",_xlpm.CSVVal
)),"")</f>
        <v/>
      </c>
      <c r="M1452" s="40" t="str" cm="1">
        <f t="array" ref="M1452">IFERROR(_xlfn.LET(
_xlpm.CSVVal,_xlfn.XLOOKUP($A1452,CSV!$A:$A,CSV!Q:Q,""),
_xlpm.MacVal,_xlfn.XLOOKUP($A1452,Output_Mac!$A:$A,Output_Mac!M:M,""),
_xlpm.MyAuditVal,_xlfn.XLOOKUP($A1452,My_Audit!$A:$A,My_Audit!L:L,""),
_xlfn.IFS(_xlpm.MyAuditVal&lt;&gt;"",UPPER(_xlpm.MyAuditVal),_xlpm.MacVal&lt;&gt;"",_xlpm.MacVal,_xlpm.CSVVal&lt;&gt;"",_xlpm.CSVVal
)),"")</f>
        <v/>
      </c>
      <c r="N1452" s="40"/>
      <c r="O1452" s="40" t="str">
        <f>_xlfn.LET(
    _xlpm.CSVVal, _xlfn.XLOOKUP($A1452, CSV!$A:$A, CSV!AA:AA, ""),
    _xlpm.MacVal, _xlfn.XLOOKUP($A1452, Output_Mac!$A:$A, Output_Mac!S:S, ""),
    _xlpm.MyAuditVal, _xlfn.XLOOKUP($A1452, My_Audit!$A:$A, My_Audit!P:P, ""),
    _xlfn.TEXTJOIN(", ", TRUE, _xlpm.MyAuditVal, _xlpm.MacVal, _xlpm.CSVVal)
)</f>
        <v/>
      </c>
      <c r="P1452" s="40" t="str" cm="1">
        <f t="array" ref="P1452">IFERROR(_xlfn.LET(
_xlpm.CSVVal,_xlfn.XLOOKUP($A1452,CSV!$A:$A,CSV!AB:AB,""),
_xlpm.MacVal,_xlfn.XLOOKUP($A1452,Output_Mac!$A:$A,Output_Mac!T:T,""),
_xlpm.MyAuditVal,_xlfn.XLOOKUP($A1452,My_Audit!$A:$A,My_Audit!Q:Q,""),
_xlfn.IFS(_xlpm.MyAuditVal&lt;&gt;"",UPPER(_xlpm.MyAuditVal),_xlpm.MacVal&lt;&gt;"",_xlpm.MacVal,_xlpm.CSVVal&lt;&gt;"",_xlpm.CSVVal
)),"No")</f>
        <v>No</v>
      </c>
      <c r="Q1452" s="40" t="str" cm="1">
        <f t="array" ref="Q1452">IFERROR(_xlfn.LET(
_xlpm.CSVVal,_xlfn.XLOOKUP($A1452,CSV!$A:$A,CSV!AC:AC,""),
_xlpm.MacVal,_xlfn.XLOOKUP($A1452,Output_Mac!$A:$A,Output_Mac!U:U,""),
_xlpm.MyAuditVal,_xlfn.XLOOKUP($A1452,My_Audit!$A:$A,My_Audit!R:R,""),
_xlfn.IFS(_xlpm.MyAuditVal&lt;&gt;"",UPPER(_xlpm.MyAuditVal),_xlpm.MacVal&lt;&gt;"",_xlpm.MacVal,_xlpm.CSVVal&lt;&gt;"",_xlpm.CSVVal
)),"")</f>
        <v/>
      </c>
      <c r="R1452" s="40"/>
      <c r="S1452" s="40"/>
      <c r="T1452" s="40"/>
      <c r="U1452" s="40"/>
      <c r="V1452" s="40"/>
      <c r="W1452" s="40"/>
      <c r="X1452" s="41" t="str">
        <f>_xlfn.LET(
    _xlpm.MacVal, _xlfn.XLOOKUP($A1452, Output_Mac!$A:$A, Output_Mac!AB:AB, ""),
    _xlpm.MyAuditVal, _xlfn.XLOOKUP($A1452, My_Audit!$A:$A, My_Audit!N:N, ""),
    _xlfn.TEXTJOIN(", ", TRUE, _xlpm.MyAuditVal, _xlpm.MacVal)
)</f>
        <v/>
      </c>
    </row>
    <row r="1453" spans="1:24">
      <c r="A1453" s="40" t="str">
        <f>_xlfn.TEXTJOIN("",TRUE,Input!$B$2,ROW(My_Audit!A1452))</f>
        <v>X1452</v>
      </c>
      <c r="B1453" s="40" t="str">
        <f>_xlfn.TEXTJOIN("-",TRUE,"ITD",Input!$A$2,A1453)</f>
        <v>ITD-X1452</v>
      </c>
      <c r="C1453" s="40" t="str" cm="1">
        <f t="array" ref="C1453">IFERROR(_xlfn.LET(
_xlpm.CSVVal,_xlfn.XLOOKUP($A1453,CSV!$A:$A,CSV!B:B,""),
_xlpm.MacVal,_xlfn.XLOOKUP($A1453,Output_Mac!$A:$A,Output_Mac!B:B,""),
_xlpm.MyAuditVal,_xlfn.XLOOKUP($A1453,My_Audit!$A:$A,My_Audit!B:B,""),
_xlfn.IFS(_xlpm.MyAuditVal&lt;&gt;"",UPPER(_xlpm.MyAuditVal),_xlpm.MacVal&lt;&gt;"",_xlpm.MacVal,_xlpm.CSVVal&lt;&gt;"",_xlpm.CSVVal
)),"")</f>
        <v/>
      </c>
      <c r="D1453" s="40" t="str" cm="1">
        <f t="array" ref="D1453">IFERROR(_xlfn.LET(
_xlpm.CSVVal,_xlfn.XLOOKUP($A1453,CSV!$A:$A,CSV!D:D,""),
_xlpm.MacVal,_xlfn.XLOOKUP($A1453,Output_Mac!$A:$A,Output_Mac!C:C,""),
_xlpm.MyAuditVal,_xlfn.XLOOKUP($A1453,My_Audit!$A:$A,My_Audit!C:C,""),
_xlfn.IFS(_xlpm.MyAuditVal&lt;&gt;"",_xlpm.MyAuditVal,_xlpm.MacVal&lt;&gt;"",_xlpm.MacVal,_xlpm.CSVVal&lt;&gt;"",_xlpm.CSVVal
)),"")</f>
        <v/>
      </c>
      <c r="E1453" s="40" t="str">
        <f>_xlfn.XLOOKUP(A1453,My_Audit!A:A,My_Audit!D:D,"")</f>
        <v/>
      </c>
      <c r="F1453" s="40" t="str" cm="1">
        <f t="array" ref="F1453">IFERROR(_xlfn.LET(
_xlpm.CSVVal,_xlfn.XLOOKUP($A1453,CSV!$A:$A,CSV!F:F,""),
_xlpm.MacVal,_xlfn.XLOOKUP($A1453,Output_Mac!$A:$A,Output_Mac!E:E,""),
_xlpm.MyAuditVal,_xlfn.XLOOKUP($A1453,My_Audit!$A:$A,My_Audit!E:E,""),
_xlfn.IFS(_xlpm.MyAuditVal&lt;&gt;"",_xlpm.MyAuditVal,_xlpm.MacVal&lt;&gt;"",_xlpm.MacVal,_xlpm.CSVVal&lt;&gt;"",_xlpm.CSVVal
)),"")</f>
        <v/>
      </c>
      <c r="G1453" s="40" t="str" cm="1">
        <f t="array" ref="G1453">IFERROR(_xlfn.LET(
_xlpm.CSVVal,_xlfn.XLOOKUP($A1453,CSV!$A:$A,CSV!G:G,""),
_xlpm.MacVal,_xlfn.XLOOKUP($A1453,Output_Mac!$A:$A,Output_Mac!F:F,""),
_xlpm.MyAuditVal,_xlfn.XLOOKUP($A1453,My_Audit!$A:$A,My_Audit!F:F,""),
_xlfn.IFS(_xlpm.MyAuditVal&lt;&gt;"",_xlpm.MyAuditVal,_xlpm.MacVal&lt;&gt;"",_xlpm.MacVal,_xlpm.CSVVal&lt;&gt;"",PROPER(_xlpm.CSVVal)
)),"")</f>
        <v/>
      </c>
      <c r="H1453" s="40" t="str" cm="1">
        <f t="array" ref="H1453">IFERROR(_xlfn.LET(
_xlpm.CSVVal,_xlfn.XLOOKUP($A1453,CSV!$A:$A,CSV!H:H,""),
_xlpm.MacVal,_xlfn.XLOOKUP($A1453,Output_Mac!$A:$A,Output_Mac!H:H,""),
_xlpm.MyAuditVal,_xlfn.XLOOKUP($A1453,My_Audit!$A:$A,My_Audit!G:G,""),
_xlfn.IFS(_xlpm.MyAuditVal&lt;&gt;"",_xlpm.MyAuditVal,_xlpm.MacVal&lt;&gt;"",_xlpm.MacVal,_xlpm.CSVVal&lt;&gt;"",_xlpm.CSVVal
)),"")</f>
        <v/>
      </c>
      <c r="I1453" s="40" t="str">
        <f>_xlfn.XLOOKUP(A1453,Output_Mac!A:A,Output_Mac!I:I,"")</f>
        <v/>
      </c>
      <c r="J1453" s="40" t="str" cm="1">
        <f t="array" ref="J1453">IFERROR(_xlfn.LET(
_xlpm.CSVVal,_xlfn.XLOOKUP($A1453,CSV!$A:$A,CSV!I:I,""),
_xlpm.MacVal,_xlfn.XLOOKUP($A1453,Output_Mac!$A:$A,Output_Mac!J:J,""),
_xlpm.MyAuditVal,_xlfn.XLOOKUP($A1453,My_Audit!$A:$A,My_Audit!I:I,""),
_xlfn.IFS(_xlpm.MyAuditVal&lt;&gt;"",UPPER(_xlpm.MyAuditVal),_xlpm.MacVal&lt;&gt;"",_xlpm.MacVal,_xlpm.CSVVal&lt;&gt;"",_xlpm.CSVVal
)),"")</f>
        <v/>
      </c>
      <c r="K1453" s="40" t="str" cm="1">
        <f t="array" ref="K1453">IFERROR(_xlfn.LET(
_xlpm.CSVVal,_xlfn.XLOOKUP($A1453,CSV!$A:$A,CSV!K:K,""),
_xlpm.MacVal,_xlfn.XLOOKUP($A1453,Output_Mac!$A:$A,Output_Mac!K:K,""),
_xlpm.MyAuditVal,_xlfn.XLOOKUP($A1453,My_Audit!$A:$A,My_Audit!J:J,""),
_xlfn.IFS(_xlpm.MyAuditVal&lt;&gt;"",UPPER(_xlpm.MyAuditVal),_xlpm.MacVal&lt;&gt;"",_xlpm.MacVal,_xlpm.CSVVal&lt;&gt;"",_xlpm.CSVVal
)),"")</f>
        <v/>
      </c>
      <c r="L1453" s="40" t="str" cm="1">
        <f t="array" ref="L1453">IFERROR(_xlfn.LET(
_xlpm.CSVVal,_xlfn.XLOOKUP($A1453,CSV!$A:$A,CSV!P:P,""),
_xlpm.MacVal,_xlfn.XLOOKUP($A1453,Output_Mac!$A:$A,Output_Mac!L:L,""),
_xlpm.MyAuditVal,_xlfn.XLOOKUP($A1453,My_Audit!$A:$A,My_Audit!K:K,""),
_xlfn.IFS(_xlpm.MyAuditVal&lt;&gt;"",UPPER(_xlpm.MyAuditVal),_xlpm.MacVal&lt;&gt;"",_xlpm.MacVal,_xlpm.CSVVal&lt;&gt;"",_xlpm.CSVVal
)),"")</f>
        <v/>
      </c>
      <c r="M1453" s="40" t="str" cm="1">
        <f t="array" ref="M1453">IFERROR(_xlfn.LET(
_xlpm.CSVVal,_xlfn.XLOOKUP($A1453,CSV!$A:$A,CSV!Q:Q,""),
_xlpm.MacVal,_xlfn.XLOOKUP($A1453,Output_Mac!$A:$A,Output_Mac!M:M,""),
_xlpm.MyAuditVal,_xlfn.XLOOKUP($A1453,My_Audit!$A:$A,My_Audit!L:L,""),
_xlfn.IFS(_xlpm.MyAuditVal&lt;&gt;"",UPPER(_xlpm.MyAuditVal),_xlpm.MacVal&lt;&gt;"",_xlpm.MacVal,_xlpm.CSVVal&lt;&gt;"",_xlpm.CSVVal
)),"")</f>
        <v/>
      </c>
      <c r="N1453" s="40"/>
      <c r="O1453" s="40" t="str">
        <f>_xlfn.LET(
    _xlpm.CSVVal, _xlfn.XLOOKUP($A1453, CSV!$A:$A, CSV!AA:AA, ""),
    _xlpm.MacVal, _xlfn.XLOOKUP($A1453, Output_Mac!$A:$A, Output_Mac!S:S, ""),
    _xlpm.MyAuditVal, _xlfn.XLOOKUP($A1453, My_Audit!$A:$A, My_Audit!P:P, ""),
    _xlfn.TEXTJOIN(", ", TRUE, _xlpm.MyAuditVal, _xlpm.MacVal, _xlpm.CSVVal)
)</f>
        <v/>
      </c>
      <c r="P1453" s="40" t="str" cm="1">
        <f t="array" ref="P1453">IFERROR(_xlfn.LET(
_xlpm.CSVVal,_xlfn.XLOOKUP($A1453,CSV!$A:$A,CSV!AB:AB,""),
_xlpm.MacVal,_xlfn.XLOOKUP($A1453,Output_Mac!$A:$A,Output_Mac!T:T,""),
_xlpm.MyAuditVal,_xlfn.XLOOKUP($A1453,My_Audit!$A:$A,My_Audit!Q:Q,""),
_xlfn.IFS(_xlpm.MyAuditVal&lt;&gt;"",UPPER(_xlpm.MyAuditVal),_xlpm.MacVal&lt;&gt;"",_xlpm.MacVal,_xlpm.CSVVal&lt;&gt;"",_xlpm.CSVVal
)),"No")</f>
        <v>No</v>
      </c>
      <c r="Q1453" s="40" t="str" cm="1">
        <f t="array" ref="Q1453">IFERROR(_xlfn.LET(
_xlpm.CSVVal,_xlfn.XLOOKUP($A1453,CSV!$A:$A,CSV!AC:AC,""),
_xlpm.MacVal,_xlfn.XLOOKUP($A1453,Output_Mac!$A:$A,Output_Mac!U:U,""),
_xlpm.MyAuditVal,_xlfn.XLOOKUP($A1453,My_Audit!$A:$A,My_Audit!R:R,""),
_xlfn.IFS(_xlpm.MyAuditVal&lt;&gt;"",UPPER(_xlpm.MyAuditVal),_xlpm.MacVal&lt;&gt;"",_xlpm.MacVal,_xlpm.CSVVal&lt;&gt;"",_xlpm.CSVVal
)),"")</f>
        <v/>
      </c>
      <c r="R1453" s="40"/>
      <c r="S1453" s="40"/>
      <c r="T1453" s="40"/>
      <c r="U1453" s="40"/>
      <c r="V1453" s="40"/>
      <c r="W1453" s="40"/>
      <c r="X1453" s="41" t="str">
        <f>_xlfn.LET(
    _xlpm.MacVal, _xlfn.XLOOKUP($A1453, Output_Mac!$A:$A, Output_Mac!AB:AB, ""),
    _xlpm.MyAuditVal, _xlfn.XLOOKUP($A1453, My_Audit!$A:$A, My_Audit!N:N, ""),
    _xlfn.TEXTJOIN(", ", TRUE, _xlpm.MyAuditVal, _xlpm.MacVal)
)</f>
        <v/>
      </c>
    </row>
    <row r="1454" spans="1:24">
      <c r="A1454" s="40" t="str">
        <f>_xlfn.TEXTJOIN("",TRUE,Input!$B$2,ROW(My_Audit!A1453))</f>
        <v>X1453</v>
      </c>
      <c r="B1454" s="40" t="str">
        <f>_xlfn.TEXTJOIN("-",TRUE,"ITD",Input!$A$2,A1454)</f>
        <v>ITD-X1453</v>
      </c>
      <c r="C1454" s="40" t="str" cm="1">
        <f t="array" ref="C1454">IFERROR(_xlfn.LET(
_xlpm.CSVVal,_xlfn.XLOOKUP($A1454,CSV!$A:$A,CSV!B:B,""),
_xlpm.MacVal,_xlfn.XLOOKUP($A1454,Output_Mac!$A:$A,Output_Mac!B:B,""),
_xlpm.MyAuditVal,_xlfn.XLOOKUP($A1454,My_Audit!$A:$A,My_Audit!B:B,""),
_xlfn.IFS(_xlpm.MyAuditVal&lt;&gt;"",UPPER(_xlpm.MyAuditVal),_xlpm.MacVal&lt;&gt;"",_xlpm.MacVal,_xlpm.CSVVal&lt;&gt;"",_xlpm.CSVVal
)),"")</f>
        <v/>
      </c>
      <c r="D1454" s="40" t="str" cm="1">
        <f t="array" ref="D1454">IFERROR(_xlfn.LET(
_xlpm.CSVVal,_xlfn.XLOOKUP($A1454,CSV!$A:$A,CSV!D:D,""),
_xlpm.MacVal,_xlfn.XLOOKUP($A1454,Output_Mac!$A:$A,Output_Mac!C:C,""),
_xlpm.MyAuditVal,_xlfn.XLOOKUP($A1454,My_Audit!$A:$A,My_Audit!C:C,""),
_xlfn.IFS(_xlpm.MyAuditVal&lt;&gt;"",_xlpm.MyAuditVal,_xlpm.MacVal&lt;&gt;"",_xlpm.MacVal,_xlpm.CSVVal&lt;&gt;"",_xlpm.CSVVal
)),"")</f>
        <v/>
      </c>
      <c r="E1454" s="40" t="str">
        <f>_xlfn.XLOOKUP(A1454,My_Audit!A:A,My_Audit!D:D,"")</f>
        <v/>
      </c>
      <c r="F1454" s="40" t="str" cm="1">
        <f t="array" ref="F1454">IFERROR(_xlfn.LET(
_xlpm.CSVVal,_xlfn.XLOOKUP($A1454,CSV!$A:$A,CSV!F:F,""),
_xlpm.MacVal,_xlfn.XLOOKUP($A1454,Output_Mac!$A:$A,Output_Mac!E:E,""),
_xlpm.MyAuditVal,_xlfn.XLOOKUP($A1454,My_Audit!$A:$A,My_Audit!E:E,""),
_xlfn.IFS(_xlpm.MyAuditVal&lt;&gt;"",_xlpm.MyAuditVal,_xlpm.MacVal&lt;&gt;"",_xlpm.MacVal,_xlpm.CSVVal&lt;&gt;"",_xlpm.CSVVal
)),"")</f>
        <v/>
      </c>
      <c r="G1454" s="40" t="str" cm="1">
        <f t="array" ref="G1454">IFERROR(_xlfn.LET(
_xlpm.CSVVal,_xlfn.XLOOKUP($A1454,CSV!$A:$A,CSV!G:G,""),
_xlpm.MacVal,_xlfn.XLOOKUP($A1454,Output_Mac!$A:$A,Output_Mac!F:F,""),
_xlpm.MyAuditVal,_xlfn.XLOOKUP($A1454,My_Audit!$A:$A,My_Audit!F:F,""),
_xlfn.IFS(_xlpm.MyAuditVal&lt;&gt;"",_xlpm.MyAuditVal,_xlpm.MacVal&lt;&gt;"",_xlpm.MacVal,_xlpm.CSVVal&lt;&gt;"",PROPER(_xlpm.CSVVal)
)),"")</f>
        <v/>
      </c>
      <c r="H1454" s="40" t="str" cm="1">
        <f t="array" ref="H1454">IFERROR(_xlfn.LET(
_xlpm.CSVVal,_xlfn.XLOOKUP($A1454,CSV!$A:$A,CSV!H:H,""),
_xlpm.MacVal,_xlfn.XLOOKUP($A1454,Output_Mac!$A:$A,Output_Mac!H:H,""),
_xlpm.MyAuditVal,_xlfn.XLOOKUP($A1454,My_Audit!$A:$A,My_Audit!G:G,""),
_xlfn.IFS(_xlpm.MyAuditVal&lt;&gt;"",_xlpm.MyAuditVal,_xlpm.MacVal&lt;&gt;"",_xlpm.MacVal,_xlpm.CSVVal&lt;&gt;"",_xlpm.CSVVal
)),"")</f>
        <v/>
      </c>
      <c r="I1454" s="40" t="str">
        <f>_xlfn.XLOOKUP(A1454,Output_Mac!A:A,Output_Mac!I:I,"")</f>
        <v/>
      </c>
      <c r="J1454" s="40" t="str" cm="1">
        <f t="array" ref="J1454">IFERROR(_xlfn.LET(
_xlpm.CSVVal,_xlfn.XLOOKUP($A1454,CSV!$A:$A,CSV!I:I,""),
_xlpm.MacVal,_xlfn.XLOOKUP($A1454,Output_Mac!$A:$A,Output_Mac!J:J,""),
_xlpm.MyAuditVal,_xlfn.XLOOKUP($A1454,My_Audit!$A:$A,My_Audit!I:I,""),
_xlfn.IFS(_xlpm.MyAuditVal&lt;&gt;"",UPPER(_xlpm.MyAuditVal),_xlpm.MacVal&lt;&gt;"",_xlpm.MacVal,_xlpm.CSVVal&lt;&gt;"",_xlpm.CSVVal
)),"")</f>
        <v/>
      </c>
      <c r="K1454" s="40" t="str" cm="1">
        <f t="array" ref="K1454">IFERROR(_xlfn.LET(
_xlpm.CSVVal,_xlfn.XLOOKUP($A1454,CSV!$A:$A,CSV!K:K,""),
_xlpm.MacVal,_xlfn.XLOOKUP($A1454,Output_Mac!$A:$A,Output_Mac!K:K,""),
_xlpm.MyAuditVal,_xlfn.XLOOKUP($A1454,My_Audit!$A:$A,My_Audit!J:J,""),
_xlfn.IFS(_xlpm.MyAuditVal&lt;&gt;"",UPPER(_xlpm.MyAuditVal),_xlpm.MacVal&lt;&gt;"",_xlpm.MacVal,_xlpm.CSVVal&lt;&gt;"",_xlpm.CSVVal
)),"")</f>
        <v/>
      </c>
      <c r="L1454" s="40" t="str" cm="1">
        <f t="array" ref="L1454">IFERROR(_xlfn.LET(
_xlpm.CSVVal,_xlfn.XLOOKUP($A1454,CSV!$A:$A,CSV!P:P,""),
_xlpm.MacVal,_xlfn.XLOOKUP($A1454,Output_Mac!$A:$A,Output_Mac!L:L,""),
_xlpm.MyAuditVal,_xlfn.XLOOKUP($A1454,My_Audit!$A:$A,My_Audit!K:K,""),
_xlfn.IFS(_xlpm.MyAuditVal&lt;&gt;"",UPPER(_xlpm.MyAuditVal),_xlpm.MacVal&lt;&gt;"",_xlpm.MacVal,_xlpm.CSVVal&lt;&gt;"",_xlpm.CSVVal
)),"")</f>
        <v/>
      </c>
      <c r="M1454" s="40" t="str" cm="1">
        <f t="array" ref="M1454">IFERROR(_xlfn.LET(
_xlpm.CSVVal,_xlfn.XLOOKUP($A1454,CSV!$A:$A,CSV!Q:Q,""),
_xlpm.MacVal,_xlfn.XLOOKUP($A1454,Output_Mac!$A:$A,Output_Mac!M:M,""),
_xlpm.MyAuditVal,_xlfn.XLOOKUP($A1454,My_Audit!$A:$A,My_Audit!L:L,""),
_xlfn.IFS(_xlpm.MyAuditVal&lt;&gt;"",UPPER(_xlpm.MyAuditVal),_xlpm.MacVal&lt;&gt;"",_xlpm.MacVal,_xlpm.CSVVal&lt;&gt;"",_xlpm.CSVVal
)),"")</f>
        <v/>
      </c>
      <c r="N1454" s="40"/>
      <c r="O1454" s="40" t="str">
        <f>_xlfn.LET(
    _xlpm.CSVVal, _xlfn.XLOOKUP($A1454, CSV!$A:$A, CSV!AA:AA, ""),
    _xlpm.MacVal, _xlfn.XLOOKUP($A1454, Output_Mac!$A:$A, Output_Mac!S:S, ""),
    _xlpm.MyAuditVal, _xlfn.XLOOKUP($A1454, My_Audit!$A:$A, My_Audit!P:P, ""),
    _xlfn.TEXTJOIN(", ", TRUE, _xlpm.MyAuditVal, _xlpm.MacVal, _xlpm.CSVVal)
)</f>
        <v/>
      </c>
      <c r="P1454" s="40" t="str" cm="1">
        <f t="array" ref="P1454">IFERROR(_xlfn.LET(
_xlpm.CSVVal,_xlfn.XLOOKUP($A1454,CSV!$A:$A,CSV!AB:AB,""),
_xlpm.MacVal,_xlfn.XLOOKUP($A1454,Output_Mac!$A:$A,Output_Mac!T:T,""),
_xlpm.MyAuditVal,_xlfn.XLOOKUP($A1454,My_Audit!$A:$A,My_Audit!Q:Q,""),
_xlfn.IFS(_xlpm.MyAuditVal&lt;&gt;"",UPPER(_xlpm.MyAuditVal),_xlpm.MacVal&lt;&gt;"",_xlpm.MacVal,_xlpm.CSVVal&lt;&gt;"",_xlpm.CSVVal
)),"No")</f>
        <v>No</v>
      </c>
      <c r="Q1454" s="40" t="str" cm="1">
        <f t="array" ref="Q1454">IFERROR(_xlfn.LET(
_xlpm.CSVVal,_xlfn.XLOOKUP($A1454,CSV!$A:$A,CSV!AC:AC,""),
_xlpm.MacVal,_xlfn.XLOOKUP($A1454,Output_Mac!$A:$A,Output_Mac!U:U,""),
_xlpm.MyAuditVal,_xlfn.XLOOKUP($A1454,My_Audit!$A:$A,My_Audit!R:R,""),
_xlfn.IFS(_xlpm.MyAuditVal&lt;&gt;"",UPPER(_xlpm.MyAuditVal),_xlpm.MacVal&lt;&gt;"",_xlpm.MacVal,_xlpm.CSVVal&lt;&gt;"",_xlpm.CSVVal
)),"")</f>
        <v/>
      </c>
      <c r="R1454" s="40"/>
      <c r="S1454" s="40"/>
      <c r="T1454" s="40"/>
      <c r="U1454" s="40"/>
      <c r="V1454" s="40"/>
      <c r="W1454" s="40"/>
      <c r="X1454" s="41" t="str">
        <f>_xlfn.LET(
    _xlpm.MacVal, _xlfn.XLOOKUP($A1454, Output_Mac!$A:$A, Output_Mac!AB:AB, ""),
    _xlpm.MyAuditVal, _xlfn.XLOOKUP($A1454, My_Audit!$A:$A, My_Audit!N:N, ""),
    _xlfn.TEXTJOIN(", ", TRUE, _xlpm.MyAuditVal, _xlpm.MacVal)
)</f>
        <v/>
      </c>
    </row>
    <row r="1455" spans="1:24">
      <c r="A1455" s="40" t="str">
        <f>_xlfn.TEXTJOIN("",TRUE,Input!$B$2,ROW(My_Audit!A1454))</f>
        <v>X1454</v>
      </c>
      <c r="B1455" s="40" t="str">
        <f>_xlfn.TEXTJOIN("-",TRUE,"ITD",Input!$A$2,A1455)</f>
        <v>ITD-X1454</v>
      </c>
      <c r="C1455" s="40" t="str" cm="1">
        <f t="array" ref="C1455">IFERROR(_xlfn.LET(
_xlpm.CSVVal,_xlfn.XLOOKUP($A1455,CSV!$A:$A,CSV!B:B,""),
_xlpm.MacVal,_xlfn.XLOOKUP($A1455,Output_Mac!$A:$A,Output_Mac!B:B,""),
_xlpm.MyAuditVal,_xlfn.XLOOKUP($A1455,My_Audit!$A:$A,My_Audit!B:B,""),
_xlfn.IFS(_xlpm.MyAuditVal&lt;&gt;"",UPPER(_xlpm.MyAuditVal),_xlpm.MacVal&lt;&gt;"",_xlpm.MacVal,_xlpm.CSVVal&lt;&gt;"",_xlpm.CSVVal
)),"")</f>
        <v/>
      </c>
      <c r="D1455" s="40" t="str" cm="1">
        <f t="array" ref="D1455">IFERROR(_xlfn.LET(
_xlpm.CSVVal,_xlfn.XLOOKUP($A1455,CSV!$A:$A,CSV!D:D,""),
_xlpm.MacVal,_xlfn.XLOOKUP($A1455,Output_Mac!$A:$A,Output_Mac!C:C,""),
_xlpm.MyAuditVal,_xlfn.XLOOKUP($A1455,My_Audit!$A:$A,My_Audit!C:C,""),
_xlfn.IFS(_xlpm.MyAuditVal&lt;&gt;"",_xlpm.MyAuditVal,_xlpm.MacVal&lt;&gt;"",_xlpm.MacVal,_xlpm.CSVVal&lt;&gt;"",_xlpm.CSVVal
)),"")</f>
        <v/>
      </c>
      <c r="E1455" s="40" t="str">
        <f>_xlfn.XLOOKUP(A1455,My_Audit!A:A,My_Audit!D:D,"")</f>
        <v/>
      </c>
      <c r="F1455" s="40" t="str" cm="1">
        <f t="array" ref="F1455">IFERROR(_xlfn.LET(
_xlpm.CSVVal,_xlfn.XLOOKUP($A1455,CSV!$A:$A,CSV!F:F,""),
_xlpm.MacVal,_xlfn.XLOOKUP($A1455,Output_Mac!$A:$A,Output_Mac!E:E,""),
_xlpm.MyAuditVal,_xlfn.XLOOKUP($A1455,My_Audit!$A:$A,My_Audit!E:E,""),
_xlfn.IFS(_xlpm.MyAuditVal&lt;&gt;"",_xlpm.MyAuditVal,_xlpm.MacVal&lt;&gt;"",_xlpm.MacVal,_xlpm.CSVVal&lt;&gt;"",_xlpm.CSVVal
)),"")</f>
        <v/>
      </c>
      <c r="G1455" s="40" t="str" cm="1">
        <f t="array" ref="G1455">IFERROR(_xlfn.LET(
_xlpm.CSVVal,_xlfn.XLOOKUP($A1455,CSV!$A:$A,CSV!G:G,""),
_xlpm.MacVal,_xlfn.XLOOKUP($A1455,Output_Mac!$A:$A,Output_Mac!F:F,""),
_xlpm.MyAuditVal,_xlfn.XLOOKUP($A1455,My_Audit!$A:$A,My_Audit!F:F,""),
_xlfn.IFS(_xlpm.MyAuditVal&lt;&gt;"",_xlpm.MyAuditVal,_xlpm.MacVal&lt;&gt;"",_xlpm.MacVal,_xlpm.CSVVal&lt;&gt;"",PROPER(_xlpm.CSVVal)
)),"")</f>
        <v/>
      </c>
      <c r="H1455" s="40" t="str" cm="1">
        <f t="array" ref="H1455">IFERROR(_xlfn.LET(
_xlpm.CSVVal,_xlfn.XLOOKUP($A1455,CSV!$A:$A,CSV!H:H,""),
_xlpm.MacVal,_xlfn.XLOOKUP($A1455,Output_Mac!$A:$A,Output_Mac!H:H,""),
_xlpm.MyAuditVal,_xlfn.XLOOKUP($A1455,My_Audit!$A:$A,My_Audit!G:G,""),
_xlfn.IFS(_xlpm.MyAuditVal&lt;&gt;"",_xlpm.MyAuditVal,_xlpm.MacVal&lt;&gt;"",_xlpm.MacVal,_xlpm.CSVVal&lt;&gt;"",_xlpm.CSVVal
)),"")</f>
        <v/>
      </c>
      <c r="I1455" s="40" t="str">
        <f>_xlfn.XLOOKUP(A1455,Output_Mac!A:A,Output_Mac!I:I,"")</f>
        <v/>
      </c>
      <c r="J1455" s="40" t="str" cm="1">
        <f t="array" ref="J1455">IFERROR(_xlfn.LET(
_xlpm.CSVVal,_xlfn.XLOOKUP($A1455,CSV!$A:$A,CSV!I:I,""),
_xlpm.MacVal,_xlfn.XLOOKUP($A1455,Output_Mac!$A:$A,Output_Mac!J:J,""),
_xlpm.MyAuditVal,_xlfn.XLOOKUP($A1455,My_Audit!$A:$A,My_Audit!I:I,""),
_xlfn.IFS(_xlpm.MyAuditVal&lt;&gt;"",UPPER(_xlpm.MyAuditVal),_xlpm.MacVal&lt;&gt;"",_xlpm.MacVal,_xlpm.CSVVal&lt;&gt;"",_xlpm.CSVVal
)),"")</f>
        <v/>
      </c>
      <c r="K1455" s="40" t="str" cm="1">
        <f t="array" ref="K1455">IFERROR(_xlfn.LET(
_xlpm.CSVVal,_xlfn.XLOOKUP($A1455,CSV!$A:$A,CSV!K:K,""),
_xlpm.MacVal,_xlfn.XLOOKUP($A1455,Output_Mac!$A:$A,Output_Mac!K:K,""),
_xlpm.MyAuditVal,_xlfn.XLOOKUP($A1455,My_Audit!$A:$A,My_Audit!J:J,""),
_xlfn.IFS(_xlpm.MyAuditVal&lt;&gt;"",UPPER(_xlpm.MyAuditVal),_xlpm.MacVal&lt;&gt;"",_xlpm.MacVal,_xlpm.CSVVal&lt;&gt;"",_xlpm.CSVVal
)),"")</f>
        <v/>
      </c>
      <c r="L1455" s="40" t="str" cm="1">
        <f t="array" ref="L1455">IFERROR(_xlfn.LET(
_xlpm.CSVVal,_xlfn.XLOOKUP($A1455,CSV!$A:$A,CSV!P:P,""),
_xlpm.MacVal,_xlfn.XLOOKUP($A1455,Output_Mac!$A:$A,Output_Mac!L:L,""),
_xlpm.MyAuditVal,_xlfn.XLOOKUP($A1455,My_Audit!$A:$A,My_Audit!K:K,""),
_xlfn.IFS(_xlpm.MyAuditVal&lt;&gt;"",UPPER(_xlpm.MyAuditVal),_xlpm.MacVal&lt;&gt;"",_xlpm.MacVal,_xlpm.CSVVal&lt;&gt;"",_xlpm.CSVVal
)),"")</f>
        <v/>
      </c>
      <c r="M1455" s="40" t="str" cm="1">
        <f t="array" ref="M1455">IFERROR(_xlfn.LET(
_xlpm.CSVVal,_xlfn.XLOOKUP($A1455,CSV!$A:$A,CSV!Q:Q,""),
_xlpm.MacVal,_xlfn.XLOOKUP($A1455,Output_Mac!$A:$A,Output_Mac!M:M,""),
_xlpm.MyAuditVal,_xlfn.XLOOKUP($A1455,My_Audit!$A:$A,My_Audit!L:L,""),
_xlfn.IFS(_xlpm.MyAuditVal&lt;&gt;"",UPPER(_xlpm.MyAuditVal),_xlpm.MacVal&lt;&gt;"",_xlpm.MacVal,_xlpm.CSVVal&lt;&gt;"",_xlpm.CSVVal
)),"")</f>
        <v/>
      </c>
      <c r="N1455" s="40"/>
      <c r="O1455" s="40" t="str">
        <f>_xlfn.LET(
    _xlpm.CSVVal, _xlfn.XLOOKUP($A1455, CSV!$A:$A, CSV!AA:AA, ""),
    _xlpm.MacVal, _xlfn.XLOOKUP($A1455, Output_Mac!$A:$A, Output_Mac!S:S, ""),
    _xlpm.MyAuditVal, _xlfn.XLOOKUP($A1455, My_Audit!$A:$A, My_Audit!P:P, ""),
    _xlfn.TEXTJOIN(", ", TRUE, _xlpm.MyAuditVal, _xlpm.MacVal, _xlpm.CSVVal)
)</f>
        <v/>
      </c>
      <c r="P1455" s="40" t="str" cm="1">
        <f t="array" ref="P1455">IFERROR(_xlfn.LET(
_xlpm.CSVVal,_xlfn.XLOOKUP($A1455,CSV!$A:$A,CSV!AB:AB,""),
_xlpm.MacVal,_xlfn.XLOOKUP($A1455,Output_Mac!$A:$A,Output_Mac!T:T,""),
_xlpm.MyAuditVal,_xlfn.XLOOKUP($A1455,My_Audit!$A:$A,My_Audit!Q:Q,""),
_xlfn.IFS(_xlpm.MyAuditVal&lt;&gt;"",UPPER(_xlpm.MyAuditVal),_xlpm.MacVal&lt;&gt;"",_xlpm.MacVal,_xlpm.CSVVal&lt;&gt;"",_xlpm.CSVVal
)),"No")</f>
        <v>No</v>
      </c>
      <c r="Q1455" s="40" t="str" cm="1">
        <f t="array" ref="Q1455">IFERROR(_xlfn.LET(
_xlpm.CSVVal,_xlfn.XLOOKUP($A1455,CSV!$A:$A,CSV!AC:AC,""),
_xlpm.MacVal,_xlfn.XLOOKUP($A1455,Output_Mac!$A:$A,Output_Mac!U:U,""),
_xlpm.MyAuditVal,_xlfn.XLOOKUP($A1455,My_Audit!$A:$A,My_Audit!R:R,""),
_xlfn.IFS(_xlpm.MyAuditVal&lt;&gt;"",UPPER(_xlpm.MyAuditVal),_xlpm.MacVal&lt;&gt;"",_xlpm.MacVal,_xlpm.CSVVal&lt;&gt;"",_xlpm.CSVVal
)),"")</f>
        <v/>
      </c>
      <c r="R1455" s="40"/>
      <c r="S1455" s="40"/>
      <c r="T1455" s="40"/>
      <c r="U1455" s="40"/>
      <c r="V1455" s="40"/>
      <c r="W1455" s="40"/>
      <c r="X1455" s="41" t="str">
        <f>_xlfn.LET(
    _xlpm.MacVal, _xlfn.XLOOKUP($A1455, Output_Mac!$A:$A, Output_Mac!AB:AB, ""),
    _xlpm.MyAuditVal, _xlfn.XLOOKUP($A1455, My_Audit!$A:$A, My_Audit!N:N, ""),
    _xlfn.TEXTJOIN(", ", TRUE, _xlpm.MyAuditVal, _xlpm.MacVal)
)</f>
        <v/>
      </c>
    </row>
    <row r="1456" spans="1:24">
      <c r="A1456" s="40" t="str">
        <f>_xlfn.TEXTJOIN("",TRUE,Input!$B$2,ROW(My_Audit!A1455))</f>
        <v>X1455</v>
      </c>
      <c r="B1456" s="40" t="str">
        <f>_xlfn.TEXTJOIN("-",TRUE,"ITD",Input!$A$2,A1456)</f>
        <v>ITD-X1455</v>
      </c>
      <c r="C1456" s="40" t="str" cm="1">
        <f t="array" ref="C1456">IFERROR(_xlfn.LET(
_xlpm.CSVVal,_xlfn.XLOOKUP($A1456,CSV!$A:$A,CSV!B:B,""),
_xlpm.MacVal,_xlfn.XLOOKUP($A1456,Output_Mac!$A:$A,Output_Mac!B:B,""),
_xlpm.MyAuditVal,_xlfn.XLOOKUP($A1456,My_Audit!$A:$A,My_Audit!B:B,""),
_xlfn.IFS(_xlpm.MyAuditVal&lt;&gt;"",UPPER(_xlpm.MyAuditVal),_xlpm.MacVal&lt;&gt;"",_xlpm.MacVal,_xlpm.CSVVal&lt;&gt;"",_xlpm.CSVVal
)),"")</f>
        <v/>
      </c>
      <c r="D1456" s="40" t="str" cm="1">
        <f t="array" ref="D1456">IFERROR(_xlfn.LET(
_xlpm.CSVVal,_xlfn.XLOOKUP($A1456,CSV!$A:$A,CSV!D:D,""),
_xlpm.MacVal,_xlfn.XLOOKUP($A1456,Output_Mac!$A:$A,Output_Mac!C:C,""),
_xlpm.MyAuditVal,_xlfn.XLOOKUP($A1456,My_Audit!$A:$A,My_Audit!C:C,""),
_xlfn.IFS(_xlpm.MyAuditVal&lt;&gt;"",_xlpm.MyAuditVal,_xlpm.MacVal&lt;&gt;"",_xlpm.MacVal,_xlpm.CSVVal&lt;&gt;"",_xlpm.CSVVal
)),"")</f>
        <v/>
      </c>
      <c r="E1456" s="40" t="str">
        <f>_xlfn.XLOOKUP(A1456,My_Audit!A:A,My_Audit!D:D,"")</f>
        <v/>
      </c>
      <c r="F1456" s="40" t="str" cm="1">
        <f t="array" ref="F1456">IFERROR(_xlfn.LET(
_xlpm.CSVVal,_xlfn.XLOOKUP($A1456,CSV!$A:$A,CSV!F:F,""),
_xlpm.MacVal,_xlfn.XLOOKUP($A1456,Output_Mac!$A:$A,Output_Mac!E:E,""),
_xlpm.MyAuditVal,_xlfn.XLOOKUP($A1456,My_Audit!$A:$A,My_Audit!E:E,""),
_xlfn.IFS(_xlpm.MyAuditVal&lt;&gt;"",_xlpm.MyAuditVal,_xlpm.MacVal&lt;&gt;"",_xlpm.MacVal,_xlpm.CSVVal&lt;&gt;"",_xlpm.CSVVal
)),"")</f>
        <v/>
      </c>
      <c r="G1456" s="40" t="str" cm="1">
        <f t="array" ref="G1456">IFERROR(_xlfn.LET(
_xlpm.CSVVal,_xlfn.XLOOKUP($A1456,CSV!$A:$A,CSV!G:G,""),
_xlpm.MacVal,_xlfn.XLOOKUP($A1456,Output_Mac!$A:$A,Output_Mac!F:F,""),
_xlpm.MyAuditVal,_xlfn.XLOOKUP($A1456,My_Audit!$A:$A,My_Audit!F:F,""),
_xlfn.IFS(_xlpm.MyAuditVal&lt;&gt;"",_xlpm.MyAuditVal,_xlpm.MacVal&lt;&gt;"",_xlpm.MacVal,_xlpm.CSVVal&lt;&gt;"",PROPER(_xlpm.CSVVal)
)),"")</f>
        <v/>
      </c>
      <c r="H1456" s="40" t="str" cm="1">
        <f t="array" ref="H1456">IFERROR(_xlfn.LET(
_xlpm.CSVVal,_xlfn.XLOOKUP($A1456,CSV!$A:$A,CSV!H:H,""),
_xlpm.MacVal,_xlfn.XLOOKUP($A1456,Output_Mac!$A:$A,Output_Mac!H:H,""),
_xlpm.MyAuditVal,_xlfn.XLOOKUP($A1456,My_Audit!$A:$A,My_Audit!G:G,""),
_xlfn.IFS(_xlpm.MyAuditVal&lt;&gt;"",_xlpm.MyAuditVal,_xlpm.MacVal&lt;&gt;"",_xlpm.MacVal,_xlpm.CSVVal&lt;&gt;"",_xlpm.CSVVal
)),"")</f>
        <v/>
      </c>
      <c r="I1456" s="40" t="str">
        <f>_xlfn.XLOOKUP(A1456,Output_Mac!A:A,Output_Mac!I:I,"")</f>
        <v/>
      </c>
      <c r="J1456" s="40" t="str" cm="1">
        <f t="array" ref="J1456">IFERROR(_xlfn.LET(
_xlpm.CSVVal,_xlfn.XLOOKUP($A1456,CSV!$A:$A,CSV!I:I,""),
_xlpm.MacVal,_xlfn.XLOOKUP($A1456,Output_Mac!$A:$A,Output_Mac!J:J,""),
_xlpm.MyAuditVal,_xlfn.XLOOKUP($A1456,My_Audit!$A:$A,My_Audit!I:I,""),
_xlfn.IFS(_xlpm.MyAuditVal&lt;&gt;"",UPPER(_xlpm.MyAuditVal),_xlpm.MacVal&lt;&gt;"",_xlpm.MacVal,_xlpm.CSVVal&lt;&gt;"",_xlpm.CSVVal
)),"")</f>
        <v/>
      </c>
      <c r="K1456" s="40" t="str" cm="1">
        <f t="array" ref="K1456">IFERROR(_xlfn.LET(
_xlpm.CSVVal,_xlfn.XLOOKUP($A1456,CSV!$A:$A,CSV!K:K,""),
_xlpm.MacVal,_xlfn.XLOOKUP($A1456,Output_Mac!$A:$A,Output_Mac!K:K,""),
_xlpm.MyAuditVal,_xlfn.XLOOKUP($A1456,My_Audit!$A:$A,My_Audit!J:J,""),
_xlfn.IFS(_xlpm.MyAuditVal&lt;&gt;"",UPPER(_xlpm.MyAuditVal),_xlpm.MacVal&lt;&gt;"",_xlpm.MacVal,_xlpm.CSVVal&lt;&gt;"",_xlpm.CSVVal
)),"")</f>
        <v/>
      </c>
      <c r="L1456" s="40" t="str" cm="1">
        <f t="array" ref="L1456">IFERROR(_xlfn.LET(
_xlpm.CSVVal,_xlfn.XLOOKUP($A1456,CSV!$A:$A,CSV!P:P,""),
_xlpm.MacVal,_xlfn.XLOOKUP($A1456,Output_Mac!$A:$A,Output_Mac!L:L,""),
_xlpm.MyAuditVal,_xlfn.XLOOKUP($A1456,My_Audit!$A:$A,My_Audit!K:K,""),
_xlfn.IFS(_xlpm.MyAuditVal&lt;&gt;"",UPPER(_xlpm.MyAuditVal),_xlpm.MacVal&lt;&gt;"",_xlpm.MacVal,_xlpm.CSVVal&lt;&gt;"",_xlpm.CSVVal
)),"")</f>
        <v/>
      </c>
      <c r="M1456" s="40" t="str" cm="1">
        <f t="array" ref="M1456">IFERROR(_xlfn.LET(
_xlpm.CSVVal,_xlfn.XLOOKUP($A1456,CSV!$A:$A,CSV!Q:Q,""),
_xlpm.MacVal,_xlfn.XLOOKUP($A1456,Output_Mac!$A:$A,Output_Mac!M:M,""),
_xlpm.MyAuditVal,_xlfn.XLOOKUP($A1456,My_Audit!$A:$A,My_Audit!L:L,""),
_xlfn.IFS(_xlpm.MyAuditVal&lt;&gt;"",UPPER(_xlpm.MyAuditVal),_xlpm.MacVal&lt;&gt;"",_xlpm.MacVal,_xlpm.CSVVal&lt;&gt;"",_xlpm.CSVVal
)),"")</f>
        <v/>
      </c>
      <c r="N1456" s="40"/>
      <c r="O1456" s="40" t="str">
        <f>_xlfn.LET(
    _xlpm.CSVVal, _xlfn.XLOOKUP($A1456, CSV!$A:$A, CSV!AA:AA, ""),
    _xlpm.MacVal, _xlfn.XLOOKUP($A1456, Output_Mac!$A:$A, Output_Mac!S:S, ""),
    _xlpm.MyAuditVal, _xlfn.XLOOKUP($A1456, My_Audit!$A:$A, My_Audit!P:P, ""),
    _xlfn.TEXTJOIN(", ", TRUE, _xlpm.MyAuditVal, _xlpm.MacVal, _xlpm.CSVVal)
)</f>
        <v/>
      </c>
      <c r="P1456" s="40" t="str" cm="1">
        <f t="array" ref="P1456">IFERROR(_xlfn.LET(
_xlpm.CSVVal,_xlfn.XLOOKUP($A1456,CSV!$A:$A,CSV!AB:AB,""),
_xlpm.MacVal,_xlfn.XLOOKUP($A1456,Output_Mac!$A:$A,Output_Mac!T:T,""),
_xlpm.MyAuditVal,_xlfn.XLOOKUP($A1456,My_Audit!$A:$A,My_Audit!Q:Q,""),
_xlfn.IFS(_xlpm.MyAuditVal&lt;&gt;"",UPPER(_xlpm.MyAuditVal),_xlpm.MacVal&lt;&gt;"",_xlpm.MacVal,_xlpm.CSVVal&lt;&gt;"",_xlpm.CSVVal
)),"No")</f>
        <v>No</v>
      </c>
      <c r="Q1456" s="40" t="str" cm="1">
        <f t="array" ref="Q1456">IFERROR(_xlfn.LET(
_xlpm.CSVVal,_xlfn.XLOOKUP($A1456,CSV!$A:$A,CSV!AC:AC,""),
_xlpm.MacVal,_xlfn.XLOOKUP($A1456,Output_Mac!$A:$A,Output_Mac!U:U,""),
_xlpm.MyAuditVal,_xlfn.XLOOKUP($A1456,My_Audit!$A:$A,My_Audit!R:R,""),
_xlfn.IFS(_xlpm.MyAuditVal&lt;&gt;"",UPPER(_xlpm.MyAuditVal),_xlpm.MacVal&lt;&gt;"",_xlpm.MacVal,_xlpm.CSVVal&lt;&gt;"",_xlpm.CSVVal
)),"")</f>
        <v/>
      </c>
      <c r="R1456" s="40"/>
      <c r="S1456" s="40"/>
      <c r="T1456" s="40"/>
      <c r="U1456" s="40"/>
      <c r="V1456" s="40"/>
      <c r="W1456" s="40"/>
      <c r="X1456" s="41" t="str">
        <f>_xlfn.LET(
    _xlpm.MacVal, _xlfn.XLOOKUP($A1456, Output_Mac!$A:$A, Output_Mac!AB:AB, ""),
    _xlpm.MyAuditVal, _xlfn.XLOOKUP($A1456, My_Audit!$A:$A, My_Audit!N:N, ""),
    _xlfn.TEXTJOIN(", ", TRUE, _xlpm.MyAuditVal, _xlpm.MacVal)
)</f>
        <v/>
      </c>
    </row>
    <row r="1457" spans="1:24">
      <c r="A1457" s="40" t="str">
        <f>_xlfn.TEXTJOIN("",TRUE,Input!$B$2,ROW(My_Audit!A1456))</f>
        <v>X1456</v>
      </c>
      <c r="B1457" s="40" t="str">
        <f>_xlfn.TEXTJOIN("-",TRUE,"ITD",Input!$A$2,A1457)</f>
        <v>ITD-X1456</v>
      </c>
      <c r="C1457" s="40" t="str" cm="1">
        <f t="array" ref="C1457">IFERROR(_xlfn.LET(
_xlpm.CSVVal,_xlfn.XLOOKUP($A1457,CSV!$A:$A,CSV!B:B,""),
_xlpm.MacVal,_xlfn.XLOOKUP($A1457,Output_Mac!$A:$A,Output_Mac!B:B,""),
_xlpm.MyAuditVal,_xlfn.XLOOKUP($A1457,My_Audit!$A:$A,My_Audit!B:B,""),
_xlfn.IFS(_xlpm.MyAuditVal&lt;&gt;"",UPPER(_xlpm.MyAuditVal),_xlpm.MacVal&lt;&gt;"",_xlpm.MacVal,_xlpm.CSVVal&lt;&gt;"",_xlpm.CSVVal
)),"")</f>
        <v/>
      </c>
      <c r="D1457" s="40" t="str" cm="1">
        <f t="array" ref="D1457">IFERROR(_xlfn.LET(
_xlpm.CSVVal,_xlfn.XLOOKUP($A1457,CSV!$A:$A,CSV!D:D,""),
_xlpm.MacVal,_xlfn.XLOOKUP($A1457,Output_Mac!$A:$A,Output_Mac!C:C,""),
_xlpm.MyAuditVal,_xlfn.XLOOKUP($A1457,My_Audit!$A:$A,My_Audit!C:C,""),
_xlfn.IFS(_xlpm.MyAuditVal&lt;&gt;"",_xlpm.MyAuditVal,_xlpm.MacVal&lt;&gt;"",_xlpm.MacVal,_xlpm.CSVVal&lt;&gt;"",_xlpm.CSVVal
)),"")</f>
        <v/>
      </c>
      <c r="E1457" s="40" t="str">
        <f>_xlfn.XLOOKUP(A1457,My_Audit!A:A,My_Audit!D:D,"")</f>
        <v/>
      </c>
      <c r="F1457" s="40" t="str" cm="1">
        <f t="array" ref="F1457">IFERROR(_xlfn.LET(
_xlpm.CSVVal,_xlfn.XLOOKUP($A1457,CSV!$A:$A,CSV!F:F,""),
_xlpm.MacVal,_xlfn.XLOOKUP($A1457,Output_Mac!$A:$A,Output_Mac!E:E,""),
_xlpm.MyAuditVal,_xlfn.XLOOKUP($A1457,My_Audit!$A:$A,My_Audit!E:E,""),
_xlfn.IFS(_xlpm.MyAuditVal&lt;&gt;"",_xlpm.MyAuditVal,_xlpm.MacVal&lt;&gt;"",_xlpm.MacVal,_xlpm.CSVVal&lt;&gt;"",_xlpm.CSVVal
)),"")</f>
        <v/>
      </c>
      <c r="G1457" s="40" t="str" cm="1">
        <f t="array" ref="G1457">IFERROR(_xlfn.LET(
_xlpm.CSVVal,_xlfn.XLOOKUP($A1457,CSV!$A:$A,CSV!G:G,""),
_xlpm.MacVal,_xlfn.XLOOKUP($A1457,Output_Mac!$A:$A,Output_Mac!F:F,""),
_xlpm.MyAuditVal,_xlfn.XLOOKUP($A1457,My_Audit!$A:$A,My_Audit!F:F,""),
_xlfn.IFS(_xlpm.MyAuditVal&lt;&gt;"",_xlpm.MyAuditVal,_xlpm.MacVal&lt;&gt;"",_xlpm.MacVal,_xlpm.CSVVal&lt;&gt;"",PROPER(_xlpm.CSVVal)
)),"")</f>
        <v/>
      </c>
      <c r="H1457" s="40" t="str" cm="1">
        <f t="array" ref="H1457">IFERROR(_xlfn.LET(
_xlpm.CSVVal,_xlfn.XLOOKUP($A1457,CSV!$A:$A,CSV!H:H,""),
_xlpm.MacVal,_xlfn.XLOOKUP($A1457,Output_Mac!$A:$A,Output_Mac!H:H,""),
_xlpm.MyAuditVal,_xlfn.XLOOKUP($A1457,My_Audit!$A:$A,My_Audit!G:G,""),
_xlfn.IFS(_xlpm.MyAuditVal&lt;&gt;"",_xlpm.MyAuditVal,_xlpm.MacVal&lt;&gt;"",_xlpm.MacVal,_xlpm.CSVVal&lt;&gt;"",_xlpm.CSVVal
)),"")</f>
        <v/>
      </c>
      <c r="I1457" s="40" t="str">
        <f>_xlfn.XLOOKUP(A1457,Output_Mac!A:A,Output_Mac!I:I,"")</f>
        <v/>
      </c>
      <c r="J1457" s="40" t="str" cm="1">
        <f t="array" ref="J1457">IFERROR(_xlfn.LET(
_xlpm.CSVVal,_xlfn.XLOOKUP($A1457,CSV!$A:$A,CSV!I:I,""),
_xlpm.MacVal,_xlfn.XLOOKUP($A1457,Output_Mac!$A:$A,Output_Mac!J:J,""),
_xlpm.MyAuditVal,_xlfn.XLOOKUP($A1457,My_Audit!$A:$A,My_Audit!I:I,""),
_xlfn.IFS(_xlpm.MyAuditVal&lt;&gt;"",UPPER(_xlpm.MyAuditVal),_xlpm.MacVal&lt;&gt;"",_xlpm.MacVal,_xlpm.CSVVal&lt;&gt;"",_xlpm.CSVVal
)),"")</f>
        <v/>
      </c>
      <c r="K1457" s="40" t="str" cm="1">
        <f t="array" ref="K1457">IFERROR(_xlfn.LET(
_xlpm.CSVVal,_xlfn.XLOOKUP($A1457,CSV!$A:$A,CSV!K:K,""),
_xlpm.MacVal,_xlfn.XLOOKUP($A1457,Output_Mac!$A:$A,Output_Mac!K:K,""),
_xlpm.MyAuditVal,_xlfn.XLOOKUP($A1457,My_Audit!$A:$A,My_Audit!J:J,""),
_xlfn.IFS(_xlpm.MyAuditVal&lt;&gt;"",UPPER(_xlpm.MyAuditVal),_xlpm.MacVal&lt;&gt;"",_xlpm.MacVal,_xlpm.CSVVal&lt;&gt;"",_xlpm.CSVVal
)),"")</f>
        <v/>
      </c>
      <c r="L1457" s="40" t="str" cm="1">
        <f t="array" ref="L1457">IFERROR(_xlfn.LET(
_xlpm.CSVVal,_xlfn.XLOOKUP($A1457,CSV!$A:$A,CSV!P:P,""),
_xlpm.MacVal,_xlfn.XLOOKUP($A1457,Output_Mac!$A:$A,Output_Mac!L:L,""),
_xlpm.MyAuditVal,_xlfn.XLOOKUP($A1457,My_Audit!$A:$A,My_Audit!K:K,""),
_xlfn.IFS(_xlpm.MyAuditVal&lt;&gt;"",UPPER(_xlpm.MyAuditVal),_xlpm.MacVal&lt;&gt;"",_xlpm.MacVal,_xlpm.CSVVal&lt;&gt;"",_xlpm.CSVVal
)),"")</f>
        <v/>
      </c>
      <c r="M1457" s="40" t="str" cm="1">
        <f t="array" ref="M1457">IFERROR(_xlfn.LET(
_xlpm.CSVVal,_xlfn.XLOOKUP($A1457,CSV!$A:$A,CSV!Q:Q,""),
_xlpm.MacVal,_xlfn.XLOOKUP($A1457,Output_Mac!$A:$A,Output_Mac!M:M,""),
_xlpm.MyAuditVal,_xlfn.XLOOKUP($A1457,My_Audit!$A:$A,My_Audit!L:L,""),
_xlfn.IFS(_xlpm.MyAuditVal&lt;&gt;"",UPPER(_xlpm.MyAuditVal),_xlpm.MacVal&lt;&gt;"",_xlpm.MacVal,_xlpm.CSVVal&lt;&gt;"",_xlpm.CSVVal
)),"")</f>
        <v/>
      </c>
      <c r="N1457" s="40"/>
      <c r="O1457" s="40" t="str">
        <f>_xlfn.LET(
    _xlpm.CSVVal, _xlfn.XLOOKUP($A1457, CSV!$A:$A, CSV!AA:AA, ""),
    _xlpm.MacVal, _xlfn.XLOOKUP($A1457, Output_Mac!$A:$A, Output_Mac!S:S, ""),
    _xlpm.MyAuditVal, _xlfn.XLOOKUP($A1457, My_Audit!$A:$A, My_Audit!P:P, ""),
    _xlfn.TEXTJOIN(", ", TRUE, _xlpm.MyAuditVal, _xlpm.MacVal, _xlpm.CSVVal)
)</f>
        <v/>
      </c>
      <c r="P1457" s="40" t="str" cm="1">
        <f t="array" ref="P1457">IFERROR(_xlfn.LET(
_xlpm.CSVVal,_xlfn.XLOOKUP($A1457,CSV!$A:$A,CSV!AB:AB,""),
_xlpm.MacVal,_xlfn.XLOOKUP($A1457,Output_Mac!$A:$A,Output_Mac!T:T,""),
_xlpm.MyAuditVal,_xlfn.XLOOKUP($A1457,My_Audit!$A:$A,My_Audit!Q:Q,""),
_xlfn.IFS(_xlpm.MyAuditVal&lt;&gt;"",UPPER(_xlpm.MyAuditVal),_xlpm.MacVal&lt;&gt;"",_xlpm.MacVal,_xlpm.CSVVal&lt;&gt;"",_xlpm.CSVVal
)),"No")</f>
        <v>No</v>
      </c>
      <c r="Q1457" s="40" t="str" cm="1">
        <f t="array" ref="Q1457">IFERROR(_xlfn.LET(
_xlpm.CSVVal,_xlfn.XLOOKUP($A1457,CSV!$A:$A,CSV!AC:AC,""),
_xlpm.MacVal,_xlfn.XLOOKUP($A1457,Output_Mac!$A:$A,Output_Mac!U:U,""),
_xlpm.MyAuditVal,_xlfn.XLOOKUP($A1457,My_Audit!$A:$A,My_Audit!R:R,""),
_xlfn.IFS(_xlpm.MyAuditVal&lt;&gt;"",UPPER(_xlpm.MyAuditVal),_xlpm.MacVal&lt;&gt;"",_xlpm.MacVal,_xlpm.CSVVal&lt;&gt;"",_xlpm.CSVVal
)),"")</f>
        <v/>
      </c>
      <c r="R1457" s="40"/>
      <c r="S1457" s="40"/>
      <c r="T1457" s="40"/>
      <c r="U1457" s="40"/>
      <c r="V1457" s="40"/>
      <c r="W1457" s="40"/>
      <c r="X1457" s="41" t="str">
        <f>_xlfn.LET(
    _xlpm.MacVal, _xlfn.XLOOKUP($A1457, Output_Mac!$A:$A, Output_Mac!AB:AB, ""),
    _xlpm.MyAuditVal, _xlfn.XLOOKUP($A1457, My_Audit!$A:$A, My_Audit!N:N, ""),
    _xlfn.TEXTJOIN(", ", TRUE, _xlpm.MyAuditVal, _xlpm.MacVal)
)</f>
        <v/>
      </c>
    </row>
    <row r="1458" spans="1:24">
      <c r="A1458" s="40" t="str">
        <f>_xlfn.TEXTJOIN("",TRUE,Input!$B$2,ROW(My_Audit!A1457))</f>
        <v>X1457</v>
      </c>
      <c r="B1458" s="40" t="str">
        <f>_xlfn.TEXTJOIN("-",TRUE,"ITD",Input!$A$2,A1458)</f>
        <v>ITD-X1457</v>
      </c>
      <c r="C1458" s="40" t="str" cm="1">
        <f t="array" ref="C1458">IFERROR(_xlfn.LET(
_xlpm.CSVVal,_xlfn.XLOOKUP($A1458,CSV!$A:$A,CSV!B:B,""),
_xlpm.MacVal,_xlfn.XLOOKUP($A1458,Output_Mac!$A:$A,Output_Mac!B:B,""),
_xlpm.MyAuditVal,_xlfn.XLOOKUP($A1458,My_Audit!$A:$A,My_Audit!B:B,""),
_xlfn.IFS(_xlpm.MyAuditVal&lt;&gt;"",UPPER(_xlpm.MyAuditVal),_xlpm.MacVal&lt;&gt;"",_xlpm.MacVal,_xlpm.CSVVal&lt;&gt;"",_xlpm.CSVVal
)),"")</f>
        <v/>
      </c>
      <c r="D1458" s="40" t="str" cm="1">
        <f t="array" ref="D1458">IFERROR(_xlfn.LET(
_xlpm.CSVVal,_xlfn.XLOOKUP($A1458,CSV!$A:$A,CSV!D:D,""),
_xlpm.MacVal,_xlfn.XLOOKUP($A1458,Output_Mac!$A:$A,Output_Mac!C:C,""),
_xlpm.MyAuditVal,_xlfn.XLOOKUP($A1458,My_Audit!$A:$A,My_Audit!C:C,""),
_xlfn.IFS(_xlpm.MyAuditVal&lt;&gt;"",_xlpm.MyAuditVal,_xlpm.MacVal&lt;&gt;"",_xlpm.MacVal,_xlpm.CSVVal&lt;&gt;"",_xlpm.CSVVal
)),"")</f>
        <v/>
      </c>
      <c r="E1458" s="40" t="str">
        <f>_xlfn.XLOOKUP(A1458,My_Audit!A:A,My_Audit!D:D,"")</f>
        <v/>
      </c>
      <c r="F1458" s="40" t="str" cm="1">
        <f t="array" ref="F1458">IFERROR(_xlfn.LET(
_xlpm.CSVVal,_xlfn.XLOOKUP($A1458,CSV!$A:$A,CSV!F:F,""),
_xlpm.MacVal,_xlfn.XLOOKUP($A1458,Output_Mac!$A:$A,Output_Mac!E:E,""),
_xlpm.MyAuditVal,_xlfn.XLOOKUP($A1458,My_Audit!$A:$A,My_Audit!E:E,""),
_xlfn.IFS(_xlpm.MyAuditVal&lt;&gt;"",_xlpm.MyAuditVal,_xlpm.MacVal&lt;&gt;"",_xlpm.MacVal,_xlpm.CSVVal&lt;&gt;"",_xlpm.CSVVal
)),"")</f>
        <v/>
      </c>
      <c r="G1458" s="40" t="str" cm="1">
        <f t="array" ref="G1458">IFERROR(_xlfn.LET(
_xlpm.CSVVal,_xlfn.XLOOKUP($A1458,CSV!$A:$A,CSV!G:G,""),
_xlpm.MacVal,_xlfn.XLOOKUP($A1458,Output_Mac!$A:$A,Output_Mac!F:F,""),
_xlpm.MyAuditVal,_xlfn.XLOOKUP($A1458,My_Audit!$A:$A,My_Audit!F:F,""),
_xlfn.IFS(_xlpm.MyAuditVal&lt;&gt;"",_xlpm.MyAuditVal,_xlpm.MacVal&lt;&gt;"",_xlpm.MacVal,_xlpm.CSVVal&lt;&gt;"",PROPER(_xlpm.CSVVal)
)),"")</f>
        <v/>
      </c>
      <c r="H1458" s="40" t="str" cm="1">
        <f t="array" ref="H1458">IFERROR(_xlfn.LET(
_xlpm.CSVVal,_xlfn.XLOOKUP($A1458,CSV!$A:$A,CSV!H:H,""),
_xlpm.MacVal,_xlfn.XLOOKUP($A1458,Output_Mac!$A:$A,Output_Mac!H:H,""),
_xlpm.MyAuditVal,_xlfn.XLOOKUP($A1458,My_Audit!$A:$A,My_Audit!G:G,""),
_xlfn.IFS(_xlpm.MyAuditVal&lt;&gt;"",_xlpm.MyAuditVal,_xlpm.MacVal&lt;&gt;"",_xlpm.MacVal,_xlpm.CSVVal&lt;&gt;"",_xlpm.CSVVal
)),"")</f>
        <v/>
      </c>
      <c r="I1458" s="40" t="str">
        <f>_xlfn.XLOOKUP(A1458,Output_Mac!A:A,Output_Mac!I:I,"")</f>
        <v/>
      </c>
      <c r="J1458" s="40" t="str" cm="1">
        <f t="array" ref="J1458">IFERROR(_xlfn.LET(
_xlpm.CSVVal,_xlfn.XLOOKUP($A1458,CSV!$A:$A,CSV!I:I,""),
_xlpm.MacVal,_xlfn.XLOOKUP($A1458,Output_Mac!$A:$A,Output_Mac!J:J,""),
_xlpm.MyAuditVal,_xlfn.XLOOKUP($A1458,My_Audit!$A:$A,My_Audit!I:I,""),
_xlfn.IFS(_xlpm.MyAuditVal&lt;&gt;"",UPPER(_xlpm.MyAuditVal),_xlpm.MacVal&lt;&gt;"",_xlpm.MacVal,_xlpm.CSVVal&lt;&gt;"",_xlpm.CSVVal
)),"")</f>
        <v/>
      </c>
      <c r="K1458" s="40" t="str" cm="1">
        <f t="array" ref="K1458">IFERROR(_xlfn.LET(
_xlpm.CSVVal,_xlfn.XLOOKUP($A1458,CSV!$A:$A,CSV!K:K,""),
_xlpm.MacVal,_xlfn.XLOOKUP($A1458,Output_Mac!$A:$A,Output_Mac!K:K,""),
_xlpm.MyAuditVal,_xlfn.XLOOKUP($A1458,My_Audit!$A:$A,My_Audit!J:J,""),
_xlfn.IFS(_xlpm.MyAuditVal&lt;&gt;"",UPPER(_xlpm.MyAuditVal),_xlpm.MacVal&lt;&gt;"",_xlpm.MacVal,_xlpm.CSVVal&lt;&gt;"",_xlpm.CSVVal
)),"")</f>
        <v/>
      </c>
      <c r="L1458" s="40" t="str" cm="1">
        <f t="array" ref="L1458">IFERROR(_xlfn.LET(
_xlpm.CSVVal,_xlfn.XLOOKUP($A1458,CSV!$A:$A,CSV!P:P,""),
_xlpm.MacVal,_xlfn.XLOOKUP($A1458,Output_Mac!$A:$A,Output_Mac!L:L,""),
_xlpm.MyAuditVal,_xlfn.XLOOKUP($A1458,My_Audit!$A:$A,My_Audit!K:K,""),
_xlfn.IFS(_xlpm.MyAuditVal&lt;&gt;"",UPPER(_xlpm.MyAuditVal),_xlpm.MacVal&lt;&gt;"",_xlpm.MacVal,_xlpm.CSVVal&lt;&gt;"",_xlpm.CSVVal
)),"")</f>
        <v/>
      </c>
      <c r="M1458" s="40" t="str" cm="1">
        <f t="array" ref="M1458">IFERROR(_xlfn.LET(
_xlpm.CSVVal,_xlfn.XLOOKUP($A1458,CSV!$A:$A,CSV!Q:Q,""),
_xlpm.MacVal,_xlfn.XLOOKUP($A1458,Output_Mac!$A:$A,Output_Mac!M:M,""),
_xlpm.MyAuditVal,_xlfn.XLOOKUP($A1458,My_Audit!$A:$A,My_Audit!L:L,""),
_xlfn.IFS(_xlpm.MyAuditVal&lt;&gt;"",UPPER(_xlpm.MyAuditVal),_xlpm.MacVal&lt;&gt;"",_xlpm.MacVal,_xlpm.CSVVal&lt;&gt;"",_xlpm.CSVVal
)),"")</f>
        <v/>
      </c>
      <c r="N1458" s="40"/>
      <c r="O1458" s="40" t="str">
        <f>_xlfn.LET(
    _xlpm.CSVVal, _xlfn.XLOOKUP($A1458, CSV!$A:$A, CSV!AA:AA, ""),
    _xlpm.MacVal, _xlfn.XLOOKUP($A1458, Output_Mac!$A:$A, Output_Mac!S:S, ""),
    _xlpm.MyAuditVal, _xlfn.XLOOKUP($A1458, My_Audit!$A:$A, My_Audit!P:P, ""),
    _xlfn.TEXTJOIN(", ", TRUE, _xlpm.MyAuditVal, _xlpm.MacVal, _xlpm.CSVVal)
)</f>
        <v/>
      </c>
      <c r="P1458" s="40" t="str" cm="1">
        <f t="array" ref="P1458">IFERROR(_xlfn.LET(
_xlpm.CSVVal,_xlfn.XLOOKUP($A1458,CSV!$A:$A,CSV!AB:AB,""),
_xlpm.MacVal,_xlfn.XLOOKUP($A1458,Output_Mac!$A:$A,Output_Mac!T:T,""),
_xlpm.MyAuditVal,_xlfn.XLOOKUP($A1458,My_Audit!$A:$A,My_Audit!Q:Q,""),
_xlfn.IFS(_xlpm.MyAuditVal&lt;&gt;"",UPPER(_xlpm.MyAuditVal),_xlpm.MacVal&lt;&gt;"",_xlpm.MacVal,_xlpm.CSVVal&lt;&gt;"",_xlpm.CSVVal
)),"No")</f>
        <v>No</v>
      </c>
      <c r="Q1458" s="40" t="str" cm="1">
        <f t="array" ref="Q1458">IFERROR(_xlfn.LET(
_xlpm.CSVVal,_xlfn.XLOOKUP($A1458,CSV!$A:$A,CSV!AC:AC,""),
_xlpm.MacVal,_xlfn.XLOOKUP($A1458,Output_Mac!$A:$A,Output_Mac!U:U,""),
_xlpm.MyAuditVal,_xlfn.XLOOKUP($A1458,My_Audit!$A:$A,My_Audit!R:R,""),
_xlfn.IFS(_xlpm.MyAuditVal&lt;&gt;"",UPPER(_xlpm.MyAuditVal),_xlpm.MacVal&lt;&gt;"",_xlpm.MacVal,_xlpm.CSVVal&lt;&gt;"",_xlpm.CSVVal
)),"")</f>
        <v/>
      </c>
      <c r="R1458" s="40"/>
      <c r="S1458" s="40"/>
      <c r="T1458" s="40"/>
      <c r="U1458" s="40"/>
      <c r="V1458" s="40"/>
      <c r="W1458" s="40"/>
      <c r="X1458" s="41" t="str">
        <f>_xlfn.LET(
    _xlpm.MacVal, _xlfn.XLOOKUP($A1458, Output_Mac!$A:$A, Output_Mac!AB:AB, ""),
    _xlpm.MyAuditVal, _xlfn.XLOOKUP($A1458, My_Audit!$A:$A, My_Audit!N:N, ""),
    _xlfn.TEXTJOIN(", ", TRUE, _xlpm.MyAuditVal, _xlpm.MacVal)
)</f>
        <v/>
      </c>
    </row>
    <row r="1459" spans="1:24">
      <c r="A1459" s="40" t="str">
        <f>_xlfn.TEXTJOIN("",TRUE,Input!$B$2,ROW(My_Audit!A1458))</f>
        <v>X1458</v>
      </c>
      <c r="B1459" s="40" t="str">
        <f>_xlfn.TEXTJOIN("-",TRUE,"ITD",Input!$A$2,A1459)</f>
        <v>ITD-X1458</v>
      </c>
      <c r="C1459" s="40" t="str" cm="1">
        <f t="array" ref="C1459">IFERROR(_xlfn.LET(
_xlpm.CSVVal,_xlfn.XLOOKUP($A1459,CSV!$A:$A,CSV!B:B,""),
_xlpm.MacVal,_xlfn.XLOOKUP($A1459,Output_Mac!$A:$A,Output_Mac!B:B,""),
_xlpm.MyAuditVal,_xlfn.XLOOKUP($A1459,My_Audit!$A:$A,My_Audit!B:B,""),
_xlfn.IFS(_xlpm.MyAuditVal&lt;&gt;"",UPPER(_xlpm.MyAuditVal),_xlpm.MacVal&lt;&gt;"",_xlpm.MacVal,_xlpm.CSVVal&lt;&gt;"",_xlpm.CSVVal
)),"")</f>
        <v/>
      </c>
      <c r="D1459" s="40" t="str" cm="1">
        <f t="array" ref="D1459">IFERROR(_xlfn.LET(
_xlpm.CSVVal,_xlfn.XLOOKUP($A1459,CSV!$A:$A,CSV!D:D,""),
_xlpm.MacVal,_xlfn.XLOOKUP($A1459,Output_Mac!$A:$A,Output_Mac!C:C,""),
_xlpm.MyAuditVal,_xlfn.XLOOKUP($A1459,My_Audit!$A:$A,My_Audit!C:C,""),
_xlfn.IFS(_xlpm.MyAuditVal&lt;&gt;"",_xlpm.MyAuditVal,_xlpm.MacVal&lt;&gt;"",_xlpm.MacVal,_xlpm.CSVVal&lt;&gt;"",_xlpm.CSVVal
)),"")</f>
        <v/>
      </c>
      <c r="E1459" s="40" t="str">
        <f>_xlfn.XLOOKUP(A1459,My_Audit!A:A,My_Audit!D:D,"")</f>
        <v/>
      </c>
      <c r="F1459" s="40" t="str" cm="1">
        <f t="array" ref="F1459">IFERROR(_xlfn.LET(
_xlpm.CSVVal,_xlfn.XLOOKUP($A1459,CSV!$A:$A,CSV!F:F,""),
_xlpm.MacVal,_xlfn.XLOOKUP($A1459,Output_Mac!$A:$A,Output_Mac!E:E,""),
_xlpm.MyAuditVal,_xlfn.XLOOKUP($A1459,My_Audit!$A:$A,My_Audit!E:E,""),
_xlfn.IFS(_xlpm.MyAuditVal&lt;&gt;"",_xlpm.MyAuditVal,_xlpm.MacVal&lt;&gt;"",_xlpm.MacVal,_xlpm.CSVVal&lt;&gt;"",_xlpm.CSVVal
)),"")</f>
        <v/>
      </c>
      <c r="G1459" s="40" t="str" cm="1">
        <f t="array" ref="G1459">IFERROR(_xlfn.LET(
_xlpm.CSVVal,_xlfn.XLOOKUP($A1459,CSV!$A:$A,CSV!G:G,""),
_xlpm.MacVal,_xlfn.XLOOKUP($A1459,Output_Mac!$A:$A,Output_Mac!F:F,""),
_xlpm.MyAuditVal,_xlfn.XLOOKUP($A1459,My_Audit!$A:$A,My_Audit!F:F,""),
_xlfn.IFS(_xlpm.MyAuditVal&lt;&gt;"",_xlpm.MyAuditVal,_xlpm.MacVal&lt;&gt;"",_xlpm.MacVal,_xlpm.CSVVal&lt;&gt;"",PROPER(_xlpm.CSVVal)
)),"")</f>
        <v/>
      </c>
      <c r="H1459" s="40" t="str" cm="1">
        <f t="array" ref="H1459">IFERROR(_xlfn.LET(
_xlpm.CSVVal,_xlfn.XLOOKUP($A1459,CSV!$A:$A,CSV!H:H,""),
_xlpm.MacVal,_xlfn.XLOOKUP($A1459,Output_Mac!$A:$A,Output_Mac!H:H,""),
_xlpm.MyAuditVal,_xlfn.XLOOKUP($A1459,My_Audit!$A:$A,My_Audit!G:G,""),
_xlfn.IFS(_xlpm.MyAuditVal&lt;&gt;"",_xlpm.MyAuditVal,_xlpm.MacVal&lt;&gt;"",_xlpm.MacVal,_xlpm.CSVVal&lt;&gt;"",_xlpm.CSVVal
)),"")</f>
        <v/>
      </c>
      <c r="I1459" s="40" t="str">
        <f>_xlfn.XLOOKUP(A1459,Output_Mac!A:A,Output_Mac!I:I,"")</f>
        <v/>
      </c>
      <c r="J1459" s="40" t="str" cm="1">
        <f t="array" ref="J1459">IFERROR(_xlfn.LET(
_xlpm.CSVVal,_xlfn.XLOOKUP($A1459,CSV!$A:$A,CSV!I:I,""),
_xlpm.MacVal,_xlfn.XLOOKUP($A1459,Output_Mac!$A:$A,Output_Mac!J:J,""),
_xlpm.MyAuditVal,_xlfn.XLOOKUP($A1459,My_Audit!$A:$A,My_Audit!I:I,""),
_xlfn.IFS(_xlpm.MyAuditVal&lt;&gt;"",UPPER(_xlpm.MyAuditVal),_xlpm.MacVal&lt;&gt;"",_xlpm.MacVal,_xlpm.CSVVal&lt;&gt;"",_xlpm.CSVVal
)),"")</f>
        <v/>
      </c>
      <c r="K1459" s="40" t="str" cm="1">
        <f t="array" ref="K1459">IFERROR(_xlfn.LET(
_xlpm.CSVVal,_xlfn.XLOOKUP($A1459,CSV!$A:$A,CSV!K:K,""),
_xlpm.MacVal,_xlfn.XLOOKUP($A1459,Output_Mac!$A:$A,Output_Mac!K:K,""),
_xlpm.MyAuditVal,_xlfn.XLOOKUP($A1459,My_Audit!$A:$A,My_Audit!J:J,""),
_xlfn.IFS(_xlpm.MyAuditVal&lt;&gt;"",UPPER(_xlpm.MyAuditVal),_xlpm.MacVal&lt;&gt;"",_xlpm.MacVal,_xlpm.CSVVal&lt;&gt;"",_xlpm.CSVVal
)),"")</f>
        <v/>
      </c>
      <c r="L1459" s="40" t="str" cm="1">
        <f t="array" ref="L1459">IFERROR(_xlfn.LET(
_xlpm.CSVVal,_xlfn.XLOOKUP($A1459,CSV!$A:$A,CSV!P:P,""),
_xlpm.MacVal,_xlfn.XLOOKUP($A1459,Output_Mac!$A:$A,Output_Mac!L:L,""),
_xlpm.MyAuditVal,_xlfn.XLOOKUP($A1459,My_Audit!$A:$A,My_Audit!K:K,""),
_xlfn.IFS(_xlpm.MyAuditVal&lt;&gt;"",UPPER(_xlpm.MyAuditVal),_xlpm.MacVal&lt;&gt;"",_xlpm.MacVal,_xlpm.CSVVal&lt;&gt;"",_xlpm.CSVVal
)),"")</f>
        <v/>
      </c>
      <c r="M1459" s="40" t="str" cm="1">
        <f t="array" ref="M1459">IFERROR(_xlfn.LET(
_xlpm.CSVVal,_xlfn.XLOOKUP($A1459,CSV!$A:$A,CSV!Q:Q,""),
_xlpm.MacVal,_xlfn.XLOOKUP($A1459,Output_Mac!$A:$A,Output_Mac!M:M,""),
_xlpm.MyAuditVal,_xlfn.XLOOKUP($A1459,My_Audit!$A:$A,My_Audit!L:L,""),
_xlfn.IFS(_xlpm.MyAuditVal&lt;&gt;"",UPPER(_xlpm.MyAuditVal),_xlpm.MacVal&lt;&gt;"",_xlpm.MacVal,_xlpm.CSVVal&lt;&gt;"",_xlpm.CSVVal
)),"")</f>
        <v/>
      </c>
      <c r="N1459" s="40"/>
      <c r="O1459" s="40" t="str">
        <f>_xlfn.LET(
    _xlpm.CSVVal, _xlfn.XLOOKUP($A1459, CSV!$A:$A, CSV!AA:AA, ""),
    _xlpm.MacVal, _xlfn.XLOOKUP($A1459, Output_Mac!$A:$A, Output_Mac!S:S, ""),
    _xlpm.MyAuditVal, _xlfn.XLOOKUP($A1459, My_Audit!$A:$A, My_Audit!P:P, ""),
    _xlfn.TEXTJOIN(", ", TRUE, _xlpm.MyAuditVal, _xlpm.MacVal, _xlpm.CSVVal)
)</f>
        <v/>
      </c>
      <c r="P1459" s="40" t="str" cm="1">
        <f t="array" ref="P1459">IFERROR(_xlfn.LET(
_xlpm.CSVVal,_xlfn.XLOOKUP($A1459,CSV!$A:$A,CSV!AB:AB,""),
_xlpm.MacVal,_xlfn.XLOOKUP($A1459,Output_Mac!$A:$A,Output_Mac!T:T,""),
_xlpm.MyAuditVal,_xlfn.XLOOKUP($A1459,My_Audit!$A:$A,My_Audit!Q:Q,""),
_xlfn.IFS(_xlpm.MyAuditVal&lt;&gt;"",UPPER(_xlpm.MyAuditVal),_xlpm.MacVal&lt;&gt;"",_xlpm.MacVal,_xlpm.CSVVal&lt;&gt;"",_xlpm.CSVVal
)),"No")</f>
        <v>No</v>
      </c>
      <c r="Q1459" s="40" t="str" cm="1">
        <f t="array" ref="Q1459">IFERROR(_xlfn.LET(
_xlpm.CSVVal,_xlfn.XLOOKUP($A1459,CSV!$A:$A,CSV!AC:AC,""),
_xlpm.MacVal,_xlfn.XLOOKUP($A1459,Output_Mac!$A:$A,Output_Mac!U:U,""),
_xlpm.MyAuditVal,_xlfn.XLOOKUP($A1459,My_Audit!$A:$A,My_Audit!R:R,""),
_xlfn.IFS(_xlpm.MyAuditVal&lt;&gt;"",UPPER(_xlpm.MyAuditVal),_xlpm.MacVal&lt;&gt;"",_xlpm.MacVal,_xlpm.CSVVal&lt;&gt;"",_xlpm.CSVVal
)),"")</f>
        <v/>
      </c>
      <c r="R1459" s="40"/>
      <c r="S1459" s="40"/>
      <c r="T1459" s="40"/>
      <c r="U1459" s="40"/>
      <c r="V1459" s="40"/>
      <c r="W1459" s="40"/>
      <c r="X1459" s="41" t="str">
        <f>_xlfn.LET(
    _xlpm.MacVal, _xlfn.XLOOKUP($A1459, Output_Mac!$A:$A, Output_Mac!AB:AB, ""),
    _xlpm.MyAuditVal, _xlfn.XLOOKUP($A1459, My_Audit!$A:$A, My_Audit!N:N, ""),
    _xlfn.TEXTJOIN(", ", TRUE, _xlpm.MyAuditVal, _xlpm.MacVal)
)</f>
        <v/>
      </c>
    </row>
    <row r="1460" spans="1:24">
      <c r="A1460" s="40" t="str">
        <f>_xlfn.TEXTJOIN("",TRUE,Input!$B$2,ROW(My_Audit!A1459))</f>
        <v>X1459</v>
      </c>
      <c r="B1460" s="40" t="str">
        <f>_xlfn.TEXTJOIN("-",TRUE,"ITD",Input!$A$2,A1460)</f>
        <v>ITD-X1459</v>
      </c>
      <c r="C1460" s="40" t="str" cm="1">
        <f t="array" ref="C1460">IFERROR(_xlfn.LET(
_xlpm.CSVVal,_xlfn.XLOOKUP($A1460,CSV!$A:$A,CSV!B:B,""),
_xlpm.MacVal,_xlfn.XLOOKUP($A1460,Output_Mac!$A:$A,Output_Mac!B:B,""),
_xlpm.MyAuditVal,_xlfn.XLOOKUP($A1460,My_Audit!$A:$A,My_Audit!B:B,""),
_xlfn.IFS(_xlpm.MyAuditVal&lt;&gt;"",UPPER(_xlpm.MyAuditVal),_xlpm.MacVal&lt;&gt;"",_xlpm.MacVal,_xlpm.CSVVal&lt;&gt;"",_xlpm.CSVVal
)),"")</f>
        <v/>
      </c>
      <c r="D1460" s="40" t="str" cm="1">
        <f t="array" ref="D1460">IFERROR(_xlfn.LET(
_xlpm.CSVVal,_xlfn.XLOOKUP($A1460,CSV!$A:$A,CSV!D:D,""),
_xlpm.MacVal,_xlfn.XLOOKUP($A1460,Output_Mac!$A:$A,Output_Mac!C:C,""),
_xlpm.MyAuditVal,_xlfn.XLOOKUP($A1460,My_Audit!$A:$A,My_Audit!C:C,""),
_xlfn.IFS(_xlpm.MyAuditVal&lt;&gt;"",_xlpm.MyAuditVal,_xlpm.MacVal&lt;&gt;"",_xlpm.MacVal,_xlpm.CSVVal&lt;&gt;"",_xlpm.CSVVal
)),"")</f>
        <v/>
      </c>
      <c r="E1460" s="40" t="str">
        <f>_xlfn.XLOOKUP(A1460,My_Audit!A:A,My_Audit!D:D,"")</f>
        <v/>
      </c>
      <c r="F1460" s="40" t="str" cm="1">
        <f t="array" ref="F1460">IFERROR(_xlfn.LET(
_xlpm.CSVVal,_xlfn.XLOOKUP($A1460,CSV!$A:$A,CSV!F:F,""),
_xlpm.MacVal,_xlfn.XLOOKUP($A1460,Output_Mac!$A:$A,Output_Mac!E:E,""),
_xlpm.MyAuditVal,_xlfn.XLOOKUP($A1460,My_Audit!$A:$A,My_Audit!E:E,""),
_xlfn.IFS(_xlpm.MyAuditVal&lt;&gt;"",_xlpm.MyAuditVal,_xlpm.MacVal&lt;&gt;"",_xlpm.MacVal,_xlpm.CSVVal&lt;&gt;"",_xlpm.CSVVal
)),"")</f>
        <v/>
      </c>
      <c r="G1460" s="40" t="str" cm="1">
        <f t="array" ref="G1460">IFERROR(_xlfn.LET(
_xlpm.CSVVal,_xlfn.XLOOKUP($A1460,CSV!$A:$A,CSV!G:G,""),
_xlpm.MacVal,_xlfn.XLOOKUP($A1460,Output_Mac!$A:$A,Output_Mac!F:F,""),
_xlpm.MyAuditVal,_xlfn.XLOOKUP($A1460,My_Audit!$A:$A,My_Audit!F:F,""),
_xlfn.IFS(_xlpm.MyAuditVal&lt;&gt;"",_xlpm.MyAuditVal,_xlpm.MacVal&lt;&gt;"",_xlpm.MacVal,_xlpm.CSVVal&lt;&gt;"",PROPER(_xlpm.CSVVal)
)),"")</f>
        <v/>
      </c>
      <c r="H1460" s="40" t="str" cm="1">
        <f t="array" ref="H1460">IFERROR(_xlfn.LET(
_xlpm.CSVVal,_xlfn.XLOOKUP($A1460,CSV!$A:$A,CSV!H:H,""),
_xlpm.MacVal,_xlfn.XLOOKUP($A1460,Output_Mac!$A:$A,Output_Mac!H:H,""),
_xlpm.MyAuditVal,_xlfn.XLOOKUP($A1460,My_Audit!$A:$A,My_Audit!G:G,""),
_xlfn.IFS(_xlpm.MyAuditVal&lt;&gt;"",_xlpm.MyAuditVal,_xlpm.MacVal&lt;&gt;"",_xlpm.MacVal,_xlpm.CSVVal&lt;&gt;"",_xlpm.CSVVal
)),"")</f>
        <v/>
      </c>
      <c r="I1460" s="40" t="str">
        <f>_xlfn.XLOOKUP(A1460,Output_Mac!A:A,Output_Mac!I:I,"")</f>
        <v/>
      </c>
      <c r="J1460" s="40" t="str" cm="1">
        <f t="array" ref="J1460">IFERROR(_xlfn.LET(
_xlpm.CSVVal,_xlfn.XLOOKUP($A1460,CSV!$A:$A,CSV!I:I,""),
_xlpm.MacVal,_xlfn.XLOOKUP($A1460,Output_Mac!$A:$A,Output_Mac!J:J,""),
_xlpm.MyAuditVal,_xlfn.XLOOKUP($A1460,My_Audit!$A:$A,My_Audit!I:I,""),
_xlfn.IFS(_xlpm.MyAuditVal&lt;&gt;"",UPPER(_xlpm.MyAuditVal),_xlpm.MacVal&lt;&gt;"",_xlpm.MacVal,_xlpm.CSVVal&lt;&gt;"",_xlpm.CSVVal
)),"")</f>
        <v/>
      </c>
      <c r="K1460" s="40" t="str" cm="1">
        <f t="array" ref="K1460">IFERROR(_xlfn.LET(
_xlpm.CSVVal,_xlfn.XLOOKUP($A1460,CSV!$A:$A,CSV!K:K,""),
_xlpm.MacVal,_xlfn.XLOOKUP($A1460,Output_Mac!$A:$A,Output_Mac!K:K,""),
_xlpm.MyAuditVal,_xlfn.XLOOKUP($A1460,My_Audit!$A:$A,My_Audit!J:J,""),
_xlfn.IFS(_xlpm.MyAuditVal&lt;&gt;"",UPPER(_xlpm.MyAuditVal),_xlpm.MacVal&lt;&gt;"",_xlpm.MacVal,_xlpm.CSVVal&lt;&gt;"",_xlpm.CSVVal
)),"")</f>
        <v/>
      </c>
      <c r="L1460" s="40" t="str" cm="1">
        <f t="array" ref="L1460">IFERROR(_xlfn.LET(
_xlpm.CSVVal,_xlfn.XLOOKUP($A1460,CSV!$A:$A,CSV!P:P,""),
_xlpm.MacVal,_xlfn.XLOOKUP($A1460,Output_Mac!$A:$A,Output_Mac!L:L,""),
_xlpm.MyAuditVal,_xlfn.XLOOKUP($A1460,My_Audit!$A:$A,My_Audit!K:K,""),
_xlfn.IFS(_xlpm.MyAuditVal&lt;&gt;"",UPPER(_xlpm.MyAuditVal),_xlpm.MacVal&lt;&gt;"",_xlpm.MacVal,_xlpm.CSVVal&lt;&gt;"",_xlpm.CSVVal
)),"")</f>
        <v/>
      </c>
      <c r="M1460" s="40" t="str" cm="1">
        <f t="array" ref="M1460">IFERROR(_xlfn.LET(
_xlpm.CSVVal,_xlfn.XLOOKUP($A1460,CSV!$A:$A,CSV!Q:Q,""),
_xlpm.MacVal,_xlfn.XLOOKUP($A1460,Output_Mac!$A:$A,Output_Mac!M:M,""),
_xlpm.MyAuditVal,_xlfn.XLOOKUP($A1460,My_Audit!$A:$A,My_Audit!L:L,""),
_xlfn.IFS(_xlpm.MyAuditVal&lt;&gt;"",UPPER(_xlpm.MyAuditVal),_xlpm.MacVal&lt;&gt;"",_xlpm.MacVal,_xlpm.CSVVal&lt;&gt;"",_xlpm.CSVVal
)),"")</f>
        <v/>
      </c>
      <c r="N1460" s="40"/>
      <c r="O1460" s="40" t="str">
        <f>_xlfn.LET(
    _xlpm.CSVVal, _xlfn.XLOOKUP($A1460, CSV!$A:$A, CSV!AA:AA, ""),
    _xlpm.MacVal, _xlfn.XLOOKUP($A1460, Output_Mac!$A:$A, Output_Mac!S:S, ""),
    _xlpm.MyAuditVal, _xlfn.XLOOKUP($A1460, My_Audit!$A:$A, My_Audit!P:P, ""),
    _xlfn.TEXTJOIN(", ", TRUE, _xlpm.MyAuditVal, _xlpm.MacVal, _xlpm.CSVVal)
)</f>
        <v/>
      </c>
      <c r="P1460" s="40" t="str" cm="1">
        <f t="array" ref="P1460">IFERROR(_xlfn.LET(
_xlpm.CSVVal,_xlfn.XLOOKUP($A1460,CSV!$A:$A,CSV!AB:AB,""),
_xlpm.MacVal,_xlfn.XLOOKUP($A1460,Output_Mac!$A:$A,Output_Mac!T:T,""),
_xlpm.MyAuditVal,_xlfn.XLOOKUP($A1460,My_Audit!$A:$A,My_Audit!Q:Q,""),
_xlfn.IFS(_xlpm.MyAuditVal&lt;&gt;"",UPPER(_xlpm.MyAuditVal),_xlpm.MacVal&lt;&gt;"",_xlpm.MacVal,_xlpm.CSVVal&lt;&gt;"",_xlpm.CSVVal
)),"No")</f>
        <v>No</v>
      </c>
      <c r="Q1460" s="40" t="str" cm="1">
        <f t="array" ref="Q1460">IFERROR(_xlfn.LET(
_xlpm.CSVVal,_xlfn.XLOOKUP($A1460,CSV!$A:$A,CSV!AC:AC,""),
_xlpm.MacVal,_xlfn.XLOOKUP($A1460,Output_Mac!$A:$A,Output_Mac!U:U,""),
_xlpm.MyAuditVal,_xlfn.XLOOKUP($A1460,My_Audit!$A:$A,My_Audit!R:R,""),
_xlfn.IFS(_xlpm.MyAuditVal&lt;&gt;"",UPPER(_xlpm.MyAuditVal),_xlpm.MacVal&lt;&gt;"",_xlpm.MacVal,_xlpm.CSVVal&lt;&gt;"",_xlpm.CSVVal
)),"")</f>
        <v/>
      </c>
      <c r="R1460" s="40"/>
      <c r="S1460" s="40"/>
      <c r="T1460" s="40"/>
      <c r="U1460" s="40"/>
      <c r="V1460" s="40"/>
      <c r="W1460" s="40"/>
      <c r="X1460" s="41" t="str">
        <f>_xlfn.LET(
    _xlpm.MacVal, _xlfn.XLOOKUP($A1460, Output_Mac!$A:$A, Output_Mac!AB:AB, ""),
    _xlpm.MyAuditVal, _xlfn.XLOOKUP($A1460, My_Audit!$A:$A, My_Audit!N:N, ""),
    _xlfn.TEXTJOIN(", ", TRUE, _xlpm.MyAuditVal, _xlpm.MacVal)
)</f>
        <v/>
      </c>
    </row>
    <row r="1461" spans="1:24">
      <c r="A1461" s="40" t="str">
        <f>_xlfn.TEXTJOIN("",TRUE,Input!$B$2,ROW(My_Audit!A1460))</f>
        <v>X1460</v>
      </c>
      <c r="B1461" s="40" t="str">
        <f>_xlfn.TEXTJOIN("-",TRUE,"ITD",Input!$A$2,A1461)</f>
        <v>ITD-X1460</v>
      </c>
      <c r="C1461" s="40" t="str" cm="1">
        <f t="array" ref="C1461">IFERROR(_xlfn.LET(
_xlpm.CSVVal,_xlfn.XLOOKUP($A1461,CSV!$A:$A,CSV!B:B,""),
_xlpm.MacVal,_xlfn.XLOOKUP($A1461,Output_Mac!$A:$A,Output_Mac!B:B,""),
_xlpm.MyAuditVal,_xlfn.XLOOKUP($A1461,My_Audit!$A:$A,My_Audit!B:B,""),
_xlfn.IFS(_xlpm.MyAuditVal&lt;&gt;"",UPPER(_xlpm.MyAuditVal),_xlpm.MacVal&lt;&gt;"",_xlpm.MacVal,_xlpm.CSVVal&lt;&gt;"",_xlpm.CSVVal
)),"")</f>
        <v/>
      </c>
      <c r="D1461" s="40" t="str" cm="1">
        <f t="array" ref="D1461">IFERROR(_xlfn.LET(
_xlpm.CSVVal,_xlfn.XLOOKUP($A1461,CSV!$A:$A,CSV!D:D,""),
_xlpm.MacVal,_xlfn.XLOOKUP($A1461,Output_Mac!$A:$A,Output_Mac!C:C,""),
_xlpm.MyAuditVal,_xlfn.XLOOKUP($A1461,My_Audit!$A:$A,My_Audit!C:C,""),
_xlfn.IFS(_xlpm.MyAuditVal&lt;&gt;"",_xlpm.MyAuditVal,_xlpm.MacVal&lt;&gt;"",_xlpm.MacVal,_xlpm.CSVVal&lt;&gt;"",_xlpm.CSVVal
)),"")</f>
        <v/>
      </c>
      <c r="E1461" s="40" t="str">
        <f>_xlfn.XLOOKUP(A1461,My_Audit!A:A,My_Audit!D:D,"")</f>
        <v/>
      </c>
      <c r="F1461" s="40" t="str" cm="1">
        <f t="array" ref="F1461">IFERROR(_xlfn.LET(
_xlpm.CSVVal,_xlfn.XLOOKUP($A1461,CSV!$A:$A,CSV!F:F,""),
_xlpm.MacVal,_xlfn.XLOOKUP($A1461,Output_Mac!$A:$A,Output_Mac!E:E,""),
_xlpm.MyAuditVal,_xlfn.XLOOKUP($A1461,My_Audit!$A:$A,My_Audit!E:E,""),
_xlfn.IFS(_xlpm.MyAuditVal&lt;&gt;"",_xlpm.MyAuditVal,_xlpm.MacVal&lt;&gt;"",_xlpm.MacVal,_xlpm.CSVVal&lt;&gt;"",_xlpm.CSVVal
)),"")</f>
        <v/>
      </c>
      <c r="G1461" s="40" t="str" cm="1">
        <f t="array" ref="G1461">IFERROR(_xlfn.LET(
_xlpm.CSVVal,_xlfn.XLOOKUP($A1461,CSV!$A:$A,CSV!G:G,""),
_xlpm.MacVal,_xlfn.XLOOKUP($A1461,Output_Mac!$A:$A,Output_Mac!F:F,""),
_xlpm.MyAuditVal,_xlfn.XLOOKUP($A1461,My_Audit!$A:$A,My_Audit!F:F,""),
_xlfn.IFS(_xlpm.MyAuditVal&lt;&gt;"",_xlpm.MyAuditVal,_xlpm.MacVal&lt;&gt;"",_xlpm.MacVal,_xlpm.CSVVal&lt;&gt;"",PROPER(_xlpm.CSVVal)
)),"")</f>
        <v/>
      </c>
      <c r="H1461" s="40" t="str" cm="1">
        <f t="array" ref="H1461">IFERROR(_xlfn.LET(
_xlpm.CSVVal,_xlfn.XLOOKUP($A1461,CSV!$A:$A,CSV!H:H,""),
_xlpm.MacVal,_xlfn.XLOOKUP($A1461,Output_Mac!$A:$A,Output_Mac!H:H,""),
_xlpm.MyAuditVal,_xlfn.XLOOKUP($A1461,My_Audit!$A:$A,My_Audit!G:G,""),
_xlfn.IFS(_xlpm.MyAuditVal&lt;&gt;"",_xlpm.MyAuditVal,_xlpm.MacVal&lt;&gt;"",_xlpm.MacVal,_xlpm.CSVVal&lt;&gt;"",_xlpm.CSVVal
)),"")</f>
        <v/>
      </c>
      <c r="I1461" s="40" t="str">
        <f>_xlfn.XLOOKUP(A1461,Output_Mac!A:A,Output_Mac!I:I,"")</f>
        <v/>
      </c>
      <c r="J1461" s="40" t="str" cm="1">
        <f t="array" ref="J1461">IFERROR(_xlfn.LET(
_xlpm.CSVVal,_xlfn.XLOOKUP($A1461,CSV!$A:$A,CSV!I:I,""),
_xlpm.MacVal,_xlfn.XLOOKUP($A1461,Output_Mac!$A:$A,Output_Mac!J:J,""),
_xlpm.MyAuditVal,_xlfn.XLOOKUP($A1461,My_Audit!$A:$A,My_Audit!I:I,""),
_xlfn.IFS(_xlpm.MyAuditVal&lt;&gt;"",UPPER(_xlpm.MyAuditVal),_xlpm.MacVal&lt;&gt;"",_xlpm.MacVal,_xlpm.CSVVal&lt;&gt;"",_xlpm.CSVVal
)),"")</f>
        <v/>
      </c>
      <c r="K1461" s="40" t="str" cm="1">
        <f t="array" ref="K1461">IFERROR(_xlfn.LET(
_xlpm.CSVVal,_xlfn.XLOOKUP($A1461,CSV!$A:$A,CSV!K:K,""),
_xlpm.MacVal,_xlfn.XLOOKUP($A1461,Output_Mac!$A:$A,Output_Mac!K:K,""),
_xlpm.MyAuditVal,_xlfn.XLOOKUP($A1461,My_Audit!$A:$A,My_Audit!J:J,""),
_xlfn.IFS(_xlpm.MyAuditVal&lt;&gt;"",UPPER(_xlpm.MyAuditVal),_xlpm.MacVal&lt;&gt;"",_xlpm.MacVal,_xlpm.CSVVal&lt;&gt;"",_xlpm.CSVVal
)),"")</f>
        <v/>
      </c>
      <c r="L1461" s="40" t="str" cm="1">
        <f t="array" ref="L1461">IFERROR(_xlfn.LET(
_xlpm.CSVVal,_xlfn.XLOOKUP($A1461,CSV!$A:$A,CSV!P:P,""),
_xlpm.MacVal,_xlfn.XLOOKUP($A1461,Output_Mac!$A:$A,Output_Mac!L:L,""),
_xlpm.MyAuditVal,_xlfn.XLOOKUP($A1461,My_Audit!$A:$A,My_Audit!K:K,""),
_xlfn.IFS(_xlpm.MyAuditVal&lt;&gt;"",UPPER(_xlpm.MyAuditVal),_xlpm.MacVal&lt;&gt;"",_xlpm.MacVal,_xlpm.CSVVal&lt;&gt;"",_xlpm.CSVVal
)),"")</f>
        <v/>
      </c>
      <c r="M1461" s="40" t="str" cm="1">
        <f t="array" ref="M1461">IFERROR(_xlfn.LET(
_xlpm.CSVVal,_xlfn.XLOOKUP($A1461,CSV!$A:$A,CSV!Q:Q,""),
_xlpm.MacVal,_xlfn.XLOOKUP($A1461,Output_Mac!$A:$A,Output_Mac!M:M,""),
_xlpm.MyAuditVal,_xlfn.XLOOKUP($A1461,My_Audit!$A:$A,My_Audit!L:L,""),
_xlfn.IFS(_xlpm.MyAuditVal&lt;&gt;"",UPPER(_xlpm.MyAuditVal),_xlpm.MacVal&lt;&gt;"",_xlpm.MacVal,_xlpm.CSVVal&lt;&gt;"",_xlpm.CSVVal
)),"")</f>
        <v/>
      </c>
      <c r="N1461" s="40"/>
      <c r="O1461" s="40" t="str">
        <f>_xlfn.LET(
    _xlpm.CSVVal, _xlfn.XLOOKUP($A1461, CSV!$A:$A, CSV!AA:AA, ""),
    _xlpm.MacVal, _xlfn.XLOOKUP($A1461, Output_Mac!$A:$A, Output_Mac!S:S, ""),
    _xlpm.MyAuditVal, _xlfn.XLOOKUP($A1461, My_Audit!$A:$A, My_Audit!P:P, ""),
    _xlfn.TEXTJOIN(", ", TRUE, _xlpm.MyAuditVal, _xlpm.MacVal, _xlpm.CSVVal)
)</f>
        <v/>
      </c>
      <c r="P1461" s="40" t="str" cm="1">
        <f t="array" ref="P1461">IFERROR(_xlfn.LET(
_xlpm.CSVVal,_xlfn.XLOOKUP($A1461,CSV!$A:$A,CSV!AB:AB,""),
_xlpm.MacVal,_xlfn.XLOOKUP($A1461,Output_Mac!$A:$A,Output_Mac!T:T,""),
_xlpm.MyAuditVal,_xlfn.XLOOKUP($A1461,My_Audit!$A:$A,My_Audit!Q:Q,""),
_xlfn.IFS(_xlpm.MyAuditVal&lt;&gt;"",UPPER(_xlpm.MyAuditVal),_xlpm.MacVal&lt;&gt;"",_xlpm.MacVal,_xlpm.CSVVal&lt;&gt;"",_xlpm.CSVVal
)),"No")</f>
        <v>No</v>
      </c>
      <c r="Q1461" s="40" t="str" cm="1">
        <f t="array" ref="Q1461">IFERROR(_xlfn.LET(
_xlpm.CSVVal,_xlfn.XLOOKUP($A1461,CSV!$A:$A,CSV!AC:AC,""),
_xlpm.MacVal,_xlfn.XLOOKUP($A1461,Output_Mac!$A:$A,Output_Mac!U:U,""),
_xlpm.MyAuditVal,_xlfn.XLOOKUP($A1461,My_Audit!$A:$A,My_Audit!R:R,""),
_xlfn.IFS(_xlpm.MyAuditVal&lt;&gt;"",UPPER(_xlpm.MyAuditVal),_xlpm.MacVal&lt;&gt;"",_xlpm.MacVal,_xlpm.CSVVal&lt;&gt;"",_xlpm.CSVVal
)),"")</f>
        <v/>
      </c>
      <c r="R1461" s="40"/>
      <c r="S1461" s="40"/>
      <c r="T1461" s="40"/>
      <c r="U1461" s="40"/>
      <c r="V1461" s="40"/>
      <c r="W1461" s="40"/>
      <c r="X1461" s="41" t="str">
        <f>_xlfn.LET(
    _xlpm.MacVal, _xlfn.XLOOKUP($A1461, Output_Mac!$A:$A, Output_Mac!AB:AB, ""),
    _xlpm.MyAuditVal, _xlfn.XLOOKUP($A1461, My_Audit!$A:$A, My_Audit!N:N, ""),
    _xlfn.TEXTJOIN(", ", TRUE, _xlpm.MyAuditVal, _xlpm.MacVal)
)</f>
        <v/>
      </c>
    </row>
    <row r="1462" spans="1:24">
      <c r="A1462" s="40" t="str">
        <f>_xlfn.TEXTJOIN("",TRUE,Input!$B$2,ROW(My_Audit!A1461))</f>
        <v>X1461</v>
      </c>
      <c r="B1462" s="40" t="str">
        <f>_xlfn.TEXTJOIN("-",TRUE,"ITD",Input!$A$2,A1462)</f>
        <v>ITD-X1461</v>
      </c>
      <c r="C1462" s="40" t="str" cm="1">
        <f t="array" ref="C1462">IFERROR(_xlfn.LET(
_xlpm.CSVVal,_xlfn.XLOOKUP($A1462,CSV!$A:$A,CSV!B:B,""),
_xlpm.MacVal,_xlfn.XLOOKUP($A1462,Output_Mac!$A:$A,Output_Mac!B:B,""),
_xlpm.MyAuditVal,_xlfn.XLOOKUP($A1462,My_Audit!$A:$A,My_Audit!B:B,""),
_xlfn.IFS(_xlpm.MyAuditVal&lt;&gt;"",UPPER(_xlpm.MyAuditVal),_xlpm.MacVal&lt;&gt;"",_xlpm.MacVal,_xlpm.CSVVal&lt;&gt;"",_xlpm.CSVVal
)),"")</f>
        <v/>
      </c>
      <c r="D1462" s="40" t="str" cm="1">
        <f t="array" ref="D1462">IFERROR(_xlfn.LET(
_xlpm.CSVVal,_xlfn.XLOOKUP($A1462,CSV!$A:$A,CSV!D:D,""),
_xlpm.MacVal,_xlfn.XLOOKUP($A1462,Output_Mac!$A:$A,Output_Mac!C:C,""),
_xlpm.MyAuditVal,_xlfn.XLOOKUP($A1462,My_Audit!$A:$A,My_Audit!C:C,""),
_xlfn.IFS(_xlpm.MyAuditVal&lt;&gt;"",_xlpm.MyAuditVal,_xlpm.MacVal&lt;&gt;"",_xlpm.MacVal,_xlpm.CSVVal&lt;&gt;"",_xlpm.CSVVal
)),"")</f>
        <v/>
      </c>
      <c r="E1462" s="40" t="str">
        <f>_xlfn.XLOOKUP(A1462,My_Audit!A:A,My_Audit!D:D,"")</f>
        <v/>
      </c>
      <c r="F1462" s="40" t="str" cm="1">
        <f t="array" ref="F1462">IFERROR(_xlfn.LET(
_xlpm.CSVVal,_xlfn.XLOOKUP($A1462,CSV!$A:$A,CSV!F:F,""),
_xlpm.MacVal,_xlfn.XLOOKUP($A1462,Output_Mac!$A:$A,Output_Mac!E:E,""),
_xlpm.MyAuditVal,_xlfn.XLOOKUP($A1462,My_Audit!$A:$A,My_Audit!E:E,""),
_xlfn.IFS(_xlpm.MyAuditVal&lt;&gt;"",_xlpm.MyAuditVal,_xlpm.MacVal&lt;&gt;"",_xlpm.MacVal,_xlpm.CSVVal&lt;&gt;"",_xlpm.CSVVal
)),"")</f>
        <v/>
      </c>
      <c r="G1462" s="40" t="str" cm="1">
        <f t="array" ref="G1462">IFERROR(_xlfn.LET(
_xlpm.CSVVal,_xlfn.XLOOKUP($A1462,CSV!$A:$A,CSV!G:G,""),
_xlpm.MacVal,_xlfn.XLOOKUP($A1462,Output_Mac!$A:$A,Output_Mac!F:F,""),
_xlpm.MyAuditVal,_xlfn.XLOOKUP($A1462,My_Audit!$A:$A,My_Audit!F:F,""),
_xlfn.IFS(_xlpm.MyAuditVal&lt;&gt;"",_xlpm.MyAuditVal,_xlpm.MacVal&lt;&gt;"",_xlpm.MacVal,_xlpm.CSVVal&lt;&gt;"",PROPER(_xlpm.CSVVal)
)),"")</f>
        <v/>
      </c>
      <c r="H1462" s="40" t="str" cm="1">
        <f t="array" ref="H1462">IFERROR(_xlfn.LET(
_xlpm.CSVVal,_xlfn.XLOOKUP($A1462,CSV!$A:$A,CSV!H:H,""),
_xlpm.MacVal,_xlfn.XLOOKUP($A1462,Output_Mac!$A:$A,Output_Mac!H:H,""),
_xlpm.MyAuditVal,_xlfn.XLOOKUP($A1462,My_Audit!$A:$A,My_Audit!G:G,""),
_xlfn.IFS(_xlpm.MyAuditVal&lt;&gt;"",_xlpm.MyAuditVal,_xlpm.MacVal&lt;&gt;"",_xlpm.MacVal,_xlpm.CSVVal&lt;&gt;"",_xlpm.CSVVal
)),"")</f>
        <v/>
      </c>
      <c r="I1462" s="40" t="str">
        <f>_xlfn.XLOOKUP(A1462,Output_Mac!A:A,Output_Mac!I:I,"")</f>
        <v/>
      </c>
      <c r="J1462" s="40" t="str" cm="1">
        <f t="array" ref="J1462">IFERROR(_xlfn.LET(
_xlpm.CSVVal,_xlfn.XLOOKUP($A1462,CSV!$A:$A,CSV!I:I,""),
_xlpm.MacVal,_xlfn.XLOOKUP($A1462,Output_Mac!$A:$A,Output_Mac!J:J,""),
_xlpm.MyAuditVal,_xlfn.XLOOKUP($A1462,My_Audit!$A:$A,My_Audit!I:I,""),
_xlfn.IFS(_xlpm.MyAuditVal&lt;&gt;"",UPPER(_xlpm.MyAuditVal),_xlpm.MacVal&lt;&gt;"",_xlpm.MacVal,_xlpm.CSVVal&lt;&gt;"",_xlpm.CSVVal
)),"")</f>
        <v/>
      </c>
      <c r="K1462" s="40" t="str" cm="1">
        <f t="array" ref="K1462">IFERROR(_xlfn.LET(
_xlpm.CSVVal,_xlfn.XLOOKUP($A1462,CSV!$A:$A,CSV!K:K,""),
_xlpm.MacVal,_xlfn.XLOOKUP($A1462,Output_Mac!$A:$A,Output_Mac!K:K,""),
_xlpm.MyAuditVal,_xlfn.XLOOKUP($A1462,My_Audit!$A:$A,My_Audit!J:J,""),
_xlfn.IFS(_xlpm.MyAuditVal&lt;&gt;"",UPPER(_xlpm.MyAuditVal),_xlpm.MacVal&lt;&gt;"",_xlpm.MacVal,_xlpm.CSVVal&lt;&gt;"",_xlpm.CSVVal
)),"")</f>
        <v/>
      </c>
      <c r="L1462" s="40" t="str" cm="1">
        <f t="array" ref="L1462">IFERROR(_xlfn.LET(
_xlpm.CSVVal,_xlfn.XLOOKUP($A1462,CSV!$A:$A,CSV!P:P,""),
_xlpm.MacVal,_xlfn.XLOOKUP($A1462,Output_Mac!$A:$A,Output_Mac!L:L,""),
_xlpm.MyAuditVal,_xlfn.XLOOKUP($A1462,My_Audit!$A:$A,My_Audit!K:K,""),
_xlfn.IFS(_xlpm.MyAuditVal&lt;&gt;"",UPPER(_xlpm.MyAuditVal),_xlpm.MacVal&lt;&gt;"",_xlpm.MacVal,_xlpm.CSVVal&lt;&gt;"",_xlpm.CSVVal
)),"")</f>
        <v/>
      </c>
      <c r="M1462" s="40" t="str" cm="1">
        <f t="array" ref="M1462">IFERROR(_xlfn.LET(
_xlpm.CSVVal,_xlfn.XLOOKUP($A1462,CSV!$A:$A,CSV!Q:Q,""),
_xlpm.MacVal,_xlfn.XLOOKUP($A1462,Output_Mac!$A:$A,Output_Mac!M:M,""),
_xlpm.MyAuditVal,_xlfn.XLOOKUP($A1462,My_Audit!$A:$A,My_Audit!L:L,""),
_xlfn.IFS(_xlpm.MyAuditVal&lt;&gt;"",UPPER(_xlpm.MyAuditVal),_xlpm.MacVal&lt;&gt;"",_xlpm.MacVal,_xlpm.CSVVal&lt;&gt;"",_xlpm.CSVVal
)),"")</f>
        <v/>
      </c>
      <c r="N1462" s="40"/>
      <c r="O1462" s="40" t="str">
        <f>_xlfn.LET(
    _xlpm.CSVVal, _xlfn.XLOOKUP($A1462, CSV!$A:$A, CSV!AA:AA, ""),
    _xlpm.MacVal, _xlfn.XLOOKUP($A1462, Output_Mac!$A:$A, Output_Mac!S:S, ""),
    _xlpm.MyAuditVal, _xlfn.XLOOKUP($A1462, My_Audit!$A:$A, My_Audit!P:P, ""),
    _xlfn.TEXTJOIN(", ", TRUE, _xlpm.MyAuditVal, _xlpm.MacVal, _xlpm.CSVVal)
)</f>
        <v/>
      </c>
      <c r="P1462" s="40" t="str" cm="1">
        <f t="array" ref="P1462">IFERROR(_xlfn.LET(
_xlpm.CSVVal,_xlfn.XLOOKUP($A1462,CSV!$A:$A,CSV!AB:AB,""),
_xlpm.MacVal,_xlfn.XLOOKUP($A1462,Output_Mac!$A:$A,Output_Mac!T:T,""),
_xlpm.MyAuditVal,_xlfn.XLOOKUP($A1462,My_Audit!$A:$A,My_Audit!Q:Q,""),
_xlfn.IFS(_xlpm.MyAuditVal&lt;&gt;"",UPPER(_xlpm.MyAuditVal),_xlpm.MacVal&lt;&gt;"",_xlpm.MacVal,_xlpm.CSVVal&lt;&gt;"",_xlpm.CSVVal
)),"No")</f>
        <v>No</v>
      </c>
      <c r="Q1462" s="40" t="str" cm="1">
        <f t="array" ref="Q1462">IFERROR(_xlfn.LET(
_xlpm.CSVVal,_xlfn.XLOOKUP($A1462,CSV!$A:$A,CSV!AC:AC,""),
_xlpm.MacVal,_xlfn.XLOOKUP($A1462,Output_Mac!$A:$A,Output_Mac!U:U,""),
_xlpm.MyAuditVal,_xlfn.XLOOKUP($A1462,My_Audit!$A:$A,My_Audit!R:R,""),
_xlfn.IFS(_xlpm.MyAuditVal&lt;&gt;"",UPPER(_xlpm.MyAuditVal),_xlpm.MacVal&lt;&gt;"",_xlpm.MacVal,_xlpm.CSVVal&lt;&gt;"",_xlpm.CSVVal
)),"")</f>
        <v/>
      </c>
      <c r="R1462" s="40"/>
      <c r="S1462" s="40"/>
      <c r="T1462" s="40"/>
      <c r="U1462" s="40"/>
      <c r="V1462" s="40"/>
      <c r="W1462" s="40"/>
      <c r="X1462" s="41" t="str">
        <f>_xlfn.LET(
    _xlpm.MacVal, _xlfn.XLOOKUP($A1462, Output_Mac!$A:$A, Output_Mac!AB:AB, ""),
    _xlpm.MyAuditVal, _xlfn.XLOOKUP($A1462, My_Audit!$A:$A, My_Audit!N:N, ""),
    _xlfn.TEXTJOIN(", ", TRUE, _xlpm.MyAuditVal, _xlpm.MacVal)
)</f>
        <v/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5D339-83CC-48F7-BDDE-2CF20B7C27D4}">
  <sheetPr>
    <tabColor theme="9"/>
  </sheetPr>
  <dimension ref="A1:AM1365"/>
  <sheetViews>
    <sheetView workbookViewId="0">
      <pane ySplit="1" topLeftCell="A2" activePane="bottomLeft" state="frozen"/>
      <selection pane="bottomLeft" activeCell="L287" sqref="L287"/>
    </sheetView>
  </sheetViews>
  <sheetFormatPr defaultRowHeight="15"/>
  <cols>
    <col min="1" max="1" width="9" bestFit="1" customWidth="1"/>
    <col min="2" max="2" width="21" customWidth="1"/>
    <col min="3" max="3" width="18.5703125" customWidth="1"/>
    <col min="4" max="4" width="20.5703125" bestFit="1" customWidth="1"/>
    <col min="5" max="5" width="12.28515625" bestFit="1" customWidth="1"/>
    <col min="7" max="7" width="19.7109375" customWidth="1"/>
    <col min="8" max="8" width="21.7109375" customWidth="1"/>
    <col min="9" max="9" width="8.140625" bestFit="1" customWidth="1"/>
    <col min="10" max="10" width="13.7109375" customWidth="1"/>
    <col min="11" max="11" width="14.42578125" customWidth="1"/>
    <col min="12" max="12" width="40.7109375" customWidth="1"/>
    <col min="13" max="13" width="41.85546875" customWidth="1"/>
    <col min="14" max="14" width="23.5703125" customWidth="1"/>
    <col min="15" max="15" width="19.5703125" customWidth="1"/>
    <col min="16" max="16" width="5.7109375" bestFit="1" customWidth="1"/>
    <col min="17" max="17" width="6" bestFit="1" customWidth="1"/>
    <col min="18" max="18" width="6.85546875" bestFit="1" customWidth="1"/>
    <col min="19" max="19" width="7.42578125" customWidth="1"/>
    <col min="20" max="20" width="15.85546875" customWidth="1"/>
    <col min="22" max="22" width="8.28515625" bestFit="1" customWidth="1"/>
  </cols>
  <sheetData>
    <row r="1" spans="1:39" ht="34.5" thickBot="1">
      <c r="A1" s="49" t="s">
        <v>539</v>
      </c>
      <c r="B1" s="50" t="s">
        <v>540</v>
      </c>
      <c r="C1" s="50" t="s">
        <v>541</v>
      </c>
      <c r="D1" s="50" t="s">
        <v>542</v>
      </c>
      <c r="E1" s="50" t="s">
        <v>543</v>
      </c>
      <c r="F1" s="51"/>
      <c r="G1" s="50" t="s">
        <v>544</v>
      </c>
      <c r="H1" s="50" t="s">
        <v>545</v>
      </c>
      <c r="I1" s="50" t="s">
        <v>546</v>
      </c>
      <c r="J1" s="50" t="s">
        <v>6</v>
      </c>
      <c r="K1" s="50" t="s">
        <v>547</v>
      </c>
      <c r="L1" s="50" t="s">
        <v>548</v>
      </c>
      <c r="M1" s="52"/>
      <c r="N1" s="50" t="s">
        <v>549</v>
      </c>
      <c r="O1" s="50" t="s">
        <v>550</v>
      </c>
      <c r="P1" s="53" t="s">
        <v>551</v>
      </c>
      <c r="Q1" s="53" t="s">
        <v>552</v>
      </c>
      <c r="R1" s="50" t="s">
        <v>553</v>
      </c>
      <c r="S1" s="50" t="s">
        <v>554</v>
      </c>
      <c r="T1" s="50" t="s">
        <v>555</v>
      </c>
      <c r="U1" s="54" t="s">
        <v>556</v>
      </c>
      <c r="V1" s="54" t="s">
        <v>557</v>
      </c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</row>
    <row r="2" spans="1:39">
      <c r="D2" t="str">
        <f>'Audit Report'!B2</f>
        <v>ITD-X01</v>
      </c>
      <c r="E2" t="str">
        <f>'Audit Report'!C2</f>
        <v/>
      </c>
      <c r="I2" t="str">
        <f>'Audit Report'!D2</f>
        <v/>
      </c>
      <c r="J2" t="str">
        <f>'Audit Report'!H2</f>
        <v/>
      </c>
      <c r="L2" t="str">
        <f>_xlfn.TEXTJOIN(", ", FALSE, 'Audit Report'!K2,'Audit Report'!L2,'Audit Report'!M2)</f>
        <v xml:space="preserve">, , </v>
      </c>
      <c r="M2" t="str">
        <f>'Audit Report'!O2</f>
        <v/>
      </c>
      <c r="R2" t="str">
        <f>'Audit Report'!F2</f>
        <v/>
      </c>
      <c r="S2" t="str">
        <f>'Audit Report'!Q2</f>
        <v/>
      </c>
    </row>
    <row r="3" spans="1:39">
      <c r="D3" t="str">
        <f>'Audit Report'!B3</f>
        <v>ITD-X02</v>
      </c>
      <c r="E3" t="str">
        <f>'Audit Report'!C3</f>
        <v/>
      </c>
      <c r="I3" t="str">
        <f>'Audit Report'!D3</f>
        <v/>
      </c>
      <c r="J3" t="str">
        <f>'Audit Report'!H3</f>
        <v/>
      </c>
      <c r="L3" t="str">
        <f>_xlfn.TEXTJOIN(", ", FALSE, 'Audit Report'!K3,'Audit Report'!L3,'Audit Report'!M3)</f>
        <v xml:space="preserve">, , </v>
      </c>
      <c r="M3" t="str">
        <f>'Audit Report'!O3</f>
        <v/>
      </c>
      <c r="R3" t="str">
        <f>'Audit Report'!F3</f>
        <v/>
      </c>
      <c r="S3" t="str">
        <f>'Audit Report'!Q3</f>
        <v/>
      </c>
    </row>
    <row r="4" spans="1:39">
      <c r="D4" t="str">
        <f>'Audit Report'!B4</f>
        <v>ITD-X03</v>
      </c>
      <c r="E4" t="str">
        <f>'Audit Report'!C4</f>
        <v/>
      </c>
      <c r="I4" t="str">
        <f>'Audit Report'!D4</f>
        <v/>
      </c>
      <c r="J4" t="str">
        <f>'Audit Report'!H4</f>
        <v/>
      </c>
      <c r="L4" t="str">
        <f>_xlfn.TEXTJOIN(", ", FALSE, 'Audit Report'!K4,'Audit Report'!L4,'Audit Report'!M4)</f>
        <v xml:space="preserve">, , </v>
      </c>
      <c r="M4" t="str">
        <f>'Audit Report'!O4</f>
        <v/>
      </c>
      <c r="R4" t="str">
        <f>'Audit Report'!F4</f>
        <v/>
      </c>
      <c r="S4" t="str">
        <f>'Audit Report'!Q4</f>
        <v/>
      </c>
    </row>
    <row r="5" spans="1:39">
      <c r="D5" t="str">
        <f>'Audit Report'!B5</f>
        <v>ITD-X04</v>
      </c>
      <c r="E5" t="str">
        <f>'Audit Report'!C5</f>
        <v/>
      </c>
      <c r="I5" t="str">
        <f>'Audit Report'!D5</f>
        <v/>
      </c>
      <c r="J5" t="str">
        <f>'Audit Report'!H5</f>
        <v/>
      </c>
      <c r="L5" t="str">
        <f>_xlfn.TEXTJOIN(", ", FALSE, 'Audit Report'!K5,'Audit Report'!L5,'Audit Report'!M5)</f>
        <v xml:space="preserve">, , </v>
      </c>
      <c r="M5" t="str">
        <f>'Audit Report'!O5</f>
        <v/>
      </c>
      <c r="R5" t="str">
        <f>'Audit Report'!F5</f>
        <v/>
      </c>
      <c r="S5" t="str">
        <f>'Audit Report'!Q5</f>
        <v/>
      </c>
    </row>
    <row r="6" spans="1:39">
      <c r="D6" t="str">
        <f>'Audit Report'!B6</f>
        <v>ITD-X05</v>
      </c>
      <c r="E6" t="str">
        <f>'Audit Report'!C6</f>
        <v/>
      </c>
      <c r="I6" t="str">
        <f>'Audit Report'!D6</f>
        <v/>
      </c>
      <c r="J6" t="str">
        <f>'Audit Report'!H6</f>
        <v/>
      </c>
      <c r="L6" t="str">
        <f>_xlfn.TEXTJOIN(", ", FALSE, 'Audit Report'!K6,'Audit Report'!L6,'Audit Report'!M6)</f>
        <v xml:space="preserve">, , </v>
      </c>
      <c r="M6" t="str">
        <f>'Audit Report'!O6</f>
        <v/>
      </c>
      <c r="R6" t="str">
        <f>'Audit Report'!F6</f>
        <v/>
      </c>
      <c r="S6" t="str">
        <f>'Audit Report'!Q6</f>
        <v/>
      </c>
    </row>
    <row r="7" spans="1:39">
      <c r="D7" t="str">
        <f>'Audit Report'!B7</f>
        <v>ITD-X06</v>
      </c>
      <c r="E7" t="str">
        <f>'Audit Report'!C7</f>
        <v/>
      </c>
      <c r="I7" t="str">
        <f>'Audit Report'!D7</f>
        <v/>
      </c>
      <c r="J7" t="str">
        <f>'Audit Report'!H7</f>
        <v/>
      </c>
      <c r="L7" t="str">
        <f>_xlfn.TEXTJOIN(", ", FALSE, 'Audit Report'!K7,'Audit Report'!L7,'Audit Report'!M7)</f>
        <v xml:space="preserve">, , </v>
      </c>
      <c r="M7" t="str">
        <f>'Audit Report'!O7</f>
        <v/>
      </c>
      <c r="R7" t="str">
        <f>'Audit Report'!F7</f>
        <v/>
      </c>
      <c r="S7" t="str">
        <f>'Audit Report'!Q7</f>
        <v/>
      </c>
    </row>
    <row r="8" spans="1:39">
      <c r="D8" t="str">
        <f>'Audit Report'!B8</f>
        <v>ITD-X07</v>
      </c>
      <c r="E8" t="str">
        <f>'Audit Report'!C8</f>
        <v/>
      </c>
      <c r="I8" t="str">
        <f>'Audit Report'!D8</f>
        <v/>
      </c>
      <c r="J8" t="str">
        <f>'Audit Report'!H8</f>
        <v/>
      </c>
      <c r="L8" t="str">
        <f>_xlfn.TEXTJOIN(", ", FALSE, 'Audit Report'!K8,'Audit Report'!L8,'Audit Report'!M8)</f>
        <v xml:space="preserve">, , </v>
      </c>
      <c r="M8" t="str">
        <f>'Audit Report'!O8</f>
        <v/>
      </c>
      <c r="R8" t="str">
        <f>'Audit Report'!F8</f>
        <v/>
      </c>
      <c r="S8" t="str">
        <f>'Audit Report'!Q8</f>
        <v/>
      </c>
    </row>
    <row r="9" spans="1:39">
      <c r="D9" t="str">
        <f>'Audit Report'!B9</f>
        <v>ITD-X08</v>
      </c>
      <c r="E9" t="str">
        <f>'Audit Report'!C9</f>
        <v/>
      </c>
      <c r="I9" t="str">
        <f>'Audit Report'!D9</f>
        <v/>
      </c>
      <c r="J9" t="str">
        <f>'Audit Report'!H9</f>
        <v/>
      </c>
      <c r="L9" t="str">
        <f>_xlfn.TEXTJOIN(", ", FALSE, 'Audit Report'!K9,'Audit Report'!L9,'Audit Report'!M9)</f>
        <v xml:space="preserve">, , </v>
      </c>
      <c r="M9" t="str">
        <f>'Audit Report'!O9</f>
        <v/>
      </c>
      <c r="R9" t="str">
        <f>'Audit Report'!F9</f>
        <v/>
      </c>
      <c r="S9" t="str">
        <f>'Audit Report'!Q9</f>
        <v/>
      </c>
    </row>
    <row r="10" spans="1:39">
      <c r="D10" t="str">
        <f>'Audit Report'!B10</f>
        <v>ITD-X09</v>
      </c>
      <c r="E10" t="str">
        <f>'Audit Report'!C10</f>
        <v/>
      </c>
      <c r="I10" t="str">
        <f>'Audit Report'!D10</f>
        <v/>
      </c>
      <c r="J10" t="str">
        <f>'Audit Report'!H10</f>
        <v/>
      </c>
      <c r="L10" t="str">
        <f>_xlfn.TEXTJOIN(", ", FALSE, 'Audit Report'!K10,'Audit Report'!L10,'Audit Report'!M10)</f>
        <v xml:space="preserve">, , </v>
      </c>
      <c r="M10" t="str">
        <f>'Audit Report'!O10</f>
        <v/>
      </c>
      <c r="R10" t="str">
        <f>'Audit Report'!F10</f>
        <v/>
      </c>
      <c r="S10" t="str">
        <f>'Audit Report'!Q10</f>
        <v/>
      </c>
    </row>
    <row r="11" spans="1:39">
      <c r="D11" t="str">
        <f>'Audit Report'!B11</f>
        <v>ITD-X10</v>
      </c>
      <c r="E11" t="str">
        <f>'Audit Report'!C11</f>
        <v/>
      </c>
      <c r="I11" t="str">
        <f>'Audit Report'!D11</f>
        <v/>
      </c>
      <c r="J11" t="str">
        <f>'Audit Report'!H11</f>
        <v/>
      </c>
      <c r="L11" t="str">
        <f>_xlfn.TEXTJOIN(", ", FALSE, 'Audit Report'!K11,'Audit Report'!L11,'Audit Report'!M11)</f>
        <v xml:space="preserve">, , </v>
      </c>
      <c r="M11" t="str">
        <f>'Audit Report'!O11</f>
        <v/>
      </c>
      <c r="R11" t="str">
        <f>'Audit Report'!F11</f>
        <v/>
      </c>
      <c r="S11" t="str">
        <f>'Audit Report'!Q11</f>
        <v/>
      </c>
    </row>
    <row r="12" spans="1:39">
      <c r="D12" t="str">
        <f>'Audit Report'!B12</f>
        <v>ITD-X11</v>
      </c>
      <c r="E12" t="str">
        <f>'Audit Report'!C12</f>
        <v/>
      </c>
      <c r="I12" t="str">
        <f>'Audit Report'!D12</f>
        <v/>
      </c>
      <c r="J12" t="str">
        <f>'Audit Report'!H12</f>
        <v/>
      </c>
      <c r="L12" t="str">
        <f>_xlfn.TEXTJOIN(", ", FALSE, 'Audit Report'!K12,'Audit Report'!L12,'Audit Report'!M12)</f>
        <v xml:space="preserve">, , </v>
      </c>
      <c r="M12" t="str">
        <f>'Audit Report'!O12</f>
        <v/>
      </c>
      <c r="R12" t="str">
        <f>'Audit Report'!F12</f>
        <v/>
      </c>
      <c r="S12" t="str">
        <f>'Audit Report'!Q12</f>
        <v/>
      </c>
    </row>
    <row r="13" spans="1:39">
      <c r="D13" t="str">
        <f>'Audit Report'!B13</f>
        <v>ITD-X12</v>
      </c>
      <c r="E13" t="str">
        <f>'Audit Report'!C13</f>
        <v/>
      </c>
      <c r="I13" t="str">
        <f>'Audit Report'!D13</f>
        <v/>
      </c>
      <c r="J13" t="str">
        <f>'Audit Report'!H13</f>
        <v/>
      </c>
      <c r="L13" t="str">
        <f>_xlfn.TEXTJOIN(", ", FALSE, 'Audit Report'!K13,'Audit Report'!L13,'Audit Report'!M13)</f>
        <v xml:space="preserve">, , </v>
      </c>
      <c r="M13" t="str">
        <f>'Audit Report'!O13</f>
        <v/>
      </c>
      <c r="R13" t="str">
        <f>'Audit Report'!F13</f>
        <v/>
      </c>
      <c r="S13" t="str">
        <f>'Audit Report'!Q13</f>
        <v/>
      </c>
    </row>
    <row r="14" spans="1:39">
      <c r="D14" t="str">
        <f>'Audit Report'!B14</f>
        <v>ITD-X13</v>
      </c>
      <c r="E14" t="str">
        <f>'Audit Report'!C14</f>
        <v/>
      </c>
      <c r="I14" t="str">
        <f>'Audit Report'!D14</f>
        <v/>
      </c>
      <c r="J14" t="str">
        <f>'Audit Report'!H14</f>
        <v/>
      </c>
      <c r="L14" t="str">
        <f>_xlfn.TEXTJOIN(", ", FALSE, 'Audit Report'!K14,'Audit Report'!L14,'Audit Report'!M14)</f>
        <v xml:space="preserve">, , </v>
      </c>
      <c r="M14" t="str">
        <f>'Audit Report'!O14</f>
        <v/>
      </c>
      <c r="R14" t="str">
        <f>'Audit Report'!F14</f>
        <v/>
      </c>
      <c r="S14" t="str">
        <f>'Audit Report'!Q14</f>
        <v/>
      </c>
    </row>
    <row r="15" spans="1:39">
      <c r="D15" t="str">
        <f>'Audit Report'!B15</f>
        <v>ITD-X14</v>
      </c>
      <c r="E15" t="str">
        <f>'Audit Report'!C15</f>
        <v/>
      </c>
      <c r="I15" t="str">
        <f>'Audit Report'!D15</f>
        <v/>
      </c>
      <c r="J15" t="str">
        <f>'Audit Report'!H15</f>
        <v/>
      </c>
      <c r="L15" t="str">
        <f>_xlfn.TEXTJOIN(", ", FALSE, 'Audit Report'!K15,'Audit Report'!L15,'Audit Report'!M15)</f>
        <v xml:space="preserve">, , </v>
      </c>
      <c r="M15" t="str">
        <f>'Audit Report'!O15</f>
        <v/>
      </c>
      <c r="R15" t="str">
        <f>'Audit Report'!F15</f>
        <v/>
      </c>
      <c r="S15" t="str">
        <f>'Audit Report'!Q15</f>
        <v/>
      </c>
    </row>
    <row r="16" spans="1:39">
      <c r="D16" t="str">
        <f>'Audit Report'!B16</f>
        <v>ITD-X15</v>
      </c>
      <c r="E16" t="str">
        <f>'Audit Report'!C16</f>
        <v/>
      </c>
      <c r="I16" t="str">
        <f>'Audit Report'!D16</f>
        <v/>
      </c>
      <c r="J16" t="str">
        <f>'Audit Report'!H16</f>
        <v/>
      </c>
      <c r="L16" t="str">
        <f>_xlfn.TEXTJOIN(", ", FALSE, 'Audit Report'!K16,'Audit Report'!L16,'Audit Report'!M16)</f>
        <v xml:space="preserve">, , </v>
      </c>
      <c r="M16" t="str">
        <f>'Audit Report'!O16</f>
        <v/>
      </c>
      <c r="R16" t="str">
        <f>'Audit Report'!F16</f>
        <v/>
      </c>
      <c r="S16" t="str">
        <f>'Audit Report'!Q16</f>
        <v/>
      </c>
    </row>
    <row r="17" spans="4:19">
      <c r="D17" t="str">
        <f>'Audit Report'!B17</f>
        <v>ITD-X16</v>
      </c>
      <c r="E17" t="str">
        <f>'Audit Report'!C17</f>
        <v/>
      </c>
      <c r="I17" t="str">
        <f>'Audit Report'!D17</f>
        <v/>
      </c>
      <c r="J17" t="str">
        <f>'Audit Report'!H17</f>
        <v/>
      </c>
      <c r="L17" t="str">
        <f>_xlfn.TEXTJOIN(", ", FALSE, 'Audit Report'!K17,'Audit Report'!L17,'Audit Report'!M17)</f>
        <v xml:space="preserve">, , </v>
      </c>
      <c r="M17" t="str">
        <f>'Audit Report'!O17</f>
        <v/>
      </c>
      <c r="R17" t="str">
        <f>'Audit Report'!F17</f>
        <v/>
      </c>
      <c r="S17" t="str">
        <f>'Audit Report'!Q17</f>
        <v/>
      </c>
    </row>
    <row r="18" spans="4:19">
      <c r="D18" t="str">
        <f>'Audit Report'!B18</f>
        <v>ITD-X17</v>
      </c>
      <c r="E18" t="str">
        <f>'Audit Report'!C18</f>
        <v/>
      </c>
      <c r="I18" t="str">
        <f>'Audit Report'!D18</f>
        <v/>
      </c>
      <c r="J18" t="str">
        <f>'Audit Report'!H18</f>
        <v/>
      </c>
      <c r="L18" t="str">
        <f>_xlfn.TEXTJOIN(", ", FALSE, 'Audit Report'!K18,'Audit Report'!L18,'Audit Report'!M18)</f>
        <v xml:space="preserve">, , </v>
      </c>
      <c r="M18" t="str">
        <f>'Audit Report'!O18</f>
        <v/>
      </c>
      <c r="R18" t="str">
        <f>'Audit Report'!F18</f>
        <v/>
      </c>
      <c r="S18" t="str">
        <f>'Audit Report'!Q18</f>
        <v/>
      </c>
    </row>
    <row r="19" spans="4:19">
      <c r="D19" t="str">
        <f>'Audit Report'!B19</f>
        <v>ITD-X18</v>
      </c>
      <c r="E19" t="str">
        <f>'Audit Report'!C19</f>
        <v/>
      </c>
      <c r="I19" t="str">
        <f>'Audit Report'!D19</f>
        <v/>
      </c>
      <c r="J19" t="str">
        <f>'Audit Report'!H19</f>
        <v/>
      </c>
      <c r="L19" t="str">
        <f>_xlfn.TEXTJOIN(", ", FALSE, 'Audit Report'!K19,'Audit Report'!L19,'Audit Report'!M19)</f>
        <v xml:space="preserve">, , </v>
      </c>
      <c r="M19" t="str">
        <f>'Audit Report'!O19</f>
        <v/>
      </c>
      <c r="R19" t="str">
        <f>'Audit Report'!F19</f>
        <v/>
      </c>
      <c r="S19" t="str">
        <f>'Audit Report'!Q19</f>
        <v/>
      </c>
    </row>
    <row r="20" spans="4:19">
      <c r="D20" t="str">
        <f>'Audit Report'!B20</f>
        <v>ITD-X19</v>
      </c>
      <c r="E20" t="str">
        <f>'Audit Report'!C20</f>
        <v/>
      </c>
      <c r="I20" t="str">
        <f>'Audit Report'!D20</f>
        <v/>
      </c>
      <c r="J20" t="str">
        <f>'Audit Report'!H20</f>
        <v/>
      </c>
      <c r="L20" t="str">
        <f>_xlfn.TEXTJOIN(", ", FALSE, 'Audit Report'!K20,'Audit Report'!L20,'Audit Report'!M20)</f>
        <v xml:space="preserve">, , </v>
      </c>
      <c r="M20" t="str">
        <f>'Audit Report'!O20</f>
        <v/>
      </c>
      <c r="R20" t="str">
        <f>'Audit Report'!F20</f>
        <v/>
      </c>
      <c r="S20" t="str">
        <f>'Audit Report'!Q20</f>
        <v/>
      </c>
    </row>
    <row r="21" spans="4:19">
      <c r="D21" t="str">
        <f>'Audit Report'!B21</f>
        <v>ITD-X20</v>
      </c>
      <c r="E21" t="str">
        <f>'Audit Report'!C21</f>
        <v/>
      </c>
      <c r="I21" t="str">
        <f>'Audit Report'!D21</f>
        <v/>
      </c>
      <c r="J21" t="str">
        <f>'Audit Report'!H21</f>
        <v/>
      </c>
      <c r="L21" t="str">
        <f>_xlfn.TEXTJOIN(", ", FALSE, 'Audit Report'!K21,'Audit Report'!L21,'Audit Report'!M21)</f>
        <v xml:space="preserve">, , </v>
      </c>
      <c r="M21" t="str">
        <f>'Audit Report'!O21</f>
        <v/>
      </c>
      <c r="R21" t="str">
        <f>'Audit Report'!F21</f>
        <v/>
      </c>
      <c r="S21" t="str">
        <f>'Audit Report'!Q21</f>
        <v/>
      </c>
    </row>
    <row r="22" spans="4:19">
      <c r="D22" t="str">
        <f>'Audit Report'!B22</f>
        <v>ITD-X21</v>
      </c>
      <c r="E22" t="str">
        <f>'Audit Report'!C22</f>
        <v/>
      </c>
      <c r="I22" t="str">
        <f>'Audit Report'!D22</f>
        <v/>
      </c>
      <c r="J22" t="str">
        <f>'Audit Report'!H22</f>
        <v/>
      </c>
      <c r="L22" t="str">
        <f>_xlfn.TEXTJOIN(", ", FALSE, 'Audit Report'!K22,'Audit Report'!L22,'Audit Report'!M22)</f>
        <v xml:space="preserve">, , </v>
      </c>
      <c r="M22" t="str">
        <f>'Audit Report'!O22</f>
        <v/>
      </c>
      <c r="R22" t="str">
        <f>'Audit Report'!F22</f>
        <v/>
      </c>
      <c r="S22" t="str">
        <f>'Audit Report'!Q22</f>
        <v/>
      </c>
    </row>
    <row r="23" spans="4:19">
      <c r="D23" t="str">
        <f>'Audit Report'!B23</f>
        <v>ITD-X22</v>
      </c>
      <c r="E23" t="str">
        <f>'Audit Report'!C23</f>
        <v/>
      </c>
      <c r="I23" t="str">
        <f>'Audit Report'!D23</f>
        <v/>
      </c>
      <c r="J23" t="str">
        <f>'Audit Report'!H23</f>
        <v/>
      </c>
      <c r="L23" t="str">
        <f>_xlfn.TEXTJOIN(", ", FALSE, 'Audit Report'!K23,'Audit Report'!L23,'Audit Report'!M23)</f>
        <v xml:space="preserve">, , </v>
      </c>
      <c r="M23" t="str">
        <f>'Audit Report'!O23</f>
        <v/>
      </c>
      <c r="R23" t="str">
        <f>'Audit Report'!F23</f>
        <v/>
      </c>
      <c r="S23" t="str">
        <f>'Audit Report'!Q23</f>
        <v/>
      </c>
    </row>
    <row r="24" spans="4:19">
      <c r="D24" t="str">
        <f>'Audit Report'!B24</f>
        <v>ITD-X23</v>
      </c>
      <c r="E24" t="str">
        <f>'Audit Report'!C24</f>
        <v/>
      </c>
      <c r="I24" t="str">
        <f>'Audit Report'!D24</f>
        <v/>
      </c>
      <c r="J24" t="str">
        <f>'Audit Report'!H24</f>
        <v/>
      </c>
      <c r="L24" t="str">
        <f>_xlfn.TEXTJOIN(", ", FALSE, 'Audit Report'!K24,'Audit Report'!L24,'Audit Report'!M24)</f>
        <v xml:space="preserve">, , </v>
      </c>
      <c r="M24" t="str">
        <f>'Audit Report'!O24</f>
        <v/>
      </c>
      <c r="R24" t="str">
        <f>'Audit Report'!F24</f>
        <v/>
      </c>
      <c r="S24" t="str">
        <f>'Audit Report'!Q24</f>
        <v/>
      </c>
    </row>
    <row r="25" spans="4:19">
      <c r="D25" t="str">
        <f>'Audit Report'!B25</f>
        <v>ITD-X24</v>
      </c>
      <c r="E25" t="str">
        <f>'Audit Report'!C25</f>
        <v/>
      </c>
      <c r="I25" t="str">
        <f>'Audit Report'!D25</f>
        <v/>
      </c>
      <c r="J25" t="str">
        <f>'Audit Report'!H25</f>
        <v/>
      </c>
      <c r="L25" t="str">
        <f>_xlfn.TEXTJOIN(", ", FALSE, 'Audit Report'!K25,'Audit Report'!L25,'Audit Report'!M25)</f>
        <v xml:space="preserve">, , </v>
      </c>
      <c r="M25" t="str">
        <f>'Audit Report'!O25</f>
        <v/>
      </c>
      <c r="R25" t="str">
        <f>'Audit Report'!F25</f>
        <v/>
      </c>
      <c r="S25" t="str">
        <f>'Audit Report'!Q25</f>
        <v/>
      </c>
    </row>
    <row r="26" spans="4:19">
      <c r="D26" t="str">
        <f>'Audit Report'!B26</f>
        <v>ITD-X25</v>
      </c>
      <c r="E26" t="str">
        <f>'Audit Report'!C26</f>
        <v/>
      </c>
      <c r="I26" t="str">
        <f>'Audit Report'!D26</f>
        <v/>
      </c>
      <c r="J26" t="str">
        <f>'Audit Report'!H26</f>
        <v/>
      </c>
      <c r="L26" t="str">
        <f>_xlfn.TEXTJOIN(", ", FALSE, 'Audit Report'!K26,'Audit Report'!L26,'Audit Report'!M26)</f>
        <v xml:space="preserve">, , </v>
      </c>
      <c r="M26" t="str">
        <f>'Audit Report'!O26</f>
        <v/>
      </c>
      <c r="R26" t="str">
        <f>'Audit Report'!F26</f>
        <v/>
      </c>
      <c r="S26" t="str">
        <f>'Audit Report'!Q26</f>
        <v/>
      </c>
    </row>
    <row r="27" spans="4:19">
      <c r="D27" t="str">
        <f>'Audit Report'!B27</f>
        <v>ITD-X26</v>
      </c>
      <c r="E27" t="str">
        <f>'Audit Report'!C27</f>
        <v/>
      </c>
      <c r="I27" t="str">
        <f>'Audit Report'!D27</f>
        <v/>
      </c>
      <c r="J27" t="str">
        <f>'Audit Report'!H27</f>
        <v/>
      </c>
      <c r="L27" t="str">
        <f>_xlfn.TEXTJOIN(", ", FALSE, 'Audit Report'!K27,'Audit Report'!L27,'Audit Report'!M27)</f>
        <v xml:space="preserve">, , </v>
      </c>
      <c r="M27" t="str">
        <f>'Audit Report'!O27</f>
        <v/>
      </c>
      <c r="R27" t="str">
        <f>'Audit Report'!F27</f>
        <v/>
      </c>
      <c r="S27" t="str">
        <f>'Audit Report'!Q27</f>
        <v/>
      </c>
    </row>
    <row r="28" spans="4:19">
      <c r="D28" t="str">
        <f>'Audit Report'!B28</f>
        <v>ITD-X27</v>
      </c>
      <c r="E28" t="str">
        <f>'Audit Report'!C28</f>
        <v/>
      </c>
      <c r="I28" t="str">
        <f>'Audit Report'!D28</f>
        <v/>
      </c>
      <c r="J28" t="str">
        <f>'Audit Report'!H28</f>
        <v/>
      </c>
      <c r="L28" t="str">
        <f>_xlfn.TEXTJOIN(", ", FALSE, 'Audit Report'!K28,'Audit Report'!L28,'Audit Report'!M28)</f>
        <v xml:space="preserve">, , </v>
      </c>
      <c r="M28" t="str">
        <f>'Audit Report'!O28</f>
        <v/>
      </c>
      <c r="R28" t="str">
        <f>'Audit Report'!F28</f>
        <v/>
      </c>
      <c r="S28" t="str">
        <f>'Audit Report'!Q28</f>
        <v/>
      </c>
    </row>
    <row r="29" spans="4:19">
      <c r="D29" t="str">
        <f>'Audit Report'!B29</f>
        <v>ITD-X28</v>
      </c>
      <c r="E29" t="str">
        <f>'Audit Report'!C29</f>
        <v/>
      </c>
      <c r="I29" t="str">
        <f>'Audit Report'!D29</f>
        <v/>
      </c>
      <c r="J29" t="str">
        <f>'Audit Report'!H29</f>
        <v/>
      </c>
      <c r="L29" t="str">
        <f>_xlfn.TEXTJOIN(", ", FALSE, 'Audit Report'!K29,'Audit Report'!L29,'Audit Report'!M29)</f>
        <v xml:space="preserve">, , </v>
      </c>
      <c r="M29" t="str">
        <f>'Audit Report'!O29</f>
        <v/>
      </c>
      <c r="R29" t="str">
        <f>'Audit Report'!F29</f>
        <v/>
      </c>
      <c r="S29" t="str">
        <f>'Audit Report'!Q29</f>
        <v/>
      </c>
    </row>
    <row r="30" spans="4:19">
      <c r="D30" t="str">
        <f>'Audit Report'!B30</f>
        <v>ITD-X29</v>
      </c>
      <c r="E30" t="str">
        <f>'Audit Report'!C30</f>
        <v/>
      </c>
      <c r="I30" t="str">
        <f>'Audit Report'!D30</f>
        <v/>
      </c>
      <c r="J30" t="str">
        <f>'Audit Report'!H30</f>
        <v/>
      </c>
      <c r="L30" t="str">
        <f>_xlfn.TEXTJOIN(", ", FALSE, 'Audit Report'!K30,'Audit Report'!L30,'Audit Report'!M30)</f>
        <v xml:space="preserve">, , </v>
      </c>
      <c r="M30" t="str">
        <f>'Audit Report'!O30</f>
        <v/>
      </c>
      <c r="R30" t="str">
        <f>'Audit Report'!F30</f>
        <v/>
      </c>
      <c r="S30" t="str">
        <f>'Audit Report'!Q30</f>
        <v/>
      </c>
    </row>
    <row r="31" spans="4:19">
      <c r="D31" t="str">
        <f>'Audit Report'!B31</f>
        <v>ITD-X30</v>
      </c>
      <c r="E31" t="str">
        <f>'Audit Report'!C31</f>
        <v/>
      </c>
      <c r="I31" t="str">
        <f>'Audit Report'!D31</f>
        <v/>
      </c>
      <c r="J31" t="str">
        <f>'Audit Report'!H31</f>
        <v/>
      </c>
      <c r="L31" t="str">
        <f>_xlfn.TEXTJOIN(", ", FALSE, 'Audit Report'!K31,'Audit Report'!L31,'Audit Report'!M31)</f>
        <v xml:space="preserve">, , </v>
      </c>
      <c r="M31" t="str">
        <f>'Audit Report'!O31</f>
        <v/>
      </c>
      <c r="R31" t="str">
        <f>'Audit Report'!F31</f>
        <v/>
      </c>
      <c r="S31" t="str">
        <f>'Audit Report'!Q31</f>
        <v/>
      </c>
    </row>
    <row r="32" spans="4:19">
      <c r="D32" t="str">
        <f>'Audit Report'!B32</f>
        <v>ITD-X31</v>
      </c>
      <c r="E32" t="str">
        <f>'Audit Report'!C32</f>
        <v/>
      </c>
      <c r="I32" t="str">
        <f>'Audit Report'!D32</f>
        <v/>
      </c>
      <c r="J32" t="str">
        <f>'Audit Report'!H32</f>
        <v/>
      </c>
      <c r="L32" t="str">
        <f>_xlfn.TEXTJOIN(", ", FALSE, 'Audit Report'!K32,'Audit Report'!L32,'Audit Report'!M32)</f>
        <v xml:space="preserve">, , </v>
      </c>
      <c r="M32" t="str">
        <f>'Audit Report'!O32</f>
        <v/>
      </c>
      <c r="R32" t="str">
        <f>'Audit Report'!F32</f>
        <v/>
      </c>
      <c r="S32" t="str">
        <f>'Audit Report'!Q32</f>
        <v/>
      </c>
    </row>
    <row r="33" spans="4:19">
      <c r="D33" t="str">
        <f>'Audit Report'!B33</f>
        <v>ITD-X32</v>
      </c>
      <c r="E33" t="str">
        <f>'Audit Report'!C33</f>
        <v/>
      </c>
      <c r="I33" t="str">
        <f>'Audit Report'!D33</f>
        <v/>
      </c>
      <c r="J33" t="str">
        <f>'Audit Report'!H33</f>
        <v/>
      </c>
      <c r="L33" t="str">
        <f>_xlfn.TEXTJOIN(", ", FALSE, 'Audit Report'!K33,'Audit Report'!L33,'Audit Report'!M33)</f>
        <v xml:space="preserve">, , </v>
      </c>
      <c r="M33" t="str">
        <f>'Audit Report'!O33</f>
        <v/>
      </c>
      <c r="R33" t="str">
        <f>'Audit Report'!F33</f>
        <v/>
      </c>
      <c r="S33" t="str">
        <f>'Audit Report'!Q33</f>
        <v/>
      </c>
    </row>
    <row r="34" spans="4:19">
      <c r="D34" t="str">
        <f>'Audit Report'!B34</f>
        <v>ITD-X33</v>
      </c>
      <c r="E34" t="str">
        <f>'Audit Report'!C34</f>
        <v/>
      </c>
      <c r="I34" t="str">
        <f>'Audit Report'!D34</f>
        <v/>
      </c>
      <c r="J34" t="str">
        <f>'Audit Report'!H34</f>
        <v/>
      </c>
      <c r="L34" t="str">
        <f>_xlfn.TEXTJOIN(", ", FALSE, 'Audit Report'!K34,'Audit Report'!L34,'Audit Report'!M34)</f>
        <v xml:space="preserve">, , </v>
      </c>
      <c r="M34" t="str">
        <f>'Audit Report'!O34</f>
        <v/>
      </c>
      <c r="R34" t="str">
        <f>'Audit Report'!F34</f>
        <v/>
      </c>
      <c r="S34" t="str">
        <f>'Audit Report'!Q34</f>
        <v/>
      </c>
    </row>
    <row r="35" spans="4:19">
      <c r="D35" t="str">
        <f>'Audit Report'!B35</f>
        <v>ITD-X34</v>
      </c>
      <c r="E35" t="str">
        <f>'Audit Report'!C35</f>
        <v/>
      </c>
      <c r="I35" t="str">
        <f>'Audit Report'!D35</f>
        <v/>
      </c>
      <c r="J35" t="str">
        <f>'Audit Report'!H35</f>
        <v/>
      </c>
      <c r="L35" t="str">
        <f>_xlfn.TEXTJOIN(", ", FALSE, 'Audit Report'!K35,'Audit Report'!L35,'Audit Report'!M35)</f>
        <v xml:space="preserve">, , </v>
      </c>
      <c r="M35" t="str">
        <f>'Audit Report'!O35</f>
        <v/>
      </c>
      <c r="R35" t="str">
        <f>'Audit Report'!F35</f>
        <v/>
      </c>
      <c r="S35" t="str">
        <f>'Audit Report'!Q35</f>
        <v/>
      </c>
    </row>
    <row r="36" spans="4:19">
      <c r="D36" t="str">
        <f>'Audit Report'!B36</f>
        <v>ITD-X35</v>
      </c>
      <c r="E36" t="str">
        <f>'Audit Report'!C36</f>
        <v/>
      </c>
      <c r="I36" t="str">
        <f>'Audit Report'!D36</f>
        <v/>
      </c>
      <c r="J36" t="str">
        <f>'Audit Report'!H36</f>
        <v/>
      </c>
      <c r="L36" t="str">
        <f>_xlfn.TEXTJOIN(", ", FALSE, 'Audit Report'!K36,'Audit Report'!L36,'Audit Report'!M36)</f>
        <v xml:space="preserve">, , </v>
      </c>
      <c r="M36" t="str">
        <f>'Audit Report'!O36</f>
        <v/>
      </c>
      <c r="R36" t="str">
        <f>'Audit Report'!F36</f>
        <v/>
      </c>
      <c r="S36" t="str">
        <f>'Audit Report'!Q36</f>
        <v/>
      </c>
    </row>
    <row r="37" spans="4:19">
      <c r="D37" t="str">
        <f>'Audit Report'!B37</f>
        <v>ITD-X36</v>
      </c>
      <c r="E37" t="str">
        <f>'Audit Report'!C37</f>
        <v/>
      </c>
      <c r="I37" t="str">
        <f>'Audit Report'!D37</f>
        <v/>
      </c>
      <c r="J37" t="str">
        <f>'Audit Report'!H37</f>
        <v/>
      </c>
      <c r="L37" t="str">
        <f>_xlfn.TEXTJOIN(", ", FALSE, 'Audit Report'!K37,'Audit Report'!L37,'Audit Report'!M37)</f>
        <v xml:space="preserve">, , </v>
      </c>
      <c r="M37" t="str">
        <f>'Audit Report'!O37</f>
        <v/>
      </c>
      <c r="R37" t="str">
        <f>'Audit Report'!F37</f>
        <v/>
      </c>
      <c r="S37" t="str">
        <f>'Audit Report'!Q37</f>
        <v/>
      </c>
    </row>
    <row r="38" spans="4:19">
      <c r="D38" t="str">
        <f>'Audit Report'!B38</f>
        <v>ITD-X37</v>
      </c>
      <c r="E38" t="str">
        <f>'Audit Report'!C38</f>
        <v/>
      </c>
      <c r="I38" t="str">
        <f>'Audit Report'!D38</f>
        <v/>
      </c>
      <c r="J38" t="str">
        <f>'Audit Report'!H38</f>
        <v/>
      </c>
      <c r="L38" t="str">
        <f>_xlfn.TEXTJOIN(", ", FALSE, 'Audit Report'!K38,'Audit Report'!L38,'Audit Report'!M38)</f>
        <v xml:space="preserve">, , </v>
      </c>
      <c r="M38" t="str">
        <f>'Audit Report'!O38</f>
        <v/>
      </c>
      <c r="R38" t="str">
        <f>'Audit Report'!F38</f>
        <v/>
      </c>
      <c r="S38" t="str">
        <f>'Audit Report'!Q38</f>
        <v/>
      </c>
    </row>
    <row r="39" spans="4:19">
      <c r="D39" t="str">
        <f>'Audit Report'!B39</f>
        <v>ITD-X38</v>
      </c>
      <c r="E39" t="str">
        <f>'Audit Report'!C39</f>
        <v/>
      </c>
      <c r="I39" t="str">
        <f>'Audit Report'!D39</f>
        <v/>
      </c>
      <c r="J39" t="str">
        <f>'Audit Report'!H39</f>
        <v/>
      </c>
      <c r="L39" t="str">
        <f>_xlfn.TEXTJOIN(", ", FALSE, 'Audit Report'!K39,'Audit Report'!L39,'Audit Report'!M39)</f>
        <v xml:space="preserve">, , </v>
      </c>
      <c r="M39" t="str">
        <f>'Audit Report'!O39</f>
        <v/>
      </c>
      <c r="R39" t="str">
        <f>'Audit Report'!F39</f>
        <v/>
      </c>
      <c r="S39" t="str">
        <f>'Audit Report'!Q39</f>
        <v/>
      </c>
    </row>
    <row r="40" spans="4:19">
      <c r="D40" t="str">
        <f>'Audit Report'!B40</f>
        <v>ITD-X39</v>
      </c>
      <c r="E40" t="str">
        <f>'Audit Report'!C40</f>
        <v/>
      </c>
      <c r="I40" t="str">
        <f>'Audit Report'!D40</f>
        <v/>
      </c>
      <c r="J40" t="str">
        <f>'Audit Report'!H40</f>
        <v/>
      </c>
      <c r="L40" t="str">
        <f>_xlfn.TEXTJOIN(", ", FALSE, 'Audit Report'!K40,'Audit Report'!L40,'Audit Report'!M40)</f>
        <v xml:space="preserve">, , </v>
      </c>
      <c r="M40" t="str">
        <f>'Audit Report'!O40</f>
        <v/>
      </c>
      <c r="R40" t="str">
        <f>'Audit Report'!F40</f>
        <v/>
      </c>
      <c r="S40" t="str">
        <f>'Audit Report'!Q40</f>
        <v/>
      </c>
    </row>
    <row r="41" spans="4:19">
      <c r="D41" t="str">
        <f>'Audit Report'!B41</f>
        <v>ITD-X40</v>
      </c>
      <c r="E41" t="str">
        <f>'Audit Report'!C41</f>
        <v/>
      </c>
      <c r="I41" t="str">
        <f>'Audit Report'!D41</f>
        <v/>
      </c>
      <c r="J41" t="str">
        <f>'Audit Report'!H41</f>
        <v/>
      </c>
      <c r="L41" t="str">
        <f>_xlfn.TEXTJOIN(", ", FALSE, 'Audit Report'!K41,'Audit Report'!L41,'Audit Report'!M41)</f>
        <v xml:space="preserve">, , </v>
      </c>
      <c r="M41" t="str">
        <f>'Audit Report'!O41</f>
        <v/>
      </c>
      <c r="R41" t="str">
        <f>'Audit Report'!F41</f>
        <v/>
      </c>
      <c r="S41" t="str">
        <f>'Audit Report'!Q41</f>
        <v/>
      </c>
    </row>
    <row r="42" spans="4:19">
      <c r="D42" t="str">
        <f>'Audit Report'!B42</f>
        <v>ITD-X41</v>
      </c>
      <c r="E42" t="str">
        <f>'Audit Report'!C42</f>
        <v/>
      </c>
      <c r="I42" t="str">
        <f>'Audit Report'!D42</f>
        <v/>
      </c>
      <c r="J42" t="str">
        <f>'Audit Report'!H42</f>
        <v/>
      </c>
      <c r="L42" t="str">
        <f>_xlfn.TEXTJOIN(", ", FALSE, 'Audit Report'!K42,'Audit Report'!L42,'Audit Report'!M42)</f>
        <v xml:space="preserve">, , </v>
      </c>
      <c r="M42" t="str">
        <f>'Audit Report'!O42</f>
        <v/>
      </c>
      <c r="R42" t="str">
        <f>'Audit Report'!F42</f>
        <v/>
      </c>
      <c r="S42" t="str">
        <f>'Audit Report'!Q42</f>
        <v/>
      </c>
    </row>
    <row r="43" spans="4:19">
      <c r="D43" t="str">
        <f>'Audit Report'!B43</f>
        <v>ITD-X42</v>
      </c>
      <c r="E43" t="str">
        <f>'Audit Report'!C43</f>
        <v/>
      </c>
      <c r="I43" t="str">
        <f>'Audit Report'!D43</f>
        <v/>
      </c>
      <c r="J43" t="str">
        <f>'Audit Report'!H43</f>
        <v/>
      </c>
      <c r="L43" t="str">
        <f>_xlfn.TEXTJOIN(", ", FALSE, 'Audit Report'!K43,'Audit Report'!L43,'Audit Report'!M43)</f>
        <v xml:space="preserve">, , </v>
      </c>
      <c r="M43" t="str">
        <f>'Audit Report'!O43</f>
        <v/>
      </c>
      <c r="R43" t="str">
        <f>'Audit Report'!F43</f>
        <v/>
      </c>
      <c r="S43" t="str">
        <f>'Audit Report'!Q43</f>
        <v/>
      </c>
    </row>
    <row r="44" spans="4:19">
      <c r="D44" t="str">
        <f>'Audit Report'!B44</f>
        <v>ITD-X43</v>
      </c>
      <c r="E44" t="str">
        <f>'Audit Report'!C44</f>
        <v/>
      </c>
      <c r="I44" t="str">
        <f>'Audit Report'!D44</f>
        <v/>
      </c>
      <c r="J44" t="str">
        <f>'Audit Report'!H44</f>
        <v/>
      </c>
      <c r="L44" t="str">
        <f>_xlfn.TEXTJOIN(", ", FALSE, 'Audit Report'!K44,'Audit Report'!L44,'Audit Report'!M44)</f>
        <v xml:space="preserve">, , </v>
      </c>
      <c r="M44" t="str">
        <f>'Audit Report'!O44</f>
        <v/>
      </c>
      <c r="R44" t="str">
        <f>'Audit Report'!F44</f>
        <v/>
      </c>
      <c r="S44" t="str">
        <f>'Audit Report'!Q44</f>
        <v/>
      </c>
    </row>
    <row r="45" spans="4:19">
      <c r="D45" t="str">
        <f>'Audit Report'!B45</f>
        <v>ITD-X44</v>
      </c>
      <c r="E45" t="str">
        <f>'Audit Report'!C45</f>
        <v/>
      </c>
      <c r="I45" t="str">
        <f>'Audit Report'!D45</f>
        <v/>
      </c>
      <c r="J45" t="str">
        <f>'Audit Report'!H45</f>
        <v/>
      </c>
      <c r="L45" t="str">
        <f>_xlfn.TEXTJOIN(", ", FALSE, 'Audit Report'!K45,'Audit Report'!L45,'Audit Report'!M45)</f>
        <v xml:space="preserve">, , </v>
      </c>
      <c r="M45" t="str">
        <f>'Audit Report'!O45</f>
        <v/>
      </c>
      <c r="R45" t="str">
        <f>'Audit Report'!F45</f>
        <v/>
      </c>
      <c r="S45" t="str">
        <f>'Audit Report'!Q45</f>
        <v/>
      </c>
    </row>
    <row r="46" spans="4:19">
      <c r="D46" t="str">
        <f>'Audit Report'!B46</f>
        <v>ITD-X45</v>
      </c>
      <c r="E46" t="str">
        <f>'Audit Report'!C46</f>
        <v/>
      </c>
      <c r="I46" t="str">
        <f>'Audit Report'!D46</f>
        <v/>
      </c>
      <c r="J46" t="str">
        <f>'Audit Report'!H46</f>
        <v/>
      </c>
      <c r="L46" t="str">
        <f>_xlfn.TEXTJOIN(", ", FALSE, 'Audit Report'!K46,'Audit Report'!L46,'Audit Report'!M46)</f>
        <v xml:space="preserve">, , </v>
      </c>
      <c r="M46" t="str">
        <f>'Audit Report'!O46</f>
        <v/>
      </c>
      <c r="R46" t="str">
        <f>'Audit Report'!F46</f>
        <v/>
      </c>
      <c r="S46" t="str">
        <f>'Audit Report'!Q46</f>
        <v/>
      </c>
    </row>
    <row r="47" spans="4:19">
      <c r="D47" t="str">
        <f>'Audit Report'!B47</f>
        <v>ITD-X46</v>
      </c>
      <c r="E47" t="str">
        <f>'Audit Report'!C47</f>
        <v/>
      </c>
      <c r="I47" t="str">
        <f>'Audit Report'!D47</f>
        <v/>
      </c>
      <c r="J47" t="str">
        <f>'Audit Report'!H47</f>
        <v/>
      </c>
      <c r="L47" t="str">
        <f>_xlfn.TEXTJOIN(", ", FALSE, 'Audit Report'!K47,'Audit Report'!L47,'Audit Report'!M47)</f>
        <v xml:space="preserve">, , </v>
      </c>
      <c r="M47" t="str">
        <f>'Audit Report'!O47</f>
        <v/>
      </c>
      <c r="R47" t="str">
        <f>'Audit Report'!F47</f>
        <v/>
      </c>
      <c r="S47" t="str">
        <f>'Audit Report'!Q47</f>
        <v/>
      </c>
    </row>
    <row r="48" spans="4:19">
      <c r="D48" t="str">
        <f>'Audit Report'!B48</f>
        <v>ITD-X47</v>
      </c>
      <c r="E48" t="str">
        <f>'Audit Report'!C48</f>
        <v/>
      </c>
      <c r="I48" t="str">
        <f>'Audit Report'!D48</f>
        <v/>
      </c>
      <c r="J48" t="str">
        <f>'Audit Report'!H48</f>
        <v/>
      </c>
      <c r="L48" t="str">
        <f>_xlfn.TEXTJOIN(", ", FALSE, 'Audit Report'!K48,'Audit Report'!L48,'Audit Report'!M48)</f>
        <v xml:space="preserve">, , </v>
      </c>
      <c r="M48" t="str">
        <f>'Audit Report'!O48</f>
        <v/>
      </c>
      <c r="R48" t="str">
        <f>'Audit Report'!F48</f>
        <v/>
      </c>
      <c r="S48" t="str">
        <f>'Audit Report'!Q48</f>
        <v/>
      </c>
    </row>
    <row r="49" spans="4:19">
      <c r="D49" t="str">
        <f>'Audit Report'!B49</f>
        <v>ITD-X48</v>
      </c>
      <c r="E49" t="str">
        <f>'Audit Report'!C49</f>
        <v/>
      </c>
      <c r="I49" t="str">
        <f>'Audit Report'!D49</f>
        <v/>
      </c>
      <c r="J49" t="str">
        <f>'Audit Report'!H49</f>
        <v/>
      </c>
      <c r="L49" t="str">
        <f>_xlfn.TEXTJOIN(", ", FALSE, 'Audit Report'!K49,'Audit Report'!L49,'Audit Report'!M49)</f>
        <v xml:space="preserve">, , </v>
      </c>
      <c r="M49" t="str">
        <f>'Audit Report'!O49</f>
        <v/>
      </c>
      <c r="R49" t="str">
        <f>'Audit Report'!F49</f>
        <v/>
      </c>
      <c r="S49" t="str">
        <f>'Audit Report'!Q49</f>
        <v/>
      </c>
    </row>
    <row r="50" spans="4:19">
      <c r="D50" t="str">
        <f>'Audit Report'!B50</f>
        <v>ITD-X49</v>
      </c>
      <c r="E50" t="str">
        <f>'Audit Report'!C50</f>
        <v/>
      </c>
      <c r="I50" t="str">
        <f>'Audit Report'!D50</f>
        <v/>
      </c>
      <c r="J50" t="str">
        <f>'Audit Report'!H50</f>
        <v/>
      </c>
      <c r="L50" t="str">
        <f>_xlfn.TEXTJOIN(", ", FALSE, 'Audit Report'!K50,'Audit Report'!L50,'Audit Report'!M50)</f>
        <v xml:space="preserve">, , </v>
      </c>
      <c r="M50" t="str">
        <f>'Audit Report'!O50</f>
        <v/>
      </c>
      <c r="R50" t="str">
        <f>'Audit Report'!F50</f>
        <v/>
      </c>
      <c r="S50" t="str">
        <f>'Audit Report'!Q50</f>
        <v/>
      </c>
    </row>
    <row r="51" spans="4:19">
      <c r="D51" t="str">
        <f>'Audit Report'!B51</f>
        <v>ITD-X50</v>
      </c>
      <c r="E51" t="str">
        <f>'Audit Report'!C51</f>
        <v/>
      </c>
      <c r="I51" t="str">
        <f>'Audit Report'!D51</f>
        <v/>
      </c>
      <c r="J51" t="str">
        <f>'Audit Report'!H51</f>
        <v/>
      </c>
      <c r="L51" t="str">
        <f>_xlfn.TEXTJOIN(", ", FALSE, 'Audit Report'!K51,'Audit Report'!L51,'Audit Report'!M51)</f>
        <v xml:space="preserve">, , </v>
      </c>
      <c r="M51" t="str">
        <f>'Audit Report'!O51</f>
        <v/>
      </c>
      <c r="R51" t="str">
        <f>'Audit Report'!F51</f>
        <v/>
      </c>
      <c r="S51" t="str">
        <f>'Audit Report'!Q51</f>
        <v/>
      </c>
    </row>
    <row r="52" spans="4:19">
      <c r="D52" t="str">
        <f>'Audit Report'!B52</f>
        <v>ITD-X51</v>
      </c>
      <c r="E52" t="str">
        <f>'Audit Report'!C52</f>
        <v/>
      </c>
      <c r="I52" t="str">
        <f>'Audit Report'!D52</f>
        <v/>
      </c>
      <c r="J52" t="str">
        <f>'Audit Report'!H52</f>
        <v/>
      </c>
      <c r="L52" t="str">
        <f>_xlfn.TEXTJOIN(", ", FALSE, 'Audit Report'!K52,'Audit Report'!L52,'Audit Report'!M52)</f>
        <v xml:space="preserve">, , </v>
      </c>
      <c r="M52" t="str">
        <f>'Audit Report'!O52</f>
        <v/>
      </c>
      <c r="R52" t="str">
        <f>'Audit Report'!F52</f>
        <v/>
      </c>
      <c r="S52" t="str">
        <f>'Audit Report'!Q52</f>
        <v/>
      </c>
    </row>
    <row r="53" spans="4:19">
      <c r="D53" t="str">
        <f>'Audit Report'!B53</f>
        <v>ITD-X52</v>
      </c>
      <c r="E53" t="str">
        <f>'Audit Report'!C53</f>
        <v/>
      </c>
      <c r="I53" t="str">
        <f>'Audit Report'!D53</f>
        <v/>
      </c>
      <c r="J53" t="str">
        <f>'Audit Report'!H53</f>
        <v/>
      </c>
      <c r="L53" t="str">
        <f>_xlfn.TEXTJOIN(", ", FALSE, 'Audit Report'!K53,'Audit Report'!L53,'Audit Report'!M53)</f>
        <v xml:space="preserve">, , </v>
      </c>
      <c r="M53" t="str">
        <f>'Audit Report'!O53</f>
        <v/>
      </c>
      <c r="R53" t="str">
        <f>'Audit Report'!F53</f>
        <v/>
      </c>
      <c r="S53" t="str">
        <f>'Audit Report'!Q53</f>
        <v/>
      </c>
    </row>
    <row r="54" spans="4:19">
      <c r="D54" t="str">
        <f>'Audit Report'!B54</f>
        <v>ITD-X53</v>
      </c>
      <c r="E54" t="str">
        <f>'Audit Report'!C54</f>
        <v/>
      </c>
      <c r="I54" t="str">
        <f>'Audit Report'!D54</f>
        <v/>
      </c>
      <c r="J54" t="str">
        <f>'Audit Report'!H54</f>
        <v/>
      </c>
      <c r="L54" t="str">
        <f>_xlfn.TEXTJOIN(", ", FALSE, 'Audit Report'!K54,'Audit Report'!L54,'Audit Report'!M54)</f>
        <v xml:space="preserve">, , </v>
      </c>
      <c r="M54" t="str">
        <f>'Audit Report'!O54</f>
        <v/>
      </c>
      <c r="R54" t="str">
        <f>'Audit Report'!F54</f>
        <v/>
      </c>
      <c r="S54" t="str">
        <f>'Audit Report'!Q54</f>
        <v/>
      </c>
    </row>
    <row r="55" spans="4:19">
      <c r="D55" t="str">
        <f>'Audit Report'!B55</f>
        <v>ITD-X54</v>
      </c>
      <c r="E55" t="str">
        <f>'Audit Report'!C55</f>
        <v/>
      </c>
      <c r="I55" t="str">
        <f>'Audit Report'!D55</f>
        <v/>
      </c>
      <c r="J55" t="str">
        <f>'Audit Report'!H55</f>
        <v/>
      </c>
      <c r="L55" t="str">
        <f>_xlfn.TEXTJOIN(", ", FALSE, 'Audit Report'!K55,'Audit Report'!L55,'Audit Report'!M55)</f>
        <v xml:space="preserve">, , </v>
      </c>
      <c r="M55" t="str">
        <f>'Audit Report'!O55</f>
        <v/>
      </c>
      <c r="R55" t="str">
        <f>'Audit Report'!F55</f>
        <v/>
      </c>
      <c r="S55" t="str">
        <f>'Audit Report'!Q55</f>
        <v/>
      </c>
    </row>
    <row r="56" spans="4:19">
      <c r="D56" t="str">
        <f>'Audit Report'!B56</f>
        <v>ITD-X55</v>
      </c>
      <c r="E56" t="str">
        <f>'Audit Report'!C56</f>
        <v/>
      </c>
      <c r="I56" t="str">
        <f>'Audit Report'!D56</f>
        <v/>
      </c>
      <c r="J56" t="str">
        <f>'Audit Report'!H56</f>
        <v/>
      </c>
      <c r="L56" t="str">
        <f>_xlfn.TEXTJOIN(", ", FALSE, 'Audit Report'!K56,'Audit Report'!L56,'Audit Report'!M56)</f>
        <v xml:space="preserve">, , </v>
      </c>
      <c r="M56" t="str">
        <f>'Audit Report'!O56</f>
        <v/>
      </c>
      <c r="R56" t="str">
        <f>'Audit Report'!F56</f>
        <v/>
      </c>
      <c r="S56" t="str">
        <f>'Audit Report'!Q56</f>
        <v/>
      </c>
    </row>
    <row r="57" spans="4:19">
      <c r="D57" t="str">
        <f>'Audit Report'!B57</f>
        <v>ITD-X56</v>
      </c>
      <c r="E57" t="str">
        <f>'Audit Report'!C57</f>
        <v/>
      </c>
      <c r="I57" t="str">
        <f>'Audit Report'!D57</f>
        <v/>
      </c>
      <c r="J57" t="str">
        <f>'Audit Report'!H57</f>
        <v/>
      </c>
      <c r="L57" t="str">
        <f>_xlfn.TEXTJOIN(", ", FALSE, 'Audit Report'!K57,'Audit Report'!L57,'Audit Report'!M57)</f>
        <v xml:space="preserve">, , </v>
      </c>
      <c r="M57" t="str">
        <f>'Audit Report'!O57</f>
        <v/>
      </c>
      <c r="R57" t="str">
        <f>'Audit Report'!F57</f>
        <v/>
      </c>
      <c r="S57" t="str">
        <f>'Audit Report'!Q57</f>
        <v/>
      </c>
    </row>
    <row r="58" spans="4:19">
      <c r="D58" t="str">
        <f>'Audit Report'!B58</f>
        <v>ITD-X57</v>
      </c>
      <c r="E58" t="str">
        <f>'Audit Report'!C58</f>
        <v/>
      </c>
      <c r="I58" t="str">
        <f>'Audit Report'!D58</f>
        <v/>
      </c>
      <c r="J58" t="str">
        <f>'Audit Report'!H58</f>
        <v/>
      </c>
      <c r="L58" t="str">
        <f>_xlfn.TEXTJOIN(", ", FALSE, 'Audit Report'!K58,'Audit Report'!L58,'Audit Report'!M58)</f>
        <v xml:space="preserve">, , </v>
      </c>
      <c r="M58" t="str">
        <f>'Audit Report'!O58</f>
        <v/>
      </c>
      <c r="R58" t="str">
        <f>'Audit Report'!F58</f>
        <v/>
      </c>
      <c r="S58" t="str">
        <f>'Audit Report'!Q58</f>
        <v/>
      </c>
    </row>
    <row r="59" spans="4:19">
      <c r="D59" t="str">
        <f>'Audit Report'!B59</f>
        <v>ITD-X58</v>
      </c>
      <c r="E59" t="str">
        <f>'Audit Report'!C59</f>
        <v/>
      </c>
      <c r="I59" t="str">
        <f>'Audit Report'!D59</f>
        <v/>
      </c>
      <c r="J59" t="str">
        <f>'Audit Report'!H59</f>
        <v/>
      </c>
      <c r="L59" t="str">
        <f>_xlfn.TEXTJOIN(", ", FALSE, 'Audit Report'!K59,'Audit Report'!L59,'Audit Report'!M59)</f>
        <v xml:space="preserve">, , </v>
      </c>
      <c r="M59" t="str">
        <f>'Audit Report'!O59</f>
        <v/>
      </c>
      <c r="R59" t="str">
        <f>'Audit Report'!F59</f>
        <v/>
      </c>
      <c r="S59" t="str">
        <f>'Audit Report'!Q59</f>
        <v/>
      </c>
    </row>
    <row r="60" spans="4:19">
      <c r="D60" t="str">
        <f>'Audit Report'!B60</f>
        <v>ITD-X59</v>
      </c>
      <c r="E60" t="str">
        <f>'Audit Report'!C60</f>
        <v/>
      </c>
      <c r="I60" t="str">
        <f>'Audit Report'!D60</f>
        <v/>
      </c>
      <c r="J60" t="str">
        <f>'Audit Report'!H60</f>
        <v/>
      </c>
      <c r="L60" t="str">
        <f>_xlfn.TEXTJOIN(", ", FALSE, 'Audit Report'!K60,'Audit Report'!L60,'Audit Report'!M60)</f>
        <v xml:space="preserve">, , </v>
      </c>
      <c r="M60" t="str">
        <f>'Audit Report'!O60</f>
        <v/>
      </c>
      <c r="R60" t="str">
        <f>'Audit Report'!F60</f>
        <v/>
      </c>
      <c r="S60" t="str">
        <f>'Audit Report'!Q60</f>
        <v/>
      </c>
    </row>
    <row r="61" spans="4:19">
      <c r="D61" t="str">
        <f>'Audit Report'!B61</f>
        <v>ITD-X60</v>
      </c>
      <c r="E61" t="str">
        <f>'Audit Report'!C61</f>
        <v/>
      </c>
      <c r="I61" t="str">
        <f>'Audit Report'!D61</f>
        <v/>
      </c>
      <c r="J61" t="str">
        <f>'Audit Report'!H61</f>
        <v/>
      </c>
      <c r="L61" t="str">
        <f>_xlfn.TEXTJOIN(", ", FALSE, 'Audit Report'!K61,'Audit Report'!L61,'Audit Report'!M61)</f>
        <v xml:space="preserve">, , </v>
      </c>
      <c r="M61" t="str">
        <f>'Audit Report'!O61</f>
        <v/>
      </c>
      <c r="R61" t="str">
        <f>'Audit Report'!F61</f>
        <v/>
      </c>
      <c r="S61" t="str">
        <f>'Audit Report'!Q61</f>
        <v/>
      </c>
    </row>
    <row r="62" spans="4:19">
      <c r="D62" t="str">
        <f>'Audit Report'!B62</f>
        <v>ITD-X61</v>
      </c>
      <c r="E62" t="str">
        <f>'Audit Report'!C62</f>
        <v/>
      </c>
      <c r="I62" t="str">
        <f>'Audit Report'!D62</f>
        <v/>
      </c>
      <c r="J62" t="str">
        <f>'Audit Report'!H62</f>
        <v/>
      </c>
      <c r="L62" t="str">
        <f>_xlfn.TEXTJOIN(", ", FALSE, 'Audit Report'!K62,'Audit Report'!L62,'Audit Report'!M62)</f>
        <v xml:space="preserve">, , </v>
      </c>
      <c r="M62" t="str">
        <f>'Audit Report'!O62</f>
        <v/>
      </c>
      <c r="R62" t="str">
        <f>'Audit Report'!F62</f>
        <v/>
      </c>
      <c r="S62" t="str">
        <f>'Audit Report'!Q62</f>
        <v/>
      </c>
    </row>
    <row r="63" spans="4:19">
      <c r="D63" t="str">
        <f>'Audit Report'!B63</f>
        <v>ITD-X62</v>
      </c>
      <c r="E63" t="str">
        <f>'Audit Report'!C63</f>
        <v/>
      </c>
      <c r="I63" t="str">
        <f>'Audit Report'!D63</f>
        <v/>
      </c>
      <c r="J63" t="str">
        <f>'Audit Report'!H63</f>
        <v/>
      </c>
      <c r="L63" t="str">
        <f>_xlfn.TEXTJOIN(", ", FALSE, 'Audit Report'!K63,'Audit Report'!L63,'Audit Report'!M63)</f>
        <v xml:space="preserve">, , </v>
      </c>
      <c r="M63" t="str">
        <f>'Audit Report'!O63</f>
        <v/>
      </c>
      <c r="R63" t="str">
        <f>'Audit Report'!F63</f>
        <v/>
      </c>
      <c r="S63" t="str">
        <f>'Audit Report'!Q63</f>
        <v/>
      </c>
    </row>
    <row r="64" spans="4:19">
      <c r="D64" t="str">
        <f>'Audit Report'!B64</f>
        <v>ITD-X63</v>
      </c>
      <c r="E64" t="str">
        <f>'Audit Report'!C64</f>
        <v/>
      </c>
      <c r="I64" t="str">
        <f>'Audit Report'!D64</f>
        <v/>
      </c>
      <c r="J64" t="str">
        <f>'Audit Report'!H64</f>
        <v/>
      </c>
      <c r="L64" t="str">
        <f>_xlfn.TEXTJOIN(", ", FALSE, 'Audit Report'!K64,'Audit Report'!L64,'Audit Report'!M64)</f>
        <v xml:space="preserve">, , </v>
      </c>
      <c r="M64" t="str">
        <f>'Audit Report'!O64</f>
        <v/>
      </c>
      <c r="R64" t="str">
        <f>'Audit Report'!F64</f>
        <v/>
      </c>
      <c r="S64" t="str">
        <f>'Audit Report'!Q64</f>
        <v/>
      </c>
    </row>
    <row r="65" spans="4:19">
      <c r="D65" t="str">
        <f>'Audit Report'!B65</f>
        <v>ITD-X64</v>
      </c>
      <c r="E65" t="str">
        <f>'Audit Report'!C65</f>
        <v/>
      </c>
      <c r="I65" t="str">
        <f>'Audit Report'!D65</f>
        <v/>
      </c>
      <c r="J65" t="str">
        <f>'Audit Report'!H65</f>
        <v/>
      </c>
      <c r="L65" t="str">
        <f>_xlfn.TEXTJOIN(", ", FALSE, 'Audit Report'!K65,'Audit Report'!L65,'Audit Report'!M65)</f>
        <v xml:space="preserve">, , </v>
      </c>
      <c r="M65" t="str">
        <f>'Audit Report'!O65</f>
        <v/>
      </c>
      <c r="R65" t="str">
        <f>'Audit Report'!F65</f>
        <v/>
      </c>
      <c r="S65" t="str">
        <f>'Audit Report'!Q65</f>
        <v/>
      </c>
    </row>
    <row r="66" spans="4:19">
      <c r="D66" t="str">
        <f>'Audit Report'!B66</f>
        <v>ITD-X65</v>
      </c>
      <c r="E66" t="str">
        <f>'Audit Report'!C66</f>
        <v/>
      </c>
      <c r="I66" t="str">
        <f>'Audit Report'!D66</f>
        <v/>
      </c>
      <c r="J66" t="str">
        <f>'Audit Report'!H66</f>
        <v/>
      </c>
      <c r="L66" t="str">
        <f>_xlfn.TEXTJOIN(", ", FALSE, 'Audit Report'!K66,'Audit Report'!L66,'Audit Report'!M66)</f>
        <v xml:space="preserve">, , </v>
      </c>
      <c r="M66" t="str">
        <f>'Audit Report'!O66</f>
        <v/>
      </c>
      <c r="R66" t="str">
        <f>'Audit Report'!F66</f>
        <v/>
      </c>
      <c r="S66" t="str">
        <f>'Audit Report'!Q66</f>
        <v/>
      </c>
    </row>
    <row r="67" spans="4:19">
      <c r="D67" t="str">
        <f>'Audit Report'!B67</f>
        <v>ITD-X66</v>
      </c>
      <c r="E67" t="str">
        <f>'Audit Report'!C67</f>
        <v/>
      </c>
      <c r="I67" t="str">
        <f>'Audit Report'!D67</f>
        <v/>
      </c>
      <c r="J67" t="str">
        <f>'Audit Report'!H67</f>
        <v/>
      </c>
      <c r="L67" t="str">
        <f>_xlfn.TEXTJOIN(", ", FALSE, 'Audit Report'!K67,'Audit Report'!L67,'Audit Report'!M67)</f>
        <v xml:space="preserve">, , </v>
      </c>
      <c r="M67" t="str">
        <f>'Audit Report'!O67</f>
        <v/>
      </c>
      <c r="R67" t="str">
        <f>'Audit Report'!F67</f>
        <v/>
      </c>
      <c r="S67" t="str">
        <f>'Audit Report'!Q67</f>
        <v/>
      </c>
    </row>
    <row r="68" spans="4:19">
      <c r="D68" t="str">
        <f>'Audit Report'!B68</f>
        <v>ITD-X67</v>
      </c>
      <c r="E68" t="str">
        <f>'Audit Report'!C68</f>
        <v/>
      </c>
      <c r="I68" t="str">
        <f>'Audit Report'!D68</f>
        <v/>
      </c>
      <c r="J68" t="str">
        <f>'Audit Report'!H68</f>
        <v/>
      </c>
      <c r="L68" t="str">
        <f>_xlfn.TEXTJOIN(", ", FALSE, 'Audit Report'!K68,'Audit Report'!L68,'Audit Report'!M68)</f>
        <v xml:space="preserve">, , </v>
      </c>
      <c r="M68" t="str">
        <f>'Audit Report'!O68</f>
        <v/>
      </c>
      <c r="R68" t="str">
        <f>'Audit Report'!F68</f>
        <v/>
      </c>
      <c r="S68" t="str">
        <f>'Audit Report'!Q68</f>
        <v/>
      </c>
    </row>
    <row r="69" spans="4:19">
      <c r="D69" t="str">
        <f>'Audit Report'!B69</f>
        <v>ITD-X68</v>
      </c>
      <c r="E69" t="str">
        <f>'Audit Report'!C69</f>
        <v/>
      </c>
      <c r="I69" t="str">
        <f>'Audit Report'!D69</f>
        <v/>
      </c>
      <c r="J69" t="str">
        <f>'Audit Report'!H69</f>
        <v/>
      </c>
      <c r="L69" t="str">
        <f>_xlfn.TEXTJOIN(", ", FALSE, 'Audit Report'!K69,'Audit Report'!L69,'Audit Report'!M69)</f>
        <v xml:space="preserve">, , </v>
      </c>
      <c r="M69" t="str">
        <f>'Audit Report'!O69</f>
        <v/>
      </c>
      <c r="R69" t="str">
        <f>'Audit Report'!F69</f>
        <v/>
      </c>
      <c r="S69" t="str">
        <f>'Audit Report'!Q69</f>
        <v/>
      </c>
    </row>
    <row r="70" spans="4:19">
      <c r="D70" t="str">
        <f>'Audit Report'!B70</f>
        <v>ITD-X69</v>
      </c>
      <c r="E70" t="str">
        <f>'Audit Report'!C70</f>
        <v/>
      </c>
      <c r="I70" t="str">
        <f>'Audit Report'!D70</f>
        <v/>
      </c>
      <c r="J70" t="str">
        <f>'Audit Report'!H70</f>
        <v/>
      </c>
      <c r="L70" t="str">
        <f>_xlfn.TEXTJOIN(", ", FALSE, 'Audit Report'!K70,'Audit Report'!L70,'Audit Report'!M70)</f>
        <v xml:space="preserve">, , </v>
      </c>
      <c r="M70" t="str">
        <f>'Audit Report'!O70</f>
        <v/>
      </c>
      <c r="R70" t="str">
        <f>'Audit Report'!F70</f>
        <v/>
      </c>
      <c r="S70" t="str">
        <f>'Audit Report'!Q70</f>
        <v/>
      </c>
    </row>
    <row r="71" spans="4:19">
      <c r="D71" t="str">
        <f>'Audit Report'!B71</f>
        <v>ITD-X70</v>
      </c>
      <c r="E71" t="str">
        <f>'Audit Report'!C71</f>
        <v/>
      </c>
      <c r="I71" t="str">
        <f>'Audit Report'!D71</f>
        <v/>
      </c>
      <c r="J71" t="str">
        <f>'Audit Report'!H71</f>
        <v/>
      </c>
      <c r="L71" t="str">
        <f>_xlfn.TEXTJOIN(", ", FALSE, 'Audit Report'!K71,'Audit Report'!L71,'Audit Report'!M71)</f>
        <v xml:space="preserve">, , </v>
      </c>
      <c r="M71" t="str">
        <f>'Audit Report'!O71</f>
        <v/>
      </c>
      <c r="R71" t="str">
        <f>'Audit Report'!F71</f>
        <v/>
      </c>
      <c r="S71" t="str">
        <f>'Audit Report'!Q71</f>
        <v/>
      </c>
    </row>
    <row r="72" spans="4:19">
      <c r="D72" t="str">
        <f>'Audit Report'!B72</f>
        <v>ITD-X71</v>
      </c>
      <c r="E72" t="str">
        <f>'Audit Report'!C72</f>
        <v/>
      </c>
      <c r="I72" t="str">
        <f>'Audit Report'!D72</f>
        <v/>
      </c>
      <c r="J72" t="str">
        <f>'Audit Report'!H72</f>
        <v/>
      </c>
      <c r="L72" t="str">
        <f>_xlfn.TEXTJOIN(", ", FALSE, 'Audit Report'!K72,'Audit Report'!L72,'Audit Report'!M72)</f>
        <v xml:space="preserve">, , </v>
      </c>
      <c r="M72" t="str">
        <f>'Audit Report'!O72</f>
        <v/>
      </c>
      <c r="R72" t="str">
        <f>'Audit Report'!F72</f>
        <v/>
      </c>
      <c r="S72" t="str">
        <f>'Audit Report'!Q72</f>
        <v/>
      </c>
    </row>
    <row r="73" spans="4:19">
      <c r="D73" t="str">
        <f>'Audit Report'!B73</f>
        <v>ITD-X72</v>
      </c>
      <c r="E73" t="str">
        <f>'Audit Report'!C73</f>
        <v/>
      </c>
      <c r="I73" t="str">
        <f>'Audit Report'!D73</f>
        <v/>
      </c>
      <c r="J73" t="str">
        <f>'Audit Report'!H73</f>
        <v/>
      </c>
      <c r="L73" t="str">
        <f>_xlfn.TEXTJOIN(", ", FALSE, 'Audit Report'!K73,'Audit Report'!L73,'Audit Report'!M73)</f>
        <v xml:space="preserve">, , </v>
      </c>
      <c r="M73" t="str">
        <f>'Audit Report'!O73</f>
        <v/>
      </c>
      <c r="R73" t="str">
        <f>'Audit Report'!F73</f>
        <v/>
      </c>
      <c r="S73" t="str">
        <f>'Audit Report'!Q73</f>
        <v/>
      </c>
    </row>
    <row r="74" spans="4:19">
      <c r="D74" t="str">
        <f>'Audit Report'!B74</f>
        <v>ITD-X73</v>
      </c>
      <c r="E74" t="str">
        <f>'Audit Report'!C74</f>
        <v/>
      </c>
      <c r="I74" t="str">
        <f>'Audit Report'!D74</f>
        <v/>
      </c>
      <c r="J74" t="str">
        <f>'Audit Report'!H74</f>
        <v/>
      </c>
      <c r="L74" t="str">
        <f>_xlfn.TEXTJOIN(", ", FALSE, 'Audit Report'!K74,'Audit Report'!L74,'Audit Report'!M74)</f>
        <v xml:space="preserve">, , </v>
      </c>
      <c r="M74" t="str">
        <f>'Audit Report'!O74</f>
        <v/>
      </c>
      <c r="R74" t="str">
        <f>'Audit Report'!F74</f>
        <v/>
      </c>
      <c r="S74" t="str">
        <f>'Audit Report'!Q74</f>
        <v/>
      </c>
    </row>
    <row r="75" spans="4:19">
      <c r="D75" t="str">
        <f>'Audit Report'!B75</f>
        <v>ITD-X74</v>
      </c>
      <c r="E75" t="str">
        <f>'Audit Report'!C75</f>
        <v/>
      </c>
      <c r="I75" t="str">
        <f>'Audit Report'!D75</f>
        <v/>
      </c>
      <c r="J75" t="str">
        <f>'Audit Report'!H75</f>
        <v/>
      </c>
      <c r="L75" t="str">
        <f>_xlfn.TEXTJOIN(", ", FALSE, 'Audit Report'!K75,'Audit Report'!L75,'Audit Report'!M75)</f>
        <v xml:space="preserve">, , </v>
      </c>
      <c r="M75" t="str">
        <f>'Audit Report'!O75</f>
        <v/>
      </c>
      <c r="R75" t="str">
        <f>'Audit Report'!F75</f>
        <v/>
      </c>
      <c r="S75" t="str">
        <f>'Audit Report'!Q75</f>
        <v/>
      </c>
    </row>
    <row r="76" spans="4:19">
      <c r="D76" t="str">
        <f>'Audit Report'!B76</f>
        <v>ITD-X75</v>
      </c>
      <c r="E76" t="str">
        <f>'Audit Report'!C76</f>
        <v/>
      </c>
      <c r="I76" t="str">
        <f>'Audit Report'!D76</f>
        <v/>
      </c>
      <c r="J76" t="str">
        <f>'Audit Report'!H76</f>
        <v/>
      </c>
      <c r="L76" t="str">
        <f>_xlfn.TEXTJOIN(", ", FALSE, 'Audit Report'!K76,'Audit Report'!L76,'Audit Report'!M76)</f>
        <v xml:space="preserve">, , </v>
      </c>
      <c r="M76" t="str">
        <f>'Audit Report'!O76</f>
        <v/>
      </c>
      <c r="R76" t="str">
        <f>'Audit Report'!F76</f>
        <v/>
      </c>
      <c r="S76" t="str">
        <f>'Audit Report'!Q76</f>
        <v/>
      </c>
    </row>
    <row r="77" spans="4:19">
      <c r="D77" t="str">
        <f>'Audit Report'!B77</f>
        <v>ITD-X76</v>
      </c>
      <c r="E77" t="str">
        <f>'Audit Report'!C77</f>
        <v/>
      </c>
      <c r="I77" t="str">
        <f>'Audit Report'!D77</f>
        <v/>
      </c>
      <c r="J77" t="str">
        <f>'Audit Report'!H77</f>
        <v/>
      </c>
      <c r="L77" t="str">
        <f>_xlfn.TEXTJOIN(", ", FALSE, 'Audit Report'!K77,'Audit Report'!L77,'Audit Report'!M77)</f>
        <v xml:space="preserve">, , </v>
      </c>
      <c r="M77" t="str">
        <f>'Audit Report'!O77</f>
        <v/>
      </c>
      <c r="R77" t="str">
        <f>'Audit Report'!F77</f>
        <v/>
      </c>
      <c r="S77" t="str">
        <f>'Audit Report'!Q77</f>
        <v/>
      </c>
    </row>
    <row r="78" spans="4:19">
      <c r="D78" t="str">
        <f>'Audit Report'!B78</f>
        <v>ITD-X77</v>
      </c>
      <c r="E78" t="str">
        <f>'Audit Report'!C78</f>
        <v/>
      </c>
      <c r="I78" t="str">
        <f>'Audit Report'!D78</f>
        <v/>
      </c>
      <c r="J78" t="str">
        <f>'Audit Report'!H78</f>
        <v/>
      </c>
      <c r="L78" t="str">
        <f>_xlfn.TEXTJOIN(", ", FALSE, 'Audit Report'!K78,'Audit Report'!L78,'Audit Report'!M78)</f>
        <v xml:space="preserve">, , </v>
      </c>
      <c r="M78" t="str">
        <f>'Audit Report'!O78</f>
        <v/>
      </c>
      <c r="R78" t="str">
        <f>'Audit Report'!F78</f>
        <v/>
      </c>
      <c r="S78" t="str">
        <f>'Audit Report'!Q78</f>
        <v/>
      </c>
    </row>
    <row r="79" spans="4:19">
      <c r="D79" t="str">
        <f>'Audit Report'!B79</f>
        <v>ITD-X78</v>
      </c>
      <c r="E79" t="str">
        <f>'Audit Report'!C79</f>
        <v/>
      </c>
      <c r="I79" t="str">
        <f>'Audit Report'!D79</f>
        <v/>
      </c>
      <c r="J79" t="str">
        <f>'Audit Report'!H79</f>
        <v/>
      </c>
      <c r="L79" t="str">
        <f>_xlfn.TEXTJOIN(", ", FALSE, 'Audit Report'!K79,'Audit Report'!L79,'Audit Report'!M79)</f>
        <v xml:space="preserve">, , </v>
      </c>
      <c r="M79" t="str">
        <f>'Audit Report'!O79</f>
        <v/>
      </c>
      <c r="R79" t="str">
        <f>'Audit Report'!F79</f>
        <v/>
      </c>
      <c r="S79" t="str">
        <f>'Audit Report'!Q79</f>
        <v/>
      </c>
    </row>
    <row r="80" spans="4:19">
      <c r="D80" t="str">
        <f>'Audit Report'!B80</f>
        <v>ITD-X79</v>
      </c>
      <c r="E80" t="str">
        <f>'Audit Report'!C80</f>
        <v/>
      </c>
      <c r="I80" t="str">
        <f>'Audit Report'!D80</f>
        <v/>
      </c>
      <c r="J80" t="str">
        <f>'Audit Report'!H80</f>
        <v/>
      </c>
      <c r="L80" t="str">
        <f>_xlfn.TEXTJOIN(", ", FALSE, 'Audit Report'!K80,'Audit Report'!L80,'Audit Report'!M80)</f>
        <v xml:space="preserve">, , </v>
      </c>
      <c r="M80" t="str">
        <f>'Audit Report'!O80</f>
        <v/>
      </c>
      <c r="R80" t="str">
        <f>'Audit Report'!F80</f>
        <v/>
      </c>
      <c r="S80" t="str">
        <f>'Audit Report'!Q80</f>
        <v/>
      </c>
    </row>
    <row r="81" spans="4:19">
      <c r="D81" t="str">
        <f>'Audit Report'!B81</f>
        <v>ITD-X80</v>
      </c>
      <c r="E81" t="str">
        <f>'Audit Report'!C81</f>
        <v/>
      </c>
      <c r="I81" t="str">
        <f>'Audit Report'!D81</f>
        <v/>
      </c>
      <c r="J81" t="str">
        <f>'Audit Report'!H81</f>
        <v/>
      </c>
      <c r="L81" t="str">
        <f>_xlfn.TEXTJOIN(", ", FALSE, 'Audit Report'!K81,'Audit Report'!L81,'Audit Report'!M81)</f>
        <v xml:space="preserve">, , </v>
      </c>
      <c r="M81" t="str">
        <f>'Audit Report'!O81</f>
        <v/>
      </c>
      <c r="R81" t="str">
        <f>'Audit Report'!F81</f>
        <v/>
      </c>
      <c r="S81" t="str">
        <f>'Audit Report'!Q81</f>
        <v/>
      </c>
    </row>
    <row r="82" spans="4:19">
      <c r="D82" t="str">
        <f>'Audit Report'!B82</f>
        <v>ITD-X81</v>
      </c>
      <c r="E82" t="str">
        <f>'Audit Report'!C82</f>
        <v/>
      </c>
      <c r="I82" t="str">
        <f>'Audit Report'!D82</f>
        <v/>
      </c>
      <c r="J82" t="str">
        <f>'Audit Report'!H82</f>
        <v/>
      </c>
      <c r="L82" t="str">
        <f>_xlfn.TEXTJOIN(", ", FALSE, 'Audit Report'!K82,'Audit Report'!L82,'Audit Report'!M82)</f>
        <v xml:space="preserve">, , </v>
      </c>
      <c r="M82" t="str">
        <f>'Audit Report'!O82</f>
        <v/>
      </c>
      <c r="R82" t="str">
        <f>'Audit Report'!F82</f>
        <v/>
      </c>
      <c r="S82" t="str">
        <f>'Audit Report'!Q82</f>
        <v/>
      </c>
    </row>
    <row r="83" spans="4:19">
      <c r="D83" t="str">
        <f>'Audit Report'!B83</f>
        <v>ITD-X82</v>
      </c>
      <c r="E83" t="str">
        <f>'Audit Report'!C83</f>
        <v/>
      </c>
      <c r="I83" t="str">
        <f>'Audit Report'!D83</f>
        <v/>
      </c>
      <c r="J83" t="str">
        <f>'Audit Report'!H83</f>
        <v/>
      </c>
      <c r="L83" t="str">
        <f>_xlfn.TEXTJOIN(", ", FALSE, 'Audit Report'!K83,'Audit Report'!L83,'Audit Report'!M83)</f>
        <v xml:space="preserve">, , </v>
      </c>
      <c r="M83" t="str">
        <f>'Audit Report'!O83</f>
        <v/>
      </c>
      <c r="R83" t="str">
        <f>'Audit Report'!F83</f>
        <v/>
      </c>
      <c r="S83" t="str">
        <f>'Audit Report'!Q83</f>
        <v/>
      </c>
    </row>
    <row r="84" spans="4:19">
      <c r="D84" t="str">
        <f>'Audit Report'!B84</f>
        <v>ITD-X83</v>
      </c>
      <c r="E84" t="str">
        <f>'Audit Report'!C84</f>
        <v/>
      </c>
      <c r="I84" t="str">
        <f>'Audit Report'!D84</f>
        <v/>
      </c>
      <c r="J84" t="str">
        <f>'Audit Report'!H84</f>
        <v/>
      </c>
      <c r="L84" t="str">
        <f>_xlfn.TEXTJOIN(", ", FALSE, 'Audit Report'!K84,'Audit Report'!L84,'Audit Report'!M84)</f>
        <v xml:space="preserve">, , </v>
      </c>
      <c r="M84" t="str">
        <f>'Audit Report'!O84</f>
        <v/>
      </c>
      <c r="R84" t="str">
        <f>'Audit Report'!F84</f>
        <v/>
      </c>
      <c r="S84" t="str">
        <f>'Audit Report'!Q84</f>
        <v/>
      </c>
    </row>
    <row r="85" spans="4:19">
      <c r="D85" t="str">
        <f>'Audit Report'!B85</f>
        <v>ITD-X84</v>
      </c>
      <c r="E85" t="str">
        <f>'Audit Report'!C85</f>
        <v/>
      </c>
      <c r="I85" t="str">
        <f>'Audit Report'!D85</f>
        <v/>
      </c>
      <c r="J85" t="str">
        <f>'Audit Report'!H85</f>
        <v/>
      </c>
      <c r="L85" t="str">
        <f>_xlfn.TEXTJOIN(", ", FALSE, 'Audit Report'!K85,'Audit Report'!L85,'Audit Report'!M85)</f>
        <v xml:space="preserve">, , </v>
      </c>
      <c r="M85" t="str">
        <f>'Audit Report'!O85</f>
        <v/>
      </c>
      <c r="R85" t="str">
        <f>'Audit Report'!F85</f>
        <v/>
      </c>
      <c r="S85" t="str">
        <f>'Audit Report'!Q85</f>
        <v/>
      </c>
    </row>
    <row r="86" spans="4:19">
      <c r="D86" t="str">
        <f>'Audit Report'!B86</f>
        <v>ITD-X85</v>
      </c>
      <c r="E86" t="str">
        <f>'Audit Report'!C86</f>
        <v/>
      </c>
      <c r="I86" t="str">
        <f>'Audit Report'!D86</f>
        <v/>
      </c>
      <c r="J86" t="str">
        <f>'Audit Report'!H86</f>
        <v/>
      </c>
      <c r="L86" t="str">
        <f>_xlfn.TEXTJOIN(", ", FALSE, 'Audit Report'!K86,'Audit Report'!L86,'Audit Report'!M86)</f>
        <v xml:space="preserve">, , </v>
      </c>
      <c r="M86" t="str">
        <f>'Audit Report'!O86</f>
        <v/>
      </c>
      <c r="R86" t="str">
        <f>'Audit Report'!F86</f>
        <v/>
      </c>
      <c r="S86" t="str">
        <f>'Audit Report'!Q86</f>
        <v/>
      </c>
    </row>
    <row r="87" spans="4:19">
      <c r="D87" t="str">
        <f>'Audit Report'!B87</f>
        <v>ITD-X86</v>
      </c>
      <c r="E87" t="str">
        <f>'Audit Report'!C87</f>
        <v/>
      </c>
      <c r="I87" t="str">
        <f>'Audit Report'!D87</f>
        <v/>
      </c>
      <c r="J87" t="str">
        <f>'Audit Report'!H87</f>
        <v/>
      </c>
      <c r="L87" t="str">
        <f>_xlfn.TEXTJOIN(", ", FALSE, 'Audit Report'!K87,'Audit Report'!L87,'Audit Report'!M87)</f>
        <v xml:space="preserve">, , </v>
      </c>
      <c r="M87" t="str">
        <f>'Audit Report'!O87</f>
        <v/>
      </c>
      <c r="R87" t="str">
        <f>'Audit Report'!F87</f>
        <v/>
      </c>
      <c r="S87" t="str">
        <f>'Audit Report'!Q87</f>
        <v/>
      </c>
    </row>
    <row r="88" spans="4:19">
      <c r="D88" t="str">
        <f>'Audit Report'!B88</f>
        <v>ITD-X87</v>
      </c>
      <c r="E88" t="str">
        <f>'Audit Report'!C88</f>
        <v/>
      </c>
      <c r="I88" t="str">
        <f>'Audit Report'!D88</f>
        <v/>
      </c>
      <c r="J88" t="str">
        <f>'Audit Report'!H88</f>
        <v/>
      </c>
      <c r="L88" t="str">
        <f>_xlfn.TEXTJOIN(", ", FALSE, 'Audit Report'!K88,'Audit Report'!L88,'Audit Report'!M88)</f>
        <v xml:space="preserve">, , </v>
      </c>
      <c r="M88" t="str">
        <f>'Audit Report'!O88</f>
        <v/>
      </c>
      <c r="R88" t="str">
        <f>'Audit Report'!F88</f>
        <v/>
      </c>
      <c r="S88" t="str">
        <f>'Audit Report'!Q88</f>
        <v/>
      </c>
    </row>
    <row r="89" spans="4:19">
      <c r="D89" t="str">
        <f>'Audit Report'!B89</f>
        <v>ITD-X88</v>
      </c>
      <c r="E89" t="str">
        <f>'Audit Report'!C89</f>
        <v/>
      </c>
      <c r="I89" t="str">
        <f>'Audit Report'!D89</f>
        <v/>
      </c>
      <c r="J89" t="str">
        <f>'Audit Report'!H89</f>
        <v/>
      </c>
      <c r="L89" t="str">
        <f>_xlfn.TEXTJOIN(", ", FALSE, 'Audit Report'!K89,'Audit Report'!L89,'Audit Report'!M89)</f>
        <v xml:space="preserve">, , </v>
      </c>
      <c r="M89" t="str">
        <f>'Audit Report'!O89</f>
        <v/>
      </c>
      <c r="R89" t="str">
        <f>'Audit Report'!F89</f>
        <v/>
      </c>
      <c r="S89" t="str">
        <f>'Audit Report'!Q89</f>
        <v/>
      </c>
    </row>
    <row r="90" spans="4:19">
      <c r="D90" t="str">
        <f>'Audit Report'!B90</f>
        <v>ITD-X89</v>
      </c>
      <c r="E90" t="str">
        <f>'Audit Report'!C90</f>
        <v/>
      </c>
      <c r="I90" t="str">
        <f>'Audit Report'!D90</f>
        <v/>
      </c>
      <c r="J90" t="str">
        <f>'Audit Report'!H90</f>
        <v/>
      </c>
      <c r="L90" t="str">
        <f>_xlfn.TEXTJOIN(", ", FALSE, 'Audit Report'!K90,'Audit Report'!L90,'Audit Report'!M90)</f>
        <v xml:space="preserve">, , </v>
      </c>
      <c r="M90" t="str">
        <f>'Audit Report'!O90</f>
        <v/>
      </c>
      <c r="R90" t="str">
        <f>'Audit Report'!F90</f>
        <v/>
      </c>
      <c r="S90" t="str">
        <f>'Audit Report'!Q90</f>
        <v/>
      </c>
    </row>
    <row r="91" spans="4:19">
      <c r="D91" t="str">
        <f>'Audit Report'!B91</f>
        <v>ITD-X90</v>
      </c>
      <c r="E91" t="str">
        <f>'Audit Report'!C91</f>
        <v/>
      </c>
      <c r="I91" t="str">
        <f>'Audit Report'!D91</f>
        <v/>
      </c>
      <c r="J91" t="str">
        <f>'Audit Report'!H91</f>
        <v/>
      </c>
      <c r="L91" t="str">
        <f>_xlfn.TEXTJOIN(", ", FALSE, 'Audit Report'!K91,'Audit Report'!L91,'Audit Report'!M91)</f>
        <v xml:space="preserve">, , </v>
      </c>
      <c r="M91" t="str">
        <f>'Audit Report'!O91</f>
        <v/>
      </c>
      <c r="R91" t="str">
        <f>'Audit Report'!F91</f>
        <v/>
      </c>
      <c r="S91" t="str">
        <f>'Audit Report'!Q91</f>
        <v/>
      </c>
    </row>
    <row r="92" spans="4:19">
      <c r="D92" t="str">
        <f>'Audit Report'!B92</f>
        <v>ITD-X91</v>
      </c>
      <c r="E92" t="str">
        <f>'Audit Report'!C92</f>
        <v/>
      </c>
      <c r="I92" t="str">
        <f>'Audit Report'!D92</f>
        <v/>
      </c>
      <c r="J92" t="str">
        <f>'Audit Report'!H92</f>
        <v/>
      </c>
      <c r="L92" t="str">
        <f>_xlfn.TEXTJOIN(", ", FALSE, 'Audit Report'!K92,'Audit Report'!L92,'Audit Report'!M92)</f>
        <v xml:space="preserve">, , </v>
      </c>
      <c r="M92" t="str">
        <f>'Audit Report'!O92</f>
        <v/>
      </c>
      <c r="R92" t="str">
        <f>'Audit Report'!F92</f>
        <v/>
      </c>
      <c r="S92" t="str">
        <f>'Audit Report'!Q92</f>
        <v/>
      </c>
    </row>
    <row r="93" spans="4:19">
      <c r="D93" t="str">
        <f>'Audit Report'!B93</f>
        <v>ITD-X92</v>
      </c>
      <c r="E93" t="str">
        <f>'Audit Report'!C93</f>
        <v/>
      </c>
      <c r="I93" t="str">
        <f>'Audit Report'!D93</f>
        <v/>
      </c>
      <c r="J93" t="str">
        <f>'Audit Report'!H93</f>
        <v/>
      </c>
      <c r="L93" t="str">
        <f>_xlfn.TEXTJOIN(", ", FALSE, 'Audit Report'!K93,'Audit Report'!L93,'Audit Report'!M93)</f>
        <v xml:space="preserve">, , </v>
      </c>
      <c r="M93" t="str">
        <f>'Audit Report'!O93</f>
        <v/>
      </c>
      <c r="R93" t="str">
        <f>'Audit Report'!F93</f>
        <v/>
      </c>
      <c r="S93" t="str">
        <f>'Audit Report'!Q93</f>
        <v/>
      </c>
    </row>
    <row r="94" spans="4:19">
      <c r="D94" t="str">
        <f>'Audit Report'!B94</f>
        <v>ITD-X93</v>
      </c>
      <c r="E94" t="str">
        <f>'Audit Report'!C94</f>
        <v/>
      </c>
      <c r="I94" t="str">
        <f>'Audit Report'!D94</f>
        <v/>
      </c>
      <c r="J94" t="str">
        <f>'Audit Report'!H94</f>
        <v/>
      </c>
      <c r="L94" t="str">
        <f>_xlfn.TEXTJOIN(", ", FALSE, 'Audit Report'!K94,'Audit Report'!L94,'Audit Report'!M94)</f>
        <v xml:space="preserve">, , </v>
      </c>
      <c r="M94" t="str">
        <f>'Audit Report'!O94</f>
        <v/>
      </c>
      <c r="R94" t="str">
        <f>'Audit Report'!F94</f>
        <v/>
      </c>
      <c r="S94" t="str">
        <f>'Audit Report'!Q94</f>
        <v/>
      </c>
    </row>
    <row r="95" spans="4:19">
      <c r="D95" t="str">
        <f>'Audit Report'!B95</f>
        <v>ITD-X94</v>
      </c>
      <c r="E95" t="str">
        <f>'Audit Report'!C95</f>
        <v/>
      </c>
      <c r="I95" t="str">
        <f>'Audit Report'!D95</f>
        <v/>
      </c>
      <c r="J95" t="str">
        <f>'Audit Report'!H95</f>
        <v/>
      </c>
      <c r="L95" t="str">
        <f>_xlfn.TEXTJOIN(", ", FALSE, 'Audit Report'!K95,'Audit Report'!L95,'Audit Report'!M95)</f>
        <v xml:space="preserve">, , </v>
      </c>
      <c r="M95" t="str">
        <f>'Audit Report'!O95</f>
        <v/>
      </c>
      <c r="R95" t="str">
        <f>'Audit Report'!F95</f>
        <v/>
      </c>
      <c r="S95" t="str">
        <f>'Audit Report'!Q95</f>
        <v/>
      </c>
    </row>
    <row r="96" spans="4:19">
      <c r="D96" t="str">
        <f>'Audit Report'!B96</f>
        <v>ITD-X95</v>
      </c>
      <c r="E96" t="str">
        <f>'Audit Report'!C96</f>
        <v/>
      </c>
      <c r="I96" t="str">
        <f>'Audit Report'!D96</f>
        <v/>
      </c>
      <c r="J96" t="str">
        <f>'Audit Report'!H96</f>
        <v/>
      </c>
      <c r="L96" t="str">
        <f>_xlfn.TEXTJOIN(", ", FALSE, 'Audit Report'!K96,'Audit Report'!L96,'Audit Report'!M96)</f>
        <v xml:space="preserve">, , </v>
      </c>
      <c r="M96" t="str">
        <f>'Audit Report'!O96</f>
        <v/>
      </c>
      <c r="R96" t="str">
        <f>'Audit Report'!F96</f>
        <v/>
      </c>
      <c r="S96" t="str">
        <f>'Audit Report'!Q96</f>
        <v/>
      </c>
    </row>
    <row r="97" spans="4:19">
      <c r="D97" t="str">
        <f>'Audit Report'!B97</f>
        <v>ITD-X96</v>
      </c>
      <c r="E97" t="str">
        <f>'Audit Report'!C97</f>
        <v/>
      </c>
      <c r="I97" t="str">
        <f>'Audit Report'!D97</f>
        <v/>
      </c>
      <c r="J97" t="str">
        <f>'Audit Report'!H97</f>
        <v/>
      </c>
      <c r="L97" t="str">
        <f>_xlfn.TEXTJOIN(", ", FALSE, 'Audit Report'!K97,'Audit Report'!L97,'Audit Report'!M97)</f>
        <v xml:space="preserve">, , </v>
      </c>
      <c r="M97" t="str">
        <f>'Audit Report'!O97</f>
        <v/>
      </c>
      <c r="R97" t="str">
        <f>'Audit Report'!F97</f>
        <v/>
      </c>
      <c r="S97" t="str">
        <f>'Audit Report'!Q97</f>
        <v/>
      </c>
    </row>
    <row r="98" spans="4:19">
      <c r="D98" t="str">
        <f>'Audit Report'!B98</f>
        <v>ITD-X97</v>
      </c>
      <c r="E98" t="str">
        <f>'Audit Report'!C98</f>
        <v/>
      </c>
      <c r="I98" t="str">
        <f>'Audit Report'!D98</f>
        <v/>
      </c>
      <c r="J98" t="str">
        <f>'Audit Report'!H98</f>
        <v/>
      </c>
      <c r="L98" t="str">
        <f>_xlfn.TEXTJOIN(", ", FALSE, 'Audit Report'!K98,'Audit Report'!L98,'Audit Report'!M98)</f>
        <v xml:space="preserve">, , </v>
      </c>
      <c r="M98" t="str">
        <f>'Audit Report'!O98</f>
        <v/>
      </c>
      <c r="R98" t="str">
        <f>'Audit Report'!F98</f>
        <v/>
      </c>
      <c r="S98" t="str">
        <f>'Audit Report'!Q98</f>
        <v/>
      </c>
    </row>
    <row r="99" spans="4:19">
      <c r="D99" t="str">
        <f>'Audit Report'!B99</f>
        <v>ITD-X98</v>
      </c>
      <c r="E99" t="str">
        <f>'Audit Report'!C99</f>
        <v/>
      </c>
      <c r="I99" t="str">
        <f>'Audit Report'!D99</f>
        <v/>
      </c>
      <c r="J99" t="str">
        <f>'Audit Report'!H99</f>
        <v/>
      </c>
      <c r="L99" t="str">
        <f>_xlfn.TEXTJOIN(", ", FALSE, 'Audit Report'!K99,'Audit Report'!L99,'Audit Report'!M99)</f>
        <v xml:space="preserve">, , </v>
      </c>
      <c r="M99" t="str">
        <f>'Audit Report'!O99</f>
        <v/>
      </c>
      <c r="R99" t="str">
        <f>'Audit Report'!F99</f>
        <v/>
      </c>
      <c r="S99" t="str">
        <f>'Audit Report'!Q99</f>
        <v/>
      </c>
    </row>
    <row r="100" spans="4:19">
      <c r="D100" t="str">
        <f>'Audit Report'!B100</f>
        <v>ITD-X99</v>
      </c>
      <c r="E100" t="str">
        <f>'Audit Report'!C100</f>
        <v/>
      </c>
      <c r="I100" t="str">
        <f>'Audit Report'!D100</f>
        <v/>
      </c>
      <c r="J100" t="str">
        <f>'Audit Report'!H100</f>
        <v/>
      </c>
      <c r="L100" t="str">
        <f>_xlfn.TEXTJOIN(", ", FALSE, 'Audit Report'!K100,'Audit Report'!L100,'Audit Report'!M100)</f>
        <v xml:space="preserve">, , </v>
      </c>
      <c r="M100" t="str">
        <f>'Audit Report'!O100</f>
        <v/>
      </c>
      <c r="R100" t="str">
        <f>'Audit Report'!F100</f>
        <v/>
      </c>
      <c r="S100" t="str">
        <f>'Audit Report'!Q100</f>
        <v/>
      </c>
    </row>
    <row r="101" spans="4:19">
      <c r="D101" t="str">
        <f>'Audit Report'!B101</f>
        <v>ITD-X100</v>
      </c>
      <c r="E101" t="str">
        <f>'Audit Report'!C101</f>
        <v/>
      </c>
      <c r="I101" t="str">
        <f>'Audit Report'!D101</f>
        <v/>
      </c>
      <c r="J101" t="str">
        <f>'Audit Report'!H101</f>
        <v/>
      </c>
      <c r="L101" t="str">
        <f>_xlfn.TEXTJOIN(", ", FALSE, 'Audit Report'!K101,'Audit Report'!L101,'Audit Report'!M101)</f>
        <v xml:space="preserve">, , </v>
      </c>
      <c r="M101" t="str">
        <f>'Audit Report'!O101</f>
        <v/>
      </c>
      <c r="R101" t="str">
        <f>'Audit Report'!F101</f>
        <v/>
      </c>
      <c r="S101" t="str">
        <f>'Audit Report'!Q101</f>
        <v/>
      </c>
    </row>
    <row r="102" spans="4:19">
      <c r="D102" t="str">
        <f>'Audit Report'!B102</f>
        <v>ITD-X101</v>
      </c>
      <c r="E102" t="str">
        <f>'Audit Report'!C102</f>
        <v/>
      </c>
      <c r="I102" t="str">
        <f>'Audit Report'!D102</f>
        <v/>
      </c>
      <c r="J102" t="str">
        <f>'Audit Report'!H102</f>
        <v/>
      </c>
      <c r="L102" t="str">
        <f>_xlfn.TEXTJOIN(", ", FALSE, 'Audit Report'!K102,'Audit Report'!L102,'Audit Report'!M102)</f>
        <v xml:space="preserve">, , </v>
      </c>
      <c r="M102" t="str">
        <f>'Audit Report'!O102</f>
        <v/>
      </c>
      <c r="R102" t="str">
        <f>'Audit Report'!F102</f>
        <v/>
      </c>
      <c r="S102" t="str">
        <f>'Audit Report'!Q102</f>
        <v/>
      </c>
    </row>
    <row r="103" spans="4:19">
      <c r="D103" t="str">
        <f>'Audit Report'!B103</f>
        <v>ITD-X102</v>
      </c>
      <c r="E103" t="str">
        <f>'Audit Report'!C103</f>
        <v/>
      </c>
      <c r="I103" t="str">
        <f>'Audit Report'!D103</f>
        <v/>
      </c>
      <c r="J103" t="str">
        <f>'Audit Report'!H103</f>
        <v/>
      </c>
      <c r="L103" t="str">
        <f>_xlfn.TEXTJOIN(", ", FALSE, 'Audit Report'!K103,'Audit Report'!L103,'Audit Report'!M103)</f>
        <v xml:space="preserve">, , </v>
      </c>
      <c r="M103" t="str">
        <f>'Audit Report'!O103</f>
        <v/>
      </c>
      <c r="R103" t="str">
        <f>'Audit Report'!F103</f>
        <v/>
      </c>
      <c r="S103" t="str">
        <f>'Audit Report'!Q103</f>
        <v/>
      </c>
    </row>
    <row r="104" spans="4:19">
      <c r="D104" t="str">
        <f>'Audit Report'!B104</f>
        <v>ITD-X103</v>
      </c>
      <c r="E104" t="str">
        <f>'Audit Report'!C104</f>
        <v/>
      </c>
      <c r="I104" t="str">
        <f>'Audit Report'!D104</f>
        <v/>
      </c>
      <c r="J104" t="str">
        <f>'Audit Report'!H104</f>
        <v/>
      </c>
      <c r="L104" t="str">
        <f>_xlfn.TEXTJOIN(", ", FALSE, 'Audit Report'!K104,'Audit Report'!L104,'Audit Report'!M104)</f>
        <v xml:space="preserve">, , </v>
      </c>
      <c r="M104" t="str">
        <f>'Audit Report'!O104</f>
        <v/>
      </c>
      <c r="R104" t="str">
        <f>'Audit Report'!F104</f>
        <v/>
      </c>
      <c r="S104" t="str">
        <f>'Audit Report'!Q104</f>
        <v/>
      </c>
    </row>
    <row r="105" spans="4:19">
      <c r="D105" t="str">
        <f>'Audit Report'!B105</f>
        <v>ITD-X104</v>
      </c>
      <c r="E105" t="str">
        <f>'Audit Report'!C105</f>
        <v/>
      </c>
      <c r="I105" t="str">
        <f>'Audit Report'!D105</f>
        <v/>
      </c>
      <c r="J105" t="str">
        <f>'Audit Report'!H105</f>
        <v/>
      </c>
      <c r="L105" t="str">
        <f>_xlfn.TEXTJOIN(", ", FALSE, 'Audit Report'!K105,'Audit Report'!L105,'Audit Report'!M105)</f>
        <v xml:space="preserve">, , </v>
      </c>
      <c r="M105" t="str">
        <f>'Audit Report'!O105</f>
        <v/>
      </c>
      <c r="R105" t="str">
        <f>'Audit Report'!F105</f>
        <v/>
      </c>
      <c r="S105" t="str">
        <f>'Audit Report'!Q105</f>
        <v/>
      </c>
    </row>
    <row r="106" spans="4:19">
      <c r="D106" t="str">
        <f>'Audit Report'!B106</f>
        <v>ITD-X105</v>
      </c>
      <c r="E106" t="str">
        <f>'Audit Report'!C106</f>
        <v/>
      </c>
      <c r="I106" t="str">
        <f>'Audit Report'!D106</f>
        <v/>
      </c>
      <c r="J106" t="str">
        <f>'Audit Report'!H106</f>
        <v/>
      </c>
      <c r="L106" t="str">
        <f>_xlfn.TEXTJOIN(", ", FALSE, 'Audit Report'!K106,'Audit Report'!L106,'Audit Report'!M106)</f>
        <v xml:space="preserve">, , </v>
      </c>
      <c r="M106" t="str">
        <f>'Audit Report'!O106</f>
        <v/>
      </c>
      <c r="R106" t="str">
        <f>'Audit Report'!F106</f>
        <v/>
      </c>
      <c r="S106" t="str">
        <f>'Audit Report'!Q106</f>
        <v/>
      </c>
    </row>
    <row r="107" spans="4:19">
      <c r="D107" t="str">
        <f>'Audit Report'!B107</f>
        <v>ITD-X106</v>
      </c>
      <c r="E107" t="str">
        <f>'Audit Report'!C107</f>
        <v/>
      </c>
      <c r="I107" t="str">
        <f>'Audit Report'!D107</f>
        <v/>
      </c>
      <c r="J107" t="str">
        <f>'Audit Report'!H107</f>
        <v/>
      </c>
      <c r="L107" t="str">
        <f>_xlfn.TEXTJOIN(", ", FALSE, 'Audit Report'!K107,'Audit Report'!L107,'Audit Report'!M107)</f>
        <v xml:space="preserve">, , </v>
      </c>
      <c r="M107" t="str">
        <f>'Audit Report'!O107</f>
        <v/>
      </c>
      <c r="R107" t="str">
        <f>'Audit Report'!F107</f>
        <v/>
      </c>
      <c r="S107" t="str">
        <f>'Audit Report'!Q107</f>
        <v/>
      </c>
    </row>
    <row r="108" spans="4:19">
      <c r="D108" t="str">
        <f>'Audit Report'!B108</f>
        <v>ITD-X107</v>
      </c>
      <c r="E108" t="str">
        <f>'Audit Report'!C108</f>
        <v/>
      </c>
      <c r="I108" t="str">
        <f>'Audit Report'!D108</f>
        <v/>
      </c>
      <c r="J108" t="str">
        <f>'Audit Report'!H108</f>
        <v/>
      </c>
      <c r="L108" t="str">
        <f>_xlfn.TEXTJOIN(", ", FALSE, 'Audit Report'!K108,'Audit Report'!L108,'Audit Report'!M108)</f>
        <v xml:space="preserve">, , </v>
      </c>
      <c r="M108" t="str">
        <f>'Audit Report'!O108</f>
        <v/>
      </c>
      <c r="R108" t="str">
        <f>'Audit Report'!F108</f>
        <v/>
      </c>
      <c r="S108" t="str">
        <f>'Audit Report'!Q108</f>
        <v/>
      </c>
    </row>
    <row r="109" spans="4:19">
      <c r="D109" t="str">
        <f>'Audit Report'!B109</f>
        <v>ITD-X108</v>
      </c>
      <c r="E109" t="str">
        <f>'Audit Report'!C109</f>
        <v/>
      </c>
      <c r="I109" t="str">
        <f>'Audit Report'!D109</f>
        <v/>
      </c>
      <c r="J109" t="str">
        <f>'Audit Report'!H109</f>
        <v/>
      </c>
      <c r="L109" t="str">
        <f>_xlfn.TEXTJOIN(", ", FALSE, 'Audit Report'!K109,'Audit Report'!L109,'Audit Report'!M109)</f>
        <v xml:space="preserve">, , </v>
      </c>
      <c r="M109" t="str">
        <f>'Audit Report'!O109</f>
        <v/>
      </c>
      <c r="R109" t="str">
        <f>'Audit Report'!F109</f>
        <v/>
      </c>
      <c r="S109" t="str">
        <f>'Audit Report'!Q109</f>
        <v/>
      </c>
    </row>
    <row r="110" spans="4:19">
      <c r="D110" t="str">
        <f>'Audit Report'!B110</f>
        <v>ITD-X109</v>
      </c>
      <c r="E110" t="str">
        <f>'Audit Report'!C110</f>
        <v/>
      </c>
      <c r="I110" t="str">
        <f>'Audit Report'!D110</f>
        <v/>
      </c>
      <c r="J110" t="str">
        <f>'Audit Report'!H110</f>
        <v/>
      </c>
      <c r="L110" t="str">
        <f>_xlfn.TEXTJOIN(", ", FALSE, 'Audit Report'!K110,'Audit Report'!L110,'Audit Report'!M110)</f>
        <v xml:space="preserve">, , </v>
      </c>
      <c r="M110" t="str">
        <f>'Audit Report'!O110</f>
        <v/>
      </c>
      <c r="R110" t="str">
        <f>'Audit Report'!F110</f>
        <v/>
      </c>
      <c r="S110" t="str">
        <f>'Audit Report'!Q110</f>
        <v/>
      </c>
    </row>
    <row r="111" spans="4:19">
      <c r="D111" t="str">
        <f>'Audit Report'!B111</f>
        <v>ITD-X110</v>
      </c>
      <c r="E111" t="str">
        <f>'Audit Report'!C111</f>
        <v/>
      </c>
      <c r="I111" t="str">
        <f>'Audit Report'!D111</f>
        <v/>
      </c>
      <c r="J111" t="str">
        <f>'Audit Report'!H111</f>
        <v/>
      </c>
      <c r="L111" t="str">
        <f>_xlfn.TEXTJOIN(", ", FALSE, 'Audit Report'!K111,'Audit Report'!L111,'Audit Report'!M111)</f>
        <v xml:space="preserve">, , </v>
      </c>
      <c r="M111" t="str">
        <f>'Audit Report'!O111</f>
        <v/>
      </c>
      <c r="R111" t="str">
        <f>'Audit Report'!F111</f>
        <v/>
      </c>
      <c r="S111" t="str">
        <f>'Audit Report'!Q111</f>
        <v/>
      </c>
    </row>
    <row r="112" spans="4:19">
      <c r="D112" t="str">
        <f>'Audit Report'!B112</f>
        <v>ITD-X111</v>
      </c>
      <c r="E112" t="str">
        <f>'Audit Report'!C112</f>
        <v/>
      </c>
      <c r="I112" t="str">
        <f>'Audit Report'!D112</f>
        <v/>
      </c>
      <c r="J112" t="str">
        <f>'Audit Report'!H112</f>
        <v/>
      </c>
      <c r="L112" t="str">
        <f>_xlfn.TEXTJOIN(", ", FALSE, 'Audit Report'!K112,'Audit Report'!L112,'Audit Report'!M112)</f>
        <v xml:space="preserve">, , </v>
      </c>
      <c r="M112" t="str">
        <f>'Audit Report'!O112</f>
        <v/>
      </c>
      <c r="R112" t="str">
        <f>'Audit Report'!F112</f>
        <v/>
      </c>
      <c r="S112" t="str">
        <f>'Audit Report'!Q112</f>
        <v/>
      </c>
    </row>
    <row r="113" spans="4:19">
      <c r="D113" t="str">
        <f>'Audit Report'!B113</f>
        <v>ITD-X112</v>
      </c>
      <c r="E113" t="str">
        <f>'Audit Report'!C113</f>
        <v/>
      </c>
      <c r="I113" t="str">
        <f>'Audit Report'!D113</f>
        <v/>
      </c>
      <c r="J113" t="str">
        <f>'Audit Report'!H113</f>
        <v/>
      </c>
      <c r="L113" t="str">
        <f>_xlfn.TEXTJOIN(", ", FALSE, 'Audit Report'!K113,'Audit Report'!L113,'Audit Report'!M113)</f>
        <v xml:space="preserve">, , </v>
      </c>
      <c r="M113" t="str">
        <f>'Audit Report'!O113</f>
        <v/>
      </c>
      <c r="R113" t="str">
        <f>'Audit Report'!F113</f>
        <v/>
      </c>
      <c r="S113" t="str">
        <f>'Audit Report'!Q113</f>
        <v/>
      </c>
    </row>
    <row r="114" spans="4:19">
      <c r="D114" t="str">
        <f>'Audit Report'!B114</f>
        <v>ITD-X113</v>
      </c>
      <c r="E114" t="str">
        <f>'Audit Report'!C114</f>
        <v/>
      </c>
      <c r="I114" t="str">
        <f>'Audit Report'!D114</f>
        <v/>
      </c>
      <c r="J114" t="str">
        <f>'Audit Report'!H114</f>
        <v/>
      </c>
      <c r="L114" t="str">
        <f>_xlfn.TEXTJOIN(", ", FALSE, 'Audit Report'!K114,'Audit Report'!L114,'Audit Report'!M114)</f>
        <v xml:space="preserve">, , </v>
      </c>
      <c r="M114" t="str">
        <f>'Audit Report'!O114</f>
        <v/>
      </c>
      <c r="R114" t="str">
        <f>'Audit Report'!F114</f>
        <v/>
      </c>
      <c r="S114" t="str">
        <f>'Audit Report'!Q114</f>
        <v/>
      </c>
    </row>
    <row r="115" spans="4:19">
      <c r="D115" t="str">
        <f>'Audit Report'!B115</f>
        <v>ITD-X114</v>
      </c>
      <c r="E115" t="str">
        <f>'Audit Report'!C115</f>
        <v/>
      </c>
      <c r="I115" t="str">
        <f>'Audit Report'!D115</f>
        <v/>
      </c>
      <c r="J115" t="str">
        <f>'Audit Report'!H115</f>
        <v/>
      </c>
      <c r="L115" t="str">
        <f>_xlfn.TEXTJOIN(", ", FALSE, 'Audit Report'!K115,'Audit Report'!L115,'Audit Report'!M115)</f>
        <v xml:space="preserve">, , </v>
      </c>
      <c r="M115" t="str">
        <f>'Audit Report'!O115</f>
        <v/>
      </c>
      <c r="R115" t="str">
        <f>'Audit Report'!F115</f>
        <v/>
      </c>
      <c r="S115" t="str">
        <f>'Audit Report'!Q115</f>
        <v/>
      </c>
    </row>
    <row r="116" spans="4:19">
      <c r="D116" t="str">
        <f>'Audit Report'!B116</f>
        <v>ITD-X115</v>
      </c>
      <c r="E116" t="str">
        <f>'Audit Report'!C116</f>
        <v/>
      </c>
      <c r="I116" t="str">
        <f>'Audit Report'!D116</f>
        <v/>
      </c>
      <c r="J116" t="str">
        <f>'Audit Report'!H116</f>
        <v/>
      </c>
      <c r="L116" t="str">
        <f>_xlfn.TEXTJOIN(", ", FALSE, 'Audit Report'!K116,'Audit Report'!L116,'Audit Report'!M116)</f>
        <v xml:space="preserve">, , </v>
      </c>
      <c r="M116" t="str">
        <f>'Audit Report'!O116</f>
        <v>Charging port defect</v>
      </c>
      <c r="R116" t="str">
        <f>'Audit Report'!F116</f>
        <v/>
      </c>
      <c r="S116" t="str">
        <f>'Audit Report'!Q116</f>
        <v/>
      </c>
    </row>
    <row r="117" spans="4:19">
      <c r="D117" t="str">
        <f>'Audit Report'!B117</f>
        <v>ITD-X116</v>
      </c>
      <c r="E117" t="str">
        <f>'Audit Report'!C117</f>
        <v/>
      </c>
      <c r="I117" t="str">
        <f>'Audit Report'!D117</f>
        <v/>
      </c>
      <c r="J117" t="str">
        <f>'Audit Report'!H117</f>
        <v/>
      </c>
      <c r="L117" t="str">
        <f>_xlfn.TEXTJOIN(", ", FALSE, 'Audit Report'!K117,'Audit Report'!L117,'Audit Report'!M117)</f>
        <v xml:space="preserve">, , </v>
      </c>
      <c r="M117" t="str">
        <f>'Audit Report'!O117</f>
        <v/>
      </c>
      <c r="R117" t="str">
        <f>'Audit Report'!F117</f>
        <v/>
      </c>
      <c r="S117" t="str">
        <f>'Audit Report'!Q117</f>
        <v/>
      </c>
    </row>
    <row r="118" spans="4:19">
      <c r="D118" t="str">
        <f>'Audit Report'!B118</f>
        <v>ITD-X117</v>
      </c>
      <c r="E118" t="str">
        <f>'Audit Report'!C118</f>
        <v/>
      </c>
      <c r="I118" t="str">
        <f>'Audit Report'!D118</f>
        <v/>
      </c>
      <c r="J118" t="str">
        <f>'Audit Report'!H118</f>
        <v/>
      </c>
      <c r="L118" t="str">
        <f>_xlfn.TEXTJOIN(", ", FALSE, 'Audit Report'!K118,'Audit Report'!L118,'Audit Report'!M118)</f>
        <v xml:space="preserve">, , </v>
      </c>
      <c r="M118" t="str">
        <f>'Audit Report'!O118</f>
        <v/>
      </c>
      <c r="R118" t="str">
        <f>'Audit Report'!F118</f>
        <v/>
      </c>
      <c r="S118" t="str">
        <f>'Audit Report'!Q118</f>
        <v/>
      </c>
    </row>
    <row r="119" spans="4:19">
      <c r="D119" t="str">
        <f>'Audit Report'!B119</f>
        <v>ITD-X118</v>
      </c>
      <c r="E119" t="str">
        <f>'Audit Report'!C119</f>
        <v/>
      </c>
      <c r="I119" t="str">
        <f>'Audit Report'!D119</f>
        <v/>
      </c>
      <c r="J119" t="str">
        <f>'Audit Report'!H119</f>
        <v/>
      </c>
      <c r="L119" t="str">
        <f>_xlfn.TEXTJOIN(", ", FALSE, 'Audit Report'!K119,'Audit Report'!L119,'Audit Report'!M119)</f>
        <v xml:space="preserve">, , </v>
      </c>
      <c r="M119" t="str">
        <f>'Audit Report'!O119</f>
        <v/>
      </c>
      <c r="R119" t="str">
        <f>'Audit Report'!F119</f>
        <v/>
      </c>
      <c r="S119" t="str">
        <f>'Audit Report'!Q119</f>
        <v/>
      </c>
    </row>
    <row r="120" spans="4:19">
      <c r="D120" t="str">
        <f>'Audit Report'!B120</f>
        <v>ITD-X119</v>
      </c>
      <c r="E120" t="str">
        <f>'Audit Report'!C120</f>
        <v/>
      </c>
      <c r="I120" t="str">
        <f>'Audit Report'!D120</f>
        <v/>
      </c>
      <c r="J120" t="str">
        <f>'Audit Report'!H120</f>
        <v/>
      </c>
      <c r="L120" t="str">
        <f>_xlfn.TEXTJOIN(", ", FALSE, 'Audit Report'!K120,'Audit Report'!L120,'Audit Report'!M120)</f>
        <v xml:space="preserve">, , </v>
      </c>
      <c r="M120" t="str">
        <f>'Audit Report'!O120</f>
        <v/>
      </c>
      <c r="R120" t="str">
        <f>'Audit Report'!F120</f>
        <v/>
      </c>
      <c r="S120" t="str">
        <f>'Audit Report'!Q120</f>
        <v/>
      </c>
    </row>
    <row r="121" spans="4:19">
      <c r="D121" t="str">
        <f>'Audit Report'!B121</f>
        <v>ITD-X120</v>
      </c>
      <c r="E121" t="str">
        <f>'Audit Report'!C121</f>
        <v/>
      </c>
      <c r="I121" t="str">
        <f>'Audit Report'!D121</f>
        <v/>
      </c>
      <c r="J121" t="str">
        <f>'Audit Report'!H121</f>
        <v/>
      </c>
      <c r="L121" t="str">
        <f>_xlfn.TEXTJOIN(", ", FALSE, 'Audit Report'!K121,'Audit Report'!L121,'Audit Report'!M121)</f>
        <v xml:space="preserve">, , </v>
      </c>
      <c r="M121" t="str">
        <f>'Audit Report'!O121</f>
        <v/>
      </c>
      <c r="R121" t="str">
        <f>'Audit Report'!F121</f>
        <v/>
      </c>
      <c r="S121" t="str">
        <f>'Audit Report'!Q121</f>
        <v/>
      </c>
    </row>
    <row r="122" spans="4:19">
      <c r="D122" t="str">
        <f>'Audit Report'!B122</f>
        <v>ITD-X121</v>
      </c>
      <c r="E122" t="str">
        <f>'Audit Report'!C122</f>
        <v/>
      </c>
      <c r="I122" t="str">
        <f>'Audit Report'!D122</f>
        <v/>
      </c>
      <c r="J122" t="str">
        <f>'Audit Report'!H122</f>
        <v/>
      </c>
      <c r="L122" t="str">
        <f>_xlfn.TEXTJOIN(", ", FALSE, 'Audit Report'!K122,'Audit Report'!L122,'Audit Report'!M122)</f>
        <v xml:space="preserve">, , </v>
      </c>
      <c r="M122" t="str">
        <f>'Audit Report'!O122</f>
        <v/>
      </c>
      <c r="R122" t="str">
        <f>'Audit Report'!F122</f>
        <v/>
      </c>
      <c r="S122" t="str">
        <f>'Audit Report'!Q122</f>
        <v/>
      </c>
    </row>
    <row r="123" spans="4:19">
      <c r="D123" t="str">
        <f>'Audit Report'!B123</f>
        <v>ITD-X122</v>
      </c>
      <c r="E123" t="str">
        <f>'Audit Report'!C123</f>
        <v/>
      </c>
      <c r="I123" t="str">
        <f>'Audit Report'!D123</f>
        <v/>
      </c>
      <c r="J123" t="str">
        <f>'Audit Report'!H123</f>
        <v/>
      </c>
      <c r="L123" t="str">
        <f>_xlfn.TEXTJOIN(", ", FALSE, 'Audit Report'!K123,'Audit Report'!L123,'Audit Report'!M123)</f>
        <v xml:space="preserve">, , </v>
      </c>
      <c r="M123" t="str">
        <f>'Audit Report'!O123</f>
        <v/>
      </c>
      <c r="R123" t="str">
        <f>'Audit Report'!F123</f>
        <v/>
      </c>
      <c r="S123" t="str">
        <f>'Audit Report'!Q123</f>
        <v/>
      </c>
    </row>
    <row r="124" spans="4:19">
      <c r="D124" t="str">
        <f>'Audit Report'!B124</f>
        <v>ITD-X123</v>
      </c>
      <c r="E124" t="str">
        <f>'Audit Report'!C124</f>
        <v/>
      </c>
      <c r="I124" t="str">
        <f>'Audit Report'!D124</f>
        <v/>
      </c>
      <c r="J124" t="str">
        <f>'Audit Report'!H124</f>
        <v/>
      </c>
      <c r="L124" t="str">
        <f>_xlfn.TEXTJOIN(", ", FALSE, 'Audit Report'!K124,'Audit Report'!L124,'Audit Report'!M124)</f>
        <v xml:space="preserve">, , </v>
      </c>
      <c r="M124" t="str">
        <f>'Audit Report'!O124</f>
        <v/>
      </c>
      <c r="R124" t="str">
        <f>'Audit Report'!F124</f>
        <v/>
      </c>
      <c r="S124" t="str">
        <f>'Audit Report'!Q124</f>
        <v/>
      </c>
    </row>
    <row r="125" spans="4:19">
      <c r="D125" t="str">
        <f>'Audit Report'!B125</f>
        <v>ITD-X124</v>
      </c>
      <c r="E125" t="str">
        <f>'Audit Report'!C125</f>
        <v/>
      </c>
      <c r="I125" t="str">
        <f>'Audit Report'!D125</f>
        <v/>
      </c>
      <c r="J125" t="str">
        <f>'Audit Report'!H125</f>
        <v/>
      </c>
      <c r="L125" t="str">
        <f>_xlfn.TEXTJOIN(", ", FALSE, 'Audit Report'!K125,'Audit Report'!L125,'Audit Report'!M125)</f>
        <v xml:space="preserve">, , </v>
      </c>
      <c r="M125" t="str">
        <f>'Audit Report'!O125</f>
        <v/>
      </c>
      <c r="R125" t="str">
        <f>'Audit Report'!F125</f>
        <v/>
      </c>
      <c r="S125" t="str">
        <f>'Audit Report'!Q125</f>
        <v/>
      </c>
    </row>
    <row r="126" spans="4:19">
      <c r="D126" t="str">
        <f>'Audit Report'!B126</f>
        <v>ITD-X125</v>
      </c>
      <c r="E126" t="str">
        <f>'Audit Report'!C126</f>
        <v/>
      </c>
      <c r="I126" t="str">
        <f>'Audit Report'!D126</f>
        <v/>
      </c>
      <c r="J126" t="str">
        <f>'Audit Report'!H126</f>
        <v/>
      </c>
      <c r="L126" t="str">
        <f>_xlfn.TEXTJOIN(", ", FALSE, 'Audit Report'!K126,'Audit Report'!L126,'Audit Report'!M126)</f>
        <v xml:space="preserve">, , </v>
      </c>
      <c r="M126" t="str">
        <f>'Audit Report'!O126</f>
        <v/>
      </c>
      <c r="R126" t="str">
        <f>'Audit Report'!F126</f>
        <v/>
      </c>
      <c r="S126" t="str">
        <f>'Audit Report'!Q126</f>
        <v/>
      </c>
    </row>
    <row r="127" spans="4:19">
      <c r="D127" t="str">
        <f>'Audit Report'!B127</f>
        <v>ITD-X126</v>
      </c>
      <c r="E127" t="str">
        <f>'Audit Report'!C127</f>
        <v/>
      </c>
      <c r="I127" t="str">
        <f>'Audit Report'!D127</f>
        <v/>
      </c>
      <c r="J127" t="str">
        <f>'Audit Report'!H127</f>
        <v/>
      </c>
      <c r="L127" t="str">
        <f>_xlfn.TEXTJOIN(", ", FALSE, 'Audit Report'!K127,'Audit Report'!L127,'Audit Report'!M127)</f>
        <v xml:space="preserve">, , </v>
      </c>
      <c r="M127" t="str">
        <f>'Audit Report'!O127</f>
        <v/>
      </c>
      <c r="R127" t="str">
        <f>'Audit Report'!F127</f>
        <v/>
      </c>
      <c r="S127" t="str">
        <f>'Audit Report'!Q127</f>
        <v/>
      </c>
    </row>
    <row r="128" spans="4:19">
      <c r="D128" t="str">
        <f>'Audit Report'!B128</f>
        <v>ITD-X127</v>
      </c>
      <c r="E128" t="str">
        <f>'Audit Report'!C128</f>
        <v/>
      </c>
      <c r="I128" t="str">
        <f>'Audit Report'!D128</f>
        <v/>
      </c>
      <c r="J128" t="str">
        <f>'Audit Report'!H128</f>
        <v/>
      </c>
      <c r="L128" t="str">
        <f>_xlfn.TEXTJOIN(", ", FALSE, 'Audit Report'!K128,'Audit Report'!L128,'Audit Report'!M128)</f>
        <v xml:space="preserve">, , </v>
      </c>
      <c r="M128" t="str">
        <f>'Audit Report'!O128</f>
        <v/>
      </c>
      <c r="R128" t="str">
        <f>'Audit Report'!F128</f>
        <v/>
      </c>
      <c r="S128" t="str">
        <f>'Audit Report'!Q128</f>
        <v/>
      </c>
    </row>
    <row r="129" spans="4:19">
      <c r="D129" t="str">
        <f>'Audit Report'!B129</f>
        <v>ITD-X128</v>
      </c>
      <c r="E129" t="str">
        <f>'Audit Report'!C129</f>
        <v/>
      </c>
      <c r="I129" t="str">
        <f>'Audit Report'!D129</f>
        <v/>
      </c>
      <c r="J129" t="str">
        <f>'Audit Report'!H129</f>
        <v/>
      </c>
      <c r="L129" t="str">
        <f>_xlfn.TEXTJOIN(", ", FALSE, 'Audit Report'!K129,'Audit Report'!L129,'Audit Report'!M129)</f>
        <v xml:space="preserve">, , </v>
      </c>
      <c r="M129" t="str">
        <f>'Audit Report'!O129</f>
        <v/>
      </c>
      <c r="R129" t="str">
        <f>'Audit Report'!F129</f>
        <v/>
      </c>
      <c r="S129" t="str">
        <f>'Audit Report'!Q129</f>
        <v/>
      </c>
    </row>
    <row r="130" spans="4:19">
      <c r="D130" t="str">
        <f>'Audit Report'!B130</f>
        <v>ITD-X129</v>
      </c>
      <c r="E130" t="str">
        <f>'Audit Report'!C130</f>
        <v/>
      </c>
      <c r="I130" t="str">
        <f>'Audit Report'!D130</f>
        <v/>
      </c>
      <c r="J130" t="str">
        <f>'Audit Report'!H130</f>
        <v/>
      </c>
      <c r="L130" t="str">
        <f>_xlfn.TEXTJOIN(", ", FALSE, 'Audit Report'!K130,'Audit Report'!L130,'Audit Report'!M130)</f>
        <v xml:space="preserve">, , </v>
      </c>
      <c r="M130" t="str">
        <f>'Audit Report'!O130</f>
        <v/>
      </c>
      <c r="R130" t="str">
        <f>'Audit Report'!F130</f>
        <v/>
      </c>
      <c r="S130" t="str">
        <f>'Audit Report'!Q130</f>
        <v/>
      </c>
    </row>
    <row r="131" spans="4:19">
      <c r="D131" t="str">
        <f>'Audit Report'!B131</f>
        <v>ITD-X130</v>
      </c>
      <c r="E131" t="str">
        <f>'Audit Report'!C131</f>
        <v/>
      </c>
      <c r="I131" t="str">
        <f>'Audit Report'!D131</f>
        <v/>
      </c>
      <c r="J131" t="str">
        <f>'Audit Report'!H131</f>
        <v/>
      </c>
      <c r="L131" t="str">
        <f>_xlfn.TEXTJOIN(", ", FALSE, 'Audit Report'!K131,'Audit Report'!L131,'Audit Report'!M131)</f>
        <v xml:space="preserve">, , </v>
      </c>
      <c r="M131" t="str">
        <f>'Audit Report'!O131</f>
        <v/>
      </c>
      <c r="R131" t="str">
        <f>'Audit Report'!F131</f>
        <v/>
      </c>
      <c r="S131" t="str">
        <f>'Audit Report'!Q131</f>
        <v/>
      </c>
    </row>
    <row r="132" spans="4:19">
      <c r="D132" t="str">
        <f>'Audit Report'!B132</f>
        <v>ITD-X131</v>
      </c>
      <c r="E132" t="str">
        <f>'Audit Report'!C132</f>
        <v/>
      </c>
      <c r="I132" t="str">
        <f>'Audit Report'!D132</f>
        <v/>
      </c>
      <c r="J132" t="str">
        <f>'Audit Report'!H132</f>
        <v/>
      </c>
      <c r="L132" t="str">
        <f>_xlfn.TEXTJOIN(", ", FALSE, 'Audit Report'!K132,'Audit Report'!L132,'Audit Report'!M132)</f>
        <v xml:space="preserve">, , </v>
      </c>
      <c r="M132" t="str">
        <f>'Audit Report'!O132</f>
        <v/>
      </c>
      <c r="R132" t="str">
        <f>'Audit Report'!F132</f>
        <v/>
      </c>
      <c r="S132" t="str">
        <f>'Audit Report'!Q132</f>
        <v/>
      </c>
    </row>
    <row r="133" spans="4:19">
      <c r="D133" t="str">
        <f>'Audit Report'!B133</f>
        <v>ITD-X132</v>
      </c>
      <c r="E133" t="str">
        <f>'Audit Report'!C133</f>
        <v/>
      </c>
      <c r="I133" t="str">
        <f>'Audit Report'!D133</f>
        <v/>
      </c>
      <c r="J133" t="str">
        <f>'Audit Report'!H133</f>
        <v/>
      </c>
      <c r="L133" t="str">
        <f>_xlfn.TEXTJOIN(", ", FALSE, 'Audit Report'!K133,'Audit Report'!L133,'Audit Report'!M133)</f>
        <v xml:space="preserve">, , </v>
      </c>
      <c r="M133" t="str">
        <f>'Audit Report'!O133</f>
        <v/>
      </c>
      <c r="R133" t="str">
        <f>'Audit Report'!F133</f>
        <v/>
      </c>
      <c r="S133" t="str">
        <f>'Audit Report'!Q133</f>
        <v/>
      </c>
    </row>
    <row r="134" spans="4:19">
      <c r="D134" t="str">
        <f>'Audit Report'!B134</f>
        <v>ITD-X133</v>
      </c>
      <c r="E134" t="str">
        <f>'Audit Report'!C134</f>
        <v/>
      </c>
      <c r="I134" t="str">
        <f>'Audit Report'!D134</f>
        <v/>
      </c>
      <c r="J134" t="str">
        <f>'Audit Report'!H134</f>
        <v/>
      </c>
      <c r="L134" t="str">
        <f>_xlfn.TEXTJOIN(", ", FALSE, 'Audit Report'!K134,'Audit Report'!L134,'Audit Report'!M134)</f>
        <v xml:space="preserve">, , </v>
      </c>
      <c r="M134" t="str">
        <f>'Audit Report'!O134</f>
        <v/>
      </c>
      <c r="R134" t="str">
        <f>'Audit Report'!F134</f>
        <v/>
      </c>
      <c r="S134" t="str">
        <f>'Audit Report'!Q134</f>
        <v/>
      </c>
    </row>
    <row r="135" spans="4:19">
      <c r="D135" t="str">
        <f>'Audit Report'!B135</f>
        <v>ITD-X134</v>
      </c>
      <c r="E135" t="str">
        <f>'Audit Report'!C135</f>
        <v/>
      </c>
      <c r="I135" t="str">
        <f>'Audit Report'!D135</f>
        <v/>
      </c>
      <c r="J135" t="str">
        <f>'Audit Report'!H135</f>
        <v/>
      </c>
      <c r="L135" t="str">
        <f>_xlfn.TEXTJOIN(", ", FALSE, 'Audit Report'!K135,'Audit Report'!L135,'Audit Report'!M135)</f>
        <v xml:space="preserve">, , </v>
      </c>
      <c r="M135" t="str">
        <f>'Audit Report'!O135</f>
        <v/>
      </c>
      <c r="R135" t="str">
        <f>'Audit Report'!F135</f>
        <v/>
      </c>
      <c r="S135" t="str">
        <f>'Audit Report'!Q135</f>
        <v/>
      </c>
    </row>
    <row r="136" spans="4:19">
      <c r="D136" t="str">
        <f>'Audit Report'!B136</f>
        <v>ITD-X135</v>
      </c>
      <c r="E136" t="str">
        <f>'Audit Report'!C136</f>
        <v/>
      </c>
      <c r="I136" t="str">
        <f>'Audit Report'!D136</f>
        <v/>
      </c>
      <c r="J136" t="str">
        <f>'Audit Report'!H136</f>
        <v/>
      </c>
      <c r="L136" t="str">
        <f>_xlfn.TEXTJOIN(", ", FALSE, 'Audit Report'!K136,'Audit Report'!L136,'Audit Report'!M136)</f>
        <v xml:space="preserve">, , </v>
      </c>
      <c r="M136" t="str">
        <f>'Audit Report'!O136</f>
        <v/>
      </c>
      <c r="R136" t="str">
        <f>'Audit Report'!F136</f>
        <v/>
      </c>
      <c r="S136" t="str">
        <f>'Audit Report'!Q136</f>
        <v/>
      </c>
    </row>
    <row r="137" spans="4:19">
      <c r="D137" t="str">
        <f>'Audit Report'!B137</f>
        <v>ITD-X136</v>
      </c>
      <c r="E137" t="str">
        <f>'Audit Report'!C137</f>
        <v/>
      </c>
      <c r="I137" t="str">
        <f>'Audit Report'!D137</f>
        <v/>
      </c>
      <c r="J137" t="str">
        <f>'Audit Report'!H137</f>
        <v/>
      </c>
      <c r="L137" t="str">
        <f>_xlfn.TEXTJOIN(", ", FALSE, 'Audit Report'!K137,'Audit Report'!L137,'Audit Report'!M137)</f>
        <v xml:space="preserve">, , </v>
      </c>
      <c r="M137" t="str">
        <f>'Audit Report'!O137</f>
        <v/>
      </c>
      <c r="R137" t="str">
        <f>'Audit Report'!F137</f>
        <v/>
      </c>
      <c r="S137" t="str">
        <f>'Audit Report'!Q137</f>
        <v/>
      </c>
    </row>
    <row r="138" spans="4:19">
      <c r="D138" t="str">
        <f>'Audit Report'!B138</f>
        <v>ITD-X137</v>
      </c>
      <c r="E138" t="str">
        <f>'Audit Report'!C138</f>
        <v/>
      </c>
      <c r="I138" t="str">
        <f>'Audit Report'!D138</f>
        <v/>
      </c>
      <c r="J138" t="str">
        <f>'Audit Report'!H138</f>
        <v/>
      </c>
      <c r="L138" t="str">
        <f>_xlfn.TEXTJOIN(", ", FALSE, 'Audit Report'!K138,'Audit Report'!L138,'Audit Report'!M138)</f>
        <v xml:space="preserve">, , </v>
      </c>
      <c r="M138" t="str">
        <f>'Audit Report'!O138</f>
        <v/>
      </c>
      <c r="R138" t="str">
        <f>'Audit Report'!F138</f>
        <v/>
      </c>
      <c r="S138" t="str">
        <f>'Audit Report'!Q138</f>
        <v/>
      </c>
    </row>
    <row r="139" spans="4:19">
      <c r="D139" t="str">
        <f>'Audit Report'!B139</f>
        <v>ITD-X138</v>
      </c>
      <c r="E139" t="str">
        <f>'Audit Report'!C139</f>
        <v/>
      </c>
      <c r="I139" t="str">
        <f>'Audit Report'!D139</f>
        <v/>
      </c>
      <c r="J139" t="str">
        <f>'Audit Report'!H139</f>
        <v/>
      </c>
      <c r="L139" t="str">
        <f>_xlfn.TEXTJOIN(", ", FALSE, 'Audit Report'!K139,'Audit Report'!L139,'Audit Report'!M139)</f>
        <v xml:space="preserve">, , </v>
      </c>
      <c r="M139" t="str">
        <f>'Audit Report'!O139</f>
        <v/>
      </c>
      <c r="R139" t="str">
        <f>'Audit Report'!F139</f>
        <v/>
      </c>
      <c r="S139" t="str">
        <f>'Audit Report'!Q139</f>
        <v/>
      </c>
    </row>
    <row r="140" spans="4:19">
      <c r="D140" t="str">
        <f>'Audit Report'!B140</f>
        <v>ITD-X139</v>
      </c>
      <c r="E140" t="str">
        <f>'Audit Report'!C140</f>
        <v/>
      </c>
      <c r="I140" t="str">
        <f>'Audit Report'!D140</f>
        <v/>
      </c>
      <c r="J140" t="str">
        <f>'Audit Report'!H140</f>
        <v/>
      </c>
      <c r="L140" t="str">
        <f>_xlfn.TEXTJOIN(", ", FALSE, 'Audit Report'!K140,'Audit Report'!L140,'Audit Report'!M140)</f>
        <v xml:space="preserve">, , </v>
      </c>
      <c r="M140" t="str">
        <f>'Audit Report'!O140</f>
        <v/>
      </c>
      <c r="R140" t="str">
        <f>'Audit Report'!F140</f>
        <v/>
      </c>
      <c r="S140" t="str">
        <f>'Audit Report'!Q140</f>
        <v/>
      </c>
    </row>
    <row r="141" spans="4:19">
      <c r="D141" t="str">
        <f>'Audit Report'!B141</f>
        <v>ITD-X140</v>
      </c>
      <c r="E141" t="str">
        <f>'Audit Report'!C141</f>
        <v/>
      </c>
      <c r="I141" t="str">
        <f>'Audit Report'!D141</f>
        <v/>
      </c>
      <c r="J141" t="str">
        <f>'Audit Report'!H141</f>
        <v/>
      </c>
      <c r="L141" t="str">
        <f>_xlfn.TEXTJOIN(", ", FALSE, 'Audit Report'!K141,'Audit Report'!L141,'Audit Report'!M141)</f>
        <v xml:space="preserve">, , </v>
      </c>
      <c r="M141" t="str">
        <f>'Audit Report'!O141</f>
        <v/>
      </c>
      <c r="R141" t="str">
        <f>'Audit Report'!F141</f>
        <v/>
      </c>
      <c r="S141" t="str">
        <f>'Audit Report'!Q141</f>
        <v/>
      </c>
    </row>
    <row r="142" spans="4:19">
      <c r="D142" t="str">
        <f>'Audit Report'!B142</f>
        <v>ITD-X141</v>
      </c>
      <c r="E142" t="str">
        <f>'Audit Report'!C142</f>
        <v/>
      </c>
      <c r="I142" t="str">
        <f>'Audit Report'!D142</f>
        <v/>
      </c>
      <c r="J142" t="str">
        <f>'Audit Report'!H142</f>
        <v/>
      </c>
      <c r="L142" t="str">
        <f>_xlfn.TEXTJOIN(", ", FALSE, 'Audit Report'!K142,'Audit Report'!L142,'Audit Report'!M142)</f>
        <v xml:space="preserve">, , </v>
      </c>
      <c r="M142" t="str">
        <f>'Audit Report'!O142</f>
        <v/>
      </c>
      <c r="R142" t="str">
        <f>'Audit Report'!F142</f>
        <v/>
      </c>
      <c r="S142" t="str">
        <f>'Audit Report'!Q142</f>
        <v/>
      </c>
    </row>
    <row r="143" spans="4:19">
      <c r="D143" t="str">
        <f>'Audit Report'!B143</f>
        <v>ITD-X142</v>
      </c>
      <c r="E143" t="str">
        <f>'Audit Report'!C143</f>
        <v/>
      </c>
      <c r="I143" t="str">
        <f>'Audit Report'!D143</f>
        <v/>
      </c>
      <c r="J143" t="str">
        <f>'Audit Report'!H143</f>
        <v/>
      </c>
      <c r="L143" t="str">
        <f>_xlfn.TEXTJOIN(", ", FALSE, 'Audit Report'!K143,'Audit Report'!L143,'Audit Report'!M143)</f>
        <v xml:space="preserve">, , </v>
      </c>
      <c r="M143" t="str">
        <f>'Audit Report'!O143</f>
        <v/>
      </c>
      <c r="R143" t="str">
        <f>'Audit Report'!F143</f>
        <v/>
      </c>
      <c r="S143" t="str">
        <f>'Audit Report'!Q143</f>
        <v/>
      </c>
    </row>
    <row r="144" spans="4:19">
      <c r="D144" t="str">
        <f>'Audit Report'!B144</f>
        <v>ITD-X143</v>
      </c>
      <c r="E144" t="str">
        <f>'Audit Report'!C144</f>
        <v/>
      </c>
      <c r="I144" t="str">
        <f>'Audit Report'!D144</f>
        <v/>
      </c>
      <c r="J144" t="str">
        <f>'Audit Report'!H144</f>
        <v/>
      </c>
      <c r="L144" t="str">
        <f>_xlfn.TEXTJOIN(", ", FALSE, 'Audit Report'!K144,'Audit Report'!L144,'Audit Report'!M144)</f>
        <v xml:space="preserve">, , </v>
      </c>
      <c r="M144" t="str">
        <f>'Audit Report'!O144</f>
        <v>Label marks C</v>
      </c>
      <c r="R144" t="str">
        <f>'Audit Report'!F144</f>
        <v/>
      </c>
      <c r="S144" t="str">
        <f>'Audit Report'!Q144</f>
        <v/>
      </c>
    </row>
    <row r="145" spans="4:19">
      <c r="D145" t="str">
        <f>'Audit Report'!B145</f>
        <v>ITD-X144</v>
      </c>
      <c r="E145" t="str">
        <f>'Audit Report'!C145</f>
        <v/>
      </c>
      <c r="I145" t="str">
        <f>'Audit Report'!D145</f>
        <v/>
      </c>
      <c r="J145" t="str">
        <f>'Audit Report'!H145</f>
        <v/>
      </c>
      <c r="L145" t="str">
        <f>_xlfn.TEXTJOIN(", ", FALSE, 'Audit Report'!K145,'Audit Report'!L145,'Audit Report'!M145)</f>
        <v xml:space="preserve">, , </v>
      </c>
      <c r="M145" t="str">
        <f>'Audit Report'!O145</f>
        <v/>
      </c>
      <c r="R145" t="str">
        <f>'Audit Report'!F145</f>
        <v/>
      </c>
      <c r="S145" t="str">
        <f>'Audit Report'!Q145</f>
        <v/>
      </c>
    </row>
    <row r="146" spans="4:19">
      <c r="D146" t="str">
        <f>'Audit Report'!B146</f>
        <v>ITD-X145</v>
      </c>
      <c r="E146" t="str">
        <f>'Audit Report'!C146</f>
        <v/>
      </c>
      <c r="I146" t="str">
        <f>'Audit Report'!D146</f>
        <v/>
      </c>
      <c r="J146" t="str">
        <f>'Audit Report'!H146</f>
        <v/>
      </c>
      <c r="L146" t="str">
        <f>_xlfn.TEXTJOIN(", ", FALSE, 'Audit Report'!K146,'Audit Report'!L146,'Audit Report'!M146)</f>
        <v xml:space="preserve">, , </v>
      </c>
      <c r="M146" t="str">
        <f>'Audit Report'!O146</f>
        <v/>
      </c>
      <c r="R146" t="str">
        <f>'Audit Report'!F146</f>
        <v/>
      </c>
      <c r="S146" t="str">
        <f>'Audit Report'!Q146</f>
        <v/>
      </c>
    </row>
    <row r="147" spans="4:19">
      <c r="D147" t="str">
        <f>'Audit Report'!B147</f>
        <v>ITD-X146</v>
      </c>
      <c r="E147" t="str">
        <f>'Audit Report'!C147</f>
        <v/>
      </c>
      <c r="I147" t="str">
        <f>'Audit Report'!D147</f>
        <v/>
      </c>
      <c r="J147" t="str">
        <f>'Audit Report'!H147</f>
        <v/>
      </c>
      <c r="L147" t="str">
        <f>_xlfn.TEXTJOIN(", ", FALSE, 'Audit Report'!K147,'Audit Report'!L147,'Audit Report'!M147)</f>
        <v xml:space="preserve">, , </v>
      </c>
      <c r="M147" t="str">
        <f>'Audit Report'!O147</f>
        <v/>
      </c>
      <c r="R147" t="str">
        <f>'Audit Report'!F147</f>
        <v/>
      </c>
      <c r="S147" t="str">
        <f>'Audit Report'!Q147</f>
        <v/>
      </c>
    </row>
    <row r="148" spans="4:19">
      <c r="D148" t="str">
        <f>'Audit Report'!B148</f>
        <v>ITD-X147</v>
      </c>
      <c r="E148" t="str">
        <f>'Audit Report'!C148</f>
        <v/>
      </c>
      <c r="I148" t="str">
        <f>'Audit Report'!D148</f>
        <v/>
      </c>
      <c r="J148" t="str">
        <f>'Audit Report'!H148</f>
        <v/>
      </c>
      <c r="L148" t="str">
        <f>_xlfn.TEXTJOIN(", ", FALSE, 'Audit Report'!K148,'Audit Report'!L148,'Audit Report'!M148)</f>
        <v xml:space="preserve">, , </v>
      </c>
      <c r="M148" t="str">
        <f>'Audit Report'!O148</f>
        <v/>
      </c>
      <c r="R148" t="str">
        <f>'Audit Report'!F148</f>
        <v/>
      </c>
      <c r="S148" t="str">
        <f>'Audit Report'!Q148</f>
        <v/>
      </c>
    </row>
    <row r="149" spans="4:19">
      <c r="D149" t="str">
        <f>'Audit Report'!B149</f>
        <v>ITD-X148</v>
      </c>
      <c r="E149" t="str">
        <f>'Audit Report'!C149</f>
        <v/>
      </c>
      <c r="I149" t="str">
        <f>'Audit Report'!D149</f>
        <v/>
      </c>
      <c r="J149" t="str">
        <f>'Audit Report'!H149</f>
        <v/>
      </c>
      <c r="L149" t="str">
        <f>_xlfn.TEXTJOIN(", ", FALSE, 'Audit Report'!K149,'Audit Report'!L149,'Audit Report'!M149)</f>
        <v xml:space="preserve">, , </v>
      </c>
      <c r="M149" t="str">
        <f>'Audit Report'!O149</f>
        <v/>
      </c>
      <c r="R149" t="str">
        <f>'Audit Report'!F149</f>
        <v/>
      </c>
      <c r="S149" t="str">
        <f>'Audit Report'!Q149</f>
        <v/>
      </c>
    </row>
    <row r="150" spans="4:19">
      <c r="D150" t="str">
        <f>'Audit Report'!B150</f>
        <v>ITD-X149</v>
      </c>
      <c r="E150" t="str">
        <f>'Audit Report'!C150</f>
        <v/>
      </c>
      <c r="I150" t="str">
        <f>'Audit Report'!D150</f>
        <v/>
      </c>
      <c r="J150" t="str">
        <f>'Audit Report'!H150</f>
        <v/>
      </c>
      <c r="L150" t="str">
        <f>_xlfn.TEXTJOIN(", ", FALSE, 'Audit Report'!K150,'Audit Report'!L150,'Audit Report'!M150)</f>
        <v xml:space="preserve">, , </v>
      </c>
      <c r="M150" t="str">
        <f>'Audit Report'!O150</f>
        <v/>
      </c>
      <c r="R150" t="str">
        <f>'Audit Report'!F150</f>
        <v/>
      </c>
      <c r="S150" t="str">
        <f>'Audit Report'!Q150</f>
        <v/>
      </c>
    </row>
    <row r="151" spans="4:19">
      <c r="D151" t="str">
        <f>'Audit Report'!B151</f>
        <v>ITD-X150</v>
      </c>
      <c r="E151" t="str">
        <f>'Audit Report'!C151</f>
        <v/>
      </c>
      <c r="I151" t="str">
        <f>'Audit Report'!D151</f>
        <v/>
      </c>
      <c r="J151" t="str">
        <f>'Audit Report'!H151</f>
        <v/>
      </c>
      <c r="L151" t="str">
        <f>_xlfn.TEXTJOIN(", ", FALSE, 'Audit Report'!K151,'Audit Report'!L151,'Audit Report'!M151)</f>
        <v xml:space="preserve">, , </v>
      </c>
      <c r="M151" t="str">
        <f>'Audit Report'!O151</f>
        <v/>
      </c>
      <c r="R151" t="str">
        <f>'Audit Report'!F151</f>
        <v/>
      </c>
      <c r="S151" t="str">
        <f>'Audit Report'!Q151</f>
        <v/>
      </c>
    </row>
    <row r="152" spans="4:19">
      <c r="D152" t="str">
        <f>'Audit Report'!B152</f>
        <v>ITD-X151</v>
      </c>
      <c r="E152" t="str">
        <f>'Audit Report'!C152</f>
        <v/>
      </c>
      <c r="I152" t="str">
        <f>'Audit Report'!D152</f>
        <v/>
      </c>
      <c r="J152" t="str">
        <f>'Audit Report'!H152</f>
        <v/>
      </c>
      <c r="L152" t="str">
        <f>_xlfn.TEXTJOIN(", ", FALSE, 'Audit Report'!K152,'Audit Report'!L152,'Audit Report'!M152)</f>
        <v xml:space="preserve">, , </v>
      </c>
      <c r="M152" t="str">
        <f>'Audit Report'!O152</f>
        <v/>
      </c>
      <c r="R152" t="str">
        <f>'Audit Report'!F152</f>
        <v/>
      </c>
      <c r="S152" t="str">
        <f>'Audit Report'!Q152</f>
        <v/>
      </c>
    </row>
    <row r="153" spans="4:19">
      <c r="D153" t="str">
        <f>'Audit Report'!B153</f>
        <v>ITD-X152</v>
      </c>
      <c r="E153" t="str">
        <f>'Audit Report'!C153</f>
        <v/>
      </c>
      <c r="I153" t="str">
        <f>'Audit Report'!D153</f>
        <v/>
      </c>
      <c r="J153" t="str">
        <f>'Audit Report'!H153</f>
        <v/>
      </c>
      <c r="L153" t="str">
        <f>_xlfn.TEXTJOIN(", ", FALSE, 'Audit Report'!K153,'Audit Report'!L153,'Audit Report'!M153)</f>
        <v xml:space="preserve">, , </v>
      </c>
      <c r="M153" t="str">
        <f>'Audit Report'!O153</f>
        <v/>
      </c>
      <c r="R153" t="str">
        <f>'Audit Report'!F153</f>
        <v/>
      </c>
      <c r="S153" t="str">
        <f>'Audit Report'!Q153</f>
        <v/>
      </c>
    </row>
    <row r="154" spans="4:19">
      <c r="D154" t="str">
        <f>'Audit Report'!B154</f>
        <v>ITD-X153</v>
      </c>
      <c r="E154" t="str">
        <f>'Audit Report'!C154</f>
        <v/>
      </c>
      <c r="I154" t="str">
        <f>'Audit Report'!D154</f>
        <v/>
      </c>
      <c r="J154" t="str">
        <f>'Audit Report'!H154</f>
        <v/>
      </c>
      <c r="L154" t="str">
        <f>_xlfn.TEXTJOIN(", ", FALSE, 'Audit Report'!K154,'Audit Report'!L154,'Audit Report'!M154)</f>
        <v xml:space="preserve">, , </v>
      </c>
      <c r="M154" t="str">
        <f>'Audit Report'!O154</f>
        <v/>
      </c>
      <c r="R154" t="str">
        <f>'Audit Report'!F154</f>
        <v/>
      </c>
      <c r="S154" t="str">
        <f>'Audit Report'!Q154</f>
        <v/>
      </c>
    </row>
    <row r="155" spans="4:19">
      <c r="D155" t="str">
        <f>'Audit Report'!B155</f>
        <v>ITD-X154</v>
      </c>
      <c r="E155" t="str">
        <f>'Audit Report'!C155</f>
        <v/>
      </c>
      <c r="I155" t="str">
        <f>'Audit Report'!D155</f>
        <v/>
      </c>
      <c r="J155" t="str">
        <f>'Audit Report'!H155</f>
        <v/>
      </c>
      <c r="L155" t="str">
        <f>_xlfn.TEXTJOIN(", ", FALSE, 'Audit Report'!K155,'Audit Report'!L155,'Audit Report'!M155)</f>
        <v xml:space="preserve">, , </v>
      </c>
      <c r="M155" t="str">
        <f>'Audit Report'!O155</f>
        <v/>
      </c>
      <c r="R155" t="str">
        <f>'Audit Report'!F155</f>
        <v/>
      </c>
      <c r="S155" t="str">
        <f>'Audit Report'!Q155</f>
        <v/>
      </c>
    </row>
    <row r="156" spans="4:19">
      <c r="D156" t="str">
        <f>'Audit Report'!B156</f>
        <v>ITD-X155</v>
      </c>
      <c r="E156" t="str">
        <f>'Audit Report'!C156</f>
        <v/>
      </c>
      <c r="I156" t="str">
        <f>'Audit Report'!D156</f>
        <v/>
      </c>
      <c r="J156" t="str">
        <f>'Audit Report'!H156</f>
        <v/>
      </c>
      <c r="L156" t="str">
        <f>_xlfn.TEXTJOIN(", ", FALSE, 'Audit Report'!K156,'Audit Report'!L156,'Audit Report'!M156)</f>
        <v xml:space="preserve">, , </v>
      </c>
      <c r="M156" t="str">
        <f>'Audit Report'!O156</f>
        <v/>
      </c>
      <c r="R156" t="str">
        <f>'Audit Report'!F156</f>
        <v/>
      </c>
      <c r="S156" t="str">
        <f>'Audit Report'!Q156</f>
        <v/>
      </c>
    </row>
    <row r="157" spans="4:19">
      <c r="D157" t="str">
        <f>'Audit Report'!B157</f>
        <v>ITD-X156</v>
      </c>
      <c r="E157" t="str">
        <f>'Audit Report'!C157</f>
        <v/>
      </c>
      <c r="I157" t="str">
        <f>'Audit Report'!D157</f>
        <v/>
      </c>
      <c r="J157" t="str">
        <f>'Audit Report'!H157</f>
        <v/>
      </c>
      <c r="L157" t="str">
        <f>_xlfn.TEXTJOIN(", ", FALSE, 'Audit Report'!K157,'Audit Report'!L157,'Audit Report'!M157)</f>
        <v xml:space="preserve">, , </v>
      </c>
      <c r="M157" t="str">
        <f>'Audit Report'!O157</f>
        <v/>
      </c>
      <c r="R157" t="str">
        <f>'Audit Report'!F157</f>
        <v/>
      </c>
      <c r="S157" t="str">
        <f>'Audit Report'!Q157</f>
        <v/>
      </c>
    </row>
    <row r="158" spans="4:19">
      <c r="D158" t="str">
        <f>'Audit Report'!B158</f>
        <v>ITD-X157</v>
      </c>
      <c r="E158" t="str">
        <f>'Audit Report'!C158</f>
        <v/>
      </c>
      <c r="I158" t="str">
        <f>'Audit Report'!D158</f>
        <v/>
      </c>
      <c r="J158" t="str">
        <f>'Audit Report'!H158</f>
        <v/>
      </c>
      <c r="L158" t="str">
        <f>_xlfn.TEXTJOIN(", ", FALSE, 'Audit Report'!K158,'Audit Report'!L158,'Audit Report'!M158)</f>
        <v xml:space="preserve">, , </v>
      </c>
      <c r="M158" t="str">
        <f>'Audit Report'!O158</f>
        <v/>
      </c>
      <c r="R158" t="str">
        <f>'Audit Report'!F158</f>
        <v/>
      </c>
      <c r="S158" t="str">
        <f>'Audit Report'!Q158</f>
        <v/>
      </c>
    </row>
    <row r="159" spans="4:19">
      <c r="D159" t="str">
        <f>'Audit Report'!B159</f>
        <v>ITD-X158</v>
      </c>
      <c r="E159" t="str">
        <f>'Audit Report'!C159</f>
        <v/>
      </c>
      <c r="I159" t="str">
        <f>'Audit Report'!D159</f>
        <v/>
      </c>
      <c r="J159" t="str">
        <f>'Audit Report'!H159</f>
        <v/>
      </c>
      <c r="L159" t="str">
        <f>_xlfn.TEXTJOIN(", ", FALSE, 'Audit Report'!K159,'Audit Report'!L159,'Audit Report'!M159)</f>
        <v xml:space="preserve">, , </v>
      </c>
      <c r="M159" t="str">
        <f>'Audit Report'!O159</f>
        <v/>
      </c>
      <c r="R159" t="str">
        <f>'Audit Report'!F159</f>
        <v/>
      </c>
      <c r="S159" t="str">
        <f>'Audit Report'!Q159</f>
        <v/>
      </c>
    </row>
    <row r="160" spans="4:19">
      <c r="D160" t="str">
        <f>'Audit Report'!B160</f>
        <v>ITD-X159</v>
      </c>
      <c r="E160" t="str">
        <f>'Audit Report'!C160</f>
        <v/>
      </c>
      <c r="I160" t="str">
        <f>'Audit Report'!D160</f>
        <v/>
      </c>
      <c r="J160" t="str">
        <f>'Audit Report'!H160</f>
        <v/>
      </c>
      <c r="L160" t="str">
        <f>_xlfn.TEXTJOIN(", ", FALSE, 'Audit Report'!K160,'Audit Report'!L160,'Audit Report'!M160)</f>
        <v xml:space="preserve">, , </v>
      </c>
      <c r="M160" t="str">
        <f>'Audit Report'!O160</f>
        <v/>
      </c>
      <c r="R160" t="str">
        <f>'Audit Report'!F160</f>
        <v/>
      </c>
      <c r="S160" t="str">
        <f>'Audit Report'!Q160</f>
        <v/>
      </c>
    </row>
    <row r="161" spans="4:19">
      <c r="D161" t="str">
        <f>'Audit Report'!B161</f>
        <v>ITD-X160</v>
      </c>
      <c r="E161" t="str">
        <f>'Audit Report'!C161</f>
        <v/>
      </c>
      <c r="I161" t="str">
        <f>'Audit Report'!D161</f>
        <v/>
      </c>
      <c r="J161" t="str">
        <f>'Audit Report'!H161</f>
        <v/>
      </c>
      <c r="L161" t="str">
        <f>_xlfn.TEXTJOIN(", ", FALSE, 'Audit Report'!K161,'Audit Report'!L161,'Audit Report'!M161)</f>
        <v xml:space="preserve">, , </v>
      </c>
      <c r="M161" t="str">
        <f>'Audit Report'!O161</f>
        <v/>
      </c>
      <c r="R161" t="str">
        <f>'Audit Report'!F161</f>
        <v/>
      </c>
      <c r="S161" t="str">
        <f>'Audit Report'!Q161</f>
        <v/>
      </c>
    </row>
    <row r="162" spans="4:19">
      <c r="D162" t="str">
        <f>'Audit Report'!B162</f>
        <v>ITD-X161</v>
      </c>
      <c r="E162" t="str">
        <f>'Audit Report'!C162</f>
        <v/>
      </c>
      <c r="I162" t="str">
        <f>'Audit Report'!D162</f>
        <v/>
      </c>
      <c r="J162" t="str">
        <f>'Audit Report'!H162</f>
        <v/>
      </c>
      <c r="L162" t="str">
        <f>_xlfn.TEXTJOIN(", ", FALSE, 'Audit Report'!K162,'Audit Report'!L162,'Audit Report'!M162)</f>
        <v xml:space="preserve">, , </v>
      </c>
      <c r="M162" t="str">
        <f>'Audit Report'!O162</f>
        <v/>
      </c>
      <c r="R162" t="str">
        <f>'Audit Report'!F162</f>
        <v/>
      </c>
      <c r="S162" t="str">
        <f>'Audit Report'!Q162</f>
        <v/>
      </c>
    </row>
    <row r="163" spans="4:19">
      <c r="D163" t="str">
        <f>'Audit Report'!B163</f>
        <v>ITD-X162</v>
      </c>
      <c r="E163" t="str">
        <f>'Audit Report'!C163</f>
        <v/>
      </c>
      <c r="I163" t="str">
        <f>'Audit Report'!D163</f>
        <v/>
      </c>
      <c r="J163" t="str">
        <f>'Audit Report'!H163</f>
        <v/>
      </c>
      <c r="L163" t="str">
        <f>_xlfn.TEXTJOIN(", ", FALSE, 'Audit Report'!K163,'Audit Report'!L163,'Audit Report'!M163)</f>
        <v xml:space="preserve">, , </v>
      </c>
      <c r="M163" t="str">
        <f>'Audit Report'!O163</f>
        <v/>
      </c>
      <c r="R163" t="str">
        <f>'Audit Report'!F163</f>
        <v/>
      </c>
      <c r="S163" t="str">
        <f>'Audit Report'!Q163</f>
        <v/>
      </c>
    </row>
    <row r="164" spans="4:19">
      <c r="D164" t="str">
        <f>'Audit Report'!B164</f>
        <v>ITD-X163</v>
      </c>
      <c r="E164" t="str">
        <f>'Audit Report'!C164</f>
        <v/>
      </c>
      <c r="I164" t="str">
        <f>'Audit Report'!D164</f>
        <v/>
      </c>
      <c r="J164" t="str">
        <f>'Audit Report'!H164</f>
        <v/>
      </c>
      <c r="L164" t="str">
        <f>_xlfn.TEXTJOIN(", ", FALSE, 'Audit Report'!K164,'Audit Report'!L164,'Audit Report'!M164)</f>
        <v xml:space="preserve">, , </v>
      </c>
      <c r="M164" t="str">
        <f>'Audit Report'!O164</f>
        <v/>
      </c>
      <c r="R164" t="str">
        <f>'Audit Report'!F164</f>
        <v/>
      </c>
      <c r="S164" t="str">
        <f>'Audit Report'!Q164</f>
        <v/>
      </c>
    </row>
    <row r="165" spans="4:19">
      <c r="D165" t="str">
        <f>'Audit Report'!B165</f>
        <v>ITD-X164</v>
      </c>
      <c r="E165" t="str">
        <f>'Audit Report'!C165</f>
        <v/>
      </c>
      <c r="I165" t="str">
        <f>'Audit Report'!D165</f>
        <v/>
      </c>
      <c r="J165" t="str">
        <f>'Audit Report'!H165</f>
        <v/>
      </c>
      <c r="L165" t="str">
        <f>_xlfn.TEXTJOIN(", ", FALSE, 'Audit Report'!K165,'Audit Report'!L165,'Audit Report'!M165)</f>
        <v xml:space="preserve">, , </v>
      </c>
      <c r="M165" t="str">
        <f>'Audit Report'!O165</f>
        <v/>
      </c>
      <c r="R165" t="str">
        <f>'Audit Report'!F165</f>
        <v/>
      </c>
      <c r="S165" t="str">
        <f>'Audit Report'!Q165</f>
        <v/>
      </c>
    </row>
    <row r="166" spans="4:19">
      <c r="D166" t="str">
        <f>'Audit Report'!B166</f>
        <v>ITD-X165</v>
      </c>
      <c r="E166" t="str">
        <f>'Audit Report'!C166</f>
        <v/>
      </c>
      <c r="I166" t="str">
        <f>'Audit Report'!D166</f>
        <v/>
      </c>
      <c r="J166" t="str">
        <f>'Audit Report'!H166</f>
        <v/>
      </c>
      <c r="L166" t="str">
        <f>_xlfn.TEXTJOIN(", ", FALSE, 'Audit Report'!K166,'Audit Report'!L166,'Audit Report'!M166)</f>
        <v xml:space="preserve">, , </v>
      </c>
      <c r="M166" t="str">
        <f>'Audit Report'!O166</f>
        <v/>
      </c>
      <c r="R166" t="str">
        <f>'Audit Report'!F166</f>
        <v/>
      </c>
      <c r="S166" t="str">
        <f>'Audit Report'!Q166</f>
        <v/>
      </c>
    </row>
    <row r="167" spans="4:19">
      <c r="D167" t="str">
        <f>'Audit Report'!B167</f>
        <v>ITD-X166</v>
      </c>
      <c r="E167" t="str">
        <f>'Audit Report'!C167</f>
        <v/>
      </c>
      <c r="I167" t="str">
        <f>'Audit Report'!D167</f>
        <v/>
      </c>
      <c r="J167" t="str">
        <f>'Audit Report'!H167</f>
        <v/>
      </c>
      <c r="L167" t="str">
        <f>_xlfn.TEXTJOIN(", ", FALSE, 'Audit Report'!K167,'Audit Report'!L167,'Audit Report'!M167)</f>
        <v xml:space="preserve">, , </v>
      </c>
      <c r="M167" t="str">
        <f>'Audit Report'!O167</f>
        <v/>
      </c>
      <c r="R167" t="str">
        <f>'Audit Report'!F167</f>
        <v/>
      </c>
      <c r="S167" t="str">
        <f>'Audit Report'!Q167</f>
        <v/>
      </c>
    </row>
    <row r="168" spans="4:19">
      <c r="D168" t="str">
        <f>'Audit Report'!B168</f>
        <v>ITD-X167</v>
      </c>
      <c r="E168" t="str">
        <f>'Audit Report'!C168</f>
        <v/>
      </c>
      <c r="I168" t="str">
        <f>'Audit Report'!D168</f>
        <v/>
      </c>
      <c r="J168" t="str">
        <f>'Audit Report'!H168</f>
        <v/>
      </c>
      <c r="L168" t="str">
        <f>_xlfn.TEXTJOIN(", ", FALSE, 'Audit Report'!K168,'Audit Report'!L168,'Audit Report'!M168)</f>
        <v xml:space="preserve">, , </v>
      </c>
      <c r="M168" t="str">
        <f>'Audit Report'!O168</f>
        <v/>
      </c>
      <c r="R168" t="str">
        <f>'Audit Report'!F168</f>
        <v/>
      </c>
      <c r="S168" t="str">
        <f>'Audit Report'!Q168</f>
        <v/>
      </c>
    </row>
    <row r="169" spans="4:19">
      <c r="D169" t="str">
        <f>'Audit Report'!B169</f>
        <v>ITD-X168</v>
      </c>
      <c r="E169" t="str">
        <f>'Audit Report'!C169</f>
        <v/>
      </c>
      <c r="I169" t="str">
        <f>'Audit Report'!D169</f>
        <v/>
      </c>
      <c r="J169" t="str">
        <f>'Audit Report'!H169</f>
        <v/>
      </c>
      <c r="L169" t="str">
        <f>_xlfn.TEXTJOIN(", ", FALSE, 'Audit Report'!K169,'Audit Report'!L169,'Audit Report'!M169)</f>
        <v xml:space="preserve">, , </v>
      </c>
      <c r="M169" t="str">
        <f>'Audit Report'!O169</f>
        <v/>
      </c>
      <c r="R169" t="str">
        <f>'Audit Report'!F169</f>
        <v/>
      </c>
      <c r="S169" t="str">
        <f>'Audit Report'!Q169</f>
        <v/>
      </c>
    </row>
    <row r="170" spans="4:19">
      <c r="D170" t="str">
        <f>'Audit Report'!B170</f>
        <v>ITD-X169</v>
      </c>
      <c r="E170" t="str">
        <f>'Audit Report'!C170</f>
        <v/>
      </c>
      <c r="I170" t="str">
        <f>'Audit Report'!D170</f>
        <v/>
      </c>
      <c r="J170" t="str">
        <f>'Audit Report'!H170</f>
        <v/>
      </c>
      <c r="L170" t="str">
        <f>_xlfn.TEXTJOIN(", ", FALSE, 'Audit Report'!K170,'Audit Report'!L170,'Audit Report'!M170)</f>
        <v xml:space="preserve">, , </v>
      </c>
      <c r="M170" t="str">
        <f>'Audit Report'!O170</f>
        <v>Label marks D</v>
      </c>
      <c r="R170" t="str">
        <f>'Audit Report'!F170</f>
        <v/>
      </c>
      <c r="S170" t="str">
        <f>'Audit Report'!Q170</f>
        <v/>
      </c>
    </row>
    <row r="171" spans="4:19">
      <c r="D171" t="str">
        <f>'Audit Report'!B171</f>
        <v>ITD-X170</v>
      </c>
      <c r="E171" t="str">
        <f>'Audit Report'!C171</f>
        <v/>
      </c>
      <c r="I171" t="str">
        <f>'Audit Report'!D171</f>
        <v/>
      </c>
      <c r="J171" t="str">
        <f>'Audit Report'!H171</f>
        <v/>
      </c>
      <c r="L171" t="str">
        <f>_xlfn.TEXTJOIN(", ", FALSE, 'Audit Report'!K171,'Audit Report'!L171,'Audit Report'!M171)</f>
        <v xml:space="preserve">, , </v>
      </c>
      <c r="M171" t="str">
        <f>'Audit Report'!O171</f>
        <v/>
      </c>
      <c r="R171" t="str">
        <f>'Audit Report'!F171</f>
        <v/>
      </c>
      <c r="S171" t="str">
        <f>'Audit Report'!Q171</f>
        <v/>
      </c>
    </row>
    <row r="172" spans="4:19">
      <c r="D172" t="str">
        <f>'Audit Report'!B172</f>
        <v>ITD-X171</v>
      </c>
      <c r="E172" t="str">
        <f>'Audit Report'!C172</f>
        <v/>
      </c>
      <c r="I172" t="str">
        <f>'Audit Report'!D172</f>
        <v/>
      </c>
      <c r="J172" t="str">
        <f>'Audit Report'!H172</f>
        <v/>
      </c>
      <c r="L172" t="str">
        <f>_xlfn.TEXTJOIN(", ", FALSE, 'Audit Report'!K172,'Audit Report'!L172,'Audit Report'!M172)</f>
        <v xml:space="preserve">, , </v>
      </c>
      <c r="M172" t="str">
        <f>'Audit Report'!O172</f>
        <v/>
      </c>
      <c r="R172" t="str">
        <f>'Audit Report'!F172</f>
        <v/>
      </c>
      <c r="S172" t="str">
        <f>'Audit Report'!Q172</f>
        <v/>
      </c>
    </row>
    <row r="173" spans="4:19">
      <c r="D173" t="str">
        <f>'Audit Report'!B173</f>
        <v>ITD-X172</v>
      </c>
      <c r="E173" t="str">
        <f>'Audit Report'!C173</f>
        <v/>
      </c>
      <c r="I173" t="str">
        <f>'Audit Report'!D173</f>
        <v/>
      </c>
      <c r="J173" t="str">
        <f>'Audit Report'!H173</f>
        <v/>
      </c>
      <c r="L173" t="str">
        <f>_xlfn.TEXTJOIN(", ", FALSE, 'Audit Report'!K173,'Audit Report'!L173,'Audit Report'!M173)</f>
        <v xml:space="preserve">, , </v>
      </c>
      <c r="M173" t="str">
        <f>'Audit Report'!O173</f>
        <v/>
      </c>
      <c r="R173" t="str">
        <f>'Audit Report'!F173</f>
        <v/>
      </c>
      <c r="S173" t="str">
        <f>'Audit Report'!Q173</f>
        <v/>
      </c>
    </row>
    <row r="174" spans="4:19">
      <c r="D174" t="str">
        <f>'Audit Report'!B174</f>
        <v>ITD-X173</v>
      </c>
      <c r="E174" t="str">
        <f>'Audit Report'!C174</f>
        <v/>
      </c>
      <c r="I174" t="str">
        <f>'Audit Report'!D174</f>
        <v/>
      </c>
      <c r="J174" t="str">
        <f>'Audit Report'!H174</f>
        <v/>
      </c>
      <c r="L174" t="str">
        <f>_xlfn.TEXTJOIN(", ", FALSE, 'Audit Report'!K174,'Audit Report'!L174,'Audit Report'!M174)</f>
        <v xml:space="preserve">, , </v>
      </c>
      <c r="M174" t="str">
        <f>'Audit Report'!O174</f>
        <v/>
      </c>
      <c r="R174" t="str">
        <f>'Audit Report'!F174</f>
        <v/>
      </c>
      <c r="S174" t="str">
        <f>'Audit Report'!Q174</f>
        <v/>
      </c>
    </row>
    <row r="175" spans="4:19">
      <c r="D175" t="str">
        <f>'Audit Report'!B175</f>
        <v>ITD-X174</v>
      </c>
      <c r="E175" t="str">
        <f>'Audit Report'!C175</f>
        <v/>
      </c>
      <c r="I175" t="str">
        <f>'Audit Report'!D175</f>
        <v/>
      </c>
      <c r="J175" t="str">
        <f>'Audit Report'!H175</f>
        <v/>
      </c>
      <c r="L175" t="str">
        <f>_xlfn.TEXTJOIN(", ", FALSE, 'Audit Report'!K175,'Audit Report'!L175,'Audit Report'!M175)</f>
        <v xml:space="preserve">, , </v>
      </c>
      <c r="M175" t="str">
        <f>'Audit Report'!O175</f>
        <v/>
      </c>
      <c r="R175" t="str">
        <f>'Audit Report'!F175</f>
        <v/>
      </c>
      <c r="S175" t="str">
        <f>'Audit Report'!Q175</f>
        <v/>
      </c>
    </row>
    <row r="176" spans="4:19">
      <c r="D176" t="str">
        <f>'Audit Report'!B176</f>
        <v>ITD-X175</v>
      </c>
      <c r="E176" t="str">
        <f>'Audit Report'!C176</f>
        <v/>
      </c>
      <c r="I176" t="str">
        <f>'Audit Report'!D176</f>
        <v/>
      </c>
      <c r="J176" t="str">
        <f>'Audit Report'!H176</f>
        <v/>
      </c>
      <c r="L176" t="str">
        <f>_xlfn.TEXTJOIN(", ", FALSE, 'Audit Report'!K176,'Audit Report'!L176,'Audit Report'!M176)</f>
        <v xml:space="preserve">, , </v>
      </c>
      <c r="M176" t="str">
        <f>'Audit Report'!O176</f>
        <v>US kb</v>
      </c>
      <c r="R176" t="str">
        <f>'Audit Report'!F176</f>
        <v/>
      </c>
      <c r="S176" t="str">
        <f>'Audit Report'!Q176</f>
        <v/>
      </c>
    </row>
    <row r="177" spans="4:19">
      <c r="D177" t="str">
        <f>'Audit Report'!B177</f>
        <v>ITD-X176</v>
      </c>
      <c r="E177" t="str">
        <f>'Audit Report'!C177</f>
        <v/>
      </c>
      <c r="I177" t="str">
        <f>'Audit Report'!D177</f>
        <v/>
      </c>
      <c r="J177" t="str">
        <f>'Audit Report'!H177</f>
        <v/>
      </c>
      <c r="L177" t="str">
        <f>_xlfn.TEXTJOIN(", ", FALSE, 'Audit Report'!K177,'Audit Report'!L177,'Audit Report'!M177)</f>
        <v xml:space="preserve">, , </v>
      </c>
      <c r="M177" t="str">
        <f>'Audit Report'!O177</f>
        <v/>
      </c>
      <c r="R177" t="str">
        <f>'Audit Report'!F177</f>
        <v/>
      </c>
      <c r="S177" t="str">
        <f>'Audit Report'!Q177</f>
        <v/>
      </c>
    </row>
    <row r="178" spans="4:19">
      <c r="D178" t="str">
        <f>'Audit Report'!B178</f>
        <v>ITD-X177</v>
      </c>
      <c r="E178" t="str">
        <f>'Audit Report'!C178</f>
        <v/>
      </c>
      <c r="I178" t="str">
        <f>'Audit Report'!D178</f>
        <v/>
      </c>
      <c r="J178" t="str">
        <f>'Audit Report'!H178</f>
        <v/>
      </c>
      <c r="L178" t="str">
        <f>_xlfn.TEXTJOIN(", ", FALSE, 'Audit Report'!K178,'Audit Report'!L178,'Audit Report'!M178)</f>
        <v xml:space="preserve">, , </v>
      </c>
      <c r="M178" t="str">
        <f>'Audit Report'!O178</f>
        <v>US kb</v>
      </c>
      <c r="R178" t="str">
        <f>'Audit Report'!F178</f>
        <v/>
      </c>
      <c r="S178" t="str">
        <f>'Audit Report'!Q178</f>
        <v/>
      </c>
    </row>
    <row r="179" spans="4:19">
      <c r="D179" t="str">
        <f>'Audit Report'!B179</f>
        <v>ITD-X178</v>
      </c>
      <c r="E179" t="str">
        <f>'Audit Report'!C179</f>
        <v/>
      </c>
      <c r="I179" t="str">
        <f>'Audit Report'!D179</f>
        <v/>
      </c>
      <c r="J179" t="str">
        <f>'Audit Report'!H179</f>
        <v/>
      </c>
      <c r="L179" t="str">
        <f>_xlfn.TEXTJOIN(", ", FALSE, 'Audit Report'!K179,'Audit Report'!L179,'Audit Report'!M179)</f>
        <v xml:space="preserve">, , </v>
      </c>
      <c r="M179" t="str">
        <f>'Audit Report'!O179</f>
        <v/>
      </c>
      <c r="R179" t="str">
        <f>'Audit Report'!F179</f>
        <v/>
      </c>
      <c r="S179" t="str">
        <f>'Audit Report'!Q179</f>
        <v/>
      </c>
    </row>
    <row r="180" spans="4:19">
      <c r="D180" t="str">
        <f>'Audit Report'!B180</f>
        <v>ITD-X179</v>
      </c>
      <c r="E180" t="str">
        <f>'Audit Report'!C180</f>
        <v/>
      </c>
      <c r="I180" t="str">
        <f>'Audit Report'!D180</f>
        <v/>
      </c>
      <c r="J180" t="str">
        <f>'Audit Report'!H180</f>
        <v/>
      </c>
      <c r="L180" t="str">
        <f>_xlfn.TEXTJOIN(", ", FALSE, 'Audit Report'!K180,'Audit Report'!L180,'Audit Report'!M180)</f>
        <v xml:space="preserve">, , </v>
      </c>
      <c r="M180" t="str">
        <f>'Audit Report'!O180</f>
        <v/>
      </c>
      <c r="R180" t="str">
        <f>'Audit Report'!F180</f>
        <v/>
      </c>
      <c r="S180" t="str">
        <f>'Audit Report'!Q180</f>
        <v/>
      </c>
    </row>
    <row r="181" spans="4:19">
      <c r="D181" t="str">
        <f>'Audit Report'!B181</f>
        <v>ITD-X180</v>
      </c>
      <c r="E181" t="str">
        <f>'Audit Report'!C181</f>
        <v/>
      </c>
      <c r="I181" t="str">
        <f>'Audit Report'!D181</f>
        <v/>
      </c>
      <c r="J181" t="str">
        <f>'Audit Report'!H181</f>
        <v/>
      </c>
      <c r="L181" t="str">
        <f>_xlfn.TEXTJOIN(", ", FALSE, 'Audit Report'!K181,'Audit Report'!L181,'Audit Report'!M181)</f>
        <v xml:space="preserve">, , </v>
      </c>
      <c r="M181" t="str">
        <f>'Audit Report'!O181</f>
        <v/>
      </c>
      <c r="R181" t="str">
        <f>'Audit Report'!F181</f>
        <v/>
      </c>
      <c r="S181" t="str">
        <f>'Audit Report'!Q181</f>
        <v/>
      </c>
    </row>
    <row r="182" spans="4:19">
      <c r="D182" t="str">
        <f>'Audit Report'!B182</f>
        <v>ITD-X181</v>
      </c>
      <c r="E182" t="str">
        <f>'Audit Report'!C182</f>
        <v/>
      </c>
      <c r="I182" t="str">
        <f>'Audit Report'!D182</f>
        <v/>
      </c>
      <c r="J182" t="str">
        <f>'Audit Report'!H182</f>
        <v/>
      </c>
      <c r="L182" t="str">
        <f>_xlfn.TEXTJOIN(", ", FALSE, 'Audit Report'!K182,'Audit Report'!L182,'Audit Report'!M182)</f>
        <v xml:space="preserve">, , </v>
      </c>
      <c r="M182" t="str">
        <f>'Audit Report'!O182</f>
        <v/>
      </c>
      <c r="R182" t="str">
        <f>'Audit Report'!F182</f>
        <v/>
      </c>
      <c r="S182" t="str">
        <f>'Audit Report'!Q182</f>
        <v/>
      </c>
    </row>
    <row r="183" spans="4:19">
      <c r="D183" t="str">
        <f>'Audit Report'!B183</f>
        <v>ITD-X182</v>
      </c>
      <c r="E183" t="str">
        <f>'Audit Report'!C183</f>
        <v/>
      </c>
      <c r="I183" t="str">
        <f>'Audit Report'!D183</f>
        <v/>
      </c>
      <c r="J183" t="str">
        <f>'Audit Report'!H183</f>
        <v/>
      </c>
      <c r="L183" t="str">
        <f>_xlfn.TEXTJOIN(", ", FALSE, 'Audit Report'!K183,'Audit Report'!L183,'Audit Report'!M183)</f>
        <v xml:space="preserve">, , </v>
      </c>
      <c r="M183" t="str">
        <f>'Audit Report'!O183</f>
        <v/>
      </c>
      <c r="R183" t="str">
        <f>'Audit Report'!F183</f>
        <v/>
      </c>
      <c r="S183" t="str">
        <f>'Audit Report'!Q183</f>
        <v/>
      </c>
    </row>
    <row r="184" spans="4:19">
      <c r="D184" t="str">
        <f>'Audit Report'!B184</f>
        <v>ITD-X183</v>
      </c>
      <c r="E184" t="str">
        <f>'Audit Report'!C184</f>
        <v/>
      </c>
      <c r="I184" t="str">
        <f>'Audit Report'!D184</f>
        <v/>
      </c>
      <c r="J184" t="str">
        <f>'Audit Report'!H184</f>
        <v/>
      </c>
      <c r="L184" t="str">
        <f>_xlfn.TEXTJOIN(", ", FALSE, 'Audit Report'!K184,'Audit Report'!L184,'Audit Report'!M184)</f>
        <v xml:space="preserve">, , </v>
      </c>
      <c r="M184" t="str">
        <f>'Audit Report'!O184</f>
        <v/>
      </c>
      <c r="R184" t="str">
        <f>'Audit Report'!F184</f>
        <v/>
      </c>
      <c r="S184" t="str">
        <f>'Audit Report'!Q184</f>
        <v/>
      </c>
    </row>
    <row r="185" spans="4:19">
      <c r="D185" t="str">
        <f>'Audit Report'!B185</f>
        <v>ITD-X184</v>
      </c>
      <c r="E185" t="str">
        <f>'Audit Report'!C185</f>
        <v/>
      </c>
      <c r="I185" t="str">
        <f>'Audit Report'!D185</f>
        <v/>
      </c>
      <c r="J185" t="str">
        <f>'Audit Report'!H185</f>
        <v/>
      </c>
      <c r="L185" t="str">
        <f>_xlfn.TEXTJOIN(", ", FALSE, 'Audit Report'!K185,'Audit Report'!L185,'Audit Report'!M185)</f>
        <v xml:space="preserve">, , </v>
      </c>
      <c r="M185" t="str">
        <f>'Audit Report'!O185</f>
        <v/>
      </c>
      <c r="R185" t="str">
        <f>'Audit Report'!F185</f>
        <v/>
      </c>
      <c r="S185" t="str">
        <f>'Audit Report'!Q185</f>
        <v/>
      </c>
    </row>
    <row r="186" spans="4:19">
      <c r="D186" t="str">
        <f>'Audit Report'!B186</f>
        <v>ITD-X185</v>
      </c>
      <c r="E186" t="str">
        <f>'Audit Report'!C186</f>
        <v/>
      </c>
      <c r="I186" t="str">
        <f>'Audit Report'!D186</f>
        <v/>
      </c>
      <c r="J186" t="str">
        <f>'Audit Report'!H186</f>
        <v/>
      </c>
      <c r="L186" t="str">
        <f>_xlfn.TEXTJOIN(", ", FALSE, 'Audit Report'!K186,'Audit Report'!L186,'Audit Report'!M186)</f>
        <v xml:space="preserve">, , </v>
      </c>
      <c r="M186" t="str">
        <f>'Audit Report'!O186</f>
        <v/>
      </c>
      <c r="R186" t="str">
        <f>'Audit Report'!F186</f>
        <v/>
      </c>
      <c r="S186" t="str">
        <f>'Audit Report'!Q186</f>
        <v/>
      </c>
    </row>
    <row r="187" spans="4:19">
      <c r="D187" t="str">
        <f>'Audit Report'!B187</f>
        <v>ITD-X186</v>
      </c>
      <c r="E187" t="str">
        <f>'Audit Report'!C187</f>
        <v/>
      </c>
      <c r="I187" t="str">
        <f>'Audit Report'!D187</f>
        <v/>
      </c>
      <c r="J187" t="str">
        <f>'Audit Report'!H187</f>
        <v/>
      </c>
      <c r="L187" t="str">
        <f>_xlfn.TEXTJOIN(", ", FALSE, 'Audit Report'!K187,'Audit Report'!L187,'Audit Report'!M187)</f>
        <v xml:space="preserve">, , </v>
      </c>
      <c r="M187" t="str">
        <f>'Audit Report'!O187</f>
        <v/>
      </c>
      <c r="R187" t="str">
        <f>'Audit Report'!F187</f>
        <v/>
      </c>
      <c r="S187" t="str">
        <f>'Audit Report'!Q187</f>
        <v/>
      </c>
    </row>
    <row r="188" spans="4:19">
      <c r="D188" t="str">
        <f>'Audit Report'!B188</f>
        <v>ITD-X187</v>
      </c>
      <c r="E188" t="str">
        <f>'Audit Report'!C188</f>
        <v/>
      </c>
      <c r="I188" t="str">
        <f>'Audit Report'!D188</f>
        <v/>
      </c>
      <c r="J188" t="str">
        <f>'Audit Report'!H188</f>
        <v/>
      </c>
      <c r="L188" t="str">
        <f>_xlfn.TEXTJOIN(", ", FALSE, 'Audit Report'!K188,'Audit Report'!L188,'Audit Report'!M188)</f>
        <v xml:space="preserve">, , </v>
      </c>
      <c r="M188" t="str">
        <f>'Audit Report'!O188</f>
        <v/>
      </c>
      <c r="R188" t="str">
        <f>'Audit Report'!F188</f>
        <v/>
      </c>
      <c r="S188" t="str">
        <f>'Audit Report'!Q188</f>
        <v/>
      </c>
    </row>
    <row r="189" spans="4:19">
      <c r="D189" t="str">
        <f>'Audit Report'!B189</f>
        <v>ITD-X188</v>
      </c>
      <c r="E189" t="str">
        <f>'Audit Report'!C189</f>
        <v/>
      </c>
      <c r="I189" t="str">
        <f>'Audit Report'!D189</f>
        <v/>
      </c>
      <c r="J189" t="str">
        <f>'Audit Report'!H189</f>
        <v/>
      </c>
      <c r="L189" t="str">
        <f>_xlfn.TEXTJOIN(", ", FALSE, 'Audit Report'!K189,'Audit Report'!L189,'Audit Report'!M189)</f>
        <v xml:space="preserve">, , </v>
      </c>
      <c r="M189" t="str">
        <f>'Audit Report'!O189</f>
        <v/>
      </c>
      <c r="R189" t="str">
        <f>'Audit Report'!F189</f>
        <v/>
      </c>
      <c r="S189" t="str">
        <f>'Audit Report'!Q189</f>
        <v/>
      </c>
    </row>
    <row r="190" spans="4:19">
      <c r="D190" t="str">
        <f>'Audit Report'!B190</f>
        <v>ITD-X189</v>
      </c>
      <c r="E190" t="str">
        <f>'Audit Report'!C190</f>
        <v/>
      </c>
      <c r="I190" t="str">
        <f>'Audit Report'!D190</f>
        <v/>
      </c>
      <c r="J190" t="str">
        <f>'Audit Report'!H190</f>
        <v/>
      </c>
      <c r="L190" t="str">
        <f>_xlfn.TEXTJOIN(", ", FALSE, 'Audit Report'!K190,'Audit Report'!L190,'Audit Report'!M190)</f>
        <v xml:space="preserve">, , </v>
      </c>
      <c r="M190" t="str">
        <f>'Audit Report'!O190</f>
        <v/>
      </c>
      <c r="R190" t="str">
        <f>'Audit Report'!F190</f>
        <v/>
      </c>
      <c r="S190" t="str">
        <f>'Audit Report'!Q190</f>
        <v/>
      </c>
    </row>
    <row r="191" spans="4:19">
      <c r="D191" t="str">
        <f>'Audit Report'!B191</f>
        <v>ITD-X190</v>
      </c>
      <c r="E191" t="str">
        <f>'Audit Report'!C191</f>
        <v/>
      </c>
      <c r="I191" t="str">
        <f>'Audit Report'!D191</f>
        <v/>
      </c>
      <c r="J191" t="str">
        <f>'Audit Report'!H191</f>
        <v/>
      </c>
      <c r="L191" t="str">
        <f>_xlfn.TEXTJOIN(", ", FALSE, 'Audit Report'!K191,'Audit Report'!L191,'Audit Report'!M191)</f>
        <v xml:space="preserve">, , </v>
      </c>
      <c r="M191" t="str">
        <f>'Audit Report'!O191</f>
        <v/>
      </c>
      <c r="R191" t="str">
        <f>'Audit Report'!F191</f>
        <v/>
      </c>
      <c r="S191" t="str">
        <f>'Audit Report'!Q191</f>
        <v/>
      </c>
    </row>
    <row r="192" spans="4:19">
      <c r="D192" t="str">
        <f>'Audit Report'!B192</f>
        <v>ITD-X191</v>
      </c>
      <c r="E192" t="str">
        <f>'Audit Report'!C192</f>
        <v/>
      </c>
      <c r="I192" t="str">
        <f>'Audit Report'!D192</f>
        <v/>
      </c>
      <c r="J192" t="str">
        <f>'Audit Report'!H192</f>
        <v/>
      </c>
      <c r="L192" t="str">
        <f>_xlfn.TEXTJOIN(", ", FALSE, 'Audit Report'!K192,'Audit Report'!L192,'Audit Report'!M192)</f>
        <v xml:space="preserve">, , </v>
      </c>
      <c r="M192" t="str">
        <f>'Audit Report'!O192</f>
        <v/>
      </c>
      <c r="R192" t="str">
        <f>'Audit Report'!F192</f>
        <v/>
      </c>
      <c r="S192" t="str">
        <f>'Audit Report'!Q192</f>
        <v/>
      </c>
    </row>
    <row r="193" spans="4:19">
      <c r="D193" t="str">
        <f>'Audit Report'!B193</f>
        <v>ITD-X192</v>
      </c>
      <c r="E193" t="str">
        <f>'Audit Report'!C193</f>
        <v/>
      </c>
      <c r="I193" t="str">
        <f>'Audit Report'!D193</f>
        <v/>
      </c>
      <c r="J193" t="str">
        <f>'Audit Report'!H193</f>
        <v/>
      </c>
      <c r="L193" t="str">
        <f>_xlfn.TEXTJOIN(", ", FALSE, 'Audit Report'!K193,'Audit Report'!L193,'Audit Report'!M193)</f>
        <v xml:space="preserve">, , </v>
      </c>
      <c r="M193" t="str">
        <f>'Audit Report'!O193</f>
        <v/>
      </c>
      <c r="R193" t="str">
        <f>'Audit Report'!F193</f>
        <v/>
      </c>
      <c r="S193" t="str">
        <f>'Audit Report'!Q193</f>
        <v/>
      </c>
    </row>
    <row r="194" spans="4:19">
      <c r="D194" t="str">
        <f>'Audit Report'!B194</f>
        <v>ITD-X193</v>
      </c>
      <c r="E194" t="str">
        <f>'Audit Report'!C194</f>
        <v/>
      </c>
      <c r="I194" t="str">
        <f>'Audit Report'!D194</f>
        <v/>
      </c>
      <c r="J194" t="str">
        <f>'Audit Report'!H194</f>
        <v/>
      </c>
      <c r="L194" t="str">
        <f>_xlfn.TEXTJOIN(", ", FALSE, 'Audit Report'!K194,'Audit Report'!L194,'Audit Report'!M194)</f>
        <v xml:space="preserve">, , </v>
      </c>
      <c r="M194" t="str">
        <f>'Audit Report'!O194</f>
        <v/>
      </c>
      <c r="R194" t="str">
        <f>'Audit Report'!F194</f>
        <v/>
      </c>
      <c r="S194" t="str">
        <f>'Audit Report'!Q194</f>
        <v/>
      </c>
    </row>
    <row r="195" spans="4:19">
      <c r="D195" t="str">
        <f>'Audit Report'!B195</f>
        <v>ITD-X194</v>
      </c>
      <c r="E195" t="str">
        <f>'Audit Report'!C195</f>
        <v/>
      </c>
      <c r="I195" t="str">
        <f>'Audit Report'!D195</f>
        <v/>
      </c>
      <c r="J195" t="str">
        <f>'Audit Report'!H195</f>
        <v/>
      </c>
      <c r="L195" t="str">
        <f>_xlfn.TEXTJOIN(", ", FALSE, 'Audit Report'!K195,'Audit Report'!L195,'Audit Report'!M195)</f>
        <v xml:space="preserve">, , </v>
      </c>
      <c r="M195" t="str">
        <f>'Audit Report'!O195</f>
        <v/>
      </c>
      <c r="R195" t="str">
        <f>'Audit Report'!F195</f>
        <v/>
      </c>
      <c r="S195" t="str">
        <f>'Audit Report'!Q195</f>
        <v/>
      </c>
    </row>
    <row r="196" spans="4:19">
      <c r="D196" t="str">
        <f>'Audit Report'!B196</f>
        <v>ITD-X195</v>
      </c>
      <c r="E196" t="str">
        <f>'Audit Report'!C196</f>
        <v/>
      </c>
      <c r="I196" t="str">
        <f>'Audit Report'!D196</f>
        <v/>
      </c>
      <c r="J196" t="str">
        <f>'Audit Report'!H196</f>
        <v/>
      </c>
      <c r="L196" t="str">
        <f>_xlfn.TEXTJOIN(", ", FALSE, 'Audit Report'!K196,'Audit Report'!L196,'Audit Report'!M196)</f>
        <v xml:space="preserve">, , </v>
      </c>
      <c r="M196" t="str">
        <f>'Audit Report'!O196</f>
        <v>Label marks C</v>
      </c>
      <c r="R196" t="str">
        <f>'Audit Report'!F196</f>
        <v/>
      </c>
      <c r="S196" t="str">
        <f>'Audit Report'!Q196</f>
        <v/>
      </c>
    </row>
    <row r="197" spans="4:19">
      <c r="D197" t="str">
        <f>'Audit Report'!B197</f>
        <v>ITD-X196</v>
      </c>
      <c r="E197" t="str">
        <f>'Audit Report'!C197</f>
        <v/>
      </c>
      <c r="I197" t="str">
        <f>'Audit Report'!D197</f>
        <v/>
      </c>
      <c r="J197" t="str">
        <f>'Audit Report'!H197</f>
        <v/>
      </c>
      <c r="L197" t="str">
        <f>_xlfn.TEXTJOIN(", ", FALSE, 'Audit Report'!K197,'Audit Report'!L197,'Audit Report'!M197)</f>
        <v xml:space="preserve">, , </v>
      </c>
      <c r="M197" t="str">
        <f>'Audit Report'!O197</f>
        <v/>
      </c>
      <c r="R197" t="str">
        <f>'Audit Report'!F197</f>
        <v/>
      </c>
      <c r="S197" t="str">
        <f>'Audit Report'!Q197</f>
        <v/>
      </c>
    </row>
    <row r="198" spans="4:19">
      <c r="D198" t="str">
        <f>'Audit Report'!B198</f>
        <v>ITD-X197</v>
      </c>
      <c r="E198" t="str">
        <f>'Audit Report'!C198</f>
        <v/>
      </c>
      <c r="I198" t="str">
        <f>'Audit Report'!D198</f>
        <v/>
      </c>
      <c r="J198" t="str">
        <f>'Audit Report'!H198</f>
        <v/>
      </c>
      <c r="L198" t="str">
        <f>_xlfn.TEXTJOIN(", ", FALSE, 'Audit Report'!K198,'Audit Report'!L198,'Audit Report'!M198)</f>
        <v xml:space="preserve">, , </v>
      </c>
      <c r="M198" t="str">
        <f>'Audit Report'!O198</f>
        <v/>
      </c>
      <c r="R198" t="str">
        <f>'Audit Report'!F198</f>
        <v/>
      </c>
      <c r="S198" t="str">
        <f>'Audit Report'!Q198</f>
        <v/>
      </c>
    </row>
    <row r="199" spans="4:19">
      <c r="D199" t="str">
        <f>'Audit Report'!B199</f>
        <v>ITD-X198</v>
      </c>
      <c r="E199" t="str">
        <f>'Audit Report'!C199</f>
        <v/>
      </c>
      <c r="I199" t="str">
        <f>'Audit Report'!D199</f>
        <v/>
      </c>
      <c r="J199" t="str">
        <f>'Audit Report'!H199</f>
        <v/>
      </c>
      <c r="L199" t="str">
        <f>_xlfn.TEXTJOIN(", ", FALSE, 'Audit Report'!K199,'Audit Report'!L199,'Audit Report'!M199)</f>
        <v xml:space="preserve">, , </v>
      </c>
      <c r="M199" t="str">
        <f>'Audit Report'!O199</f>
        <v>Label marks D</v>
      </c>
      <c r="R199" t="str">
        <f>'Audit Report'!F199</f>
        <v/>
      </c>
      <c r="S199" t="str">
        <f>'Audit Report'!Q199</f>
        <v/>
      </c>
    </row>
    <row r="200" spans="4:19">
      <c r="D200" t="str">
        <f>'Audit Report'!B200</f>
        <v>ITD-X199</v>
      </c>
      <c r="E200" t="str">
        <f>'Audit Report'!C200</f>
        <v/>
      </c>
      <c r="I200" t="str">
        <f>'Audit Report'!D200</f>
        <v/>
      </c>
      <c r="J200" t="str">
        <f>'Audit Report'!H200</f>
        <v/>
      </c>
      <c r="L200" t="str">
        <f>_xlfn.TEXTJOIN(", ", FALSE, 'Audit Report'!K200,'Audit Report'!L200,'Audit Report'!M200)</f>
        <v xml:space="preserve">, , </v>
      </c>
      <c r="M200" t="str">
        <f>'Audit Report'!O200</f>
        <v/>
      </c>
      <c r="R200" t="str">
        <f>'Audit Report'!F200</f>
        <v/>
      </c>
      <c r="S200" t="str">
        <f>'Audit Report'!Q200</f>
        <v/>
      </c>
    </row>
    <row r="201" spans="4:19">
      <c r="D201" t="str">
        <f>'Audit Report'!B201</f>
        <v>ITD-X200</v>
      </c>
      <c r="E201" t="str">
        <f>'Audit Report'!C201</f>
        <v/>
      </c>
      <c r="I201" t="str">
        <f>'Audit Report'!D201</f>
        <v/>
      </c>
      <c r="J201" t="str">
        <f>'Audit Report'!H201</f>
        <v/>
      </c>
      <c r="L201" t="str">
        <f>_xlfn.TEXTJOIN(", ", FALSE, 'Audit Report'!K201,'Audit Report'!L201,'Audit Report'!M201)</f>
        <v xml:space="preserve">, , </v>
      </c>
      <c r="M201" t="str">
        <f>'Audit Report'!O201</f>
        <v/>
      </c>
      <c r="R201" t="str">
        <f>'Audit Report'!F201</f>
        <v/>
      </c>
      <c r="S201" t="str">
        <f>'Audit Report'!Q201</f>
        <v/>
      </c>
    </row>
    <row r="202" spans="4:19">
      <c r="D202" t="str">
        <f>'Audit Report'!B202</f>
        <v>ITD-X201</v>
      </c>
      <c r="E202" t="str">
        <f>'Audit Report'!C202</f>
        <v/>
      </c>
      <c r="I202" t="str">
        <f>'Audit Report'!D202</f>
        <v/>
      </c>
      <c r="J202" t="str">
        <f>'Audit Report'!H202</f>
        <v/>
      </c>
      <c r="L202" t="str">
        <f>_xlfn.TEXTJOIN(", ", FALSE, 'Audit Report'!K202,'Audit Report'!L202,'Audit Report'!M202)</f>
        <v xml:space="preserve">, , </v>
      </c>
      <c r="M202" t="str">
        <f>'Audit Report'!O202</f>
        <v/>
      </c>
      <c r="R202" t="str">
        <f>'Audit Report'!F202</f>
        <v/>
      </c>
      <c r="S202" t="str">
        <f>'Audit Report'!Q202</f>
        <v/>
      </c>
    </row>
    <row r="203" spans="4:19">
      <c r="D203" t="str">
        <f>'Audit Report'!B203</f>
        <v>ITD-X202</v>
      </c>
      <c r="E203" t="str">
        <f>'Audit Report'!C203</f>
        <v/>
      </c>
      <c r="I203" t="str">
        <f>'Audit Report'!D203</f>
        <v/>
      </c>
      <c r="J203" t="str">
        <f>'Audit Report'!H203</f>
        <v/>
      </c>
      <c r="L203" t="str">
        <f>_xlfn.TEXTJOIN(", ", FALSE, 'Audit Report'!K203,'Audit Report'!L203,'Audit Report'!M203)</f>
        <v xml:space="preserve">, , </v>
      </c>
      <c r="M203" t="str">
        <f>'Audit Report'!O203</f>
        <v/>
      </c>
      <c r="R203" t="str">
        <f>'Audit Report'!F203</f>
        <v/>
      </c>
      <c r="S203" t="str">
        <f>'Audit Report'!Q203</f>
        <v/>
      </c>
    </row>
    <row r="204" spans="4:19">
      <c r="D204" t="str">
        <f>'Audit Report'!B204</f>
        <v>ITD-X203</v>
      </c>
      <c r="E204" t="str">
        <f>'Audit Report'!C204</f>
        <v/>
      </c>
      <c r="I204" t="str">
        <f>'Audit Report'!D204</f>
        <v/>
      </c>
      <c r="J204" t="str">
        <f>'Audit Report'!H204</f>
        <v/>
      </c>
      <c r="L204" t="str">
        <f>_xlfn.TEXTJOIN(", ", FALSE, 'Audit Report'!K204,'Audit Report'!L204,'Audit Report'!M204)</f>
        <v xml:space="preserve">, , </v>
      </c>
      <c r="M204" t="str">
        <f>'Audit Report'!O204</f>
        <v/>
      </c>
      <c r="R204" t="str">
        <f>'Audit Report'!F204</f>
        <v/>
      </c>
      <c r="S204" t="str">
        <f>'Audit Report'!Q204</f>
        <v/>
      </c>
    </row>
    <row r="205" spans="4:19">
      <c r="D205" t="str">
        <f>'Audit Report'!B205</f>
        <v>ITD-X204</v>
      </c>
      <c r="E205" t="str">
        <f>'Audit Report'!C205</f>
        <v/>
      </c>
      <c r="I205" t="str">
        <f>'Audit Report'!D205</f>
        <v/>
      </c>
      <c r="J205" t="str">
        <f>'Audit Report'!H205</f>
        <v/>
      </c>
      <c r="L205" t="str">
        <f>_xlfn.TEXTJOIN(", ", FALSE, 'Audit Report'!K205,'Audit Report'!L205,'Audit Report'!M205)</f>
        <v xml:space="preserve">, , </v>
      </c>
      <c r="M205" t="str">
        <f>'Audit Report'!O205</f>
        <v/>
      </c>
      <c r="R205" t="str">
        <f>'Audit Report'!F205</f>
        <v/>
      </c>
      <c r="S205" t="str">
        <f>'Audit Report'!Q205</f>
        <v/>
      </c>
    </row>
    <row r="206" spans="4:19">
      <c r="D206" t="str">
        <f>'Audit Report'!B206</f>
        <v>ITD-X205</v>
      </c>
      <c r="E206" t="str">
        <f>'Audit Report'!C206</f>
        <v/>
      </c>
      <c r="I206" t="str">
        <f>'Audit Report'!D206</f>
        <v/>
      </c>
      <c r="J206" t="str">
        <f>'Audit Report'!H206</f>
        <v/>
      </c>
      <c r="L206" t="str">
        <f>_xlfn.TEXTJOIN(", ", FALSE, 'Audit Report'!K206,'Audit Report'!L206,'Audit Report'!M206)</f>
        <v xml:space="preserve">, , </v>
      </c>
      <c r="M206" t="str">
        <f>'Audit Report'!O206</f>
        <v/>
      </c>
      <c r="R206" t="str">
        <f>'Audit Report'!F206</f>
        <v/>
      </c>
      <c r="S206" t="str">
        <f>'Audit Report'!Q206</f>
        <v/>
      </c>
    </row>
    <row r="207" spans="4:19">
      <c r="D207" t="str">
        <f>'Audit Report'!B207</f>
        <v>ITD-X206</v>
      </c>
      <c r="E207" t="str">
        <f>'Audit Report'!C207</f>
        <v/>
      </c>
      <c r="I207" t="str">
        <f>'Audit Report'!D207</f>
        <v/>
      </c>
      <c r="J207" t="str">
        <f>'Audit Report'!H207</f>
        <v/>
      </c>
      <c r="L207" t="str">
        <f>_xlfn.TEXTJOIN(", ", FALSE, 'Audit Report'!K207,'Audit Report'!L207,'Audit Report'!M207)</f>
        <v xml:space="preserve">, , </v>
      </c>
      <c r="M207" t="str">
        <f>'Audit Report'!O207</f>
        <v/>
      </c>
      <c r="R207" t="str">
        <f>'Audit Report'!F207</f>
        <v/>
      </c>
      <c r="S207" t="str">
        <f>'Audit Report'!Q207</f>
        <v/>
      </c>
    </row>
    <row r="208" spans="4:19">
      <c r="D208" t="str">
        <f>'Audit Report'!B208</f>
        <v>ITD-X207</v>
      </c>
      <c r="E208" t="str">
        <f>'Audit Report'!C208</f>
        <v/>
      </c>
      <c r="I208" t="str">
        <f>'Audit Report'!D208</f>
        <v/>
      </c>
      <c r="J208" t="str">
        <f>'Audit Report'!H208</f>
        <v/>
      </c>
      <c r="L208" t="str">
        <f>_xlfn.TEXTJOIN(", ", FALSE, 'Audit Report'!K208,'Audit Report'!L208,'Audit Report'!M208)</f>
        <v xml:space="preserve">, , </v>
      </c>
      <c r="M208" t="str">
        <f>'Audit Report'!O208</f>
        <v/>
      </c>
      <c r="R208" t="str">
        <f>'Audit Report'!F208</f>
        <v/>
      </c>
      <c r="S208" t="str">
        <f>'Audit Report'!Q208</f>
        <v/>
      </c>
    </row>
    <row r="209" spans="4:19">
      <c r="D209" t="str">
        <f>'Audit Report'!B209</f>
        <v>ITD-X208</v>
      </c>
      <c r="E209" t="str">
        <f>'Audit Report'!C209</f>
        <v/>
      </c>
      <c r="I209" t="str">
        <f>'Audit Report'!D209</f>
        <v/>
      </c>
      <c r="J209" t="str">
        <f>'Audit Report'!H209</f>
        <v/>
      </c>
      <c r="L209" t="str">
        <f>_xlfn.TEXTJOIN(", ", FALSE, 'Audit Report'!K209,'Audit Report'!L209,'Audit Report'!M209)</f>
        <v xml:space="preserve">, , </v>
      </c>
      <c r="M209" t="str">
        <f>'Audit Report'!O209</f>
        <v/>
      </c>
      <c r="R209" t="str">
        <f>'Audit Report'!F209</f>
        <v/>
      </c>
      <c r="S209" t="str">
        <f>'Audit Report'!Q209</f>
        <v/>
      </c>
    </row>
    <row r="210" spans="4:19">
      <c r="D210" t="str">
        <f>'Audit Report'!B210</f>
        <v>ITD-X209</v>
      </c>
      <c r="E210" t="str">
        <f>'Audit Report'!C210</f>
        <v/>
      </c>
      <c r="I210" t="str">
        <f>'Audit Report'!D210</f>
        <v/>
      </c>
      <c r="J210" t="str">
        <f>'Audit Report'!H210</f>
        <v/>
      </c>
      <c r="L210" t="str">
        <f>_xlfn.TEXTJOIN(", ", FALSE, 'Audit Report'!K210,'Audit Report'!L210,'Audit Report'!M210)</f>
        <v xml:space="preserve">, , </v>
      </c>
      <c r="M210" t="str">
        <f>'Audit Report'!O210</f>
        <v/>
      </c>
      <c r="R210" t="str">
        <f>'Audit Report'!F210</f>
        <v/>
      </c>
      <c r="S210" t="str">
        <f>'Audit Report'!Q210</f>
        <v/>
      </c>
    </row>
    <row r="211" spans="4:19">
      <c r="D211" t="str">
        <f>'Audit Report'!B211</f>
        <v>ITD-X210</v>
      </c>
      <c r="E211" t="str">
        <f>'Audit Report'!C211</f>
        <v/>
      </c>
      <c r="I211" t="str">
        <f>'Audit Report'!D211</f>
        <v/>
      </c>
      <c r="J211" t="str">
        <f>'Audit Report'!H211</f>
        <v/>
      </c>
      <c r="L211" t="str">
        <f>_xlfn.TEXTJOIN(", ", FALSE, 'Audit Report'!K211,'Audit Report'!L211,'Audit Report'!M211)</f>
        <v xml:space="preserve">, , </v>
      </c>
      <c r="M211" t="str">
        <f>'Audit Report'!O211</f>
        <v/>
      </c>
      <c r="R211" t="str">
        <f>'Audit Report'!F211</f>
        <v/>
      </c>
      <c r="S211" t="str">
        <f>'Audit Report'!Q211</f>
        <v/>
      </c>
    </row>
    <row r="212" spans="4:19">
      <c r="D212" t="str">
        <f>'Audit Report'!B212</f>
        <v>ITD-X211</v>
      </c>
      <c r="E212" t="str">
        <f>'Audit Report'!C212</f>
        <v/>
      </c>
      <c r="I212" t="str">
        <f>'Audit Report'!D212</f>
        <v/>
      </c>
      <c r="J212" t="str">
        <f>'Audit Report'!H212</f>
        <v/>
      </c>
      <c r="L212" t="str">
        <f>_xlfn.TEXTJOIN(", ", FALSE, 'Audit Report'!K212,'Audit Report'!L212,'Audit Report'!M212)</f>
        <v xml:space="preserve">, , </v>
      </c>
      <c r="M212" t="str">
        <f>'Audit Report'!O212</f>
        <v/>
      </c>
      <c r="R212" t="str">
        <f>'Audit Report'!F212</f>
        <v/>
      </c>
      <c r="S212" t="str">
        <f>'Audit Report'!Q212</f>
        <v/>
      </c>
    </row>
    <row r="213" spans="4:19">
      <c r="D213" t="str">
        <f>'Audit Report'!B213</f>
        <v>ITD-X212</v>
      </c>
      <c r="E213" t="str">
        <f>'Audit Report'!C213</f>
        <v/>
      </c>
      <c r="I213" t="str">
        <f>'Audit Report'!D213</f>
        <v/>
      </c>
      <c r="J213" t="str">
        <f>'Audit Report'!H213</f>
        <v/>
      </c>
      <c r="L213" t="str">
        <f>_xlfn.TEXTJOIN(", ", FALSE, 'Audit Report'!K213,'Audit Report'!L213,'Audit Report'!M213)</f>
        <v xml:space="preserve">, , </v>
      </c>
      <c r="M213" t="str">
        <f>'Audit Report'!O213</f>
        <v/>
      </c>
      <c r="R213" t="str">
        <f>'Audit Report'!F213</f>
        <v/>
      </c>
      <c r="S213" t="str">
        <f>'Audit Report'!Q213</f>
        <v/>
      </c>
    </row>
    <row r="214" spans="4:19">
      <c r="D214" t="str">
        <f>'Audit Report'!B214</f>
        <v>ITD-X213</v>
      </c>
      <c r="E214" t="str">
        <f>'Audit Report'!C214</f>
        <v/>
      </c>
      <c r="I214" t="str">
        <f>'Audit Report'!D214</f>
        <v/>
      </c>
      <c r="J214" t="str">
        <f>'Audit Report'!H214</f>
        <v/>
      </c>
      <c r="L214" t="str">
        <f>_xlfn.TEXTJOIN(", ", FALSE, 'Audit Report'!K214,'Audit Report'!L214,'Audit Report'!M214)</f>
        <v xml:space="preserve">, , </v>
      </c>
      <c r="M214" t="str">
        <f>'Audit Report'!O214</f>
        <v/>
      </c>
      <c r="R214" t="str">
        <f>'Audit Report'!F214</f>
        <v/>
      </c>
      <c r="S214" t="str">
        <f>'Audit Report'!Q214</f>
        <v/>
      </c>
    </row>
    <row r="215" spans="4:19">
      <c r="D215" t="str">
        <f>'Audit Report'!B215</f>
        <v>ITD-X214</v>
      </c>
      <c r="E215" t="str">
        <f>'Audit Report'!C215</f>
        <v/>
      </c>
      <c r="I215" t="str">
        <f>'Audit Report'!D215</f>
        <v/>
      </c>
      <c r="J215" t="str">
        <f>'Audit Report'!H215</f>
        <v/>
      </c>
      <c r="L215" t="str">
        <f>_xlfn.TEXTJOIN(", ", FALSE, 'Audit Report'!K215,'Audit Report'!L215,'Audit Report'!M215)</f>
        <v xml:space="preserve">, , </v>
      </c>
      <c r="M215" t="str">
        <f>'Audit Report'!O215</f>
        <v/>
      </c>
      <c r="R215" t="str">
        <f>'Audit Report'!F215</f>
        <v/>
      </c>
      <c r="S215" t="str">
        <f>'Audit Report'!Q215</f>
        <v/>
      </c>
    </row>
    <row r="216" spans="4:19">
      <c r="D216" t="str">
        <f>'Audit Report'!B216</f>
        <v>ITD-X215</v>
      </c>
      <c r="E216" t="str">
        <f>'Audit Report'!C216</f>
        <v/>
      </c>
      <c r="I216" t="str">
        <f>'Audit Report'!D216</f>
        <v/>
      </c>
      <c r="J216" t="str">
        <f>'Audit Report'!H216</f>
        <v/>
      </c>
      <c r="L216" t="str">
        <f>_xlfn.TEXTJOIN(", ", FALSE, 'Audit Report'!K216,'Audit Report'!L216,'Audit Report'!M216)</f>
        <v xml:space="preserve">, , </v>
      </c>
      <c r="M216" t="str">
        <f>'Audit Report'!O216</f>
        <v/>
      </c>
      <c r="R216" t="str">
        <f>'Audit Report'!F216</f>
        <v/>
      </c>
      <c r="S216" t="str">
        <f>'Audit Report'!Q216</f>
        <v/>
      </c>
    </row>
    <row r="217" spans="4:19">
      <c r="D217" t="str">
        <f>'Audit Report'!B217</f>
        <v>ITD-X216</v>
      </c>
      <c r="E217" t="str">
        <f>'Audit Report'!C217</f>
        <v/>
      </c>
      <c r="I217" t="str">
        <f>'Audit Report'!D217</f>
        <v/>
      </c>
      <c r="J217" t="str">
        <f>'Audit Report'!H217</f>
        <v/>
      </c>
      <c r="L217" t="str">
        <f>_xlfn.TEXTJOIN(", ", FALSE, 'Audit Report'!K217,'Audit Report'!L217,'Audit Report'!M217)</f>
        <v xml:space="preserve">, , </v>
      </c>
      <c r="M217" t="str">
        <f>'Audit Report'!O217</f>
        <v/>
      </c>
      <c r="R217" t="str">
        <f>'Audit Report'!F217</f>
        <v/>
      </c>
      <c r="S217" t="str">
        <f>'Audit Report'!Q217</f>
        <v/>
      </c>
    </row>
    <row r="218" spans="4:19">
      <c r="D218" t="str">
        <f>'Audit Report'!B218</f>
        <v>ITD-X217</v>
      </c>
      <c r="E218" t="str">
        <f>'Audit Report'!C218</f>
        <v/>
      </c>
      <c r="I218" t="str">
        <f>'Audit Report'!D218</f>
        <v/>
      </c>
      <c r="J218" t="str">
        <f>'Audit Report'!H218</f>
        <v/>
      </c>
      <c r="L218" t="str">
        <f>_xlfn.TEXTJOIN(", ", FALSE, 'Audit Report'!K218,'Audit Report'!L218,'Audit Report'!M218)</f>
        <v xml:space="preserve">, , </v>
      </c>
      <c r="M218" t="str">
        <f>'Audit Report'!O218</f>
        <v/>
      </c>
      <c r="R218" t="str">
        <f>'Audit Report'!F218</f>
        <v/>
      </c>
      <c r="S218" t="str">
        <f>'Audit Report'!Q218</f>
        <v/>
      </c>
    </row>
    <row r="219" spans="4:19">
      <c r="D219" t="str">
        <f>'Audit Report'!B219</f>
        <v>ITD-X218</v>
      </c>
      <c r="E219" t="str">
        <f>'Audit Report'!C219</f>
        <v/>
      </c>
      <c r="I219" t="str">
        <f>'Audit Report'!D219</f>
        <v/>
      </c>
      <c r="J219" t="str">
        <f>'Audit Report'!H219</f>
        <v/>
      </c>
      <c r="L219" t="str">
        <f>_xlfn.TEXTJOIN(", ", FALSE, 'Audit Report'!K219,'Audit Report'!L219,'Audit Report'!M219)</f>
        <v xml:space="preserve">, , </v>
      </c>
      <c r="M219" t="str">
        <f>'Audit Report'!O219</f>
        <v/>
      </c>
      <c r="R219" t="str">
        <f>'Audit Report'!F219</f>
        <v/>
      </c>
      <c r="S219" t="str">
        <f>'Audit Report'!Q219</f>
        <v/>
      </c>
    </row>
    <row r="220" spans="4:19">
      <c r="D220" t="str">
        <f>'Audit Report'!B220</f>
        <v>ITD-X219</v>
      </c>
      <c r="E220" t="str">
        <f>'Audit Report'!C220</f>
        <v/>
      </c>
      <c r="I220" t="str">
        <f>'Audit Report'!D220</f>
        <v/>
      </c>
      <c r="J220" t="str">
        <f>'Audit Report'!H220</f>
        <v/>
      </c>
      <c r="L220" t="str">
        <f>_xlfn.TEXTJOIN(", ", FALSE, 'Audit Report'!K220,'Audit Report'!L220,'Audit Report'!M220)</f>
        <v xml:space="preserve">, , </v>
      </c>
      <c r="M220" t="str">
        <f>'Audit Report'!O220</f>
        <v/>
      </c>
      <c r="R220" t="str">
        <f>'Audit Report'!F220</f>
        <v/>
      </c>
      <c r="S220" t="str">
        <f>'Audit Report'!Q220</f>
        <v/>
      </c>
    </row>
    <row r="221" spans="4:19">
      <c r="D221" t="str">
        <f>'Audit Report'!B221</f>
        <v>ITD-X220</v>
      </c>
      <c r="E221" t="str">
        <f>'Audit Report'!C221</f>
        <v/>
      </c>
      <c r="I221" t="str">
        <f>'Audit Report'!D221</f>
        <v/>
      </c>
      <c r="J221" t="str">
        <f>'Audit Report'!H221</f>
        <v/>
      </c>
      <c r="L221" t="str">
        <f>_xlfn.TEXTJOIN(", ", FALSE, 'Audit Report'!K221,'Audit Report'!L221,'Audit Report'!M221)</f>
        <v xml:space="preserve">, , </v>
      </c>
      <c r="M221" t="str">
        <f>'Audit Report'!O221</f>
        <v/>
      </c>
      <c r="R221" t="str">
        <f>'Audit Report'!F221</f>
        <v/>
      </c>
      <c r="S221" t="str">
        <f>'Audit Report'!Q221</f>
        <v/>
      </c>
    </row>
    <row r="222" spans="4:19">
      <c r="D222" t="str">
        <f>'Audit Report'!B222</f>
        <v>ITD-X221</v>
      </c>
      <c r="E222" t="str">
        <f>'Audit Report'!C222</f>
        <v/>
      </c>
      <c r="I222" t="str">
        <f>'Audit Report'!D222</f>
        <v/>
      </c>
      <c r="J222" t="str">
        <f>'Audit Report'!H222</f>
        <v/>
      </c>
      <c r="L222" t="str">
        <f>_xlfn.TEXTJOIN(", ", FALSE, 'Audit Report'!K222,'Audit Report'!L222,'Audit Report'!M222)</f>
        <v xml:space="preserve">, , </v>
      </c>
      <c r="M222" t="str">
        <f>'Audit Report'!O222</f>
        <v/>
      </c>
      <c r="R222" t="str">
        <f>'Audit Report'!F222</f>
        <v/>
      </c>
      <c r="S222" t="str">
        <f>'Audit Report'!Q222</f>
        <v/>
      </c>
    </row>
    <row r="223" spans="4:19">
      <c r="D223" t="str">
        <f>'Audit Report'!B223</f>
        <v>ITD-X222</v>
      </c>
      <c r="E223" t="str">
        <f>'Audit Report'!C223</f>
        <v/>
      </c>
      <c r="I223" t="str">
        <f>'Audit Report'!D223</f>
        <v/>
      </c>
      <c r="J223" t="str">
        <f>'Audit Report'!H223</f>
        <v/>
      </c>
      <c r="L223" t="str">
        <f>_xlfn.TEXTJOIN(", ", FALSE, 'Audit Report'!K223,'Audit Report'!L223,'Audit Report'!M223)</f>
        <v xml:space="preserve">, , </v>
      </c>
      <c r="M223" t="str">
        <f>'Audit Report'!O223</f>
        <v/>
      </c>
      <c r="R223" t="str">
        <f>'Audit Report'!F223</f>
        <v/>
      </c>
      <c r="S223" t="str">
        <f>'Audit Report'!Q223</f>
        <v/>
      </c>
    </row>
    <row r="224" spans="4:19">
      <c r="D224" t="str">
        <f>'Audit Report'!B224</f>
        <v>ITD-X223</v>
      </c>
      <c r="E224" t="str">
        <f>'Audit Report'!C224</f>
        <v/>
      </c>
      <c r="I224" t="str">
        <f>'Audit Report'!D224</f>
        <v/>
      </c>
      <c r="J224" t="str">
        <f>'Audit Report'!H224</f>
        <v/>
      </c>
      <c r="L224" t="str">
        <f>_xlfn.TEXTJOIN(", ", FALSE, 'Audit Report'!K224,'Audit Report'!L224,'Audit Report'!M224)</f>
        <v xml:space="preserve">, , </v>
      </c>
      <c r="M224" t="str">
        <f>'Audit Report'!O224</f>
        <v/>
      </c>
      <c r="R224" t="str">
        <f>'Audit Report'!F224</f>
        <v/>
      </c>
      <c r="S224" t="str">
        <f>'Audit Report'!Q224</f>
        <v/>
      </c>
    </row>
    <row r="225" spans="4:19">
      <c r="D225" t="str">
        <f>'Audit Report'!B225</f>
        <v>ITD-X224</v>
      </c>
      <c r="E225" t="str">
        <f>'Audit Report'!C225</f>
        <v/>
      </c>
      <c r="I225" t="str">
        <f>'Audit Report'!D225</f>
        <v/>
      </c>
      <c r="J225" t="str">
        <f>'Audit Report'!H225</f>
        <v/>
      </c>
      <c r="L225" t="str">
        <f>_xlfn.TEXTJOIN(", ", FALSE, 'Audit Report'!K225,'Audit Report'!L225,'Audit Report'!M225)</f>
        <v xml:space="preserve">, , </v>
      </c>
      <c r="M225" t="str">
        <f>'Audit Report'!O225</f>
        <v/>
      </c>
      <c r="R225" t="str">
        <f>'Audit Report'!F225</f>
        <v/>
      </c>
      <c r="S225" t="str">
        <f>'Audit Report'!Q225</f>
        <v/>
      </c>
    </row>
    <row r="226" spans="4:19">
      <c r="D226" t="str">
        <f>'Audit Report'!B226</f>
        <v>ITD-X225</v>
      </c>
      <c r="E226" t="str">
        <f>'Audit Report'!C226</f>
        <v/>
      </c>
      <c r="I226" t="str">
        <f>'Audit Report'!D226</f>
        <v/>
      </c>
      <c r="J226" t="str">
        <f>'Audit Report'!H226</f>
        <v/>
      </c>
      <c r="L226" t="str">
        <f>_xlfn.TEXTJOIN(", ", FALSE, 'Audit Report'!K226,'Audit Report'!L226,'Audit Report'!M226)</f>
        <v xml:space="preserve">, , </v>
      </c>
      <c r="M226" t="str">
        <f>'Audit Report'!O226</f>
        <v/>
      </c>
      <c r="R226" t="str">
        <f>'Audit Report'!F226</f>
        <v/>
      </c>
      <c r="S226" t="str">
        <f>'Audit Report'!Q226</f>
        <v/>
      </c>
    </row>
    <row r="227" spans="4:19">
      <c r="D227" t="str">
        <f>'Audit Report'!B227</f>
        <v>ITD-X226</v>
      </c>
      <c r="E227" t="str">
        <f>'Audit Report'!C227</f>
        <v/>
      </c>
      <c r="I227" t="str">
        <f>'Audit Report'!D227</f>
        <v/>
      </c>
      <c r="J227" t="str">
        <f>'Audit Report'!H227</f>
        <v/>
      </c>
      <c r="L227" t="str">
        <f>_xlfn.TEXTJOIN(", ", FALSE, 'Audit Report'!K227,'Audit Report'!L227,'Audit Report'!M227)</f>
        <v xml:space="preserve">, , </v>
      </c>
      <c r="M227" t="str">
        <f>'Audit Report'!O227</f>
        <v/>
      </c>
      <c r="R227" t="str">
        <f>'Audit Report'!F227</f>
        <v/>
      </c>
      <c r="S227" t="str">
        <f>'Audit Report'!Q227</f>
        <v/>
      </c>
    </row>
    <row r="228" spans="4:19">
      <c r="D228" t="str">
        <f>'Audit Report'!B228</f>
        <v>ITD-X227</v>
      </c>
      <c r="E228" t="str">
        <f>'Audit Report'!C228</f>
        <v/>
      </c>
      <c r="I228" t="str">
        <f>'Audit Report'!D228</f>
        <v/>
      </c>
      <c r="J228" t="str">
        <f>'Audit Report'!H228</f>
        <v/>
      </c>
      <c r="L228" t="str">
        <f>_xlfn.TEXTJOIN(", ", FALSE, 'Audit Report'!K228,'Audit Report'!L228,'Audit Report'!M228)</f>
        <v xml:space="preserve">, , </v>
      </c>
      <c r="M228" t="str">
        <f>'Audit Report'!O228</f>
        <v/>
      </c>
      <c r="R228" t="str">
        <f>'Audit Report'!F228</f>
        <v/>
      </c>
      <c r="S228" t="str">
        <f>'Audit Report'!Q228</f>
        <v/>
      </c>
    </row>
    <row r="229" spans="4:19">
      <c r="D229" t="str">
        <f>'Audit Report'!B229</f>
        <v>ITD-X228</v>
      </c>
      <c r="E229" t="str">
        <f>'Audit Report'!C229</f>
        <v/>
      </c>
      <c r="I229" t="str">
        <f>'Audit Report'!D229</f>
        <v/>
      </c>
      <c r="J229" t="str">
        <f>'Audit Report'!H229</f>
        <v/>
      </c>
      <c r="L229" t="str">
        <f>_xlfn.TEXTJOIN(", ", FALSE, 'Audit Report'!K229,'Audit Report'!L229,'Audit Report'!M229)</f>
        <v xml:space="preserve">, , </v>
      </c>
      <c r="M229" t="str">
        <f>'Audit Report'!O229</f>
        <v/>
      </c>
      <c r="R229" t="str">
        <f>'Audit Report'!F229</f>
        <v/>
      </c>
      <c r="S229" t="str">
        <f>'Audit Report'!Q229</f>
        <v/>
      </c>
    </row>
    <row r="230" spans="4:19">
      <c r="D230" t="str">
        <f>'Audit Report'!B230</f>
        <v>ITD-X229</v>
      </c>
      <c r="E230" t="str">
        <f>'Audit Report'!C230</f>
        <v/>
      </c>
      <c r="I230" t="str">
        <f>'Audit Report'!D230</f>
        <v/>
      </c>
      <c r="J230" t="str">
        <f>'Audit Report'!H230</f>
        <v/>
      </c>
      <c r="L230" t="str">
        <f>_xlfn.TEXTJOIN(", ", FALSE, 'Audit Report'!K230,'Audit Report'!L230,'Audit Report'!M230)</f>
        <v xml:space="preserve">, , </v>
      </c>
      <c r="M230" t="str">
        <f>'Audit Report'!O230</f>
        <v/>
      </c>
      <c r="R230" t="str">
        <f>'Audit Report'!F230</f>
        <v/>
      </c>
      <c r="S230" t="str">
        <f>'Audit Report'!Q230</f>
        <v/>
      </c>
    </row>
    <row r="231" spans="4:19">
      <c r="D231" t="str">
        <f>'Audit Report'!B231</f>
        <v>ITD-X230</v>
      </c>
      <c r="E231" t="str">
        <f>'Audit Report'!C231</f>
        <v/>
      </c>
      <c r="I231" t="str">
        <f>'Audit Report'!D231</f>
        <v/>
      </c>
      <c r="J231" t="str">
        <f>'Audit Report'!H231</f>
        <v/>
      </c>
      <c r="L231" t="str">
        <f>_xlfn.TEXTJOIN(", ", FALSE, 'Audit Report'!K231,'Audit Report'!L231,'Audit Report'!M231)</f>
        <v xml:space="preserve">, , </v>
      </c>
      <c r="M231" t="str">
        <f>'Audit Report'!O231</f>
        <v/>
      </c>
      <c r="R231" t="str">
        <f>'Audit Report'!F231</f>
        <v/>
      </c>
      <c r="S231" t="str">
        <f>'Audit Report'!Q231</f>
        <v/>
      </c>
    </row>
    <row r="232" spans="4:19">
      <c r="D232" t="str">
        <f>'Audit Report'!B232</f>
        <v>ITD-X231</v>
      </c>
      <c r="E232" t="str">
        <f>'Audit Report'!C232</f>
        <v/>
      </c>
      <c r="I232" t="str">
        <f>'Audit Report'!D232</f>
        <v/>
      </c>
      <c r="J232" t="str">
        <f>'Audit Report'!H232</f>
        <v/>
      </c>
      <c r="L232" t="str">
        <f>_xlfn.TEXTJOIN(", ", FALSE, 'Audit Report'!K232,'Audit Report'!L232,'Audit Report'!M232)</f>
        <v xml:space="preserve">, , </v>
      </c>
      <c r="M232" t="str">
        <f>'Audit Report'!O232</f>
        <v/>
      </c>
      <c r="R232" t="str">
        <f>'Audit Report'!F232</f>
        <v/>
      </c>
      <c r="S232" t="str">
        <f>'Audit Report'!Q232</f>
        <v/>
      </c>
    </row>
    <row r="233" spans="4:19">
      <c r="D233" t="str">
        <f>'Audit Report'!B233</f>
        <v>ITD-X232</v>
      </c>
      <c r="E233" t="str">
        <f>'Audit Report'!C233</f>
        <v/>
      </c>
      <c r="I233" t="str">
        <f>'Audit Report'!D233</f>
        <v/>
      </c>
      <c r="J233" t="str">
        <f>'Audit Report'!H233</f>
        <v/>
      </c>
      <c r="L233" t="str">
        <f>_xlfn.TEXTJOIN(", ", FALSE, 'Audit Report'!K233,'Audit Report'!L233,'Audit Report'!M233)</f>
        <v xml:space="preserve">, , </v>
      </c>
      <c r="M233" t="str">
        <f>'Audit Report'!O233</f>
        <v/>
      </c>
      <c r="R233" t="str">
        <f>'Audit Report'!F233</f>
        <v/>
      </c>
      <c r="S233" t="str">
        <f>'Audit Report'!Q233</f>
        <v/>
      </c>
    </row>
    <row r="234" spans="4:19">
      <c r="D234" t="str">
        <f>'Audit Report'!B234</f>
        <v>ITD-X233</v>
      </c>
      <c r="E234" t="str">
        <f>'Audit Report'!C234</f>
        <v/>
      </c>
      <c r="I234" t="str">
        <f>'Audit Report'!D234</f>
        <v/>
      </c>
      <c r="J234" t="str">
        <f>'Audit Report'!H234</f>
        <v/>
      </c>
      <c r="L234" t="str">
        <f>_xlfn.TEXTJOIN(", ", FALSE, 'Audit Report'!K234,'Audit Report'!L234,'Audit Report'!M234)</f>
        <v xml:space="preserve">, , </v>
      </c>
      <c r="M234" t="str">
        <f>'Audit Report'!O234</f>
        <v/>
      </c>
      <c r="R234" t="str">
        <f>'Audit Report'!F234</f>
        <v/>
      </c>
      <c r="S234" t="str">
        <f>'Audit Report'!Q234</f>
        <v/>
      </c>
    </row>
    <row r="235" spans="4:19">
      <c r="D235" t="str">
        <f>'Audit Report'!B235</f>
        <v>ITD-X234</v>
      </c>
      <c r="E235" t="str">
        <f>'Audit Report'!C235</f>
        <v/>
      </c>
      <c r="I235" t="str">
        <f>'Audit Report'!D235</f>
        <v/>
      </c>
      <c r="J235" t="str">
        <f>'Audit Report'!H235</f>
        <v/>
      </c>
      <c r="L235" t="str">
        <f>_xlfn.TEXTJOIN(", ", FALSE, 'Audit Report'!K235,'Audit Report'!L235,'Audit Report'!M235)</f>
        <v xml:space="preserve">, , </v>
      </c>
      <c r="M235" t="str">
        <f>'Audit Report'!O235</f>
        <v/>
      </c>
      <c r="R235" t="str">
        <f>'Audit Report'!F235</f>
        <v/>
      </c>
      <c r="S235" t="str">
        <f>'Audit Report'!Q235</f>
        <v/>
      </c>
    </row>
    <row r="236" spans="4:19">
      <c r="D236" t="str">
        <f>'Audit Report'!B236</f>
        <v>ITD-X235</v>
      </c>
      <c r="E236" t="str">
        <f>'Audit Report'!C236</f>
        <v/>
      </c>
      <c r="I236" t="str">
        <f>'Audit Report'!D236</f>
        <v/>
      </c>
      <c r="J236" t="str">
        <f>'Audit Report'!H236</f>
        <v/>
      </c>
      <c r="L236" t="str">
        <f>_xlfn.TEXTJOIN(", ", FALSE, 'Audit Report'!K236,'Audit Report'!L236,'Audit Report'!M236)</f>
        <v xml:space="preserve">, , </v>
      </c>
      <c r="M236" t="str">
        <f>'Audit Report'!O236</f>
        <v/>
      </c>
      <c r="R236" t="str">
        <f>'Audit Report'!F236</f>
        <v/>
      </c>
      <c r="S236" t="str">
        <f>'Audit Report'!Q236</f>
        <v/>
      </c>
    </row>
    <row r="237" spans="4:19">
      <c r="D237" t="str">
        <f>'Audit Report'!B237</f>
        <v>ITD-X236</v>
      </c>
      <c r="E237" t="str">
        <f>'Audit Report'!C237</f>
        <v/>
      </c>
      <c r="I237" t="str">
        <f>'Audit Report'!D237</f>
        <v/>
      </c>
      <c r="J237" t="str">
        <f>'Audit Report'!H237</f>
        <v/>
      </c>
      <c r="L237" t="str">
        <f>_xlfn.TEXTJOIN(", ", FALSE, 'Audit Report'!K237,'Audit Report'!L237,'Audit Report'!M237)</f>
        <v xml:space="preserve">, , </v>
      </c>
      <c r="M237" t="str">
        <f>'Audit Report'!O237</f>
        <v/>
      </c>
      <c r="R237" t="str">
        <f>'Audit Report'!F237</f>
        <v/>
      </c>
      <c r="S237" t="str">
        <f>'Audit Report'!Q237</f>
        <v/>
      </c>
    </row>
    <row r="238" spans="4:19">
      <c r="D238" t="str">
        <f>'Audit Report'!B238</f>
        <v>ITD-X237</v>
      </c>
      <c r="E238" t="str">
        <f>'Audit Report'!C238</f>
        <v/>
      </c>
      <c r="I238" t="str">
        <f>'Audit Report'!D238</f>
        <v/>
      </c>
      <c r="J238" t="str">
        <f>'Audit Report'!H238</f>
        <v/>
      </c>
      <c r="L238" t="str">
        <f>_xlfn.TEXTJOIN(", ", FALSE, 'Audit Report'!K238,'Audit Report'!L238,'Audit Report'!M238)</f>
        <v xml:space="preserve">, , </v>
      </c>
      <c r="M238" t="str">
        <f>'Audit Report'!O238</f>
        <v/>
      </c>
      <c r="R238" t="str">
        <f>'Audit Report'!F238</f>
        <v/>
      </c>
      <c r="S238" t="str">
        <f>'Audit Report'!Q238</f>
        <v/>
      </c>
    </row>
    <row r="239" spans="4:19">
      <c r="D239" t="str">
        <f>'Audit Report'!B239</f>
        <v>ITD-X238</v>
      </c>
      <c r="E239" t="str">
        <f>'Audit Report'!C239</f>
        <v/>
      </c>
      <c r="I239" t="str">
        <f>'Audit Report'!D239</f>
        <v/>
      </c>
      <c r="J239" t="str">
        <f>'Audit Report'!H239</f>
        <v/>
      </c>
      <c r="L239" t="str">
        <f>_xlfn.TEXTJOIN(", ", FALSE, 'Audit Report'!K239,'Audit Report'!L239,'Audit Report'!M239)</f>
        <v xml:space="preserve">, , </v>
      </c>
      <c r="M239" t="str">
        <f>'Audit Report'!O239</f>
        <v/>
      </c>
      <c r="R239" t="str">
        <f>'Audit Report'!F239</f>
        <v/>
      </c>
      <c r="S239" t="str">
        <f>'Audit Report'!Q239</f>
        <v/>
      </c>
    </row>
    <row r="240" spans="4:19">
      <c r="D240" t="str">
        <f>'Audit Report'!B240</f>
        <v>ITD-X239</v>
      </c>
      <c r="E240" t="str">
        <f>'Audit Report'!C240</f>
        <v/>
      </c>
      <c r="I240" t="str">
        <f>'Audit Report'!D240</f>
        <v/>
      </c>
      <c r="J240" t="str">
        <f>'Audit Report'!H240</f>
        <v/>
      </c>
      <c r="L240" t="str">
        <f>_xlfn.TEXTJOIN(", ", FALSE, 'Audit Report'!K240,'Audit Report'!L240,'Audit Report'!M240)</f>
        <v xml:space="preserve">, , </v>
      </c>
      <c r="M240" t="str">
        <f>'Audit Report'!O240</f>
        <v/>
      </c>
      <c r="R240" t="str">
        <f>'Audit Report'!F240</f>
        <v/>
      </c>
      <c r="S240" t="str">
        <f>'Audit Report'!Q240</f>
        <v/>
      </c>
    </row>
    <row r="241" spans="4:19">
      <c r="D241" t="str">
        <f>'Audit Report'!B241</f>
        <v>ITD-X240</v>
      </c>
      <c r="E241" t="str">
        <f>'Audit Report'!C241</f>
        <v/>
      </c>
      <c r="I241" t="str">
        <f>'Audit Report'!D241</f>
        <v/>
      </c>
      <c r="J241" t="str">
        <f>'Audit Report'!H241</f>
        <v/>
      </c>
      <c r="L241" t="str">
        <f>_xlfn.TEXTJOIN(", ", FALSE, 'Audit Report'!K241,'Audit Report'!L241,'Audit Report'!M241)</f>
        <v xml:space="preserve">, , </v>
      </c>
      <c r="M241" t="str">
        <f>'Audit Report'!O241</f>
        <v/>
      </c>
      <c r="R241" t="str">
        <f>'Audit Report'!F241</f>
        <v/>
      </c>
      <c r="S241" t="str">
        <f>'Audit Report'!Q241</f>
        <v/>
      </c>
    </row>
    <row r="242" spans="4:19">
      <c r="D242" t="str">
        <f>'Audit Report'!B242</f>
        <v>ITD-X241</v>
      </c>
      <c r="E242" t="str">
        <f>'Audit Report'!C242</f>
        <v/>
      </c>
      <c r="I242" t="str">
        <f>'Audit Report'!D242</f>
        <v/>
      </c>
      <c r="J242" t="str">
        <f>'Audit Report'!H242</f>
        <v/>
      </c>
      <c r="L242" t="str">
        <f>_xlfn.TEXTJOIN(", ", FALSE, 'Audit Report'!K242,'Audit Report'!L242,'Audit Report'!M242)</f>
        <v xml:space="preserve">, , </v>
      </c>
      <c r="M242" t="str">
        <f>'Audit Report'!O242</f>
        <v/>
      </c>
      <c r="R242" t="str">
        <f>'Audit Report'!F242</f>
        <v/>
      </c>
      <c r="S242" t="str">
        <f>'Audit Report'!Q242</f>
        <v/>
      </c>
    </row>
    <row r="243" spans="4:19">
      <c r="D243" t="str">
        <f>'Audit Report'!B243</f>
        <v>ITD-X242</v>
      </c>
      <c r="E243" t="str">
        <f>'Audit Report'!C243</f>
        <v/>
      </c>
      <c r="I243" t="str">
        <f>'Audit Report'!D243</f>
        <v/>
      </c>
      <c r="J243" t="str">
        <f>'Audit Report'!H243</f>
        <v/>
      </c>
      <c r="L243" t="str">
        <f>_xlfn.TEXTJOIN(", ", FALSE, 'Audit Report'!K243,'Audit Report'!L243,'Audit Report'!M243)</f>
        <v xml:space="preserve">, , </v>
      </c>
      <c r="M243" t="str">
        <f>'Audit Report'!O243</f>
        <v/>
      </c>
      <c r="R243" t="str">
        <f>'Audit Report'!F243</f>
        <v/>
      </c>
      <c r="S243" t="str">
        <f>'Audit Report'!Q243</f>
        <v/>
      </c>
    </row>
    <row r="244" spans="4:19">
      <c r="D244" t="str">
        <f>'Audit Report'!B244</f>
        <v>ITD-X243</v>
      </c>
      <c r="E244" t="str">
        <f>'Audit Report'!C244</f>
        <v/>
      </c>
      <c r="I244" t="str">
        <f>'Audit Report'!D244</f>
        <v/>
      </c>
      <c r="J244" t="str">
        <f>'Audit Report'!H244</f>
        <v/>
      </c>
      <c r="L244" t="str">
        <f>_xlfn.TEXTJOIN(", ", FALSE, 'Audit Report'!K244,'Audit Report'!L244,'Audit Report'!M244)</f>
        <v xml:space="preserve">, , </v>
      </c>
      <c r="M244" t="str">
        <f>'Audit Report'!O244</f>
        <v/>
      </c>
      <c r="R244" t="str">
        <f>'Audit Report'!F244</f>
        <v/>
      </c>
      <c r="S244" t="str">
        <f>'Audit Report'!Q244</f>
        <v/>
      </c>
    </row>
    <row r="245" spans="4:19">
      <c r="D245" t="str">
        <f>'Audit Report'!B245</f>
        <v>ITD-X244</v>
      </c>
      <c r="E245" t="str">
        <f>'Audit Report'!C245</f>
        <v/>
      </c>
      <c r="I245" t="str">
        <f>'Audit Report'!D245</f>
        <v/>
      </c>
      <c r="J245" t="str">
        <f>'Audit Report'!H245</f>
        <v/>
      </c>
      <c r="L245" t="str">
        <f>_xlfn.TEXTJOIN(", ", FALSE, 'Audit Report'!K245,'Audit Report'!L245,'Audit Report'!M245)</f>
        <v xml:space="preserve">, , </v>
      </c>
      <c r="M245" t="str">
        <f>'Audit Report'!O245</f>
        <v/>
      </c>
      <c r="R245" t="str">
        <f>'Audit Report'!F245</f>
        <v/>
      </c>
      <c r="S245" t="str">
        <f>'Audit Report'!Q245</f>
        <v/>
      </c>
    </row>
    <row r="246" spans="4:19">
      <c r="D246" t="str">
        <f>'Audit Report'!B246</f>
        <v>ITD-X245</v>
      </c>
      <c r="E246" t="str">
        <f>'Audit Report'!C246</f>
        <v/>
      </c>
      <c r="I246" t="str">
        <f>'Audit Report'!D246</f>
        <v/>
      </c>
      <c r="J246" t="str">
        <f>'Audit Report'!H246</f>
        <v/>
      </c>
      <c r="L246" t="str">
        <f>_xlfn.TEXTJOIN(", ", FALSE, 'Audit Report'!K246,'Audit Report'!L246,'Audit Report'!M246)</f>
        <v xml:space="preserve">, , </v>
      </c>
      <c r="M246" t="str">
        <f>'Audit Report'!O246</f>
        <v/>
      </c>
      <c r="R246" t="str">
        <f>'Audit Report'!F246</f>
        <v/>
      </c>
      <c r="S246" t="str">
        <f>'Audit Report'!Q246</f>
        <v/>
      </c>
    </row>
    <row r="247" spans="4:19">
      <c r="D247" t="str">
        <f>'Audit Report'!B247</f>
        <v>ITD-X246</v>
      </c>
      <c r="E247" t="str">
        <f>'Audit Report'!C247</f>
        <v/>
      </c>
      <c r="I247" t="str">
        <f>'Audit Report'!D247</f>
        <v/>
      </c>
      <c r="J247" t="str">
        <f>'Audit Report'!H247</f>
        <v/>
      </c>
      <c r="L247" t="str">
        <f>_xlfn.TEXTJOIN(", ", FALSE, 'Audit Report'!K247,'Audit Report'!L247,'Audit Report'!M247)</f>
        <v xml:space="preserve">, , </v>
      </c>
      <c r="M247" t="str">
        <f>'Audit Report'!O247</f>
        <v/>
      </c>
      <c r="R247" t="str">
        <f>'Audit Report'!F247</f>
        <v/>
      </c>
      <c r="S247" t="str">
        <f>'Audit Report'!Q247</f>
        <v/>
      </c>
    </row>
    <row r="248" spans="4:19">
      <c r="D248" t="str">
        <f>'Audit Report'!B248</f>
        <v>ITD-X247</v>
      </c>
      <c r="E248" t="str">
        <f>'Audit Report'!C248</f>
        <v/>
      </c>
      <c r="I248" t="str">
        <f>'Audit Report'!D248</f>
        <v/>
      </c>
      <c r="J248" t="str">
        <f>'Audit Report'!H248</f>
        <v/>
      </c>
      <c r="L248" t="str">
        <f>_xlfn.TEXTJOIN(", ", FALSE, 'Audit Report'!K248,'Audit Report'!L248,'Audit Report'!M248)</f>
        <v xml:space="preserve">, , </v>
      </c>
      <c r="M248" t="str">
        <f>'Audit Report'!O248</f>
        <v/>
      </c>
      <c r="R248" t="str">
        <f>'Audit Report'!F248</f>
        <v/>
      </c>
      <c r="S248" t="str">
        <f>'Audit Report'!Q248</f>
        <v/>
      </c>
    </row>
    <row r="249" spans="4:19">
      <c r="D249" t="str">
        <f>'Audit Report'!B249</f>
        <v>ITD-X248</v>
      </c>
      <c r="E249" t="str">
        <f>'Audit Report'!C249</f>
        <v/>
      </c>
      <c r="I249" t="str">
        <f>'Audit Report'!D249</f>
        <v/>
      </c>
      <c r="J249" t="str">
        <f>'Audit Report'!H249</f>
        <v/>
      </c>
      <c r="L249" t="str">
        <f>_xlfn.TEXTJOIN(", ", FALSE, 'Audit Report'!K249,'Audit Report'!L249,'Audit Report'!M249)</f>
        <v xml:space="preserve">, , </v>
      </c>
      <c r="M249" t="str">
        <f>'Audit Report'!O249</f>
        <v/>
      </c>
      <c r="R249" t="str">
        <f>'Audit Report'!F249</f>
        <v/>
      </c>
      <c r="S249" t="str">
        <f>'Audit Report'!Q249</f>
        <v/>
      </c>
    </row>
    <row r="250" spans="4:19">
      <c r="D250" t="str">
        <f>'Audit Report'!B250</f>
        <v>ITD-X249</v>
      </c>
      <c r="E250" t="str">
        <f>'Audit Report'!C250</f>
        <v/>
      </c>
      <c r="I250" t="str">
        <f>'Audit Report'!D250</f>
        <v/>
      </c>
      <c r="J250" t="str">
        <f>'Audit Report'!H250</f>
        <v/>
      </c>
      <c r="L250" t="str">
        <f>_xlfn.TEXTJOIN(", ", FALSE, 'Audit Report'!K250,'Audit Report'!L250,'Audit Report'!M250)</f>
        <v xml:space="preserve">, , </v>
      </c>
      <c r="M250" t="str">
        <f>'Audit Report'!O250</f>
        <v/>
      </c>
      <c r="R250" t="str">
        <f>'Audit Report'!F250</f>
        <v/>
      </c>
      <c r="S250" t="str">
        <f>'Audit Report'!Q250</f>
        <v/>
      </c>
    </row>
    <row r="251" spans="4:19">
      <c r="D251" t="str">
        <f>'Audit Report'!B251</f>
        <v>ITD-X250</v>
      </c>
      <c r="E251" t="str">
        <f>'Audit Report'!C251</f>
        <v/>
      </c>
      <c r="I251" t="str">
        <f>'Audit Report'!D251</f>
        <v/>
      </c>
      <c r="J251" t="str">
        <f>'Audit Report'!H251</f>
        <v/>
      </c>
      <c r="L251" t="str">
        <f>_xlfn.TEXTJOIN(", ", FALSE, 'Audit Report'!K251,'Audit Report'!L251,'Audit Report'!M251)</f>
        <v xml:space="preserve">, , </v>
      </c>
      <c r="M251" t="str">
        <f>'Audit Report'!O251</f>
        <v/>
      </c>
      <c r="R251" t="str">
        <f>'Audit Report'!F251</f>
        <v/>
      </c>
      <c r="S251" t="str">
        <f>'Audit Report'!Q251</f>
        <v/>
      </c>
    </row>
    <row r="252" spans="4:19">
      <c r="D252" t="str">
        <f>'Audit Report'!B252</f>
        <v>ITD-X251</v>
      </c>
      <c r="E252" t="str">
        <f>'Audit Report'!C252</f>
        <v/>
      </c>
      <c r="I252" t="str">
        <f>'Audit Report'!D252</f>
        <v/>
      </c>
      <c r="J252" t="str">
        <f>'Audit Report'!H252</f>
        <v/>
      </c>
      <c r="L252" t="str">
        <f>_xlfn.TEXTJOIN(", ", FALSE, 'Audit Report'!K252,'Audit Report'!L252,'Audit Report'!M252)</f>
        <v xml:space="preserve">, , </v>
      </c>
      <c r="M252" t="str">
        <f>'Audit Report'!O252</f>
        <v/>
      </c>
      <c r="R252" t="str">
        <f>'Audit Report'!F252</f>
        <v/>
      </c>
      <c r="S252" t="str">
        <f>'Audit Report'!Q252</f>
        <v/>
      </c>
    </row>
    <row r="253" spans="4:19">
      <c r="D253" t="str">
        <f>'Audit Report'!B253</f>
        <v>ITD-X252</v>
      </c>
      <c r="E253" t="str">
        <f>'Audit Report'!C253</f>
        <v/>
      </c>
      <c r="I253" t="str">
        <f>'Audit Report'!D253</f>
        <v/>
      </c>
      <c r="J253" t="str">
        <f>'Audit Report'!H253</f>
        <v/>
      </c>
      <c r="L253" t="str">
        <f>_xlfn.TEXTJOIN(", ", FALSE, 'Audit Report'!K253,'Audit Report'!L253,'Audit Report'!M253)</f>
        <v xml:space="preserve">, , </v>
      </c>
      <c r="M253" t="str">
        <f>'Audit Report'!O253</f>
        <v/>
      </c>
      <c r="R253" t="str">
        <f>'Audit Report'!F253</f>
        <v/>
      </c>
      <c r="S253" t="str">
        <f>'Audit Report'!Q253</f>
        <v/>
      </c>
    </row>
    <row r="254" spans="4:19">
      <c r="D254" t="str">
        <f>'Audit Report'!B254</f>
        <v>ITD-X253</v>
      </c>
      <c r="E254" t="str">
        <f>'Audit Report'!C254</f>
        <v/>
      </c>
      <c r="I254" t="str">
        <f>'Audit Report'!D254</f>
        <v/>
      </c>
      <c r="J254" t="str">
        <f>'Audit Report'!H254</f>
        <v/>
      </c>
      <c r="L254" t="str">
        <f>_xlfn.TEXTJOIN(", ", FALSE, 'Audit Report'!K254,'Audit Report'!L254,'Audit Report'!M254)</f>
        <v xml:space="preserve">, , </v>
      </c>
      <c r="M254" t="str">
        <f>'Audit Report'!O254</f>
        <v/>
      </c>
      <c r="R254" t="str">
        <f>'Audit Report'!F254</f>
        <v/>
      </c>
      <c r="S254" t="str">
        <f>'Audit Report'!Q254</f>
        <v/>
      </c>
    </row>
    <row r="255" spans="4:19">
      <c r="D255" t="str">
        <f>'Audit Report'!B255</f>
        <v>ITD-X254</v>
      </c>
      <c r="E255" t="str">
        <f>'Audit Report'!C255</f>
        <v/>
      </c>
      <c r="I255" t="str">
        <f>'Audit Report'!D255</f>
        <v/>
      </c>
      <c r="J255" t="str">
        <f>'Audit Report'!H255</f>
        <v/>
      </c>
      <c r="L255" t="str">
        <f>_xlfn.TEXTJOIN(", ", FALSE, 'Audit Report'!K255,'Audit Report'!L255,'Audit Report'!M255)</f>
        <v xml:space="preserve">, , </v>
      </c>
      <c r="M255" t="str">
        <f>'Audit Report'!O255</f>
        <v/>
      </c>
      <c r="R255" t="str">
        <f>'Audit Report'!F255</f>
        <v/>
      </c>
      <c r="S255" t="str">
        <f>'Audit Report'!Q255</f>
        <v/>
      </c>
    </row>
    <row r="256" spans="4:19">
      <c r="D256" t="str">
        <f>'Audit Report'!B256</f>
        <v>ITD-X255</v>
      </c>
      <c r="E256" t="str">
        <f>'Audit Report'!C256</f>
        <v/>
      </c>
      <c r="I256" t="str">
        <f>'Audit Report'!D256</f>
        <v/>
      </c>
      <c r="J256" t="str">
        <f>'Audit Report'!H256</f>
        <v/>
      </c>
      <c r="L256" t="str">
        <f>_xlfn.TEXTJOIN(", ", FALSE, 'Audit Report'!K256,'Audit Report'!L256,'Audit Report'!M256)</f>
        <v xml:space="preserve">, , </v>
      </c>
      <c r="M256" t="str">
        <f>'Audit Report'!O256</f>
        <v/>
      </c>
      <c r="R256" t="str">
        <f>'Audit Report'!F256</f>
        <v/>
      </c>
      <c r="S256" t="str">
        <f>'Audit Report'!Q256</f>
        <v/>
      </c>
    </row>
    <row r="257" spans="4:19">
      <c r="D257" t="str">
        <f>'Audit Report'!B257</f>
        <v>ITD-X256</v>
      </c>
      <c r="E257" t="str">
        <f>'Audit Report'!C257</f>
        <v/>
      </c>
      <c r="I257" t="str">
        <f>'Audit Report'!D257</f>
        <v/>
      </c>
      <c r="J257" t="str">
        <f>'Audit Report'!H257</f>
        <v/>
      </c>
      <c r="L257" t="str">
        <f>_xlfn.TEXTJOIN(", ", FALSE, 'Audit Report'!K257,'Audit Report'!L257,'Audit Report'!M257)</f>
        <v xml:space="preserve">, , </v>
      </c>
      <c r="M257" t="str">
        <f>'Audit Report'!O257</f>
        <v/>
      </c>
      <c r="R257" t="str">
        <f>'Audit Report'!F257</f>
        <v/>
      </c>
      <c r="S257" t="str">
        <f>'Audit Report'!Q257</f>
        <v/>
      </c>
    </row>
    <row r="258" spans="4:19">
      <c r="D258" t="str">
        <f>'Audit Report'!B258</f>
        <v>ITD-X257</v>
      </c>
      <c r="E258" t="str">
        <f>'Audit Report'!C258</f>
        <v/>
      </c>
      <c r="I258" t="str">
        <f>'Audit Report'!D258</f>
        <v/>
      </c>
      <c r="J258" t="str">
        <f>'Audit Report'!H258</f>
        <v/>
      </c>
      <c r="L258" t="str">
        <f>_xlfn.TEXTJOIN(", ", FALSE, 'Audit Report'!K258,'Audit Report'!L258,'Audit Report'!M258)</f>
        <v xml:space="preserve">, , </v>
      </c>
      <c r="M258" t="str">
        <f>'Audit Report'!O258</f>
        <v/>
      </c>
      <c r="R258" t="str">
        <f>'Audit Report'!F258</f>
        <v/>
      </c>
      <c r="S258" t="str">
        <f>'Audit Report'!Q258</f>
        <v/>
      </c>
    </row>
    <row r="259" spans="4:19">
      <c r="D259" t="str">
        <f>'Audit Report'!B259</f>
        <v>ITD-X258</v>
      </c>
      <c r="E259" t="str">
        <f>'Audit Report'!C259</f>
        <v/>
      </c>
      <c r="I259" t="str">
        <f>'Audit Report'!D259</f>
        <v/>
      </c>
      <c r="J259" t="str">
        <f>'Audit Report'!H259</f>
        <v/>
      </c>
      <c r="L259" t="str">
        <f>_xlfn.TEXTJOIN(", ", FALSE, 'Audit Report'!K259,'Audit Report'!L259,'Audit Report'!M259)</f>
        <v xml:space="preserve">, , </v>
      </c>
      <c r="M259" t="str">
        <f>'Audit Report'!O259</f>
        <v/>
      </c>
      <c r="R259" t="str">
        <f>'Audit Report'!F259</f>
        <v/>
      </c>
      <c r="S259" t="str">
        <f>'Audit Report'!Q259</f>
        <v/>
      </c>
    </row>
    <row r="260" spans="4:19">
      <c r="D260" t="str">
        <f>'Audit Report'!B260</f>
        <v>ITD-X259</v>
      </c>
      <c r="E260" t="str">
        <f>'Audit Report'!C260</f>
        <v/>
      </c>
      <c r="I260" t="str">
        <f>'Audit Report'!D260</f>
        <v/>
      </c>
      <c r="J260" t="str">
        <f>'Audit Report'!H260</f>
        <v/>
      </c>
      <c r="L260" t="str">
        <f>_xlfn.TEXTJOIN(", ", FALSE, 'Audit Report'!K260,'Audit Report'!L260,'Audit Report'!M260)</f>
        <v xml:space="preserve">, , </v>
      </c>
      <c r="M260" t="str">
        <f>'Audit Report'!O260</f>
        <v/>
      </c>
      <c r="R260" t="str">
        <f>'Audit Report'!F260</f>
        <v/>
      </c>
      <c r="S260" t="str">
        <f>'Audit Report'!Q260</f>
        <v/>
      </c>
    </row>
    <row r="261" spans="4:19">
      <c r="D261" t="str">
        <f>'Audit Report'!B261</f>
        <v>ITD-X260</v>
      </c>
      <c r="E261" t="str">
        <f>'Audit Report'!C261</f>
        <v/>
      </c>
      <c r="I261" t="str">
        <f>'Audit Report'!D261</f>
        <v/>
      </c>
      <c r="J261" t="str">
        <f>'Audit Report'!H261</f>
        <v/>
      </c>
      <c r="L261" t="str">
        <f>_xlfn.TEXTJOIN(", ", FALSE, 'Audit Report'!K261,'Audit Report'!L261,'Audit Report'!M261)</f>
        <v xml:space="preserve">, , </v>
      </c>
      <c r="M261" t="str">
        <f>'Audit Report'!O261</f>
        <v/>
      </c>
      <c r="R261" t="str">
        <f>'Audit Report'!F261</f>
        <v/>
      </c>
      <c r="S261" t="str">
        <f>'Audit Report'!Q261</f>
        <v/>
      </c>
    </row>
    <row r="262" spans="4:19">
      <c r="D262" t="str">
        <f>'Audit Report'!B262</f>
        <v>ITD-X261</v>
      </c>
      <c r="E262" t="str">
        <f>'Audit Report'!C262</f>
        <v/>
      </c>
      <c r="I262" t="str">
        <f>'Audit Report'!D262</f>
        <v/>
      </c>
      <c r="J262" t="str">
        <f>'Audit Report'!H262</f>
        <v/>
      </c>
      <c r="L262" t="str">
        <f>_xlfn.TEXTJOIN(", ", FALSE, 'Audit Report'!K262,'Audit Report'!L262,'Audit Report'!M262)</f>
        <v xml:space="preserve">, , </v>
      </c>
      <c r="M262" t="str">
        <f>'Audit Report'!O262</f>
        <v/>
      </c>
      <c r="R262" t="str">
        <f>'Audit Report'!F262</f>
        <v/>
      </c>
      <c r="S262" t="str">
        <f>'Audit Report'!Q262</f>
        <v/>
      </c>
    </row>
    <row r="263" spans="4:19">
      <c r="D263" t="str">
        <f>'Audit Report'!B263</f>
        <v>ITD-X262</v>
      </c>
      <c r="E263" t="str">
        <f>'Audit Report'!C263</f>
        <v/>
      </c>
      <c r="I263" t="str">
        <f>'Audit Report'!D263</f>
        <v/>
      </c>
      <c r="J263" t="str">
        <f>'Audit Report'!H263</f>
        <v/>
      </c>
      <c r="L263" t="str">
        <f>_xlfn.TEXTJOIN(", ", FALSE, 'Audit Report'!K263,'Audit Report'!L263,'Audit Report'!M263)</f>
        <v xml:space="preserve">, , </v>
      </c>
      <c r="M263" t="str">
        <f>'Audit Report'!O263</f>
        <v/>
      </c>
      <c r="R263" t="str">
        <f>'Audit Report'!F263</f>
        <v/>
      </c>
      <c r="S263" t="str">
        <f>'Audit Report'!Q263</f>
        <v/>
      </c>
    </row>
    <row r="264" spans="4:19">
      <c r="D264" t="str">
        <f>'Audit Report'!B264</f>
        <v>ITD-X263</v>
      </c>
      <c r="E264" t="str">
        <f>'Audit Report'!C264</f>
        <v/>
      </c>
      <c r="I264" t="str">
        <f>'Audit Report'!D264</f>
        <v/>
      </c>
      <c r="J264" t="str">
        <f>'Audit Report'!H264</f>
        <v/>
      </c>
      <c r="L264" t="str">
        <f>_xlfn.TEXTJOIN(", ", FALSE, 'Audit Report'!K264,'Audit Report'!L264,'Audit Report'!M264)</f>
        <v xml:space="preserve">, , </v>
      </c>
      <c r="M264" t="str">
        <f>'Audit Report'!O264</f>
        <v/>
      </c>
      <c r="R264" t="str">
        <f>'Audit Report'!F264</f>
        <v/>
      </c>
      <c r="S264" t="str">
        <f>'Audit Report'!Q264</f>
        <v/>
      </c>
    </row>
    <row r="265" spans="4:19">
      <c r="D265" t="str">
        <f>'Audit Report'!B265</f>
        <v>ITD-X264</v>
      </c>
      <c r="E265" t="str">
        <f>'Audit Report'!C265</f>
        <v/>
      </c>
      <c r="I265" t="str">
        <f>'Audit Report'!D265</f>
        <v/>
      </c>
      <c r="J265" t="str">
        <f>'Audit Report'!H265</f>
        <v/>
      </c>
      <c r="L265" t="str">
        <f>_xlfn.TEXTJOIN(", ", FALSE, 'Audit Report'!K265,'Audit Report'!L265,'Audit Report'!M265)</f>
        <v xml:space="preserve">, , </v>
      </c>
      <c r="M265" t="str">
        <f>'Audit Report'!O265</f>
        <v/>
      </c>
      <c r="R265" t="str">
        <f>'Audit Report'!F265</f>
        <v/>
      </c>
      <c r="S265" t="str">
        <f>'Audit Report'!Q265</f>
        <v/>
      </c>
    </row>
    <row r="266" spans="4:19">
      <c r="D266" t="str">
        <f>'Audit Report'!B266</f>
        <v>ITD-X265</v>
      </c>
      <c r="E266" t="str">
        <f>'Audit Report'!C266</f>
        <v/>
      </c>
      <c r="I266" t="str">
        <f>'Audit Report'!D266</f>
        <v/>
      </c>
      <c r="J266" t="str">
        <f>'Audit Report'!H266</f>
        <v/>
      </c>
      <c r="L266" t="str">
        <f>_xlfn.TEXTJOIN(", ", FALSE, 'Audit Report'!K266,'Audit Report'!L266,'Audit Report'!M266)</f>
        <v xml:space="preserve">, , </v>
      </c>
      <c r="M266" t="str">
        <f>'Audit Report'!O266</f>
        <v/>
      </c>
      <c r="R266" t="str">
        <f>'Audit Report'!F266</f>
        <v/>
      </c>
      <c r="S266" t="str">
        <f>'Audit Report'!Q266</f>
        <v/>
      </c>
    </row>
    <row r="267" spans="4:19">
      <c r="D267" t="str">
        <f>'Audit Report'!B267</f>
        <v>ITD-X266</v>
      </c>
      <c r="E267" t="str">
        <f>'Audit Report'!C267</f>
        <v/>
      </c>
      <c r="I267" t="str">
        <f>'Audit Report'!D267</f>
        <v/>
      </c>
      <c r="J267" t="str">
        <f>'Audit Report'!H267</f>
        <v/>
      </c>
      <c r="L267" t="str">
        <f>_xlfn.TEXTJOIN(", ", FALSE, 'Audit Report'!K267,'Audit Report'!L267,'Audit Report'!M267)</f>
        <v xml:space="preserve">, , </v>
      </c>
      <c r="M267" t="str">
        <f>'Audit Report'!O267</f>
        <v/>
      </c>
      <c r="R267" t="str">
        <f>'Audit Report'!F267</f>
        <v/>
      </c>
      <c r="S267" t="str">
        <f>'Audit Report'!Q267</f>
        <v/>
      </c>
    </row>
    <row r="268" spans="4:19">
      <c r="D268" t="str">
        <f>'Audit Report'!B268</f>
        <v>ITD-X267</v>
      </c>
      <c r="E268" t="str">
        <f>'Audit Report'!C268</f>
        <v/>
      </c>
      <c r="I268" t="str">
        <f>'Audit Report'!D268</f>
        <v/>
      </c>
      <c r="J268" t="str">
        <f>'Audit Report'!H268</f>
        <v/>
      </c>
      <c r="L268" t="str">
        <f>_xlfn.TEXTJOIN(", ", FALSE, 'Audit Report'!K268,'Audit Report'!L268,'Audit Report'!M268)</f>
        <v xml:space="preserve">, , </v>
      </c>
      <c r="M268" t="str">
        <f>'Audit Report'!O268</f>
        <v/>
      </c>
      <c r="R268" t="str">
        <f>'Audit Report'!F268</f>
        <v/>
      </c>
      <c r="S268" t="str">
        <f>'Audit Report'!Q268</f>
        <v/>
      </c>
    </row>
    <row r="269" spans="4:19">
      <c r="D269" t="str">
        <f>'Audit Report'!B269</f>
        <v>ITD-X268</v>
      </c>
      <c r="E269" t="str">
        <f>'Audit Report'!C269</f>
        <v/>
      </c>
      <c r="I269" t="str">
        <f>'Audit Report'!D269</f>
        <v/>
      </c>
      <c r="J269" t="str">
        <f>'Audit Report'!H269</f>
        <v/>
      </c>
      <c r="L269" t="str">
        <f>_xlfn.TEXTJOIN(", ", FALSE, 'Audit Report'!K269,'Audit Report'!L269,'Audit Report'!M269)</f>
        <v xml:space="preserve">, , </v>
      </c>
      <c r="M269" t="str">
        <f>'Audit Report'!O269</f>
        <v/>
      </c>
      <c r="R269" t="str">
        <f>'Audit Report'!F269</f>
        <v/>
      </c>
      <c r="S269" t="str">
        <f>'Audit Report'!Q269</f>
        <v/>
      </c>
    </row>
    <row r="270" spans="4:19">
      <c r="D270" t="str">
        <f>'Audit Report'!B270</f>
        <v>ITD-X269</v>
      </c>
      <c r="E270" t="str">
        <f>'Audit Report'!C270</f>
        <v/>
      </c>
      <c r="I270" t="str">
        <f>'Audit Report'!D270</f>
        <v/>
      </c>
      <c r="J270" t="str">
        <f>'Audit Report'!H270</f>
        <v/>
      </c>
      <c r="L270" t="str">
        <f>_xlfn.TEXTJOIN(", ", FALSE, 'Audit Report'!K270,'Audit Report'!L270,'Audit Report'!M270)</f>
        <v xml:space="preserve">, , </v>
      </c>
      <c r="M270" t="str">
        <f>'Audit Report'!O270</f>
        <v/>
      </c>
      <c r="R270" t="str">
        <f>'Audit Report'!F270</f>
        <v/>
      </c>
      <c r="S270" t="str">
        <f>'Audit Report'!Q270</f>
        <v/>
      </c>
    </row>
    <row r="271" spans="4:19">
      <c r="D271" t="str">
        <f>'Audit Report'!B271</f>
        <v>ITD-X270</v>
      </c>
      <c r="E271" t="str">
        <f>'Audit Report'!C271</f>
        <v/>
      </c>
      <c r="I271" t="str">
        <f>'Audit Report'!D271</f>
        <v/>
      </c>
      <c r="J271" t="str">
        <f>'Audit Report'!H271</f>
        <v/>
      </c>
      <c r="L271" t="str">
        <f>_xlfn.TEXTJOIN(", ", FALSE, 'Audit Report'!K271,'Audit Report'!L271,'Audit Report'!M271)</f>
        <v xml:space="preserve">, , </v>
      </c>
      <c r="M271" t="str">
        <f>'Audit Report'!O271</f>
        <v/>
      </c>
      <c r="R271" t="str">
        <f>'Audit Report'!F271</f>
        <v/>
      </c>
      <c r="S271" t="str">
        <f>'Audit Report'!Q271</f>
        <v/>
      </c>
    </row>
    <row r="272" spans="4:19">
      <c r="D272" t="str">
        <f>'Audit Report'!B272</f>
        <v>ITD-X271</v>
      </c>
      <c r="E272" t="str">
        <f>'Audit Report'!C272</f>
        <v/>
      </c>
      <c r="I272" t="str">
        <f>'Audit Report'!D272</f>
        <v/>
      </c>
      <c r="J272" t="str">
        <f>'Audit Report'!H272</f>
        <v/>
      </c>
      <c r="L272" t="str">
        <f>_xlfn.TEXTJOIN(", ", FALSE, 'Audit Report'!K272,'Audit Report'!L272,'Audit Report'!M272)</f>
        <v xml:space="preserve">, , </v>
      </c>
      <c r="M272" t="str">
        <f>'Audit Report'!O272</f>
        <v/>
      </c>
      <c r="R272" t="str">
        <f>'Audit Report'!F272</f>
        <v/>
      </c>
      <c r="S272" t="str">
        <f>'Audit Report'!Q272</f>
        <v/>
      </c>
    </row>
    <row r="273" spans="4:19">
      <c r="D273" t="str">
        <f>'Audit Report'!B273</f>
        <v>ITD-X272</v>
      </c>
      <c r="E273" t="str">
        <f>'Audit Report'!C273</f>
        <v/>
      </c>
      <c r="I273" t="str">
        <f>'Audit Report'!D273</f>
        <v/>
      </c>
      <c r="J273" t="str">
        <f>'Audit Report'!H273</f>
        <v/>
      </c>
      <c r="L273" t="str">
        <f>_xlfn.TEXTJOIN(", ", FALSE, 'Audit Report'!K273,'Audit Report'!L273,'Audit Report'!M273)</f>
        <v xml:space="preserve">, , </v>
      </c>
      <c r="M273" t="str">
        <f>'Audit Report'!O273</f>
        <v/>
      </c>
      <c r="R273" t="str">
        <f>'Audit Report'!F273</f>
        <v/>
      </c>
      <c r="S273" t="str">
        <f>'Audit Report'!Q273</f>
        <v/>
      </c>
    </row>
    <row r="274" spans="4:19">
      <c r="D274" t="str">
        <f>'Audit Report'!B274</f>
        <v>ITD-X273</v>
      </c>
      <c r="E274" t="str">
        <f>'Audit Report'!C274</f>
        <v/>
      </c>
      <c r="I274" t="str">
        <f>'Audit Report'!D274</f>
        <v/>
      </c>
      <c r="J274" t="str">
        <f>'Audit Report'!H274</f>
        <v/>
      </c>
      <c r="L274" t="str">
        <f>_xlfn.TEXTJOIN(", ", FALSE, 'Audit Report'!K274,'Audit Report'!L274,'Audit Report'!M274)</f>
        <v xml:space="preserve">, , </v>
      </c>
      <c r="M274" t="str">
        <f>'Audit Report'!O274</f>
        <v/>
      </c>
      <c r="R274" t="str">
        <f>'Audit Report'!F274</f>
        <v/>
      </c>
      <c r="S274" t="str">
        <f>'Audit Report'!Q274</f>
        <v/>
      </c>
    </row>
    <row r="275" spans="4:19">
      <c r="D275" t="str">
        <f>'Audit Report'!B275</f>
        <v>ITD-X274</v>
      </c>
      <c r="E275" t="str">
        <f>'Audit Report'!C275</f>
        <v/>
      </c>
      <c r="I275" t="str">
        <f>'Audit Report'!D275</f>
        <v/>
      </c>
      <c r="J275" t="str">
        <f>'Audit Report'!H275</f>
        <v/>
      </c>
      <c r="L275" t="str">
        <f>_xlfn.TEXTJOIN(", ", FALSE, 'Audit Report'!K275,'Audit Report'!L275,'Audit Report'!M275)</f>
        <v xml:space="preserve">, , </v>
      </c>
      <c r="M275" t="str">
        <f>'Audit Report'!O275</f>
        <v/>
      </c>
      <c r="R275" t="str">
        <f>'Audit Report'!F275</f>
        <v/>
      </c>
      <c r="S275" t="str">
        <f>'Audit Report'!Q275</f>
        <v/>
      </c>
    </row>
    <row r="276" spans="4:19">
      <c r="D276" t="str">
        <f>'Audit Report'!B276</f>
        <v>ITD-X275</v>
      </c>
      <c r="E276" t="str">
        <f>'Audit Report'!C276</f>
        <v/>
      </c>
      <c r="I276" t="str">
        <f>'Audit Report'!D276</f>
        <v/>
      </c>
      <c r="J276" t="str">
        <f>'Audit Report'!H276</f>
        <v/>
      </c>
      <c r="L276" t="str">
        <f>_xlfn.TEXTJOIN(", ", FALSE, 'Audit Report'!K276,'Audit Report'!L276,'Audit Report'!M276)</f>
        <v xml:space="preserve">, , </v>
      </c>
      <c r="M276" t="str">
        <f>'Audit Report'!O276</f>
        <v/>
      </c>
      <c r="R276" t="str">
        <f>'Audit Report'!F276</f>
        <v/>
      </c>
      <c r="S276" t="str">
        <f>'Audit Report'!Q276</f>
        <v/>
      </c>
    </row>
    <row r="277" spans="4:19">
      <c r="D277" t="str">
        <f>'Audit Report'!B277</f>
        <v>ITD-X276</v>
      </c>
      <c r="E277" t="str">
        <f>'Audit Report'!C277</f>
        <v/>
      </c>
      <c r="I277" t="str">
        <f>'Audit Report'!D277</f>
        <v/>
      </c>
      <c r="J277" t="str">
        <f>'Audit Report'!H277</f>
        <v/>
      </c>
      <c r="L277" t="str">
        <f>_xlfn.TEXTJOIN(", ", FALSE, 'Audit Report'!K277,'Audit Report'!L277,'Audit Report'!M277)</f>
        <v xml:space="preserve">, , </v>
      </c>
      <c r="M277" t="str">
        <f>'Audit Report'!O277</f>
        <v/>
      </c>
      <c r="R277" t="str">
        <f>'Audit Report'!F277</f>
        <v/>
      </c>
      <c r="S277" t="str">
        <f>'Audit Report'!Q277</f>
        <v/>
      </c>
    </row>
    <row r="278" spans="4:19">
      <c r="D278" t="str">
        <f>'Audit Report'!B278</f>
        <v>ITD-X277</v>
      </c>
      <c r="E278" t="str">
        <f>'Audit Report'!C278</f>
        <v/>
      </c>
      <c r="I278" t="str">
        <f>'Audit Report'!D278</f>
        <v/>
      </c>
      <c r="J278" t="str">
        <f>'Audit Report'!H278</f>
        <v/>
      </c>
      <c r="L278" t="str">
        <f>_xlfn.TEXTJOIN(", ", FALSE, 'Audit Report'!K278,'Audit Report'!L278,'Audit Report'!M278)</f>
        <v xml:space="preserve">, , </v>
      </c>
      <c r="M278" t="str">
        <f>'Audit Report'!O278</f>
        <v/>
      </c>
      <c r="R278" t="str">
        <f>'Audit Report'!F278</f>
        <v/>
      </c>
      <c r="S278" t="str">
        <f>'Audit Report'!Q278</f>
        <v/>
      </c>
    </row>
    <row r="279" spans="4:19">
      <c r="D279" t="str">
        <f>'Audit Report'!B279</f>
        <v>ITD-X278</v>
      </c>
      <c r="E279" t="str">
        <f>'Audit Report'!C279</f>
        <v/>
      </c>
      <c r="I279" t="str">
        <f>'Audit Report'!D279</f>
        <v/>
      </c>
      <c r="J279" t="str">
        <f>'Audit Report'!H279</f>
        <v/>
      </c>
      <c r="L279" t="str">
        <f>_xlfn.TEXTJOIN(", ", FALSE, 'Audit Report'!K279,'Audit Report'!L279,'Audit Report'!M279)</f>
        <v xml:space="preserve">, , </v>
      </c>
      <c r="M279" t="str">
        <f>'Audit Report'!O279</f>
        <v/>
      </c>
      <c r="R279" t="str">
        <f>'Audit Report'!F279</f>
        <v/>
      </c>
      <c r="S279" t="str">
        <f>'Audit Report'!Q279</f>
        <v/>
      </c>
    </row>
    <row r="280" spans="4:19">
      <c r="D280" t="str">
        <f>'Audit Report'!B280</f>
        <v>ITD-X279</v>
      </c>
      <c r="E280" t="str">
        <f>'Audit Report'!C280</f>
        <v/>
      </c>
      <c r="I280" t="str">
        <f>'Audit Report'!D280</f>
        <v/>
      </c>
      <c r="J280" t="str">
        <f>'Audit Report'!H280</f>
        <v/>
      </c>
      <c r="L280" t="str">
        <f>_xlfn.TEXTJOIN(", ", FALSE, 'Audit Report'!K280,'Audit Report'!L280,'Audit Report'!M280)</f>
        <v xml:space="preserve">, , </v>
      </c>
      <c r="M280" t="str">
        <f>'Audit Report'!O280</f>
        <v/>
      </c>
      <c r="R280" t="str">
        <f>'Audit Report'!F280</f>
        <v/>
      </c>
      <c r="S280" t="str">
        <f>'Audit Report'!Q280</f>
        <v/>
      </c>
    </row>
    <row r="281" spans="4:19">
      <c r="D281" t="str">
        <f>'Audit Report'!B281</f>
        <v>ITD-X280</v>
      </c>
      <c r="E281" t="str">
        <f>'Audit Report'!C281</f>
        <v/>
      </c>
      <c r="I281" t="str">
        <f>'Audit Report'!D281</f>
        <v/>
      </c>
      <c r="J281" t="str">
        <f>'Audit Report'!H281</f>
        <v/>
      </c>
      <c r="L281" t="str">
        <f>_xlfn.TEXTJOIN(", ", FALSE, 'Audit Report'!K281,'Audit Report'!L281,'Audit Report'!M281)</f>
        <v xml:space="preserve">, , </v>
      </c>
      <c r="M281" t="str">
        <f>'Audit Report'!O281</f>
        <v/>
      </c>
      <c r="R281" t="str">
        <f>'Audit Report'!F281</f>
        <v/>
      </c>
      <c r="S281" t="str">
        <f>'Audit Report'!Q281</f>
        <v/>
      </c>
    </row>
    <row r="282" spans="4:19">
      <c r="D282" t="str">
        <f>'Audit Report'!B282</f>
        <v>ITD-X281</v>
      </c>
      <c r="E282" t="str">
        <f>'Audit Report'!C282</f>
        <v/>
      </c>
      <c r="I282" t="str">
        <f>'Audit Report'!D282</f>
        <v/>
      </c>
      <c r="J282" t="str">
        <f>'Audit Report'!H282</f>
        <v/>
      </c>
      <c r="L282" t="str">
        <f>_xlfn.TEXTJOIN(", ", FALSE, 'Audit Report'!K282,'Audit Report'!L282,'Audit Report'!M282)</f>
        <v xml:space="preserve">, , </v>
      </c>
      <c r="M282" t="str">
        <f>'Audit Report'!O282</f>
        <v/>
      </c>
      <c r="R282" t="str">
        <f>'Audit Report'!F282</f>
        <v/>
      </c>
      <c r="S282" t="str">
        <f>'Audit Report'!Q282</f>
        <v/>
      </c>
    </row>
    <row r="283" spans="4:19">
      <c r="D283" t="str">
        <f>'Audit Report'!B283</f>
        <v>ITD-X282</v>
      </c>
      <c r="E283" t="str">
        <f>'Audit Report'!C283</f>
        <v/>
      </c>
      <c r="I283" t="str">
        <f>'Audit Report'!D283</f>
        <v/>
      </c>
      <c r="J283" t="str">
        <f>'Audit Report'!H283</f>
        <v/>
      </c>
      <c r="L283" t="str">
        <f>_xlfn.TEXTJOIN(", ", FALSE, 'Audit Report'!K283,'Audit Report'!L283,'Audit Report'!M283)</f>
        <v xml:space="preserve">, , </v>
      </c>
      <c r="M283" t="str">
        <f>'Audit Report'!O283</f>
        <v/>
      </c>
      <c r="R283" t="str">
        <f>'Audit Report'!F283</f>
        <v/>
      </c>
      <c r="S283" t="str">
        <f>'Audit Report'!Q283</f>
        <v/>
      </c>
    </row>
    <row r="284" spans="4:19">
      <c r="D284" t="str">
        <f>'Audit Report'!B284</f>
        <v>ITD-X283</v>
      </c>
      <c r="E284" t="str">
        <f>'Audit Report'!C284</f>
        <v/>
      </c>
      <c r="I284" t="str">
        <f>'Audit Report'!D284</f>
        <v/>
      </c>
      <c r="J284" t="str">
        <f>'Audit Report'!H284</f>
        <v/>
      </c>
      <c r="L284" t="str">
        <f>_xlfn.TEXTJOIN(", ", FALSE, 'Audit Report'!K284,'Audit Report'!L284,'Audit Report'!M284)</f>
        <v xml:space="preserve">, , </v>
      </c>
      <c r="M284" t="str">
        <f>'Audit Report'!O284</f>
        <v/>
      </c>
      <c r="R284" t="str">
        <f>'Audit Report'!F284</f>
        <v/>
      </c>
      <c r="S284" t="str">
        <f>'Audit Report'!Q284</f>
        <v/>
      </c>
    </row>
    <row r="285" spans="4:19">
      <c r="D285" t="str">
        <f>'Audit Report'!B285</f>
        <v>ITD-X284</v>
      </c>
      <c r="E285" t="str">
        <f>'Audit Report'!C285</f>
        <v/>
      </c>
      <c r="I285" t="str">
        <f>'Audit Report'!D285</f>
        <v/>
      </c>
      <c r="J285" t="str">
        <f>'Audit Report'!H285</f>
        <v/>
      </c>
      <c r="L285" t="str">
        <f>_xlfn.TEXTJOIN(", ", FALSE, 'Audit Report'!K285,'Audit Report'!L285,'Audit Report'!M285)</f>
        <v xml:space="preserve">, , </v>
      </c>
      <c r="M285" t="str">
        <f>'Audit Report'!O285</f>
        <v/>
      </c>
      <c r="R285" t="str">
        <f>'Audit Report'!F285</f>
        <v/>
      </c>
      <c r="S285" t="str">
        <f>'Audit Report'!Q285</f>
        <v/>
      </c>
    </row>
    <row r="286" spans="4:19">
      <c r="D286" t="str">
        <f>'Audit Report'!B286</f>
        <v>ITD-X285</v>
      </c>
      <c r="E286" t="str">
        <f>'Audit Report'!C286</f>
        <v/>
      </c>
      <c r="I286" t="str">
        <f>'Audit Report'!D286</f>
        <v/>
      </c>
      <c r="J286" t="str">
        <f>'Audit Report'!H286</f>
        <v/>
      </c>
      <c r="L286" t="str">
        <f>_xlfn.TEXTJOIN(", ", FALSE, 'Audit Report'!K286,'Audit Report'!L286,'Audit Report'!M286)</f>
        <v xml:space="preserve">, , </v>
      </c>
      <c r="M286" t="str">
        <f>'Audit Report'!O286</f>
        <v/>
      </c>
      <c r="R286" t="str">
        <f>'Audit Report'!F286</f>
        <v/>
      </c>
      <c r="S286" t="str">
        <f>'Audit Report'!Q286</f>
        <v/>
      </c>
    </row>
    <row r="287" spans="4:19">
      <c r="D287" t="str">
        <f>'Audit Report'!B287</f>
        <v>ITD-X286</v>
      </c>
      <c r="E287" t="str">
        <f>'Audit Report'!C287</f>
        <v/>
      </c>
      <c r="I287" t="str">
        <f>'Audit Report'!D287</f>
        <v/>
      </c>
      <c r="J287" t="str">
        <f>'Audit Report'!H287</f>
        <v/>
      </c>
      <c r="L287" t="str">
        <f>_xlfn.TEXTJOIN(", ", FALSE, 'Audit Report'!K287,'Audit Report'!L287,'Audit Report'!M287)</f>
        <v xml:space="preserve">, , </v>
      </c>
      <c r="M287" t="str">
        <f>'Audit Report'!O287</f>
        <v/>
      </c>
      <c r="R287" t="str">
        <f>'Audit Report'!F287</f>
        <v/>
      </c>
      <c r="S287" t="str">
        <f>'Audit Report'!Q287</f>
        <v/>
      </c>
    </row>
    <row r="288" spans="4:19">
      <c r="D288" t="str">
        <f>'Audit Report'!B288</f>
        <v>ITD-X287</v>
      </c>
      <c r="E288" t="str">
        <f>'Audit Report'!C288</f>
        <v/>
      </c>
      <c r="I288" t="str">
        <f>'Audit Report'!D288</f>
        <v/>
      </c>
      <c r="J288" t="str">
        <f>'Audit Report'!H288</f>
        <v/>
      </c>
      <c r="L288" t="str">
        <f>_xlfn.TEXTJOIN(", ", FALSE, 'Audit Report'!K288,'Audit Report'!L288,'Audit Report'!M288)</f>
        <v xml:space="preserve">, , </v>
      </c>
      <c r="M288" t="str">
        <f>'Audit Report'!O288</f>
        <v/>
      </c>
      <c r="R288" t="str">
        <f>'Audit Report'!F288</f>
        <v/>
      </c>
      <c r="S288" t="str">
        <f>'Audit Report'!Q288</f>
        <v/>
      </c>
    </row>
    <row r="289" spans="4:19">
      <c r="D289" t="str">
        <f>'Audit Report'!B289</f>
        <v>ITD-X288</v>
      </c>
      <c r="E289" t="str">
        <f>'Audit Report'!C289</f>
        <v/>
      </c>
      <c r="I289" t="str">
        <f>'Audit Report'!D289</f>
        <v/>
      </c>
      <c r="J289" t="str">
        <f>'Audit Report'!H289</f>
        <v/>
      </c>
      <c r="L289" t="str">
        <f>_xlfn.TEXTJOIN(", ", FALSE, 'Audit Report'!K289,'Audit Report'!L289,'Audit Report'!M289)</f>
        <v xml:space="preserve">, , </v>
      </c>
      <c r="M289" t="str">
        <f>'Audit Report'!O289</f>
        <v/>
      </c>
      <c r="R289" t="str">
        <f>'Audit Report'!F289</f>
        <v/>
      </c>
      <c r="S289" t="str">
        <f>'Audit Report'!Q289</f>
        <v/>
      </c>
    </row>
    <row r="290" spans="4:19">
      <c r="D290" t="str">
        <f>'Audit Report'!B290</f>
        <v>ITD-X289</v>
      </c>
      <c r="E290" t="str">
        <f>'Audit Report'!C290</f>
        <v/>
      </c>
      <c r="I290" t="str">
        <f>'Audit Report'!D290</f>
        <v/>
      </c>
      <c r="J290" t="str">
        <f>'Audit Report'!H290</f>
        <v/>
      </c>
      <c r="L290" t="str">
        <f>_xlfn.TEXTJOIN(", ", FALSE, 'Audit Report'!K290,'Audit Report'!L290,'Audit Report'!M290)</f>
        <v xml:space="preserve">, , </v>
      </c>
      <c r="M290" t="str">
        <f>'Audit Report'!O290</f>
        <v/>
      </c>
      <c r="R290" t="str">
        <f>'Audit Report'!F290</f>
        <v/>
      </c>
      <c r="S290" t="str">
        <f>'Audit Report'!Q290</f>
        <v/>
      </c>
    </row>
    <row r="291" spans="4:19">
      <c r="D291" t="str">
        <f>'Audit Report'!B291</f>
        <v>ITD-X290</v>
      </c>
      <c r="E291" t="str">
        <f>'Audit Report'!C291</f>
        <v/>
      </c>
      <c r="I291" t="str">
        <f>'Audit Report'!D291</f>
        <v/>
      </c>
      <c r="J291" t="str">
        <f>'Audit Report'!H291</f>
        <v/>
      </c>
      <c r="L291" t="str">
        <f>_xlfn.TEXTJOIN(", ", FALSE, 'Audit Report'!K291,'Audit Report'!L291,'Audit Report'!M291)</f>
        <v xml:space="preserve">, , </v>
      </c>
      <c r="M291" t="str">
        <f>'Audit Report'!O291</f>
        <v/>
      </c>
      <c r="R291" t="str">
        <f>'Audit Report'!F291</f>
        <v/>
      </c>
      <c r="S291" t="str">
        <f>'Audit Report'!Q291</f>
        <v/>
      </c>
    </row>
    <row r="292" spans="4:19">
      <c r="D292" t="str">
        <f>'Audit Report'!B292</f>
        <v>ITD-X291</v>
      </c>
      <c r="E292" t="str">
        <f>'Audit Report'!C292</f>
        <v/>
      </c>
      <c r="I292" t="str">
        <f>'Audit Report'!D292</f>
        <v/>
      </c>
      <c r="J292" t="str">
        <f>'Audit Report'!H292</f>
        <v/>
      </c>
      <c r="L292" t="str">
        <f>_xlfn.TEXTJOIN(", ", FALSE, 'Audit Report'!K292,'Audit Report'!L292,'Audit Report'!M292)</f>
        <v xml:space="preserve">, , </v>
      </c>
      <c r="M292" t="str">
        <f>'Audit Report'!O292</f>
        <v/>
      </c>
      <c r="R292" t="str">
        <f>'Audit Report'!F292</f>
        <v/>
      </c>
      <c r="S292" t="str">
        <f>'Audit Report'!Q292</f>
        <v/>
      </c>
    </row>
    <row r="293" spans="4:19">
      <c r="D293" t="str">
        <f>'Audit Report'!B293</f>
        <v>ITD-X292</v>
      </c>
      <c r="E293" t="str">
        <f>'Audit Report'!C293</f>
        <v/>
      </c>
      <c r="I293" t="str">
        <f>'Audit Report'!D293</f>
        <v/>
      </c>
      <c r="J293" t="str">
        <f>'Audit Report'!H293</f>
        <v/>
      </c>
      <c r="L293" t="str">
        <f>_xlfn.TEXTJOIN(", ", FALSE, 'Audit Report'!K293,'Audit Report'!L293,'Audit Report'!M293)</f>
        <v xml:space="preserve">, , </v>
      </c>
      <c r="M293" t="str">
        <f>'Audit Report'!O293</f>
        <v/>
      </c>
      <c r="R293" t="str">
        <f>'Audit Report'!F293</f>
        <v/>
      </c>
      <c r="S293" t="str">
        <f>'Audit Report'!Q293</f>
        <v/>
      </c>
    </row>
    <row r="294" spans="4:19">
      <c r="D294" t="str">
        <f>'Audit Report'!B294</f>
        <v>ITD-X293</v>
      </c>
      <c r="E294" t="str">
        <f>'Audit Report'!C294</f>
        <v/>
      </c>
      <c r="I294" t="str">
        <f>'Audit Report'!D294</f>
        <v/>
      </c>
      <c r="J294" t="str">
        <f>'Audit Report'!H294</f>
        <v/>
      </c>
      <c r="L294" t="str">
        <f>_xlfn.TEXTJOIN(", ", FALSE, 'Audit Report'!K294,'Audit Report'!L294,'Audit Report'!M294)</f>
        <v xml:space="preserve">, , </v>
      </c>
      <c r="M294" t="str">
        <f>'Audit Report'!O294</f>
        <v/>
      </c>
      <c r="R294" t="str">
        <f>'Audit Report'!F294</f>
        <v/>
      </c>
      <c r="S294" t="str">
        <f>'Audit Report'!Q294</f>
        <v/>
      </c>
    </row>
    <row r="295" spans="4:19">
      <c r="D295" t="str">
        <f>'Audit Report'!B295</f>
        <v>ITD-X294</v>
      </c>
      <c r="E295" t="str">
        <f>'Audit Report'!C295</f>
        <v/>
      </c>
      <c r="I295" t="str">
        <f>'Audit Report'!D295</f>
        <v/>
      </c>
      <c r="J295" t="str">
        <f>'Audit Report'!H295</f>
        <v/>
      </c>
      <c r="L295" t="str">
        <f>_xlfn.TEXTJOIN(", ", FALSE, 'Audit Report'!K295,'Audit Report'!L295,'Audit Report'!M295)</f>
        <v xml:space="preserve">, , </v>
      </c>
      <c r="M295" t="str">
        <f>'Audit Report'!O295</f>
        <v/>
      </c>
      <c r="R295" t="str">
        <f>'Audit Report'!F295</f>
        <v/>
      </c>
      <c r="S295" t="str">
        <f>'Audit Report'!Q295</f>
        <v/>
      </c>
    </row>
    <row r="296" spans="4:19">
      <c r="D296" t="str">
        <f>'Audit Report'!B296</f>
        <v>ITD-X295</v>
      </c>
      <c r="E296" t="str">
        <f>'Audit Report'!C296</f>
        <v/>
      </c>
      <c r="I296" t="str">
        <f>'Audit Report'!D296</f>
        <v/>
      </c>
      <c r="J296" t="str">
        <f>'Audit Report'!H296</f>
        <v/>
      </c>
      <c r="L296" t="str">
        <f>_xlfn.TEXTJOIN(", ", FALSE, 'Audit Report'!K296,'Audit Report'!L296,'Audit Report'!M296)</f>
        <v xml:space="preserve">, , </v>
      </c>
      <c r="M296" t="str">
        <f>'Audit Report'!O296</f>
        <v/>
      </c>
      <c r="R296" t="str">
        <f>'Audit Report'!F296</f>
        <v/>
      </c>
      <c r="S296" t="str">
        <f>'Audit Report'!Q296</f>
        <v/>
      </c>
    </row>
    <row r="297" spans="4:19">
      <c r="D297" t="str">
        <f>'Audit Report'!B297</f>
        <v>ITD-X296</v>
      </c>
      <c r="E297" t="str">
        <f>'Audit Report'!C297</f>
        <v/>
      </c>
      <c r="I297" t="str">
        <f>'Audit Report'!D297</f>
        <v/>
      </c>
      <c r="J297" t="str">
        <f>'Audit Report'!H297</f>
        <v/>
      </c>
      <c r="L297" t="str">
        <f>_xlfn.TEXTJOIN(", ", FALSE, 'Audit Report'!K297,'Audit Report'!L297,'Audit Report'!M297)</f>
        <v xml:space="preserve">, , </v>
      </c>
      <c r="M297" t="str">
        <f>'Audit Report'!O297</f>
        <v/>
      </c>
      <c r="R297" t="str">
        <f>'Audit Report'!F297</f>
        <v/>
      </c>
      <c r="S297" t="str">
        <f>'Audit Report'!Q297</f>
        <v/>
      </c>
    </row>
    <row r="298" spans="4:19">
      <c r="D298" t="str">
        <f>'Audit Report'!B298</f>
        <v>ITD-X297</v>
      </c>
      <c r="E298" t="str">
        <f>'Audit Report'!C298</f>
        <v/>
      </c>
      <c r="I298" t="str">
        <f>'Audit Report'!D298</f>
        <v/>
      </c>
      <c r="J298" t="str">
        <f>'Audit Report'!H298</f>
        <v/>
      </c>
      <c r="L298" t="str">
        <f>_xlfn.TEXTJOIN(", ", FALSE, 'Audit Report'!K298,'Audit Report'!L298,'Audit Report'!M298)</f>
        <v xml:space="preserve">, , </v>
      </c>
      <c r="M298" t="str">
        <f>'Audit Report'!O298</f>
        <v/>
      </c>
      <c r="R298" t="str">
        <f>'Audit Report'!F298</f>
        <v/>
      </c>
      <c r="S298" t="str">
        <f>'Audit Report'!Q298</f>
        <v/>
      </c>
    </row>
    <row r="299" spans="4:19">
      <c r="D299" t="str">
        <f>'Audit Report'!B299</f>
        <v>ITD-X298</v>
      </c>
      <c r="E299" t="str">
        <f>'Audit Report'!C299</f>
        <v/>
      </c>
      <c r="I299" t="str">
        <f>'Audit Report'!D299</f>
        <v/>
      </c>
      <c r="J299" t="str">
        <f>'Audit Report'!H299</f>
        <v/>
      </c>
      <c r="L299" t="str">
        <f>_xlfn.TEXTJOIN(", ", FALSE, 'Audit Report'!K299,'Audit Report'!L299,'Audit Report'!M299)</f>
        <v xml:space="preserve">, , </v>
      </c>
      <c r="M299" t="str">
        <f>'Audit Report'!O299</f>
        <v/>
      </c>
      <c r="R299" t="str">
        <f>'Audit Report'!F299</f>
        <v/>
      </c>
      <c r="S299" t="str">
        <f>'Audit Report'!Q299</f>
        <v/>
      </c>
    </row>
    <row r="300" spans="4:19">
      <c r="D300" t="str">
        <f>'Audit Report'!B300</f>
        <v>ITD-X299</v>
      </c>
      <c r="E300" t="str">
        <f>'Audit Report'!C300</f>
        <v/>
      </c>
      <c r="I300" t="str">
        <f>'Audit Report'!D300</f>
        <v/>
      </c>
      <c r="J300" t="str">
        <f>'Audit Report'!H300</f>
        <v/>
      </c>
      <c r="L300" t="str">
        <f>_xlfn.TEXTJOIN(", ", FALSE, 'Audit Report'!K300,'Audit Report'!L300,'Audit Report'!M300)</f>
        <v xml:space="preserve">, , </v>
      </c>
      <c r="M300" t="str">
        <f>'Audit Report'!O300</f>
        <v/>
      </c>
      <c r="R300" t="str">
        <f>'Audit Report'!F300</f>
        <v/>
      </c>
      <c r="S300" t="str">
        <f>'Audit Report'!Q300</f>
        <v/>
      </c>
    </row>
    <row r="301" spans="4:19">
      <c r="D301" t="str">
        <f>'Audit Report'!B301</f>
        <v>ITD-X300</v>
      </c>
      <c r="E301" t="str">
        <f>'Audit Report'!C301</f>
        <v/>
      </c>
      <c r="I301" t="str">
        <f>'Audit Report'!D301</f>
        <v/>
      </c>
      <c r="J301" t="str">
        <f>'Audit Report'!H301</f>
        <v/>
      </c>
      <c r="L301" t="str">
        <f>_xlfn.TEXTJOIN(", ", FALSE, 'Audit Report'!K301,'Audit Report'!L301,'Audit Report'!M301)</f>
        <v xml:space="preserve">, , </v>
      </c>
      <c r="M301" t="str">
        <f>'Audit Report'!O301</f>
        <v/>
      </c>
      <c r="R301" t="str">
        <f>'Audit Report'!F301</f>
        <v/>
      </c>
      <c r="S301" t="str">
        <f>'Audit Report'!Q301</f>
        <v/>
      </c>
    </row>
    <row r="302" spans="4:19">
      <c r="D302" t="str">
        <f>'Audit Report'!B302</f>
        <v>ITD-X301</v>
      </c>
      <c r="E302" t="str">
        <f>'Audit Report'!C302</f>
        <v/>
      </c>
      <c r="I302" t="str">
        <f>'Audit Report'!D302</f>
        <v/>
      </c>
      <c r="J302" t="str">
        <f>'Audit Report'!H302</f>
        <v/>
      </c>
      <c r="L302" t="str">
        <f>_xlfn.TEXTJOIN(", ", FALSE, 'Audit Report'!K302,'Audit Report'!L302,'Audit Report'!M302)</f>
        <v xml:space="preserve">, , </v>
      </c>
      <c r="M302" t="str">
        <f>'Audit Report'!O302</f>
        <v/>
      </c>
      <c r="R302" t="str">
        <f>'Audit Report'!F302</f>
        <v/>
      </c>
      <c r="S302" t="str">
        <f>'Audit Report'!Q302</f>
        <v/>
      </c>
    </row>
    <row r="303" spans="4:19">
      <c r="D303" t="str">
        <f>'Audit Report'!B303</f>
        <v>ITD-X302</v>
      </c>
      <c r="E303" t="str">
        <f>'Audit Report'!C303</f>
        <v/>
      </c>
      <c r="I303" t="str">
        <f>'Audit Report'!D303</f>
        <v/>
      </c>
      <c r="J303" t="str">
        <f>'Audit Report'!H303</f>
        <v/>
      </c>
      <c r="L303" t="str">
        <f>_xlfn.TEXTJOIN(", ", FALSE, 'Audit Report'!K303,'Audit Report'!L303,'Audit Report'!M303)</f>
        <v xml:space="preserve">, , </v>
      </c>
      <c r="M303" t="str">
        <f>'Audit Report'!O303</f>
        <v/>
      </c>
      <c r="R303" t="str">
        <f>'Audit Report'!F303</f>
        <v/>
      </c>
      <c r="S303" t="str">
        <f>'Audit Report'!Q303</f>
        <v/>
      </c>
    </row>
    <row r="304" spans="4:19">
      <c r="D304" t="str">
        <f>'Audit Report'!B304</f>
        <v>ITD-X303</v>
      </c>
      <c r="E304" t="str">
        <f>'Audit Report'!C304</f>
        <v/>
      </c>
      <c r="I304" t="str">
        <f>'Audit Report'!D304</f>
        <v/>
      </c>
      <c r="J304" t="str">
        <f>'Audit Report'!H304</f>
        <v/>
      </c>
      <c r="L304" t="str">
        <f>_xlfn.TEXTJOIN(", ", FALSE, 'Audit Report'!K304,'Audit Report'!L304,'Audit Report'!M304)</f>
        <v xml:space="preserve">, , </v>
      </c>
      <c r="M304" t="str">
        <f>'Audit Report'!O304</f>
        <v/>
      </c>
      <c r="R304" t="str">
        <f>'Audit Report'!F304</f>
        <v/>
      </c>
      <c r="S304" t="str">
        <f>'Audit Report'!Q304</f>
        <v/>
      </c>
    </row>
    <row r="305" spans="4:19">
      <c r="D305" t="str">
        <f>'Audit Report'!B305</f>
        <v>ITD-X304</v>
      </c>
      <c r="E305" t="str">
        <f>'Audit Report'!C305</f>
        <v/>
      </c>
      <c r="I305" t="str">
        <f>'Audit Report'!D305</f>
        <v/>
      </c>
      <c r="J305" t="str">
        <f>'Audit Report'!H305</f>
        <v/>
      </c>
      <c r="L305" t="str">
        <f>_xlfn.TEXTJOIN(", ", FALSE, 'Audit Report'!K305,'Audit Report'!L305,'Audit Report'!M305)</f>
        <v xml:space="preserve">, , </v>
      </c>
      <c r="M305" t="str">
        <f>'Audit Report'!O305</f>
        <v/>
      </c>
      <c r="R305" t="str">
        <f>'Audit Report'!F305</f>
        <v/>
      </c>
      <c r="S305" t="str">
        <f>'Audit Report'!Q305</f>
        <v/>
      </c>
    </row>
    <row r="306" spans="4:19">
      <c r="D306" t="str">
        <f>'Audit Report'!B306</f>
        <v>ITD-X305</v>
      </c>
      <c r="E306" t="str">
        <f>'Audit Report'!C306</f>
        <v/>
      </c>
      <c r="I306" t="str">
        <f>'Audit Report'!D306</f>
        <v/>
      </c>
      <c r="J306" t="str">
        <f>'Audit Report'!H306</f>
        <v/>
      </c>
      <c r="L306" t="str">
        <f>_xlfn.TEXTJOIN(", ", FALSE, 'Audit Report'!K306,'Audit Report'!L306,'Audit Report'!M306)</f>
        <v xml:space="preserve">, , </v>
      </c>
      <c r="M306" t="str">
        <f>'Audit Report'!O306</f>
        <v/>
      </c>
      <c r="R306" t="str">
        <f>'Audit Report'!F306</f>
        <v/>
      </c>
      <c r="S306" t="str">
        <f>'Audit Report'!Q306</f>
        <v/>
      </c>
    </row>
    <row r="307" spans="4:19">
      <c r="D307" t="str">
        <f>'Audit Report'!B307</f>
        <v>ITD-X306</v>
      </c>
      <c r="E307" t="str">
        <f>'Audit Report'!C307</f>
        <v/>
      </c>
      <c r="I307" t="str">
        <f>'Audit Report'!D307</f>
        <v/>
      </c>
      <c r="J307" t="str">
        <f>'Audit Report'!H307</f>
        <v/>
      </c>
      <c r="L307" t="str">
        <f>_xlfn.TEXTJOIN(", ", FALSE, 'Audit Report'!K307,'Audit Report'!L307,'Audit Report'!M307)</f>
        <v xml:space="preserve">, , </v>
      </c>
      <c r="M307" t="str">
        <f>'Audit Report'!O307</f>
        <v/>
      </c>
      <c r="R307" t="str">
        <f>'Audit Report'!F307</f>
        <v/>
      </c>
      <c r="S307" t="str">
        <f>'Audit Report'!Q307</f>
        <v/>
      </c>
    </row>
    <row r="308" spans="4:19">
      <c r="D308" t="str">
        <f>'Audit Report'!B308</f>
        <v>ITD-X307</v>
      </c>
      <c r="E308" t="str">
        <f>'Audit Report'!C308</f>
        <v/>
      </c>
      <c r="I308" t="str">
        <f>'Audit Report'!D308</f>
        <v/>
      </c>
      <c r="J308" t="str">
        <f>'Audit Report'!H308</f>
        <v/>
      </c>
      <c r="L308" t="str">
        <f>_xlfn.TEXTJOIN(", ", FALSE, 'Audit Report'!K308,'Audit Report'!L308,'Audit Report'!M308)</f>
        <v xml:space="preserve">, , </v>
      </c>
      <c r="M308" t="str">
        <f>'Audit Report'!O308</f>
        <v/>
      </c>
      <c r="R308" t="str">
        <f>'Audit Report'!F308</f>
        <v/>
      </c>
      <c r="S308" t="str">
        <f>'Audit Report'!Q308</f>
        <v/>
      </c>
    </row>
    <row r="309" spans="4:19">
      <c r="D309" t="str">
        <f>'Audit Report'!B309</f>
        <v>ITD-X308</v>
      </c>
      <c r="E309" t="str">
        <f>'Audit Report'!C309</f>
        <v/>
      </c>
      <c r="I309" t="str">
        <f>'Audit Report'!D309</f>
        <v/>
      </c>
      <c r="J309" t="str">
        <f>'Audit Report'!H309</f>
        <v/>
      </c>
      <c r="L309" t="str">
        <f>_xlfn.TEXTJOIN(", ", FALSE, 'Audit Report'!K309,'Audit Report'!L309,'Audit Report'!M309)</f>
        <v xml:space="preserve">, , </v>
      </c>
      <c r="M309" t="str">
        <f>'Audit Report'!O309</f>
        <v/>
      </c>
      <c r="R309" t="str">
        <f>'Audit Report'!F309</f>
        <v/>
      </c>
      <c r="S309" t="str">
        <f>'Audit Report'!Q309</f>
        <v/>
      </c>
    </row>
    <row r="310" spans="4:19">
      <c r="D310" t="str">
        <f>'Audit Report'!B310</f>
        <v>ITD-X309</v>
      </c>
      <c r="E310" t="str">
        <f>'Audit Report'!C310</f>
        <v/>
      </c>
      <c r="I310" t="str">
        <f>'Audit Report'!D310</f>
        <v/>
      </c>
      <c r="J310" t="str">
        <f>'Audit Report'!H310</f>
        <v/>
      </c>
      <c r="L310" t="str">
        <f>_xlfn.TEXTJOIN(", ", FALSE, 'Audit Report'!K310,'Audit Report'!L310,'Audit Report'!M310)</f>
        <v xml:space="preserve">, , </v>
      </c>
      <c r="M310" t="str">
        <f>'Audit Report'!O310</f>
        <v/>
      </c>
      <c r="R310" t="str">
        <f>'Audit Report'!F310</f>
        <v/>
      </c>
      <c r="S310" t="str">
        <f>'Audit Report'!Q310</f>
        <v/>
      </c>
    </row>
    <row r="311" spans="4:19">
      <c r="D311" t="str">
        <f>'Audit Report'!B311</f>
        <v>ITD-X310</v>
      </c>
      <c r="E311" t="str">
        <f>'Audit Report'!C311</f>
        <v/>
      </c>
      <c r="I311" t="str">
        <f>'Audit Report'!D311</f>
        <v/>
      </c>
      <c r="J311" t="str">
        <f>'Audit Report'!H311</f>
        <v/>
      </c>
      <c r="L311" t="str">
        <f>_xlfn.TEXTJOIN(", ", FALSE, 'Audit Report'!K311,'Audit Report'!L311,'Audit Report'!M311)</f>
        <v xml:space="preserve">, , </v>
      </c>
      <c r="M311" t="str">
        <f>'Audit Report'!O311</f>
        <v/>
      </c>
      <c r="R311" t="str">
        <f>'Audit Report'!F311</f>
        <v/>
      </c>
      <c r="S311" t="str">
        <f>'Audit Report'!Q311</f>
        <v/>
      </c>
    </row>
    <row r="312" spans="4:19">
      <c r="D312" t="str">
        <f>'Audit Report'!B312</f>
        <v>ITD-X311</v>
      </c>
      <c r="E312" t="str">
        <f>'Audit Report'!C312</f>
        <v/>
      </c>
      <c r="I312" t="str">
        <f>'Audit Report'!D312</f>
        <v/>
      </c>
      <c r="J312" t="str">
        <f>'Audit Report'!H312</f>
        <v/>
      </c>
      <c r="L312" t="str">
        <f>_xlfn.TEXTJOIN(", ", FALSE, 'Audit Report'!K312,'Audit Report'!L312,'Audit Report'!M312)</f>
        <v xml:space="preserve">, , </v>
      </c>
      <c r="M312" t="str">
        <f>'Audit Report'!O312</f>
        <v/>
      </c>
      <c r="R312" t="str">
        <f>'Audit Report'!F312</f>
        <v/>
      </c>
      <c r="S312" t="str">
        <f>'Audit Report'!Q312</f>
        <v/>
      </c>
    </row>
    <row r="313" spans="4:19">
      <c r="D313" t="str">
        <f>'Audit Report'!B313</f>
        <v>ITD-X312</v>
      </c>
      <c r="E313" t="str">
        <f>'Audit Report'!C313</f>
        <v/>
      </c>
      <c r="I313" t="str">
        <f>'Audit Report'!D313</f>
        <v/>
      </c>
      <c r="J313" t="str">
        <f>'Audit Report'!H313</f>
        <v/>
      </c>
      <c r="L313" t="str">
        <f>_xlfn.TEXTJOIN(", ", FALSE, 'Audit Report'!K313,'Audit Report'!L313,'Audit Report'!M313)</f>
        <v xml:space="preserve">, , </v>
      </c>
      <c r="M313" t="str">
        <f>'Audit Report'!O313</f>
        <v/>
      </c>
      <c r="R313" t="str">
        <f>'Audit Report'!F313</f>
        <v/>
      </c>
      <c r="S313" t="str">
        <f>'Audit Report'!Q313</f>
        <v/>
      </c>
    </row>
    <row r="314" spans="4:19">
      <c r="D314" t="str">
        <f>'Audit Report'!B314</f>
        <v>ITD-X313</v>
      </c>
      <c r="E314" t="str">
        <f>'Audit Report'!C314</f>
        <v/>
      </c>
      <c r="I314" t="str">
        <f>'Audit Report'!D314</f>
        <v/>
      </c>
      <c r="J314" t="str">
        <f>'Audit Report'!H314</f>
        <v/>
      </c>
      <c r="L314" t="str">
        <f>_xlfn.TEXTJOIN(", ", FALSE, 'Audit Report'!K314,'Audit Report'!L314,'Audit Report'!M314)</f>
        <v xml:space="preserve">, , </v>
      </c>
      <c r="M314" t="str">
        <f>'Audit Report'!O314</f>
        <v/>
      </c>
      <c r="R314" t="str">
        <f>'Audit Report'!F314</f>
        <v/>
      </c>
      <c r="S314" t="str">
        <f>'Audit Report'!Q314</f>
        <v/>
      </c>
    </row>
    <row r="315" spans="4:19">
      <c r="D315" t="str">
        <f>'Audit Report'!B315</f>
        <v>ITD-X314</v>
      </c>
      <c r="E315" t="str">
        <f>'Audit Report'!C315</f>
        <v/>
      </c>
      <c r="I315" t="str">
        <f>'Audit Report'!D315</f>
        <v/>
      </c>
      <c r="J315" t="str">
        <f>'Audit Report'!H315</f>
        <v/>
      </c>
      <c r="L315" t="str">
        <f>_xlfn.TEXTJOIN(", ", FALSE, 'Audit Report'!K315,'Audit Report'!L315,'Audit Report'!M315)</f>
        <v xml:space="preserve">, , </v>
      </c>
      <c r="M315" t="str">
        <f>'Audit Report'!O315</f>
        <v/>
      </c>
      <c r="R315" t="str">
        <f>'Audit Report'!F315</f>
        <v/>
      </c>
      <c r="S315" t="str">
        <f>'Audit Report'!Q315</f>
        <v/>
      </c>
    </row>
    <row r="316" spans="4:19">
      <c r="D316" t="str">
        <f>'Audit Report'!B316</f>
        <v>ITD-X315</v>
      </c>
      <c r="E316" t="str">
        <f>'Audit Report'!C316</f>
        <v/>
      </c>
      <c r="I316" t="str">
        <f>'Audit Report'!D316</f>
        <v/>
      </c>
      <c r="J316" t="str">
        <f>'Audit Report'!H316</f>
        <v/>
      </c>
      <c r="L316" t="str">
        <f>_xlfn.TEXTJOIN(", ", FALSE, 'Audit Report'!K316,'Audit Report'!L316,'Audit Report'!M316)</f>
        <v xml:space="preserve">, , </v>
      </c>
      <c r="M316" t="str">
        <f>'Audit Report'!O316</f>
        <v/>
      </c>
      <c r="R316" t="str">
        <f>'Audit Report'!F316</f>
        <v/>
      </c>
      <c r="S316" t="str">
        <f>'Audit Report'!Q316</f>
        <v/>
      </c>
    </row>
    <row r="317" spans="4:19">
      <c r="D317" t="str">
        <f>'Audit Report'!B317</f>
        <v>ITD-X316</v>
      </c>
      <c r="E317" t="str">
        <f>'Audit Report'!C317</f>
        <v/>
      </c>
      <c r="I317" t="str">
        <f>'Audit Report'!D317</f>
        <v/>
      </c>
      <c r="J317" t="str">
        <f>'Audit Report'!H317</f>
        <v/>
      </c>
      <c r="L317" t="str">
        <f>_xlfn.TEXTJOIN(", ", FALSE, 'Audit Report'!K317,'Audit Report'!L317,'Audit Report'!M317)</f>
        <v xml:space="preserve">, , </v>
      </c>
      <c r="M317" t="str">
        <f>'Audit Report'!O317</f>
        <v/>
      </c>
      <c r="R317" t="str">
        <f>'Audit Report'!F317</f>
        <v/>
      </c>
      <c r="S317" t="str">
        <f>'Audit Report'!Q317</f>
        <v/>
      </c>
    </row>
    <row r="318" spans="4:19">
      <c r="D318" t="str">
        <f>'Audit Report'!B318</f>
        <v>ITD-X317</v>
      </c>
      <c r="E318" t="str">
        <f>'Audit Report'!C318</f>
        <v/>
      </c>
      <c r="I318" t="str">
        <f>'Audit Report'!D318</f>
        <v/>
      </c>
      <c r="J318" t="str">
        <f>'Audit Report'!H318</f>
        <v/>
      </c>
      <c r="L318" t="str">
        <f>_xlfn.TEXTJOIN(", ", FALSE, 'Audit Report'!K318,'Audit Report'!L318,'Audit Report'!M318)</f>
        <v xml:space="preserve">, , </v>
      </c>
      <c r="M318" t="str">
        <f>'Audit Report'!O318</f>
        <v/>
      </c>
      <c r="R318" t="str">
        <f>'Audit Report'!F318</f>
        <v/>
      </c>
      <c r="S318" t="str">
        <f>'Audit Report'!Q318</f>
        <v/>
      </c>
    </row>
    <row r="319" spans="4:19">
      <c r="D319" t="str">
        <f>'Audit Report'!B319</f>
        <v>ITD-X318</v>
      </c>
      <c r="E319" t="str">
        <f>'Audit Report'!C319</f>
        <v/>
      </c>
      <c r="I319" t="str">
        <f>'Audit Report'!D319</f>
        <v/>
      </c>
      <c r="J319" t="str">
        <f>'Audit Report'!H319</f>
        <v/>
      </c>
      <c r="L319" t="str">
        <f>_xlfn.TEXTJOIN(", ", FALSE, 'Audit Report'!K319,'Audit Report'!L319,'Audit Report'!M319)</f>
        <v xml:space="preserve">, , </v>
      </c>
      <c r="M319" t="str">
        <f>'Audit Report'!O319</f>
        <v/>
      </c>
      <c r="R319" t="str">
        <f>'Audit Report'!F319</f>
        <v/>
      </c>
      <c r="S319" t="str">
        <f>'Audit Report'!Q319</f>
        <v/>
      </c>
    </row>
    <row r="320" spans="4:19">
      <c r="D320" t="str">
        <f>'Audit Report'!B320</f>
        <v>ITD-X319</v>
      </c>
      <c r="E320" t="str">
        <f>'Audit Report'!C320</f>
        <v/>
      </c>
      <c r="I320" t="str">
        <f>'Audit Report'!D320</f>
        <v/>
      </c>
      <c r="J320" t="str">
        <f>'Audit Report'!H320</f>
        <v/>
      </c>
      <c r="L320" t="str">
        <f>_xlfn.TEXTJOIN(", ", FALSE, 'Audit Report'!K320,'Audit Report'!L320,'Audit Report'!M320)</f>
        <v xml:space="preserve">, , </v>
      </c>
      <c r="M320" t="str">
        <f>'Audit Report'!O320</f>
        <v/>
      </c>
      <c r="R320" t="str">
        <f>'Audit Report'!F320</f>
        <v/>
      </c>
      <c r="S320" t="str">
        <f>'Audit Report'!Q320</f>
        <v/>
      </c>
    </row>
    <row r="321" spans="4:19">
      <c r="D321" t="str">
        <f>'Audit Report'!B321</f>
        <v>ITD-X320</v>
      </c>
      <c r="E321" t="str">
        <f>'Audit Report'!C321</f>
        <v/>
      </c>
      <c r="I321" t="str">
        <f>'Audit Report'!D321</f>
        <v/>
      </c>
      <c r="J321" t="str">
        <f>'Audit Report'!H321</f>
        <v/>
      </c>
      <c r="L321" t="str">
        <f>_xlfn.TEXTJOIN(", ", FALSE, 'Audit Report'!K321,'Audit Report'!L321,'Audit Report'!M321)</f>
        <v xml:space="preserve">, , </v>
      </c>
      <c r="M321" t="str">
        <f>'Audit Report'!O321</f>
        <v/>
      </c>
      <c r="R321" t="str">
        <f>'Audit Report'!F321</f>
        <v/>
      </c>
      <c r="S321" t="str">
        <f>'Audit Report'!Q321</f>
        <v/>
      </c>
    </row>
    <row r="322" spans="4:19">
      <c r="D322" t="str">
        <f>'Audit Report'!B322</f>
        <v>ITD-X321</v>
      </c>
      <c r="E322" t="str">
        <f>'Audit Report'!C322</f>
        <v/>
      </c>
      <c r="I322" t="str">
        <f>'Audit Report'!D322</f>
        <v/>
      </c>
      <c r="J322" t="str">
        <f>'Audit Report'!H322</f>
        <v/>
      </c>
      <c r="L322" t="str">
        <f>_xlfn.TEXTJOIN(", ", FALSE, 'Audit Report'!K322,'Audit Report'!L322,'Audit Report'!M322)</f>
        <v xml:space="preserve">, , </v>
      </c>
      <c r="M322" t="str">
        <f>'Audit Report'!O322</f>
        <v/>
      </c>
      <c r="R322" t="str">
        <f>'Audit Report'!F322</f>
        <v/>
      </c>
      <c r="S322" t="str">
        <f>'Audit Report'!Q322</f>
        <v/>
      </c>
    </row>
    <row r="323" spans="4:19">
      <c r="D323" t="str">
        <f>'Audit Report'!B323</f>
        <v>ITD-X322</v>
      </c>
      <c r="E323" t="str">
        <f>'Audit Report'!C323</f>
        <v/>
      </c>
      <c r="I323" t="str">
        <f>'Audit Report'!D323</f>
        <v/>
      </c>
      <c r="J323" t="str">
        <f>'Audit Report'!H323</f>
        <v/>
      </c>
      <c r="L323" t="str">
        <f>_xlfn.TEXTJOIN(", ", FALSE, 'Audit Report'!K323,'Audit Report'!L323,'Audit Report'!M323)</f>
        <v xml:space="preserve">, , </v>
      </c>
      <c r="M323" t="str">
        <f>'Audit Report'!O323</f>
        <v/>
      </c>
      <c r="R323" t="str">
        <f>'Audit Report'!F323</f>
        <v/>
      </c>
      <c r="S323" t="str">
        <f>'Audit Report'!Q323</f>
        <v/>
      </c>
    </row>
    <row r="324" spans="4:19">
      <c r="D324" t="str">
        <f>'Audit Report'!B324</f>
        <v>ITD-X323</v>
      </c>
      <c r="E324" t="str">
        <f>'Audit Report'!C324</f>
        <v/>
      </c>
      <c r="I324" t="str">
        <f>'Audit Report'!D324</f>
        <v/>
      </c>
      <c r="J324" t="str">
        <f>'Audit Report'!H324</f>
        <v/>
      </c>
      <c r="L324" t="str">
        <f>_xlfn.TEXTJOIN(", ", FALSE, 'Audit Report'!K324,'Audit Report'!L324,'Audit Report'!M324)</f>
        <v xml:space="preserve">, , </v>
      </c>
      <c r="M324" t="str">
        <f>'Audit Report'!O324</f>
        <v/>
      </c>
      <c r="R324" t="str">
        <f>'Audit Report'!F324</f>
        <v/>
      </c>
      <c r="S324" t="str">
        <f>'Audit Report'!Q324</f>
        <v/>
      </c>
    </row>
    <row r="325" spans="4:19">
      <c r="D325" t="str">
        <f>'Audit Report'!B325</f>
        <v>ITD-X324</v>
      </c>
      <c r="E325" t="str">
        <f>'Audit Report'!C325</f>
        <v/>
      </c>
      <c r="I325" t="str">
        <f>'Audit Report'!D325</f>
        <v/>
      </c>
      <c r="J325" t="str">
        <f>'Audit Report'!H325</f>
        <v/>
      </c>
      <c r="L325" t="str">
        <f>_xlfn.TEXTJOIN(", ", FALSE, 'Audit Report'!K325,'Audit Report'!L325,'Audit Report'!M325)</f>
        <v xml:space="preserve">, , </v>
      </c>
      <c r="M325" t="str">
        <f>'Audit Report'!O325</f>
        <v/>
      </c>
      <c r="R325" t="str">
        <f>'Audit Report'!F325</f>
        <v/>
      </c>
      <c r="S325" t="str">
        <f>'Audit Report'!Q325</f>
        <v/>
      </c>
    </row>
    <row r="326" spans="4:19">
      <c r="D326" t="str">
        <f>'Audit Report'!B326</f>
        <v>ITD-X325</v>
      </c>
      <c r="E326" t="str">
        <f>'Audit Report'!C326</f>
        <v/>
      </c>
      <c r="I326" t="str">
        <f>'Audit Report'!D326</f>
        <v/>
      </c>
      <c r="J326" t="str">
        <f>'Audit Report'!H326</f>
        <v/>
      </c>
      <c r="L326" t="str">
        <f>_xlfn.TEXTJOIN(", ", FALSE, 'Audit Report'!K326,'Audit Report'!L326,'Audit Report'!M326)</f>
        <v xml:space="preserve">, , </v>
      </c>
      <c r="M326" t="str">
        <f>'Audit Report'!O326</f>
        <v/>
      </c>
      <c r="R326" t="str">
        <f>'Audit Report'!F326</f>
        <v/>
      </c>
      <c r="S326" t="str">
        <f>'Audit Report'!Q326</f>
        <v/>
      </c>
    </row>
    <row r="327" spans="4:19">
      <c r="D327" t="str">
        <f>'Audit Report'!B327</f>
        <v>ITD-X326</v>
      </c>
      <c r="E327" t="str">
        <f>'Audit Report'!C327</f>
        <v/>
      </c>
      <c r="I327" t="str">
        <f>'Audit Report'!D327</f>
        <v/>
      </c>
      <c r="J327" t="str">
        <f>'Audit Report'!H327</f>
        <v/>
      </c>
      <c r="L327" t="str">
        <f>_xlfn.TEXTJOIN(", ", FALSE, 'Audit Report'!K327,'Audit Report'!L327,'Audit Report'!M327)</f>
        <v xml:space="preserve">, , </v>
      </c>
      <c r="M327" t="str">
        <f>'Audit Report'!O327</f>
        <v/>
      </c>
      <c r="R327" t="str">
        <f>'Audit Report'!F327</f>
        <v/>
      </c>
      <c r="S327" t="str">
        <f>'Audit Report'!Q327</f>
        <v/>
      </c>
    </row>
    <row r="328" spans="4:19">
      <c r="D328" t="str">
        <f>'Audit Report'!B328</f>
        <v>ITD-X327</v>
      </c>
      <c r="E328" t="str">
        <f>'Audit Report'!C328</f>
        <v/>
      </c>
      <c r="I328" t="str">
        <f>'Audit Report'!D328</f>
        <v/>
      </c>
      <c r="J328" t="str">
        <f>'Audit Report'!H328</f>
        <v/>
      </c>
      <c r="L328" t="str">
        <f>_xlfn.TEXTJOIN(", ", FALSE, 'Audit Report'!K328,'Audit Report'!L328,'Audit Report'!M328)</f>
        <v xml:space="preserve">, , </v>
      </c>
      <c r="M328" t="str">
        <f>'Audit Report'!O328</f>
        <v/>
      </c>
      <c r="R328" t="str">
        <f>'Audit Report'!F328</f>
        <v/>
      </c>
      <c r="S328" t="str">
        <f>'Audit Report'!Q328</f>
        <v/>
      </c>
    </row>
    <row r="329" spans="4:19">
      <c r="D329" t="str">
        <f>'Audit Report'!B329</f>
        <v>ITD-X328</v>
      </c>
      <c r="E329" t="str">
        <f>'Audit Report'!C329</f>
        <v/>
      </c>
      <c r="I329" t="str">
        <f>'Audit Report'!D329</f>
        <v/>
      </c>
      <c r="J329" t="str">
        <f>'Audit Report'!H329</f>
        <v/>
      </c>
      <c r="L329" t="str">
        <f>_xlfn.TEXTJOIN(", ", FALSE, 'Audit Report'!K329,'Audit Report'!L329,'Audit Report'!M329)</f>
        <v xml:space="preserve">, , </v>
      </c>
      <c r="M329" t="str">
        <f>'Audit Report'!O329</f>
        <v/>
      </c>
      <c r="R329" t="str">
        <f>'Audit Report'!F329</f>
        <v/>
      </c>
      <c r="S329" t="str">
        <f>'Audit Report'!Q329</f>
        <v/>
      </c>
    </row>
    <row r="330" spans="4:19">
      <c r="D330" t="str">
        <f>'Audit Report'!B330</f>
        <v>ITD-X329</v>
      </c>
      <c r="E330" t="str">
        <f>'Audit Report'!C330</f>
        <v/>
      </c>
      <c r="I330" t="str">
        <f>'Audit Report'!D330</f>
        <v/>
      </c>
      <c r="J330" t="str">
        <f>'Audit Report'!H330</f>
        <v/>
      </c>
      <c r="L330" t="str">
        <f>_xlfn.TEXTJOIN(", ", FALSE, 'Audit Report'!K330,'Audit Report'!L330,'Audit Report'!M330)</f>
        <v xml:space="preserve">, , </v>
      </c>
      <c r="M330" t="str">
        <f>'Audit Report'!O330</f>
        <v/>
      </c>
      <c r="R330" t="str">
        <f>'Audit Report'!F330</f>
        <v/>
      </c>
      <c r="S330" t="str">
        <f>'Audit Report'!Q330</f>
        <v/>
      </c>
    </row>
    <row r="331" spans="4:19">
      <c r="D331" t="str">
        <f>'Audit Report'!B331</f>
        <v>ITD-X330</v>
      </c>
      <c r="E331" t="str">
        <f>'Audit Report'!C331</f>
        <v/>
      </c>
      <c r="I331" t="str">
        <f>'Audit Report'!D331</f>
        <v/>
      </c>
      <c r="J331" t="str">
        <f>'Audit Report'!H331</f>
        <v/>
      </c>
      <c r="L331" t="str">
        <f>_xlfn.TEXTJOIN(", ", FALSE, 'Audit Report'!K331,'Audit Report'!L331,'Audit Report'!M331)</f>
        <v xml:space="preserve">, , </v>
      </c>
      <c r="M331" t="str">
        <f>'Audit Report'!O331</f>
        <v/>
      </c>
      <c r="R331" t="str">
        <f>'Audit Report'!F331</f>
        <v/>
      </c>
      <c r="S331" t="str">
        <f>'Audit Report'!Q331</f>
        <v/>
      </c>
    </row>
    <row r="332" spans="4:19">
      <c r="D332" t="str">
        <f>'Audit Report'!B332</f>
        <v>ITD-X331</v>
      </c>
      <c r="E332" t="str">
        <f>'Audit Report'!C332</f>
        <v/>
      </c>
      <c r="I332" t="str">
        <f>'Audit Report'!D332</f>
        <v/>
      </c>
      <c r="J332" t="str">
        <f>'Audit Report'!H332</f>
        <v/>
      </c>
      <c r="L332" t="str">
        <f>_xlfn.TEXTJOIN(", ", FALSE, 'Audit Report'!K332,'Audit Report'!L332,'Audit Report'!M332)</f>
        <v xml:space="preserve">, , </v>
      </c>
      <c r="M332" t="str">
        <f>'Audit Report'!O332</f>
        <v/>
      </c>
      <c r="R332" t="str">
        <f>'Audit Report'!F332</f>
        <v/>
      </c>
      <c r="S332" t="str">
        <f>'Audit Report'!Q332</f>
        <v/>
      </c>
    </row>
    <row r="333" spans="4:19">
      <c r="D333" t="str">
        <f>'Audit Report'!B333</f>
        <v>ITD-X332</v>
      </c>
      <c r="E333" t="str">
        <f>'Audit Report'!C333</f>
        <v/>
      </c>
      <c r="I333" t="str">
        <f>'Audit Report'!D333</f>
        <v/>
      </c>
      <c r="J333" t="str">
        <f>'Audit Report'!H333</f>
        <v/>
      </c>
      <c r="L333" t="str">
        <f>_xlfn.TEXTJOIN(", ", FALSE, 'Audit Report'!K333,'Audit Report'!L333,'Audit Report'!M333)</f>
        <v xml:space="preserve">, , </v>
      </c>
      <c r="M333" t="str">
        <f>'Audit Report'!O333</f>
        <v/>
      </c>
      <c r="R333" t="str">
        <f>'Audit Report'!F333</f>
        <v/>
      </c>
      <c r="S333" t="str">
        <f>'Audit Report'!Q333</f>
        <v/>
      </c>
    </row>
    <row r="334" spans="4:19">
      <c r="D334" t="str">
        <f>'Audit Report'!B334</f>
        <v>ITD-X333</v>
      </c>
      <c r="E334" t="str">
        <f>'Audit Report'!C334</f>
        <v/>
      </c>
      <c r="I334" t="str">
        <f>'Audit Report'!D334</f>
        <v/>
      </c>
      <c r="J334" t="str">
        <f>'Audit Report'!H334</f>
        <v/>
      </c>
      <c r="L334" t="str">
        <f>_xlfn.TEXTJOIN(", ", FALSE, 'Audit Report'!K334,'Audit Report'!L334,'Audit Report'!M334)</f>
        <v xml:space="preserve">, , </v>
      </c>
      <c r="M334" t="str">
        <f>'Audit Report'!O334</f>
        <v/>
      </c>
      <c r="R334" t="str">
        <f>'Audit Report'!F334</f>
        <v/>
      </c>
      <c r="S334" t="str">
        <f>'Audit Report'!Q334</f>
        <v/>
      </c>
    </row>
    <row r="335" spans="4:19">
      <c r="D335" t="str">
        <f>'Audit Report'!B335</f>
        <v>ITD-X334</v>
      </c>
      <c r="E335" t="str">
        <f>'Audit Report'!C335</f>
        <v/>
      </c>
      <c r="I335" t="str">
        <f>'Audit Report'!D335</f>
        <v/>
      </c>
      <c r="J335" t="str">
        <f>'Audit Report'!H335</f>
        <v/>
      </c>
      <c r="L335" t="str">
        <f>_xlfn.TEXTJOIN(", ", FALSE, 'Audit Report'!K335,'Audit Report'!L335,'Audit Report'!M335)</f>
        <v xml:space="preserve">, , </v>
      </c>
      <c r="M335" t="str">
        <f>'Audit Report'!O335</f>
        <v/>
      </c>
      <c r="R335" t="str">
        <f>'Audit Report'!F335</f>
        <v/>
      </c>
      <c r="S335" t="str">
        <f>'Audit Report'!Q335</f>
        <v/>
      </c>
    </row>
    <row r="336" spans="4:19">
      <c r="D336" t="str">
        <f>'Audit Report'!B336</f>
        <v>ITD-X335</v>
      </c>
      <c r="E336" t="str">
        <f>'Audit Report'!C336</f>
        <v/>
      </c>
      <c r="I336" t="str">
        <f>'Audit Report'!D336</f>
        <v/>
      </c>
      <c r="J336" t="str">
        <f>'Audit Report'!H336</f>
        <v/>
      </c>
      <c r="L336" t="str">
        <f>_xlfn.TEXTJOIN(", ", FALSE, 'Audit Report'!K336,'Audit Report'!L336,'Audit Report'!M336)</f>
        <v xml:space="preserve">, , </v>
      </c>
      <c r="M336" t="str">
        <f>'Audit Report'!O336</f>
        <v/>
      </c>
      <c r="R336" t="str">
        <f>'Audit Report'!F336</f>
        <v/>
      </c>
      <c r="S336" t="str">
        <f>'Audit Report'!Q336</f>
        <v/>
      </c>
    </row>
    <row r="337" spans="4:19">
      <c r="D337" t="str">
        <f>'Audit Report'!B337</f>
        <v>ITD-X336</v>
      </c>
      <c r="E337" t="str">
        <f>'Audit Report'!C337</f>
        <v/>
      </c>
      <c r="I337" t="str">
        <f>'Audit Report'!D337</f>
        <v/>
      </c>
      <c r="J337" t="str">
        <f>'Audit Report'!H337</f>
        <v/>
      </c>
      <c r="L337" t="str">
        <f>_xlfn.TEXTJOIN(", ", FALSE, 'Audit Report'!K337,'Audit Report'!L337,'Audit Report'!M337)</f>
        <v xml:space="preserve">, , </v>
      </c>
      <c r="M337" t="str">
        <f>'Audit Report'!O337</f>
        <v/>
      </c>
      <c r="R337" t="str">
        <f>'Audit Report'!F337</f>
        <v/>
      </c>
      <c r="S337" t="str">
        <f>'Audit Report'!Q337</f>
        <v/>
      </c>
    </row>
    <row r="338" spans="4:19">
      <c r="D338" t="str">
        <f>'Audit Report'!B338</f>
        <v>ITD-X337</v>
      </c>
      <c r="E338" t="str">
        <f>'Audit Report'!C338</f>
        <v/>
      </c>
      <c r="I338" t="str">
        <f>'Audit Report'!D338</f>
        <v/>
      </c>
      <c r="J338" t="str">
        <f>'Audit Report'!H338</f>
        <v/>
      </c>
      <c r="L338" t="str">
        <f>_xlfn.TEXTJOIN(", ", FALSE, 'Audit Report'!K338,'Audit Report'!L338,'Audit Report'!M338)</f>
        <v xml:space="preserve">, , </v>
      </c>
      <c r="M338" t="str">
        <f>'Audit Report'!O338</f>
        <v/>
      </c>
      <c r="R338" t="str">
        <f>'Audit Report'!F338</f>
        <v/>
      </c>
      <c r="S338" t="str">
        <f>'Audit Report'!Q338</f>
        <v/>
      </c>
    </row>
    <row r="339" spans="4:19">
      <c r="D339" t="str">
        <f>'Audit Report'!B339</f>
        <v>ITD-X338</v>
      </c>
      <c r="E339" t="str">
        <f>'Audit Report'!C339</f>
        <v/>
      </c>
      <c r="I339" t="str">
        <f>'Audit Report'!D339</f>
        <v/>
      </c>
      <c r="J339" t="str">
        <f>'Audit Report'!H339</f>
        <v/>
      </c>
      <c r="L339" t="str">
        <f>_xlfn.TEXTJOIN(", ", FALSE, 'Audit Report'!K339,'Audit Report'!L339,'Audit Report'!M339)</f>
        <v xml:space="preserve">, , </v>
      </c>
      <c r="M339" t="str">
        <f>'Audit Report'!O339</f>
        <v/>
      </c>
      <c r="R339" t="str">
        <f>'Audit Report'!F339</f>
        <v/>
      </c>
      <c r="S339" t="str">
        <f>'Audit Report'!Q339</f>
        <v/>
      </c>
    </row>
    <row r="340" spans="4:19">
      <c r="D340" t="str">
        <f>'Audit Report'!B340</f>
        <v>ITD-X339</v>
      </c>
      <c r="E340" t="str">
        <f>'Audit Report'!C340</f>
        <v/>
      </c>
      <c r="I340" t="str">
        <f>'Audit Report'!D340</f>
        <v/>
      </c>
      <c r="J340" t="str">
        <f>'Audit Report'!H340</f>
        <v/>
      </c>
      <c r="L340" t="str">
        <f>_xlfn.TEXTJOIN(", ", FALSE, 'Audit Report'!K340,'Audit Report'!L340,'Audit Report'!M340)</f>
        <v xml:space="preserve">, , </v>
      </c>
      <c r="M340" t="str">
        <f>'Audit Report'!O340</f>
        <v/>
      </c>
      <c r="R340" t="str">
        <f>'Audit Report'!F340</f>
        <v/>
      </c>
      <c r="S340" t="str">
        <f>'Audit Report'!Q340</f>
        <v/>
      </c>
    </row>
    <row r="341" spans="4:19">
      <c r="D341" t="str">
        <f>'Audit Report'!B341</f>
        <v>ITD-X340</v>
      </c>
      <c r="E341" t="str">
        <f>'Audit Report'!C341</f>
        <v/>
      </c>
      <c r="I341" t="str">
        <f>'Audit Report'!D341</f>
        <v/>
      </c>
      <c r="J341" t="str">
        <f>'Audit Report'!H341</f>
        <v/>
      </c>
      <c r="L341" t="str">
        <f>_xlfn.TEXTJOIN(", ", FALSE, 'Audit Report'!K341,'Audit Report'!L341,'Audit Report'!M341)</f>
        <v xml:space="preserve">, , </v>
      </c>
      <c r="M341" t="str">
        <f>'Audit Report'!O341</f>
        <v/>
      </c>
      <c r="R341" t="str">
        <f>'Audit Report'!F341</f>
        <v/>
      </c>
      <c r="S341" t="str">
        <f>'Audit Report'!Q341</f>
        <v/>
      </c>
    </row>
    <row r="342" spans="4:19">
      <c r="D342" t="str">
        <f>'Audit Report'!B342</f>
        <v>ITD-X341</v>
      </c>
      <c r="E342" t="str">
        <f>'Audit Report'!C342</f>
        <v/>
      </c>
      <c r="I342" t="str">
        <f>'Audit Report'!D342</f>
        <v/>
      </c>
      <c r="J342" t="str">
        <f>'Audit Report'!H342</f>
        <v/>
      </c>
      <c r="L342" t="str">
        <f>_xlfn.TEXTJOIN(", ", FALSE, 'Audit Report'!K342,'Audit Report'!L342,'Audit Report'!M342)</f>
        <v xml:space="preserve">, , </v>
      </c>
      <c r="M342" t="str">
        <f>'Audit Report'!O342</f>
        <v/>
      </c>
      <c r="R342" t="str">
        <f>'Audit Report'!F342</f>
        <v/>
      </c>
      <c r="S342" t="str">
        <f>'Audit Report'!Q342</f>
        <v/>
      </c>
    </row>
    <row r="343" spans="4:19">
      <c r="D343" t="str">
        <f>'Audit Report'!B343</f>
        <v>ITD-X342</v>
      </c>
      <c r="E343" t="str">
        <f>'Audit Report'!C343</f>
        <v/>
      </c>
      <c r="I343" t="str">
        <f>'Audit Report'!D343</f>
        <v/>
      </c>
      <c r="J343" t="str">
        <f>'Audit Report'!H343</f>
        <v/>
      </c>
      <c r="L343" t="str">
        <f>_xlfn.TEXTJOIN(", ", FALSE, 'Audit Report'!K343,'Audit Report'!L343,'Audit Report'!M343)</f>
        <v xml:space="preserve">, , </v>
      </c>
      <c r="M343" t="str">
        <f>'Audit Report'!O343</f>
        <v/>
      </c>
      <c r="R343" t="str">
        <f>'Audit Report'!F343</f>
        <v/>
      </c>
      <c r="S343" t="str">
        <f>'Audit Report'!Q343</f>
        <v/>
      </c>
    </row>
    <row r="344" spans="4:19">
      <c r="D344" t="str">
        <f>'Audit Report'!B344</f>
        <v>ITD-X343</v>
      </c>
      <c r="E344" t="str">
        <f>'Audit Report'!C344</f>
        <v/>
      </c>
      <c r="I344" t="str">
        <f>'Audit Report'!D344</f>
        <v/>
      </c>
      <c r="J344" t="str">
        <f>'Audit Report'!H344</f>
        <v/>
      </c>
      <c r="L344" t="str">
        <f>_xlfn.TEXTJOIN(", ", FALSE, 'Audit Report'!K344,'Audit Report'!L344,'Audit Report'!M344)</f>
        <v xml:space="preserve">, , </v>
      </c>
      <c r="M344" t="str">
        <f>'Audit Report'!O344</f>
        <v/>
      </c>
      <c r="R344" t="str">
        <f>'Audit Report'!F344</f>
        <v/>
      </c>
      <c r="S344" t="str">
        <f>'Audit Report'!Q344</f>
        <v/>
      </c>
    </row>
    <row r="345" spans="4:19">
      <c r="D345" t="str">
        <f>'Audit Report'!B345</f>
        <v>ITD-X344</v>
      </c>
      <c r="E345" t="str">
        <f>'Audit Report'!C345</f>
        <v/>
      </c>
      <c r="I345" t="str">
        <f>'Audit Report'!D345</f>
        <v/>
      </c>
      <c r="J345" t="str">
        <f>'Audit Report'!H345</f>
        <v/>
      </c>
      <c r="L345" t="str">
        <f>_xlfn.TEXTJOIN(", ", FALSE, 'Audit Report'!K345,'Audit Report'!L345,'Audit Report'!M345)</f>
        <v xml:space="preserve">, , </v>
      </c>
      <c r="M345" t="str">
        <f>'Audit Report'!O345</f>
        <v/>
      </c>
      <c r="R345" t="str">
        <f>'Audit Report'!F345</f>
        <v/>
      </c>
      <c r="S345" t="str">
        <f>'Audit Report'!Q345</f>
        <v/>
      </c>
    </row>
    <row r="346" spans="4:19">
      <c r="D346" t="str">
        <f>'Audit Report'!B346</f>
        <v>ITD-X345</v>
      </c>
      <c r="E346" t="str">
        <f>'Audit Report'!C346</f>
        <v/>
      </c>
      <c r="I346" t="str">
        <f>'Audit Report'!D346</f>
        <v/>
      </c>
      <c r="J346" t="str">
        <f>'Audit Report'!H346</f>
        <v/>
      </c>
      <c r="L346" t="str">
        <f>_xlfn.TEXTJOIN(", ", FALSE, 'Audit Report'!K346,'Audit Report'!L346,'Audit Report'!M346)</f>
        <v xml:space="preserve">, , </v>
      </c>
      <c r="M346" t="str">
        <f>'Audit Report'!O346</f>
        <v/>
      </c>
      <c r="R346" t="str">
        <f>'Audit Report'!F346</f>
        <v/>
      </c>
      <c r="S346" t="str">
        <f>'Audit Report'!Q346</f>
        <v/>
      </c>
    </row>
    <row r="347" spans="4:19">
      <c r="D347" t="str">
        <f>'Audit Report'!B347</f>
        <v>ITD-X346</v>
      </c>
      <c r="E347" t="str">
        <f>'Audit Report'!C347</f>
        <v/>
      </c>
      <c r="I347" t="str">
        <f>'Audit Report'!D347</f>
        <v/>
      </c>
      <c r="J347" t="str">
        <f>'Audit Report'!H347</f>
        <v/>
      </c>
      <c r="L347" t="str">
        <f>_xlfn.TEXTJOIN(", ", FALSE, 'Audit Report'!K347,'Audit Report'!L347,'Audit Report'!M347)</f>
        <v xml:space="preserve">, , </v>
      </c>
      <c r="M347" t="str">
        <f>'Audit Report'!O347</f>
        <v/>
      </c>
      <c r="R347" t="str">
        <f>'Audit Report'!F347</f>
        <v/>
      </c>
      <c r="S347" t="str">
        <f>'Audit Report'!Q347</f>
        <v/>
      </c>
    </row>
    <row r="348" spans="4:19">
      <c r="D348" t="str">
        <f>'Audit Report'!B348</f>
        <v>ITD-X347</v>
      </c>
      <c r="E348" t="str">
        <f>'Audit Report'!C348</f>
        <v/>
      </c>
      <c r="I348" t="str">
        <f>'Audit Report'!D348</f>
        <v/>
      </c>
      <c r="J348" t="str">
        <f>'Audit Report'!H348</f>
        <v/>
      </c>
      <c r="L348" t="str">
        <f>_xlfn.TEXTJOIN(", ", FALSE, 'Audit Report'!K348,'Audit Report'!L348,'Audit Report'!M348)</f>
        <v xml:space="preserve">, , </v>
      </c>
      <c r="M348" t="str">
        <f>'Audit Report'!O348</f>
        <v/>
      </c>
      <c r="R348" t="str">
        <f>'Audit Report'!F348</f>
        <v/>
      </c>
      <c r="S348" t="str">
        <f>'Audit Report'!Q348</f>
        <v/>
      </c>
    </row>
    <row r="349" spans="4:19">
      <c r="D349" t="str">
        <f>'Audit Report'!B349</f>
        <v>ITD-X348</v>
      </c>
      <c r="E349" t="str">
        <f>'Audit Report'!C349</f>
        <v/>
      </c>
      <c r="I349" t="str">
        <f>'Audit Report'!D349</f>
        <v/>
      </c>
      <c r="J349" t="str">
        <f>'Audit Report'!H349</f>
        <v/>
      </c>
      <c r="L349" t="str">
        <f>_xlfn.TEXTJOIN(", ", FALSE, 'Audit Report'!K349,'Audit Report'!L349,'Audit Report'!M349)</f>
        <v xml:space="preserve">, , </v>
      </c>
      <c r="M349" t="str">
        <f>'Audit Report'!O349</f>
        <v/>
      </c>
      <c r="R349" t="str">
        <f>'Audit Report'!F349</f>
        <v/>
      </c>
      <c r="S349" t="str">
        <f>'Audit Report'!Q349</f>
        <v/>
      </c>
    </row>
    <row r="350" spans="4:19">
      <c r="D350" t="str">
        <f>'Audit Report'!B350</f>
        <v>ITD-X349</v>
      </c>
      <c r="E350" t="str">
        <f>'Audit Report'!C350</f>
        <v/>
      </c>
      <c r="I350" t="str">
        <f>'Audit Report'!D350</f>
        <v/>
      </c>
      <c r="J350" t="str">
        <f>'Audit Report'!H350</f>
        <v/>
      </c>
      <c r="L350" t="str">
        <f>_xlfn.TEXTJOIN(", ", FALSE, 'Audit Report'!K350,'Audit Report'!L350,'Audit Report'!M350)</f>
        <v xml:space="preserve">, , </v>
      </c>
      <c r="M350" t="str">
        <f>'Audit Report'!O350</f>
        <v/>
      </c>
      <c r="R350" t="str">
        <f>'Audit Report'!F350</f>
        <v/>
      </c>
      <c r="S350" t="str">
        <f>'Audit Report'!Q350</f>
        <v/>
      </c>
    </row>
    <row r="351" spans="4:19">
      <c r="D351" t="str">
        <f>'Audit Report'!B351</f>
        <v>ITD-X350</v>
      </c>
      <c r="E351" t="str">
        <f>'Audit Report'!C351</f>
        <v/>
      </c>
      <c r="I351" t="str">
        <f>'Audit Report'!D351</f>
        <v/>
      </c>
      <c r="J351" t="str">
        <f>'Audit Report'!H351</f>
        <v/>
      </c>
      <c r="L351" t="str">
        <f>_xlfn.TEXTJOIN(", ", FALSE, 'Audit Report'!K351,'Audit Report'!L351,'Audit Report'!M351)</f>
        <v xml:space="preserve">, , </v>
      </c>
      <c r="M351" t="str">
        <f>'Audit Report'!O351</f>
        <v/>
      </c>
      <c r="R351" t="str">
        <f>'Audit Report'!F351</f>
        <v/>
      </c>
      <c r="S351" t="str">
        <f>'Audit Report'!Q351</f>
        <v/>
      </c>
    </row>
    <row r="352" spans="4:19">
      <c r="D352" t="str">
        <f>'Audit Report'!B352</f>
        <v>ITD-X351</v>
      </c>
      <c r="E352" t="str">
        <f>'Audit Report'!C352</f>
        <v/>
      </c>
      <c r="I352" t="str">
        <f>'Audit Report'!D352</f>
        <v/>
      </c>
      <c r="J352" t="str">
        <f>'Audit Report'!H352</f>
        <v/>
      </c>
      <c r="L352" t="str">
        <f>_xlfn.TEXTJOIN(", ", FALSE, 'Audit Report'!K352,'Audit Report'!L352,'Audit Report'!M352)</f>
        <v xml:space="preserve">, , </v>
      </c>
      <c r="M352" t="str">
        <f>'Audit Report'!O352</f>
        <v/>
      </c>
      <c r="R352" t="str">
        <f>'Audit Report'!F352</f>
        <v/>
      </c>
      <c r="S352" t="str">
        <f>'Audit Report'!Q352</f>
        <v/>
      </c>
    </row>
    <row r="353" spans="4:19">
      <c r="D353" t="str">
        <f>'Audit Report'!B353</f>
        <v>ITD-X352</v>
      </c>
      <c r="E353" t="str">
        <f>'Audit Report'!C353</f>
        <v/>
      </c>
      <c r="I353" t="str">
        <f>'Audit Report'!D353</f>
        <v/>
      </c>
      <c r="J353" t="str">
        <f>'Audit Report'!H353</f>
        <v/>
      </c>
      <c r="L353" t="str">
        <f>_xlfn.TEXTJOIN(", ", FALSE, 'Audit Report'!K353,'Audit Report'!L353,'Audit Report'!M353)</f>
        <v xml:space="preserve">, , </v>
      </c>
      <c r="M353" t="str">
        <f>'Audit Report'!O353</f>
        <v/>
      </c>
      <c r="R353" t="str">
        <f>'Audit Report'!F353</f>
        <v/>
      </c>
      <c r="S353" t="str">
        <f>'Audit Report'!Q353</f>
        <v/>
      </c>
    </row>
    <row r="354" spans="4:19">
      <c r="D354" t="str">
        <f>'Audit Report'!B354</f>
        <v>ITD-X353</v>
      </c>
      <c r="E354" t="str">
        <f>'Audit Report'!C354</f>
        <v/>
      </c>
      <c r="I354" t="str">
        <f>'Audit Report'!D354</f>
        <v/>
      </c>
      <c r="J354" t="str">
        <f>'Audit Report'!H354</f>
        <v/>
      </c>
      <c r="L354" t="str">
        <f>_xlfn.TEXTJOIN(", ", FALSE, 'Audit Report'!K354,'Audit Report'!L354,'Audit Report'!M354)</f>
        <v xml:space="preserve">, , </v>
      </c>
      <c r="M354" t="str">
        <f>'Audit Report'!O354</f>
        <v/>
      </c>
      <c r="R354" t="str">
        <f>'Audit Report'!F354</f>
        <v/>
      </c>
      <c r="S354" t="str">
        <f>'Audit Report'!Q354</f>
        <v/>
      </c>
    </row>
    <row r="355" spans="4:19">
      <c r="D355" t="str">
        <f>'Audit Report'!B355</f>
        <v>ITD-X354</v>
      </c>
      <c r="E355" t="str">
        <f>'Audit Report'!C355</f>
        <v/>
      </c>
      <c r="I355" t="str">
        <f>'Audit Report'!D355</f>
        <v/>
      </c>
      <c r="J355" t="str">
        <f>'Audit Report'!H355</f>
        <v/>
      </c>
      <c r="L355" t="str">
        <f>_xlfn.TEXTJOIN(", ", FALSE, 'Audit Report'!K355,'Audit Report'!L355,'Audit Report'!M355)</f>
        <v xml:space="preserve">, , </v>
      </c>
      <c r="M355" t="str">
        <f>'Audit Report'!O355</f>
        <v/>
      </c>
      <c r="R355" t="str">
        <f>'Audit Report'!F355</f>
        <v/>
      </c>
      <c r="S355" t="str">
        <f>'Audit Report'!Q355</f>
        <v/>
      </c>
    </row>
    <row r="356" spans="4:19">
      <c r="D356" t="str">
        <f>'Audit Report'!B356</f>
        <v>ITD-X355</v>
      </c>
      <c r="E356" t="str">
        <f>'Audit Report'!C356</f>
        <v/>
      </c>
      <c r="I356" t="str">
        <f>'Audit Report'!D356</f>
        <v/>
      </c>
      <c r="J356" t="str">
        <f>'Audit Report'!H356</f>
        <v/>
      </c>
      <c r="L356" t="str">
        <f>_xlfn.TEXTJOIN(", ", FALSE, 'Audit Report'!K356,'Audit Report'!L356,'Audit Report'!M356)</f>
        <v xml:space="preserve">, , </v>
      </c>
      <c r="M356" t="str">
        <f>'Audit Report'!O356</f>
        <v/>
      </c>
      <c r="R356" t="str">
        <f>'Audit Report'!F356</f>
        <v/>
      </c>
      <c r="S356" t="str">
        <f>'Audit Report'!Q356</f>
        <v/>
      </c>
    </row>
    <row r="357" spans="4:19">
      <c r="D357" t="str">
        <f>'Audit Report'!B357</f>
        <v>ITD-X356</v>
      </c>
      <c r="E357" t="str">
        <f>'Audit Report'!C357</f>
        <v/>
      </c>
      <c r="I357" t="str">
        <f>'Audit Report'!D357</f>
        <v/>
      </c>
      <c r="J357" t="str">
        <f>'Audit Report'!H357</f>
        <v/>
      </c>
      <c r="L357" t="str">
        <f>_xlfn.TEXTJOIN(", ", FALSE, 'Audit Report'!K357,'Audit Report'!L357,'Audit Report'!M357)</f>
        <v xml:space="preserve">, , </v>
      </c>
      <c r="M357" t="str">
        <f>'Audit Report'!O357</f>
        <v/>
      </c>
      <c r="R357" t="str">
        <f>'Audit Report'!F357</f>
        <v/>
      </c>
      <c r="S357" t="str">
        <f>'Audit Report'!Q357</f>
        <v/>
      </c>
    </row>
    <row r="358" spans="4:19">
      <c r="D358" t="str">
        <f>'Audit Report'!B358</f>
        <v>ITD-X357</v>
      </c>
      <c r="E358" t="str">
        <f>'Audit Report'!C358</f>
        <v/>
      </c>
      <c r="I358" t="str">
        <f>'Audit Report'!D358</f>
        <v/>
      </c>
      <c r="J358" t="str">
        <f>'Audit Report'!H358</f>
        <v/>
      </c>
      <c r="L358" t="str">
        <f>_xlfn.TEXTJOIN(", ", FALSE, 'Audit Report'!K358,'Audit Report'!L358,'Audit Report'!M358)</f>
        <v xml:space="preserve">, , </v>
      </c>
      <c r="M358" t="str">
        <f>'Audit Report'!O358</f>
        <v/>
      </c>
      <c r="R358" t="str">
        <f>'Audit Report'!F358</f>
        <v/>
      </c>
      <c r="S358" t="str">
        <f>'Audit Report'!Q358</f>
        <v/>
      </c>
    </row>
    <row r="359" spans="4:19">
      <c r="D359" t="str">
        <f>'Audit Report'!B359</f>
        <v>ITD-X358</v>
      </c>
      <c r="E359" t="str">
        <f>'Audit Report'!C359</f>
        <v/>
      </c>
      <c r="I359" t="str">
        <f>'Audit Report'!D359</f>
        <v/>
      </c>
      <c r="J359" t="str">
        <f>'Audit Report'!H359</f>
        <v/>
      </c>
      <c r="L359" t="str">
        <f>_xlfn.TEXTJOIN(", ", FALSE, 'Audit Report'!K359,'Audit Report'!L359,'Audit Report'!M359)</f>
        <v xml:space="preserve">, , </v>
      </c>
      <c r="M359" t="str">
        <f>'Audit Report'!O359</f>
        <v/>
      </c>
      <c r="R359" t="str">
        <f>'Audit Report'!F359</f>
        <v/>
      </c>
      <c r="S359" t="str">
        <f>'Audit Report'!Q359</f>
        <v/>
      </c>
    </row>
    <row r="360" spans="4:19">
      <c r="D360" t="str">
        <f>'Audit Report'!B360</f>
        <v>ITD-X359</v>
      </c>
      <c r="E360" t="str">
        <f>'Audit Report'!C360</f>
        <v/>
      </c>
      <c r="I360" t="str">
        <f>'Audit Report'!D360</f>
        <v/>
      </c>
      <c r="J360" t="str">
        <f>'Audit Report'!H360</f>
        <v/>
      </c>
      <c r="L360" t="str">
        <f>_xlfn.TEXTJOIN(", ", FALSE, 'Audit Report'!K360,'Audit Report'!L360,'Audit Report'!M360)</f>
        <v xml:space="preserve">, , </v>
      </c>
      <c r="M360" t="str">
        <f>'Audit Report'!O360</f>
        <v/>
      </c>
      <c r="R360" t="str">
        <f>'Audit Report'!F360</f>
        <v/>
      </c>
      <c r="S360" t="str">
        <f>'Audit Report'!Q360</f>
        <v/>
      </c>
    </row>
    <row r="361" spans="4:19">
      <c r="D361" t="str">
        <f>'Audit Report'!B361</f>
        <v>ITD-X360</v>
      </c>
      <c r="E361" t="str">
        <f>'Audit Report'!C361</f>
        <v/>
      </c>
      <c r="I361" t="str">
        <f>'Audit Report'!D361</f>
        <v/>
      </c>
      <c r="J361" t="str">
        <f>'Audit Report'!H361</f>
        <v/>
      </c>
      <c r="L361" t="str">
        <f>_xlfn.TEXTJOIN(", ", FALSE, 'Audit Report'!K361,'Audit Report'!L361,'Audit Report'!M361)</f>
        <v xml:space="preserve">, , </v>
      </c>
      <c r="M361" t="str">
        <f>'Audit Report'!O361</f>
        <v/>
      </c>
      <c r="R361" t="str">
        <f>'Audit Report'!F361</f>
        <v/>
      </c>
      <c r="S361" t="str">
        <f>'Audit Report'!Q361</f>
        <v/>
      </c>
    </row>
    <row r="362" spans="4:19">
      <c r="D362" t="str">
        <f>'Audit Report'!B362</f>
        <v>ITD-X361</v>
      </c>
      <c r="E362" t="str">
        <f>'Audit Report'!C362</f>
        <v/>
      </c>
      <c r="I362" t="str">
        <f>'Audit Report'!D362</f>
        <v/>
      </c>
      <c r="J362" t="str">
        <f>'Audit Report'!H362</f>
        <v/>
      </c>
      <c r="L362" t="str">
        <f>_xlfn.TEXTJOIN(", ", FALSE, 'Audit Report'!K362,'Audit Report'!L362,'Audit Report'!M362)</f>
        <v xml:space="preserve">, , </v>
      </c>
      <c r="M362" t="str">
        <f>'Audit Report'!O362</f>
        <v/>
      </c>
      <c r="R362" t="str">
        <f>'Audit Report'!F362</f>
        <v/>
      </c>
      <c r="S362" t="str">
        <f>'Audit Report'!Q362</f>
        <v/>
      </c>
    </row>
    <row r="363" spans="4:19">
      <c r="D363" t="str">
        <f>'Audit Report'!B363</f>
        <v>ITD-X362</v>
      </c>
      <c r="E363" t="str">
        <f>'Audit Report'!C363</f>
        <v/>
      </c>
      <c r="I363" t="str">
        <f>'Audit Report'!D363</f>
        <v/>
      </c>
      <c r="J363" t="str">
        <f>'Audit Report'!H363</f>
        <v/>
      </c>
      <c r="L363" t="str">
        <f>_xlfn.TEXTJOIN(", ", FALSE, 'Audit Report'!K363,'Audit Report'!L363,'Audit Report'!M363)</f>
        <v xml:space="preserve">, , </v>
      </c>
      <c r="M363" t="str">
        <f>'Audit Report'!O363</f>
        <v/>
      </c>
      <c r="R363" t="str">
        <f>'Audit Report'!F363</f>
        <v/>
      </c>
      <c r="S363" t="str">
        <f>'Audit Report'!Q363</f>
        <v/>
      </c>
    </row>
    <row r="364" spans="4:19">
      <c r="D364" t="str">
        <f>'Audit Report'!B364</f>
        <v>ITD-X363</v>
      </c>
      <c r="E364" t="str">
        <f>'Audit Report'!C364</f>
        <v/>
      </c>
      <c r="I364" t="str">
        <f>'Audit Report'!D364</f>
        <v/>
      </c>
      <c r="J364" t="str">
        <f>'Audit Report'!H364</f>
        <v/>
      </c>
      <c r="L364" t="str">
        <f>_xlfn.TEXTJOIN(", ", FALSE, 'Audit Report'!K364,'Audit Report'!L364,'Audit Report'!M364)</f>
        <v xml:space="preserve">, , </v>
      </c>
      <c r="M364" t="str">
        <f>'Audit Report'!O364</f>
        <v/>
      </c>
      <c r="R364" t="str">
        <f>'Audit Report'!F364</f>
        <v/>
      </c>
      <c r="S364" t="str">
        <f>'Audit Report'!Q364</f>
        <v/>
      </c>
    </row>
    <row r="365" spans="4:19">
      <c r="D365" t="str">
        <f>'Audit Report'!B365</f>
        <v>ITD-X364</v>
      </c>
      <c r="E365" t="str">
        <f>'Audit Report'!C365</f>
        <v/>
      </c>
      <c r="I365" t="str">
        <f>'Audit Report'!D365</f>
        <v/>
      </c>
      <c r="J365" t="str">
        <f>'Audit Report'!H365</f>
        <v/>
      </c>
      <c r="L365" t="str">
        <f>_xlfn.TEXTJOIN(", ", FALSE, 'Audit Report'!K365,'Audit Report'!L365,'Audit Report'!M365)</f>
        <v xml:space="preserve">, , </v>
      </c>
      <c r="M365" t="str">
        <f>'Audit Report'!O365</f>
        <v/>
      </c>
      <c r="R365" t="str">
        <f>'Audit Report'!F365</f>
        <v/>
      </c>
      <c r="S365" t="str">
        <f>'Audit Report'!Q365</f>
        <v/>
      </c>
    </row>
    <row r="366" spans="4:19">
      <c r="D366" t="str">
        <f>'Audit Report'!B366</f>
        <v>ITD-X365</v>
      </c>
      <c r="E366" t="str">
        <f>'Audit Report'!C366</f>
        <v/>
      </c>
      <c r="I366" t="str">
        <f>'Audit Report'!D366</f>
        <v/>
      </c>
      <c r="J366" t="str">
        <f>'Audit Report'!H366</f>
        <v/>
      </c>
      <c r="L366" t="str">
        <f>_xlfn.TEXTJOIN(", ", FALSE, 'Audit Report'!K366,'Audit Report'!L366,'Audit Report'!M366)</f>
        <v xml:space="preserve">, , </v>
      </c>
      <c r="M366" t="str">
        <f>'Audit Report'!O366</f>
        <v/>
      </c>
      <c r="R366" t="str">
        <f>'Audit Report'!F366</f>
        <v/>
      </c>
      <c r="S366" t="str">
        <f>'Audit Report'!Q366</f>
        <v/>
      </c>
    </row>
    <row r="367" spans="4:19">
      <c r="D367" t="str">
        <f>'Audit Report'!B367</f>
        <v>ITD-X366</v>
      </c>
      <c r="E367" t="str">
        <f>'Audit Report'!C367</f>
        <v/>
      </c>
      <c r="I367" t="str">
        <f>'Audit Report'!D367</f>
        <v/>
      </c>
      <c r="J367" t="str">
        <f>'Audit Report'!H367</f>
        <v/>
      </c>
      <c r="L367" t="str">
        <f>_xlfn.TEXTJOIN(", ", FALSE, 'Audit Report'!K367,'Audit Report'!L367,'Audit Report'!M367)</f>
        <v xml:space="preserve">, , </v>
      </c>
      <c r="M367" t="str">
        <f>'Audit Report'!O367</f>
        <v/>
      </c>
      <c r="R367" t="str">
        <f>'Audit Report'!F367</f>
        <v/>
      </c>
      <c r="S367" t="str">
        <f>'Audit Report'!Q367</f>
        <v/>
      </c>
    </row>
    <row r="368" spans="4:19">
      <c r="D368" t="str">
        <f>'Audit Report'!B368</f>
        <v>ITD-X367</v>
      </c>
      <c r="E368" t="str">
        <f>'Audit Report'!C368</f>
        <v/>
      </c>
      <c r="I368" t="str">
        <f>'Audit Report'!D368</f>
        <v/>
      </c>
      <c r="J368" t="str">
        <f>'Audit Report'!H368</f>
        <v/>
      </c>
      <c r="L368" t="str">
        <f>_xlfn.TEXTJOIN(", ", FALSE, 'Audit Report'!K368,'Audit Report'!L368,'Audit Report'!M368)</f>
        <v xml:space="preserve">, , </v>
      </c>
      <c r="M368" t="str">
        <f>'Audit Report'!O368</f>
        <v/>
      </c>
      <c r="R368" t="str">
        <f>'Audit Report'!F368</f>
        <v/>
      </c>
      <c r="S368" t="str">
        <f>'Audit Report'!Q368</f>
        <v/>
      </c>
    </row>
    <row r="369" spans="4:19">
      <c r="D369" t="str">
        <f>'Audit Report'!B369</f>
        <v>ITD-X368</v>
      </c>
      <c r="E369" t="str">
        <f>'Audit Report'!C369</f>
        <v/>
      </c>
      <c r="I369" t="str">
        <f>'Audit Report'!D369</f>
        <v/>
      </c>
      <c r="J369" t="str">
        <f>'Audit Report'!H369</f>
        <v/>
      </c>
      <c r="L369" t="str">
        <f>_xlfn.TEXTJOIN(", ", FALSE, 'Audit Report'!K369,'Audit Report'!L369,'Audit Report'!M369)</f>
        <v xml:space="preserve">, , </v>
      </c>
      <c r="M369" t="str">
        <f>'Audit Report'!O369</f>
        <v/>
      </c>
      <c r="R369" t="str">
        <f>'Audit Report'!F369</f>
        <v/>
      </c>
      <c r="S369" t="str">
        <f>'Audit Report'!Q369</f>
        <v/>
      </c>
    </row>
    <row r="370" spans="4:19">
      <c r="D370" t="str">
        <f>'Audit Report'!B370</f>
        <v>ITD-X369</v>
      </c>
      <c r="E370" t="str">
        <f>'Audit Report'!C370</f>
        <v/>
      </c>
      <c r="I370" t="str">
        <f>'Audit Report'!D370</f>
        <v/>
      </c>
      <c r="J370" t="str">
        <f>'Audit Report'!H370</f>
        <v/>
      </c>
      <c r="L370" t="str">
        <f>_xlfn.TEXTJOIN(", ", FALSE, 'Audit Report'!K370,'Audit Report'!L370,'Audit Report'!M370)</f>
        <v xml:space="preserve">, , </v>
      </c>
      <c r="M370" t="str">
        <f>'Audit Report'!O370</f>
        <v/>
      </c>
      <c r="R370" t="str">
        <f>'Audit Report'!F370</f>
        <v/>
      </c>
      <c r="S370" t="str">
        <f>'Audit Report'!Q370</f>
        <v/>
      </c>
    </row>
    <row r="371" spans="4:19">
      <c r="D371" t="str">
        <f>'Audit Report'!B371</f>
        <v>ITD-X370</v>
      </c>
      <c r="E371" t="str">
        <f>'Audit Report'!C371</f>
        <v/>
      </c>
      <c r="I371" t="str">
        <f>'Audit Report'!D371</f>
        <v/>
      </c>
      <c r="J371" t="str">
        <f>'Audit Report'!H371</f>
        <v/>
      </c>
      <c r="L371" t="str">
        <f>_xlfn.TEXTJOIN(", ", FALSE, 'Audit Report'!K371,'Audit Report'!L371,'Audit Report'!M371)</f>
        <v xml:space="preserve">, , </v>
      </c>
      <c r="M371" t="str">
        <f>'Audit Report'!O371</f>
        <v/>
      </c>
      <c r="R371" t="str">
        <f>'Audit Report'!F371</f>
        <v/>
      </c>
      <c r="S371" t="str">
        <f>'Audit Report'!Q371</f>
        <v/>
      </c>
    </row>
    <row r="372" spans="4:19">
      <c r="D372" t="str">
        <f>'Audit Report'!B372</f>
        <v>ITD-X371</v>
      </c>
      <c r="E372" t="str">
        <f>'Audit Report'!C372</f>
        <v/>
      </c>
      <c r="I372" t="str">
        <f>'Audit Report'!D372</f>
        <v/>
      </c>
      <c r="J372" t="str">
        <f>'Audit Report'!H372</f>
        <v/>
      </c>
      <c r="L372" t="str">
        <f>_xlfn.TEXTJOIN(", ", FALSE, 'Audit Report'!K372,'Audit Report'!L372,'Audit Report'!M372)</f>
        <v xml:space="preserve">, , </v>
      </c>
      <c r="M372" t="str">
        <f>'Audit Report'!O372</f>
        <v/>
      </c>
      <c r="R372" t="str">
        <f>'Audit Report'!F372</f>
        <v/>
      </c>
      <c r="S372" t="str">
        <f>'Audit Report'!Q372</f>
        <v/>
      </c>
    </row>
    <row r="373" spans="4:19">
      <c r="D373" t="str">
        <f>'Audit Report'!B373</f>
        <v>ITD-X372</v>
      </c>
      <c r="E373" t="str">
        <f>'Audit Report'!C373</f>
        <v/>
      </c>
      <c r="I373" t="str">
        <f>'Audit Report'!D373</f>
        <v/>
      </c>
      <c r="J373" t="str">
        <f>'Audit Report'!H373</f>
        <v/>
      </c>
      <c r="L373" t="str">
        <f>_xlfn.TEXTJOIN(", ", FALSE, 'Audit Report'!K373,'Audit Report'!L373,'Audit Report'!M373)</f>
        <v xml:space="preserve">, , </v>
      </c>
      <c r="M373" t="str">
        <f>'Audit Report'!O373</f>
        <v/>
      </c>
      <c r="R373" t="str">
        <f>'Audit Report'!F373</f>
        <v/>
      </c>
      <c r="S373" t="str">
        <f>'Audit Report'!Q373</f>
        <v/>
      </c>
    </row>
    <row r="374" spans="4:19">
      <c r="D374" t="str">
        <f>'Audit Report'!B374</f>
        <v>ITD-X373</v>
      </c>
      <c r="E374" t="str">
        <f>'Audit Report'!C374</f>
        <v/>
      </c>
      <c r="I374" t="str">
        <f>'Audit Report'!D374</f>
        <v/>
      </c>
      <c r="J374" t="str">
        <f>'Audit Report'!H374</f>
        <v/>
      </c>
      <c r="L374" t="str">
        <f>_xlfn.TEXTJOIN(", ", FALSE, 'Audit Report'!K374,'Audit Report'!L374,'Audit Report'!M374)</f>
        <v xml:space="preserve">, , </v>
      </c>
      <c r="M374" t="str">
        <f>'Audit Report'!O374</f>
        <v/>
      </c>
      <c r="R374" t="str">
        <f>'Audit Report'!F374</f>
        <v/>
      </c>
      <c r="S374" t="str">
        <f>'Audit Report'!Q374</f>
        <v/>
      </c>
    </row>
    <row r="375" spans="4:19">
      <c r="D375" t="str">
        <f>'Audit Report'!B375</f>
        <v>ITD-X374</v>
      </c>
      <c r="E375" t="str">
        <f>'Audit Report'!C375</f>
        <v/>
      </c>
      <c r="I375" t="str">
        <f>'Audit Report'!D375</f>
        <v/>
      </c>
      <c r="J375" t="str">
        <f>'Audit Report'!H375</f>
        <v/>
      </c>
      <c r="L375" t="str">
        <f>_xlfn.TEXTJOIN(", ", FALSE, 'Audit Report'!K375,'Audit Report'!L375,'Audit Report'!M375)</f>
        <v xml:space="preserve">, , </v>
      </c>
      <c r="M375" t="str">
        <f>'Audit Report'!O375</f>
        <v/>
      </c>
      <c r="R375" t="str">
        <f>'Audit Report'!F375</f>
        <v/>
      </c>
      <c r="S375" t="str">
        <f>'Audit Report'!Q375</f>
        <v/>
      </c>
    </row>
    <row r="376" spans="4:19">
      <c r="D376" t="str">
        <f>'Audit Report'!B376</f>
        <v>ITD-X375</v>
      </c>
      <c r="E376" t="str">
        <f>'Audit Report'!C376</f>
        <v/>
      </c>
      <c r="I376" t="str">
        <f>'Audit Report'!D376</f>
        <v/>
      </c>
      <c r="J376" t="str">
        <f>'Audit Report'!H376</f>
        <v/>
      </c>
      <c r="L376" t="str">
        <f>_xlfn.TEXTJOIN(", ", FALSE, 'Audit Report'!K376,'Audit Report'!L376,'Audit Report'!M376)</f>
        <v xml:space="preserve">, , </v>
      </c>
      <c r="M376" t="str">
        <f>'Audit Report'!O376</f>
        <v/>
      </c>
      <c r="R376" t="str">
        <f>'Audit Report'!F376</f>
        <v/>
      </c>
      <c r="S376" t="str">
        <f>'Audit Report'!Q376</f>
        <v/>
      </c>
    </row>
    <row r="377" spans="4:19">
      <c r="D377" t="str">
        <f>'Audit Report'!B377</f>
        <v>ITD-X376</v>
      </c>
      <c r="E377" t="str">
        <f>'Audit Report'!C377</f>
        <v/>
      </c>
      <c r="I377" t="str">
        <f>'Audit Report'!D377</f>
        <v/>
      </c>
      <c r="J377" t="str">
        <f>'Audit Report'!H377</f>
        <v/>
      </c>
      <c r="L377" t="str">
        <f>_xlfn.TEXTJOIN(", ", FALSE, 'Audit Report'!K377,'Audit Report'!L377,'Audit Report'!M377)</f>
        <v xml:space="preserve">, , </v>
      </c>
      <c r="M377" t="str">
        <f>'Audit Report'!O377</f>
        <v/>
      </c>
      <c r="R377" t="str">
        <f>'Audit Report'!F377</f>
        <v/>
      </c>
      <c r="S377" t="str">
        <f>'Audit Report'!Q377</f>
        <v/>
      </c>
    </row>
    <row r="378" spans="4:19">
      <c r="D378" t="str">
        <f>'Audit Report'!B378</f>
        <v>ITD-X377</v>
      </c>
      <c r="E378" t="str">
        <f>'Audit Report'!C378</f>
        <v/>
      </c>
      <c r="I378" t="str">
        <f>'Audit Report'!D378</f>
        <v/>
      </c>
      <c r="J378" t="str">
        <f>'Audit Report'!H378</f>
        <v/>
      </c>
      <c r="L378" t="str">
        <f>_xlfn.TEXTJOIN(", ", FALSE, 'Audit Report'!K378,'Audit Report'!L378,'Audit Report'!M378)</f>
        <v xml:space="preserve">, , </v>
      </c>
      <c r="M378" t="str">
        <f>'Audit Report'!O378</f>
        <v/>
      </c>
      <c r="R378" t="str">
        <f>'Audit Report'!F378</f>
        <v/>
      </c>
      <c r="S378" t="str">
        <f>'Audit Report'!Q378</f>
        <v/>
      </c>
    </row>
    <row r="379" spans="4:19">
      <c r="D379" t="str">
        <f>'Audit Report'!B379</f>
        <v>ITD-X378</v>
      </c>
      <c r="E379" t="str">
        <f>'Audit Report'!C379</f>
        <v/>
      </c>
      <c r="I379" t="str">
        <f>'Audit Report'!D379</f>
        <v/>
      </c>
      <c r="J379" t="str">
        <f>'Audit Report'!H379</f>
        <v/>
      </c>
      <c r="L379" t="str">
        <f>_xlfn.TEXTJOIN(", ", FALSE, 'Audit Report'!K379,'Audit Report'!L379,'Audit Report'!M379)</f>
        <v xml:space="preserve">, , </v>
      </c>
      <c r="M379" t="str">
        <f>'Audit Report'!O379</f>
        <v/>
      </c>
      <c r="R379" t="str">
        <f>'Audit Report'!F379</f>
        <v/>
      </c>
      <c r="S379" t="str">
        <f>'Audit Report'!Q379</f>
        <v/>
      </c>
    </row>
    <row r="380" spans="4:19">
      <c r="D380" t="str">
        <f>'Audit Report'!B380</f>
        <v>ITD-X379</v>
      </c>
      <c r="E380" t="str">
        <f>'Audit Report'!C380</f>
        <v/>
      </c>
      <c r="I380" t="str">
        <f>'Audit Report'!D380</f>
        <v/>
      </c>
      <c r="J380" t="str">
        <f>'Audit Report'!H380</f>
        <v/>
      </c>
      <c r="L380" t="str">
        <f>_xlfn.TEXTJOIN(", ", FALSE, 'Audit Report'!K380,'Audit Report'!L380,'Audit Report'!M380)</f>
        <v xml:space="preserve">, , </v>
      </c>
      <c r="M380" t="str">
        <f>'Audit Report'!O380</f>
        <v/>
      </c>
      <c r="R380" t="str">
        <f>'Audit Report'!F380</f>
        <v/>
      </c>
      <c r="S380" t="str">
        <f>'Audit Report'!Q380</f>
        <v/>
      </c>
    </row>
    <row r="381" spans="4:19">
      <c r="D381" t="str">
        <f>'Audit Report'!B381</f>
        <v>ITD-X380</v>
      </c>
      <c r="E381" t="str">
        <f>'Audit Report'!C381</f>
        <v/>
      </c>
      <c r="I381" t="str">
        <f>'Audit Report'!D381</f>
        <v/>
      </c>
      <c r="J381" t="str">
        <f>'Audit Report'!H381</f>
        <v/>
      </c>
      <c r="L381" t="str">
        <f>_xlfn.TEXTJOIN(", ", FALSE, 'Audit Report'!K381,'Audit Report'!L381,'Audit Report'!M381)</f>
        <v xml:space="preserve">, , </v>
      </c>
      <c r="M381" t="str">
        <f>'Audit Report'!O381</f>
        <v/>
      </c>
      <c r="R381" t="str">
        <f>'Audit Report'!F381</f>
        <v/>
      </c>
      <c r="S381" t="str">
        <f>'Audit Report'!Q381</f>
        <v/>
      </c>
    </row>
    <row r="382" spans="4:19">
      <c r="D382" t="str">
        <f>'Audit Report'!B382</f>
        <v>ITD-X381</v>
      </c>
      <c r="E382" t="str">
        <f>'Audit Report'!C382</f>
        <v/>
      </c>
      <c r="I382" t="str">
        <f>'Audit Report'!D382</f>
        <v/>
      </c>
      <c r="J382" t="str">
        <f>'Audit Report'!H382</f>
        <v/>
      </c>
      <c r="L382" t="str">
        <f>_xlfn.TEXTJOIN(", ", FALSE, 'Audit Report'!K382,'Audit Report'!L382,'Audit Report'!M382)</f>
        <v xml:space="preserve">, , </v>
      </c>
      <c r="M382" t="str">
        <f>'Audit Report'!O382</f>
        <v/>
      </c>
      <c r="R382" t="str">
        <f>'Audit Report'!F382</f>
        <v/>
      </c>
      <c r="S382" t="str">
        <f>'Audit Report'!Q382</f>
        <v/>
      </c>
    </row>
    <row r="383" spans="4:19">
      <c r="D383" t="str">
        <f>'Audit Report'!B383</f>
        <v>ITD-X382</v>
      </c>
      <c r="E383" t="str">
        <f>'Audit Report'!C383</f>
        <v/>
      </c>
      <c r="I383" t="str">
        <f>'Audit Report'!D383</f>
        <v/>
      </c>
      <c r="J383" t="str">
        <f>'Audit Report'!H383</f>
        <v/>
      </c>
      <c r="L383" t="str">
        <f>_xlfn.TEXTJOIN(", ", FALSE, 'Audit Report'!K383,'Audit Report'!L383,'Audit Report'!M383)</f>
        <v xml:space="preserve">, , </v>
      </c>
      <c r="M383" t="str">
        <f>'Audit Report'!O383</f>
        <v/>
      </c>
      <c r="R383" t="str">
        <f>'Audit Report'!F383</f>
        <v/>
      </c>
      <c r="S383" t="str">
        <f>'Audit Report'!Q383</f>
        <v/>
      </c>
    </row>
    <row r="384" spans="4:19">
      <c r="D384" t="str">
        <f>'Audit Report'!B384</f>
        <v>ITD-X383</v>
      </c>
      <c r="E384" t="str">
        <f>'Audit Report'!C384</f>
        <v/>
      </c>
      <c r="I384" t="str">
        <f>'Audit Report'!D384</f>
        <v/>
      </c>
      <c r="J384" t="str">
        <f>'Audit Report'!H384</f>
        <v/>
      </c>
      <c r="L384" t="str">
        <f>_xlfn.TEXTJOIN(", ", FALSE, 'Audit Report'!K384,'Audit Report'!L384,'Audit Report'!M384)</f>
        <v xml:space="preserve">, , </v>
      </c>
      <c r="M384" t="str">
        <f>'Audit Report'!O384</f>
        <v/>
      </c>
      <c r="R384" t="str">
        <f>'Audit Report'!F384</f>
        <v/>
      </c>
      <c r="S384" t="str">
        <f>'Audit Report'!Q384</f>
        <v/>
      </c>
    </row>
    <row r="385" spans="4:19">
      <c r="D385" t="str">
        <f>'Audit Report'!B385</f>
        <v>ITD-X384</v>
      </c>
      <c r="E385" t="str">
        <f>'Audit Report'!C385</f>
        <v/>
      </c>
      <c r="I385" t="str">
        <f>'Audit Report'!D385</f>
        <v/>
      </c>
      <c r="J385" t="str">
        <f>'Audit Report'!H385</f>
        <v/>
      </c>
      <c r="L385" t="str">
        <f>_xlfn.TEXTJOIN(", ", FALSE, 'Audit Report'!K385,'Audit Report'!L385,'Audit Report'!M385)</f>
        <v xml:space="preserve">, , </v>
      </c>
      <c r="M385" t="str">
        <f>'Audit Report'!O385</f>
        <v/>
      </c>
      <c r="R385" t="str">
        <f>'Audit Report'!F385</f>
        <v/>
      </c>
      <c r="S385" t="str">
        <f>'Audit Report'!Q385</f>
        <v/>
      </c>
    </row>
    <row r="386" spans="4:19">
      <c r="D386" t="str">
        <f>'Audit Report'!B386</f>
        <v>ITD-X385</v>
      </c>
      <c r="E386" t="str">
        <f>'Audit Report'!C386</f>
        <v/>
      </c>
      <c r="I386" t="str">
        <f>'Audit Report'!D386</f>
        <v/>
      </c>
      <c r="J386" t="str">
        <f>'Audit Report'!H386</f>
        <v/>
      </c>
      <c r="L386" t="str">
        <f>_xlfn.TEXTJOIN(", ", FALSE, 'Audit Report'!K386,'Audit Report'!L386,'Audit Report'!M386)</f>
        <v xml:space="preserve">, , </v>
      </c>
      <c r="M386" t="str">
        <f>'Audit Report'!O386</f>
        <v/>
      </c>
      <c r="R386" t="str">
        <f>'Audit Report'!F386</f>
        <v/>
      </c>
      <c r="S386" t="str">
        <f>'Audit Report'!Q386</f>
        <v/>
      </c>
    </row>
    <row r="387" spans="4:19">
      <c r="D387" t="str">
        <f>'Audit Report'!B387</f>
        <v>ITD-X386</v>
      </c>
      <c r="E387" t="str">
        <f>'Audit Report'!C387</f>
        <v/>
      </c>
      <c r="I387" t="str">
        <f>'Audit Report'!D387</f>
        <v/>
      </c>
      <c r="J387" t="str">
        <f>'Audit Report'!H387</f>
        <v/>
      </c>
      <c r="L387" t="str">
        <f>_xlfn.TEXTJOIN(", ", FALSE, 'Audit Report'!K387,'Audit Report'!L387,'Audit Report'!M387)</f>
        <v xml:space="preserve">, , </v>
      </c>
      <c r="M387" t="str">
        <f>'Audit Report'!O387</f>
        <v/>
      </c>
      <c r="R387" t="str">
        <f>'Audit Report'!F387</f>
        <v/>
      </c>
      <c r="S387" t="str">
        <f>'Audit Report'!Q387</f>
        <v/>
      </c>
    </row>
    <row r="388" spans="4:19">
      <c r="D388" t="str">
        <f>'Audit Report'!B388</f>
        <v>ITD-X387</v>
      </c>
      <c r="E388" t="str">
        <f>'Audit Report'!C388</f>
        <v/>
      </c>
      <c r="I388" t="str">
        <f>'Audit Report'!D388</f>
        <v/>
      </c>
      <c r="J388" t="str">
        <f>'Audit Report'!H388</f>
        <v/>
      </c>
      <c r="L388" t="str">
        <f>_xlfn.TEXTJOIN(", ", FALSE, 'Audit Report'!K388,'Audit Report'!L388,'Audit Report'!M388)</f>
        <v xml:space="preserve">, , </v>
      </c>
      <c r="M388" t="str">
        <f>'Audit Report'!O388</f>
        <v/>
      </c>
      <c r="R388" t="str">
        <f>'Audit Report'!F388</f>
        <v/>
      </c>
      <c r="S388" t="str">
        <f>'Audit Report'!Q388</f>
        <v/>
      </c>
    </row>
    <row r="389" spans="4:19">
      <c r="D389" t="str">
        <f>'Audit Report'!B389</f>
        <v>ITD-X388</v>
      </c>
      <c r="E389" t="str">
        <f>'Audit Report'!C389</f>
        <v/>
      </c>
      <c r="I389" t="str">
        <f>'Audit Report'!D389</f>
        <v/>
      </c>
      <c r="J389" t="str">
        <f>'Audit Report'!H389</f>
        <v/>
      </c>
      <c r="L389" t="str">
        <f>_xlfn.TEXTJOIN(", ", FALSE, 'Audit Report'!K389,'Audit Report'!L389,'Audit Report'!M389)</f>
        <v xml:space="preserve">, , </v>
      </c>
      <c r="M389" t="str">
        <f>'Audit Report'!O389</f>
        <v/>
      </c>
      <c r="R389" t="str">
        <f>'Audit Report'!F389</f>
        <v/>
      </c>
      <c r="S389" t="str">
        <f>'Audit Report'!Q389</f>
        <v/>
      </c>
    </row>
    <row r="390" spans="4:19">
      <c r="D390" t="str">
        <f>'Audit Report'!B390</f>
        <v>ITD-X389</v>
      </c>
      <c r="E390" t="str">
        <f>'Audit Report'!C390</f>
        <v/>
      </c>
      <c r="I390" t="str">
        <f>'Audit Report'!D390</f>
        <v/>
      </c>
      <c r="J390" t="str">
        <f>'Audit Report'!H390</f>
        <v/>
      </c>
      <c r="L390" t="str">
        <f>_xlfn.TEXTJOIN(", ", FALSE, 'Audit Report'!K390,'Audit Report'!L390,'Audit Report'!M390)</f>
        <v xml:space="preserve">, , </v>
      </c>
      <c r="M390" t="str">
        <f>'Audit Report'!O390</f>
        <v/>
      </c>
      <c r="R390" t="str">
        <f>'Audit Report'!F390</f>
        <v/>
      </c>
      <c r="S390" t="str">
        <f>'Audit Report'!Q390</f>
        <v/>
      </c>
    </row>
    <row r="391" spans="4:19">
      <c r="D391" t="str">
        <f>'Audit Report'!B391</f>
        <v>ITD-X390</v>
      </c>
      <c r="E391" t="str">
        <f>'Audit Report'!C391</f>
        <v/>
      </c>
      <c r="I391" t="str">
        <f>'Audit Report'!D391</f>
        <v/>
      </c>
      <c r="J391" t="str">
        <f>'Audit Report'!H391</f>
        <v/>
      </c>
      <c r="L391" t="str">
        <f>_xlfn.TEXTJOIN(", ", FALSE, 'Audit Report'!K391,'Audit Report'!L391,'Audit Report'!M391)</f>
        <v xml:space="preserve">, , </v>
      </c>
      <c r="M391" t="str">
        <f>'Audit Report'!O391</f>
        <v/>
      </c>
      <c r="R391" t="str">
        <f>'Audit Report'!F391</f>
        <v/>
      </c>
      <c r="S391" t="str">
        <f>'Audit Report'!Q391</f>
        <v/>
      </c>
    </row>
    <row r="392" spans="4:19">
      <c r="D392" t="str">
        <f>'Audit Report'!B392</f>
        <v>ITD-X391</v>
      </c>
      <c r="E392" t="str">
        <f>'Audit Report'!C392</f>
        <v/>
      </c>
      <c r="I392" t="str">
        <f>'Audit Report'!D392</f>
        <v/>
      </c>
      <c r="J392" t="str">
        <f>'Audit Report'!H392</f>
        <v/>
      </c>
      <c r="L392" t="str">
        <f>_xlfn.TEXTJOIN(", ", FALSE, 'Audit Report'!K392,'Audit Report'!L392,'Audit Report'!M392)</f>
        <v xml:space="preserve">, , </v>
      </c>
      <c r="M392" t="str">
        <f>'Audit Report'!O392</f>
        <v/>
      </c>
      <c r="R392" t="str">
        <f>'Audit Report'!F392</f>
        <v/>
      </c>
      <c r="S392" t="str">
        <f>'Audit Report'!Q392</f>
        <v/>
      </c>
    </row>
    <row r="393" spans="4:19">
      <c r="D393" t="str">
        <f>'Audit Report'!B393</f>
        <v>ITD-X392</v>
      </c>
      <c r="E393" t="str">
        <f>'Audit Report'!C393</f>
        <v/>
      </c>
      <c r="I393" t="str">
        <f>'Audit Report'!D393</f>
        <v/>
      </c>
      <c r="J393" t="str">
        <f>'Audit Report'!H393</f>
        <v/>
      </c>
      <c r="L393" t="str">
        <f>_xlfn.TEXTJOIN(", ", FALSE, 'Audit Report'!K393,'Audit Report'!L393,'Audit Report'!M393)</f>
        <v xml:space="preserve">, , </v>
      </c>
      <c r="M393" t="str">
        <f>'Audit Report'!O393</f>
        <v/>
      </c>
      <c r="R393" t="str">
        <f>'Audit Report'!F393</f>
        <v/>
      </c>
      <c r="S393" t="str">
        <f>'Audit Report'!Q393</f>
        <v/>
      </c>
    </row>
    <row r="394" spans="4:19">
      <c r="D394" t="str">
        <f>'Audit Report'!B394</f>
        <v>ITD-X393</v>
      </c>
      <c r="E394" t="str">
        <f>'Audit Report'!C394</f>
        <v/>
      </c>
      <c r="I394" t="str">
        <f>'Audit Report'!D394</f>
        <v/>
      </c>
      <c r="J394" t="str">
        <f>'Audit Report'!H394</f>
        <v/>
      </c>
      <c r="L394" t="str">
        <f>_xlfn.TEXTJOIN(", ", FALSE, 'Audit Report'!K394,'Audit Report'!L394,'Audit Report'!M394)</f>
        <v xml:space="preserve">, , </v>
      </c>
      <c r="M394" t="str">
        <f>'Audit Report'!O394</f>
        <v/>
      </c>
      <c r="R394" t="str">
        <f>'Audit Report'!F394</f>
        <v/>
      </c>
      <c r="S394" t="str">
        <f>'Audit Report'!Q394</f>
        <v/>
      </c>
    </row>
    <row r="395" spans="4:19">
      <c r="D395" t="str">
        <f>'Audit Report'!B395</f>
        <v>ITD-X394</v>
      </c>
      <c r="E395" t="str">
        <f>'Audit Report'!C395</f>
        <v/>
      </c>
      <c r="I395" t="str">
        <f>'Audit Report'!D395</f>
        <v/>
      </c>
      <c r="J395" t="str">
        <f>'Audit Report'!H395</f>
        <v/>
      </c>
      <c r="L395" t="str">
        <f>_xlfn.TEXTJOIN(", ", FALSE, 'Audit Report'!K395,'Audit Report'!L395,'Audit Report'!M395)</f>
        <v xml:space="preserve">, , </v>
      </c>
      <c r="M395" t="str">
        <f>'Audit Report'!O395</f>
        <v/>
      </c>
      <c r="R395" t="str">
        <f>'Audit Report'!F395</f>
        <v/>
      </c>
      <c r="S395" t="str">
        <f>'Audit Report'!Q395</f>
        <v/>
      </c>
    </row>
    <row r="396" spans="4:19">
      <c r="D396" t="str">
        <f>'Audit Report'!B396</f>
        <v>ITD-X395</v>
      </c>
      <c r="E396" t="str">
        <f>'Audit Report'!C396</f>
        <v/>
      </c>
      <c r="I396" t="str">
        <f>'Audit Report'!D396</f>
        <v/>
      </c>
      <c r="J396" t="str">
        <f>'Audit Report'!H396</f>
        <v/>
      </c>
      <c r="L396" t="str">
        <f>_xlfn.TEXTJOIN(", ", FALSE, 'Audit Report'!K396,'Audit Report'!L396,'Audit Report'!M396)</f>
        <v xml:space="preserve">, , </v>
      </c>
      <c r="M396" t="str">
        <f>'Audit Report'!O396</f>
        <v/>
      </c>
      <c r="R396" t="str">
        <f>'Audit Report'!F396</f>
        <v/>
      </c>
      <c r="S396" t="str">
        <f>'Audit Report'!Q396</f>
        <v/>
      </c>
    </row>
    <row r="397" spans="4:19">
      <c r="D397" t="str">
        <f>'Audit Report'!B397</f>
        <v>ITD-X396</v>
      </c>
      <c r="E397" t="str">
        <f>'Audit Report'!C397</f>
        <v/>
      </c>
      <c r="I397" t="str">
        <f>'Audit Report'!D397</f>
        <v/>
      </c>
      <c r="J397" t="str">
        <f>'Audit Report'!H397</f>
        <v/>
      </c>
      <c r="L397" t="str">
        <f>_xlfn.TEXTJOIN(", ", FALSE, 'Audit Report'!K397,'Audit Report'!L397,'Audit Report'!M397)</f>
        <v xml:space="preserve">, , </v>
      </c>
      <c r="M397" t="str">
        <f>'Audit Report'!O397</f>
        <v/>
      </c>
      <c r="R397" t="str">
        <f>'Audit Report'!F397</f>
        <v/>
      </c>
      <c r="S397" t="str">
        <f>'Audit Report'!Q397</f>
        <v/>
      </c>
    </row>
    <row r="398" spans="4:19">
      <c r="D398" t="str">
        <f>'Audit Report'!B398</f>
        <v>ITD-X397</v>
      </c>
      <c r="E398" t="str">
        <f>'Audit Report'!C398</f>
        <v/>
      </c>
      <c r="I398" t="str">
        <f>'Audit Report'!D398</f>
        <v/>
      </c>
      <c r="J398" t="str">
        <f>'Audit Report'!H398</f>
        <v/>
      </c>
      <c r="L398" t="str">
        <f>_xlfn.TEXTJOIN(", ", FALSE, 'Audit Report'!K398,'Audit Report'!L398,'Audit Report'!M398)</f>
        <v xml:space="preserve">, , </v>
      </c>
      <c r="M398" t="str">
        <f>'Audit Report'!O398</f>
        <v/>
      </c>
      <c r="R398" t="str">
        <f>'Audit Report'!F398</f>
        <v/>
      </c>
      <c r="S398" t="str">
        <f>'Audit Report'!Q398</f>
        <v/>
      </c>
    </row>
    <row r="399" spans="4:19">
      <c r="D399" t="str">
        <f>'Audit Report'!B399</f>
        <v>ITD-X398</v>
      </c>
      <c r="E399" t="str">
        <f>'Audit Report'!C399</f>
        <v/>
      </c>
      <c r="I399" t="str">
        <f>'Audit Report'!D399</f>
        <v/>
      </c>
      <c r="J399" t="str">
        <f>'Audit Report'!H399</f>
        <v/>
      </c>
      <c r="L399" t="str">
        <f>_xlfn.TEXTJOIN(", ", FALSE, 'Audit Report'!K399,'Audit Report'!L399,'Audit Report'!M399)</f>
        <v xml:space="preserve">, , </v>
      </c>
      <c r="M399" t="str">
        <f>'Audit Report'!O399</f>
        <v/>
      </c>
      <c r="R399" t="str">
        <f>'Audit Report'!F399</f>
        <v/>
      </c>
      <c r="S399" t="str">
        <f>'Audit Report'!Q399</f>
        <v/>
      </c>
    </row>
    <row r="400" spans="4:19">
      <c r="D400" t="str">
        <f>'Audit Report'!B400</f>
        <v>ITD-X399</v>
      </c>
      <c r="E400" t="str">
        <f>'Audit Report'!C400</f>
        <v/>
      </c>
      <c r="I400" t="str">
        <f>'Audit Report'!D400</f>
        <v/>
      </c>
      <c r="J400" t="str">
        <f>'Audit Report'!H400</f>
        <v/>
      </c>
      <c r="L400" t="str">
        <f>_xlfn.TEXTJOIN(", ", FALSE, 'Audit Report'!K400,'Audit Report'!L400,'Audit Report'!M400)</f>
        <v xml:space="preserve">, , </v>
      </c>
      <c r="M400" t="str">
        <f>'Audit Report'!O400</f>
        <v/>
      </c>
      <c r="R400" t="str">
        <f>'Audit Report'!F400</f>
        <v/>
      </c>
      <c r="S400" t="str">
        <f>'Audit Report'!Q400</f>
        <v/>
      </c>
    </row>
    <row r="401" spans="4:19">
      <c r="D401" t="str">
        <f>'Audit Report'!B401</f>
        <v>ITD-X400</v>
      </c>
      <c r="E401" t="str">
        <f>'Audit Report'!C401</f>
        <v/>
      </c>
      <c r="I401" t="str">
        <f>'Audit Report'!D401</f>
        <v/>
      </c>
      <c r="J401" t="str">
        <f>'Audit Report'!H401</f>
        <v/>
      </c>
      <c r="L401" t="str">
        <f>_xlfn.TEXTJOIN(", ", FALSE, 'Audit Report'!K401,'Audit Report'!L401,'Audit Report'!M401)</f>
        <v xml:space="preserve">, , </v>
      </c>
      <c r="M401" t="str">
        <f>'Audit Report'!O401</f>
        <v/>
      </c>
      <c r="R401" t="str">
        <f>'Audit Report'!F401</f>
        <v/>
      </c>
      <c r="S401" t="str">
        <f>'Audit Report'!Q401</f>
        <v/>
      </c>
    </row>
    <row r="402" spans="4:19">
      <c r="D402" t="str">
        <f>'Audit Report'!B402</f>
        <v>ITD-X401</v>
      </c>
      <c r="E402" t="str">
        <f>'Audit Report'!C402</f>
        <v/>
      </c>
      <c r="I402" t="str">
        <f>'Audit Report'!D402</f>
        <v/>
      </c>
      <c r="J402" t="str">
        <f>'Audit Report'!H402</f>
        <v/>
      </c>
      <c r="L402" t="str">
        <f>_xlfn.TEXTJOIN(", ", FALSE, 'Audit Report'!K402,'Audit Report'!L402,'Audit Report'!M402)</f>
        <v xml:space="preserve">, , </v>
      </c>
      <c r="M402" t="str">
        <f>'Audit Report'!O402</f>
        <v/>
      </c>
      <c r="R402" t="str">
        <f>'Audit Report'!F402</f>
        <v/>
      </c>
      <c r="S402" t="str">
        <f>'Audit Report'!Q402</f>
        <v/>
      </c>
    </row>
    <row r="403" spans="4:19">
      <c r="D403" t="str">
        <f>'Audit Report'!B403</f>
        <v>ITD-X402</v>
      </c>
      <c r="E403" t="str">
        <f>'Audit Report'!C403</f>
        <v/>
      </c>
      <c r="I403" t="str">
        <f>'Audit Report'!D403</f>
        <v/>
      </c>
      <c r="J403" t="str">
        <f>'Audit Report'!H403</f>
        <v/>
      </c>
      <c r="L403" t="str">
        <f>_xlfn.TEXTJOIN(", ", FALSE, 'Audit Report'!K403,'Audit Report'!L403,'Audit Report'!M403)</f>
        <v xml:space="preserve">, , </v>
      </c>
      <c r="M403" t="str">
        <f>'Audit Report'!O403</f>
        <v/>
      </c>
      <c r="R403" t="str">
        <f>'Audit Report'!F403</f>
        <v/>
      </c>
      <c r="S403" t="str">
        <f>'Audit Report'!Q403</f>
        <v/>
      </c>
    </row>
    <row r="404" spans="4:19">
      <c r="D404" t="str">
        <f>'Audit Report'!B404</f>
        <v>ITD-X403</v>
      </c>
      <c r="E404" t="str">
        <f>'Audit Report'!C404</f>
        <v/>
      </c>
      <c r="I404" t="str">
        <f>'Audit Report'!D404</f>
        <v/>
      </c>
      <c r="J404" t="str">
        <f>'Audit Report'!H404</f>
        <v/>
      </c>
      <c r="L404" t="str">
        <f>_xlfn.TEXTJOIN(", ", FALSE, 'Audit Report'!K404,'Audit Report'!L404,'Audit Report'!M404)</f>
        <v xml:space="preserve">, , </v>
      </c>
      <c r="M404" t="str">
        <f>'Audit Report'!O404</f>
        <v/>
      </c>
      <c r="R404" t="str">
        <f>'Audit Report'!F404</f>
        <v/>
      </c>
      <c r="S404" t="str">
        <f>'Audit Report'!Q404</f>
        <v/>
      </c>
    </row>
    <row r="405" spans="4:19">
      <c r="D405" t="str">
        <f>'Audit Report'!B405</f>
        <v>ITD-X404</v>
      </c>
      <c r="E405" t="str">
        <f>'Audit Report'!C405</f>
        <v/>
      </c>
      <c r="I405" t="str">
        <f>'Audit Report'!D405</f>
        <v/>
      </c>
      <c r="J405" t="str">
        <f>'Audit Report'!H405</f>
        <v/>
      </c>
      <c r="L405" t="str">
        <f>_xlfn.TEXTJOIN(", ", FALSE, 'Audit Report'!K405,'Audit Report'!L405,'Audit Report'!M405)</f>
        <v xml:space="preserve">, , </v>
      </c>
      <c r="M405" t="str">
        <f>'Audit Report'!O405</f>
        <v/>
      </c>
      <c r="R405" t="str">
        <f>'Audit Report'!F405</f>
        <v/>
      </c>
      <c r="S405" t="str">
        <f>'Audit Report'!Q405</f>
        <v/>
      </c>
    </row>
    <row r="406" spans="4:19">
      <c r="D406" t="str">
        <f>'Audit Report'!B406</f>
        <v>ITD-X405</v>
      </c>
      <c r="E406" t="str">
        <f>'Audit Report'!C406</f>
        <v/>
      </c>
      <c r="I406" t="str">
        <f>'Audit Report'!D406</f>
        <v/>
      </c>
      <c r="J406" t="str">
        <f>'Audit Report'!H406</f>
        <v/>
      </c>
      <c r="L406" t="str">
        <f>_xlfn.TEXTJOIN(", ", FALSE, 'Audit Report'!K406,'Audit Report'!L406,'Audit Report'!M406)</f>
        <v xml:space="preserve">, , </v>
      </c>
      <c r="M406" t="str">
        <f>'Audit Report'!O406</f>
        <v/>
      </c>
      <c r="R406" t="str">
        <f>'Audit Report'!F406</f>
        <v/>
      </c>
      <c r="S406" t="str">
        <f>'Audit Report'!Q406</f>
        <v/>
      </c>
    </row>
    <row r="407" spans="4:19">
      <c r="D407" t="str">
        <f>'Audit Report'!B407</f>
        <v>ITD-X406</v>
      </c>
      <c r="E407" t="str">
        <f>'Audit Report'!C407</f>
        <v/>
      </c>
      <c r="I407" t="str">
        <f>'Audit Report'!D407</f>
        <v/>
      </c>
      <c r="J407" t="str">
        <f>'Audit Report'!H407</f>
        <v/>
      </c>
      <c r="L407" t="str">
        <f>_xlfn.TEXTJOIN(", ", FALSE, 'Audit Report'!K407,'Audit Report'!L407,'Audit Report'!M407)</f>
        <v xml:space="preserve">, , </v>
      </c>
      <c r="M407" t="str">
        <f>'Audit Report'!O407</f>
        <v/>
      </c>
      <c r="R407" t="str">
        <f>'Audit Report'!F407</f>
        <v/>
      </c>
      <c r="S407" t="str">
        <f>'Audit Report'!Q407</f>
        <v/>
      </c>
    </row>
    <row r="408" spans="4:19">
      <c r="D408" t="str">
        <f>'Audit Report'!B408</f>
        <v>ITD-X407</v>
      </c>
      <c r="E408" t="str">
        <f>'Audit Report'!C408</f>
        <v/>
      </c>
      <c r="I408" t="str">
        <f>'Audit Report'!D408</f>
        <v/>
      </c>
      <c r="J408" t="str">
        <f>'Audit Report'!H408</f>
        <v/>
      </c>
      <c r="L408" t="str">
        <f>_xlfn.TEXTJOIN(", ", FALSE, 'Audit Report'!K408,'Audit Report'!L408,'Audit Report'!M408)</f>
        <v xml:space="preserve">, , </v>
      </c>
      <c r="M408" t="str">
        <f>'Audit Report'!O408</f>
        <v/>
      </c>
      <c r="R408" t="str">
        <f>'Audit Report'!F408</f>
        <v/>
      </c>
      <c r="S408" t="str">
        <f>'Audit Report'!Q408</f>
        <v/>
      </c>
    </row>
    <row r="409" spans="4:19">
      <c r="D409" t="str">
        <f>'Audit Report'!B409</f>
        <v>ITD-X408</v>
      </c>
      <c r="E409" t="str">
        <f>'Audit Report'!C409</f>
        <v/>
      </c>
      <c r="I409" t="str">
        <f>'Audit Report'!D409</f>
        <v/>
      </c>
      <c r="J409" t="str">
        <f>'Audit Report'!H409</f>
        <v/>
      </c>
      <c r="L409" t="str">
        <f>_xlfn.TEXTJOIN(", ", FALSE, 'Audit Report'!K409,'Audit Report'!L409,'Audit Report'!M409)</f>
        <v xml:space="preserve">, , </v>
      </c>
      <c r="M409" t="str">
        <f>'Audit Report'!O409</f>
        <v/>
      </c>
      <c r="R409" t="str">
        <f>'Audit Report'!F409</f>
        <v/>
      </c>
      <c r="S409" t="str">
        <f>'Audit Report'!Q409</f>
        <v/>
      </c>
    </row>
    <row r="410" spans="4:19">
      <c r="D410" t="str">
        <f>'Audit Report'!B410</f>
        <v>ITD-X409</v>
      </c>
      <c r="E410" t="str">
        <f>'Audit Report'!C410</f>
        <v/>
      </c>
      <c r="I410" t="str">
        <f>'Audit Report'!D410</f>
        <v/>
      </c>
      <c r="J410" t="str">
        <f>'Audit Report'!H410</f>
        <v/>
      </c>
      <c r="L410" t="str">
        <f>_xlfn.TEXTJOIN(", ", FALSE, 'Audit Report'!K410,'Audit Report'!L410,'Audit Report'!M410)</f>
        <v xml:space="preserve">, , </v>
      </c>
      <c r="M410" t="str">
        <f>'Audit Report'!O410</f>
        <v/>
      </c>
      <c r="R410" t="str">
        <f>'Audit Report'!F410</f>
        <v/>
      </c>
      <c r="S410" t="str">
        <f>'Audit Report'!Q410</f>
        <v/>
      </c>
    </row>
    <row r="411" spans="4:19">
      <c r="D411" t="str">
        <f>'Audit Report'!B411</f>
        <v>ITD-X410</v>
      </c>
      <c r="E411" t="str">
        <f>'Audit Report'!C411</f>
        <v/>
      </c>
      <c r="I411" t="str">
        <f>'Audit Report'!D411</f>
        <v/>
      </c>
      <c r="J411" t="str">
        <f>'Audit Report'!H411</f>
        <v/>
      </c>
      <c r="L411" t="str">
        <f>_xlfn.TEXTJOIN(", ", FALSE, 'Audit Report'!K411,'Audit Report'!L411,'Audit Report'!M411)</f>
        <v xml:space="preserve">, , </v>
      </c>
      <c r="M411" t="str">
        <f>'Audit Report'!O411</f>
        <v/>
      </c>
      <c r="R411" t="str">
        <f>'Audit Report'!F411</f>
        <v/>
      </c>
      <c r="S411" t="str">
        <f>'Audit Report'!Q411</f>
        <v/>
      </c>
    </row>
    <row r="412" spans="4:19">
      <c r="D412" t="str">
        <f>'Audit Report'!B412</f>
        <v>ITD-X411</v>
      </c>
      <c r="E412" t="str">
        <f>'Audit Report'!C412</f>
        <v/>
      </c>
      <c r="I412" t="str">
        <f>'Audit Report'!D412</f>
        <v/>
      </c>
      <c r="J412" t="str">
        <f>'Audit Report'!H412</f>
        <v/>
      </c>
      <c r="L412" t="str">
        <f>_xlfn.TEXTJOIN(", ", FALSE, 'Audit Report'!K412,'Audit Report'!L412,'Audit Report'!M412)</f>
        <v xml:space="preserve">, , </v>
      </c>
      <c r="M412" t="str">
        <f>'Audit Report'!O412</f>
        <v/>
      </c>
      <c r="R412" t="str">
        <f>'Audit Report'!F412</f>
        <v/>
      </c>
      <c r="S412" t="str">
        <f>'Audit Report'!Q412</f>
        <v/>
      </c>
    </row>
    <row r="413" spans="4:19">
      <c r="D413" t="str">
        <f>'Audit Report'!B413</f>
        <v>ITD-X412</v>
      </c>
      <c r="E413" t="str">
        <f>'Audit Report'!C413</f>
        <v/>
      </c>
      <c r="I413" t="str">
        <f>'Audit Report'!D413</f>
        <v/>
      </c>
      <c r="J413" t="str">
        <f>'Audit Report'!H413</f>
        <v/>
      </c>
      <c r="L413" t="str">
        <f>_xlfn.TEXTJOIN(", ", FALSE, 'Audit Report'!K413,'Audit Report'!L413,'Audit Report'!M413)</f>
        <v xml:space="preserve">, , </v>
      </c>
      <c r="M413" t="str">
        <f>'Audit Report'!O413</f>
        <v/>
      </c>
      <c r="R413" t="str">
        <f>'Audit Report'!F413</f>
        <v/>
      </c>
      <c r="S413" t="str">
        <f>'Audit Report'!Q413</f>
        <v/>
      </c>
    </row>
    <row r="414" spans="4:19">
      <c r="D414" t="str">
        <f>'Audit Report'!B414</f>
        <v>ITD-X413</v>
      </c>
      <c r="E414" t="str">
        <f>'Audit Report'!C414</f>
        <v/>
      </c>
      <c r="I414" t="str">
        <f>'Audit Report'!D414</f>
        <v/>
      </c>
      <c r="J414" t="str">
        <f>'Audit Report'!H414</f>
        <v/>
      </c>
      <c r="L414" t="str">
        <f>_xlfn.TEXTJOIN(", ", FALSE, 'Audit Report'!K414,'Audit Report'!L414,'Audit Report'!M414)</f>
        <v xml:space="preserve">, , </v>
      </c>
      <c r="M414" t="str">
        <f>'Audit Report'!O414</f>
        <v/>
      </c>
      <c r="R414" t="str">
        <f>'Audit Report'!F414</f>
        <v/>
      </c>
      <c r="S414" t="str">
        <f>'Audit Report'!Q414</f>
        <v/>
      </c>
    </row>
    <row r="415" spans="4:19">
      <c r="D415" t="str">
        <f>'Audit Report'!B415</f>
        <v>ITD-X414</v>
      </c>
      <c r="E415" t="str">
        <f>'Audit Report'!C415</f>
        <v/>
      </c>
      <c r="I415" t="str">
        <f>'Audit Report'!D415</f>
        <v/>
      </c>
      <c r="J415" t="str">
        <f>'Audit Report'!H415</f>
        <v/>
      </c>
      <c r="L415" t="str">
        <f>_xlfn.TEXTJOIN(", ", FALSE, 'Audit Report'!K415,'Audit Report'!L415,'Audit Report'!M415)</f>
        <v xml:space="preserve">, , </v>
      </c>
      <c r="M415" t="str">
        <f>'Audit Report'!O415</f>
        <v/>
      </c>
      <c r="R415" t="str">
        <f>'Audit Report'!F415</f>
        <v/>
      </c>
      <c r="S415" t="str">
        <f>'Audit Report'!Q415</f>
        <v/>
      </c>
    </row>
    <row r="416" spans="4:19">
      <c r="D416" t="str">
        <f>'Audit Report'!B416</f>
        <v>ITD-X415</v>
      </c>
      <c r="E416" t="str">
        <f>'Audit Report'!C416</f>
        <v/>
      </c>
      <c r="I416" t="str">
        <f>'Audit Report'!D416</f>
        <v/>
      </c>
      <c r="J416" t="str">
        <f>'Audit Report'!H416</f>
        <v/>
      </c>
      <c r="L416" t="str">
        <f>_xlfn.TEXTJOIN(", ", FALSE, 'Audit Report'!K416,'Audit Report'!L416,'Audit Report'!M416)</f>
        <v xml:space="preserve">, , </v>
      </c>
      <c r="M416" t="str">
        <f>'Audit Report'!O416</f>
        <v/>
      </c>
      <c r="R416" t="str">
        <f>'Audit Report'!F416</f>
        <v/>
      </c>
      <c r="S416" t="str">
        <f>'Audit Report'!Q416</f>
        <v/>
      </c>
    </row>
    <row r="417" spans="4:19">
      <c r="D417" t="str">
        <f>'Audit Report'!B417</f>
        <v>ITD-X416</v>
      </c>
      <c r="E417" t="str">
        <f>'Audit Report'!C417</f>
        <v/>
      </c>
      <c r="I417" t="str">
        <f>'Audit Report'!D417</f>
        <v/>
      </c>
      <c r="J417" t="str">
        <f>'Audit Report'!H417</f>
        <v/>
      </c>
      <c r="L417" t="str">
        <f>_xlfn.TEXTJOIN(", ", FALSE, 'Audit Report'!K417,'Audit Report'!L417,'Audit Report'!M417)</f>
        <v xml:space="preserve">, , </v>
      </c>
      <c r="M417" t="str">
        <f>'Audit Report'!O417</f>
        <v/>
      </c>
      <c r="R417" t="str">
        <f>'Audit Report'!F417</f>
        <v/>
      </c>
      <c r="S417" t="str">
        <f>'Audit Report'!Q417</f>
        <v/>
      </c>
    </row>
    <row r="418" spans="4:19">
      <c r="D418" t="str">
        <f>'Audit Report'!B418</f>
        <v>ITD-X417</v>
      </c>
      <c r="E418" t="str">
        <f>'Audit Report'!C418</f>
        <v/>
      </c>
      <c r="I418" t="str">
        <f>'Audit Report'!D418</f>
        <v/>
      </c>
      <c r="J418" t="str">
        <f>'Audit Report'!H418</f>
        <v/>
      </c>
      <c r="L418" t="str">
        <f>_xlfn.TEXTJOIN(", ", FALSE, 'Audit Report'!K418,'Audit Report'!L418,'Audit Report'!M418)</f>
        <v xml:space="preserve">, , </v>
      </c>
      <c r="M418" t="str">
        <f>'Audit Report'!O418</f>
        <v/>
      </c>
      <c r="R418" t="str">
        <f>'Audit Report'!F418</f>
        <v/>
      </c>
      <c r="S418" t="str">
        <f>'Audit Report'!Q418</f>
        <v/>
      </c>
    </row>
    <row r="419" spans="4:19">
      <c r="D419" t="str">
        <f>'Audit Report'!B419</f>
        <v>ITD-X418</v>
      </c>
      <c r="E419" t="str">
        <f>'Audit Report'!C419</f>
        <v/>
      </c>
      <c r="I419" t="str">
        <f>'Audit Report'!D419</f>
        <v/>
      </c>
      <c r="J419" t="str">
        <f>'Audit Report'!H419</f>
        <v/>
      </c>
      <c r="L419" t="str">
        <f>_xlfn.TEXTJOIN(", ", FALSE, 'Audit Report'!K419,'Audit Report'!L419,'Audit Report'!M419)</f>
        <v xml:space="preserve">, , </v>
      </c>
      <c r="M419" t="str">
        <f>'Audit Report'!O419</f>
        <v/>
      </c>
      <c r="R419" t="str">
        <f>'Audit Report'!F419</f>
        <v/>
      </c>
      <c r="S419" t="str">
        <f>'Audit Report'!Q419</f>
        <v/>
      </c>
    </row>
    <row r="420" spans="4:19">
      <c r="D420" t="str">
        <f>'Audit Report'!B420</f>
        <v>ITD-X419</v>
      </c>
      <c r="E420" t="str">
        <f>'Audit Report'!C420</f>
        <v/>
      </c>
      <c r="I420" t="str">
        <f>'Audit Report'!D420</f>
        <v/>
      </c>
      <c r="J420" t="str">
        <f>'Audit Report'!H420</f>
        <v/>
      </c>
      <c r="L420" t="str">
        <f>_xlfn.TEXTJOIN(", ", FALSE, 'Audit Report'!K420,'Audit Report'!L420,'Audit Report'!M420)</f>
        <v xml:space="preserve">, , </v>
      </c>
      <c r="M420" t="str">
        <f>'Audit Report'!O420</f>
        <v/>
      </c>
      <c r="R420" t="str">
        <f>'Audit Report'!F420</f>
        <v/>
      </c>
      <c r="S420" t="str">
        <f>'Audit Report'!Q420</f>
        <v/>
      </c>
    </row>
    <row r="421" spans="4:19">
      <c r="D421" t="str">
        <f>'Audit Report'!B421</f>
        <v>ITD-X420</v>
      </c>
      <c r="E421" t="str">
        <f>'Audit Report'!C421</f>
        <v/>
      </c>
      <c r="I421" t="str">
        <f>'Audit Report'!D421</f>
        <v/>
      </c>
      <c r="J421" t="str">
        <f>'Audit Report'!H421</f>
        <v/>
      </c>
      <c r="L421" t="str">
        <f>_xlfn.TEXTJOIN(", ", FALSE, 'Audit Report'!K421,'Audit Report'!L421,'Audit Report'!M421)</f>
        <v xml:space="preserve">, , </v>
      </c>
      <c r="M421" t="str">
        <f>'Audit Report'!O421</f>
        <v/>
      </c>
      <c r="R421" t="str">
        <f>'Audit Report'!F421</f>
        <v/>
      </c>
      <c r="S421" t="str">
        <f>'Audit Report'!Q421</f>
        <v/>
      </c>
    </row>
    <row r="422" spans="4:19">
      <c r="D422" t="str">
        <f>'Audit Report'!B422</f>
        <v>ITD-X421</v>
      </c>
      <c r="E422" t="str">
        <f>'Audit Report'!C422</f>
        <v/>
      </c>
      <c r="I422" t="str">
        <f>'Audit Report'!D422</f>
        <v/>
      </c>
      <c r="J422" t="str">
        <f>'Audit Report'!H422</f>
        <v/>
      </c>
      <c r="L422" t="str">
        <f>_xlfn.TEXTJOIN(", ", FALSE, 'Audit Report'!K422,'Audit Report'!L422,'Audit Report'!M422)</f>
        <v xml:space="preserve">, , </v>
      </c>
      <c r="M422" t="str">
        <f>'Audit Report'!O422</f>
        <v/>
      </c>
      <c r="R422" t="str">
        <f>'Audit Report'!F422</f>
        <v/>
      </c>
      <c r="S422" t="str">
        <f>'Audit Report'!Q422</f>
        <v/>
      </c>
    </row>
    <row r="423" spans="4:19">
      <c r="D423" t="str">
        <f>'Audit Report'!B423</f>
        <v>ITD-X422</v>
      </c>
      <c r="E423" t="str">
        <f>'Audit Report'!C423</f>
        <v/>
      </c>
      <c r="I423" t="str">
        <f>'Audit Report'!D423</f>
        <v/>
      </c>
      <c r="J423" t="str">
        <f>'Audit Report'!H423</f>
        <v/>
      </c>
      <c r="L423" t="str">
        <f>_xlfn.TEXTJOIN(", ", FALSE, 'Audit Report'!K423,'Audit Report'!L423,'Audit Report'!M423)</f>
        <v xml:space="preserve">, , </v>
      </c>
      <c r="M423" t="str">
        <f>'Audit Report'!O423</f>
        <v/>
      </c>
      <c r="R423" t="str">
        <f>'Audit Report'!F423</f>
        <v/>
      </c>
      <c r="S423" t="str">
        <f>'Audit Report'!Q423</f>
        <v/>
      </c>
    </row>
    <row r="424" spans="4:19">
      <c r="D424" t="str">
        <f>'Audit Report'!B424</f>
        <v>ITD-X423</v>
      </c>
      <c r="E424" t="str">
        <f>'Audit Report'!C424</f>
        <v/>
      </c>
      <c r="I424" t="str">
        <f>'Audit Report'!D424</f>
        <v/>
      </c>
      <c r="J424" t="str">
        <f>'Audit Report'!H424</f>
        <v/>
      </c>
      <c r="L424" t="str">
        <f>_xlfn.TEXTJOIN(", ", FALSE, 'Audit Report'!K424,'Audit Report'!L424,'Audit Report'!M424)</f>
        <v xml:space="preserve">, , </v>
      </c>
      <c r="M424" t="str">
        <f>'Audit Report'!O424</f>
        <v/>
      </c>
      <c r="R424" t="str">
        <f>'Audit Report'!F424</f>
        <v/>
      </c>
      <c r="S424" t="str">
        <f>'Audit Report'!Q424</f>
        <v/>
      </c>
    </row>
    <row r="425" spans="4:19">
      <c r="D425" t="str">
        <f>'Audit Report'!B425</f>
        <v>ITD-X424</v>
      </c>
      <c r="E425" t="str">
        <f>'Audit Report'!C425</f>
        <v/>
      </c>
      <c r="I425" t="str">
        <f>'Audit Report'!D425</f>
        <v/>
      </c>
      <c r="J425" t="str">
        <f>'Audit Report'!H425</f>
        <v/>
      </c>
      <c r="L425" t="str">
        <f>_xlfn.TEXTJOIN(", ", FALSE, 'Audit Report'!K425,'Audit Report'!L425,'Audit Report'!M425)</f>
        <v xml:space="preserve">, , </v>
      </c>
      <c r="M425" t="str">
        <f>'Audit Report'!O425</f>
        <v/>
      </c>
      <c r="R425" t="str">
        <f>'Audit Report'!F425</f>
        <v/>
      </c>
      <c r="S425" t="str">
        <f>'Audit Report'!Q425</f>
        <v/>
      </c>
    </row>
    <row r="426" spans="4:19">
      <c r="D426" t="str">
        <f>'Audit Report'!B426</f>
        <v>ITD-X425</v>
      </c>
      <c r="E426" t="str">
        <f>'Audit Report'!C426</f>
        <v/>
      </c>
      <c r="I426" t="str">
        <f>'Audit Report'!D426</f>
        <v/>
      </c>
      <c r="J426" t="str">
        <f>'Audit Report'!H426</f>
        <v/>
      </c>
      <c r="L426" t="str">
        <f>_xlfn.TEXTJOIN(", ", FALSE, 'Audit Report'!K426,'Audit Report'!L426,'Audit Report'!M426)</f>
        <v xml:space="preserve">, , </v>
      </c>
      <c r="M426" t="str">
        <f>'Audit Report'!O426</f>
        <v/>
      </c>
      <c r="R426" t="str">
        <f>'Audit Report'!F426</f>
        <v/>
      </c>
      <c r="S426" t="str">
        <f>'Audit Report'!Q426</f>
        <v/>
      </c>
    </row>
    <row r="427" spans="4:19">
      <c r="D427" t="str">
        <f>'Audit Report'!B427</f>
        <v>ITD-X426</v>
      </c>
      <c r="E427" t="str">
        <f>'Audit Report'!C427</f>
        <v/>
      </c>
      <c r="I427" t="str">
        <f>'Audit Report'!D427</f>
        <v/>
      </c>
      <c r="J427" t="str">
        <f>'Audit Report'!H427</f>
        <v/>
      </c>
      <c r="L427" t="str">
        <f>_xlfn.TEXTJOIN(", ", FALSE, 'Audit Report'!K427,'Audit Report'!L427,'Audit Report'!M427)</f>
        <v xml:space="preserve">, , </v>
      </c>
      <c r="M427" t="str">
        <f>'Audit Report'!O427</f>
        <v/>
      </c>
      <c r="R427" t="str">
        <f>'Audit Report'!F427</f>
        <v/>
      </c>
      <c r="S427" t="str">
        <f>'Audit Report'!Q427</f>
        <v/>
      </c>
    </row>
    <row r="428" spans="4:19">
      <c r="D428" t="str">
        <f>'Audit Report'!B428</f>
        <v>ITD-X427</v>
      </c>
      <c r="E428" t="str">
        <f>'Audit Report'!C428</f>
        <v/>
      </c>
      <c r="I428" t="str">
        <f>'Audit Report'!D428</f>
        <v/>
      </c>
      <c r="J428" t="str">
        <f>'Audit Report'!H428</f>
        <v/>
      </c>
      <c r="L428" t="str">
        <f>_xlfn.TEXTJOIN(", ", FALSE, 'Audit Report'!K428,'Audit Report'!L428,'Audit Report'!M428)</f>
        <v xml:space="preserve">, , </v>
      </c>
      <c r="M428" t="str">
        <f>'Audit Report'!O428</f>
        <v/>
      </c>
      <c r="R428" t="str">
        <f>'Audit Report'!F428</f>
        <v/>
      </c>
      <c r="S428" t="str">
        <f>'Audit Report'!Q428</f>
        <v/>
      </c>
    </row>
    <row r="429" spans="4:19">
      <c r="D429" t="str">
        <f>'Audit Report'!B429</f>
        <v>ITD-X428</v>
      </c>
      <c r="E429" t="str">
        <f>'Audit Report'!C429</f>
        <v/>
      </c>
      <c r="I429" t="str">
        <f>'Audit Report'!D429</f>
        <v/>
      </c>
      <c r="J429" t="str">
        <f>'Audit Report'!H429</f>
        <v/>
      </c>
      <c r="L429" t="str">
        <f>_xlfn.TEXTJOIN(", ", FALSE, 'Audit Report'!K429,'Audit Report'!L429,'Audit Report'!M429)</f>
        <v xml:space="preserve">, , </v>
      </c>
      <c r="M429" t="str">
        <f>'Audit Report'!O429</f>
        <v/>
      </c>
      <c r="R429" t="str">
        <f>'Audit Report'!F429</f>
        <v/>
      </c>
      <c r="S429" t="str">
        <f>'Audit Report'!Q429</f>
        <v/>
      </c>
    </row>
    <row r="430" spans="4:19">
      <c r="D430" t="str">
        <f>'Audit Report'!B430</f>
        <v>ITD-X429</v>
      </c>
      <c r="E430" t="str">
        <f>'Audit Report'!C430</f>
        <v/>
      </c>
      <c r="I430" t="str">
        <f>'Audit Report'!D430</f>
        <v/>
      </c>
      <c r="J430" t="str">
        <f>'Audit Report'!H430</f>
        <v/>
      </c>
      <c r="L430" t="str">
        <f>_xlfn.TEXTJOIN(", ", FALSE, 'Audit Report'!K430,'Audit Report'!L430,'Audit Report'!M430)</f>
        <v xml:space="preserve">, , </v>
      </c>
      <c r="M430" t="str">
        <f>'Audit Report'!O430</f>
        <v/>
      </c>
      <c r="R430" t="str">
        <f>'Audit Report'!F430</f>
        <v/>
      </c>
      <c r="S430" t="str">
        <f>'Audit Report'!Q430</f>
        <v/>
      </c>
    </row>
    <row r="431" spans="4:19">
      <c r="D431" t="str">
        <f>'Audit Report'!B431</f>
        <v>ITD-X430</v>
      </c>
      <c r="E431" t="str">
        <f>'Audit Report'!C431</f>
        <v/>
      </c>
      <c r="I431" t="str">
        <f>'Audit Report'!D431</f>
        <v/>
      </c>
      <c r="J431" t="str">
        <f>'Audit Report'!H431</f>
        <v/>
      </c>
      <c r="L431" t="str">
        <f>_xlfn.TEXTJOIN(", ", FALSE, 'Audit Report'!K431,'Audit Report'!L431,'Audit Report'!M431)</f>
        <v xml:space="preserve">, , </v>
      </c>
      <c r="M431" t="str">
        <f>'Audit Report'!O431</f>
        <v/>
      </c>
      <c r="R431" t="str">
        <f>'Audit Report'!F431</f>
        <v/>
      </c>
      <c r="S431" t="str">
        <f>'Audit Report'!Q431</f>
        <v/>
      </c>
    </row>
    <row r="432" spans="4:19">
      <c r="D432" t="str">
        <f>'Audit Report'!B432</f>
        <v>ITD-X431</v>
      </c>
      <c r="E432" t="str">
        <f>'Audit Report'!C432</f>
        <v/>
      </c>
      <c r="I432" t="str">
        <f>'Audit Report'!D432</f>
        <v/>
      </c>
      <c r="J432" t="str">
        <f>'Audit Report'!H432</f>
        <v/>
      </c>
      <c r="L432" t="str">
        <f>_xlfn.TEXTJOIN(", ", FALSE, 'Audit Report'!K432,'Audit Report'!L432,'Audit Report'!M432)</f>
        <v xml:space="preserve">, , </v>
      </c>
      <c r="M432" t="str">
        <f>'Audit Report'!O432</f>
        <v/>
      </c>
      <c r="R432" t="str">
        <f>'Audit Report'!F432</f>
        <v/>
      </c>
      <c r="S432" t="str">
        <f>'Audit Report'!Q432</f>
        <v/>
      </c>
    </row>
    <row r="433" spans="4:19">
      <c r="D433" t="str">
        <f>'Audit Report'!B433</f>
        <v>ITD-X432</v>
      </c>
      <c r="E433" t="str">
        <f>'Audit Report'!C433</f>
        <v/>
      </c>
      <c r="I433" t="str">
        <f>'Audit Report'!D433</f>
        <v/>
      </c>
      <c r="J433" t="str">
        <f>'Audit Report'!H433</f>
        <v/>
      </c>
      <c r="L433" t="str">
        <f>_xlfn.TEXTJOIN(", ", FALSE, 'Audit Report'!K433,'Audit Report'!L433,'Audit Report'!M433)</f>
        <v xml:space="preserve">, , </v>
      </c>
      <c r="M433" t="str">
        <f>'Audit Report'!O433</f>
        <v/>
      </c>
      <c r="R433" t="str">
        <f>'Audit Report'!F433</f>
        <v/>
      </c>
      <c r="S433" t="str">
        <f>'Audit Report'!Q433</f>
        <v/>
      </c>
    </row>
    <row r="434" spans="4:19">
      <c r="D434" t="str">
        <f>'Audit Report'!B434</f>
        <v>ITD-X433</v>
      </c>
      <c r="E434" t="str">
        <f>'Audit Report'!C434</f>
        <v/>
      </c>
      <c r="I434" t="str">
        <f>'Audit Report'!D434</f>
        <v/>
      </c>
      <c r="J434" t="str">
        <f>'Audit Report'!H434</f>
        <v/>
      </c>
      <c r="L434" t="str">
        <f>_xlfn.TEXTJOIN(", ", FALSE, 'Audit Report'!K434,'Audit Report'!L434,'Audit Report'!M434)</f>
        <v xml:space="preserve">, , </v>
      </c>
      <c r="M434" t="str">
        <f>'Audit Report'!O434</f>
        <v/>
      </c>
      <c r="R434" t="str">
        <f>'Audit Report'!F434</f>
        <v/>
      </c>
      <c r="S434" t="str">
        <f>'Audit Report'!Q434</f>
        <v/>
      </c>
    </row>
    <row r="435" spans="4:19">
      <c r="D435" t="str">
        <f>'Audit Report'!B435</f>
        <v>ITD-X434</v>
      </c>
      <c r="E435" t="str">
        <f>'Audit Report'!C435</f>
        <v/>
      </c>
      <c r="I435" t="str">
        <f>'Audit Report'!D435</f>
        <v/>
      </c>
      <c r="J435" t="str">
        <f>'Audit Report'!H435</f>
        <v/>
      </c>
      <c r="L435" t="str">
        <f>_xlfn.TEXTJOIN(", ", FALSE, 'Audit Report'!K435,'Audit Report'!L435,'Audit Report'!M435)</f>
        <v xml:space="preserve">, , </v>
      </c>
      <c r="M435" t="str">
        <f>'Audit Report'!O435</f>
        <v/>
      </c>
      <c r="R435" t="str">
        <f>'Audit Report'!F435</f>
        <v/>
      </c>
      <c r="S435" t="str">
        <f>'Audit Report'!Q435</f>
        <v/>
      </c>
    </row>
    <row r="436" spans="4:19">
      <c r="D436" t="str">
        <f>'Audit Report'!B436</f>
        <v>ITD-X435</v>
      </c>
      <c r="E436" t="str">
        <f>'Audit Report'!C436</f>
        <v/>
      </c>
      <c r="I436" t="str">
        <f>'Audit Report'!D436</f>
        <v/>
      </c>
      <c r="J436" t="str">
        <f>'Audit Report'!H436</f>
        <v/>
      </c>
      <c r="L436" t="str">
        <f>_xlfn.TEXTJOIN(", ", FALSE, 'Audit Report'!K436,'Audit Report'!L436,'Audit Report'!M436)</f>
        <v xml:space="preserve">, , </v>
      </c>
      <c r="M436" t="str">
        <f>'Audit Report'!O436</f>
        <v/>
      </c>
      <c r="R436" t="str">
        <f>'Audit Report'!F436</f>
        <v/>
      </c>
      <c r="S436" t="str">
        <f>'Audit Report'!Q436</f>
        <v/>
      </c>
    </row>
    <row r="437" spans="4:19">
      <c r="D437" t="str">
        <f>'Audit Report'!B437</f>
        <v>ITD-X436</v>
      </c>
      <c r="E437" t="str">
        <f>'Audit Report'!C437</f>
        <v/>
      </c>
      <c r="I437" t="str">
        <f>'Audit Report'!D437</f>
        <v/>
      </c>
      <c r="J437" t="str">
        <f>'Audit Report'!H437</f>
        <v/>
      </c>
      <c r="L437" t="str">
        <f>_xlfn.TEXTJOIN(", ", FALSE, 'Audit Report'!K437,'Audit Report'!L437,'Audit Report'!M437)</f>
        <v xml:space="preserve">, , </v>
      </c>
      <c r="M437" t="str">
        <f>'Audit Report'!O437</f>
        <v/>
      </c>
      <c r="R437" t="str">
        <f>'Audit Report'!F437</f>
        <v/>
      </c>
      <c r="S437" t="str">
        <f>'Audit Report'!Q437</f>
        <v/>
      </c>
    </row>
    <row r="438" spans="4:19">
      <c r="D438" t="str">
        <f>'Audit Report'!B438</f>
        <v>ITD-X437</v>
      </c>
      <c r="E438" t="str">
        <f>'Audit Report'!C438</f>
        <v/>
      </c>
      <c r="I438" t="str">
        <f>'Audit Report'!D438</f>
        <v/>
      </c>
      <c r="J438" t="str">
        <f>'Audit Report'!H438</f>
        <v/>
      </c>
      <c r="L438" t="str">
        <f>_xlfn.TEXTJOIN(", ", FALSE, 'Audit Report'!K438,'Audit Report'!L438,'Audit Report'!M438)</f>
        <v xml:space="preserve">, , </v>
      </c>
      <c r="M438" t="str">
        <f>'Audit Report'!O438</f>
        <v/>
      </c>
      <c r="R438" t="str">
        <f>'Audit Report'!F438</f>
        <v/>
      </c>
      <c r="S438" t="str">
        <f>'Audit Report'!Q438</f>
        <v/>
      </c>
    </row>
    <row r="439" spans="4:19">
      <c r="D439" t="str">
        <f>'Audit Report'!B439</f>
        <v>ITD-X438</v>
      </c>
      <c r="E439" t="str">
        <f>'Audit Report'!C439</f>
        <v/>
      </c>
      <c r="I439" t="str">
        <f>'Audit Report'!D439</f>
        <v/>
      </c>
      <c r="J439" t="str">
        <f>'Audit Report'!H439</f>
        <v/>
      </c>
      <c r="L439" t="str">
        <f>_xlfn.TEXTJOIN(", ", FALSE, 'Audit Report'!K439,'Audit Report'!L439,'Audit Report'!M439)</f>
        <v xml:space="preserve">, , </v>
      </c>
      <c r="M439" t="str">
        <f>'Audit Report'!O439</f>
        <v/>
      </c>
      <c r="R439" t="str">
        <f>'Audit Report'!F439</f>
        <v/>
      </c>
      <c r="S439" t="str">
        <f>'Audit Report'!Q439</f>
        <v/>
      </c>
    </row>
    <row r="440" spans="4:19">
      <c r="D440" t="str">
        <f>'Audit Report'!B440</f>
        <v>ITD-X439</v>
      </c>
      <c r="E440" t="str">
        <f>'Audit Report'!C440</f>
        <v/>
      </c>
      <c r="I440" t="str">
        <f>'Audit Report'!D440</f>
        <v/>
      </c>
      <c r="J440" t="str">
        <f>'Audit Report'!H440</f>
        <v/>
      </c>
      <c r="L440" t="str">
        <f>_xlfn.TEXTJOIN(", ", FALSE, 'Audit Report'!K440,'Audit Report'!L440,'Audit Report'!M440)</f>
        <v xml:space="preserve">, , </v>
      </c>
      <c r="M440" t="str">
        <f>'Audit Report'!O440</f>
        <v/>
      </c>
      <c r="R440" t="str">
        <f>'Audit Report'!F440</f>
        <v/>
      </c>
      <c r="S440" t="str">
        <f>'Audit Report'!Q440</f>
        <v/>
      </c>
    </row>
    <row r="441" spans="4:19">
      <c r="D441" t="str">
        <f>'Audit Report'!B441</f>
        <v>ITD-X440</v>
      </c>
      <c r="E441" t="str">
        <f>'Audit Report'!C441</f>
        <v/>
      </c>
      <c r="I441" t="str">
        <f>'Audit Report'!D441</f>
        <v/>
      </c>
      <c r="J441" t="str">
        <f>'Audit Report'!H441</f>
        <v/>
      </c>
      <c r="L441" t="str">
        <f>_xlfn.TEXTJOIN(", ", FALSE, 'Audit Report'!K441,'Audit Report'!L441,'Audit Report'!M441)</f>
        <v xml:space="preserve">, , </v>
      </c>
      <c r="M441" t="str">
        <f>'Audit Report'!O441</f>
        <v/>
      </c>
      <c r="R441" t="str">
        <f>'Audit Report'!F441</f>
        <v/>
      </c>
      <c r="S441" t="str">
        <f>'Audit Report'!Q441</f>
        <v/>
      </c>
    </row>
    <row r="442" spans="4:19">
      <c r="D442" t="str">
        <f>'Audit Report'!B442</f>
        <v>ITD-X441</v>
      </c>
      <c r="E442" t="str">
        <f>'Audit Report'!C442</f>
        <v/>
      </c>
      <c r="I442" t="str">
        <f>'Audit Report'!D442</f>
        <v/>
      </c>
      <c r="J442" t="str">
        <f>'Audit Report'!H442</f>
        <v/>
      </c>
      <c r="L442" t="str">
        <f>_xlfn.TEXTJOIN(", ", FALSE, 'Audit Report'!K442,'Audit Report'!L442,'Audit Report'!M442)</f>
        <v xml:space="preserve">, , </v>
      </c>
      <c r="M442" t="str">
        <f>'Audit Report'!O442</f>
        <v/>
      </c>
      <c r="R442" t="str">
        <f>'Audit Report'!F442</f>
        <v/>
      </c>
      <c r="S442" t="str">
        <f>'Audit Report'!Q442</f>
        <v/>
      </c>
    </row>
    <row r="443" spans="4:19">
      <c r="D443" t="str">
        <f>'Audit Report'!B443</f>
        <v>ITD-X442</v>
      </c>
      <c r="E443" t="str">
        <f>'Audit Report'!C443</f>
        <v/>
      </c>
      <c r="I443" t="str">
        <f>'Audit Report'!D443</f>
        <v/>
      </c>
      <c r="J443" t="str">
        <f>'Audit Report'!H443</f>
        <v/>
      </c>
      <c r="L443" t="str">
        <f>_xlfn.TEXTJOIN(", ", FALSE, 'Audit Report'!K443,'Audit Report'!L443,'Audit Report'!M443)</f>
        <v xml:space="preserve">, , </v>
      </c>
      <c r="M443" t="str">
        <f>'Audit Report'!O443</f>
        <v/>
      </c>
      <c r="R443" t="str">
        <f>'Audit Report'!F443</f>
        <v/>
      </c>
      <c r="S443" t="str">
        <f>'Audit Report'!Q443</f>
        <v/>
      </c>
    </row>
    <row r="444" spans="4:19">
      <c r="D444" t="str">
        <f>'Audit Report'!B444</f>
        <v>ITD-X443</v>
      </c>
      <c r="E444" t="str">
        <f>'Audit Report'!C444</f>
        <v/>
      </c>
      <c r="I444" t="str">
        <f>'Audit Report'!D444</f>
        <v/>
      </c>
      <c r="J444" t="str">
        <f>'Audit Report'!H444</f>
        <v/>
      </c>
      <c r="L444" t="str">
        <f>_xlfn.TEXTJOIN(", ", FALSE, 'Audit Report'!K444,'Audit Report'!L444,'Audit Report'!M444)</f>
        <v xml:space="preserve">, , </v>
      </c>
      <c r="M444" t="str">
        <f>'Audit Report'!O444</f>
        <v/>
      </c>
      <c r="R444" t="str">
        <f>'Audit Report'!F444</f>
        <v/>
      </c>
      <c r="S444" t="str">
        <f>'Audit Report'!Q444</f>
        <v/>
      </c>
    </row>
    <row r="445" spans="4:19">
      <c r="D445" t="str">
        <f>'Audit Report'!B445</f>
        <v>ITD-X444</v>
      </c>
      <c r="E445" t="str">
        <f>'Audit Report'!C445</f>
        <v/>
      </c>
      <c r="I445" t="str">
        <f>'Audit Report'!D445</f>
        <v/>
      </c>
      <c r="J445" t="str">
        <f>'Audit Report'!H445</f>
        <v/>
      </c>
      <c r="L445" t="str">
        <f>_xlfn.TEXTJOIN(", ", FALSE, 'Audit Report'!K445,'Audit Report'!L445,'Audit Report'!M445)</f>
        <v xml:space="preserve">, , </v>
      </c>
      <c r="M445" t="str">
        <f>'Audit Report'!O445</f>
        <v/>
      </c>
      <c r="R445" t="str">
        <f>'Audit Report'!F445</f>
        <v/>
      </c>
      <c r="S445" t="str">
        <f>'Audit Report'!Q445</f>
        <v/>
      </c>
    </row>
    <row r="446" spans="4:19">
      <c r="D446" t="str">
        <f>'Audit Report'!B446</f>
        <v>ITD-X445</v>
      </c>
      <c r="E446" t="str">
        <f>'Audit Report'!C446</f>
        <v/>
      </c>
      <c r="I446" t="str">
        <f>'Audit Report'!D446</f>
        <v/>
      </c>
      <c r="J446" t="str">
        <f>'Audit Report'!H446</f>
        <v/>
      </c>
      <c r="L446" t="str">
        <f>_xlfn.TEXTJOIN(", ", FALSE, 'Audit Report'!K446,'Audit Report'!L446,'Audit Report'!M446)</f>
        <v xml:space="preserve">, , </v>
      </c>
      <c r="M446" t="str">
        <f>'Audit Report'!O446</f>
        <v/>
      </c>
      <c r="R446" t="str">
        <f>'Audit Report'!F446</f>
        <v/>
      </c>
      <c r="S446" t="str">
        <f>'Audit Report'!Q446</f>
        <v/>
      </c>
    </row>
    <row r="447" spans="4:19">
      <c r="D447" t="str">
        <f>'Audit Report'!B447</f>
        <v>ITD-X446</v>
      </c>
      <c r="E447" t="str">
        <f>'Audit Report'!C447</f>
        <v/>
      </c>
      <c r="I447" t="str">
        <f>'Audit Report'!D447</f>
        <v/>
      </c>
      <c r="J447" t="str">
        <f>'Audit Report'!H447</f>
        <v/>
      </c>
      <c r="L447" t="str">
        <f>_xlfn.TEXTJOIN(", ", FALSE, 'Audit Report'!K447,'Audit Report'!L447,'Audit Report'!M447)</f>
        <v xml:space="preserve">, , </v>
      </c>
      <c r="M447" t="str">
        <f>'Audit Report'!O447</f>
        <v/>
      </c>
      <c r="R447" t="str">
        <f>'Audit Report'!F447</f>
        <v/>
      </c>
      <c r="S447" t="str">
        <f>'Audit Report'!Q447</f>
        <v/>
      </c>
    </row>
    <row r="448" spans="4:19">
      <c r="D448" t="str">
        <f>'Audit Report'!B448</f>
        <v>ITD-X447</v>
      </c>
      <c r="E448" t="str">
        <f>'Audit Report'!C448</f>
        <v/>
      </c>
      <c r="I448" t="str">
        <f>'Audit Report'!D448</f>
        <v/>
      </c>
      <c r="J448" t="str">
        <f>'Audit Report'!H448</f>
        <v/>
      </c>
      <c r="L448" t="str">
        <f>_xlfn.TEXTJOIN(", ", FALSE, 'Audit Report'!K448,'Audit Report'!L448,'Audit Report'!M448)</f>
        <v xml:space="preserve">, , </v>
      </c>
      <c r="M448" t="str">
        <f>'Audit Report'!O448</f>
        <v/>
      </c>
      <c r="R448" t="str">
        <f>'Audit Report'!F448</f>
        <v/>
      </c>
      <c r="S448" t="str">
        <f>'Audit Report'!Q448</f>
        <v/>
      </c>
    </row>
    <row r="449" spans="4:19">
      <c r="D449" t="str">
        <f>'Audit Report'!B449</f>
        <v>ITD-X448</v>
      </c>
      <c r="E449" t="str">
        <f>'Audit Report'!C449</f>
        <v/>
      </c>
      <c r="I449" t="str">
        <f>'Audit Report'!D449</f>
        <v/>
      </c>
      <c r="J449" t="str">
        <f>'Audit Report'!H449</f>
        <v/>
      </c>
      <c r="L449" t="str">
        <f>_xlfn.TEXTJOIN(", ", FALSE, 'Audit Report'!K449,'Audit Report'!L449,'Audit Report'!M449)</f>
        <v xml:space="preserve">, , </v>
      </c>
      <c r="M449" t="str">
        <f>'Audit Report'!O449</f>
        <v/>
      </c>
      <c r="R449" t="str">
        <f>'Audit Report'!F449</f>
        <v/>
      </c>
      <c r="S449" t="str">
        <f>'Audit Report'!Q449</f>
        <v/>
      </c>
    </row>
    <row r="450" spans="4:19">
      <c r="D450" t="str">
        <f>'Audit Report'!B450</f>
        <v>ITD-X449</v>
      </c>
      <c r="E450" t="str">
        <f>'Audit Report'!C450</f>
        <v/>
      </c>
      <c r="I450" t="str">
        <f>'Audit Report'!D450</f>
        <v/>
      </c>
      <c r="J450" t="str">
        <f>'Audit Report'!H450</f>
        <v/>
      </c>
      <c r="L450" t="str">
        <f>_xlfn.TEXTJOIN(", ", FALSE, 'Audit Report'!K450,'Audit Report'!L450,'Audit Report'!M450)</f>
        <v xml:space="preserve">, , </v>
      </c>
      <c r="M450" t="str">
        <f>'Audit Report'!O450</f>
        <v/>
      </c>
      <c r="R450" t="str">
        <f>'Audit Report'!F450</f>
        <v/>
      </c>
      <c r="S450" t="str">
        <f>'Audit Report'!Q450</f>
        <v/>
      </c>
    </row>
    <row r="451" spans="4:19">
      <c r="D451" t="str">
        <f>'Audit Report'!B451</f>
        <v>ITD-X450</v>
      </c>
      <c r="E451" t="str">
        <f>'Audit Report'!C451</f>
        <v/>
      </c>
      <c r="I451" t="str">
        <f>'Audit Report'!D451</f>
        <v/>
      </c>
      <c r="J451" t="str">
        <f>'Audit Report'!H451</f>
        <v/>
      </c>
      <c r="L451" t="str">
        <f>_xlfn.TEXTJOIN(", ", FALSE, 'Audit Report'!K451,'Audit Report'!L451,'Audit Report'!M451)</f>
        <v xml:space="preserve">, , </v>
      </c>
      <c r="M451" t="str">
        <f>'Audit Report'!O451</f>
        <v/>
      </c>
      <c r="R451" t="str">
        <f>'Audit Report'!F451</f>
        <v/>
      </c>
      <c r="S451" t="str">
        <f>'Audit Report'!Q451</f>
        <v/>
      </c>
    </row>
    <row r="452" spans="4:19">
      <c r="D452" t="str">
        <f>'Audit Report'!B452</f>
        <v>ITD-X451</v>
      </c>
      <c r="E452" t="str">
        <f>'Audit Report'!C452</f>
        <v/>
      </c>
      <c r="I452" t="str">
        <f>'Audit Report'!D452</f>
        <v/>
      </c>
      <c r="J452" t="str">
        <f>'Audit Report'!H452</f>
        <v/>
      </c>
      <c r="L452" t="str">
        <f>_xlfn.TEXTJOIN(", ", FALSE, 'Audit Report'!K452,'Audit Report'!L452,'Audit Report'!M452)</f>
        <v xml:space="preserve">, , </v>
      </c>
      <c r="M452" t="str">
        <f>'Audit Report'!O452</f>
        <v/>
      </c>
      <c r="R452" t="str">
        <f>'Audit Report'!F452</f>
        <v/>
      </c>
      <c r="S452" t="str">
        <f>'Audit Report'!Q452</f>
        <v/>
      </c>
    </row>
    <row r="453" spans="4:19">
      <c r="D453" t="str">
        <f>'Audit Report'!B453</f>
        <v>ITD-X452</v>
      </c>
      <c r="E453" t="str">
        <f>'Audit Report'!C453</f>
        <v/>
      </c>
      <c r="I453" t="str">
        <f>'Audit Report'!D453</f>
        <v/>
      </c>
      <c r="J453" t="str">
        <f>'Audit Report'!H453</f>
        <v/>
      </c>
      <c r="L453" t="str">
        <f>_xlfn.TEXTJOIN(", ", FALSE, 'Audit Report'!K453,'Audit Report'!L453,'Audit Report'!M453)</f>
        <v xml:space="preserve">, , </v>
      </c>
      <c r="M453" t="str">
        <f>'Audit Report'!O453</f>
        <v/>
      </c>
      <c r="R453" t="str">
        <f>'Audit Report'!F453</f>
        <v/>
      </c>
      <c r="S453" t="str">
        <f>'Audit Report'!Q453</f>
        <v/>
      </c>
    </row>
    <row r="454" spans="4:19">
      <c r="D454" t="str">
        <f>'Audit Report'!B454</f>
        <v>ITD-X453</v>
      </c>
      <c r="E454" t="str">
        <f>'Audit Report'!C454</f>
        <v/>
      </c>
      <c r="I454" t="str">
        <f>'Audit Report'!D454</f>
        <v/>
      </c>
      <c r="J454" t="str">
        <f>'Audit Report'!H454</f>
        <v/>
      </c>
      <c r="L454" t="str">
        <f>_xlfn.TEXTJOIN(", ", FALSE, 'Audit Report'!K454,'Audit Report'!L454,'Audit Report'!M454)</f>
        <v xml:space="preserve">, , </v>
      </c>
      <c r="M454" t="str">
        <f>'Audit Report'!O454</f>
        <v/>
      </c>
      <c r="R454" t="str">
        <f>'Audit Report'!F454</f>
        <v/>
      </c>
      <c r="S454" t="str">
        <f>'Audit Report'!Q454</f>
        <v/>
      </c>
    </row>
    <row r="455" spans="4:19">
      <c r="D455" t="str">
        <f>'Audit Report'!B455</f>
        <v>ITD-X454</v>
      </c>
      <c r="E455" t="str">
        <f>'Audit Report'!C455</f>
        <v/>
      </c>
      <c r="I455" t="str">
        <f>'Audit Report'!D455</f>
        <v/>
      </c>
      <c r="J455" t="str">
        <f>'Audit Report'!H455</f>
        <v/>
      </c>
      <c r="L455" t="str">
        <f>_xlfn.TEXTJOIN(", ", FALSE, 'Audit Report'!K455,'Audit Report'!L455,'Audit Report'!M455)</f>
        <v xml:space="preserve">, , </v>
      </c>
      <c r="M455" t="str">
        <f>'Audit Report'!O455</f>
        <v/>
      </c>
      <c r="R455" t="str">
        <f>'Audit Report'!F455</f>
        <v/>
      </c>
      <c r="S455" t="str">
        <f>'Audit Report'!Q455</f>
        <v/>
      </c>
    </row>
    <row r="456" spans="4:19">
      <c r="D456" t="str">
        <f>'Audit Report'!B456</f>
        <v>ITD-X455</v>
      </c>
      <c r="E456" t="str">
        <f>'Audit Report'!C456</f>
        <v/>
      </c>
      <c r="I456" t="str">
        <f>'Audit Report'!D456</f>
        <v/>
      </c>
      <c r="J456" t="str">
        <f>'Audit Report'!H456</f>
        <v/>
      </c>
      <c r="L456" t="str">
        <f>_xlfn.TEXTJOIN(", ", FALSE, 'Audit Report'!K456,'Audit Report'!L456,'Audit Report'!M456)</f>
        <v xml:space="preserve">, , </v>
      </c>
      <c r="M456" t="str">
        <f>'Audit Report'!O456</f>
        <v/>
      </c>
      <c r="R456" t="str">
        <f>'Audit Report'!F456</f>
        <v/>
      </c>
      <c r="S456" t="str">
        <f>'Audit Report'!Q456</f>
        <v/>
      </c>
    </row>
    <row r="457" spans="4:19">
      <c r="D457" t="str">
        <f>'Audit Report'!B457</f>
        <v>ITD-X456</v>
      </c>
      <c r="E457" t="str">
        <f>'Audit Report'!C457</f>
        <v/>
      </c>
      <c r="I457" t="str">
        <f>'Audit Report'!D457</f>
        <v/>
      </c>
      <c r="J457" t="str">
        <f>'Audit Report'!H457</f>
        <v/>
      </c>
      <c r="L457" t="str">
        <f>_xlfn.TEXTJOIN(", ", FALSE, 'Audit Report'!K457,'Audit Report'!L457,'Audit Report'!M457)</f>
        <v xml:space="preserve">, , </v>
      </c>
      <c r="M457" t="str">
        <f>'Audit Report'!O457</f>
        <v/>
      </c>
      <c r="R457" t="str">
        <f>'Audit Report'!F457</f>
        <v/>
      </c>
      <c r="S457" t="str">
        <f>'Audit Report'!Q457</f>
        <v/>
      </c>
    </row>
    <row r="458" spans="4:19">
      <c r="D458" t="str">
        <f>'Audit Report'!B458</f>
        <v>ITD-X457</v>
      </c>
      <c r="E458" t="str">
        <f>'Audit Report'!C458</f>
        <v/>
      </c>
      <c r="I458" t="str">
        <f>'Audit Report'!D458</f>
        <v/>
      </c>
      <c r="J458" t="str">
        <f>'Audit Report'!H458</f>
        <v/>
      </c>
      <c r="L458" t="str">
        <f>_xlfn.TEXTJOIN(", ", FALSE, 'Audit Report'!K458,'Audit Report'!L458,'Audit Report'!M458)</f>
        <v xml:space="preserve">, , </v>
      </c>
      <c r="M458" t="str">
        <f>'Audit Report'!O458</f>
        <v/>
      </c>
      <c r="R458" t="str">
        <f>'Audit Report'!F458</f>
        <v/>
      </c>
      <c r="S458" t="str">
        <f>'Audit Report'!Q458</f>
        <v/>
      </c>
    </row>
    <row r="459" spans="4:19">
      <c r="D459" t="str">
        <f>'Audit Report'!B459</f>
        <v>ITD-X458</v>
      </c>
      <c r="E459" t="str">
        <f>'Audit Report'!C459</f>
        <v/>
      </c>
      <c r="I459" t="str">
        <f>'Audit Report'!D459</f>
        <v/>
      </c>
      <c r="J459" t="str">
        <f>'Audit Report'!H459</f>
        <v/>
      </c>
      <c r="L459" t="str">
        <f>_xlfn.TEXTJOIN(", ", FALSE, 'Audit Report'!K459,'Audit Report'!L459,'Audit Report'!M459)</f>
        <v xml:space="preserve">, , </v>
      </c>
      <c r="M459" t="str">
        <f>'Audit Report'!O459</f>
        <v/>
      </c>
      <c r="R459" t="str">
        <f>'Audit Report'!F459</f>
        <v/>
      </c>
      <c r="S459" t="str">
        <f>'Audit Report'!Q459</f>
        <v/>
      </c>
    </row>
    <row r="460" spans="4:19">
      <c r="D460" t="str">
        <f>'Audit Report'!B460</f>
        <v>ITD-X459</v>
      </c>
      <c r="E460" t="str">
        <f>'Audit Report'!C460</f>
        <v/>
      </c>
      <c r="I460" t="str">
        <f>'Audit Report'!D460</f>
        <v/>
      </c>
      <c r="J460" t="str">
        <f>'Audit Report'!H460</f>
        <v/>
      </c>
      <c r="L460" t="str">
        <f>_xlfn.TEXTJOIN(", ", FALSE, 'Audit Report'!K460,'Audit Report'!L460,'Audit Report'!M460)</f>
        <v xml:space="preserve">, , </v>
      </c>
      <c r="M460" t="str">
        <f>'Audit Report'!O460</f>
        <v/>
      </c>
      <c r="R460" t="str">
        <f>'Audit Report'!F460</f>
        <v/>
      </c>
      <c r="S460" t="str">
        <f>'Audit Report'!Q460</f>
        <v/>
      </c>
    </row>
    <row r="461" spans="4:19">
      <c r="D461" t="str">
        <f>'Audit Report'!B461</f>
        <v>ITD-X460</v>
      </c>
      <c r="E461" t="str">
        <f>'Audit Report'!C461</f>
        <v/>
      </c>
      <c r="I461" t="str">
        <f>'Audit Report'!D461</f>
        <v/>
      </c>
      <c r="J461" t="str">
        <f>'Audit Report'!H461</f>
        <v/>
      </c>
      <c r="L461" t="str">
        <f>_xlfn.TEXTJOIN(", ", FALSE, 'Audit Report'!K461,'Audit Report'!L461,'Audit Report'!M461)</f>
        <v xml:space="preserve">, , </v>
      </c>
      <c r="M461" t="str">
        <f>'Audit Report'!O461</f>
        <v/>
      </c>
      <c r="R461" t="str">
        <f>'Audit Report'!F461</f>
        <v/>
      </c>
      <c r="S461" t="str">
        <f>'Audit Report'!Q461</f>
        <v/>
      </c>
    </row>
    <row r="462" spans="4:19">
      <c r="D462" t="str">
        <f>'Audit Report'!B462</f>
        <v>ITD-X461</v>
      </c>
      <c r="E462" t="str">
        <f>'Audit Report'!C462</f>
        <v/>
      </c>
      <c r="I462" t="str">
        <f>'Audit Report'!D462</f>
        <v/>
      </c>
      <c r="J462" t="str">
        <f>'Audit Report'!H462</f>
        <v/>
      </c>
      <c r="L462" t="str">
        <f>_xlfn.TEXTJOIN(", ", FALSE, 'Audit Report'!K462,'Audit Report'!L462,'Audit Report'!M462)</f>
        <v xml:space="preserve">, , </v>
      </c>
      <c r="M462" t="str">
        <f>'Audit Report'!O462</f>
        <v/>
      </c>
      <c r="R462" t="str">
        <f>'Audit Report'!F462</f>
        <v/>
      </c>
      <c r="S462" t="str">
        <f>'Audit Report'!Q462</f>
        <v/>
      </c>
    </row>
    <row r="463" spans="4:19">
      <c r="D463" t="str">
        <f>'Audit Report'!B463</f>
        <v>ITD-X462</v>
      </c>
      <c r="E463" t="str">
        <f>'Audit Report'!C463</f>
        <v/>
      </c>
      <c r="I463" t="str">
        <f>'Audit Report'!D463</f>
        <v/>
      </c>
      <c r="J463" t="str">
        <f>'Audit Report'!H463</f>
        <v/>
      </c>
      <c r="L463" t="str">
        <f>_xlfn.TEXTJOIN(", ", FALSE, 'Audit Report'!K463,'Audit Report'!L463,'Audit Report'!M463)</f>
        <v xml:space="preserve">, , </v>
      </c>
      <c r="M463" t="str">
        <f>'Audit Report'!O463</f>
        <v/>
      </c>
      <c r="R463" t="str">
        <f>'Audit Report'!F463</f>
        <v/>
      </c>
      <c r="S463" t="str">
        <f>'Audit Report'!Q463</f>
        <v/>
      </c>
    </row>
    <row r="464" spans="4:19">
      <c r="D464" t="str">
        <f>'Audit Report'!B464</f>
        <v>ITD-X463</v>
      </c>
      <c r="E464" t="str">
        <f>'Audit Report'!C464</f>
        <v/>
      </c>
      <c r="I464" t="str">
        <f>'Audit Report'!D464</f>
        <v/>
      </c>
      <c r="J464" t="str">
        <f>'Audit Report'!H464</f>
        <v/>
      </c>
      <c r="L464" t="str">
        <f>_xlfn.TEXTJOIN(", ", FALSE, 'Audit Report'!K464,'Audit Report'!L464,'Audit Report'!M464)</f>
        <v xml:space="preserve">, , </v>
      </c>
      <c r="M464" t="str">
        <f>'Audit Report'!O464</f>
        <v/>
      </c>
      <c r="R464" t="str">
        <f>'Audit Report'!F464</f>
        <v/>
      </c>
      <c r="S464" t="str">
        <f>'Audit Report'!Q464</f>
        <v/>
      </c>
    </row>
    <row r="465" spans="4:19">
      <c r="D465" t="str">
        <f>'Audit Report'!B465</f>
        <v>ITD-X464</v>
      </c>
      <c r="E465" t="str">
        <f>'Audit Report'!C465</f>
        <v/>
      </c>
      <c r="I465" t="str">
        <f>'Audit Report'!D465</f>
        <v/>
      </c>
      <c r="J465" t="str">
        <f>'Audit Report'!H465</f>
        <v/>
      </c>
      <c r="L465" t="str">
        <f>_xlfn.TEXTJOIN(", ", FALSE, 'Audit Report'!K465,'Audit Report'!L465,'Audit Report'!M465)</f>
        <v xml:space="preserve">, , </v>
      </c>
      <c r="M465" t="str">
        <f>'Audit Report'!O465</f>
        <v/>
      </c>
      <c r="R465" t="str">
        <f>'Audit Report'!F465</f>
        <v/>
      </c>
      <c r="S465" t="str">
        <f>'Audit Report'!Q465</f>
        <v/>
      </c>
    </row>
    <row r="466" spans="4:19">
      <c r="D466" t="str">
        <f>'Audit Report'!B466</f>
        <v>ITD-X465</v>
      </c>
      <c r="E466" t="str">
        <f>'Audit Report'!C466</f>
        <v/>
      </c>
      <c r="I466" t="str">
        <f>'Audit Report'!D466</f>
        <v/>
      </c>
      <c r="J466" t="str">
        <f>'Audit Report'!H466</f>
        <v/>
      </c>
      <c r="L466" t="str">
        <f>_xlfn.TEXTJOIN(", ", FALSE, 'Audit Report'!K466,'Audit Report'!L466,'Audit Report'!M466)</f>
        <v xml:space="preserve">, , </v>
      </c>
      <c r="M466" t="str">
        <f>'Audit Report'!O466</f>
        <v/>
      </c>
      <c r="R466" t="str">
        <f>'Audit Report'!F466</f>
        <v/>
      </c>
      <c r="S466" t="str">
        <f>'Audit Report'!Q466</f>
        <v/>
      </c>
    </row>
    <row r="467" spans="4:19">
      <c r="D467" t="str">
        <f>'Audit Report'!B467</f>
        <v>ITD-X466</v>
      </c>
      <c r="E467" t="str">
        <f>'Audit Report'!C467</f>
        <v/>
      </c>
      <c r="I467" t="str">
        <f>'Audit Report'!D467</f>
        <v/>
      </c>
      <c r="J467" t="str">
        <f>'Audit Report'!H467</f>
        <v/>
      </c>
      <c r="L467" t="str">
        <f>_xlfn.TEXTJOIN(", ", FALSE, 'Audit Report'!K467,'Audit Report'!L467,'Audit Report'!M467)</f>
        <v xml:space="preserve">, , </v>
      </c>
      <c r="M467" t="str">
        <f>'Audit Report'!O467</f>
        <v/>
      </c>
      <c r="R467" t="str">
        <f>'Audit Report'!F467</f>
        <v/>
      </c>
      <c r="S467" t="str">
        <f>'Audit Report'!Q467</f>
        <v/>
      </c>
    </row>
    <row r="468" spans="4:19">
      <c r="D468" t="str">
        <f>'Audit Report'!B468</f>
        <v>ITD-X467</v>
      </c>
      <c r="E468" t="str">
        <f>'Audit Report'!C468</f>
        <v/>
      </c>
      <c r="I468" t="str">
        <f>'Audit Report'!D468</f>
        <v/>
      </c>
      <c r="J468" t="str">
        <f>'Audit Report'!H468</f>
        <v/>
      </c>
      <c r="L468" t="str">
        <f>_xlfn.TEXTJOIN(", ", FALSE, 'Audit Report'!K468,'Audit Report'!L468,'Audit Report'!M468)</f>
        <v xml:space="preserve">, , </v>
      </c>
      <c r="M468" t="str">
        <f>'Audit Report'!O468</f>
        <v/>
      </c>
      <c r="R468" t="str">
        <f>'Audit Report'!F468</f>
        <v/>
      </c>
      <c r="S468" t="str">
        <f>'Audit Report'!Q468</f>
        <v/>
      </c>
    </row>
    <row r="469" spans="4:19">
      <c r="D469" t="str">
        <f>'Audit Report'!B469</f>
        <v>ITD-X468</v>
      </c>
      <c r="E469" t="str">
        <f>'Audit Report'!C469</f>
        <v/>
      </c>
      <c r="I469" t="str">
        <f>'Audit Report'!D469</f>
        <v/>
      </c>
      <c r="J469" t="str">
        <f>'Audit Report'!H469</f>
        <v/>
      </c>
      <c r="L469" t="str">
        <f>_xlfn.TEXTJOIN(", ", FALSE, 'Audit Report'!K469,'Audit Report'!L469,'Audit Report'!M469)</f>
        <v xml:space="preserve">, , </v>
      </c>
      <c r="M469" t="str">
        <f>'Audit Report'!O469</f>
        <v/>
      </c>
      <c r="R469" t="str">
        <f>'Audit Report'!F469</f>
        <v/>
      </c>
      <c r="S469" t="str">
        <f>'Audit Report'!Q469</f>
        <v/>
      </c>
    </row>
    <row r="470" spans="4:19">
      <c r="D470" t="str">
        <f>'Audit Report'!B470</f>
        <v>ITD-X469</v>
      </c>
      <c r="E470" t="str">
        <f>'Audit Report'!C470</f>
        <v/>
      </c>
      <c r="I470" t="str">
        <f>'Audit Report'!D470</f>
        <v/>
      </c>
      <c r="J470" t="str">
        <f>'Audit Report'!H470</f>
        <v/>
      </c>
      <c r="L470" t="str">
        <f>_xlfn.TEXTJOIN(", ", FALSE, 'Audit Report'!K470,'Audit Report'!L470,'Audit Report'!M470)</f>
        <v xml:space="preserve">, , </v>
      </c>
      <c r="M470" t="str">
        <f>'Audit Report'!O470</f>
        <v/>
      </c>
      <c r="R470" t="str">
        <f>'Audit Report'!F470</f>
        <v/>
      </c>
      <c r="S470" t="str">
        <f>'Audit Report'!Q470</f>
        <v/>
      </c>
    </row>
    <row r="471" spans="4:19">
      <c r="D471" t="str">
        <f>'Audit Report'!B471</f>
        <v>ITD-X470</v>
      </c>
      <c r="E471" t="str">
        <f>'Audit Report'!C471</f>
        <v/>
      </c>
      <c r="I471" t="str">
        <f>'Audit Report'!D471</f>
        <v/>
      </c>
      <c r="J471" t="str">
        <f>'Audit Report'!H471</f>
        <v/>
      </c>
      <c r="L471" t="str">
        <f>_xlfn.TEXTJOIN(", ", FALSE, 'Audit Report'!K471,'Audit Report'!L471,'Audit Report'!M471)</f>
        <v xml:space="preserve">, , </v>
      </c>
      <c r="M471" t="str">
        <f>'Audit Report'!O471</f>
        <v/>
      </c>
      <c r="R471" t="str">
        <f>'Audit Report'!F471</f>
        <v/>
      </c>
      <c r="S471" t="str">
        <f>'Audit Report'!Q471</f>
        <v/>
      </c>
    </row>
    <row r="472" spans="4:19">
      <c r="D472" t="str">
        <f>'Audit Report'!B472</f>
        <v>ITD-X471</v>
      </c>
      <c r="E472" t="str">
        <f>'Audit Report'!C472</f>
        <v/>
      </c>
      <c r="I472" t="str">
        <f>'Audit Report'!D472</f>
        <v/>
      </c>
      <c r="J472" t="str">
        <f>'Audit Report'!H472</f>
        <v/>
      </c>
      <c r="L472" t="str">
        <f>_xlfn.TEXTJOIN(", ", FALSE, 'Audit Report'!K472,'Audit Report'!L472,'Audit Report'!M472)</f>
        <v xml:space="preserve">, , </v>
      </c>
      <c r="M472" t="str">
        <f>'Audit Report'!O472</f>
        <v/>
      </c>
      <c r="R472" t="str">
        <f>'Audit Report'!F472</f>
        <v/>
      </c>
      <c r="S472" t="str">
        <f>'Audit Report'!Q472</f>
        <v/>
      </c>
    </row>
    <row r="473" spans="4:19">
      <c r="D473" t="str">
        <f>'Audit Report'!B473</f>
        <v>ITD-X472</v>
      </c>
      <c r="E473" t="str">
        <f>'Audit Report'!C473</f>
        <v/>
      </c>
      <c r="I473" t="str">
        <f>'Audit Report'!D473</f>
        <v/>
      </c>
      <c r="J473" t="str">
        <f>'Audit Report'!H473</f>
        <v/>
      </c>
      <c r="L473" t="str">
        <f>_xlfn.TEXTJOIN(", ", FALSE, 'Audit Report'!K473,'Audit Report'!L473,'Audit Report'!M473)</f>
        <v xml:space="preserve">, , </v>
      </c>
      <c r="M473" t="str">
        <f>'Audit Report'!O473</f>
        <v/>
      </c>
      <c r="R473" t="str">
        <f>'Audit Report'!F473</f>
        <v/>
      </c>
      <c r="S473" t="str">
        <f>'Audit Report'!Q473</f>
        <v/>
      </c>
    </row>
    <row r="474" spans="4:19">
      <c r="D474" t="str">
        <f>'Audit Report'!B474</f>
        <v>ITD-X473</v>
      </c>
      <c r="E474" t="str">
        <f>'Audit Report'!C474</f>
        <v/>
      </c>
      <c r="I474" t="str">
        <f>'Audit Report'!D474</f>
        <v/>
      </c>
      <c r="J474" t="str">
        <f>'Audit Report'!H474</f>
        <v/>
      </c>
      <c r="L474" t="str">
        <f>_xlfn.TEXTJOIN(", ", FALSE, 'Audit Report'!K474,'Audit Report'!L474,'Audit Report'!M474)</f>
        <v xml:space="preserve">, , </v>
      </c>
      <c r="M474" t="str">
        <f>'Audit Report'!O474</f>
        <v/>
      </c>
      <c r="R474" t="str">
        <f>'Audit Report'!F474</f>
        <v/>
      </c>
      <c r="S474" t="str">
        <f>'Audit Report'!Q474</f>
        <v/>
      </c>
    </row>
    <row r="475" spans="4:19">
      <c r="D475" t="str">
        <f>'Audit Report'!B475</f>
        <v>ITD-X474</v>
      </c>
      <c r="E475" t="str">
        <f>'Audit Report'!C475</f>
        <v/>
      </c>
      <c r="I475" t="str">
        <f>'Audit Report'!D475</f>
        <v/>
      </c>
      <c r="J475" t="str">
        <f>'Audit Report'!H475</f>
        <v/>
      </c>
      <c r="L475" t="str">
        <f>_xlfn.TEXTJOIN(", ", FALSE, 'Audit Report'!K475,'Audit Report'!L475,'Audit Report'!M475)</f>
        <v xml:space="preserve">, , </v>
      </c>
      <c r="M475" t="str">
        <f>'Audit Report'!O475</f>
        <v/>
      </c>
      <c r="R475" t="str">
        <f>'Audit Report'!F475</f>
        <v/>
      </c>
      <c r="S475" t="str">
        <f>'Audit Report'!Q475</f>
        <v/>
      </c>
    </row>
    <row r="476" spans="4:19">
      <c r="D476" t="str">
        <f>'Audit Report'!B476</f>
        <v>ITD-X475</v>
      </c>
      <c r="E476" t="str">
        <f>'Audit Report'!C476</f>
        <v/>
      </c>
      <c r="I476" t="str">
        <f>'Audit Report'!D476</f>
        <v/>
      </c>
      <c r="J476" t="str">
        <f>'Audit Report'!H476</f>
        <v/>
      </c>
      <c r="L476" t="str">
        <f>_xlfn.TEXTJOIN(", ", FALSE, 'Audit Report'!K476,'Audit Report'!L476,'Audit Report'!M476)</f>
        <v xml:space="preserve">, , </v>
      </c>
      <c r="M476" t="str">
        <f>'Audit Report'!O476</f>
        <v/>
      </c>
      <c r="R476" t="str">
        <f>'Audit Report'!F476</f>
        <v/>
      </c>
      <c r="S476" t="str">
        <f>'Audit Report'!Q476</f>
        <v/>
      </c>
    </row>
    <row r="477" spans="4:19">
      <c r="D477" t="str">
        <f>'Audit Report'!B477</f>
        <v>ITD-X476</v>
      </c>
      <c r="E477" t="str">
        <f>'Audit Report'!C477</f>
        <v/>
      </c>
      <c r="I477" t="str">
        <f>'Audit Report'!D477</f>
        <v/>
      </c>
      <c r="J477" t="str">
        <f>'Audit Report'!H477</f>
        <v/>
      </c>
      <c r="L477" t="str">
        <f>_xlfn.TEXTJOIN(", ", FALSE, 'Audit Report'!K477,'Audit Report'!L477,'Audit Report'!M477)</f>
        <v xml:space="preserve">, , </v>
      </c>
      <c r="M477" t="str">
        <f>'Audit Report'!O477</f>
        <v/>
      </c>
      <c r="R477" t="str">
        <f>'Audit Report'!F477</f>
        <v/>
      </c>
      <c r="S477" t="str">
        <f>'Audit Report'!Q477</f>
        <v/>
      </c>
    </row>
    <row r="478" spans="4:19">
      <c r="D478" t="str">
        <f>'Audit Report'!B478</f>
        <v>ITD-X477</v>
      </c>
      <c r="E478" t="str">
        <f>'Audit Report'!C478</f>
        <v/>
      </c>
      <c r="I478" t="str">
        <f>'Audit Report'!D478</f>
        <v/>
      </c>
      <c r="J478" t="str">
        <f>'Audit Report'!H478</f>
        <v/>
      </c>
      <c r="L478" t="str">
        <f>_xlfn.TEXTJOIN(", ", FALSE, 'Audit Report'!K478,'Audit Report'!L478,'Audit Report'!M478)</f>
        <v xml:space="preserve">, , </v>
      </c>
      <c r="M478" t="str">
        <f>'Audit Report'!O478</f>
        <v/>
      </c>
      <c r="R478" t="str">
        <f>'Audit Report'!F478</f>
        <v/>
      </c>
      <c r="S478" t="str">
        <f>'Audit Report'!Q478</f>
        <v/>
      </c>
    </row>
    <row r="479" spans="4:19">
      <c r="D479" t="str">
        <f>'Audit Report'!B479</f>
        <v>ITD-X478</v>
      </c>
      <c r="E479" t="str">
        <f>'Audit Report'!C479</f>
        <v/>
      </c>
      <c r="I479" t="str">
        <f>'Audit Report'!D479</f>
        <v/>
      </c>
      <c r="J479" t="str">
        <f>'Audit Report'!H479</f>
        <v/>
      </c>
      <c r="L479" t="str">
        <f>_xlfn.TEXTJOIN(", ", FALSE, 'Audit Report'!K479,'Audit Report'!L479,'Audit Report'!M479)</f>
        <v xml:space="preserve">, , </v>
      </c>
      <c r="M479" t="str">
        <f>'Audit Report'!O479</f>
        <v/>
      </c>
      <c r="R479" t="str">
        <f>'Audit Report'!F479</f>
        <v/>
      </c>
      <c r="S479" t="str">
        <f>'Audit Report'!Q479</f>
        <v/>
      </c>
    </row>
    <row r="480" spans="4:19">
      <c r="D480" t="str">
        <f>'Audit Report'!B480</f>
        <v>ITD-X479</v>
      </c>
      <c r="E480" t="str">
        <f>'Audit Report'!C480</f>
        <v/>
      </c>
      <c r="I480" t="str">
        <f>'Audit Report'!D480</f>
        <v/>
      </c>
      <c r="J480" t="str">
        <f>'Audit Report'!H480</f>
        <v/>
      </c>
      <c r="L480" t="str">
        <f>_xlfn.TEXTJOIN(", ", FALSE, 'Audit Report'!K480,'Audit Report'!L480,'Audit Report'!M480)</f>
        <v xml:space="preserve">, , </v>
      </c>
      <c r="M480" t="str">
        <f>'Audit Report'!O480</f>
        <v/>
      </c>
      <c r="R480" t="str">
        <f>'Audit Report'!F480</f>
        <v/>
      </c>
      <c r="S480" t="str">
        <f>'Audit Report'!Q480</f>
        <v/>
      </c>
    </row>
    <row r="481" spans="4:19">
      <c r="D481" t="str">
        <f>'Audit Report'!B481</f>
        <v>ITD-X480</v>
      </c>
      <c r="E481" t="str">
        <f>'Audit Report'!C481</f>
        <v/>
      </c>
      <c r="I481" t="str">
        <f>'Audit Report'!D481</f>
        <v/>
      </c>
      <c r="J481" t="str">
        <f>'Audit Report'!H481</f>
        <v/>
      </c>
      <c r="L481" t="str">
        <f>_xlfn.TEXTJOIN(", ", FALSE, 'Audit Report'!K481,'Audit Report'!L481,'Audit Report'!M481)</f>
        <v xml:space="preserve">, , </v>
      </c>
      <c r="M481" t="str">
        <f>'Audit Report'!O481</f>
        <v/>
      </c>
      <c r="R481" t="str">
        <f>'Audit Report'!F481</f>
        <v/>
      </c>
      <c r="S481" t="str">
        <f>'Audit Report'!Q481</f>
        <v/>
      </c>
    </row>
    <row r="482" spans="4:19">
      <c r="D482" t="str">
        <f>'Audit Report'!B482</f>
        <v>ITD-X481</v>
      </c>
      <c r="E482" t="str">
        <f>'Audit Report'!C482</f>
        <v/>
      </c>
      <c r="I482" t="str">
        <f>'Audit Report'!D482</f>
        <v/>
      </c>
      <c r="J482" t="str">
        <f>'Audit Report'!H482</f>
        <v/>
      </c>
      <c r="L482" t="str">
        <f>_xlfn.TEXTJOIN(", ", FALSE, 'Audit Report'!K482,'Audit Report'!L482,'Audit Report'!M482)</f>
        <v xml:space="preserve">, , </v>
      </c>
      <c r="M482" t="str">
        <f>'Audit Report'!O482</f>
        <v/>
      </c>
      <c r="R482" t="str">
        <f>'Audit Report'!F482</f>
        <v/>
      </c>
      <c r="S482" t="str">
        <f>'Audit Report'!Q482</f>
        <v/>
      </c>
    </row>
    <row r="483" spans="4:19">
      <c r="D483" t="str">
        <f>'Audit Report'!B483</f>
        <v>ITD-X482</v>
      </c>
      <c r="E483" t="str">
        <f>'Audit Report'!C483</f>
        <v/>
      </c>
      <c r="I483" t="str">
        <f>'Audit Report'!D483</f>
        <v/>
      </c>
      <c r="J483" t="str">
        <f>'Audit Report'!H483</f>
        <v/>
      </c>
      <c r="L483" t="str">
        <f>_xlfn.TEXTJOIN(", ", FALSE, 'Audit Report'!K483,'Audit Report'!L483,'Audit Report'!M483)</f>
        <v xml:space="preserve">, , </v>
      </c>
      <c r="M483" t="str">
        <f>'Audit Report'!O483</f>
        <v/>
      </c>
      <c r="R483" t="str">
        <f>'Audit Report'!F483</f>
        <v/>
      </c>
      <c r="S483" t="str">
        <f>'Audit Report'!Q483</f>
        <v/>
      </c>
    </row>
    <row r="484" spans="4:19">
      <c r="D484" t="str">
        <f>'Audit Report'!B484</f>
        <v>ITD-X483</v>
      </c>
      <c r="E484" t="str">
        <f>'Audit Report'!C484</f>
        <v/>
      </c>
      <c r="I484" t="str">
        <f>'Audit Report'!D484</f>
        <v/>
      </c>
      <c r="J484" t="str">
        <f>'Audit Report'!H484</f>
        <v/>
      </c>
      <c r="L484" t="str">
        <f>_xlfn.TEXTJOIN(", ", FALSE, 'Audit Report'!K484,'Audit Report'!L484,'Audit Report'!M484)</f>
        <v xml:space="preserve">, , </v>
      </c>
      <c r="M484" t="str">
        <f>'Audit Report'!O484</f>
        <v/>
      </c>
      <c r="R484" t="str">
        <f>'Audit Report'!F484</f>
        <v/>
      </c>
      <c r="S484" t="str">
        <f>'Audit Report'!Q484</f>
        <v/>
      </c>
    </row>
    <row r="485" spans="4:19">
      <c r="D485" t="str">
        <f>'Audit Report'!B485</f>
        <v>ITD-X484</v>
      </c>
      <c r="E485" t="str">
        <f>'Audit Report'!C485</f>
        <v/>
      </c>
      <c r="I485" t="str">
        <f>'Audit Report'!D485</f>
        <v/>
      </c>
      <c r="J485" t="str">
        <f>'Audit Report'!H485</f>
        <v/>
      </c>
      <c r="L485" t="str">
        <f>_xlfn.TEXTJOIN(", ", FALSE, 'Audit Report'!K485,'Audit Report'!L485,'Audit Report'!M485)</f>
        <v xml:space="preserve">, , </v>
      </c>
      <c r="M485" t="str">
        <f>'Audit Report'!O485</f>
        <v/>
      </c>
      <c r="R485" t="str">
        <f>'Audit Report'!F485</f>
        <v/>
      </c>
      <c r="S485" t="str">
        <f>'Audit Report'!Q485</f>
        <v/>
      </c>
    </row>
    <row r="486" spans="4:19">
      <c r="D486" t="str">
        <f>'Audit Report'!B486</f>
        <v>ITD-X485</v>
      </c>
      <c r="E486" t="str">
        <f>'Audit Report'!C486</f>
        <v/>
      </c>
      <c r="I486" t="str">
        <f>'Audit Report'!D486</f>
        <v/>
      </c>
      <c r="J486" t="str">
        <f>'Audit Report'!H486</f>
        <v/>
      </c>
      <c r="L486" t="str">
        <f>_xlfn.TEXTJOIN(", ", FALSE, 'Audit Report'!K486,'Audit Report'!L486,'Audit Report'!M486)</f>
        <v xml:space="preserve">, , </v>
      </c>
      <c r="M486" t="str">
        <f>'Audit Report'!O486</f>
        <v/>
      </c>
      <c r="R486" t="str">
        <f>'Audit Report'!F486</f>
        <v/>
      </c>
      <c r="S486" t="str">
        <f>'Audit Report'!Q486</f>
        <v/>
      </c>
    </row>
    <row r="487" spans="4:19">
      <c r="D487" t="str">
        <f>'Audit Report'!B487</f>
        <v>ITD-X486</v>
      </c>
      <c r="E487" t="str">
        <f>'Audit Report'!C487</f>
        <v/>
      </c>
      <c r="I487" t="str">
        <f>'Audit Report'!D487</f>
        <v/>
      </c>
      <c r="J487" t="str">
        <f>'Audit Report'!H487</f>
        <v/>
      </c>
      <c r="L487" t="str">
        <f>_xlfn.TEXTJOIN(", ", FALSE, 'Audit Report'!K487,'Audit Report'!L487,'Audit Report'!M487)</f>
        <v xml:space="preserve">, , </v>
      </c>
      <c r="M487" t="str">
        <f>'Audit Report'!O487</f>
        <v/>
      </c>
      <c r="R487" t="str">
        <f>'Audit Report'!F487</f>
        <v/>
      </c>
      <c r="S487" t="str">
        <f>'Audit Report'!Q487</f>
        <v/>
      </c>
    </row>
    <row r="488" spans="4:19">
      <c r="D488" t="str">
        <f>'Audit Report'!B488</f>
        <v>ITD-X487</v>
      </c>
      <c r="E488" t="str">
        <f>'Audit Report'!C488</f>
        <v/>
      </c>
      <c r="I488" t="str">
        <f>'Audit Report'!D488</f>
        <v/>
      </c>
      <c r="J488" t="str">
        <f>'Audit Report'!H488</f>
        <v/>
      </c>
      <c r="L488" t="str">
        <f>_xlfn.TEXTJOIN(", ", FALSE, 'Audit Report'!K488,'Audit Report'!L488,'Audit Report'!M488)</f>
        <v xml:space="preserve">, , </v>
      </c>
      <c r="M488" t="str">
        <f>'Audit Report'!O488</f>
        <v/>
      </c>
      <c r="R488" t="str">
        <f>'Audit Report'!F488</f>
        <v/>
      </c>
      <c r="S488" t="str">
        <f>'Audit Report'!Q488</f>
        <v/>
      </c>
    </row>
    <row r="489" spans="4:19">
      <c r="D489" t="str">
        <f>'Audit Report'!B489</f>
        <v>ITD-X488</v>
      </c>
      <c r="E489" t="str">
        <f>'Audit Report'!C489</f>
        <v/>
      </c>
      <c r="I489" t="str">
        <f>'Audit Report'!D489</f>
        <v/>
      </c>
      <c r="J489" t="str">
        <f>'Audit Report'!H489</f>
        <v/>
      </c>
      <c r="L489" t="str">
        <f>_xlfn.TEXTJOIN(", ", FALSE, 'Audit Report'!K489,'Audit Report'!L489,'Audit Report'!M489)</f>
        <v xml:space="preserve">, , </v>
      </c>
      <c r="M489" t="str">
        <f>'Audit Report'!O489</f>
        <v/>
      </c>
      <c r="R489" t="str">
        <f>'Audit Report'!F489</f>
        <v/>
      </c>
      <c r="S489" t="str">
        <f>'Audit Report'!Q489</f>
        <v/>
      </c>
    </row>
    <row r="490" spans="4:19">
      <c r="D490" t="str">
        <f>'Audit Report'!B490</f>
        <v>ITD-X489</v>
      </c>
      <c r="E490" t="str">
        <f>'Audit Report'!C490</f>
        <v/>
      </c>
      <c r="I490" t="str">
        <f>'Audit Report'!D490</f>
        <v/>
      </c>
      <c r="J490" t="str">
        <f>'Audit Report'!H490</f>
        <v/>
      </c>
      <c r="L490" t="str">
        <f>_xlfn.TEXTJOIN(", ", FALSE, 'Audit Report'!K490,'Audit Report'!L490,'Audit Report'!M490)</f>
        <v xml:space="preserve">, , </v>
      </c>
      <c r="M490" t="str">
        <f>'Audit Report'!O490</f>
        <v/>
      </c>
      <c r="R490" t="str">
        <f>'Audit Report'!F490</f>
        <v/>
      </c>
      <c r="S490" t="str">
        <f>'Audit Report'!Q490</f>
        <v/>
      </c>
    </row>
    <row r="491" spans="4:19">
      <c r="D491" t="str">
        <f>'Audit Report'!B491</f>
        <v>ITD-X490</v>
      </c>
      <c r="E491" t="str">
        <f>'Audit Report'!C491</f>
        <v/>
      </c>
      <c r="I491" t="str">
        <f>'Audit Report'!D491</f>
        <v/>
      </c>
      <c r="J491" t="str">
        <f>'Audit Report'!H491</f>
        <v/>
      </c>
      <c r="L491" t="str">
        <f>_xlfn.TEXTJOIN(", ", FALSE, 'Audit Report'!K491,'Audit Report'!L491,'Audit Report'!M491)</f>
        <v xml:space="preserve">, , </v>
      </c>
      <c r="M491" t="str">
        <f>'Audit Report'!O491</f>
        <v/>
      </c>
      <c r="R491" t="str">
        <f>'Audit Report'!F491</f>
        <v/>
      </c>
      <c r="S491" t="str">
        <f>'Audit Report'!Q491</f>
        <v/>
      </c>
    </row>
    <row r="492" spans="4:19">
      <c r="D492" t="str">
        <f>'Audit Report'!B492</f>
        <v>ITD-X491</v>
      </c>
      <c r="E492" t="str">
        <f>'Audit Report'!C492</f>
        <v/>
      </c>
      <c r="I492" t="str">
        <f>'Audit Report'!D492</f>
        <v/>
      </c>
      <c r="J492" t="str">
        <f>'Audit Report'!H492</f>
        <v/>
      </c>
      <c r="L492" t="str">
        <f>_xlfn.TEXTJOIN(", ", FALSE, 'Audit Report'!K492,'Audit Report'!L492,'Audit Report'!M492)</f>
        <v xml:space="preserve">, , </v>
      </c>
      <c r="M492" t="str">
        <f>'Audit Report'!O492</f>
        <v/>
      </c>
      <c r="R492" t="str">
        <f>'Audit Report'!F492</f>
        <v/>
      </c>
      <c r="S492" t="str">
        <f>'Audit Report'!Q492</f>
        <v/>
      </c>
    </row>
    <row r="493" spans="4:19">
      <c r="D493" t="str">
        <f>'Audit Report'!B493</f>
        <v>ITD-X492</v>
      </c>
      <c r="E493" t="str">
        <f>'Audit Report'!C493</f>
        <v/>
      </c>
      <c r="I493" t="str">
        <f>'Audit Report'!D493</f>
        <v/>
      </c>
      <c r="J493" t="str">
        <f>'Audit Report'!H493</f>
        <v/>
      </c>
      <c r="L493" t="str">
        <f>_xlfn.TEXTJOIN(", ", FALSE, 'Audit Report'!K493,'Audit Report'!L493,'Audit Report'!M493)</f>
        <v xml:space="preserve">, , </v>
      </c>
      <c r="M493" t="str">
        <f>'Audit Report'!O493</f>
        <v/>
      </c>
      <c r="R493" t="str">
        <f>'Audit Report'!F493</f>
        <v/>
      </c>
      <c r="S493" t="str">
        <f>'Audit Report'!Q493</f>
        <v/>
      </c>
    </row>
    <row r="494" spans="4:19">
      <c r="D494" t="str">
        <f>'Audit Report'!B494</f>
        <v>ITD-X493</v>
      </c>
      <c r="E494" t="str">
        <f>'Audit Report'!C494</f>
        <v/>
      </c>
      <c r="I494" t="str">
        <f>'Audit Report'!D494</f>
        <v/>
      </c>
      <c r="J494" t="str">
        <f>'Audit Report'!H494</f>
        <v/>
      </c>
      <c r="L494" t="str">
        <f>_xlfn.TEXTJOIN(", ", FALSE, 'Audit Report'!K494,'Audit Report'!L494,'Audit Report'!M494)</f>
        <v xml:space="preserve">, , </v>
      </c>
      <c r="M494" t="str">
        <f>'Audit Report'!O494</f>
        <v/>
      </c>
      <c r="R494" t="str">
        <f>'Audit Report'!F494</f>
        <v/>
      </c>
      <c r="S494" t="str">
        <f>'Audit Report'!Q494</f>
        <v/>
      </c>
    </row>
    <row r="495" spans="4:19">
      <c r="D495" t="str">
        <f>'Audit Report'!B495</f>
        <v>ITD-X494</v>
      </c>
      <c r="E495" t="str">
        <f>'Audit Report'!C495</f>
        <v/>
      </c>
      <c r="I495" t="str">
        <f>'Audit Report'!D495</f>
        <v/>
      </c>
      <c r="J495" t="str">
        <f>'Audit Report'!H495</f>
        <v/>
      </c>
      <c r="L495" t="str">
        <f>_xlfn.TEXTJOIN(", ", FALSE, 'Audit Report'!K495,'Audit Report'!L495,'Audit Report'!M495)</f>
        <v xml:space="preserve">, , </v>
      </c>
      <c r="M495" t="str">
        <f>'Audit Report'!O495</f>
        <v/>
      </c>
      <c r="R495" t="str">
        <f>'Audit Report'!F495</f>
        <v/>
      </c>
      <c r="S495" t="str">
        <f>'Audit Report'!Q495</f>
        <v/>
      </c>
    </row>
    <row r="496" spans="4:19">
      <c r="D496" t="str">
        <f>'Audit Report'!B496</f>
        <v>ITD-X495</v>
      </c>
      <c r="E496" t="str">
        <f>'Audit Report'!C496</f>
        <v/>
      </c>
      <c r="I496" t="str">
        <f>'Audit Report'!D496</f>
        <v/>
      </c>
      <c r="J496" t="str">
        <f>'Audit Report'!H496</f>
        <v/>
      </c>
      <c r="L496" t="str">
        <f>_xlfn.TEXTJOIN(", ", FALSE, 'Audit Report'!K496,'Audit Report'!L496,'Audit Report'!M496)</f>
        <v xml:space="preserve">, , </v>
      </c>
      <c r="M496" t="str">
        <f>'Audit Report'!O496</f>
        <v/>
      </c>
      <c r="R496" t="str">
        <f>'Audit Report'!F496</f>
        <v/>
      </c>
      <c r="S496" t="str">
        <f>'Audit Report'!Q496</f>
        <v/>
      </c>
    </row>
    <row r="497" spans="4:19">
      <c r="D497" t="str">
        <f>'Audit Report'!B497</f>
        <v>ITD-X496</v>
      </c>
      <c r="E497" t="str">
        <f>'Audit Report'!C497</f>
        <v/>
      </c>
      <c r="I497" t="str">
        <f>'Audit Report'!D497</f>
        <v/>
      </c>
      <c r="J497" t="str">
        <f>'Audit Report'!H497</f>
        <v/>
      </c>
      <c r="L497" t="str">
        <f>_xlfn.TEXTJOIN(", ", FALSE, 'Audit Report'!K497,'Audit Report'!L497,'Audit Report'!M497)</f>
        <v xml:space="preserve">, , </v>
      </c>
      <c r="M497" t="str">
        <f>'Audit Report'!O497</f>
        <v/>
      </c>
      <c r="R497" t="str">
        <f>'Audit Report'!F497</f>
        <v/>
      </c>
      <c r="S497" t="str">
        <f>'Audit Report'!Q497</f>
        <v/>
      </c>
    </row>
    <row r="498" spans="4:19">
      <c r="D498" t="str">
        <f>'Audit Report'!B498</f>
        <v>ITD-X497</v>
      </c>
      <c r="E498" t="str">
        <f>'Audit Report'!C498</f>
        <v/>
      </c>
      <c r="I498" t="str">
        <f>'Audit Report'!D498</f>
        <v/>
      </c>
      <c r="J498" t="str">
        <f>'Audit Report'!H498</f>
        <v/>
      </c>
      <c r="L498" t="str">
        <f>_xlfn.TEXTJOIN(", ", FALSE, 'Audit Report'!K498,'Audit Report'!L498,'Audit Report'!M498)</f>
        <v xml:space="preserve">, , </v>
      </c>
      <c r="M498" t="str">
        <f>'Audit Report'!O498</f>
        <v/>
      </c>
      <c r="R498" t="str">
        <f>'Audit Report'!F498</f>
        <v/>
      </c>
      <c r="S498" t="str">
        <f>'Audit Report'!Q498</f>
        <v/>
      </c>
    </row>
    <row r="499" spans="4:19">
      <c r="D499" t="str">
        <f>'Audit Report'!B499</f>
        <v>ITD-X498</v>
      </c>
      <c r="E499" t="str">
        <f>'Audit Report'!C499</f>
        <v/>
      </c>
      <c r="I499" t="str">
        <f>'Audit Report'!D499</f>
        <v/>
      </c>
      <c r="J499" t="str">
        <f>'Audit Report'!H499</f>
        <v/>
      </c>
      <c r="L499" t="str">
        <f>_xlfn.TEXTJOIN(", ", FALSE, 'Audit Report'!K499,'Audit Report'!L499,'Audit Report'!M499)</f>
        <v xml:space="preserve">, , </v>
      </c>
      <c r="M499" t="str">
        <f>'Audit Report'!O499</f>
        <v/>
      </c>
      <c r="R499" t="str">
        <f>'Audit Report'!F499</f>
        <v/>
      </c>
      <c r="S499" t="str">
        <f>'Audit Report'!Q499</f>
        <v/>
      </c>
    </row>
    <row r="500" spans="4:19">
      <c r="D500" t="str">
        <f>'Audit Report'!B500</f>
        <v>ITD-X499</v>
      </c>
      <c r="E500" t="str">
        <f>'Audit Report'!C500</f>
        <v/>
      </c>
      <c r="I500" t="str">
        <f>'Audit Report'!D500</f>
        <v/>
      </c>
      <c r="J500" t="str">
        <f>'Audit Report'!H500</f>
        <v/>
      </c>
      <c r="L500" t="str">
        <f>_xlfn.TEXTJOIN(", ", FALSE, 'Audit Report'!K500,'Audit Report'!L500,'Audit Report'!M500)</f>
        <v xml:space="preserve">, , </v>
      </c>
      <c r="M500" t="str">
        <f>'Audit Report'!O500</f>
        <v/>
      </c>
      <c r="R500" t="str">
        <f>'Audit Report'!F500</f>
        <v/>
      </c>
      <c r="S500" t="str">
        <f>'Audit Report'!Q500</f>
        <v/>
      </c>
    </row>
    <row r="501" spans="4:19">
      <c r="D501" t="str">
        <f>'Audit Report'!B501</f>
        <v>ITD-X500</v>
      </c>
      <c r="E501" t="str">
        <f>'Audit Report'!C501</f>
        <v/>
      </c>
      <c r="I501" t="str">
        <f>'Audit Report'!D501</f>
        <v/>
      </c>
      <c r="J501" t="str">
        <f>'Audit Report'!H501</f>
        <v/>
      </c>
      <c r="L501" t="str">
        <f>_xlfn.TEXTJOIN(", ", FALSE, 'Audit Report'!K501,'Audit Report'!L501,'Audit Report'!M501)</f>
        <v xml:space="preserve">, , </v>
      </c>
      <c r="M501" t="str">
        <f>'Audit Report'!O501</f>
        <v/>
      </c>
      <c r="R501" t="str">
        <f>'Audit Report'!F501</f>
        <v/>
      </c>
      <c r="S501" t="str">
        <f>'Audit Report'!Q501</f>
        <v/>
      </c>
    </row>
    <row r="502" spans="4:19">
      <c r="D502" t="str">
        <f>'Audit Report'!B502</f>
        <v>ITD-X501</v>
      </c>
      <c r="E502" t="str">
        <f>'Audit Report'!C502</f>
        <v/>
      </c>
      <c r="I502" t="str">
        <f>'Audit Report'!D502</f>
        <v/>
      </c>
      <c r="J502" t="str">
        <f>'Audit Report'!H502</f>
        <v/>
      </c>
      <c r="L502" t="str">
        <f>_xlfn.TEXTJOIN(", ", FALSE, 'Audit Report'!K502,'Audit Report'!L502,'Audit Report'!M502)</f>
        <v xml:space="preserve">, , </v>
      </c>
      <c r="M502" t="str">
        <f>'Audit Report'!O502</f>
        <v/>
      </c>
      <c r="R502" t="str">
        <f>'Audit Report'!F502</f>
        <v/>
      </c>
      <c r="S502" t="str">
        <f>'Audit Report'!Q502</f>
        <v/>
      </c>
    </row>
    <row r="503" spans="4:19">
      <c r="D503" t="str">
        <f>'Audit Report'!B503</f>
        <v>ITD-X502</v>
      </c>
      <c r="E503" t="str">
        <f>'Audit Report'!C503</f>
        <v/>
      </c>
      <c r="I503" t="str">
        <f>'Audit Report'!D503</f>
        <v/>
      </c>
      <c r="J503" t="str">
        <f>'Audit Report'!H503</f>
        <v/>
      </c>
      <c r="L503" t="str">
        <f>_xlfn.TEXTJOIN(", ", FALSE, 'Audit Report'!K503,'Audit Report'!L503,'Audit Report'!M503)</f>
        <v xml:space="preserve">, , </v>
      </c>
      <c r="M503" t="str">
        <f>'Audit Report'!O503</f>
        <v/>
      </c>
      <c r="R503" t="str">
        <f>'Audit Report'!F503</f>
        <v/>
      </c>
      <c r="S503" t="str">
        <f>'Audit Report'!Q503</f>
        <v/>
      </c>
    </row>
    <row r="504" spans="4:19">
      <c r="D504" t="str">
        <f>'Audit Report'!B504</f>
        <v>ITD-X503</v>
      </c>
      <c r="E504" t="str">
        <f>'Audit Report'!C504</f>
        <v/>
      </c>
      <c r="I504" t="str">
        <f>'Audit Report'!D504</f>
        <v/>
      </c>
      <c r="J504" t="str">
        <f>'Audit Report'!H504</f>
        <v/>
      </c>
      <c r="L504" t="str">
        <f>_xlfn.TEXTJOIN(", ", FALSE, 'Audit Report'!K504,'Audit Report'!L504,'Audit Report'!M504)</f>
        <v xml:space="preserve">, , </v>
      </c>
      <c r="M504" t="str">
        <f>'Audit Report'!O504</f>
        <v/>
      </c>
      <c r="R504" t="str">
        <f>'Audit Report'!F504</f>
        <v/>
      </c>
      <c r="S504" t="str">
        <f>'Audit Report'!Q504</f>
        <v/>
      </c>
    </row>
    <row r="505" spans="4:19">
      <c r="D505" t="str">
        <f>'Audit Report'!B505</f>
        <v>ITD-X504</v>
      </c>
      <c r="E505" t="str">
        <f>'Audit Report'!C505</f>
        <v/>
      </c>
      <c r="I505" t="str">
        <f>'Audit Report'!D505</f>
        <v/>
      </c>
      <c r="J505" t="str">
        <f>'Audit Report'!H505</f>
        <v/>
      </c>
      <c r="L505" t="str">
        <f>_xlfn.TEXTJOIN(", ", FALSE, 'Audit Report'!K505,'Audit Report'!L505,'Audit Report'!M505)</f>
        <v xml:space="preserve">, , </v>
      </c>
      <c r="M505" t="str">
        <f>'Audit Report'!O505</f>
        <v/>
      </c>
      <c r="R505" t="str">
        <f>'Audit Report'!F505</f>
        <v/>
      </c>
      <c r="S505" t="str">
        <f>'Audit Report'!Q505</f>
        <v/>
      </c>
    </row>
    <row r="506" spans="4:19">
      <c r="D506" t="str">
        <f>'Audit Report'!B506</f>
        <v>ITD-X505</v>
      </c>
      <c r="E506" t="str">
        <f>'Audit Report'!C506</f>
        <v/>
      </c>
      <c r="I506" t="str">
        <f>'Audit Report'!D506</f>
        <v/>
      </c>
      <c r="J506" t="str">
        <f>'Audit Report'!H506</f>
        <v/>
      </c>
      <c r="L506" t="str">
        <f>_xlfn.TEXTJOIN(", ", FALSE, 'Audit Report'!K506,'Audit Report'!L506,'Audit Report'!M506)</f>
        <v xml:space="preserve">, , </v>
      </c>
      <c r="M506" t="str">
        <f>'Audit Report'!O506</f>
        <v/>
      </c>
      <c r="R506" t="str">
        <f>'Audit Report'!F506</f>
        <v/>
      </c>
      <c r="S506" t="str">
        <f>'Audit Report'!Q506</f>
        <v/>
      </c>
    </row>
    <row r="507" spans="4:19">
      <c r="D507" t="str">
        <f>'Audit Report'!B507</f>
        <v>ITD-X506</v>
      </c>
      <c r="E507" t="str">
        <f>'Audit Report'!C507</f>
        <v/>
      </c>
      <c r="I507" t="str">
        <f>'Audit Report'!D507</f>
        <v/>
      </c>
      <c r="J507" t="str">
        <f>'Audit Report'!H507</f>
        <v/>
      </c>
      <c r="L507" t="str">
        <f>_xlfn.TEXTJOIN(", ", FALSE, 'Audit Report'!K507,'Audit Report'!L507,'Audit Report'!M507)</f>
        <v xml:space="preserve">, , </v>
      </c>
      <c r="M507" t="str">
        <f>'Audit Report'!O507</f>
        <v/>
      </c>
      <c r="R507" t="str">
        <f>'Audit Report'!F507</f>
        <v/>
      </c>
      <c r="S507" t="str">
        <f>'Audit Report'!Q507</f>
        <v/>
      </c>
    </row>
    <row r="508" spans="4:19">
      <c r="D508" t="str">
        <f>'Audit Report'!B508</f>
        <v>ITD-X507</v>
      </c>
      <c r="E508" t="str">
        <f>'Audit Report'!C508</f>
        <v/>
      </c>
      <c r="I508" t="str">
        <f>'Audit Report'!D508</f>
        <v/>
      </c>
      <c r="J508" t="str">
        <f>'Audit Report'!H508</f>
        <v/>
      </c>
      <c r="L508" t="str">
        <f>_xlfn.TEXTJOIN(", ", FALSE, 'Audit Report'!K508,'Audit Report'!L508,'Audit Report'!M508)</f>
        <v xml:space="preserve">, , </v>
      </c>
      <c r="M508" t="str">
        <f>'Audit Report'!O508</f>
        <v/>
      </c>
      <c r="R508" t="str">
        <f>'Audit Report'!F508</f>
        <v/>
      </c>
      <c r="S508" t="str">
        <f>'Audit Report'!Q508</f>
        <v/>
      </c>
    </row>
    <row r="509" spans="4:19">
      <c r="D509" t="str">
        <f>'Audit Report'!B509</f>
        <v>ITD-X508</v>
      </c>
      <c r="E509" t="str">
        <f>'Audit Report'!C509</f>
        <v/>
      </c>
      <c r="I509" t="str">
        <f>'Audit Report'!D509</f>
        <v/>
      </c>
      <c r="J509" t="str">
        <f>'Audit Report'!H509</f>
        <v/>
      </c>
      <c r="L509" t="str">
        <f>_xlfn.TEXTJOIN(", ", FALSE, 'Audit Report'!K509,'Audit Report'!L509,'Audit Report'!M509)</f>
        <v xml:space="preserve">, , </v>
      </c>
      <c r="M509" t="str">
        <f>'Audit Report'!O509</f>
        <v/>
      </c>
      <c r="R509" t="str">
        <f>'Audit Report'!F509</f>
        <v/>
      </c>
      <c r="S509" t="str">
        <f>'Audit Report'!Q509</f>
        <v/>
      </c>
    </row>
    <row r="510" spans="4:19">
      <c r="D510" t="str">
        <f>'Audit Report'!B510</f>
        <v>ITD-X509</v>
      </c>
      <c r="E510" t="str">
        <f>'Audit Report'!C510</f>
        <v/>
      </c>
      <c r="I510" t="str">
        <f>'Audit Report'!D510</f>
        <v/>
      </c>
      <c r="J510" t="str">
        <f>'Audit Report'!H510</f>
        <v/>
      </c>
      <c r="L510" t="str">
        <f>_xlfn.TEXTJOIN(", ", FALSE, 'Audit Report'!K510,'Audit Report'!L510,'Audit Report'!M510)</f>
        <v xml:space="preserve">, , </v>
      </c>
      <c r="M510" t="str">
        <f>'Audit Report'!O510</f>
        <v/>
      </c>
      <c r="R510" t="str">
        <f>'Audit Report'!F510</f>
        <v/>
      </c>
      <c r="S510" t="str">
        <f>'Audit Report'!Q510</f>
        <v/>
      </c>
    </row>
    <row r="511" spans="4:19">
      <c r="D511" t="str">
        <f>'Audit Report'!B511</f>
        <v>ITD-X510</v>
      </c>
      <c r="E511" t="str">
        <f>'Audit Report'!C511</f>
        <v/>
      </c>
      <c r="I511" t="str">
        <f>'Audit Report'!D511</f>
        <v/>
      </c>
      <c r="J511" t="str">
        <f>'Audit Report'!H511</f>
        <v/>
      </c>
      <c r="L511" t="str">
        <f>_xlfn.TEXTJOIN(", ", FALSE, 'Audit Report'!K511,'Audit Report'!L511,'Audit Report'!M511)</f>
        <v xml:space="preserve">, , </v>
      </c>
      <c r="M511" t="str">
        <f>'Audit Report'!O511</f>
        <v/>
      </c>
      <c r="R511" t="str">
        <f>'Audit Report'!F511</f>
        <v/>
      </c>
      <c r="S511" t="str">
        <f>'Audit Report'!Q511</f>
        <v/>
      </c>
    </row>
    <row r="512" spans="4:19">
      <c r="D512" t="str">
        <f>'Audit Report'!B512</f>
        <v>ITD-X511</v>
      </c>
      <c r="E512" t="str">
        <f>'Audit Report'!C512</f>
        <v/>
      </c>
      <c r="I512" t="str">
        <f>'Audit Report'!D512</f>
        <v/>
      </c>
      <c r="J512" t="str">
        <f>'Audit Report'!H512</f>
        <v/>
      </c>
      <c r="L512" t="str">
        <f>_xlfn.TEXTJOIN(", ", FALSE, 'Audit Report'!K512,'Audit Report'!L512,'Audit Report'!M512)</f>
        <v xml:space="preserve">, , </v>
      </c>
      <c r="M512" t="str">
        <f>'Audit Report'!O512</f>
        <v/>
      </c>
      <c r="R512" t="str">
        <f>'Audit Report'!F512</f>
        <v/>
      </c>
      <c r="S512" t="str">
        <f>'Audit Report'!Q512</f>
        <v/>
      </c>
    </row>
    <row r="513" spans="4:19">
      <c r="D513" t="str">
        <f>'Audit Report'!B513</f>
        <v>ITD-X512</v>
      </c>
      <c r="E513" t="str">
        <f>'Audit Report'!C513</f>
        <v/>
      </c>
      <c r="I513" t="str">
        <f>'Audit Report'!D513</f>
        <v/>
      </c>
      <c r="J513" t="str">
        <f>'Audit Report'!H513</f>
        <v/>
      </c>
      <c r="L513" t="str">
        <f>_xlfn.TEXTJOIN(", ", FALSE, 'Audit Report'!K513,'Audit Report'!L513,'Audit Report'!M513)</f>
        <v xml:space="preserve">, , </v>
      </c>
      <c r="M513" t="str">
        <f>'Audit Report'!O513</f>
        <v/>
      </c>
      <c r="R513" t="str">
        <f>'Audit Report'!F513</f>
        <v/>
      </c>
      <c r="S513" t="str">
        <f>'Audit Report'!Q513</f>
        <v/>
      </c>
    </row>
    <row r="514" spans="4:19">
      <c r="D514" t="str">
        <f>'Audit Report'!B514</f>
        <v>ITD-X513</v>
      </c>
      <c r="E514" t="str">
        <f>'Audit Report'!C514</f>
        <v/>
      </c>
      <c r="I514" t="str">
        <f>'Audit Report'!D514</f>
        <v/>
      </c>
      <c r="J514" t="str">
        <f>'Audit Report'!H514</f>
        <v/>
      </c>
      <c r="L514" t="str">
        <f>_xlfn.TEXTJOIN(", ", FALSE, 'Audit Report'!K514,'Audit Report'!L514,'Audit Report'!M514)</f>
        <v xml:space="preserve">, , </v>
      </c>
      <c r="M514" t="str">
        <f>'Audit Report'!O514</f>
        <v/>
      </c>
      <c r="R514" t="str">
        <f>'Audit Report'!F514</f>
        <v/>
      </c>
      <c r="S514" t="str">
        <f>'Audit Report'!Q514</f>
        <v/>
      </c>
    </row>
    <row r="515" spans="4:19">
      <c r="D515" t="str">
        <f>'Audit Report'!B515</f>
        <v>ITD-X514</v>
      </c>
      <c r="E515" t="str">
        <f>'Audit Report'!C515</f>
        <v/>
      </c>
      <c r="I515" t="str">
        <f>'Audit Report'!D515</f>
        <v/>
      </c>
      <c r="J515" t="str">
        <f>'Audit Report'!H515</f>
        <v/>
      </c>
      <c r="L515" t="str">
        <f>_xlfn.TEXTJOIN(", ", FALSE, 'Audit Report'!K515,'Audit Report'!L515,'Audit Report'!M515)</f>
        <v xml:space="preserve">, , </v>
      </c>
      <c r="M515" t="str">
        <f>'Audit Report'!O515</f>
        <v/>
      </c>
      <c r="R515" t="str">
        <f>'Audit Report'!F515</f>
        <v/>
      </c>
      <c r="S515" t="str">
        <f>'Audit Report'!Q515</f>
        <v/>
      </c>
    </row>
    <row r="516" spans="4:19">
      <c r="D516" t="str">
        <f>'Audit Report'!B516</f>
        <v>ITD-X515</v>
      </c>
      <c r="E516" t="str">
        <f>'Audit Report'!C516</f>
        <v/>
      </c>
      <c r="I516" t="str">
        <f>'Audit Report'!D516</f>
        <v/>
      </c>
      <c r="J516" t="str">
        <f>'Audit Report'!H516</f>
        <v/>
      </c>
      <c r="L516" t="str">
        <f>_xlfn.TEXTJOIN(", ", FALSE, 'Audit Report'!K516,'Audit Report'!L516,'Audit Report'!M516)</f>
        <v xml:space="preserve">, , </v>
      </c>
      <c r="M516" t="str">
        <f>'Audit Report'!O516</f>
        <v/>
      </c>
      <c r="R516" t="str">
        <f>'Audit Report'!F516</f>
        <v/>
      </c>
      <c r="S516" t="str">
        <f>'Audit Report'!Q516</f>
        <v/>
      </c>
    </row>
    <row r="517" spans="4:19">
      <c r="D517" t="str">
        <f>'Audit Report'!B517</f>
        <v>ITD-X516</v>
      </c>
      <c r="E517" t="str">
        <f>'Audit Report'!C517</f>
        <v/>
      </c>
      <c r="I517" t="str">
        <f>'Audit Report'!D517</f>
        <v/>
      </c>
      <c r="J517" t="str">
        <f>'Audit Report'!H517</f>
        <v/>
      </c>
      <c r="L517" t="str">
        <f>_xlfn.TEXTJOIN(", ", FALSE, 'Audit Report'!K517,'Audit Report'!L517,'Audit Report'!M517)</f>
        <v xml:space="preserve">, , </v>
      </c>
      <c r="M517" t="str">
        <f>'Audit Report'!O517</f>
        <v/>
      </c>
      <c r="R517" t="str">
        <f>'Audit Report'!F517</f>
        <v/>
      </c>
      <c r="S517" t="str">
        <f>'Audit Report'!Q517</f>
        <v/>
      </c>
    </row>
    <row r="518" spans="4:19">
      <c r="D518" t="str">
        <f>'Audit Report'!B518</f>
        <v>ITD-X517</v>
      </c>
      <c r="E518" t="str">
        <f>'Audit Report'!C518</f>
        <v/>
      </c>
      <c r="I518" t="str">
        <f>'Audit Report'!D518</f>
        <v/>
      </c>
      <c r="J518" t="str">
        <f>'Audit Report'!H518</f>
        <v/>
      </c>
      <c r="L518" t="str">
        <f>_xlfn.TEXTJOIN(", ", FALSE, 'Audit Report'!K518,'Audit Report'!L518,'Audit Report'!M518)</f>
        <v xml:space="preserve">, , </v>
      </c>
      <c r="M518" t="str">
        <f>'Audit Report'!O518</f>
        <v/>
      </c>
      <c r="R518" t="str">
        <f>'Audit Report'!F518</f>
        <v/>
      </c>
      <c r="S518" t="str">
        <f>'Audit Report'!Q518</f>
        <v/>
      </c>
    </row>
    <row r="519" spans="4:19">
      <c r="D519" t="str">
        <f>'Audit Report'!B519</f>
        <v>ITD-X518</v>
      </c>
      <c r="E519" t="str">
        <f>'Audit Report'!C519</f>
        <v/>
      </c>
      <c r="I519" t="str">
        <f>'Audit Report'!D519</f>
        <v/>
      </c>
      <c r="J519" t="str">
        <f>'Audit Report'!H519</f>
        <v/>
      </c>
      <c r="L519" t="str">
        <f>_xlfn.TEXTJOIN(", ", FALSE, 'Audit Report'!K519,'Audit Report'!L519,'Audit Report'!M519)</f>
        <v xml:space="preserve">, , </v>
      </c>
      <c r="M519" t="str">
        <f>'Audit Report'!O519</f>
        <v/>
      </c>
      <c r="R519" t="str">
        <f>'Audit Report'!F519</f>
        <v/>
      </c>
      <c r="S519" t="str">
        <f>'Audit Report'!Q519</f>
        <v/>
      </c>
    </row>
    <row r="520" spans="4:19">
      <c r="D520" t="str">
        <f>'Audit Report'!B520</f>
        <v>ITD-X519</v>
      </c>
      <c r="E520" t="str">
        <f>'Audit Report'!C520</f>
        <v/>
      </c>
      <c r="I520" t="str">
        <f>'Audit Report'!D520</f>
        <v/>
      </c>
      <c r="J520" t="str">
        <f>'Audit Report'!H520</f>
        <v/>
      </c>
      <c r="L520" t="str">
        <f>_xlfn.TEXTJOIN(", ", FALSE, 'Audit Report'!K520,'Audit Report'!L520,'Audit Report'!M520)</f>
        <v xml:space="preserve">, , </v>
      </c>
      <c r="M520" t="str">
        <f>'Audit Report'!O520</f>
        <v/>
      </c>
      <c r="R520" t="str">
        <f>'Audit Report'!F520</f>
        <v/>
      </c>
      <c r="S520" t="str">
        <f>'Audit Report'!Q520</f>
        <v/>
      </c>
    </row>
    <row r="521" spans="4:19">
      <c r="D521" t="str">
        <f>'Audit Report'!B521</f>
        <v>ITD-X520</v>
      </c>
      <c r="E521" t="str">
        <f>'Audit Report'!C521</f>
        <v/>
      </c>
      <c r="I521" t="str">
        <f>'Audit Report'!D521</f>
        <v/>
      </c>
      <c r="J521" t="str">
        <f>'Audit Report'!H521</f>
        <v/>
      </c>
      <c r="L521" t="str">
        <f>_xlfn.TEXTJOIN(", ", FALSE, 'Audit Report'!K521,'Audit Report'!L521,'Audit Report'!M521)</f>
        <v xml:space="preserve">, , </v>
      </c>
      <c r="M521" t="str">
        <f>'Audit Report'!O521</f>
        <v/>
      </c>
      <c r="R521" t="str">
        <f>'Audit Report'!F521</f>
        <v/>
      </c>
      <c r="S521" t="str">
        <f>'Audit Report'!Q521</f>
        <v/>
      </c>
    </row>
    <row r="522" spans="4:19">
      <c r="D522" t="str">
        <f>'Audit Report'!B522</f>
        <v>ITD-X521</v>
      </c>
      <c r="E522" t="str">
        <f>'Audit Report'!C522</f>
        <v/>
      </c>
      <c r="I522" t="str">
        <f>'Audit Report'!D522</f>
        <v/>
      </c>
      <c r="J522" t="str">
        <f>'Audit Report'!H522</f>
        <v/>
      </c>
      <c r="L522" t="str">
        <f>_xlfn.TEXTJOIN(", ", FALSE, 'Audit Report'!K522,'Audit Report'!L522,'Audit Report'!M522)</f>
        <v xml:space="preserve">, , </v>
      </c>
      <c r="M522" t="str">
        <f>'Audit Report'!O522</f>
        <v/>
      </c>
      <c r="R522" t="str">
        <f>'Audit Report'!F522</f>
        <v/>
      </c>
      <c r="S522" t="str">
        <f>'Audit Report'!Q522</f>
        <v/>
      </c>
    </row>
    <row r="523" spans="4:19">
      <c r="D523" t="str">
        <f>'Audit Report'!B523</f>
        <v>ITD-X522</v>
      </c>
      <c r="E523" t="str">
        <f>'Audit Report'!C523</f>
        <v/>
      </c>
      <c r="I523" t="str">
        <f>'Audit Report'!D523</f>
        <v/>
      </c>
      <c r="J523" t="str">
        <f>'Audit Report'!H523</f>
        <v/>
      </c>
      <c r="L523" t="str">
        <f>_xlfn.TEXTJOIN(", ", FALSE, 'Audit Report'!K523,'Audit Report'!L523,'Audit Report'!M523)</f>
        <v xml:space="preserve">, , </v>
      </c>
      <c r="M523" t="str">
        <f>'Audit Report'!O523</f>
        <v/>
      </c>
      <c r="R523" t="str">
        <f>'Audit Report'!F523</f>
        <v/>
      </c>
      <c r="S523" t="str">
        <f>'Audit Report'!Q523</f>
        <v/>
      </c>
    </row>
    <row r="524" spans="4:19">
      <c r="D524" t="str">
        <f>'Audit Report'!B524</f>
        <v>ITD-X523</v>
      </c>
      <c r="E524" t="str">
        <f>'Audit Report'!C524</f>
        <v/>
      </c>
      <c r="I524" t="str">
        <f>'Audit Report'!D524</f>
        <v/>
      </c>
      <c r="J524" t="str">
        <f>'Audit Report'!H524</f>
        <v/>
      </c>
      <c r="L524" t="str">
        <f>_xlfn.TEXTJOIN(", ", FALSE, 'Audit Report'!K524,'Audit Report'!L524,'Audit Report'!M524)</f>
        <v xml:space="preserve">, , </v>
      </c>
      <c r="M524" t="str">
        <f>'Audit Report'!O524</f>
        <v/>
      </c>
      <c r="R524" t="str">
        <f>'Audit Report'!F524</f>
        <v/>
      </c>
      <c r="S524" t="str">
        <f>'Audit Report'!Q524</f>
        <v/>
      </c>
    </row>
    <row r="525" spans="4:19">
      <c r="D525" t="str">
        <f>'Audit Report'!B525</f>
        <v>ITD-X524</v>
      </c>
      <c r="E525" t="str">
        <f>'Audit Report'!C525</f>
        <v/>
      </c>
      <c r="I525" t="str">
        <f>'Audit Report'!D525</f>
        <v/>
      </c>
      <c r="J525" t="str">
        <f>'Audit Report'!H525</f>
        <v/>
      </c>
      <c r="L525" t="str">
        <f>_xlfn.TEXTJOIN(", ", FALSE, 'Audit Report'!K525,'Audit Report'!L525,'Audit Report'!M525)</f>
        <v xml:space="preserve">, , </v>
      </c>
      <c r="M525" t="str">
        <f>'Audit Report'!O525</f>
        <v/>
      </c>
      <c r="R525" t="str">
        <f>'Audit Report'!F525</f>
        <v/>
      </c>
      <c r="S525" t="str">
        <f>'Audit Report'!Q525</f>
        <v/>
      </c>
    </row>
    <row r="526" spans="4:19">
      <c r="D526" t="str">
        <f>'Audit Report'!B526</f>
        <v>ITD-X525</v>
      </c>
      <c r="E526" t="str">
        <f>'Audit Report'!C526</f>
        <v/>
      </c>
      <c r="I526" t="str">
        <f>'Audit Report'!D526</f>
        <v/>
      </c>
      <c r="J526" t="str">
        <f>'Audit Report'!H526</f>
        <v/>
      </c>
      <c r="L526" t="str">
        <f>_xlfn.TEXTJOIN(", ", FALSE, 'Audit Report'!K526,'Audit Report'!L526,'Audit Report'!M526)</f>
        <v xml:space="preserve">, , </v>
      </c>
      <c r="M526" t="str">
        <f>'Audit Report'!O526</f>
        <v/>
      </c>
      <c r="R526" t="str">
        <f>'Audit Report'!F526</f>
        <v/>
      </c>
      <c r="S526" t="str">
        <f>'Audit Report'!Q526</f>
        <v/>
      </c>
    </row>
    <row r="527" spans="4:19">
      <c r="D527" t="str">
        <f>'Audit Report'!B527</f>
        <v>ITD-X526</v>
      </c>
      <c r="E527" t="str">
        <f>'Audit Report'!C527</f>
        <v/>
      </c>
      <c r="I527" t="str">
        <f>'Audit Report'!D527</f>
        <v/>
      </c>
      <c r="J527" t="str">
        <f>'Audit Report'!H527</f>
        <v/>
      </c>
      <c r="L527" t="str">
        <f>_xlfn.TEXTJOIN(", ", FALSE, 'Audit Report'!K527,'Audit Report'!L527,'Audit Report'!M527)</f>
        <v xml:space="preserve">, , </v>
      </c>
      <c r="M527" t="str">
        <f>'Audit Report'!O527</f>
        <v/>
      </c>
      <c r="R527" t="str">
        <f>'Audit Report'!F527</f>
        <v/>
      </c>
      <c r="S527" t="str">
        <f>'Audit Report'!Q527</f>
        <v/>
      </c>
    </row>
    <row r="528" spans="4:19">
      <c r="D528" t="str">
        <f>'Audit Report'!B528</f>
        <v>ITD-X527</v>
      </c>
      <c r="E528" t="str">
        <f>'Audit Report'!C528</f>
        <v/>
      </c>
      <c r="I528" t="str">
        <f>'Audit Report'!D528</f>
        <v/>
      </c>
      <c r="J528" t="str">
        <f>'Audit Report'!H528</f>
        <v/>
      </c>
      <c r="L528" t="str">
        <f>_xlfn.TEXTJOIN(", ", FALSE, 'Audit Report'!K528,'Audit Report'!L528,'Audit Report'!M528)</f>
        <v xml:space="preserve">, , </v>
      </c>
      <c r="M528" t="str">
        <f>'Audit Report'!O528</f>
        <v/>
      </c>
      <c r="R528" t="str">
        <f>'Audit Report'!F528</f>
        <v/>
      </c>
      <c r="S528" t="str">
        <f>'Audit Report'!Q528</f>
        <v/>
      </c>
    </row>
    <row r="529" spans="4:19">
      <c r="D529" t="str">
        <f>'Audit Report'!B529</f>
        <v>ITD-X528</v>
      </c>
      <c r="E529" t="str">
        <f>'Audit Report'!C529</f>
        <v/>
      </c>
      <c r="I529" t="str">
        <f>'Audit Report'!D529</f>
        <v/>
      </c>
      <c r="J529" t="str">
        <f>'Audit Report'!H529</f>
        <v/>
      </c>
      <c r="L529" t="str">
        <f>_xlfn.TEXTJOIN(", ", FALSE, 'Audit Report'!K529,'Audit Report'!L529,'Audit Report'!M529)</f>
        <v xml:space="preserve">, , </v>
      </c>
      <c r="M529" t="str">
        <f>'Audit Report'!O529</f>
        <v/>
      </c>
      <c r="R529" t="str">
        <f>'Audit Report'!F529</f>
        <v/>
      </c>
      <c r="S529" t="str">
        <f>'Audit Report'!Q529</f>
        <v/>
      </c>
    </row>
    <row r="530" spans="4:19">
      <c r="D530" t="str">
        <f>'Audit Report'!B530</f>
        <v>ITD-X529</v>
      </c>
      <c r="E530" t="str">
        <f>'Audit Report'!C530</f>
        <v/>
      </c>
      <c r="I530" t="str">
        <f>'Audit Report'!D530</f>
        <v/>
      </c>
      <c r="J530" t="str">
        <f>'Audit Report'!H530</f>
        <v/>
      </c>
      <c r="L530" t="str">
        <f>_xlfn.TEXTJOIN(", ", FALSE, 'Audit Report'!K530,'Audit Report'!L530,'Audit Report'!M530)</f>
        <v xml:space="preserve">, , </v>
      </c>
      <c r="M530" t="str">
        <f>'Audit Report'!O530</f>
        <v/>
      </c>
      <c r="R530" t="str">
        <f>'Audit Report'!F530</f>
        <v/>
      </c>
      <c r="S530" t="str">
        <f>'Audit Report'!Q530</f>
        <v/>
      </c>
    </row>
    <row r="531" spans="4:19">
      <c r="D531" t="str">
        <f>'Audit Report'!B531</f>
        <v>ITD-X530</v>
      </c>
      <c r="E531" t="str">
        <f>'Audit Report'!C531</f>
        <v/>
      </c>
      <c r="I531" t="str">
        <f>'Audit Report'!D531</f>
        <v/>
      </c>
      <c r="J531" t="str">
        <f>'Audit Report'!H531</f>
        <v/>
      </c>
      <c r="L531" t="str">
        <f>_xlfn.TEXTJOIN(", ", FALSE, 'Audit Report'!K531,'Audit Report'!L531,'Audit Report'!M531)</f>
        <v xml:space="preserve">, , </v>
      </c>
      <c r="M531" t="str">
        <f>'Audit Report'!O531</f>
        <v/>
      </c>
      <c r="R531" t="str">
        <f>'Audit Report'!F531</f>
        <v/>
      </c>
      <c r="S531" t="str">
        <f>'Audit Report'!Q531</f>
        <v/>
      </c>
    </row>
    <row r="532" spans="4:19">
      <c r="D532" t="str">
        <f>'Audit Report'!B532</f>
        <v>ITD-X531</v>
      </c>
      <c r="E532" t="str">
        <f>'Audit Report'!C532</f>
        <v/>
      </c>
      <c r="I532" t="str">
        <f>'Audit Report'!D532</f>
        <v/>
      </c>
      <c r="J532" t="str">
        <f>'Audit Report'!H532</f>
        <v/>
      </c>
      <c r="L532" t="str">
        <f>_xlfn.TEXTJOIN(", ", FALSE, 'Audit Report'!K532,'Audit Report'!L532,'Audit Report'!M532)</f>
        <v xml:space="preserve">, , </v>
      </c>
      <c r="M532" t="str">
        <f>'Audit Report'!O532</f>
        <v/>
      </c>
      <c r="R532" t="str">
        <f>'Audit Report'!F532</f>
        <v/>
      </c>
      <c r="S532" t="str">
        <f>'Audit Report'!Q532</f>
        <v/>
      </c>
    </row>
    <row r="533" spans="4:19">
      <c r="D533" t="str">
        <f>'Audit Report'!B533</f>
        <v>ITD-X532</v>
      </c>
      <c r="E533" t="str">
        <f>'Audit Report'!C533</f>
        <v/>
      </c>
      <c r="I533" t="str">
        <f>'Audit Report'!D533</f>
        <v/>
      </c>
      <c r="J533" t="str">
        <f>'Audit Report'!H533</f>
        <v/>
      </c>
      <c r="L533" t="str">
        <f>_xlfn.TEXTJOIN(", ", FALSE, 'Audit Report'!K533,'Audit Report'!L533,'Audit Report'!M533)</f>
        <v xml:space="preserve">, , </v>
      </c>
      <c r="M533" t="str">
        <f>'Audit Report'!O533</f>
        <v/>
      </c>
      <c r="R533" t="str">
        <f>'Audit Report'!F533</f>
        <v/>
      </c>
      <c r="S533" t="str">
        <f>'Audit Report'!Q533</f>
        <v/>
      </c>
    </row>
    <row r="534" spans="4:19">
      <c r="D534" t="str">
        <f>'Audit Report'!B534</f>
        <v>ITD-X533</v>
      </c>
      <c r="E534" t="str">
        <f>'Audit Report'!C534</f>
        <v/>
      </c>
      <c r="I534" t="str">
        <f>'Audit Report'!D534</f>
        <v/>
      </c>
      <c r="J534" t="str">
        <f>'Audit Report'!H534</f>
        <v/>
      </c>
      <c r="L534" t="str">
        <f>_xlfn.TEXTJOIN(", ", FALSE, 'Audit Report'!K534,'Audit Report'!L534,'Audit Report'!M534)</f>
        <v xml:space="preserve">, , </v>
      </c>
      <c r="M534" t="str">
        <f>'Audit Report'!O534</f>
        <v/>
      </c>
      <c r="R534" t="str">
        <f>'Audit Report'!F534</f>
        <v/>
      </c>
      <c r="S534" t="str">
        <f>'Audit Report'!Q534</f>
        <v/>
      </c>
    </row>
    <row r="535" spans="4:19">
      <c r="D535" t="str">
        <f>'Audit Report'!B535</f>
        <v>ITD-X534</v>
      </c>
      <c r="E535" t="str">
        <f>'Audit Report'!C535</f>
        <v/>
      </c>
      <c r="I535" t="str">
        <f>'Audit Report'!D535</f>
        <v/>
      </c>
      <c r="J535" t="str">
        <f>'Audit Report'!H535</f>
        <v/>
      </c>
      <c r="L535" t="str">
        <f>_xlfn.TEXTJOIN(", ", FALSE, 'Audit Report'!K535,'Audit Report'!L535,'Audit Report'!M535)</f>
        <v xml:space="preserve">, , </v>
      </c>
      <c r="M535" t="str">
        <f>'Audit Report'!O535</f>
        <v/>
      </c>
      <c r="R535" t="str">
        <f>'Audit Report'!F535</f>
        <v/>
      </c>
      <c r="S535" t="str">
        <f>'Audit Report'!Q535</f>
        <v/>
      </c>
    </row>
    <row r="536" spans="4:19">
      <c r="D536" t="str">
        <f>'Audit Report'!B536</f>
        <v>ITD-X535</v>
      </c>
      <c r="E536" t="str">
        <f>'Audit Report'!C536</f>
        <v/>
      </c>
      <c r="I536" t="str">
        <f>'Audit Report'!D536</f>
        <v/>
      </c>
      <c r="J536" t="str">
        <f>'Audit Report'!H536</f>
        <v/>
      </c>
      <c r="L536" t="str">
        <f>_xlfn.TEXTJOIN(", ", FALSE, 'Audit Report'!K536,'Audit Report'!L536,'Audit Report'!M536)</f>
        <v xml:space="preserve">, , </v>
      </c>
      <c r="M536" t="str">
        <f>'Audit Report'!O536</f>
        <v/>
      </c>
      <c r="R536" t="str">
        <f>'Audit Report'!F536</f>
        <v/>
      </c>
      <c r="S536" t="str">
        <f>'Audit Report'!Q536</f>
        <v/>
      </c>
    </row>
    <row r="537" spans="4:19">
      <c r="D537" t="str">
        <f>'Audit Report'!B537</f>
        <v>ITD-X536</v>
      </c>
      <c r="E537" t="str">
        <f>'Audit Report'!C537</f>
        <v/>
      </c>
      <c r="I537" t="str">
        <f>'Audit Report'!D537</f>
        <v/>
      </c>
      <c r="J537" t="str">
        <f>'Audit Report'!H537</f>
        <v/>
      </c>
      <c r="L537" t="str">
        <f>_xlfn.TEXTJOIN(", ", FALSE, 'Audit Report'!K537,'Audit Report'!L537,'Audit Report'!M537)</f>
        <v xml:space="preserve">, , </v>
      </c>
      <c r="M537" t="str">
        <f>'Audit Report'!O537</f>
        <v/>
      </c>
      <c r="R537" t="str">
        <f>'Audit Report'!F537</f>
        <v/>
      </c>
      <c r="S537" t="str">
        <f>'Audit Report'!Q537</f>
        <v/>
      </c>
    </row>
    <row r="538" spans="4:19">
      <c r="D538" t="str">
        <f>'Audit Report'!B538</f>
        <v>ITD-X537</v>
      </c>
      <c r="E538" t="str">
        <f>'Audit Report'!C538</f>
        <v/>
      </c>
      <c r="I538" t="str">
        <f>'Audit Report'!D538</f>
        <v/>
      </c>
      <c r="J538" t="str">
        <f>'Audit Report'!H538</f>
        <v/>
      </c>
      <c r="L538" t="str">
        <f>_xlfn.TEXTJOIN(", ", FALSE, 'Audit Report'!K538,'Audit Report'!L538,'Audit Report'!M538)</f>
        <v xml:space="preserve">, , </v>
      </c>
      <c r="M538" t="str">
        <f>'Audit Report'!O538</f>
        <v/>
      </c>
      <c r="R538" t="str">
        <f>'Audit Report'!F538</f>
        <v/>
      </c>
      <c r="S538" t="str">
        <f>'Audit Report'!Q538</f>
        <v/>
      </c>
    </row>
    <row r="539" spans="4:19">
      <c r="D539" t="str">
        <f>'Audit Report'!B539</f>
        <v>ITD-X538</v>
      </c>
      <c r="E539" t="str">
        <f>'Audit Report'!C539</f>
        <v/>
      </c>
      <c r="I539" t="str">
        <f>'Audit Report'!D539</f>
        <v/>
      </c>
      <c r="J539" t="str">
        <f>'Audit Report'!H539</f>
        <v/>
      </c>
      <c r="L539" t="str">
        <f>_xlfn.TEXTJOIN(", ", FALSE, 'Audit Report'!K539,'Audit Report'!L539,'Audit Report'!M539)</f>
        <v xml:space="preserve">, , </v>
      </c>
      <c r="M539" t="str">
        <f>'Audit Report'!O539</f>
        <v/>
      </c>
      <c r="R539" t="str">
        <f>'Audit Report'!F539</f>
        <v/>
      </c>
      <c r="S539" t="str">
        <f>'Audit Report'!Q539</f>
        <v/>
      </c>
    </row>
    <row r="540" spans="4:19">
      <c r="D540" t="str">
        <f>'Audit Report'!B540</f>
        <v>ITD-X539</v>
      </c>
      <c r="E540" t="str">
        <f>'Audit Report'!C540</f>
        <v/>
      </c>
      <c r="I540" t="str">
        <f>'Audit Report'!D540</f>
        <v/>
      </c>
      <c r="J540" t="str">
        <f>'Audit Report'!H540</f>
        <v/>
      </c>
      <c r="L540" t="str">
        <f>_xlfn.TEXTJOIN(", ", FALSE, 'Audit Report'!K540,'Audit Report'!L540,'Audit Report'!M540)</f>
        <v xml:space="preserve">, , </v>
      </c>
      <c r="M540" t="str">
        <f>'Audit Report'!O540</f>
        <v/>
      </c>
      <c r="R540" t="str">
        <f>'Audit Report'!F540</f>
        <v/>
      </c>
      <c r="S540" t="str">
        <f>'Audit Report'!Q540</f>
        <v/>
      </c>
    </row>
    <row r="541" spans="4:19">
      <c r="D541" t="str">
        <f>'Audit Report'!B541</f>
        <v>ITD-X540</v>
      </c>
      <c r="E541" t="str">
        <f>'Audit Report'!C541</f>
        <v/>
      </c>
      <c r="I541" t="str">
        <f>'Audit Report'!D541</f>
        <v/>
      </c>
      <c r="J541" t="str">
        <f>'Audit Report'!H541</f>
        <v/>
      </c>
      <c r="L541" t="str">
        <f>_xlfn.TEXTJOIN(", ", FALSE, 'Audit Report'!K541,'Audit Report'!L541,'Audit Report'!M541)</f>
        <v xml:space="preserve">, , </v>
      </c>
      <c r="M541" t="str">
        <f>'Audit Report'!O541</f>
        <v/>
      </c>
      <c r="R541" t="str">
        <f>'Audit Report'!F541</f>
        <v/>
      </c>
      <c r="S541" t="str">
        <f>'Audit Report'!Q541</f>
        <v/>
      </c>
    </row>
    <row r="542" spans="4:19">
      <c r="D542" t="str">
        <f>'Audit Report'!B542</f>
        <v>ITD-X541</v>
      </c>
      <c r="E542" t="str">
        <f>'Audit Report'!C542</f>
        <v/>
      </c>
      <c r="I542" t="str">
        <f>'Audit Report'!D542</f>
        <v/>
      </c>
      <c r="J542" t="str">
        <f>'Audit Report'!H542</f>
        <v/>
      </c>
      <c r="L542" t="str">
        <f>_xlfn.TEXTJOIN(", ", FALSE, 'Audit Report'!K542,'Audit Report'!L542,'Audit Report'!M542)</f>
        <v xml:space="preserve">, , </v>
      </c>
      <c r="M542" t="str">
        <f>'Audit Report'!O542</f>
        <v/>
      </c>
      <c r="R542" t="str">
        <f>'Audit Report'!F542</f>
        <v/>
      </c>
      <c r="S542" t="str">
        <f>'Audit Report'!Q542</f>
        <v/>
      </c>
    </row>
    <row r="543" spans="4:19">
      <c r="D543" t="str">
        <f>'Audit Report'!B543</f>
        <v>ITD-X542</v>
      </c>
      <c r="E543" t="str">
        <f>'Audit Report'!C543</f>
        <v/>
      </c>
      <c r="I543" t="str">
        <f>'Audit Report'!D543</f>
        <v/>
      </c>
      <c r="J543" t="str">
        <f>'Audit Report'!H543</f>
        <v/>
      </c>
      <c r="L543" t="str">
        <f>_xlfn.TEXTJOIN(", ", FALSE, 'Audit Report'!K543,'Audit Report'!L543,'Audit Report'!M543)</f>
        <v xml:space="preserve">, , </v>
      </c>
      <c r="M543" t="str">
        <f>'Audit Report'!O543</f>
        <v/>
      </c>
      <c r="R543" t="str">
        <f>'Audit Report'!F543</f>
        <v/>
      </c>
      <c r="S543" t="str">
        <f>'Audit Report'!Q543</f>
        <v/>
      </c>
    </row>
    <row r="544" spans="4:19">
      <c r="D544" t="str">
        <f>'Audit Report'!B544</f>
        <v>ITD-X543</v>
      </c>
      <c r="E544" t="str">
        <f>'Audit Report'!C544</f>
        <v/>
      </c>
      <c r="I544" t="str">
        <f>'Audit Report'!D544</f>
        <v/>
      </c>
      <c r="J544" t="str">
        <f>'Audit Report'!H544</f>
        <v/>
      </c>
      <c r="L544" t="str">
        <f>_xlfn.TEXTJOIN(", ", FALSE, 'Audit Report'!K544,'Audit Report'!L544,'Audit Report'!M544)</f>
        <v xml:space="preserve">, , </v>
      </c>
      <c r="M544" t="str">
        <f>'Audit Report'!O544</f>
        <v/>
      </c>
      <c r="R544" t="str">
        <f>'Audit Report'!F544</f>
        <v/>
      </c>
      <c r="S544" t="str">
        <f>'Audit Report'!Q544</f>
        <v/>
      </c>
    </row>
    <row r="545" spans="4:19">
      <c r="D545" t="str">
        <f>'Audit Report'!B545</f>
        <v>ITD-X544</v>
      </c>
      <c r="E545" t="str">
        <f>'Audit Report'!C545</f>
        <v/>
      </c>
      <c r="I545" t="str">
        <f>'Audit Report'!D545</f>
        <v/>
      </c>
      <c r="J545" t="str">
        <f>'Audit Report'!H545</f>
        <v/>
      </c>
      <c r="L545" t="str">
        <f>_xlfn.TEXTJOIN(", ", FALSE, 'Audit Report'!K545,'Audit Report'!L545,'Audit Report'!M545)</f>
        <v xml:space="preserve">, , </v>
      </c>
      <c r="M545" t="str">
        <f>'Audit Report'!O545</f>
        <v/>
      </c>
      <c r="R545" t="str">
        <f>'Audit Report'!F545</f>
        <v/>
      </c>
      <c r="S545" t="str">
        <f>'Audit Report'!Q545</f>
        <v/>
      </c>
    </row>
    <row r="546" spans="4:19">
      <c r="D546" t="str">
        <f>'Audit Report'!B546</f>
        <v>ITD-X545</v>
      </c>
      <c r="E546" t="str">
        <f>'Audit Report'!C546</f>
        <v/>
      </c>
      <c r="I546" t="str">
        <f>'Audit Report'!D546</f>
        <v/>
      </c>
      <c r="J546" t="str">
        <f>'Audit Report'!H546</f>
        <v/>
      </c>
      <c r="L546" t="str">
        <f>_xlfn.TEXTJOIN(", ", FALSE, 'Audit Report'!K546,'Audit Report'!L546,'Audit Report'!M546)</f>
        <v xml:space="preserve">, , </v>
      </c>
      <c r="M546" t="str">
        <f>'Audit Report'!O546</f>
        <v/>
      </c>
      <c r="R546" t="str">
        <f>'Audit Report'!F546</f>
        <v/>
      </c>
      <c r="S546" t="str">
        <f>'Audit Report'!Q546</f>
        <v/>
      </c>
    </row>
    <row r="547" spans="4:19">
      <c r="D547" t="str">
        <f>'Audit Report'!B547</f>
        <v>ITD-X546</v>
      </c>
      <c r="E547" t="str">
        <f>'Audit Report'!C547</f>
        <v/>
      </c>
      <c r="I547" t="str">
        <f>'Audit Report'!D547</f>
        <v/>
      </c>
      <c r="J547" t="str">
        <f>'Audit Report'!H547</f>
        <v/>
      </c>
      <c r="L547" t="str">
        <f>_xlfn.TEXTJOIN(", ", FALSE, 'Audit Report'!K547,'Audit Report'!L547,'Audit Report'!M547)</f>
        <v xml:space="preserve">, , </v>
      </c>
      <c r="M547" t="str">
        <f>'Audit Report'!O547</f>
        <v/>
      </c>
      <c r="R547" t="str">
        <f>'Audit Report'!F547</f>
        <v/>
      </c>
      <c r="S547" t="str">
        <f>'Audit Report'!Q547</f>
        <v/>
      </c>
    </row>
    <row r="548" spans="4:19">
      <c r="D548" t="str">
        <f>'Audit Report'!B548</f>
        <v>ITD-X547</v>
      </c>
      <c r="E548" t="str">
        <f>'Audit Report'!C548</f>
        <v/>
      </c>
      <c r="I548" t="str">
        <f>'Audit Report'!D548</f>
        <v/>
      </c>
      <c r="J548" t="str">
        <f>'Audit Report'!H548</f>
        <v/>
      </c>
      <c r="L548" t="str">
        <f>_xlfn.TEXTJOIN(", ", FALSE, 'Audit Report'!K548,'Audit Report'!L548,'Audit Report'!M548)</f>
        <v xml:space="preserve">, , </v>
      </c>
      <c r="M548" t="str">
        <f>'Audit Report'!O548</f>
        <v/>
      </c>
      <c r="R548" t="str">
        <f>'Audit Report'!F548</f>
        <v/>
      </c>
      <c r="S548" t="str">
        <f>'Audit Report'!Q548</f>
        <v/>
      </c>
    </row>
    <row r="549" spans="4:19">
      <c r="D549" t="str">
        <f>'Audit Report'!B549</f>
        <v>ITD-X548</v>
      </c>
      <c r="E549" t="str">
        <f>'Audit Report'!C549</f>
        <v/>
      </c>
      <c r="I549" t="str">
        <f>'Audit Report'!D549</f>
        <v/>
      </c>
      <c r="J549" t="str">
        <f>'Audit Report'!H549</f>
        <v/>
      </c>
      <c r="L549" t="str">
        <f>_xlfn.TEXTJOIN(", ", FALSE, 'Audit Report'!K549,'Audit Report'!L549,'Audit Report'!M549)</f>
        <v xml:space="preserve">, , </v>
      </c>
      <c r="M549" t="str">
        <f>'Audit Report'!O549</f>
        <v/>
      </c>
      <c r="R549" t="str">
        <f>'Audit Report'!F549</f>
        <v/>
      </c>
      <c r="S549" t="str">
        <f>'Audit Report'!Q549</f>
        <v/>
      </c>
    </row>
    <row r="550" spans="4:19">
      <c r="D550" t="str">
        <f>'Audit Report'!B550</f>
        <v>ITD-X549</v>
      </c>
      <c r="E550" t="str">
        <f>'Audit Report'!C550</f>
        <v/>
      </c>
      <c r="I550" t="str">
        <f>'Audit Report'!D550</f>
        <v/>
      </c>
      <c r="J550" t="str">
        <f>'Audit Report'!H550</f>
        <v/>
      </c>
      <c r="L550" t="str">
        <f>_xlfn.TEXTJOIN(", ", FALSE, 'Audit Report'!K550,'Audit Report'!L550,'Audit Report'!M550)</f>
        <v xml:space="preserve">, , </v>
      </c>
      <c r="M550" t="str">
        <f>'Audit Report'!O550</f>
        <v/>
      </c>
      <c r="R550" t="str">
        <f>'Audit Report'!F550</f>
        <v/>
      </c>
      <c r="S550" t="str">
        <f>'Audit Report'!Q550</f>
        <v/>
      </c>
    </row>
    <row r="551" spans="4:19">
      <c r="D551" t="str">
        <f>'Audit Report'!B551</f>
        <v>ITD-X550</v>
      </c>
      <c r="E551" t="str">
        <f>'Audit Report'!C551</f>
        <v/>
      </c>
      <c r="I551" t="str">
        <f>'Audit Report'!D551</f>
        <v/>
      </c>
      <c r="J551" t="str">
        <f>'Audit Report'!H551</f>
        <v/>
      </c>
      <c r="L551" t="str">
        <f>_xlfn.TEXTJOIN(", ", FALSE, 'Audit Report'!K551,'Audit Report'!L551,'Audit Report'!M551)</f>
        <v xml:space="preserve">, , </v>
      </c>
      <c r="M551" t="str">
        <f>'Audit Report'!O551</f>
        <v/>
      </c>
      <c r="R551" t="str">
        <f>'Audit Report'!F551</f>
        <v/>
      </c>
      <c r="S551" t="str">
        <f>'Audit Report'!Q551</f>
        <v/>
      </c>
    </row>
    <row r="552" spans="4:19">
      <c r="D552" t="str">
        <f>'Audit Report'!B552</f>
        <v>ITD-X551</v>
      </c>
      <c r="E552" t="str">
        <f>'Audit Report'!C552</f>
        <v/>
      </c>
      <c r="I552" t="str">
        <f>'Audit Report'!D552</f>
        <v/>
      </c>
      <c r="J552" t="str">
        <f>'Audit Report'!H552</f>
        <v/>
      </c>
      <c r="L552" t="str">
        <f>_xlfn.TEXTJOIN(", ", FALSE, 'Audit Report'!K552,'Audit Report'!L552,'Audit Report'!M552)</f>
        <v xml:space="preserve">, , </v>
      </c>
      <c r="M552" t="str">
        <f>'Audit Report'!O552</f>
        <v/>
      </c>
      <c r="R552" t="str">
        <f>'Audit Report'!F552</f>
        <v/>
      </c>
      <c r="S552" t="str">
        <f>'Audit Report'!Q552</f>
        <v/>
      </c>
    </row>
    <row r="553" spans="4:19">
      <c r="D553" t="str">
        <f>'Audit Report'!B553</f>
        <v>ITD-X552</v>
      </c>
      <c r="E553" t="str">
        <f>'Audit Report'!C553</f>
        <v/>
      </c>
      <c r="I553" t="str">
        <f>'Audit Report'!D553</f>
        <v/>
      </c>
      <c r="J553" t="str">
        <f>'Audit Report'!H553</f>
        <v/>
      </c>
      <c r="L553" t="str">
        <f>_xlfn.TEXTJOIN(", ", FALSE, 'Audit Report'!K553,'Audit Report'!L553,'Audit Report'!M553)</f>
        <v xml:space="preserve">, , </v>
      </c>
      <c r="M553" t="str">
        <f>'Audit Report'!O553</f>
        <v/>
      </c>
      <c r="R553" t="str">
        <f>'Audit Report'!F553</f>
        <v/>
      </c>
      <c r="S553" t="str">
        <f>'Audit Report'!Q553</f>
        <v/>
      </c>
    </row>
    <row r="554" spans="4:19">
      <c r="D554" t="str">
        <f>'Audit Report'!B554</f>
        <v>ITD-X553</v>
      </c>
      <c r="E554" t="str">
        <f>'Audit Report'!C554</f>
        <v/>
      </c>
      <c r="I554" t="str">
        <f>'Audit Report'!D554</f>
        <v/>
      </c>
      <c r="J554" t="str">
        <f>'Audit Report'!H554</f>
        <v/>
      </c>
      <c r="L554" t="str">
        <f>_xlfn.TEXTJOIN(", ", FALSE, 'Audit Report'!K554,'Audit Report'!L554,'Audit Report'!M554)</f>
        <v xml:space="preserve">, , </v>
      </c>
      <c r="M554" t="str">
        <f>'Audit Report'!O554</f>
        <v/>
      </c>
      <c r="R554" t="str">
        <f>'Audit Report'!F554</f>
        <v/>
      </c>
      <c r="S554" t="str">
        <f>'Audit Report'!Q554</f>
        <v/>
      </c>
    </row>
    <row r="555" spans="4:19">
      <c r="D555" t="str">
        <f>'Audit Report'!B555</f>
        <v>ITD-X554</v>
      </c>
      <c r="E555" t="str">
        <f>'Audit Report'!C555</f>
        <v/>
      </c>
      <c r="I555" t="str">
        <f>'Audit Report'!D555</f>
        <v/>
      </c>
      <c r="J555" t="str">
        <f>'Audit Report'!H555</f>
        <v/>
      </c>
      <c r="L555" t="str">
        <f>_xlfn.TEXTJOIN(", ", FALSE, 'Audit Report'!K555,'Audit Report'!L555,'Audit Report'!M555)</f>
        <v xml:space="preserve">, , </v>
      </c>
      <c r="M555" t="str">
        <f>'Audit Report'!O555</f>
        <v/>
      </c>
      <c r="R555" t="str">
        <f>'Audit Report'!F555</f>
        <v/>
      </c>
      <c r="S555" t="str">
        <f>'Audit Report'!Q555</f>
        <v/>
      </c>
    </row>
    <row r="556" spans="4:19">
      <c r="D556" t="str">
        <f>'Audit Report'!B556</f>
        <v>ITD-X555</v>
      </c>
      <c r="E556" t="str">
        <f>'Audit Report'!C556</f>
        <v/>
      </c>
      <c r="I556" t="str">
        <f>'Audit Report'!D556</f>
        <v/>
      </c>
      <c r="J556" t="str">
        <f>'Audit Report'!H556</f>
        <v/>
      </c>
      <c r="L556" t="str">
        <f>_xlfn.TEXTJOIN(", ", FALSE, 'Audit Report'!K556,'Audit Report'!L556,'Audit Report'!M556)</f>
        <v xml:space="preserve">, , </v>
      </c>
      <c r="M556" t="str">
        <f>'Audit Report'!O556</f>
        <v/>
      </c>
      <c r="R556" t="str">
        <f>'Audit Report'!F556</f>
        <v/>
      </c>
      <c r="S556" t="str">
        <f>'Audit Report'!Q556</f>
        <v/>
      </c>
    </row>
    <row r="557" spans="4:19">
      <c r="D557" t="str">
        <f>'Audit Report'!B557</f>
        <v>ITD-X556</v>
      </c>
      <c r="E557" t="str">
        <f>'Audit Report'!C557</f>
        <v/>
      </c>
      <c r="I557" t="str">
        <f>'Audit Report'!D557</f>
        <v/>
      </c>
      <c r="J557" t="str">
        <f>'Audit Report'!H557</f>
        <v/>
      </c>
      <c r="L557" t="str">
        <f>_xlfn.TEXTJOIN(", ", FALSE, 'Audit Report'!K557,'Audit Report'!L557,'Audit Report'!M557)</f>
        <v xml:space="preserve">, , </v>
      </c>
      <c r="M557" t="str">
        <f>'Audit Report'!O557</f>
        <v/>
      </c>
      <c r="R557" t="str">
        <f>'Audit Report'!F557</f>
        <v/>
      </c>
      <c r="S557" t="str">
        <f>'Audit Report'!Q557</f>
        <v/>
      </c>
    </row>
    <row r="558" spans="4:19">
      <c r="D558" t="str">
        <f>'Audit Report'!B558</f>
        <v>ITD-X557</v>
      </c>
      <c r="E558" t="str">
        <f>'Audit Report'!C558</f>
        <v/>
      </c>
      <c r="I558" t="str">
        <f>'Audit Report'!D558</f>
        <v/>
      </c>
      <c r="J558" t="str">
        <f>'Audit Report'!H558</f>
        <v/>
      </c>
      <c r="L558" t="str">
        <f>_xlfn.TEXTJOIN(", ", FALSE, 'Audit Report'!K558,'Audit Report'!L558,'Audit Report'!M558)</f>
        <v xml:space="preserve">, , </v>
      </c>
      <c r="M558" t="str">
        <f>'Audit Report'!O558</f>
        <v/>
      </c>
      <c r="R558" t="str">
        <f>'Audit Report'!F558</f>
        <v/>
      </c>
      <c r="S558" t="str">
        <f>'Audit Report'!Q558</f>
        <v/>
      </c>
    </row>
    <row r="559" spans="4:19">
      <c r="D559" t="str">
        <f>'Audit Report'!B559</f>
        <v>ITD-X558</v>
      </c>
      <c r="E559" t="str">
        <f>'Audit Report'!C559</f>
        <v/>
      </c>
      <c r="I559" t="str">
        <f>'Audit Report'!D559</f>
        <v/>
      </c>
      <c r="J559" t="str">
        <f>'Audit Report'!H559</f>
        <v/>
      </c>
      <c r="L559" t="str">
        <f>_xlfn.TEXTJOIN(", ", FALSE, 'Audit Report'!K559,'Audit Report'!L559,'Audit Report'!M559)</f>
        <v xml:space="preserve">, , </v>
      </c>
      <c r="M559" t="str">
        <f>'Audit Report'!O559</f>
        <v/>
      </c>
      <c r="R559" t="str">
        <f>'Audit Report'!F559</f>
        <v/>
      </c>
      <c r="S559" t="str">
        <f>'Audit Report'!Q559</f>
        <v/>
      </c>
    </row>
    <row r="560" spans="4:19">
      <c r="D560" t="str">
        <f>'Audit Report'!B560</f>
        <v>ITD-X559</v>
      </c>
      <c r="E560" t="str">
        <f>'Audit Report'!C560</f>
        <v/>
      </c>
      <c r="I560" t="str">
        <f>'Audit Report'!D560</f>
        <v/>
      </c>
      <c r="J560" t="str">
        <f>'Audit Report'!H560</f>
        <v/>
      </c>
      <c r="L560" t="str">
        <f>_xlfn.TEXTJOIN(", ", FALSE, 'Audit Report'!K560,'Audit Report'!L560,'Audit Report'!M560)</f>
        <v xml:space="preserve">, , </v>
      </c>
      <c r="M560" t="str">
        <f>'Audit Report'!O560</f>
        <v/>
      </c>
      <c r="R560" t="str">
        <f>'Audit Report'!F560</f>
        <v/>
      </c>
      <c r="S560" t="str">
        <f>'Audit Report'!Q560</f>
        <v/>
      </c>
    </row>
    <row r="561" spans="4:19">
      <c r="D561" t="str">
        <f>'Audit Report'!B561</f>
        <v>ITD-X560</v>
      </c>
      <c r="E561" t="str">
        <f>'Audit Report'!C561</f>
        <v/>
      </c>
      <c r="I561" t="str">
        <f>'Audit Report'!D561</f>
        <v/>
      </c>
      <c r="J561" t="str">
        <f>'Audit Report'!H561</f>
        <v/>
      </c>
      <c r="L561" t="str">
        <f>_xlfn.TEXTJOIN(", ", FALSE, 'Audit Report'!K561,'Audit Report'!L561,'Audit Report'!M561)</f>
        <v xml:space="preserve">, , </v>
      </c>
      <c r="M561" t="str">
        <f>'Audit Report'!O561</f>
        <v/>
      </c>
      <c r="R561" t="str">
        <f>'Audit Report'!F561</f>
        <v/>
      </c>
      <c r="S561" t="str">
        <f>'Audit Report'!Q561</f>
        <v/>
      </c>
    </row>
    <row r="562" spans="4:19">
      <c r="D562" t="str">
        <f>'Audit Report'!B562</f>
        <v>ITD-X561</v>
      </c>
      <c r="E562" t="str">
        <f>'Audit Report'!C562</f>
        <v/>
      </c>
      <c r="I562" t="str">
        <f>'Audit Report'!D562</f>
        <v/>
      </c>
      <c r="J562" t="str">
        <f>'Audit Report'!H562</f>
        <v/>
      </c>
      <c r="L562" t="str">
        <f>_xlfn.TEXTJOIN(", ", FALSE, 'Audit Report'!K562,'Audit Report'!L562,'Audit Report'!M562)</f>
        <v xml:space="preserve">, , </v>
      </c>
      <c r="M562" t="str">
        <f>'Audit Report'!O562</f>
        <v/>
      </c>
      <c r="R562" t="str">
        <f>'Audit Report'!F562</f>
        <v/>
      </c>
      <c r="S562" t="str">
        <f>'Audit Report'!Q562</f>
        <v/>
      </c>
    </row>
    <row r="563" spans="4:19">
      <c r="D563" t="str">
        <f>'Audit Report'!B563</f>
        <v>ITD-X562</v>
      </c>
      <c r="E563" t="str">
        <f>'Audit Report'!C563</f>
        <v/>
      </c>
      <c r="I563" t="str">
        <f>'Audit Report'!D563</f>
        <v/>
      </c>
      <c r="J563" t="str">
        <f>'Audit Report'!H563</f>
        <v/>
      </c>
      <c r="L563" t="str">
        <f>_xlfn.TEXTJOIN(", ", FALSE, 'Audit Report'!K563,'Audit Report'!L563,'Audit Report'!M563)</f>
        <v xml:space="preserve">, , </v>
      </c>
      <c r="M563" t="str">
        <f>'Audit Report'!O563</f>
        <v/>
      </c>
      <c r="R563" t="str">
        <f>'Audit Report'!F563</f>
        <v/>
      </c>
      <c r="S563" t="str">
        <f>'Audit Report'!Q563</f>
        <v/>
      </c>
    </row>
    <row r="564" spans="4:19">
      <c r="D564" t="str">
        <f>'Audit Report'!B564</f>
        <v>ITD-X563</v>
      </c>
      <c r="E564" t="str">
        <f>'Audit Report'!C564</f>
        <v/>
      </c>
      <c r="I564" t="str">
        <f>'Audit Report'!D564</f>
        <v/>
      </c>
      <c r="J564" t="str">
        <f>'Audit Report'!H564</f>
        <v/>
      </c>
      <c r="L564" t="str">
        <f>_xlfn.TEXTJOIN(", ", FALSE, 'Audit Report'!K564,'Audit Report'!L564,'Audit Report'!M564)</f>
        <v xml:space="preserve">, , </v>
      </c>
      <c r="M564" t="str">
        <f>'Audit Report'!O564</f>
        <v/>
      </c>
      <c r="R564" t="str">
        <f>'Audit Report'!F564</f>
        <v/>
      </c>
      <c r="S564" t="str">
        <f>'Audit Report'!Q564</f>
        <v/>
      </c>
    </row>
    <row r="565" spans="4:19">
      <c r="D565" t="str">
        <f>'Audit Report'!B565</f>
        <v>ITD-X564</v>
      </c>
      <c r="E565" t="str">
        <f>'Audit Report'!C565</f>
        <v/>
      </c>
      <c r="I565" t="str">
        <f>'Audit Report'!D565</f>
        <v/>
      </c>
      <c r="J565" t="str">
        <f>'Audit Report'!H565</f>
        <v/>
      </c>
      <c r="L565" t="str">
        <f>_xlfn.TEXTJOIN(", ", FALSE, 'Audit Report'!K565,'Audit Report'!L565,'Audit Report'!M565)</f>
        <v xml:space="preserve">, , </v>
      </c>
      <c r="M565" t="str">
        <f>'Audit Report'!O565</f>
        <v/>
      </c>
      <c r="R565" t="str">
        <f>'Audit Report'!F565</f>
        <v/>
      </c>
      <c r="S565" t="str">
        <f>'Audit Report'!Q565</f>
        <v/>
      </c>
    </row>
    <row r="566" spans="4:19">
      <c r="D566" t="str">
        <f>'Audit Report'!B566</f>
        <v>ITD-X565</v>
      </c>
      <c r="E566" t="str">
        <f>'Audit Report'!C566</f>
        <v/>
      </c>
      <c r="I566" t="str">
        <f>'Audit Report'!D566</f>
        <v/>
      </c>
      <c r="J566" t="str">
        <f>'Audit Report'!H566</f>
        <v/>
      </c>
      <c r="L566" t="str">
        <f>_xlfn.TEXTJOIN(", ", FALSE, 'Audit Report'!K566,'Audit Report'!L566,'Audit Report'!M566)</f>
        <v xml:space="preserve">, , </v>
      </c>
      <c r="M566" t="str">
        <f>'Audit Report'!O566</f>
        <v/>
      </c>
      <c r="R566" t="str">
        <f>'Audit Report'!F566</f>
        <v/>
      </c>
      <c r="S566" t="str">
        <f>'Audit Report'!Q566</f>
        <v/>
      </c>
    </row>
    <row r="567" spans="4:19">
      <c r="D567" t="str">
        <f>'Audit Report'!B567</f>
        <v>ITD-X566</v>
      </c>
      <c r="E567" t="str">
        <f>'Audit Report'!C567</f>
        <v/>
      </c>
      <c r="I567" t="str">
        <f>'Audit Report'!D567</f>
        <v/>
      </c>
      <c r="J567" t="str">
        <f>'Audit Report'!H567</f>
        <v/>
      </c>
      <c r="L567" t="str">
        <f>_xlfn.TEXTJOIN(", ", FALSE, 'Audit Report'!K567,'Audit Report'!L567,'Audit Report'!M567)</f>
        <v xml:space="preserve">, , </v>
      </c>
      <c r="M567" t="str">
        <f>'Audit Report'!O567</f>
        <v/>
      </c>
      <c r="R567" t="str">
        <f>'Audit Report'!F567</f>
        <v/>
      </c>
      <c r="S567" t="str">
        <f>'Audit Report'!Q567</f>
        <v/>
      </c>
    </row>
    <row r="568" spans="4:19">
      <c r="D568" t="str">
        <f>'Audit Report'!B568</f>
        <v>ITD-X567</v>
      </c>
      <c r="E568" t="str">
        <f>'Audit Report'!C568</f>
        <v/>
      </c>
      <c r="I568" t="str">
        <f>'Audit Report'!D568</f>
        <v/>
      </c>
      <c r="J568" t="str">
        <f>'Audit Report'!H568</f>
        <v/>
      </c>
      <c r="L568" t="str">
        <f>_xlfn.TEXTJOIN(", ", FALSE, 'Audit Report'!K568,'Audit Report'!L568,'Audit Report'!M568)</f>
        <v xml:space="preserve">, , </v>
      </c>
      <c r="M568" t="str">
        <f>'Audit Report'!O568</f>
        <v/>
      </c>
      <c r="R568" t="str">
        <f>'Audit Report'!F568</f>
        <v/>
      </c>
      <c r="S568" t="str">
        <f>'Audit Report'!Q568</f>
        <v/>
      </c>
    </row>
    <row r="569" spans="4:19">
      <c r="D569" t="str">
        <f>'Audit Report'!B569</f>
        <v>ITD-X568</v>
      </c>
      <c r="E569" t="str">
        <f>'Audit Report'!C569</f>
        <v/>
      </c>
      <c r="I569" t="str">
        <f>'Audit Report'!D569</f>
        <v/>
      </c>
      <c r="J569" t="str">
        <f>'Audit Report'!H569</f>
        <v/>
      </c>
      <c r="L569" t="str">
        <f>_xlfn.TEXTJOIN(", ", FALSE, 'Audit Report'!K569,'Audit Report'!L569,'Audit Report'!M569)</f>
        <v xml:space="preserve">, , </v>
      </c>
      <c r="M569" t="str">
        <f>'Audit Report'!O569</f>
        <v/>
      </c>
      <c r="R569" t="str">
        <f>'Audit Report'!F569</f>
        <v/>
      </c>
      <c r="S569" t="str">
        <f>'Audit Report'!Q569</f>
        <v/>
      </c>
    </row>
    <row r="570" spans="4:19">
      <c r="D570" t="str">
        <f>'Audit Report'!B570</f>
        <v>ITD-X569</v>
      </c>
      <c r="E570" t="str">
        <f>'Audit Report'!C570</f>
        <v/>
      </c>
      <c r="I570" t="str">
        <f>'Audit Report'!D570</f>
        <v/>
      </c>
      <c r="J570" t="str">
        <f>'Audit Report'!H570</f>
        <v/>
      </c>
      <c r="L570" t="str">
        <f>_xlfn.TEXTJOIN(", ", FALSE, 'Audit Report'!K570,'Audit Report'!L570,'Audit Report'!M570)</f>
        <v xml:space="preserve">, , </v>
      </c>
      <c r="M570" t="str">
        <f>'Audit Report'!O570</f>
        <v/>
      </c>
      <c r="R570" t="str">
        <f>'Audit Report'!F570</f>
        <v/>
      </c>
      <c r="S570" t="str">
        <f>'Audit Report'!Q570</f>
        <v/>
      </c>
    </row>
    <row r="571" spans="4:19">
      <c r="D571" t="str">
        <f>'Audit Report'!B571</f>
        <v>ITD-X570</v>
      </c>
      <c r="E571" t="str">
        <f>'Audit Report'!C571</f>
        <v/>
      </c>
      <c r="I571" t="str">
        <f>'Audit Report'!D571</f>
        <v/>
      </c>
      <c r="J571" t="str">
        <f>'Audit Report'!H571</f>
        <v/>
      </c>
      <c r="L571" t="str">
        <f>_xlfn.TEXTJOIN(", ", FALSE, 'Audit Report'!K571,'Audit Report'!L571,'Audit Report'!M571)</f>
        <v xml:space="preserve">, , </v>
      </c>
      <c r="M571" t="str">
        <f>'Audit Report'!O571</f>
        <v/>
      </c>
      <c r="R571" t="str">
        <f>'Audit Report'!F571</f>
        <v/>
      </c>
      <c r="S571" t="str">
        <f>'Audit Report'!Q571</f>
        <v/>
      </c>
    </row>
    <row r="572" spans="4:19">
      <c r="D572" t="str">
        <f>'Audit Report'!B572</f>
        <v>ITD-X571</v>
      </c>
      <c r="E572" t="str">
        <f>'Audit Report'!C572</f>
        <v/>
      </c>
      <c r="I572" t="str">
        <f>'Audit Report'!D572</f>
        <v/>
      </c>
      <c r="J572" t="str">
        <f>'Audit Report'!H572</f>
        <v/>
      </c>
      <c r="L572" t="str">
        <f>_xlfn.TEXTJOIN(", ", FALSE, 'Audit Report'!K572,'Audit Report'!L572,'Audit Report'!M572)</f>
        <v xml:space="preserve">, , </v>
      </c>
      <c r="M572" t="str">
        <f>'Audit Report'!O572</f>
        <v/>
      </c>
      <c r="R572" t="str">
        <f>'Audit Report'!F572</f>
        <v/>
      </c>
      <c r="S572" t="str">
        <f>'Audit Report'!Q572</f>
        <v/>
      </c>
    </row>
    <row r="573" spans="4:19">
      <c r="D573" t="str">
        <f>'Audit Report'!B573</f>
        <v>ITD-X572</v>
      </c>
      <c r="E573" t="str">
        <f>'Audit Report'!C573</f>
        <v/>
      </c>
      <c r="I573" t="str">
        <f>'Audit Report'!D573</f>
        <v/>
      </c>
      <c r="J573" t="str">
        <f>'Audit Report'!H573</f>
        <v/>
      </c>
      <c r="L573" t="str">
        <f>_xlfn.TEXTJOIN(", ", FALSE, 'Audit Report'!K573,'Audit Report'!L573,'Audit Report'!M573)</f>
        <v xml:space="preserve">, , </v>
      </c>
      <c r="M573" t="str">
        <f>'Audit Report'!O573</f>
        <v/>
      </c>
      <c r="R573" t="str">
        <f>'Audit Report'!F573</f>
        <v/>
      </c>
      <c r="S573" t="str">
        <f>'Audit Report'!Q573</f>
        <v/>
      </c>
    </row>
    <row r="574" spans="4:19">
      <c r="D574" t="str">
        <f>'Audit Report'!B574</f>
        <v>ITD-X573</v>
      </c>
      <c r="E574" t="str">
        <f>'Audit Report'!C574</f>
        <v/>
      </c>
      <c r="I574" t="str">
        <f>'Audit Report'!D574</f>
        <v/>
      </c>
      <c r="J574" t="str">
        <f>'Audit Report'!H574</f>
        <v/>
      </c>
      <c r="L574" t="str">
        <f>_xlfn.TEXTJOIN(", ", FALSE, 'Audit Report'!K574,'Audit Report'!L574,'Audit Report'!M574)</f>
        <v xml:space="preserve">, , </v>
      </c>
      <c r="M574" t="str">
        <f>'Audit Report'!O574</f>
        <v/>
      </c>
      <c r="R574" t="str">
        <f>'Audit Report'!F574</f>
        <v/>
      </c>
      <c r="S574" t="str">
        <f>'Audit Report'!Q574</f>
        <v/>
      </c>
    </row>
    <row r="575" spans="4:19">
      <c r="D575" t="str">
        <f>'Audit Report'!B575</f>
        <v>ITD-X574</v>
      </c>
      <c r="E575" t="str">
        <f>'Audit Report'!C575</f>
        <v/>
      </c>
      <c r="I575" t="str">
        <f>'Audit Report'!D575</f>
        <v/>
      </c>
      <c r="J575" t="str">
        <f>'Audit Report'!H575</f>
        <v/>
      </c>
      <c r="L575" t="str">
        <f>_xlfn.TEXTJOIN(", ", FALSE, 'Audit Report'!K575,'Audit Report'!L575,'Audit Report'!M575)</f>
        <v xml:space="preserve">, , </v>
      </c>
      <c r="M575" t="str">
        <f>'Audit Report'!O575</f>
        <v/>
      </c>
      <c r="R575" t="str">
        <f>'Audit Report'!F575</f>
        <v/>
      </c>
      <c r="S575" t="str">
        <f>'Audit Report'!Q575</f>
        <v/>
      </c>
    </row>
    <row r="576" spans="4:19">
      <c r="D576" t="str">
        <f>'Audit Report'!B576</f>
        <v>ITD-X575</v>
      </c>
      <c r="E576" t="str">
        <f>'Audit Report'!C576</f>
        <v/>
      </c>
      <c r="I576" t="str">
        <f>'Audit Report'!D576</f>
        <v/>
      </c>
      <c r="J576" t="str">
        <f>'Audit Report'!H576</f>
        <v/>
      </c>
      <c r="L576" t="str">
        <f>_xlfn.TEXTJOIN(", ", FALSE, 'Audit Report'!K576,'Audit Report'!L576,'Audit Report'!M576)</f>
        <v xml:space="preserve">, , </v>
      </c>
      <c r="M576" t="str">
        <f>'Audit Report'!O576</f>
        <v/>
      </c>
      <c r="R576" t="str">
        <f>'Audit Report'!F576</f>
        <v/>
      </c>
      <c r="S576" t="str">
        <f>'Audit Report'!Q576</f>
        <v/>
      </c>
    </row>
    <row r="577" spans="4:19">
      <c r="D577" t="str">
        <f>'Audit Report'!B577</f>
        <v>ITD-X576</v>
      </c>
      <c r="E577" t="str">
        <f>'Audit Report'!C577</f>
        <v/>
      </c>
      <c r="I577" t="str">
        <f>'Audit Report'!D577</f>
        <v/>
      </c>
      <c r="J577" t="str">
        <f>'Audit Report'!H577</f>
        <v/>
      </c>
      <c r="L577" t="str">
        <f>_xlfn.TEXTJOIN(", ", FALSE, 'Audit Report'!K577,'Audit Report'!L577,'Audit Report'!M577)</f>
        <v xml:space="preserve">, , </v>
      </c>
      <c r="M577" t="str">
        <f>'Audit Report'!O577</f>
        <v/>
      </c>
      <c r="R577" t="str">
        <f>'Audit Report'!F577</f>
        <v/>
      </c>
      <c r="S577" t="str">
        <f>'Audit Report'!Q577</f>
        <v/>
      </c>
    </row>
    <row r="578" spans="4:19">
      <c r="D578" t="str">
        <f>'Audit Report'!B578</f>
        <v>ITD-X577</v>
      </c>
      <c r="E578" t="str">
        <f>'Audit Report'!C578</f>
        <v/>
      </c>
      <c r="I578" t="str">
        <f>'Audit Report'!D578</f>
        <v/>
      </c>
      <c r="J578" t="str">
        <f>'Audit Report'!H578</f>
        <v/>
      </c>
      <c r="L578" t="str">
        <f>_xlfn.TEXTJOIN(", ", FALSE, 'Audit Report'!K578,'Audit Report'!L578,'Audit Report'!M578)</f>
        <v xml:space="preserve">, , </v>
      </c>
      <c r="M578" t="str">
        <f>'Audit Report'!O578</f>
        <v/>
      </c>
      <c r="R578" t="str">
        <f>'Audit Report'!F578</f>
        <v/>
      </c>
      <c r="S578" t="str">
        <f>'Audit Report'!Q578</f>
        <v/>
      </c>
    </row>
    <row r="579" spans="4:19">
      <c r="D579" t="str">
        <f>'Audit Report'!B579</f>
        <v>ITD-X578</v>
      </c>
      <c r="E579" t="str">
        <f>'Audit Report'!C579</f>
        <v/>
      </c>
      <c r="I579" t="str">
        <f>'Audit Report'!D579</f>
        <v/>
      </c>
      <c r="J579" t="str">
        <f>'Audit Report'!H579</f>
        <v/>
      </c>
      <c r="L579" t="str">
        <f>_xlfn.TEXTJOIN(", ", FALSE, 'Audit Report'!K579,'Audit Report'!L579,'Audit Report'!M579)</f>
        <v xml:space="preserve">, , </v>
      </c>
      <c r="M579" t="str">
        <f>'Audit Report'!O579</f>
        <v/>
      </c>
      <c r="R579" t="str">
        <f>'Audit Report'!F579</f>
        <v/>
      </c>
      <c r="S579" t="str">
        <f>'Audit Report'!Q579</f>
        <v/>
      </c>
    </row>
    <row r="580" spans="4:19">
      <c r="D580" t="str">
        <f>'Audit Report'!B580</f>
        <v>ITD-X579</v>
      </c>
      <c r="E580" t="str">
        <f>'Audit Report'!C580</f>
        <v/>
      </c>
      <c r="I580" t="str">
        <f>'Audit Report'!D580</f>
        <v/>
      </c>
      <c r="J580" t="str">
        <f>'Audit Report'!H580</f>
        <v/>
      </c>
      <c r="L580" t="str">
        <f>_xlfn.TEXTJOIN(", ", FALSE, 'Audit Report'!K580,'Audit Report'!L580,'Audit Report'!M580)</f>
        <v xml:space="preserve">, , </v>
      </c>
      <c r="M580" t="str">
        <f>'Audit Report'!O580</f>
        <v/>
      </c>
      <c r="R580" t="str">
        <f>'Audit Report'!F580</f>
        <v/>
      </c>
      <c r="S580" t="str">
        <f>'Audit Report'!Q580</f>
        <v/>
      </c>
    </row>
    <row r="581" spans="4:19">
      <c r="D581" t="str">
        <f>'Audit Report'!B581</f>
        <v>ITD-X580</v>
      </c>
      <c r="E581" t="str">
        <f>'Audit Report'!C581</f>
        <v/>
      </c>
      <c r="I581" t="str">
        <f>'Audit Report'!D581</f>
        <v/>
      </c>
      <c r="J581" t="str">
        <f>'Audit Report'!H581</f>
        <v/>
      </c>
      <c r="L581" t="str">
        <f>_xlfn.TEXTJOIN(", ", FALSE, 'Audit Report'!K581,'Audit Report'!L581,'Audit Report'!M581)</f>
        <v xml:space="preserve">, , </v>
      </c>
      <c r="M581" t="str">
        <f>'Audit Report'!O581</f>
        <v/>
      </c>
      <c r="R581" t="str">
        <f>'Audit Report'!F581</f>
        <v/>
      </c>
      <c r="S581" t="str">
        <f>'Audit Report'!Q581</f>
        <v/>
      </c>
    </row>
    <row r="582" spans="4:19">
      <c r="D582" t="str">
        <f>'Audit Report'!B582</f>
        <v>ITD-X581</v>
      </c>
      <c r="E582" t="str">
        <f>'Audit Report'!C582</f>
        <v/>
      </c>
      <c r="I582" t="str">
        <f>'Audit Report'!D582</f>
        <v/>
      </c>
      <c r="J582" t="str">
        <f>'Audit Report'!H582</f>
        <v/>
      </c>
      <c r="L582" t="str">
        <f>_xlfn.TEXTJOIN(", ", FALSE, 'Audit Report'!K582,'Audit Report'!L582,'Audit Report'!M582)</f>
        <v xml:space="preserve">, , </v>
      </c>
      <c r="M582" t="str">
        <f>'Audit Report'!O582</f>
        <v/>
      </c>
      <c r="R582" t="str">
        <f>'Audit Report'!F582</f>
        <v/>
      </c>
      <c r="S582" t="str">
        <f>'Audit Report'!Q582</f>
        <v/>
      </c>
    </row>
    <row r="583" spans="4:19">
      <c r="D583" t="str">
        <f>'Audit Report'!B583</f>
        <v>ITD-X582</v>
      </c>
      <c r="E583" t="str">
        <f>'Audit Report'!C583</f>
        <v/>
      </c>
      <c r="I583" t="str">
        <f>'Audit Report'!D583</f>
        <v/>
      </c>
      <c r="J583" t="str">
        <f>'Audit Report'!H583</f>
        <v/>
      </c>
      <c r="L583" t="str">
        <f>_xlfn.TEXTJOIN(", ", FALSE, 'Audit Report'!K583,'Audit Report'!L583,'Audit Report'!M583)</f>
        <v xml:space="preserve">, , </v>
      </c>
      <c r="M583" t="str">
        <f>'Audit Report'!O583</f>
        <v/>
      </c>
      <c r="R583" t="str">
        <f>'Audit Report'!F583</f>
        <v/>
      </c>
      <c r="S583" t="str">
        <f>'Audit Report'!Q583</f>
        <v/>
      </c>
    </row>
    <row r="584" spans="4:19">
      <c r="D584" t="str">
        <f>'Audit Report'!B584</f>
        <v>ITD-X583</v>
      </c>
      <c r="E584" t="str">
        <f>'Audit Report'!C584</f>
        <v/>
      </c>
      <c r="I584" t="str">
        <f>'Audit Report'!D584</f>
        <v/>
      </c>
      <c r="J584" t="str">
        <f>'Audit Report'!H584</f>
        <v/>
      </c>
      <c r="L584" t="str">
        <f>_xlfn.TEXTJOIN(", ", FALSE, 'Audit Report'!K584,'Audit Report'!L584,'Audit Report'!M584)</f>
        <v xml:space="preserve">, , </v>
      </c>
      <c r="M584" t="str">
        <f>'Audit Report'!O584</f>
        <v/>
      </c>
      <c r="R584" t="str">
        <f>'Audit Report'!F584</f>
        <v/>
      </c>
      <c r="S584" t="str">
        <f>'Audit Report'!Q584</f>
        <v/>
      </c>
    </row>
    <row r="585" spans="4:19">
      <c r="D585" t="str">
        <f>'Audit Report'!B585</f>
        <v>ITD-X584</v>
      </c>
      <c r="E585" t="str">
        <f>'Audit Report'!C585</f>
        <v/>
      </c>
      <c r="I585" t="str">
        <f>'Audit Report'!D585</f>
        <v/>
      </c>
      <c r="J585" t="str">
        <f>'Audit Report'!H585</f>
        <v/>
      </c>
      <c r="L585" t="str">
        <f>_xlfn.TEXTJOIN(", ", FALSE, 'Audit Report'!K585,'Audit Report'!L585,'Audit Report'!M585)</f>
        <v xml:space="preserve">, , </v>
      </c>
      <c r="M585" t="str">
        <f>'Audit Report'!O585</f>
        <v/>
      </c>
      <c r="R585" t="str">
        <f>'Audit Report'!F585</f>
        <v/>
      </c>
      <c r="S585" t="str">
        <f>'Audit Report'!Q585</f>
        <v/>
      </c>
    </row>
    <row r="586" spans="4:19">
      <c r="D586" t="str">
        <f>'Audit Report'!B586</f>
        <v>ITD-X585</v>
      </c>
      <c r="E586" t="str">
        <f>'Audit Report'!C586</f>
        <v/>
      </c>
      <c r="I586" t="str">
        <f>'Audit Report'!D586</f>
        <v/>
      </c>
      <c r="J586" t="str">
        <f>'Audit Report'!H586</f>
        <v/>
      </c>
      <c r="L586" t="str">
        <f>_xlfn.TEXTJOIN(", ", FALSE, 'Audit Report'!K586,'Audit Report'!L586,'Audit Report'!M586)</f>
        <v xml:space="preserve">, , </v>
      </c>
      <c r="M586" t="str">
        <f>'Audit Report'!O586</f>
        <v/>
      </c>
      <c r="R586" t="str">
        <f>'Audit Report'!F586</f>
        <v/>
      </c>
      <c r="S586" t="str">
        <f>'Audit Report'!Q586</f>
        <v/>
      </c>
    </row>
    <row r="587" spans="4:19">
      <c r="D587" t="str">
        <f>'Audit Report'!B587</f>
        <v>ITD-X586</v>
      </c>
      <c r="E587" t="str">
        <f>'Audit Report'!C587</f>
        <v/>
      </c>
      <c r="I587" t="str">
        <f>'Audit Report'!D587</f>
        <v/>
      </c>
      <c r="J587" t="str">
        <f>'Audit Report'!H587</f>
        <v/>
      </c>
      <c r="L587" t="str">
        <f>_xlfn.TEXTJOIN(", ", FALSE, 'Audit Report'!K587,'Audit Report'!L587,'Audit Report'!M587)</f>
        <v xml:space="preserve">, , </v>
      </c>
      <c r="M587" t="str">
        <f>'Audit Report'!O587</f>
        <v/>
      </c>
      <c r="R587" t="str">
        <f>'Audit Report'!F587</f>
        <v/>
      </c>
      <c r="S587" t="str">
        <f>'Audit Report'!Q587</f>
        <v/>
      </c>
    </row>
    <row r="588" spans="4:19">
      <c r="D588" t="str">
        <f>'Audit Report'!B588</f>
        <v>ITD-X587</v>
      </c>
      <c r="E588" t="str">
        <f>'Audit Report'!C588</f>
        <v/>
      </c>
      <c r="I588" t="str">
        <f>'Audit Report'!D588</f>
        <v/>
      </c>
      <c r="J588" t="str">
        <f>'Audit Report'!H588</f>
        <v/>
      </c>
      <c r="L588" t="str">
        <f>_xlfn.TEXTJOIN(", ", FALSE, 'Audit Report'!K588,'Audit Report'!L588,'Audit Report'!M588)</f>
        <v xml:space="preserve">, , </v>
      </c>
      <c r="M588" t="str">
        <f>'Audit Report'!O588</f>
        <v/>
      </c>
      <c r="R588" t="str">
        <f>'Audit Report'!F588</f>
        <v/>
      </c>
      <c r="S588" t="str">
        <f>'Audit Report'!Q588</f>
        <v/>
      </c>
    </row>
    <row r="589" spans="4:19">
      <c r="D589" t="str">
        <f>'Audit Report'!B589</f>
        <v>ITD-X588</v>
      </c>
      <c r="E589" t="str">
        <f>'Audit Report'!C589</f>
        <v/>
      </c>
      <c r="I589" t="str">
        <f>'Audit Report'!D589</f>
        <v/>
      </c>
      <c r="J589" t="str">
        <f>'Audit Report'!H589</f>
        <v/>
      </c>
      <c r="L589" t="str">
        <f>_xlfn.TEXTJOIN(", ", FALSE, 'Audit Report'!K589,'Audit Report'!L589,'Audit Report'!M589)</f>
        <v xml:space="preserve">, , </v>
      </c>
      <c r="M589" t="str">
        <f>'Audit Report'!O589</f>
        <v/>
      </c>
      <c r="R589" t="str">
        <f>'Audit Report'!F589</f>
        <v/>
      </c>
      <c r="S589" t="str">
        <f>'Audit Report'!Q589</f>
        <v/>
      </c>
    </row>
    <row r="590" spans="4:19">
      <c r="D590" t="str">
        <f>'Audit Report'!B590</f>
        <v>ITD-X589</v>
      </c>
      <c r="E590" t="str">
        <f>'Audit Report'!C590</f>
        <v/>
      </c>
      <c r="I590" t="str">
        <f>'Audit Report'!D590</f>
        <v/>
      </c>
      <c r="J590" t="str">
        <f>'Audit Report'!H590</f>
        <v/>
      </c>
      <c r="L590" t="str">
        <f>_xlfn.TEXTJOIN(", ", FALSE, 'Audit Report'!K590,'Audit Report'!L590,'Audit Report'!M590)</f>
        <v xml:space="preserve">, , </v>
      </c>
      <c r="M590" t="str">
        <f>'Audit Report'!O590</f>
        <v/>
      </c>
      <c r="R590" t="str">
        <f>'Audit Report'!F590</f>
        <v/>
      </c>
      <c r="S590" t="str">
        <f>'Audit Report'!Q590</f>
        <v/>
      </c>
    </row>
    <row r="591" spans="4:19">
      <c r="D591" t="str">
        <f>'Audit Report'!B591</f>
        <v>ITD-X590</v>
      </c>
      <c r="E591" t="str">
        <f>'Audit Report'!C591</f>
        <v/>
      </c>
      <c r="I591" t="str">
        <f>'Audit Report'!D591</f>
        <v/>
      </c>
      <c r="J591" t="str">
        <f>'Audit Report'!H591</f>
        <v/>
      </c>
      <c r="L591" t="str">
        <f>_xlfn.TEXTJOIN(", ", FALSE, 'Audit Report'!K591,'Audit Report'!L591,'Audit Report'!M591)</f>
        <v xml:space="preserve">, , </v>
      </c>
      <c r="M591" t="str">
        <f>'Audit Report'!O591</f>
        <v/>
      </c>
      <c r="R591" t="str">
        <f>'Audit Report'!F591</f>
        <v/>
      </c>
      <c r="S591" t="str">
        <f>'Audit Report'!Q591</f>
        <v/>
      </c>
    </row>
    <row r="592" spans="4:19">
      <c r="D592" t="str">
        <f>'Audit Report'!B592</f>
        <v>ITD-X591</v>
      </c>
      <c r="E592" t="str">
        <f>'Audit Report'!C592</f>
        <v/>
      </c>
      <c r="I592" t="str">
        <f>'Audit Report'!D592</f>
        <v/>
      </c>
      <c r="J592" t="str">
        <f>'Audit Report'!H592</f>
        <v/>
      </c>
      <c r="L592" t="str">
        <f>_xlfn.TEXTJOIN(", ", FALSE, 'Audit Report'!K592,'Audit Report'!L592,'Audit Report'!M592)</f>
        <v xml:space="preserve">, , </v>
      </c>
      <c r="M592" t="str">
        <f>'Audit Report'!O592</f>
        <v/>
      </c>
      <c r="R592" t="str">
        <f>'Audit Report'!F592</f>
        <v/>
      </c>
      <c r="S592" t="str">
        <f>'Audit Report'!Q592</f>
        <v/>
      </c>
    </row>
    <row r="593" spans="4:19">
      <c r="D593" t="str">
        <f>'Audit Report'!B593</f>
        <v>ITD-X592</v>
      </c>
      <c r="E593" t="str">
        <f>'Audit Report'!C593</f>
        <v/>
      </c>
      <c r="I593" t="str">
        <f>'Audit Report'!D593</f>
        <v/>
      </c>
      <c r="J593" t="str">
        <f>'Audit Report'!H593</f>
        <v/>
      </c>
      <c r="L593" t="str">
        <f>_xlfn.TEXTJOIN(", ", FALSE, 'Audit Report'!K593,'Audit Report'!L593,'Audit Report'!M593)</f>
        <v xml:space="preserve">, , </v>
      </c>
      <c r="M593" t="str">
        <f>'Audit Report'!O593</f>
        <v/>
      </c>
      <c r="R593" t="str">
        <f>'Audit Report'!F593</f>
        <v/>
      </c>
      <c r="S593" t="str">
        <f>'Audit Report'!Q593</f>
        <v/>
      </c>
    </row>
    <row r="594" spans="4:19">
      <c r="D594" t="str">
        <f>'Audit Report'!B594</f>
        <v>ITD-X593</v>
      </c>
      <c r="E594" t="str">
        <f>'Audit Report'!C594</f>
        <v/>
      </c>
      <c r="I594" t="str">
        <f>'Audit Report'!D594</f>
        <v/>
      </c>
      <c r="J594" t="str">
        <f>'Audit Report'!H594</f>
        <v/>
      </c>
      <c r="L594" t="str">
        <f>_xlfn.TEXTJOIN(", ", FALSE, 'Audit Report'!K594,'Audit Report'!L594,'Audit Report'!M594)</f>
        <v xml:space="preserve">, , </v>
      </c>
      <c r="M594" t="str">
        <f>'Audit Report'!O594</f>
        <v/>
      </c>
      <c r="R594" t="str">
        <f>'Audit Report'!F594</f>
        <v/>
      </c>
      <c r="S594" t="str">
        <f>'Audit Report'!Q594</f>
        <v/>
      </c>
    </row>
    <row r="595" spans="4:19">
      <c r="D595" t="str">
        <f>'Audit Report'!B595</f>
        <v>ITD-X594</v>
      </c>
      <c r="E595" t="str">
        <f>'Audit Report'!C595</f>
        <v/>
      </c>
      <c r="I595" t="str">
        <f>'Audit Report'!D595</f>
        <v/>
      </c>
      <c r="J595" t="str">
        <f>'Audit Report'!H595</f>
        <v/>
      </c>
      <c r="L595" t="str">
        <f>_xlfn.TEXTJOIN(", ", FALSE, 'Audit Report'!K595,'Audit Report'!L595,'Audit Report'!M595)</f>
        <v xml:space="preserve">, , </v>
      </c>
      <c r="M595" t="str">
        <f>'Audit Report'!O595</f>
        <v/>
      </c>
      <c r="R595" t="str">
        <f>'Audit Report'!F595</f>
        <v/>
      </c>
      <c r="S595" t="str">
        <f>'Audit Report'!Q595</f>
        <v/>
      </c>
    </row>
    <row r="596" spans="4:19">
      <c r="D596" t="str">
        <f>'Audit Report'!B596</f>
        <v>ITD-X595</v>
      </c>
      <c r="E596" t="str">
        <f>'Audit Report'!C596</f>
        <v/>
      </c>
      <c r="I596" t="str">
        <f>'Audit Report'!D596</f>
        <v/>
      </c>
      <c r="J596" t="str">
        <f>'Audit Report'!H596</f>
        <v/>
      </c>
      <c r="L596" t="str">
        <f>_xlfn.TEXTJOIN(", ", FALSE, 'Audit Report'!K596,'Audit Report'!L596,'Audit Report'!M596)</f>
        <v xml:space="preserve">, , </v>
      </c>
      <c r="M596" t="str">
        <f>'Audit Report'!O596</f>
        <v/>
      </c>
      <c r="R596" t="str">
        <f>'Audit Report'!F596</f>
        <v/>
      </c>
      <c r="S596" t="str">
        <f>'Audit Report'!Q596</f>
        <v/>
      </c>
    </row>
    <row r="597" spans="4:19">
      <c r="D597" t="str">
        <f>'Audit Report'!B597</f>
        <v>ITD-X596</v>
      </c>
      <c r="E597" t="str">
        <f>'Audit Report'!C597</f>
        <v/>
      </c>
      <c r="I597" t="str">
        <f>'Audit Report'!D597</f>
        <v/>
      </c>
      <c r="J597" t="str">
        <f>'Audit Report'!H597</f>
        <v/>
      </c>
      <c r="L597" t="str">
        <f>_xlfn.TEXTJOIN(", ", FALSE, 'Audit Report'!K597,'Audit Report'!L597,'Audit Report'!M597)</f>
        <v xml:space="preserve">, , </v>
      </c>
      <c r="M597" t="str">
        <f>'Audit Report'!O597</f>
        <v/>
      </c>
      <c r="R597" t="str">
        <f>'Audit Report'!F597</f>
        <v/>
      </c>
      <c r="S597" t="str">
        <f>'Audit Report'!Q597</f>
        <v/>
      </c>
    </row>
    <row r="598" spans="4:19">
      <c r="D598" t="str">
        <f>'Audit Report'!B598</f>
        <v>ITD-X597</v>
      </c>
      <c r="E598" t="str">
        <f>'Audit Report'!C598</f>
        <v/>
      </c>
      <c r="I598" t="str">
        <f>'Audit Report'!D598</f>
        <v/>
      </c>
      <c r="J598" t="str">
        <f>'Audit Report'!H598</f>
        <v/>
      </c>
      <c r="L598" t="str">
        <f>_xlfn.TEXTJOIN(", ", FALSE, 'Audit Report'!K598,'Audit Report'!L598,'Audit Report'!M598)</f>
        <v xml:space="preserve">, , </v>
      </c>
      <c r="M598" t="str">
        <f>'Audit Report'!O598</f>
        <v/>
      </c>
      <c r="R598" t="str">
        <f>'Audit Report'!F598</f>
        <v/>
      </c>
      <c r="S598" t="str">
        <f>'Audit Report'!Q598</f>
        <v/>
      </c>
    </row>
    <row r="599" spans="4:19">
      <c r="D599" t="str">
        <f>'Audit Report'!B599</f>
        <v>ITD-X598</v>
      </c>
      <c r="E599" t="str">
        <f>'Audit Report'!C599</f>
        <v/>
      </c>
      <c r="I599" t="str">
        <f>'Audit Report'!D599</f>
        <v/>
      </c>
      <c r="J599" t="str">
        <f>'Audit Report'!H599</f>
        <v/>
      </c>
      <c r="L599" t="str">
        <f>_xlfn.TEXTJOIN(", ", FALSE, 'Audit Report'!K599,'Audit Report'!L599,'Audit Report'!M599)</f>
        <v xml:space="preserve">, , </v>
      </c>
      <c r="M599" t="str">
        <f>'Audit Report'!O599</f>
        <v/>
      </c>
      <c r="R599" t="str">
        <f>'Audit Report'!F599</f>
        <v/>
      </c>
      <c r="S599" t="str">
        <f>'Audit Report'!Q599</f>
        <v/>
      </c>
    </row>
    <row r="600" spans="4:19">
      <c r="D600" t="str">
        <f>'Audit Report'!B600</f>
        <v>ITD-X599</v>
      </c>
      <c r="E600" t="str">
        <f>'Audit Report'!C600</f>
        <v/>
      </c>
      <c r="I600" t="str">
        <f>'Audit Report'!D600</f>
        <v/>
      </c>
      <c r="J600" t="str">
        <f>'Audit Report'!H600</f>
        <v/>
      </c>
      <c r="L600" t="str">
        <f>_xlfn.TEXTJOIN(", ", FALSE, 'Audit Report'!K600,'Audit Report'!L600,'Audit Report'!M600)</f>
        <v xml:space="preserve">, , </v>
      </c>
      <c r="M600" t="str">
        <f>'Audit Report'!O600</f>
        <v/>
      </c>
      <c r="R600" t="str">
        <f>'Audit Report'!F600</f>
        <v/>
      </c>
      <c r="S600" t="str">
        <f>'Audit Report'!Q600</f>
        <v/>
      </c>
    </row>
    <row r="601" spans="4:19">
      <c r="D601" t="str">
        <f>'Audit Report'!B601</f>
        <v>ITD-X600</v>
      </c>
      <c r="E601" t="str">
        <f>'Audit Report'!C601</f>
        <v/>
      </c>
      <c r="I601" t="str">
        <f>'Audit Report'!D601</f>
        <v/>
      </c>
      <c r="J601" t="str">
        <f>'Audit Report'!H601</f>
        <v/>
      </c>
      <c r="L601" t="str">
        <f>_xlfn.TEXTJOIN(", ", FALSE, 'Audit Report'!K601,'Audit Report'!L601,'Audit Report'!M601)</f>
        <v xml:space="preserve">, , </v>
      </c>
      <c r="M601" t="str">
        <f>'Audit Report'!O601</f>
        <v/>
      </c>
      <c r="R601" t="str">
        <f>'Audit Report'!F601</f>
        <v/>
      </c>
      <c r="S601" t="str">
        <f>'Audit Report'!Q601</f>
        <v/>
      </c>
    </row>
    <row r="602" spans="4:19">
      <c r="D602" t="str">
        <f>'Audit Report'!B602</f>
        <v>ITD-X601</v>
      </c>
      <c r="E602" t="str">
        <f>'Audit Report'!C602</f>
        <v/>
      </c>
      <c r="I602" t="str">
        <f>'Audit Report'!D602</f>
        <v/>
      </c>
      <c r="J602" t="str">
        <f>'Audit Report'!H602</f>
        <v/>
      </c>
      <c r="L602" t="str">
        <f>_xlfn.TEXTJOIN(", ", FALSE, 'Audit Report'!K602,'Audit Report'!L602,'Audit Report'!M602)</f>
        <v xml:space="preserve">, , </v>
      </c>
      <c r="M602" t="str">
        <f>'Audit Report'!O602</f>
        <v/>
      </c>
      <c r="R602" t="str">
        <f>'Audit Report'!F602</f>
        <v/>
      </c>
      <c r="S602" t="str">
        <f>'Audit Report'!Q602</f>
        <v/>
      </c>
    </row>
    <row r="603" spans="4:19">
      <c r="D603" t="str">
        <f>'Audit Report'!B603</f>
        <v>ITD-X602</v>
      </c>
      <c r="E603" t="str">
        <f>'Audit Report'!C603</f>
        <v/>
      </c>
      <c r="I603" t="str">
        <f>'Audit Report'!D603</f>
        <v/>
      </c>
      <c r="J603" t="str">
        <f>'Audit Report'!H603</f>
        <v/>
      </c>
      <c r="L603" t="str">
        <f>_xlfn.TEXTJOIN(", ", FALSE, 'Audit Report'!K603,'Audit Report'!L603,'Audit Report'!M603)</f>
        <v xml:space="preserve">, , </v>
      </c>
      <c r="M603" t="str">
        <f>'Audit Report'!O603</f>
        <v/>
      </c>
      <c r="R603" t="str">
        <f>'Audit Report'!F603</f>
        <v/>
      </c>
      <c r="S603" t="str">
        <f>'Audit Report'!Q603</f>
        <v/>
      </c>
    </row>
    <row r="604" spans="4:19">
      <c r="D604" t="str">
        <f>'Audit Report'!B604</f>
        <v>ITD-X603</v>
      </c>
      <c r="E604" t="str">
        <f>'Audit Report'!C604</f>
        <v/>
      </c>
      <c r="I604" t="str">
        <f>'Audit Report'!D604</f>
        <v/>
      </c>
      <c r="J604" t="str">
        <f>'Audit Report'!H604</f>
        <v/>
      </c>
      <c r="L604" t="str">
        <f>_xlfn.TEXTJOIN(", ", FALSE, 'Audit Report'!K604,'Audit Report'!L604,'Audit Report'!M604)</f>
        <v xml:space="preserve">, , </v>
      </c>
      <c r="M604" t="str">
        <f>'Audit Report'!O604</f>
        <v/>
      </c>
      <c r="R604" t="str">
        <f>'Audit Report'!F604</f>
        <v/>
      </c>
      <c r="S604" t="str">
        <f>'Audit Report'!Q604</f>
        <v/>
      </c>
    </row>
    <row r="605" spans="4:19">
      <c r="D605" t="str">
        <f>'Audit Report'!B605</f>
        <v>ITD-X604</v>
      </c>
      <c r="E605" t="str">
        <f>'Audit Report'!C605</f>
        <v/>
      </c>
      <c r="I605" t="str">
        <f>'Audit Report'!D605</f>
        <v/>
      </c>
      <c r="J605" t="str">
        <f>'Audit Report'!H605</f>
        <v/>
      </c>
      <c r="L605" t="str">
        <f>_xlfn.TEXTJOIN(", ", FALSE, 'Audit Report'!K605,'Audit Report'!L605,'Audit Report'!M605)</f>
        <v xml:space="preserve">, , </v>
      </c>
      <c r="M605" t="str">
        <f>'Audit Report'!O605</f>
        <v/>
      </c>
      <c r="R605" t="str">
        <f>'Audit Report'!F605</f>
        <v/>
      </c>
      <c r="S605" t="str">
        <f>'Audit Report'!Q605</f>
        <v/>
      </c>
    </row>
    <row r="606" spans="4:19">
      <c r="D606" t="str">
        <f>'Audit Report'!B606</f>
        <v>ITD-X605</v>
      </c>
      <c r="E606" t="str">
        <f>'Audit Report'!C606</f>
        <v/>
      </c>
      <c r="I606" t="str">
        <f>'Audit Report'!D606</f>
        <v/>
      </c>
      <c r="J606" t="str">
        <f>'Audit Report'!H606</f>
        <v/>
      </c>
      <c r="L606" t="str">
        <f>_xlfn.TEXTJOIN(", ", FALSE, 'Audit Report'!K606,'Audit Report'!L606,'Audit Report'!M606)</f>
        <v xml:space="preserve">, , </v>
      </c>
      <c r="M606" t="str">
        <f>'Audit Report'!O606</f>
        <v/>
      </c>
      <c r="R606" t="str">
        <f>'Audit Report'!F606</f>
        <v/>
      </c>
      <c r="S606" t="str">
        <f>'Audit Report'!Q606</f>
        <v/>
      </c>
    </row>
    <row r="607" spans="4:19">
      <c r="D607" t="str">
        <f>'Audit Report'!B607</f>
        <v>ITD-X606</v>
      </c>
      <c r="E607" t="str">
        <f>'Audit Report'!C607</f>
        <v/>
      </c>
      <c r="I607" t="str">
        <f>'Audit Report'!D607</f>
        <v/>
      </c>
      <c r="J607" t="str">
        <f>'Audit Report'!H607</f>
        <v/>
      </c>
      <c r="L607" t="str">
        <f>_xlfn.TEXTJOIN(", ", FALSE, 'Audit Report'!K607,'Audit Report'!L607,'Audit Report'!M607)</f>
        <v xml:space="preserve">, , </v>
      </c>
      <c r="M607" t="str">
        <f>'Audit Report'!O607</f>
        <v/>
      </c>
      <c r="R607" t="str">
        <f>'Audit Report'!F607</f>
        <v/>
      </c>
      <c r="S607" t="str">
        <f>'Audit Report'!Q607</f>
        <v/>
      </c>
    </row>
    <row r="608" spans="4:19">
      <c r="D608" t="str">
        <f>'Audit Report'!B608</f>
        <v>ITD-X607</v>
      </c>
      <c r="E608" t="str">
        <f>'Audit Report'!C608</f>
        <v/>
      </c>
      <c r="I608" t="str">
        <f>'Audit Report'!D608</f>
        <v/>
      </c>
      <c r="J608" t="str">
        <f>'Audit Report'!H608</f>
        <v/>
      </c>
      <c r="L608" t="str">
        <f>_xlfn.TEXTJOIN(", ", FALSE, 'Audit Report'!K608,'Audit Report'!L608,'Audit Report'!M608)</f>
        <v xml:space="preserve">, , </v>
      </c>
      <c r="M608" t="str">
        <f>'Audit Report'!O608</f>
        <v/>
      </c>
      <c r="R608" t="str">
        <f>'Audit Report'!F608</f>
        <v/>
      </c>
      <c r="S608" t="str">
        <f>'Audit Report'!Q608</f>
        <v/>
      </c>
    </row>
    <row r="609" spans="4:19">
      <c r="D609" t="str">
        <f>'Audit Report'!B609</f>
        <v>ITD-X608</v>
      </c>
      <c r="E609" t="str">
        <f>'Audit Report'!C609</f>
        <v/>
      </c>
      <c r="I609" t="str">
        <f>'Audit Report'!D609</f>
        <v/>
      </c>
      <c r="J609" t="str">
        <f>'Audit Report'!H609</f>
        <v/>
      </c>
      <c r="L609" t="str">
        <f>_xlfn.TEXTJOIN(", ", FALSE, 'Audit Report'!K609,'Audit Report'!L609,'Audit Report'!M609)</f>
        <v xml:space="preserve">, , </v>
      </c>
      <c r="M609" t="str">
        <f>'Audit Report'!O609</f>
        <v/>
      </c>
      <c r="R609" t="str">
        <f>'Audit Report'!F609</f>
        <v/>
      </c>
      <c r="S609" t="str">
        <f>'Audit Report'!Q609</f>
        <v/>
      </c>
    </row>
    <row r="610" spans="4:19">
      <c r="D610" t="str">
        <f>'Audit Report'!B610</f>
        <v>ITD-X609</v>
      </c>
      <c r="E610" t="str">
        <f>'Audit Report'!C610</f>
        <v/>
      </c>
      <c r="I610" t="str">
        <f>'Audit Report'!D610</f>
        <v/>
      </c>
      <c r="J610" t="str">
        <f>'Audit Report'!H610</f>
        <v/>
      </c>
      <c r="L610" t="str">
        <f>_xlfn.TEXTJOIN(", ", FALSE, 'Audit Report'!K610,'Audit Report'!L610,'Audit Report'!M610)</f>
        <v xml:space="preserve">, , </v>
      </c>
      <c r="M610" t="str">
        <f>'Audit Report'!O610</f>
        <v/>
      </c>
      <c r="R610" t="str">
        <f>'Audit Report'!F610</f>
        <v/>
      </c>
      <c r="S610" t="str">
        <f>'Audit Report'!Q610</f>
        <v/>
      </c>
    </row>
    <row r="611" spans="4:19">
      <c r="D611" t="str">
        <f>'Audit Report'!B611</f>
        <v>ITD-X610</v>
      </c>
      <c r="E611" t="str">
        <f>'Audit Report'!C611</f>
        <v/>
      </c>
      <c r="I611" t="str">
        <f>'Audit Report'!D611</f>
        <v/>
      </c>
      <c r="J611" t="str">
        <f>'Audit Report'!H611</f>
        <v/>
      </c>
      <c r="L611" t="str">
        <f>_xlfn.TEXTJOIN(", ", FALSE, 'Audit Report'!K611,'Audit Report'!L611,'Audit Report'!M611)</f>
        <v xml:space="preserve">, , </v>
      </c>
      <c r="M611" t="str">
        <f>'Audit Report'!O611</f>
        <v/>
      </c>
      <c r="R611" t="str">
        <f>'Audit Report'!F611</f>
        <v/>
      </c>
      <c r="S611" t="str">
        <f>'Audit Report'!Q611</f>
        <v/>
      </c>
    </row>
    <row r="612" spans="4:19">
      <c r="D612" t="str">
        <f>'Audit Report'!B612</f>
        <v>ITD-X611</v>
      </c>
      <c r="E612" t="str">
        <f>'Audit Report'!C612</f>
        <v/>
      </c>
      <c r="I612" t="str">
        <f>'Audit Report'!D612</f>
        <v/>
      </c>
      <c r="J612" t="str">
        <f>'Audit Report'!H612</f>
        <v/>
      </c>
      <c r="L612" t="str">
        <f>_xlfn.TEXTJOIN(", ", FALSE, 'Audit Report'!K612,'Audit Report'!L612,'Audit Report'!M612)</f>
        <v xml:space="preserve">, , </v>
      </c>
      <c r="M612" t="str">
        <f>'Audit Report'!O612</f>
        <v/>
      </c>
      <c r="R612" t="str">
        <f>'Audit Report'!F612</f>
        <v/>
      </c>
      <c r="S612" t="str">
        <f>'Audit Report'!Q612</f>
        <v/>
      </c>
    </row>
    <row r="613" spans="4:19">
      <c r="D613" t="str">
        <f>'Audit Report'!B613</f>
        <v>ITD-X612</v>
      </c>
      <c r="E613" t="str">
        <f>'Audit Report'!C613</f>
        <v/>
      </c>
      <c r="I613" t="str">
        <f>'Audit Report'!D613</f>
        <v/>
      </c>
      <c r="J613" t="str">
        <f>'Audit Report'!H613</f>
        <v/>
      </c>
      <c r="L613" t="str">
        <f>_xlfn.TEXTJOIN(", ", FALSE, 'Audit Report'!K613,'Audit Report'!L613,'Audit Report'!M613)</f>
        <v xml:space="preserve">, , </v>
      </c>
      <c r="M613" t="str">
        <f>'Audit Report'!O613</f>
        <v/>
      </c>
      <c r="R613" t="str">
        <f>'Audit Report'!F613</f>
        <v/>
      </c>
      <c r="S613" t="str">
        <f>'Audit Report'!Q613</f>
        <v/>
      </c>
    </row>
    <row r="614" spans="4:19">
      <c r="D614" t="str">
        <f>'Audit Report'!B614</f>
        <v>ITD-X613</v>
      </c>
      <c r="E614" t="str">
        <f>'Audit Report'!C614</f>
        <v/>
      </c>
      <c r="I614" t="str">
        <f>'Audit Report'!D614</f>
        <v/>
      </c>
      <c r="J614" t="str">
        <f>'Audit Report'!H614</f>
        <v/>
      </c>
      <c r="L614" t="str">
        <f>_xlfn.TEXTJOIN(", ", FALSE, 'Audit Report'!K614,'Audit Report'!L614,'Audit Report'!M614)</f>
        <v xml:space="preserve">, , </v>
      </c>
      <c r="M614" t="str">
        <f>'Audit Report'!O614</f>
        <v/>
      </c>
      <c r="R614" t="str">
        <f>'Audit Report'!F614</f>
        <v/>
      </c>
      <c r="S614" t="str">
        <f>'Audit Report'!Q614</f>
        <v/>
      </c>
    </row>
    <row r="615" spans="4:19">
      <c r="D615" t="str">
        <f>'Audit Report'!B615</f>
        <v>ITD-X614</v>
      </c>
      <c r="E615" t="str">
        <f>'Audit Report'!C615</f>
        <v/>
      </c>
      <c r="I615" t="str">
        <f>'Audit Report'!D615</f>
        <v/>
      </c>
      <c r="J615" t="str">
        <f>'Audit Report'!H615</f>
        <v/>
      </c>
      <c r="L615" t="str">
        <f>_xlfn.TEXTJOIN(", ", FALSE, 'Audit Report'!K615,'Audit Report'!L615,'Audit Report'!M615)</f>
        <v xml:space="preserve">, , </v>
      </c>
      <c r="M615" t="str">
        <f>'Audit Report'!O615</f>
        <v/>
      </c>
      <c r="R615" t="str">
        <f>'Audit Report'!F615</f>
        <v/>
      </c>
      <c r="S615" t="str">
        <f>'Audit Report'!Q615</f>
        <v/>
      </c>
    </row>
    <row r="616" spans="4:19">
      <c r="D616" t="str">
        <f>'Audit Report'!B616</f>
        <v>ITD-X615</v>
      </c>
      <c r="E616" t="str">
        <f>'Audit Report'!C616</f>
        <v/>
      </c>
      <c r="I616" t="str">
        <f>'Audit Report'!D616</f>
        <v/>
      </c>
      <c r="J616" t="str">
        <f>'Audit Report'!H616</f>
        <v/>
      </c>
      <c r="L616" t="str">
        <f>_xlfn.TEXTJOIN(", ", FALSE, 'Audit Report'!K616,'Audit Report'!L616,'Audit Report'!M616)</f>
        <v xml:space="preserve">, , </v>
      </c>
      <c r="M616" t="str">
        <f>'Audit Report'!O616</f>
        <v/>
      </c>
      <c r="R616" t="str">
        <f>'Audit Report'!F616</f>
        <v/>
      </c>
      <c r="S616" t="str">
        <f>'Audit Report'!Q616</f>
        <v/>
      </c>
    </row>
    <row r="617" spans="4:19">
      <c r="D617" t="str">
        <f>'Audit Report'!B617</f>
        <v>ITD-X616</v>
      </c>
      <c r="E617" t="str">
        <f>'Audit Report'!C617</f>
        <v/>
      </c>
      <c r="I617" t="str">
        <f>'Audit Report'!D617</f>
        <v/>
      </c>
      <c r="J617" t="str">
        <f>'Audit Report'!H617</f>
        <v/>
      </c>
      <c r="L617" t="str">
        <f>_xlfn.TEXTJOIN(", ", FALSE, 'Audit Report'!K617,'Audit Report'!L617,'Audit Report'!M617)</f>
        <v xml:space="preserve">, , </v>
      </c>
      <c r="M617" t="str">
        <f>'Audit Report'!O617</f>
        <v/>
      </c>
      <c r="R617" t="str">
        <f>'Audit Report'!F617</f>
        <v/>
      </c>
      <c r="S617" t="str">
        <f>'Audit Report'!Q617</f>
        <v/>
      </c>
    </row>
    <row r="618" spans="4:19">
      <c r="D618" t="str">
        <f>'Audit Report'!B618</f>
        <v>ITD-X617</v>
      </c>
      <c r="E618" t="str">
        <f>'Audit Report'!C618</f>
        <v/>
      </c>
      <c r="I618" t="str">
        <f>'Audit Report'!D618</f>
        <v/>
      </c>
      <c r="J618" t="str">
        <f>'Audit Report'!H618</f>
        <v/>
      </c>
      <c r="L618" t="str">
        <f>_xlfn.TEXTJOIN(", ", FALSE, 'Audit Report'!K618,'Audit Report'!L618,'Audit Report'!M618)</f>
        <v xml:space="preserve">, , </v>
      </c>
      <c r="M618" t="str">
        <f>'Audit Report'!O618</f>
        <v/>
      </c>
      <c r="R618" t="str">
        <f>'Audit Report'!F618</f>
        <v/>
      </c>
      <c r="S618" t="str">
        <f>'Audit Report'!Q618</f>
        <v/>
      </c>
    </row>
    <row r="619" spans="4:19">
      <c r="D619" t="str">
        <f>'Audit Report'!B619</f>
        <v>ITD-X618</v>
      </c>
      <c r="E619" t="str">
        <f>'Audit Report'!C619</f>
        <v/>
      </c>
      <c r="I619" t="str">
        <f>'Audit Report'!D619</f>
        <v/>
      </c>
      <c r="J619" t="str">
        <f>'Audit Report'!H619</f>
        <v/>
      </c>
      <c r="L619" t="str">
        <f>_xlfn.TEXTJOIN(", ", FALSE, 'Audit Report'!K619,'Audit Report'!L619,'Audit Report'!M619)</f>
        <v xml:space="preserve">, , </v>
      </c>
      <c r="M619" t="str">
        <f>'Audit Report'!O619</f>
        <v/>
      </c>
      <c r="R619" t="str">
        <f>'Audit Report'!F619</f>
        <v/>
      </c>
      <c r="S619" t="str">
        <f>'Audit Report'!Q619</f>
        <v/>
      </c>
    </row>
    <row r="620" spans="4:19">
      <c r="D620" t="str">
        <f>'Audit Report'!B620</f>
        <v>ITD-X619</v>
      </c>
      <c r="E620" t="str">
        <f>'Audit Report'!C620</f>
        <v/>
      </c>
      <c r="I620" t="str">
        <f>'Audit Report'!D620</f>
        <v/>
      </c>
      <c r="J620" t="str">
        <f>'Audit Report'!H620</f>
        <v/>
      </c>
      <c r="L620" t="str">
        <f>_xlfn.TEXTJOIN(", ", FALSE, 'Audit Report'!K620,'Audit Report'!L620,'Audit Report'!M620)</f>
        <v xml:space="preserve">, , </v>
      </c>
      <c r="M620" t="str">
        <f>'Audit Report'!O620</f>
        <v/>
      </c>
      <c r="R620" t="str">
        <f>'Audit Report'!F620</f>
        <v/>
      </c>
      <c r="S620" t="str">
        <f>'Audit Report'!Q620</f>
        <v/>
      </c>
    </row>
    <row r="621" spans="4:19">
      <c r="D621" t="str">
        <f>'Audit Report'!B621</f>
        <v>ITD-X620</v>
      </c>
      <c r="E621" t="str">
        <f>'Audit Report'!C621</f>
        <v/>
      </c>
      <c r="I621" t="str">
        <f>'Audit Report'!D621</f>
        <v/>
      </c>
      <c r="J621" t="str">
        <f>'Audit Report'!H621</f>
        <v/>
      </c>
      <c r="L621" t="str">
        <f>_xlfn.TEXTJOIN(", ", FALSE, 'Audit Report'!K621,'Audit Report'!L621,'Audit Report'!M621)</f>
        <v xml:space="preserve">, , </v>
      </c>
      <c r="M621" t="str">
        <f>'Audit Report'!O621</f>
        <v/>
      </c>
      <c r="R621" t="str">
        <f>'Audit Report'!F621</f>
        <v/>
      </c>
      <c r="S621" t="str">
        <f>'Audit Report'!Q621</f>
        <v/>
      </c>
    </row>
    <row r="622" spans="4:19">
      <c r="D622" t="str">
        <f>'Audit Report'!B622</f>
        <v>ITD-X621</v>
      </c>
      <c r="E622" t="str">
        <f>'Audit Report'!C622</f>
        <v/>
      </c>
      <c r="I622" t="str">
        <f>'Audit Report'!D622</f>
        <v/>
      </c>
      <c r="J622" t="str">
        <f>'Audit Report'!H622</f>
        <v/>
      </c>
      <c r="L622" t="str">
        <f>_xlfn.TEXTJOIN(", ", FALSE, 'Audit Report'!K622,'Audit Report'!L622,'Audit Report'!M622)</f>
        <v xml:space="preserve">, , </v>
      </c>
      <c r="M622" t="str">
        <f>'Audit Report'!O622</f>
        <v/>
      </c>
      <c r="R622" t="str">
        <f>'Audit Report'!F622</f>
        <v/>
      </c>
      <c r="S622" t="str">
        <f>'Audit Report'!Q622</f>
        <v/>
      </c>
    </row>
    <row r="623" spans="4:19">
      <c r="D623" t="str">
        <f>'Audit Report'!B623</f>
        <v>ITD-X622</v>
      </c>
      <c r="E623" t="str">
        <f>'Audit Report'!C623</f>
        <v/>
      </c>
      <c r="I623" t="str">
        <f>'Audit Report'!D623</f>
        <v/>
      </c>
      <c r="J623" t="str">
        <f>'Audit Report'!H623</f>
        <v/>
      </c>
      <c r="L623" t="str">
        <f>_xlfn.TEXTJOIN(", ", FALSE, 'Audit Report'!K623,'Audit Report'!L623,'Audit Report'!M623)</f>
        <v xml:space="preserve">, , </v>
      </c>
      <c r="M623" t="str">
        <f>'Audit Report'!O623</f>
        <v/>
      </c>
      <c r="R623" t="str">
        <f>'Audit Report'!F623</f>
        <v/>
      </c>
      <c r="S623" t="str">
        <f>'Audit Report'!Q623</f>
        <v/>
      </c>
    </row>
    <row r="624" spans="4:19">
      <c r="D624" t="str">
        <f>'Audit Report'!B624</f>
        <v>ITD-X623</v>
      </c>
      <c r="E624" t="str">
        <f>'Audit Report'!C624</f>
        <v/>
      </c>
      <c r="I624" t="str">
        <f>'Audit Report'!D624</f>
        <v/>
      </c>
      <c r="J624" t="str">
        <f>'Audit Report'!H624</f>
        <v/>
      </c>
      <c r="L624" t="str">
        <f>_xlfn.TEXTJOIN(", ", FALSE, 'Audit Report'!K624,'Audit Report'!L624,'Audit Report'!M624)</f>
        <v xml:space="preserve">, , </v>
      </c>
      <c r="M624" t="str">
        <f>'Audit Report'!O624</f>
        <v/>
      </c>
      <c r="R624" t="str">
        <f>'Audit Report'!F624</f>
        <v/>
      </c>
      <c r="S624" t="str">
        <f>'Audit Report'!Q624</f>
        <v/>
      </c>
    </row>
    <row r="625" spans="4:19">
      <c r="D625" t="str">
        <f>'Audit Report'!B625</f>
        <v>ITD-X624</v>
      </c>
      <c r="E625" t="str">
        <f>'Audit Report'!C625</f>
        <v/>
      </c>
      <c r="I625" t="str">
        <f>'Audit Report'!D625</f>
        <v/>
      </c>
      <c r="J625" t="str">
        <f>'Audit Report'!H625</f>
        <v/>
      </c>
      <c r="L625" t="str">
        <f>_xlfn.TEXTJOIN(", ", FALSE, 'Audit Report'!K625,'Audit Report'!L625,'Audit Report'!M625)</f>
        <v xml:space="preserve">, , </v>
      </c>
      <c r="M625" t="str">
        <f>'Audit Report'!O625</f>
        <v/>
      </c>
      <c r="R625" t="str">
        <f>'Audit Report'!F625</f>
        <v/>
      </c>
      <c r="S625" t="str">
        <f>'Audit Report'!Q625</f>
        <v/>
      </c>
    </row>
    <row r="626" spans="4:19">
      <c r="D626" t="str">
        <f>'Audit Report'!B626</f>
        <v>ITD-X625</v>
      </c>
      <c r="E626" t="str">
        <f>'Audit Report'!C626</f>
        <v/>
      </c>
      <c r="I626" t="str">
        <f>'Audit Report'!D626</f>
        <v/>
      </c>
      <c r="J626" t="str">
        <f>'Audit Report'!H626</f>
        <v/>
      </c>
      <c r="L626" t="str">
        <f>_xlfn.TEXTJOIN(", ", FALSE, 'Audit Report'!K626,'Audit Report'!L626,'Audit Report'!M626)</f>
        <v xml:space="preserve">, , </v>
      </c>
      <c r="M626" t="str">
        <f>'Audit Report'!O626</f>
        <v/>
      </c>
      <c r="R626" t="str">
        <f>'Audit Report'!F626</f>
        <v/>
      </c>
      <c r="S626" t="str">
        <f>'Audit Report'!Q626</f>
        <v/>
      </c>
    </row>
    <row r="627" spans="4:19">
      <c r="D627" t="str">
        <f>'Audit Report'!B627</f>
        <v>ITD-X626</v>
      </c>
      <c r="E627" t="str">
        <f>'Audit Report'!C627</f>
        <v/>
      </c>
      <c r="I627" t="str">
        <f>'Audit Report'!D627</f>
        <v/>
      </c>
      <c r="J627" t="str">
        <f>'Audit Report'!H627</f>
        <v/>
      </c>
      <c r="L627" t="str">
        <f>_xlfn.TEXTJOIN(", ", FALSE, 'Audit Report'!K627,'Audit Report'!L627,'Audit Report'!M627)</f>
        <v xml:space="preserve">, , </v>
      </c>
      <c r="M627" t="str">
        <f>'Audit Report'!O627</f>
        <v/>
      </c>
      <c r="R627" t="str">
        <f>'Audit Report'!F627</f>
        <v/>
      </c>
      <c r="S627" t="str">
        <f>'Audit Report'!Q627</f>
        <v/>
      </c>
    </row>
    <row r="628" spans="4:19">
      <c r="D628" t="str">
        <f>'Audit Report'!B628</f>
        <v>ITD-X627</v>
      </c>
      <c r="E628" t="str">
        <f>'Audit Report'!C628</f>
        <v/>
      </c>
      <c r="I628" t="str">
        <f>'Audit Report'!D628</f>
        <v/>
      </c>
      <c r="J628" t="str">
        <f>'Audit Report'!H628</f>
        <v/>
      </c>
      <c r="L628" t="str">
        <f>_xlfn.TEXTJOIN(", ", FALSE, 'Audit Report'!K628,'Audit Report'!L628,'Audit Report'!M628)</f>
        <v xml:space="preserve">, , </v>
      </c>
      <c r="M628" t="str">
        <f>'Audit Report'!O628</f>
        <v/>
      </c>
      <c r="R628" t="str">
        <f>'Audit Report'!F628</f>
        <v/>
      </c>
      <c r="S628" t="str">
        <f>'Audit Report'!Q628</f>
        <v/>
      </c>
    </row>
    <row r="629" spans="4:19">
      <c r="D629" t="str">
        <f>'Audit Report'!B629</f>
        <v>ITD-X628</v>
      </c>
      <c r="E629" t="str">
        <f>'Audit Report'!C629</f>
        <v/>
      </c>
      <c r="I629" t="str">
        <f>'Audit Report'!D629</f>
        <v/>
      </c>
      <c r="J629" t="str">
        <f>'Audit Report'!H629</f>
        <v/>
      </c>
      <c r="L629" t="str">
        <f>_xlfn.TEXTJOIN(", ", FALSE, 'Audit Report'!K629,'Audit Report'!L629,'Audit Report'!M629)</f>
        <v xml:space="preserve">, , </v>
      </c>
      <c r="M629" t="str">
        <f>'Audit Report'!O629</f>
        <v/>
      </c>
      <c r="R629" t="str">
        <f>'Audit Report'!F629</f>
        <v/>
      </c>
      <c r="S629" t="str">
        <f>'Audit Report'!Q629</f>
        <v/>
      </c>
    </row>
    <row r="630" spans="4:19">
      <c r="D630" t="str">
        <f>'Audit Report'!B630</f>
        <v>ITD-X629</v>
      </c>
      <c r="E630" t="str">
        <f>'Audit Report'!C630</f>
        <v/>
      </c>
      <c r="I630" t="str">
        <f>'Audit Report'!D630</f>
        <v/>
      </c>
      <c r="J630" t="str">
        <f>'Audit Report'!H630</f>
        <v/>
      </c>
      <c r="L630" t="str">
        <f>_xlfn.TEXTJOIN(", ", FALSE, 'Audit Report'!K630,'Audit Report'!L630,'Audit Report'!M630)</f>
        <v xml:space="preserve">, , </v>
      </c>
      <c r="M630" t="str">
        <f>'Audit Report'!O630</f>
        <v/>
      </c>
      <c r="R630" t="str">
        <f>'Audit Report'!F630</f>
        <v/>
      </c>
      <c r="S630" t="str">
        <f>'Audit Report'!Q630</f>
        <v/>
      </c>
    </row>
    <row r="631" spans="4:19">
      <c r="D631" t="str">
        <f>'Audit Report'!B631</f>
        <v>ITD-X630</v>
      </c>
      <c r="E631" t="str">
        <f>'Audit Report'!C631</f>
        <v/>
      </c>
      <c r="I631" t="str">
        <f>'Audit Report'!D631</f>
        <v/>
      </c>
      <c r="J631" t="str">
        <f>'Audit Report'!H631</f>
        <v/>
      </c>
      <c r="L631" t="str">
        <f>_xlfn.TEXTJOIN(", ", FALSE, 'Audit Report'!K631,'Audit Report'!L631,'Audit Report'!M631)</f>
        <v xml:space="preserve">, , </v>
      </c>
      <c r="M631" t="str">
        <f>'Audit Report'!O631</f>
        <v/>
      </c>
      <c r="R631" t="str">
        <f>'Audit Report'!F631</f>
        <v/>
      </c>
      <c r="S631" t="str">
        <f>'Audit Report'!Q631</f>
        <v/>
      </c>
    </row>
    <row r="632" spans="4:19">
      <c r="D632" t="str">
        <f>'Audit Report'!B632</f>
        <v>ITD-X631</v>
      </c>
      <c r="E632" t="str">
        <f>'Audit Report'!C632</f>
        <v/>
      </c>
      <c r="I632" t="str">
        <f>'Audit Report'!D632</f>
        <v/>
      </c>
      <c r="J632" t="str">
        <f>'Audit Report'!H632</f>
        <v/>
      </c>
      <c r="L632" t="str">
        <f>_xlfn.TEXTJOIN(", ", FALSE, 'Audit Report'!K632,'Audit Report'!L632,'Audit Report'!M632)</f>
        <v xml:space="preserve">, , </v>
      </c>
      <c r="M632" t="str">
        <f>'Audit Report'!O632</f>
        <v/>
      </c>
      <c r="R632" t="str">
        <f>'Audit Report'!F632</f>
        <v/>
      </c>
      <c r="S632" t="str">
        <f>'Audit Report'!Q632</f>
        <v/>
      </c>
    </row>
    <row r="633" spans="4:19">
      <c r="D633" t="str">
        <f>'Audit Report'!B633</f>
        <v>ITD-X632</v>
      </c>
      <c r="E633" t="str">
        <f>'Audit Report'!C633</f>
        <v/>
      </c>
      <c r="I633" t="str">
        <f>'Audit Report'!D633</f>
        <v/>
      </c>
      <c r="J633" t="str">
        <f>'Audit Report'!H633</f>
        <v/>
      </c>
      <c r="L633" t="str">
        <f>_xlfn.TEXTJOIN(", ", FALSE, 'Audit Report'!K633,'Audit Report'!L633,'Audit Report'!M633)</f>
        <v xml:space="preserve">, , </v>
      </c>
      <c r="M633" t="str">
        <f>'Audit Report'!O633</f>
        <v/>
      </c>
      <c r="R633" t="str">
        <f>'Audit Report'!F633</f>
        <v/>
      </c>
      <c r="S633" t="str">
        <f>'Audit Report'!Q633</f>
        <v/>
      </c>
    </row>
    <row r="634" spans="4:19">
      <c r="D634" t="str">
        <f>'Audit Report'!B634</f>
        <v>ITD-X633</v>
      </c>
      <c r="E634" t="str">
        <f>'Audit Report'!C634</f>
        <v/>
      </c>
      <c r="I634" t="str">
        <f>'Audit Report'!D634</f>
        <v/>
      </c>
      <c r="J634" t="str">
        <f>'Audit Report'!H634</f>
        <v/>
      </c>
      <c r="L634" t="str">
        <f>_xlfn.TEXTJOIN(", ", FALSE, 'Audit Report'!K634,'Audit Report'!L634,'Audit Report'!M634)</f>
        <v xml:space="preserve">, , </v>
      </c>
      <c r="M634" t="str">
        <f>'Audit Report'!O634</f>
        <v/>
      </c>
      <c r="R634" t="str">
        <f>'Audit Report'!F634</f>
        <v/>
      </c>
      <c r="S634" t="str">
        <f>'Audit Report'!Q634</f>
        <v/>
      </c>
    </row>
    <row r="635" spans="4:19">
      <c r="D635" t="str">
        <f>'Audit Report'!B635</f>
        <v>ITD-X634</v>
      </c>
      <c r="E635" t="str">
        <f>'Audit Report'!C635</f>
        <v/>
      </c>
      <c r="I635" t="str">
        <f>'Audit Report'!D635</f>
        <v/>
      </c>
      <c r="J635" t="str">
        <f>'Audit Report'!H635</f>
        <v/>
      </c>
      <c r="L635" t="str">
        <f>_xlfn.TEXTJOIN(", ", FALSE, 'Audit Report'!K635,'Audit Report'!L635,'Audit Report'!M635)</f>
        <v xml:space="preserve">, , </v>
      </c>
      <c r="M635" t="str">
        <f>'Audit Report'!O635</f>
        <v/>
      </c>
      <c r="R635" t="str">
        <f>'Audit Report'!F635</f>
        <v/>
      </c>
      <c r="S635" t="str">
        <f>'Audit Report'!Q635</f>
        <v/>
      </c>
    </row>
    <row r="636" spans="4:19">
      <c r="D636" t="str">
        <f>'Audit Report'!B636</f>
        <v>ITD-X635</v>
      </c>
      <c r="E636" t="str">
        <f>'Audit Report'!C636</f>
        <v/>
      </c>
      <c r="I636" t="str">
        <f>'Audit Report'!D636</f>
        <v/>
      </c>
      <c r="J636" t="str">
        <f>'Audit Report'!H636</f>
        <v/>
      </c>
      <c r="L636" t="str">
        <f>_xlfn.TEXTJOIN(", ", FALSE, 'Audit Report'!K636,'Audit Report'!L636,'Audit Report'!M636)</f>
        <v xml:space="preserve">, , </v>
      </c>
      <c r="M636" t="str">
        <f>'Audit Report'!O636</f>
        <v/>
      </c>
      <c r="R636" t="str">
        <f>'Audit Report'!F636</f>
        <v/>
      </c>
      <c r="S636" t="str">
        <f>'Audit Report'!Q636</f>
        <v/>
      </c>
    </row>
    <row r="637" spans="4:19">
      <c r="D637" t="str">
        <f>'Audit Report'!B637</f>
        <v>ITD-X636</v>
      </c>
      <c r="E637" t="str">
        <f>'Audit Report'!C637</f>
        <v/>
      </c>
      <c r="I637" t="str">
        <f>'Audit Report'!D637</f>
        <v/>
      </c>
      <c r="J637" t="str">
        <f>'Audit Report'!H637</f>
        <v/>
      </c>
      <c r="L637" t="str">
        <f>_xlfn.TEXTJOIN(", ", FALSE, 'Audit Report'!K637,'Audit Report'!L637,'Audit Report'!M637)</f>
        <v xml:space="preserve">, , </v>
      </c>
      <c r="M637" t="str">
        <f>'Audit Report'!O637</f>
        <v/>
      </c>
      <c r="R637" t="str">
        <f>'Audit Report'!F637</f>
        <v/>
      </c>
      <c r="S637" t="str">
        <f>'Audit Report'!Q637</f>
        <v/>
      </c>
    </row>
    <row r="638" spans="4:19">
      <c r="D638" t="str">
        <f>'Audit Report'!B638</f>
        <v>ITD-X637</v>
      </c>
      <c r="E638" t="str">
        <f>'Audit Report'!C638</f>
        <v/>
      </c>
      <c r="I638" t="str">
        <f>'Audit Report'!D638</f>
        <v/>
      </c>
      <c r="J638" t="str">
        <f>'Audit Report'!H638</f>
        <v/>
      </c>
      <c r="L638" t="str">
        <f>_xlfn.TEXTJOIN(", ", FALSE, 'Audit Report'!K638,'Audit Report'!L638,'Audit Report'!M638)</f>
        <v xml:space="preserve">, , </v>
      </c>
      <c r="M638" t="str">
        <f>'Audit Report'!O638</f>
        <v/>
      </c>
      <c r="R638" t="str">
        <f>'Audit Report'!F638</f>
        <v/>
      </c>
      <c r="S638" t="str">
        <f>'Audit Report'!Q638</f>
        <v/>
      </c>
    </row>
    <row r="639" spans="4:19">
      <c r="D639" t="str">
        <f>'Audit Report'!B639</f>
        <v>ITD-X638</v>
      </c>
      <c r="E639" t="str">
        <f>'Audit Report'!C639</f>
        <v/>
      </c>
      <c r="I639" t="str">
        <f>'Audit Report'!D639</f>
        <v/>
      </c>
      <c r="J639" t="str">
        <f>'Audit Report'!H639</f>
        <v/>
      </c>
      <c r="L639" t="str">
        <f>_xlfn.TEXTJOIN(", ", FALSE, 'Audit Report'!K639,'Audit Report'!L639,'Audit Report'!M639)</f>
        <v xml:space="preserve">, , </v>
      </c>
      <c r="M639" t="str">
        <f>'Audit Report'!O639</f>
        <v/>
      </c>
      <c r="R639" t="str">
        <f>'Audit Report'!F639</f>
        <v/>
      </c>
      <c r="S639" t="str">
        <f>'Audit Report'!Q639</f>
        <v/>
      </c>
    </row>
    <row r="640" spans="4:19">
      <c r="D640" t="str">
        <f>'Audit Report'!B640</f>
        <v>ITD-X639</v>
      </c>
      <c r="E640" t="str">
        <f>'Audit Report'!C640</f>
        <v/>
      </c>
      <c r="I640" t="str">
        <f>'Audit Report'!D640</f>
        <v/>
      </c>
      <c r="J640" t="str">
        <f>'Audit Report'!H640</f>
        <v/>
      </c>
      <c r="L640" t="str">
        <f>_xlfn.TEXTJOIN(", ", FALSE, 'Audit Report'!K640,'Audit Report'!L640,'Audit Report'!M640)</f>
        <v xml:space="preserve">, , </v>
      </c>
      <c r="M640" t="str">
        <f>'Audit Report'!O640</f>
        <v/>
      </c>
      <c r="R640" t="str">
        <f>'Audit Report'!F640</f>
        <v/>
      </c>
      <c r="S640" t="str">
        <f>'Audit Report'!Q640</f>
        <v/>
      </c>
    </row>
    <row r="641" spans="4:19">
      <c r="D641" t="str">
        <f>'Audit Report'!B641</f>
        <v>ITD-X640</v>
      </c>
      <c r="E641" t="str">
        <f>'Audit Report'!C641</f>
        <v/>
      </c>
      <c r="I641" t="str">
        <f>'Audit Report'!D641</f>
        <v/>
      </c>
      <c r="J641" t="str">
        <f>'Audit Report'!H641</f>
        <v/>
      </c>
      <c r="L641" t="str">
        <f>_xlfn.TEXTJOIN(", ", FALSE, 'Audit Report'!K641,'Audit Report'!L641,'Audit Report'!M641)</f>
        <v xml:space="preserve">, , </v>
      </c>
      <c r="M641" t="str">
        <f>'Audit Report'!O641</f>
        <v/>
      </c>
      <c r="R641" t="str">
        <f>'Audit Report'!F641</f>
        <v/>
      </c>
      <c r="S641" t="str">
        <f>'Audit Report'!Q641</f>
        <v/>
      </c>
    </row>
    <row r="642" spans="4:19">
      <c r="D642" t="str">
        <f>'Audit Report'!B642</f>
        <v>ITD-X641</v>
      </c>
      <c r="E642" t="str">
        <f>'Audit Report'!C642</f>
        <v/>
      </c>
      <c r="I642" t="str">
        <f>'Audit Report'!D642</f>
        <v/>
      </c>
      <c r="J642" t="str">
        <f>'Audit Report'!H642</f>
        <v/>
      </c>
      <c r="L642" t="str">
        <f>_xlfn.TEXTJOIN(", ", FALSE, 'Audit Report'!K642,'Audit Report'!L642,'Audit Report'!M642)</f>
        <v xml:space="preserve">, , </v>
      </c>
      <c r="M642" t="str">
        <f>'Audit Report'!O642</f>
        <v/>
      </c>
      <c r="R642" t="str">
        <f>'Audit Report'!F642</f>
        <v/>
      </c>
      <c r="S642" t="str">
        <f>'Audit Report'!Q642</f>
        <v/>
      </c>
    </row>
    <row r="643" spans="4:19">
      <c r="D643" t="str">
        <f>'Audit Report'!B643</f>
        <v>ITD-X642</v>
      </c>
      <c r="E643" t="str">
        <f>'Audit Report'!C643</f>
        <v/>
      </c>
      <c r="I643" t="str">
        <f>'Audit Report'!D643</f>
        <v/>
      </c>
      <c r="J643" t="str">
        <f>'Audit Report'!H643</f>
        <v/>
      </c>
      <c r="L643" t="str">
        <f>_xlfn.TEXTJOIN(", ", FALSE, 'Audit Report'!K643,'Audit Report'!L643,'Audit Report'!M643)</f>
        <v xml:space="preserve">, , </v>
      </c>
      <c r="M643" t="str">
        <f>'Audit Report'!O643</f>
        <v/>
      </c>
      <c r="R643" t="str">
        <f>'Audit Report'!F643</f>
        <v/>
      </c>
      <c r="S643" t="str">
        <f>'Audit Report'!Q643</f>
        <v/>
      </c>
    </row>
    <row r="644" spans="4:19">
      <c r="D644" t="str">
        <f>'Audit Report'!B644</f>
        <v>ITD-X643</v>
      </c>
      <c r="E644" t="str">
        <f>'Audit Report'!C644</f>
        <v/>
      </c>
      <c r="I644" t="str">
        <f>'Audit Report'!D644</f>
        <v/>
      </c>
      <c r="J644" t="str">
        <f>'Audit Report'!H644</f>
        <v/>
      </c>
      <c r="L644" t="str">
        <f>_xlfn.TEXTJOIN(", ", FALSE, 'Audit Report'!K644,'Audit Report'!L644,'Audit Report'!M644)</f>
        <v xml:space="preserve">, , </v>
      </c>
      <c r="M644" t="str">
        <f>'Audit Report'!O644</f>
        <v/>
      </c>
      <c r="R644" t="str">
        <f>'Audit Report'!F644</f>
        <v/>
      </c>
      <c r="S644" t="str">
        <f>'Audit Report'!Q644</f>
        <v/>
      </c>
    </row>
    <row r="645" spans="4:19">
      <c r="D645" t="str">
        <f>'Audit Report'!B645</f>
        <v>ITD-X644</v>
      </c>
      <c r="E645" t="str">
        <f>'Audit Report'!C645</f>
        <v/>
      </c>
      <c r="I645" t="str">
        <f>'Audit Report'!D645</f>
        <v/>
      </c>
      <c r="J645" t="str">
        <f>'Audit Report'!H645</f>
        <v/>
      </c>
      <c r="L645" t="str">
        <f>_xlfn.TEXTJOIN(", ", FALSE, 'Audit Report'!K645,'Audit Report'!L645,'Audit Report'!M645)</f>
        <v xml:space="preserve">, , </v>
      </c>
      <c r="M645" t="str">
        <f>'Audit Report'!O645</f>
        <v/>
      </c>
      <c r="R645" t="str">
        <f>'Audit Report'!F645</f>
        <v/>
      </c>
      <c r="S645" t="str">
        <f>'Audit Report'!Q645</f>
        <v/>
      </c>
    </row>
    <row r="646" spans="4:19">
      <c r="D646" t="str">
        <f>'Audit Report'!B646</f>
        <v>ITD-X645</v>
      </c>
      <c r="E646" t="str">
        <f>'Audit Report'!C646</f>
        <v/>
      </c>
      <c r="I646" t="str">
        <f>'Audit Report'!D646</f>
        <v/>
      </c>
      <c r="J646" t="str">
        <f>'Audit Report'!H646</f>
        <v/>
      </c>
      <c r="L646" t="str">
        <f>_xlfn.TEXTJOIN(", ", FALSE, 'Audit Report'!K646,'Audit Report'!L646,'Audit Report'!M646)</f>
        <v xml:space="preserve">, , </v>
      </c>
      <c r="M646" t="str">
        <f>'Audit Report'!O646</f>
        <v/>
      </c>
      <c r="R646" t="str">
        <f>'Audit Report'!F646</f>
        <v/>
      </c>
      <c r="S646" t="str">
        <f>'Audit Report'!Q646</f>
        <v/>
      </c>
    </row>
    <row r="647" spans="4:19">
      <c r="D647" t="str">
        <f>'Audit Report'!B647</f>
        <v>ITD-X646</v>
      </c>
      <c r="E647" t="str">
        <f>'Audit Report'!C647</f>
        <v/>
      </c>
      <c r="I647" t="str">
        <f>'Audit Report'!D647</f>
        <v/>
      </c>
      <c r="J647" t="str">
        <f>'Audit Report'!H647</f>
        <v/>
      </c>
      <c r="L647" t="str">
        <f>_xlfn.TEXTJOIN(", ", FALSE, 'Audit Report'!K647,'Audit Report'!L647,'Audit Report'!M647)</f>
        <v xml:space="preserve">, , </v>
      </c>
      <c r="M647" t="str">
        <f>'Audit Report'!O647</f>
        <v/>
      </c>
      <c r="R647" t="str">
        <f>'Audit Report'!F647</f>
        <v/>
      </c>
      <c r="S647" t="str">
        <f>'Audit Report'!Q647</f>
        <v/>
      </c>
    </row>
    <row r="648" spans="4:19">
      <c r="D648" t="str">
        <f>'Audit Report'!B648</f>
        <v>ITD-X647</v>
      </c>
      <c r="E648" t="str">
        <f>'Audit Report'!C648</f>
        <v/>
      </c>
      <c r="I648" t="str">
        <f>'Audit Report'!D648</f>
        <v/>
      </c>
      <c r="J648" t="str">
        <f>'Audit Report'!H648</f>
        <v/>
      </c>
      <c r="L648" t="str">
        <f>_xlfn.TEXTJOIN(", ", FALSE, 'Audit Report'!K648,'Audit Report'!L648,'Audit Report'!M648)</f>
        <v xml:space="preserve">, , </v>
      </c>
      <c r="M648" t="str">
        <f>'Audit Report'!O648</f>
        <v/>
      </c>
      <c r="R648" t="str">
        <f>'Audit Report'!F648</f>
        <v/>
      </c>
      <c r="S648" t="str">
        <f>'Audit Report'!Q648</f>
        <v/>
      </c>
    </row>
    <row r="649" spans="4:19">
      <c r="D649" t="str">
        <f>'Audit Report'!B649</f>
        <v>ITD-X648</v>
      </c>
      <c r="E649" t="str">
        <f>'Audit Report'!C649</f>
        <v/>
      </c>
      <c r="I649" t="str">
        <f>'Audit Report'!D649</f>
        <v/>
      </c>
      <c r="J649" t="str">
        <f>'Audit Report'!H649</f>
        <v/>
      </c>
      <c r="L649" t="str">
        <f>_xlfn.TEXTJOIN(", ", FALSE, 'Audit Report'!K649,'Audit Report'!L649,'Audit Report'!M649)</f>
        <v xml:space="preserve">, , </v>
      </c>
      <c r="M649" t="str">
        <f>'Audit Report'!O649</f>
        <v/>
      </c>
      <c r="R649" t="str">
        <f>'Audit Report'!F649</f>
        <v/>
      </c>
      <c r="S649" t="str">
        <f>'Audit Report'!Q649</f>
        <v/>
      </c>
    </row>
    <row r="650" spans="4:19">
      <c r="D650" t="str">
        <f>'Audit Report'!B650</f>
        <v>ITD-X649</v>
      </c>
      <c r="E650" t="str">
        <f>'Audit Report'!C650</f>
        <v/>
      </c>
      <c r="I650" t="str">
        <f>'Audit Report'!D650</f>
        <v/>
      </c>
      <c r="J650" t="str">
        <f>'Audit Report'!H650</f>
        <v/>
      </c>
      <c r="L650" t="str">
        <f>_xlfn.TEXTJOIN(", ", FALSE, 'Audit Report'!K650,'Audit Report'!L650,'Audit Report'!M650)</f>
        <v xml:space="preserve">, , </v>
      </c>
      <c r="M650" t="str">
        <f>'Audit Report'!O650</f>
        <v/>
      </c>
      <c r="R650" t="str">
        <f>'Audit Report'!F650</f>
        <v/>
      </c>
      <c r="S650" t="str">
        <f>'Audit Report'!Q650</f>
        <v/>
      </c>
    </row>
    <row r="651" spans="4:19">
      <c r="D651" t="str">
        <f>'Audit Report'!B651</f>
        <v>ITD-X650</v>
      </c>
      <c r="E651" t="str">
        <f>'Audit Report'!C651</f>
        <v/>
      </c>
      <c r="I651" t="str">
        <f>'Audit Report'!D651</f>
        <v/>
      </c>
      <c r="J651" t="str">
        <f>'Audit Report'!H651</f>
        <v/>
      </c>
      <c r="L651" t="str">
        <f>_xlfn.TEXTJOIN(", ", FALSE, 'Audit Report'!K651,'Audit Report'!L651,'Audit Report'!M651)</f>
        <v xml:space="preserve">, , </v>
      </c>
      <c r="M651" t="str">
        <f>'Audit Report'!O651</f>
        <v/>
      </c>
      <c r="R651" t="str">
        <f>'Audit Report'!F651</f>
        <v/>
      </c>
      <c r="S651" t="str">
        <f>'Audit Report'!Q651</f>
        <v/>
      </c>
    </row>
    <row r="652" spans="4:19">
      <c r="D652" t="str">
        <f>'Audit Report'!B652</f>
        <v>ITD-X651</v>
      </c>
      <c r="E652" t="str">
        <f>'Audit Report'!C652</f>
        <v/>
      </c>
      <c r="I652" t="str">
        <f>'Audit Report'!D652</f>
        <v/>
      </c>
      <c r="J652" t="str">
        <f>'Audit Report'!H652</f>
        <v/>
      </c>
      <c r="L652" t="str">
        <f>_xlfn.TEXTJOIN(", ", FALSE, 'Audit Report'!K652,'Audit Report'!L652,'Audit Report'!M652)</f>
        <v xml:space="preserve">, , </v>
      </c>
      <c r="M652" t="str">
        <f>'Audit Report'!O652</f>
        <v/>
      </c>
      <c r="R652" t="str">
        <f>'Audit Report'!F652</f>
        <v/>
      </c>
      <c r="S652" t="str">
        <f>'Audit Report'!Q652</f>
        <v/>
      </c>
    </row>
    <row r="653" spans="4:19">
      <c r="D653" t="str">
        <f>'Audit Report'!B653</f>
        <v>ITD-X652</v>
      </c>
      <c r="E653" t="str">
        <f>'Audit Report'!C653</f>
        <v/>
      </c>
      <c r="I653" t="str">
        <f>'Audit Report'!D653</f>
        <v/>
      </c>
      <c r="J653" t="str">
        <f>'Audit Report'!H653</f>
        <v/>
      </c>
      <c r="L653" t="str">
        <f>_xlfn.TEXTJOIN(", ", FALSE, 'Audit Report'!K653,'Audit Report'!L653,'Audit Report'!M653)</f>
        <v xml:space="preserve">, , </v>
      </c>
      <c r="M653" t="str">
        <f>'Audit Report'!O653</f>
        <v/>
      </c>
      <c r="R653" t="str">
        <f>'Audit Report'!F653</f>
        <v/>
      </c>
      <c r="S653" t="str">
        <f>'Audit Report'!Q653</f>
        <v/>
      </c>
    </row>
    <row r="654" spans="4:19">
      <c r="D654" t="str">
        <f>'Audit Report'!B654</f>
        <v>ITD-X653</v>
      </c>
      <c r="E654" t="str">
        <f>'Audit Report'!C654</f>
        <v/>
      </c>
      <c r="I654" t="str">
        <f>'Audit Report'!D654</f>
        <v/>
      </c>
      <c r="J654" t="str">
        <f>'Audit Report'!H654</f>
        <v/>
      </c>
      <c r="L654" t="str">
        <f>_xlfn.TEXTJOIN(", ", FALSE, 'Audit Report'!K654,'Audit Report'!L654,'Audit Report'!M654)</f>
        <v xml:space="preserve">, , </v>
      </c>
      <c r="M654" t="str">
        <f>'Audit Report'!O654</f>
        <v/>
      </c>
      <c r="R654" t="str">
        <f>'Audit Report'!F654</f>
        <v/>
      </c>
      <c r="S654" t="str">
        <f>'Audit Report'!Q654</f>
        <v/>
      </c>
    </row>
    <row r="655" spans="4:19">
      <c r="D655" t="str">
        <f>'Audit Report'!B655</f>
        <v>ITD-X654</v>
      </c>
      <c r="E655" t="str">
        <f>'Audit Report'!C655</f>
        <v/>
      </c>
      <c r="I655" t="str">
        <f>'Audit Report'!D655</f>
        <v/>
      </c>
      <c r="J655" t="str">
        <f>'Audit Report'!H655</f>
        <v/>
      </c>
      <c r="L655" t="str">
        <f>_xlfn.TEXTJOIN(", ", FALSE, 'Audit Report'!K655,'Audit Report'!L655,'Audit Report'!M655)</f>
        <v xml:space="preserve">, , </v>
      </c>
      <c r="M655" t="str">
        <f>'Audit Report'!O655</f>
        <v/>
      </c>
      <c r="R655" t="str">
        <f>'Audit Report'!F655</f>
        <v/>
      </c>
      <c r="S655" t="str">
        <f>'Audit Report'!Q655</f>
        <v/>
      </c>
    </row>
    <row r="656" spans="4:19">
      <c r="D656" t="str">
        <f>'Audit Report'!B656</f>
        <v>ITD-X655</v>
      </c>
      <c r="E656" t="str">
        <f>'Audit Report'!C656</f>
        <v/>
      </c>
      <c r="I656" t="str">
        <f>'Audit Report'!D656</f>
        <v/>
      </c>
      <c r="J656" t="str">
        <f>'Audit Report'!H656</f>
        <v/>
      </c>
      <c r="L656" t="str">
        <f>_xlfn.TEXTJOIN(", ", FALSE, 'Audit Report'!K656,'Audit Report'!L656,'Audit Report'!M656)</f>
        <v xml:space="preserve">, , </v>
      </c>
      <c r="M656" t="str">
        <f>'Audit Report'!O656</f>
        <v/>
      </c>
      <c r="R656" t="str">
        <f>'Audit Report'!F656</f>
        <v/>
      </c>
      <c r="S656" t="str">
        <f>'Audit Report'!Q656</f>
        <v/>
      </c>
    </row>
    <row r="657" spans="4:19">
      <c r="D657" t="str">
        <f>'Audit Report'!B657</f>
        <v>ITD-X656</v>
      </c>
      <c r="E657" t="str">
        <f>'Audit Report'!C657</f>
        <v/>
      </c>
      <c r="I657" t="str">
        <f>'Audit Report'!D657</f>
        <v/>
      </c>
      <c r="J657" t="str">
        <f>'Audit Report'!H657</f>
        <v/>
      </c>
      <c r="L657" t="str">
        <f>_xlfn.TEXTJOIN(", ", FALSE, 'Audit Report'!K657,'Audit Report'!L657,'Audit Report'!M657)</f>
        <v xml:space="preserve">, , </v>
      </c>
      <c r="M657" t="str">
        <f>'Audit Report'!O657</f>
        <v/>
      </c>
      <c r="R657" t="str">
        <f>'Audit Report'!F657</f>
        <v/>
      </c>
      <c r="S657" t="str">
        <f>'Audit Report'!Q657</f>
        <v/>
      </c>
    </row>
    <row r="658" spans="4:19">
      <c r="D658" t="str">
        <f>'Audit Report'!B658</f>
        <v>ITD-X657</v>
      </c>
      <c r="E658" t="str">
        <f>'Audit Report'!C658</f>
        <v/>
      </c>
      <c r="I658" t="str">
        <f>'Audit Report'!D658</f>
        <v/>
      </c>
      <c r="J658" t="str">
        <f>'Audit Report'!H658</f>
        <v/>
      </c>
      <c r="L658" t="str">
        <f>_xlfn.TEXTJOIN(", ", FALSE, 'Audit Report'!K658,'Audit Report'!L658,'Audit Report'!M658)</f>
        <v xml:space="preserve">, , </v>
      </c>
      <c r="M658" t="str">
        <f>'Audit Report'!O658</f>
        <v/>
      </c>
      <c r="R658" t="str">
        <f>'Audit Report'!F658</f>
        <v/>
      </c>
      <c r="S658" t="str">
        <f>'Audit Report'!Q658</f>
        <v/>
      </c>
    </row>
    <row r="659" spans="4:19">
      <c r="D659" t="str">
        <f>'Audit Report'!B659</f>
        <v>ITD-X658</v>
      </c>
      <c r="E659" t="str">
        <f>'Audit Report'!C659</f>
        <v/>
      </c>
      <c r="I659" t="str">
        <f>'Audit Report'!D659</f>
        <v/>
      </c>
      <c r="J659" t="str">
        <f>'Audit Report'!H659</f>
        <v/>
      </c>
      <c r="L659" t="str">
        <f>_xlfn.TEXTJOIN(", ", FALSE, 'Audit Report'!K659,'Audit Report'!L659,'Audit Report'!M659)</f>
        <v xml:space="preserve">, , </v>
      </c>
      <c r="M659" t="str">
        <f>'Audit Report'!O659</f>
        <v/>
      </c>
      <c r="R659" t="str">
        <f>'Audit Report'!F659</f>
        <v/>
      </c>
      <c r="S659" t="str">
        <f>'Audit Report'!Q659</f>
        <v/>
      </c>
    </row>
    <row r="660" spans="4:19">
      <c r="D660" t="str">
        <f>'Audit Report'!B660</f>
        <v>ITD-X659</v>
      </c>
      <c r="E660" t="str">
        <f>'Audit Report'!C660</f>
        <v/>
      </c>
      <c r="I660" t="str">
        <f>'Audit Report'!D660</f>
        <v/>
      </c>
      <c r="J660" t="str">
        <f>'Audit Report'!H660</f>
        <v/>
      </c>
      <c r="L660" t="str">
        <f>_xlfn.TEXTJOIN(", ", FALSE, 'Audit Report'!K660,'Audit Report'!L660,'Audit Report'!M660)</f>
        <v xml:space="preserve">, , </v>
      </c>
      <c r="M660" t="str">
        <f>'Audit Report'!O660</f>
        <v/>
      </c>
      <c r="R660" t="str">
        <f>'Audit Report'!F660</f>
        <v/>
      </c>
      <c r="S660" t="str">
        <f>'Audit Report'!Q660</f>
        <v/>
      </c>
    </row>
    <row r="661" spans="4:19">
      <c r="D661" t="str">
        <f>'Audit Report'!B661</f>
        <v>ITD-X660</v>
      </c>
      <c r="E661" t="str">
        <f>'Audit Report'!C661</f>
        <v/>
      </c>
      <c r="I661" t="str">
        <f>'Audit Report'!D661</f>
        <v/>
      </c>
      <c r="J661" t="str">
        <f>'Audit Report'!H661</f>
        <v/>
      </c>
      <c r="L661" t="str">
        <f>_xlfn.TEXTJOIN(", ", FALSE, 'Audit Report'!K661,'Audit Report'!L661,'Audit Report'!M661)</f>
        <v xml:space="preserve">, , </v>
      </c>
      <c r="M661" t="str">
        <f>'Audit Report'!O661</f>
        <v/>
      </c>
      <c r="R661" t="str">
        <f>'Audit Report'!F661</f>
        <v/>
      </c>
      <c r="S661" t="str">
        <f>'Audit Report'!Q661</f>
        <v/>
      </c>
    </row>
    <row r="662" spans="4:19">
      <c r="D662" t="str">
        <f>'Audit Report'!B662</f>
        <v>ITD-X661</v>
      </c>
      <c r="E662" t="str">
        <f>'Audit Report'!C662</f>
        <v/>
      </c>
      <c r="I662" t="str">
        <f>'Audit Report'!D662</f>
        <v/>
      </c>
      <c r="J662" t="str">
        <f>'Audit Report'!H662</f>
        <v/>
      </c>
      <c r="L662" t="str">
        <f>_xlfn.TEXTJOIN(", ", FALSE, 'Audit Report'!K662,'Audit Report'!L662,'Audit Report'!M662)</f>
        <v xml:space="preserve">, , </v>
      </c>
      <c r="M662" t="str">
        <f>'Audit Report'!O662</f>
        <v/>
      </c>
      <c r="R662" t="str">
        <f>'Audit Report'!F662</f>
        <v/>
      </c>
      <c r="S662" t="str">
        <f>'Audit Report'!Q662</f>
        <v/>
      </c>
    </row>
    <row r="663" spans="4:19">
      <c r="D663" t="str">
        <f>'Audit Report'!B663</f>
        <v>ITD-X662</v>
      </c>
      <c r="E663" t="str">
        <f>'Audit Report'!C663</f>
        <v/>
      </c>
      <c r="I663" t="str">
        <f>'Audit Report'!D663</f>
        <v/>
      </c>
      <c r="J663" t="str">
        <f>'Audit Report'!H663</f>
        <v/>
      </c>
      <c r="L663" t="str">
        <f>_xlfn.TEXTJOIN(", ", FALSE, 'Audit Report'!K663,'Audit Report'!L663,'Audit Report'!M663)</f>
        <v xml:space="preserve">, , </v>
      </c>
      <c r="M663" t="str">
        <f>'Audit Report'!O663</f>
        <v/>
      </c>
      <c r="R663" t="str">
        <f>'Audit Report'!F663</f>
        <v/>
      </c>
      <c r="S663" t="str">
        <f>'Audit Report'!Q663</f>
        <v/>
      </c>
    </row>
    <row r="664" spans="4:19">
      <c r="D664" t="str">
        <f>'Audit Report'!B664</f>
        <v>ITD-X663</v>
      </c>
      <c r="E664" t="str">
        <f>'Audit Report'!C664</f>
        <v/>
      </c>
      <c r="I664" t="str">
        <f>'Audit Report'!D664</f>
        <v/>
      </c>
      <c r="J664" t="str">
        <f>'Audit Report'!H664</f>
        <v/>
      </c>
      <c r="L664" t="str">
        <f>_xlfn.TEXTJOIN(", ", FALSE, 'Audit Report'!K664,'Audit Report'!L664,'Audit Report'!M664)</f>
        <v xml:space="preserve">, , </v>
      </c>
      <c r="M664" t="str">
        <f>'Audit Report'!O664</f>
        <v/>
      </c>
      <c r="R664" t="str">
        <f>'Audit Report'!F664</f>
        <v/>
      </c>
      <c r="S664" t="str">
        <f>'Audit Report'!Q664</f>
        <v/>
      </c>
    </row>
    <row r="665" spans="4:19">
      <c r="D665" t="str">
        <f>'Audit Report'!B665</f>
        <v>ITD-X664</v>
      </c>
      <c r="E665" t="str">
        <f>'Audit Report'!C665</f>
        <v/>
      </c>
      <c r="I665" t="str">
        <f>'Audit Report'!D665</f>
        <v/>
      </c>
      <c r="J665" t="str">
        <f>'Audit Report'!H665</f>
        <v/>
      </c>
      <c r="L665" t="str">
        <f>_xlfn.TEXTJOIN(", ", FALSE, 'Audit Report'!K665,'Audit Report'!L665,'Audit Report'!M665)</f>
        <v xml:space="preserve">, , </v>
      </c>
      <c r="M665" t="str">
        <f>'Audit Report'!O665</f>
        <v/>
      </c>
      <c r="R665" t="str">
        <f>'Audit Report'!F665</f>
        <v/>
      </c>
      <c r="S665" t="str">
        <f>'Audit Report'!Q665</f>
        <v/>
      </c>
    </row>
    <row r="666" spans="4:19">
      <c r="D666" t="str">
        <f>'Audit Report'!B666</f>
        <v>ITD-X665</v>
      </c>
      <c r="E666" t="str">
        <f>'Audit Report'!C666</f>
        <v/>
      </c>
      <c r="I666" t="str">
        <f>'Audit Report'!D666</f>
        <v/>
      </c>
      <c r="J666" t="str">
        <f>'Audit Report'!H666</f>
        <v/>
      </c>
      <c r="L666" t="str">
        <f>_xlfn.TEXTJOIN(", ", FALSE, 'Audit Report'!K666,'Audit Report'!L666,'Audit Report'!M666)</f>
        <v xml:space="preserve">, , </v>
      </c>
      <c r="M666" t="str">
        <f>'Audit Report'!O666</f>
        <v/>
      </c>
      <c r="R666" t="str">
        <f>'Audit Report'!F666</f>
        <v/>
      </c>
      <c r="S666" t="str">
        <f>'Audit Report'!Q666</f>
        <v/>
      </c>
    </row>
    <row r="667" spans="4:19">
      <c r="D667" t="str">
        <f>'Audit Report'!B667</f>
        <v>ITD-X666</v>
      </c>
      <c r="E667" t="str">
        <f>'Audit Report'!C667</f>
        <v/>
      </c>
      <c r="I667" t="str">
        <f>'Audit Report'!D667</f>
        <v/>
      </c>
      <c r="J667" t="str">
        <f>'Audit Report'!H667</f>
        <v/>
      </c>
      <c r="L667" t="str">
        <f>_xlfn.TEXTJOIN(", ", FALSE, 'Audit Report'!K667,'Audit Report'!L667,'Audit Report'!M667)</f>
        <v xml:space="preserve">, , </v>
      </c>
      <c r="M667" t="str">
        <f>'Audit Report'!O667</f>
        <v/>
      </c>
      <c r="R667" t="str">
        <f>'Audit Report'!F667</f>
        <v/>
      </c>
      <c r="S667" t="str">
        <f>'Audit Report'!Q667</f>
        <v/>
      </c>
    </row>
    <row r="668" spans="4:19">
      <c r="D668" t="str">
        <f>'Audit Report'!B668</f>
        <v>ITD-X667</v>
      </c>
      <c r="E668" t="str">
        <f>'Audit Report'!C668</f>
        <v/>
      </c>
      <c r="I668" t="str">
        <f>'Audit Report'!D668</f>
        <v/>
      </c>
      <c r="J668" t="str">
        <f>'Audit Report'!H668</f>
        <v/>
      </c>
      <c r="L668" t="str">
        <f>_xlfn.TEXTJOIN(", ", FALSE, 'Audit Report'!K668,'Audit Report'!L668,'Audit Report'!M668)</f>
        <v xml:space="preserve">, , </v>
      </c>
      <c r="M668" t="str">
        <f>'Audit Report'!O668</f>
        <v/>
      </c>
      <c r="R668" t="str">
        <f>'Audit Report'!F668</f>
        <v/>
      </c>
      <c r="S668" t="str">
        <f>'Audit Report'!Q668</f>
        <v/>
      </c>
    </row>
    <row r="669" spans="4:19">
      <c r="D669" t="str">
        <f>'Audit Report'!B669</f>
        <v>ITD-X668</v>
      </c>
      <c r="E669" t="str">
        <f>'Audit Report'!C669</f>
        <v/>
      </c>
      <c r="I669" t="str">
        <f>'Audit Report'!D669</f>
        <v/>
      </c>
      <c r="J669" t="str">
        <f>'Audit Report'!H669</f>
        <v/>
      </c>
      <c r="L669" t="str">
        <f>_xlfn.TEXTJOIN(", ", FALSE, 'Audit Report'!K669,'Audit Report'!L669,'Audit Report'!M669)</f>
        <v xml:space="preserve">, , </v>
      </c>
      <c r="M669" t="str">
        <f>'Audit Report'!O669</f>
        <v/>
      </c>
      <c r="R669" t="str">
        <f>'Audit Report'!F669</f>
        <v/>
      </c>
      <c r="S669" t="str">
        <f>'Audit Report'!Q669</f>
        <v/>
      </c>
    </row>
    <row r="670" spans="4:19">
      <c r="D670" t="str">
        <f>'Audit Report'!B670</f>
        <v>ITD-X669</v>
      </c>
      <c r="E670" t="str">
        <f>'Audit Report'!C670</f>
        <v/>
      </c>
      <c r="I670" t="str">
        <f>'Audit Report'!D670</f>
        <v/>
      </c>
      <c r="J670" t="str">
        <f>'Audit Report'!H670</f>
        <v/>
      </c>
      <c r="L670" t="str">
        <f>_xlfn.TEXTJOIN(", ", FALSE, 'Audit Report'!K670,'Audit Report'!L670,'Audit Report'!M670)</f>
        <v xml:space="preserve">, , </v>
      </c>
      <c r="M670" t="str">
        <f>'Audit Report'!O670</f>
        <v/>
      </c>
      <c r="R670" t="str">
        <f>'Audit Report'!F670</f>
        <v/>
      </c>
      <c r="S670" t="str">
        <f>'Audit Report'!Q670</f>
        <v/>
      </c>
    </row>
    <row r="671" spans="4:19">
      <c r="D671" t="str">
        <f>'Audit Report'!B671</f>
        <v>ITD-X670</v>
      </c>
      <c r="E671" t="str">
        <f>'Audit Report'!C671</f>
        <v/>
      </c>
      <c r="I671" t="str">
        <f>'Audit Report'!D671</f>
        <v/>
      </c>
      <c r="J671" t="str">
        <f>'Audit Report'!H671</f>
        <v/>
      </c>
      <c r="L671" t="str">
        <f>_xlfn.TEXTJOIN(", ", FALSE, 'Audit Report'!K671,'Audit Report'!L671,'Audit Report'!M671)</f>
        <v xml:space="preserve">, , </v>
      </c>
      <c r="M671" t="str">
        <f>'Audit Report'!O671</f>
        <v/>
      </c>
      <c r="R671" t="str">
        <f>'Audit Report'!F671</f>
        <v/>
      </c>
      <c r="S671" t="str">
        <f>'Audit Report'!Q671</f>
        <v/>
      </c>
    </row>
    <row r="672" spans="4:19">
      <c r="D672" t="str">
        <f>'Audit Report'!B672</f>
        <v>ITD-X671</v>
      </c>
      <c r="E672" t="str">
        <f>'Audit Report'!C672</f>
        <v/>
      </c>
      <c r="I672" t="str">
        <f>'Audit Report'!D672</f>
        <v/>
      </c>
      <c r="J672" t="str">
        <f>'Audit Report'!H672</f>
        <v/>
      </c>
      <c r="L672" t="str">
        <f>_xlfn.TEXTJOIN(", ", FALSE, 'Audit Report'!K672,'Audit Report'!L672,'Audit Report'!M672)</f>
        <v xml:space="preserve">, , </v>
      </c>
      <c r="M672" t="str">
        <f>'Audit Report'!O672</f>
        <v/>
      </c>
      <c r="R672" t="str">
        <f>'Audit Report'!F672</f>
        <v/>
      </c>
      <c r="S672" t="str">
        <f>'Audit Report'!Q672</f>
        <v/>
      </c>
    </row>
    <row r="673" spans="4:19">
      <c r="D673" t="str">
        <f>'Audit Report'!B673</f>
        <v>ITD-X672</v>
      </c>
      <c r="E673" t="str">
        <f>'Audit Report'!C673</f>
        <v/>
      </c>
      <c r="I673" t="str">
        <f>'Audit Report'!D673</f>
        <v/>
      </c>
      <c r="J673" t="str">
        <f>'Audit Report'!H673</f>
        <v/>
      </c>
      <c r="L673" t="str">
        <f>_xlfn.TEXTJOIN(", ", FALSE, 'Audit Report'!K673,'Audit Report'!L673,'Audit Report'!M673)</f>
        <v xml:space="preserve">, , </v>
      </c>
      <c r="M673" t="str">
        <f>'Audit Report'!O673</f>
        <v/>
      </c>
      <c r="R673" t="str">
        <f>'Audit Report'!F673</f>
        <v/>
      </c>
      <c r="S673" t="str">
        <f>'Audit Report'!Q673</f>
        <v/>
      </c>
    </row>
    <row r="674" spans="4:19">
      <c r="D674" t="str">
        <f>'Audit Report'!B674</f>
        <v>ITD-X673</v>
      </c>
      <c r="E674" t="str">
        <f>'Audit Report'!C674</f>
        <v/>
      </c>
      <c r="I674" t="str">
        <f>'Audit Report'!D674</f>
        <v/>
      </c>
      <c r="J674" t="str">
        <f>'Audit Report'!H674</f>
        <v/>
      </c>
      <c r="L674" t="str">
        <f>_xlfn.TEXTJOIN(", ", FALSE, 'Audit Report'!K674,'Audit Report'!L674,'Audit Report'!M674)</f>
        <v xml:space="preserve">, , </v>
      </c>
      <c r="M674" t="str">
        <f>'Audit Report'!O674</f>
        <v/>
      </c>
      <c r="R674" t="str">
        <f>'Audit Report'!F674</f>
        <v/>
      </c>
      <c r="S674" t="str">
        <f>'Audit Report'!Q674</f>
        <v/>
      </c>
    </row>
    <row r="675" spans="4:19">
      <c r="D675" t="str">
        <f>'Audit Report'!B675</f>
        <v>ITD-X674</v>
      </c>
      <c r="E675" t="str">
        <f>'Audit Report'!C675</f>
        <v/>
      </c>
      <c r="I675" t="str">
        <f>'Audit Report'!D675</f>
        <v/>
      </c>
      <c r="J675" t="str">
        <f>'Audit Report'!H675</f>
        <v/>
      </c>
      <c r="L675" t="str">
        <f>_xlfn.TEXTJOIN(", ", FALSE, 'Audit Report'!K675,'Audit Report'!L675,'Audit Report'!M675)</f>
        <v xml:space="preserve">, , </v>
      </c>
      <c r="M675" t="str">
        <f>'Audit Report'!O675</f>
        <v/>
      </c>
      <c r="R675" t="str">
        <f>'Audit Report'!F675</f>
        <v/>
      </c>
      <c r="S675" t="str">
        <f>'Audit Report'!Q675</f>
        <v/>
      </c>
    </row>
    <row r="676" spans="4:19">
      <c r="D676" t="str">
        <f>'Audit Report'!B676</f>
        <v>ITD-X675</v>
      </c>
      <c r="E676" t="str">
        <f>'Audit Report'!C676</f>
        <v/>
      </c>
      <c r="I676" t="str">
        <f>'Audit Report'!D676</f>
        <v/>
      </c>
      <c r="J676" t="str">
        <f>'Audit Report'!H676</f>
        <v/>
      </c>
      <c r="L676" t="str">
        <f>_xlfn.TEXTJOIN(", ", FALSE, 'Audit Report'!K676,'Audit Report'!L676,'Audit Report'!M676)</f>
        <v xml:space="preserve">, , </v>
      </c>
      <c r="M676" t="str">
        <f>'Audit Report'!O676</f>
        <v/>
      </c>
      <c r="R676" t="str">
        <f>'Audit Report'!F676</f>
        <v/>
      </c>
      <c r="S676" t="str">
        <f>'Audit Report'!Q676</f>
        <v/>
      </c>
    </row>
    <row r="677" spans="4:19">
      <c r="D677" t="str">
        <f>'Audit Report'!B677</f>
        <v>ITD-X676</v>
      </c>
      <c r="E677" t="str">
        <f>'Audit Report'!C677</f>
        <v/>
      </c>
      <c r="I677" t="str">
        <f>'Audit Report'!D677</f>
        <v/>
      </c>
      <c r="J677" t="str">
        <f>'Audit Report'!H677</f>
        <v/>
      </c>
      <c r="L677" t="str">
        <f>_xlfn.TEXTJOIN(", ", FALSE, 'Audit Report'!K677,'Audit Report'!L677,'Audit Report'!M677)</f>
        <v xml:space="preserve">, , </v>
      </c>
      <c r="M677" t="str">
        <f>'Audit Report'!O677</f>
        <v/>
      </c>
      <c r="R677" t="str">
        <f>'Audit Report'!F677</f>
        <v/>
      </c>
      <c r="S677" t="str">
        <f>'Audit Report'!Q677</f>
        <v/>
      </c>
    </row>
    <row r="678" spans="4:19">
      <c r="D678" t="str">
        <f>'Audit Report'!B678</f>
        <v>ITD-X677</v>
      </c>
      <c r="E678" t="str">
        <f>'Audit Report'!C678</f>
        <v/>
      </c>
      <c r="I678" t="str">
        <f>'Audit Report'!D678</f>
        <v/>
      </c>
      <c r="J678" t="str">
        <f>'Audit Report'!H678</f>
        <v/>
      </c>
      <c r="L678" t="str">
        <f>_xlfn.TEXTJOIN(", ", FALSE, 'Audit Report'!K678,'Audit Report'!L678,'Audit Report'!M678)</f>
        <v xml:space="preserve">, , </v>
      </c>
      <c r="M678" t="str">
        <f>'Audit Report'!O678</f>
        <v/>
      </c>
      <c r="R678" t="str">
        <f>'Audit Report'!F678</f>
        <v/>
      </c>
      <c r="S678" t="str">
        <f>'Audit Report'!Q678</f>
        <v/>
      </c>
    </row>
    <row r="679" spans="4:19">
      <c r="D679" t="str">
        <f>'Audit Report'!B679</f>
        <v>ITD-X678</v>
      </c>
      <c r="E679" t="str">
        <f>'Audit Report'!C679</f>
        <v/>
      </c>
      <c r="I679" t="str">
        <f>'Audit Report'!D679</f>
        <v/>
      </c>
      <c r="J679" t="str">
        <f>'Audit Report'!H679</f>
        <v/>
      </c>
      <c r="L679" t="str">
        <f>_xlfn.TEXTJOIN(", ", FALSE, 'Audit Report'!K679,'Audit Report'!L679,'Audit Report'!M679)</f>
        <v xml:space="preserve">, , </v>
      </c>
      <c r="M679" t="str">
        <f>'Audit Report'!O679</f>
        <v/>
      </c>
      <c r="R679" t="str">
        <f>'Audit Report'!F679</f>
        <v/>
      </c>
      <c r="S679" t="str">
        <f>'Audit Report'!Q679</f>
        <v/>
      </c>
    </row>
    <row r="680" spans="4:19">
      <c r="D680" t="str">
        <f>'Audit Report'!B680</f>
        <v>ITD-X679</v>
      </c>
      <c r="E680" t="str">
        <f>'Audit Report'!C680</f>
        <v/>
      </c>
      <c r="I680" t="str">
        <f>'Audit Report'!D680</f>
        <v/>
      </c>
      <c r="J680" t="str">
        <f>'Audit Report'!H680</f>
        <v/>
      </c>
      <c r="L680" t="str">
        <f>_xlfn.TEXTJOIN(", ", FALSE, 'Audit Report'!K680,'Audit Report'!L680,'Audit Report'!M680)</f>
        <v xml:space="preserve">, , </v>
      </c>
      <c r="M680" t="str">
        <f>'Audit Report'!O680</f>
        <v/>
      </c>
      <c r="R680" t="str">
        <f>'Audit Report'!F680</f>
        <v/>
      </c>
      <c r="S680" t="str">
        <f>'Audit Report'!Q680</f>
        <v/>
      </c>
    </row>
    <row r="681" spans="4:19">
      <c r="D681" t="str">
        <f>'Audit Report'!B681</f>
        <v>ITD-X680</v>
      </c>
      <c r="E681" t="str">
        <f>'Audit Report'!C681</f>
        <v/>
      </c>
      <c r="I681" t="str">
        <f>'Audit Report'!D681</f>
        <v/>
      </c>
      <c r="J681" t="str">
        <f>'Audit Report'!H681</f>
        <v/>
      </c>
      <c r="L681" t="str">
        <f>_xlfn.TEXTJOIN(", ", FALSE, 'Audit Report'!K681,'Audit Report'!L681,'Audit Report'!M681)</f>
        <v xml:space="preserve">, , </v>
      </c>
      <c r="M681" t="str">
        <f>'Audit Report'!O681</f>
        <v/>
      </c>
      <c r="R681" t="str">
        <f>'Audit Report'!F681</f>
        <v/>
      </c>
      <c r="S681" t="str">
        <f>'Audit Report'!Q681</f>
        <v/>
      </c>
    </row>
    <row r="682" spans="4:19">
      <c r="D682" t="str">
        <f>'Audit Report'!B682</f>
        <v>ITD-X681</v>
      </c>
      <c r="E682" t="str">
        <f>'Audit Report'!C682</f>
        <v/>
      </c>
      <c r="I682" t="str">
        <f>'Audit Report'!D682</f>
        <v/>
      </c>
      <c r="J682" t="str">
        <f>'Audit Report'!H682</f>
        <v/>
      </c>
      <c r="L682" t="str">
        <f>_xlfn.TEXTJOIN(", ", FALSE, 'Audit Report'!K682,'Audit Report'!L682,'Audit Report'!M682)</f>
        <v xml:space="preserve">, , </v>
      </c>
      <c r="M682" t="str">
        <f>'Audit Report'!O682</f>
        <v/>
      </c>
      <c r="R682" t="str">
        <f>'Audit Report'!F682</f>
        <v/>
      </c>
      <c r="S682" t="str">
        <f>'Audit Report'!Q682</f>
        <v/>
      </c>
    </row>
    <row r="683" spans="4:19">
      <c r="D683" t="str">
        <f>'Audit Report'!B683</f>
        <v>ITD-X682</v>
      </c>
      <c r="E683" t="str">
        <f>'Audit Report'!C683</f>
        <v/>
      </c>
      <c r="I683" t="str">
        <f>'Audit Report'!D683</f>
        <v/>
      </c>
      <c r="J683" t="str">
        <f>'Audit Report'!H683</f>
        <v/>
      </c>
      <c r="L683" t="str">
        <f>_xlfn.TEXTJOIN(", ", FALSE, 'Audit Report'!K683,'Audit Report'!L683,'Audit Report'!M683)</f>
        <v xml:space="preserve">, , </v>
      </c>
      <c r="M683" t="str">
        <f>'Audit Report'!O683</f>
        <v/>
      </c>
      <c r="R683" t="str">
        <f>'Audit Report'!F683</f>
        <v/>
      </c>
      <c r="S683" t="str">
        <f>'Audit Report'!Q683</f>
        <v/>
      </c>
    </row>
    <row r="684" spans="4:19">
      <c r="D684" t="str">
        <f>'Audit Report'!B684</f>
        <v>ITD-X683</v>
      </c>
      <c r="E684" t="str">
        <f>'Audit Report'!C684</f>
        <v/>
      </c>
      <c r="I684" t="str">
        <f>'Audit Report'!D684</f>
        <v/>
      </c>
      <c r="J684" t="str">
        <f>'Audit Report'!H684</f>
        <v/>
      </c>
      <c r="L684" t="str">
        <f>_xlfn.TEXTJOIN(", ", FALSE, 'Audit Report'!K684,'Audit Report'!L684,'Audit Report'!M684)</f>
        <v xml:space="preserve">, , </v>
      </c>
      <c r="M684" t="str">
        <f>'Audit Report'!O684</f>
        <v/>
      </c>
      <c r="R684" t="str">
        <f>'Audit Report'!F684</f>
        <v/>
      </c>
      <c r="S684" t="str">
        <f>'Audit Report'!Q684</f>
        <v/>
      </c>
    </row>
    <row r="685" spans="4:19">
      <c r="D685" t="str">
        <f>'Audit Report'!B685</f>
        <v>ITD-X684</v>
      </c>
      <c r="E685" t="str">
        <f>'Audit Report'!C685</f>
        <v/>
      </c>
      <c r="I685" t="str">
        <f>'Audit Report'!D685</f>
        <v/>
      </c>
      <c r="J685" t="str">
        <f>'Audit Report'!H685</f>
        <v/>
      </c>
      <c r="L685" t="str">
        <f>_xlfn.TEXTJOIN(", ", FALSE, 'Audit Report'!K685,'Audit Report'!L685,'Audit Report'!M685)</f>
        <v xml:space="preserve">, , </v>
      </c>
      <c r="M685" t="str">
        <f>'Audit Report'!O685</f>
        <v/>
      </c>
      <c r="R685" t="str">
        <f>'Audit Report'!F685</f>
        <v/>
      </c>
      <c r="S685" t="str">
        <f>'Audit Report'!Q685</f>
        <v/>
      </c>
    </row>
    <row r="686" spans="4:19">
      <c r="D686" t="str">
        <f>'Audit Report'!B686</f>
        <v>ITD-X685</v>
      </c>
      <c r="E686" t="str">
        <f>'Audit Report'!C686</f>
        <v/>
      </c>
      <c r="I686" t="str">
        <f>'Audit Report'!D686</f>
        <v/>
      </c>
      <c r="J686" t="str">
        <f>'Audit Report'!H686</f>
        <v/>
      </c>
      <c r="L686" t="str">
        <f>_xlfn.TEXTJOIN(", ", FALSE, 'Audit Report'!K686,'Audit Report'!L686,'Audit Report'!M686)</f>
        <v xml:space="preserve">, , </v>
      </c>
      <c r="M686" t="str">
        <f>'Audit Report'!O686</f>
        <v/>
      </c>
      <c r="R686" t="str">
        <f>'Audit Report'!F686</f>
        <v/>
      </c>
      <c r="S686" t="str">
        <f>'Audit Report'!Q686</f>
        <v/>
      </c>
    </row>
    <row r="687" spans="4:19">
      <c r="D687" t="str">
        <f>'Audit Report'!B687</f>
        <v>ITD-X686</v>
      </c>
      <c r="E687" t="str">
        <f>'Audit Report'!C687</f>
        <v/>
      </c>
      <c r="I687" t="str">
        <f>'Audit Report'!D687</f>
        <v/>
      </c>
      <c r="J687" t="str">
        <f>'Audit Report'!H687</f>
        <v/>
      </c>
      <c r="L687" t="str">
        <f>_xlfn.TEXTJOIN(", ", FALSE, 'Audit Report'!K687,'Audit Report'!L687,'Audit Report'!M687)</f>
        <v xml:space="preserve">, , </v>
      </c>
      <c r="M687" t="str">
        <f>'Audit Report'!O687</f>
        <v/>
      </c>
      <c r="R687" t="str">
        <f>'Audit Report'!F687</f>
        <v/>
      </c>
      <c r="S687" t="str">
        <f>'Audit Report'!Q687</f>
        <v/>
      </c>
    </row>
    <row r="688" spans="4:19">
      <c r="D688" t="str">
        <f>'Audit Report'!B688</f>
        <v>ITD-X687</v>
      </c>
      <c r="E688" t="str">
        <f>'Audit Report'!C688</f>
        <v/>
      </c>
      <c r="I688" t="str">
        <f>'Audit Report'!D688</f>
        <v/>
      </c>
      <c r="J688" t="str">
        <f>'Audit Report'!H688</f>
        <v/>
      </c>
      <c r="L688" t="str">
        <f>_xlfn.TEXTJOIN(", ", FALSE, 'Audit Report'!K688,'Audit Report'!L688,'Audit Report'!M688)</f>
        <v xml:space="preserve">, , </v>
      </c>
      <c r="M688" t="str">
        <f>'Audit Report'!O688</f>
        <v/>
      </c>
      <c r="R688" t="str">
        <f>'Audit Report'!F688</f>
        <v/>
      </c>
      <c r="S688" t="str">
        <f>'Audit Report'!Q688</f>
        <v/>
      </c>
    </row>
    <row r="689" spans="4:19">
      <c r="D689" t="str">
        <f>'Audit Report'!B689</f>
        <v>ITD-X688</v>
      </c>
      <c r="E689" t="str">
        <f>'Audit Report'!C689</f>
        <v/>
      </c>
      <c r="I689" t="str">
        <f>'Audit Report'!D689</f>
        <v/>
      </c>
      <c r="J689" t="str">
        <f>'Audit Report'!H689</f>
        <v/>
      </c>
      <c r="L689" t="str">
        <f>_xlfn.TEXTJOIN(", ", FALSE, 'Audit Report'!K689,'Audit Report'!L689,'Audit Report'!M689)</f>
        <v xml:space="preserve">, , </v>
      </c>
      <c r="M689" t="str">
        <f>'Audit Report'!O689</f>
        <v/>
      </c>
      <c r="R689" t="str">
        <f>'Audit Report'!F689</f>
        <v/>
      </c>
      <c r="S689" t="str">
        <f>'Audit Report'!Q689</f>
        <v/>
      </c>
    </row>
    <row r="690" spans="4:19">
      <c r="D690" t="str">
        <f>'Audit Report'!B690</f>
        <v>ITD-X689</v>
      </c>
      <c r="E690" t="str">
        <f>'Audit Report'!C690</f>
        <v/>
      </c>
      <c r="I690" t="str">
        <f>'Audit Report'!D690</f>
        <v/>
      </c>
      <c r="J690" t="str">
        <f>'Audit Report'!H690</f>
        <v/>
      </c>
      <c r="L690" t="str">
        <f>_xlfn.TEXTJOIN(", ", FALSE, 'Audit Report'!K690,'Audit Report'!L690,'Audit Report'!M690)</f>
        <v xml:space="preserve">, , </v>
      </c>
      <c r="M690" t="str">
        <f>'Audit Report'!O690</f>
        <v/>
      </c>
      <c r="R690" t="str">
        <f>'Audit Report'!F690</f>
        <v/>
      </c>
      <c r="S690" t="str">
        <f>'Audit Report'!Q690</f>
        <v/>
      </c>
    </row>
    <row r="691" spans="4:19">
      <c r="D691" t="str">
        <f>'Audit Report'!B691</f>
        <v>ITD-X690</v>
      </c>
      <c r="E691" t="str">
        <f>'Audit Report'!C691</f>
        <v/>
      </c>
      <c r="I691" t="str">
        <f>'Audit Report'!D691</f>
        <v/>
      </c>
      <c r="J691" t="str">
        <f>'Audit Report'!H691</f>
        <v/>
      </c>
      <c r="L691" t="str">
        <f>_xlfn.TEXTJOIN(", ", FALSE, 'Audit Report'!K691,'Audit Report'!L691,'Audit Report'!M691)</f>
        <v xml:space="preserve">, , </v>
      </c>
      <c r="M691" t="str">
        <f>'Audit Report'!O691</f>
        <v/>
      </c>
      <c r="R691" t="str">
        <f>'Audit Report'!F691</f>
        <v/>
      </c>
      <c r="S691" t="str">
        <f>'Audit Report'!Q691</f>
        <v/>
      </c>
    </row>
    <row r="692" spans="4:19">
      <c r="D692" t="str">
        <f>'Audit Report'!B692</f>
        <v>ITD-X691</v>
      </c>
      <c r="E692" t="str">
        <f>'Audit Report'!C692</f>
        <v/>
      </c>
      <c r="I692" t="str">
        <f>'Audit Report'!D692</f>
        <v/>
      </c>
      <c r="J692" t="str">
        <f>'Audit Report'!H692</f>
        <v/>
      </c>
      <c r="L692" t="str">
        <f>_xlfn.TEXTJOIN(", ", FALSE, 'Audit Report'!K692,'Audit Report'!L692,'Audit Report'!M692)</f>
        <v xml:space="preserve">, , </v>
      </c>
      <c r="M692" t="str">
        <f>'Audit Report'!O692</f>
        <v/>
      </c>
      <c r="R692" t="str">
        <f>'Audit Report'!F692</f>
        <v/>
      </c>
      <c r="S692" t="str">
        <f>'Audit Report'!Q692</f>
        <v/>
      </c>
    </row>
    <row r="693" spans="4:19">
      <c r="D693" t="str">
        <f>'Audit Report'!B693</f>
        <v>ITD-X692</v>
      </c>
      <c r="E693" t="str">
        <f>'Audit Report'!C693</f>
        <v/>
      </c>
      <c r="I693" t="str">
        <f>'Audit Report'!D693</f>
        <v/>
      </c>
      <c r="J693" t="str">
        <f>'Audit Report'!H693</f>
        <v/>
      </c>
      <c r="L693" t="str">
        <f>_xlfn.TEXTJOIN(", ", FALSE, 'Audit Report'!K693,'Audit Report'!L693,'Audit Report'!M693)</f>
        <v xml:space="preserve">, , </v>
      </c>
      <c r="M693" t="str">
        <f>'Audit Report'!O693</f>
        <v/>
      </c>
      <c r="R693" t="str">
        <f>'Audit Report'!F693</f>
        <v/>
      </c>
      <c r="S693" t="str">
        <f>'Audit Report'!Q693</f>
        <v/>
      </c>
    </row>
    <row r="694" spans="4:19">
      <c r="D694" t="str">
        <f>'Audit Report'!B694</f>
        <v>ITD-X693</v>
      </c>
      <c r="E694" t="str">
        <f>'Audit Report'!C694</f>
        <v/>
      </c>
      <c r="I694" t="str">
        <f>'Audit Report'!D694</f>
        <v/>
      </c>
      <c r="J694" t="str">
        <f>'Audit Report'!H694</f>
        <v/>
      </c>
      <c r="L694" t="str">
        <f>_xlfn.TEXTJOIN(", ", FALSE, 'Audit Report'!K694,'Audit Report'!L694,'Audit Report'!M694)</f>
        <v xml:space="preserve">, , </v>
      </c>
      <c r="M694" t="str">
        <f>'Audit Report'!O694</f>
        <v/>
      </c>
      <c r="R694" t="str">
        <f>'Audit Report'!F694</f>
        <v/>
      </c>
      <c r="S694" t="str">
        <f>'Audit Report'!Q694</f>
        <v/>
      </c>
    </row>
    <row r="695" spans="4:19">
      <c r="D695" t="str">
        <f>'Audit Report'!B695</f>
        <v>ITD-X694</v>
      </c>
      <c r="E695" t="str">
        <f>'Audit Report'!C695</f>
        <v/>
      </c>
      <c r="I695" t="str">
        <f>'Audit Report'!D695</f>
        <v/>
      </c>
      <c r="J695" t="str">
        <f>'Audit Report'!H695</f>
        <v/>
      </c>
      <c r="L695" t="str">
        <f>_xlfn.TEXTJOIN(", ", FALSE, 'Audit Report'!K695,'Audit Report'!L695,'Audit Report'!M695)</f>
        <v xml:space="preserve">, , </v>
      </c>
      <c r="M695" t="str">
        <f>'Audit Report'!O695</f>
        <v/>
      </c>
      <c r="R695" t="str">
        <f>'Audit Report'!F695</f>
        <v/>
      </c>
      <c r="S695" t="str">
        <f>'Audit Report'!Q695</f>
        <v/>
      </c>
    </row>
    <row r="696" spans="4:19">
      <c r="D696" t="str">
        <f>'Audit Report'!B696</f>
        <v>ITD-X695</v>
      </c>
      <c r="E696" t="str">
        <f>'Audit Report'!C696</f>
        <v/>
      </c>
      <c r="I696" t="str">
        <f>'Audit Report'!D696</f>
        <v/>
      </c>
      <c r="J696" t="str">
        <f>'Audit Report'!H696</f>
        <v/>
      </c>
      <c r="L696" t="str">
        <f>_xlfn.TEXTJOIN(", ", FALSE, 'Audit Report'!K696,'Audit Report'!L696,'Audit Report'!M696)</f>
        <v xml:space="preserve">, , </v>
      </c>
      <c r="M696" t="str">
        <f>'Audit Report'!O696</f>
        <v/>
      </c>
      <c r="R696" t="str">
        <f>'Audit Report'!F696</f>
        <v/>
      </c>
      <c r="S696" t="str">
        <f>'Audit Report'!Q696</f>
        <v/>
      </c>
    </row>
    <row r="697" spans="4:19">
      <c r="D697" t="str">
        <f>'Audit Report'!B697</f>
        <v>ITD-X696</v>
      </c>
      <c r="E697" t="str">
        <f>'Audit Report'!C697</f>
        <v/>
      </c>
      <c r="I697" t="str">
        <f>'Audit Report'!D697</f>
        <v/>
      </c>
      <c r="J697" t="str">
        <f>'Audit Report'!H697</f>
        <v/>
      </c>
      <c r="L697" t="str">
        <f>_xlfn.TEXTJOIN(", ", FALSE, 'Audit Report'!K697,'Audit Report'!L697,'Audit Report'!M697)</f>
        <v xml:space="preserve">, , </v>
      </c>
      <c r="M697" t="str">
        <f>'Audit Report'!O697</f>
        <v/>
      </c>
      <c r="R697" t="str">
        <f>'Audit Report'!F697</f>
        <v/>
      </c>
      <c r="S697" t="str">
        <f>'Audit Report'!Q697</f>
        <v/>
      </c>
    </row>
    <row r="698" spans="4:19">
      <c r="D698" t="str">
        <f>'Audit Report'!B698</f>
        <v>ITD-X697</v>
      </c>
      <c r="E698" t="str">
        <f>'Audit Report'!C698</f>
        <v/>
      </c>
      <c r="I698" t="str">
        <f>'Audit Report'!D698</f>
        <v/>
      </c>
      <c r="J698" t="str">
        <f>'Audit Report'!H698</f>
        <v/>
      </c>
      <c r="L698" t="str">
        <f>_xlfn.TEXTJOIN(", ", FALSE, 'Audit Report'!K698,'Audit Report'!L698,'Audit Report'!M698)</f>
        <v xml:space="preserve">, , </v>
      </c>
      <c r="M698" t="str">
        <f>'Audit Report'!O698</f>
        <v/>
      </c>
      <c r="R698" t="str">
        <f>'Audit Report'!F698</f>
        <v/>
      </c>
      <c r="S698" t="str">
        <f>'Audit Report'!Q698</f>
        <v/>
      </c>
    </row>
    <row r="699" spans="4:19">
      <c r="D699" t="str">
        <f>'Audit Report'!B699</f>
        <v>ITD-X698</v>
      </c>
      <c r="E699" t="str">
        <f>'Audit Report'!C699</f>
        <v/>
      </c>
      <c r="I699" t="str">
        <f>'Audit Report'!D699</f>
        <v/>
      </c>
      <c r="J699" t="str">
        <f>'Audit Report'!H699</f>
        <v/>
      </c>
      <c r="L699" t="str">
        <f>_xlfn.TEXTJOIN(", ", FALSE, 'Audit Report'!K699,'Audit Report'!L699,'Audit Report'!M699)</f>
        <v xml:space="preserve">, , </v>
      </c>
      <c r="M699" t="str">
        <f>'Audit Report'!O699</f>
        <v/>
      </c>
      <c r="R699" t="str">
        <f>'Audit Report'!F699</f>
        <v/>
      </c>
      <c r="S699" t="str">
        <f>'Audit Report'!Q699</f>
        <v/>
      </c>
    </row>
    <row r="700" spans="4:19">
      <c r="D700" t="str">
        <f>'Audit Report'!B700</f>
        <v>ITD-X699</v>
      </c>
      <c r="E700" t="str">
        <f>'Audit Report'!C700</f>
        <v/>
      </c>
      <c r="I700" t="str">
        <f>'Audit Report'!D700</f>
        <v/>
      </c>
      <c r="J700" t="str">
        <f>'Audit Report'!H700</f>
        <v/>
      </c>
      <c r="L700" t="str">
        <f>_xlfn.TEXTJOIN(", ", FALSE, 'Audit Report'!K700,'Audit Report'!L700,'Audit Report'!M700)</f>
        <v xml:space="preserve">, , </v>
      </c>
      <c r="M700" t="str">
        <f>'Audit Report'!O700</f>
        <v/>
      </c>
      <c r="R700" t="str">
        <f>'Audit Report'!F700</f>
        <v/>
      </c>
      <c r="S700" t="str">
        <f>'Audit Report'!Q700</f>
        <v/>
      </c>
    </row>
    <row r="701" spans="4:19">
      <c r="D701" t="str">
        <f>'Audit Report'!B701</f>
        <v>ITD-X700</v>
      </c>
      <c r="E701" t="str">
        <f>'Audit Report'!C701</f>
        <v/>
      </c>
      <c r="I701" t="str">
        <f>'Audit Report'!D701</f>
        <v/>
      </c>
      <c r="J701" t="str">
        <f>'Audit Report'!H701</f>
        <v/>
      </c>
      <c r="L701" t="str">
        <f>_xlfn.TEXTJOIN(", ", FALSE, 'Audit Report'!K701,'Audit Report'!L701,'Audit Report'!M701)</f>
        <v xml:space="preserve">, , </v>
      </c>
      <c r="M701" t="str">
        <f>'Audit Report'!O701</f>
        <v/>
      </c>
      <c r="R701" t="str">
        <f>'Audit Report'!F701</f>
        <v/>
      </c>
      <c r="S701" t="str">
        <f>'Audit Report'!Q701</f>
        <v/>
      </c>
    </row>
    <row r="702" spans="4:19">
      <c r="D702" t="str">
        <f>'Audit Report'!B702</f>
        <v>ITD-X701</v>
      </c>
      <c r="E702" t="str">
        <f>'Audit Report'!C702</f>
        <v/>
      </c>
      <c r="I702" t="str">
        <f>'Audit Report'!D702</f>
        <v/>
      </c>
      <c r="J702" t="str">
        <f>'Audit Report'!H702</f>
        <v/>
      </c>
      <c r="L702" t="str">
        <f>_xlfn.TEXTJOIN(", ", FALSE, 'Audit Report'!K702,'Audit Report'!L702,'Audit Report'!M702)</f>
        <v xml:space="preserve">, , </v>
      </c>
      <c r="M702" t="str">
        <f>'Audit Report'!O702</f>
        <v/>
      </c>
      <c r="R702" t="str">
        <f>'Audit Report'!F702</f>
        <v/>
      </c>
      <c r="S702" t="str">
        <f>'Audit Report'!Q702</f>
        <v/>
      </c>
    </row>
    <row r="703" spans="4:19">
      <c r="D703" t="str">
        <f>'Audit Report'!B703</f>
        <v>ITD-X702</v>
      </c>
      <c r="E703" t="str">
        <f>'Audit Report'!C703</f>
        <v/>
      </c>
      <c r="I703" t="str">
        <f>'Audit Report'!D703</f>
        <v/>
      </c>
      <c r="J703" t="str">
        <f>'Audit Report'!H703</f>
        <v/>
      </c>
      <c r="L703" t="str">
        <f>_xlfn.TEXTJOIN(", ", FALSE, 'Audit Report'!K703,'Audit Report'!L703,'Audit Report'!M703)</f>
        <v xml:space="preserve">, , </v>
      </c>
      <c r="M703" t="str">
        <f>'Audit Report'!O703</f>
        <v/>
      </c>
      <c r="R703" t="str">
        <f>'Audit Report'!F703</f>
        <v/>
      </c>
      <c r="S703" t="str">
        <f>'Audit Report'!Q703</f>
        <v/>
      </c>
    </row>
    <row r="704" spans="4:19">
      <c r="D704" t="str">
        <f>'Audit Report'!B704</f>
        <v>ITD-X703</v>
      </c>
      <c r="E704" t="str">
        <f>'Audit Report'!C704</f>
        <v/>
      </c>
      <c r="I704" t="str">
        <f>'Audit Report'!D704</f>
        <v/>
      </c>
      <c r="J704" t="str">
        <f>'Audit Report'!H704</f>
        <v/>
      </c>
      <c r="L704" t="str">
        <f>_xlfn.TEXTJOIN(", ", FALSE, 'Audit Report'!K704,'Audit Report'!L704,'Audit Report'!M704)</f>
        <v xml:space="preserve">, , </v>
      </c>
      <c r="M704" t="str">
        <f>'Audit Report'!O704</f>
        <v/>
      </c>
      <c r="R704" t="str">
        <f>'Audit Report'!F704</f>
        <v/>
      </c>
      <c r="S704" t="str">
        <f>'Audit Report'!Q704</f>
        <v/>
      </c>
    </row>
    <row r="705" spans="4:19">
      <c r="D705" t="str">
        <f>'Audit Report'!B705</f>
        <v>ITD-X704</v>
      </c>
      <c r="E705" t="str">
        <f>'Audit Report'!C705</f>
        <v/>
      </c>
      <c r="I705" t="str">
        <f>'Audit Report'!D705</f>
        <v/>
      </c>
      <c r="J705" t="str">
        <f>'Audit Report'!H705</f>
        <v/>
      </c>
      <c r="L705" t="str">
        <f>_xlfn.TEXTJOIN(", ", FALSE, 'Audit Report'!K705,'Audit Report'!L705,'Audit Report'!M705)</f>
        <v xml:space="preserve">, , </v>
      </c>
      <c r="M705" t="str">
        <f>'Audit Report'!O705</f>
        <v/>
      </c>
      <c r="R705" t="str">
        <f>'Audit Report'!F705</f>
        <v/>
      </c>
      <c r="S705" t="str">
        <f>'Audit Report'!Q705</f>
        <v/>
      </c>
    </row>
    <row r="706" spans="4:19">
      <c r="D706" t="str">
        <f>'Audit Report'!B706</f>
        <v>ITD-X705</v>
      </c>
      <c r="E706" t="str">
        <f>'Audit Report'!C706</f>
        <v/>
      </c>
      <c r="I706" t="str">
        <f>'Audit Report'!D706</f>
        <v/>
      </c>
      <c r="J706" t="str">
        <f>'Audit Report'!H706</f>
        <v/>
      </c>
      <c r="L706" t="str">
        <f>_xlfn.TEXTJOIN(", ", FALSE, 'Audit Report'!K706,'Audit Report'!L706,'Audit Report'!M706)</f>
        <v xml:space="preserve">, , </v>
      </c>
      <c r="M706" t="str">
        <f>'Audit Report'!O706</f>
        <v/>
      </c>
      <c r="R706" t="str">
        <f>'Audit Report'!F706</f>
        <v/>
      </c>
      <c r="S706" t="str">
        <f>'Audit Report'!Q706</f>
        <v/>
      </c>
    </row>
    <row r="707" spans="4:19">
      <c r="D707" t="str">
        <f>'Audit Report'!B707</f>
        <v>ITD-X706</v>
      </c>
      <c r="E707" t="str">
        <f>'Audit Report'!C707</f>
        <v/>
      </c>
      <c r="I707" t="str">
        <f>'Audit Report'!D707</f>
        <v/>
      </c>
      <c r="J707" t="str">
        <f>'Audit Report'!H707</f>
        <v/>
      </c>
      <c r="L707" t="str">
        <f>_xlfn.TEXTJOIN(", ", FALSE, 'Audit Report'!K707,'Audit Report'!L707,'Audit Report'!M707)</f>
        <v xml:space="preserve">, , </v>
      </c>
      <c r="M707" t="str">
        <f>'Audit Report'!O707</f>
        <v/>
      </c>
      <c r="R707" t="str">
        <f>'Audit Report'!F707</f>
        <v/>
      </c>
      <c r="S707" t="str">
        <f>'Audit Report'!Q707</f>
        <v/>
      </c>
    </row>
    <row r="708" spans="4:19">
      <c r="D708" t="str">
        <f>'Audit Report'!B708</f>
        <v>ITD-X707</v>
      </c>
      <c r="E708" t="str">
        <f>'Audit Report'!C708</f>
        <v/>
      </c>
      <c r="I708" t="str">
        <f>'Audit Report'!D708</f>
        <v/>
      </c>
      <c r="J708" t="str">
        <f>'Audit Report'!H708</f>
        <v/>
      </c>
      <c r="L708" t="str">
        <f>_xlfn.TEXTJOIN(", ", FALSE, 'Audit Report'!K708,'Audit Report'!L708,'Audit Report'!M708)</f>
        <v xml:space="preserve">, , </v>
      </c>
      <c r="M708" t="str">
        <f>'Audit Report'!O708</f>
        <v/>
      </c>
      <c r="R708" t="str">
        <f>'Audit Report'!F708</f>
        <v/>
      </c>
      <c r="S708" t="str">
        <f>'Audit Report'!Q708</f>
        <v/>
      </c>
    </row>
    <row r="709" spans="4:19">
      <c r="D709" t="str">
        <f>'Audit Report'!B709</f>
        <v>ITD-X708</v>
      </c>
      <c r="E709" t="str">
        <f>'Audit Report'!C709</f>
        <v/>
      </c>
      <c r="I709" t="str">
        <f>'Audit Report'!D709</f>
        <v/>
      </c>
      <c r="J709" t="str">
        <f>'Audit Report'!H709</f>
        <v/>
      </c>
      <c r="L709" t="str">
        <f>_xlfn.TEXTJOIN(", ", FALSE, 'Audit Report'!K709,'Audit Report'!L709,'Audit Report'!M709)</f>
        <v xml:space="preserve">, , </v>
      </c>
      <c r="M709" t="str">
        <f>'Audit Report'!O709</f>
        <v/>
      </c>
      <c r="R709" t="str">
        <f>'Audit Report'!F709</f>
        <v/>
      </c>
      <c r="S709" t="str">
        <f>'Audit Report'!Q709</f>
        <v/>
      </c>
    </row>
    <row r="710" spans="4:19">
      <c r="D710" t="str">
        <f>'Audit Report'!B710</f>
        <v>ITD-X709</v>
      </c>
      <c r="E710" t="str">
        <f>'Audit Report'!C710</f>
        <v/>
      </c>
      <c r="I710" t="str">
        <f>'Audit Report'!D710</f>
        <v/>
      </c>
      <c r="J710" t="str">
        <f>'Audit Report'!H710</f>
        <v/>
      </c>
      <c r="L710" t="str">
        <f>_xlfn.TEXTJOIN(", ", FALSE, 'Audit Report'!K710,'Audit Report'!L710,'Audit Report'!M710)</f>
        <v xml:space="preserve">, , </v>
      </c>
      <c r="M710" t="str">
        <f>'Audit Report'!O710</f>
        <v/>
      </c>
      <c r="R710" t="str">
        <f>'Audit Report'!F710</f>
        <v/>
      </c>
      <c r="S710" t="str">
        <f>'Audit Report'!Q710</f>
        <v/>
      </c>
    </row>
    <row r="711" spans="4:19">
      <c r="D711" t="str">
        <f>'Audit Report'!B711</f>
        <v>ITD-X710</v>
      </c>
      <c r="E711" t="str">
        <f>'Audit Report'!C711</f>
        <v/>
      </c>
      <c r="I711" t="str">
        <f>'Audit Report'!D711</f>
        <v/>
      </c>
      <c r="J711" t="str">
        <f>'Audit Report'!H711</f>
        <v/>
      </c>
      <c r="L711" t="str">
        <f>_xlfn.TEXTJOIN(", ", FALSE, 'Audit Report'!K711,'Audit Report'!L711,'Audit Report'!M711)</f>
        <v xml:space="preserve">, , </v>
      </c>
      <c r="M711" t="str">
        <f>'Audit Report'!O711</f>
        <v/>
      </c>
      <c r="R711" t="str">
        <f>'Audit Report'!F711</f>
        <v/>
      </c>
      <c r="S711" t="str">
        <f>'Audit Report'!Q711</f>
        <v/>
      </c>
    </row>
    <row r="712" spans="4:19">
      <c r="D712" t="str">
        <f>'Audit Report'!B712</f>
        <v>ITD-X711</v>
      </c>
      <c r="E712" t="str">
        <f>'Audit Report'!C712</f>
        <v/>
      </c>
      <c r="I712" t="str">
        <f>'Audit Report'!D712</f>
        <v/>
      </c>
      <c r="J712" t="str">
        <f>'Audit Report'!H712</f>
        <v/>
      </c>
      <c r="L712" t="str">
        <f>_xlfn.TEXTJOIN(", ", FALSE, 'Audit Report'!K712,'Audit Report'!L712,'Audit Report'!M712)</f>
        <v xml:space="preserve">, , </v>
      </c>
      <c r="M712" t="str">
        <f>'Audit Report'!O712</f>
        <v/>
      </c>
      <c r="R712" t="str">
        <f>'Audit Report'!F712</f>
        <v/>
      </c>
      <c r="S712" t="str">
        <f>'Audit Report'!Q712</f>
        <v/>
      </c>
    </row>
    <row r="713" spans="4:19">
      <c r="D713" t="str">
        <f>'Audit Report'!B713</f>
        <v>ITD-X712</v>
      </c>
      <c r="E713" t="str">
        <f>'Audit Report'!C713</f>
        <v/>
      </c>
      <c r="I713" t="str">
        <f>'Audit Report'!D713</f>
        <v/>
      </c>
      <c r="J713" t="str">
        <f>'Audit Report'!H713</f>
        <v/>
      </c>
      <c r="L713" t="str">
        <f>_xlfn.TEXTJOIN(", ", FALSE, 'Audit Report'!K713,'Audit Report'!L713,'Audit Report'!M713)</f>
        <v xml:space="preserve">, , </v>
      </c>
      <c r="M713" t="str">
        <f>'Audit Report'!O713</f>
        <v/>
      </c>
      <c r="R713" t="str">
        <f>'Audit Report'!F713</f>
        <v/>
      </c>
      <c r="S713" t="str">
        <f>'Audit Report'!Q713</f>
        <v/>
      </c>
    </row>
    <row r="714" spans="4:19">
      <c r="D714" t="str">
        <f>'Audit Report'!B714</f>
        <v>ITD-X713</v>
      </c>
      <c r="E714" t="str">
        <f>'Audit Report'!C714</f>
        <v/>
      </c>
      <c r="I714" t="str">
        <f>'Audit Report'!D714</f>
        <v/>
      </c>
      <c r="J714" t="str">
        <f>'Audit Report'!H714</f>
        <v/>
      </c>
      <c r="L714" t="str">
        <f>_xlfn.TEXTJOIN(", ", FALSE, 'Audit Report'!K714,'Audit Report'!L714,'Audit Report'!M714)</f>
        <v xml:space="preserve">, , </v>
      </c>
      <c r="M714" t="str">
        <f>'Audit Report'!O714</f>
        <v/>
      </c>
      <c r="R714" t="str">
        <f>'Audit Report'!F714</f>
        <v/>
      </c>
      <c r="S714" t="str">
        <f>'Audit Report'!Q714</f>
        <v/>
      </c>
    </row>
    <row r="715" spans="4:19">
      <c r="D715" t="str">
        <f>'Audit Report'!B715</f>
        <v>ITD-X714</v>
      </c>
      <c r="E715" t="str">
        <f>'Audit Report'!C715</f>
        <v/>
      </c>
      <c r="I715" t="str">
        <f>'Audit Report'!D715</f>
        <v/>
      </c>
      <c r="J715" t="str">
        <f>'Audit Report'!H715</f>
        <v/>
      </c>
      <c r="L715" t="str">
        <f>_xlfn.TEXTJOIN(", ", FALSE, 'Audit Report'!K715,'Audit Report'!L715,'Audit Report'!M715)</f>
        <v xml:space="preserve">, , </v>
      </c>
      <c r="M715" t="str">
        <f>'Audit Report'!O715</f>
        <v/>
      </c>
      <c r="R715" t="str">
        <f>'Audit Report'!F715</f>
        <v/>
      </c>
      <c r="S715" t="str">
        <f>'Audit Report'!Q715</f>
        <v/>
      </c>
    </row>
    <row r="716" spans="4:19">
      <c r="D716" t="str">
        <f>'Audit Report'!B716</f>
        <v>ITD-X715</v>
      </c>
      <c r="E716" t="str">
        <f>'Audit Report'!C716</f>
        <v/>
      </c>
      <c r="I716" t="str">
        <f>'Audit Report'!D716</f>
        <v/>
      </c>
      <c r="J716" t="str">
        <f>'Audit Report'!H716</f>
        <v/>
      </c>
      <c r="L716" t="str">
        <f>_xlfn.TEXTJOIN(", ", FALSE, 'Audit Report'!K716,'Audit Report'!L716,'Audit Report'!M716)</f>
        <v xml:space="preserve">, , </v>
      </c>
      <c r="M716" t="str">
        <f>'Audit Report'!O716</f>
        <v/>
      </c>
      <c r="R716" t="str">
        <f>'Audit Report'!F716</f>
        <v/>
      </c>
      <c r="S716" t="str">
        <f>'Audit Report'!Q716</f>
        <v/>
      </c>
    </row>
    <row r="717" spans="4:19">
      <c r="D717" t="str">
        <f>'Audit Report'!B717</f>
        <v>ITD-X716</v>
      </c>
      <c r="E717" t="str">
        <f>'Audit Report'!C717</f>
        <v/>
      </c>
      <c r="I717" t="str">
        <f>'Audit Report'!D717</f>
        <v/>
      </c>
      <c r="J717" t="str">
        <f>'Audit Report'!H717</f>
        <v/>
      </c>
      <c r="L717" t="str">
        <f>_xlfn.TEXTJOIN(", ", FALSE, 'Audit Report'!K717,'Audit Report'!L717,'Audit Report'!M717)</f>
        <v xml:space="preserve">, , </v>
      </c>
      <c r="M717" t="str">
        <f>'Audit Report'!O717</f>
        <v/>
      </c>
      <c r="R717" t="str">
        <f>'Audit Report'!F717</f>
        <v/>
      </c>
      <c r="S717" t="str">
        <f>'Audit Report'!Q717</f>
        <v/>
      </c>
    </row>
    <row r="718" spans="4:19">
      <c r="D718" t="str">
        <f>'Audit Report'!B718</f>
        <v>ITD-X717</v>
      </c>
      <c r="E718" t="str">
        <f>'Audit Report'!C718</f>
        <v/>
      </c>
      <c r="I718" t="str">
        <f>'Audit Report'!D718</f>
        <v/>
      </c>
      <c r="J718" t="str">
        <f>'Audit Report'!H718</f>
        <v/>
      </c>
      <c r="L718" t="str">
        <f>_xlfn.TEXTJOIN(", ", FALSE, 'Audit Report'!K718,'Audit Report'!L718,'Audit Report'!M718)</f>
        <v xml:space="preserve">, , </v>
      </c>
      <c r="M718" t="str">
        <f>'Audit Report'!O718</f>
        <v/>
      </c>
      <c r="R718" t="str">
        <f>'Audit Report'!F718</f>
        <v/>
      </c>
      <c r="S718" t="str">
        <f>'Audit Report'!Q718</f>
        <v/>
      </c>
    </row>
    <row r="719" spans="4:19">
      <c r="D719" t="str">
        <f>'Audit Report'!B719</f>
        <v>ITD-X718</v>
      </c>
      <c r="E719" t="str">
        <f>'Audit Report'!C719</f>
        <v/>
      </c>
      <c r="I719" t="str">
        <f>'Audit Report'!D719</f>
        <v/>
      </c>
      <c r="J719" t="str">
        <f>'Audit Report'!H719</f>
        <v/>
      </c>
      <c r="L719" t="str">
        <f>_xlfn.TEXTJOIN(", ", FALSE, 'Audit Report'!K719,'Audit Report'!L719,'Audit Report'!M719)</f>
        <v xml:space="preserve">, , </v>
      </c>
      <c r="M719" t="str">
        <f>'Audit Report'!O719</f>
        <v/>
      </c>
      <c r="R719" t="str">
        <f>'Audit Report'!F719</f>
        <v/>
      </c>
      <c r="S719" t="str">
        <f>'Audit Report'!Q719</f>
        <v/>
      </c>
    </row>
    <row r="720" spans="4:19">
      <c r="D720" t="str">
        <f>'Audit Report'!B720</f>
        <v>ITD-X719</v>
      </c>
      <c r="E720" t="str">
        <f>'Audit Report'!C720</f>
        <v/>
      </c>
      <c r="I720" t="str">
        <f>'Audit Report'!D720</f>
        <v/>
      </c>
      <c r="J720" t="str">
        <f>'Audit Report'!H720</f>
        <v/>
      </c>
      <c r="L720" t="str">
        <f>_xlfn.TEXTJOIN(", ", FALSE, 'Audit Report'!K720,'Audit Report'!L720,'Audit Report'!M720)</f>
        <v xml:space="preserve">, , </v>
      </c>
      <c r="M720" t="str">
        <f>'Audit Report'!O720</f>
        <v/>
      </c>
      <c r="R720" t="str">
        <f>'Audit Report'!F720</f>
        <v/>
      </c>
      <c r="S720" t="str">
        <f>'Audit Report'!Q720</f>
        <v/>
      </c>
    </row>
    <row r="721" spans="4:19">
      <c r="D721" t="str">
        <f>'Audit Report'!B721</f>
        <v>ITD-X720</v>
      </c>
      <c r="E721" t="str">
        <f>'Audit Report'!C721</f>
        <v/>
      </c>
      <c r="I721" t="str">
        <f>'Audit Report'!D721</f>
        <v/>
      </c>
      <c r="J721" t="str">
        <f>'Audit Report'!H721</f>
        <v/>
      </c>
      <c r="L721" t="str">
        <f>_xlfn.TEXTJOIN(", ", FALSE, 'Audit Report'!K721,'Audit Report'!L721,'Audit Report'!M721)</f>
        <v xml:space="preserve">, , </v>
      </c>
      <c r="M721" t="str">
        <f>'Audit Report'!O721</f>
        <v/>
      </c>
      <c r="R721" t="str">
        <f>'Audit Report'!F721</f>
        <v/>
      </c>
      <c r="S721" t="str">
        <f>'Audit Report'!Q721</f>
        <v/>
      </c>
    </row>
    <row r="722" spans="4:19">
      <c r="D722" t="str">
        <f>'Audit Report'!B722</f>
        <v>ITD-X721</v>
      </c>
      <c r="E722" t="str">
        <f>'Audit Report'!C722</f>
        <v/>
      </c>
      <c r="I722" t="str">
        <f>'Audit Report'!D722</f>
        <v/>
      </c>
      <c r="J722" t="str">
        <f>'Audit Report'!H722</f>
        <v/>
      </c>
      <c r="L722" t="str">
        <f>_xlfn.TEXTJOIN(", ", FALSE, 'Audit Report'!K722,'Audit Report'!L722,'Audit Report'!M722)</f>
        <v xml:space="preserve">, , </v>
      </c>
      <c r="M722" t="str">
        <f>'Audit Report'!O722</f>
        <v/>
      </c>
      <c r="R722" t="str">
        <f>'Audit Report'!F722</f>
        <v/>
      </c>
      <c r="S722" t="str">
        <f>'Audit Report'!Q722</f>
        <v/>
      </c>
    </row>
    <row r="723" spans="4:19">
      <c r="D723" t="str">
        <f>'Audit Report'!B723</f>
        <v>ITD-X722</v>
      </c>
      <c r="E723" t="str">
        <f>'Audit Report'!C723</f>
        <v/>
      </c>
      <c r="I723" t="str">
        <f>'Audit Report'!D723</f>
        <v/>
      </c>
      <c r="J723" t="str">
        <f>'Audit Report'!H723</f>
        <v/>
      </c>
      <c r="L723" t="str">
        <f>_xlfn.TEXTJOIN(", ", FALSE, 'Audit Report'!K723,'Audit Report'!L723,'Audit Report'!M723)</f>
        <v xml:space="preserve">, , </v>
      </c>
      <c r="M723" t="str">
        <f>'Audit Report'!O723</f>
        <v/>
      </c>
      <c r="R723" t="str">
        <f>'Audit Report'!F723</f>
        <v/>
      </c>
      <c r="S723" t="str">
        <f>'Audit Report'!Q723</f>
        <v/>
      </c>
    </row>
    <row r="724" spans="4:19">
      <c r="D724" t="str">
        <f>'Audit Report'!B724</f>
        <v>ITD-X723</v>
      </c>
      <c r="E724" t="str">
        <f>'Audit Report'!C724</f>
        <v/>
      </c>
      <c r="I724" t="str">
        <f>'Audit Report'!D724</f>
        <v/>
      </c>
      <c r="J724" t="str">
        <f>'Audit Report'!H724</f>
        <v/>
      </c>
      <c r="L724" t="str">
        <f>_xlfn.TEXTJOIN(", ", FALSE, 'Audit Report'!K724,'Audit Report'!L724,'Audit Report'!M724)</f>
        <v xml:space="preserve">, , </v>
      </c>
      <c r="M724" t="str">
        <f>'Audit Report'!O724</f>
        <v/>
      </c>
      <c r="R724" t="str">
        <f>'Audit Report'!F724</f>
        <v/>
      </c>
      <c r="S724" t="str">
        <f>'Audit Report'!Q724</f>
        <v/>
      </c>
    </row>
    <row r="725" spans="4:19">
      <c r="D725" t="str">
        <f>'Audit Report'!B725</f>
        <v>ITD-X724</v>
      </c>
      <c r="E725" t="str">
        <f>'Audit Report'!C725</f>
        <v/>
      </c>
      <c r="I725" t="str">
        <f>'Audit Report'!D725</f>
        <v/>
      </c>
      <c r="J725" t="str">
        <f>'Audit Report'!H725</f>
        <v/>
      </c>
      <c r="L725" t="str">
        <f>_xlfn.TEXTJOIN(", ", FALSE, 'Audit Report'!K725,'Audit Report'!L725,'Audit Report'!M725)</f>
        <v xml:space="preserve">, , </v>
      </c>
      <c r="M725" t="str">
        <f>'Audit Report'!O725</f>
        <v/>
      </c>
      <c r="R725" t="str">
        <f>'Audit Report'!F725</f>
        <v/>
      </c>
      <c r="S725" t="str">
        <f>'Audit Report'!Q725</f>
        <v/>
      </c>
    </row>
    <row r="726" spans="4:19">
      <c r="D726" t="str">
        <f>'Audit Report'!B726</f>
        <v>ITD-X725</v>
      </c>
      <c r="E726" t="str">
        <f>'Audit Report'!C726</f>
        <v/>
      </c>
      <c r="I726" t="str">
        <f>'Audit Report'!D726</f>
        <v/>
      </c>
      <c r="J726" t="str">
        <f>'Audit Report'!H726</f>
        <v/>
      </c>
      <c r="L726" t="str">
        <f>_xlfn.TEXTJOIN(", ", FALSE, 'Audit Report'!K726,'Audit Report'!L726,'Audit Report'!M726)</f>
        <v xml:space="preserve">, , </v>
      </c>
      <c r="M726" t="str">
        <f>'Audit Report'!O726</f>
        <v/>
      </c>
      <c r="R726" t="str">
        <f>'Audit Report'!F726</f>
        <v/>
      </c>
      <c r="S726" t="str">
        <f>'Audit Report'!Q726</f>
        <v/>
      </c>
    </row>
    <row r="727" spans="4:19">
      <c r="D727" t="str">
        <f>'Audit Report'!B727</f>
        <v>ITD-X726</v>
      </c>
      <c r="E727" t="str">
        <f>'Audit Report'!C727</f>
        <v/>
      </c>
      <c r="I727" t="str">
        <f>'Audit Report'!D727</f>
        <v/>
      </c>
      <c r="J727" t="str">
        <f>'Audit Report'!H727</f>
        <v/>
      </c>
      <c r="L727" t="str">
        <f>_xlfn.TEXTJOIN(", ", FALSE, 'Audit Report'!K727,'Audit Report'!L727,'Audit Report'!M727)</f>
        <v xml:space="preserve">, , </v>
      </c>
      <c r="M727" t="str">
        <f>'Audit Report'!O727</f>
        <v/>
      </c>
      <c r="R727" t="str">
        <f>'Audit Report'!F727</f>
        <v/>
      </c>
      <c r="S727" t="str">
        <f>'Audit Report'!Q727</f>
        <v/>
      </c>
    </row>
    <row r="728" spans="4:19">
      <c r="D728" t="str">
        <f>'Audit Report'!B728</f>
        <v>ITD-X727</v>
      </c>
      <c r="E728" t="str">
        <f>'Audit Report'!C728</f>
        <v/>
      </c>
      <c r="I728" t="str">
        <f>'Audit Report'!D728</f>
        <v/>
      </c>
      <c r="J728" t="str">
        <f>'Audit Report'!H728</f>
        <v/>
      </c>
      <c r="L728" t="str">
        <f>_xlfn.TEXTJOIN(", ", FALSE, 'Audit Report'!K728,'Audit Report'!L728,'Audit Report'!M728)</f>
        <v xml:space="preserve">, , </v>
      </c>
      <c r="M728" t="str">
        <f>'Audit Report'!O728</f>
        <v/>
      </c>
      <c r="R728" t="str">
        <f>'Audit Report'!F728</f>
        <v/>
      </c>
      <c r="S728" t="str">
        <f>'Audit Report'!Q728</f>
        <v/>
      </c>
    </row>
    <row r="729" spans="4:19">
      <c r="D729" t="str">
        <f>'Audit Report'!B729</f>
        <v>ITD-X728</v>
      </c>
      <c r="E729" t="str">
        <f>'Audit Report'!C729</f>
        <v/>
      </c>
      <c r="I729" t="str">
        <f>'Audit Report'!D729</f>
        <v/>
      </c>
      <c r="J729" t="str">
        <f>'Audit Report'!H729</f>
        <v/>
      </c>
      <c r="L729" t="str">
        <f>_xlfn.TEXTJOIN(", ", FALSE, 'Audit Report'!K729,'Audit Report'!L729,'Audit Report'!M729)</f>
        <v xml:space="preserve">, , </v>
      </c>
      <c r="M729" t="str">
        <f>'Audit Report'!O729</f>
        <v/>
      </c>
      <c r="R729" t="str">
        <f>'Audit Report'!F729</f>
        <v/>
      </c>
      <c r="S729" t="str">
        <f>'Audit Report'!Q729</f>
        <v/>
      </c>
    </row>
    <row r="730" spans="4:19">
      <c r="D730" t="str">
        <f>'Audit Report'!B730</f>
        <v>ITD-X729</v>
      </c>
      <c r="E730" t="str">
        <f>'Audit Report'!C730</f>
        <v/>
      </c>
      <c r="I730" t="str">
        <f>'Audit Report'!D730</f>
        <v/>
      </c>
      <c r="J730" t="str">
        <f>'Audit Report'!H730</f>
        <v/>
      </c>
      <c r="L730" t="str">
        <f>_xlfn.TEXTJOIN(", ", FALSE, 'Audit Report'!K730,'Audit Report'!L730,'Audit Report'!M730)</f>
        <v xml:space="preserve">, , </v>
      </c>
      <c r="M730" t="str">
        <f>'Audit Report'!O730</f>
        <v/>
      </c>
      <c r="R730" t="str">
        <f>'Audit Report'!F730</f>
        <v/>
      </c>
      <c r="S730" t="str">
        <f>'Audit Report'!Q730</f>
        <v/>
      </c>
    </row>
    <row r="731" spans="4:19">
      <c r="D731" t="str">
        <f>'Audit Report'!B731</f>
        <v>ITD-X730</v>
      </c>
      <c r="E731" t="str">
        <f>'Audit Report'!C731</f>
        <v/>
      </c>
      <c r="I731" t="str">
        <f>'Audit Report'!D731</f>
        <v/>
      </c>
      <c r="J731" t="str">
        <f>'Audit Report'!H731</f>
        <v/>
      </c>
      <c r="L731" t="str">
        <f>_xlfn.TEXTJOIN(", ", FALSE, 'Audit Report'!K731,'Audit Report'!L731,'Audit Report'!M731)</f>
        <v xml:space="preserve">, , </v>
      </c>
      <c r="M731" t="str">
        <f>'Audit Report'!O731</f>
        <v/>
      </c>
      <c r="R731" t="str">
        <f>'Audit Report'!F731</f>
        <v/>
      </c>
      <c r="S731" t="str">
        <f>'Audit Report'!Q731</f>
        <v/>
      </c>
    </row>
    <row r="732" spans="4:19">
      <c r="D732" t="str">
        <f>'Audit Report'!B732</f>
        <v>ITD-X731</v>
      </c>
      <c r="E732" t="str">
        <f>'Audit Report'!C732</f>
        <v/>
      </c>
      <c r="I732" t="str">
        <f>'Audit Report'!D732</f>
        <v/>
      </c>
      <c r="J732" t="str">
        <f>'Audit Report'!H732</f>
        <v/>
      </c>
      <c r="L732" t="str">
        <f>_xlfn.TEXTJOIN(", ", FALSE, 'Audit Report'!K732,'Audit Report'!L732,'Audit Report'!M732)</f>
        <v xml:space="preserve">, , </v>
      </c>
      <c r="M732" t="str">
        <f>'Audit Report'!O732</f>
        <v/>
      </c>
      <c r="R732" t="str">
        <f>'Audit Report'!F732</f>
        <v/>
      </c>
      <c r="S732" t="str">
        <f>'Audit Report'!Q732</f>
        <v/>
      </c>
    </row>
    <row r="733" spans="4:19">
      <c r="D733" t="str">
        <f>'Audit Report'!B733</f>
        <v>ITD-X732</v>
      </c>
      <c r="E733" t="str">
        <f>'Audit Report'!C733</f>
        <v/>
      </c>
      <c r="I733" t="str">
        <f>'Audit Report'!D733</f>
        <v/>
      </c>
      <c r="J733" t="str">
        <f>'Audit Report'!H733</f>
        <v/>
      </c>
      <c r="L733" t="str">
        <f>_xlfn.TEXTJOIN(", ", FALSE, 'Audit Report'!K733,'Audit Report'!L733,'Audit Report'!M733)</f>
        <v xml:space="preserve">, , </v>
      </c>
      <c r="M733" t="str">
        <f>'Audit Report'!O733</f>
        <v/>
      </c>
      <c r="R733" t="str">
        <f>'Audit Report'!F733</f>
        <v/>
      </c>
      <c r="S733" t="str">
        <f>'Audit Report'!Q733</f>
        <v/>
      </c>
    </row>
    <row r="734" spans="4:19">
      <c r="D734" t="str">
        <f>'Audit Report'!B734</f>
        <v>ITD-X733</v>
      </c>
      <c r="E734" t="str">
        <f>'Audit Report'!C734</f>
        <v/>
      </c>
      <c r="I734" t="str">
        <f>'Audit Report'!D734</f>
        <v/>
      </c>
      <c r="J734" t="str">
        <f>'Audit Report'!H734</f>
        <v/>
      </c>
      <c r="L734" t="str">
        <f>_xlfn.TEXTJOIN(", ", FALSE, 'Audit Report'!K734,'Audit Report'!L734,'Audit Report'!M734)</f>
        <v xml:space="preserve">, , </v>
      </c>
      <c r="M734" t="str">
        <f>'Audit Report'!O734</f>
        <v/>
      </c>
      <c r="R734" t="str">
        <f>'Audit Report'!F734</f>
        <v/>
      </c>
      <c r="S734" t="str">
        <f>'Audit Report'!Q734</f>
        <v/>
      </c>
    </row>
    <row r="735" spans="4:19">
      <c r="D735" t="str">
        <f>'Audit Report'!B735</f>
        <v>ITD-X734</v>
      </c>
      <c r="E735" t="str">
        <f>'Audit Report'!C735</f>
        <v/>
      </c>
      <c r="I735" t="str">
        <f>'Audit Report'!D735</f>
        <v/>
      </c>
      <c r="J735" t="str">
        <f>'Audit Report'!H735</f>
        <v/>
      </c>
      <c r="L735" t="str">
        <f>_xlfn.TEXTJOIN(", ", FALSE, 'Audit Report'!K735,'Audit Report'!L735,'Audit Report'!M735)</f>
        <v xml:space="preserve">, , </v>
      </c>
      <c r="M735" t="str">
        <f>'Audit Report'!O735</f>
        <v/>
      </c>
      <c r="R735" t="str">
        <f>'Audit Report'!F735</f>
        <v/>
      </c>
      <c r="S735" t="str">
        <f>'Audit Report'!Q735</f>
        <v/>
      </c>
    </row>
    <row r="736" spans="4:19">
      <c r="D736" t="str">
        <f>'Audit Report'!B736</f>
        <v>ITD-X735</v>
      </c>
      <c r="E736" t="str">
        <f>'Audit Report'!C736</f>
        <v/>
      </c>
      <c r="I736" t="str">
        <f>'Audit Report'!D736</f>
        <v/>
      </c>
      <c r="J736" t="str">
        <f>'Audit Report'!H736</f>
        <v/>
      </c>
      <c r="L736" t="str">
        <f>_xlfn.TEXTJOIN(", ", FALSE, 'Audit Report'!K736,'Audit Report'!L736,'Audit Report'!M736)</f>
        <v xml:space="preserve">, , </v>
      </c>
      <c r="M736" t="str">
        <f>'Audit Report'!O736</f>
        <v/>
      </c>
      <c r="R736" t="str">
        <f>'Audit Report'!F736</f>
        <v/>
      </c>
      <c r="S736" t="str">
        <f>'Audit Report'!Q736</f>
        <v/>
      </c>
    </row>
    <row r="737" spans="4:19">
      <c r="D737" t="str">
        <f>'Audit Report'!B737</f>
        <v>ITD-X736</v>
      </c>
      <c r="E737" t="str">
        <f>'Audit Report'!C737</f>
        <v/>
      </c>
      <c r="I737" t="str">
        <f>'Audit Report'!D737</f>
        <v/>
      </c>
      <c r="J737" t="str">
        <f>'Audit Report'!H737</f>
        <v/>
      </c>
      <c r="L737" t="str">
        <f>_xlfn.TEXTJOIN(", ", FALSE, 'Audit Report'!K737,'Audit Report'!L737,'Audit Report'!M737)</f>
        <v xml:space="preserve">, , </v>
      </c>
      <c r="M737" t="str">
        <f>'Audit Report'!O737</f>
        <v/>
      </c>
      <c r="R737" t="str">
        <f>'Audit Report'!F737</f>
        <v/>
      </c>
      <c r="S737" t="str">
        <f>'Audit Report'!Q737</f>
        <v/>
      </c>
    </row>
    <row r="738" spans="4:19">
      <c r="D738" t="str">
        <f>'Audit Report'!B738</f>
        <v>ITD-X737</v>
      </c>
      <c r="E738" t="str">
        <f>'Audit Report'!C738</f>
        <v/>
      </c>
      <c r="I738" t="str">
        <f>'Audit Report'!D738</f>
        <v/>
      </c>
      <c r="J738" t="str">
        <f>'Audit Report'!H738</f>
        <v/>
      </c>
      <c r="L738" t="str">
        <f>_xlfn.TEXTJOIN(", ", FALSE, 'Audit Report'!K738,'Audit Report'!L738,'Audit Report'!M738)</f>
        <v xml:space="preserve">, , </v>
      </c>
      <c r="M738" t="str">
        <f>'Audit Report'!O738</f>
        <v/>
      </c>
      <c r="R738" t="str">
        <f>'Audit Report'!F738</f>
        <v/>
      </c>
      <c r="S738" t="str">
        <f>'Audit Report'!Q738</f>
        <v/>
      </c>
    </row>
    <row r="739" spans="4:19">
      <c r="D739" t="str">
        <f>'Audit Report'!B739</f>
        <v>ITD-X738</v>
      </c>
      <c r="E739" t="str">
        <f>'Audit Report'!C739</f>
        <v/>
      </c>
      <c r="I739" t="str">
        <f>'Audit Report'!D739</f>
        <v/>
      </c>
      <c r="J739" t="str">
        <f>'Audit Report'!H739</f>
        <v/>
      </c>
      <c r="L739" t="str">
        <f>_xlfn.TEXTJOIN(", ", FALSE, 'Audit Report'!K739,'Audit Report'!L739,'Audit Report'!M739)</f>
        <v xml:space="preserve">, , </v>
      </c>
      <c r="M739" t="str">
        <f>'Audit Report'!O739</f>
        <v/>
      </c>
      <c r="R739" t="str">
        <f>'Audit Report'!F739</f>
        <v/>
      </c>
      <c r="S739" t="str">
        <f>'Audit Report'!Q739</f>
        <v/>
      </c>
    </row>
    <row r="740" spans="4:19">
      <c r="D740" t="str">
        <f>'Audit Report'!B740</f>
        <v>ITD-X739</v>
      </c>
      <c r="E740" t="str">
        <f>'Audit Report'!C740</f>
        <v/>
      </c>
      <c r="I740" t="str">
        <f>'Audit Report'!D740</f>
        <v/>
      </c>
      <c r="J740" t="str">
        <f>'Audit Report'!H740</f>
        <v/>
      </c>
      <c r="L740" t="str">
        <f>_xlfn.TEXTJOIN(", ", FALSE, 'Audit Report'!K740,'Audit Report'!L740,'Audit Report'!M740)</f>
        <v xml:space="preserve">, , </v>
      </c>
      <c r="M740" t="str">
        <f>'Audit Report'!O740</f>
        <v/>
      </c>
      <c r="R740" t="str">
        <f>'Audit Report'!F740</f>
        <v/>
      </c>
      <c r="S740" t="str">
        <f>'Audit Report'!Q740</f>
        <v/>
      </c>
    </row>
    <row r="741" spans="4:19">
      <c r="D741" t="str">
        <f>'Audit Report'!B741</f>
        <v>ITD-X740</v>
      </c>
      <c r="E741" t="str">
        <f>'Audit Report'!C741</f>
        <v/>
      </c>
      <c r="I741" t="str">
        <f>'Audit Report'!D741</f>
        <v/>
      </c>
      <c r="J741" t="str">
        <f>'Audit Report'!H741</f>
        <v/>
      </c>
      <c r="L741" t="str">
        <f>_xlfn.TEXTJOIN(", ", FALSE, 'Audit Report'!K741,'Audit Report'!L741,'Audit Report'!M741)</f>
        <v xml:space="preserve">, , </v>
      </c>
      <c r="M741" t="str">
        <f>'Audit Report'!O741</f>
        <v/>
      </c>
      <c r="R741" t="str">
        <f>'Audit Report'!F741</f>
        <v/>
      </c>
      <c r="S741" t="str">
        <f>'Audit Report'!Q741</f>
        <v/>
      </c>
    </row>
    <row r="742" spans="4:19">
      <c r="D742" t="str">
        <f>'Audit Report'!B742</f>
        <v>ITD-X741</v>
      </c>
      <c r="E742" t="str">
        <f>'Audit Report'!C742</f>
        <v/>
      </c>
      <c r="I742" t="str">
        <f>'Audit Report'!D742</f>
        <v/>
      </c>
      <c r="J742" t="str">
        <f>'Audit Report'!H742</f>
        <v/>
      </c>
      <c r="L742" t="str">
        <f>_xlfn.TEXTJOIN(", ", FALSE, 'Audit Report'!K742,'Audit Report'!L742,'Audit Report'!M742)</f>
        <v xml:space="preserve">, , </v>
      </c>
      <c r="M742" t="str">
        <f>'Audit Report'!O742</f>
        <v/>
      </c>
      <c r="R742" t="str">
        <f>'Audit Report'!F742</f>
        <v/>
      </c>
      <c r="S742" t="str">
        <f>'Audit Report'!Q742</f>
        <v/>
      </c>
    </row>
    <row r="743" spans="4:19">
      <c r="D743" t="str">
        <f>'Audit Report'!B743</f>
        <v>ITD-X742</v>
      </c>
      <c r="E743" t="str">
        <f>'Audit Report'!C743</f>
        <v/>
      </c>
      <c r="I743" t="str">
        <f>'Audit Report'!D743</f>
        <v/>
      </c>
      <c r="J743" t="str">
        <f>'Audit Report'!H743</f>
        <v/>
      </c>
      <c r="L743" t="str">
        <f>_xlfn.TEXTJOIN(", ", FALSE, 'Audit Report'!K743,'Audit Report'!L743,'Audit Report'!M743)</f>
        <v xml:space="preserve">, , </v>
      </c>
      <c r="M743" t="str">
        <f>'Audit Report'!O743</f>
        <v/>
      </c>
      <c r="R743" t="str">
        <f>'Audit Report'!F743</f>
        <v/>
      </c>
      <c r="S743" t="str">
        <f>'Audit Report'!Q743</f>
        <v/>
      </c>
    </row>
    <row r="744" spans="4:19">
      <c r="D744" t="str">
        <f>'Audit Report'!B744</f>
        <v>ITD-X743</v>
      </c>
      <c r="E744" t="str">
        <f>'Audit Report'!C744</f>
        <v/>
      </c>
      <c r="I744" t="str">
        <f>'Audit Report'!D744</f>
        <v/>
      </c>
      <c r="J744" t="str">
        <f>'Audit Report'!H744</f>
        <v/>
      </c>
      <c r="L744" t="str">
        <f>_xlfn.TEXTJOIN(", ", FALSE, 'Audit Report'!K744,'Audit Report'!L744,'Audit Report'!M744)</f>
        <v xml:space="preserve">, , </v>
      </c>
      <c r="M744" t="str">
        <f>'Audit Report'!O744</f>
        <v/>
      </c>
      <c r="R744" t="str">
        <f>'Audit Report'!F744</f>
        <v/>
      </c>
      <c r="S744" t="str">
        <f>'Audit Report'!Q744</f>
        <v/>
      </c>
    </row>
    <row r="745" spans="4:19">
      <c r="D745" t="str">
        <f>'Audit Report'!B745</f>
        <v>ITD-X744</v>
      </c>
      <c r="E745" t="str">
        <f>'Audit Report'!C745</f>
        <v/>
      </c>
      <c r="I745" t="str">
        <f>'Audit Report'!D745</f>
        <v/>
      </c>
      <c r="J745" t="str">
        <f>'Audit Report'!H745</f>
        <v/>
      </c>
      <c r="L745" t="str">
        <f>_xlfn.TEXTJOIN(", ", FALSE, 'Audit Report'!K745,'Audit Report'!L745,'Audit Report'!M745)</f>
        <v xml:space="preserve">, , </v>
      </c>
      <c r="M745" t="str">
        <f>'Audit Report'!O745</f>
        <v/>
      </c>
      <c r="R745" t="str">
        <f>'Audit Report'!F745</f>
        <v/>
      </c>
      <c r="S745" t="str">
        <f>'Audit Report'!Q745</f>
        <v/>
      </c>
    </row>
    <row r="746" spans="4:19">
      <c r="D746" t="str">
        <f>'Audit Report'!B746</f>
        <v>ITD-X745</v>
      </c>
      <c r="E746" t="str">
        <f>'Audit Report'!C746</f>
        <v/>
      </c>
      <c r="I746" t="str">
        <f>'Audit Report'!D746</f>
        <v/>
      </c>
      <c r="J746" t="str">
        <f>'Audit Report'!H746</f>
        <v/>
      </c>
      <c r="L746" t="str">
        <f>_xlfn.TEXTJOIN(", ", FALSE, 'Audit Report'!K746,'Audit Report'!L746,'Audit Report'!M746)</f>
        <v xml:space="preserve">, , </v>
      </c>
      <c r="M746" t="str">
        <f>'Audit Report'!O746</f>
        <v/>
      </c>
      <c r="R746" t="str">
        <f>'Audit Report'!F746</f>
        <v/>
      </c>
      <c r="S746" t="str">
        <f>'Audit Report'!Q746</f>
        <v/>
      </c>
    </row>
    <row r="747" spans="4:19">
      <c r="D747" t="str">
        <f>'Audit Report'!B747</f>
        <v>ITD-X746</v>
      </c>
      <c r="E747" t="str">
        <f>'Audit Report'!C747</f>
        <v/>
      </c>
      <c r="I747" t="str">
        <f>'Audit Report'!D747</f>
        <v/>
      </c>
      <c r="J747" t="str">
        <f>'Audit Report'!H747</f>
        <v/>
      </c>
      <c r="L747" t="str">
        <f>_xlfn.TEXTJOIN(", ", FALSE, 'Audit Report'!K747,'Audit Report'!L747,'Audit Report'!M747)</f>
        <v xml:space="preserve">, , </v>
      </c>
      <c r="M747" t="str">
        <f>'Audit Report'!O747</f>
        <v/>
      </c>
      <c r="R747" t="str">
        <f>'Audit Report'!F747</f>
        <v/>
      </c>
      <c r="S747" t="str">
        <f>'Audit Report'!Q747</f>
        <v/>
      </c>
    </row>
    <row r="748" spans="4:19">
      <c r="D748" t="str">
        <f>'Audit Report'!B748</f>
        <v>ITD-X747</v>
      </c>
      <c r="E748" t="str">
        <f>'Audit Report'!C748</f>
        <v/>
      </c>
      <c r="I748" t="str">
        <f>'Audit Report'!D748</f>
        <v/>
      </c>
      <c r="J748" t="str">
        <f>'Audit Report'!H748</f>
        <v/>
      </c>
      <c r="L748" t="str">
        <f>_xlfn.TEXTJOIN(", ", FALSE, 'Audit Report'!K748,'Audit Report'!L748,'Audit Report'!M748)</f>
        <v xml:space="preserve">, , </v>
      </c>
      <c r="M748" t="str">
        <f>'Audit Report'!O748</f>
        <v/>
      </c>
      <c r="R748" t="str">
        <f>'Audit Report'!F748</f>
        <v/>
      </c>
      <c r="S748" t="str">
        <f>'Audit Report'!Q748</f>
        <v/>
      </c>
    </row>
    <row r="749" spans="4:19">
      <c r="D749" t="str">
        <f>'Audit Report'!B749</f>
        <v>ITD-X748</v>
      </c>
      <c r="E749" t="str">
        <f>'Audit Report'!C749</f>
        <v/>
      </c>
      <c r="I749" t="str">
        <f>'Audit Report'!D749</f>
        <v/>
      </c>
      <c r="J749" t="str">
        <f>'Audit Report'!H749</f>
        <v/>
      </c>
      <c r="L749" t="str">
        <f>_xlfn.TEXTJOIN(", ", FALSE, 'Audit Report'!K749,'Audit Report'!L749,'Audit Report'!M749)</f>
        <v xml:space="preserve">, , </v>
      </c>
      <c r="M749" t="str">
        <f>'Audit Report'!O749</f>
        <v/>
      </c>
      <c r="R749" t="str">
        <f>'Audit Report'!F749</f>
        <v/>
      </c>
      <c r="S749" t="str">
        <f>'Audit Report'!Q749</f>
        <v/>
      </c>
    </row>
    <row r="750" spans="4:19">
      <c r="D750" t="str">
        <f>'Audit Report'!B750</f>
        <v>ITD-X749</v>
      </c>
      <c r="E750" t="str">
        <f>'Audit Report'!C750</f>
        <v/>
      </c>
      <c r="I750" t="str">
        <f>'Audit Report'!D750</f>
        <v/>
      </c>
      <c r="J750" t="str">
        <f>'Audit Report'!H750</f>
        <v/>
      </c>
      <c r="L750" t="str">
        <f>_xlfn.TEXTJOIN(", ", FALSE, 'Audit Report'!K750,'Audit Report'!L750,'Audit Report'!M750)</f>
        <v xml:space="preserve">, , </v>
      </c>
      <c r="M750" t="str">
        <f>'Audit Report'!O750</f>
        <v/>
      </c>
      <c r="R750" t="str">
        <f>'Audit Report'!F750</f>
        <v/>
      </c>
      <c r="S750" t="str">
        <f>'Audit Report'!Q750</f>
        <v/>
      </c>
    </row>
    <row r="751" spans="4:19">
      <c r="D751" t="str">
        <f>'Audit Report'!B751</f>
        <v>ITD-X750</v>
      </c>
      <c r="E751" t="str">
        <f>'Audit Report'!C751</f>
        <v/>
      </c>
      <c r="I751" t="str">
        <f>'Audit Report'!D751</f>
        <v/>
      </c>
      <c r="J751" t="str">
        <f>'Audit Report'!H751</f>
        <v/>
      </c>
      <c r="L751" t="str">
        <f>_xlfn.TEXTJOIN(", ", FALSE, 'Audit Report'!K751,'Audit Report'!L751,'Audit Report'!M751)</f>
        <v xml:space="preserve">, , </v>
      </c>
      <c r="M751" t="str">
        <f>'Audit Report'!O751</f>
        <v/>
      </c>
      <c r="R751" t="str">
        <f>'Audit Report'!F751</f>
        <v/>
      </c>
      <c r="S751" t="str">
        <f>'Audit Report'!Q751</f>
        <v/>
      </c>
    </row>
    <row r="752" spans="4:19">
      <c r="D752" t="str">
        <f>'Audit Report'!B752</f>
        <v>ITD-X751</v>
      </c>
      <c r="E752" t="str">
        <f>'Audit Report'!C752</f>
        <v/>
      </c>
      <c r="I752" t="str">
        <f>'Audit Report'!D752</f>
        <v/>
      </c>
      <c r="J752" t="str">
        <f>'Audit Report'!H752</f>
        <v/>
      </c>
      <c r="L752" t="str">
        <f>_xlfn.TEXTJOIN(", ", FALSE, 'Audit Report'!K752,'Audit Report'!L752,'Audit Report'!M752)</f>
        <v xml:space="preserve">, , </v>
      </c>
      <c r="M752" t="str">
        <f>'Audit Report'!O752</f>
        <v/>
      </c>
      <c r="R752" t="str">
        <f>'Audit Report'!F752</f>
        <v/>
      </c>
      <c r="S752" t="str">
        <f>'Audit Report'!Q752</f>
        <v/>
      </c>
    </row>
    <row r="753" spans="4:19">
      <c r="D753" t="str">
        <f>'Audit Report'!B753</f>
        <v>ITD-X752</v>
      </c>
      <c r="E753" t="str">
        <f>'Audit Report'!C753</f>
        <v/>
      </c>
      <c r="I753" t="str">
        <f>'Audit Report'!D753</f>
        <v/>
      </c>
      <c r="J753" t="str">
        <f>'Audit Report'!H753</f>
        <v/>
      </c>
      <c r="L753" t="str">
        <f>_xlfn.TEXTJOIN(", ", FALSE, 'Audit Report'!K753,'Audit Report'!L753,'Audit Report'!M753)</f>
        <v xml:space="preserve">, , </v>
      </c>
      <c r="M753" t="str">
        <f>'Audit Report'!O753</f>
        <v/>
      </c>
      <c r="R753" t="str">
        <f>'Audit Report'!F753</f>
        <v/>
      </c>
      <c r="S753" t="str">
        <f>'Audit Report'!Q753</f>
        <v/>
      </c>
    </row>
    <row r="754" spans="4:19">
      <c r="D754" t="str">
        <f>'Audit Report'!B754</f>
        <v>ITD-X753</v>
      </c>
      <c r="E754" t="str">
        <f>'Audit Report'!C754</f>
        <v/>
      </c>
      <c r="I754" t="str">
        <f>'Audit Report'!D754</f>
        <v/>
      </c>
      <c r="J754" t="str">
        <f>'Audit Report'!H754</f>
        <v/>
      </c>
      <c r="L754" t="str">
        <f>_xlfn.TEXTJOIN(", ", FALSE, 'Audit Report'!K754,'Audit Report'!L754,'Audit Report'!M754)</f>
        <v xml:space="preserve">, , </v>
      </c>
      <c r="M754" t="str">
        <f>'Audit Report'!O754</f>
        <v/>
      </c>
      <c r="R754" t="str">
        <f>'Audit Report'!F754</f>
        <v/>
      </c>
      <c r="S754" t="str">
        <f>'Audit Report'!Q754</f>
        <v/>
      </c>
    </row>
    <row r="755" spans="4:19">
      <c r="D755" t="str">
        <f>'Audit Report'!B755</f>
        <v>ITD-X754</v>
      </c>
      <c r="E755" t="str">
        <f>'Audit Report'!C755</f>
        <v/>
      </c>
      <c r="I755" t="str">
        <f>'Audit Report'!D755</f>
        <v/>
      </c>
      <c r="J755" t="str">
        <f>'Audit Report'!H755</f>
        <v/>
      </c>
      <c r="L755" t="str">
        <f>_xlfn.TEXTJOIN(", ", FALSE, 'Audit Report'!K755,'Audit Report'!L755,'Audit Report'!M755)</f>
        <v xml:space="preserve">, , </v>
      </c>
      <c r="M755" t="str">
        <f>'Audit Report'!O755</f>
        <v/>
      </c>
      <c r="R755" t="str">
        <f>'Audit Report'!F755</f>
        <v/>
      </c>
      <c r="S755" t="str">
        <f>'Audit Report'!Q755</f>
        <v/>
      </c>
    </row>
    <row r="756" spans="4:19">
      <c r="D756" t="str">
        <f>'Audit Report'!B756</f>
        <v>ITD-X755</v>
      </c>
      <c r="E756" t="str">
        <f>'Audit Report'!C756</f>
        <v/>
      </c>
      <c r="I756" t="str">
        <f>'Audit Report'!D756</f>
        <v/>
      </c>
      <c r="J756" t="str">
        <f>'Audit Report'!H756</f>
        <v/>
      </c>
      <c r="L756" t="str">
        <f>_xlfn.TEXTJOIN(", ", FALSE, 'Audit Report'!K756,'Audit Report'!L756,'Audit Report'!M756)</f>
        <v xml:space="preserve">, , </v>
      </c>
      <c r="M756" t="str">
        <f>'Audit Report'!O756</f>
        <v/>
      </c>
      <c r="R756" t="str">
        <f>'Audit Report'!F756</f>
        <v/>
      </c>
      <c r="S756" t="str">
        <f>'Audit Report'!Q756</f>
        <v/>
      </c>
    </row>
    <row r="757" spans="4:19">
      <c r="D757" t="str">
        <f>'Audit Report'!B757</f>
        <v>ITD-X756</v>
      </c>
      <c r="E757" t="str">
        <f>'Audit Report'!C757</f>
        <v/>
      </c>
      <c r="I757" t="str">
        <f>'Audit Report'!D757</f>
        <v/>
      </c>
      <c r="J757" t="str">
        <f>'Audit Report'!H757</f>
        <v/>
      </c>
      <c r="L757" t="str">
        <f>_xlfn.TEXTJOIN(", ", FALSE, 'Audit Report'!K757,'Audit Report'!L757,'Audit Report'!M757)</f>
        <v xml:space="preserve">, , </v>
      </c>
      <c r="M757" t="str">
        <f>'Audit Report'!O757</f>
        <v/>
      </c>
      <c r="R757" t="str">
        <f>'Audit Report'!F757</f>
        <v/>
      </c>
      <c r="S757" t="str">
        <f>'Audit Report'!Q757</f>
        <v/>
      </c>
    </row>
    <row r="758" spans="4:19">
      <c r="D758" t="str">
        <f>'Audit Report'!B758</f>
        <v>ITD-X757</v>
      </c>
      <c r="E758" t="str">
        <f>'Audit Report'!C758</f>
        <v/>
      </c>
      <c r="I758" t="str">
        <f>'Audit Report'!D758</f>
        <v/>
      </c>
      <c r="J758" t="str">
        <f>'Audit Report'!H758</f>
        <v/>
      </c>
      <c r="L758" t="str">
        <f>_xlfn.TEXTJOIN(", ", FALSE, 'Audit Report'!K758,'Audit Report'!L758,'Audit Report'!M758)</f>
        <v xml:space="preserve">, , </v>
      </c>
      <c r="M758" t="str">
        <f>'Audit Report'!O758</f>
        <v/>
      </c>
      <c r="R758" t="str">
        <f>'Audit Report'!F758</f>
        <v/>
      </c>
      <c r="S758" t="str">
        <f>'Audit Report'!Q758</f>
        <v/>
      </c>
    </row>
    <row r="759" spans="4:19">
      <c r="D759" t="str">
        <f>'Audit Report'!B759</f>
        <v>ITD-X758</v>
      </c>
      <c r="E759" t="str">
        <f>'Audit Report'!C759</f>
        <v/>
      </c>
      <c r="I759" t="str">
        <f>'Audit Report'!D759</f>
        <v/>
      </c>
      <c r="J759" t="str">
        <f>'Audit Report'!H759</f>
        <v/>
      </c>
      <c r="L759" t="str">
        <f>_xlfn.TEXTJOIN(", ", FALSE, 'Audit Report'!K759,'Audit Report'!L759,'Audit Report'!M759)</f>
        <v xml:space="preserve">, , </v>
      </c>
      <c r="M759" t="str">
        <f>'Audit Report'!O759</f>
        <v/>
      </c>
      <c r="R759" t="str">
        <f>'Audit Report'!F759</f>
        <v/>
      </c>
      <c r="S759" t="str">
        <f>'Audit Report'!Q759</f>
        <v/>
      </c>
    </row>
    <row r="760" spans="4:19">
      <c r="D760" t="str">
        <f>'Audit Report'!B760</f>
        <v>ITD-X759</v>
      </c>
      <c r="E760" t="str">
        <f>'Audit Report'!C760</f>
        <v/>
      </c>
      <c r="I760" t="str">
        <f>'Audit Report'!D760</f>
        <v/>
      </c>
      <c r="J760" t="str">
        <f>'Audit Report'!H760</f>
        <v/>
      </c>
      <c r="L760" t="str">
        <f>_xlfn.TEXTJOIN(", ", FALSE, 'Audit Report'!K760,'Audit Report'!L760,'Audit Report'!M760)</f>
        <v xml:space="preserve">, , </v>
      </c>
      <c r="M760" t="str">
        <f>'Audit Report'!O760</f>
        <v/>
      </c>
      <c r="R760" t="str">
        <f>'Audit Report'!F760</f>
        <v/>
      </c>
      <c r="S760" t="str">
        <f>'Audit Report'!Q760</f>
        <v/>
      </c>
    </row>
    <row r="761" spans="4:19">
      <c r="D761" t="str">
        <f>'Audit Report'!B761</f>
        <v>ITD-X760</v>
      </c>
      <c r="E761" t="str">
        <f>'Audit Report'!C761</f>
        <v/>
      </c>
      <c r="I761" t="str">
        <f>'Audit Report'!D761</f>
        <v/>
      </c>
      <c r="J761" t="str">
        <f>'Audit Report'!H761</f>
        <v/>
      </c>
      <c r="L761" t="str">
        <f>_xlfn.TEXTJOIN(", ", FALSE, 'Audit Report'!K761,'Audit Report'!L761,'Audit Report'!M761)</f>
        <v xml:space="preserve">, , </v>
      </c>
      <c r="M761" t="str">
        <f>'Audit Report'!O761</f>
        <v/>
      </c>
      <c r="R761" t="str">
        <f>'Audit Report'!F761</f>
        <v/>
      </c>
      <c r="S761" t="str">
        <f>'Audit Report'!Q761</f>
        <v/>
      </c>
    </row>
    <row r="762" spans="4:19">
      <c r="D762" t="str">
        <f>'Audit Report'!B762</f>
        <v>ITD-X761</v>
      </c>
      <c r="E762" t="str">
        <f>'Audit Report'!C762</f>
        <v/>
      </c>
      <c r="I762" t="str">
        <f>'Audit Report'!D762</f>
        <v/>
      </c>
      <c r="J762" t="str">
        <f>'Audit Report'!H762</f>
        <v/>
      </c>
      <c r="L762" t="str">
        <f>_xlfn.TEXTJOIN(", ", FALSE, 'Audit Report'!K762,'Audit Report'!L762,'Audit Report'!M762)</f>
        <v xml:space="preserve">, , </v>
      </c>
      <c r="M762" t="str">
        <f>'Audit Report'!O762</f>
        <v/>
      </c>
      <c r="R762" t="str">
        <f>'Audit Report'!F762</f>
        <v/>
      </c>
      <c r="S762" t="str">
        <f>'Audit Report'!Q762</f>
        <v/>
      </c>
    </row>
    <row r="763" spans="4:19">
      <c r="D763" t="str">
        <f>'Audit Report'!B763</f>
        <v>ITD-X762</v>
      </c>
      <c r="E763" t="str">
        <f>'Audit Report'!C763</f>
        <v/>
      </c>
      <c r="I763" t="str">
        <f>'Audit Report'!D763</f>
        <v/>
      </c>
      <c r="J763" t="str">
        <f>'Audit Report'!H763</f>
        <v/>
      </c>
      <c r="L763" t="str">
        <f>_xlfn.TEXTJOIN(", ", FALSE, 'Audit Report'!K763,'Audit Report'!L763,'Audit Report'!M763)</f>
        <v xml:space="preserve">, , </v>
      </c>
      <c r="M763" t="str">
        <f>'Audit Report'!O763</f>
        <v/>
      </c>
      <c r="R763" t="str">
        <f>'Audit Report'!F763</f>
        <v/>
      </c>
      <c r="S763" t="str">
        <f>'Audit Report'!Q763</f>
        <v/>
      </c>
    </row>
    <row r="764" spans="4:19">
      <c r="D764" t="str">
        <f>'Audit Report'!B764</f>
        <v>ITD-X763</v>
      </c>
      <c r="E764" t="str">
        <f>'Audit Report'!C764</f>
        <v/>
      </c>
      <c r="I764" t="str">
        <f>'Audit Report'!D764</f>
        <v/>
      </c>
      <c r="J764" t="str">
        <f>'Audit Report'!H764</f>
        <v/>
      </c>
      <c r="L764" t="str">
        <f>_xlfn.TEXTJOIN(", ", FALSE, 'Audit Report'!K764,'Audit Report'!L764,'Audit Report'!M764)</f>
        <v xml:space="preserve">, , </v>
      </c>
      <c r="M764" t="str">
        <f>'Audit Report'!O764</f>
        <v/>
      </c>
      <c r="R764" t="str">
        <f>'Audit Report'!F764</f>
        <v/>
      </c>
      <c r="S764" t="str">
        <f>'Audit Report'!Q764</f>
        <v/>
      </c>
    </row>
    <row r="765" spans="4:19">
      <c r="D765" t="str">
        <f>'Audit Report'!B765</f>
        <v>ITD-X764</v>
      </c>
      <c r="E765" t="str">
        <f>'Audit Report'!C765</f>
        <v/>
      </c>
      <c r="I765" t="str">
        <f>'Audit Report'!D765</f>
        <v/>
      </c>
      <c r="J765" t="str">
        <f>'Audit Report'!H765</f>
        <v/>
      </c>
      <c r="L765" t="str">
        <f>_xlfn.TEXTJOIN(", ", FALSE, 'Audit Report'!K765,'Audit Report'!L765,'Audit Report'!M765)</f>
        <v xml:space="preserve">, , </v>
      </c>
      <c r="M765" t="str">
        <f>'Audit Report'!O765</f>
        <v/>
      </c>
      <c r="R765" t="str">
        <f>'Audit Report'!F765</f>
        <v/>
      </c>
      <c r="S765" t="str">
        <f>'Audit Report'!Q765</f>
        <v/>
      </c>
    </row>
    <row r="766" spans="4:19">
      <c r="D766" t="str">
        <f>'Audit Report'!B766</f>
        <v>ITD-X765</v>
      </c>
      <c r="E766" t="str">
        <f>'Audit Report'!C766</f>
        <v/>
      </c>
      <c r="I766" t="str">
        <f>'Audit Report'!D766</f>
        <v/>
      </c>
      <c r="J766" t="str">
        <f>'Audit Report'!H766</f>
        <v/>
      </c>
      <c r="L766" t="str">
        <f>_xlfn.TEXTJOIN(", ", FALSE, 'Audit Report'!K766,'Audit Report'!L766,'Audit Report'!M766)</f>
        <v xml:space="preserve">, , </v>
      </c>
      <c r="M766" t="str">
        <f>'Audit Report'!O766</f>
        <v/>
      </c>
      <c r="R766" t="str">
        <f>'Audit Report'!F766</f>
        <v/>
      </c>
      <c r="S766" t="str">
        <f>'Audit Report'!Q766</f>
        <v/>
      </c>
    </row>
    <row r="767" spans="4:19">
      <c r="D767" t="str">
        <f>'Audit Report'!B767</f>
        <v>ITD-X766</v>
      </c>
      <c r="E767" t="str">
        <f>'Audit Report'!C767</f>
        <v/>
      </c>
      <c r="I767" t="str">
        <f>'Audit Report'!D767</f>
        <v/>
      </c>
      <c r="J767" t="str">
        <f>'Audit Report'!H767</f>
        <v/>
      </c>
      <c r="L767" t="str">
        <f>_xlfn.TEXTJOIN(", ", FALSE, 'Audit Report'!K767,'Audit Report'!L767,'Audit Report'!M767)</f>
        <v xml:space="preserve">, , </v>
      </c>
      <c r="M767" t="str">
        <f>'Audit Report'!O767</f>
        <v/>
      </c>
      <c r="R767" t="str">
        <f>'Audit Report'!F767</f>
        <v/>
      </c>
      <c r="S767" t="str">
        <f>'Audit Report'!Q767</f>
        <v/>
      </c>
    </row>
    <row r="768" spans="4:19">
      <c r="D768" t="str">
        <f>'Audit Report'!B768</f>
        <v>ITD-X767</v>
      </c>
      <c r="E768" t="str">
        <f>'Audit Report'!C768</f>
        <v/>
      </c>
      <c r="I768" t="str">
        <f>'Audit Report'!D768</f>
        <v/>
      </c>
      <c r="J768" t="str">
        <f>'Audit Report'!H768</f>
        <v/>
      </c>
      <c r="L768" t="str">
        <f>_xlfn.TEXTJOIN(", ", FALSE, 'Audit Report'!K768,'Audit Report'!L768,'Audit Report'!M768)</f>
        <v xml:space="preserve">, , </v>
      </c>
      <c r="M768" t="str">
        <f>'Audit Report'!O768</f>
        <v/>
      </c>
      <c r="R768" t="str">
        <f>'Audit Report'!F768</f>
        <v/>
      </c>
      <c r="S768" t="str">
        <f>'Audit Report'!Q768</f>
        <v/>
      </c>
    </row>
    <row r="769" spans="4:19">
      <c r="D769" t="str">
        <f>'Audit Report'!B769</f>
        <v>ITD-X768</v>
      </c>
      <c r="E769" t="str">
        <f>'Audit Report'!C769</f>
        <v/>
      </c>
      <c r="I769" t="str">
        <f>'Audit Report'!D769</f>
        <v/>
      </c>
      <c r="J769" t="str">
        <f>'Audit Report'!H769</f>
        <v/>
      </c>
      <c r="L769" t="str">
        <f>_xlfn.TEXTJOIN(", ", FALSE, 'Audit Report'!K769,'Audit Report'!L769,'Audit Report'!M769)</f>
        <v xml:space="preserve">, , </v>
      </c>
      <c r="M769" t="str">
        <f>'Audit Report'!O769</f>
        <v/>
      </c>
      <c r="R769" t="str">
        <f>'Audit Report'!F769</f>
        <v/>
      </c>
      <c r="S769" t="str">
        <f>'Audit Report'!Q769</f>
        <v/>
      </c>
    </row>
    <row r="770" spans="4:19">
      <c r="D770" t="str">
        <f>'Audit Report'!B770</f>
        <v>ITD-X769</v>
      </c>
      <c r="E770" t="str">
        <f>'Audit Report'!C770</f>
        <v/>
      </c>
      <c r="I770" t="str">
        <f>'Audit Report'!D770</f>
        <v/>
      </c>
      <c r="J770" t="str">
        <f>'Audit Report'!H770</f>
        <v/>
      </c>
      <c r="L770" t="str">
        <f>_xlfn.TEXTJOIN(", ", FALSE, 'Audit Report'!K770,'Audit Report'!L770,'Audit Report'!M770)</f>
        <v xml:space="preserve">, , </v>
      </c>
      <c r="M770" t="str">
        <f>'Audit Report'!O770</f>
        <v/>
      </c>
      <c r="R770" t="str">
        <f>'Audit Report'!F770</f>
        <v/>
      </c>
      <c r="S770" t="str">
        <f>'Audit Report'!Q770</f>
        <v/>
      </c>
    </row>
    <row r="771" spans="4:19">
      <c r="D771" t="str">
        <f>'Audit Report'!B771</f>
        <v>ITD-X770</v>
      </c>
      <c r="E771" t="str">
        <f>'Audit Report'!C771</f>
        <v/>
      </c>
      <c r="I771" t="str">
        <f>'Audit Report'!D771</f>
        <v/>
      </c>
      <c r="J771" t="str">
        <f>'Audit Report'!H771</f>
        <v/>
      </c>
      <c r="L771" t="str">
        <f>_xlfn.TEXTJOIN(", ", FALSE, 'Audit Report'!K771,'Audit Report'!L771,'Audit Report'!M771)</f>
        <v xml:space="preserve">, , </v>
      </c>
      <c r="M771" t="str">
        <f>'Audit Report'!O771</f>
        <v/>
      </c>
      <c r="R771" t="str">
        <f>'Audit Report'!F771</f>
        <v/>
      </c>
      <c r="S771" t="str">
        <f>'Audit Report'!Q771</f>
        <v/>
      </c>
    </row>
    <row r="772" spans="4:19">
      <c r="D772" t="str">
        <f>'Audit Report'!B772</f>
        <v>ITD-X771</v>
      </c>
      <c r="E772" t="str">
        <f>'Audit Report'!C772</f>
        <v/>
      </c>
      <c r="I772" t="str">
        <f>'Audit Report'!D772</f>
        <v/>
      </c>
      <c r="J772" t="str">
        <f>'Audit Report'!H772</f>
        <v/>
      </c>
      <c r="L772" t="str">
        <f>_xlfn.TEXTJOIN(", ", FALSE, 'Audit Report'!K772,'Audit Report'!L772,'Audit Report'!M772)</f>
        <v xml:space="preserve">, , </v>
      </c>
      <c r="M772" t="str">
        <f>'Audit Report'!O772</f>
        <v/>
      </c>
      <c r="R772" t="str">
        <f>'Audit Report'!F772</f>
        <v/>
      </c>
      <c r="S772" t="str">
        <f>'Audit Report'!Q772</f>
        <v/>
      </c>
    </row>
    <row r="773" spans="4:19">
      <c r="D773" t="str">
        <f>'Audit Report'!B773</f>
        <v>ITD-X772</v>
      </c>
      <c r="E773" t="str">
        <f>'Audit Report'!C773</f>
        <v/>
      </c>
      <c r="I773" t="str">
        <f>'Audit Report'!D773</f>
        <v/>
      </c>
      <c r="J773" t="str">
        <f>'Audit Report'!H773</f>
        <v/>
      </c>
      <c r="L773" t="str">
        <f>_xlfn.TEXTJOIN(", ", FALSE, 'Audit Report'!K773,'Audit Report'!L773,'Audit Report'!M773)</f>
        <v xml:space="preserve">, , </v>
      </c>
      <c r="M773" t="str">
        <f>'Audit Report'!O773</f>
        <v/>
      </c>
      <c r="R773" t="str">
        <f>'Audit Report'!F773</f>
        <v/>
      </c>
      <c r="S773" t="str">
        <f>'Audit Report'!Q773</f>
        <v/>
      </c>
    </row>
    <row r="774" spans="4:19">
      <c r="D774" t="str">
        <f>'Audit Report'!B774</f>
        <v>ITD-X773</v>
      </c>
      <c r="E774" t="str">
        <f>'Audit Report'!C774</f>
        <v/>
      </c>
      <c r="I774" t="str">
        <f>'Audit Report'!D774</f>
        <v/>
      </c>
      <c r="J774" t="str">
        <f>'Audit Report'!H774</f>
        <v/>
      </c>
      <c r="L774" t="str">
        <f>_xlfn.TEXTJOIN(", ", FALSE, 'Audit Report'!K774,'Audit Report'!L774,'Audit Report'!M774)</f>
        <v xml:space="preserve">, , </v>
      </c>
      <c r="M774" t="str">
        <f>'Audit Report'!O774</f>
        <v/>
      </c>
      <c r="R774" t="str">
        <f>'Audit Report'!F774</f>
        <v/>
      </c>
      <c r="S774" t="str">
        <f>'Audit Report'!Q774</f>
        <v/>
      </c>
    </row>
    <row r="775" spans="4:19">
      <c r="D775" t="str">
        <f>'Audit Report'!B775</f>
        <v>ITD-X774</v>
      </c>
      <c r="E775" t="str">
        <f>'Audit Report'!C775</f>
        <v/>
      </c>
      <c r="I775" t="str">
        <f>'Audit Report'!D775</f>
        <v/>
      </c>
      <c r="J775" t="str">
        <f>'Audit Report'!H775</f>
        <v/>
      </c>
      <c r="L775" t="str">
        <f>_xlfn.TEXTJOIN(", ", FALSE, 'Audit Report'!K775,'Audit Report'!L775,'Audit Report'!M775)</f>
        <v xml:space="preserve">, , </v>
      </c>
      <c r="M775" t="str">
        <f>'Audit Report'!O775</f>
        <v/>
      </c>
      <c r="R775" t="str">
        <f>'Audit Report'!F775</f>
        <v/>
      </c>
      <c r="S775" t="str">
        <f>'Audit Report'!Q775</f>
        <v/>
      </c>
    </row>
    <row r="776" spans="4:19">
      <c r="D776" t="str">
        <f>'Audit Report'!B776</f>
        <v>ITD-X775</v>
      </c>
      <c r="E776" t="str">
        <f>'Audit Report'!C776</f>
        <v/>
      </c>
      <c r="I776" t="str">
        <f>'Audit Report'!D776</f>
        <v/>
      </c>
      <c r="J776" t="str">
        <f>'Audit Report'!H776</f>
        <v/>
      </c>
      <c r="L776" t="str">
        <f>_xlfn.TEXTJOIN(", ", FALSE, 'Audit Report'!K776,'Audit Report'!L776,'Audit Report'!M776)</f>
        <v xml:space="preserve">, , </v>
      </c>
      <c r="M776" t="str">
        <f>'Audit Report'!O776</f>
        <v/>
      </c>
      <c r="R776" t="str">
        <f>'Audit Report'!F776</f>
        <v/>
      </c>
      <c r="S776" t="str">
        <f>'Audit Report'!Q776</f>
        <v/>
      </c>
    </row>
    <row r="777" spans="4:19">
      <c r="D777" t="str">
        <f>'Audit Report'!B777</f>
        <v>ITD-X776</v>
      </c>
      <c r="E777" t="str">
        <f>'Audit Report'!C777</f>
        <v/>
      </c>
      <c r="I777" t="str">
        <f>'Audit Report'!D777</f>
        <v/>
      </c>
      <c r="J777" t="str">
        <f>'Audit Report'!H777</f>
        <v/>
      </c>
      <c r="L777" t="str">
        <f>_xlfn.TEXTJOIN(", ", FALSE, 'Audit Report'!K777,'Audit Report'!L777,'Audit Report'!M777)</f>
        <v xml:space="preserve">, , </v>
      </c>
      <c r="M777" t="str">
        <f>'Audit Report'!O777</f>
        <v/>
      </c>
      <c r="R777" t="str">
        <f>'Audit Report'!F777</f>
        <v/>
      </c>
      <c r="S777" t="str">
        <f>'Audit Report'!Q777</f>
        <v/>
      </c>
    </row>
    <row r="778" spans="4:19">
      <c r="D778" t="str">
        <f>'Audit Report'!B778</f>
        <v>ITD-X777</v>
      </c>
      <c r="E778" t="str">
        <f>'Audit Report'!C778</f>
        <v/>
      </c>
      <c r="I778" t="str">
        <f>'Audit Report'!D778</f>
        <v/>
      </c>
      <c r="J778" t="str">
        <f>'Audit Report'!H778</f>
        <v/>
      </c>
      <c r="L778" t="str">
        <f>_xlfn.TEXTJOIN(", ", FALSE, 'Audit Report'!K778,'Audit Report'!L778,'Audit Report'!M778)</f>
        <v xml:space="preserve">, , </v>
      </c>
      <c r="M778" t="str">
        <f>'Audit Report'!O778</f>
        <v/>
      </c>
      <c r="R778" t="str">
        <f>'Audit Report'!F778</f>
        <v/>
      </c>
      <c r="S778" t="str">
        <f>'Audit Report'!Q778</f>
        <v/>
      </c>
    </row>
    <row r="779" spans="4:19">
      <c r="D779" t="str">
        <f>'Audit Report'!B779</f>
        <v>ITD-X778</v>
      </c>
      <c r="E779" t="str">
        <f>'Audit Report'!C779</f>
        <v/>
      </c>
      <c r="I779" t="str">
        <f>'Audit Report'!D779</f>
        <v/>
      </c>
      <c r="J779" t="str">
        <f>'Audit Report'!H779</f>
        <v/>
      </c>
      <c r="L779" t="str">
        <f>_xlfn.TEXTJOIN(", ", FALSE, 'Audit Report'!K779,'Audit Report'!L779,'Audit Report'!M779)</f>
        <v xml:space="preserve">, , </v>
      </c>
      <c r="M779" t="str">
        <f>'Audit Report'!O779</f>
        <v/>
      </c>
      <c r="R779" t="str">
        <f>'Audit Report'!F779</f>
        <v/>
      </c>
      <c r="S779" t="str">
        <f>'Audit Report'!Q779</f>
        <v/>
      </c>
    </row>
    <row r="780" spans="4:19">
      <c r="D780" t="str">
        <f>'Audit Report'!B780</f>
        <v>ITD-X779</v>
      </c>
      <c r="E780" t="str">
        <f>'Audit Report'!C780</f>
        <v/>
      </c>
      <c r="I780" t="str">
        <f>'Audit Report'!D780</f>
        <v/>
      </c>
      <c r="J780" t="str">
        <f>'Audit Report'!H780</f>
        <v/>
      </c>
      <c r="L780" t="str">
        <f>_xlfn.TEXTJOIN(", ", FALSE, 'Audit Report'!K780,'Audit Report'!L780,'Audit Report'!M780)</f>
        <v xml:space="preserve">, , </v>
      </c>
      <c r="M780" t="str">
        <f>'Audit Report'!O780</f>
        <v/>
      </c>
      <c r="R780" t="str">
        <f>'Audit Report'!F780</f>
        <v/>
      </c>
      <c r="S780" t="str">
        <f>'Audit Report'!Q780</f>
        <v/>
      </c>
    </row>
    <row r="781" spans="4:19">
      <c r="D781" t="str">
        <f>'Audit Report'!B781</f>
        <v>ITD-X780</v>
      </c>
      <c r="E781" t="str">
        <f>'Audit Report'!C781</f>
        <v/>
      </c>
      <c r="I781" t="str">
        <f>'Audit Report'!D781</f>
        <v/>
      </c>
      <c r="J781" t="str">
        <f>'Audit Report'!H781</f>
        <v/>
      </c>
      <c r="L781" t="str">
        <f>_xlfn.TEXTJOIN(", ", FALSE, 'Audit Report'!K781,'Audit Report'!L781,'Audit Report'!M781)</f>
        <v xml:space="preserve">, , </v>
      </c>
      <c r="M781" t="str">
        <f>'Audit Report'!O781</f>
        <v/>
      </c>
      <c r="R781" t="str">
        <f>'Audit Report'!F781</f>
        <v/>
      </c>
      <c r="S781" t="str">
        <f>'Audit Report'!Q781</f>
        <v/>
      </c>
    </row>
    <row r="782" spans="4:19">
      <c r="D782" t="str">
        <f>'Audit Report'!B782</f>
        <v>ITD-X781</v>
      </c>
      <c r="E782" t="str">
        <f>'Audit Report'!C782</f>
        <v/>
      </c>
      <c r="I782" t="str">
        <f>'Audit Report'!D782</f>
        <v/>
      </c>
      <c r="J782" t="str">
        <f>'Audit Report'!H782</f>
        <v/>
      </c>
      <c r="L782" t="str">
        <f>_xlfn.TEXTJOIN(", ", FALSE, 'Audit Report'!K782,'Audit Report'!L782,'Audit Report'!M782)</f>
        <v xml:space="preserve">, , </v>
      </c>
      <c r="M782" t="str">
        <f>'Audit Report'!O782</f>
        <v/>
      </c>
      <c r="R782" t="str">
        <f>'Audit Report'!F782</f>
        <v/>
      </c>
      <c r="S782" t="str">
        <f>'Audit Report'!Q782</f>
        <v/>
      </c>
    </row>
    <row r="783" spans="4:19">
      <c r="D783" t="str">
        <f>'Audit Report'!B783</f>
        <v>ITD-X782</v>
      </c>
      <c r="E783" t="str">
        <f>'Audit Report'!C783</f>
        <v/>
      </c>
      <c r="I783" t="str">
        <f>'Audit Report'!D783</f>
        <v/>
      </c>
      <c r="J783" t="str">
        <f>'Audit Report'!H783</f>
        <v/>
      </c>
      <c r="L783" t="str">
        <f>_xlfn.TEXTJOIN(", ", FALSE, 'Audit Report'!K783,'Audit Report'!L783,'Audit Report'!M783)</f>
        <v xml:space="preserve">, , </v>
      </c>
      <c r="M783" t="str">
        <f>'Audit Report'!O783</f>
        <v/>
      </c>
      <c r="R783" t="str">
        <f>'Audit Report'!F783</f>
        <v/>
      </c>
      <c r="S783" t="str">
        <f>'Audit Report'!Q783</f>
        <v/>
      </c>
    </row>
    <row r="784" spans="4:19">
      <c r="D784" t="str">
        <f>'Audit Report'!B784</f>
        <v>ITD-X783</v>
      </c>
      <c r="E784" t="str">
        <f>'Audit Report'!C784</f>
        <v/>
      </c>
      <c r="I784" t="str">
        <f>'Audit Report'!D784</f>
        <v/>
      </c>
      <c r="J784" t="str">
        <f>'Audit Report'!H784</f>
        <v/>
      </c>
      <c r="L784" t="str">
        <f>_xlfn.TEXTJOIN(", ", FALSE, 'Audit Report'!K784,'Audit Report'!L784,'Audit Report'!M784)</f>
        <v xml:space="preserve">, , </v>
      </c>
      <c r="M784" t="str">
        <f>'Audit Report'!O784</f>
        <v/>
      </c>
      <c r="R784" t="str">
        <f>'Audit Report'!F784</f>
        <v/>
      </c>
      <c r="S784" t="str">
        <f>'Audit Report'!Q784</f>
        <v/>
      </c>
    </row>
    <row r="785" spans="4:19">
      <c r="D785" t="str">
        <f>'Audit Report'!B785</f>
        <v>ITD-X784</v>
      </c>
      <c r="E785" t="str">
        <f>'Audit Report'!C785</f>
        <v/>
      </c>
      <c r="I785" t="str">
        <f>'Audit Report'!D785</f>
        <v/>
      </c>
      <c r="J785" t="str">
        <f>'Audit Report'!H785</f>
        <v/>
      </c>
      <c r="L785" t="str">
        <f>_xlfn.TEXTJOIN(", ", FALSE, 'Audit Report'!K785,'Audit Report'!L785,'Audit Report'!M785)</f>
        <v xml:space="preserve">, , </v>
      </c>
      <c r="M785" t="str">
        <f>'Audit Report'!O785</f>
        <v/>
      </c>
      <c r="R785" t="str">
        <f>'Audit Report'!F785</f>
        <v/>
      </c>
      <c r="S785" t="str">
        <f>'Audit Report'!Q785</f>
        <v/>
      </c>
    </row>
    <row r="786" spans="4:19">
      <c r="D786" t="str">
        <f>'Audit Report'!B786</f>
        <v>ITD-X785</v>
      </c>
      <c r="E786" t="str">
        <f>'Audit Report'!C786</f>
        <v/>
      </c>
      <c r="I786" t="str">
        <f>'Audit Report'!D786</f>
        <v/>
      </c>
      <c r="J786" t="str">
        <f>'Audit Report'!H786</f>
        <v/>
      </c>
      <c r="L786" t="str">
        <f>_xlfn.TEXTJOIN(", ", FALSE, 'Audit Report'!K786,'Audit Report'!L786,'Audit Report'!M786)</f>
        <v xml:space="preserve">, , </v>
      </c>
      <c r="M786" t="str">
        <f>'Audit Report'!O786</f>
        <v/>
      </c>
      <c r="R786" t="str">
        <f>'Audit Report'!F786</f>
        <v/>
      </c>
      <c r="S786" t="str">
        <f>'Audit Report'!Q786</f>
        <v/>
      </c>
    </row>
    <row r="787" spans="4:19">
      <c r="D787" t="str">
        <f>'Audit Report'!B787</f>
        <v>ITD-X786</v>
      </c>
      <c r="E787" t="str">
        <f>'Audit Report'!C787</f>
        <v/>
      </c>
      <c r="I787" t="str">
        <f>'Audit Report'!D787</f>
        <v/>
      </c>
      <c r="J787" t="str">
        <f>'Audit Report'!H787</f>
        <v/>
      </c>
      <c r="L787" t="str">
        <f>_xlfn.TEXTJOIN(", ", FALSE, 'Audit Report'!K787,'Audit Report'!L787,'Audit Report'!M787)</f>
        <v xml:space="preserve">, , </v>
      </c>
      <c r="M787" t="str">
        <f>'Audit Report'!O787</f>
        <v/>
      </c>
      <c r="R787" t="str">
        <f>'Audit Report'!F787</f>
        <v/>
      </c>
      <c r="S787" t="str">
        <f>'Audit Report'!Q787</f>
        <v/>
      </c>
    </row>
    <row r="788" spans="4:19">
      <c r="D788" t="str">
        <f>'Audit Report'!B788</f>
        <v>ITD-X787</v>
      </c>
      <c r="E788" t="str">
        <f>'Audit Report'!C788</f>
        <v/>
      </c>
      <c r="I788" t="str">
        <f>'Audit Report'!D788</f>
        <v/>
      </c>
      <c r="J788" t="str">
        <f>'Audit Report'!H788</f>
        <v/>
      </c>
      <c r="L788" t="str">
        <f>_xlfn.TEXTJOIN(", ", FALSE, 'Audit Report'!K788,'Audit Report'!L788,'Audit Report'!M788)</f>
        <v xml:space="preserve">, , </v>
      </c>
      <c r="M788" t="str">
        <f>'Audit Report'!O788</f>
        <v/>
      </c>
      <c r="R788" t="str">
        <f>'Audit Report'!F788</f>
        <v/>
      </c>
      <c r="S788" t="str">
        <f>'Audit Report'!Q788</f>
        <v/>
      </c>
    </row>
    <row r="789" spans="4:19">
      <c r="D789" t="str">
        <f>'Audit Report'!B789</f>
        <v>ITD-X788</v>
      </c>
      <c r="E789" t="str">
        <f>'Audit Report'!C789</f>
        <v/>
      </c>
      <c r="I789" t="str">
        <f>'Audit Report'!D789</f>
        <v/>
      </c>
      <c r="J789" t="str">
        <f>'Audit Report'!H789</f>
        <v/>
      </c>
      <c r="L789" t="str">
        <f>_xlfn.TEXTJOIN(", ", FALSE, 'Audit Report'!K789,'Audit Report'!L789,'Audit Report'!M789)</f>
        <v xml:space="preserve">, , </v>
      </c>
      <c r="M789" t="str">
        <f>'Audit Report'!O789</f>
        <v/>
      </c>
      <c r="R789" t="str">
        <f>'Audit Report'!F789</f>
        <v/>
      </c>
      <c r="S789" t="str">
        <f>'Audit Report'!Q789</f>
        <v/>
      </c>
    </row>
    <row r="790" spans="4:19">
      <c r="D790" t="str">
        <f>'Audit Report'!B790</f>
        <v>ITD-X789</v>
      </c>
      <c r="E790" t="str">
        <f>'Audit Report'!C790</f>
        <v/>
      </c>
      <c r="I790" t="str">
        <f>'Audit Report'!D790</f>
        <v/>
      </c>
      <c r="J790" t="str">
        <f>'Audit Report'!H790</f>
        <v/>
      </c>
      <c r="L790" t="str">
        <f>_xlfn.TEXTJOIN(", ", FALSE, 'Audit Report'!K790,'Audit Report'!L790,'Audit Report'!M790)</f>
        <v xml:space="preserve">, , </v>
      </c>
      <c r="M790" t="str">
        <f>'Audit Report'!O790</f>
        <v/>
      </c>
      <c r="R790" t="str">
        <f>'Audit Report'!F790</f>
        <v/>
      </c>
      <c r="S790" t="str">
        <f>'Audit Report'!Q790</f>
        <v/>
      </c>
    </row>
    <row r="791" spans="4:19">
      <c r="D791" t="str">
        <f>'Audit Report'!B791</f>
        <v>ITD-X790</v>
      </c>
      <c r="E791" t="str">
        <f>'Audit Report'!C791</f>
        <v/>
      </c>
      <c r="I791" t="str">
        <f>'Audit Report'!D791</f>
        <v/>
      </c>
      <c r="J791" t="str">
        <f>'Audit Report'!H791</f>
        <v/>
      </c>
      <c r="L791" t="str">
        <f>_xlfn.TEXTJOIN(", ", FALSE, 'Audit Report'!K791,'Audit Report'!L791,'Audit Report'!M791)</f>
        <v xml:space="preserve">, , </v>
      </c>
      <c r="M791" t="str">
        <f>'Audit Report'!O791</f>
        <v/>
      </c>
      <c r="R791" t="str">
        <f>'Audit Report'!F791</f>
        <v/>
      </c>
      <c r="S791" t="str">
        <f>'Audit Report'!Q791</f>
        <v/>
      </c>
    </row>
    <row r="792" spans="4:19">
      <c r="D792" t="str">
        <f>'Audit Report'!B792</f>
        <v>ITD-X791</v>
      </c>
      <c r="E792" t="str">
        <f>'Audit Report'!C792</f>
        <v/>
      </c>
      <c r="I792" t="str">
        <f>'Audit Report'!D792</f>
        <v/>
      </c>
      <c r="J792" t="str">
        <f>'Audit Report'!H792</f>
        <v/>
      </c>
      <c r="L792" t="str">
        <f>_xlfn.TEXTJOIN(", ", FALSE, 'Audit Report'!K792,'Audit Report'!L792,'Audit Report'!M792)</f>
        <v xml:space="preserve">, , </v>
      </c>
      <c r="M792" t="str">
        <f>'Audit Report'!O792</f>
        <v/>
      </c>
      <c r="R792" t="str">
        <f>'Audit Report'!F792</f>
        <v/>
      </c>
      <c r="S792" t="str">
        <f>'Audit Report'!Q792</f>
        <v/>
      </c>
    </row>
    <row r="793" spans="4:19">
      <c r="D793" t="str">
        <f>'Audit Report'!B793</f>
        <v>ITD-X792</v>
      </c>
      <c r="E793" t="str">
        <f>'Audit Report'!C793</f>
        <v/>
      </c>
      <c r="I793" t="str">
        <f>'Audit Report'!D793</f>
        <v/>
      </c>
      <c r="J793" t="str">
        <f>'Audit Report'!H793</f>
        <v/>
      </c>
      <c r="L793" t="str">
        <f>_xlfn.TEXTJOIN(", ", FALSE, 'Audit Report'!K793,'Audit Report'!L793,'Audit Report'!M793)</f>
        <v xml:space="preserve">, , </v>
      </c>
      <c r="M793" t="str">
        <f>'Audit Report'!O793</f>
        <v/>
      </c>
      <c r="R793" t="str">
        <f>'Audit Report'!F793</f>
        <v/>
      </c>
      <c r="S793" t="str">
        <f>'Audit Report'!Q793</f>
        <v/>
      </c>
    </row>
    <row r="794" spans="4:19">
      <c r="D794" t="str">
        <f>'Audit Report'!B794</f>
        <v>ITD-X793</v>
      </c>
      <c r="E794" t="str">
        <f>'Audit Report'!C794</f>
        <v/>
      </c>
      <c r="I794" t="str">
        <f>'Audit Report'!D794</f>
        <v/>
      </c>
      <c r="J794" t="str">
        <f>'Audit Report'!H794</f>
        <v/>
      </c>
      <c r="L794" t="str">
        <f>_xlfn.TEXTJOIN(", ", FALSE, 'Audit Report'!K794,'Audit Report'!L794,'Audit Report'!M794)</f>
        <v xml:space="preserve">, , </v>
      </c>
      <c r="M794" t="str">
        <f>'Audit Report'!O794</f>
        <v/>
      </c>
      <c r="R794" t="str">
        <f>'Audit Report'!F794</f>
        <v/>
      </c>
      <c r="S794" t="str">
        <f>'Audit Report'!Q794</f>
        <v/>
      </c>
    </row>
    <row r="795" spans="4:19">
      <c r="D795" t="str">
        <f>'Audit Report'!B795</f>
        <v>ITD-X794</v>
      </c>
      <c r="E795" t="str">
        <f>'Audit Report'!C795</f>
        <v/>
      </c>
      <c r="I795" t="str">
        <f>'Audit Report'!D795</f>
        <v/>
      </c>
      <c r="J795" t="str">
        <f>'Audit Report'!H795</f>
        <v/>
      </c>
      <c r="L795" t="str">
        <f>_xlfn.TEXTJOIN(", ", FALSE, 'Audit Report'!K795,'Audit Report'!L795,'Audit Report'!M795)</f>
        <v xml:space="preserve">, , </v>
      </c>
      <c r="M795" t="str">
        <f>'Audit Report'!O795</f>
        <v/>
      </c>
      <c r="R795" t="str">
        <f>'Audit Report'!F795</f>
        <v/>
      </c>
      <c r="S795" t="str">
        <f>'Audit Report'!Q795</f>
        <v/>
      </c>
    </row>
    <row r="796" spans="4:19">
      <c r="D796" t="str">
        <f>'Audit Report'!B796</f>
        <v>ITD-X795</v>
      </c>
      <c r="E796" t="str">
        <f>'Audit Report'!C796</f>
        <v/>
      </c>
      <c r="I796" t="str">
        <f>'Audit Report'!D796</f>
        <v/>
      </c>
      <c r="J796" t="str">
        <f>'Audit Report'!H796</f>
        <v/>
      </c>
      <c r="L796" t="str">
        <f>_xlfn.TEXTJOIN(", ", FALSE, 'Audit Report'!K796,'Audit Report'!L796,'Audit Report'!M796)</f>
        <v xml:space="preserve">, , </v>
      </c>
      <c r="M796" t="str">
        <f>'Audit Report'!O796</f>
        <v/>
      </c>
      <c r="R796" t="str">
        <f>'Audit Report'!F796</f>
        <v/>
      </c>
      <c r="S796" t="str">
        <f>'Audit Report'!Q796</f>
        <v/>
      </c>
    </row>
    <row r="797" spans="4:19">
      <c r="D797" t="str">
        <f>'Audit Report'!B797</f>
        <v>ITD-X796</v>
      </c>
      <c r="E797" t="str">
        <f>'Audit Report'!C797</f>
        <v/>
      </c>
      <c r="I797" t="str">
        <f>'Audit Report'!D797</f>
        <v/>
      </c>
      <c r="J797" t="str">
        <f>'Audit Report'!H797</f>
        <v/>
      </c>
      <c r="L797" t="str">
        <f>_xlfn.TEXTJOIN(", ", FALSE, 'Audit Report'!K797,'Audit Report'!L797,'Audit Report'!M797)</f>
        <v xml:space="preserve">, , </v>
      </c>
      <c r="M797" t="str">
        <f>'Audit Report'!O797</f>
        <v/>
      </c>
      <c r="R797" t="str">
        <f>'Audit Report'!F797</f>
        <v/>
      </c>
      <c r="S797" t="str">
        <f>'Audit Report'!Q797</f>
        <v/>
      </c>
    </row>
    <row r="798" spans="4:19">
      <c r="D798" t="str">
        <f>'Audit Report'!B798</f>
        <v>ITD-X797</v>
      </c>
      <c r="E798" t="str">
        <f>'Audit Report'!C798</f>
        <v/>
      </c>
      <c r="I798" t="str">
        <f>'Audit Report'!D798</f>
        <v/>
      </c>
      <c r="J798" t="str">
        <f>'Audit Report'!H798</f>
        <v/>
      </c>
      <c r="L798" t="str">
        <f>_xlfn.TEXTJOIN(", ", FALSE, 'Audit Report'!K798,'Audit Report'!L798,'Audit Report'!M798)</f>
        <v xml:space="preserve">, , </v>
      </c>
      <c r="M798" t="str">
        <f>'Audit Report'!O798</f>
        <v/>
      </c>
      <c r="R798" t="str">
        <f>'Audit Report'!F798</f>
        <v/>
      </c>
      <c r="S798" t="str">
        <f>'Audit Report'!Q798</f>
        <v/>
      </c>
    </row>
    <row r="799" spans="4:19">
      <c r="D799" t="str">
        <f>'Audit Report'!B799</f>
        <v>ITD-X798</v>
      </c>
      <c r="E799" t="str">
        <f>'Audit Report'!C799</f>
        <v/>
      </c>
      <c r="I799" t="str">
        <f>'Audit Report'!D799</f>
        <v/>
      </c>
      <c r="J799" t="str">
        <f>'Audit Report'!H799</f>
        <v/>
      </c>
      <c r="L799" t="str">
        <f>_xlfn.TEXTJOIN(", ", FALSE, 'Audit Report'!K799,'Audit Report'!L799,'Audit Report'!M799)</f>
        <v xml:space="preserve">, , </v>
      </c>
      <c r="M799" t="str">
        <f>'Audit Report'!O799</f>
        <v/>
      </c>
      <c r="R799" t="str">
        <f>'Audit Report'!F799</f>
        <v/>
      </c>
      <c r="S799" t="str">
        <f>'Audit Report'!Q799</f>
        <v/>
      </c>
    </row>
    <row r="800" spans="4:19">
      <c r="D800" t="str">
        <f>'Audit Report'!B800</f>
        <v>ITD-X799</v>
      </c>
      <c r="E800" t="str">
        <f>'Audit Report'!C800</f>
        <v/>
      </c>
      <c r="I800" t="str">
        <f>'Audit Report'!D800</f>
        <v/>
      </c>
      <c r="J800" t="str">
        <f>'Audit Report'!H800</f>
        <v/>
      </c>
      <c r="L800" t="str">
        <f>_xlfn.TEXTJOIN(", ", FALSE, 'Audit Report'!K800,'Audit Report'!L800,'Audit Report'!M800)</f>
        <v xml:space="preserve">, , </v>
      </c>
      <c r="M800" t="str">
        <f>'Audit Report'!O800</f>
        <v/>
      </c>
      <c r="R800" t="str">
        <f>'Audit Report'!F800</f>
        <v/>
      </c>
      <c r="S800" t="str">
        <f>'Audit Report'!Q800</f>
        <v/>
      </c>
    </row>
    <row r="801" spans="4:19">
      <c r="D801" t="str">
        <f>'Audit Report'!B801</f>
        <v>ITD-X800</v>
      </c>
      <c r="E801" t="str">
        <f>'Audit Report'!C801</f>
        <v/>
      </c>
      <c r="I801" t="str">
        <f>'Audit Report'!D801</f>
        <v/>
      </c>
      <c r="J801" t="str">
        <f>'Audit Report'!H801</f>
        <v/>
      </c>
      <c r="L801" t="str">
        <f>_xlfn.TEXTJOIN(", ", FALSE, 'Audit Report'!K801,'Audit Report'!L801,'Audit Report'!M801)</f>
        <v xml:space="preserve">, , </v>
      </c>
      <c r="M801" t="str">
        <f>'Audit Report'!O801</f>
        <v/>
      </c>
      <c r="R801" t="str">
        <f>'Audit Report'!F801</f>
        <v/>
      </c>
      <c r="S801" t="str">
        <f>'Audit Report'!Q801</f>
        <v/>
      </c>
    </row>
    <row r="802" spans="4:19">
      <c r="D802" t="str">
        <f>'Audit Report'!B802</f>
        <v>ITD-X801</v>
      </c>
      <c r="E802" t="str">
        <f>'Audit Report'!C802</f>
        <v/>
      </c>
      <c r="I802" t="str">
        <f>'Audit Report'!D802</f>
        <v/>
      </c>
      <c r="J802" t="str">
        <f>'Audit Report'!H802</f>
        <v/>
      </c>
      <c r="L802" t="str">
        <f>_xlfn.TEXTJOIN(", ", FALSE, 'Audit Report'!K802,'Audit Report'!L802,'Audit Report'!M802)</f>
        <v xml:space="preserve">, , </v>
      </c>
      <c r="M802" t="str">
        <f>'Audit Report'!O802</f>
        <v/>
      </c>
      <c r="R802" t="str">
        <f>'Audit Report'!F802</f>
        <v/>
      </c>
      <c r="S802" t="str">
        <f>'Audit Report'!Q802</f>
        <v/>
      </c>
    </row>
    <row r="803" spans="4:19">
      <c r="D803" t="str">
        <f>'Audit Report'!B803</f>
        <v>ITD-X802</v>
      </c>
      <c r="E803" t="str">
        <f>'Audit Report'!C803</f>
        <v/>
      </c>
      <c r="I803" t="str">
        <f>'Audit Report'!D803</f>
        <v/>
      </c>
      <c r="J803" t="str">
        <f>'Audit Report'!H803</f>
        <v/>
      </c>
      <c r="L803" t="str">
        <f>_xlfn.TEXTJOIN(", ", FALSE, 'Audit Report'!K803,'Audit Report'!L803,'Audit Report'!M803)</f>
        <v xml:space="preserve">, , </v>
      </c>
      <c r="M803" t="str">
        <f>'Audit Report'!O803</f>
        <v/>
      </c>
      <c r="R803" t="str">
        <f>'Audit Report'!F803</f>
        <v/>
      </c>
      <c r="S803" t="str">
        <f>'Audit Report'!Q803</f>
        <v/>
      </c>
    </row>
    <row r="804" spans="4:19">
      <c r="D804" t="str">
        <f>'Audit Report'!B804</f>
        <v>ITD-X803</v>
      </c>
      <c r="E804" t="str">
        <f>'Audit Report'!C804</f>
        <v/>
      </c>
      <c r="I804" t="str">
        <f>'Audit Report'!D804</f>
        <v/>
      </c>
      <c r="J804" t="str">
        <f>'Audit Report'!H804</f>
        <v/>
      </c>
      <c r="L804" t="str">
        <f>_xlfn.TEXTJOIN(", ", FALSE, 'Audit Report'!K804,'Audit Report'!L804,'Audit Report'!M804)</f>
        <v xml:space="preserve">, , </v>
      </c>
      <c r="M804" t="str">
        <f>'Audit Report'!O804</f>
        <v/>
      </c>
      <c r="R804" t="str">
        <f>'Audit Report'!F804</f>
        <v/>
      </c>
      <c r="S804" t="str">
        <f>'Audit Report'!Q804</f>
        <v/>
      </c>
    </row>
    <row r="805" spans="4:19">
      <c r="D805" t="str">
        <f>'Audit Report'!B805</f>
        <v>ITD-X804</v>
      </c>
      <c r="E805" t="str">
        <f>'Audit Report'!C805</f>
        <v/>
      </c>
      <c r="I805" t="str">
        <f>'Audit Report'!D805</f>
        <v/>
      </c>
      <c r="J805" t="str">
        <f>'Audit Report'!H805</f>
        <v/>
      </c>
      <c r="L805" t="str">
        <f>_xlfn.TEXTJOIN(", ", FALSE, 'Audit Report'!K805,'Audit Report'!L805,'Audit Report'!M805)</f>
        <v xml:space="preserve">, , </v>
      </c>
      <c r="M805" t="str">
        <f>'Audit Report'!O805</f>
        <v/>
      </c>
      <c r="R805" t="str">
        <f>'Audit Report'!F805</f>
        <v/>
      </c>
      <c r="S805" t="str">
        <f>'Audit Report'!Q805</f>
        <v/>
      </c>
    </row>
    <row r="806" spans="4:19">
      <c r="D806" t="str">
        <f>'Audit Report'!B806</f>
        <v>ITD-X805</v>
      </c>
      <c r="E806" t="str">
        <f>'Audit Report'!C806</f>
        <v/>
      </c>
      <c r="I806" t="str">
        <f>'Audit Report'!D806</f>
        <v/>
      </c>
      <c r="J806" t="str">
        <f>'Audit Report'!H806</f>
        <v/>
      </c>
      <c r="L806" t="str">
        <f>_xlfn.TEXTJOIN(", ", FALSE, 'Audit Report'!K806,'Audit Report'!L806,'Audit Report'!M806)</f>
        <v xml:space="preserve">, , </v>
      </c>
      <c r="M806" t="str">
        <f>'Audit Report'!O806</f>
        <v/>
      </c>
      <c r="R806" t="str">
        <f>'Audit Report'!F806</f>
        <v/>
      </c>
      <c r="S806" t="str">
        <f>'Audit Report'!Q806</f>
        <v/>
      </c>
    </row>
    <row r="807" spans="4:19">
      <c r="D807" t="str">
        <f>'Audit Report'!B807</f>
        <v>ITD-X806</v>
      </c>
      <c r="E807" t="str">
        <f>'Audit Report'!C807</f>
        <v/>
      </c>
      <c r="I807" t="str">
        <f>'Audit Report'!D807</f>
        <v/>
      </c>
      <c r="J807" t="str">
        <f>'Audit Report'!H807</f>
        <v/>
      </c>
      <c r="L807" t="str">
        <f>_xlfn.TEXTJOIN(", ", FALSE, 'Audit Report'!K807,'Audit Report'!L807,'Audit Report'!M807)</f>
        <v xml:space="preserve">, , </v>
      </c>
      <c r="M807" t="str">
        <f>'Audit Report'!O807</f>
        <v/>
      </c>
      <c r="R807" t="str">
        <f>'Audit Report'!F807</f>
        <v/>
      </c>
      <c r="S807" t="str">
        <f>'Audit Report'!Q807</f>
        <v/>
      </c>
    </row>
    <row r="808" spans="4:19">
      <c r="D808" t="str">
        <f>'Audit Report'!B808</f>
        <v>ITD-X807</v>
      </c>
      <c r="E808" t="str">
        <f>'Audit Report'!C808</f>
        <v/>
      </c>
      <c r="I808" t="str">
        <f>'Audit Report'!D808</f>
        <v/>
      </c>
      <c r="J808" t="str">
        <f>'Audit Report'!H808</f>
        <v/>
      </c>
      <c r="L808" t="str">
        <f>_xlfn.TEXTJOIN(", ", FALSE, 'Audit Report'!K808,'Audit Report'!L808,'Audit Report'!M808)</f>
        <v xml:space="preserve">, , </v>
      </c>
      <c r="M808" t="str">
        <f>'Audit Report'!O808</f>
        <v/>
      </c>
      <c r="R808" t="str">
        <f>'Audit Report'!F808</f>
        <v/>
      </c>
      <c r="S808" t="str">
        <f>'Audit Report'!Q808</f>
        <v/>
      </c>
    </row>
    <row r="809" spans="4:19">
      <c r="D809" t="str">
        <f>'Audit Report'!B809</f>
        <v>ITD-X808</v>
      </c>
      <c r="E809" t="str">
        <f>'Audit Report'!C809</f>
        <v/>
      </c>
      <c r="I809" t="str">
        <f>'Audit Report'!D809</f>
        <v/>
      </c>
      <c r="J809" t="str">
        <f>'Audit Report'!H809</f>
        <v/>
      </c>
      <c r="L809" t="str">
        <f>_xlfn.TEXTJOIN(", ", FALSE, 'Audit Report'!K809,'Audit Report'!L809,'Audit Report'!M809)</f>
        <v xml:space="preserve">, , </v>
      </c>
      <c r="M809" t="str">
        <f>'Audit Report'!O809</f>
        <v/>
      </c>
      <c r="R809" t="str">
        <f>'Audit Report'!F809</f>
        <v/>
      </c>
      <c r="S809" t="str">
        <f>'Audit Report'!Q809</f>
        <v/>
      </c>
    </row>
    <row r="810" spans="4:19">
      <c r="D810" t="str">
        <f>'Audit Report'!B810</f>
        <v>ITD-X809</v>
      </c>
      <c r="E810" t="str">
        <f>'Audit Report'!C810</f>
        <v/>
      </c>
      <c r="I810" t="str">
        <f>'Audit Report'!D810</f>
        <v/>
      </c>
      <c r="J810" t="str">
        <f>'Audit Report'!H810</f>
        <v/>
      </c>
      <c r="L810" t="str">
        <f>_xlfn.TEXTJOIN(", ", FALSE, 'Audit Report'!K810,'Audit Report'!L810,'Audit Report'!M810)</f>
        <v xml:space="preserve">, , </v>
      </c>
      <c r="M810" t="str">
        <f>'Audit Report'!O810</f>
        <v/>
      </c>
      <c r="R810" t="str">
        <f>'Audit Report'!F810</f>
        <v/>
      </c>
      <c r="S810" t="str">
        <f>'Audit Report'!Q810</f>
        <v/>
      </c>
    </row>
    <row r="811" spans="4:19">
      <c r="D811" t="str">
        <f>'Audit Report'!B811</f>
        <v>ITD-X810</v>
      </c>
      <c r="E811" t="str">
        <f>'Audit Report'!C811</f>
        <v/>
      </c>
      <c r="I811" t="str">
        <f>'Audit Report'!D811</f>
        <v/>
      </c>
      <c r="J811" t="str">
        <f>'Audit Report'!H811</f>
        <v/>
      </c>
      <c r="L811" t="str">
        <f>_xlfn.TEXTJOIN(", ", FALSE, 'Audit Report'!K811,'Audit Report'!L811,'Audit Report'!M811)</f>
        <v xml:space="preserve">, , </v>
      </c>
      <c r="M811" t="str">
        <f>'Audit Report'!O811</f>
        <v/>
      </c>
      <c r="R811" t="str">
        <f>'Audit Report'!F811</f>
        <v/>
      </c>
      <c r="S811" t="str">
        <f>'Audit Report'!Q811</f>
        <v/>
      </c>
    </row>
    <row r="812" spans="4:19">
      <c r="D812" t="str">
        <f>'Audit Report'!B812</f>
        <v>ITD-X811</v>
      </c>
      <c r="E812" t="str">
        <f>'Audit Report'!C812</f>
        <v/>
      </c>
      <c r="I812" t="str">
        <f>'Audit Report'!D812</f>
        <v/>
      </c>
      <c r="J812" t="str">
        <f>'Audit Report'!H812</f>
        <v/>
      </c>
      <c r="L812" t="str">
        <f>_xlfn.TEXTJOIN(", ", FALSE, 'Audit Report'!K812,'Audit Report'!L812,'Audit Report'!M812)</f>
        <v xml:space="preserve">, , </v>
      </c>
      <c r="M812" t="str">
        <f>'Audit Report'!O812</f>
        <v/>
      </c>
      <c r="R812" t="str">
        <f>'Audit Report'!F812</f>
        <v/>
      </c>
      <c r="S812" t="str">
        <f>'Audit Report'!Q812</f>
        <v/>
      </c>
    </row>
    <row r="813" spans="4:19">
      <c r="D813" t="str">
        <f>'Audit Report'!B813</f>
        <v>ITD-X812</v>
      </c>
      <c r="E813" t="str">
        <f>'Audit Report'!C813</f>
        <v/>
      </c>
      <c r="I813" t="str">
        <f>'Audit Report'!D813</f>
        <v/>
      </c>
      <c r="J813" t="str">
        <f>'Audit Report'!H813</f>
        <v/>
      </c>
      <c r="L813" t="str">
        <f>_xlfn.TEXTJOIN(", ", FALSE, 'Audit Report'!K813,'Audit Report'!L813,'Audit Report'!M813)</f>
        <v xml:space="preserve">, , </v>
      </c>
      <c r="M813" t="str">
        <f>'Audit Report'!O813</f>
        <v/>
      </c>
      <c r="R813" t="str">
        <f>'Audit Report'!F813</f>
        <v/>
      </c>
      <c r="S813" t="str">
        <f>'Audit Report'!Q813</f>
        <v/>
      </c>
    </row>
    <row r="814" spans="4:19">
      <c r="D814" t="str">
        <f>'Audit Report'!B814</f>
        <v>ITD-X813</v>
      </c>
      <c r="E814" t="str">
        <f>'Audit Report'!C814</f>
        <v/>
      </c>
      <c r="I814" t="str">
        <f>'Audit Report'!D814</f>
        <v/>
      </c>
      <c r="J814" t="str">
        <f>'Audit Report'!H814</f>
        <v/>
      </c>
      <c r="L814" t="str">
        <f>_xlfn.TEXTJOIN(", ", FALSE, 'Audit Report'!K814,'Audit Report'!L814,'Audit Report'!M814)</f>
        <v xml:space="preserve">, , </v>
      </c>
      <c r="M814" t="str">
        <f>'Audit Report'!O814</f>
        <v/>
      </c>
      <c r="R814" t="str">
        <f>'Audit Report'!F814</f>
        <v/>
      </c>
      <c r="S814" t="str">
        <f>'Audit Report'!Q814</f>
        <v/>
      </c>
    </row>
    <row r="815" spans="4:19">
      <c r="D815" t="str">
        <f>'Audit Report'!B815</f>
        <v>ITD-X814</v>
      </c>
      <c r="E815" t="str">
        <f>'Audit Report'!C815</f>
        <v/>
      </c>
      <c r="I815" t="str">
        <f>'Audit Report'!D815</f>
        <v/>
      </c>
      <c r="J815" t="str">
        <f>'Audit Report'!H815</f>
        <v/>
      </c>
      <c r="L815" t="str">
        <f>_xlfn.TEXTJOIN(", ", FALSE, 'Audit Report'!K815,'Audit Report'!L815,'Audit Report'!M815)</f>
        <v xml:space="preserve">, , </v>
      </c>
      <c r="M815" t="str">
        <f>'Audit Report'!O815</f>
        <v/>
      </c>
      <c r="R815" t="str">
        <f>'Audit Report'!F815</f>
        <v/>
      </c>
      <c r="S815" t="str">
        <f>'Audit Report'!Q815</f>
        <v/>
      </c>
    </row>
    <row r="816" spans="4:19">
      <c r="D816" t="str">
        <f>'Audit Report'!B816</f>
        <v>ITD-X815</v>
      </c>
      <c r="E816" t="str">
        <f>'Audit Report'!C816</f>
        <v/>
      </c>
      <c r="I816" t="str">
        <f>'Audit Report'!D816</f>
        <v/>
      </c>
      <c r="J816" t="str">
        <f>'Audit Report'!H816</f>
        <v/>
      </c>
      <c r="L816" t="str">
        <f>_xlfn.TEXTJOIN(", ", FALSE, 'Audit Report'!K816,'Audit Report'!L816,'Audit Report'!M816)</f>
        <v xml:space="preserve">, , </v>
      </c>
      <c r="M816" t="str">
        <f>'Audit Report'!O816</f>
        <v/>
      </c>
      <c r="R816" t="str">
        <f>'Audit Report'!F816</f>
        <v/>
      </c>
      <c r="S816" t="str">
        <f>'Audit Report'!Q816</f>
        <v/>
      </c>
    </row>
    <row r="817" spans="4:19">
      <c r="D817" t="str">
        <f>'Audit Report'!B817</f>
        <v>ITD-X816</v>
      </c>
      <c r="E817" t="str">
        <f>'Audit Report'!C817</f>
        <v/>
      </c>
      <c r="I817" t="str">
        <f>'Audit Report'!D817</f>
        <v/>
      </c>
      <c r="J817" t="str">
        <f>'Audit Report'!H817</f>
        <v/>
      </c>
      <c r="L817" t="str">
        <f>_xlfn.TEXTJOIN(", ", FALSE, 'Audit Report'!K817,'Audit Report'!L817,'Audit Report'!M817)</f>
        <v xml:space="preserve">, , </v>
      </c>
      <c r="M817" t="str">
        <f>'Audit Report'!O817</f>
        <v/>
      </c>
      <c r="R817" t="str">
        <f>'Audit Report'!F817</f>
        <v/>
      </c>
      <c r="S817" t="str">
        <f>'Audit Report'!Q817</f>
        <v/>
      </c>
    </row>
    <row r="818" spans="4:19">
      <c r="D818" t="str">
        <f>'Audit Report'!B818</f>
        <v>ITD-X817</v>
      </c>
      <c r="E818" t="str">
        <f>'Audit Report'!C818</f>
        <v/>
      </c>
      <c r="I818" t="str">
        <f>'Audit Report'!D818</f>
        <v/>
      </c>
      <c r="J818" t="str">
        <f>'Audit Report'!H818</f>
        <v/>
      </c>
      <c r="L818" t="str">
        <f>_xlfn.TEXTJOIN(", ", FALSE, 'Audit Report'!K818,'Audit Report'!L818,'Audit Report'!M818)</f>
        <v xml:space="preserve">, , </v>
      </c>
      <c r="M818" t="str">
        <f>'Audit Report'!O818</f>
        <v/>
      </c>
      <c r="R818" t="str">
        <f>'Audit Report'!F818</f>
        <v/>
      </c>
      <c r="S818" t="str">
        <f>'Audit Report'!Q818</f>
        <v/>
      </c>
    </row>
    <row r="819" spans="4:19">
      <c r="D819" t="str">
        <f>'Audit Report'!B819</f>
        <v>ITD-X818</v>
      </c>
      <c r="E819" t="str">
        <f>'Audit Report'!C819</f>
        <v/>
      </c>
      <c r="I819" t="str">
        <f>'Audit Report'!D819</f>
        <v/>
      </c>
      <c r="J819" t="str">
        <f>'Audit Report'!H819</f>
        <v/>
      </c>
      <c r="L819" t="str">
        <f>_xlfn.TEXTJOIN(", ", FALSE, 'Audit Report'!K819,'Audit Report'!L819,'Audit Report'!M819)</f>
        <v xml:space="preserve">, , </v>
      </c>
      <c r="M819" t="str">
        <f>'Audit Report'!O819</f>
        <v/>
      </c>
      <c r="R819" t="str">
        <f>'Audit Report'!F819</f>
        <v/>
      </c>
      <c r="S819" t="str">
        <f>'Audit Report'!Q819</f>
        <v/>
      </c>
    </row>
    <row r="820" spans="4:19">
      <c r="D820" t="str">
        <f>'Audit Report'!B820</f>
        <v>ITD-X819</v>
      </c>
      <c r="E820" t="str">
        <f>'Audit Report'!C820</f>
        <v/>
      </c>
      <c r="I820" t="str">
        <f>'Audit Report'!D820</f>
        <v/>
      </c>
      <c r="J820" t="str">
        <f>'Audit Report'!H820</f>
        <v/>
      </c>
      <c r="L820" t="str">
        <f>_xlfn.TEXTJOIN(", ", FALSE, 'Audit Report'!K820,'Audit Report'!L820,'Audit Report'!M820)</f>
        <v xml:space="preserve">, , </v>
      </c>
      <c r="M820" t="str">
        <f>'Audit Report'!O820</f>
        <v/>
      </c>
      <c r="R820" t="str">
        <f>'Audit Report'!F820</f>
        <v/>
      </c>
      <c r="S820" t="str">
        <f>'Audit Report'!Q820</f>
        <v/>
      </c>
    </row>
    <row r="821" spans="4:19">
      <c r="D821" t="str">
        <f>'Audit Report'!B821</f>
        <v>ITD-X820</v>
      </c>
      <c r="E821" t="str">
        <f>'Audit Report'!C821</f>
        <v/>
      </c>
      <c r="I821" t="str">
        <f>'Audit Report'!D821</f>
        <v/>
      </c>
      <c r="J821" t="str">
        <f>'Audit Report'!H821</f>
        <v/>
      </c>
      <c r="L821" t="str">
        <f>_xlfn.TEXTJOIN(", ", FALSE, 'Audit Report'!K821,'Audit Report'!L821,'Audit Report'!M821)</f>
        <v xml:space="preserve">, , </v>
      </c>
      <c r="M821" t="str">
        <f>'Audit Report'!O821</f>
        <v/>
      </c>
      <c r="R821" t="str">
        <f>'Audit Report'!F821</f>
        <v/>
      </c>
      <c r="S821" t="str">
        <f>'Audit Report'!Q821</f>
        <v/>
      </c>
    </row>
    <row r="822" spans="4:19">
      <c r="D822" t="str">
        <f>'Audit Report'!B822</f>
        <v>ITD-X821</v>
      </c>
      <c r="E822" t="str">
        <f>'Audit Report'!C822</f>
        <v/>
      </c>
      <c r="I822" t="str">
        <f>'Audit Report'!D822</f>
        <v/>
      </c>
      <c r="J822" t="str">
        <f>'Audit Report'!H822</f>
        <v/>
      </c>
      <c r="L822" t="str">
        <f>_xlfn.TEXTJOIN(", ", FALSE, 'Audit Report'!K822,'Audit Report'!L822,'Audit Report'!M822)</f>
        <v xml:space="preserve">, , </v>
      </c>
      <c r="M822" t="str">
        <f>'Audit Report'!O822</f>
        <v/>
      </c>
      <c r="R822" t="str">
        <f>'Audit Report'!F822</f>
        <v/>
      </c>
      <c r="S822" t="str">
        <f>'Audit Report'!Q822</f>
        <v/>
      </c>
    </row>
    <row r="823" spans="4:19">
      <c r="D823" t="str">
        <f>'Audit Report'!B823</f>
        <v>ITD-X822</v>
      </c>
      <c r="E823" t="str">
        <f>'Audit Report'!C823</f>
        <v/>
      </c>
      <c r="I823" t="str">
        <f>'Audit Report'!D823</f>
        <v/>
      </c>
      <c r="J823" t="str">
        <f>'Audit Report'!H823</f>
        <v/>
      </c>
      <c r="L823" t="str">
        <f>_xlfn.TEXTJOIN(", ", FALSE, 'Audit Report'!K823,'Audit Report'!L823,'Audit Report'!M823)</f>
        <v xml:space="preserve">, , </v>
      </c>
      <c r="M823" t="str">
        <f>'Audit Report'!O823</f>
        <v/>
      </c>
      <c r="R823" t="str">
        <f>'Audit Report'!F823</f>
        <v/>
      </c>
      <c r="S823" t="str">
        <f>'Audit Report'!Q823</f>
        <v/>
      </c>
    </row>
    <row r="824" spans="4:19">
      <c r="D824" t="str">
        <f>'Audit Report'!B824</f>
        <v>ITD-X823</v>
      </c>
      <c r="E824" t="str">
        <f>'Audit Report'!C824</f>
        <v/>
      </c>
      <c r="I824" t="str">
        <f>'Audit Report'!D824</f>
        <v/>
      </c>
      <c r="J824" t="str">
        <f>'Audit Report'!H824</f>
        <v/>
      </c>
      <c r="L824" t="str">
        <f>_xlfn.TEXTJOIN(", ", FALSE, 'Audit Report'!K824,'Audit Report'!L824,'Audit Report'!M824)</f>
        <v xml:space="preserve">, , </v>
      </c>
      <c r="M824" t="str">
        <f>'Audit Report'!O824</f>
        <v/>
      </c>
      <c r="R824" t="str">
        <f>'Audit Report'!F824</f>
        <v/>
      </c>
      <c r="S824" t="str">
        <f>'Audit Report'!Q824</f>
        <v/>
      </c>
    </row>
    <row r="825" spans="4:19">
      <c r="D825" t="str">
        <f>'Audit Report'!B825</f>
        <v>ITD-X824</v>
      </c>
      <c r="E825" t="str">
        <f>'Audit Report'!C825</f>
        <v/>
      </c>
      <c r="I825" t="str">
        <f>'Audit Report'!D825</f>
        <v/>
      </c>
      <c r="J825" t="str">
        <f>'Audit Report'!H825</f>
        <v/>
      </c>
      <c r="L825" t="str">
        <f>_xlfn.TEXTJOIN(", ", FALSE, 'Audit Report'!K825,'Audit Report'!L825,'Audit Report'!M825)</f>
        <v xml:space="preserve">, , </v>
      </c>
      <c r="M825" t="str">
        <f>'Audit Report'!O825</f>
        <v/>
      </c>
      <c r="R825" t="str">
        <f>'Audit Report'!F825</f>
        <v/>
      </c>
      <c r="S825" t="str">
        <f>'Audit Report'!Q825</f>
        <v/>
      </c>
    </row>
    <row r="826" spans="4:19">
      <c r="D826" t="str">
        <f>'Audit Report'!B826</f>
        <v>ITD-X825</v>
      </c>
      <c r="E826" t="str">
        <f>'Audit Report'!C826</f>
        <v/>
      </c>
      <c r="I826" t="str">
        <f>'Audit Report'!D826</f>
        <v/>
      </c>
      <c r="J826" t="str">
        <f>'Audit Report'!H826</f>
        <v/>
      </c>
      <c r="L826" t="str">
        <f>_xlfn.TEXTJOIN(", ", FALSE, 'Audit Report'!K826,'Audit Report'!L826,'Audit Report'!M826)</f>
        <v xml:space="preserve">, , </v>
      </c>
      <c r="M826" t="str">
        <f>'Audit Report'!O826</f>
        <v/>
      </c>
      <c r="R826" t="str">
        <f>'Audit Report'!F826</f>
        <v/>
      </c>
      <c r="S826" t="str">
        <f>'Audit Report'!Q826</f>
        <v/>
      </c>
    </row>
    <row r="827" spans="4:19">
      <c r="D827" t="str">
        <f>'Audit Report'!B827</f>
        <v>ITD-X826</v>
      </c>
      <c r="E827" t="str">
        <f>'Audit Report'!C827</f>
        <v/>
      </c>
      <c r="I827" t="str">
        <f>'Audit Report'!D827</f>
        <v/>
      </c>
      <c r="J827" t="str">
        <f>'Audit Report'!H827</f>
        <v/>
      </c>
      <c r="L827" t="str">
        <f>_xlfn.TEXTJOIN(", ", FALSE, 'Audit Report'!K827,'Audit Report'!L827,'Audit Report'!M827)</f>
        <v xml:space="preserve">, , </v>
      </c>
      <c r="M827" t="str">
        <f>'Audit Report'!O827</f>
        <v/>
      </c>
      <c r="R827" t="str">
        <f>'Audit Report'!F827</f>
        <v/>
      </c>
      <c r="S827" t="str">
        <f>'Audit Report'!Q827</f>
        <v/>
      </c>
    </row>
    <row r="828" spans="4:19">
      <c r="D828" t="str">
        <f>'Audit Report'!B828</f>
        <v>ITD-X827</v>
      </c>
      <c r="E828" t="str">
        <f>'Audit Report'!C828</f>
        <v/>
      </c>
      <c r="I828" t="str">
        <f>'Audit Report'!D828</f>
        <v/>
      </c>
      <c r="J828" t="str">
        <f>'Audit Report'!H828</f>
        <v/>
      </c>
      <c r="L828" t="str">
        <f>_xlfn.TEXTJOIN(", ", FALSE, 'Audit Report'!K828,'Audit Report'!L828,'Audit Report'!M828)</f>
        <v xml:space="preserve">, , </v>
      </c>
      <c r="M828" t="str">
        <f>'Audit Report'!O828</f>
        <v/>
      </c>
      <c r="R828" t="str">
        <f>'Audit Report'!F828</f>
        <v/>
      </c>
      <c r="S828" t="str">
        <f>'Audit Report'!Q828</f>
        <v/>
      </c>
    </row>
    <row r="829" spans="4:19">
      <c r="D829" t="str">
        <f>'Audit Report'!B829</f>
        <v>ITD-X828</v>
      </c>
      <c r="E829" t="str">
        <f>'Audit Report'!C829</f>
        <v/>
      </c>
      <c r="I829" t="str">
        <f>'Audit Report'!D829</f>
        <v/>
      </c>
      <c r="J829" t="str">
        <f>'Audit Report'!H829</f>
        <v/>
      </c>
      <c r="L829" t="str">
        <f>_xlfn.TEXTJOIN(", ", FALSE, 'Audit Report'!K829,'Audit Report'!L829,'Audit Report'!M829)</f>
        <v xml:space="preserve">, , </v>
      </c>
      <c r="M829" t="str">
        <f>'Audit Report'!O829</f>
        <v/>
      </c>
      <c r="R829" t="str">
        <f>'Audit Report'!F829</f>
        <v/>
      </c>
      <c r="S829" t="str">
        <f>'Audit Report'!Q829</f>
        <v/>
      </c>
    </row>
    <row r="830" spans="4:19">
      <c r="D830" t="str">
        <f>'Audit Report'!B830</f>
        <v>ITD-X829</v>
      </c>
      <c r="E830" t="str">
        <f>'Audit Report'!C830</f>
        <v/>
      </c>
      <c r="I830" t="str">
        <f>'Audit Report'!D830</f>
        <v/>
      </c>
      <c r="J830" t="str">
        <f>'Audit Report'!H830</f>
        <v/>
      </c>
      <c r="L830" t="str">
        <f>_xlfn.TEXTJOIN(", ", FALSE, 'Audit Report'!K830,'Audit Report'!L830,'Audit Report'!M830)</f>
        <v xml:space="preserve">, , </v>
      </c>
      <c r="M830" t="str">
        <f>'Audit Report'!O830</f>
        <v/>
      </c>
      <c r="R830" t="str">
        <f>'Audit Report'!F830</f>
        <v/>
      </c>
      <c r="S830" t="str">
        <f>'Audit Report'!Q830</f>
        <v/>
      </c>
    </row>
    <row r="831" spans="4:19">
      <c r="D831" t="str">
        <f>'Audit Report'!B831</f>
        <v>ITD-X830</v>
      </c>
      <c r="E831" t="str">
        <f>'Audit Report'!C831</f>
        <v/>
      </c>
      <c r="I831" t="str">
        <f>'Audit Report'!D831</f>
        <v/>
      </c>
      <c r="J831" t="str">
        <f>'Audit Report'!H831</f>
        <v/>
      </c>
      <c r="L831" t="str">
        <f>_xlfn.TEXTJOIN(", ", FALSE, 'Audit Report'!K831,'Audit Report'!L831,'Audit Report'!M831)</f>
        <v xml:space="preserve">, , </v>
      </c>
      <c r="M831" t="str">
        <f>'Audit Report'!O831</f>
        <v/>
      </c>
      <c r="R831" t="str">
        <f>'Audit Report'!F831</f>
        <v/>
      </c>
      <c r="S831" t="str">
        <f>'Audit Report'!Q831</f>
        <v/>
      </c>
    </row>
    <row r="832" spans="4:19">
      <c r="D832" t="str">
        <f>'Audit Report'!B832</f>
        <v>ITD-X831</v>
      </c>
      <c r="E832" t="str">
        <f>'Audit Report'!C832</f>
        <v/>
      </c>
      <c r="I832" t="str">
        <f>'Audit Report'!D832</f>
        <v/>
      </c>
      <c r="J832" t="str">
        <f>'Audit Report'!H832</f>
        <v/>
      </c>
      <c r="L832" t="str">
        <f>_xlfn.TEXTJOIN(", ", FALSE, 'Audit Report'!K832,'Audit Report'!L832,'Audit Report'!M832)</f>
        <v xml:space="preserve">, , </v>
      </c>
      <c r="M832" t="str">
        <f>'Audit Report'!O832</f>
        <v/>
      </c>
      <c r="R832" t="str">
        <f>'Audit Report'!F832</f>
        <v/>
      </c>
      <c r="S832" t="str">
        <f>'Audit Report'!Q832</f>
        <v/>
      </c>
    </row>
    <row r="833" spans="4:19">
      <c r="D833" t="str">
        <f>'Audit Report'!B833</f>
        <v>ITD-X832</v>
      </c>
      <c r="E833" t="str">
        <f>'Audit Report'!C833</f>
        <v/>
      </c>
      <c r="I833" t="str">
        <f>'Audit Report'!D833</f>
        <v/>
      </c>
      <c r="J833" t="str">
        <f>'Audit Report'!H833</f>
        <v/>
      </c>
      <c r="L833" t="str">
        <f>_xlfn.TEXTJOIN(", ", FALSE, 'Audit Report'!K833,'Audit Report'!L833,'Audit Report'!M833)</f>
        <v xml:space="preserve">, , </v>
      </c>
      <c r="M833" t="str">
        <f>'Audit Report'!O833</f>
        <v/>
      </c>
      <c r="R833" t="str">
        <f>'Audit Report'!F833</f>
        <v/>
      </c>
      <c r="S833" t="str">
        <f>'Audit Report'!Q833</f>
        <v/>
      </c>
    </row>
    <row r="834" spans="4:19">
      <c r="D834" t="str">
        <f>'Audit Report'!B834</f>
        <v>ITD-X833</v>
      </c>
      <c r="E834" t="str">
        <f>'Audit Report'!C834</f>
        <v/>
      </c>
      <c r="I834" t="str">
        <f>'Audit Report'!D834</f>
        <v/>
      </c>
      <c r="J834" t="str">
        <f>'Audit Report'!H834</f>
        <v/>
      </c>
      <c r="L834" t="str">
        <f>_xlfn.TEXTJOIN(", ", FALSE, 'Audit Report'!K834,'Audit Report'!L834,'Audit Report'!M834)</f>
        <v xml:space="preserve">, , </v>
      </c>
      <c r="M834" t="str">
        <f>'Audit Report'!O834</f>
        <v/>
      </c>
      <c r="R834" t="str">
        <f>'Audit Report'!F834</f>
        <v/>
      </c>
      <c r="S834" t="str">
        <f>'Audit Report'!Q834</f>
        <v/>
      </c>
    </row>
    <row r="835" spans="4:19">
      <c r="D835" t="str">
        <f>'Audit Report'!B835</f>
        <v>ITD-X834</v>
      </c>
      <c r="E835" t="str">
        <f>'Audit Report'!C835</f>
        <v/>
      </c>
      <c r="I835" t="str">
        <f>'Audit Report'!D835</f>
        <v/>
      </c>
      <c r="J835" t="str">
        <f>'Audit Report'!H835</f>
        <v/>
      </c>
      <c r="L835" t="str">
        <f>_xlfn.TEXTJOIN(", ", FALSE, 'Audit Report'!K835,'Audit Report'!L835,'Audit Report'!M835)</f>
        <v xml:space="preserve">, , </v>
      </c>
      <c r="M835" t="str">
        <f>'Audit Report'!O835</f>
        <v/>
      </c>
      <c r="R835" t="str">
        <f>'Audit Report'!F835</f>
        <v/>
      </c>
      <c r="S835" t="str">
        <f>'Audit Report'!Q835</f>
        <v/>
      </c>
    </row>
    <row r="836" spans="4:19">
      <c r="D836" t="str">
        <f>'Audit Report'!B836</f>
        <v>ITD-X835</v>
      </c>
      <c r="E836" t="str">
        <f>'Audit Report'!C836</f>
        <v/>
      </c>
      <c r="I836" t="str">
        <f>'Audit Report'!D836</f>
        <v/>
      </c>
      <c r="J836" t="str">
        <f>'Audit Report'!H836</f>
        <v/>
      </c>
      <c r="L836" t="str">
        <f>_xlfn.TEXTJOIN(", ", FALSE, 'Audit Report'!K836,'Audit Report'!L836,'Audit Report'!M836)</f>
        <v xml:space="preserve">, , </v>
      </c>
      <c r="M836" t="str">
        <f>'Audit Report'!O836</f>
        <v/>
      </c>
      <c r="R836" t="str">
        <f>'Audit Report'!F836</f>
        <v/>
      </c>
      <c r="S836" t="str">
        <f>'Audit Report'!Q836</f>
        <v/>
      </c>
    </row>
    <row r="837" spans="4:19">
      <c r="D837" t="str">
        <f>'Audit Report'!B837</f>
        <v>ITD-X836</v>
      </c>
      <c r="E837" t="str">
        <f>'Audit Report'!C837</f>
        <v/>
      </c>
      <c r="I837" t="str">
        <f>'Audit Report'!D837</f>
        <v/>
      </c>
      <c r="J837" t="str">
        <f>'Audit Report'!H837</f>
        <v/>
      </c>
      <c r="L837" t="str">
        <f>_xlfn.TEXTJOIN(", ", FALSE, 'Audit Report'!K837,'Audit Report'!L837,'Audit Report'!M837)</f>
        <v xml:space="preserve">, , </v>
      </c>
      <c r="M837" t="str">
        <f>'Audit Report'!O837</f>
        <v/>
      </c>
      <c r="R837" t="str">
        <f>'Audit Report'!F837</f>
        <v/>
      </c>
      <c r="S837" t="str">
        <f>'Audit Report'!Q837</f>
        <v/>
      </c>
    </row>
    <row r="838" spans="4:19">
      <c r="D838" t="str">
        <f>'Audit Report'!B838</f>
        <v>ITD-X837</v>
      </c>
      <c r="E838" t="str">
        <f>'Audit Report'!C838</f>
        <v/>
      </c>
      <c r="I838" t="str">
        <f>'Audit Report'!D838</f>
        <v/>
      </c>
      <c r="J838" t="str">
        <f>'Audit Report'!H838</f>
        <v/>
      </c>
      <c r="L838" t="str">
        <f>_xlfn.TEXTJOIN(", ", FALSE, 'Audit Report'!K838,'Audit Report'!L838,'Audit Report'!M838)</f>
        <v xml:space="preserve">, , </v>
      </c>
      <c r="M838" t="str">
        <f>'Audit Report'!O838</f>
        <v/>
      </c>
      <c r="R838" t="str">
        <f>'Audit Report'!F838</f>
        <v/>
      </c>
      <c r="S838" t="str">
        <f>'Audit Report'!Q838</f>
        <v/>
      </c>
    </row>
    <row r="839" spans="4:19">
      <c r="D839" t="str">
        <f>'Audit Report'!B839</f>
        <v>ITD-X838</v>
      </c>
      <c r="E839" t="str">
        <f>'Audit Report'!C839</f>
        <v/>
      </c>
      <c r="I839" t="str">
        <f>'Audit Report'!D839</f>
        <v/>
      </c>
      <c r="J839" t="str">
        <f>'Audit Report'!H839</f>
        <v/>
      </c>
      <c r="L839" t="str">
        <f>_xlfn.TEXTJOIN(", ", FALSE, 'Audit Report'!K839,'Audit Report'!L839,'Audit Report'!M839)</f>
        <v xml:space="preserve">, , </v>
      </c>
      <c r="M839" t="str">
        <f>'Audit Report'!O839</f>
        <v/>
      </c>
      <c r="R839" t="str">
        <f>'Audit Report'!F839</f>
        <v/>
      </c>
      <c r="S839" t="str">
        <f>'Audit Report'!Q839</f>
        <v/>
      </c>
    </row>
    <row r="840" spans="4:19">
      <c r="D840" t="str">
        <f>'Audit Report'!B840</f>
        <v>ITD-X839</v>
      </c>
      <c r="E840" t="str">
        <f>'Audit Report'!C840</f>
        <v/>
      </c>
      <c r="I840" t="str">
        <f>'Audit Report'!D840</f>
        <v/>
      </c>
      <c r="J840" t="str">
        <f>'Audit Report'!H840</f>
        <v/>
      </c>
      <c r="L840" t="str">
        <f>_xlfn.TEXTJOIN(", ", FALSE, 'Audit Report'!K840,'Audit Report'!L840,'Audit Report'!M840)</f>
        <v xml:space="preserve">, , </v>
      </c>
      <c r="M840" t="str">
        <f>'Audit Report'!O840</f>
        <v/>
      </c>
      <c r="R840" t="str">
        <f>'Audit Report'!F840</f>
        <v/>
      </c>
      <c r="S840" t="str">
        <f>'Audit Report'!Q840</f>
        <v/>
      </c>
    </row>
    <row r="841" spans="4:19">
      <c r="D841" t="str">
        <f>'Audit Report'!B841</f>
        <v>ITD-X840</v>
      </c>
      <c r="E841" t="str">
        <f>'Audit Report'!C841</f>
        <v/>
      </c>
      <c r="I841" t="str">
        <f>'Audit Report'!D841</f>
        <v/>
      </c>
      <c r="J841" t="str">
        <f>'Audit Report'!H841</f>
        <v/>
      </c>
      <c r="L841" t="str">
        <f>_xlfn.TEXTJOIN(", ", FALSE, 'Audit Report'!K841,'Audit Report'!L841,'Audit Report'!M841)</f>
        <v xml:space="preserve">, , </v>
      </c>
      <c r="M841" t="str">
        <f>'Audit Report'!O841</f>
        <v/>
      </c>
      <c r="R841" t="str">
        <f>'Audit Report'!F841</f>
        <v/>
      </c>
      <c r="S841" t="str">
        <f>'Audit Report'!Q841</f>
        <v/>
      </c>
    </row>
    <row r="842" spans="4:19">
      <c r="D842" t="str">
        <f>'Audit Report'!B842</f>
        <v>ITD-X841</v>
      </c>
      <c r="E842" t="str">
        <f>'Audit Report'!C842</f>
        <v/>
      </c>
      <c r="I842" t="str">
        <f>'Audit Report'!D842</f>
        <v/>
      </c>
      <c r="J842" t="str">
        <f>'Audit Report'!H842</f>
        <v/>
      </c>
      <c r="L842" t="str">
        <f>_xlfn.TEXTJOIN(", ", FALSE, 'Audit Report'!K842,'Audit Report'!L842,'Audit Report'!M842)</f>
        <v xml:space="preserve">, , </v>
      </c>
      <c r="M842" t="str">
        <f>'Audit Report'!O842</f>
        <v/>
      </c>
      <c r="R842" t="str">
        <f>'Audit Report'!F842</f>
        <v/>
      </c>
      <c r="S842" t="str">
        <f>'Audit Report'!Q842</f>
        <v/>
      </c>
    </row>
    <row r="843" spans="4:19">
      <c r="D843" t="str">
        <f>'Audit Report'!B843</f>
        <v>ITD-X842</v>
      </c>
      <c r="E843" t="str">
        <f>'Audit Report'!C843</f>
        <v/>
      </c>
      <c r="I843" t="str">
        <f>'Audit Report'!D843</f>
        <v/>
      </c>
      <c r="J843" t="str">
        <f>'Audit Report'!H843</f>
        <v/>
      </c>
      <c r="L843" t="str">
        <f>_xlfn.TEXTJOIN(", ", FALSE, 'Audit Report'!K843,'Audit Report'!L843,'Audit Report'!M843)</f>
        <v xml:space="preserve">, , </v>
      </c>
      <c r="M843" t="str">
        <f>'Audit Report'!O843</f>
        <v/>
      </c>
      <c r="R843" t="str">
        <f>'Audit Report'!F843</f>
        <v/>
      </c>
      <c r="S843" t="str">
        <f>'Audit Report'!Q843</f>
        <v/>
      </c>
    </row>
    <row r="844" spans="4:19">
      <c r="D844" t="str">
        <f>'Audit Report'!B844</f>
        <v>ITD-X843</v>
      </c>
      <c r="E844" t="str">
        <f>'Audit Report'!C844</f>
        <v/>
      </c>
      <c r="I844" t="str">
        <f>'Audit Report'!D844</f>
        <v/>
      </c>
      <c r="J844" t="str">
        <f>'Audit Report'!H844</f>
        <v/>
      </c>
      <c r="L844" t="str">
        <f>_xlfn.TEXTJOIN(", ", FALSE, 'Audit Report'!K844,'Audit Report'!L844,'Audit Report'!M844)</f>
        <v xml:space="preserve">, , </v>
      </c>
      <c r="M844" t="str">
        <f>'Audit Report'!O844</f>
        <v/>
      </c>
      <c r="R844" t="str">
        <f>'Audit Report'!F844</f>
        <v/>
      </c>
      <c r="S844" t="str">
        <f>'Audit Report'!Q844</f>
        <v/>
      </c>
    </row>
    <row r="845" spans="4:19">
      <c r="D845" t="str">
        <f>'Audit Report'!B845</f>
        <v>ITD-X844</v>
      </c>
      <c r="E845" t="str">
        <f>'Audit Report'!C845</f>
        <v/>
      </c>
      <c r="I845" t="str">
        <f>'Audit Report'!D845</f>
        <v/>
      </c>
      <c r="J845" t="str">
        <f>'Audit Report'!H845</f>
        <v/>
      </c>
      <c r="L845" t="str">
        <f>_xlfn.TEXTJOIN(", ", FALSE, 'Audit Report'!K845,'Audit Report'!L845,'Audit Report'!M845)</f>
        <v xml:space="preserve">, , </v>
      </c>
      <c r="M845" t="str">
        <f>'Audit Report'!O845</f>
        <v/>
      </c>
      <c r="R845" t="str">
        <f>'Audit Report'!F845</f>
        <v/>
      </c>
      <c r="S845" t="str">
        <f>'Audit Report'!Q845</f>
        <v/>
      </c>
    </row>
    <row r="846" spans="4:19">
      <c r="D846" t="str">
        <f>'Audit Report'!B846</f>
        <v>ITD-X845</v>
      </c>
      <c r="E846" t="str">
        <f>'Audit Report'!C846</f>
        <v/>
      </c>
      <c r="I846" t="str">
        <f>'Audit Report'!D846</f>
        <v/>
      </c>
      <c r="J846" t="str">
        <f>'Audit Report'!H846</f>
        <v/>
      </c>
      <c r="L846" t="str">
        <f>_xlfn.TEXTJOIN(", ", FALSE, 'Audit Report'!K846,'Audit Report'!L846,'Audit Report'!M846)</f>
        <v xml:space="preserve">, , </v>
      </c>
      <c r="M846" t="str">
        <f>'Audit Report'!O846</f>
        <v/>
      </c>
      <c r="R846" t="str">
        <f>'Audit Report'!F846</f>
        <v/>
      </c>
      <c r="S846" t="str">
        <f>'Audit Report'!Q846</f>
        <v/>
      </c>
    </row>
    <row r="847" spans="4:19">
      <c r="D847" t="str">
        <f>'Audit Report'!B847</f>
        <v>ITD-X846</v>
      </c>
      <c r="E847" t="str">
        <f>'Audit Report'!C847</f>
        <v/>
      </c>
      <c r="I847" t="str">
        <f>'Audit Report'!D847</f>
        <v/>
      </c>
      <c r="J847" t="str">
        <f>'Audit Report'!H847</f>
        <v/>
      </c>
      <c r="L847" t="str">
        <f>_xlfn.TEXTJOIN(", ", FALSE, 'Audit Report'!K847,'Audit Report'!L847,'Audit Report'!M847)</f>
        <v xml:space="preserve">, , </v>
      </c>
      <c r="M847" t="str">
        <f>'Audit Report'!O847</f>
        <v/>
      </c>
      <c r="R847" t="str">
        <f>'Audit Report'!F847</f>
        <v/>
      </c>
      <c r="S847" t="str">
        <f>'Audit Report'!Q847</f>
        <v/>
      </c>
    </row>
    <row r="848" spans="4:19">
      <c r="D848" t="str">
        <f>'Audit Report'!B848</f>
        <v>ITD-X847</v>
      </c>
      <c r="E848" t="str">
        <f>'Audit Report'!C848</f>
        <v/>
      </c>
      <c r="I848" t="str">
        <f>'Audit Report'!D848</f>
        <v/>
      </c>
      <c r="J848" t="str">
        <f>'Audit Report'!H848</f>
        <v/>
      </c>
      <c r="L848" t="str">
        <f>_xlfn.TEXTJOIN(", ", FALSE, 'Audit Report'!K848,'Audit Report'!L848,'Audit Report'!M848)</f>
        <v xml:space="preserve">, , </v>
      </c>
      <c r="M848" t="str">
        <f>'Audit Report'!O848</f>
        <v/>
      </c>
      <c r="R848" t="str">
        <f>'Audit Report'!F848</f>
        <v/>
      </c>
      <c r="S848" t="str">
        <f>'Audit Report'!Q848</f>
        <v/>
      </c>
    </row>
    <row r="849" spans="4:19">
      <c r="D849" t="str">
        <f>'Audit Report'!B849</f>
        <v>ITD-X848</v>
      </c>
      <c r="E849" t="str">
        <f>'Audit Report'!C849</f>
        <v/>
      </c>
      <c r="I849" t="str">
        <f>'Audit Report'!D849</f>
        <v/>
      </c>
      <c r="J849" t="str">
        <f>'Audit Report'!H849</f>
        <v/>
      </c>
      <c r="L849" t="str">
        <f>_xlfn.TEXTJOIN(", ", FALSE, 'Audit Report'!K849,'Audit Report'!L849,'Audit Report'!M849)</f>
        <v xml:space="preserve">, , </v>
      </c>
      <c r="M849" t="str">
        <f>'Audit Report'!O849</f>
        <v/>
      </c>
      <c r="R849" t="str">
        <f>'Audit Report'!F849</f>
        <v/>
      </c>
      <c r="S849" t="str">
        <f>'Audit Report'!Q849</f>
        <v/>
      </c>
    </row>
    <row r="850" spans="4:19">
      <c r="D850" t="str">
        <f>'Audit Report'!B850</f>
        <v>ITD-X849</v>
      </c>
      <c r="E850" t="str">
        <f>'Audit Report'!C850</f>
        <v/>
      </c>
      <c r="I850" t="str">
        <f>'Audit Report'!D850</f>
        <v/>
      </c>
      <c r="J850" t="str">
        <f>'Audit Report'!H850</f>
        <v/>
      </c>
      <c r="L850" t="str">
        <f>_xlfn.TEXTJOIN(", ", FALSE, 'Audit Report'!K850,'Audit Report'!L850,'Audit Report'!M850)</f>
        <v xml:space="preserve">, , </v>
      </c>
      <c r="M850" t="str">
        <f>'Audit Report'!O850</f>
        <v/>
      </c>
      <c r="R850" t="str">
        <f>'Audit Report'!F850</f>
        <v/>
      </c>
      <c r="S850" t="str">
        <f>'Audit Report'!Q850</f>
        <v/>
      </c>
    </row>
    <row r="851" spans="4:19">
      <c r="D851" t="str">
        <f>'Audit Report'!B851</f>
        <v>ITD-X850</v>
      </c>
      <c r="E851" t="str">
        <f>'Audit Report'!C851</f>
        <v/>
      </c>
      <c r="I851" t="str">
        <f>'Audit Report'!D851</f>
        <v/>
      </c>
      <c r="J851" t="str">
        <f>'Audit Report'!H851</f>
        <v/>
      </c>
      <c r="L851" t="str">
        <f>_xlfn.TEXTJOIN(", ", FALSE, 'Audit Report'!K851,'Audit Report'!L851,'Audit Report'!M851)</f>
        <v xml:space="preserve">, , </v>
      </c>
      <c r="M851" t="str">
        <f>'Audit Report'!O851</f>
        <v/>
      </c>
      <c r="R851" t="str">
        <f>'Audit Report'!F851</f>
        <v/>
      </c>
      <c r="S851" t="str">
        <f>'Audit Report'!Q851</f>
        <v/>
      </c>
    </row>
    <row r="852" spans="4:19">
      <c r="D852" t="str">
        <f>'Audit Report'!B852</f>
        <v>ITD-X851</v>
      </c>
      <c r="E852" t="str">
        <f>'Audit Report'!C852</f>
        <v/>
      </c>
      <c r="I852" t="str">
        <f>'Audit Report'!D852</f>
        <v/>
      </c>
      <c r="J852" t="str">
        <f>'Audit Report'!H852</f>
        <v/>
      </c>
      <c r="L852" t="str">
        <f>_xlfn.TEXTJOIN(", ", FALSE, 'Audit Report'!K852,'Audit Report'!L852,'Audit Report'!M852)</f>
        <v xml:space="preserve">, , </v>
      </c>
      <c r="M852" t="str">
        <f>'Audit Report'!O852</f>
        <v/>
      </c>
      <c r="R852" t="str">
        <f>'Audit Report'!F852</f>
        <v/>
      </c>
      <c r="S852" t="str">
        <f>'Audit Report'!Q852</f>
        <v/>
      </c>
    </row>
    <row r="853" spans="4:19">
      <c r="D853" t="str">
        <f>'Audit Report'!B853</f>
        <v>ITD-X852</v>
      </c>
      <c r="E853" t="str">
        <f>'Audit Report'!C853</f>
        <v/>
      </c>
      <c r="I853" t="str">
        <f>'Audit Report'!D853</f>
        <v/>
      </c>
      <c r="J853" t="str">
        <f>'Audit Report'!H853</f>
        <v/>
      </c>
      <c r="L853" t="str">
        <f>_xlfn.TEXTJOIN(", ", FALSE, 'Audit Report'!K853,'Audit Report'!L853,'Audit Report'!M853)</f>
        <v xml:space="preserve">, , </v>
      </c>
      <c r="M853" t="str">
        <f>'Audit Report'!O853</f>
        <v/>
      </c>
      <c r="R853" t="str">
        <f>'Audit Report'!F853</f>
        <v/>
      </c>
      <c r="S853" t="str">
        <f>'Audit Report'!Q853</f>
        <v/>
      </c>
    </row>
    <row r="854" spans="4:19">
      <c r="D854" t="str">
        <f>'Audit Report'!B854</f>
        <v>ITD-X853</v>
      </c>
      <c r="E854" t="str">
        <f>'Audit Report'!C854</f>
        <v/>
      </c>
      <c r="I854" t="str">
        <f>'Audit Report'!D854</f>
        <v/>
      </c>
      <c r="J854" t="str">
        <f>'Audit Report'!H854</f>
        <v/>
      </c>
      <c r="L854" t="str">
        <f>_xlfn.TEXTJOIN(", ", FALSE, 'Audit Report'!K854,'Audit Report'!L854,'Audit Report'!M854)</f>
        <v xml:space="preserve">, , </v>
      </c>
      <c r="M854" t="str">
        <f>'Audit Report'!O854</f>
        <v/>
      </c>
      <c r="R854" t="str">
        <f>'Audit Report'!F854</f>
        <v/>
      </c>
      <c r="S854" t="str">
        <f>'Audit Report'!Q854</f>
        <v/>
      </c>
    </row>
    <row r="855" spans="4:19">
      <c r="D855" t="str">
        <f>'Audit Report'!B855</f>
        <v>ITD-X854</v>
      </c>
      <c r="E855" t="str">
        <f>'Audit Report'!C855</f>
        <v/>
      </c>
      <c r="I855" t="str">
        <f>'Audit Report'!D855</f>
        <v/>
      </c>
      <c r="J855" t="str">
        <f>'Audit Report'!H855</f>
        <v/>
      </c>
      <c r="L855" t="str">
        <f>_xlfn.TEXTJOIN(", ", FALSE, 'Audit Report'!K855,'Audit Report'!L855,'Audit Report'!M855)</f>
        <v xml:space="preserve">, , </v>
      </c>
      <c r="M855" t="str">
        <f>'Audit Report'!O855</f>
        <v/>
      </c>
      <c r="R855" t="str">
        <f>'Audit Report'!F855</f>
        <v/>
      </c>
      <c r="S855" t="str">
        <f>'Audit Report'!Q855</f>
        <v/>
      </c>
    </row>
    <row r="856" spans="4:19">
      <c r="D856" t="str">
        <f>'Audit Report'!B856</f>
        <v>ITD-X855</v>
      </c>
      <c r="E856" t="str">
        <f>'Audit Report'!C856</f>
        <v/>
      </c>
      <c r="I856" t="str">
        <f>'Audit Report'!D856</f>
        <v/>
      </c>
      <c r="J856" t="str">
        <f>'Audit Report'!H856</f>
        <v/>
      </c>
      <c r="L856" t="str">
        <f>_xlfn.TEXTJOIN(", ", FALSE, 'Audit Report'!K856,'Audit Report'!L856,'Audit Report'!M856)</f>
        <v xml:space="preserve">, , </v>
      </c>
      <c r="M856" t="str">
        <f>'Audit Report'!O856</f>
        <v/>
      </c>
      <c r="R856" t="str">
        <f>'Audit Report'!F856</f>
        <v/>
      </c>
      <c r="S856" t="str">
        <f>'Audit Report'!Q856</f>
        <v/>
      </c>
    </row>
    <row r="857" spans="4:19">
      <c r="D857" t="str">
        <f>'Audit Report'!B857</f>
        <v>ITD-X856</v>
      </c>
      <c r="E857" t="str">
        <f>'Audit Report'!C857</f>
        <v/>
      </c>
      <c r="I857" t="str">
        <f>'Audit Report'!D857</f>
        <v/>
      </c>
      <c r="J857" t="str">
        <f>'Audit Report'!H857</f>
        <v/>
      </c>
      <c r="L857" t="str">
        <f>_xlfn.TEXTJOIN(", ", FALSE, 'Audit Report'!K857,'Audit Report'!L857,'Audit Report'!M857)</f>
        <v xml:space="preserve">, , </v>
      </c>
      <c r="M857" t="str">
        <f>'Audit Report'!O857</f>
        <v/>
      </c>
      <c r="R857" t="str">
        <f>'Audit Report'!F857</f>
        <v/>
      </c>
      <c r="S857" t="str">
        <f>'Audit Report'!Q857</f>
        <v/>
      </c>
    </row>
    <row r="858" spans="4:19">
      <c r="D858" t="str">
        <f>'Audit Report'!B858</f>
        <v>ITD-X857</v>
      </c>
      <c r="E858" t="str">
        <f>'Audit Report'!C858</f>
        <v/>
      </c>
      <c r="I858" t="str">
        <f>'Audit Report'!D858</f>
        <v/>
      </c>
      <c r="J858" t="str">
        <f>'Audit Report'!H858</f>
        <v/>
      </c>
      <c r="L858" t="str">
        <f>_xlfn.TEXTJOIN(", ", FALSE, 'Audit Report'!K858,'Audit Report'!L858,'Audit Report'!M858)</f>
        <v xml:space="preserve">, , </v>
      </c>
      <c r="M858" t="str">
        <f>'Audit Report'!O858</f>
        <v/>
      </c>
      <c r="R858" t="str">
        <f>'Audit Report'!F858</f>
        <v/>
      </c>
      <c r="S858" t="str">
        <f>'Audit Report'!Q858</f>
        <v/>
      </c>
    </row>
    <row r="859" spans="4:19">
      <c r="D859" t="str">
        <f>'Audit Report'!B859</f>
        <v>ITD-X858</v>
      </c>
      <c r="E859" t="str">
        <f>'Audit Report'!C859</f>
        <v/>
      </c>
      <c r="I859" t="str">
        <f>'Audit Report'!D859</f>
        <v/>
      </c>
      <c r="J859" t="str">
        <f>'Audit Report'!H859</f>
        <v/>
      </c>
      <c r="L859" t="str">
        <f>_xlfn.TEXTJOIN(", ", FALSE, 'Audit Report'!K859,'Audit Report'!L859,'Audit Report'!M859)</f>
        <v xml:space="preserve">, , </v>
      </c>
      <c r="M859" t="str">
        <f>'Audit Report'!O859</f>
        <v/>
      </c>
      <c r="R859" t="str">
        <f>'Audit Report'!F859</f>
        <v/>
      </c>
      <c r="S859" t="str">
        <f>'Audit Report'!Q859</f>
        <v/>
      </c>
    </row>
    <row r="860" spans="4:19">
      <c r="D860" t="str">
        <f>'Audit Report'!B860</f>
        <v>ITD-X859</v>
      </c>
      <c r="E860" t="str">
        <f>'Audit Report'!C860</f>
        <v/>
      </c>
      <c r="I860" t="str">
        <f>'Audit Report'!D860</f>
        <v/>
      </c>
      <c r="J860" t="str">
        <f>'Audit Report'!H860</f>
        <v/>
      </c>
      <c r="L860" t="str">
        <f>_xlfn.TEXTJOIN(", ", FALSE, 'Audit Report'!K860,'Audit Report'!L860,'Audit Report'!M860)</f>
        <v xml:space="preserve">, , </v>
      </c>
      <c r="M860" t="str">
        <f>'Audit Report'!O860</f>
        <v/>
      </c>
      <c r="R860" t="str">
        <f>'Audit Report'!F860</f>
        <v/>
      </c>
      <c r="S860" t="str">
        <f>'Audit Report'!Q860</f>
        <v/>
      </c>
    </row>
    <row r="861" spans="4:19">
      <c r="D861" t="str">
        <f>'Audit Report'!B861</f>
        <v>ITD-X860</v>
      </c>
      <c r="E861" t="str">
        <f>'Audit Report'!C861</f>
        <v/>
      </c>
      <c r="I861" t="str">
        <f>'Audit Report'!D861</f>
        <v/>
      </c>
      <c r="J861" t="str">
        <f>'Audit Report'!H861</f>
        <v/>
      </c>
      <c r="L861" t="str">
        <f>_xlfn.TEXTJOIN(", ", FALSE, 'Audit Report'!K861,'Audit Report'!L861,'Audit Report'!M861)</f>
        <v xml:space="preserve">, , </v>
      </c>
      <c r="M861" t="str">
        <f>'Audit Report'!O861</f>
        <v/>
      </c>
      <c r="R861" t="str">
        <f>'Audit Report'!F861</f>
        <v/>
      </c>
      <c r="S861" t="str">
        <f>'Audit Report'!Q861</f>
        <v/>
      </c>
    </row>
    <row r="862" spans="4:19">
      <c r="D862" t="str">
        <f>'Audit Report'!B862</f>
        <v>ITD-X861</v>
      </c>
      <c r="E862" t="str">
        <f>'Audit Report'!C862</f>
        <v/>
      </c>
      <c r="I862" t="str">
        <f>'Audit Report'!D862</f>
        <v/>
      </c>
      <c r="J862" t="str">
        <f>'Audit Report'!H862</f>
        <v/>
      </c>
      <c r="L862" t="str">
        <f>_xlfn.TEXTJOIN(", ", FALSE, 'Audit Report'!K862,'Audit Report'!L862,'Audit Report'!M862)</f>
        <v xml:space="preserve">, , </v>
      </c>
      <c r="M862" t="str">
        <f>'Audit Report'!O862</f>
        <v/>
      </c>
      <c r="R862" t="str">
        <f>'Audit Report'!F862</f>
        <v/>
      </c>
      <c r="S862" t="str">
        <f>'Audit Report'!Q862</f>
        <v/>
      </c>
    </row>
    <row r="863" spans="4:19">
      <c r="D863" t="str">
        <f>'Audit Report'!B863</f>
        <v>ITD-X862</v>
      </c>
      <c r="E863" t="str">
        <f>'Audit Report'!C863</f>
        <v/>
      </c>
      <c r="I863" t="str">
        <f>'Audit Report'!D863</f>
        <v/>
      </c>
      <c r="J863" t="str">
        <f>'Audit Report'!H863</f>
        <v/>
      </c>
      <c r="L863" t="str">
        <f>_xlfn.TEXTJOIN(", ", FALSE, 'Audit Report'!K863,'Audit Report'!L863,'Audit Report'!M863)</f>
        <v xml:space="preserve">, , </v>
      </c>
      <c r="M863" t="str">
        <f>'Audit Report'!O863</f>
        <v/>
      </c>
      <c r="R863" t="str">
        <f>'Audit Report'!F863</f>
        <v/>
      </c>
      <c r="S863" t="str">
        <f>'Audit Report'!Q863</f>
        <v/>
      </c>
    </row>
    <row r="864" spans="4:19">
      <c r="D864" t="str">
        <f>'Audit Report'!B864</f>
        <v>ITD-X863</v>
      </c>
      <c r="E864" t="str">
        <f>'Audit Report'!C864</f>
        <v/>
      </c>
      <c r="I864" t="str">
        <f>'Audit Report'!D864</f>
        <v/>
      </c>
      <c r="J864" t="str">
        <f>'Audit Report'!H864</f>
        <v/>
      </c>
      <c r="L864" t="str">
        <f>_xlfn.TEXTJOIN(", ", FALSE, 'Audit Report'!K864,'Audit Report'!L864,'Audit Report'!M864)</f>
        <v xml:space="preserve">, , </v>
      </c>
      <c r="M864" t="str">
        <f>'Audit Report'!O864</f>
        <v/>
      </c>
      <c r="R864" t="str">
        <f>'Audit Report'!F864</f>
        <v/>
      </c>
      <c r="S864" t="str">
        <f>'Audit Report'!Q864</f>
        <v/>
      </c>
    </row>
    <row r="865" spans="4:19">
      <c r="D865" t="str">
        <f>'Audit Report'!B865</f>
        <v>ITD-X864</v>
      </c>
      <c r="E865" t="str">
        <f>'Audit Report'!C865</f>
        <v/>
      </c>
      <c r="I865" t="str">
        <f>'Audit Report'!D865</f>
        <v/>
      </c>
      <c r="J865" t="str">
        <f>'Audit Report'!H865</f>
        <v/>
      </c>
      <c r="L865" t="str">
        <f>_xlfn.TEXTJOIN(", ", FALSE, 'Audit Report'!K865,'Audit Report'!L865,'Audit Report'!M865)</f>
        <v xml:space="preserve">, , </v>
      </c>
      <c r="M865" t="str">
        <f>'Audit Report'!O865</f>
        <v/>
      </c>
      <c r="R865" t="str">
        <f>'Audit Report'!F865</f>
        <v/>
      </c>
      <c r="S865" t="str">
        <f>'Audit Report'!Q865</f>
        <v/>
      </c>
    </row>
    <row r="866" spans="4:19">
      <c r="D866" t="str">
        <f>'Audit Report'!B866</f>
        <v>ITD-X865</v>
      </c>
      <c r="E866" t="str">
        <f>'Audit Report'!C866</f>
        <v/>
      </c>
      <c r="I866" t="str">
        <f>'Audit Report'!D866</f>
        <v/>
      </c>
      <c r="J866" t="str">
        <f>'Audit Report'!H866</f>
        <v/>
      </c>
      <c r="L866" t="str">
        <f>_xlfn.TEXTJOIN(", ", FALSE, 'Audit Report'!K866,'Audit Report'!L866,'Audit Report'!M866)</f>
        <v xml:space="preserve">, , </v>
      </c>
      <c r="M866" t="str">
        <f>'Audit Report'!O866</f>
        <v/>
      </c>
      <c r="R866" t="str">
        <f>'Audit Report'!F866</f>
        <v/>
      </c>
      <c r="S866" t="str">
        <f>'Audit Report'!Q866</f>
        <v/>
      </c>
    </row>
    <row r="867" spans="4:19">
      <c r="D867" t="str">
        <f>'Audit Report'!B867</f>
        <v>ITD-X866</v>
      </c>
      <c r="E867" t="str">
        <f>'Audit Report'!C867</f>
        <v/>
      </c>
      <c r="I867" t="str">
        <f>'Audit Report'!D867</f>
        <v/>
      </c>
      <c r="J867" t="str">
        <f>'Audit Report'!H867</f>
        <v/>
      </c>
      <c r="L867" t="str">
        <f>_xlfn.TEXTJOIN(", ", FALSE, 'Audit Report'!K867,'Audit Report'!L867,'Audit Report'!M867)</f>
        <v xml:space="preserve">, , </v>
      </c>
      <c r="M867" t="str">
        <f>'Audit Report'!O867</f>
        <v/>
      </c>
      <c r="R867" t="str">
        <f>'Audit Report'!F867</f>
        <v/>
      </c>
      <c r="S867" t="str">
        <f>'Audit Report'!Q867</f>
        <v/>
      </c>
    </row>
    <row r="868" spans="4:19">
      <c r="D868" t="str">
        <f>'Audit Report'!B868</f>
        <v>ITD-X867</v>
      </c>
      <c r="E868" t="str">
        <f>'Audit Report'!C868</f>
        <v/>
      </c>
      <c r="I868" t="str">
        <f>'Audit Report'!D868</f>
        <v/>
      </c>
      <c r="J868" t="str">
        <f>'Audit Report'!H868</f>
        <v/>
      </c>
      <c r="L868" t="str">
        <f>_xlfn.TEXTJOIN(", ", FALSE, 'Audit Report'!K868,'Audit Report'!L868,'Audit Report'!M868)</f>
        <v xml:space="preserve">, , </v>
      </c>
      <c r="M868" t="str">
        <f>'Audit Report'!O868</f>
        <v/>
      </c>
      <c r="R868" t="str">
        <f>'Audit Report'!F868</f>
        <v/>
      </c>
      <c r="S868" t="str">
        <f>'Audit Report'!Q868</f>
        <v/>
      </c>
    </row>
    <row r="869" spans="4:19">
      <c r="D869" t="str">
        <f>'Audit Report'!B869</f>
        <v>ITD-X868</v>
      </c>
      <c r="E869" t="str">
        <f>'Audit Report'!C869</f>
        <v/>
      </c>
      <c r="I869" t="str">
        <f>'Audit Report'!D869</f>
        <v/>
      </c>
      <c r="J869" t="str">
        <f>'Audit Report'!H869</f>
        <v/>
      </c>
      <c r="L869" t="str">
        <f>_xlfn.TEXTJOIN(", ", FALSE, 'Audit Report'!K869,'Audit Report'!L869,'Audit Report'!M869)</f>
        <v xml:space="preserve">, , </v>
      </c>
      <c r="M869" t="str">
        <f>'Audit Report'!O869</f>
        <v/>
      </c>
      <c r="R869" t="str">
        <f>'Audit Report'!F869</f>
        <v/>
      </c>
      <c r="S869" t="str">
        <f>'Audit Report'!Q869</f>
        <v/>
      </c>
    </row>
    <row r="870" spans="4:19">
      <c r="D870" t="str">
        <f>'Audit Report'!B870</f>
        <v>ITD-X869</v>
      </c>
      <c r="E870" t="str">
        <f>'Audit Report'!C870</f>
        <v/>
      </c>
      <c r="I870" t="str">
        <f>'Audit Report'!D870</f>
        <v/>
      </c>
      <c r="J870" t="str">
        <f>'Audit Report'!H870</f>
        <v/>
      </c>
      <c r="L870" t="str">
        <f>_xlfn.TEXTJOIN(", ", FALSE, 'Audit Report'!K870,'Audit Report'!L870,'Audit Report'!M870)</f>
        <v xml:space="preserve">, , </v>
      </c>
      <c r="M870" t="str">
        <f>'Audit Report'!O870</f>
        <v/>
      </c>
      <c r="R870" t="str">
        <f>'Audit Report'!F870</f>
        <v/>
      </c>
      <c r="S870" t="str">
        <f>'Audit Report'!Q870</f>
        <v/>
      </c>
    </row>
    <row r="871" spans="4:19">
      <c r="D871" t="str">
        <f>'Audit Report'!B871</f>
        <v>ITD-X870</v>
      </c>
      <c r="E871" t="str">
        <f>'Audit Report'!C871</f>
        <v/>
      </c>
      <c r="I871" t="str">
        <f>'Audit Report'!D871</f>
        <v/>
      </c>
      <c r="J871" t="str">
        <f>'Audit Report'!H871</f>
        <v/>
      </c>
      <c r="L871" t="str">
        <f>_xlfn.TEXTJOIN(", ", FALSE, 'Audit Report'!K871,'Audit Report'!L871,'Audit Report'!M871)</f>
        <v xml:space="preserve">, , </v>
      </c>
      <c r="M871" t="str">
        <f>'Audit Report'!O871</f>
        <v/>
      </c>
      <c r="R871" t="str">
        <f>'Audit Report'!F871</f>
        <v/>
      </c>
      <c r="S871" t="str">
        <f>'Audit Report'!Q871</f>
        <v/>
      </c>
    </row>
    <row r="872" spans="4:19">
      <c r="D872" t="str">
        <f>'Audit Report'!B872</f>
        <v>ITD-X871</v>
      </c>
      <c r="E872" t="str">
        <f>'Audit Report'!C872</f>
        <v/>
      </c>
      <c r="I872" t="str">
        <f>'Audit Report'!D872</f>
        <v/>
      </c>
      <c r="J872" t="str">
        <f>'Audit Report'!H872</f>
        <v/>
      </c>
      <c r="L872" t="str">
        <f>_xlfn.TEXTJOIN(", ", FALSE, 'Audit Report'!K872,'Audit Report'!L872,'Audit Report'!M872)</f>
        <v xml:space="preserve">, , </v>
      </c>
      <c r="M872" t="str">
        <f>'Audit Report'!O872</f>
        <v/>
      </c>
      <c r="R872" t="str">
        <f>'Audit Report'!F872</f>
        <v/>
      </c>
      <c r="S872" t="str">
        <f>'Audit Report'!Q872</f>
        <v/>
      </c>
    </row>
    <row r="873" spans="4:19">
      <c r="D873" t="str">
        <f>'Audit Report'!B873</f>
        <v>ITD-X872</v>
      </c>
      <c r="E873" t="str">
        <f>'Audit Report'!C873</f>
        <v/>
      </c>
      <c r="I873" t="str">
        <f>'Audit Report'!D873</f>
        <v/>
      </c>
      <c r="J873" t="str">
        <f>'Audit Report'!H873</f>
        <v/>
      </c>
      <c r="L873" t="str">
        <f>_xlfn.TEXTJOIN(", ", FALSE, 'Audit Report'!K873,'Audit Report'!L873,'Audit Report'!M873)</f>
        <v xml:space="preserve">, , </v>
      </c>
      <c r="M873" t="str">
        <f>'Audit Report'!O873</f>
        <v/>
      </c>
      <c r="R873" t="str">
        <f>'Audit Report'!F873</f>
        <v/>
      </c>
      <c r="S873" t="str">
        <f>'Audit Report'!Q873</f>
        <v/>
      </c>
    </row>
    <row r="874" spans="4:19">
      <c r="D874" t="str">
        <f>'Audit Report'!B874</f>
        <v>ITD-X873</v>
      </c>
      <c r="E874" t="str">
        <f>'Audit Report'!C874</f>
        <v/>
      </c>
      <c r="I874" t="str">
        <f>'Audit Report'!D874</f>
        <v/>
      </c>
      <c r="J874" t="str">
        <f>'Audit Report'!H874</f>
        <v/>
      </c>
      <c r="L874" t="str">
        <f>_xlfn.TEXTJOIN(", ", FALSE, 'Audit Report'!K874,'Audit Report'!L874,'Audit Report'!M874)</f>
        <v xml:space="preserve">, , </v>
      </c>
      <c r="M874" t="str">
        <f>'Audit Report'!O874</f>
        <v/>
      </c>
      <c r="R874" t="str">
        <f>'Audit Report'!F874</f>
        <v/>
      </c>
      <c r="S874" t="str">
        <f>'Audit Report'!Q874</f>
        <v/>
      </c>
    </row>
    <row r="875" spans="4:19">
      <c r="D875" t="str">
        <f>'Audit Report'!B875</f>
        <v>ITD-X874</v>
      </c>
      <c r="E875" t="str">
        <f>'Audit Report'!C875</f>
        <v/>
      </c>
      <c r="I875" t="str">
        <f>'Audit Report'!D875</f>
        <v/>
      </c>
      <c r="J875" t="str">
        <f>'Audit Report'!H875</f>
        <v/>
      </c>
      <c r="L875" t="str">
        <f>_xlfn.TEXTJOIN(", ", FALSE, 'Audit Report'!K875,'Audit Report'!L875,'Audit Report'!M875)</f>
        <v xml:space="preserve">, , </v>
      </c>
      <c r="M875" t="str">
        <f>'Audit Report'!O875</f>
        <v/>
      </c>
      <c r="R875" t="str">
        <f>'Audit Report'!F875</f>
        <v/>
      </c>
      <c r="S875" t="str">
        <f>'Audit Report'!Q875</f>
        <v/>
      </c>
    </row>
    <row r="876" spans="4:19">
      <c r="D876" t="str">
        <f>'Audit Report'!B876</f>
        <v>ITD-X875</v>
      </c>
      <c r="E876" t="str">
        <f>'Audit Report'!C876</f>
        <v/>
      </c>
      <c r="I876" t="str">
        <f>'Audit Report'!D876</f>
        <v/>
      </c>
      <c r="J876" t="str">
        <f>'Audit Report'!H876</f>
        <v/>
      </c>
      <c r="L876" t="str">
        <f>_xlfn.TEXTJOIN(", ", FALSE, 'Audit Report'!K876,'Audit Report'!L876,'Audit Report'!M876)</f>
        <v xml:space="preserve">, , </v>
      </c>
      <c r="M876" t="str">
        <f>'Audit Report'!O876</f>
        <v/>
      </c>
      <c r="R876" t="str">
        <f>'Audit Report'!F876</f>
        <v/>
      </c>
      <c r="S876" t="str">
        <f>'Audit Report'!Q876</f>
        <v/>
      </c>
    </row>
    <row r="877" spans="4:19">
      <c r="D877" t="str">
        <f>'Audit Report'!B877</f>
        <v>ITD-X876</v>
      </c>
      <c r="E877" t="str">
        <f>'Audit Report'!C877</f>
        <v/>
      </c>
      <c r="I877" t="str">
        <f>'Audit Report'!D877</f>
        <v/>
      </c>
      <c r="J877" t="str">
        <f>'Audit Report'!H877</f>
        <v/>
      </c>
      <c r="L877" t="str">
        <f>_xlfn.TEXTJOIN(", ", FALSE, 'Audit Report'!K877,'Audit Report'!L877,'Audit Report'!M877)</f>
        <v xml:space="preserve">, , </v>
      </c>
      <c r="M877" t="str">
        <f>'Audit Report'!O877</f>
        <v/>
      </c>
      <c r="R877" t="str">
        <f>'Audit Report'!F877</f>
        <v/>
      </c>
      <c r="S877" t="str">
        <f>'Audit Report'!Q877</f>
        <v/>
      </c>
    </row>
    <row r="878" spans="4:19">
      <c r="D878" t="str">
        <f>'Audit Report'!B878</f>
        <v>ITD-X877</v>
      </c>
      <c r="E878" t="str">
        <f>'Audit Report'!C878</f>
        <v/>
      </c>
      <c r="I878" t="str">
        <f>'Audit Report'!D878</f>
        <v/>
      </c>
      <c r="J878" t="str">
        <f>'Audit Report'!H878</f>
        <v/>
      </c>
      <c r="L878" t="str">
        <f>_xlfn.TEXTJOIN(", ", FALSE, 'Audit Report'!K878,'Audit Report'!L878,'Audit Report'!M878)</f>
        <v xml:space="preserve">, , </v>
      </c>
      <c r="M878" t="str">
        <f>'Audit Report'!O878</f>
        <v/>
      </c>
      <c r="R878" t="str">
        <f>'Audit Report'!F878</f>
        <v/>
      </c>
      <c r="S878" t="str">
        <f>'Audit Report'!Q878</f>
        <v/>
      </c>
    </row>
    <row r="879" spans="4:19">
      <c r="D879" t="str">
        <f>'Audit Report'!B879</f>
        <v>ITD-X878</v>
      </c>
      <c r="E879" t="str">
        <f>'Audit Report'!C879</f>
        <v/>
      </c>
      <c r="I879" t="str">
        <f>'Audit Report'!D879</f>
        <v/>
      </c>
      <c r="J879" t="str">
        <f>'Audit Report'!H879</f>
        <v/>
      </c>
      <c r="L879" t="str">
        <f>_xlfn.TEXTJOIN(", ", FALSE, 'Audit Report'!K879,'Audit Report'!L879,'Audit Report'!M879)</f>
        <v xml:space="preserve">, , </v>
      </c>
      <c r="M879" t="str">
        <f>'Audit Report'!O879</f>
        <v/>
      </c>
      <c r="R879" t="str">
        <f>'Audit Report'!F879</f>
        <v/>
      </c>
      <c r="S879" t="str">
        <f>'Audit Report'!Q879</f>
        <v/>
      </c>
    </row>
    <row r="880" spans="4:19">
      <c r="D880" t="str">
        <f>'Audit Report'!B880</f>
        <v>ITD-X879</v>
      </c>
      <c r="E880" t="str">
        <f>'Audit Report'!C880</f>
        <v/>
      </c>
      <c r="I880" t="str">
        <f>'Audit Report'!D880</f>
        <v/>
      </c>
      <c r="J880" t="str">
        <f>'Audit Report'!H880</f>
        <v/>
      </c>
      <c r="L880" t="str">
        <f>_xlfn.TEXTJOIN(", ", FALSE, 'Audit Report'!K880,'Audit Report'!L880,'Audit Report'!M880)</f>
        <v xml:space="preserve">, , </v>
      </c>
      <c r="M880" t="str">
        <f>'Audit Report'!O880</f>
        <v/>
      </c>
      <c r="R880" t="str">
        <f>'Audit Report'!F880</f>
        <v/>
      </c>
      <c r="S880" t="str">
        <f>'Audit Report'!Q880</f>
        <v/>
      </c>
    </row>
    <row r="881" spans="4:19">
      <c r="D881" t="str">
        <f>'Audit Report'!B881</f>
        <v>ITD-X880</v>
      </c>
      <c r="E881" t="str">
        <f>'Audit Report'!C881</f>
        <v/>
      </c>
      <c r="I881" t="str">
        <f>'Audit Report'!D881</f>
        <v/>
      </c>
      <c r="J881" t="str">
        <f>'Audit Report'!H881</f>
        <v/>
      </c>
      <c r="L881" t="str">
        <f>_xlfn.TEXTJOIN(", ", FALSE, 'Audit Report'!K881,'Audit Report'!L881,'Audit Report'!M881)</f>
        <v xml:space="preserve">, , </v>
      </c>
      <c r="M881" t="str">
        <f>'Audit Report'!O881</f>
        <v/>
      </c>
      <c r="R881" t="str">
        <f>'Audit Report'!F881</f>
        <v/>
      </c>
      <c r="S881" t="str">
        <f>'Audit Report'!Q881</f>
        <v/>
      </c>
    </row>
    <row r="882" spans="4:19">
      <c r="D882" t="str">
        <f>'Audit Report'!B882</f>
        <v>ITD-X881</v>
      </c>
      <c r="E882" t="str">
        <f>'Audit Report'!C882</f>
        <v/>
      </c>
      <c r="I882" t="str">
        <f>'Audit Report'!D882</f>
        <v/>
      </c>
      <c r="J882" t="str">
        <f>'Audit Report'!H882</f>
        <v/>
      </c>
      <c r="L882" t="str">
        <f>_xlfn.TEXTJOIN(", ", FALSE, 'Audit Report'!K882,'Audit Report'!L882,'Audit Report'!M882)</f>
        <v xml:space="preserve">, , </v>
      </c>
      <c r="M882" t="str">
        <f>'Audit Report'!O882</f>
        <v/>
      </c>
      <c r="R882" t="str">
        <f>'Audit Report'!F882</f>
        <v/>
      </c>
      <c r="S882" t="str">
        <f>'Audit Report'!Q882</f>
        <v/>
      </c>
    </row>
    <row r="883" spans="4:19">
      <c r="D883" t="str">
        <f>'Audit Report'!B883</f>
        <v>ITD-X882</v>
      </c>
      <c r="E883" t="str">
        <f>'Audit Report'!C883</f>
        <v/>
      </c>
      <c r="I883" t="str">
        <f>'Audit Report'!D883</f>
        <v/>
      </c>
      <c r="J883" t="str">
        <f>'Audit Report'!H883</f>
        <v/>
      </c>
      <c r="L883" t="str">
        <f>_xlfn.TEXTJOIN(", ", FALSE, 'Audit Report'!K883,'Audit Report'!L883,'Audit Report'!M883)</f>
        <v xml:space="preserve">, , </v>
      </c>
      <c r="M883" t="str">
        <f>'Audit Report'!O883</f>
        <v/>
      </c>
      <c r="R883" t="str">
        <f>'Audit Report'!F883</f>
        <v/>
      </c>
      <c r="S883" t="str">
        <f>'Audit Report'!Q883</f>
        <v/>
      </c>
    </row>
    <row r="884" spans="4:19">
      <c r="D884" t="str">
        <f>'Audit Report'!B884</f>
        <v>ITD-X883</v>
      </c>
      <c r="E884" t="str">
        <f>'Audit Report'!C884</f>
        <v/>
      </c>
      <c r="I884" t="str">
        <f>'Audit Report'!D884</f>
        <v/>
      </c>
      <c r="J884" t="str">
        <f>'Audit Report'!H884</f>
        <v/>
      </c>
      <c r="L884" t="str">
        <f>_xlfn.TEXTJOIN(", ", FALSE, 'Audit Report'!K884,'Audit Report'!L884,'Audit Report'!M884)</f>
        <v xml:space="preserve">, , </v>
      </c>
      <c r="M884" t="str">
        <f>'Audit Report'!O884</f>
        <v/>
      </c>
      <c r="R884" t="str">
        <f>'Audit Report'!F884</f>
        <v/>
      </c>
      <c r="S884" t="str">
        <f>'Audit Report'!Q884</f>
        <v/>
      </c>
    </row>
    <row r="885" spans="4:19">
      <c r="D885" t="str">
        <f>'Audit Report'!B885</f>
        <v>ITD-X884</v>
      </c>
      <c r="E885" t="str">
        <f>'Audit Report'!C885</f>
        <v/>
      </c>
      <c r="I885" t="str">
        <f>'Audit Report'!D885</f>
        <v/>
      </c>
      <c r="J885" t="str">
        <f>'Audit Report'!H885</f>
        <v/>
      </c>
      <c r="L885" t="str">
        <f>_xlfn.TEXTJOIN(", ", FALSE, 'Audit Report'!K885,'Audit Report'!L885,'Audit Report'!M885)</f>
        <v xml:space="preserve">, , </v>
      </c>
      <c r="M885" t="str">
        <f>'Audit Report'!O885</f>
        <v/>
      </c>
      <c r="R885" t="str">
        <f>'Audit Report'!F885</f>
        <v/>
      </c>
      <c r="S885" t="str">
        <f>'Audit Report'!Q885</f>
        <v/>
      </c>
    </row>
    <row r="886" spans="4:19">
      <c r="D886" t="str">
        <f>'Audit Report'!B886</f>
        <v>ITD-X885</v>
      </c>
      <c r="E886" t="str">
        <f>'Audit Report'!C886</f>
        <v/>
      </c>
      <c r="I886" t="str">
        <f>'Audit Report'!D886</f>
        <v/>
      </c>
      <c r="J886" t="str">
        <f>'Audit Report'!H886</f>
        <v/>
      </c>
      <c r="L886" t="str">
        <f>_xlfn.TEXTJOIN(", ", FALSE, 'Audit Report'!K886,'Audit Report'!L886,'Audit Report'!M886)</f>
        <v xml:space="preserve">, , </v>
      </c>
      <c r="M886" t="str">
        <f>'Audit Report'!O886</f>
        <v/>
      </c>
      <c r="R886" t="str">
        <f>'Audit Report'!F886</f>
        <v/>
      </c>
      <c r="S886" t="str">
        <f>'Audit Report'!Q886</f>
        <v/>
      </c>
    </row>
    <row r="887" spans="4:19">
      <c r="D887" t="str">
        <f>'Audit Report'!B887</f>
        <v>ITD-X886</v>
      </c>
      <c r="E887" t="str">
        <f>'Audit Report'!C887</f>
        <v/>
      </c>
      <c r="I887" t="str">
        <f>'Audit Report'!D887</f>
        <v/>
      </c>
      <c r="J887" t="str">
        <f>'Audit Report'!H887</f>
        <v/>
      </c>
      <c r="L887" t="str">
        <f>_xlfn.TEXTJOIN(", ", FALSE, 'Audit Report'!K887,'Audit Report'!L887,'Audit Report'!M887)</f>
        <v xml:space="preserve">, , </v>
      </c>
      <c r="M887" t="str">
        <f>'Audit Report'!O887</f>
        <v/>
      </c>
      <c r="R887" t="str">
        <f>'Audit Report'!F887</f>
        <v/>
      </c>
      <c r="S887" t="str">
        <f>'Audit Report'!Q887</f>
        <v/>
      </c>
    </row>
    <row r="888" spans="4:19">
      <c r="D888" t="str">
        <f>'Audit Report'!B888</f>
        <v>ITD-X887</v>
      </c>
      <c r="E888" t="str">
        <f>'Audit Report'!C888</f>
        <v/>
      </c>
      <c r="I888" t="str">
        <f>'Audit Report'!D888</f>
        <v/>
      </c>
      <c r="J888" t="str">
        <f>'Audit Report'!H888</f>
        <v/>
      </c>
      <c r="L888" t="str">
        <f>_xlfn.TEXTJOIN(", ", FALSE, 'Audit Report'!K888,'Audit Report'!L888,'Audit Report'!M888)</f>
        <v xml:space="preserve">, , </v>
      </c>
      <c r="M888" t="str">
        <f>'Audit Report'!O888</f>
        <v/>
      </c>
      <c r="R888" t="str">
        <f>'Audit Report'!F888</f>
        <v/>
      </c>
      <c r="S888" t="str">
        <f>'Audit Report'!Q888</f>
        <v/>
      </c>
    </row>
    <row r="889" spans="4:19">
      <c r="D889" t="str">
        <f>'Audit Report'!B889</f>
        <v>ITD-X888</v>
      </c>
      <c r="E889" t="str">
        <f>'Audit Report'!C889</f>
        <v/>
      </c>
      <c r="I889" t="str">
        <f>'Audit Report'!D889</f>
        <v/>
      </c>
      <c r="J889" t="str">
        <f>'Audit Report'!H889</f>
        <v/>
      </c>
      <c r="L889" t="str">
        <f>_xlfn.TEXTJOIN(", ", FALSE, 'Audit Report'!K889,'Audit Report'!L889,'Audit Report'!M889)</f>
        <v xml:space="preserve">, , </v>
      </c>
      <c r="M889" t="str">
        <f>'Audit Report'!O889</f>
        <v/>
      </c>
      <c r="R889" t="str">
        <f>'Audit Report'!F889</f>
        <v/>
      </c>
      <c r="S889" t="str">
        <f>'Audit Report'!Q889</f>
        <v/>
      </c>
    </row>
    <row r="890" spans="4:19">
      <c r="D890" t="str">
        <f>'Audit Report'!B890</f>
        <v>ITD-X889</v>
      </c>
      <c r="E890" t="str">
        <f>'Audit Report'!C890</f>
        <v/>
      </c>
      <c r="I890" t="str">
        <f>'Audit Report'!D890</f>
        <v/>
      </c>
      <c r="J890" t="str">
        <f>'Audit Report'!H890</f>
        <v/>
      </c>
      <c r="L890" t="str">
        <f>_xlfn.TEXTJOIN(", ", FALSE, 'Audit Report'!K890,'Audit Report'!L890,'Audit Report'!M890)</f>
        <v xml:space="preserve">, , </v>
      </c>
      <c r="M890" t="str">
        <f>'Audit Report'!O890</f>
        <v/>
      </c>
      <c r="R890" t="str">
        <f>'Audit Report'!F890</f>
        <v/>
      </c>
      <c r="S890" t="str">
        <f>'Audit Report'!Q890</f>
        <v/>
      </c>
    </row>
    <row r="891" spans="4:19">
      <c r="D891" t="str">
        <f>'Audit Report'!B891</f>
        <v>ITD-X890</v>
      </c>
      <c r="E891" t="str">
        <f>'Audit Report'!C891</f>
        <v/>
      </c>
      <c r="I891" t="str">
        <f>'Audit Report'!D891</f>
        <v/>
      </c>
      <c r="J891" t="str">
        <f>'Audit Report'!H891</f>
        <v/>
      </c>
      <c r="L891" t="str">
        <f>_xlfn.TEXTJOIN(", ", FALSE, 'Audit Report'!K891,'Audit Report'!L891,'Audit Report'!M891)</f>
        <v xml:space="preserve">, , </v>
      </c>
      <c r="M891" t="str">
        <f>'Audit Report'!O891</f>
        <v/>
      </c>
      <c r="R891" t="str">
        <f>'Audit Report'!F891</f>
        <v/>
      </c>
      <c r="S891" t="str">
        <f>'Audit Report'!Q891</f>
        <v/>
      </c>
    </row>
    <row r="892" spans="4:19">
      <c r="D892" t="str">
        <f>'Audit Report'!B892</f>
        <v>ITD-X891</v>
      </c>
      <c r="E892" t="str">
        <f>'Audit Report'!C892</f>
        <v/>
      </c>
      <c r="I892" t="str">
        <f>'Audit Report'!D892</f>
        <v/>
      </c>
      <c r="J892" t="str">
        <f>'Audit Report'!H892</f>
        <v/>
      </c>
      <c r="L892" t="str">
        <f>_xlfn.TEXTJOIN(", ", FALSE, 'Audit Report'!K892,'Audit Report'!L892,'Audit Report'!M892)</f>
        <v xml:space="preserve">, , </v>
      </c>
      <c r="M892" t="str">
        <f>'Audit Report'!O892</f>
        <v/>
      </c>
      <c r="R892" t="str">
        <f>'Audit Report'!F892</f>
        <v/>
      </c>
      <c r="S892" t="str">
        <f>'Audit Report'!Q892</f>
        <v/>
      </c>
    </row>
    <row r="893" spans="4:19">
      <c r="D893" t="str">
        <f>'Audit Report'!B893</f>
        <v>ITD-X892</v>
      </c>
      <c r="E893" t="str">
        <f>'Audit Report'!C893</f>
        <v/>
      </c>
      <c r="I893" t="str">
        <f>'Audit Report'!D893</f>
        <v/>
      </c>
      <c r="J893" t="str">
        <f>'Audit Report'!H893</f>
        <v/>
      </c>
      <c r="L893" t="str">
        <f>_xlfn.TEXTJOIN(", ", FALSE, 'Audit Report'!K893,'Audit Report'!L893,'Audit Report'!M893)</f>
        <v xml:space="preserve">, , </v>
      </c>
      <c r="M893" t="str">
        <f>'Audit Report'!O893</f>
        <v/>
      </c>
      <c r="R893" t="str">
        <f>'Audit Report'!F893</f>
        <v/>
      </c>
      <c r="S893" t="str">
        <f>'Audit Report'!Q893</f>
        <v/>
      </c>
    </row>
    <row r="894" spans="4:19">
      <c r="D894" t="str">
        <f>'Audit Report'!B894</f>
        <v>ITD-X893</v>
      </c>
      <c r="E894" t="str">
        <f>'Audit Report'!C894</f>
        <v/>
      </c>
      <c r="I894" t="str">
        <f>'Audit Report'!D894</f>
        <v/>
      </c>
      <c r="J894" t="str">
        <f>'Audit Report'!H894</f>
        <v/>
      </c>
      <c r="L894" t="str">
        <f>_xlfn.TEXTJOIN(", ", FALSE, 'Audit Report'!K894,'Audit Report'!L894,'Audit Report'!M894)</f>
        <v xml:space="preserve">, , </v>
      </c>
      <c r="M894" t="str">
        <f>'Audit Report'!O894</f>
        <v/>
      </c>
      <c r="R894" t="str">
        <f>'Audit Report'!F894</f>
        <v/>
      </c>
      <c r="S894" t="str">
        <f>'Audit Report'!Q894</f>
        <v/>
      </c>
    </row>
    <row r="895" spans="4:19">
      <c r="D895" t="str">
        <f>'Audit Report'!B895</f>
        <v>ITD-X894</v>
      </c>
      <c r="E895" t="str">
        <f>'Audit Report'!C895</f>
        <v/>
      </c>
      <c r="I895" t="str">
        <f>'Audit Report'!D895</f>
        <v/>
      </c>
      <c r="J895" t="str">
        <f>'Audit Report'!H895</f>
        <v/>
      </c>
      <c r="L895" t="str">
        <f>_xlfn.TEXTJOIN(", ", FALSE, 'Audit Report'!K895,'Audit Report'!L895,'Audit Report'!M895)</f>
        <v xml:space="preserve">, , </v>
      </c>
      <c r="M895" t="str">
        <f>'Audit Report'!O895</f>
        <v/>
      </c>
      <c r="R895" t="str">
        <f>'Audit Report'!F895</f>
        <v/>
      </c>
      <c r="S895" t="str">
        <f>'Audit Report'!Q895</f>
        <v/>
      </c>
    </row>
    <row r="896" spans="4:19">
      <c r="D896" t="str">
        <f>'Audit Report'!B896</f>
        <v>ITD-X895</v>
      </c>
      <c r="E896" t="str">
        <f>'Audit Report'!C896</f>
        <v/>
      </c>
      <c r="I896" t="str">
        <f>'Audit Report'!D896</f>
        <v/>
      </c>
      <c r="J896" t="str">
        <f>'Audit Report'!H896</f>
        <v/>
      </c>
      <c r="L896" t="str">
        <f>_xlfn.TEXTJOIN(", ", FALSE, 'Audit Report'!K896,'Audit Report'!L896,'Audit Report'!M896)</f>
        <v xml:space="preserve">, , </v>
      </c>
      <c r="M896" t="str">
        <f>'Audit Report'!O896</f>
        <v/>
      </c>
      <c r="R896" t="str">
        <f>'Audit Report'!F896</f>
        <v/>
      </c>
      <c r="S896" t="str">
        <f>'Audit Report'!Q896</f>
        <v/>
      </c>
    </row>
    <row r="897" spans="4:19">
      <c r="D897" t="str">
        <f>'Audit Report'!B897</f>
        <v>ITD-X896</v>
      </c>
      <c r="E897" t="str">
        <f>'Audit Report'!C897</f>
        <v/>
      </c>
      <c r="I897" t="str">
        <f>'Audit Report'!D897</f>
        <v/>
      </c>
      <c r="J897" t="str">
        <f>'Audit Report'!H897</f>
        <v/>
      </c>
      <c r="L897" t="str">
        <f>_xlfn.TEXTJOIN(", ", FALSE, 'Audit Report'!K897,'Audit Report'!L897,'Audit Report'!M897)</f>
        <v xml:space="preserve">, , </v>
      </c>
      <c r="M897" t="str">
        <f>'Audit Report'!O897</f>
        <v/>
      </c>
      <c r="R897" t="str">
        <f>'Audit Report'!F897</f>
        <v/>
      </c>
      <c r="S897" t="str">
        <f>'Audit Report'!Q897</f>
        <v/>
      </c>
    </row>
    <row r="898" spans="4:19">
      <c r="D898" t="str">
        <f>'Audit Report'!B898</f>
        <v>ITD-X897</v>
      </c>
      <c r="E898" t="str">
        <f>'Audit Report'!C898</f>
        <v/>
      </c>
      <c r="I898" t="str">
        <f>'Audit Report'!D898</f>
        <v/>
      </c>
      <c r="J898" t="str">
        <f>'Audit Report'!H898</f>
        <v/>
      </c>
      <c r="L898" t="str">
        <f>_xlfn.TEXTJOIN(", ", FALSE, 'Audit Report'!K898,'Audit Report'!L898,'Audit Report'!M898)</f>
        <v xml:space="preserve">, , </v>
      </c>
      <c r="M898" t="str">
        <f>'Audit Report'!O898</f>
        <v/>
      </c>
      <c r="R898" t="str">
        <f>'Audit Report'!F898</f>
        <v/>
      </c>
      <c r="S898" t="str">
        <f>'Audit Report'!Q898</f>
        <v/>
      </c>
    </row>
    <row r="899" spans="4:19">
      <c r="D899" t="str">
        <f>'Audit Report'!B899</f>
        <v>ITD-X898</v>
      </c>
      <c r="E899" t="str">
        <f>'Audit Report'!C899</f>
        <v/>
      </c>
      <c r="I899" t="str">
        <f>'Audit Report'!D899</f>
        <v/>
      </c>
      <c r="J899" t="str">
        <f>'Audit Report'!H899</f>
        <v/>
      </c>
      <c r="L899" t="str">
        <f>_xlfn.TEXTJOIN(", ", FALSE, 'Audit Report'!K899,'Audit Report'!L899,'Audit Report'!M899)</f>
        <v xml:space="preserve">, , </v>
      </c>
      <c r="M899" t="str">
        <f>'Audit Report'!O899</f>
        <v/>
      </c>
      <c r="R899" t="str">
        <f>'Audit Report'!F899</f>
        <v/>
      </c>
      <c r="S899" t="str">
        <f>'Audit Report'!Q899</f>
        <v/>
      </c>
    </row>
    <row r="900" spans="4:19">
      <c r="D900" t="str">
        <f>'Audit Report'!B900</f>
        <v>ITD-X899</v>
      </c>
      <c r="E900" t="str">
        <f>'Audit Report'!C900</f>
        <v/>
      </c>
      <c r="I900" t="str">
        <f>'Audit Report'!D900</f>
        <v/>
      </c>
      <c r="J900" t="str">
        <f>'Audit Report'!H900</f>
        <v/>
      </c>
      <c r="L900" t="str">
        <f>_xlfn.TEXTJOIN(", ", FALSE, 'Audit Report'!K900,'Audit Report'!L900,'Audit Report'!M900)</f>
        <v xml:space="preserve">, , </v>
      </c>
      <c r="M900" t="str">
        <f>'Audit Report'!O900</f>
        <v/>
      </c>
      <c r="R900" t="str">
        <f>'Audit Report'!F900</f>
        <v/>
      </c>
      <c r="S900" t="str">
        <f>'Audit Report'!Q900</f>
        <v/>
      </c>
    </row>
    <row r="901" spans="4:19">
      <c r="D901" t="str">
        <f>'Audit Report'!B901</f>
        <v>ITD-X900</v>
      </c>
      <c r="E901" t="str">
        <f>'Audit Report'!C901</f>
        <v/>
      </c>
      <c r="I901" t="str">
        <f>'Audit Report'!D901</f>
        <v/>
      </c>
      <c r="J901" t="str">
        <f>'Audit Report'!H901</f>
        <v/>
      </c>
      <c r="L901" t="str">
        <f>_xlfn.TEXTJOIN(", ", FALSE, 'Audit Report'!K901,'Audit Report'!L901,'Audit Report'!M901)</f>
        <v xml:space="preserve">, , </v>
      </c>
      <c r="M901" t="str">
        <f>'Audit Report'!O901</f>
        <v/>
      </c>
      <c r="R901" t="str">
        <f>'Audit Report'!F901</f>
        <v/>
      </c>
      <c r="S901" t="str">
        <f>'Audit Report'!Q901</f>
        <v/>
      </c>
    </row>
    <row r="902" spans="4:19">
      <c r="D902" t="str">
        <f>'Audit Report'!B902</f>
        <v>ITD-X901</v>
      </c>
      <c r="E902" t="str">
        <f>'Audit Report'!C902</f>
        <v/>
      </c>
      <c r="I902" t="str">
        <f>'Audit Report'!D902</f>
        <v/>
      </c>
      <c r="J902" t="str">
        <f>'Audit Report'!H902</f>
        <v/>
      </c>
      <c r="L902" t="str">
        <f>_xlfn.TEXTJOIN(", ", FALSE, 'Audit Report'!K902,'Audit Report'!L902,'Audit Report'!M902)</f>
        <v xml:space="preserve">, , </v>
      </c>
      <c r="M902" t="str">
        <f>'Audit Report'!O902</f>
        <v/>
      </c>
      <c r="R902" t="str">
        <f>'Audit Report'!F902</f>
        <v/>
      </c>
      <c r="S902" t="str">
        <f>'Audit Report'!Q902</f>
        <v/>
      </c>
    </row>
    <row r="903" spans="4:19">
      <c r="D903" t="str">
        <f>'Audit Report'!B903</f>
        <v>ITD-X902</v>
      </c>
      <c r="E903" t="str">
        <f>'Audit Report'!C903</f>
        <v/>
      </c>
      <c r="I903" t="str">
        <f>'Audit Report'!D903</f>
        <v/>
      </c>
      <c r="J903" t="str">
        <f>'Audit Report'!H903</f>
        <v/>
      </c>
      <c r="L903" t="str">
        <f>_xlfn.TEXTJOIN(", ", FALSE, 'Audit Report'!K903,'Audit Report'!L903,'Audit Report'!M903)</f>
        <v xml:space="preserve">, , </v>
      </c>
      <c r="M903" t="str">
        <f>'Audit Report'!O903</f>
        <v/>
      </c>
      <c r="R903" t="str">
        <f>'Audit Report'!F903</f>
        <v/>
      </c>
      <c r="S903" t="str">
        <f>'Audit Report'!Q903</f>
        <v/>
      </c>
    </row>
    <row r="904" spans="4:19">
      <c r="D904" t="str">
        <f>'Audit Report'!B904</f>
        <v>ITD-X903</v>
      </c>
      <c r="E904" t="str">
        <f>'Audit Report'!C904</f>
        <v/>
      </c>
      <c r="I904" t="str">
        <f>'Audit Report'!D904</f>
        <v/>
      </c>
      <c r="J904" t="str">
        <f>'Audit Report'!H904</f>
        <v/>
      </c>
      <c r="L904" t="str">
        <f>_xlfn.TEXTJOIN(", ", FALSE, 'Audit Report'!K904,'Audit Report'!L904,'Audit Report'!M904)</f>
        <v xml:space="preserve">, , </v>
      </c>
      <c r="M904" t="str">
        <f>'Audit Report'!O904</f>
        <v/>
      </c>
      <c r="R904" t="str">
        <f>'Audit Report'!F904</f>
        <v/>
      </c>
      <c r="S904" t="str">
        <f>'Audit Report'!Q904</f>
        <v/>
      </c>
    </row>
    <row r="905" spans="4:19">
      <c r="D905" t="str">
        <f>'Audit Report'!B905</f>
        <v>ITD-X904</v>
      </c>
      <c r="E905" t="str">
        <f>'Audit Report'!C905</f>
        <v/>
      </c>
      <c r="I905" t="str">
        <f>'Audit Report'!D905</f>
        <v/>
      </c>
      <c r="J905" t="str">
        <f>'Audit Report'!H905</f>
        <v/>
      </c>
      <c r="L905" t="str">
        <f>_xlfn.TEXTJOIN(", ", FALSE, 'Audit Report'!K905,'Audit Report'!L905,'Audit Report'!M905)</f>
        <v xml:space="preserve">, , </v>
      </c>
      <c r="M905" t="str">
        <f>'Audit Report'!O905</f>
        <v/>
      </c>
      <c r="R905" t="str">
        <f>'Audit Report'!F905</f>
        <v/>
      </c>
      <c r="S905" t="str">
        <f>'Audit Report'!Q905</f>
        <v/>
      </c>
    </row>
    <row r="906" spans="4:19">
      <c r="D906" t="str">
        <f>'Audit Report'!B906</f>
        <v>ITD-X905</v>
      </c>
      <c r="E906" t="str">
        <f>'Audit Report'!C906</f>
        <v/>
      </c>
      <c r="I906" t="str">
        <f>'Audit Report'!D906</f>
        <v/>
      </c>
      <c r="J906" t="str">
        <f>'Audit Report'!H906</f>
        <v/>
      </c>
      <c r="L906" t="str">
        <f>_xlfn.TEXTJOIN(", ", FALSE, 'Audit Report'!K906,'Audit Report'!L906,'Audit Report'!M906)</f>
        <v xml:space="preserve">, , </v>
      </c>
      <c r="M906" t="str">
        <f>'Audit Report'!O906</f>
        <v/>
      </c>
      <c r="R906" t="str">
        <f>'Audit Report'!F906</f>
        <v/>
      </c>
      <c r="S906" t="str">
        <f>'Audit Report'!Q906</f>
        <v/>
      </c>
    </row>
    <row r="907" spans="4:19">
      <c r="D907" t="str">
        <f>'Audit Report'!B907</f>
        <v>ITD-X906</v>
      </c>
      <c r="E907" t="str">
        <f>'Audit Report'!C907</f>
        <v/>
      </c>
      <c r="I907" t="str">
        <f>'Audit Report'!D907</f>
        <v/>
      </c>
      <c r="J907" t="str">
        <f>'Audit Report'!H907</f>
        <v/>
      </c>
      <c r="L907" t="str">
        <f>_xlfn.TEXTJOIN(", ", FALSE, 'Audit Report'!K907,'Audit Report'!L907,'Audit Report'!M907)</f>
        <v xml:space="preserve">, , </v>
      </c>
      <c r="M907" t="str">
        <f>'Audit Report'!O907</f>
        <v/>
      </c>
      <c r="R907" t="str">
        <f>'Audit Report'!F907</f>
        <v/>
      </c>
      <c r="S907" t="str">
        <f>'Audit Report'!Q907</f>
        <v/>
      </c>
    </row>
    <row r="908" spans="4:19">
      <c r="D908" t="str">
        <f>'Audit Report'!B908</f>
        <v>ITD-X907</v>
      </c>
      <c r="E908" t="str">
        <f>'Audit Report'!C908</f>
        <v/>
      </c>
      <c r="I908" t="str">
        <f>'Audit Report'!D908</f>
        <v/>
      </c>
      <c r="J908" t="str">
        <f>'Audit Report'!H908</f>
        <v/>
      </c>
      <c r="L908" t="str">
        <f>_xlfn.TEXTJOIN(", ", FALSE, 'Audit Report'!K908,'Audit Report'!L908,'Audit Report'!M908)</f>
        <v xml:space="preserve">, , </v>
      </c>
      <c r="M908" t="str">
        <f>'Audit Report'!O908</f>
        <v/>
      </c>
      <c r="R908" t="str">
        <f>'Audit Report'!F908</f>
        <v/>
      </c>
      <c r="S908" t="str">
        <f>'Audit Report'!Q908</f>
        <v/>
      </c>
    </row>
    <row r="909" spans="4:19">
      <c r="D909" t="str">
        <f>'Audit Report'!B909</f>
        <v>ITD-X908</v>
      </c>
      <c r="E909" t="str">
        <f>'Audit Report'!C909</f>
        <v/>
      </c>
      <c r="I909" t="str">
        <f>'Audit Report'!D909</f>
        <v/>
      </c>
      <c r="J909" t="str">
        <f>'Audit Report'!H909</f>
        <v/>
      </c>
      <c r="L909" t="str">
        <f>_xlfn.TEXTJOIN(", ", FALSE, 'Audit Report'!K909,'Audit Report'!L909,'Audit Report'!M909)</f>
        <v xml:space="preserve">, , </v>
      </c>
      <c r="M909" t="str">
        <f>'Audit Report'!O909</f>
        <v/>
      </c>
      <c r="R909" t="str">
        <f>'Audit Report'!F909</f>
        <v/>
      </c>
      <c r="S909" t="str">
        <f>'Audit Report'!Q909</f>
        <v/>
      </c>
    </row>
    <row r="910" spans="4:19">
      <c r="D910" t="str">
        <f>'Audit Report'!B910</f>
        <v>ITD-X909</v>
      </c>
      <c r="E910" t="str">
        <f>'Audit Report'!C910</f>
        <v/>
      </c>
      <c r="I910" t="str">
        <f>'Audit Report'!D910</f>
        <v/>
      </c>
      <c r="J910" t="str">
        <f>'Audit Report'!H910</f>
        <v/>
      </c>
      <c r="L910" t="str">
        <f>_xlfn.TEXTJOIN(", ", FALSE, 'Audit Report'!K910,'Audit Report'!L910,'Audit Report'!M910)</f>
        <v xml:space="preserve">, , </v>
      </c>
      <c r="M910" t="str">
        <f>'Audit Report'!O910</f>
        <v/>
      </c>
      <c r="R910" t="str">
        <f>'Audit Report'!F910</f>
        <v/>
      </c>
      <c r="S910" t="str">
        <f>'Audit Report'!Q910</f>
        <v/>
      </c>
    </row>
    <row r="911" spans="4:19">
      <c r="D911" t="str">
        <f>'Audit Report'!B911</f>
        <v>ITD-X910</v>
      </c>
      <c r="E911" t="str">
        <f>'Audit Report'!C911</f>
        <v/>
      </c>
      <c r="I911" t="str">
        <f>'Audit Report'!D911</f>
        <v/>
      </c>
      <c r="J911" t="str">
        <f>'Audit Report'!H911</f>
        <v/>
      </c>
      <c r="L911" t="str">
        <f>_xlfn.TEXTJOIN(", ", FALSE, 'Audit Report'!K911,'Audit Report'!L911,'Audit Report'!M911)</f>
        <v xml:space="preserve">, , </v>
      </c>
      <c r="M911" t="str">
        <f>'Audit Report'!O911</f>
        <v/>
      </c>
      <c r="R911" t="str">
        <f>'Audit Report'!F911</f>
        <v/>
      </c>
      <c r="S911" t="str">
        <f>'Audit Report'!Q911</f>
        <v/>
      </c>
    </row>
    <row r="912" spans="4:19">
      <c r="D912" t="str">
        <f>'Audit Report'!B912</f>
        <v>ITD-X911</v>
      </c>
      <c r="E912" t="str">
        <f>'Audit Report'!C912</f>
        <v/>
      </c>
      <c r="I912" t="str">
        <f>'Audit Report'!D912</f>
        <v/>
      </c>
      <c r="J912" t="str">
        <f>'Audit Report'!H912</f>
        <v/>
      </c>
      <c r="L912" t="str">
        <f>_xlfn.TEXTJOIN(", ", FALSE, 'Audit Report'!K912,'Audit Report'!L912,'Audit Report'!M912)</f>
        <v xml:space="preserve">, , </v>
      </c>
      <c r="M912" t="str">
        <f>'Audit Report'!O912</f>
        <v/>
      </c>
      <c r="R912" t="str">
        <f>'Audit Report'!F912</f>
        <v/>
      </c>
      <c r="S912" t="str">
        <f>'Audit Report'!Q912</f>
        <v/>
      </c>
    </row>
    <row r="913" spans="4:19">
      <c r="D913" t="str">
        <f>'Audit Report'!B913</f>
        <v>ITD-X912</v>
      </c>
      <c r="E913" t="str">
        <f>'Audit Report'!C913</f>
        <v/>
      </c>
      <c r="I913" t="str">
        <f>'Audit Report'!D913</f>
        <v/>
      </c>
      <c r="J913" t="str">
        <f>'Audit Report'!H913</f>
        <v/>
      </c>
      <c r="L913" t="str">
        <f>_xlfn.TEXTJOIN(", ", FALSE, 'Audit Report'!K913,'Audit Report'!L913,'Audit Report'!M913)</f>
        <v xml:space="preserve">, , </v>
      </c>
      <c r="M913" t="str">
        <f>'Audit Report'!O913</f>
        <v/>
      </c>
      <c r="R913" t="str">
        <f>'Audit Report'!F913</f>
        <v/>
      </c>
      <c r="S913" t="str">
        <f>'Audit Report'!Q913</f>
        <v/>
      </c>
    </row>
    <row r="914" spans="4:19">
      <c r="D914" t="str">
        <f>'Audit Report'!B914</f>
        <v>ITD-X913</v>
      </c>
      <c r="E914" t="str">
        <f>'Audit Report'!C914</f>
        <v/>
      </c>
      <c r="I914" t="str">
        <f>'Audit Report'!D914</f>
        <v/>
      </c>
      <c r="J914" t="str">
        <f>'Audit Report'!H914</f>
        <v/>
      </c>
      <c r="L914" t="str">
        <f>_xlfn.TEXTJOIN(", ", FALSE, 'Audit Report'!K914,'Audit Report'!L914,'Audit Report'!M914)</f>
        <v xml:space="preserve">, , </v>
      </c>
      <c r="M914" t="str">
        <f>'Audit Report'!O914</f>
        <v/>
      </c>
      <c r="R914" t="str">
        <f>'Audit Report'!F914</f>
        <v/>
      </c>
      <c r="S914" t="str">
        <f>'Audit Report'!Q914</f>
        <v/>
      </c>
    </row>
    <row r="915" spans="4:19">
      <c r="D915" t="str">
        <f>'Audit Report'!B915</f>
        <v>ITD-X914</v>
      </c>
      <c r="E915" t="str">
        <f>'Audit Report'!C915</f>
        <v/>
      </c>
      <c r="I915" t="str">
        <f>'Audit Report'!D915</f>
        <v/>
      </c>
      <c r="J915" t="str">
        <f>'Audit Report'!H915</f>
        <v/>
      </c>
      <c r="L915" t="str">
        <f>_xlfn.TEXTJOIN(", ", FALSE, 'Audit Report'!K915,'Audit Report'!L915,'Audit Report'!M915)</f>
        <v xml:space="preserve">, , </v>
      </c>
      <c r="M915" t="str">
        <f>'Audit Report'!O915</f>
        <v/>
      </c>
      <c r="R915" t="str">
        <f>'Audit Report'!F915</f>
        <v/>
      </c>
      <c r="S915" t="str">
        <f>'Audit Report'!Q915</f>
        <v/>
      </c>
    </row>
    <row r="916" spans="4:19">
      <c r="D916" t="str">
        <f>'Audit Report'!B916</f>
        <v>ITD-X915</v>
      </c>
      <c r="E916" t="str">
        <f>'Audit Report'!C916</f>
        <v/>
      </c>
      <c r="I916" t="str">
        <f>'Audit Report'!D916</f>
        <v/>
      </c>
      <c r="J916" t="str">
        <f>'Audit Report'!H916</f>
        <v/>
      </c>
      <c r="L916" t="str">
        <f>_xlfn.TEXTJOIN(", ", FALSE, 'Audit Report'!K916,'Audit Report'!L916,'Audit Report'!M916)</f>
        <v xml:space="preserve">, , </v>
      </c>
      <c r="M916" t="str">
        <f>'Audit Report'!O916</f>
        <v/>
      </c>
      <c r="R916" t="str">
        <f>'Audit Report'!F916</f>
        <v/>
      </c>
      <c r="S916" t="str">
        <f>'Audit Report'!Q916</f>
        <v/>
      </c>
    </row>
    <row r="917" spans="4:19">
      <c r="D917" t="str">
        <f>'Audit Report'!B917</f>
        <v>ITD-X916</v>
      </c>
      <c r="E917" t="str">
        <f>'Audit Report'!C917</f>
        <v/>
      </c>
      <c r="I917" t="str">
        <f>'Audit Report'!D917</f>
        <v/>
      </c>
      <c r="J917" t="str">
        <f>'Audit Report'!H917</f>
        <v/>
      </c>
      <c r="L917" t="str">
        <f>_xlfn.TEXTJOIN(", ", FALSE, 'Audit Report'!K917,'Audit Report'!L917,'Audit Report'!M917)</f>
        <v xml:space="preserve">, , </v>
      </c>
      <c r="M917" t="str">
        <f>'Audit Report'!O917</f>
        <v/>
      </c>
      <c r="R917" t="str">
        <f>'Audit Report'!F917</f>
        <v/>
      </c>
      <c r="S917" t="str">
        <f>'Audit Report'!Q917</f>
        <v/>
      </c>
    </row>
    <row r="918" spans="4:19">
      <c r="D918" t="str">
        <f>'Audit Report'!B918</f>
        <v>ITD-X917</v>
      </c>
      <c r="E918" t="str">
        <f>'Audit Report'!C918</f>
        <v/>
      </c>
      <c r="I918" t="str">
        <f>'Audit Report'!D918</f>
        <v/>
      </c>
      <c r="J918" t="str">
        <f>'Audit Report'!H918</f>
        <v/>
      </c>
      <c r="L918" t="str">
        <f>_xlfn.TEXTJOIN(", ", FALSE, 'Audit Report'!K918,'Audit Report'!L918,'Audit Report'!M918)</f>
        <v xml:space="preserve">, , </v>
      </c>
      <c r="M918" t="str">
        <f>'Audit Report'!O918</f>
        <v/>
      </c>
      <c r="R918" t="str">
        <f>'Audit Report'!F918</f>
        <v/>
      </c>
      <c r="S918" t="str">
        <f>'Audit Report'!Q918</f>
        <v/>
      </c>
    </row>
    <row r="919" spans="4:19">
      <c r="D919" t="str">
        <f>'Audit Report'!B919</f>
        <v>ITD-X918</v>
      </c>
      <c r="E919" t="str">
        <f>'Audit Report'!C919</f>
        <v/>
      </c>
      <c r="I919" t="str">
        <f>'Audit Report'!D919</f>
        <v/>
      </c>
      <c r="J919" t="str">
        <f>'Audit Report'!H919</f>
        <v/>
      </c>
      <c r="L919" t="str">
        <f>_xlfn.TEXTJOIN(", ", FALSE, 'Audit Report'!K919,'Audit Report'!L919,'Audit Report'!M919)</f>
        <v xml:space="preserve">, , </v>
      </c>
      <c r="M919" t="str">
        <f>'Audit Report'!O919</f>
        <v/>
      </c>
      <c r="R919" t="str">
        <f>'Audit Report'!F919</f>
        <v/>
      </c>
      <c r="S919" t="str">
        <f>'Audit Report'!Q919</f>
        <v/>
      </c>
    </row>
    <row r="920" spans="4:19">
      <c r="D920" t="str">
        <f>'Audit Report'!B920</f>
        <v>ITD-X919</v>
      </c>
      <c r="E920" t="str">
        <f>'Audit Report'!C920</f>
        <v/>
      </c>
      <c r="I920" t="str">
        <f>'Audit Report'!D920</f>
        <v/>
      </c>
      <c r="J920" t="str">
        <f>'Audit Report'!H920</f>
        <v/>
      </c>
      <c r="L920" t="str">
        <f>_xlfn.TEXTJOIN(", ", FALSE, 'Audit Report'!K920,'Audit Report'!L920,'Audit Report'!M920)</f>
        <v xml:space="preserve">, , </v>
      </c>
      <c r="M920" t="str">
        <f>'Audit Report'!O920</f>
        <v/>
      </c>
      <c r="R920" t="str">
        <f>'Audit Report'!F920</f>
        <v/>
      </c>
      <c r="S920" t="str">
        <f>'Audit Report'!Q920</f>
        <v/>
      </c>
    </row>
    <row r="921" spans="4:19">
      <c r="D921" t="str">
        <f>'Audit Report'!B921</f>
        <v>ITD-X920</v>
      </c>
      <c r="E921" t="str">
        <f>'Audit Report'!C921</f>
        <v/>
      </c>
      <c r="I921" t="str">
        <f>'Audit Report'!D921</f>
        <v/>
      </c>
      <c r="J921" t="str">
        <f>'Audit Report'!H921</f>
        <v/>
      </c>
      <c r="L921" t="str">
        <f>_xlfn.TEXTJOIN(", ", FALSE, 'Audit Report'!K921,'Audit Report'!L921,'Audit Report'!M921)</f>
        <v xml:space="preserve">, , </v>
      </c>
      <c r="M921" t="str">
        <f>'Audit Report'!O921</f>
        <v/>
      </c>
      <c r="R921" t="str">
        <f>'Audit Report'!F921</f>
        <v/>
      </c>
      <c r="S921" t="str">
        <f>'Audit Report'!Q921</f>
        <v/>
      </c>
    </row>
    <row r="922" spans="4:19">
      <c r="D922" t="str">
        <f>'Audit Report'!B922</f>
        <v>ITD-X921</v>
      </c>
      <c r="E922" t="str">
        <f>'Audit Report'!C922</f>
        <v/>
      </c>
      <c r="I922" t="str">
        <f>'Audit Report'!D922</f>
        <v/>
      </c>
      <c r="J922" t="str">
        <f>'Audit Report'!H922</f>
        <v/>
      </c>
      <c r="L922" t="str">
        <f>_xlfn.TEXTJOIN(", ", FALSE, 'Audit Report'!K922,'Audit Report'!L922,'Audit Report'!M922)</f>
        <v xml:space="preserve">, , </v>
      </c>
      <c r="M922" t="str">
        <f>'Audit Report'!O922</f>
        <v/>
      </c>
      <c r="R922" t="str">
        <f>'Audit Report'!F922</f>
        <v/>
      </c>
      <c r="S922" t="str">
        <f>'Audit Report'!Q922</f>
        <v/>
      </c>
    </row>
    <row r="923" spans="4:19">
      <c r="D923" t="str">
        <f>'Audit Report'!B923</f>
        <v>ITD-X922</v>
      </c>
      <c r="E923" t="str">
        <f>'Audit Report'!C923</f>
        <v/>
      </c>
      <c r="I923" t="str">
        <f>'Audit Report'!D923</f>
        <v/>
      </c>
      <c r="J923" t="str">
        <f>'Audit Report'!H923</f>
        <v/>
      </c>
      <c r="L923" t="str">
        <f>_xlfn.TEXTJOIN(", ", FALSE, 'Audit Report'!K923,'Audit Report'!L923,'Audit Report'!M923)</f>
        <v xml:space="preserve">, , </v>
      </c>
      <c r="M923" t="str">
        <f>'Audit Report'!O923</f>
        <v/>
      </c>
      <c r="R923" t="str">
        <f>'Audit Report'!F923</f>
        <v/>
      </c>
      <c r="S923" t="str">
        <f>'Audit Report'!Q923</f>
        <v/>
      </c>
    </row>
    <row r="924" spans="4:19">
      <c r="D924" t="str">
        <f>'Audit Report'!B924</f>
        <v>ITD-X923</v>
      </c>
      <c r="E924" t="str">
        <f>'Audit Report'!C924</f>
        <v/>
      </c>
      <c r="I924" t="str">
        <f>'Audit Report'!D924</f>
        <v/>
      </c>
      <c r="J924" t="str">
        <f>'Audit Report'!H924</f>
        <v/>
      </c>
      <c r="L924" t="str">
        <f>_xlfn.TEXTJOIN(", ", FALSE, 'Audit Report'!K924,'Audit Report'!L924,'Audit Report'!M924)</f>
        <v xml:space="preserve">, , </v>
      </c>
      <c r="M924" t="str">
        <f>'Audit Report'!O924</f>
        <v/>
      </c>
      <c r="R924" t="str">
        <f>'Audit Report'!F924</f>
        <v/>
      </c>
      <c r="S924" t="str">
        <f>'Audit Report'!Q924</f>
        <v/>
      </c>
    </row>
    <row r="925" spans="4:19">
      <c r="D925" t="str">
        <f>'Audit Report'!B925</f>
        <v>ITD-X924</v>
      </c>
      <c r="E925" t="str">
        <f>'Audit Report'!C925</f>
        <v/>
      </c>
      <c r="I925" t="str">
        <f>'Audit Report'!D925</f>
        <v/>
      </c>
      <c r="J925" t="str">
        <f>'Audit Report'!H925</f>
        <v/>
      </c>
      <c r="L925" t="str">
        <f>_xlfn.TEXTJOIN(", ", FALSE, 'Audit Report'!K925,'Audit Report'!L925,'Audit Report'!M925)</f>
        <v xml:space="preserve">, , </v>
      </c>
      <c r="M925" t="str">
        <f>'Audit Report'!O925</f>
        <v/>
      </c>
      <c r="R925" t="str">
        <f>'Audit Report'!F925</f>
        <v/>
      </c>
      <c r="S925" t="str">
        <f>'Audit Report'!Q925</f>
        <v/>
      </c>
    </row>
    <row r="926" spans="4:19">
      <c r="D926" t="str">
        <f>'Audit Report'!B926</f>
        <v>ITD-X925</v>
      </c>
      <c r="E926" t="str">
        <f>'Audit Report'!C926</f>
        <v/>
      </c>
      <c r="I926" t="str">
        <f>'Audit Report'!D926</f>
        <v/>
      </c>
      <c r="J926" t="str">
        <f>'Audit Report'!H926</f>
        <v/>
      </c>
      <c r="L926" t="str">
        <f>_xlfn.TEXTJOIN(", ", FALSE, 'Audit Report'!K926,'Audit Report'!L926,'Audit Report'!M926)</f>
        <v xml:space="preserve">, , </v>
      </c>
      <c r="M926" t="str">
        <f>'Audit Report'!O926</f>
        <v/>
      </c>
      <c r="R926" t="str">
        <f>'Audit Report'!F926</f>
        <v/>
      </c>
      <c r="S926" t="str">
        <f>'Audit Report'!Q926</f>
        <v/>
      </c>
    </row>
    <row r="927" spans="4:19">
      <c r="D927" t="str">
        <f>'Audit Report'!B927</f>
        <v>ITD-X926</v>
      </c>
      <c r="E927" t="str">
        <f>'Audit Report'!C927</f>
        <v/>
      </c>
      <c r="I927" t="str">
        <f>'Audit Report'!D927</f>
        <v/>
      </c>
      <c r="J927" t="str">
        <f>'Audit Report'!H927</f>
        <v/>
      </c>
      <c r="L927" t="str">
        <f>_xlfn.TEXTJOIN(", ", FALSE, 'Audit Report'!K927,'Audit Report'!L927,'Audit Report'!M927)</f>
        <v xml:space="preserve">, , </v>
      </c>
      <c r="M927" t="str">
        <f>'Audit Report'!O927</f>
        <v/>
      </c>
      <c r="R927" t="str">
        <f>'Audit Report'!F927</f>
        <v/>
      </c>
      <c r="S927" t="str">
        <f>'Audit Report'!Q927</f>
        <v/>
      </c>
    </row>
    <row r="928" spans="4:19">
      <c r="D928" t="str">
        <f>'Audit Report'!B928</f>
        <v>ITD-X927</v>
      </c>
      <c r="E928" t="str">
        <f>'Audit Report'!C928</f>
        <v/>
      </c>
      <c r="I928" t="str">
        <f>'Audit Report'!D928</f>
        <v/>
      </c>
      <c r="J928" t="str">
        <f>'Audit Report'!H928</f>
        <v/>
      </c>
      <c r="L928" t="str">
        <f>_xlfn.TEXTJOIN(", ", FALSE, 'Audit Report'!K928,'Audit Report'!L928,'Audit Report'!M928)</f>
        <v xml:space="preserve">, , </v>
      </c>
      <c r="M928" t="str">
        <f>'Audit Report'!O928</f>
        <v/>
      </c>
      <c r="R928" t="str">
        <f>'Audit Report'!F928</f>
        <v/>
      </c>
      <c r="S928" t="str">
        <f>'Audit Report'!Q928</f>
        <v/>
      </c>
    </row>
    <row r="929" spans="4:19">
      <c r="D929" t="str">
        <f>'Audit Report'!B929</f>
        <v>ITD-X928</v>
      </c>
      <c r="E929" t="str">
        <f>'Audit Report'!C929</f>
        <v/>
      </c>
      <c r="I929" t="str">
        <f>'Audit Report'!D929</f>
        <v/>
      </c>
      <c r="J929" t="str">
        <f>'Audit Report'!H929</f>
        <v/>
      </c>
      <c r="L929" t="str">
        <f>_xlfn.TEXTJOIN(", ", FALSE, 'Audit Report'!K929,'Audit Report'!L929,'Audit Report'!M929)</f>
        <v xml:space="preserve">, , </v>
      </c>
      <c r="M929" t="str">
        <f>'Audit Report'!O929</f>
        <v/>
      </c>
      <c r="R929" t="str">
        <f>'Audit Report'!F929</f>
        <v/>
      </c>
      <c r="S929" t="str">
        <f>'Audit Report'!Q929</f>
        <v/>
      </c>
    </row>
    <row r="930" spans="4:19">
      <c r="D930" t="str">
        <f>'Audit Report'!B930</f>
        <v>ITD-X929</v>
      </c>
      <c r="E930" t="str">
        <f>'Audit Report'!C930</f>
        <v/>
      </c>
      <c r="I930" t="str">
        <f>'Audit Report'!D930</f>
        <v/>
      </c>
      <c r="J930" t="str">
        <f>'Audit Report'!H930</f>
        <v/>
      </c>
      <c r="L930" t="str">
        <f>_xlfn.TEXTJOIN(", ", FALSE, 'Audit Report'!K930,'Audit Report'!L930,'Audit Report'!M930)</f>
        <v xml:space="preserve">, , </v>
      </c>
      <c r="M930" t="str">
        <f>'Audit Report'!O930</f>
        <v/>
      </c>
      <c r="R930" t="str">
        <f>'Audit Report'!F930</f>
        <v/>
      </c>
      <c r="S930" t="str">
        <f>'Audit Report'!Q930</f>
        <v/>
      </c>
    </row>
    <row r="931" spans="4:19">
      <c r="D931" t="str">
        <f>'Audit Report'!B931</f>
        <v>ITD-X930</v>
      </c>
      <c r="E931" t="str">
        <f>'Audit Report'!C931</f>
        <v/>
      </c>
      <c r="I931" t="str">
        <f>'Audit Report'!D931</f>
        <v/>
      </c>
      <c r="J931" t="str">
        <f>'Audit Report'!H931</f>
        <v/>
      </c>
      <c r="L931" t="str">
        <f>_xlfn.TEXTJOIN(", ", FALSE, 'Audit Report'!K931,'Audit Report'!L931,'Audit Report'!M931)</f>
        <v xml:space="preserve">, , </v>
      </c>
      <c r="M931" t="str">
        <f>'Audit Report'!O931</f>
        <v/>
      </c>
      <c r="R931" t="str">
        <f>'Audit Report'!F931</f>
        <v/>
      </c>
      <c r="S931" t="str">
        <f>'Audit Report'!Q931</f>
        <v/>
      </c>
    </row>
    <row r="932" spans="4:19">
      <c r="D932" t="str">
        <f>'Audit Report'!B932</f>
        <v>ITD-X931</v>
      </c>
      <c r="E932" t="str">
        <f>'Audit Report'!C932</f>
        <v/>
      </c>
      <c r="I932" t="str">
        <f>'Audit Report'!D932</f>
        <v/>
      </c>
      <c r="J932" t="str">
        <f>'Audit Report'!H932</f>
        <v/>
      </c>
      <c r="L932" t="str">
        <f>_xlfn.TEXTJOIN(", ", FALSE, 'Audit Report'!K932,'Audit Report'!L932,'Audit Report'!M932)</f>
        <v xml:space="preserve">, , </v>
      </c>
      <c r="M932" t="str">
        <f>'Audit Report'!O932</f>
        <v/>
      </c>
      <c r="R932" t="str">
        <f>'Audit Report'!F932</f>
        <v/>
      </c>
      <c r="S932" t="str">
        <f>'Audit Report'!Q932</f>
        <v/>
      </c>
    </row>
    <row r="933" spans="4:19">
      <c r="D933" t="str">
        <f>'Audit Report'!B933</f>
        <v>ITD-X932</v>
      </c>
      <c r="E933" t="str">
        <f>'Audit Report'!C933</f>
        <v/>
      </c>
      <c r="I933" t="str">
        <f>'Audit Report'!D933</f>
        <v/>
      </c>
      <c r="J933" t="str">
        <f>'Audit Report'!H933</f>
        <v/>
      </c>
      <c r="L933" t="str">
        <f>_xlfn.TEXTJOIN(", ", FALSE, 'Audit Report'!K933,'Audit Report'!L933,'Audit Report'!M933)</f>
        <v xml:space="preserve">, , </v>
      </c>
      <c r="M933" t="str">
        <f>'Audit Report'!O933</f>
        <v/>
      </c>
      <c r="R933" t="str">
        <f>'Audit Report'!F933</f>
        <v/>
      </c>
      <c r="S933" t="str">
        <f>'Audit Report'!Q933</f>
        <v/>
      </c>
    </row>
    <row r="934" spans="4:19">
      <c r="D934" t="str">
        <f>'Audit Report'!B934</f>
        <v>ITD-X933</v>
      </c>
      <c r="E934" t="str">
        <f>'Audit Report'!C934</f>
        <v/>
      </c>
      <c r="I934" t="str">
        <f>'Audit Report'!D934</f>
        <v/>
      </c>
      <c r="J934" t="str">
        <f>'Audit Report'!H934</f>
        <v/>
      </c>
      <c r="L934" t="str">
        <f>_xlfn.TEXTJOIN(", ", FALSE, 'Audit Report'!K934,'Audit Report'!L934,'Audit Report'!M934)</f>
        <v xml:space="preserve">, , </v>
      </c>
      <c r="M934" t="str">
        <f>'Audit Report'!O934</f>
        <v/>
      </c>
      <c r="R934" t="str">
        <f>'Audit Report'!F934</f>
        <v/>
      </c>
      <c r="S934" t="str">
        <f>'Audit Report'!Q934</f>
        <v/>
      </c>
    </row>
    <row r="935" spans="4:19">
      <c r="D935" t="str">
        <f>'Audit Report'!B935</f>
        <v>ITD-X934</v>
      </c>
      <c r="E935" t="str">
        <f>'Audit Report'!C935</f>
        <v/>
      </c>
      <c r="I935" t="str">
        <f>'Audit Report'!D935</f>
        <v/>
      </c>
      <c r="J935" t="str">
        <f>'Audit Report'!H935</f>
        <v/>
      </c>
      <c r="L935" t="str">
        <f>_xlfn.TEXTJOIN(", ", FALSE, 'Audit Report'!K935,'Audit Report'!L935,'Audit Report'!M935)</f>
        <v xml:space="preserve">, , </v>
      </c>
      <c r="M935" t="str">
        <f>'Audit Report'!O935</f>
        <v/>
      </c>
      <c r="R935" t="str">
        <f>'Audit Report'!F935</f>
        <v/>
      </c>
      <c r="S935" t="str">
        <f>'Audit Report'!Q935</f>
        <v/>
      </c>
    </row>
    <row r="936" spans="4:19">
      <c r="D936" t="str">
        <f>'Audit Report'!B936</f>
        <v>ITD-X935</v>
      </c>
      <c r="E936" t="str">
        <f>'Audit Report'!C936</f>
        <v/>
      </c>
      <c r="I936" t="str">
        <f>'Audit Report'!D936</f>
        <v/>
      </c>
      <c r="J936" t="str">
        <f>'Audit Report'!H936</f>
        <v/>
      </c>
      <c r="L936" t="str">
        <f>_xlfn.TEXTJOIN(", ", FALSE, 'Audit Report'!K936,'Audit Report'!L936,'Audit Report'!M936)</f>
        <v xml:space="preserve">, , </v>
      </c>
      <c r="M936" t="str">
        <f>'Audit Report'!O936</f>
        <v/>
      </c>
      <c r="R936" t="str">
        <f>'Audit Report'!F936</f>
        <v/>
      </c>
      <c r="S936" t="str">
        <f>'Audit Report'!Q936</f>
        <v/>
      </c>
    </row>
    <row r="937" spans="4:19">
      <c r="D937" t="str">
        <f>'Audit Report'!B937</f>
        <v>ITD-X936</v>
      </c>
      <c r="E937" t="str">
        <f>'Audit Report'!C937</f>
        <v/>
      </c>
      <c r="I937" t="str">
        <f>'Audit Report'!D937</f>
        <v/>
      </c>
      <c r="J937" t="str">
        <f>'Audit Report'!H937</f>
        <v/>
      </c>
      <c r="L937" t="str">
        <f>_xlfn.TEXTJOIN(", ", FALSE, 'Audit Report'!K937,'Audit Report'!L937,'Audit Report'!M937)</f>
        <v xml:space="preserve">, , </v>
      </c>
      <c r="M937" t="str">
        <f>'Audit Report'!O937</f>
        <v/>
      </c>
      <c r="R937" t="str">
        <f>'Audit Report'!F937</f>
        <v/>
      </c>
      <c r="S937" t="str">
        <f>'Audit Report'!Q937</f>
        <v/>
      </c>
    </row>
    <row r="938" spans="4:19">
      <c r="D938" t="str">
        <f>'Audit Report'!B938</f>
        <v>ITD-X937</v>
      </c>
      <c r="E938" t="str">
        <f>'Audit Report'!C938</f>
        <v/>
      </c>
      <c r="I938" t="str">
        <f>'Audit Report'!D938</f>
        <v/>
      </c>
      <c r="J938" t="str">
        <f>'Audit Report'!H938</f>
        <v/>
      </c>
      <c r="L938" t="str">
        <f>_xlfn.TEXTJOIN(", ", FALSE, 'Audit Report'!K938,'Audit Report'!L938,'Audit Report'!M938)</f>
        <v xml:space="preserve">, , </v>
      </c>
      <c r="M938" t="str">
        <f>'Audit Report'!O938</f>
        <v/>
      </c>
      <c r="R938" t="str">
        <f>'Audit Report'!F938</f>
        <v/>
      </c>
      <c r="S938" t="str">
        <f>'Audit Report'!Q938</f>
        <v/>
      </c>
    </row>
    <row r="939" spans="4:19">
      <c r="D939" t="str">
        <f>'Audit Report'!B939</f>
        <v>ITD-X938</v>
      </c>
      <c r="E939" t="str">
        <f>'Audit Report'!C939</f>
        <v/>
      </c>
      <c r="I939" t="str">
        <f>'Audit Report'!D939</f>
        <v/>
      </c>
      <c r="J939" t="str">
        <f>'Audit Report'!H939</f>
        <v/>
      </c>
      <c r="L939" t="str">
        <f>_xlfn.TEXTJOIN(", ", FALSE, 'Audit Report'!K939,'Audit Report'!L939,'Audit Report'!M939)</f>
        <v xml:space="preserve">, , </v>
      </c>
      <c r="M939" t="str">
        <f>'Audit Report'!O939</f>
        <v/>
      </c>
      <c r="R939" t="str">
        <f>'Audit Report'!F939</f>
        <v/>
      </c>
      <c r="S939" t="str">
        <f>'Audit Report'!Q939</f>
        <v/>
      </c>
    </row>
    <row r="940" spans="4:19">
      <c r="D940" t="str">
        <f>'Audit Report'!B940</f>
        <v>ITD-X939</v>
      </c>
      <c r="E940" t="str">
        <f>'Audit Report'!C940</f>
        <v/>
      </c>
      <c r="I940" t="str">
        <f>'Audit Report'!D940</f>
        <v/>
      </c>
      <c r="J940" t="str">
        <f>'Audit Report'!H940</f>
        <v/>
      </c>
      <c r="L940" t="str">
        <f>_xlfn.TEXTJOIN(", ", FALSE, 'Audit Report'!K940,'Audit Report'!L940,'Audit Report'!M940)</f>
        <v xml:space="preserve">, , </v>
      </c>
      <c r="M940" t="str">
        <f>'Audit Report'!O940</f>
        <v/>
      </c>
      <c r="R940" t="str">
        <f>'Audit Report'!F940</f>
        <v/>
      </c>
      <c r="S940" t="str">
        <f>'Audit Report'!Q940</f>
        <v/>
      </c>
    </row>
    <row r="941" spans="4:19">
      <c r="D941" t="str">
        <f>'Audit Report'!B941</f>
        <v>ITD-X940</v>
      </c>
      <c r="E941" t="str">
        <f>'Audit Report'!C941</f>
        <v/>
      </c>
      <c r="I941" t="str">
        <f>'Audit Report'!D941</f>
        <v/>
      </c>
      <c r="J941" t="str">
        <f>'Audit Report'!H941</f>
        <v/>
      </c>
      <c r="L941" t="str">
        <f>_xlfn.TEXTJOIN(", ", FALSE, 'Audit Report'!K941,'Audit Report'!L941,'Audit Report'!M941)</f>
        <v xml:space="preserve">, , </v>
      </c>
      <c r="M941" t="str">
        <f>'Audit Report'!O941</f>
        <v/>
      </c>
      <c r="R941" t="str">
        <f>'Audit Report'!F941</f>
        <v/>
      </c>
      <c r="S941" t="str">
        <f>'Audit Report'!Q941</f>
        <v/>
      </c>
    </row>
    <row r="942" spans="4:19">
      <c r="D942" t="str">
        <f>'Audit Report'!B942</f>
        <v>ITD-X941</v>
      </c>
      <c r="E942" t="str">
        <f>'Audit Report'!C942</f>
        <v/>
      </c>
      <c r="I942" t="str">
        <f>'Audit Report'!D942</f>
        <v/>
      </c>
      <c r="J942" t="str">
        <f>'Audit Report'!H942</f>
        <v/>
      </c>
      <c r="L942" t="str">
        <f>_xlfn.TEXTJOIN(", ", FALSE, 'Audit Report'!K942,'Audit Report'!L942,'Audit Report'!M942)</f>
        <v xml:space="preserve">, , </v>
      </c>
      <c r="M942" t="str">
        <f>'Audit Report'!O942</f>
        <v/>
      </c>
      <c r="R942" t="str">
        <f>'Audit Report'!F942</f>
        <v/>
      </c>
      <c r="S942" t="str">
        <f>'Audit Report'!Q942</f>
        <v/>
      </c>
    </row>
    <row r="943" spans="4:19">
      <c r="D943" t="str">
        <f>'Audit Report'!B943</f>
        <v>ITD-X942</v>
      </c>
      <c r="E943" t="str">
        <f>'Audit Report'!C943</f>
        <v/>
      </c>
      <c r="I943" t="str">
        <f>'Audit Report'!D943</f>
        <v/>
      </c>
      <c r="J943" t="str">
        <f>'Audit Report'!H943</f>
        <v/>
      </c>
      <c r="L943" t="str">
        <f>_xlfn.TEXTJOIN(", ", FALSE, 'Audit Report'!K943,'Audit Report'!L943,'Audit Report'!M943)</f>
        <v xml:space="preserve">, , </v>
      </c>
      <c r="M943" t="str">
        <f>'Audit Report'!O943</f>
        <v/>
      </c>
      <c r="R943" t="str">
        <f>'Audit Report'!F943</f>
        <v/>
      </c>
      <c r="S943" t="str">
        <f>'Audit Report'!Q943</f>
        <v/>
      </c>
    </row>
    <row r="944" spans="4:19">
      <c r="D944" t="str">
        <f>'Audit Report'!B944</f>
        <v>ITD-X943</v>
      </c>
      <c r="E944" t="str">
        <f>'Audit Report'!C944</f>
        <v/>
      </c>
      <c r="I944" t="str">
        <f>'Audit Report'!D944</f>
        <v/>
      </c>
      <c r="J944" t="str">
        <f>'Audit Report'!H944</f>
        <v/>
      </c>
      <c r="L944" t="str">
        <f>_xlfn.TEXTJOIN(", ", FALSE, 'Audit Report'!K944,'Audit Report'!L944,'Audit Report'!M944)</f>
        <v xml:space="preserve">, , </v>
      </c>
      <c r="M944" t="str">
        <f>'Audit Report'!O944</f>
        <v/>
      </c>
      <c r="R944" t="str">
        <f>'Audit Report'!F944</f>
        <v/>
      </c>
      <c r="S944" t="str">
        <f>'Audit Report'!Q944</f>
        <v/>
      </c>
    </row>
    <row r="945" spans="4:19">
      <c r="D945" t="str">
        <f>'Audit Report'!B945</f>
        <v>ITD-X944</v>
      </c>
      <c r="E945" t="str">
        <f>'Audit Report'!C945</f>
        <v/>
      </c>
      <c r="I945" t="str">
        <f>'Audit Report'!D945</f>
        <v/>
      </c>
      <c r="J945" t="str">
        <f>'Audit Report'!H945</f>
        <v/>
      </c>
      <c r="L945" t="str">
        <f>_xlfn.TEXTJOIN(", ", FALSE, 'Audit Report'!K945,'Audit Report'!L945,'Audit Report'!M945)</f>
        <v xml:space="preserve">, , </v>
      </c>
      <c r="M945" t="str">
        <f>'Audit Report'!O945</f>
        <v/>
      </c>
      <c r="R945" t="str">
        <f>'Audit Report'!F945</f>
        <v/>
      </c>
      <c r="S945" t="str">
        <f>'Audit Report'!Q945</f>
        <v/>
      </c>
    </row>
    <row r="946" spans="4:19">
      <c r="D946" t="str">
        <f>'Audit Report'!B946</f>
        <v>ITD-X945</v>
      </c>
      <c r="E946" t="str">
        <f>'Audit Report'!C946</f>
        <v/>
      </c>
      <c r="I946" t="str">
        <f>'Audit Report'!D946</f>
        <v/>
      </c>
      <c r="J946" t="str">
        <f>'Audit Report'!H946</f>
        <v/>
      </c>
      <c r="L946" t="str">
        <f>_xlfn.TEXTJOIN(", ", FALSE, 'Audit Report'!K946,'Audit Report'!L946,'Audit Report'!M946)</f>
        <v xml:space="preserve">, , </v>
      </c>
      <c r="M946" t="str">
        <f>'Audit Report'!O946</f>
        <v/>
      </c>
      <c r="R946" t="str">
        <f>'Audit Report'!F946</f>
        <v/>
      </c>
      <c r="S946" t="str">
        <f>'Audit Report'!Q946</f>
        <v/>
      </c>
    </row>
    <row r="947" spans="4:19">
      <c r="D947" t="str">
        <f>'Audit Report'!B947</f>
        <v>ITD-X946</v>
      </c>
      <c r="E947" t="str">
        <f>'Audit Report'!C947</f>
        <v/>
      </c>
      <c r="I947" t="str">
        <f>'Audit Report'!D947</f>
        <v/>
      </c>
      <c r="J947" t="str">
        <f>'Audit Report'!H947</f>
        <v/>
      </c>
      <c r="L947" t="str">
        <f>_xlfn.TEXTJOIN(", ", FALSE, 'Audit Report'!K947,'Audit Report'!L947,'Audit Report'!M947)</f>
        <v xml:space="preserve">, , </v>
      </c>
      <c r="M947" t="str">
        <f>'Audit Report'!O947</f>
        <v/>
      </c>
      <c r="R947" t="str">
        <f>'Audit Report'!F947</f>
        <v/>
      </c>
      <c r="S947" t="str">
        <f>'Audit Report'!Q947</f>
        <v/>
      </c>
    </row>
    <row r="948" spans="4:19">
      <c r="D948" t="str">
        <f>'Audit Report'!B948</f>
        <v>ITD-X947</v>
      </c>
      <c r="E948" t="str">
        <f>'Audit Report'!C948</f>
        <v/>
      </c>
      <c r="I948" t="str">
        <f>'Audit Report'!D948</f>
        <v/>
      </c>
      <c r="J948" t="str">
        <f>'Audit Report'!H948</f>
        <v/>
      </c>
      <c r="L948" t="str">
        <f>_xlfn.TEXTJOIN(", ", FALSE, 'Audit Report'!K948,'Audit Report'!L948,'Audit Report'!M948)</f>
        <v xml:space="preserve">, , </v>
      </c>
      <c r="M948" t="str">
        <f>'Audit Report'!O948</f>
        <v/>
      </c>
      <c r="R948" t="str">
        <f>'Audit Report'!F948</f>
        <v/>
      </c>
      <c r="S948" t="str">
        <f>'Audit Report'!Q948</f>
        <v/>
      </c>
    </row>
    <row r="949" spans="4:19">
      <c r="D949" t="str">
        <f>'Audit Report'!B949</f>
        <v>ITD-X948</v>
      </c>
      <c r="E949" t="str">
        <f>'Audit Report'!C949</f>
        <v/>
      </c>
      <c r="I949" t="str">
        <f>'Audit Report'!D949</f>
        <v/>
      </c>
      <c r="J949" t="str">
        <f>'Audit Report'!H949</f>
        <v/>
      </c>
      <c r="L949" t="str">
        <f>_xlfn.TEXTJOIN(", ", FALSE, 'Audit Report'!K949,'Audit Report'!L949,'Audit Report'!M949)</f>
        <v xml:space="preserve">, , </v>
      </c>
      <c r="M949" t="str">
        <f>'Audit Report'!O949</f>
        <v/>
      </c>
      <c r="R949" t="str">
        <f>'Audit Report'!F949</f>
        <v/>
      </c>
      <c r="S949" t="str">
        <f>'Audit Report'!Q949</f>
        <v/>
      </c>
    </row>
    <row r="950" spans="4:19">
      <c r="D950" t="str">
        <f>'Audit Report'!B950</f>
        <v>ITD-X949</v>
      </c>
      <c r="E950" t="str">
        <f>'Audit Report'!C950</f>
        <v/>
      </c>
      <c r="I950" t="str">
        <f>'Audit Report'!D950</f>
        <v/>
      </c>
      <c r="J950" t="str">
        <f>'Audit Report'!H950</f>
        <v/>
      </c>
      <c r="L950" t="str">
        <f>_xlfn.TEXTJOIN(", ", FALSE, 'Audit Report'!K950,'Audit Report'!L950,'Audit Report'!M950)</f>
        <v xml:space="preserve">, , </v>
      </c>
      <c r="M950" t="str">
        <f>'Audit Report'!O950</f>
        <v/>
      </c>
      <c r="R950" t="str">
        <f>'Audit Report'!F950</f>
        <v/>
      </c>
      <c r="S950" t="str">
        <f>'Audit Report'!Q950</f>
        <v/>
      </c>
    </row>
    <row r="951" spans="4:19">
      <c r="D951" t="str">
        <f>'Audit Report'!B951</f>
        <v>ITD-X950</v>
      </c>
      <c r="E951" t="str">
        <f>'Audit Report'!C951</f>
        <v/>
      </c>
      <c r="I951" t="str">
        <f>'Audit Report'!D951</f>
        <v/>
      </c>
      <c r="J951" t="str">
        <f>'Audit Report'!H951</f>
        <v/>
      </c>
      <c r="L951" t="str">
        <f>_xlfn.TEXTJOIN(", ", FALSE, 'Audit Report'!K951,'Audit Report'!L951,'Audit Report'!M951)</f>
        <v xml:space="preserve">, , </v>
      </c>
      <c r="M951" t="str">
        <f>'Audit Report'!O951</f>
        <v/>
      </c>
      <c r="R951" t="str">
        <f>'Audit Report'!F951</f>
        <v/>
      </c>
      <c r="S951" t="str">
        <f>'Audit Report'!Q951</f>
        <v/>
      </c>
    </row>
    <row r="952" spans="4:19">
      <c r="D952" t="str">
        <f>'Audit Report'!B952</f>
        <v>ITD-X951</v>
      </c>
      <c r="E952" t="str">
        <f>'Audit Report'!C952</f>
        <v/>
      </c>
      <c r="I952" t="str">
        <f>'Audit Report'!D952</f>
        <v/>
      </c>
      <c r="J952" t="str">
        <f>'Audit Report'!H952</f>
        <v/>
      </c>
      <c r="L952" t="str">
        <f>_xlfn.TEXTJOIN(", ", FALSE, 'Audit Report'!K952,'Audit Report'!L952,'Audit Report'!M952)</f>
        <v xml:space="preserve">, , </v>
      </c>
      <c r="M952" t="str">
        <f>'Audit Report'!O952</f>
        <v/>
      </c>
      <c r="R952" t="str">
        <f>'Audit Report'!F952</f>
        <v/>
      </c>
      <c r="S952" t="str">
        <f>'Audit Report'!Q952</f>
        <v/>
      </c>
    </row>
    <row r="953" spans="4:19">
      <c r="D953" t="str">
        <f>'Audit Report'!B953</f>
        <v>ITD-X952</v>
      </c>
      <c r="E953" t="str">
        <f>'Audit Report'!C953</f>
        <v/>
      </c>
      <c r="I953" t="str">
        <f>'Audit Report'!D953</f>
        <v/>
      </c>
      <c r="J953" t="str">
        <f>'Audit Report'!H953</f>
        <v/>
      </c>
      <c r="L953" t="str">
        <f>_xlfn.TEXTJOIN(", ", FALSE, 'Audit Report'!K953,'Audit Report'!L953,'Audit Report'!M953)</f>
        <v xml:space="preserve">, , </v>
      </c>
      <c r="M953" t="str">
        <f>'Audit Report'!O953</f>
        <v/>
      </c>
      <c r="R953" t="str">
        <f>'Audit Report'!F953</f>
        <v/>
      </c>
      <c r="S953" t="str">
        <f>'Audit Report'!Q953</f>
        <v/>
      </c>
    </row>
    <row r="954" spans="4:19">
      <c r="D954" t="str">
        <f>'Audit Report'!B954</f>
        <v>ITD-X953</v>
      </c>
      <c r="E954" t="str">
        <f>'Audit Report'!C954</f>
        <v/>
      </c>
      <c r="I954" t="str">
        <f>'Audit Report'!D954</f>
        <v/>
      </c>
      <c r="J954" t="str">
        <f>'Audit Report'!H954</f>
        <v/>
      </c>
      <c r="L954" t="str">
        <f>_xlfn.TEXTJOIN(", ", FALSE, 'Audit Report'!K954,'Audit Report'!L954,'Audit Report'!M954)</f>
        <v xml:space="preserve">, , </v>
      </c>
      <c r="M954" t="str">
        <f>'Audit Report'!O954</f>
        <v/>
      </c>
      <c r="R954" t="str">
        <f>'Audit Report'!F954</f>
        <v/>
      </c>
      <c r="S954" t="str">
        <f>'Audit Report'!Q954</f>
        <v/>
      </c>
    </row>
    <row r="955" spans="4:19">
      <c r="D955" t="str">
        <f>'Audit Report'!B955</f>
        <v>ITD-X954</v>
      </c>
      <c r="E955" t="str">
        <f>'Audit Report'!C955</f>
        <v/>
      </c>
      <c r="I955" t="str">
        <f>'Audit Report'!D955</f>
        <v/>
      </c>
      <c r="J955" t="str">
        <f>'Audit Report'!H955</f>
        <v/>
      </c>
      <c r="L955" t="str">
        <f>_xlfn.TEXTJOIN(", ", FALSE, 'Audit Report'!K955,'Audit Report'!L955,'Audit Report'!M955)</f>
        <v xml:space="preserve">, , </v>
      </c>
      <c r="M955" t="str">
        <f>'Audit Report'!O955</f>
        <v/>
      </c>
      <c r="R955" t="str">
        <f>'Audit Report'!F955</f>
        <v/>
      </c>
      <c r="S955" t="str">
        <f>'Audit Report'!Q955</f>
        <v/>
      </c>
    </row>
    <row r="956" spans="4:19">
      <c r="D956" t="str">
        <f>'Audit Report'!B956</f>
        <v>ITD-X955</v>
      </c>
      <c r="E956" t="str">
        <f>'Audit Report'!C956</f>
        <v/>
      </c>
      <c r="I956" t="str">
        <f>'Audit Report'!D956</f>
        <v/>
      </c>
      <c r="J956" t="str">
        <f>'Audit Report'!H956</f>
        <v/>
      </c>
      <c r="L956" t="str">
        <f>_xlfn.TEXTJOIN(", ", FALSE, 'Audit Report'!K956,'Audit Report'!L956,'Audit Report'!M956)</f>
        <v xml:space="preserve">, , </v>
      </c>
      <c r="M956" t="str">
        <f>'Audit Report'!O956</f>
        <v/>
      </c>
      <c r="R956" t="str">
        <f>'Audit Report'!F956</f>
        <v/>
      </c>
      <c r="S956" t="str">
        <f>'Audit Report'!Q956</f>
        <v/>
      </c>
    </row>
    <row r="957" spans="4:19">
      <c r="D957" t="str">
        <f>'Audit Report'!B957</f>
        <v>ITD-X956</v>
      </c>
      <c r="E957" t="str">
        <f>'Audit Report'!C957</f>
        <v/>
      </c>
      <c r="I957" t="str">
        <f>'Audit Report'!D957</f>
        <v/>
      </c>
      <c r="J957" t="str">
        <f>'Audit Report'!H957</f>
        <v/>
      </c>
      <c r="L957" t="str">
        <f>_xlfn.TEXTJOIN(", ", FALSE, 'Audit Report'!K957,'Audit Report'!L957,'Audit Report'!M957)</f>
        <v xml:space="preserve">, , </v>
      </c>
      <c r="M957" t="str">
        <f>'Audit Report'!O957</f>
        <v/>
      </c>
      <c r="R957" t="str">
        <f>'Audit Report'!F957</f>
        <v/>
      </c>
      <c r="S957" t="str">
        <f>'Audit Report'!Q957</f>
        <v/>
      </c>
    </row>
    <row r="958" spans="4:19">
      <c r="D958" t="str">
        <f>'Audit Report'!B958</f>
        <v>ITD-X957</v>
      </c>
      <c r="E958" t="str">
        <f>'Audit Report'!C958</f>
        <v/>
      </c>
      <c r="I958" t="str">
        <f>'Audit Report'!D958</f>
        <v/>
      </c>
      <c r="J958" t="str">
        <f>'Audit Report'!H958</f>
        <v/>
      </c>
      <c r="L958" t="str">
        <f>_xlfn.TEXTJOIN(", ", FALSE, 'Audit Report'!K958,'Audit Report'!L958,'Audit Report'!M958)</f>
        <v xml:space="preserve">, , </v>
      </c>
      <c r="M958" t="str">
        <f>'Audit Report'!O958</f>
        <v/>
      </c>
      <c r="R958" t="str">
        <f>'Audit Report'!F958</f>
        <v/>
      </c>
      <c r="S958" t="str">
        <f>'Audit Report'!Q958</f>
        <v/>
      </c>
    </row>
    <row r="959" spans="4:19">
      <c r="D959" t="str">
        <f>'Audit Report'!B959</f>
        <v>ITD-X958</v>
      </c>
      <c r="E959" t="str">
        <f>'Audit Report'!C959</f>
        <v/>
      </c>
      <c r="I959" t="str">
        <f>'Audit Report'!D959</f>
        <v/>
      </c>
      <c r="J959" t="str">
        <f>'Audit Report'!H959</f>
        <v/>
      </c>
      <c r="L959" t="str">
        <f>_xlfn.TEXTJOIN(", ", FALSE, 'Audit Report'!K959,'Audit Report'!L959,'Audit Report'!M959)</f>
        <v xml:space="preserve">, , </v>
      </c>
      <c r="M959" t="str">
        <f>'Audit Report'!O959</f>
        <v/>
      </c>
      <c r="R959" t="str">
        <f>'Audit Report'!F959</f>
        <v/>
      </c>
      <c r="S959" t="str">
        <f>'Audit Report'!Q959</f>
        <v/>
      </c>
    </row>
    <row r="960" spans="4:19">
      <c r="D960" t="str">
        <f>'Audit Report'!B960</f>
        <v>ITD-X959</v>
      </c>
      <c r="E960" t="str">
        <f>'Audit Report'!C960</f>
        <v/>
      </c>
      <c r="I960" t="str">
        <f>'Audit Report'!D960</f>
        <v/>
      </c>
      <c r="J960" t="str">
        <f>'Audit Report'!H960</f>
        <v/>
      </c>
      <c r="L960" t="str">
        <f>_xlfn.TEXTJOIN(", ", FALSE, 'Audit Report'!K960,'Audit Report'!L960,'Audit Report'!M960)</f>
        <v xml:space="preserve">, , </v>
      </c>
      <c r="M960" t="str">
        <f>'Audit Report'!O960</f>
        <v/>
      </c>
      <c r="R960" t="str">
        <f>'Audit Report'!F960</f>
        <v/>
      </c>
      <c r="S960" t="str">
        <f>'Audit Report'!Q960</f>
        <v/>
      </c>
    </row>
    <row r="961" spans="4:19">
      <c r="D961" t="str">
        <f>'Audit Report'!B961</f>
        <v>ITD-X960</v>
      </c>
      <c r="E961" t="str">
        <f>'Audit Report'!C961</f>
        <v/>
      </c>
      <c r="I961" t="str">
        <f>'Audit Report'!D961</f>
        <v/>
      </c>
      <c r="J961" t="str">
        <f>'Audit Report'!H961</f>
        <v/>
      </c>
      <c r="L961" t="str">
        <f>_xlfn.TEXTJOIN(", ", FALSE, 'Audit Report'!K961,'Audit Report'!L961,'Audit Report'!M961)</f>
        <v xml:space="preserve">, , </v>
      </c>
      <c r="M961" t="str">
        <f>'Audit Report'!O961</f>
        <v/>
      </c>
      <c r="R961" t="str">
        <f>'Audit Report'!F961</f>
        <v/>
      </c>
      <c r="S961" t="str">
        <f>'Audit Report'!Q961</f>
        <v/>
      </c>
    </row>
    <row r="962" spans="4:19">
      <c r="D962" t="str">
        <f>'Audit Report'!B962</f>
        <v>ITD-X961</v>
      </c>
      <c r="E962" t="str">
        <f>'Audit Report'!C962</f>
        <v/>
      </c>
      <c r="I962" t="str">
        <f>'Audit Report'!D962</f>
        <v/>
      </c>
      <c r="J962" t="str">
        <f>'Audit Report'!H962</f>
        <v/>
      </c>
      <c r="L962" t="str">
        <f>_xlfn.TEXTJOIN(", ", FALSE, 'Audit Report'!K962,'Audit Report'!L962,'Audit Report'!M962)</f>
        <v xml:space="preserve">, , </v>
      </c>
      <c r="M962" t="str">
        <f>'Audit Report'!O962</f>
        <v/>
      </c>
      <c r="R962" t="str">
        <f>'Audit Report'!F962</f>
        <v/>
      </c>
      <c r="S962" t="str">
        <f>'Audit Report'!Q962</f>
        <v/>
      </c>
    </row>
    <row r="963" spans="4:19">
      <c r="D963" t="str">
        <f>'Audit Report'!B963</f>
        <v>ITD-X962</v>
      </c>
      <c r="E963" t="str">
        <f>'Audit Report'!C963</f>
        <v/>
      </c>
      <c r="I963" t="str">
        <f>'Audit Report'!D963</f>
        <v/>
      </c>
      <c r="J963" t="str">
        <f>'Audit Report'!H963</f>
        <v/>
      </c>
      <c r="L963" t="str">
        <f>_xlfn.TEXTJOIN(", ", FALSE, 'Audit Report'!K963,'Audit Report'!L963,'Audit Report'!M963)</f>
        <v xml:space="preserve">, , </v>
      </c>
      <c r="M963" t="str">
        <f>'Audit Report'!O963</f>
        <v/>
      </c>
      <c r="R963" t="str">
        <f>'Audit Report'!F963</f>
        <v/>
      </c>
      <c r="S963" t="str">
        <f>'Audit Report'!Q963</f>
        <v/>
      </c>
    </row>
    <row r="964" spans="4:19">
      <c r="D964" t="str">
        <f>'Audit Report'!B964</f>
        <v>ITD-X963</v>
      </c>
      <c r="E964" t="str">
        <f>'Audit Report'!C964</f>
        <v/>
      </c>
      <c r="I964" t="str">
        <f>'Audit Report'!D964</f>
        <v/>
      </c>
      <c r="J964" t="str">
        <f>'Audit Report'!H964</f>
        <v/>
      </c>
      <c r="L964" t="str">
        <f>_xlfn.TEXTJOIN(", ", FALSE, 'Audit Report'!K964,'Audit Report'!L964,'Audit Report'!M964)</f>
        <v xml:space="preserve">, , </v>
      </c>
      <c r="M964" t="str">
        <f>'Audit Report'!O964</f>
        <v/>
      </c>
      <c r="R964" t="str">
        <f>'Audit Report'!F964</f>
        <v/>
      </c>
      <c r="S964" t="str">
        <f>'Audit Report'!Q964</f>
        <v/>
      </c>
    </row>
    <row r="965" spans="4:19">
      <c r="D965" t="str">
        <f>'Audit Report'!B965</f>
        <v>ITD-X964</v>
      </c>
      <c r="E965" t="str">
        <f>'Audit Report'!C965</f>
        <v/>
      </c>
      <c r="I965" t="str">
        <f>'Audit Report'!D965</f>
        <v/>
      </c>
      <c r="J965" t="str">
        <f>'Audit Report'!H965</f>
        <v/>
      </c>
      <c r="L965" t="str">
        <f>_xlfn.TEXTJOIN(", ", FALSE, 'Audit Report'!K965,'Audit Report'!L965,'Audit Report'!M965)</f>
        <v xml:space="preserve">, , </v>
      </c>
      <c r="M965" t="str">
        <f>'Audit Report'!O965</f>
        <v/>
      </c>
      <c r="R965" t="str">
        <f>'Audit Report'!F965</f>
        <v/>
      </c>
      <c r="S965" t="str">
        <f>'Audit Report'!Q965</f>
        <v/>
      </c>
    </row>
    <row r="966" spans="4:19">
      <c r="D966" t="str">
        <f>'Audit Report'!B966</f>
        <v>ITD-X965</v>
      </c>
      <c r="E966" t="str">
        <f>'Audit Report'!C966</f>
        <v/>
      </c>
      <c r="I966" t="str">
        <f>'Audit Report'!D966</f>
        <v/>
      </c>
      <c r="J966" t="str">
        <f>'Audit Report'!H966</f>
        <v/>
      </c>
      <c r="L966" t="str">
        <f>_xlfn.TEXTJOIN(", ", FALSE, 'Audit Report'!K966,'Audit Report'!L966,'Audit Report'!M966)</f>
        <v xml:space="preserve">, , </v>
      </c>
      <c r="M966" t="str">
        <f>'Audit Report'!O966</f>
        <v/>
      </c>
      <c r="R966" t="str">
        <f>'Audit Report'!F966</f>
        <v/>
      </c>
      <c r="S966" t="str">
        <f>'Audit Report'!Q966</f>
        <v/>
      </c>
    </row>
    <row r="967" spans="4:19">
      <c r="D967" t="str">
        <f>'Audit Report'!B967</f>
        <v>ITD-X966</v>
      </c>
      <c r="E967" t="str">
        <f>'Audit Report'!C967</f>
        <v/>
      </c>
      <c r="I967" t="str">
        <f>'Audit Report'!D967</f>
        <v/>
      </c>
      <c r="J967" t="str">
        <f>'Audit Report'!H967</f>
        <v/>
      </c>
      <c r="L967" t="str">
        <f>_xlfn.TEXTJOIN(", ", FALSE, 'Audit Report'!K967,'Audit Report'!L967,'Audit Report'!M967)</f>
        <v xml:space="preserve">, , </v>
      </c>
      <c r="M967" t="str">
        <f>'Audit Report'!O967</f>
        <v/>
      </c>
      <c r="R967" t="str">
        <f>'Audit Report'!F967</f>
        <v/>
      </c>
      <c r="S967" t="str">
        <f>'Audit Report'!Q967</f>
        <v/>
      </c>
    </row>
    <row r="968" spans="4:19">
      <c r="D968" t="str">
        <f>'Audit Report'!B968</f>
        <v>ITD-X967</v>
      </c>
      <c r="E968" t="str">
        <f>'Audit Report'!C968</f>
        <v/>
      </c>
      <c r="I968" t="str">
        <f>'Audit Report'!D968</f>
        <v/>
      </c>
      <c r="J968" t="str">
        <f>'Audit Report'!H968</f>
        <v/>
      </c>
      <c r="L968" t="str">
        <f>_xlfn.TEXTJOIN(", ", FALSE, 'Audit Report'!K968,'Audit Report'!L968,'Audit Report'!M968)</f>
        <v xml:space="preserve">, , </v>
      </c>
      <c r="M968" t="str">
        <f>'Audit Report'!O968</f>
        <v/>
      </c>
      <c r="R968" t="str">
        <f>'Audit Report'!F968</f>
        <v/>
      </c>
      <c r="S968" t="str">
        <f>'Audit Report'!Q968</f>
        <v/>
      </c>
    </row>
    <row r="969" spans="4:19">
      <c r="D969" t="str">
        <f>'Audit Report'!B969</f>
        <v>ITD-X968</v>
      </c>
      <c r="E969" t="str">
        <f>'Audit Report'!C969</f>
        <v/>
      </c>
      <c r="I969" t="str">
        <f>'Audit Report'!D969</f>
        <v/>
      </c>
      <c r="J969" t="str">
        <f>'Audit Report'!H969</f>
        <v/>
      </c>
      <c r="L969" t="str">
        <f>_xlfn.TEXTJOIN(", ", FALSE, 'Audit Report'!K969,'Audit Report'!L969,'Audit Report'!M969)</f>
        <v xml:space="preserve">, , </v>
      </c>
      <c r="M969" t="str">
        <f>'Audit Report'!O969</f>
        <v/>
      </c>
      <c r="R969" t="str">
        <f>'Audit Report'!F969</f>
        <v/>
      </c>
      <c r="S969" t="str">
        <f>'Audit Report'!Q969</f>
        <v/>
      </c>
    </row>
    <row r="970" spans="4:19">
      <c r="D970" t="str">
        <f>'Audit Report'!B970</f>
        <v>ITD-X969</v>
      </c>
      <c r="E970" t="str">
        <f>'Audit Report'!C970</f>
        <v/>
      </c>
      <c r="I970" t="str">
        <f>'Audit Report'!D970</f>
        <v/>
      </c>
      <c r="J970" t="str">
        <f>'Audit Report'!H970</f>
        <v/>
      </c>
      <c r="L970" t="str">
        <f>_xlfn.TEXTJOIN(", ", FALSE, 'Audit Report'!K970,'Audit Report'!L970,'Audit Report'!M970)</f>
        <v xml:space="preserve">, , </v>
      </c>
      <c r="M970" t="str">
        <f>'Audit Report'!O970</f>
        <v/>
      </c>
      <c r="R970" t="str">
        <f>'Audit Report'!F970</f>
        <v/>
      </c>
      <c r="S970" t="str">
        <f>'Audit Report'!Q970</f>
        <v/>
      </c>
    </row>
    <row r="971" spans="4:19">
      <c r="D971" t="str">
        <f>'Audit Report'!B971</f>
        <v>ITD-X970</v>
      </c>
      <c r="E971" t="str">
        <f>'Audit Report'!C971</f>
        <v/>
      </c>
      <c r="I971" t="str">
        <f>'Audit Report'!D971</f>
        <v/>
      </c>
      <c r="J971" t="str">
        <f>'Audit Report'!H971</f>
        <v/>
      </c>
      <c r="L971" t="str">
        <f>_xlfn.TEXTJOIN(", ", FALSE, 'Audit Report'!K971,'Audit Report'!L971,'Audit Report'!M971)</f>
        <v xml:space="preserve">, , </v>
      </c>
      <c r="M971" t="str">
        <f>'Audit Report'!O971</f>
        <v/>
      </c>
      <c r="R971" t="str">
        <f>'Audit Report'!F971</f>
        <v/>
      </c>
      <c r="S971" t="str">
        <f>'Audit Report'!Q971</f>
        <v/>
      </c>
    </row>
    <row r="972" spans="4:19">
      <c r="D972" t="str">
        <f>'Audit Report'!B972</f>
        <v>ITD-X971</v>
      </c>
      <c r="E972" t="str">
        <f>'Audit Report'!C972</f>
        <v/>
      </c>
      <c r="I972" t="str">
        <f>'Audit Report'!D972</f>
        <v/>
      </c>
      <c r="J972" t="str">
        <f>'Audit Report'!H972</f>
        <v/>
      </c>
      <c r="L972" t="str">
        <f>_xlfn.TEXTJOIN(", ", FALSE, 'Audit Report'!K972,'Audit Report'!L972,'Audit Report'!M972)</f>
        <v xml:space="preserve">, , </v>
      </c>
      <c r="M972" t="str">
        <f>'Audit Report'!O972</f>
        <v/>
      </c>
      <c r="R972" t="str">
        <f>'Audit Report'!F972</f>
        <v/>
      </c>
      <c r="S972" t="str">
        <f>'Audit Report'!Q972</f>
        <v/>
      </c>
    </row>
    <row r="973" spans="4:19">
      <c r="D973" t="str">
        <f>'Audit Report'!B973</f>
        <v>ITD-X972</v>
      </c>
      <c r="E973" t="str">
        <f>'Audit Report'!C973</f>
        <v/>
      </c>
      <c r="I973" t="str">
        <f>'Audit Report'!D973</f>
        <v/>
      </c>
      <c r="J973" t="str">
        <f>'Audit Report'!H973</f>
        <v/>
      </c>
      <c r="L973" t="str">
        <f>_xlfn.TEXTJOIN(", ", FALSE, 'Audit Report'!K973,'Audit Report'!L973,'Audit Report'!M973)</f>
        <v xml:space="preserve">, , </v>
      </c>
      <c r="M973" t="str">
        <f>'Audit Report'!O973</f>
        <v/>
      </c>
      <c r="R973" t="str">
        <f>'Audit Report'!F973</f>
        <v/>
      </c>
      <c r="S973" t="str">
        <f>'Audit Report'!Q973</f>
        <v/>
      </c>
    </row>
    <row r="974" spans="4:19">
      <c r="D974" t="str">
        <f>'Audit Report'!B974</f>
        <v>ITD-X973</v>
      </c>
      <c r="E974" t="str">
        <f>'Audit Report'!C974</f>
        <v/>
      </c>
      <c r="I974" t="str">
        <f>'Audit Report'!D974</f>
        <v/>
      </c>
      <c r="J974" t="str">
        <f>'Audit Report'!H974</f>
        <v/>
      </c>
      <c r="L974" t="str">
        <f>_xlfn.TEXTJOIN(", ", FALSE, 'Audit Report'!K974,'Audit Report'!L974,'Audit Report'!M974)</f>
        <v xml:space="preserve">, , </v>
      </c>
      <c r="M974" t="str">
        <f>'Audit Report'!O974</f>
        <v/>
      </c>
      <c r="R974" t="str">
        <f>'Audit Report'!F974</f>
        <v/>
      </c>
      <c r="S974" t="str">
        <f>'Audit Report'!Q974</f>
        <v/>
      </c>
    </row>
    <row r="975" spans="4:19">
      <c r="D975" t="str">
        <f>'Audit Report'!B975</f>
        <v>ITD-X974</v>
      </c>
      <c r="E975" t="str">
        <f>'Audit Report'!C975</f>
        <v/>
      </c>
      <c r="I975" t="str">
        <f>'Audit Report'!D975</f>
        <v/>
      </c>
      <c r="J975" t="str">
        <f>'Audit Report'!H975</f>
        <v/>
      </c>
      <c r="L975" t="str">
        <f>_xlfn.TEXTJOIN(", ", FALSE, 'Audit Report'!K975,'Audit Report'!L975,'Audit Report'!M975)</f>
        <v xml:space="preserve">, , </v>
      </c>
      <c r="M975" t="str">
        <f>'Audit Report'!O975</f>
        <v/>
      </c>
      <c r="R975" t="str">
        <f>'Audit Report'!F975</f>
        <v/>
      </c>
      <c r="S975" t="str">
        <f>'Audit Report'!Q975</f>
        <v/>
      </c>
    </row>
    <row r="976" spans="4:19">
      <c r="D976" t="str">
        <f>'Audit Report'!B976</f>
        <v>ITD-X975</v>
      </c>
      <c r="E976" t="str">
        <f>'Audit Report'!C976</f>
        <v/>
      </c>
      <c r="I976" t="str">
        <f>'Audit Report'!D976</f>
        <v/>
      </c>
      <c r="J976" t="str">
        <f>'Audit Report'!H976</f>
        <v/>
      </c>
      <c r="L976" t="str">
        <f>_xlfn.TEXTJOIN(", ", FALSE, 'Audit Report'!K976,'Audit Report'!L976,'Audit Report'!M976)</f>
        <v xml:space="preserve">, , </v>
      </c>
      <c r="M976" t="str">
        <f>'Audit Report'!O976</f>
        <v/>
      </c>
      <c r="R976" t="str">
        <f>'Audit Report'!F976</f>
        <v/>
      </c>
      <c r="S976" t="str">
        <f>'Audit Report'!Q976</f>
        <v/>
      </c>
    </row>
    <row r="977" spans="4:19">
      <c r="D977" t="str">
        <f>'Audit Report'!B977</f>
        <v>ITD-X976</v>
      </c>
      <c r="E977" t="str">
        <f>'Audit Report'!C977</f>
        <v/>
      </c>
      <c r="I977" t="str">
        <f>'Audit Report'!D977</f>
        <v/>
      </c>
      <c r="J977" t="str">
        <f>'Audit Report'!H977</f>
        <v/>
      </c>
      <c r="L977" t="str">
        <f>_xlfn.TEXTJOIN(", ", FALSE, 'Audit Report'!K977,'Audit Report'!L977,'Audit Report'!M977)</f>
        <v xml:space="preserve">, , </v>
      </c>
      <c r="M977" t="str">
        <f>'Audit Report'!O977</f>
        <v/>
      </c>
      <c r="R977" t="str">
        <f>'Audit Report'!F977</f>
        <v/>
      </c>
      <c r="S977" t="str">
        <f>'Audit Report'!Q977</f>
        <v/>
      </c>
    </row>
    <row r="978" spans="4:19">
      <c r="D978" t="str">
        <f>'Audit Report'!B978</f>
        <v>ITD-X977</v>
      </c>
      <c r="E978" t="str">
        <f>'Audit Report'!C978</f>
        <v/>
      </c>
      <c r="I978" t="str">
        <f>'Audit Report'!D978</f>
        <v/>
      </c>
      <c r="J978" t="str">
        <f>'Audit Report'!H978</f>
        <v/>
      </c>
      <c r="L978" t="str">
        <f>_xlfn.TEXTJOIN(", ", FALSE, 'Audit Report'!K978,'Audit Report'!L978,'Audit Report'!M978)</f>
        <v xml:space="preserve">, , </v>
      </c>
      <c r="M978" t="str">
        <f>'Audit Report'!O978</f>
        <v/>
      </c>
      <c r="R978" t="str">
        <f>'Audit Report'!F978</f>
        <v/>
      </c>
      <c r="S978" t="str">
        <f>'Audit Report'!Q978</f>
        <v/>
      </c>
    </row>
    <row r="979" spans="4:19">
      <c r="D979" t="str">
        <f>'Audit Report'!B979</f>
        <v>ITD-X978</v>
      </c>
      <c r="E979" t="str">
        <f>'Audit Report'!C979</f>
        <v/>
      </c>
      <c r="I979" t="str">
        <f>'Audit Report'!D979</f>
        <v/>
      </c>
      <c r="J979" t="str">
        <f>'Audit Report'!H979</f>
        <v/>
      </c>
      <c r="L979" t="str">
        <f>_xlfn.TEXTJOIN(", ", FALSE, 'Audit Report'!K979,'Audit Report'!L979,'Audit Report'!M979)</f>
        <v xml:space="preserve">, , </v>
      </c>
      <c r="M979" t="str">
        <f>'Audit Report'!O979</f>
        <v/>
      </c>
      <c r="R979" t="str">
        <f>'Audit Report'!F979</f>
        <v/>
      </c>
      <c r="S979" t="str">
        <f>'Audit Report'!Q979</f>
        <v/>
      </c>
    </row>
    <row r="980" spans="4:19">
      <c r="D980" t="str">
        <f>'Audit Report'!B980</f>
        <v>ITD-X979</v>
      </c>
      <c r="E980" t="str">
        <f>'Audit Report'!C980</f>
        <v/>
      </c>
      <c r="I980" t="str">
        <f>'Audit Report'!D980</f>
        <v/>
      </c>
      <c r="J980" t="str">
        <f>'Audit Report'!H980</f>
        <v/>
      </c>
      <c r="L980" t="str">
        <f>_xlfn.TEXTJOIN(", ", FALSE, 'Audit Report'!K980,'Audit Report'!L980,'Audit Report'!M980)</f>
        <v xml:space="preserve">, , </v>
      </c>
      <c r="M980" t="str">
        <f>'Audit Report'!O980</f>
        <v/>
      </c>
      <c r="R980" t="str">
        <f>'Audit Report'!F980</f>
        <v/>
      </c>
      <c r="S980" t="str">
        <f>'Audit Report'!Q980</f>
        <v/>
      </c>
    </row>
    <row r="981" spans="4:19">
      <c r="D981" t="str">
        <f>'Audit Report'!B981</f>
        <v>ITD-X980</v>
      </c>
      <c r="E981" t="str">
        <f>'Audit Report'!C981</f>
        <v/>
      </c>
      <c r="I981" t="str">
        <f>'Audit Report'!D981</f>
        <v/>
      </c>
      <c r="J981" t="str">
        <f>'Audit Report'!H981</f>
        <v/>
      </c>
      <c r="L981" t="str">
        <f>_xlfn.TEXTJOIN(", ", FALSE, 'Audit Report'!K981,'Audit Report'!L981,'Audit Report'!M981)</f>
        <v xml:space="preserve">, , </v>
      </c>
      <c r="M981" t="str">
        <f>'Audit Report'!O981</f>
        <v/>
      </c>
      <c r="R981" t="str">
        <f>'Audit Report'!F981</f>
        <v/>
      </c>
      <c r="S981" t="str">
        <f>'Audit Report'!Q981</f>
        <v/>
      </c>
    </row>
    <row r="982" spans="4:19">
      <c r="D982" t="str">
        <f>'Audit Report'!B982</f>
        <v>ITD-X981</v>
      </c>
      <c r="E982" t="str">
        <f>'Audit Report'!C982</f>
        <v/>
      </c>
      <c r="I982" t="str">
        <f>'Audit Report'!D982</f>
        <v/>
      </c>
      <c r="J982" t="str">
        <f>'Audit Report'!H982</f>
        <v/>
      </c>
      <c r="L982" t="str">
        <f>_xlfn.TEXTJOIN(", ", FALSE, 'Audit Report'!K982,'Audit Report'!L982,'Audit Report'!M982)</f>
        <v xml:space="preserve">, , </v>
      </c>
      <c r="M982" t="str">
        <f>'Audit Report'!O982</f>
        <v/>
      </c>
      <c r="R982" t="str">
        <f>'Audit Report'!F982</f>
        <v/>
      </c>
      <c r="S982" t="str">
        <f>'Audit Report'!Q982</f>
        <v/>
      </c>
    </row>
    <row r="983" spans="4:19">
      <c r="D983" t="str">
        <f>'Audit Report'!B983</f>
        <v>ITD-X982</v>
      </c>
      <c r="E983" t="str">
        <f>'Audit Report'!C983</f>
        <v/>
      </c>
      <c r="I983" t="str">
        <f>'Audit Report'!D983</f>
        <v/>
      </c>
      <c r="J983" t="str">
        <f>'Audit Report'!H983</f>
        <v/>
      </c>
      <c r="L983" t="str">
        <f>_xlfn.TEXTJOIN(", ", FALSE, 'Audit Report'!K983,'Audit Report'!L983,'Audit Report'!M983)</f>
        <v xml:space="preserve">, , </v>
      </c>
      <c r="M983" t="str">
        <f>'Audit Report'!O983</f>
        <v/>
      </c>
      <c r="R983" t="str">
        <f>'Audit Report'!F983</f>
        <v/>
      </c>
      <c r="S983" t="str">
        <f>'Audit Report'!Q983</f>
        <v/>
      </c>
    </row>
    <row r="984" spans="4:19">
      <c r="D984" t="str">
        <f>'Audit Report'!B984</f>
        <v>ITD-X983</v>
      </c>
      <c r="E984" t="str">
        <f>'Audit Report'!C984</f>
        <v/>
      </c>
      <c r="I984" t="str">
        <f>'Audit Report'!D984</f>
        <v/>
      </c>
      <c r="J984" t="str">
        <f>'Audit Report'!H984</f>
        <v/>
      </c>
      <c r="L984" t="str">
        <f>_xlfn.TEXTJOIN(", ", FALSE, 'Audit Report'!K984,'Audit Report'!L984,'Audit Report'!M984)</f>
        <v xml:space="preserve">, , </v>
      </c>
      <c r="M984" t="str">
        <f>'Audit Report'!O984</f>
        <v/>
      </c>
      <c r="R984" t="str">
        <f>'Audit Report'!F984</f>
        <v/>
      </c>
      <c r="S984" t="str">
        <f>'Audit Report'!Q984</f>
        <v/>
      </c>
    </row>
    <row r="985" spans="4:19">
      <c r="D985" t="str">
        <f>'Audit Report'!B985</f>
        <v>ITD-X984</v>
      </c>
      <c r="E985" t="str">
        <f>'Audit Report'!C985</f>
        <v/>
      </c>
      <c r="I985" t="str">
        <f>'Audit Report'!D985</f>
        <v/>
      </c>
      <c r="J985" t="str">
        <f>'Audit Report'!H985</f>
        <v/>
      </c>
      <c r="L985" t="str">
        <f>_xlfn.TEXTJOIN(", ", FALSE, 'Audit Report'!K985,'Audit Report'!L985,'Audit Report'!M985)</f>
        <v xml:space="preserve">, , </v>
      </c>
      <c r="M985" t="str">
        <f>'Audit Report'!O985</f>
        <v/>
      </c>
      <c r="R985" t="str">
        <f>'Audit Report'!F985</f>
        <v/>
      </c>
      <c r="S985" t="str">
        <f>'Audit Report'!Q985</f>
        <v/>
      </c>
    </row>
    <row r="986" spans="4:19">
      <c r="D986" t="str">
        <f>'Audit Report'!B986</f>
        <v>ITD-X985</v>
      </c>
      <c r="E986" t="str">
        <f>'Audit Report'!C986</f>
        <v/>
      </c>
      <c r="I986" t="str">
        <f>'Audit Report'!D986</f>
        <v/>
      </c>
      <c r="J986" t="str">
        <f>'Audit Report'!H986</f>
        <v/>
      </c>
      <c r="L986" t="str">
        <f>_xlfn.TEXTJOIN(", ", FALSE, 'Audit Report'!K986,'Audit Report'!L986,'Audit Report'!M986)</f>
        <v xml:space="preserve">, , </v>
      </c>
      <c r="M986" t="str">
        <f>'Audit Report'!O986</f>
        <v/>
      </c>
      <c r="R986" t="str">
        <f>'Audit Report'!F986</f>
        <v/>
      </c>
      <c r="S986" t="str">
        <f>'Audit Report'!Q986</f>
        <v/>
      </c>
    </row>
    <row r="987" spans="4:19">
      <c r="D987" t="str">
        <f>'Audit Report'!B987</f>
        <v>ITD-X986</v>
      </c>
      <c r="E987" t="str">
        <f>'Audit Report'!C987</f>
        <v/>
      </c>
      <c r="I987" t="str">
        <f>'Audit Report'!D987</f>
        <v/>
      </c>
      <c r="J987" t="str">
        <f>'Audit Report'!H987</f>
        <v/>
      </c>
      <c r="L987" t="str">
        <f>_xlfn.TEXTJOIN(", ", FALSE, 'Audit Report'!K987,'Audit Report'!L987,'Audit Report'!M987)</f>
        <v xml:space="preserve">, , </v>
      </c>
      <c r="M987" t="str">
        <f>'Audit Report'!O987</f>
        <v/>
      </c>
      <c r="R987" t="str">
        <f>'Audit Report'!F987</f>
        <v/>
      </c>
      <c r="S987" t="str">
        <f>'Audit Report'!Q987</f>
        <v/>
      </c>
    </row>
    <row r="988" spans="4:19">
      <c r="D988" t="str">
        <f>'Audit Report'!B988</f>
        <v>ITD-X987</v>
      </c>
      <c r="E988" t="str">
        <f>'Audit Report'!C988</f>
        <v/>
      </c>
      <c r="I988" t="str">
        <f>'Audit Report'!D988</f>
        <v/>
      </c>
      <c r="J988" t="str">
        <f>'Audit Report'!H988</f>
        <v/>
      </c>
      <c r="L988" t="str">
        <f>_xlfn.TEXTJOIN(", ", FALSE, 'Audit Report'!K988,'Audit Report'!L988,'Audit Report'!M988)</f>
        <v xml:space="preserve">, , </v>
      </c>
      <c r="M988" t="str">
        <f>'Audit Report'!O988</f>
        <v/>
      </c>
      <c r="R988" t="str">
        <f>'Audit Report'!F988</f>
        <v/>
      </c>
      <c r="S988" t="str">
        <f>'Audit Report'!Q988</f>
        <v/>
      </c>
    </row>
    <row r="989" spans="4:19">
      <c r="D989" t="str">
        <f>'Audit Report'!B989</f>
        <v>ITD-X988</v>
      </c>
      <c r="E989" t="str">
        <f>'Audit Report'!C989</f>
        <v/>
      </c>
      <c r="I989" t="str">
        <f>'Audit Report'!D989</f>
        <v/>
      </c>
      <c r="J989" t="str">
        <f>'Audit Report'!H989</f>
        <v/>
      </c>
      <c r="L989" t="str">
        <f>_xlfn.TEXTJOIN(", ", FALSE, 'Audit Report'!K989,'Audit Report'!L989,'Audit Report'!M989)</f>
        <v xml:space="preserve">, , </v>
      </c>
      <c r="M989" t="str">
        <f>'Audit Report'!O989</f>
        <v/>
      </c>
      <c r="R989" t="str">
        <f>'Audit Report'!F989</f>
        <v/>
      </c>
      <c r="S989" t="str">
        <f>'Audit Report'!Q989</f>
        <v/>
      </c>
    </row>
    <row r="990" spans="4:19">
      <c r="D990" t="str">
        <f>'Audit Report'!B990</f>
        <v>ITD-X989</v>
      </c>
      <c r="E990" t="str">
        <f>'Audit Report'!C990</f>
        <v/>
      </c>
      <c r="I990" t="str">
        <f>'Audit Report'!D990</f>
        <v/>
      </c>
      <c r="J990" t="str">
        <f>'Audit Report'!H990</f>
        <v/>
      </c>
      <c r="L990" t="str">
        <f>_xlfn.TEXTJOIN(", ", FALSE, 'Audit Report'!K990,'Audit Report'!L990,'Audit Report'!M990)</f>
        <v xml:space="preserve">, , </v>
      </c>
      <c r="M990" t="str">
        <f>'Audit Report'!O990</f>
        <v/>
      </c>
      <c r="R990" t="str">
        <f>'Audit Report'!F990</f>
        <v/>
      </c>
      <c r="S990" t="str">
        <f>'Audit Report'!Q990</f>
        <v/>
      </c>
    </row>
    <row r="991" spans="4:19">
      <c r="D991" t="str">
        <f>'Audit Report'!B991</f>
        <v>ITD-X990</v>
      </c>
      <c r="E991" t="str">
        <f>'Audit Report'!C991</f>
        <v/>
      </c>
      <c r="I991" t="str">
        <f>'Audit Report'!D991</f>
        <v/>
      </c>
      <c r="J991" t="str">
        <f>'Audit Report'!H991</f>
        <v/>
      </c>
      <c r="L991" t="str">
        <f>_xlfn.TEXTJOIN(", ", FALSE, 'Audit Report'!K991,'Audit Report'!L991,'Audit Report'!M991)</f>
        <v xml:space="preserve">, , </v>
      </c>
      <c r="M991" t="str">
        <f>'Audit Report'!O991</f>
        <v/>
      </c>
      <c r="R991" t="str">
        <f>'Audit Report'!F991</f>
        <v/>
      </c>
      <c r="S991" t="str">
        <f>'Audit Report'!Q991</f>
        <v/>
      </c>
    </row>
    <row r="992" spans="4:19">
      <c r="D992" t="str">
        <f>'Audit Report'!B992</f>
        <v>ITD-X991</v>
      </c>
      <c r="E992" t="str">
        <f>'Audit Report'!C992</f>
        <v/>
      </c>
      <c r="I992" t="str">
        <f>'Audit Report'!D992</f>
        <v/>
      </c>
      <c r="J992" t="str">
        <f>'Audit Report'!H992</f>
        <v/>
      </c>
      <c r="L992" t="str">
        <f>_xlfn.TEXTJOIN(", ", FALSE, 'Audit Report'!K992,'Audit Report'!L992,'Audit Report'!M992)</f>
        <v xml:space="preserve">, , </v>
      </c>
      <c r="M992" t="str">
        <f>'Audit Report'!O992</f>
        <v/>
      </c>
      <c r="R992" t="str">
        <f>'Audit Report'!F992</f>
        <v/>
      </c>
      <c r="S992" t="str">
        <f>'Audit Report'!Q992</f>
        <v/>
      </c>
    </row>
    <row r="993" spans="4:19">
      <c r="D993" t="str">
        <f>'Audit Report'!B993</f>
        <v>ITD-X992</v>
      </c>
      <c r="E993" t="str">
        <f>'Audit Report'!C993</f>
        <v/>
      </c>
      <c r="I993" t="str">
        <f>'Audit Report'!D993</f>
        <v/>
      </c>
      <c r="J993" t="str">
        <f>'Audit Report'!H993</f>
        <v/>
      </c>
      <c r="L993" t="str">
        <f>_xlfn.TEXTJOIN(", ", FALSE, 'Audit Report'!K993,'Audit Report'!L993,'Audit Report'!M993)</f>
        <v xml:space="preserve">, , </v>
      </c>
      <c r="M993" t="str">
        <f>'Audit Report'!O993</f>
        <v/>
      </c>
      <c r="R993" t="str">
        <f>'Audit Report'!F993</f>
        <v/>
      </c>
      <c r="S993" t="str">
        <f>'Audit Report'!Q993</f>
        <v/>
      </c>
    </row>
    <row r="994" spans="4:19">
      <c r="D994" t="str">
        <f>'Audit Report'!B994</f>
        <v>ITD-X993</v>
      </c>
      <c r="E994" t="str">
        <f>'Audit Report'!C994</f>
        <v/>
      </c>
      <c r="I994" t="str">
        <f>'Audit Report'!D994</f>
        <v/>
      </c>
      <c r="J994" t="str">
        <f>'Audit Report'!H994</f>
        <v/>
      </c>
      <c r="L994" t="str">
        <f>_xlfn.TEXTJOIN(", ", FALSE, 'Audit Report'!K994,'Audit Report'!L994,'Audit Report'!M994)</f>
        <v xml:space="preserve">, , </v>
      </c>
      <c r="M994" t="str">
        <f>'Audit Report'!O994</f>
        <v/>
      </c>
      <c r="R994" t="str">
        <f>'Audit Report'!F994</f>
        <v/>
      </c>
      <c r="S994" t="str">
        <f>'Audit Report'!Q994</f>
        <v/>
      </c>
    </row>
    <row r="995" spans="4:19">
      <c r="D995" t="str">
        <f>'Audit Report'!B995</f>
        <v>ITD-X994</v>
      </c>
      <c r="E995" t="str">
        <f>'Audit Report'!C995</f>
        <v/>
      </c>
      <c r="I995" t="str">
        <f>'Audit Report'!D995</f>
        <v/>
      </c>
      <c r="J995" t="str">
        <f>'Audit Report'!H995</f>
        <v/>
      </c>
      <c r="L995" t="str">
        <f>_xlfn.TEXTJOIN(", ", FALSE, 'Audit Report'!K995,'Audit Report'!L995,'Audit Report'!M995)</f>
        <v xml:space="preserve">, , </v>
      </c>
      <c r="M995" t="str">
        <f>'Audit Report'!O995</f>
        <v/>
      </c>
      <c r="R995" t="str">
        <f>'Audit Report'!F995</f>
        <v/>
      </c>
      <c r="S995" t="str">
        <f>'Audit Report'!Q995</f>
        <v/>
      </c>
    </row>
    <row r="996" spans="4:19">
      <c r="D996" t="str">
        <f>'Audit Report'!B996</f>
        <v>ITD-X995</v>
      </c>
      <c r="E996" t="str">
        <f>'Audit Report'!C996</f>
        <v/>
      </c>
      <c r="I996" t="str">
        <f>'Audit Report'!D996</f>
        <v/>
      </c>
      <c r="J996" t="str">
        <f>'Audit Report'!H996</f>
        <v/>
      </c>
      <c r="L996" t="str">
        <f>_xlfn.TEXTJOIN(", ", FALSE, 'Audit Report'!K996,'Audit Report'!L996,'Audit Report'!M996)</f>
        <v xml:space="preserve">, , </v>
      </c>
      <c r="M996" t="str">
        <f>'Audit Report'!O996</f>
        <v/>
      </c>
      <c r="R996" t="str">
        <f>'Audit Report'!F996</f>
        <v/>
      </c>
      <c r="S996" t="str">
        <f>'Audit Report'!Q996</f>
        <v/>
      </c>
    </row>
    <row r="997" spans="4:19">
      <c r="D997" t="str">
        <f>'Audit Report'!B997</f>
        <v>ITD-X996</v>
      </c>
      <c r="E997" t="str">
        <f>'Audit Report'!C997</f>
        <v/>
      </c>
      <c r="I997" t="str">
        <f>'Audit Report'!D997</f>
        <v/>
      </c>
      <c r="J997" t="str">
        <f>'Audit Report'!H997</f>
        <v/>
      </c>
      <c r="L997" t="str">
        <f>_xlfn.TEXTJOIN(", ", FALSE, 'Audit Report'!K997,'Audit Report'!L997,'Audit Report'!M997)</f>
        <v xml:space="preserve">, , </v>
      </c>
      <c r="M997" t="str">
        <f>'Audit Report'!O997</f>
        <v/>
      </c>
      <c r="R997" t="str">
        <f>'Audit Report'!F997</f>
        <v/>
      </c>
      <c r="S997" t="str">
        <f>'Audit Report'!Q997</f>
        <v/>
      </c>
    </row>
    <row r="998" spans="4:19">
      <c r="D998" t="str">
        <f>'Audit Report'!B998</f>
        <v>ITD-X997</v>
      </c>
      <c r="E998" t="str">
        <f>'Audit Report'!C998</f>
        <v/>
      </c>
      <c r="I998" t="str">
        <f>'Audit Report'!D998</f>
        <v/>
      </c>
      <c r="J998" t="str">
        <f>'Audit Report'!H998</f>
        <v/>
      </c>
      <c r="L998" t="str">
        <f>_xlfn.TEXTJOIN(", ", FALSE, 'Audit Report'!K998,'Audit Report'!L998,'Audit Report'!M998)</f>
        <v xml:space="preserve">, , </v>
      </c>
      <c r="M998" t="str">
        <f>'Audit Report'!O998</f>
        <v/>
      </c>
      <c r="R998" t="str">
        <f>'Audit Report'!F998</f>
        <v/>
      </c>
      <c r="S998" t="str">
        <f>'Audit Report'!Q998</f>
        <v/>
      </c>
    </row>
    <row r="999" spans="4:19">
      <c r="D999" t="str">
        <f>'Audit Report'!B999</f>
        <v>ITD-X998</v>
      </c>
      <c r="E999" t="str">
        <f>'Audit Report'!C999</f>
        <v/>
      </c>
      <c r="I999" t="str">
        <f>'Audit Report'!D999</f>
        <v/>
      </c>
      <c r="J999" t="str">
        <f>'Audit Report'!H999</f>
        <v/>
      </c>
      <c r="L999" t="str">
        <f>_xlfn.TEXTJOIN(", ", FALSE, 'Audit Report'!K999,'Audit Report'!L999,'Audit Report'!M999)</f>
        <v xml:space="preserve">, , </v>
      </c>
      <c r="M999" t="str">
        <f>'Audit Report'!O999</f>
        <v/>
      </c>
      <c r="R999" t="str">
        <f>'Audit Report'!F999</f>
        <v/>
      </c>
      <c r="S999" t="str">
        <f>'Audit Report'!Q999</f>
        <v/>
      </c>
    </row>
    <row r="1000" spans="4:19">
      <c r="D1000" t="str">
        <f>'Audit Report'!B1000</f>
        <v>ITD-X999</v>
      </c>
      <c r="E1000" t="str">
        <f>'Audit Report'!C1000</f>
        <v/>
      </c>
      <c r="I1000" t="str">
        <f>'Audit Report'!D1000</f>
        <v/>
      </c>
      <c r="J1000" t="str">
        <f>'Audit Report'!H1000</f>
        <v/>
      </c>
      <c r="L1000" t="str">
        <f>_xlfn.TEXTJOIN(", ", FALSE, 'Audit Report'!K1000,'Audit Report'!L1000,'Audit Report'!M1000)</f>
        <v xml:space="preserve">, , </v>
      </c>
      <c r="M1000" t="str">
        <f>'Audit Report'!O1000</f>
        <v/>
      </c>
      <c r="R1000" t="str">
        <f>'Audit Report'!F1000</f>
        <v/>
      </c>
      <c r="S1000" t="str">
        <f>'Audit Report'!Q1000</f>
        <v/>
      </c>
    </row>
    <row r="1001" spans="4:19">
      <c r="D1001" t="str">
        <f>'Audit Report'!B1001</f>
        <v>ITD-X1000</v>
      </c>
      <c r="E1001" t="str">
        <f>'Audit Report'!C1001</f>
        <v/>
      </c>
      <c r="I1001" t="str">
        <f>'Audit Report'!D1001</f>
        <v/>
      </c>
      <c r="J1001" t="str">
        <f>'Audit Report'!H1001</f>
        <v/>
      </c>
      <c r="L1001" t="str">
        <f>_xlfn.TEXTJOIN(", ", FALSE, 'Audit Report'!K1001,'Audit Report'!L1001,'Audit Report'!M1001)</f>
        <v xml:space="preserve">, , </v>
      </c>
      <c r="M1001" t="str">
        <f>'Audit Report'!O1001</f>
        <v/>
      </c>
      <c r="R1001" t="str">
        <f>'Audit Report'!F1001</f>
        <v/>
      </c>
      <c r="S1001" t="str">
        <f>'Audit Report'!Q1001</f>
        <v/>
      </c>
    </row>
    <row r="1002" spans="4:19">
      <c r="D1002" t="str">
        <f>'Audit Report'!B1002</f>
        <v>ITD-X1001</v>
      </c>
      <c r="E1002" t="str">
        <f>'Audit Report'!C1002</f>
        <v/>
      </c>
      <c r="I1002" t="str">
        <f>'Audit Report'!D1002</f>
        <v/>
      </c>
      <c r="J1002" t="str">
        <f>'Audit Report'!H1002</f>
        <v/>
      </c>
      <c r="L1002" t="str">
        <f>_xlfn.TEXTJOIN(", ", FALSE, 'Audit Report'!K1002,'Audit Report'!L1002,'Audit Report'!M1002)</f>
        <v xml:space="preserve">, , </v>
      </c>
      <c r="M1002" t="str">
        <f>'Audit Report'!O1002</f>
        <v/>
      </c>
      <c r="R1002" t="str">
        <f>'Audit Report'!F1002</f>
        <v/>
      </c>
      <c r="S1002" t="str">
        <f>'Audit Report'!Q1002</f>
        <v/>
      </c>
    </row>
    <row r="1003" spans="4:19">
      <c r="D1003" t="str">
        <f>'Audit Report'!B1003</f>
        <v>ITD-X1002</v>
      </c>
      <c r="E1003" t="str">
        <f>'Audit Report'!C1003</f>
        <v/>
      </c>
      <c r="I1003" t="str">
        <f>'Audit Report'!D1003</f>
        <v/>
      </c>
      <c r="J1003" t="str">
        <f>'Audit Report'!H1003</f>
        <v/>
      </c>
      <c r="L1003" t="str">
        <f>_xlfn.TEXTJOIN(", ", FALSE, 'Audit Report'!K1003,'Audit Report'!L1003,'Audit Report'!M1003)</f>
        <v xml:space="preserve">, , </v>
      </c>
      <c r="M1003" t="str">
        <f>'Audit Report'!O1003</f>
        <v/>
      </c>
      <c r="R1003" t="str">
        <f>'Audit Report'!F1003</f>
        <v/>
      </c>
      <c r="S1003" t="str">
        <f>'Audit Report'!Q1003</f>
        <v/>
      </c>
    </row>
    <row r="1004" spans="4:19">
      <c r="D1004" t="str">
        <f>'Audit Report'!B1004</f>
        <v>ITD-X1003</v>
      </c>
      <c r="E1004" t="str">
        <f>'Audit Report'!C1004</f>
        <v/>
      </c>
      <c r="I1004" t="str">
        <f>'Audit Report'!D1004</f>
        <v/>
      </c>
      <c r="J1004" t="str">
        <f>'Audit Report'!H1004</f>
        <v/>
      </c>
      <c r="L1004" t="str">
        <f>_xlfn.TEXTJOIN(", ", FALSE, 'Audit Report'!K1004,'Audit Report'!L1004,'Audit Report'!M1004)</f>
        <v xml:space="preserve">, , </v>
      </c>
      <c r="M1004" t="str">
        <f>'Audit Report'!O1004</f>
        <v/>
      </c>
      <c r="R1004" t="str">
        <f>'Audit Report'!F1004</f>
        <v/>
      </c>
      <c r="S1004" t="str">
        <f>'Audit Report'!Q1004</f>
        <v/>
      </c>
    </row>
    <row r="1005" spans="4:19">
      <c r="D1005" t="str">
        <f>'Audit Report'!B1005</f>
        <v>ITD-X1004</v>
      </c>
      <c r="E1005" t="str">
        <f>'Audit Report'!C1005</f>
        <v/>
      </c>
      <c r="I1005" t="str">
        <f>'Audit Report'!D1005</f>
        <v/>
      </c>
      <c r="J1005" t="str">
        <f>'Audit Report'!H1005</f>
        <v/>
      </c>
      <c r="L1005" t="str">
        <f>_xlfn.TEXTJOIN(", ", FALSE, 'Audit Report'!K1005,'Audit Report'!L1005,'Audit Report'!M1005)</f>
        <v xml:space="preserve">, , </v>
      </c>
      <c r="M1005" t="str">
        <f>'Audit Report'!O1005</f>
        <v/>
      </c>
      <c r="R1005" t="str">
        <f>'Audit Report'!F1005</f>
        <v/>
      </c>
      <c r="S1005" t="str">
        <f>'Audit Report'!Q1005</f>
        <v/>
      </c>
    </row>
    <row r="1006" spans="4:19">
      <c r="D1006" t="str">
        <f>'Audit Report'!B1006</f>
        <v>ITD-X1005</v>
      </c>
      <c r="E1006" t="str">
        <f>'Audit Report'!C1006</f>
        <v/>
      </c>
      <c r="I1006" t="str">
        <f>'Audit Report'!D1006</f>
        <v/>
      </c>
      <c r="J1006" t="str">
        <f>'Audit Report'!H1006</f>
        <v/>
      </c>
      <c r="L1006" t="str">
        <f>_xlfn.TEXTJOIN(", ", FALSE, 'Audit Report'!K1006,'Audit Report'!L1006,'Audit Report'!M1006)</f>
        <v xml:space="preserve">, , </v>
      </c>
      <c r="M1006" t="str">
        <f>'Audit Report'!O1006</f>
        <v/>
      </c>
      <c r="R1006" t="str">
        <f>'Audit Report'!F1006</f>
        <v/>
      </c>
      <c r="S1006" t="str">
        <f>'Audit Report'!Q1006</f>
        <v/>
      </c>
    </row>
    <row r="1007" spans="4:19">
      <c r="D1007" t="str">
        <f>'Audit Report'!B1007</f>
        <v>ITD-X1006</v>
      </c>
      <c r="E1007" t="str">
        <f>'Audit Report'!C1007</f>
        <v/>
      </c>
      <c r="I1007" t="str">
        <f>'Audit Report'!D1007</f>
        <v/>
      </c>
      <c r="J1007" t="str">
        <f>'Audit Report'!H1007</f>
        <v/>
      </c>
      <c r="L1007" t="str">
        <f>_xlfn.TEXTJOIN(", ", FALSE, 'Audit Report'!K1007,'Audit Report'!L1007,'Audit Report'!M1007)</f>
        <v xml:space="preserve">, , </v>
      </c>
      <c r="M1007" t="str">
        <f>'Audit Report'!O1007</f>
        <v/>
      </c>
      <c r="R1007" t="str">
        <f>'Audit Report'!F1007</f>
        <v/>
      </c>
      <c r="S1007" t="str">
        <f>'Audit Report'!Q1007</f>
        <v/>
      </c>
    </row>
    <row r="1008" spans="4:19">
      <c r="D1008" t="str">
        <f>'Audit Report'!B1008</f>
        <v>ITD-X1007</v>
      </c>
      <c r="E1008" t="str">
        <f>'Audit Report'!C1008</f>
        <v/>
      </c>
      <c r="I1008" t="str">
        <f>'Audit Report'!D1008</f>
        <v/>
      </c>
      <c r="J1008" t="str">
        <f>'Audit Report'!H1008</f>
        <v/>
      </c>
      <c r="L1008" t="str">
        <f>_xlfn.TEXTJOIN(", ", FALSE, 'Audit Report'!K1008,'Audit Report'!L1008,'Audit Report'!M1008)</f>
        <v xml:space="preserve">, , </v>
      </c>
      <c r="M1008" t="str">
        <f>'Audit Report'!O1008</f>
        <v/>
      </c>
      <c r="R1008" t="str">
        <f>'Audit Report'!F1008</f>
        <v/>
      </c>
      <c r="S1008" t="str">
        <f>'Audit Report'!Q1008</f>
        <v/>
      </c>
    </row>
    <row r="1009" spans="4:19">
      <c r="D1009" t="str">
        <f>'Audit Report'!B1009</f>
        <v>ITD-X1008</v>
      </c>
      <c r="E1009" t="str">
        <f>'Audit Report'!C1009</f>
        <v/>
      </c>
      <c r="I1009" t="str">
        <f>'Audit Report'!D1009</f>
        <v/>
      </c>
      <c r="J1009" t="str">
        <f>'Audit Report'!H1009</f>
        <v/>
      </c>
      <c r="L1009" t="str">
        <f>_xlfn.TEXTJOIN(", ", FALSE, 'Audit Report'!K1009,'Audit Report'!L1009,'Audit Report'!M1009)</f>
        <v xml:space="preserve">, , </v>
      </c>
      <c r="M1009" t="str">
        <f>'Audit Report'!O1009</f>
        <v/>
      </c>
      <c r="R1009" t="str">
        <f>'Audit Report'!F1009</f>
        <v/>
      </c>
      <c r="S1009" t="str">
        <f>'Audit Report'!Q1009</f>
        <v/>
      </c>
    </row>
    <row r="1010" spans="4:19">
      <c r="D1010" t="str">
        <f>'Audit Report'!B1010</f>
        <v>ITD-X1009</v>
      </c>
      <c r="E1010" t="str">
        <f>'Audit Report'!C1010</f>
        <v/>
      </c>
      <c r="I1010" t="str">
        <f>'Audit Report'!D1010</f>
        <v/>
      </c>
      <c r="J1010" t="str">
        <f>'Audit Report'!H1010</f>
        <v/>
      </c>
      <c r="L1010" t="str">
        <f>_xlfn.TEXTJOIN(", ", FALSE, 'Audit Report'!K1010,'Audit Report'!L1010,'Audit Report'!M1010)</f>
        <v xml:space="preserve">, , </v>
      </c>
      <c r="M1010" t="str">
        <f>'Audit Report'!O1010</f>
        <v/>
      </c>
      <c r="R1010" t="str">
        <f>'Audit Report'!F1010</f>
        <v/>
      </c>
      <c r="S1010" t="str">
        <f>'Audit Report'!Q1010</f>
        <v/>
      </c>
    </row>
    <row r="1011" spans="4:19">
      <c r="D1011" t="str">
        <f>'Audit Report'!B1011</f>
        <v>ITD-X1010</v>
      </c>
      <c r="E1011" t="str">
        <f>'Audit Report'!C1011</f>
        <v/>
      </c>
      <c r="I1011" t="str">
        <f>'Audit Report'!D1011</f>
        <v/>
      </c>
      <c r="J1011" t="str">
        <f>'Audit Report'!H1011</f>
        <v/>
      </c>
      <c r="L1011" t="str">
        <f>_xlfn.TEXTJOIN(", ", FALSE, 'Audit Report'!K1011,'Audit Report'!L1011,'Audit Report'!M1011)</f>
        <v xml:space="preserve">, , </v>
      </c>
      <c r="M1011" t="str">
        <f>'Audit Report'!O1011</f>
        <v/>
      </c>
      <c r="R1011" t="str">
        <f>'Audit Report'!F1011</f>
        <v/>
      </c>
      <c r="S1011" t="str">
        <f>'Audit Report'!Q1011</f>
        <v/>
      </c>
    </row>
    <row r="1012" spans="4:19">
      <c r="D1012" t="str">
        <f>'Audit Report'!B1012</f>
        <v>ITD-X1011</v>
      </c>
      <c r="E1012" t="str">
        <f>'Audit Report'!C1012</f>
        <v/>
      </c>
      <c r="I1012" t="str">
        <f>'Audit Report'!D1012</f>
        <v/>
      </c>
      <c r="J1012" t="str">
        <f>'Audit Report'!H1012</f>
        <v/>
      </c>
      <c r="L1012" t="str">
        <f>_xlfn.TEXTJOIN(", ", FALSE, 'Audit Report'!K1012,'Audit Report'!L1012,'Audit Report'!M1012)</f>
        <v xml:space="preserve">, , </v>
      </c>
      <c r="M1012" t="str">
        <f>'Audit Report'!O1012</f>
        <v/>
      </c>
      <c r="R1012" t="str">
        <f>'Audit Report'!F1012</f>
        <v/>
      </c>
      <c r="S1012" t="str">
        <f>'Audit Report'!Q1012</f>
        <v/>
      </c>
    </row>
    <row r="1013" spans="4:19">
      <c r="D1013" t="str">
        <f>'Audit Report'!B1013</f>
        <v>ITD-X1012</v>
      </c>
      <c r="E1013" t="str">
        <f>'Audit Report'!C1013</f>
        <v/>
      </c>
      <c r="I1013" t="str">
        <f>'Audit Report'!D1013</f>
        <v/>
      </c>
      <c r="J1013" t="str">
        <f>'Audit Report'!H1013</f>
        <v/>
      </c>
      <c r="L1013" t="str">
        <f>_xlfn.TEXTJOIN(", ", FALSE, 'Audit Report'!K1013,'Audit Report'!L1013,'Audit Report'!M1013)</f>
        <v xml:space="preserve">, , </v>
      </c>
      <c r="M1013" t="str">
        <f>'Audit Report'!O1013</f>
        <v/>
      </c>
      <c r="R1013" t="str">
        <f>'Audit Report'!F1013</f>
        <v/>
      </c>
      <c r="S1013" t="str">
        <f>'Audit Report'!Q1013</f>
        <v/>
      </c>
    </row>
    <row r="1014" spans="4:19">
      <c r="D1014" t="str">
        <f>'Audit Report'!B1014</f>
        <v>ITD-X1013</v>
      </c>
      <c r="E1014" t="str">
        <f>'Audit Report'!C1014</f>
        <v/>
      </c>
      <c r="I1014" t="str">
        <f>'Audit Report'!D1014</f>
        <v/>
      </c>
      <c r="J1014" t="str">
        <f>'Audit Report'!H1014</f>
        <v/>
      </c>
      <c r="L1014" t="str">
        <f>_xlfn.TEXTJOIN(", ", FALSE, 'Audit Report'!K1014,'Audit Report'!L1014,'Audit Report'!M1014)</f>
        <v xml:space="preserve">, , </v>
      </c>
      <c r="M1014" t="str">
        <f>'Audit Report'!O1014</f>
        <v/>
      </c>
      <c r="R1014" t="str">
        <f>'Audit Report'!F1014</f>
        <v/>
      </c>
      <c r="S1014" t="str">
        <f>'Audit Report'!Q1014</f>
        <v/>
      </c>
    </row>
    <row r="1015" spans="4:19">
      <c r="D1015" t="str">
        <f>'Audit Report'!B1015</f>
        <v>ITD-X1014</v>
      </c>
      <c r="E1015" t="str">
        <f>'Audit Report'!C1015</f>
        <v/>
      </c>
      <c r="I1015" t="str">
        <f>'Audit Report'!D1015</f>
        <v/>
      </c>
      <c r="J1015" t="str">
        <f>'Audit Report'!H1015</f>
        <v/>
      </c>
      <c r="L1015" t="str">
        <f>_xlfn.TEXTJOIN(", ", FALSE, 'Audit Report'!K1015,'Audit Report'!L1015,'Audit Report'!M1015)</f>
        <v xml:space="preserve">, , </v>
      </c>
      <c r="M1015" t="str">
        <f>'Audit Report'!O1015</f>
        <v/>
      </c>
      <c r="R1015" t="str">
        <f>'Audit Report'!F1015</f>
        <v/>
      </c>
      <c r="S1015" t="str">
        <f>'Audit Report'!Q1015</f>
        <v/>
      </c>
    </row>
    <row r="1016" spans="4:19">
      <c r="D1016" t="str">
        <f>'Audit Report'!B1016</f>
        <v>ITD-X1015</v>
      </c>
      <c r="E1016" t="str">
        <f>'Audit Report'!C1016</f>
        <v/>
      </c>
      <c r="I1016" t="str">
        <f>'Audit Report'!D1016</f>
        <v/>
      </c>
      <c r="J1016" t="str">
        <f>'Audit Report'!H1016</f>
        <v/>
      </c>
      <c r="L1016" t="str">
        <f>_xlfn.TEXTJOIN(", ", FALSE, 'Audit Report'!K1016,'Audit Report'!L1016,'Audit Report'!M1016)</f>
        <v xml:space="preserve">, , </v>
      </c>
      <c r="M1016" t="str">
        <f>'Audit Report'!O1016</f>
        <v/>
      </c>
      <c r="R1016" t="str">
        <f>'Audit Report'!F1016</f>
        <v/>
      </c>
      <c r="S1016" t="str">
        <f>'Audit Report'!Q1016</f>
        <v/>
      </c>
    </row>
    <row r="1017" spans="4:19">
      <c r="D1017" t="str">
        <f>'Audit Report'!B1017</f>
        <v>ITD-X1016</v>
      </c>
      <c r="E1017" t="str">
        <f>'Audit Report'!C1017</f>
        <v/>
      </c>
      <c r="I1017" t="str">
        <f>'Audit Report'!D1017</f>
        <v/>
      </c>
      <c r="J1017" t="str">
        <f>'Audit Report'!H1017</f>
        <v/>
      </c>
      <c r="L1017" t="str">
        <f>_xlfn.TEXTJOIN(", ", FALSE, 'Audit Report'!K1017,'Audit Report'!L1017,'Audit Report'!M1017)</f>
        <v xml:space="preserve">, , </v>
      </c>
      <c r="M1017" t="str">
        <f>'Audit Report'!O1017</f>
        <v/>
      </c>
      <c r="R1017" t="str">
        <f>'Audit Report'!F1017</f>
        <v/>
      </c>
      <c r="S1017" t="str">
        <f>'Audit Report'!Q1017</f>
        <v/>
      </c>
    </row>
    <row r="1018" spans="4:19">
      <c r="D1018" t="str">
        <f>'Audit Report'!B1018</f>
        <v>ITD-X1017</v>
      </c>
      <c r="E1018" t="str">
        <f>'Audit Report'!C1018</f>
        <v/>
      </c>
      <c r="I1018" t="str">
        <f>'Audit Report'!D1018</f>
        <v/>
      </c>
      <c r="J1018" t="str">
        <f>'Audit Report'!H1018</f>
        <v/>
      </c>
      <c r="L1018" t="str">
        <f>_xlfn.TEXTJOIN(", ", FALSE, 'Audit Report'!K1018,'Audit Report'!L1018,'Audit Report'!M1018)</f>
        <v xml:space="preserve">, , </v>
      </c>
      <c r="M1018" t="str">
        <f>'Audit Report'!O1018</f>
        <v/>
      </c>
      <c r="R1018" t="str">
        <f>'Audit Report'!F1018</f>
        <v/>
      </c>
      <c r="S1018" t="str">
        <f>'Audit Report'!Q1018</f>
        <v/>
      </c>
    </row>
    <row r="1019" spans="4:19">
      <c r="D1019" t="str">
        <f>'Audit Report'!B1019</f>
        <v>ITD-X1018</v>
      </c>
      <c r="E1019" t="str">
        <f>'Audit Report'!C1019</f>
        <v/>
      </c>
      <c r="I1019" t="str">
        <f>'Audit Report'!D1019</f>
        <v/>
      </c>
      <c r="J1019" t="str">
        <f>'Audit Report'!H1019</f>
        <v/>
      </c>
      <c r="L1019" t="str">
        <f>_xlfn.TEXTJOIN(", ", FALSE, 'Audit Report'!K1019,'Audit Report'!L1019,'Audit Report'!M1019)</f>
        <v xml:space="preserve">, , </v>
      </c>
      <c r="M1019" t="str">
        <f>'Audit Report'!O1019</f>
        <v/>
      </c>
      <c r="R1019" t="str">
        <f>'Audit Report'!F1019</f>
        <v/>
      </c>
      <c r="S1019" t="str">
        <f>'Audit Report'!Q1019</f>
        <v/>
      </c>
    </row>
    <row r="1020" spans="4:19">
      <c r="D1020" t="str">
        <f>'Audit Report'!B1020</f>
        <v>ITD-X1019</v>
      </c>
      <c r="E1020" t="str">
        <f>'Audit Report'!C1020</f>
        <v/>
      </c>
      <c r="I1020" t="str">
        <f>'Audit Report'!D1020</f>
        <v/>
      </c>
      <c r="J1020" t="str">
        <f>'Audit Report'!H1020</f>
        <v/>
      </c>
      <c r="L1020" t="str">
        <f>_xlfn.TEXTJOIN(", ", FALSE, 'Audit Report'!K1020,'Audit Report'!L1020,'Audit Report'!M1020)</f>
        <v xml:space="preserve">, , </v>
      </c>
      <c r="M1020" t="str">
        <f>'Audit Report'!O1020</f>
        <v/>
      </c>
      <c r="R1020" t="str">
        <f>'Audit Report'!F1020</f>
        <v/>
      </c>
      <c r="S1020" t="str">
        <f>'Audit Report'!Q1020</f>
        <v/>
      </c>
    </row>
    <row r="1021" spans="4:19">
      <c r="D1021" t="str">
        <f>'Audit Report'!B1021</f>
        <v>ITD-X1020</v>
      </c>
      <c r="E1021" t="str">
        <f>'Audit Report'!C1021</f>
        <v/>
      </c>
      <c r="I1021" t="str">
        <f>'Audit Report'!D1021</f>
        <v/>
      </c>
      <c r="J1021" t="str">
        <f>'Audit Report'!H1021</f>
        <v/>
      </c>
      <c r="L1021" t="str">
        <f>_xlfn.TEXTJOIN(", ", FALSE, 'Audit Report'!K1021,'Audit Report'!L1021,'Audit Report'!M1021)</f>
        <v xml:space="preserve">, , </v>
      </c>
      <c r="M1021" t="str">
        <f>'Audit Report'!O1021</f>
        <v/>
      </c>
      <c r="R1021" t="str">
        <f>'Audit Report'!F1021</f>
        <v/>
      </c>
      <c r="S1021" t="str">
        <f>'Audit Report'!Q1021</f>
        <v/>
      </c>
    </row>
    <row r="1022" spans="4:19">
      <c r="D1022" t="str">
        <f>'Audit Report'!B1022</f>
        <v>ITD-X1021</v>
      </c>
      <c r="E1022" t="str">
        <f>'Audit Report'!C1022</f>
        <v/>
      </c>
      <c r="I1022" t="str">
        <f>'Audit Report'!D1022</f>
        <v/>
      </c>
      <c r="J1022" t="str">
        <f>'Audit Report'!H1022</f>
        <v/>
      </c>
      <c r="L1022" t="str">
        <f>_xlfn.TEXTJOIN(", ", FALSE, 'Audit Report'!K1022,'Audit Report'!L1022,'Audit Report'!M1022)</f>
        <v xml:space="preserve">, , </v>
      </c>
      <c r="M1022" t="str">
        <f>'Audit Report'!O1022</f>
        <v/>
      </c>
      <c r="R1022" t="str">
        <f>'Audit Report'!F1022</f>
        <v/>
      </c>
      <c r="S1022" t="str">
        <f>'Audit Report'!Q1022</f>
        <v/>
      </c>
    </row>
    <row r="1023" spans="4:19">
      <c r="D1023" t="str">
        <f>'Audit Report'!B1023</f>
        <v>ITD-X1022</v>
      </c>
      <c r="E1023" t="str">
        <f>'Audit Report'!C1023</f>
        <v/>
      </c>
      <c r="I1023" t="str">
        <f>'Audit Report'!D1023</f>
        <v/>
      </c>
      <c r="J1023" t="str">
        <f>'Audit Report'!H1023</f>
        <v/>
      </c>
      <c r="L1023" t="str">
        <f>_xlfn.TEXTJOIN(", ", FALSE, 'Audit Report'!K1023,'Audit Report'!L1023,'Audit Report'!M1023)</f>
        <v xml:space="preserve">, , </v>
      </c>
      <c r="M1023" t="str">
        <f>'Audit Report'!O1023</f>
        <v/>
      </c>
      <c r="R1023" t="str">
        <f>'Audit Report'!F1023</f>
        <v/>
      </c>
      <c r="S1023" t="str">
        <f>'Audit Report'!Q1023</f>
        <v/>
      </c>
    </row>
    <row r="1024" spans="4:19">
      <c r="D1024" t="str">
        <f>'Audit Report'!B1024</f>
        <v>ITD-X1023</v>
      </c>
      <c r="E1024" t="str">
        <f>'Audit Report'!C1024</f>
        <v/>
      </c>
      <c r="I1024" t="str">
        <f>'Audit Report'!D1024</f>
        <v/>
      </c>
      <c r="J1024" t="str">
        <f>'Audit Report'!H1024</f>
        <v/>
      </c>
      <c r="L1024" t="str">
        <f>_xlfn.TEXTJOIN(", ", FALSE, 'Audit Report'!K1024,'Audit Report'!L1024,'Audit Report'!M1024)</f>
        <v xml:space="preserve">, , </v>
      </c>
      <c r="M1024" t="str">
        <f>'Audit Report'!O1024</f>
        <v/>
      </c>
      <c r="R1024" t="str">
        <f>'Audit Report'!F1024</f>
        <v/>
      </c>
      <c r="S1024" t="str">
        <f>'Audit Report'!Q1024</f>
        <v/>
      </c>
    </row>
    <row r="1025" spans="4:19">
      <c r="D1025" t="str">
        <f>'Audit Report'!B1025</f>
        <v>ITD-X1024</v>
      </c>
      <c r="E1025" t="str">
        <f>'Audit Report'!C1025</f>
        <v/>
      </c>
      <c r="I1025" t="str">
        <f>'Audit Report'!D1025</f>
        <v/>
      </c>
      <c r="J1025" t="str">
        <f>'Audit Report'!H1025</f>
        <v/>
      </c>
      <c r="L1025" t="str">
        <f>_xlfn.TEXTJOIN(", ", FALSE, 'Audit Report'!K1025,'Audit Report'!L1025,'Audit Report'!M1025)</f>
        <v xml:space="preserve">, , </v>
      </c>
      <c r="M1025" t="str">
        <f>'Audit Report'!O1025</f>
        <v/>
      </c>
      <c r="R1025" t="str">
        <f>'Audit Report'!F1025</f>
        <v/>
      </c>
      <c r="S1025" t="str">
        <f>'Audit Report'!Q1025</f>
        <v/>
      </c>
    </row>
    <row r="1026" spans="4:19">
      <c r="D1026" t="str">
        <f>'Audit Report'!B1026</f>
        <v>ITD-X1025</v>
      </c>
      <c r="E1026" t="str">
        <f>'Audit Report'!C1026</f>
        <v/>
      </c>
      <c r="I1026" t="str">
        <f>'Audit Report'!D1026</f>
        <v/>
      </c>
      <c r="J1026" t="str">
        <f>'Audit Report'!H1026</f>
        <v/>
      </c>
      <c r="L1026" t="str">
        <f>_xlfn.TEXTJOIN(", ", FALSE, 'Audit Report'!K1026,'Audit Report'!L1026,'Audit Report'!M1026)</f>
        <v xml:space="preserve">, , </v>
      </c>
      <c r="M1026" t="str">
        <f>'Audit Report'!O1026</f>
        <v/>
      </c>
      <c r="R1026" t="str">
        <f>'Audit Report'!F1026</f>
        <v/>
      </c>
      <c r="S1026" t="str">
        <f>'Audit Report'!Q1026</f>
        <v/>
      </c>
    </row>
    <row r="1027" spans="4:19">
      <c r="D1027" t="str">
        <f>'Audit Report'!B1027</f>
        <v>ITD-X1026</v>
      </c>
      <c r="E1027" t="str">
        <f>'Audit Report'!C1027</f>
        <v/>
      </c>
      <c r="I1027" t="str">
        <f>'Audit Report'!D1027</f>
        <v/>
      </c>
      <c r="J1027" t="str">
        <f>'Audit Report'!H1027</f>
        <v/>
      </c>
      <c r="L1027" t="str">
        <f>_xlfn.TEXTJOIN(", ", FALSE, 'Audit Report'!K1027,'Audit Report'!L1027,'Audit Report'!M1027)</f>
        <v xml:space="preserve">, , </v>
      </c>
      <c r="M1027" t="str">
        <f>'Audit Report'!O1027</f>
        <v/>
      </c>
      <c r="R1027" t="str">
        <f>'Audit Report'!F1027</f>
        <v/>
      </c>
      <c r="S1027" t="str">
        <f>'Audit Report'!Q1027</f>
        <v/>
      </c>
    </row>
    <row r="1028" spans="4:19">
      <c r="D1028" t="str">
        <f>'Audit Report'!B1028</f>
        <v>ITD-X1027</v>
      </c>
      <c r="E1028" t="str">
        <f>'Audit Report'!C1028</f>
        <v/>
      </c>
      <c r="I1028" t="str">
        <f>'Audit Report'!D1028</f>
        <v/>
      </c>
      <c r="J1028" t="str">
        <f>'Audit Report'!H1028</f>
        <v/>
      </c>
      <c r="L1028" t="str">
        <f>_xlfn.TEXTJOIN(", ", FALSE, 'Audit Report'!K1028,'Audit Report'!L1028,'Audit Report'!M1028)</f>
        <v xml:space="preserve">, , </v>
      </c>
      <c r="M1028" t="str">
        <f>'Audit Report'!O1028</f>
        <v/>
      </c>
      <c r="R1028" t="str">
        <f>'Audit Report'!F1028</f>
        <v/>
      </c>
      <c r="S1028" t="str">
        <f>'Audit Report'!Q1028</f>
        <v/>
      </c>
    </row>
    <row r="1029" spans="4:19">
      <c r="D1029" t="str">
        <f>'Audit Report'!B1029</f>
        <v>ITD-X1028</v>
      </c>
      <c r="E1029" t="str">
        <f>'Audit Report'!C1029</f>
        <v/>
      </c>
      <c r="I1029" t="str">
        <f>'Audit Report'!D1029</f>
        <v/>
      </c>
      <c r="J1029" t="str">
        <f>'Audit Report'!H1029</f>
        <v/>
      </c>
      <c r="L1029" t="str">
        <f>_xlfn.TEXTJOIN(", ", FALSE, 'Audit Report'!K1029,'Audit Report'!L1029,'Audit Report'!M1029)</f>
        <v xml:space="preserve">, , </v>
      </c>
      <c r="M1029" t="str">
        <f>'Audit Report'!O1029</f>
        <v/>
      </c>
      <c r="R1029" t="str">
        <f>'Audit Report'!F1029</f>
        <v/>
      </c>
      <c r="S1029" t="str">
        <f>'Audit Report'!Q1029</f>
        <v/>
      </c>
    </row>
    <row r="1030" spans="4:19">
      <c r="D1030" t="str">
        <f>'Audit Report'!B1030</f>
        <v>ITD-X1029</v>
      </c>
      <c r="E1030" t="str">
        <f>'Audit Report'!C1030</f>
        <v/>
      </c>
      <c r="I1030" t="str">
        <f>'Audit Report'!D1030</f>
        <v/>
      </c>
      <c r="J1030" t="str">
        <f>'Audit Report'!H1030</f>
        <v/>
      </c>
      <c r="L1030" t="str">
        <f>_xlfn.TEXTJOIN(", ", FALSE, 'Audit Report'!K1030,'Audit Report'!L1030,'Audit Report'!M1030)</f>
        <v xml:space="preserve">, , </v>
      </c>
      <c r="M1030" t="str">
        <f>'Audit Report'!O1030</f>
        <v/>
      </c>
      <c r="R1030" t="str">
        <f>'Audit Report'!F1030</f>
        <v/>
      </c>
      <c r="S1030" t="str">
        <f>'Audit Report'!Q1030</f>
        <v/>
      </c>
    </row>
    <row r="1031" spans="4:19">
      <c r="D1031" t="str">
        <f>'Audit Report'!B1031</f>
        <v>ITD-X1030</v>
      </c>
      <c r="E1031" t="str">
        <f>'Audit Report'!C1031</f>
        <v/>
      </c>
      <c r="I1031" t="str">
        <f>'Audit Report'!D1031</f>
        <v/>
      </c>
      <c r="J1031" t="str">
        <f>'Audit Report'!H1031</f>
        <v/>
      </c>
      <c r="L1031" t="str">
        <f>_xlfn.TEXTJOIN(", ", FALSE, 'Audit Report'!K1031,'Audit Report'!L1031,'Audit Report'!M1031)</f>
        <v xml:space="preserve">, , </v>
      </c>
      <c r="M1031" t="str">
        <f>'Audit Report'!O1031</f>
        <v/>
      </c>
      <c r="R1031" t="str">
        <f>'Audit Report'!F1031</f>
        <v/>
      </c>
      <c r="S1031" t="str">
        <f>'Audit Report'!Q1031</f>
        <v/>
      </c>
    </row>
    <row r="1032" spans="4:19">
      <c r="D1032" t="str">
        <f>'Audit Report'!B1032</f>
        <v>ITD-X1031</v>
      </c>
      <c r="E1032" t="str">
        <f>'Audit Report'!C1032</f>
        <v/>
      </c>
      <c r="I1032" t="str">
        <f>'Audit Report'!D1032</f>
        <v/>
      </c>
      <c r="J1032" t="str">
        <f>'Audit Report'!H1032</f>
        <v/>
      </c>
      <c r="L1032" t="str">
        <f>_xlfn.TEXTJOIN(", ", FALSE, 'Audit Report'!K1032,'Audit Report'!L1032,'Audit Report'!M1032)</f>
        <v xml:space="preserve">, , </v>
      </c>
      <c r="M1032" t="str">
        <f>'Audit Report'!O1032</f>
        <v/>
      </c>
      <c r="R1032" t="str">
        <f>'Audit Report'!F1032</f>
        <v/>
      </c>
      <c r="S1032" t="str">
        <f>'Audit Report'!Q1032</f>
        <v/>
      </c>
    </row>
    <row r="1033" spans="4:19">
      <c r="D1033" t="str">
        <f>'Audit Report'!B1033</f>
        <v>ITD-X1032</v>
      </c>
      <c r="E1033" t="str">
        <f>'Audit Report'!C1033</f>
        <v/>
      </c>
      <c r="I1033" t="str">
        <f>'Audit Report'!D1033</f>
        <v/>
      </c>
      <c r="J1033" t="str">
        <f>'Audit Report'!H1033</f>
        <v/>
      </c>
      <c r="L1033" t="str">
        <f>_xlfn.TEXTJOIN(", ", FALSE, 'Audit Report'!K1033,'Audit Report'!L1033,'Audit Report'!M1033)</f>
        <v xml:space="preserve">, , </v>
      </c>
      <c r="M1033" t="str">
        <f>'Audit Report'!O1033</f>
        <v/>
      </c>
      <c r="R1033" t="str">
        <f>'Audit Report'!F1033</f>
        <v/>
      </c>
      <c r="S1033" t="str">
        <f>'Audit Report'!Q1033</f>
        <v/>
      </c>
    </row>
    <row r="1034" spans="4:19">
      <c r="D1034" t="str">
        <f>'Audit Report'!B1034</f>
        <v>ITD-X1033</v>
      </c>
      <c r="E1034" t="str">
        <f>'Audit Report'!C1034</f>
        <v/>
      </c>
      <c r="I1034" t="str">
        <f>'Audit Report'!D1034</f>
        <v/>
      </c>
      <c r="J1034" t="str">
        <f>'Audit Report'!H1034</f>
        <v/>
      </c>
      <c r="L1034" t="str">
        <f>_xlfn.TEXTJOIN(", ", FALSE, 'Audit Report'!K1034,'Audit Report'!L1034,'Audit Report'!M1034)</f>
        <v xml:space="preserve">, , </v>
      </c>
      <c r="M1034" t="str">
        <f>'Audit Report'!O1034</f>
        <v/>
      </c>
      <c r="R1034" t="str">
        <f>'Audit Report'!F1034</f>
        <v/>
      </c>
      <c r="S1034" t="str">
        <f>'Audit Report'!Q1034</f>
        <v/>
      </c>
    </row>
    <row r="1035" spans="4:19">
      <c r="D1035" t="str">
        <f>'Audit Report'!B1035</f>
        <v>ITD-X1034</v>
      </c>
      <c r="E1035" t="str">
        <f>'Audit Report'!C1035</f>
        <v/>
      </c>
      <c r="I1035" t="str">
        <f>'Audit Report'!D1035</f>
        <v/>
      </c>
      <c r="J1035" t="str">
        <f>'Audit Report'!H1035</f>
        <v/>
      </c>
      <c r="L1035" t="str">
        <f>_xlfn.TEXTJOIN(", ", FALSE, 'Audit Report'!K1035,'Audit Report'!L1035,'Audit Report'!M1035)</f>
        <v xml:space="preserve">, , </v>
      </c>
      <c r="M1035" t="str">
        <f>'Audit Report'!O1035</f>
        <v/>
      </c>
      <c r="R1035" t="str">
        <f>'Audit Report'!F1035</f>
        <v/>
      </c>
      <c r="S1035" t="str">
        <f>'Audit Report'!Q1035</f>
        <v/>
      </c>
    </row>
    <row r="1036" spans="4:19">
      <c r="D1036" t="str">
        <f>'Audit Report'!B1036</f>
        <v>ITD-X1035</v>
      </c>
      <c r="E1036" t="str">
        <f>'Audit Report'!C1036</f>
        <v/>
      </c>
      <c r="I1036" t="str">
        <f>'Audit Report'!D1036</f>
        <v/>
      </c>
      <c r="J1036" t="str">
        <f>'Audit Report'!H1036</f>
        <v/>
      </c>
      <c r="L1036" t="str">
        <f>_xlfn.TEXTJOIN(", ", FALSE, 'Audit Report'!K1036,'Audit Report'!L1036,'Audit Report'!M1036)</f>
        <v xml:space="preserve">, , </v>
      </c>
      <c r="M1036" t="str">
        <f>'Audit Report'!O1036</f>
        <v/>
      </c>
      <c r="R1036" t="str">
        <f>'Audit Report'!F1036</f>
        <v/>
      </c>
      <c r="S1036" t="str">
        <f>'Audit Report'!Q1036</f>
        <v/>
      </c>
    </row>
    <row r="1037" spans="4:19">
      <c r="D1037" t="str">
        <f>'Audit Report'!B1037</f>
        <v>ITD-X1036</v>
      </c>
      <c r="E1037" t="str">
        <f>'Audit Report'!C1037</f>
        <v/>
      </c>
      <c r="I1037" t="str">
        <f>'Audit Report'!D1037</f>
        <v/>
      </c>
      <c r="J1037" t="str">
        <f>'Audit Report'!H1037</f>
        <v/>
      </c>
      <c r="L1037" t="str">
        <f>_xlfn.TEXTJOIN(", ", FALSE, 'Audit Report'!K1037,'Audit Report'!L1037,'Audit Report'!M1037)</f>
        <v xml:space="preserve">, , </v>
      </c>
      <c r="M1037" t="str">
        <f>'Audit Report'!O1037</f>
        <v/>
      </c>
      <c r="R1037" t="str">
        <f>'Audit Report'!F1037</f>
        <v/>
      </c>
      <c r="S1037" t="str">
        <f>'Audit Report'!Q1037</f>
        <v/>
      </c>
    </row>
    <row r="1038" spans="4:19">
      <c r="D1038" t="str">
        <f>'Audit Report'!B1038</f>
        <v>ITD-X1037</v>
      </c>
      <c r="E1038" t="str">
        <f>'Audit Report'!C1038</f>
        <v/>
      </c>
      <c r="I1038" t="str">
        <f>'Audit Report'!D1038</f>
        <v/>
      </c>
      <c r="J1038" t="str">
        <f>'Audit Report'!H1038</f>
        <v/>
      </c>
      <c r="L1038" t="str">
        <f>_xlfn.TEXTJOIN(", ", FALSE, 'Audit Report'!K1038,'Audit Report'!L1038,'Audit Report'!M1038)</f>
        <v xml:space="preserve">, , </v>
      </c>
      <c r="M1038" t="str">
        <f>'Audit Report'!O1038</f>
        <v/>
      </c>
      <c r="R1038" t="str">
        <f>'Audit Report'!F1038</f>
        <v/>
      </c>
      <c r="S1038" t="str">
        <f>'Audit Report'!Q1038</f>
        <v/>
      </c>
    </row>
    <row r="1039" spans="4:19">
      <c r="D1039" t="str">
        <f>'Audit Report'!B1039</f>
        <v>ITD-X1038</v>
      </c>
      <c r="E1039" t="str">
        <f>'Audit Report'!C1039</f>
        <v/>
      </c>
      <c r="I1039" t="str">
        <f>'Audit Report'!D1039</f>
        <v/>
      </c>
      <c r="J1039" t="str">
        <f>'Audit Report'!H1039</f>
        <v/>
      </c>
      <c r="L1039" t="str">
        <f>_xlfn.TEXTJOIN(", ", FALSE, 'Audit Report'!K1039,'Audit Report'!L1039,'Audit Report'!M1039)</f>
        <v xml:space="preserve">, , </v>
      </c>
      <c r="M1039" t="str">
        <f>'Audit Report'!O1039</f>
        <v/>
      </c>
      <c r="R1039" t="str">
        <f>'Audit Report'!F1039</f>
        <v/>
      </c>
      <c r="S1039" t="str">
        <f>'Audit Report'!Q1039</f>
        <v/>
      </c>
    </row>
    <row r="1040" spans="4:19">
      <c r="D1040" t="str">
        <f>'Audit Report'!B1040</f>
        <v>ITD-X1039</v>
      </c>
      <c r="E1040" t="str">
        <f>'Audit Report'!C1040</f>
        <v/>
      </c>
      <c r="I1040" t="str">
        <f>'Audit Report'!D1040</f>
        <v/>
      </c>
      <c r="J1040" t="str">
        <f>'Audit Report'!H1040</f>
        <v/>
      </c>
      <c r="L1040" t="str">
        <f>_xlfn.TEXTJOIN(", ", FALSE, 'Audit Report'!K1040,'Audit Report'!L1040,'Audit Report'!M1040)</f>
        <v xml:space="preserve">, , </v>
      </c>
      <c r="M1040" t="str">
        <f>'Audit Report'!O1040</f>
        <v/>
      </c>
      <c r="R1040" t="str">
        <f>'Audit Report'!F1040</f>
        <v/>
      </c>
      <c r="S1040" t="str">
        <f>'Audit Report'!Q1040</f>
        <v/>
      </c>
    </row>
    <row r="1041" spans="4:19">
      <c r="D1041" t="str">
        <f>'Audit Report'!B1041</f>
        <v>ITD-X1040</v>
      </c>
      <c r="E1041" t="str">
        <f>'Audit Report'!C1041</f>
        <v/>
      </c>
      <c r="I1041" t="str">
        <f>'Audit Report'!D1041</f>
        <v/>
      </c>
      <c r="J1041" t="str">
        <f>'Audit Report'!H1041</f>
        <v/>
      </c>
      <c r="L1041" t="str">
        <f>_xlfn.TEXTJOIN(", ", FALSE, 'Audit Report'!K1041,'Audit Report'!L1041,'Audit Report'!M1041)</f>
        <v xml:space="preserve">, , </v>
      </c>
      <c r="M1041" t="str">
        <f>'Audit Report'!O1041</f>
        <v/>
      </c>
      <c r="R1041" t="str">
        <f>'Audit Report'!F1041</f>
        <v/>
      </c>
      <c r="S1041" t="str">
        <f>'Audit Report'!Q1041</f>
        <v/>
      </c>
    </row>
    <row r="1042" spans="4:19">
      <c r="D1042" t="str">
        <f>'Audit Report'!B1042</f>
        <v>ITD-X1041</v>
      </c>
      <c r="E1042" t="str">
        <f>'Audit Report'!C1042</f>
        <v/>
      </c>
      <c r="I1042" t="str">
        <f>'Audit Report'!D1042</f>
        <v/>
      </c>
      <c r="J1042" t="str">
        <f>'Audit Report'!H1042</f>
        <v/>
      </c>
      <c r="L1042" t="str">
        <f>_xlfn.TEXTJOIN(", ", FALSE, 'Audit Report'!K1042,'Audit Report'!L1042,'Audit Report'!M1042)</f>
        <v xml:space="preserve">, , </v>
      </c>
      <c r="M1042" t="str">
        <f>'Audit Report'!O1042</f>
        <v/>
      </c>
      <c r="R1042" t="str">
        <f>'Audit Report'!F1042</f>
        <v/>
      </c>
      <c r="S1042" t="str">
        <f>'Audit Report'!Q1042</f>
        <v/>
      </c>
    </row>
    <row r="1043" spans="4:19">
      <c r="D1043" t="str">
        <f>'Audit Report'!B1043</f>
        <v>ITD-X1042</v>
      </c>
      <c r="E1043" t="str">
        <f>'Audit Report'!C1043</f>
        <v/>
      </c>
      <c r="I1043" t="str">
        <f>'Audit Report'!D1043</f>
        <v/>
      </c>
      <c r="J1043" t="str">
        <f>'Audit Report'!H1043</f>
        <v/>
      </c>
      <c r="L1043" t="str">
        <f>_xlfn.TEXTJOIN(", ", FALSE, 'Audit Report'!K1043,'Audit Report'!L1043,'Audit Report'!M1043)</f>
        <v xml:space="preserve">, , </v>
      </c>
      <c r="M1043" t="str">
        <f>'Audit Report'!O1043</f>
        <v/>
      </c>
      <c r="R1043" t="str">
        <f>'Audit Report'!F1043</f>
        <v/>
      </c>
      <c r="S1043" t="str">
        <f>'Audit Report'!Q1043</f>
        <v/>
      </c>
    </row>
    <row r="1044" spans="4:19">
      <c r="D1044" t="str">
        <f>'Audit Report'!B1044</f>
        <v>ITD-X1043</v>
      </c>
      <c r="E1044" t="str">
        <f>'Audit Report'!C1044</f>
        <v/>
      </c>
      <c r="I1044" t="str">
        <f>'Audit Report'!D1044</f>
        <v/>
      </c>
      <c r="J1044" t="str">
        <f>'Audit Report'!H1044</f>
        <v/>
      </c>
      <c r="L1044" t="str">
        <f>_xlfn.TEXTJOIN(", ", FALSE, 'Audit Report'!K1044,'Audit Report'!L1044,'Audit Report'!M1044)</f>
        <v xml:space="preserve">, , </v>
      </c>
      <c r="M1044" t="str">
        <f>'Audit Report'!O1044</f>
        <v/>
      </c>
      <c r="R1044" t="str">
        <f>'Audit Report'!F1044</f>
        <v/>
      </c>
      <c r="S1044" t="str">
        <f>'Audit Report'!Q1044</f>
        <v/>
      </c>
    </row>
    <row r="1045" spans="4:19">
      <c r="D1045" t="str">
        <f>'Audit Report'!B1045</f>
        <v>ITD-X1044</v>
      </c>
      <c r="E1045" t="str">
        <f>'Audit Report'!C1045</f>
        <v/>
      </c>
      <c r="I1045" t="str">
        <f>'Audit Report'!D1045</f>
        <v/>
      </c>
      <c r="J1045" t="str">
        <f>'Audit Report'!H1045</f>
        <v/>
      </c>
      <c r="L1045" t="str">
        <f>_xlfn.TEXTJOIN(", ", FALSE, 'Audit Report'!K1045,'Audit Report'!L1045,'Audit Report'!M1045)</f>
        <v xml:space="preserve">, , </v>
      </c>
      <c r="M1045" t="str">
        <f>'Audit Report'!O1045</f>
        <v/>
      </c>
      <c r="R1045" t="str">
        <f>'Audit Report'!F1045</f>
        <v/>
      </c>
      <c r="S1045" t="str">
        <f>'Audit Report'!Q1045</f>
        <v/>
      </c>
    </row>
    <row r="1046" spans="4:19">
      <c r="D1046" t="str">
        <f>'Audit Report'!B1046</f>
        <v>ITD-X1045</v>
      </c>
      <c r="E1046" t="str">
        <f>'Audit Report'!C1046</f>
        <v/>
      </c>
      <c r="I1046" t="str">
        <f>'Audit Report'!D1046</f>
        <v/>
      </c>
      <c r="J1046" t="str">
        <f>'Audit Report'!H1046</f>
        <v/>
      </c>
      <c r="L1046" t="str">
        <f>_xlfn.TEXTJOIN(", ", FALSE, 'Audit Report'!K1046,'Audit Report'!L1046,'Audit Report'!M1046)</f>
        <v xml:space="preserve">, , </v>
      </c>
      <c r="M1046" t="str">
        <f>'Audit Report'!O1046</f>
        <v/>
      </c>
      <c r="R1046" t="str">
        <f>'Audit Report'!F1046</f>
        <v/>
      </c>
      <c r="S1046" t="str">
        <f>'Audit Report'!Q1046</f>
        <v/>
      </c>
    </row>
    <row r="1047" spans="4:19">
      <c r="D1047" t="str">
        <f>'Audit Report'!B1047</f>
        <v>ITD-X1046</v>
      </c>
      <c r="E1047" t="str">
        <f>'Audit Report'!C1047</f>
        <v/>
      </c>
      <c r="I1047" t="str">
        <f>'Audit Report'!D1047</f>
        <v/>
      </c>
      <c r="J1047" t="str">
        <f>'Audit Report'!H1047</f>
        <v/>
      </c>
      <c r="L1047" t="str">
        <f>_xlfn.TEXTJOIN(", ", FALSE, 'Audit Report'!K1047,'Audit Report'!L1047,'Audit Report'!M1047)</f>
        <v xml:space="preserve">, , </v>
      </c>
      <c r="M1047" t="str">
        <f>'Audit Report'!O1047</f>
        <v/>
      </c>
      <c r="R1047" t="str">
        <f>'Audit Report'!F1047</f>
        <v/>
      </c>
      <c r="S1047" t="str">
        <f>'Audit Report'!Q1047</f>
        <v/>
      </c>
    </row>
    <row r="1048" spans="4:19">
      <c r="D1048" t="str">
        <f>'Audit Report'!B1048</f>
        <v>ITD-X1047</v>
      </c>
      <c r="E1048" t="str">
        <f>'Audit Report'!C1048</f>
        <v/>
      </c>
      <c r="I1048" t="str">
        <f>'Audit Report'!D1048</f>
        <v/>
      </c>
      <c r="J1048" t="str">
        <f>'Audit Report'!H1048</f>
        <v/>
      </c>
      <c r="L1048" t="str">
        <f>_xlfn.TEXTJOIN(", ", FALSE, 'Audit Report'!K1048,'Audit Report'!L1048,'Audit Report'!M1048)</f>
        <v xml:space="preserve">, , </v>
      </c>
      <c r="M1048" t="str">
        <f>'Audit Report'!O1048</f>
        <v/>
      </c>
      <c r="R1048" t="str">
        <f>'Audit Report'!F1048</f>
        <v/>
      </c>
      <c r="S1048" t="str">
        <f>'Audit Report'!Q1048</f>
        <v/>
      </c>
    </row>
    <row r="1049" spans="4:19">
      <c r="D1049" t="str">
        <f>'Audit Report'!B1049</f>
        <v>ITD-X1048</v>
      </c>
      <c r="E1049" t="str">
        <f>'Audit Report'!C1049</f>
        <v/>
      </c>
      <c r="I1049" t="str">
        <f>'Audit Report'!D1049</f>
        <v/>
      </c>
      <c r="J1049" t="str">
        <f>'Audit Report'!H1049</f>
        <v/>
      </c>
      <c r="L1049" t="str">
        <f>_xlfn.TEXTJOIN(", ", FALSE, 'Audit Report'!K1049,'Audit Report'!L1049,'Audit Report'!M1049)</f>
        <v xml:space="preserve">, , </v>
      </c>
      <c r="M1049" t="str">
        <f>'Audit Report'!O1049</f>
        <v/>
      </c>
      <c r="R1049" t="str">
        <f>'Audit Report'!F1049</f>
        <v/>
      </c>
      <c r="S1049" t="str">
        <f>'Audit Report'!Q1049</f>
        <v/>
      </c>
    </row>
    <row r="1050" spans="4:19">
      <c r="D1050" t="str">
        <f>'Audit Report'!B1050</f>
        <v>ITD-X1049</v>
      </c>
      <c r="E1050" t="str">
        <f>'Audit Report'!C1050</f>
        <v/>
      </c>
      <c r="I1050" t="str">
        <f>'Audit Report'!D1050</f>
        <v/>
      </c>
      <c r="J1050" t="str">
        <f>'Audit Report'!H1050</f>
        <v/>
      </c>
      <c r="L1050" t="str">
        <f>_xlfn.TEXTJOIN(", ", FALSE, 'Audit Report'!K1050,'Audit Report'!L1050,'Audit Report'!M1050)</f>
        <v xml:space="preserve">, , </v>
      </c>
      <c r="M1050" t="str">
        <f>'Audit Report'!O1050</f>
        <v/>
      </c>
      <c r="R1050" t="str">
        <f>'Audit Report'!F1050</f>
        <v/>
      </c>
      <c r="S1050" t="str">
        <f>'Audit Report'!Q1050</f>
        <v/>
      </c>
    </row>
    <row r="1051" spans="4:19">
      <c r="D1051" t="str">
        <f>'Audit Report'!B1051</f>
        <v>ITD-X1050</v>
      </c>
      <c r="E1051" t="str">
        <f>'Audit Report'!C1051</f>
        <v/>
      </c>
      <c r="I1051" t="str">
        <f>'Audit Report'!D1051</f>
        <v/>
      </c>
      <c r="J1051" t="str">
        <f>'Audit Report'!H1051</f>
        <v/>
      </c>
      <c r="L1051" t="str">
        <f>_xlfn.TEXTJOIN(", ", FALSE, 'Audit Report'!K1051,'Audit Report'!L1051,'Audit Report'!M1051)</f>
        <v xml:space="preserve">, , </v>
      </c>
      <c r="M1051" t="str">
        <f>'Audit Report'!O1051</f>
        <v/>
      </c>
      <c r="R1051" t="str">
        <f>'Audit Report'!F1051</f>
        <v/>
      </c>
      <c r="S1051" t="str">
        <f>'Audit Report'!Q1051</f>
        <v/>
      </c>
    </row>
    <row r="1052" spans="4:19">
      <c r="D1052" t="str">
        <f>'Audit Report'!B1052</f>
        <v>ITD-X1051</v>
      </c>
      <c r="E1052" t="str">
        <f>'Audit Report'!C1052</f>
        <v/>
      </c>
      <c r="I1052" t="str">
        <f>'Audit Report'!D1052</f>
        <v/>
      </c>
      <c r="J1052" t="str">
        <f>'Audit Report'!H1052</f>
        <v/>
      </c>
      <c r="L1052" t="str">
        <f>_xlfn.TEXTJOIN(", ", FALSE, 'Audit Report'!K1052,'Audit Report'!L1052,'Audit Report'!M1052)</f>
        <v xml:space="preserve">, , </v>
      </c>
      <c r="M1052" t="str">
        <f>'Audit Report'!O1052</f>
        <v/>
      </c>
      <c r="R1052" t="str">
        <f>'Audit Report'!F1052</f>
        <v/>
      </c>
      <c r="S1052" t="str">
        <f>'Audit Report'!Q1052</f>
        <v/>
      </c>
    </row>
    <row r="1053" spans="4:19">
      <c r="D1053" t="str">
        <f>'Audit Report'!B1053</f>
        <v>ITD-X1052</v>
      </c>
      <c r="E1053" t="str">
        <f>'Audit Report'!C1053</f>
        <v/>
      </c>
      <c r="I1053" t="str">
        <f>'Audit Report'!D1053</f>
        <v/>
      </c>
      <c r="J1053" t="str">
        <f>'Audit Report'!H1053</f>
        <v/>
      </c>
      <c r="L1053" t="str">
        <f>_xlfn.TEXTJOIN(", ", FALSE, 'Audit Report'!K1053,'Audit Report'!L1053,'Audit Report'!M1053)</f>
        <v xml:space="preserve">, , </v>
      </c>
      <c r="M1053" t="str">
        <f>'Audit Report'!O1053</f>
        <v/>
      </c>
      <c r="R1053" t="str">
        <f>'Audit Report'!F1053</f>
        <v/>
      </c>
      <c r="S1053" t="str">
        <f>'Audit Report'!Q1053</f>
        <v/>
      </c>
    </row>
    <row r="1054" spans="4:19">
      <c r="D1054" t="str">
        <f>'Audit Report'!B1054</f>
        <v>ITD-X1053</v>
      </c>
      <c r="E1054" t="str">
        <f>'Audit Report'!C1054</f>
        <v/>
      </c>
      <c r="I1054" t="str">
        <f>'Audit Report'!D1054</f>
        <v/>
      </c>
      <c r="J1054" t="str">
        <f>'Audit Report'!H1054</f>
        <v/>
      </c>
      <c r="L1054" t="str">
        <f>_xlfn.TEXTJOIN(", ", FALSE, 'Audit Report'!K1054,'Audit Report'!L1054,'Audit Report'!M1054)</f>
        <v xml:space="preserve">, , </v>
      </c>
      <c r="M1054" t="str">
        <f>'Audit Report'!O1054</f>
        <v/>
      </c>
      <c r="R1054" t="str">
        <f>'Audit Report'!F1054</f>
        <v/>
      </c>
      <c r="S1054" t="str">
        <f>'Audit Report'!Q1054</f>
        <v/>
      </c>
    </row>
    <row r="1055" spans="4:19">
      <c r="D1055" t="str">
        <f>'Audit Report'!B1055</f>
        <v>ITD-X1054</v>
      </c>
      <c r="E1055" t="str">
        <f>'Audit Report'!C1055</f>
        <v/>
      </c>
      <c r="I1055" t="str">
        <f>'Audit Report'!D1055</f>
        <v/>
      </c>
      <c r="J1055" t="str">
        <f>'Audit Report'!H1055</f>
        <v/>
      </c>
      <c r="L1055" t="str">
        <f>_xlfn.TEXTJOIN(", ", FALSE, 'Audit Report'!K1055,'Audit Report'!L1055,'Audit Report'!M1055)</f>
        <v xml:space="preserve">, , </v>
      </c>
      <c r="M1055" t="str">
        <f>'Audit Report'!O1055</f>
        <v/>
      </c>
      <c r="R1055" t="str">
        <f>'Audit Report'!F1055</f>
        <v/>
      </c>
      <c r="S1055" t="str">
        <f>'Audit Report'!Q1055</f>
        <v/>
      </c>
    </row>
    <row r="1056" spans="4:19">
      <c r="D1056" t="str">
        <f>'Audit Report'!B1056</f>
        <v>ITD-X1055</v>
      </c>
      <c r="E1056" t="str">
        <f>'Audit Report'!C1056</f>
        <v/>
      </c>
      <c r="I1056" t="str">
        <f>'Audit Report'!D1056</f>
        <v/>
      </c>
      <c r="J1056" t="str">
        <f>'Audit Report'!H1056</f>
        <v/>
      </c>
      <c r="L1056" t="str">
        <f>_xlfn.TEXTJOIN(", ", FALSE, 'Audit Report'!K1056,'Audit Report'!L1056,'Audit Report'!M1056)</f>
        <v xml:space="preserve">, , </v>
      </c>
      <c r="M1056" t="str">
        <f>'Audit Report'!O1056</f>
        <v/>
      </c>
      <c r="R1056" t="str">
        <f>'Audit Report'!F1056</f>
        <v/>
      </c>
      <c r="S1056" t="str">
        <f>'Audit Report'!Q1056</f>
        <v/>
      </c>
    </row>
    <row r="1057" spans="4:19">
      <c r="D1057" t="str">
        <f>'Audit Report'!B1057</f>
        <v>ITD-X1056</v>
      </c>
      <c r="E1057" t="str">
        <f>'Audit Report'!C1057</f>
        <v/>
      </c>
      <c r="I1057" t="str">
        <f>'Audit Report'!D1057</f>
        <v/>
      </c>
      <c r="J1057" t="str">
        <f>'Audit Report'!H1057</f>
        <v/>
      </c>
      <c r="L1057" t="str">
        <f>_xlfn.TEXTJOIN(", ", FALSE, 'Audit Report'!K1057,'Audit Report'!L1057,'Audit Report'!M1057)</f>
        <v xml:space="preserve">, , </v>
      </c>
      <c r="M1057" t="str">
        <f>'Audit Report'!O1057</f>
        <v/>
      </c>
      <c r="R1057" t="str">
        <f>'Audit Report'!F1057</f>
        <v/>
      </c>
      <c r="S1057" t="str">
        <f>'Audit Report'!Q1057</f>
        <v/>
      </c>
    </row>
    <row r="1058" spans="4:19">
      <c r="D1058" t="str">
        <f>'Audit Report'!B1058</f>
        <v>ITD-X1057</v>
      </c>
      <c r="E1058" t="str">
        <f>'Audit Report'!C1058</f>
        <v/>
      </c>
      <c r="I1058" t="str">
        <f>'Audit Report'!D1058</f>
        <v/>
      </c>
      <c r="J1058" t="str">
        <f>'Audit Report'!H1058</f>
        <v/>
      </c>
      <c r="L1058" t="str">
        <f>_xlfn.TEXTJOIN(", ", FALSE, 'Audit Report'!K1058,'Audit Report'!L1058,'Audit Report'!M1058)</f>
        <v xml:space="preserve">, , </v>
      </c>
      <c r="M1058" t="str">
        <f>'Audit Report'!O1058</f>
        <v/>
      </c>
      <c r="R1058" t="str">
        <f>'Audit Report'!F1058</f>
        <v/>
      </c>
      <c r="S1058" t="str">
        <f>'Audit Report'!Q1058</f>
        <v/>
      </c>
    </row>
    <row r="1059" spans="4:19">
      <c r="D1059" t="str">
        <f>'Audit Report'!B1059</f>
        <v>ITD-X1058</v>
      </c>
      <c r="E1059" t="str">
        <f>'Audit Report'!C1059</f>
        <v/>
      </c>
      <c r="I1059" t="str">
        <f>'Audit Report'!D1059</f>
        <v/>
      </c>
      <c r="J1059" t="str">
        <f>'Audit Report'!H1059</f>
        <v/>
      </c>
      <c r="L1059" t="str">
        <f>_xlfn.TEXTJOIN(", ", FALSE, 'Audit Report'!K1059,'Audit Report'!L1059,'Audit Report'!M1059)</f>
        <v xml:space="preserve">, , </v>
      </c>
      <c r="M1059" t="str">
        <f>'Audit Report'!O1059</f>
        <v/>
      </c>
      <c r="R1059" t="str">
        <f>'Audit Report'!F1059</f>
        <v/>
      </c>
      <c r="S1059" t="str">
        <f>'Audit Report'!Q1059</f>
        <v/>
      </c>
    </row>
    <row r="1060" spans="4:19">
      <c r="D1060" t="str">
        <f>'Audit Report'!B1060</f>
        <v>ITD-X1059</v>
      </c>
      <c r="E1060" t="str">
        <f>'Audit Report'!C1060</f>
        <v/>
      </c>
      <c r="I1060" t="str">
        <f>'Audit Report'!D1060</f>
        <v/>
      </c>
      <c r="J1060" t="str">
        <f>'Audit Report'!H1060</f>
        <v/>
      </c>
      <c r="L1060" t="str">
        <f>_xlfn.TEXTJOIN(", ", FALSE, 'Audit Report'!K1060,'Audit Report'!L1060,'Audit Report'!M1060)</f>
        <v xml:space="preserve">, , </v>
      </c>
      <c r="M1060" t="str">
        <f>'Audit Report'!O1060</f>
        <v/>
      </c>
      <c r="R1060" t="str">
        <f>'Audit Report'!F1060</f>
        <v/>
      </c>
      <c r="S1060" t="str">
        <f>'Audit Report'!Q1060</f>
        <v/>
      </c>
    </row>
    <row r="1061" spans="4:19">
      <c r="D1061" t="str">
        <f>'Audit Report'!B1061</f>
        <v>ITD-X1060</v>
      </c>
      <c r="E1061" t="str">
        <f>'Audit Report'!C1061</f>
        <v/>
      </c>
      <c r="I1061" t="str">
        <f>'Audit Report'!D1061</f>
        <v/>
      </c>
      <c r="J1061" t="str">
        <f>'Audit Report'!H1061</f>
        <v/>
      </c>
      <c r="L1061" t="str">
        <f>_xlfn.TEXTJOIN(", ", FALSE, 'Audit Report'!K1061,'Audit Report'!L1061,'Audit Report'!M1061)</f>
        <v xml:space="preserve">, , </v>
      </c>
      <c r="M1061" t="str">
        <f>'Audit Report'!O1061</f>
        <v/>
      </c>
      <c r="R1061" t="str">
        <f>'Audit Report'!F1061</f>
        <v/>
      </c>
      <c r="S1061" t="str">
        <f>'Audit Report'!Q1061</f>
        <v/>
      </c>
    </row>
    <row r="1062" spans="4:19">
      <c r="D1062" t="str">
        <f>'Audit Report'!B1062</f>
        <v>ITD-X1061</v>
      </c>
      <c r="E1062" t="str">
        <f>'Audit Report'!C1062</f>
        <v/>
      </c>
      <c r="I1062" t="str">
        <f>'Audit Report'!D1062</f>
        <v/>
      </c>
      <c r="J1062" t="str">
        <f>'Audit Report'!H1062</f>
        <v/>
      </c>
      <c r="L1062" t="str">
        <f>_xlfn.TEXTJOIN(", ", FALSE, 'Audit Report'!K1062,'Audit Report'!L1062,'Audit Report'!M1062)</f>
        <v xml:space="preserve">, , </v>
      </c>
      <c r="M1062" t="str">
        <f>'Audit Report'!O1062</f>
        <v/>
      </c>
      <c r="R1062" t="str">
        <f>'Audit Report'!F1062</f>
        <v/>
      </c>
      <c r="S1062" t="str">
        <f>'Audit Report'!Q1062</f>
        <v/>
      </c>
    </row>
    <row r="1063" spans="4:19">
      <c r="D1063" t="str">
        <f>'Audit Report'!B1063</f>
        <v>ITD-X1062</v>
      </c>
      <c r="E1063" t="str">
        <f>'Audit Report'!C1063</f>
        <v/>
      </c>
      <c r="I1063" t="str">
        <f>'Audit Report'!D1063</f>
        <v/>
      </c>
      <c r="J1063" t="str">
        <f>'Audit Report'!H1063</f>
        <v/>
      </c>
      <c r="L1063" t="str">
        <f>_xlfn.TEXTJOIN(", ", FALSE, 'Audit Report'!K1063,'Audit Report'!L1063,'Audit Report'!M1063)</f>
        <v xml:space="preserve">, , </v>
      </c>
      <c r="M1063" t="str">
        <f>'Audit Report'!O1063</f>
        <v/>
      </c>
      <c r="R1063" t="str">
        <f>'Audit Report'!F1063</f>
        <v/>
      </c>
      <c r="S1063" t="str">
        <f>'Audit Report'!Q1063</f>
        <v/>
      </c>
    </row>
    <row r="1064" spans="4:19">
      <c r="D1064" t="str">
        <f>'Audit Report'!B1064</f>
        <v>ITD-X1063</v>
      </c>
      <c r="E1064" t="str">
        <f>'Audit Report'!C1064</f>
        <v/>
      </c>
      <c r="I1064" t="str">
        <f>'Audit Report'!D1064</f>
        <v/>
      </c>
      <c r="J1064" t="str">
        <f>'Audit Report'!H1064</f>
        <v/>
      </c>
      <c r="L1064" t="str">
        <f>_xlfn.TEXTJOIN(", ", FALSE, 'Audit Report'!K1064,'Audit Report'!L1064,'Audit Report'!M1064)</f>
        <v xml:space="preserve">, , </v>
      </c>
      <c r="M1064" t="str">
        <f>'Audit Report'!O1064</f>
        <v/>
      </c>
      <c r="R1064" t="str">
        <f>'Audit Report'!F1064</f>
        <v/>
      </c>
      <c r="S1064" t="str">
        <f>'Audit Report'!Q1064</f>
        <v/>
      </c>
    </row>
    <row r="1065" spans="4:19">
      <c r="D1065" t="str">
        <f>'Audit Report'!B1065</f>
        <v>ITD-X1064</v>
      </c>
      <c r="E1065" t="str">
        <f>'Audit Report'!C1065</f>
        <v/>
      </c>
      <c r="I1065" t="str">
        <f>'Audit Report'!D1065</f>
        <v/>
      </c>
      <c r="J1065" t="str">
        <f>'Audit Report'!H1065</f>
        <v/>
      </c>
      <c r="L1065" t="str">
        <f>_xlfn.TEXTJOIN(", ", FALSE, 'Audit Report'!K1065,'Audit Report'!L1065,'Audit Report'!M1065)</f>
        <v xml:space="preserve">, , </v>
      </c>
      <c r="M1065" t="str">
        <f>'Audit Report'!O1065</f>
        <v/>
      </c>
      <c r="R1065" t="str">
        <f>'Audit Report'!F1065</f>
        <v/>
      </c>
      <c r="S1065" t="str">
        <f>'Audit Report'!Q1065</f>
        <v/>
      </c>
    </row>
    <row r="1066" spans="4:19">
      <c r="D1066" t="str">
        <f>'Audit Report'!B1066</f>
        <v>ITD-X1065</v>
      </c>
      <c r="E1066" t="str">
        <f>'Audit Report'!C1066</f>
        <v/>
      </c>
      <c r="I1066" t="str">
        <f>'Audit Report'!D1066</f>
        <v/>
      </c>
      <c r="J1066" t="str">
        <f>'Audit Report'!H1066</f>
        <v/>
      </c>
      <c r="L1066" t="str">
        <f>_xlfn.TEXTJOIN(", ", FALSE, 'Audit Report'!K1066,'Audit Report'!L1066,'Audit Report'!M1066)</f>
        <v xml:space="preserve">, , </v>
      </c>
      <c r="M1066" t="str">
        <f>'Audit Report'!O1066</f>
        <v/>
      </c>
      <c r="R1066" t="str">
        <f>'Audit Report'!F1066</f>
        <v/>
      </c>
      <c r="S1066" t="str">
        <f>'Audit Report'!Q1066</f>
        <v/>
      </c>
    </row>
    <row r="1067" spans="4:19">
      <c r="D1067" t="str">
        <f>'Audit Report'!B1067</f>
        <v>ITD-X1066</v>
      </c>
      <c r="E1067" t="str">
        <f>'Audit Report'!C1067</f>
        <v/>
      </c>
      <c r="I1067" t="str">
        <f>'Audit Report'!D1067</f>
        <v/>
      </c>
      <c r="J1067" t="str">
        <f>'Audit Report'!H1067</f>
        <v/>
      </c>
      <c r="L1067" t="str">
        <f>_xlfn.TEXTJOIN(", ", FALSE, 'Audit Report'!K1067,'Audit Report'!L1067,'Audit Report'!M1067)</f>
        <v xml:space="preserve">, , </v>
      </c>
      <c r="M1067" t="str">
        <f>'Audit Report'!O1067</f>
        <v/>
      </c>
      <c r="R1067" t="str">
        <f>'Audit Report'!F1067</f>
        <v/>
      </c>
      <c r="S1067" t="str">
        <f>'Audit Report'!Q1067</f>
        <v/>
      </c>
    </row>
    <row r="1068" spans="4:19">
      <c r="D1068" t="str">
        <f>'Audit Report'!B1068</f>
        <v>ITD-X1067</v>
      </c>
      <c r="E1068" t="str">
        <f>'Audit Report'!C1068</f>
        <v/>
      </c>
      <c r="I1068" t="str">
        <f>'Audit Report'!D1068</f>
        <v/>
      </c>
      <c r="J1068" t="str">
        <f>'Audit Report'!H1068</f>
        <v/>
      </c>
      <c r="L1068" t="str">
        <f>_xlfn.TEXTJOIN(", ", FALSE, 'Audit Report'!K1068,'Audit Report'!L1068,'Audit Report'!M1068)</f>
        <v xml:space="preserve">, , </v>
      </c>
      <c r="M1068" t="str">
        <f>'Audit Report'!O1068</f>
        <v/>
      </c>
      <c r="R1068" t="str">
        <f>'Audit Report'!F1068</f>
        <v/>
      </c>
      <c r="S1068" t="str">
        <f>'Audit Report'!Q1068</f>
        <v/>
      </c>
    </row>
    <row r="1069" spans="4:19">
      <c r="D1069" t="str">
        <f>'Audit Report'!B1069</f>
        <v>ITD-X1068</v>
      </c>
      <c r="E1069" t="str">
        <f>'Audit Report'!C1069</f>
        <v/>
      </c>
      <c r="I1069" t="str">
        <f>'Audit Report'!D1069</f>
        <v/>
      </c>
      <c r="J1069" t="str">
        <f>'Audit Report'!H1069</f>
        <v/>
      </c>
      <c r="L1069" t="str">
        <f>_xlfn.TEXTJOIN(", ", FALSE, 'Audit Report'!K1069,'Audit Report'!L1069,'Audit Report'!M1069)</f>
        <v xml:space="preserve">, , </v>
      </c>
      <c r="M1069" t="str">
        <f>'Audit Report'!O1069</f>
        <v/>
      </c>
      <c r="R1069" t="str">
        <f>'Audit Report'!F1069</f>
        <v/>
      </c>
      <c r="S1069" t="str">
        <f>'Audit Report'!Q1069</f>
        <v/>
      </c>
    </row>
    <row r="1070" spans="4:19">
      <c r="D1070" t="str">
        <f>'Audit Report'!B1070</f>
        <v>ITD-X1069</v>
      </c>
      <c r="E1070" t="str">
        <f>'Audit Report'!C1070</f>
        <v/>
      </c>
      <c r="I1070" t="str">
        <f>'Audit Report'!D1070</f>
        <v/>
      </c>
      <c r="J1070" t="str">
        <f>'Audit Report'!H1070</f>
        <v/>
      </c>
      <c r="L1070" t="str">
        <f>_xlfn.TEXTJOIN(", ", FALSE, 'Audit Report'!K1070,'Audit Report'!L1070,'Audit Report'!M1070)</f>
        <v xml:space="preserve">, , </v>
      </c>
      <c r="M1070" t="str">
        <f>'Audit Report'!O1070</f>
        <v/>
      </c>
      <c r="R1070" t="str">
        <f>'Audit Report'!F1070</f>
        <v/>
      </c>
      <c r="S1070" t="str">
        <f>'Audit Report'!Q1070</f>
        <v/>
      </c>
    </row>
    <row r="1071" spans="4:19">
      <c r="D1071" t="str">
        <f>'Audit Report'!B1071</f>
        <v>ITD-X1070</v>
      </c>
      <c r="E1071" t="str">
        <f>'Audit Report'!C1071</f>
        <v/>
      </c>
      <c r="I1071" t="str">
        <f>'Audit Report'!D1071</f>
        <v/>
      </c>
      <c r="J1071" t="str">
        <f>'Audit Report'!H1071</f>
        <v/>
      </c>
      <c r="L1071" t="str">
        <f>_xlfn.TEXTJOIN(", ", FALSE, 'Audit Report'!K1071,'Audit Report'!L1071,'Audit Report'!M1071)</f>
        <v xml:space="preserve">, , </v>
      </c>
      <c r="M1071" t="str">
        <f>'Audit Report'!O1071</f>
        <v/>
      </c>
      <c r="R1071" t="str">
        <f>'Audit Report'!F1071</f>
        <v/>
      </c>
      <c r="S1071" t="str">
        <f>'Audit Report'!Q1071</f>
        <v/>
      </c>
    </row>
    <row r="1072" spans="4:19">
      <c r="D1072" t="str">
        <f>'Audit Report'!B1072</f>
        <v>ITD-X1071</v>
      </c>
      <c r="E1072" t="str">
        <f>'Audit Report'!C1072</f>
        <v/>
      </c>
      <c r="I1072" t="str">
        <f>'Audit Report'!D1072</f>
        <v/>
      </c>
      <c r="J1072" t="str">
        <f>'Audit Report'!H1072</f>
        <v/>
      </c>
      <c r="L1072" t="str">
        <f>_xlfn.TEXTJOIN(", ", FALSE, 'Audit Report'!K1072,'Audit Report'!L1072,'Audit Report'!M1072)</f>
        <v xml:space="preserve">, , </v>
      </c>
      <c r="M1072" t="str">
        <f>'Audit Report'!O1072</f>
        <v/>
      </c>
      <c r="R1072" t="str">
        <f>'Audit Report'!F1072</f>
        <v/>
      </c>
      <c r="S1072" t="str">
        <f>'Audit Report'!Q1072</f>
        <v/>
      </c>
    </row>
    <row r="1073" spans="4:19">
      <c r="D1073" t="str">
        <f>'Audit Report'!B1073</f>
        <v>ITD-X1072</v>
      </c>
      <c r="E1073" t="str">
        <f>'Audit Report'!C1073</f>
        <v/>
      </c>
      <c r="I1073" t="str">
        <f>'Audit Report'!D1073</f>
        <v/>
      </c>
      <c r="J1073" t="str">
        <f>'Audit Report'!H1073</f>
        <v/>
      </c>
      <c r="L1073" t="str">
        <f>_xlfn.TEXTJOIN(", ", FALSE, 'Audit Report'!K1073,'Audit Report'!L1073,'Audit Report'!M1073)</f>
        <v xml:space="preserve">, , </v>
      </c>
      <c r="M1073" t="str">
        <f>'Audit Report'!O1073</f>
        <v/>
      </c>
      <c r="R1073" t="str">
        <f>'Audit Report'!F1073</f>
        <v/>
      </c>
      <c r="S1073" t="str">
        <f>'Audit Report'!Q1073</f>
        <v/>
      </c>
    </row>
    <row r="1074" spans="4:19">
      <c r="D1074" t="str">
        <f>'Audit Report'!B1074</f>
        <v>ITD-X1073</v>
      </c>
      <c r="E1074" t="str">
        <f>'Audit Report'!C1074</f>
        <v/>
      </c>
      <c r="I1074" t="str">
        <f>'Audit Report'!D1074</f>
        <v/>
      </c>
      <c r="J1074" t="str">
        <f>'Audit Report'!H1074</f>
        <v/>
      </c>
      <c r="L1074" t="str">
        <f>_xlfn.TEXTJOIN(", ", FALSE, 'Audit Report'!K1074,'Audit Report'!L1074,'Audit Report'!M1074)</f>
        <v xml:space="preserve">, , </v>
      </c>
      <c r="M1074" t="str">
        <f>'Audit Report'!O1074</f>
        <v/>
      </c>
      <c r="R1074" t="str">
        <f>'Audit Report'!F1074</f>
        <v/>
      </c>
      <c r="S1074" t="str">
        <f>'Audit Report'!Q1074</f>
        <v/>
      </c>
    </row>
    <row r="1075" spans="4:19">
      <c r="D1075" t="str">
        <f>'Audit Report'!B1075</f>
        <v>ITD-X1074</v>
      </c>
      <c r="E1075" t="str">
        <f>'Audit Report'!C1075</f>
        <v/>
      </c>
      <c r="I1075" t="str">
        <f>'Audit Report'!D1075</f>
        <v/>
      </c>
      <c r="J1075" t="str">
        <f>'Audit Report'!H1075</f>
        <v/>
      </c>
      <c r="L1075" t="str">
        <f>_xlfn.TEXTJOIN(", ", FALSE, 'Audit Report'!K1075,'Audit Report'!L1075,'Audit Report'!M1075)</f>
        <v xml:space="preserve">, , </v>
      </c>
      <c r="M1075" t="str">
        <f>'Audit Report'!O1075</f>
        <v/>
      </c>
      <c r="R1075" t="str">
        <f>'Audit Report'!F1075</f>
        <v/>
      </c>
      <c r="S1075" t="str">
        <f>'Audit Report'!Q1075</f>
        <v/>
      </c>
    </row>
    <row r="1076" spans="4:19">
      <c r="D1076" t="str">
        <f>'Audit Report'!B1076</f>
        <v>ITD-X1075</v>
      </c>
      <c r="E1076" t="str">
        <f>'Audit Report'!C1076</f>
        <v/>
      </c>
      <c r="I1076" t="str">
        <f>'Audit Report'!D1076</f>
        <v/>
      </c>
      <c r="J1076" t="str">
        <f>'Audit Report'!H1076</f>
        <v/>
      </c>
      <c r="L1076" t="str">
        <f>_xlfn.TEXTJOIN(", ", FALSE, 'Audit Report'!K1076,'Audit Report'!L1076,'Audit Report'!M1076)</f>
        <v xml:space="preserve">, , </v>
      </c>
      <c r="M1076" t="str">
        <f>'Audit Report'!O1076</f>
        <v/>
      </c>
      <c r="R1076" t="str">
        <f>'Audit Report'!F1076</f>
        <v/>
      </c>
      <c r="S1076" t="str">
        <f>'Audit Report'!Q1076</f>
        <v/>
      </c>
    </row>
    <row r="1077" spans="4:19">
      <c r="D1077" t="str">
        <f>'Audit Report'!B1077</f>
        <v>ITD-X1076</v>
      </c>
      <c r="E1077" t="str">
        <f>'Audit Report'!C1077</f>
        <v/>
      </c>
      <c r="I1077" t="str">
        <f>'Audit Report'!D1077</f>
        <v/>
      </c>
      <c r="J1077" t="str">
        <f>'Audit Report'!H1077</f>
        <v/>
      </c>
      <c r="L1077" t="str">
        <f>_xlfn.TEXTJOIN(", ", FALSE, 'Audit Report'!K1077,'Audit Report'!L1077,'Audit Report'!M1077)</f>
        <v xml:space="preserve">, , </v>
      </c>
      <c r="M1077" t="str">
        <f>'Audit Report'!O1077</f>
        <v/>
      </c>
      <c r="R1077" t="str">
        <f>'Audit Report'!F1077</f>
        <v/>
      </c>
      <c r="S1077" t="str">
        <f>'Audit Report'!Q1077</f>
        <v/>
      </c>
    </row>
    <row r="1078" spans="4:19">
      <c r="D1078" t="str">
        <f>'Audit Report'!B1078</f>
        <v>ITD-X1077</v>
      </c>
      <c r="E1078" t="str">
        <f>'Audit Report'!C1078</f>
        <v/>
      </c>
      <c r="I1078" t="str">
        <f>'Audit Report'!D1078</f>
        <v/>
      </c>
      <c r="J1078" t="str">
        <f>'Audit Report'!H1078</f>
        <v/>
      </c>
      <c r="L1078" t="str">
        <f>_xlfn.TEXTJOIN(", ", FALSE, 'Audit Report'!K1078,'Audit Report'!L1078,'Audit Report'!M1078)</f>
        <v xml:space="preserve">, , </v>
      </c>
      <c r="M1078" t="str">
        <f>'Audit Report'!O1078</f>
        <v/>
      </c>
      <c r="R1078" t="str">
        <f>'Audit Report'!F1078</f>
        <v/>
      </c>
      <c r="S1078" t="str">
        <f>'Audit Report'!Q1078</f>
        <v/>
      </c>
    </row>
    <row r="1079" spans="4:19">
      <c r="D1079" t="str">
        <f>'Audit Report'!B1079</f>
        <v>ITD-X1078</v>
      </c>
      <c r="E1079" t="str">
        <f>'Audit Report'!C1079</f>
        <v/>
      </c>
      <c r="I1079" t="str">
        <f>'Audit Report'!D1079</f>
        <v/>
      </c>
      <c r="J1079" t="str">
        <f>'Audit Report'!H1079</f>
        <v/>
      </c>
      <c r="L1079" t="str">
        <f>_xlfn.TEXTJOIN(", ", FALSE, 'Audit Report'!K1079,'Audit Report'!L1079,'Audit Report'!M1079)</f>
        <v xml:space="preserve">, , </v>
      </c>
      <c r="M1079" t="str">
        <f>'Audit Report'!O1079</f>
        <v/>
      </c>
      <c r="R1079" t="str">
        <f>'Audit Report'!F1079</f>
        <v/>
      </c>
      <c r="S1079" t="str">
        <f>'Audit Report'!Q1079</f>
        <v/>
      </c>
    </row>
    <row r="1080" spans="4:19">
      <c r="D1080" t="str">
        <f>'Audit Report'!B1080</f>
        <v>ITD-X1079</v>
      </c>
      <c r="E1080" t="str">
        <f>'Audit Report'!C1080</f>
        <v/>
      </c>
      <c r="I1080" t="str">
        <f>'Audit Report'!D1080</f>
        <v/>
      </c>
      <c r="J1080" t="str">
        <f>'Audit Report'!H1080</f>
        <v/>
      </c>
      <c r="L1080" t="str">
        <f>_xlfn.TEXTJOIN(", ", FALSE, 'Audit Report'!K1080,'Audit Report'!L1080,'Audit Report'!M1080)</f>
        <v xml:space="preserve">, , </v>
      </c>
      <c r="M1080" t="str">
        <f>'Audit Report'!O1080</f>
        <v/>
      </c>
      <c r="R1080" t="str">
        <f>'Audit Report'!F1080</f>
        <v/>
      </c>
      <c r="S1080" t="str">
        <f>'Audit Report'!Q1080</f>
        <v/>
      </c>
    </row>
    <row r="1081" spans="4:19">
      <c r="D1081" t="str">
        <f>'Audit Report'!B1081</f>
        <v>ITD-X1080</v>
      </c>
      <c r="E1081" t="str">
        <f>'Audit Report'!C1081</f>
        <v/>
      </c>
      <c r="I1081" t="str">
        <f>'Audit Report'!D1081</f>
        <v/>
      </c>
      <c r="J1081" t="str">
        <f>'Audit Report'!H1081</f>
        <v/>
      </c>
      <c r="L1081" t="str">
        <f>_xlfn.TEXTJOIN(", ", FALSE, 'Audit Report'!K1081,'Audit Report'!L1081,'Audit Report'!M1081)</f>
        <v xml:space="preserve">, , </v>
      </c>
      <c r="M1081" t="str">
        <f>'Audit Report'!O1081</f>
        <v/>
      </c>
      <c r="R1081" t="str">
        <f>'Audit Report'!F1081</f>
        <v/>
      </c>
      <c r="S1081" t="str">
        <f>'Audit Report'!Q1081</f>
        <v/>
      </c>
    </row>
    <row r="1082" spans="4:19">
      <c r="D1082" t="str">
        <f>'Audit Report'!B1082</f>
        <v>ITD-X1081</v>
      </c>
      <c r="E1082" t="str">
        <f>'Audit Report'!C1082</f>
        <v/>
      </c>
      <c r="I1082" t="str">
        <f>'Audit Report'!D1082</f>
        <v/>
      </c>
      <c r="J1082" t="str">
        <f>'Audit Report'!H1082</f>
        <v/>
      </c>
      <c r="L1082" t="str">
        <f>_xlfn.TEXTJOIN(", ", FALSE, 'Audit Report'!K1082,'Audit Report'!L1082,'Audit Report'!M1082)</f>
        <v xml:space="preserve">, , </v>
      </c>
      <c r="M1082" t="str">
        <f>'Audit Report'!O1082</f>
        <v/>
      </c>
      <c r="R1082" t="str">
        <f>'Audit Report'!F1082</f>
        <v/>
      </c>
      <c r="S1082" t="str">
        <f>'Audit Report'!Q1082</f>
        <v/>
      </c>
    </row>
    <row r="1083" spans="4:19">
      <c r="D1083" t="str">
        <f>'Audit Report'!B1083</f>
        <v>ITD-X1082</v>
      </c>
      <c r="E1083" t="str">
        <f>'Audit Report'!C1083</f>
        <v/>
      </c>
      <c r="I1083" t="str">
        <f>'Audit Report'!D1083</f>
        <v/>
      </c>
      <c r="J1083" t="str">
        <f>'Audit Report'!H1083</f>
        <v/>
      </c>
      <c r="L1083" t="str">
        <f>_xlfn.TEXTJOIN(", ", FALSE, 'Audit Report'!K1083,'Audit Report'!L1083,'Audit Report'!M1083)</f>
        <v xml:space="preserve">, , </v>
      </c>
      <c r="M1083" t="str">
        <f>'Audit Report'!O1083</f>
        <v/>
      </c>
      <c r="R1083" t="str">
        <f>'Audit Report'!F1083</f>
        <v/>
      </c>
      <c r="S1083" t="str">
        <f>'Audit Report'!Q1083</f>
        <v/>
      </c>
    </row>
    <row r="1084" spans="4:19">
      <c r="D1084" t="str">
        <f>'Audit Report'!B1084</f>
        <v>ITD-X1083</v>
      </c>
      <c r="E1084" t="str">
        <f>'Audit Report'!C1084</f>
        <v/>
      </c>
      <c r="I1084" t="str">
        <f>'Audit Report'!D1084</f>
        <v/>
      </c>
      <c r="J1084" t="str">
        <f>'Audit Report'!H1084</f>
        <v/>
      </c>
      <c r="L1084" t="str">
        <f>_xlfn.TEXTJOIN(", ", FALSE, 'Audit Report'!K1084,'Audit Report'!L1084,'Audit Report'!M1084)</f>
        <v xml:space="preserve">, , </v>
      </c>
      <c r="M1084" t="str">
        <f>'Audit Report'!O1084</f>
        <v/>
      </c>
      <c r="R1084" t="str">
        <f>'Audit Report'!F1084</f>
        <v/>
      </c>
      <c r="S1084" t="str">
        <f>'Audit Report'!Q1084</f>
        <v/>
      </c>
    </row>
    <row r="1085" spans="4:19">
      <c r="D1085" t="str">
        <f>'Audit Report'!B1085</f>
        <v>ITD-X1084</v>
      </c>
      <c r="E1085" t="str">
        <f>'Audit Report'!C1085</f>
        <v/>
      </c>
      <c r="I1085" t="str">
        <f>'Audit Report'!D1085</f>
        <v/>
      </c>
      <c r="J1085" t="str">
        <f>'Audit Report'!H1085</f>
        <v/>
      </c>
      <c r="L1085" t="str">
        <f>_xlfn.TEXTJOIN(", ", FALSE, 'Audit Report'!K1085,'Audit Report'!L1085,'Audit Report'!M1085)</f>
        <v xml:space="preserve">, , </v>
      </c>
      <c r="M1085" t="str">
        <f>'Audit Report'!O1085</f>
        <v/>
      </c>
      <c r="R1085" t="str">
        <f>'Audit Report'!F1085</f>
        <v/>
      </c>
      <c r="S1085" t="str">
        <f>'Audit Report'!Q1085</f>
        <v/>
      </c>
    </row>
    <row r="1086" spans="4:19">
      <c r="D1086" t="str">
        <f>'Audit Report'!B1086</f>
        <v>ITD-X1085</v>
      </c>
      <c r="E1086" t="str">
        <f>'Audit Report'!C1086</f>
        <v/>
      </c>
      <c r="I1086" t="str">
        <f>'Audit Report'!D1086</f>
        <v/>
      </c>
      <c r="J1086" t="str">
        <f>'Audit Report'!H1086</f>
        <v/>
      </c>
      <c r="L1086" t="str">
        <f>_xlfn.TEXTJOIN(", ", FALSE, 'Audit Report'!K1086,'Audit Report'!L1086,'Audit Report'!M1086)</f>
        <v xml:space="preserve">, , </v>
      </c>
      <c r="M1086" t="str">
        <f>'Audit Report'!O1086</f>
        <v/>
      </c>
      <c r="R1086" t="str">
        <f>'Audit Report'!F1086</f>
        <v/>
      </c>
      <c r="S1086" t="str">
        <f>'Audit Report'!Q1086</f>
        <v/>
      </c>
    </row>
    <row r="1087" spans="4:19">
      <c r="D1087" t="str">
        <f>'Audit Report'!B1087</f>
        <v>ITD-X1086</v>
      </c>
      <c r="E1087" t="str">
        <f>'Audit Report'!C1087</f>
        <v/>
      </c>
      <c r="I1087" t="str">
        <f>'Audit Report'!D1087</f>
        <v/>
      </c>
      <c r="J1087" t="str">
        <f>'Audit Report'!H1087</f>
        <v/>
      </c>
      <c r="L1087" t="str">
        <f>_xlfn.TEXTJOIN(", ", FALSE, 'Audit Report'!K1087,'Audit Report'!L1087,'Audit Report'!M1087)</f>
        <v xml:space="preserve">, , </v>
      </c>
      <c r="M1087" t="str">
        <f>'Audit Report'!O1087</f>
        <v/>
      </c>
      <c r="R1087" t="str">
        <f>'Audit Report'!F1087</f>
        <v/>
      </c>
      <c r="S1087" t="str">
        <f>'Audit Report'!Q1087</f>
        <v/>
      </c>
    </row>
    <row r="1088" spans="4:19">
      <c r="D1088" t="str">
        <f>'Audit Report'!B1088</f>
        <v>ITD-X1087</v>
      </c>
      <c r="E1088" t="str">
        <f>'Audit Report'!C1088</f>
        <v/>
      </c>
      <c r="I1088" t="str">
        <f>'Audit Report'!D1088</f>
        <v/>
      </c>
      <c r="J1088" t="str">
        <f>'Audit Report'!H1088</f>
        <v/>
      </c>
      <c r="L1088" t="str">
        <f>_xlfn.TEXTJOIN(", ", FALSE, 'Audit Report'!K1088,'Audit Report'!L1088,'Audit Report'!M1088)</f>
        <v xml:space="preserve">, , </v>
      </c>
      <c r="M1088" t="str">
        <f>'Audit Report'!O1088</f>
        <v/>
      </c>
      <c r="R1088" t="str">
        <f>'Audit Report'!F1088</f>
        <v/>
      </c>
      <c r="S1088" t="str">
        <f>'Audit Report'!Q1088</f>
        <v/>
      </c>
    </row>
    <row r="1089" spans="4:19">
      <c r="D1089" t="str">
        <f>'Audit Report'!B1089</f>
        <v>ITD-X1088</v>
      </c>
      <c r="E1089" t="str">
        <f>'Audit Report'!C1089</f>
        <v/>
      </c>
      <c r="I1089" t="str">
        <f>'Audit Report'!D1089</f>
        <v/>
      </c>
      <c r="J1089" t="str">
        <f>'Audit Report'!H1089</f>
        <v/>
      </c>
      <c r="L1089" t="str">
        <f>_xlfn.TEXTJOIN(", ", FALSE, 'Audit Report'!K1089,'Audit Report'!L1089,'Audit Report'!M1089)</f>
        <v xml:space="preserve">, , </v>
      </c>
      <c r="M1089" t="str">
        <f>'Audit Report'!O1089</f>
        <v/>
      </c>
      <c r="R1089" t="str">
        <f>'Audit Report'!F1089</f>
        <v/>
      </c>
      <c r="S1089" t="str">
        <f>'Audit Report'!Q1089</f>
        <v/>
      </c>
    </row>
    <row r="1090" spans="4:19">
      <c r="D1090" t="str">
        <f>'Audit Report'!B1090</f>
        <v>ITD-X1089</v>
      </c>
      <c r="E1090" t="str">
        <f>'Audit Report'!C1090</f>
        <v/>
      </c>
      <c r="I1090" t="str">
        <f>'Audit Report'!D1090</f>
        <v/>
      </c>
      <c r="J1090" t="str">
        <f>'Audit Report'!H1090</f>
        <v/>
      </c>
      <c r="L1090" t="str">
        <f>_xlfn.TEXTJOIN(", ", FALSE, 'Audit Report'!K1090,'Audit Report'!L1090,'Audit Report'!M1090)</f>
        <v xml:space="preserve">, , </v>
      </c>
      <c r="M1090" t="str">
        <f>'Audit Report'!O1090</f>
        <v/>
      </c>
      <c r="R1090" t="str">
        <f>'Audit Report'!F1090</f>
        <v/>
      </c>
      <c r="S1090" t="str">
        <f>'Audit Report'!Q1090</f>
        <v/>
      </c>
    </row>
    <row r="1091" spans="4:19">
      <c r="D1091" t="str">
        <f>'Audit Report'!B1091</f>
        <v>ITD-X1090</v>
      </c>
      <c r="E1091" t="str">
        <f>'Audit Report'!C1091</f>
        <v/>
      </c>
      <c r="I1091" t="str">
        <f>'Audit Report'!D1091</f>
        <v/>
      </c>
      <c r="J1091" t="str">
        <f>'Audit Report'!H1091</f>
        <v/>
      </c>
      <c r="L1091" t="str">
        <f>_xlfn.TEXTJOIN(", ", FALSE, 'Audit Report'!K1091,'Audit Report'!L1091,'Audit Report'!M1091)</f>
        <v xml:space="preserve">, , </v>
      </c>
      <c r="M1091" t="str">
        <f>'Audit Report'!O1091</f>
        <v/>
      </c>
      <c r="R1091" t="str">
        <f>'Audit Report'!F1091</f>
        <v/>
      </c>
      <c r="S1091" t="str">
        <f>'Audit Report'!Q1091</f>
        <v/>
      </c>
    </row>
    <row r="1092" spans="4:19">
      <c r="D1092" t="str">
        <f>'Audit Report'!B1092</f>
        <v>ITD-X1091</v>
      </c>
      <c r="E1092" t="str">
        <f>'Audit Report'!C1092</f>
        <v/>
      </c>
      <c r="I1092" t="str">
        <f>'Audit Report'!D1092</f>
        <v/>
      </c>
      <c r="J1092" t="str">
        <f>'Audit Report'!H1092</f>
        <v/>
      </c>
      <c r="L1092" t="str">
        <f>_xlfn.TEXTJOIN(", ", FALSE, 'Audit Report'!K1092,'Audit Report'!L1092,'Audit Report'!M1092)</f>
        <v xml:space="preserve">, , </v>
      </c>
      <c r="M1092" t="str">
        <f>'Audit Report'!O1092</f>
        <v/>
      </c>
      <c r="R1092" t="str">
        <f>'Audit Report'!F1092</f>
        <v/>
      </c>
      <c r="S1092" t="str">
        <f>'Audit Report'!Q1092</f>
        <v/>
      </c>
    </row>
    <row r="1093" spans="4:19">
      <c r="D1093" t="str">
        <f>'Audit Report'!B1093</f>
        <v>ITD-X1092</v>
      </c>
      <c r="E1093" t="str">
        <f>'Audit Report'!C1093</f>
        <v/>
      </c>
      <c r="I1093" t="str">
        <f>'Audit Report'!D1093</f>
        <v/>
      </c>
      <c r="J1093" t="str">
        <f>'Audit Report'!H1093</f>
        <v/>
      </c>
      <c r="L1093" t="str">
        <f>_xlfn.TEXTJOIN(", ", FALSE, 'Audit Report'!K1093,'Audit Report'!L1093,'Audit Report'!M1093)</f>
        <v xml:space="preserve">, , </v>
      </c>
      <c r="M1093" t="str">
        <f>'Audit Report'!O1093</f>
        <v/>
      </c>
      <c r="R1093" t="str">
        <f>'Audit Report'!F1093</f>
        <v/>
      </c>
      <c r="S1093" t="str">
        <f>'Audit Report'!Q1093</f>
        <v/>
      </c>
    </row>
    <row r="1094" spans="4:19">
      <c r="D1094" t="str">
        <f>'Audit Report'!B1094</f>
        <v>ITD-X1093</v>
      </c>
      <c r="E1094" t="str">
        <f>'Audit Report'!C1094</f>
        <v/>
      </c>
      <c r="I1094" t="str">
        <f>'Audit Report'!D1094</f>
        <v/>
      </c>
      <c r="J1094" t="str">
        <f>'Audit Report'!H1094</f>
        <v/>
      </c>
      <c r="L1094" t="str">
        <f>_xlfn.TEXTJOIN(", ", FALSE, 'Audit Report'!K1094,'Audit Report'!L1094,'Audit Report'!M1094)</f>
        <v xml:space="preserve">, , </v>
      </c>
      <c r="M1094" t="str">
        <f>'Audit Report'!O1094</f>
        <v/>
      </c>
      <c r="R1094" t="str">
        <f>'Audit Report'!F1094</f>
        <v/>
      </c>
      <c r="S1094" t="str">
        <f>'Audit Report'!Q1094</f>
        <v/>
      </c>
    </row>
    <row r="1095" spans="4:19">
      <c r="D1095" t="str">
        <f>'Audit Report'!B1095</f>
        <v>ITD-X1094</v>
      </c>
      <c r="E1095" t="str">
        <f>'Audit Report'!C1095</f>
        <v/>
      </c>
      <c r="I1095" t="str">
        <f>'Audit Report'!D1095</f>
        <v/>
      </c>
      <c r="J1095" t="str">
        <f>'Audit Report'!H1095</f>
        <v/>
      </c>
      <c r="L1095" t="str">
        <f>_xlfn.TEXTJOIN(", ", FALSE, 'Audit Report'!K1095,'Audit Report'!L1095,'Audit Report'!M1095)</f>
        <v xml:space="preserve">, , </v>
      </c>
      <c r="M1095" t="str">
        <f>'Audit Report'!O1095</f>
        <v/>
      </c>
      <c r="R1095" t="str">
        <f>'Audit Report'!F1095</f>
        <v/>
      </c>
      <c r="S1095" t="str">
        <f>'Audit Report'!Q1095</f>
        <v/>
      </c>
    </row>
    <row r="1096" spans="4:19">
      <c r="D1096" t="str">
        <f>'Audit Report'!B1096</f>
        <v>ITD-X1095</v>
      </c>
      <c r="E1096" t="str">
        <f>'Audit Report'!C1096</f>
        <v/>
      </c>
      <c r="I1096" t="str">
        <f>'Audit Report'!D1096</f>
        <v/>
      </c>
      <c r="J1096" t="str">
        <f>'Audit Report'!H1096</f>
        <v/>
      </c>
      <c r="L1096" t="str">
        <f>_xlfn.TEXTJOIN(", ", FALSE, 'Audit Report'!K1096,'Audit Report'!L1096,'Audit Report'!M1096)</f>
        <v xml:space="preserve">, , </v>
      </c>
      <c r="M1096" t="str">
        <f>'Audit Report'!O1096</f>
        <v/>
      </c>
      <c r="R1096" t="str">
        <f>'Audit Report'!F1096</f>
        <v/>
      </c>
      <c r="S1096" t="str">
        <f>'Audit Report'!Q1096</f>
        <v/>
      </c>
    </row>
    <row r="1097" spans="4:19">
      <c r="D1097" t="str">
        <f>'Audit Report'!B1097</f>
        <v>ITD-X1096</v>
      </c>
      <c r="E1097" t="str">
        <f>'Audit Report'!C1097</f>
        <v/>
      </c>
      <c r="I1097" t="str">
        <f>'Audit Report'!D1097</f>
        <v/>
      </c>
      <c r="J1097" t="str">
        <f>'Audit Report'!H1097</f>
        <v/>
      </c>
      <c r="L1097" t="str">
        <f>_xlfn.TEXTJOIN(", ", FALSE, 'Audit Report'!K1097,'Audit Report'!L1097,'Audit Report'!M1097)</f>
        <v xml:space="preserve">, , </v>
      </c>
      <c r="M1097" t="str">
        <f>'Audit Report'!O1097</f>
        <v/>
      </c>
      <c r="R1097" t="str">
        <f>'Audit Report'!F1097</f>
        <v/>
      </c>
      <c r="S1097" t="str">
        <f>'Audit Report'!Q1097</f>
        <v/>
      </c>
    </row>
    <row r="1098" spans="4:19">
      <c r="D1098" t="str">
        <f>'Audit Report'!B1098</f>
        <v>ITD-X1097</v>
      </c>
      <c r="E1098" t="str">
        <f>'Audit Report'!C1098</f>
        <v/>
      </c>
      <c r="I1098" t="str">
        <f>'Audit Report'!D1098</f>
        <v/>
      </c>
      <c r="J1098" t="str">
        <f>'Audit Report'!H1098</f>
        <v/>
      </c>
      <c r="L1098" t="str">
        <f>_xlfn.TEXTJOIN(", ", FALSE, 'Audit Report'!K1098,'Audit Report'!L1098,'Audit Report'!M1098)</f>
        <v xml:space="preserve">, , </v>
      </c>
      <c r="M1098" t="str">
        <f>'Audit Report'!O1098</f>
        <v/>
      </c>
      <c r="R1098" t="str">
        <f>'Audit Report'!F1098</f>
        <v/>
      </c>
      <c r="S1098" t="str">
        <f>'Audit Report'!Q1098</f>
        <v/>
      </c>
    </row>
    <row r="1099" spans="4:19">
      <c r="D1099" t="str">
        <f>'Audit Report'!B1099</f>
        <v>ITD-X1098</v>
      </c>
      <c r="E1099" t="str">
        <f>'Audit Report'!C1099</f>
        <v/>
      </c>
      <c r="I1099" t="str">
        <f>'Audit Report'!D1099</f>
        <v/>
      </c>
      <c r="J1099" t="str">
        <f>'Audit Report'!H1099</f>
        <v/>
      </c>
      <c r="L1099" t="str">
        <f>_xlfn.TEXTJOIN(", ", FALSE, 'Audit Report'!K1099,'Audit Report'!L1099,'Audit Report'!M1099)</f>
        <v xml:space="preserve">, , </v>
      </c>
      <c r="M1099" t="str">
        <f>'Audit Report'!O1099</f>
        <v/>
      </c>
      <c r="R1099" t="str">
        <f>'Audit Report'!F1099</f>
        <v/>
      </c>
      <c r="S1099" t="str">
        <f>'Audit Report'!Q1099</f>
        <v/>
      </c>
    </row>
    <row r="1100" spans="4:19">
      <c r="D1100" t="str">
        <f>'Audit Report'!B1100</f>
        <v>ITD-X1099</v>
      </c>
      <c r="E1100" t="str">
        <f>'Audit Report'!C1100</f>
        <v/>
      </c>
      <c r="I1100" t="str">
        <f>'Audit Report'!D1100</f>
        <v/>
      </c>
      <c r="J1100" t="str">
        <f>'Audit Report'!H1100</f>
        <v/>
      </c>
      <c r="L1100" t="str">
        <f>_xlfn.TEXTJOIN(", ", FALSE, 'Audit Report'!K1100,'Audit Report'!L1100,'Audit Report'!M1100)</f>
        <v xml:space="preserve">, , </v>
      </c>
      <c r="M1100" t="str">
        <f>'Audit Report'!O1100</f>
        <v/>
      </c>
      <c r="R1100" t="str">
        <f>'Audit Report'!F1100</f>
        <v/>
      </c>
      <c r="S1100" t="str">
        <f>'Audit Report'!Q1100</f>
        <v/>
      </c>
    </row>
    <row r="1101" spans="4:19">
      <c r="D1101" t="str">
        <f>'Audit Report'!B1101</f>
        <v>ITD-X1100</v>
      </c>
      <c r="E1101" t="str">
        <f>'Audit Report'!C1101</f>
        <v/>
      </c>
      <c r="I1101" t="str">
        <f>'Audit Report'!D1101</f>
        <v/>
      </c>
      <c r="J1101" t="str">
        <f>'Audit Report'!H1101</f>
        <v/>
      </c>
      <c r="L1101" t="str">
        <f>_xlfn.TEXTJOIN(", ", FALSE, 'Audit Report'!K1101,'Audit Report'!L1101,'Audit Report'!M1101)</f>
        <v xml:space="preserve">, , </v>
      </c>
      <c r="M1101" t="str">
        <f>'Audit Report'!O1101</f>
        <v/>
      </c>
      <c r="R1101" t="str">
        <f>'Audit Report'!F1101</f>
        <v/>
      </c>
      <c r="S1101" t="str">
        <f>'Audit Report'!Q1101</f>
        <v/>
      </c>
    </row>
    <row r="1102" spans="4:19">
      <c r="D1102" t="str">
        <f>'Audit Report'!B1102</f>
        <v>ITD-X1101</v>
      </c>
      <c r="E1102" t="str">
        <f>'Audit Report'!C1102</f>
        <v/>
      </c>
      <c r="I1102" t="str">
        <f>'Audit Report'!D1102</f>
        <v/>
      </c>
      <c r="J1102" t="str">
        <f>'Audit Report'!H1102</f>
        <v/>
      </c>
      <c r="L1102" t="str">
        <f>_xlfn.TEXTJOIN(", ", FALSE, 'Audit Report'!K1102,'Audit Report'!L1102,'Audit Report'!M1102)</f>
        <v xml:space="preserve">, , </v>
      </c>
      <c r="M1102" t="str">
        <f>'Audit Report'!O1102</f>
        <v/>
      </c>
      <c r="R1102" t="str">
        <f>'Audit Report'!F1102</f>
        <v/>
      </c>
      <c r="S1102" t="str">
        <f>'Audit Report'!Q1102</f>
        <v/>
      </c>
    </row>
    <row r="1103" spans="4:19">
      <c r="D1103" t="str">
        <f>'Audit Report'!B1103</f>
        <v>ITD-X1102</v>
      </c>
      <c r="E1103" t="str">
        <f>'Audit Report'!C1103</f>
        <v/>
      </c>
      <c r="I1103" t="str">
        <f>'Audit Report'!D1103</f>
        <v/>
      </c>
      <c r="J1103" t="str">
        <f>'Audit Report'!H1103</f>
        <v/>
      </c>
      <c r="L1103" t="str">
        <f>_xlfn.TEXTJOIN(", ", FALSE, 'Audit Report'!K1103,'Audit Report'!L1103,'Audit Report'!M1103)</f>
        <v xml:space="preserve">, , </v>
      </c>
      <c r="M1103" t="str">
        <f>'Audit Report'!O1103</f>
        <v/>
      </c>
      <c r="R1103" t="str">
        <f>'Audit Report'!F1103</f>
        <v/>
      </c>
      <c r="S1103" t="str">
        <f>'Audit Report'!Q1103</f>
        <v/>
      </c>
    </row>
    <row r="1104" spans="4:19">
      <c r="D1104" t="str">
        <f>'Audit Report'!B1104</f>
        <v>ITD-X1103</v>
      </c>
      <c r="E1104" t="str">
        <f>'Audit Report'!C1104</f>
        <v/>
      </c>
      <c r="I1104" t="str">
        <f>'Audit Report'!D1104</f>
        <v/>
      </c>
      <c r="J1104" t="str">
        <f>'Audit Report'!H1104</f>
        <v/>
      </c>
      <c r="L1104" t="str">
        <f>_xlfn.TEXTJOIN(", ", FALSE, 'Audit Report'!K1104,'Audit Report'!L1104,'Audit Report'!M1104)</f>
        <v xml:space="preserve">, , </v>
      </c>
      <c r="M1104" t="str">
        <f>'Audit Report'!O1104</f>
        <v/>
      </c>
      <c r="R1104" t="str">
        <f>'Audit Report'!F1104</f>
        <v/>
      </c>
      <c r="S1104" t="str">
        <f>'Audit Report'!Q1104</f>
        <v/>
      </c>
    </row>
    <row r="1105" spans="4:19">
      <c r="D1105" t="str">
        <f>'Audit Report'!B1105</f>
        <v>ITD-X1104</v>
      </c>
      <c r="E1105" t="str">
        <f>'Audit Report'!C1105</f>
        <v/>
      </c>
      <c r="I1105" t="str">
        <f>'Audit Report'!D1105</f>
        <v/>
      </c>
      <c r="J1105" t="str">
        <f>'Audit Report'!H1105</f>
        <v/>
      </c>
      <c r="L1105" t="str">
        <f>_xlfn.TEXTJOIN(", ", FALSE, 'Audit Report'!K1105,'Audit Report'!L1105,'Audit Report'!M1105)</f>
        <v xml:space="preserve">, , </v>
      </c>
      <c r="M1105" t="str">
        <f>'Audit Report'!O1105</f>
        <v/>
      </c>
      <c r="R1105" t="str">
        <f>'Audit Report'!F1105</f>
        <v/>
      </c>
      <c r="S1105" t="str">
        <f>'Audit Report'!Q1105</f>
        <v/>
      </c>
    </row>
    <row r="1106" spans="4:19">
      <c r="D1106" t="str">
        <f>'Audit Report'!B1106</f>
        <v>ITD-X1105</v>
      </c>
      <c r="E1106" t="str">
        <f>'Audit Report'!C1106</f>
        <v/>
      </c>
      <c r="I1106" t="str">
        <f>'Audit Report'!D1106</f>
        <v/>
      </c>
      <c r="J1106" t="str">
        <f>'Audit Report'!H1106</f>
        <v/>
      </c>
      <c r="L1106" t="str">
        <f>_xlfn.TEXTJOIN(", ", FALSE, 'Audit Report'!K1106,'Audit Report'!L1106,'Audit Report'!M1106)</f>
        <v xml:space="preserve">, , </v>
      </c>
      <c r="M1106" t="str">
        <f>'Audit Report'!O1106</f>
        <v/>
      </c>
      <c r="R1106" t="str">
        <f>'Audit Report'!F1106</f>
        <v/>
      </c>
      <c r="S1106" t="str">
        <f>'Audit Report'!Q1106</f>
        <v/>
      </c>
    </row>
    <row r="1107" spans="4:19">
      <c r="D1107" t="str">
        <f>'Audit Report'!B1107</f>
        <v>ITD-X1106</v>
      </c>
      <c r="E1107" t="str">
        <f>'Audit Report'!C1107</f>
        <v/>
      </c>
      <c r="I1107" t="str">
        <f>'Audit Report'!D1107</f>
        <v/>
      </c>
      <c r="J1107" t="str">
        <f>'Audit Report'!H1107</f>
        <v/>
      </c>
      <c r="L1107" t="str">
        <f>_xlfn.TEXTJOIN(", ", FALSE, 'Audit Report'!K1107,'Audit Report'!L1107,'Audit Report'!M1107)</f>
        <v xml:space="preserve">, , </v>
      </c>
      <c r="M1107" t="str">
        <f>'Audit Report'!O1107</f>
        <v/>
      </c>
      <c r="R1107" t="str">
        <f>'Audit Report'!F1107</f>
        <v/>
      </c>
      <c r="S1107" t="str">
        <f>'Audit Report'!Q1107</f>
        <v/>
      </c>
    </row>
    <row r="1108" spans="4:19">
      <c r="D1108" t="str">
        <f>'Audit Report'!B1108</f>
        <v>ITD-X1107</v>
      </c>
      <c r="E1108" t="str">
        <f>'Audit Report'!C1108</f>
        <v/>
      </c>
      <c r="I1108" t="str">
        <f>'Audit Report'!D1108</f>
        <v/>
      </c>
      <c r="J1108" t="str">
        <f>'Audit Report'!H1108</f>
        <v/>
      </c>
      <c r="L1108" t="str">
        <f>_xlfn.TEXTJOIN(", ", FALSE, 'Audit Report'!K1108,'Audit Report'!L1108,'Audit Report'!M1108)</f>
        <v xml:space="preserve">, , </v>
      </c>
      <c r="M1108" t="str">
        <f>'Audit Report'!O1108</f>
        <v/>
      </c>
      <c r="R1108" t="str">
        <f>'Audit Report'!F1108</f>
        <v/>
      </c>
      <c r="S1108" t="str">
        <f>'Audit Report'!Q1108</f>
        <v/>
      </c>
    </row>
    <row r="1109" spans="4:19">
      <c r="D1109" t="str">
        <f>'Audit Report'!B1109</f>
        <v>ITD-X1108</v>
      </c>
      <c r="E1109" t="str">
        <f>'Audit Report'!C1109</f>
        <v/>
      </c>
      <c r="I1109" t="str">
        <f>'Audit Report'!D1109</f>
        <v/>
      </c>
      <c r="J1109" t="str">
        <f>'Audit Report'!H1109</f>
        <v/>
      </c>
      <c r="L1109" t="str">
        <f>_xlfn.TEXTJOIN(", ", FALSE, 'Audit Report'!K1109,'Audit Report'!L1109,'Audit Report'!M1109)</f>
        <v xml:space="preserve">, , </v>
      </c>
      <c r="M1109" t="str">
        <f>'Audit Report'!O1109</f>
        <v/>
      </c>
      <c r="R1109" t="str">
        <f>'Audit Report'!F1109</f>
        <v/>
      </c>
      <c r="S1109" t="str">
        <f>'Audit Report'!Q1109</f>
        <v/>
      </c>
    </row>
    <row r="1110" spans="4:19">
      <c r="D1110" t="str">
        <f>'Audit Report'!B1110</f>
        <v>ITD-X1109</v>
      </c>
      <c r="E1110" t="str">
        <f>'Audit Report'!C1110</f>
        <v/>
      </c>
      <c r="I1110" t="str">
        <f>'Audit Report'!D1110</f>
        <v/>
      </c>
      <c r="J1110" t="str">
        <f>'Audit Report'!H1110</f>
        <v/>
      </c>
      <c r="L1110" t="str">
        <f>_xlfn.TEXTJOIN(", ", FALSE, 'Audit Report'!K1110,'Audit Report'!L1110,'Audit Report'!M1110)</f>
        <v xml:space="preserve">, , </v>
      </c>
      <c r="M1110" t="str">
        <f>'Audit Report'!O1110</f>
        <v/>
      </c>
      <c r="R1110" t="str">
        <f>'Audit Report'!F1110</f>
        <v/>
      </c>
      <c r="S1110" t="str">
        <f>'Audit Report'!Q1110</f>
        <v/>
      </c>
    </row>
    <row r="1111" spans="4:19">
      <c r="D1111" t="str">
        <f>'Audit Report'!B1111</f>
        <v>ITD-X1110</v>
      </c>
      <c r="E1111" t="str">
        <f>'Audit Report'!C1111</f>
        <v/>
      </c>
      <c r="I1111" t="str">
        <f>'Audit Report'!D1111</f>
        <v/>
      </c>
      <c r="J1111" t="str">
        <f>'Audit Report'!H1111</f>
        <v/>
      </c>
      <c r="L1111" t="str">
        <f>_xlfn.TEXTJOIN(", ", FALSE, 'Audit Report'!K1111,'Audit Report'!L1111,'Audit Report'!M1111)</f>
        <v xml:space="preserve">, , </v>
      </c>
      <c r="M1111" t="str">
        <f>'Audit Report'!O1111</f>
        <v/>
      </c>
      <c r="R1111" t="str">
        <f>'Audit Report'!F1111</f>
        <v/>
      </c>
      <c r="S1111" t="str">
        <f>'Audit Report'!Q1111</f>
        <v/>
      </c>
    </row>
    <row r="1112" spans="4:19">
      <c r="D1112" t="str">
        <f>'Audit Report'!B1112</f>
        <v>ITD-X1111</v>
      </c>
      <c r="E1112" t="str">
        <f>'Audit Report'!C1112</f>
        <v/>
      </c>
      <c r="I1112" t="str">
        <f>'Audit Report'!D1112</f>
        <v/>
      </c>
      <c r="J1112" t="str">
        <f>'Audit Report'!H1112</f>
        <v/>
      </c>
      <c r="L1112" t="str">
        <f>_xlfn.TEXTJOIN(", ", FALSE, 'Audit Report'!K1112,'Audit Report'!L1112,'Audit Report'!M1112)</f>
        <v xml:space="preserve">, , </v>
      </c>
      <c r="M1112" t="str">
        <f>'Audit Report'!O1112</f>
        <v/>
      </c>
      <c r="R1112" t="str">
        <f>'Audit Report'!F1112</f>
        <v/>
      </c>
      <c r="S1112" t="str">
        <f>'Audit Report'!Q1112</f>
        <v/>
      </c>
    </row>
    <row r="1113" spans="4:19">
      <c r="D1113" t="str">
        <f>'Audit Report'!B1113</f>
        <v>ITD-X1112</v>
      </c>
      <c r="E1113" t="str">
        <f>'Audit Report'!C1113</f>
        <v/>
      </c>
      <c r="I1113" t="str">
        <f>'Audit Report'!D1113</f>
        <v/>
      </c>
      <c r="J1113" t="str">
        <f>'Audit Report'!H1113</f>
        <v/>
      </c>
      <c r="L1113" t="str">
        <f>_xlfn.TEXTJOIN(", ", FALSE, 'Audit Report'!K1113,'Audit Report'!L1113,'Audit Report'!M1113)</f>
        <v xml:space="preserve">, , </v>
      </c>
      <c r="M1113" t="str">
        <f>'Audit Report'!O1113</f>
        <v/>
      </c>
      <c r="R1113" t="str">
        <f>'Audit Report'!F1113</f>
        <v/>
      </c>
      <c r="S1113" t="str">
        <f>'Audit Report'!Q1113</f>
        <v/>
      </c>
    </row>
    <row r="1114" spans="4:19">
      <c r="D1114" t="str">
        <f>'Audit Report'!B1114</f>
        <v>ITD-X1113</v>
      </c>
      <c r="E1114" t="str">
        <f>'Audit Report'!C1114</f>
        <v/>
      </c>
      <c r="I1114" t="str">
        <f>'Audit Report'!D1114</f>
        <v/>
      </c>
      <c r="J1114" t="str">
        <f>'Audit Report'!H1114</f>
        <v/>
      </c>
      <c r="L1114" t="str">
        <f>_xlfn.TEXTJOIN(", ", FALSE, 'Audit Report'!K1114,'Audit Report'!L1114,'Audit Report'!M1114)</f>
        <v xml:space="preserve">, , </v>
      </c>
      <c r="M1114" t="str">
        <f>'Audit Report'!O1114</f>
        <v/>
      </c>
      <c r="R1114" t="str">
        <f>'Audit Report'!F1114</f>
        <v/>
      </c>
      <c r="S1114" t="str">
        <f>'Audit Report'!Q1114</f>
        <v/>
      </c>
    </row>
    <row r="1115" spans="4:19">
      <c r="D1115" t="str">
        <f>'Audit Report'!B1115</f>
        <v>ITD-X1114</v>
      </c>
      <c r="E1115" t="str">
        <f>'Audit Report'!C1115</f>
        <v/>
      </c>
      <c r="I1115" t="str">
        <f>'Audit Report'!D1115</f>
        <v/>
      </c>
      <c r="J1115" t="str">
        <f>'Audit Report'!H1115</f>
        <v/>
      </c>
      <c r="L1115" t="str">
        <f>_xlfn.TEXTJOIN(", ", FALSE, 'Audit Report'!K1115,'Audit Report'!L1115,'Audit Report'!M1115)</f>
        <v xml:space="preserve">, , </v>
      </c>
      <c r="M1115" t="str">
        <f>'Audit Report'!O1115</f>
        <v/>
      </c>
      <c r="R1115" t="str">
        <f>'Audit Report'!F1115</f>
        <v/>
      </c>
      <c r="S1115" t="str">
        <f>'Audit Report'!Q1115</f>
        <v/>
      </c>
    </row>
    <row r="1116" spans="4:19">
      <c r="D1116" t="str">
        <f>'Audit Report'!B1116</f>
        <v>ITD-X1115</v>
      </c>
      <c r="E1116" t="str">
        <f>'Audit Report'!C1116</f>
        <v/>
      </c>
      <c r="I1116" t="str">
        <f>'Audit Report'!D1116</f>
        <v/>
      </c>
      <c r="J1116" t="str">
        <f>'Audit Report'!H1116</f>
        <v/>
      </c>
      <c r="L1116" t="str">
        <f>_xlfn.TEXTJOIN(", ", FALSE, 'Audit Report'!K1116,'Audit Report'!L1116,'Audit Report'!M1116)</f>
        <v xml:space="preserve">, , </v>
      </c>
      <c r="M1116" t="str">
        <f>'Audit Report'!O1116</f>
        <v/>
      </c>
      <c r="R1116" t="str">
        <f>'Audit Report'!F1116</f>
        <v/>
      </c>
      <c r="S1116" t="str">
        <f>'Audit Report'!Q1116</f>
        <v/>
      </c>
    </row>
    <row r="1117" spans="4:19">
      <c r="D1117" t="str">
        <f>'Audit Report'!B1117</f>
        <v>ITD-X1116</v>
      </c>
      <c r="E1117" t="str">
        <f>'Audit Report'!C1117</f>
        <v/>
      </c>
      <c r="I1117" t="str">
        <f>'Audit Report'!D1117</f>
        <v/>
      </c>
      <c r="J1117" t="str">
        <f>'Audit Report'!H1117</f>
        <v/>
      </c>
      <c r="L1117" t="str">
        <f>_xlfn.TEXTJOIN(", ", FALSE, 'Audit Report'!K1117,'Audit Report'!L1117,'Audit Report'!M1117)</f>
        <v xml:space="preserve">, , </v>
      </c>
      <c r="M1117" t="str">
        <f>'Audit Report'!O1117</f>
        <v/>
      </c>
      <c r="R1117" t="str">
        <f>'Audit Report'!F1117</f>
        <v/>
      </c>
      <c r="S1117" t="str">
        <f>'Audit Report'!Q1117</f>
        <v/>
      </c>
    </row>
    <row r="1118" spans="4:19">
      <c r="D1118" t="str">
        <f>'Audit Report'!B1118</f>
        <v>ITD-X1117</v>
      </c>
      <c r="E1118" t="str">
        <f>'Audit Report'!C1118</f>
        <v/>
      </c>
      <c r="I1118" t="str">
        <f>'Audit Report'!D1118</f>
        <v/>
      </c>
      <c r="J1118" t="str">
        <f>'Audit Report'!H1118</f>
        <v/>
      </c>
      <c r="L1118" t="str">
        <f>_xlfn.TEXTJOIN(", ", FALSE, 'Audit Report'!K1118,'Audit Report'!L1118,'Audit Report'!M1118)</f>
        <v xml:space="preserve">, , </v>
      </c>
      <c r="M1118" t="str">
        <f>'Audit Report'!O1118</f>
        <v/>
      </c>
      <c r="R1118" t="str">
        <f>'Audit Report'!F1118</f>
        <v/>
      </c>
      <c r="S1118" t="str">
        <f>'Audit Report'!Q1118</f>
        <v/>
      </c>
    </row>
    <row r="1119" spans="4:19">
      <c r="D1119" t="str">
        <f>'Audit Report'!B1119</f>
        <v>ITD-X1118</v>
      </c>
      <c r="E1119" t="str">
        <f>'Audit Report'!C1119</f>
        <v/>
      </c>
      <c r="I1119" t="str">
        <f>'Audit Report'!D1119</f>
        <v/>
      </c>
      <c r="J1119" t="str">
        <f>'Audit Report'!H1119</f>
        <v/>
      </c>
      <c r="L1119" t="str">
        <f>_xlfn.TEXTJOIN(", ", FALSE, 'Audit Report'!K1119,'Audit Report'!L1119,'Audit Report'!M1119)</f>
        <v xml:space="preserve">, , </v>
      </c>
      <c r="M1119" t="str">
        <f>'Audit Report'!O1119</f>
        <v/>
      </c>
      <c r="R1119" t="str">
        <f>'Audit Report'!F1119</f>
        <v/>
      </c>
      <c r="S1119" t="str">
        <f>'Audit Report'!Q1119</f>
        <v/>
      </c>
    </row>
    <row r="1120" spans="4:19">
      <c r="D1120" t="str">
        <f>'Audit Report'!B1120</f>
        <v>ITD-X1119</v>
      </c>
      <c r="E1120" t="str">
        <f>'Audit Report'!C1120</f>
        <v/>
      </c>
      <c r="I1120" t="str">
        <f>'Audit Report'!D1120</f>
        <v/>
      </c>
      <c r="J1120" t="str">
        <f>'Audit Report'!H1120</f>
        <v/>
      </c>
      <c r="L1120" t="str">
        <f>_xlfn.TEXTJOIN(", ", FALSE, 'Audit Report'!K1120,'Audit Report'!L1120,'Audit Report'!M1120)</f>
        <v xml:space="preserve">, , </v>
      </c>
      <c r="M1120" t="str">
        <f>'Audit Report'!O1120</f>
        <v/>
      </c>
      <c r="R1120" t="str">
        <f>'Audit Report'!F1120</f>
        <v/>
      </c>
      <c r="S1120" t="str">
        <f>'Audit Report'!Q1120</f>
        <v/>
      </c>
    </row>
    <row r="1121" spans="4:19">
      <c r="D1121" t="str">
        <f>'Audit Report'!B1121</f>
        <v>ITD-X1120</v>
      </c>
      <c r="E1121" t="str">
        <f>'Audit Report'!C1121</f>
        <v/>
      </c>
      <c r="I1121" t="str">
        <f>'Audit Report'!D1121</f>
        <v/>
      </c>
      <c r="J1121" t="str">
        <f>'Audit Report'!H1121</f>
        <v/>
      </c>
      <c r="L1121" t="str">
        <f>_xlfn.TEXTJOIN(", ", FALSE, 'Audit Report'!K1121,'Audit Report'!L1121,'Audit Report'!M1121)</f>
        <v xml:space="preserve">, , </v>
      </c>
      <c r="M1121" t="str">
        <f>'Audit Report'!O1121</f>
        <v/>
      </c>
      <c r="R1121" t="str">
        <f>'Audit Report'!F1121</f>
        <v/>
      </c>
      <c r="S1121" t="str">
        <f>'Audit Report'!Q1121</f>
        <v/>
      </c>
    </row>
    <row r="1122" spans="4:19">
      <c r="D1122" t="str">
        <f>'Audit Report'!B1122</f>
        <v>ITD-X1121</v>
      </c>
      <c r="E1122" t="str">
        <f>'Audit Report'!C1122</f>
        <v/>
      </c>
      <c r="I1122" t="str">
        <f>'Audit Report'!D1122</f>
        <v/>
      </c>
      <c r="J1122" t="str">
        <f>'Audit Report'!H1122</f>
        <v/>
      </c>
      <c r="L1122" t="str">
        <f>_xlfn.TEXTJOIN(", ", FALSE, 'Audit Report'!K1122,'Audit Report'!L1122,'Audit Report'!M1122)</f>
        <v xml:space="preserve">, , </v>
      </c>
      <c r="M1122" t="str">
        <f>'Audit Report'!O1122</f>
        <v/>
      </c>
      <c r="R1122" t="str">
        <f>'Audit Report'!F1122</f>
        <v/>
      </c>
      <c r="S1122" t="str">
        <f>'Audit Report'!Q1122</f>
        <v/>
      </c>
    </row>
    <row r="1123" spans="4:19">
      <c r="D1123" t="str">
        <f>'Audit Report'!B1123</f>
        <v>ITD-X1122</v>
      </c>
      <c r="E1123" t="str">
        <f>'Audit Report'!C1123</f>
        <v/>
      </c>
      <c r="I1123" t="str">
        <f>'Audit Report'!D1123</f>
        <v/>
      </c>
      <c r="J1123" t="str">
        <f>'Audit Report'!H1123</f>
        <v/>
      </c>
      <c r="L1123" t="str">
        <f>_xlfn.TEXTJOIN(", ", FALSE, 'Audit Report'!K1123,'Audit Report'!L1123,'Audit Report'!M1123)</f>
        <v xml:space="preserve">, , </v>
      </c>
      <c r="M1123" t="str">
        <f>'Audit Report'!O1123</f>
        <v/>
      </c>
      <c r="R1123" t="str">
        <f>'Audit Report'!F1123</f>
        <v/>
      </c>
      <c r="S1123" t="str">
        <f>'Audit Report'!Q1123</f>
        <v/>
      </c>
    </row>
    <row r="1124" spans="4:19">
      <c r="D1124" t="str">
        <f>'Audit Report'!B1124</f>
        <v>ITD-X1123</v>
      </c>
      <c r="E1124" t="str">
        <f>'Audit Report'!C1124</f>
        <v/>
      </c>
      <c r="I1124" t="str">
        <f>'Audit Report'!D1124</f>
        <v/>
      </c>
      <c r="J1124" t="str">
        <f>'Audit Report'!H1124</f>
        <v/>
      </c>
      <c r="L1124" t="str">
        <f>_xlfn.TEXTJOIN(", ", FALSE, 'Audit Report'!K1124,'Audit Report'!L1124,'Audit Report'!M1124)</f>
        <v xml:space="preserve">, , </v>
      </c>
      <c r="M1124" t="str">
        <f>'Audit Report'!O1124</f>
        <v/>
      </c>
      <c r="R1124" t="str">
        <f>'Audit Report'!F1124</f>
        <v/>
      </c>
      <c r="S1124" t="str">
        <f>'Audit Report'!Q1124</f>
        <v/>
      </c>
    </row>
    <row r="1125" spans="4:19">
      <c r="D1125" t="str">
        <f>'Audit Report'!B1125</f>
        <v>ITD-X1124</v>
      </c>
      <c r="E1125" t="str">
        <f>'Audit Report'!C1125</f>
        <v/>
      </c>
      <c r="I1125" t="str">
        <f>'Audit Report'!D1125</f>
        <v/>
      </c>
      <c r="J1125" t="str">
        <f>'Audit Report'!H1125</f>
        <v/>
      </c>
      <c r="L1125" t="str">
        <f>_xlfn.TEXTJOIN(", ", FALSE, 'Audit Report'!K1125,'Audit Report'!L1125,'Audit Report'!M1125)</f>
        <v xml:space="preserve">, , </v>
      </c>
      <c r="M1125" t="str">
        <f>'Audit Report'!O1125</f>
        <v/>
      </c>
      <c r="R1125" t="str">
        <f>'Audit Report'!F1125</f>
        <v/>
      </c>
      <c r="S1125" t="str">
        <f>'Audit Report'!Q1125</f>
        <v/>
      </c>
    </row>
    <row r="1126" spans="4:19">
      <c r="D1126" t="str">
        <f>'Audit Report'!B1126</f>
        <v>ITD-X1125</v>
      </c>
      <c r="E1126" t="str">
        <f>'Audit Report'!C1126</f>
        <v/>
      </c>
      <c r="I1126" t="str">
        <f>'Audit Report'!D1126</f>
        <v/>
      </c>
      <c r="J1126" t="str">
        <f>'Audit Report'!H1126</f>
        <v/>
      </c>
      <c r="L1126" t="str">
        <f>_xlfn.TEXTJOIN(", ", FALSE, 'Audit Report'!K1126,'Audit Report'!L1126,'Audit Report'!M1126)</f>
        <v xml:space="preserve">, , </v>
      </c>
      <c r="M1126" t="str">
        <f>'Audit Report'!O1126</f>
        <v/>
      </c>
      <c r="R1126" t="str">
        <f>'Audit Report'!F1126</f>
        <v/>
      </c>
      <c r="S1126" t="str">
        <f>'Audit Report'!Q1126</f>
        <v/>
      </c>
    </row>
    <row r="1127" spans="4:19">
      <c r="D1127" t="str">
        <f>'Audit Report'!B1127</f>
        <v>ITD-X1126</v>
      </c>
      <c r="E1127" t="str">
        <f>'Audit Report'!C1127</f>
        <v/>
      </c>
      <c r="I1127" t="str">
        <f>'Audit Report'!D1127</f>
        <v/>
      </c>
      <c r="J1127" t="str">
        <f>'Audit Report'!H1127</f>
        <v/>
      </c>
      <c r="L1127" t="str">
        <f>_xlfn.TEXTJOIN(", ", FALSE, 'Audit Report'!K1127,'Audit Report'!L1127,'Audit Report'!M1127)</f>
        <v xml:space="preserve">, , </v>
      </c>
      <c r="M1127" t="str">
        <f>'Audit Report'!O1127</f>
        <v/>
      </c>
      <c r="R1127" t="str">
        <f>'Audit Report'!F1127</f>
        <v/>
      </c>
      <c r="S1127" t="str">
        <f>'Audit Report'!Q1127</f>
        <v/>
      </c>
    </row>
    <row r="1128" spans="4:19">
      <c r="D1128" t="str">
        <f>'Audit Report'!B1128</f>
        <v>ITD-X1127</v>
      </c>
      <c r="E1128" t="str">
        <f>'Audit Report'!C1128</f>
        <v/>
      </c>
      <c r="I1128" t="str">
        <f>'Audit Report'!D1128</f>
        <v/>
      </c>
      <c r="J1128" t="str">
        <f>'Audit Report'!H1128</f>
        <v/>
      </c>
      <c r="L1128" t="str">
        <f>_xlfn.TEXTJOIN(", ", FALSE, 'Audit Report'!K1128,'Audit Report'!L1128,'Audit Report'!M1128)</f>
        <v xml:space="preserve">, , </v>
      </c>
      <c r="M1128" t="str">
        <f>'Audit Report'!O1128</f>
        <v/>
      </c>
      <c r="R1128" t="str">
        <f>'Audit Report'!F1128</f>
        <v/>
      </c>
      <c r="S1128" t="str">
        <f>'Audit Report'!Q1128</f>
        <v/>
      </c>
    </row>
    <row r="1129" spans="4:19">
      <c r="D1129" t="str">
        <f>'Audit Report'!B1129</f>
        <v>ITD-X1128</v>
      </c>
      <c r="E1129" t="str">
        <f>'Audit Report'!C1129</f>
        <v/>
      </c>
      <c r="I1129" t="str">
        <f>'Audit Report'!D1129</f>
        <v/>
      </c>
      <c r="J1129" t="str">
        <f>'Audit Report'!H1129</f>
        <v/>
      </c>
      <c r="L1129" t="str">
        <f>_xlfn.TEXTJOIN(", ", FALSE, 'Audit Report'!K1129,'Audit Report'!L1129,'Audit Report'!M1129)</f>
        <v xml:space="preserve">, , </v>
      </c>
      <c r="M1129" t="str">
        <f>'Audit Report'!O1129</f>
        <v/>
      </c>
      <c r="R1129" t="str">
        <f>'Audit Report'!F1129</f>
        <v/>
      </c>
      <c r="S1129" t="str">
        <f>'Audit Report'!Q1129</f>
        <v/>
      </c>
    </row>
    <row r="1130" spans="4:19">
      <c r="D1130" t="str">
        <f>'Audit Report'!B1130</f>
        <v>ITD-X1129</v>
      </c>
      <c r="E1130" t="str">
        <f>'Audit Report'!C1130</f>
        <v/>
      </c>
      <c r="I1130" t="str">
        <f>'Audit Report'!D1130</f>
        <v/>
      </c>
      <c r="J1130" t="str">
        <f>'Audit Report'!H1130</f>
        <v/>
      </c>
      <c r="L1130" t="str">
        <f>_xlfn.TEXTJOIN(", ", FALSE, 'Audit Report'!K1130,'Audit Report'!L1130,'Audit Report'!M1130)</f>
        <v xml:space="preserve">, , </v>
      </c>
      <c r="M1130" t="str">
        <f>'Audit Report'!O1130</f>
        <v/>
      </c>
      <c r="R1130" t="str">
        <f>'Audit Report'!F1130</f>
        <v/>
      </c>
      <c r="S1130" t="str">
        <f>'Audit Report'!Q1130</f>
        <v/>
      </c>
    </row>
    <row r="1131" spans="4:19">
      <c r="D1131" t="str">
        <f>'Audit Report'!B1131</f>
        <v>ITD-X1130</v>
      </c>
      <c r="E1131" t="str">
        <f>'Audit Report'!C1131</f>
        <v/>
      </c>
      <c r="I1131" t="str">
        <f>'Audit Report'!D1131</f>
        <v/>
      </c>
      <c r="J1131" t="str">
        <f>'Audit Report'!H1131</f>
        <v/>
      </c>
      <c r="L1131" t="str">
        <f>_xlfn.TEXTJOIN(", ", FALSE, 'Audit Report'!K1131,'Audit Report'!L1131,'Audit Report'!M1131)</f>
        <v xml:space="preserve">, , </v>
      </c>
      <c r="M1131" t="str">
        <f>'Audit Report'!O1131</f>
        <v/>
      </c>
      <c r="R1131" t="str">
        <f>'Audit Report'!F1131</f>
        <v/>
      </c>
      <c r="S1131" t="str">
        <f>'Audit Report'!Q1131</f>
        <v/>
      </c>
    </row>
    <row r="1132" spans="4:19">
      <c r="D1132" t="str">
        <f>'Audit Report'!B1132</f>
        <v>ITD-X1131</v>
      </c>
      <c r="E1132" t="str">
        <f>'Audit Report'!C1132</f>
        <v/>
      </c>
      <c r="I1132" t="str">
        <f>'Audit Report'!D1132</f>
        <v/>
      </c>
      <c r="J1132" t="str">
        <f>'Audit Report'!H1132</f>
        <v/>
      </c>
      <c r="L1132" t="str">
        <f>_xlfn.TEXTJOIN(", ", FALSE, 'Audit Report'!K1132,'Audit Report'!L1132,'Audit Report'!M1132)</f>
        <v xml:space="preserve">, , </v>
      </c>
      <c r="M1132" t="str">
        <f>'Audit Report'!O1132</f>
        <v/>
      </c>
      <c r="R1132" t="str">
        <f>'Audit Report'!F1132</f>
        <v/>
      </c>
      <c r="S1132" t="str">
        <f>'Audit Report'!Q1132</f>
        <v/>
      </c>
    </row>
    <row r="1133" spans="4:19">
      <c r="D1133" t="str">
        <f>'Audit Report'!B1133</f>
        <v>ITD-X1132</v>
      </c>
      <c r="E1133" t="str">
        <f>'Audit Report'!C1133</f>
        <v/>
      </c>
      <c r="I1133" t="str">
        <f>'Audit Report'!D1133</f>
        <v/>
      </c>
      <c r="J1133" t="str">
        <f>'Audit Report'!H1133</f>
        <v/>
      </c>
      <c r="L1133" t="str">
        <f>_xlfn.TEXTJOIN(", ", FALSE, 'Audit Report'!K1133,'Audit Report'!L1133,'Audit Report'!M1133)</f>
        <v xml:space="preserve">, , </v>
      </c>
      <c r="M1133" t="str">
        <f>'Audit Report'!O1133</f>
        <v/>
      </c>
      <c r="R1133" t="str">
        <f>'Audit Report'!F1133</f>
        <v/>
      </c>
      <c r="S1133" t="str">
        <f>'Audit Report'!Q1133</f>
        <v/>
      </c>
    </row>
    <row r="1134" spans="4:19">
      <c r="D1134" t="str">
        <f>'Audit Report'!B1134</f>
        <v>ITD-X1133</v>
      </c>
      <c r="E1134" t="str">
        <f>'Audit Report'!C1134</f>
        <v/>
      </c>
      <c r="I1134" t="str">
        <f>'Audit Report'!D1134</f>
        <v/>
      </c>
      <c r="J1134" t="str">
        <f>'Audit Report'!H1134</f>
        <v/>
      </c>
      <c r="L1134" t="str">
        <f>_xlfn.TEXTJOIN(", ", FALSE, 'Audit Report'!K1134,'Audit Report'!L1134,'Audit Report'!M1134)</f>
        <v xml:space="preserve">, , </v>
      </c>
      <c r="M1134" t="str">
        <f>'Audit Report'!O1134</f>
        <v/>
      </c>
      <c r="R1134" t="str">
        <f>'Audit Report'!F1134</f>
        <v/>
      </c>
      <c r="S1134" t="str">
        <f>'Audit Report'!Q1134</f>
        <v/>
      </c>
    </row>
    <row r="1135" spans="4:19">
      <c r="D1135" t="str">
        <f>'Audit Report'!B1135</f>
        <v>ITD-X1134</v>
      </c>
      <c r="E1135" t="str">
        <f>'Audit Report'!C1135</f>
        <v/>
      </c>
      <c r="I1135" t="str">
        <f>'Audit Report'!D1135</f>
        <v/>
      </c>
      <c r="J1135" t="str">
        <f>'Audit Report'!H1135</f>
        <v/>
      </c>
      <c r="L1135" t="str">
        <f>_xlfn.TEXTJOIN(", ", FALSE, 'Audit Report'!K1135,'Audit Report'!L1135,'Audit Report'!M1135)</f>
        <v xml:space="preserve">, , </v>
      </c>
      <c r="M1135" t="str">
        <f>'Audit Report'!O1135</f>
        <v/>
      </c>
      <c r="R1135" t="str">
        <f>'Audit Report'!F1135</f>
        <v/>
      </c>
      <c r="S1135" t="str">
        <f>'Audit Report'!Q1135</f>
        <v/>
      </c>
    </row>
    <row r="1136" spans="4:19">
      <c r="D1136" t="str">
        <f>'Audit Report'!B1136</f>
        <v>ITD-X1135</v>
      </c>
      <c r="E1136" t="str">
        <f>'Audit Report'!C1136</f>
        <v/>
      </c>
      <c r="I1136" t="str">
        <f>'Audit Report'!D1136</f>
        <v/>
      </c>
      <c r="J1136" t="str">
        <f>'Audit Report'!H1136</f>
        <v/>
      </c>
      <c r="L1136" t="str">
        <f>_xlfn.TEXTJOIN(", ", FALSE, 'Audit Report'!K1136,'Audit Report'!L1136,'Audit Report'!M1136)</f>
        <v xml:space="preserve">, , </v>
      </c>
      <c r="M1136" t="str">
        <f>'Audit Report'!O1136</f>
        <v/>
      </c>
      <c r="R1136" t="str">
        <f>'Audit Report'!F1136</f>
        <v/>
      </c>
      <c r="S1136" t="str">
        <f>'Audit Report'!Q1136</f>
        <v/>
      </c>
    </row>
    <row r="1137" spans="4:19">
      <c r="D1137" t="str">
        <f>'Audit Report'!B1137</f>
        <v>ITD-X1136</v>
      </c>
      <c r="E1137" t="str">
        <f>'Audit Report'!C1137</f>
        <v/>
      </c>
      <c r="I1137" t="str">
        <f>'Audit Report'!D1137</f>
        <v/>
      </c>
      <c r="J1137" t="str">
        <f>'Audit Report'!H1137</f>
        <v/>
      </c>
      <c r="L1137" t="str">
        <f>_xlfn.TEXTJOIN(", ", FALSE, 'Audit Report'!K1137,'Audit Report'!L1137,'Audit Report'!M1137)</f>
        <v xml:space="preserve">, , </v>
      </c>
      <c r="M1137" t="str">
        <f>'Audit Report'!O1137</f>
        <v/>
      </c>
      <c r="R1137" t="str">
        <f>'Audit Report'!F1137</f>
        <v/>
      </c>
      <c r="S1137" t="str">
        <f>'Audit Report'!Q1137</f>
        <v/>
      </c>
    </row>
    <row r="1138" spans="4:19">
      <c r="D1138" t="str">
        <f>'Audit Report'!B1138</f>
        <v>ITD-X1137</v>
      </c>
      <c r="E1138" t="str">
        <f>'Audit Report'!C1138</f>
        <v/>
      </c>
      <c r="I1138" t="str">
        <f>'Audit Report'!D1138</f>
        <v/>
      </c>
      <c r="J1138" t="str">
        <f>'Audit Report'!H1138</f>
        <v/>
      </c>
      <c r="L1138" t="str">
        <f>_xlfn.TEXTJOIN(", ", FALSE, 'Audit Report'!K1138,'Audit Report'!L1138,'Audit Report'!M1138)</f>
        <v xml:space="preserve">, , </v>
      </c>
      <c r="M1138" t="str">
        <f>'Audit Report'!O1138</f>
        <v/>
      </c>
      <c r="R1138" t="str">
        <f>'Audit Report'!F1138</f>
        <v/>
      </c>
      <c r="S1138" t="str">
        <f>'Audit Report'!Q1138</f>
        <v/>
      </c>
    </row>
    <row r="1139" spans="4:19">
      <c r="D1139" t="str">
        <f>'Audit Report'!B1139</f>
        <v>ITD-X1138</v>
      </c>
      <c r="E1139" t="str">
        <f>'Audit Report'!C1139</f>
        <v/>
      </c>
      <c r="I1139" t="str">
        <f>'Audit Report'!D1139</f>
        <v/>
      </c>
      <c r="J1139" t="str">
        <f>'Audit Report'!H1139</f>
        <v/>
      </c>
      <c r="L1139" t="str">
        <f>_xlfn.TEXTJOIN(", ", FALSE, 'Audit Report'!K1139,'Audit Report'!L1139,'Audit Report'!M1139)</f>
        <v xml:space="preserve">, , </v>
      </c>
      <c r="M1139" t="str">
        <f>'Audit Report'!O1139</f>
        <v/>
      </c>
      <c r="R1139" t="str">
        <f>'Audit Report'!F1139</f>
        <v/>
      </c>
      <c r="S1139" t="str">
        <f>'Audit Report'!Q1139</f>
        <v/>
      </c>
    </row>
    <row r="1140" spans="4:19">
      <c r="D1140" t="str">
        <f>'Audit Report'!B1140</f>
        <v>ITD-X1139</v>
      </c>
      <c r="E1140" t="str">
        <f>'Audit Report'!C1140</f>
        <v/>
      </c>
      <c r="I1140" t="str">
        <f>'Audit Report'!D1140</f>
        <v/>
      </c>
      <c r="J1140" t="str">
        <f>'Audit Report'!H1140</f>
        <v/>
      </c>
      <c r="L1140" t="str">
        <f>_xlfn.TEXTJOIN(", ", FALSE, 'Audit Report'!K1140,'Audit Report'!L1140,'Audit Report'!M1140)</f>
        <v xml:space="preserve">, , </v>
      </c>
      <c r="M1140" t="str">
        <f>'Audit Report'!O1140</f>
        <v/>
      </c>
      <c r="R1140" t="str">
        <f>'Audit Report'!F1140</f>
        <v/>
      </c>
      <c r="S1140" t="str">
        <f>'Audit Report'!Q1140</f>
        <v/>
      </c>
    </row>
    <row r="1141" spans="4:19">
      <c r="D1141" t="str">
        <f>'Audit Report'!B1141</f>
        <v>ITD-X1140</v>
      </c>
      <c r="E1141" t="str">
        <f>'Audit Report'!C1141</f>
        <v/>
      </c>
      <c r="I1141" t="str">
        <f>'Audit Report'!D1141</f>
        <v/>
      </c>
      <c r="J1141" t="str">
        <f>'Audit Report'!H1141</f>
        <v/>
      </c>
      <c r="L1141" t="str">
        <f>_xlfn.TEXTJOIN(", ", FALSE, 'Audit Report'!K1141,'Audit Report'!L1141,'Audit Report'!M1141)</f>
        <v xml:space="preserve">, , </v>
      </c>
      <c r="M1141" t="str">
        <f>'Audit Report'!O1141</f>
        <v/>
      </c>
      <c r="R1141" t="str">
        <f>'Audit Report'!F1141</f>
        <v/>
      </c>
      <c r="S1141" t="str">
        <f>'Audit Report'!Q1141</f>
        <v/>
      </c>
    </row>
    <row r="1142" spans="4:19">
      <c r="D1142" t="str">
        <f>'Audit Report'!B1142</f>
        <v>ITD-X1141</v>
      </c>
      <c r="E1142" t="str">
        <f>'Audit Report'!C1142</f>
        <v/>
      </c>
      <c r="I1142" t="str">
        <f>'Audit Report'!D1142</f>
        <v/>
      </c>
      <c r="J1142" t="str">
        <f>'Audit Report'!H1142</f>
        <v/>
      </c>
      <c r="L1142" t="str">
        <f>_xlfn.TEXTJOIN(", ", FALSE, 'Audit Report'!K1142,'Audit Report'!L1142,'Audit Report'!M1142)</f>
        <v xml:space="preserve">, , </v>
      </c>
      <c r="M1142" t="str">
        <f>'Audit Report'!O1142</f>
        <v/>
      </c>
      <c r="R1142" t="str">
        <f>'Audit Report'!F1142</f>
        <v/>
      </c>
      <c r="S1142" t="str">
        <f>'Audit Report'!Q1142</f>
        <v/>
      </c>
    </row>
    <row r="1143" spans="4:19">
      <c r="D1143" t="str">
        <f>'Audit Report'!B1143</f>
        <v>ITD-X1142</v>
      </c>
      <c r="E1143" t="str">
        <f>'Audit Report'!C1143</f>
        <v/>
      </c>
      <c r="I1143" t="str">
        <f>'Audit Report'!D1143</f>
        <v/>
      </c>
      <c r="J1143" t="str">
        <f>'Audit Report'!H1143</f>
        <v/>
      </c>
      <c r="L1143" t="str">
        <f>_xlfn.TEXTJOIN(", ", FALSE, 'Audit Report'!K1143,'Audit Report'!L1143,'Audit Report'!M1143)</f>
        <v xml:space="preserve">, , </v>
      </c>
      <c r="M1143" t="str">
        <f>'Audit Report'!O1143</f>
        <v/>
      </c>
      <c r="R1143" t="str">
        <f>'Audit Report'!F1143</f>
        <v/>
      </c>
      <c r="S1143" t="str">
        <f>'Audit Report'!Q1143</f>
        <v/>
      </c>
    </row>
    <row r="1144" spans="4:19">
      <c r="D1144" t="str">
        <f>'Audit Report'!B1144</f>
        <v>ITD-X1143</v>
      </c>
      <c r="E1144" t="str">
        <f>'Audit Report'!C1144</f>
        <v/>
      </c>
      <c r="I1144" t="str">
        <f>'Audit Report'!D1144</f>
        <v/>
      </c>
      <c r="J1144" t="str">
        <f>'Audit Report'!H1144</f>
        <v/>
      </c>
      <c r="L1144" t="str">
        <f>_xlfn.TEXTJOIN(", ", FALSE, 'Audit Report'!K1144,'Audit Report'!L1144,'Audit Report'!M1144)</f>
        <v xml:space="preserve">, , </v>
      </c>
      <c r="M1144" t="str">
        <f>'Audit Report'!O1144</f>
        <v/>
      </c>
      <c r="R1144" t="str">
        <f>'Audit Report'!F1144</f>
        <v/>
      </c>
      <c r="S1144" t="str">
        <f>'Audit Report'!Q1144</f>
        <v/>
      </c>
    </row>
    <row r="1145" spans="4:19">
      <c r="D1145" t="str">
        <f>'Audit Report'!B1145</f>
        <v>ITD-X1144</v>
      </c>
      <c r="E1145" t="str">
        <f>'Audit Report'!C1145</f>
        <v/>
      </c>
      <c r="I1145" t="str">
        <f>'Audit Report'!D1145</f>
        <v/>
      </c>
      <c r="J1145" t="str">
        <f>'Audit Report'!H1145</f>
        <v/>
      </c>
      <c r="L1145" t="str">
        <f>_xlfn.TEXTJOIN(", ", FALSE, 'Audit Report'!K1145,'Audit Report'!L1145,'Audit Report'!M1145)</f>
        <v xml:space="preserve">, , </v>
      </c>
      <c r="M1145" t="str">
        <f>'Audit Report'!O1145</f>
        <v/>
      </c>
      <c r="R1145" t="str">
        <f>'Audit Report'!F1145</f>
        <v/>
      </c>
      <c r="S1145" t="str">
        <f>'Audit Report'!Q1145</f>
        <v/>
      </c>
    </row>
    <row r="1146" spans="4:19">
      <c r="D1146" t="str">
        <f>'Audit Report'!B1146</f>
        <v>ITD-X1145</v>
      </c>
      <c r="E1146" t="str">
        <f>'Audit Report'!C1146</f>
        <v/>
      </c>
      <c r="I1146" t="str">
        <f>'Audit Report'!D1146</f>
        <v/>
      </c>
      <c r="J1146" t="str">
        <f>'Audit Report'!H1146</f>
        <v/>
      </c>
      <c r="L1146" t="str">
        <f>_xlfn.TEXTJOIN(", ", FALSE, 'Audit Report'!K1146,'Audit Report'!L1146,'Audit Report'!M1146)</f>
        <v xml:space="preserve">, , </v>
      </c>
      <c r="M1146" t="str">
        <f>'Audit Report'!O1146</f>
        <v/>
      </c>
      <c r="R1146" t="str">
        <f>'Audit Report'!F1146</f>
        <v/>
      </c>
      <c r="S1146" t="str">
        <f>'Audit Report'!Q1146</f>
        <v/>
      </c>
    </row>
    <row r="1147" spans="4:19">
      <c r="D1147" t="str">
        <f>'Audit Report'!B1147</f>
        <v>ITD-X1146</v>
      </c>
      <c r="E1147" t="str">
        <f>'Audit Report'!C1147</f>
        <v/>
      </c>
      <c r="I1147" t="str">
        <f>'Audit Report'!D1147</f>
        <v/>
      </c>
      <c r="J1147" t="str">
        <f>'Audit Report'!H1147</f>
        <v/>
      </c>
      <c r="L1147" t="str">
        <f>_xlfn.TEXTJOIN(", ", FALSE, 'Audit Report'!K1147,'Audit Report'!L1147,'Audit Report'!M1147)</f>
        <v xml:space="preserve">, , </v>
      </c>
      <c r="M1147" t="str">
        <f>'Audit Report'!O1147</f>
        <v/>
      </c>
      <c r="R1147" t="str">
        <f>'Audit Report'!F1147</f>
        <v/>
      </c>
      <c r="S1147" t="str">
        <f>'Audit Report'!Q1147</f>
        <v/>
      </c>
    </row>
    <row r="1148" spans="4:19">
      <c r="D1148" t="str">
        <f>'Audit Report'!B1148</f>
        <v>ITD-X1147</v>
      </c>
      <c r="E1148" t="str">
        <f>'Audit Report'!C1148</f>
        <v/>
      </c>
      <c r="I1148" t="str">
        <f>'Audit Report'!D1148</f>
        <v/>
      </c>
      <c r="J1148" t="str">
        <f>'Audit Report'!H1148</f>
        <v/>
      </c>
      <c r="L1148" t="str">
        <f>_xlfn.TEXTJOIN(", ", FALSE, 'Audit Report'!K1148,'Audit Report'!L1148,'Audit Report'!M1148)</f>
        <v xml:space="preserve">, , </v>
      </c>
      <c r="M1148" t="str">
        <f>'Audit Report'!O1148</f>
        <v/>
      </c>
      <c r="R1148" t="str">
        <f>'Audit Report'!F1148</f>
        <v/>
      </c>
      <c r="S1148" t="str">
        <f>'Audit Report'!Q1148</f>
        <v/>
      </c>
    </row>
    <row r="1149" spans="4:19">
      <c r="D1149" t="str">
        <f>'Audit Report'!B1149</f>
        <v>ITD-X1148</v>
      </c>
      <c r="E1149" t="str">
        <f>'Audit Report'!C1149</f>
        <v/>
      </c>
      <c r="I1149" t="str">
        <f>'Audit Report'!D1149</f>
        <v/>
      </c>
      <c r="J1149" t="str">
        <f>'Audit Report'!H1149</f>
        <v/>
      </c>
      <c r="L1149" t="str">
        <f>_xlfn.TEXTJOIN(", ", FALSE, 'Audit Report'!K1149,'Audit Report'!L1149,'Audit Report'!M1149)</f>
        <v xml:space="preserve">, , </v>
      </c>
      <c r="M1149" t="str">
        <f>'Audit Report'!O1149</f>
        <v/>
      </c>
      <c r="R1149" t="str">
        <f>'Audit Report'!F1149</f>
        <v/>
      </c>
      <c r="S1149" t="str">
        <f>'Audit Report'!Q1149</f>
        <v/>
      </c>
    </row>
    <row r="1150" spans="4:19">
      <c r="D1150" t="str">
        <f>'Audit Report'!B1150</f>
        <v>ITD-X1149</v>
      </c>
      <c r="E1150" t="str">
        <f>'Audit Report'!C1150</f>
        <v/>
      </c>
      <c r="I1150" t="str">
        <f>'Audit Report'!D1150</f>
        <v/>
      </c>
      <c r="J1150" t="str">
        <f>'Audit Report'!H1150</f>
        <v/>
      </c>
      <c r="L1150" t="str">
        <f>_xlfn.TEXTJOIN(", ", FALSE, 'Audit Report'!K1150,'Audit Report'!L1150,'Audit Report'!M1150)</f>
        <v xml:space="preserve">, , </v>
      </c>
      <c r="M1150" t="str">
        <f>'Audit Report'!O1150</f>
        <v/>
      </c>
      <c r="R1150" t="str">
        <f>'Audit Report'!F1150</f>
        <v/>
      </c>
      <c r="S1150" t="str">
        <f>'Audit Report'!Q1150</f>
        <v/>
      </c>
    </row>
    <row r="1151" spans="4:19">
      <c r="D1151" t="str">
        <f>'Audit Report'!B1151</f>
        <v>ITD-X1150</v>
      </c>
      <c r="E1151" t="str">
        <f>'Audit Report'!C1151</f>
        <v/>
      </c>
      <c r="I1151" t="str">
        <f>'Audit Report'!D1151</f>
        <v/>
      </c>
      <c r="J1151" t="str">
        <f>'Audit Report'!H1151</f>
        <v/>
      </c>
      <c r="L1151" t="str">
        <f>_xlfn.TEXTJOIN(", ", FALSE, 'Audit Report'!K1151,'Audit Report'!L1151,'Audit Report'!M1151)</f>
        <v xml:space="preserve">, , </v>
      </c>
      <c r="M1151" t="str">
        <f>'Audit Report'!O1151</f>
        <v/>
      </c>
      <c r="R1151" t="str">
        <f>'Audit Report'!F1151</f>
        <v/>
      </c>
      <c r="S1151" t="str">
        <f>'Audit Report'!Q1151</f>
        <v/>
      </c>
    </row>
    <row r="1152" spans="4:19">
      <c r="D1152" t="str">
        <f>'Audit Report'!B1152</f>
        <v>ITD-X1151</v>
      </c>
      <c r="E1152" t="str">
        <f>'Audit Report'!C1152</f>
        <v/>
      </c>
      <c r="I1152" t="str">
        <f>'Audit Report'!D1152</f>
        <v/>
      </c>
      <c r="J1152" t="str">
        <f>'Audit Report'!H1152</f>
        <v/>
      </c>
      <c r="L1152" t="str">
        <f>_xlfn.TEXTJOIN(", ", FALSE, 'Audit Report'!K1152,'Audit Report'!L1152,'Audit Report'!M1152)</f>
        <v xml:space="preserve">, , </v>
      </c>
      <c r="M1152" t="str">
        <f>'Audit Report'!O1152</f>
        <v/>
      </c>
      <c r="R1152" t="str">
        <f>'Audit Report'!F1152</f>
        <v/>
      </c>
      <c r="S1152" t="str">
        <f>'Audit Report'!Q1152</f>
        <v/>
      </c>
    </row>
    <row r="1153" spans="4:19">
      <c r="D1153" t="str">
        <f>'Audit Report'!B1153</f>
        <v>ITD-X1152</v>
      </c>
      <c r="E1153" t="str">
        <f>'Audit Report'!C1153</f>
        <v/>
      </c>
      <c r="I1153" t="str">
        <f>'Audit Report'!D1153</f>
        <v/>
      </c>
      <c r="J1153" t="str">
        <f>'Audit Report'!H1153</f>
        <v/>
      </c>
      <c r="L1153" t="str">
        <f>_xlfn.TEXTJOIN(", ", FALSE, 'Audit Report'!K1153,'Audit Report'!L1153,'Audit Report'!M1153)</f>
        <v xml:space="preserve">, , </v>
      </c>
      <c r="M1153" t="str">
        <f>'Audit Report'!O1153</f>
        <v/>
      </c>
      <c r="R1153" t="str">
        <f>'Audit Report'!F1153</f>
        <v/>
      </c>
      <c r="S1153" t="str">
        <f>'Audit Report'!Q1153</f>
        <v/>
      </c>
    </row>
    <row r="1154" spans="4:19">
      <c r="D1154" t="str">
        <f>'Audit Report'!B1154</f>
        <v>ITD-X1153</v>
      </c>
      <c r="E1154" t="str">
        <f>'Audit Report'!C1154</f>
        <v/>
      </c>
      <c r="I1154" t="str">
        <f>'Audit Report'!D1154</f>
        <v/>
      </c>
      <c r="J1154" t="str">
        <f>'Audit Report'!H1154</f>
        <v/>
      </c>
      <c r="L1154" t="str">
        <f>_xlfn.TEXTJOIN(", ", FALSE, 'Audit Report'!K1154,'Audit Report'!L1154,'Audit Report'!M1154)</f>
        <v xml:space="preserve">, , </v>
      </c>
      <c r="M1154" t="str">
        <f>'Audit Report'!O1154</f>
        <v/>
      </c>
      <c r="R1154" t="str">
        <f>'Audit Report'!F1154</f>
        <v/>
      </c>
      <c r="S1154" t="str">
        <f>'Audit Report'!Q1154</f>
        <v/>
      </c>
    </row>
    <row r="1155" spans="4:19">
      <c r="D1155" t="str">
        <f>'Audit Report'!B1155</f>
        <v>ITD-X1154</v>
      </c>
      <c r="E1155" t="str">
        <f>'Audit Report'!C1155</f>
        <v/>
      </c>
      <c r="I1155" t="str">
        <f>'Audit Report'!D1155</f>
        <v/>
      </c>
      <c r="J1155" t="str">
        <f>'Audit Report'!H1155</f>
        <v/>
      </c>
      <c r="L1155" t="str">
        <f>_xlfn.TEXTJOIN(", ", FALSE, 'Audit Report'!K1155,'Audit Report'!L1155,'Audit Report'!M1155)</f>
        <v xml:space="preserve">, , </v>
      </c>
      <c r="M1155" t="str">
        <f>'Audit Report'!O1155</f>
        <v/>
      </c>
      <c r="R1155" t="str">
        <f>'Audit Report'!F1155</f>
        <v/>
      </c>
      <c r="S1155" t="str">
        <f>'Audit Report'!Q1155</f>
        <v/>
      </c>
    </row>
    <row r="1156" spans="4:19">
      <c r="D1156" t="str">
        <f>'Audit Report'!B1156</f>
        <v>ITD-X1155</v>
      </c>
      <c r="E1156" t="str">
        <f>'Audit Report'!C1156</f>
        <v/>
      </c>
      <c r="I1156" t="str">
        <f>'Audit Report'!D1156</f>
        <v/>
      </c>
      <c r="J1156" t="str">
        <f>'Audit Report'!H1156</f>
        <v/>
      </c>
      <c r="L1156" t="str">
        <f>_xlfn.TEXTJOIN(", ", FALSE, 'Audit Report'!K1156,'Audit Report'!L1156,'Audit Report'!M1156)</f>
        <v xml:space="preserve">, , </v>
      </c>
      <c r="M1156" t="str">
        <f>'Audit Report'!O1156</f>
        <v/>
      </c>
      <c r="R1156" t="str">
        <f>'Audit Report'!F1156</f>
        <v/>
      </c>
      <c r="S1156" t="str">
        <f>'Audit Report'!Q1156</f>
        <v/>
      </c>
    </row>
    <row r="1157" spans="4:19">
      <c r="D1157" t="str">
        <f>'Audit Report'!B1157</f>
        <v>ITD-X1156</v>
      </c>
      <c r="E1157" t="str">
        <f>'Audit Report'!C1157</f>
        <v/>
      </c>
      <c r="I1157" t="str">
        <f>'Audit Report'!D1157</f>
        <v/>
      </c>
      <c r="J1157" t="str">
        <f>'Audit Report'!H1157</f>
        <v/>
      </c>
      <c r="L1157" t="str">
        <f>_xlfn.TEXTJOIN(", ", FALSE, 'Audit Report'!K1157,'Audit Report'!L1157,'Audit Report'!M1157)</f>
        <v xml:space="preserve">, , </v>
      </c>
      <c r="M1157" t="str">
        <f>'Audit Report'!O1157</f>
        <v/>
      </c>
      <c r="R1157" t="str">
        <f>'Audit Report'!F1157</f>
        <v/>
      </c>
      <c r="S1157" t="str">
        <f>'Audit Report'!Q1157</f>
        <v/>
      </c>
    </row>
    <row r="1158" spans="4:19">
      <c r="D1158" t="str">
        <f>'Audit Report'!B1158</f>
        <v>ITD-X1157</v>
      </c>
      <c r="E1158" t="str">
        <f>'Audit Report'!C1158</f>
        <v/>
      </c>
      <c r="I1158" t="str">
        <f>'Audit Report'!D1158</f>
        <v/>
      </c>
      <c r="J1158" t="str">
        <f>'Audit Report'!H1158</f>
        <v/>
      </c>
      <c r="L1158" t="str">
        <f>_xlfn.TEXTJOIN(", ", FALSE, 'Audit Report'!K1158,'Audit Report'!L1158,'Audit Report'!M1158)</f>
        <v xml:space="preserve">, , </v>
      </c>
      <c r="M1158" t="str">
        <f>'Audit Report'!O1158</f>
        <v/>
      </c>
      <c r="R1158" t="str">
        <f>'Audit Report'!F1158</f>
        <v/>
      </c>
      <c r="S1158" t="str">
        <f>'Audit Report'!Q1158</f>
        <v/>
      </c>
    </row>
    <row r="1159" spans="4:19">
      <c r="D1159" t="str">
        <f>'Audit Report'!B1159</f>
        <v>ITD-X1158</v>
      </c>
      <c r="E1159" t="str">
        <f>'Audit Report'!C1159</f>
        <v/>
      </c>
      <c r="I1159" t="str">
        <f>'Audit Report'!D1159</f>
        <v/>
      </c>
      <c r="J1159" t="str">
        <f>'Audit Report'!H1159</f>
        <v/>
      </c>
      <c r="L1159" t="str">
        <f>_xlfn.TEXTJOIN(", ", FALSE, 'Audit Report'!K1159,'Audit Report'!L1159,'Audit Report'!M1159)</f>
        <v xml:space="preserve">, , </v>
      </c>
      <c r="M1159" t="str">
        <f>'Audit Report'!O1159</f>
        <v/>
      </c>
      <c r="R1159" t="str">
        <f>'Audit Report'!F1159</f>
        <v/>
      </c>
      <c r="S1159" t="str">
        <f>'Audit Report'!Q1159</f>
        <v/>
      </c>
    </row>
    <row r="1160" spans="4:19">
      <c r="D1160" t="str">
        <f>'Audit Report'!B1160</f>
        <v>ITD-X1159</v>
      </c>
      <c r="E1160" t="str">
        <f>'Audit Report'!C1160</f>
        <v/>
      </c>
      <c r="I1160" t="str">
        <f>'Audit Report'!D1160</f>
        <v/>
      </c>
      <c r="J1160" t="str">
        <f>'Audit Report'!H1160</f>
        <v/>
      </c>
      <c r="L1160" t="str">
        <f>_xlfn.TEXTJOIN(", ", FALSE, 'Audit Report'!K1160,'Audit Report'!L1160,'Audit Report'!M1160)</f>
        <v xml:space="preserve">, , </v>
      </c>
      <c r="M1160" t="str">
        <f>'Audit Report'!O1160</f>
        <v/>
      </c>
      <c r="R1160" t="str">
        <f>'Audit Report'!F1160</f>
        <v/>
      </c>
      <c r="S1160" t="str">
        <f>'Audit Report'!Q1160</f>
        <v/>
      </c>
    </row>
    <row r="1161" spans="4:19">
      <c r="I1161" t="str">
        <f>'Audit Report'!D1161</f>
        <v/>
      </c>
      <c r="J1161" t="str">
        <f>'Audit Report'!H1161</f>
        <v/>
      </c>
      <c r="L1161" t="str">
        <f>_xlfn.TEXTJOIN(", ", FALSE, 'Audit Report'!K1161,'Audit Report'!L1161,'Audit Report'!M1161)</f>
        <v xml:space="preserve">, , </v>
      </c>
      <c r="M1161" t="str">
        <f>'Audit Report'!O1161</f>
        <v/>
      </c>
      <c r="R1161" t="str">
        <f>'Audit Report'!F1161</f>
        <v/>
      </c>
      <c r="S1161" t="str">
        <f>'Audit Report'!Q1161</f>
        <v/>
      </c>
    </row>
    <row r="1162" spans="4:19">
      <c r="I1162" t="str">
        <f>'Audit Report'!D1162</f>
        <v/>
      </c>
      <c r="J1162" t="str">
        <f>'Audit Report'!H1162</f>
        <v/>
      </c>
      <c r="L1162" t="str">
        <f>_xlfn.TEXTJOIN(", ", FALSE, 'Audit Report'!K1162,'Audit Report'!L1162,'Audit Report'!M1162)</f>
        <v xml:space="preserve">, , </v>
      </c>
      <c r="M1162" t="str">
        <f>'Audit Report'!O1162</f>
        <v/>
      </c>
      <c r="R1162" t="str">
        <f>'Audit Report'!F1162</f>
        <v/>
      </c>
      <c r="S1162" t="str">
        <f>'Audit Report'!Q1162</f>
        <v/>
      </c>
    </row>
    <row r="1163" spans="4:19">
      <c r="I1163" t="str">
        <f>'Audit Report'!D1163</f>
        <v/>
      </c>
      <c r="J1163" t="str">
        <f>'Audit Report'!H1163</f>
        <v/>
      </c>
      <c r="L1163" t="str">
        <f>_xlfn.TEXTJOIN(", ", FALSE, 'Audit Report'!K1163,'Audit Report'!L1163,'Audit Report'!M1163)</f>
        <v xml:space="preserve">, , </v>
      </c>
      <c r="M1163" t="str">
        <f>'Audit Report'!O1163</f>
        <v/>
      </c>
      <c r="R1163" t="str">
        <f>'Audit Report'!F1163</f>
        <v/>
      </c>
      <c r="S1163" t="str">
        <f>'Audit Report'!Q1163</f>
        <v/>
      </c>
    </row>
    <row r="1164" spans="4:19">
      <c r="I1164" t="str">
        <f>'Audit Report'!D1164</f>
        <v/>
      </c>
      <c r="J1164" t="str">
        <f>'Audit Report'!H1164</f>
        <v/>
      </c>
      <c r="L1164" t="str">
        <f>_xlfn.TEXTJOIN(", ", FALSE, 'Audit Report'!K1164,'Audit Report'!L1164,'Audit Report'!M1164)</f>
        <v xml:space="preserve">, , </v>
      </c>
      <c r="M1164" t="str">
        <f>'Audit Report'!O1164</f>
        <v/>
      </c>
      <c r="R1164" t="str">
        <f>'Audit Report'!F1164</f>
        <v/>
      </c>
      <c r="S1164" t="str">
        <f>'Audit Report'!Q1164</f>
        <v/>
      </c>
    </row>
    <row r="1165" spans="4:19">
      <c r="I1165" t="str">
        <f>'Audit Report'!D1165</f>
        <v/>
      </c>
      <c r="J1165" t="str">
        <f>'Audit Report'!H1165</f>
        <v/>
      </c>
      <c r="L1165" t="str">
        <f>_xlfn.TEXTJOIN(", ", FALSE, 'Audit Report'!K1165,'Audit Report'!L1165,'Audit Report'!M1165)</f>
        <v xml:space="preserve">, , </v>
      </c>
      <c r="M1165" t="str">
        <f>'Audit Report'!O1165</f>
        <v/>
      </c>
      <c r="R1165" t="str">
        <f>'Audit Report'!F1165</f>
        <v/>
      </c>
      <c r="S1165" t="str">
        <f>'Audit Report'!Q1165</f>
        <v/>
      </c>
    </row>
    <row r="1166" spans="4:19">
      <c r="I1166" t="str">
        <f>'Audit Report'!D1166</f>
        <v/>
      </c>
      <c r="J1166" t="str">
        <f>'Audit Report'!H1166</f>
        <v/>
      </c>
      <c r="L1166" t="str">
        <f>_xlfn.TEXTJOIN(", ", FALSE, 'Audit Report'!K1166,'Audit Report'!L1166,'Audit Report'!M1166)</f>
        <v xml:space="preserve">, , </v>
      </c>
      <c r="M1166" t="str">
        <f>'Audit Report'!O1166</f>
        <v/>
      </c>
      <c r="R1166" t="str">
        <f>'Audit Report'!F1166</f>
        <v/>
      </c>
      <c r="S1166" t="str">
        <f>'Audit Report'!Q1166</f>
        <v/>
      </c>
    </row>
    <row r="1167" spans="4:19">
      <c r="I1167" t="str">
        <f>'Audit Report'!D1167</f>
        <v/>
      </c>
      <c r="J1167" t="str">
        <f>'Audit Report'!H1167</f>
        <v/>
      </c>
      <c r="L1167" t="str">
        <f>_xlfn.TEXTJOIN(", ", FALSE, 'Audit Report'!K1167,'Audit Report'!L1167,'Audit Report'!M1167)</f>
        <v xml:space="preserve">, , </v>
      </c>
      <c r="M1167" t="str">
        <f>'Audit Report'!O1167</f>
        <v/>
      </c>
      <c r="R1167" t="str">
        <f>'Audit Report'!F1167</f>
        <v/>
      </c>
      <c r="S1167" t="str">
        <f>'Audit Report'!Q1167</f>
        <v/>
      </c>
    </row>
    <row r="1168" spans="4:19">
      <c r="I1168" t="str">
        <f>'Audit Report'!D1168</f>
        <v/>
      </c>
      <c r="J1168" t="str">
        <f>'Audit Report'!H1168</f>
        <v/>
      </c>
      <c r="L1168" t="str">
        <f>_xlfn.TEXTJOIN(", ", FALSE, 'Audit Report'!K1168,'Audit Report'!L1168,'Audit Report'!M1168)</f>
        <v xml:space="preserve">, , </v>
      </c>
      <c r="M1168" t="str">
        <f>'Audit Report'!O1168</f>
        <v/>
      </c>
      <c r="R1168" t="str">
        <f>'Audit Report'!F1168</f>
        <v/>
      </c>
      <c r="S1168" t="str">
        <f>'Audit Report'!Q1168</f>
        <v/>
      </c>
    </row>
    <row r="1169" spans="9:19">
      <c r="I1169" t="str">
        <f>'Audit Report'!D1169</f>
        <v/>
      </c>
      <c r="J1169" t="str">
        <f>'Audit Report'!H1169</f>
        <v/>
      </c>
      <c r="L1169" t="str">
        <f>_xlfn.TEXTJOIN(", ", FALSE, 'Audit Report'!K1169,'Audit Report'!L1169,'Audit Report'!M1169)</f>
        <v xml:space="preserve">, , </v>
      </c>
      <c r="M1169" t="str">
        <f>'Audit Report'!O1169</f>
        <v/>
      </c>
      <c r="R1169" t="str">
        <f>'Audit Report'!F1169</f>
        <v/>
      </c>
      <c r="S1169" t="str">
        <f>'Audit Report'!Q1169</f>
        <v/>
      </c>
    </row>
    <row r="1170" spans="9:19">
      <c r="I1170" t="str">
        <f>'Audit Report'!D1170</f>
        <v/>
      </c>
      <c r="J1170" t="str">
        <f>'Audit Report'!H1170</f>
        <v/>
      </c>
      <c r="L1170" t="str">
        <f>_xlfn.TEXTJOIN(", ", FALSE, 'Audit Report'!K1170,'Audit Report'!L1170,'Audit Report'!M1170)</f>
        <v xml:space="preserve">, , </v>
      </c>
      <c r="M1170" t="str">
        <f>'Audit Report'!O1170</f>
        <v/>
      </c>
      <c r="R1170" t="str">
        <f>'Audit Report'!F1170</f>
        <v/>
      </c>
      <c r="S1170" t="str">
        <f>'Audit Report'!Q1170</f>
        <v/>
      </c>
    </row>
    <row r="1171" spans="9:19">
      <c r="I1171" t="str">
        <f>'Audit Report'!D1171</f>
        <v/>
      </c>
      <c r="J1171" t="str">
        <f>'Audit Report'!H1171</f>
        <v/>
      </c>
      <c r="L1171" t="str">
        <f>_xlfn.TEXTJOIN(", ", FALSE, 'Audit Report'!K1171,'Audit Report'!L1171,'Audit Report'!M1171)</f>
        <v xml:space="preserve">, , </v>
      </c>
      <c r="M1171" t="str">
        <f>'Audit Report'!O1171</f>
        <v/>
      </c>
      <c r="R1171" t="str">
        <f>'Audit Report'!F1171</f>
        <v/>
      </c>
      <c r="S1171" t="str">
        <f>'Audit Report'!Q1171</f>
        <v/>
      </c>
    </row>
    <row r="1172" spans="9:19">
      <c r="I1172" t="str">
        <f>'Audit Report'!D1172</f>
        <v/>
      </c>
      <c r="J1172" t="str">
        <f>'Audit Report'!H1172</f>
        <v/>
      </c>
      <c r="L1172" t="str">
        <f>_xlfn.TEXTJOIN(", ", FALSE, 'Audit Report'!K1172,'Audit Report'!L1172,'Audit Report'!M1172)</f>
        <v xml:space="preserve">, , </v>
      </c>
      <c r="M1172" t="str">
        <f>'Audit Report'!O1172</f>
        <v/>
      </c>
      <c r="R1172" t="str">
        <f>'Audit Report'!F1172</f>
        <v/>
      </c>
      <c r="S1172" t="str">
        <f>'Audit Report'!Q1172</f>
        <v/>
      </c>
    </row>
    <row r="1173" spans="9:19">
      <c r="I1173" t="str">
        <f>'Audit Report'!D1173</f>
        <v/>
      </c>
      <c r="J1173" t="str">
        <f>'Audit Report'!H1173</f>
        <v/>
      </c>
      <c r="L1173" t="str">
        <f>_xlfn.TEXTJOIN(", ", FALSE, 'Audit Report'!K1173,'Audit Report'!L1173,'Audit Report'!M1173)</f>
        <v xml:space="preserve">, , </v>
      </c>
      <c r="M1173" t="str">
        <f>'Audit Report'!O1173</f>
        <v/>
      </c>
      <c r="R1173" t="str">
        <f>'Audit Report'!F1173</f>
        <v/>
      </c>
      <c r="S1173" t="str">
        <f>'Audit Report'!Q1173</f>
        <v/>
      </c>
    </row>
    <row r="1174" spans="9:19">
      <c r="I1174" t="str">
        <f>'Audit Report'!D1174</f>
        <v/>
      </c>
      <c r="J1174" t="str">
        <f>'Audit Report'!H1174</f>
        <v/>
      </c>
      <c r="L1174" t="str">
        <f>_xlfn.TEXTJOIN(", ", FALSE, 'Audit Report'!K1174,'Audit Report'!L1174,'Audit Report'!M1174)</f>
        <v xml:space="preserve">, , </v>
      </c>
      <c r="M1174" t="str">
        <f>'Audit Report'!O1174</f>
        <v/>
      </c>
      <c r="R1174" t="str">
        <f>'Audit Report'!F1174</f>
        <v/>
      </c>
      <c r="S1174" t="str">
        <f>'Audit Report'!Q1174</f>
        <v/>
      </c>
    </row>
    <row r="1175" spans="9:19">
      <c r="I1175" t="str">
        <f>'Audit Report'!D1175</f>
        <v/>
      </c>
      <c r="J1175" t="str">
        <f>'Audit Report'!H1175</f>
        <v/>
      </c>
      <c r="L1175" t="str">
        <f>_xlfn.TEXTJOIN(", ", FALSE, 'Audit Report'!K1175,'Audit Report'!L1175,'Audit Report'!M1175)</f>
        <v xml:space="preserve">, , </v>
      </c>
      <c r="M1175" t="str">
        <f>'Audit Report'!O1175</f>
        <v/>
      </c>
      <c r="R1175" t="str">
        <f>'Audit Report'!F1175</f>
        <v/>
      </c>
      <c r="S1175" t="str">
        <f>'Audit Report'!Q1175</f>
        <v/>
      </c>
    </row>
    <row r="1176" spans="9:19">
      <c r="I1176" t="str">
        <f>'Audit Report'!D1176</f>
        <v/>
      </c>
      <c r="J1176" t="str">
        <f>'Audit Report'!H1176</f>
        <v/>
      </c>
      <c r="L1176" t="str">
        <f>_xlfn.TEXTJOIN(", ", FALSE, 'Audit Report'!K1176,'Audit Report'!L1176,'Audit Report'!M1176)</f>
        <v xml:space="preserve">, , </v>
      </c>
      <c r="M1176" t="str">
        <f>'Audit Report'!O1176</f>
        <v/>
      </c>
      <c r="R1176" t="str">
        <f>'Audit Report'!F1176</f>
        <v/>
      </c>
      <c r="S1176" t="str">
        <f>'Audit Report'!Q1176</f>
        <v/>
      </c>
    </row>
    <row r="1177" spans="9:19">
      <c r="I1177" t="str">
        <f>'Audit Report'!D1177</f>
        <v/>
      </c>
      <c r="J1177" t="str">
        <f>'Audit Report'!H1177</f>
        <v/>
      </c>
      <c r="L1177" t="str">
        <f>_xlfn.TEXTJOIN(", ", FALSE, 'Audit Report'!K1177,'Audit Report'!L1177,'Audit Report'!M1177)</f>
        <v xml:space="preserve">, , </v>
      </c>
      <c r="M1177" t="str">
        <f>'Audit Report'!O1177</f>
        <v/>
      </c>
      <c r="R1177" t="str">
        <f>'Audit Report'!F1177</f>
        <v/>
      </c>
      <c r="S1177" t="str">
        <f>'Audit Report'!Q1177</f>
        <v/>
      </c>
    </row>
    <row r="1178" spans="9:19">
      <c r="I1178" t="str">
        <f>'Audit Report'!D1178</f>
        <v/>
      </c>
      <c r="J1178" t="str">
        <f>'Audit Report'!H1178</f>
        <v/>
      </c>
      <c r="L1178" t="str">
        <f>_xlfn.TEXTJOIN(", ", FALSE, 'Audit Report'!K1178,'Audit Report'!L1178,'Audit Report'!M1178)</f>
        <v xml:space="preserve">, , </v>
      </c>
      <c r="M1178" t="str">
        <f>'Audit Report'!O1178</f>
        <v/>
      </c>
      <c r="R1178" t="str">
        <f>'Audit Report'!F1178</f>
        <v/>
      </c>
      <c r="S1178" t="str">
        <f>'Audit Report'!Q1178</f>
        <v/>
      </c>
    </row>
    <row r="1179" spans="9:19">
      <c r="I1179" t="str">
        <f>'Audit Report'!D1179</f>
        <v/>
      </c>
      <c r="J1179" t="str">
        <f>'Audit Report'!H1179</f>
        <v/>
      </c>
      <c r="L1179" t="str">
        <f>_xlfn.TEXTJOIN(", ", FALSE, 'Audit Report'!K1179,'Audit Report'!L1179,'Audit Report'!M1179)</f>
        <v xml:space="preserve">, , </v>
      </c>
      <c r="M1179" t="str">
        <f>'Audit Report'!O1179</f>
        <v/>
      </c>
      <c r="R1179" t="str">
        <f>'Audit Report'!F1179</f>
        <v/>
      </c>
      <c r="S1179" t="str">
        <f>'Audit Report'!Q1179</f>
        <v/>
      </c>
    </row>
    <row r="1180" spans="9:19">
      <c r="I1180" t="str">
        <f>'Audit Report'!D1180</f>
        <v/>
      </c>
      <c r="J1180" t="str">
        <f>'Audit Report'!H1180</f>
        <v/>
      </c>
      <c r="L1180" t="str">
        <f>_xlfn.TEXTJOIN(", ", FALSE, 'Audit Report'!K1180,'Audit Report'!L1180,'Audit Report'!M1180)</f>
        <v xml:space="preserve">, , </v>
      </c>
      <c r="M1180" t="str">
        <f>'Audit Report'!O1180</f>
        <v/>
      </c>
      <c r="R1180" t="str">
        <f>'Audit Report'!F1180</f>
        <v/>
      </c>
      <c r="S1180" t="str">
        <f>'Audit Report'!Q1180</f>
        <v/>
      </c>
    </row>
    <row r="1181" spans="9:19">
      <c r="I1181" t="str">
        <f>'Audit Report'!D1181</f>
        <v/>
      </c>
      <c r="J1181" t="str">
        <f>'Audit Report'!H1181</f>
        <v/>
      </c>
      <c r="L1181" t="str">
        <f>_xlfn.TEXTJOIN(", ", FALSE, 'Audit Report'!K1181,'Audit Report'!L1181,'Audit Report'!M1181)</f>
        <v xml:space="preserve">, , </v>
      </c>
      <c r="M1181" t="str">
        <f>'Audit Report'!O1181</f>
        <v/>
      </c>
      <c r="R1181" t="str">
        <f>'Audit Report'!F1181</f>
        <v/>
      </c>
      <c r="S1181" t="str">
        <f>'Audit Report'!Q1181</f>
        <v/>
      </c>
    </row>
    <row r="1182" spans="9:19">
      <c r="I1182" t="str">
        <f>'Audit Report'!D1182</f>
        <v/>
      </c>
      <c r="J1182" t="str">
        <f>'Audit Report'!H1182</f>
        <v/>
      </c>
      <c r="L1182" t="str">
        <f>_xlfn.TEXTJOIN(", ", FALSE, 'Audit Report'!K1182,'Audit Report'!L1182,'Audit Report'!M1182)</f>
        <v xml:space="preserve">, , </v>
      </c>
      <c r="M1182" t="str">
        <f>'Audit Report'!O1182</f>
        <v/>
      </c>
      <c r="R1182" t="str">
        <f>'Audit Report'!F1182</f>
        <v/>
      </c>
      <c r="S1182" t="str">
        <f>'Audit Report'!Q1182</f>
        <v/>
      </c>
    </row>
    <row r="1183" spans="9:19">
      <c r="I1183" t="str">
        <f>'Audit Report'!D1183</f>
        <v/>
      </c>
      <c r="J1183" t="str">
        <f>'Audit Report'!H1183</f>
        <v/>
      </c>
      <c r="L1183" t="str">
        <f>_xlfn.TEXTJOIN(", ", FALSE, 'Audit Report'!K1183,'Audit Report'!L1183,'Audit Report'!M1183)</f>
        <v xml:space="preserve">, , </v>
      </c>
      <c r="M1183" t="str">
        <f>'Audit Report'!O1183</f>
        <v/>
      </c>
      <c r="R1183" t="str">
        <f>'Audit Report'!F1183</f>
        <v/>
      </c>
      <c r="S1183" t="str">
        <f>'Audit Report'!Q1183</f>
        <v/>
      </c>
    </row>
    <row r="1184" spans="9:19">
      <c r="I1184" t="str">
        <f>'Audit Report'!D1184</f>
        <v/>
      </c>
      <c r="J1184" t="str">
        <f>'Audit Report'!H1184</f>
        <v/>
      </c>
      <c r="L1184" t="str">
        <f>_xlfn.TEXTJOIN(", ", FALSE, 'Audit Report'!K1184,'Audit Report'!L1184,'Audit Report'!M1184)</f>
        <v xml:space="preserve">, , </v>
      </c>
      <c r="M1184" t="str">
        <f>'Audit Report'!O1184</f>
        <v/>
      </c>
      <c r="R1184" t="str">
        <f>'Audit Report'!F1184</f>
        <v/>
      </c>
      <c r="S1184" t="str">
        <f>'Audit Report'!Q1184</f>
        <v/>
      </c>
    </row>
    <row r="1185" spans="9:19">
      <c r="I1185" t="str">
        <f>'Audit Report'!D1185</f>
        <v/>
      </c>
      <c r="J1185" t="str">
        <f>'Audit Report'!H1185</f>
        <v/>
      </c>
      <c r="L1185" t="str">
        <f>_xlfn.TEXTJOIN(", ", FALSE, 'Audit Report'!K1185,'Audit Report'!L1185,'Audit Report'!M1185)</f>
        <v xml:space="preserve">, , </v>
      </c>
      <c r="M1185" t="str">
        <f>'Audit Report'!O1185</f>
        <v/>
      </c>
      <c r="R1185" t="str">
        <f>'Audit Report'!F1185</f>
        <v/>
      </c>
      <c r="S1185" t="str">
        <f>'Audit Report'!Q1185</f>
        <v/>
      </c>
    </row>
    <row r="1186" spans="9:19">
      <c r="I1186" t="str">
        <f>'Audit Report'!D1186</f>
        <v/>
      </c>
      <c r="J1186" t="str">
        <f>'Audit Report'!H1186</f>
        <v/>
      </c>
      <c r="L1186" t="str">
        <f>_xlfn.TEXTJOIN(", ", FALSE, 'Audit Report'!K1186,'Audit Report'!L1186,'Audit Report'!M1186)</f>
        <v xml:space="preserve">, , </v>
      </c>
      <c r="M1186" t="str">
        <f>'Audit Report'!O1186</f>
        <v/>
      </c>
      <c r="R1186" t="str">
        <f>'Audit Report'!F1186</f>
        <v/>
      </c>
      <c r="S1186" t="str">
        <f>'Audit Report'!Q1186</f>
        <v/>
      </c>
    </row>
    <row r="1187" spans="9:19">
      <c r="I1187" t="str">
        <f>'Audit Report'!D1187</f>
        <v/>
      </c>
      <c r="J1187" t="str">
        <f>'Audit Report'!H1187</f>
        <v/>
      </c>
      <c r="L1187" t="str">
        <f>_xlfn.TEXTJOIN(", ", FALSE, 'Audit Report'!K1187,'Audit Report'!L1187,'Audit Report'!M1187)</f>
        <v xml:space="preserve">, , </v>
      </c>
      <c r="M1187" t="str">
        <f>'Audit Report'!O1187</f>
        <v/>
      </c>
      <c r="R1187" t="str">
        <f>'Audit Report'!F1187</f>
        <v/>
      </c>
      <c r="S1187" t="str">
        <f>'Audit Report'!Q1187</f>
        <v/>
      </c>
    </row>
    <row r="1188" spans="9:19">
      <c r="I1188" t="str">
        <f>'Audit Report'!D1188</f>
        <v/>
      </c>
      <c r="J1188" t="str">
        <f>'Audit Report'!H1188</f>
        <v/>
      </c>
      <c r="L1188" t="str">
        <f>_xlfn.TEXTJOIN(", ", FALSE, 'Audit Report'!K1188,'Audit Report'!L1188,'Audit Report'!M1188)</f>
        <v xml:space="preserve">, , </v>
      </c>
      <c r="M1188" t="str">
        <f>'Audit Report'!O1188</f>
        <v/>
      </c>
      <c r="R1188" t="str">
        <f>'Audit Report'!F1188</f>
        <v/>
      </c>
      <c r="S1188" t="str">
        <f>'Audit Report'!Q1188</f>
        <v/>
      </c>
    </row>
    <row r="1189" spans="9:19">
      <c r="I1189" t="str">
        <f>'Audit Report'!D1189</f>
        <v/>
      </c>
      <c r="J1189" t="str">
        <f>'Audit Report'!H1189</f>
        <v/>
      </c>
      <c r="L1189" t="str">
        <f>_xlfn.TEXTJOIN(", ", FALSE, 'Audit Report'!K1189,'Audit Report'!L1189,'Audit Report'!M1189)</f>
        <v xml:space="preserve">, , </v>
      </c>
      <c r="M1189" t="str">
        <f>'Audit Report'!O1189</f>
        <v/>
      </c>
      <c r="R1189" t="str">
        <f>'Audit Report'!F1189</f>
        <v/>
      </c>
      <c r="S1189" t="str">
        <f>'Audit Report'!Q1189</f>
        <v/>
      </c>
    </row>
    <row r="1190" spans="9:19">
      <c r="I1190" t="str">
        <f>'Audit Report'!D1190</f>
        <v/>
      </c>
      <c r="J1190" t="str">
        <f>'Audit Report'!H1190</f>
        <v/>
      </c>
      <c r="L1190" t="str">
        <f>_xlfn.TEXTJOIN(", ", FALSE, 'Audit Report'!K1190,'Audit Report'!L1190,'Audit Report'!M1190)</f>
        <v xml:space="preserve">, , </v>
      </c>
      <c r="M1190" t="str">
        <f>'Audit Report'!O1190</f>
        <v/>
      </c>
      <c r="R1190" t="str">
        <f>'Audit Report'!F1190</f>
        <v/>
      </c>
      <c r="S1190" t="str">
        <f>'Audit Report'!Q1190</f>
        <v/>
      </c>
    </row>
    <row r="1191" spans="9:19">
      <c r="I1191" t="str">
        <f>'Audit Report'!D1191</f>
        <v/>
      </c>
      <c r="J1191" t="str">
        <f>'Audit Report'!H1191</f>
        <v/>
      </c>
      <c r="L1191" t="str">
        <f>_xlfn.TEXTJOIN(", ", FALSE, 'Audit Report'!K1191,'Audit Report'!L1191,'Audit Report'!M1191)</f>
        <v xml:space="preserve">, , </v>
      </c>
      <c r="M1191" t="str">
        <f>'Audit Report'!O1191</f>
        <v/>
      </c>
      <c r="R1191" t="str">
        <f>'Audit Report'!F1191</f>
        <v/>
      </c>
      <c r="S1191" t="str">
        <f>'Audit Report'!Q1191</f>
        <v/>
      </c>
    </row>
    <row r="1192" spans="9:19">
      <c r="I1192" t="str">
        <f>'Audit Report'!D1192</f>
        <v/>
      </c>
      <c r="J1192" t="str">
        <f>'Audit Report'!H1192</f>
        <v/>
      </c>
      <c r="L1192" t="str">
        <f>_xlfn.TEXTJOIN(", ", FALSE, 'Audit Report'!K1192,'Audit Report'!L1192,'Audit Report'!M1192)</f>
        <v xml:space="preserve">, , </v>
      </c>
      <c r="M1192" t="str">
        <f>'Audit Report'!O1192</f>
        <v/>
      </c>
      <c r="R1192" t="str">
        <f>'Audit Report'!F1192</f>
        <v/>
      </c>
      <c r="S1192" t="str">
        <f>'Audit Report'!Q1192</f>
        <v/>
      </c>
    </row>
    <row r="1193" spans="9:19">
      <c r="I1193" t="str">
        <f>'Audit Report'!D1193</f>
        <v/>
      </c>
      <c r="J1193" t="str">
        <f>'Audit Report'!H1193</f>
        <v/>
      </c>
      <c r="L1193" t="str">
        <f>_xlfn.TEXTJOIN(", ", FALSE, 'Audit Report'!K1193,'Audit Report'!L1193,'Audit Report'!M1193)</f>
        <v xml:space="preserve">, , </v>
      </c>
      <c r="M1193" t="str">
        <f>'Audit Report'!O1193</f>
        <v/>
      </c>
      <c r="R1193" t="str">
        <f>'Audit Report'!F1193</f>
        <v/>
      </c>
      <c r="S1193" t="str">
        <f>'Audit Report'!Q1193</f>
        <v/>
      </c>
    </row>
    <row r="1194" spans="9:19">
      <c r="I1194" t="str">
        <f>'Audit Report'!D1194</f>
        <v/>
      </c>
      <c r="J1194" t="str">
        <f>'Audit Report'!H1194</f>
        <v/>
      </c>
      <c r="L1194" t="str">
        <f>_xlfn.TEXTJOIN(", ", FALSE, 'Audit Report'!K1194,'Audit Report'!L1194,'Audit Report'!M1194)</f>
        <v xml:space="preserve">, , </v>
      </c>
      <c r="M1194" t="str">
        <f>'Audit Report'!O1194</f>
        <v/>
      </c>
      <c r="R1194" t="str">
        <f>'Audit Report'!F1194</f>
        <v/>
      </c>
      <c r="S1194" t="str">
        <f>'Audit Report'!Q1194</f>
        <v/>
      </c>
    </row>
    <row r="1195" spans="9:19">
      <c r="I1195" t="str">
        <f>'Audit Report'!D1195</f>
        <v/>
      </c>
      <c r="J1195" t="str">
        <f>'Audit Report'!H1195</f>
        <v/>
      </c>
      <c r="L1195" t="str">
        <f>_xlfn.TEXTJOIN(", ", FALSE, 'Audit Report'!K1195,'Audit Report'!L1195,'Audit Report'!M1195)</f>
        <v xml:space="preserve">, , </v>
      </c>
      <c r="M1195" t="str">
        <f>'Audit Report'!O1195</f>
        <v/>
      </c>
      <c r="R1195" t="str">
        <f>'Audit Report'!F1195</f>
        <v/>
      </c>
      <c r="S1195" t="str">
        <f>'Audit Report'!Q1195</f>
        <v/>
      </c>
    </row>
    <row r="1196" spans="9:19">
      <c r="I1196" t="str">
        <f>'Audit Report'!D1196</f>
        <v/>
      </c>
      <c r="J1196" t="str">
        <f>'Audit Report'!H1196</f>
        <v/>
      </c>
      <c r="L1196" t="str">
        <f>_xlfn.TEXTJOIN(", ", FALSE, 'Audit Report'!K1196,'Audit Report'!L1196,'Audit Report'!M1196)</f>
        <v xml:space="preserve">, , </v>
      </c>
      <c r="M1196" t="str">
        <f>'Audit Report'!O1196</f>
        <v/>
      </c>
      <c r="R1196" t="str">
        <f>'Audit Report'!F1196</f>
        <v/>
      </c>
      <c r="S1196" t="str">
        <f>'Audit Report'!Q1196</f>
        <v/>
      </c>
    </row>
    <row r="1197" spans="9:19">
      <c r="I1197" t="str">
        <f>'Audit Report'!D1197</f>
        <v/>
      </c>
      <c r="J1197" t="str">
        <f>'Audit Report'!H1197</f>
        <v/>
      </c>
      <c r="L1197" t="str">
        <f>_xlfn.TEXTJOIN(", ", FALSE, 'Audit Report'!K1197,'Audit Report'!L1197,'Audit Report'!M1197)</f>
        <v xml:space="preserve">, , </v>
      </c>
      <c r="M1197" t="str">
        <f>'Audit Report'!O1197</f>
        <v/>
      </c>
      <c r="R1197" t="str">
        <f>'Audit Report'!F1197</f>
        <v/>
      </c>
      <c r="S1197" t="str">
        <f>'Audit Report'!Q1197</f>
        <v/>
      </c>
    </row>
    <row r="1198" spans="9:19">
      <c r="I1198" t="str">
        <f>'Audit Report'!D1198</f>
        <v/>
      </c>
      <c r="J1198" t="str">
        <f>'Audit Report'!H1198</f>
        <v/>
      </c>
      <c r="L1198" t="str">
        <f>_xlfn.TEXTJOIN(", ", FALSE, 'Audit Report'!K1198,'Audit Report'!L1198,'Audit Report'!M1198)</f>
        <v xml:space="preserve">, , </v>
      </c>
      <c r="M1198" t="str">
        <f>'Audit Report'!O1198</f>
        <v/>
      </c>
      <c r="R1198" t="str">
        <f>'Audit Report'!F1198</f>
        <v/>
      </c>
      <c r="S1198" t="str">
        <f>'Audit Report'!Q1198</f>
        <v/>
      </c>
    </row>
    <row r="1199" spans="9:19">
      <c r="I1199" t="str">
        <f>'Audit Report'!D1199</f>
        <v/>
      </c>
      <c r="J1199" t="str">
        <f>'Audit Report'!H1199</f>
        <v/>
      </c>
      <c r="L1199" t="str">
        <f>_xlfn.TEXTJOIN(", ", FALSE, 'Audit Report'!K1199,'Audit Report'!L1199,'Audit Report'!M1199)</f>
        <v xml:space="preserve">, , </v>
      </c>
      <c r="M1199" t="str">
        <f>'Audit Report'!O1199</f>
        <v/>
      </c>
      <c r="R1199" t="str">
        <f>'Audit Report'!F1199</f>
        <v/>
      </c>
      <c r="S1199" t="str">
        <f>'Audit Report'!Q1199</f>
        <v/>
      </c>
    </row>
    <row r="1200" spans="9:19">
      <c r="I1200" t="str">
        <f>'Audit Report'!D1200</f>
        <v/>
      </c>
      <c r="J1200" t="str">
        <f>'Audit Report'!H1200</f>
        <v/>
      </c>
      <c r="L1200" t="str">
        <f>_xlfn.TEXTJOIN(", ", FALSE, 'Audit Report'!K1200,'Audit Report'!L1200,'Audit Report'!M1200)</f>
        <v xml:space="preserve">, , </v>
      </c>
      <c r="M1200" t="str">
        <f>'Audit Report'!O1200</f>
        <v/>
      </c>
      <c r="R1200" t="str">
        <f>'Audit Report'!F1200</f>
        <v/>
      </c>
      <c r="S1200" t="str">
        <f>'Audit Report'!Q1200</f>
        <v/>
      </c>
    </row>
    <row r="1201" spans="9:19">
      <c r="I1201" t="str">
        <f>'Audit Report'!D1201</f>
        <v/>
      </c>
      <c r="J1201" t="str">
        <f>'Audit Report'!H1201</f>
        <v/>
      </c>
      <c r="L1201" t="str">
        <f>_xlfn.TEXTJOIN(", ", FALSE, 'Audit Report'!K1201,'Audit Report'!L1201,'Audit Report'!M1201)</f>
        <v xml:space="preserve">, , </v>
      </c>
      <c r="M1201" t="str">
        <f>'Audit Report'!O1201</f>
        <v/>
      </c>
      <c r="R1201" t="str">
        <f>'Audit Report'!F1201</f>
        <v/>
      </c>
      <c r="S1201" t="str">
        <f>'Audit Report'!Q1201</f>
        <v/>
      </c>
    </row>
    <row r="1202" spans="9:19">
      <c r="I1202" t="str">
        <f>'Audit Report'!D1202</f>
        <v/>
      </c>
      <c r="J1202" t="str">
        <f>'Audit Report'!H1202</f>
        <v/>
      </c>
      <c r="L1202" t="str">
        <f>_xlfn.TEXTJOIN(", ", FALSE, 'Audit Report'!K1202,'Audit Report'!L1202,'Audit Report'!M1202)</f>
        <v xml:space="preserve">, , </v>
      </c>
      <c r="M1202" t="str">
        <f>'Audit Report'!O1202</f>
        <v/>
      </c>
      <c r="R1202" t="str">
        <f>'Audit Report'!F1202</f>
        <v/>
      </c>
      <c r="S1202" t="str">
        <f>'Audit Report'!Q1202</f>
        <v/>
      </c>
    </row>
    <row r="1203" spans="9:19">
      <c r="I1203" t="str">
        <f>'Audit Report'!D1203</f>
        <v/>
      </c>
      <c r="J1203" t="str">
        <f>'Audit Report'!H1203</f>
        <v/>
      </c>
      <c r="L1203" t="str">
        <f>_xlfn.TEXTJOIN(", ", FALSE, 'Audit Report'!K1203,'Audit Report'!L1203,'Audit Report'!M1203)</f>
        <v xml:space="preserve">, , </v>
      </c>
      <c r="M1203" t="str">
        <f>'Audit Report'!O1203</f>
        <v/>
      </c>
      <c r="R1203" t="str">
        <f>'Audit Report'!F1203</f>
        <v/>
      </c>
      <c r="S1203" t="str">
        <f>'Audit Report'!Q1203</f>
        <v/>
      </c>
    </row>
    <row r="1204" spans="9:19">
      <c r="I1204" t="str">
        <f>'Audit Report'!D1204</f>
        <v/>
      </c>
      <c r="J1204" t="str">
        <f>'Audit Report'!H1204</f>
        <v/>
      </c>
      <c r="L1204" t="str">
        <f>_xlfn.TEXTJOIN(", ", FALSE, 'Audit Report'!K1204,'Audit Report'!L1204,'Audit Report'!M1204)</f>
        <v xml:space="preserve">, , </v>
      </c>
      <c r="M1204" t="str">
        <f>'Audit Report'!O1204</f>
        <v/>
      </c>
      <c r="R1204" t="str">
        <f>'Audit Report'!F1204</f>
        <v/>
      </c>
      <c r="S1204" t="str">
        <f>'Audit Report'!Q1204</f>
        <v/>
      </c>
    </row>
    <row r="1205" spans="9:19">
      <c r="I1205" t="str">
        <f>'Audit Report'!D1205</f>
        <v/>
      </c>
      <c r="J1205" t="str">
        <f>'Audit Report'!H1205</f>
        <v/>
      </c>
      <c r="L1205" t="str">
        <f>_xlfn.TEXTJOIN(", ", FALSE, 'Audit Report'!K1205,'Audit Report'!L1205,'Audit Report'!M1205)</f>
        <v xml:space="preserve">, , </v>
      </c>
      <c r="M1205" t="str">
        <f>'Audit Report'!O1205</f>
        <v/>
      </c>
      <c r="R1205" t="str">
        <f>'Audit Report'!F1205</f>
        <v/>
      </c>
      <c r="S1205" t="str">
        <f>'Audit Report'!Q1205</f>
        <v/>
      </c>
    </row>
    <row r="1206" spans="9:19">
      <c r="I1206" t="str">
        <f>'Audit Report'!D1206</f>
        <v/>
      </c>
      <c r="J1206" t="str">
        <f>'Audit Report'!H1206</f>
        <v/>
      </c>
      <c r="L1206" t="str">
        <f>_xlfn.TEXTJOIN(", ", FALSE, 'Audit Report'!K1206,'Audit Report'!L1206,'Audit Report'!M1206)</f>
        <v xml:space="preserve">, , </v>
      </c>
      <c r="M1206" t="str">
        <f>'Audit Report'!O1206</f>
        <v/>
      </c>
      <c r="R1206" t="str">
        <f>'Audit Report'!F1206</f>
        <v/>
      </c>
      <c r="S1206" t="str">
        <f>'Audit Report'!Q1206</f>
        <v/>
      </c>
    </row>
    <row r="1207" spans="9:19">
      <c r="I1207" t="str">
        <f>'Audit Report'!D1207</f>
        <v/>
      </c>
      <c r="J1207" t="str">
        <f>'Audit Report'!H1207</f>
        <v/>
      </c>
      <c r="L1207" t="str">
        <f>_xlfn.TEXTJOIN(", ", FALSE, 'Audit Report'!K1207,'Audit Report'!L1207,'Audit Report'!M1207)</f>
        <v xml:space="preserve">, , </v>
      </c>
      <c r="M1207" t="str">
        <f>'Audit Report'!O1207</f>
        <v/>
      </c>
      <c r="R1207" t="str">
        <f>'Audit Report'!F1207</f>
        <v/>
      </c>
      <c r="S1207" t="str">
        <f>'Audit Report'!Q1207</f>
        <v/>
      </c>
    </row>
    <row r="1208" spans="9:19">
      <c r="I1208" t="str">
        <f>'Audit Report'!D1208</f>
        <v/>
      </c>
      <c r="J1208" t="str">
        <f>'Audit Report'!H1208</f>
        <v/>
      </c>
      <c r="L1208" t="str">
        <f>_xlfn.TEXTJOIN(", ", FALSE, 'Audit Report'!K1208,'Audit Report'!L1208,'Audit Report'!M1208)</f>
        <v xml:space="preserve">, , </v>
      </c>
      <c r="M1208" t="str">
        <f>'Audit Report'!O1208</f>
        <v/>
      </c>
      <c r="R1208" t="str">
        <f>'Audit Report'!F1208</f>
        <v/>
      </c>
      <c r="S1208" t="str">
        <f>'Audit Report'!Q1208</f>
        <v/>
      </c>
    </row>
    <row r="1209" spans="9:19">
      <c r="I1209" t="str">
        <f>'Audit Report'!D1209</f>
        <v/>
      </c>
      <c r="J1209" t="str">
        <f>'Audit Report'!H1209</f>
        <v/>
      </c>
      <c r="L1209" t="str">
        <f>_xlfn.TEXTJOIN(", ", FALSE, 'Audit Report'!K1209,'Audit Report'!L1209,'Audit Report'!M1209)</f>
        <v xml:space="preserve">, , </v>
      </c>
      <c r="M1209" t="str">
        <f>'Audit Report'!O1209</f>
        <v/>
      </c>
      <c r="R1209" t="str">
        <f>'Audit Report'!F1209</f>
        <v/>
      </c>
      <c r="S1209" t="str">
        <f>'Audit Report'!Q1209</f>
        <v/>
      </c>
    </row>
    <row r="1210" spans="9:19">
      <c r="I1210" t="str">
        <f>'Audit Report'!D1210</f>
        <v/>
      </c>
      <c r="J1210" t="str">
        <f>'Audit Report'!H1210</f>
        <v/>
      </c>
      <c r="L1210" t="str">
        <f>_xlfn.TEXTJOIN(", ", FALSE, 'Audit Report'!K1210,'Audit Report'!L1210,'Audit Report'!M1210)</f>
        <v xml:space="preserve">, , </v>
      </c>
      <c r="M1210" t="str">
        <f>'Audit Report'!O1210</f>
        <v/>
      </c>
      <c r="R1210" t="str">
        <f>'Audit Report'!F1210</f>
        <v/>
      </c>
      <c r="S1210" t="str">
        <f>'Audit Report'!Q1210</f>
        <v/>
      </c>
    </row>
    <row r="1211" spans="9:19">
      <c r="I1211" t="str">
        <f>'Audit Report'!D1211</f>
        <v/>
      </c>
      <c r="J1211" t="str">
        <f>'Audit Report'!H1211</f>
        <v/>
      </c>
      <c r="L1211" t="str">
        <f>_xlfn.TEXTJOIN(", ", FALSE, 'Audit Report'!K1211,'Audit Report'!L1211,'Audit Report'!M1211)</f>
        <v xml:space="preserve">, , </v>
      </c>
      <c r="M1211" t="str">
        <f>'Audit Report'!O1211</f>
        <v/>
      </c>
      <c r="R1211" t="str">
        <f>'Audit Report'!F1211</f>
        <v/>
      </c>
      <c r="S1211" t="str">
        <f>'Audit Report'!Q1211</f>
        <v/>
      </c>
    </row>
    <row r="1212" spans="9:19">
      <c r="I1212" t="str">
        <f>'Audit Report'!D1212</f>
        <v/>
      </c>
      <c r="J1212" t="str">
        <f>'Audit Report'!H1212</f>
        <v/>
      </c>
      <c r="L1212" t="str">
        <f>_xlfn.TEXTJOIN(", ", FALSE, 'Audit Report'!K1212,'Audit Report'!L1212,'Audit Report'!M1212)</f>
        <v xml:space="preserve">, , </v>
      </c>
      <c r="M1212" t="str">
        <f>'Audit Report'!O1212</f>
        <v/>
      </c>
      <c r="R1212" t="str">
        <f>'Audit Report'!F1212</f>
        <v/>
      </c>
      <c r="S1212" t="str">
        <f>'Audit Report'!Q1212</f>
        <v/>
      </c>
    </row>
    <row r="1213" spans="9:19">
      <c r="I1213" t="str">
        <f>'Audit Report'!D1213</f>
        <v/>
      </c>
      <c r="J1213" t="str">
        <f>'Audit Report'!H1213</f>
        <v/>
      </c>
      <c r="L1213" t="str">
        <f>_xlfn.TEXTJOIN(", ", FALSE, 'Audit Report'!K1213,'Audit Report'!L1213,'Audit Report'!M1213)</f>
        <v xml:space="preserve">, , </v>
      </c>
      <c r="M1213" t="str">
        <f>'Audit Report'!O1213</f>
        <v/>
      </c>
      <c r="R1213" t="str">
        <f>'Audit Report'!F1213</f>
        <v/>
      </c>
      <c r="S1213" t="str">
        <f>'Audit Report'!Q1213</f>
        <v/>
      </c>
    </row>
    <row r="1214" spans="9:19">
      <c r="I1214" t="str">
        <f>'Audit Report'!D1214</f>
        <v/>
      </c>
      <c r="J1214" t="str">
        <f>'Audit Report'!H1214</f>
        <v/>
      </c>
      <c r="L1214" t="str">
        <f>_xlfn.TEXTJOIN(", ", FALSE, 'Audit Report'!K1214,'Audit Report'!L1214,'Audit Report'!M1214)</f>
        <v xml:space="preserve">, , </v>
      </c>
      <c r="M1214" t="str">
        <f>'Audit Report'!O1214</f>
        <v/>
      </c>
      <c r="R1214" t="str">
        <f>'Audit Report'!F1214</f>
        <v/>
      </c>
      <c r="S1214" t="str">
        <f>'Audit Report'!Q1214</f>
        <v/>
      </c>
    </row>
    <row r="1215" spans="9:19">
      <c r="I1215" t="str">
        <f>'Audit Report'!D1215</f>
        <v/>
      </c>
      <c r="J1215" t="str">
        <f>'Audit Report'!H1215</f>
        <v/>
      </c>
      <c r="L1215" t="str">
        <f>_xlfn.TEXTJOIN(", ", FALSE, 'Audit Report'!K1215,'Audit Report'!L1215,'Audit Report'!M1215)</f>
        <v xml:space="preserve">, , </v>
      </c>
      <c r="M1215" t="str">
        <f>'Audit Report'!O1215</f>
        <v/>
      </c>
      <c r="R1215" t="str">
        <f>'Audit Report'!F1215</f>
        <v/>
      </c>
      <c r="S1215" t="str">
        <f>'Audit Report'!Q1215</f>
        <v/>
      </c>
    </row>
    <row r="1216" spans="9:19">
      <c r="I1216" t="str">
        <f>'Audit Report'!D1216</f>
        <v/>
      </c>
      <c r="J1216" t="str">
        <f>'Audit Report'!H1216</f>
        <v/>
      </c>
      <c r="L1216" t="str">
        <f>_xlfn.TEXTJOIN(", ", FALSE, 'Audit Report'!K1216,'Audit Report'!L1216,'Audit Report'!M1216)</f>
        <v xml:space="preserve">, , </v>
      </c>
      <c r="M1216" t="str">
        <f>'Audit Report'!O1216</f>
        <v/>
      </c>
      <c r="R1216" t="str">
        <f>'Audit Report'!F1216</f>
        <v/>
      </c>
      <c r="S1216" t="str">
        <f>'Audit Report'!Q1216</f>
        <v/>
      </c>
    </row>
    <row r="1217" spans="9:19">
      <c r="I1217" t="str">
        <f>'Audit Report'!D1217</f>
        <v/>
      </c>
      <c r="J1217" t="str">
        <f>'Audit Report'!H1217</f>
        <v/>
      </c>
      <c r="L1217" t="str">
        <f>_xlfn.TEXTJOIN(", ", FALSE, 'Audit Report'!K1217,'Audit Report'!L1217,'Audit Report'!M1217)</f>
        <v xml:space="preserve">, , </v>
      </c>
      <c r="M1217" t="str">
        <f>'Audit Report'!O1217</f>
        <v/>
      </c>
      <c r="R1217" t="str">
        <f>'Audit Report'!F1217</f>
        <v/>
      </c>
      <c r="S1217" t="str">
        <f>'Audit Report'!Q1217</f>
        <v/>
      </c>
    </row>
    <row r="1218" spans="9:19">
      <c r="I1218" t="str">
        <f>'Audit Report'!D1218</f>
        <v/>
      </c>
      <c r="J1218" t="str">
        <f>'Audit Report'!H1218</f>
        <v/>
      </c>
      <c r="L1218" t="str">
        <f>_xlfn.TEXTJOIN(", ", FALSE, 'Audit Report'!K1218,'Audit Report'!L1218,'Audit Report'!M1218)</f>
        <v xml:space="preserve">, , </v>
      </c>
      <c r="M1218" t="str">
        <f>'Audit Report'!O1218</f>
        <v/>
      </c>
      <c r="R1218" t="str">
        <f>'Audit Report'!F1218</f>
        <v/>
      </c>
      <c r="S1218" t="str">
        <f>'Audit Report'!Q1218</f>
        <v/>
      </c>
    </row>
    <row r="1219" spans="9:19">
      <c r="I1219" t="str">
        <f>'Audit Report'!D1219</f>
        <v/>
      </c>
      <c r="J1219" t="str">
        <f>'Audit Report'!H1219</f>
        <v/>
      </c>
      <c r="L1219" t="str">
        <f>_xlfn.TEXTJOIN(", ", FALSE, 'Audit Report'!K1219,'Audit Report'!L1219,'Audit Report'!M1219)</f>
        <v xml:space="preserve">, , </v>
      </c>
      <c r="M1219" t="str">
        <f>'Audit Report'!O1219</f>
        <v/>
      </c>
      <c r="R1219" t="str">
        <f>'Audit Report'!F1219</f>
        <v/>
      </c>
      <c r="S1219" t="str">
        <f>'Audit Report'!Q1219</f>
        <v/>
      </c>
    </row>
    <row r="1220" spans="9:19">
      <c r="I1220" t="str">
        <f>'Audit Report'!D1220</f>
        <v/>
      </c>
      <c r="J1220" t="str">
        <f>'Audit Report'!H1220</f>
        <v/>
      </c>
      <c r="L1220" t="str">
        <f>_xlfn.TEXTJOIN(", ", FALSE, 'Audit Report'!K1220,'Audit Report'!L1220,'Audit Report'!M1220)</f>
        <v xml:space="preserve">, , </v>
      </c>
      <c r="M1220" t="str">
        <f>'Audit Report'!O1220</f>
        <v/>
      </c>
      <c r="R1220" t="str">
        <f>'Audit Report'!F1220</f>
        <v/>
      </c>
      <c r="S1220" t="str">
        <f>'Audit Report'!Q1220</f>
        <v/>
      </c>
    </row>
    <row r="1221" spans="9:19">
      <c r="I1221" t="str">
        <f>'Audit Report'!D1221</f>
        <v/>
      </c>
      <c r="J1221" t="str">
        <f>'Audit Report'!H1221</f>
        <v/>
      </c>
      <c r="L1221" t="str">
        <f>_xlfn.TEXTJOIN(", ", FALSE, 'Audit Report'!K1221,'Audit Report'!L1221,'Audit Report'!M1221)</f>
        <v xml:space="preserve">, , </v>
      </c>
      <c r="M1221" t="str">
        <f>'Audit Report'!O1221</f>
        <v/>
      </c>
      <c r="R1221" t="str">
        <f>'Audit Report'!F1221</f>
        <v/>
      </c>
      <c r="S1221" t="str">
        <f>'Audit Report'!Q1221</f>
        <v/>
      </c>
    </row>
    <row r="1222" spans="9:19">
      <c r="I1222" t="str">
        <f>'Audit Report'!D1222</f>
        <v/>
      </c>
      <c r="J1222" t="str">
        <f>'Audit Report'!H1222</f>
        <v/>
      </c>
      <c r="L1222" t="str">
        <f>_xlfn.TEXTJOIN(", ", FALSE, 'Audit Report'!K1222,'Audit Report'!L1222,'Audit Report'!M1222)</f>
        <v xml:space="preserve">, , </v>
      </c>
      <c r="M1222" t="str">
        <f>'Audit Report'!O1222</f>
        <v/>
      </c>
      <c r="R1222" t="str">
        <f>'Audit Report'!F1222</f>
        <v/>
      </c>
      <c r="S1222" t="str">
        <f>'Audit Report'!Q1222</f>
        <v/>
      </c>
    </row>
    <row r="1223" spans="9:19">
      <c r="I1223" t="str">
        <f>'Audit Report'!D1223</f>
        <v/>
      </c>
      <c r="J1223" t="str">
        <f>'Audit Report'!H1223</f>
        <v/>
      </c>
      <c r="L1223" t="str">
        <f>_xlfn.TEXTJOIN(", ", FALSE, 'Audit Report'!K1223,'Audit Report'!L1223,'Audit Report'!M1223)</f>
        <v xml:space="preserve">, , </v>
      </c>
      <c r="M1223" t="str">
        <f>'Audit Report'!O1223</f>
        <v/>
      </c>
      <c r="R1223" t="str">
        <f>'Audit Report'!F1223</f>
        <v/>
      </c>
      <c r="S1223" t="str">
        <f>'Audit Report'!Q1223</f>
        <v/>
      </c>
    </row>
    <row r="1224" spans="9:19">
      <c r="I1224" t="str">
        <f>'Audit Report'!D1224</f>
        <v/>
      </c>
      <c r="J1224" t="str">
        <f>'Audit Report'!H1224</f>
        <v/>
      </c>
      <c r="L1224" t="str">
        <f>_xlfn.TEXTJOIN(", ", FALSE, 'Audit Report'!K1224,'Audit Report'!L1224,'Audit Report'!M1224)</f>
        <v xml:space="preserve">, , </v>
      </c>
      <c r="M1224" t="str">
        <f>'Audit Report'!O1224</f>
        <v/>
      </c>
      <c r="R1224" t="str">
        <f>'Audit Report'!F1224</f>
        <v/>
      </c>
      <c r="S1224" t="str">
        <f>'Audit Report'!Q1224</f>
        <v/>
      </c>
    </row>
    <row r="1225" spans="9:19">
      <c r="I1225" t="str">
        <f>'Audit Report'!D1225</f>
        <v/>
      </c>
      <c r="J1225" t="str">
        <f>'Audit Report'!H1225</f>
        <v/>
      </c>
      <c r="L1225" t="str">
        <f>_xlfn.TEXTJOIN(", ", FALSE, 'Audit Report'!K1225,'Audit Report'!L1225,'Audit Report'!M1225)</f>
        <v xml:space="preserve">, , </v>
      </c>
      <c r="M1225" t="str">
        <f>'Audit Report'!O1225</f>
        <v/>
      </c>
      <c r="R1225" t="str">
        <f>'Audit Report'!F1225</f>
        <v/>
      </c>
      <c r="S1225" t="str">
        <f>'Audit Report'!Q1225</f>
        <v/>
      </c>
    </row>
    <row r="1226" spans="9:19">
      <c r="I1226" t="str">
        <f>'Audit Report'!D1226</f>
        <v/>
      </c>
      <c r="J1226" t="str">
        <f>'Audit Report'!H1226</f>
        <v/>
      </c>
      <c r="L1226" t="str">
        <f>_xlfn.TEXTJOIN(", ", FALSE, 'Audit Report'!K1226,'Audit Report'!L1226,'Audit Report'!M1226)</f>
        <v xml:space="preserve">, , </v>
      </c>
      <c r="M1226" t="str">
        <f>'Audit Report'!O1226</f>
        <v/>
      </c>
      <c r="R1226" t="str">
        <f>'Audit Report'!F1226</f>
        <v/>
      </c>
      <c r="S1226" t="str">
        <f>'Audit Report'!Q1226</f>
        <v/>
      </c>
    </row>
    <row r="1227" spans="9:19">
      <c r="I1227" t="str">
        <f>'Audit Report'!D1227</f>
        <v/>
      </c>
      <c r="J1227" t="str">
        <f>'Audit Report'!H1227</f>
        <v/>
      </c>
      <c r="L1227" t="str">
        <f>_xlfn.TEXTJOIN(", ", FALSE, 'Audit Report'!K1227,'Audit Report'!L1227,'Audit Report'!M1227)</f>
        <v xml:space="preserve">, , </v>
      </c>
      <c r="M1227" t="str">
        <f>'Audit Report'!O1227</f>
        <v/>
      </c>
      <c r="R1227" t="str">
        <f>'Audit Report'!F1227</f>
        <v/>
      </c>
      <c r="S1227" t="str">
        <f>'Audit Report'!Q1227</f>
        <v/>
      </c>
    </row>
    <row r="1228" spans="9:19">
      <c r="I1228" t="str">
        <f>'Audit Report'!D1228</f>
        <v/>
      </c>
      <c r="J1228" t="str">
        <f>'Audit Report'!H1228</f>
        <v/>
      </c>
      <c r="L1228" t="str">
        <f>_xlfn.TEXTJOIN(", ", FALSE, 'Audit Report'!K1228,'Audit Report'!L1228,'Audit Report'!M1228)</f>
        <v xml:space="preserve">, , </v>
      </c>
      <c r="M1228" t="str">
        <f>'Audit Report'!O1228</f>
        <v/>
      </c>
      <c r="R1228" t="str">
        <f>'Audit Report'!F1228</f>
        <v/>
      </c>
      <c r="S1228" t="str">
        <f>'Audit Report'!Q1228</f>
        <v/>
      </c>
    </row>
    <row r="1229" spans="9:19">
      <c r="I1229" t="str">
        <f>'Audit Report'!D1229</f>
        <v/>
      </c>
      <c r="J1229" t="str">
        <f>'Audit Report'!H1229</f>
        <v/>
      </c>
      <c r="L1229" t="str">
        <f>_xlfn.TEXTJOIN(", ", FALSE, 'Audit Report'!K1229,'Audit Report'!L1229,'Audit Report'!M1229)</f>
        <v xml:space="preserve">, , </v>
      </c>
      <c r="M1229" t="str">
        <f>'Audit Report'!O1229</f>
        <v/>
      </c>
      <c r="R1229" t="str">
        <f>'Audit Report'!F1229</f>
        <v/>
      </c>
      <c r="S1229" t="str">
        <f>'Audit Report'!Q1229</f>
        <v/>
      </c>
    </row>
    <row r="1230" spans="9:19">
      <c r="I1230" t="str">
        <f>'Audit Report'!D1230</f>
        <v/>
      </c>
      <c r="J1230" t="str">
        <f>'Audit Report'!H1230</f>
        <v/>
      </c>
      <c r="L1230" t="str">
        <f>_xlfn.TEXTJOIN(", ", FALSE, 'Audit Report'!K1230,'Audit Report'!L1230,'Audit Report'!M1230)</f>
        <v xml:space="preserve">, , </v>
      </c>
      <c r="M1230" t="str">
        <f>'Audit Report'!O1230</f>
        <v/>
      </c>
      <c r="R1230" t="str">
        <f>'Audit Report'!F1230</f>
        <v/>
      </c>
      <c r="S1230" t="str">
        <f>'Audit Report'!Q1230</f>
        <v/>
      </c>
    </row>
    <row r="1231" spans="9:19">
      <c r="I1231" t="str">
        <f>'Audit Report'!D1231</f>
        <v/>
      </c>
      <c r="J1231" t="str">
        <f>'Audit Report'!H1231</f>
        <v/>
      </c>
      <c r="L1231" t="str">
        <f>_xlfn.TEXTJOIN(", ", FALSE, 'Audit Report'!K1231,'Audit Report'!L1231,'Audit Report'!M1231)</f>
        <v xml:space="preserve">, , </v>
      </c>
      <c r="M1231" t="str">
        <f>'Audit Report'!O1231</f>
        <v/>
      </c>
      <c r="R1231" t="str">
        <f>'Audit Report'!F1231</f>
        <v/>
      </c>
      <c r="S1231" t="str">
        <f>'Audit Report'!Q1231</f>
        <v/>
      </c>
    </row>
    <row r="1232" spans="9:19">
      <c r="I1232" t="str">
        <f>'Audit Report'!D1232</f>
        <v/>
      </c>
      <c r="J1232" t="str">
        <f>'Audit Report'!H1232</f>
        <v/>
      </c>
      <c r="L1232" t="str">
        <f>_xlfn.TEXTJOIN(", ", FALSE, 'Audit Report'!K1232,'Audit Report'!L1232,'Audit Report'!M1232)</f>
        <v xml:space="preserve">, , </v>
      </c>
      <c r="M1232" t="str">
        <f>'Audit Report'!O1232</f>
        <v/>
      </c>
      <c r="R1232" t="str">
        <f>'Audit Report'!F1232</f>
        <v/>
      </c>
      <c r="S1232" t="str">
        <f>'Audit Report'!Q1232</f>
        <v/>
      </c>
    </row>
    <row r="1233" spans="9:19">
      <c r="I1233" t="str">
        <f>'Audit Report'!D1233</f>
        <v/>
      </c>
      <c r="J1233" t="str">
        <f>'Audit Report'!H1233</f>
        <v/>
      </c>
      <c r="L1233" t="str">
        <f>_xlfn.TEXTJOIN(", ", FALSE, 'Audit Report'!K1233,'Audit Report'!L1233,'Audit Report'!M1233)</f>
        <v xml:space="preserve">, , </v>
      </c>
      <c r="M1233" t="str">
        <f>'Audit Report'!O1233</f>
        <v/>
      </c>
      <c r="R1233" t="str">
        <f>'Audit Report'!F1233</f>
        <v/>
      </c>
      <c r="S1233" t="str">
        <f>'Audit Report'!Q1233</f>
        <v/>
      </c>
    </row>
    <row r="1234" spans="9:19">
      <c r="I1234" t="str">
        <f>'Audit Report'!D1234</f>
        <v/>
      </c>
      <c r="J1234" t="str">
        <f>'Audit Report'!H1234</f>
        <v/>
      </c>
      <c r="L1234" t="str">
        <f>_xlfn.TEXTJOIN(", ", FALSE, 'Audit Report'!K1234,'Audit Report'!L1234,'Audit Report'!M1234)</f>
        <v xml:space="preserve">, , </v>
      </c>
      <c r="M1234" t="str">
        <f>'Audit Report'!O1234</f>
        <v/>
      </c>
      <c r="R1234" t="str">
        <f>'Audit Report'!F1234</f>
        <v/>
      </c>
      <c r="S1234" t="str">
        <f>'Audit Report'!Q1234</f>
        <v/>
      </c>
    </row>
    <row r="1235" spans="9:19">
      <c r="I1235" t="str">
        <f>'Audit Report'!D1235</f>
        <v/>
      </c>
      <c r="J1235" t="str">
        <f>'Audit Report'!H1235</f>
        <v/>
      </c>
      <c r="L1235" t="str">
        <f>_xlfn.TEXTJOIN(", ", FALSE, 'Audit Report'!K1235,'Audit Report'!L1235,'Audit Report'!M1235)</f>
        <v xml:space="preserve">, , </v>
      </c>
      <c r="M1235" t="str">
        <f>'Audit Report'!O1235</f>
        <v/>
      </c>
      <c r="R1235" t="str">
        <f>'Audit Report'!F1235</f>
        <v/>
      </c>
      <c r="S1235" t="str">
        <f>'Audit Report'!Q1235</f>
        <v/>
      </c>
    </row>
    <row r="1236" spans="9:19">
      <c r="I1236" t="str">
        <f>'Audit Report'!D1236</f>
        <v/>
      </c>
      <c r="J1236" t="str">
        <f>'Audit Report'!H1236</f>
        <v/>
      </c>
      <c r="L1236" t="str">
        <f>_xlfn.TEXTJOIN(", ", FALSE, 'Audit Report'!K1236,'Audit Report'!L1236,'Audit Report'!M1236)</f>
        <v xml:space="preserve">, , </v>
      </c>
      <c r="M1236" t="str">
        <f>'Audit Report'!O1236</f>
        <v/>
      </c>
      <c r="R1236" t="str">
        <f>'Audit Report'!F1236</f>
        <v/>
      </c>
      <c r="S1236" t="str">
        <f>'Audit Report'!Q1236</f>
        <v/>
      </c>
    </row>
    <row r="1237" spans="9:19">
      <c r="I1237" t="str">
        <f>'Audit Report'!D1237</f>
        <v/>
      </c>
      <c r="J1237" t="str">
        <f>'Audit Report'!H1237</f>
        <v/>
      </c>
      <c r="L1237" t="str">
        <f>_xlfn.TEXTJOIN(", ", FALSE, 'Audit Report'!K1237,'Audit Report'!L1237,'Audit Report'!M1237)</f>
        <v xml:space="preserve">, , </v>
      </c>
      <c r="M1237" t="str">
        <f>'Audit Report'!O1237</f>
        <v/>
      </c>
      <c r="R1237" t="str">
        <f>'Audit Report'!F1237</f>
        <v/>
      </c>
      <c r="S1237" t="str">
        <f>'Audit Report'!Q1237</f>
        <v/>
      </c>
    </row>
    <row r="1238" spans="9:19">
      <c r="I1238" t="str">
        <f>'Audit Report'!D1238</f>
        <v/>
      </c>
      <c r="J1238" t="str">
        <f>'Audit Report'!H1238</f>
        <v/>
      </c>
      <c r="L1238" t="str">
        <f>_xlfn.TEXTJOIN(", ", FALSE, 'Audit Report'!K1238,'Audit Report'!L1238,'Audit Report'!M1238)</f>
        <v xml:space="preserve">, , </v>
      </c>
      <c r="M1238" t="str">
        <f>'Audit Report'!O1238</f>
        <v/>
      </c>
      <c r="R1238" t="str">
        <f>'Audit Report'!F1238</f>
        <v/>
      </c>
      <c r="S1238" t="str">
        <f>'Audit Report'!Q1238</f>
        <v/>
      </c>
    </row>
    <row r="1239" spans="9:19">
      <c r="I1239" t="str">
        <f>'Audit Report'!D1239</f>
        <v/>
      </c>
      <c r="J1239" t="str">
        <f>'Audit Report'!H1239</f>
        <v/>
      </c>
      <c r="L1239" t="str">
        <f>_xlfn.TEXTJOIN(", ", FALSE, 'Audit Report'!K1239,'Audit Report'!L1239,'Audit Report'!M1239)</f>
        <v xml:space="preserve">, , </v>
      </c>
      <c r="M1239" t="str">
        <f>'Audit Report'!O1239</f>
        <v/>
      </c>
      <c r="R1239" t="str">
        <f>'Audit Report'!F1239</f>
        <v/>
      </c>
      <c r="S1239" t="str">
        <f>'Audit Report'!Q1239</f>
        <v/>
      </c>
    </row>
    <row r="1240" spans="9:19">
      <c r="I1240" t="str">
        <f>'Audit Report'!D1240</f>
        <v/>
      </c>
      <c r="J1240" t="str">
        <f>'Audit Report'!H1240</f>
        <v/>
      </c>
      <c r="L1240" t="str">
        <f>_xlfn.TEXTJOIN(", ", FALSE, 'Audit Report'!K1240,'Audit Report'!L1240,'Audit Report'!M1240)</f>
        <v xml:space="preserve">, , </v>
      </c>
      <c r="M1240" t="str">
        <f>'Audit Report'!O1240</f>
        <v/>
      </c>
      <c r="R1240" t="str">
        <f>'Audit Report'!F1240</f>
        <v/>
      </c>
      <c r="S1240" t="str">
        <f>'Audit Report'!Q1240</f>
        <v/>
      </c>
    </row>
    <row r="1241" spans="9:19">
      <c r="I1241" t="str">
        <f>'Audit Report'!D1241</f>
        <v/>
      </c>
      <c r="J1241" t="str">
        <f>'Audit Report'!H1241</f>
        <v/>
      </c>
      <c r="L1241" t="str">
        <f>_xlfn.TEXTJOIN(", ", FALSE, 'Audit Report'!K1241,'Audit Report'!L1241,'Audit Report'!M1241)</f>
        <v xml:space="preserve">, , </v>
      </c>
      <c r="M1241" t="str">
        <f>'Audit Report'!O1241</f>
        <v/>
      </c>
      <c r="R1241" t="str">
        <f>'Audit Report'!F1241</f>
        <v/>
      </c>
      <c r="S1241" t="str">
        <f>'Audit Report'!Q1241</f>
        <v/>
      </c>
    </row>
    <row r="1242" spans="9:19">
      <c r="I1242" t="str">
        <f>'Audit Report'!D1242</f>
        <v/>
      </c>
      <c r="J1242" t="str">
        <f>'Audit Report'!H1242</f>
        <v/>
      </c>
      <c r="L1242" t="str">
        <f>_xlfn.TEXTJOIN(", ", FALSE, 'Audit Report'!K1242,'Audit Report'!L1242,'Audit Report'!M1242)</f>
        <v xml:space="preserve">, , </v>
      </c>
      <c r="M1242" t="str">
        <f>'Audit Report'!O1242</f>
        <v/>
      </c>
      <c r="R1242" t="str">
        <f>'Audit Report'!F1242</f>
        <v/>
      </c>
      <c r="S1242" t="str">
        <f>'Audit Report'!Q1242</f>
        <v/>
      </c>
    </row>
    <row r="1243" spans="9:19">
      <c r="I1243" t="str">
        <f>'Audit Report'!D1243</f>
        <v/>
      </c>
      <c r="J1243" t="str">
        <f>'Audit Report'!H1243</f>
        <v/>
      </c>
      <c r="L1243" t="str">
        <f>_xlfn.TEXTJOIN(", ", FALSE, 'Audit Report'!K1243,'Audit Report'!L1243,'Audit Report'!M1243)</f>
        <v xml:space="preserve">, , </v>
      </c>
      <c r="M1243" t="str">
        <f>'Audit Report'!O1243</f>
        <v/>
      </c>
      <c r="R1243" t="str">
        <f>'Audit Report'!F1243</f>
        <v/>
      </c>
      <c r="S1243" t="str">
        <f>'Audit Report'!Q1243</f>
        <v/>
      </c>
    </row>
    <row r="1244" spans="9:19">
      <c r="I1244" t="str">
        <f>'Audit Report'!D1244</f>
        <v/>
      </c>
      <c r="J1244" t="str">
        <f>'Audit Report'!H1244</f>
        <v/>
      </c>
      <c r="L1244" t="str">
        <f>_xlfn.TEXTJOIN(", ", FALSE, 'Audit Report'!K1244,'Audit Report'!L1244,'Audit Report'!M1244)</f>
        <v xml:space="preserve">, , </v>
      </c>
      <c r="M1244" t="str">
        <f>'Audit Report'!O1244</f>
        <v/>
      </c>
      <c r="R1244" t="str">
        <f>'Audit Report'!F1244</f>
        <v/>
      </c>
      <c r="S1244" t="str">
        <f>'Audit Report'!Q1244</f>
        <v/>
      </c>
    </row>
    <row r="1245" spans="9:19">
      <c r="I1245" t="str">
        <f>'Audit Report'!D1245</f>
        <v/>
      </c>
      <c r="J1245" t="str">
        <f>'Audit Report'!H1245</f>
        <v/>
      </c>
      <c r="L1245" t="str">
        <f>_xlfn.TEXTJOIN(", ", FALSE, 'Audit Report'!K1245,'Audit Report'!L1245,'Audit Report'!M1245)</f>
        <v xml:space="preserve">, , </v>
      </c>
      <c r="M1245" t="str">
        <f>'Audit Report'!O1245</f>
        <v/>
      </c>
      <c r="R1245" t="str">
        <f>'Audit Report'!F1245</f>
        <v/>
      </c>
      <c r="S1245" t="str">
        <f>'Audit Report'!Q1245</f>
        <v/>
      </c>
    </row>
    <row r="1246" spans="9:19">
      <c r="I1246" t="str">
        <f>'Audit Report'!D1246</f>
        <v/>
      </c>
      <c r="J1246" t="str">
        <f>'Audit Report'!H1246</f>
        <v/>
      </c>
      <c r="L1246" t="str">
        <f>_xlfn.TEXTJOIN(", ", FALSE, 'Audit Report'!K1246,'Audit Report'!L1246,'Audit Report'!M1246)</f>
        <v xml:space="preserve">, , </v>
      </c>
      <c r="M1246" t="str">
        <f>'Audit Report'!O1246</f>
        <v/>
      </c>
      <c r="R1246" t="str">
        <f>'Audit Report'!F1246</f>
        <v/>
      </c>
      <c r="S1246" t="str">
        <f>'Audit Report'!Q1246</f>
        <v/>
      </c>
    </row>
    <row r="1247" spans="9:19">
      <c r="I1247" t="str">
        <f>'Audit Report'!D1247</f>
        <v/>
      </c>
      <c r="J1247" t="str">
        <f>'Audit Report'!H1247</f>
        <v/>
      </c>
      <c r="L1247" t="str">
        <f>_xlfn.TEXTJOIN(", ", FALSE, 'Audit Report'!K1247,'Audit Report'!L1247,'Audit Report'!M1247)</f>
        <v xml:space="preserve">, , </v>
      </c>
      <c r="M1247" t="str">
        <f>'Audit Report'!O1247</f>
        <v/>
      </c>
      <c r="R1247" t="str">
        <f>'Audit Report'!F1247</f>
        <v/>
      </c>
      <c r="S1247" t="str">
        <f>'Audit Report'!Q1247</f>
        <v/>
      </c>
    </row>
    <row r="1248" spans="9:19">
      <c r="I1248" t="str">
        <f>'Audit Report'!D1248</f>
        <v/>
      </c>
      <c r="J1248" t="str">
        <f>'Audit Report'!H1248</f>
        <v/>
      </c>
      <c r="L1248" t="str">
        <f>_xlfn.TEXTJOIN(", ", FALSE, 'Audit Report'!K1248,'Audit Report'!L1248,'Audit Report'!M1248)</f>
        <v xml:space="preserve">, , </v>
      </c>
      <c r="M1248" t="str">
        <f>'Audit Report'!O1248</f>
        <v/>
      </c>
      <c r="R1248" t="str">
        <f>'Audit Report'!F1248</f>
        <v/>
      </c>
      <c r="S1248" t="str">
        <f>'Audit Report'!Q1248</f>
        <v/>
      </c>
    </row>
    <row r="1249" spans="9:19">
      <c r="I1249" t="str">
        <f>'Audit Report'!D1249</f>
        <v/>
      </c>
      <c r="J1249" t="str">
        <f>'Audit Report'!H1249</f>
        <v/>
      </c>
      <c r="L1249" t="str">
        <f>_xlfn.TEXTJOIN(", ", FALSE, 'Audit Report'!K1249,'Audit Report'!L1249,'Audit Report'!M1249)</f>
        <v xml:space="preserve">, , </v>
      </c>
      <c r="M1249" t="str">
        <f>'Audit Report'!O1249</f>
        <v/>
      </c>
      <c r="R1249" t="str">
        <f>'Audit Report'!F1249</f>
        <v/>
      </c>
      <c r="S1249" t="str">
        <f>'Audit Report'!Q1249</f>
        <v/>
      </c>
    </row>
    <row r="1250" spans="9:19">
      <c r="I1250" t="str">
        <f>'Audit Report'!D1250</f>
        <v/>
      </c>
      <c r="J1250" t="str">
        <f>'Audit Report'!H1250</f>
        <v/>
      </c>
      <c r="L1250" t="str">
        <f>_xlfn.TEXTJOIN(", ", FALSE, 'Audit Report'!K1250,'Audit Report'!L1250,'Audit Report'!M1250)</f>
        <v xml:space="preserve">, , </v>
      </c>
      <c r="M1250" t="str">
        <f>'Audit Report'!O1250</f>
        <v/>
      </c>
      <c r="R1250" t="str">
        <f>'Audit Report'!F1250</f>
        <v/>
      </c>
      <c r="S1250" t="str">
        <f>'Audit Report'!Q1250</f>
        <v/>
      </c>
    </row>
    <row r="1251" spans="9:19">
      <c r="I1251" t="str">
        <f>'Audit Report'!D1251</f>
        <v/>
      </c>
      <c r="J1251" t="str">
        <f>'Audit Report'!H1251</f>
        <v/>
      </c>
      <c r="L1251" t="str">
        <f>_xlfn.TEXTJOIN(", ", FALSE, 'Audit Report'!K1251,'Audit Report'!L1251,'Audit Report'!M1251)</f>
        <v xml:space="preserve">, , </v>
      </c>
      <c r="M1251" t="str">
        <f>'Audit Report'!O1251</f>
        <v/>
      </c>
      <c r="R1251" t="str">
        <f>'Audit Report'!F1251</f>
        <v/>
      </c>
      <c r="S1251" t="str">
        <f>'Audit Report'!Q1251</f>
        <v/>
      </c>
    </row>
    <row r="1252" spans="9:19">
      <c r="I1252" t="str">
        <f>'Audit Report'!D1252</f>
        <v/>
      </c>
      <c r="J1252" t="str">
        <f>'Audit Report'!H1252</f>
        <v/>
      </c>
      <c r="L1252" t="str">
        <f>_xlfn.TEXTJOIN(", ", FALSE, 'Audit Report'!K1252,'Audit Report'!L1252,'Audit Report'!M1252)</f>
        <v xml:space="preserve">, , </v>
      </c>
      <c r="M1252" t="str">
        <f>'Audit Report'!O1252</f>
        <v/>
      </c>
      <c r="R1252" t="str">
        <f>'Audit Report'!F1252</f>
        <v/>
      </c>
      <c r="S1252" t="str">
        <f>'Audit Report'!Q1252</f>
        <v/>
      </c>
    </row>
    <row r="1253" spans="9:19">
      <c r="I1253" t="str">
        <f>'Audit Report'!D1253</f>
        <v/>
      </c>
      <c r="J1253" t="str">
        <f>'Audit Report'!H1253</f>
        <v/>
      </c>
      <c r="L1253" t="str">
        <f>_xlfn.TEXTJOIN(", ", FALSE, 'Audit Report'!K1253,'Audit Report'!L1253,'Audit Report'!M1253)</f>
        <v xml:space="preserve">, , </v>
      </c>
      <c r="M1253" t="str">
        <f>'Audit Report'!O1253</f>
        <v/>
      </c>
      <c r="R1253" t="str">
        <f>'Audit Report'!F1253</f>
        <v/>
      </c>
      <c r="S1253" t="str">
        <f>'Audit Report'!Q1253</f>
        <v/>
      </c>
    </row>
    <row r="1254" spans="9:19">
      <c r="I1254" t="str">
        <f>'Audit Report'!D1254</f>
        <v/>
      </c>
      <c r="J1254" t="str">
        <f>'Audit Report'!H1254</f>
        <v/>
      </c>
      <c r="L1254" t="str">
        <f>_xlfn.TEXTJOIN(", ", FALSE, 'Audit Report'!K1254,'Audit Report'!L1254,'Audit Report'!M1254)</f>
        <v xml:space="preserve">, , </v>
      </c>
      <c r="M1254" t="str">
        <f>'Audit Report'!O1254</f>
        <v/>
      </c>
      <c r="R1254" t="str">
        <f>'Audit Report'!F1254</f>
        <v/>
      </c>
      <c r="S1254" t="str">
        <f>'Audit Report'!Q1254</f>
        <v/>
      </c>
    </row>
    <row r="1255" spans="9:19">
      <c r="I1255" t="str">
        <f>'Audit Report'!D1255</f>
        <v/>
      </c>
      <c r="J1255" t="str">
        <f>'Audit Report'!H1255</f>
        <v/>
      </c>
      <c r="L1255" t="str">
        <f>_xlfn.TEXTJOIN(", ", FALSE, 'Audit Report'!K1255,'Audit Report'!L1255,'Audit Report'!M1255)</f>
        <v xml:space="preserve">, , </v>
      </c>
      <c r="M1255" t="str">
        <f>'Audit Report'!O1255</f>
        <v/>
      </c>
      <c r="R1255" t="str">
        <f>'Audit Report'!F1255</f>
        <v/>
      </c>
      <c r="S1255" t="str">
        <f>'Audit Report'!Q1255</f>
        <v/>
      </c>
    </row>
    <row r="1256" spans="9:19">
      <c r="I1256" t="str">
        <f>'Audit Report'!D1256</f>
        <v/>
      </c>
      <c r="J1256" t="str">
        <f>'Audit Report'!H1256</f>
        <v/>
      </c>
      <c r="L1256" t="str">
        <f>_xlfn.TEXTJOIN(", ", FALSE, 'Audit Report'!K1256,'Audit Report'!L1256,'Audit Report'!M1256)</f>
        <v xml:space="preserve">, , </v>
      </c>
      <c r="M1256" t="str">
        <f>'Audit Report'!O1256</f>
        <v/>
      </c>
      <c r="R1256" t="str">
        <f>'Audit Report'!F1256</f>
        <v/>
      </c>
      <c r="S1256" t="str">
        <f>'Audit Report'!Q1256</f>
        <v/>
      </c>
    </row>
    <row r="1257" spans="9:19">
      <c r="I1257" t="str">
        <f>'Audit Report'!D1257</f>
        <v/>
      </c>
      <c r="J1257" t="str">
        <f>'Audit Report'!H1257</f>
        <v/>
      </c>
      <c r="L1257" t="str">
        <f>_xlfn.TEXTJOIN(", ", FALSE, 'Audit Report'!K1257,'Audit Report'!L1257,'Audit Report'!M1257)</f>
        <v xml:space="preserve">, , </v>
      </c>
      <c r="M1257" t="str">
        <f>'Audit Report'!O1257</f>
        <v/>
      </c>
      <c r="R1257" t="str">
        <f>'Audit Report'!F1257</f>
        <v/>
      </c>
      <c r="S1257" t="str">
        <f>'Audit Report'!Q1257</f>
        <v/>
      </c>
    </row>
    <row r="1258" spans="9:19">
      <c r="I1258" t="str">
        <f>'Audit Report'!D1258</f>
        <v/>
      </c>
      <c r="J1258" t="str">
        <f>'Audit Report'!H1258</f>
        <v/>
      </c>
      <c r="L1258" t="str">
        <f>_xlfn.TEXTJOIN(", ", FALSE, 'Audit Report'!K1258,'Audit Report'!L1258,'Audit Report'!M1258)</f>
        <v xml:space="preserve">, , </v>
      </c>
      <c r="M1258" t="str">
        <f>'Audit Report'!O1258</f>
        <v/>
      </c>
      <c r="R1258" t="str">
        <f>'Audit Report'!F1258</f>
        <v/>
      </c>
      <c r="S1258" t="str">
        <f>'Audit Report'!Q1258</f>
        <v/>
      </c>
    </row>
    <row r="1259" spans="9:19">
      <c r="I1259" t="str">
        <f>'Audit Report'!D1259</f>
        <v/>
      </c>
      <c r="J1259" t="str">
        <f>'Audit Report'!H1259</f>
        <v/>
      </c>
      <c r="L1259" t="str">
        <f>_xlfn.TEXTJOIN(", ", FALSE, 'Audit Report'!K1259,'Audit Report'!L1259,'Audit Report'!M1259)</f>
        <v xml:space="preserve">, , </v>
      </c>
      <c r="M1259" t="str">
        <f>'Audit Report'!O1259</f>
        <v/>
      </c>
      <c r="R1259" t="str">
        <f>'Audit Report'!F1259</f>
        <v/>
      </c>
      <c r="S1259" t="str">
        <f>'Audit Report'!Q1259</f>
        <v/>
      </c>
    </row>
    <row r="1260" spans="9:19">
      <c r="I1260" t="str">
        <f>'Audit Report'!D1260</f>
        <v/>
      </c>
      <c r="J1260" t="str">
        <f>'Audit Report'!H1260</f>
        <v/>
      </c>
      <c r="L1260" t="str">
        <f>_xlfn.TEXTJOIN(", ", FALSE, 'Audit Report'!K1260,'Audit Report'!L1260,'Audit Report'!M1260)</f>
        <v xml:space="preserve">, , </v>
      </c>
      <c r="M1260" t="str">
        <f>'Audit Report'!O1260</f>
        <v/>
      </c>
      <c r="R1260" t="str">
        <f>'Audit Report'!F1260</f>
        <v/>
      </c>
      <c r="S1260" t="str">
        <f>'Audit Report'!Q1260</f>
        <v/>
      </c>
    </row>
    <row r="1261" spans="9:19">
      <c r="I1261" t="str">
        <f>'Audit Report'!D1261</f>
        <v/>
      </c>
      <c r="J1261" t="str">
        <f>'Audit Report'!H1261</f>
        <v/>
      </c>
      <c r="L1261" t="str">
        <f>_xlfn.TEXTJOIN(", ", FALSE, 'Audit Report'!K1261,'Audit Report'!L1261,'Audit Report'!M1261)</f>
        <v xml:space="preserve">, , </v>
      </c>
      <c r="M1261" t="str">
        <f>'Audit Report'!O1261</f>
        <v/>
      </c>
      <c r="R1261" t="str">
        <f>'Audit Report'!F1261</f>
        <v/>
      </c>
      <c r="S1261" t="str">
        <f>'Audit Report'!Q1261</f>
        <v/>
      </c>
    </row>
    <row r="1262" spans="9:19">
      <c r="I1262" t="str">
        <f>'Audit Report'!D1262</f>
        <v/>
      </c>
      <c r="J1262" t="str">
        <f>'Audit Report'!H1262</f>
        <v/>
      </c>
      <c r="L1262" t="str">
        <f>_xlfn.TEXTJOIN(", ", FALSE, 'Audit Report'!K1262,'Audit Report'!L1262,'Audit Report'!M1262)</f>
        <v xml:space="preserve">, , </v>
      </c>
      <c r="M1262" t="str">
        <f>'Audit Report'!O1262</f>
        <v/>
      </c>
      <c r="R1262" t="str">
        <f>'Audit Report'!F1262</f>
        <v/>
      </c>
      <c r="S1262" t="str">
        <f>'Audit Report'!Q1262</f>
        <v/>
      </c>
    </row>
    <row r="1263" spans="9:19">
      <c r="I1263" t="str">
        <f>'Audit Report'!D1263</f>
        <v/>
      </c>
      <c r="J1263" t="str">
        <f>'Audit Report'!H1263</f>
        <v/>
      </c>
      <c r="L1263" t="str">
        <f>_xlfn.TEXTJOIN(", ", FALSE, 'Audit Report'!K1263,'Audit Report'!L1263,'Audit Report'!M1263)</f>
        <v xml:space="preserve">, , </v>
      </c>
      <c r="M1263" t="str">
        <f>'Audit Report'!O1263</f>
        <v/>
      </c>
      <c r="R1263" t="str">
        <f>'Audit Report'!F1263</f>
        <v/>
      </c>
      <c r="S1263" t="str">
        <f>'Audit Report'!Q1263</f>
        <v/>
      </c>
    </row>
    <row r="1264" spans="9:19">
      <c r="I1264" t="str">
        <f>'Audit Report'!D1264</f>
        <v/>
      </c>
      <c r="J1264" t="str">
        <f>'Audit Report'!H1264</f>
        <v/>
      </c>
      <c r="L1264" t="str">
        <f>_xlfn.TEXTJOIN(", ", FALSE, 'Audit Report'!K1264,'Audit Report'!L1264,'Audit Report'!M1264)</f>
        <v xml:space="preserve">, , </v>
      </c>
      <c r="M1264" t="str">
        <f>'Audit Report'!O1264</f>
        <v/>
      </c>
      <c r="R1264" t="str">
        <f>'Audit Report'!F1264</f>
        <v/>
      </c>
      <c r="S1264" t="str">
        <f>'Audit Report'!Q1264</f>
        <v/>
      </c>
    </row>
    <row r="1265" spans="9:19">
      <c r="I1265" t="str">
        <f>'Audit Report'!D1265</f>
        <v/>
      </c>
      <c r="J1265" t="str">
        <f>'Audit Report'!H1265</f>
        <v/>
      </c>
      <c r="L1265" t="str">
        <f>_xlfn.TEXTJOIN(", ", FALSE, 'Audit Report'!K1265,'Audit Report'!L1265,'Audit Report'!M1265)</f>
        <v xml:space="preserve">, , </v>
      </c>
      <c r="M1265" t="str">
        <f>'Audit Report'!O1265</f>
        <v/>
      </c>
      <c r="R1265" t="str">
        <f>'Audit Report'!F1265</f>
        <v/>
      </c>
      <c r="S1265" t="str">
        <f>'Audit Report'!Q1265</f>
        <v/>
      </c>
    </row>
    <row r="1266" spans="9:19">
      <c r="I1266" t="str">
        <f>'Audit Report'!D1266</f>
        <v/>
      </c>
      <c r="J1266" t="str">
        <f>'Audit Report'!H1266</f>
        <v/>
      </c>
      <c r="L1266" t="str">
        <f>_xlfn.TEXTJOIN(", ", FALSE, 'Audit Report'!K1266,'Audit Report'!L1266,'Audit Report'!M1266)</f>
        <v xml:space="preserve">, , </v>
      </c>
      <c r="M1266" t="str">
        <f>'Audit Report'!O1266</f>
        <v/>
      </c>
      <c r="R1266" t="str">
        <f>'Audit Report'!F1266</f>
        <v/>
      </c>
      <c r="S1266" t="str">
        <f>'Audit Report'!Q1266</f>
        <v/>
      </c>
    </row>
    <row r="1267" spans="9:19">
      <c r="I1267" t="str">
        <f>'Audit Report'!D1267</f>
        <v/>
      </c>
      <c r="J1267" t="str">
        <f>'Audit Report'!H1267</f>
        <v/>
      </c>
      <c r="L1267" t="str">
        <f>_xlfn.TEXTJOIN(", ", FALSE, 'Audit Report'!K1267,'Audit Report'!L1267,'Audit Report'!M1267)</f>
        <v xml:space="preserve">, , </v>
      </c>
      <c r="M1267" t="str">
        <f>'Audit Report'!O1267</f>
        <v/>
      </c>
      <c r="R1267" t="str">
        <f>'Audit Report'!F1267</f>
        <v/>
      </c>
      <c r="S1267" t="str">
        <f>'Audit Report'!Q1267</f>
        <v/>
      </c>
    </row>
    <row r="1268" spans="9:19">
      <c r="I1268" t="str">
        <f>'Audit Report'!D1268</f>
        <v/>
      </c>
      <c r="J1268" t="str">
        <f>'Audit Report'!H1268</f>
        <v/>
      </c>
      <c r="L1268" t="str">
        <f>_xlfn.TEXTJOIN(", ", FALSE, 'Audit Report'!K1268,'Audit Report'!L1268,'Audit Report'!M1268)</f>
        <v xml:space="preserve">, , </v>
      </c>
      <c r="M1268" t="str">
        <f>'Audit Report'!O1268</f>
        <v/>
      </c>
      <c r="R1268" t="str">
        <f>'Audit Report'!F1268</f>
        <v/>
      </c>
      <c r="S1268" t="str">
        <f>'Audit Report'!Q1268</f>
        <v/>
      </c>
    </row>
    <row r="1269" spans="9:19">
      <c r="I1269" t="str">
        <f>'Audit Report'!D1269</f>
        <v/>
      </c>
      <c r="J1269" t="str">
        <f>'Audit Report'!H1269</f>
        <v/>
      </c>
      <c r="L1269" t="str">
        <f>_xlfn.TEXTJOIN(", ", FALSE, 'Audit Report'!K1269,'Audit Report'!L1269,'Audit Report'!M1269)</f>
        <v xml:space="preserve">, , </v>
      </c>
      <c r="M1269" t="str">
        <f>'Audit Report'!O1269</f>
        <v/>
      </c>
      <c r="R1269" t="str">
        <f>'Audit Report'!F1269</f>
        <v/>
      </c>
      <c r="S1269" t="str">
        <f>'Audit Report'!Q1269</f>
        <v/>
      </c>
    </row>
    <row r="1270" spans="9:19">
      <c r="I1270" t="str">
        <f>'Audit Report'!D1270</f>
        <v/>
      </c>
      <c r="J1270" t="str">
        <f>'Audit Report'!H1270</f>
        <v/>
      </c>
      <c r="L1270" t="str">
        <f>_xlfn.TEXTJOIN(", ", FALSE, 'Audit Report'!K1270,'Audit Report'!L1270,'Audit Report'!M1270)</f>
        <v xml:space="preserve">, , </v>
      </c>
      <c r="M1270" t="str">
        <f>'Audit Report'!O1270</f>
        <v/>
      </c>
      <c r="R1270" t="str">
        <f>'Audit Report'!F1270</f>
        <v/>
      </c>
      <c r="S1270" t="str">
        <f>'Audit Report'!Q1270</f>
        <v/>
      </c>
    </row>
    <row r="1271" spans="9:19">
      <c r="I1271" t="str">
        <f>'Audit Report'!D1271</f>
        <v/>
      </c>
      <c r="J1271" t="str">
        <f>'Audit Report'!H1271</f>
        <v/>
      </c>
      <c r="L1271" t="str">
        <f>_xlfn.TEXTJOIN(", ", FALSE, 'Audit Report'!K1271,'Audit Report'!L1271,'Audit Report'!M1271)</f>
        <v xml:space="preserve">, , </v>
      </c>
      <c r="M1271" t="str">
        <f>'Audit Report'!O1271</f>
        <v/>
      </c>
      <c r="R1271" t="str">
        <f>'Audit Report'!F1271</f>
        <v/>
      </c>
      <c r="S1271" t="str">
        <f>'Audit Report'!Q1271</f>
        <v/>
      </c>
    </row>
    <row r="1272" spans="9:19">
      <c r="I1272" t="str">
        <f>'Audit Report'!D1272</f>
        <v/>
      </c>
      <c r="J1272" t="str">
        <f>'Audit Report'!H1272</f>
        <v/>
      </c>
      <c r="L1272" t="str">
        <f>_xlfn.TEXTJOIN(", ", FALSE, 'Audit Report'!K1272,'Audit Report'!L1272,'Audit Report'!M1272)</f>
        <v xml:space="preserve">, , </v>
      </c>
      <c r="M1272" t="str">
        <f>'Audit Report'!O1272</f>
        <v/>
      </c>
      <c r="R1272" t="str">
        <f>'Audit Report'!F1272</f>
        <v/>
      </c>
      <c r="S1272" t="str">
        <f>'Audit Report'!Q1272</f>
        <v/>
      </c>
    </row>
    <row r="1273" spans="9:19">
      <c r="I1273" t="str">
        <f>'Audit Report'!D1273</f>
        <v/>
      </c>
      <c r="J1273" t="str">
        <f>'Audit Report'!H1273</f>
        <v/>
      </c>
      <c r="L1273" t="str">
        <f>_xlfn.TEXTJOIN(", ", FALSE, 'Audit Report'!K1273,'Audit Report'!L1273,'Audit Report'!M1273)</f>
        <v xml:space="preserve">, , </v>
      </c>
      <c r="M1273" t="str">
        <f>'Audit Report'!O1273</f>
        <v/>
      </c>
      <c r="R1273" t="str">
        <f>'Audit Report'!F1273</f>
        <v/>
      </c>
      <c r="S1273" t="str">
        <f>'Audit Report'!Q1273</f>
        <v/>
      </c>
    </row>
    <row r="1274" spans="9:19">
      <c r="I1274" t="str">
        <f>'Audit Report'!D1274</f>
        <v/>
      </c>
      <c r="J1274" t="str">
        <f>'Audit Report'!H1274</f>
        <v/>
      </c>
      <c r="L1274" t="str">
        <f>_xlfn.TEXTJOIN(", ", FALSE, 'Audit Report'!K1274,'Audit Report'!L1274,'Audit Report'!M1274)</f>
        <v xml:space="preserve">, , </v>
      </c>
      <c r="M1274" t="str">
        <f>'Audit Report'!O1274</f>
        <v/>
      </c>
      <c r="R1274" t="str">
        <f>'Audit Report'!F1274</f>
        <v/>
      </c>
      <c r="S1274" t="str">
        <f>'Audit Report'!Q1274</f>
        <v/>
      </c>
    </row>
    <row r="1275" spans="9:19">
      <c r="I1275" t="str">
        <f>'Audit Report'!D1275</f>
        <v/>
      </c>
      <c r="J1275" t="str">
        <f>'Audit Report'!H1275</f>
        <v/>
      </c>
      <c r="L1275" t="str">
        <f>_xlfn.TEXTJOIN(", ", FALSE, 'Audit Report'!K1275,'Audit Report'!L1275,'Audit Report'!M1275)</f>
        <v xml:space="preserve">, , </v>
      </c>
      <c r="M1275" t="str">
        <f>'Audit Report'!O1275</f>
        <v/>
      </c>
      <c r="R1275" t="str">
        <f>'Audit Report'!F1275</f>
        <v/>
      </c>
      <c r="S1275" t="str">
        <f>'Audit Report'!Q1275</f>
        <v/>
      </c>
    </row>
    <row r="1276" spans="9:19">
      <c r="I1276" t="str">
        <f>'Audit Report'!D1276</f>
        <v/>
      </c>
      <c r="J1276" t="str">
        <f>'Audit Report'!H1276</f>
        <v/>
      </c>
      <c r="L1276" t="str">
        <f>_xlfn.TEXTJOIN(", ", FALSE, 'Audit Report'!K1276,'Audit Report'!L1276,'Audit Report'!M1276)</f>
        <v xml:space="preserve">, , </v>
      </c>
      <c r="M1276" t="str">
        <f>'Audit Report'!O1276</f>
        <v/>
      </c>
      <c r="R1276" t="str">
        <f>'Audit Report'!F1276</f>
        <v/>
      </c>
      <c r="S1276" t="str">
        <f>'Audit Report'!Q1276</f>
        <v/>
      </c>
    </row>
    <row r="1277" spans="9:19">
      <c r="I1277" t="str">
        <f>'Audit Report'!D1277</f>
        <v/>
      </c>
      <c r="J1277" t="str">
        <f>'Audit Report'!H1277</f>
        <v/>
      </c>
      <c r="L1277" t="str">
        <f>_xlfn.TEXTJOIN(", ", FALSE, 'Audit Report'!K1277,'Audit Report'!L1277,'Audit Report'!M1277)</f>
        <v xml:space="preserve">, , </v>
      </c>
      <c r="M1277" t="str">
        <f>'Audit Report'!O1277</f>
        <v/>
      </c>
      <c r="R1277" t="str">
        <f>'Audit Report'!F1277</f>
        <v/>
      </c>
      <c r="S1277" t="str">
        <f>'Audit Report'!Q1277</f>
        <v/>
      </c>
    </row>
    <row r="1278" spans="9:19">
      <c r="I1278" t="str">
        <f>'Audit Report'!D1278</f>
        <v/>
      </c>
      <c r="J1278" t="str">
        <f>'Audit Report'!H1278</f>
        <v/>
      </c>
      <c r="L1278" t="str">
        <f>_xlfn.TEXTJOIN(", ", FALSE, 'Audit Report'!K1278,'Audit Report'!L1278,'Audit Report'!M1278)</f>
        <v xml:space="preserve">, , </v>
      </c>
      <c r="M1278" t="str">
        <f>'Audit Report'!O1278</f>
        <v/>
      </c>
      <c r="R1278" t="str">
        <f>'Audit Report'!F1278</f>
        <v/>
      </c>
      <c r="S1278" t="str">
        <f>'Audit Report'!Q1278</f>
        <v/>
      </c>
    </row>
    <row r="1279" spans="9:19">
      <c r="I1279" t="str">
        <f>'Audit Report'!D1279</f>
        <v/>
      </c>
      <c r="J1279" t="str">
        <f>'Audit Report'!H1279</f>
        <v/>
      </c>
      <c r="L1279" t="str">
        <f>_xlfn.TEXTJOIN(", ", FALSE, 'Audit Report'!K1279,'Audit Report'!L1279,'Audit Report'!M1279)</f>
        <v xml:space="preserve">, , </v>
      </c>
      <c r="M1279" t="str">
        <f>'Audit Report'!O1279</f>
        <v/>
      </c>
      <c r="R1279" t="str">
        <f>'Audit Report'!F1279</f>
        <v/>
      </c>
      <c r="S1279" t="str">
        <f>'Audit Report'!Q1279</f>
        <v/>
      </c>
    </row>
    <row r="1280" spans="9:19">
      <c r="I1280" t="str">
        <f>'Audit Report'!D1280</f>
        <v/>
      </c>
      <c r="J1280" t="str">
        <f>'Audit Report'!H1280</f>
        <v/>
      </c>
      <c r="L1280" t="str">
        <f>_xlfn.TEXTJOIN(", ", FALSE, 'Audit Report'!K1280,'Audit Report'!L1280,'Audit Report'!M1280)</f>
        <v xml:space="preserve">, , </v>
      </c>
      <c r="M1280" t="str">
        <f>'Audit Report'!O1280</f>
        <v/>
      </c>
      <c r="R1280" t="str">
        <f>'Audit Report'!F1280</f>
        <v/>
      </c>
      <c r="S1280" t="str">
        <f>'Audit Report'!Q1280</f>
        <v/>
      </c>
    </row>
    <row r="1281" spans="9:19">
      <c r="I1281" t="str">
        <f>'Audit Report'!D1281</f>
        <v/>
      </c>
      <c r="J1281" t="str">
        <f>'Audit Report'!H1281</f>
        <v/>
      </c>
      <c r="L1281" t="str">
        <f>_xlfn.TEXTJOIN(", ", FALSE, 'Audit Report'!K1281,'Audit Report'!L1281,'Audit Report'!M1281)</f>
        <v xml:space="preserve">, , </v>
      </c>
      <c r="M1281" t="str">
        <f>'Audit Report'!O1281</f>
        <v/>
      </c>
      <c r="R1281" t="str">
        <f>'Audit Report'!F1281</f>
        <v/>
      </c>
      <c r="S1281" t="str">
        <f>'Audit Report'!Q1281</f>
        <v/>
      </c>
    </row>
    <row r="1282" spans="9:19">
      <c r="I1282" t="str">
        <f>'Audit Report'!D1282</f>
        <v/>
      </c>
      <c r="J1282" t="str">
        <f>'Audit Report'!H1282</f>
        <v/>
      </c>
      <c r="L1282" t="str">
        <f>_xlfn.TEXTJOIN(", ", FALSE, 'Audit Report'!K1282,'Audit Report'!L1282,'Audit Report'!M1282)</f>
        <v xml:space="preserve">, , </v>
      </c>
      <c r="M1282" t="str">
        <f>'Audit Report'!O1282</f>
        <v/>
      </c>
      <c r="R1282" t="str">
        <f>'Audit Report'!F1282</f>
        <v/>
      </c>
      <c r="S1282" t="str">
        <f>'Audit Report'!Q1282</f>
        <v/>
      </c>
    </row>
    <row r="1283" spans="9:19">
      <c r="I1283" t="str">
        <f>'Audit Report'!D1283</f>
        <v/>
      </c>
      <c r="J1283" t="str">
        <f>'Audit Report'!H1283</f>
        <v/>
      </c>
      <c r="L1283" t="str">
        <f>_xlfn.TEXTJOIN(", ", FALSE, 'Audit Report'!K1283,'Audit Report'!L1283,'Audit Report'!M1283)</f>
        <v xml:space="preserve">, , </v>
      </c>
      <c r="M1283" t="str">
        <f>'Audit Report'!O1283</f>
        <v/>
      </c>
      <c r="R1283" t="str">
        <f>'Audit Report'!F1283</f>
        <v/>
      </c>
      <c r="S1283" t="str">
        <f>'Audit Report'!Q1283</f>
        <v/>
      </c>
    </row>
    <row r="1284" spans="9:19">
      <c r="I1284" t="str">
        <f>'Audit Report'!D1284</f>
        <v/>
      </c>
      <c r="J1284" t="str">
        <f>'Audit Report'!H1284</f>
        <v/>
      </c>
      <c r="L1284" t="str">
        <f>_xlfn.TEXTJOIN(", ", FALSE, 'Audit Report'!K1284,'Audit Report'!L1284,'Audit Report'!M1284)</f>
        <v xml:space="preserve">, , </v>
      </c>
      <c r="M1284" t="str">
        <f>'Audit Report'!O1284</f>
        <v/>
      </c>
      <c r="R1284" t="str">
        <f>'Audit Report'!F1284</f>
        <v/>
      </c>
      <c r="S1284" t="str">
        <f>'Audit Report'!Q1284</f>
        <v/>
      </c>
    </row>
    <row r="1285" spans="9:19">
      <c r="I1285" t="str">
        <f>'Audit Report'!D1285</f>
        <v/>
      </c>
      <c r="J1285" t="str">
        <f>'Audit Report'!H1285</f>
        <v/>
      </c>
      <c r="L1285" t="str">
        <f>_xlfn.TEXTJOIN(", ", FALSE, 'Audit Report'!K1285,'Audit Report'!L1285,'Audit Report'!M1285)</f>
        <v xml:space="preserve">, , </v>
      </c>
      <c r="M1285" t="str">
        <f>'Audit Report'!O1285</f>
        <v/>
      </c>
      <c r="R1285" t="str">
        <f>'Audit Report'!F1285</f>
        <v/>
      </c>
      <c r="S1285" t="str">
        <f>'Audit Report'!Q1285</f>
        <v/>
      </c>
    </row>
    <row r="1286" spans="9:19">
      <c r="I1286" t="str">
        <f>'Audit Report'!D1286</f>
        <v/>
      </c>
      <c r="J1286" t="str">
        <f>'Audit Report'!H1286</f>
        <v/>
      </c>
      <c r="L1286" t="str">
        <f>_xlfn.TEXTJOIN(", ", FALSE, 'Audit Report'!K1286,'Audit Report'!L1286,'Audit Report'!M1286)</f>
        <v xml:space="preserve">, , </v>
      </c>
      <c r="M1286" t="str">
        <f>'Audit Report'!O1286</f>
        <v/>
      </c>
      <c r="R1286" t="str">
        <f>'Audit Report'!F1286</f>
        <v/>
      </c>
      <c r="S1286" t="str">
        <f>'Audit Report'!Q1286</f>
        <v/>
      </c>
    </row>
    <row r="1287" spans="9:19">
      <c r="I1287" t="str">
        <f>'Audit Report'!D1287</f>
        <v/>
      </c>
      <c r="J1287" t="str">
        <f>'Audit Report'!H1287</f>
        <v/>
      </c>
      <c r="L1287" t="str">
        <f>_xlfn.TEXTJOIN(", ", FALSE, 'Audit Report'!K1287,'Audit Report'!L1287,'Audit Report'!M1287)</f>
        <v xml:space="preserve">, , </v>
      </c>
      <c r="M1287" t="str">
        <f>'Audit Report'!O1287</f>
        <v/>
      </c>
      <c r="R1287" t="str">
        <f>'Audit Report'!F1287</f>
        <v/>
      </c>
      <c r="S1287" t="str">
        <f>'Audit Report'!Q1287</f>
        <v/>
      </c>
    </row>
    <row r="1288" spans="9:19">
      <c r="I1288" t="str">
        <f>'Audit Report'!D1288</f>
        <v/>
      </c>
      <c r="J1288" t="str">
        <f>'Audit Report'!H1288</f>
        <v/>
      </c>
      <c r="L1288" t="str">
        <f>_xlfn.TEXTJOIN(", ", FALSE, 'Audit Report'!K1288,'Audit Report'!L1288,'Audit Report'!M1288)</f>
        <v xml:space="preserve">, , </v>
      </c>
      <c r="M1288" t="str">
        <f>'Audit Report'!O1288</f>
        <v/>
      </c>
      <c r="R1288" t="str">
        <f>'Audit Report'!F1288</f>
        <v/>
      </c>
      <c r="S1288" t="str">
        <f>'Audit Report'!Q1288</f>
        <v/>
      </c>
    </row>
    <row r="1289" spans="9:19">
      <c r="I1289" t="str">
        <f>'Audit Report'!D1289</f>
        <v/>
      </c>
      <c r="J1289" t="str">
        <f>'Audit Report'!H1289</f>
        <v/>
      </c>
      <c r="L1289" t="str">
        <f>_xlfn.TEXTJOIN(", ", FALSE, 'Audit Report'!K1289,'Audit Report'!L1289,'Audit Report'!M1289)</f>
        <v xml:space="preserve">, , </v>
      </c>
      <c r="M1289" t="str">
        <f>'Audit Report'!O1289</f>
        <v/>
      </c>
      <c r="R1289" t="str">
        <f>'Audit Report'!F1289</f>
        <v/>
      </c>
      <c r="S1289" t="str">
        <f>'Audit Report'!Q1289</f>
        <v/>
      </c>
    </row>
    <row r="1290" spans="9:19">
      <c r="I1290" t="str">
        <f>'Audit Report'!D1290</f>
        <v/>
      </c>
      <c r="J1290" t="str">
        <f>'Audit Report'!H1290</f>
        <v/>
      </c>
      <c r="L1290" t="str">
        <f>_xlfn.TEXTJOIN(", ", FALSE, 'Audit Report'!K1290,'Audit Report'!L1290,'Audit Report'!M1290)</f>
        <v xml:space="preserve">, , </v>
      </c>
      <c r="M1290" t="str">
        <f>'Audit Report'!O1290</f>
        <v/>
      </c>
      <c r="R1290" t="str">
        <f>'Audit Report'!F1290</f>
        <v/>
      </c>
      <c r="S1290" t="str">
        <f>'Audit Report'!Q1290</f>
        <v/>
      </c>
    </row>
    <row r="1291" spans="9:19">
      <c r="I1291" t="str">
        <f>'Audit Report'!D1291</f>
        <v/>
      </c>
      <c r="J1291" t="str">
        <f>'Audit Report'!H1291</f>
        <v/>
      </c>
      <c r="L1291" t="str">
        <f>_xlfn.TEXTJOIN(", ", FALSE, 'Audit Report'!K1291,'Audit Report'!L1291,'Audit Report'!M1291)</f>
        <v xml:space="preserve">, , </v>
      </c>
      <c r="M1291" t="str">
        <f>'Audit Report'!O1291</f>
        <v/>
      </c>
      <c r="R1291" t="str">
        <f>'Audit Report'!F1291</f>
        <v/>
      </c>
      <c r="S1291" t="str">
        <f>'Audit Report'!Q1291</f>
        <v/>
      </c>
    </row>
    <row r="1292" spans="9:19">
      <c r="I1292" t="str">
        <f>'Audit Report'!D1292</f>
        <v/>
      </c>
      <c r="J1292" t="str">
        <f>'Audit Report'!H1292</f>
        <v/>
      </c>
      <c r="L1292" t="str">
        <f>_xlfn.TEXTJOIN(", ", FALSE, 'Audit Report'!K1292,'Audit Report'!L1292,'Audit Report'!M1292)</f>
        <v xml:space="preserve">, , </v>
      </c>
      <c r="M1292" t="str">
        <f>'Audit Report'!O1292</f>
        <v/>
      </c>
      <c r="R1292" t="str">
        <f>'Audit Report'!F1292</f>
        <v/>
      </c>
      <c r="S1292" t="str">
        <f>'Audit Report'!Q1292</f>
        <v/>
      </c>
    </row>
    <row r="1293" spans="9:19">
      <c r="I1293" t="str">
        <f>'Audit Report'!D1293</f>
        <v/>
      </c>
      <c r="J1293" t="str">
        <f>'Audit Report'!H1293</f>
        <v/>
      </c>
      <c r="L1293" t="str">
        <f>_xlfn.TEXTJOIN(", ", FALSE, 'Audit Report'!K1293,'Audit Report'!L1293,'Audit Report'!M1293)</f>
        <v xml:space="preserve">, , </v>
      </c>
      <c r="M1293" t="str">
        <f>'Audit Report'!O1293</f>
        <v/>
      </c>
      <c r="R1293" t="str">
        <f>'Audit Report'!F1293</f>
        <v/>
      </c>
      <c r="S1293" t="str">
        <f>'Audit Report'!Q1293</f>
        <v/>
      </c>
    </row>
    <row r="1294" spans="9:19">
      <c r="I1294" t="str">
        <f>'Audit Report'!D1294</f>
        <v/>
      </c>
      <c r="J1294" t="str">
        <f>'Audit Report'!H1294</f>
        <v/>
      </c>
      <c r="L1294" t="str">
        <f>_xlfn.TEXTJOIN(", ", FALSE, 'Audit Report'!K1294,'Audit Report'!L1294,'Audit Report'!M1294)</f>
        <v xml:space="preserve">, , </v>
      </c>
      <c r="M1294" t="str">
        <f>'Audit Report'!O1294</f>
        <v/>
      </c>
      <c r="R1294" t="str">
        <f>'Audit Report'!F1294</f>
        <v/>
      </c>
      <c r="S1294" t="str">
        <f>'Audit Report'!Q1294</f>
        <v/>
      </c>
    </row>
    <row r="1295" spans="9:19">
      <c r="I1295" t="str">
        <f>'Audit Report'!D1295</f>
        <v/>
      </c>
      <c r="J1295" t="str">
        <f>'Audit Report'!H1295</f>
        <v/>
      </c>
      <c r="L1295" t="str">
        <f>_xlfn.TEXTJOIN(", ", FALSE, 'Audit Report'!K1295,'Audit Report'!L1295,'Audit Report'!M1295)</f>
        <v xml:space="preserve">, , </v>
      </c>
      <c r="M1295" t="str">
        <f>'Audit Report'!O1295</f>
        <v/>
      </c>
      <c r="R1295" t="str">
        <f>'Audit Report'!F1295</f>
        <v/>
      </c>
      <c r="S1295" t="str">
        <f>'Audit Report'!Q1295</f>
        <v/>
      </c>
    </row>
    <row r="1296" spans="9:19">
      <c r="I1296" t="str">
        <f>'Audit Report'!D1296</f>
        <v/>
      </c>
      <c r="J1296" t="str">
        <f>'Audit Report'!H1296</f>
        <v/>
      </c>
      <c r="L1296" t="str">
        <f>_xlfn.TEXTJOIN(", ", FALSE, 'Audit Report'!K1296,'Audit Report'!L1296,'Audit Report'!M1296)</f>
        <v xml:space="preserve">, , </v>
      </c>
      <c r="M1296" t="str">
        <f>'Audit Report'!O1296</f>
        <v/>
      </c>
      <c r="R1296" t="str">
        <f>'Audit Report'!F1296</f>
        <v/>
      </c>
      <c r="S1296" t="str">
        <f>'Audit Report'!Q1296</f>
        <v/>
      </c>
    </row>
    <row r="1297" spans="9:19">
      <c r="I1297" t="str">
        <f>'Audit Report'!D1297</f>
        <v/>
      </c>
      <c r="J1297" t="str">
        <f>'Audit Report'!H1297</f>
        <v/>
      </c>
      <c r="L1297" t="str">
        <f>_xlfn.TEXTJOIN(", ", FALSE, 'Audit Report'!K1297,'Audit Report'!L1297,'Audit Report'!M1297)</f>
        <v xml:space="preserve">, , </v>
      </c>
      <c r="M1297" t="str">
        <f>'Audit Report'!O1297</f>
        <v/>
      </c>
      <c r="R1297" t="str">
        <f>'Audit Report'!F1297</f>
        <v/>
      </c>
      <c r="S1297" t="str">
        <f>'Audit Report'!Q1297</f>
        <v/>
      </c>
    </row>
    <row r="1298" spans="9:19">
      <c r="I1298" t="str">
        <f>'Audit Report'!D1298</f>
        <v/>
      </c>
      <c r="J1298" t="str">
        <f>'Audit Report'!H1298</f>
        <v/>
      </c>
      <c r="L1298" t="str">
        <f>_xlfn.TEXTJOIN(", ", FALSE, 'Audit Report'!K1298,'Audit Report'!L1298,'Audit Report'!M1298)</f>
        <v xml:space="preserve">, , </v>
      </c>
      <c r="M1298" t="str">
        <f>'Audit Report'!O1298</f>
        <v/>
      </c>
      <c r="R1298" t="str">
        <f>'Audit Report'!F1298</f>
        <v/>
      </c>
      <c r="S1298" t="str">
        <f>'Audit Report'!Q1298</f>
        <v/>
      </c>
    </row>
    <row r="1299" spans="9:19">
      <c r="I1299" t="str">
        <f>'Audit Report'!D1299</f>
        <v/>
      </c>
      <c r="J1299" t="str">
        <f>'Audit Report'!H1299</f>
        <v/>
      </c>
      <c r="L1299" t="str">
        <f>_xlfn.TEXTJOIN(", ", FALSE, 'Audit Report'!K1299,'Audit Report'!L1299,'Audit Report'!M1299)</f>
        <v xml:space="preserve">, , </v>
      </c>
      <c r="M1299" t="str">
        <f>'Audit Report'!O1299</f>
        <v/>
      </c>
      <c r="R1299" t="str">
        <f>'Audit Report'!F1299</f>
        <v/>
      </c>
      <c r="S1299" t="str">
        <f>'Audit Report'!Q1299</f>
        <v/>
      </c>
    </row>
    <row r="1300" spans="9:19">
      <c r="I1300" t="str">
        <f>'Audit Report'!D1300</f>
        <v/>
      </c>
      <c r="J1300" t="str">
        <f>'Audit Report'!H1300</f>
        <v/>
      </c>
      <c r="L1300" t="str">
        <f>_xlfn.TEXTJOIN(", ", FALSE, 'Audit Report'!K1300,'Audit Report'!L1300,'Audit Report'!M1300)</f>
        <v xml:space="preserve">, , </v>
      </c>
      <c r="M1300" t="str">
        <f>'Audit Report'!O1300</f>
        <v/>
      </c>
      <c r="R1300" t="str">
        <f>'Audit Report'!F1300</f>
        <v/>
      </c>
      <c r="S1300" t="str">
        <f>'Audit Report'!Q1300</f>
        <v/>
      </c>
    </row>
    <row r="1301" spans="9:19">
      <c r="I1301" t="str">
        <f>'Audit Report'!D1301</f>
        <v/>
      </c>
      <c r="J1301" t="str">
        <f>'Audit Report'!H1301</f>
        <v/>
      </c>
      <c r="L1301" t="str">
        <f>_xlfn.TEXTJOIN(", ", FALSE, 'Audit Report'!K1301,'Audit Report'!L1301,'Audit Report'!M1301)</f>
        <v xml:space="preserve">, , </v>
      </c>
      <c r="M1301" t="str">
        <f>'Audit Report'!O1301</f>
        <v/>
      </c>
      <c r="R1301" t="str">
        <f>'Audit Report'!F1301</f>
        <v/>
      </c>
      <c r="S1301" t="str">
        <f>'Audit Report'!Q1301</f>
        <v/>
      </c>
    </row>
    <row r="1302" spans="9:19">
      <c r="I1302" t="str">
        <f>'Audit Report'!D1302</f>
        <v/>
      </c>
      <c r="J1302" t="str">
        <f>'Audit Report'!H1302</f>
        <v/>
      </c>
      <c r="L1302" t="str">
        <f>_xlfn.TEXTJOIN(", ", FALSE, 'Audit Report'!K1302,'Audit Report'!L1302,'Audit Report'!M1302)</f>
        <v xml:space="preserve">, , </v>
      </c>
      <c r="M1302" t="str">
        <f>'Audit Report'!O1302</f>
        <v/>
      </c>
      <c r="R1302" t="str">
        <f>'Audit Report'!F1302</f>
        <v/>
      </c>
      <c r="S1302" t="str">
        <f>'Audit Report'!Q1302</f>
        <v/>
      </c>
    </row>
    <row r="1303" spans="9:19">
      <c r="I1303" t="str">
        <f>'Audit Report'!D1303</f>
        <v/>
      </c>
      <c r="J1303" t="str">
        <f>'Audit Report'!H1303</f>
        <v/>
      </c>
      <c r="L1303" t="str">
        <f>_xlfn.TEXTJOIN(", ", FALSE, 'Audit Report'!K1303,'Audit Report'!L1303,'Audit Report'!M1303)</f>
        <v xml:space="preserve">, , </v>
      </c>
      <c r="M1303" t="str">
        <f>'Audit Report'!O1303</f>
        <v/>
      </c>
      <c r="R1303" t="str">
        <f>'Audit Report'!F1303</f>
        <v/>
      </c>
      <c r="S1303" t="str">
        <f>'Audit Report'!Q1303</f>
        <v/>
      </c>
    </row>
    <row r="1304" spans="9:19">
      <c r="I1304" t="str">
        <f>'Audit Report'!D1304</f>
        <v/>
      </c>
      <c r="J1304" t="str">
        <f>'Audit Report'!H1304</f>
        <v/>
      </c>
      <c r="L1304" t="str">
        <f>_xlfn.TEXTJOIN(", ", FALSE, 'Audit Report'!K1304,'Audit Report'!L1304,'Audit Report'!M1304)</f>
        <v xml:space="preserve">, , </v>
      </c>
      <c r="M1304" t="str">
        <f>'Audit Report'!O1304</f>
        <v/>
      </c>
      <c r="R1304" t="str">
        <f>'Audit Report'!F1304</f>
        <v/>
      </c>
      <c r="S1304" t="str">
        <f>'Audit Report'!Q1304</f>
        <v/>
      </c>
    </row>
    <row r="1305" spans="9:19">
      <c r="I1305" t="str">
        <f>'Audit Report'!D1305</f>
        <v/>
      </c>
      <c r="J1305" t="str">
        <f>'Audit Report'!H1305</f>
        <v/>
      </c>
      <c r="L1305" t="str">
        <f>_xlfn.TEXTJOIN(", ", FALSE, 'Audit Report'!K1305,'Audit Report'!L1305,'Audit Report'!M1305)</f>
        <v xml:space="preserve">, , </v>
      </c>
      <c r="M1305" t="str">
        <f>'Audit Report'!O1305</f>
        <v/>
      </c>
      <c r="R1305" t="str">
        <f>'Audit Report'!F1305</f>
        <v/>
      </c>
      <c r="S1305" t="str">
        <f>'Audit Report'!Q1305</f>
        <v/>
      </c>
    </row>
    <row r="1306" spans="9:19">
      <c r="I1306" t="str">
        <f>'Audit Report'!D1306</f>
        <v/>
      </c>
      <c r="J1306" t="str">
        <f>'Audit Report'!H1306</f>
        <v/>
      </c>
      <c r="L1306" t="str">
        <f>_xlfn.TEXTJOIN(", ", FALSE, 'Audit Report'!K1306,'Audit Report'!L1306,'Audit Report'!M1306)</f>
        <v xml:space="preserve">, , </v>
      </c>
      <c r="M1306" t="str">
        <f>'Audit Report'!O1306</f>
        <v/>
      </c>
      <c r="R1306" t="str">
        <f>'Audit Report'!F1306</f>
        <v/>
      </c>
      <c r="S1306" t="str">
        <f>'Audit Report'!Q1306</f>
        <v/>
      </c>
    </row>
    <row r="1307" spans="9:19">
      <c r="I1307" t="str">
        <f>'Audit Report'!D1307</f>
        <v/>
      </c>
      <c r="J1307" t="str">
        <f>'Audit Report'!H1307</f>
        <v/>
      </c>
      <c r="L1307" t="str">
        <f>_xlfn.TEXTJOIN(", ", FALSE, 'Audit Report'!K1307,'Audit Report'!L1307,'Audit Report'!M1307)</f>
        <v xml:space="preserve">, , </v>
      </c>
      <c r="M1307" t="str">
        <f>'Audit Report'!O1307</f>
        <v/>
      </c>
      <c r="R1307" t="str">
        <f>'Audit Report'!F1307</f>
        <v/>
      </c>
      <c r="S1307" t="str">
        <f>'Audit Report'!Q1307</f>
        <v/>
      </c>
    </row>
    <row r="1308" spans="9:19">
      <c r="I1308" t="str">
        <f>'Audit Report'!D1308</f>
        <v/>
      </c>
      <c r="J1308" t="str">
        <f>'Audit Report'!H1308</f>
        <v/>
      </c>
      <c r="L1308" t="str">
        <f>_xlfn.TEXTJOIN(", ", FALSE, 'Audit Report'!K1308,'Audit Report'!L1308,'Audit Report'!M1308)</f>
        <v xml:space="preserve">, , </v>
      </c>
      <c r="M1308" t="str">
        <f>'Audit Report'!O1308</f>
        <v/>
      </c>
      <c r="R1308" t="str">
        <f>'Audit Report'!F1308</f>
        <v/>
      </c>
      <c r="S1308" t="str">
        <f>'Audit Report'!Q1308</f>
        <v/>
      </c>
    </row>
    <row r="1309" spans="9:19">
      <c r="I1309" t="str">
        <f>'Audit Report'!D1309</f>
        <v/>
      </c>
      <c r="J1309" t="str">
        <f>'Audit Report'!H1309</f>
        <v/>
      </c>
      <c r="L1309" t="str">
        <f>_xlfn.TEXTJOIN(", ", FALSE, 'Audit Report'!K1309,'Audit Report'!L1309,'Audit Report'!M1309)</f>
        <v xml:space="preserve">, , </v>
      </c>
      <c r="M1309" t="str">
        <f>'Audit Report'!O1309</f>
        <v/>
      </c>
      <c r="R1309" t="str">
        <f>'Audit Report'!F1309</f>
        <v/>
      </c>
      <c r="S1309" t="str">
        <f>'Audit Report'!Q1309</f>
        <v/>
      </c>
    </row>
    <row r="1310" spans="9:19">
      <c r="I1310" t="str">
        <f>'Audit Report'!D1310</f>
        <v/>
      </c>
      <c r="J1310" t="str">
        <f>'Audit Report'!H1310</f>
        <v/>
      </c>
      <c r="L1310" t="str">
        <f>_xlfn.TEXTJOIN(", ", FALSE, 'Audit Report'!K1310,'Audit Report'!L1310,'Audit Report'!M1310)</f>
        <v xml:space="preserve">, , </v>
      </c>
      <c r="M1310" t="str">
        <f>'Audit Report'!O1310</f>
        <v/>
      </c>
      <c r="R1310" t="str">
        <f>'Audit Report'!F1310</f>
        <v/>
      </c>
      <c r="S1310" t="str">
        <f>'Audit Report'!Q1310</f>
        <v/>
      </c>
    </row>
    <row r="1311" spans="9:19">
      <c r="I1311" t="str">
        <f>'Audit Report'!D1311</f>
        <v/>
      </c>
      <c r="J1311" t="str">
        <f>'Audit Report'!H1311</f>
        <v/>
      </c>
      <c r="L1311" t="str">
        <f>_xlfn.TEXTJOIN(", ", FALSE, 'Audit Report'!K1311,'Audit Report'!L1311,'Audit Report'!M1311)</f>
        <v xml:space="preserve">, , </v>
      </c>
      <c r="M1311" t="str">
        <f>'Audit Report'!O1311</f>
        <v/>
      </c>
      <c r="R1311" t="str">
        <f>'Audit Report'!F1311</f>
        <v/>
      </c>
      <c r="S1311" t="str">
        <f>'Audit Report'!Q1311</f>
        <v/>
      </c>
    </row>
    <row r="1312" spans="9:19">
      <c r="I1312" t="str">
        <f>'Audit Report'!D1312</f>
        <v/>
      </c>
      <c r="J1312" t="str">
        <f>'Audit Report'!H1312</f>
        <v/>
      </c>
      <c r="L1312" t="str">
        <f>_xlfn.TEXTJOIN(", ", FALSE, 'Audit Report'!K1312,'Audit Report'!L1312,'Audit Report'!M1312)</f>
        <v xml:space="preserve">, , </v>
      </c>
      <c r="M1312" t="str">
        <f>'Audit Report'!O1312</f>
        <v/>
      </c>
      <c r="R1312" t="str">
        <f>'Audit Report'!F1312</f>
        <v/>
      </c>
      <c r="S1312" t="str">
        <f>'Audit Report'!Q1312</f>
        <v/>
      </c>
    </row>
    <row r="1313" spans="9:19">
      <c r="I1313" t="str">
        <f>'Audit Report'!D1313</f>
        <v/>
      </c>
      <c r="J1313" t="str">
        <f>'Audit Report'!H1313</f>
        <v/>
      </c>
      <c r="L1313" t="str">
        <f>_xlfn.TEXTJOIN(", ", FALSE, 'Audit Report'!K1313,'Audit Report'!L1313,'Audit Report'!M1313)</f>
        <v xml:space="preserve">, , </v>
      </c>
      <c r="M1313" t="str">
        <f>'Audit Report'!O1313</f>
        <v/>
      </c>
      <c r="R1313" t="str">
        <f>'Audit Report'!F1313</f>
        <v/>
      </c>
      <c r="S1313" t="str">
        <f>'Audit Report'!Q1313</f>
        <v/>
      </c>
    </row>
    <row r="1314" spans="9:19">
      <c r="I1314" t="str">
        <f>'Audit Report'!D1314</f>
        <v/>
      </c>
      <c r="J1314" t="str">
        <f>'Audit Report'!H1314</f>
        <v/>
      </c>
      <c r="L1314" t="str">
        <f>_xlfn.TEXTJOIN(", ", FALSE, 'Audit Report'!K1314,'Audit Report'!L1314,'Audit Report'!M1314)</f>
        <v xml:space="preserve">, , </v>
      </c>
      <c r="M1314" t="str">
        <f>'Audit Report'!O1314</f>
        <v/>
      </c>
      <c r="R1314" t="str">
        <f>'Audit Report'!F1314</f>
        <v/>
      </c>
      <c r="S1314" t="str">
        <f>'Audit Report'!Q1314</f>
        <v/>
      </c>
    </row>
    <row r="1315" spans="9:19">
      <c r="I1315" t="str">
        <f>'Audit Report'!D1315</f>
        <v/>
      </c>
      <c r="J1315" t="str">
        <f>'Audit Report'!H1315</f>
        <v/>
      </c>
      <c r="L1315" t="str">
        <f>_xlfn.TEXTJOIN(", ", FALSE, 'Audit Report'!K1315,'Audit Report'!L1315,'Audit Report'!M1315)</f>
        <v xml:space="preserve">, , </v>
      </c>
      <c r="M1315" t="str">
        <f>'Audit Report'!O1315</f>
        <v/>
      </c>
      <c r="R1315" t="str">
        <f>'Audit Report'!F1315</f>
        <v/>
      </c>
      <c r="S1315" t="str">
        <f>'Audit Report'!Q1315</f>
        <v/>
      </c>
    </row>
    <row r="1316" spans="9:19">
      <c r="I1316" t="str">
        <f>'Audit Report'!D1316</f>
        <v/>
      </c>
      <c r="J1316" t="str">
        <f>'Audit Report'!H1316</f>
        <v/>
      </c>
      <c r="L1316" t="str">
        <f>_xlfn.TEXTJOIN(", ", FALSE, 'Audit Report'!K1316,'Audit Report'!L1316,'Audit Report'!M1316)</f>
        <v xml:space="preserve">, , </v>
      </c>
      <c r="M1316" t="str">
        <f>'Audit Report'!O1316</f>
        <v/>
      </c>
      <c r="R1316" t="str">
        <f>'Audit Report'!F1316</f>
        <v/>
      </c>
      <c r="S1316" t="str">
        <f>'Audit Report'!Q1316</f>
        <v/>
      </c>
    </row>
    <row r="1317" spans="9:19">
      <c r="I1317" t="str">
        <f>'Audit Report'!D1317</f>
        <v/>
      </c>
      <c r="J1317" t="str">
        <f>'Audit Report'!H1317</f>
        <v/>
      </c>
      <c r="L1317" t="str">
        <f>_xlfn.TEXTJOIN(", ", FALSE, 'Audit Report'!K1317,'Audit Report'!L1317,'Audit Report'!M1317)</f>
        <v xml:space="preserve">, , </v>
      </c>
      <c r="M1317" t="str">
        <f>'Audit Report'!O1317</f>
        <v/>
      </c>
      <c r="R1317" t="str">
        <f>'Audit Report'!F1317</f>
        <v/>
      </c>
      <c r="S1317" t="str">
        <f>'Audit Report'!Q1317</f>
        <v/>
      </c>
    </row>
    <row r="1318" spans="9:19">
      <c r="I1318" t="str">
        <f>'Audit Report'!D1318</f>
        <v/>
      </c>
      <c r="J1318" t="str">
        <f>'Audit Report'!H1318</f>
        <v/>
      </c>
      <c r="L1318" t="str">
        <f>_xlfn.TEXTJOIN(", ", FALSE, 'Audit Report'!K1318,'Audit Report'!L1318,'Audit Report'!M1318)</f>
        <v xml:space="preserve">, , </v>
      </c>
      <c r="M1318" t="str">
        <f>'Audit Report'!O1318</f>
        <v/>
      </c>
      <c r="R1318" t="str">
        <f>'Audit Report'!F1318</f>
        <v/>
      </c>
      <c r="S1318" t="str">
        <f>'Audit Report'!Q1318</f>
        <v/>
      </c>
    </row>
    <row r="1319" spans="9:19">
      <c r="I1319" t="str">
        <f>'Audit Report'!D1319</f>
        <v/>
      </c>
      <c r="J1319" t="str">
        <f>'Audit Report'!H1319</f>
        <v/>
      </c>
      <c r="L1319" t="str">
        <f>_xlfn.TEXTJOIN(", ", FALSE, 'Audit Report'!K1319,'Audit Report'!L1319,'Audit Report'!M1319)</f>
        <v xml:space="preserve">, , </v>
      </c>
      <c r="M1319" t="str">
        <f>'Audit Report'!O1319</f>
        <v/>
      </c>
      <c r="R1319" t="str">
        <f>'Audit Report'!F1319</f>
        <v/>
      </c>
      <c r="S1319" t="str">
        <f>'Audit Report'!Q1319</f>
        <v/>
      </c>
    </row>
    <row r="1320" spans="9:19">
      <c r="I1320" t="str">
        <f>'Audit Report'!D1320</f>
        <v/>
      </c>
      <c r="J1320" t="str">
        <f>'Audit Report'!H1320</f>
        <v/>
      </c>
      <c r="L1320" t="str">
        <f>_xlfn.TEXTJOIN(", ", FALSE, 'Audit Report'!K1320,'Audit Report'!L1320,'Audit Report'!M1320)</f>
        <v xml:space="preserve">, , </v>
      </c>
      <c r="M1320" t="str">
        <f>'Audit Report'!O1320</f>
        <v/>
      </c>
      <c r="R1320" t="str">
        <f>'Audit Report'!F1320</f>
        <v/>
      </c>
      <c r="S1320" t="str">
        <f>'Audit Report'!Q1320</f>
        <v/>
      </c>
    </row>
    <row r="1321" spans="9:19">
      <c r="I1321" t="str">
        <f>'Audit Report'!D1321</f>
        <v/>
      </c>
      <c r="J1321" t="str">
        <f>'Audit Report'!H1321</f>
        <v/>
      </c>
      <c r="L1321" t="str">
        <f>_xlfn.TEXTJOIN(", ", FALSE, 'Audit Report'!K1321,'Audit Report'!L1321,'Audit Report'!M1321)</f>
        <v xml:space="preserve">, , </v>
      </c>
      <c r="M1321" t="str">
        <f>'Audit Report'!O1321</f>
        <v/>
      </c>
      <c r="R1321" t="str">
        <f>'Audit Report'!F1321</f>
        <v/>
      </c>
      <c r="S1321" t="str">
        <f>'Audit Report'!Q1321</f>
        <v/>
      </c>
    </row>
    <row r="1322" spans="9:19">
      <c r="I1322" t="str">
        <f>'Audit Report'!D1322</f>
        <v/>
      </c>
      <c r="J1322" t="str">
        <f>'Audit Report'!H1322</f>
        <v/>
      </c>
      <c r="L1322" t="str">
        <f>_xlfn.TEXTJOIN(", ", FALSE, 'Audit Report'!K1322,'Audit Report'!L1322,'Audit Report'!M1322)</f>
        <v xml:space="preserve">, , </v>
      </c>
      <c r="M1322" t="str">
        <f>'Audit Report'!O1322</f>
        <v/>
      </c>
      <c r="R1322" t="str">
        <f>'Audit Report'!F1322</f>
        <v/>
      </c>
      <c r="S1322" t="str">
        <f>'Audit Report'!Q1322</f>
        <v/>
      </c>
    </row>
    <row r="1323" spans="9:19">
      <c r="L1323" t="str">
        <f>_xlfn.TEXTJOIN(", ", FALSE, 'Audit Report'!K1323,'Audit Report'!L1323,'Audit Report'!M1323)</f>
        <v xml:space="preserve">, , </v>
      </c>
    </row>
    <row r="1324" spans="9:19">
      <c r="L1324" t="str">
        <f>_xlfn.TEXTJOIN(", ", FALSE, 'Audit Report'!K1324,'Audit Report'!L1324,'Audit Report'!M1324)</f>
        <v xml:space="preserve">, , </v>
      </c>
    </row>
    <row r="1325" spans="9:19">
      <c r="L1325" t="str">
        <f>_xlfn.TEXTJOIN(", ", FALSE, 'Audit Report'!K1325,'Audit Report'!L1325,'Audit Report'!M1325)</f>
        <v xml:space="preserve">, , </v>
      </c>
    </row>
    <row r="1326" spans="9:19">
      <c r="L1326" t="str">
        <f>_xlfn.TEXTJOIN(", ", FALSE, 'Audit Report'!K1326,'Audit Report'!L1326,'Audit Report'!M1326)</f>
        <v xml:space="preserve">, , </v>
      </c>
    </row>
    <row r="1327" spans="9:19">
      <c r="L1327" t="str">
        <f>_xlfn.TEXTJOIN(", ", FALSE, 'Audit Report'!K1327,'Audit Report'!L1327,'Audit Report'!M1327)</f>
        <v xml:space="preserve">, , </v>
      </c>
    </row>
    <row r="1328" spans="9:19">
      <c r="L1328" t="str">
        <f>_xlfn.TEXTJOIN(", ", FALSE, 'Audit Report'!K1328,'Audit Report'!L1328,'Audit Report'!M1328)</f>
        <v xml:space="preserve">, , </v>
      </c>
    </row>
    <row r="1329" spans="12:12">
      <c r="L1329" t="str">
        <f>_xlfn.TEXTJOIN(", ", FALSE, 'Audit Report'!K1329,'Audit Report'!L1329,'Audit Report'!M1329)</f>
        <v xml:space="preserve">, , </v>
      </c>
    </row>
    <row r="1330" spans="12:12">
      <c r="L1330" t="str">
        <f>_xlfn.TEXTJOIN(", ", FALSE, 'Audit Report'!K1330,'Audit Report'!L1330,'Audit Report'!M1330)</f>
        <v xml:space="preserve">, , </v>
      </c>
    </row>
    <row r="1331" spans="12:12">
      <c r="L1331" t="str">
        <f>_xlfn.TEXTJOIN(", ", FALSE, 'Audit Report'!K1331,'Audit Report'!L1331,'Audit Report'!M1331)</f>
        <v xml:space="preserve">, , </v>
      </c>
    </row>
    <row r="1332" spans="12:12">
      <c r="L1332" t="str">
        <f>_xlfn.TEXTJOIN(", ", FALSE, 'Audit Report'!K1332,'Audit Report'!L1332,'Audit Report'!M1332)</f>
        <v xml:space="preserve">, , </v>
      </c>
    </row>
    <row r="1333" spans="12:12">
      <c r="L1333" t="str">
        <f>_xlfn.TEXTJOIN(", ", FALSE, 'Audit Report'!K1333,'Audit Report'!L1333,'Audit Report'!M1333)</f>
        <v xml:space="preserve">, , </v>
      </c>
    </row>
    <row r="1334" spans="12:12">
      <c r="L1334" t="str">
        <f>_xlfn.TEXTJOIN(", ", FALSE, 'Audit Report'!K1334,'Audit Report'!L1334,'Audit Report'!M1334)</f>
        <v xml:space="preserve">, , </v>
      </c>
    </row>
    <row r="1335" spans="12:12">
      <c r="L1335" t="str">
        <f>_xlfn.TEXTJOIN(", ", FALSE, 'Audit Report'!K1335,'Audit Report'!L1335,'Audit Report'!M1335)</f>
        <v xml:space="preserve">, , </v>
      </c>
    </row>
    <row r="1336" spans="12:12">
      <c r="L1336" t="str">
        <f>_xlfn.TEXTJOIN(", ", FALSE, 'Audit Report'!K1336,'Audit Report'!L1336,'Audit Report'!M1336)</f>
        <v xml:space="preserve">, , </v>
      </c>
    </row>
    <row r="1337" spans="12:12">
      <c r="L1337" t="str">
        <f>_xlfn.TEXTJOIN(", ", FALSE, 'Audit Report'!K1337,'Audit Report'!L1337,'Audit Report'!M1337)</f>
        <v xml:space="preserve">, , </v>
      </c>
    </row>
    <row r="1338" spans="12:12">
      <c r="L1338" t="str">
        <f>_xlfn.TEXTJOIN(", ", FALSE, 'Audit Report'!K1338,'Audit Report'!L1338,'Audit Report'!M1338)</f>
        <v xml:space="preserve">, , </v>
      </c>
    </row>
    <row r="1339" spans="12:12">
      <c r="L1339" t="str">
        <f>_xlfn.TEXTJOIN(", ", FALSE, 'Audit Report'!K1339,'Audit Report'!L1339,'Audit Report'!M1339)</f>
        <v xml:space="preserve">, , </v>
      </c>
    </row>
    <row r="1340" spans="12:12">
      <c r="L1340" t="str">
        <f>_xlfn.TEXTJOIN(", ", FALSE, 'Audit Report'!K1340,'Audit Report'!L1340,'Audit Report'!M1340)</f>
        <v xml:space="preserve">, , </v>
      </c>
    </row>
    <row r="1341" spans="12:12">
      <c r="L1341" t="str">
        <f>_xlfn.TEXTJOIN(", ", FALSE, 'Audit Report'!K1341,'Audit Report'!L1341,'Audit Report'!M1341)</f>
        <v xml:space="preserve">, , </v>
      </c>
    </row>
    <row r="1342" spans="12:12">
      <c r="L1342" t="str">
        <f>_xlfn.TEXTJOIN(", ", FALSE, 'Audit Report'!K1342,'Audit Report'!L1342,'Audit Report'!M1342)</f>
        <v xml:space="preserve">, , </v>
      </c>
    </row>
    <row r="1343" spans="12:12">
      <c r="L1343" t="str">
        <f>_xlfn.TEXTJOIN(", ", FALSE, 'Audit Report'!K1343,'Audit Report'!L1343,'Audit Report'!M1343)</f>
        <v xml:space="preserve">, , </v>
      </c>
    </row>
    <row r="1344" spans="12:12">
      <c r="L1344" t="str">
        <f>_xlfn.TEXTJOIN(", ", FALSE, 'Audit Report'!K1344,'Audit Report'!L1344,'Audit Report'!M1344)</f>
        <v xml:space="preserve">, , </v>
      </c>
    </row>
    <row r="1345" spans="12:12">
      <c r="L1345" t="str">
        <f>_xlfn.TEXTJOIN(", ", FALSE, 'Audit Report'!K1345,'Audit Report'!L1345,'Audit Report'!M1345)</f>
        <v xml:space="preserve">, , </v>
      </c>
    </row>
    <row r="1346" spans="12:12">
      <c r="L1346" t="str">
        <f>_xlfn.TEXTJOIN(", ", FALSE, 'Audit Report'!K1346,'Audit Report'!L1346,'Audit Report'!M1346)</f>
        <v xml:space="preserve">, , </v>
      </c>
    </row>
    <row r="1347" spans="12:12">
      <c r="L1347" t="str">
        <f>_xlfn.TEXTJOIN(", ", FALSE, 'Audit Report'!K1347,'Audit Report'!L1347,'Audit Report'!M1347)</f>
        <v xml:space="preserve">, , </v>
      </c>
    </row>
    <row r="1348" spans="12:12">
      <c r="L1348" t="str">
        <f>_xlfn.TEXTJOIN(", ", FALSE, 'Audit Report'!K1348,'Audit Report'!L1348,'Audit Report'!M1348)</f>
        <v xml:space="preserve">, , </v>
      </c>
    </row>
    <row r="1349" spans="12:12">
      <c r="L1349" t="str">
        <f>_xlfn.TEXTJOIN(", ", FALSE, 'Audit Report'!K1349,'Audit Report'!L1349,'Audit Report'!M1349)</f>
        <v xml:space="preserve">, , </v>
      </c>
    </row>
    <row r="1350" spans="12:12">
      <c r="L1350" t="str">
        <f>_xlfn.TEXTJOIN(", ", FALSE, 'Audit Report'!K1350,'Audit Report'!L1350,'Audit Report'!M1350)</f>
        <v xml:space="preserve">, , </v>
      </c>
    </row>
    <row r="1351" spans="12:12">
      <c r="L1351" t="str">
        <f>_xlfn.TEXTJOIN(", ", FALSE, 'Audit Report'!K1351,'Audit Report'!L1351,'Audit Report'!M1351)</f>
        <v xml:space="preserve">, , </v>
      </c>
    </row>
    <row r="1352" spans="12:12">
      <c r="L1352" t="str">
        <f>_xlfn.TEXTJOIN(", ", FALSE, 'Audit Report'!K1352,'Audit Report'!L1352,'Audit Report'!M1352)</f>
        <v xml:space="preserve">, , </v>
      </c>
    </row>
    <row r="1353" spans="12:12">
      <c r="L1353" t="str">
        <f>_xlfn.TEXTJOIN(", ", FALSE, 'Audit Report'!K1353,'Audit Report'!L1353,'Audit Report'!M1353)</f>
        <v xml:space="preserve">, , </v>
      </c>
    </row>
    <row r="1354" spans="12:12">
      <c r="L1354" t="str">
        <f>_xlfn.TEXTJOIN(", ", FALSE, 'Audit Report'!K1354,'Audit Report'!L1354,'Audit Report'!M1354)</f>
        <v xml:space="preserve">, , </v>
      </c>
    </row>
    <row r="1355" spans="12:12">
      <c r="L1355" t="str">
        <f>_xlfn.TEXTJOIN(", ", FALSE, 'Audit Report'!K1355,'Audit Report'!L1355,'Audit Report'!M1355)</f>
        <v xml:space="preserve">, , </v>
      </c>
    </row>
    <row r="1356" spans="12:12">
      <c r="L1356" t="str">
        <f>_xlfn.TEXTJOIN(", ", FALSE, 'Audit Report'!K1356,'Audit Report'!L1356,'Audit Report'!M1356)</f>
        <v xml:space="preserve">, , </v>
      </c>
    </row>
    <row r="1357" spans="12:12">
      <c r="L1357" t="str">
        <f>_xlfn.TEXTJOIN(", ", FALSE, 'Audit Report'!K1357,'Audit Report'!L1357,'Audit Report'!M1357)</f>
        <v xml:space="preserve">, , </v>
      </c>
    </row>
    <row r="1358" spans="12:12">
      <c r="L1358" t="str">
        <f>_xlfn.TEXTJOIN(", ", FALSE, 'Audit Report'!K1358,'Audit Report'!L1358,'Audit Report'!M1358)</f>
        <v xml:space="preserve">, , </v>
      </c>
    </row>
    <row r="1359" spans="12:12">
      <c r="L1359" t="str">
        <f>_xlfn.TEXTJOIN(", ", FALSE, 'Audit Report'!K1359,'Audit Report'!L1359,'Audit Report'!M1359)</f>
        <v xml:space="preserve">, , </v>
      </c>
    </row>
    <row r="1360" spans="12:12">
      <c r="L1360" t="str">
        <f>_xlfn.TEXTJOIN(", ", FALSE, 'Audit Report'!K1360,'Audit Report'!L1360,'Audit Report'!M1360)</f>
        <v xml:space="preserve">, , </v>
      </c>
    </row>
    <row r="1361" spans="12:12">
      <c r="L1361" t="str">
        <f>_xlfn.TEXTJOIN(", ", FALSE, 'Audit Report'!K1361,'Audit Report'!L1361,'Audit Report'!M1361)</f>
        <v xml:space="preserve">, , </v>
      </c>
    </row>
    <row r="1362" spans="12:12">
      <c r="L1362" t="str">
        <f>_xlfn.TEXTJOIN(", ", FALSE, 'Audit Report'!K1362,'Audit Report'!L1362,'Audit Report'!M1362)</f>
        <v xml:space="preserve">, , </v>
      </c>
    </row>
    <row r="1363" spans="12:12">
      <c r="L1363" t="str">
        <f>_xlfn.TEXTJOIN(", ", FALSE, 'Audit Report'!K1363,'Audit Report'!L1363,'Audit Report'!M1363)</f>
        <v xml:space="preserve">, , </v>
      </c>
    </row>
    <row r="1364" spans="12:12">
      <c r="L1364" t="str">
        <f>_xlfn.TEXTJOIN(", ", FALSE, 'Audit Report'!K1364,'Audit Report'!L1364,'Audit Report'!M1364)</f>
        <v xml:space="preserve">, , </v>
      </c>
    </row>
    <row r="1365" spans="12:12">
      <c r="L1365" t="str">
        <f>_xlfn.TEXTJOIN(", ", FALSE, 'Audit Report'!K1365,'Audit Report'!L1365,'Audit Report'!M1365)</f>
        <v xml:space="preserve">, , </v>
      </c>
    </row>
  </sheetData>
  <pageMargins left="0.7" right="0.7" top="0.75" bottom="0.75" header="0.3" footer="0.3"/>
  <pageSetup paperSize="271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C16A-5E81-4B85-9894-E76E2461C7F7}">
  <sheetPr>
    <tabColor theme="9"/>
  </sheetPr>
  <dimension ref="A1:F82"/>
  <sheetViews>
    <sheetView workbookViewId="0">
      <selection activeCell="A2" sqref="A2"/>
    </sheetView>
  </sheetViews>
  <sheetFormatPr defaultRowHeight="15"/>
  <cols>
    <col min="1" max="1" width="17.140625" customWidth="1"/>
    <col min="5" max="5" width="18.5703125" customWidth="1"/>
  </cols>
  <sheetData>
    <row r="1" spans="1:6" ht="18" customHeight="1" thickBot="1">
      <c r="A1" s="35" t="s">
        <v>1</v>
      </c>
      <c r="B1" s="36" t="s">
        <v>2</v>
      </c>
      <c r="C1" s="36" t="s">
        <v>5</v>
      </c>
      <c r="D1" s="36" t="s">
        <v>6</v>
      </c>
      <c r="E1" s="36" t="s">
        <v>528</v>
      </c>
      <c r="F1" s="36" t="s">
        <v>529</v>
      </c>
    </row>
    <row r="2" spans="1:6">
      <c r="A2" t="e" cm="1" vm="1">
        <f t="array" ref="A2">_xlfn._xlws.FILTER('Audit Report'!C2:C500,'Audit Report'!X2:X500&lt;&gt;"")</f>
        <v>#VALUE!</v>
      </c>
      <c r="B2" t="e" vm="2">
        <f>_xlfn.XLOOKUP($A2,'Audit Report'!$C:$C,'Audit Report'!D:D)</f>
        <v>#VALUE!</v>
      </c>
      <c r="C2" t="e" vm="2">
        <f>_xlfn.XLOOKUP($A2,'Audit Report'!$C:$C,'Audit Report'!G:G)</f>
        <v>#VALUE!</v>
      </c>
      <c r="D2" t="e" vm="2">
        <f>_xlfn.XLOOKUP($A2,'Audit Report'!$C:$C,'Audit Report'!H:H)</f>
        <v>#VALUE!</v>
      </c>
      <c r="E2" t="e" vm="2">
        <f>_xlfn.XLOOKUP($A2,'Audit Report'!$C:$C,'Audit Report'!X:X)</f>
        <v>#VALUE!</v>
      </c>
      <c r="F2" t="e" vm="2">
        <f>_xlfn.XLOOKUP($A2,'Audit Report'!$C:$C,'Audit Report'!P:P)</f>
        <v>#VALUE!</v>
      </c>
    </row>
    <row r="3" spans="1:6">
      <c r="B3">
        <f>_xlfn.XLOOKUP($A3,'Audit Report'!$C:$C,'Audit Report'!D:D)</f>
        <v>0</v>
      </c>
      <c r="C3">
        <f>_xlfn.XLOOKUP($A3,'Audit Report'!$C:$C,'Audit Report'!G:G)</f>
        <v>0</v>
      </c>
      <c r="D3">
        <f>_xlfn.XLOOKUP($A3,'Audit Report'!$C:$C,'Audit Report'!H:H)</f>
        <v>0</v>
      </c>
      <c r="E3">
        <f>_xlfn.XLOOKUP($A3,'Audit Report'!$C:$C,'Audit Report'!X:X)</f>
        <v>0</v>
      </c>
      <c r="F3">
        <f>_xlfn.XLOOKUP($A3,'Audit Report'!$C:$C,'Audit Report'!P:P)</f>
        <v>0</v>
      </c>
    </row>
    <row r="4" spans="1:6">
      <c r="B4">
        <f>_xlfn.XLOOKUP($A4,'Audit Report'!$C:$C,'Audit Report'!D:D)</f>
        <v>0</v>
      </c>
      <c r="C4">
        <f>_xlfn.XLOOKUP($A4,'Audit Report'!$C:$C,'Audit Report'!G:G)</f>
        <v>0</v>
      </c>
      <c r="D4">
        <f>_xlfn.XLOOKUP($A4,'Audit Report'!$C:$C,'Audit Report'!H:H)</f>
        <v>0</v>
      </c>
      <c r="E4">
        <f>_xlfn.XLOOKUP($A4,'Audit Report'!$C:$C,'Audit Report'!X:X)</f>
        <v>0</v>
      </c>
      <c r="F4">
        <f>_xlfn.XLOOKUP($A4,'Audit Report'!$C:$C,'Audit Report'!P:P)</f>
        <v>0</v>
      </c>
    </row>
    <row r="5" spans="1:6">
      <c r="B5">
        <f>_xlfn.XLOOKUP($A5,'Audit Report'!$C:$C,'Audit Report'!D:D)</f>
        <v>0</v>
      </c>
      <c r="C5">
        <f>_xlfn.XLOOKUP($A5,'Audit Report'!$C:$C,'Audit Report'!G:G)</f>
        <v>0</v>
      </c>
      <c r="D5">
        <f>_xlfn.XLOOKUP($A5,'Audit Report'!$C:$C,'Audit Report'!H:H)</f>
        <v>0</v>
      </c>
      <c r="E5">
        <f>_xlfn.XLOOKUP($A5,'Audit Report'!$C:$C,'Audit Report'!X:X)</f>
        <v>0</v>
      </c>
      <c r="F5">
        <f>_xlfn.XLOOKUP($A5,'Audit Report'!$C:$C,'Audit Report'!P:P)</f>
        <v>0</v>
      </c>
    </row>
    <row r="6" spans="1:6">
      <c r="B6">
        <f>_xlfn.XLOOKUP($A6,'Audit Report'!$C:$C,'Audit Report'!D:D)</f>
        <v>0</v>
      </c>
      <c r="C6">
        <f>_xlfn.XLOOKUP($A6,'Audit Report'!$C:$C,'Audit Report'!G:G)</f>
        <v>0</v>
      </c>
      <c r="D6">
        <f>_xlfn.XLOOKUP($A6,'Audit Report'!$C:$C,'Audit Report'!H:H)</f>
        <v>0</v>
      </c>
      <c r="E6">
        <f>_xlfn.XLOOKUP($A6,'Audit Report'!$C:$C,'Audit Report'!X:X)</f>
        <v>0</v>
      </c>
      <c r="F6">
        <f>_xlfn.XLOOKUP($A6,'Audit Report'!$C:$C,'Audit Report'!P:P)</f>
        <v>0</v>
      </c>
    </row>
    <row r="7" spans="1:6">
      <c r="B7">
        <f>_xlfn.XLOOKUP($A7,'Audit Report'!$C:$C,'Audit Report'!D:D)</f>
        <v>0</v>
      </c>
      <c r="C7">
        <f>_xlfn.XLOOKUP($A7,'Audit Report'!$C:$C,'Audit Report'!G:G)</f>
        <v>0</v>
      </c>
      <c r="D7">
        <f>_xlfn.XLOOKUP($A7,'Audit Report'!$C:$C,'Audit Report'!H:H)</f>
        <v>0</v>
      </c>
      <c r="E7">
        <f>_xlfn.XLOOKUP($A7,'Audit Report'!$C:$C,'Audit Report'!X:X)</f>
        <v>0</v>
      </c>
      <c r="F7">
        <f>_xlfn.XLOOKUP($A7,'Audit Report'!$C:$C,'Audit Report'!P:P)</f>
        <v>0</v>
      </c>
    </row>
    <row r="8" spans="1:6">
      <c r="B8">
        <f>_xlfn.XLOOKUP($A8,'Audit Report'!$C:$C,'Audit Report'!D:D)</f>
        <v>0</v>
      </c>
      <c r="C8">
        <f>_xlfn.XLOOKUP($A8,'Audit Report'!$C:$C,'Audit Report'!G:G)</f>
        <v>0</v>
      </c>
      <c r="D8">
        <f>_xlfn.XLOOKUP($A8,'Audit Report'!$C:$C,'Audit Report'!H:H)</f>
        <v>0</v>
      </c>
      <c r="E8">
        <f>_xlfn.XLOOKUP($A8,'Audit Report'!$C:$C,'Audit Report'!X:X)</f>
        <v>0</v>
      </c>
      <c r="F8">
        <f>_xlfn.XLOOKUP($A8,'Audit Report'!$C:$C,'Audit Report'!P:P)</f>
        <v>0</v>
      </c>
    </row>
    <row r="9" spans="1:6">
      <c r="B9">
        <f>_xlfn.XLOOKUP($A9,'Audit Report'!$C:$C,'Audit Report'!D:D)</f>
        <v>0</v>
      </c>
      <c r="C9">
        <f>_xlfn.XLOOKUP($A9,'Audit Report'!$C:$C,'Audit Report'!G:G)</f>
        <v>0</v>
      </c>
      <c r="D9">
        <f>_xlfn.XLOOKUP($A9,'Audit Report'!$C:$C,'Audit Report'!H:H)</f>
        <v>0</v>
      </c>
      <c r="E9">
        <f>_xlfn.XLOOKUP($A9,'Audit Report'!$C:$C,'Audit Report'!X:X)</f>
        <v>0</v>
      </c>
      <c r="F9">
        <f>_xlfn.XLOOKUP($A9,'Audit Report'!$C:$C,'Audit Report'!P:P)</f>
        <v>0</v>
      </c>
    </row>
    <row r="10" spans="1:6">
      <c r="B10">
        <f>_xlfn.XLOOKUP($A10,'Audit Report'!$C:$C,'Audit Report'!D:D)</f>
        <v>0</v>
      </c>
      <c r="C10">
        <f>_xlfn.XLOOKUP($A10,'Audit Report'!$C:$C,'Audit Report'!G:G)</f>
        <v>0</v>
      </c>
      <c r="D10">
        <f>_xlfn.XLOOKUP($A10,'Audit Report'!$C:$C,'Audit Report'!H:H)</f>
        <v>0</v>
      </c>
      <c r="E10">
        <f>_xlfn.XLOOKUP($A10,'Audit Report'!$C:$C,'Audit Report'!X:X)</f>
        <v>0</v>
      </c>
      <c r="F10">
        <f>_xlfn.XLOOKUP($A10,'Audit Report'!$C:$C,'Audit Report'!P:P)</f>
        <v>0</v>
      </c>
    </row>
    <row r="11" spans="1:6">
      <c r="B11">
        <f>_xlfn.XLOOKUP($A11,'Audit Report'!$C:$C,'Audit Report'!D:D)</f>
        <v>0</v>
      </c>
      <c r="C11">
        <f>_xlfn.XLOOKUP($A11,'Audit Report'!$C:$C,'Audit Report'!G:G)</f>
        <v>0</v>
      </c>
      <c r="D11">
        <f>_xlfn.XLOOKUP($A11,'Audit Report'!$C:$C,'Audit Report'!H:H)</f>
        <v>0</v>
      </c>
      <c r="E11">
        <f>_xlfn.XLOOKUP($A11,'Audit Report'!$C:$C,'Audit Report'!X:X)</f>
        <v>0</v>
      </c>
      <c r="F11">
        <f>_xlfn.XLOOKUP($A11,'Audit Report'!$C:$C,'Audit Report'!P:P)</f>
        <v>0</v>
      </c>
    </row>
    <row r="12" spans="1:6">
      <c r="B12">
        <f>_xlfn.XLOOKUP($A12,'Audit Report'!$C:$C,'Audit Report'!D:D)</f>
        <v>0</v>
      </c>
      <c r="C12">
        <f>_xlfn.XLOOKUP($A12,'Audit Report'!$C:$C,'Audit Report'!G:G)</f>
        <v>0</v>
      </c>
      <c r="D12">
        <f>_xlfn.XLOOKUP($A12,'Audit Report'!$C:$C,'Audit Report'!H:H)</f>
        <v>0</v>
      </c>
      <c r="E12">
        <f>_xlfn.XLOOKUP($A12,'Audit Report'!$C:$C,'Audit Report'!X:X)</f>
        <v>0</v>
      </c>
      <c r="F12">
        <f>_xlfn.XLOOKUP($A12,'Audit Report'!$C:$C,'Audit Report'!P:P)</f>
        <v>0</v>
      </c>
    </row>
    <row r="13" spans="1:6">
      <c r="B13">
        <f>_xlfn.XLOOKUP($A13,'Audit Report'!$C:$C,'Audit Report'!D:D)</f>
        <v>0</v>
      </c>
      <c r="C13">
        <f>_xlfn.XLOOKUP($A13,'Audit Report'!$C:$C,'Audit Report'!G:G)</f>
        <v>0</v>
      </c>
      <c r="D13">
        <f>_xlfn.XLOOKUP($A13,'Audit Report'!$C:$C,'Audit Report'!H:H)</f>
        <v>0</v>
      </c>
      <c r="E13">
        <f>_xlfn.XLOOKUP($A13,'Audit Report'!$C:$C,'Audit Report'!X:X)</f>
        <v>0</v>
      </c>
      <c r="F13">
        <f>_xlfn.XLOOKUP($A13,'Audit Report'!$C:$C,'Audit Report'!P:P)</f>
        <v>0</v>
      </c>
    </row>
    <row r="14" spans="1:6">
      <c r="B14">
        <f>_xlfn.XLOOKUP($A14,'Audit Report'!$C:$C,'Audit Report'!D:D)</f>
        <v>0</v>
      </c>
      <c r="C14">
        <f>_xlfn.XLOOKUP($A14,'Audit Report'!$C:$C,'Audit Report'!G:G)</f>
        <v>0</v>
      </c>
      <c r="D14">
        <f>_xlfn.XLOOKUP($A14,'Audit Report'!$C:$C,'Audit Report'!H:H)</f>
        <v>0</v>
      </c>
      <c r="E14">
        <f>_xlfn.XLOOKUP($A14,'Audit Report'!$C:$C,'Audit Report'!X:X)</f>
        <v>0</v>
      </c>
      <c r="F14">
        <f>_xlfn.XLOOKUP($A14,'Audit Report'!$C:$C,'Audit Report'!P:P)</f>
        <v>0</v>
      </c>
    </row>
    <row r="15" spans="1:6">
      <c r="B15">
        <f>_xlfn.XLOOKUP($A15,'Audit Report'!$C:$C,'Audit Report'!D:D)</f>
        <v>0</v>
      </c>
      <c r="C15">
        <f>_xlfn.XLOOKUP($A15,'Audit Report'!$C:$C,'Audit Report'!G:G)</f>
        <v>0</v>
      </c>
      <c r="D15">
        <f>_xlfn.XLOOKUP($A15,'Audit Report'!$C:$C,'Audit Report'!H:H)</f>
        <v>0</v>
      </c>
      <c r="E15">
        <f>_xlfn.XLOOKUP($A15,'Audit Report'!$C:$C,'Audit Report'!X:X)</f>
        <v>0</v>
      </c>
      <c r="F15">
        <f>_xlfn.XLOOKUP($A15,'Audit Report'!$C:$C,'Audit Report'!P:P)</f>
        <v>0</v>
      </c>
    </row>
    <row r="16" spans="1:6">
      <c r="B16">
        <f>_xlfn.XLOOKUP($A16,'Audit Report'!$C:$C,'Audit Report'!D:D)</f>
        <v>0</v>
      </c>
      <c r="C16">
        <f>_xlfn.XLOOKUP($A16,'Audit Report'!$C:$C,'Audit Report'!G:G)</f>
        <v>0</v>
      </c>
      <c r="D16">
        <f>_xlfn.XLOOKUP($A16,'Audit Report'!$C:$C,'Audit Report'!H:H)</f>
        <v>0</v>
      </c>
      <c r="E16">
        <f>_xlfn.XLOOKUP($A16,'Audit Report'!$C:$C,'Audit Report'!X:X)</f>
        <v>0</v>
      </c>
      <c r="F16">
        <f>_xlfn.XLOOKUP($A16,'Audit Report'!$C:$C,'Audit Report'!P:P)</f>
        <v>0</v>
      </c>
    </row>
    <row r="17" spans="2:6">
      <c r="B17">
        <f>_xlfn.XLOOKUP($A17,'Audit Report'!$C:$C,'Audit Report'!D:D)</f>
        <v>0</v>
      </c>
      <c r="C17">
        <f>_xlfn.XLOOKUP($A17,'Audit Report'!$C:$C,'Audit Report'!G:G)</f>
        <v>0</v>
      </c>
      <c r="D17">
        <f>_xlfn.XLOOKUP($A17,'Audit Report'!$C:$C,'Audit Report'!H:H)</f>
        <v>0</v>
      </c>
      <c r="E17">
        <f>_xlfn.XLOOKUP($A17,'Audit Report'!$C:$C,'Audit Report'!X:X)</f>
        <v>0</v>
      </c>
      <c r="F17">
        <f>_xlfn.XLOOKUP($A17,'Audit Report'!$C:$C,'Audit Report'!P:P)</f>
        <v>0</v>
      </c>
    </row>
    <row r="18" spans="2:6">
      <c r="B18">
        <f>_xlfn.XLOOKUP($A18,'Audit Report'!$C:$C,'Audit Report'!D:D)</f>
        <v>0</v>
      </c>
      <c r="C18">
        <f>_xlfn.XLOOKUP($A18,'Audit Report'!$C:$C,'Audit Report'!G:G)</f>
        <v>0</v>
      </c>
      <c r="D18">
        <f>_xlfn.XLOOKUP($A18,'Audit Report'!$C:$C,'Audit Report'!H:H)</f>
        <v>0</v>
      </c>
      <c r="E18">
        <f>_xlfn.XLOOKUP($A18,'Audit Report'!$C:$C,'Audit Report'!X:X)</f>
        <v>0</v>
      </c>
      <c r="F18">
        <f>_xlfn.XLOOKUP($A18,'Audit Report'!$C:$C,'Audit Report'!P:P)</f>
        <v>0</v>
      </c>
    </row>
    <row r="19" spans="2:6">
      <c r="B19">
        <f>_xlfn.XLOOKUP($A19,'Audit Report'!$C:$C,'Audit Report'!D:D)</f>
        <v>0</v>
      </c>
      <c r="C19">
        <f>_xlfn.XLOOKUP($A19,'Audit Report'!$C:$C,'Audit Report'!G:G)</f>
        <v>0</v>
      </c>
      <c r="D19">
        <f>_xlfn.XLOOKUP($A19,'Audit Report'!$C:$C,'Audit Report'!H:H)</f>
        <v>0</v>
      </c>
      <c r="E19">
        <f>_xlfn.XLOOKUP($A19,'Audit Report'!$C:$C,'Audit Report'!X:X)</f>
        <v>0</v>
      </c>
      <c r="F19">
        <f>_xlfn.XLOOKUP($A19,'Audit Report'!$C:$C,'Audit Report'!P:P)</f>
        <v>0</v>
      </c>
    </row>
    <row r="20" spans="2:6">
      <c r="B20">
        <f>_xlfn.XLOOKUP($A20,'Audit Report'!$C:$C,'Audit Report'!D:D)</f>
        <v>0</v>
      </c>
      <c r="C20">
        <f>_xlfn.XLOOKUP($A20,'Audit Report'!$C:$C,'Audit Report'!G:G)</f>
        <v>0</v>
      </c>
      <c r="D20">
        <f>_xlfn.XLOOKUP($A20,'Audit Report'!$C:$C,'Audit Report'!H:H)</f>
        <v>0</v>
      </c>
      <c r="E20">
        <f>_xlfn.XLOOKUP($A20,'Audit Report'!$C:$C,'Audit Report'!X:X)</f>
        <v>0</v>
      </c>
      <c r="F20">
        <f>_xlfn.XLOOKUP($A20,'Audit Report'!$C:$C,'Audit Report'!P:P)</f>
        <v>0</v>
      </c>
    </row>
    <row r="21" spans="2:6">
      <c r="B21">
        <f>_xlfn.XLOOKUP($A21,'Audit Report'!$C:$C,'Audit Report'!D:D)</f>
        <v>0</v>
      </c>
      <c r="C21">
        <f>_xlfn.XLOOKUP($A21,'Audit Report'!$C:$C,'Audit Report'!G:G)</f>
        <v>0</v>
      </c>
      <c r="D21">
        <f>_xlfn.XLOOKUP($A21,'Audit Report'!$C:$C,'Audit Report'!H:H)</f>
        <v>0</v>
      </c>
      <c r="E21">
        <f>_xlfn.XLOOKUP($A21,'Audit Report'!$C:$C,'Audit Report'!X:X)</f>
        <v>0</v>
      </c>
      <c r="F21">
        <f>_xlfn.XLOOKUP($A21,'Audit Report'!$C:$C,'Audit Report'!P:P)</f>
        <v>0</v>
      </c>
    </row>
    <row r="22" spans="2:6">
      <c r="B22">
        <f>_xlfn.XLOOKUP($A22,'Audit Report'!$C:$C,'Audit Report'!D:D)</f>
        <v>0</v>
      </c>
      <c r="C22">
        <f>_xlfn.XLOOKUP($A22,'Audit Report'!$C:$C,'Audit Report'!G:G)</f>
        <v>0</v>
      </c>
      <c r="D22">
        <f>_xlfn.XLOOKUP($A22,'Audit Report'!$C:$C,'Audit Report'!H:H)</f>
        <v>0</v>
      </c>
      <c r="E22">
        <f>_xlfn.XLOOKUP($A22,'Audit Report'!$C:$C,'Audit Report'!X:X)</f>
        <v>0</v>
      </c>
      <c r="F22">
        <f>_xlfn.XLOOKUP($A22,'Audit Report'!$C:$C,'Audit Report'!P:P)</f>
        <v>0</v>
      </c>
    </row>
    <row r="23" spans="2:6">
      <c r="B23">
        <f>_xlfn.XLOOKUP($A23,'Audit Report'!$C:$C,'Audit Report'!D:D)</f>
        <v>0</v>
      </c>
      <c r="C23">
        <f>_xlfn.XLOOKUP($A23,'Audit Report'!$C:$C,'Audit Report'!G:G)</f>
        <v>0</v>
      </c>
      <c r="D23">
        <f>_xlfn.XLOOKUP($A23,'Audit Report'!$C:$C,'Audit Report'!H:H)</f>
        <v>0</v>
      </c>
      <c r="E23">
        <f>_xlfn.XLOOKUP($A23,'Audit Report'!$C:$C,'Audit Report'!X:X)</f>
        <v>0</v>
      </c>
      <c r="F23">
        <f>_xlfn.XLOOKUP($A23,'Audit Report'!$C:$C,'Audit Report'!P:P)</f>
        <v>0</v>
      </c>
    </row>
    <row r="24" spans="2:6">
      <c r="B24">
        <f>_xlfn.XLOOKUP($A24,'Audit Report'!$C:$C,'Audit Report'!D:D)</f>
        <v>0</v>
      </c>
      <c r="C24">
        <f>_xlfn.XLOOKUP($A24,'Audit Report'!$C:$C,'Audit Report'!G:G)</f>
        <v>0</v>
      </c>
      <c r="D24">
        <f>_xlfn.XLOOKUP($A24,'Audit Report'!$C:$C,'Audit Report'!H:H)</f>
        <v>0</v>
      </c>
      <c r="E24">
        <f>_xlfn.XLOOKUP($A24,'Audit Report'!$C:$C,'Audit Report'!X:X)</f>
        <v>0</v>
      </c>
      <c r="F24">
        <f>_xlfn.XLOOKUP($A24,'Audit Report'!$C:$C,'Audit Report'!P:P)</f>
        <v>0</v>
      </c>
    </row>
    <row r="25" spans="2:6">
      <c r="B25">
        <f>_xlfn.XLOOKUP($A25,'Audit Report'!$C:$C,'Audit Report'!D:D)</f>
        <v>0</v>
      </c>
      <c r="C25">
        <f>_xlfn.XLOOKUP($A25,'Audit Report'!$C:$C,'Audit Report'!G:G)</f>
        <v>0</v>
      </c>
      <c r="D25">
        <f>_xlfn.XLOOKUP($A25,'Audit Report'!$C:$C,'Audit Report'!H:H)</f>
        <v>0</v>
      </c>
      <c r="E25">
        <f>_xlfn.XLOOKUP($A25,'Audit Report'!$C:$C,'Audit Report'!X:X)</f>
        <v>0</v>
      </c>
      <c r="F25">
        <f>_xlfn.XLOOKUP($A25,'Audit Report'!$C:$C,'Audit Report'!P:P)</f>
        <v>0</v>
      </c>
    </row>
    <row r="26" spans="2:6">
      <c r="B26">
        <f>_xlfn.XLOOKUP($A26,'Audit Report'!$C:$C,'Audit Report'!D:D)</f>
        <v>0</v>
      </c>
      <c r="C26">
        <f>_xlfn.XLOOKUP($A26,'Audit Report'!$C:$C,'Audit Report'!G:G)</f>
        <v>0</v>
      </c>
      <c r="D26">
        <f>_xlfn.XLOOKUP($A26,'Audit Report'!$C:$C,'Audit Report'!H:H)</f>
        <v>0</v>
      </c>
      <c r="E26">
        <f>_xlfn.XLOOKUP($A26,'Audit Report'!$C:$C,'Audit Report'!X:X)</f>
        <v>0</v>
      </c>
      <c r="F26">
        <f>_xlfn.XLOOKUP($A26,'Audit Report'!$C:$C,'Audit Report'!P:P)</f>
        <v>0</v>
      </c>
    </row>
    <row r="27" spans="2:6">
      <c r="B27">
        <f>_xlfn.XLOOKUP($A27,'Audit Report'!$C:$C,'Audit Report'!D:D)</f>
        <v>0</v>
      </c>
      <c r="C27">
        <f>_xlfn.XLOOKUP($A27,'Audit Report'!$C:$C,'Audit Report'!G:G)</f>
        <v>0</v>
      </c>
      <c r="D27">
        <f>_xlfn.XLOOKUP($A27,'Audit Report'!$C:$C,'Audit Report'!H:H)</f>
        <v>0</v>
      </c>
      <c r="E27">
        <f>_xlfn.XLOOKUP($A27,'Audit Report'!$C:$C,'Audit Report'!X:X)</f>
        <v>0</v>
      </c>
      <c r="F27">
        <f>_xlfn.XLOOKUP($A27,'Audit Report'!$C:$C,'Audit Report'!P:P)</f>
        <v>0</v>
      </c>
    </row>
    <row r="28" spans="2:6">
      <c r="B28">
        <f>_xlfn.XLOOKUP($A28,'Audit Report'!$C:$C,'Audit Report'!D:D)</f>
        <v>0</v>
      </c>
      <c r="C28">
        <f>_xlfn.XLOOKUP($A28,'Audit Report'!$C:$C,'Audit Report'!G:G)</f>
        <v>0</v>
      </c>
      <c r="D28">
        <f>_xlfn.XLOOKUP($A28,'Audit Report'!$C:$C,'Audit Report'!H:H)</f>
        <v>0</v>
      </c>
      <c r="E28">
        <f>_xlfn.XLOOKUP($A28,'Audit Report'!$C:$C,'Audit Report'!X:X)</f>
        <v>0</v>
      </c>
      <c r="F28">
        <f>_xlfn.XLOOKUP($A28,'Audit Report'!$C:$C,'Audit Report'!P:P)</f>
        <v>0</v>
      </c>
    </row>
    <row r="29" spans="2:6">
      <c r="B29">
        <f>_xlfn.XLOOKUP($A29,'Audit Report'!$C:$C,'Audit Report'!D:D)</f>
        <v>0</v>
      </c>
      <c r="C29">
        <f>_xlfn.XLOOKUP($A29,'Audit Report'!$C:$C,'Audit Report'!G:G)</f>
        <v>0</v>
      </c>
      <c r="D29">
        <f>_xlfn.XLOOKUP($A29,'Audit Report'!$C:$C,'Audit Report'!H:H)</f>
        <v>0</v>
      </c>
      <c r="E29">
        <f>_xlfn.XLOOKUP($A29,'Audit Report'!$C:$C,'Audit Report'!X:X)</f>
        <v>0</v>
      </c>
      <c r="F29">
        <f>_xlfn.XLOOKUP($A29,'Audit Report'!$C:$C,'Audit Report'!P:P)</f>
        <v>0</v>
      </c>
    </row>
    <row r="30" spans="2:6">
      <c r="B30">
        <f>_xlfn.XLOOKUP($A30,'Audit Report'!$C:$C,'Audit Report'!D:D)</f>
        <v>0</v>
      </c>
      <c r="C30">
        <f>_xlfn.XLOOKUP($A30,'Audit Report'!$C:$C,'Audit Report'!G:G)</f>
        <v>0</v>
      </c>
      <c r="D30">
        <f>_xlfn.XLOOKUP($A30,'Audit Report'!$C:$C,'Audit Report'!H:H)</f>
        <v>0</v>
      </c>
      <c r="E30">
        <f>_xlfn.XLOOKUP($A30,'Audit Report'!$C:$C,'Audit Report'!X:X)</f>
        <v>0</v>
      </c>
      <c r="F30">
        <f>_xlfn.XLOOKUP($A30,'Audit Report'!$C:$C,'Audit Report'!P:P)</f>
        <v>0</v>
      </c>
    </row>
    <row r="31" spans="2:6">
      <c r="B31">
        <f>_xlfn.XLOOKUP($A31,'Audit Report'!$C:$C,'Audit Report'!D:D)</f>
        <v>0</v>
      </c>
      <c r="C31">
        <f>_xlfn.XLOOKUP($A31,'Audit Report'!$C:$C,'Audit Report'!G:G)</f>
        <v>0</v>
      </c>
      <c r="D31">
        <f>_xlfn.XLOOKUP($A31,'Audit Report'!$C:$C,'Audit Report'!H:H)</f>
        <v>0</v>
      </c>
      <c r="E31">
        <f>_xlfn.XLOOKUP($A31,'Audit Report'!$C:$C,'Audit Report'!X:X)</f>
        <v>0</v>
      </c>
      <c r="F31">
        <f>_xlfn.XLOOKUP($A31,'Audit Report'!$C:$C,'Audit Report'!P:P)</f>
        <v>0</v>
      </c>
    </row>
    <row r="32" spans="2:6">
      <c r="B32">
        <f>_xlfn.XLOOKUP($A32,'Audit Report'!$C:$C,'Audit Report'!D:D)</f>
        <v>0</v>
      </c>
      <c r="C32">
        <f>_xlfn.XLOOKUP($A32,'Audit Report'!$C:$C,'Audit Report'!G:G)</f>
        <v>0</v>
      </c>
      <c r="D32">
        <f>_xlfn.XLOOKUP($A32,'Audit Report'!$C:$C,'Audit Report'!H:H)</f>
        <v>0</v>
      </c>
      <c r="E32">
        <f>_xlfn.XLOOKUP($A32,'Audit Report'!$C:$C,'Audit Report'!X:X)</f>
        <v>0</v>
      </c>
      <c r="F32">
        <f>_xlfn.XLOOKUP($A32,'Audit Report'!$C:$C,'Audit Report'!P:P)</f>
        <v>0</v>
      </c>
    </row>
    <row r="33" spans="2:6">
      <c r="B33">
        <f>_xlfn.XLOOKUP($A33,'Audit Report'!$C:$C,'Audit Report'!D:D)</f>
        <v>0</v>
      </c>
      <c r="C33">
        <f>_xlfn.XLOOKUP($A33,'Audit Report'!$C:$C,'Audit Report'!G:G)</f>
        <v>0</v>
      </c>
      <c r="D33">
        <f>_xlfn.XLOOKUP($A33,'Audit Report'!$C:$C,'Audit Report'!H:H)</f>
        <v>0</v>
      </c>
      <c r="E33">
        <f>_xlfn.XLOOKUP($A33,'Audit Report'!$C:$C,'Audit Report'!X:X)</f>
        <v>0</v>
      </c>
      <c r="F33">
        <f>_xlfn.XLOOKUP($A33,'Audit Report'!$C:$C,'Audit Report'!P:P)</f>
        <v>0</v>
      </c>
    </row>
    <row r="34" spans="2:6">
      <c r="B34">
        <f>_xlfn.XLOOKUP($A34,'Audit Report'!$C:$C,'Audit Report'!D:D)</f>
        <v>0</v>
      </c>
      <c r="C34">
        <f>_xlfn.XLOOKUP($A34,'Audit Report'!$C:$C,'Audit Report'!G:G)</f>
        <v>0</v>
      </c>
      <c r="D34">
        <f>_xlfn.XLOOKUP($A34,'Audit Report'!$C:$C,'Audit Report'!H:H)</f>
        <v>0</v>
      </c>
      <c r="E34">
        <f>_xlfn.XLOOKUP($A34,'Audit Report'!$C:$C,'Audit Report'!X:X)</f>
        <v>0</v>
      </c>
      <c r="F34">
        <f>_xlfn.XLOOKUP($A34,'Audit Report'!$C:$C,'Audit Report'!P:P)</f>
        <v>0</v>
      </c>
    </row>
    <row r="35" spans="2:6">
      <c r="B35">
        <f>_xlfn.XLOOKUP($A35,'Audit Report'!$C:$C,'Audit Report'!D:D)</f>
        <v>0</v>
      </c>
      <c r="C35">
        <f>_xlfn.XLOOKUP($A35,'Audit Report'!$C:$C,'Audit Report'!G:G)</f>
        <v>0</v>
      </c>
      <c r="D35">
        <f>_xlfn.XLOOKUP($A35,'Audit Report'!$C:$C,'Audit Report'!H:H)</f>
        <v>0</v>
      </c>
      <c r="E35">
        <f>_xlfn.XLOOKUP($A35,'Audit Report'!$C:$C,'Audit Report'!X:X)</f>
        <v>0</v>
      </c>
      <c r="F35">
        <f>_xlfn.XLOOKUP($A35,'Audit Report'!$C:$C,'Audit Report'!P:P)</f>
        <v>0</v>
      </c>
    </row>
    <row r="36" spans="2:6">
      <c r="B36">
        <f>_xlfn.XLOOKUP($A36,'Audit Report'!$C:$C,'Audit Report'!D:D)</f>
        <v>0</v>
      </c>
      <c r="C36">
        <f>_xlfn.XLOOKUP($A36,'Audit Report'!$C:$C,'Audit Report'!G:G)</f>
        <v>0</v>
      </c>
      <c r="D36">
        <f>_xlfn.XLOOKUP($A36,'Audit Report'!$C:$C,'Audit Report'!H:H)</f>
        <v>0</v>
      </c>
      <c r="E36">
        <f>_xlfn.XLOOKUP($A36,'Audit Report'!$C:$C,'Audit Report'!X:X)</f>
        <v>0</v>
      </c>
      <c r="F36">
        <f>_xlfn.XLOOKUP($A36,'Audit Report'!$C:$C,'Audit Report'!P:P)</f>
        <v>0</v>
      </c>
    </row>
    <row r="37" spans="2:6">
      <c r="B37">
        <f>_xlfn.XLOOKUP($A37,'Audit Report'!$C:$C,'Audit Report'!D:D)</f>
        <v>0</v>
      </c>
      <c r="C37">
        <f>_xlfn.XLOOKUP($A37,'Audit Report'!$C:$C,'Audit Report'!G:G)</f>
        <v>0</v>
      </c>
      <c r="D37">
        <f>_xlfn.XLOOKUP($A37,'Audit Report'!$C:$C,'Audit Report'!H:H)</f>
        <v>0</v>
      </c>
      <c r="E37">
        <f>_xlfn.XLOOKUP($A37,'Audit Report'!$C:$C,'Audit Report'!X:X)</f>
        <v>0</v>
      </c>
      <c r="F37">
        <f>_xlfn.XLOOKUP($A37,'Audit Report'!$C:$C,'Audit Report'!P:P)</f>
        <v>0</v>
      </c>
    </row>
    <row r="38" spans="2:6">
      <c r="B38">
        <f>_xlfn.XLOOKUP($A38,'Audit Report'!$C:$C,'Audit Report'!D:D)</f>
        <v>0</v>
      </c>
      <c r="C38">
        <f>_xlfn.XLOOKUP($A38,'Audit Report'!$C:$C,'Audit Report'!G:G)</f>
        <v>0</v>
      </c>
      <c r="D38">
        <f>_xlfn.XLOOKUP($A38,'Audit Report'!$C:$C,'Audit Report'!H:H)</f>
        <v>0</v>
      </c>
      <c r="E38">
        <f>_xlfn.XLOOKUP($A38,'Audit Report'!$C:$C,'Audit Report'!X:X)</f>
        <v>0</v>
      </c>
      <c r="F38">
        <f>_xlfn.XLOOKUP($A38,'Audit Report'!$C:$C,'Audit Report'!P:P)</f>
        <v>0</v>
      </c>
    </row>
    <row r="39" spans="2:6">
      <c r="B39">
        <f>_xlfn.XLOOKUP($A39,'Audit Report'!$C:$C,'Audit Report'!D:D)</f>
        <v>0</v>
      </c>
      <c r="C39">
        <f>_xlfn.XLOOKUP($A39,'Audit Report'!$C:$C,'Audit Report'!G:G)</f>
        <v>0</v>
      </c>
      <c r="D39">
        <f>_xlfn.XLOOKUP($A39,'Audit Report'!$C:$C,'Audit Report'!H:H)</f>
        <v>0</v>
      </c>
      <c r="E39">
        <f>_xlfn.XLOOKUP($A39,'Audit Report'!$C:$C,'Audit Report'!X:X)</f>
        <v>0</v>
      </c>
      <c r="F39">
        <f>_xlfn.XLOOKUP($A39,'Audit Report'!$C:$C,'Audit Report'!P:P)</f>
        <v>0</v>
      </c>
    </row>
    <row r="40" spans="2:6">
      <c r="B40">
        <f>_xlfn.XLOOKUP($A40,'Audit Report'!$C:$C,'Audit Report'!D:D)</f>
        <v>0</v>
      </c>
      <c r="C40">
        <f>_xlfn.XLOOKUP($A40,'Audit Report'!$C:$C,'Audit Report'!G:G)</f>
        <v>0</v>
      </c>
      <c r="D40">
        <f>_xlfn.XLOOKUP($A40,'Audit Report'!$C:$C,'Audit Report'!H:H)</f>
        <v>0</v>
      </c>
      <c r="E40">
        <f>_xlfn.XLOOKUP($A40,'Audit Report'!$C:$C,'Audit Report'!X:X)</f>
        <v>0</v>
      </c>
      <c r="F40">
        <f>_xlfn.XLOOKUP($A40,'Audit Report'!$C:$C,'Audit Report'!P:P)</f>
        <v>0</v>
      </c>
    </row>
    <row r="41" spans="2:6">
      <c r="B41">
        <f>_xlfn.XLOOKUP($A41,'Audit Report'!$C:$C,'Audit Report'!D:D)</f>
        <v>0</v>
      </c>
      <c r="C41">
        <f>_xlfn.XLOOKUP($A41,'Audit Report'!$C:$C,'Audit Report'!G:G)</f>
        <v>0</v>
      </c>
      <c r="D41">
        <f>_xlfn.XLOOKUP($A41,'Audit Report'!$C:$C,'Audit Report'!H:H)</f>
        <v>0</v>
      </c>
      <c r="E41">
        <f>_xlfn.XLOOKUP($A41,'Audit Report'!$C:$C,'Audit Report'!X:X)</f>
        <v>0</v>
      </c>
      <c r="F41">
        <f>_xlfn.XLOOKUP($A41,'Audit Report'!$C:$C,'Audit Report'!P:P)</f>
        <v>0</v>
      </c>
    </row>
    <row r="42" spans="2:6">
      <c r="B42">
        <f>_xlfn.XLOOKUP($A42,'Audit Report'!$C:$C,'Audit Report'!D:D)</f>
        <v>0</v>
      </c>
      <c r="C42">
        <f>_xlfn.XLOOKUP($A42,'Audit Report'!$C:$C,'Audit Report'!G:G)</f>
        <v>0</v>
      </c>
      <c r="D42">
        <f>_xlfn.XLOOKUP($A42,'Audit Report'!$C:$C,'Audit Report'!H:H)</f>
        <v>0</v>
      </c>
      <c r="E42">
        <f>_xlfn.XLOOKUP($A42,'Audit Report'!$C:$C,'Audit Report'!X:X)</f>
        <v>0</v>
      </c>
      <c r="F42">
        <f>_xlfn.XLOOKUP($A42,'Audit Report'!$C:$C,'Audit Report'!P:P)</f>
        <v>0</v>
      </c>
    </row>
    <row r="43" spans="2:6">
      <c r="B43">
        <f>_xlfn.XLOOKUP($A43,'Audit Report'!$C:$C,'Audit Report'!D:D)</f>
        <v>0</v>
      </c>
      <c r="C43">
        <f>_xlfn.XLOOKUP($A43,'Audit Report'!$C:$C,'Audit Report'!G:G)</f>
        <v>0</v>
      </c>
      <c r="D43">
        <f>_xlfn.XLOOKUP($A43,'Audit Report'!$C:$C,'Audit Report'!H:H)</f>
        <v>0</v>
      </c>
      <c r="E43">
        <f>_xlfn.XLOOKUP($A43,'Audit Report'!$C:$C,'Audit Report'!X:X)</f>
        <v>0</v>
      </c>
      <c r="F43">
        <f>_xlfn.XLOOKUP($A43,'Audit Report'!$C:$C,'Audit Report'!P:P)</f>
        <v>0</v>
      </c>
    </row>
    <row r="44" spans="2:6">
      <c r="B44">
        <f>_xlfn.XLOOKUP($A44,'Audit Report'!$C:$C,'Audit Report'!D:D)</f>
        <v>0</v>
      </c>
      <c r="C44">
        <f>_xlfn.XLOOKUP($A44,'Audit Report'!$C:$C,'Audit Report'!G:G)</f>
        <v>0</v>
      </c>
      <c r="D44">
        <f>_xlfn.XLOOKUP($A44,'Audit Report'!$C:$C,'Audit Report'!H:H)</f>
        <v>0</v>
      </c>
      <c r="E44">
        <f>_xlfn.XLOOKUP($A44,'Audit Report'!$C:$C,'Audit Report'!X:X)</f>
        <v>0</v>
      </c>
      <c r="F44">
        <f>_xlfn.XLOOKUP($A44,'Audit Report'!$C:$C,'Audit Report'!P:P)</f>
        <v>0</v>
      </c>
    </row>
    <row r="45" spans="2:6">
      <c r="B45">
        <f>_xlfn.XLOOKUP($A45,'Audit Report'!$C:$C,'Audit Report'!D:D)</f>
        <v>0</v>
      </c>
      <c r="C45">
        <f>_xlfn.XLOOKUP($A45,'Audit Report'!$C:$C,'Audit Report'!G:G)</f>
        <v>0</v>
      </c>
      <c r="D45">
        <f>_xlfn.XLOOKUP($A45,'Audit Report'!$C:$C,'Audit Report'!H:H)</f>
        <v>0</v>
      </c>
      <c r="E45">
        <f>_xlfn.XLOOKUP($A45,'Audit Report'!$C:$C,'Audit Report'!X:X)</f>
        <v>0</v>
      </c>
      <c r="F45">
        <f>_xlfn.XLOOKUP($A45,'Audit Report'!$C:$C,'Audit Report'!P:P)</f>
        <v>0</v>
      </c>
    </row>
    <row r="46" spans="2:6">
      <c r="B46">
        <f>_xlfn.XLOOKUP($A46,'Audit Report'!$C:$C,'Audit Report'!D:D)</f>
        <v>0</v>
      </c>
      <c r="C46">
        <f>_xlfn.XLOOKUP($A46,'Audit Report'!$C:$C,'Audit Report'!G:G)</f>
        <v>0</v>
      </c>
      <c r="D46">
        <f>_xlfn.XLOOKUP($A46,'Audit Report'!$C:$C,'Audit Report'!H:H)</f>
        <v>0</v>
      </c>
      <c r="E46">
        <f>_xlfn.XLOOKUP($A46,'Audit Report'!$C:$C,'Audit Report'!X:X)</f>
        <v>0</v>
      </c>
      <c r="F46">
        <f>_xlfn.XLOOKUP($A46,'Audit Report'!$C:$C,'Audit Report'!P:P)</f>
        <v>0</v>
      </c>
    </row>
    <row r="47" spans="2:6">
      <c r="B47">
        <f>_xlfn.XLOOKUP($A47,'Audit Report'!$C:$C,'Audit Report'!D:D)</f>
        <v>0</v>
      </c>
      <c r="C47">
        <f>_xlfn.XLOOKUP($A47,'Audit Report'!$C:$C,'Audit Report'!G:G)</f>
        <v>0</v>
      </c>
      <c r="D47">
        <f>_xlfn.XLOOKUP($A47,'Audit Report'!$C:$C,'Audit Report'!H:H)</f>
        <v>0</v>
      </c>
      <c r="E47">
        <f>_xlfn.XLOOKUP($A47,'Audit Report'!$C:$C,'Audit Report'!X:X)</f>
        <v>0</v>
      </c>
      <c r="F47">
        <f>_xlfn.XLOOKUP($A47,'Audit Report'!$C:$C,'Audit Report'!P:P)</f>
        <v>0</v>
      </c>
    </row>
    <row r="48" spans="2:6">
      <c r="B48">
        <f>_xlfn.XLOOKUP($A48,'Audit Report'!$C:$C,'Audit Report'!D:D)</f>
        <v>0</v>
      </c>
      <c r="C48">
        <f>_xlfn.XLOOKUP($A48,'Audit Report'!$C:$C,'Audit Report'!G:G)</f>
        <v>0</v>
      </c>
      <c r="D48">
        <f>_xlfn.XLOOKUP($A48,'Audit Report'!$C:$C,'Audit Report'!H:H)</f>
        <v>0</v>
      </c>
      <c r="E48">
        <f>_xlfn.XLOOKUP($A48,'Audit Report'!$C:$C,'Audit Report'!X:X)</f>
        <v>0</v>
      </c>
      <c r="F48">
        <f>_xlfn.XLOOKUP($A48,'Audit Report'!$C:$C,'Audit Report'!P:P)</f>
        <v>0</v>
      </c>
    </row>
    <row r="49" spans="2:6">
      <c r="B49">
        <f>_xlfn.XLOOKUP($A49,'Audit Report'!$C:$C,'Audit Report'!D:D)</f>
        <v>0</v>
      </c>
      <c r="C49">
        <f>_xlfn.XLOOKUP($A49,'Audit Report'!$C:$C,'Audit Report'!G:G)</f>
        <v>0</v>
      </c>
      <c r="D49">
        <f>_xlfn.XLOOKUP($A49,'Audit Report'!$C:$C,'Audit Report'!H:H)</f>
        <v>0</v>
      </c>
      <c r="E49">
        <f>_xlfn.XLOOKUP($A49,'Audit Report'!$C:$C,'Audit Report'!X:X)</f>
        <v>0</v>
      </c>
      <c r="F49">
        <f>_xlfn.XLOOKUP($A49,'Audit Report'!$C:$C,'Audit Report'!P:P)</f>
        <v>0</v>
      </c>
    </row>
    <row r="50" spans="2:6">
      <c r="B50">
        <f>_xlfn.XLOOKUP($A50,'Audit Report'!$C:$C,'Audit Report'!D:D)</f>
        <v>0</v>
      </c>
      <c r="C50">
        <f>_xlfn.XLOOKUP($A50,'Audit Report'!$C:$C,'Audit Report'!G:G)</f>
        <v>0</v>
      </c>
      <c r="D50">
        <f>_xlfn.XLOOKUP($A50,'Audit Report'!$C:$C,'Audit Report'!H:H)</f>
        <v>0</v>
      </c>
      <c r="E50">
        <f>_xlfn.XLOOKUP($A50,'Audit Report'!$C:$C,'Audit Report'!X:X)</f>
        <v>0</v>
      </c>
      <c r="F50">
        <f>_xlfn.XLOOKUP($A50,'Audit Report'!$C:$C,'Audit Report'!P:P)</f>
        <v>0</v>
      </c>
    </row>
    <row r="51" spans="2:6">
      <c r="B51">
        <f>_xlfn.XLOOKUP($A51,'Audit Report'!$C:$C,'Audit Report'!D:D)</f>
        <v>0</v>
      </c>
      <c r="C51">
        <f>_xlfn.XLOOKUP($A51,'Audit Report'!$C:$C,'Audit Report'!G:G)</f>
        <v>0</v>
      </c>
      <c r="D51">
        <f>_xlfn.XLOOKUP($A51,'Audit Report'!$C:$C,'Audit Report'!H:H)</f>
        <v>0</v>
      </c>
      <c r="E51">
        <f>_xlfn.XLOOKUP($A51,'Audit Report'!$C:$C,'Audit Report'!X:X)</f>
        <v>0</v>
      </c>
      <c r="F51">
        <f>_xlfn.XLOOKUP($A51,'Audit Report'!$C:$C,'Audit Report'!P:P)</f>
        <v>0</v>
      </c>
    </row>
    <row r="52" spans="2:6">
      <c r="B52">
        <f>_xlfn.XLOOKUP($A52,'Audit Report'!$C:$C,'Audit Report'!D:D)</f>
        <v>0</v>
      </c>
      <c r="C52">
        <f>_xlfn.XLOOKUP($A52,'Audit Report'!$C:$C,'Audit Report'!G:G)</f>
        <v>0</v>
      </c>
      <c r="D52">
        <f>_xlfn.XLOOKUP($A52,'Audit Report'!$C:$C,'Audit Report'!H:H)</f>
        <v>0</v>
      </c>
      <c r="E52">
        <f>_xlfn.XLOOKUP($A52,'Audit Report'!$C:$C,'Audit Report'!X:X)</f>
        <v>0</v>
      </c>
      <c r="F52">
        <f>_xlfn.XLOOKUP($A52,'Audit Report'!$C:$C,'Audit Report'!P:P)</f>
        <v>0</v>
      </c>
    </row>
    <row r="53" spans="2:6">
      <c r="B53">
        <f>_xlfn.XLOOKUP($A53,'Audit Report'!$C:$C,'Audit Report'!D:D)</f>
        <v>0</v>
      </c>
      <c r="C53">
        <f>_xlfn.XLOOKUP($A53,'Audit Report'!$C:$C,'Audit Report'!G:G)</f>
        <v>0</v>
      </c>
      <c r="D53">
        <f>_xlfn.XLOOKUP($A53,'Audit Report'!$C:$C,'Audit Report'!H:H)</f>
        <v>0</v>
      </c>
      <c r="E53">
        <f>_xlfn.XLOOKUP($A53,'Audit Report'!$C:$C,'Audit Report'!X:X)</f>
        <v>0</v>
      </c>
      <c r="F53">
        <f>_xlfn.XLOOKUP($A53,'Audit Report'!$C:$C,'Audit Report'!P:P)</f>
        <v>0</v>
      </c>
    </row>
    <row r="54" spans="2:6">
      <c r="B54">
        <f>_xlfn.XLOOKUP($A54,'Audit Report'!$C:$C,'Audit Report'!D:D)</f>
        <v>0</v>
      </c>
      <c r="C54">
        <f>_xlfn.XLOOKUP($A54,'Audit Report'!$C:$C,'Audit Report'!G:G)</f>
        <v>0</v>
      </c>
      <c r="D54">
        <f>_xlfn.XLOOKUP($A54,'Audit Report'!$C:$C,'Audit Report'!H:H)</f>
        <v>0</v>
      </c>
      <c r="E54">
        <f>_xlfn.XLOOKUP($A54,'Audit Report'!$C:$C,'Audit Report'!X:X)</f>
        <v>0</v>
      </c>
      <c r="F54">
        <f>_xlfn.XLOOKUP($A54,'Audit Report'!$C:$C,'Audit Report'!P:P)</f>
        <v>0</v>
      </c>
    </row>
    <row r="55" spans="2:6">
      <c r="B55">
        <f>_xlfn.XLOOKUP($A55,'Audit Report'!$C:$C,'Audit Report'!D:D)</f>
        <v>0</v>
      </c>
      <c r="C55">
        <f>_xlfn.XLOOKUP($A55,'Audit Report'!$C:$C,'Audit Report'!G:G)</f>
        <v>0</v>
      </c>
      <c r="D55">
        <f>_xlfn.XLOOKUP($A55,'Audit Report'!$C:$C,'Audit Report'!H:H)</f>
        <v>0</v>
      </c>
      <c r="E55">
        <f>_xlfn.XLOOKUP($A55,'Audit Report'!$C:$C,'Audit Report'!X:X)</f>
        <v>0</v>
      </c>
      <c r="F55">
        <f>_xlfn.XLOOKUP($A55,'Audit Report'!$C:$C,'Audit Report'!P:P)</f>
        <v>0</v>
      </c>
    </row>
    <row r="56" spans="2:6">
      <c r="B56">
        <f>_xlfn.XLOOKUP($A56,'Audit Report'!$C:$C,'Audit Report'!D:D)</f>
        <v>0</v>
      </c>
      <c r="C56">
        <f>_xlfn.XLOOKUP($A56,'Audit Report'!$C:$C,'Audit Report'!G:G)</f>
        <v>0</v>
      </c>
      <c r="D56">
        <f>_xlfn.XLOOKUP($A56,'Audit Report'!$C:$C,'Audit Report'!H:H)</f>
        <v>0</v>
      </c>
      <c r="E56">
        <f>_xlfn.XLOOKUP($A56,'Audit Report'!$C:$C,'Audit Report'!X:X)</f>
        <v>0</v>
      </c>
      <c r="F56">
        <f>_xlfn.XLOOKUP($A56,'Audit Report'!$C:$C,'Audit Report'!P:P)</f>
        <v>0</v>
      </c>
    </row>
    <row r="57" spans="2:6">
      <c r="B57">
        <f>_xlfn.XLOOKUP($A57,'Audit Report'!$C:$C,'Audit Report'!D:D)</f>
        <v>0</v>
      </c>
      <c r="C57">
        <f>_xlfn.XLOOKUP($A57,'Audit Report'!$C:$C,'Audit Report'!G:G)</f>
        <v>0</v>
      </c>
      <c r="D57">
        <f>_xlfn.XLOOKUP($A57,'Audit Report'!$C:$C,'Audit Report'!H:H)</f>
        <v>0</v>
      </c>
      <c r="E57">
        <f>_xlfn.XLOOKUP($A57,'Audit Report'!$C:$C,'Audit Report'!X:X)</f>
        <v>0</v>
      </c>
      <c r="F57">
        <f>_xlfn.XLOOKUP($A57,'Audit Report'!$C:$C,'Audit Report'!P:P)</f>
        <v>0</v>
      </c>
    </row>
    <row r="58" spans="2:6">
      <c r="B58">
        <f>_xlfn.XLOOKUP($A58,'Audit Report'!$C:$C,'Audit Report'!D:D)</f>
        <v>0</v>
      </c>
      <c r="C58">
        <f>_xlfn.XLOOKUP($A58,'Audit Report'!$C:$C,'Audit Report'!G:G)</f>
        <v>0</v>
      </c>
      <c r="D58">
        <f>_xlfn.XLOOKUP($A58,'Audit Report'!$C:$C,'Audit Report'!H:H)</f>
        <v>0</v>
      </c>
      <c r="E58">
        <f>_xlfn.XLOOKUP($A58,'Audit Report'!$C:$C,'Audit Report'!X:X)</f>
        <v>0</v>
      </c>
      <c r="F58">
        <f>_xlfn.XLOOKUP($A58,'Audit Report'!$C:$C,'Audit Report'!P:P)</f>
        <v>0</v>
      </c>
    </row>
    <row r="59" spans="2:6">
      <c r="B59">
        <f>_xlfn.XLOOKUP($A59,'Audit Report'!$C:$C,'Audit Report'!D:D)</f>
        <v>0</v>
      </c>
      <c r="C59">
        <f>_xlfn.XLOOKUP($A59,'Audit Report'!$C:$C,'Audit Report'!G:G)</f>
        <v>0</v>
      </c>
      <c r="D59">
        <f>_xlfn.XLOOKUP($A59,'Audit Report'!$C:$C,'Audit Report'!H:H)</f>
        <v>0</v>
      </c>
      <c r="E59">
        <f>_xlfn.XLOOKUP($A59,'Audit Report'!$C:$C,'Audit Report'!X:X)</f>
        <v>0</v>
      </c>
      <c r="F59">
        <f>_xlfn.XLOOKUP($A59,'Audit Report'!$C:$C,'Audit Report'!P:P)</f>
        <v>0</v>
      </c>
    </row>
    <row r="60" spans="2:6">
      <c r="B60">
        <f>_xlfn.XLOOKUP($A60,'Audit Report'!$C:$C,'Audit Report'!D:D)</f>
        <v>0</v>
      </c>
      <c r="C60">
        <f>_xlfn.XLOOKUP($A60,'Audit Report'!$C:$C,'Audit Report'!G:G)</f>
        <v>0</v>
      </c>
      <c r="D60">
        <f>_xlfn.XLOOKUP($A60,'Audit Report'!$C:$C,'Audit Report'!H:H)</f>
        <v>0</v>
      </c>
      <c r="E60">
        <f>_xlfn.XLOOKUP($A60,'Audit Report'!$C:$C,'Audit Report'!X:X)</f>
        <v>0</v>
      </c>
      <c r="F60">
        <f>_xlfn.XLOOKUP($A60,'Audit Report'!$C:$C,'Audit Report'!P:P)</f>
        <v>0</v>
      </c>
    </row>
    <row r="61" spans="2:6">
      <c r="B61">
        <f>_xlfn.XLOOKUP($A61,'Audit Report'!$C:$C,'Audit Report'!D:D)</f>
        <v>0</v>
      </c>
      <c r="C61">
        <f>_xlfn.XLOOKUP($A61,'Audit Report'!$C:$C,'Audit Report'!G:G)</f>
        <v>0</v>
      </c>
      <c r="D61">
        <f>_xlfn.XLOOKUP($A61,'Audit Report'!$C:$C,'Audit Report'!H:H)</f>
        <v>0</v>
      </c>
      <c r="E61">
        <f>_xlfn.XLOOKUP($A61,'Audit Report'!$C:$C,'Audit Report'!X:X)</f>
        <v>0</v>
      </c>
      <c r="F61">
        <f>_xlfn.XLOOKUP($A61,'Audit Report'!$C:$C,'Audit Report'!P:P)</f>
        <v>0</v>
      </c>
    </row>
    <row r="62" spans="2:6">
      <c r="B62">
        <f>_xlfn.XLOOKUP($A62,'Audit Report'!$C:$C,'Audit Report'!D:D)</f>
        <v>0</v>
      </c>
      <c r="C62">
        <f>_xlfn.XLOOKUP($A62,'Audit Report'!$C:$C,'Audit Report'!G:G)</f>
        <v>0</v>
      </c>
      <c r="D62">
        <f>_xlfn.XLOOKUP($A62,'Audit Report'!$C:$C,'Audit Report'!H:H)</f>
        <v>0</v>
      </c>
      <c r="E62">
        <f>_xlfn.XLOOKUP($A62,'Audit Report'!$C:$C,'Audit Report'!X:X)</f>
        <v>0</v>
      </c>
      <c r="F62">
        <f>_xlfn.XLOOKUP($A62,'Audit Report'!$C:$C,'Audit Report'!P:P)</f>
        <v>0</v>
      </c>
    </row>
    <row r="63" spans="2:6">
      <c r="B63">
        <f>_xlfn.XLOOKUP($A63,'Audit Report'!$C:$C,'Audit Report'!D:D)</f>
        <v>0</v>
      </c>
      <c r="C63">
        <f>_xlfn.XLOOKUP($A63,'Audit Report'!$C:$C,'Audit Report'!G:G)</f>
        <v>0</v>
      </c>
      <c r="D63">
        <f>_xlfn.XLOOKUP($A63,'Audit Report'!$C:$C,'Audit Report'!H:H)</f>
        <v>0</v>
      </c>
      <c r="E63">
        <f>_xlfn.XLOOKUP($A63,'Audit Report'!$C:$C,'Audit Report'!X:X)</f>
        <v>0</v>
      </c>
      <c r="F63">
        <f>_xlfn.XLOOKUP($A63,'Audit Report'!$C:$C,'Audit Report'!P:P)</f>
        <v>0</v>
      </c>
    </row>
    <row r="64" spans="2:6">
      <c r="B64">
        <f>_xlfn.XLOOKUP($A64,'Audit Report'!$C:$C,'Audit Report'!D:D)</f>
        <v>0</v>
      </c>
      <c r="C64">
        <f>_xlfn.XLOOKUP($A64,'Audit Report'!$C:$C,'Audit Report'!G:G)</f>
        <v>0</v>
      </c>
      <c r="D64">
        <f>_xlfn.XLOOKUP($A64,'Audit Report'!$C:$C,'Audit Report'!H:H)</f>
        <v>0</v>
      </c>
      <c r="E64">
        <f>_xlfn.XLOOKUP($A64,'Audit Report'!$C:$C,'Audit Report'!X:X)</f>
        <v>0</v>
      </c>
      <c r="F64">
        <f>_xlfn.XLOOKUP($A64,'Audit Report'!$C:$C,'Audit Report'!P:P)</f>
        <v>0</v>
      </c>
    </row>
    <row r="65" spans="2:6">
      <c r="B65">
        <f>_xlfn.XLOOKUP($A65,'Audit Report'!$C:$C,'Audit Report'!D:D)</f>
        <v>0</v>
      </c>
      <c r="C65">
        <f>_xlfn.XLOOKUP($A65,'Audit Report'!$C:$C,'Audit Report'!G:G)</f>
        <v>0</v>
      </c>
      <c r="D65">
        <f>_xlfn.XLOOKUP($A65,'Audit Report'!$C:$C,'Audit Report'!H:H)</f>
        <v>0</v>
      </c>
      <c r="E65">
        <f>_xlfn.XLOOKUP($A65,'Audit Report'!$C:$C,'Audit Report'!X:X)</f>
        <v>0</v>
      </c>
      <c r="F65">
        <f>_xlfn.XLOOKUP($A65,'Audit Report'!$C:$C,'Audit Report'!P:P)</f>
        <v>0</v>
      </c>
    </row>
    <row r="66" spans="2:6">
      <c r="B66">
        <f>_xlfn.XLOOKUP($A66,'Audit Report'!$C:$C,'Audit Report'!D:D)</f>
        <v>0</v>
      </c>
      <c r="C66">
        <f>_xlfn.XLOOKUP($A66,'Audit Report'!$C:$C,'Audit Report'!G:G)</f>
        <v>0</v>
      </c>
      <c r="D66">
        <f>_xlfn.XLOOKUP($A66,'Audit Report'!$C:$C,'Audit Report'!H:H)</f>
        <v>0</v>
      </c>
      <c r="E66">
        <f>_xlfn.XLOOKUP($A66,'Audit Report'!$C:$C,'Audit Report'!X:X)</f>
        <v>0</v>
      </c>
      <c r="F66">
        <f>_xlfn.XLOOKUP($A66,'Audit Report'!$C:$C,'Audit Report'!P:P)</f>
        <v>0</v>
      </c>
    </row>
    <row r="67" spans="2:6">
      <c r="B67">
        <f>_xlfn.XLOOKUP($A67,'Audit Report'!$C:$C,'Audit Report'!D:D)</f>
        <v>0</v>
      </c>
      <c r="C67">
        <f>_xlfn.XLOOKUP($A67,'Audit Report'!$C:$C,'Audit Report'!G:G)</f>
        <v>0</v>
      </c>
      <c r="D67">
        <f>_xlfn.XLOOKUP($A67,'Audit Report'!$C:$C,'Audit Report'!H:H)</f>
        <v>0</v>
      </c>
      <c r="E67">
        <f>_xlfn.XLOOKUP($A67,'Audit Report'!$C:$C,'Audit Report'!X:X)</f>
        <v>0</v>
      </c>
      <c r="F67">
        <f>_xlfn.XLOOKUP($A67,'Audit Report'!$C:$C,'Audit Report'!P:P)</f>
        <v>0</v>
      </c>
    </row>
    <row r="68" spans="2:6">
      <c r="B68">
        <f>_xlfn.XLOOKUP($A68,'Audit Report'!$C:$C,'Audit Report'!D:D)</f>
        <v>0</v>
      </c>
      <c r="C68">
        <f>_xlfn.XLOOKUP($A68,'Audit Report'!$C:$C,'Audit Report'!G:G)</f>
        <v>0</v>
      </c>
      <c r="D68">
        <f>_xlfn.XLOOKUP($A68,'Audit Report'!$C:$C,'Audit Report'!H:H)</f>
        <v>0</v>
      </c>
      <c r="E68">
        <f>_xlfn.XLOOKUP($A68,'Audit Report'!$C:$C,'Audit Report'!X:X)</f>
        <v>0</v>
      </c>
      <c r="F68">
        <f>_xlfn.XLOOKUP($A68,'Audit Report'!$C:$C,'Audit Report'!P:P)</f>
        <v>0</v>
      </c>
    </row>
    <row r="69" spans="2:6">
      <c r="B69">
        <f>_xlfn.XLOOKUP($A69,'Audit Report'!$C:$C,'Audit Report'!D:D)</f>
        <v>0</v>
      </c>
      <c r="C69">
        <f>_xlfn.XLOOKUP($A69,'Audit Report'!$C:$C,'Audit Report'!G:G)</f>
        <v>0</v>
      </c>
      <c r="D69">
        <f>_xlfn.XLOOKUP($A69,'Audit Report'!$C:$C,'Audit Report'!H:H)</f>
        <v>0</v>
      </c>
      <c r="E69">
        <f>_xlfn.XLOOKUP($A69,'Audit Report'!$C:$C,'Audit Report'!X:X)</f>
        <v>0</v>
      </c>
      <c r="F69">
        <f>_xlfn.XLOOKUP($A69,'Audit Report'!$C:$C,'Audit Report'!P:P)</f>
        <v>0</v>
      </c>
    </row>
    <row r="70" spans="2:6">
      <c r="B70">
        <f>_xlfn.XLOOKUP($A70,'Audit Report'!$C:$C,'Audit Report'!D:D)</f>
        <v>0</v>
      </c>
      <c r="C70">
        <f>_xlfn.XLOOKUP($A70,'Audit Report'!$C:$C,'Audit Report'!G:G)</f>
        <v>0</v>
      </c>
      <c r="D70">
        <f>_xlfn.XLOOKUP($A70,'Audit Report'!$C:$C,'Audit Report'!H:H)</f>
        <v>0</v>
      </c>
      <c r="E70">
        <f>_xlfn.XLOOKUP($A70,'Audit Report'!$C:$C,'Audit Report'!X:X)</f>
        <v>0</v>
      </c>
      <c r="F70">
        <f>_xlfn.XLOOKUP($A70,'Audit Report'!$C:$C,'Audit Report'!P:P)</f>
        <v>0</v>
      </c>
    </row>
    <row r="71" spans="2:6">
      <c r="B71">
        <f>_xlfn.XLOOKUP($A71,'Audit Report'!$C:$C,'Audit Report'!D:D)</f>
        <v>0</v>
      </c>
      <c r="C71">
        <f>_xlfn.XLOOKUP($A71,'Audit Report'!$C:$C,'Audit Report'!G:G)</f>
        <v>0</v>
      </c>
      <c r="D71">
        <f>_xlfn.XLOOKUP($A71,'Audit Report'!$C:$C,'Audit Report'!H:H)</f>
        <v>0</v>
      </c>
      <c r="E71">
        <f>_xlfn.XLOOKUP($A71,'Audit Report'!$C:$C,'Audit Report'!X:X)</f>
        <v>0</v>
      </c>
      <c r="F71">
        <f>_xlfn.XLOOKUP($A71,'Audit Report'!$C:$C,'Audit Report'!P:P)</f>
        <v>0</v>
      </c>
    </row>
    <row r="72" spans="2:6">
      <c r="B72">
        <f>_xlfn.XLOOKUP($A72,'Audit Report'!$C:$C,'Audit Report'!D:D)</f>
        <v>0</v>
      </c>
      <c r="C72">
        <f>_xlfn.XLOOKUP($A72,'Audit Report'!$C:$C,'Audit Report'!G:G)</f>
        <v>0</v>
      </c>
      <c r="D72">
        <f>_xlfn.XLOOKUP($A72,'Audit Report'!$C:$C,'Audit Report'!H:H)</f>
        <v>0</v>
      </c>
      <c r="E72">
        <f>_xlfn.XLOOKUP($A72,'Audit Report'!$C:$C,'Audit Report'!X:X)</f>
        <v>0</v>
      </c>
      <c r="F72">
        <f>_xlfn.XLOOKUP($A72,'Audit Report'!$C:$C,'Audit Report'!P:P)</f>
        <v>0</v>
      </c>
    </row>
    <row r="73" spans="2:6">
      <c r="B73">
        <f>_xlfn.XLOOKUP($A73,'Audit Report'!$C:$C,'Audit Report'!D:D)</f>
        <v>0</v>
      </c>
      <c r="C73">
        <f>_xlfn.XLOOKUP($A73,'Audit Report'!$C:$C,'Audit Report'!G:G)</f>
        <v>0</v>
      </c>
      <c r="D73">
        <f>_xlfn.XLOOKUP($A73,'Audit Report'!$C:$C,'Audit Report'!H:H)</f>
        <v>0</v>
      </c>
      <c r="E73">
        <f>_xlfn.XLOOKUP($A73,'Audit Report'!$C:$C,'Audit Report'!X:X)</f>
        <v>0</v>
      </c>
      <c r="F73">
        <f>_xlfn.XLOOKUP($A73,'Audit Report'!$C:$C,'Audit Report'!P:P)</f>
        <v>0</v>
      </c>
    </row>
    <row r="74" spans="2:6">
      <c r="B74">
        <f>_xlfn.XLOOKUP($A74,'Audit Report'!$C:$C,'Audit Report'!D:D)</f>
        <v>0</v>
      </c>
      <c r="C74">
        <f>_xlfn.XLOOKUP($A74,'Audit Report'!$C:$C,'Audit Report'!G:G)</f>
        <v>0</v>
      </c>
      <c r="D74">
        <f>_xlfn.XLOOKUP($A74,'Audit Report'!$C:$C,'Audit Report'!H:H)</f>
        <v>0</v>
      </c>
      <c r="E74">
        <f>_xlfn.XLOOKUP($A74,'Audit Report'!$C:$C,'Audit Report'!X:X)</f>
        <v>0</v>
      </c>
      <c r="F74">
        <f>_xlfn.XLOOKUP($A74,'Audit Report'!$C:$C,'Audit Report'!P:P)</f>
        <v>0</v>
      </c>
    </row>
    <row r="75" spans="2:6">
      <c r="B75">
        <f>_xlfn.XLOOKUP($A75,'Audit Report'!$C:$C,'Audit Report'!D:D)</f>
        <v>0</v>
      </c>
      <c r="C75">
        <f>_xlfn.XLOOKUP($A75,'Audit Report'!$C:$C,'Audit Report'!G:G)</f>
        <v>0</v>
      </c>
      <c r="D75">
        <f>_xlfn.XLOOKUP($A75,'Audit Report'!$C:$C,'Audit Report'!H:H)</f>
        <v>0</v>
      </c>
      <c r="E75">
        <f>_xlfn.XLOOKUP($A75,'Audit Report'!$C:$C,'Audit Report'!X:X)</f>
        <v>0</v>
      </c>
      <c r="F75">
        <f>_xlfn.XLOOKUP($A75,'Audit Report'!$C:$C,'Audit Report'!P:P)</f>
        <v>0</v>
      </c>
    </row>
    <row r="76" spans="2:6">
      <c r="B76">
        <f>_xlfn.XLOOKUP($A76,'Audit Report'!$C:$C,'Audit Report'!D:D)</f>
        <v>0</v>
      </c>
      <c r="C76">
        <f>_xlfn.XLOOKUP($A76,'Audit Report'!$C:$C,'Audit Report'!G:G)</f>
        <v>0</v>
      </c>
      <c r="D76">
        <f>_xlfn.XLOOKUP($A76,'Audit Report'!$C:$C,'Audit Report'!H:H)</f>
        <v>0</v>
      </c>
      <c r="E76">
        <f>_xlfn.XLOOKUP($A76,'Audit Report'!$C:$C,'Audit Report'!X:X)</f>
        <v>0</v>
      </c>
      <c r="F76">
        <f>_xlfn.XLOOKUP($A76,'Audit Report'!$C:$C,'Audit Report'!P:P)</f>
        <v>0</v>
      </c>
    </row>
    <row r="77" spans="2:6">
      <c r="B77">
        <f>_xlfn.XLOOKUP($A77,'Audit Report'!$C:$C,'Audit Report'!D:D)</f>
        <v>0</v>
      </c>
      <c r="C77">
        <f>_xlfn.XLOOKUP($A77,'Audit Report'!$C:$C,'Audit Report'!G:G)</f>
        <v>0</v>
      </c>
      <c r="D77">
        <f>_xlfn.XLOOKUP($A77,'Audit Report'!$C:$C,'Audit Report'!H:H)</f>
        <v>0</v>
      </c>
      <c r="E77">
        <f>_xlfn.XLOOKUP($A77,'Audit Report'!$C:$C,'Audit Report'!X:X)</f>
        <v>0</v>
      </c>
      <c r="F77">
        <f>_xlfn.XLOOKUP($A77,'Audit Report'!$C:$C,'Audit Report'!P:P)</f>
        <v>0</v>
      </c>
    </row>
    <row r="78" spans="2:6">
      <c r="B78">
        <f>_xlfn.XLOOKUP($A78,'Audit Report'!$C:$C,'Audit Report'!D:D)</f>
        <v>0</v>
      </c>
      <c r="C78">
        <f>_xlfn.XLOOKUP($A78,'Audit Report'!$C:$C,'Audit Report'!G:G)</f>
        <v>0</v>
      </c>
      <c r="D78">
        <f>_xlfn.XLOOKUP($A78,'Audit Report'!$C:$C,'Audit Report'!H:H)</f>
        <v>0</v>
      </c>
      <c r="E78">
        <f>_xlfn.XLOOKUP($A78,'Audit Report'!$C:$C,'Audit Report'!X:X)</f>
        <v>0</v>
      </c>
      <c r="F78">
        <f>_xlfn.XLOOKUP($A78,'Audit Report'!$C:$C,'Audit Report'!P:P)</f>
        <v>0</v>
      </c>
    </row>
    <row r="79" spans="2:6">
      <c r="B79">
        <f>_xlfn.XLOOKUP($A79,'Audit Report'!$C:$C,'Audit Report'!D:D)</f>
        <v>0</v>
      </c>
      <c r="C79">
        <f>_xlfn.XLOOKUP($A79,'Audit Report'!$C:$C,'Audit Report'!G:G)</f>
        <v>0</v>
      </c>
      <c r="D79">
        <f>_xlfn.XLOOKUP($A79,'Audit Report'!$C:$C,'Audit Report'!H:H)</f>
        <v>0</v>
      </c>
      <c r="E79">
        <f>_xlfn.XLOOKUP($A79,'Audit Report'!$C:$C,'Audit Report'!X:X)</f>
        <v>0</v>
      </c>
      <c r="F79">
        <f>_xlfn.XLOOKUP($A79,'Audit Report'!$C:$C,'Audit Report'!P:P)</f>
        <v>0</v>
      </c>
    </row>
    <row r="80" spans="2:6">
      <c r="B80">
        <f>_xlfn.XLOOKUP($A80,'Audit Report'!$C:$C,'Audit Report'!D:D)</f>
        <v>0</v>
      </c>
      <c r="C80">
        <f>_xlfn.XLOOKUP($A80,'Audit Report'!$C:$C,'Audit Report'!G:G)</f>
        <v>0</v>
      </c>
      <c r="D80">
        <f>_xlfn.XLOOKUP($A80,'Audit Report'!$C:$C,'Audit Report'!H:H)</f>
        <v>0</v>
      </c>
      <c r="E80">
        <f>_xlfn.XLOOKUP($A80,'Audit Report'!$C:$C,'Audit Report'!X:X)</f>
        <v>0</v>
      </c>
      <c r="F80">
        <f>_xlfn.XLOOKUP($A80,'Audit Report'!$C:$C,'Audit Report'!P:P)</f>
        <v>0</v>
      </c>
    </row>
    <row r="81" spans="2:6">
      <c r="B81">
        <f>_xlfn.XLOOKUP($A81,'Audit Report'!$C:$C,'Audit Report'!D:D)</f>
        <v>0</v>
      </c>
      <c r="C81">
        <f>_xlfn.XLOOKUP($A81,'Audit Report'!$C:$C,'Audit Report'!G:G)</f>
        <v>0</v>
      </c>
      <c r="D81">
        <f>_xlfn.XLOOKUP($A81,'Audit Report'!$C:$C,'Audit Report'!H:H)</f>
        <v>0</v>
      </c>
      <c r="E81">
        <f>_xlfn.XLOOKUP($A81,'Audit Report'!$C:$C,'Audit Report'!X:X)</f>
        <v>0</v>
      </c>
      <c r="F81">
        <f>_xlfn.XLOOKUP($A81,'Audit Report'!$C:$C,'Audit Report'!P:P)</f>
        <v>0</v>
      </c>
    </row>
    <row r="82" spans="2:6">
      <c r="B82">
        <f>_xlfn.XLOOKUP($A82,'Audit Report'!$C:$C,'Audit Report'!D:D)</f>
        <v>0</v>
      </c>
      <c r="C82">
        <f>_xlfn.XLOOKUP($A82,'Audit Report'!$C:$C,'Audit Report'!G:G)</f>
        <v>0</v>
      </c>
      <c r="D82">
        <f>_xlfn.XLOOKUP($A82,'Audit Report'!$C:$C,'Audit Report'!H:H)</f>
        <v>0</v>
      </c>
      <c r="E82">
        <f>_xlfn.XLOOKUP($A82,'Audit Report'!$C:$C,'Audit Report'!X:X)</f>
        <v>0</v>
      </c>
      <c r="F82">
        <f>_xlfn.XLOOKUP($A82,'Audit Report'!$C:$C,'Audit Report'!P:P)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AC6B-4532-43EA-9431-E69B2A6A0A8F}">
  <sheetPr codeName="Sheet2">
    <tabColor theme="3" tint="0.499984740745262"/>
  </sheetPr>
  <dimension ref="A1:X455"/>
  <sheetViews>
    <sheetView workbookViewId="0">
      <pane ySplit="1" topLeftCell="A128" activePane="bottomLeft" state="frozen"/>
      <selection pane="bottomLeft" activeCell="O197" sqref="O197"/>
    </sheetView>
  </sheetViews>
  <sheetFormatPr defaultRowHeight="15"/>
  <cols>
    <col min="1" max="1" width="7" style="41" bestFit="1" customWidth="1"/>
    <col min="2" max="2" width="12.42578125" style="41" bestFit="1" customWidth="1"/>
    <col min="3" max="3" width="14.28515625" style="41" bestFit="1" customWidth="1"/>
    <col min="4" max="4" width="10.7109375" style="41" bestFit="1" customWidth="1"/>
    <col min="5" max="5" width="8.28515625" style="41" bestFit="1" customWidth="1"/>
    <col min="6" max="6" width="6.85546875" style="41" bestFit="1" customWidth="1"/>
    <col min="7" max="7" width="13.28515625" style="41" bestFit="1" customWidth="1"/>
    <col min="8" max="8" width="8.42578125" style="41" bestFit="1" customWidth="1"/>
    <col min="9" max="9" width="5.85546875" style="41" bestFit="1" customWidth="1"/>
    <col min="10" max="10" width="9.85546875" style="41" bestFit="1" customWidth="1"/>
    <col min="11" max="11" width="10.28515625" style="41" bestFit="1" customWidth="1"/>
    <col min="12" max="12" width="15" style="41" bestFit="1" customWidth="1"/>
    <col min="13" max="13" width="15.140625" style="41" bestFit="1" customWidth="1"/>
    <col min="14" max="14" width="19.42578125" style="41" customWidth="1"/>
    <col min="15" max="15" width="36.42578125" style="41" bestFit="1" customWidth="1"/>
    <col min="16" max="16" width="36.42578125" style="41" customWidth="1"/>
    <col min="17" max="17" width="16.140625" style="41" bestFit="1" customWidth="1"/>
    <col min="18" max="18" width="14.7109375" style="41" bestFit="1" customWidth="1"/>
    <col min="19" max="19" width="27.28515625" style="41" bestFit="1" customWidth="1"/>
    <col min="20" max="20" width="17.140625" style="41" bestFit="1" customWidth="1"/>
    <col min="21" max="21" width="26.7109375" style="41" bestFit="1" customWidth="1"/>
    <col min="22" max="23" width="12.5703125" style="41" bestFit="1" customWidth="1"/>
    <col min="24" max="24" width="11.28515625" style="41" bestFit="1" customWidth="1"/>
    <col min="25" max="16384" width="9.140625" style="41"/>
  </cols>
  <sheetData>
    <row r="1" spans="1:24" ht="17.25">
      <c r="A1" s="42" t="s">
        <v>0</v>
      </c>
      <c r="B1" s="42" t="s">
        <v>1</v>
      </c>
      <c r="C1" s="42" t="s">
        <v>2</v>
      </c>
      <c r="D1" s="42" t="s">
        <v>523</v>
      </c>
      <c r="E1" s="42" t="s">
        <v>4</v>
      </c>
      <c r="F1" s="42" t="s">
        <v>5</v>
      </c>
      <c r="G1" s="42" t="s">
        <v>6</v>
      </c>
      <c r="H1" s="42" t="s">
        <v>7</v>
      </c>
      <c r="I1" s="42" t="s">
        <v>8</v>
      </c>
      <c r="J1" s="42" t="s">
        <v>9</v>
      </c>
      <c r="K1" s="42" t="s">
        <v>10</v>
      </c>
      <c r="L1" s="42" t="s">
        <v>524</v>
      </c>
      <c r="M1" s="42" t="s">
        <v>12</v>
      </c>
      <c r="N1" s="42" t="s">
        <v>531</v>
      </c>
      <c r="O1" s="42" t="s">
        <v>13</v>
      </c>
      <c r="P1" s="42"/>
      <c r="Q1" s="42" t="s">
        <v>525</v>
      </c>
      <c r="R1" s="42" t="s">
        <v>526</v>
      </c>
      <c r="S1" s="42" t="s">
        <v>16</v>
      </c>
      <c r="T1" s="42" t="s">
        <v>17</v>
      </c>
      <c r="U1" s="42" t="s">
        <v>18</v>
      </c>
      <c r="V1" s="42" t="s">
        <v>19</v>
      </c>
      <c r="W1" s="42" t="s">
        <v>20</v>
      </c>
      <c r="X1" s="42" t="s">
        <v>21</v>
      </c>
    </row>
    <row r="2" spans="1:24">
      <c r="A2" s="41" t="str">
        <f>_xlfn.TEXTJOIN("",TRUE,Input!$B$2,"0",ROW(My_Audit!A1))</f>
        <v>X01</v>
      </c>
      <c r="D2" s="43"/>
    </row>
    <row r="3" spans="1:24">
      <c r="A3" s="41" t="str">
        <f>_xlfn.TEXTJOIN("",TRUE,Input!$B$2,"0",ROW(My_Audit!A2))</f>
        <v>X02</v>
      </c>
    </row>
    <row r="4" spans="1:24">
      <c r="A4" s="41" t="str">
        <f>_xlfn.TEXTJOIN("",TRUE,Input!$B$2,"0",ROW(My_Audit!A3))</f>
        <v>X03</v>
      </c>
    </row>
    <row r="5" spans="1:24">
      <c r="A5" s="41" t="str">
        <f>_xlfn.TEXTJOIN("",TRUE,Input!$B$2,"0",ROW(My_Audit!A4))</f>
        <v>X04</v>
      </c>
    </row>
    <row r="6" spans="1:24">
      <c r="A6" s="41" t="str">
        <f>_xlfn.TEXTJOIN("",TRUE,Input!$B$2,"0",ROW(My_Audit!A5))</f>
        <v>X05</v>
      </c>
    </row>
    <row r="7" spans="1:24">
      <c r="A7" s="41" t="str">
        <f>_xlfn.TEXTJOIN("",TRUE,Input!$B$2,"0",ROW(My_Audit!A6))</f>
        <v>X06</v>
      </c>
    </row>
    <row r="8" spans="1:24">
      <c r="A8" s="41" t="str">
        <f>_xlfn.TEXTJOIN("",TRUE,Input!$B$2,"0",ROW(My_Audit!A7))</f>
        <v>X07</v>
      </c>
    </row>
    <row r="9" spans="1:24">
      <c r="A9" s="41" t="str">
        <f>_xlfn.TEXTJOIN("",TRUE,Input!$B$2,"0",ROW(My_Audit!A8))</f>
        <v>X08</v>
      </c>
    </row>
    <row r="10" spans="1:24">
      <c r="A10" s="41" t="str">
        <f>_xlfn.TEXTJOIN("",TRUE,Input!$B$2,"0",ROW(My_Audit!A9))</f>
        <v>X09</v>
      </c>
    </row>
    <row r="11" spans="1:24">
      <c r="A11" s="41" t="str">
        <f>_xlfn.TEXTJOIN("",TRUE,Input!$B$2,ROW(My_Audit!A10))</f>
        <v>X10</v>
      </c>
    </row>
    <row r="12" spans="1:24">
      <c r="A12" s="41" t="str">
        <f>_xlfn.TEXTJOIN("",TRUE,Input!$B$2,ROW(My_Audit!A11))</f>
        <v>X11</v>
      </c>
    </row>
    <row r="13" spans="1:24">
      <c r="A13" s="41" t="str">
        <f>_xlfn.TEXTJOIN("",TRUE,Input!$B$2,ROW(My_Audit!A12))</f>
        <v>X12</v>
      </c>
    </row>
    <row r="14" spans="1:24">
      <c r="A14" s="41" t="str">
        <f>_xlfn.TEXTJOIN("",TRUE,Input!$B$2,ROW(My_Audit!A13))</f>
        <v>X13</v>
      </c>
    </row>
    <row r="15" spans="1:24">
      <c r="A15" s="41" t="str">
        <f>_xlfn.TEXTJOIN("",TRUE,Input!$B$2,ROW(My_Audit!A14))</f>
        <v>X14</v>
      </c>
    </row>
    <row r="16" spans="1:24">
      <c r="A16" s="41" t="str">
        <f>_xlfn.TEXTJOIN("",TRUE,Input!$B$2,ROW(My_Audit!A15))</f>
        <v>X15</v>
      </c>
    </row>
    <row r="17" spans="1:1">
      <c r="A17" s="41" t="str">
        <f>_xlfn.TEXTJOIN("",TRUE,Input!$B$2,ROW(My_Audit!A16))</f>
        <v>X16</v>
      </c>
    </row>
    <row r="18" spans="1:1">
      <c r="A18" s="41" t="str">
        <f>_xlfn.TEXTJOIN("",TRUE,Input!$B$2,ROW(My_Audit!A17))</f>
        <v>X17</v>
      </c>
    </row>
    <row r="19" spans="1:1">
      <c r="A19" s="41" t="str">
        <f>_xlfn.TEXTJOIN("",TRUE,Input!$B$2,ROW(My_Audit!A18))</f>
        <v>X18</v>
      </c>
    </row>
    <row r="20" spans="1:1">
      <c r="A20" s="41" t="str">
        <f>_xlfn.TEXTJOIN("",TRUE,Input!$B$2,ROW(My_Audit!A19))</f>
        <v>X19</v>
      </c>
    </row>
    <row r="21" spans="1:1">
      <c r="A21" s="41" t="str">
        <f>_xlfn.TEXTJOIN("",TRUE,Input!$B$2,ROW(My_Audit!A20))</f>
        <v>X20</v>
      </c>
    </row>
    <row r="22" spans="1:1">
      <c r="A22" s="41" t="str">
        <f>_xlfn.TEXTJOIN("",TRUE,Input!$B$2,ROW(My_Audit!A21))</f>
        <v>X21</v>
      </c>
    </row>
    <row r="23" spans="1:1">
      <c r="A23" s="41" t="str">
        <f>_xlfn.TEXTJOIN("",TRUE,Input!$B$2,ROW(My_Audit!A22))</f>
        <v>X22</v>
      </c>
    </row>
    <row r="24" spans="1:1">
      <c r="A24" s="41" t="str">
        <f>_xlfn.TEXTJOIN("",TRUE,Input!$B$2,ROW(My_Audit!A23))</f>
        <v>X23</v>
      </c>
    </row>
    <row r="25" spans="1:1">
      <c r="A25" s="41" t="str">
        <f>_xlfn.TEXTJOIN("",TRUE,Input!$B$2,ROW(My_Audit!A24))</f>
        <v>X24</v>
      </c>
    </row>
    <row r="26" spans="1:1">
      <c r="A26" s="41" t="str">
        <f>_xlfn.TEXTJOIN("",TRUE,Input!$B$2,ROW(My_Audit!A25))</f>
        <v>X25</v>
      </c>
    </row>
    <row r="27" spans="1:1">
      <c r="A27" s="41" t="str">
        <f>_xlfn.TEXTJOIN("",TRUE,Input!$B$2,ROW(My_Audit!A26))</f>
        <v>X26</v>
      </c>
    </row>
    <row r="28" spans="1:1">
      <c r="A28" s="41" t="str">
        <f>_xlfn.TEXTJOIN("",TRUE,Input!$B$2,ROW(My_Audit!A27))</f>
        <v>X27</v>
      </c>
    </row>
    <row r="29" spans="1:1">
      <c r="A29" s="41" t="str">
        <f>_xlfn.TEXTJOIN("",TRUE,Input!$B$2,ROW(My_Audit!A28))</f>
        <v>X28</v>
      </c>
    </row>
    <row r="30" spans="1:1">
      <c r="A30" s="41" t="str">
        <f>_xlfn.TEXTJOIN("",TRUE,Input!$B$2,ROW(My_Audit!A29))</f>
        <v>X29</v>
      </c>
    </row>
    <row r="31" spans="1:1">
      <c r="A31" s="41" t="str">
        <f>_xlfn.TEXTJOIN("",TRUE,Input!$B$2,ROW(My_Audit!A30))</f>
        <v>X30</v>
      </c>
    </row>
    <row r="32" spans="1:1">
      <c r="A32" s="41" t="str">
        <f>_xlfn.TEXTJOIN("",TRUE,Input!$B$2,ROW(My_Audit!A31))</f>
        <v>X31</v>
      </c>
    </row>
    <row r="33" spans="1:16">
      <c r="A33" s="41" t="str">
        <f>_xlfn.TEXTJOIN("",TRUE,Input!$B$2,ROW(My_Audit!A32))</f>
        <v>X32</v>
      </c>
    </row>
    <row r="34" spans="1:16">
      <c r="A34" s="41" t="str">
        <f>_xlfn.TEXTJOIN("",TRUE,Input!$B$2,ROW(My_Audit!A33))</f>
        <v>X33</v>
      </c>
    </row>
    <row r="35" spans="1:16">
      <c r="A35" s="41" t="str">
        <f>_xlfn.TEXTJOIN("",TRUE,Input!$B$2,ROW(My_Audit!A34))</f>
        <v>X34</v>
      </c>
    </row>
    <row r="36" spans="1:16">
      <c r="A36" s="41" t="str">
        <f>_xlfn.TEXTJOIN("",TRUE,Input!$B$2,ROW(My_Audit!A35))</f>
        <v>X35</v>
      </c>
    </row>
    <row r="37" spans="1:16">
      <c r="A37" s="41" t="str">
        <f>_xlfn.TEXTJOIN("",TRUE,Input!$B$2,ROW(My_Audit!A36))</f>
        <v>X36</v>
      </c>
    </row>
    <row r="38" spans="1:16">
      <c r="A38" s="41" t="str">
        <f>_xlfn.TEXTJOIN("",TRUE,Input!$B$2,ROW(My_Audit!A37))</f>
        <v>X37</v>
      </c>
    </row>
    <row r="39" spans="1:16">
      <c r="A39" s="41" t="str">
        <f>_xlfn.TEXTJOIN("",TRUE,Input!$B$2,ROW(My_Audit!A38))</f>
        <v>X38</v>
      </c>
    </row>
    <row r="40" spans="1:16">
      <c r="A40" s="41" t="str">
        <f>_xlfn.TEXTJOIN("",TRUE,Input!$B$2,ROW(My_Audit!A39))</f>
        <v>X39</v>
      </c>
    </row>
    <row r="41" spans="1:16">
      <c r="A41" s="41" t="str">
        <f>_xlfn.TEXTJOIN("",TRUE,Input!$B$2,ROW(My_Audit!A40))</f>
        <v>X40</v>
      </c>
    </row>
    <row r="42" spans="1:16">
      <c r="A42" s="41" t="str">
        <f>_xlfn.TEXTJOIN("",TRUE,Input!$B$2,ROW(My_Audit!A41))</f>
        <v>X41</v>
      </c>
    </row>
    <row r="43" spans="1:16">
      <c r="A43" s="41" t="str">
        <f>_xlfn.TEXTJOIN("",TRUE,Input!$B$2,ROW(My_Audit!A42))</f>
        <v>X42</v>
      </c>
    </row>
    <row r="44" spans="1:16">
      <c r="A44" s="41" t="str">
        <f>_xlfn.TEXTJOIN("",TRUE,Input!$B$2,ROW(My_Audit!A43))</f>
        <v>X43</v>
      </c>
      <c r="P44" s="41" t="str">
        <f t="shared" ref="P44:P66" si="0">_xlfn.TEXTJOIN(", ",TRUE,N44,O44)</f>
        <v/>
      </c>
    </row>
    <row r="45" spans="1:16">
      <c r="A45" s="41" t="str">
        <f>_xlfn.TEXTJOIN("",TRUE,Input!$B$2,ROW(My_Audit!A44))</f>
        <v>X44</v>
      </c>
      <c r="P45" s="41" t="str">
        <f t="shared" si="0"/>
        <v/>
      </c>
    </row>
    <row r="46" spans="1:16">
      <c r="A46" s="41" t="str">
        <f>_xlfn.TEXTJOIN("",TRUE,Input!$B$2,ROW(My_Audit!A45))</f>
        <v>X45</v>
      </c>
      <c r="P46" s="41" t="str">
        <f t="shared" si="0"/>
        <v/>
      </c>
    </row>
    <row r="47" spans="1:16">
      <c r="A47" s="41" t="str">
        <f>_xlfn.TEXTJOIN("",TRUE,Input!$B$2,ROW(My_Audit!A46))</f>
        <v>X46</v>
      </c>
      <c r="B47" s="44"/>
      <c r="C47" s="44"/>
      <c r="D47" s="44"/>
      <c r="E47" s="44"/>
      <c r="F47" s="44"/>
      <c r="G47" s="44"/>
      <c r="P47" s="41" t="str">
        <f t="shared" si="0"/>
        <v/>
      </c>
    </row>
    <row r="48" spans="1:16">
      <c r="A48" s="41" t="str">
        <f>_xlfn.TEXTJOIN("",TRUE,Input!$B$2,ROW(My_Audit!A47))</f>
        <v>X47</v>
      </c>
      <c r="P48" s="41" t="str">
        <f t="shared" si="0"/>
        <v/>
      </c>
    </row>
    <row r="49" spans="1:16">
      <c r="A49" s="41" t="str">
        <f>_xlfn.TEXTJOIN("",TRUE,Input!$B$2,ROW(My_Audit!A48))</f>
        <v>X48</v>
      </c>
      <c r="P49" s="41" t="str">
        <f t="shared" si="0"/>
        <v/>
      </c>
    </row>
    <row r="50" spans="1:16">
      <c r="A50" s="41" t="str">
        <f>_xlfn.TEXTJOIN("",TRUE,Input!$B$2,ROW(My_Audit!A49))</f>
        <v>X49</v>
      </c>
      <c r="P50" s="41" t="str">
        <f t="shared" si="0"/>
        <v/>
      </c>
    </row>
    <row r="51" spans="1:16">
      <c r="A51" s="41" t="str">
        <f>_xlfn.TEXTJOIN("",TRUE,Input!$B$2,ROW(My_Audit!A50))</f>
        <v>X50</v>
      </c>
      <c r="P51" s="41" t="str">
        <f t="shared" si="0"/>
        <v/>
      </c>
    </row>
    <row r="52" spans="1:16">
      <c r="A52" s="41" t="str">
        <f>_xlfn.TEXTJOIN("",TRUE,Input!$B$2,ROW(My_Audit!A51))</f>
        <v>X51</v>
      </c>
      <c r="P52" s="41" t="str">
        <f t="shared" si="0"/>
        <v/>
      </c>
    </row>
    <row r="53" spans="1:16">
      <c r="A53" s="41" t="str">
        <f>_xlfn.TEXTJOIN("",TRUE,Input!$B$2,ROW(My_Audit!A52))</f>
        <v>X52</v>
      </c>
      <c r="P53" s="41" t="str">
        <f t="shared" si="0"/>
        <v/>
      </c>
    </row>
    <row r="54" spans="1:16">
      <c r="A54" s="41" t="str">
        <f>_xlfn.TEXTJOIN("",TRUE,Input!$B$2,ROW(My_Audit!A53))</f>
        <v>X53</v>
      </c>
      <c r="P54" s="41" t="str">
        <f t="shared" si="0"/>
        <v/>
      </c>
    </row>
    <row r="55" spans="1:16">
      <c r="A55" s="41" t="str">
        <f>_xlfn.TEXTJOIN("",TRUE,Input!$B$2,ROW(My_Audit!A54))</f>
        <v>X54</v>
      </c>
      <c r="P55" s="41" t="str">
        <f t="shared" si="0"/>
        <v/>
      </c>
    </row>
    <row r="56" spans="1:16">
      <c r="A56" s="41" t="str">
        <f>_xlfn.TEXTJOIN("",TRUE,Input!$B$2,ROW(My_Audit!A55))</f>
        <v>X55</v>
      </c>
      <c r="P56" s="41" t="str">
        <f t="shared" si="0"/>
        <v/>
      </c>
    </row>
    <row r="57" spans="1:16">
      <c r="A57" s="41" t="str">
        <f>_xlfn.TEXTJOIN("",TRUE,Input!$B$2,ROW(My_Audit!A56))</f>
        <v>X56</v>
      </c>
      <c r="P57" s="41" t="str">
        <f t="shared" si="0"/>
        <v/>
      </c>
    </row>
    <row r="58" spans="1:16">
      <c r="A58" s="41" t="str">
        <f>_xlfn.TEXTJOIN("",TRUE,Input!$B$2,ROW(My_Audit!A57))</f>
        <v>X57</v>
      </c>
      <c r="P58" s="41" t="str">
        <f t="shared" si="0"/>
        <v/>
      </c>
    </row>
    <row r="59" spans="1:16">
      <c r="A59" s="41" t="str">
        <f>_xlfn.TEXTJOIN("",TRUE,Input!$B$2,ROW(My_Audit!A58))</f>
        <v>X58</v>
      </c>
      <c r="P59" s="41" t="str">
        <f t="shared" si="0"/>
        <v/>
      </c>
    </row>
    <row r="60" spans="1:16">
      <c r="A60" s="41" t="str">
        <f>_xlfn.TEXTJOIN("",TRUE,Input!$B$2,ROW(My_Audit!A59))</f>
        <v>X59</v>
      </c>
      <c r="P60" s="41" t="str">
        <f t="shared" si="0"/>
        <v/>
      </c>
    </row>
    <row r="61" spans="1:16">
      <c r="A61" s="41" t="str">
        <f>_xlfn.TEXTJOIN("",TRUE,Input!$B$2,ROW(My_Audit!A60))</f>
        <v>X60</v>
      </c>
      <c r="P61" s="41" t="str">
        <f t="shared" si="0"/>
        <v/>
      </c>
    </row>
    <row r="62" spans="1:16">
      <c r="A62" s="41" t="str">
        <f>_xlfn.TEXTJOIN("",TRUE,Input!$B$2,ROW(My_Audit!A61))</f>
        <v>X61</v>
      </c>
      <c r="P62" s="41" t="str">
        <f t="shared" si="0"/>
        <v/>
      </c>
    </row>
    <row r="63" spans="1:16">
      <c r="A63" s="41" t="str">
        <f>_xlfn.TEXTJOIN("",TRUE,Input!$B$2,ROW(My_Audit!A62))</f>
        <v>X62</v>
      </c>
      <c r="P63" s="41" t="str">
        <f t="shared" si="0"/>
        <v/>
      </c>
    </row>
    <row r="64" spans="1:16">
      <c r="A64" s="41" t="str">
        <f>_xlfn.TEXTJOIN("",TRUE,Input!$B$2,ROW(My_Audit!A63))</f>
        <v>X63</v>
      </c>
      <c r="P64" s="41" t="str">
        <f t="shared" si="0"/>
        <v/>
      </c>
    </row>
    <row r="65" spans="1:16">
      <c r="A65" s="41" t="str">
        <f>_xlfn.TEXTJOIN("",TRUE,Input!$B$2,ROW(My_Audit!A64))</f>
        <v>X64</v>
      </c>
      <c r="P65" s="41" t="str">
        <f t="shared" si="0"/>
        <v/>
      </c>
    </row>
    <row r="66" spans="1:16">
      <c r="A66" s="41" t="str">
        <f>_xlfn.TEXTJOIN("",TRUE,Input!$B$2,ROW(My_Audit!A65))</f>
        <v>X65</v>
      </c>
      <c r="P66" s="41" t="str">
        <f t="shared" si="0"/>
        <v/>
      </c>
    </row>
    <row r="67" spans="1:16">
      <c r="A67" s="41" t="str">
        <f>_xlfn.TEXTJOIN("",TRUE,Input!$B$2,ROW(My_Audit!A66))</f>
        <v>X66</v>
      </c>
      <c r="P67" s="41" t="str">
        <f t="shared" ref="P67:P130" si="1">_xlfn.TEXTJOIN(", ",TRUE,N67,O67)</f>
        <v/>
      </c>
    </row>
    <row r="68" spans="1:16">
      <c r="A68" s="41" t="str">
        <f>_xlfn.TEXTJOIN("",TRUE,Input!$B$2,ROW(My_Audit!A67))</f>
        <v>X67</v>
      </c>
      <c r="P68" s="41" t="str">
        <f t="shared" si="1"/>
        <v/>
      </c>
    </row>
    <row r="69" spans="1:16">
      <c r="A69" s="41" t="str">
        <f>_xlfn.TEXTJOIN("",TRUE,Input!$B$2,ROW(My_Audit!A68))</f>
        <v>X68</v>
      </c>
      <c r="P69" s="41" t="str">
        <f t="shared" si="1"/>
        <v/>
      </c>
    </row>
    <row r="70" spans="1:16">
      <c r="A70" s="41" t="str">
        <f>_xlfn.TEXTJOIN("",TRUE,Input!$B$2,ROW(My_Audit!A69))</f>
        <v>X69</v>
      </c>
      <c r="P70" s="41" t="str">
        <f t="shared" si="1"/>
        <v/>
      </c>
    </row>
    <row r="71" spans="1:16">
      <c r="A71" s="41" t="str">
        <f>_xlfn.TEXTJOIN("",TRUE,Input!$B$2,ROW(My_Audit!A70))</f>
        <v>X70</v>
      </c>
      <c r="P71" s="41" t="str">
        <f t="shared" si="1"/>
        <v/>
      </c>
    </row>
    <row r="72" spans="1:16">
      <c r="A72" s="41" t="str">
        <f>_xlfn.TEXTJOIN("",TRUE,Input!$B$2,ROW(My_Audit!A71))</f>
        <v>X71</v>
      </c>
      <c r="P72" s="41" t="str">
        <f t="shared" si="1"/>
        <v/>
      </c>
    </row>
    <row r="73" spans="1:16">
      <c r="A73" s="41" t="str">
        <f>_xlfn.TEXTJOIN("",TRUE,Input!$B$2,ROW(My_Audit!A72))</f>
        <v>X72</v>
      </c>
      <c r="P73" s="41" t="str">
        <f t="shared" si="1"/>
        <v/>
      </c>
    </row>
    <row r="74" spans="1:16">
      <c r="A74" s="41" t="str">
        <f>_xlfn.TEXTJOIN("",TRUE,Input!$B$2,ROW(My_Audit!A73))</f>
        <v>X73</v>
      </c>
      <c r="P74" s="41" t="str">
        <f t="shared" si="1"/>
        <v/>
      </c>
    </row>
    <row r="75" spans="1:16">
      <c r="A75" s="41" t="str">
        <f>_xlfn.TEXTJOIN("",TRUE,Input!$B$2,ROW(My_Audit!A74))</f>
        <v>X74</v>
      </c>
      <c r="P75" s="41" t="str">
        <f t="shared" si="1"/>
        <v/>
      </c>
    </row>
    <row r="76" spans="1:16">
      <c r="A76" s="41" t="str">
        <f>_xlfn.TEXTJOIN("",TRUE,Input!$B$2,ROW(My_Audit!A75))</f>
        <v>X75</v>
      </c>
      <c r="P76" s="41" t="str">
        <f t="shared" si="1"/>
        <v/>
      </c>
    </row>
    <row r="77" spans="1:16">
      <c r="A77" s="41" t="str">
        <f>_xlfn.TEXTJOIN("",TRUE,Input!$B$2,ROW(My_Audit!A76))</f>
        <v>X76</v>
      </c>
      <c r="P77" s="41" t="str">
        <f t="shared" si="1"/>
        <v/>
      </c>
    </row>
    <row r="78" spans="1:16">
      <c r="A78" s="41" t="str">
        <f>_xlfn.TEXTJOIN("",TRUE,Input!$B$2,ROW(My_Audit!A77))</f>
        <v>X77</v>
      </c>
      <c r="P78" s="41" t="str">
        <f t="shared" si="1"/>
        <v/>
      </c>
    </row>
    <row r="79" spans="1:16">
      <c r="A79" s="41" t="str">
        <f>_xlfn.TEXTJOIN("",TRUE,Input!$B$2,ROW(My_Audit!A78))</f>
        <v>X78</v>
      </c>
      <c r="P79" s="41" t="str">
        <f t="shared" si="1"/>
        <v/>
      </c>
    </row>
    <row r="80" spans="1:16">
      <c r="A80" s="41" t="str">
        <f>_xlfn.TEXTJOIN("",TRUE,Input!$B$2,ROW(My_Audit!A79))</f>
        <v>X79</v>
      </c>
      <c r="P80" s="41" t="str">
        <f t="shared" si="1"/>
        <v/>
      </c>
    </row>
    <row r="81" spans="1:16">
      <c r="A81" s="41" t="str">
        <f>_xlfn.TEXTJOIN("",TRUE,Input!$B$2,ROW(My_Audit!A80))</f>
        <v>X80</v>
      </c>
      <c r="P81" s="41" t="str">
        <f t="shared" si="1"/>
        <v/>
      </c>
    </row>
    <row r="82" spans="1:16">
      <c r="A82" s="41" t="str">
        <f>_xlfn.TEXTJOIN("",TRUE,Input!$B$2,ROW(My_Audit!A81))</f>
        <v>X81</v>
      </c>
      <c r="P82" s="41" t="str">
        <f t="shared" si="1"/>
        <v/>
      </c>
    </row>
    <row r="83" spans="1:16">
      <c r="A83" s="41" t="str">
        <f>_xlfn.TEXTJOIN("",TRUE,Input!$B$2,ROW(My_Audit!A82))</f>
        <v>X82</v>
      </c>
      <c r="P83" s="41" t="str">
        <f t="shared" si="1"/>
        <v/>
      </c>
    </row>
    <row r="84" spans="1:16">
      <c r="A84" s="41" t="str">
        <f>_xlfn.TEXTJOIN("",TRUE,Input!$B$2,ROW(My_Audit!A83))</f>
        <v>X83</v>
      </c>
      <c r="P84" s="41" t="str">
        <f t="shared" si="1"/>
        <v/>
      </c>
    </row>
    <row r="85" spans="1:16">
      <c r="A85" s="41" t="str">
        <f>_xlfn.TEXTJOIN("",TRUE,Input!$B$2,ROW(My_Audit!A84))</f>
        <v>X84</v>
      </c>
      <c r="P85" s="41" t="str">
        <f t="shared" si="1"/>
        <v/>
      </c>
    </row>
    <row r="86" spans="1:16">
      <c r="A86" s="41" t="str">
        <f>_xlfn.TEXTJOIN("",TRUE,Input!$B$2,ROW(My_Audit!A85))</f>
        <v>X85</v>
      </c>
      <c r="P86" s="41" t="str">
        <f t="shared" si="1"/>
        <v/>
      </c>
    </row>
    <row r="87" spans="1:16">
      <c r="A87" s="41" t="str">
        <f>_xlfn.TEXTJOIN("",TRUE,Input!$B$2,ROW(My_Audit!A86))</f>
        <v>X86</v>
      </c>
      <c r="P87" s="41" t="str">
        <f t="shared" si="1"/>
        <v/>
      </c>
    </row>
    <row r="88" spans="1:16">
      <c r="A88" s="41" t="str">
        <f>_xlfn.TEXTJOIN("",TRUE,Input!$B$2,ROW(My_Audit!A87))</f>
        <v>X87</v>
      </c>
      <c r="P88" s="41" t="str">
        <f t="shared" si="1"/>
        <v/>
      </c>
    </row>
    <row r="89" spans="1:16">
      <c r="A89" s="41" t="str">
        <f>_xlfn.TEXTJOIN("",TRUE,Input!$B$2,ROW(My_Audit!A88))</f>
        <v>X88</v>
      </c>
      <c r="P89" s="41" t="str">
        <f t="shared" si="1"/>
        <v/>
      </c>
    </row>
    <row r="90" spans="1:16">
      <c r="A90" s="41" t="str">
        <f>_xlfn.TEXTJOIN("",TRUE,Input!$B$2,ROW(My_Audit!A89))</f>
        <v>X89</v>
      </c>
      <c r="P90" s="41" t="str">
        <f t="shared" si="1"/>
        <v/>
      </c>
    </row>
    <row r="91" spans="1:16">
      <c r="A91" s="41" t="str">
        <f>_xlfn.TEXTJOIN("",TRUE,Input!$B$2,ROW(My_Audit!A90))</f>
        <v>X90</v>
      </c>
      <c r="P91" s="41" t="str">
        <f t="shared" si="1"/>
        <v/>
      </c>
    </row>
    <row r="92" spans="1:16">
      <c r="A92" s="41" t="str">
        <f>_xlfn.TEXTJOIN("",TRUE,Input!$B$2,ROW(My_Audit!A91))</f>
        <v>X91</v>
      </c>
      <c r="P92" s="41" t="str">
        <f t="shared" si="1"/>
        <v/>
      </c>
    </row>
    <row r="93" spans="1:16">
      <c r="A93" s="41" t="str">
        <f>_xlfn.TEXTJOIN("",TRUE,Input!$B$2,ROW(My_Audit!A92))</f>
        <v>X92</v>
      </c>
      <c r="P93" s="41" t="str">
        <f t="shared" si="1"/>
        <v/>
      </c>
    </row>
    <row r="94" spans="1:16">
      <c r="A94" s="41" t="str">
        <f>_xlfn.TEXTJOIN("",TRUE,Input!$B$2,ROW(My_Audit!A93))</f>
        <v>X93</v>
      </c>
      <c r="P94" s="41" t="str">
        <f t="shared" si="1"/>
        <v/>
      </c>
    </row>
    <row r="95" spans="1:16">
      <c r="A95" s="41" t="str">
        <f>_xlfn.TEXTJOIN("",TRUE,Input!$B$2,ROW(My_Audit!A94))</f>
        <v>X94</v>
      </c>
      <c r="P95" s="41" t="str">
        <f t="shared" si="1"/>
        <v/>
      </c>
    </row>
    <row r="96" spans="1:16">
      <c r="A96" s="41" t="str">
        <f>_xlfn.TEXTJOIN("",TRUE,Input!$B$2,ROW(My_Audit!A95))</f>
        <v>X95</v>
      </c>
      <c r="P96" s="41" t="str">
        <f t="shared" si="1"/>
        <v/>
      </c>
    </row>
    <row r="97" spans="1:16">
      <c r="A97" s="41" t="str">
        <f>_xlfn.TEXTJOIN("",TRUE,Input!$B$2,ROW(My_Audit!A96))</f>
        <v>X96</v>
      </c>
      <c r="P97" s="41" t="str">
        <f t="shared" si="1"/>
        <v/>
      </c>
    </row>
    <row r="98" spans="1:16">
      <c r="A98" s="41" t="str">
        <f>_xlfn.TEXTJOIN("",TRUE,Input!$B$2,ROW(My_Audit!A97))</f>
        <v>X97</v>
      </c>
      <c r="P98" s="41" t="str">
        <f t="shared" si="1"/>
        <v/>
      </c>
    </row>
    <row r="99" spans="1:16">
      <c r="A99" s="41" t="str">
        <f>_xlfn.TEXTJOIN("",TRUE,Input!$B$2,ROW(My_Audit!A98))</f>
        <v>X98</v>
      </c>
      <c r="P99" s="41" t="str">
        <f t="shared" si="1"/>
        <v/>
      </c>
    </row>
    <row r="100" spans="1:16">
      <c r="A100" s="41" t="str">
        <f>_xlfn.TEXTJOIN("",TRUE,Input!$B$2,ROW(My_Audit!A99))</f>
        <v>X99</v>
      </c>
      <c r="P100" s="41" t="str">
        <f t="shared" si="1"/>
        <v/>
      </c>
    </row>
    <row r="101" spans="1:16">
      <c r="A101" s="41" t="str">
        <f>_xlfn.TEXTJOIN("",TRUE,Input!$B$2,ROW(My_Audit!A100))</f>
        <v>X100</v>
      </c>
      <c r="P101" s="41" t="str">
        <f t="shared" si="1"/>
        <v/>
      </c>
    </row>
    <row r="102" spans="1:16">
      <c r="A102" s="41" t="str">
        <f>_xlfn.TEXTJOIN("",TRUE,Input!$B$2,ROW(My_Audit!A101))</f>
        <v>X101</v>
      </c>
      <c r="P102" s="41" t="str">
        <f t="shared" si="1"/>
        <v/>
      </c>
    </row>
    <row r="103" spans="1:16">
      <c r="A103" s="41" t="str">
        <f>_xlfn.TEXTJOIN("",TRUE,Input!$B$2,ROW(My_Audit!A102))</f>
        <v>X102</v>
      </c>
      <c r="P103" s="41" t="str">
        <f t="shared" si="1"/>
        <v/>
      </c>
    </row>
    <row r="104" spans="1:16">
      <c r="A104" s="41" t="str">
        <f>_xlfn.TEXTJOIN("",TRUE,Input!$B$2,ROW(My_Audit!A103))</f>
        <v>X103</v>
      </c>
      <c r="P104" s="41" t="str">
        <f t="shared" si="1"/>
        <v/>
      </c>
    </row>
    <row r="105" spans="1:16">
      <c r="A105" s="41" t="str">
        <f>_xlfn.TEXTJOIN("",TRUE,Input!$B$2,ROW(My_Audit!A104))</f>
        <v>X104</v>
      </c>
      <c r="P105" s="41" t="str">
        <f t="shared" si="1"/>
        <v/>
      </c>
    </row>
    <row r="106" spans="1:16">
      <c r="A106" s="41" t="str">
        <f>_xlfn.TEXTJOIN("",TRUE,Input!$B$2,ROW(My_Audit!A105))</f>
        <v>X105</v>
      </c>
      <c r="P106" s="41" t="str">
        <f t="shared" si="1"/>
        <v/>
      </c>
    </row>
    <row r="107" spans="1:16">
      <c r="A107" s="41" t="str">
        <f>_xlfn.TEXTJOIN("",TRUE,Input!$B$2,ROW(My_Audit!A106))</f>
        <v>X106</v>
      </c>
      <c r="P107" s="41" t="str">
        <f t="shared" si="1"/>
        <v/>
      </c>
    </row>
    <row r="108" spans="1:16">
      <c r="A108" s="41" t="str">
        <f>_xlfn.TEXTJOIN("",TRUE,Input!$B$2,ROW(My_Audit!A107))</f>
        <v>X107</v>
      </c>
      <c r="P108" s="41" t="str">
        <f t="shared" si="1"/>
        <v/>
      </c>
    </row>
    <row r="109" spans="1:16">
      <c r="A109" s="41" t="str">
        <f>_xlfn.TEXTJOIN("",TRUE,Input!$B$2,ROW(My_Audit!A108))</f>
        <v>X108</v>
      </c>
      <c r="P109" s="41" t="str">
        <f t="shared" si="1"/>
        <v/>
      </c>
    </row>
    <row r="110" spans="1:16">
      <c r="A110" s="41" t="str">
        <f>_xlfn.TEXTJOIN("",TRUE,Input!$B$2,ROW(My_Audit!A109))</f>
        <v>X109</v>
      </c>
      <c r="P110" s="41" t="str">
        <f t="shared" si="1"/>
        <v/>
      </c>
    </row>
    <row r="111" spans="1:16">
      <c r="A111" s="41" t="str">
        <f>_xlfn.TEXTJOIN("",TRUE,Input!$B$2,ROW(My_Audit!A110))</f>
        <v>X110</v>
      </c>
      <c r="P111" s="41" t="str">
        <f t="shared" si="1"/>
        <v/>
      </c>
    </row>
    <row r="112" spans="1:16">
      <c r="A112" s="41" t="str">
        <f>_xlfn.TEXTJOIN("",TRUE,Input!$B$2,ROW(My_Audit!A111))</f>
        <v>X111</v>
      </c>
      <c r="P112" s="41" t="str">
        <f t="shared" si="1"/>
        <v/>
      </c>
    </row>
    <row r="113" spans="1:16">
      <c r="A113" s="41" t="str">
        <f>_xlfn.TEXTJOIN("",TRUE,Input!$B$2,ROW(My_Audit!A112))</f>
        <v>X112</v>
      </c>
      <c r="P113" s="41" t="str">
        <f t="shared" si="1"/>
        <v/>
      </c>
    </row>
    <row r="114" spans="1:16">
      <c r="A114" s="41" t="str">
        <f>_xlfn.TEXTJOIN("",TRUE,Input!$B$2,ROW(My_Audit!A113))</f>
        <v>X113</v>
      </c>
      <c r="P114" s="41" t="str">
        <f t="shared" si="1"/>
        <v/>
      </c>
    </row>
    <row r="115" spans="1:16">
      <c r="A115" s="41" t="str">
        <f>_xlfn.TEXTJOIN("",TRUE,Input!$B$2,ROW(My_Audit!A114))</f>
        <v>X114</v>
      </c>
      <c r="P115" s="41" t="str">
        <f t="shared" si="1"/>
        <v/>
      </c>
    </row>
    <row r="116" spans="1:16">
      <c r="A116" s="41" t="str">
        <f>_xlfn.TEXTJOIN("",TRUE,Input!$B$2,ROW(My_Audit!A115))</f>
        <v>X115</v>
      </c>
      <c r="O116" s="41" t="s">
        <v>538</v>
      </c>
      <c r="P116" s="41" t="str">
        <f t="shared" si="1"/>
        <v>Charging port defect</v>
      </c>
    </row>
    <row r="117" spans="1:16">
      <c r="A117" s="41" t="str">
        <f>_xlfn.TEXTJOIN("",TRUE,Input!$B$2,ROW(My_Audit!A116))</f>
        <v>X116</v>
      </c>
      <c r="P117" s="41" t="str">
        <f t="shared" si="1"/>
        <v/>
      </c>
    </row>
    <row r="118" spans="1:16">
      <c r="A118" s="41" t="str">
        <f>_xlfn.TEXTJOIN("",TRUE,Input!$B$2,ROW(My_Audit!A117))</f>
        <v>X117</v>
      </c>
      <c r="P118" s="41" t="str">
        <f t="shared" si="1"/>
        <v/>
      </c>
    </row>
    <row r="119" spans="1:16">
      <c r="A119" s="41" t="str">
        <f>_xlfn.TEXTJOIN("",TRUE,Input!$B$2,ROW(My_Audit!A118))</f>
        <v>X118</v>
      </c>
      <c r="P119" s="41" t="str">
        <f t="shared" si="1"/>
        <v/>
      </c>
    </row>
    <row r="120" spans="1:16">
      <c r="A120" s="41" t="str">
        <f>_xlfn.TEXTJOIN("",TRUE,Input!$B$2,ROW(My_Audit!A119))</f>
        <v>X119</v>
      </c>
      <c r="P120" s="41" t="str">
        <f t="shared" si="1"/>
        <v/>
      </c>
    </row>
    <row r="121" spans="1:16">
      <c r="A121" s="41" t="str">
        <f>_xlfn.TEXTJOIN("",TRUE,Input!$B$2,ROW(My_Audit!A120))</f>
        <v>X120</v>
      </c>
      <c r="P121" s="41" t="str">
        <f t="shared" si="1"/>
        <v/>
      </c>
    </row>
    <row r="122" spans="1:16">
      <c r="A122" s="41" t="str">
        <f>_xlfn.TEXTJOIN("",TRUE,Input!$B$2,ROW(My_Audit!A121))</f>
        <v>X121</v>
      </c>
      <c r="P122" s="41" t="str">
        <f t="shared" si="1"/>
        <v/>
      </c>
    </row>
    <row r="123" spans="1:16">
      <c r="A123" s="41" t="str">
        <f>_xlfn.TEXTJOIN("",TRUE,Input!$B$2,ROW(My_Audit!A122))</f>
        <v>X122</v>
      </c>
      <c r="P123" s="41" t="str">
        <f t="shared" si="1"/>
        <v/>
      </c>
    </row>
    <row r="124" spans="1:16">
      <c r="A124" s="41" t="str">
        <f>_xlfn.TEXTJOIN("",TRUE,Input!$B$2,ROW(My_Audit!A123))</f>
        <v>X123</v>
      </c>
      <c r="P124" s="41" t="str">
        <f t="shared" si="1"/>
        <v/>
      </c>
    </row>
    <row r="125" spans="1:16">
      <c r="A125" s="41" t="str">
        <f>_xlfn.TEXTJOIN("",TRUE,Input!$B$2,ROW(My_Audit!A124))</f>
        <v>X124</v>
      </c>
      <c r="P125" s="41" t="str">
        <f t="shared" si="1"/>
        <v/>
      </c>
    </row>
    <row r="126" spans="1:16">
      <c r="A126" s="41" t="str">
        <f>_xlfn.TEXTJOIN("",TRUE,Input!$B$2,ROW(My_Audit!A125))</f>
        <v>X125</v>
      </c>
      <c r="P126" s="41" t="str">
        <f t="shared" si="1"/>
        <v/>
      </c>
    </row>
    <row r="127" spans="1:16">
      <c r="A127" s="41" t="str">
        <f>_xlfn.TEXTJOIN("",TRUE,Input!$B$2,ROW(My_Audit!A126))</f>
        <v>X126</v>
      </c>
      <c r="P127" s="41" t="str">
        <f t="shared" si="1"/>
        <v/>
      </c>
    </row>
    <row r="128" spans="1:16">
      <c r="A128" s="41" t="str">
        <f>_xlfn.TEXTJOIN("",TRUE,Input!$B$2,ROW(My_Audit!A127))</f>
        <v>X127</v>
      </c>
      <c r="P128" s="41" t="str">
        <f t="shared" si="1"/>
        <v/>
      </c>
    </row>
    <row r="129" spans="1:16">
      <c r="A129" s="41" t="str">
        <f>_xlfn.TEXTJOIN("",TRUE,Input!$B$2,ROW(My_Audit!A128))</f>
        <v>X128</v>
      </c>
      <c r="P129" s="41" t="str">
        <f t="shared" si="1"/>
        <v/>
      </c>
    </row>
    <row r="130" spans="1:16">
      <c r="A130" s="41" t="str">
        <f>_xlfn.TEXTJOIN("",TRUE,Input!$B$2,ROW(My_Audit!A129))</f>
        <v>X129</v>
      </c>
      <c r="P130" s="41" t="str">
        <f t="shared" si="1"/>
        <v/>
      </c>
    </row>
    <row r="131" spans="1:16">
      <c r="A131" s="41" t="str">
        <f>_xlfn.TEXTJOIN("",TRUE,Input!$B$2,ROW(My_Audit!A130))</f>
        <v>X130</v>
      </c>
      <c r="P131" s="41" t="str">
        <f t="shared" ref="P131:P194" si="2">_xlfn.TEXTJOIN(", ",TRUE,N131,O131)</f>
        <v/>
      </c>
    </row>
    <row r="132" spans="1:16">
      <c r="A132" s="41" t="str">
        <f>_xlfn.TEXTJOIN("",TRUE,Input!$B$2,ROW(My_Audit!A131))</f>
        <v>X131</v>
      </c>
      <c r="P132" s="41" t="str">
        <f t="shared" si="2"/>
        <v/>
      </c>
    </row>
    <row r="133" spans="1:16">
      <c r="A133" s="41" t="str">
        <f>_xlfn.TEXTJOIN("",TRUE,Input!$B$2,ROW(My_Audit!A132))</f>
        <v>X132</v>
      </c>
      <c r="P133" s="41" t="str">
        <f t="shared" si="2"/>
        <v/>
      </c>
    </row>
    <row r="134" spans="1:16">
      <c r="A134" s="41" t="str">
        <f>_xlfn.TEXTJOIN("",TRUE,Input!$B$2,ROW(My_Audit!A133))</f>
        <v>X133</v>
      </c>
      <c r="P134" s="41" t="str">
        <f t="shared" si="2"/>
        <v/>
      </c>
    </row>
    <row r="135" spans="1:16">
      <c r="A135" s="41" t="str">
        <f>_xlfn.TEXTJOIN("",TRUE,Input!$B$2,ROW(My_Audit!A134))</f>
        <v>X134</v>
      </c>
      <c r="P135" s="41" t="str">
        <f t="shared" si="2"/>
        <v/>
      </c>
    </row>
    <row r="136" spans="1:16">
      <c r="A136" s="41" t="str">
        <f>_xlfn.TEXTJOIN("",TRUE,Input!$B$2,ROW(My_Audit!A135))</f>
        <v>X135</v>
      </c>
      <c r="P136" s="41" t="str">
        <f t="shared" si="2"/>
        <v/>
      </c>
    </row>
    <row r="137" spans="1:16">
      <c r="A137" s="41" t="str">
        <f>_xlfn.TEXTJOIN("",TRUE,Input!$B$2,ROW(My_Audit!A136))</f>
        <v>X136</v>
      </c>
      <c r="P137" s="41" t="str">
        <f t="shared" si="2"/>
        <v/>
      </c>
    </row>
    <row r="138" spans="1:16">
      <c r="A138" s="41" t="str">
        <f>_xlfn.TEXTJOIN("",TRUE,Input!$B$2,ROW(My_Audit!A137))</f>
        <v>X137</v>
      </c>
      <c r="P138" s="41" t="str">
        <f t="shared" si="2"/>
        <v/>
      </c>
    </row>
    <row r="139" spans="1:16">
      <c r="A139" s="41" t="str">
        <f>_xlfn.TEXTJOIN("",TRUE,Input!$B$2,ROW(My_Audit!A138))</f>
        <v>X138</v>
      </c>
      <c r="P139" s="41" t="str">
        <f t="shared" si="2"/>
        <v/>
      </c>
    </row>
    <row r="140" spans="1:16">
      <c r="A140" s="41" t="str">
        <f>_xlfn.TEXTJOIN("",TRUE,Input!$B$2,ROW(My_Audit!A139))</f>
        <v>X139</v>
      </c>
      <c r="P140" s="41" t="str">
        <f t="shared" si="2"/>
        <v/>
      </c>
    </row>
    <row r="141" spans="1:16">
      <c r="A141" s="41" t="str">
        <f>_xlfn.TEXTJOIN("",TRUE,Input!$B$2,ROW(My_Audit!A140))</f>
        <v>X140</v>
      </c>
      <c r="P141" s="41" t="str">
        <f t="shared" si="2"/>
        <v/>
      </c>
    </row>
    <row r="142" spans="1:16">
      <c r="A142" s="41" t="str">
        <f>_xlfn.TEXTJOIN("",TRUE,Input!$B$2,ROW(My_Audit!A141))</f>
        <v>X141</v>
      </c>
      <c r="P142" s="41" t="str">
        <f t="shared" si="2"/>
        <v/>
      </c>
    </row>
    <row r="143" spans="1:16">
      <c r="A143" s="41" t="str">
        <f>_xlfn.TEXTJOIN("",TRUE,Input!$B$2,ROW(My_Audit!A142))</f>
        <v>X142</v>
      </c>
      <c r="P143" s="41" t="str">
        <f t="shared" si="2"/>
        <v/>
      </c>
    </row>
    <row r="144" spans="1:16">
      <c r="A144" s="41" t="str">
        <f>_xlfn.TEXTJOIN("",TRUE,Input!$B$2,ROW(My_Audit!A143))</f>
        <v>X143</v>
      </c>
      <c r="O144" s="41" t="s">
        <v>537</v>
      </c>
      <c r="P144" s="41" t="str">
        <f t="shared" si="2"/>
        <v>Label marks C</v>
      </c>
    </row>
    <row r="145" spans="1:16">
      <c r="A145" s="41" t="str">
        <f>_xlfn.TEXTJOIN("",TRUE,Input!$B$2,ROW(My_Audit!A144))</f>
        <v>X144</v>
      </c>
      <c r="P145" s="41" t="str">
        <f t="shared" si="2"/>
        <v/>
      </c>
    </row>
    <row r="146" spans="1:16">
      <c r="A146" s="41" t="str">
        <f>_xlfn.TEXTJOIN("",TRUE,Input!$B$2,ROW(My_Audit!A145))</f>
        <v>X145</v>
      </c>
      <c r="P146" s="41" t="str">
        <f t="shared" si="2"/>
        <v/>
      </c>
    </row>
    <row r="147" spans="1:16">
      <c r="A147" s="41" t="str">
        <f>_xlfn.TEXTJOIN("",TRUE,Input!$B$2,ROW(My_Audit!A146))</f>
        <v>X146</v>
      </c>
      <c r="P147" s="41" t="str">
        <f t="shared" si="2"/>
        <v/>
      </c>
    </row>
    <row r="148" spans="1:16">
      <c r="A148" s="41" t="str">
        <f>_xlfn.TEXTJOIN("",TRUE,Input!$B$2,ROW(My_Audit!A147))</f>
        <v>X147</v>
      </c>
      <c r="P148" s="41" t="str">
        <f t="shared" si="2"/>
        <v/>
      </c>
    </row>
    <row r="149" spans="1:16">
      <c r="A149" s="41" t="str">
        <f>_xlfn.TEXTJOIN("",TRUE,Input!$B$2,ROW(My_Audit!A148))</f>
        <v>X148</v>
      </c>
      <c r="P149" s="41" t="str">
        <f t="shared" si="2"/>
        <v/>
      </c>
    </row>
    <row r="150" spans="1:16">
      <c r="A150" s="41" t="str">
        <f>_xlfn.TEXTJOIN("",TRUE,Input!$B$2,ROW(My_Audit!A149))</f>
        <v>X149</v>
      </c>
      <c r="P150" s="41" t="str">
        <f t="shared" si="2"/>
        <v/>
      </c>
    </row>
    <row r="151" spans="1:16">
      <c r="A151" s="41" t="str">
        <f>_xlfn.TEXTJOIN("",TRUE,Input!$B$2,ROW(My_Audit!A150))</f>
        <v>X150</v>
      </c>
      <c r="P151" s="41" t="str">
        <f t="shared" si="2"/>
        <v/>
      </c>
    </row>
    <row r="152" spans="1:16">
      <c r="A152" s="41" t="str">
        <f>_xlfn.TEXTJOIN("",TRUE,Input!$B$2,ROW(My_Audit!A151))</f>
        <v>X151</v>
      </c>
      <c r="P152" s="41" t="str">
        <f t="shared" si="2"/>
        <v/>
      </c>
    </row>
    <row r="153" spans="1:16">
      <c r="A153" s="41" t="str">
        <f>_xlfn.TEXTJOIN("",TRUE,Input!$B$2,ROW(My_Audit!A152))</f>
        <v>X152</v>
      </c>
      <c r="P153" s="41" t="str">
        <f t="shared" si="2"/>
        <v/>
      </c>
    </row>
    <row r="154" spans="1:16">
      <c r="A154" s="41" t="str">
        <f>_xlfn.TEXTJOIN("",TRUE,Input!$B$2,ROW(My_Audit!A153))</f>
        <v>X153</v>
      </c>
      <c r="P154" s="41" t="str">
        <f t="shared" si="2"/>
        <v/>
      </c>
    </row>
    <row r="155" spans="1:16">
      <c r="A155" s="41" t="str">
        <f>_xlfn.TEXTJOIN("",TRUE,Input!$B$2,ROW(My_Audit!A154))</f>
        <v>X154</v>
      </c>
      <c r="P155" s="41" t="str">
        <f t="shared" si="2"/>
        <v/>
      </c>
    </row>
    <row r="156" spans="1:16">
      <c r="A156" s="41" t="str">
        <f>_xlfn.TEXTJOIN("",TRUE,Input!$B$2,ROW(My_Audit!A155))</f>
        <v>X155</v>
      </c>
      <c r="P156" s="41" t="str">
        <f t="shared" si="2"/>
        <v/>
      </c>
    </row>
    <row r="157" spans="1:16">
      <c r="A157" s="41" t="str">
        <f>_xlfn.TEXTJOIN("",TRUE,Input!$B$2,ROW(My_Audit!A156))</f>
        <v>X156</v>
      </c>
      <c r="P157" s="41" t="str">
        <f t="shared" si="2"/>
        <v/>
      </c>
    </row>
    <row r="158" spans="1:16">
      <c r="A158" s="41" t="str">
        <f>_xlfn.TEXTJOIN("",TRUE,Input!$B$2,ROW(My_Audit!A157))</f>
        <v>X157</v>
      </c>
      <c r="P158" s="41" t="str">
        <f t="shared" si="2"/>
        <v/>
      </c>
    </row>
    <row r="159" spans="1:16">
      <c r="A159" s="41" t="str">
        <f>_xlfn.TEXTJOIN("",TRUE,Input!$B$2,ROW(My_Audit!A158))</f>
        <v>X158</v>
      </c>
      <c r="P159" s="41" t="str">
        <f t="shared" si="2"/>
        <v/>
      </c>
    </row>
    <row r="160" spans="1:16">
      <c r="A160" s="41" t="str">
        <f>_xlfn.TEXTJOIN("",TRUE,Input!$B$2,ROW(My_Audit!A159))</f>
        <v>X159</v>
      </c>
      <c r="P160" s="41" t="str">
        <f t="shared" si="2"/>
        <v/>
      </c>
    </row>
    <row r="161" spans="1:16">
      <c r="A161" s="41" t="str">
        <f>_xlfn.TEXTJOIN("",TRUE,Input!$B$2,ROW(My_Audit!A160))</f>
        <v>X160</v>
      </c>
      <c r="P161" s="41" t="str">
        <f t="shared" si="2"/>
        <v/>
      </c>
    </row>
    <row r="162" spans="1:16">
      <c r="A162" s="41" t="str">
        <f>_xlfn.TEXTJOIN("",TRUE,Input!$B$2,ROW(My_Audit!A161))</f>
        <v>X161</v>
      </c>
      <c r="P162" s="41" t="str">
        <f t="shared" si="2"/>
        <v/>
      </c>
    </row>
    <row r="163" spans="1:16">
      <c r="A163" s="41" t="str">
        <f>_xlfn.TEXTJOIN("",TRUE,Input!$B$2,ROW(My_Audit!A162))</f>
        <v>X162</v>
      </c>
      <c r="P163" s="41" t="str">
        <f t="shared" si="2"/>
        <v/>
      </c>
    </row>
    <row r="164" spans="1:16">
      <c r="A164" s="41" t="str">
        <f>_xlfn.TEXTJOIN("",TRUE,Input!$B$2,ROW(My_Audit!A163))</f>
        <v>X163</v>
      </c>
      <c r="P164" s="41" t="str">
        <f t="shared" si="2"/>
        <v/>
      </c>
    </row>
    <row r="165" spans="1:16">
      <c r="A165" s="41" t="str">
        <f>_xlfn.TEXTJOIN("",TRUE,Input!$B$2,ROW(My_Audit!A164))</f>
        <v>X164</v>
      </c>
      <c r="P165" s="41" t="str">
        <f t="shared" si="2"/>
        <v/>
      </c>
    </row>
    <row r="166" spans="1:16">
      <c r="A166" s="41" t="str">
        <f>_xlfn.TEXTJOIN("",TRUE,Input!$B$2,ROW(My_Audit!A165))</f>
        <v>X165</v>
      </c>
      <c r="P166" s="41" t="str">
        <f t="shared" si="2"/>
        <v/>
      </c>
    </row>
    <row r="167" spans="1:16">
      <c r="A167" s="41" t="str">
        <f>_xlfn.TEXTJOIN("",TRUE,Input!$B$2,ROW(My_Audit!A166))</f>
        <v>X166</v>
      </c>
      <c r="P167" s="41" t="str">
        <f t="shared" si="2"/>
        <v/>
      </c>
    </row>
    <row r="168" spans="1:16">
      <c r="A168" s="41" t="str">
        <f>_xlfn.TEXTJOIN("",TRUE,Input!$B$2,ROW(My_Audit!A167))</f>
        <v>X167</v>
      </c>
      <c r="P168" s="41" t="str">
        <f t="shared" si="2"/>
        <v/>
      </c>
    </row>
    <row r="169" spans="1:16">
      <c r="A169" s="41" t="str">
        <f>_xlfn.TEXTJOIN("",TRUE,Input!$B$2,ROW(My_Audit!A168))</f>
        <v>X168</v>
      </c>
      <c r="P169" s="41" t="str">
        <f t="shared" si="2"/>
        <v/>
      </c>
    </row>
    <row r="170" spans="1:16">
      <c r="A170" s="41" t="str">
        <f>_xlfn.TEXTJOIN("",TRUE,Input!$B$2,ROW(My_Audit!A169))</f>
        <v>X169</v>
      </c>
      <c r="O170" s="41" t="s">
        <v>536</v>
      </c>
      <c r="P170" s="41" t="str">
        <f t="shared" si="2"/>
        <v>Label marks D</v>
      </c>
    </row>
    <row r="171" spans="1:16">
      <c r="A171" s="41" t="str">
        <f>_xlfn.TEXTJOIN("",TRUE,Input!$B$2,ROW(My_Audit!A170))</f>
        <v>X170</v>
      </c>
      <c r="P171" s="41" t="str">
        <f t="shared" si="2"/>
        <v/>
      </c>
    </row>
    <row r="172" spans="1:16">
      <c r="A172" s="41" t="str">
        <f>_xlfn.TEXTJOIN("",TRUE,Input!$B$2,ROW(My_Audit!A171))</f>
        <v>X171</v>
      </c>
      <c r="P172" s="41" t="str">
        <f t="shared" si="2"/>
        <v/>
      </c>
    </row>
    <row r="173" spans="1:16">
      <c r="A173" s="41" t="str">
        <f>_xlfn.TEXTJOIN("",TRUE,Input!$B$2,ROW(My_Audit!A172))</f>
        <v>X172</v>
      </c>
      <c r="P173" s="41" t="str">
        <f t="shared" si="2"/>
        <v/>
      </c>
    </row>
    <row r="174" spans="1:16">
      <c r="A174" s="41" t="str">
        <f>_xlfn.TEXTJOIN("",TRUE,Input!$B$2,ROW(My_Audit!A173))</f>
        <v>X173</v>
      </c>
      <c r="P174" s="41" t="str">
        <f t="shared" si="2"/>
        <v/>
      </c>
    </row>
    <row r="175" spans="1:16">
      <c r="A175" s="41" t="str">
        <f>_xlfn.TEXTJOIN("",TRUE,Input!$B$2,ROW(My_Audit!A174))</f>
        <v>X174</v>
      </c>
      <c r="P175" s="41" t="str">
        <f t="shared" si="2"/>
        <v/>
      </c>
    </row>
    <row r="176" spans="1:16">
      <c r="A176" s="41" t="str">
        <f>_xlfn.TEXTJOIN("",TRUE,Input!$B$2,ROW(My_Audit!A175))</f>
        <v>X175</v>
      </c>
      <c r="O176" s="41" t="s">
        <v>535</v>
      </c>
      <c r="P176" s="41" t="str">
        <f t="shared" si="2"/>
        <v>US kb</v>
      </c>
    </row>
    <row r="177" spans="1:16">
      <c r="A177" s="41" t="str">
        <f>_xlfn.TEXTJOIN("",TRUE,Input!$B$2,ROW(My_Audit!A176))</f>
        <v>X176</v>
      </c>
      <c r="P177" s="41" t="str">
        <f t="shared" si="2"/>
        <v/>
      </c>
    </row>
    <row r="178" spans="1:16">
      <c r="A178" s="41" t="str">
        <f>_xlfn.TEXTJOIN("",TRUE,Input!$B$2,ROW(My_Audit!A177))</f>
        <v>X177</v>
      </c>
      <c r="O178" s="41" t="s">
        <v>535</v>
      </c>
      <c r="P178" s="41" t="str">
        <f t="shared" si="2"/>
        <v>US kb</v>
      </c>
    </row>
    <row r="179" spans="1:16">
      <c r="A179" s="41" t="str">
        <f>_xlfn.TEXTJOIN("",TRUE,Input!$B$2,ROW(My_Audit!A178))</f>
        <v>X178</v>
      </c>
      <c r="P179" s="41" t="str">
        <f t="shared" si="2"/>
        <v/>
      </c>
    </row>
    <row r="180" spans="1:16">
      <c r="A180" s="41" t="str">
        <f>_xlfn.TEXTJOIN("",TRUE,Input!$B$2,ROW(My_Audit!A179))</f>
        <v>X179</v>
      </c>
      <c r="P180" s="41" t="str">
        <f t="shared" si="2"/>
        <v/>
      </c>
    </row>
    <row r="181" spans="1:16">
      <c r="A181" s="41" t="str">
        <f>_xlfn.TEXTJOIN("",TRUE,Input!$B$2,ROW(My_Audit!A180))</f>
        <v>X180</v>
      </c>
      <c r="P181" s="41" t="str">
        <f t="shared" si="2"/>
        <v/>
      </c>
    </row>
    <row r="182" spans="1:16">
      <c r="A182" s="41" t="str">
        <f>_xlfn.TEXTJOIN("",TRUE,Input!$B$2,ROW(My_Audit!A181))</f>
        <v>X181</v>
      </c>
      <c r="P182" s="41" t="str">
        <f t="shared" si="2"/>
        <v/>
      </c>
    </row>
    <row r="183" spans="1:16">
      <c r="A183" s="41" t="str">
        <f>_xlfn.TEXTJOIN("",TRUE,Input!$B$2,ROW(My_Audit!A182))</f>
        <v>X182</v>
      </c>
      <c r="P183" s="41" t="str">
        <f t="shared" si="2"/>
        <v/>
      </c>
    </row>
    <row r="184" spans="1:16">
      <c r="A184" s="41" t="str">
        <f>_xlfn.TEXTJOIN("",TRUE,Input!$B$2,ROW(My_Audit!A183))</f>
        <v>X183</v>
      </c>
      <c r="P184" s="41" t="str">
        <f t="shared" si="2"/>
        <v/>
      </c>
    </row>
    <row r="185" spans="1:16">
      <c r="A185" s="41" t="str">
        <f>_xlfn.TEXTJOIN("",TRUE,Input!$B$2,ROW(My_Audit!A184))</f>
        <v>X184</v>
      </c>
      <c r="P185" s="41" t="str">
        <f t="shared" si="2"/>
        <v/>
      </c>
    </row>
    <row r="186" spans="1:16">
      <c r="A186" s="41" t="str">
        <f>_xlfn.TEXTJOIN("",TRUE,Input!$B$2,ROW(My_Audit!A185))</f>
        <v>X185</v>
      </c>
      <c r="P186" s="41" t="str">
        <f t="shared" si="2"/>
        <v/>
      </c>
    </row>
    <row r="187" spans="1:16">
      <c r="A187" s="41" t="str">
        <f>_xlfn.TEXTJOIN("",TRUE,Input!$B$2,ROW(My_Audit!A186))</f>
        <v>X186</v>
      </c>
      <c r="P187" s="41" t="str">
        <f t="shared" si="2"/>
        <v/>
      </c>
    </row>
    <row r="188" spans="1:16">
      <c r="A188" s="41" t="str">
        <f>_xlfn.TEXTJOIN("",TRUE,Input!$B$2,ROW(My_Audit!A187))</f>
        <v>X187</v>
      </c>
      <c r="P188" s="41" t="str">
        <f t="shared" si="2"/>
        <v/>
      </c>
    </row>
    <row r="189" spans="1:16">
      <c r="A189" s="41" t="str">
        <f>_xlfn.TEXTJOIN("",TRUE,Input!$B$2,ROW(My_Audit!A188))</f>
        <v>X188</v>
      </c>
      <c r="P189" s="41" t="str">
        <f t="shared" si="2"/>
        <v/>
      </c>
    </row>
    <row r="190" spans="1:16">
      <c r="A190" s="41" t="str">
        <f>_xlfn.TEXTJOIN("",TRUE,Input!$B$2,ROW(My_Audit!A189))</f>
        <v>X189</v>
      </c>
      <c r="P190" s="41" t="str">
        <f t="shared" si="2"/>
        <v/>
      </c>
    </row>
    <row r="191" spans="1:16">
      <c r="A191" s="41" t="str">
        <f>_xlfn.TEXTJOIN("",TRUE,Input!$B$2,ROW(My_Audit!A190))</f>
        <v>X190</v>
      </c>
      <c r="P191" s="41" t="str">
        <f t="shared" si="2"/>
        <v/>
      </c>
    </row>
    <row r="192" spans="1:16">
      <c r="A192" s="41" t="str">
        <f>_xlfn.TEXTJOIN("",TRUE,Input!$B$2,ROW(My_Audit!A191))</f>
        <v>X191</v>
      </c>
      <c r="P192" s="41" t="str">
        <f t="shared" si="2"/>
        <v/>
      </c>
    </row>
    <row r="193" spans="1:16">
      <c r="A193" s="41" t="str">
        <f>_xlfn.TEXTJOIN("",TRUE,Input!$B$2,ROW(My_Audit!A192))</f>
        <v>X192</v>
      </c>
      <c r="P193" s="41" t="str">
        <f t="shared" si="2"/>
        <v/>
      </c>
    </row>
    <row r="194" spans="1:16">
      <c r="A194" s="41" t="str">
        <f>_xlfn.TEXTJOIN("",TRUE,Input!$B$2,ROW(My_Audit!A193))</f>
        <v>X193</v>
      </c>
      <c r="P194" s="41" t="str">
        <f t="shared" si="2"/>
        <v/>
      </c>
    </row>
    <row r="195" spans="1:16">
      <c r="A195" s="41" t="str">
        <f>_xlfn.TEXTJOIN("",TRUE,Input!$B$2,ROW(My_Audit!A194))</f>
        <v>X194</v>
      </c>
      <c r="P195" s="41" t="str">
        <f t="shared" ref="P195:P258" si="3">_xlfn.TEXTJOIN(", ",TRUE,N195,O195)</f>
        <v/>
      </c>
    </row>
    <row r="196" spans="1:16">
      <c r="A196" s="41" t="str">
        <f>_xlfn.TEXTJOIN("",TRUE,Input!$B$2,ROW(My_Audit!A195))</f>
        <v>X195</v>
      </c>
      <c r="O196" s="41" t="s">
        <v>537</v>
      </c>
      <c r="P196" s="41" t="str">
        <f t="shared" si="3"/>
        <v>Label marks C</v>
      </c>
    </row>
    <row r="197" spans="1:16">
      <c r="A197" s="41" t="str">
        <f>_xlfn.TEXTJOIN("",TRUE,Input!$B$2,ROW(My_Audit!A196))</f>
        <v>X196</v>
      </c>
      <c r="P197" s="41" t="str">
        <f t="shared" si="3"/>
        <v/>
      </c>
    </row>
    <row r="198" spans="1:16">
      <c r="A198" s="41" t="str">
        <f>_xlfn.TEXTJOIN("",TRUE,Input!$B$2,ROW(My_Audit!A197))</f>
        <v>X197</v>
      </c>
      <c r="P198" s="41" t="str">
        <f t="shared" si="3"/>
        <v/>
      </c>
    </row>
    <row r="199" spans="1:16">
      <c r="A199" s="41" t="str">
        <f>_xlfn.TEXTJOIN("",TRUE,Input!$B$2,ROW(My_Audit!A198))</f>
        <v>X198</v>
      </c>
      <c r="O199" s="41" t="s">
        <v>536</v>
      </c>
      <c r="P199" s="41" t="str">
        <f t="shared" si="3"/>
        <v>Label marks D</v>
      </c>
    </row>
    <row r="200" spans="1:16">
      <c r="A200" s="41" t="str">
        <f>_xlfn.TEXTJOIN("",TRUE,Input!$B$2,ROW(My_Audit!A199))</f>
        <v>X199</v>
      </c>
      <c r="P200" s="41" t="str">
        <f t="shared" si="3"/>
        <v/>
      </c>
    </row>
    <row r="201" spans="1:16">
      <c r="A201" s="41" t="str">
        <f>_xlfn.TEXTJOIN("",TRUE,Input!$B$2,ROW(My_Audit!A200))</f>
        <v>X200</v>
      </c>
      <c r="P201" s="41" t="str">
        <f t="shared" si="3"/>
        <v/>
      </c>
    </row>
    <row r="202" spans="1:16">
      <c r="A202" s="41" t="str">
        <f>_xlfn.TEXTJOIN("",TRUE,Input!$B$2,ROW(My_Audit!A201))</f>
        <v>X201</v>
      </c>
      <c r="P202" s="41" t="str">
        <f t="shared" si="3"/>
        <v/>
      </c>
    </row>
    <row r="203" spans="1:16">
      <c r="A203" s="41" t="str">
        <f>_xlfn.TEXTJOIN("",TRUE,Input!$B$2,ROW(My_Audit!A202))</f>
        <v>X202</v>
      </c>
      <c r="P203" s="41" t="str">
        <f t="shared" si="3"/>
        <v/>
      </c>
    </row>
    <row r="204" spans="1:16">
      <c r="A204" s="41" t="str">
        <f>_xlfn.TEXTJOIN("",TRUE,Input!$B$2,ROW(My_Audit!A203))</f>
        <v>X203</v>
      </c>
      <c r="P204" s="41" t="str">
        <f t="shared" si="3"/>
        <v/>
      </c>
    </row>
    <row r="205" spans="1:16">
      <c r="A205" s="41" t="str">
        <f>_xlfn.TEXTJOIN("",TRUE,Input!$B$2,ROW(My_Audit!A204))</f>
        <v>X204</v>
      </c>
      <c r="P205" s="41" t="str">
        <f t="shared" si="3"/>
        <v/>
      </c>
    </row>
    <row r="206" spans="1:16">
      <c r="A206" s="41" t="str">
        <f>_xlfn.TEXTJOIN("",TRUE,Input!$B$2,ROW(My_Audit!A205))</f>
        <v>X205</v>
      </c>
      <c r="P206" s="41" t="str">
        <f t="shared" si="3"/>
        <v/>
      </c>
    </row>
    <row r="207" spans="1:16">
      <c r="A207" s="41" t="str">
        <f>_xlfn.TEXTJOIN("",TRUE,Input!$B$2,ROW(My_Audit!A206))</f>
        <v>X206</v>
      </c>
      <c r="P207" s="41" t="str">
        <f t="shared" si="3"/>
        <v/>
      </c>
    </row>
    <row r="208" spans="1:16">
      <c r="A208" s="41" t="str">
        <f>_xlfn.TEXTJOIN("",TRUE,Input!$B$2,ROW(My_Audit!A207))</f>
        <v>X207</v>
      </c>
      <c r="P208" s="41" t="str">
        <f t="shared" si="3"/>
        <v/>
      </c>
    </row>
    <row r="209" spans="1:16">
      <c r="A209" s="41" t="str">
        <f>_xlfn.TEXTJOIN("",TRUE,Input!$B$2,ROW(My_Audit!A208))</f>
        <v>X208</v>
      </c>
      <c r="P209" s="41" t="str">
        <f t="shared" si="3"/>
        <v/>
      </c>
    </row>
    <row r="210" spans="1:16">
      <c r="A210" s="41" t="str">
        <f>_xlfn.TEXTJOIN("",TRUE,Input!$B$2,ROW(My_Audit!A209))</f>
        <v>X209</v>
      </c>
      <c r="P210" s="41" t="str">
        <f t="shared" si="3"/>
        <v/>
      </c>
    </row>
    <row r="211" spans="1:16">
      <c r="A211" s="41" t="str">
        <f>_xlfn.TEXTJOIN("",TRUE,Input!$B$2,ROW(My_Audit!A210))</f>
        <v>X210</v>
      </c>
      <c r="P211" s="41" t="str">
        <f t="shared" si="3"/>
        <v/>
      </c>
    </row>
    <row r="212" spans="1:16">
      <c r="A212" s="41" t="str">
        <f>_xlfn.TEXTJOIN("",TRUE,Input!$B$2,ROW(My_Audit!A211))</f>
        <v>X211</v>
      </c>
      <c r="P212" s="41" t="str">
        <f t="shared" si="3"/>
        <v/>
      </c>
    </row>
    <row r="213" spans="1:16">
      <c r="A213" s="41" t="str">
        <f>_xlfn.TEXTJOIN("",TRUE,Input!$B$2,ROW(My_Audit!A212))</f>
        <v>X212</v>
      </c>
      <c r="P213" s="41" t="str">
        <f t="shared" si="3"/>
        <v/>
      </c>
    </row>
    <row r="214" spans="1:16">
      <c r="A214" s="41" t="str">
        <f>_xlfn.TEXTJOIN("",TRUE,Input!$B$2,ROW(My_Audit!A213))</f>
        <v>X213</v>
      </c>
      <c r="P214" s="41" t="str">
        <f t="shared" si="3"/>
        <v/>
      </c>
    </row>
    <row r="215" spans="1:16">
      <c r="A215" s="41" t="str">
        <f>_xlfn.TEXTJOIN("",TRUE,Input!$B$2,ROW(My_Audit!A214))</f>
        <v>X214</v>
      </c>
      <c r="P215" s="41" t="str">
        <f t="shared" si="3"/>
        <v/>
      </c>
    </row>
    <row r="216" spans="1:16">
      <c r="A216" s="41" t="str">
        <f>_xlfn.TEXTJOIN("",TRUE,Input!$B$2,ROW(My_Audit!A215))</f>
        <v>X215</v>
      </c>
      <c r="P216" s="41" t="str">
        <f t="shared" si="3"/>
        <v/>
      </c>
    </row>
    <row r="217" spans="1:16">
      <c r="A217" s="41" t="str">
        <f>_xlfn.TEXTJOIN("",TRUE,Input!$B$2,ROW(My_Audit!A216))</f>
        <v>X216</v>
      </c>
      <c r="P217" s="41" t="str">
        <f t="shared" si="3"/>
        <v/>
      </c>
    </row>
    <row r="218" spans="1:16">
      <c r="A218" s="41" t="str">
        <f>_xlfn.TEXTJOIN("",TRUE,Input!$B$2,ROW(My_Audit!A217))</f>
        <v>X217</v>
      </c>
      <c r="P218" s="41" t="str">
        <f t="shared" si="3"/>
        <v/>
      </c>
    </row>
    <row r="219" spans="1:16">
      <c r="A219" s="41" t="str">
        <f>_xlfn.TEXTJOIN("",TRUE,Input!$B$2,ROW(My_Audit!A218))</f>
        <v>X218</v>
      </c>
      <c r="P219" s="41" t="str">
        <f t="shared" si="3"/>
        <v/>
      </c>
    </row>
    <row r="220" spans="1:16">
      <c r="A220" s="41" t="str">
        <f>_xlfn.TEXTJOIN("",TRUE,Input!$B$2,ROW(My_Audit!A219))</f>
        <v>X219</v>
      </c>
      <c r="P220" s="41" t="str">
        <f t="shared" si="3"/>
        <v/>
      </c>
    </row>
    <row r="221" spans="1:16">
      <c r="A221" s="41" t="str">
        <f>_xlfn.TEXTJOIN("",TRUE,Input!$B$2,ROW(My_Audit!A220))</f>
        <v>X220</v>
      </c>
      <c r="P221" s="41" t="str">
        <f t="shared" si="3"/>
        <v/>
      </c>
    </row>
    <row r="222" spans="1:16">
      <c r="A222" s="41" t="str">
        <f>_xlfn.TEXTJOIN("",TRUE,Input!$B$2,ROW(My_Audit!A221))</f>
        <v>X221</v>
      </c>
      <c r="P222" s="41" t="str">
        <f t="shared" si="3"/>
        <v/>
      </c>
    </row>
    <row r="223" spans="1:16">
      <c r="A223" s="41" t="str">
        <f>_xlfn.TEXTJOIN("",TRUE,Input!$B$2,ROW(My_Audit!A222))</f>
        <v>X222</v>
      </c>
      <c r="P223" s="41" t="str">
        <f t="shared" si="3"/>
        <v/>
      </c>
    </row>
    <row r="224" spans="1:16">
      <c r="A224" s="41" t="str">
        <f>_xlfn.TEXTJOIN("",TRUE,Input!$B$2,ROW(My_Audit!A223))</f>
        <v>X223</v>
      </c>
      <c r="P224" s="41" t="str">
        <f t="shared" si="3"/>
        <v/>
      </c>
    </row>
    <row r="225" spans="1:16">
      <c r="A225" s="41" t="str">
        <f>_xlfn.TEXTJOIN("",TRUE,Input!$B$2,ROW(My_Audit!A224))</f>
        <v>X224</v>
      </c>
      <c r="P225" s="41" t="str">
        <f t="shared" si="3"/>
        <v/>
      </c>
    </row>
    <row r="226" spans="1:16">
      <c r="A226" s="41" t="str">
        <f>_xlfn.TEXTJOIN("",TRUE,Input!$B$2,ROW(My_Audit!A225))</f>
        <v>X225</v>
      </c>
      <c r="P226" s="41" t="str">
        <f t="shared" si="3"/>
        <v/>
      </c>
    </row>
    <row r="227" spans="1:16">
      <c r="A227" s="41" t="str">
        <f>_xlfn.TEXTJOIN("",TRUE,Input!$B$2,ROW(My_Audit!A226))</f>
        <v>X226</v>
      </c>
      <c r="P227" s="41" t="str">
        <f t="shared" si="3"/>
        <v/>
      </c>
    </row>
    <row r="228" spans="1:16">
      <c r="A228" s="41" t="str">
        <f>_xlfn.TEXTJOIN("",TRUE,Input!$B$2,ROW(My_Audit!A227))</f>
        <v>X227</v>
      </c>
      <c r="P228" s="41" t="str">
        <f t="shared" si="3"/>
        <v/>
      </c>
    </row>
    <row r="229" spans="1:16">
      <c r="A229" s="41" t="str">
        <f>_xlfn.TEXTJOIN("",TRUE,Input!$B$2,ROW(My_Audit!A228))</f>
        <v>X228</v>
      </c>
      <c r="P229" s="41" t="str">
        <f t="shared" si="3"/>
        <v/>
      </c>
    </row>
    <row r="230" spans="1:16">
      <c r="A230" s="41" t="str">
        <f>_xlfn.TEXTJOIN("",TRUE,Input!$B$2,ROW(My_Audit!A229))</f>
        <v>X229</v>
      </c>
      <c r="P230" s="41" t="str">
        <f t="shared" si="3"/>
        <v/>
      </c>
    </row>
    <row r="231" spans="1:16">
      <c r="A231" s="41" t="str">
        <f>_xlfn.TEXTJOIN("",TRUE,Input!$B$2,ROW(My_Audit!A230))</f>
        <v>X230</v>
      </c>
      <c r="P231" s="41" t="str">
        <f t="shared" si="3"/>
        <v/>
      </c>
    </row>
    <row r="232" spans="1:16">
      <c r="A232" s="41" t="str">
        <f>_xlfn.TEXTJOIN("",TRUE,Input!$B$2,ROW(My_Audit!A231))</f>
        <v>X231</v>
      </c>
      <c r="P232" s="41" t="str">
        <f t="shared" si="3"/>
        <v/>
      </c>
    </row>
    <row r="233" spans="1:16">
      <c r="A233" s="41" t="str">
        <f>_xlfn.TEXTJOIN("",TRUE,Input!$B$2,ROW(My_Audit!A232))</f>
        <v>X232</v>
      </c>
      <c r="P233" s="41" t="str">
        <f t="shared" si="3"/>
        <v/>
      </c>
    </row>
    <row r="234" spans="1:16">
      <c r="A234" s="41" t="str">
        <f>_xlfn.TEXTJOIN("",TRUE,Input!$B$2,ROW(My_Audit!A233))</f>
        <v>X233</v>
      </c>
      <c r="P234" s="41" t="str">
        <f t="shared" si="3"/>
        <v/>
      </c>
    </row>
    <row r="235" spans="1:16">
      <c r="A235" s="41" t="str">
        <f>_xlfn.TEXTJOIN("",TRUE,Input!$B$2,ROW(My_Audit!A234))</f>
        <v>X234</v>
      </c>
      <c r="P235" s="41" t="str">
        <f t="shared" si="3"/>
        <v/>
      </c>
    </row>
    <row r="236" spans="1:16">
      <c r="A236" s="41" t="str">
        <f>_xlfn.TEXTJOIN("",TRUE,Input!$B$2,ROW(My_Audit!A235))</f>
        <v>X235</v>
      </c>
      <c r="P236" s="41" t="str">
        <f t="shared" si="3"/>
        <v/>
      </c>
    </row>
    <row r="237" spans="1:16">
      <c r="A237" s="41" t="str">
        <f>_xlfn.TEXTJOIN("",TRUE,Input!$B$2,ROW(My_Audit!A236))</f>
        <v>X236</v>
      </c>
      <c r="P237" s="41" t="str">
        <f t="shared" si="3"/>
        <v/>
      </c>
    </row>
    <row r="238" spans="1:16">
      <c r="A238" s="41" t="str">
        <f>_xlfn.TEXTJOIN("",TRUE,Input!$B$2,ROW(My_Audit!A237))</f>
        <v>X237</v>
      </c>
      <c r="P238" s="41" t="str">
        <f t="shared" si="3"/>
        <v/>
      </c>
    </row>
    <row r="239" spans="1:16">
      <c r="A239" s="41" t="str">
        <f>_xlfn.TEXTJOIN("",TRUE,Input!$B$2,ROW(My_Audit!A238))</f>
        <v>X238</v>
      </c>
      <c r="P239" s="41" t="str">
        <f t="shared" si="3"/>
        <v/>
      </c>
    </row>
    <row r="240" spans="1:16">
      <c r="A240" s="41" t="str">
        <f>_xlfn.TEXTJOIN("",TRUE,Input!$B$2,ROW(My_Audit!A239))</f>
        <v>X239</v>
      </c>
      <c r="P240" s="41" t="str">
        <f t="shared" si="3"/>
        <v/>
      </c>
    </row>
    <row r="241" spans="1:16">
      <c r="A241" s="41" t="str">
        <f>_xlfn.TEXTJOIN("",TRUE,Input!$B$2,ROW(My_Audit!A240))</f>
        <v>X240</v>
      </c>
      <c r="P241" s="41" t="str">
        <f t="shared" si="3"/>
        <v/>
      </c>
    </row>
    <row r="242" spans="1:16">
      <c r="A242" s="41" t="str">
        <f>_xlfn.TEXTJOIN("",TRUE,Input!$B$2,ROW(My_Audit!A241))</f>
        <v>X241</v>
      </c>
      <c r="P242" s="41" t="str">
        <f t="shared" si="3"/>
        <v/>
      </c>
    </row>
    <row r="243" spans="1:16">
      <c r="A243" s="41" t="str">
        <f>_xlfn.TEXTJOIN("",TRUE,Input!$B$2,ROW(My_Audit!A242))</f>
        <v>X242</v>
      </c>
      <c r="P243" s="41" t="str">
        <f t="shared" si="3"/>
        <v/>
      </c>
    </row>
    <row r="244" spans="1:16">
      <c r="A244" s="41" t="str">
        <f>_xlfn.TEXTJOIN("",TRUE,Input!$B$2,ROW(My_Audit!A243))</f>
        <v>X243</v>
      </c>
      <c r="P244" s="41" t="str">
        <f t="shared" si="3"/>
        <v/>
      </c>
    </row>
    <row r="245" spans="1:16">
      <c r="A245" s="41" t="str">
        <f>_xlfn.TEXTJOIN("",TRUE,Input!$B$2,ROW(My_Audit!A244))</f>
        <v>X244</v>
      </c>
      <c r="P245" s="41" t="str">
        <f t="shared" si="3"/>
        <v/>
      </c>
    </row>
    <row r="246" spans="1:16">
      <c r="A246" s="41" t="str">
        <f>_xlfn.TEXTJOIN("",TRUE,Input!$B$2,ROW(My_Audit!A245))</f>
        <v>X245</v>
      </c>
      <c r="P246" s="41" t="str">
        <f t="shared" si="3"/>
        <v/>
      </c>
    </row>
    <row r="247" spans="1:16">
      <c r="A247" s="41" t="str">
        <f>_xlfn.TEXTJOIN("",TRUE,Input!$B$2,ROW(My_Audit!A246))</f>
        <v>X246</v>
      </c>
      <c r="P247" s="41" t="str">
        <f t="shared" si="3"/>
        <v/>
      </c>
    </row>
    <row r="248" spans="1:16">
      <c r="A248" s="41" t="str">
        <f>_xlfn.TEXTJOIN("",TRUE,Input!$B$2,ROW(My_Audit!A247))</f>
        <v>X247</v>
      </c>
      <c r="P248" s="41" t="str">
        <f t="shared" si="3"/>
        <v/>
      </c>
    </row>
    <row r="249" spans="1:16">
      <c r="A249" s="41" t="str">
        <f>_xlfn.TEXTJOIN("",TRUE,Input!$B$2,ROW(My_Audit!A248))</f>
        <v>X248</v>
      </c>
      <c r="P249" s="41" t="str">
        <f t="shared" si="3"/>
        <v/>
      </c>
    </row>
    <row r="250" spans="1:16">
      <c r="A250" s="41" t="str">
        <f>_xlfn.TEXTJOIN("",TRUE,Input!$B$2,ROW(My_Audit!A249))</f>
        <v>X249</v>
      </c>
      <c r="P250" s="41" t="str">
        <f t="shared" si="3"/>
        <v/>
      </c>
    </row>
    <row r="251" spans="1:16">
      <c r="A251" s="41" t="str">
        <f>_xlfn.TEXTJOIN("",TRUE,Input!$B$2,ROW(My_Audit!A250))</f>
        <v>X250</v>
      </c>
      <c r="P251" s="41" t="str">
        <f t="shared" si="3"/>
        <v/>
      </c>
    </row>
    <row r="252" spans="1:16">
      <c r="A252" s="41" t="str">
        <f>_xlfn.TEXTJOIN("",TRUE,Input!$B$2,ROW(My_Audit!A251))</f>
        <v>X251</v>
      </c>
      <c r="P252" s="41" t="str">
        <f t="shared" si="3"/>
        <v/>
      </c>
    </row>
    <row r="253" spans="1:16">
      <c r="A253" s="41" t="str">
        <f>_xlfn.TEXTJOIN("",TRUE,Input!$B$2,ROW(My_Audit!A252))</f>
        <v>X252</v>
      </c>
      <c r="P253" s="41" t="str">
        <f t="shared" si="3"/>
        <v/>
      </c>
    </row>
    <row r="254" spans="1:16">
      <c r="A254" s="41" t="str">
        <f>_xlfn.TEXTJOIN("",TRUE,Input!$B$2,ROW(My_Audit!A253))</f>
        <v>X253</v>
      </c>
      <c r="P254" s="41" t="str">
        <f t="shared" si="3"/>
        <v/>
      </c>
    </row>
    <row r="255" spans="1:16">
      <c r="A255" s="41" t="str">
        <f>_xlfn.TEXTJOIN("",TRUE,Input!$B$2,ROW(My_Audit!A254))</f>
        <v>X254</v>
      </c>
      <c r="P255" s="41" t="str">
        <f t="shared" si="3"/>
        <v/>
      </c>
    </row>
    <row r="256" spans="1:16">
      <c r="A256" s="41" t="str">
        <f>_xlfn.TEXTJOIN("",TRUE,Input!$B$2,ROW(My_Audit!A255))</f>
        <v>X255</v>
      </c>
      <c r="P256" s="41" t="str">
        <f t="shared" si="3"/>
        <v/>
      </c>
    </row>
    <row r="257" spans="1:16">
      <c r="A257" s="41" t="str">
        <f>_xlfn.TEXTJOIN("",TRUE,Input!$B$2,ROW(My_Audit!A256))</f>
        <v>X256</v>
      </c>
      <c r="P257" s="41" t="str">
        <f t="shared" si="3"/>
        <v/>
      </c>
    </row>
    <row r="258" spans="1:16">
      <c r="A258" s="41" t="str">
        <f>_xlfn.TEXTJOIN("",TRUE,Input!$B$2,ROW(My_Audit!A257))</f>
        <v>X257</v>
      </c>
      <c r="P258" s="41" t="str">
        <f t="shared" si="3"/>
        <v/>
      </c>
    </row>
    <row r="259" spans="1:16">
      <c r="A259" s="41" t="str">
        <f>_xlfn.TEXTJOIN("",TRUE,Input!$B$2,ROW(My_Audit!A258))</f>
        <v>X258</v>
      </c>
      <c r="P259" s="41" t="str">
        <f t="shared" ref="P259:P322" si="4">_xlfn.TEXTJOIN(", ",TRUE,N259,O259)</f>
        <v/>
      </c>
    </row>
    <row r="260" spans="1:16">
      <c r="A260" s="41" t="str">
        <f>_xlfn.TEXTJOIN("",TRUE,Input!$B$2,ROW(My_Audit!A259))</f>
        <v>X259</v>
      </c>
      <c r="P260" s="41" t="str">
        <f t="shared" si="4"/>
        <v/>
      </c>
    </row>
    <row r="261" spans="1:16">
      <c r="A261" s="41" t="str">
        <f>_xlfn.TEXTJOIN("",TRUE,Input!$B$2,ROW(My_Audit!A260))</f>
        <v>X260</v>
      </c>
      <c r="P261" s="41" t="str">
        <f t="shared" si="4"/>
        <v/>
      </c>
    </row>
    <row r="262" spans="1:16">
      <c r="A262" s="41" t="str">
        <f>_xlfn.TEXTJOIN("",TRUE,Input!$B$2,ROW(My_Audit!A261))</f>
        <v>X261</v>
      </c>
      <c r="P262" s="41" t="str">
        <f t="shared" si="4"/>
        <v/>
      </c>
    </row>
    <row r="263" spans="1:16">
      <c r="A263" s="41" t="str">
        <f>_xlfn.TEXTJOIN("",TRUE,Input!$B$2,ROW(My_Audit!A262))</f>
        <v>X262</v>
      </c>
      <c r="P263" s="41" t="str">
        <f t="shared" si="4"/>
        <v/>
      </c>
    </row>
    <row r="264" spans="1:16">
      <c r="A264" s="41" t="str">
        <f>_xlfn.TEXTJOIN("",TRUE,Input!$B$2,ROW(My_Audit!A263))</f>
        <v>X263</v>
      </c>
      <c r="P264" s="41" t="str">
        <f t="shared" si="4"/>
        <v/>
      </c>
    </row>
    <row r="265" spans="1:16">
      <c r="A265" s="41" t="str">
        <f>_xlfn.TEXTJOIN("",TRUE,Input!$B$2,ROW(My_Audit!A264))</f>
        <v>X264</v>
      </c>
      <c r="P265" s="41" t="str">
        <f t="shared" si="4"/>
        <v/>
      </c>
    </row>
    <row r="266" spans="1:16">
      <c r="A266" s="41" t="str">
        <f>_xlfn.TEXTJOIN("",TRUE,Input!$B$2,ROW(My_Audit!A265))</f>
        <v>X265</v>
      </c>
      <c r="P266" s="41" t="str">
        <f t="shared" si="4"/>
        <v/>
      </c>
    </row>
    <row r="267" spans="1:16">
      <c r="A267" s="41" t="str">
        <f>_xlfn.TEXTJOIN("",TRUE,Input!$B$2,ROW(My_Audit!A266))</f>
        <v>X266</v>
      </c>
      <c r="P267" s="41" t="str">
        <f t="shared" si="4"/>
        <v/>
      </c>
    </row>
    <row r="268" spans="1:16">
      <c r="A268" s="41" t="str">
        <f>_xlfn.TEXTJOIN("",TRUE,Input!$B$2,ROW(My_Audit!A267))</f>
        <v>X267</v>
      </c>
      <c r="P268" s="41" t="str">
        <f t="shared" si="4"/>
        <v/>
      </c>
    </row>
    <row r="269" spans="1:16">
      <c r="A269" s="41" t="str">
        <f>_xlfn.TEXTJOIN("",TRUE,Input!$B$2,ROW(My_Audit!A268))</f>
        <v>X268</v>
      </c>
      <c r="P269" s="41" t="str">
        <f t="shared" si="4"/>
        <v/>
      </c>
    </row>
    <row r="270" spans="1:16">
      <c r="A270" s="41" t="str">
        <f>_xlfn.TEXTJOIN("",TRUE,Input!$B$2,ROW(My_Audit!A269))</f>
        <v>X269</v>
      </c>
      <c r="P270" s="41" t="str">
        <f t="shared" si="4"/>
        <v/>
      </c>
    </row>
    <row r="271" spans="1:16">
      <c r="A271" s="41" t="str">
        <f>_xlfn.TEXTJOIN("",TRUE,Input!$B$2,ROW(My_Audit!A270))</f>
        <v>X270</v>
      </c>
      <c r="P271" s="41" t="str">
        <f t="shared" si="4"/>
        <v/>
      </c>
    </row>
    <row r="272" spans="1:16">
      <c r="A272" s="41" t="str">
        <f>_xlfn.TEXTJOIN("",TRUE,Input!$B$2,ROW(My_Audit!A271))</f>
        <v>X271</v>
      </c>
      <c r="P272" s="41" t="str">
        <f t="shared" si="4"/>
        <v/>
      </c>
    </row>
    <row r="273" spans="1:16">
      <c r="A273" s="41" t="str">
        <f>_xlfn.TEXTJOIN("",TRUE,Input!$B$2,ROW(My_Audit!A272))</f>
        <v>X272</v>
      </c>
      <c r="P273" s="41" t="str">
        <f t="shared" si="4"/>
        <v/>
      </c>
    </row>
    <row r="274" spans="1:16">
      <c r="A274" s="41" t="str">
        <f>_xlfn.TEXTJOIN("",TRUE,Input!$B$2,ROW(My_Audit!A273))</f>
        <v>X273</v>
      </c>
      <c r="P274" s="41" t="str">
        <f t="shared" si="4"/>
        <v/>
      </c>
    </row>
    <row r="275" spans="1:16">
      <c r="A275" s="41" t="str">
        <f>_xlfn.TEXTJOIN("",TRUE,Input!$B$2,ROW(My_Audit!A274))</f>
        <v>X274</v>
      </c>
      <c r="P275" s="41" t="str">
        <f t="shared" si="4"/>
        <v/>
      </c>
    </row>
    <row r="276" spans="1:16">
      <c r="A276" s="41" t="str">
        <f>_xlfn.TEXTJOIN("",TRUE,Input!$B$2,ROW(My_Audit!A275))</f>
        <v>X275</v>
      </c>
      <c r="P276" s="41" t="str">
        <f t="shared" si="4"/>
        <v/>
      </c>
    </row>
    <row r="277" spans="1:16">
      <c r="A277" s="41" t="str">
        <f>_xlfn.TEXTJOIN("",TRUE,Input!$B$2,ROW(My_Audit!A276))</f>
        <v>X276</v>
      </c>
      <c r="P277" s="41" t="str">
        <f t="shared" si="4"/>
        <v/>
      </c>
    </row>
    <row r="278" spans="1:16">
      <c r="A278" s="41" t="str">
        <f>_xlfn.TEXTJOIN("",TRUE,Input!$B$2,ROW(My_Audit!A277))</f>
        <v>X277</v>
      </c>
      <c r="P278" s="41" t="str">
        <f t="shared" si="4"/>
        <v/>
      </c>
    </row>
    <row r="279" spans="1:16">
      <c r="A279" s="41" t="str">
        <f>_xlfn.TEXTJOIN("",TRUE,Input!$B$2,ROW(My_Audit!A278))</f>
        <v>X278</v>
      </c>
      <c r="P279" s="41" t="str">
        <f t="shared" si="4"/>
        <v/>
      </c>
    </row>
    <row r="280" spans="1:16">
      <c r="A280" s="41" t="str">
        <f>_xlfn.TEXTJOIN("",TRUE,Input!$B$2,ROW(My_Audit!A279))</f>
        <v>X279</v>
      </c>
      <c r="P280" s="41" t="str">
        <f t="shared" si="4"/>
        <v/>
      </c>
    </row>
    <row r="281" spans="1:16">
      <c r="A281" s="41" t="str">
        <f>_xlfn.TEXTJOIN("",TRUE,Input!$B$2,ROW(My_Audit!A280))</f>
        <v>X280</v>
      </c>
      <c r="P281" s="41" t="str">
        <f t="shared" si="4"/>
        <v/>
      </c>
    </row>
    <row r="282" spans="1:16">
      <c r="A282" s="41" t="str">
        <f>_xlfn.TEXTJOIN("",TRUE,Input!$B$2,ROW(My_Audit!A281))</f>
        <v>X281</v>
      </c>
      <c r="P282" s="41" t="str">
        <f t="shared" si="4"/>
        <v/>
      </c>
    </row>
    <row r="283" spans="1:16">
      <c r="A283" s="41" t="str">
        <f>_xlfn.TEXTJOIN("",TRUE,Input!$B$2,ROW(My_Audit!A282))</f>
        <v>X282</v>
      </c>
      <c r="P283" s="41" t="str">
        <f t="shared" si="4"/>
        <v/>
      </c>
    </row>
    <row r="284" spans="1:16">
      <c r="A284" s="41" t="str">
        <f>_xlfn.TEXTJOIN("",TRUE,Input!$B$2,ROW(My_Audit!A283))</f>
        <v>X283</v>
      </c>
      <c r="P284" s="41" t="str">
        <f t="shared" si="4"/>
        <v/>
      </c>
    </row>
    <row r="285" spans="1:16">
      <c r="A285" s="41" t="str">
        <f>_xlfn.TEXTJOIN("",TRUE,Input!$B$2,ROW(My_Audit!A284))</f>
        <v>X284</v>
      </c>
      <c r="P285" s="41" t="str">
        <f t="shared" si="4"/>
        <v/>
      </c>
    </row>
    <row r="286" spans="1:16">
      <c r="A286" s="41" t="str">
        <f>_xlfn.TEXTJOIN("",TRUE,Input!$B$2,ROW(My_Audit!A285))</f>
        <v>X285</v>
      </c>
      <c r="P286" s="41" t="str">
        <f t="shared" si="4"/>
        <v/>
      </c>
    </row>
    <row r="287" spans="1:16">
      <c r="A287" s="41" t="str">
        <f>_xlfn.TEXTJOIN("",TRUE,Input!$B$2,ROW(My_Audit!A286))</f>
        <v>X286</v>
      </c>
      <c r="P287" s="41" t="str">
        <f t="shared" si="4"/>
        <v/>
      </c>
    </row>
    <row r="288" spans="1:16">
      <c r="A288" s="41" t="str">
        <f>_xlfn.TEXTJOIN("",TRUE,Input!$B$2,ROW(My_Audit!A287))</f>
        <v>X287</v>
      </c>
      <c r="P288" s="41" t="str">
        <f t="shared" si="4"/>
        <v/>
      </c>
    </row>
    <row r="289" spans="1:16">
      <c r="A289" s="41" t="str">
        <f>_xlfn.TEXTJOIN("",TRUE,Input!$B$2,ROW(My_Audit!A288))</f>
        <v>X288</v>
      </c>
      <c r="P289" s="41" t="str">
        <f t="shared" si="4"/>
        <v/>
      </c>
    </row>
    <row r="290" spans="1:16">
      <c r="A290" s="41" t="str">
        <f>_xlfn.TEXTJOIN("",TRUE,Input!$B$2,ROW(My_Audit!A289))</f>
        <v>X289</v>
      </c>
      <c r="P290" s="41" t="str">
        <f t="shared" si="4"/>
        <v/>
      </c>
    </row>
    <row r="291" spans="1:16">
      <c r="A291" s="41" t="str">
        <f>_xlfn.TEXTJOIN("",TRUE,Input!$B$2,ROW(My_Audit!A290))</f>
        <v>X290</v>
      </c>
      <c r="P291" s="41" t="str">
        <f t="shared" si="4"/>
        <v/>
      </c>
    </row>
    <row r="292" spans="1:16">
      <c r="A292" s="41" t="str">
        <f>_xlfn.TEXTJOIN("",TRUE,Input!$B$2,ROW(My_Audit!A291))</f>
        <v>X291</v>
      </c>
      <c r="P292" s="41" t="str">
        <f t="shared" si="4"/>
        <v/>
      </c>
    </row>
    <row r="293" spans="1:16">
      <c r="A293" s="41" t="str">
        <f>_xlfn.TEXTJOIN("",TRUE,Input!$B$2,ROW(My_Audit!A292))</f>
        <v>X292</v>
      </c>
      <c r="P293" s="41" t="str">
        <f t="shared" si="4"/>
        <v/>
      </c>
    </row>
    <row r="294" spans="1:16">
      <c r="A294" s="41" t="str">
        <f>_xlfn.TEXTJOIN("",TRUE,Input!$B$2,ROW(My_Audit!A293))</f>
        <v>X293</v>
      </c>
      <c r="P294" s="41" t="str">
        <f t="shared" si="4"/>
        <v/>
      </c>
    </row>
    <row r="295" spans="1:16">
      <c r="A295" s="41" t="str">
        <f>_xlfn.TEXTJOIN("",TRUE,Input!$B$2,ROW(My_Audit!A294))</f>
        <v>X294</v>
      </c>
      <c r="P295" s="41" t="str">
        <f t="shared" si="4"/>
        <v/>
      </c>
    </row>
    <row r="296" spans="1:16">
      <c r="A296" s="41" t="str">
        <f>_xlfn.TEXTJOIN("",TRUE,Input!$B$2,ROW(My_Audit!A295))</f>
        <v>X295</v>
      </c>
      <c r="P296" s="41" t="str">
        <f t="shared" si="4"/>
        <v/>
      </c>
    </row>
    <row r="297" spans="1:16">
      <c r="A297" s="41" t="str">
        <f>_xlfn.TEXTJOIN("",TRUE,Input!$B$2,ROW(My_Audit!A296))</f>
        <v>X296</v>
      </c>
      <c r="P297" s="41" t="str">
        <f t="shared" si="4"/>
        <v/>
      </c>
    </row>
    <row r="298" spans="1:16">
      <c r="A298" s="41" t="str">
        <f>_xlfn.TEXTJOIN("",TRUE,Input!$B$2,ROW(My_Audit!A297))</f>
        <v>X297</v>
      </c>
      <c r="P298" s="41" t="str">
        <f t="shared" si="4"/>
        <v/>
      </c>
    </row>
    <row r="299" spans="1:16">
      <c r="A299" s="41" t="str">
        <f>_xlfn.TEXTJOIN("",TRUE,Input!$B$2,ROW(My_Audit!A298))</f>
        <v>X298</v>
      </c>
      <c r="P299" s="41" t="str">
        <f t="shared" si="4"/>
        <v/>
      </c>
    </row>
    <row r="300" spans="1:16">
      <c r="A300" s="41" t="str">
        <f>_xlfn.TEXTJOIN("",TRUE,Input!$B$2,ROW(My_Audit!A299))</f>
        <v>X299</v>
      </c>
      <c r="P300" s="41" t="str">
        <f t="shared" si="4"/>
        <v/>
      </c>
    </row>
    <row r="301" spans="1:16">
      <c r="A301" s="41" t="str">
        <f>_xlfn.TEXTJOIN("",TRUE,Input!$B$2,ROW(My_Audit!A300))</f>
        <v>X300</v>
      </c>
      <c r="P301" s="41" t="str">
        <f t="shared" si="4"/>
        <v/>
      </c>
    </row>
    <row r="302" spans="1:16">
      <c r="A302" s="41" t="str">
        <f>_xlfn.TEXTJOIN("",TRUE,Input!$B$2,ROW(My_Audit!A301))</f>
        <v>X301</v>
      </c>
      <c r="P302" s="41" t="str">
        <f t="shared" si="4"/>
        <v/>
      </c>
    </row>
    <row r="303" spans="1:16">
      <c r="A303" s="41" t="str">
        <f>_xlfn.TEXTJOIN("",TRUE,Input!$B$2,ROW(My_Audit!A302))</f>
        <v>X302</v>
      </c>
      <c r="P303" s="41" t="str">
        <f t="shared" si="4"/>
        <v/>
      </c>
    </row>
    <row r="304" spans="1:16">
      <c r="A304" s="41" t="str">
        <f>_xlfn.TEXTJOIN("",TRUE,Input!$B$2,ROW(My_Audit!A303))</f>
        <v>X303</v>
      </c>
      <c r="P304" s="41" t="str">
        <f t="shared" si="4"/>
        <v/>
      </c>
    </row>
    <row r="305" spans="1:16">
      <c r="A305" s="41" t="str">
        <f>_xlfn.TEXTJOIN("",TRUE,Input!$B$2,ROW(My_Audit!A304))</f>
        <v>X304</v>
      </c>
      <c r="P305" s="41" t="str">
        <f t="shared" si="4"/>
        <v/>
      </c>
    </row>
    <row r="306" spans="1:16">
      <c r="A306" s="41" t="str">
        <f>_xlfn.TEXTJOIN("",TRUE,Input!$B$2,ROW(My_Audit!A305))</f>
        <v>X305</v>
      </c>
      <c r="P306" s="41" t="str">
        <f t="shared" si="4"/>
        <v/>
      </c>
    </row>
    <row r="307" spans="1:16">
      <c r="A307" s="41" t="str">
        <f>_xlfn.TEXTJOIN("",TRUE,Input!$B$2,ROW(My_Audit!A306))</f>
        <v>X306</v>
      </c>
      <c r="P307" s="41" t="str">
        <f t="shared" si="4"/>
        <v/>
      </c>
    </row>
    <row r="308" spans="1:16">
      <c r="A308" s="41" t="str">
        <f>_xlfn.TEXTJOIN("",TRUE,Input!$B$2,ROW(My_Audit!A307))</f>
        <v>X307</v>
      </c>
      <c r="P308" s="41" t="str">
        <f t="shared" si="4"/>
        <v/>
      </c>
    </row>
    <row r="309" spans="1:16">
      <c r="A309" s="41" t="str">
        <f>_xlfn.TEXTJOIN("",TRUE,Input!$B$2,ROW(My_Audit!A308))</f>
        <v>X308</v>
      </c>
      <c r="P309" s="41" t="str">
        <f t="shared" si="4"/>
        <v/>
      </c>
    </row>
    <row r="310" spans="1:16">
      <c r="A310" s="41" t="str">
        <f>_xlfn.TEXTJOIN("",TRUE,Input!$B$2,ROW(My_Audit!A309))</f>
        <v>X309</v>
      </c>
      <c r="P310" s="41" t="str">
        <f t="shared" si="4"/>
        <v/>
      </c>
    </row>
    <row r="311" spans="1:16">
      <c r="A311" s="41" t="str">
        <f>_xlfn.TEXTJOIN("",TRUE,Input!$B$2,ROW(My_Audit!A310))</f>
        <v>X310</v>
      </c>
      <c r="P311" s="41" t="str">
        <f t="shared" si="4"/>
        <v/>
      </c>
    </row>
    <row r="312" spans="1:16">
      <c r="A312" s="41" t="str">
        <f>_xlfn.TEXTJOIN("",TRUE,Input!$B$2,ROW(My_Audit!A311))</f>
        <v>X311</v>
      </c>
      <c r="P312" s="41" t="str">
        <f t="shared" si="4"/>
        <v/>
      </c>
    </row>
    <row r="313" spans="1:16">
      <c r="A313" s="41" t="str">
        <f>_xlfn.TEXTJOIN("",TRUE,Input!$B$2,ROW(My_Audit!A312))</f>
        <v>X312</v>
      </c>
      <c r="P313" s="41" t="str">
        <f t="shared" si="4"/>
        <v/>
      </c>
    </row>
    <row r="314" spans="1:16">
      <c r="A314" s="41" t="str">
        <f>_xlfn.TEXTJOIN("",TRUE,Input!$B$2,ROW(My_Audit!A313))</f>
        <v>X313</v>
      </c>
      <c r="P314" s="41" t="str">
        <f t="shared" si="4"/>
        <v/>
      </c>
    </row>
    <row r="315" spans="1:16">
      <c r="A315" s="41" t="str">
        <f>_xlfn.TEXTJOIN("",TRUE,Input!$B$2,ROW(My_Audit!A314))</f>
        <v>X314</v>
      </c>
      <c r="P315" s="41" t="str">
        <f t="shared" si="4"/>
        <v/>
      </c>
    </row>
    <row r="316" spans="1:16">
      <c r="A316" s="41" t="str">
        <f>_xlfn.TEXTJOIN("",TRUE,Input!$B$2,ROW(My_Audit!A315))</f>
        <v>X315</v>
      </c>
      <c r="P316" s="41" t="str">
        <f t="shared" si="4"/>
        <v/>
      </c>
    </row>
    <row r="317" spans="1:16">
      <c r="A317" s="41" t="str">
        <f>_xlfn.TEXTJOIN("",TRUE,Input!$B$2,ROW(My_Audit!A316))</f>
        <v>X316</v>
      </c>
      <c r="P317" s="41" t="str">
        <f t="shared" si="4"/>
        <v/>
      </c>
    </row>
    <row r="318" spans="1:16">
      <c r="A318" s="41" t="str">
        <f>_xlfn.TEXTJOIN("",TRUE,Input!$B$2,ROW(My_Audit!A317))</f>
        <v>X317</v>
      </c>
      <c r="P318" s="41" t="str">
        <f t="shared" si="4"/>
        <v/>
      </c>
    </row>
    <row r="319" spans="1:16">
      <c r="A319" s="41" t="str">
        <f>_xlfn.TEXTJOIN("",TRUE,Input!$B$2,ROW(My_Audit!A318))</f>
        <v>X318</v>
      </c>
      <c r="P319" s="41" t="str">
        <f t="shared" si="4"/>
        <v/>
      </c>
    </row>
    <row r="320" spans="1:16">
      <c r="A320" s="41" t="str">
        <f>_xlfn.TEXTJOIN("",TRUE,Input!$B$2,ROW(My_Audit!A319))</f>
        <v>X319</v>
      </c>
      <c r="P320" s="41" t="str">
        <f t="shared" si="4"/>
        <v/>
      </c>
    </row>
    <row r="321" spans="1:16">
      <c r="A321" s="41" t="str">
        <f>_xlfn.TEXTJOIN("",TRUE,Input!$B$2,ROW(My_Audit!A320))</f>
        <v>X320</v>
      </c>
      <c r="P321" s="41" t="str">
        <f t="shared" si="4"/>
        <v/>
      </c>
    </row>
    <row r="322" spans="1:16">
      <c r="A322" s="41" t="str">
        <f>_xlfn.TEXTJOIN("",TRUE,Input!$B$2,ROW(My_Audit!A321))</f>
        <v>X321</v>
      </c>
      <c r="P322" s="41" t="str">
        <f t="shared" si="4"/>
        <v/>
      </c>
    </row>
    <row r="323" spans="1:16">
      <c r="A323" s="41" t="str">
        <f>_xlfn.TEXTJOIN("",TRUE,Input!$B$2,ROW(My_Audit!A322))</f>
        <v>X322</v>
      </c>
      <c r="P323" s="41" t="str">
        <f t="shared" ref="P323:P386" si="5">_xlfn.TEXTJOIN(", ",TRUE,N323,O323)</f>
        <v/>
      </c>
    </row>
    <row r="324" spans="1:16">
      <c r="A324" s="41" t="str">
        <f>_xlfn.TEXTJOIN("",TRUE,Input!$B$2,ROW(My_Audit!A323))</f>
        <v>X323</v>
      </c>
      <c r="P324" s="41" t="str">
        <f t="shared" si="5"/>
        <v/>
      </c>
    </row>
    <row r="325" spans="1:16">
      <c r="A325" s="41" t="str">
        <f>_xlfn.TEXTJOIN("",TRUE,Input!$B$2,ROW(My_Audit!A324))</f>
        <v>X324</v>
      </c>
      <c r="P325" s="41" t="str">
        <f t="shared" si="5"/>
        <v/>
      </c>
    </row>
    <row r="326" spans="1:16">
      <c r="A326" s="41" t="str">
        <f>_xlfn.TEXTJOIN("",TRUE,Input!$B$2,ROW(My_Audit!A325))</f>
        <v>X325</v>
      </c>
      <c r="P326" s="41" t="str">
        <f t="shared" si="5"/>
        <v/>
      </c>
    </row>
    <row r="327" spans="1:16">
      <c r="A327" s="41" t="str">
        <f>_xlfn.TEXTJOIN("",TRUE,Input!$B$2,ROW(My_Audit!A326))</f>
        <v>X326</v>
      </c>
      <c r="P327" s="41" t="str">
        <f t="shared" si="5"/>
        <v/>
      </c>
    </row>
    <row r="328" spans="1:16">
      <c r="A328" s="41" t="str">
        <f>_xlfn.TEXTJOIN("",TRUE,Input!$B$2,ROW(My_Audit!A327))</f>
        <v>X327</v>
      </c>
      <c r="P328" s="41" t="str">
        <f t="shared" si="5"/>
        <v/>
      </c>
    </row>
    <row r="329" spans="1:16">
      <c r="A329" s="41" t="str">
        <f>_xlfn.TEXTJOIN("",TRUE,Input!$B$2,ROW(My_Audit!A328))</f>
        <v>X328</v>
      </c>
      <c r="P329" s="41" t="str">
        <f t="shared" si="5"/>
        <v/>
      </c>
    </row>
    <row r="330" spans="1:16">
      <c r="A330" s="41" t="str">
        <f>_xlfn.TEXTJOIN("",TRUE,Input!$B$2,ROW(My_Audit!A329))</f>
        <v>X329</v>
      </c>
      <c r="P330" s="41" t="str">
        <f t="shared" si="5"/>
        <v/>
      </c>
    </row>
    <row r="331" spans="1:16">
      <c r="A331" s="41" t="str">
        <f>_xlfn.TEXTJOIN("",TRUE,Input!$B$2,ROW(My_Audit!A330))</f>
        <v>X330</v>
      </c>
      <c r="P331" s="41" t="str">
        <f t="shared" si="5"/>
        <v/>
      </c>
    </row>
    <row r="332" spans="1:16">
      <c r="A332" s="41" t="str">
        <f>_xlfn.TEXTJOIN("",TRUE,Input!$B$2,ROW(My_Audit!A331))</f>
        <v>X331</v>
      </c>
      <c r="P332" s="41" t="str">
        <f t="shared" si="5"/>
        <v/>
      </c>
    </row>
    <row r="333" spans="1:16">
      <c r="A333" s="41" t="str">
        <f>_xlfn.TEXTJOIN("",TRUE,Input!$B$2,ROW(My_Audit!A332))</f>
        <v>X332</v>
      </c>
      <c r="P333" s="41" t="str">
        <f t="shared" si="5"/>
        <v/>
      </c>
    </row>
    <row r="334" spans="1:16">
      <c r="A334" s="41" t="str">
        <f>_xlfn.TEXTJOIN("",TRUE,Input!$B$2,ROW(My_Audit!A333))</f>
        <v>X333</v>
      </c>
      <c r="P334" s="41" t="str">
        <f t="shared" si="5"/>
        <v/>
      </c>
    </row>
    <row r="335" spans="1:16">
      <c r="A335" s="41" t="str">
        <f>_xlfn.TEXTJOIN("",TRUE,Input!$B$2,ROW(My_Audit!A334))</f>
        <v>X334</v>
      </c>
      <c r="P335" s="41" t="str">
        <f t="shared" si="5"/>
        <v/>
      </c>
    </row>
    <row r="336" spans="1:16">
      <c r="A336" s="41" t="str">
        <f>_xlfn.TEXTJOIN("",TRUE,Input!$B$2,ROW(My_Audit!A335))</f>
        <v>X335</v>
      </c>
      <c r="P336" s="41" t="str">
        <f t="shared" si="5"/>
        <v/>
      </c>
    </row>
    <row r="337" spans="1:16">
      <c r="A337" s="41" t="str">
        <f>_xlfn.TEXTJOIN("",TRUE,Input!$B$2,ROW(My_Audit!A336))</f>
        <v>X336</v>
      </c>
      <c r="P337" s="41" t="str">
        <f t="shared" si="5"/>
        <v/>
      </c>
    </row>
    <row r="338" spans="1:16">
      <c r="A338" s="41" t="str">
        <f>_xlfn.TEXTJOIN("",TRUE,Input!$B$2,ROW(My_Audit!A337))</f>
        <v>X337</v>
      </c>
      <c r="P338" s="41" t="str">
        <f t="shared" si="5"/>
        <v/>
      </c>
    </row>
    <row r="339" spans="1:16">
      <c r="A339" s="41" t="str">
        <f>_xlfn.TEXTJOIN("",TRUE,Input!$B$2,ROW(My_Audit!A338))</f>
        <v>X338</v>
      </c>
      <c r="P339" s="41" t="str">
        <f t="shared" si="5"/>
        <v/>
      </c>
    </row>
    <row r="340" spans="1:16">
      <c r="A340" s="41" t="str">
        <f>_xlfn.TEXTJOIN("",TRUE,Input!$B$2,ROW(My_Audit!A339))</f>
        <v>X339</v>
      </c>
      <c r="P340" s="41" t="str">
        <f t="shared" si="5"/>
        <v/>
      </c>
    </row>
    <row r="341" spans="1:16">
      <c r="A341" s="41" t="str">
        <f>_xlfn.TEXTJOIN("",TRUE,Input!$B$2,ROW(My_Audit!A340))</f>
        <v>X340</v>
      </c>
      <c r="P341" s="41" t="str">
        <f t="shared" si="5"/>
        <v/>
      </c>
    </row>
    <row r="342" spans="1:16">
      <c r="A342" s="41" t="str">
        <f>_xlfn.TEXTJOIN("",TRUE,Input!$B$2,ROW(My_Audit!A341))</f>
        <v>X341</v>
      </c>
      <c r="P342" s="41" t="str">
        <f t="shared" si="5"/>
        <v/>
      </c>
    </row>
    <row r="343" spans="1:16">
      <c r="A343" s="41" t="str">
        <f>_xlfn.TEXTJOIN("",TRUE,Input!$B$2,ROW(My_Audit!A342))</f>
        <v>X342</v>
      </c>
      <c r="P343" s="41" t="str">
        <f t="shared" si="5"/>
        <v/>
      </c>
    </row>
    <row r="344" spans="1:16">
      <c r="A344" s="41" t="str">
        <f>_xlfn.TEXTJOIN("",TRUE,Input!$B$2,ROW(My_Audit!A343))</f>
        <v>X343</v>
      </c>
      <c r="P344" s="41" t="str">
        <f t="shared" si="5"/>
        <v/>
      </c>
    </row>
    <row r="345" spans="1:16">
      <c r="A345" s="41" t="str">
        <f>_xlfn.TEXTJOIN("",TRUE,Input!$B$2,ROW(My_Audit!A344))</f>
        <v>X344</v>
      </c>
      <c r="P345" s="41" t="str">
        <f t="shared" si="5"/>
        <v/>
      </c>
    </row>
    <row r="346" spans="1:16">
      <c r="A346" s="41" t="str">
        <f>_xlfn.TEXTJOIN("",TRUE,Input!$B$2,ROW(My_Audit!A345))</f>
        <v>X345</v>
      </c>
      <c r="P346" s="41" t="str">
        <f t="shared" si="5"/>
        <v/>
      </c>
    </row>
    <row r="347" spans="1:16">
      <c r="A347" s="41" t="str">
        <f>_xlfn.TEXTJOIN("",TRUE,Input!$B$2,ROW(My_Audit!A346))</f>
        <v>X346</v>
      </c>
      <c r="P347" s="41" t="str">
        <f t="shared" si="5"/>
        <v/>
      </c>
    </row>
    <row r="348" spans="1:16">
      <c r="A348" s="41" t="str">
        <f>_xlfn.TEXTJOIN("",TRUE,Input!$B$2,ROW(My_Audit!A347))</f>
        <v>X347</v>
      </c>
      <c r="P348" s="41" t="str">
        <f t="shared" si="5"/>
        <v/>
      </c>
    </row>
    <row r="349" spans="1:16">
      <c r="A349" s="41" t="str">
        <f>_xlfn.TEXTJOIN("",TRUE,Input!$B$2,ROW(My_Audit!A348))</f>
        <v>X348</v>
      </c>
      <c r="P349" s="41" t="str">
        <f t="shared" si="5"/>
        <v/>
      </c>
    </row>
    <row r="350" spans="1:16">
      <c r="A350" s="41" t="str">
        <f>_xlfn.TEXTJOIN("",TRUE,Input!$B$2,ROW(My_Audit!A349))</f>
        <v>X349</v>
      </c>
      <c r="P350" s="41" t="str">
        <f t="shared" si="5"/>
        <v/>
      </c>
    </row>
    <row r="351" spans="1:16">
      <c r="A351" s="41" t="str">
        <f>_xlfn.TEXTJOIN("",TRUE,Input!$B$2,ROW(My_Audit!A350))</f>
        <v>X350</v>
      </c>
      <c r="P351" s="41" t="str">
        <f t="shared" si="5"/>
        <v/>
      </c>
    </row>
    <row r="352" spans="1:16">
      <c r="A352" s="41" t="str">
        <f>_xlfn.TEXTJOIN("",TRUE,Input!$B$2,ROW(My_Audit!A351))</f>
        <v>X351</v>
      </c>
      <c r="P352" s="41" t="str">
        <f t="shared" si="5"/>
        <v/>
      </c>
    </row>
    <row r="353" spans="1:16">
      <c r="A353" s="41" t="str">
        <f>_xlfn.TEXTJOIN("",TRUE,Input!$B$2,ROW(My_Audit!A352))</f>
        <v>X352</v>
      </c>
      <c r="P353" s="41" t="str">
        <f t="shared" si="5"/>
        <v/>
      </c>
    </row>
    <row r="354" spans="1:16">
      <c r="A354" s="41" t="str">
        <f>_xlfn.TEXTJOIN("",TRUE,Input!$B$2,ROW(My_Audit!A353))</f>
        <v>X353</v>
      </c>
      <c r="P354" s="41" t="str">
        <f t="shared" si="5"/>
        <v/>
      </c>
    </row>
    <row r="355" spans="1:16">
      <c r="A355" s="41" t="str">
        <f>_xlfn.TEXTJOIN("",TRUE,Input!$B$2,ROW(My_Audit!A354))</f>
        <v>X354</v>
      </c>
      <c r="P355" s="41" t="str">
        <f t="shared" si="5"/>
        <v/>
      </c>
    </row>
    <row r="356" spans="1:16">
      <c r="A356" s="41" t="str">
        <f>_xlfn.TEXTJOIN("",TRUE,Input!$B$2,ROW(My_Audit!A355))</f>
        <v>X355</v>
      </c>
      <c r="P356" s="41" t="str">
        <f t="shared" si="5"/>
        <v/>
      </c>
    </row>
    <row r="357" spans="1:16">
      <c r="A357" s="41" t="str">
        <f>_xlfn.TEXTJOIN("",TRUE,Input!$B$2,ROW(My_Audit!A356))</f>
        <v>X356</v>
      </c>
      <c r="P357" s="41" t="str">
        <f t="shared" si="5"/>
        <v/>
      </c>
    </row>
    <row r="358" spans="1:16">
      <c r="A358" s="41" t="str">
        <f>_xlfn.TEXTJOIN("",TRUE,Input!$B$2,ROW(My_Audit!A357))</f>
        <v>X357</v>
      </c>
      <c r="P358" s="41" t="str">
        <f t="shared" si="5"/>
        <v/>
      </c>
    </row>
    <row r="359" spans="1:16">
      <c r="A359" s="41" t="str">
        <f>_xlfn.TEXTJOIN("",TRUE,Input!$B$2,ROW(My_Audit!A358))</f>
        <v>X358</v>
      </c>
      <c r="P359" s="41" t="str">
        <f t="shared" si="5"/>
        <v/>
      </c>
    </row>
    <row r="360" spans="1:16">
      <c r="A360" s="41" t="str">
        <f>_xlfn.TEXTJOIN("",TRUE,Input!$B$2,ROW(My_Audit!A359))</f>
        <v>X359</v>
      </c>
      <c r="P360" s="41" t="str">
        <f t="shared" si="5"/>
        <v/>
      </c>
    </row>
    <row r="361" spans="1:16">
      <c r="A361" s="41" t="str">
        <f>_xlfn.TEXTJOIN("",TRUE,Input!$B$2,ROW(My_Audit!A360))</f>
        <v>X360</v>
      </c>
      <c r="P361" s="41" t="str">
        <f t="shared" si="5"/>
        <v/>
      </c>
    </row>
    <row r="362" spans="1:16">
      <c r="A362" s="41" t="str">
        <f>_xlfn.TEXTJOIN("",TRUE,Input!$B$2,ROW(My_Audit!A361))</f>
        <v>X361</v>
      </c>
      <c r="P362" s="41" t="str">
        <f t="shared" si="5"/>
        <v/>
      </c>
    </row>
    <row r="363" spans="1:16">
      <c r="A363" s="41" t="str">
        <f>_xlfn.TEXTJOIN("",TRUE,Input!$B$2,ROW(My_Audit!A362))</f>
        <v>X362</v>
      </c>
      <c r="P363" s="41" t="str">
        <f t="shared" si="5"/>
        <v/>
      </c>
    </row>
    <row r="364" spans="1:16">
      <c r="A364" s="41" t="str">
        <f>_xlfn.TEXTJOIN("",TRUE,Input!$B$2,ROW(My_Audit!A363))</f>
        <v>X363</v>
      </c>
      <c r="P364" s="41" t="str">
        <f t="shared" si="5"/>
        <v/>
      </c>
    </row>
    <row r="365" spans="1:16">
      <c r="A365" s="41" t="str">
        <f>_xlfn.TEXTJOIN("",TRUE,Input!$B$2,ROW(My_Audit!A364))</f>
        <v>X364</v>
      </c>
      <c r="P365" s="41" t="str">
        <f t="shared" si="5"/>
        <v/>
      </c>
    </row>
    <row r="366" spans="1:16">
      <c r="A366" s="41" t="str">
        <f>_xlfn.TEXTJOIN("",TRUE,Input!$B$2,ROW(My_Audit!A365))</f>
        <v>X365</v>
      </c>
      <c r="P366" s="41" t="str">
        <f t="shared" si="5"/>
        <v/>
      </c>
    </row>
    <row r="367" spans="1:16">
      <c r="A367" s="41" t="str">
        <f>_xlfn.TEXTJOIN("",TRUE,Input!$B$2,ROW(My_Audit!A366))</f>
        <v>X366</v>
      </c>
      <c r="P367" s="41" t="str">
        <f t="shared" si="5"/>
        <v/>
      </c>
    </row>
    <row r="368" spans="1:16">
      <c r="A368" s="41" t="str">
        <f>_xlfn.TEXTJOIN("",TRUE,Input!$B$2,ROW(My_Audit!A367))</f>
        <v>X367</v>
      </c>
      <c r="P368" s="41" t="str">
        <f t="shared" si="5"/>
        <v/>
      </c>
    </row>
    <row r="369" spans="1:16">
      <c r="A369" s="41" t="str">
        <f>_xlfn.TEXTJOIN("",TRUE,Input!$B$2,ROW(My_Audit!A368))</f>
        <v>X368</v>
      </c>
      <c r="P369" s="41" t="str">
        <f t="shared" si="5"/>
        <v/>
      </c>
    </row>
    <row r="370" spans="1:16">
      <c r="A370" s="41" t="str">
        <f>_xlfn.TEXTJOIN("",TRUE,Input!$B$2,ROW(My_Audit!A369))</f>
        <v>X369</v>
      </c>
      <c r="P370" s="41" t="str">
        <f t="shared" si="5"/>
        <v/>
      </c>
    </row>
    <row r="371" spans="1:16">
      <c r="A371" s="41" t="str">
        <f>_xlfn.TEXTJOIN("",TRUE,Input!$B$2,ROW(My_Audit!A370))</f>
        <v>X370</v>
      </c>
      <c r="P371" s="41" t="str">
        <f t="shared" si="5"/>
        <v/>
      </c>
    </row>
    <row r="372" spans="1:16">
      <c r="A372" s="41" t="str">
        <f>_xlfn.TEXTJOIN("",TRUE,Input!$B$2,ROW(My_Audit!A371))</f>
        <v>X371</v>
      </c>
      <c r="P372" s="41" t="str">
        <f t="shared" si="5"/>
        <v/>
      </c>
    </row>
    <row r="373" spans="1:16">
      <c r="A373" s="41" t="str">
        <f>_xlfn.TEXTJOIN("",TRUE,Input!$B$2,ROW(My_Audit!A372))</f>
        <v>X372</v>
      </c>
      <c r="P373" s="41" t="str">
        <f t="shared" si="5"/>
        <v/>
      </c>
    </row>
    <row r="374" spans="1:16">
      <c r="A374" s="41" t="str">
        <f>_xlfn.TEXTJOIN("",TRUE,Input!$B$2,ROW(My_Audit!A373))</f>
        <v>X373</v>
      </c>
      <c r="P374" s="41" t="str">
        <f t="shared" si="5"/>
        <v/>
      </c>
    </row>
    <row r="375" spans="1:16">
      <c r="A375" s="41" t="str">
        <f>_xlfn.TEXTJOIN("",TRUE,Input!$B$2,ROW(My_Audit!A374))</f>
        <v>X374</v>
      </c>
      <c r="P375" s="41" t="str">
        <f t="shared" si="5"/>
        <v/>
      </c>
    </row>
    <row r="376" spans="1:16">
      <c r="A376" s="41" t="str">
        <f>_xlfn.TEXTJOIN("",TRUE,Input!$B$2,ROW(My_Audit!A375))</f>
        <v>X375</v>
      </c>
      <c r="P376" s="41" t="str">
        <f t="shared" si="5"/>
        <v/>
      </c>
    </row>
    <row r="377" spans="1:16">
      <c r="A377" s="41" t="str">
        <f>_xlfn.TEXTJOIN("",TRUE,Input!$B$2,ROW(My_Audit!A376))</f>
        <v>X376</v>
      </c>
      <c r="P377" s="41" t="str">
        <f t="shared" si="5"/>
        <v/>
      </c>
    </row>
    <row r="378" spans="1:16">
      <c r="A378" s="41" t="str">
        <f>_xlfn.TEXTJOIN("",TRUE,Input!$B$2,ROW(My_Audit!A377))</f>
        <v>X377</v>
      </c>
      <c r="P378" s="41" t="str">
        <f t="shared" si="5"/>
        <v/>
      </c>
    </row>
    <row r="379" spans="1:16">
      <c r="A379" s="41" t="str">
        <f>_xlfn.TEXTJOIN("",TRUE,Input!$B$2,ROW(My_Audit!A378))</f>
        <v>X378</v>
      </c>
      <c r="P379" s="41" t="str">
        <f t="shared" si="5"/>
        <v/>
      </c>
    </row>
    <row r="380" spans="1:16">
      <c r="A380" s="41" t="str">
        <f>_xlfn.TEXTJOIN("",TRUE,Input!$B$2,ROW(My_Audit!A379))</f>
        <v>X379</v>
      </c>
      <c r="P380" s="41" t="str">
        <f t="shared" si="5"/>
        <v/>
      </c>
    </row>
    <row r="381" spans="1:16">
      <c r="A381" s="41" t="str">
        <f>_xlfn.TEXTJOIN("",TRUE,Input!$B$2,ROW(My_Audit!A380))</f>
        <v>X380</v>
      </c>
      <c r="P381" s="41" t="str">
        <f t="shared" si="5"/>
        <v/>
      </c>
    </row>
    <row r="382" spans="1:16">
      <c r="A382" s="41" t="str">
        <f>_xlfn.TEXTJOIN("",TRUE,Input!$B$2,ROW(My_Audit!A381))</f>
        <v>X381</v>
      </c>
      <c r="P382" s="41" t="str">
        <f t="shared" si="5"/>
        <v/>
      </c>
    </row>
    <row r="383" spans="1:16">
      <c r="A383" s="41" t="str">
        <f>_xlfn.TEXTJOIN("",TRUE,Input!$B$2,ROW(My_Audit!A382))</f>
        <v>X382</v>
      </c>
      <c r="P383" s="41" t="str">
        <f t="shared" si="5"/>
        <v/>
      </c>
    </row>
    <row r="384" spans="1:16">
      <c r="A384" s="41" t="str">
        <f>_xlfn.TEXTJOIN("",TRUE,Input!$B$2,ROW(My_Audit!A383))</f>
        <v>X383</v>
      </c>
      <c r="P384" s="41" t="str">
        <f t="shared" si="5"/>
        <v/>
      </c>
    </row>
    <row r="385" spans="1:16">
      <c r="A385" s="41" t="str">
        <f>_xlfn.TEXTJOIN("",TRUE,Input!$B$2,ROW(My_Audit!A384))</f>
        <v>X384</v>
      </c>
      <c r="P385" s="41" t="str">
        <f t="shared" si="5"/>
        <v/>
      </c>
    </row>
    <row r="386" spans="1:16">
      <c r="A386" s="41" t="str">
        <f>_xlfn.TEXTJOIN("",TRUE,Input!$B$2,ROW(My_Audit!A385))</f>
        <v>X385</v>
      </c>
      <c r="P386" s="41" t="str">
        <f t="shared" si="5"/>
        <v/>
      </c>
    </row>
    <row r="387" spans="1:16">
      <c r="A387" s="41" t="str">
        <f>_xlfn.TEXTJOIN("",TRUE,Input!$B$2,ROW(My_Audit!A386))</f>
        <v>X386</v>
      </c>
      <c r="P387" s="41" t="str">
        <f t="shared" ref="P387:P450" si="6">_xlfn.TEXTJOIN(", ",TRUE,N387,O387)</f>
        <v/>
      </c>
    </row>
    <row r="388" spans="1:16">
      <c r="A388" s="41" t="str">
        <f>_xlfn.TEXTJOIN("",TRUE,Input!$B$2,ROW(My_Audit!A387))</f>
        <v>X387</v>
      </c>
      <c r="P388" s="41" t="str">
        <f t="shared" si="6"/>
        <v/>
      </c>
    </row>
    <row r="389" spans="1:16">
      <c r="A389" s="41" t="str">
        <f>_xlfn.TEXTJOIN("",TRUE,Input!$B$2,ROW(My_Audit!A388))</f>
        <v>X388</v>
      </c>
      <c r="P389" s="41" t="str">
        <f t="shared" si="6"/>
        <v/>
      </c>
    </row>
    <row r="390" spans="1:16">
      <c r="A390" s="41" t="str">
        <f>_xlfn.TEXTJOIN("",TRUE,Input!$B$2,ROW(My_Audit!A389))</f>
        <v>X389</v>
      </c>
      <c r="P390" s="41" t="str">
        <f t="shared" si="6"/>
        <v/>
      </c>
    </row>
    <row r="391" spans="1:16">
      <c r="A391" s="41" t="str">
        <f>_xlfn.TEXTJOIN("",TRUE,Input!$B$2,ROW(My_Audit!A390))</f>
        <v>X390</v>
      </c>
      <c r="P391" s="41" t="str">
        <f t="shared" si="6"/>
        <v/>
      </c>
    </row>
    <row r="392" spans="1:16">
      <c r="A392" s="41" t="str">
        <f>_xlfn.TEXTJOIN("",TRUE,Input!$B$2,ROW(My_Audit!A391))</f>
        <v>X391</v>
      </c>
      <c r="P392" s="41" t="str">
        <f t="shared" si="6"/>
        <v/>
      </c>
    </row>
    <row r="393" spans="1:16">
      <c r="A393" s="41" t="str">
        <f>_xlfn.TEXTJOIN("",TRUE,Input!$B$2,ROW(My_Audit!A392))</f>
        <v>X392</v>
      </c>
      <c r="P393" s="41" t="str">
        <f t="shared" si="6"/>
        <v/>
      </c>
    </row>
    <row r="394" spans="1:16">
      <c r="A394" s="41" t="str">
        <f>_xlfn.TEXTJOIN("",TRUE,Input!$B$2,ROW(My_Audit!A393))</f>
        <v>X393</v>
      </c>
      <c r="P394" s="41" t="str">
        <f t="shared" si="6"/>
        <v/>
      </c>
    </row>
    <row r="395" spans="1:16">
      <c r="A395" s="41" t="str">
        <f>_xlfn.TEXTJOIN("",TRUE,Input!$B$2,ROW(My_Audit!A394))</f>
        <v>X394</v>
      </c>
      <c r="P395" s="41" t="str">
        <f t="shared" si="6"/>
        <v/>
      </c>
    </row>
    <row r="396" spans="1:16">
      <c r="A396" s="41" t="str">
        <f>_xlfn.TEXTJOIN("",TRUE,Input!$B$2,ROW(My_Audit!A395))</f>
        <v>X395</v>
      </c>
      <c r="P396" s="41" t="str">
        <f t="shared" si="6"/>
        <v/>
      </c>
    </row>
    <row r="397" spans="1:16">
      <c r="A397" s="41" t="str">
        <f>_xlfn.TEXTJOIN("",TRUE,Input!$B$2,ROW(My_Audit!A396))</f>
        <v>X396</v>
      </c>
      <c r="P397" s="41" t="str">
        <f t="shared" si="6"/>
        <v/>
      </c>
    </row>
    <row r="398" spans="1:16">
      <c r="A398" s="41" t="str">
        <f>_xlfn.TEXTJOIN("",TRUE,Input!$B$2,ROW(My_Audit!A397))</f>
        <v>X397</v>
      </c>
      <c r="P398" s="41" t="str">
        <f t="shared" si="6"/>
        <v/>
      </c>
    </row>
    <row r="399" spans="1:16">
      <c r="A399" s="41" t="str">
        <f>_xlfn.TEXTJOIN("",TRUE,Input!$B$2,ROW(My_Audit!A398))</f>
        <v>X398</v>
      </c>
      <c r="P399" s="41" t="str">
        <f t="shared" si="6"/>
        <v/>
      </c>
    </row>
    <row r="400" spans="1:16">
      <c r="A400" s="41" t="str">
        <f>_xlfn.TEXTJOIN("",TRUE,Input!$B$2,ROW(My_Audit!A399))</f>
        <v>X399</v>
      </c>
      <c r="P400" s="41" t="str">
        <f t="shared" si="6"/>
        <v/>
      </c>
    </row>
    <row r="401" spans="1:16">
      <c r="A401" s="41" t="str">
        <f>_xlfn.TEXTJOIN("",TRUE,Input!$B$2,ROW(My_Audit!A400))</f>
        <v>X400</v>
      </c>
      <c r="P401" s="41" t="str">
        <f t="shared" si="6"/>
        <v/>
      </c>
    </row>
    <row r="402" spans="1:16">
      <c r="A402" s="41" t="str">
        <f>_xlfn.TEXTJOIN("",TRUE,Input!$B$2,ROW(My_Audit!A401))</f>
        <v>X401</v>
      </c>
      <c r="P402" s="41" t="str">
        <f t="shared" si="6"/>
        <v/>
      </c>
    </row>
    <row r="403" spans="1:16">
      <c r="A403" s="41" t="str">
        <f>_xlfn.TEXTJOIN("",TRUE,Input!$B$2,ROW(My_Audit!A402))</f>
        <v>X402</v>
      </c>
      <c r="P403" s="41" t="str">
        <f t="shared" si="6"/>
        <v/>
      </c>
    </row>
    <row r="404" spans="1:16">
      <c r="A404" s="41" t="str">
        <f>_xlfn.TEXTJOIN("",TRUE,Input!$B$2,ROW(My_Audit!A403))</f>
        <v>X403</v>
      </c>
      <c r="P404" s="41" t="str">
        <f t="shared" si="6"/>
        <v/>
      </c>
    </row>
    <row r="405" spans="1:16">
      <c r="A405" s="41" t="str">
        <f>_xlfn.TEXTJOIN("",TRUE,Input!$B$2,ROW(My_Audit!A404))</f>
        <v>X404</v>
      </c>
      <c r="P405" s="41" t="str">
        <f t="shared" si="6"/>
        <v/>
      </c>
    </row>
    <row r="406" spans="1:16">
      <c r="A406" s="41" t="str">
        <f>_xlfn.TEXTJOIN("",TRUE,Input!$B$2,ROW(My_Audit!A405))</f>
        <v>X405</v>
      </c>
      <c r="P406" s="41" t="str">
        <f t="shared" si="6"/>
        <v/>
      </c>
    </row>
    <row r="407" spans="1:16">
      <c r="A407" s="41" t="str">
        <f>_xlfn.TEXTJOIN("",TRUE,Input!$B$2,ROW(My_Audit!A406))</f>
        <v>X406</v>
      </c>
      <c r="P407" s="41" t="str">
        <f t="shared" si="6"/>
        <v/>
      </c>
    </row>
    <row r="408" spans="1:16">
      <c r="A408" s="41" t="str">
        <f>_xlfn.TEXTJOIN("",TRUE,Input!$B$2,ROW(My_Audit!A407))</f>
        <v>X407</v>
      </c>
      <c r="P408" s="41" t="str">
        <f t="shared" si="6"/>
        <v/>
      </c>
    </row>
    <row r="409" spans="1:16">
      <c r="A409" s="41" t="str">
        <f>_xlfn.TEXTJOIN("",TRUE,Input!$B$2,ROW(My_Audit!A408))</f>
        <v>X408</v>
      </c>
      <c r="P409" s="41" t="str">
        <f t="shared" si="6"/>
        <v/>
      </c>
    </row>
    <row r="410" spans="1:16">
      <c r="A410" s="41" t="str">
        <f>_xlfn.TEXTJOIN("",TRUE,Input!$B$2,ROW(My_Audit!A409))</f>
        <v>X409</v>
      </c>
      <c r="P410" s="41" t="str">
        <f t="shared" si="6"/>
        <v/>
      </c>
    </row>
    <row r="411" spans="1:16">
      <c r="A411" s="41" t="str">
        <f>_xlfn.TEXTJOIN("",TRUE,Input!$B$2,ROW(My_Audit!A410))</f>
        <v>X410</v>
      </c>
      <c r="P411" s="41" t="str">
        <f t="shared" si="6"/>
        <v/>
      </c>
    </row>
    <row r="412" spans="1:16">
      <c r="A412" s="41" t="str">
        <f>_xlfn.TEXTJOIN("",TRUE,Input!$B$2,ROW(My_Audit!A411))</f>
        <v>X411</v>
      </c>
      <c r="P412" s="41" t="str">
        <f t="shared" si="6"/>
        <v/>
      </c>
    </row>
    <row r="413" spans="1:16">
      <c r="A413" s="41" t="str">
        <f>_xlfn.TEXTJOIN("",TRUE,Input!$B$2,ROW(My_Audit!A412))</f>
        <v>X412</v>
      </c>
      <c r="P413" s="41" t="str">
        <f t="shared" si="6"/>
        <v/>
      </c>
    </row>
    <row r="414" spans="1:16">
      <c r="A414" s="41" t="str">
        <f>_xlfn.TEXTJOIN("",TRUE,Input!$B$2,ROW(My_Audit!A413))</f>
        <v>X413</v>
      </c>
      <c r="P414" s="41" t="str">
        <f t="shared" si="6"/>
        <v/>
      </c>
    </row>
    <row r="415" spans="1:16">
      <c r="A415" s="41" t="str">
        <f>_xlfn.TEXTJOIN("",TRUE,Input!$B$2,ROW(My_Audit!A414))</f>
        <v>X414</v>
      </c>
      <c r="P415" s="41" t="str">
        <f t="shared" si="6"/>
        <v/>
      </c>
    </row>
    <row r="416" spans="1:16">
      <c r="A416" s="41" t="str">
        <f>_xlfn.TEXTJOIN("",TRUE,Input!$B$2,ROW(My_Audit!A415))</f>
        <v>X415</v>
      </c>
      <c r="P416" s="41" t="str">
        <f t="shared" si="6"/>
        <v/>
      </c>
    </row>
    <row r="417" spans="1:16">
      <c r="A417" s="41" t="str">
        <f>_xlfn.TEXTJOIN("",TRUE,Input!$B$2,ROW(My_Audit!A416))</f>
        <v>X416</v>
      </c>
      <c r="P417" s="41" t="str">
        <f t="shared" si="6"/>
        <v/>
      </c>
    </row>
    <row r="418" spans="1:16">
      <c r="A418" s="41" t="str">
        <f>_xlfn.TEXTJOIN("",TRUE,Input!$B$2,ROW(My_Audit!A417))</f>
        <v>X417</v>
      </c>
      <c r="P418" s="41" t="str">
        <f t="shared" si="6"/>
        <v/>
      </c>
    </row>
    <row r="419" spans="1:16">
      <c r="A419" s="41" t="str">
        <f>_xlfn.TEXTJOIN("",TRUE,Input!$B$2,ROW(My_Audit!A418))</f>
        <v>X418</v>
      </c>
      <c r="P419" s="41" t="str">
        <f t="shared" si="6"/>
        <v/>
      </c>
    </row>
    <row r="420" spans="1:16">
      <c r="A420" s="41" t="str">
        <f>_xlfn.TEXTJOIN("",TRUE,Input!$B$2,ROW(My_Audit!A419))</f>
        <v>X419</v>
      </c>
      <c r="P420" s="41" t="str">
        <f t="shared" si="6"/>
        <v/>
      </c>
    </row>
    <row r="421" spans="1:16">
      <c r="A421" s="41" t="str">
        <f>_xlfn.TEXTJOIN("",TRUE,Input!$B$2,ROW(My_Audit!A420))</f>
        <v>X420</v>
      </c>
      <c r="P421" s="41" t="str">
        <f t="shared" si="6"/>
        <v/>
      </c>
    </row>
    <row r="422" spans="1:16">
      <c r="A422" s="41" t="str">
        <f>_xlfn.TEXTJOIN("",TRUE,Input!$B$2,ROW(My_Audit!A421))</f>
        <v>X421</v>
      </c>
      <c r="P422" s="41" t="str">
        <f t="shared" si="6"/>
        <v/>
      </c>
    </row>
    <row r="423" spans="1:16">
      <c r="A423" s="41" t="str">
        <f>_xlfn.TEXTJOIN("",TRUE,Input!$B$2,ROW(My_Audit!A422))</f>
        <v>X422</v>
      </c>
      <c r="P423" s="41" t="str">
        <f t="shared" si="6"/>
        <v/>
      </c>
    </row>
    <row r="424" spans="1:16">
      <c r="A424" s="41" t="str">
        <f>_xlfn.TEXTJOIN("",TRUE,Input!$B$2,ROW(My_Audit!A423))</f>
        <v>X423</v>
      </c>
      <c r="P424" s="41" t="str">
        <f t="shared" si="6"/>
        <v/>
      </c>
    </row>
    <row r="425" spans="1:16">
      <c r="A425" s="41" t="str">
        <f>_xlfn.TEXTJOIN("",TRUE,Input!$B$2,ROW(My_Audit!A424))</f>
        <v>X424</v>
      </c>
      <c r="P425" s="41" t="str">
        <f t="shared" si="6"/>
        <v/>
      </c>
    </row>
    <row r="426" spans="1:16">
      <c r="A426" s="41" t="str">
        <f>_xlfn.TEXTJOIN("",TRUE,Input!$B$2,ROW(My_Audit!A425))</f>
        <v>X425</v>
      </c>
      <c r="P426" s="41" t="str">
        <f t="shared" si="6"/>
        <v/>
      </c>
    </row>
    <row r="427" spans="1:16">
      <c r="A427" s="41" t="str">
        <f>_xlfn.TEXTJOIN("",TRUE,Input!$B$2,ROW(My_Audit!A426))</f>
        <v>X426</v>
      </c>
      <c r="P427" s="41" t="str">
        <f t="shared" si="6"/>
        <v/>
      </c>
    </row>
    <row r="428" spans="1:16">
      <c r="A428" s="41" t="str">
        <f>_xlfn.TEXTJOIN("",TRUE,Input!$B$2,ROW(My_Audit!A427))</f>
        <v>X427</v>
      </c>
      <c r="P428" s="41" t="str">
        <f t="shared" si="6"/>
        <v/>
      </c>
    </row>
    <row r="429" spans="1:16">
      <c r="A429" s="41" t="str">
        <f>_xlfn.TEXTJOIN("",TRUE,Input!$B$2,ROW(My_Audit!A428))</f>
        <v>X428</v>
      </c>
      <c r="P429" s="41" t="str">
        <f t="shared" si="6"/>
        <v/>
      </c>
    </row>
    <row r="430" spans="1:16">
      <c r="A430" s="41" t="str">
        <f>_xlfn.TEXTJOIN("",TRUE,Input!$B$2,ROW(My_Audit!A429))</f>
        <v>X429</v>
      </c>
      <c r="P430" s="41" t="str">
        <f t="shared" si="6"/>
        <v/>
      </c>
    </row>
    <row r="431" spans="1:16">
      <c r="A431" s="41" t="str">
        <f>_xlfn.TEXTJOIN("",TRUE,Input!$B$2,ROW(My_Audit!A430))</f>
        <v>X430</v>
      </c>
      <c r="P431" s="41" t="str">
        <f t="shared" si="6"/>
        <v/>
      </c>
    </row>
    <row r="432" spans="1:16">
      <c r="A432" s="41" t="str">
        <f>_xlfn.TEXTJOIN("",TRUE,Input!$B$2,ROW(My_Audit!A431))</f>
        <v>X431</v>
      </c>
      <c r="P432" s="41" t="str">
        <f t="shared" si="6"/>
        <v/>
      </c>
    </row>
    <row r="433" spans="1:16">
      <c r="A433" s="41" t="str">
        <f>_xlfn.TEXTJOIN("",TRUE,Input!$B$2,ROW(My_Audit!A432))</f>
        <v>X432</v>
      </c>
      <c r="P433" s="41" t="str">
        <f t="shared" si="6"/>
        <v/>
      </c>
    </row>
    <row r="434" spans="1:16">
      <c r="A434" s="41" t="str">
        <f>_xlfn.TEXTJOIN("",TRUE,Input!$B$2,ROW(My_Audit!A433))</f>
        <v>X433</v>
      </c>
      <c r="P434" s="41" t="str">
        <f t="shared" si="6"/>
        <v/>
      </c>
    </row>
    <row r="435" spans="1:16">
      <c r="A435" s="41" t="str">
        <f>_xlfn.TEXTJOIN("",TRUE,Input!$B$2,ROW(My_Audit!A434))</f>
        <v>X434</v>
      </c>
      <c r="P435" s="41" t="str">
        <f t="shared" si="6"/>
        <v/>
      </c>
    </row>
    <row r="436" spans="1:16">
      <c r="A436" s="41" t="str">
        <f>_xlfn.TEXTJOIN("",TRUE,Input!$B$2,ROW(My_Audit!A435))</f>
        <v>X435</v>
      </c>
      <c r="P436" s="41" t="str">
        <f t="shared" si="6"/>
        <v/>
      </c>
    </row>
    <row r="437" spans="1:16">
      <c r="A437" s="41" t="str">
        <f>_xlfn.TEXTJOIN("",TRUE,Input!$B$2,ROW(My_Audit!A436))</f>
        <v>X436</v>
      </c>
      <c r="P437" s="41" t="str">
        <f t="shared" si="6"/>
        <v/>
      </c>
    </row>
    <row r="438" spans="1:16">
      <c r="A438" s="41" t="str">
        <f>_xlfn.TEXTJOIN("",TRUE,Input!$B$2,ROW(My_Audit!A437))</f>
        <v>X437</v>
      </c>
      <c r="P438" s="41" t="str">
        <f t="shared" si="6"/>
        <v/>
      </c>
    </row>
    <row r="439" spans="1:16">
      <c r="A439" s="41" t="str">
        <f>_xlfn.TEXTJOIN("",TRUE,Input!$B$2,ROW(My_Audit!A438))</f>
        <v>X438</v>
      </c>
      <c r="P439" s="41" t="str">
        <f t="shared" si="6"/>
        <v/>
      </c>
    </row>
    <row r="440" spans="1:16">
      <c r="A440" s="41" t="str">
        <f>_xlfn.TEXTJOIN("",TRUE,Input!$B$2,ROW(My_Audit!A439))</f>
        <v>X439</v>
      </c>
      <c r="P440" s="41" t="str">
        <f t="shared" si="6"/>
        <v/>
      </c>
    </row>
    <row r="441" spans="1:16">
      <c r="A441" s="41" t="str">
        <f>_xlfn.TEXTJOIN("",TRUE,Input!$B$2,ROW(My_Audit!A440))</f>
        <v>X440</v>
      </c>
      <c r="P441" s="41" t="str">
        <f t="shared" si="6"/>
        <v/>
      </c>
    </row>
    <row r="442" spans="1:16">
      <c r="A442" s="41" t="str">
        <f>_xlfn.TEXTJOIN("",TRUE,Input!$B$2,ROW(My_Audit!A441))</f>
        <v>X441</v>
      </c>
      <c r="P442" s="41" t="str">
        <f t="shared" si="6"/>
        <v/>
      </c>
    </row>
    <row r="443" spans="1:16">
      <c r="A443" s="41" t="str">
        <f>_xlfn.TEXTJOIN("",TRUE,Input!$B$2,ROW(My_Audit!A442))</f>
        <v>X442</v>
      </c>
      <c r="P443" s="41" t="str">
        <f t="shared" si="6"/>
        <v/>
      </c>
    </row>
    <row r="444" spans="1:16">
      <c r="A444" s="41" t="str">
        <f>_xlfn.TEXTJOIN("",TRUE,Input!$B$2,ROW(My_Audit!A443))</f>
        <v>X443</v>
      </c>
      <c r="P444" s="41" t="str">
        <f t="shared" si="6"/>
        <v/>
      </c>
    </row>
    <row r="445" spans="1:16">
      <c r="A445" s="41" t="str">
        <f>_xlfn.TEXTJOIN("",TRUE,Input!$B$2,ROW(My_Audit!A444))</f>
        <v>X444</v>
      </c>
      <c r="P445" s="41" t="str">
        <f t="shared" si="6"/>
        <v/>
      </c>
    </row>
    <row r="446" spans="1:16">
      <c r="A446" s="41" t="str">
        <f>_xlfn.TEXTJOIN("",TRUE,Input!$B$2,ROW(My_Audit!A445))</f>
        <v>X445</v>
      </c>
      <c r="P446" s="41" t="str">
        <f t="shared" si="6"/>
        <v/>
      </c>
    </row>
    <row r="447" spans="1:16">
      <c r="A447" s="41" t="str">
        <f>_xlfn.TEXTJOIN("",TRUE,Input!$B$2,ROW(My_Audit!A446))</f>
        <v>X446</v>
      </c>
      <c r="P447" s="41" t="str">
        <f t="shared" si="6"/>
        <v/>
      </c>
    </row>
    <row r="448" spans="1:16">
      <c r="A448" s="41" t="str">
        <f>_xlfn.TEXTJOIN("",TRUE,Input!$B$2,ROW(My_Audit!A447))</f>
        <v>X447</v>
      </c>
      <c r="P448" s="41" t="str">
        <f t="shared" si="6"/>
        <v/>
      </c>
    </row>
    <row r="449" spans="1:16">
      <c r="A449" s="41" t="str">
        <f>_xlfn.TEXTJOIN("",TRUE,Input!$B$2,ROW(My_Audit!A448))</f>
        <v>X448</v>
      </c>
      <c r="P449" s="41" t="str">
        <f t="shared" si="6"/>
        <v/>
      </c>
    </row>
    <row r="450" spans="1:16">
      <c r="A450" s="41" t="str">
        <f>_xlfn.TEXTJOIN("",TRUE,Input!$B$2,ROW(My_Audit!A449))</f>
        <v>X449</v>
      </c>
      <c r="P450" s="41" t="str">
        <f t="shared" si="6"/>
        <v/>
      </c>
    </row>
    <row r="451" spans="1:16">
      <c r="A451" s="41" t="str">
        <f>_xlfn.TEXTJOIN("",TRUE,Input!$B$2,ROW(My_Audit!A450))</f>
        <v>X450</v>
      </c>
      <c r="P451" s="41" t="str">
        <f>_xlfn.TEXTJOIN(", ",TRUE,N451,O451)</f>
        <v/>
      </c>
    </row>
    <row r="452" spans="1:16">
      <c r="A452" s="41" t="str">
        <f>_xlfn.TEXTJOIN("",TRUE,Input!$B$2,ROW(My_Audit!A451))</f>
        <v>X451</v>
      </c>
      <c r="P452" s="41" t="str">
        <f>_xlfn.TEXTJOIN(", ",TRUE,N452,O452)</f>
        <v/>
      </c>
    </row>
    <row r="453" spans="1:16">
      <c r="A453" s="41" t="str">
        <f>_xlfn.TEXTJOIN("",TRUE,Input!$B$2,ROW(My_Audit!A452))</f>
        <v>X452</v>
      </c>
      <c r="P453" s="41" t="str">
        <f>_xlfn.TEXTJOIN(", ",TRUE,N453,O453)</f>
        <v/>
      </c>
    </row>
    <row r="454" spans="1:16">
      <c r="A454" s="41" t="str">
        <f>_xlfn.TEXTJOIN("",TRUE,Input!$B$2,ROW(My_Audit!A453))</f>
        <v>X453</v>
      </c>
      <c r="P454" s="41" t="str">
        <f>_xlfn.TEXTJOIN(", ",TRUE,N454,O454)</f>
        <v/>
      </c>
    </row>
    <row r="455" spans="1:16">
      <c r="A455" s="41" t="str">
        <f>_xlfn.TEXTJOIN("",TRUE,Input!$B$2,ROW(My_Audit!A454))</f>
        <v>X454</v>
      </c>
      <c r="P455" s="41" t="str">
        <f>_xlfn.TEXTJOIN(", ",TRUE,N455,O455)</f>
        <v/>
      </c>
    </row>
  </sheetData>
  <phoneticPr fontId="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6252-D64F-4C71-A887-23E8A9710AD7}">
  <sheetPr codeName="Sheet3">
    <tabColor theme="3" tint="0.499984740745262"/>
  </sheetPr>
  <dimension ref="A1:AP101"/>
  <sheetViews>
    <sheetView workbookViewId="0">
      <selection activeCell="C3" sqref="C3:C97"/>
    </sheetView>
  </sheetViews>
  <sheetFormatPr defaultRowHeight="15"/>
  <cols>
    <col min="1" max="1" width="144.7109375" bestFit="1" customWidth="1"/>
    <col min="2" max="2" width="11.7109375" customWidth="1"/>
    <col min="3" max="3" width="20.7109375" customWidth="1"/>
    <col min="4" max="4" width="16.7109375" customWidth="1"/>
    <col min="5" max="5" width="22.42578125" customWidth="1"/>
    <col min="6" max="6" width="21.42578125" customWidth="1"/>
    <col min="7" max="7" width="11.7109375" customWidth="1"/>
    <col min="8" max="8" width="18.28515625" customWidth="1"/>
    <col min="9" max="9" width="36.28515625" bestFit="1" customWidth="1"/>
    <col min="10" max="10" width="15.28515625" customWidth="1"/>
    <col min="11" max="11" width="19.85546875" bestFit="1" customWidth="1"/>
    <col min="12" max="12" width="33.85546875" bestFit="1" customWidth="1"/>
    <col min="13" max="13" width="13.5703125" customWidth="1"/>
    <col min="14" max="14" width="22.85546875" customWidth="1"/>
    <col min="15" max="15" width="24.5703125" customWidth="1"/>
    <col min="16" max="16" width="15.42578125" customWidth="1"/>
    <col min="17" max="17" width="22.7109375" customWidth="1"/>
    <col min="18" max="18" width="32.5703125" customWidth="1"/>
    <col min="19" max="19" width="35.42578125" bestFit="1" customWidth="1"/>
    <col min="20" max="20" width="46" bestFit="1" customWidth="1"/>
    <col min="21" max="21" width="23.85546875" bestFit="1" customWidth="1"/>
    <col min="22" max="22" width="38.42578125" bestFit="1" customWidth="1"/>
    <col min="23" max="23" width="15" customWidth="1"/>
    <col min="24" max="24" width="20.140625" customWidth="1"/>
    <col min="25" max="25" width="24.7109375" style="18" bestFit="1" customWidth="1"/>
    <col min="26" max="26" width="34.5703125" bestFit="1" customWidth="1"/>
    <col min="27" max="27" width="49" bestFit="1" customWidth="1"/>
    <col min="28" max="28" width="17.42578125" customWidth="1"/>
    <col min="29" max="29" width="64.5703125" bestFit="1" customWidth="1"/>
    <col min="30" max="30" width="19.85546875" customWidth="1"/>
    <col min="31" max="31" width="38.28515625" bestFit="1" customWidth="1"/>
  </cols>
  <sheetData>
    <row r="1" spans="1:32">
      <c r="A1" s="34" t="s">
        <v>62</v>
      </c>
      <c r="B1" t="s">
        <v>63</v>
      </c>
      <c r="C1" s="34" t="s">
        <v>64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33</v>
      </c>
      <c r="N1" t="s">
        <v>34</v>
      </c>
      <c r="O1" t="s">
        <v>35</v>
      </c>
      <c r="P1" t="s">
        <v>527</v>
      </c>
      <c r="Q1" t="s">
        <v>522</v>
      </c>
      <c r="R1" t="s">
        <v>36</v>
      </c>
      <c r="S1" t="s">
        <v>37</v>
      </c>
      <c r="T1" t="s">
        <v>38</v>
      </c>
      <c r="U1" t="s">
        <v>39</v>
      </c>
      <c r="V1" t="s">
        <v>40</v>
      </c>
      <c r="W1" t="s">
        <v>41</v>
      </c>
      <c r="X1" t="s">
        <v>42</v>
      </c>
      <c r="Y1" t="s">
        <v>43</v>
      </c>
      <c r="Z1" t="s">
        <v>44</v>
      </c>
      <c r="AA1" t="s">
        <v>45</v>
      </c>
      <c r="AB1" t="s">
        <v>46</v>
      </c>
      <c r="AC1" t="s">
        <v>47</v>
      </c>
      <c r="AD1" t="s">
        <v>48</v>
      </c>
      <c r="AE1" t="s">
        <v>49</v>
      </c>
      <c r="AF1" t="s">
        <v>534</v>
      </c>
    </row>
    <row r="2" spans="1:32">
      <c r="A2" s="34"/>
      <c r="B2" s="34" t="s">
        <v>558</v>
      </c>
      <c r="C2" s="34" t="s">
        <v>558</v>
      </c>
      <c r="Y2"/>
    </row>
    <row r="3" spans="1:32">
      <c r="B3" s="45" t="s">
        <v>22</v>
      </c>
      <c r="C3" s="46" t="s">
        <v>23</v>
      </c>
      <c r="Y3"/>
    </row>
    <row r="4" spans="1:32">
      <c r="B4" s="45"/>
      <c r="C4" s="46"/>
      <c r="Y4"/>
    </row>
    <row r="5" spans="1:32">
      <c r="B5" s="45"/>
      <c r="C5" s="46"/>
      <c r="Y5"/>
    </row>
    <row r="6" spans="1:32">
      <c r="B6" s="45"/>
      <c r="C6" s="46"/>
      <c r="Y6"/>
    </row>
    <row r="7" spans="1:32">
      <c r="B7" s="45"/>
      <c r="C7" s="46"/>
      <c r="Y7"/>
    </row>
    <row r="8" spans="1:32">
      <c r="B8" s="45"/>
      <c r="C8" s="46"/>
      <c r="Y8"/>
    </row>
    <row r="9" spans="1:32">
      <c r="B9" s="45"/>
      <c r="C9" s="46"/>
      <c r="Y9"/>
    </row>
    <row r="10" spans="1:32">
      <c r="B10" s="45"/>
      <c r="C10" s="46"/>
      <c r="Y10"/>
    </row>
    <row r="11" spans="1:32">
      <c r="B11" s="45"/>
      <c r="C11" s="46"/>
      <c r="Y11"/>
    </row>
    <row r="12" spans="1:32">
      <c r="B12" s="45"/>
      <c r="C12" s="46"/>
      <c r="Y12"/>
    </row>
    <row r="13" spans="1:32">
      <c r="B13" s="45"/>
      <c r="C13" s="46"/>
      <c r="Y13"/>
      <c r="AD13" s="4"/>
    </row>
    <row r="14" spans="1:32">
      <c r="B14" s="45"/>
      <c r="C14" s="46"/>
      <c r="Y14"/>
    </row>
    <row r="15" spans="1:32">
      <c r="B15" s="45"/>
      <c r="C15" s="46"/>
      <c r="Y15"/>
    </row>
    <row r="16" spans="1:32">
      <c r="B16" s="45"/>
      <c r="C16" s="46"/>
      <c r="Y16"/>
    </row>
    <row r="17" spans="2:38">
      <c r="B17" s="45"/>
      <c r="C17" s="46"/>
      <c r="Y17"/>
    </row>
    <row r="18" spans="2:38">
      <c r="B18" s="45"/>
      <c r="C18" s="46"/>
      <c r="Y18"/>
    </row>
    <row r="19" spans="2:38">
      <c r="B19" s="45"/>
      <c r="C19" s="46"/>
      <c r="Y19"/>
    </row>
    <row r="20" spans="2:38">
      <c r="B20" s="45"/>
      <c r="C20" s="46"/>
      <c r="Y20"/>
    </row>
    <row r="21" spans="2:38">
      <c r="B21" s="45"/>
      <c r="C21" s="46"/>
      <c r="Y21"/>
    </row>
    <row r="22" spans="2:38">
      <c r="B22" s="45"/>
      <c r="C22" s="46"/>
      <c r="Y22"/>
    </row>
    <row r="23" spans="2:38">
      <c r="B23" s="45"/>
      <c r="C23" s="46"/>
      <c r="Y23"/>
    </row>
    <row r="24" spans="2:38">
      <c r="B24" s="45"/>
      <c r="C24" s="46"/>
      <c r="Y24"/>
    </row>
    <row r="25" spans="2:38">
      <c r="B25" s="45"/>
      <c r="C25" s="46"/>
      <c r="Y25"/>
      <c r="AL25" s="3"/>
    </row>
    <row r="26" spans="2:38">
      <c r="B26" s="45"/>
      <c r="C26" s="46"/>
      <c r="Y26"/>
      <c r="AL26" s="3"/>
    </row>
    <row r="27" spans="2:38">
      <c r="B27" s="45"/>
      <c r="C27" s="46"/>
      <c r="Y27"/>
      <c r="AL27" s="3"/>
    </row>
    <row r="28" spans="2:38">
      <c r="B28" s="45"/>
      <c r="C28" s="46"/>
      <c r="Y28"/>
      <c r="AL28" s="3"/>
    </row>
    <row r="29" spans="2:38">
      <c r="B29" s="45"/>
      <c r="C29" s="46"/>
      <c r="Y29"/>
      <c r="AL29" s="3"/>
    </row>
    <row r="30" spans="2:38">
      <c r="B30" s="45"/>
      <c r="C30" s="46"/>
      <c r="Y30"/>
    </row>
    <row r="31" spans="2:38">
      <c r="B31" s="45"/>
      <c r="C31" s="46"/>
      <c r="Y31"/>
      <c r="AL31" s="3"/>
    </row>
    <row r="32" spans="2:38">
      <c r="B32" s="45"/>
      <c r="C32" s="46"/>
      <c r="Y32"/>
    </row>
    <row r="33" spans="2:42">
      <c r="B33" s="45"/>
      <c r="C33" s="46"/>
      <c r="Y33"/>
      <c r="AL33" s="3"/>
    </row>
    <row r="34" spans="2:42">
      <c r="B34" s="45"/>
      <c r="C34" s="46"/>
      <c r="Y34"/>
      <c r="AL34" s="3"/>
    </row>
    <row r="35" spans="2:42">
      <c r="B35" s="45"/>
      <c r="C35" s="46"/>
      <c r="Y35"/>
      <c r="AL35" s="3"/>
    </row>
    <row r="36" spans="2:42">
      <c r="B36" s="45"/>
      <c r="C36" s="46"/>
      <c r="Y36"/>
      <c r="AL36" s="3"/>
    </row>
    <row r="37" spans="2:42">
      <c r="B37" s="45"/>
      <c r="C37" s="46"/>
      <c r="Y37"/>
    </row>
    <row r="38" spans="2:42">
      <c r="B38" s="45"/>
      <c r="C38" s="46"/>
      <c r="Y38"/>
      <c r="AL38" s="3"/>
    </row>
    <row r="39" spans="2:42">
      <c r="B39" s="45"/>
      <c r="C39" s="46"/>
      <c r="Y39"/>
      <c r="AL39" s="3"/>
    </row>
    <row r="40" spans="2:42">
      <c r="B40" s="45"/>
      <c r="C40" s="46"/>
      <c r="Y40"/>
      <c r="AL40" s="3"/>
    </row>
    <row r="41" spans="2:42">
      <c r="B41" s="45"/>
      <c r="C41" s="46"/>
      <c r="Y41"/>
      <c r="AL41" s="3"/>
    </row>
    <row r="42" spans="2:42">
      <c r="B42" s="45"/>
      <c r="C42" s="46"/>
      <c r="Y42"/>
      <c r="AL42" s="3"/>
    </row>
    <row r="43" spans="2:42">
      <c r="B43" s="45"/>
      <c r="C43" s="46"/>
      <c r="Y43"/>
      <c r="AP43" s="4"/>
    </row>
    <row r="44" spans="2:42">
      <c r="B44" s="45"/>
      <c r="C44" s="46"/>
      <c r="Y44"/>
    </row>
    <row r="45" spans="2:42">
      <c r="B45" s="45"/>
      <c r="C45" s="46"/>
      <c r="Y45"/>
      <c r="AL45" s="3"/>
    </row>
    <row r="46" spans="2:42">
      <c r="B46" s="45"/>
      <c r="C46" s="46"/>
      <c r="Y46"/>
      <c r="AL46" s="3"/>
    </row>
    <row r="47" spans="2:42">
      <c r="B47" s="45"/>
      <c r="C47" s="46"/>
      <c r="Y47"/>
      <c r="AL47" s="3"/>
    </row>
    <row r="48" spans="2:42">
      <c r="B48" s="45"/>
      <c r="C48" s="46"/>
      <c r="Y48"/>
    </row>
    <row r="49" spans="2:38">
      <c r="B49" s="45"/>
      <c r="C49" s="46"/>
      <c r="Y49"/>
      <c r="AL49" s="3"/>
    </row>
    <row r="50" spans="2:38">
      <c r="B50" s="45"/>
      <c r="C50" s="46"/>
      <c r="Y50"/>
      <c r="AL50" s="3"/>
    </row>
    <row r="51" spans="2:38">
      <c r="B51" s="45"/>
      <c r="C51" s="46"/>
      <c r="Y51"/>
      <c r="AL51" s="3"/>
    </row>
    <row r="52" spans="2:38">
      <c r="B52" s="45"/>
      <c r="C52" s="46"/>
      <c r="Y52"/>
      <c r="AL52" s="3"/>
    </row>
    <row r="53" spans="2:38">
      <c r="B53" s="45"/>
      <c r="C53" s="46"/>
      <c r="Y53"/>
    </row>
    <row r="54" spans="2:38">
      <c r="B54" s="45"/>
      <c r="C54" s="46"/>
      <c r="Y54"/>
      <c r="AL54" s="3"/>
    </row>
    <row r="55" spans="2:38">
      <c r="B55" s="45"/>
      <c r="C55" s="46"/>
      <c r="T55" s="30"/>
      <c r="U55" s="30"/>
      <c r="X55" s="18"/>
      <c r="Y55"/>
    </row>
    <row r="56" spans="2:38">
      <c r="B56" s="45"/>
      <c r="C56" s="46"/>
      <c r="T56" s="30"/>
      <c r="U56" s="30"/>
      <c r="X56" s="18"/>
      <c r="Y56"/>
    </row>
    <row r="57" spans="2:38">
      <c r="B57" s="45"/>
      <c r="C57" s="46"/>
      <c r="T57" s="30"/>
      <c r="U57" s="30"/>
      <c r="X57" s="18"/>
      <c r="Y57"/>
    </row>
    <row r="58" spans="2:38">
      <c r="B58" s="45"/>
      <c r="C58" s="46"/>
      <c r="T58" s="30"/>
      <c r="U58" s="30"/>
      <c r="X58" s="18"/>
      <c r="Y58"/>
    </row>
    <row r="59" spans="2:38">
      <c r="B59" s="45"/>
      <c r="C59" s="46"/>
      <c r="T59" s="30"/>
      <c r="U59" s="30"/>
      <c r="X59" s="18"/>
      <c r="Y59"/>
    </row>
    <row r="60" spans="2:38">
      <c r="B60" s="45"/>
      <c r="C60" s="46"/>
      <c r="T60" s="30"/>
      <c r="U60" s="30"/>
      <c r="X60" s="18"/>
      <c r="Y60"/>
    </row>
    <row r="61" spans="2:38">
      <c r="B61" s="45"/>
      <c r="C61" s="46"/>
      <c r="T61" s="30"/>
      <c r="U61" s="30"/>
      <c r="X61" s="18"/>
      <c r="Y61"/>
    </row>
    <row r="62" spans="2:38">
      <c r="B62" s="45"/>
      <c r="C62" s="46"/>
      <c r="T62" s="30"/>
      <c r="U62" s="30"/>
      <c r="X62" s="18"/>
      <c r="Y62"/>
    </row>
    <row r="63" spans="2:38">
      <c r="B63" s="45"/>
      <c r="C63" s="46"/>
      <c r="T63" s="30"/>
      <c r="U63" s="30"/>
      <c r="X63" s="18"/>
      <c r="Y63"/>
    </row>
    <row r="64" spans="2:38">
      <c r="B64" s="45"/>
      <c r="C64" s="46"/>
      <c r="T64" s="30"/>
      <c r="U64" s="30"/>
      <c r="X64" s="18"/>
      <c r="Y64"/>
    </row>
    <row r="65" spans="2:27">
      <c r="B65" s="45"/>
      <c r="C65" s="46"/>
      <c r="T65" s="30"/>
      <c r="U65" s="30"/>
      <c r="X65" s="18"/>
      <c r="Y65"/>
    </row>
    <row r="66" spans="2:27">
      <c r="B66" s="45"/>
      <c r="C66" s="46"/>
      <c r="T66" s="30"/>
      <c r="U66" s="30"/>
      <c r="X66" s="18"/>
      <c r="Y66"/>
    </row>
    <row r="67" spans="2:27">
      <c r="B67" s="45"/>
      <c r="C67" s="46"/>
      <c r="T67" s="30"/>
      <c r="U67" s="30"/>
      <c r="X67" s="18"/>
      <c r="Y67"/>
    </row>
    <row r="68" spans="2:27">
      <c r="B68" s="45"/>
      <c r="C68" s="46"/>
      <c r="T68" s="30"/>
      <c r="U68" s="30"/>
      <c r="X68" s="18"/>
      <c r="Y68"/>
    </row>
    <row r="69" spans="2:27">
      <c r="B69" s="45"/>
      <c r="C69" s="46"/>
      <c r="T69" s="30"/>
      <c r="U69" s="30"/>
      <c r="X69" s="18"/>
      <c r="Y69"/>
    </row>
    <row r="70" spans="2:27">
      <c r="B70" s="45"/>
      <c r="C70" s="46"/>
      <c r="T70" s="30"/>
      <c r="U70" s="30"/>
      <c r="X70" s="18"/>
      <c r="Y70"/>
    </row>
    <row r="71" spans="2:27">
      <c r="B71" s="45"/>
      <c r="C71" s="46"/>
      <c r="T71" s="30"/>
      <c r="U71" s="30"/>
      <c r="X71" s="18"/>
      <c r="Y71"/>
    </row>
    <row r="72" spans="2:27">
      <c r="B72" s="45"/>
      <c r="C72" s="46"/>
      <c r="T72" s="30"/>
      <c r="U72" s="30"/>
      <c r="X72" s="18"/>
      <c r="Y72"/>
      <c r="Z72" s="3"/>
    </row>
    <row r="73" spans="2:27">
      <c r="B73" s="45"/>
      <c r="C73" s="46"/>
      <c r="T73" s="30"/>
      <c r="U73" s="30"/>
      <c r="X73" s="18"/>
      <c r="Y73"/>
    </row>
    <row r="74" spans="2:27">
      <c r="B74" s="45"/>
      <c r="C74" s="46"/>
      <c r="T74" s="30"/>
      <c r="U74" s="30"/>
      <c r="X74" s="18"/>
      <c r="Y74"/>
      <c r="Z74" s="3"/>
    </row>
    <row r="75" spans="2:27">
      <c r="B75" s="45"/>
      <c r="C75" s="46"/>
      <c r="T75" s="30"/>
      <c r="U75" s="30"/>
      <c r="X75" s="18"/>
      <c r="Y75"/>
    </row>
    <row r="76" spans="2:27">
      <c r="B76" s="45"/>
      <c r="C76" s="46"/>
      <c r="U76" s="30"/>
      <c r="V76" s="30"/>
    </row>
    <row r="77" spans="2:27">
      <c r="B77" s="45"/>
      <c r="C77" s="46"/>
      <c r="U77" s="30"/>
      <c r="V77" s="30"/>
      <c r="AA77" s="3"/>
    </row>
    <row r="78" spans="2:27">
      <c r="B78" s="45"/>
      <c r="C78" s="46"/>
      <c r="U78" s="30"/>
      <c r="V78" s="30"/>
    </row>
    <row r="79" spans="2:27">
      <c r="B79" s="45"/>
      <c r="C79" s="46"/>
      <c r="U79" s="30"/>
      <c r="V79" s="30"/>
    </row>
    <row r="80" spans="2:27">
      <c r="B80" s="45"/>
      <c r="C80" s="46"/>
      <c r="U80" s="30"/>
      <c r="V80" s="30"/>
    </row>
    <row r="81" spans="2:27">
      <c r="B81" s="45"/>
      <c r="C81" s="46"/>
      <c r="U81" s="30"/>
      <c r="V81" s="30"/>
    </row>
    <row r="82" spans="2:27">
      <c r="B82" s="45"/>
      <c r="C82" s="46"/>
      <c r="U82" s="30"/>
      <c r="V82" s="30"/>
    </row>
    <row r="83" spans="2:27">
      <c r="B83" s="45"/>
      <c r="C83" s="46"/>
      <c r="U83" s="30"/>
      <c r="V83" s="30"/>
    </row>
    <row r="84" spans="2:27">
      <c r="B84" s="45"/>
      <c r="C84" s="46"/>
      <c r="U84" s="30"/>
      <c r="V84" s="30"/>
    </row>
    <row r="85" spans="2:27">
      <c r="B85" s="45"/>
      <c r="C85" s="46"/>
      <c r="U85" s="30"/>
      <c r="V85" s="30"/>
    </row>
    <row r="86" spans="2:27">
      <c r="B86" s="45"/>
      <c r="C86" s="46"/>
      <c r="U86" s="30"/>
      <c r="V86" s="30"/>
    </row>
    <row r="87" spans="2:27">
      <c r="B87" s="45"/>
      <c r="C87" s="46"/>
      <c r="U87" s="30"/>
      <c r="V87" s="30"/>
    </row>
    <row r="88" spans="2:27">
      <c r="B88" s="45"/>
      <c r="C88" s="46"/>
      <c r="U88" s="30"/>
      <c r="V88" s="30"/>
    </row>
    <row r="89" spans="2:27">
      <c r="B89" s="45"/>
      <c r="C89" s="46"/>
      <c r="U89" s="30"/>
      <c r="V89" s="30"/>
    </row>
    <row r="90" spans="2:27">
      <c r="B90" s="45"/>
      <c r="C90" s="46"/>
      <c r="U90" s="30"/>
      <c r="V90" s="30"/>
    </row>
    <row r="91" spans="2:27">
      <c r="B91" s="45"/>
      <c r="C91" s="46"/>
      <c r="U91" s="30"/>
      <c r="V91" s="30"/>
    </row>
    <row r="92" spans="2:27">
      <c r="B92" s="45"/>
      <c r="C92" s="46"/>
      <c r="U92" s="30"/>
      <c r="V92" s="30"/>
    </row>
    <row r="93" spans="2:27">
      <c r="B93" s="45"/>
      <c r="C93" s="46"/>
      <c r="U93" s="30"/>
      <c r="V93" s="30"/>
      <c r="AA93" s="3"/>
    </row>
    <row r="94" spans="2:27">
      <c r="B94" s="45"/>
      <c r="C94" s="46"/>
      <c r="U94" s="30"/>
      <c r="V94" s="30"/>
    </row>
    <row r="95" spans="2:27">
      <c r="B95" s="45"/>
      <c r="C95" s="46"/>
      <c r="U95" s="30"/>
      <c r="V95" s="30"/>
    </row>
    <row r="96" spans="2:27">
      <c r="B96" s="45"/>
      <c r="C96" s="46"/>
      <c r="U96" s="30"/>
      <c r="V96" s="30"/>
    </row>
    <row r="97" spans="2:22">
      <c r="B97" s="45"/>
      <c r="C97" s="46"/>
      <c r="U97" s="30"/>
      <c r="V97" s="30"/>
    </row>
    <row r="98" spans="2:22">
      <c r="U98" s="30"/>
      <c r="V98" s="30"/>
    </row>
    <row r="101" spans="2:22">
      <c r="U101" s="30"/>
      <c r="V101" s="30"/>
    </row>
  </sheetData>
  <mergeCells count="2">
    <mergeCell ref="B3:B97"/>
    <mergeCell ref="C3:C97"/>
  </mergeCells>
  <phoneticPr fontId="9" type="noConversion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69DC-F6C4-4E41-A71B-F79D50C279FE}">
  <sheetPr codeName="Sheet4"/>
  <dimension ref="A1:N446"/>
  <sheetViews>
    <sheetView workbookViewId="0">
      <selection activeCell="A3" sqref="A3"/>
    </sheetView>
  </sheetViews>
  <sheetFormatPr defaultRowHeight="15"/>
  <cols>
    <col min="1" max="1" width="26.7109375" bestFit="1" customWidth="1"/>
    <col min="2" max="2" width="16.85546875" bestFit="1" customWidth="1"/>
    <col min="3" max="3" width="11.28515625" bestFit="1" customWidth="1"/>
    <col min="4" max="4" width="7.28515625" bestFit="1" customWidth="1"/>
    <col min="5" max="5" width="11.28515625" bestFit="1" customWidth="1"/>
    <col min="6" max="6" width="31.7109375" bestFit="1" customWidth="1"/>
    <col min="7" max="7" width="12.85546875" bestFit="1" customWidth="1"/>
    <col min="8" max="8" width="13" style="13" customWidth="1"/>
    <col min="9" max="9" width="17.28515625" bestFit="1" customWidth="1"/>
    <col min="10" max="13" width="17.28515625" style="13" customWidth="1"/>
    <col min="14" max="14" width="15.85546875" bestFit="1" customWidth="1"/>
    <col min="18" max="18" width="13.42578125" bestFit="1" customWidth="1"/>
    <col min="19" max="19" width="16.85546875" bestFit="1" customWidth="1"/>
    <col min="20" max="20" width="7.85546875" bestFit="1" customWidth="1"/>
    <col min="21" max="21" width="8.5703125" bestFit="1" customWidth="1"/>
    <col min="22" max="22" width="8.140625" bestFit="1" customWidth="1"/>
    <col min="23" max="23" width="9" bestFit="1" customWidth="1"/>
    <col min="24" max="24" width="8.28515625" bestFit="1" customWidth="1"/>
    <col min="25" max="25" width="9.42578125" bestFit="1" customWidth="1"/>
    <col min="26" max="26" width="8.28515625" bestFit="1" customWidth="1"/>
    <col min="27" max="27" width="8.5703125" bestFit="1" customWidth="1"/>
    <col min="28" max="28" width="8.7109375" bestFit="1" customWidth="1"/>
    <col min="29" max="29" width="8.28515625" bestFit="1" customWidth="1"/>
    <col min="30" max="30" width="9" bestFit="1" customWidth="1"/>
    <col min="31" max="31" width="8.28515625" bestFit="1" customWidth="1"/>
    <col min="32" max="32" width="8.7109375" bestFit="1" customWidth="1"/>
    <col min="33" max="33" width="7.85546875" bestFit="1" customWidth="1"/>
    <col min="34" max="34" width="7.5703125" bestFit="1" customWidth="1"/>
    <col min="35" max="35" width="7.7109375" bestFit="1" customWidth="1"/>
    <col min="36" max="36" width="9.85546875" bestFit="1" customWidth="1"/>
    <col min="38" max="38" width="9" bestFit="1" customWidth="1"/>
    <col min="39" max="39" width="8.42578125" bestFit="1" customWidth="1"/>
    <col min="40" max="40" width="8.5703125" bestFit="1" customWidth="1"/>
    <col min="41" max="41" width="8.140625" bestFit="1" customWidth="1"/>
    <col min="42" max="42" width="8.7109375" bestFit="1" customWidth="1"/>
    <col min="43" max="44" width="8.28515625" bestFit="1" customWidth="1"/>
    <col min="45" max="45" width="8.7109375" bestFit="1" customWidth="1"/>
    <col min="46" max="46" width="8.85546875" bestFit="1" customWidth="1"/>
    <col min="47" max="47" width="8.7109375" bestFit="1" customWidth="1"/>
    <col min="48" max="48" width="9.42578125" bestFit="1" customWidth="1"/>
    <col min="49" max="49" width="8" bestFit="1" customWidth="1"/>
    <col min="50" max="50" width="14.28515625" bestFit="1" customWidth="1"/>
    <col min="51" max="51" width="14.7109375" bestFit="1" customWidth="1"/>
    <col min="52" max="52" width="15.28515625" bestFit="1" customWidth="1"/>
    <col min="53" max="53" width="12.5703125" bestFit="1" customWidth="1"/>
    <col min="54" max="54" width="8.7109375" bestFit="1" customWidth="1"/>
    <col min="55" max="55" width="8.5703125" bestFit="1" customWidth="1"/>
    <col min="56" max="56" width="10" bestFit="1" customWidth="1"/>
    <col min="57" max="57" width="13.85546875" bestFit="1" customWidth="1"/>
    <col min="58" max="58" width="9" bestFit="1" customWidth="1"/>
    <col min="59" max="60" width="8.5703125" bestFit="1" customWidth="1"/>
    <col min="61" max="61" width="12.85546875" bestFit="1" customWidth="1"/>
    <col min="62" max="62" width="9.42578125" bestFit="1" customWidth="1"/>
    <col min="63" max="63" width="8.5703125" bestFit="1" customWidth="1"/>
    <col min="64" max="64" width="8.85546875" bestFit="1" customWidth="1"/>
    <col min="65" max="65" width="8.5703125" bestFit="1" customWidth="1"/>
    <col min="66" max="66" width="8.85546875" bestFit="1" customWidth="1"/>
    <col min="67" max="67" width="10.140625" bestFit="1" customWidth="1"/>
    <col min="68" max="68" width="7.7109375" bestFit="1" customWidth="1"/>
    <col min="69" max="69" width="8.42578125" bestFit="1" customWidth="1"/>
    <col min="70" max="70" width="8.28515625" bestFit="1" customWidth="1"/>
    <col min="71" max="71" width="8.140625" bestFit="1" customWidth="1"/>
    <col min="72" max="72" width="9.5703125" bestFit="1" customWidth="1"/>
    <col min="73" max="73" width="10.28515625" bestFit="1" customWidth="1"/>
    <col min="74" max="74" width="10.42578125" bestFit="1" customWidth="1"/>
    <col min="75" max="75" width="9.85546875" bestFit="1" customWidth="1"/>
    <col min="76" max="76" width="10.5703125" bestFit="1" customWidth="1"/>
    <col min="77" max="77" width="10.140625" bestFit="1" customWidth="1"/>
    <col min="78" max="78" width="10.7109375" bestFit="1" customWidth="1"/>
    <col min="79" max="79" width="9.7109375" bestFit="1" customWidth="1"/>
    <col min="80" max="80" width="9.85546875" bestFit="1" customWidth="1"/>
    <col min="81" max="81" width="10.85546875" bestFit="1" customWidth="1"/>
    <col min="82" max="82" width="10.42578125" bestFit="1" customWidth="1"/>
    <col min="83" max="84" width="9.5703125" bestFit="1" customWidth="1"/>
    <col min="85" max="85" width="10.140625" bestFit="1" customWidth="1"/>
    <col min="86" max="86" width="9.85546875" bestFit="1" customWidth="1"/>
    <col min="87" max="87" width="9.7109375" bestFit="1" customWidth="1"/>
    <col min="88" max="88" width="10.140625" bestFit="1" customWidth="1"/>
    <col min="89" max="89" width="9.42578125" bestFit="1" customWidth="1"/>
    <col min="90" max="90" width="9.5703125" bestFit="1" customWidth="1"/>
    <col min="91" max="91" width="10.7109375" bestFit="1" customWidth="1"/>
    <col min="92" max="92" width="10.42578125" bestFit="1" customWidth="1"/>
    <col min="93" max="93" width="10.85546875" bestFit="1" customWidth="1"/>
    <col min="94" max="98" width="10.7109375" bestFit="1" customWidth="1"/>
    <col min="99" max="99" width="11.140625" bestFit="1" customWidth="1"/>
    <col min="100" max="100" width="10" bestFit="1" customWidth="1"/>
    <col min="101" max="101" width="11.42578125" bestFit="1" customWidth="1"/>
    <col min="102" max="102" width="11.5703125" bestFit="1" customWidth="1"/>
    <col min="103" max="105" width="10.7109375" bestFit="1" customWidth="1"/>
    <col min="106" max="106" width="10.28515625" bestFit="1" customWidth="1"/>
    <col min="107" max="108" width="10.140625" bestFit="1" customWidth="1"/>
    <col min="109" max="109" width="11" bestFit="1" customWidth="1"/>
    <col min="110" max="110" width="10.28515625" bestFit="1" customWidth="1"/>
    <col min="111" max="111" width="10.42578125" bestFit="1" customWidth="1"/>
    <col min="112" max="112" width="13.28515625" bestFit="1" customWidth="1"/>
    <col min="113" max="113" width="12" bestFit="1" customWidth="1"/>
    <col min="114" max="114" width="13.7109375" bestFit="1" customWidth="1"/>
    <col min="115" max="115" width="7.28515625" bestFit="1" customWidth="1"/>
    <col min="116" max="116" width="11.28515625" bestFit="1" customWidth="1"/>
  </cols>
  <sheetData>
    <row r="1" spans="1:14" ht="18" thickBot="1">
      <c r="A1" s="31" t="s">
        <v>330</v>
      </c>
      <c r="B1" s="31" t="s">
        <v>329</v>
      </c>
      <c r="G1" s="33" t="s">
        <v>65</v>
      </c>
      <c r="H1" s="12" t="s">
        <v>326</v>
      </c>
      <c r="I1" s="1" t="s">
        <v>14</v>
      </c>
      <c r="J1" s="12" t="s">
        <v>331</v>
      </c>
      <c r="K1" s="12" t="s">
        <v>332</v>
      </c>
      <c r="L1" s="12" t="s">
        <v>333</v>
      </c>
      <c r="M1" s="12" t="s">
        <v>334</v>
      </c>
      <c r="N1" s="1" t="s">
        <v>15</v>
      </c>
    </row>
    <row r="2" spans="1:14" ht="15.75" thickTop="1">
      <c r="A2" s="31" t="s">
        <v>327</v>
      </c>
      <c r="B2" t="s">
        <v>328</v>
      </c>
      <c r="G2" cm="1">
        <f t="array" ref="G2">_xlfn.UNIQUE(Input!J2:J101)</f>
        <v>0</v>
      </c>
      <c r="H2" s="13">
        <f>IFERROR(GETPIVOTDATA("Successful / Failed",$A$1,"System serial",G2),0)</f>
        <v>0</v>
      </c>
      <c r="I2" t="str" cm="1">
        <f t="array" ref="I2">_xlfn.IFS(H2&lt;1,"No",H2=1,"Yes",H2&gt;1,_xlfn.TEXTJOIN("",TRUE,"Yes x",H2))</f>
        <v>No</v>
      </c>
      <c r="J2" s="13">
        <f>IFERROR(GETPIVOTDATA("Successful / Failed",$A$1,"System serial",G2,"Successful / Failed","Successful"),0)</f>
        <v>0</v>
      </c>
      <c r="K2" s="13">
        <f>IFERROR(GETPIVOTDATA("Successful / Failed",$A$1,"System serial",G2,"Successful / Failed","Failed"),0)</f>
        <v>0</v>
      </c>
      <c r="L2" s="13" t="str" cm="1">
        <f t="array" ref="L2">_xlfn.IFS(J2&lt;1,"",J2=1,"Pass",J2&gt;1,_xlfn.TEXTJOIN("",TRUE,"Pass x",J2))</f>
        <v/>
      </c>
      <c r="M2" s="13" t="str" cm="1">
        <f t="array" ref="M2">_xlfn.IFS(K2&lt;1,"",K2=1,"Fail",K2&gt;1,_xlfn.TEXTJOIN("",TRUE,"Fail x",K2))</f>
        <v/>
      </c>
      <c r="N2" t="str">
        <f>_xlfn.TEXTJOIN(", ",TRUE, L2, M2)</f>
        <v/>
      </c>
    </row>
    <row r="3" spans="1:14">
      <c r="A3" s="32" t="s">
        <v>328</v>
      </c>
      <c r="B3" s="48"/>
      <c r="H3" s="13">
        <f t="shared" ref="H3:H66" si="0">IFERROR(GETPIVOTDATA("Successful / Failed",$A$1,"System serial",G3),0)</f>
        <v>0</v>
      </c>
      <c r="I3" t="str" cm="1">
        <f t="array" ref="I3">_xlfn.IFS(H3&lt;1,"No",H3=1,"Yes",H3&gt;1,_xlfn.TEXTJOIN("",TRUE,"Yes x",H3))</f>
        <v>No</v>
      </c>
      <c r="J3" s="13">
        <f t="shared" ref="J3:J66" si="1">IFERROR(GETPIVOTDATA("Successful / Failed",$A$1,"System serial",G3,"Successful / Failed","Successful"),0)</f>
        <v>0</v>
      </c>
      <c r="K3" s="13">
        <f t="shared" ref="K3:K66" si="2">IFERROR(GETPIVOTDATA("Successful / Failed",$A$1,"System serial",G3,"Successful / Failed","Failed"),0)</f>
        <v>0</v>
      </c>
      <c r="L3" s="13" t="str" cm="1">
        <f t="array" ref="L3">_xlfn.IFS(J3&lt;1,"",J3=1,"Pass",J3&gt;1,_xlfn.TEXTJOIN("",TRUE,"Pass x",J3))</f>
        <v/>
      </c>
      <c r="M3" s="13" t="str" cm="1">
        <f t="array" ref="M3">_xlfn.IFS(K3&lt;1,"",K3=1,"Fail",K3&gt;1,_xlfn.TEXTJOIN("",TRUE,"Fail x",K3))</f>
        <v/>
      </c>
      <c r="N3" t="str">
        <f t="shared" ref="N3:N66" si="3">_xlfn.TEXTJOIN(", ",TRUE, L3, M3)</f>
        <v/>
      </c>
    </row>
    <row r="4" spans="1:14">
      <c r="H4" s="13">
        <f t="shared" si="0"/>
        <v>0</v>
      </c>
      <c r="I4" t="str" cm="1">
        <f t="array" ref="I4">_xlfn.IFS(H4&lt;1,"No",H4=1,"Yes",H4&gt;1,_xlfn.TEXTJOIN("",TRUE,"Yes x",H4))</f>
        <v>No</v>
      </c>
      <c r="J4" s="13">
        <f t="shared" si="1"/>
        <v>0</v>
      </c>
      <c r="K4" s="13">
        <f t="shared" si="2"/>
        <v>0</v>
      </c>
      <c r="L4" s="13" t="str" cm="1">
        <f t="array" ref="L4">_xlfn.IFS(J4&lt;1,"",J4=1,"Pass",J4&gt;1,_xlfn.TEXTJOIN("",TRUE,"Pass x",J4))</f>
        <v/>
      </c>
      <c r="M4" s="13" t="str" cm="1">
        <f t="array" ref="M4">_xlfn.IFS(K4&lt;1,"",K4=1,"Fail",K4&gt;1,_xlfn.TEXTJOIN("",TRUE,"Fail x",K4))</f>
        <v/>
      </c>
      <c r="N4" t="str">
        <f t="shared" si="3"/>
        <v/>
      </c>
    </row>
    <row r="5" spans="1:14">
      <c r="H5" s="13">
        <f t="shared" si="0"/>
        <v>0</v>
      </c>
      <c r="I5" t="str" cm="1">
        <f t="array" ref="I5">_xlfn.IFS(H5&lt;1,"No",H5=1,"Yes",H5&gt;1,_xlfn.TEXTJOIN("",TRUE,"Yes x",H5))</f>
        <v>No</v>
      </c>
      <c r="J5" s="13">
        <f t="shared" si="1"/>
        <v>0</v>
      </c>
      <c r="K5" s="13">
        <f t="shared" si="2"/>
        <v>0</v>
      </c>
      <c r="L5" s="13" t="str" cm="1">
        <f t="array" ref="L5">_xlfn.IFS(J5&lt;1,"",J5=1,"Pass",J5&gt;1,_xlfn.TEXTJOIN("",TRUE,"Pass x",J5))</f>
        <v/>
      </c>
      <c r="M5" s="13" t="str" cm="1">
        <f t="array" ref="M5">_xlfn.IFS(K5&lt;1,"",K5=1,"Fail",K5&gt;1,_xlfn.TEXTJOIN("",TRUE,"Fail x",K5))</f>
        <v/>
      </c>
      <c r="N5" t="str">
        <f t="shared" si="3"/>
        <v/>
      </c>
    </row>
    <row r="6" spans="1:14">
      <c r="H6" s="13">
        <f t="shared" si="0"/>
        <v>0</v>
      </c>
      <c r="I6" t="str" cm="1">
        <f t="array" ref="I6">_xlfn.IFS(H6&lt;1,"No",H6=1,"Yes",H6&gt;1,_xlfn.TEXTJOIN("",TRUE,"Yes x",H6))</f>
        <v>No</v>
      </c>
      <c r="J6" s="13">
        <f t="shared" si="1"/>
        <v>0</v>
      </c>
      <c r="K6" s="13">
        <f t="shared" si="2"/>
        <v>0</v>
      </c>
      <c r="L6" s="13" t="str" cm="1">
        <f t="array" ref="L6">_xlfn.IFS(J6&lt;1,"",J6=1,"Pass",J6&gt;1,_xlfn.TEXTJOIN("",TRUE,"Pass x",J6))</f>
        <v/>
      </c>
      <c r="M6" s="13" t="str" cm="1">
        <f t="array" ref="M6">_xlfn.IFS(K6&lt;1,"",K6=1,"Fail",K6&gt;1,_xlfn.TEXTJOIN("",TRUE,"Fail x",K6))</f>
        <v/>
      </c>
      <c r="N6" t="str">
        <f t="shared" si="3"/>
        <v/>
      </c>
    </row>
    <row r="7" spans="1:14">
      <c r="H7" s="13">
        <f t="shared" si="0"/>
        <v>0</v>
      </c>
      <c r="I7" t="str" cm="1">
        <f t="array" ref="I7">_xlfn.IFS(H7&lt;1,"No",H7=1,"Yes",H7&gt;1,_xlfn.TEXTJOIN("",TRUE,"Yes x",H7))</f>
        <v>No</v>
      </c>
      <c r="J7" s="13">
        <f t="shared" si="1"/>
        <v>0</v>
      </c>
      <c r="K7" s="13">
        <f t="shared" si="2"/>
        <v>0</v>
      </c>
      <c r="L7" s="13" t="str" cm="1">
        <f t="array" ref="L7">_xlfn.IFS(J7&lt;1,"",J7=1,"Pass",J7&gt;1,_xlfn.TEXTJOIN("",TRUE,"Pass x",J7))</f>
        <v/>
      </c>
      <c r="M7" s="13" t="str" cm="1">
        <f t="array" ref="M7">_xlfn.IFS(K7&lt;1,"",K7=1,"Fail",K7&gt;1,_xlfn.TEXTJOIN("",TRUE,"Fail x",K7))</f>
        <v/>
      </c>
      <c r="N7" t="str">
        <f t="shared" si="3"/>
        <v/>
      </c>
    </row>
    <row r="8" spans="1:14">
      <c r="H8" s="13">
        <f t="shared" si="0"/>
        <v>0</v>
      </c>
      <c r="I8" t="str" cm="1">
        <f t="array" ref="I8">_xlfn.IFS(H8&lt;1,"No",H8=1,"Yes",H8&gt;1,_xlfn.TEXTJOIN("",TRUE,"Yes x",H8))</f>
        <v>No</v>
      </c>
      <c r="J8" s="13">
        <f t="shared" si="1"/>
        <v>0</v>
      </c>
      <c r="K8" s="13">
        <f t="shared" si="2"/>
        <v>0</v>
      </c>
      <c r="L8" s="13" t="str" cm="1">
        <f t="array" ref="L8">_xlfn.IFS(J8&lt;1,"",J8=1,"Pass",J8&gt;1,_xlfn.TEXTJOIN("",TRUE,"Pass x",J8))</f>
        <v/>
      </c>
      <c r="M8" s="13" t="str" cm="1">
        <f t="array" ref="M8">_xlfn.IFS(K8&lt;1,"",K8=1,"Fail",K8&gt;1,_xlfn.TEXTJOIN("",TRUE,"Fail x",K8))</f>
        <v/>
      </c>
      <c r="N8" t="str">
        <f t="shared" si="3"/>
        <v/>
      </c>
    </row>
    <row r="9" spans="1:14">
      <c r="H9" s="13">
        <f t="shared" si="0"/>
        <v>0</v>
      </c>
      <c r="I9" t="str" cm="1">
        <f t="array" ref="I9">_xlfn.IFS(H9&lt;1,"No",H9=1,"Yes",H9&gt;1,_xlfn.TEXTJOIN("",TRUE,"Yes x",H9))</f>
        <v>No</v>
      </c>
      <c r="J9" s="13">
        <f t="shared" si="1"/>
        <v>0</v>
      </c>
      <c r="K9" s="13">
        <f t="shared" si="2"/>
        <v>0</v>
      </c>
      <c r="L9" s="13" t="str" cm="1">
        <f t="array" ref="L9">_xlfn.IFS(J9&lt;1,"",J9=1,"Pass",J9&gt;1,_xlfn.TEXTJOIN("",TRUE,"Pass x",J9))</f>
        <v/>
      </c>
      <c r="M9" s="13" t="str" cm="1">
        <f t="array" ref="M9">_xlfn.IFS(K9&lt;1,"",K9=1,"Fail",K9&gt;1,_xlfn.TEXTJOIN("",TRUE,"Fail x",K9))</f>
        <v/>
      </c>
      <c r="N9" t="str">
        <f t="shared" si="3"/>
        <v/>
      </c>
    </row>
    <row r="10" spans="1:14">
      <c r="H10" s="13">
        <f t="shared" si="0"/>
        <v>0</v>
      </c>
      <c r="I10" t="str" cm="1">
        <f t="array" ref="I10">_xlfn.IFS(H10&lt;1,"No",H10=1,"Yes",H10&gt;1,_xlfn.TEXTJOIN("",TRUE,"Yes x",H10))</f>
        <v>No</v>
      </c>
      <c r="J10" s="13">
        <f t="shared" si="1"/>
        <v>0</v>
      </c>
      <c r="K10" s="13">
        <f t="shared" si="2"/>
        <v>0</v>
      </c>
      <c r="L10" s="13" t="str" cm="1">
        <f t="array" ref="L10">_xlfn.IFS(J10&lt;1,"",J10=1,"Pass",J10&gt;1,_xlfn.TEXTJOIN("",TRUE,"Pass x",J10))</f>
        <v/>
      </c>
      <c r="M10" s="13" t="str" cm="1">
        <f t="array" ref="M10">_xlfn.IFS(K10&lt;1,"",K10=1,"Fail",K10&gt;1,_xlfn.TEXTJOIN("",TRUE,"Fail x",K10))</f>
        <v/>
      </c>
      <c r="N10" t="str">
        <f t="shared" si="3"/>
        <v/>
      </c>
    </row>
    <row r="11" spans="1:14">
      <c r="H11" s="13">
        <f t="shared" si="0"/>
        <v>0</v>
      </c>
      <c r="I11" t="str" cm="1">
        <f t="array" ref="I11">_xlfn.IFS(H11&lt;1,"No",H11=1,"Yes",H11&gt;1,_xlfn.TEXTJOIN("",TRUE,"Yes x",H11))</f>
        <v>No</v>
      </c>
      <c r="J11" s="13">
        <f t="shared" si="1"/>
        <v>0</v>
      </c>
      <c r="K11" s="13">
        <f t="shared" si="2"/>
        <v>0</v>
      </c>
      <c r="L11" s="13" t="str" cm="1">
        <f t="array" ref="L11">_xlfn.IFS(J11&lt;1,"",J11=1,"Pass",J11&gt;1,_xlfn.TEXTJOIN("",TRUE,"Pass x",J11))</f>
        <v/>
      </c>
      <c r="M11" s="13" t="str" cm="1">
        <f t="array" ref="M11">_xlfn.IFS(K11&lt;1,"",K11=1,"Fail",K11&gt;1,_xlfn.TEXTJOIN("",TRUE,"Fail x",K11))</f>
        <v/>
      </c>
      <c r="N11" t="str">
        <f t="shared" si="3"/>
        <v/>
      </c>
    </row>
    <row r="12" spans="1:14">
      <c r="H12" s="13">
        <f t="shared" si="0"/>
        <v>0</v>
      </c>
      <c r="I12" t="str" cm="1">
        <f t="array" ref="I12">_xlfn.IFS(H12&lt;1,"No",H12=1,"Yes",H12&gt;1,_xlfn.TEXTJOIN("",TRUE,"Yes x",H12))</f>
        <v>No</v>
      </c>
      <c r="J12" s="13">
        <f t="shared" si="1"/>
        <v>0</v>
      </c>
      <c r="K12" s="13">
        <f t="shared" si="2"/>
        <v>0</v>
      </c>
      <c r="L12" s="13" t="str" cm="1">
        <f t="array" ref="L12">_xlfn.IFS(J12&lt;1,"",J12=1,"Pass",J12&gt;1,_xlfn.TEXTJOIN("",TRUE,"Pass x",J12))</f>
        <v/>
      </c>
      <c r="M12" s="13" t="str" cm="1">
        <f t="array" ref="M12">_xlfn.IFS(K12&lt;1,"",K12=1,"Fail",K12&gt;1,_xlfn.TEXTJOIN("",TRUE,"Fail x",K12))</f>
        <v/>
      </c>
      <c r="N12" t="str">
        <f t="shared" si="3"/>
        <v/>
      </c>
    </row>
    <row r="13" spans="1:14">
      <c r="H13" s="13">
        <f t="shared" si="0"/>
        <v>0</v>
      </c>
      <c r="I13" t="str" cm="1">
        <f t="array" ref="I13">_xlfn.IFS(H13&lt;1,"No",H13=1,"Yes",H13&gt;1,_xlfn.TEXTJOIN("",TRUE,"Yes x",H13))</f>
        <v>No</v>
      </c>
      <c r="J13" s="13">
        <f t="shared" si="1"/>
        <v>0</v>
      </c>
      <c r="K13" s="13">
        <f t="shared" si="2"/>
        <v>0</v>
      </c>
      <c r="L13" s="13" t="str" cm="1">
        <f t="array" ref="L13">_xlfn.IFS(J13&lt;1,"",J13=1,"Pass",J13&gt;1,_xlfn.TEXTJOIN("",TRUE,"Pass x",J13))</f>
        <v/>
      </c>
      <c r="M13" s="13" t="str" cm="1">
        <f t="array" ref="M13">_xlfn.IFS(K13&lt;1,"",K13=1,"Fail",K13&gt;1,_xlfn.TEXTJOIN("",TRUE,"Fail x",K13))</f>
        <v/>
      </c>
      <c r="N13" t="str">
        <f t="shared" si="3"/>
        <v/>
      </c>
    </row>
    <row r="14" spans="1:14">
      <c r="H14" s="13">
        <f t="shared" si="0"/>
        <v>0</v>
      </c>
      <c r="I14" t="str" cm="1">
        <f t="array" ref="I14">_xlfn.IFS(H14&lt;1,"No",H14=1,"Yes",H14&gt;1,_xlfn.TEXTJOIN("",TRUE,"Yes x",H14))</f>
        <v>No</v>
      </c>
      <c r="J14" s="13">
        <f t="shared" si="1"/>
        <v>0</v>
      </c>
      <c r="K14" s="13">
        <f t="shared" si="2"/>
        <v>0</v>
      </c>
      <c r="L14" s="13" t="str" cm="1">
        <f t="array" ref="L14">_xlfn.IFS(J14&lt;1,"",J14=1,"Pass",J14&gt;1,_xlfn.TEXTJOIN("",TRUE,"Pass x",J14))</f>
        <v/>
      </c>
      <c r="M14" s="13" t="str" cm="1">
        <f t="array" ref="M14">_xlfn.IFS(K14&lt;1,"",K14=1,"Fail",K14&gt;1,_xlfn.TEXTJOIN("",TRUE,"Fail x",K14))</f>
        <v/>
      </c>
      <c r="N14" t="str">
        <f t="shared" si="3"/>
        <v/>
      </c>
    </row>
    <row r="15" spans="1:14">
      <c r="H15" s="13">
        <f t="shared" si="0"/>
        <v>0</v>
      </c>
      <c r="I15" t="str" cm="1">
        <f t="array" ref="I15">_xlfn.IFS(H15&lt;1,"No",H15=1,"Yes",H15&gt;1,_xlfn.TEXTJOIN("",TRUE,"Yes x",H15))</f>
        <v>No</v>
      </c>
      <c r="J15" s="13">
        <f t="shared" si="1"/>
        <v>0</v>
      </c>
      <c r="K15" s="13">
        <f t="shared" si="2"/>
        <v>0</v>
      </c>
      <c r="L15" s="13" t="str" cm="1">
        <f t="array" ref="L15">_xlfn.IFS(J15&lt;1,"",J15=1,"Pass",J15&gt;1,_xlfn.TEXTJOIN("",TRUE,"Pass x",J15))</f>
        <v/>
      </c>
      <c r="M15" s="13" t="str" cm="1">
        <f t="array" ref="M15">_xlfn.IFS(K15&lt;1,"",K15=1,"Fail",K15&gt;1,_xlfn.TEXTJOIN("",TRUE,"Fail x",K15))</f>
        <v/>
      </c>
      <c r="N15" t="str">
        <f t="shared" si="3"/>
        <v/>
      </c>
    </row>
    <row r="16" spans="1:14">
      <c r="H16" s="13">
        <f t="shared" si="0"/>
        <v>0</v>
      </c>
      <c r="I16" t="str" cm="1">
        <f t="array" ref="I16">_xlfn.IFS(H16&lt;1,"No",H16=1,"Yes",H16&gt;1,_xlfn.TEXTJOIN("",TRUE,"Yes x",H16))</f>
        <v>No</v>
      </c>
      <c r="J16" s="13">
        <f t="shared" si="1"/>
        <v>0</v>
      </c>
      <c r="K16" s="13">
        <f t="shared" si="2"/>
        <v>0</v>
      </c>
      <c r="L16" s="13" t="str" cm="1">
        <f t="array" ref="L16">_xlfn.IFS(J16&lt;1,"",J16=1,"Pass",J16&gt;1,_xlfn.TEXTJOIN("",TRUE,"Pass x",J16))</f>
        <v/>
      </c>
      <c r="M16" s="13" t="str" cm="1">
        <f t="array" ref="M16">_xlfn.IFS(K16&lt;1,"",K16=1,"Fail",K16&gt;1,_xlfn.TEXTJOIN("",TRUE,"Fail x",K16))</f>
        <v/>
      </c>
      <c r="N16" t="str">
        <f t="shared" si="3"/>
        <v/>
      </c>
    </row>
    <row r="17" spans="8:14">
      <c r="H17" s="13">
        <f t="shared" si="0"/>
        <v>0</v>
      </c>
      <c r="I17" t="str" cm="1">
        <f t="array" ref="I17">_xlfn.IFS(H17&lt;1,"No",H17=1,"Yes",H17&gt;1,_xlfn.TEXTJOIN("",TRUE,"Yes x",H17))</f>
        <v>No</v>
      </c>
      <c r="J17" s="13">
        <f t="shared" si="1"/>
        <v>0</v>
      </c>
      <c r="K17" s="13">
        <f t="shared" si="2"/>
        <v>0</v>
      </c>
      <c r="L17" s="13" t="str" cm="1">
        <f t="array" ref="L17">_xlfn.IFS(J17&lt;1,"",J17=1,"Pass",J17&gt;1,_xlfn.TEXTJOIN("",TRUE,"Pass x",J17))</f>
        <v/>
      </c>
      <c r="M17" s="13" t="str" cm="1">
        <f t="array" ref="M17">_xlfn.IFS(K17&lt;1,"",K17=1,"Fail",K17&gt;1,_xlfn.TEXTJOIN("",TRUE,"Fail x",K17))</f>
        <v/>
      </c>
      <c r="N17" t="str">
        <f t="shared" si="3"/>
        <v/>
      </c>
    </row>
    <row r="18" spans="8:14">
      <c r="H18" s="13">
        <f t="shared" si="0"/>
        <v>0</v>
      </c>
      <c r="I18" t="str" cm="1">
        <f t="array" ref="I18">_xlfn.IFS(H18&lt;1,"No",H18=1,"Yes",H18&gt;1,_xlfn.TEXTJOIN("",TRUE,"Yes x",H18))</f>
        <v>No</v>
      </c>
      <c r="J18" s="13">
        <f t="shared" si="1"/>
        <v>0</v>
      </c>
      <c r="K18" s="13">
        <f t="shared" si="2"/>
        <v>0</v>
      </c>
      <c r="L18" s="13" t="str" cm="1">
        <f t="array" ref="L18">_xlfn.IFS(J18&lt;1,"",J18=1,"Pass",J18&gt;1,_xlfn.TEXTJOIN("",TRUE,"Pass x",J18))</f>
        <v/>
      </c>
      <c r="M18" s="13" t="str" cm="1">
        <f t="array" ref="M18">_xlfn.IFS(K18&lt;1,"",K18=1,"Fail",K18&gt;1,_xlfn.TEXTJOIN("",TRUE,"Fail x",K18))</f>
        <v/>
      </c>
      <c r="N18" t="str">
        <f t="shared" si="3"/>
        <v/>
      </c>
    </row>
    <row r="19" spans="8:14">
      <c r="H19" s="13">
        <f t="shared" si="0"/>
        <v>0</v>
      </c>
      <c r="I19" t="str" cm="1">
        <f t="array" ref="I19">_xlfn.IFS(H19&lt;1,"No",H19=1,"Yes",H19&gt;1,_xlfn.TEXTJOIN("",TRUE,"Yes x",H19))</f>
        <v>No</v>
      </c>
      <c r="J19" s="13">
        <f t="shared" si="1"/>
        <v>0</v>
      </c>
      <c r="K19" s="13">
        <f t="shared" si="2"/>
        <v>0</v>
      </c>
      <c r="L19" s="13" t="str" cm="1">
        <f t="array" ref="L19">_xlfn.IFS(J19&lt;1,"",J19=1,"Pass",J19&gt;1,_xlfn.TEXTJOIN("",TRUE,"Pass x",J19))</f>
        <v/>
      </c>
      <c r="M19" s="13" t="str" cm="1">
        <f t="array" ref="M19">_xlfn.IFS(K19&lt;1,"",K19=1,"Fail",K19&gt;1,_xlfn.TEXTJOIN("",TRUE,"Fail x",K19))</f>
        <v/>
      </c>
      <c r="N19" t="str">
        <f t="shared" si="3"/>
        <v/>
      </c>
    </row>
    <row r="20" spans="8:14">
      <c r="H20" s="13">
        <f t="shared" si="0"/>
        <v>0</v>
      </c>
      <c r="I20" t="str" cm="1">
        <f t="array" ref="I20">_xlfn.IFS(H20&lt;1,"No",H20=1,"Yes",H20&gt;1,_xlfn.TEXTJOIN("",TRUE,"Yes x",H20))</f>
        <v>No</v>
      </c>
      <c r="J20" s="13">
        <f t="shared" si="1"/>
        <v>0</v>
      </c>
      <c r="K20" s="13">
        <f t="shared" si="2"/>
        <v>0</v>
      </c>
      <c r="L20" s="13" t="str" cm="1">
        <f t="array" ref="L20">_xlfn.IFS(J20&lt;1,"",J20=1,"Pass",J20&gt;1,_xlfn.TEXTJOIN("",TRUE,"Pass x",J20))</f>
        <v/>
      </c>
      <c r="M20" s="13" t="str" cm="1">
        <f t="array" ref="M20">_xlfn.IFS(K20&lt;1,"",K20=1,"Fail",K20&gt;1,_xlfn.TEXTJOIN("",TRUE,"Fail x",K20))</f>
        <v/>
      </c>
      <c r="N20" t="str">
        <f t="shared" si="3"/>
        <v/>
      </c>
    </row>
    <row r="21" spans="8:14">
      <c r="H21" s="13">
        <f t="shared" si="0"/>
        <v>0</v>
      </c>
      <c r="I21" t="str" cm="1">
        <f t="array" ref="I21">_xlfn.IFS(H21&lt;1,"No",H21=1,"Yes",H21&gt;1,_xlfn.TEXTJOIN("",TRUE,"Yes x",H21))</f>
        <v>No</v>
      </c>
      <c r="J21" s="13">
        <f t="shared" si="1"/>
        <v>0</v>
      </c>
      <c r="K21" s="13">
        <f t="shared" si="2"/>
        <v>0</v>
      </c>
      <c r="L21" s="13" t="str" cm="1">
        <f t="array" ref="L21">_xlfn.IFS(J21&lt;1,"",J21=1,"Pass",J21&gt;1,_xlfn.TEXTJOIN("",TRUE,"Pass x",J21))</f>
        <v/>
      </c>
      <c r="M21" s="13" t="str" cm="1">
        <f t="array" ref="M21">_xlfn.IFS(K21&lt;1,"",K21=1,"Fail",K21&gt;1,_xlfn.TEXTJOIN("",TRUE,"Fail x",K21))</f>
        <v/>
      </c>
      <c r="N21" t="str">
        <f t="shared" si="3"/>
        <v/>
      </c>
    </row>
    <row r="22" spans="8:14">
      <c r="H22" s="13">
        <f t="shared" si="0"/>
        <v>0</v>
      </c>
      <c r="I22" t="str" cm="1">
        <f t="array" ref="I22">_xlfn.IFS(H22&lt;1,"No",H22=1,"Yes",H22&gt;1,_xlfn.TEXTJOIN("",TRUE,"Yes x",H22))</f>
        <v>No</v>
      </c>
      <c r="J22" s="13">
        <f t="shared" si="1"/>
        <v>0</v>
      </c>
      <c r="K22" s="13">
        <f t="shared" si="2"/>
        <v>0</v>
      </c>
      <c r="L22" s="13" t="str" cm="1">
        <f t="array" ref="L22">_xlfn.IFS(J22&lt;1,"",J22=1,"Pass",J22&gt;1,_xlfn.TEXTJOIN("",TRUE,"Pass x",J22))</f>
        <v/>
      </c>
      <c r="M22" s="13" t="str" cm="1">
        <f t="array" ref="M22">_xlfn.IFS(K22&lt;1,"",K22=1,"Fail",K22&gt;1,_xlfn.TEXTJOIN("",TRUE,"Fail x",K22))</f>
        <v/>
      </c>
      <c r="N22" t="str">
        <f t="shared" si="3"/>
        <v/>
      </c>
    </row>
    <row r="23" spans="8:14">
      <c r="H23" s="13">
        <f t="shared" si="0"/>
        <v>0</v>
      </c>
      <c r="I23" t="str" cm="1">
        <f t="array" ref="I23">_xlfn.IFS(H23&lt;1,"No",H23=1,"Yes",H23&gt;1,_xlfn.TEXTJOIN("",TRUE,"Yes x",H23))</f>
        <v>No</v>
      </c>
      <c r="J23" s="13">
        <f t="shared" si="1"/>
        <v>0</v>
      </c>
      <c r="K23" s="13">
        <f t="shared" si="2"/>
        <v>0</v>
      </c>
      <c r="L23" s="13" t="str" cm="1">
        <f t="array" ref="L23">_xlfn.IFS(J23&lt;1,"",J23=1,"Pass",J23&gt;1,_xlfn.TEXTJOIN("",TRUE,"Pass x",J23))</f>
        <v/>
      </c>
      <c r="M23" s="13" t="str" cm="1">
        <f t="array" ref="M23">_xlfn.IFS(K23&lt;1,"",K23=1,"Fail",K23&gt;1,_xlfn.TEXTJOIN("",TRUE,"Fail x",K23))</f>
        <v/>
      </c>
      <c r="N23" t="str">
        <f t="shared" si="3"/>
        <v/>
      </c>
    </row>
    <row r="24" spans="8:14">
      <c r="H24" s="13">
        <f t="shared" si="0"/>
        <v>0</v>
      </c>
      <c r="I24" t="str" cm="1">
        <f t="array" ref="I24">_xlfn.IFS(H24&lt;1,"No",H24=1,"Yes",H24&gt;1,_xlfn.TEXTJOIN("",TRUE,"Yes x",H24))</f>
        <v>No</v>
      </c>
      <c r="J24" s="13">
        <f t="shared" si="1"/>
        <v>0</v>
      </c>
      <c r="K24" s="13">
        <f t="shared" si="2"/>
        <v>0</v>
      </c>
      <c r="L24" s="13" t="str" cm="1">
        <f t="array" ref="L24">_xlfn.IFS(J24&lt;1,"",J24=1,"Pass",J24&gt;1,_xlfn.TEXTJOIN("",TRUE,"Pass x",J24))</f>
        <v/>
      </c>
      <c r="M24" s="13" t="str" cm="1">
        <f t="array" ref="M24">_xlfn.IFS(K24&lt;1,"",K24=1,"Fail",K24&gt;1,_xlfn.TEXTJOIN("",TRUE,"Fail x",K24))</f>
        <v/>
      </c>
      <c r="N24" t="str">
        <f t="shared" si="3"/>
        <v/>
      </c>
    </row>
    <row r="25" spans="8:14">
      <c r="H25" s="13">
        <f t="shared" si="0"/>
        <v>0</v>
      </c>
      <c r="I25" t="str" cm="1">
        <f t="array" ref="I25">_xlfn.IFS(H25&lt;1,"No",H25=1,"Yes",H25&gt;1,_xlfn.TEXTJOIN("",TRUE,"Yes x",H25))</f>
        <v>No</v>
      </c>
      <c r="J25" s="13">
        <f t="shared" si="1"/>
        <v>0</v>
      </c>
      <c r="K25" s="13">
        <f t="shared" si="2"/>
        <v>0</v>
      </c>
      <c r="L25" s="13" t="str" cm="1">
        <f t="array" ref="L25">_xlfn.IFS(J25&lt;1,"",J25=1,"Pass",J25&gt;1,_xlfn.TEXTJOIN("",TRUE,"Pass x",J25))</f>
        <v/>
      </c>
      <c r="M25" s="13" t="str" cm="1">
        <f t="array" ref="M25">_xlfn.IFS(K25&lt;1,"",K25=1,"Fail",K25&gt;1,_xlfn.TEXTJOIN("",TRUE,"Fail x",K25))</f>
        <v/>
      </c>
      <c r="N25" t="str">
        <f t="shared" si="3"/>
        <v/>
      </c>
    </row>
    <row r="26" spans="8:14">
      <c r="H26" s="13">
        <f t="shared" si="0"/>
        <v>0</v>
      </c>
      <c r="I26" t="str" cm="1">
        <f t="array" ref="I26">_xlfn.IFS(H26&lt;1,"No",H26=1,"Yes",H26&gt;1,_xlfn.TEXTJOIN("",TRUE,"Yes x",H26))</f>
        <v>No</v>
      </c>
      <c r="J26" s="13">
        <f t="shared" si="1"/>
        <v>0</v>
      </c>
      <c r="K26" s="13">
        <f t="shared" si="2"/>
        <v>0</v>
      </c>
      <c r="L26" s="13" t="str" cm="1">
        <f t="array" ref="L26">_xlfn.IFS(J26&lt;1,"",J26=1,"Pass",J26&gt;1,_xlfn.TEXTJOIN("",TRUE,"Pass x",J26))</f>
        <v/>
      </c>
      <c r="M26" s="13" t="str" cm="1">
        <f t="array" ref="M26">_xlfn.IFS(K26&lt;1,"",K26=1,"Fail",K26&gt;1,_xlfn.TEXTJOIN("",TRUE,"Fail x",K26))</f>
        <v/>
      </c>
      <c r="N26" t="str">
        <f t="shared" si="3"/>
        <v/>
      </c>
    </row>
    <row r="27" spans="8:14">
      <c r="H27" s="13">
        <f t="shared" si="0"/>
        <v>0</v>
      </c>
      <c r="I27" t="str" cm="1">
        <f t="array" ref="I27">_xlfn.IFS(H27&lt;1,"No",H27=1,"Yes",H27&gt;1,_xlfn.TEXTJOIN("",TRUE,"Yes x",H27))</f>
        <v>No</v>
      </c>
      <c r="J27" s="13">
        <f t="shared" si="1"/>
        <v>0</v>
      </c>
      <c r="K27" s="13">
        <f t="shared" si="2"/>
        <v>0</v>
      </c>
      <c r="L27" s="13" t="str" cm="1">
        <f t="array" ref="L27">_xlfn.IFS(J27&lt;1,"",J27=1,"Pass",J27&gt;1,_xlfn.TEXTJOIN("",TRUE,"Pass x",J27))</f>
        <v/>
      </c>
      <c r="M27" s="13" t="str" cm="1">
        <f t="array" ref="M27">_xlfn.IFS(K27&lt;1,"",K27=1,"Fail",K27&gt;1,_xlfn.TEXTJOIN("",TRUE,"Fail x",K27))</f>
        <v/>
      </c>
      <c r="N27" t="str">
        <f t="shared" si="3"/>
        <v/>
      </c>
    </row>
    <row r="28" spans="8:14">
      <c r="H28" s="13">
        <f t="shared" si="0"/>
        <v>0</v>
      </c>
      <c r="I28" t="str" cm="1">
        <f t="array" ref="I28">_xlfn.IFS(H28&lt;1,"No",H28=1,"Yes",H28&gt;1,_xlfn.TEXTJOIN("",TRUE,"Yes x",H28))</f>
        <v>No</v>
      </c>
      <c r="J28" s="13">
        <f t="shared" si="1"/>
        <v>0</v>
      </c>
      <c r="K28" s="13">
        <f t="shared" si="2"/>
        <v>0</v>
      </c>
      <c r="L28" s="13" t="str" cm="1">
        <f t="array" ref="L28">_xlfn.IFS(J28&lt;1,"",J28=1,"Pass",J28&gt;1,_xlfn.TEXTJOIN("",TRUE,"Pass x",J28))</f>
        <v/>
      </c>
      <c r="M28" s="13" t="str" cm="1">
        <f t="array" ref="M28">_xlfn.IFS(K28&lt;1,"",K28=1,"Fail",K28&gt;1,_xlfn.TEXTJOIN("",TRUE,"Fail x",K28))</f>
        <v/>
      </c>
      <c r="N28" t="str">
        <f t="shared" si="3"/>
        <v/>
      </c>
    </row>
    <row r="29" spans="8:14">
      <c r="H29" s="13">
        <f t="shared" si="0"/>
        <v>0</v>
      </c>
      <c r="I29" t="str" cm="1">
        <f t="array" ref="I29">_xlfn.IFS(H29&lt;1,"No",H29=1,"Yes",H29&gt;1,_xlfn.TEXTJOIN("",TRUE,"Yes x",H29))</f>
        <v>No</v>
      </c>
      <c r="J29" s="13">
        <f t="shared" si="1"/>
        <v>0</v>
      </c>
      <c r="K29" s="13">
        <f t="shared" si="2"/>
        <v>0</v>
      </c>
      <c r="L29" s="13" t="str" cm="1">
        <f t="array" ref="L29">_xlfn.IFS(J29&lt;1,"",J29=1,"Pass",J29&gt;1,_xlfn.TEXTJOIN("",TRUE,"Pass x",J29))</f>
        <v/>
      </c>
      <c r="M29" s="13" t="str" cm="1">
        <f t="array" ref="M29">_xlfn.IFS(K29&lt;1,"",K29=1,"Fail",K29&gt;1,_xlfn.TEXTJOIN("",TRUE,"Fail x",K29))</f>
        <v/>
      </c>
      <c r="N29" t="str">
        <f t="shared" si="3"/>
        <v/>
      </c>
    </row>
    <row r="30" spans="8:14">
      <c r="H30" s="13">
        <f t="shared" si="0"/>
        <v>0</v>
      </c>
      <c r="I30" t="str" cm="1">
        <f t="array" ref="I30">_xlfn.IFS(H30&lt;1,"No",H30=1,"Yes",H30&gt;1,_xlfn.TEXTJOIN("",TRUE,"Yes x",H30))</f>
        <v>No</v>
      </c>
      <c r="J30" s="13">
        <f t="shared" si="1"/>
        <v>0</v>
      </c>
      <c r="K30" s="13">
        <f t="shared" si="2"/>
        <v>0</v>
      </c>
      <c r="L30" s="13" t="str" cm="1">
        <f t="array" ref="L30">_xlfn.IFS(J30&lt;1,"",J30=1,"Pass",J30&gt;1,_xlfn.TEXTJOIN("",TRUE,"Pass x",J30))</f>
        <v/>
      </c>
      <c r="M30" s="13" t="str" cm="1">
        <f t="array" ref="M30">_xlfn.IFS(K30&lt;1,"",K30=1,"Fail",K30&gt;1,_xlfn.TEXTJOIN("",TRUE,"Fail x",K30))</f>
        <v/>
      </c>
      <c r="N30" t="str">
        <f t="shared" si="3"/>
        <v/>
      </c>
    </row>
    <row r="31" spans="8:14">
      <c r="H31" s="13">
        <f t="shared" si="0"/>
        <v>0</v>
      </c>
      <c r="I31" t="str" cm="1">
        <f t="array" ref="I31">_xlfn.IFS(H31&lt;1,"No",H31=1,"Yes",H31&gt;1,_xlfn.TEXTJOIN("",TRUE,"Yes x",H31))</f>
        <v>No</v>
      </c>
      <c r="J31" s="13">
        <f t="shared" si="1"/>
        <v>0</v>
      </c>
      <c r="K31" s="13">
        <f t="shared" si="2"/>
        <v>0</v>
      </c>
      <c r="L31" s="13" t="str" cm="1">
        <f t="array" ref="L31">_xlfn.IFS(J31&lt;1,"",J31=1,"Pass",J31&gt;1,_xlfn.TEXTJOIN("",TRUE,"Pass x",J31))</f>
        <v/>
      </c>
      <c r="M31" s="13" t="str" cm="1">
        <f t="array" ref="M31">_xlfn.IFS(K31&lt;1,"",K31=1,"Fail",K31&gt;1,_xlfn.TEXTJOIN("",TRUE,"Fail x",K31))</f>
        <v/>
      </c>
      <c r="N31" t="str">
        <f t="shared" si="3"/>
        <v/>
      </c>
    </row>
    <row r="32" spans="8:14">
      <c r="H32" s="13">
        <f t="shared" si="0"/>
        <v>0</v>
      </c>
      <c r="I32" t="str" cm="1">
        <f t="array" ref="I32">_xlfn.IFS(H32&lt;1,"No",H32=1,"Yes",H32&gt;1,_xlfn.TEXTJOIN("",TRUE,"Yes x",H32))</f>
        <v>No</v>
      </c>
      <c r="J32" s="13">
        <f t="shared" si="1"/>
        <v>0</v>
      </c>
      <c r="K32" s="13">
        <f t="shared" si="2"/>
        <v>0</v>
      </c>
      <c r="L32" s="13" t="str" cm="1">
        <f t="array" ref="L32">_xlfn.IFS(J32&lt;1,"",J32=1,"Pass",J32&gt;1,_xlfn.TEXTJOIN("",TRUE,"Pass x",J32))</f>
        <v/>
      </c>
      <c r="M32" s="13" t="str" cm="1">
        <f t="array" ref="M32">_xlfn.IFS(K32&lt;1,"",K32=1,"Fail",K32&gt;1,_xlfn.TEXTJOIN("",TRUE,"Fail x",K32))</f>
        <v/>
      </c>
      <c r="N32" t="str">
        <f t="shared" si="3"/>
        <v/>
      </c>
    </row>
    <row r="33" spans="8:14">
      <c r="H33" s="13">
        <f t="shared" si="0"/>
        <v>0</v>
      </c>
      <c r="I33" t="str" cm="1">
        <f t="array" ref="I33">_xlfn.IFS(H33&lt;1,"No",H33=1,"Yes",H33&gt;1,_xlfn.TEXTJOIN("",TRUE,"Yes x",H33))</f>
        <v>No</v>
      </c>
      <c r="J33" s="13">
        <f t="shared" si="1"/>
        <v>0</v>
      </c>
      <c r="K33" s="13">
        <f t="shared" si="2"/>
        <v>0</v>
      </c>
      <c r="L33" s="13" t="str" cm="1">
        <f t="array" ref="L33">_xlfn.IFS(J33&lt;1,"",J33=1,"Pass",J33&gt;1,_xlfn.TEXTJOIN("",TRUE,"Pass x",J33))</f>
        <v/>
      </c>
      <c r="M33" s="13" t="str" cm="1">
        <f t="array" ref="M33">_xlfn.IFS(K33&lt;1,"",K33=1,"Fail",K33&gt;1,_xlfn.TEXTJOIN("",TRUE,"Fail x",K33))</f>
        <v/>
      </c>
      <c r="N33" t="str">
        <f t="shared" si="3"/>
        <v/>
      </c>
    </row>
    <row r="34" spans="8:14">
      <c r="H34" s="13">
        <f t="shared" si="0"/>
        <v>0</v>
      </c>
      <c r="I34" t="str" cm="1">
        <f t="array" ref="I34">_xlfn.IFS(H34&lt;1,"No",H34=1,"Yes",H34&gt;1,_xlfn.TEXTJOIN("",TRUE,"Yes x",H34))</f>
        <v>No</v>
      </c>
      <c r="J34" s="13">
        <f t="shared" si="1"/>
        <v>0</v>
      </c>
      <c r="K34" s="13">
        <f t="shared" si="2"/>
        <v>0</v>
      </c>
      <c r="L34" s="13" t="str" cm="1">
        <f t="array" ref="L34">_xlfn.IFS(J34&lt;1,"",J34=1,"Pass",J34&gt;1,_xlfn.TEXTJOIN("",TRUE,"Pass x",J34))</f>
        <v/>
      </c>
      <c r="M34" s="13" t="str" cm="1">
        <f t="array" ref="M34">_xlfn.IFS(K34&lt;1,"",K34=1,"Fail",K34&gt;1,_xlfn.TEXTJOIN("",TRUE,"Fail x",K34))</f>
        <v/>
      </c>
      <c r="N34" t="str">
        <f t="shared" si="3"/>
        <v/>
      </c>
    </row>
    <row r="35" spans="8:14">
      <c r="H35" s="13">
        <f t="shared" si="0"/>
        <v>0</v>
      </c>
      <c r="I35" t="str" cm="1">
        <f t="array" ref="I35">_xlfn.IFS(H35&lt;1,"No",H35=1,"Yes",H35&gt;1,_xlfn.TEXTJOIN("",TRUE,"Yes x",H35))</f>
        <v>No</v>
      </c>
      <c r="J35" s="13">
        <f t="shared" si="1"/>
        <v>0</v>
      </c>
      <c r="K35" s="13">
        <f t="shared" si="2"/>
        <v>0</v>
      </c>
      <c r="L35" s="13" t="str" cm="1">
        <f t="array" ref="L35">_xlfn.IFS(J35&lt;1,"",J35=1,"Pass",J35&gt;1,_xlfn.TEXTJOIN("",TRUE,"Pass x",J35))</f>
        <v/>
      </c>
      <c r="M35" s="13" t="str" cm="1">
        <f t="array" ref="M35">_xlfn.IFS(K35&lt;1,"",K35=1,"Fail",K35&gt;1,_xlfn.TEXTJOIN("",TRUE,"Fail x",K35))</f>
        <v/>
      </c>
      <c r="N35" t="str">
        <f t="shared" si="3"/>
        <v/>
      </c>
    </row>
    <row r="36" spans="8:14">
      <c r="H36" s="13">
        <f t="shared" si="0"/>
        <v>0</v>
      </c>
      <c r="I36" t="str" cm="1">
        <f t="array" ref="I36">_xlfn.IFS(H36&lt;1,"No",H36=1,"Yes",H36&gt;1,_xlfn.TEXTJOIN("",TRUE,"Yes x",H36))</f>
        <v>No</v>
      </c>
      <c r="J36" s="13">
        <f t="shared" si="1"/>
        <v>0</v>
      </c>
      <c r="K36" s="13">
        <f t="shared" si="2"/>
        <v>0</v>
      </c>
      <c r="L36" s="13" t="str" cm="1">
        <f t="array" ref="L36">_xlfn.IFS(J36&lt;1,"",J36=1,"Pass",J36&gt;1,_xlfn.TEXTJOIN("",TRUE,"Pass x",J36))</f>
        <v/>
      </c>
      <c r="M36" s="13" t="str" cm="1">
        <f t="array" ref="M36">_xlfn.IFS(K36&lt;1,"",K36=1,"Fail",K36&gt;1,_xlfn.TEXTJOIN("",TRUE,"Fail x",K36))</f>
        <v/>
      </c>
      <c r="N36" t="str">
        <f t="shared" si="3"/>
        <v/>
      </c>
    </row>
    <row r="37" spans="8:14">
      <c r="H37" s="13">
        <f t="shared" si="0"/>
        <v>0</v>
      </c>
      <c r="I37" t="str" cm="1">
        <f t="array" ref="I37">_xlfn.IFS(H37&lt;1,"No",H37=1,"Yes",H37&gt;1,_xlfn.TEXTJOIN("",TRUE,"Yes x",H37))</f>
        <v>No</v>
      </c>
      <c r="J37" s="13">
        <f t="shared" si="1"/>
        <v>0</v>
      </c>
      <c r="K37" s="13">
        <f t="shared" si="2"/>
        <v>0</v>
      </c>
      <c r="L37" s="13" t="str" cm="1">
        <f t="array" ref="L37">_xlfn.IFS(J37&lt;1,"",J37=1,"Pass",J37&gt;1,_xlfn.TEXTJOIN("",TRUE,"Pass x",J37))</f>
        <v/>
      </c>
      <c r="M37" s="13" t="str" cm="1">
        <f t="array" ref="M37">_xlfn.IFS(K37&lt;1,"",K37=1,"Fail",K37&gt;1,_xlfn.TEXTJOIN("",TRUE,"Fail x",K37))</f>
        <v/>
      </c>
      <c r="N37" t="str">
        <f t="shared" si="3"/>
        <v/>
      </c>
    </row>
    <row r="38" spans="8:14">
      <c r="H38" s="13">
        <f t="shared" si="0"/>
        <v>0</v>
      </c>
      <c r="I38" t="str" cm="1">
        <f t="array" ref="I38">_xlfn.IFS(H38&lt;1,"No",H38=1,"Yes",H38&gt;1,_xlfn.TEXTJOIN("",TRUE,"Yes x",H38))</f>
        <v>No</v>
      </c>
      <c r="J38" s="13">
        <f t="shared" si="1"/>
        <v>0</v>
      </c>
      <c r="K38" s="13">
        <f t="shared" si="2"/>
        <v>0</v>
      </c>
      <c r="L38" s="13" t="str" cm="1">
        <f t="array" ref="L38">_xlfn.IFS(J38&lt;1,"",J38=1,"Pass",J38&gt;1,_xlfn.TEXTJOIN("",TRUE,"Pass x",J38))</f>
        <v/>
      </c>
      <c r="M38" s="13" t="str" cm="1">
        <f t="array" ref="M38">_xlfn.IFS(K38&lt;1,"",K38=1,"Fail",K38&gt;1,_xlfn.TEXTJOIN("",TRUE,"Fail x",K38))</f>
        <v/>
      </c>
      <c r="N38" t="str">
        <f t="shared" si="3"/>
        <v/>
      </c>
    </row>
    <row r="39" spans="8:14">
      <c r="H39" s="13">
        <f t="shared" si="0"/>
        <v>0</v>
      </c>
      <c r="I39" t="str" cm="1">
        <f t="array" ref="I39">_xlfn.IFS(H39&lt;1,"No",H39=1,"Yes",H39&gt;1,_xlfn.TEXTJOIN("",TRUE,"Yes x",H39))</f>
        <v>No</v>
      </c>
      <c r="J39" s="13">
        <f t="shared" si="1"/>
        <v>0</v>
      </c>
      <c r="K39" s="13">
        <f t="shared" si="2"/>
        <v>0</v>
      </c>
      <c r="L39" s="13" t="str" cm="1">
        <f t="array" ref="L39">_xlfn.IFS(J39&lt;1,"",J39=1,"Pass",J39&gt;1,_xlfn.TEXTJOIN("",TRUE,"Pass x",J39))</f>
        <v/>
      </c>
      <c r="M39" s="13" t="str" cm="1">
        <f t="array" ref="M39">_xlfn.IFS(K39&lt;1,"",K39=1,"Fail",K39&gt;1,_xlfn.TEXTJOIN("",TRUE,"Fail x",K39))</f>
        <v/>
      </c>
      <c r="N39" t="str">
        <f t="shared" si="3"/>
        <v/>
      </c>
    </row>
    <row r="40" spans="8:14">
      <c r="H40" s="13">
        <f t="shared" si="0"/>
        <v>0</v>
      </c>
      <c r="I40" t="str" cm="1">
        <f t="array" ref="I40">_xlfn.IFS(H40&lt;1,"No",H40=1,"Yes",H40&gt;1,_xlfn.TEXTJOIN("",TRUE,"Yes x",H40))</f>
        <v>No</v>
      </c>
      <c r="J40" s="13">
        <f t="shared" si="1"/>
        <v>0</v>
      </c>
      <c r="K40" s="13">
        <f t="shared" si="2"/>
        <v>0</v>
      </c>
      <c r="L40" s="13" t="str" cm="1">
        <f t="array" ref="L40">_xlfn.IFS(J40&lt;1,"",J40=1,"Pass",J40&gt;1,_xlfn.TEXTJOIN("",TRUE,"Pass x",J40))</f>
        <v/>
      </c>
      <c r="M40" s="13" t="str" cm="1">
        <f t="array" ref="M40">_xlfn.IFS(K40&lt;1,"",K40=1,"Fail",K40&gt;1,_xlfn.TEXTJOIN("",TRUE,"Fail x",K40))</f>
        <v/>
      </c>
      <c r="N40" t="str">
        <f t="shared" si="3"/>
        <v/>
      </c>
    </row>
    <row r="41" spans="8:14">
      <c r="H41" s="13">
        <f t="shared" si="0"/>
        <v>0</v>
      </c>
      <c r="I41" t="str" cm="1">
        <f t="array" ref="I41">_xlfn.IFS(H41&lt;1,"No",H41=1,"Yes",H41&gt;1,_xlfn.TEXTJOIN("",TRUE,"Yes x",H41))</f>
        <v>No</v>
      </c>
      <c r="J41" s="13">
        <f t="shared" si="1"/>
        <v>0</v>
      </c>
      <c r="K41" s="13">
        <f t="shared" si="2"/>
        <v>0</v>
      </c>
      <c r="L41" s="13" t="str" cm="1">
        <f t="array" ref="L41">_xlfn.IFS(J41&lt;1,"",J41=1,"Pass",J41&gt;1,_xlfn.TEXTJOIN("",TRUE,"Pass x",J41))</f>
        <v/>
      </c>
      <c r="M41" s="13" t="str" cm="1">
        <f t="array" ref="M41">_xlfn.IFS(K41&lt;1,"",K41=1,"Fail",K41&gt;1,_xlfn.TEXTJOIN("",TRUE,"Fail x",K41))</f>
        <v/>
      </c>
      <c r="N41" t="str">
        <f t="shared" si="3"/>
        <v/>
      </c>
    </row>
    <row r="42" spans="8:14">
      <c r="H42" s="13">
        <f t="shared" si="0"/>
        <v>0</v>
      </c>
      <c r="I42" t="str" cm="1">
        <f t="array" ref="I42">_xlfn.IFS(H42&lt;1,"No",H42=1,"Yes",H42&gt;1,_xlfn.TEXTJOIN("",TRUE,"Yes x",H42))</f>
        <v>No</v>
      </c>
      <c r="J42" s="13">
        <f t="shared" si="1"/>
        <v>0</v>
      </c>
      <c r="K42" s="13">
        <f t="shared" si="2"/>
        <v>0</v>
      </c>
      <c r="L42" s="13" t="str" cm="1">
        <f t="array" ref="L42">_xlfn.IFS(J42&lt;1,"",J42=1,"Pass",J42&gt;1,_xlfn.TEXTJOIN("",TRUE,"Pass x",J42))</f>
        <v/>
      </c>
      <c r="M42" s="13" t="str" cm="1">
        <f t="array" ref="M42">_xlfn.IFS(K42&lt;1,"",K42=1,"Fail",K42&gt;1,_xlfn.TEXTJOIN("",TRUE,"Fail x",K42))</f>
        <v/>
      </c>
      <c r="N42" t="str">
        <f t="shared" si="3"/>
        <v/>
      </c>
    </row>
    <row r="43" spans="8:14">
      <c r="H43" s="13">
        <f t="shared" si="0"/>
        <v>0</v>
      </c>
      <c r="I43" t="str" cm="1">
        <f t="array" ref="I43">_xlfn.IFS(H43&lt;1,"No",H43=1,"Yes",H43&gt;1,_xlfn.TEXTJOIN("",TRUE,"Yes x",H43))</f>
        <v>No</v>
      </c>
      <c r="J43" s="13">
        <f t="shared" si="1"/>
        <v>0</v>
      </c>
      <c r="K43" s="13">
        <f t="shared" si="2"/>
        <v>0</v>
      </c>
      <c r="L43" s="13" t="str" cm="1">
        <f t="array" ref="L43">_xlfn.IFS(J43&lt;1,"",J43=1,"Pass",J43&gt;1,_xlfn.TEXTJOIN("",TRUE,"Pass x",J43))</f>
        <v/>
      </c>
      <c r="M43" s="13" t="str" cm="1">
        <f t="array" ref="M43">_xlfn.IFS(K43&lt;1,"",K43=1,"Fail",K43&gt;1,_xlfn.TEXTJOIN("",TRUE,"Fail x",K43))</f>
        <v/>
      </c>
      <c r="N43" t="str">
        <f t="shared" si="3"/>
        <v/>
      </c>
    </row>
    <row r="44" spans="8:14">
      <c r="H44" s="13">
        <f t="shared" si="0"/>
        <v>0</v>
      </c>
      <c r="I44" t="str" cm="1">
        <f t="array" ref="I44">_xlfn.IFS(H44&lt;1,"No",H44=1,"Yes",H44&gt;1,_xlfn.TEXTJOIN("",TRUE,"Yes x",H44))</f>
        <v>No</v>
      </c>
      <c r="J44" s="13">
        <f t="shared" si="1"/>
        <v>0</v>
      </c>
      <c r="K44" s="13">
        <f t="shared" si="2"/>
        <v>0</v>
      </c>
      <c r="L44" s="13" t="str" cm="1">
        <f t="array" ref="L44">_xlfn.IFS(J44&lt;1,"",J44=1,"Pass",J44&gt;1,_xlfn.TEXTJOIN("",TRUE,"Pass x",J44))</f>
        <v/>
      </c>
      <c r="M44" s="13" t="str" cm="1">
        <f t="array" ref="M44">_xlfn.IFS(K44&lt;1,"",K44=1,"Fail",K44&gt;1,_xlfn.TEXTJOIN("",TRUE,"Fail x",K44))</f>
        <v/>
      </c>
      <c r="N44" t="str">
        <f t="shared" si="3"/>
        <v/>
      </c>
    </row>
    <row r="45" spans="8:14">
      <c r="H45" s="13">
        <f t="shared" si="0"/>
        <v>0</v>
      </c>
      <c r="I45" t="str" cm="1">
        <f t="array" ref="I45">_xlfn.IFS(H45&lt;1,"No",H45=1,"Yes",H45&gt;1,_xlfn.TEXTJOIN("",TRUE,"Yes x",H45))</f>
        <v>No</v>
      </c>
      <c r="J45" s="13">
        <f t="shared" si="1"/>
        <v>0</v>
      </c>
      <c r="K45" s="13">
        <f t="shared" si="2"/>
        <v>0</v>
      </c>
      <c r="L45" s="13" t="str" cm="1">
        <f t="array" ref="L45">_xlfn.IFS(J45&lt;1,"",J45=1,"Pass",J45&gt;1,_xlfn.TEXTJOIN("",TRUE,"Pass x",J45))</f>
        <v/>
      </c>
      <c r="M45" s="13" t="str" cm="1">
        <f t="array" ref="M45">_xlfn.IFS(K45&lt;1,"",K45=1,"Fail",K45&gt;1,_xlfn.TEXTJOIN("",TRUE,"Fail x",K45))</f>
        <v/>
      </c>
      <c r="N45" t="str">
        <f t="shared" si="3"/>
        <v/>
      </c>
    </row>
    <row r="46" spans="8:14">
      <c r="H46" s="13">
        <f t="shared" si="0"/>
        <v>0</v>
      </c>
      <c r="I46" t="str" cm="1">
        <f t="array" ref="I46">_xlfn.IFS(H46&lt;1,"No",H46=1,"Yes",H46&gt;1,_xlfn.TEXTJOIN("",TRUE,"Yes x",H46))</f>
        <v>No</v>
      </c>
      <c r="J46" s="13">
        <f t="shared" si="1"/>
        <v>0</v>
      </c>
      <c r="K46" s="13">
        <f t="shared" si="2"/>
        <v>0</v>
      </c>
      <c r="L46" s="13" t="str" cm="1">
        <f t="array" ref="L46">_xlfn.IFS(J46&lt;1,"",J46=1,"Pass",J46&gt;1,_xlfn.TEXTJOIN("",TRUE,"Pass x",J46))</f>
        <v/>
      </c>
      <c r="M46" s="13" t="str" cm="1">
        <f t="array" ref="M46">_xlfn.IFS(K46&lt;1,"",K46=1,"Fail",K46&gt;1,_xlfn.TEXTJOIN("",TRUE,"Fail x",K46))</f>
        <v/>
      </c>
      <c r="N46" t="str">
        <f t="shared" si="3"/>
        <v/>
      </c>
    </row>
    <row r="47" spans="8:14">
      <c r="H47" s="13">
        <f t="shared" si="0"/>
        <v>0</v>
      </c>
      <c r="I47" t="str" cm="1">
        <f t="array" ref="I47">_xlfn.IFS(H47&lt;1,"No",H47=1,"Yes",H47&gt;1,_xlfn.TEXTJOIN("",TRUE,"Yes x",H47))</f>
        <v>No</v>
      </c>
      <c r="J47" s="13">
        <f t="shared" si="1"/>
        <v>0</v>
      </c>
      <c r="K47" s="13">
        <f t="shared" si="2"/>
        <v>0</v>
      </c>
      <c r="L47" s="13" t="str" cm="1">
        <f t="array" ref="L47">_xlfn.IFS(J47&lt;1,"",J47=1,"Pass",J47&gt;1,_xlfn.TEXTJOIN("",TRUE,"Pass x",J47))</f>
        <v/>
      </c>
      <c r="M47" s="13" t="str" cm="1">
        <f t="array" ref="M47">_xlfn.IFS(K47&lt;1,"",K47=1,"Fail",K47&gt;1,_xlfn.TEXTJOIN("",TRUE,"Fail x",K47))</f>
        <v/>
      </c>
      <c r="N47" t="str">
        <f t="shared" si="3"/>
        <v/>
      </c>
    </row>
    <row r="48" spans="8:14">
      <c r="H48" s="13">
        <f t="shared" si="0"/>
        <v>0</v>
      </c>
      <c r="I48" t="str" cm="1">
        <f t="array" ref="I48">_xlfn.IFS(H48&lt;1,"No",H48=1,"Yes",H48&gt;1,_xlfn.TEXTJOIN("",TRUE,"Yes x",H48))</f>
        <v>No</v>
      </c>
      <c r="J48" s="13">
        <f t="shared" si="1"/>
        <v>0</v>
      </c>
      <c r="K48" s="13">
        <f t="shared" si="2"/>
        <v>0</v>
      </c>
      <c r="L48" s="13" t="str" cm="1">
        <f t="array" ref="L48">_xlfn.IFS(J48&lt;1,"",J48=1,"Pass",J48&gt;1,_xlfn.TEXTJOIN("",TRUE,"Pass x",J48))</f>
        <v/>
      </c>
      <c r="M48" s="13" t="str" cm="1">
        <f t="array" ref="M48">_xlfn.IFS(K48&lt;1,"",K48=1,"Fail",K48&gt;1,_xlfn.TEXTJOIN("",TRUE,"Fail x",K48))</f>
        <v/>
      </c>
      <c r="N48" t="str">
        <f t="shared" si="3"/>
        <v/>
      </c>
    </row>
    <row r="49" spans="8:14">
      <c r="H49" s="13">
        <f t="shared" si="0"/>
        <v>0</v>
      </c>
      <c r="I49" t="str" cm="1">
        <f t="array" ref="I49">_xlfn.IFS(H49&lt;1,"No",H49=1,"Yes",H49&gt;1,_xlfn.TEXTJOIN("",TRUE,"Yes x",H49))</f>
        <v>No</v>
      </c>
      <c r="J49" s="13">
        <f t="shared" si="1"/>
        <v>0</v>
      </c>
      <c r="K49" s="13">
        <f t="shared" si="2"/>
        <v>0</v>
      </c>
      <c r="L49" s="13" t="str" cm="1">
        <f t="array" ref="L49">_xlfn.IFS(J49&lt;1,"",J49=1,"Pass",J49&gt;1,_xlfn.TEXTJOIN("",TRUE,"Pass x",J49))</f>
        <v/>
      </c>
      <c r="M49" s="13" t="str" cm="1">
        <f t="array" ref="M49">_xlfn.IFS(K49&lt;1,"",K49=1,"Fail",K49&gt;1,_xlfn.TEXTJOIN("",TRUE,"Fail x",K49))</f>
        <v/>
      </c>
      <c r="N49" t="str">
        <f t="shared" si="3"/>
        <v/>
      </c>
    </row>
    <row r="50" spans="8:14">
      <c r="H50" s="13">
        <f t="shared" si="0"/>
        <v>0</v>
      </c>
      <c r="I50" t="str" cm="1">
        <f t="array" ref="I50">_xlfn.IFS(H50&lt;1,"No",H50=1,"Yes",H50&gt;1,_xlfn.TEXTJOIN("",TRUE,"Yes x",H50))</f>
        <v>No</v>
      </c>
      <c r="J50" s="13">
        <f t="shared" si="1"/>
        <v>0</v>
      </c>
      <c r="K50" s="13">
        <f t="shared" si="2"/>
        <v>0</v>
      </c>
      <c r="L50" s="13" t="str" cm="1">
        <f t="array" ref="L50">_xlfn.IFS(J50&lt;1,"",J50=1,"Pass",J50&gt;1,_xlfn.TEXTJOIN("",TRUE,"Pass x",J50))</f>
        <v/>
      </c>
      <c r="M50" s="13" t="str" cm="1">
        <f t="array" ref="M50">_xlfn.IFS(K50&lt;1,"",K50=1,"Fail",K50&gt;1,_xlfn.TEXTJOIN("",TRUE,"Fail x",K50))</f>
        <v/>
      </c>
      <c r="N50" t="str">
        <f t="shared" si="3"/>
        <v/>
      </c>
    </row>
    <row r="51" spans="8:14">
      <c r="H51" s="13">
        <f t="shared" si="0"/>
        <v>0</v>
      </c>
      <c r="I51" t="str" cm="1">
        <f t="array" ref="I51">_xlfn.IFS(H51&lt;1,"No",H51=1,"Yes",H51&gt;1,_xlfn.TEXTJOIN("",TRUE,"Yes x",H51))</f>
        <v>No</v>
      </c>
      <c r="J51" s="13">
        <f t="shared" si="1"/>
        <v>0</v>
      </c>
      <c r="K51" s="13">
        <f t="shared" si="2"/>
        <v>0</v>
      </c>
      <c r="L51" s="13" t="str" cm="1">
        <f t="array" ref="L51">_xlfn.IFS(J51&lt;1,"",J51=1,"Pass",J51&gt;1,_xlfn.TEXTJOIN("",TRUE,"Pass x",J51))</f>
        <v/>
      </c>
      <c r="M51" s="13" t="str" cm="1">
        <f t="array" ref="M51">_xlfn.IFS(K51&lt;1,"",K51=1,"Fail",K51&gt;1,_xlfn.TEXTJOIN("",TRUE,"Fail x",K51))</f>
        <v/>
      </c>
      <c r="N51" t="str">
        <f t="shared" si="3"/>
        <v/>
      </c>
    </row>
    <row r="52" spans="8:14">
      <c r="H52" s="13">
        <f t="shared" si="0"/>
        <v>0</v>
      </c>
      <c r="I52" t="str" cm="1">
        <f t="array" ref="I52">_xlfn.IFS(H52&lt;1,"No",H52=1,"Yes",H52&gt;1,_xlfn.TEXTJOIN("",TRUE,"Yes x",H52))</f>
        <v>No</v>
      </c>
      <c r="J52" s="13">
        <f t="shared" si="1"/>
        <v>0</v>
      </c>
      <c r="K52" s="13">
        <f t="shared" si="2"/>
        <v>0</v>
      </c>
      <c r="L52" s="13" t="str" cm="1">
        <f t="array" ref="L52">_xlfn.IFS(J52&lt;1,"",J52=1,"Pass",J52&gt;1,_xlfn.TEXTJOIN("",TRUE,"Pass x",J52))</f>
        <v/>
      </c>
      <c r="M52" s="13" t="str" cm="1">
        <f t="array" ref="M52">_xlfn.IFS(K52&lt;1,"",K52=1,"Fail",K52&gt;1,_xlfn.TEXTJOIN("",TRUE,"Fail x",K52))</f>
        <v/>
      </c>
      <c r="N52" t="str">
        <f t="shared" si="3"/>
        <v/>
      </c>
    </row>
    <row r="53" spans="8:14">
      <c r="H53" s="13">
        <f t="shared" si="0"/>
        <v>0</v>
      </c>
      <c r="I53" t="str" cm="1">
        <f t="array" ref="I53">_xlfn.IFS(H53&lt;1,"No",H53=1,"Yes",H53&gt;1,_xlfn.TEXTJOIN("",TRUE,"Yes x",H53))</f>
        <v>No</v>
      </c>
      <c r="J53" s="13">
        <f t="shared" si="1"/>
        <v>0</v>
      </c>
      <c r="K53" s="13">
        <f t="shared" si="2"/>
        <v>0</v>
      </c>
      <c r="L53" s="13" t="str" cm="1">
        <f t="array" ref="L53">_xlfn.IFS(J53&lt;1,"",J53=1,"Pass",J53&gt;1,_xlfn.TEXTJOIN("",TRUE,"Pass x",J53))</f>
        <v/>
      </c>
      <c r="M53" s="13" t="str" cm="1">
        <f t="array" ref="M53">_xlfn.IFS(K53&lt;1,"",K53=1,"Fail",K53&gt;1,_xlfn.TEXTJOIN("",TRUE,"Fail x",K53))</f>
        <v/>
      </c>
      <c r="N53" t="str">
        <f t="shared" si="3"/>
        <v/>
      </c>
    </row>
    <row r="54" spans="8:14">
      <c r="H54" s="13">
        <f t="shared" si="0"/>
        <v>0</v>
      </c>
      <c r="I54" t="str" cm="1">
        <f t="array" ref="I54">_xlfn.IFS(H54&lt;1,"No",H54=1,"Yes",H54&gt;1,_xlfn.TEXTJOIN("",TRUE,"Yes x",H54))</f>
        <v>No</v>
      </c>
      <c r="J54" s="13">
        <f t="shared" si="1"/>
        <v>0</v>
      </c>
      <c r="K54" s="13">
        <f t="shared" si="2"/>
        <v>0</v>
      </c>
      <c r="L54" s="13" t="str" cm="1">
        <f t="array" ref="L54">_xlfn.IFS(J54&lt;1,"",J54=1,"Pass",J54&gt;1,_xlfn.TEXTJOIN("",TRUE,"Pass x",J54))</f>
        <v/>
      </c>
      <c r="M54" s="13" t="str" cm="1">
        <f t="array" ref="M54">_xlfn.IFS(K54&lt;1,"",K54=1,"Fail",K54&gt;1,_xlfn.TEXTJOIN("",TRUE,"Fail x",K54))</f>
        <v/>
      </c>
      <c r="N54" t="str">
        <f t="shared" si="3"/>
        <v/>
      </c>
    </row>
    <row r="55" spans="8:14">
      <c r="H55" s="13">
        <f t="shared" si="0"/>
        <v>0</v>
      </c>
      <c r="I55" t="str" cm="1">
        <f t="array" ref="I55">_xlfn.IFS(H55&lt;1,"No",H55=1,"Yes",H55&gt;1,_xlfn.TEXTJOIN("",TRUE,"Yes x",H55))</f>
        <v>No</v>
      </c>
      <c r="J55" s="13">
        <f t="shared" si="1"/>
        <v>0</v>
      </c>
      <c r="K55" s="13">
        <f t="shared" si="2"/>
        <v>0</v>
      </c>
      <c r="L55" s="13" t="str" cm="1">
        <f t="array" ref="L55">_xlfn.IFS(J55&lt;1,"",J55=1,"Pass",J55&gt;1,_xlfn.TEXTJOIN("",TRUE,"Pass x",J55))</f>
        <v/>
      </c>
      <c r="M55" s="13" t="str" cm="1">
        <f t="array" ref="M55">_xlfn.IFS(K55&lt;1,"",K55=1,"Fail",K55&gt;1,_xlfn.TEXTJOIN("",TRUE,"Fail x",K55))</f>
        <v/>
      </c>
      <c r="N55" t="str">
        <f t="shared" si="3"/>
        <v/>
      </c>
    </row>
    <row r="56" spans="8:14">
      <c r="H56" s="13">
        <f t="shared" si="0"/>
        <v>0</v>
      </c>
      <c r="I56" t="str" cm="1">
        <f t="array" ref="I56">_xlfn.IFS(H56&lt;1,"No",H56=1,"Yes",H56&gt;1,_xlfn.TEXTJOIN("",TRUE,"Yes x",H56))</f>
        <v>No</v>
      </c>
      <c r="J56" s="13">
        <f t="shared" si="1"/>
        <v>0</v>
      </c>
      <c r="K56" s="13">
        <f t="shared" si="2"/>
        <v>0</v>
      </c>
      <c r="L56" s="13" t="str" cm="1">
        <f t="array" ref="L56">_xlfn.IFS(J56&lt;1,"",J56=1,"Pass",J56&gt;1,_xlfn.TEXTJOIN("",TRUE,"Pass x",J56))</f>
        <v/>
      </c>
      <c r="M56" s="13" t="str" cm="1">
        <f t="array" ref="M56">_xlfn.IFS(K56&lt;1,"",K56=1,"Fail",K56&gt;1,_xlfn.TEXTJOIN("",TRUE,"Fail x",K56))</f>
        <v/>
      </c>
      <c r="N56" t="str">
        <f t="shared" si="3"/>
        <v/>
      </c>
    </row>
    <row r="57" spans="8:14">
      <c r="H57" s="13">
        <f t="shared" si="0"/>
        <v>0</v>
      </c>
      <c r="I57" t="str" cm="1">
        <f t="array" ref="I57">_xlfn.IFS(H57&lt;1,"No",H57=1,"Yes",H57&gt;1,_xlfn.TEXTJOIN("",TRUE,"Yes x",H57))</f>
        <v>No</v>
      </c>
      <c r="J57" s="13">
        <f t="shared" si="1"/>
        <v>0</v>
      </c>
      <c r="K57" s="13">
        <f t="shared" si="2"/>
        <v>0</v>
      </c>
      <c r="L57" s="13" t="str" cm="1">
        <f t="array" ref="L57">_xlfn.IFS(J57&lt;1,"",J57=1,"Pass",J57&gt;1,_xlfn.TEXTJOIN("",TRUE,"Pass x",J57))</f>
        <v/>
      </c>
      <c r="M57" s="13" t="str" cm="1">
        <f t="array" ref="M57">_xlfn.IFS(K57&lt;1,"",K57=1,"Fail",K57&gt;1,_xlfn.TEXTJOIN("",TRUE,"Fail x",K57))</f>
        <v/>
      </c>
      <c r="N57" t="str">
        <f t="shared" si="3"/>
        <v/>
      </c>
    </row>
    <row r="58" spans="8:14">
      <c r="H58" s="13">
        <f t="shared" si="0"/>
        <v>0</v>
      </c>
      <c r="I58" t="str" cm="1">
        <f t="array" ref="I58">_xlfn.IFS(H58&lt;1,"No",H58=1,"Yes",H58&gt;1,_xlfn.TEXTJOIN("",TRUE,"Yes x",H58))</f>
        <v>No</v>
      </c>
      <c r="J58" s="13">
        <f t="shared" si="1"/>
        <v>0</v>
      </c>
      <c r="K58" s="13">
        <f t="shared" si="2"/>
        <v>0</v>
      </c>
      <c r="L58" s="13" t="str" cm="1">
        <f t="array" ref="L58">_xlfn.IFS(J58&lt;1,"",J58=1,"Pass",J58&gt;1,_xlfn.TEXTJOIN("",TRUE,"Pass x",J58))</f>
        <v/>
      </c>
      <c r="M58" s="13" t="str" cm="1">
        <f t="array" ref="M58">_xlfn.IFS(K58&lt;1,"",K58=1,"Fail",K58&gt;1,_xlfn.TEXTJOIN("",TRUE,"Fail x",K58))</f>
        <v/>
      </c>
      <c r="N58" t="str">
        <f t="shared" si="3"/>
        <v/>
      </c>
    </row>
    <row r="59" spans="8:14">
      <c r="H59" s="13">
        <f t="shared" si="0"/>
        <v>0</v>
      </c>
      <c r="I59" t="str" cm="1">
        <f t="array" ref="I59">_xlfn.IFS(H59&lt;1,"No",H59=1,"Yes",H59&gt;1,_xlfn.TEXTJOIN("",TRUE,"Yes x",H59))</f>
        <v>No</v>
      </c>
      <c r="J59" s="13">
        <f t="shared" si="1"/>
        <v>0</v>
      </c>
      <c r="K59" s="13">
        <f t="shared" si="2"/>
        <v>0</v>
      </c>
      <c r="L59" s="13" t="str" cm="1">
        <f t="array" ref="L59">_xlfn.IFS(J59&lt;1,"",J59=1,"Pass",J59&gt;1,_xlfn.TEXTJOIN("",TRUE,"Pass x",J59))</f>
        <v/>
      </c>
      <c r="M59" s="13" t="str" cm="1">
        <f t="array" ref="M59">_xlfn.IFS(K59&lt;1,"",K59=1,"Fail",K59&gt;1,_xlfn.TEXTJOIN("",TRUE,"Fail x",K59))</f>
        <v/>
      </c>
      <c r="N59" t="str">
        <f t="shared" si="3"/>
        <v/>
      </c>
    </row>
    <row r="60" spans="8:14">
      <c r="H60" s="13">
        <f t="shared" si="0"/>
        <v>0</v>
      </c>
      <c r="I60" t="str" cm="1">
        <f t="array" ref="I60">_xlfn.IFS(H60&lt;1,"No",H60=1,"Yes",H60&gt;1,_xlfn.TEXTJOIN("",TRUE,"Yes x",H60))</f>
        <v>No</v>
      </c>
      <c r="J60" s="13">
        <f t="shared" si="1"/>
        <v>0</v>
      </c>
      <c r="K60" s="13">
        <f t="shared" si="2"/>
        <v>0</v>
      </c>
      <c r="L60" s="13" t="str" cm="1">
        <f t="array" ref="L60">_xlfn.IFS(J60&lt;1,"",J60=1,"Pass",J60&gt;1,_xlfn.TEXTJOIN("",TRUE,"Pass x",J60))</f>
        <v/>
      </c>
      <c r="M60" s="13" t="str" cm="1">
        <f t="array" ref="M60">_xlfn.IFS(K60&lt;1,"",K60=1,"Fail",K60&gt;1,_xlfn.TEXTJOIN("",TRUE,"Fail x",K60))</f>
        <v/>
      </c>
      <c r="N60" t="str">
        <f t="shared" si="3"/>
        <v/>
      </c>
    </row>
    <row r="61" spans="8:14">
      <c r="H61" s="13">
        <f t="shared" si="0"/>
        <v>0</v>
      </c>
      <c r="I61" t="str" cm="1">
        <f t="array" ref="I61">_xlfn.IFS(H61&lt;1,"No",H61=1,"Yes",H61&gt;1,_xlfn.TEXTJOIN("",TRUE,"Yes x",H61))</f>
        <v>No</v>
      </c>
      <c r="J61" s="13">
        <f t="shared" si="1"/>
        <v>0</v>
      </c>
      <c r="K61" s="13">
        <f t="shared" si="2"/>
        <v>0</v>
      </c>
      <c r="L61" s="13" t="str" cm="1">
        <f t="array" ref="L61">_xlfn.IFS(J61&lt;1,"",J61=1,"Pass",J61&gt;1,_xlfn.TEXTJOIN("",TRUE,"Pass x",J61))</f>
        <v/>
      </c>
      <c r="M61" s="13" t="str" cm="1">
        <f t="array" ref="M61">_xlfn.IFS(K61&lt;1,"",K61=1,"Fail",K61&gt;1,_xlfn.TEXTJOIN("",TRUE,"Fail x",K61))</f>
        <v/>
      </c>
      <c r="N61" t="str">
        <f t="shared" si="3"/>
        <v/>
      </c>
    </row>
    <row r="62" spans="8:14">
      <c r="H62" s="13">
        <f t="shared" si="0"/>
        <v>0</v>
      </c>
      <c r="I62" t="str" cm="1">
        <f t="array" ref="I62">_xlfn.IFS(H62&lt;1,"No",H62=1,"Yes",H62&gt;1,_xlfn.TEXTJOIN("",TRUE,"Yes x",H62))</f>
        <v>No</v>
      </c>
      <c r="J62" s="13">
        <f t="shared" si="1"/>
        <v>0</v>
      </c>
      <c r="K62" s="13">
        <f t="shared" si="2"/>
        <v>0</v>
      </c>
      <c r="L62" s="13" t="str" cm="1">
        <f t="array" ref="L62">_xlfn.IFS(J62&lt;1,"",J62=1,"Pass",J62&gt;1,_xlfn.TEXTJOIN("",TRUE,"Pass x",J62))</f>
        <v/>
      </c>
      <c r="M62" s="13" t="str" cm="1">
        <f t="array" ref="M62">_xlfn.IFS(K62&lt;1,"",K62=1,"Fail",K62&gt;1,_xlfn.TEXTJOIN("",TRUE,"Fail x",K62))</f>
        <v/>
      </c>
      <c r="N62" t="str">
        <f t="shared" si="3"/>
        <v/>
      </c>
    </row>
    <row r="63" spans="8:14">
      <c r="H63" s="13">
        <f t="shared" si="0"/>
        <v>0</v>
      </c>
      <c r="I63" t="str" cm="1">
        <f t="array" ref="I63">_xlfn.IFS(H63&lt;1,"No",H63=1,"Yes",H63&gt;1,_xlfn.TEXTJOIN("",TRUE,"Yes x",H63))</f>
        <v>No</v>
      </c>
      <c r="J63" s="13">
        <f t="shared" si="1"/>
        <v>0</v>
      </c>
      <c r="K63" s="13">
        <f t="shared" si="2"/>
        <v>0</v>
      </c>
      <c r="L63" s="13" t="str" cm="1">
        <f t="array" ref="L63">_xlfn.IFS(J63&lt;1,"",J63=1,"Pass",J63&gt;1,_xlfn.TEXTJOIN("",TRUE,"Pass x",J63))</f>
        <v/>
      </c>
      <c r="M63" s="13" t="str" cm="1">
        <f t="array" ref="M63">_xlfn.IFS(K63&lt;1,"",K63=1,"Fail",K63&gt;1,_xlfn.TEXTJOIN("",TRUE,"Fail x",K63))</f>
        <v/>
      </c>
      <c r="N63" t="str">
        <f t="shared" si="3"/>
        <v/>
      </c>
    </row>
    <row r="64" spans="8:14">
      <c r="H64" s="13">
        <f t="shared" si="0"/>
        <v>0</v>
      </c>
      <c r="I64" t="str" cm="1">
        <f t="array" ref="I64">_xlfn.IFS(H64&lt;1,"No",H64=1,"Yes",H64&gt;1,_xlfn.TEXTJOIN("",TRUE,"Yes x",H64))</f>
        <v>No</v>
      </c>
      <c r="J64" s="13">
        <f t="shared" si="1"/>
        <v>0</v>
      </c>
      <c r="K64" s="13">
        <f t="shared" si="2"/>
        <v>0</v>
      </c>
      <c r="L64" s="13" t="str" cm="1">
        <f t="array" ref="L64">_xlfn.IFS(J64&lt;1,"",J64=1,"Pass",J64&gt;1,_xlfn.TEXTJOIN("",TRUE,"Pass x",J64))</f>
        <v/>
      </c>
      <c r="M64" s="13" t="str" cm="1">
        <f t="array" ref="M64">_xlfn.IFS(K64&lt;1,"",K64=1,"Fail",K64&gt;1,_xlfn.TEXTJOIN("",TRUE,"Fail x",K64))</f>
        <v/>
      </c>
      <c r="N64" t="str">
        <f t="shared" si="3"/>
        <v/>
      </c>
    </row>
    <row r="65" spans="8:14">
      <c r="H65" s="13">
        <f t="shared" si="0"/>
        <v>0</v>
      </c>
      <c r="I65" t="str" cm="1">
        <f t="array" ref="I65">_xlfn.IFS(H65&lt;1,"No",H65=1,"Yes",H65&gt;1,_xlfn.TEXTJOIN("",TRUE,"Yes x",H65))</f>
        <v>No</v>
      </c>
      <c r="J65" s="13">
        <f t="shared" si="1"/>
        <v>0</v>
      </c>
      <c r="K65" s="13">
        <f t="shared" si="2"/>
        <v>0</v>
      </c>
      <c r="L65" s="13" t="str" cm="1">
        <f t="array" ref="L65">_xlfn.IFS(J65&lt;1,"",J65=1,"Pass",J65&gt;1,_xlfn.TEXTJOIN("",TRUE,"Pass x",J65))</f>
        <v/>
      </c>
      <c r="M65" s="13" t="str" cm="1">
        <f t="array" ref="M65">_xlfn.IFS(K65&lt;1,"",K65=1,"Fail",K65&gt;1,_xlfn.TEXTJOIN("",TRUE,"Fail x",K65))</f>
        <v/>
      </c>
      <c r="N65" t="str">
        <f t="shared" si="3"/>
        <v/>
      </c>
    </row>
    <row r="66" spans="8:14">
      <c r="H66" s="13">
        <f t="shared" si="0"/>
        <v>0</v>
      </c>
      <c r="I66" t="str" cm="1">
        <f t="array" ref="I66">_xlfn.IFS(H66&lt;1,"No",H66=1,"Yes",H66&gt;1,_xlfn.TEXTJOIN("",TRUE,"Yes x",H66))</f>
        <v>No</v>
      </c>
      <c r="J66" s="13">
        <f t="shared" si="1"/>
        <v>0</v>
      </c>
      <c r="K66" s="13">
        <f t="shared" si="2"/>
        <v>0</v>
      </c>
      <c r="L66" s="13" t="str" cm="1">
        <f t="array" ref="L66">_xlfn.IFS(J66&lt;1,"",J66=1,"Pass",J66&gt;1,_xlfn.TEXTJOIN("",TRUE,"Pass x",J66))</f>
        <v/>
      </c>
      <c r="M66" s="13" t="str" cm="1">
        <f t="array" ref="M66">_xlfn.IFS(K66&lt;1,"",K66=1,"Fail",K66&gt;1,_xlfn.TEXTJOIN("",TRUE,"Fail x",K66))</f>
        <v/>
      </c>
      <c r="N66" t="str">
        <f t="shared" si="3"/>
        <v/>
      </c>
    </row>
    <row r="67" spans="8:14">
      <c r="H67" s="13">
        <f t="shared" ref="H67:H130" si="4">IFERROR(GETPIVOTDATA("Successful / Failed",$A$1,"System serial",G67),0)</f>
        <v>0</v>
      </c>
      <c r="I67" t="str" cm="1">
        <f t="array" ref="I67">_xlfn.IFS(H67&lt;1,"No",H67=1,"Yes",H67&gt;1,_xlfn.TEXTJOIN("",TRUE,"Yes x",H67))</f>
        <v>No</v>
      </c>
      <c r="J67" s="13">
        <f t="shared" ref="J67:J130" si="5">IFERROR(GETPIVOTDATA("Successful / Failed",$A$1,"System serial",G67,"Successful / Failed","Successful"),0)</f>
        <v>0</v>
      </c>
      <c r="K67" s="13">
        <f t="shared" ref="K67:K130" si="6">IFERROR(GETPIVOTDATA("Successful / Failed",$A$1,"System serial",G67,"Successful / Failed","Failed"),0)</f>
        <v>0</v>
      </c>
      <c r="L67" s="13" t="str" cm="1">
        <f t="array" ref="L67">_xlfn.IFS(J67&lt;1,"",J67=1,"Pass",J67&gt;1,_xlfn.TEXTJOIN("",TRUE,"Pass x",J67))</f>
        <v/>
      </c>
      <c r="M67" s="13" t="str" cm="1">
        <f t="array" ref="M67">_xlfn.IFS(K67&lt;1,"",K67=1,"Fail",K67&gt;1,_xlfn.TEXTJOIN("",TRUE,"Fail x",K67))</f>
        <v/>
      </c>
      <c r="N67" t="str">
        <f t="shared" ref="N67:N113" si="7">_xlfn.TEXTJOIN(", ",TRUE, L67, M67)</f>
        <v/>
      </c>
    </row>
    <row r="68" spans="8:14">
      <c r="H68" s="13">
        <f t="shared" si="4"/>
        <v>0</v>
      </c>
      <c r="I68" t="str" cm="1">
        <f t="array" ref="I68">_xlfn.IFS(H68&lt;1,"No",H68=1,"Yes",H68&gt;1,_xlfn.TEXTJOIN("",TRUE,"Yes x",H68))</f>
        <v>No</v>
      </c>
      <c r="J68" s="13">
        <f t="shared" si="5"/>
        <v>0</v>
      </c>
      <c r="K68" s="13">
        <f t="shared" si="6"/>
        <v>0</v>
      </c>
      <c r="L68" s="13" t="str" cm="1">
        <f t="array" ref="L68">_xlfn.IFS(J68&lt;1,"",J68=1,"Pass",J68&gt;1,_xlfn.TEXTJOIN("",TRUE,"Pass x",J68))</f>
        <v/>
      </c>
      <c r="M68" s="13" t="str" cm="1">
        <f t="array" ref="M68">_xlfn.IFS(K68&lt;1,"",K68=1,"Fail",K68&gt;1,_xlfn.TEXTJOIN("",TRUE,"Fail x",K68))</f>
        <v/>
      </c>
      <c r="N68" t="str">
        <f t="shared" si="7"/>
        <v/>
      </c>
    </row>
    <row r="69" spans="8:14">
      <c r="H69" s="13">
        <f t="shared" si="4"/>
        <v>0</v>
      </c>
      <c r="I69" t="str" cm="1">
        <f t="array" ref="I69">_xlfn.IFS(H69&lt;1,"No",H69=1,"Yes",H69&gt;1,_xlfn.TEXTJOIN("",TRUE,"Yes x",H69))</f>
        <v>No</v>
      </c>
      <c r="J69" s="13">
        <f t="shared" si="5"/>
        <v>0</v>
      </c>
      <c r="K69" s="13">
        <f t="shared" si="6"/>
        <v>0</v>
      </c>
      <c r="L69" s="13" t="str" cm="1">
        <f t="array" ref="L69">_xlfn.IFS(J69&lt;1,"",J69=1,"Pass",J69&gt;1,_xlfn.TEXTJOIN("",TRUE,"Pass x",J69))</f>
        <v/>
      </c>
      <c r="M69" s="13" t="str" cm="1">
        <f t="array" ref="M69">_xlfn.IFS(K69&lt;1,"",K69=1,"Fail",K69&gt;1,_xlfn.TEXTJOIN("",TRUE,"Fail x",K69))</f>
        <v/>
      </c>
      <c r="N69" t="str">
        <f t="shared" si="7"/>
        <v/>
      </c>
    </row>
    <row r="70" spans="8:14">
      <c r="H70" s="13">
        <f t="shared" si="4"/>
        <v>0</v>
      </c>
      <c r="I70" t="str" cm="1">
        <f t="array" ref="I70">_xlfn.IFS(H70&lt;1,"No",H70=1,"Yes",H70&gt;1,_xlfn.TEXTJOIN("",TRUE,"Yes x",H70))</f>
        <v>No</v>
      </c>
      <c r="J70" s="13">
        <f t="shared" si="5"/>
        <v>0</v>
      </c>
      <c r="K70" s="13">
        <f t="shared" si="6"/>
        <v>0</v>
      </c>
      <c r="L70" s="13" t="str" cm="1">
        <f t="array" ref="L70">_xlfn.IFS(J70&lt;1,"",J70=1,"Pass",J70&gt;1,_xlfn.TEXTJOIN("",TRUE,"Pass x",J70))</f>
        <v/>
      </c>
      <c r="M70" s="13" t="str" cm="1">
        <f t="array" ref="M70">_xlfn.IFS(K70&lt;1,"",K70=1,"Fail",K70&gt;1,_xlfn.TEXTJOIN("",TRUE,"Fail x",K70))</f>
        <v/>
      </c>
      <c r="N70" t="str">
        <f t="shared" si="7"/>
        <v/>
      </c>
    </row>
    <row r="71" spans="8:14">
      <c r="H71" s="13">
        <f t="shared" si="4"/>
        <v>0</v>
      </c>
      <c r="I71" t="str" cm="1">
        <f t="array" ref="I71">_xlfn.IFS(H71&lt;1,"No",H71=1,"Yes",H71&gt;1,_xlfn.TEXTJOIN("",TRUE,"Yes x",H71))</f>
        <v>No</v>
      </c>
      <c r="J71" s="13">
        <f t="shared" si="5"/>
        <v>0</v>
      </c>
      <c r="K71" s="13">
        <f t="shared" si="6"/>
        <v>0</v>
      </c>
      <c r="L71" s="13" t="str" cm="1">
        <f t="array" ref="L71">_xlfn.IFS(J71&lt;1,"",J71=1,"Pass",J71&gt;1,_xlfn.TEXTJOIN("",TRUE,"Pass x",J71))</f>
        <v/>
      </c>
      <c r="M71" s="13" t="str" cm="1">
        <f t="array" ref="M71">_xlfn.IFS(K71&lt;1,"",K71=1,"Fail",K71&gt;1,_xlfn.TEXTJOIN("",TRUE,"Fail x",K71))</f>
        <v/>
      </c>
      <c r="N71" t="str">
        <f t="shared" si="7"/>
        <v/>
      </c>
    </row>
    <row r="72" spans="8:14">
      <c r="H72" s="13">
        <f t="shared" si="4"/>
        <v>0</v>
      </c>
      <c r="I72" t="str" cm="1">
        <f t="array" ref="I72">_xlfn.IFS(H72&lt;1,"No",H72=1,"Yes",H72&gt;1,_xlfn.TEXTJOIN("",TRUE,"Yes x",H72))</f>
        <v>No</v>
      </c>
      <c r="J72" s="13">
        <f t="shared" si="5"/>
        <v>0</v>
      </c>
      <c r="K72" s="13">
        <f t="shared" si="6"/>
        <v>0</v>
      </c>
      <c r="L72" s="13" t="str" cm="1">
        <f t="array" ref="L72">_xlfn.IFS(J72&lt;1,"",J72=1,"Pass",J72&gt;1,_xlfn.TEXTJOIN("",TRUE,"Pass x",J72))</f>
        <v/>
      </c>
      <c r="M72" s="13" t="str" cm="1">
        <f t="array" ref="M72">_xlfn.IFS(K72&lt;1,"",K72=1,"Fail",K72&gt;1,_xlfn.TEXTJOIN("",TRUE,"Fail x",K72))</f>
        <v/>
      </c>
      <c r="N72" t="str">
        <f t="shared" si="7"/>
        <v/>
      </c>
    </row>
    <row r="73" spans="8:14">
      <c r="H73" s="13">
        <f t="shared" si="4"/>
        <v>0</v>
      </c>
      <c r="I73" t="str" cm="1">
        <f t="array" ref="I73">_xlfn.IFS(H73&lt;1,"No",H73=1,"Yes",H73&gt;1,_xlfn.TEXTJOIN("",TRUE,"Yes x",H73))</f>
        <v>No</v>
      </c>
      <c r="J73" s="13">
        <f t="shared" si="5"/>
        <v>0</v>
      </c>
      <c r="K73" s="13">
        <f t="shared" si="6"/>
        <v>0</v>
      </c>
      <c r="L73" s="13" t="str" cm="1">
        <f t="array" ref="L73">_xlfn.IFS(J73&lt;1,"",J73=1,"Pass",J73&gt;1,_xlfn.TEXTJOIN("",TRUE,"Pass x",J73))</f>
        <v/>
      </c>
      <c r="M73" s="13" t="str" cm="1">
        <f t="array" ref="M73">_xlfn.IFS(K73&lt;1,"",K73=1,"Fail",K73&gt;1,_xlfn.TEXTJOIN("",TRUE,"Fail x",K73))</f>
        <v/>
      </c>
      <c r="N73" t="str">
        <f t="shared" si="7"/>
        <v/>
      </c>
    </row>
    <row r="74" spans="8:14">
      <c r="H74" s="13">
        <f t="shared" si="4"/>
        <v>0</v>
      </c>
      <c r="I74" t="str" cm="1">
        <f t="array" ref="I74">_xlfn.IFS(H74&lt;1,"No",H74=1,"Yes",H74&gt;1,_xlfn.TEXTJOIN("",TRUE,"Yes x",H74))</f>
        <v>No</v>
      </c>
      <c r="J74" s="13">
        <f t="shared" si="5"/>
        <v>0</v>
      </c>
      <c r="K74" s="13">
        <f t="shared" si="6"/>
        <v>0</v>
      </c>
      <c r="L74" s="13" t="str" cm="1">
        <f t="array" ref="L74">_xlfn.IFS(J74&lt;1,"",J74=1,"Pass",J74&gt;1,_xlfn.TEXTJOIN("",TRUE,"Pass x",J74))</f>
        <v/>
      </c>
      <c r="M74" s="13" t="str" cm="1">
        <f t="array" ref="M74">_xlfn.IFS(K74&lt;1,"",K74=1,"Fail",K74&gt;1,_xlfn.TEXTJOIN("",TRUE,"Fail x",K74))</f>
        <v/>
      </c>
      <c r="N74" t="str">
        <f t="shared" si="7"/>
        <v/>
      </c>
    </row>
    <row r="75" spans="8:14">
      <c r="H75" s="13">
        <f t="shared" si="4"/>
        <v>0</v>
      </c>
      <c r="I75" t="str" cm="1">
        <f t="array" ref="I75">_xlfn.IFS(H75&lt;1,"No",H75=1,"Yes",H75&gt;1,_xlfn.TEXTJOIN("",TRUE,"Yes x",H75))</f>
        <v>No</v>
      </c>
      <c r="J75" s="13">
        <f t="shared" si="5"/>
        <v>0</v>
      </c>
      <c r="K75" s="13">
        <f t="shared" si="6"/>
        <v>0</v>
      </c>
      <c r="L75" s="13" t="str" cm="1">
        <f t="array" ref="L75">_xlfn.IFS(J75&lt;1,"",J75=1,"Pass",J75&gt;1,_xlfn.TEXTJOIN("",TRUE,"Pass x",J75))</f>
        <v/>
      </c>
      <c r="M75" s="13" t="str" cm="1">
        <f t="array" ref="M75">_xlfn.IFS(K75&lt;1,"",K75=1,"Fail",K75&gt;1,_xlfn.TEXTJOIN("",TRUE,"Fail x",K75))</f>
        <v/>
      </c>
      <c r="N75" t="str">
        <f t="shared" si="7"/>
        <v/>
      </c>
    </row>
    <row r="76" spans="8:14">
      <c r="H76" s="13">
        <f t="shared" si="4"/>
        <v>0</v>
      </c>
      <c r="I76" t="str" cm="1">
        <f t="array" ref="I76">_xlfn.IFS(H76&lt;1,"No",H76=1,"Yes",H76&gt;1,_xlfn.TEXTJOIN("",TRUE,"Yes x",H76))</f>
        <v>No</v>
      </c>
      <c r="J76" s="13">
        <f t="shared" si="5"/>
        <v>0</v>
      </c>
      <c r="K76" s="13">
        <f t="shared" si="6"/>
        <v>0</v>
      </c>
      <c r="L76" s="13" t="str" cm="1">
        <f t="array" ref="L76">_xlfn.IFS(J76&lt;1,"",J76=1,"Pass",J76&gt;1,_xlfn.TEXTJOIN("",TRUE,"Pass x",J76))</f>
        <v/>
      </c>
      <c r="M76" s="13" t="str" cm="1">
        <f t="array" ref="M76">_xlfn.IFS(K76&lt;1,"",K76=1,"Fail",K76&gt;1,_xlfn.TEXTJOIN("",TRUE,"Fail x",K76))</f>
        <v/>
      </c>
      <c r="N76" t="str">
        <f t="shared" si="7"/>
        <v/>
      </c>
    </row>
    <row r="77" spans="8:14">
      <c r="H77" s="13">
        <f t="shared" si="4"/>
        <v>0</v>
      </c>
      <c r="I77" t="str" cm="1">
        <f t="array" ref="I77">_xlfn.IFS(H77&lt;1,"No",H77=1,"Yes",H77&gt;1,_xlfn.TEXTJOIN("",TRUE,"Yes x",H77))</f>
        <v>No</v>
      </c>
      <c r="J77" s="13">
        <f t="shared" si="5"/>
        <v>0</v>
      </c>
      <c r="K77" s="13">
        <f t="shared" si="6"/>
        <v>0</v>
      </c>
      <c r="L77" s="13" t="str" cm="1">
        <f t="array" ref="L77">_xlfn.IFS(J77&lt;1,"",J77=1,"Pass",J77&gt;1,_xlfn.TEXTJOIN("",TRUE,"Pass x",J77))</f>
        <v/>
      </c>
      <c r="M77" s="13" t="str" cm="1">
        <f t="array" ref="M77">_xlfn.IFS(K77&lt;1,"",K77=1,"Fail",K77&gt;1,_xlfn.TEXTJOIN("",TRUE,"Fail x",K77))</f>
        <v/>
      </c>
      <c r="N77" t="str">
        <f t="shared" si="7"/>
        <v/>
      </c>
    </row>
    <row r="78" spans="8:14">
      <c r="H78" s="13">
        <f t="shared" si="4"/>
        <v>0</v>
      </c>
      <c r="I78" t="str" cm="1">
        <f t="array" ref="I78">_xlfn.IFS(H78&lt;1,"No",H78=1,"Yes",H78&gt;1,_xlfn.TEXTJOIN("",TRUE,"Yes x",H78))</f>
        <v>No</v>
      </c>
      <c r="J78" s="13">
        <f t="shared" si="5"/>
        <v>0</v>
      </c>
      <c r="K78" s="13">
        <f t="shared" si="6"/>
        <v>0</v>
      </c>
      <c r="L78" s="13" t="str" cm="1">
        <f t="array" ref="L78">_xlfn.IFS(J78&lt;1,"",J78=1,"Pass",J78&gt;1,_xlfn.TEXTJOIN("",TRUE,"Pass x",J78))</f>
        <v/>
      </c>
      <c r="M78" s="13" t="str" cm="1">
        <f t="array" ref="M78">_xlfn.IFS(K78&lt;1,"",K78=1,"Fail",K78&gt;1,_xlfn.TEXTJOIN("",TRUE,"Fail x",K78))</f>
        <v/>
      </c>
      <c r="N78" t="str">
        <f t="shared" si="7"/>
        <v/>
      </c>
    </row>
    <row r="79" spans="8:14">
      <c r="H79" s="13">
        <f t="shared" si="4"/>
        <v>0</v>
      </c>
      <c r="I79" t="str" cm="1">
        <f t="array" ref="I79">_xlfn.IFS(H79&lt;1,"No",H79=1,"Yes",H79&gt;1,_xlfn.TEXTJOIN("",TRUE,"Yes x",H79))</f>
        <v>No</v>
      </c>
      <c r="J79" s="13">
        <f t="shared" si="5"/>
        <v>0</v>
      </c>
      <c r="K79" s="13">
        <f t="shared" si="6"/>
        <v>0</v>
      </c>
      <c r="L79" s="13" t="str" cm="1">
        <f t="array" ref="L79">_xlfn.IFS(J79&lt;1,"",J79=1,"Pass",J79&gt;1,_xlfn.TEXTJOIN("",TRUE,"Pass x",J79))</f>
        <v/>
      </c>
      <c r="M79" s="13" t="str" cm="1">
        <f t="array" ref="M79">_xlfn.IFS(K79&lt;1,"",K79=1,"Fail",K79&gt;1,_xlfn.TEXTJOIN("",TRUE,"Fail x",K79))</f>
        <v/>
      </c>
      <c r="N79" t="str">
        <f t="shared" si="7"/>
        <v/>
      </c>
    </row>
    <row r="80" spans="8:14">
      <c r="H80" s="13">
        <f t="shared" si="4"/>
        <v>0</v>
      </c>
      <c r="I80" t="str" cm="1">
        <f t="array" ref="I80">_xlfn.IFS(H80&lt;1,"No",H80=1,"Yes",H80&gt;1,_xlfn.TEXTJOIN("",TRUE,"Yes x",H80))</f>
        <v>No</v>
      </c>
      <c r="J80" s="13">
        <f t="shared" si="5"/>
        <v>0</v>
      </c>
      <c r="K80" s="13">
        <f t="shared" si="6"/>
        <v>0</v>
      </c>
      <c r="L80" s="13" t="str" cm="1">
        <f t="array" ref="L80">_xlfn.IFS(J80&lt;1,"",J80=1,"Pass",J80&gt;1,_xlfn.TEXTJOIN("",TRUE,"Pass x",J80))</f>
        <v/>
      </c>
      <c r="M80" s="13" t="str" cm="1">
        <f t="array" ref="M80">_xlfn.IFS(K80&lt;1,"",K80=1,"Fail",K80&gt;1,_xlfn.TEXTJOIN("",TRUE,"Fail x",K80))</f>
        <v/>
      </c>
      <c r="N80" t="str">
        <f t="shared" si="7"/>
        <v/>
      </c>
    </row>
    <row r="81" spans="8:14">
      <c r="H81" s="13">
        <f t="shared" si="4"/>
        <v>0</v>
      </c>
      <c r="I81" t="str" cm="1">
        <f t="array" ref="I81">_xlfn.IFS(H81&lt;1,"No",H81=1,"Yes",H81&gt;1,_xlfn.TEXTJOIN("",TRUE,"Yes x",H81))</f>
        <v>No</v>
      </c>
      <c r="J81" s="13">
        <f t="shared" si="5"/>
        <v>0</v>
      </c>
      <c r="K81" s="13">
        <f t="shared" si="6"/>
        <v>0</v>
      </c>
      <c r="L81" s="13" t="str" cm="1">
        <f t="array" ref="L81">_xlfn.IFS(J81&lt;1,"",J81=1,"Pass",J81&gt;1,_xlfn.TEXTJOIN("",TRUE,"Pass x",J81))</f>
        <v/>
      </c>
      <c r="M81" s="13" t="str" cm="1">
        <f t="array" ref="M81">_xlfn.IFS(K81&lt;1,"",K81=1,"Fail",K81&gt;1,_xlfn.TEXTJOIN("",TRUE,"Fail x",K81))</f>
        <v/>
      </c>
      <c r="N81" t="str">
        <f t="shared" si="7"/>
        <v/>
      </c>
    </row>
    <row r="82" spans="8:14">
      <c r="H82" s="13">
        <f t="shared" si="4"/>
        <v>0</v>
      </c>
      <c r="I82" t="str" cm="1">
        <f t="array" ref="I82">_xlfn.IFS(H82&lt;1,"No",H82=1,"Yes",H82&gt;1,_xlfn.TEXTJOIN("",TRUE,"Yes x",H82))</f>
        <v>No</v>
      </c>
      <c r="J82" s="13">
        <f t="shared" si="5"/>
        <v>0</v>
      </c>
      <c r="K82" s="13">
        <f t="shared" si="6"/>
        <v>0</v>
      </c>
      <c r="L82" s="13" t="str" cm="1">
        <f t="array" ref="L82">_xlfn.IFS(J82&lt;1,"",J82=1,"Pass",J82&gt;1,_xlfn.TEXTJOIN("",TRUE,"Pass x",J82))</f>
        <v/>
      </c>
      <c r="M82" s="13" t="str" cm="1">
        <f t="array" ref="M82">_xlfn.IFS(K82&lt;1,"",K82=1,"Fail",K82&gt;1,_xlfn.TEXTJOIN("",TRUE,"Fail x",K82))</f>
        <v/>
      </c>
      <c r="N82" t="str">
        <f t="shared" si="7"/>
        <v/>
      </c>
    </row>
    <row r="83" spans="8:14">
      <c r="H83" s="13">
        <f t="shared" si="4"/>
        <v>0</v>
      </c>
      <c r="I83" t="str" cm="1">
        <f t="array" ref="I83">_xlfn.IFS(H83&lt;1,"No",H83=1,"Yes",H83&gt;1,_xlfn.TEXTJOIN("",TRUE,"Yes x",H83))</f>
        <v>No</v>
      </c>
      <c r="J83" s="13">
        <f t="shared" si="5"/>
        <v>0</v>
      </c>
      <c r="K83" s="13">
        <f t="shared" si="6"/>
        <v>0</v>
      </c>
      <c r="L83" s="13" t="str" cm="1">
        <f t="array" ref="L83">_xlfn.IFS(J83&lt;1,"",J83=1,"Pass",J83&gt;1,_xlfn.TEXTJOIN("",TRUE,"Pass x",J83))</f>
        <v/>
      </c>
      <c r="M83" s="13" t="str" cm="1">
        <f t="array" ref="M83">_xlfn.IFS(K83&lt;1,"",K83=1,"Fail",K83&gt;1,_xlfn.TEXTJOIN("",TRUE,"Fail x",K83))</f>
        <v/>
      </c>
      <c r="N83" t="str">
        <f t="shared" si="7"/>
        <v/>
      </c>
    </row>
    <row r="84" spans="8:14">
      <c r="H84" s="13">
        <f t="shared" si="4"/>
        <v>0</v>
      </c>
      <c r="I84" t="str" cm="1">
        <f t="array" ref="I84">_xlfn.IFS(H84&lt;1,"No",H84=1,"Yes",H84&gt;1,_xlfn.TEXTJOIN("",TRUE,"Yes x",H84))</f>
        <v>No</v>
      </c>
      <c r="J84" s="13">
        <f t="shared" si="5"/>
        <v>0</v>
      </c>
      <c r="K84" s="13">
        <f t="shared" si="6"/>
        <v>0</v>
      </c>
      <c r="L84" s="13" t="str" cm="1">
        <f t="array" ref="L84">_xlfn.IFS(J84&lt;1,"",J84=1,"Pass",J84&gt;1,_xlfn.TEXTJOIN("",TRUE,"Pass x",J84))</f>
        <v/>
      </c>
      <c r="M84" s="13" t="str" cm="1">
        <f t="array" ref="M84">_xlfn.IFS(K84&lt;1,"",K84=1,"Fail",K84&gt;1,_xlfn.TEXTJOIN("",TRUE,"Fail x",K84))</f>
        <v/>
      </c>
      <c r="N84" t="str">
        <f t="shared" si="7"/>
        <v/>
      </c>
    </row>
    <row r="85" spans="8:14">
      <c r="H85" s="13">
        <f t="shared" si="4"/>
        <v>0</v>
      </c>
      <c r="I85" t="str" cm="1">
        <f t="array" ref="I85">_xlfn.IFS(H85&lt;1,"No",H85=1,"Yes",H85&gt;1,_xlfn.TEXTJOIN("",TRUE,"Yes x",H85))</f>
        <v>No</v>
      </c>
      <c r="J85" s="13">
        <f t="shared" si="5"/>
        <v>0</v>
      </c>
      <c r="K85" s="13">
        <f t="shared" si="6"/>
        <v>0</v>
      </c>
      <c r="L85" s="13" t="str" cm="1">
        <f t="array" ref="L85">_xlfn.IFS(J85&lt;1,"",J85=1,"Pass",J85&gt;1,_xlfn.TEXTJOIN("",TRUE,"Pass x",J85))</f>
        <v/>
      </c>
      <c r="M85" s="13" t="str" cm="1">
        <f t="array" ref="M85">_xlfn.IFS(K85&lt;1,"",K85=1,"Fail",K85&gt;1,_xlfn.TEXTJOIN("",TRUE,"Fail x",K85))</f>
        <v/>
      </c>
      <c r="N85" t="str">
        <f t="shared" si="7"/>
        <v/>
      </c>
    </row>
    <row r="86" spans="8:14">
      <c r="H86" s="13">
        <f t="shared" si="4"/>
        <v>0</v>
      </c>
      <c r="I86" t="str" cm="1">
        <f t="array" ref="I86">_xlfn.IFS(H86&lt;1,"No",H86=1,"Yes",H86&gt;1,_xlfn.TEXTJOIN("",TRUE,"Yes x",H86))</f>
        <v>No</v>
      </c>
      <c r="J86" s="13">
        <f t="shared" si="5"/>
        <v>0</v>
      </c>
      <c r="K86" s="13">
        <f t="shared" si="6"/>
        <v>0</v>
      </c>
      <c r="L86" s="13" t="str" cm="1">
        <f t="array" ref="L86">_xlfn.IFS(J86&lt;1,"",J86=1,"Pass",J86&gt;1,_xlfn.TEXTJOIN("",TRUE,"Pass x",J86))</f>
        <v/>
      </c>
      <c r="M86" s="13" t="str" cm="1">
        <f t="array" ref="M86">_xlfn.IFS(K86&lt;1,"",K86=1,"Fail",K86&gt;1,_xlfn.TEXTJOIN("",TRUE,"Fail x",K86))</f>
        <v/>
      </c>
      <c r="N86" t="str">
        <f t="shared" si="7"/>
        <v/>
      </c>
    </row>
    <row r="87" spans="8:14">
      <c r="H87" s="13">
        <f t="shared" si="4"/>
        <v>0</v>
      </c>
      <c r="I87" t="str" cm="1">
        <f t="array" ref="I87">_xlfn.IFS(H87&lt;1,"No",H87=1,"Yes",H87&gt;1,_xlfn.TEXTJOIN("",TRUE,"Yes x",H87))</f>
        <v>No</v>
      </c>
      <c r="J87" s="13">
        <f t="shared" si="5"/>
        <v>0</v>
      </c>
      <c r="K87" s="13">
        <f t="shared" si="6"/>
        <v>0</v>
      </c>
      <c r="L87" s="13" t="str" cm="1">
        <f t="array" ref="L87">_xlfn.IFS(J87&lt;1,"",J87=1,"Pass",J87&gt;1,_xlfn.TEXTJOIN("",TRUE,"Pass x",J87))</f>
        <v/>
      </c>
      <c r="M87" s="13" t="str" cm="1">
        <f t="array" ref="M87">_xlfn.IFS(K87&lt;1,"",K87=1,"Fail",K87&gt;1,_xlfn.TEXTJOIN("",TRUE,"Fail x",K87))</f>
        <v/>
      </c>
      <c r="N87" t="str">
        <f t="shared" si="7"/>
        <v/>
      </c>
    </row>
    <row r="88" spans="8:14">
      <c r="H88" s="13">
        <f t="shared" si="4"/>
        <v>0</v>
      </c>
      <c r="I88" t="str" cm="1">
        <f t="array" ref="I88">_xlfn.IFS(H88&lt;1,"No",H88=1,"Yes",H88&gt;1,_xlfn.TEXTJOIN("",TRUE,"Yes x",H88))</f>
        <v>No</v>
      </c>
      <c r="J88" s="13">
        <f t="shared" si="5"/>
        <v>0</v>
      </c>
      <c r="K88" s="13">
        <f t="shared" si="6"/>
        <v>0</v>
      </c>
      <c r="L88" s="13" t="str" cm="1">
        <f t="array" ref="L88">_xlfn.IFS(J88&lt;1,"",J88=1,"Pass",J88&gt;1,_xlfn.TEXTJOIN("",TRUE,"Pass x",J88))</f>
        <v/>
      </c>
      <c r="M88" s="13" t="str" cm="1">
        <f t="array" ref="M88">_xlfn.IFS(K88&lt;1,"",K88=1,"Fail",K88&gt;1,_xlfn.TEXTJOIN("",TRUE,"Fail x",K88))</f>
        <v/>
      </c>
      <c r="N88" t="str">
        <f t="shared" si="7"/>
        <v/>
      </c>
    </row>
    <row r="89" spans="8:14">
      <c r="H89" s="13">
        <f t="shared" si="4"/>
        <v>0</v>
      </c>
      <c r="I89" t="str" cm="1">
        <f t="array" ref="I89">_xlfn.IFS(H89&lt;1,"No",H89=1,"Yes",H89&gt;1,_xlfn.TEXTJOIN("",TRUE,"Yes x",H89))</f>
        <v>No</v>
      </c>
      <c r="J89" s="13">
        <f t="shared" si="5"/>
        <v>0</v>
      </c>
      <c r="K89" s="13">
        <f t="shared" si="6"/>
        <v>0</v>
      </c>
      <c r="L89" s="13" t="str" cm="1">
        <f t="array" ref="L89">_xlfn.IFS(J89&lt;1,"",J89=1,"Pass",J89&gt;1,_xlfn.TEXTJOIN("",TRUE,"Pass x",J89))</f>
        <v/>
      </c>
      <c r="M89" s="13" t="str" cm="1">
        <f t="array" ref="M89">_xlfn.IFS(K89&lt;1,"",K89=1,"Fail",K89&gt;1,_xlfn.TEXTJOIN("",TRUE,"Fail x",K89))</f>
        <v/>
      </c>
      <c r="N89" t="str">
        <f t="shared" si="7"/>
        <v/>
      </c>
    </row>
    <row r="90" spans="8:14">
      <c r="H90" s="13">
        <f t="shared" si="4"/>
        <v>0</v>
      </c>
      <c r="I90" t="str" cm="1">
        <f t="array" ref="I90">_xlfn.IFS(H90&lt;1,"No",H90=1,"Yes",H90&gt;1,_xlfn.TEXTJOIN("",TRUE,"Yes x",H90))</f>
        <v>No</v>
      </c>
      <c r="J90" s="13">
        <f t="shared" si="5"/>
        <v>0</v>
      </c>
      <c r="K90" s="13">
        <f t="shared" si="6"/>
        <v>0</v>
      </c>
      <c r="L90" s="13" t="str" cm="1">
        <f t="array" ref="L90">_xlfn.IFS(J90&lt;1,"",J90=1,"Pass",J90&gt;1,_xlfn.TEXTJOIN("",TRUE,"Pass x",J90))</f>
        <v/>
      </c>
      <c r="M90" s="13" t="str" cm="1">
        <f t="array" ref="M90">_xlfn.IFS(K90&lt;1,"",K90=1,"Fail",K90&gt;1,_xlfn.TEXTJOIN("",TRUE,"Fail x",K90))</f>
        <v/>
      </c>
      <c r="N90" t="str">
        <f t="shared" si="7"/>
        <v/>
      </c>
    </row>
    <row r="91" spans="8:14">
      <c r="H91" s="13">
        <f t="shared" si="4"/>
        <v>0</v>
      </c>
      <c r="I91" t="str" cm="1">
        <f t="array" ref="I91">_xlfn.IFS(H91&lt;1,"No",H91=1,"Yes",H91&gt;1,_xlfn.TEXTJOIN("",TRUE,"Yes x",H91))</f>
        <v>No</v>
      </c>
      <c r="J91" s="13">
        <f t="shared" si="5"/>
        <v>0</v>
      </c>
      <c r="K91" s="13">
        <f t="shared" si="6"/>
        <v>0</v>
      </c>
      <c r="L91" s="13" t="str" cm="1">
        <f t="array" ref="L91">_xlfn.IFS(J91&lt;1,"",J91=1,"Pass",J91&gt;1,_xlfn.TEXTJOIN("",TRUE,"Pass x",J91))</f>
        <v/>
      </c>
      <c r="M91" s="13" t="str" cm="1">
        <f t="array" ref="M91">_xlfn.IFS(K91&lt;1,"",K91=1,"Fail",K91&gt;1,_xlfn.TEXTJOIN("",TRUE,"Fail x",K91))</f>
        <v/>
      </c>
      <c r="N91" t="str">
        <f t="shared" si="7"/>
        <v/>
      </c>
    </row>
    <row r="92" spans="8:14">
      <c r="H92" s="13">
        <f t="shared" si="4"/>
        <v>0</v>
      </c>
      <c r="I92" t="str" cm="1">
        <f t="array" ref="I92">_xlfn.IFS(H92&lt;1,"No",H92=1,"Yes",H92&gt;1,_xlfn.TEXTJOIN("",TRUE,"Yes x",H92))</f>
        <v>No</v>
      </c>
      <c r="J92" s="13">
        <f t="shared" si="5"/>
        <v>0</v>
      </c>
      <c r="K92" s="13">
        <f t="shared" si="6"/>
        <v>0</v>
      </c>
      <c r="L92" s="13" t="str" cm="1">
        <f t="array" ref="L92">_xlfn.IFS(J92&lt;1,"",J92=1,"Pass",J92&gt;1,_xlfn.TEXTJOIN("",TRUE,"Pass x",J92))</f>
        <v/>
      </c>
      <c r="M92" s="13" t="str" cm="1">
        <f t="array" ref="M92">_xlfn.IFS(K92&lt;1,"",K92=1,"Fail",K92&gt;1,_xlfn.TEXTJOIN("",TRUE,"Fail x",K92))</f>
        <v/>
      </c>
      <c r="N92" t="str">
        <f t="shared" si="7"/>
        <v/>
      </c>
    </row>
    <row r="93" spans="8:14">
      <c r="H93" s="13">
        <f t="shared" si="4"/>
        <v>0</v>
      </c>
      <c r="I93" t="str" cm="1">
        <f t="array" ref="I93">_xlfn.IFS(H93&lt;1,"No",H93=1,"Yes",H93&gt;1,_xlfn.TEXTJOIN("",TRUE,"Yes x",H93))</f>
        <v>No</v>
      </c>
      <c r="J93" s="13">
        <f t="shared" si="5"/>
        <v>0</v>
      </c>
      <c r="K93" s="13">
        <f t="shared" si="6"/>
        <v>0</v>
      </c>
      <c r="L93" s="13" t="str" cm="1">
        <f t="array" ref="L93">_xlfn.IFS(J93&lt;1,"",J93=1,"Pass",J93&gt;1,_xlfn.TEXTJOIN("",TRUE,"Pass x",J93))</f>
        <v/>
      </c>
      <c r="M93" s="13" t="str" cm="1">
        <f t="array" ref="M93">_xlfn.IFS(K93&lt;1,"",K93=1,"Fail",K93&gt;1,_xlfn.TEXTJOIN("",TRUE,"Fail x",K93))</f>
        <v/>
      </c>
      <c r="N93" t="str">
        <f t="shared" si="7"/>
        <v/>
      </c>
    </row>
    <row r="94" spans="8:14">
      <c r="H94" s="13">
        <f t="shared" si="4"/>
        <v>0</v>
      </c>
      <c r="I94" t="str" cm="1">
        <f t="array" ref="I94">_xlfn.IFS(H94&lt;1,"No",H94=1,"Yes",H94&gt;1,_xlfn.TEXTJOIN("",TRUE,"Yes x",H94))</f>
        <v>No</v>
      </c>
      <c r="J94" s="13">
        <f t="shared" si="5"/>
        <v>0</v>
      </c>
      <c r="K94" s="13">
        <f t="shared" si="6"/>
        <v>0</v>
      </c>
      <c r="L94" s="13" t="str" cm="1">
        <f t="array" ref="L94">_xlfn.IFS(J94&lt;1,"",J94=1,"Pass",J94&gt;1,_xlfn.TEXTJOIN("",TRUE,"Pass x",J94))</f>
        <v/>
      </c>
      <c r="M94" s="13" t="str" cm="1">
        <f t="array" ref="M94">_xlfn.IFS(K94&lt;1,"",K94=1,"Fail",K94&gt;1,_xlfn.TEXTJOIN("",TRUE,"Fail x",K94))</f>
        <v/>
      </c>
      <c r="N94" t="str">
        <f t="shared" si="7"/>
        <v/>
      </c>
    </row>
    <row r="95" spans="8:14">
      <c r="H95" s="13">
        <f t="shared" si="4"/>
        <v>0</v>
      </c>
      <c r="I95" t="str" cm="1">
        <f t="array" ref="I95">_xlfn.IFS(H95&lt;1,"No",H95=1,"Yes",H95&gt;1,_xlfn.TEXTJOIN("",TRUE,"Yes x",H95))</f>
        <v>No</v>
      </c>
      <c r="J95" s="13">
        <f t="shared" si="5"/>
        <v>0</v>
      </c>
      <c r="K95" s="13">
        <f t="shared" si="6"/>
        <v>0</v>
      </c>
      <c r="L95" s="13" t="str" cm="1">
        <f t="array" ref="L95">_xlfn.IFS(J95&lt;1,"",J95=1,"Pass",J95&gt;1,_xlfn.TEXTJOIN("",TRUE,"Pass x",J95))</f>
        <v/>
      </c>
      <c r="M95" s="13" t="str" cm="1">
        <f t="array" ref="M95">_xlfn.IFS(K95&lt;1,"",K95=1,"Fail",K95&gt;1,_xlfn.TEXTJOIN("",TRUE,"Fail x",K95))</f>
        <v/>
      </c>
      <c r="N95" t="str">
        <f t="shared" si="7"/>
        <v/>
      </c>
    </row>
    <row r="96" spans="8:14">
      <c r="H96" s="13">
        <f t="shared" si="4"/>
        <v>0</v>
      </c>
      <c r="I96" t="str" cm="1">
        <f t="array" ref="I96">_xlfn.IFS(H96&lt;1,"No",H96=1,"Yes",H96&gt;1,_xlfn.TEXTJOIN("",TRUE,"Yes x",H96))</f>
        <v>No</v>
      </c>
      <c r="J96" s="13">
        <f t="shared" si="5"/>
        <v>0</v>
      </c>
      <c r="K96" s="13">
        <f t="shared" si="6"/>
        <v>0</v>
      </c>
      <c r="L96" s="13" t="str" cm="1">
        <f t="array" ref="L96">_xlfn.IFS(J96&lt;1,"",J96=1,"Pass",J96&gt;1,_xlfn.TEXTJOIN("",TRUE,"Pass x",J96))</f>
        <v/>
      </c>
      <c r="M96" s="13" t="str" cm="1">
        <f t="array" ref="M96">_xlfn.IFS(K96&lt;1,"",K96=1,"Fail",K96&gt;1,_xlfn.TEXTJOIN("",TRUE,"Fail x",K96))</f>
        <v/>
      </c>
      <c r="N96" t="str">
        <f t="shared" si="7"/>
        <v/>
      </c>
    </row>
    <row r="97" spans="8:14">
      <c r="H97" s="13">
        <f t="shared" si="4"/>
        <v>0</v>
      </c>
      <c r="I97" t="str" cm="1">
        <f t="array" ref="I97">_xlfn.IFS(H97&lt;1,"No",H97=1,"Yes",H97&gt;1,_xlfn.TEXTJOIN("",TRUE,"Yes x",H97))</f>
        <v>No</v>
      </c>
      <c r="J97" s="13">
        <f t="shared" si="5"/>
        <v>0</v>
      </c>
      <c r="K97" s="13">
        <f t="shared" si="6"/>
        <v>0</v>
      </c>
      <c r="L97" s="13" t="str" cm="1">
        <f t="array" ref="L97">_xlfn.IFS(J97&lt;1,"",J97=1,"Pass",J97&gt;1,_xlfn.TEXTJOIN("",TRUE,"Pass x",J97))</f>
        <v/>
      </c>
      <c r="M97" s="13" t="str" cm="1">
        <f t="array" ref="M97">_xlfn.IFS(K97&lt;1,"",K97=1,"Fail",K97&gt;1,_xlfn.TEXTJOIN("",TRUE,"Fail x",K97))</f>
        <v/>
      </c>
      <c r="N97" t="str">
        <f t="shared" si="7"/>
        <v/>
      </c>
    </row>
    <row r="98" spans="8:14">
      <c r="H98" s="13">
        <f t="shared" si="4"/>
        <v>0</v>
      </c>
      <c r="I98" t="str" cm="1">
        <f t="array" ref="I98">_xlfn.IFS(H98&lt;1,"No",H98=1,"Yes",H98&gt;1,_xlfn.TEXTJOIN("",TRUE,"Yes x",H98))</f>
        <v>No</v>
      </c>
      <c r="J98" s="13">
        <f t="shared" si="5"/>
        <v>0</v>
      </c>
      <c r="K98" s="13">
        <f t="shared" si="6"/>
        <v>0</v>
      </c>
      <c r="L98" s="13" t="str" cm="1">
        <f t="array" ref="L98">_xlfn.IFS(J98&lt;1,"",J98=1,"Pass",J98&gt;1,_xlfn.TEXTJOIN("",TRUE,"Pass x",J98))</f>
        <v/>
      </c>
      <c r="M98" s="13" t="str" cm="1">
        <f t="array" ref="M98">_xlfn.IFS(K98&lt;1,"",K98=1,"Fail",K98&gt;1,_xlfn.TEXTJOIN("",TRUE,"Fail x",K98))</f>
        <v/>
      </c>
      <c r="N98" t="str">
        <f t="shared" si="7"/>
        <v/>
      </c>
    </row>
    <row r="99" spans="8:14">
      <c r="H99" s="13">
        <f t="shared" si="4"/>
        <v>0</v>
      </c>
      <c r="I99" t="str" cm="1">
        <f t="array" ref="I99">_xlfn.IFS(H99&lt;1,"No",H99=1,"Yes",H99&gt;1,_xlfn.TEXTJOIN("",TRUE,"Yes x",H99))</f>
        <v>No</v>
      </c>
      <c r="J99" s="13">
        <f t="shared" si="5"/>
        <v>0</v>
      </c>
      <c r="K99" s="13">
        <f t="shared" si="6"/>
        <v>0</v>
      </c>
      <c r="L99" s="13" t="str" cm="1">
        <f t="array" ref="L99">_xlfn.IFS(J99&lt;1,"",J99=1,"Pass",J99&gt;1,_xlfn.TEXTJOIN("",TRUE,"Pass x",J99))</f>
        <v/>
      </c>
      <c r="M99" s="13" t="str" cm="1">
        <f t="array" ref="M99">_xlfn.IFS(K99&lt;1,"",K99=1,"Fail",K99&gt;1,_xlfn.TEXTJOIN("",TRUE,"Fail x",K99))</f>
        <v/>
      </c>
      <c r="N99" t="str">
        <f t="shared" si="7"/>
        <v/>
      </c>
    </row>
    <row r="100" spans="8:14">
      <c r="H100" s="13">
        <f t="shared" si="4"/>
        <v>0</v>
      </c>
      <c r="I100" t="str" cm="1">
        <f t="array" ref="I100">_xlfn.IFS(H100&lt;1,"No",H100=1,"Yes",H100&gt;1,_xlfn.TEXTJOIN("",TRUE,"Yes x",H100))</f>
        <v>No</v>
      </c>
      <c r="J100" s="13">
        <f t="shared" si="5"/>
        <v>0</v>
      </c>
      <c r="K100" s="13">
        <f t="shared" si="6"/>
        <v>0</v>
      </c>
      <c r="L100" s="13" t="str" cm="1">
        <f t="array" ref="L100">_xlfn.IFS(J100&lt;1,"",J100=1,"Pass",J100&gt;1,_xlfn.TEXTJOIN("",TRUE,"Pass x",J100))</f>
        <v/>
      </c>
      <c r="M100" s="13" t="str" cm="1">
        <f t="array" ref="M100">_xlfn.IFS(K100&lt;1,"",K100=1,"Fail",K100&gt;1,_xlfn.TEXTJOIN("",TRUE,"Fail x",K100))</f>
        <v/>
      </c>
      <c r="N100" t="str">
        <f t="shared" si="7"/>
        <v/>
      </c>
    </row>
    <row r="101" spans="8:14">
      <c r="H101" s="13">
        <f t="shared" si="4"/>
        <v>0</v>
      </c>
      <c r="J101" s="13">
        <f t="shared" si="5"/>
        <v>0</v>
      </c>
      <c r="K101" s="13">
        <f t="shared" si="6"/>
        <v>0</v>
      </c>
      <c r="L101" s="13" t="str" cm="1">
        <f t="array" ref="L101">_xlfn.IFS(J101&lt;1,"",J101=1,"Pass",J101&gt;1,_xlfn.TEXTJOIN("",TRUE,"Pass x",J101))</f>
        <v/>
      </c>
      <c r="M101" s="13" t="str" cm="1">
        <f t="array" ref="M101">_xlfn.IFS(K101&lt;1,"",K101=1,"Fail",K101&gt;1,_xlfn.TEXTJOIN("",TRUE,"Fail x",K101))</f>
        <v/>
      </c>
      <c r="N101" t="str">
        <f t="shared" si="7"/>
        <v/>
      </c>
    </row>
    <row r="102" spans="8:14">
      <c r="H102" s="13">
        <f t="shared" si="4"/>
        <v>0</v>
      </c>
      <c r="J102" s="13">
        <f t="shared" si="5"/>
        <v>0</v>
      </c>
      <c r="K102" s="13">
        <f t="shared" si="6"/>
        <v>0</v>
      </c>
      <c r="L102" s="13" t="str" cm="1">
        <f t="array" ref="L102">_xlfn.IFS(J102&lt;1,"",J102=1,"Pass",J102&gt;1,_xlfn.TEXTJOIN("",TRUE,"Pass x",J102))</f>
        <v/>
      </c>
      <c r="M102" s="13" t="str" cm="1">
        <f t="array" ref="M102">_xlfn.IFS(K102&lt;1,"",K102=1,"Fail",K102&gt;1,_xlfn.TEXTJOIN("",TRUE,"Fail x",K102))</f>
        <v/>
      </c>
      <c r="N102" t="str">
        <f t="shared" si="7"/>
        <v/>
      </c>
    </row>
    <row r="103" spans="8:14">
      <c r="H103" s="13">
        <f t="shared" si="4"/>
        <v>0</v>
      </c>
      <c r="J103" s="13">
        <f t="shared" si="5"/>
        <v>0</v>
      </c>
      <c r="K103" s="13">
        <f t="shared" si="6"/>
        <v>0</v>
      </c>
      <c r="L103" s="13" t="str" cm="1">
        <f t="array" ref="L103">_xlfn.IFS(J103&lt;1,"",J103=1,"Pass",J103&gt;1,_xlfn.TEXTJOIN("",TRUE,"Pass x",J103))</f>
        <v/>
      </c>
      <c r="M103" s="13" t="str" cm="1">
        <f t="array" ref="M103">_xlfn.IFS(K103&lt;1,"",K103=1,"Fail",K103&gt;1,_xlfn.TEXTJOIN("",TRUE,"Fail x",K103))</f>
        <v/>
      </c>
      <c r="N103" t="str">
        <f t="shared" si="7"/>
        <v/>
      </c>
    </row>
    <row r="104" spans="8:14">
      <c r="H104" s="13">
        <f t="shared" si="4"/>
        <v>0</v>
      </c>
      <c r="J104" s="13">
        <f t="shared" si="5"/>
        <v>0</v>
      </c>
      <c r="K104" s="13">
        <f t="shared" si="6"/>
        <v>0</v>
      </c>
      <c r="L104" s="13" t="str" cm="1">
        <f t="array" ref="L104">_xlfn.IFS(J104&lt;1,"",J104=1,"Pass",J104&gt;1,_xlfn.TEXTJOIN("",TRUE,"Pass x",J104))</f>
        <v/>
      </c>
      <c r="M104" s="13" t="str" cm="1">
        <f t="array" ref="M104">_xlfn.IFS(K104&lt;1,"",K104=1,"Fail",K104&gt;1,_xlfn.TEXTJOIN("",TRUE,"Fail x",K104))</f>
        <v/>
      </c>
      <c r="N104" t="str">
        <f t="shared" si="7"/>
        <v/>
      </c>
    </row>
    <row r="105" spans="8:14">
      <c r="H105" s="13">
        <f t="shared" si="4"/>
        <v>0</v>
      </c>
      <c r="J105" s="13">
        <f t="shared" si="5"/>
        <v>0</v>
      </c>
      <c r="K105" s="13">
        <f t="shared" si="6"/>
        <v>0</v>
      </c>
      <c r="L105" s="13" t="str" cm="1">
        <f t="array" ref="L105">_xlfn.IFS(J105&lt;1,"",J105=1,"Pass",J105&gt;1,_xlfn.TEXTJOIN("",TRUE,"Pass x",J105))</f>
        <v/>
      </c>
      <c r="M105" s="13" t="str" cm="1">
        <f t="array" ref="M105">_xlfn.IFS(K105&lt;1,"",K105=1,"Fail",K105&gt;1,_xlfn.TEXTJOIN("",TRUE,"Fail x",K105))</f>
        <v/>
      </c>
      <c r="N105" t="str">
        <f t="shared" si="7"/>
        <v/>
      </c>
    </row>
    <row r="106" spans="8:14">
      <c r="H106" s="13">
        <f t="shared" si="4"/>
        <v>0</v>
      </c>
      <c r="J106" s="13">
        <f t="shared" si="5"/>
        <v>0</v>
      </c>
      <c r="K106" s="13">
        <f t="shared" si="6"/>
        <v>0</v>
      </c>
      <c r="L106" s="13" t="str" cm="1">
        <f t="array" ref="L106">_xlfn.IFS(J106&lt;1,"",J106=1,"Pass",J106&gt;1,_xlfn.TEXTJOIN("",TRUE,"Pass x",J106))</f>
        <v/>
      </c>
      <c r="M106" s="13" t="str" cm="1">
        <f t="array" ref="M106">_xlfn.IFS(K106&lt;1,"",K106=1,"Fail",K106&gt;1,_xlfn.TEXTJOIN("",TRUE,"Fail x",K106))</f>
        <v/>
      </c>
      <c r="N106" t="str">
        <f t="shared" si="7"/>
        <v/>
      </c>
    </row>
    <row r="107" spans="8:14">
      <c r="H107" s="13">
        <f t="shared" si="4"/>
        <v>0</v>
      </c>
      <c r="J107" s="13">
        <f t="shared" si="5"/>
        <v>0</v>
      </c>
      <c r="K107" s="13">
        <f t="shared" si="6"/>
        <v>0</v>
      </c>
      <c r="L107" s="13" t="str" cm="1">
        <f t="array" ref="L107">_xlfn.IFS(J107&lt;1,"",J107=1,"Pass",J107&gt;1,_xlfn.TEXTJOIN("",TRUE,"Pass x",J107))</f>
        <v/>
      </c>
      <c r="M107" s="13" t="str" cm="1">
        <f t="array" ref="M107">_xlfn.IFS(K107&lt;1,"",K107=1,"Fail",K107&gt;1,_xlfn.TEXTJOIN("",TRUE,"Fail x",K107))</f>
        <v/>
      </c>
      <c r="N107" t="str">
        <f t="shared" si="7"/>
        <v/>
      </c>
    </row>
    <row r="108" spans="8:14">
      <c r="H108" s="13">
        <f t="shared" si="4"/>
        <v>0</v>
      </c>
      <c r="J108" s="13">
        <f t="shared" si="5"/>
        <v>0</v>
      </c>
      <c r="K108" s="13">
        <f t="shared" si="6"/>
        <v>0</v>
      </c>
      <c r="L108" s="13" t="str" cm="1">
        <f t="array" ref="L108">_xlfn.IFS(J108&lt;1,"",J108=1,"Pass",J108&gt;1,_xlfn.TEXTJOIN("",TRUE,"Pass x",J108))</f>
        <v/>
      </c>
      <c r="M108" s="13" t="str" cm="1">
        <f t="array" ref="M108">_xlfn.IFS(K108&lt;1,"",K108=1,"Fail",K108&gt;1,_xlfn.TEXTJOIN("",TRUE,"Fail x",K108))</f>
        <v/>
      </c>
      <c r="N108" t="str">
        <f t="shared" si="7"/>
        <v/>
      </c>
    </row>
    <row r="109" spans="8:14">
      <c r="H109" s="13">
        <f t="shared" si="4"/>
        <v>0</v>
      </c>
      <c r="J109" s="13">
        <f t="shared" si="5"/>
        <v>0</v>
      </c>
      <c r="K109" s="13">
        <f t="shared" si="6"/>
        <v>0</v>
      </c>
      <c r="L109" s="13" t="str" cm="1">
        <f t="array" ref="L109">_xlfn.IFS(J109&lt;1,"",J109=1,"Pass",J109&gt;1,_xlfn.TEXTJOIN("",TRUE,"Pass x",J109))</f>
        <v/>
      </c>
      <c r="M109" s="13" t="str" cm="1">
        <f t="array" ref="M109">_xlfn.IFS(K109&lt;1,"",K109=1,"Fail",K109&gt;1,_xlfn.TEXTJOIN("",TRUE,"Fail x",K109))</f>
        <v/>
      </c>
      <c r="N109" t="str">
        <f t="shared" si="7"/>
        <v/>
      </c>
    </row>
    <row r="110" spans="8:14">
      <c r="H110" s="13">
        <f t="shared" si="4"/>
        <v>0</v>
      </c>
      <c r="J110" s="13">
        <f t="shared" si="5"/>
        <v>0</v>
      </c>
      <c r="K110" s="13">
        <f t="shared" si="6"/>
        <v>0</v>
      </c>
      <c r="L110" s="13" t="str" cm="1">
        <f t="array" ref="L110">_xlfn.IFS(J110&lt;1,"",J110=1,"Pass",J110&gt;1,_xlfn.TEXTJOIN("",TRUE,"Pass x",J110))</f>
        <v/>
      </c>
      <c r="M110" s="13" t="str" cm="1">
        <f t="array" ref="M110">_xlfn.IFS(K110&lt;1,"",K110=1,"Fail",K110&gt;1,_xlfn.TEXTJOIN("",TRUE,"Fail x",K110))</f>
        <v/>
      </c>
      <c r="N110" t="str">
        <f t="shared" si="7"/>
        <v/>
      </c>
    </row>
    <row r="111" spans="8:14">
      <c r="H111" s="13">
        <f t="shared" si="4"/>
        <v>0</v>
      </c>
      <c r="J111" s="13">
        <f t="shared" si="5"/>
        <v>0</v>
      </c>
      <c r="K111" s="13">
        <f t="shared" si="6"/>
        <v>0</v>
      </c>
      <c r="L111" s="13" t="str" cm="1">
        <f t="array" ref="L111">_xlfn.IFS(J111&lt;1,"",J111=1,"Pass",J111&gt;1,_xlfn.TEXTJOIN("",TRUE,"Pass x",J111))</f>
        <v/>
      </c>
      <c r="M111" s="13" t="str" cm="1">
        <f t="array" ref="M111">_xlfn.IFS(K111&lt;1,"",K111=1,"Fail",K111&gt;1,_xlfn.TEXTJOIN("",TRUE,"Fail x",K111))</f>
        <v/>
      </c>
      <c r="N111" t="str">
        <f t="shared" si="7"/>
        <v/>
      </c>
    </row>
    <row r="112" spans="8:14">
      <c r="H112" s="13">
        <f t="shared" si="4"/>
        <v>0</v>
      </c>
      <c r="J112" s="13">
        <f t="shared" si="5"/>
        <v>0</v>
      </c>
      <c r="K112" s="13">
        <f t="shared" si="6"/>
        <v>0</v>
      </c>
      <c r="L112" s="13" t="str" cm="1">
        <f t="array" ref="L112">_xlfn.IFS(J112&lt;1,"",J112=1,"Pass",J112&gt;1,_xlfn.TEXTJOIN("",TRUE,"Pass x",J112))</f>
        <v/>
      </c>
      <c r="M112" s="13" t="str" cm="1">
        <f t="array" ref="M112">_xlfn.IFS(K112&lt;1,"",K112=1,"Fail",K112&gt;1,_xlfn.TEXTJOIN("",TRUE,"Fail x",K112))</f>
        <v/>
      </c>
      <c r="N112" t="str">
        <f t="shared" si="7"/>
        <v/>
      </c>
    </row>
    <row r="113" spans="8:14">
      <c r="H113" s="13">
        <f t="shared" si="4"/>
        <v>0</v>
      </c>
      <c r="J113" s="13">
        <f t="shared" si="5"/>
        <v>0</v>
      </c>
      <c r="K113" s="13">
        <f t="shared" si="6"/>
        <v>0</v>
      </c>
      <c r="L113" s="13" t="str" cm="1">
        <f t="array" ref="L113">_xlfn.IFS(J113&lt;1,"",J113=1,"Pass",J113&gt;1,_xlfn.TEXTJOIN("",TRUE,"Pass x",J113))</f>
        <v/>
      </c>
      <c r="M113" s="13" t="str" cm="1">
        <f t="array" ref="M113">_xlfn.IFS(K113&lt;1,"",K113=1,"Fail",K113&gt;1,_xlfn.TEXTJOIN("",TRUE,"Fail x",K113))</f>
        <v/>
      </c>
      <c r="N113" t="str">
        <f t="shared" si="7"/>
        <v/>
      </c>
    </row>
    <row r="114" spans="8:14">
      <c r="H114" s="13">
        <f t="shared" si="4"/>
        <v>0</v>
      </c>
      <c r="J114" s="13">
        <f t="shared" si="5"/>
        <v>0</v>
      </c>
      <c r="K114" s="13">
        <f t="shared" si="6"/>
        <v>0</v>
      </c>
      <c r="L114" s="13" t="str" cm="1">
        <f t="array" ref="L114">_xlfn.IFS(J114&lt;1,"",J114=1,"Pass",J114&gt;1,_xlfn.TEXTJOIN("",TRUE,"Pass x",J114))</f>
        <v/>
      </c>
      <c r="M114" s="13" t="str" cm="1">
        <f t="array" ref="M114">_xlfn.IFS(K114&lt;1,"",K114=1,"Fail",K114&gt;1,_xlfn.TEXTJOIN("",TRUE,"Fail x",K114))</f>
        <v/>
      </c>
    </row>
    <row r="115" spans="8:14">
      <c r="H115" s="13">
        <f t="shared" si="4"/>
        <v>0</v>
      </c>
      <c r="J115" s="13">
        <f t="shared" si="5"/>
        <v>0</v>
      </c>
      <c r="K115" s="13">
        <f t="shared" si="6"/>
        <v>0</v>
      </c>
      <c r="L115" s="13" t="str" cm="1">
        <f t="array" ref="L115">_xlfn.IFS(J115&lt;1,"",J115=1,"Pass",J115&gt;1,_xlfn.TEXTJOIN("",TRUE,"Pass x",J115))</f>
        <v/>
      </c>
      <c r="M115" s="13" t="str" cm="1">
        <f t="array" ref="M115">_xlfn.IFS(K115&lt;1,"",K115=1,"Fail",K115&gt;1,_xlfn.TEXTJOIN("",TRUE,"Fail x",K115))</f>
        <v/>
      </c>
    </row>
    <row r="116" spans="8:14">
      <c r="H116" s="13">
        <f t="shared" si="4"/>
        <v>0</v>
      </c>
      <c r="J116" s="13">
        <f t="shared" si="5"/>
        <v>0</v>
      </c>
      <c r="K116" s="13">
        <f t="shared" si="6"/>
        <v>0</v>
      </c>
      <c r="L116" s="13" t="str" cm="1">
        <f t="array" ref="L116">_xlfn.IFS(J116&lt;1,"",J116=1,"Pass",J116&gt;1,_xlfn.TEXTJOIN("",TRUE,"Pass x",J116))</f>
        <v/>
      </c>
      <c r="M116" s="13" t="str" cm="1">
        <f t="array" ref="M116">_xlfn.IFS(K116&lt;1,"",K116=1,"Fail",K116&gt;1,_xlfn.TEXTJOIN("",TRUE,"Fail x",K116))</f>
        <v/>
      </c>
    </row>
    <row r="117" spans="8:14">
      <c r="H117" s="13">
        <f t="shared" si="4"/>
        <v>0</v>
      </c>
      <c r="J117" s="13">
        <f t="shared" si="5"/>
        <v>0</v>
      </c>
      <c r="K117" s="13">
        <f t="shared" si="6"/>
        <v>0</v>
      </c>
      <c r="L117" s="13" t="str" cm="1">
        <f t="array" ref="L117">_xlfn.IFS(J117&lt;1,"",J117=1,"Pass",J117&gt;1,_xlfn.TEXTJOIN("",TRUE,"Pass x",J117))</f>
        <v/>
      </c>
      <c r="M117" s="13" t="str" cm="1">
        <f t="array" ref="M117">_xlfn.IFS(K117&lt;1,"",K117=1,"Fail",K117&gt;1,_xlfn.TEXTJOIN("",TRUE,"Fail x",K117))</f>
        <v/>
      </c>
    </row>
    <row r="118" spans="8:14">
      <c r="H118" s="13">
        <f t="shared" si="4"/>
        <v>0</v>
      </c>
      <c r="J118" s="13">
        <f t="shared" si="5"/>
        <v>0</v>
      </c>
      <c r="K118" s="13">
        <f t="shared" si="6"/>
        <v>0</v>
      </c>
      <c r="L118" s="13" t="str" cm="1">
        <f t="array" ref="L118">_xlfn.IFS(J118&lt;1,"",J118=1,"Pass",J118&gt;1,_xlfn.TEXTJOIN("",TRUE,"Pass x",J118))</f>
        <v/>
      </c>
      <c r="M118" s="13" t="str" cm="1">
        <f t="array" ref="M118">_xlfn.IFS(K118&lt;1,"",K118=1,"Fail",K118&gt;1,_xlfn.TEXTJOIN("",TRUE,"Fail x",K118))</f>
        <v/>
      </c>
    </row>
    <row r="119" spans="8:14">
      <c r="H119" s="13">
        <f t="shared" si="4"/>
        <v>0</v>
      </c>
      <c r="J119" s="13">
        <f t="shared" si="5"/>
        <v>0</v>
      </c>
      <c r="K119" s="13">
        <f t="shared" si="6"/>
        <v>0</v>
      </c>
      <c r="L119" s="13" t="str" cm="1">
        <f t="array" ref="L119">_xlfn.IFS(J119&lt;1,"",J119=1,"Pass",J119&gt;1,_xlfn.TEXTJOIN("",TRUE,"Pass x",J119))</f>
        <v/>
      </c>
      <c r="M119" s="13" t="str" cm="1">
        <f t="array" ref="M119">_xlfn.IFS(K119&lt;1,"",K119=1,"Fail",K119&gt;1,_xlfn.TEXTJOIN("",TRUE,"Fail x",K119))</f>
        <v/>
      </c>
    </row>
    <row r="120" spans="8:14">
      <c r="H120" s="13">
        <f t="shared" si="4"/>
        <v>0</v>
      </c>
      <c r="J120" s="13">
        <f t="shared" si="5"/>
        <v>0</v>
      </c>
      <c r="K120" s="13">
        <f t="shared" si="6"/>
        <v>0</v>
      </c>
      <c r="L120" s="13" t="str" cm="1">
        <f t="array" ref="L120">_xlfn.IFS(J120&lt;1,"",J120=1,"Pass",J120&gt;1,_xlfn.TEXTJOIN("",TRUE,"Pass x",J120))</f>
        <v/>
      </c>
      <c r="M120" s="13" t="str" cm="1">
        <f t="array" ref="M120">_xlfn.IFS(K120&lt;1,"",K120=1,"Fail",K120&gt;1,_xlfn.TEXTJOIN("",TRUE,"Fail x",K120))</f>
        <v/>
      </c>
    </row>
    <row r="121" spans="8:14">
      <c r="H121" s="13">
        <f t="shared" si="4"/>
        <v>0</v>
      </c>
      <c r="J121" s="13">
        <f t="shared" si="5"/>
        <v>0</v>
      </c>
      <c r="K121" s="13">
        <f t="shared" si="6"/>
        <v>0</v>
      </c>
      <c r="L121" s="13" t="str" cm="1">
        <f t="array" ref="L121">_xlfn.IFS(J121&lt;1,"",J121=1,"Pass",J121&gt;1,_xlfn.TEXTJOIN("",TRUE,"Pass x",J121))</f>
        <v/>
      </c>
      <c r="M121" s="13" t="str" cm="1">
        <f t="array" ref="M121">_xlfn.IFS(K121&lt;1,"",K121=1,"Fail",K121&gt;1,_xlfn.TEXTJOIN("",TRUE,"Fail x",K121))</f>
        <v/>
      </c>
    </row>
    <row r="122" spans="8:14">
      <c r="H122" s="13">
        <f t="shared" si="4"/>
        <v>0</v>
      </c>
      <c r="J122" s="13">
        <f t="shared" si="5"/>
        <v>0</v>
      </c>
      <c r="K122" s="13">
        <f t="shared" si="6"/>
        <v>0</v>
      </c>
      <c r="L122" s="13" t="str" cm="1">
        <f t="array" ref="L122">_xlfn.IFS(J122&lt;1,"",J122=1,"Pass",J122&gt;1,_xlfn.TEXTJOIN("",TRUE,"Pass x",J122))</f>
        <v/>
      </c>
      <c r="M122" s="13" t="str" cm="1">
        <f t="array" ref="M122">_xlfn.IFS(K122&lt;1,"",K122=1,"Fail",K122&gt;1,_xlfn.TEXTJOIN("",TRUE,"Fail x",K122))</f>
        <v/>
      </c>
    </row>
    <row r="123" spans="8:14">
      <c r="H123" s="13">
        <f t="shared" si="4"/>
        <v>0</v>
      </c>
      <c r="J123" s="13">
        <f t="shared" si="5"/>
        <v>0</v>
      </c>
      <c r="K123" s="13">
        <f t="shared" si="6"/>
        <v>0</v>
      </c>
      <c r="L123" s="13" t="str" cm="1">
        <f t="array" ref="L123">_xlfn.IFS(J123&lt;1,"",J123=1,"Pass",J123&gt;1,_xlfn.TEXTJOIN("",TRUE,"Pass x",J123))</f>
        <v/>
      </c>
      <c r="M123" s="13" t="str" cm="1">
        <f t="array" ref="M123">_xlfn.IFS(K123&lt;1,"",K123=1,"Fail",K123&gt;1,_xlfn.TEXTJOIN("",TRUE,"Fail x",K123))</f>
        <v/>
      </c>
    </row>
    <row r="124" spans="8:14">
      <c r="H124" s="13">
        <f t="shared" si="4"/>
        <v>0</v>
      </c>
      <c r="J124" s="13">
        <f t="shared" si="5"/>
        <v>0</v>
      </c>
      <c r="K124" s="13">
        <f t="shared" si="6"/>
        <v>0</v>
      </c>
      <c r="L124" s="13" t="str" cm="1">
        <f t="array" ref="L124">_xlfn.IFS(J124&lt;1,"",J124=1,"Pass",J124&gt;1,_xlfn.TEXTJOIN("",TRUE,"Pass x",J124))</f>
        <v/>
      </c>
      <c r="M124" s="13" t="str" cm="1">
        <f t="array" ref="M124">_xlfn.IFS(K124&lt;1,"",K124=1,"Fail",K124&gt;1,_xlfn.TEXTJOIN("",TRUE,"Fail x",K124))</f>
        <v/>
      </c>
    </row>
    <row r="125" spans="8:14">
      <c r="H125" s="13">
        <f t="shared" si="4"/>
        <v>0</v>
      </c>
      <c r="J125" s="13">
        <f t="shared" si="5"/>
        <v>0</v>
      </c>
      <c r="K125" s="13">
        <f t="shared" si="6"/>
        <v>0</v>
      </c>
      <c r="L125" s="13" t="str" cm="1">
        <f t="array" ref="L125">_xlfn.IFS(J125&lt;1,"",J125=1,"Pass",J125&gt;1,_xlfn.TEXTJOIN("",TRUE,"Pass x",J125))</f>
        <v/>
      </c>
      <c r="M125" s="13" t="str" cm="1">
        <f t="array" ref="M125">_xlfn.IFS(K125&lt;1,"",K125=1,"Fail",K125&gt;1,_xlfn.TEXTJOIN("",TRUE,"Fail x",K125))</f>
        <v/>
      </c>
    </row>
    <row r="126" spans="8:14">
      <c r="H126" s="13">
        <f t="shared" si="4"/>
        <v>0</v>
      </c>
      <c r="J126" s="13">
        <f t="shared" si="5"/>
        <v>0</v>
      </c>
      <c r="K126" s="13">
        <f t="shared" si="6"/>
        <v>0</v>
      </c>
      <c r="L126" s="13" t="str" cm="1">
        <f t="array" ref="L126">_xlfn.IFS(J126&lt;1,"",J126=1,"Pass",J126&gt;1,_xlfn.TEXTJOIN("",TRUE,"Pass x",J126))</f>
        <v/>
      </c>
      <c r="M126" s="13" t="str" cm="1">
        <f t="array" ref="M126">_xlfn.IFS(K126&lt;1,"",K126=1,"Fail",K126&gt;1,_xlfn.TEXTJOIN("",TRUE,"Fail x",K126))</f>
        <v/>
      </c>
    </row>
    <row r="127" spans="8:14">
      <c r="H127" s="13">
        <f t="shared" si="4"/>
        <v>0</v>
      </c>
      <c r="J127" s="13">
        <f t="shared" si="5"/>
        <v>0</v>
      </c>
      <c r="K127" s="13">
        <f t="shared" si="6"/>
        <v>0</v>
      </c>
      <c r="L127" s="13" t="str" cm="1">
        <f t="array" ref="L127">_xlfn.IFS(J127&lt;1,"",J127=1,"Pass",J127&gt;1,_xlfn.TEXTJOIN("",TRUE,"Pass x",J127))</f>
        <v/>
      </c>
      <c r="M127" s="13" t="str" cm="1">
        <f t="array" ref="M127">_xlfn.IFS(K127&lt;1,"",K127=1,"Fail",K127&gt;1,_xlfn.TEXTJOIN("",TRUE,"Fail x",K127))</f>
        <v/>
      </c>
    </row>
    <row r="128" spans="8:14">
      <c r="H128" s="13">
        <f t="shared" si="4"/>
        <v>0</v>
      </c>
      <c r="J128" s="13">
        <f t="shared" si="5"/>
        <v>0</v>
      </c>
      <c r="K128" s="13">
        <f t="shared" si="6"/>
        <v>0</v>
      </c>
      <c r="L128" s="13" t="str" cm="1">
        <f t="array" ref="L128">_xlfn.IFS(J128&lt;1,"",J128=1,"Pass",J128&gt;1,_xlfn.TEXTJOIN("",TRUE,"Pass x",J128))</f>
        <v/>
      </c>
      <c r="M128" s="13" t="str" cm="1">
        <f t="array" ref="M128">_xlfn.IFS(K128&lt;1,"",K128=1,"Fail",K128&gt;1,_xlfn.TEXTJOIN("",TRUE,"Fail x",K128))</f>
        <v/>
      </c>
    </row>
    <row r="129" spans="8:13">
      <c r="H129" s="13">
        <f t="shared" si="4"/>
        <v>0</v>
      </c>
      <c r="J129" s="13">
        <f t="shared" si="5"/>
        <v>0</v>
      </c>
      <c r="K129" s="13">
        <f t="shared" si="6"/>
        <v>0</v>
      </c>
      <c r="L129" s="13" t="str" cm="1">
        <f t="array" ref="L129">_xlfn.IFS(J129&lt;1,"",J129=1,"Pass",J129&gt;1,_xlfn.TEXTJOIN("",TRUE,"Pass x",J129))</f>
        <v/>
      </c>
      <c r="M129" s="13" t="str" cm="1">
        <f t="array" ref="M129">_xlfn.IFS(K129&lt;1,"",K129=1,"Fail",K129&gt;1,_xlfn.TEXTJOIN("",TRUE,"Fail x",K129))</f>
        <v/>
      </c>
    </row>
    <row r="130" spans="8:13">
      <c r="H130" s="13">
        <f t="shared" si="4"/>
        <v>0</v>
      </c>
      <c r="J130" s="13">
        <f t="shared" si="5"/>
        <v>0</v>
      </c>
      <c r="K130" s="13">
        <f t="shared" si="6"/>
        <v>0</v>
      </c>
      <c r="L130" s="13" t="str" cm="1">
        <f t="array" ref="L130">_xlfn.IFS(J130&lt;1,"",J130=1,"Pass",J130&gt;1,_xlfn.TEXTJOIN("",TRUE,"Pass x",J130))</f>
        <v/>
      </c>
      <c r="M130" s="13" t="str" cm="1">
        <f t="array" ref="M130">_xlfn.IFS(K130&lt;1,"",K130=1,"Fail",K130&gt;1,_xlfn.TEXTJOIN("",TRUE,"Fail x",K130))</f>
        <v/>
      </c>
    </row>
    <row r="131" spans="8:13">
      <c r="H131" s="13">
        <f t="shared" ref="H131:H194" si="8">IFERROR(GETPIVOTDATA("Successful / Failed",$A$1,"System serial",G131),0)</f>
        <v>0</v>
      </c>
      <c r="J131" s="13">
        <f t="shared" ref="J131:J194" si="9">IFERROR(GETPIVOTDATA("Successful / Failed",$A$1,"System serial",G131,"Successful / Failed","Successful"),0)</f>
        <v>0</v>
      </c>
      <c r="K131" s="13">
        <f t="shared" ref="K131:K194" si="10">IFERROR(GETPIVOTDATA("Successful / Failed",$A$1,"System serial",G131,"Successful / Failed","Failed"),0)</f>
        <v>0</v>
      </c>
      <c r="L131" s="13" t="str" cm="1">
        <f t="array" ref="L131">_xlfn.IFS(J131&lt;1,"",J131=1,"Pass",J131&gt;1,_xlfn.TEXTJOIN("",TRUE,"Pass x",J131))</f>
        <v/>
      </c>
      <c r="M131" s="13" t="str" cm="1">
        <f t="array" ref="M131">_xlfn.IFS(K131&lt;1,"",K131=1,"Fail",K131&gt;1,_xlfn.TEXTJOIN("",TRUE,"Fail x",K131))</f>
        <v/>
      </c>
    </row>
    <row r="132" spans="8:13">
      <c r="H132" s="13">
        <f t="shared" si="8"/>
        <v>0</v>
      </c>
      <c r="J132" s="13">
        <f t="shared" si="9"/>
        <v>0</v>
      </c>
      <c r="K132" s="13">
        <f t="shared" si="10"/>
        <v>0</v>
      </c>
      <c r="L132" s="13" t="str" cm="1">
        <f t="array" ref="L132">_xlfn.IFS(J132&lt;1,"",J132=1,"Pass",J132&gt;1,_xlfn.TEXTJOIN("",TRUE,"Pass x",J132))</f>
        <v/>
      </c>
      <c r="M132" s="13" t="str" cm="1">
        <f t="array" ref="M132">_xlfn.IFS(K132&lt;1,"",K132=1,"Fail",K132&gt;1,_xlfn.TEXTJOIN("",TRUE,"Fail x",K132))</f>
        <v/>
      </c>
    </row>
    <row r="133" spans="8:13">
      <c r="H133" s="13">
        <f t="shared" si="8"/>
        <v>0</v>
      </c>
      <c r="J133" s="13">
        <f t="shared" si="9"/>
        <v>0</v>
      </c>
      <c r="K133" s="13">
        <f t="shared" si="10"/>
        <v>0</v>
      </c>
      <c r="L133" s="13" t="str" cm="1">
        <f t="array" ref="L133">_xlfn.IFS(J133&lt;1,"",J133=1,"Pass",J133&gt;1,_xlfn.TEXTJOIN("",TRUE,"Pass x",J133))</f>
        <v/>
      </c>
      <c r="M133" s="13" t="str" cm="1">
        <f t="array" ref="M133">_xlfn.IFS(K133&lt;1,"",K133=1,"Fail",K133&gt;1,_xlfn.TEXTJOIN("",TRUE,"Fail x",K133))</f>
        <v/>
      </c>
    </row>
    <row r="134" spans="8:13">
      <c r="H134" s="13">
        <f t="shared" si="8"/>
        <v>0</v>
      </c>
      <c r="J134" s="13">
        <f t="shared" si="9"/>
        <v>0</v>
      </c>
      <c r="K134" s="13">
        <f t="shared" si="10"/>
        <v>0</v>
      </c>
      <c r="L134" s="13" t="str" cm="1">
        <f t="array" ref="L134">_xlfn.IFS(J134&lt;1,"",J134=1,"Pass",J134&gt;1,_xlfn.TEXTJOIN("",TRUE,"Pass x",J134))</f>
        <v/>
      </c>
      <c r="M134" s="13" t="str" cm="1">
        <f t="array" ref="M134">_xlfn.IFS(K134&lt;1,"",K134=1,"Fail",K134&gt;1,_xlfn.TEXTJOIN("",TRUE,"Fail x",K134))</f>
        <v/>
      </c>
    </row>
    <row r="135" spans="8:13">
      <c r="H135" s="13">
        <f t="shared" si="8"/>
        <v>0</v>
      </c>
      <c r="J135" s="13">
        <f t="shared" si="9"/>
        <v>0</v>
      </c>
      <c r="K135" s="13">
        <f t="shared" si="10"/>
        <v>0</v>
      </c>
      <c r="L135" s="13" t="str" cm="1">
        <f t="array" ref="L135">_xlfn.IFS(J135&lt;1,"",J135=1,"Pass",J135&gt;1,_xlfn.TEXTJOIN("",TRUE,"Pass x",J135))</f>
        <v/>
      </c>
      <c r="M135" s="13" t="str" cm="1">
        <f t="array" ref="M135">_xlfn.IFS(K135&lt;1,"",K135=1,"Fail",K135&gt;1,_xlfn.TEXTJOIN("",TRUE,"Fail x",K135))</f>
        <v/>
      </c>
    </row>
    <row r="136" spans="8:13">
      <c r="H136" s="13">
        <f t="shared" si="8"/>
        <v>0</v>
      </c>
      <c r="J136" s="13">
        <f t="shared" si="9"/>
        <v>0</v>
      </c>
      <c r="K136" s="13">
        <f t="shared" si="10"/>
        <v>0</v>
      </c>
      <c r="L136" s="13" t="str" cm="1">
        <f t="array" ref="L136">_xlfn.IFS(J136&lt;1,"",J136=1,"Pass",J136&gt;1,_xlfn.TEXTJOIN("",TRUE,"Pass x",J136))</f>
        <v/>
      </c>
      <c r="M136" s="13" t="str" cm="1">
        <f t="array" ref="M136">_xlfn.IFS(K136&lt;1,"",K136=1,"Fail",K136&gt;1,_xlfn.TEXTJOIN("",TRUE,"Fail x",K136))</f>
        <v/>
      </c>
    </row>
    <row r="137" spans="8:13">
      <c r="H137" s="13">
        <f t="shared" si="8"/>
        <v>0</v>
      </c>
      <c r="J137" s="13">
        <f t="shared" si="9"/>
        <v>0</v>
      </c>
      <c r="K137" s="13">
        <f t="shared" si="10"/>
        <v>0</v>
      </c>
      <c r="L137" s="13" t="str" cm="1">
        <f t="array" ref="L137">_xlfn.IFS(J137&lt;1,"",J137=1,"Pass",J137&gt;1,_xlfn.TEXTJOIN("",TRUE,"Pass x",J137))</f>
        <v/>
      </c>
      <c r="M137" s="13" t="str" cm="1">
        <f t="array" ref="M137">_xlfn.IFS(K137&lt;1,"",K137=1,"Fail",K137&gt;1,_xlfn.TEXTJOIN("",TRUE,"Fail x",K137))</f>
        <v/>
      </c>
    </row>
    <row r="138" spans="8:13">
      <c r="H138" s="13">
        <f t="shared" si="8"/>
        <v>0</v>
      </c>
      <c r="J138" s="13">
        <f t="shared" si="9"/>
        <v>0</v>
      </c>
      <c r="K138" s="13">
        <f t="shared" si="10"/>
        <v>0</v>
      </c>
      <c r="L138" s="13" t="str" cm="1">
        <f t="array" ref="L138">_xlfn.IFS(J138&lt;1,"",J138=1,"Pass",J138&gt;1,_xlfn.TEXTJOIN("",TRUE,"Pass x",J138))</f>
        <v/>
      </c>
      <c r="M138" s="13" t="str" cm="1">
        <f t="array" ref="M138">_xlfn.IFS(K138&lt;1,"",K138=1,"Fail",K138&gt;1,_xlfn.TEXTJOIN("",TRUE,"Fail x",K138))</f>
        <v/>
      </c>
    </row>
    <row r="139" spans="8:13">
      <c r="H139" s="13">
        <f t="shared" si="8"/>
        <v>0</v>
      </c>
      <c r="J139" s="13">
        <f t="shared" si="9"/>
        <v>0</v>
      </c>
      <c r="K139" s="13">
        <f t="shared" si="10"/>
        <v>0</v>
      </c>
      <c r="L139" s="13" t="str" cm="1">
        <f t="array" ref="L139">_xlfn.IFS(J139&lt;1,"",J139=1,"Pass",J139&gt;1,_xlfn.TEXTJOIN("",TRUE,"Pass x",J139))</f>
        <v/>
      </c>
      <c r="M139" s="13" t="str" cm="1">
        <f t="array" ref="M139">_xlfn.IFS(K139&lt;1,"",K139=1,"Fail",K139&gt;1,_xlfn.TEXTJOIN("",TRUE,"Fail x",K139))</f>
        <v/>
      </c>
    </row>
    <row r="140" spans="8:13">
      <c r="H140" s="13">
        <f t="shared" si="8"/>
        <v>0</v>
      </c>
      <c r="J140" s="13">
        <f t="shared" si="9"/>
        <v>0</v>
      </c>
      <c r="K140" s="13">
        <f t="shared" si="10"/>
        <v>0</v>
      </c>
      <c r="L140" s="13" t="str" cm="1">
        <f t="array" ref="L140">_xlfn.IFS(J140&lt;1,"",J140=1,"Pass",J140&gt;1,_xlfn.TEXTJOIN("",TRUE,"Pass x",J140))</f>
        <v/>
      </c>
      <c r="M140" s="13" t="str" cm="1">
        <f t="array" ref="M140">_xlfn.IFS(K140&lt;1,"",K140=1,"Fail",K140&gt;1,_xlfn.TEXTJOIN("",TRUE,"Fail x",K140))</f>
        <v/>
      </c>
    </row>
    <row r="141" spans="8:13">
      <c r="H141" s="13">
        <f t="shared" si="8"/>
        <v>0</v>
      </c>
      <c r="J141" s="13">
        <f t="shared" si="9"/>
        <v>0</v>
      </c>
      <c r="K141" s="13">
        <f t="shared" si="10"/>
        <v>0</v>
      </c>
      <c r="L141" s="13" t="str" cm="1">
        <f t="array" ref="L141">_xlfn.IFS(J141&lt;1,"",J141=1,"Pass",J141&gt;1,_xlfn.TEXTJOIN("",TRUE,"Pass x",J141))</f>
        <v/>
      </c>
      <c r="M141" s="13" t="str" cm="1">
        <f t="array" ref="M141">_xlfn.IFS(K141&lt;1,"",K141=1,"Fail",K141&gt;1,_xlfn.TEXTJOIN("",TRUE,"Fail x",K141))</f>
        <v/>
      </c>
    </row>
    <row r="142" spans="8:13">
      <c r="H142" s="13">
        <f t="shared" si="8"/>
        <v>0</v>
      </c>
      <c r="J142" s="13">
        <f t="shared" si="9"/>
        <v>0</v>
      </c>
      <c r="K142" s="13">
        <f t="shared" si="10"/>
        <v>0</v>
      </c>
      <c r="L142" s="13" t="str" cm="1">
        <f t="array" ref="L142">_xlfn.IFS(J142&lt;1,"",J142=1,"Pass",J142&gt;1,_xlfn.TEXTJOIN("",TRUE,"Pass x",J142))</f>
        <v/>
      </c>
      <c r="M142" s="13" t="str" cm="1">
        <f t="array" ref="M142">_xlfn.IFS(K142&lt;1,"",K142=1,"Fail",K142&gt;1,_xlfn.TEXTJOIN("",TRUE,"Fail x",K142))</f>
        <v/>
      </c>
    </row>
    <row r="143" spans="8:13">
      <c r="H143" s="13">
        <f t="shared" si="8"/>
        <v>0</v>
      </c>
      <c r="J143" s="13">
        <f t="shared" si="9"/>
        <v>0</v>
      </c>
      <c r="K143" s="13">
        <f t="shared" si="10"/>
        <v>0</v>
      </c>
      <c r="L143" s="13" t="str" cm="1">
        <f t="array" ref="L143">_xlfn.IFS(J143&lt;1,"",J143=1,"Pass",J143&gt;1,_xlfn.TEXTJOIN("",TRUE,"Pass x",J143))</f>
        <v/>
      </c>
      <c r="M143" s="13" t="str" cm="1">
        <f t="array" ref="M143">_xlfn.IFS(K143&lt;1,"",K143=1,"Fail",K143&gt;1,_xlfn.TEXTJOIN("",TRUE,"Fail x",K143))</f>
        <v/>
      </c>
    </row>
    <row r="144" spans="8:13">
      <c r="H144" s="13">
        <f t="shared" si="8"/>
        <v>0</v>
      </c>
      <c r="J144" s="13">
        <f t="shared" si="9"/>
        <v>0</v>
      </c>
      <c r="K144" s="13">
        <f t="shared" si="10"/>
        <v>0</v>
      </c>
      <c r="L144" s="13" t="str" cm="1">
        <f t="array" ref="L144">_xlfn.IFS(J144&lt;1,"",J144=1,"Pass",J144&gt;1,_xlfn.TEXTJOIN("",TRUE,"Pass x",J144))</f>
        <v/>
      </c>
      <c r="M144" s="13" t="str" cm="1">
        <f t="array" ref="M144">_xlfn.IFS(K144&lt;1,"",K144=1,"Fail",K144&gt;1,_xlfn.TEXTJOIN("",TRUE,"Fail x",K144))</f>
        <v/>
      </c>
    </row>
    <row r="145" spans="8:13">
      <c r="H145" s="13">
        <f t="shared" si="8"/>
        <v>0</v>
      </c>
      <c r="J145" s="13">
        <f t="shared" si="9"/>
        <v>0</v>
      </c>
      <c r="K145" s="13">
        <f t="shared" si="10"/>
        <v>0</v>
      </c>
      <c r="L145" s="13" t="str" cm="1">
        <f t="array" ref="L145">_xlfn.IFS(J145&lt;1,"",J145=1,"Pass",J145&gt;1,_xlfn.TEXTJOIN("",TRUE,"Pass x",J145))</f>
        <v/>
      </c>
      <c r="M145" s="13" t="str" cm="1">
        <f t="array" ref="M145">_xlfn.IFS(K145&lt;1,"",K145=1,"Fail",K145&gt;1,_xlfn.TEXTJOIN("",TRUE,"Fail x",K145))</f>
        <v/>
      </c>
    </row>
    <row r="146" spans="8:13">
      <c r="H146" s="13">
        <f t="shared" si="8"/>
        <v>0</v>
      </c>
      <c r="J146" s="13">
        <f t="shared" si="9"/>
        <v>0</v>
      </c>
      <c r="K146" s="13">
        <f t="shared" si="10"/>
        <v>0</v>
      </c>
      <c r="L146" s="13" t="str" cm="1">
        <f t="array" ref="L146">_xlfn.IFS(J146&lt;1,"",J146=1,"Pass",J146&gt;1,_xlfn.TEXTJOIN("",TRUE,"Pass x",J146))</f>
        <v/>
      </c>
      <c r="M146" s="13" t="str" cm="1">
        <f t="array" ref="M146">_xlfn.IFS(K146&lt;1,"",K146=1,"Fail",K146&gt;1,_xlfn.TEXTJOIN("",TRUE,"Fail x",K146))</f>
        <v/>
      </c>
    </row>
    <row r="147" spans="8:13">
      <c r="H147" s="13">
        <f t="shared" si="8"/>
        <v>0</v>
      </c>
      <c r="J147" s="13">
        <f t="shared" si="9"/>
        <v>0</v>
      </c>
      <c r="K147" s="13">
        <f t="shared" si="10"/>
        <v>0</v>
      </c>
      <c r="L147" s="13" t="str" cm="1">
        <f t="array" ref="L147">_xlfn.IFS(J147&lt;1,"",J147=1,"Pass",J147&gt;1,_xlfn.TEXTJOIN("",TRUE,"Pass x",J147))</f>
        <v/>
      </c>
      <c r="M147" s="13" t="str" cm="1">
        <f t="array" ref="M147">_xlfn.IFS(K147&lt;1,"",K147=1,"Fail",K147&gt;1,_xlfn.TEXTJOIN("",TRUE,"Fail x",K147))</f>
        <v/>
      </c>
    </row>
    <row r="148" spans="8:13">
      <c r="H148" s="13">
        <f t="shared" si="8"/>
        <v>0</v>
      </c>
      <c r="J148" s="13">
        <f t="shared" si="9"/>
        <v>0</v>
      </c>
      <c r="K148" s="13">
        <f t="shared" si="10"/>
        <v>0</v>
      </c>
      <c r="L148" s="13" t="str" cm="1">
        <f t="array" ref="L148">_xlfn.IFS(J148&lt;1,"",J148=1,"Pass",J148&gt;1,_xlfn.TEXTJOIN("",TRUE,"Pass x",J148))</f>
        <v/>
      </c>
      <c r="M148" s="13" t="str" cm="1">
        <f t="array" ref="M148">_xlfn.IFS(K148&lt;1,"",K148=1,"Fail",K148&gt;1,_xlfn.TEXTJOIN("",TRUE,"Fail x",K148))</f>
        <v/>
      </c>
    </row>
    <row r="149" spans="8:13">
      <c r="H149" s="13">
        <f t="shared" si="8"/>
        <v>0</v>
      </c>
      <c r="J149" s="13">
        <f t="shared" si="9"/>
        <v>0</v>
      </c>
      <c r="K149" s="13">
        <f t="shared" si="10"/>
        <v>0</v>
      </c>
      <c r="L149" s="13" t="str" cm="1">
        <f t="array" ref="L149">_xlfn.IFS(J149&lt;1,"",J149=1,"Pass",J149&gt;1,_xlfn.TEXTJOIN("",TRUE,"Pass x",J149))</f>
        <v/>
      </c>
      <c r="M149" s="13" t="str" cm="1">
        <f t="array" ref="M149">_xlfn.IFS(K149&lt;1,"",K149=1,"Fail",K149&gt;1,_xlfn.TEXTJOIN("",TRUE,"Fail x",K149))</f>
        <v/>
      </c>
    </row>
    <row r="150" spans="8:13">
      <c r="H150" s="13">
        <f t="shared" si="8"/>
        <v>0</v>
      </c>
      <c r="J150" s="13">
        <f t="shared" si="9"/>
        <v>0</v>
      </c>
      <c r="K150" s="13">
        <f t="shared" si="10"/>
        <v>0</v>
      </c>
      <c r="L150" s="13" t="str" cm="1">
        <f t="array" ref="L150">_xlfn.IFS(J150&lt;1,"",J150=1,"Pass",J150&gt;1,_xlfn.TEXTJOIN("",TRUE,"Pass x",J150))</f>
        <v/>
      </c>
      <c r="M150" s="13" t="str" cm="1">
        <f t="array" ref="M150">_xlfn.IFS(K150&lt;1,"",K150=1,"Fail",K150&gt;1,_xlfn.TEXTJOIN("",TRUE,"Fail x",K150))</f>
        <v/>
      </c>
    </row>
    <row r="151" spans="8:13">
      <c r="H151" s="13">
        <f t="shared" si="8"/>
        <v>0</v>
      </c>
      <c r="J151" s="13">
        <f t="shared" si="9"/>
        <v>0</v>
      </c>
      <c r="K151" s="13">
        <f t="shared" si="10"/>
        <v>0</v>
      </c>
      <c r="L151" s="13" t="str" cm="1">
        <f t="array" ref="L151">_xlfn.IFS(J151&lt;1,"",J151=1,"Pass",J151&gt;1,_xlfn.TEXTJOIN("",TRUE,"Pass x",J151))</f>
        <v/>
      </c>
      <c r="M151" s="13" t="str" cm="1">
        <f t="array" ref="M151">_xlfn.IFS(K151&lt;1,"",K151=1,"Fail",K151&gt;1,_xlfn.TEXTJOIN("",TRUE,"Fail x",K151))</f>
        <v/>
      </c>
    </row>
    <row r="152" spans="8:13">
      <c r="H152" s="13">
        <f t="shared" si="8"/>
        <v>0</v>
      </c>
      <c r="J152" s="13">
        <f t="shared" si="9"/>
        <v>0</v>
      </c>
      <c r="K152" s="13">
        <f t="shared" si="10"/>
        <v>0</v>
      </c>
      <c r="L152" s="13" t="str" cm="1">
        <f t="array" ref="L152">_xlfn.IFS(J152&lt;1,"",J152=1,"Pass",J152&gt;1,_xlfn.TEXTJOIN("",TRUE,"Pass x",J152))</f>
        <v/>
      </c>
      <c r="M152" s="13" t="str" cm="1">
        <f t="array" ref="M152">_xlfn.IFS(K152&lt;1,"",K152=1,"Fail",K152&gt;1,_xlfn.TEXTJOIN("",TRUE,"Fail x",K152))</f>
        <v/>
      </c>
    </row>
    <row r="153" spans="8:13">
      <c r="H153" s="13">
        <f t="shared" si="8"/>
        <v>0</v>
      </c>
      <c r="J153" s="13">
        <f t="shared" si="9"/>
        <v>0</v>
      </c>
      <c r="K153" s="13">
        <f t="shared" si="10"/>
        <v>0</v>
      </c>
      <c r="L153" s="13" t="str" cm="1">
        <f t="array" ref="L153">_xlfn.IFS(J153&lt;1,"",J153=1,"Pass",J153&gt;1,_xlfn.TEXTJOIN("",TRUE,"Pass x",J153))</f>
        <v/>
      </c>
      <c r="M153" s="13" t="str" cm="1">
        <f t="array" ref="M153">_xlfn.IFS(K153&lt;1,"",K153=1,"Fail",K153&gt;1,_xlfn.TEXTJOIN("",TRUE,"Fail x",K153))</f>
        <v/>
      </c>
    </row>
    <row r="154" spans="8:13">
      <c r="H154" s="13">
        <f t="shared" si="8"/>
        <v>0</v>
      </c>
      <c r="J154" s="13">
        <f t="shared" si="9"/>
        <v>0</v>
      </c>
      <c r="K154" s="13">
        <f t="shared" si="10"/>
        <v>0</v>
      </c>
      <c r="L154" s="13" t="str" cm="1">
        <f t="array" ref="L154">_xlfn.IFS(J154&lt;1,"",J154=1,"Pass",J154&gt;1,_xlfn.TEXTJOIN("",TRUE,"Pass x",J154))</f>
        <v/>
      </c>
      <c r="M154" s="13" t="str" cm="1">
        <f t="array" ref="M154">_xlfn.IFS(K154&lt;1,"",K154=1,"Fail",K154&gt;1,_xlfn.TEXTJOIN("",TRUE,"Fail x",K154))</f>
        <v/>
      </c>
    </row>
    <row r="155" spans="8:13">
      <c r="H155" s="13">
        <f t="shared" si="8"/>
        <v>0</v>
      </c>
      <c r="J155" s="13">
        <f t="shared" si="9"/>
        <v>0</v>
      </c>
      <c r="K155" s="13">
        <f t="shared" si="10"/>
        <v>0</v>
      </c>
      <c r="L155" s="13" t="str" cm="1">
        <f t="array" ref="L155">_xlfn.IFS(J155&lt;1,"",J155=1,"Pass",J155&gt;1,_xlfn.TEXTJOIN("",TRUE,"Pass x",J155))</f>
        <v/>
      </c>
      <c r="M155" s="13" t="str" cm="1">
        <f t="array" ref="M155">_xlfn.IFS(K155&lt;1,"",K155=1,"Fail",K155&gt;1,_xlfn.TEXTJOIN("",TRUE,"Fail x",K155))</f>
        <v/>
      </c>
    </row>
    <row r="156" spans="8:13">
      <c r="H156" s="13">
        <f t="shared" si="8"/>
        <v>0</v>
      </c>
      <c r="J156" s="13">
        <f t="shared" si="9"/>
        <v>0</v>
      </c>
      <c r="K156" s="13">
        <f t="shared" si="10"/>
        <v>0</v>
      </c>
      <c r="L156" s="13" t="str" cm="1">
        <f t="array" ref="L156">_xlfn.IFS(J156&lt;1,"",J156=1,"Pass",J156&gt;1,_xlfn.TEXTJOIN("",TRUE,"Pass x",J156))</f>
        <v/>
      </c>
      <c r="M156" s="13" t="str" cm="1">
        <f t="array" ref="M156">_xlfn.IFS(K156&lt;1,"",K156=1,"Fail",K156&gt;1,_xlfn.TEXTJOIN("",TRUE,"Fail x",K156))</f>
        <v/>
      </c>
    </row>
    <row r="157" spans="8:13">
      <c r="H157" s="13">
        <f t="shared" si="8"/>
        <v>0</v>
      </c>
      <c r="J157" s="13">
        <f t="shared" si="9"/>
        <v>0</v>
      </c>
      <c r="K157" s="13">
        <f t="shared" si="10"/>
        <v>0</v>
      </c>
      <c r="L157" s="13" t="str" cm="1">
        <f t="array" ref="L157">_xlfn.IFS(J157&lt;1,"",J157=1,"Pass",J157&gt;1,_xlfn.TEXTJOIN("",TRUE,"Pass x",J157))</f>
        <v/>
      </c>
      <c r="M157" s="13" t="str" cm="1">
        <f t="array" ref="M157">_xlfn.IFS(K157&lt;1,"",K157=1,"Fail",K157&gt;1,_xlfn.TEXTJOIN("",TRUE,"Fail x",K157))</f>
        <v/>
      </c>
    </row>
    <row r="158" spans="8:13">
      <c r="H158" s="13">
        <f t="shared" si="8"/>
        <v>0</v>
      </c>
      <c r="J158" s="13">
        <f t="shared" si="9"/>
        <v>0</v>
      </c>
      <c r="K158" s="13">
        <f t="shared" si="10"/>
        <v>0</v>
      </c>
      <c r="L158" s="13" t="str" cm="1">
        <f t="array" ref="L158">_xlfn.IFS(J158&lt;1,"",J158=1,"Pass",J158&gt;1,_xlfn.TEXTJOIN("",TRUE,"Pass x",J158))</f>
        <v/>
      </c>
      <c r="M158" s="13" t="str" cm="1">
        <f t="array" ref="M158">_xlfn.IFS(K158&lt;1,"",K158=1,"Fail",K158&gt;1,_xlfn.TEXTJOIN("",TRUE,"Fail x",K158))</f>
        <v/>
      </c>
    </row>
    <row r="159" spans="8:13">
      <c r="H159" s="13">
        <f t="shared" si="8"/>
        <v>0</v>
      </c>
      <c r="J159" s="13">
        <f t="shared" si="9"/>
        <v>0</v>
      </c>
      <c r="K159" s="13">
        <f t="shared" si="10"/>
        <v>0</v>
      </c>
      <c r="L159" s="13" t="str" cm="1">
        <f t="array" ref="L159">_xlfn.IFS(J159&lt;1,"",J159=1,"Pass",J159&gt;1,_xlfn.TEXTJOIN("",TRUE,"Pass x",J159))</f>
        <v/>
      </c>
      <c r="M159" s="13" t="str" cm="1">
        <f t="array" ref="M159">_xlfn.IFS(K159&lt;1,"",K159=1,"Fail",K159&gt;1,_xlfn.TEXTJOIN("",TRUE,"Fail x",K159))</f>
        <v/>
      </c>
    </row>
    <row r="160" spans="8:13">
      <c r="H160" s="13">
        <f t="shared" si="8"/>
        <v>0</v>
      </c>
      <c r="J160" s="13">
        <f t="shared" si="9"/>
        <v>0</v>
      </c>
      <c r="K160" s="13">
        <f t="shared" si="10"/>
        <v>0</v>
      </c>
      <c r="L160" s="13" t="str" cm="1">
        <f t="array" ref="L160">_xlfn.IFS(J160&lt;1,"",J160=1,"Pass",J160&gt;1,_xlfn.TEXTJOIN("",TRUE,"Pass x",J160))</f>
        <v/>
      </c>
      <c r="M160" s="13" t="str" cm="1">
        <f t="array" ref="M160">_xlfn.IFS(K160&lt;1,"",K160=1,"Fail",K160&gt;1,_xlfn.TEXTJOIN("",TRUE,"Fail x",K160))</f>
        <v/>
      </c>
    </row>
    <row r="161" spans="8:13">
      <c r="H161" s="13">
        <f t="shared" si="8"/>
        <v>0</v>
      </c>
      <c r="J161" s="13">
        <f t="shared" si="9"/>
        <v>0</v>
      </c>
      <c r="K161" s="13">
        <f t="shared" si="10"/>
        <v>0</v>
      </c>
      <c r="L161" s="13" t="str" cm="1">
        <f t="array" ref="L161">_xlfn.IFS(J161&lt;1,"",J161=1,"Pass",J161&gt;1,_xlfn.TEXTJOIN("",TRUE,"Pass x",J161))</f>
        <v/>
      </c>
      <c r="M161" s="13" t="str" cm="1">
        <f t="array" ref="M161">_xlfn.IFS(K161&lt;1,"",K161=1,"Fail",K161&gt;1,_xlfn.TEXTJOIN("",TRUE,"Fail x",K161))</f>
        <v/>
      </c>
    </row>
    <row r="162" spans="8:13">
      <c r="H162" s="13">
        <f t="shared" si="8"/>
        <v>0</v>
      </c>
      <c r="J162" s="13">
        <f t="shared" si="9"/>
        <v>0</v>
      </c>
      <c r="K162" s="13">
        <f t="shared" si="10"/>
        <v>0</v>
      </c>
      <c r="L162" s="13" t="str" cm="1">
        <f t="array" ref="L162">_xlfn.IFS(J162&lt;1,"",J162=1,"Pass",J162&gt;1,_xlfn.TEXTJOIN("",TRUE,"Pass x",J162))</f>
        <v/>
      </c>
      <c r="M162" s="13" t="str" cm="1">
        <f t="array" ref="M162">_xlfn.IFS(K162&lt;1,"",K162=1,"Fail",K162&gt;1,_xlfn.TEXTJOIN("",TRUE,"Fail x",K162))</f>
        <v/>
      </c>
    </row>
    <row r="163" spans="8:13">
      <c r="H163" s="13">
        <f t="shared" si="8"/>
        <v>0</v>
      </c>
      <c r="J163" s="13">
        <f t="shared" si="9"/>
        <v>0</v>
      </c>
      <c r="K163" s="13">
        <f t="shared" si="10"/>
        <v>0</v>
      </c>
      <c r="L163" s="13" t="str" cm="1">
        <f t="array" ref="L163">_xlfn.IFS(J163&lt;1,"",J163=1,"Pass",J163&gt;1,_xlfn.TEXTJOIN("",TRUE,"Pass x",J163))</f>
        <v/>
      </c>
      <c r="M163" s="13" t="str" cm="1">
        <f t="array" ref="M163">_xlfn.IFS(K163&lt;1,"",K163=1,"Fail",K163&gt;1,_xlfn.TEXTJOIN("",TRUE,"Fail x",K163))</f>
        <v/>
      </c>
    </row>
    <row r="164" spans="8:13">
      <c r="H164" s="13">
        <f t="shared" si="8"/>
        <v>0</v>
      </c>
      <c r="J164" s="13">
        <f t="shared" si="9"/>
        <v>0</v>
      </c>
      <c r="K164" s="13">
        <f t="shared" si="10"/>
        <v>0</v>
      </c>
      <c r="L164" s="13" t="str" cm="1">
        <f t="array" ref="L164">_xlfn.IFS(J164&lt;1,"",J164=1,"Pass",J164&gt;1,_xlfn.TEXTJOIN("",TRUE,"Pass x",J164))</f>
        <v/>
      </c>
      <c r="M164" s="13" t="str" cm="1">
        <f t="array" ref="M164">_xlfn.IFS(K164&lt;1,"",K164=1,"Fail",K164&gt;1,_xlfn.TEXTJOIN("",TRUE,"Fail x",K164))</f>
        <v/>
      </c>
    </row>
    <row r="165" spans="8:13">
      <c r="H165" s="13">
        <f t="shared" si="8"/>
        <v>0</v>
      </c>
      <c r="J165" s="13">
        <f t="shared" si="9"/>
        <v>0</v>
      </c>
      <c r="K165" s="13">
        <f t="shared" si="10"/>
        <v>0</v>
      </c>
      <c r="L165" s="13" t="str" cm="1">
        <f t="array" ref="L165">_xlfn.IFS(J165&lt;1,"",J165=1,"Pass",J165&gt;1,_xlfn.TEXTJOIN("",TRUE,"Pass x",J165))</f>
        <v/>
      </c>
      <c r="M165" s="13" t="str" cm="1">
        <f t="array" ref="M165">_xlfn.IFS(K165&lt;1,"",K165=1,"Fail",K165&gt;1,_xlfn.TEXTJOIN("",TRUE,"Fail x",K165))</f>
        <v/>
      </c>
    </row>
    <row r="166" spans="8:13">
      <c r="H166" s="13">
        <f t="shared" si="8"/>
        <v>0</v>
      </c>
      <c r="J166" s="13">
        <f t="shared" si="9"/>
        <v>0</v>
      </c>
      <c r="K166" s="13">
        <f t="shared" si="10"/>
        <v>0</v>
      </c>
      <c r="L166" s="13" t="str" cm="1">
        <f t="array" ref="L166">_xlfn.IFS(J166&lt;1,"",J166=1,"Pass",J166&gt;1,_xlfn.TEXTJOIN("",TRUE,"Pass x",J166))</f>
        <v/>
      </c>
      <c r="M166" s="13" t="str" cm="1">
        <f t="array" ref="M166">_xlfn.IFS(K166&lt;1,"",K166=1,"Fail",K166&gt;1,_xlfn.TEXTJOIN("",TRUE,"Fail x",K166))</f>
        <v/>
      </c>
    </row>
    <row r="167" spans="8:13">
      <c r="H167" s="13">
        <f t="shared" si="8"/>
        <v>0</v>
      </c>
      <c r="J167" s="13">
        <f t="shared" si="9"/>
        <v>0</v>
      </c>
      <c r="K167" s="13">
        <f t="shared" si="10"/>
        <v>0</v>
      </c>
      <c r="L167" s="13" t="str" cm="1">
        <f t="array" ref="L167">_xlfn.IFS(J167&lt;1,"",J167=1,"Pass",J167&gt;1,_xlfn.TEXTJOIN("",TRUE,"Pass x",J167))</f>
        <v/>
      </c>
      <c r="M167" s="13" t="str" cm="1">
        <f t="array" ref="M167">_xlfn.IFS(K167&lt;1,"",K167=1,"Fail",K167&gt;1,_xlfn.TEXTJOIN("",TRUE,"Fail x",K167))</f>
        <v/>
      </c>
    </row>
    <row r="168" spans="8:13">
      <c r="H168" s="13">
        <f t="shared" si="8"/>
        <v>0</v>
      </c>
      <c r="J168" s="13">
        <f t="shared" si="9"/>
        <v>0</v>
      </c>
      <c r="K168" s="13">
        <f t="shared" si="10"/>
        <v>0</v>
      </c>
      <c r="L168" s="13" t="str" cm="1">
        <f t="array" ref="L168">_xlfn.IFS(J168&lt;1,"",J168=1,"Pass",J168&gt;1,_xlfn.TEXTJOIN("",TRUE,"Pass x",J168))</f>
        <v/>
      </c>
      <c r="M168" s="13" t="str" cm="1">
        <f t="array" ref="M168">_xlfn.IFS(K168&lt;1,"",K168=1,"Fail",K168&gt;1,_xlfn.TEXTJOIN("",TRUE,"Fail x",K168))</f>
        <v/>
      </c>
    </row>
    <row r="169" spans="8:13">
      <c r="H169" s="13">
        <f t="shared" si="8"/>
        <v>0</v>
      </c>
      <c r="J169" s="13">
        <f t="shared" si="9"/>
        <v>0</v>
      </c>
      <c r="K169" s="13">
        <f t="shared" si="10"/>
        <v>0</v>
      </c>
      <c r="L169" s="13" t="str" cm="1">
        <f t="array" ref="L169">_xlfn.IFS(J169&lt;1,"",J169=1,"Pass",J169&gt;1,_xlfn.TEXTJOIN("",TRUE,"Pass x",J169))</f>
        <v/>
      </c>
      <c r="M169" s="13" t="str" cm="1">
        <f t="array" ref="M169">_xlfn.IFS(K169&lt;1,"",K169=1,"Fail",K169&gt;1,_xlfn.TEXTJOIN("",TRUE,"Fail x",K169))</f>
        <v/>
      </c>
    </row>
    <row r="170" spans="8:13">
      <c r="H170" s="13">
        <f t="shared" si="8"/>
        <v>0</v>
      </c>
      <c r="J170" s="13">
        <f t="shared" si="9"/>
        <v>0</v>
      </c>
      <c r="K170" s="13">
        <f t="shared" si="10"/>
        <v>0</v>
      </c>
      <c r="L170" s="13" t="str" cm="1">
        <f t="array" ref="L170">_xlfn.IFS(J170&lt;1,"",J170=1,"Pass",J170&gt;1,_xlfn.TEXTJOIN("",TRUE,"Pass x",J170))</f>
        <v/>
      </c>
      <c r="M170" s="13" t="str" cm="1">
        <f t="array" ref="M170">_xlfn.IFS(K170&lt;1,"",K170=1,"Fail",K170&gt;1,_xlfn.TEXTJOIN("",TRUE,"Fail x",K170))</f>
        <v/>
      </c>
    </row>
    <row r="171" spans="8:13">
      <c r="H171" s="13">
        <f t="shared" si="8"/>
        <v>0</v>
      </c>
      <c r="J171" s="13">
        <f t="shared" si="9"/>
        <v>0</v>
      </c>
      <c r="K171" s="13">
        <f t="shared" si="10"/>
        <v>0</v>
      </c>
      <c r="L171" s="13" t="str" cm="1">
        <f t="array" ref="L171">_xlfn.IFS(J171&lt;1,"",J171=1,"Pass",J171&gt;1,_xlfn.TEXTJOIN("",TRUE,"Pass x",J171))</f>
        <v/>
      </c>
      <c r="M171" s="13" t="str" cm="1">
        <f t="array" ref="M171">_xlfn.IFS(K171&lt;1,"",K171=1,"Fail",K171&gt;1,_xlfn.TEXTJOIN("",TRUE,"Fail x",K171))</f>
        <v/>
      </c>
    </row>
    <row r="172" spans="8:13">
      <c r="H172" s="13">
        <f t="shared" si="8"/>
        <v>0</v>
      </c>
      <c r="J172" s="13">
        <f t="shared" si="9"/>
        <v>0</v>
      </c>
      <c r="K172" s="13">
        <f t="shared" si="10"/>
        <v>0</v>
      </c>
      <c r="L172" s="13" t="str" cm="1">
        <f t="array" ref="L172">_xlfn.IFS(J172&lt;1,"",J172=1,"Pass",J172&gt;1,_xlfn.TEXTJOIN("",TRUE,"Pass x",J172))</f>
        <v/>
      </c>
      <c r="M172" s="13" t="str" cm="1">
        <f t="array" ref="M172">_xlfn.IFS(K172&lt;1,"",K172=1,"Fail",K172&gt;1,_xlfn.TEXTJOIN("",TRUE,"Fail x",K172))</f>
        <v/>
      </c>
    </row>
    <row r="173" spans="8:13">
      <c r="H173" s="13">
        <f t="shared" si="8"/>
        <v>0</v>
      </c>
      <c r="J173" s="13">
        <f t="shared" si="9"/>
        <v>0</v>
      </c>
      <c r="K173" s="13">
        <f t="shared" si="10"/>
        <v>0</v>
      </c>
      <c r="L173" s="13" t="str" cm="1">
        <f t="array" ref="L173">_xlfn.IFS(J173&lt;1,"",J173=1,"Pass",J173&gt;1,_xlfn.TEXTJOIN("",TRUE,"Pass x",J173))</f>
        <v/>
      </c>
      <c r="M173" s="13" t="str" cm="1">
        <f t="array" ref="M173">_xlfn.IFS(K173&lt;1,"",K173=1,"Fail",K173&gt;1,_xlfn.TEXTJOIN("",TRUE,"Fail x",K173))</f>
        <v/>
      </c>
    </row>
    <row r="174" spans="8:13">
      <c r="H174" s="13">
        <f t="shared" si="8"/>
        <v>0</v>
      </c>
      <c r="J174" s="13">
        <f t="shared" si="9"/>
        <v>0</v>
      </c>
      <c r="K174" s="13">
        <f t="shared" si="10"/>
        <v>0</v>
      </c>
      <c r="L174" s="13" t="str" cm="1">
        <f t="array" ref="L174">_xlfn.IFS(J174&lt;1,"",J174=1,"Pass",J174&gt;1,_xlfn.TEXTJOIN("",TRUE,"Pass x",J174))</f>
        <v/>
      </c>
      <c r="M174" s="13" t="str" cm="1">
        <f t="array" ref="M174">_xlfn.IFS(K174&lt;1,"",K174=1,"Fail",K174&gt;1,_xlfn.TEXTJOIN("",TRUE,"Fail x",K174))</f>
        <v/>
      </c>
    </row>
    <row r="175" spans="8:13">
      <c r="H175" s="13">
        <f t="shared" si="8"/>
        <v>0</v>
      </c>
      <c r="J175" s="13">
        <f t="shared" si="9"/>
        <v>0</v>
      </c>
      <c r="K175" s="13">
        <f t="shared" si="10"/>
        <v>0</v>
      </c>
      <c r="L175" s="13" t="str" cm="1">
        <f t="array" ref="L175">_xlfn.IFS(J175&lt;1,"",J175=1,"Pass",J175&gt;1,_xlfn.TEXTJOIN("",TRUE,"Pass x",J175))</f>
        <v/>
      </c>
      <c r="M175" s="13" t="str" cm="1">
        <f t="array" ref="M175">_xlfn.IFS(K175&lt;1,"",K175=1,"Fail",K175&gt;1,_xlfn.TEXTJOIN("",TRUE,"Fail x",K175))</f>
        <v/>
      </c>
    </row>
    <row r="176" spans="8:13">
      <c r="H176" s="13">
        <f t="shared" si="8"/>
        <v>0</v>
      </c>
      <c r="J176" s="13">
        <f t="shared" si="9"/>
        <v>0</v>
      </c>
      <c r="K176" s="13">
        <f t="shared" si="10"/>
        <v>0</v>
      </c>
      <c r="L176" s="13" t="str" cm="1">
        <f t="array" ref="L176">_xlfn.IFS(J176&lt;1,"",J176=1,"Pass",J176&gt;1,_xlfn.TEXTJOIN("",TRUE,"Pass x",J176))</f>
        <v/>
      </c>
      <c r="M176" s="13" t="str" cm="1">
        <f t="array" ref="M176">_xlfn.IFS(K176&lt;1,"",K176=1,"Fail",K176&gt;1,_xlfn.TEXTJOIN("",TRUE,"Fail x",K176))</f>
        <v/>
      </c>
    </row>
    <row r="177" spans="8:13">
      <c r="H177" s="13">
        <f t="shared" si="8"/>
        <v>0</v>
      </c>
      <c r="J177" s="13">
        <f t="shared" si="9"/>
        <v>0</v>
      </c>
      <c r="K177" s="13">
        <f t="shared" si="10"/>
        <v>0</v>
      </c>
      <c r="L177" s="13" t="str" cm="1">
        <f t="array" ref="L177">_xlfn.IFS(J177&lt;1,"",J177=1,"Pass",J177&gt;1,_xlfn.TEXTJOIN("",TRUE,"Pass x",J177))</f>
        <v/>
      </c>
      <c r="M177" s="13" t="str" cm="1">
        <f t="array" ref="M177">_xlfn.IFS(K177&lt;1,"",K177=1,"Fail",K177&gt;1,_xlfn.TEXTJOIN("",TRUE,"Fail x",K177))</f>
        <v/>
      </c>
    </row>
    <row r="178" spans="8:13">
      <c r="H178" s="13">
        <f t="shared" si="8"/>
        <v>0</v>
      </c>
      <c r="J178" s="13">
        <f t="shared" si="9"/>
        <v>0</v>
      </c>
      <c r="K178" s="13">
        <f t="shared" si="10"/>
        <v>0</v>
      </c>
      <c r="L178" s="13" t="str" cm="1">
        <f t="array" ref="L178">_xlfn.IFS(J178&lt;1,"",J178=1,"Pass",J178&gt;1,_xlfn.TEXTJOIN("",TRUE,"Pass x",J178))</f>
        <v/>
      </c>
      <c r="M178" s="13" t="str" cm="1">
        <f t="array" ref="M178">_xlfn.IFS(K178&lt;1,"",K178=1,"Fail",K178&gt;1,_xlfn.TEXTJOIN("",TRUE,"Fail x",K178))</f>
        <v/>
      </c>
    </row>
    <row r="179" spans="8:13">
      <c r="H179" s="13">
        <f t="shared" si="8"/>
        <v>0</v>
      </c>
      <c r="J179" s="13">
        <f t="shared" si="9"/>
        <v>0</v>
      </c>
      <c r="K179" s="13">
        <f t="shared" si="10"/>
        <v>0</v>
      </c>
      <c r="L179" s="13" t="str" cm="1">
        <f t="array" ref="L179">_xlfn.IFS(J179&lt;1,"",J179=1,"Pass",J179&gt;1,_xlfn.TEXTJOIN("",TRUE,"Pass x",J179))</f>
        <v/>
      </c>
      <c r="M179" s="13" t="str" cm="1">
        <f t="array" ref="M179">_xlfn.IFS(K179&lt;1,"",K179=1,"Fail",K179&gt;1,_xlfn.TEXTJOIN("",TRUE,"Fail x",K179))</f>
        <v/>
      </c>
    </row>
    <row r="180" spans="8:13">
      <c r="H180" s="13">
        <f t="shared" si="8"/>
        <v>0</v>
      </c>
      <c r="J180" s="13">
        <f t="shared" si="9"/>
        <v>0</v>
      </c>
      <c r="K180" s="13">
        <f t="shared" si="10"/>
        <v>0</v>
      </c>
      <c r="L180" s="13" t="str" cm="1">
        <f t="array" ref="L180">_xlfn.IFS(J180&lt;1,"",J180=1,"Pass",J180&gt;1,_xlfn.TEXTJOIN("",TRUE,"Pass x",J180))</f>
        <v/>
      </c>
      <c r="M180" s="13" t="str" cm="1">
        <f t="array" ref="M180">_xlfn.IFS(K180&lt;1,"",K180=1,"Fail",K180&gt;1,_xlfn.TEXTJOIN("",TRUE,"Fail x",K180))</f>
        <v/>
      </c>
    </row>
    <row r="181" spans="8:13">
      <c r="H181" s="13">
        <f t="shared" si="8"/>
        <v>0</v>
      </c>
      <c r="J181" s="13">
        <f t="shared" si="9"/>
        <v>0</v>
      </c>
      <c r="K181" s="13">
        <f t="shared" si="10"/>
        <v>0</v>
      </c>
      <c r="L181" s="13" t="str" cm="1">
        <f t="array" ref="L181">_xlfn.IFS(J181&lt;1,"",J181=1,"Pass",J181&gt;1,_xlfn.TEXTJOIN("",TRUE,"Pass x",J181))</f>
        <v/>
      </c>
      <c r="M181" s="13" t="str" cm="1">
        <f t="array" ref="M181">_xlfn.IFS(K181&lt;1,"",K181=1,"Fail",K181&gt;1,_xlfn.TEXTJOIN("",TRUE,"Fail x",K181))</f>
        <v/>
      </c>
    </row>
    <row r="182" spans="8:13">
      <c r="H182" s="13">
        <f t="shared" si="8"/>
        <v>0</v>
      </c>
      <c r="J182" s="13">
        <f t="shared" si="9"/>
        <v>0</v>
      </c>
      <c r="K182" s="13">
        <f t="shared" si="10"/>
        <v>0</v>
      </c>
      <c r="L182" s="13" t="str" cm="1">
        <f t="array" ref="L182">_xlfn.IFS(J182&lt;1,"",J182=1,"Pass",J182&gt;1,_xlfn.TEXTJOIN("",TRUE,"Pass x",J182))</f>
        <v/>
      </c>
      <c r="M182" s="13" t="str" cm="1">
        <f t="array" ref="M182">_xlfn.IFS(K182&lt;1,"",K182=1,"Fail",K182&gt;1,_xlfn.TEXTJOIN("",TRUE,"Fail x",K182))</f>
        <v/>
      </c>
    </row>
    <row r="183" spans="8:13">
      <c r="H183" s="13">
        <f t="shared" si="8"/>
        <v>0</v>
      </c>
      <c r="J183" s="13">
        <f t="shared" si="9"/>
        <v>0</v>
      </c>
      <c r="K183" s="13">
        <f t="shared" si="10"/>
        <v>0</v>
      </c>
      <c r="L183" s="13" t="str" cm="1">
        <f t="array" ref="L183">_xlfn.IFS(J183&lt;1,"",J183=1,"Pass",J183&gt;1,_xlfn.TEXTJOIN("",TRUE,"Pass x",J183))</f>
        <v/>
      </c>
      <c r="M183" s="13" t="str" cm="1">
        <f t="array" ref="M183">_xlfn.IFS(K183&lt;1,"",K183=1,"Fail",K183&gt;1,_xlfn.TEXTJOIN("",TRUE,"Fail x",K183))</f>
        <v/>
      </c>
    </row>
    <row r="184" spans="8:13">
      <c r="H184" s="13">
        <f t="shared" si="8"/>
        <v>0</v>
      </c>
      <c r="J184" s="13">
        <f t="shared" si="9"/>
        <v>0</v>
      </c>
      <c r="K184" s="13">
        <f t="shared" si="10"/>
        <v>0</v>
      </c>
      <c r="L184" s="13" t="str" cm="1">
        <f t="array" ref="L184">_xlfn.IFS(J184&lt;1,"",J184=1,"Pass",J184&gt;1,_xlfn.TEXTJOIN("",TRUE,"Pass x",J184))</f>
        <v/>
      </c>
      <c r="M184" s="13" t="str" cm="1">
        <f t="array" ref="M184">_xlfn.IFS(K184&lt;1,"",K184=1,"Fail",K184&gt;1,_xlfn.TEXTJOIN("",TRUE,"Fail x",K184))</f>
        <v/>
      </c>
    </row>
    <row r="185" spans="8:13">
      <c r="H185" s="13">
        <f t="shared" si="8"/>
        <v>0</v>
      </c>
      <c r="J185" s="13">
        <f t="shared" si="9"/>
        <v>0</v>
      </c>
      <c r="K185" s="13">
        <f t="shared" si="10"/>
        <v>0</v>
      </c>
      <c r="L185" s="13" t="str" cm="1">
        <f t="array" ref="L185">_xlfn.IFS(J185&lt;1,"",J185=1,"Pass",J185&gt;1,_xlfn.TEXTJOIN("",TRUE,"Pass x",J185))</f>
        <v/>
      </c>
      <c r="M185" s="13" t="str" cm="1">
        <f t="array" ref="M185">_xlfn.IFS(K185&lt;1,"",K185=1,"Fail",K185&gt;1,_xlfn.TEXTJOIN("",TRUE,"Fail x",K185))</f>
        <v/>
      </c>
    </row>
    <row r="186" spans="8:13">
      <c r="H186" s="13">
        <f t="shared" si="8"/>
        <v>0</v>
      </c>
      <c r="J186" s="13">
        <f t="shared" si="9"/>
        <v>0</v>
      </c>
      <c r="K186" s="13">
        <f t="shared" si="10"/>
        <v>0</v>
      </c>
      <c r="L186" s="13" t="str" cm="1">
        <f t="array" ref="L186">_xlfn.IFS(J186&lt;1,"",J186=1,"Pass",J186&gt;1,_xlfn.TEXTJOIN("",TRUE,"Pass x",J186))</f>
        <v/>
      </c>
      <c r="M186" s="13" t="str" cm="1">
        <f t="array" ref="M186">_xlfn.IFS(K186&lt;1,"",K186=1,"Fail",K186&gt;1,_xlfn.TEXTJOIN("",TRUE,"Fail x",K186))</f>
        <v/>
      </c>
    </row>
    <row r="187" spans="8:13">
      <c r="H187" s="13">
        <f t="shared" si="8"/>
        <v>0</v>
      </c>
      <c r="J187" s="13">
        <f t="shared" si="9"/>
        <v>0</v>
      </c>
      <c r="K187" s="13">
        <f t="shared" si="10"/>
        <v>0</v>
      </c>
      <c r="L187" s="13" t="str" cm="1">
        <f t="array" ref="L187">_xlfn.IFS(J187&lt;1,"",J187=1,"Pass",J187&gt;1,_xlfn.TEXTJOIN("",TRUE,"Pass x",J187))</f>
        <v/>
      </c>
      <c r="M187" s="13" t="str" cm="1">
        <f t="array" ref="M187">_xlfn.IFS(K187&lt;1,"",K187=1,"Fail",K187&gt;1,_xlfn.TEXTJOIN("",TRUE,"Fail x",K187))</f>
        <v/>
      </c>
    </row>
    <row r="188" spans="8:13">
      <c r="H188" s="13">
        <f t="shared" si="8"/>
        <v>0</v>
      </c>
      <c r="J188" s="13">
        <f t="shared" si="9"/>
        <v>0</v>
      </c>
      <c r="K188" s="13">
        <f t="shared" si="10"/>
        <v>0</v>
      </c>
      <c r="L188" s="13" t="str" cm="1">
        <f t="array" ref="L188">_xlfn.IFS(J188&lt;1,"",J188=1,"Pass",J188&gt;1,_xlfn.TEXTJOIN("",TRUE,"Pass x",J188))</f>
        <v/>
      </c>
      <c r="M188" s="13" t="str" cm="1">
        <f t="array" ref="M188">_xlfn.IFS(K188&lt;1,"",K188=1,"Fail",K188&gt;1,_xlfn.TEXTJOIN("",TRUE,"Fail x",K188))</f>
        <v/>
      </c>
    </row>
    <row r="189" spans="8:13">
      <c r="H189" s="13">
        <f t="shared" si="8"/>
        <v>0</v>
      </c>
      <c r="J189" s="13">
        <f t="shared" si="9"/>
        <v>0</v>
      </c>
      <c r="K189" s="13">
        <f t="shared" si="10"/>
        <v>0</v>
      </c>
      <c r="L189" s="13" t="str" cm="1">
        <f t="array" ref="L189">_xlfn.IFS(J189&lt;1,"",J189=1,"Pass",J189&gt;1,_xlfn.TEXTJOIN("",TRUE,"Pass x",J189))</f>
        <v/>
      </c>
      <c r="M189" s="13" t="str" cm="1">
        <f t="array" ref="M189">_xlfn.IFS(K189&lt;1,"",K189=1,"Fail",K189&gt;1,_xlfn.TEXTJOIN("",TRUE,"Fail x",K189))</f>
        <v/>
      </c>
    </row>
    <row r="190" spans="8:13">
      <c r="H190" s="13">
        <f t="shared" si="8"/>
        <v>0</v>
      </c>
      <c r="J190" s="13">
        <f t="shared" si="9"/>
        <v>0</v>
      </c>
      <c r="K190" s="13">
        <f t="shared" si="10"/>
        <v>0</v>
      </c>
      <c r="L190" s="13" t="str" cm="1">
        <f t="array" ref="L190">_xlfn.IFS(J190&lt;1,"",J190=1,"Pass",J190&gt;1,_xlfn.TEXTJOIN("",TRUE,"Pass x",J190))</f>
        <v/>
      </c>
      <c r="M190" s="13" t="str" cm="1">
        <f t="array" ref="M190">_xlfn.IFS(K190&lt;1,"",K190=1,"Fail",K190&gt;1,_xlfn.TEXTJOIN("",TRUE,"Fail x",K190))</f>
        <v/>
      </c>
    </row>
    <row r="191" spans="8:13">
      <c r="H191" s="13">
        <f t="shared" si="8"/>
        <v>0</v>
      </c>
      <c r="J191" s="13">
        <f t="shared" si="9"/>
        <v>0</v>
      </c>
      <c r="K191" s="13">
        <f t="shared" si="10"/>
        <v>0</v>
      </c>
      <c r="L191" s="13" t="str" cm="1">
        <f t="array" ref="L191">_xlfn.IFS(J191&lt;1,"",J191=1,"Pass",J191&gt;1,_xlfn.TEXTJOIN("",TRUE,"Pass x",J191))</f>
        <v/>
      </c>
      <c r="M191" s="13" t="str" cm="1">
        <f t="array" ref="M191">_xlfn.IFS(K191&lt;1,"",K191=1,"Fail",K191&gt;1,_xlfn.TEXTJOIN("",TRUE,"Fail x",K191))</f>
        <v/>
      </c>
    </row>
    <row r="192" spans="8:13">
      <c r="H192" s="13">
        <f t="shared" si="8"/>
        <v>0</v>
      </c>
      <c r="J192" s="13">
        <f t="shared" si="9"/>
        <v>0</v>
      </c>
      <c r="K192" s="13">
        <f t="shared" si="10"/>
        <v>0</v>
      </c>
      <c r="L192" s="13" t="str" cm="1">
        <f t="array" ref="L192">_xlfn.IFS(J192&lt;1,"",J192=1,"Pass",J192&gt;1,_xlfn.TEXTJOIN("",TRUE,"Pass x",J192))</f>
        <v/>
      </c>
      <c r="M192" s="13" t="str" cm="1">
        <f t="array" ref="M192">_xlfn.IFS(K192&lt;1,"",K192=1,"Fail",K192&gt;1,_xlfn.TEXTJOIN("",TRUE,"Fail x",K192))</f>
        <v/>
      </c>
    </row>
    <row r="193" spans="8:13">
      <c r="H193" s="13">
        <f t="shared" si="8"/>
        <v>0</v>
      </c>
      <c r="J193" s="13">
        <f t="shared" si="9"/>
        <v>0</v>
      </c>
      <c r="K193" s="13">
        <f t="shared" si="10"/>
        <v>0</v>
      </c>
      <c r="L193" s="13" t="str" cm="1">
        <f t="array" ref="L193">_xlfn.IFS(J193&lt;1,"",J193=1,"Pass",J193&gt;1,_xlfn.TEXTJOIN("",TRUE,"Pass x",J193))</f>
        <v/>
      </c>
      <c r="M193" s="13" t="str" cm="1">
        <f t="array" ref="M193">_xlfn.IFS(K193&lt;1,"",K193=1,"Fail",K193&gt;1,_xlfn.TEXTJOIN("",TRUE,"Fail x",K193))</f>
        <v/>
      </c>
    </row>
    <row r="194" spans="8:13">
      <c r="H194" s="13">
        <f t="shared" si="8"/>
        <v>0</v>
      </c>
      <c r="J194" s="13">
        <f t="shared" si="9"/>
        <v>0</v>
      </c>
      <c r="K194" s="13">
        <f t="shared" si="10"/>
        <v>0</v>
      </c>
      <c r="L194" s="13" t="str" cm="1">
        <f t="array" ref="L194">_xlfn.IFS(J194&lt;1,"",J194=1,"Pass",J194&gt;1,_xlfn.TEXTJOIN("",TRUE,"Pass x",J194))</f>
        <v/>
      </c>
      <c r="M194" s="13" t="str" cm="1">
        <f t="array" ref="M194">_xlfn.IFS(K194&lt;1,"",K194=1,"Fail",K194&gt;1,_xlfn.TEXTJOIN("",TRUE,"Fail x",K194))</f>
        <v/>
      </c>
    </row>
    <row r="195" spans="8:13">
      <c r="H195" s="13">
        <f t="shared" ref="H195:H258" si="11">IFERROR(GETPIVOTDATA("Successful / Failed",$A$1,"System serial",G195),0)</f>
        <v>0</v>
      </c>
      <c r="J195" s="13">
        <f t="shared" ref="J195:J258" si="12">IFERROR(GETPIVOTDATA("Successful / Failed",$A$1,"System serial",G195,"Successful / Failed","Successful"),0)</f>
        <v>0</v>
      </c>
      <c r="K195" s="13">
        <f t="shared" ref="K195:K253" si="13">IFERROR(GETPIVOTDATA("Successful / Failed",$A$1,"System serial",G195,"Successful / Failed","Failed"),0)</f>
        <v>0</v>
      </c>
      <c r="L195" s="13" t="str" cm="1">
        <f t="array" ref="L195">_xlfn.IFS(J195&lt;1,"",J195=1,"Pass",J195&gt;1,_xlfn.TEXTJOIN("",TRUE,"Pass x",J195))</f>
        <v/>
      </c>
      <c r="M195" s="13" t="str" cm="1">
        <f t="array" ref="M195">_xlfn.IFS(K195&lt;1,"",K195=1,"Fail",K195&gt;1,_xlfn.TEXTJOIN("",TRUE,"Fail x",K195))</f>
        <v/>
      </c>
    </row>
    <row r="196" spans="8:13">
      <c r="H196" s="13">
        <f t="shared" si="11"/>
        <v>0</v>
      </c>
      <c r="J196" s="13">
        <f t="shared" si="12"/>
        <v>0</v>
      </c>
      <c r="K196" s="13">
        <f t="shared" si="13"/>
        <v>0</v>
      </c>
      <c r="L196" s="13" t="str" cm="1">
        <f t="array" ref="L196">_xlfn.IFS(J196&lt;1,"",J196=1,"Pass",J196&gt;1,_xlfn.TEXTJOIN("",TRUE,"Pass x",J196))</f>
        <v/>
      </c>
      <c r="M196" s="13" t="str" cm="1">
        <f t="array" ref="M196">_xlfn.IFS(K196&lt;1,"",K196=1,"Fail",K196&gt;1,_xlfn.TEXTJOIN("",TRUE,"Fail x",K196))</f>
        <v/>
      </c>
    </row>
    <row r="197" spans="8:13">
      <c r="H197" s="13">
        <f t="shared" si="11"/>
        <v>0</v>
      </c>
      <c r="J197" s="13">
        <f t="shared" si="12"/>
        <v>0</v>
      </c>
      <c r="K197" s="13">
        <f t="shared" si="13"/>
        <v>0</v>
      </c>
      <c r="L197" s="13" t="str" cm="1">
        <f t="array" ref="L197">_xlfn.IFS(J197&lt;1,"",J197=1,"Pass",J197&gt;1,_xlfn.TEXTJOIN("",TRUE,"Pass x",J197))</f>
        <v/>
      </c>
      <c r="M197" s="13" t="str" cm="1">
        <f t="array" ref="M197">_xlfn.IFS(K197&lt;1,"",K197=1,"Fail",K197&gt;1,_xlfn.TEXTJOIN("",TRUE,"Fail x",K197))</f>
        <v/>
      </c>
    </row>
    <row r="198" spans="8:13">
      <c r="H198" s="13">
        <f t="shared" si="11"/>
        <v>0</v>
      </c>
      <c r="J198" s="13">
        <f t="shared" si="12"/>
        <v>0</v>
      </c>
      <c r="K198" s="13">
        <f t="shared" si="13"/>
        <v>0</v>
      </c>
      <c r="L198" s="13" t="str" cm="1">
        <f t="array" ref="L198">_xlfn.IFS(J198&lt;1,"",J198=1,"Pass",J198&gt;1,_xlfn.TEXTJOIN("",TRUE,"Pass x",J198))</f>
        <v/>
      </c>
      <c r="M198" s="13" t="str" cm="1">
        <f t="array" ref="M198">_xlfn.IFS(K198&lt;1,"",K198=1,"Fail",K198&gt;1,_xlfn.TEXTJOIN("",TRUE,"Fail x",K198))</f>
        <v/>
      </c>
    </row>
    <row r="199" spans="8:13">
      <c r="H199" s="13">
        <f t="shared" si="11"/>
        <v>0</v>
      </c>
      <c r="J199" s="13">
        <f t="shared" si="12"/>
        <v>0</v>
      </c>
      <c r="K199" s="13">
        <f t="shared" si="13"/>
        <v>0</v>
      </c>
      <c r="L199" s="13" t="str" cm="1">
        <f t="array" ref="L199">_xlfn.IFS(J199&lt;1,"",J199=1,"Pass",J199&gt;1,_xlfn.TEXTJOIN("",TRUE,"Pass x",J199))</f>
        <v/>
      </c>
      <c r="M199" s="13" t="str" cm="1">
        <f t="array" ref="M199">_xlfn.IFS(K199&lt;1,"",K199=1,"Fail",K199&gt;1,_xlfn.TEXTJOIN("",TRUE,"Fail x",K199))</f>
        <v/>
      </c>
    </row>
    <row r="200" spans="8:13">
      <c r="H200" s="13">
        <f t="shared" si="11"/>
        <v>0</v>
      </c>
      <c r="J200" s="13">
        <f t="shared" si="12"/>
        <v>0</v>
      </c>
      <c r="K200" s="13">
        <f t="shared" si="13"/>
        <v>0</v>
      </c>
      <c r="L200" s="13" t="str" cm="1">
        <f t="array" ref="L200">_xlfn.IFS(J200&lt;1,"",J200=1,"Pass",J200&gt;1,_xlfn.TEXTJOIN("",TRUE,"Pass x",J200))</f>
        <v/>
      </c>
      <c r="M200" s="13" t="str" cm="1">
        <f t="array" ref="M200">_xlfn.IFS(K200&lt;1,"",K200=1,"Fail",K200&gt;1,_xlfn.TEXTJOIN("",TRUE,"Fail x",K200))</f>
        <v/>
      </c>
    </row>
    <row r="201" spans="8:13">
      <c r="H201" s="13">
        <f t="shared" si="11"/>
        <v>0</v>
      </c>
      <c r="J201" s="13">
        <f t="shared" si="12"/>
        <v>0</v>
      </c>
      <c r="K201" s="13">
        <f t="shared" si="13"/>
        <v>0</v>
      </c>
      <c r="L201" s="13" t="str" cm="1">
        <f t="array" ref="L201">_xlfn.IFS(J201&lt;1,"",J201=1,"Pass",J201&gt;1,_xlfn.TEXTJOIN("",TRUE,"Pass x",J201))</f>
        <v/>
      </c>
      <c r="M201" s="13" t="str" cm="1">
        <f t="array" ref="M201">_xlfn.IFS(K201&lt;1,"",K201=1,"Fail",K201&gt;1,_xlfn.TEXTJOIN("",TRUE,"Fail x",K201))</f>
        <v/>
      </c>
    </row>
    <row r="202" spans="8:13">
      <c r="H202" s="13">
        <f t="shared" si="11"/>
        <v>0</v>
      </c>
      <c r="J202" s="13">
        <f t="shared" si="12"/>
        <v>0</v>
      </c>
      <c r="K202" s="13">
        <f t="shared" si="13"/>
        <v>0</v>
      </c>
      <c r="L202" s="13" t="str" cm="1">
        <f t="array" ref="L202">_xlfn.IFS(J202&lt;1,"",J202=1,"Pass",J202&gt;1,_xlfn.TEXTJOIN("",TRUE,"Pass x",J202))</f>
        <v/>
      </c>
      <c r="M202" s="13" t="str" cm="1">
        <f t="array" ref="M202">_xlfn.IFS(K202&lt;1,"",K202=1,"Fail",K202&gt;1,_xlfn.TEXTJOIN("",TRUE,"Fail x",K202))</f>
        <v/>
      </c>
    </row>
    <row r="203" spans="8:13">
      <c r="H203" s="13">
        <f t="shared" si="11"/>
        <v>0</v>
      </c>
      <c r="J203" s="13">
        <f t="shared" si="12"/>
        <v>0</v>
      </c>
      <c r="K203" s="13">
        <f t="shared" si="13"/>
        <v>0</v>
      </c>
      <c r="L203" s="13" t="str" cm="1">
        <f t="array" ref="L203">_xlfn.IFS(J203&lt;1,"",J203=1,"Pass",J203&gt;1,_xlfn.TEXTJOIN("",TRUE,"Pass x",J203))</f>
        <v/>
      </c>
      <c r="M203" s="13" t="str" cm="1">
        <f t="array" ref="M203">_xlfn.IFS(K203&lt;1,"",K203=1,"Fail",K203&gt;1,_xlfn.TEXTJOIN("",TRUE,"Fail x",K203))</f>
        <v/>
      </c>
    </row>
    <row r="204" spans="8:13">
      <c r="H204" s="13">
        <f t="shared" si="11"/>
        <v>0</v>
      </c>
      <c r="J204" s="13">
        <f t="shared" si="12"/>
        <v>0</v>
      </c>
      <c r="K204" s="13">
        <f t="shared" si="13"/>
        <v>0</v>
      </c>
      <c r="L204" s="13" t="str" cm="1">
        <f t="array" ref="L204">_xlfn.IFS(J204&lt;1,"",J204=1,"Pass",J204&gt;1,_xlfn.TEXTJOIN("",TRUE,"Pass x",J204))</f>
        <v/>
      </c>
      <c r="M204" s="13" t="str" cm="1">
        <f t="array" ref="M204">_xlfn.IFS(K204&lt;1,"",K204=1,"Fail",K204&gt;1,_xlfn.TEXTJOIN("",TRUE,"Fail x",K204))</f>
        <v/>
      </c>
    </row>
    <row r="205" spans="8:13">
      <c r="H205" s="13">
        <f t="shared" si="11"/>
        <v>0</v>
      </c>
      <c r="J205" s="13">
        <f t="shared" si="12"/>
        <v>0</v>
      </c>
      <c r="K205" s="13">
        <f t="shared" si="13"/>
        <v>0</v>
      </c>
      <c r="L205" s="13" t="str" cm="1">
        <f t="array" ref="L205">_xlfn.IFS(J205&lt;1,"",J205=1,"Pass",J205&gt;1,_xlfn.TEXTJOIN("",TRUE,"Pass x",J205))</f>
        <v/>
      </c>
      <c r="M205" s="13" t="str" cm="1">
        <f t="array" ref="M205">_xlfn.IFS(K205&lt;1,"",K205=1,"Fail",K205&gt;1,_xlfn.TEXTJOIN("",TRUE,"Fail x",K205))</f>
        <v/>
      </c>
    </row>
    <row r="206" spans="8:13">
      <c r="H206" s="13">
        <f t="shared" si="11"/>
        <v>0</v>
      </c>
      <c r="J206" s="13">
        <f t="shared" si="12"/>
        <v>0</v>
      </c>
      <c r="K206" s="13">
        <f t="shared" si="13"/>
        <v>0</v>
      </c>
      <c r="L206" s="13" t="str" cm="1">
        <f t="array" ref="L206">_xlfn.IFS(J206&lt;1,"",J206=1,"Pass",J206&gt;1,_xlfn.TEXTJOIN("",TRUE,"Pass x",J206))</f>
        <v/>
      </c>
      <c r="M206" s="13" t="str" cm="1">
        <f t="array" ref="M206">_xlfn.IFS(K206&lt;1,"",K206=1,"Fail",K206&gt;1,_xlfn.TEXTJOIN("",TRUE,"Fail x",K206))</f>
        <v/>
      </c>
    </row>
    <row r="207" spans="8:13">
      <c r="H207" s="13">
        <f t="shared" si="11"/>
        <v>0</v>
      </c>
      <c r="J207" s="13">
        <f t="shared" si="12"/>
        <v>0</v>
      </c>
      <c r="K207" s="13">
        <f t="shared" si="13"/>
        <v>0</v>
      </c>
      <c r="L207" s="13" t="str" cm="1">
        <f t="array" ref="L207">_xlfn.IFS(J207&lt;1,"",J207=1,"Pass",J207&gt;1,_xlfn.TEXTJOIN("",TRUE,"Pass x",J207))</f>
        <v/>
      </c>
      <c r="M207" s="13" t="str" cm="1">
        <f t="array" ref="M207">_xlfn.IFS(K207&lt;1,"",K207=1,"Fail",K207&gt;1,_xlfn.TEXTJOIN("",TRUE,"Fail x",K207))</f>
        <v/>
      </c>
    </row>
    <row r="208" spans="8:13">
      <c r="H208" s="13">
        <f t="shared" si="11"/>
        <v>0</v>
      </c>
      <c r="J208" s="13">
        <f t="shared" si="12"/>
        <v>0</v>
      </c>
      <c r="K208" s="13">
        <f t="shared" si="13"/>
        <v>0</v>
      </c>
      <c r="L208" s="13" t="str" cm="1">
        <f t="array" ref="L208">_xlfn.IFS(J208&lt;1,"",J208=1,"Pass",J208&gt;1,_xlfn.TEXTJOIN("",TRUE,"Pass x",J208))</f>
        <v/>
      </c>
      <c r="M208" s="13" t="str" cm="1">
        <f t="array" ref="M208">_xlfn.IFS(K208&lt;1,"",K208=1,"Fail",K208&gt;1,_xlfn.TEXTJOIN("",TRUE,"Fail x",K208))</f>
        <v/>
      </c>
    </row>
    <row r="209" spans="8:13">
      <c r="H209" s="13">
        <f t="shared" si="11"/>
        <v>0</v>
      </c>
      <c r="J209" s="13">
        <f t="shared" si="12"/>
        <v>0</v>
      </c>
      <c r="K209" s="13">
        <f t="shared" si="13"/>
        <v>0</v>
      </c>
      <c r="L209" s="13" t="str" cm="1">
        <f t="array" ref="L209">_xlfn.IFS(J209&lt;1,"",J209=1,"Pass",J209&gt;1,_xlfn.TEXTJOIN("",TRUE,"Pass x",J209))</f>
        <v/>
      </c>
      <c r="M209" s="13" t="str" cm="1">
        <f t="array" ref="M209">_xlfn.IFS(K209&lt;1,"",K209=1,"Fail",K209&gt;1,_xlfn.TEXTJOIN("",TRUE,"Fail x",K209))</f>
        <v/>
      </c>
    </row>
    <row r="210" spans="8:13">
      <c r="H210" s="13">
        <f t="shared" si="11"/>
        <v>0</v>
      </c>
      <c r="J210" s="13">
        <f t="shared" si="12"/>
        <v>0</v>
      </c>
      <c r="K210" s="13">
        <f t="shared" si="13"/>
        <v>0</v>
      </c>
      <c r="L210" s="13" t="str" cm="1">
        <f t="array" ref="L210">_xlfn.IFS(J210&lt;1,"",J210=1,"Pass",J210&gt;1,_xlfn.TEXTJOIN("",TRUE,"Pass x",J210))</f>
        <v/>
      </c>
      <c r="M210" s="13" t="str" cm="1">
        <f t="array" ref="M210">_xlfn.IFS(K210&lt;1,"",K210=1,"Fail",K210&gt;1,_xlfn.TEXTJOIN("",TRUE,"Fail x",K210))</f>
        <v/>
      </c>
    </row>
    <row r="211" spans="8:13">
      <c r="H211" s="13">
        <f t="shared" si="11"/>
        <v>0</v>
      </c>
      <c r="J211" s="13">
        <f t="shared" si="12"/>
        <v>0</v>
      </c>
      <c r="K211" s="13">
        <f t="shared" si="13"/>
        <v>0</v>
      </c>
      <c r="L211" s="13" t="str" cm="1">
        <f t="array" ref="L211">_xlfn.IFS(J211&lt;1,"",J211=1,"Pass",J211&gt;1,_xlfn.TEXTJOIN("",TRUE,"Pass x",J211))</f>
        <v/>
      </c>
      <c r="M211" s="13" t="str" cm="1">
        <f t="array" ref="M211">_xlfn.IFS(K211&lt;1,"",K211=1,"Fail",K211&gt;1,_xlfn.TEXTJOIN("",TRUE,"Fail x",K211))</f>
        <v/>
      </c>
    </row>
    <row r="212" spans="8:13">
      <c r="H212" s="13">
        <f t="shared" si="11"/>
        <v>0</v>
      </c>
      <c r="J212" s="13">
        <f t="shared" si="12"/>
        <v>0</v>
      </c>
      <c r="K212" s="13">
        <f t="shared" si="13"/>
        <v>0</v>
      </c>
      <c r="L212" s="13" t="str" cm="1">
        <f t="array" ref="L212">_xlfn.IFS(J212&lt;1,"",J212=1,"Pass",J212&gt;1,_xlfn.TEXTJOIN("",TRUE,"Pass x",J212))</f>
        <v/>
      </c>
      <c r="M212" s="13" t="str" cm="1">
        <f t="array" ref="M212">_xlfn.IFS(K212&lt;1,"",K212=1,"Fail",K212&gt;1,_xlfn.TEXTJOIN("",TRUE,"Fail x",K212))</f>
        <v/>
      </c>
    </row>
    <row r="213" spans="8:13">
      <c r="H213" s="13">
        <f t="shared" si="11"/>
        <v>0</v>
      </c>
      <c r="J213" s="13">
        <f t="shared" si="12"/>
        <v>0</v>
      </c>
      <c r="K213" s="13">
        <f t="shared" si="13"/>
        <v>0</v>
      </c>
      <c r="L213" s="13" t="str" cm="1">
        <f t="array" ref="L213">_xlfn.IFS(J213&lt;1,"",J213=1,"Pass",J213&gt;1,_xlfn.TEXTJOIN("",TRUE,"Pass x",J213))</f>
        <v/>
      </c>
      <c r="M213" s="13" t="str" cm="1">
        <f t="array" ref="M213">_xlfn.IFS(K213&lt;1,"",K213=1,"Fail",K213&gt;1,_xlfn.TEXTJOIN("",TRUE,"Fail x",K213))</f>
        <v/>
      </c>
    </row>
    <row r="214" spans="8:13">
      <c r="H214" s="13">
        <f t="shared" si="11"/>
        <v>0</v>
      </c>
      <c r="J214" s="13">
        <f t="shared" si="12"/>
        <v>0</v>
      </c>
      <c r="K214" s="13">
        <f t="shared" si="13"/>
        <v>0</v>
      </c>
      <c r="L214" s="13" t="str" cm="1">
        <f t="array" ref="L214">_xlfn.IFS(J214&lt;1,"",J214=1,"Pass",J214&gt;1,_xlfn.TEXTJOIN("",TRUE,"Pass x",J214))</f>
        <v/>
      </c>
      <c r="M214" s="13" t="str" cm="1">
        <f t="array" ref="M214">_xlfn.IFS(K214&lt;1,"",K214=1,"Fail",K214&gt;1,_xlfn.TEXTJOIN("",TRUE,"Fail x",K214))</f>
        <v/>
      </c>
    </row>
    <row r="215" spans="8:13">
      <c r="H215" s="13">
        <f t="shared" si="11"/>
        <v>0</v>
      </c>
      <c r="J215" s="13">
        <f t="shared" si="12"/>
        <v>0</v>
      </c>
      <c r="K215" s="13">
        <f t="shared" si="13"/>
        <v>0</v>
      </c>
      <c r="L215" s="13" t="str" cm="1">
        <f t="array" ref="L215">_xlfn.IFS(J215&lt;1,"",J215=1,"Pass",J215&gt;1,_xlfn.TEXTJOIN("",TRUE,"Pass x",J215))</f>
        <v/>
      </c>
      <c r="M215" s="13" t="str" cm="1">
        <f t="array" ref="M215">_xlfn.IFS(K215&lt;1,"",K215=1,"Fail",K215&gt;1,_xlfn.TEXTJOIN("",TRUE,"Fail x",K215))</f>
        <v/>
      </c>
    </row>
    <row r="216" spans="8:13">
      <c r="H216" s="13">
        <f t="shared" si="11"/>
        <v>0</v>
      </c>
      <c r="J216" s="13">
        <f t="shared" si="12"/>
        <v>0</v>
      </c>
      <c r="K216" s="13">
        <f t="shared" si="13"/>
        <v>0</v>
      </c>
      <c r="L216" s="13" t="str" cm="1">
        <f t="array" ref="L216">_xlfn.IFS(J216&lt;1,"",J216=1,"Pass",J216&gt;1,_xlfn.TEXTJOIN("",TRUE,"Pass x",J216))</f>
        <v/>
      </c>
      <c r="M216" s="13" t="str" cm="1">
        <f t="array" ref="M216">_xlfn.IFS(K216&lt;1,"",K216=1,"Fail",K216&gt;1,_xlfn.TEXTJOIN("",TRUE,"Fail x",K216))</f>
        <v/>
      </c>
    </row>
    <row r="217" spans="8:13">
      <c r="H217" s="13">
        <f t="shared" si="11"/>
        <v>0</v>
      </c>
      <c r="J217" s="13">
        <f t="shared" si="12"/>
        <v>0</v>
      </c>
      <c r="K217" s="13">
        <f t="shared" si="13"/>
        <v>0</v>
      </c>
      <c r="L217" s="13" t="str" cm="1">
        <f t="array" ref="L217">_xlfn.IFS(J217&lt;1,"",J217=1,"Pass",J217&gt;1,_xlfn.TEXTJOIN("",TRUE,"Pass x",J217))</f>
        <v/>
      </c>
      <c r="M217" s="13" t="str" cm="1">
        <f t="array" ref="M217">_xlfn.IFS(K217&lt;1,"",K217=1,"Fail",K217&gt;1,_xlfn.TEXTJOIN("",TRUE,"Fail x",K217))</f>
        <v/>
      </c>
    </row>
    <row r="218" spans="8:13">
      <c r="H218" s="13">
        <f t="shared" si="11"/>
        <v>0</v>
      </c>
      <c r="J218" s="13">
        <f t="shared" si="12"/>
        <v>0</v>
      </c>
      <c r="K218" s="13">
        <f t="shared" si="13"/>
        <v>0</v>
      </c>
      <c r="L218" s="13" t="str" cm="1">
        <f t="array" ref="L218">_xlfn.IFS(J218&lt;1,"",J218=1,"Pass",J218&gt;1,_xlfn.TEXTJOIN("",TRUE,"Pass x",J218))</f>
        <v/>
      </c>
      <c r="M218" s="13" t="str" cm="1">
        <f t="array" ref="M218">_xlfn.IFS(K218&lt;1,"",K218=1,"Fail",K218&gt;1,_xlfn.TEXTJOIN("",TRUE,"Fail x",K218))</f>
        <v/>
      </c>
    </row>
    <row r="219" spans="8:13">
      <c r="H219" s="13">
        <f t="shared" si="11"/>
        <v>0</v>
      </c>
      <c r="J219" s="13">
        <f t="shared" si="12"/>
        <v>0</v>
      </c>
      <c r="K219" s="13">
        <f t="shared" si="13"/>
        <v>0</v>
      </c>
      <c r="L219" s="13" t="str" cm="1">
        <f t="array" ref="L219">_xlfn.IFS(J219&lt;1,"",J219=1,"Pass",J219&gt;1,_xlfn.TEXTJOIN("",TRUE,"Pass x",J219))</f>
        <v/>
      </c>
      <c r="M219" s="13" t="str" cm="1">
        <f t="array" ref="M219">_xlfn.IFS(K219&lt;1,"",K219=1,"Fail",K219&gt;1,_xlfn.TEXTJOIN("",TRUE,"Fail x",K219))</f>
        <v/>
      </c>
    </row>
    <row r="220" spans="8:13">
      <c r="H220" s="13">
        <f t="shared" si="11"/>
        <v>0</v>
      </c>
      <c r="J220" s="13">
        <f t="shared" si="12"/>
        <v>0</v>
      </c>
      <c r="K220" s="13">
        <f t="shared" si="13"/>
        <v>0</v>
      </c>
      <c r="L220" s="13" t="str" cm="1">
        <f t="array" ref="L220">_xlfn.IFS(J220&lt;1,"",J220=1,"Pass",J220&gt;1,_xlfn.TEXTJOIN("",TRUE,"Pass x",J220))</f>
        <v/>
      </c>
      <c r="M220" s="13" t="str" cm="1">
        <f t="array" ref="M220">_xlfn.IFS(K220&lt;1,"",K220=1,"Fail",K220&gt;1,_xlfn.TEXTJOIN("",TRUE,"Fail x",K220))</f>
        <v/>
      </c>
    </row>
    <row r="221" spans="8:13">
      <c r="H221" s="13">
        <f t="shared" si="11"/>
        <v>0</v>
      </c>
      <c r="J221" s="13">
        <f t="shared" si="12"/>
        <v>0</v>
      </c>
      <c r="K221" s="13">
        <f t="shared" si="13"/>
        <v>0</v>
      </c>
      <c r="L221" s="13" t="str" cm="1">
        <f t="array" ref="L221">_xlfn.IFS(J221&lt;1,"",J221=1,"Pass",J221&gt;1,_xlfn.TEXTJOIN("",TRUE,"Pass x",J221))</f>
        <v/>
      </c>
      <c r="M221" s="13" t="str" cm="1">
        <f t="array" ref="M221">_xlfn.IFS(K221&lt;1,"",K221=1,"Fail",K221&gt;1,_xlfn.TEXTJOIN("",TRUE,"Fail x",K221))</f>
        <v/>
      </c>
    </row>
    <row r="222" spans="8:13">
      <c r="H222" s="13">
        <f t="shared" si="11"/>
        <v>0</v>
      </c>
      <c r="J222" s="13">
        <f t="shared" si="12"/>
        <v>0</v>
      </c>
      <c r="K222" s="13">
        <f t="shared" si="13"/>
        <v>0</v>
      </c>
      <c r="L222" s="13" t="str" cm="1">
        <f t="array" ref="L222">_xlfn.IFS(J222&lt;1,"",J222=1,"Pass",J222&gt;1,_xlfn.TEXTJOIN("",TRUE,"Pass x",J222))</f>
        <v/>
      </c>
      <c r="M222" s="13" t="str" cm="1">
        <f t="array" ref="M222">_xlfn.IFS(K222&lt;1,"",K222=1,"Fail",K222&gt;1,_xlfn.TEXTJOIN("",TRUE,"Fail x",K222))</f>
        <v/>
      </c>
    </row>
    <row r="223" spans="8:13">
      <c r="H223" s="13">
        <f t="shared" si="11"/>
        <v>0</v>
      </c>
      <c r="J223" s="13">
        <f t="shared" si="12"/>
        <v>0</v>
      </c>
      <c r="K223" s="13">
        <f t="shared" si="13"/>
        <v>0</v>
      </c>
      <c r="L223" s="13" t="str" cm="1">
        <f t="array" ref="L223">_xlfn.IFS(J223&lt;1,"",J223=1,"Pass",J223&gt;1,_xlfn.TEXTJOIN("",TRUE,"Pass x",J223))</f>
        <v/>
      </c>
      <c r="M223" s="13" t="str" cm="1">
        <f t="array" ref="M223">_xlfn.IFS(K223&lt;1,"",K223=1,"Fail",K223&gt;1,_xlfn.TEXTJOIN("",TRUE,"Fail x",K223))</f>
        <v/>
      </c>
    </row>
    <row r="224" spans="8:13">
      <c r="H224" s="13">
        <f t="shared" si="11"/>
        <v>0</v>
      </c>
      <c r="J224" s="13">
        <f t="shared" si="12"/>
        <v>0</v>
      </c>
      <c r="K224" s="13">
        <f t="shared" si="13"/>
        <v>0</v>
      </c>
      <c r="L224" s="13" t="str" cm="1">
        <f t="array" ref="L224">_xlfn.IFS(J224&lt;1,"",J224=1,"Pass",J224&gt;1,_xlfn.TEXTJOIN("",TRUE,"Pass x",J224))</f>
        <v/>
      </c>
      <c r="M224" s="13" t="str" cm="1">
        <f t="array" ref="M224">_xlfn.IFS(K224&lt;1,"",K224=1,"Fail",K224&gt;1,_xlfn.TEXTJOIN("",TRUE,"Fail x",K224))</f>
        <v/>
      </c>
    </row>
    <row r="225" spans="8:13">
      <c r="H225" s="13">
        <f t="shared" si="11"/>
        <v>0</v>
      </c>
      <c r="J225" s="13">
        <f t="shared" si="12"/>
        <v>0</v>
      </c>
      <c r="K225" s="13">
        <f t="shared" si="13"/>
        <v>0</v>
      </c>
      <c r="L225" s="13" t="str" cm="1">
        <f t="array" ref="L225">_xlfn.IFS(J225&lt;1,"",J225=1,"Pass",J225&gt;1,_xlfn.TEXTJOIN("",TRUE,"Pass x",J225))</f>
        <v/>
      </c>
      <c r="M225" s="13" t="str" cm="1">
        <f t="array" ref="M225">_xlfn.IFS(K225&lt;1,"",K225=1,"Fail",K225&gt;1,_xlfn.TEXTJOIN("",TRUE,"Fail x",K225))</f>
        <v/>
      </c>
    </row>
    <row r="226" spans="8:13">
      <c r="H226" s="13">
        <f t="shared" si="11"/>
        <v>0</v>
      </c>
      <c r="J226" s="13">
        <f t="shared" si="12"/>
        <v>0</v>
      </c>
      <c r="K226" s="13">
        <f t="shared" si="13"/>
        <v>0</v>
      </c>
      <c r="L226" s="13" t="str" cm="1">
        <f t="array" ref="L226">_xlfn.IFS(J226&lt;1,"",J226=1,"Pass",J226&gt;1,_xlfn.TEXTJOIN("",TRUE,"Pass x",J226))</f>
        <v/>
      </c>
      <c r="M226" s="13" t="str" cm="1">
        <f t="array" ref="M226">_xlfn.IFS(K226&lt;1,"",K226=1,"Fail",K226&gt;1,_xlfn.TEXTJOIN("",TRUE,"Fail x",K226))</f>
        <v/>
      </c>
    </row>
    <row r="227" spans="8:13">
      <c r="H227" s="13">
        <f t="shared" si="11"/>
        <v>0</v>
      </c>
      <c r="J227" s="13">
        <f t="shared" si="12"/>
        <v>0</v>
      </c>
      <c r="K227" s="13">
        <f t="shared" si="13"/>
        <v>0</v>
      </c>
      <c r="L227" s="13" t="str" cm="1">
        <f t="array" ref="L227">_xlfn.IFS(J227&lt;1,"",J227=1,"Pass",J227&gt;1,_xlfn.TEXTJOIN("",TRUE,"Pass x",J227))</f>
        <v/>
      </c>
      <c r="M227" s="13" t="str" cm="1">
        <f t="array" ref="M227">_xlfn.IFS(K227&lt;1,"",K227=1,"Fail",K227&gt;1,_xlfn.TEXTJOIN("",TRUE,"Fail x",K227))</f>
        <v/>
      </c>
    </row>
    <row r="228" spans="8:13">
      <c r="H228" s="13">
        <f t="shared" si="11"/>
        <v>0</v>
      </c>
      <c r="J228" s="13">
        <f t="shared" si="12"/>
        <v>0</v>
      </c>
      <c r="K228" s="13">
        <f t="shared" si="13"/>
        <v>0</v>
      </c>
      <c r="L228" s="13" t="str" cm="1">
        <f t="array" ref="L228">_xlfn.IFS(J228&lt;1,"",J228=1,"Pass",J228&gt;1,_xlfn.TEXTJOIN("",TRUE,"Pass x",J228))</f>
        <v/>
      </c>
      <c r="M228" s="13" t="str" cm="1">
        <f t="array" ref="M228">_xlfn.IFS(K228&lt;1,"",K228=1,"Fail",K228&gt;1,_xlfn.TEXTJOIN("",TRUE,"Fail x",K228))</f>
        <v/>
      </c>
    </row>
    <row r="229" spans="8:13">
      <c r="H229" s="13">
        <f t="shared" si="11"/>
        <v>0</v>
      </c>
      <c r="J229" s="13">
        <f t="shared" si="12"/>
        <v>0</v>
      </c>
      <c r="K229" s="13">
        <f t="shared" si="13"/>
        <v>0</v>
      </c>
      <c r="L229" s="13" t="str" cm="1">
        <f t="array" ref="L229">_xlfn.IFS(J229&lt;1,"",J229=1,"Pass",J229&gt;1,_xlfn.TEXTJOIN("",TRUE,"Pass x",J229))</f>
        <v/>
      </c>
      <c r="M229" s="13" t="str" cm="1">
        <f t="array" ref="M229">_xlfn.IFS(K229&lt;1,"",K229=1,"Fail",K229&gt;1,_xlfn.TEXTJOIN("",TRUE,"Fail x",K229))</f>
        <v/>
      </c>
    </row>
    <row r="230" spans="8:13">
      <c r="H230" s="13">
        <f t="shared" si="11"/>
        <v>0</v>
      </c>
      <c r="J230" s="13">
        <f t="shared" si="12"/>
        <v>0</v>
      </c>
      <c r="K230" s="13">
        <f t="shared" si="13"/>
        <v>0</v>
      </c>
      <c r="L230" s="13" t="str" cm="1">
        <f t="array" ref="L230">_xlfn.IFS(J230&lt;1,"",J230=1,"Pass",J230&gt;1,_xlfn.TEXTJOIN("",TRUE,"Pass x",J230))</f>
        <v/>
      </c>
      <c r="M230" s="13" t="str" cm="1">
        <f t="array" ref="M230">_xlfn.IFS(K230&lt;1,"",K230=1,"Fail",K230&gt;1,_xlfn.TEXTJOIN("",TRUE,"Fail x",K230))</f>
        <v/>
      </c>
    </row>
    <row r="231" spans="8:13">
      <c r="H231" s="13">
        <f t="shared" si="11"/>
        <v>0</v>
      </c>
      <c r="J231" s="13">
        <f t="shared" si="12"/>
        <v>0</v>
      </c>
      <c r="K231" s="13">
        <f t="shared" si="13"/>
        <v>0</v>
      </c>
      <c r="L231" s="13" t="str" cm="1">
        <f t="array" ref="L231">_xlfn.IFS(J231&lt;1,"",J231=1,"Pass",J231&gt;1,_xlfn.TEXTJOIN("",TRUE,"Pass x",J231))</f>
        <v/>
      </c>
      <c r="M231" s="13" t="str" cm="1">
        <f t="array" ref="M231">_xlfn.IFS(K231&lt;1,"",K231=1,"Fail",K231&gt;1,_xlfn.TEXTJOIN("",TRUE,"Fail x",K231))</f>
        <v/>
      </c>
    </row>
    <row r="232" spans="8:13">
      <c r="H232" s="13">
        <f t="shared" si="11"/>
        <v>0</v>
      </c>
      <c r="J232" s="13">
        <f t="shared" si="12"/>
        <v>0</v>
      </c>
      <c r="K232" s="13">
        <f t="shared" si="13"/>
        <v>0</v>
      </c>
      <c r="L232" s="13" t="str" cm="1">
        <f t="array" ref="L232">_xlfn.IFS(J232&lt;1,"",J232=1,"Pass",J232&gt;1,_xlfn.TEXTJOIN("",TRUE,"Pass x",J232))</f>
        <v/>
      </c>
      <c r="M232" s="13" t="str" cm="1">
        <f t="array" ref="M232">_xlfn.IFS(K232&lt;1,"",K232=1,"Fail",K232&gt;1,_xlfn.TEXTJOIN("",TRUE,"Fail x",K232))</f>
        <v/>
      </c>
    </row>
    <row r="233" spans="8:13">
      <c r="H233" s="13">
        <f t="shared" si="11"/>
        <v>0</v>
      </c>
      <c r="J233" s="13">
        <f t="shared" si="12"/>
        <v>0</v>
      </c>
      <c r="K233" s="13">
        <f t="shared" si="13"/>
        <v>0</v>
      </c>
      <c r="L233" s="13" t="str" cm="1">
        <f t="array" ref="L233">_xlfn.IFS(J233&lt;1,"",J233=1,"Pass",J233&gt;1,_xlfn.TEXTJOIN("",TRUE,"Pass x",J233))</f>
        <v/>
      </c>
      <c r="M233" s="13" t="str" cm="1">
        <f t="array" ref="M233">_xlfn.IFS(K233&lt;1,"",K233=1,"Fail",K233&gt;1,_xlfn.TEXTJOIN("",TRUE,"Fail x",K233))</f>
        <v/>
      </c>
    </row>
    <row r="234" spans="8:13">
      <c r="H234" s="13">
        <f t="shared" si="11"/>
        <v>0</v>
      </c>
      <c r="J234" s="13">
        <f t="shared" si="12"/>
        <v>0</v>
      </c>
      <c r="K234" s="13">
        <f t="shared" si="13"/>
        <v>0</v>
      </c>
      <c r="L234" s="13" t="str" cm="1">
        <f t="array" ref="L234">_xlfn.IFS(J234&lt;1,"",J234=1,"Pass",J234&gt;1,_xlfn.TEXTJOIN("",TRUE,"Pass x",J234))</f>
        <v/>
      </c>
      <c r="M234" s="13" t="str" cm="1">
        <f t="array" ref="M234">_xlfn.IFS(K234&lt;1,"",K234=1,"Fail",K234&gt;1,_xlfn.TEXTJOIN("",TRUE,"Fail x",K234))</f>
        <v/>
      </c>
    </row>
    <row r="235" spans="8:13">
      <c r="H235" s="13">
        <f t="shared" si="11"/>
        <v>0</v>
      </c>
      <c r="J235" s="13">
        <f t="shared" si="12"/>
        <v>0</v>
      </c>
      <c r="K235" s="13">
        <f t="shared" si="13"/>
        <v>0</v>
      </c>
      <c r="L235" s="13" t="str" cm="1">
        <f t="array" ref="L235">_xlfn.IFS(J235&lt;1,"",J235=1,"Pass",J235&gt;1,_xlfn.TEXTJOIN("",TRUE,"Pass x",J235))</f>
        <v/>
      </c>
      <c r="M235" s="13" t="str" cm="1">
        <f t="array" ref="M235">_xlfn.IFS(K235&lt;1,"",K235=1,"Fail",K235&gt;1,_xlfn.TEXTJOIN("",TRUE,"Fail x",K235))</f>
        <v/>
      </c>
    </row>
    <row r="236" spans="8:13">
      <c r="H236" s="13">
        <f t="shared" si="11"/>
        <v>0</v>
      </c>
      <c r="J236" s="13">
        <f t="shared" si="12"/>
        <v>0</v>
      </c>
      <c r="K236" s="13">
        <f t="shared" si="13"/>
        <v>0</v>
      </c>
      <c r="L236" s="13" t="str" cm="1">
        <f t="array" ref="L236">_xlfn.IFS(J236&lt;1,"",J236=1,"Pass",J236&gt;1,_xlfn.TEXTJOIN("",TRUE,"Pass x",J236))</f>
        <v/>
      </c>
    </row>
    <row r="237" spans="8:13">
      <c r="H237" s="13">
        <f t="shared" si="11"/>
        <v>0</v>
      </c>
      <c r="J237" s="13">
        <f t="shared" si="12"/>
        <v>0</v>
      </c>
      <c r="K237" s="13">
        <f t="shared" si="13"/>
        <v>0</v>
      </c>
      <c r="L237" s="13" t="str" cm="1">
        <f t="array" ref="L237">_xlfn.IFS(J237&lt;1,"",J237=1,"Pass",J237&gt;1,_xlfn.TEXTJOIN("",TRUE,"Pass x",J237))</f>
        <v/>
      </c>
    </row>
    <row r="238" spans="8:13">
      <c r="H238" s="13">
        <f t="shared" si="11"/>
        <v>0</v>
      </c>
      <c r="J238" s="13">
        <f t="shared" si="12"/>
        <v>0</v>
      </c>
      <c r="K238" s="13">
        <f t="shared" si="13"/>
        <v>0</v>
      </c>
      <c r="L238" s="13" t="str" cm="1">
        <f t="array" ref="L238">_xlfn.IFS(J238&lt;1,"",J238=1,"Pass",J238&gt;1,_xlfn.TEXTJOIN("",TRUE,"Pass x",J238))</f>
        <v/>
      </c>
    </row>
    <row r="239" spans="8:13">
      <c r="H239" s="13">
        <f t="shared" si="11"/>
        <v>0</v>
      </c>
      <c r="J239" s="13">
        <f t="shared" si="12"/>
        <v>0</v>
      </c>
      <c r="K239" s="13">
        <f t="shared" si="13"/>
        <v>0</v>
      </c>
      <c r="L239" s="13" t="str" cm="1">
        <f t="array" ref="L239">_xlfn.IFS(J239&lt;1,"",J239=1,"Pass",J239&gt;1,_xlfn.TEXTJOIN("",TRUE,"Pass x",J239))</f>
        <v/>
      </c>
    </row>
    <row r="240" spans="8:13">
      <c r="H240" s="13">
        <f t="shared" si="11"/>
        <v>0</v>
      </c>
      <c r="J240" s="13">
        <f t="shared" si="12"/>
        <v>0</v>
      </c>
      <c r="K240" s="13">
        <f t="shared" si="13"/>
        <v>0</v>
      </c>
      <c r="L240" s="13" t="str" cm="1">
        <f t="array" ref="L240">_xlfn.IFS(J240&lt;1,"",J240=1,"Pass",J240&gt;1,_xlfn.TEXTJOIN("",TRUE,"Pass x",J240))</f>
        <v/>
      </c>
    </row>
    <row r="241" spans="8:12">
      <c r="H241" s="13">
        <f t="shared" si="11"/>
        <v>0</v>
      </c>
      <c r="J241" s="13">
        <f t="shared" si="12"/>
        <v>0</v>
      </c>
      <c r="K241" s="13">
        <f t="shared" si="13"/>
        <v>0</v>
      </c>
      <c r="L241" s="13" t="str" cm="1">
        <f t="array" ref="L241">_xlfn.IFS(J241&lt;1,"",J241=1,"Pass",J241&gt;1,_xlfn.TEXTJOIN("",TRUE,"Pass x",J241))</f>
        <v/>
      </c>
    </row>
    <row r="242" spans="8:12">
      <c r="H242" s="13">
        <f t="shared" si="11"/>
        <v>0</v>
      </c>
      <c r="J242" s="13">
        <f t="shared" si="12"/>
        <v>0</v>
      </c>
      <c r="K242" s="13">
        <f t="shared" si="13"/>
        <v>0</v>
      </c>
      <c r="L242" s="13" t="str" cm="1">
        <f t="array" ref="L242">_xlfn.IFS(J242&lt;1,"",J242=1,"Pass",J242&gt;1,_xlfn.TEXTJOIN("",TRUE,"Pass x",J242))</f>
        <v/>
      </c>
    </row>
    <row r="243" spans="8:12">
      <c r="H243" s="13">
        <f t="shared" si="11"/>
        <v>0</v>
      </c>
      <c r="J243" s="13">
        <f t="shared" si="12"/>
        <v>0</v>
      </c>
      <c r="K243" s="13">
        <f t="shared" si="13"/>
        <v>0</v>
      </c>
      <c r="L243" s="13" t="str" cm="1">
        <f t="array" ref="L243">_xlfn.IFS(J243&lt;1,"",J243=1,"Pass",J243&gt;1,_xlfn.TEXTJOIN("",TRUE,"Pass x",J243))</f>
        <v/>
      </c>
    </row>
    <row r="244" spans="8:12">
      <c r="H244" s="13">
        <f t="shared" si="11"/>
        <v>0</v>
      </c>
      <c r="J244" s="13">
        <f t="shared" si="12"/>
        <v>0</v>
      </c>
      <c r="K244" s="13">
        <f t="shared" si="13"/>
        <v>0</v>
      </c>
      <c r="L244" s="13" t="str" cm="1">
        <f t="array" ref="L244">_xlfn.IFS(J244&lt;1,"",J244=1,"Pass",J244&gt;1,_xlfn.TEXTJOIN("",TRUE,"Pass x",J244))</f>
        <v/>
      </c>
    </row>
    <row r="245" spans="8:12">
      <c r="H245" s="13">
        <f t="shared" si="11"/>
        <v>0</v>
      </c>
      <c r="J245" s="13">
        <f t="shared" si="12"/>
        <v>0</v>
      </c>
      <c r="K245" s="13">
        <f t="shared" si="13"/>
        <v>0</v>
      </c>
      <c r="L245" s="13" t="str" cm="1">
        <f t="array" ref="L245">_xlfn.IFS(J245&lt;1,"",J245=1,"Pass",J245&gt;1,_xlfn.TEXTJOIN("",TRUE,"Pass x",J245))</f>
        <v/>
      </c>
    </row>
    <row r="246" spans="8:12">
      <c r="H246" s="13">
        <f t="shared" si="11"/>
        <v>0</v>
      </c>
      <c r="J246" s="13">
        <f t="shared" si="12"/>
        <v>0</v>
      </c>
      <c r="K246" s="13">
        <f t="shared" si="13"/>
        <v>0</v>
      </c>
      <c r="L246" s="13" t="str" cm="1">
        <f t="array" ref="L246">_xlfn.IFS(J246&lt;1,"",J246=1,"Pass",J246&gt;1,_xlfn.TEXTJOIN("",TRUE,"Pass x",J246))</f>
        <v/>
      </c>
    </row>
    <row r="247" spans="8:12">
      <c r="H247" s="13">
        <f t="shared" si="11"/>
        <v>0</v>
      </c>
      <c r="J247" s="13">
        <f t="shared" si="12"/>
        <v>0</v>
      </c>
      <c r="K247" s="13">
        <f t="shared" si="13"/>
        <v>0</v>
      </c>
      <c r="L247" s="13" t="str" cm="1">
        <f t="array" ref="L247">_xlfn.IFS(J247&lt;1,"",J247=1,"Pass",J247&gt;1,_xlfn.TEXTJOIN("",TRUE,"Pass x",J247))</f>
        <v/>
      </c>
    </row>
    <row r="248" spans="8:12">
      <c r="H248" s="13">
        <f t="shared" si="11"/>
        <v>0</v>
      </c>
      <c r="J248" s="13">
        <f t="shared" si="12"/>
        <v>0</v>
      </c>
      <c r="K248" s="13">
        <f t="shared" si="13"/>
        <v>0</v>
      </c>
      <c r="L248" s="13" t="str" cm="1">
        <f t="array" ref="L248">_xlfn.IFS(J248&lt;1,"",J248=1,"Pass",J248&gt;1,_xlfn.TEXTJOIN("",TRUE,"Pass x",J248))</f>
        <v/>
      </c>
    </row>
    <row r="249" spans="8:12">
      <c r="H249" s="13">
        <f t="shared" si="11"/>
        <v>0</v>
      </c>
      <c r="J249" s="13">
        <f t="shared" si="12"/>
        <v>0</v>
      </c>
      <c r="K249" s="13">
        <f t="shared" si="13"/>
        <v>0</v>
      </c>
      <c r="L249" s="13" t="str" cm="1">
        <f t="array" ref="L249">_xlfn.IFS(J249&lt;1,"",J249=1,"Pass",J249&gt;1,_xlfn.TEXTJOIN("",TRUE,"Pass x",J249))</f>
        <v/>
      </c>
    </row>
    <row r="250" spans="8:12">
      <c r="H250" s="13">
        <f t="shared" si="11"/>
        <v>0</v>
      </c>
      <c r="J250" s="13">
        <f t="shared" si="12"/>
        <v>0</v>
      </c>
      <c r="K250" s="13">
        <f t="shared" si="13"/>
        <v>0</v>
      </c>
      <c r="L250" s="13" t="str" cm="1">
        <f t="array" ref="L250">_xlfn.IFS(J250&lt;1,"",J250=1,"Pass",J250&gt;1,_xlfn.TEXTJOIN("",TRUE,"Pass x",J250))</f>
        <v/>
      </c>
    </row>
    <row r="251" spans="8:12">
      <c r="H251" s="13">
        <f t="shared" si="11"/>
        <v>0</v>
      </c>
      <c r="J251" s="13">
        <f t="shared" si="12"/>
        <v>0</v>
      </c>
      <c r="K251" s="13">
        <f t="shared" si="13"/>
        <v>0</v>
      </c>
      <c r="L251" s="13" t="str" cm="1">
        <f t="array" ref="L251">_xlfn.IFS(J251&lt;1,"",J251=1,"Pass",J251&gt;1,_xlfn.TEXTJOIN("",TRUE,"Pass x",J251))</f>
        <v/>
      </c>
    </row>
    <row r="252" spans="8:12">
      <c r="H252" s="13">
        <f t="shared" si="11"/>
        <v>0</v>
      </c>
      <c r="J252" s="13">
        <f t="shared" si="12"/>
        <v>0</v>
      </c>
      <c r="K252" s="13">
        <f t="shared" si="13"/>
        <v>0</v>
      </c>
      <c r="L252" s="13" t="str" cm="1">
        <f t="array" ref="L252">_xlfn.IFS(J252&lt;1,"",J252=1,"Pass",J252&gt;1,_xlfn.TEXTJOIN("",TRUE,"Pass x",J252))</f>
        <v/>
      </c>
    </row>
    <row r="253" spans="8:12">
      <c r="H253" s="13">
        <f t="shared" si="11"/>
        <v>0</v>
      </c>
      <c r="J253" s="13">
        <f t="shared" si="12"/>
        <v>0</v>
      </c>
      <c r="K253" s="13">
        <f t="shared" si="13"/>
        <v>0</v>
      </c>
      <c r="L253" s="13" t="str" cm="1">
        <f t="array" ref="L253">_xlfn.IFS(J253&lt;1,"",J253=1,"Pass",J253&gt;1,_xlfn.TEXTJOIN("",TRUE,"Pass x",J253))</f>
        <v/>
      </c>
    </row>
    <row r="254" spans="8:12">
      <c r="H254" s="13">
        <f t="shared" si="11"/>
        <v>0</v>
      </c>
      <c r="J254" s="13">
        <f t="shared" si="12"/>
        <v>0</v>
      </c>
    </row>
    <row r="255" spans="8:12">
      <c r="H255" s="13">
        <f t="shared" si="11"/>
        <v>0</v>
      </c>
      <c r="J255" s="13">
        <f t="shared" si="12"/>
        <v>0</v>
      </c>
    </row>
    <row r="256" spans="8:12">
      <c r="H256" s="13">
        <f t="shared" si="11"/>
        <v>0</v>
      </c>
      <c r="J256" s="13">
        <f t="shared" si="12"/>
        <v>0</v>
      </c>
    </row>
    <row r="257" spans="8:10">
      <c r="H257" s="13">
        <f t="shared" si="11"/>
        <v>0</v>
      </c>
      <c r="J257" s="13">
        <f t="shared" si="12"/>
        <v>0</v>
      </c>
    </row>
    <row r="258" spans="8:10">
      <c r="H258" s="13">
        <f t="shared" si="11"/>
        <v>0</v>
      </c>
      <c r="J258" s="13">
        <f t="shared" si="12"/>
        <v>0</v>
      </c>
    </row>
    <row r="259" spans="8:10">
      <c r="H259" s="13">
        <f t="shared" ref="H259:H322" si="14">IFERROR(GETPIVOTDATA("Successful / Failed",$A$1,"System serial",G259),0)</f>
        <v>0</v>
      </c>
      <c r="J259" s="13">
        <f t="shared" ref="J259:J322" si="15">IFERROR(GETPIVOTDATA("Successful / Failed",$A$1,"System serial",G259,"Successful / Failed","Successful"),0)</f>
        <v>0</v>
      </c>
    </row>
    <row r="260" spans="8:10">
      <c r="H260" s="13">
        <f t="shared" si="14"/>
        <v>0</v>
      </c>
      <c r="J260" s="13">
        <f t="shared" si="15"/>
        <v>0</v>
      </c>
    </row>
    <row r="261" spans="8:10">
      <c r="H261" s="13">
        <f t="shared" si="14"/>
        <v>0</v>
      </c>
      <c r="J261" s="13">
        <f t="shared" si="15"/>
        <v>0</v>
      </c>
    </row>
    <row r="262" spans="8:10">
      <c r="H262" s="13">
        <f t="shared" si="14"/>
        <v>0</v>
      </c>
      <c r="J262" s="13">
        <f t="shared" si="15"/>
        <v>0</v>
      </c>
    </row>
    <row r="263" spans="8:10">
      <c r="H263" s="13">
        <f t="shared" si="14"/>
        <v>0</v>
      </c>
      <c r="J263" s="13">
        <f t="shared" si="15"/>
        <v>0</v>
      </c>
    </row>
    <row r="264" spans="8:10">
      <c r="H264" s="13">
        <f t="shared" si="14"/>
        <v>0</v>
      </c>
      <c r="J264" s="13">
        <f t="shared" si="15"/>
        <v>0</v>
      </c>
    </row>
    <row r="265" spans="8:10">
      <c r="H265" s="13">
        <f t="shared" si="14"/>
        <v>0</v>
      </c>
      <c r="J265" s="13">
        <f t="shared" si="15"/>
        <v>0</v>
      </c>
    </row>
    <row r="266" spans="8:10">
      <c r="H266" s="13">
        <f t="shared" si="14"/>
        <v>0</v>
      </c>
      <c r="J266" s="13">
        <f t="shared" si="15"/>
        <v>0</v>
      </c>
    </row>
    <row r="267" spans="8:10">
      <c r="H267" s="13">
        <f t="shared" si="14"/>
        <v>0</v>
      </c>
      <c r="J267" s="13">
        <f t="shared" si="15"/>
        <v>0</v>
      </c>
    </row>
    <row r="268" spans="8:10">
      <c r="H268" s="13">
        <f t="shared" si="14"/>
        <v>0</v>
      </c>
      <c r="J268" s="13">
        <f t="shared" si="15"/>
        <v>0</v>
      </c>
    </row>
    <row r="269" spans="8:10">
      <c r="H269" s="13">
        <f t="shared" si="14"/>
        <v>0</v>
      </c>
      <c r="J269" s="13">
        <f t="shared" si="15"/>
        <v>0</v>
      </c>
    </row>
    <row r="270" spans="8:10">
      <c r="H270" s="13">
        <f t="shared" si="14"/>
        <v>0</v>
      </c>
      <c r="J270" s="13">
        <f t="shared" si="15"/>
        <v>0</v>
      </c>
    </row>
    <row r="271" spans="8:10">
      <c r="H271" s="13">
        <f t="shared" si="14"/>
        <v>0</v>
      </c>
      <c r="J271" s="13">
        <f t="shared" si="15"/>
        <v>0</v>
      </c>
    </row>
    <row r="272" spans="8:10">
      <c r="H272" s="13">
        <f t="shared" si="14"/>
        <v>0</v>
      </c>
      <c r="J272" s="13">
        <f t="shared" si="15"/>
        <v>0</v>
      </c>
    </row>
    <row r="273" spans="8:10">
      <c r="H273" s="13">
        <f t="shared" si="14"/>
        <v>0</v>
      </c>
      <c r="J273" s="13">
        <f t="shared" si="15"/>
        <v>0</v>
      </c>
    </row>
    <row r="274" spans="8:10">
      <c r="H274" s="13">
        <f t="shared" si="14"/>
        <v>0</v>
      </c>
      <c r="J274" s="13">
        <f t="shared" si="15"/>
        <v>0</v>
      </c>
    </row>
    <row r="275" spans="8:10">
      <c r="H275" s="13">
        <f t="shared" si="14"/>
        <v>0</v>
      </c>
      <c r="J275" s="13">
        <f t="shared" si="15"/>
        <v>0</v>
      </c>
    </row>
    <row r="276" spans="8:10">
      <c r="H276" s="13">
        <f t="shared" si="14"/>
        <v>0</v>
      </c>
      <c r="J276" s="13">
        <f t="shared" si="15"/>
        <v>0</v>
      </c>
    </row>
    <row r="277" spans="8:10">
      <c r="H277" s="13">
        <f t="shared" si="14"/>
        <v>0</v>
      </c>
      <c r="J277" s="13">
        <f t="shared" si="15"/>
        <v>0</v>
      </c>
    </row>
    <row r="278" spans="8:10">
      <c r="H278" s="13">
        <f t="shared" si="14"/>
        <v>0</v>
      </c>
      <c r="J278" s="13">
        <f t="shared" si="15"/>
        <v>0</v>
      </c>
    </row>
    <row r="279" spans="8:10">
      <c r="H279" s="13">
        <f t="shared" si="14"/>
        <v>0</v>
      </c>
      <c r="J279" s="13">
        <f t="shared" si="15"/>
        <v>0</v>
      </c>
    </row>
    <row r="280" spans="8:10">
      <c r="H280" s="13">
        <f t="shared" si="14"/>
        <v>0</v>
      </c>
      <c r="J280" s="13">
        <f t="shared" si="15"/>
        <v>0</v>
      </c>
    </row>
    <row r="281" spans="8:10">
      <c r="H281" s="13">
        <f t="shared" si="14"/>
        <v>0</v>
      </c>
      <c r="J281" s="13">
        <f t="shared" si="15"/>
        <v>0</v>
      </c>
    </row>
    <row r="282" spans="8:10">
      <c r="H282" s="13">
        <f t="shared" si="14"/>
        <v>0</v>
      </c>
      <c r="J282" s="13">
        <f t="shared" si="15"/>
        <v>0</v>
      </c>
    </row>
    <row r="283" spans="8:10">
      <c r="H283" s="13">
        <f t="shared" si="14"/>
        <v>0</v>
      </c>
      <c r="J283" s="13">
        <f t="shared" si="15"/>
        <v>0</v>
      </c>
    </row>
    <row r="284" spans="8:10">
      <c r="H284" s="13">
        <f t="shared" si="14"/>
        <v>0</v>
      </c>
      <c r="J284" s="13">
        <f t="shared" si="15"/>
        <v>0</v>
      </c>
    </row>
    <row r="285" spans="8:10">
      <c r="H285" s="13">
        <f t="shared" si="14"/>
        <v>0</v>
      </c>
      <c r="J285" s="13">
        <f t="shared" si="15"/>
        <v>0</v>
      </c>
    </row>
    <row r="286" spans="8:10">
      <c r="H286" s="13">
        <f t="shared" si="14"/>
        <v>0</v>
      </c>
      <c r="J286" s="13">
        <f t="shared" si="15"/>
        <v>0</v>
      </c>
    </row>
    <row r="287" spans="8:10">
      <c r="H287" s="13">
        <f t="shared" si="14"/>
        <v>0</v>
      </c>
      <c r="J287" s="13">
        <f t="shared" si="15"/>
        <v>0</v>
      </c>
    </row>
    <row r="288" spans="8:10">
      <c r="H288" s="13">
        <f t="shared" si="14"/>
        <v>0</v>
      </c>
      <c r="J288" s="13">
        <f t="shared" si="15"/>
        <v>0</v>
      </c>
    </row>
    <row r="289" spans="8:10">
      <c r="H289" s="13">
        <f t="shared" si="14"/>
        <v>0</v>
      </c>
      <c r="J289" s="13">
        <f t="shared" si="15"/>
        <v>0</v>
      </c>
    </row>
    <row r="290" spans="8:10">
      <c r="H290" s="13">
        <f t="shared" si="14"/>
        <v>0</v>
      </c>
      <c r="J290" s="13">
        <f t="shared" si="15"/>
        <v>0</v>
      </c>
    </row>
    <row r="291" spans="8:10">
      <c r="H291" s="13">
        <f t="shared" si="14"/>
        <v>0</v>
      </c>
      <c r="J291" s="13">
        <f t="shared" si="15"/>
        <v>0</v>
      </c>
    </row>
    <row r="292" spans="8:10">
      <c r="H292" s="13">
        <f t="shared" si="14"/>
        <v>0</v>
      </c>
      <c r="J292" s="13">
        <f t="shared" si="15"/>
        <v>0</v>
      </c>
    </row>
    <row r="293" spans="8:10">
      <c r="H293" s="13">
        <f t="shared" si="14"/>
        <v>0</v>
      </c>
      <c r="J293" s="13">
        <f t="shared" si="15"/>
        <v>0</v>
      </c>
    </row>
    <row r="294" spans="8:10">
      <c r="H294" s="13">
        <f t="shared" si="14"/>
        <v>0</v>
      </c>
      <c r="J294" s="13">
        <f t="shared" si="15"/>
        <v>0</v>
      </c>
    </row>
    <row r="295" spans="8:10">
      <c r="H295" s="13">
        <f t="shared" si="14"/>
        <v>0</v>
      </c>
      <c r="J295" s="13">
        <f t="shared" si="15"/>
        <v>0</v>
      </c>
    </row>
    <row r="296" spans="8:10">
      <c r="H296" s="13">
        <f t="shared" si="14"/>
        <v>0</v>
      </c>
      <c r="J296" s="13">
        <f t="shared" si="15"/>
        <v>0</v>
      </c>
    </row>
    <row r="297" spans="8:10">
      <c r="H297" s="13">
        <f t="shared" si="14"/>
        <v>0</v>
      </c>
      <c r="J297" s="13">
        <f t="shared" si="15"/>
        <v>0</v>
      </c>
    </row>
    <row r="298" spans="8:10">
      <c r="H298" s="13">
        <f t="shared" si="14"/>
        <v>0</v>
      </c>
      <c r="J298" s="13">
        <f t="shared" si="15"/>
        <v>0</v>
      </c>
    </row>
    <row r="299" spans="8:10">
      <c r="H299" s="13">
        <f t="shared" si="14"/>
        <v>0</v>
      </c>
      <c r="J299" s="13">
        <f t="shared" si="15"/>
        <v>0</v>
      </c>
    </row>
    <row r="300" spans="8:10">
      <c r="H300" s="13">
        <f t="shared" si="14"/>
        <v>0</v>
      </c>
      <c r="J300" s="13">
        <f t="shared" si="15"/>
        <v>0</v>
      </c>
    </row>
    <row r="301" spans="8:10">
      <c r="H301" s="13">
        <f t="shared" si="14"/>
        <v>0</v>
      </c>
      <c r="J301" s="13">
        <f t="shared" si="15"/>
        <v>0</v>
      </c>
    </row>
    <row r="302" spans="8:10">
      <c r="H302" s="13">
        <f t="shared" si="14"/>
        <v>0</v>
      </c>
      <c r="J302" s="13">
        <f t="shared" si="15"/>
        <v>0</v>
      </c>
    </row>
    <row r="303" spans="8:10">
      <c r="H303" s="13">
        <f t="shared" si="14"/>
        <v>0</v>
      </c>
      <c r="J303" s="13">
        <f t="shared" si="15"/>
        <v>0</v>
      </c>
    </row>
    <row r="304" spans="8:10">
      <c r="H304" s="13">
        <f t="shared" si="14"/>
        <v>0</v>
      </c>
      <c r="J304" s="13">
        <f t="shared" si="15"/>
        <v>0</v>
      </c>
    </row>
    <row r="305" spans="8:10">
      <c r="H305" s="13">
        <f t="shared" si="14"/>
        <v>0</v>
      </c>
      <c r="J305" s="13">
        <f t="shared" si="15"/>
        <v>0</v>
      </c>
    </row>
    <row r="306" spans="8:10">
      <c r="H306" s="13">
        <f t="shared" si="14"/>
        <v>0</v>
      </c>
      <c r="J306" s="13">
        <f t="shared" si="15"/>
        <v>0</v>
      </c>
    </row>
    <row r="307" spans="8:10">
      <c r="H307" s="13">
        <f t="shared" si="14"/>
        <v>0</v>
      </c>
      <c r="J307" s="13">
        <f t="shared" si="15"/>
        <v>0</v>
      </c>
    </row>
    <row r="308" spans="8:10">
      <c r="H308" s="13">
        <f t="shared" si="14"/>
        <v>0</v>
      </c>
      <c r="J308" s="13">
        <f t="shared" si="15"/>
        <v>0</v>
      </c>
    </row>
    <row r="309" spans="8:10">
      <c r="H309" s="13">
        <f t="shared" si="14"/>
        <v>0</v>
      </c>
      <c r="J309" s="13">
        <f t="shared" si="15"/>
        <v>0</v>
      </c>
    </row>
    <row r="310" spans="8:10">
      <c r="H310" s="13">
        <f t="shared" si="14"/>
        <v>0</v>
      </c>
      <c r="J310" s="13">
        <f t="shared" si="15"/>
        <v>0</v>
      </c>
    </row>
    <row r="311" spans="8:10">
      <c r="H311" s="13">
        <f t="shared" si="14"/>
        <v>0</v>
      </c>
      <c r="J311" s="13">
        <f t="shared" si="15"/>
        <v>0</v>
      </c>
    </row>
    <row r="312" spans="8:10">
      <c r="H312" s="13">
        <f t="shared" si="14"/>
        <v>0</v>
      </c>
      <c r="J312" s="13">
        <f t="shared" si="15"/>
        <v>0</v>
      </c>
    </row>
    <row r="313" spans="8:10">
      <c r="H313" s="13">
        <f t="shared" si="14"/>
        <v>0</v>
      </c>
      <c r="J313" s="13">
        <f t="shared" si="15"/>
        <v>0</v>
      </c>
    </row>
    <row r="314" spans="8:10">
      <c r="H314" s="13">
        <f t="shared" si="14"/>
        <v>0</v>
      </c>
      <c r="J314" s="13">
        <f t="shared" si="15"/>
        <v>0</v>
      </c>
    </row>
    <row r="315" spans="8:10">
      <c r="H315" s="13">
        <f t="shared" si="14"/>
        <v>0</v>
      </c>
      <c r="J315" s="13">
        <f t="shared" si="15"/>
        <v>0</v>
      </c>
    </row>
    <row r="316" spans="8:10">
      <c r="H316" s="13">
        <f t="shared" si="14"/>
        <v>0</v>
      </c>
      <c r="J316" s="13">
        <f t="shared" si="15"/>
        <v>0</v>
      </c>
    </row>
    <row r="317" spans="8:10">
      <c r="H317" s="13">
        <f t="shared" si="14"/>
        <v>0</v>
      </c>
      <c r="J317" s="13">
        <f t="shared" si="15"/>
        <v>0</v>
      </c>
    </row>
    <row r="318" spans="8:10">
      <c r="H318" s="13">
        <f t="shared" si="14"/>
        <v>0</v>
      </c>
      <c r="J318" s="13">
        <f t="shared" si="15"/>
        <v>0</v>
      </c>
    </row>
    <row r="319" spans="8:10">
      <c r="H319" s="13">
        <f t="shared" si="14"/>
        <v>0</v>
      </c>
      <c r="J319" s="13">
        <f t="shared" si="15"/>
        <v>0</v>
      </c>
    </row>
    <row r="320" spans="8:10">
      <c r="H320" s="13">
        <f t="shared" si="14"/>
        <v>0</v>
      </c>
      <c r="J320" s="13">
        <f t="shared" si="15"/>
        <v>0</v>
      </c>
    </row>
    <row r="321" spans="8:10">
      <c r="H321" s="13">
        <f t="shared" si="14"/>
        <v>0</v>
      </c>
      <c r="J321" s="13">
        <f t="shared" si="15"/>
        <v>0</v>
      </c>
    </row>
    <row r="322" spans="8:10">
      <c r="H322" s="13">
        <f t="shared" si="14"/>
        <v>0</v>
      </c>
      <c r="J322" s="13">
        <f t="shared" si="15"/>
        <v>0</v>
      </c>
    </row>
    <row r="323" spans="8:10">
      <c r="H323" s="13">
        <f t="shared" ref="H323:H386" si="16">IFERROR(GETPIVOTDATA("Successful / Failed",$A$1,"System serial",G323),0)</f>
        <v>0</v>
      </c>
      <c r="J323" s="13">
        <f t="shared" ref="J323:J386" si="17">IFERROR(GETPIVOTDATA("Successful / Failed",$A$1,"System serial",G323,"Successful / Failed","Successful"),0)</f>
        <v>0</v>
      </c>
    </row>
    <row r="324" spans="8:10">
      <c r="H324" s="13">
        <f t="shared" si="16"/>
        <v>0</v>
      </c>
      <c r="J324" s="13">
        <f t="shared" si="17"/>
        <v>0</v>
      </c>
    </row>
    <row r="325" spans="8:10">
      <c r="H325" s="13">
        <f t="shared" si="16"/>
        <v>0</v>
      </c>
      <c r="J325" s="13">
        <f t="shared" si="17"/>
        <v>0</v>
      </c>
    </row>
    <row r="326" spans="8:10">
      <c r="H326" s="13">
        <f t="shared" si="16"/>
        <v>0</v>
      </c>
      <c r="J326" s="13">
        <f t="shared" si="17"/>
        <v>0</v>
      </c>
    </row>
    <row r="327" spans="8:10">
      <c r="H327" s="13">
        <f t="shared" si="16"/>
        <v>0</v>
      </c>
      <c r="J327" s="13">
        <f t="shared" si="17"/>
        <v>0</v>
      </c>
    </row>
    <row r="328" spans="8:10">
      <c r="H328" s="13">
        <f t="shared" si="16"/>
        <v>0</v>
      </c>
      <c r="J328" s="13">
        <f t="shared" si="17"/>
        <v>0</v>
      </c>
    </row>
    <row r="329" spans="8:10">
      <c r="H329" s="13">
        <f t="shared" si="16"/>
        <v>0</v>
      </c>
      <c r="J329" s="13">
        <f t="shared" si="17"/>
        <v>0</v>
      </c>
    </row>
    <row r="330" spans="8:10">
      <c r="H330" s="13">
        <f t="shared" si="16"/>
        <v>0</v>
      </c>
      <c r="J330" s="13">
        <f t="shared" si="17"/>
        <v>0</v>
      </c>
    </row>
    <row r="331" spans="8:10">
      <c r="H331" s="13">
        <f t="shared" si="16"/>
        <v>0</v>
      </c>
      <c r="J331" s="13">
        <f t="shared" si="17"/>
        <v>0</v>
      </c>
    </row>
    <row r="332" spans="8:10">
      <c r="H332" s="13">
        <f t="shared" si="16"/>
        <v>0</v>
      </c>
      <c r="J332" s="13">
        <f t="shared" si="17"/>
        <v>0</v>
      </c>
    </row>
    <row r="333" spans="8:10">
      <c r="H333" s="13">
        <f t="shared" si="16"/>
        <v>0</v>
      </c>
      <c r="J333" s="13">
        <f t="shared" si="17"/>
        <v>0</v>
      </c>
    </row>
    <row r="334" spans="8:10">
      <c r="H334" s="13">
        <f t="shared" si="16"/>
        <v>0</v>
      </c>
      <c r="J334" s="13">
        <f t="shared" si="17"/>
        <v>0</v>
      </c>
    </row>
    <row r="335" spans="8:10">
      <c r="H335" s="13">
        <f t="shared" si="16"/>
        <v>0</v>
      </c>
      <c r="J335" s="13">
        <f t="shared" si="17"/>
        <v>0</v>
      </c>
    </row>
    <row r="336" spans="8:10">
      <c r="H336" s="13">
        <f t="shared" si="16"/>
        <v>0</v>
      </c>
      <c r="J336" s="13">
        <f t="shared" si="17"/>
        <v>0</v>
      </c>
    </row>
    <row r="337" spans="8:10">
      <c r="H337" s="13">
        <f t="shared" si="16"/>
        <v>0</v>
      </c>
      <c r="J337" s="13">
        <f t="shared" si="17"/>
        <v>0</v>
      </c>
    </row>
    <row r="338" spans="8:10">
      <c r="H338" s="13">
        <f t="shared" si="16"/>
        <v>0</v>
      </c>
      <c r="J338" s="13">
        <f t="shared" si="17"/>
        <v>0</v>
      </c>
    </row>
    <row r="339" spans="8:10">
      <c r="H339" s="13">
        <f t="shared" si="16"/>
        <v>0</v>
      </c>
      <c r="J339" s="13">
        <f t="shared" si="17"/>
        <v>0</v>
      </c>
    </row>
    <row r="340" spans="8:10">
      <c r="H340" s="13">
        <f t="shared" si="16"/>
        <v>0</v>
      </c>
      <c r="J340" s="13">
        <f t="shared" si="17"/>
        <v>0</v>
      </c>
    </row>
    <row r="341" spans="8:10">
      <c r="H341" s="13">
        <f t="shared" si="16"/>
        <v>0</v>
      </c>
      <c r="J341" s="13">
        <f t="shared" si="17"/>
        <v>0</v>
      </c>
    </row>
    <row r="342" spans="8:10">
      <c r="H342" s="13">
        <f t="shared" si="16"/>
        <v>0</v>
      </c>
      <c r="J342" s="13">
        <f t="shared" si="17"/>
        <v>0</v>
      </c>
    </row>
    <row r="343" spans="8:10">
      <c r="H343" s="13">
        <f t="shared" si="16"/>
        <v>0</v>
      </c>
      <c r="J343" s="13">
        <f t="shared" si="17"/>
        <v>0</v>
      </c>
    </row>
    <row r="344" spans="8:10">
      <c r="H344" s="13">
        <f t="shared" si="16"/>
        <v>0</v>
      </c>
      <c r="J344" s="13">
        <f t="shared" si="17"/>
        <v>0</v>
      </c>
    </row>
    <row r="345" spans="8:10">
      <c r="H345" s="13">
        <f t="shared" si="16"/>
        <v>0</v>
      </c>
      <c r="J345" s="13">
        <f t="shared" si="17"/>
        <v>0</v>
      </c>
    </row>
    <row r="346" spans="8:10">
      <c r="H346" s="13">
        <f t="shared" si="16"/>
        <v>0</v>
      </c>
      <c r="J346" s="13">
        <f t="shared" si="17"/>
        <v>0</v>
      </c>
    </row>
    <row r="347" spans="8:10">
      <c r="H347" s="13">
        <f t="shared" si="16"/>
        <v>0</v>
      </c>
      <c r="J347" s="13">
        <f t="shared" si="17"/>
        <v>0</v>
      </c>
    </row>
    <row r="348" spans="8:10">
      <c r="H348" s="13">
        <f t="shared" si="16"/>
        <v>0</v>
      </c>
      <c r="J348" s="13">
        <f t="shared" si="17"/>
        <v>0</v>
      </c>
    </row>
    <row r="349" spans="8:10">
      <c r="H349" s="13">
        <f t="shared" si="16"/>
        <v>0</v>
      </c>
      <c r="J349" s="13">
        <f t="shared" si="17"/>
        <v>0</v>
      </c>
    </row>
    <row r="350" spans="8:10">
      <c r="H350" s="13">
        <f t="shared" si="16"/>
        <v>0</v>
      </c>
      <c r="J350" s="13">
        <f t="shared" si="17"/>
        <v>0</v>
      </c>
    </row>
    <row r="351" spans="8:10">
      <c r="H351" s="13">
        <f t="shared" si="16"/>
        <v>0</v>
      </c>
      <c r="J351" s="13">
        <f t="shared" si="17"/>
        <v>0</v>
      </c>
    </row>
    <row r="352" spans="8:10">
      <c r="H352" s="13">
        <f t="shared" si="16"/>
        <v>0</v>
      </c>
      <c r="J352" s="13">
        <f t="shared" si="17"/>
        <v>0</v>
      </c>
    </row>
    <row r="353" spans="8:10">
      <c r="H353" s="13">
        <f t="shared" si="16"/>
        <v>0</v>
      </c>
      <c r="J353" s="13">
        <f t="shared" si="17"/>
        <v>0</v>
      </c>
    </row>
    <row r="354" spans="8:10">
      <c r="H354" s="13">
        <f t="shared" si="16"/>
        <v>0</v>
      </c>
      <c r="J354" s="13">
        <f t="shared" si="17"/>
        <v>0</v>
      </c>
    </row>
    <row r="355" spans="8:10">
      <c r="H355" s="13">
        <f t="shared" si="16"/>
        <v>0</v>
      </c>
      <c r="J355" s="13">
        <f t="shared" si="17"/>
        <v>0</v>
      </c>
    </row>
    <row r="356" spans="8:10">
      <c r="H356" s="13">
        <f t="shared" si="16"/>
        <v>0</v>
      </c>
      <c r="J356" s="13">
        <f t="shared" si="17"/>
        <v>0</v>
      </c>
    </row>
    <row r="357" spans="8:10">
      <c r="H357" s="13">
        <f t="shared" si="16"/>
        <v>0</v>
      </c>
      <c r="J357" s="13">
        <f t="shared" si="17"/>
        <v>0</v>
      </c>
    </row>
    <row r="358" spans="8:10">
      <c r="H358" s="13">
        <f t="shared" si="16"/>
        <v>0</v>
      </c>
      <c r="J358" s="13">
        <f t="shared" si="17"/>
        <v>0</v>
      </c>
    </row>
    <row r="359" spans="8:10">
      <c r="H359" s="13">
        <f t="shared" si="16"/>
        <v>0</v>
      </c>
      <c r="J359" s="13">
        <f t="shared" si="17"/>
        <v>0</v>
      </c>
    </row>
    <row r="360" spans="8:10">
      <c r="H360" s="13">
        <f t="shared" si="16"/>
        <v>0</v>
      </c>
      <c r="J360" s="13">
        <f t="shared" si="17"/>
        <v>0</v>
      </c>
    </row>
    <row r="361" spans="8:10">
      <c r="H361" s="13">
        <f t="shared" si="16"/>
        <v>0</v>
      </c>
      <c r="J361" s="13">
        <f t="shared" si="17"/>
        <v>0</v>
      </c>
    </row>
    <row r="362" spans="8:10">
      <c r="H362" s="13">
        <f t="shared" si="16"/>
        <v>0</v>
      </c>
      <c r="J362" s="13">
        <f t="shared" si="17"/>
        <v>0</v>
      </c>
    </row>
    <row r="363" spans="8:10">
      <c r="H363" s="13">
        <f t="shared" si="16"/>
        <v>0</v>
      </c>
      <c r="J363" s="13">
        <f t="shared" si="17"/>
        <v>0</v>
      </c>
    </row>
    <row r="364" spans="8:10">
      <c r="H364" s="13">
        <f t="shared" si="16"/>
        <v>0</v>
      </c>
      <c r="J364" s="13">
        <f t="shared" si="17"/>
        <v>0</v>
      </c>
    </row>
    <row r="365" spans="8:10">
      <c r="H365" s="13">
        <f t="shared" si="16"/>
        <v>0</v>
      </c>
      <c r="J365" s="13">
        <f t="shared" si="17"/>
        <v>0</v>
      </c>
    </row>
    <row r="366" spans="8:10">
      <c r="H366" s="13">
        <f t="shared" si="16"/>
        <v>0</v>
      </c>
      <c r="J366" s="13">
        <f t="shared" si="17"/>
        <v>0</v>
      </c>
    </row>
    <row r="367" spans="8:10">
      <c r="H367" s="13">
        <f t="shared" si="16"/>
        <v>0</v>
      </c>
      <c r="J367" s="13">
        <f t="shared" si="17"/>
        <v>0</v>
      </c>
    </row>
    <row r="368" spans="8:10">
      <c r="H368" s="13">
        <f t="shared" si="16"/>
        <v>0</v>
      </c>
      <c r="J368" s="13">
        <f t="shared" si="17"/>
        <v>0</v>
      </c>
    </row>
    <row r="369" spans="8:10">
      <c r="H369" s="13">
        <f t="shared" si="16"/>
        <v>0</v>
      </c>
      <c r="J369" s="13">
        <f t="shared" si="17"/>
        <v>0</v>
      </c>
    </row>
    <row r="370" spans="8:10">
      <c r="H370" s="13">
        <f t="shared" si="16"/>
        <v>0</v>
      </c>
      <c r="J370" s="13">
        <f t="shared" si="17"/>
        <v>0</v>
      </c>
    </row>
    <row r="371" spans="8:10">
      <c r="H371" s="13">
        <f t="shared" si="16"/>
        <v>0</v>
      </c>
      <c r="J371" s="13">
        <f t="shared" si="17"/>
        <v>0</v>
      </c>
    </row>
    <row r="372" spans="8:10">
      <c r="H372" s="13">
        <f t="shared" si="16"/>
        <v>0</v>
      </c>
      <c r="J372" s="13">
        <f t="shared" si="17"/>
        <v>0</v>
      </c>
    </row>
    <row r="373" spans="8:10">
      <c r="H373" s="13">
        <f t="shared" si="16"/>
        <v>0</v>
      </c>
      <c r="J373" s="13">
        <f t="shared" si="17"/>
        <v>0</v>
      </c>
    </row>
    <row r="374" spans="8:10">
      <c r="H374" s="13">
        <f t="shared" si="16"/>
        <v>0</v>
      </c>
      <c r="J374" s="13">
        <f t="shared" si="17"/>
        <v>0</v>
      </c>
    </row>
    <row r="375" spans="8:10">
      <c r="H375" s="13">
        <f t="shared" si="16"/>
        <v>0</v>
      </c>
      <c r="J375" s="13">
        <f t="shared" si="17"/>
        <v>0</v>
      </c>
    </row>
    <row r="376" spans="8:10">
      <c r="H376" s="13">
        <f t="shared" si="16"/>
        <v>0</v>
      </c>
      <c r="J376" s="13">
        <f t="shared" si="17"/>
        <v>0</v>
      </c>
    </row>
    <row r="377" spans="8:10">
      <c r="H377" s="13">
        <f t="shared" si="16"/>
        <v>0</v>
      </c>
      <c r="J377" s="13">
        <f t="shared" si="17"/>
        <v>0</v>
      </c>
    </row>
    <row r="378" spans="8:10">
      <c r="H378" s="13">
        <f t="shared" si="16"/>
        <v>0</v>
      </c>
      <c r="J378" s="13">
        <f t="shared" si="17"/>
        <v>0</v>
      </c>
    </row>
    <row r="379" spans="8:10">
      <c r="H379" s="13">
        <f t="shared" si="16"/>
        <v>0</v>
      </c>
      <c r="J379" s="13">
        <f t="shared" si="17"/>
        <v>0</v>
      </c>
    </row>
    <row r="380" spans="8:10">
      <c r="H380" s="13">
        <f t="shared" si="16"/>
        <v>0</v>
      </c>
      <c r="J380" s="13">
        <f t="shared" si="17"/>
        <v>0</v>
      </c>
    </row>
    <row r="381" spans="8:10">
      <c r="H381" s="13">
        <f t="shared" si="16"/>
        <v>0</v>
      </c>
      <c r="J381" s="13">
        <f t="shared" si="17"/>
        <v>0</v>
      </c>
    </row>
    <row r="382" spans="8:10">
      <c r="H382" s="13">
        <f t="shared" si="16"/>
        <v>0</v>
      </c>
      <c r="J382" s="13">
        <f t="shared" si="17"/>
        <v>0</v>
      </c>
    </row>
    <row r="383" spans="8:10">
      <c r="H383" s="13">
        <f t="shared" si="16"/>
        <v>0</v>
      </c>
      <c r="J383" s="13">
        <f t="shared" si="17"/>
        <v>0</v>
      </c>
    </row>
    <row r="384" spans="8:10">
      <c r="H384" s="13">
        <f t="shared" si="16"/>
        <v>0</v>
      </c>
      <c r="J384" s="13">
        <f t="shared" si="17"/>
        <v>0</v>
      </c>
    </row>
    <row r="385" spans="8:10">
      <c r="H385" s="13">
        <f t="shared" si="16"/>
        <v>0</v>
      </c>
      <c r="J385" s="13">
        <f t="shared" si="17"/>
        <v>0</v>
      </c>
    </row>
    <row r="386" spans="8:10">
      <c r="H386" s="13">
        <f t="shared" si="16"/>
        <v>0</v>
      </c>
      <c r="J386" s="13">
        <f t="shared" si="17"/>
        <v>0</v>
      </c>
    </row>
    <row r="387" spans="8:10">
      <c r="H387" s="13">
        <f t="shared" ref="H387:H436" si="18">IFERROR(GETPIVOTDATA("Successful / Failed",$A$1,"System serial",G387),0)</f>
        <v>0</v>
      </c>
      <c r="J387" s="13">
        <f t="shared" ref="J387:J446" si="19">IFERROR(GETPIVOTDATA("Successful / Failed",$A$1,"System serial",G387,"Successful / Failed","Successful"),0)</f>
        <v>0</v>
      </c>
    </row>
    <row r="388" spans="8:10">
      <c r="H388" s="13">
        <f t="shared" si="18"/>
        <v>0</v>
      </c>
      <c r="J388" s="13">
        <f t="shared" si="19"/>
        <v>0</v>
      </c>
    </row>
    <row r="389" spans="8:10">
      <c r="H389" s="13">
        <f t="shared" si="18"/>
        <v>0</v>
      </c>
      <c r="J389" s="13">
        <f t="shared" si="19"/>
        <v>0</v>
      </c>
    </row>
    <row r="390" spans="8:10">
      <c r="H390" s="13">
        <f t="shared" si="18"/>
        <v>0</v>
      </c>
      <c r="J390" s="13">
        <f t="shared" si="19"/>
        <v>0</v>
      </c>
    </row>
    <row r="391" spans="8:10">
      <c r="H391" s="13">
        <f t="shared" si="18"/>
        <v>0</v>
      </c>
      <c r="J391" s="13">
        <f t="shared" si="19"/>
        <v>0</v>
      </c>
    </row>
    <row r="392" spans="8:10">
      <c r="H392" s="13">
        <f t="shared" si="18"/>
        <v>0</v>
      </c>
      <c r="J392" s="13">
        <f t="shared" si="19"/>
        <v>0</v>
      </c>
    </row>
    <row r="393" spans="8:10">
      <c r="H393" s="13">
        <f t="shared" si="18"/>
        <v>0</v>
      </c>
      <c r="J393" s="13">
        <f t="shared" si="19"/>
        <v>0</v>
      </c>
    </row>
    <row r="394" spans="8:10">
      <c r="H394" s="13">
        <f t="shared" si="18"/>
        <v>0</v>
      </c>
      <c r="J394" s="13">
        <f t="shared" si="19"/>
        <v>0</v>
      </c>
    </row>
    <row r="395" spans="8:10">
      <c r="H395" s="13">
        <f t="shared" si="18"/>
        <v>0</v>
      </c>
      <c r="J395" s="13">
        <f t="shared" si="19"/>
        <v>0</v>
      </c>
    </row>
    <row r="396" spans="8:10">
      <c r="H396" s="13">
        <f t="shared" si="18"/>
        <v>0</v>
      </c>
      <c r="J396" s="13">
        <f t="shared" si="19"/>
        <v>0</v>
      </c>
    </row>
    <row r="397" spans="8:10">
      <c r="H397" s="13">
        <f t="shared" si="18"/>
        <v>0</v>
      </c>
      <c r="J397" s="13">
        <f t="shared" si="19"/>
        <v>0</v>
      </c>
    </row>
    <row r="398" spans="8:10">
      <c r="H398" s="13">
        <f t="shared" si="18"/>
        <v>0</v>
      </c>
      <c r="J398" s="13">
        <f t="shared" si="19"/>
        <v>0</v>
      </c>
    </row>
    <row r="399" spans="8:10">
      <c r="H399" s="13">
        <f t="shared" si="18"/>
        <v>0</v>
      </c>
      <c r="J399" s="13">
        <f t="shared" si="19"/>
        <v>0</v>
      </c>
    </row>
    <row r="400" spans="8:10">
      <c r="H400" s="13">
        <f t="shared" si="18"/>
        <v>0</v>
      </c>
      <c r="J400" s="13">
        <f t="shared" si="19"/>
        <v>0</v>
      </c>
    </row>
    <row r="401" spans="8:10">
      <c r="H401" s="13">
        <f t="shared" si="18"/>
        <v>0</v>
      </c>
      <c r="J401" s="13">
        <f t="shared" si="19"/>
        <v>0</v>
      </c>
    </row>
    <row r="402" spans="8:10">
      <c r="H402" s="13">
        <f t="shared" si="18"/>
        <v>0</v>
      </c>
      <c r="J402" s="13">
        <f t="shared" si="19"/>
        <v>0</v>
      </c>
    </row>
    <row r="403" spans="8:10">
      <c r="H403" s="13">
        <f t="shared" si="18"/>
        <v>0</v>
      </c>
      <c r="J403" s="13">
        <f t="shared" si="19"/>
        <v>0</v>
      </c>
    </row>
    <row r="404" spans="8:10">
      <c r="H404" s="13">
        <f t="shared" si="18"/>
        <v>0</v>
      </c>
      <c r="J404" s="13">
        <f t="shared" si="19"/>
        <v>0</v>
      </c>
    </row>
    <row r="405" spans="8:10">
      <c r="H405" s="13">
        <f t="shared" si="18"/>
        <v>0</v>
      </c>
      <c r="J405" s="13">
        <f t="shared" si="19"/>
        <v>0</v>
      </c>
    </row>
    <row r="406" spans="8:10">
      <c r="H406" s="13">
        <f t="shared" si="18"/>
        <v>0</v>
      </c>
      <c r="J406" s="13">
        <f t="shared" si="19"/>
        <v>0</v>
      </c>
    </row>
    <row r="407" spans="8:10">
      <c r="H407" s="13">
        <f t="shared" si="18"/>
        <v>0</v>
      </c>
      <c r="J407" s="13">
        <f t="shared" si="19"/>
        <v>0</v>
      </c>
    </row>
    <row r="408" spans="8:10">
      <c r="H408" s="13">
        <f t="shared" si="18"/>
        <v>0</v>
      </c>
      <c r="J408" s="13">
        <f t="shared" si="19"/>
        <v>0</v>
      </c>
    </row>
    <row r="409" spans="8:10">
      <c r="H409" s="13">
        <f t="shared" si="18"/>
        <v>0</v>
      </c>
      <c r="J409" s="13">
        <f t="shared" si="19"/>
        <v>0</v>
      </c>
    </row>
    <row r="410" spans="8:10">
      <c r="H410" s="13">
        <f t="shared" si="18"/>
        <v>0</v>
      </c>
      <c r="J410" s="13">
        <f t="shared" si="19"/>
        <v>0</v>
      </c>
    </row>
    <row r="411" spans="8:10">
      <c r="H411" s="13">
        <f t="shared" si="18"/>
        <v>0</v>
      </c>
      <c r="J411" s="13">
        <f t="shared" si="19"/>
        <v>0</v>
      </c>
    </row>
    <row r="412" spans="8:10">
      <c r="H412" s="13">
        <f t="shared" si="18"/>
        <v>0</v>
      </c>
      <c r="J412" s="13">
        <f t="shared" si="19"/>
        <v>0</v>
      </c>
    </row>
    <row r="413" spans="8:10">
      <c r="H413" s="13">
        <f t="shared" si="18"/>
        <v>0</v>
      </c>
      <c r="J413" s="13">
        <f t="shared" si="19"/>
        <v>0</v>
      </c>
    </row>
    <row r="414" spans="8:10">
      <c r="H414" s="13">
        <f t="shared" si="18"/>
        <v>0</v>
      </c>
      <c r="J414" s="13">
        <f t="shared" si="19"/>
        <v>0</v>
      </c>
    </row>
    <row r="415" spans="8:10">
      <c r="H415" s="13">
        <f t="shared" si="18"/>
        <v>0</v>
      </c>
      <c r="J415" s="13">
        <f t="shared" si="19"/>
        <v>0</v>
      </c>
    </row>
    <row r="416" spans="8:10">
      <c r="H416" s="13">
        <f t="shared" si="18"/>
        <v>0</v>
      </c>
      <c r="J416" s="13">
        <f t="shared" si="19"/>
        <v>0</v>
      </c>
    </row>
    <row r="417" spans="8:10">
      <c r="H417" s="13">
        <f t="shared" si="18"/>
        <v>0</v>
      </c>
      <c r="J417" s="13">
        <f t="shared" si="19"/>
        <v>0</v>
      </c>
    </row>
    <row r="418" spans="8:10">
      <c r="H418" s="13">
        <f t="shared" si="18"/>
        <v>0</v>
      </c>
      <c r="J418" s="13">
        <f t="shared" si="19"/>
        <v>0</v>
      </c>
    </row>
    <row r="419" spans="8:10">
      <c r="H419" s="13">
        <f t="shared" si="18"/>
        <v>0</v>
      </c>
      <c r="J419" s="13">
        <f t="shared" si="19"/>
        <v>0</v>
      </c>
    </row>
    <row r="420" spans="8:10">
      <c r="H420" s="13">
        <f t="shared" si="18"/>
        <v>0</v>
      </c>
      <c r="J420" s="13">
        <f t="shared" si="19"/>
        <v>0</v>
      </c>
    </row>
    <row r="421" spans="8:10">
      <c r="H421" s="13">
        <f t="shared" si="18"/>
        <v>0</v>
      </c>
      <c r="J421" s="13">
        <f t="shared" si="19"/>
        <v>0</v>
      </c>
    </row>
    <row r="422" spans="8:10">
      <c r="H422" s="13">
        <f t="shared" si="18"/>
        <v>0</v>
      </c>
      <c r="J422" s="13">
        <f t="shared" si="19"/>
        <v>0</v>
      </c>
    </row>
    <row r="423" spans="8:10">
      <c r="H423" s="13">
        <f t="shared" si="18"/>
        <v>0</v>
      </c>
      <c r="J423" s="13">
        <f t="shared" si="19"/>
        <v>0</v>
      </c>
    </row>
    <row r="424" spans="8:10">
      <c r="H424" s="13">
        <f t="shared" si="18"/>
        <v>0</v>
      </c>
      <c r="J424" s="13">
        <f t="shared" si="19"/>
        <v>0</v>
      </c>
    </row>
    <row r="425" spans="8:10">
      <c r="H425" s="13">
        <f t="shared" si="18"/>
        <v>0</v>
      </c>
      <c r="J425" s="13">
        <f t="shared" si="19"/>
        <v>0</v>
      </c>
    </row>
    <row r="426" spans="8:10">
      <c r="H426" s="13">
        <f t="shared" si="18"/>
        <v>0</v>
      </c>
      <c r="J426" s="13">
        <f t="shared" si="19"/>
        <v>0</v>
      </c>
    </row>
    <row r="427" spans="8:10">
      <c r="H427" s="13">
        <f t="shared" si="18"/>
        <v>0</v>
      </c>
      <c r="J427" s="13">
        <f t="shared" si="19"/>
        <v>0</v>
      </c>
    </row>
    <row r="428" spans="8:10">
      <c r="H428" s="13">
        <f t="shared" si="18"/>
        <v>0</v>
      </c>
      <c r="J428" s="13">
        <f t="shared" si="19"/>
        <v>0</v>
      </c>
    </row>
    <row r="429" spans="8:10">
      <c r="H429" s="13">
        <f t="shared" si="18"/>
        <v>0</v>
      </c>
      <c r="J429" s="13">
        <f t="shared" si="19"/>
        <v>0</v>
      </c>
    </row>
    <row r="430" spans="8:10">
      <c r="H430" s="13">
        <f t="shared" si="18"/>
        <v>0</v>
      </c>
      <c r="J430" s="13">
        <f t="shared" si="19"/>
        <v>0</v>
      </c>
    </row>
    <row r="431" spans="8:10">
      <c r="H431" s="13">
        <f t="shared" si="18"/>
        <v>0</v>
      </c>
      <c r="J431" s="13">
        <f t="shared" si="19"/>
        <v>0</v>
      </c>
    </row>
    <row r="432" spans="8:10">
      <c r="H432" s="13">
        <f t="shared" si="18"/>
        <v>0</v>
      </c>
      <c r="J432" s="13">
        <f t="shared" si="19"/>
        <v>0</v>
      </c>
    </row>
    <row r="433" spans="8:10">
      <c r="H433" s="13">
        <f t="shared" si="18"/>
        <v>0</v>
      </c>
      <c r="J433" s="13">
        <f t="shared" si="19"/>
        <v>0</v>
      </c>
    </row>
    <row r="434" spans="8:10">
      <c r="H434" s="13">
        <f t="shared" si="18"/>
        <v>0</v>
      </c>
      <c r="J434" s="13">
        <f t="shared" si="19"/>
        <v>0</v>
      </c>
    </row>
    <row r="435" spans="8:10">
      <c r="H435" s="13">
        <f t="shared" si="18"/>
        <v>0</v>
      </c>
      <c r="J435" s="13">
        <f t="shared" si="19"/>
        <v>0</v>
      </c>
    </row>
    <row r="436" spans="8:10">
      <c r="H436" s="13">
        <f t="shared" si="18"/>
        <v>0</v>
      </c>
      <c r="J436" s="13">
        <f t="shared" si="19"/>
        <v>0</v>
      </c>
    </row>
    <row r="437" spans="8:10">
      <c r="J437" s="13">
        <f t="shared" si="19"/>
        <v>0</v>
      </c>
    </row>
    <row r="438" spans="8:10">
      <c r="J438" s="13">
        <f t="shared" si="19"/>
        <v>0</v>
      </c>
    </row>
    <row r="439" spans="8:10">
      <c r="J439" s="13">
        <f t="shared" si="19"/>
        <v>0</v>
      </c>
    </row>
    <row r="440" spans="8:10">
      <c r="J440" s="13">
        <f t="shared" si="19"/>
        <v>0</v>
      </c>
    </row>
    <row r="441" spans="8:10">
      <c r="J441" s="13">
        <f t="shared" si="19"/>
        <v>0</v>
      </c>
    </row>
    <row r="442" spans="8:10">
      <c r="J442" s="13">
        <f t="shared" si="19"/>
        <v>0</v>
      </c>
    </row>
    <row r="443" spans="8:10">
      <c r="J443" s="13">
        <f t="shared" si="19"/>
        <v>0</v>
      </c>
    </row>
    <row r="444" spans="8:10">
      <c r="J444" s="13">
        <f t="shared" si="19"/>
        <v>0</v>
      </c>
    </row>
    <row r="445" spans="8:10">
      <c r="J445" s="13">
        <f t="shared" si="19"/>
        <v>0</v>
      </c>
    </row>
    <row r="446" spans="8:10">
      <c r="J446" s="13">
        <f t="shared" si="19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4724-167C-40AF-AB81-874D277C1F47}">
  <sheetPr codeName="Sheet5"/>
  <dimension ref="A1:AC1000"/>
  <sheetViews>
    <sheetView workbookViewId="0">
      <selection activeCell="AC15" sqref="AC15"/>
    </sheetView>
  </sheetViews>
  <sheetFormatPr defaultRowHeight="15"/>
  <cols>
    <col min="1" max="1" width="14.5703125" bestFit="1" customWidth="1"/>
    <col min="2" max="2" width="19.85546875" bestFit="1" customWidth="1"/>
    <col min="3" max="3" width="18.7109375" bestFit="1" customWidth="1"/>
    <col min="4" max="4" width="9.140625" bestFit="1" customWidth="1"/>
    <col min="5" max="5" width="15.140625" bestFit="1" customWidth="1"/>
    <col min="6" max="6" width="36.28515625" bestFit="1" customWidth="1"/>
    <col min="7" max="7" width="14.7109375" bestFit="1" customWidth="1"/>
    <col min="8" max="8" width="19.85546875" bestFit="1" customWidth="1"/>
    <col min="9" max="9" width="33.85546875" bestFit="1" customWidth="1"/>
    <col min="10" max="10" width="10.5703125" bestFit="1" customWidth="1"/>
    <col min="11" max="11" width="20.140625" bestFit="1" customWidth="1"/>
    <col min="12" max="12" width="22" bestFit="1" customWidth="1"/>
    <col min="13" max="13" width="23.42578125" bestFit="1" customWidth="1"/>
    <col min="14" max="14" width="13.5703125" bestFit="1" customWidth="1"/>
    <col min="15" max="15" width="19.85546875" bestFit="1" customWidth="1"/>
    <col min="16" max="16" width="30.28515625" bestFit="1" customWidth="1"/>
    <col min="17" max="17" width="35.42578125" bestFit="1" customWidth="1"/>
    <col min="18" max="18" width="41" bestFit="1" customWidth="1"/>
    <col min="19" max="19" width="46" bestFit="1" customWidth="1"/>
    <col min="20" max="20" width="23.85546875" bestFit="1" customWidth="1"/>
    <col min="21" max="21" width="38.42578125" bestFit="1" customWidth="1"/>
    <col min="22" max="22" width="12.7109375" bestFit="1" customWidth="1"/>
    <col min="23" max="23" width="17.28515625" bestFit="1" customWidth="1"/>
    <col min="24" max="24" width="24.7109375" bestFit="1" customWidth="1"/>
    <col min="25" max="25" width="34.5703125" bestFit="1" customWidth="1"/>
    <col min="26" max="26" width="99" bestFit="1" customWidth="1"/>
    <col min="27" max="27" width="15" bestFit="1" customWidth="1"/>
    <col min="28" max="28" width="64.5703125" bestFit="1" customWidth="1"/>
    <col min="29" max="29" width="17.7109375" bestFit="1" customWidth="1"/>
  </cols>
  <sheetData>
    <row r="1" spans="1:29">
      <c r="A1" t="str" cm="1">
        <f t="array" ref="A1:AB1000">Input!D1:AE1000</f>
        <v>Business name</v>
      </c>
      <c r="B1" t="str">
        <v>System manufacturer</v>
      </c>
      <c r="C1" t="str">
        <v>System chassis type</v>
      </c>
      <c r="D1" t="str">
        <v>Custom 1</v>
      </c>
      <c r="E1" t="str">
        <v>Device Identifier</v>
      </c>
      <c r="F1" t="str">
        <v>Erasure state</v>
      </c>
      <c r="G1" t="str">
        <v>System serial</v>
      </c>
      <c r="H1" t="str">
        <v>System version</v>
      </c>
      <c r="I1" t="str">
        <v>System model</v>
      </c>
      <c r="J1" t="str">
        <v>Battery test</v>
      </c>
      <c r="K1" t="str">
        <v>Display test comment</v>
      </c>
      <c r="L1" t="str">
        <v>Keyboard test comment</v>
      </c>
      <c r="M1" t="str">
        <v>Pointer Test Comment</v>
      </c>
      <c r="N1" t="str">
        <v>Speakers test</v>
      </c>
      <c r="O1" t="str">
        <v>USB port hardware test comment</v>
      </c>
      <c r="P1" t="str">
        <v>Webcam test comment</v>
      </c>
      <c r="Q1" t="str">
        <v>CPU model</v>
      </c>
      <c r="R1" t="str">
        <v>Memory capacity</v>
      </c>
      <c r="S1" t="str">
        <v>Memory type</v>
      </c>
      <c r="T1" t="str">
        <v>Disk capacity</v>
      </c>
      <c r="U1" t="str">
        <v>Disk interface type</v>
      </c>
      <c r="V1" t="str">
        <v>Disk serial</v>
      </c>
      <c r="W1" t="str">
        <v>Disk model</v>
      </c>
      <c r="X1" t="str">
        <v>Erasure start time</v>
      </c>
      <c r="Y1" t="str">
        <v>Battery capacity</v>
      </c>
      <c r="Z1" t="str">
        <v>Battery test comment</v>
      </c>
      <c r="AA1" t="str">
        <v>Erasure technician</v>
      </c>
      <c r="AB1" t="str">
        <v>UUID</v>
      </c>
      <c r="AC1" t="s">
        <v>56</v>
      </c>
    </row>
    <row r="2" spans="1:29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 t="str">
        <f>IF(ISNUMBER(SEARCH("Successful",F2)),
   "Successful",
   IF(F2="Failed","Failed",""))</f>
        <v/>
      </c>
    </row>
    <row r="3" spans="1:29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 t="str">
        <f t="shared" ref="AC3:AC66" si="0">IF(ISNUMBER(SEARCH("Successful",F3)),
   "Successful",
   IF(F3="Failed","Failed",""))</f>
        <v/>
      </c>
    </row>
    <row r="4" spans="1:29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 t="str">
        <f t="shared" si="0"/>
        <v/>
      </c>
    </row>
    <row r="5" spans="1:29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 t="str">
        <f t="shared" si="0"/>
        <v/>
      </c>
    </row>
    <row r="6" spans="1:29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 t="str">
        <f t="shared" si="0"/>
        <v/>
      </c>
    </row>
    <row r="7" spans="1:29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 t="str">
        <f t="shared" si="0"/>
        <v/>
      </c>
    </row>
    <row r="8" spans="1:29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 t="str">
        <f t="shared" si="0"/>
        <v/>
      </c>
    </row>
    <row r="9" spans="1:29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 t="str">
        <f t="shared" si="0"/>
        <v/>
      </c>
    </row>
    <row r="10" spans="1:29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 t="str">
        <f t="shared" si="0"/>
        <v/>
      </c>
    </row>
    <row r="11" spans="1:29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 t="str">
        <f t="shared" si="0"/>
        <v/>
      </c>
    </row>
    <row r="12" spans="1:29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 t="str">
        <f t="shared" si="0"/>
        <v/>
      </c>
    </row>
    <row r="13" spans="1:29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 t="str">
        <f t="shared" si="0"/>
        <v/>
      </c>
    </row>
    <row r="14" spans="1:29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 t="str">
        <f t="shared" si="0"/>
        <v/>
      </c>
    </row>
    <row r="15" spans="1:29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 t="str">
        <f t="shared" si="0"/>
        <v/>
      </c>
    </row>
    <row r="16" spans="1:29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 t="str">
        <f t="shared" si="0"/>
        <v/>
      </c>
    </row>
    <row r="17" spans="1:29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 t="str">
        <f t="shared" si="0"/>
        <v/>
      </c>
    </row>
    <row r="18" spans="1:29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 t="str">
        <f t="shared" si="0"/>
        <v/>
      </c>
    </row>
    <row r="19" spans="1:29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 t="str">
        <f t="shared" si="0"/>
        <v/>
      </c>
    </row>
    <row r="20" spans="1:29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 t="str">
        <f t="shared" si="0"/>
        <v/>
      </c>
    </row>
    <row r="21" spans="1:29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 t="str">
        <f t="shared" si="0"/>
        <v/>
      </c>
    </row>
    <row r="22" spans="1:29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 t="str">
        <f t="shared" si="0"/>
        <v/>
      </c>
    </row>
    <row r="23" spans="1:29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 t="str">
        <f t="shared" si="0"/>
        <v/>
      </c>
    </row>
    <row r="24" spans="1:29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 t="str">
        <f t="shared" si="0"/>
        <v/>
      </c>
    </row>
    <row r="25" spans="1:29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 t="str">
        <f t="shared" si="0"/>
        <v/>
      </c>
    </row>
    <row r="26" spans="1:29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 t="str">
        <f t="shared" si="0"/>
        <v/>
      </c>
    </row>
    <row r="27" spans="1:29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 t="str">
        <f t="shared" si="0"/>
        <v/>
      </c>
    </row>
    <row r="28" spans="1:29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 t="str">
        <f t="shared" si="0"/>
        <v/>
      </c>
    </row>
    <row r="29" spans="1:29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 t="str">
        <f t="shared" si="0"/>
        <v/>
      </c>
    </row>
    <row r="30" spans="1:29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 t="str">
        <f t="shared" si="0"/>
        <v/>
      </c>
    </row>
    <row r="31" spans="1:29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 t="str">
        <f t="shared" si="0"/>
        <v/>
      </c>
    </row>
    <row r="32" spans="1:29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 t="str">
        <f t="shared" si="0"/>
        <v/>
      </c>
    </row>
    <row r="33" spans="1:29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 t="str">
        <f t="shared" si="0"/>
        <v/>
      </c>
    </row>
    <row r="34" spans="1:29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 t="str">
        <f t="shared" si="0"/>
        <v/>
      </c>
    </row>
    <row r="35" spans="1:29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 t="str">
        <f t="shared" si="0"/>
        <v/>
      </c>
    </row>
    <row r="36" spans="1:29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 t="str">
        <f t="shared" si="0"/>
        <v/>
      </c>
    </row>
    <row r="37" spans="1:29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 t="str">
        <f t="shared" si="0"/>
        <v/>
      </c>
    </row>
    <row r="38" spans="1:29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 t="str">
        <f t="shared" si="0"/>
        <v/>
      </c>
    </row>
    <row r="39" spans="1:29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 t="str">
        <f t="shared" si="0"/>
        <v/>
      </c>
    </row>
    <row r="40" spans="1:29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 t="str">
        <f t="shared" si="0"/>
        <v/>
      </c>
    </row>
    <row r="41" spans="1:29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 t="str">
        <f t="shared" si="0"/>
        <v/>
      </c>
    </row>
    <row r="42" spans="1:29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 t="str">
        <f t="shared" si="0"/>
        <v/>
      </c>
    </row>
    <row r="43" spans="1:29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 t="str">
        <f t="shared" si="0"/>
        <v/>
      </c>
    </row>
    <row r="44" spans="1:29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 t="str">
        <f t="shared" si="0"/>
        <v/>
      </c>
    </row>
    <row r="45" spans="1:29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 t="str">
        <f t="shared" si="0"/>
        <v/>
      </c>
    </row>
    <row r="46" spans="1:29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 t="str">
        <f t="shared" si="0"/>
        <v/>
      </c>
    </row>
    <row r="47" spans="1:29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 t="str">
        <f t="shared" si="0"/>
        <v/>
      </c>
    </row>
    <row r="48" spans="1:29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 t="str">
        <f t="shared" si="0"/>
        <v/>
      </c>
    </row>
    <row r="49" spans="1:29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 t="str">
        <f t="shared" si="0"/>
        <v/>
      </c>
    </row>
    <row r="50" spans="1:29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 t="str">
        <f t="shared" si="0"/>
        <v/>
      </c>
    </row>
    <row r="51" spans="1:29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 t="str">
        <f t="shared" si="0"/>
        <v/>
      </c>
    </row>
    <row r="52" spans="1:29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 t="str">
        <f t="shared" si="0"/>
        <v/>
      </c>
    </row>
    <row r="53" spans="1:29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 t="str">
        <f t="shared" si="0"/>
        <v/>
      </c>
    </row>
    <row r="54" spans="1:29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 t="str">
        <f t="shared" si="0"/>
        <v/>
      </c>
    </row>
    <row r="55" spans="1:29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 t="str">
        <f t="shared" si="0"/>
        <v/>
      </c>
    </row>
    <row r="56" spans="1:29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 t="str">
        <f t="shared" si="0"/>
        <v/>
      </c>
    </row>
    <row r="57" spans="1:29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 t="str">
        <f t="shared" si="0"/>
        <v/>
      </c>
    </row>
    <row r="58" spans="1:29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 t="str">
        <f t="shared" si="0"/>
        <v/>
      </c>
    </row>
    <row r="59" spans="1:29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 t="str">
        <f t="shared" si="0"/>
        <v/>
      </c>
    </row>
    <row r="60" spans="1:29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 t="str">
        <f t="shared" si="0"/>
        <v/>
      </c>
    </row>
    <row r="61" spans="1:29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 t="str">
        <f t="shared" si="0"/>
        <v/>
      </c>
    </row>
    <row r="62" spans="1:29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 t="str">
        <f t="shared" si="0"/>
        <v/>
      </c>
    </row>
    <row r="63" spans="1:29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 t="str">
        <f t="shared" si="0"/>
        <v/>
      </c>
    </row>
    <row r="64" spans="1:29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 t="str">
        <f t="shared" si="0"/>
        <v/>
      </c>
    </row>
    <row r="65" spans="1:29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 t="str">
        <f t="shared" si="0"/>
        <v/>
      </c>
    </row>
    <row r="66" spans="1:29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 t="str">
        <f t="shared" si="0"/>
        <v/>
      </c>
    </row>
    <row r="67" spans="1:29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 t="str">
        <f t="shared" ref="AC67:AC99" si="1">IF(ISNUMBER(SEARCH("Successful",F67)),
   "Successful",
   IF(F67="Failed","Failed",""))</f>
        <v/>
      </c>
    </row>
    <row r="68" spans="1:29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 t="str">
        <f t="shared" si="1"/>
        <v/>
      </c>
    </row>
    <row r="69" spans="1:29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 t="str">
        <f t="shared" si="1"/>
        <v/>
      </c>
    </row>
    <row r="70" spans="1:29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 t="str">
        <f t="shared" si="1"/>
        <v/>
      </c>
    </row>
    <row r="71" spans="1:29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 t="str">
        <f t="shared" si="1"/>
        <v/>
      </c>
    </row>
    <row r="72" spans="1:29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 t="str">
        <f t="shared" si="1"/>
        <v/>
      </c>
    </row>
    <row r="73" spans="1:29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 t="str">
        <f t="shared" si="1"/>
        <v/>
      </c>
    </row>
    <row r="74" spans="1:29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 t="str">
        <f t="shared" si="1"/>
        <v/>
      </c>
    </row>
    <row r="75" spans="1:29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 t="str">
        <f t="shared" si="1"/>
        <v/>
      </c>
    </row>
    <row r="76" spans="1:29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 t="str">
        <f t="shared" si="1"/>
        <v/>
      </c>
    </row>
    <row r="77" spans="1:29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 t="str">
        <f t="shared" si="1"/>
        <v/>
      </c>
    </row>
    <row r="78" spans="1:29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 t="str">
        <f t="shared" si="1"/>
        <v/>
      </c>
    </row>
    <row r="79" spans="1:29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 t="str">
        <f t="shared" si="1"/>
        <v/>
      </c>
    </row>
    <row r="80" spans="1:29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 t="str">
        <f t="shared" si="1"/>
        <v/>
      </c>
    </row>
    <row r="81" spans="1:29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 t="str">
        <f t="shared" si="1"/>
        <v/>
      </c>
    </row>
    <row r="82" spans="1:29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 t="str">
        <f t="shared" si="1"/>
        <v/>
      </c>
    </row>
    <row r="83" spans="1:29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 t="str">
        <f t="shared" si="1"/>
        <v/>
      </c>
    </row>
    <row r="84" spans="1:29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 t="str">
        <f t="shared" si="1"/>
        <v/>
      </c>
    </row>
    <row r="85" spans="1:29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 t="str">
        <f t="shared" si="1"/>
        <v/>
      </c>
    </row>
    <row r="86" spans="1:29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 t="str">
        <f t="shared" si="1"/>
        <v/>
      </c>
    </row>
    <row r="87" spans="1:29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 t="str">
        <f t="shared" si="1"/>
        <v/>
      </c>
    </row>
    <row r="88" spans="1:29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 t="str">
        <f t="shared" si="1"/>
        <v/>
      </c>
    </row>
    <row r="89" spans="1:29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 t="str">
        <f t="shared" si="1"/>
        <v/>
      </c>
    </row>
    <row r="90" spans="1:29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 t="str">
        <f t="shared" si="1"/>
        <v/>
      </c>
    </row>
    <row r="91" spans="1:29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 t="str">
        <f t="shared" si="1"/>
        <v/>
      </c>
    </row>
    <row r="92" spans="1:29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 t="str">
        <f t="shared" si="1"/>
        <v/>
      </c>
    </row>
    <row r="93" spans="1:29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 t="str">
        <f t="shared" si="1"/>
        <v/>
      </c>
    </row>
    <row r="94" spans="1:29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 t="str">
        <f t="shared" si="1"/>
        <v/>
      </c>
    </row>
    <row r="95" spans="1:29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 t="str">
        <f t="shared" si="1"/>
        <v/>
      </c>
    </row>
    <row r="96" spans="1:29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 t="str">
        <f t="shared" si="1"/>
        <v/>
      </c>
    </row>
    <row r="97" spans="1:29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 t="str">
        <f t="shared" si="1"/>
        <v/>
      </c>
    </row>
    <row r="98" spans="1:29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 t="str">
        <f t="shared" si="1"/>
        <v/>
      </c>
    </row>
    <row r="99" spans="1:29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 t="str">
        <f t="shared" si="1"/>
        <v/>
      </c>
    </row>
    <row r="100" spans="1:29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</row>
    <row r="101" spans="1:29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</row>
    <row r="102" spans="1:29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</row>
    <row r="103" spans="1:29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</row>
    <row r="104" spans="1:29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</row>
    <row r="105" spans="1:29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</row>
    <row r="106" spans="1:29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</row>
    <row r="107" spans="1:29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</row>
    <row r="108" spans="1:29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</row>
    <row r="109" spans="1:29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</row>
    <row r="110" spans="1:29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</row>
    <row r="111" spans="1:29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</row>
    <row r="112" spans="1:29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</row>
    <row r="113" spans="1:28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</row>
    <row r="114" spans="1:28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</row>
    <row r="115" spans="1:28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</row>
    <row r="116" spans="1:28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</row>
    <row r="117" spans="1:28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</row>
    <row r="118" spans="1:28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</row>
    <row r="119" spans="1:28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</row>
    <row r="120" spans="1:28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</row>
    <row r="121" spans="1:28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</row>
    <row r="122" spans="1:28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</row>
    <row r="123" spans="1:28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</row>
    <row r="124" spans="1:28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</row>
    <row r="125" spans="1:28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</row>
    <row r="126" spans="1:28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</row>
    <row r="127" spans="1:28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</row>
    <row r="128" spans="1:28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</row>
    <row r="129" spans="1:28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</row>
    <row r="130" spans="1:28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</row>
    <row r="131" spans="1:28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</row>
    <row r="132" spans="1:28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</row>
    <row r="133" spans="1:28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</row>
    <row r="134" spans="1:28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</row>
    <row r="135" spans="1:28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</row>
    <row r="136" spans="1:28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</row>
    <row r="137" spans="1:28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</row>
    <row r="138" spans="1:28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</row>
    <row r="139" spans="1:28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</row>
    <row r="140" spans="1:28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</row>
    <row r="141" spans="1:28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</row>
    <row r="142" spans="1:28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</row>
    <row r="143" spans="1:28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</row>
    <row r="144" spans="1:28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</row>
    <row r="145" spans="1:28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</row>
    <row r="146" spans="1:28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</row>
    <row r="147" spans="1:28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</row>
    <row r="148" spans="1:28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</row>
    <row r="149" spans="1:28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</row>
    <row r="150" spans="1:28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</row>
    <row r="151" spans="1:28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</row>
    <row r="152" spans="1:28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</row>
    <row r="153" spans="1:28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</row>
    <row r="154" spans="1:28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</row>
    <row r="155" spans="1:28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</row>
    <row r="156" spans="1:28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</row>
    <row r="157" spans="1:28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</row>
    <row r="158" spans="1:28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</row>
    <row r="159" spans="1:28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</row>
    <row r="160" spans="1:28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</row>
    <row r="161" spans="1:28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</row>
    <row r="162" spans="1:28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</row>
    <row r="163" spans="1:28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</row>
    <row r="164" spans="1:28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</row>
    <row r="165" spans="1:28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</row>
    <row r="166" spans="1:28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</row>
    <row r="167" spans="1:28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</row>
    <row r="168" spans="1:28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</row>
    <row r="169" spans="1:28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</row>
    <row r="170" spans="1:28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</row>
    <row r="171" spans="1:28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</row>
    <row r="172" spans="1:28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</row>
    <row r="173" spans="1:28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</row>
    <row r="174" spans="1:28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</row>
    <row r="175" spans="1:28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</row>
    <row r="176" spans="1:28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</row>
    <row r="177" spans="1:28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</row>
    <row r="178" spans="1:28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</row>
    <row r="179" spans="1:28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</row>
    <row r="180" spans="1:28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</row>
    <row r="181" spans="1:28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</row>
    <row r="182" spans="1:28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</row>
    <row r="183" spans="1:28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</row>
    <row r="184" spans="1:28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</row>
    <row r="185" spans="1:28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</row>
    <row r="186" spans="1:28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</row>
    <row r="187" spans="1:28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</row>
    <row r="188" spans="1:28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</row>
    <row r="189" spans="1:28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</row>
    <row r="190" spans="1:28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</row>
    <row r="191" spans="1:28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</row>
    <row r="192" spans="1:28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</row>
    <row r="193" spans="1:28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</row>
    <row r="194" spans="1:28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</row>
    <row r="195" spans="1:28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</row>
    <row r="196" spans="1:28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</row>
    <row r="197" spans="1:28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</row>
    <row r="198" spans="1:28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</row>
    <row r="199" spans="1:28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</row>
    <row r="200" spans="1:28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</row>
    <row r="201" spans="1:28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</row>
    <row r="202" spans="1:28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</row>
    <row r="203" spans="1:28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</row>
    <row r="204" spans="1:28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</row>
    <row r="205" spans="1:28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</row>
    <row r="206" spans="1:28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</row>
    <row r="207" spans="1:28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</row>
    <row r="208" spans="1:28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</row>
    <row r="209" spans="1:28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</row>
    <row r="210" spans="1:28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</row>
    <row r="211" spans="1:28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</row>
    <row r="212" spans="1:28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</row>
    <row r="213" spans="1:28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</row>
    <row r="214" spans="1:28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</row>
    <row r="215" spans="1:28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</row>
    <row r="216" spans="1:28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</row>
    <row r="217" spans="1:28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</row>
    <row r="218" spans="1:28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</row>
    <row r="219" spans="1:28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</row>
    <row r="220" spans="1:28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</row>
    <row r="221" spans="1:28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</row>
    <row r="222" spans="1:28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</row>
    <row r="223" spans="1:28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</row>
    <row r="224" spans="1:28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</row>
    <row r="225" spans="1:28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</row>
    <row r="226" spans="1:28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</row>
    <row r="227" spans="1:28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</row>
    <row r="228" spans="1:28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</row>
    <row r="229" spans="1:28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</row>
    <row r="230" spans="1:28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</row>
    <row r="231" spans="1:28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</row>
    <row r="232" spans="1:28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</row>
    <row r="233" spans="1:28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</row>
    <row r="234" spans="1:28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</row>
    <row r="235" spans="1:28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</row>
    <row r="236" spans="1:28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</row>
    <row r="237" spans="1:28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</row>
    <row r="238" spans="1:28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</row>
    <row r="239" spans="1:28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</row>
    <row r="240" spans="1:28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</row>
    <row r="241" spans="1:28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</row>
    <row r="242" spans="1:28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</row>
    <row r="243" spans="1:28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</row>
    <row r="244" spans="1:28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</row>
    <row r="245" spans="1:28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</row>
    <row r="246" spans="1:28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</row>
    <row r="247" spans="1:28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</row>
    <row r="248" spans="1:28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</row>
    <row r="249" spans="1:28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</row>
    <row r="250" spans="1:28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</row>
    <row r="251" spans="1:28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</row>
    <row r="252" spans="1:28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</row>
    <row r="253" spans="1:28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</row>
    <row r="254" spans="1:28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</row>
    <row r="255" spans="1:28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</row>
    <row r="256" spans="1:28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</row>
    <row r="257" spans="1:28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</row>
    <row r="258" spans="1:28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</row>
    <row r="259" spans="1:28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</row>
    <row r="260" spans="1:28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</row>
    <row r="261" spans="1:28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</row>
    <row r="262" spans="1:28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</row>
    <row r="263" spans="1:28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</row>
    <row r="264" spans="1:28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</row>
    <row r="265" spans="1:28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</row>
    <row r="266" spans="1:28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</row>
    <row r="267" spans="1:28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</row>
    <row r="268" spans="1:28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</row>
    <row r="269" spans="1:28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</row>
    <row r="270" spans="1:28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</row>
    <row r="271" spans="1:28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</row>
    <row r="272" spans="1:28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</row>
    <row r="273" spans="1:28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</row>
    <row r="274" spans="1:28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</row>
    <row r="275" spans="1:28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</row>
    <row r="276" spans="1:28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</row>
    <row r="277" spans="1:28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</row>
    <row r="278" spans="1:28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</row>
    <row r="279" spans="1:28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</row>
    <row r="280" spans="1:28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</row>
    <row r="281" spans="1:28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</row>
    <row r="282" spans="1:28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</row>
    <row r="283" spans="1:28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</row>
    <row r="284" spans="1:28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</row>
    <row r="285" spans="1:28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</row>
    <row r="286" spans="1:28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</row>
    <row r="287" spans="1:28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</row>
    <row r="288" spans="1:28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</row>
    <row r="289" spans="1:28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</row>
    <row r="290" spans="1:28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</row>
    <row r="291" spans="1:28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</row>
    <row r="292" spans="1:28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</row>
    <row r="293" spans="1:28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</row>
    <row r="294" spans="1:28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</row>
    <row r="295" spans="1:28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</row>
    <row r="296" spans="1:28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</row>
    <row r="297" spans="1:28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</row>
    <row r="298" spans="1:28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</row>
    <row r="299" spans="1:28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</row>
    <row r="300" spans="1:28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</row>
    <row r="301" spans="1:28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</row>
    <row r="302" spans="1:28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</row>
    <row r="303" spans="1:28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</row>
    <row r="304" spans="1:28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</row>
    <row r="305" spans="1:28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</row>
    <row r="306" spans="1:28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</row>
    <row r="307" spans="1:28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</row>
    <row r="308" spans="1:28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</row>
    <row r="309" spans="1:28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</row>
    <row r="310" spans="1:28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</row>
    <row r="311" spans="1:28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</row>
    <row r="312" spans="1:28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</row>
    <row r="313" spans="1:28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</row>
    <row r="314" spans="1:28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</row>
    <row r="315" spans="1:28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</row>
    <row r="316" spans="1:28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</row>
    <row r="317" spans="1:28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</row>
    <row r="318" spans="1:28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</row>
    <row r="319" spans="1:28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</row>
    <row r="320" spans="1:28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</row>
    <row r="321" spans="1:28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</row>
    <row r="322" spans="1:28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</row>
    <row r="323" spans="1:28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</row>
    <row r="324" spans="1:28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</row>
    <row r="325" spans="1:28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</row>
    <row r="326" spans="1:28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</row>
    <row r="327" spans="1:28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</row>
    <row r="328" spans="1:28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</row>
    <row r="329" spans="1:28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</row>
    <row r="330" spans="1:28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</row>
    <row r="331" spans="1:28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</row>
    <row r="332" spans="1:28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</row>
    <row r="333" spans="1:28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</row>
    <row r="334" spans="1:28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</row>
    <row r="335" spans="1:28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</row>
    <row r="336" spans="1:28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</row>
    <row r="337" spans="1:28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</row>
    <row r="338" spans="1:28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</row>
    <row r="339" spans="1:28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</row>
    <row r="340" spans="1:28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</row>
    <row r="341" spans="1:28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</row>
    <row r="342" spans="1:28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</row>
    <row r="343" spans="1:28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</row>
    <row r="344" spans="1:28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</row>
    <row r="345" spans="1:28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</row>
    <row r="346" spans="1:28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</row>
    <row r="347" spans="1:28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</row>
    <row r="348" spans="1:28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</row>
    <row r="349" spans="1:28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</row>
    <row r="350" spans="1:28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</row>
    <row r="351" spans="1:28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</row>
    <row r="352" spans="1:28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</row>
    <row r="353" spans="1:28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</row>
    <row r="354" spans="1:28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</row>
    <row r="355" spans="1:28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</row>
    <row r="356" spans="1:28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</row>
    <row r="357" spans="1:28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</row>
    <row r="358" spans="1:28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</row>
    <row r="359" spans="1:28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</row>
    <row r="360" spans="1:28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</row>
    <row r="361" spans="1:28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</row>
    <row r="362" spans="1:28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</row>
    <row r="363" spans="1:28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</row>
    <row r="364" spans="1:28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</row>
    <row r="365" spans="1:28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</row>
    <row r="366" spans="1:28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</row>
    <row r="367" spans="1:28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</row>
    <row r="368" spans="1:28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</row>
    <row r="369" spans="1:28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</row>
    <row r="370" spans="1:28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</row>
    <row r="371" spans="1:28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</row>
    <row r="372" spans="1:28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</row>
    <row r="373" spans="1:28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</row>
    <row r="374" spans="1:28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</row>
    <row r="375" spans="1:28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</row>
    <row r="376" spans="1:28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</row>
    <row r="377" spans="1:28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</row>
    <row r="378" spans="1:28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</row>
    <row r="379" spans="1:28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</row>
    <row r="380" spans="1:28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</row>
    <row r="381" spans="1:28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</row>
    <row r="382" spans="1:28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</row>
    <row r="383" spans="1:28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</row>
    <row r="384" spans="1:28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</row>
    <row r="385" spans="1:28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</row>
    <row r="386" spans="1:28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</row>
    <row r="387" spans="1:28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</row>
    <row r="388" spans="1:28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</row>
    <row r="389" spans="1:28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</row>
    <row r="390" spans="1:28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</row>
    <row r="391" spans="1:28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</row>
    <row r="392" spans="1:28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</row>
    <row r="393" spans="1:28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</row>
    <row r="394" spans="1:28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</row>
    <row r="395" spans="1:28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</row>
    <row r="396" spans="1:28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</row>
    <row r="397" spans="1:28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</row>
    <row r="398" spans="1:28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</row>
    <row r="399" spans="1:28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</row>
    <row r="400" spans="1:28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</row>
    <row r="401" spans="1:28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</row>
    <row r="402" spans="1:28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</row>
    <row r="403" spans="1:28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</row>
    <row r="404" spans="1:28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</row>
    <row r="405" spans="1:28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</row>
    <row r="406" spans="1:28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</row>
    <row r="407" spans="1:28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</row>
    <row r="408" spans="1:28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</row>
    <row r="409" spans="1:28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</row>
    <row r="410" spans="1:28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</row>
    <row r="411" spans="1:28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</row>
    <row r="412" spans="1:28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</row>
    <row r="413" spans="1:28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</row>
    <row r="414" spans="1:28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</row>
    <row r="415" spans="1:28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</row>
    <row r="416" spans="1:28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</row>
    <row r="417" spans="1:28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</row>
    <row r="418" spans="1:28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</row>
    <row r="419" spans="1:28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</row>
    <row r="420" spans="1:28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</row>
    <row r="421" spans="1:28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</row>
    <row r="422" spans="1:28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</row>
    <row r="423" spans="1:28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</row>
    <row r="424" spans="1:28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</row>
    <row r="425" spans="1:28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</row>
    <row r="426" spans="1:28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</row>
    <row r="427" spans="1:28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</row>
    <row r="428" spans="1:28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</row>
    <row r="429" spans="1:28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</row>
    <row r="430" spans="1:28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</row>
    <row r="431" spans="1:28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</row>
    <row r="432" spans="1:28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</row>
    <row r="433" spans="1:28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</row>
    <row r="434" spans="1:28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</row>
    <row r="435" spans="1:28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</row>
    <row r="436" spans="1:28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</row>
    <row r="437" spans="1:28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</row>
    <row r="438" spans="1:28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</row>
    <row r="439" spans="1:28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</row>
    <row r="440" spans="1:28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</row>
    <row r="441" spans="1:28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</row>
    <row r="442" spans="1:28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</row>
    <row r="443" spans="1:28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</row>
    <row r="444" spans="1:28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</row>
    <row r="445" spans="1:28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</row>
    <row r="446" spans="1:28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</row>
    <row r="447" spans="1:28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</row>
    <row r="448" spans="1:28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</row>
    <row r="449" spans="1:28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</row>
    <row r="450" spans="1:28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</row>
    <row r="451" spans="1:28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</row>
    <row r="452" spans="1:28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</row>
    <row r="453" spans="1:28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</row>
    <row r="454" spans="1:28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</row>
    <row r="455" spans="1:28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</row>
    <row r="456" spans="1:28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</row>
    <row r="457" spans="1:28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</row>
    <row r="458" spans="1:28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</row>
    <row r="459" spans="1:28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</row>
    <row r="460" spans="1:28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</row>
    <row r="461" spans="1:28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</row>
    <row r="462" spans="1:28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</row>
    <row r="463" spans="1:28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</row>
    <row r="464" spans="1:28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</row>
    <row r="465" spans="1:28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</row>
    <row r="466" spans="1:28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</row>
    <row r="467" spans="1:28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</row>
    <row r="468" spans="1:28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</row>
    <row r="469" spans="1:28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</row>
    <row r="470" spans="1:28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</row>
    <row r="471" spans="1:28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</row>
    <row r="472" spans="1:28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</row>
    <row r="473" spans="1:28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</row>
    <row r="474" spans="1:28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</row>
    <row r="475" spans="1:28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</row>
    <row r="476" spans="1:28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</row>
    <row r="477" spans="1:28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</row>
    <row r="478" spans="1:28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</row>
    <row r="479" spans="1:28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</row>
    <row r="480" spans="1:28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</row>
    <row r="481" spans="1:28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</row>
    <row r="482" spans="1:28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</row>
    <row r="483" spans="1:28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</row>
    <row r="484" spans="1:28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</row>
    <row r="485" spans="1:28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</row>
    <row r="486" spans="1:28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</row>
    <row r="487" spans="1:28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</row>
    <row r="488" spans="1:28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</row>
    <row r="489" spans="1:28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</row>
    <row r="490" spans="1:28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</row>
    <row r="491" spans="1:28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</row>
    <row r="492" spans="1:28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</row>
    <row r="493" spans="1:28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</row>
    <row r="494" spans="1:28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</row>
    <row r="495" spans="1:28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</row>
    <row r="496" spans="1:28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</row>
    <row r="497" spans="1:28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</row>
    <row r="498" spans="1:28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</row>
    <row r="499" spans="1:28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</row>
    <row r="500" spans="1:28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</row>
    <row r="501" spans="1:28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</row>
    <row r="502" spans="1:28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</row>
    <row r="503" spans="1:28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</row>
    <row r="504" spans="1:28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</row>
    <row r="505" spans="1:28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</row>
    <row r="506" spans="1:28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</row>
    <row r="507" spans="1:28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</row>
    <row r="508" spans="1:28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</row>
    <row r="509" spans="1:28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</row>
    <row r="510" spans="1:28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</row>
    <row r="511" spans="1:28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</row>
    <row r="512" spans="1:28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</row>
    <row r="513" spans="1:28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</row>
    <row r="514" spans="1:28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</row>
    <row r="515" spans="1:28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</row>
    <row r="516" spans="1:28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</row>
    <row r="517" spans="1:28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</row>
    <row r="518" spans="1:28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</row>
    <row r="519" spans="1:28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</row>
    <row r="520" spans="1:28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</row>
    <row r="521" spans="1:28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</row>
    <row r="522" spans="1:28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</row>
    <row r="523" spans="1:28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</row>
    <row r="524" spans="1:28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</row>
    <row r="525" spans="1:28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</row>
    <row r="526" spans="1:28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</row>
    <row r="527" spans="1:28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</row>
    <row r="528" spans="1:28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</row>
    <row r="529" spans="1:28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</row>
    <row r="530" spans="1:28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</row>
    <row r="531" spans="1:28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</row>
    <row r="532" spans="1:28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</row>
    <row r="533" spans="1:28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</row>
    <row r="534" spans="1:28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</row>
    <row r="535" spans="1:28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</row>
    <row r="536" spans="1:28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</row>
    <row r="537" spans="1:28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</row>
    <row r="538" spans="1:28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</row>
    <row r="539" spans="1:28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</row>
    <row r="540" spans="1:28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</row>
    <row r="541" spans="1:28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</row>
    <row r="542" spans="1:28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</row>
    <row r="543" spans="1:28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</row>
    <row r="544" spans="1:28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</row>
    <row r="545" spans="1:28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</row>
    <row r="546" spans="1:28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</row>
    <row r="547" spans="1:28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</row>
    <row r="548" spans="1:28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</row>
    <row r="549" spans="1:28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</row>
    <row r="550" spans="1:28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</row>
    <row r="551" spans="1:28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</row>
    <row r="552" spans="1:28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</row>
    <row r="553" spans="1:28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</row>
    <row r="554" spans="1:28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</row>
    <row r="555" spans="1:28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</row>
    <row r="556" spans="1:28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</row>
    <row r="557" spans="1:28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</row>
    <row r="558" spans="1:28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</row>
    <row r="559" spans="1:28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</row>
    <row r="560" spans="1:28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</row>
    <row r="561" spans="1:28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</row>
    <row r="562" spans="1:28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</row>
    <row r="563" spans="1:28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</row>
    <row r="564" spans="1:28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</row>
    <row r="565" spans="1:28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</row>
    <row r="566" spans="1:28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</row>
    <row r="567" spans="1:28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</row>
    <row r="568" spans="1:28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</row>
    <row r="569" spans="1:28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</row>
    <row r="570" spans="1:28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</row>
    <row r="571" spans="1:28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</row>
    <row r="572" spans="1:28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</row>
    <row r="573" spans="1:28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</row>
    <row r="574" spans="1:28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</row>
    <row r="575" spans="1:28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</row>
    <row r="576" spans="1:28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</row>
    <row r="577" spans="1:28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</row>
    <row r="578" spans="1:28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</row>
    <row r="579" spans="1:28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</row>
    <row r="580" spans="1:28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</row>
    <row r="581" spans="1:28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</row>
    <row r="582" spans="1:28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</row>
    <row r="583" spans="1:28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</row>
    <row r="584" spans="1:28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</row>
    <row r="585" spans="1:28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</row>
    <row r="586" spans="1:28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</row>
    <row r="587" spans="1:28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</row>
    <row r="588" spans="1:28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</row>
    <row r="589" spans="1:28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</row>
    <row r="590" spans="1:28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</row>
    <row r="591" spans="1:28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</row>
    <row r="592" spans="1:28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</row>
    <row r="593" spans="1:28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</row>
    <row r="594" spans="1:28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</row>
    <row r="595" spans="1:28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</row>
    <row r="596" spans="1:28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</row>
    <row r="597" spans="1:28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</row>
    <row r="598" spans="1:28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</row>
    <row r="599" spans="1:28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</row>
    <row r="600" spans="1:28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</row>
    <row r="601" spans="1:28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</row>
    <row r="602" spans="1:28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</row>
    <row r="603" spans="1:28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</row>
    <row r="604" spans="1:28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</row>
    <row r="605" spans="1:28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</row>
    <row r="606" spans="1:28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</row>
    <row r="607" spans="1:28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</row>
    <row r="608" spans="1:28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</row>
    <row r="609" spans="1:28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</row>
    <row r="610" spans="1:28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</row>
    <row r="611" spans="1:28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</row>
    <row r="612" spans="1:28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</row>
    <row r="613" spans="1:28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</row>
    <row r="614" spans="1:28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</row>
    <row r="615" spans="1:28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</row>
    <row r="616" spans="1:28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</row>
    <row r="617" spans="1:28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</row>
    <row r="618" spans="1:28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</row>
    <row r="619" spans="1:28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</row>
    <row r="620" spans="1:28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</row>
    <row r="621" spans="1:28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</row>
    <row r="622" spans="1:28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</row>
    <row r="623" spans="1:28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</row>
    <row r="624" spans="1:28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</row>
    <row r="625" spans="1:28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</row>
    <row r="626" spans="1:28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</row>
    <row r="627" spans="1:28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</row>
    <row r="628" spans="1:28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</row>
    <row r="629" spans="1:28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</row>
    <row r="630" spans="1:28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</row>
    <row r="631" spans="1:28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</row>
    <row r="632" spans="1:28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</row>
    <row r="633" spans="1:28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</row>
    <row r="634" spans="1:28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</row>
    <row r="635" spans="1:28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</row>
    <row r="636" spans="1:28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</row>
    <row r="637" spans="1:28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</row>
    <row r="638" spans="1:28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</row>
    <row r="639" spans="1:28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</row>
    <row r="640" spans="1:28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</row>
    <row r="641" spans="1:28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</row>
    <row r="642" spans="1:28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</row>
    <row r="643" spans="1:28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</row>
    <row r="644" spans="1:28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</row>
    <row r="645" spans="1:28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</row>
    <row r="646" spans="1:28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</row>
    <row r="647" spans="1:28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</row>
    <row r="648" spans="1:28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</row>
    <row r="649" spans="1:28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</row>
    <row r="650" spans="1:28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</row>
    <row r="651" spans="1:28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</row>
    <row r="652" spans="1:28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</row>
    <row r="653" spans="1:28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</row>
    <row r="654" spans="1:28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</row>
    <row r="655" spans="1:28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</row>
    <row r="656" spans="1:28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</row>
    <row r="657" spans="1:28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</row>
    <row r="658" spans="1:28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</row>
    <row r="659" spans="1:28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</row>
    <row r="660" spans="1:28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</row>
    <row r="661" spans="1:28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</row>
    <row r="662" spans="1:28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</row>
    <row r="663" spans="1:28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</row>
    <row r="664" spans="1:28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</row>
    <row r="665" spans="1:28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</row>
    <row r="666" spans="1:28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</row>
    <row r="667" spans="1:28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</row>
    <row r="668" spans="1:28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</row>
    <row r="669" spans="1:28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</row>
    <row r="670" spans="1:28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</row>
    <row r="671" spans="1:28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</row>
    <row r="672" spans="1:28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</row>
    <row r="673" spans="1:28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</row>
    <row r="674" spans="1:28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</row>
    <row r="675" spans="1:28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</row>
    <row r="676" spans="1:28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</row>
    <row r="677" spans="1:28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</row>
    <row r="678" spans="1:28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</row>
    <row r="679" spans="1:28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</row>
    <row r="680" spans="1:28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</row>
    <row r="681" spans="1:28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</row>
    <row r="682" spans="1:28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</row>
    <row r="683" spans="1:28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</row>
    <row r="684" spans="1:28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</row>
    <row r="685" spans="1:28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</row>
    <row r="686" spans="1:28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</row>
    <row r="687" spans="1:28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</row>
    <row r="688" spans="1:28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</row>
    <row r="689" spans="1:28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</row>
    <row r="690" spans="1:28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</row>
    <row r="691" spans="1:28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</row>
    <row r="692" spans="1:28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</row>
    <row r="693" spans="1:28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</row>
    <row r="694" spans="1:28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</row>
    <row r="695" spans="1:28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</row>
    <row r="696" spans="1:28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</row>
    <row r="697" spans="1:28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</row>
    <row r="698" spans="1:28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</row>
    <row r="699" spans="1:28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</row>
    <row r="700" spans="1:28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</row>
    <row r="701" spans="1:28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</row>
    <row r="702" spans="1:28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</row>
    <row r="703" spans="1:28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</row>
    <row r="704" spans="1:28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</row>
    <row r="705" spans="1:28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</row>
    <row r="706" spans="1:28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</row>
    <row r="707" spans="1:28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</row>
    <row r="708" spans="1:28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</row>
    <row r="709" spans="1:28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</row>
    <row r="710" spans="1:28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</row>
    <row r="711" spans="1:28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</row>
    <row r="712" spans="1:28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</row>
    <row r="713" spans="1:28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</row>
    <row r="714" spans="1:28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</row>
    <row r="715" spans="1:28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</row>
    <row r="716" spans="1:28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</row>
    <row r="717" spans="1:28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</row>
    <row r="718" spans="1:28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</row>
    <row r="719" spans="1:28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</row>
    <row r="720" spans="1:28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</row>
    <row r="721" spans="1:28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</row>
    <row r="722" spans="1:28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</row>
    <row r="723" spans="1:28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</row>
    <row r="724" spans="1:28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</row>
    <row r="725" spans="1:28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</row>
    <row r="726" spans="1:28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</row>
    <row r="727" spans="1:28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</row>
    <row r="728" spans="1:28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</row>
    <row r="729" spans="1:28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</row>
    <row r="730" spans="1:28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</row>
    <row r="731" spans="1:28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</row>
    <row r="732" spans="1:28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</row>
    <row r="733" spans="1:28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</row>
    <row r="734" spans="1:28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</row>
    <row r="735" spans="1:28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</row>
    <row r="736" spans="1:28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</row>
    <row r="737" spans="1:28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</row>
    <row r="738" spans="1:28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</row>
    <row r="739" spans="1:28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</row>
    <row r="740" spans="1:28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</row>
    <row r="741" spans="1:28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</row>
    <row r="742" spans="1:28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</row>
    <row r="743" spans="1:28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</row>
    <row r="744" spans="1:28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</row>
    <row r="745" spans="1:28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</row>
    <row r="746" spans="1:28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</row>
    <row r="747" spans="1:28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</row>
    <row r="748" spans="1:28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</row>
    <row r="749" spans="1:28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</row>
    <row r="750" spans="1:28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</row>
    <row r="751" spans="1:28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</row>
    <row r="752" spans="1:28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</row>
    <row r="753" spans="1:28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</row>
    <row r="754" spans="1:28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</row>
    <row r="755" spans="1:28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</row>
    <row r="756" spans="1:28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</row>
    <row r="757" spans="1:28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</row>
    <row r="758" spans="1:28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</row>
    <row r="759" spans="1:28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</row>
    <row r="760" spans="1:28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</row>
    <row r="761" spans="1:28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</row>
    <row r="762" spans="1:28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</row>
    <row r="763" spans="1:28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</row>
    <row r="764" spans="1:28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</row>
    <row r="765" spans="1:28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</row>
    <row r="766" spans="1:28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</row>
    <row r="767" spans="1:28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</row>
    <row r="768" spans="1:28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</row>
    <row r="769" spans="1:28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</row>
    <row r="770" spans="1:28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</row>
    <row r="771" spans="1:28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</row>
    <row r="772" spans="1:28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</row>
    <row r="773" spans="1:28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</row>
    <row r="774" spans="1:28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</row>
    <row r="775" spans="1:28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</row>
    <row r="776" spans="1:28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</row>
    <row r="777" spans="1:28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</row>
    <row r="778" spans="1:28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</row>
    <row r="779" spans="1:28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</row>
    <row r="780" spans="1:28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</row>
    <row r="781" spans="1:28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</row>
    <row r="782" spans="1:28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</row>
    <row r="783" spans="1:28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</row>
    <row r="784" spans="1:28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</row>
    <row r="785" spans="1:28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</row>
    <row r="786" spans="1:28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</row>
    <row r="787" spans="1:28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</row>
    <row r="788" spans="1:28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</row>
    <row r="789" spans="1:28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</row>
    <row r="790" spans="1:28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</row>
    <row r="791" spans="1:28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</row>
    <row r="792" spans="1:28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</row>
    <row r="793" spans="1:28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</row>
    <row r="794" spans="1:28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</row>
    <row r="795" spans="1:28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</row>
    <row r="796" spans="1:28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</row>
    <row r="797" spans="1:28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</row>
    <row r="798" spans="1:28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</row>
    <row r="799" spans="1:28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</row>
    <row r="800" spans="1:28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</row>
    <row r="801" spans="1:28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</row>
    <row r="802" spans="1:28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</row>
    <row r="803" spans="1:28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</row>
    <row r="804" spans="1:28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</row>
    <row r="805" spans="1:28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</row>
    <row r="806" spans="1:28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</row>
    <row r="807" spans="1:28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</row>
    <row r="808" spans="1:28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</row>
    <row r="809" spans="1:28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</row>
    <row r="810" spans="1:28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</row>
    <row r="811" spans="1:28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</row>
    <row r="812" spans="1:28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</row>
    <row r="813" spans="1:28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</row>
    <row r="814" spans="1:28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</row>
    <row r="815" spans="1:28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</row>
    <row r="816" spans="1:28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</row>
    <row r="817" spans="1:28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</row>
    <row r="818" spans="1:28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</row>
    <row r="819" spans="1:28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</row>
    <row r="820" spans="1:28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</row>
    <row r="821" spans="1:28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</row>
    <row r="822" spans="1:28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</row>
    <row r="823" spans="1:28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</row>
    <row r="824" spans="1:28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</row>
    <row r="825" spans="1:28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</row>
    <row r="826" spans="1:28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</row>
    <row r="827" spans="1:28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</row>
    <row r="828" spans="1:28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</row>
    <row r="829" spans="1:28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</row>
    <row r="830" spans="1:28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</row>
    <row r="831" spans="1:28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</row>
    <row r="832" spans="1:28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</row>
    <row r="833" spans="1:28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</row>
    <row r="834" spans="1:28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</row>
    <row r="835" spans="1:28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</row>
    <row r="836" spans="1:28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</row>
    <row r="837" spans="1:28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</row>
    <row r="838" spans="1:28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</row>
    <row r="839" spans="1:28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</row>
    <row r="840" spans="1:28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</row>
    <row r="841" spans="1:28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</row>
    <row r="842" spans="1:28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</row>
    <row r="843" spans="1:28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</row>
    <row r="844" spans="1:28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</row>
    <row r="845" spans="1:28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</row>
    <row r="846" spans="1:28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</row>
    <row r="847" spans="1:28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</row>
    <row r="848" spans="1:28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</row>
    <row r="849" spans="1:28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</row>
    <row r="850" spans="1:28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</row>
    <row r="851" spans="1:28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</row>
    <row r="852" spans="1:28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</row>
    <row r="853" spans="1:28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</row>
    <row r="854" spans="1:28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</row>
    <row r="855" spans="1:28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</row>
    <row r="856" spans="1:28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</row>
    <row r="857" spans="1:28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</row>
    <row r="858" spans="1:28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</row>
    <row r="859" spans="1:28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</row>
    <row r="860" spans="1:28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</row>
    <row r="861" spans="1:28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</row>
    <row r="862" spans="1:28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</row>
    <row r="863" spans="1:28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</row>
    <row r="864" spans="1:28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</row>
    <row r="865" spans="1:28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</row>
    <row r="866" spans="1:28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</row>
    <row r="867" spans="1:28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</row>
    <row r="868" spans="1:28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</row>
    <row r="869" spans="1:28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</row>
    <row r="870" spans="1:28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</row>
    <row r="871" spans="1:28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</row>
    <row r="872" spans="1:28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</row>
    <row r="873" spans="1:28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</row>
    <row r="874" spans="1:28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</row>
    <row r="875" spans="1:28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</row>
    <row r="876" spans="1:28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</row>
    <row r="877" spans="1:28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</row>
    <row r="878" spans="1:28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</row>
    <row r="879" spans="1:28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</row>
    <row r="880" spans="1:28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</row>
    <row r="881" spans="1:28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</row>
    <row r="882" spans="1:28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</row>
    <row r="883" spans="1:28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</row>
    <row r="884" spans="1:28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</row>
    <row r="885" spans="1:28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</row>
    <row r="886" spans="1:28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</row>
    <row r="887" spans="1:28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</row>
    <row r="888" spans="1:28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</row>
    <row r="889" spans="1:28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</row>
    <row r="890" spans="1:28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</row>
    <row r="891" spans="1:28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</row>
    <row r="892" spans="1:28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</row>
    <row r="893" spans="1:28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</row>
    <row r="894" spans="1:28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</row>
    <row r="895" spans="1:28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</row>
    <row r="896" spans="1:28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</row>
    <row r="897" spans="1:28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</row>
    <row r="898" spans="1:28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</row>
    <row r="899" spans="1:28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</row>
    <row r="900" spans="1:28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</row>
    <row r="901" spans="1:28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</row>
    <row r="902" spans="1:28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</row>
    <row r="903" spans="1:28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</row>
    <row r="904" spans="1:28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</row>
    <row r="905" spans="1:28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</row>
    <row r="906" spans="1:28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</row>
    <row r="907" spans="1:28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</row>
    <row r="908" spans="1:28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</row>
    <row r="909" spans="1:28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</row>
    <row r="910" spans="1:28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</row>
    <row r="911" spans="1:28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</row>
    <row r="912" spans="1:28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</row>
    <row r="913" spans="1:28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</row>
    <row r="914" spans="1:28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</row>
    <row r="915" spans="1:28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</row>
    <row r="916" spans="1:28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</row>
    <row r="917" spans="1:28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</row>
    <row r="918" spans="1:28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</row>
    <row r="919" spans="1:28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</row>
    <row r="920" spans="1:28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</row>
    <row r="921" spans="1:28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</row>
    <row r="922" spans="1:28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</row>
    <row r="923" spans="1:28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</row>
    <row r="924" spans="1:28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</row>
    <row r="925" spans="1:28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</row>
    <row r="926" spans="1:28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</row>
    <row r="927" spans="1:28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</row>
    <row r="928" spans="1:28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</row>
    <row r="929" spans="1:28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</row>
    <row r="930" spans="1:28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</row>
    <row r="931" spans="1:28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</row>
    <row r="932" spans="1:28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</row>
    <row r="933" spans="1:28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</row>
    <row r="934" spans="1:28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</row>
    <row r="935" spans="1:28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</row>
    <row r="936" spans="1:28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</row>
    <row r="937" spans="1:28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</row>
    <row r="938" spans="1:28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</row>
    <row r="939" spans="1:28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</row>
    <row r="940" spans="1:28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</row>
    <row r="941" spans="1:28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</row>
    <row r="942" spans="1:28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</row>
    <row r="943" spans="1:28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</row>
    <row r="944" spans="1:28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</row>
    <row r="945" spans="1:28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</row>
    <row r="946" spans="1:28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</row>
    <row r="947" spans="1:28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</row>
    <row r="948" spans="1:28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</row>
    <row r="949" spans="1:28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</row>
    <row r="950" spans="1:28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</row>
    <row r="951" spans="1:28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</row>
    <row r="952" spans="1:28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</row>
    <row r="953" spans="1:28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</row>
    <row r="954" spans="1:28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</row>
    <row r="955" spans="1:28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</row>
    <row r="956" spans="1:28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</row>
    <row r="957" spans="1:28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</row>
    <row r="958" spans="1:28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</row>
    <row r="959" spans="1:28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</row>
    <row r="960" spans="1:28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</row>
    <row r="961" spans="1:28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</row>
    <row r="962" spans="1:28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</row>
    <row r="963" spans="1:28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</row>
    <row r="964" spans="1:28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</row>
    <row r="965" spans="1:28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</row>
    <row r="966" spans="1:28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</row>
    <row r="967" spans="1:28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</row>
    <row r="968" spans="1:28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</row>
    <row r="969" spans="1:28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</row>
    <row r="970" spans="1:28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</row>
    <row r="971" spans="1:28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</row>
    <row r="972" spans="1:28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</row>
    <row r="973" spans="1:28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</row>
    <row r="974" spans="1:28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</row>
    <row r="975" spans="1:28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</row>
    <row r="976" spans="1:28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</row>
    <row r="977" spans="1:28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</row>
    <row r="978" spans="1:28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</row>
    <row r="979" spans="1:28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</row>
    <row r="980" spans="1:28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</row>
    <row r="981" spans="1:28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</row>
    <row r="982" spans="1:28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</row>
    <row r="983" spans="1:28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</row>
    <row r="984" spans="1:28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</row>
    <row r="985" spans="1:28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</row>
    <row r="986" spans="1:28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</row>
    <row r="987" spans="1:28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</row>
    <row r="988" spans="1:28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</row>
    <row r="989" spans="1:28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</row>
    <row r="990" spans="1:28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</row>
    <row r="991" spans="1:28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</row>
    <row r="992" spans="1:28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</row>
    <row r="993" spans="1:28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</row>
    <row r="994" spans="1:28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</row>
    <row r="995" spans="1:28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</row>
    <row r="996" spans="1:28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</row>
    <row r="997" spans="1:28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</row>
    <row r="998" spans="1:28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</row>
    <row r="999" spans="1:28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</row>
    <row r="1000" spans="1:28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10CF-1086-4A7E-91E7-34B983F2F1A0}">
  <sheetPr codeName="Sheet6"/>
  <dimension ref="A1:Q34"/>
  <sheetViews>
    <sheetView workbookViewId="0">
      <selection activeCell="K36" sqref="K36"/>
    </sheetView>
  </sheetViews>
  <sheetFormatPr defaultRowHeight="15"/>
  <cols>
    <col min="1" max="1" width="11.28515625" customWidth="1"/>
    <col min="2" max="2" width="14.140625" bestFit="1" customWidth="1"/>
    <col min="3" max="4" width="14.140625" customWidth="1"/>
    <col min="5" max="5" width="15.85546875" bestFit="1" customWidth="1"/>
    <col min="6" max="6" width="11" bestFit="1" customWidth="1"/>
    <col min="7" max="7" width="5" customWidth="1"/>
    <col min="8" max="8" width="8.7109375" bestFit="1" customWidth="1"/>
    <col min="9" max="9" width="15.5703125" customWidth="1"/>
    <col min="10" max="10" width="17.42578125" customWidth="1"/>
    <col min="11" max="11" width="13.5703125" customWidth="1"/>
    <col min="12" max="12" width="8.85546875" customWidth="1"/>
    <col min="13" max="13" width="16" customWidth="1"/>
    <col min="14" max="14" width="19.42578125" bestFit="1" customWidth="1"/>
    <col min="15" max="15" width="16.140625" bestFit="1" customWidth="1"/>
    <col min="16" max="16" width="32.140625" bestFit="1" customWidth="1"/>
    <col min="17" max="17" width="21.140625" customWidth="1"/>
    <col min="18" max="18" width="12.140625" customWidth="1"/>
  </cols>
  <sheetData>
    <row r="1" spans="1:17">
      <c r="A1" t="s">
        <v>0</v>
      </c>
      <c r="B1" t="s">
        <v>65</v>
      </c>
      <c r="C1" t="s">
        <v>2</v>
      </c>
      <c r="D1" t="s">
        <v>5</v>
      </c>
      <c r="E1" t="s">
        <v>6</v>
      </c>
      <c r="F1" t="s">
        <v>9</v>
      </c>
      <c r="G1" t="s">
        <v>66</v>
      </c>
      <c r="H1" t="s">
        <v>11</v>
      </c>
      <c r="I1" t="s">
        <v>67</v>
      </c>
      <c r="J1" t="s">
        <v>68</v>
      </c>
      <c r="K1" t="s">
        <v>69</v>
      </c>
      <c r="L1" t="s">
        <v>70</v>
      </c>
      <c r="M1" s="14" t="s">
        <v>71</v>
      </c>
      <c r="N1" t="s">
        <v>72</v>
      </c>
      <c r="O1" t="s">
        <v>73</v>
      </c>
      <c r="P1" t="s">
        <v>13</v>
      </c>
      <c r="Q1" t="s">
        <v>74</v>
      </c>
    </row>
    <row r="2" spans="1:17">
      <c r="A2" t="str" cm="1">
        <f t="array" ref="A2">IFERROR(_xlfn.TEXTSPLIT(Input!A3,"*"),"")</f>
        <v/>
      </c>
      <c r="Q2">
        <f>_xlfn.XLOOKUP(B2,Input!J:J,Input!I:I,"Missing",0,1)</f>
        <v>0</v>
      </c>
    </row>
    <row r="3" spans="1:17">
      <c r="A3" t="str" cm="1">
        <f t="array" ref="A3">IFERROR(_xlfn.TEXTSPLIT(Input!A4,"*"),"")</f>
        <v/>
      </c>
      <c r="Q3">
        <f>_xlfn.XLOOKUP(B3,Input!J:J,Input!I:I,"Missing",0,1)</f>
        <v>0</v>
      </c>
    </row>
    <row r="4" spans="1:17">
      <c r="A4" t="str" cm="1">
        <f t="array" ref="A4">IFERROR(_xlfn.TEXTSPLIT(Input!A5,"*"),"")</f>
        <v/>
      </c>
      <c r="Q4">
        <f>_xlfn.XLOOKUP(B4,Input!J:J,Input!I:I,"Missing",0,1)</f>
        <v>0</v>
      </c>
    </row>
    <row r="5" spans="1:17">
      <c r="A5" t="str" cm="1">
        <f t="array" ref="A5">IFERROR(_xlfn.TEXTSPLIT(Input!A6,"*"),"")</f>
        <v/>
      </c>
      <c r="Q5">
        <f>_xlfn.XLOOKUP(B5,Input!J:J,Input!I:I,"Missing",0,1)</f>
        <v>0</v>
      </c>
    </row>
    <row r="6" spans="1:17">
      <c r="A6" t="str" cm="1">
        <f t="array" ref="A6">IFERROR(_xlfn.TEXTSPLIT(Input!A7,"*"),"")</f>
        <v/>
      </c>
      <c r="Q6">
        <f>_xlfn.XLOOKUP(B6,Input!J:J,Input!I:I,"Missing",0,1)</f>
        <v>0</v>
      </c>
    </row>
    <row r="7" spans="1:17">
      <c r="A7" t="str" cm="1">
        <f t="array" ref="A7">IFERROR(_xlfn.TEXTSPLIT(Input!A8,"*"),"")</f>
        <v/>
      </c>
      <c r="Q7">
        <f>_xlfn.XLOOKUP(B7,Input!J:J,Input!I:I,"Missing",0,1)</f>
        <v>0</v>
      </c>
    </row>
    <row r="8" spans="1:17">
      <c r="A8" t="str" cm="1">
        <f t="array" ref="A8">IFERROR(_xlfn.TEXTSPLIT(Input!A9,"*"),"")</f>
        <v/>
      </c>
      <c r="Q8">
        <f>_xlfn.XLOOKUP(B8,Input!J:J,Input!I:I,"Missing",0,1)</f>
        <v>0</v>
      </c>
    </row>
    <row r="9" spans="1:17">
      <c r="A9" t="str" cm="1">
        <f t="array" ref="A9">IFERROR(_xlfn.TEXTSPLIT(Input!A10,"*"),"")</f>
        <v/>
      </c>
      <c r="Q9">
        <f>_xlfn.XLOOKUP(B9,Input!J:J,Input!I:I,"Missing",0,1)</f>
        <v>0</v>
      </c>
    </row>
    <row r="10" spans="1:17">
      <c r="A10" t="str" cm="1">
        <f t="array" ref="A10">IFERROR(_xlfn.TEXTSPLIT(Input!A11,"*"),"")</f>
        <v/>
      </c>
      <c r="Q10">
        <f>_xlfn.XLOOKUP(B10,Input!J:J,Input!I:I,"Missing",0,1)</f>
        <v>0</v>
      </c>
    </row>
    <row r="11" spans="1:17">
      <c r="A11" t="str" cm="1">
        <f t="array" ref="A11">IFERROR(_xlfn.TEXTSPLIT(Input!A12,"*"),"")</f>
        <v/>
      </c>
      <c r="Q11">
        <f>_xlfn.XLOOKUP(B11,Input!J:J,Input!I:I,"Missing",0,1)</f>
        <v>0</v>
      </c>
    </row>
    <row r="12" spans="1:17">
      <c r="A12" t="str" cm="1">
        <f t="array" ref="A12">IFERROR(_xlfn.TEXTSPLIT(Input!A13,"*"),"")</f>
        <v/>
      </c>
      <c r="Q12">
        <f>_xlfn.XLOOKUP(B12,Input!J:J,Input!I:I,"Missing",0,1)</f>
        <v>0</v>
      </c>
    </row>
    <row r="13" spans="1:17">
      <c r="A13" t="str" cm="1">
        <f t="array" ref="A13">IFERROR(_xlfn.TEXTSPLIT(Input!A14,"*"),"")</f>
        <v/>
      </c>
      <c r="Q13">
        <f>_xlfn.XLOOKUP(B13,Input!J:J,Input!I:I,"Missing",0,1)</f>
        <v>0</v>
      </c>
    </row>
    <row r="14" spans="1:17">
      <c r="A14" t="str" cm="1">
        <f t="array" ref="A14">IFERROR(_xlfn.TEXTSPLIT(Input!A15,"*"),"")</f>
        <v/>
      </c>
      <c r="Q14">
        <f>_xlfn.XLOOKUP(B14,Input!J:J,Input!I:I,"Missing",0,1)</f>
        <v>0</v>
      </c>
    </row>
    <row r="15" spans="1:17">
      <c r="A15" t="str" cm="1">
        <f t="array" ref="A15">IFERROR(_xlfn.TEXTSPLIT(Input!A16,"*"),"")</f>
        <v/>
      </c>
      <c r="Q15">
        <f>_xlfn.XLOOKUP(B15,Input!J:J,Input!I:I,"Missing",0,1)</f>
        <v>0</v>
      </c>
    </row>
    <row r="16" spans="1:17">
      <c r="A16" t="str" cm="1">
        <f t="array" ref="A16">IFERROR(_xlfn.TEXTSPLIT(Input!A17,"*"),"")</f>
        <v/>
      </c>
      <c r="Q16">
        <f>_xlfn.XLOOKUP(B16,Input!J:J,Input!I:I,"Missing",0,1)</f>
        <v>0</v>
      </c>
    </row>
    <row r="17" spans="1:17">
      <c r="A17" t="str" cm="1">
        <f t="array" ref="A17">IFERROR(_xlfn.TEXTSPLIT(Input!A18,"*"),"")</f>
        <v/>
      </c>
      <c r="Q17">
        <f>_xlfn.XLOOKUP(B17,Input!J:J,Input!I:I,"Missing",0,1)</f>
        <v>0</v>
      </c>
    </row>
    <row r="18" spans="1:17">
      <c r="A18" t="str" cm="1">
        <f t="array" ref="A18">IFERROR(_xlfn.TEXTSPLIT(Input!A19,"*"),"")</f>
        <v/>
      </c>
      <c r="Q18">
        <f>_xlfn.XLOOKUP(B18,Input!J:J,Input!I:I,"Missing",0,1)</f>
        <v>0</v>
      </c>
    </row>
    <row r="19" spans="1:17">
      <c r="A19" t="str" cm="1">
        <f t="array" ref="A19">IFERROR(_xlfn.TEXTSPLIT(Input!A20,"*"),"")</f>
        <v/>
      </c>
      <c r="Q19">
        <f>_xlfn.XLOOKUP(B19,Input!J:J,Input!I:I,"Missing",0,1)</f>
        <v>0</v>
      </c>
    </row>
    <row r="20" spans="1:17">
      <c r="A20" t="str" cm="1">
        <f t="array" ref="A20">IFERROR(_xlfn.TEXTSPLIT(Input!A21,"*"),"")</f>
        <v/>
      </c>
      <c r="Q20">
        <f>_xlfn.XLOOKUP(B20,Input!J:J,Input!I:I,"Missing",0,1)</f>
        <v>0</v>
      </c>
    </row>
    <row r="21" spans="1:17">
      <c r="A21" t="str" cm="1">
        <f t="array" ref="A21">IFERROR(_xlfn.TEXTSPLIT(Input!A22,"*"),"")</f>
        <v/>
      </c>
      <c r="Q21">
        <f>_xlfn.XLOOKUP(B21,Input!J:J,Input!I:I,"Missing",0,1)</f>
        <v>0</v>
      </c>
    </row>
    <row r="22" spans="1:17">
      <c r="A22" t="str" cm="1">
        <f t="array" ref="A22">IFERROR(_xlfn.TEXTSPLIT(Input!A23,"*"),"")</f>
        <v/>
      </c>
      <c r="Q22">
        <f>_xlfn.XLOOKUP(B22,Input!J:J,Input!I:I,"Missing",0,1)</f>
        <v>0</v>
      </c>
    </row>
    <row r="23" spans="1:17">
      <c r="A23" t="str" cm="1">
        <f t="array" ref="A23">IFERROR(_xlfn.TEXTSPLIT(Input!A24,"*"),"")</f>
        <v/>
      </c>
      <c r="Q23">
        <f>_xlfn.XLOOKUP(B23,Input!J:J,Input!I:I,"Missing",0,1)</f>
        <v>0</v>
      </c>
    </row>
    <row r="24" spans="1:17">
      <c r="A24" t="str" cm="1">
        <f t="array" ref="A24">IFERROR(_xlfn.TEXTSPLIT(Input!A25,"*"),"")</f>
        <v/>
      </c>
      <c r="Q24">
        <f>_xlfn.XLOOKUP(B24,Input!J:J,Input!I:I,"Missing",0,1)</f>
        <v>0</v>
      </c>
    </row>
    <row r="25" spans="1:17">
      <c r="A25" t="str" cm="1">
        <f t="array" ref="A25">IFERROR(_xlfn.TEXTSPLIT(Input!A26,"*"),"")</f>
        <v/>
      </c>
      <c r="Q25">
        <f>_xlfn.XLOOKUP(B25,Input!J:J,Input!I:I,"Missing",0,1)</f>
        <v>0</v>
      </c>
    </row>
    <row r="26" spans="1:17">
      <c r="A26" t="str" cm="1">
        <f t="array" ref="A26">IFERROR(_xlfn.TEXTSPLIT(Input!A27,"*"),"")</f>
        <v/>
      </c>
      <c r="Q26">
        <f>_xlfn.XLOOKUP(B26,Input!J:J,Input!I:I,"Missing",0,1)</f>
        <v>0</v>
      </c>
    </row>
    <row r="27" spans="1:17">
      <c r="A27" t="str" cm="1">
        <f t="array" ref="A27">IFERROR(_xlfn.TEXTSPLIT(Input!A28,"*"),"")</f>
        <v/>
      </c>
      <c r="Q27">
        <f>_xlfn.XLOOKUP(B27,Input!J:J,Input!I:I,"Missing",0,1)</f>
        <v>0</v>
      </c>
    </row>
    <row r="28" spans="1:17">
      <c r="A28" t="str" cm="1">
        <f t="array" ref="A28">IFERROR(_xlfn.TEXTSPLIT(Input!A29,"*"),"")</f>
        <v/>
      </c>
      <c r="Q28">
        <f>_xlfn.XLOOKUP(B28,Input!J:J,Input!I:I,"Missing",0,1)</f>
        <v>0</v>
      </c>
    </row>
    <row r="29" spans="1:17">
      <c r="A29" t="str" cm="1">
        <f t="array" ref="A29">IFERROR(_xlfn.TEXTSPLIT(Input!A30,"*"),"")</f>
        <v/>
      </c>
      <c r="Q29">
        <f>_xlfn.XLOOKUP(B29,Input!J:J,Input!I:I,"Missing",0,1)</f>
        <v>0</v>
      </c>
    </row>
    <row r="30" spans="1:17">
      <c r="A30" t="str" cm="1">
        <f t="array" ref="A30">IFERROR(_xlfn.TEXTSPLIT(Input!A31,"*"),"")</f>
        <v/>
      </c>
      <c r="Q30">
        <f>_xlfn.XLOOKUP(B30,Input!J:J,Input!I:I,"Missing",0,1)</f>
        <v>0</v>
      </c>
    </row>
    <row r="31" spans="1:17">
      <c r="A31" t="str" cm="1">
        <f t="array" ref="A31">IFERROR(_xlfn.TEXTSPLIT(Input!A32,"*"),"")</f>
        <v/>
      </c>
      <c r="Q31">
        <f>_xlfn.XLOOKUP(B31,Input!J:J,Input!I:I,"Missing",0,1)</f>
        <v>0</v>
      </c>
    </row>
    <row r="32" spans="1:17">
      <c r="A32" t="str" cm="1">
        <f t="array" ref="A32">IFERROR(_xlfn.TEXTSPLIT(Input!A33,"*"),"")</f>
        <v/>
      </c>
      <c r="Q32">
        <f>_xlfn.XLOOKUP(B32,Input!J:J,Input!I:I,"Missing",0,1)</f>
        <v>0</v>
      </c>
    </row>
    <row r="33" spans="1:17">
      <c r="A33" t="str" cm="1">
        <f t="array" ref="A33">IFERROR(_xlfn.TEXTSPLIT(Input!A34,"*"),"")</f>
        <v/>
      </c>
      <c r="Q33">
        <f>_xlfn.XLOOKUP(B33,Input!J:J,Input!I:I)</f>
        <v>0</v>
      </c>
    </row>
    <row r="34" spans="1:17">
      <c r="A34" t="str" cm="1">
        <f t="array" ref="A34">IFERROR(_xlfn.TEXTSPLIT(Input!A35,"*"),"")</f>
        <v/>
      </c>
      <c r="Q34">
        <f>_xlfn.XLOOKUP(B34,Input!J:J,Input!I:I)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DA2B-B715-491E-AC27-1379016E487C}">
  <sheetPr codeName="Sheet7"/>
  <dimension ref="A1:AI260"/>
  <sheetViews>
    <sheetView topLeftCell="P1" zoomScaleNormal="100" workbookViewId="0">
      <pane ySplit="1" topLeftCell="A2" activePane="bottomLeft" state="frozen"/>
      <selection activeCell="E1" sqref="E1"/>
      <selection pane="bottomLeft" activeCell="Y27" sqref="Y27"/>
    </sheetView>
  </sheetViews>
  <sheetFormatPr defaultRowHeight="15"/>
  <cols>
    <col min="1" max="1" width="15.85546875" customWidth="1"/>
    <col min="2" max="2" width="17" customWidth="1"/>
    <col min="3" max="3" width="17" style="13" hidden="1" customWidth="1"/>
    <col min="4" max="4" width="20.28515625" customWidth="1"/>
    <col min="8" max="8" width="22.42578125" customWidth="1"/>
    <col min="11" max="11" width="18.42578125" customWidth="1"/>
    <col min="12" max="12" width="23.85546875" style="13" customWidth="1"/>
    <col min="13" max="15" width="38.42578125" style="13" customWidth="1"/>
    <col min="16" max="16" width="38.42578125" customWidth="1"/>
    <col min="17" max="17" width="16.28515625" customWidth="1"/>
    <col min="18" max="18" width="15.140625" bestFit="1" customWidth="1"/>
    <col min="19" max="26" width="15.140625" style="13" customWidth="1"/>
    <col min="27" max="27" width="46.5703125" customWidth="1"/>
    <col min="28" max="28" width="17.28515625" bestFit="1" customWidth="1"/>
    <col min="29" max="29" width="15.85546875" bestFit="1" customWidth="1"/>
    <col min="30" max="30" width="18" bestFit="1" customWidth="1"/>
    <col min="31" max="31" width="17.140625" bestFit="1" customWidth="1"/>
    <col min="32" max="32" width="26.7109375" bestFit="1" customWidth="1"/>
    <col min="33" max="34" width="12.5703125" bestFit="1" customWidth="1"/>
    <col min="35" max="35" width="11.28515625" bestFit="1" customWidth="1"/>
  </cols>
  <sheetData>
    <row r="1" spans="1:35" ht="18" thickBot="1">
      <c r="A1" s="1" t="s">
        <v>0</v>
      </c>
      <c r="B1" s="1" t="s">
        <v>1</v>
      </c>
      <c r="C1" s="12" t="s">
        <v>2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2" t="s">
        <v>10</v>
      </c>
      <c r="M1" s="12" t="s">
        <v>323</v>
      </c>
      <c r="N1" s="12" t="s">
        <v>324</v>
      </c>
      <c r="O1" s="12" t="s">
        <v>325</v>
      </c>
      <c r="P1" s="1" t="s">
        <v>10</v>
      </c>
      <c r="Q1" s="1" t="s">
        <v>11</v>
      </c>
      <c r="R1" s="1" t="s">
        <v>12</v>
      </c>
      <c r="S1" s="12" t="s">
        <v>336</v>
      </c>
      <c r="T1" s="12" t="s">
        <v>335</v>
      </c>
      <c r="U1" s="47" t="s">
        <v>19</v>
      </c>
      <c r="V1" s="47"/>
      <c r="W1" s="47"/>
      <c r="X1" s="47"/>
      <c r="Y1" s="47"/>
      <c r="Z1" s="47"/>
      <c r="AA1" s="1" t="s">
        <v>13</v>
      </c>
      <c r="AB1" s="1" t="s">
        <v>14</v>
      </c>
      <c r="AC1" s="1" t="s">
        <v>15</v>
      </c>
      <c r="AD1" s="1" t="s">
        <v>16</v>
      </c>
      <c r="AE1" s="1" t="s">
        <v>17</v>
      </c>
      <c r="AF1" s="1" t="s">
        <v>18</v>
      </c>
      <c r="AG1" s="1" t="s">
        <v>19</v>
      </c>
      <c r="AH1" s="1" t="s">
        <v>20</v>
      </c>
      <c r="AI1" s="1" t="s">
        <v>21</v>
      </c>
    </row>
    <row r="2" spans="1:35" ht="15.75" thickTop="1">
      <c r="A2" t="str">
        <f>_xlfn.TEXTJOIN("",TRUE,_xlfn.XLOOKUP(B2,Input!J:J,Input!G:G,"",0,1),_xlfn.XLOOKUP(B2,Input!J:J,Input!H:H,"",0,1))</f>
        <v/>
      </c>
      <c r="B2" cm="1">
        <f t="array" ref="B2">_xlfn.UNIQUE(_xlfn._xlws.FILTER(Input!J2:J500,ISNA(MATCH(Input!J2:J500,MacReports!B:B,0))))</f>
        <v>0</v>
      </c>
      <c r="C2" s="13" t="e">
        <f>_xlfn.XLOOKUP(B2,Input!J:J,Input!F:F)</f>
        <v>#N/A</v>
      </c>
      <c r="D2" t="e">
        <f>_xlfn.XLOOKUP(C2,Models!H:H,Models!G:G,C2)</f>
        <v>#N/A</v>
      </c>
      <c r="F2" t="e">
        <f>_xlfn.XLOOKUP(H2,Models!B:B,Models!F:F,"")</f>
        <v>#N/A</v>
      </c>
      <c r="G2" t="e">
        <f>_xlfn.XLOOKUP(B2,Input!J:J,Input!E:E)</f>
        <v>#N/A</v>
      </c>
      <c r="H2" t="e">
        <f>IF(G2="LENOVO",_xlfn.XLOOKUP(B2,Input!J:J,Input!K:K),_xlfn.XLOOKUP(B2,Input!J:J,Input!L:L))</f>
        <v>#N/A</v>
      </c>
      <c r="K2" t="str">
        <f>_xlfn.XLOOKUP(B2,CPU_Formula!A:A,CPU_Formula!I:I)</f>
        <v/>
      </c>
      <c r="L2" s="13" t="e">
        <f>INDEX(Input!$D$2:$AD$500,
       MATCH(B2, Input!$J$2:$J$500, 0),
       MATCH("Memory Capacity", Input!$D$1:$AD$1, 0))</f>
        <v>#N/A</v>
      </c>
      <c r="M2" s="13" t="e">
        <f>INDEX(Input!$D$2:$AD$500,
       MATCH(B2, Input!$J$2:$J$500, 0),
       MATCH("Memory Type", Input!$D$1:$AD$1, 0))</f>
        <v>#N/A</v>
      </c>
      <c r="N2" s="13" t="e">
        <f>IF(ISNUMBER(L2), L2, SUBSTITUTE(SUBSTITUTE(SUBSTITUTE(L2,"GiB","")," ",""),"/","+"))</f>
        <v>#N/A</v>
      </c>
      <c r="O2" s="13" t="str" cm="1">
        <f t="array" ref="O2">IFERROR(_xlfn.FILTERXML("&lt;t&gt;&lt;s&gt;" &amp; SUBSTITUTE(M2," / ","&lt;/s&gt;&lt;s&gt;") &amp; "&lt;/s&gt;&lt;/t&gt;","(//s[contains(.,'DDR')])[1]"),"")</f>
        <v/>
      </c>
      <c r="P2" t="e">
        <f>_xlfn.TEXTJOIN(" ",TRUE,N2,"GB",O2)</f>
        <v>#N/A</v>
      </c>
      <c r="Q2" t="str" cm="1">
        <f t="array" ref="Q2">_xlfn.TEXTJOIN(", ", TRUE, _xlfn._xlws.FILTER(Input!W:W, Input!J:J=B2))</f>
        <v/>
      </c>
      <c r="S2" s="13" t="e">
        <f>_xlfn.LET(_xlpm.Result,_xlfn.XLOOKUP(B2,Input!J:J,Input!AB:AB),IF(_xlpm.Result="","",_xlpm.Result))</f>
        <v>#N/A</v>
      </c>
      <c r="T2" s="13" t="str" cm="1">
        <f t="array" ref="T2">IFERROR(_xlfn.IFS(
   --S2&lt;55,"Battery Defect",
  -- S2&lt;=69,"Battery D",
  --S2&lt;=80,"Battery C",
 --S2&gt;80,""
),"")</f>
        <v/>
      </c>
      <c r="U2" s="13" t="str" cm="1">
        <f t="array" ref="U2">IFERROR(IF(_xlfn.XLOOKUP(B2,Input!J:J,Input!N:S)=0,"",
          _xlfn.XLOOKUP(B2,Input!J:J,Input!N:S)),"")</f>
        <v/>
      </c>
      <c r="AA2" t="str">
        <f>_xlfn.TEXTJOIN(", ",TRUE,T2,U2,V2,W2,X2,Y2,Z2)</f>
        <v/>
      </c>
      <c r="AB2" t="str">
        <f>_xlfn.XLOOKUP(B:B,Disk_Pivot!G:G,Disk_Pivot!I:I)</f>
        <v>No</v>
      </c>
      <c r="AC2" t="str">
        <f>_xlfn.XLOOKUP(B2,Disk_Pivot!G:G,Disk_Pivot!N:N)</f>
        <v/>
      </c>
    </row>
    <row r="3" spans="1:35">
      <c r="A3" t="str">
        <f>_xlfn.TEXTJOIN("",TRUE,_xlfn.XLOOKUP(B3,Input!J:J,Input!G:G,"",0,1),_xlfn.XLOOKUP(B3,Input!J:J,Input!H:H,"",0,1))</f>
        <v/>
      </c>
      <c r="C3" s="13">
        <f>_xlfn.XLOOKUP(B3,Input!J:J,Input!F:F)</f>
        <v>0</v>
      </c>
      <c r="D3">
        <f>_xlfn.XLOOKUP(C3,Models!H:H,Models!G:G,C3)</f>
        <v>0</v>
      </c>
      <c r="F3" t="str">
        <f>_xlfn.XLOOKUP(H3,Models!B:B,Models!F:F,"")</f>
        <v/>
      </c>
      <c r="G3">
        <f>_xlfn.XLOOKUP(B3,Input!J:J,Input!E:E)</f>
        <v>0</v>
      </c>
      <c r="H3">
        <f>IF(G3="LENOVO",_xlfn.XLOOKUP(B3,Input!J:J,Input!K:K),_xlfn.XLOOKUP(B3,Input!J:J,Input!L:L))</f>
        <v>0</v>
      </c>
      <c r="K3">
        <f>_xlfn.XLOOKUP(B3,CPU_Formula!A:A,CPU_Formula!I:I)</f>
        <v>0</v>
      </c>
      <c r="L3" s="13" t="e">
        <f>INDEX(Input!$D$2:$AD$500,
       MATCH(B3, Input!$J$2:$J$500, 0),
       MATCH("Memory Capacity", Input!$D$1:$AD$1, 0))</f>
        <v>#N/A</v>
      </c>
      <c r="M3" s="13" t="e">
        <f>INDEX(Input!$D$2:$AD$500,
       MATCH(B3, Input!$J$2:$J$500, 0),
       MATCH("Memory Type", Input!$D$1:$AD$1, 0))</f>
        <v>#N/A</v>
      </c>
      <c r="N3" s="13" t="e">
        <f t="shared" ref="N3:N66" si="0">IF(ISNUMBER(L3), L3, SUBSTITUTE(SUBSTITUTE(SUBSTITUTE(L3,"GiB","")," ",""),"/","+"))</f>
        <v>#N/A</v>
      </c>
      <c r="O3" s="13" t="str" cm="1">
        <f t="array" ref="O3">IFERROR(_xlfn.FILTERXML("&lt;t&gt;&lt;s&gt;" &amp; SUBSTITUTE(M3," / ","&lt;/s&gt;&lt;s&gt;") &amp; "&lt;/s&gt;&lt;/t&gt;","(//s[contains(.,'DDR')])[1]"),"")</f>
        <v/>
      </c>
      <c r="P3" t="e">
        <f t="shared" ref="P3:P66" si="1">_xlfn.TEXTJOIN(" ",TRUE,N3,"GB",O3)</f>
        <v>#N/A</v>
      </c>
      <c r="Q3" t="str" cm="1">
        <f t="array" ref="Q3">_xlfn.TEXTJOIN(", ", TRUE, _xlfn._xlws.FILTER(Input!W:W, Input!J:J=B3))</f>
        <v/>
      </c>
      <c r="S3" s="13" t="str">
        <f>_xlfn.LET(_xlpm.Result,_xlfn.XLOOKUP(B3,Input!J:J,Input!AB:AB),IF(_xlpm.Result="","",_xlpm.Result))</f>
        <v/>
      </c>
      <c r="T3" s="13" t="str" cm="1">
        <f t="array" ref="T3">IFERROR(_xlfn.IFS(
   --S3&lt;55,"Battery Defect",
  -- S3&lt;=69,"Battery D",
  --S3&lt;=80,"Battery C",
 --S3&gt;80,""
),"")</f>
        <v/>
      </c>
      <c r="U3" s="13" t="str" cm="1">
        <f t="array" ref="U3:Z3">IFERROR(IF(_xlfn.XLOOKUP(B3,Input!J:J,Input!N:S)=0,"",
          _xlfn.XLOOKUP(B3,Input!J:J,Input!N:S)),"")</f>
        <v/>
      </c>
      <c r="V3" s="13" t="str">
        <v/>
      </c>
      <c r="W3" s="13" t="str">
        <v/>
      </c>
      <c r="X3" s="13" t="str">
        <v/>
      </c>
      <c r="Y3" s="13" t="str">
        <v/>
      </c>
      <c r="Z3" s="13" t="str">
        <v/>
      </c>
      <c r="AA3" t="str">
        <f t="shared" ref="AA3:AA66" si="2">_xlfn.TEXTJOIN(", ",TRUE,T3,U3,V3,W3,X3,Y3,Z3)</f>
        <v/>
      </c>
      <c r="AB3" t="str">
        <f>_xlfn.XLOOKUP(B:B,Disk_Pivot!G:G,Disk_Pivot!I:I)</f>
        <v>No</v>
      </c>
      <c r="AC3" t="str">
        <f>_xlfn.XLOOKUP(B3,Disk_Pivot!G:G,Disk_Pivot!N:N)</f>
        <v/>
      </c>
    </row>
    <row r="4" spans="1:35">
      <c r="A4" t="str">
        <f>_xlfn.TEXTJOIN("",TRUE,_xlfn.XLOOKUP(B4,Input!J:J,Input!G:G,"",0,1),_xlfn.XLOOKUP(B4,Input!J:J,Input!H:H,"",0,1))</f>
        <v/>
      </c>
      <c r="C4" s="13">
        <f>_xlfn.XLOOKUP(B4,Input!J:J,Input!F:F)</f>
        <v>0</v>
      </c>
      <c r="D4">
        <f>_xlfn.XLOOKUP(C4,Models!H:H,Models!G:G,C4)</f>
        <v>0</v>
      </c>
      <c r="F4" t="str">
        <f>_xlfn.XLOOKUP(H4,Models!B:B,Models!F:F,"")</f>
        <v/>
      </c>
      <c r="G4">
        <f>_xlfn.XLOOKUP(B4,Input!J:J,Input!E:E)</f>
        <v>0</v>
      </c>
      <c r="H4">
        <f>IF(G4="LENOVO",_xlfn.XLOOKUP(B4,Input!J:J,Input!K:K),_xlfn.XLOOKUP(B4,Input!J:J,Input!L:L))</f>
        <v>0</v>
      </c>
      <c r="K4">
        <f>_xlfn.XLOOKUP(B4,CPU_Formula!A:A,CPU_Formula!I:I)</f>
        <v>0</v>
      </c>
      <c r="L4" s="13" t="e">
        <f>INDEX(Input!$D$2:$AD$500,
       MATCH(B4, Input!$J$2:$J$500, 0),
       MATCH("Memory Capacity", Input!$D$1:$AD$1, 0))</f>
        <v>#N/A</v>
      </c>
      <c r="M4" s="13" t="e">
        <f>INDEX(Input!$D$2:$AD$500,
       MATCH(B4, Input!$J$2:$J$500, 0),
       MATCH("Memory Type", Input!$D$1:$AD$1, 0))</f>
        <v>#N/A</v>
      </c>
      <c r="N4" s="13" t="e">
        <f t="shared" si="0"/>
        <v>#N/A</v>
      </c>
      <c r="O4" s="13" t="str" cm="1">
        <f t="array" ref="O4">IFERROR(_xlfn.FILTERXML("&lt;t&gt;&lt;s&gt;" &amp; SUBSTITUTE(M4," / ","&lt;/s&gt;&lt;s&gt;") &amp; "&lt;/s&gt;&lt;/t&gt;","(//s[contains(.,'DDR')])[1]"),"")</f>
        <v/>
      </c>
      <c r="P4" t="e">
        <f t="shared" si="1"/>
        <v>#N/A</v>
      </c>
      <c r="Q4" t="str" cm="1">
        <f t="array" ref="Q4">_xlfn.TEXTJOIN(", ", TRUE, _xlfn._xlws.FILTER(Input!W:W, Input!J:J=B4))</f>
        <v/>
      </c>
      <c r="S4" s="13" t="str">
        <f>_xlfn.LET(_xlpm.Result,_xlfn.XLOOKUP(B4,Input!J:J,Input!AB:AB),IF(_xlpm.Result="","",_xlpm.Result))</f>
        <v/>
      </c>
      <c r="T4" s="13" t="str" cm="1">
        <f t="array" ref="T4">IFERROR(_xlfn.IFS(
   --S4&lt;55,"Battery Defect",
  -- S4&lt;=69,"Battery D",
  --S4&lt;=80,"Battery C",
 --S4&gt;80,""
),"")</f>
        <v/>
      </c>
      <c r="U4" s="13" t="str" cm="1">
        <f t="array" ref="U4:Z4">IFERROR(IF(_xlfn.XLOOKUP(B4,Input!J:J,Input!N:S)=0,"",
          _xlfn.XLOOKUP(B4,Input!J:J,Input!N:S)),"")</f>
        <v/>
      </c>
      <c r="V4" s="13" t="str">
        <v/>
      </c>
      <c r="W4" s="13" t="str">
        <v/>
      </c>
      <c r="X4" s="13" t="str">
        <v/>
      </c>
      <c r="Y4" s="13" t="str">
        <v/>
      </c>
      <c r="Z4" s="13" t="str">
        <v/>
      </c>
      <c r="AA4" t="str">
        <f t="shared" si="2"/>
        <v/>
      </c>
      <c r="AB4" t="str">
        <f>_xlfn.XLOOKUP(B:B,Disk_Pivot!G:G,Disk_Pivot!I:I)</f>
        <v>No</v>
      </c>
      <c r="AC4" t="str">
        <f>_xlfn.XLOOKUP(B4,Disk_Pivot!G:G,Disk_Pivot!N:N)</f>
        <v/>
      </c>
    </row>
    <row r="5" spans="1:35">
      <c r="A5" t="str">
        <f>_xlfn.TEXTJOIN("",TRUE,_xlfn.XLOOKUP(B5,Input!J:J,Input!G:G,"",0,1),_xlfn.XLOOKUP(B5,Input!J:J,Input!H:H,"",0,1))</f>
        <v/>
      </c>
      <c r="C5" s="13">
        <f>_xlfn.XLOOKUP(B5,Input!J:J,Input!F:F)</f>
        <v>0</v>
      </c>
      <c r="D5">
        <f>_xlfn.XLOOKUP(C5,Models!H:H,Models!G:G,C5)</f>
        <v>0</v>
      </c>
      <c r="F5" t="str">
        <f>_xlfn.XLOOKUP(H5,Models!B:B,Models!F:F,"")</f>
        <v/>
      </c>
      <c r="G5">
        <f>_xlfn.XLOOKUP(B5,Input!J:J,Input!E:E)</f>
        <v>0</v>
      </c>
      <c r="H5">
        <f>IF(G5="LENOVO",_xlfn.XLOOKUP(B5,Input!J:J,Input!K:K),_xlfn.XLOOKUP(B5,Input!J:J,Input!L:L))</f>
        <v>0</v>
      </c>
      <c r="K5">
        <f>_xlfn.XLOOKUP(B5,CPU_Formula!A:A,CPU_Formula!I:I)</f>
        <v>0</v>
      </c>
      <c r="L5" s="13" t="e">
        <f>INDEX(Input!$D$2:$AD$500,
       MATCH(B5, Input!$J$2:$J$500, 0),
       MATCH("Memory Capacity", Input!$D$1:$AD$1, 0))</f>
        <v>#N/A</v>
      </c>
      <c r="M5" s="13" t="e">
        <f>INDEX(Input!$D$2:$AD$500,
       MATCH(B5, Input!$J$2:$J$500, 0),
       MATCH("Memory Type", Input!$D$1:$AD$1, 0))</f>
        <v>#N/A</v>
      </c>
      <c r="N5" s="13" t="e">
        <f t="shared" si="0"/>
        <v>#N/A</v>
      </c>
      <c r="O5" s="13" t="str" cm="1">
        <f t="array" ref="O5">IFERROR(_xlfn.FILTERXML("&lt;t&gt;&lt;s&gt;" &amp; SUBSTITUTE(M5," / ","&lt;/s&gt;&lt;s&gt;") &amp; "&lt;/s&gt;&lt;/t&gt;","(//s[contains(.,'DDR')])[1]"),"")</f>
        <v/>
      </c>
      <c r="P5" t="e">
        <f t="shared" si="1"/>
        <v>#N/A</v>
      </c>
      <c r="Q5" t="str" cm="1">
        <f t="array" ref="Q5">_xlfn.TEXTJOIN(", ", TRUE, _xlfn._xlws.FILTER(Input!W:W, Input!J:J=B5))</f>
        <v/>
      </c>
      <c r="S5" s="13" t="str">
        <f>_xlfn.LET(_xlpm.Result,_xlfn.XLOOKUP(B5,Input!J:J,Input!AB:AB),IF(_xlpm.Result="","",_xlpm.Result))</f>
        <v/>
      </c>
      <c r="T5" s="13" t="str" cm="1">
        <f t="array" ref="T5">IFERROR(_xlfn.IFS(
   --S5&lt;55,"Battery Defect",
  -- S5&lt;=69,"Battery D",
  --S5&lt;=80,"Battery C",
 --S5&gt;80,""
),"")</f>
        <v/>
      </c>
      <c r="U5" s="13" t="str" cm="1">
        <f t="array" ref="U5:Z5">IFERROR(IF(_xlfn.XLOOKUP(B5,Input!J:J,Input!N:S)=0,"",
          _xlfn.XLOOKUP(B5,Input!J:J,Input!N:S)),"")</f>
        <v/>
      </c>
      <c r="V5" s="13" t="str">
        <v/>
      </c>
      <c r="W5" s="13" t="str">
        <v/>
      </c>
      <c r="X5" s="13" t="str">
        <v/>
      </c>
      <c r="Y5" s="13" t="str">
        <v/>
      </c>
      <c r="Z5" s="13" t="str">
        <v/>
      </c>
      <c r="AA5" t="str">
        <f t="shared" si="2"/>
        <v/>
      </c>
      <c r="AB5" t="str">
        <f>_xlfn.XLOOKUP(B:B,Disk_Pivot!G:G,Disk_Pivot!I:I)</f>
        <v>No</v>
      </c>
      <c r="AC5" t="str">
        <f>_xlfn.XLOOKUP(B5,Disk_Pivot!G:G,Disk_Pivot!N:N)</f>
        <v/>
      </c>
    </row>
    <row r="6" spans="1:35">
      <c r="A6" t="str">
        <f>_xlfn.TEXTJOIN("",TRUE,_xlfn.XLOOKUP(B6,Input!J:J,Input!G:G,"",0,1),_xlfn.XLOOKUP(B6,Input!J:J,Input!H:H,"",0,1))</f>
        <v/>
      </c>
      <c r="C6" s="13">
        <f>_xlfn.XLOOKUP(B6,Input!J:J,Input!F:F)</f>
        <v>0</v>
      </c>
      <c r="D6">
        <f>_xlfn.XLOOKUP(C6,Models!H:H,Models!G:G,C6)</f>
        <v>0</v>
      </c>
      <c r="F6" t="str">
        <f>_xlfn.XLOOKUP(H6,Models!B:B,Models!F:F,"")</f>
        <v/>
      </c>
      <c r="G6">
        <f>_xlfn.XLOOKUP(B6,Input!J:J,Input!E:E)</f>
        <v>0</v>
      </c>
      <c r="H6">
        <f>IF(G6="LENOVO",_xlfn.XLOOKUP(B6,Input!J:J,Input!K:K),_xlfn.XLOOKUP(B6,Input!J:J,Input!L:L))</f>
        <v>0</v>
      </c>
      <c r="K6">
        <f>_xlfn.XLOOKUP(B6,CPU_Formula!A:A,CPU_Formula!I:I)</f>
        <v>0</v>
      </c>
      <c r="L6" s="13" t="e">
        <f>INDEX(Input!$D$2:$AD$500,
       MATCH(B6, Input!$J$2:$J$500, 0),
       MATCH("Memory Capacity", Input!$D$1:$AD$1, 0))</f>
        <v>#N/A</v>
      </c>
      <c r="M6" s="13" t="e">
        <f>INDEX(Input!$D$2:$AD$500,
       MATCH(B6, Input!$J$2:$J$500, 0),
       MATCH("Memory Type", Input!$D$1:$AD$1, 0))</f>
        <v>#N/A</v>
      </c>
      <c r="N6" s="13" t="e">
        <f t="shared" si="0"/>
        <v>#N/A</v>
      </c>
      <c r="O6" s="13" t="str" cm="1">
        <f t="array" ref="O6">IFERROR(_xlfn.FILTERXML("&lt;t&gt;&lt;s&gt;" &amp; SUBSTITUTE(M6," / ","&lt;/s&gt;&lt;s&gt;") &amp; "&lt;/s&gt;&lt;/t&gt;","(//s[contains(.,'DDR')])[1]"),"")</f>
        <v/>
      </c>
      <c r="P6" t="e">
        <f t="shared" si="1"/>
        <v>#N/A</v>
      </c>
      <c r="Q6" t="str" cm="1">
        <f t="array" ref="Q6">_xlfn.TEXTJOIN(", ", TRUE, _xlfn._xlws.FILTER(Input!W:W, Input!J:J=B6))</f>
        <v/>
      </c>
      <c r="S6" s="13" t="str">
        <f>_xlfn.LET(_xlpm.Result,_xlfn.XLOOKUP(B6,Input!J:J,Input!AB:AB),IF(_xlpm.Result="","",_xlpm.Result))</f>
        <v/>
      </c>
      <c r="T6" s="13" t="str" cm="1">
        <f t="array" ref="T6">IFERROR(_xlfn.IFS(
   --S6&lt;55,"Battery Defect",
  -- S6&lt;=69,"Battery D",
  --S6&lt;=80,"Battery C",
 --S6&gt;80,""
),"")</f>
        <v/>
      </c>
      <c r="U6" s="13" t="str" cm="1">
        <f t="array" ref="U6:Z6">IFERROR(IF(_xlfn.XLOOKUP(B6,Input!J:J,Input!N:S)=0,"",
          _xlfn.XLOOKUP(B6,Input!J:J,Input!N:S)),"")</f>
        <v/>
      </c>
      <c r="V6" s="13" t="str">
        <v/>
      </c>
      <c r="W6" s="13" t="str">
        <v/>
      </c>
      <c r="X6" s="13" t="str">
        <v/>
      </c>
      <c r="Y6" s="13" t="str">
        <v/>
      </c>
      <c r="Z6" s="13" t="str">
        <v/>
      </c>
      <c r="AA6" t="str">
        <f t="shared" si="2"/>
        <v/>
      </c>
      <c r="AB6" t="str">
        <f>_xlfn.XLOOKUP(B:B,Disk_Pivot!G:G,Disk_Pivot!I:I)</f>
        <v>No</v>
      </c>
      <c r="AC6" t="str">
        <f>_xlfn.XLOOKUP(B6,Disk_Pivot!G:G,Disk_Pivot!N:N)</f>
        <v/>
      </c>
    </row>
    <row r="7" spans="1:35">
      <c r="A7" t="str">
        <f>_xlfn.TEXTJOIN("",TRUE,_xlfn.XLOOKUP(B7,Input!J:J,Input!G:G,"",0,1),_xlfn.XLOOKUP(B7,Input!J:J,Input!H:H,"",0,1))</f>
        <v/>
      </c>
      <c r="C7" s="13">
        <f>_xlfn.XLOOKUP(B7,Input!J:J,Input!F:F)</f>
        <v>0</v>
      </c>
      <c r="D7">
        <f>_xlfn.XLOOKUP(C7,Models!H:H,Models!G:G,C7)</f>
        <v>0</v>
      </c>
      <c r="F7" t="str">
        <f>_xlfn.XLOOKUP(H7,Models!B:B,Models!F:F,"")</f>
        <v/>
      </c>
      <c r="G7">
        <f>_xlfn.XLOOKUP(B7,Input!J:J,Input!E:E)</f>
        <v>0</v>
      </c>
      <c r="H7">
        <f>IF(G7="LENOVO",_xlfn.XLOOKUP(B7,Input!J:J,Input!K:K),_xlfn.XLOOKUP(B7,Input!J:J,Input!L:L))</f>
        <v>0</v>
      </c>
      <c r="K7">
        <f>_xlfn.XLOOKUP(B7,CPU_Formula!A:A,CPU_Formula!I:I)</f>
        <v>0</v>
      </c>
      <c r="L7" s="13" t="e">
        <f>INDEX(Input!$D$2:$AD$500,
       MATCH(B7, Input!$J$2:$J$500, 0),
       MATCH("Memory Capacity", Input!$D$1:$AD$1, 0))</f>
        <v>#N/A</v>
      </c>
      <c r="M7" s="13" t="e">
        <f>INDEX(Input!$D$2:$AD$500,
       MATCH(B7, Input!$J$2:$J$500, 0),
       MATCH("Memory Type", Input!$D$1:$AD$1, 0))</f>
        <v>#N/A</v>
      </c>
      <c r="N7" s="13" t="e">
        <f t="shared" si="0"/>
        <v>#N/A</v>
      </c>
      <c r="O7" s="13" t="str" cm="1">
        <f t="array" ref="O7">IFERROR(_xlfn.FILTERXML("&lt;t&gt;&lt;s&gt;" &amp; SUBSTITUTE(M7," / ","&lt;/s&gt;&lt;s&gt;") &amp; "&lt;/s&gt;&lt;/t&gt;","(//s[contains(.,'DDR')])[1]"),"")</f>
        <v/>
      </c>
      <c r="P7" t="e">
        <f t="shared" si="1"/>
        <v>#N/A</v>
      </c>
      <c r="Q7" t="str" cm="1">
        <f t="array" ref="Q7">_xlfn.TEXTJOIN(", ", TRUE, _xlfn._xlws.FILTER(Input!W:W, Input!J:J=B7))</f>
        <v/>
      </c>
      <c r="S7" s="13" t="str">
        <f>_xlfn.LET(_xlpm.Result,_xlfn.XLOOKUP(B7,Input!J:J,Input!AB:AB),IF(_xlpm.Result="","",_xlpm.Result))</f>
        <v/>
      </c>
      <c r="T7" s="13" t="str" cm="1">
        <f t="array" ref="T7">IFERROR(_xlfn.IFS(
   --S7&lt;55,"Battery Defect",
  -- S7&lt;=69,"Battery D",
  --S7&lt;=80,"Battery C",
 --S7&gt;80,""
),"")</f>
        <v/>
      </c>
      <c r="U7" s="13" t="str" cm="1">
        <f t="array" ref="U7:Z7">IFERROR(IF(_xlfn.XLOOKUP(B7,Input!J:J,Input!N:S)=0,"",
          _xlfn.XLOOKUP(B7,Input!J:J,Input!N:S)),"")</f>
        <v/>
      </c>
      <c r="V7" s="13" t="str">
        <v/>
      </c>
      <c r="W7" s="13" t="str">
        <v/>
      </c>
      <c r="X7" s="13" t="str">
        <v/>
      </c>
      <c r="Y7" s="13" t="str">
        <v/>
      </c>
      <c r="Z7" s="13" t="str">
        <v/>
      </c>
      <c r="AA7" t="str">
        <f t="shared" si="2"/>
        <v/>
      </c>
      <c r="AB7" t="str">
        <f>_xlfn.XLOOKUP(B:B,Disk_Pivot!G:G,Disk_Pivot!I:I)</f>
        <v>No</v>
      </c>
      <c r="AC7" t="str">
        <f>_xlfn.XLOOKUP(B7,Disk_Pivot!G:G,Disk_Pivot!N:N)</f>
        <v/>
      </c>
    </row>
    <row r="8" spans="1:35">
      <c r="A8" t="str">
        <f>_xlfn.TEXTJOIN("",TRUE,_xlfn.XLOOKUP(B8,Input!J:J,Input!G:G,"",0,1),_xlfn.XLOOKUP(B8,Input!J:J,Input!H:H,"",0,1))</f>
        <v/>
      </c>
      <c r="C8" s="13">
        <f>_xlfn.XLOOKUP(B8,Input!J:J,Input!F:F)</f>
        <v>0</v>
      </c>
      <c r="D8">
        <f>_xlfn.XLOOKUP(C8,Models!H:H,Models!G:G,C8)</f>
        <v>0</v>
      </c>
      <c r="F8" t="str">
        <f>_xlfn.XLOOKUP(H8,Models!B:B,Models!F:F,"")</f>
        <v/>
      </c>
      <c r="G8">
        <f>_xlfn.XLOOKUP(B8,Input!J:J,Input!E:E)</f>
        <v>0</v>
      </c>
      <c r="H8">
        <f>IF(G8="LENOVO",_xlfn.XLOOKUP(B8,Input!J:J,Input!K:K),_xlfn.XLOOKUP(B8,Input!J:J,Input!L:L))</f>
        <v>0</v>
      </c>
      <c r="K8">
        <f>_xlfn.XLOOKUP(B8,CPU_Formula!A:A,CPU_Formula!I:I)</f>
        <v>0</v>
      </c>
      <c r="L8" s="13" t="e">
        <f>INDEX(Input!$D$2:$AD$500,
       MATCH(B8, Input!$J$2:$J$500, 0),
       MATCH("Memory Capacity", Input!$D$1:$AD$1, 0))</f>
        <v>#N/A</v>
      </c>
      <c r="M8" s="13" t="e">
        <f>INDEX(Input!$D$2:$AD$500,
       MATCH(B8, Input!$J$2:$J$500, 0),
       MATCH("Memory Type", Input!$D$1:$AD$1, 0))</f>
        <v>#N/A</v>
      </c>
      <c r="N8" s="13" t="e">
        <f t="shared" si="0"/>
        <v>#N/A</v>
      </c>
      <c r="O8" s="13" t="str" cm="1">
        <f t="array" ref="O8">IFERROR(_xlfn.FILTERXML("&lt;t&gt;&lt;s&gt;" &amp; SUBSTITUTE(M8," / ","&lt;/s&gt;&lt;s&gt;") &amp; "&lt;/s&gt;&lt;/t&gt;","(//s[contains(.,'DDR')])[1]"),"")</f>
        <v/>
      </c>
      <c r="P8" t="e">
        <f t="shared" si="1"/>
        <v>#N/A</v>
      </c>
      <c r="Q8" t="str" cm="1">
        <f t="array" ref="Q8">_xlfn.TEXTJOIN(", ", TRUE, _xlfn._xlws.FILTER(Input!W:W, Input!J:J=B8))</f>
        <v/>
      </c>
      <c r="S8" s="13" t="str">
        <f>_xlfn.LET(_xlpm.Result,_xlfn.XLOOKUP(B8,Input!J:J,Input!AB:AB),IF(_xlpm.Result="","",_xlpm.Result))</f>
        <v/>
      </c>
      <c r="T8" s="13" t="str" cm="1">
        <f t="array" ref="T8">IFERROR(_xlfn.IFS(
   --S8&lt;55,"Battery Defect",
  -- S8&lt;=69,"Battery D",
  --S8&lt;=80,"Battery C",
 --S8&gt;80,""
),"")</f>
        <v/>
      </c>
      <c r="U8" s="13" t="str" cm="1">
        <f t="array" ref="U8:Z8">IFERROR(IF(_xlfn.XLOOKUP(B8,Input!J:J,Input!N:S)=0,"",
          _xlfn.XLOOKUP(B8,Input!J:J,Input!N:S)),"")</f>
        <v/>
      </c>
      <c r="V8" s="13" t="str">
        <v/>
      </c>
      <c r="W8" s="13" t="str">
        <v/>
      </c>
      <c r="X8" s="13" t="str">
        <v/>
      </c>
      <c r="Y8" s="13" t="str">
        <v/>
      </c>
      <c r="Z8" s="13" t="str">
        <v/>
      </c>
      <c r="AA8" t="str">
        <f t="shared" si="2"/>
        <v/>
      </c>
      <c r="AB8" t="str">
        <f>_xlfn.XLOOKUP(B:B,Disk_Pivot!G:G,Disk_Pivot!I:I)</f>
        <v>No</v>
      </c>
      <c r="AC8" t="str">
        <f>_xlfn.XLOOKUP(B8,Disk_Pivot!G:G,Disk_Pivot!N:N)</f>
        <v/>
      </c>
    </row>
    <row r="9" spans="1:35">
      <c r="A9" t="str">
        <f>_xlfn.TEXTJOIN("",TRUE,_xlfn.XLOOKUP(B9,Input!J:J,Input!G:G,"",0,1),_xlfn.XLOOKUP(B9,Input!J:J,Input!H:H,"",0,1))</f>
        <v/>
      </c>
      <c r="C9" s="13">
        <f>_xlfn.XLOOKUP(B9,Input!J:J,Input!F:F)</f>
        <v>0</v>
      </c>
      <c r="D9">
        <f>_xlfn.XLOOKUP(C9,Models!H:H,Models!G:G,C9)</f>
        <v>0</v>
      </c>
      <c r="F9" t="str">
        <f>_xlfn.XLOOKUP(H9,Models!B:B,Models!F:F,"")</f>
        <v/>
      </c>
      <c r="G9">
        <f>_xlfn.XLOOKUP(B9,Input!J:J,Input!E:E)</f>
        <v>0</v>
      </c>
      <c r="H9">
        <f>IF(G9="LENOVO",_xlfn.XLOOKUP(B9,Input!J:J,Input!K:K),_xlfn.XLOOKUP(B9,Input!J:J,Input!L:L))</f>
        <v>0</v>
      </c>
      <c r="K9">
        <f>_xlfn.XLOOKUP(B9,CPU_Formula!A:A,CPU_Formula!I:I)</f>
        <v>0</v>
      </c>
      <c r="L9" s="13" t="e">
        <f>INDEX(Input!$D$2:$AD$500,
       MATCH(B9, Input!$J$2:$J$500, 0),
       MATCH("Memory Capacity", Input!$D$1:$AD$1, 0))</f>
        <v>#N/A</v>
      </c>
      <c r="M9" s="13" t="e">
        <f>INDEX(Input!$D$2:$AD$500,
       MATCH(B9, Input!$J$2:$J$500, 0),
       MATCH("Memory Type", Input!$D$1:$AD$1, 0))</f>
        <v>#N/A</v>
      </c>
      <c r="N9" s="13" t="e">
        <f t="shared" si="0"/>
        <v>#N/A</v>
      </c>
      <c r="O9" s="13" t="str" cm="1">
        <f t="array" ref="O9">IFERROR(_xlfn.FILTERXML("&lt;t&gt;&lt;s&gt;" &amp; SUBSTITUTE(M9," / ","&lt;/s&gt;&lt;s&gt;") &amp; "&lt;/s&gt;&lt;/t&gt;","(//s[contains(.,'DDR')])[1]"),"")</f>
        <v/>
      </c>
      <c r="P9" t="e">
        <f t="shared" si="1"/>
        <v>#N/A</v>
      </c>
      <c r="Q9" t="str" cm="1">
        <f t="array" ref="Q9">_xlfn.TEXTJOIN(", ", TRUE, _xlfn._xlws.FILTER(Input!W:W, Input!J:J=B9))</f>
        <v/>
      </c>
      <c r="S9" s="13" t="str">
        <f>_xlfn.LET(_xlpm.Result,_xlfn.XLOOKUP(B9,Input!J:J,Input!AB:AB),IF(_xlpm.Result="","",_xlpm.Result))</f>
        <v/>
      </c>
      <c r="T9" s="13" t="str" cm="1">
        <f t="array" ref="T9">IFERROR(_xlfn.IFS(
   --S9&lt;55,"Battery Defect",
  -- S9&lt;=69,"Battery D",
  --S9&lt;=80,"Battery C",
 --S9&gt;80,""
),"")</f>
        <v/>
      </c>
      <c r="U9" s="13" t="str" cm="1">
        <f t="array" ref="U9:Z9">IFERROR(IF(_xlfn.XLOOKUP(B9,Input!J:J,Input!N:S)=0,"",
          _xlfn.XLOOKUP(B9,Input!J:J,Input!N:S)),"")</f>
        <v/>
      </c>
      <c r="V9" s="13" t="str">
        <v/>
      </c>
      <c r="W9" s="13" t="str">
        <v/>
      </c>
      <c r="X9" s="13" t="str">
        <v/>
      </c>
      <c r="Y9" s="13" t="str">
        <v/>
      </c>
      <c r="Z9" s="13" t="str">
        <v/>
      </c>
      <c r="AA9" t="str">
        <f t="shared" si="2"/>
        <v/>
      </c>
      <c r="AB9" t="str">
        <f>_xlfn.XLOOKUP(B:B,Disk_Pivot!G:G,Disk_Pivot!I:I)</f>
        <v>No</v>
      </c>
      <c r="AC9" t="str">
        <f>_xlfn.XLOOKUP(B9,Disk_Pivot!G:G,Disk_Pivot!N:N)</f>
        <v/>
      </c>
    </row>
    <row r="10" spans="1:35">
      <c r="A10" t="str">
        <f>_xlfn.TEXTJOIN("",TRUE,_xlfn.XLOOKUP(B10,Input!J:J,Input!G:G,"",0,1),_xlfn.XLOOKUP(B10,Input!J:J,Input!H:H,"",0,1))</f>
        <v/>
      </c>
      <c r="C10" s="13">
        <f>_xlfn.XLOOKUP(B10,Input!J:J,Input!F:F)</f>
        <v>0</v>
      </c>
      <c r="D10">
        <f>_xlfn.XLOOKUP(C10,Models!H:H,Models!G:G,C10)</f>
        <v>0</v>
      </c>
      <c r="F10" t="str">
        <f>_xlfn.XLOOKUP(H10,Models!B:B,Models!F:F,"")</f>
        <v/>
      </c>
      <c r="G10">
        <f>_xlfn.XLOOKUP(B10,Input!J:J,Input!E:E)</f>
        <v>0</v>
      </c>
      <c r="H10">
        <f>IF(G10="LENOVO",_xlfn.XLOOKUP(B10,Input!J:J,Input!K:K),_xlfn.XLOOKUP(B10,Input!J:J,Input!L:L))</f>
        <v>0</v>
      </c>
      <c r="K10">
        <f>_xlfn.XLOOKUP(B10,CPU_Formula!A:A,CPU_Formula!I:I)</f>
        <v>0</v>
      </c>
      <c r="L10" s="13" t="e">
        <f>INDEX(Input!$D$2:$AD$500,
       MATCH(B10, Input!$J$2:$J$500, 0),
       MATCH("Memory Capacity", Input!$D$1:$AD$1, 0))</f>
        <v>#N/A</v>
      </c>
      <c r="M10" s="13" t="e">
        <f>INDEX(Input!$D$2:$AD$500,
       MATCH(B10, Input!$J$2:$J$500, 0),
       MATCH("Memory Type", Input!$D$1:$AD$1, 0))</f>
        <v>#N/A</v>
      </c>
      <c r="N10" s="13" t="e">
        <f t="shared" si="0"/>
        <v>#N/A</v>
      </c>
      <c r="O10" s="13" t="str" cm="1">
        <f t="array" ref="O10">IFERROR(_xlfn.FILTERXML("&lt;t&gt;&lt;s&gt;" &amp; SUBSTITUTE(M10," / ","&lt;/s&gt;&lt;s&gt;") &amp; "&lt;/s&gt;&lt;/t&gt;","(//s[contains(.,'DDR')])[1]"),"")</f>
        <v/>
      </c>
      <c r="P10" t="e">
        <f t="shared" si="1"/>
        <v>#N/A</v>
      </c>
      <c r="Q10" t="str" cm="1">
        <f t="array" ref="Q10">_xlfn.TEXTJOIN(", ", TRUE, _xlfn._xlws.FILTER(Input!W:W, Input!J:J=B10))</f>
        <v/>
      </c>
      <c r="S10" s="13" t="str">
        <f>_xlfn.LET(_xlpm.Result,_xlfn.XLOOKUP(B10,Input!J:J,Input!AB:AB),IF(_xlpm.Result="","",_xlpm.Result))</f>
        <v/>
      </c>
      <c r="T10" s="13" t="str" cm="1">
        <f t="array" ref="T10">IFERROR(_xlfn.IFS(
   --S10&lt;55,"Battery Defect",
  -- S10&lt;=69,"Battery D",
  --S10&lt;=80,"Battery C",
 --S10&gt;80,""
),"")</f>
        <v/>
      </c>
      <c r="U10" s="13" t="str" cm="1">
        <f t="array" ref="U10:Z10">IFERROR(IF(_xlfn.XLOOKUP(B10,Input!J:J,Input!N:S)=0,"",
          _xlfn.XLOOKUP(B10,Input!J:J,Input!N:S)),"")</f>
        <v/>
      </c>
      <c r="V10" s="13" t="str">
        <v/>
      </c>
      <c r="W10" s="13" t="str">
        <v/>
      </c>
      <c r="X10" s="13" t="str">
        <v/>
      </c>
      <c r="Y10" s="13" t="str">
        <v/>
      </c>
      <c r="Z10" s="13" t="str">
        <v/>
      </c>
      <c r="AA10" t="str">
        <f t="shared" si="2"/>
        <v/>
      </c>
      <c r="AB10" t="str">
        <f>_xlfn.XLOOKUP(B:B,Disk_Pivot!G:G,Disk_Pivot!I:I)</f>
        <v>No</v>
      </c>
      <c r="AC10" t="str">
        <f>_xlfn.XLOOKUP(B10,Disk_Pivot!G:G,Disk_Pivot!N:N)</f>
        <v/>
      </c>
    </row>
    <row r="11" spans="1:35">
      <c r="A11" t="str">
        <f>_xlfn.TEXTJOIN("",TRUE,_xlfn.XLOOKUP(B11,Input!J:J,Input!G:G,"",0,1),_xlfn.XLOOKUP(B11,Input!J:J,Input!H:H,"",0,1))</f>
        <v/>
      </c>
      <c r="C11" s="13">
        <f>_xlfn.XLOOKUP(B11,Input!J:J,Input!F:F)</f>
        <v>0</v>
      </c>
      <c r="D11">
        <f>_xlfn.XLOOKUP(C11,Models!H:H,Models!G:G,C11)</f>
        <v>0</v>
      </c>
      <c r="F11" t="str">
        <f>_xlfn.XLOOKUP(H11,Models!B:B,Models!F:F,"")</f>
        <v/>
      </c>
      <c r="G11">
        <f>_xlfn.XLOOKUP(B11,Input!J:J,Input!E:E)</f>
        <v>0</v>
      </c>
      <c r="H11">
        <f>IF(G11="LENOVO",_xlfn.XLOOKUP(B11,Input!J:J,Input!K:K),_xlfn.XLOOKUP(B11,Input!J:J,Input!L:L))</f>
        <v>0</v>
      </c>
      <c r="K11">
        <f>_xlfn.XLOOKUP(B11,CPU_Formula!A:A,CPU_Formula!I:I)</f>
        <v>0</v>
      </c>
      <c r="L11" s="13" t="e">
        <f>INDEX(Input!$D$2:$AD$500,
       MATCH(B11, Input!$J$2:$J$500, 0),
       MATCH("Memory Capacity", Input!$D$1:$AD$1, 0))</f>
        <v>#N/A</v>
      </c>
      <c r="M11" s="13" t="e">
        <f>INDEX(Input!$D$2:$AD$500,
       MATCH(B11, Input!$J$2:$J$500, 0),
       MATCH("Memory Type", Input!$D$1:$AD$1, 0))</f>
        <v>#N/A</v>
      </c>
      <c r="N11" s="13" t="e">
        <f t="shared" si="0"/>
        <v>#N/A</v>
      </c>
      <c r="O11" s="13" t="str" cm="1">
        <f t="array" ref="O11">IFERROR(_xlfn.FILTERXML("&lt;t&gt;&lt;s&gt;" &amp; SUBSTITUTE(M11," / ","&lt;/s&gt;&lt;s&gt;") &amp; "&lt;/s&gt;&lt;/t&gt;","(//s[contains(.,'DDR')])[1]"),"")</f>
        <v/>
      </c>
      <c r="P11" t="e">
        <f t="shared" si="1"/>
        <v>#N/A</v>
      </c>
      <c r="Q11" t="str" cm="1">
        <f t="array" ref="Q11">_xlfn.TEXTJOIN(", ", TRUE, _xlfn._xlws.FILTER(Input!W:W, Input!J:J=B11))</f>
        <v/>
      </c>
      <c r="S11" s="13" t="str">
        <f>_xlfn.LET(_xlpm.Result,_xlfn.XLOOKUP(B11,Input!J:J,Input!AB:AB),IF(_xlpm.Result="","",_xlpm.Result))</f>
        <v/>
      </c>
      <c r="T11" s="13" t="str" cm="1">
        <f t="array" ref="T11">IFERROR(_xlfn.IFS(
   --S11&lt;55,"Battery Defect",
  -- S11&lt;=69,"Battery D",
  --S11&lt;=80,"Battery C",
 --S11&gt;80,""
),"")</f>
        <v/>
      </c>
      <c r="U11" s="13" t="str" cm="1">
        <f t="array" ref="U11:Z11">IFERROR(IF(_xlfn.XLOOKUP(B11,Input!J:J,Input!N:S)=0,"",
          _xlfn.XLOOKUP(B11,Input!J:J,Input!N:S)),"")</f>
        <v/>
      </c>
      <c r="V11" s="13" t="str">
        <v/>
      </c>
      <c r="W11" s="13" t="str">
        <v/>
      </c>
      <c r="X11" s="13" t="str">
        <v/>
      </c>
      <c r="Y11" s="13" t="str">
        <v/>
      </c>
      <c r="Z11" s="13" t="str">
        <v/>
      </c>
      <c r="AA11" t="str">
        <f t="shared" si="2"/>
        <v/>
      </c>
      <c r="AB11" t="str">
        <f>_xlfn.XLOOKUP(B:B,Disk_Pivot!G:G,Disk_Pivot!I:I)</f>
        <v>No</v>
      </c>
      <c r="AC11" t="str">
        <f>_xlfn.XLOOKUP(B11,Disk_Pivot!G:G,Disk_Pivot!N:N)</f>
        <v/>
      </c>
    </row>
    <row r="12" spans="1:35">
      <c r="A12" t="str">
        <f>_xlfn.TEXTJOIN("",TRUE,_xlfn.XLOOKUP(B12,Input!J:J,Input!G:G,"",0,1),_xlfn.XLOOKUP(B12,Input!J:J,Input!H:H,"",0,1))</f>
        <v/>
      </c>
      <c r="C12" s="13">
        <f>_xlfn.XLOOKUP(B12,Input!J:J,Input!F:F)</f>
        <v>0</v>
      </c>
      <c r="D12">
        <f>_xlfn.XLOOKUP(C12,Models!H:H,Models!G:G,C12)</f>
        <v>0</v>
      </c>
      <c r="F12" t="str">
        <f>_xlfn.XLOOKUP(H12,Models!B:B,Models!F:F,"")</f>
        <v/>
      </c>
      <c r="G12">
        <f>_xlfn.XLOOKUP(B12,Input!J:J,Input!E:E)</f>
        <v>0</v>
      </c>
      <c r="H12">
        <f>IF(G12="LENOVO",_xlfn.XLOOKUP(B12,Input!J:J,Input!K:K),_xlfn.XLOOKUP(B12,Input!J:J,Input!L:L))</f>
        <v>0</v>
      </c>
      <c r="K12">
        <f>_xlfn.XLOOKUP(B12,CPU_Formula!A:A,CPU_Formula!I:I)</f>
        <v>0</v>
      </c>
      <c r="L12" s="13" t="e">
        <f>INDEX(Input!$D$2:$AD$500,
       MATCH(B12, Input!$J$2:$J$500, 0),
       MATCH("Memory Capacity", Input!$D$1:$AD$1, 0))</f>
        <v>#N/A</v>
      </c>
      <c r="M12" s="13" t="e">
        <f>INDEX(Input!$D$2:$AD$500,
       MATCH(B12, Input!$J$2:$J$500, 0),
       MATCH("Memory Type", Input!$D$1:$AD$1, 0))</f>
        <v>#N/A</v>
      </c>
      <c r="N12" s="13" t="e">
        <f t="shared" si="0"/>
        <v>#N/A</v>
      </c>
      <c r="O12" s="13" t="str" cm="1">
        <f t="array" ref="O12">IFERROR(_xlfn.FILTERXML("&lt;t&gt;&lt;s&gt;" &amp; SUBSTITUTE(M12," / ","&lt;/s&gt;&lt;s&gt;") &amp; "&lt;/s&gt;&lt;/t&gt;","(//s[contains(.,'DDR')])[1]"),"")</f>
        <v/>
      </c>
      <c r="P12" t="e">
        <f t="shared" si="1"/>
        <v>#N/A</v>
      </c>
      <c r="Q12" t="str" cm="1">
        <f t="array" ref="Q12">_xlfn.TEXTJOIN(", ", TRUE, _xlfn._xlws.FILTER(Input!W:W, Input!J:J=B12))</f>
        <v/>
      </c>
      <c r="S12" s="13" t="str">
        <f>_xlfn.LET(_xlpm.Result,_xlfn.XLOOKUP(B12,Input!J:J,Input!AB:AB),IF(_xlpm.Result="","",_xlpm.Result))</f>
        <v/>
      </c>
      <c r="T12" s="13" t="str" cm="1">
        <f t="array" ref="T12">IFERROR(_xlfn.IFS(
   --S12&lt;55,"Battery Defect",
  -- S12&lt;=69,"Battery D",
  --S12&lt;=80,"Battery C",
 --S12&gt;80,""
),"")</f>
        <v/>
      </c>
      <c r="U12" s="13" t="str" cm="1">
        <f t="array" ref="U12:Z12">IFERROR(IF(_xlfn.XLOOKUP(B12,Input!J:J,Input!N:S)=0,"",
          _xlfn.XLOOKUP(B12,Input!J:J,Input!N:S)),"")</f>
        <v/>
      </c>
      <c r="V12" s="13" t="str">
        <v/>
      </c>
      <c r="W12" s="13" t="str">
        <v/>
      </c>
      <c r="X12" s="13" t="str">
        <v/>
      </c>
      <c r="Y12" s="13" t="str">
        <v/>
      </c>
      <c r="Z12" s="13" t="str">
        <v/>
      </c>
      <c r="AA12" t="str">
        <f t="shared" si="2"/>
        <v/>
      </c>
      <c r="AB12" t="str">
        <f>_xlfn.XLOOKUP(B:B,Disk_Pivot!G:G,Disk_Pivot!I:I)</f>
        <v>No</v>
      </c>
      <c r="AC12" t="str">
        <f>_xlfn.XLOOKUP(B12,Disk_Pivot!G:G,Disk_Pivot!N:N)</f>
        <v/>
      </c>
    </row>
    <row r="13" spans="1:35">
      <c r="A13" t="str">
        <f>_xlfn.TEXTJOIN("",TRUE,_xlfn.XLOOKUP(B13,Input!J:J,Input!G:G,"",0,1),_xlfn.XLOOKUP(B13,Input!J:J,Input!H:H,"",0,1))</f>
        <v/>
      </c>
      <c r="C13" s="13">
        <f>_xlfn.XLOOKUP(B13,Input!J:J,Input!F:F)</f>
        <v>0</v>
      </c>
      <c r="D13">
        <f>_xlfn.XLOOKUP(C13,Models!H:H,Models!G:G,C13)</f>
        <v>0</v>
      </c>
      <c r="F13" t="str">
        <f>_xlfn.XLOOKUP(H13,Models!B:B,Models!F:F,"")</f>
        <v/>
      </c>
      <c r="G13">
        <f>_xlfn.XLOOKUP(B13,Input!J:J,Input!E:E)</f>
        <v>0</v>
      </c>
      <c r="H13">
        <f>IF(G13="LENOVO",_xlfn.XLOOKUP(B13,Input!J:J,Input!K:K),_xlfn.XLOOKUP(B13,Input!J:J,Input!L:L))</f>
        <v>0</v>
      </c>
      <c r="K13">
        <f>_xlfn.XLOOKUP(B13,CPU_Formula!A:A,CPU_Formula!I:I)</f>
        <v>0</v>
      </c>
      <c r="L13" s="13" t="e">
        <f>INDEX(Input!$D$2:$AD$500,
       MATCH(B13, Input!$J$2:$J$500, 0),
       MATCH("Memory Capacity", Input!$D$1:$AD$1, 0))</f>
        <v>#N/A</v>
      </c>
      <c r="M13" s="13" t="e">
        <f>INDEX(Input!$D$2:$AD$500,
       MATCH(B13, Input!$J$2:$J$500, 0),
       MATCH("Memory Type", Input!$D$1:$AD$1, 0))</f>
        <v>#N/A</v>
      </c>
      <c r="N13" s="13" t="e">
        <f t="shared" si="0"/>
        <v>#N/A</v>
      </c>
      <c r="O13" s="13" t="str" cm="1">
        <f t="array" ref="O13">IFERROR(_xlfn.FILTERXML("&lt;t&gt;&lt;s&gt;" &amp; SUBSTITUTE(M13," / ","&lt;/s&gt;&lt;s&gt;") &amp; "&lt;/s&gt;&lt;/t&gt;","(//s[contains(.,'DDR')])[1]"),"")</f>
        <v/>
      </c>
      <c r="P13" t="e">
        <f t="shared" si="1"/>
        <v>#N/A</v>
      </c>
      <c r="Q13" t="str" cm="1">
        <f t="array" ref="Q13">_xlfn.TEXTJOIN(", ", TRUE, _xlfn._xlws.FILTER(Input!W:W, Input!J:J=B13))</f>
        <v/>
      </c>
      <c r="S13" s="13" t="str">
        <f>_xlfn.LET(_xlpm.Result,_xlfn.XLOOKUP(B13,Input!J:J,Input!AB:AB),IF(_xlpm.Result="","",_xlpm.Result))</f>
        <v/>
      </c>
      <c r="T13" s="13" t="str" cm="1">
        <f t="array" ref="T13">IFERROR(_xlfn.IFS(
   --S13&lt;55,"Battery Defect",
  -- S13&lt;=69,"Battery D",
  --S13&lt;=80,"Battery C",
 --S13&gt;80,""
),"")</f>
        <v/>
      </c>
      <c r="U13" s="13" t="str" cm="1">
        <f t="array" ref="U13:Z13">IFERROR(IF(_xlfn.XLOOKUP(B13,Input!J:J,Input!N:S)=0,"",
          _xlfn.XLOOKUP(B13,Input!J:J,Input!N:S)),"")</f>
        <v/>
      </c>
      <c r="V13" s="13" t="str">
        <v/>
      </c>
      <c r="W13" s="13" t="str">
        <v/>
      </c>
      <c r="X13" s="13" t="str">
        <v/>
      </c>
      <c r="Y13" s="13" t="str">
        <v/>
      </c>
      <c r="Z13" s="13" t="str">
        <v/>
      </c>
      <c r="AA13" t="str">
        <f t="shared" si="2"/>
        <v/>
      </c>
      <c r="AB13" t="str">
        <f>_xlfn.XLOOKUP(B:B,Disk_Pivot!G:G,Disk_Pivot!I:I)</f>
        <v>No</v>
      </c>
      <c r="AC13" t="str">
        <f>_xlfn.XLOOKUP(B13,Disk_Pivot!G:G,Disk_Pivot!N:N)</f>
        <v/>
      </c>
    </row>
    <row r="14" spans="1:35">
      <c r="A14" t="str">
        <f>_xlfn.TEXTJOIN("",TRUE,_xlfn.XLOOKUP(B14,Input!J:J,Input!G:G,"",0,1),_xlfn.XLOOKUP(B14,Input!J:J,Input!H:H,"",0,1))</f>
        <v/>
      </c>
      <c r="C14" s="13">
        <f>_xlfn.XLOOKUP(B14,Input!J:J,Input!F:F)</f>
        <v>0</v>
      </c>
      <c r="D14">
        <f>_xlfn.XLOOKUP(C14,Models!H:H,Models!G:G,C14)</f>
        <v>0</v>
      </c>
      <c r="F14" t="str">
        <f>_xlfn.XLOOKUP(H14,Models!B:B,Models!F:F,"")</f>
        <v/>
      </c>
      <c r="G14">
        <f>_xlfn.XLOOKUP(B14,Input!J:J,Input!E:E)</f>
        <v>0</v>
      </c>
      <c r="H14">
        <f>IF(G14="LENOVO",_xlfn.XLOOKUP(B14,Input!J:J,Input!K:K),_xlfn.XLOOKUP(B14,Input!J:J,Input!L:L))</f>
        <v>0</v>
      </c>
      <c r="K14">
        <f>_xlfn.XLOOKUP(B14,CPU_Formula!A:A,CPU_Formula!I:I)</f>
        <v>0</v>
      </c>
      <c r="L14" s="13" t="e">
        <f>INDEX(Input!$D$2:$AD$500,
       MATCH(B14, Input!$J$2:$J$500, 0),
       MATCH("Memory Capacity", Input!$D$1:$AD$1, 0))</f>
        <v>#N/A</v>
      </c>
      <c r="M14" s="13" t="e">
        <f>INDEX(Input!$D$2:$AD$500,
       MATCH(B14, Input!$J$2:$J$500, 0),
       MATCH("Memory Type", Input!$D$1:$AD$1, 0))</f>
        <v>#N/A</v>
      </c>
      <c r="N14" s="13" t="e">
        <f t="shared" si="0"/>
        <v>#N/A</v>
      </c>
      <c r="O14" s="13" t="str" cm="1">
        <f t="array" ref="O14">IFERROR(_xlfn.FILTERXML("&lt;t&gt;&lt;s&gt;" &amp; SUBSTITUTE(M14," / ","&lt;/s&gt;&lt;s&gt;") &amp; "&lt;/s&gt;&lt;/t&gt;","(//s[contains(.,'DDR')])[1]"),"")</f>
        <v/>
      </c>
      <c r="P14" t="e">
        <f t="shared" si="1"/>
        <v>#N/A</v>
      </c>
      <c r="Q14" t="str" cm="1">
        <f t="array" ref="Q14">_xlfn.TEXTJOIN(", ", TRUE, _xlfn._xlws.FILTER(Input!W:W, Input!J:J=B14))</f>
        <v/>
      </c>
      <c r="S14" s="13" t="str">
        <f>_xlfn.LET(_xlpm.Result,_xlfn.XLOOKUP(B14,Input!J:J,Input!AB:AB),IF(_xlpm.Result="","",_xlpm.Result))</f>
        <v/>
      </c>
      <c r="T14" s="13" t="str" cm="1">
        <f t="array" ref="T14">IFERROR(_xlfn.IFS(
   --S14&lt;55,"Battery Defect",
  -- S14&lt;=69,"Battery D",
  --S14&lt;=80,"Battery C",
 --S14&gt;80,""
),"")</f>
        <v/>
      </c>
      <c r="U14" s="13" t="str" cm="1">
        <f t="array" ref="U14:Z14">IFERROR(IF(_xlfn.XLOOKUP(B14,Input!J:J,Input!N:S)=0,"",
          _xlfn.XLOOKUP(B14,Input!J:J,Input!N:S)),"")</f>
        <v/>
      </c>
      <c r="V14" s="13" t="str">
        <v/>
      </c>
      <c r="W14" s="13" t="str">
        <v/>
      </c>
      <c r="X14" s="13" t="str">
        <v/>
      </c>
      <c r="Y14" s="13" t="str">
        <v/>
      </c>
      <c r="Z14" s="13" t="str">
        <v/>
      </c>
      <c r="AA14" t="str">
        <f t="shared" si="2"/>
        <v/>
      </c>
      <c r="AB14" t="str">
        <f>_xlfn.XLOOKUP(B:B,Disk_Pivot!G:G,Disk_Pivot!I:I)</f>
        <v>No</v>
      </c>
      <c r="AC14" t="str">
        <f>_xlfn.XLOOKUP(B14,Disk_Pivot!G:G,Disk_Pivot!N:N)</f>
        <v/>
      </c>
    </row>
    <row r="15" spans="1:35">
      <c r="A15" t="str">
        <f>_xlfn.TEXTJOIN("",TRUE,_xlfn.XLOOKUP(B15,Input!J:J,Input!G:G,"",0,1),_xlfn.XLOOKUP(B15,Input!J:J,Input!H:H,"",0,1))</f>
        <v/>
      </c>
      <c r="C15" s="13">
        <f>_xlfn.XLOOKUP(B15,Input!J:J,Input!F:F)</f>
        <v>0</v>
      </c>
      <c r="D15">
        <f>_xlfn.XLOOKUP(C15,Models!H:H,Models!G:G,C15)</f>
        <v>0</v>
      </c>
      <c r="F15" t="str">
        <f>_xlfn.XLOOKUP(H15,Models!B:B,Models!F:F,"")</f>
        <v/>
      </c>
      <c r="G15">
        <f>_xlfn.XLOOKUP(B15,Input!J:J,Input!E:E)</f>
        <v>0</v>
      </c>
      <c r="H15">
        <f>IF(G15="LENOVO",_xlfn.XLOOKUP(B15,Input!J:J,Input!K:K),_xlfn.XLOOKUP(B15,Input!J:J,Input!L:L))</f>
        <v>0</v>
      </c>
      <c r="K15">
        <f>_xlfn.XLOOKUP(B15,CPU_Formula!A:A,CPU_Formula!I:I)</f>
        <v>0</v>
      </c>
      <c r="L15" s="13" t="e">
        <f>INDEX(Input!$D$2:$AD$500,
       MATCH(B15, Input!$J$2:$J$500, 0),
       MATCH("Memory Capacity", Input!$D$1:$AD$1, 0))</f>
        <v>#N/A</v>
      </c>
      <c r="M15" s="13" t="e">
        <f>INDEX(Input!$D$2:$AD$500,
       MATCH(B15, Input!$J$2:$J$500, 0),
       MATCH("Memory Type", Input!$D$1:$AD$1, 0))</f>
        <v>#N/A</v>
      </c>
      <c r="N15" s="13" t="e">
        <f t="shared" si="0"/>
        <v>#N/A</v>
      </c>
      <c r="O15" s="13" t="str" cm="1">
        <f t="array" ref="O15">IFERROR(_xlfn.FILTERXML("&lt;t&gt;&lt;s&gt;" &amp; SUBSTITUTE(M15," / ","&lt;/s&gt;&lt;s&gt;") &amp; "&lt;/s&gt;&lt;/t&gt;","(//s[contains(.,'DDR')])[1]"),"")</f>
        <v/>
      </c>
      <c r="P15" t="e">
        <f t="shared" si="1"/>
        <v>#N/A</v>
      </c>
      <c r="Q15" t="str" cm="1">
        <f t="array" ref="Q15">_xlfn.TEXTJOIN(", ", TRUE, _xlfn._xlws.FILTER(Input!W:W, Input!J:J=B15))</f>
        <v/>
      </c>
      <c r="S15" s="13" t="str">
        <f>_xlfn.LET(_xlpm.Result,_xlfn.XLOOKUP(B15,Input!J:J,Input!AB:AB),IF(_xlpm.Result="","",_xlpm.Result))</f>
        <v/>
      </c>
      <c r="T15" s="13" t="str" cm="1">
        <f t="array" ref="T15">IFERROR(_xlfn.IFS(
   --S15&lt;55,"Battery Defect",
  -- S15&lt;=69,"Battery D",
  --S15&lt;=80,"Battery C",
 --S15&gt;80,""
),"")</f>
        <v/>
      </c>
      <c r="U15" s="13" t="str" cm="1">
        <f t="array" ref="U15:Z15">IFERROR(IF(_xlfn.XLOOKUP(B15,Input!J:J,Input!N:S)=0,"",
          _xlfn.XLOOKUP(B15,Input!J:J,Input!N:S)),"")</f>
        <v/>
      </c>
      <c r="V15" s="13" t="str">
        <v/>
      </c>
      <c r="W15" s="13" t="str">
        <v/>
      </c>
      <c r="X15" s="13" t="str">
        <v/>
      </c>
      <c r="Y15" s="13" t="str">
        <v/>
      </c>
      <c r="Z15" s="13" t="str">
        <v/>
      </c>
      <c r="AA15" t="str">
        <f t="shared" si="2"/>
        <v/>
      </c>
      <c r="AB15" t="str">
        <f>_xlfn.XLOOKUP(B:B,Disk_Pivot!G:G,Disk_Pivot!I:I)</f>
        <v>No</v>
      </c>
      <c r="AC15" t="str">
        <f>_xlfn.XLOOKUP(B15,Disk_Pivot!G:G,Disk_Pivot!N:N)</f>
        <v/>
      </c>
    </row>
    <row r="16" spans="1:35">
      <c r="A16" t="str">
        <f>_xlfn.TEXTJOIN("",TRUE,_xlfn.XLOOKUP(B16,Input!J:J,Input!G:G,"",0,1),_xlfn.XLOOKUP(B16,Input!J:J,Input!H:H,"",0,1))</f>
        <v/>
      </c>
      <c r="C16" s="13">
        <f>_xlfn.XLOOKUP(B16,Input!J:J,Input!F:F)</f>
        <v>0</v>
      </c>
      <c r="D16">
        <f>_xlfn.XLOOKUP(C16,Models!H:H,Models!G:G,C16)</f>
        <v>0</v>
      </c>
      <c r="F16" t="str">
        <f>_xlfn.XLOOKUP(H16,Models!B:B,Models!F:F,"")</f>
        <v/>
      </c>
      <c r="G16">
        <f>_xlfn.XLOOKUP(B16,Input!J:J,Input!E:E)</f>
        <v>0</v>
      </c>
      <c r="H16">
        <f>IF(G16="LENOVO",_xlfn.XLOOKUP(B16,Input!J:J,Input!K:K),_xlfn.XLOOKUP(B16,Input!J:J,Input!L:L))</f>
        <v>0</v>
      </c>
      <c r="K16">
        <f>_xlfn.XLOOKUP(B16,CPU_Formula!A:A,CPU_Formula!I:I)</f>
        <v>0</v>
      </c>
      <c r="L16" s="13" t="e">
        <f>INDEX(Input!$D$2:$AD$500,
       MATCH(B16, Input!$J$2:$J$500, 0),
       MATCH("Memory Capacity", Input!$D$1:$AD$1, 0))</f>
        <v>#N/A</v>
      </c>
      <c r="M16" s="13" t="e">
        <f>INDEX(Input!$D$2:$AD$500,
       MATCH(B16, Input!$J$2:$J$500, 0),
       MATCH("Memory Type", Input!$D$1:$AD$1, 0))</f>
        <v>#N/A</v>
      </c>
      <c r="N16" s="13" t="e">
        <f t="shared" si="0"/>
        <v>#N/A</v>
      </c>
      <c r="O16" s="13" t="str" cm="1">
        <f t="array" ref="O16">IFERROR(_xlfn.FILTERXML("&lt;t&gt;&lt;s&gt;" &amp; SUBSTITUTE(M16," / ","&lt;/s&gt;&lt;s&gt;") &amp; "&lt;/s&gt;&lt;/t&gt;","(//s[contains(.,'DDR')])[1]"),"")</f>
        <v/>
      </c>
      <c r="P16" t="e">
        <f t="shared" si="1"/>
        <v>#N/A</v>
      </c>
      <c r="Q16" t="str" cm="1">
        <f t="array" ref="Q16">_xlfn.TEXTJOIN(", ", TRUE, _xlfn._xlws.FILTER(Input!W:W, Input!J:J=B16))</f>
        <v/>
      </c>
      <c r="S16" s="13" t="str">
        <f>_xlfn.LET(_xlpm.Result,_xlfn.XLOOKUP(B16,Input!J:J,Input!AB:AB),IF(_xlpm.Result="","",_xlpm.Result))</f>
        <v/>
      </c>
      <c r="T16" s="13" t="str" cm="1">
        <f t="array" ref="T16">IFERROR(_xlfn.IFS(
   --S16&lt;55,"Battery Defect",
  -- S16&lt;=69,"Battery D",
  --S16&lt;=80,"Battery C",
 --S16&gt;80,""
),"")</f>
        <v/>
      </c>
      <c r="U16" s="13" t="str" cm="1">
        <f t="array" ref="U16:Z16">IFERROR(IF(_xlfn.XLOOKUP(B16,Input!J:J,Input!N:S)=0,"",
          _xlfn.XLOOKUP(B16,Input!J:J,Input!N:S)),"")</f>
        <v/>
      </c>
      <c r="V16" s="13" t="str">
        <v/>
      </c>
      <c r="W16" s="13" t="str">
        <v/>
      </c>
      <c r="X16" s="13" t="str">
        <v/>
      </c>
      <c r="Y16" s="13" t="str">
        <v/>
      </c>
      <c r="Z16" s="13" t="str">
        <v/>
      </c>
      <c r="AA16" t="str">
        <f t="shared" si="2"/>
        <v/>
      </c>
      <c r="AB16" t="str">
        <f>_xlfn.XLOOKUP(B:B,Disk_Pivot!G:G,Disk_Pivot!I:I)</f>
        <v>No</v>
      </c>
      <c r="AC16" t="str">
        <f>_xlfn.XLOOKUP(B16,Disk_Pivot!G:G,Disk_Pivot!N:N)</f>
        <v/>
      </c>
    </row>
    <row r="17" spans="1:29">
      <c r="A17" t="str">
        <f>_xlfn.TEXTJOIN("",TRUE,_xlfn.XLOOKUP(B17,Input!J:J,Input!G:G,"",0,1),_xlfn.XLOOKUP(B17,Input!J:J,Input!H:H,"",0,1))</f>
        <v/>
      </c>
      <c r="C17" s="13">
        <f>_xlfn.XLOOKUP(B17,Input!J:J,Input!F:F)</f>
        <v>0</v>
      </c>
      <c r="D17">
        <f>_xlfn.XLOOKUP(C17,Models!H:H,Models!G:G,C17)</f>
        <v>0</v>
      </c>
      <c r="F17" t="str">
        <f>_xlfn.XLOOKUP(H17,Models!B:B,Models!F:F,"")</f>
        <v/>
      </c>
      <c r="G17">
        <f>_xlfn.XLOOKUP(B17,Input!J:J,Input!E:E)</f>
        <v>0</v>
      </c>
      <c r="H17">
        <f>IF(G17="LENOVO",_xlfn.XLOOKUP(B17,Input!J:J,Input!K:K),_xlfn.XLOOKUP(B17,Input!J:J,Input!L:L))</f>
        <v>0</v>
      </c>
      <c r="K17">
        <f>_xlfn.XLOOKUP(B17,CPU_Formula!A:A,CPU_Formula!I:I)</f>
        <v>0</v>
      </c>
      <c r="L17" s="13" t="e">
        <f>INDEX(Input!$D$2:$AD$500,
       MATCH(B17, Input!$J$2:$J$500, 0),
       MATCH("Memory Capacity", Input!$D$1:$AD$1, 0))</f>
        <v>#N/A</v>
      </c>
      <c r="M17" s="13" t="e">
        <f>INDEX(Input!$D$2:$AD$500,
       MATCH(B17, Input!$J$2:$J$500, 0),
       MATCH("Memory Type", Input!$D$1:$AD$1, 0))</f>
        <v>#N/A</v>
      </c>
      <c r="N17" s="13" t="e">
        <f t="shared" si="0"/>
        <v>#N/A</v>
      </c>
      <c r="O17" s="13" t="str" cm="1">
        <f t="array" ref="O17">IFERROR(_xlfn.FILTERXML("&lt;t&gt;&lt;s&gt;" &amp; SUBSTITUTE(M17," / ","&lt;/s&gt;&lt;s&gt;") &amp; "&lt;/s&gt;&lt;/t&gt;","(//s[contains(.,'DDR')])[1]"),"")</f>
        <v/>
      </c>
      <c r="P17" t="e">
        <f t="shared" si="1"/>
        <v>#N/A</v>
      </c>
      <c r="Q17" t="str" cm="1">
        <f t="array" ref="Q17">_xlfn.TEXTJOIN(", ", TRUE, _xlfn._xlws.FILTER(Input!W:W, Input!J:J=B17))</f>
        <v/>
      </c>
      <c r="S17" s="13" t="str">
        <f>_xlfn.LET(_xlpm.Result,_xlfn.XLOOKUP(B17,Input!J:J,Input!AB:AB),IF(_xlpm.Result="","",_xlpm.Result))</f>
        <v/>
      </c>
      <c r="T17" s="13" t="str" cm="1">
        <f t="array" ref="T17">IFERROR(_xlfn.IFS(
   --S17&lt;55,"Battery Defect",
  -- S17&lt;=69,"Battery D",
  --S17&lt;=80,"Battery C",
 --S17&gt;80,""
),"")</f>
        <v/>
      </c>
      <c r="U17" s="13" t="str" cm="1">
        <f t="array" ref="U17:Z17">IFERROR(IF(_xlfn.XLOOKUP(B17,Input!J:J,Input!N:S)=0,"",
          _xlfn.XLOOKUP(B17,Input!J:J,Input!N:S)),"")</f>
        <v/>
      </c>
      <c r="V17" s="13" t="str">
        <v/>
      </c>
      <c r="W17" s="13" t="str">
        <v/>
      </c>
      <c r="X17" s="13" t="str">
        <v/>
      </c>
      <c r="Y17" s="13" t="str">
        <v/>
      </c>
      <c r="Z17" s="13" t="str">
        <v/>
      </c>
      <c r="AA17" t="str">
        <f t="shared" si="2"/>
        <v/>
      </c>
      <c r="AB17" t="str">
        <f>_xlfn.XLOOKUP(B:B,Disk_Pivot!G:G,Disk_Pivot!I:I)</f>
        <v>No</v>
      </c>
      <c r="AC17" t="str">
        <f>_xlfn.XLOOKUP(B17,Disk_Pivot!G:G,Disk_Pivot!N:N)</f>
        <v/>
      </c>
    </row>
    <row r="18" spans="1:29">
      <c r="A18" t="str">
        <f>_xlfn.TEXTJOIN("",TRUE,_xlfn.XLOOKUP(B18,Input!J:J,Input!G:G,"",0,1),_xlfn.XLOOKUP(B18,Input!J:J,Input!H:H,"",0,1))</f>
        <v/>
      </c>
      <c r="C18" s="13">
        <f>_xlfn.XLOOKUP(B18,Input!J:J,Input!F:F)</f>
        <v>0</v>
      </c>
      <c r="D18">
        <f>_xlfn.XLOOKUP(C18,Models!H:H,Models!G:G,C18)</f>
        <v>0</v>
      </c>
      <c r="F18" t="str">
        <f>_xlfn.XLOOKUP(H18,Models!B:B,Models!F:F,"")</f>
        <v/>
      </c>
      <c r="G18">
        <f>_xlfn.XLOOKUP(B18,Input!J:J,Input!E:E)</f>
        <v>0</v>
      </c>
      <c r="H18">
        <f>IF(G18="LENOVO",_xlfn.XLOOKUP(B18,Input!J:J,Input!K:K),_xlfn.XLOOKUP(B18,Input!J:J,Input!L:L))</f>
        <v>0</v>
      </c>
      <c r="K18">
        <f>_xlfn.XLOOKUP(B18,CPU_Formula!A:A,CPU_Formula!I:I)</f>
        <v>0</v>
      </c>
      <c r="L18" s="13" t="e">
        <f>INDEX(Input!$D$2:$AD$500,
       MATCH(B18, Input!$J$2:$J$500, 0),
       MATCH("Memory Capacity", Input!$D$1:$AD$1, 0))</f>
        <v>#N/A</v>
      </c>
      <c r="M18" s="13" t="e">
        <f>INDEX(Input!$D$2:$AD$500,
       MATCH(B18, Input!$J$2:$J$500, 0),
       MATCH("Memory Type", Input!$D$1:$AD$1, 0))</f>
        <v>#N/A</v>
      </c>
      <c r="N18" s="13" t="e">
        <f t="shared" si="0"/>
        <v>#N/A</v>
      </c>
      <c r="O18" s="13" t="str" cm="1">
        <f t="array" ref="O18">IFERROR(_xlfn.FILTERXML("&lt;t&gt;&lt;s&gt;" &amp; SUBSTITUTE(M18," / ","&lt;/s&gt;&lt;s&gt;") &amp; "&lt;/s&gt;&lt;/t&gt;","(//s[contains(.,'DDR')])[1]"),"")</f>
        <v/>
      </c>
      <c r="P18" t="e">
        <f t="shared" si="1"/>
        <v>#N/A</v>
      </c>
      <c r="Q18" t="str" cm="1">
        <f t="array" ref="Q18">_xlfn.TEXTJOIN(", ", TRUE, _xlfn._xlws.FILTER(Input!W:W, Input!J:J=B18))</f>
        <v/>
      </c>
      <c r="S18" s="13" t="str">
        <f>_xlfn.LET(_xlpm.Result,_xlfn.XLOOKUP(B18,Input!J:J,Input!AB:AB),IF(_xlpm.Result="","",_xlpm.Result))</f>
        <v/>
      </c>
      <c r="T18" s="13" t="str" cm="1">
        <f t="array" ref="T18">IFERROR(_xlfn.IFS(
   --S18&lt;55,"Battery Defect",
  -- S18&lt;=69,"Battery D",
  --S18&lt;=80,"Battery C",
 --S18&gt;80,""
),"")</f>
        <v/>
      </c>
      <c r="U18" s="13" t="str" cm="1">
        <f t="array" ref="U18:Z18">IFERROR(IF(_xlfn.XLOOKUP(B18,Input!J:J,Input!N:S)=0,"",
          _xlfn.XLOOKUP(B18,Input!J:J,Input!N:S)),"")</f>
        <v/>
      </c>
      <c r="V18" s="13" t="str">
        <v/>
      </c>
      <c r="W18" s="13" t="str">
        <v/>
      </c>
      <c r="X18" s="13" t="str">
        <v/>
      </c>
      <c r="Y18" s="13" t="str">
        <v/>
      </c>
      <c r="Z18" s="13" t="str">
        <v/>
      </c>
      <c r="AA18" t="str">
        <f t="shared" si="2"/>
        <v/>
      </c>
      <c r="AB18" t="str">
        <f>_xlfn.XLOOKUP(B:B,Disk_Pivot!G:G,Disk_Pivot!I:I)</f>
        <v>No</v>
      </c>
      <c r="AC18" t="str">
        <f>_xlfn.XLOOKUP(B18,Disk_Pivot!G:G,Disk_Pivot!N:N)</f>
        <v/>
      </c>
    </row>
    <row r="19" spans="1:29">
      <c r="A19" t="str">
        <f>_xlfn.TEXTJOIN("",TRUE,_xlfn.XLOOKUP(B19,Input!J:J,Input!G:G,"",0,1),_xlfn.XLOOKUP(B19,Input!J:J,Input!H:H,"",0,1))</f>
        <v/>
      </c>
      <c r="C19" s="13">
        <f>_xlfn.XLOOKUP(B19,Input!J:J,Input!F:F)</f>
        <v>0</v>
      </c>
      <c r="D19">
        <f>_xlfn.XLOOKUP(C19,Models!H:H,Models!G:G,C19)</f>
        <v>0</v>
      </c>
      <c r="F19" t="str">
        <f>_xlfn.XLOOKUP(H19,Models!B:B,Models!F:F,"")</f>
        <v/>
      </c>
      <c r="G19">
        <f>_xlfn.XLOOKUP(B19,Input!J:J,Input!E:E)</f>
        <v>0</v>
      </c>
      <c r="H19">
        <f>IF(G19="LENOVO",_xlfn.XLOOKUP(B19,Input!J:J,Input!K:K),_xlfn.XLOOKUP(B19,Input!J:J,Input!L:L))</f>
        <v>0</v>
      </c>
      <c r="K19">
        <f>_xlfn.XLOOKUP(B19,CPU_Formula!A:A,CPU_Formula!I:I)</f>
        <v>0</v>
      </c>
      <c r="L19" s="13" t="e">
        <f>INDEX(Input!$D$2:$AD$500,
       MATCH(B19, Input!$J$2:$J$500, 0),
       MATCH("Memory Capacity", Input!$D$1:$AD$1, 0))</f>
        <v>#N/A</v>
      </c>
      <c r="M19" s="13" t="e">
        <f>INDEX(Input!$D$2:$AD$500,
       MATCH(B19, Input!$J$2:$J$500, 0),
       MATCH("Memory Type", Input!$D$1:$AD$1, 0))</f>
        <v>#N/A</v>
      </c>
      <c r="N19" s="13" t="e">
        <f t="shared" si="0"/>
        <v>#N/A</v>
      </c>
      <c r="O19" s="13" t="str" cm="1">
        <f t="array" ref="O19">IFERROR(_xlfn.FILTERXML("&lt;t&gt;&lt;s&gt;" &amp; SUBSTITUTE(M19," / ","&lt;/s&gt;&lt;s&gt;") &amp; "&lt;/s&gt;&lt;/t&gt;","(//s[contains(.,'DDR')])[1]"),"")</f>
        <v/>
      </c>
      <c r="P19" t="e">
        <f t="shared" si="1"/>
        <v>#N/A</v>
      </c>
      <c r="Q19" t="str" cm="1">
        <f t="array" ref="Q19">_xlfn.TEXTJOIN(", ", TRUE, _xlfn._xlws.FILTER(Input!W:W, Input!J:J=B19))</f>
        <v/>
      </c>
      <c r="S19" s="13" t="str">
        <f>_xlfn.LET(_xlpm.Result,_xlfn.XLOOKUP(B19,Input!J:J,Input!AB:AB),IF(_xlpm.Result="","",_xlpm.Result))</f>
        <v/>
      </c>
      <c r="T19" s="13" t="str" cm="1">
        <f t="array" ref="T19">IFERROR(_xlfn.IFS(
   --S19&lt;55,"Battery Defect",
  -- S19&lt;=69,"Battery D",
  --S19&lt;=80,"Battery C",
 --S19&gt;80,""
),"")</f>
        <v/>
      </c>
      <c r="U19" s="13" t="str" cm="1">
        <f t="array" ref="U19:Z19">IFERROR(IF(_xlfn.XLOOKUP(B19,Input!J:J,Input!N:S)=0,"",
          _xlfn.XLOOKUP(B19,Input!J:J,Input!N:S)),"")</f>
        <v/>
      </c>
      <c r="V19" s="13" t="str">
        <v/>
      </c>
      <c r="W19" s="13" t="str">
        <v/>
      </c>
      <c r="X19" s="13" t="str">
        <v/>
      </c>
      <c r="Y19" s="13" t="str">
        <v/>
      </c>
      <c r="Z19" s="13" t="str">
        <v/>
      </c>
      <c r="AA19" t="str">
        <f t="shared" si="2"/>
        <v/>
      </c>
      <c r="AB19" t="str">
        <f>_xlfn.XLOOKUP(B:B,Disk_Pivot!G:G,Disk_Pivot!I:I)</f>
        <v>No</v>
      </c>
      <c r="AC19" t="str">
        <f>_xlfn.XLOOKUP(B19,Disk_Pivot!G:G,Disk_Pivot!N:N)</f>
        <v/>
      </c>
    </row>
    <row r="20" spans="1:29">
      <c r="A20" t="str">
        <f>_xlfn.TEXTJOIN("",TRUE,_xlfn.XLOOKUP(B20,Input!J:J,Input!G:G,"",0,1),_xlfn.XLOOKUP(B20,Input!J:J,Input!H:H,"",0,1))</f>
        <v/>
      </c>
      <c r="C20" s="13">
        <f>_xlfn.XLOOKUP(B20,Input!J:J,Input!F:F)</f>
        <v>0</v>
      </c>
      <c r="D20">
        <f>_xlfn.XLOOKUP(C20,Models!H:H,Models!G:G,C20)</f>
        <v>0</v>
      </c>
      <c r="F20" t="str">
        <f>_xlfn.XLOOKUP(H20,Models!B:B,Models!F:F,"")</f>
        <v/>
      </c>
      <c r="G20">
        <f>_xlfn.XLOOKUP(B20,Input!J:J,Input!E:E)</f>
        <v>0</v>
      </c>
      <c r="H20">
        <f>IF(G20="LENOVO",_xlfn.XLOOKUP(B20,Input!J:J,Input!K:K),_xlfn.XLOOKUP(B20,Input!J:J,Input!L:L))</f>
        <v>0</v>
      </c>
      <c r="K20">
        <f>_xlfn.XLOOKUP(B20,CPU_Formula!A:A,CPU_Formula!I:I)</f>
        <v>0</v>
      </c>
      <c r="L20" s="13" t="e">
        <f>INDEX(Input!$D$2:$AD$500,
       MATCH(B20, Input!$J$2:$J$500, 0),
       MATCH("Memory Capacity", Input!$D$1:$AD$1, 0))</f>
        <v>#N/A</v>
      </c>
      <c r="M20" s="13" t="e">
        <f>INDEX(Input!$D$2:$AD$500,
       MATCH(B20, Input!$J$2:$J$500, 0),
       MATCH("Memory Type", Input!$D$1:$AD$1, 0))</f>
        <v>#N/A</v>
      </c>
      <c r="N20" s="13" t="e">
        <f t="shared" si="0"/>
        <v>#N/A</v>
      </c>
      <c r="O20" s="13" t="str" cm="1">
        <f t="array" ref="O20">IFERROR(_xlfn.FILTERXML("&lt;t&gt;&lt;s&gt;" &amp; SUBSTITUTE(M20," / ","&lt;/s&gt;&lt;s&gt;") &amp; "&lt;/s&gt;&lt;/t&gt;","(//s[contains(.,'DDR')])[1]"),"")</f>
        <v/>
      </c>
      <c r="P20" t="e">
        <f t="shared" si="1"/>
        <v>#N/A</v>
      </c>
      <c r="Q20" t="str" cm="1">
        <f t="array" ref="Q20">_xlfn.TEXTJOIN(", ", TRUE, _xlfn._xlws.FILTER(Input!W:W, Input!J:J=B20))</f>
        <v/>
      </c>
      <c r="S20" s="13" t="e">
        <f>_xlfn.LET(_xlpm.Result,_xlfn.XLOOKUP(B20,Input!J:J,Input!AB:AB),IF(_xlpm.Result="","",_xlpm.Result))</f>
        <v>#N/A</v>
      </c>
      <c r="T20" s="13" t="str" cm="1">
        <f t="array" ref="T20">IFERROR(_xlfn.IFS(
   --S20&lt;55,"Battery Defect",
  -- S20&lt;=69,"Battery D",
  --S20&lt;=80,"Battery C",
 --S20&gt;80,""
),"")</f>
        <v/>
      </c>
      <c r="U20" s="13" t="str" cm="1">
        <f t="array" ref="U20:Z20">IFERROR(IF(_xlfn.XLOOKUP(B20,Input!J:J,Input!N:S)=0,"",
          _xlfn.XLOOKUP(B20,Input!J:J,Input!N:S)),"")</f>
        <v/>
      </c>
      <c r="V20" s="13" t="str">
        <v/>
      </c>
      <c r="W20" s="13" t="str">
        <v/>
      </c>
      <c r="X20" s="13" t="str">
        <v/>
      </c>
      <c r="Y20" s="13" t="str">
        <v/>
      </c>
      <c r="Z20" s="13" t="str">
        <v/>
      </c>
      <c r="AA20" t="str">
        <f t="shared" si="2"/>
        <v/>
      </c>
      <c r="AB20" t="str">
        <f>_xlfn.XLOOKUP(B:B,Disk_Pivot!G:G,Disk_Pivot!I:I)</f>
        <v>No</v>
      </c>
      <c r="AC20" t="str">
        <f>_xlfn.XLOOKUP(B20,Disk_Pivot!G:G,Disk_Pivot!N:N)</f>
        <v/>
      </c>
    </row>
    <row r="21" spans="1:29">
      <c r="A21" t="str">
        <f>_xlfn.TEXTJOIN("",TRUE,_xlfn.XLOOKUP(B21,Input!J:J,Input!G:G,"",0,1),_xlfn.XLOOKUP(B21,Input!J:J,Input!H:H,"",0,1))</f>
        <v/>
      </c>
      <c r="C21" s="13">
        <f>_xlfn.XLOOKUP(B21,Input!J:J,Input!F:F)</f>
        <v>0</v>
      </c>
      <c r="D21">
        <f>_xlfn.XLOOKUP(C21,Models!H:H,Models!G:G,C21)</f>
        <v>0</v>
      </c>
      <c r="F21" t="str">
        <f>_xlfn.XLOOKUP(H21,Models!B:B,Models!F:F,"")</f>
        <v/>
      </c>
      <c r="G21">
        <f>_xlfn.XLOOKUP(B21,Input!J:J,Input!E:E)</f>
        <v>0</v>
      </c>
      <c r="H21">
        <f>IF(G21="LENOVO",_xlfn.XLOOKUP(B21,Input!J:J,Input!K:K),_xlfn.XLOOKUP(B21,Input!J:J,Input!L:L))</f>
        <v>0</v>
      </c>
      <c r="K21">
        <f>_xlfn.XLOOKUP(B21,CPU_Formula!A:A,CPU_Formula!I:I)</f>
        <v>0</v>
      </c>
      <c r="L21" s="13" t="e">
        <f>INDEX(Input!$D$2:$AD$500,
       MATCH(B21, Input!$J$2:$J$500, 0),
       MATCH("Memory Capacity", Input!$D$1:$AD$1, 0))</f>
        <v>#N/A</v>
      </c>
      <c r="M21" s="13" t="e">
        <f>INDEX(Input!$D$2:$AD$500,
       MATCH(B21, Input!$J$2:$J$500, 0),
       MATCH("Memory Type", Input!$D$1:$AD$1, 0))</f>
        <v>#N/A</v>
      </c>
      <c r="N21" s="13" t="e">
        <f t="shared" si="0"/>
        <v>#N/A</v>
      </c>
      <c r="O21" s="13" t="str" cm="1">
        <f t="array" ref="O21">IFERROR(_xlfn.FILTERXML("&lt;t&gt;&lt;s&gt;" &amp; SUBSTITUTE(M21," / ","&lt;/s&gt;&lt;s&gt;") &amp; "&lt;/s&gt;&lt;/t&gt;","(//s[contains(.,'DDR')])[1]"),"")</f>
        <v/>
      </c>
      <c r="P21" t="e">
        <f t="shared" si="1"/>
        <v>#N/A</v>
      </c>
      <c r="Q21" t="str" cm="1">
        <f t="array" ref="Q21">_xlfn.TEXTJOIN(", ", TRUE, _xlfn._xlws.FILTER(Input!W:W, Input!J:J=B21))</f>
        <v/>
      </c>
      <c r="S21" s="13" t="str">
        <f>_xlfn.LET(_xlpm.Result,_xlfn.XLOOKUP(B21,Input!J:J,Input!AB:AB),IF(_xlpm.Result="","",_xlpm.Result))</f>
        <v/>
      </c>
      <c r="T21" s="13" t="str" cm="1">
        <f t="array" ref="T21">IFERROR(_xlfn.IFS(
   --S21&lt;55,"Battery Defect",
  -- S21&lt;=69,"Battery D",
  --S21&lt;=80,"Battery C",
 --S21&gt;80,""
),"")</f>
        <v/>
      </c>
      <c r="U21" s="13" t="str" cm="1">
        <f t="array" ref="U21:Z21">IFERROR(IF(_xlfn.XLOOKUP(B21,Input!J:J,Input!N:S)=0,"",
          _xlfn.XLOOKUP(B21,Input!J:J,Input!N:S)),"")</f>
        <v/>
      </c>
      <c r="V21" s="13" t="str">
        <v/>
      </c>
      <c r="W21" s="13" t="str">
        <v/>
      </c>
      <c r="X21" s="13" t="str">
        <v/>
      </c>
      <c r="Y21" s="13" t="str">
        <v/>
      </c>
      <c r="Z21" s="13" t="str">
        <v/>
      </c>
      <c r="AA21" t="str">
        <f t="shared" si="2"/>
        <v/>
      </c>
      <c r="AB21" t="str">
        <f>_xlfn.XLOOKUP(B:B,Disk_Pivot!G:G,Disk_Pivot!I:I)</f>
        <v>No</v>
      </c>
      <c r="AC21" t="str">
        <f>_xlfn.XLOOKUP(B21,Disk_Pivot!G:G,Disk_Pivot!N:N)</f>
        <v/>
      </c>
    </row>
    <row r="22" spans="1:29">
      <c r="A22" t="str">
        <f>_xlfn.TEXTJOIN("",TRUE,_xlfn.XLOOKUP(B22,Input!J:J,Input!G:G,"",0,1),_xlfn.XLOOKUP(B22,Input!J:J,Input!H:H,"",0,1))</f>
        <v/>
      </c>
      <c r="C22" s="13">
        <f>_xlfn.XLOOKUP(B22,Input!J:J,Input!F:F)</f>
        <v>0</v>
      </c>
      <c r="D22">
        <f>_xlfn.XLOOKUP(C22,Models!H:H,Models!G:G,C22)</f>
        <v>0</v>
      </c>
      <c r="F22" t="str">
        <f>_xlfn.XLOOKUP(H22,Models!B:B,Models!F:F,"")</f>
        <v/>
      </c>
      <c r="G22">
        <f>_xlfn.XLOOKUP(B22,Input!J:J,Input!E:E)</f>
        <v>0</v>
      </c>
      <c r="H22">
        <f>IF(G22="LENOVO",_xlfn.XLOOKUP(B22,Input!J:J,Input!K:K),_xlfn.XLOOKUP(B22,Input!J:J,Input!L:L))</f>
        <v>0</v>
      </c>
      <c r="K22">
        <f>_xlfn.XLOOKUP(B22,CPU_Formula!A:A,CPU_Formula!I:I)</f>
        <v>0</v>
      </c>
      <c r="L22" s="13" t="e">
        <f>INDEX(Input!$D$2:$AD$500,
       MATCH(B22, Input!$J$2:$J$500, 0),
       MATCH("Memory Capacity", Input!$D$1:$AD$1, 0))</f>
        <v>#N/A</v>
      </c>
      <c r="M22" s="13" t="e">
        <f>INDEX(Input!$D$2:$AD$500,
       MATCH(B22, Input!$J$2:$J$500, 0),
       MATCH("Memory Type", Input!$D$1:$AD$1, 0))</f>
        <v>#N/A</v>
      </c>
      <c r="N22" s="13" t="e">
        <f t="shared" si="0"/>
        <v>#N/A</v>
      </c>
      <c r="O22" s="13" t="str" cm="1">
        <f t="array" ref="O22">IFERROR(_xlfn.FILTERXML("&lt;t&gt;&lt;s&gt;" &amp; SUBSTITUTE(M22," / ","&lt;/s&gt;&lt;s&gt;") &amp; "&lt;/s&gt;&lt;/t&gt;","(//s[contains(.,'DDR')])[1]"),"")</f>
        <v/>
      </c>
      <c r="P22" t="e">
        <f t="shared" si="1"/>
        <v>#N/A</v>
      </c>
      <c r="Q22" t="str" cm="1">
        <f t="array" ref="Q22">_xlfn.TEXTJOIN(", ", TRUE, _xlfn._xlws.FILTER(Input!W:W, Input!J:J=B22))</f>
        <v/>
      </c>
      <c r="S22" s="13" t="str">
        <f>_xlfn.LET(_xlpm.Result,_xlfn.XLOOKUP(B22,Input!J:J,Input!AB:AB),IF(_xlpm.Result="","",_xlpm.Result))</f>
        <v/>
      </c>
      <c r="T22" s="13" t="str" cm="1">
        <f t="array" ref="T22">IFERROR(_xlfn.IFS(
   --S22&lt;55,"Battery Defect",
  -- S22&lt;=69,"Battery D",
  --S22&lt;=80,"Battery C",
 --S22&gt;80,""
),"")</f>
        <v/>
      </c>
      <c r="U22" s="13" t="str" cm="1">
        <f t="array" ref="U22:Z22">IFERROR(IF(_xlfn.XLOOKUP(B22,Input!J:J,Input!N:S)=0,"",
          _xlfn.XLOOKUP(B22,Input!J:J,Input!N:S)),"")</f>
        <v/>
      </c>
      <c r="V22" s="13" t="str">
        <v/>
      </c>
      <c r="W22" s="13" t="str">
        <v/>
      </c>
      <c r="X22" s="13" t="str">
        <v/>
      </c>
      <c r="Y22" s="13" t="str">
        <v/>
      </c>
      <c r="Z22" s="13" t="str">
        <v/>
      </c>
      <c r="AA22" t="str">
        <f t="shared" si="2"/>
        <v/>
      </c>
      <c r="AB22" t="str">
        <f>_xlfn.XLOOKUP(B:B,Disk_Pivot!G:G,Disk_Pivot!I:I)</f>
        <v>No</v>
      </c>
      <c r="AC22" t="str">
        <f>_xlfn.XLOOKUP(B22,Disk_Pivot!G:G,Disk_Pivot!N:N)</f>
        <v/>
      </c>
    </row>
    <row r="23" spans="1:29">
      <c r="A23" t="str">
        <f>_xlfn.TEXTJOIN("",TRUE,_xlfn.XLOOKUP(B23,Input!J:J,Input!G:G,"",0,1),_xlfn.XLOOKUP(B23,Input!J:J,Input!H:H,"",0,1))</f>
        <v/>
      </c>
      <c r="C23" s="13">
        <f>_xlfn.XLOOKUP(B23,Input!J:J,Input!F:F)</f>
        <v>0</v>
      </c>
      <c r="D23">
        <f>_xlfn.XLOOKUP(C23,Models!H:H,Models!G:G,C23)</f>
        <v>0</v>
      </c>
      <c r="F23" t="str">
        <f>_xlfn.XLOOKUP(H23,Models!B:B,Models!F:F,"")</f>
        <v/>
      </c>
      <c r="G23">
        <f>_xlfn.XLOOKUP(B23,Input!J:J,Input!E:E)</f>
        <v>0</v>
      </c>
      <c r="H23">
        <f>IF(G23="LENOVO",_xlfn.XLOOKUP(B23,Input!J:J,Input!K:K),_xlfn.XLOOKUP(B23,Input!J:J,Input!L:L))</f>
        <v>0</v>
      </c>
      <c r="K23">
        <f>_xlfn.XLOOKUP(B23,CPU_Formula!A:A,CPU_Formula!I:I)</f>
        <v>0</v>
      </c>
      <c r="L23" s="13" t="e">
        <f>INDEX(Input!$D$2:$AD$500,
       MATCH(B23, Input!$J$2:$J$500, 0),
       MATCH("Memory Capacity", Input!$D$1:$AD$1, 0))</f>
        <v>#N/A</v>
      </c>
      <c r="M23" s="13" t="e">
        <f>INDEX(Input!$D$2:$AD$500,
       MATCH(B23, Input!$J$2:$J$500, 0),
       MATCH("Memory Type", Input!$D$1:$AD$1, 0))</f>
        <v>#N/A</v>
      </c>
      <c r="N23" s="13" t="e">
        <f t="shared" si="0"/>
        <v>#N/A</v>
      </c>
      <c r="O23" s="13" t="str" cm="1">
        <f t="array" ref="O23">IFERROR(_xlfn.FILTERXML("&lt;t&gt;&lt;s&gt;" &amp; SUBSTITUTE(M23," / ","&lt;/s&gt;&lt;s&gt;") &amp; "&lt;/s&gt;&lt;/t&gt;","(//s[contains(.,'DDR')])[1]"),"")</f>
        <v/>
      </c>
      <c r="P23" t="e">
        <f t="shared" si="1"/>
        <v>#N/A</v>
      </c>
      <c r="Q23" t="str" cm="1">
        <f t="array" ref="Q23">_xlfn.TEXTJOIN(", ", TRUE, _xlfn._xlws.FILTER(Input!W:W, Input!J:J=B23))</f>
        <v/>
      </c>
      <c r="S23" s="13" t="str">
        <f>_xlfn.LET(_xlpm.Result,_xlfn.XLOOKUP(B23,Input!J:J,Input!AB:AB),IF(_xlpm.Result="","",_xlpm.Result))</f>
        <v/>
      </c>
      <c r="T23" s="13" t="str" cm="1">
        <f t="array" ref="T23">IFERROR(_xlfn.IFS(
   --S23&lt;55,"Battery Defect",
  -- S23&lt;=69,"Battery D",
  --S23&lt;=80,"Battery C",
 --S23&gt;80,""
),"")</f>
        <v/>
      </c>
      <c r="U23" s="13" t="str" cm="1">
        <f t="array" ref="U23:Z23">IFERROR(IF(_xlfn.XLOOKUP(B23,Input!J:J,Input!N:S)=0,"",
          _xlfn.XLOOKUP(B23,Input!J:J,Input!N:S)),"")</f>
        <v/>
      </c>
      <c r="V23" s="13" t="str">
        <v/>
      </c>
      <c r="W23" s="13" t="str">
        <v/>
      </c>
      <c r="X23" s="13" t="str">
        <v/>
      </c>
      <c r="Y23" s="13" t="str">
        <v/>
      </c>
      <c r="Z23" s="13" t="str">
        <v/>
      </c>
      <c r="AA23" t="str">
        <f t="shared" si="2"/>
        <v/>
      </c>
      <c r="AB23" t="str">
        <f>_xlfn.XLOOKUP(B:B,Disk_Pivot!G:G,Disk_Pivot!I:I)</f>
        <v>No</v>
      </c>
      <c r="AC23" t="str">
        <f>_xlfn.XLOOKUP(B23,Disk_Pivot!G:G,Disk_Pivot!N:N)</f>
        <v/>
      </c>
    </row>
    <row r="24" spans="1:29">
      <c r="A24" t="str">
        <f>_xlfn.TEXTJOIN("",TRUE,_xlfn.XLOOKUP(B24,Input!J:J,Input!G:G,"",0,1),_xlfn.XLOOKUP(B24,Input!J:J,Input!H:H,"",0,1))</f>
        <v/>
      </c>
      <c r="C24" s="13">
        <f>_xlfn.XLOOKUP(B24,Input!J:J,Input!F:F)</f>
        <v>0</v>
      </c>
      <c r="D24">
        <f>_xlfn.XLOOKUP(C24,Models!H:H,Models!G:G,C24)</f>
        <v>0</v>
      </c>
      <c r="F24" t="str">
        <f>_xlfn.XLOOKUP(H24,Models!B:B,Models!F:F,"")</f>
        <v/>
      </c>
      <c r="G24">
        <f>_xlfn.XLOOKUP(B24,Input!J:J,Input!E:E)</f>
        <v>0</v>
      </c>
      <c r="H24">
        <f>IF(G24="LENOVO",_xlfn.XLOOKUP(B24,Input!J:J,Input!K:K),_xlfn.XLOOKUP(B24,Input!J:J,Input!L:L))</f>
        <v>0</v>
      </c>
      <c r="K24">
        <f>_xlfn.XLOOKUP(B24,CPU_Formula!A:A,CPU_Formula!I:I)</f>
        <v>0</v>
      </c>
      <c r="L24" s="13" t="e">
        <f>INDEX(Input!$D$2:$AD$500,
       MATCH(B24, Input!$J$2:$J$500, 0),
       MATCH("Memory Capacity", Input!$D$1:$AD$1, 0))</f>
        <v>#N/A</v>
      </c>
      <c r="M24" s="13" t="e">
        <f>INDEX(Input!$D$2:$AD$500,
       MATCH(B24, Input!$J$2:$J$500, 0),
       MATCH("Memory Type", Input!$D$1:$AD$1, 0))</f>
        <v>#N/A</v>
      </c>
      <c r="N24" s="13" t="e">
        <f t="shared" si="0"/>
        <v>#N/A</v>
      </c>
      <c r="O24" s="13" t="str" cm="1">
        <f t="array" ref="O24">IFERROR(_xlfn.FILTERXML("&lt;t&gt;&lt;s&gt;" &amp; SUBSTITUTE(M24," / ","&lt;/s&gt;&lt;s&gt;") &amp; "&lt;/s&gt;&lt;/t&gt;","(//s[contains(.,'DDR')])[1]"),"")</f>
        <v/>
      </c>
      <c r="P24" t="e">
        <f t="shared" si="1"/>
        <v>#N/A</v>
      </c>
      <c r="Q24" t="str" cm="1">
        <f t="array" ref="Q24">_xlfn.TEXTJOIN(", ", TRUE, _xlfn._xlws.FILTER(Input!W:W, Input!J:J=B24))</f>
        <v/>
      </c>
      <c r="S24" s="13" t="str">
        <f>_xlfn.LET(_xlpm.Result,_xlfn.XLOOKUP(B24,Input!J:J,Input!AB:AB),IF(_xlpm.Result="","",_xlpm.Result))</f>
        <v/>
      </c>
      <c r="T24" s="13" t="str" cm="1">
        <f t="array" ref="T24">IFERROR(_xlfn.IFS(
   --S24&lt;55,"Battery Defect",
  -- S24&lt;=69,"Battery D",
  --S24&lt;=80,"Battery C",
 --S24&gt;80,""
),"")</f>
        <v/>
      </c>
      <c r="U24" s="13" t="str" cm="1">
        <f t="array" ref="U24:Z24">IFERROR(IF(_xlfn.XLOOKUP(B24,Input!J:J,Input!N:S)=0,"",
          _xlfn.XLOOKUP(B24,Input!J:J,Input!N:S)),"")</f>
        <v/>
      </c>
      <c r="V24" s="13" t="str">
        <v/>
      </c>
      <c r="W24" s="13" t="str">
        <v/>
      </c>
      <c r="X24" s="13" t="str">
        <v/>
      </c>
      <c r="Y24" s="13" t="str">
        <v/>
      </c>
      <c r="Z24" s="13" t="str">
        <v/>
      </c>
      <c r="AA24" t="str">
        <f t="shared" si="2"/>
        <v/>
      </c>
      <c r="AB24" t="str">
        <f>_xlfn.XLOOKUP(B:B,Disk_Pivot!G:G,Disk_Pivot!I:I)</f>
        <v>No</v>
      </c>
      <c r="AC24" t="str">
        <f>_xlfn.XLOOKUP(B24,Disk_Pivot!G:G,Disk_Pivot!N:N)</f>
        <v/>
      </c>
    </row>
    <row r="25" spans="1:29">
      <c r="A25" t="str">
        <f>_xlfn.TEXTJOIN("",TRUE,_xlfn.XLOOKUP(B25,Input!J:J,Input!G:G,"",0,1),_xlfn.XLOOKUP(B25,Input!J:J,Input!H:H,"",0,1))</f>
        <v/>
      </c>
      <c r="C25" s="13">
        <f>_xlfn.XLOOKUP(B25,Input!J:J,Input!F:F)</f>
        <v>0</v>
      </c>
      <c r="D25">
        <f>_xlfn.XLOOKUP(C25,Models!H:H,Models!G:G,C25)</f>
        <v>0</v>
      </c>
      <c r="F25" t="str">
        <f>_xlfn.XLOOKUP(H25,Models!B:B,Models!F:F,"")</f>
        <v/>
      </c>
      <c r="G25">
        <f>_xlfn.XLOOKUP(B25,Input!J:J,Input!E:E)</f>
        <v>0</v>
      </c>
      <c r="H25">
        <f>IF(G25="LENOVO",_xlfn.XLOOKUP(B25,Input!J:J,Input!K:K),_xlfn.XLOOKUP(B25,Input!J:J,Input!L:L))</f>
        <v>0</v>
      </c>
      <c r="K25">
        <f>_xlfn.XLOOKUP(B25,CPU_Formula!A:A,CPU_Formula!I:I)</f>
        <v>0</v>
      </c>
      <c r="L25" s="13" t="e">
        <f>INDEX(Input!$D$2:$AD$500,
       MATCH(B25, Input!$J$2:$J$500, 0),
       MATCH("Memory Capacity", Input!$D$1:$AD$1, 0))</f>
        <v>#N/A</v>
      </c>
      <c r="M25" s="13" t="e">
        <f>INDEX(Input!$D$2:$AD$500,
       MATCH(B25, Input!$J$2:$J$500, 0),
       MATCH("Memory Type", Input!$D$1:$AD$1, 0))</f>
        <v>#N/A</v>
      </c>
      <c r="N25" s="13" t="e">
        <f t="shared" si="0"/>
        <v>#N/A</v>
      </c>
      <c r="O25" s="13" t="str" cm="1">
        <f t="array" ref="O25">IFERROR(_xlfn.FILTERXML("&lt;t&gt;&lt;s&gt;" &amp; SUBSTITUTE(M25," / ","&lt;/s&gt;&lt;s&gt;") &amp; "&lt;/s&gt;&lt;/t&gt;","(//s[contains(.,'DDR')])[1]"),"")</f>
        <v/>
      </c>
      <c r="P25" t="e">
        <f t="shared" si="1"/>
        <v>#N/A</v>
      </c>
      <c r="Q25" t="str" cm="1">
        <f t="array" ref="Q25">_xlfn.TEXTJOIN(", ", TRUE, _xlfn._xlws.FILTER(Input!W:W, Input!J:J=B25))</f>
        <v/>
      </c>
      <c r="S25" s="13" t="str">
        <f>_xlfn.LET(_xlpm.Result,_xlfn.XLOOKUP(B25,Input!J:J,Input!AB:AB),IF(_xlpm.Result="","",_xlpm.Result))</f>
        <v/>
      </c>
      <c r="T25" s="13" t="str" cm="1">
        <f t="array" ref="T25">IFERROR(_xlfn.IFS(
   --S25&lt;55,"Battery Defect",
  -- S25&lt;=69,"Battery D",
  --S25&lt;=80,"Battery C",
 --S25&gt;80,""
),"")</f>
        <v/>
      </c>
      <c r="U25" s="13" t="str" cm="1">
        <f t="array" ref="U25:Z25">IFERROR(IF(_xlfn.XLOOKUP(B25,Input!J:J,Input!N:S)=0,"",
          _xlfn.XLOOKUP(B25,Input!J:J,Input!N:S)),"")</f>
        <v/>
      </c>
      <c r="V25" s="13" t="str">
        <v/>
      </c>
      <c r="W25" s="13" t="str">
        <v/>
      </c>
      <c r="X25" s="13" t="str">
        <v/>
      </c>
      <c r="Y25" s="13" t="str">
        <v/>
      </c>
      <c r="Z25" s="13" t="str">
        <v/>
      </c>
      <c r="AA25" t="str">
        <f t="shared" si="2"/>
        <v/>
      </c>
      <c r="AB25" t="str">
        <f>_xlfn.XLOOKUP(B:B,Disk_Pivot!G:G,Disk_Pivot!I:I)</f>
        <v>No</v>
      </c>
      <c r="AC25" t="str">
        <f>_xlfn.XLOOKUP(B25,Disk_Pivot!G:G,Disk_Pivot!N:N)</f>
        <v/>
      </c>
    </row>
    <row r="26" spans="1:29">
      <c r="A26" t="str">
        <f>_xlfn.TEXTJOIN("",TRUE,_xlfn.XLOOKUP(B26,Input!J:J,Input!G:G,"",0,1),_xlfn.XLOOKUP(B26,Input!J:J,Input!H:H,"",0,1))</f>
        <v/>
      </c>
      <c r="C26" s="13">
        <f>_xlfn.XLOOKUP(B26,Input!J:J,Input!F:F)</f>
        <v>0</v>
      </c>
      <c r="D26">
        <f>_xlfn.XLOOKUP(C26,Models!H:H,Models!G:G,C26)</f>
        <v>0</v>
      </c>
      <c r="F26" t="e">
        <f>_xlfn.XLOOKUP(H26,Models!B:B,Models!F:F,"")</f>
        <v>#N/A</v>
      </c>
      <c r="G26" t="e">
        <f>_xlfn.XLOOKUP(B26,Input!J:J,Input!E:E)</f>
        <v>#N/A</v>
      </c>
      <c r="H26" t="e">
        <f>IF(G26="LENOVO",_xlfn.XLOOKUP(B26,Input!J:J,Input!K:K),_xlfn.XLOOKUP(B26,Input!J:J,Input!L:L))</f>
        <v>#N/A</v>
      </c>
      <c r="K26">
        <f>_xlfn.XLOOKUP(B26,CPU_Formula!A:A,CPU_Formula!I:I)</f>
        <v>0</v>
      </c>
      <c r="L26" s="13" t="e">
        <f>INDEX(Input!$D$2:$AD$500,
       MATCH(B26, Input!$J$2:$J$500, 0),
       MATCH("Memory Capacity", Input!$D$1:$AD$1, 0))</f>
        <v>#N/A</v>
      </c>
      <c r="M26" s="13" t="e">
        <f>INDEX(Input!$D$2:$AD$500,
       MATCH(B26, Input!$J$2:$J$500, 0),
       MATCH("Memory Type", Input!$D$1:$AD$1, 0))</f>
        <v>#N/A</v>
      </c>
      <c r="N26" s="13" t="e">
        <f t="shared" si="0"/>
        <v>#N/A</v>
      </c>
      <c r="O26" s="13" t="str" cm="1">
        <f t="array" ref="O26">IFERROR(_xlfn.FILTERXML("&lt;t&gt;&lt;s&gt;" &amp; SUBSTITUTE(M26," / ","&lt;/s&gt;&lt;s&gt;") &amp; "&lt;/s&gt;&lt;/t&gt;","(//s[contains(.,'DDR')])[1]"),"")</f>
        <v/>
      </c>
      <c r="P26" t="e">
        <f t="shared" si="1"/>
        <v>#N/A</v>
      </c>
      <c r="Q26" t="str" cm="1">
        <f t="array" ref="Q26">_xlfn.TEXTJOIN(", ", TRUE, _xlfn._xlws.FILTER(Input!W:W, Input!J:J=B26))</f>
        <v/>
      </c>
      <c r="S26" s="13" t="str">
        <f>_xlfn.LET(_xlpm.Result,_xlfn.XLOOKUP(B26,Input!J:J,Input!AB:AB),IF(_xlpm.Result="","",_xlpm.Result))</f>
        <v/>
      </c>
      <c r="T26" s="13" t="str" cm="1">
        <f t="array" ref="T26">IFERROR(_xlfn.IFS(
   --S26&lt;55,"Battery Defect",
  -- S26&lt;=69,"Battery D",
  --S26&lt;=80,"Battery C",
 --S26&gt;80,""
),"")</f>
        <v/>
      </c>
      <c r="U26" s="13" t="str" cm="1">
        <f t="array" ref="U26:Z26">IFERROR(IF(_xlfn.XLOOKUP(B26,Input!J:J,Input!N:S)=0,"",
          _xlfn.XLOOKUP(B26,Input!J:J,Input!N:S)),"")</f>
        <v/>
      </c>
      <c r="V26" s="13" t="str">
        <v/>
      </c>
      <c r="W26" s="13" t="str">
        <v/>
      </c>
      <c r="X26" s="13" t="str">
        <v/>
      </c>
      <c r="Y26" s="13" t="str">
        <v/>
      </c>
      <c r="Z26" s="13" t="str">
        <v/>
      </c>
      <c r="AA26" t="str">
        <f t="shared" si="2"/>
        <v/>
      </c>
      <c r="AB26" t="str">
        <f>_xlfn.XLOOKUP(B:B,Disk_Pivot!G:G,Disk_Pivot!I:I)</f>
        <v>No</v>
      </c>
      <c r="AC26" t="str">
        <f>_xlfn.XLOOKUP(B26,Disk_Pivot!G:G,Disk_Pivot!N:N)</f>
        <v/>
      </c>
    </row>
    <row r="27" spans="1:29">
      <c r="A27" t="str">
        <f>_xlfn.TEXTJOIN("",TRUE,_xlfn.XLOOKUP(B27,Input!J:J,Input!G:G,"",0,1),_xlfn.XLOOKUP(B27,Input!J:J,Input!H:H,"",0,1))</f>
        <v/>
      </c>
      <c r="C27" s="13">
        <f>_xlfn.XLOOKUP(B27,Input!J:J,Input!F:F)</f>
        <v>0</v>
      </c>
      <c r="D27">
        <f>_xlfn.XLOOKUP(C27,Models!H:H,Models!G:G,C27)</f>
        <v>0</v>
      </c>
      <c r="F27" t="str">
        <f>_xlfn.XLOOKUP(H27,Models!B:B,Models!F:F,"")</f>
        <v/>
      </c>
      <c r="G27">
        <f>_xlfn.XLOOKUP(B27,Input!J:J,Input!E:E)</f>
        <v>0</v>
      </c>
      <c r="H27">
        <f>IF(G27="LENOVO",_xlfn.XLOOKUP(B27,Input!J:J,Input!K:K),_xlfn.XLOOKUP(B27,Input!J:J,Input!L:L))</f>
        <v>0</v>
      </c>
      <c r="K27">
        <f>_xlfn.XLOOKUP(B27,CPU_Formula!A:A,CPU_Formula!I:I)</f>
        <v>0</v>
      </c>
      <c r="L27" s="13" t="e">
        <f>INDEX(Input!$D$2:$AD$500,
       MATCH(B27, Input!$J$2:$J$500, 0),
       MATCH("Memory Capacity", Input!$D$1:$AD$1, 0))</f>
        <v>#N/A</v>
      </c>
      <c r="M27" s="13" t="e">
        <f>INDEX(Input!$D$2:$AD$500,
       MATCH(B27, Input!$J$2:$J$500, 0),
       MATCH("Memory Type", Input!$D$1:$AD$1, 0))</f>
        <v>#N/A</v>
      </c>
      <c r="N27" s="13" t="e">
        <f t="shared" si="0"/>
        <v>#N/A</v>
      </c>
      <c r="O27" s="13" t="str" cm="1">
        <f t="array" ref="O27">IFERROR(_xlfn.FILTERXML("&lt;t&gt;&lt;s&gt;" &amp; SUBSTITUTE(M27," / ","&lt;/s&gt;&lt;s&gt;") &amp; "&lt;/s&gt;&lt;/t&gt;","(//s[contains(.,'DDR')])[1]"),"")</f>
        <v/>
      </c>
      <c r="P27" t="e">
        <f t="shared" si="1"/>
        <v>#N/A</v>
      </c>
      <c r="Q27" t="str" cm="1">
        <f t="array" ref="Q27">_xlfn.TEXTJOIN(", ", TRUE, _xlfn._xlws.FILTER(Input!W:W, Input!J:J=B27))</f>
        <v/>
      </c>
      <c r="S27" s="13" t="str">
        <f>_xlfn.LET(_xlpm.Result,_xlfn.XLOOKUP(B27,Input!J:J,Input!AB:AB),IF(_xlpm.Result="","",_xlpm.Result))</f>
        <v/>
      </c>
      <c r="T27" s="13" t="str" cm="1">
        <f t="array" ref="T27">IFERROR(_xlfn.IFS(
   --S27&lt;55,"Battery Defect",
  -- S27&lt;=69,"Battery D",
  --S27&lt;=80,"Battery C",
 --S27&gt;80,""
),"")</f>
        <v/>
      </c>
      <c r="U27" s="13" t="str" cm="1">
        <f t="array" ref="U27:Z27">IFERROR(IF(_xlfn.XLOOKUP(B27,Input!J:J,Input!N:S)=0,"",
          _xlfn.XLOOKUP(B27,Input!J:J,Input!N:S)),"")</f>
        <v/>
      </c>
      <c r="V27" s="13" t="str">
        <v/>
      </c>
      <c r="W27" s="13" t="str">
        <v/>
      </c>
      <c r="X27" s="13" t="str">
        <v/>
      </c>
      <c r="Y27" s="13" t="str">
        <v/>
      </c>
      <c r="Z27" s="13" t="str">
        <v/>
      </c>
      <c r="AA27" t="str">
        <f t="shared" si="2"/>
        <v/>
      </c>
      <c r="AB27" t="str">
        <f>_xlfn.XLOOKUP(B:B,Disk_Pivot!G:G,Disk_Pivot!I:I)</f>
        <v>No</v>
      </c>
      <c r="AC27" t="str">
        <f>_xlfn.XLOOKUP(B27,Disk_Pivot!G:G,Disk_Pivot!N:N)</f>
        <v/>
      </c>
    </row>
    <row r="28" spans="1:29">
      <c r="A28" t="str">
        <f>_xlfn.TEXTJOIN("",TRUE,_xlfn.XLOOKUP(B28,Input!J:J,Input!G:G,"",0,1),_xlfn.XLOOKUP(B28,Input!J:J,Input!H:H,"",0,1))</f>
        <v/>
      </c>
      <c r="C28" s="13">
        <f>_xlfn.XLOOKUP(B28,Input!J:J,Input!F:F)</f>
        <v>0</v>
      </c>
      <c r="D28">
        <f>_xlfn.XLOOKUP(C28,Models!H:H,Models!G:G,C28)</f>
        <v>0</v>
      </c>
      <c r="F28" t="str">
        <f>_xlfn.XLOOKUP(H28,Models!B:B,Models!F:F,"")</f>
        <v/>
      </c>
      <c r="G28">
        <f>_xlfn.XLOOKUP(B28,Input!J:J,Input!E:E)</f>
        <v>0</v>
      </c>
      <c r="H28">
        <f>IF(G28="LENOVO",_xlfn.XLOOKUP(B28,Input!J:J,Input!K:K),_xlfn.XLOOKUP(B28,Input!J:J,Input!L:L))</f>
        <v>0</v>
      </c>
      <c r="K28">
        <f>_xlfn.XLOOKUP(B28,CPU_Formula!A:A,CPU_Formula!I:I)</f>
        <v>0</v>
      </c>
      <c r="L28" s="13" t="e">
        <f>INDEX(Input!$D$2:$AD$500,
       MATCH(B28, Input!$J$2:$J$500, 0),
       MATCH("Memory Capacity", Input!$D$1:$AD$1, 0))</f>
        <v>#N/A</v>
      </c>
      <c r="M28" s="13" t="e">
        <f>INDEX(Input!$D$2:$AD$500,
       MATCH(B28, Input!$J$2:$J$500, 0),
       MATCH("Memory Type", Input!$D$1:$AD$1, 0))</f>
        <v>#N/A</v>
      </c>
      <c r="N28" s="13" t="e">
        <f t="shared" si="0"/>
        <v>#N/A</v>
      </c>
      <c r="O28" s="13" t="str" cm="1">
        <f t="array" ref="O28">IFERROR(_xlfn.FILTERXML("&lt;t&gt;&lt;s&gt;" &amp; SUBSTITUTE(M28," / ","&lt;/s&gt;&lt;s&gt;") &amp; "&lt;/s&gt;&lt;/t&gt;","(//s[contains(.,'DDR')])[1]"),"")</f>
        <v/>
      </c>
      <c r="P28" t="e">
        <f t="shared" si="1"/>
        <v>#N/A</v>
      </c>
      <c r="Q28" t="str" cm="1">
        <f t="array" ref="Q28">_xlfn.TEXTJOIN(", ", TRUE, _xlfn._xlws.FILTER(Input!W:W, Input!J:J=B28))</f>
        <v/>
      </c>
      <c r="S28" s="13" t="str">
        <f>_xlfn.LET(_xlpm.Result,_xlfn.XLOOKUP(B28,Input!J:J,Input!AB:AB),IF(_xlpm.Result="","",_xlpm.Result))</f>
        <v/>
      </c>
      <c r="T28" s="13" t="str" cm="1">
        <f t="array" ref="T28">IFERROR(_xlfn.IFS(
   --S28&lt;55,"Battery Defect",
  -- S28&lt;=69,"Battery D",
  --S28&lt;=80,"Battery C",
 --S28&gt;80,""
),"")</f>
        <v/>
      </c>
      <c r="U28" s="13" t="str" cm="1">
        <f t="array" ref="U28:Z28">IFERROR(IF(_xlfn.XLOOKUP(B28,Input!J:J,Input!N:S)=0,"",
          _xlfn.XLOOKUP(B28,Input!J:J,Input!N:S)),"")</f>
        <v/>
      </c>
      <c r="V28" s="13" t="str">
        <v/>
      </c>
      <c r="W28" s="13" t="str">
        <v/>
      </c>
      <c r="X28" s="13" t="str">
        <v/>
      </c>
      <c r="Y28" s="13" t="str">
        <v/>
      </c>
      <c r="Z28" s="13" t="str">
        <v/>
      </c>
      <c r="AA28" t="str">
        <f t="shared" si="2"/>
        <v/>
      </c>
      <c r="AB28" t="str">
        <f>_xlfn.XLOOKUP(B:B,Disk_Pivot!G:G,Disk_Pivot!I:I)</f>
        <v>No</v>
      </c>
      <c r="AC28" t="str">
        <f>_xlfn.XLOOKUP(B28,Disk_Pivot!G:G,Disk_Pivot!N:N)</f>
        <v/>
      </c>
    </row>
    <row r="29" spans="1:29">
      <c r="A29" t="str">
        <f>_xlfn.TEXTJOIN("",TRUE,_xlfn.XLOOKUP(B29,Input!J:J,Input!G:G,"",0,1),_xlfn.XLOOKUP(B29,Input!J:J,Input!H:H,"",0,1))</f>
        <v/>
      </c>
      <c r="C29" s="13">
        <f>_xlfn.XLOOKUP(B29,Input!J:J,Input!F:F)</f>
        <v>0</v>
      </c>
      <c r="D29">
        <f>_xlfn.XLOOKUP(C29,Models!H:H,Models!G:G,C29)</f>
        <v>0</v>
      </c>
      <c r="F29" t="str">
        <f>_xlfn.XLOOKUP(H29,Models!B:B,Models!F:F,"")</f>
        <v/>
      </c>
      <c r="G29">
        <f>_xlfn.XLOOKUP(B29,Input!J:J,Input!E:E)</f>
        <v>0</v>
      </c>
      <c r="H29">
        <f>IF(G29="LENOVO",_xlfn.XLOOKUP(B29,Input!J:J,Input!K:K),_xlfn.XLOOKUP(B29,Input!J:J,Input!L:L))</f>
        <v>0</v>
      </c>
      <c r="K29">
        <f>_xlfn.XLOOKUP(B29,CPU_Formula!A:A,CPU_Formula!I:I)</f>
        <v>0</v>
      </c>
      <c r="L29" s="13" t="e">
        <f>INDEX(Input!$D$2:$AD$500,
       MATCH(B29, Input!$J$2:$J$500, 0),
       MATCH("Memory Capacity", Input!$D$1:$AD$1, 0))</f>
        <v>#N/A</v>
      </c>
      <c r="M29" s="13" t="e">
        <f>INDEX(Input!$D$2:$AD$500,
       MATCH(B29, Input!$J$2:$J$500, 0),
       MATCH("Memory Type", Input!$D$1:$AD$1, 0))</f>
        <v>#N/A</v>
      </c>
      <c r="N29" s="13" t="e">
        <f t="shared" si="0"/>
        <v>#N/A</v>
      </c>
      <c r="O29" s="13" t="str" cm="1">
        <f t="array" ref="O29">IFERROR(_xlfn.FILTERXML("&lt;t&gt;&lt;s&gt;" &amp; SUBSTITUTE(M29," / ","&lt;/s&gt;&lt;s&gt;") &amp; "&lt;/s&gt;&lt;/t&gt;","(//s[contains(.,'DDR')])[1]"),"")</f>
        <v/>
      </c>
      <c r="P29" t="e">
        <f t="shared" si="1"/>
        <v>#N/A</v>
      </c>
      <c r="Q29" t="str" cm="1">
        <f t="array" ref="Q29">_xlfn.TEXTJOIN(", ", TRUE, _xlfn._xlws.FILTER(Input!W:W, Input!J:J=B29))</f>
        <v/>
      </c>
      <c r="S29" s="13" t="str">
        <f>_xlfn.LET(_xlpm.Result,_xlfn.XLOOKUP(B29,Input!J:J,Input!AB:AB),IF(_xlpm.Result="","",_xlpm.Result))</f>
        <v/>
      </c>
      <c r="T29" s="13" t="str" cm="1">
        <f t="array" ref="T29">IFERROR(_xlfn.IFS(
   --S29&lt;55,"Battery Defect",
  -- S29&lt;=69,"Battery D",
  --S29&lt;=80,"Battery C",
 --S29&gt;80,""
),"")</f>
        <v/>
      </c>
      <c r="U29" s="13" t="str" cm="1">
        <f t="array" ref="U29:Z29">IFERROR(IF(_xlfn.XLOOKUP(B29,Input!J:J,Input!N:S)=0,"",
          _xlfn.XLOOKUP(B29,Input!J:J,Input!N:S)),"")</f>
        <v/>
      </c>
      <c r="V29" s="13" t="str">
        <v/>
      </c>
      <c r="W29" s="13" t="str">
        <v/>
      </c>
      <c r="X29" s="13" t="str">
        <v/>
      </c>
      <c r="Y29" s="13" t="str">
        <v/>
      </c>
      <c r="Z29" s="13" t="str">
        <v/>
      </c>
      <c r="AA29" t="str">
        <f t="shared" si="2"/>
        <v/>
      </c>
      <c r="AB29" t="str">
        <f>_xlfn.XLOOKUP(B:B,Disk_Pivot!G:G,Disk_Pivot!I:I)</f>
        <v>No</v>
      </c>
      <c r="AC29" t="str">
        <f>_xlfn.XLOOKUP(B29,Disk_Pivot!G:G,Disk_Pivot!N:N)</f>
        <v/>
      </c>
    </row>
    <row r="30" spans="1:29">
      <c r="A30" t="str">
        <f>_xlfn.TEXTJOIN("",TRUE,_xlfn.XLOOKUP(B30,Input!J:J,Input!G:G,"",0,1),_xlfn.XLOOKUP(B30,Input!J:J,Input!H:H,"",0,1))</f>
        <v/>
      </c>
      <c r="C30" s="13">
        <f>_xlfn.XLOOKUP(B30,Input!J:J,Input!F:F)</f>
        <v>0</v>
      </c>
      <c r="D30">
        <f>_xlfn.XLOOKUP(C30,Models!H:H,Models!G:G,C30)</f>
        <v>0</v>
      </c>
      <c r="F30" t="str">
        <f>_xlfn.XLOOKUP(H30,Models!B:B,Models!F:F,"")</f>
        <v/>
      </c>
      <c r="G30">
        <f>_xlfn.XLOOKUP(B30,Input!J:J,Input!E:E)</f>
        <v>0</v>
      </c>
      <c r="H30">
        <f>IF(G30="LENOVO",_xlfn.XLOOKUP(B30,Input!J:J,Input!K:K),_xlfn.XLOOKUP(B30,Input!J:J,Input!L:L))</f>
        <v>0</v>
      </c>
      <c r="K30">
        <f>_xlfn.XLOOKUP(B30,CPU_Formula!A:A,CPU_Formula!I:I)</f>
        <v>0</v>
      </c>
      <c r="L30" s="13" t="e">
        <f>INDEX(Input!$D$2:$AD$500,
       MATCH(B30, Input!$J$2:$J$500, 0),
       MATCH("Memory Capacity", Input!$D$1:$AD$1, 0))</f>
        <v>#N/A</v>
      </c>
      <c r="M30" s="13" t="e">
        <f>INDEX(Input!$D$2:$AD$500,
       MATCH(B30, Input!$J$2:$J$500, 0),
       MATCH("Memory Type", Input!$D$1:$AD$1, 0))</f>
        <v>#N/A</v>
      </c>
      <c r="N30" s="13" t="e">
        <f t="shared" si="0"/>
        <v>#N/A</v>
      </c>
      <c r="O30" s="13" t="str" cm="1">
        <f t="array" ref="O30">IFERROR(_xlfn.FILTERXML("&lt;t&gt;&lt;s&gt;" &amp; SUBSTITUTE(M30," / ","&lt;/s&gt;&lt;s&gt;") &amp; "&lt;/s&gt;&lt;/t&gt;","(//s[contains(.,'DDR')])[1]"),"")</f>
        <v/>
      </c>
      <c r="P30" t="e">
        <f t="shared" si="1"/>
        <v>#N/A</v>
      </c>
      <c r="Q30" t="str" cm="1">
        <f t="array" ref="Q30">_xlfn.TEXTJOIN(", ", TRUE, _xlfn._xlws.FILTER(Input!W:W, Input!J:J=B30))</f>
        <v/>
      </c>
      <c r="S30" s="13" t="str">
        <f>_xlfn.LET(_xlpm.Result,_xlfn.XLOOKUP(B30,Input!J:J,Input!AB:AB),IF(_xlpm.Result="","",_xlpm.Result))</f>
        <v/>
      </c>
      <c r="T30" s="13" t="str" cm="1">
        <f t="array" ref="T30">IFERROR(_xlfn.IFS(
   --S30&lt;55,"Battery Defect",
  -- S30&lt;=69,"Battery D",
  --S30&lt;=80,"Battery C",
 --S30&gt;80,""
),"")</f>
        <v/>
      </c>
      <c r="U30" s="13" t="str" cm="1">
        <f t="array" ref="U30:Z30">IFERROR(IF(_xlfn.XLOOKUP(B30,Input!J:J,Input!N:S)=0,"",
          _xlfn.XLOOKUP(B30,Input!J:J,Input!N:S)),"")</f>
        <v/>
      </c>
      <c r="V30" s="13" t="str">
        <v/>
      </c>
      <c r="W30" s="13" t="str">
        <v/>
      </c>
      <c r="X30" s="13" t="str">
        <v/>
      </c>
      <c r="Y30" s="13" t="str">
        <v/>
      </c>
      <c r="Z30" s="13" t="str">
        <v/>
      </c>
      <c r="AA30" t="str">
        <f t="shared" si="2"/>
        <v/>
      </c>
      <c r="AB30" t="str">
        <f>_xlfn.XLOOKUP(B:B,Disk_Pivot!G:G,Disk_Pivot!I:I)</f>
        <v>No</v>
      </c>
      <c r="AC30" t="str">
        <f>_xlfn.XLOOKUP(B30,Disk_Pivot!G:G,Disk_Pivot!N:N)</f>
        <v/>
      </c>
    </row>
    <row r="31" spans="1:29">
      <c r="A31" t="str">
        <f>_xlfn.TEXTJOIN("",TRUE,_xlfn.XLOOKUP(B31,Input!J:J,Input!G:G,"",0,1),_xlfn.XLOOKUP(B31,Input!J:J,Input!H:H,"",0,1))</f>
        <v/>
      </c>
      <c r="C31" s="13">
        <f>_xlfn.XLOOKUP(B31,Input!J:J,Input!F:F)</f>
        <v>0</v>
      </c>
      <c r="D31">
        <f>_xlfn.XLOOKUP(C31,Models!H:H,Models!G:G,C31)</f>
        <v>0</v>
      </c>
      <c r="F31" t="str">
        <f>_xlfn.XLOOKUP(H31,Models!B:B,Models!F:F,"")</f>
        <v/>
      </c>
      <c r="G31">
        <f>_xlfn.XLOOKUP(B31,Input!J:J,Input!E:E)</f>
        <v>0</v>
      </c>
      <c r="H31">
        <f>IF(G31="LENOVO",_xlfn.XLOOKUP(B31,Input!J:J,Input!K:K),_xlfn.XLOOKUP(B31,Input!J:J,Input!L:L))</f>
        <v>0</v>
      </c>
      <c r="K31">
        <f>_xlfn.XLOOKUP(B31,CPU_Formula!A:A,CPU_Formula!I:I)</f>
        <v>0</v>
      </c>
      <c r="L31" s="13" t="e">
        <f>INDEX(Input!$D$2:$AD$500,
       MATCH(B31, Input!$J$2:$J$500, 0),
       MATCH("Memory Capacity", Input!$D$1:$AD$1, 0))</f>
        <v>#N/A</v>
      </c>
      <c r="M31" s="13" t="e">
        <f>INDEX(Input!$D$2:$AD$500,
       MATCH(B31, Input!$J$2:$J$500, 0),
       MATCH("Memory Type", Input!$D$1:$AD$1, 0))</f>
        <v>#N/A</v>
      </c>
      <c r="N31" s="13" t="e">
        <f t="shared" si="0"/>
        <v>#N/A</v>
      </c>
      <c r="O31" s="13" t="str" cm="1">
        <f t="array" ref="O31">IFERROR(_xlfn.FILTERXML("&lt;t&gt;&lt;s&gt;" &amp; SUBSTITUTE(M31," / ","&lt;/s&gt;&lt;s&gt;") &amp; "&lt;/s&gt;&lt;/t&gt;","(//s[contains(.,'DDR')])[1]"),"")</f>
        <v/>
      </c>
      <c r="P31" t="e">
        <f t="shared" si="1"/>
        <v>#N/A</v>
      </c>
      <c r="Q31" t="str" cm="1">
        <f t="array" ref="Q31">_xlfn.TEXTJOIN(", ", TRUE, _xlfn._xlws.FILTER(Input!W:W, Input!J:J=B31))</f>
        <v/>
      </c>
      <c r="S31" s="13" t="str">
        <f>_xlfn.LET(_xlpm.Result,_xlfn.XLOOKUP(B31,Input!J:J,Input!AB:AB),IF(_xlpm.Result="","",_xlpm.Result))</f>
        <v/>
      </c>
      <c r="T31" s="13" t="str" cm="1">
        <f t="array" ref="T31">IFERROR(_xlfn.IFS(
   --S31&lt;55,"Battery Defect",
  -- S31&lt;=69,"Battery D",
  --S31&lt;=80,"Battery C",
 --S31&gt;80,""
),"")</f>
        <v/>
      </c>
      <c r="U31" s="13" t="str" cm="1">
        <f t="array" ref="U31:Z31">IFERROR(IF(_xlfn.XLOOKUP(B31,Input!J:J,Input!N:S)=0,"",
          _xlfn.XLOOKUP(B31,Input!J:J,Input!N:S)),"")</f>
        <v/>
      </c>
      <c r="V31" s="13" t="str">
        <v/>
      </c>
      <c r="W31" s="13" t="str">
        <v/>
      </c>
      <c r="X31" s="13" t="str">
        <v/>
      </c>
      <c r="Y31" s="13" t="str">
        <v/>
      </c>
      <c r="Z31" s="13" t="str">
        <v/>
      </c>
      <c r="AA31" t="str">
        <f t="shared" si="2"/>
        <v/>
      </c>
      <c r="AB31" t="str">
        <f>_xlfn.XLOOKUP(B:B,Disk_Pivot!G:G,Disk_Pivot!I:I)</f>
        <v>No</v>
      </c>
      <c r="AC31" t="str">
        <f>_xlfn.XLOOKUP(B31,Disk_Pivot!G:G,Disk_Pivot!N:N)</f>
        <v/>
      </c>
    </row>
    <row r="32" spans="1:29">
      <c r="A32" t="str">
        <f>_xlfn.TEXTJOIN("",TRUE,_xlfn.XLOOKUP(B32,Input!J:J,Input!G:G,"",0,1),_xlfn.XLOOKUP(B32,Input!J:J,Input!H:H,"",0,1))</f>
        <v/>
      </c>
      <c r="C32" s="13">
        <f>_xlfn.XLOOKUP(B32,Input!J:J,Input!F:F)</f>
        <v>0</v>
      </c>
      <c r="D32">
        <f>_xlfn.XLOOKUP(C32,Models!H:H,Models!G:G,C32)</f>
        <v>0</v>
      </c>
      <c r="F32" t="str">
        <f>_xlfn.XLOOKUP(H32,Models!B:B,Models!F:F,"")</f>
        <v/>
      </c>
      <c r="G32">
        <f>_xlfn.XLOOKUP(B32,Input!J:J,Input!E:E)</f>
        <v>0</v>
      </c>
      <c r="H32">
        <f>IF(G32="LENOVO",_xlfn.XLOOKUP(B32,Input!J:J,Input!K:K),_xlfn.XLOOKUP(B32,Input!J:J,Input!L:L))</f>
        <v>0</v>
      </c>
      <c r="K32">
        <f>_xlfn.XLOOKUP(B32,CPU_Formula!A:A,CPU_Formula!I:I)</f>
        <v>0</v>
      </c>
      <c r="L32" s="13" t="e">
        <f>INDEX(Input!$D$2:$AD$500,
       MATCH(B32, Input!$J$2:$J$500, 0),
       MATCH("Memory Capacity", Input!$D$1:$AD$1, 0))</f>
        <v>#N/A</v>
      </c>
      <c r="M32" s="13" t="e">
        <f>INDEX(Input!$D$2:$AD$500,
       MATCH(B32, Input!$J$2:$J$500, 0),
       MATCH("Memory Type", Input!$D$1:$AD$1, 0))</f>
        <v>#N/A</v>
      </c>
      <c r="N32" s="13" t="e">
        <f t="shared" si="0"/>
        <v>#N/A</v>
      </c>
      <c r="O32" s="13" t="str" cm="1">
        <f t="array" ref="O32">IFERROR(_xlfn.FILTERXML("&lt;t&gt;&lt;s&gt;" &amp; SUBSTITUTE(M32," / ","&lt;/s&gt;&lt;s&gt;") &amp; "&lt;/s&gt;&lt;/t&gt;","(//s[contains(.,'DDR')])[1]"),"")</f>
        <v/>
      </c>
      <c r="P32" t="e">
        <f t="shared" si="1"/>
        <v>#N/A</v>
      </c>
      <c r="Q32" t="str" cm="1">
        <f t="array" ref="Q32">_xlfn.TEXTJOIN(", ", TRUE, _xlfn._xlws.FILTER(Input!W:W, Input!J:J=B32))</f>
        <v/>
      </c>
      <c r="S32" s="13" t="str">
        <f>_xlfn.LET(_xlpm.Result,_xlfn.XLOOKUP(B32,Input!J:J,Input!AB:AB),IF(_xlpm.Result="","",_xlpm.Result))</f>
        <v/>
      </c>
      <c r="T32" s="13" t="str" cm="1">
        <f t="array" ref="T32">IFERROR(_xlfn.IFS(
   --S32&lt;55,"Battery Defect",
  -- S32&lt;=69,"Battery D",
  --S32&lt;=80,"Battery C",
 --S32&gt;80,""
),"")</f>
        <v/>
      </c>
      <c r="U32" s="13" t="str" cm="1">
        <f t="array" ref="U32:Z32">IFERROR(IF(_xlfn.XLOOKUP(B32,Input!J:J,Input!N:S)=0,"",
          _xlfn.XLOOKUP(B32,Input!J:J,Input!N:S)),"")</f>
        <v/>
      </c>
      <c r="V32" s="13" t="str">
        <v/>
      </c>
      <c r="W32" s="13" t="str">
        <v/>
      </c>
      <c r="X32" s="13" t="str">
        <v/>
      </c>
      <c r="Y32" s="13" t="str">
        <v/>
      </c>
      <c r="Z32" s="13" t="str">
        <v/>
      </c>
      <c r="AA32" t="str">
        <f t="shared" si="2"/>
        <v/>
      </c>
      <c r="AB32" t="str">
        <f>_xlfn.XLOOKUP(B:B,Disk_Pivot!G:G,Disk_Pivot!I:I)</f>
        <v>No</v>
      </c>
      <c r="AC32" t="str">
        <f>_xlfn.XLOOKUP(B32,Disk_Pivot!G:G,Disk_Pivot!N:N)</f>
        <v/>
      </c>
    </row>
    <row r="33" spans="1:29">
      <c r="A33" t="str">
        <f>_xlfn.TEXTJOIN("",TRUE,_xlfn.XLOOKUP(B33,Input!J:J,Input!G:G,"",0,1),_xlfn.XLOOKUP(B33,Input!J:J,Input!H:H,"",0,1))</f>
        <v/>
      </c>
      <c r="C33" s="13">
        <f>_xlfn.XLOOKUP(B33,Input!J:J,Input!F:F)</f>
        <v>0</v>
      </c>
      <c r="D33">
        <f>_xlfn.XLOOKUP(C33,Models!H:H,Models!G:G,C33)</f>
        <v>0</v>
      </c>
      <c r="F33" t="str">
        <f>_xlfn.XLOOKUP(H33,Models!B:B,Models!F:F,"")</f>
        <v/>
      </c>
      <c r="G33">
        <f>_xlfn.XLOOKUP(B33,Input!J:J,Input!E:E)</f>
        <v>0</v>
      </c>
      <c r="H33">
        <f>IF(G33="LENOVO",_xlfn.XLOOKUP(B33,Input!J:J,Input!K:K),_xlfn.XLOOKUP(B33,Input!J:J,Input!L:L))</f>
        <v>0</v>
      </c>
      <c r="K33">
        <f>_xlfn.XLOOKUP(B33,CPU_Formula!A:A,CPU_Formula!I:I)</f>
        <v>0</v>
      </c>
      <c r="L33" s="13" t="e">
        <f>INDEX(Input!$D$2:$AD$500,
       MATCH(B33, Input!$J$2:$J$500, 0),
       MATCH("Memory Capacity", Input!$D$1:$AD$1, 0))</f>
        <v>#N/A</v>
      </c>
      <c r="M33" s="13" t="e">
        <f>INDEX(Input!$D$2:$AD$500,
       MATCH(B33, Input!$J$2:$J$500, 0),
       MATCH("Memory Type", Input!$D$1:$AD$1, 0))</f>
        <v>#N/A</v>
      </c>
      <c r="N33" s="13" t="e">
        <f t="shared" si="0"/>
        <v>#N/A</v>
      </c>
      <c r="O33" s="13" t="str" cm="1">
        <f t="array" ref="O33">IFERROR(_xlfn.FILTERXML("&lt;t&gt;&lt;s&gt;" &amp; SUBSTITUTE(M33," / ","&lt;/s&gt;&lt;s&gt;") &amp; "&lt;/s&gt;&lt;/t&gt;","(//s[contains(.,'DDR')])[1]"),"")</f>
        <v/>
      </c>
      <c r="P33" t="e">
        <f t="shared" si="1"/>
        <v>#N/A</v>
      </c>
      <c r="Q33" t="str" cm="1">
        <f t="array" ref="Q33">_xlfn.TEXTJOIN(", ", TRUE, _xlfn._xlws.FILTER(Input!W:W, Input!J:J=B33))</f>
        <v/>
      </c>
      <c r="S33" s="13" t="str">
        <f>_xlfn.LET(_xlpm.Result,_xlfn.XLOOKUP(B33,Input!J:J,Input!AB:AB),IF(_xlpm.Result="","",_xlpm.Result))</f>
        <v/>
      </c>
      <c r="T33" s="13" t="str" cm="1">
        <f t="array" ref="T33">IFERROR(_xlfn.IFS(
   --S33&lt;55,"Battery Defect",
  -- S33&lt;=69,"Battery D",
  --S33&lt;=80,"Battery C",
 --S33&gt;80,""
),"")</f>
        <v/>
      </c>
      <c r="U33" s="13" t="str" cm="1">
        <f t="array" ref="U33:Z33">IFERROR(IF(_xlfn.XLOOKUP(B33,Input!J:J,Input!N:S)=0,"",
          _xlfn.XLOOKUP(B33,Input!J:J,Input!N:S)),"")</f>
        <v/>
      </c>
      <c r="V33" s="13" t="str">
        <v/>
      </c>
      <c r="W33" s="13" t="str">
        <v/>
      </c>
      <c r="X33" s="13" t="str">
        <v/>
      </c>
      <c r="Y33" s="13" t="str">
        <v/>
      </c>
      <c r="Z33" s="13" t="str">
        <v/>
      </c>
      <c r="AA33" t="str">
        <f t="shared" si="2"/>
        <v/>
      </c>
      <c r="AB33" t="str">
        <f>_xlfn.XLOOKUP(B:B,Disk_Pivot!G:G,Disk_Pivot!I:I)</f>
        <v>No</v>
      </c>
      <c r="AC33" t="str">
        <f>_xlfn.XLOOKUP(B33,Disk_Pivot!G:G,Disk_Pivot!N:N)</f>
        <v/>
      </c>
    </row>
    <row r="34" spans="1:29">
      <c r="A34" t="str">
        <f>_xlfn.TEXTJOIN("",TRUE,_xlfn.XLOOKUP(B34,Input!J:J,Input!G:G,"",0,1),_xlfn.XLOOKUP(B34,Input!J:J,Input!H:H,"",0,1))</f>
        <v/>
      </c>
      <c r="C34" s="13">
        <f>_xlfn.XLOOKUP(B34,Input!J:J,Input!F:F)</f>
        <v>0</v>
      </c>
      <c r="D34">
        <f>_xlfn.XLOOKUP(C34,Models!H:H,Models!G:G,C34)</f>
        <v>0</v>
      </c>
      <c r="F34" t="str">
        <f>_xlfn.XLOOKUP(H34,Models!B:B,Models!F:F,"")</f>
        <v/>
      </c>
      <c r="G34">
        <f>_xlfn.XLOOKUP(B34,Input!J:J,Input!E:E)</f>
        <v>0</v>
      </c>
      <c r="H34">
        <f>IF(G34="LENOVO",_xlfn.XLOOKUP(B34,Input!J:J,Input!K:K),_xlfn.XLOOKUP(B34,Input!J:J,Input!L:L))</f>
        <v>0</v>
      </c>
      <c r="K34">
        <f>_xlfn.XLOOKUP(B34,CPU_Formula!A:A,CPU_Formula!I:I)</f>
        <v>0</v>
      </c>
      <c r="L34" s="13" t="e">
        <f>INDEX(Input!$D$2:$AD$500,
       MATCH(B34, Input!$J$2:$J$500, 0),
       MATCH("Memory Capacity", Input!$D$1:$AD$1, 0))</f>
        <v>#N/A</v>
      </c>
      <c r="M34" s="13" t="e">
        <f>INDEX(Input!$D$2:$AD$500,
       MATCH(B34, Input!$J$2:$J$500, 0),
       MATCH("Memory Type", Input!$D$1:$AD$1, 0))</f>
        <v>#N/A</v>
      </c>
      <c r="N34" s="13" t="e">
        <f t="shared" si="0"/>
        <v>#N/A</v>
      </c>
      <c r="O34" s="13" t="str" cm="1">
        <f t="array" ref="O34">IFERROR(_xlfn.FILTERXML("&lt;t&gt;&lt;s&gt;" &amp; SUBSTITUTE(M34," / ","&lt;/s&gt;&lt;s&gt;") &amp; "&lt;/s&gt;&lt;/t&gt;","(//s[contains(.,'DDR')])[1]"),"")</f>
        <v/>
      </c>
      <c r="P34" t="e">
        <f t="shared" si="1"/>
        <v>#N/A</v>
      </c>
      <c r="Q34" t="str" cm="1">
        <f t="array" ref="Q34">_xlfn.TEXTJOIN(", ", TRUE, _xlfn._xlws.FILTER(Input!W:W, Input!J:J=B34))</f>
        <v/>
      </c>
      <c r="S34" s="13" t="str">
        <f>_xlfn.LET(_xlpm.Result,_xlfn.XLOOKUP(B34,Input!J:J,Input!AB:AB),IF(_xlpm.Result="","",_xlpm.Result))</f>
        <v/>
      </c>
      <c r="T34" s="13" t="str" cm="1">
        <f t="array" ref="T34">IFERROR(_xlfn.IFS(
   --S34&lt;55,"Battery Defect",
  -- S34&lt;=69,"Battery D",
  --S34&lt;=80,"Battery C",
 --S34&gt;80,""
),"")</f>
        <v/>
      </c>
      <c r="U34" s="13" t="str" cm="1">
        <f t="array" ref="U34:Z34">IFERROR(IF(_xlfn.XLOOKUP(B34,Input!J:J,Input!N:S)=0,"",
          _xlfn.XLOOKUP(B34,Input!J:J,Input!N:S)),"")</f>
        <v/>
      </c>
      <c r="V34" s="13" t="str">
        <v/>
      </c>
      <c r="W34" s="13" t="str">
        <v/>
      </c>
      <c r="X34" s="13" t="str">
        <v/>
      </c>
      <c r="Y34" s="13" t="str">
        <v/>
      </c>
      <c r="Z34" s="13" t="str">
        <v/>
      </c>
      <c r="AA34" t="str">
        <f t="shared" si="2"/>
        <v/>
      </c>
      <c r="AB34" t="str">
        <f>_xlfn.XLOOKUP(B:B,Disk_Pivot!G:G,Disk_Pivot!I:I)</f>
        <v>No</v>
      </c>
      <c r="AC34" t="str">
        <f>_xlfn.XLOOKUP(B34,Disk_Pivot!G:G,Disk_Pivot!N:N)</f>
        <v/>
      </c>
    </row>
    <row r="35" spans="1:29">
      <c r="A35" t="str">
        <f>_xlfn.TEXTJOIN("",TRUE,_xlfn.XLOOKUP(B35,Input!J:J,Input!G:G,"",0,1),_xlfn.XLOOKUP(B35,Input!J:J,Input!H:H,"",0,1))</f>
        <v/>
      </c>
      <c r="C35" s="13">
        <f>_xlfn.XLOOKUP(B35,Input!J:J,Input!F:F)</f>
        <v>0</v>
      </c>
      <c r="D35">
        <f>_xlfn.XLOOKUP(C35,Models!H:H,Models!G:G,C35)</f>
        <v>0</v>
      </c>
      <c r="F35" t="str">
        <f>_xlfn.XLOOKUP(H35,Models!B:B,Models!F:F,"")</f>
        <v/>
      </c>
      <c r="G35">
        <f>_xlfn.XLOOKUP(B35,Input!J:J,Input!E:E)</f>
        <v>0</v>
      </c>
      <c r="H35">
        <f>IF(G35="LENOVO",_xlfn.XLOOKUP(B35,Input!J:J,Input!K:K),_xlfn.XLOOKUP(B35,Input!J:J,Input!L:L))</f>
        <v>0</v>
      </c>
      <c r="K35">
        <f>_xlfn.XLOOKUP(B35,CPU_Formula!A:A,CPU_Formula!I:I)</f>
        <v>0</v>
      </c>
      <c r="L35" s="13" t="e">
        <f>INDEX(Input!$D$2:$AD$500,
       MATCH(B35, Input!$J$2:$J$500, 0),
       MATCH("Memory Capacity", Input!$D$1:$AD$1, 0))</f>
        <v>#N/A</v>
      </c>
      <c r="M35" s="13" t="e">
        <f>INDEX(Input!$D$2:$AD$500,
       MATCH(B35, Input!$J$2:$J$500, 0),
       MATCH("Memory Type", Input!$D$1:$AD$1, 0))</f>
        <v>#N/A</v>
      </c>
      <c r="N35" s="13" t="e">
        <f t="shared" si="0"/>
        <v>#N/A</v>
      </c>
      <c r="O35" s="13" t="str" cm="1">
        <f t="array" ref="O35">IFERROR(_xlfn.FILTERXML("&lt;t&gt;&lt;s&gt;" &amp; SUBSTITUTE(M35," / ","&lt;/s&gt;&lt;s&gt;") &amp; "&lt;/s&gt;&lt;/t&gt;","(//s[contains(.,'DDR')])[1]"),"")</f>
        <v/>
      </c>
      <c r="P35" t="e">
        <f t="shared" si="1"/>
        <v>#N/A</v>
      </c>
      <c r="Q35" t="str" cm="1">
        <f t="array" ref="Q35">_xlfn.TEXTJOIN(", ", TRUE, _xlfn._xlws.FILTER(Input!W:W, Input!J:J=B35))</f>
        <v/>
      </c>
      <c r="S35" s="13" t="str">
        <f>_xlfn.LET(_xlpm.Result,_xlfn.XLOOKUP(B35,Input!J:J,Input!AB:AB),IF(_xlpm.Result="","",_xlpm.Result))</f>
        <v/>
      </c>
      <c r="T35" s="13" t="str" cm="1">
        <f t="array" ref="T35">IFERROR(_xlfn.IFS(
   --S35&lt;55,"Battery Defect",
  -- S35&lt;=69,"Battery D",
  --S35&lt;=80,"Battery C",
 --S35&gt;80,""
),"")</f>
        <v/>
      </c>
      <c r="U35" s="13" t="str" cm="1">
        <f t="array" ref="U35:Z35">IFERROR(IF(_xlfn.XLOOKUP(B35,Input!J:J,Input!N:S)=0,"",
          _xlfn.XLOOKUP(B35,Input!J:J,Input!N:S)),"")</f>
        <v/>
      </c>
      <c r="V35" s="13" t="str">
        <v/>
      </c>
      <c r="W35" s="13" t="str">
        <v/>
      </c>
      <c r="X35" s="13" t="str">
        <v/>
      </c>
      <c r="Y35" s="13" t="str">
        <v/>
      </c>
      <c r="Z35" s="13" t="str">
        <v/>
      </c>
      <c r="AA35" t="str">
        <f t="shared" si="2"/>
        <v/>
      </c>
      <c r="AB35" t="str">
        <f>_xlfn.XLOOKUP(B:B,Disk_Pivot!G:G,Disk_Pivot!I:I)</f>
        <v>No</v>
      </c>
      <c r="AC35" t="str">
        <f>_xlfn.XLOOKUP(B35,Disk_Pivot!G:G,Disk_Pivot!N:N)</f>
        <v/>
      </c>
    </row>
    <row r="36" spans="1:29">
      <c r="A36" t="str">
        <f>_xlfn.TEXTJOIN("",TRUE,_xlfn.XLOOKUP(B36,Input!J:J,Input!G:G,"",0,1),_xlfn.XLOOKUP(B36,Input!J:J,Input!H:H,"",0,1))</f>
        <v/>
      </c>
      <c r="C36" s="13">
        <f>_xlfn.XLOOKUP(B36,Input!J:J,Input!F:F)</f>
        <v>0</v>
      </c>
      <c r="D36">
        <f>_xlfn.XLOOKUP(C36,Models!H:H,Models!G:G,C36)</f>
        <v>0</v>
      </c>
      <c r="F36" t="str">
        <f>_xlfn.XLOOKUP(H36,Models!B:B,Models!F:F,"")</f>
        <v/>
      </c>
      <c r="G36">
        <f>_xlfn.XLOOKUP(B36,Input!J:J,Input!E:E)</f>
        <v>0</v>
      </c>
      <c r="H36">
        <f>IF(G36="LENOVO",_xlfn.XLOOKUP(B36,Input!J:J,Input!K:K),_xlfn.XLOOKUP(B36,Input!J:J,Input!L:L))</f>
        <v>0</v>
      </c>
      <c r="K36">
        <f>_xlfn.XLOOKUP(B36,CPU_Formula!A:A,CPU_Formula!I:I)</f>
        <v>0</v>
      </c>
      <c r="L36" s="13" t="e">
        <f>INDEX(Input!$D$2:$AD$500,
       MATCH(B36, Input!$J$2:$J$500, 0),
       MATCH("Memory Capacity", Input!$D$1:$AD$1, 0))</f>
        <v>#N/A</v>
      </c>
      <c r="M36" s="13" t="e">
        <f>INDEX(Input!$D$2:$AD$500,
       MATCH(B36, Input!$J$2:$J$500, 0),
       MATCH("Memory Type", Input!$D$1:$AD$1, 0))</f>
        <v>#N/A</v>
      </c>
      <c r="N36" s="13" t="e">
        <f t="shared" si="0"/>
        <v>#N/A</v>
      </c>
      <c r="O36" s="13" t="str" cm="1">
        <f t="array" ref="O36">IFERROR(_xlfn.FILTERXML("&lt;t&gt;&lt;s&gt;" &amp; SUBSTITUTE(M36," / ","&lt;/s&gt;&lt;s&gt;") &amp; "&lt;/s&gt;&lt;/t&gt;","(//s[contains(.,'DDR')])[1]"),"")</f>
        <v/>
      </c>
      <c r="P36" t="e">
        <f t="shared" si="1"/>
        <v>#N/A</v>
      </c>
      <c r="Q36" t="str" cm="1">
        <f t="array" ref="Q36">_xlfn.TEXTJOIN(", ", TRUE, _xlfn._xlws.FILTER(Input!W:W, Input!J:J=B36))</f>
        <v/>
      </c>
      <c r="S36" s="13" t="str">
        <f>_xlfn.LET(_xlpm.Result,_xlfn.XLOOKUP(B36,Input!J:J,Input!AB:AB),IF(_xlpm.Result="","",_xlpm.Result))</f>
        <v/>
      </c>
      <c r="T36" s="13" t="str" cm="1">
        <f t="array" ref="T36">IFERROR(_xlfn.IFS(
   --S36&lt;55,"Battery Defect",
  -- S36&lt;=69,"Battery D",
  --S36&lt;=80,"Battery C",
 --S36&gt;80,""
),"")</f>
        <v/>
      </c>
      <c r="U36" s="13" t="str" cm="1">
        <f t="array" ref="U36:Z36">IFERROR(IF(_xlfn.XLOOKUP(B36,Input!J:J,Input!N:S)=0,"",
          _xlfn.XLOOKUP(B36,Input!J:J,Input!N:S)),"")</f>
        <v/>
      </c>
      <c r="V36" s="13" t="str">
        <v/>
      </c>
      <c r="W36" s="13" t="str">
        <v/>
      </c>
      <c r="X36" s="13" t="str">
        <v/>
      </c>
      <c r="Y36" s="13" t="str">
        <v/>
      </c>
      <c r="Z36" s="13" t="str">
        <v/>
      </c>
      <c r="AA36" t="str">
        <f t="shared" si="2"/>
        <v/>
      </c>
      <c r="AB36" t="str">
        <f>_xlfn.XLOOKUP(B:B,Disk_Pivot!G:G,Disk_Pivot!I:I)</f>
        <v>No</v>
      </c>
      <c r="AC36" t="str">
        <f>_xlfn.XLOOKUP(B36,Disk_Pivot!G:G,Disk_Pivot!N:N)</f>
        <v/>
      </c>
    </row>
    <row r="37" spans="1:29">
      <c r="A37" t="str">
        <f>_xlfn.TEXTJOIN("",TRUE,_xlfn.XLOOKUP(B37,Input!J:J,Input!G:G,"",0,1),_xlfn.XLOOKUP(B37,Input!J:J,Input!H:H,"",0,1))</f>
        <v/>
      </c>
      <c r="C37" s="13">
        <f>_xlfn.XLOOKUP(B37,Input!J:J,Input!F:F)</f>
        <v>0</v>
      </c>
      <c r="D37">
        <f>_xlfn.XLOOKUP(C37,Models!H:H,Models!G:G,C37)</f>
        <v>0</v>
      </c>
      <c r="F37" t="e">
        <f>_xlfn.XLOOKUP(H37,Models!B:B,Models!F:F,"")</f>
        <v>#N/A</v>
      </c>
      <c r="G37" t="e">
        <f>_xlfn.XLOOKUP(B37,Input!J:J,Input!E:E)</f>
        <v>#N/A</v>
      </c>
      <c r="H37" t="e">
        <f>IF(G37="LENOVO",_xlfn.XLOOKUP(B37,Input!J:J,Input!K:K),_xlfn.XLOOKUP(B37,Input!J:J,Input!L:L))</f>
        <v>#N/A</v>
      </c>
      <c r="K37">
        <f>_xlfn.XLOOKUP(B37,CPU_Formula!A:A,CPU_Formula!I:I)</f>
        <v>0</v>
      </c>
      <c r="L37" s="13" t="e">
        <f>INDEX(Input!$D$2:$AD$500,
       MATCH(B37, Input!$J$2:$J$500, 0),
       MATCH("Memory Capacity", Input!$D$1:$AD$1, 0))</f>
        <v>#N/A</v>
      </c>
      <c r="M37" s="13" t="e">
        <f>INDEX(Input!$D$2:$AD$500,
       MATCH(B37, Input!$J$2:$J$500, 0),
       MATCH("Memory Type", Input!$D$1:$AD$1, 0))</f>
        <v>#N/A</v>
      </c>
      <c r="N37" s="13" t="e">
        <f t="shared" si="0"/>
        <v>#N/A</v>
      </c>
      <c r="O37" s="13" t="str" cm="1">
        <f t="array" ref="O37">IFERROR(_xlfn.FILTERXML("&lt;t&gt;&lt;s&gt;" &amp; SUBSTITUTE(M37," / ","&lt;/s&gt;&lt;s&gt;") &amp; "&lt;/s&gt;&lt;/t&gt;","(//s[contains(.,'DDR')])[1]"),"")</f>
        <v/>
      </c>
      <c r="P37" t="e">
        <f t="shared" si="1"/>
        <v>#N/A</v>
      </c>
      <c r="Q37" t="str" cm="1">
        <f t="array" ref="Q37">_xlfn.TEXTJOIN(", ", TRUE, _xlfn._xlws.FILTER(Input!W:W, Input!J:J=B37))</f>
        <v/>
      </c>
      <c r="S37" s="13" t="str">
        <f>_xlfn.LET(_xlpm.Result,_xlfn.XLOOKUP(B37,Input!J:J,Input!AB:AB),IF(_xlpm.Result="","",_xlpm.Result))</f>
        <v/>
      </c>
      <c r="T37" s="13" t="str" cm="1">
        <f t="array" ref="T37">IFERROR(_xlfn.IFS(
   --S37&lt;55,"Battery Defect",
  -- S37&lt;=69,"Battery D",
  --S37&lt;=80,"Battery C",
 --S37&gt;80,""
),"")</f>
        <v/>
      </c>
      <c r="U37" s="13" t="str" cm="1">
        <f t="array" ref="U37:Z37">IFERROR(IF(_xlfn.XLOOKUP(B37,Input!J:J,Input!N:S)=0,"",
          _xlfn.XLOOKUP(B37,Input!J:J,Input!N:S)),"")</f>
        <v/>
      </c>
      <c r="V37" s="13" t="str">
        <v/>
      </c>
      <c r="W37" s="13" t="str">
        <v/>
      </c>
      <c r="X37" s="13" t="str">
        <v/>
      </c>
      <c r="Y37" s="13" t="str">
        <v/>
      </c>
      <c r="Z37" s="13" t="str">
        <v/>
      </c>
      <c r="AA37" t="str">
        <f t="shared" si="2"/>
        <v/>
      </c>
      <c r="AB37" t="str">
        <f>_xlfn.XLOOKUP(B:B,Disk_Pivot!G:G,Disk_Pivot!I:I)</f>
        <v>No</v>
      </c>
      <c r="AC37" t="str">
        <f>_xlfn.XLOOKUP(B37,Disk_Pivot!G:G,Disk_Pivot!N:N)</f>
        <v/>
      </c>
    </row>
    <row r="38" spans="1:29">
      <c r="A38" t="str">
        <f>_xlfn.TEXTJOIN("",TRUE,_xlfn.XLOOKUP(B38,Input!J:J,Input!G:G,"",0,1),_xlfn.XLOOKUP(B38,Input!J:J,Input!H:H,"",0,1))</f>
        <v/>
      </c>
      <c r="C38" s="13">
        <f>_xlfn.XLOOKUP(B38,Input!J:J,Input!F:F)</f>
        <v>0</v>
      </c>
      <c r="D38">
        <f>_xlfn.XLOOKUP(C38,Models!H:H,Models!G:G,C38)</f>
        <v>0</v>
      </c>
      <c r="F38" t="str">
        <f>_xlfn.XLOOKUP(H38,Models!B:B,Models!F:F,"")</f>
        <v/>
      </c>
      <c r="G38">
        <f>_xlfn.XLOOKUP(B38,Input!J:J,Input!E:E)</f>
        <v>0</v>
      </c>
      <c r="H38">
        <f>IF(G38="LENOVO",_xlfn.XLOOKUP(B38,Input!J:J,Input!K:K),_xlfn.XLOOKUP(B38,Input!J:J,Input!L:L))</f>
        <v>0</v>
      </c>
      <c r="K38">
        <f>_xlfn.XLOOKUP(B38,CPU_Formula!A:A,CPU_Formula!I:I)</f>
        <v>0</v>
      </c>
      <c r="L38" s="13" t="e">
        <f>INDEX(Input!$D$2:$AD$500,
       MATCH(B38, Input!$J$2:$J$500, 0),
       MATCH("Memory Capacity", Input!$D$1:$AD$1, 0))</f>
        <v>#N/A</v>
      </c>
      <c r="M38" s="13" t="e">
        <f>INDEX(Input!$D$2:$AD$500,
       MATCH(B38, Input!$J$2:$J$500, 0),
       MATCH("Memory Type", Input!$D$1:$AD$1, 0))</f>
        <v>#N/A</v>
      </c>
      <c r="N38" s="13" t="e">
        <f t="shared" si="0"/>
        <v>#N/A</v>
      </c>
      <c r="O38" s="13" t="str" cm="1">
        <f t="array" ref="O38">IFERROR(_xlfn.FILTERXML("&lt;t&gt;&lt;s&gt;" &amp; SUBSTITUTE(M38," / ","&lt;/s&gt;&lt;s&gt;") &amp; "&lt;/s&gt;&lt;/t&gt;","(//s[contains(.,'DDR')])[1]"),"")</f>
        <v/>
      </c>
      <c r="P38" t="e">
        <f t="shared" si="1"/>
        <v>#N/A</v>
      </c>
      <c r="Q38" t="str" cm="1">
        <f t="array" ref="Q38">_xlfn.TEXTJOIN(", ", TRUE, _xlfn._xlws.FILTER(Input!W:W, Input!J:J=B38))</f>
        <v/>
      </c>
      <c r="S38" s="13" t="str">
        <f>_xlfn.LET(_xlpm.Result,_xlfn.XLOOKUP(B38,Input!J:J,Input!AB:AB),IF(_xlpm.Result="","",_xlpm.Result))</f>
        <v/>
      </c>
      <c r="T38" s="13" t="str" cm="1">
        <f t="array" ref="T38">IFERROR(_xlfn.IFS(
   --S38&lt;55,"Battery Defect",
  -- S38&lt;=69,"Battery D",
  --S38&lt;=80,"Battery C",
 --S38&gt;80,""
),"")</f>
        <v/>
      </c>
      <c r="U38" s="13" t="str" cm="1">
        <f t="array" ref="U38:Z38">IFERROR(IF(_xlfn.XLOOKUP(B38,Input!J:J,Input!N:S)=0,"",
          _xlfn.XLOOKUP(B38,Input!J:J,Input!N:S)),"")</f>
        <v/>
      </c>
      <c r="V38" s="13" t="str">
        <v/>
      </c>
      <c r="W38" s="13" t="str">
        <v/>
      </c>
      <c r="X38" s="13" t="str">
        <v/>
      </c>
      <c r="Y38" s="13" t="str">
        <v/>
      </c>
      <c r="Z38" s="13" t="str">
        <v/>
      </c>
      <c r="AA38" t="str">
        <f t="shared" si="2"/>
        <v/>
      </c>
      <c r="AB38" t="str">
        <f>_xlfn.XLOOKUP(B:B,Disk_Pivot!G:G,Disk_Pivot!I:I)</f>
        <v>No</v>
      </c>
      <c r="AC38" t="str">
        <f>_xlfn.XLOOKUP(B38,Disk_Pivot!G:G,Disk_Pivot!N:N)</f>
        <v/>
      </c>
    </row>
    <row r="39" spans="1:29">
      <c r="A39" t="str">
        <f>_xlfn.TEXTJOIN("",TRUE,_xlfn.XLOOKUP(B39,Input!J:J,Input!G:G,"",0,1),_xlfn.XLOOKUP(B39,Input!J:J,Input!H:H,"",0,1))</f>
        <v/>
      </c>
      <c r="C39" s="13">
        <f>_xlfn.XLOOKUP(B39,Input!J:J,Input!F:F)</f>
        <v>0</v>
      </c>
      <c r="D39">
        <f>_xlfn.XLOOKUP(C39,Models!H:H,Models!G:G,C39)</f>
        <v>0</v>
      </c>
      <c r="F39" t="str">
        <f>_xlfn.XLOOKUP(H39,Models!B:B,Models!F:F,"")</f>
        <v/>
      </c>
      <c r="G39">
        <f>_xlfn.XLOOKUP(B39,Input!J:J,Input!E:E)</f>
        <v>0</v>
      </c>
      <c r="H39">
        <f>IF(G39="LENOVO",_xlfn.XLOOKUP(B39,Input!J:J,Input!K:K),_xlfn.XLOOKUP(B39,Input!J:J,Input!L:L))</f>
        <v>0</v>
      </c>
      <c r="K39">
        <f>_xlfn.XLOOKUP(B39,CPU_Formula!A:A,CPU_Formula!I:I)</f>
        <v>0</v>
      </c>
      <c r="L39" s="13" t="e">
        <f>INDEX(Input!$D$2:$AD$500,
       MATCH(B39, Input!$J$2:$J$500, 0),
       MATCH("Memory Capacity", Input!$D$1:$AD$1, 0))</f>
        <v>#N/A</v>
      </c>
      <c r="M39" s="13" t="e">
        <f>INDEX(Input!$D$2:$AD$500,
       MATCH(B39, Input!$J$2:$J$500, 0),
       MATCH("Memory Type", Input!$D$1:$AD$1, 0))</f>
        <v>#N/A</v>
      </c>
      <c r="N39" s="13" t="e">
        <f t="shared" si="0"/>
        <v>#N/A</v>
      </c>
      <c r="O39" s="13" t="str" cm="1">
        <f t="array" ref="O39">IFERROR(_xlfn.FILTERXML("&lt;t&gt;&lt;s&gt;" &amp; SUBSTITUTE(M39," / ","&lt;/s&gt;&lt;s&gt;") &amp; "&lt;/s&gt;&lt;/t&gt;","(//s[contains(.,'DDR')])[1]"),"")</f>
        <v/>
      </c>
      <c r="P39" t="e">
        <f t="shared" si="1"/>
        <v>#N/A</v>
      </c>
      <c r="Q39" t="str" cm="1">
        <f t="array" ref="Q39">_xlfn.TEXTJOIN(", ", TRUE, _xlfn._xlws.FILTER(Input!W:W, Input!J:J=B39))</f>
        <v/>
      </c>
      <c r="S39" s="13" t="e">
        <f>_xlfn.LET(_xlpm.Result,_xlfn.XLOOKUP(B39,Input!J:J,Input!AB:AB),IF(_xlpm.Result="","",_xlpm.Result))</f>
        <v>#N/A</v>
      </c>
      <c r="T39" s="13" t="str" cm="1">
        <f t="array" ref="T39">IFERROR(_xlfn.IFS(
   --S39&lt;55,"Battery Defect",
  -- S39&lt;=69,"Battery D",
  --S39&lt;=80,"Battery C",
 --S39&gt;80,""
),"")</f>
        <v/>
      </c>
      <c r="U39" s="13" t="str" cm="1">
        <f t="array" ref="U39:Z39">IFERROR(IF(_xlfn.XLOOKUP(B39,Input!J:J,Input!N:S)=0,"",
          _xlfn.XLOOKUP(B39,Input!J:J,Input!N:S)),"")</f>
        <v/>
      </c>
      <c r="V39" s="13" t="str">
        <v/>
      </c>
      <c r="W39" s="13" t="str">
        <v/>
      </c>
      <c r="X39" s="13" t="str">
        <v/>
      </c>
      <c r="Y39" s="13" t="str">
        <v/>
      </c>
      <c r="Z39" s="13" t="str">
        <v/>
      </c>
      <c r="AA39" t="str">
        <f t="shared" si="2"/>
        <v/>
      </c>
      <c r="AB39" t="str">
        <f>_xlfn.XLOOKUP(B:B,Disk_Pivot!G:G,Disk_Pivot!I:I)</f>
        <v>No</v>
      </c>
      <c r="AC39" t="str">
        <f>_xlfn.XLOOKUP(B39,Disk_Pivot!G:G,Disk_Pivot!N:N)</f>
        <v/>
      </c>
    </row>
    <row r="40" spans="1:29">
      <c r="A40" t="str">
        <f>_xlfn.TEXTJOIN("",TRUE,_xlfn.XLOOKUP(B40,Input!J:J,Input!G:G,"",0,1),_xlfn.XLOOKUP(B40,Input!J:J,Input!H:H,"",0,1))</f>
        <v/>
      </c>
      <c r="C40" s="13">
        <f>_xlfn.XLOOKUP(B40,Input!J:J,Input!F:F)</f>
        <v>0</v>
      </c>
      <c r="D40">
        <f>_xlfn.XLOOKUP(C40,Models!H:H,Models!G:G,C40)</f>
        <v>0</v>
      </c>
      <c r="F40" t="str">
        <f>_xlfn.XLOOKUP(H40,Models!B:B,Models!F:F,"")</f>
        <v/>
      </c>
      <c r="G40">
        <f>_xlfn.XLOOKUP(B40,Input!J:J,Input!E:E)</f>
        <v>0</v>
      </c>
      <c r="H40">
        <f>IF(G40="LENOVO",_xlfn.XLOOKUP(B40,Input!J:J,Input!K:K),_xlfn.XLOOKUP(B40,Input!J:J,Input!L:L))</f>
        <v>0</v>
      </c>
      <c r="K40">
        <f>_xlfn.XLOOKUP(B40,CPU_Formula!A:A,CPU_Formula!I:I)</f>
        <v>0</v>
      </c>
      <c r="L40" s="13" t="e">
        <f>INDEX(Input!$D$2:$AD$500,
       MATCH(B40, Input!$J$2:$J$500, 0),
       MATCH("Memory Capacity", Input!$D$1:$AD$1, 0))</f>
        <v>#N/A</v>
      </c>
      <c r="M40" s="13" t="e">
        <f>INDEX(Input!$D$2:$AD$500,
       MATCH(B40, Input!$J$2:$J$500, 0),
       MATCH("Memory Type", Input!$D$1:$AD$1, 0))</f>
        <v>#N/A</v>
      </c>
      <c r="N40" s="13" t="e">
        <f t="shared" si="0"/>
        <v>#N/A</v>
      </c>
      <c r="O40" s="13" t="str" cm="1">
        <f t="array" ref="O40">IFERROR(_xlfn.FILTERXML("&lt;t&gt;&lt;s&gt;" &amp; SUBSTITUTE(M40," / ","&lt;/s&gt;&lt;s&gt;") &amp; "&lt;/s&gt;&lt;/t&gt;","(//s[contains(.,'DDR')])[1]"),"")</f>
        <v/>
      </c>
      <c r="P40" t="e">
        <f t="shared" si="1"/>
        <v>#N/A</v>
      </c>
      <c r="Q40" t="str" cm="1">
        <f t="array" ref="Q40">_xlfn.TEXTJOIN(", ", TRUE, _xlfn._xlws.FILTER(Input!W:W, Input!J:J=B40))</f>
        <v/>
      </c>
      <c r="S40" s="13" t="str">
        <f>_xlfn.LET(_xlpm.Result,_xlfn.XLOOKUP(B40,Input!J:J,Input!AB:AB),IF(_xlpm.Result="","",_xlpm.Result))</f>
        <v/>
      </c>
      <c r="T40" s="13" t="str" cm="1">
        <f t="array" ref="T40">IFERROR(_xlfn.IFS(
   --S40&lt;55,"Battery Defect",
  -- S40&lt;=69,"Battery D",
  --S40&lt;=80,"Battery C",
 --S40&gt;80,""
),"")</f>
        <v/>
      </c>
      <c r="U40" s="13" t="str" cm="1">
        <f t="array" ref="U40:Z40">IFERROR(IF(_xlfn.XLOOKUP(B40,Input!J:J,Input!N:S)=0,"",
          _xlfn.XLOOKUP(B40,Input!J:J,Input!N:S)),"")</f>
        <v/>
      </c>
      <c r="V40" s="13" t="str">
        <v/>
      </c>
      <c r="W40" s="13" t="str">
        <v/>
      </c>
      <c r="X40" s="13" t="str">
        <v/>
      </c>
      <c r="Y40" s="13" t="str">
        <v/>
      </c>
      <c r="Z40" s="13" t="str">
        <v/>
      </c>
      <c r="AA40" t="str">
        <f t="shared" si="2"/>
        <v/>
      </c>
      <c r="AB40" t="str">
        <f>_xlfn.XLOOKUP(B:B,Disk_Pivot!G:G,Disk_Pivot!I:I)</f>
        <v>No</v>
      </c>
      <c r="AC40" t="str">
        <f>_xlfn.XLOOKUP(B40,Disk_Pivot!G:G,Disk_Pivot!N:N)</f>
        <v/>
      </c>
    </row>
    <row r="41" spans="1:29">
      <c r="A41" t="str">
        <f>_xlfn.TEXTJOIN("",TRUE,_xlfn.XLOOKUP(B41,Input!J:J,Input!G:G,"",0,1),_xlfn.XLOOKUP(B41,Input!J:J,Input!H:H,"",0,1))</f>
        <v/>
      </c>
      <c r="C41" s="13">
        <f>_xlfn.XLOOKUP(B41,Input!J:J,Input!F:F)</f>
        <v>0</v>
      </c>
      <c r="D41">
        <f>_xlfn.XLOOKUP(C41,Models!H:H,Models!G:G,C41)</f>
        <v>0</v>
      </c>
      <c r="F41" t="e">
        <f>_xlfn.XLOOKUP(H41,Models!B:B,Models!F:F,"")</f>
        <v>#N/A</v>
      </c>
      <c r="G41" t="e">
        <f>_xlfn.XLOOKUP(B41,Input!J:J,Input!E:E)</f>
        <v>#N/A</v>
      </c>
      <c r="H41" t="e">
        <f>IF(G41="LENOVO",_xlfn.XLOOKUP(B41,Input!J:J,Input!K:K),_xlfn.XLOOKUP(B41,Input!J:J,Input!L:L))</f>
        <v>#N/A</v>
      </c>
      <c r="K41">
        <f>_xlfn.XLOOKUP(B41,CPU_Formula!A:A,CPU_Formula!I:I)</f>
        <v>0</v>
      </c>
      <c r="L41" s="13" t="e">
        <f>INDEX(Input!$D$2:$AD$500,
       MATCH(B41, Input!$J$2:$J$500, 0),
       MATCH("Memory Capacity", Input!$D$1:$AD$1, 0))</f>
        <v>#N/A</v>
      </c>
      <c r="M41" s="13" t="e">
        <f>INDEX(Input!$D$2:$AD$500,
       MATCH(B41, Input!$J$2:$J$500, 0),
       MATCH("Memory Type", Input!$D$1:$AD$1, 0))</f>
        <v>#N/A</v>
      </c>
      <c r="N41" s="13" t="e">
        <f t="shared" si="0"/>
        <v>#N/A</v>
      </c>
      <c r="O41" s="13" t="str" cm="1">
        <f t="array" ref="O41">IFERROR(_xlfn.FILTERXML("&lt;t&gt;&lt;s&gt;" &amp; SUBSTITUTE(M41," / ","&lt;/s&gt;&lt;s&gt;") &amp; "&lt;/s&gt;&lt;/t&gt;","(//s[contains(.,'DDR')])[1]"),"")</f>
        <v/>
      </c>
      <c r="P41" t="e">
        <f t="shared" si="1"/>
        <v>#N/A</v>
      </c>
      <c r="Q41" t="str" cm="1">
        <f t="array" ref="Q41">_xlfn.TEXTJOIN(", ", TRUE, _xlfn._xlws.FILTER(Input!W:W, Input!J:J=B41))</f>
        <v/>
      </c>
      <c r="S41" s="13" t="str">
        <f>_xlfn.LET(_xlpm.Result,_xlfn.XLOOKUP(B41,Input!J:J,Input!AB:AB),IF(_xlpm.Result="","",_xlpm.Result))</f>
        <v/>
      </c>
      <c r="T41" s="13" t="str" cm="1">
        <f t="array" ref="T41">IFERROR(_xlfn.IFS(
   --S41&lt;55,"Battery Defect",
  -- S41&lt;=69,"Battery D",
  --S41&lt;=80,"Battery C",
 --S41&gt;80,""
),"")</f>
        <v/>
      </c>
      <c r="U41" s="13" t="str" cm="1">
        <f t="array" ref="U41:Z41">IFERROR(IF(_xlfn.XLOOKUP(B41,Input!J:J,Input!N:S)=0,"",
          _xlfn.XLOOKUP(B41,Input!J:J,Input!N:S)),"")</f>
        <v/>
      </c>
      <c r="V41" s="13" t="str">
        <v/>
      </c>
      <c r="W41" s="13" t="str">
        <v/>
      </c>
      <c r="X41" s="13" t="str">
        <v/>
      </c>
      <c r="Y41" s="13" t="str">
        <v/>
      </c>
      <c r="Z41" s="13" t="str">
        <v/>
      </c>
      <c r="AA41" t="str">
        <f t="shared" si="2"/>
        <v/>
      </c>
      <c r="AB41" t="str">
        <f>_xlfn.XLOOKUP(B:B,Disk_Pivot!G:G,Disk_Pivot!I:I)</f>
        <v>No</v>
      </c>
      <c r="AC41" t="str">
        <f>_xlfn.XLOOKUP(B41,Disk_Pivot!G:G,Disk_Pivot!N:N)</f>
        <v/>
      </c>
    </row>
    <row r="42" spans="1:29">
      <c r="A42" t="str">
        <f>_xlfn.TEXTJOIN("",TRUE,_xlfn.XLOOKUP(B42,Input!J:J,Input!G:G,"",0,1),_xlfn.XLOOKUP(B42,Input!J:J,Input!H:H,"",0,1))</f>
        <v/>
      </c>
      <c r="C42" s="13">
        <f>_xlfn.XLOOKUP(B42,Input!J:J,Input!F:F)</f>
        <v>0</v>
      </c>
      <c r="D42">
        <f>_xlfn.XLOOKUP(C42,Models!H:H,Models!G:G,C42)</f>
        <v>0</v>
      </c>
      <c r="F42" t="str">
        <f>_xlfn.XLOOKUP(H42,Models!B:B,Models!F:F,"")</f>
        <v/>
      </c>
      <c r="G42">
        <f>_xlfn.XLOOKUP(B42,Input!J:J,Input!E:E)</f>
        <v>0</v>
      </c>
      <c r="H42">
        <f>IF(G42="LENOVO",_xlfn.XLOOKUP(B42,Input!J:J,Input!K:K),_xlfn.XLOOKUP(B42,Input!J:J,Input!L:L))</f>
        <v>0</v>
      </c>
      <c r="K42">
        <f>_xlfn.XLOOKUP(B42,CPU_Formula!A:A,CPU_Formula!I:I)</f>
        <v>0</v>
      </c>
      <c r="L42" s="13" t="e">
        <f>INDEX(Input!$D$2:$AD$500,
       MATCH(B42, Input!$J$2:$J$500, 0),
       MATCH("Memory Capacity", Input!$D$1:$AD$1, 0))</f>
        <v>#N/A</v>
      </c>
      <c r="M42" s="13" t="e">
        <f>INDEX(Input!$D$2:$AD$500,
       MATCH(B42, Input!$J$2:$J$500, 0),
       MATCH("Memory Type", Input!$D$1:$AD$1, 0))</f>
        <v>#N/A</v>
      </c>
      <c r="N42" s="13" t="e">
        <f t="shared" si="0"/>
        <v>#N/A</v>
      </c>
      <c r="O42" s="13" t="str" cm="1">
        <f t="array" ref="O42">IFERROR(_xlfn.FILTERXML("&lt;t&gt;&lt;s&gt;" &amp; SUBSTITUTE(M42," / ","&lt;/s&gt;&lt;s&gt;") &amp; "&lt;/s&gt;&lt;/t&gt;","(//s[contains(.,'DDR')])[1]"),"")</f>
        <v/>
      </c>
      <c r="P42" t="e">
        <f t="shared" si="1"/>
        <v>#N/A</v>
      </c>
      <c r="Q42" t="str" cm="1">
        <f t="array" ref="Q42">_xlfn.TEXTJOIN(", ", TRUE, _xlfn._xlws.FILTER(Input!W:W, Input!J:J=B42))</f>
        <v/>
      </c>
      <c r="S42" s="13" t="e">
        <f>_xlfn.LET(_xlpm.Result,_xlfn.XLOOKUP(B42,Input!J:J,Input!AB:AB),IF(_xlpm.Result="","",_xlpm.Result))</f>
        <v>#N/A</v>
      </c>
      <c r="T42" s="13" t="str" cm="1">
        <f t="array" ref="T42">IFERROR(_xlfn.IFS(
   --S42&lt;55,"Battery Defect",
  -- S42&lt;=69,"Battery D",
  --S42&lt;=80,"Battery C",
 --S42&gt;80,""
),"")</f>
        <v/>
      </c>
      <c r="U42" s="13" t="str" cm="1">
        <f t="array" ref="U42:Z42">IFERROR(IF(_xlfn.XLOOKUP(B42,Input!J:J,Input!N:S)=0,"",
          _xlfn.XLOOKUP(B42,Input!J:J,Input!N:S)),"")</f>
        <v/>
      </c>
      <c r="V42" s="13" t="str">
        <v/>
      </c>
      <c r="W42" s="13" t="str">
        <v/>
      </c>
      <c r="X42" s="13" t="str">
        <v/>
      </c>
      <c r="Y42" s="13" t="str">
        <v/>
      </c>
      <c r="Z42" s="13" t="str">
        <v/>
      </c>
      <c r="AA42" t="str">
        <f t="shared" si="2"/>
        <v/>
      </c>
      <c r="AB42" t="str">
        <f>_xlfn.XLOOKUP(B:B,Disk_Pivot!G:G,Disk_Pivot!I:I)</f>
        <v>No</v>
      </c>
      <c r="AC42" t="str">
        <f>_xlfn.XLOOKUP(B42,Disk_Pivot!G:G,Disk_Pivot!N:N)</f>
        <v/>
      </c>
    </row>
    <row r="43" spans="1:29">
      <c r="A43" t="str">
        <f>_xlfn.TEXTJOIN("",TRUE,_xlfn.XLOOKUP(B43,Input!J:J,Input!G:G,"",0,1),_xlfn.XLOOKUP(B43,Input!J:J,Input!H:H,"",0,1))</f>
        <v/>
      </c>
      <c r="C43" s="13">
        <f>_xlfn.XLOOKUP(B43,Input!J:J,Input!F:F)</f>
        <v>0</v>
      </c>
      <c r="D43">
        <f>_xlfn.XLOOKUP(C43,Models!H:H,Models!G:G,C43)</f>
        <v>0</v>
      </c>
      <c r="F43" t="str">
        <f>_xlfn.XLOOKUP(H43,Models!B:B,Models!F:F,"")</f>
        <v/>
      </c>
      <c r="G43">
        <f>_xlfn.XLOOKUP(B43,Input!J:J,Input!E:E)</f>
        <v>0</v>
      </c>
      <c r="H43">
        <f>IF(G43="LENOVO",_xlfn.XLOOKUP(B43,Input!J:J,Input!K:K),_xlfn.XLOOKUP(B43,Input!J:J,Input!L:L))</f>
        <v>0</v>
      </c>
      <c r="K43">
        <f>_xlfn.XLOOKUP(B43,CPU_Formula!A:A,CPU_Formula!I:I)</f>
        <v>0</v>
      </c>
      <c r="L43" s="13" t="e">
        <f>INDEX(Input!$D$2:$AD$500,
       MATCH(B43, Input!$J$2:$J$500, 0),
       MATCH("Memory Capacity", Input!$D$1:$AD$1, 0))</f>
        <v>#N/A</v>
      </c>
      <c r="M43" s="13" t="e">
        <f>INDEX(Input!$D$2:$AD$500,
       MATCH(B43, Input!$J$2:$J$500, 0),
       MATCH("Memory Type", Input!$D$1:$AD$1, 0))</f>
        <v>#N/A</v>
      </c>
      <c r="N43" s="13" t="e">
        <f t="shared" si="0"/>
        <v>#N/A</v>
      </c>
      <c r="O43" s="13" t="str" cm="1">
        <f t="array" ref="O43">IFERROR(_xlfn.FILTERXML("&lt;t&gt;&lt;s&gt;" &amp; SUBSTITUTE(M43," / ","&lt;/s&gt;&lt;s&gt;") &amp; "&lt;/s&gt;&lt;/t&gt;","(//s[contains(.,'DDR')])[1]"),"")</f>
        <v/>
      </c>
      <c r="P43" t="e">
        <f t="shared" si="1"/>
        <v>#N/A</v>
      </c>
      <c r="Q43" t="str" cm="1">
        <f t="array" ref="Q43">_xlfn.TEXTJOIN(", ", TRUE, _xlfn._xlws.FILTER(Input!W:W, Input!J:J=B43))</f>
        <v/>
      </c>
      <c r="S43" s="13" t="str">
        <f>_xlfn.LET(_xlpm.Result,_xlfn.XLOOKUP(B43,Input!J:J,Input!AB:AB),IF(_xlpm.Result="","",_xlpm.Result))</f>
        <v/>
      </c>
      <c r="T43" s="13" t="str" cm="1">
        <f t="array" ref="T43">IFERROR(_xlfn.IFS(
   --S43&lt;55,"Battery Defect",
  -- S43&lt;=69,"Battery D",
  --S43&lt;=80,"Battery C",
 --S43&gt;80,""
),"")</f>
        <v/>
      </c>
      <c r="U43" s="13" t="str" cm="1">
        <f t="array" ref="U43:Z43">IFERROR(IF(_xlfn.XLOOKUP(B43,Input!J:J,Input!N:S)=0,"",
          _xlfn.XLOOKUP(B43,Input!J:J,Input!N:S)),"")</f>
        <v/>
      </c>
      <c r="V43" s="13" t="str">
        <v/>
      </c>
      <c r="W43" s="13" t="str">
        <v/>
      </c>
      <c r="X43" s="13" t="str">
        <v/>
      </c>
      <c r="Y43" s="13" t="str">
        <v/>
      </c>
      <c r="Z43" s="13" t="str">
        <v/>
      </c>
      <c r="AA43" t="str">
        <f t="shared" si="2"/>
        <v/>
      </c>
      <c r="AB43" t="str">
        <f>_xlfn.XLOOKUP(B:B,Disk_Pivot!G:G,Disk_Pivot!I:I)</f>
        <v>No</v>
      </c>
      <c r="AC43" t="str">
        <f>_xlfn.XLOOKUP(B43,Disk_Pivot!G:G,Disk_Pivot!N:N)</f>
        <v/>
      </c>
    </row>
    <row r="44" spans="1:29">
      <c r="A44" t="str">
        <f>_xlfn.TEXTJOIN("",TRUE,_xlfn.XLOOKUP(B44,Input!J:J,Input!G:G,"",0,1),_xlfn.XLOOKUP(B44,Input!J:J,Input!H:H,"",0,1))</f>
        <v/>
      </c>
      <c r="C44" s="13">
        <f>_xlfn.XLOOKUP(B44,Input!J:J,Input!F:F)</f>
        <v>0</v>
      </c>
      <c r="D44">
        <f>_xlfn.XLOOKUP(C44,Models!H:H,Models!G:G,C44)</f>
        <v>0</v>
      </c>
      <c r="F44" t="str">
        <f>_xlfn.XLOOKUP(H44,Models!B:B,Models!F:F,"")</f>
        <v/>
      </c>
      <c r="G44">
        <f>_xlfn.XLOOKUP(B44,Input!J:J,Input!E:E)</f>
        <v>0</v>
      </c>
      <c r="H44">
        <f>IF(G44="LENOVO",_xlfn.XLOOKUP(B44,Input!J:J,Input!K:K),_xlfn.XLOOKUP(B44,Input!J:J,Input!L:L))</f>
        <v>0</v>
      </c>
      <c r="K44">
        <f>_xlfn.XLOOKUP(B44,CPU_Formula!A:A,CPU_Formula!I:I)</f>
        <v>0</v>
      </c>
      <c r="L44" s="13" t="e">
        <f>INDEX(Input!$D$2:$AD$500,
       MATCH(B44, Input!$J$2:$J$500, 0),
       MATCH("Memory Capacity", Input!$D$1:$AD$1, 0))</f>
        <v>#N/A</v>
      </c>
      <c r="M44" s="13" t="e">
        <f>INDEX(Input!$D$2:$AD$500,
       MATCH(B44, Input!$J$2:$J$500, 0),
       MATCH("Memory Type", Input!$D$1:$AD$1, 0))</f>
        <v>#N/A</v>
      </c>
      <c r="N44" s="13" t="e">
        <f t="shared" si="0"/>
        <v>#N/A</v>
      </c>
      <c r="O44" s="13" t="str" cm="1">
        <f t="array" ref="O44">IFERROR(_xlfn.FILTERXML("&lt;t&gt;&lt;s&gt;" &amp; SUBSTITUTE(M44," / ","&lt;/s&gt;&lt;s&gt;") &amp; "&lt;/s&gt;&lt;/t&gt;","(//s[contains(.,'DDR')])[1]"),"")</f>
        <v/>
      </c>
      <c r="P44" t="e">
        <f t="shared" si="1"/>
        <v>#N/A</v>
      </c>
      <c r="Q44" t="str" cm="1">
        <f t="array" ref="Q44">_xlfn.TEXTJOIN(", ", TRUE, _xlfn._xlws.FILTER(Input!W:W, Input!J:J=B44))</f>
        <v/>
      </c>
      <c r="S44" s="13" t="str">
        <f>_xlfn.LET(_xlpm.Result,_xlfn.XLOOKUP(B44,Input!J:J,Input!AB:AB),IF(_xlpm.Result="","",_xlpm.Result))</f>
        <v/>
      </c>
      <c r="T44" s="13" t="str" cm="1">
        <f t="array" ref="T44">IFERROR(_xlfn.IFS(
   --S44&lt;55,"Battery Defect",
  -- S44&lt;=69,"Battery D",
  --S44&lt;=80,"Battery C",
 --S44&gt;80,""
),"")</f>
        <v/>
      </c>
      <c r="U44" s="13" t="str" cm="1">
        <f t="array" ref="U44:Z44">IFERROR(IF(_xlfn.XLOOKUP(B44,Input!J:J,Input!N:S)=0,"",
          _xlfn.XLOOKUP(B44,Input!J:J,Input!N:S)),"")</f>
        <v/>
      </c>
      <c r="V44" s="13" t="str">
        <v/>
      </c>
      <c r="W44" s="13" t="str">
        <v/>
      </c>
      <c r="X44" s="13" t="str">
        <v/>
      </c>
      <c r="Y44" s="13" t="str">
        <v/>
      </c>
      <c r="Z44" s="13" t="str">
        <v/>
      </c>
      <c r="AA44" t="str">
        <f t="shared" si="2"/>
        <v/>
      </c>
      <c r="AB44" t="str">
        <f>_xlfn.XLOOKUP(B:B,Disk_Pivot!G:G,Disk_Pivot!I:I)</f>
        <v>No</v>
      </c>
      <c r="AC44" t="str">
        <f>_xlfn.XLOOKUP(B44,Disk_Pivot!G:G,Disk_Pivot!N:N)</f>
        <v/>
      </c>
    </row>
    <row r="45" spans="1:29">
      <c r="A45" t="str">
        <f>_xlfn.TEXTJOIN("",TRUE,_xlfn.XLOOKUP(B45,Input!J:J,Input!G:G,"",0,1),_xlfn.XLOOKUP(B45,Input!J:J,Input!H:H,"",0,1))</f>
        <v/>
      </c>
      <c r="C45" s="13">
        <f>_xlfn.XLOOKUP(B45,Input!J:J,Input!F:F)</f>
        <v>0</v>
      </c>
      <c r="D45">
        <f>_xlfn.XLOOKUP(C45,Models!H:H,Models!G:G,C45)</f>
        <v>0</v>
      </c>
      <c r="F45" t="str">
        <f>_xlfn.XLOOKUP(H45,Models!B:B,Models!F:F,"")</f>
        <v/>
      </c>
      <c r="G45">
        <f>_xlfn.XLOOKUP(B45,Input!J:J,Input!E:E)</f>
        <v>0</v>
      </c>
      <c r="H45">
        <f>IF(G45="LENOVO",_xlfn.XLOOKUP(B45,Input!J:J,Input!K:K),_xlfn.XLOOKUP(B45,Input!J:J,Input!L:L))</f>
        <v>0</v>
      </c>
      <c r="K45">
        <f>_xlfn.XLOOKUP(B45,CPU_Formula!A:A,CPU_Formula!I:I)</f>
        <v>0</v>
      </c>
      <c r="L45" s="13" t="e">
        <f>INDEX(Input!$D$2:$AD$500,
       MATCH(B45, Input!$J$2:$J$500, 0),
       MATCH("Memory Capacity", Input!$D$1:$AD$1, 0))</f>
        <v>#N/A</v>
      </c>
      <c r="M45" s="13" t="e">
        <f>INDEX(Input!$D$2:$AD$500,
       MATCH(B45, Input!$J$2:$J$500, 0),
       MATCH("Memory Type", Input!$D$1:$AD$1, 0))</f>
        <v>#N/A</v>
      </c>
      <c r="N45" s="13" t="e">
        <f t="shared" si="0"/>
        <v>#N/A</v>
      </c>
      <c r="O45" s="13" t="str" cm="1">
        <f t="array" ref="O45">IFERROR(_xlfn.FILTERXML("&lt;t&gt;&lt;s&gt;" &amp; SUBSTITUTE(M45," / ","&lt;/s&gt;&lt;s&gt;") &amp; "&lt;/s&gt;&lt;/t&gt;","(//s[contains(.,'DDR')])[1]"),"")</f>
        <v/>
      </c>
      <c r="P45" t="e">
        <f t="shared" si="1"/>
        <v>#N/A</v>
      </c>
      <c r="Q45" t="str" cm="1">
        <f t="array" ref="Q45">_xlfn.TEXTJOIN(", ", TRUE, _xlfn._xlws.FILTER(Input!W:W, Input!J:J=B45))</f>
        <v/>
      </c>
      <c r="S45" s="13" t="str">
        <f>_xlfn.LET(_xlpm.Result,_xlfn.XLOOKUP(B45,Input!J:J,Input!AB:AB),IF(_xlpm.Result="","",_xlpm.Result))</f>
        <v/>
      </c>
      <c r="T45" s="13" t="str" cm="1">
        <f t="array" ref="T45">IFERROR(_xlfn.IFS(
   --S45&lt;55,"Battery Defect",
  -- S45&lt;=69,"Battery D",
  --S45&lt;=80,"Battery C",
 --S45&gt;80,""
),"")</f>
        <v/>
      </c>
      <c r="U45" s="13" t="str" cm="1">
        <f t="array" ref="U45:Z45">IFERROR(IF(_xlfn.XLOOKUP(B45,Input!J:J,Input!N:S)=0,"",
          _xlfn.XLOOKUP(B45,Input!J:J,Input!N:S)),"")</f>
        <v/>
      </c>
      <c r="V45" s="13" t="str">
        <v/>
      </c>
      <c r="W45" s="13" t="str">
        <v/>
      </c>
      <c r="X45" s="13" t="str">
        <v/>
      </c>
      <c r="Y45" s="13" t="str">
        <v/>
      </c>
      <c r="Z45" s="13" t="str">
        <v/>
      </c>
      <c r="AA45" t="str">
        <f t="shared" si="2"/>
        <v/>
      </c>
      <c r="AB45" t="str">
        <f>_xlfn.XLOOKUP(B:B,Disk_Pivot!G:G,Disk_Pivot!I:I)</f>
        <v>No</v>
      </c>
      <c r="AC45" t="str">
        <f>_xlfn.XLOOKUP(B45,Disk_Pivot!G:G,Disk_Pivot!N:N)</f>
        <v/>
      </c>
    </row>
    <row r="46" spans="1:29">
      <c r="A46" t="str">
        <f>_xlfn.TEXTJOIN("",TRUE,_xlfn.XLOOKUP(B46,Input!J:J,Input!G:G,"",0,1),_xlfn.XLOOKUP(B46,Input!J:J,Input!H:H,"",0,1))</f>
        <v/>
      </c>
      <c r="C46" s="13">
        <f>_xlfn.XLOOKUP(B46,Input!J:J,Input!F:F)</f>
        <v>0</v>
      </c>
      <c r="D46">
        <f>_xlfn.XLOOKUP(C46,Models!H:H,Models!G:G,C46)</f>
        <v>0</v>
      </c>
      <c r="F46" t="str">
        <f>_xlfn.XLOOKUP(H46,Models!B:B,Models!F:F,"")</f>
        <v/>
      </c>
      <c r="G46">
        <f>_xlfn.XLOOKUP(B46,Input!J:J,Input!E:E)</f>
        <v>0</v>
      </c>
      <c r="H46">
        <f>IF(G46="LENOVO",_xlfn.XLOOKUP(B46,Input!J:J,Input!K:K),_xlfn.XLOOKUP(B46,Input!J:J,Input!L:L))</f>
        <v>0</v>
      </c>
      <c r="K46">
        <f>_xlfn.XLOOKUP(B46,CPU_Formula!A:A,CPU_Formula!I:I)</f>
        <v>0</v>
      </c>
      <c r="L46" s="13" t="e">
        <f>INDEX(Input!$D$2:$AD$500,
       MATCH(B46, Input!$J$2:$J$500, 0),
       MATCH("Memory Capacity", Input!$D$1:$AD$1, 0))</f>
        <v>#N/A</v>
      </c>
      <c r="M46" s="13" t="e">
        <f>INDEX(Input!$D$2:$AD$500,
       MATCH(B46, Input!$J$2:$J$500, 0),
       MATCH("Memory Type", Input!$D$1:$AD$1, 0))</f>
        <v>#N/A</v>
      </c>
      <c r="N46" s="13" t="e">
        <f t="shared" si="0"/>
        <v>#N/A</v>
      </c>
      <c r="O46" s="13" t="str" cm="1">
        <f t="array" ref="O46">IFERROR(_xlfn.FILTERXML("&lt;t&gt;&lt;s&gt;" &amp; SUBSTITUTE(M46," / ","&lt;/s&gt;&lt;s&gt;") &amp; "&lt;/s&gt;&lt;/t&gt;","(//s[contains(.,'DDR')])[1]"),"")</f>
        <v/>
      </c>
      <c r="P46" t="e">
        <f t="shared" si="1"/>
        <v>#N/A</v>
      </c>
      <c r="Q46" t="str" cm="1">
        <f t="array" ref="Q46">_xlfn.TEXTJOIN(", ", TRUE, _xlfn._xlws.FILTER(Input!W:W, Input!J:J=B46))</f>
        <v/>
      </c>
      <c r="S46" s="13" t="str">
        <f>_xlfn.LET(_xlpm.Result,_xlfn.XLOOKUP(B46,Input!J:J,Input!AB:AB),IF(_xlpm.Result="","",_xlpm.Result))</f>
        <v/>
      </c>
      <c r="T46" s="13" t="str" cm="1">
        <f t="array" ref="T46">IFERROR(_xlfn.IFS(
   --S46&lt;55,"Battery Defect",
  -- S46&lt;=69,"Battery D",
  --S46&lt;=80,"Battery C",
 --S46&gt;80,""
),"")</f>
        <v/>
      </c>
      <c r="U46" s="13" t="str" cm="1">
        <f t="array" ref="U46:Z46">IFERROR(IF(_xlfn.XLOOKUP(B46,Input!J:J,Input!N:S)=0,"",
          _xlfn.XLOOKUP(B46,Input!J:J,Input!N:S)),"")</f>
        <v/>
      </c>
      <c r="V46" s="13" t="str">
        <v/>
      </c>
      <c r="W46" s="13" t="str">
        <v/>
      </c>
      <c r="X46" s="13" t="str">
        <v/>
      </c>
      <c r="Y46" s="13" t="str">
        <v/>
      </c>
      <c r="Z46" s="13" t="str">
        <v/>
      </c>
      <c r="AA46" t="str">
        <f t="shared" si="2"/>
        <v/>
      </c>
      <c r="AB46" t="str">
        <f>_xlfn.XLOOKUP(B:B,Disk_Pivot!G:G,Disk_Pivot!I:I)</f>
        <v>No</v>
      </c>
      <c r="AC46" t="str">
        <f>_xlfn.XLOOKUP(B46,Disk_Pivot!G:G,Disk_Pivot!N:N)</f>
        <v/>
      </c>
    </row>
    <row r="47" spans="1:29">
      <c r="A47" t="str">
        <f>_xlfn.TEXTJOIN("",TRUE,_xlfn.XLOOKUP(B47,Input!J:J,Input!G:G,"",0,1),_xlfn.XLOOKUP(B47,Input!J:J,Input!H:H,"",0,1))</f>
        <v/>
      </c>
      <c r="C47" s="13">
        <f>_xlfn.XLOOKUP(B47,Input!J:J,Input!F:F)</f>
        <v>0</v>
      </c>
      <c r="D47">
        <f>_xlfn.XLOOKUP(C47,Models!H:H,Models!G:G,C47)</f>
        <v>0</v>
      </c>
      <c r="F47" t="str">
        <f>_xlfn.XLOOKUP(H47,Models!B:B,Models!F:F,"")</f>
        <v/>
      </c>
      <c r="G47">
        <f>_xlfn.XLOOKUP(B47,Input!J:J,Input!E:E)</f>
        <v>0</v>
      </c>
      <c r="H47">
        <f>IF(G47="LENOVO",_xlfn.XLOOKUP(B47,Input!J:J,Input!K:K),_xlfn.XLOOKUP(B47,Input!J:J,Input!L:L))</f>
        <v>0</v>
      </c>
      <c r="K47">
        <f>_xlfn.XLOOKUP(B47,CPU_Formula!A:A,CPU_Formula!I:I)</f>
        <v>0</v>
      </c>
      <c r="L47" s="13" t="e">
        <f>INDEX(Input!$D$2:$AD$500,
       MATCH(B47, Input!$J$2:$J$500, 0),
       MATCH("Memory Capacity", Input!$D$1:$AD$1, 0))</f>
        <v>#N/A</v>
      </c>
      <c r="M47" s="13" t="e">
        <f>INDEX(Input!$D$2:$AD$500,
       MATCH(B47, Input!$J$2:$J$500, 0),
       MATCH("Memory Type", Input!$D$1:$AD$1, 0))</f>
        <v>#N/A</v>
      </c>
      <c r="N47" s="13" t="e">
        <f t="shared" si="0"/>
        <v>#N/A</v>
      </c>
      <c r="O47" s="13" t="str" cm="1">
        <f t="array" ref="O47">IFERROR(_xlfn.FILTERXML("&lt;t&gt;&lt;s&gt;" &amp; SUBSTITUTE(M47," / ","&lt;/s&gt;&lt;s&gt;") &amp; "&lt;/s&gt;&lt;/t&gt;","(//s[contains(.,'DDR')])[1]"),"")</f>
        <v/>
      </c>
      <c r="P47" t="e">
        <f t="shared" si="1"/>
        <v>#N/A</v>
      </c>
      <c r="Q47" t="str" cm="1">
        <f t="array" ref="Q47">_xlfn.TEXTJOIN(", ", TRUE, _xlfn._xlws.FILTER(Input!W:W, Input!J:J=B47))</f>
        <v/>
      </c>
      <c r="S47" s="13" t="str">
        <f>_xlfn.LET(_xlpm.Result,_xlfn.XLOOKUP(B47,Input!J:J,Input!AB:AB),IF(_xlpm.Result="","",_xlpm.Result))</f>
        <v/>
      </c>
      <c r="T47" s="13" t="str" cm="1">
        <f t="array" ref="T47">IFERROR(_xlfn.IFS(
   --S47&lt;55,"Battery Defect",
  -- S47&lt;=69,"Battery D",
  --S47&lt;=80,"Battery C",
 --S47&gt;80,""
),"")</f>
        <v/>
      </c>
      <c r="U47" s="13" t="str" cm="1">
        <f t="array" ref="U47:Z47">IFERROR(IF(_xlfn.XLOOKUP(B47,Input!J:J,Input!N:S)=0,"",
          _xlfn.XLOOKUP(B47,Input!J:J,Input!N:S)),"")</f>
        <v/>
      </c>
      <c r="V47" s="13" t="str">
        <v/>
      </c>
      <c r="W47" s="13" t="str">
        <v/>
      </c>
      <c r="X47" s="13" t="str">
        <v/>
      </c>
      <c r="Y47" s="13" t="str">
        <v/>
      </c>
      <c r="Z47" s="13" t="str">
        <v/>
      </c>
      <c r="AA47" t="str">
        <f t="shared" si="2"/>
        <v/>
      </c>
      <c r="AB47" t="str">
        <f>_xlfn.XLOOKUP(B:B,Disk_Pivot!G:G,Disk_Pivot!I:I)</f>
        <v>No</v>
      </c>
      <c r="AC47" t="str">
        <f>_xlfn.XLOOKUP(B47,Disk_Pivot!G:G,Disk_Pivot!N:N)</f>
        <v/>
      </c>
    </row>
    <row r="48" spans="1:29">
      <c r="A48" t="str">
        <f>_xlfn.TEXTJOIN("",TRUE,_xlfn.XLOOKUP(B48,Input!J:J,Input!G:G,"",0,1),_xlfn.XLOOKUP(B48,Input!J:J,Input!H:H,"",0,1))</f>
        <v/>
      </c>
      <c r="C48" s="13">
        <f>_xlfn.XLOOKUP(B48,Input!J:J,Input!F:F)</f>
        <v>0</v>
      </c>
      <c r="D48">
        <f>_xlfn.XLOOKUP(C48,Models!H:H,Models!G:G,C48)</f>
        <v>0</v>
      </c>
      <c r="F48" t="str">
        <f>_xlfn.XLOOKUP(H48,Models!B:B,Models!F:F,"")</f>
        <v/>
      </c>
      <c r="G48">
        <f>_xlfn.XLOOKUP(B48,Input!J:J,Input!E:E)</f>
        <v>0</v>
      </c>
      <c r="H48">
        <f>IF(G48="LENOVO",_xlfn.XLOOKUP(B48,Input!J:J,Input!K:K),_xlfn.XLOOKUP(B48,Input!J:J,Input!L:L))</f>
        <v>0</v>
      </c>
      <c r="K48">
        <f>_xlfn.XLOOKUP(B48,CPU_Formula!A:A,CPU_Formula!I:I)</f>
        <v>0</v>
      </c>
      <c r="L48" s="13" t="e">
        <f>INDEX(Input!$D$2:$AD$500,
       MATCH(B48, Input!$J$2:$J$500, 0),
       MATCH("Memory Capacity", Input!$D$1:$AD$1, 0))</f>
        <v>#N/A</v>
      </c>
      <c r="M48" s="13" t="e">
        <f>INDEX(Input!$D$2:$AD$500,
       MATCH(B48, Input!$J$2:$J$500, 0),
       MATCH("Memory Type", Input!$D$1:$AD$1, 0))</f>
        <v>#N/A</v>
      </c>
      <c r="N48" s="13" t="e">
        <f t="shared" si="0"/>
        <v>#N/A</v>
      </c>
      <c r="O48" s="13" t="str" cm="1">
        <f t="array" ref="O48">IFERROR(_xlfn.FILTERXML("&lt;t&gt;&lt;s&gt;" &amp; SUBSTITUTE(M48," / ","&lt;/s&gt;&lt;s&gt;") &amp; "&lt;/s&gt;&lt;/t&gt;","(//s[contains(.,'DDR')])[1]"),"")</f>
        <v/>
      </c>
      <c r="P48" t="e">
        <f t="shared" si="1"/>
        <v>#N/A</v>
      </c>
      <c r="Q48" t="str" cm="1">
        <f t="array" ref="Q48">_xlfn.TEXTJOIN(", ", TRUE, _xlfn._xlws.FILTER(Input!W:W, Input!J:J=B48))</f>
        <v/>
      </c>
      <c r="S48" s="13" t="str">
        <f>_xlfn.LET(_xlpm.Result,_xlfn.XLOOKUP(B48,Input!J:J,Input!AB:AB),IF(_xlpm.Result="","",_xlpm.Result))</f>
        <v/>
      </c>
      <c r="T48" s="13" t="str" cm="1">
        <f t="array" ref="T48">IFERROR(_xlfn.IFS(
   --S48&lt;55,"Battery Defect",
  -- S48&lt;=69,"Battery D",
  --S48&lt;=80,"Battery C",
 --S48&gt;80,""
),"")</f>
        <v/>
      </c>
      <c r="U48" s="13" t="str" cm="1">
        <f t="array" ref="U48:Z48">IFERROR(IF(_xlfn.XLOOKUP(B48,Input!J:J,Input!N:S)=0,"",
          _xlfn.XLOOKUP(B48,Input!J:J,Input!N:S)),"")</f>
        <v/>
      </c>
      <c r="V48" s="13" t="str">
        <v/>
      </c>
      <c r="W48" s="13" t="str">
        <v/>
      </c>
      <c r="X48" s="13" t="str">
        <v/>
      </c>
      <c r="Y48" s="13" t="str">
        <v/>
      </c>
      <c r="Z48" s="13" t="str">
        <v/>
      </c>
      <c r="AA48" t="str">
        <f t="shared" si="2"/>
        <v/>
      </c>
      <c r="AB48" t="str">
        <f>_xlfn.XLOOKUP(B:B,Disk_Pivot!G:G,Disk_Pivot!I:I)</f>
        <v>No</v>
      </c>
      <c r="AC48" t="str">
        <f>_xlfn.XLOOKUP(B48,Disk_Pivot!G:G,Disk_Pivot!N:N)</f>
        <v/>
      </c>
    </row>
    <row r="49" spans="1:29">
      <c r="A49" t="str">
        <f>_xlfn.TEXTJOIN("",TRUE,_xlfn.XLOOKUP(B49,Input!J:J,Input!G:G,"",0,1),_xlfn.XLOOKUP(B49,Input!J:J,Input!H:H,"",0,1))</f>
        <v/>
      </c>
      <c r="C49" s="13">
        <f>_xlfn.XLOOKUP(B49,Input!J:J,Input!F:F)</f>
        <v>0</v>
      </c>
      <c r="D49">
        <f>_xlfn.XLOOKUP(C49,Models!H:H,Models!G:G,C49)</f>
        <v>0</v>
      </c>
      <c r="F49" t="str">
        <f>_xlfn.XLOOKUP(H49,Models!B:B,Models!F:F,"")</f>
        <v/>
      </c>
      <c r="G49">
        <f>_xlfn.XLOOKUP(B49,Input!J:J,Input!E:E)</f>
        <v>0</v>
      </c>
      <c r="H49">
        <f>IF(G49="LENOVO",_xlfn.XLOOKUP(B49,Input!J:J,Input!K:K),_xlfn.XLOOKUP(B49,Input!J:J,Input!L:L))</f>
        <v>0</v>
      </c>
      <c r="K49">
        <f>_xlfn.XLOOKUP(B49,CPU_Formula!A:A,CPU_Formula!I:I)</f>
        <v>0</v>
      </c>
      <c r="L49" s="13" t="e">
        <f>INDEX(Input!$D$2:$AD$500,
       MATCH(B49, Input!$J$2:$J$500, 0),
       MATCH("Memory Capacity", Input!$D$1:$AD$1, 0))</f>
        <v>#N/A</v>
      </c>
      <c r="M49" s="13" t="e">
        <f>INDEX(Input!$D$2:$AD$500,
       MATCH(B49, Input!$J$2:$J$500, 0),
       MATCH("Memory Type", Input!$D$1:$AD$1, 0))</f>
        <v>#N/A</v>
      </c>
      <c r="N49" s="13" t="e">
        <f t="shared" si="0"/>
        <v>#N/A</v>
      </c>
      <c r="O49" s="13" t="str" cm="1">
        <f t="array" ref="O49">IFERROR(_xlfn.FILTERXML("&lt;t&gt;&lt;s&gt;" &amp; SUBSTITUTE(M49," / ","&lt;/s&gt;&lt;s&gt;") &amp; "&lt;/s&gt;&lt;/t&gt;","(//s[contains(.,'DDR')])[1]"),"")</f>
        <v/>
      </c>
      <c r="P49" t="e">
        <f t="shared" si="1"/>
        <v>#N/A</v>
      </c>
      <c r="Q49" t="str" cm="1">
        <f t="array" ref="Q49">_xlfn.TEXTJOIN(", ", TRUE, _xlfn._xlws.FILTER(Input!W:W, Input!J:J=B49))</f>
        <v/>
      </c>
      <c r="S49" s="13" t="str">
        <f>_xlfn.LET(_xlpm.Result,_xlfn.XLOOKUP(B49,Input!J:J,Input!AB:AB),IF(_xlpm.Result="","",_xlpm.Result))</f>
        <v/>
      </c>
      <c r="T49" s="13" t="str" cm="1">
        <f t="array" ref="T49">IFERROR(_xlfn.IFS(
   --S49&lt;55,"Battery Defect",
  -- S49&lt;=69,"Battery D",
  --S49&lt;=80,"Battery C",
 --S49&gt;80,""
),"")</f>
        <v/>
      </c>
      <c r="U49" s="13" t="str" cm="1">
        <f t="array" ref="U49:Z49">IFERROR(IF(_xlfn.XLOOKUP(B49,Input!J:J,Input!N:S)=0,"",
          _xlfn.XLOOKUP(B49,Input!J:J,Input!N:S)),"")</f>
        <v/>
      </c>
      <c r="V49" s="13" t="str">
        <v/>
      </c>
      <c r="W49" s="13" t="str">
        <v/>
      </c>
      <c r="X49" s="13" t="str">
        <v/>
      </c>
      <c r="Y49" s="13" t="str">
        <v/>
      </c>
      <c r="Z49" s="13" t="str">
        <v/>
      </c>
      <c r="AA49" t="str">
        <f t="shared" si="2"/>
        <v/>
      </c>
      <c r="AB49" t="str">
        <f>_xlfn.XLOOKUP(B:B,Disk_Pivot!G:G,Disk_Pivot!I:I)</f>
        <v>No</v>
      </c>
      <c r="AC49" t="str">
        <f>_xlfn.XLOOKUP(B49,Disk_Pivot!G:G,Disk_Pivot!N:N)</f>
        <v/>
      </c>
    </row>
    <row r="50" spans="1:29">
      <c r="A50" t="str">
        <f>_xlfn.TEXTJOIN("",TRUE,_xlfn.XLOOKUP(B50,Input!J:J,Input!G:G,"",0,1),_xlfn.XLOOKUP(B50,Input!J:J,Input!H:H,"",0,1))</f>
        <v/>
      </c>
      <c r="C50" s="13">
        <f>_xlfn.XLOOKUP(B50,Input!J:J,Input!F:F)</f>
        <v>0</v>
      </c>
      <c r="D50">
        <f>_xlfn.XLOOKUP(C50,Models!H:H,Models!G:G,C50)</f>
        <v>0</v>
      </c>
      <c r="F50" t="str">
        <f>_xlfn.XLOOKUP(H50,Models!B:B,Models!F:F,"")</f>
        <v/>
      </c>
      <c r="G50">
        <f>_xlfn.XLOOKUP(B50,Input!J:J,Input!E:E)</f>
        <v>0</v>
      </c>
      <c r="H50">
        <f>IF(G50="LENOVO",_xlfn.XLOOKUP(B50,Input!J:J,Input!K:K),_xlfn.XLOOKUP(B50,Input!J:J,Input!L:L))</f>
        <v>0</v>
      </c>
      <c r="K50">
        <f>_xlfn.XLOOKUP(B50,CPU_Formula!A:A,CPU_Formula!I:I)</f>
        <v>0</v>
      </c>
      <c r="L50" s="13" t="e">
        <f>INDEX(Input!$D$2:$AD$500,
       MATCH(B50, Input!$J$2:$J$500, 0),
       MATCH("Memory Capacity", Input!$D$1:$AD$1, 0))</f>
        <v>#N/A</v>
      </c>
      <c r="M50" s="13" t="e">
        <f>INDEX(Input!$D$2:$AD$500,
       MATCH(B50, Input!$J$2:$J$500, 0),
       MATCH("Memory Type", Input!$D$1:$AD$1, 0))</f>
        <v>#N/A</v>
      </c>
      <c r="N50" s="13" t="e">
        <f t="shared" si="0"/>
        <v>#N/A</v>
      </c>
      <c r="O50" s="13" t="str" cm="1">
        <f t="array" ref="O50">IFERROR(_xlfn.FILTERXML("&lt;t&gt;&lt;s&gt;" &amp; SUBSTITUTE(M50," / ","&lt;/s&gt;&lt;s&gt;") &amp; "&lt;/s&gt;&lt;/t&gt;","(//s[contains(.,'DDR')])[1]"),"")</f>
        <v/>
      </c>
      <c r="P50" t="e">
        <f t="shared" si="1"/>
        <v>#N/A</v>
      </c>
      <c r="Q50" t="str" cm="1">
        <f t="array" ref="Q50">_xlfn.TEXTJOIN(", ", TRUE, _xlfn._xlws.FILTER(Input!W:W, Input!J:J=B50))</f>
        <v/>
      </c>
      <c r="S50" s="13" t="str">
        <f>_xlfn.LET(_xlpm.Result,_xlfn.XLOOKUP(B50,Input!J:J,Input!AB:AB),IF(_xlpm.Result="","",_xlpm.Result))</f>
        <v/>
      </c>
      <c r="T50" s="13" t="str" cm="1">
        <f t="array" ref="T50">IFERROR(_xlfn.IFS(
   --S50&lt;55,"Battery Defect",
  -- S50&lt;=69,"Battery D",
  --S50&lt;=80,"Battery C",
 --S50&gt;80,""
),"")</f>
        <v/>
      </c>
      <c r="U50" s="13" t="str" cm="1">
        <f t="array" ref="U50:Z50">IFERROR(IF(_xlfn.XLOOKUP(B50,Input!J:J,Input!N:S)=0,"",
          _xlfn.XLOOKUP(B50,Input!J:J,Input!N:S)),"")</f>
        <v/>
      </c>
      <c r="V50" s="13" t="str">
        <v/>
      </c>
      <c r="W50" s="13" t="str">
        <v/>
      </c>
      <c r="X50" s="13" t="str">
        <v/>
      </c>
      <c r="Y50" s="13" t="str">
        <v/>
      </c>
      <c r="Z50" s="13" t="str">
        <v/>
      </c>
      <c r="AA50" t="str">
        <f t="shared" si="2"/>
        <v/>
      </c>
      <c r="AB50" t="str">
        <f>_xlfn.XLOOKUP(B:B,Disk_Pivot!G:G,Disk_Pivot!I:I)</f>
        <v>No</v>
      </c>
      <c r="AC50" t="str">
        <f>_xlfn.XLOOKUP(B50,Disk_Pivot!G:G,Disk_Pivot!N:N)</f>
        <v/>
      </c>
    </row>
    <row r="51" spans="1:29">
      <c r="A51" t="str">
        <f>_xlfn.TEXTJOIN("",TRUE,_xlfn.XLOOKUP(B51,Input!J:J,Input!G:G,"",0,1),_xlfn.XLOOKUP(B51,Input!J:J,Input!H:H,"",0,1))</f>
        <v/>
      </c>
      <c r="C51" s="13">
        <f>_xlfn.XLOOKUP(B51,Input!J:J,Input!F:F)</f>
        <v>0</v>
      </c>
      <c r="D51">
        <f>_xlfn.XLOOKUP(C51,Models!H:H,Models!G:G,C51)</f>
        <v>0</v>
      </c>
      <c r="F51" t="str">
        <f>_xlfn.XLOOKUP(H51,Models!B:B,Models!F:F,"")</f>
        <v/>
      </c>
      <c r="G51">
        <f>_xlfn.XLOOKUP(B51,Input!J:J,Input!E:E)</f>
        <v>0</v>
      </c>
      <c r="H51">
        <f>IF(G51="LENOVO",_xlfn.XLOOKUP(B51,Input!J:J,Input!K:K),_xlfn.XLOOKUP(B51,Input!J:J,Input!L:L))</f>
        <v>0</v>
      </c>
      <c r="K51">
        <f>_xlfn.XLOOKUP(B51,CPU_Formula!A:A,CPU_Formula!I:I)</f>
        <v>0</v>
      </c>
      <c r="L51" s="13" t="e">
        <f>INDEX(Input!$D$2:$AD$500,
       MATCH(B51, Input!$J$2:$J$500, 0),
       MATCH("Memory Capacity", Input!$D$1:$AD$1, 0))</f>
        <v>#N/A</v>
      </c>
      <c r="M51" s="13" t="e">
        <f>INDEX(Input!$D$2:$AD$500,
       MATCH(B51, Input!$J$2:$J$500, 0),
       MATCH("Memory Type", Input!$D$1:$AD$1, 0))</f>
        <v>#N/A</v>
      </c>
      <c r="N51" s="13" t="e">
        <f t="shared" si="0"/>
        <v>#N/A</v>
      </c>
      <c r="O51" s="13" t="str" cm="1">
        <f t="array" ref="O51">IFERROR(_xlfn.FILTERXML("&lt;t&gt;&lt;s&gt;" &amp; SUBSTITUTE(M51," / ","&lt;/s&gt;&lt;s&gt;") &amp; "&lt;/s&gt;&lt;/t&gt;","(//s[contains(.,'DDR')])[1]"),"")</f>
        <v/>
      </c>
      <c r="P51" t="e">
        <f t="shared" si="1"/>
        <v>#N/A</v>
      </c>
      <c r="Q51" t="str" cm="1">
        <f t="array" ref="Q51">_xlfn.TEXTJOIN(", ", TRUE, _xlfn._xlws.FILTER(Input!W:W, Input!J:J=B51))</f>
        <v/>
      </c>
      <c r="S51" s="13" t="str">
        <f>_xlfn.LET(_xlpm.Result,_xlfn.XLOOKUP(B51,Input!J:J,Input!AB:AB),IF(_xlpm.Result="","",_xlpm.Result))</f>
        <v/>
      </c>
      <c r="T51" s="13" t="str" cm="1">
        <f t="array" ref="T51">IFERROR(_xlfn.IFS(
   --S51&lt;55,"Battery Defect",
  -- S51&lt;=69,"Battery D",
  --S51&lt;=80,"Battery C",
 --S51&gt;80,""
),"")</f>
        <v/>
      </c>
      <c r="U51" s="13" t="str" cm="1">
        <f t="array" ref="U51:Z51">IFERROR(IF(_xlfn.XLOOKUP(B51,Input!J:J,Input!N:S)=0,"",
          _xlfn.XLOOKUP(B51,Input!J:J,Input!N:S)),"")</f>
        <v/>
      </c>
      <c r="V51" s="13" t="str">
        <v/>
      </c>
      <c r="W51" s="13" t="str">
        <v/>
      </c>
      <c r="X51" s="13" t="str">
        <v/>
      </c>
      <c r="Y51" s="13" t="str">
        <v/>
      </c>
      <c r="Z51" s="13" t="str">
        <v/>
      </c>
      <c r="AA51" t="str">
        <f t="shared" si="2"/>
        <v/>
      </c>
      <c r="AB51" t="str">
        <f>_xlfn.XLOOKUP(B:B,Disk_Pivot!G:G,Disk_Pivot!I:I)</f>
        <v>No</v>
      </c>
      <c r="AC51" t="str">
        <f>_xlfn.XLOOKUP(B51,Disk_Pivot!G:G,Disk_Pivot!N:N)</f>
        <v/>
      </c>
    </row>
    <row r="52" spans="1:29">
      <c r="A52" t="str">
        <f>_xlfn.TEXTJOIN("",TRUE,_xlfn.XLOOKUP(B52,Input!J:J,Input!G:G,"",0,1),_xlfn.XLOOKUP(B52,Input!J:J,Input!H:H,"",0,1))</f>
        <v/>
      </c>
      <c r="C52" s="13">
        <f>_xlfn.XLOOKUP(B52,Input!J:J,Input!F:F)</f>
        <v>0</v>
      </c>
      <c r="D52">
        <f>_xlfn.XLOOKUP(C52,Models!H:H,Models!G:G,C52)</f>
        <v>0</v>
      </c>
      <c r="F52" t="str">
        <f>_xlfn.XLOOKUP(H52,Models!B:B,Models!F:F,"")</f>
        <v/>
      </c>
      <c r="G52">
        <f>_xlfn.XLOOKUP(B52,Input!J:J,Input!E:E)</f>
        <v>0</v>
      </c>
      <c r="H52">
        <f>IF(G52="LENOVO",_xlfn.XLOOKUP(B52,Input!J:J,Input!K:K),_xlfn.XLOOKUP(B52,Input!J:J,Input!L:L))</f>
        <v>0</v>
      </c>
      <c r="K52">
        <f>_xlfn.XLOOKUP(B52,CPU_Formula!A:A,CPU_Formula!I:I)</f>
        <v>0</v>
      </c>
      <c r="L52" s="13" t="e">
        <f>INDEX(Input!$D$2:$AD$500,
       MATCH(B52, Input!$J$2:$J$500, 0),
       MATCH("Memory Capacity", Input!$D$1:$AD$1, 0))</f>
        <v>#N/A</v>
      </c>
      <c r="M52" s="13" t="e">
        <f>INDEX(Input!$D$2:$AD$500,
       MATCH(B52, Input!$J$2:$J$500, 0),
       MATCH("Memory Type", Input!$D$1:$AD$1, 0))</f>
        <v>#N/A</v>
      </c>
      <c r="N52" s="13" t="e">
        <f t="shared" si="0"/>
        <v>#N/A</v>
      </c>
      <c r="O52" s="13" t="str" cm="1">
        <f t="array" ref="O52">IFERROR(_xlfn.FILTERXML("&lt;t&gt;&lt;s&gt;" &amp; SUBSTITUTE(M52," / ","&lt;/s&gt;&lt;s&gt;") &amp; "&lt;/s&gt;&lt;/t&gt;","(//s[contains(.,'DDR')])[1]"),"")</f>
        <v/>
      </c>
      <c r="P52" t="e">
        <f t="shared" si="1"/>
        <v>#N/A</v>
      </c>
      <c r="Q52" t="str" cm="1">
        <f t="array" ref="Q52">_xlfn.TEXTJOIN(", ", TRUE, _xlfn._xlws.FILTER(Input!W:W, Input!J:J=B52))</f>
        <v/>
      </c>
      <c r="S52" s="13" t="str">
        <f>_xlfn.LET(_xlpm.Result,_xlfn.XLOOKUP(B52,Input!J:J,Input!AB:AB),IF(_xlpm.Result="","",_xlpm.Result))</f>
        <v/>
      </c>
      <c r="T52" s="13" t="str" cm="1">
        <f t="array" ref="T52">IFERROR(_xlfn.IFS(
   --S52&lt;55,"Battery Defect",
  -- S52&lt;=69,"Battery D",
  --S52&lt;=80,"Battery C",
 --S52&gt;80,""
),"")</f>
        <v/>
      </c>
      <c r="U52" s="13" t="str" cm="1">
        <f t="array" ref="U52:Z52">IFERROR(IF(_xlfn.XLOOKUP(B52,Input!J:J,Input!N:S)=0,"",
          _xlfn.XLOOKUP(B52,Input!J:J,Input!N:S)),"")</f>
        <v/>
      </c>
      <c r="V52" s="13" t="str">
        <v/>
      </c>
      <c r="W52" s="13" t="str">
        <v/>
      </c>
      <c r="X52" s="13" t="str">
        <v/>
      </c>
      <c r="Y52" s="13" t="str">
        <v/>
      </c>
      <c r="Z52" s="13" t="str">
        <v/>
      </c>
      <c r="AA52" t="str">
        <f t="shared" si="2"/>
        <v/>
      </c>
      <c r="AB52" t="str">
        <f>_xlfn.XLOOKUP(B:B,Disk_Pivot!G:G,Disk_Pivot!I:I)</f>
        <v>No</v>
      </c>
      <c r="AC52" t="str">
        <f>_xlfn.XLOOKUP(B52,Disk_Pivot!G:G,Disk_Pivot!N:N)</f>
        <v/>
      </c>
    </row>
    <row r="53" spans="1:29">
      <c r="A53" t="str">
        <f>_xlfn.TEXTJOIN("",TRUE,_xlfn.XLOOKUP(B53,Input!J:J,Input!G:G,"",0,1),_xlfn.XLOOKUP(B53,Input!J:J,Input!H:H,"",0,1))</f>
        <v/>
      </c>
      <c r="C53" s="13">
        <f>_xlfn.XLOOKUP(B53,Input!J:J,Input!F:F)</f>
        <v>0</v>
      </c>
      <c r="D53">
        <f>_xlfn.XLOOKUP(C53,Models!H:H,Models!G:G,C53)</f>
        <v>0</v>
      </c>
      <c r="F53" t="str">
        <f>_xlfn.XLOOKUP(H53,Models!B:B,Models!F:F,"")</f>
        <v/>
      </c>
      <c r="G53">
        <f>_xlfn.XLOOKUP(B53,Input!J:J,Input!E:E)</f>
        <v>0</v>
      </c>
      <c r="H53">
        <f>IF(G53="LENOVO",_xlfn.XLOOKUP(B53,Input!J:J,Input!K:K),_xlfn.XLOOKUP(B53,Input!J:J,Input!L:L))</f>
        <v>0</v>
      </c>
      <c r="K53">
        <f>_xlfn.XLOOKUP(B53,CPU_Formula!A:A,CPU_Formula!I:I)</f>
        <v>0</v>
      </c>
      <c r="L53" s="13" t="e">
        <f>INDEX(Input!$D$2:$AD$500,
       MATCH(B53, Input!$J$2:$J$500, 0),
       MATCH("Memory Capacity", Input!$D$1:$AD$1, 0))</f>
        <v>#N/A</v>
      </c>
      <c r="M53" s="13" t="e">
        <f>INDEX(Input!$D$2:$AD$500,
       MATCH(B53, Input!$J$2:$J$500, 0),
       MATCH("Memory Type", Input!$D$1:$AD$1, 0))</f>
        <v>#N/A</v>
      </c>
      <c r="N53" s="13" t="e">
        <f t="shared" si="0"/>
        <v>#N/A</v>
      </c>
      <c r="O53" s="13" t="str" cm="1">
        <f t="array" ref="O53">IFERROR(_xlfn.FILTERXML("&lt;t&gt;&lt;s&gt;" &amp; SUBSTITUTE(M53," / ","&lt;/s&gt;&lt;s&gt;") &amp; "&lt;/s&gt;&lt;/t&gt;","(//s[contains(.,'DDR')])[1]"),"")</f>
        <v/>
      </c>
      <c r="P53" t="e">
        <f t="shared" si="1"/>
        <v>#N/A</v>
      </c>
      <c r="Q53" t="str" cm="1">
        <f t="array" ref="Q53">_xlfn.TEXTJOIN(", ", TRUE, _xlfn._xlws.FILTER(Input!W:W, Input!J:J=B53))</f>
        <v/>
      </c>
      <c r="S53" s="13" t="str">
        <f>_xlfn.LET(_xlpm.Result,_xlfn.XLOOKUP(B53,Input!J:J,Input!AB:AB),IF(_xlpm.Result="","",_xlpm.Result))</f>
        <v/>
      </c>
      <c r="T53" s="13" t="str" cm="1">
        <f t="array" ref="T53">IFERROR(_xlfn.IFS(
   --S53&lt;55,"Battery Defect",
  -- S53&lt;=69,"Battery D",
  --S53&lt;=80,"Battery C",
 --S53&gt;80,""
),"")</f>
        <v/>
      </c>
      <c r="U53" s="13" t="str" cm="1">
        <f t="array" ref="U53:Z53">IFERROR(IF(_xlfn.XLOOKUP(B53,Input!J:J,Input!N:S)=0,"",
          _xlfn.XLOOKUP(B53,Input!J:J,Input!N:S)),"")</f>
        <v/>
      </c>
      <c r="V53" s="13" t="str">
        <v/>
      </c>
      <c r="W53" s="13" t="str">
        <v/>
      </c>
      <c r="X53" s="13" t="str">
        <v/>
      </c>
      <c r="Y53" s="13" t="str">
        <v/>
      </c>
      <c r="Z53" s="13" t="str">
        <v/>
      </c>
      <c r="AA53" t="str">
        <f t="shared" si="2"/>
        <v/>
      </c>
      <c r="AB53" t="str">
        <f>_xlfn.XLOOKUP(B:B,Disk_Pivot!G:G,Disk_Pivot!I:I)</f>
        <v>No</v>
      </c>
      <c r="AC53" t="str">
        <f>_xlfn.XLOOKUP(B53,Disk_Pivot!G:G,Disk_Pivot!N:N)</f>
        <v/>
      </c>
    </row>
    <row r="54" spans="1:29">
      <c r="A54" t="str">
        <f>_xlfn.TEXTJOIN("",TRUE,_xlfn.XLOOKUP(B54,Input!J:J,Input!G:G,"",0,1),_xlfn.XLOOKUP(B54,Input!J:J,Input!H:H,"",0,1))</f>
        <v/>
      </c>
      <c r="C54" s="13">
        <f>_xlfn.XLOOKUP(B54,Input!J:J,Input!F:F)</f>
        <v>0</v>
      </c>
      <c r="D54">
        <f>_xlfn.XLOOKUP(C54,Models!H:H,Models!G:G,C54)</f>
        <v>0</v>
      </c>
      <c r="F54" t="str">
        <f>_xlfn.XLOOKUP(H54,Models!B:B,Models!F:F,"")</f>
        <v/>
      </c>
      <c r="G54">
        <f>_xlfn.XLOOKUP(B54,Input!J:J,Input!E:E)</f>
        <v>0</v>
      </c>
      <c r="H54">
        <f>IF(G54="LENOVO",_xlfn.XLOOKUP(B54,Input!J:J,Input!K:K),_xlfn.XLOOKUP(B54,Input!J:J,Input!L:L))</f>
        <v>0</v>
      </c>
      <c r="K54">
        <f>_xlfn.XLOOKUP(B54,CPU_Formula!A:A,CPU_Formula!I:I)</f>
        <v>0</v>
      </c>
      <c r="L54" s="13" t="e">
        <f>INDEX(Input!$D$2:$AD$500,
       MATCH(B54, Input!$J$2:$J$500, 0),
       MATCH("Memory Capacity", Input!$D$1:$AD$1, 0))</f>
        <v>#N/A</v>
      </c>
      <c r="M54" s="13" t="e">
        <f>INDEX(Input!$D$2:$AD$500,
       MATCH(B54, Input!$J$2:$J$500, 0),
       MATCH("Memory Type", Input!$D$1:$AD$1, 0))</f>
        <v>#N/A</v>
      </c>
      <c r="N54" s="13" t="e">
        <f t="shared" si="0"/>
        <v>#N/A</v>
      </c>
      <c r="O54" s="13" t="str" cm="1">
        <f t="array" ref="O54">IFERROR(_xlfn.FILTERXML("&lt;t&gt;&lt;s&gt;" &amp; SUBSTITUTE(M54," / ","&lt;/s&gt;&lt;s&gt;") &amp; "&lt;/s&gt;&lt;/t&gt;","(//s[contains(.,'DDR')])[1]"),"")</f>
        <v/>
      </c>
      <c r="P54" t="e">
        <f t="shared" si="1"/>
        <v>#N/A</v>
      </c>
      <c r="Q54" t="str" cm="1">
        <f t="array" ref="Q54">_xlfn.TEXTJOIN(", ", TRUE, _xlfn._xlws.FILTER(Input!W:W, Input!J:J=B54))</f>
        <v/>
      </c>
      <c r="S54" s="13" t="str">
        <f>_xlfn.LET(_xlpm.Result,_xlfn.XLOOKUP(B54,Input!J:J,Input!AB:AB),IF(_xlpm.Result="","",_xlpm.Result))</f>
        <v/>
      </c>
      <c r="T54" s="13" t="str" cm="1">
        <f t="array" ref="T54">IFERROR(_xlfn.IFS(
   --S54&lt;55,"Battery Defect",
  -- S54&lt;=69,"Battery D",
  --S54&lt;=80,"Battery C",
 --S54&gt;80,""
),"")</f>
        <v/>
      </c>
      <c r="U54" s="13" t="str" cm="1">
        <f t="array" ref="U54:Z54">IFERROR(IF(_xlfn.XLOOKUP(B54,Input!J:J,Input!N:S)=0,"",
          _xlfn.XLOOKUP(B54,Input!J:J,Input!N:S)),"")</f>
        <v/>
      </c>
      <c r="V54" s="13" t="str">
        <v/>
      </c>
      <c r="W54" s="13" t="str">
        <v/>
      </c>
      <c r="X54" s="13" t="str">
        <v/>
      </c>
      <c r="Y54" s="13" t="str">
        <v/>
      </c>
      <c r="Z54" s="13" t="str">
        <v/>
      </c>
      <c r="AA54" t="str">
        <f t="shared" si="2"/>
        <v/>
      </c>
      <c r="AB54" t="str">
        <f>_xlfn.XLOOKUP(B:B,Disk_Pivot!G:G,Disk_Pivot!I:I)</f>
        <v>No</v>
      </c>
      <c r="AC54" t="str">
        <f>_xlfn.XLOOKUP(B54,Disk_Pivot!G:G,Disk_Pivot!N:N)</f>
        <v/>
      </c>
    </row>
    <row r="55" spans="1:29">
      <c r="A55" t="str">
        <f>_xlfn.TEXTJOIN("",TRUE,_xlfn.XLOOKUP(B55,Input!J:J,Input!G:G,"",0,1),_xlfn.XLOOKUP(B55,Input!J:J,Input!H:H,"",0,1))</f>
        <v/>
      </c>
      <c r="C55" s="13">
        <f>_xlfn.XLOOKUP(B55,Input!J:J,Input!F:F)</f>
        <v>0</v>
      </c>
      <c r="D55">
        <f>_xlfn.XLOOKUP(C55,Models!H:H,Models!G:G,C55)</f>
        <v>0</v>
      </c>
      <c r="F55" t="str">
        <f>_xlfn.XLOOKUP(H55,Models!B:B,Models!F:F,"")</f>
        <v/>
      </c>
      <c r="G55">
        <f>_xlfn.XLOOKUP(B55,Input!J:J,Input!E:E)</f>
        <v>0</v>
      </c>
      <c r="H55">
        <f>IF(G55="LENOVO",_xlfn.XLOOKUP(B55,Input!J:J,Input!K:K),_xlfn.XLOOKUP(B55,Input!J:J,Input!L:L))</f>
        <v>0</v>
      </c>
      <c r="K55">
        <f>_xlfn.XLOOKUP(B55,CPU_Formula!A:A,CPU_Formula!I:I)</f>
        <v>0</v>
      </c>
      <c r="L55" s="13" t="e">
        <f>INDEX(Input!$D$2:$AD$500,
       MATCH(B55, Input!$J$2:$J$500, 0),
       MATCH("Memory Capacity", Input!$D$1:$AD$1, 0))</f>
        <v>#N/A</v>
      </c>
      <c r="M55" s="13" t="e">
        <f>INDEX(Input!$D$2:$AD$500,
       MATCH(B55, Input!$J$2:$J$500, 0),
       MATCH("Memory Type", Input!$D$1:$AD$1, 0))</f>
        <v>#N/A</v>
      </c>
      <c r="N55" s="13" t="e">
        <f t="shared" si="0"/>
        <v>#N/A</v>
      </c>
      <c r="O55" s="13" t="str" cm="1">
        <f t="array" ref="O55">IFERROR(_xlfn.FILTERXML("&lt;t&gt;&lt;s&gt;" &amp; SUBSTITUTE(M55," / ","&lt;/s&gt;&lt;s&gt;") &amp; "&lt;/s&gt;&lt;/t&gt;","(//s[contains(.,'DDR')])[1]"),"")</f>
        <v/>
      </c>
      <c r="P55" t="e">
        <f t="shared" si="1"/>
        <v>#N/A</v>
      </c>
      <c r="Q55" t="str" cm="1">
        <f t="array" ref="Q55">_xlfn.TEXTJOIN(", ", TRUE, _xlfn._xlws.FILTER(Input!W:W, Input!J:J=B55))</f>
        <v/>
      </c>
      <c r="S55" s="13" t="str">
        <f>_xlfn.LET(_xlpm.Result,_xlfn.XLOOKUP(B55,Input!J:J,Input!AB:AB),IF(_xlpm.Result="","",_xlpm.Result))</f>
        <v/>
      </c>
      <c r="T55" s="13" t="str" cm="1">
        <f t="array" ref="T55">IFERROR(_xlfn.IFS(
   --S55&lt;55,"Battery Defect",
  -- S55&lt;=69,"Battery D",
  --S55&lt;=80,"Battery C",
 --S55&gt;80,""
),"")</f>
        <v/>
      </c>
      <c r="U55" s="13" t="str" cm="1">
        <f t="array" ref="U55:Z55">IFERROR(IF(_xlfn.XLOOKUP(B55,Input!J:J,Input!N:S)=0,"",
          _xlfn.XLOOKUP(B55,Input!J:J,Input!N:S)),"")</f>
        <v/>
      </c>
      <c r="V55" s="13" t="str">
        <v/>
      </c>
      <c r="W55" s="13" t="str">
        <v/>
      </c>
      <c r="X55" s="13" t="str">
        <v/>
      </c>
      <c r="Y55" s="13" t="str">
        <v/>
      </c>
      <c r="Z55" s="13" t="str">
        <v/>
      </c>
      <c r="AA55" t="str">
        <f t="shared" si="2"/>
        <v/>
      </c>
      <c r="AB55" t="str">
        <f>_xlfn.XLOOKUP(B:B,Disk_Pivot!G:G,Disk_Pivot!I:I)</f>
        <v>No</v>
      </c>
      <c r="AC55" t="str">
        <f>_xlfn.XLOOKUP(B55,Disk_Pivot!G:G,Disk_Pivot!N:N)</f>
        <v/>
      </c>
    </row>
    <row r="56" spans="1:29">
      <c r="A56" t="str">
        <f>_xlfn.TEXTJOIN("",TRUE,_xlfn.XLOOKUP(B56,Input!J:J,Input!G:G,"",0,1),_xlfn.XLOOKUP(B56,Input!J:J,Input!H:H,"",0,1))</f>
        <v/>
      </c>
      <c r="C56" s="13">
        <f>_xlfn.XLOOKUP(B56,Input!J:J,Input!F:F)</f>
        <v>0</v>
      </c>
      <c r="D56">
        <f>_xlfn.XLOOKUP(C56,Models!H:H,Models!G:G,C56)</f>
        <v>0</v>
      </c>
      <c r="F56" t="str">
        <f>_xlfn.XLOOKUP(H56,Models!B:B,Models!F:F,"")</f>
        <v/>
      </c>
      <c r="G56">
        <f>_xlfn.XLOOKUP(B56,Input!J:J,Input!E:E)</f>
        <v>0</v>
      </c>
      <c r="H56">
        <f>IF(G56="LENOVO",_xlfn.XLOOKUP(B56,Input!J:J,Input!K:K),_xlfn.XLOOKUP(B56,Input!J:J,Input!L:L))</f>
        <v>0</v>
      </c>
      <c r="K56">
        <f>_xlfn.XLOOKUP(B56,CPU_Formula!A:A,CPU_Formula!I:I)</f>
        <v>0</v>
      </c>
      <c r="L56" s="13" t="e">
        <f>INDEX(Input!$D$2:$AD$500,
       MATCH(B56, Input!$J$2:$J$500, 0),
       MATCH("Memory Capacity", Input!$D$1:$AD$1, 0))</f>
        <v>#N/A</v>
      </c>
      <c r="M56" s="13" t="e">
        <f>INDEX(Input!$D$2:$AD$500,
       MATCH(B56, Input!$J$2:$J$500, 0),
       MATCH("Memory Type", Input!$D$1:$AD$1, 0))</f>
        <v>#N/A</v>
      </c>
      <c r="N56" s="13" t="e">
        <f t="shared" si="0"/>
        <v>#N/A</v>
      </c>
      <c r="O56" s="13" t="str" cm="1">
        <f t="array" ref="O56">IFERROR(_xlfn.FILTERXML("&lt;t&gt;&lt;s&gt;" &amp; SUBSTITUTE(M56," / ","&lt;/s&gt;&lt;s&gt;") &amp; "&lt;/s&gt;&lt;/t&gt;","(//s[contains(.,'DDR')])[1]"),"")</f>
        <v/>
      </c>
      <c r="P56" t="e">
        <f t="shared" si="1"/>
        <v>#N/A</v>
      </c>
      <c r="Q56" t="str" cm="1">
        <f t="array" ref="Q56">_xlfn.TEXTJOIN(", ", TRUE, _xlfn._xlws.FILTER(Input!W:W, Input!J:J=B56))</f>
        <v/>
      </c>
      <c r="S56" s="13" t="str">
        <f>_xlfn.LET(_xlpm.Result,_xlfn.XLOOKUP(B56,Input!J:J,Input!AB:AB),IF(_xlpm.Result="","",_xlpm.Result))</f>
        <v/>
      </c>
      <c r="T56" s="13" t="str" cm="1">
        <f t="array" ref="T56">IFERROR(_xlfn.IFS(
   --S56&lt;55,"Battery Defect",
  -- S56&lt;=69,"Battery D",
  --S56&lt;=80,"Battery C",
 --S56&gt;80,""
),"")</f>
        <v/>
      </c>
      <c r="U56" s="13" t="str" cm="1">
        <f t="array" ref="U56:Z56">IFERROR(IF(_xlfn.XLOOKUP(B56,Input!J:J,Input!N:S)=0,"",
          _xlfn.XLOOKUP(B56,Input!J:J,Input!N:S)),"")</f>
        <v/>
      </c>
      <c r="V56" s="13" t="str">
        <v/>
      </c>
      <c r="W56" s="13" t="str">
        <v/>
      </c>
      <c r="X56" s="13" t="str">
        <v/>
      </c>
      <c r="Y56" s="13" t="str">
        <v/>
      </c>
      <c r="Z56" s="13" t="str">
        <v/>
      </c>
      <c r="AA56" t="str">
        <f t="shared" si="2"/>
        <v/>
      </c>
      <c r="AB56" t="str">
        <f>_xlfn.XLOOKUP(B:B,Disk_Pivot!G:G,Disk_Pivot!I:I)</f>
        <v>No</v>
      </c>
      <c r="AC56" t="str">
        <f>_xlfn.XLOOKUP(B56,Disk_Pivot!G:G,Disk_Pivot!N:N)</f>
        <v/>
      </c>
    </row>
    <row r="57" spans="1:29">
      <c r="A57" t="str">
        <f>_xlfn.TEXTJOIN("",TRUE,_xlfn.XLOOKUP(B57,Input!J:J,Input!G:G,"",0,1),_xlfn.XLOOKUP(B57,Input!J:J,Input!H:H,"",0,1))</f>
        <v/>
      </c>
      <c r="C57" s="13">
        <f>_xlfn.XLOOKUP(B57,Input!J:J,Input!F:F)</f>
        <v>0</v>
      </c>
      <c r="D57">
        <f>_xlfn.XLOOKUP(C57,Models!H:H,Models!G:G,C57)</f>
        <v>0</v>
      </c>
      <c r="F57" t="str">
        <f>_xlfn.XLOOKUP(H57,Models!B:B,Models!F:F,"")</f>
        <v/>
      </c>
      <c r="G57">
        <f>_xlfn.XLOOKUP(B57,Input!J:J,Input!E:E)</f>
        <v>0</v>
      </c>
      <c r="H57">
        <f>IF(G57="LENOVO",_xlfn.XLOOKUP(B57,Input!J:J,Input!K:K),_xlfn.XLOOKUP(B57,Input!J:J,Input!L:L))</f>
        <v>0</v>
      </c>
      <c r="K57">
        <f>_xlfn.XLOOKUP(B57,CPU_Formula!A:A,CPU_Formula!I:I)</f>
        <v>0</v>
      </c>
      <c r="L57" s="13" t="e">
        <f>INDEX(Input!$D$2:$AD$500,
       MATCH(B57, Input!$J$2:$J$500, 0),
       MATCH("Memory Capacity", Input!$D$1:$AD$1, 0))</f>
        <v>#N/A</v>
      </c>
      <c r="M57" s="13" t="e">
        <f>INDEX(Input!$D$2:$AD$500,
       MATCH(B57, Input!$J$2:$J$500, 0),
       MATCH("Memory Type", Input!$D$1:$AD$1, 0))</f>
        <v>#N/A</v>
      </c>
      <c r="N57" s="13" t="e">
        <f t="shared" si="0"/>
        <v>#N/A</v>
      </c>
      <c r="O57" s="13" t="str" cm="1">
        <f t="array" ref="O57">IFERROR(_xlfn.FILTERXML("&lt;t&gt;&lt;s&gt;" &amp; SUBSTITUTE(M57," / ","&lt;/s&gt;&lt;s&gt;") &amp; "&lt;/s&gt;&lt;/t&gt;","(//s[contains(.,'DDR')])[1]"),"")</f>
        <v/>
      </c>
      <c r="P57" t="e">
        <f t="shared" si="1"/>
        <v>#N/A</v>
      </c>
      <c r="Q57" t="str" cm="1">
        <f t="array" ref="Q57">_xlfn.TEXTJOIN(", ", TRUE, _xlfn._xlws.FILTER(Input!W:W, Input!J:J=B57))</f>
        <v/>
      </c>
      <c r="S57" s="13" t="str">
        <f>_xlfn.LET(_xlpm.Result,_xlfn.XLOOKUP(B57,Input!J:J,Input!AB:AB),IF(_xlpm.Result="","",_xlpm.Result))</f>
        <v/>
      </c>
      <c r="T57" s="13" t="str" cm="1">
        <f t="array" ref="T57">IFERROR(_xlfn.IFS(
   --S57&lt;55,"Battery Defect",
  -- S57&lt;=69,"Battery D",
  --S57&lt;=80,"Battery C",
 --S57&gt;80,""
),"")</f>
        <v/>
      </c>
      <c r="U57" s="13" t="str" cm="1">
        <f t="array" ref="U57:Z57">IFERROR(IF(_xlfn.XLOOKUP(B57,Input!J:J,Input!N:S)=0,"",
          _xlfn.XLOOKUP(B57,Input!J:J,Input!N:S)),"")</f>
        <v/>
      </c>
      <c r="V57" s="13" t="str">
        <v/>
      </c>
      <c r="W57" s="13" t="str">
        <v/>
      </c>
      <c r="X57" s="13" t="str">
        <v/>
      </c>
      <c r="Y57" s="13" t="str">
        <v/>
      </c>
      <c r="Z57" s="13" t="str">
        <v/>
      </c>
      <c r="AA57" t="str">
        <f t="shared" si="2"/>
        <v/>
      </c>
      <c r="AB57" t="str">
        <f>_xlfn.XLOOKUP(B:B,Disk_Pivot!G:G,Disk_Pivot!I:I)</f>
        <v>No</v>
      </c>
      <c r="AC57" t="str">
        <f>_xlfn.XLOOKUP(B57,Disk_Pivot!G:G,Disk_Pivot!N:N)</f>
        <v/>
      </c>
    </row>
    <row r="58" spans="1:29">
      <c r="A58" t="str">
        <f>_xlfn.TEXTJOIN("",TRUE,_xlfn.XLOOKUP(B58,Input!J:J,Input!G:G,"",0,1),_xlfn.XLOOKUP(B58,Input!J:J,Input!H:H,"",0,1))</f>
        <v/>
      </c>
      <c r="C58" s="13">
        <f>_xlfn.XLOOKUP(B58,Input!J:J,Input!F:F)</f>
        <v>0</v>
      </c>
      <c r="D58">
        <f>_xlfn.XLOOKUP(C58,Models!H:H,Models!G:G,C58)</f>
        <v>0</v>
      </c>
      <c r="F58" t="str">
        <f>_xlfn.XLOOKUP(H58,Models!B:B,Models!F:F,"")</f>
        <v/>
      </c>
      <c r="G58">
        <f>_xlfn.XLOOKUP(B58,Input!J:J,Input!E:E)</f>
        <v>0</v>
      </c>
      <c r="H58">
        <f>IF(G58="LENOVO",_xlfn.XLOOKUP(B58,Input!J:J,Input!K:K),_xlfn.XLOOKUP(B58,Input!J:J,Input!L:L))</f>
        <v>0</v>
      </c>
      <c r="K58">
        <f>_xlfn.XLOOKUP(B58,CPU_Formula!A:A,CPU_Formula!I:I)</f>
        <v>0</v>
      </c>
      <c r="L58" s="13" t="e">
        <f>INDEX(Input!$D$2:$AD$500,
       MATCH(B58, Input!$J$2:$J$500, 0),
       MATCH("Memory Capacity", Input!$D$1:$AD$1, 0))</f>
        <v>#N/A</v>
      </c>
      <c r="M58" s="13" t="e">
        <f>INDEX(Input!$D$2:$AD$500,
       MATCH(B58, Input!$J$2:$J$500, 0),
       MATCH("Memory Type", Input!$D$1:$AD$1, 0))</f>
        <v>#N/A</v>
      </c>
      <c r="N58" s="13" t="e">
        <f t="shared" si="0"/>
        <v>#N/A</v>
      </c>
      <c r="O58" s="13" t="str" cm="1">
        <f t="array" ref="O58">IFERROR(_xlfn.FILTERXML("&lt;t&gt;&lt;s&gt;" &amp; SUBSTITUTE(M58," / ","&lt;/s&gt;&lt;s&gt;") &amp; "&lt;/s&gt;&lt;/t&gt;","(//s[contains(.,'DDR')])[1]"),"")</f>
        <v/>
      </c>
      <c r="P58" t="e">
        <f t="shared" si="1"/>
        <v>#N/A</v>
      </c>
      <c r="Q58" t="str" cm="1">
        <f t="array" ref="Q58">_xlfn.TEXTJOIN(", ", TRUE, _xlfn._xlws.FILTER(Input!W:W, Input!J:J=B58))</f>
        <v/>
      </c>
      <c r="S58" s="13" t="str">
        <f>_xlfn.LET(_xlpm.Result,_xlfn.XLOOKUP(B58,Input!J:J,Input!AB:AB),IF(_xlpm.Result="","",_xlpm.Result))</f>
        <v/>
      </c>
      <c r="T58" s="13" t="str" cm="1">
        <f t="array" ref="T58">IFERROR(_xlfn.IFS(
   --S58&lt;55,"Battery Defect",
  -- S58&lt;=69,"Battery D",
  --S58&lt;=80,"Battery C",
 --S58&gt;80,""
),"")</f>
        <v/>
      </c>
      <c r="U58" s="13" t="str" cm="1">
        <f t="array" ref="U58:Z58">IFERROR(IF(_xlfn.XLOOKUP(B58,Input!J:J,Input!N:S)=0,"",
          _xlfn.XLOOKUP(B58,Input!J:J,Input!N:S)),"")</f>
        <v/>
      </c>
      <c r="V58" s="13" t="str">
        <v/>
      </c>
      <c r="W58" s="13" t="str">
        <v/>
      </c>
      <c r="X58" s="13" t="str">
        <v/>
      </c>
      <c r="Y58" s="13" t="str">
        <v/>
      </c>
      <c r="Z58" s="13" t="str">
        <v/>
      </c>
      <c r="AA58" t="str">
        <f t="shared" si="2"/>
        <v/>
      </c>
      <c r="AB58" t="str">
        <f>_xlfn.XLOOKUP(B:B,Disk_Pivot!G:G,Disk_Pivot!I:I)</f>
        <v>No</v>
      </c>
      <c r="AC58" t="str">
        <f>_xlfn.XLOOKUP(B58,Disk_Pivot!G:G,Disk_Pivot!N:N)</f>
        <v/>
      </c>
    </row>
    <row r="59" spans="1:29">
      <c r="A59" t="str">
        <f>_xlfn.TEXTJOIN("",TRUE,_xlfn.XLOOKUP(B59,Input!J:J,Input!G:G,"",0,1),_xlfn.XLOOKUP(B59,Input!J:J,Input!H:H,"",0,1))</f>
        <v/>
      </c>
      <c r="C59" s="13">
        <f>_xlfn.XLOOKUP(B59,Input!J:J,Input!F:F)</f>
        <v>0</v>
      </c>
      <c r="D59">
        <f>_xlfn.XLOOKUP(C59,Models!H:H,Models!G:G,C59)</f>
        <v>0</v>
      </c>
      <c r="F59" t="str">
        <f>_xlfn.XLOOKUP(H59,Models!B:B,Models!F:F,"")</f>
        <v/>
      </c>
      <c r="G59">
        <f>_xlfn.XLOOKUP(B59,Input!J:J,Input!E:E)</f>
        <v>0</v>
      </c>
      <c r="H59">
        <f>IF(G59="LENOVO",_xlfn.XLOOKUP(B59,Input!J:J,Input!K:K),_xlfn.XLOOKUP(B59,Input!J:J,Input!L:L))</f>
        <v>0</v>
      </c>
      <c r="K59">
        <f>_xlfn.XLOOKUP(B59,CPU_Formula!A:A,CPU_Formula!I:I)</f>
        <v>0</v>
      </c>
      <c r="L59" s="13" t="e">
        <f>INDEX(Input!$D$2:$AD$500,
       MATCH(B59, Input!$J$2:$J$500, 0),
       MATCH("Memory Capacity", Input!$D$1:$AD$1, 0))</f>
        <v>#N/A</v>
      </c>
      <c r="M59" s="13" t="e">
        <f>INDEX(Input!$D$2:$AD$500,
       MATCH(B59, Input!$J$2:$J$500, 0),
       MATCH("Memory Type", Input!$D$1:$AD$1, 0))</f>
        <v>#N/A</v>
      </c>
      <c r="N59" s="13" t="e">
        <f t="shared" si="0"/>
        <v>#N/A</v>
      </c>
      <c r="O59" s="13" t="str" cm="1">
        <f t="array" ref="O59">IFERROR(_xlfn.FILTERXML("&lt;t&gt;&lt;s&gt;" &amp; SUBSTITUTE(M59," / ","&lt;/s&gt;&lt;s&gt;") &amp; "&lt;/s&gt;&lt;/t&gt;","(//s[contains(.,'DDR')])[1]"),"")</f>
        <v/>
      </c>
      <c r="P59" t="e">
        <f t="shared" si="1"/>
        <v>#N/A</v>
      </c>
      <c r="Q59" t="str" cm="1">
        <f t="array" ref="Q59">_xlfn.TEXTJOIN(", ", TRUE, _xlfn._xlws.FILTER(Input!W:W, Input!J:J=B59))</f>
        <v/>
      </c>
      <c r="S59" s="13" t="str">
        <f>_xlfn.LET(_xlpm.Result,_xlfn.XLOOKUP(B59,Input!J:J,Input!AB:AB),IF(_xlpm.Result="","",_xlpm.Result))</f>
        <v/>
      </c>
      <c r="T59" s="13" t="str" cm="1">
        <f t="array" ref="T59">IFERROR(_xlfn.IFS(
   --S59&lt;55,"Battery Defect",
  -- S59&lt;=69,"Battery D",
  --S59&lt;=80,"Battery C",
 --S59&gt;80,""
),"")</f>
        <v/>
      </c>
      <c r="U59" s="13" t="str" cm="1">
        <f t="array" ref="U59:Z59">IFERROR(IF(_xlfn.XLOOKUP(B59,Input!J:J,Input!N:S)=0,"",
          _xlfn.XLOOKUP(B59,Input!J:J,Input!N:S)),"")</f>
        <v/>
      </c>
      <c r="V59" s="13" t="str">
        <v/>
      </c>
      <c r="W59" s="13" t="str">
        <v/>
      </c>
      <c r="X59" s="13" t="str">
        <v/>
      </c>
      <c r="Y59" s="13" t="str">
        <v/>
      </c>
      <c r="Z59" s="13" t="str">
        <v/>
      </c>
      <c r="AA59" t="str">
        <f t="shared" si="2"/>
        <v/>
      </c>
      <c r="AB59" t="str">
        <f>_xlfn.XLOOKUP(B:B,Disk_Pivot!G:G,Disk_Pivot!I:I)</f>
        <v>No</v>
      </c>
      <c r="AC59" t="str">
        <f>_xlfn.XLOOKUP(B59,Disk_Pivot!G:G,Disk_Pivot!N:N)</f>
        <v/>
      </c>
    </row>
    <row r="60" spans="1:29">
      <c r="A60" t="str">
        <f>_xlfn.TEXTJOIN("",TRUE,_xlfn.XLOOKUP(B60,Input!J:J,Input!G:G,"",0,1),_xlfn.XLOOKUP(B60,Input!J:J,Input!H:H,"",0,1))</f>
        <v/>
      </c>
      <c r="C60" s="13">
        <f>_xlfn.XLOOKUP(B60,Input!J:J,Input!F:F)</f>
        <v>0</v>
      </c>
      <c r="D60">
        <f>_xlfn.XLOOKUP(C60,Models!H:H,Models!G:G,C60)</f>
        <v>0</v>
      </c>
      <c r="F60" t="str">
        <f>_xlfn.XLOOKUP(H60,Models!B:B,Models!F:F,"")</f>
        <v/>
      </c>
      <c r="G60">
        <f>_xlfn.XLOOKUP(B60,Input!J:J,Input!E:E)</f>
        <v>0</v>
      </c>
      <c r="H60">
        <f>IF(G60="LENOVO",_xlfn.XLOOKUP(B60,Input!J:J,Input!K:K),_xlfn.XLOOKUP(B60,Input!J:J,Input!L:L))</f>
        <v>0</v>
      </c>
      <c r="K60">
        <f>_xlfn.XLOOKUP(B60,CPU_Formula!A:A,CPU_Formula!I:I)</f>
        <v>0</v>
      </c>
      <c r="L60" s="13" t="e">
        <f>INDEX(Input!$D$2:$AD$500,
       MATCH(B60, Input!$J$2:$J$500, 0),
       MATCH("Memory Capacity", Input!$D$1:$AD$1, 0))</f>
        <v>#N/A</v>
      </c>
      <c r="M60" s="13" t="e">
        <f>INDEX(Input!$D$2:$AD$500,
       MATCH(B60, Input!$J$2:$J$500, 0),
       MATCH("Memory Type", Input!$D$1:$AD$1, 0))</f>
        <v>#N/A</v>
      </c>
      <c r="N60" s="13" t="e">
        <f t="shared" si="0"/>
        <v>#N/A</v>
      </c>
      <c r="O60" s="13" t="str" cm="1">
        <f t="array" ref="O60">IFERROR(_xlfn.FILTERXML("&lt;t&gt;&lt;s&gt;" &amp; SUBSTITUTE(M60," / ","&lt;/s&gt;&lt;s&gt;") &amp; "&lt;/s&gt;&lt;/t&gt;","(//s[contains(.,'DDR')])[1]"),"")</f>
        <v/>
      </c>
      <c r="P60" t="e">
        <f t="shared" si="1"/>
        <v>#N/A</v>
      </c>
      <c r="Q60" t="str" cm="1">
        <f t="array" ref="Q60">_xlfn.TEXTJOIN(", ", TRUE, _xlfn._xlws.FILTER(Input!W:W, Input!J:J=B60))</f>
        <v/>
      </c>
      <c r="S60" s="13" t="str">
        <f>_xlfn.LET(_xlpm.Result,_xlfn.XLOOKUP(B60,Input!J:J,Input!AB:AB),IF(_xlpm.Result="","",_xlpm.Result))</f>
        <v/>
      </c>
      <c r="T60" s="13" t="str" cm="1">
        <f t="array" ref="T60">IFERROR(_xlfn.IFS(
   --S60&lt;55,"Battery Defect",
  -- S60&lt;=69,"Battery D",
  --S60&lt;=80,"Battery C",
 --S60&gt;80,""
),"")</f>
        <v/>
      </c>
      <c r="U60" s="13" t="str" cm="1">
        <f t="array" ref="U60:Z60">IFERROR(IF(_xlfn.XLOOKUP(B60,Input!J:J,Input!N:S)=0,"",
          _xlfn.XLOOKUP(B60,Input!J:J,Input!N:S)),"")</f>
        <v/>
      </c>
      <c r="V60" s="13" t="str">
        <v/>
      </c>
      <c r="W60" s="13" t="str">
        <v/>
      </c>
      <c r="X60" s="13" t="str">
        <v/>
      </c>
      <c r="Y60" s="13" t="str">
        <v/>
      </c>
      <c r="Z60" s="13" t="str">
        <v/>
      </c>
      <c r="AA60" t="str">
        <f t="shared" si="2"/>
        <v/>
      </c>
      <c r="AB60" t="str">
        <f>_xlfn.XLOOKUP(B:B,Disk_Pivot!G:G,Disk_Pivot!I:I)</f>
        <v>No</v>
      </c>
      <c r="AC60" t="str">
        <f>_xlfn.XLOOKUP(B60,Disk_Pivot!G:G,Disk_Pivot!N:N)</f>
        <v/>
      </c>
    </row>
    <row r="61" spans="1:29">
      <c r="A61" t="str">
        <f>_xlfn.TEXTJOIN("",TRUE,_xlfn.XLOOKUP(B61,Input!J:J,Input!G:G,"",0,1),_xlfn.XLOOKUP(B61,Input!J:J,Input!H:H,"",0,1))</f>
        <v/>
      </c>
      <c r="C61" s="13">
        <f>_xlfn.XLOOKUP(B61,Input!J:J,Input!F:F)</f>
        <v>0</v>
      </c>
      <c r="D61">
        <f>_xlfn.XLOOKUP(C61,Models!H:H,Models!G:G,C61)</f>
        <v>0</v>
      </c>
      <c r="F61" t="str">
        <f>_xlfn.XLOOKUP(H61,Models!B:B,Models!F:F,"")</f>
        <v/>
      </c>
      <c r="G61">
        <f>_xlfn.XLOOKUP(B61,Input!J:J,Input!E:E)</f>
        <v>0</v>
      </c>
      <c r="H61">
        <f>IF(G61="LENOVO",_xlfn.XLOOKUP(B61,Input!J:J,Input!K:K),_xlfn.XLOOKUP(B61,Input!J:J,Input!L:L))</f>
        <v>0</v>
      </c>
      <c r="K61">
        <f>_xlfn.XLOOKUP(B61,CPU_Formula!A:A,CPU_Formula!I:I)</f>
        <v>0</v>
      </c>
      <c r="L61" s="13" t="e">
        <f>INDEX(Input!$D$2:$AD$500,
       MATCH(B61, Input!$J$2:$J$500, 0),
       MATCH("Memory Capacity", Input!$D$1:$AD$1, 0))</f>
        <v>#N/A</v>
      </c>
      <c r="M61" s="13" t="e">
        <f>INDEX(Input!$D$2:$AD$500,
       MATCH(B61, Input!$J$2:$J$500, 0),
       MATCH("Memory Type", Input!$D$1:$AD$1, 0))</f>
        <v>#N/A</v>
      </c>
      <c r="N61" s="13" t="e">
        <f t="shared" si="0"/>
        <v>#N/A</v>
      </c>
      <c r="O61" s="13" t="str" cm="1">
        <f t="array" ref="O61">IFERROR(_xlfn.FILTERXML("&lt;t&gt;&lt;s&gt;" &amp; SUBSTITUTE(M61," / ","&lt;/s&gt;&lt;s&gt;") &amp; "&lt;/s&gt;&lt;/t&gt;","(//s[contains(.,'DDR')])[1]"),"")</f>
        <v/>
      </c>
      <c r="P61" t="e">
        <f t="shared" si="1"/>
        <v>#N/A</v>
      </c>
      <c r="Q61" t="str" cm="1">
        <f t="array" ref="Q61">_xlfn.TEXTJOIN(", ", TRUE, _xlfn._xlws.FILTER(Input!W:W, Input!J:J=B61))</f>
        <v/>
      </c>
      <c r="S61" s="13" t="str">
        <f>_xlfn.LET(_xlpm.Result,_xlfn.XLOOKUP(B61,Input!J:J,Input!AB:AB),IF(_xlpm.Result="","",_xlpm.Result))</f>
        <v/>
      </c>
      <c r="T61" s="13" t="str" cm="1">
        <f t="array" ref="T61">IFERROR(_xlfn.IFS(
   --S61&lt;55,"Battery Defect",
  -- S61&lt;=69,"Battery D",
  --S61&lt;=80,"Battery C",
 --S61&gt;80,""
),"")</f>
        <v/>
      </c>
      <c r="U61" s="13" t="str" cm="1">
        <f t="array" ref="U61:Z61">IFERROR(IF(_xlfn.XLOOKUP(B61,Input!J:J,Input!N:S)=0,"",
          _xlfn.XLOOKUP(B61,Input!J:J,Input!N:S)),"")</f>
        <v/>
      </c>
      <c r="V61" s="13" t="str">
        <v/>
      </c>
      <c r="W61" s="13" t="str">
        <v/>
      </c>
      <c r="X61" s="13" t="str">
        <v/>
      </c>
      <c r="Y61" s="13" t="str">
        <v/>
      </c>
      <c r="Z61" s="13" t="str">
        <v/>
      </c>
      <c r="AA61" t="str">
        <f t="shared" si="2"/>
        <v/>
      </c>
      <c r="AB61" t="str">
        <f>_xlfn.XLOOKUP(B:B,Disk_Pivot!G:G,Disk_Pivot!I:I)</f>
        <v>No</v>
      </c>
      <c r="AC61" t="str">
        <f>_xlfn.XLOOKUP(B61,Disk_Pivot!G:G,Disk_Pivot!N:N)</f>
        <v/>
      </c>
    </row>
    <row r="62" spans="1:29">
      <c r="A62" t="str">
        <f>_xlfn.TEXTJOIN("",TRUE,_xlfn.XLOOKUP(B62,Input!J:J,Input!G:G,"",0,1),_xlfn.XLOOKUP(B62,Input!J:J,Input!H:H,"",0,1))</f>
        <v/>
      </c>
      <c r="C62" s="13">
        <f>_xlfn.XLOOKUP(B62,Input!J:J,Input!F:F)</f>
        <v>0</v>
      </c>
      <c r="D62">
        <f>_xlfn.XLOOKUP(C62,Models!H:H,Models!G:G,C62)</f>
        <v>0</v>
      </c>
      <c r="F62" t="str">
        <f>_xlfn.XLOOKUP(H62,Models!B:B,Models!F:F,"")</f>
        <v/>
      </c>
      <c r="G62">
        <f>_xlfn.XLOOKUP(B62,Input!J:J,Input!E:E)</f>
        <v>0</v>
      </c>
      <c r="H62">
        <f>IF(G62="LENOVO",_xlfn.XLOOKUP(B62,Input!J:J,Input!K:K),_xlfn.XLOOKUP(B62,Input!J:J,Input!L:L))</f>
        <v>0</v>
      </c>
      <c r="K62">
        <f>_xlfn.XLOOKUP(B62,CPU_Formula!A:A,CPU_Formula!I:I)</f>
        <v>0</v>
      </c>
      <c r="L62" s="13" t="e">
        <f>INDEX(Input!$D$2:$AD$500,
       MATCH(B62, Input!$J$2:$J$500, 0),
       MATCH("Memory Capacity", Input!$D$1:$AD$1, 0))</f>
        <v>#N/A</v>
      </c>
      <c r="M62" s="13" t="e">
        <f>INDEX(Input!$D$2:$AD$500,
       MATCH(B62, Input!$J$2:$J$500, 0),
       MATCH("Memory Type", Input!$D$1:$AD$1, 0))</f>
        <v>#N/A</v>
      </c>
      <c r="N62" s="13" t="e">
        <f t="shared" si="0"/>
        <v>#N/A</v>
      </c>
      <c r="O62" s="13" t="str" cm="1">
        <f t="array" ref="O62">IFERROR(_xlfn.FILTERXML("&lt;t&gt;&lt;s&gt;" &amp; SUBSTITUTE(M62," / ","&lt;/s&gt;&lt;s&gt;") &amp; "&lt;/s&gt;&lt;/t&gt;","(//s[contains(.,'DDR')])[1]"),"")</f>
        <v/>
      </c>
      <c r="P62" t="e">
        <f t="shared" si="1"/>
        <v>#N/A</v>
      </c>
      <c r="Q62" t="str" cm="1">
        <f t="array" ref="Q62">_xlfn.TEXTJOIN(", ", TRUE, _xlfn._xlws.FILTER(Input!W:W, Input!J:J=B62))</f>
        <v/>
      </c>
      <c r="S62" s="13" t="str">
        <f>_xlfn.LET(_xlpm.Result,_xlfn.XLOOKUP(B62,Input!J:J,Input!AB:AB),IF(_xlpm.Result="","",_xlpm.Result))</f>
        <v/>
      </c>
      <c r="T62" s="13" t="str" cm="1">
        <f t="array" ref="T62">IFERROR(_xlfn.IFS(
   --S62&lt;55,"Battery Defect",
  -- S62&lt;=69,"Battery D",
  --S62&lt;=80,"Battery C",
 --S62&gt;80,""
),"")</f>
        <v/>
      </c>
      <c r="U62" s="13" t="str" cm="1">
        <f t="array" ref="U62:Z62">IFERROR(IF(_xlfn.XLOOKUP(B62,Input!J:J,Input!N:S)=0,"",
          _xlfn.XLOOKUP(B62,Input!J:J,Input!N:S)),"")</f>
        <v/>
      </c>
      <c r="V62" s="13" t="str">
        <v/>
      </c>
      <c r="W62" s="13" t="str">
        <v/>
      </c>
      <c r="X62" s="13" t="str">
        <v/>
      </c>
      <c r="Y62" s="13" t="str">
        <v/>
      </c>
      <c r="Z62" s="13" t="str">
        <v/>
      </c>
      <c r="AA62" t="str">
        <f t="shared" si="2"/>
        <v/>
      </c>
      <c r="AB62" t="str">
        <f>_xlfn.XLOOKUP(B:B,Disk_Pivot!G:G,Disk_Pivot!I:I)</f>
        <v>No</v>
      </c>
      <c r="AC62" t="str">
        <f>_xlfn.XLOOKUP(B62,Disk_Pivot!G:G,Disk_Pivot!N:N)</f>
        <v/>
      </c>
    </row>
    <row r="63" spans="1:29">
      <c r="A63" t="str">
        <f>_xlfn.TEXTJOIN("",TRUE,_xlfn.XLOOKUP(B63,Input!J:J,Input!G:G,"",0,1),_xlfn.XLOOKUP(B63,Input!J:J,Input!H:H,"",0,1))</f>
        <v/>
      </c>
      <c r="C63" s="13">
        <f>_xlfn.XLOOKUP(B63,Input!J:J,Input!F:F)</f>
        <v>0</v>
      </c>
      <c r="D63">
        <f>_xlfn.XLOOKUP(C63,Models!H:H,Models!G:G,C63)</f>
        <v>0</v>
      </c>
      <c r="F63" t="str">
        <f>_xlfn.XLOOKUP(H63,Models!B:B,Models!F:F,"")</f>
        <v/>
      </c>
      <c r="G63">
        <f>_xlfn.XLOOKUP(B63,Input!J:J,Input!E:E)</f>
        <v>0</v>
      </c>
      <c r="H63">
        <f>IF(G63="LENOVO",_xlfn.XLOOKUP(B63,Input!J:J,Input!K:K),_xlfn.XLOOKUP(B63,Input!J:J,Input!L:L))</f>
        <v>0</v>
      </c>
      <c r="K63">
        <f>_xlfn.XLOOKUP(B63,CPU_Formula!A:A,CPU_Formula!I:I)</f>
        <v>0</v>
      </c>
      <c r="L63" s="13" t="e">
        <f>INDEX(Input!$D$2:$AD$500,
       MATCH(B63, Input!$J$2:$J$500, 0),
       MATCH("Memory Capacity", Input!$D$1:$AD$1, 0))</f>
        <v>#N/A</v>
      </c>
      <c r="M63" s="13" t="e">
        <f>INDEX(Input!$D$2:$AD$500,
       MATCH(B63, Input!$J$2:$J$500, 0),
       MATCH("Memory Type", Input!$D$1:$AD$1, 0))</f>
        <v>#N/A</v>
      </c>
      <c r="N63" s="13" t="e">
        <f t="shared" si="0"/>
        <v>#N/A</v>
      </c>
      <c r="O63" s="13" t="str" cm="1">
        <f t="array" ref="O63">IFERROR(_xlfn.FILTERXML("&lt;t&gt;&lt;s&gt;" &amp; SUBSTITUTE(M63," / ","&lt;/s&gt;&lt;s&gt;") &amp; "&lt;/s&gt;&lt;/t&gt;","(//s[contains(.,'DDR')])[1]"),"")</f>
        <v/>
      </c>
      <c r="P63" t="e">
        <f t="shared" si="1"/>
        <v>#N/A</v>
      </c>
      <c r="Q63" t="str" cm="1">
        <f t="array" ref="Q63">_xlfn.TEXTJOIN(", ", TRUE, _xlfn._xlws.FILTER(Input!W:W, Input!J:J=B63))</f>
        <v/>
      </c>
      <c r="S63" s="13" t="str">
        <f>_xlfn.LET(_xlpm.Result,_xlfn.XLOOKUP(B63,Input!J:J,Input!AB:AB),IF(_xlpm.Result="","",_xlpm.Result))</f>
        <v/>
      </c>
      <c r="T63" s="13" t="str" cm="1">
        <f t="array" ref="T63">IFERROR(_xlfn.IFS(
   --S63&lt;55,"Battery Defect",
  -- S63&lt;=69,"Battery D",
  --S63&lt;=80,"Battery C",
 --S63&gt;80,""
),"")</f>
        <v/>
      </c>
      <c r="U63" s="13" t="str" cm="1">
        <f t="array" ref="U63:Z63">IFERROR(IF(_xlfn.XLOOKUP(B63,Input!J:J,Input!N:S)=0,"",
          _xlfn.XLOOKUP(B63,Input!J:J,Input!N:S)),"")</f>
        <v/>
      </c>
      <c r="V63" s="13" t="str">
        <v/>
      </c>
      <c r="W63" s="13" t="str">
        <v/>
      </c>
      <c r="X63" s="13" t="str">
        <v/>
      </c>
      <c r="Y63" s="13" t="str">
        <v/>
      </c>
      <c r="Z63" s="13" t="str">
        <v/>
      </c>
      <c r="AA63" t="str">
        <f t="shared" si="2"/>
        <v/>
      </c>
      <c r="AB63" t="str">
        <f>_xlfn.XLOOKUP(B:B,Disk_Pivot!G:G,Disk_Pivot!I:I)</f>
        <v>No</v>
      </c>
      <c r="AC63" t="str">
        <f>_xlfn.XLOOKUP(B63,Disk_Pivot!G:G,Disk_Pivot!N:N)</f>
        <v/>
      </c>
    </row>
    <row r="64" spans="1:29">
      <c r="A64" t="str">
        <f>_xlfn.TEXTJOIN("",TRUE,_xlfn.XLOOKUP(B64,Input!J:J,Input!G:G,"",0,1),_xlfn.XLOOKUP(B64,Input!J:J,Input!H:H,"",0,1))</f>
        <v/>
      </c>
      <c r="C64" s="13">
        <f>_xlfn.XLOOKUP(B64,Input!J:J,Input!F:F)</f>
        <v>0</v>
      </c>
      <c r="D64">
        <f>_xlfn.XLOOKUP(C64,Models!H:H,Models!G:G,C64)</f>
        <v>0</v>
      </c>
      <c r="F64" t="str">
        <f>_xlfn.XLOOKUP(H64,Models!B:B,Models!F:F,"")</f>
        <v/>
      </c>
      <c r="G64">
        <f>_xlfn.XLOOKUP(B64,Input!J:J,Input!E:E)</f>
        <v>0</v>
      </c>
      <c r="H64">
        <f>IF(G64="LENOVO",_xlfn.XLOOKUP(B64,Input!J:J,Input!K:K),_xlfn.XLOOKUP(B64,Input!J:J,Input!L:L))</f>
        <v>0</v>
      </c>
      <c r="K64">
        <f>_xlfn.XLOOKUP(B64,CPU_Formula!A:A,CPU_Formula!I:I)</f>
        <v>0</v>
      </c>
      <c r="L64" s="13" t="e">
        <f>INDEX(Input!$D$2:$AD$500,
       MATCH(B64, Input!$J$2:$J$500, 0),
       MATCH("Memory Capacity", Input!$D$1:$AD$1, 0))</f>
        <v>#N/A</v>
      </c>
      <c r="M64" s="13" t="e">
        <f>INDEX(Input!$D$2:$AD$500,
       MATCH(B64, Input!$J$2:$J$500, 0),
       MATCH("Memory Type", Input!$D$1:$AD$1, 0))</f>
        <v>#N/A</v>
      </c>
      <c r="N64" s="13" t="e">
        <f t="shared" si="0"/>
        <v>#N/A</v>
      </c>
      <c r="O64" s="13" t="str" cm="1">
        <f t="array" ref="O64">IFERROR(_xlfn.FILTERXML("&lt;t&gt;&lt;s&gt;" &amp; SUBSTITUTE(M64," / ","&lt;/s&gt;&lt;s&gt;") &amp; "&lt;/s&gt;&lt;/t&gt;","(//s[contains(.,'DDR')])[1]"),"")</f>
        <v/>
      </c>
      <c r="P64" t="e">
        <f t="shared" si="1"/>
        <v>#N/A</v>
      </c>
      <c r="Q64" t="str" cm="1">
        <f t="array" ref="Q64">_xlfn.TEXTJOIN(", ", TRUE, _xlfn._xlws.FILTER(Input!W:W, Input!J:J=B64))</f>
        <v/>
      </c>
      <c r="S64" s="13" t="str">
        <f>_xlfn.LET(_xlpm.Result,_xlfn.XLOOKUP(B64,Input!J:J,Input!AB:AB),IF(_xlpm.Result="","",_xlpm.Result))</f>
        <v/>
      </c>
      <c r="T64" s="13" t="str" cm="1">
        <f t="array" ref="T64">IFERROR(_xlfn.IFS(
   --S64&lt;55,"Battery Defect",
  -- S64&lt;=69,"Battery D",
  --S64&lt;=80,"Battery C",
 --S64&gt;80,""
),"")</f>
        <v/>
      </c>
      <c r="U64" s="13" t="str" cm="1">
        <f t="array" ref="U64:Z64">IFERROR(IF(_xlfn.XLOOKUP(B64,Input!J:J,Input!N:S)=0,"",
          _xlfn.XLOOKUP(B64,Input!J:J,Input!N:S)),"")</f>
        <v/>
      </c>
      <c r="V64" s="13" t="str">
        <v/>
      </c>
      <c r="W64" s="13" t="str">
        <v/>
      </c>
      <c r="X64" s="13" t="str">
        <v/>
      </c>
      <c r="Y64" s="13" t="str">
        <v/>
      </c>
      <c r="Z64" s="13" t="str">
        <v/>
      </c>
      <c r="AA64" t="str">
        <f t="shared" si="2"/>
        <v/>
      </c>
      <c r="AB64" t="str">
        <f>_xlfn.XLOOKUP(B:B,Disk_Pivot!G:G,Disk_Pivot!I:I)</f>
        <v>No</v>
      </c>
      <c r="AC64" t="str">
        <f>_xlfn.XLOOKUP(B64,Disk_Pivot!G:G,Disk_Pivot!N:N)</f>
        <v/>
      </c>
    </row>
    <row r="65" spans="1:29">
      <c r="A65" t="str">
        <f>_xlfn.TEXTJOIN("",TRUE,_xlfn.XLOOKUP(B65,Input!J:J,Input!G:G,"",0,1),_xlfn.XLOOKUP(B65,Input!J:J,Input!H:H,"",0,1))</f>
        <v/>
      </c>
      <c r="C65" s="13">
        <f>_xlfn.XLOOKUP(B65,Input!J:J,Input!F:F)</f>
        <v>0</v>
      </c>
      <c r="D65">
        <f>_xlfn.XLOOKUP(C65,Models!H:H,Models!G:G,C65)</f>
        <v>0</v>
      </c>
      <c r="F65" t="str">
        <f>_xlfn.XLOOKUP(H65,Models!B:B,Models!F:F,"")</f>
        <v/>
      </c>
      <c r="G65">
        <f>_xlfn.XLOOKUP(B65,Input!J:J,Input!E:E)</f>
        <v>0</v>
      </c>
      <c r="H65">
        <f>IF(G65="LENOVO",_xlfn.XLOOKUP(B65,Input!J:J,Input!K:K),_xlfn.XLOOKUP(B65,Input!J:J,Input!L:L))</f>
        <v>0</v>
      </c>
      <c r="K65">
        <f>_xlfn.XLOOKUP(B65,CPU_Formula!A:A,CPU_Formula!I:I)</f>
        <v>0</v>
      </c>
      <c r="L65" s="13" t="e">
        <f>INDEX(Input!$D$2:$AD$500,
       MATCH(B65, Input!$J$2:$J$500, 0),
       MATCH("Memory Capacity", Input!$D$1:$AD$1, 0))</f>
        <v>#N/A</v>
      </c>
      <c r="M65" s="13" t="e">
        <f>INDEX(Input!$D$2:$AD$500,
       MATCH(B65, Input!$J$2:$J$500, 0),
       MATCH("Memory Type", Input!$D$1:$AD$1, 0))</f>
        <v>#N/A</v>
      </c>
      <c r="N65" s="13" t="e">
        <f t="shared" si="0"/>
        <v>#N/A</v>
      </c>
      <c r="O65" s="13" t="str" cm="1">
        <f t="array" ref="O65">IFERROR(_xlfn.FILTERXML("&lt;t&gt;&lt;s&gt;" &amp; SUBSTITUTE(M65," / ","&lt;/s&gt;&lt;s&gt;") &amp; "&lt;/s&gt;&lt;/t&gt;","(//s[contains(.,'DDR')])[1]"),"")</f>
        <v/>
      </c>
      <c r="P65" t="e">
        <f t="shared" si="1"/>
        <v>#N/A</v>
      </c>
      <c r="Q65" t="str" cm="1">
        <f t="array" ref="Q65">_xlfn.TEXTJOIN(", ", TRUE, _xlfn._xlws.FILTER(Input!W:W, Input!J:J=B65))</f>
        <v/>
      </c>
      <c r="S65" s="13" t="str">
        <f>_xlfn.LET(_xlpm.Result,_xlfn.XLOOKUP(B65,Input!J:J,Input!AB:AB),IF(_xlpm.Result="","",_xlpm.Result))</f>
        <v/>
      </c>
      <c r="T65" s="13" t="str" cm="1">
        <f t="array" ref="T65">IFERROR(_xlfn.IFS(
   --S65&lt;55,"Battery Defect",
  -- S65&lt;=69,"Battery D",
  --S65&lt;=80,"Battery C",
 --S65&gt;80,""
),"")</f>
        <v/>
      </c>
      <c r="U65" s="13" t="str" cm="1">
        <f t="array" ref="U65:Z65">IFERROR(IF(_xlfn.XLOOKUP(B65,Input!J:J,Input!N:S)=0,"",
          _xlfn.XLOOKUP(B65,Input!J:J,Input!N:S)),"")</f>
        <v/>
      </c>
      <c r="V65" s="13" t="str">
        <v/>
      </c>
      <c r="W65" s="13" t="str">
        <v/>
      </c>
      <c r="X65" s="13" t="str">
        <v/>
      </c>
      <c r="Y65" s="13" t="str">
        <v/>
      </c>
      <c r="Z65" s="13" t="str">
        <v/>
      </c>
      <c r="AA65" t="str">
        <f t="shared" si="2"/>
        <v/>
      </c>
      <c r="AB65" t="str">
        <f>_xlfn.XLOOKUP(B:B,Disk_Pivot!G:G,Disk_Pivot!I:I)</f>
        <v>No</v>
      </c>
      <c r="AC65" t="str">
        <f>_xlfn.XLOOKUP(B65,Disk_Pivot!G:G,Disk_Pivot!N:N)</f>
        <v/>
      </c>
    </row>
    <row r="66" spans="1:29">
      <c r="A66" t="str">
        <f>_xlfn.TEXTJOIN("",TRUE,_xlfn.XLOOKUP(B66,Input!J:J,Input!G:G,"",0,1),_xlfn.XLOOKUP(B66,Input!J:J,Input!H:H,"",0,1))</f>
        <v/>
      </c>
      <c r="C66" s="13">
        <f>_xlfn.XLOOKUP(B66,Input!J:J,Input!F:F)</f>
        <v>0</v>
      </c>
      <c r="D66">
        <f>_xlfn.XLOOKUP(C66,Models!H:H,Models!G:G,C66)</f>
        <v>0</v>
      </c>
      <c r="F66" t="str">
        <f>_xlfn.XLOOKUP(H66,Models!B:B,Models!F:F,"")</f>
        <v/>
      </c>
      <c r="G66">
        <f>_xlfn.XLOOKUP(B66,Input!J:J,Input!E:E)</f>
        <v>0</v>
      </c>
      <c r="H66">
        <f>IF(G66="LENOVO",_xlfn.XLOOKUP(B66,Input!J:J,Input!K:K),_xlfn.XLOOKUP(B66,Input!J:J,Input!L:L))</f>
        <v>0</v>
      </c>
      <c r="K66">
        <f>_xlfn.XLOOKUP(B66,CPU_Formula!A:A,CPU_Formula!I:I)</f>
        <v>0</v>
      </c>
      <c r="L66" s="13" t="e">
        <f>INDEX(Input!$D$2:$AD$500,
       MATCH(B66, Input!$J$2:$J$500, 0),
       MATCH("Memory Capacity", Input!$D$1:$AD$1, 0))</f>
        <v>#N/A</v>
      </c>
      <c r="M66" s="13" t="e">
        <f>INDEX(Input!$D$2:$AD$500,
       MATCH(B66, Input!$J$2:$J$500, 0),
       MATCH("Memory Type", Input!$D$1:$AD$1, 0))</f>
        <v>#N/A</v>
      </c>
      <c r="N66" s="13" t="e">
        <f t="shared" si="0"/>
        <v>#N/A</v>
      </c>
      <c r="O66" s="13" t="str" cm="1">
        <f t="array" ref="O66">IFERROR(_xlfn.FILTERXML("&lt;t&gt;&lt;s&gt;" &amp; SUBSTITUTE(M66," / ","&lt;/s&gt;&lt;s&gt;") &amp; "&lt;/s&gt;&lt;/t&gt;","(//s[contains(.,'DDR')])[1]"),"")</f>
        <v/>
      </c>
      <c r="P66" t="e">
        <f t="shared" si="1"/>
        <v>#N/A</v>
      </c>
      <c r="Q66" t="str" cm="1">
        <f t="array" ref="Q66">_xlfn.TEXTJOIN(", ", TRUE, _xlfn._xlws.FILTER(Input!W:W, Input!J:J=B66))</f>
        <v/>
      </c>
      <c r="S66" s="13" t="str">
        <f>_xlfn.LET(_xlpm.Result,_xlfn.XLOOKUP(B66,Input!J:J,Input!AB:AB),IF(_xlpm.Result="","",_xlpm.Result))</f>
        <v/>
      </c>
      <c r="T66" s="13" t="str" cm="1">
        <f t="array" ref="T66">IFERROR(_xlfn.IFS(
   --S66&lt;55,"Battery Defect",
  -- S66&lt;=69,"Battery D",
  --S66&lt;=80,"Battery C",
 --S66&gt;80,""
),"")</f>
        <v/>
      </c>
      <c r="U66" s="13" t="str" cm="1">
        <f t="array" ref="U66:Z66">IFERROR(IF(_xlfn.XLOOKUP(B66,Input!J:J,Input!N:S)=0,"",
          _xlfn.XLOOKUP(B66,Input!J:J,Input!N:S)),"")</f>
        <v/>
      </c>
      <c r="V66" s="13" t="str">
        <v/>
      </c>
      <c r="W66" s="13" t="str">
        <v/>
      </c>
      <c r="X66" s="13" t="str">
        <v/>
      </c>
      <c r="Y66" s="13" t="str">
        <v/>
      </c>
      <c r="Z66" s="13" t="str">
        <v/>
      </c>
      <c r="AA66" t="str">
        <f t="shared" si="2"/>
        <v/>
      </c>
      <c r="AB66" t="str">
        <f>_xlfn.XLOOKUP(B:B,Disk_Pivot!G:G,Disk_Pivot!I:I)</f>
        <v>No</v>
      </c>
      <c r="AC66" t="str">
        <f>_xlfn.XLOOKUP(B66,Disk_Pivot!G:G,Disk_Pivot!N:N)</f>
        <v/>
      </c>
    </row>
    <row r="67" spans="1:29">
      <c r="A67" t="str">
        <f>_xlfn.TEXTJOIN("",TRUE,_xlfn.XLOOKUP(B67,Input!J:J,Input!G:G,"",0,1),_xlfn.XLOOKUP(B67,Input!J:J,Input!H:H,"",0,1))</f>
        <v/>
      </c>
      <c r="C67" s="13">
        <f>_xlfn.XLOOKUP(B67,Input!J:J,Input!F:F)</f>
        <v>0</v>
      </c>
      <c r="D67">
        <f>_xlfn.XLOOKUP(C67,Models!H:H,Models!G:G,C67)</f>
        <v>0</v>
      </c>
      <c r="F67" t="str">
        <f>_xlfn.XLOOKUP(H67,Models!B:B,Models!F:F,"")</f>
        <v/>
      </c>
      <c r="G67">
        <f>_xlfn.XLOOKUP(B67,Input!J:J,Input!E:E)</f>
        <v>0</v>
      </c>
      <c r="H67">
        <f>IF(G67="LENOVO",_xlfn.XLOOKUP(B67,Input!J:J,Input!K:K),_xlfn.XLOOKUP(B67,Input!J:J,Input!L:L))</f>
        <v>0</v>
      </c>
      <c r="K67">
        <f>_xlfn.XLOOKUP(B67,CPU_Formula!A:A,CPU_Formula!I:I)</f>
        <v>0</v>
      </c>
      <c r="L67" s="13" t="e">
        <f>INDEX(Input!$D$2:$AD$500,
       MATCH(B67, Input!$J$2:$J$500, 0),
       MATCH("Memory Capacity", Input!$D$1:$AD$1, 0))</f>
        <v>#N/A</v>
      </c>
      <c r="M67" s="13" t="e">
        <f>INDEX(Input!$D$2:$AD$500,
       MATCH(B67, Input!$J$2:$J$500, 0),
       MATCH("Memory Type", Input!$D$1:$AD$1, 0))</f>
        <v>#N/A</v>
      </c>
      <c r="N67" s="13" t="e">
        <f t="shared" ref="N67:N130" si="3">IF(ISNUMBER(L67), L67, SUBSTITUTE(SUBSTITUTE(SUBSTITUTE(L67,"GiB","")," ",""),"/","+"))</f>
        <v>#N/A</v>
      </c>
      <c r="O67" s="13" t="str" cm="1">
        <f t="array" ref="O67">IFERROR(_xlfn.FILTERXML("&lt;t&gt;&lt;s&gt;" &amp; SUBSTITUTE(M67," / ","&lt;/s&gt;&lt;s&gt;") &amp; "&lt;/s&gt;&lt;/t&gt;","(//s[contains(.,'DDR')])[1]"),"")</f>
        <v/>
      </c>
      <c r="P67" t="e">
        <f t="shared" ref="P67:P87" si="4">_xlfn.TEXTJOIN(" ",TRUE,N67,"GB",O67)</f>
        <v>#N/A</v>
      </c>
      <c r="Q67" t="str" cm="1">
        <f t="array" ref="Q67">_xlfn.TEXTJOIN(", ", TRUE, _xlfn._xlws.FILTER(Input!W:W, Input!J:J=B67))</f>
        <v/>
      </c>
      <c r="S67" s="13" t="str">
        <f>_xlfn.LET(_xlpm.Result,_xlfn.XLOOKUP(B67,Input!J:J,Input!AB:AB),IF(_xlpm.Result="","",_xlpm.Result))</f>
        <v/>
      </c>
      <c r="T67" s="13" t="str" cm="1">
        <f t="array" ref="T67">IFERROR(_xlfn.IFS(
   --S67&lt;55,"Battery Defect",
  -- S67&lt;=69,"Battery D",
  --S67&lt;=80,"Battery C",
 --S67&gt;80,""
),"")</f>
        <v/>
      </c>
      <c r="U67" s="13" t="str" cm="1">
        <f t="array" ref="U67:Z67">IFERROR(IF(_xlfn.XLOOKUP(B67,Input!J:J,Input!N:S)=0,"",
          _xlfn.XLOOKUP(B67,Input!J:J,Input!N:S)),"")</f>
        <v/>
      </c>
      <c r="V67" s="13" t="str">
        <v/>
      </c>
      <c r="W67" s="13" t="str">
        <v/>
      </c>
      <c r="X67" s="13" t="str">
        <v/>
      </c>
      <c r="Y67" s="13" t="str">
        <v/>
      </c>
      <c r="Z67" s="13" t="str">
        <v/>
      </c>
      <c r="AA67" t="str">
        <f t="shared" ref="AA67:AA130" si="5">_xlfn.TEXTJOIN(", ",TRUE,T67,U67,V67,W67,X67,Y67,Z67)</f>
        <v/>
      </c>
      <c r="AB67" t="str">
        <f>_xlfn.XLOOKUP(B:B,Disk_Pivot!G:G,Disk_Pivot!I:I)</f>
        <v>No</v>
      </c>
      <c r="AC67" t="str">
        <f>_xlfn.XLOOKUP(B67,Disk_Pivot!G:G,Disk_Pivot!N:N)</f>
        <v/>
      </c>
    </row>
    <row r="68" spans="1:29">
      <c r="A68" t="str">
        <f>_xlfn.TEXTJOIN("",TRUE,_xlfn.XLOOKUP(B68,Input!J:J,Input!G:G,"",0,1),_xlfn.XLOOKUP(B68,Input!J:J,Input!H:H,"",0,1))</f>
        <v/>
      </c>
      <c r="C68" s="13">
        <f>_xlfn.XLOOKUP(B68,Input!J:J,Input!F:F)</f>
        <v>0</v>
      </c>
      <c r="D68">
        <f>_xlfn.XLOOKUP(C68,Models!H:H,Models!G:G,C68)</f>
        <v>0</v>
      </c>
      <c r="F68" t="str">
        <f>_xlfn.XLOOKUP(H68,Models!B:B,Models!F:F,"")</f>
        <v/>
      </c>
      <c r="G68">
        <f>_xlfn.XLOOKUP(B68,Input!J:J,Input!E:E)</f>
        <v>0</v>
      </c>
      <c r="H68">
        <f>IF(G68="LENOVO",_xlfn.XLOOKUP(B68,Input!J:J,Input!K:K),_xlfn.XLOOKUP(B68,Input!J:J,Input!L:L))</f>
        <v>0</v>
      </c>
      <c r="K68">
        <f>_xlfn.XLOOKUP(B68,CPU_Formula!A:A,CPU_Formula!I:I)</f>
        <v>0</v>
      </c>
      <c r="L68" s="13" t="e">
        <f>INDEX(Input!$D$2:$AD$500,
       MATCH(B68, Input!$J$2:$J$500, 0),
       MATCH("Memory Capacity", Input!$D$1:$AD$1, 0))</f>
        <v>#N/A</v>
      </c>
      <c r="M68" s="13" t="e">
        <f>INDEX(Input!$D$2:$AD$500,
       MATCH(B68, Input!$J$2:$J$500, 0),
       MATCH("Memory Type", Input!$D$1:$AD$1, 0))</f>
        <v>#N/A</v>
      </c>
      <c r="N68" s="13" t="e">
        <f t="shared" si="3"/>
        <v>#N/A</v>
      </c>
      <c r="O68" s="13" t="str" cm="1">
        <f t="array" ref="O68">IFERROR(_xlfn.FILTERXML("&lt;t&gt;&lt;s&gt;" &amp; SUBSTITUTE(M68," / ","&lt;/s&gt;&lt;s&gt;") &amp; "&lt;/s&gt;&lt;/t&gt;","(//s[contains(.,'DDR')])[1]"),"")</f>
        <v/>
      </c>
      <c r="P68" t="e">
        <f t="shared" si="4"/>
        <v>#N/A</v>
      </c>
      <c r="Q68" t="str" cm="1">
        <f t="array" ref="Q68">_xlfn.TEXTJOIN(", ", TRUE, _xlfn._xlws.FILTER(Input!W:W, Input!J:J=B68))</f>
        <v/>
      </c>
      <c r="S68" s="13" t="str">
        <f>_xlfn.LET(_xlpm.Result,_xlfn.XLOOKUP(B68,Input!J:J,Input!AB:AB),IF(_xlpm.Result="","",_xlpm.Result))</f>
        <v/>
      </c>
      <c r="T68" s="13" t="str" cm="1">
        <f t="array" ref="T68">IFERROR(_xlfn.IFS(
   --S68&lt;55,"Battery Defect",
  -- S68&lt;=69,"Battery D",
  --S68&lt;=80,"Battery C",
 --S68&gt;80,""
),"")</f>
        <v/>
      </c>
      <c r="U68" s="13" t="str" cm="1">
        <f t="array" ref="U68:Z68">IFERROR(IF(_xlfn.XLOOKUP(B68,Input!J:J,Input!N:S)=0,"",
          _xlfn.XLOOKUP(B68,Input!J:J,Input!N:S)),"")</f>
        <v/>
      </c>
      <c r="V68" s="13" t="str">
        <v/>
      </c>
      <c r="W68" s="13" t="str">
        <v/>
      </c>
      <c r="X68" s="13" t="str">
        <v/>
      </c>
      <c r="Y68" s="13" t="str">
        <v/>
      </c>
      <c r="Z68" s="13" t="str">
        <v/>
      </c>
      <c r="AA68" t="str">
        <f t="shared" si="5"/>
        <v/>
      </c>
      <c r="AB68" t="str">
        <f>_xlfn.XLOOKUP(B:B,Disk_Pivot!G:G,Disk_Pivot!I:I)</f>
        <v>No</v>
      </c>
      <c r="AC68" t="str">
        <f>_xlfn.XLOOKUP(B68,Disk_Pivot!G:G,Disk_Pivot!N:N)</f>
        <v/>
      </c>
    </row>
    <row r="69" spans="1:29">
      <c r="A69" t="str">
        <f>_xlfn.TEXTJOIN("",TRUE,_xlfn.XLOOKUP(B69,Input!J:J,Input!G:G,"",0,1),_xlfn.XLOOKUP(B69,Input!J:J,Input!H:H,"",0,1))</f>
        <v/>
      </c>
      <c r="C69" s="13">
        <f>_xlfn.XLOOKUP(B69,Input!J:J,Input!F:F)</f>
        <v>0</v>
      </c>
      <c r="D69">
        <f>_xlfn.XLOOKUP(C69,Models!H:H,Models!G:G,C69)</f>
        <v>0</v>
      </c>
      <c r="F69" t="str">
        <f>_xlfn.XLOOKUP(H69,Models!B:B,Models!F:F,"")</f>
        <v/>
      </c>
      <c r="G69">
        <f>_xlfn.XLOOKUP(B69,Input!J:J,Input!E:E)</f>
        <v>0</v>
      </c>
      <c r="H69">
        <f>IF(G69="LENOVO",_xlfn.XLOOKUP(B69,Input!J:J,Input!K:K),_xlfn.XLOOKUP(B69,Input!J:J,Input!L:L))</f>
        <v>0</v>
      </c>
      <c r="K69">
        <f>_xlfn.XLOOKUP(B69,CPU_Formula!A:A,CPU_Formula!I:I)</f>
        <v>0</v>
      </c>
      <c r="L69" s="13" t="e">
        <f>INDEX(Input!$D$2:$AD$500,
       MATCH(B69, Input!$J$2:$J$500, 0),
       MATCH("Memory Capacity", Input!$D$1:$AD$1, 0))</f>
        <v>#N/A</v>
      </c>
      <c r="M69" s="13" t="e">
        <f>INDEX(Input!$D$2:$AD$500,
       MATCH(B69, Input!$J$2:$J$500, 0),
       MATCH("Memory Type", Input!$D$1:$AD$1, 0))</f>
        <v>#N/A</v>
      </c>
      <c r="N69" s="13" t="e">
        <f t="shared" si="3"/>
        <v>#N/A</v>
      </c>
      <c r="O69" s="13" t="str" cm="1">
        <f t="array" ref="O69">IFERROR(_xlfn.FILTERXML("&lt;t&gt;&lt;s&gt;" &amp; SUBSTITUTE(M69," / ","&lt;/s&gt;&lt;s&gt;") &amp; "&lt;/s&gt;&lt;/t&gt;","(//s[contains(.,'DDR')])[1]"),"")</f>
        <v/>
      </c>
      <c r="P69" t="e">
        <f t="shared" si="4"/>
        <v>#N/A</v>
      </c>
      <c r="Q69" t="str" cm="1">
        <f t="array" ref="Q69">_xlfn.TEXTJOIN(", ", TRUE, _xlfn._xlws.FILTER(Input!W:W, Input!J:J=B69))</f>
        <v/>
      </c>
      <c r="S69" s="13" t="str">
        <f>_xlfn.LET(_xlpm.Result,_xlfn.XLOOKUP(B69,Input!J:J,Input!AB:AB),IF(_xlpm.Result="","",_xlpm.Result))</f>
        <v/>
      </c>
      <c r="T69" s="13" t="str" cm="1">
        <f t="array" ref="T69">IFERROR(_xlfn.IFS(
   --S69&lt;55,"Battery Defect",
  -- S69&lt;=69,"Battery D",
  --S69&lt;=80,"Battery C",
 --S69&gt;80,""
),"")</f>
        <v/>
      </c>
      <c r="U69" s="13" t="str" cm="1">
        <f t="array" ref="U69:Z69">IFERROR(IF(_xlfn.XLOOKUP(B69,Input!J:J,Input!N:S)=0,"",
          _xlfn.XLOOKUP(B69,Input!J:J,Input!N:S)),"")</f>
        <v/>
      </c>
      <c r="V69" s="13" t="str">
        <v/>
      </c>
      <c r="W69" s="13" t="str">
        <v/>
      </c>
      <c r="X69" s="13" t="str">
        <v/>
      </c>
      <c r="Y69" s="13" t="str">
        <v/>
      </c>
      <c r="Z69" s="13" t="str">
        <v/>
      </c>
      <c r="AA69" t="str">
        <f t="shared" si="5"/>
        <v/>
      </c>
      <c r="AB69" t="str">
        <f>_xlfn.XLOOKUP(B:B,Disk_Pivot!G:G,Disk_Pivot!I:I)</f>
        <v>No</v>
      </c>
      <c r="AC69" t="str">
        <f>_xlfn.XLOOKUP(B69,Disk_Pivot!G:G,Disk_Pivot!N:N)</f>
        <v/>
      </c>
    </row>
    <row r="70" spans="1:29">
      <c r="A70" t="str">
        <f>_xlfn.TEXTJOIN("",TRUE,_xlfn.XLOOKUP(B70,Input!J:J,Input!G:G,"",0,1),_xlfn.XLOOKUP(B70,Input!J:J,Input!H:H,"",0,1))</f>
        <v/>
      </c>
      <c r="C70" s="13">
        <f>_xlfn.XLOOKUP(B70,Input!J:J,Input!F:F)</f>
        <v>0</v>
      </c>
      <c r="D70">
        <f>_xlfn.XLOOKUP(C70,Models!H:H,Models!G:G,C70)</f>
        <v>0</v>
      </c>
      <c r="F70" t="str">
        <f>_xlfn.XLOOKUP(H70,Models!B:B,Models!F:F,"")</f>
        <v/>
      </c>
      <c r="G70">
        <f>_xlfn.XLOOKUP(B70,Input!J:J,Input!E:E)</f>
        <v>0</v>
      </c>
      <c r="H70">
        <f>IF(G70="LENOVO",_xlfn.XLOOKUP(B70,Input!J:J,Input!K:K),_xlfn.XLOOKUP(B70,Input!J:J,Input!L:L))</f>
        <v>0</v>
      </c>
      <c r="K70">
        <f>_xlfn.XLOOKUP(B70,CPU_Formula!A:A,CPU_Formula!I:I)</f>
        <v>0</v>
      </c>
      <c r="L70" s="13" t="e">
        <f>INDEX(Input!$D$2:$AD$500,
       MATCH(B70, Input!$J$2:$J$500, 0),
       MATCH("Memory Capacity", Input!$D$1:$AD$1, 0))</f>
        <v>#N/A</v>
      </c>
      <c r="M70" s="13" t="e">
        <f>INDEX(Input!$D$2:$AD$500,
       MATCH(B70, Input!$J$2:$J$500, 0),
       MATCH("Memory Type", Input!$D$1:$AD$1, 0))</f>
        <v>#N/A</v>
      </c>
      <c r="N70" s="13" t="e">
        <f t="shared" si="3"/>
        <v>#N/A</v>
      </c>
      <c r="O70" s="13" t="str" cm="1">
        <f t="array" ref="O70">IFERROR(_xlfn.FILTERXML("&lt;t&gt;&lt;s&gt;" &amp; SUBSTITUTE(M70," / ","&lt;/s&gt;&lt;s&gt;") &amp; "&lt;/s&gt;&lt;/t&gt;","(//s[contains(.,'DDR')])[1]"),"")</f>
        <v/>
      </c>
      <c r="P70" t="e">
        <f t="shared" si="4"/>
        <v>#N/A</v>
      </c>
      <c r="Q70" t="str" cm="1">
        <f t="array" ref="Q70">_xlfn.TEXTJOIN(", ", TRUE, _xlfn._xlws.FILTER(Input!W:W, Input!J:J=B70))</f>
        <v/>
      </c>
      <c r="S70" s="13" t="str">
        <f>_xlfn.LET(_xlpm.Result,_xlfn.XLOOKUP(B70,Input!J:J,Input!AB:AB),IF(_xlpm.Result="","",_xlpm.Result))</f>
        <v/>
      </c>
      <c r="T70" s="13" t="str" cm="1">
        <f t="array" ref="T70">IFERROR(_xlfn.IFS(
   --S70&lt;55,"Battery Defect",
  -- S70&lt;=69,"Battery D",
  --S70&lt;=80,"Battery C",
 --S70&gt;80,""
),"")</f>
        <v/>
      </c>
      <c r="U70" s="13" t="str" cm="1">
        <f t="array" ref="U70:Z70">IFERROR(IF(_xlfn.XLOOKUP(B70,Input!J:J,Input!N:S)=0,"",
          _xlfn.XLOOKUP(B70,Input!J:J,Input!N:S)),"")</f>
        <v/>
      </c>
      <c r="V70" s="13" t="str">
        <v/>
      </c>
      <c r="W70" s="13" t="str">
        <v/>
      </c>
      <c r="X70" s="13" t="str">
        <v/>
      </c>
      <c r="Y70" s="13" t="str">
        <v/>
      </c>
      <c r="Z70" s="13" t="str">
        <v/>
      </c>
      <c r="AA70" t="str">
        <f t="shared" si="5"/>
        <v/>
      </c>
      <c r="AB70" t="str">
        <f>_xlfn.XLOOKUP(B:B,Disk_Pivot!G:G,Disk_Pivot!I:I)</f>
        <v>No</v>
      </c>
      <c r="AC70" t="str">
        <f>_xlfn.XLOOKUP(B70,Disk_Pivot!G:G,Disk_Pivot!N:N)</f>
        <v/>
      </c>
    </row>
    <row r="71" spans="1:29">
      <c r="A71" t="str">
        <f>_xlfn.TEXTJOIN("",TRUE,_xlfn.XLOOKUP(B71,Input!J:J,Input!G:G,"",0,1),_xlfn.XLOOKUP(B71,Input!J:J,Input!H:H,"",0,1))</f>
        <v/>
      </c>
      <c r="C71" s="13">
        <f>_xlfn.XLOOKUP(B71,Input!J:J,Input!F:F)</f>
        <v>0</v>
      </c>
      <c r="D71">
        <f>_xlfn.XLOOKUP(C71,Models!H:H,Models!G:G,C71)</f>
        <v>0</v>
      </c>
      <c r="F71" t="str">
        <f>_xlfn.XLOOKUP(H71,Models!B:B,Models!F:F,"")</f>
        <v/>
      </c>
      <c r="G71">
        <f>_xlfn.XLOOKUP(B71,Input!J:J,Input!E:E)</f>
        <v>0</v>
      </c>
      <c r="H71">
        <f>IF(G71="LENOVO",_xlfn.XLOOKUP(B71,Input!J:J,Input!K:K),_xlfn.XLOOKUP(B71,Input!J:J,Input!L:L))</f>
        <v>0</v>
      </c>
      <c r="K71">
        <f>_xlfn.XLOOKUP(B71,CPU_Formula!A:A,CPU_Formula!I:I)</f>
        <v>0</v>
      </c>
      <c r="L71" s="13" t="e">
        <f>INDEX(Input!$D$2:$AD$500,
       MATCH(B71, Input!$J$2:$J$500, 0),
       MATCH("Memory Capacity", Input!$D$1:$AD$1, 0))</f>
        <v>#N/A</v>
      </c>
      <c r="M71" s="13" t="e">
        <f>INDEX(Input!$D$2:$AD$500,
       MATCH(B71, Input!$J$2:$J$500, 0),
       MATCH("Memory Type", Input!$D$1:$AD$1, 0))</f>
        <v>#N/A</v>
      </c>
      <c r="N71" s="13" t="e">
        <f t="shared" si="3"/>
        <v>#N/A</v>
      </c>
      <c r="O71" s="13" t="str" cm="1">
        <f t="array" ref="O71">IFERROR(_xlfn.FILTERXML("&lt;t&gt;&lt;s&gt;" &amp; SUBSTITUTE(M71," / ","&lt;/s&gt;&lt;s&gt;") &amp; "&lt;/s&gt;&lt;/t&gt;","(//s[contains(.,'DDR')])[1]"),"")</f>
        <v/>
      </c>
      <c r="P71" t="e">
        <f t="shared" si="4"/>
        <v>#N/A</v>
      </c>
      <c r="Q71" t="str" cm="1">
        <f t="array" ref="Q71">_xlfn.TEXTJOIN(", ", TRUE, _xlfn._xlws.FILTER(Input!W:W, Input!J:J=B71))</f>
        <v/>
      </c>
      <c r="S71" s="13" t="str">
        <f>_xlfn.LET(_xlpm.Result,_xlfn.XLOOKUP(B71,Input!J:J,Input!AB:AB),IF(_xlpm.Result="","",_xlpm.Result))</f>
        <v/>
      </c>
      <c r="T71" s="13" t="str" cm="1">
        <f t="array" ref="T71">IFERROR(_xlfn.IFS(
   --S71&lt;55,"Battery Defect",
  -- S71&lt;=69,"Battery D",
  --S71&lt;=80,"Battery C",
 --S71&gt;80,""
),"")</f>
        <v/>
      </c>
      <c r="U71" s="13" t="str" cm="1">
        <f t="array" ref="U71:Z71">IFERROR(IF(_xlfn.XLOOKUP(B71,Input!J:J,Input!N:S)=0,"",
          _xlfn.XLOOKUP(B71,Input!J:J,Input!N:S)),"")</f>
        <v/>
      </c>
      <c r="V71" s="13" t="str">
        <v/>
      </c>
      <c r="W71" s="13" t="str">
        <v/>
      </c>
      <c r="X71" s="13" t="str">
        <v/>
      </c>
      <c r="Y71" s="13" t="str">
        <v/>
      </c>
      <c r="Z71" s="13" t="str">
        <v/>
      </c>
      <c r="AA71" t="str">
        <f t="shared" si="5"/>
        <v/>
      </c>
      <c r="AB71" t="str">
        <f>_xlfn.XLOOKUP(B:B,Disk_Pivot!G:G,Disk_Pivot!I:I)</f>
        <v>No</v>
      </c>
      <c r="AC71" t="str">
        <f>_xlfn.XLOOKUP(B71,Disk_Pivot!G:G,Disk_Pivot!N:N)</f>
        <v/>
      </c>
    </row>
    <row r="72" spans="1:29">
      <c r="A72" t="str">
        <f>_xlfn.TEXTJOIN("",TRUE,_xlfn.XLOOKUP(B72,Input!J:J,Input!G:G,"",0,1),_xlfn.XLOOKUP(B72,Input!J:J,Input!H:H,"",0,1))</f>
        <v/>
      </c>
      <c r="C72" s="13">
        <f>_xlfn.XLOOKUP(B72,Input!J:J,Input!F:F)</f>
        <v>0</v>
      </c>
      <c r="D72">
        <f>_xlfn.XLOOKUP(C72,Models!H:H,Models!G:G,C72)</f>
        <v>0</v>
      </c>
      <c r="F72" t="str">
        <f>_xlfn.XLOOKUP(H72,Models!B:B,Models!F:F,"")</f>
        <v/>
      </c>
      <c r="G72">
        <f>_xlfn.XLOOKUP(B72,Input!J:J,Input!E:E)</f>
        <v>0</v>
      </c>
      <c r="H72">
        <f>IF(G72="LENOVO",_xlfn.XLOOKUP(B72,Input!J:J,Input!K:K),_xlfn.XLOOKUP(B72,Input!J:J,Input!L:L))</f>
        <v>0</v>
      </c>
      <c r="K72">
        <f>_xlfn.XLOOKUP(B72,CPU_Formula!A:A,CPU_Formula!I:I)</f>
        <v>0</v>
      </c>
      <c r="L72" s="13" t="e">
        <f>INDEX(Input!$D$2:$AD$500,
       MATCH(B72, Input!$J$2:$J$500, 0),
       MATCH("Memory Capacity", Input!$D$1:$AD$1, 0))</f>
        <v>#N/A</v>
      </c>
      <c r="M72" s="13" t="e">
        <f>INDEX(Input!$D$2:$AD$500,
       MATCH(B72, Input!$J$2:$J$500, 0),
       MATCH("Memory Type", Input!$D$1:$AD$1, 0))</f>
        <v>#N/A</v>
      </c>
      <c r="N72" s="13" t="e">
        <f t="shared" si="3"/>
        <v>#N/A</v>
      </c>
      <c r="O72" s="13" t="str" cm="1">
        <f t="array" ref="O72">IFERROR(_xlfn.FILTERXML("&lt;t&gt;&lt;s&gt;" &amp; SUBSTITUTE(M72," / ","&lt;/s&gt;&lt;s&gt;") &amp; "&lt;/s&gt;&lt;/t&gt;","(//s[contains(.,'DDR')])[1]"),"")</f>
        <v/>
      </c>
      <c r="P72" t="e">
        <f t="shared" si="4"/>
        <v>#N/A</v>
      </c>
      <c r="Q72" t="str" cm="1">
        <f t="array" ref="Q72">_xlfn.TEXTJOIN(", ", TRUE, _xlfn._xlws.FILTER(Input!W:W, Input!J:J=B72))</f>
        <v/>
      </c>
      <c r="S72" s="13" t="str">
        <f>_xlfn.LET(_xlpm.Result,_xlfn.XLOOKUP(B72,Input!J:J,Input!AB:AB),IF(_xlpm.Result="","",_xlpm.Result))</f>
        <v/>
      </c>
      <c r="T72" s="13" t="str" cm="1">
        <f t="array" ref="T72">IFERROR(_xlfn.IFS(
   --S72&lt;55,"Battery Defect",
  -- S72&lt;=69,"Battery D",
  --S72&lt;=80,"Battery C",
 --S72&gt;80,""
),"")</f>
        <v/>
      </c>
      <c r="U72" s="13" t="str" cm="1">
        <f t="array" ref="U72:Z72">IFERROR(IF(_xlfn.XLOOKUP(B72,Input!J:J,Input!N:S)=0,"",
          _xlfn.XLOOKUP(B72,Input!J:J,Input!N:S)),"")</f>
        <v/>
      </c>
      <c r="V72" s="13" t="str">
        <v/>
      </c>
      <c r="W72" s="13" t="str">
        <v/>
      </c>
      <c r="X72" s="13" t="str">
        <v/>
      </c>
      <c r="Y72" s="13" t="str">
        <v/>
      </c>
      <c r="Z72" s="13" t="str">
        <v/>
      </c>
      <c r="AA72" t="str">
        <f t="shared" si="5"/>
        <v/>
      </c>
      <c r="AB72" t="str">
        <f>_xlfn.XLOOKUP(B:B,Disk_Pivot!G:G,Disk_Pivot!I:I)</f>
        <v>No</v>
      </c>
      <c r="AC72" t="str">
        <f>_xlfn.XLOOKUP(B72,Disk_Pivot!G:G,Disk_Pivot!N:N)</f>
        <v/>
      </c>
    </row>
    <row r="73" spans="1:29">
      <c r="A73" t="str">
        <f>_xlfn.TEXTJOIN("",TRUE,_xlfn.XLOOKUP(B73,Input!J:J,Input!G:G,"",0,1),_xlfn.XLOOKUP(B73,Input!J:J,Input!H:H,"",0,1))</f>
        <v/>
      </c>
      <c r="C73" s="13">
        <f>_xlfn.XLOOKUP(B73,Input!J:J,Input!F:F)</f>
        <v>0</v>
      </c>
      <c r="D73">
        <f>_xlfn.XLOOKUP(C73,Models!H:H,Models!G:G,C73)</f>
        <v>0</v>
      </c>
      <c r="F73" t="str">
        <f>_xlfn.XLOOKUP(H73,Models!B:B,Models!F:F,"")</f>
        <v/>
      </c>
      <c r="G73">
        <f>_xlfn.XLOOKUP(B73,Input!J:J,Input!E:E)</f>
        <v>0</v>
      </c>
      <c r="H73">
        <f>IF(G73="LENOVO",_xlfn.XLOOKUP(B73,Input!J:J,Input!K:K),_xlfn.XLOOKUP(B73,Input!J:J,Input!L:L))</f>
        <v>0</v>
      </c>
      <c r="K73">
        <f>_xlfn.XLOOKUP(B73,CPU_Formula!A:A,CPU_Formula!I:I)</f>
        <v>0</v>
      </c>
      <c r="L73" s="13" t="e">
        <f>INDEX(Input!$D$2:$AD$500,
       MATCH(B73, Input!$J$2:$J$500, 0),
       MATCH("Memory Capacity", Input!$D$1:$AD$1, 0))</f>
        <v>#N/A</v>
      </c>
      <c r="M73" s="13" t="e">
        <f>INDEX(Input!$D$2:$AD$500,
       MATCH(B73, Input!$J$2:$J$500, 0),
       MATCH("Memory Type", Input!$D$1:$AD$1, 0))</f>
        <v>#N/A</v>
      </c>
      <c r="N73" s="13" t="e">
        <f t="shared" si="3"/>
        <v>#N/A</v>
      </c>
      <c r="O73" s="13" t="str" cm="1">
        <f t="array" ref="O73">IFERROR(_xlfn.FILTERXML("&lt;t&gt;&lt;s&gt;" &amp; SUBSTITUTE(M73," / ","&lt;/s&gt;&lt;s&gt;") &amp; "&lt;/s&gt;&lt;/t&gt;","(//s[contains(.,'DDR')])[1]"),"")</f>
        <v/>
      </c>
      <c r="P73" t="e">
        <f t="shared" si="4"/>
        <v>#N/A</v>
      </c>
      <c r="Q73" t="str" cm="1">
        <f t="array" ref="Q73">_xlfn.TEXTJOIN(", ", TRUE, _xlfn._xlws.FILTER(Input!W:W, Input!J:J=B73))</f>
        <v/>
      </c>
      <c r="S73" s="13" t="str">
        <f>_xlfn.LET(_xlpm.Result,_xlfn.XLOOKUP(B73,Input!J:J,Input!AB:AB),IF(_xlpm.Result="","",_xlpm.Result))</f>
        <v/>
      </c>
      <c r="T73" s="13" t="str" cm="1">
        <f t="array" ref="T73">IFERROR(_xlfn.IFS(
   --S73&lt;55,"Battery Defect",
  -- S73&lt;=69,"Battery D",
  --S73&lt;=80,"Battery C",
 --S73&gt;80,""
),"")</f>
        <v/>
      </c>
      <c r="U73" s="13" t="str" cm="1">
        <f t="array" ref="U73:Z73">IFERROR(IF(_xlfn.XLOOKUP(B73,Input!J:J,Input!N:S)=0,"",
          _xlfn.XLOOKUP(B73,Input!J:J,Input!N:S)),"")</f>
        <v/>
      </c>
      <c r="V73" s="13" t="str">
        <v/>
      </c>
      <c r="W73" s="13" t="str">
        <v/>
      </c>
      <c r="X73" s="13" t="str">
        <v/>
      </c>
      <c r="Y73" s="13" t="str">
        <v/>
      </c>
      <c r="Z73" s="13" t="str">
        <v/>
      </c>
      <c r="AA73" t="str">
        <f t="shared" si="5"/>
        <v/>
      </c>
      <c r="AB73" t="str">
        <f>_xlfn.XLOOKUP(B:B,Disk_Pivot!G:G,Disk_Pivot!I:I)</f>
        <v>No</v>
      </c>
      <c r="AC73" t="str">
        <f>_xlfn.XLOOKUP(B73,Disk_Pivot!G:G,Disk_Pivot!N:N)</f>
        <v/>
      </c>
    </row>
    <row r="74" spans="1:29">
      <c r="A74" t="str">
        <f>_xlfn.TEXTJOIN("",TRUE,_xlfn.XLOOKUP(B74,Input!J:J,Input!G:G,"",0,1),_xlfn.XLOOKUP(B74,Input!J:J,Input!H:H,"",0,1))</f>
        <v/>
      </c>
      <c r="C74" s="13">
        <f>_xlfn.XLOOKUP(B74,Input!J:J,Input!F:F)</f>
        <v>0</v>
      </c>
      <c r="D74">
        <f>_xlfn.XLOOKUP(C74,Models!H:H,Models!G:G,C74)</f>
        <v>0</v>
      </c>
      <c r="F74" t="str">
        <f>_xlfn.XLOOKUP(H74,Models!B:B,Models!F:F,"")</f>
        <v/>
      </c>
      <c r="G74">
        <f>_xlfn.XLOOKUP(B74,Input!J:J,Input!E:E)</f>
        <v>0</v>
      </c>
      <c r="H74">
        <f>IF(G74="LENOVO",_xlfn.XLOOKUP(B74,Input!J:J,Input!K:K),_xlfn.XLOOKUP(B74,Input!J:J,Input!L:L))</f>
        <v>0</v>
      </c>
      <c r="K74">
        <f>_xlfn.XLOOKUP(B74,CPU_Formula!A:A,CPU_Formula!I:I)</f>
        <v>0</v>
      </c>
      <c r="L74" s="13" t="e">
        <f>INDEX(Input!$D$2:$AD$500,
       MATCH(B74, Input!$J$2:$J$500, 0),
       MATCH("Memory Capacity", Input!$D$1:$AD$1, 0))</f>
        <v>#N/A</v>
      </c>
      <c r="M74" s="13" t="e">
        <f>INDEX(Input!$D$2:$AD$500,
       MATCH(B74, Input!$J$2:$J$500, 0),
       MATCH("Memory Type", Input!$D$1:$AD$1, 0))</f>
        <v>#N/A</v>
      </c>
      <c r="N74" s="13" t="e">
        <f t="shared" si="3"/>
        <v>#N/A</v>
      </c>
      <c r="O74" s="13" t="str" cm="1">
        <f t="array" ref="O74">IFERROR(_xlfn.FILTERXML("&lt;t&gt;&lt;s&gt;" &amp; SUBSTITUTE(M74," / ","&lt;/s&gt;&lt;s&gt;") &amp; "&lt;/s&gt;&lt;/t&gt;","(//s[contains(.,'DDR')])[1]"),"")</f>
        <v/>
      </c>
      <c r="P74" t="e">
        <f t="shared" si="4"/>
        <v>#N/A</v>
      </c>
      <c r="Q74" t="str" cm="1">
        <f t="array" ref="Q74">_xlfn.TEXTJOIN(", ", TRUE, _xlfn._xlws.FILTER(Input!W:W, Input!J:J=B74))</f>
        <v/>
      </c>
      <c r="S74" s="13" t="str">
        <f>_xlfn.LET(_xlpm.Result,_xlfn.XLOOKUP(B74,Input!J:J,Input!AB:AB),IF(_xlpm.Result="","",_xlpm.Result))</f>
        <v/>
      </c>
      <c r="T74" s="13" t="str" cm="1">
        <f t="array" ref="T74">IFERROR(_xlfn.IFS(
   --S74&lt;55,"Battery Defect",
  -- S74&lt;=69,"Battery D",
  --S74&lt;=80,"Battery C",
 --S74&gt;80,""
),"")</f>
        <v/>
      </c>
      <c r="U74" s="13" t="str" cm="1">
        <f t="array" ref="U74:Z74">IFERROR(IF(_xlfn.XLOOKUP(B74,Input!J:J,Input!N:S)=0,"",
          _xlfn.XLOOKUP(B74,Input!J:J,Input!N:S)),"")</f>
        <v/>
      </c>
      <c r="V74" s="13" t="str">
        <v/>
      </c>
      <c r="W74" s="13" t="str">
        <v/>
      </c>
      <c r="X74" s="13" t="str">
        <v/>
      </c>
      <c r="Y74" s="13" t="str">
        <v/>
      </c>
      <c r="Z74" s="13" t="str">
        <v/>
      </c>
      <c r="AA74" t="str">
        <f t="shared" si="5"/>
        <v/>
      </c>
      <c r="AB74" t="str">
        <f>_xlfn.XLOOKUP(B:B,Disk_Pivot!G:G,Disk_Pivot!I:I)</f>
        <v>No</v>
      </c>
      <c r="AC74" t="str">
        <f>_xlfn.XLOOKUP(B74,Disk_Pivot!G:G,Disk_Pivot!N:N)</f>
        <v/>
      </c>
    </row>
    <row r="75" spans="1:29">
      <c r="A75" t="str">
        <f>_xlfn.TEXTJOIN("",TRUE,_xlfn.XLOOKUP(B75,Input!J:J,Input!G:G,"",0,1),_xlfn.XLOOKUP(B75,Input!J:J,Input!H:H,"",0,1))</f>
        <v/>
      </c>
      <c r="C75" s="13">
        <f>_xlfn.XLOOKUP(B75,Input!J:J,Input!F:F)</f>
        <v>0</v>
      </c>
      <c r="D75">
        <f>_xlfn.XLOOKUP(C75,Models!H:H,Models!G:G,C75)</f>
        <v>0</v>
      </c>
      <c r="F75" t="str">
        <f>_xlfn.XLOOKUP(H75,Models!B:B,Models!F:F,"")</f>
        <v/>
      </c>
      <c r="G75">
        <f>_xlfn.XLOOKUP(B75,Input!J:J,Input!E:E)</f>
        <v>0</v>
      </c>
      <c r="H75">
        <f>IF(G75="LENOVO",_xlfn.XLOOKUP(B75,Input!J:J,Input!K:K),_xlfn.XLOOKUP(B75,Input!J:J,Input!L:L))</f>
        <v>0</v>
      </c>
      <c r="K75">
        <f>_xlfn.XLOOKUP(B75,CPU_Formula!A:A,CPU_Formula!I:I)</f>
        <v>0</v>
      </c>
      <c r="L75" s="13" t="e">
        <f>INDEX(Input!$D$2:$AD$500,
       MATCH(B75, Input!$J$2:$J$500, 0),
       MATCH("Memory Capacity", Input!$D$1:$AD$1, 0))</f>
        <v>#N/A</v>
      </c>
      <c r="M75" s="13" t="e">
        <f>INDEX(Input!$D$2:$AD$500,
       MATCH(B75, Input!$J$2:$J$500, 0),
       MATCH("Memory Type", Input!$D$1:$AD$1, 0))</f>
        <v>#N/A</v>
      </c>
      <c r="N75" s="13" t="e">
        <f t="shared" si="3"/>
        <v>#N/A</v>
      </c>
      <c r="O75" s="13" t="str" cm="1">
        <f t="array" ref="O75">IFERROR(_xlfn.FILTERXML("&lt;t&gt;&lt;s&gt;" &amp; SUBSTITUTE(M75," / ","&lt;/s&gt;&lt;s&gt;") &amp; "&lt;/s&gt;&lt;/t&gt;","(//s[contains(.,'DDR')])[1]"),"")</f>
        <v/>
      </c>
      <c r="P75" t="e">
        <f t="shared" si="4"/>
        <v>#N/A</v>
      </c>
      <c r="Q75" t="str" cm="1">
        <f t="array" ref="Q75">_xlfn.TEXTJOIN(", ", TRUE, _xlfn._xlws.FILTER(Input!W:W, Input!J:J=B75))</f>
        <v/>
      </c>
      <c r="S75" s="13" t="str">
        <f>_xlfn.LET(_xlpm.Result,_xlfn.XLOOKUP(B75,Input!J:J,Input!AB:AB),IF(_xlpm.Result="","",_xlpm.Result))</f>
        <v/>
      </c>
      <c r="T75" s="13" t="str" cm="1">
        <f t="array" ref="T75">IFERROR(_xlfn.IFS(
   --S75&lt;55,"Battery Defect",
  -- S75&lt;=69,"Battery D",
  --S75&lt;=80,"Battery C",
 --S75&gt;80,""
),"")</f>
        <v/>
      </c>
      <c r="U75" s="13" t="str" cm="1">
        <f t="array" ref="U75:Z75">IFERROR(IF(_xlfn.XLOOKUP(B75,Input!J:J,Input!N:S)=0,"",
          _xlfn.XLOOKUP(B75,Input!J:J,Input!N:S)),"")</f>
        <v/>
      </c>
      <c r="V75" s="13" t="str">
        <v/>
      </c>
      <c r="W75" s="13" t="str">
        <v/>
      </c>
      <c r="X75" s="13" t="str">
        <v/>
      </c>
      <c r="Y75" s="13" t="str">
        <v/>
      </c>
      <c r="Z75" s="13" t="str">
        <v/>
      </c>
      <c r="AA75" t="str">
        <f t="shared" si="5"/>
        <v/>
      </c>
      <c r="AB75" t="str">
        <f>_xlfn.XLOOKUP(B:B,Disk_Pivot!G:G,Disk_Pivot!I:I)</f>
        <v>No</v>
      </c>
      <c r="AC75" t="str">
        <f>_xlfn.XLOOKUP(B75,Disk_Pivot!G:G,Disk_Pivot!N:N)</f>
        <v/>
      </c>
    </row>
    <row r="76" spans="1:29">
      <c r="A76" t="str">
        <f>_xlfn.TEXTJOIN("",TRUE,_xlfn.XLOOKUP(B76,Input!J:J,Input!G:G,"",0,1),_xlfn.XLOOKUP(B76,Input!J:J,Input!H:H,"",0,1))</f>
        <v/>
      </c>
      <c r="C76" s="13">
        <f>_xlfn.XLOOKUP(B76,Input!J:J,Input!F:F)</f>
        <v>0</v>
      </c>
      <c r="D76">
        <f>_xlfn.XLOOKUP(C76,Models!H:H,Models!G:G,C76)</f>
        <v>0</v>
      </c>
      <c r="F76" t="str">
        <f>_xlfn.XLOOKUP(H76,Models!B:B,Models!F:F,"")</f>
        <v/>
      </c>
      <c r="G76">
        <f>_xlfn.XLOOKUP(B76,Input!J:J,Input!E:E)</f>
        <v>0</v>
      </c>
      <c r="H76">
        <f>IF(G76="LENOVO",_xlfn.XLOOKUP(B76,Input!J:J,Input!K:K),_xlfn.XLOOKUP(B76,Input!J:J,Input!L:L))</f>
        <v>0</v>
      </c>
      <c r="K76">
        <f>_xlfn.XLOOKUP(B76,CPU_Formula!A:A,CPU_Formula!I:I)</f>
        <v>0</v>
      </c>
      <c r="L76" s="13" t="e">
        <f>INDEX(Input!$D$2:$AD$500,
       MATCH(B76, Input!$J$2:$J$500, 0),
       MATCH("Memory Capacity", Input!$D$1:$AD$1, 0))</f>
        <v>#N/A</v>
      </c>
      <c r="M76" s="13" t="e">
        <f>INDEX(Input!$D$2:$AD$500,
       MATCH(B76, Input!$J$2:$J$500, 0),
       MATCH("Memory Type", Input!$D$1:$AD$1, 0))</f>
        <v>#N/A</v>
      </c>
      <c r="N76" s="13" t="e">
        <f t="shared" si="3"/>
        <v>#N/A</v>
      </c>
      <c r="O76" s="13" t="str" cm="1">
        <f t="array" ref="O76">IFERROR(_xlfn.FILTERXML("&lt;t&gt;&lt;s&gt;" &amp; SUBSTITUTE(M76," / ","&lt;/s&gt;&lt;s&gt;") &amp; "&lt;/s&gt;&lt;/t&gt;","(//s[contains(.,'DDR')])[1]"),"")</f>
        <v/>
      </c>
      <c r="P76" t="e">
        <f t="shared" si="4"/>
        <v>#N/A</v>
      </c>
      <c r="Q76" t="str" cm="1">
        <f t="array" ref="Q76">_xlfn.TEXTJOIN(", ", TRUE, _xlfn._xlws.FILTER(Input!W:W, Input!J:J=B76))</f>
        <v/>
      </c>
      <c r="S76" s="13" t="str">
        <f>_xlfn.LET(_xlpm.Result,_xlfn.XLOOKUP(B76,Input!J:J,Input!AB:AB),IF(_xlpm.Result="","",_xlpm.Result))</f>
        <v/>
      </c>
      <c r="T76" s="13" t="str" cm="1">
        <f t="array" ref="T76">IFERROR(_xlfn.IFS(
   --S76&lt;55,"Battery Defect",
  -- S76&lt;=69,"Battery D",
  --S76&lt;=80,"Battery C",
 --S76&gt;80,""
),"")</f>
        <v/>
      </c>
      <c r="U76" s="13" t="str" cm="1">
        <f t="array" ref="U76:Z76">IFERROR(IF(_xlfn.XLOOKUP(B76,Input!J:J,Input!N:S)=0,"",
          _xlfn.XLOOKUP(B76,Input!J:J,Input!N:S)),"")</f>
        <v/>
      </c>
      <c r="V76" s="13" t="str">
        <v/>
      </c>
      <c r="W76" s="13" t="str">
        <v/>
      </c>
      <c r="X76" s="13" t="str">
        <v/>
      </c>
      <c r="Y76" s="13" t="str">
        <v/>
      </c>
      <c r="Z76" s="13" t="str">
        <v/>
      </c>
      <c r="AA76" t="str">
        <f t="shared" si="5"/>
        <v/>
      </c>
      <c r="AB76" t="str">
        <f>_xlfn.XLOOKUP(B:B,Disk_Pivot!G:G,Disk_Pivot!I:I)</f>
        <v>No</v>
      </c>
      <c r="AC76" t="str">
        <f>_xlfn.XLOOKUP(B76,Disk_Pivot!G:G,Disk_Pivot!N:N)</f>
        <v/>
      </c>
    </row>
    <row r="77" spans="1:29">
      <c r="A77" t="str">
        <f>_xlfn.TEXTJOIN("",TRUE,_xlfn.XLOOKUP(B77,Input!J:J,Input!G:G,"",0,1),_xlfn.XLOOKUP(B77,Input!J:J,Input!H:H,"",0,1))</f>
        <v/>
      </c>
      <c r="C77" s="13">
        <f>_xlfn.XLOOKUP(B77,Input!J:J,Input!F:F)</f>
        <v>0</v>
      </c>
      <c r="D77">
        <f>_xlfn.XLOOKUP(C77,Models!H:H,Models!G:G,C77)</f>
        <v>0</v>
      </c>
      <c r="F77" t="str">
        <f>_xlfn.XLOOKUP(H77,Models!B:B,Models!F:F,"")</f>
        <v/>
      </c>
      <c r="G77">
        <f>_xlfn.XLOOKUP(B77,Input!J:J,Input!E:E)</f>
        <v>0</v>
      </c>
      <c r="H77">
        <f>IF(G77="LENOVO",_xlfn.XLOOKUP(B77,Input!J:J,Input!K:K),_xlfn.XLOOKUP(B77,Input!J:J,Input!L:L))</f>
        <v>0</v>
      </c>
      <c r="K77">
        <f>_xlfn.XLOOKUP(B77,CPU_Formula!A:A,CPU_Formula!I:I)</f>
        <v>0</v>
      </c>
      <c r="L77" s="13" t="e">
        <f>INDEX(Input!$D$2:$AD$500,
       MATCH(B77, Input!$J$2:$J$500, 0),
       MATCH("Memory Capacity", Input!$D$1:$AD$1, 0))</f>
        <v>#N/A</v>
      </c>
      <c r="M77" s="13" t="e">
        <f>INDEX(Input!$D$2:$AD$500,
       MATCH(B77, Input!$J$2:$J$500, 0),
       MATCH("Memory Type", Input!$D$1:$AD$1, 0))</f>
        <v>#N/A</v>
      </c>
      <c r="N77" s="13" t="e">
        <f t="shared" si="3"/>
        <v>#N/A</v>
      </c>
      <c r="O77" s="13" t="str" cm="1">
        <f t="array" ref="O77">IFERROR(_xlfn.FILTERXML("&lt;t&gt;&lt;s&gt;" &amp; SUBSTITUTE(M77," / ","&lt;/s&gt;&lt;s&gt;") &amp; "&lt;/s&gt;&lt;/t&gt;","(//s[contains(.,'DDR')])[1]"),"")</f>
        <v/>
      </c>
      <c r="P77" t="e">
        <f t="shared" si="4"/>
        <v>#N/A</v>
      </c>
      <c r="Q77" t="str" cm="1">
        <f t="array" ref="Q77">_xlfn.TEXTJOIN(", ", TRUE, _xlfn._xlws.FILTER(Input!W:W, Input!J:J=B77))</f>
        <v/>
      </c>
      <c r="S77" s="13" t="str">
        <f>_xlfn.LET(_xlpm.Result,_xlfn.XLOOKUP(B77,Input!J:J,Input!AB:AB),IF(_xlpm.Result="","",_xlpm.Result))</f>
        <v/>
      </c>
      <c r="T77" s="13" t="str" cm="1">
        <f t="array" ref="T77">IFERROR(_xlfn.IFS(
   --S77&lt;55,"Battery Defect",
  -- S77&lt;=69,"Battery D",
  --S77&lt;=80,"Battery C",
 --S77&gt;80,""
),"")</f>
        <v/>
      </c>
      <c r="U77" s="13" t="str" cm="1">
        <f t="array" ref="U77:Z77">IFERROR(IF(_xlfn.XLOOKUP(B77,Input!J:J,Input!N:S)=0,"",
          _xlfn.XLOOKUP(B77,Input!J:J,Input!N:S)),"")</f>
        <v/>
      </c>
      <c r="V77" s="13" t="str">
        <v/>
      </c>
      <c r="W77" s="13" t="str">
        <v/>
      </c>
      <c r="X77" s="13" t="str">
        <v/>
      </c>
      <c r="Y77" s="13" t="str">
        <v/>
      </c>
      <c r="Z77" s="13" t="str">
        <v/>
      </c>
      <c r="AA77" t="str">
        <f t="shared" si="5"/>
        <v/>
      </c>
      <c r="AB77" t="str">
        <f>_xlfn.XLOOKUP(B:B,Disk_Pivot!G:G,Disk_Pivot!I:I)</f>
        <v>No</v>
      </c>
      <c r="AC77" t="str">
        <f>_xlfn.XLOOKUP(B77,Disk_Pivot!G:G,Disk_Pivot!N:N)</f>
        <v/>
      </c>
    </row>
    <row r="78" spans="1:29">
      <c r="A78" t="str">
        <f>_xlfn.TEXTJOIN("",TRUE,_xlfn.XLOOKUP(B78,Input!J:J,Input!G:G,"",0,1),_xlfn.XLOOKUP(B78,Input!J:J,Input!H:H,"",0,1))</f>
        <v/>
      </c>
      <c r="C78" s="13">
        <f>_xlfn.XLOOKUP(B78,Input!J:J,Input!F:F)</f>
        <v>0</v>
      </c>
      <c r="D78">
        <f>_xlfn.XLOOKUP(C78,Models!H:H,Models!G:G,C78)</f>
        <v>0</v>
      </c>
      <c r="F78" t="str">
        <f>_xlfn.XLOOKUP(H78,Models!B:B,Models!F:F,"")</f>
        <v/>
      </c>
      <c r="G78">
        <f>_xlfn.XLOOKUP(B78,Input!J:J,Input!E:E)</f>
        <v>0</v>
      </c>
      <c r="H78">
        <f>IF(G78="LENOVO",_xlfn.XLOOKUP(B78,Input!J:J,Input!K:K),_xlfn.XLOOKUP(B78,Input!J:J,Input!L:L))</f>
        <v>0</v>
      </c>
      <c r="K78">
        <f>_xlfn.XLOOKUP(B78,CPU_Formula!A:A,CPU_Formula!I:I)</f>
        <v>0</v>
      </c>
      <c r="L78" s="13" t="e">
        <f>INDEX(Input!$D$2:$AD$500,
       MATCH(B78, Input!$J$2:$J$500, 0),
       MATCH("Memory Capacity", Input!$D$1:$AD$1, 0))</f>
        <v>#N/A</v>
      </c>
      <c r="M78" s="13" t="e">
        <f>INDEX(Input!$D$2:$AD$500,
       MATCH(B78, Input!$J$2:$J$500, 0),
       MATCH("Memory Type", Input!$D$1:$AD$1, 0))</f>
        <v>#N/A</v>
      </c>
      <c r="N78" s="13" t="e">
        <f t="shared" si="3"/>
        <v>#N/A</v>
      </c>
      <c r="O78" s="13" t="str" cm="1">
        <f t="array" ref="O78">IFERROR(_xlfn.FILTERXML("&lt;t&gt;&lt;s&gt;" &amp; SUBSTITUTE(M78," / ","&lt;/s&gt;&lt;s&gt;") &amp; "&lt;/s&gt;&lt;/t&gt;","(//s[contains(.,'DDR')])[1]"),"")</f>
        <v/>
      </c>
      <c r="P78" t="e">
        <f t="shared" si="4"/>
        <v>#N/A</v>
      </c>
      <c r="Q78" t="str" cm="1">
        <f t="array" ref="Q78">_xlfn.TEXTJOIN(", ", TRUE, _xlfn._xlws.FILTER(Input!W:W, Input!J:J=B78))</f>
        <v/>
      </c>
      <c r="S78" s="13" t="str">
        <f>_xlfn.LET(_xlpm.Result,_xlfn.XLOOKUP(B78,Input!J:J,Input!AB:AB),IF(_xlpm.Result="","",_xlpm.Result))</f>
        <v/>
      </c>
      <c r="T78" s="13" t="str" cm="1">
        <f t="array" ref="T78">IFERROR(_xlfn.IFS(
   --S78&lt;55,"Battery Defect",
  -- S78&lt;=69,"Battery D",
  --S78&lt;=80,"Battery C",
 --S78&gt;80,""
),"")</f>
        <v/>
      </c>
      <c r="U78" s="13" t="str" cm="1">
        <f t="array" ref="U78:Z78">IFERROR(IF(_xlfn.XLOOKUP(B78,Input!J:J,Input!N:S)=0,"",
          _xlfn.XLOOKUP(B78,Input!J:J,Input!N:S)),"")</f>
        <v/>
      </c>
      <c r="V78" s="13" t="str">
        <v/>
      </c>
      <c r="W78" s="13" t="str">
        <v/>
      </c>
      <c r="X78" s="13" t="str">
        <v/>
      </c>
      <c r="Y78" s="13" t="str">
        <v/>
      </c>
      <c r="Z78" s="13" t="str">
        <v/>
      </c>
      <c r="AA78" t="str">
        <f t="shared" si="5"/>
        <v/>
      </c>
      <c r="AB78" t="str">
        <f>_xlfn.XLOOKUP(B:B,Disk_Pivot!G:G,Disk_Pivot!I:I)</f>
        <v>No</v>
      </c>
      <c r="AC78" t="str">
        <f>_xlfn.XLOOKUP(B78,Disk_Pivot!G:G,Disk_Pivot!N:N)</f>
        <v/>
      </c>
    </row>
    <row r="79" spans="1:29">
      <c r="A79" t="str">
        <f>_xlfn.TEXTJOIN("",TRUE,_xlfn.XLOOKUP(B79,Input!J:J,Input!G:G,"",0,1),_xlfn.XLOOKUP(B79,Input!J:J,Input!H:H,"",0,1))</f>
        <v/>
      </c>
      <c r="C79" s="13">
        <f>_xlfn.XLOOKUP(B79,Input!J:J,Input!F:F)</f>
        <v>0</v>
      </c>
      <c r="D79">
        <f>_xlfn.XLOOKUP(C79,Models!H:H,Models!G:G,C79)</f>
        <v>0</v>
      </c>
      <c r="F79" t="str">
        <f>_xlfn.XLOOKUP(H79,Models!B:B,Models!F:F,"")</f>
        <v/>
      </c>
      <c r="G79">
        <f>_xlfn.XLOOKUP(B79,Input!J:J,Input!E:E)</f>
        <v>0</v>
      </c>
      <c r="H79">
        <f>IF(G79="LENOVO",_xlfn.XLOOKUP(B79,Input!J:J,Input!K:K),_xlfn.XLOOKUP(B79,Input!J:J,Input!L:L))</f>
        <v>0</v>
      </c>
      <c r="K79">
        <f>_xlfn.XLOOKUP(B79,CPU_Formula!A:A,CPU_Formula!I:I)</f>
        <v>0</v>
      </c>
      <c r="L79" s="13" t="e">
        <f>INDEX(Input!$D$2:$AD$500,
       MATCH(B79, Input!$J$2:$J$500, 0),
       MATCH("Memory Capacity", Input!$D$1:$AD$1, 0))</f>
        <v>#N/A</v>
      </c>
      <c r="M79" s="13" t="e">
        <f>INDEX(Input!$D$2:$AD$500,
       MATCH(B79, Input!$J$2:$J$500, 0),
       MATCH("Memory Type", Input!$D$1:$AD$1, 0))</f>
        <v>#N/A</v>
      </c>
      <c r="N79" s="13" t="e">
        <f t="shared" si="3"/>
        <v>#N/A</v>
      </c>
      <c r="O79" s="13" t="str" cm="1">
        <f t="array" ref="O79">IFERROR(_xlfn.FILTERXML("&lt;t&gt;&lt;s&gt;" &amp; SUBSTITUTE(M79," / ","&lt;/s&gt;&lt;s&gt;") &amp; "&lt;/s&gt;&lt;/t&gt;","(//s[contains(.,'DDR')])[1]"),"")</f>
        <v/>
      </c>
      <c r="P79" t="e">
        <f t="shared" si="4"/>
        <v>#N/A</v>
      </c>
      <c r="Q79" t="str" cm="1">
        <f t="array" ref="Q79">_xlfn.TEXTJOIN(", ", TRUE, _xlfn._xlws.FILTER(Input!W:W, Input!J:J=B79))</f>
        <v/>
      </c>
      <c r="S79" s="13" t="str">
        <f>_xlfn.LET(_xlpm.Result,_xlfn.XLOOKUP(B79,Input!J:J,Input!AB:AB),IF(_xlpm.Result="","",_xlpm.Result))</f>
        <v/>
      </c>
      <c r="T79" s="13" t="str" cm="1">
        <f t="array" ref="T79">IFERROR(_xlfn.IFS(
   --S79&lt;55,"Battery Defect",
  -- S79&lt;=69,"Battery D",
  --S79&lt;=80,"Battery C",
 --S79&gt;80,""
),"")</f>
        <v/>
      </c>
      <c r="U79" s="13" t="str" cm="1">
        <f t="array" ref="U79:Z79">IFERROR(IF(_xlfn.XLOOKUP(B79,Input!J:J,Input!N:S)=0,"",
          _xlfn.XLOOKUP(B79,Input!J:J,Input!N:S)),"")</f>
        <v/>
      </c>
      <c r="V79" s="13" t="str">
        <v/>
      </c>
      <c r="W79" s="13" t="str">
        <v/>
      </c>
      <c r="X79" s="13" t="str">
        <v/>
      </c>
      <c r="Y79" s="13" t="str">
        <v/>
      </c>
      <c r="Z79" s="13" t="str">
        <v/>
      </c>
      <c r="AA79" t="str">
        <f t="shared" si="5"/>
        <v/>
      </c>
      <c r="AB79" t="str">
        <f>_xlfn.XLOOKUP(B:B,Disk_Pivot!G:G,Disk_Pivot!I:I)</f>
        <v>No</v>
      </c>
      <c r="AC79" t="str">
        <f>_xlfn.XLOOKUP(B79,Disk_Pivot!G:G,Disk_Pivot!N:N)</f>
        <v/>
      </c>
    </row>
    <row r="80" spans="1:29">
      <c r="A80" t="str">
        <f>_xlfn.TEXTJOIN("",TRUE,_xlfn.XLOOKUP(B80,Input!J:J,Input!G:G,"",0,1),_xlfn.XLOOKUP(B80,Input!J:J,Input!H:H,"",0,1))</f>
        <v/>
      </c>
      <c r="C80" s="13">
        <f>_xlfn.XLOOKUP(B80,Input!J:J,Input!F:F)</f>
        <v>0</v>
      </c>
      <c r="D80">
        <f>_xlfn.XLOOKUP(C80,Models!H:H,Models!G:G,C80)</f>
        <v>0</v>
      </c>
      <c r="F80" t="str">
        <f>_xlfn.XLOOKUP(H80,Models!B:B,Models!F:F,"")</f>
        <v/>
      </c>
      <c r="G80">
        <f>_xlfn.XLOOKUP(B80,Input!J:J,Input!E:E)</f>
        <v>0</v>
      </c>
      <c r="H80">
        <f>IF(G80="LENOVO",_xlfn.XLOOKUP(B80,Input!J:J,Input!K:K),_xlfn.XLOOKUP(B80,Input!J:J,Input!L:L))</f>
        <v>0</v>
      </c>
      <c r="K80">
        <f>_xlfn.XLOOKUP(B80,CPU_Formula!A:A,CPU_Formula!I:I)</f>
        <v>0</v>
      </c>
      <c r="L80" s="13" t="e">
        <f>INDEX(Input!$D$2:$AD$500,
       MATCH(B80, Input!$J$2:$J$500, 0),
       MATCH("Memory Capacity", Input!$D$1:$AD$1, 0))</f>
        <v>#N/A</v>
      </c>
      <c r="M80" s="13" t="e">
        <f>INDEX(Input!$D$2:$AD$500,
       MATCH(B80, Input!$J$2:$J$500, 0),
       MATCH("Memory Type", Input!$D$1:$AD$1, 0))</f>
        <v>#N/A</v>
      </c>
      <c r="N80" s="13" t="e">
        <f t="shared" si="3"/>
        <v>#N/A</v>
      </c>
      <c r="O80" s="13" t="str" cm="1">
        <f t="array" ref="O80">IFERROR(_xlfn.FILTERXML("&lt;t&gt;&lt;s&gt;" &amp; SUBSTITUTE(M80," / ","&lt;/s&gt;&lt;s&gt;") &amp; "&lt;/s&gt;&lt;/t&gt;","(//s[contains(.,'DDR')])[1]"),"")</f>
        <v/>
      </c>
      <c r="P80" t="e">
        <f t="shared" si="4"/>
        <v>#N/A</v>
      </c>
      <c r="Q80" t="str" cm="1">
        <f t="array" ref="Q80">_xlfn.TEXTJOIN(", ", TRUE, _xlfn._xlws.FILTER(Input!W:W, Input!J:J=B80))</f>
        <v/>
      </c>
      <c r="S80" s="13" t="str">
        <f>_xlfn.LET(_xlpm.Result,_xlfn.XLOOKUP(B80,Input!J:J,Input!AB:AB),IF(_xlpm.Result="","",_xlpm.Result))</f>
        <v/>
      </c>
      <c r="T80" s="13" t="str" cm="1">
        <f t="array" ref="T80">IFERROR(_xlfn.IFS(
   --S80&lt;55,"Battery Defect",
  -- S80&lt;=69,"Battery D",
  --S80&lt;=80,"Battery C",
 --S80&gt;80,""
),"")</f>
        <v/>
      </c>
      <c r="U80" s="13" t="str" cm="1">
        <f t="array" ref="U80:Z80">IFERROR(IF(_xlfn.XLOOKUP(B80,Input!J:J,Input!N:S)=0,"",
          _xlfn.XLOOKUP(B80,Input!J:J,Input!N:S)),"")</f>
        <v/>
      </c>
      <c r="V80" s="13" t="str">
        <v/>
      </c>
      <c r="W80" s="13" t="str">
        <v/>
      </c>
      <c r="X80" s="13" t="str">
        <v/>
      </c>
      <c r="Y80" s="13" t="str">
        <v/>
      </c>
      <c r="Z80" s="13" t="str">
        <v/>
      </c>
      <c r="AA80" t="str">
        <f t="shared" si="5"/>
        <v/>
      </c>
      <c r="AB80" t="str">
        <f>_xlfn.XLOOKUP(B:B,Disk_Pivot!G:G,Disk_Pivot!I:I)</f>
        <v>No</v>
      </c>
      <c r="AC80" t="str">
        <f>_xlfn.XLOOKUP(B80,Disk_Pivot!G:G,Disk_Pivot!N:N)</f>
        <v/>
      </c>
    </row>
    <row r="81" spans="1:29">
      <c r="A81" t="str">
        <f>_xlfn.TEXTJOIN("",TRUE,_xlfn.XLOOKUP(B81,Input!J:J,Input!G:G,"",0,1),_xlfn.XLOOKUP(B81,Input!J:J,Input!H:H,"",0,1))</f>
        <v/>
      </c>
      <c r="C81" s="13">
        <f>_xlfn.XLOOKUP(B81,Input!J:J,Input!F:F)</f>
        <v>0</v>
      </c>
      <c r="D81">
        <f>_xlfn.XLOOKUP(C81,Models!H:H,Models!G:G,C81)</f>
        <v>0</v>
      </c>
      <c r="F81" t="str">
        <f>_xlfn.XLOOKUP(H81,Models!B:B,Models!F:F,"")</f>
        <v/>
      </c>
      <c r="G81">
        <f>_xlfn.XLOOKUP(B81,Input!J:J,Input!E:E)</f>
        <v>0</v>
      </c>
      <c r="H81">
        <f>IF(G81="LENOVO",_xlfn.XLOOKUP(B81,Input!J:J,Input!K:K),_xlfn.XLOOKUP(B81,Input!J:J,Input!L:L))</f>
        <v>0</v>
      </c>
      <c r="K81">
        <f>_xlfn.XLOOKUP(B81,CPU_Formula!A:A,CPU_Formula!I:I)</f>
        <v>0</v>
      </c>
      <c r="L81" s="13" t="e">
        <f>INDEX(Input!$D$2:$AD$500,
       MATCH(B81, Input!$J$2:$J$500, 0),
       MATCH("Memory Capacity", Input!$D$1:$AD$1, 0))</f>
        <v>#N/A</v>
      </c>
      <c r="M81" s="13" t="e">
        <f>INDEX(Input!$D$2:$AD$500,
       MATCH(B81, Input!$J$2:$J$500, 0),
       MATCH("Memory Type", Input!$D$1:$AD$1, 0))</f>
        <v>#N/A</v>
      </c>
      <c r="N81" s="13" t="e">
        <f t="shared" si="3"/>
        <v>#N/A</v>
      </c>
      <c r="O81" s="13" t="str" cm="1">
        <f t="array" ref="O81">IFERROR(_xlfn.FILTERXML("&lt;t&gt;&lt;s&gt;" &amp; SUBSTITUTE(M81," / ","&lt;/s&gt;&lt;s&gt;") &amp; "&lt;/s&gt;&lt;/t&gt;","(//s[contains(.,'DDR')])[1]"),"")</f>
        <v/>
      </c>
      <c r="P81" t="e">
        <f t="shared" si="4"/>
        <v>#N/A</v>
      </c>
      <c r="Q81" t="str" cm="1">
        <f t="array" ref="Q81">_xlfn.TEXTJOIN(", ", TRUE, _xlfn._xlws.FILTER(Input!W:W, Input!J:J=B81))</f>
        <v/>
      </c>
      <c r="S81" s="13" t="str">
        <f>_xlfn.LET(_xlpm.Result,_xlfn.XLOOKUP(B81,Input!J:J,Input!AB:AB),IF(_xlpm.Result="","",_xlpm.Result))</f>
        <v/>
      </c>
      <c r="T81" s="13" t="str" cm="1">
        <f t="array" ref="T81">IFERROR(_xlfn.IFS(
   --S81&lt;55,"Battery Defect",
  -- S81&lt;=69,"Battery D",
  --S81&lt;=80,"Battery C",
 --S81&gt;80,""
),"")</f>
        <v/>
      </c>
      <c r="U81" s="13" t="str" cm="1">
        <f t="array" ref="U81:Z81">IFERROR(IF(_xlfn.XLOOKUP(B81,Input!J:J,Input!N:S)=0,"",
          _xlfn.XLOOKUP(B81,Input!J:J,Input!N:S)),"")</f>
        <v/>
      </c>
      <c r="V81" s="13" t="str">
        <v/>
      </c>
      <c r="W81" s="13" t="str">
        <v/>
      </c>
      <c r="X81" s="13" t="str">
        <v/>
      </c>
      <c r="Y81" s="13" t="str">
        <v/>
      </c>
      <c r="Z81" s="13" t="str">
        <v/>
      </c>
      <c r="AA81" t="str">
        <f t="shared" si="5"/>
        <v/>
      </c>
      <c r="AB81" t="str">
        <f>_xlfn.XLOOKUP(B:B,Disk_Pivot!G:G,Disk_Pivot!I:I)</f>
        <v>No</v>
      </c>
      <c r="AC81" t="str">
        <f>_xlfn.XLOOKUP(B81,Disk_Pivot!G:G,Disk_Pivot!N:N)</f>
        <v/>
      </c>
    </row>
    <row r="82" spans="1:29">
      <c r="A82" t="str">
        <f>_xlfn.TEXTJOIN("",TRUE,_xlfn.XLOOKUP(B82,Input!J:J,Input!G:G,"",0,1),_xlfn.XLOOKUP(B82,Input!J:J,Input!H:H,"",0,1))</f>
        <v/>
      </c>
      <c r="C82" s="13">
        <f>_xlfn.XLOOKUP(B82,Input!J:J,Input!F:F)</f>
        <v>0</v>
      </c>
      <c r="D82">
        <f>_xlfn.XLOOKUP(C82,Models!H:H,Models!G:G,C82)</f>
        <v>0</v>
      </c>
      <c r="F82" t="str">
        <f>_xlfn.XLOOKUP(H82,Models!B:B,Models!F:F,"")</f>
        <v/>
      </c>
      <c r="G82">
        <f>_xlfn.XLOOKUP(B82,Input!J:J,Input!E:E)</f>
        <v>0</v>
      </c>
      <c r="H82">
        <f>IF(G82="LENOVO",_xlfn.XLOOKUP(B82,Input!J:J,Input!K:K),_xlfn.XLOOKUP(B82,Input!J:J,Input!L:L))</f>
        <v>0</v>
      </c>
      <c r="K82">
        <f>_xlfn.XLOOKUP(B82,CPU_Formula!A:A,CPU_Formula!I:I)</f>
        <v>0</v>
      </c>
      <c r="L82" s="13" t="e">
        <f>INDEX(Input!$D$2:$AD$500,
       MATCH(B82, Input!$J$2:$J$500, 0),
       MATCH("Memory Capacity", Input!$D$1:$AD$1, 0))</f>
        <v>#N/A</v>
      </c>
      <c r="M82" s="13" t="e">
        <f>INDEX(Input!$D$2:$AD$500,
       MATCH(B82, Input!$J$2:$J$500, 0),
       MATCH("Memory Type", Input!$D$1:$AD$1, 0))</f>
        <v>#N/A</v>
      </c>
      <c r="N82" s="13" t="e">
        <f t="shared" si="3"/>
        <v>#N/A</v>
      </c>
      <c r="O82" s="13" t="str" cm="1">
        <f t="array" ref="O82">IFERROR(_xlfn.FILTERXML("&lt;t&gt;&lt;s&gt;" &amp; SUBSTITUTE(M82," / ","&lt;/s&gt;&lt;s&gt;") &amp; "&lt;/s&gt;&lt;/t&gt;","(//s[contains(.,'DDR')])[1]"),"")</f>
        <v/>
      </c>
      <c r="P82" t="e">
        <f t="shared" si="4"/>
        <v>#N/A</v>
      </c>
      <c r="Q82" t="str" cm="1">
        <f t="array" ref="Q82">_xlfn.TEXTJOIN(", ", TRUE, _xlfn._xlws.FILTER(Input!W:W, Input!J:J=B82))</f>
        <v/>
      </c>
      <c r="S82" s="13" t="str">
        <f>_xlfn.LET(_xlpm.Result,_xlfn.XLOOKUP(B82,Input!J:J,Input!AB:AB),IF(_xlpm.Result="","",_xlpm.Result))</f>
        <v/>
      </c>
      <c r="T82" s="13" t="str" cm="1">
        <f t="array" ref="T82">IFERROR(_xlfn.IFS(
   --S82&lt;55,"Battery Defect",
  -- S82&lt;=69,"Battery D",
  --S82&lt;=80,"Battery C",
 --S82&gt;80,""
),"")</f>
        <v/>
      </c>
      <c r="U82" s="13" t="str" cm="1">
        <f t="array" ref="U82:Z82">IFERROR(IF(_xlfn.XLOOKUP(B82,Input!J:J,Input!N:S)=0,"",
          _xlfn.XLOOKUP(B82,Input!J:J,Input!N:S)),"")</f>
        <v/>
      </c>
      <c r="V82" s="13" t="str">
        <v/>
      </c>
      <c r="W82" s="13" t="str">
        <v/>
      </c>
      <c r="X82" s="13" t="str">
        <v/>
      </c>
      <c r="Y82" s="13" t="str">
        <v/>
      </c>
      <c r="Z82" s="13" t="str">
        <v/>
      </c>
      <c r="AA82" t="str">
        <f t="shared" si="5"/>
        <v/>
      </c>
      <c r="AB82" t="str">
        <f>_xlfn.XLOOKUP(B:B,Disk_Pivot!G:G,Disk_Pivot!I:I)</f>
        <v>No</v>
      </c>
      <c r="AC82" t="str">
        <f>_xlfn.XLOOKUP(B82,Disk_Pivot!G:G,Disk_Pivot!N:N)</f>
        <v/>
      </c>
    </row>
    <row r="83" spans="1:29">
      <c r="A83" t="str">
        <f>_xlfn.TEXTJOIN("",TRUE,_xlfn.XLOOKUP(B83,Input!J:J,Input!G:G,"",0,1),_xlfn.XLOOKUP(B83,Input!J:J,Input!H:H,"",0,1))</f>
        <v/>
      </c>
      <c r="C83" s="13">
        <f>_xlfn.XLOOKUP(B83,Input!J:J,Input!F:F)</f>
        <v>0</v>
      </c>
      <c r="D83">
        <f>_xlfn.XLOOKUP(C83,Models!H:H,Models!G:G,C83)</f>
        <v>0</v>
      </c>
      <c r="F83" t="str">
        <f>_xlfn.XLOOKUP(H83,Models!B:B,Models!F:F,"")</f>
        <v/>
      </c>
      <c r="G83">
        <f>_xlfn.XLOOKUP(B83,Input!J:J,Input!E:E)</f>
        <v>0</v>
      </c>
      <c r="H83">
        <f>IF(G83="LENOVO",_xlfn.XLOOKUP(B83,Input!J:J,Input!K:K),_xlfn.XLOOKUP(B83,Input!J:J,Input!L:L))</f>
        <v>0</v>
      </c>
      <c r="K83">
        <f>_xlfn.XLOOKUP(B83,CPU_Formula!A:A,CPU_Formula!I:I)</f>
        <v>0</v>
      </c>
      <c r="L83" s="13" t="e">
        <f>INDEX(Input!$D$2:$AD$500,
       MATCH(B83, Input!$J$2:$J$500, 0),
       MATCH("Memory Capacity", Input!$D$1:$AD$1, 0))</f>
        <v>#N/A</v>
      </c>
      <c r="M83" s="13" t="e">
        <f>INDEX(Input!$D$2:$AD$500,
       MATCH(B83, Input!$J$2:$J$500, 0),
       MATCH("Memory Type", Input!$D$1:$AD$1, 0))</f>
        <v>#N/A</v>
      </c>
      <c r="N83" s="13" t="e">
        <f t="shared" si="3"/>
        <v>#N/A</v>
      </c>
      <c r="O83" s="13" t="str" cm="1">
        <f t="array" ref="O83">IFERROR(_xlfn.FILTERXML("&lt;t&gt;&lt;s&gt;" &amp; SUBSTITUTE(M83," / ","&lt;/s&gt;&lt;s&gt;") &amp; "&lt;/s&gt;&lt;/t&gt;","(//s[contains(.,'DDR')])[1]"),"")</f>
        <v/>
      </c>
      <c r="P83" t="e">
        <f t="shared" si="4"/>
        <v>#N/A</v>
      </c>
      <c r="Q83" t="str" cm="1">
        <f t="array" ref="Q83">_xlfn.TEXTJOIN(", ", TRUE, _xlfn._xlws.FILTER(Input!W:W, Input!J:J=B83))</f>
        <v/>
      </c>
      <c r="S83" s="13" t="str">
        <f>_xlfn.LET(_xlpm.Result,_xlfn.XLOOKUP(B83,Input!J:J,Input!AB:AB),IF(_xlpm.Result="","",_xlpm.Result))</f>
        <v/>
      </c>
      <c r="T83" s="13" t="str" cm="1">
        <f t="array" ref="T83">IFERROR(_xlfn.IFS(
   --S83&lt;55,"Battery Defect",
  -- S83&lt;=69,"Battery D",
  --S83&lt;=80,"Battery C",
 --S83&gt;80,""
),"")</f>
        <v/>
      </c>
      <c r="U83" s="13" t="str" cm="1">
        <f t="array" ref="U83:Z83">IFERROR(IF(_xlfn.XLOOKUP(B83,Input!J:J,Input!N:S)=0,"",
          _xlfn.XLOOKUP(B83,Input!J:J,Input!N:S)),"")</f>
        <v/>
      </c>
      <c r="V83" s="13" t="str">
        <v/>
      </c>
      <c r="W83" s="13" t="str">
        <v/>
      </c>
      <c r="X83" s="13" t="str">
        <v/>
      </c>
      <c r="Y83" s="13" t="str">
        <v/>
      </c>
      <c r="Z83" s="13" t="str">
        <v/>
      </c>
      <c r="AA83" t="str">
        <f t="shared" si="5"/>
        <v/>
      </c>
      <c r="AB83" t="str">
        <f>_xlfn.XLOOKUP(B:B,Disk_Pivot!G:G,Disk_Pivot!I:I)</f>
        <v>No</v>
      </c>
      <c r="AC83" t="str">
        <f>_xlfn.XLOOKUP(B83,Disk_Pivot!G:G,Disk_Pivot!N:N)</f>
        <v/>
      </c>
    </row>
    <row r="84" spans="1:29">
      <c r="A84" t="str">
        <f>_xlfn.TEXTJOIN("",TRUE,_xlfn.XLOOKUP(B84,Input!J:J,Input!G:G,"",0,1),_xlfn.XLOOKUP(B84,Input!J:J,Input!H:H,"",0,1))</f>
        <v/>
      </c>
      <c r="C84" s="13">
        <f>_xlfn.XLOOKUP(B84,Input!J:J,Input!F:F)</f>
        <v>0</v>
      </c>
      <c r="D84">
        <f>_xlfn.XLOOKUP(C84,Models!H:H,Models!G:G,C84)</f>
        <v>0</v>
      </c>
      <c r="F84" t="str">
        <f>_xlfn.XLOOKUP(H84,Models!B:B,Models!F:F,"")</f>
        <v/>
      </c>
      <c r="G84">
        <f>_xlfn.XLOOKUP(B84,Input!J:J,Input!E:E)</f>
        <v>0</v>
      </c>
      <c r="H84">
        <f>IF(G84="LENOVO",_xlfn.XLOOKUP(B84,Input!J:J,Input!K:K),_xlfn.XLOOKUP(B84,Input!J:J,Input!L:L))</f>
        <v>0</v>
      </c>
      <c r="K84">
        <f>_xlfn.XLOOKUP(B84,CPU_Formula!A:A,CPU_Formula!I:I)</f>
        <v>0</v>
      </c>
      <c r="L84" s="13" t="e">
        <f>INDEX(Input!$D$2:$AD$500,
       MATCH(B84, Input!$J$2:$J$500, 0),
       MATCH("Memory Capacity", Input!$D$1:$AD$1, 0))</f>
        <v>#N/A</v>
      </c>
      <c r="M84" s="13" t="e">
        <f>INDEX(Input!$D$2:$AD$500,
       MATCH(B84, Input!$J$2:$J$500, 0),
       MATCH("Memory Type", Input!$D$1:$AD$1, 0))</f>
        <v>#N/A</v>
      </c>
      <c r="N84" s="13" t="e">
        <f t="shared" si="3"/>
        <v>#N/A</v>
      </c>
      <c r="O84" s="13" t="str" cm="1">
        <f t="array" ref="O84">IFERROR(_xlfn.FILTERXML("&lt;t&gt;&lt;s&gt;" &amp; SUBSTITUTE(M84," / ","&lt;/s&gt;&lt;s&gt;") &amp; "&lt;/s&gt;&lt;/t&gt;","(//s[contains(.,'DDR')])[1]"),"")</f>
        <v/>
      </c>
      <c r="P84" t="e">
        <f t="shared" si="4"/>
        <v>#N/A</v>
      </c>
      <c r="Q84" t="str" cm="1">
        <f t="array" ref="Q84">_xlfn.TEXTJOIN(", ", TRUE, _xlfn._xlws.FILTER(Input!W:W, Input!J:J=B84))</f>
        <v/>
      </c>
      <c r="S84" s="13" t="str">
        <f>_xlfn.LET(_xlpm.Result,_xlfn.XLOOKUP(B84,Input!J:J,Input!AB:AB),IF(_xlpm.Result="","",_xlpm.Result))</f>
        <v/>
      </c>
      <c r="T84" s="13" t="str" cm="1">
        <f t="array" ref="T84">IFERROR(_xlfn.IFS(
   --S84&lt;55,"Battery Defect",
  -- S84&lt;=69,"Battery D",
  --S84&lt;=80,"Battery C",
 --S84&gt;80,""
),"")</f>
        <v/>
      </c>
      <c r="U84" s="13" t="str" cm="1">
        <f t="array" ref="U84:Z84">IFERROR(IF(_xlfn.XLOOKUP(B84,Input!J:J,Input!N:S)=0,"",
          _xlfn.XLOOKUP(B84,Input!J:J,Input!N:S)),"")</f>
        <v/>
      </c>
      <c r="V84" s="13" t="str">
        <v/>
      </c>
      <c r="W84" s="13" t="str">
        <v/>
      </c>
      <c r="X84" s="13" t="str">
        <v/>
      </c>
      <c r="Y84" s="13" t="str">
        <v/>
      </c>
      <c r="Z84" s="13" t="str">
        <v/>
      </c>
      <c r="AA84" t="str">
        <f t="shared" si="5"/>
        <v/>
      </c>
      <c r="AB84" t="str">
        <f>_xlfn.XLOOKUP(B:B,Disk_Pivot!G:G,Disk_Pivot!I:I)</f>
        <v>No</v>
      </c>
      <c r="AC84" t="str">
        <f>_xlfn.XLOOKUP(B84,Disk_Pivot!G:G,Disk_Pivot!N:N)</f>
        <v/>
      </c>
    </row>
    <row r="85" spans="1:29">
      <c r="A85" t="str">
        <f>_xlfn.TEXTJOIN("",TRUE,_xlfn.XLOOKUP(B85,Input!J:J,Input!G:G,"",0,1),_xlfn.XLOOKUP(B85,Input!J:J,Input!H:H,"",0,1))</f>
        <v/>
      </c>
      <c r="C85" s="13">
        <f>_xlfn.XLOOKUP(B85,Input!J:J,Input!F:F)</f>
        <v>0</v>
      </c>
      <c r="D85">
        <f>_xlfn.XLOOKUP(C85,Models!H:H,Models!G:G,C85)</f>
        <v>0</v>
      </c>
      <c r="F85" t="str">
        <f>_xlfn.XLOOKUP(H85,Models!B:B,Models!F:F,"")</f>
        <v/>
      </c>
      <c r="G85">
        <f>_xlfn.XLOOKUP(B85,Input!J:J,Input!E:E)</f>
        <v>0</v>
      </c>
      <c r="H85">
        <f>IF(G85="LENOVO",_xlfn.XLOOKUP(B85,Input!J:J,Input!K:K),_xlfn.XLOOKUP(B85,Input!J:J,Input!L:L))</f>
        <v>0</v>
      </c>
      <c r="K85">
        <f>_xlfn.XLOOKUP(B85,CPU_Formula!A:A,CPU_Formula!I:I)</f>
        <v>0</v>
      </c>
      <c r="L85" s="13" t="e">
        <f>INDEX(Input!$D$2:$AD$500,
       MATCH(B85, Input!$J$2:$J$500, 0),
       MATCH("Memory Capacity", Input!$D$1:$AD$1, 0))</f>
        <v>#N/A</v>
      </c>
      <c r="M85" s="13" t="e">
        <f>INDEX(Input!$D$2:$AD$500,
       MATCH(B85, Input!$J$2:$J$500, 0),
       MATCH("Memory Type", Input!$D$1:$AD$1, 0))</f>
        <v>#N/A</v>
      </c>
      <c r="N85" s="13" t="e">
        <f t="shared" si="3"/>
        <v>#N/A</v>
      </c>
      <c r="O85" s="13" t="str" cm="1">
        <f t="array" ref="O85">IFERROR(_xlfn.FILTERXML("&lt;t&gt;&lt;s&gt;" &amp; SUBSTITUTE(M85," / ","&lt;/s&gt;&lt;s&gt;") &amp; "&lt;/s&gt;&lt;/t&gt;","(//s[contains(.,'DDR')])[1]"),"")</f>
        <v/>
      </c>
      <c r="P85" t="e">
        <f t="shared" si="4"/>
        <v>#N/A</v>
      </c>
      <c r="Q85" t="str" cm="1">
        <f t="array" ref="Q85">_xlfn.TEXTJOIN(", ", TRUE, _xlfn._xlws.FILTER(Input!W:W, Input!J:J=B85))</f>
        <v/>
      </c>
      <c r="S85" s="13" t="str">
        <f>_xlfn.LET(_xlpm.Result,_xlfn.XLOOKUP(B85,Input!J:J,Input!AB:AB),IF(_xlpm.Result="","",_xlpm.Result))</f>
        <v/>
      </c>
      <c r="T85" s="13" t="str" cm="1">
        <f t="array" ref="T85">IFERROR(_xlfn.IFS(
   --S85&lt;55,"Battery Defect",
  -- S85&lt;=69,"Battery D",
  --S85&lt;=80,"Battery C",
 --S85&gt;80,""
),"")</f>
        <v/>
      </c>
      <c r="U85" s="13" t="str" cm="1">
        <f t="array" ref="U85:Z85">IFERROR(IF(_xlfn.XLOOKUP(B85,Input!J:J,Input!N:S)=0,"",
          _xlfn.XLOOKUP(B85,Input!J:J,Input!N:S)),"")</f>
        <v/>
      </c>
      <c r="V85" s="13" t="str">
        <v/>
      </c>
      <c r="W85" s="13" t="str">
        <v/>
      </c>
      <c r="X85" s="13" t="str">
        <v/>
      </c>
      <c r="Y85" s="13" t="str">
        <v/>
      </c>
      <c r="Z85" s="13" t="str">
        <v/>
      </c>
      <c r="AA85" t="str">
        <f t="shared" si="5"/>
        <v/>
      </c>
      <c r="AB85" t="str">
        <f>_xlfn.XLOOKUP(B:B,Disk_Pivot!G:G,Disk_Pivot!I:I)</f>
        <v>No</v>
      </c>
      <c r="AC85" t="str">
        <f>_xlfn.XLOOKUP(B85,Disk_Pivot!G:G,Disk_Pivot!N:N)</f>
        <v/>
      </c>
    </row>
    <row r="86" spans="1:29">
      <c r="A86" t="str">
        <f>_xlfn.TEXTJOIN("",TRUE,_xlfn.XLOOKUP(B86,Input!J:J,Input!G:G,"",0,1),_xlfn.XLOOKUP(B86,Input!J:J,Input!H:H,"",0,1))</f>
        <v/>
      </c>
      <c r="C86" s="13">
        <f>_xlfn.XLOOKUP(B86,Input!J:J,Input!F:F)</f>
        <v>0</v>
      </c>
      <c r="D86">
        <f>_xlfn.XLOOKUP(C86,Models!H:H,Models!G:G,C86)</f>
        <v>0</v>
      </c>
      <c r="F86" t="str">
        <f>_xlfn.XLOOKUP(H86,Models!B:B,Models!F:F,"")</f>
        <v/>
      </c>
      <c r="G86">
        <f>_xlfn.XLOOKUP(B86,Input!J:J,Input!E:E)</f>
        <v>0</v>
      </c>
      <c r="H86">
        <f>IF(G86="LENOVO",_xlfn.XLOOKUP(B86,Input!J:J,Input!K:K),_xlfn.XLOOKUP(B86,Input!J:J,Input!L:L))</f>
        <v>0</v>
      </c>
      <c r="K86">
        <f>_xlfn.XLOOKUP(B86,CPU_Formula!A:A,CPU_Formula!I:I)</f>
        <v>0</v>
      </c>
      <c r="L86" s="13" t="e">
        <f>INDEX(Input!$D$2:$AD$500,
       MATCH(B86, Input!$J$2:$J$500, 0),
       MATCH("Memory Capacity", Input!$D$1:$AD$1, 0))</f>
        <v>#N/A</v>
      </c>
      <c r="M86" s="13" t="e">
        <f>INDEX(Input!$D$2:$AD$500,
       MATCH(B86, Input!$J$2:$J$500, 0),
       MATCH("Memory Type", Input!$D$1:$AD$1, 0))</f>
        <v>#N/A</v>
      </c>
      <c r="N86" s="13" t="e">
        <f t="shared" si="3"/>
        <v>#N/A</v>
      </c>
      <c r="O86" s="13" t="str" cm="1">
        <f t="array" ref="O86">IFERROR(_xlfn.FILTERXML("&lt;t&gt;&lt;s&gt;" &amp; SUBSTITUTE(M86," / ","&lt;/s&gt;&lt;s&gt;") &amp; "&lt;/s&gt;&lt;/t&gt;","(//s[contains(.,'DDR')])[1]"),"")</f>
        <v/>
      </c>
      <c r="P86" t="e">
        <f t="shared" si="4"/>
        <v>#N/A</v>
      </c>
      <c r="Q86" t="str" cm="1">
        <f t="array" ref="Q86">_xlfn.TEXTJOIN(", ", TRUE, _xlfn._xlws.FILTER(Input!W:W, Input!J:J=B86))</f>
        <v/>
      </c>
      <c r="S86" s="13" t="str">
        <f>_xlfn.LET(_xlpm.Result,_xlfn.XLOOKUP(B86,Input!J:J,Input!AB:AB),IF(_xlpm.Result="","",_xlpm.Result))</f>
        <v/>
      </c>
      <c r="T86" s="13" t="str" cm="1">
        <f t="array" ref="T86">IFERROR(_xlfn.IFS(
   --S86&lt;55,"Battery Defect",
  -- S86&lt;=69,"Battery D",
  --S86&lt;=80,"Battery C",
 --S86&gt;80,""
),"")</f>
        <v/>
      </c>
      <c r="U86" s="13" t="str" cm="1">
        <f t="array" ref="U86:Z86">IFERROR(IF(_xlfn.XLOOKUP(B86,Input!J:J,Input!N:S)=0,"",
          _xlfn.XLOOKUP(B86,Input!J:J,Input!N:S)),"")</f>
        <v/>
      </c>
      <c r="V86" s="13" t="str">
        <v/>
      </c>
      <c r="W86" s="13" t="str">
        <v/>
      </c>
      <c r="X86" s="13" t="str">
        <v/>
      </c>
      <c r="Y86" s="13" t="str">
        <v/>
      </c>
      <c r="Z86" s="13" t="str">
        <v/>
      </c>
      <c r="AA86" t="str">
        <f t="shared" si="5"/>
        <v/>
      </c>
      <c r="AB86" t="str">
        <f>_xlfn.XLOOKUP(B:B,Disk_Pivot!G:G,Disk_Pivot!I:I)</f>
        <v>No</v>
      </c>
      <c r="AC86" t="str">
        <f>_xlfn.XLOOKUP(B86,Disk_Pivot!G:G,Disk_Pivot!N:N)</f>
        <v/>
      </c>
    </row>
    <row r="87" spans="1:29">
      <c r="A87" t="str">
        <f>_xlfn.TEXTJOIN("",TRUE,_xlfn.XLOOKUP(B87,Input!J:J,Input!G:G,"",0,1),_xlfn.XLOOKUP(B87,Input!J:J,Input!H:H,"",0,1))</f>
        <v/>
      </c>
      <c r="C87" s="13">
        <f>_xlfn.XLOOKUP(B87,Input!J:J,Input!F:F)</f>
        <v>0</v>
      </c>
      <c r="D87">
        <f>_xlfn.XLOOKUP(C87,Models!H:H,Models!G:G,C87)</f>
        <v>0</v>
      </c>
      <c r="F87" t="str">
        <f>_xlfn.XLOOKUP(H87,Models!B:B,Models!F:F,"")</f>
        <v/>
      </c>
      <c r="G87">
        <f>_xlfn.XLOOKUP(B87,Input!J:J,Input!E:E)</f>
        <v>0</v>
      </c>
      <c r="H87">
        <f>IF(G87="LENOVO",_xlfn.XLOOKUP(B87,Input!J:J,Input!K:K),_xlfn.XLOOKUP(B87,Input!J:J,Input!L:L))</f>
        <v>0</v>
      </c>
      <c r="K87">
        <f>_xlfn.XLOOKUP(B87,CPU_Formula!A:A,CPU_Formula!I:I)</f>
        <v>0</v>
      </c>
      <c r="L87" s="13" t="e">
        <f>INDEX(Input!$D$2:$AD$500,
       MATCH(B87, Input!$J$2:$J$500, 0),
       MATCH("Memory Capacity", Input!$D$1:$AD$1, 0))</f>
        <v>#N/A</v>
      </c>
      <c r="M87" s="13" t="e">
        <f>INDEX(Input!$D$2:$AD$500,
       MATCH(B87, Input!$J$2:$J$500, 0),
       MATCH("Memory Type", Input!$D$1:$AD$1, 0))</f>
        <v>#N/A</v>
      </c>
      <c r="N87" s="13" t="e">
        <f t="shared" si="3"/>
        <v>#N/A</v>
      </c>
      <c r="O87" s="13" t="str" cm="1">
        <f t="array" ref="O87">IFERROR(_xlfn.FILTERXML("&lt;t&gt;&lt;s&gt;" &amp; SUBSTITUTE(M87," / ","&lt;/s&gt;&lt;s&gt;") &amp; "&lt;/s&gt;&lt;/t&gt;","(//s[contains(.,'DDR')])[1]"),"")</f>
        <v/>
      </c>
      <c r="P87" t="e">
        <f t="shared" si="4"/>
        <v>#N/A</v>
      </c>
      <c r="Q87" t="str" cm="1">
        <f t="array" ref="Q87">_xlfn.TEXTJOIN(", ", TRUE, _xlfn._xlws.FILTER(Input!W:W, Input!J:J=B87))</f>
        <v/>
      </c>
      <c r="S87" s="13" t="str">
        <f>_xlfn.LET(_xlpm.Result,_xlfn.XLOOKUP(B87,Input!J:J,Input!AB:AB),IF(_xlpm.Result="","",_xlpm.Result))</f>
        <v/>
      </c>
      <c r="T87" s="13" t="str" cm="1">
        <f t="array" ref="T87">IFERROR(_xlfn.IFS(
   --S87&lt;55,"Battery Defect",
  -- S87&lt;=69,"Battery D",
  --S87&lt;=80,"Battery C",
 --S87&gt;80,""
),"")</f>
        <v/>
      </c>
      <c r="U87" s="13" t="str" cm="1">
        <f t="array" ref="U87:Z87">IFERROR(IF(_xlfn.XLOOKUP(B87,Input!J:J,Input!N:S)=0,"",
          _xlfn.XLOOKUP(B87,Input!J:J,Input!N:S)),"")</f>
        <v/>
      </c>
      <c r="V87" s="13" t="str">
        <v/>
      </c>
      <c r="W87" s="13" t="str">
        <v/>
      </c>
      <c r="X87" s="13" t="str">
        <v/>
      </c>
      <c r="Y87" s="13" t="str">
        <v/>
      </c>
      <c r="Z87" s="13" t="str">
        <v/>
      </c>
      <c r="AA87" t="str">
        <f t="shared" si="5"/>
        <v/>
      </c>
      <c r="AB87" t="str">
        <f>_xlfn.XLOOKUP(B:B,Disk_Pivot!G:G,Disk_Pivot!I:I)</f>
        <v>No</v>
      </c>
      <c r="AC87" t="str">
        <f>_xlfn.XLOOKUP(B87,Disk_Pivot!G:G,Disk_Pivot!N:N)</f>
        <v/>
      </c>
    </row>
    <row r="88" spans="1:29">
      <c r="A88" t="str">
        <f>_xlfn.TEXTJOIN("",TRUE,_xlfn.XLOOKUP(B88,Input!J:J,Input!G:G,"",0,1),_xlfn.XLOOKUP(B88,Input!J:J,Input!H:H,"",0,1))</f>
        <v/>
      </c>
      <c r="C88" s="13">
        <f>_xlfn.XLOOKUP(B88,Input!J:J,Input!F:F)</f>
        <v>0</v>
      </c>
      <c r="D88">
        <f>_xlfn.XLOOKUP(C88,Models!H:H,Models!G:G,C88)</f>
        <v>0</v>
      </c>
      <c r="F88" t="str">
        <f>_xlfn.XLOOKUP(H88,Models!B:B,Models!F:F,"")</f>
        <v/>
      </c>
      <c r="G88">
        <f>_xlfn.XLOOKUP(B88,Input!J:J,Input!E:E)</f>
        <v>0</v>
      </c>
      <c r="H88">
        <f>IF(G88="LENOVO",_xlfn.XLOOKUP(B88,Input!J:J,Input!K:K),_xlfn.XLOOKUP(B88,Input!J:J,Input!L:L))</f>
        <v>0</v>
      </c>
      <c r="K88">
        <f>_xlfn.XLOOKUP(B88,CPU_Formula!A:A,CPU_Formula!I:I)</f>
        <v>0</v>
      </c>
      <c r="L88" s="13" t="e">
        <f>INDEX(Input!$D$2:$AD$500,
       MATCH(B88, Input!$J$2:$J$500, 0),
       MATCH("Memory Capacity", Input!$D$1:$AD$1, 0))</f>
        <v>#N/A</v>
      </c>
      <c r="M88" s="13" t="e">
        <f>INDEX(Input!$D$2:$AD$500,
       MATCH(B88, Input!$J$2:$J$500, 0),
       MATCH("Memory Type", Input!$D$1:$AD$1, 0))</f>
        <v>#N/A</v>
      </c>
      <c r="N88" s="13" t="e">
        <f t="shared" si="3"/>
        <v>#N/A</v>
      </c>
      <c r="O88" s="13" t="str" cm="1">
        <f t="array" ref="O88">IFERROR(_xlfn.FILTERXML("&lt;t&gt;&lt;s&gt;" &amp; SUBSTITUTE(M88," / ","&lt;/s&gt;&lt;s&gt;") &amp; "&lt;/s&gt;&lt;/t&gt;","(//s[contains(.,'DDR')])[1]"),"")</f>
        <v/>
      </c>
      <c r="P88" t="e">
        <f>_xlfn.TEXTJOIN(" ",TRUE,N88,"GB",O88)</f>
        <v>#N/A</v>
      </c>
      <c r="Q88" t="str" cm="1">
        <f t="array" ref="Q88">_xlfn.TEXTJOIN(", ", TRUE, _xlfn._xlws.FILTER(Input!W:W, Input!J:J=B88))</f>
        <v/>
      </c>
      <c r="S88" s="13" t="str">
        <f>_xlfn.LET(_xlpm.Result,_xlfn.XLOOKUP(B88,Input!J:J,Input!AB:AB),IF(_xlpm.Result="","",_xlpm.Result))</f>
        <v/>
      </c>
      <c r="T88" s="13" t="str" cm="1">
        <f t="array" ref="T88">IFERROR(_xlfn.IFS(
   --S88&lt;55,"Battery Defect",
  -- S88&lt;=69,"Battery D",
  --S88&lt;=80,"Battery C",
 --S88&gt;80,""
),"")</f>
        <v/>
      </c>
      <c r="U88" s="13" t="str" cm="1">
        <f t="array" ref="U88:Z88">IFERROR(IF(_xlfn.XLOOKUP(B88,Input!J:J,Input!N:S)=0,"",
          _xlfn.XLOOKUP(B88,Input!J:J,Input!N:S)),"")</f>
        <v/>
      </c>
      <c r="V88" s="13" t="str">
        <v/>
      </c>
      <c r="W88" s="13" t="str">
        <v/>
      </c>
      <c r="X88" s="13" t="str">
        <v/>
      </c>
      <c r="Y88" s="13" t="str">
        <v/>
      </c>
      <c r="Z88" s="13" t="str">
        <v/>
      </c>
      <c r="AA88" t="str">
        <f t="shared" si="5"/>
        <v/>
      </c>
      <c r="AB88" t="str">
        <f>_xlfn.XLOOKUP(B:B,Disk_Pivot!G:G,Disk_Pivot!I:I)</f>
        <v>No</v>
      </c>
      <c r="AC88" t="str">
        <f>_xlfn.XLOOKUP(B88,Disk_Pivot!G:G,Disk_Pivot!N:N)</f>
        <v/>
      </c>
    </row>
    <row r="89" spans="1:29">
      <c r="A89" t="str">
        <f>_xlfn.TEXTJOIN("",TRUE,_xlfn.XLOOKUP(B89,Input!J:J,Input!G:G,"",0,1),_xlfn.XLOOKUP(B89,Input!J:J,Input!H:H,"",0,1))</f>
        <v/>
      </c>
      <c r="F89" t="str">
        <f>_xlfn.XLOOKUP(H89,Models!B:B,Models!F:F,"")</f>
        <v/>
      </c>
      <c r="L89" s="13" t="e">
        <f>INDEX(Input!$D$2:$AD$500,
       MATCH(B89, Input!$J$2:$J$500, 0),
       MATCH("Memory Capacity", Input!$D$1:$AD$1, 0))</f>
        <v>#N/A</v>
      </c>
      <c r="M89" s="13" t="e">
        <f>INDEX(Input!$D$2:$AD$500,
       MATCH(B89, Input!$J$2:$J$500, 0),
       MATCH("Memory Type", Input!$D$1:$AD$1, 0))</f>
        <v>#N/A</v>
      </c>
      <c r="N89" s="13" t="e">
        <f t="shared" si="3"/>
        <v>#N/A</v>
      </c>
      <c r="S89" s="13" t="str">
        <f>_xlfn.LET(_xlpm.Result,_xlfn.XLOOKUP(B89,Input!J:J,Input!AB:AB),IF(_xlpm.Result="","",_xlpm.Result))</f>
        <v/>
      </c>
      <c r="T89" s="13" t="str" cm="1">
        <f t="array" ref="T89">IFERROR(_xlfn.IFS(
   --S89&lt;55,"Battery Defect",
  -- S89&lt;=69,"Battery D",
  --S89&lt;=80,"Battery C",
 --S89&gt;80,""
),"")</f>
        <v/>
      </c>
      <c r="U89" s="13" t="str" cm="1">
        <f t="array" ref="U89:Z89">IFERROR(IF(_xlfn.XLOOKUP(B89,Input!J:J,Input!N:S)=0,"",
          _xlfn.XLOOKUP(B89,Input!J:J,Input!N:S)),"")</f>
        <v/>
      </c>
      <c r="V89" s="13" t="str">
        <v/>
      </c>
      <c r="W89" s="13" t="str">
        <v/>
      </c>
      <c r="X89" s="13" t="str">
        <v/>
      </c>
      <c r="Y89" s="13" t="str">
        <v/>
      </c>
      <c r="Z89" s="13" t="str">
        <v/>
      </c>
      <c r="AA89" t="str">
        <f t="shared" si="5"/>
        <v/>
      </c>
      <c r="AB89" t="str">
        <f>_xlfn.XLOOKUP(B:B,Disk_Pivot!G:G,Disk_Pivot!I:I)</f>
        <v>No</v>
      </c>
      <c r="AC89" t="str">
        <f>_xlfn.XLOOKUP(B89,Disk_Pivot!G:G,Disk_Pivot!N:N)</f>
        <v/>
      </c>
    </row>
    <row r="90" spans="1:29">
      <c r="F90">
        <f>_xlfn.XLOOKUP(H90,Models!B:B,Models!F:F,"")</f>
        <v>0</v>
      </c>
      <c r="K90">
        <f>_xlfn.XLOOKUP(B90,CPU_Formula!A:A,CPU_Formula!I:I)</f>
        <v>0</v>
      </c>
      <c r="L90" s="13" t="e">
        <f>INDEX(Input!$D$2:$AD$500,
       MATCH(B90, Input!$J$2:$J$500, 0),
       MATCH("Memory Capacity", Input!$D$1:$AD$1, 0))</f>
        <v>#N/A</v>
      </c>
      <c r="M90" s="13" t="e">
        <f>INDEX(Input!$D$2:$AD$500,
       MATCH(B90, Input!$J$2:$J$500, 0),
       MATCH("Memory Type", Input!$D$1:$AD$1, 0))</f>
        <v>#N/A</v>
      </c>
      <c r="N90" s="13" t="e">
        <f t="shared" si="3"/>
        <v>#N/A</v>
      </c>
      <c r="S90" s="13" t="str">
        <f>_xlfn.LET(_xlpm.Result,_xlfn.XLOOKUP(B90,Input!J:J,Input!AB:AB),IF(_xlpm.Result="","",_xlpm.Result))</f>
        <v/>
      </c>
      <c r="T90" s="13" t="str" cm="1">
        <f t="array" ref="T90">IFERROR(_xlfn.IFS(
   --S90&lt;55,"Battery Defect",
  -- S90&lt;=69,"Battery D",
  --S90&lt;=80,"Battery C",
 --S90&gt;80,""
),"")</f>
        <v/>
      </c>
      <c r="U90" s="13" t="str" cm="1">
        <f t="array" ref="U90:Z90">IFERROR(IF(_xlfn.XLOOKUP(B90,Input!J:J,Input!N:S)=0,"",
          _xlfn.XLOOKUP(B90,Input!J:J,Input!N:S)),"")</f>
        <v/>
      </c>
      <c r="V90" s="13" t="str">
        <v/>
      </c>
      <c r="W90" s="13" t="str">
        <v/>
      </c>
      <c r="X90" s="13" t="str">
        <v/>
      </c>
      <c r="Y90" s="13" t="str">
        <v/>
      </c>
      <c r="Z90" s="13" t="str">
        <v/>
      </c>
      <c r="AA90" t="str">
        <f t="shared" si="5"/>
        <v/>
      </c>
      <c r="AB90" t="str">
        <f>_xlfn.XLOOKUP(B:B,Disk_Pivot!G:G,Disk_Pivot!I:I)</f>
        <v>No</v>
      </c>
      <c r="AC90" t="str">
        <f>_xlfn.XLOOKUP(B90,Disk_Pivot!G:G,Disk_Pivot!N:N)</f>
        <v/>
      </c>
    </row>
    <row r="91" spans="1:29">
      <c r="F91">
        <f>_xlfn.XLOOKUP(H91,Models!B:B,Models!F:F,"")</f>
        <v>0</v>
      </c>
      <c r="K91">
        <f>_xlfn.XLOOKUP(B91,CPU_Formula!A:A,CPU_Formula!I:I)</f>
        <v>0</v>
      </c>
      <c r="L91" s="13" t="e">
        <f>INDEX(Input!$D$2:$AD$500,
       MATCH(B91, Input!$J$2:$J$500, 0),
       MATCH("Memory Capacity", Input!$D$1:$AD$1, 0))</f>
        <v>#N/A</v>
      </c>
      <c r="M91" s="13" t="e">
        <f>INDEX(Input!$D$2:$AD$500,
       MATCH(B91, Input!$J$2:$J$500, 0),
       MATCH("Memory Type", Input!$D$1:$AD$1, 0))</f>
        <v>#N/A</v>
      </c>
      <c r="N91" s="13" t="e">
        <f t="shared" si="3"/>
        <v>#N/A</v>
      </c>
      <c r="S91" s="13" t="str">
        <f>_xlfn.LET(_xlpm.Result,_xlfn.XLOOKUP(B91,Input!J:J,Input!AB:AB),IF(_xlpm.Result="","",_xlpm.Result))</f>
        <v/>
      </c>
      <c r="T91" s="13" t="str" cm="1">
        <f t="array" ref="T91">IFERROR(_xlfn.IFS(
   --S91&lt;55,"Battery Defect",
  -- S91&lt;=69,"Battery D",
  --S91&lt;=80,"Battery C",
 --S91&gt;80,""
),"")</f>
        <v/>
      </c>
      <c r="U91" s="13" t="str" cm="1">
        <f t="array" ref="U91:Z91">IFERROR(IF(_xlfn.XLOOKUP(B91,Input!J:J,Input!N:S)=0,"",
          _xlfn.XLOOKUP(B91,Input!J:J,Input!N:S)),"")</f>
        <v/>
      </c>
      <c r="V91" s="13" t="str">
        <v/>
      </c>
      <c r="W91" s="13" t="str">
        <v/>
      </c>
      <c r="X91" s="13" t="str">
        <v/>
      </c>
      <c r="Y91" s="13" t="str">
        <v/>
      </c>
      <c r="Z91" s="13" t="str">
        <v/>
      </c>
      <c r="AA91" t="str">
        <f t="shared" si="5"/>
        <v/>
      </c>
      <c r="AB91" t="str">
        <f>_xlfn.XLOOKUP(B:B,Disk_Pivot!G:G,Disk_Pivot!I:I)</f>
        <v>No</v>
      </c>
      <c r="AC91" t="str">
        <f>_xlfn.XLOOKUP(B91,Disk_Pivot!G:G,Disk_Pivot!N:N)</f>
        <v/>
      </c>
    </row>
    <row r="92" spans="1:29">
      <c r="F92" t="str">
        <f>_xlfn.XLOOKUP(H92,Models!B:B,Models!F:F,"")</f>
        <v/>
      </c>
      <c r="K92">
        <f>_xlfn.XLOOKUP(B92,CPU_Formula!A:A,CPU_Formula!I:I)</f>
        <v>0</v>
      </c>
      <c r="L92" s="13" t="e">
        <f>INDEX(Input!$D$2:$AD$500,
       MATCH(B92, Input!$J$2:$J$500, 0),
       MATCH("Memory Capacity", Input!$D$1:$AD$1, 0))</f>
        <v>#N/A</v>
      </c>
      <c r="M92" s="13" t="e">
        <f>INDEX(Input!$D$2:$AD$500,
       MATCH(B92, Input!$J$2:$J$500, 0),
       MATCH("Memory Type", Input!$D$1:$AD$1, 0))</f>
        <v>#N/A</v>
      </c>
      <c r="N92" s="13" t="e">
        <f t="shared" si="3"/>
        <v>#N/A</v>
      </c>
      <c r="S92" s="13" t="str">
        <f>_xlfn.LET(_xlpm.Result,_xlfn.XLOOKUP(B92,Input!J:J,Input!AB:AB),IF(_xlpm.Result="","",_xlpm.Result))</f>
        <v/>
      </c>
      <c r="T92" s="13" t="str" cm="1">
        <f t="array" ref="T92">IFERROR(_xlfn.IFS(
   --S92&lt;55,"Battery Defect",
  -- S92&lt;=69,"Battery D",
  --S92&lt;=80,"Battery C",
 --S92&gt;80,""
),"")</f>
        <v/>
      </c>
      <c r="U92" s="13" t="str" cm="1">
        <f t="array" ref="U92:Z92">IFERROR(IF(_xlfn.XLOOKUP(B92,Input!J:J,Input!N:S)=0,"",
          _xlfn.XLOOKUP(B92,Input!J:J,Input!N:S)),"")</f>
        <v/>
      </c>
      <c r="V92" s="13" t="str">
        <v/>
      </c>
      <c r="W92" s="13" t="str">
        <v/>
      </c>
      <c r="X92" s="13" t="str">
        <v/>
      </c>
      <c r="Y92" s="13" t="str">
        <v/>
      </c>
      <c r="Z92" s="13" t="str">
        <v/>
      </c>
      <c r="AA92" t="str">
        <f t="shared" si="5"/>
        <v/>
      </c>
      <c r="AB92" t="str">
        <f>_xlfn.XLOOKUP(B:B,Disk_Pivot!G:G,Disk_Pivot!I:I)</f>
        <v>No</v>
      </c>
      <c r="AC92" t="str">
        <f>_xlfn.XLOOKUP(B92,Disk_Pivot!G:G,Disk_Pivot!N:N)</f>
        <v/>
      </c>
    </row>
    <row r="93" spans="1:29">
      <c r="F93">
        <f>_xlfn.XLOOKUP(H93,Models!B:B,Models!F:F,"")</f>
        <v>0</v>
      </c>
      <c r="K93">
        <f>_xlfn.XLOOKUP(B93,CPU_Formula!A:A,CPU_Formula!I:I)</f>
        <v>0</v>
      </c>
      <c r="L93" s="13" t="e">
        <f>INDEX(Input!$D$2:$AD$500,
       MATCH(B93, Input!$J$2:$J$500, 0),
       MATCH("Memory Capacity", Input!$D$1:$AD$1, 0))</f>
        <v>#N/A</v>
      </c>
      <c r="M93" s="13" t="e">
        <f>INDEX(Input!$D$2:$AD$500,
       MATCH(B93, Input!$J$2:$J$500, 0),
       MATCH("Memory Type", Input!$D$1:$AD$1, 0))</f>
        <v>#N/A</v>
      </c>
      <c r="N93" s="13" t="e">
        <f t="shared" si="3"/>
        <v>#N/A</v>
      </c>
      <c r="S93" s="13" t="str">
        <f>_xlfn.LET(_xlpm.Result,_xlfn.XLOOKUP(B93,Input!J:J,Input!AB:AB),IF(_xlpm.Result="","",_xlpm.Result))</f>
        <v/>
      </c>
      <c r="T93" s="13" t="str" cm="1">
        <f t="array" ref="T93">IFERROR(_xlfn.IFS(
   --S93&lt;55,"Battery Defect",
  -- S93&lt;=69,"Battery D",
  --S93&lt;=80,"Battery C",
 --S93&gt;80,""
),"")</f>
        <v/>
      </c>
      <c r="U93" s="13" t="str" cm="1">
        <f t="array" ref="U93:Z93">IFERROR(IF(_xlfn.XLOOKUP(B93,Input!J:J,Input!N:S)=0,"",
          _xlfn.XLOOKUP(B93,Input!J:J,Input!N:S)),"")</f>
        <v/>
      </c>
      <c r="V93" s="13" t="str">
        <v/>
      </c>
      <c r="W93" s="13" t="str">
        <v/>
      </c>
      <c r="X93" s="13" t="str">
        <v/>
      </c>
      <c r="Y93" s="13" t="str">
        <v/>
      </c>
      <c r="Z93" s="13" t="str">
        <v/>
      </c>
      <c r="AA93" t="str">
        <f t="shared" si="5"/>
        <v/>
      </c>
      <c r="AB93" t="str">
        <f>_xlfn.XLOOKUP(B:B,Disk_Pivot!G:G,Disk_Pivot!I:I)</f>
        <v>No</v>
      </c>
      <c r="AC93" t="str">
        <f>_xlfn.XLOOKUP(B93,Disk_Pivot!G:G,Disk_Pivot!N:N)</f>
        <v/>
      </c>
    </row>
    <row r="94" spans="1:29">
      <c r="F94">
        <f>_xlfn.XLOOKUP(H94,Models!B:B,Models!F:F,"")</f>
        <v>0</v>
      </c>
      <c r="K94">
        <f>_xlfn.XLOOKUP(B94,CPU_Formula!A:A,CPU_Formula!I:I)</f>
        <v>0</v>
      </c>
      <c r="L94" s="13" t="e">
        <f>INDEX(Input!$D$2:$AD$500,
       MATCH(B94, Input!$J$2:$J$500, 0),
       MATCH("Memory Capacity", Input!$D$1:$AD$1, 0))</f>
        <v>#N/A</v>
      </c>
      <c r="M94" s="13" t="e">
        <f>INDEX(Input!$D$2:$AD$500,
       MATCH(B94, Input!$J$2:$J$500, 0),
       MATCH("Memory Type", Input!$D$1:$AD$1, 0))</f>
        <v>#N/A</v>
      </c>
      <c r="N94" s="13" t="e">
        <f t="shared" si="3"/>
        <v>#N/A</v>
      </c>
      <c r="S94" s="13" t="str">
        <f>_xlfn.LET(_xlpm.Result,_xlfn.XLOOKUP(B94,Input!J:J,Input!AB:AB),IF(_xlpm.Result="","",_xlpm.Result))</f>
        <v/>
      </c>
      <c r="T94" s="13" t="str" cm="1">
        <f t="array" ref="T94">IFERROR(_xlfn.IFS(
   --S94&lt;55,"Battery Defect",
  -- S94&lt;=69,"Battery D",
  --S94&lt;=80,"Battery C",
 --S94&gt;80,""
),"")</f>
        <v/>
      </c>
      <c r="U94" s="13" t="str" cm="1">
        <f t="array" ref="U94:Z94">IFERROR(IF(_xlfn.XLOOKUP(B94,Input!J:J,Input!N:S)=0,"",
          _xlfn.XLOOKUP(B94,Input!J:J,Input!N:S)),"")</f>
        <v/>
      </c>
      <c r="V94" s="13" t="str">
        <v/>
      </c>
      <c r="W94" s="13" t="str">
        <v/>
      </c>
      <c r="X94" s="13" t="str">
        <v/>
      </c>
      <c r="Y94" s="13" t="str">
        <v/>
      </c>
      <c r="Z94" s="13" t="str">
        <v/>
      </c>
      <c r="AA94" t="str">
        <f t="shared" si="5"/>
        <v/>
      </c>
      <c r="AB94" t="str">
        <f>_xlfn.XLOOKUP(B:B,Disk_Pivot!G:G,Disk_Pivot!I:I)</f>
        <v>No</v>
      </c>
      <c r="AC94" t="str">
        <f>_xlfn.XLOOKUP(B94,Disk_Pivot!G:G,Disk_Pivot!N:N)</f>
        <v/>
      </c>
    </row>
    <row r="95" spans="1:29">
      <c r="F95" t="str">
        <f>_xlfn.XLOOKUP(H95,Models!B:B,Models!F:F,"")</f>
        <v/>
      </c>
      <c r="K95">
        <f>_xlfn.XLOOKUP(B95,CPU_Formula!A:A,CPU_Formula!I:I)</f>
        <v>0</v>
      </c>
      <c r="L95" s="13" t="e">
        <f>INDEX(Input!$D$2:$AD$500,
       MATCH(B95, Input!$J$2:$J$500, 0),
       MATCH("Memory Capacity", Input!$D$1:$AD$1, 0))</f>
        <v>#N/A</v>
      </c>
      <c r="M95" s="13" t="e">
        <f>INDEX(Input!$D$2:$AD$500,
       MATCH(B95, Input!$J$2:$J$500, 0),
       MATCH("Memory Type", Input!$D$1:$AD$1, 0))</f>
        <v>#N/A</v>
      </c>
      <c r="N95" s="13" t="e">
        <f t="shared" si="3"/>
        <v>#N/A</v>
      </c>
      <c r="S95" s="13" t="str">
        <f>_xlfn.LET(_xlpm.Result,_xlfn.XLOOKUP(B95,Input!J:J,Input!AB:AB),IF(_xlpm.Result="","",_xlpm.Result))</f>
        <v/>
      </c>
      <c r="T95" s="13" t="str" cm="1">
        <f t="array" ref="T95">IFERROR(_xlfn.IFS(
   --S95&lt;55,"Battery Defect",
  -- S95&lt;=69,"Battery D",
  --S95&lt;=80,"Battery C",
 --S95&gt;80,""
),"")</f>
        <v/>
      </c>
      <c r="U95" s="13" t="str" cm="1">
        <f t="array" ref="U95:Z95">IFERROR(IF(_xlfn.XLOOKUP(B95,Input!J:J,Input!N:S)=0,"",
          _xlfn.XLOOKUP(B95,Input!J:J,Input!N:S)),"")</f>
        <v/>
      </c>
      <c r="V95" s="13" t="str">
        <v/>
      </c>
      <c r="W95" s="13" t="str">
        <v/>
      </c>
      <c r="X95" s="13" t="str">
        <v/>
      </c>
      <c r="Y95" s="13" t="str">
        <v/>
      </c>
      <c r="Z95" s="13" t="str">
        <v/>
      </c>
      <c r="AA95" t="str">
        <f t="shared" si="5"/>
        <v/>
      </c>
      <c r="AB95" t="str">
        <f>_xlfn.XLOOKUP(B:B,Disk_Pivot!G:G,Disk_Pivot!I:I)</f>
        <v>No</v>
      </c>
      <c r="AC95" t="str">
        <f>_xlfn.XLOOKUP(B95,Disk_Pivot!G:G,Disk_Pivot!N:N)</f>
        <v/>
      </c>
    </row>
    <row r="96" spans="1:29">
      <c r="F96">
        <f>_xlfn.XLOOKUP(H96,Models!B:B,Models!F:F,"")</f>
        <v>0</v>
      </c>
      <c r="K96">
        <f>_xlfn.XLOOKUP(B96,CPU_Formula!A:A,CPU_Formula!I:I)</f>
        <v>0</v>
      </c>
      <c r="L96" s="13" t="e">
        <f>INDEX(Input!$D$2:$AD$500,
       MATCH(B96, Input!$J$2:$J$500, 0),
       MATCH("Memory Capacity", Input!$D$1:$AD$1, 0))</f>
        <v>#N/A</v>
      </c>
      <c r="M96" s="13" t="e">
        <f>INDEX(Input!$D$2:$AD$500,
       MATCH(B96, Input!$J$2:$J$500, 0),
       MATCH("Memory Type", Input!$D$1:$AD$1, 0))</f>
        <v>#N/A</v>
      </c>
      <c r="N96" s="13" t="e">
        <f t="shared" si="3"/>
        <v>#N/A</v>
      </c>
      <c r="S96" s="13" t="str">
        <f>_xlfn.LET(_xlpm.Result,_xlfn.XLOOKUP(B96,Input!J:J,Input!AB:AB),IF(_xlpm.Result="","",_xlpm.Result))</f>
        <v/>
      </c>
      <c r="T96" s="13" t="str" cm="1">
        <f t="array" ref="T96">IFERROR(_xlfn.IFS(
   --S96&lt;55,"Battery Defect",
  -- S96&lt;=69,"Battery D",
  --S96&lt;=80,"Battery C",
 --S96&gt;80,""
),"")</f>
        <v/>
      </c>
      <c r="U96" s="13" t="str" cm="1">
        <f t="array" ref="U96:Z96">IFERROR(IF(_xlfn.XLOOKUP(B96,Input!J:J,Input!N:S)=0,"",
          _xlfn.XLOOKUP(B96,Input!J:J,Input!N:S)),"")</f>
        <v/>
      </c>
      <c r="V96" s="13" t="str">
        <v/>
      </c>
      <c r="W96" s="13" t="str">
        <v/>
      </c>
      <c r="X96" s="13" t="str">
        <v/>
      </c>
      <c r="Y96" s="13" t="str">
        <v/>
      </c>
      <c r="Z96" s="13" t="str">
        <v/>
      </c>
      <c r="AA96" t="str">
        <f t="shared" si="5"/>
        <v/>
      </c>
      <c r="AB96" t="str">
        <f>_xlfn.XLOOKUP(B:B,Disk_Pivot!G:G,Disk_Pivot!I:I)</f>
        <v>No</v>
      </c>
      <c r="AC96" t="str">
        <f>_xlfn.XLOOKUP(B96,Disk_Pivot!G:G,Disk_Pivot!N:N)</f>
        <v/>
      </c>
    </row>
    <row r="97" spans="6:29">
      <c r="F97">
        <f>_xlfn.XLOOKUP(H97,Models!B:B,Models!F:F,"")</f>
        <v>0</v>
      </c>
      <c r="K97">
        <f>_xlfn.XLOOKUP(B97,CPU_Formula!A:A,CPU_Formula!I:I)</f>
        <v>0</v>
      </c>
      <c r="L97" s="13" t="e">
        <f>INDEX(Input!$D$2:$AD$500,
       MATCH(B97, Input!$J$2:$J$500, 0),
       MATCH("Memory Capacity", Input!$D$1:$AD$1, 0))</f>
        <v>#N/A</v>
      </c>
      <c r="M97" s="13" t="e">
        <f>INDEX(Input!$D$2:$AD$500,
       MATCH(B97, Input!$J$2:$J$500, 0),
       MATCH("Memory Type", Input!$D$1:$AD$1, 0))</f>
        <v>#N/A</v>
      </c>
      <c r="N97" s="13" t="e">
        <f t="shared" si="3"/>
        <v>#N/A</v>
      </c>
      <c r="S97" s="13" t="str">
        <f>_xlfn.LET(_xlpm.Result,_xlfn.XLOOKUP(B97,Input!J:J,Input!AB:AB),IF(_xlpm.Result="","",_xlpm.Result))</f>
        <v/>
      </c>
      <c r="T97" s="13" t="str" cm="1">
        <f t="array" ref="T97">IFERROR(_xlfn.IFS(
   --S97&lt;55,"Battery Defect",
  -- S97&lt;=69,"Battery D",
  --S97&lt;=80,"Battery C",
 --S97&gt;80,""
),"")</f>
        <v/>
      </c>
      <c r="U97" s="13" t="str" cm="1">
        <f t="array" ref="U97:Z97">IFERROR(IF(_xlfn.XLOOKUP(B97,Input!J:J,Input!N:S)=0,"",
          _xlfn.XLOOKUP(B97,Input!J:J,Input!N:S)),"")</f>
        <v/>
      </c>
      <c r="V97" s="13" t="str">
        <v/>
      </c>
      <c r="W97" s="13" t="str">
        <v/>
      </c>
      <c r="X97" s="13" t="str">
        <v/>
      </c>
      <c r="Y97" s="13" t="str">
        <v/>
      </c>
      <c r="Z97" s="13" t="str">
        <v/>
      </c>
      <c r="AA97" t="str">
        <f t="shared" si="5"/>
        <v/>
      </c>
      <c r="AB97" t="str">
        <f>_xlfn.XLOOKUP(B:B,Disk_Pivot!G:G,Disk_Pivot!I:I)</f>
        <v>No</v>
      </c>
      <c r="AC97" t="str">
        <f>_xlfn.XLOOKUP(B97,Disk_Pivot!G:G,Disk_Pivot!N:N)</f>
        <v/>
      </c>
    </row>
    <row r="98" spans="6:29">
      <c r="F98" t="str">
        <f>_xlfn.XLOOKUP(H98,Models!B:B,Models!F:F,"")</f>
        <v/>
      </c>
      <c r="K98">
        <f>_xlfn.XLOOKUP(B98,CPU_Formula!A:A,CPU_Formula!I:I)</f>
        <v>0</v>
      </c>
      <c r="L98" s="13" t="e">
        <f>INDEX(Input!$D$2:$AD$500,
       MATCH(B98, Input!$J$2:$J$500, 0),
       MATCH("Memory Capacity", Input!$D$1:$AD$1, 0))</f>
        <v>#N/A</v>
      </c>
      <c r="M98" s="13" t="e">
        <f>INDEX(Input!$D$2:$AD$500,
       MATCH(B98, Input!$J$2:$J$500, 0),
       MATCH("Memory Type", Input!$D$1:$AD$1, 0))</f>
        <v>#N/A</v>
      </c>
      <c r="N98" s="13" t="e">
        <f t="shared" si="3"/>
        <v>#N/A</v>
      </c>
      <c r="S98" s="13" t="str">
        <f>_xlfn.LET(_xlpm.Result,_xlfn.XLOOKUP(B98,Input!J:J,Input!AB:AB),IF(_xlpm.Result="","",_xlpm.Result))</f>
        <v/>
      </c>
      <c r="T98" s="13" t="str" cm="1">
        <f t="array" ref="T98">IFERROR(_xlfn.IFS(
   --S98&lt;55,"Battery Defect",
  -- S98&lt;=69,"Battery D",
  --S98&lt;=80,"Battery C",
 --S98&gt;80,""
),"")</f>
        <v/>
      </c>
      <c r="U98" s="13" t="str" cm="1">
        <f t="array" ref="U98:Z98">IFERROR(IF(_xlfn.XLOOKUP(B98,Input!J:J,Input!N:S)=0,"",
          _xlfn.XLOOKUP(B98,Input!J:J,Input!N:S)),"")</f>
        <v/>
      </c>
      <c r="V98" s="13" t="str">
        <v/>
      </c>
      <c r="W98" s="13" t="str">
        <v/>
      </c>
      <c r="X98" s="13" t="str">
        <v/>
      </c>
      <c r="Y98" s="13" t="str">
        <v/>
      </c>
      <c r="Z98" s="13" t="str">
        <v/>
      </c>
      <c r="AA98" t="str">
        <f t="shared" si="5"/>
        <v/>
      </c>
      <c r="AB98" t="str">
        <f>_xlfn.XLOOKUP(B:B,Disk_Pivot!G:G,Disk_Pivot!I:I)</f>
        <v>No</v>
      </c>
      <c r="AC98" t="str">
        <f>_xlfn.XLOOKUP(B98,Disk_Pivot!G:G,Disk_Pivot!N:N)</f>
        <v/>
      </c>
    </row>
    <row r="99" spans="6:29">
      <c r="F99">
        <f>_xlfn.XLOOKUP(H99,Models!B:B,Models!F:F,"")</f>
        <v>0</v>
      </c>
      <c r="K99">
        <f>_xlfn.XLOOKUP(B99,CPU_Formula!A:A,CPU_Formula!I:I)</f>
        <v>0</v>
      </c>
      <c r="L99" s="13" t="e">
        <f>INDEX(Input!$D$2:$AD$500,
       MATCH(B99, Input!$J$2:$J$500, 0),
       MATCH("Memory Capacity", Input!$D$1:$AD$1, 0))</f>
        <v>#N/A</v>
      </c>
      <c r="M99" s="13" t="e">
        <f>INDEX(Input!$D$2:$AD$500,
       MATCH(B99, Input!$J$2:$J$500, 0),
       MATCH("Memory Type", Input!$D$1:$AD$1, 0))</f>
        <v>#N/A</v>
      </c>
      <c r="N99" s="13" t="e">
        <f t="shared" si="3"/>
        <v>#N/A</v>
      </c>
      <c r="S99" s="13" t="str">
        <f>_xlfn.LET(_xlpm.Result,_xlfn.XLOOKUP(B99,Input!J:J,Input!AB:AB),IF(_xlpm.Result="","",_xlpm.Result))</f>
        <v/>
      </c>
      <c r="T99" s="13" t="str" cm="1">
        <f t="array" ref="T99">IFERROR(_xlfn.IFS(
   --S99&lt;55,"Battery Defect",
  -- S99&lt;=69,"Battery D",
  --S99&lt;=80,"Battery C",
 --S99&gt;80,""
),"")</f>
        <v/>
      </c>
      <c r="U99" s="13" t="str" cm="1">
        <f t="array" ref="U99:Z99">IFERROR(IF(_xlfn.XLOOKUP(B99,Input!J:J,Input!N:S)=0,"",
          _xlfn.XLOOKUP(B99,Input!J:J,Input!N:S)),"")</f>
        <v/>
      </c>
      <c r="V99" s="13" t="str">
        <v/>
      </c>
      <c r="W99" s="13" t="str">
        <v/>
      </c>
      <c r="X99" s="13" t="str">
        <v/>
      </c>
      <c r="Y99" s="13" t="str">
        <v/>
      </c>
      <c r="Z99" s="13" t="str">
        <v/>
      </c>
      <c r="AA99" t="str">
        <f t="shared" si="5"/>
        <v/>
      </c>
      <c r="AB99" t="str">
        <f>_xlfn.XLOOKUP(B:B,Disk_Pivot!G:G,Disk_Pivot!I:I)</f>
        <v>No</v>
      </c>
      <c r="AC99" t="str">
        <f>_xlfn.XLOOKUP(B99,Disk_Pivot!G:G,Disk_Pivot!N:N)</f>
        <v/>
      </c>
    </row>
    <row r="100" spans="6:29">
      <c r="F100">
        <f>_xlfn.XLOOKUP(H100,Models!B:B,Models!F:F,"")</f>
        <v>0</v>
      </c>
      <c r="K100">
        <f>_xlfn.XLOOKUP(B100,CPU_Formula!A:A,CPU_Formula!I:I)</f>
        <v>0</v>
      </c>
      <c r="L100" s="13" t="e">
        <f>INDEX(Input!$D$2:$AD$500,
       MATCH(B100, Input!$J$2:$J$500, 0),
       MATCH("Memory Capacity", Input!$D$1:$AD$1, 0))</f>
        <v>#N/A</v>
      </c>
      <c r="M100" s="13" t="e">
        <f>INDEX(Input!$D$2:$AD$500,
       MATCH(B100, Input!$J$2:$J$500, 0),
       MATCH("Memory Type", Input!$D$1:$AD$1, 0))</f>
        <v>#N/A</v>
      </c>
      <c r="N100" s="13" t="e">
        <f t="shared" si="3"/>
        <v>#N/A</v>
      </c>
      <c r="S100" s="13" t="str">
        <f>_xlfn.LET(_xlpm.Result,_xlfn.XLOOKUP(B100,Input!J:J,Input!AB:AB),IF(_xlpm.Result="","",_xlpm.Result))</f>
        <v/>
      </c>
      <c r="T100" s="13" t="str" cm="1">
        <f t="array" ref="T100">IFERROR(_xlfn.IFS(
   --S100&lt;55,"Battery Defect",
  -- S100&lt;=69,"Battery D",
  --S100&lt;=80,"Battery C",
 --S100&gt;80,""
),"")</f>
        <v/>
      </c>
      <c r="U100" s="13" t="str" cm="1">
        <f t="array" ref="U100:Z100">IFERROR(IF(_xlfn.XLOOKUP(B100,Input!J:J,Input!N:S)=0,"",
          _xlfn.XLOOKUP(B100,Input!J:J,Input!N:S)),"")</f>
        <v/>
      </c>
      <c r="V100" s="13" t="str">
        <v/>
      </c>
      <c r="W100" s="13" t="str">
        <v/>
      </c>
      <c r="X100" s="13" t="str">
        <v/>
      </c>
      <c r="Y100" s="13" t="str">
        <v/>
      </c>
      <c r="Z100" s="13" t="str">
        <v/>
      </c>
      <c r="AA100" t="str">
        <f t="shared" si="5"/>
        <v/>
      </c>
      <c r="AB100" t="str">
        <f>_xlfn.XLOOKUP(B:B,Disk_Pivot!G:G,Disk_Pivot!I:I)</f>
        <v>No</v>
      </c>
      <c r="AC100" t="str">
        <f>_xlfn.XLOOKUP(B100,Disk_Pivot!G:G,Disk_Pivot!N:N)</f>
        <v/>
      </c>
    </row>
    <row r="101" spans="6:29">
      <c r="F101" t="str">
        <f>_xlfn.XLOOKUP(H101,Models!B:B,Models!F:F,"")</f>
        <v/>
      </c>
      <c r="K101">
        <f>_xlfn.XLOOKUP(B101,CPU_Formula!A:A,CPU_Formula!I:I)</f>
        <v>0</v>
      </c>
      <c r="L101" s="13" t="e">
        <f>INDEX(Input!$D$2:$AD$500,
       MATCH(B101, Input!$J$2:$J$500, 0),
       MATCH("Memory Capacity", Input!$D$1:$AD$1, 0))</f>
        <v>#N/A</v>
      </c>
      <c r="M101" s="13" t="e">
        <f>INDEX(Input!$D$2:$AD$500,
       MATCH(B101, Input!$J$2:$J$500, 0),
       MATCH("Memory Type", Input!$D$1:$AD$1, 0))</f>
        <v>#N/A</v>
      </c>
      <c r="N101" s="13" t="e">
        <f t="shared" si="3"/>
        <v>#N/A</v>
      </c>
      <c r="S101" s="13" t="str">
        <f>_xlfn.LET(_xlpm.Result,_xlfn.XLOOKUP(B101,Input!J:J,Input!AB:AB),IF(_xlpm.Result="","",_xlpm.Result))</f>
        <v/>
      </c>
      <c r="T101" s="13" t="str" cm="1">
        <f t="array" ref="T101">IFERROR(_xlfn.IFS(
   --S101&lt;55,"Battery Defect",
  -- S101&lt;=69,"Battery D",
  --S101&lt;=80,"Battery C",
 --S101&gt;80,""
),"")</f>
        <v/>
      </c>
      <c r="U101" s="13" t="str" cm="1">
        <f t="array" ref="U101:Z101">IFERROR(IF(_xlfn.XLOOKUP(B101,Input!J:J,Input!N:S)=0,"",
          _xlfn.XLOOKUP(B101,Input!J:J,Input!N:S)),"")</f>
        <v/>
      </c>
      <c r="V101" s="13" t="str">
        <v/>
      </c>
      <c r="W101" s="13" t="str">
        <v/>
      </c>
      <c r="X101" s="13" t="str">
        <v/>
      </c>
      <c r="Y101" s="13" t="str">
        <v/>
      </c>
      <c r="Z101" s="13" t="str">
        <v/>
      </c>
      <c r="AA101" t="str">
        <f t="shared" si="5"/>
        <v/>
      </c>
      <c r="AB101" t="str">
        <f>_xlfn.XLOOKUP(B:B,Disk_Pivot!G:G,Disk_Pivot!I:I)</f>
        <v>No</v>
      </c>
      <c r="AC101" t="str">
        <f>_xlfn.XLOOKUP(B101,Disk_Pivot!G:G,Disk_Pivot!N:N)</f>
        <v/>
      </c>
    </row>
    <row r="102" spans="6:29">
      <c r="F102">
        <f>_xlfn.XLOOKUP(H102,Models!B:B,Models!F:F,"")</f>
        <v>0</v>
      </c>
      <c r="K102">
        <f>_xlfn.XLOOKUP(B102,CPU_Formula!A:A,CPU_Formula!I:I)</f>
        <v>0</v>
      </c>
      <c r="L102" s="13" t="e">
        <f>INDEX(Input!$D$2:$AD$500,
       MATCH(B102, Input!$J$2:$J$500, 0),
       MATCH("Memory Capacity", Input!$D$1:$AD$1, 0))</f>
        <v>#N/A</v>
      </c>
      <c r="M102" s="13" t="e">
        <f>INDEX(Input!$D$2:$AD$500,
       MATCH(B102, Input!$J$2:$J$500, 0),
       MATCH("Memory Type", Input!$D$1:$AD$1, 0))</f>
        <v>#N/A</v>
      </c>
      <c r="N102" s="13" t="e">
        <f t="shared" si="3"/>
        <v>#N/A</v>
      </c>
      <c r="S102" s="13" t="str">
        <f>_xlfn.LET(_xlpm.Result,_xlfn.XLOOKUP(B102,Input!J:J,Input!AB:AB),IF(_xlpm.Result="","",_xlpm.Result))</f>
        <v/>
      </c>
      <c r="T102" s="13" t="str" cm="1">
        <f t="array" ref="T102">IFERROR(_xlfn.IFS(
   --S102&lt;55,"Battery Defect",
  -- S102&lt;=69,"Battery D",
  --S102&lt;=80,"Battery C",
 --S102&gt;80,""
),"")</f>
        <v/>
      </c>
      <c r="U102" s="13" t="str" cm="1">
        <f t="array" ref="U102:Z102">IFERROR(IF(_xlfn.XLOOKUP(B102,Input!J:J,Input!N:S)=0,"",
          _xlfn.XLOOKUP(B102,Input!J:J,Input!N:S)),"")</f>
        <v/>
      </c>
      <c r="V102" s="13" t="str">
        <v/>
      </c>
      <c r="W102" s="13" t="str">
        <v/>
      </c>
      <c r="X102" s="13" t="str">
        <v/>
      </c>
      <c r="Y102" s="13" t="str">
        <v/>
      </c>
      <c r="Z102" s="13" t="str">
        <v/>
      </c>
      <c r="AA102" t="str">
        <f t="shared" si="5"/>
        <v/>
      </c>
      <c r="AB102" t="str">
        <f>_xlfn.XLOOKUP(B:B,Disk_Pivot!G:G,Disk_Pivot!I:I)</f>
        <v>No</v>
      </c>
      <c r="AC102" t="str">
        <f>_xlfn.XLOOKUP(B102,Disk_Pivot!G:G,Disk_Pivot!N:N)</f>
        <v/>
      </c>
    </row>
    <row r="103" spans="6:29">
      <c r="F103">
        <f>_xlfn.XLOOKUP(H103,Models!B:B,Models!F:F,"")</f>
        <v>0</v>
      </c>
      <c r="K103">
        <f>_xlfn.XLOOKUP(B103,CPU_Formula!A:A,CPU_Formula!I:I)</f>
        <v>0</v>
      </c>
      <c r="L103" s="13" t="e">
        <f>INDEX(Input!$D$2:$AD$500,
       MATCH(B103, Input!$J$2:$J$500, 0),
       MATCH("Memory Capacity", Input!$D$1:$AD$1, 0))</f>
        <v>#N/A</v>
      </c>
      <c r="M103" s="13" t="e">
        <f>INDEX(Input!$D$2:$AD$500,
       MATCH(B103, Input!$J$2:$J$500, 0),
       MATCH("Memory Type", Input!$D$1:$AD$1, 0))</f>
        <v>#N/A</v>
      </c>
      <c r="N103" s="13" t="e">
        <f t="shared" si="3"/>
        <v>#N/A</v>
      </c>
      <c r="S103" s="13" t="str">
        <f>_xlfn.LET(_xlpm.Result,_xlfn.XLOOKUP(B103,Input!J:J,Input!AB:AB),IF(_xlpm.Result="","",_xlpm.Result))</f>
        <v/>
      </c>
      <c r="T103" s="13" t="str" cm="1">
        <f t="array" ref="T103">IFERROR(_xlfn.IFS(
   --S103&lt;55,"Battery Defect",
  -- S103&lt;=69,"Battery D",
  --S103&lt;=80,"Battery C",
 --S103&gt;80,""
),"")</f>
        <v/>
      </c>
      <c r="U103" s="13" t="str" cm="1">
        <f t="array" ref="U103:Z103">IFERROR(IF(_xlfn.XLOOKUP(B103,Input!J:J,Input!N:S)=0,"",
          _xlfn.XLOOKUP(B103,Input!J:J,Input!N:S)),"")</f>
        <v/>
      </c>
      <c r="V103" s="13" t="str">
        <v/>
      </c>
      <c r="W103" s="13" t="str">
        <v/>
      </c>
      <c r="X103" s="13" t="str">
        <v/>
      </c>
      <c r="Y103" s="13" t="str">
        <v/>
      </c>
      <c r="Z103" s="13" t="str">
        <v/>
      </c>
      <c r="AA103" t="str">
        <f t="shared" si="5"/>
        <v/>
      </c>
      <c r="AB103" t="str">
        <f>_xlfn.XLOOKUP(B:B,Disk_Pivot!G:G,Disk_Pivot!I:I)</f>
        <v>No</v>
      </c>
      <c r="AC103" t="str">
        <f>_xlfn.XLOOKUP(B103,Disk_Pivot!G:G,Disk_Pivot!N:N)</f>
        <v/>
      </c>
    </row>
    <row r="104" spans="6:29">
      <c r="F104" t="str">
        <f>_xlfn.XLOOKUP(H104,Models!B:B,Models!F:F,"")</f>
        <v/>
      </c>
      <c r="K104">
        <f>_xlfn.XLOOKUP(B104,CPU_Formula!A:A,CPU_Formula!I:I)</f>
        <v>0</v>
      </c>
      <c r="L104" s="13" t="e">
        <f>INDEX(Input!$D$2:$AD$500,
       MATCH(B104, Input!$J$2:$J$500, 0),
       MATCH("Memory Capacity", Input!$D$1:$AD$1, 0))</f>
        <v>#N/A</v>
      </c>
      <c r="M104" s="13" t="e">
        <f>INDEX(Input!$D$2:$AD$500,
       MATCH(B104, Input!$J$2:$J$500, 0),
       MATCH("Memory Type", Input!$D$1:$AD$1, 0))</f>
        <v>#N/A</v>
      </c>
      <c r="N104" s="13" t="e">
        <f t="shared" si="3"/>
        <v>#N/A</v>
      </c>
      <c r="S104" s="13" t="str">
        <f>_xlfn.LET(_xlpm.Result,_xlfn.XLOOKUP(B104,Input!J:J,Input!AB:AB),IF(_xlpm.Result="","",_xlpm.Result))</f>
        <v/>
      </c>
      <c r="T104" s="13" t="str" cm="1">
        <f t="array" ref="T104">IFERROR(_xlfn.IFS(
   --S104&lt;55,"Battery Defect",
  -- S104&lt;=69,"Battery D",
  --S104&lt;=80,"Battery C",
 --S104&gt;80,""
),"")</f>
        <v/>
      </c>
      <c r="U104" s="13" t="str" cm="1">
        <f t="array" ref="U104:Z104">IFERROR(IF(_xlfn.XLOOKUP(B104,Input!J:J,Input!N:S)=0,"",
          _xlfn.XLOOKUP(B104,Input!J:J,Input!N:S)),"")</f>
        <v/>
      </c>
      <c r="V104" s="13" t="str">
        <v/>
      </c>
      <c r="W104" s="13" t="str">
        <v/>
      </c>
      <c r="X104" s="13" t="str">
        <v/>
      </c>
      <c r="Y104" s="13" t="str">
        <v/>
      </c>
      <c r="Z104" s="13" t="str">
        <v/>
      </c>
      <c r="AA104" t="str">
        <f t="shared" si="5"/>
        <v/>
      </c>
      <c r="AB104" t="str">
        <f>_xlfn.XLOOKUP(B:B,Disk_Pivot!G:G,Disk_Pivot!I:I)</f>
        <v>No</v>
      </c>
      <c r="AC104" t="str">
        <f>_xlfn.XLOOKUP(B104,Disk_Pivot!G:G,Disk_Pivot!N:N)</f>
        <v/>
      </c>
    </row>
    <row r="105" spans="6:29">
      <c r="F105">
        <f>_xlfn.XLOOKUP(H105,Models!B:B,Models!F:F,"")</f>
        <v>0</v>
      </c>
      <c r="K105">
        <f>_xlfn.XLOOKUP(B105,CPU_Formula!A:A,CPU_Formula!I:I)</f>
        <v>0</v>
      </c>
      <c r="L105" s="13" t="e">
        <f>INDEX(Input!$D$2:$AD$500,
       MATCH(B105, Input!$J$2:$J$500, 0),
       MATCH("Memory Capacity", Input!$D$1:$AD$1, 0))</f>
        <v>#N/A</v>
      </c>
      <c r="M105" s="13" t="e">
        <f>INDEX(Input!$D$2:$AD$500,
       MATCH(B105, Input!$J$2:$J$500, 0),
       MATCH("Memory Type", Input!$D$1:$AD$1, 0))</f>
        <v>#N/A</v>
      </c>
      <c r="N105" s="13" t="e">
        <f t="shared" si="3"/>
        <v>#N/A</v>
      </c>
      <c r="S105" s="13" t="str">
        <f>_xlfn.LET(_xlpm.Result,_xlfn.XLOOKUP(B105,Input!J:J,Input!AB:AB),IF(_xlpm.Result="","",_xlpm.Result))</f>
        <v/>
      </c>
      <c r="T105" s="13" t="str" cm="1">
        <f t="array" ref="T105">IFERROR(_xlfn.IFS(
   --S105&lt;55,"Battery Defect",
  -- S105&lt;=69,"Battery D",
  --S105&lt;=80,"Battery C",
 --S105&gt;80,""
),"")</f>
        <v/>
      </c>
      <c r="U105" s="13" t="str" cm="1">
        <f t="array" ref="U105:Z105">IFERROR(IF(_xlfn.XLOOKUP(B105,Input!J:J,Input!N:S)=0,"",
          _xlfn.XLOOKUP(B105,Input!J:J,Input!N:S)),"")</f>
        <v/>
      </c>
      <c r="V105" s="13" t="str">
        <v/>
      </c>
      <c r="W105" s="13" t="str">
        <v/>
      </c>
      <c r="X105" s="13" t="str">
        <v/>
      </c>
      <c r="Y105" s="13" t="str">
        <v/>
      </c>
      <c r="Z105" s="13" t="str">
        <v/>
      </c>
      <c r="AA105" t="str">
        <f t="shared" si="5"/>
        <v/>
      </c>
      <c r="AB105" t="str">
        <f>_xlfn.XLOOKUP(B:B,Disk_Pivot!G:G,Disk_Pivot!I:I)</f>
        <v>No</v>
      </c>
      <c r="AC105" t="str">
        <f>_xlfn.XLOOKUP(B105,Disk_Pivot!G:G,Disk_Pivot!N:N)</f>
        <v/>
      </c>
    </row>
    <row r="106" spans="6:29">
      <c r="F106">
        <f>_xlfn.XLOOKUP(H106,Models!B:B,Models!F:F,"")</f>
        <v>0</v>
      </c>
      <c r="K106">
        <f>_xlfn.XLOOKUP(B106,CPU_Formula!A:A,CPU_Formula!I:I)</f>
        <v>0</v>
      </c>
      <c r="L106" s="13" t="e">
        <f>INDEX(Input!$D$2:$AD$500,
       MATCH(B106, Input!$J$2:$J$500, 0),
       MATCH("Memory Capacity", Input!$D$1:$AD$1, 0))</f>
        <v>#N/A</v>
      </c>
      <c r="M106" s="13" t="e">
        <f>INDEX(Input!$D$2:$AD$500,
       MATCH(B106, Input!$J$2:$J$500, 0),
       MATCH("Memory Type", Input!$D$1:$AD$1, 0))</f>
        <v>#N/A</v>
      </c>
      <c r="N106" s="13" t="e">
        <f t="shared" si="3"/>
        <v>#N/A</v>
      </c>
      <c r="S106" s="13" t="str">
        <f>_xlfn.LET(_xlpm.Result,_xlfn.XLOOKUP(B106,Input!J:J,Input!AB:AB),IF(_xlpm.Result="","",_xlpm.Result))</f>
        <v/>
      </c>
      <c r="T106" s="13" t="str" cm="1">
        <f t="array" ref="T106">IFERROR(_xlfn.IFS(
   --S106&lt;55,"Battery Defect",
  -- S106&lt;=69,"Battery D",
  --S106&lt;=80,"Battery C",
 --S106&gt;80,""
),"")</f>
        <v/>
      </c>
      <c r="U106" s="13" t="str" cm="1">
        <f t="array" ref="U106:Z106">IFERROR(IF(_xlfn.XLOOKUP(B106,Input!J:J,Input!N:S)=0,"",
          _xlfn.XLOOKUP(B106,Input!J:J,Input!N:S)),"")</f>
        <v/>
      </c>
      <c r="V106" s="13" t="str">
        <v/>
      </c>
      <c r="W106" s="13" t="str">
        <v/>
      </c>
      <c r="X106" s="13" t="str">
        <v/>
      </c>
      <c r="Y106" s="13" t="str">
        <v/>
      </c>
      <c r="Z106" s="13" t="str">
        <v/>
      </c>
      <c r="AA106" t="str">
        <f t="shared" si="5"/>
        <v/>
      </c>
      <c r="AB106" t="str">
        <f>_xlfn.XLOOKUP(B:B,Disk_Pivot!G:G,Disk_Pivot!I:I)</f>
        <v>No</v>
      </c>
      <c r="AC106" t="str">
        <f>_xlfn.XLOOKUP(B106,Disk_Pivot!G:G,Disk_Pivot!N:N)</f>
        <v/>
      </c>
    </row>
    <row r="107" spans="6:29">
      <c r="F107" t="str">
        <f>_xlfn.XLOOKUP(H107,Models!B:B,Models!F:F,"")</f>
        <v/>
      </c>
      <c r="K107">
        <f>_xlfn.XLOOKUP(B107,CPU_Formula!A:A,CPU_Formula!I:I)</f>
        <v>0</v>
      </c>
      <c r="L107" s="13" t="e">
        <f>INDEX(Input!$D$2:$AD$500,
       MATCH(B107, Input!$J$2:$J$500, 0),
       MATCH("Memory Capacity", Input!$D$1:$AD$1, 0))</f>
        <v>#N/A</v>
      </c>
      <c r="M107" s="13" t="e">
        <f>INDEX(Input!$D$2:$AD$500,
       MATCH(B107, Input!$J$2:$J$500, 0),
       MATCH("Memory Type", Input!$D$1:$AD$1, 0))</f>
        <v>#N/A</v>
      </c>
      <c r="N107" s="13" t="e">
        <f t="shared" si="3"/>
        <v>#N/A</v>
      </c>
      <c r="S107" s="13" t="str">
        <f>_xlfn.LET(_xlpm.Result,_xlfn.XLOOKUP(B107,Input!J:J,Input!AB:AB),IF(_xlpm.Result="","",_xlpm.Result))</f>
        <v/>
      </c>
      <c r="T107" s="13" t="str" cm="1">
        <f t="array" ref="T107">IFERROR(_xlfn.IFS(
   --S107&lt;55,"Battery Defect",
  -- S107&lt;=69,"Battery D",
  --S107&lt;=80,"Battery C",
 --S107&gt;80,""
),"")</f>
        <v/>
      </c>
      <c r="U107" s="13" t="str" cm="1">
        <f t="array" ref="U107:Z107">IFERROR(IF(_xlfn.XLOOKUP(B107,Input!J:J,Input!N:S)=0,"",
          _xlfn.XLOOKUP(B107,Input!J:J,Input!N:S)),"")</f>
        <v/>
      </c>
      <c r="V107" s="13" t="str">
        <v/>
      </c>
      <c r="W107" s="13" t="str">
        <v/>
      </c>
      <c r="X107" s="13" t="str">
        <v/>
      </c>
      <c r="Y107" s="13" t="str">
        <v/>
      </c>
      <c r="Z107" s="13" t="str">
        <v/>
      </c>
      <c r="AA107" t="str">
        <f t="shared" si="5"/>
        <v/>
      </c>
      <c r="AB107" t="str">
        <f>_xlfn.XLOOKUP(B:B,Disk_Pivot!G:G,Disk_Pivot!I:I)</f>
        <v>No</v>
      </c>
      <c r="AC107" t="str">
        <f>_xlfn.XLOOKUP(B107,Disk_Pivot!G:G,Disk_Pivot!N:N)</f>
        <v/>
      </c>
    </row>
    <row r="108" spans="6:29">
      <c r="F108">
        <f>_xlfn.XLOOKUP(H108,Models!B:B,Models!F:F,"")</f>
        <v>0</v>
      </c>
      <c r="K108">
        <f>_xlfn.XLOOKUP(B108,CPU_Formula!A:A,CPU_Formula!I:I)</f>
        <v>0</v>
      </c>
      <c r="L108" s="13" t="e">
        <f>INDEX(Input!$D$2:$AD$500,
       MATCH(B108, Input!$J$2:$J$500, 0),
       MATCH("Memory Capacity", Input!$D$1:$AD$1, 0))</f>
        <v>#N/A</v>
      </c>
      <c r="M108" s="13" t="e">
        <f>INDEX(Input!$D$2:$AD$500,
       MATCH(B108, Input!$J$2:$J$500, 0),
       MATCH("Memory Type", Input!$D$1:$AD$1, 0))</f>
        <v>#N/A</v>
      </c>
      <c r="N108" s="13" t="e">
        <f t="shared" si="3"/>
        <v>#N/A</v>
      </c>
      <c r="S108" s="13" t="str">
        <f>_xlfn.LET(_xlpm.Result,_xlfn.XLOOKUP(B108,Input!J:J,Input!AB:AB),IF(_xlpm.Result="","",_xlpm.Result))</f>
        <v/>
      </c>
      <c r="T108" s="13" t="str" cm="1">
        <f t="array" ref="T108">IFERROR(_xlfn.IFS(
   --S108&lt;55,"Battery Defect",
  -- S108&lt;=69,"Battery D",
  --S108&lt;=80,"Battery C",
 --S108&gt;80,""
),"")</f>
        <v/>
      </c>
      <c r="U108" s="13" t="str" cm="1">
        <f t="array" ref="U108:Z108">IFERROR(IF(_xlfn.XLOOKUP(B108,Input!J:J,Input!N:S)=0,"",
          _xlfn.XLOOKUP(B108,Input!J:J,Input!N:S)),"")</f>
        <v/>
      </c>
      <c r="V108" s="13" t="str">
        <v/>
      </c>
      <c r="W108" s="13" t="str">
        <v/>
      </c>
      <c r="X108" s="13" t="str">
        <v/>
      </c>
      <c r="Y108" s="13" t="str">
        <v/>
      </c>
      <c r="Z108" s="13" t="str">
        <v/>
      </c>
      <c r="AA108" t="str">
        <f t="shared" si="5"/>
        <v/>
      </c>
      <c r="AB108" t="str">
        <f>_xlfn.XLOOKUP(B:B,Disk_Pivot!G:G,Disk_Pivot!I:I)</f>
        <v>No</v>
      </c>
      <c r="AC108" t="str">
        <f>_xlfn.XLOOKUP(B108,Disk_Pivot!G:G,Disk_Pivot!N:N)</f>
        <v/>
      </c>
    </row>
    <row r="109" spans="6:29">
      <c r="F109">
        <f>_xlfn.XLOOKUP(H109,Models!B:B,Models!F:F,"")</f>
        <v>0</v>
      </c>
      <c r="K109">
        <f>_xlfn.XLOOKUP(B109,CPU_Formula!A:A,CPU_Formula!I:I)</f>
        <v>0</v>
      </c>
      <c r="L109" s="13" t="e">
        <f>INDEX(Input!$D$2:$AD$500,
       MATCH(B109, Input!$J$2:$J$500, 0),
       MATCH("Memory Capacity", Input!$D$1:$AD$1, 0))</f>
        <v>#N/A</v>
      </c>
      <c r="M109" s="13" t="e">
        <f>INDEX(Input!$D$2:$AD$500,
       MATCH(B109, Input!$J$2:$J$500, 0),
       MATCH("Memory Type", Input!$D$1:$AD$1, 0))</f>
        <v>#N/A</v>
      </c>
      <c r="N109" s="13" t="e">
        <f t="shared" si="3"/>
        <v>#N/A</v>
      </c>
      <c r="S109" s="13" t="str">
        <f>_xlfn.LET(_xlpm.Result,_xlfn.XLOOKUP(B109,Input!J:J,Input!AB:AB),IF(_xlpm.Result="","",_xlpm.Result))</f>
        <v/>
      </c>
      <c r="T109" s="13" t="str" cm="1">
        <f t="array" ref="T109">IFERROR(_xlfn.IFS(
   --S109&lt;55,"Battery Defect",
  -- S109&lt;=69,"Battery D",
  --S109&lt;=80,"Battery C",
 --S109&gt;80,""
),"")</f>
        <v/>
      </c>
      <c r="U109" s="13" t="str" cm="1">
        <f t="array" ref="U109:Z109">IFERROR(IF(_xlfn.XLOOKUP(B109,Input!J:J,Input!N:S)=0,"",
          _xlfn.XLOOKUP(B109,Input!J:J,Input!N:S)),"")</f>
        <v/>
      </c>
      <c r="V109" s="13" t="str">
        <v/>
      </c>
      <c r="W109" s="13" t="str">
        <v/>
      </c>
      <c r="X109" s="13" t="str">
        <v/>
      </c>
      <c r="Y109" s="13" t="str">
        <v/>
      </c>
      <c r="Z109" s="13" t="str">
        <v/>
      </c>
      <c r="AA109" t="str">
        <f t="shared" si="5"/>
        <v/>
      </c>
      <c r="AB109" t="str">
        <f>_xlfn.XLOOKUP(B:B,Disk_Pivot!G:G,Disk_Pivot!I:I)</f>
        <v>No</v>
      </c>
      <c r="AC109" t="str">
        <f>_xlfn.XLOOKUP(B109,Disk_Pivot!G:G,Disk_Pivot!N:N)</f>
        <v/>
      </c>
    </row>
    <row r="110" spans="6:29">
      <c r="F110" t="str">
        <f>_xlfn.XLOOKUP(H110,Models!B:B,Models!F:F,"")</f>
        <v/>
      </c>
      <c r="K110">
        <f>_xlfn.XLOOKUP(B110,CPU_Formula!A:A,CPU_Formula!I:I)</f>
        <v>0</v>
      </c>
      <c r="L110" s="13" t="e">
        <f>INDEX(Input!$D$2:$AD$500,
       MATCH(B110, Input!$J$2:$J$500, 0),
       MATCH("Memory Capacity", Input!$D$1:$AD$1, 0))</f>
        <v>#N/A</v>
      </c>
      <c r="M110" s="13" t="e">
        <f>INDEX(Input!$D$2:$AD$500,
       MATCH(B110, Input!$J$2:$J$500, 0),
       MATCH("Memory Type", Input!$D$1:$AD$1, 0))</f>
        <v>#N/A</v>
      </c>
      <c r="N110" s="13" t="e">
        <f t="shared" si="3"/>
        <v>#N/A</v>
      </c>
      <c r="S110" s="13" t="str">
        <f>_xlfn.LET(_xlpm.Result,_xlfn.XLOOKUP(B110,Input!J:J,Input!AB:AB),IF(_xlpm.Result="","",_xlpm.Result))</f>
        <v/>
      </c>
      <c r="T110" s="13" t="str" cm="1">
        <f t="array" ref="T110">IFERROR(_xlfn.IFS(
   --S110&lt;55,"Battery Defect",
  -- S110&lt;=69,"Battery D",
  --S110&lt;=80,"Battery C",
 --S110&gt;80,""
),"")</f>
        <v/>
      </c>
      <c r="U110" s="13" t="str" cm="1">
        <f t="array" ref="U110:Z110">IFERROR(IF(_xlfn.XLOOKUP(B110,Input!J:J,Input!N:S)=0,"",
          _xlfn.XLOOKUP(B110,Input!J:J,Input!N:S)),"")</f>
        <v/>
      </c>
      <c r="V110" s="13" t="str">
        <v/>
      </c>
      <c r="W110" s="13" t="str">
        <v/>
      </c>
      <c r="X110" s="13" t="str">
        <v/>
      </c>
      <c r="Y110" s="13" t="str">
        <v/>
      </c>
      <c r="Z110" s="13" t="str">
        <v/>
      </c>
      <c r="AA110" t="str">
        <f t="shared" si="5"/>
        <v/>
      </c>
      <c r="AB110" t="str">
        <f>_xlfn.XLOOKUP(B:B,Disk_Pivot!G:G,Disk_Pivot!I:I)</f>
        <v>No</v>
      </c>
      <c r="AC110" t="str">
        <f>_xlfn.XLOOKUP(B110,Disk_Pivot!G:G,Disk_Pivot!N:N)</f>
        <v/>
      </c>
    </row>
    <row r="111" spans="6:29">
      <c r="F111">
        <f>_xlfn.XLOOKUP(H111,Models!B:B,Models!F:F,"")</f>
        <v>0</v>
      </c>
      <c r="K111">
        <f>_xlfn.XLOOKUP(B111,CPU_Formula!A:A,CPU_Formula!I:I)</f>
        <v>0</v>
      </c>
      <c r="L111" s="13" t="e">
        <f>INDEX(Input!$D$2:$AD$500,
       MATCH(B111, Input!$J$2:$J$500, 0),
       MATCH("Memory Capacity", Input!$D$1:$AD$1, 0))</f>
        <v>#N/A</v>
      </c>
      <c r="M111" s="13" t="e">
        <f>INDEX(Input!$D$2:$AD$500,
       MATCH(B111, Input!$J$2:$J$500, 0),
       MATCH("Memory Type", Input!$D$1:$AD$1, 0))</f>
        <v>#N/A</v>
      </c>
      <c r="N111" s="13" t="e">
        <f t="shared" si="3"/>
        <v>#N/A</v>
      </c>
      <c r="S111" s="13" t="str">
        <f>_xlfn.LET(_xlpm.Result,_xlfn.XLOOKUP(B111,Input!J:J,Input!AB:AB),IF(_xlpm.Result="","",_xlpm.Result))</f>
        <v/>
      </c>
      <c r="T111" s="13" t="str" cm="1">
        <f t="array" ref="T111">IFERROR(_xlfn.IFS(
   --S111&lt;55,"Battery Defect",
  -- S111&lt;=69,"Battery D",
  --S111&lt;=80,"Battery C",
 --S111&gt;80,""
),"")</f>
        <v/>
      </c>
      <c r="U111" s="13" t="str" cm="1">
        <f t="array" ref="U111:Z111">IFERROR(IF(_xlfn.XLOOKUP(B111,Input!J:J,Input!N:S)=0,"",
          _xlfn.XLOOKUP(B111,Input!J:J,Input!N:S)),"")</f>
        <v/>
      </c>
      <c r="V111" s="13" t="str">
        <v/>
      </c>
      <c r="W111" s="13" t="str">
        <v/>
      </c>
      <c r="X111" s="13" t="str">
        <v/>
      </c>
      <c r="Y111" s="13" t="str">
        <v/>
      </c>
      <c r="Z111" s="13" t="str">
        <v/>
      </c>
      <c r="AA111" t="str">
        <f t="shared" si="5"/>
        <v/>
      </c>
      <c r="AB111" t="str">
        <f>_xlfn.XLOOKUP(B:B,Disk_Pivot!G:G,Disk_Pivot!I:I)</f>
        <v>No</v>
      </c>
      <c r="AC111" t="str">
        <f>_xlfn.XLOOKUP(B111,Disk_Pivot!G:G,Disk_Pivot!N:N)</f>
        <v/>
      </c>
    </row>
    <row r="112" spans="6:29">
      <c r="F112">
        <f>_xlfn.XLOOKUP(H112,Models!B:B,Models!F:F,"")</f>
        <v>0</v>
      </c>
      <c r="K112">
        <f>_xlfn.XLOOKUP(B112,CPU_Formula!A:A,CPU_Formula!I:I)</f>
        <v>0</v>
      </c>
      <c r="L112" s="13" t="e">
        <f>INDEX(Input!$D$2:$AD$500,
       MATCH(B112, Input!$J$2:$J$500, 0),
       MATCH("Memory Capacity", Input!$D$1:$AD$1, 0))</f>
        <v>#N/A</v>
      </c>
      <c r="M112" s="13" t="e">
        <f>INDEX(Input!$D$2:$AD$500,
       MATCH(B112, Input!$J$2:$J$500, 0),
       MATCH("Memory Type", Input!$D$1:$AD$1, 0))</f>
        <v>#N/A</v>
      </c>
      <c r="N112" s="13" t="e">
        <f t="shared" si="3"/>
        <v>#N/A</v>
      </c>
      <c r="S112" s="13" t="str">
        <f>_xlfn.LET(_xlpm.Result,_xlfn.XLOOKUP(B112,Input!J:J,Input!AB:AB),IF(_xlpm.Result="","",_xlpm.Result))</f>
        <v/>
      </c>
      <c r="T112" s="13" t="str" cm="1">
        <f t="array" ref="T112">IFERROR(_xlfn.IFS(
   --S112&lt;55,"Battery Defect",
  -- S112&lt;=69,"Battery D",
  --S112&lt;=80,"Battery C",
 --S112&gt;80,""
),"")</f>
        <v/>
      </c>
      <c r="U112" s="13" t="str" cm="1">
        <f t="array" ref="U112:Z112">IFERROR(IF(_xlfn.XLOOKUP(B112,Input!J:J,Input!N:S)=0,"",
          _xlfn.XLOOKUP(B112,Input!J:J,Input!N:S)),"")</f>
        <v/>
      </c>
      <c r="V112" s="13" t="str">
        <v/>
      </c>
      <c r="W112" s="13" t="str">
        <v/>
      </c>
      <c r="X112" s="13" t="str">
        <v/>
      </c>
      <c r="Y112" s="13" t="str">
        <v/>
      </c>
      <c r="Z112" s="13" t="str">
        <v/>
      </c>
      <c r="AA112" t="str">
        <f t="shared" si="5"/>
        <v/>
      </c>
      <c r="AB112" t="str">
        <f>_xlfn.XLOOKUP(B:B,Disk_Pivot!G:G,Disk_Pivot!I:I)</f>
        <v>No</v>
      </c>
      <c r="AC112" t="str">
        <f>_xlfn.XLOOKUP(B112,Disk_Pivot!G:G,Disk_Pivot!N:N)</f>
        <v/>
      </c>
    </row>
    <row r="113" spans="6:29">
      <c r="F113" t="str">
        <f>_xlfn.XLOOKUP(H113,Models!B:B,Models!F:F,"")</f>
        <v/>
      </c>
      <c r="K113">
        <f>_xlfn.XLOOKUP(B113,CPU_Formula!A:A,CPU_Formula!I:I)</f>
        <v>0</v>
      </c>
      <c r="L113" s="13" t="e">
        <f>INDEX(Input!$D$2:$AD$500,
       MATCH(B113, Input!$J$2:$J$500, 0),
       MATCH("Memory Capacity", Input!$D$1:$AD$1, 0))</f>
        <v>#N/A</v>
      </c>
      <c r="M113" s="13" t="e">
        <f>INDEX(Input!$D$2:$AD$500,
       MATCH(B113, Input!$J$2:$J$500, 0),
       MATCH("Memory Type", Input!$D$1:$AD$1, 0))</f>
        <v>#N/A</v>
      </c>
      <c r="N113" s="13" t="e">
        <f t="shared" si="3"/>
        <v>#N/A</v>
      </c>
      <c r="S113" s="13" t="str">
        <f>_xlfn.LET(_xlpm.Result,_xlfn.XLOOKUP(B113,Input!J:J,Input!AB:AB),IF(_xlpm.Result="","",_xlpm.Result))</f>
        <v/>
      </c>
      <c r="T113" s="13" t="str" cm="1">
        <f t="array" ref="T113">IFERROR(_xlfn.IFS(
   --S113&lt;55,"Battery Defect",
  -- S113&lt;=69,"Battery D",
  --S113&lt;=80,"Battery C",
 --S113&gt;80,""
),"")</f>
        <v/>
      </c>
      <c r="U113" s="13" t="str" cm="1">
        <f t="array" ref="U113:Z113">IFERROR(IF(_xlfn.XLOOKUP(B113,Input!J:J,Input!N:S)=0,"",
          _xlfn.XLOOKUP(B113,Input!J:J,Input!N:S)),"")</f>
        <v/>
      </c>
      <c r="V113" s="13" t="str">
        <v/>
      </c>
      <c r="W113" s="13" t="str">
        <v/>
      </c>
      <c r="X113" s="13" t="str">
        <v/>
      </c>
      <c r="Y113" s="13" t="str">
        <v/>
      </c>
      <c r="Z113" s="13" t="str">
        <v/>
      </c>
      <c r="AA113" t="str">
        <f t="shared" si="5"/>
        <v/>
      </c>
      <c r="AB113" t="str">
        <f>_xlfn.XLOOKUP(B:B,Disk_Pivot!G:G,Disk_Pivot!I:I)</f>
        <v>No</v>
      </c>
      <c r="AC113" t="str">
        <f>_xlfn.XLOOKUP(B113,Disk_Pivot!G:G,Disk_Pivot!N:N)</f>
        <v/>
      </c>
    </row>
    <row r="114" spans="6:29">
      <c r="F114">
        <f>_xlfn.XLOOKUP(H114,Models!B:B,Models!F:F,"")</f>
        <v>0</v>
      </c>
      <c r="K114">
        <f>_xlfn.XLOOKUP(B114,CPU_Formula!A:A,CPU_Formula!I:I)</f>
        <v>0</v>
      </c>
      <c r="L114" s="13" t="e">
        <f>INDEX(Input!$D$2:$AD$500,
       MATCH(B114, Input!$J$2:$J$500, 0),
       MATCH("Memory Capacity", Input!$D$1:$AD$1, 0))</f>
        <v>#N/A</v>
      </c>
      <c r="M114" s="13" t="e">
        <f>INDEX(Input!$D$2:$AD$500,
       MATCH(B114, Input!$J$2:$J$500, 0),
       MATCH("Memory Type", Input!$D$1:$AD$1, 0))</f>
        <v>#N/A</v>
      </c>
      <c r="N114" s="13" t="e">
        <f t="shared" si="3"/>
        <v>#N/A</v>
      </c>
      <c r="S114" s="13" t="str">
        <f>_xlfn.LET(_xlpm.Result,_xlfn.XLOOKUP(B114,Input!J:J,Input!AB:AB),IF(_xlpm.Result="","",_xlpm.Result))</f>
        <v/>
      </c>
      <c r="T114" s="13" t="str" cm="1">
        <f t="array" ref="T114">IFERROR(_xlfn.IFS(
   --S114&lt;55,"Battery Defect",
  -- S114&lt;=69,"Battery D",
  --S114&lt;=80,"Battery C",
 --S114&gt;80,""
),"")</f>
        <v/>
      </c>
      <c r="U114" s="13" t="str" cm="1">
        <f t="array" ref="U114:Z114">IFERROR(IF(_xlfn.XLOOKUP(B114,Input!J:J,Input!N:S)=0,"",
          _xlfn.XLOOKUP(B114,Input!J:J,Input!N:S)),"")</f>
        <v/>
      </c>
      <c r="V114" s="13" t="str">
        <v/>
      </c>
      <c r="W114" s="13" t="str">
        <v/>
      </c>
      <c r="X114" s="13" t="str">
        <v/>
      </c>
      <c r="Y114" s="13" t="str">
        <v/>
      </c>
      <c r="Z114" s="13" t="str">
        <v/>
      </c>
      <c r="AA114" t="str">
        <f t="shared" si="5"/>
        <v/>
      </c>
      <c r="AB114" t="str">
        <f>_xlfn.XLOOKUP(B:B,Disk_Pivot!G:G,Disk_Pivot!I:I)</f>
        <v>No</v>
      </c>
      <c r="AC114" t="str">
        <f>_xlfn.XLOOKUP(B114,Disk_Pivot!G:G,Disk_Pivot!N:N)</f>
        <v/>
      </c>
    </row>
    <row r="115" spans="6:29">
      <c r="F115">
        <f>_xlfn.XLOOKUP(H115,Models!B:B,Models!F:F,"")</f>
        <v>0</v>
      </c>
      <c r="K115">
        <f>_xlfn.XLOOKUP(B115,CPU_Formula!A:A,CPU_Formula!I:I)</f>
        <v>0</v>
      </c>
      <c r="L115" s="13" t="e">
        <f>INDEX(Input!$D$2:$AD$500,
       MATCH(B115, Input!$J$2:$J$500, 0),
       MATCH("Memory Capacity", Input!$D$1:$AD$1, 0))</f>
        <v>#N/A</v>
      </c>
      <c r="M115" s="13" t="e">
        <f>INDEX(Input!$D$2:$AD$500,
       MATCH(B115, Input!$J$2:$J$500, 0),
       MATCH("Memory Type", Input!$D$1:$AD$1, 0))</f>
        <v>#N/A</v>
      </c>
      <c r="N115" s="13" t="e">
        <f t="shared" si="3"/>
        <v>#N/A</v>
      </c>
      <c r="S115" s="13" t="str">
        <f>_xlfn.LET(_xlpm.Result,_xlfn.XLOOKUP(B115,Input!J:J,Input!AB:AB),IF(_xlpm.Result="","",_xlpm.Result))</f>
        <v/>
      </c>
      <c r="T115" s="13" t="str" cm="1">
        <f t="array" ref="T115">IFERROR(_xlfn.IFS(
   --S115&lt;55,"Battery Defect",
  -- S115&lt;=69,"Battery D",
  --S115&lt;=80,"Battery C",
 --S115&gt;80,""
),"")</f>
        <v/>
      </c>
      <c r="U115" s="13" t="str" cm="1">
        <f t="array" ref="U115:Z115">IFERROR(IF(_xlfn.XLOOKUP(B115,Input!J:J,Input!N:S)=0,"",
          _xlfn.XLOOKUP(B115,Input!J:J,Input!N:S)),"")</f>
        <v/>
      </c>
      <c r="V115" s="13" t="str">
        <v/>
      </c>
      <c r="W115" s="13" t="str">
        <v/>
      </c>
      <c r="X115" s="13" t="str">
        <v/>
      </c>
      <c r="Y115" s="13" t="str">
        <v/>
      </c>
      <c r="Z115" s="13" t="str">
        <v/>
      </c>
      <c r="AA115" t="str">
        <f t="shared" si="5"/>
        <v/>
      </c>
      <c r="AB115" t="str">
        <f>_xlfn.XLOOKUP(B:B,Disk_Pivot!G:G,Disk_Pivot!I:I)</f>
        <v>No</v>
      </c>
      <c r="AC115" t="str">
        <f>_xlfn.XLOOKUP(B115,Disk_Pivot!G:G,Disk_Pivot!N:N)</f>
        <v/>
      </c>
    </row>
    <row r="116" spans="6:29">
      <c r="F116" t="str">
        <f>_xlfn.XLOOKUP(H116,Models!B:B,Models!F:F,"")</f>
        <v/>
      </c>
      <c r="K116">
        <f>_xlfn.XLOOKUP(B116,CPU_Formula!A:A,CPU_Formula!I:I)</f>
        <v>0</v>
      </c>
      <c r="L116" s="13" t="e">
        <f>INDEX(Input!$D$2:$AD$500,
       MATCH(B116, Input!$J$2:$J$500, 0),
       MATCH("Memory Capacity", Input!$D$1:$AD$1, 0))</f>
        <v>#N/A</v>
      </c>
      <c r="M116" s="13" t="e">
        <f>INDEX(Input!$D$2:$AD$500,
       MATCH(B116, Input!$J$2:$J$500, 0),
       MATCH("Memory Type", Input!$D$1:$AD$1, 0))</f>
        <v>#N/A</v>
      </c>
      <c r="N116" s="13" t="e">
        <f t="shared" si="3"/>
        <v>#N/A</v>
      </c>
      <c r="S116" s="13" t="str">
        <f>_xlfn.LET(_xlpm.Result,_xlfn.XLOOKUP(B116,Input!J:J,Input!AB:AB),IF(_xlpm.Result="","",_xlpm.Result))</f>
        <v/>
      </c>
      <c r="T116" s="13" t="str" cm="1">
        <f t="array" ref="T116">IFERROR(_xlfn.IFS(
   --S116&lt;55,"Battery Defect",
  -- S116&lt;=69,"Battery D",
  --S116&lt;=80,"Battery C",
 --S116&gt;80,""
),"")</f>
        <v/>
      </c>
      <c r="U116" s="13" t="str" cm="1">
        <f t="array" ref="U116:Z116">IFERROR(IF(_xlfn.XLOOKUP(B116,Input!J:J,Input!N:S)=0,"",
          _xlfn.XLOOKUP(B116,Input!J:J,Input!N:S)),"")</f>
        <v/>
      </c>
      <c r="V116" s="13" t="str">
        <v/>
      </c>
      <c r="W116" s="13" t="str">
        <v/>
      </c>
      <c r="X116" s="13" t="str">
        <v/>
      </c>
      <c r="Y116" s="13" t="str">
        <v/>
      </c>
      <c r="Z116" s="13" t="str">
        <v/>
      </c>
      <c r="AA116" t="str">
        <f t="shared" si="5"/>
        <v/>
      </c>
      <c r="AB116" t="str">
        <f>_xlfn.XLOOKUP(B:B,Disk_Pivot!G:G,Disk_Pivot!I:I)</f>
        <v>No</v>
      </c>
      <c r="AC116" t="str">
        <f>_xlfn.XLOOKUP(B116,Disk_Pivot!G:G,Disk_Pivot!N:N)</f>
        <v/>
      </c>
    </row>
    <row r="117" spans="6:29">
      <c r="F117">
        <f>_xlfn.XLOOKUP(H117,Models!B:B,Models!F:F,"")</f>
        <v>0</v>
      </c>
      <c r="K117">
        <f>_xlfn.XLOOKUP(B117,CPU_Formula!A:A,CPU_Formula!I:I)</f>
        <v>0</v>
      </c>
      <c r="L117" s="13" t="e">
        <f>INDEX(Input!$D$2:$AD$500,
       MATCH(B117, Input!$J$2:$J$500, 0),
       MATCH("Memory Capacity", Input!$D$1:$AD$1, 0))</f>
        <v>#N/A</v>
      </c>
      <c r="M117" s="13" t="e">
        <f>INDEX(Input!$D$2:$AD$500,
       MATCH(B117, Input!$J$2:$J$500, 0),
       MATCH("Memory Type", Input!$D$1:$AD$1, 0))</f>
        <v>#N/A</v>
      </c>
      <c r="N117" s="13" t="e">
        <f t="shared" si="3"/>
        <v>#N/A</v>
      </c>
      <c r="S117" s="13" t="str">
        <f>_xlfn.LET(_xlpm.Result,_xlfn.XLOOKUP(B117,Input!J:J,Input!AB:AB),IF(_xlpm.Result="","",_xlpm.Result))</f>
        <v/>
      </c>
      <c r="T117" s="13" t="str" cm="1">
        <f t="array" ref="T117">IFERROR(_xlfn.IFS(
   --S117&lt;55,"Battery Defect",
  -- S117&lt;=69,"Battery D",
  --S117&lt;=80,"Battery C",
 --S117&gt;80,""
),"")</f>
        <v/>
      </c>
      <c r="U117" s="13" t="str" cm="1">
        <f t="array" ref="U117:Z117">IFERROR(IF(_xlfn.XLOOKUP(B117,Input!J:J,Input!N:S)=0,"",
          _xlfn.XLOOKUP(B117,Input!J:J,Input!N:S)),"")</f>
        <v/>
      </c>
      <c r="V117" s="13" t="str">
        <v/>
      </c>
      <c r="W117" s="13" t="str">
        <v/>
      </c>
      <c r="X117" s="13" t="str">
        <v/>
      </c>
      <c r="Y117" s="13" t="str">
        <v/>
      </c>
      <c r="Z117" s="13" t="str">
        <v/>
      </c>
      <c r="AA117" t="str">
        <f t="shared" si="5"/>
        <v/>
      </c>
      <c r="AB117" t="str">
        <f>_xlfn.XLOOKUP(B:B,Disk_Pivot!G:G,Disk_Pivot!I:I)</f>
        <v>No</v>
      </c>
      <c r="AC117" t="str">
        <f>_xlfn.XLOOKUP(B117,Disk_Pivot!G:G,Disk_Pivot!N:N)</f>
        <v/>
      </c>
    </row>
    <row r="118" spans="6:29">
      <c r="F118">
        <f>_xlfn.XLOOKUP(H118,Models!B:B,Models!F:F,"")</f>
        <v>0</v>
      </c>
      <c r="K118">
        <f>_xlfn.XLOOKUP(B118,CPU_Formula!A:A,CPU_Formula!I:I)</f>
        <v>0</v>
      </c>
      <c r="L118" s="13" t="e">
        <f>INDEX(Input!$D$2:$AD$500,
       MATCH(B118, Input!$J$2:$J$500, 0),
       MATCH("Memory Capacity", Input!$D$1:$AD$1, 0))</f>
        <v>#N/A</v>
      </c>
      <c r="M118" s="13" t="e">
        <f>INDEX(Input!$D$2:$AD$500,
       MATCH(B118, Input!$J$2:$J$500, 0),
       MATCH("Memory Type", Input!$D$1:$AD$1, 0))</f>
        <v>#N/A</v>
      </c>
      <c r="N118" s="13" t="e">
        <f t="shared" si="3"/>
        <v>#N/A</v>
      </c>
      <c r="S118" s="13" t="str">
        <f>_xlfn.LET(_xlpm.Result,_xlfn.XLOOKUP(B118,Input!J:J,Input!AB:AB),IF(_xlpm.Result="","",_xlpm.Result))</f>
        <v/>
      </c>
      <c r="T118" s="13" t="str" cm="1">
        <f t="array" ref="T118">IFERROR(_xlfn.IFS(
   --S118&lt;55,"Battery Defect",
  -- S118&lt;=69,"Battery D",
  --S118&lt;=80,"Battery C",
 --S118&gt;80,""
),"")</f>
        <v/>
      </c>
      <c r="U118" s="13" t="str" cm="1">
        <f t="array" ref="U118:Z118">IFERROR(IF(_xlfn.XLOOKUP(B118,Input!J:J,Input!N:S)=0,"",
          _xlfn.XLOOKUP(B118,Input!J:J,Input!N:S)),"")</f>
        <v/>
      </c>
      <c r="V118" s="13" t="str">
        <v/>
      </c>
      <c r="W118" s="13" t="str">
        <v/>
      </c>
      <c r="X118" s="13" t="str">
        <v/>
      </c>
      <c r="Y118" s="13" t="str">
        <v/>
      </c>
      <c r="Z118" s="13" t="str">
        <v/>
      </c>
      <c r="AA118" t="str">
        <f t="shared" si="5"/>
        <v/>
      </c>
      <c r="AB118" t="str">
        <f>_xlfn.XLOOKUP(B:B,Disk_Pivot!G:G,Disk_Pivot!I:I)</f>
        <v>No</v>
      </c>
      <c r="AC118" t="str">
        <f>_xlfn.XLOOKUP(B118,Disk_Pivot!G:G,Disk_Pivot!N:N)</f>
        <v/>
      </c>
    </row>
    <row r="119" spans="6:29">
      <c r="F119" t="str">
        <f>_xlfn.XLOOKUP(H119,Models!B:B,Models!F:F,"")</f>
        <v/>
      </c>
      <c r="K119">
        <f>_xlfn.XLOOKUP(B119,CPU_Formula!A:A,CPU_Formula!I:I)</f>
        <v>0</v>
      </c>
      <c r="L119" s="13" t="e">
        <f>INDEX(Input!$D$2:$AD$500,
       MATCH(B119, Input!$J$2:$J$500, 0),
       MATCH("Memory Capacity", Input!$D$1:$AD$1, 0))</f>
        <v>#N/A</v>
      </c>
      <c r="M119" s="13" t="e">
        <f>INDEX(Input!$D$2:$AD$500,
       MATCH(B119, Input!$J$2:$J$500, 0),
       MATCH("Memory Type", Input!$D$1:$AD$1, 0))</f>
        <v>#N/A</v>
      </c>
      <c r="N119" s="13" t="e">
        <f t="shared" si="3"/>
        <v>#N/A</v>
      </c>
      <c r="S119" s="13" t="str">
        <f>_xlfn.LET(_xlpm.Result,_xlfn.XLOOKUP(B119,Input!J:J,Input!AB:AB),IF(_xlpm.Result="","",_xlpm.Result))</f>
        <v/>
      </c>
      <c r="T119" s="13" t="str" cm="1">
        <f t="array" ref="T119">IFERROR(_xlfn.IFS(
   --S119&lt;55,"Battery Defect",
  -- S119&lt;=69,"Battery D",
  --S119&lt;=80,"Battery C",
 --S119&gt;80,""
),"")</f>
        <v/>
      </c>
      <c r="U119" s="13" t="str" cm="1">
        <f t="array" ref="U119:Z119">IFERROR(IF(_xlfn.XLOOKUP(B119,Input!J:J,Input!N:S)=0,"",
          _xlfn.XLOOKUP(B119,Input!J:J,Input!N:S)),"")</f>
        <v/>
      </c>
      <c r="V119" s="13" t="str">
        <v/>
      </c>
      <c r="W119" s="13" t="str">
        <v/>
      </c>
      <c r="X119" s="13" t="str">
        <v/>
      </c>
      <c r="Y119" s="13" t="str">
        <v/>
      </c>
      <c r="Z119" s="13" t="str">
        <v/>
      </c>
      <c r="AA119" t="str">
        <f t="shared" si="5"/>
        <v/>
      </c>
      <c r="AB119" t="str">
        <f>_xlfn.XLOOKUP(B:B,Disk_Pivot!G:G,Disk_Pivot!I:I)</f>
        <v>No</v>
      </c>
      <c r="AC119" t="str">
        <f>_xlfn.XLOOKUP(B119,Disk_Pivot!G:G,Disk_Pivot!N:N)</f>
        <v/>
      </c>
    </row>
    <row r="120" spans="6:29">
      <c r="F120">
        <f>_xlfn.XLOOKUP(H120,Models!B:B,Models!F:F,"")</f>
        <v>0</v>
      </c>
      <c r="K120">
        <f>_xlfn.XLOOKUP(B120,CPU_Formula!A:A,CPU_Formula!I:I)</f>
        <v>0</v>
      </c>
      <c r="L120" s="13" t="e">
        <f>INDEX(Input!$D$2:$AD$500,
       MATCH(B120, Input!$J$2:$J$500, 0),
       MATCH("Memory Capacity", Input!$D$1:$AD$1, 0))</f>
        <v>#N/A</v>
      </c>
      <c r="M120" s="13" t="e">
        <f>INDEX(Input!$D$2:$AD$500,
       MATCH(B120, Input!$J$2:$J$500, 0),
       MATCH("Memory Type", Input!$D$1:$AD$1, 0))</f>
        <v>#N/A</v>
      </c>
      <c r="N120" s="13" t="e">
        <f t="shared" si="3"/>
        <v>#N/A</v>
      </c>
      <c r="S120" s="13" t="str">
        <f>_xlfn.LET(_xlpm.Result,_xlfn.XLOOKUP(B120,Input!J:J,Input!AB:AB),IF(_xlpm.Result="","",_xlpm.Result))</f>
        <v/>
      </c>
      <c r="T120" s="13" t="str" cm="1">
        <f t="array" ref="T120">IFERROR(_xlfn.IFS(
   --S120&lt;55,"Battery Defect",
  -- S120&lt;=69,"Battery D",
  --S120&lt;=80,"Battery C",
 --S120&gt;80,""
),"")</f>
        <v/>
      </c>
      <c r="U120" s="13" t="str" cm="1">
        <f t="array" ref="U120:Z120">IFERROR(IF(_xlfn.XLOOKUP(B120,Input!J:J,Input!N:S)=0,"",
          _xlfn.XLOOKUP(B120,Input!J:J,Input!N:S)),"")</f>
        <v/>
      </c>
      <c r="V120" s="13" t="str">
        <v/>
      </c>
      <c r="W120" s="13" t="str">
        <v/>
      </c>
      <c r="X120" s="13" t="str">
        <v/>
      </c>
      <c r="Y120" s="13" t="str">
        <v/>
      </c>
      <c r="Z120" s="13" t="str">
        <v/>
      </c>
      <c r="AA120" t="str">
        <f t="shared" si="5"/>
        <v/>
      </c>
      <c r="AB120" t="str">
        <f>_xlfn.XLOOKUP(B:B,Disk_Pivot!G:G,Disk_Pivot!I:I)</f>
        <v>No</v>
      </c>
      <c r="AC120" t="str">
        <f>_xlfn.XLOOKUP(B120,Disk_Pivot!G:G,Disk_Pivot!N:N)</f>
        <v/>
      </c>
    </row>
    <row r="121" spans="6:29">
      <c r="F121">
        <f>_xlfn.XLOOKUP(H121,Models!B:B,Models!F:F,"")</f>
        <v>0</v>
      </c>
      <c r="K121">
        <f>_xlfn.XLOOKUP(B121,CPU_Formula!A:A,CPU_Formula!I:I)</f>
        <v>0</v>
      </c>
      <c r="L121" s="13" t="e">
        <f>INDEX(Input!$D$2:$AD$500,
       MATCH(B121, Input!$J$2:$J$500, 0),
       MATCH("Memory Capacity", Input!$D$1:$AD$1, 0))</f>
        <v>#N/A</v>
      </c>
      <c r="M121" s="13" t="e">
        <f>INDEX(Input!$D$2:$AD$500,
       MATCH(B121, Input!$J$2:$J$500, 0),
       MATCH("Memory Type", Input!$D$1:$AD$1, 0))</f>
        <v>#N/A</v>
      </c>
      <c r="N121" s="13" t="e">
        <f t="shared" si="3"/>
        <v>#N/A</v>
      </c>
      <c r="S121" s="13" t="str">
        <f>_xlfn.LET(_xlpm.Result,_xlfn.XLOOKUP(B121,Input!J:J,Input!AB:AB),IF(_xlpm.Result="","",_xlpm.Result))</f>
        <v/>
      </c>
      <c r="T121" s="13" t="str" cm="1">
        <f t="array" ref="T121">IFERROR(_xlfn.IFS(
   --S121&lt;55,"Battery Defect",
  -- S121&lt;=69,"Battery D",
  --S121&lt;=80,"Battery C",
 --S121&gt;80,""
),"")</f>
        <v/>
      </c>
      <c r="U121" s="13" t="str" cm="1">
        <f t="array" ref="U121:Z121">IFERROR(IF(_xlfn.XLOOKUP(B121,Input!J:J,Input!N:S)=0,"",
          _xlfn.XLOOKUP(B121,Input!J:J,Input!N:S)),"")</f>
        <v/>
      </c>
      <c r="V121" s="13" t="str">
        <v/>
      </c>
      <c r="W121" s="13" t="str">
        <v/>
      </c>
      <c r="X121" s="13" t="str">
        <v/>
      </c>
      <c r="Y121" s="13" t="str">
        <v/>
      </c>
      <c r="Z121" s="13" t="str">
        <v/>
      </c>
      <c r="AA121" t="str">
        <f t="shared" si="5"/>
        <v/>
      </c>
      <c r="AB121" t="str">
        <f>_xlfn.XLOOKUP(B:B,Disk_Pivot!G:G,Disk_Pivot!I:I)</f>
        <v>No</v>
      </c>
      <c r="AC121" t="str">
        <f>_xlfn.XLOOKUP(B121,Disk_Pivot!G:G,Disk_Pivot!N:N)</f>
        <v/>
      </c>
    </row>
    <row r="122" spans="6:29">
      <c r="F122" t="str">
        <f>_xlfn.XLOOKUP(H122,Models!B:B,Models!F:F,"")</f>
        <v/>
      </c>
      <c r="K122">
        <f>_xlfn.XLOOKUP(B122,CPU_Formula!A:A,CPU_Formula!I:I)</f>
        <v>0</v>
      </c>
      <c r="L122" s="13" t="e">
        <f>INDEX(Input!$D$2:$AD$500,
       MATCH(B122, Input!$J$2:$J$500, 0),
       MATCH("Memory Capacity", Input!$D$1:$AD$1, 0))</f>
        <v>#N/A</v>
      </c>
      <c r="M122" s="13" t="e">
        <f>INDEX(Input!$D$2:$AD$500,
       MATCH(B122, Input!$J$2:$J$500, 0),
       MATCH("Memory Type", Input!$D$1:$AD$1, 0))</f>
        <v>#N/A</v>
      </c>
      <c r="N122" s="13" t="e">
        <f t="shared" si="3"/>
        <v>#N/A</v>
      </c>
      <c r="S122" s="13" t="str">
        <f>_xlfn.LET(_xlpm.Result,_xlfn.XLOOKUP(B122,Input!J:J,Input!AB:AB),IF(_xlpm.Result="","",_xlpm.Result))</f>
        <v/>
      </c>
      <c r="T122" s="13" t="str" cm="1">
        <f t="array" ref="T122">IFERROR(_xlfn.IFS(
   --S122&lt;55,"Battery Defect",
  -- S122&lt;=69,"Battery D",
  --S122&lt;=80,"Battery C",
 --S122&gt;80,""
),"")</f>
        <v/>
      </c>
      <c r="U122" s="13" t="str" cm="1">
        <f t="array" ref="U122:Z122">IFERROR(IF(_xlfn.XLOOKUP(B122,Input!J:J,Input!N:S)=0,"",
          _xlfn.XLOOKUP(B122,Input!J:J,Input!N:S)),"")</f>
        <v/>
      </c>
      <c r="V122" s="13" t="str">
        <v/>
      </c>
      <c r="W122" s="13" t="str">
        <v/>
      </c>
      <c r="X122" s="13" t="str">
        <v/>
      </c>
      <c r="Y122" s="13" t="str">
        <v/>
      </c>
      <c r="Z122" s="13" t="str">
        <v/>
      </c>
      <c r="AA122" t="str">
        <f t="shared" si="5"/>
        <v/>
      </c>
      <c r="AB122" t="str">
        <f>_xlfn.XLOOKUP(B:B,Disk_Pivot!G:G,Disk_Pivot!I:I)</f>
        <v>No</v>
      </c>
      <c r="AC122" t="str">
        <f>_xlfn.XLOOKUP(B122,Disk_Pivot!G:G,Disk_Pivot!N:N)</f>
        <v/>
      </c>
    </row>
    <row r="123" spans="6:29">
      <c r="F123">
        <f>_xlfn.XLOOKUP(H123,Models!B:B,Models!F:F,"")</f>
        <v>0</v>
      </c>
      <c r="K123">
        <f>_xlfn.XLOOKUP(B123,CPU_Formula!A:A,CPU_Formula!I:I)</f>
        <v>0</v>
      </c>
      <c r="L123" s="13" t="e">
        <f>INDEX(Input!$D$2:$AD$500,
       MATCH(B123, Input!$J$2:$J$500, 0),
       MATCH("Memory Capacity", Input!$D$1:$AD$1, 0))</f>
        <v>#N/A</v>
      </c>
      <c r="M123" s="13" t="e">
        <f>INDEX(Input!$D$2:$AD$500,
       MATCH(B123, Input!$J$2:$J$500, 0),
       MATCH("Memory Type", Input!$D$1:$AD$1, 0))</f>
        <v>#N/A</v>
      </c>
      <c r="N123" s="13" t="e">
        <f t="shared" si="3"/>
        <v>#N/A</v>
      </c>
      <c r="S123" s="13" t="str">
        <f>_xlfn.LET(_xlpm.Result,_xlfn.XLOOKUP(B123,Input!J:J,Input!AB:AB),IF(_xlpm.Result="","",_xlpm.Result))</f>
        <v/>
      </c>
      <c r="T123" s="13" t="str" cm="1">
        <f t="array" ref="T123">IFERROR(_xlfn.IFS(
   --S123&lt;55,"Battery Defect",
  -- S123&lt;=69,"Battery D",
  --S123&lt;=80,"Battery C",
 --S123&gt;80,""
),"")</f>
        <v/>
      </c>
      <c r="U123" s="13" t="str" cm="1">
        <f t="array" ref="U123:Z123">IFERROR(IF(_xlfn.XLOOKUP(B123,Input!J:J,Input!N:S)=0,"",
          _xlfn.XLOOKUP(B123,Input!J:J,Input!N:S)),"")</f>
        <v/>
      </c>
      <c r="V123" s="13" t="str">
        <v/>
      </c>
      <c r="W123" s="13" t="str">
        <v/>
      </c>
      <c r="X123" s="13" t="str">
        <v/>
      </c>
      <c r="Y123" s="13" t="str">
        <v/>
      </c>
      <c r="Z123" s="13" t="str">
        <v/>
      </c>
      <c r="AA123" t="str">
        <f t="shared" si="5"/>
        <v/>
      </c>
      <c r="AB123" t="str">
        <f>_xlfn.XLOOKUP(B:B,Disk_Pivot!G:G,Disk_Pivot!I:I)</f>
        <v>No</v>
      </c>
      <c r="AC123" t="str">
        <f>_xlfn.XLOOKUP(B123,Disk_Pivot!G:G,Disk_Pivot!N:N)</f>
        <v/>
      </c>
    </row>
    <row r="124" spans="6:29">
      <c r="F124">
        <f>_xlfn.XLOOKUP(H124,Models!B:B,Models!F:F,"")</f>
        <v>0</v>
      </c>
      <c r="K124">
        <f>_xlfn.XLOOKUP(B124,CPU_Formula!A:A,CPU_Formula!I:I)</f>
        <v>0</v>
      </c>
      <c r="L124" s="13" t="e">
        <f>INDEX(Input!$D$2:$AD$500,
       MATCH(B124, Input!$J$2:$J$500, 0),
       MATCH("Memory Capacity", Input!$D$1:$AD$1, 0))</f>
        <v>#N/A</v>
      </c>
      <c r="M124" s="13" t="e">
        <f>INDEX(Input!$D$2:$AD$500,
       MATCH(B124, Input!$J$2:$J$500, 0),
       MATCH("Memory Type", Input!$D$1:$AD$1, 0))</f>
        <v>#N/A</v>
      </c>
      <c r="N124" s="13" t="e">
        <f t="shared" si="3"/>
        <v>#N/A</v>
      </c>
      <c r="S124" s="13" t="str">
        <f>_xlfn.LET(_xlpm.Result,_xlfn.XLOOKUP(B124,Input!J:J,Input!AB:AB),IF(_xlpm.Result="","",_xlpm.Result))</f>
        <v/>
      </c>
      <c r="T124" s="13" t="str" cm="1">
        <f t="array" ref="T124">IFERROR(_xlfn.IFS(
   --S124&lt;55,"Battery Defect",
  -- S124&lt;=69,"Battery D",
  --S124&lt;=80,"Battery C",
 --S124&gt;80,""
),"")</f>
        <v/>
      </c>
      <c r="U124" s="13" t="str" cm="1">
        <f t="array" ref="U124:Z124">IFERROR(IF(_xlfn.XLOOKUP(B124,Input!J:J,Input!N:S)=0,"",
          _xlfn.XLOOKUP(B124,Input!J:J,Input!N:S)),"")</f>
        <v/>
      </c>
      <c r="V124" s="13" t="str">
        <v/>
      </c>
      <c r="W124" s="13" t="str">
        <v/>
      </c>
      <c r="X124" s="13" t="str">
        <v/>
      </c>
      <c r="Y124" s="13" t="str">
        <v/>
      </c>
      <c r="Z124" s="13" t="str">
        <v/>
      </c>
      <c r="AA124" t="str">
        <f t="shared" si="5"/>
        <v/>
      </c>
      <c r="AB124" t="str">
        <f>_xlfn.XLOOKUP(B:B,Disk_Pivot!G:G,Disk_Pivot!I:I)</f>
        <v>No</v>
      </c>
      <c r="AC124" t="str">
        <f>_xlfn.XLOOKUP(B124,Disk_Pivot!G:G,Disk_Pivot!N:N)</f>
        <v/>
      </c>
    </row>
    <row r="125" spans="6:29">
      <c r="F125" t="str">
        <f>_xlfn.XLOOKUP(H125,Models!B:B,Models!F:F,"")</f>
        <v/>
      </c>
      <c r="K125">
        <f>_xlfn.XLOOKUP(B125,CPU_Formula!A:A,CPU_Formula!I:I)</f>
        <v>0</v>
      </c>
      <c r="L125" s="13" t="e">
        <f>INDEX(Input!$D$2:$AD$500,
       MATCH(B125, Input!$J$2:$J$500, 0),
       MATCH("Memory Capacity", Input!$D$1:$AD$1, 0))</f>
        <v>#N/A</v>
      </c>
      <c r="M125" s="13" t="e">
        <f>INDEX(Input!$D$2:$AD$500,
       MATCH(B125, Input!$J$2:$J$500, 0),
       MATCH("Memory Type", Input!$D$1:$AD$1, 0))</f>
        <v>#N/A</v>
      </c>
      <c r="N125" s="13" t="e">
        <f t="shared" si="3"/>
        <v>#N/A</v>
      </c>
      <c r="S125" s="13" t="str">
        <f>_xlfn.LET(_xlpm.Result,_xlfn.XLOOKUP(B125,Input!J:J,Input!AB:AB),IF(_xlpm.Result="","",_xlpm.Result))</f>
        <v/>
      </c>
      <c r="T125" s="13" t="str" cm="1">
        <f t="array" ref="T125">IFERROR(_xlfn.IFS(
   --S125&lt;55,"Battery Defect",
  -- S125&lt;=69,"Battery D",
  --S125&lt;=80,"Battery C",
 --S125&gt;80,""
),"")</f>
        <v/>
      </c>
      <c r="U125" s="13" t="str" cm="1">
        <f t="array" ref="U125:Z125">IFERROR(IF(_xlfn.XLOOKUP(B125,Input!J:J,Input!N:S)=0,"",
          _xlfn.XLOOKUP(B125,Input!J:J,Input!N:S)),"")</f>
        <v/>
      </c>
      <c r="V125" s="13" t="str">
        <v/>
      </c>
      <c r="W125" s="13" t="str">
        <v/>
      </c>
      <c r="X125" s="13" t="str">
        <v/>
      </c>
      <c r="Y125" s="13" t="str">
        <v/>
      </c>
      <c r="Z125" s="13" t="str">
        <v/>
      </c>
      <c r="AA125" t="str">
        <f t="shared" si="5"/>
        <v/>
      </c>
      <c r="AB125" t="str">
        <f>_xlfn.XLOOKUP(B:B,Disk_Pivot!G:G,Disk_Pivot!I:I)</f>
        <v>No</v>
      </c>
      <c r="AC125" t="str">
        <f>_xlfn.XLOOKUP(B125,Disk_Pivot!G:G,Disk_Pivot!N:N)</f>
        <v/>
      </c>
    </row>
    <row r="126" spans="6:29">
      <c r="F126">
        <f>_xlfn.XLOOKUP(H126,Models!B:B,Models!F:F,"")</f>
        <v>0</v>
      </c>
      <c r="K126">
        <f>_xlfn.XLOOKUP(B126,CPU_Formula!A:A,CPU_Formula!I:I)</f>
        <v>0</v>
      </c>
      <c r="L126" s="13" t="e">
        <f>INDEX(Input!$D$2:$AD$500,
       MATCH(B126, Input!$J$2:$J$500, 0),
       MATCH("Memory Capacity", Input!$D$1:$AD$1, 0))</f>
        <v>#N/A</v>
      </c>
      <c r="M126" s="13" t="e">
        <f>INDEX(Input!$D$2:$AD$500,
       MATCH(B126, Input!$J$2:$J$500, 0),
       MATCH("Memory Type", Input!$D$1:$AD$1, 0))</f>
        <v>#N/A</v>
      </c>
      <c r="N126" s="13" t="e">
        <f t="shared" si="3"/>
        <v>#N/A</v>
      </c>
      <c r="S126" s="13" t="str">
        <f>_xlfn.LET(_xlpm.Result,_xlfn.XLOOKUP(B126,Input!J:J,Input!AB:AB),IF(_xlpm.Result="","",_xlpm.Result))</f>
        <v/>
      </c>
      <c r="T126" s="13" t="str" cm="1">
        <f t="array" ref="T126">IFERROR(_xlfn.IFS(
   --S126&lt;55,"Battery Defect",
  -- S126&lt;=69,"Battery D",
  --S126&lt;=80,"Battery C",
 --S126&gt;80,""
),"")</f>
        <v/>
      </c>
      <c r="U126" s="13" t="str" cm="1">
        <f t="array" ref="U126:Z126">IFERROR(IF(_xlfn.XLOOKUP(B126,Input!J:J,Input!N:S)=0,"",
          _xlfn.XLOOKUP(B126,Input!J:J,Input!N:S)),"")</f>
        <v/>
      </c>
      <c r="V126" s="13" t="str">
        <v/>
      </c>
      <c r="W126" s="13" t="str">
        <v/>
      </c>
      <c r="X126" s="13" t="str">
        <v/>
      </c>
      <c r="Y126" s="13" t="str">
        <v/>
      </c>
      <c r="Z126" s="13" t="str">
        <v/>
      </c>
      <c r="AA126" t="str">
        <f t="shared" si="5"/>
        <v/>
      </c>
      <c r="AB126" t="str">
        <f>_xlfn.XLOOKUP(B:B,Disk_Pivot!G:G,Disk_Pivot!I:I)</f>
        <v>No</v>
      </c>
      <c r="AC126" t="str">
        <f>_xlfn.XLOOKUP(B126,Disk_Pivot!G:G,Disk_Pivot!N:N)</f>
        <v/>
      </c>
    </row>
    <row r="127" spans="6:29">
      <c r="F127">
        <f>_xlfn.XLOOKUP(H127,Models!B:B,Models!F:F,"")</f>
        <v>0</v>
      </c>
      <c r="K127">
        <f>_xlfn.XLOOKUP(B127,CPU_Formula!A:A,CPU_Formula!I:I)</f>
        <v>0</v>
      </c>
      <c r="L127" s="13" t="e">
        <f>INDEX(Input!$D$2:$AD$500,
       MATCH(B127, Input!$J$2:$J$500, 0),
       MATCH("Memory Capacity", Input!$D$1:$AD$1, 0))</f>
        <v>#N/A</v>
      </c>
      <c r="M127" s="13" t="e">
        <f>INDEX(Input!$D$2:$AD$500,
       MATCH(B127, Input!$J$2:$J$500, 0),
       MATCH("Memory Type", Input!$D$1:$AD$1, 0))</f>
        <v>#N/A</v>
      </c>
      <c r="N127" s="13" t="e">
        <f t="shared" si="3"/>
        <v>#N/A</v>
      </c>
      <c r="S127" s="13" t="str">
        <f>_xlfn.LET(_xlpm.Result,_xlfn.XLOOKUP(B127,Input!J:J,Input!AB:AB),IF(_xlpm.Result="","",_xlpm.Result))</f>
        <v/>
      </c>
      <c r="T127" s="13" t="str" cm="1">
        <f t="array" ref="T127">IFERROR(_xlfn.IFS(
   --S127&lt;55,"Battery Defect",
  -- S127&lt;=69,"Battery D",
  --S127&lt;=80,"Battery C",
 --S127&gt;80,""
),"")</f>
        <v/>
      </c>
      <c r="U127" s="13" t="str" cm="1">
        <f t="array" ref="U127:Z127">IFERROR(IF(_xlfn.XLOOKUP(B127,Input!J:J,Input!N:S)=0,"",
          _xlfn.XLOOKUP(B127,Input!J:J,Input!N:S)),"")</f>
        <v/>
      </c>
      <c r="V127" s="13" t="str">
        <v/>
      </c>
      <c r="W127" s="13" t="str">
        <v/>
      </c>
      <c r="X127" s="13" t="str">
        <v/>
      </c>
      <c r="Y127" s="13" t="str">
        <v/>
      </c>
      <c r="Z127" s="13" t="str">
        <v/>
      </c>
      <c r="AA127" t="str">
        <f t="shared" si="5"/>
        <v/>
      </c>
      <c r="AB127" t="str">
        <f>_xlfn.XLOOKUP(B:B,Disk_Pivot!G:G,Disk_Pivot!I:I)</f>
        <v>No</v>
      </c>
      <c r="AC127" t="str">
        <f>_xlfn.XLOOKUP(B127,Disk_Pivot!G:G,Disk_Pivot!N:N)</f>
        <v/>
      </c>
    </row>
    <row r="128" spans="6:29">
      <c r="F128" t="str">
        <f>_xlfn.XLOOKUP(H128,Models!B:B,Models!F:F,"")</f>
        <v/>
      </c>
      <c r="K128">
        <f>_xlfn.XLOOKUP(B128,CPU_Formula!A:A,CPU_Formula!I:I)</f>
        <v>0</v>
      </c>
      <c r="L128" s="13" t="e">
        <f>INDEX(Input!$D$2:$AD$500,
       MATCH(B128, Input!$J$2:$J$500, 0),
       MATCH("Memory Capacity", Input!$D$1:$AD$1, 0))</f>
        <v>#N/A</v>
      </c>
      <c r="M128" s="13" t="e">
        <f>INDEX(Input!$D$2:$AD$500,
       MATCH(B128, Input!$J$2:$J$500, 0),
       MATCH("Memory Type", Input!$D$1:$AD$1, 0))</f>
        <v>#N/A</v>
      </c>
      <c r="N128" s="13" t="e">
        <f t="shared" si="3"/>
        <v>#N/A</v>
      </c>
      <c r="S128" s="13" t="str">
        <f>_xlfn.LET(_xlpm.Result,_xlfn.XLOOKUP(B128,Input!J:J,Input!AB:AB),IF(_xlpm.Result="","",_xlpm.Result))</f>
        <v/>
      </c>
      <c r="T128" s="13" t="str" cm="1">
        <f t="array" ref="T128">IFERROR(_xlfn.IFS(
   --S128&lt;55,"Battery Defect",
  -- S128&lt;=69,"Battery D",
  --S128&lt;=80,"Battery C",
 --S128&gt;80,""
),"")</f>
        <v/>
      </c>
      <c r="U128" s="13" t="str" cm="1">
        <f t="array" ref="U128:Z128">IFERROR(IF(_xlfn.XLOOKUP(B128,Input!J:J,Input!N:S)=0,"",
          _xlfn.XLOOKUP(B128,Input!J:J,Input!N:S)),"")</f>
        <v/>
      </c>
      <c r="V128" s="13" t="str">
        <v/>
      </c>
      <c r="W128" s="13" t="str">
        <v/>
      </c>
      <c r="X128" s="13" t="str">
        <v/>
      </c>
      <c r="Y128" s="13" t="str">
        <v/>
      </c>
      <c r="Z128" s="13" t="str">
        <v/>
      </c>
      <c r="AA128" t="str">
        <f t="shared" si="5"/>
        <v/>
      </c>
      <c r="AB128" t="str">
        <f>_xlfn.XLOOKUP(B:B,Disk_Pivot!G:G,Disk_Pivot!I:I)</f>
        <v>No</v>
      </c>
      <c r="AC128" t="str">
        <f>_xlfn.XLOOKUP(B128,Disk_Pivot!G:G,Disk_Pivot!N:N)</f>
        <v/>
      </c>
    </row>
    <row r="129" spans="6:29">
      <c r="F129">
        <f>_xlfn.XLOOKUP(H129,Models!B:B,Models!F:F,"")</f>
        <v>0</v>
      </c>
      <c r="K129">
        <f>_xlfn.XLOOKUP(B129,CPU_Formula!A:A,CPU_Formula!I:I)</f>
        <v>0</v>
      </c>
      <c r="L129" s="13" t="e">
        <f>INDEX(Input!$D$2:$AD$500,
       MATCH(B129, Input!$J$2:$J$500, 0),
       MATCH("Memory Capacity", Input!$D$1:$AD$1, 0))</f>
        <v>#N/A</v>
      </c>
      <c r="M129" s="13" t="e">
        <f>INDEX(Input!$D$2:$AD$500,
       MATCH(B129, Input!$J$2:$J$500, 0),
       MATCH("Memory Type", Input!$D$1:$AD$1, 0))</f>
        <v>#N/A</v>
      </c>
      <c r="N129" s="13" t="e">
        <f t="shared" si="3"/>
        <v>#N/A</v>
      </c>
      <c r="S129" s="13" t="str">
        <f>_xlfn.LET(_xlpm.Result,_xlfn.XLOOKUP(B129,Input!J:J,Input!AB:AB),IF(_xlpm.Result="","",_xlpm.Result))</f>
        <v/>
      </c>
      <c r="T129" s="13" t="str" cm="1">
        <f t="array" ref="T129">IFERROR(_xlfn.IFS(
   --S129&lt;55,"Battery Defect",
  -- S129&lt;=69,"Battery D",
  --S129&lt;=80,"Battery C",
 --S129&gt;80,""
),"")</f>
        <v/>
      </c>
      <c r="U129" s="13" t="str" cm="1">
        <f t="array" ref="U129:Z129">IFERROR(IF(_xlfn.XLOOKUP(B129,Input!J:J,Input!N:S)=0,"",
          _xlfn.XLOOKUP(B129,Input!J:J,Input!N:S)),"")</f>
        <v/>
      </c>
      <c r="V129" s="13" t="str">
        <v/>
      </c>
      <c r="W129" s="13" t="str">
        <v/>
      </c>
      <c r="X129" s="13" t="str">
        <v/>
      </c>
      <c r="Y129" s="13" t="str">
        <v/>
      </c>
      <c r="Z129" s="13" t="str">
        <v/>
      </c>
      <c r="AA129" t="str">
        <f t="shared" si="5"/>
        <v/>
      </c>
      <c r="AB129" t="str">
        <f>_xlfn.XLOOKUP(B:B,Disk_Pivot!G:G,Disk_Pivot!I:I)</f>
        <v>No</v>
      </c>
      <c r="AC129" t="str">
        <f>_xlfn.XLOOKUP(B129,Disk_Pivot!G:G,Disk_Pivot!N:N)</f>
        <v/>
      </c>
    </row>
    <row r="130" spans="6:29">
      <c r="F130">
        <f>_xlfn.XLOOKUP(H130,Models!B:B,Models!F:F,"")</f>
        <v>0</v>
      </c>
      <c r="K130">
        <f>_xlfn.XLOOKUP(B130,CPU_Formula!A:A,CPU_Formula!I:I)</f>
        <v>0</v>
      </c>
      <c r="L130" s="13" t="e">
        <f>INDEX(Input!$D$2:$AD$500,
       MATCH(B130, Input!$J$2:$J$500, 0),
       MATCH("Memory Capacity", Input!$D$1:$AD$1, 0))</f>
        <v>#N/A</v>
      </c>
      <c r="M130" s="13" t="e">
        <f>INDEX(Input!$D$2:$AD$500,
       MATCH(B130, Input!$J$2:$J$500, 0),
       MATCH("Memory Type", Input!$D$1:$AD$1, 0))</f>
        <v>#N/A</v>
      </c>
      <c r="N130" s="13" t="e">
        <f t="shared" si="3"/>
        <v>#N/A</v>
      </c>
      <c r="S130" s="13" t="str">
        <f>_xlfn.LET(_xlpm.Result,_xlfn.XLOOKUP(B130,Input!J:J,Input!AB:AB),IF(_xlpm.Result="","",_xlpm.Result))</f>
        <v/>
      </c>
      <c r="T130" s="13" t="str" cm="1">
        <f t="array" ref="T130">IFERROR(_xlfn.IFS(
   --S130&lt;55,"Battery Defect",
  -- S130&lt;=69,"Battery D",
  --S130&lt;=80,"Battery C",
 --S130&gt;80,""
),"")</f>
        <v/>
      </c>
      <c r="U130" s="13" t="str" cm="1">
        <f t="array" ref="U130:Z130">IFERROR(IF(_xlfn.XLOOKUP(B130,Input!J:J,Input!N:S)=0,"",
          _xlfn.XLOOKUP(B130,Input!J:J,Input!N:S)),"")</f>
        <v/>
      </c>
      <c r="V130" s="13" t="str">
        <v/>
      </c>
      <c r="W130" s="13" t="str">
        <v/>
      </c>
      <c r="X130" s="13" t="str">
        <v/>
      </c>
      <c r="Y130" s="13" t="str">
        <v/>
      </c>
      <c r="Z130" s="13" t="str">
        <v/>
      </c>
      <c r="AA130" t="str">
        <f t="shared" si="5"/>
        <v/>
      </c>
      <c r="AB130" t="str">
        <f>_xlfn.XLOOKUP(B:B,Disk_Pivot!G:G,Disk_Pivot!I:I)</f>
        <v>No</v>
      </c>
      <c r="AC130" t="str">
        <f>_xlfn.XLOOKUP(B130,Disk_Pivot!G:G,Disk_Pivot!N:N)</f>
        <v/>
      </c>
    </row>
    <row r="131" spans="6:29">
      <c r="F131" t="str">
        <f>_xlfn.XLOOKUP(H131,Models!B:B,Models!F:F,"")</f>
        <v/>
      </c>
      <c r="K131">
        <f>_xlfn.XLOOKUP(B131,CPU_Formula!A:A,CPU_Formula!I:I)</f>
        <v>0</v>
      </c>
      <c r="L131" s="13" t="e">
        <f>INDEX(Input!$D$2:$AD$500,
       MATCH(B131, Input!$J$2:$J$500, 0),
       MATCH("Memory Capacity", Input!$D$1:$AD$1, 0))</f>
        <v>#N/A</v>
      </c>
      <c r="M131" s="13" t="e">
        <f>INDEX(Input!$D$2:$AD$500,
       MATCH(B131, Input!$J$2:$J$500, 0),
       MATCH("Memory Type", Input!$D$1:$AD$1, 0))</f>
        <v>#N/A</v>
      </c>
      <c r="N131" s="13" t="e">
        <f t="shared" ref="N131:N194" si="6">IF(ISNUMBER(L131), L131, SUBSTITUTE(SUBSTITUTE(SUBSTITUTE(L131,"GiB","")," ",""),"/","+"))</f>
        <v>#N/A</v>
      </c>
      <c r="S131" s="13" t="str">
        <f>_xlfn.LET(_xlpm.Result,_xlfn.XLOOKUP(B131,Input!J:J,Input!AB:AB),IF(_xlpm.Result="","",_xlpm.Result))</f>
        <v/>
      </c>
      <c r="T131" s="13" t="str" cm="1">
        <f t="array" ref="T131">IFERROR(_xlfn.IFS(
   --S131&lt;55,"Battery Defect",
  -- S131&lt;=69,"Battery D",
  --S131&lt;=80,"Battery C",
 --S131&gt;80,""
),"")</f>
        <v/>
      </c>
      <c r="U131" s="13" t="str" cm="1">
        <f t="array" ref="U131:Z131">IFERROR(IF(_xlfn.XLOOKUP(B131,Input!J:J,Input!N:S)=0,"",
          _xlfn.XLOOKUP(B131,Input!J:J,Input!N:S)),"")</f>
        <v/>
      </c>
      <c r="V131" s="13" t="str">
        <v/>
      </c>
      <c r="W131" s="13" t="str">
        <v/>
      </c>
      <c r="X131" s="13" t="str">
        <v/>
      </c>
      <c r="Y131" s="13" t="str">
        <v/>
      </c>
      <c r="Z131" s="13" t="str">
        <v/>
      </c>
      <c r="AA131" t="str">
        <f t="shared" ref="AA131:AA194" si="7">_xlfn.TEXTJOIN(", ",TRUE,T131,U131,V131,W131,X131,Y131,Z131)</f>
        <v/>
      </c>
      <c r="AB131" t="str">
        <f>_xlfn.XLOOKUP(B:B,Disk_Pivot!G:G,Disk_Pivot!I:I)</f>
        <v>No</v>
      </c>
      <c r="AC131" t="str">
        <f>_xlfn.XLOOKUP(B131,Disk_Pivot!G:G,Disk_Pivot!N:N)</f>
        <v/>
      </c>
    </row>
    <row r="132" spans="6:29">
      <c r="F132" t="str">
        <f>_xlfn.XLOOKUP(H132,Models!B:B,Models!F:F,"")</f>
        <v/>
      </c>
      <c r="K132">
        <f>_xlfn.XLOOKUP(B132,CPU_Formula!A:A,CPU_Formula!I:I)</f>
        <v>0</v>
      </c>
      <c r="L132" s="13" t="e">
        <f>INDEX(Input!$D$2:$AD$500,
       MATCH(B132, Input!$J$2:$J$500, 0),
       MATCH("Memory Capacity", Input!$D$1:$AD$1, 0))</f>
        <v>#N/A</v>
      </c>
      <c r="M132" s="13" t="e">
        <f>INDEX(Input!$D$2:$AD$500,
       MATCH(B132, Input!$J$2:$J$500, 0),
       MATCH("Memory Type", Input!$D$1:$AD$1, 0))</f>
        <v>#N/A</v>
      </c>
      <c r="N132" s="13" t="e">
        <f t="shared" si="6"/>
        <v>#N/A</v>
      </c>
      <c r="S132" s="13" t="str">
        <f>_xlfn.LET(_xlpm.Result,_xlfn.XLOOKUP(B132,Input!J:J,Input!AB:AB),IF(_xlpm.Result="","",_xlpm.Result))</f>
        <v/>
      </c>
      <c r="T132" s="13" t="str" cm="1">
        <f t="array" ref="T132">IFERROR(_xlfn.IFS(
   --S132&lt;55,"Battery Defect",
  -- S132&lt;=69,"Battery D",
  --S132&lt;=80,"Battery C",
 --S132&gt;80,""
),"")</f>
        <v/>
      </c>
      <c r="U132" s="13" t="str" cm="1">
        <f t="array" ref="U132:Z132">IFERROR(IF(_xlfn.XLOOKUP(B132,Input!J:J,Input!N:S)=0,"",
          _xlfn.XLOOKUP(B132,Input!J:J,Input!N:S)),"")</f>
        <v/>
      </c>
      <c r="V132" s="13" t="str">
        <v/>
      </c>
      <c r="W132" s="13" t="str">
        <v/>
      </c>
      <c r="X132" s="13" t="str">
        <v/>
      </c>
      <c r="Y132" s="13" t="str">
        <v/>
      </c>
      <c r="Z132" s="13" t="str">
        <v/>
      </c>
      <c r="AA132" t="str">
        <f t="shared" si="7"/>
        <v/>
      </c>
      <c r="AB132" t="str">
        <f>_xlfn.XLOOKUP(B:B,Disk_Pivot!G:G,Disk_Pivot!I:I)</f>
        <v>No</v>
      </c>
      <c r="AC132" t="str">
        <f>_xlfn.XLOOKUP(B132,Disk_Pivot!G:G,Disk_Pivot!N:N)</f>
        <v/>
      </c>
    </row>
    <row r="133" spans="6:29">
      <c r="F133">
        <f>_xlfn.XLOOKUP(H133,Models!B:B,Models!F:F,"")</f>
        <v>0</v>
      </c>
      <c r="K133">
        <f>_xlfn.XLOOKUP(B133,CPU_Formula!A:A,CPU_Formula!I:I)</f>
        <v>0</v>
      </c>
      <c r="L133" s="13" t="e">
        <f>INDEX(Input!$D$2:$AD$500,
       MATCH(B133, Input!$J$2:$J$500, 0),
       MATCH("Memory Capacity", Input!$D$1:$AD$1, 0))</f>
        <v>#N/A</v>
      </c>
      <c r="M133" s="13" t="e">
        <f>INDEX(Input!$D$2:$AD$500,
       MATCH(B133, Input!$J$2:$J$500, 0),
       MATCH("Memory Type", Input!$D$1:$AD$1, 0))</f>
        <v>#N/A</v>
      </c>
      <c r="N133" s="13" t="e">
        <f t="shared" si="6"/>
        <v>#N/A</v>
      </c>
      <c r="S133" s="13" t="str">
        <f>_xlfn.LET(_xlpm.Result,_xlfn.XLOOKUP(B133,Input!J:J,Input!AB:AB),IF(_xlpm.Result="","",_xlpm.Result))</f>
        <v/>
      </c>
      <c r="T133" s="13" t="str" cm="1">
        <f t="array" ref="T133">IFERROR(_xlfn.IFS(
   --S133&lt;55,"Battery Defect",
  -- S133&lt;=69,"Battery D",
  --S133&lt;=80,"Battery C",
 --S133&gt;80,""
),"")</f>
        <v/>
      </c>
      <c r="U133" s="13" t="str" cm="1">
        <f t="array" ref="U133:Z133">IFERROR(IF(_xlfn.XLOOKUP(B133,Input!J:J,Input!N:S)=0,"",
          _xlfn.XLOOKUP(B133,Input!J:J,Input!N:S)),"")</f>
        <v/>
      </c>
      <c r="V133" s="13" t="str">
        <v/>
      </c>
      <c r="W133" s="13" t="str">
        <v/>
      </c>
      <c r="X133" s="13" t="str">
        <v/>
      </c>
      <c r="Y133" s="13" t="str">
        <v/>
      </c>
      <c r="Z133" s="13" t="str">
        <v/>
      </c>
      <c r="AA133" t="str">
        <f t="shared" si="7"/>
        <v/>
      </c>
      <c r="AB133" t="str">
        <f>_xlfn.XLOOKUP(B:B,Disk_Pivot!G:G,Disk_Pivot!I:I)</f>
        <v>No</v>
      </c>
      <c r="AC133" t="str">
        <f>_xlfn.XLOOKUP(B133,Disk_Pivot!G:G,Disk_Pivot!N:N)</f>
        <v/>
      </c>
    </row>
    <row r="134" spans="6:29">
      <c r="F134" t="str">
        <f>_xlfn.XLOOKUP(H134,Models!B:B,Models!F:F,"")</f>
        <v/>
      </c>
      <c r="K134">
        <f>_xlfn.XLOOKUP(B134,CPU_Formula!A:A,CPU_Formula!I:I)</f>
        <v>0</v>
      </c>
      <c r="L134" s="13" t="e">
        <f>INDEX(Input!$D$2:$AD$500,
       MATCH(B134, Input!$J$2:$J$500, 0),
       MATCH("Memory Capacity", Input!$D$1:$AD$1, 0))</f>
        <v>#N/A</v>
      </c>
      <c r="M134" s="13" t="e">
        <f>INDEX(Input!$D$2:$AD$500,
       MATCH(B134, Input!$J$2:$J$500, 0),
       MATCH("Memory Type", Input!$D$1:$AD$1, 0))</f>
        <v>#N/A</v>
      </c>
      <c r="N134" s="13" t="e">
        <f t="shared" si="6"/>
        <v>#N/A</v>
      </c>
      <c r="S134" s="13" t="str">
        <f>_xlfn.LET(_xlpm.Result,_xlfn.XLOOKUP(B134,Input!J:J,Input!AB:AB),IF(_xlpm.Result="","",_xlpm.Result))</f>
        <v/>
      </c>
      <c r="T134" s="13" t="str" cm="1">
        <f t="array" ref="T134">IFERROR(_xlfn.IFS(
   --S134&lt;55,"Battery Defect",
  -- S134&lt;=69,"Battery D",
  --S134&lt;=80,"Battery C",
 --S134&gt;80,""
),"")</f>
        <v/>
      </c>
      <c r="U134" s="13" t="str" cm="1">
        <f t="array" ref="U134:Z134">IFERROR(IF(_xlfn.XLOOKUP(B134,Input!J:J,Input!N:S)=0,"",
          _xlfn.XLOOKUP(B134,Input!J:J,Input!N:S)),"")</f>
        <v/>
      </c>
      <c r="V134" s="13" t="str">
        <v/>
      </c>
      <c r="W134" s="13" t="str">
        <v/>
      </c>
      <c r="X134" s="13" t="str">
        <v/>
      </c>
      <c r="Y134" s="13" t="str">
        <v/>
      </c>
      <c r="Z134" s="13" t="str">
        <v/>
      </c>
      <c r="AA134" t="str">
        <f t="shared" si="7"/>
        <v/>
      </c>
      <c r="AB134" t="str">
        <f>_xlfn.XLOOKUP(B:B,Disk_Pivot!G:G,Disk_Pivot!I:I)</f>
        <v>No</v>
      </c>
      <c r="AC134" t="str">
        <f>_xlfn.XLOOKUP(B134,Disk_Pivot!G:G,Disk_Pivot!N:N)</f>
        <v/>
      </c>
    </row>
    <row r="135" spans="6:29">
      <c r="F135" t="str">
        <f>_xlfn.XLOOKUP(H135,Models!B:B,Models!F:F,"")</f>
        <v/>
      </c>
      <c r="K135">
        <f>_xlfn.XLOOKUP(B135,CPU_Formula!A:A,CPU_Formula!I:I)</f>
        <v>0</v>
      </c>
      <c r="L135" s="13" t="e">
        <f>INDEX(Input!$D$2:$AD$500,
       MATCH(B135, Input!$J$2:$J$500, 0),
       MATCH("Memory Capacity", Input!$D$1:$AD$1, 0))</f>
        <v>#N/A</v>
      </c>
      <c r="M135" s="13" t="e">
        <f>INDEX(Input!$D$2:$AD$500,
       MATCH(B135, Input!$J$2:$J$500, 0),
       MATCH("Memory Type", Input!$D$1:$AD$1, 0))</f>
        <v>#N/A</v>
      </c>
      <c r="N135" s="13" t="e">
        <f t="shared" si="6"/>
        <v>#N/A</v>
      </c>
      <c r="S135" s="13" t="str">
        <f>_xlfn.LET(_xlpm.Result,_xlfn.XLOOKUP(B135,Input!J:J,Input!AB:AB),IF(_xlpm.Result="","",_xlpm.Result))</f>
        <v/>
      </c>
      <c r="T135" s="13" t="str" cm="1">
        <f t="array" ref="T135">IFERROR(_xlfn.IFS(
   --S135&lt;55,"Battery Defect",
  -- S135&lt;=69,"Battery D",
  --S135&lt;=80,"Battery C",
 --S135&gt;80,""
),"")</f>
        <v/>
      </c>
      <c r="U135" s="13" t="str" cm="1">
        <f t="array" ref="U135:Z135">IFERROR(IF(_xlfn.XLOOKUP(B135,Input!J:J,Input!N:S)=0,"",
          _xlfn.XLOOKUP(B135,Input!J:J,Input!N:S)),"")</f>
        <v/>
      </c>
      <c r="V135" s="13" t="str">
        <v/>
      </c>
      <c r="W135" s="13" t="str">
        <v/>
      </c>
      <c r="X135" s="13" t="str">
        <v/>
      </c>
      <c r="Y135" s="13" t="str">
        <v/>
      </c>
      <c r="Z135" s="13" t="str">
        <v/>
      </c>
      <c r="AA135" t="str">
        <f t="shared" si="7"/>
        <v/>
      </c>
      <c r="AB135" t="str">
        <f>_xlfn.XLOOKUP(B:B,Disk_Pivot!G:G,Disk_Pivot!I:I)</f>
        <v>No</v>
      </c>
      <c r="AC135" t="str">
        <f>_xlfn.XLOOKUP(B135,Disk_Pivot!G:G,Disk_Pivot!N:N)</f>
        <v/>
      </c>
    </row>
    <row r="136" spans="6:29">
      <c r="F136" t="str">
        <f>_xlfn.XLOOKUP(H136,Models!B:B,Models!F:F,"")</f>
        <v/>
      </c>
      <c r="K136">
        <f>_xlfn.XLOOKUP(B136,CPU_Formula!A:A,CPU_Formula!I:I)</f>
        <v>0</v>
      </c>
      <c r="L136" s="13" t="e">
        <f>INDEX(Input!$D$2:$AD$500,
       MATCH(B136, Input!$J$2:$J$500, 0),
       MATCH("Memory Capacity", Input!$D$1:$AD$1, 0))</f>
        <v>#N/A</v>
      </c>
      <c r="M136" s="13" t="e">
        <f>INDEX(Input!$D$2:$AD$500,
       MATCH(B136, Input!$J$2:$J$500, 0),
       MATCH("Memory Type", Input!$D$1:$AD$1, 0))</f>
        <v>#N/A</v>
      </c>
      <c r="N136" s="13" t="e">
        <f t="shared" si="6"/>
        <v>#N/A</v>
      </c>
      <c r="S136" s="13" t="str">
        <f>_xlfn.LET(_xlpm.Result,_xlfn.XLOOKUP(B136,Input!J:J,Input!AB:AB),IF(_xlpm.Result="","",_xlpm.Result))</f>
        <v/>
      </c>
      <c r="T136" s="13" t="str" cm="1">
        <f t="array" ref="T136">IFERROR(_xlfn.IFS(
   --S136&lt;55,"Battery Defect",
  -- S136&lt;=69,"Battery D",
  --S136&lt;=80,"Battery C",
 --S136&gt;80,""
),"")</f>
        <v/>
      </c>
      <c r="U136" s="13" t="str" cm="1">
        <f t="array" ref="U136:Z136">IFERROR(IF(_xlfn.XLOOKUP(B136,Input!J:J,Input!N:S)=0,"",
          _xlfn.XLOOKUP(B136,Input!J:J,Input!N:S)),"")</f>
        <v/>
      </c>
      <c r="V136" s="13" t="str">
        <v/>
      </c>
      <c r="W136" s="13" t="str">
        <v/>
      </c>
      <c r="X136" s="13" t="str">
        <v/>
      </c>
      <c r="Y136" s="13" t="str">
        <v/>
      </c>
      <c r="Z136" s="13" t="str">
        <v/>
      </c>
      <c r="AA136" t="str">
        <f t="shared" si="7"/>
        <v/>
      </c>
      <c r="AB136" t="str">
        <f>_xlfn.XLOOKUP(B:B,Disk_Pivot!G:G,Disk_Pivot!I:I)</f>
        <v>No</v>
      </c>
      <c r="AC136" t="str">
        <f>_xlfn.XLOOKUP(B136,Disk_Pivot!G:G,Disk_Pivot!N:N)</f>
        <v/>
      </c>
    </row>
    <row r="137" spans="6:29">
      <c r="F137" t="str">
        <f>_xlfn.XLOOKUP(H137,Models!B:B,Models!F:F,"")</f>
        <v/>
      </c>
      <c r="K137">
        <f>_xlfn.XLOOKUP(B137,CPU_Formula!A:A,CPU_Formula!I:I)</f>
        <v>0</v>
      </c>
      <c r="L137" s="13" t="e">
        <f>INDEX(Input!$D$2:$AD$500,
       MATCH(B137, Input!$J$2:$J$500, 0),
       MATCH("Memory Capacity", Input!$D$1:$AD$1, 0))</f>
        <v>#N/A</v>
      </c>
      <c r="M137" s="13" t="e">
        <f>INDEX(Input!$D$2:$AD$500,
       MATCH(B137, Input!$J$2:$J$500, 0),
       MATCH("Memory Type", Input!$D$1:$AD$1, 0))</f>
        <v>#N/A</v>
      </c>
      <c r="N137" s="13" t="e">
        <f t="shared" si="6"/>
        <v>#N/A</v>
      </c>
      <c r="S137" s="13" t="str">
        <f>_xlfn.LET(_xlpm.Result,_xlfn.XLOOKUP(B137,Input!J:J,Input!AB:AB),IF(_xlpm.Result="","",_xlpm.Result))</f>
        <v/>
      </c>
      <c r="T137" s="13" t="str" cm="1">
        <f t="array" ref="T137">IFERROR(_xlfn.IFS(
   --S137&lt;55,"Battery Defect",
  -- S137&lt;=69,"Battery D",
  --S137&lt;=80,"Battery C",
 --S137&gt;80,""
),"")</f>
        <v/>
      </c>
      <c r="U137" s="13" t="str" cm="1">
        <f t="array" ref="U137:Z137">IFERROR(IF(_xlfn.XLOOKUP(B137,Input!J:J,Input!N:S)=0,"",
          _xlfn.XLOOKUP(B137,Input!J:J,Input!N:S)),"")</f>
        <v/>
      </c>
      <c r="V137" s="13" t="str">
        <v/>
      </c>
      <c r="W137" s="13" t="str">
        <v/>
      </c>
      <c r="X137" s="13" t="str">
        <v/>
      </c>
      <c r="Y137" s="13" t="str">
        <v/>
      </c>
      <c r="Z137" s="13" t="str">
        <v/>
      </c>
      <c r="AA137" t="str">
        <f t="shared" si="7"/>
        <v/>
      </c>
      <c r="AB137" t="str">
        <f>_xlfn.XLOOKUP(B:B,Disk_Pivot!G:G,Disk_Pivot!I:I)</f>
        <v>No</v>
      </c>
      <c r="AC137" t="str">
        <f>_xlfn.XLOOKUP(B137,Disk_Pivot!G:G,Disk_Pivot!N:N)</f>
        <v/>
      </c>
    </row>
    <row r="138" spans="6:29">
      <c r="F138" t="str">
        <f>_xlfn.XLOOKUP(H138,Models!B:B,Models!F:F,"")</f>
        <v/>
      </c>
      <c r="K138">
        <f>_xlfn.XLOOKUP(B138,CPU_Formula!A:A,CPU_Formula!I:I)</f>
        <v>0</v>
      </c>
      <c r="L138" s="13" t="e">
        <f>INDEX(Input!$D$2:$AD$500,
       MATCH(B138, Input!$J$2:$J$500, 0),
       MATCH("Memory Capacity", Input!$D$1:$AD$1, 0))</f>
        <v>#N/A</v>
      </c>
      <c r="M138" s="13" t="e">
        <f>INDEX(Input!$D$2:$AD$500,
       MATCH(B138, Input!$J$2:$J$500, 0),
       MATCH("Memory Type", Input!$D$1:$AD$1, 0))</f>
        <v>#N/A</v>
      </c>
      <c r="N138" s="13" t="e">
        <f t="shared" si="6"/>
        <v>#N/A</v>
      </c>
      <c r="S138" s="13" t="str">
        <f>_xlfn.LET(_xlpm.Result,_xlfn.XLOOKUP(B138,Input!J:J,Input!AB:AB),IF(_xlpm.Result="","",_xlpm.Result))</f>
        <v/>
      </c>
      <c r="T138" s="13" t="str" cm="1">
        <f t="array" ref="T138">IFERROR(_xlfn.IFS(
   --S138&lt;55,"Battery Defect",
  -- S138&lt;=69,"Battery D",
  --S138&lt;=80,"Battery C",
 --S138&gt;80,""
),"")</f>
        <v/>
      </c>
      <c r="U138" s="13" t="str" cm="1">
        <f t="array" ref="U138:Z138">IFERROR(IF(_xlfn.XLOOKUP(B138,Input!J:J,Input!N:S)=0,"",
          _xlfn.XLOOKUP(B138,Input!J:J,Input!N:S)),"")</f>
        <v/>
      </c>
      <c r="V138" s="13" t="str">
        <v/>
      </c>
      <c r="W138" s="13" t="str">
        <v/>
      </c>
      <c r="X138" s="13" t="str">
        <v/>
      </c>
      <c r="Y138" s="13" t="str">
        <v/>
      </c>
      <c r="Z138" s="13" t="str">
        <v/>
      </c>
      <c r="AA138" t="str">
        <f t="shared" si="7"/>
        <v/>
      </c>
      <c r="AB138" t="str">
        <f>_xlfn.XLOOKUP(B:B,Disk_Pivot!G:G,Disk_Pivot!I:I)</f>
        <v>No</v>
      </c>
      <c r="AC138" t="str">
        <f>_xlfn.XLOOKUP(B138,Disk_Pivot!G:G,Disk_Pivot!N:N)</f>
        <v/>
      </c>
    </row>
    <row r="139" spans="6:29">
      <c r="F139" t="str">
        <f>_xlfn.XLOOKUP(H139,Models!B:B,Models!F:F,"")</f>
        <v/>
      </c>
      <c r="K139">
        <f>_xlfn.XLOOKUP(B139,CPU_Formula!A:A,CPU_Formula!I:I)</f>
        <v>0</v>
      </c>
      <c r="L139" s="13" t="e">
        <f>INDEX(Input!$D$2:$AD$500,
       MATCH(B139, Input!$J$2:$J$500, 0),
       MATCH("Memory Capacity", Input!$D$1:$AD$1, 0))</f>
        <v>#N/A</v>
      </c>
      <c r="M139" s="13" t="e">
        <f>INDEX(Input!$D$2:$AD$500,
       MATCH(B139, Input!$J$2:$J$500, 0),
       MATCH("Memory Type", Input!$D$1:$AD$1, 0))</f>
        <v>#N/A</v>
      </c>
      <c r="N139" s="13" t="e">
        <f t="shared" si="6"/>
        <v>#N/A</v>
      </c>
      <c r="S139" s="13" t="str">
        <f>_xlfn.LET(_xlpm.Result,_xlfn.XLOOKUP(B139,Input!J:J,Input!AB:AB),IF(_xlpm.Result="","",_xlpm.Result))</f>
        <v/>
      </c>
      <c r="T139" s="13" t="str" cm="1">
        <f t="array" ref="T139">IFERROR(_xlfn.IFS(
   --S139&lt;55,"Battery Defect",
  -- S139&lt;=69,"Battery D",
  --S139&lt;=80,"Battery C",
 --S139&gt;80,""
),"")</f>
        <v/>
      </c>
      <c r="U139" s="13" t="str" cm="1">
        <f t="array" ref="U139:Z139">IFERROR(IF(_xlfn.XLOOKUP(B139,Input!J:J,Input!N:S)=0,"",
          _xlfn.XLOOKUP(B139,Input!J:J,Input!N:S)),"")</f>
        <v/>
      </c>
      <c r="V139" s="13" t="str">
        <v/>
      </c>
      <c r="W139" s="13" t="str">
        <v/>
      </c>
      <c r="X139" s="13" t="str">
        <v/>
      </c>
      <c r="Y139" s="13" t="str">
        <v/>
      </c>
      <c r="Z139" s="13" t="str">
        <v/>
      </c>
      <c r="AA139" t="str">
        <f t="shared" si="7"/>
        <v/>
      </c>
      <c r="AB139" t="str">
        <f>_xlfn.XLOOKUP(B:B,Disk_Pivot!G:G,Disk_Pivot!I:I)</f>
        <v>No</v>
      </c>
      <c r="AC139" t="str">
        <f>_xlfn.XLOOKUP(B139,Disk_Pivot!G:G,Disk_Pivot!N:N)</f>
        <v/>
      </c>
    </row>
    <row r="140" spans="6:29">
      <c r="F140" t="str">
        <f>_xlfn.XLOOKUP(H140,Models!B:B,Models!F:F,"")</f>
        <v/>
      </c>
      <c r="K140">
        <f>_xlfn.XLOOKUP(B140,CPU_Formula!A:A,CPU_Formula!I:I)</f>
        <v>0</v>
      </c>
      <c r="L140" s="13" t="e">
        <f>INDEX(Input!$D$2:$AD$500,
       MATCH(B140, Input!$J$2:$J$500, 0),
       MATCH("Memory Capacity", Input!$D$1:$AD$1, 0))</f>
        <v>#N/A</v>
      </c>
      <c r="M140" s="13" t="e">
        <f>INDEX(Input!$D$2:$AD$500,
       MATCH(B140, Input!$J$2:$J$500, 0),
       MATCH("Memory Type", Input!$D$1:$AD$1, 0))</f>
        <v>#N/A</v>
      </c>
      <c r="N140" s="13" t="e">
        <f t="shared" si="6"/>
        <v>#N/A</v>
      </c>
      <c r="S140" s="13" t="str">
        <f>_xlfn.LET(_xlpm.Result,_xlfn.XLOOKUP(B140,Input!J:J,Input!AB:AB),IF(_xlpm.Result="","",_xlpm.Result))</f>
        <v/>
      </c>
      <c r="T140" s="13" t="str" cm="1">
        <f t="array" ref="T140">IFERROR(_xlfn.IFS(
   --S140&lt;55,"Battery Defect",
  -- S140&lt;=69,"Battery D",
  --S140&lt;=80,"Battery C",
 --S140&gt;80,""
),"")</f>
        <v/>
      </c>
      <c r="U140" s="13" t="str" cm="1">
        <f t="array" ref="U140:Z140">IFERROR(IF(_xlfn.XLOOKUP(B140,Input!J:J,Input!N:S)=0,"",
          _xlfn.XLOOKUP(B140,Input!J:J,Input!N:S)),"")</f>
        <v/>
      </c>
      <c r="V140" s="13" t="str">
        <v/>
      </c>
      <c r="W140" s="13" t="str">
        <v/>
      </c>
      <c r="X140" s="13" t="str">
        <v/>
      </c>
      <c r="Y140" s="13" t="str">
        <v/>
      </c>
      <c r="Z140" s="13" t="str">
        <v/>
      </c>
      <c r="AA140" t="str">
        <f t="shared" si="7"/>
        <v/>
      </c>
      <c r="AB140" t="str">
        <f>_xlfn.XLOOKUP(B:B,Disk_Pivot!G:G,Disk_Pivot!I:I)</f>
        <v>No</v>
      </c>
      <c r="AC140" t="str">
        <f>_xlfn.XLOOKUP(B140,Disk_Pivot!G:G,Disk_Pivot!N:N)</f>
        <v/>
      </c>
    </row>
    <row r="141" spans="6:29">
      <c r="F141" t="str">
        <f>_xlfn.XLOOKUP(H141,Models!B:B,Models!F:F,"")</f>
        <v/>
      </c>
      <c r="K141">
        <f>_xlfn.XLOOKUP(B141,CPU_Formula!A:A,CPU_Formula!I:I)</f>
        <v>0</v>
      </c>
      <c r="L141" s="13" t="e">
        <f>INDEX(Input!$D$2:$AD$500,
       MATCH(B141, Input!$J$2:$J$500, 0),
       MATCH("Memory Capacity", Input!$D$1:$AD$1, 0))</f>
        <v>#N/A</v>
      </c>
      <c r="M141" s="13" t="e">
        <f>INDEX(Input!$D$2:$AD$500,
       MATCH(B141, Input!$J$2:$J$500, 0),
       MATCH("Memory Type", Input!$D$1:$AD$1, 0))</f>
        <v>#N/A</v>
      </c>
      <c r="N141" s="13" t="e">
        <f t="shared" si="6"/>
        <v>#N/A</v>
      </c>
      <c r="S141" s="13" t="str">
        <f>_xlfn.LET(_xlpm.Result,_xlfn.XLOOKUP(B141,Input!J:J,Input!AB:AB),IF(_xlpm.Result="","",_xlpm.Result))</f>
        <v/>
      </c>
      <c r="T141" s="13" t="str" cm="1">
        <f t="array" ref="T141">IFERROR(_xlfn.IFS(
   --S141&lt;55,"Battery Defect",
  -- S141&lt;=69,"Battery D",
  --S141&lt;=80,"Battery C",
 --S141&gt;80,""
),"")</f>
        <v/>
      </c>
      <c r="U141" s="13" t="str" cm="1">
        <f t="array" ref="U141:Z141">IFERROR(IF(_xlfn.XLOOKUP(B141,Input!J:J,Input!N:S)=0,"",
          _xlfn.XLOOKUP(B141,Input!J:J,Input!N:S)),"")</f>
        <v/>
      </c>
      <c r="V141" s="13" t="str">
        <v/>
      </c>
      <c r="W141" s="13" t="str">
        <v/>
      </c>
      <c r="X141" s="13" t="str">
        <v/>
      </c>
      <c r="Y141" s="13" t="str">
        <v/>
      </c>
      <c r="Z141" s="13" t="str">
        <v/>
      </c>
      <c r="AA141" t="str">
        <f t="shared" si="7"/>
        <v/>
      </c>
      <c r="AB141" t="str">
        <f>_xlfn.XLOOKUP(B:B,Disk_Pivot!G:G,Disk_Pivot!I:I)</f>
        <v>No</v>
      </c>
      <c r="AC141" t="str">
        <f>_xlfn.XLOOKUP(B141,Disk_Pivot!G:G,Disk_Pivot!N:N)</f>
        <v/>
      </c>
    </row>
    <row r="142" spans="6:29">
      <c r="F142" t="str">
        <f>_xlfn.XLOOKUP(H142,Models!B:B,Models!F:F,"")</f>
        <v/>
      </c>
      <c r="K142">
        <f>_xlfn.XLOOKUP(B142,CPU_Formula!A:A,CPU_Formula!I:I)</f>
        <v>0</v>
      </c>
      <c r="L142" s="13" t="e">
        <f>INDEX(Input!$D$2:$AD$500,
       MATCH(B142, Input!$J$2:$J$500, 0),
       MATCH("Memory Capacity", Input!$D$1:$AD$1, 0))</f>
        <v>#N/A</v>
      </c>
      <c r="M142" s="13" t="e">
        <f>INDEX(Input!$D$2:$AD$500,
       MATCH(B142, Input!$J$2:$J$500, 0),
       MATCH("Memory Type", Input!$D$1:$AD$1, 0))</f>
        <v>#N/A</v>
      </c>
      <c r="N142" s="13" t="e">
        <f t="shared" si="6"/>
        <v>#N/A</v>
      </c>
      <c r="S142" s="13" t="str">
        <f>_xlfn.LET(_xlpm.Result,_xlfn.XLOOKUP(B142,Input!J:J,Input!AB:AB),IF(_xlpm.Result="","",_xlpm.Result))</f>
        <v/>
      </c>
      <c r="T142" s="13" t="str" cm="1">
        <f t="array" ref="T142">IFERROR(_xlfn.IFS(
   --S142&lt;55,"Battery Defect",
  -- S142&lt;=69,"Battery D",
  --S142&lt;=80,"Battery C",
 --S142&gt;80,""
),"")</f>
        <v/>
      </c>
      <c r="U142" s="13" t="str" cm="1">
        <f t="array" ref="U142:Z142">IFERROR(IF(_xlfn.XLOOKUP(B142,Input!J:J,Input!N:S)=0,"",
          _xlfn.XLOOKUP(B142,Input!J:J,Input!N:S)),"")</f>
        <v/>
      </c>
      <c r="V142" s="13" t="str">
        <v/>
      </c>
      <c r="W142" s="13" t="str">
        <v/>
      </c>
      <c r="X142" s="13" t="str">
        <v/>
      </c>
      <c r="Y142" s="13" t="str">
        <v/>
      </c>
      <c r="Z142" s="13" t="str">
        <v/>
      </c>
      <c r="AA142" t="str">
        <f t="shared" si="7"/>
        <v/>
      </c>
      <c r="AB142" t="str">
        <f>_xlfn.XLOOKUP(B:B,Disk_Pivot!G:G,Disk_Pivot!I:I)</f>
        <v>No</v>
      </c>
      <c r="AC142" t="str">
        <f>_xlfn.XLOOKUP(B142,Disk_Pivot!G:G,Disk_Pivot!N:N)</f>
        <v/>
      </c>
    </row>
    <row r="143" spans="6:29">
      <c r="F143" t="str">
        <f>_xlfn.XLOOKUP(H143,Models!B:B,Models!F:F,"")</f>
        <v/>
      </c>
      <c r="K143">
        <f>_xlfn.XLOOKUP(B143,CPU_Formula!A:A,CPU_Formula!I:I)</f>
        <v>0</v>
      </c>
      <c r="L143" s="13" t="e">
        <f>INDEX(Input!$D$2:$AD$500,
       MATCH(B143, Input!$J$2:$J$500, 0),
       MATCH("Memory Capacity", Input!$D$1:$AD$1, 0))</f>
        <v>#N/A</v>
      </c>
      <c r="M143" s="13" t="e">
        <f>INDEX(Input!$D$2:$AD$500,
       MATCH(B143, Input!$J$2:$J$500, 0),
       MATCH("Memory Type", Input!$D$1:$AD$1, 0))</f>
        <v>#N/A</v>
      </c>
      <c r="N143" s="13" t="e">
        <f t="shared" si="6"/>
        <v>#N/A</v>
      </c>
      <c r="S143" s="13" t="str">
        <f>_xlfn.LET(_xlpm.Result,_xlfn.XLOOKUP(B143,Input!J:J,Input!AB:AB),IF(_xlpm.Result="","",_xlpm.Result))</f>
        <v/>
      </c>
      <c r="T143" s="13" t="str" cm="1">
        <f t="array" ref="T143">IFERROR(_xlfn.IFS(
   --S143&lt;55,"Battery Defect",
  -- S143&lt;=69,"Battery D",
  --S143&lt;=80,"Battery C",
 --S143&gt;80,""
),"")</f>
        <v/>
      </c>
      <c r="U143" s="13" t="str" cm="1">
        <f t="array" ref="U143:Z143">IFERROR(IF(_xlfn.XLOOKUP(B143,Input!J:J,Input!N:S)=0,"",
          _xlfn.XLOOKUP(B143,Input!J:J,Input!N:S)),"")</f>
        <v/>
      </c>
      <c r="V143" s="13" t="str">
        <v/>
      </c>
      <c r="W143" s="13" t="str">
        <v/>
      </c>
      <c r="X143" s="13" t="str">
        <v/>
      </c>
      <c r="Y143" s="13" t="str">
        <v/>
      </c>
      <c r="Z143" s="13" t="str">
        <v/>
      </c>
      <c r="AA143" t="str">
        <f t="shared" si="7"/>
        <v/>
      </c>
      <c r="AB143" t="str">
        <f>_xlfn.XLOOKUP(B:B,Disk_Pivot!G:G,Disk_Pivot!I:I)</f>
        <v>No</v>
      </c>
      <c r="AC143" t="str">
        <f>_xlfn.XLOOKUP(B143,Disk_Pivot!G:G,Disk_Pivot!N:N)</f>
        <v/>
      </c>
    </row>
    <row r="144" spans="6:29">
      <c r="F144" t="str">
        <f>_xlfn.XLOOKUP(H144,Models!B:B,Models!F:F,"")</f>
        <v/>
      </c>
      <c r="K144">
        <f>_xlfn.XLOOKUP(B144,CPU_Formula!A:A,CPU_Formula!I:I)</f>
        <v>0</v>
      </c>
      <c r="L144" s="13" t="e">
        <f>INDEX(Input!$D$2:$AD$500,
       MATCH(B144, Input!$J$2:$J$500, 0),
       MATCH("Memory Capacity", Input!$D$1:$AD$1, 0))</f>
        <v>#N/A</v>
      </c>
      <c r="M144" s="13" t="e">
        <f>INDEX(Input!$D$2:$AD$500,
       MATCH(B144, Input!$J$2:$J$500, 0),
       MATCH("Memory Type", Input!$D$1:$AD$1, 0))</f>
        <v>#N/A</v>
      </c>
      <c r="N144" s="13" t="e">
        <f t="shared" si="6"/>
        <v>#N/A</v>
      </c>
      <c r="S144" s="13" t="str">
        <f>_xlfn.LET(_xlpm.Result,_xlfn.XLOOKUP(B144,Input!J:J,Input!AB:AB),IF(_xlpm.Result="","",_xlpm.Result))</f>
        <v/>
      </c>
      <c r="T144" s="13" t="str" cm="1">
        <f t="array" ref="T144">IFERROR(_xlfn.IFS(
   --S144&lt;55,"Battery Defect",
  -- S144&lt;=69,"Battery D",
  --S144&lt;=80,"Battery C",
 --S144&gt;80,""
),"")</f>
        <v/>
      </c>
      <c r="U144" s="13" t="str" cm="1">
        <f t="array" ref="U144:Z144">IFERROR(IF(_xlfn.XLOOKUP(B144,Input!J:J,Input!N:S)=0,"",
          _xlfn.XLOOKUP(B144,Input!J:J,Input!N:S)),"")</f>
        <v/>
      </c>
      <c r="V144" s="13" t="str">
        <v/>
      </c>
      <c r="W144" s="13" t="str">
        <v/>
      </c>
      <c r="X144" s="13" t="str">
        <v/>
      </c>
      <c r="Y144" s="13" t="str">
        <v/>
      </c>
      <c r="Z144" s="13" t="str">
        <v/>
      </c>
      <c r="AA144" t="str">
        <f t="shared" si="7"/>
        <v/>
      </c>
      <c r="AB144" t="str">
        <f>_xlfn.XLOOKUP(B:B,Disk_Pivot!G:G,Disk_Pivot!I:I)</f>
        <v>No</v>
      </c>
      <c r="AC144" t="str">
        <f>_xlfn.XLOOKUP(B144,Disk_Pivot!G:G,Disk_Pivot!N:N)</f>
        <v/>
      </c>
    </row>
    <row r="145" spans="6:29">
      <c r="F145" t="str">
        <f>_xlfn.XLOOKUP(H145,Models!B:B,Models!F:F,"")</f>
        <v/>
      </c>
      <c r="K145">
        <f>_xlfn.XLOOKUP(B145,CPU_Formula!A:A,CPU_Formula!I:I)</f>
        <v>0</v>
      </c>
      <c r="L145" s="13" t="e">
        <f>INDEX(Input!$D$2:$AD$500,
       MATCH(B145, Input!$J$2:$J$500, 0),
       MATCH("Memory Capacity", Input!$D$1:$AD$1, 0))</f>
        <v>#N/A</v>
      </c>
      <c r="M145" s="13" t="e">
        <f>INDEX(Input!$D$2:$AD$500,
       MATCH(B145, Input!$J$2:$J$500, 0),
       MATCH("Memory Type", Input!$D$1:$AD$1, 0))</f>
        <v>#N/A</v>
      </c>
      <c r="N145" s="13" t="e">
        <f t="shared" si="6"/>
        <v>#N/A</v>
      </c>
      <c r="S145" s="13" t="str">
        <f>_xlfn.LET(_xlpm.Result,_xlfn.XLOOKUP(B145,Input!J:J,Input!AB:AB),IF(_xlpm.Result="","",_xlpm.Result))</f>
        <v/>
      </c>
      <c r="T145" s="13" t="str" cm="1">
        <f t="array" ref="T145">IFERROR(_xlfn.IFS(
   --S145&lt;55,"Battery Defect",
  -- S145&lt;=69,"Battery D",
  --S145&lt;=80,"Battery C",
 --S145&gt;80,""
),"")</f>
        <v/>
      </c>
      <c r="U145" s="13" t="str" cm="1">
        <f t="array" ref="U145:Z145">IFERROR(IF(_xlfn.XLOOKUP(B145,Input!J:J,Input!N:S)=0,"",
          _xlfn.XLOOKUP(B145,Input!J:J,Input!N:S)),"")</f>
        <v/>
      </c>
      <c r="V145" s="13" t="str">
        <v/>
      </c>
      <c r="W145" s="13" t="str">
        <v/>
      </c>
      <c r="X145" s="13" t="str">
        <v/>
      </c>
      <c r="Y145" s="13" t="str">
        <v/>
      </c>
      <c r="Z145" s="13" t="str">
        <v/>
      </c>
      <c r="AA145" t="str">
        <f t="shared" si="7"/>
        <v/>
      </c>
      <c r="AB145" t="str">
        <f>_xlfn.XLOOKUP(B:B,Disk_Pivot!G:G,Disk_Pivot!I:I)</f>
        <v>No</v>
      </c>
      <c r="AC145" t="str">
        <f>_xlfn.XLOOKUP(B145,Disk_Pivot!G:G,Disk_Pivot!N:N)</f>
        <v/>
      </c>
    </row>
    <row r="146" spans="6:29">
      <c r="F146" t="str">
        <f>_xlfn.XLOOKUP(H146,Models!B:B,Models!F:F,"")</f>
        <v/>
      </c>
      <c r="K146">
        <f>_xlfn.XLOOKUP(B146,CPU_Formula!A:A,CPU_Formula!I:I)</f>
        <v>0</v>
      </c>
      <c r="L146" s="13" t="e">
        <f>INDEX(Input!$D$2:$AD$500,
       MATCH(B146, Input!$J$2:$J$500, 0),
       MATCH("Memory Capacity", Input!$D$1:$AD$1, 0))</f>
        <v>#N/A</v>
      </c>
      <c r="M146" s="13" t="e">
        <f>INDEX(Input!$D$2:$AD$500,
       MATCH(B146, Input!$J$2:$J$500, 0),
       MATCH("Memory Type", Input!$D$1:$AD$1, 0))</f>
        <v>#N/A</v>
      </c>
      <c r="N146" s="13" t="e">
        <f t="shared" si="6"/>
        <v>#N/A</v>
      </c>
      <c r="S146" s="13" t="str">
        <f>_xlfn.LET(_xlpm.Result,_xlfn.XLOOKUP(B146,Input!J:J,Input!AB:AB),IF(_xlpm.Result="","",_xlpm.Result))</f>
        <v/>
      </c>
      <c r="T146" s="13" t="str" cm="1">
        <f t="array" ref="T146">IFERROR(_xlfn.IFS(
   --S146&lt;55,"Battery Defect",
  -- S146&lt;=69,"Battery D",
  --S146&lt;=80,"Battery C",
 --S146&gt;80,""
),"")</f>
        <v/>
      </c>
      <c r="U146" s="13" t="str" cm="1">
        <f t="array" ref="U146:Z146">IFERROR(IF(_xlfn.XLOOKUP(B146,Input!J:J,Input!N:S)=0,"",
          _xlfn.XLOOKUP(B146,Input!J:J,Input!N:S)),"")</f>
        <v/>
      </c>
      <c r="V146" s="13" t="str">
        <v/>
      </c>
      <c r="W146" s="13" t="str">
        <v/>
      </c>
      <c r="X146" s="13" t="str">
        <v/>
      </c>
      <c r="Y146" s="13" t="str">
        <v/>
      </c>
      <c r="Z146" s="13" t="str">
        <v/>
      </c>
      <c r="AA146" t="str">
        <f t="shared" si="7"/>
        <v/>
      </c>
      <c r="AB146" t="str">
        <f>_xlfn.XLOOKUP(B:B,Disk_Pivot!G:G,Disk_Pivot!I:I)</f>
        <v>No</v>
      </c>
      <c r="AC146" t="str">
        <f>_xlfn.XLOOKUP(B146,Disk_Pivot!G:G,Disk_Pivot!N:N)</f>
        <v/>
      </c>
    </row>
    <row r="147" spans="6:29">
      <c r="F147" t="str">
        <f>_xlfn.XLOOKUP(H147,Models!B:B,Models!F:F,"")</f>
        <v/>
      </c>
      <c r="K147">
        <f>_xlfn.XLOOKUP(B147,CPU_Formula!A:A,CPU_Formula!I:I)</f>
        <v>0</v>
      </c>
      <c r="L147" s="13" t="e">
        <f>INDEX(Input!$D$2:$AD$500,
       MATCH(B147, Input!$J$2:$J$500, 0),
       MATCH("Memory Capacity", Input!$D$1:$AD$1, 0))</f>
        <v>#N/A</v>
      </c>
      <c r="M147" s="13" t="e">
        <f>INDEX(Input!$D$2:$AD$500,
       MATCH(B147, Input!$J$2:$J$500, 0),
       MATCH("Memory Type", Input!$D$1:$AD$1, 0))</f>
        <v>#N/A</v>
      </c>
      <c r="N147" s="13" t="e">
        <f t="shared" si="6"/>
        <v>#N/A</v>
      </c>
      <c r="S147" s="13" t="str">
        <f>_xlfn.LET(_xlpm.Result,_xlfn.XLOOKUP(B147,Input!J:J,Input!AB:AB),IF(_xlpm.Result="","",_xlpm.Result))</f>
        <v/>
      </c>
      <c r="T147" s="13" t="str" cm="1">
        <f t="array" ref="T147">IFERROR(_xlfn.IFS(
   --S147&lt;55,"Battery Defect",
  -- S147&lt;=69,"Battery D",
  --S147&lt;=80,"Battery C",
 --S147&gt;80,""
),"")</f>
        <v/>
      </c>
      <c r="U147" s="13" t="str" cm="1">
        <f t="array" ref="U147:Z147">IFERROR(IF(_xlfn.XLOOKUP(B147,Input!J:J,Input!N:S)=0,"",
          _xlfn.XLOOKUP(B147,Input!J:J,Input!N:S)),"")</f>
        <v/>
      </c>
      <c r="V147" s="13" t="str">
        <v/>
      </c>
      <c r="W147" s="13" t="str">
        <v/>
      </c>
      <c r="X147" s="13" t="str">
        <v/>
      </c>
      <c r="Y147" s="13" t="str">
        <v/>
      </c>
      <c r="Z147" s="13" t="str">
        <v/>
      </c>
      <c r="AA147" t="str">
        <f t="shared" si="7"/>
        <v/>
      </c>
      <c r="AB147" t="str">
        <f>_xlfn.XLOOKUP(B:B,Disk_Pivot!G:G,Disk_Pivot!I:I)</f>
        <v>No</v>
      </c>
      <c r="AC147" t="str">
        <f>_xlfn.XLOOKUP(B147,Disk_Pivot!G:G,Disk_Pivot!N:N)</f>
        <v/>
      </c>
    </row>
    <row r="148" spans="6:29">
      <c r="F148" t="str">
        <f>_xlfn.XLOOKUP(H148,Models!B:B,Models!F:F,"")</f>
        <v/>
      </c>
      <c r="K148">
        <f>_xlfn.XLOOKUP(B148,CPU_Formula!A:A,CPU_Formula!I:I)</f>
        <v>0</v>
      </c>
      <c r="L148" s="13" t="e">
        <f>INDEX(Input!$D$2:$AD$500,
       MATCH(B148, Input!$J$2:$J$500, 0),
       MATCH("Memory Capacity", Input!$D$1:$AD$1, 0))</f>
        <v>#N/A</v>
      </c>
      <c r="M148" s="13" t="e">
        <f>INDEX(Input!$D$2:$AD$500,
       MATCH(B148, Input!$J$2:$J$500, 0),
       MATCH("Memory Type", Input!$D$1:$AD$1, 0))</f>
        <v>#N/A</v>
      </c>
      <c r="N148" s="13" t="e">
        <f t="shared" si="6"/>
        <v>#N/A</v>
      </c>
      <c r="S148" s="13" t="str">
        <f>_xlfn.LET(_xlpm.Result,_xlfn.XLOOKUP(B148,Input!J:J,Input!AB:AB),IF(_xlpm.Result="","",_xlpm.Result))</f>
        <v/>
      </c>
      <c r="T148" s="13" t="str" cm="1">
        <f t="array" ref="T148">IFERROR(_xlfn.IFS(
   --S148&lt;55,"Battery Defect",
  -- S148&lt;=69,"Battery D",
  --S148&lt;=80,"Battery C",
 --S148&gt;80,""
),"")</f>
        <v/>
      </c>
      <c r="U148" s="13" t="str" cm="1">
        <f t="array" ref="U148:Z148">IFERROR(IF(_xlfn.XLOOKUP(B148,Input!J:J,Input!N:S)=0,"",
          _xlfn.XLOOKUP(B148,Input!J:J,Input!N:S)),"")</f>
        <v/>
      </c>
      <c r="V148" s="13" t="str">
        <v/>
      </c>
      <c r="W148" s="13" t="str">
        <v/>
      </c>
      <c r="X148" s="13" t="str">
        <v/>
      </c>
      <c r="Y148" s="13" t="str">
        <v/>
      </c>
      <c r="Z148" s="13" t="str">
        <v/>
      </c>
      <c r="AA148" t="str">
        <f t="shared" si="7"/>
        <v/>
      </c>
      <c r="AB148" t="str">
        <f>_xlfn.XLOOKUP(B:B,Disk_Pivot!G:G,Disk_Pivot!I:I)</f>
        <v>No</v>
      </c>
      <c r="AC148" t="str">
        <f>_xlfn.XLOOKUP(B148,Disk_Pivot!G:G,Disk_Pivot!N:N)</f>
        <v/>
      </c>
    </row>
    <row r="149" spans="6:29">
      <c r="F149" t="str">
        <f>_xlfn.XLOOKUP(H149,Models!B:B,Models!F:F,"")</f>
        <v/>
      </c>
      <c r="K149">
        <f>_xlfn.XLOOKUP(B149,CPU_Formula!A:A,CPU_Formula!I:I)</f>
        <v>0</v>
      </c>
      <c r="L149" s="13" t="e">
        <f>INDEX(Input!$D$2:$AD$500,
       MATCH(B149, Input!$J$2:$J$500, 0),
       MATCH("Memory Capacity", Input!$D$1:$AD$1, 0))</f>
        <v>#N/A</v>
      </c>
      <c r="M149" s="13" t="e">
        <f>INDEX(Input!$D$2:$AD$500,
       MATCH(B149, Input!$J$2:$J$500, 0),
       MATCH("Memory Type", Input!$D$1:$AD$1, 0))</f>
        <v>#N/A</v>
      </c>
      <c r="N149" s="13" t="e">
        <f t="shared" si="6"/>
        <v>#N/A</v>
      </c>
      <c r="S149" s="13" t="str">
        <f>_xlfn.LET(_xlpm.Result,_xlfn.XLOOKUP(B149,Input!J:J,Input!AB:AB),IF(_xlpm.Result="","",_xlpm.Result))</f>
        <v/>
      </c>
      <c r="T149" s="13" t="str" cm="1">
        <f t="array" ref="T149">IFERROR(_xlfn.IFS(
   --S149&lt;55,"Battery Defect",
  -- S149&lt;=69,"Battery D",
  --S149&lt;=80,"Battery C",
 --S149&gt;80,""
),"")</f>
        <v/>
      </c>
      <c r="U149" s="13" t="str" cm="1">
        <f t="array" ref="U149:Z149">IFERROR(IF(_xlfn.XLOOKUP(B149,Input!J:J,Input!N:S)=0,"",
          _xlfn.XLOOKUP(B149,Input!J:J,Input!N:S)),"")</f>
        <v/>
      </c>
      <c r="V149" s="13" t="str">
        <v/>
      </c>
      <c r="W149" s="13" t="str">
        <v/>
      </c>
      <c r="X149" s="13" t="str">
        <v/>
      </c>
      <c r="Y149" s="13" t="str">
        <v/>
      </c>
      <c r="Z149" s="13" t="str">
        <v/>
      </c>
      <c r="AA149" t="str">
        <f t="shared" si="7"/>
        <v/>
      </c>
      <c r="AB149" t="str">
        <f>_xlfn.XLOOKUP(B:B,Disk_Pivot!G:G,Disk_Pivot!I:I)</f>
        <v>No</v>
      </c>
      <c r="AC149" t="str">
        <f>_xlfn.XLOOKUP(B149,Disk_Pivot!G:G,Disk_Pivot!N:N)</f>
        <v/>
      </c>
    </row>
    <row r="150" spans="6:29">
      <c r="F150" t="str">
        <f>_xlfn.XLOOKUP(H150,Models!B:B,Models!F:F,"")</f>
        <v/>
      </c>
      <c r="K150">
        <f>_xlfn.XLOOKUP(B150,CPU_Formula!A:A,CPU_Formula!I:I)</f>
        <v>0</v>
      </c>
      <c r="L150" s="13" t="e">
        <f>INDEX(Input!$D$2:$AD$500,
       MATCH(B150, Input!$J$2:$J$500, 0),
       MATCH("Memory Capacity", Input!$D$1:$AD$1, 0))</f>
        <v>#N/A</v>
      </c>
      <c r="M150" s="13" t="e">
        <f>INDEX(Input!$D$2:$AD$500,
       MATCH(B150, Input!$J$2:$J$500, 0),
       MATCH("Memory Type", Input!$D$1:$AD$1, 0))</f>
        <v>#N/A</v>
      </c>
      <c r="N150" s="13" t="e">
        <f t="shared" si="6"/>
        <v>#N/A</v>
      </c>
      <c r="S150" s="13" t="str">
        <f>_xlfn.LET(_xlpm.Result,_xlfn.XLOOKUP(B150,Input!J:J,Input!AB:AB),IF(_xlpm.Result="","",_xlpm.Result))</f>
        <v/>
      </c>
      <c r="T150" s="13" t="str" cm="1">
        <f t="array" ref="T150">IFERROR(_xlfn.IFS(
   --S150&lt;55,"Battery Defect",
  -- S150&lt;=69,"Battery D",
  --S150&lt;=80,"Battery C",
 --S150&gt;80,""
),"")</f>
        <v/>
      </c>
      <c r="U150" s="13" t="str" cm="1">
        <f t="array" ref="U150:Z150">IFERROR(IF(_xlfn.XLOOKUP(B150,Input!J:J,Input!N:S)=0,"",
          _xlfn.XLOOKUP(B150,Input!J:J,Input!N:S)),"")</f>
        <v/>
      </c>
      <c r="V150" s="13" t="str">
        <v/>
      </c>
      <c r="W150" s="13" t="str">
        <v/>
      </c>
      <c r="X150" s="13" t="str">
        <v/>
      </c>
      <c r="Y150" s="13" t="str">
        <v/>
      </c>
      <c r="Z150" s="13" t="str">
        <v/>
      </c>
      <c r="AA150" t="str">
        <f t="shared" si="7"/>
        <v/>
      </c>
      <c r="AB150" t="str">
        <f>_xlfn.XLOOKUP(B:B,Disk_Pivot!G:G,Disk_Pivot!I:I)</f>
        <v>No</v>
      </c>
      <c r="AC150" t="str">
        <f>_xlfn.XLOOKUP(B150,Disk_Pivot!G:G,Disk_Pivot!N:N)</f>
        <v/>
      </c>
    </row>
    <row r="151" spans="6:29">
      <c r="F151" t="str">
        <f>_xlfn.XLOOKUP(H151,Models!B:B,Models!F:F,"")</f>
        <v/>
      </c>
      <c r="K151">
        <f>_xlfn.XLOOKUP(B151,CPU_Formula!A:A,CPU_Formula!I:I)</f>
        <v>0</v>
      </c>
      <c r="L151" s="13" t="e">
        <f>INDEX(Input!$D$2:$AD$500,
       MATCH(B151, Input!$J$2:$J$500, 0),
       MATCH("Memory Capacity", Input!$D$1:$AD$1, 0))</f>
        <v>#N/A</v>
      </c>
      <c r="M151" s="13" t="e">
        <f>INDEX(Input!$D$2:$AD$500,
       MATCH(B151, Input!$J$2:$J$500, 0),
       MATCH("Memory Type", Input!$D$1:$AD$1, 0))</f>
        <v>#N/A</v>
      </c>
      <c r="N151" s="13" t="e">
        <f t="shared" si="6"/>
        <v>#N/A</v>
      </c>
      <c r="S151" s="13" t="str">
        <f>_xlfn.LET(_xlpm.Result,_xlfn.XLOOKUP(B151,Input!J:J,Input!AB:AB),IF(_xlpm.Result="","",_xlpm.Result))</f>
        <v/>
      </c>
      <c r="T151" s="13" t="str" cm="1">
        <f t="array" ref="T151">IFERROR(_xlfn.IFS(
   --S151&lt;55,"Battery Defect",
  -- S151&lt;=69,"Battery D",
  --S151&lt;=80,"Battery C",
 --S151&gt;80,""
),"")</f>
        <v/>
      </c>
      <c r="U151" s="13" t="str" cm="1">
        <f t="array" ref="U151:Z151">IFERROR(IF(_xlfn.XLOOKUP(B151,Input!J:J,Input!N:S)=0,"",
          _xlfn.XLOOKUP(B151,Input!J:J,Input!N:S)),"")</f>
        <v/>
      </c>
      <c r="V151" s="13" t="str">
        <v/>
      </c>
      <c r="W151" s="13" t="str">
        <v/>
      </c>
      <c r="X151" s="13" t="str">
        <v/>
      </c>
      <c r="Y151" s="13" t="str">
        <v/>
      </c>
      <c r="Z151" s="13" t="str">
        <v/>
      </c>
      <c r="AA151" t="str">
        <f t="shared" si="7"/>
        <v/>
      </c>
      <c r="AB151" t="str">
        <f>_xlfn.XLOOKUP(B:B,Disk_Pivot!G:G,Disk_Pivot!I:I)</f>
        <v>No</v>
      </c>
      <c r="AC151" t="str">
        <f>_xlfn.XLOOKUP(B151,Disk_Pivot!G:G,Disk_Pivot!N:N)</f>
        <v/>
      </c>
    </row>
    <row r="152" spans="6:29">
      <c r="F152" t="str">
        <f>_xlfn.XLOOKUP(H152,Models!B:B,Models!F:F,"")</f>
        <v/>
      </c>
      <c r="K152">
        <f>_xlfn.XLOOKUP(B152,CPU_Formula!A:A,CPU_Formula!I:I)</f>
        <v>0</v>
      </c>
      <c r="L152" s="13" t="e">
        <f>INDEX(Input!$D$2:$AD$500,
       MATCH(B152, Input!$J$2:$J$500, 0),
       MATCH("Memory Capacity", Input!$D$1:$AD$1, 0))</f>
        <v>#N/A</v>
      </c>
      <c r="M152" s="13" t="e">
        <f>INDEX(Input!$D$2:$AD$500,
       MATCH(B152, Input!$J$2:$J$500, 0),
       MATCH("Memory Type", Input!$D$1:$AD$1, 0))</f>
        <v>#N/A</v>
      </c>
      <c r="N152" s="13" t="e">
        <f t="shared" si="6"/>
        <v>#N/A</v>
      </c>
      <c r="S152" s="13" t="str">
        <f>_xlfn.LET(_xlpm.Result,_xlfn.XLOOKUP(B152,Input!J:J,Input!AB:AB),IF(_xlpm.Result="","",_xlpm.Result))</f>
        <v/>
      </c>
      <c r="T152" s="13" t="str" cm="1">
        <f t="array" ref="T152">IFERROR(_xlfn.IFS(
   --S152&lt;55,"Battery Defect",
  -- S152&lt;=69,"Battery D",
  --S152&lt;=80,"Battery C",
 --S152&gt;80,""
),"")</f>
        <v/>
      </c>
      <c r="U152" s="13" t="str" cm="1">
        <f t="array" ref="U152:Z152">IFERROR(IF(_xlfn.XLOOKUP(B152,Input!J:J,Input!N:S)=0,"",
          _xlfn.XLOOKUP(B152,Input!J:J,Input!N:S)),"")</f>
        <v/>
      </c>
      <c r="V152" s="13" t="str">
        <v/>
      </c>
      <c r="W152" s="13" t="str">
        <v/>
      </c>
      <c r="X152" s="13" t="str">
        <v/>
      </c>
      <c r="Y152" s="13" t="str">
        <v/>
      </c>
      <c r="Z152" s="13" t="str">
        <v/>
      </c>
      <c r="AA152" t="str">
        <f t="shared" si="7"/>
        <v/>
      </c>
      <c r="AB152" t="str">
        <f>_xlfn.XLOOKUP(B:B,Disk_Pivot!G:G,Disk_Pivot!I:I)</f>
        <v>No</v>
      </c>
      <c r="AC152" t="str">
        <f>_xlfn.XLOOKUP(B152,Disk_Pivot!G:G,Disk_Pivot!N:N)</f>
        <v/>
      </c>
    </row>
    <row r="153" spans="6:29">
      <c r="F153" t="str">
        <f>_xlfn.XLOOKUP(H153,Models!B:B,Models!F:F,"")</f>
        <v/>
      </c>
      <c r="K153">
        <f>_xlfn.XLOOKUP(B153,CPU_Formula!A:A,CPU_Formula!I:I)</f>
        <v>0</v>
      </c>
      <c r="L153" s="13" t="e">
        <f>INDEX(Input!$D$2:$AD$500,
       MATCH(B153, Input!$J$2:$J$500, 0),
       MATCH("Memory Capacity", Input!$D$1:$AD$1, 0))</f>
        <v>#N/A</v>
      </c>
      <c r="M153" s="13" t="e">
        <f>INDEX(Input!$D$2:$AD$500,
       MATCH(B153, Input!$J$2:$J$500, 0),
       MATCH("Memory Type", Input!$D$1:$AD$1, 0))</f>
        <v>#N/A</v>
      </c>
      <c r="N153" s="13" t="e">
        <f t="shared" si="6"/>
        <v>#N/A</v>
      </c>
      <c r="S153" s="13" t="str">
        <f>_xlfn.LET(_xlpm.Result,_xlfn.XLOOKUP(B153,Input!J:J,Input!AB:AB),IF(_xlpm.Result="","",_xlpm.Result))</f>
        <v/>
      </c>
      <c r="T153" s="13" t="str" cm="1">
        <f t="array" ref="T153">IFERROR(_xlfn.IFS(
   --S153&lt;55,"Battery Defect",
  -- S153&lt;=69,"Battery D",
  --S153&lt;=80,"Battery C",
 --S153&gt;80,""
),"")</f>
        <v/>
      </c>
      <c r="U153" s="13" t="str" cm="1">
        <f t="array" ref="U153:Z153">IFERROR(IF(_xlfn.XLOOKUP(B153,Input!J:J,Input!N:S)=0,"",
          _xlfn.XLOOKUP(B153,Input!J:J,Input!N:S)),"")</f>
        <v/>
      </c>
      <c r="V153" s="13" t="str">
        <v/>
      </c>
      <c r="W153" s="13" t="str">
        <v/>
      </c>
      <c r="X153" s="13" t="str">
        <v/>
      </c>
      <c r="Y153" s="13" t="str">
        <v/>
      </c>
      <c r="Z153" s="13" t="str">
        <v/>
      </c>
      <c r="AA153" t="str">
        <f t="shared" si="7"/>
        <v/>
      </c>
      <c r="AB153" t="str">
        <f>_xlfn.XLOOKUP(B:B,Disk_Pivot!G:G,Disk_Pivot!I:I)</f>
        <v>No</v>
      </c>
      <c r="AC153" t="str">
        <f>_xlfn.XLOOKUP(B153,Disk_Pivot!G:G,Disk_Pivot!N:N)</f>
        <v/>
      </c>
    </row>
    <row r="154" spans="6:29">
      <c r="F154" t="str">
        <f>_xlfn.XLOOKUP(H154,Models!B:B,Models!F:F,"")</f>
        <v/>
      </c>
      <c r="K154">
        <f>_xlfn.XLOOKUP(B154,CPU_Formula!A:A,CPU_Formula!I:I)</f>
        <v>0</v>
      </c>
      <c r="L154" s="13" t="e">
        <f>INDEX(Input!$D$2:$AD$500,
       MATCH(B154, Input!$J$2:$J$500, 0),
       MATCH("Memory Capacity", Input!$D$1:$AD$1, 0))</f>
        <v>#N/A</v>
      </c>
      <c r="M154" s="13" t="e">
        <f>INDEX(Input!$D$2:$AD$500,
       MATCH(B154, Input!$J$2:$J$500, 0),
       MATCH("Memory Type", Input!$D$1:$AD$1, 0))</f>
        <v>#N/A</v>
      </c>
      <c r="N154" s="13" t="e">
        <f t="shared" si="6"/>
        <v>#N/A</v>
      </c>
      <c r="S154" s="13" t="str">
        <f>_xlfn.LET(_xlpm.Result,_xlfn.XLOOKUP(B154,Input!J:J,Input!AB:AB),IF(_xlpm.Result="","",_xlpm.Result))</f>
        <v/>
      </c>
      <c r="T154" s="13" t="str" cm="1">
        <f t="array" ref="T154">IFERROR(_xlfn.IFS(
   --S154&lt;55,"Battery Defect",
  -- S154&lt;=69,"Battery D",
  --S154&lt;=80,"Battery C",
 --S154&gt;80,""
),"")</f>
        <v/>
      </c>
      <c r="U154" s="13" t="str" cm="1">
        <f t="array" ref="U154:Z154">IFERROR(IF(_xlfn.XLOOKUP(B154,Input!J:J,Input!N:S)=0,"",
          _xlfn.XLOOKUP(B154,Input!J:J,Input!N:S)),"")</f>
        <v/>
      </c>
      <c r="V154" s="13" t="str">
        <v/>
      </c>
      <c r="W154" s="13" t="str">
        <v/>
      </c>
      <c r="X154" s="13" t="str">
        <v/>
      </c>
      <c r="Y154" s="13" t="str">
        <v/>
      </c>
      <c r="Z154" s="13" t="str">
        <v/>
      </c>
      <c r="AA154" t="str">
        <f t="shared" si="7"/>
        <v/>
      </c>
      <c r="AB154" t="str">
        <f>_xlfn.XLOOKUP(B:B,Disk_Pivot!G:G,Disk_Pivot!I:I)</f>
        <v>No</v>
      </c>
      <c r="AC154" t="str">
        <f>_xlfn.XLOOKUP(B154,Disk_Pivot!G:G,Disk_Pivot!N:N)</f>
        <v/>
      </c>
    </row>
    <row r="155" spans="6:29">
      <c r="F155" t="str">
        <f>_xlfn.XLOOKUP(H155,Models!B:B,Models!F:F,"")</f>
        <v/>
      </c>
      <c r="K155">
        <f>_xlfn.XLOOKUP(B155,CPU_Formula!A:A,CPU_Formula!I:I)</f>
        <v>0</v>
      </c>
      <c r="L155" s="13" t="e">
        <f>INDEX(Input!$D$2:$AD$500,
       MATCH(B155, Input!$J$2:$J$500, 0),
       MATCH("Memory Capacity", Input!$D$1:$AD$1, 0))</f>
        <v>#N/A</v>
      </c>
      <c r="M155" s="13" t="e">
        <f>INDEX(Input!$D$2:$AD$500,
       MATCH(B155, Input!$J$2:$J$500, 0),
       MATCH("Memory Type", Input!$D$1:$AD$1, 0))</f>
        <v>#N/A</v>
      </c>
      <c r="N155" s="13" t="e">
        <f t="shared" si="6"/>
        <v>#N/A</v>
      </c>
      <c r="S155" s="13" t="str">
        <f>_xlfn.LET(_xlpm.Result,_xlfn.XLOOKUP(B155,Input!J:J,Input!AB:AB),IF(_xlpm.Result="","",_xlpm.Result))</f>
        <v/>
      </c>
      <c r="T155" s="13" t="str" cm="1">
        <f t="array" ref="T155">IFERROR(_xlfn.IFS(
   --S155&lt;55,"Battery Defect",
  -- S155&lt;=69,"Battery D",
  --S155&lt;=80,"Battery C",
 --S155&gt;80,""
),"")</f>
        <v/>
      </c>
      <c r="U155" s="13" t="str" cm="1">
        <f t="array" ref="U155:Z155">IFERROR(IF(_xlfn.XLOOKUP(B155,Input!J:J,Input!N:S)=0,"",
          _xlfn.XLOOKUP(B155,Input!J:J,Input!N:S)),"")</f>
        <v/>
      </c>
      <c r="V155" s="13" t="str">
        <v/>
      </c>
      <c r="W155" s="13" t="str">
        <v/>
      </c>
      <c r="X155" s="13" t="str">
        <v/>
      </c>
      <c r="Y155" s="13" t="str">
        <v/>
      </c>
      <c r="Z155" s="13" t="str">
        <v/>
      </c>
      <c r="AA155" t="str">
        <f t="shared" si="7"/>
        <v/>
      </c>
      <c r="AB155" t="str">
        <f>_xlfn.XLOOKUP(B:B,Disk_Pivot!G:G,Disk_Pivot!I:I)</f>
        <v>No</v>
      </c>
      <c r="AC155" t="str">
        <f>_xlfn.XLOOKUP(B155,Disk_Pivot!G:G,Disk_Pivot!N:N)</f>
        <v/>
      </c>
    </row>
    <row r="156" spans="6:29">
      <c r="F156" t="str">
        <f>_xlfn.XLOOKUP(H156,Models!B:B,Models!F:F,"")</f>
        <v/>
      </c>
      <c r="K156">
        <f>_xlfn.XLOOKUP(B156,CPU_Formula!A:A,CPU_Formula!I:I)</f>
        <v>0</v>
      </c>
      <c r="L156" s="13" t="e">
        <f>INDEX(Input!$D$2:$AD$500,
       MATCH(B156, Input!$J$2:$J$500, 0),
       MATCH("Memory Capacity", Input!$D$1:$AD$1, 0))</f>
        <v>#N/A</v>
      </c>
      <c r="M156" s="13" t="e">
        <f>INDEX(Input!$D$2:$AD$500,
       MATCH(B156, Input!$J$2:$J$500, 0),
       MATCH("Memory Type", Input!$D$1:$AD$1, 0))</f>
        <v>#N/A</v>
      </c>
      <c r="N156" s="13" t="e">
        <f t="shared" si="6"/>
        <v>#N/A</v>
      </c>
      <c r="S156" s="13" t="str">
        <f>_xlfn.LET(_xlpm.Result,_xlfn.XLOOKUP(B156,Input!J:J,Input!AB:AB),IF(_xlpm.Result="","",_xlpm.Result))</f>
        <v/>
      </c>
      <c r="T156" s="13" t="str" cm="1">
        <f t="array" ref="T156">IFERROR(_xlfn.IFS(
   --S156&lt;55,"Battery Defect",
  -- S156&lt;=69,"Battery D",
  --S156&lt;=80,"Battery C",
 --S156&gt;80,""
),"")</f>
        <v/>
      </c>
      <c r="U156" s="13" t="str" cm="1">
        <f t="array" ref="U156:Z156">IFERROR(IF(_xlfn.XLOOKUP(B156,Input!J:J,Input!N:S)=0,"",
          _xlfn.XLOOKUP(B156,Input!J:J,Input!N:S)),"")</f>
        <v/>
      </c>
      <c r="V156" s="13" t="str">
        <v/>
      </c>
      <c r="W156" s="13" t="str">
        <v/>
      </c>
      <c r="X156" s="13" t="str">
        <v/>
      </c>
      <c r="Y156" s="13" t="str">
        <v/>
      </c>
      <c r="Z156" s="13" t="str">
        <v/>
      </c>
      <c r="AA156" t="str">
        <f t="shared" si="7"/>
        <v/>
      </c>
      <c r="AB156" t="str">
        <f>_xlfn.XLOOKUP(B:B,Disk_Pivot!G:G,Disk_Pivot!I:I)</f>
        <v>No</v>
      </c>
      <c r="AC156" t="str">
        <f>_xlfn.XLOOKUP(B156,Disk_Pivot!G:G,Disk_Pivot!N:N)</f>
        <v/>
      </c>
    </row>
    <row r="157" spans="6:29">
      <c r="F157" t="str">
        <f>_xlfn.XLOOKUP(H157,Models!B:B,Models!F:F,"")</f>
        <v/>
      </c>
      <c r="K157">
        <f>_xlfn.XLOOKUP(B157,CPU_Formula!A:A,CPU_Formula!I:I)</f>
        <v>0</v>
      </c>
      <c r="L157" s="13" t="e">
        <f>INDEX(Input!$D$2:$AD$500,
       MATCH(B157, Input!$J$2:$J$500, 0),
       MATCH("Memory Capacity", Input!$D$1:$AD$1, 0))</f>
        <v>#N/A</v>
      </c>
      <c r="M157" s="13" t="e">
        <f>INDEX(Input!$D$2:$AD$500,
       MATCH(B157, Input!$J$2:$J$500, 0),
       MATCH("Memory Type", Input!$D$1:$AD$1, 0))</f>
        <v>#N/A</v>
      </c>
      <c r="N157" s="13" t="e">
        <f t="shared" si="6"/>
        <v>#N/A</v>
      </c>
      <c r="S157" s="13" t="str">
        <f>_xlfn.LET(_xlpm.Result,_xlfn.XLOOKUP(B157,Input!J:J,Input!AB:AB),IF(_xlpm.Result="","",_xlpm.Result))</f>
        <v/>
      </c>
      <c r="T157" s="13" t="str" cm="1">
        <f t="array" ref="T157">IFERROR(_xlfn.IFS(
   --S157&lt;55,"Battery Defect",
  -- S157&lt;=69,"Battery D",
  --S157&lt;=80,"Battery C",
 --S157&gt;80,""
),"")</f>
        <v/>
      </c>
      <c r="U157" s="13" t="str" cm="1">
        <f t="array" ref="U157:Z157">IFERROR(IF(_xlfn.XLOOKUP(B157,Input!J:J,Input!N:S)=0,"",
          _xlfn.XLOOKUP(B157,Input!J:J,Input!N:S)),"")</f>
        <v/>
      </c>
      <c r="V157" s="13" t="str">
        <v/>
      </c>
      <c r="W157" s="13" t="str">
        <v/>
      </c>
      <c r="X157" s="13" t="str">
        <v/>
      </c>
      <c r="Y157" s="13" t="str">
        <v/>
      </c>
      <c r="Z157" s="13" t="str">
        <v/>
      </c>
      <c r="AA157" t="str">
        <f t="shared" si="7"/>
        <v/>
      </c>
      <c r="AB157" t="str">
        <f>_xlfn.XLOOKUP(B:B,Disk_Pivot!G:G,Disk_Pivot!I:I)</f>
        <v>No</v>
      </c>
      <c r="AC157" t="str">
        <f>_xlfn.XLOOKUP(B157,Disk_Pivot!G:G,Disk_Pivot!N:N)</f>
        <v/>
      </c>
    </row>
    <row r="158" spans="6:29">
      <c r="F158" t="str">
        <f>_xlfn.XLOOKUP(H158,Models!B:B,Models!F:F,"")</f>
        <v/>
      </c>
      <c r="K158">
        <f>_xlfn.XLOOKUP(B158,CPU_Formula!A:A,CPU_Formula!I:I)</f>
        <v>0</v>
      </c>
      <c r="L158" s="13" t="e">
        <f>INDEX(Input!$D$2:$AD$500,
       MATCH(B158, Input!$J$2:$J$500, 0),
       MATCH("Memory Capacity", Input!$D$1:$AD$1, 0))</f>
        <v>#N/A</v>
      </c>
      <c r="M158" s="13" t="e">
        <f>INDEX(Input!$D$2:$AD$500,
       MATCH(B158, Input!$J$2:$J$500, 0),
       MATCH("Memory Type", Input!$D$1:$AD$1, 0))</f>
        <v>#N/A</v>
      </c>
      <c r="N158" s="13" t="e">
        <f t="shared" si="6"/>
        <v>#N/A</v>
      </c>
      <c r="S158" s="13" t="str">
        <f>_xlfn.LET(_xlpm.Result,_xlfn.XLOOKUP(B158,Input!J:J,Input!AB:AB),IF(_xlpm.Result="","",_xlpm.Result))</f>
        <v/>
      </c>
      <c r="T158" s="13" t="str" cm="1">
        <f t="array" ref="T158">IFERROR(_xlfn.IFS(
   --S158&lt;55,"Battery Defect",
  -- S158&lt;=69,"Battery D",
  --S158&lt;=80,"Battery C",
 --S158&gt;80,""
),"")</f>
        <v/>
      </c>
      <c r="U158" s="13" t="str" cm="1">
        <f t="array" ref="U158:Z158">IFERROR(IF(_xlfn.XLOOKUP(B158,Input!J:J,Input!N:S)=0,"",
          _xlfn.XLOOKUP(B158,Input!J:J,Input!N:S)),"")</f>
        <v/>
      </c>
      <c r="V158" s="13" t="str">
        <v/>
      </c>
      <c r="W158" s="13" t="str">
        <v/>
      </c>
      <c r="X158" s="13" t="str">
        <v/>
      </c>
      <c r="Y158" s="13" t="str">
        <v/>
      </c>
      <c r="Z158" s="13" t="str">
        <v/>
      </c>
      <c r="AA158" t="str">
        <f t="shared" si="7"/>
        <v/>
      </c>
      <c r="AB158" t="str">
        <f>_xlfn.XLOOKUP(B:B,Disk_Pivot!G:G,Disk_Pivot!I:I)</f>
        <v>No</v>
      </c>
      <c r="AC158" t="str">
        <f>_xlfn.XLOOKUP(B158,Disk_Pivot!G:G,Disk_Pivot!N:N)</f>
        <v/>
      </c>
    </row>
    <row r="159" spans="6:29">
      <c r="F159" t="str">
        <f>_xlfn.XLOOKUP(H159,Models!B:B,Models!F:F,"")</f>
        <v/>
      </c>
      <c r="K159">
        <f>_xlfn.XLOOKUP(B159,CPU_Formula!A:A,CPU_Formula!I:I)</f>
        <v>0</v>
      </c>
      <c r="L159" s="13" t="e">
        <f>INDEX(Input!$D$2:$AD$500,
       MATCH(B159, Input!$J$2:$J$500, 0),
       MATCH("Memory Capacity", Input!$D$1:$AD$1, 0))</f>
        <v>#N/A</v>
      </c>
      <c r="M159" s="13" t="e">
        <f>INDEX(Input!$D$2:$AD$500,
       MATCH(B159, Input!$J$2:$J$500, 0),
       MATCH("Memory Type", Input!$D$1:$AD$1, 0))</f>
        <v>#N/A</v>
      </c>
      <c r="N159" s="13" t="e">
        <f t="shared" si="6"/>
        <v>#N/A</v>
      </c>
      <c r="S159" s="13" t="str">
        <f>_xlfn.LET(_xlpm.Result,_xlfn.XLOOKUP(B159,Input!J:J,Input!AB:AB),IF(_xlpm.Result="","",_xlpm.Result))</f>
        <v/>
      </c>
      <c r="T159" s="13" t="str" cm="1">
        <f t="array" ref="T159">IFERROR(_xlfn.IFS(
   --S159&lt;55,"Battery Defect",
  -- S159&lt;=69,"Battery D",
  --S159&lt;=80,"Battery C",
 --S159&gt;80,""
),"")</f>
        <v/>
      </c>
      <c r="U159" s="13" t="str" cm="1">
        <f t="array" ref="U159:Z159">IFERROR(IF(_xlfn.XLOOKUP(B159,Input!J:J,Input!N:S)=0,"",
          _xlfn.XLOOKUP(B159,Input!J:J,Input!N:S)),"")</f>
        <v/>
      </c>
      <c r="V159" s="13" t="str">
        <v/>
      </c>
      <c r="W159" s="13" t="str">
        <v/>
      </c>
      <c r="X159" s="13" t="str">
        <v/>
      </c>
      <c r="Y159" s="13" t="str">
        <v/>
      </c>
      <c r="Z159" s="13" t="str">
        <v/>
      </c>
      <c r="AA159" t="str">
        <f t="shared" si="7"/>
        <v/>
      </c>
      <c r="AB159" t="str">
        <f>_xlfn.XLOOKUP(B:B,Disk_Pivot!G:G,Disk_Pivot!I:I)</f>
        <v>No</v>
      </c>
      <c r="AC159" t="str">
        <f>_xlfn.XLOOKUP(B159,Disk_Pivot!G:G,Disk_Pivot!N:N)</f>
        <v/>
      </c>
    </row>
    <row r="160" spans="6:29">
      <c r="F160" t="str">
        <f>_xlfn.XLOOKUP(H160,Models!B:B,Models!F:F,"")</f>
        <v/>
      </c>
      <c r="K160">
        <f>_xlfn.XLOOKUP(B160,CPU_Formula!A:A,CPU_Formula!I:I)</f>
        <v>0</v>
      </c>
      <c r="L160" s="13" t="e">
        <f>INDEX(Input!$D$2:$AD$500,
       MATCH(B160, Input!$J$2:$J$500, 0),
       MATCH("Memory Capacity", Input!$D$1:$AD$1, 0))</f>
        <v>#N/A</v>
      </c>
      <c r="M160" s="13" t="e">
        <f>INDEX(Input!$D$2:$AD$500,
       MATCH(B160, Input!$J$2:$J$500, 0),
       MATCH("Memory Type", Input!$D$1:$AD$1, 0))</f>
        <v>#N/A</v>
      </c>
      <c r="N160" s="13" t="e">
        <f t="shared" si="6"/>
        <v>#N/A</v>
      </c>
      <c r="S160" s="13" t="str">
        <f>_xlfn.LET(_xlpm.Result,_xlfn.XLOOKUP(B160,Input!J:J,Input!AB:AB),IF(_xlpm.Result="","",_xlpm.Result))</f>
        <v/>
      </c>
      <c r="T160" s="13" t="str" cm="1">
        <f t="array" ref="T160">IFERROR(_xlfn.IFS(
   --S160&lt;55,"Battery Defect",
  -- S160&lt;=69,"Battery D",
  --S160&lt;=80,"Battery C",
 --S160&gt;80,""
),"")</f>
        <v/>
      </c>
      <c r="U160" s="13" t="str" cm="1">
        <f t="array" ref="U160:Z160">IFERROR(IF(_xlfn.XLOOKUP(B160,Input!J:J,Input!N:S)=0,"",
          _xlfn.XLOOKUP(B160,Input!J:J,Input!N:S)),"")</f>
        <v/>
      </c>
      <c r="V160" s="13" t="str">
        <v/>
      </c>
      <c r="W160" s="13" t="str">
        <v/>
      </c>
      <c r="X160" s="13" t="str">
        <v/>
      </c>
      <c r="Y160" s="13" t="str">
        <v/>
      </c>
      <c r="Z160" s="13" t="str">
        <v/>
      </c>
      <c r="AA160" t="str">
        <f t="shared" si="7"/>
        <v/>
      </c>
      <c r="AB160" t="str">
        <f>_xlfn.XLOOKUP(B:B,Disk_Pivot!G:G,Disk_Pivot!I:I)</f>
        <v>No</v>
      </c>
      <c r="AC160" t="str">
        <f>_xlfn.XLOOKUP(B160,Disk_Pivot!G:G,Disk_Pivot!N:N)</f>
        <v/>
      </c>
    </row>
    <row r="161" spans="6:29">
      <c r="F161" t="str">
        <f>_xlfn.XLOOKUP(H161,Models!B:B,Models!F:F,"")</f>
        <v/>
      </c>
      <c r="K161">
        <f>_xlfn.XLOOKUP(B161,CPU_Formula!A:A,CPU_Formula!I:I)</f>
        <v>0</v>
      </c>
      <c r="L161" s="13" t="e">
        <f>INDEX(Input!$D$2:$AD$500,
       MATCH(B161, Input!$J$2:$J$500, 0),
       MATCH("Memory Capacity", Input!$D$1:$AD$1, 0))</f>
        <v>#N/A</v>
      </c>
      <c r="M161" s="13" t="e">
        <f>INDEX(Input!$D$2:$AD$500,
       MATCH(B161, Input!$J$2:$J$500, 0),
       MATCH("Memory Type", Input!$D$1:$AD$1, 0))</f>
        <v>#N/A</v>
      </c>
      <c r="N161" s="13" t="e">
        <f t="shared" si="6"/>
        <v>#N/A</v>
      </c>
      <c r="S161" s="13" t="str">
        <f>_xlfn.LET(_xlpm.Result,_xlfn.XLOOKUP(B161,Input!J:J,Input!AB:AB),IF(_xlpm.Result="","",_xlpm.Result))</f>
        <v/>
      </c>
      <c r="T161" s="13" t="str" cm="1">
        <f t="array" ref="T161">IFERROR(_xlfn.IFS(
   --S161&lt;55,"Battery Defect",
  -- S161&lt;=69,"Battery D",
  --S161&lt;=80,"Battery C",
 --S161&gt;80,""
),"")</f>
        <v/>
      </c>
      <c r="U161" s="13" t="str" cm="1">
        <f t="array" ref="U161:Z161">IFERROR(IF(_xlfn.XLOOKUP(B161,Input!J:J,Input!N:S)=0,"",
          _xlfn.XLOOKUP(B161,Input!J:J,Input!N:S)),"")</f>
        <v/>
      </c>
      <c r="V161" s="13" t="str">
        <v/>
      </c>
      <c r="W161" s="13" t="str">
        <v/>
      </c>
      <c r="X161" s="13" t="str">
        <v/>
      </c>
      <c r="Y161" s="13" t="str">
        <v/>
      </c>
      <c r="Z161" s="13" t="str">
        <v/>
      </c>
      <c r="AA161" t="str">
        <f t="shared" si="7"/>
        <v/>
      </c>
      <c r="AB161" t="str">
        <f>_xlfn.XLOOKUP(B:B,Disk_Pivot!G:G,Disk_Pivot!I:I)</f>
        <v>No</v>
      </c>
      <c r="AC161" t="str">
        <f>_xlfn.XLOOKUP(B161,Disk_Pivot!G:G,Disk_Pivot!N:N)</f>
        <v/>
      </c>
    </row>
    <row r="162" spans="6:29">
      <c r="F162" t="str">
        <f>_xlfn.XLOOKUP(H162,Models!B:B,Models!F:F,"")</f>
        <v/>
      </c>
      <c r="K162">
        <f>_xlfn.XLOOKUP(B162,CPU_Formula!A:A,CPU_Formula!I:I)</f>
        <v>0</v>
      </c>
      <c r="L162" s="13" t="e">
        <f>INDEX(Input!$D$2:$AD$500,
       MATCH(B162, Input!$J$2:$J$500, 0),
       MATCH("Memory Capacity", Input!$D$1:$AD$1, 0))</f>
        <v>#N/A</v>
      </c>
      <c r="M162" s="13" t="e">
        <f>INDEX(Input!$D$2:$AD$500,
       MATCH(B162, Input!$J$2:$J$500, 0),
       MATCH("Memory Type", Input!$D$1:$AD$1, 0))</f>
        <v>#N/A</v>
      </c>
      <c r="N162" s="13" t="e">
        <f t="shared" si="6"/>
        <v>#N/A</v>
      </c>
      <c r="S162" s="13" t="str">
        <f>_xlfn.LET(_xlpm.Result,_xlfn.XLOOKUP(B162,Input!J:J,Input!AB:AB),IF(_xlpm.Result="","",_xlpm.Result))</f>
        <v/>
      </c>
      <c r="T162" s="13" t="str" cm="1">
        <f t="array" ref="T162">IFERROR(_xlfn.IFS(
   --S162&lt;55,"Battery Defect",
  -- S162&lt;=69,"Battery D",
  --S162&lt;=80,"Battery C",
 --S162&gt;80,""
),"")</f>
        <v/>
      </c>
      <c r="U162" s="13" t="str" cm="1">
        <f t="array" ref="U162:Z162">IFERROR(IF(_xlfn.XLOOKUP(B162,Input!J:J,Input!N:S)=0,"",
          _xlfn.XLOOKUP(B162,Input!J:J,Input!N:S)),"")</f>
        <v/>
      </c>
      <c r="V162" s="13" t="str">
        <v/>
      </c>
      <c r="W162" s="13" t="str">
        <v/>
      </c>
      <c r="X162" s="13" t="str">
        <v/>
      </c>
      <c r="Y162" s="13" t="str">
        <v/>
      </c>
      <c r="Z162" s="13" t="str">
        <v/>
      </c>
      <c r="AA162" t="str">
        <f t="shared" si="7"/>
        <v/>
      </c>
      <c r="AB162" t="str">
        <f>_xlfn.XLOOKUP(B:B,Disk_Pivot!G:G,Disk_Pivot!I:I)</f>
        <v>No</v>
      </c>
      <c r="AC162" t="str">
        <f>_xlfn.XLOOKUP(B162,Disk_Pivot!G:G,Disk_Pivot!N:N)</f>
        <v/>
      </c>
    </row>
    <row r="163" spans="6:29">
      <c r="F163" t="str">
        <f>_xlfn.XLOOKUP(H163,Models!B:B,Models!F:F,"")</f>
        <v/>
      </c>
      <c r="K163">
        <f>_xlfn.XLOOKUP(B163,CPU_Formula!A:A,CPU_Formula!I:I)</f>
        <v>0</v>
      </c>
      <c r="L163" s="13" t="e">
        <f>INDEX(Input!$D$2:$AD$500,
       MATCH(B163, Input!$J$2:$J$500, 0),
       MATCH("Memory Capacity", Input!$D$1:$AD$1, 0))</f>
        <v>#N/A</v>
      </c>
      <c r="M163" s="13" t="e">
        <f>INDEX(Input!$D$2:$AD$500,
       MATCH(B163, Input!$J$2:$J$500, 0),
       MATCH("Memory Type", Input!$D$1:$AD$1, 0))</f>
        <v>#N/A</v>
      </c>
      <c r="N163" s="13" t="e">
        <f t="shared" si="6"/>
        <v>#N/A</v>
      </c>
      <c r="S163" s="13" t="str">
        <f>_xlfn.LET(_xlpm.Result,_xlfn.XLOOKUP(B163,Input!J:J,Input!AB:AB),IF(_xlpm.Result="","",_xlpm.Result))</f>
        <v/>
      </c>
      <c r="T163" s="13" t="str" cm="1">
        <f t="array" ref="T163">IFERROR(_xlfn.IFS(
   --S163&lt;55,"Battery Defect",
  -- S163&lt;=69,"Battery D",
  --S163&lt;=80,"Battery C",
 --S163&gt;80,""
),"")</f>
        <v/>
      </c>
      <c r="U163" s="13" t="str" cm="1">
        <f t="array" ref="U163:Z163">IFERROR(IF(_xlfn.XLOOKUP(B163,Input!J:J,Input!N:S)=0,"",
          _xlfn.XLOOKUP(B163,Input!J:J,Input!N:S)),"")</f>
        <v/>
      </c>
      <c r="V163" s="13" t="str">
        <v/>
      </c>
      <c r="W163" s="13" t="str">
        <v/>
      </c>
      <c r="X163" s="13" t="str">
        <v/>
      </c>
      <c r="Y163" s="13" t="str">
        <v/>
      </c>
      <c r="Z163" s="13" t="str">
        <v/>
      </c>
      <c r="AA163" t="str">
        <f t="shared" si="7"/>
        <v/>
      </c>
      <c r="AB163" t="str">
        <f>_xlfn.XLOOKUP(B:B,Disk_Pivot!G:G,Disk_Pivot!I:I)</f>
        <v>No</v>
      </c>
      <c r="AC163" t="str">
        <f>_xlfn.XLOOKUP(B163,Disk_Pivot!G:G,Disk_Pivot!N:N)</f>
        <v/>
      </c>
    </row>
    <row r="164" spans="6:29">
      <c r="F164" t="str">
        <f>_xlfn.XLOOKUP(H164,Models!B:B,Models!F:F,"")</f>
        <v/>
      </c>
      <c r="K164">
        <f>_xlfn.XLOOKUP(B164,CPU_Formula!A:A,CPU_Formula!I:I)</f>
        <v>0</v>
      </c>
      <c r="L164" s="13" t="e">
        <f>INDEX(Input!$D$2:$AD$500,
       MATCH(B164, Input!$J$2:$J$500, 0),
       MATCH("Memory Capacity", Input!$D$1:$AD$1, 0))</f>
        <v>#N/A</v>
      </c>
      <c r="M164" s="13" t="e">
        <f>INDEX(Input!$D$2:$AD$500,
       MATCH(B164, Input!$J$2:$J$500, 0),
       MATCH("Memory Type", Input!$D$1:$AD$1, 0))</f>
        <v>#N/A</v>
      </c>
      <c r="N164" s="13" t="e">
        <f t="shared" si="6"/>
        <v>#N/A</v>
      </c>
      <c r="S164" s="13" t="str">
        <f>_xlfn.LET(_xlpm.Result,_xlfn.XLOOKUP(B164,Input!J:J,Input!AB:AB),IF(_xlpm.Result="","",_xlpm.Result))</f>
        <v/>
      </c>
      <c r="T164" s="13" t="str" cm="1">
        <f t="array" ref="T164">IFERROR(_xlfn.IFS(
   --S164&lt;55,"Battery Defect",
  -- S164&lt;=69,"Battery D",
  --S164&lt;=80,"Battery C",
 --S164&gt;80,""
),"")</f>
        <v/>
      </c>
      <c r="U164" s="13" t="str" cm="1">
        <f t="array" ref="U164:Z164">IFERROR(IF(_xlfn.XLOOKUP(B164,Input!J:J,Input!N:S)=0,"",
          _xlfn.XLOOKUP(B164,Input!J:J,Input!N:S)),"")</f>
        <v/>
      </c>
      <c r="V164" s="13" t="str">
        <v/>
      </c>
      <c r="W164" s="13" t="str">
        <v/>
      </c>
      <c r="X164" s="13" t="str">
        <v/>
      </c>
      <c r="Y164" s="13" t="str">
        <v/>
      </c>
      <c r="Z164" s="13" t="str">
        <v/>
      </c>
      <c r="AA164" t="str">
        <f t="shared" si="7"/>
        <v/>
      </c>
      <c r="AB164" t="str">
        <f>_xlfn.XLOOKUP(B:B,Disk_Pivot!G:G,Disk_Pivot!I:I)</f>
        <v>No</v>
      </c>
      <c r="AC164" t="str">
        <f>_xlfn.XLOOKUP(B164,Disk_Pivot!G:G,Disk_Pivot!N:N)</f>
        <v/>
      </c>
    </row>
    <row r="165" spans="6:29">
      <c r="F165" t="str">
        <f>_xlfn.XLOOKUP(H165,Models!B:B,Models!F:F,"")</f>
        <v/>
      </c>
      <c r="K165">
        <f>_xlfn.XLOOKUP(B165,CPU_Formula!A:A,CPU_Formula!I:I)</f>
        <v>0</v>
      </c>
      <c r="L165" s="13" t="e">
        <f>INDEX(Input!$D$2:$AD$500,
       MATCH(B165, Input!$J$2:$J$500, 0),
       MATCH("Memory Capacity", Input!$D$1:$AD$1, 0))</f>
        <v>#N/A</v>
      </c>
      <c r="M165" s="13" t="e">
        <f>INDEX(Input!$D$2:$AD$500,
       MATCH(B165, Input!$J$2:$J$500, 0),
       MATCH("Memory Type", Input!$D$1:$AD$1, 0))</f>
        <v>#N/A</v>
      </c>
      <c r="N165" s="13" t="e">
        <f t="shared" si="6"/>
        <v>#N/A</v>
      </c>
      <c r="S165" s="13" t="str">
        <f>_xlfn.LET(_xlpm.Result,_xlfn.XLOOKUP(B165,Input!J:J,Input!AB:AB),IF(_xlpm.Result="","",_xlpm.Result))</f>
        <v/>
      </c>
      <c r="T165" s="13" t="str" cm="1">
        <f t="array" ref="T165">IFERROR(_xlfn.IFS(
   --S165&lt;55,"Battery Defect",
  -- S165&lt;=69,"Battery D",
  --S165&lt;=80,"Battery C",
 --S165&gt;80,""
),"")</f>
        <v/>
      </c>
      <c r="U165" s="13" t="str" cm="1">
        <f t="array" ref="U165:Z165">IFERROR(IF(_xlfn.XLOOKUP(B165,Input!J:J,Input!N:S)=0,"",
          _xlfn.XLOOKUP(B165,Input!J:J,Input!N:S)),"")</f>
        <v/>
      </c>
      <c r="V165" s="13" t="str">
        <v/>
      </c>
      <c r="W165" s="13" t="str">
        <v/>
      </c>
      <c r="X165" s="13" t="str">
        <v/>
      </c>
      <c r="Y165" s="13" t="str">
        <v/>
      </c>
      <c r="Z165" s="13" t="str">
        <v/>
      </c>
      <c r="AA165" t="str">
        <f t="shared" si="7"/>
        <v/>
      </c>
      <c r="AB165" t="str">
        <f>_xlfn.XLOOKUP(B:B,Disk_Pivot!G:G,Disk_Pivot!I:I)</f>
        <v>No</v>
      </c>
      <c r="AC165" t="str">
        <f>_xlfn.XLOOKUP(B165,Disk_Pivot!G:G,Disk_Pivot!N:N)</f>
        <v/>
      </c>
    </row>
    <row r="166" spans="6:29">
      <c r="F166" t="str">
        <f>_xlfn.XLOOKUP(H166,Models!B:B,Models!F:F,"")</f>
        <v/>
      </c>
      <c r="K166">
        <f>_xlfn.XLOOKUP(B166,CPU_Formula!A:A,CPU_Formula!I:I)</f>
        <v>0</v>
      </c>
      <c r="L166" s="13" t="e">
        <f>INDEX(Input!$D$2:$AD$500,
       MATCH(B166, Input!$J$2:$J$500, 0),
       MATCH("Memory Capacity", Input!$D$1:$AD$1, 0))</f>
        <v>#N/A</v>
      </c>
      <c r="M166" s="13" t="e">
        <f>INDEX(Input!$D$2:$AD$500,
       MATCH(B166, Input!$J$2:$J$500, 0),
       MATCH("Memory Type", Input!$D$1:$AD$1, 0))</f>
        <v>#N/A</v>
      </c>
      <c r="N166" s="13" t="e">
        <f t="shared" si="6"/>
        <v>#N/A</v>
      </c>
      <c r="S166" s="13" t="str">
        <f>_xlfn.LET(_xlpm.Result,_xlfn.XLOOKUP(B166,Input!J:J,Input!AB:AB),IF(_xlpm.Result="","",_xlpm.Result))</f>
        <v/>
      </c>
      <c r="T166" s="13" t="str" cm="1">
        <f t="array" ref="T166">IFERROR(_xlfn.IFS(
   --S166&lt;55,"Battery Defect",
  -- S166&lt;=69,"Battery D",
  --S166&lt;=80,"Battery C",
 --S166&gt;80,""
),"")</f>
        <v/>
      </c>
      <c r="U166" s="13" t="str" cm="1">
        <f t="array" ref="U166:Z166">IFERROR(IF(_xlfn.XLOOKUP(B166,Input!J:J,Input!N:S)=0,"",
          _xlfn.XLOOKUP(B166,Input!J:J,Input!N:S)),"")</f>
        <v/>
      </c>
      <c r="V166" s="13" t="str">
        <v/>
      </c>
      <c r="W166" s="13" t="str">
        <v/>
      </c>
      <c r="X166" s="13" t="str">
        <v/>
      </c>
      <c r="Y166" s="13" t="str">
        <v/>
      </c>
      <c r="Z166" s="13" t="str">
        <v/>
      </c>
      <c r="AA166" t="str">
        <f t="shared" si="7"/>
        <v/>
      </c>
      <c r="AB166" t="str">
        <f>_xlfn.XLOOKUP(B:B,Disk_Pivot!G:G,Disk_Pivot!I:I)</f>
        <v>No</v>
      </c>
      <c r="AC166" t="str">
        <f>_xlfn.XLOOKUP(B166,Disk_Pivot!G:G,Disk_Pivot!N:N)</f>
        <v/>
      </c>
    </row>
    <row r="167" spans="6:29">
      <c r="F167" t="str">
        <f>_xlfn.XLOOKUP(H167,Models!B:B,Models!F:F,"")</f>
        <v/>
      </c>
      <c r="K167">
        <f>_xlfn.XLOOKUP(B167,CPU_Formula!A:A,CPU_Formula!I:I)</f>
        <v>0</v>
      </c>
      <c r="L167" s="13" t="e">
        <f>INDEX(Input!$D$2:$AD$500,
       MATCH(B167, Input!$J$2:$J$500, 0),
       MATCH("Memory Capacity", Input!$D$1:$AD$1, 0))</f>
        <v>#N/A</v>
      </c>
      <c r="M167" s="13" t="e">
        <f>INDEX(Input!$D$2:$AD$500,
       MATCH(B167, Input!$J$2:$J$500, 0),
       MATCH("Memory Type", Input!$D$1:$AD$1, 0))</f>
        <v>#N/A</v>
      </c>
      <c r="N167" s="13" t="e">
        <f t="shared" si="6"/>
        <v>#N/A</v>
      </c>
      <c r="S167" s="13" t="str">
        <f>_xlfn.LET(_xlpm.Result,_xlfn.XLOOKUP(B167,Input!J:J,Input!AB:AB),IF(_xlpm.Result="","",_xlpm.Result))</f>
        <v/>
      </c>
      <c r="T167" s="13" t="str" cm="1">
        <f t="array" ref="T167">IFERROR(_xlfn.IFS(
   --S167&lt;55,"Battery Defect",
  -- S167&lt;=69,"Battery D",
  --S167&lt;=80,"Battery C",
 --S167&gt;80,""
),"")</f>
        <v/>
      </c>
      <c r="U167" s="13" t="str" cm="1">
        <f t="array" ref="U167:Z167">IFERROR(IF(_xlfn.XLOOKUP(B167,Input!J:J,Input!N:S)=0,"",
          _xlfn.XLOOKUP(B167,Input!J:J,Input!N:S)),"")</f>
        <v/>
      </c>
      <c r="V167" s="13" t="str">
        <v/>
      </c>
      <c r="W167" s="13" t="str">
        <v/>
      </c>
      <c r="X167" s="13" t="str">
        <v/>
      </c>
      <c r="Y167" s="13" t="str">
        <v/>
      </c>
      <c r="Z167" s="13" t="str">
        <v/>
      </c>
      <c r="AA167" t="str">
        <f t="shared" si="7"/>
        <v/>
      </c>
      <c r="AB167" t="str">
        <f>_xlfn.XLOOKUP(B:B,Disk_Pivot!G:G,Disk_Pivot!I:I)</f>
        <v>No</v>
      </c>
      <c r="AC167" t="str">
        <f>_xlfn.XLOOKUP(B167,Disk_Pivot!G:G,Disk_Pivot!N:N)</f>
        <v/>
      </c>
    </row>
    <row r="168" spans="6:29">
      <c r="F168" t="str">
        <f>_xlfn.XLOOKUP(H168,Models!B:B,Models!F:F,"")</f>
        <v/>
      </c>
      <c r="K168">
        <f>_xlfn.XLOOKUP(B168,CPU_Formula!A:A,CPU_Formula!I:I)</f>
        <v>0</v>
      </c>
      <c r="L168" s="13" t="e">
        <f>INDEX(Input!$D$2:$AD$500,
       MATCH(B168, Input!$J$2:$J$500, 0),
       MATCH("Memory Capacity", Input!$D$1:$AD$1, 0))</f>
        <v>#N/A</v>
      </c>
      <c r="M168" s="13" t="e">
        <f>INDEX(Input!$D$2:$AD$500,
       MATCH(B168, Input!$J$2:$J$500, 0),
       MATCH("Memory Type", Input!$D$1:$AD$1, 0))</f>
        <v>#N/A</v>
      </c>
      <c r="N168" s="13" t="e">
        <f t="shared" si="6"/>
        <v>#N/A</v>
      </c>
      <c r="S168" s="13" t="str">
        <f>_xlfn.LET(_xlpm.Result,_xlfn.XLOOKUP(B168,Input!J:J,Input!AB:AB),IF(_xlpm.Result="","",_xlpm.Result))</f>
        <v/>
      </c>
      <c r="T168" s="13" t="str" cm="1">
        <f t="array" ref="T168">IFERROR(_xlfn.IFS(
   --S168&lt;55,"Battery Defect",
  -- S168&lt;=69,"Battery D",
  --S168&lt;=80,"Battery C",
 --S168&gt;80,""
),"")</f>
        <v/>
      </c>
      <c r="U168" s="13" t="str" cm="1">
        <f t="array" ref="U168:Z168">IFERROR(IF(_xlfn.XLOOKUP(B168,Input!J:J,Input!N:S)=0,"",
          _xlfn.XLOOKUP(B168,Input!J:J,Input!N:S)),"")</f>
        <v/>
      </c>
      <c r="V168" s="13" t="str">
        <v/>
      </c>
      <c r="W168" s="13" t="str">
        <v/>
      </c>
      <c r="X168" s="13" t="str">
        <v/>
      </c>
      <c r="Y168" s="13" t="str">
        <v/>
      </c>
      <c r="Z168" s="13" t="str">
        <v/>
      </c>
      <c r="AA168" t="str">
        <f t="shared" si="7"/>
        <v/>
      </c>
      <c r="AB168" t="str">
        <f>_xlfn.XLOOKUP(B:B,Disk_Pivot!G:G,Disk_Pivot!I:I)</f>
        <v>No</v>
      </c>
      <c r="AC168" t="str">
        <f>_xlfn.XLOOKUP(B168,Disk_Pivot!G:G,Disk_Pivot!N:N)</f>
        <v/>
      </c>
    </row>
    <row r="169" spans="6:29">
      <c r="F169" t="str">
        <f>_xlfn.XLOOKUP(H169,Models!B:B,Models!F:F,"")</f>
        <v/>
      </c>
      <c r="K169">
        <f>_xlfn.XLOOKUP(B169,CPU_Formula!A:A,CPU_Formula!I:I)</f>
        <v>0</v>
      </c>
      <c r="L169" s="13" t="e">
        <f>INDEX(Input!$D$2:$AD$500,
       MATCH(B169, Input!$J$2:$J$500, 0),
       MATCH("Memory Capacity", Input!$D$1:$AD$1, 0))</f>
        <v>#N/A</v>
      </c>
      <c r="M169" s="13" t="e">
        <f>INDEX(Input!$D$2:$AD$500,
       MATCH(B169, Input!$J$2:$J$500, 0),
       MATCH("Memory Type", Input!$D$1:$AD$1, 0))</f>
        <v>#N/A</v>
      </c>
      <c r="N169" s="13" t="e">
        <f t="shared" si="6"/>
        <v>#N/A</v>
      </c>
      <c r="S169" s="13" t="str">
        <f>_xlfn.LET(_xlpm.Result,_xlfn.XLOOKUP(B169,Input!J:J,Input!AB:AB),IF(_xlpm.Result="","",_xlpm.Result))</f>
        <v/>
      </c>
      <c r="T169" s="13" t="str" cm="1">
        <f t="array" ref="T169">IFERROR(_xlfn.IFS(
   --S169&lt;55,"Battery Defect",
  -- S169&lt;=69,"Battery D",
  --S169&lt;=80,"Battery C",
 --S169&gt;80,""
),"")</f>
        <v/>
      </c>
      <c r="U169" s="13" t="str" cm="1">
        <f t="array" ref="U169:Z169">IFERROR(IF(_xlfn.XLOOKUP(B169,Input!J:J,Input!N:S)=0,"",
          _xlfn.XLOOKUP(B169,Input!J:J,Input!N:S)),"")</f>
        <v/>
      </c>
      <c r="V169" s="13" t="str">
        <v/>
      </c>
      <c r="W169" s="13" t="str">
        <v/>
      </c>
      <c r="X169" s="13" t="str">
        <v/>
      </c>
      <c r="Y169" s="13" t="str">
        <v/>
      </c>
      <c r="Z169" s="13" t="str">
        <v/>
      </c>
      <c r="AA169" t="str">
        <f t="shared" si="7"/>
        <v/>
      </c>
      <c r="AB169" t="str">
        <f>_xlfn.XLOOKUP(B:B,Disk_Pivot!G:G,Disk_Pivot!I:I)</f>
        <v>No</v>
      </c>
      <c r="AC169" t="str">
        <f>_xlfn.XLOOKUP(B169,Disk_Pivot!G:G,Disk_Pivot!N:N)</f>
        <v/>
      </c>
    </row>
    <row r="170" spans="6:29">
      <c r="F170" t="str">
        <f>_xlfn.XLOOKUP(H170,Models!B:B,Models!F:F,"")</f>
        <v/>
      </c>
      <c r="K170">
        <f>_xlfn.XLOOKUP(B170,CPU_Formula!A:A,CPU_Formula!I:I)</f>
        <v>0</v>
      </c>
      <c r="L170" s="13" t="e">
        <f>INDEX(Input!$D$2:$AD$500,
       MATCH(B170, Input!$J$2:$J$500, 0),
       MATCH("Memory Capacity", Input!$D$1:$AD$1, 0))</f>
        <v>#N/A</v>
      </c>
      <c r="M170" s="13" t="e">
        <f>INDEX(Input!$D$2:$AD$500,
       MATCH(B170, Input!$J$2:$J$500, 0),
       MATCH("Memory Type", Input!$D$1:$AD$1, 0))</f>
        <v>#N/A</v>
      </c>
      <c r="N170" s="13" t="e">
        <f t="shared" si="6"/>
        <v>#N/A</v>
      </c>
      <c r="S170" s="13" t="str">
        <f>_xlfn.LET(_xlpm.Result,_xlfn.XLOOKUP(B170,Input!J:J,Input!AB:AB),IF(_xlpm.Result="","",_xlpm.Result))</f>
        <v/>
      </c>
      <c r="T170" s="13" t="str" cm="1">
        <f t="array" ref="T170">IFERROR(_xlfn.IFS(
   --S170&lt;55,"Battery Defect",
  -- S170&lt;=69,"Battery D",
  --S170&lt;=80,"Battery C",
 --S170&gt;80,""
),"")</f>
        <v/>
      </c>
      <c r="U170" s="13" t="str" cm="1">
        <f t="array" ref="U170:Z170">IFERROR(IF(_xlfn.XLOOKUP(B170,Input!J:J,Input!N:S)=0,"",
          _xlfn.XLOOKUP(B170,Input!J:J,Input!N:S)),"")</f>
        <v/>
      </c>
      <c r="V170" s="13" t="str">
        <v/>
      </c>
      <c r="W170" s="13" t="str">
        <v/>
      </c>
      <c r="X170" s="13" t="str">
        <v/>
      </c>
      <c r="Y170" s="13" t="str">
        <v/>
      </c>
      <c r="Z170" s="13" t="str">
        <v/>
      </c>
      <c r="AA170" t="str">
        <f t="shared" si="7"/>
        <v/>
      </c>
      <c r="AB170" t="str">
        <f>_xlfn.XLOOKUP(B:B,Disk_Pivot!G:G,Disk_Pivot!I:I)</f>
        <v>No</v>
      </c>
      <c r="AC170" t="str">
        <f>_xlfn.XLOOKUP(B170,Disk_Pivot!G:G,Disk_Pivot!N:N)</f>
        <v/>
      </c>
    </row>
    <row r="171" spans="6:29">
      <c r="F171" t="str">
        <f>_xlfn.XLOOKUP(H171,Models!B:B,Models!F:F,"")</f>
        <v/>
      </c>
      <c r="K171">
        <f>_xlfn.XLOOKUP(B171,CPU_Formula!A:A,CPU_Formula!I:I)</f>
        <v>0</v>
      </c>
      <c r="L171" s="13" t="e">
        <f>INDEX(Input!$D$2:$AD$500,
       MATCH(B171, Input!$J$2:$J$500, 0),
       MATCH("Memory Capacity", Input!$D$1:$AD$1, 0))</f>
        <v>#N/A</v>
      </c>
      <c r="M171" s="13" t="e">
        <f>INDEX(Input!$D$2:$AD$500,
       MATCH(B171, Input!$J$2:$J$500, 0),
       MATCH("Memory Type", Input!$D$1:$AD$1, 0))</f>
        <v>#N/A</v>
      </c>
      <c r="N171" s="13" t="e">
        <f t="shared" si="6"/>
        <v>#N/A</v>
      </c>
      <c r="S171" s="13" t="str">
        <f>_xlfn.LET(_xlpm.Result,_xlfn.XLOOKUP(B171,Input!J:J,Input!AB:AB),IF(_xlpm.Result="","",_xlpm.Result))</f>
        <v/>
      </c>
      <c r="T171" s="13" t="str" cm="1">
        <f t="array" ref="T171">IFERROR(_xlfn.IFS(
   --S171&lt;55,"Battery Defect",
  -- S171&lt;=69,"Battery D",
  --S171&lt;=80,"Battery C",
 --S171&gt;80,""
),"")</f>
        <v/>
      </c>
      <c r="U171" s="13" t="str" cm="1">
        <f t="array" ref="U171:Z171">IFERROR(IF(_xlfn.XLOOKUP(B171,Input!J:J,Input!N:S)=0,"",
          _xlfn.XLOOKUP(B171,Input!J:J,Input!N:S)),"")</f>
        <v/>
      </c>
      <c r="V171" s="13" t="str">
        <v/>
      </c>
      <c r="W171" s="13" t="str">
        <v/>
      </c>
      <c r="X171" s="13" t="str">
        <v/>
      </c>
      <c r="Y171" s="13" t="str">
        <v/>
      </c>
      <c r="Z171" s="13" t="str">
        <v/>
      </c>
      <c r="AA171" t="str">
        <f t="shared" si="7"/>
        <v/>
      </c>
      <c r="AB171" t="str">
        <f>_xlfn.XLOOKUP(B:B,Disk_Pivot!G:G,Disk_Pivot!I:I)</f>
        <v>No</v>
      </c>
      <c r="AC171" t="str">
        <f>_xlfn.XLOOKUP(B171,Disk_Pivot!G:G,Disk_Pivot!N:N)</f>
        <v/>
      </c>
    </row>
    <row r="172" spans="6:29">
      <c r="F172" t="str">
        <f>_xlfn.XLOOKUP(H172,Models!B:B,Models!F:F,"")</f>
        <v/>
      </c>
      <c r="K172">
        <f>_xlfn.XLOOKUP(B172,CPU_Formula!A:A,CPU_Formula!I:I)</f>
        <v>0</v>
      </c>
      <c r="L172" s="13" t="e">
        <f>INDEX(Input!$D$2:$AD$500,
       MATCH(B172, Input!$J$2:$J$500, 0),
       MATCH("Memory Capacity", Input!$D$1:$AD$1, 0))</f>
        <v>#N/A</v>
      </c>
      <c r="M172" s="13" t="e">
        <f>INDEX(Input!$D$2:$AD$500,
       MATCH(B172, Input!$J$2:$J$500, 0),
       MATCH("Memory Type", Input!$D$1:$AD$1, 0))</f>
        <v>#N/A</v>
      </c>
      <c r="N172" s="13" t="e">
        <f t="shared" si="6"/>
        <v>#N/A</v>
      </c>
      <c r="S172" s="13" t="str">
        <f>_xlfn.LET(_xlpm.Result,_xlfn.XLOOKUP(B172,Input!J:J,Input!AB:AB),IF(_xlpm.Result="","",_xlpm.Result))</f>
        <v/>
      </c>
      <c r="T172" s="13" t="str" cm="1">
        <f t="array" ref="T172">IFERROR(_xlfn.IFS(
   --S172&lt;55,"Battery Defect",
  -- S172&lt;=69,"Battery D",
  --S172&lt;=80,"Battery C",
 --S172&gt;80,""
),"")</f>
        <v/>
      </c>
      <c r="U172" s="13" t="str" cm="1">
        <f t="array" ref="U172:Z172">IFERROR(IF(_xlfn.XLOOKUP(B172,Input!J:J,Input!N:S)=0,"",
          _xlfn.XLOOKUP(B172,Input!J:J,Input!N:S)),"")</f>
        <v/>
      </c>
      <c r="V172" s="13" t="str">
        <v/>
      </c>
      <c r="W172" s="13" t="str">
        <v/>
      </c>
      <c r="X172" s="13" t="str">
        <v/>
      </c>
      <c r="Y172" s="13" t="str">
        <v/>
      </c>
      <c r="Z172" s="13" t="str">
        <v/>
      </c>
      <c r="AA172" t="str">
        <f t="shared" si="7"/>
        <v/>
      </c>
      <c r="AB172" t="str">
        <f>_xlfn.XLOOKUP(B:B,Disk_Pivot!G:G,Disk_Pivot!I:I)</f>
        <v>No</v>
      </c>
      <c r="AC172" t="str">
        <f>_xlfn.XLOOKUP(B172,Disk_Pivot!G:G,Disk_Pivot!N:N)</f>
        <v/>
      </c>
    </row>
    <row r="173" spans="6:29">
      <c r="F173" t="str">
        <f>_xlfn.XLOOKUP(H173,Models!B:B,Models!F:F,"")</f>
        <v/>
      </c>
      <c r="K173">
        <f>_xlfn.XLOOKUP(B173,CPU_Formula!A:A,CPU_Formula!I:I)</f>
        <v>0</v>
      </c>
      <c r="L173" s="13" t="e">
        <f>INDEX(Input!$D$2:$AD$500,
       MATCH(B173, Input!$J$2:$J$500, 0),
       MATCH("Memory Capacity", Input!$D$1:$AD$1, 0))</f>
        <v>#N/A</v>
      </c>
      <c r="M173" s="13" t="e">
        <f>INDEX(Input!$D$2:$AD$500,
       MATCH(B173, Input!$J$2:$J$500, 0),
       MATCH("Memory Type", Input!$D$1:$AD$1, 0))</f>
        <v>#N/A</v>
      </c>
      <c r="N173" s="13" t="e">
        <f t="shared" si="6"/>
        <v>#N/A</v>
      </c>
      <c r="S173" s="13" t="str">
        <f>_xlfn.LET(_xlpm.Result,_xlfn.XLOOKUP(B173,Input!J:J,Input!AB:AB),IF(_xlpm.Result="","",_xlpm.Result))</f>
        <v/>
      </c>
      <c r="T173" s="13" t="str" cm="1">
        <f t="array" ref="T173">IFERROR(_xlfn.IFS(
   --S173&lt;55,"Battery Defect",
  -- S173&lt;=69,"Battery D",
  --S173&lt;=80,"Battery C",
 --S173&gt;80,""
),"")</f>
        <v/>
      </c>
      <c r="U173" s="13" t="str" cm="1">
        <f t="array" ref="U173:Z173">IFERROR(IF(_xlfn.XLOOKUP(B173,Input!J:J,Input!N:S)=0,"",
          _xlfn.XLOOKUP(B173,Input!J:J,Input!N:S)),"")</f>
        <v/>
      </c>
      <c r="V173" s="13" t="str">
        <v/>
      </c>
      <c r="W173" s="13" t="str">
        <v/>
      </c>
      <c r="X173" s="13" t="str">
        <v/>
      </c>
      <c r="Y173" s="13" t="str">
        <v/>
      </c>
      <c r="Z173" s="13" t="str">
        <v/>
      </c>
      <c r="AA173" t="str">
        <f t="shared" si="7"/>
        <v/>
      </c>
      <c r="AB173" t="str">
        <f>_xlfn.XLOOKUP(B:B,Disk_Pivot!G:G,Disk_Pivot!I:I)</f>
        <v>No</v>
      </c>
      <c r="AC173" t="str">
        <f>_xlfn.XLOOKUP(B173,Disk_Pivot!G:G,Disk_Pivot!N:N)</f>
        <v/>
      </c>
    </row>
    <row r="174" spans="6:29">
      <c r="F174" t="str">
        <f>_xlfn.XLOOKUP(H174,Models!B:B,Models!F:F,"")</f>
        <v/>
      </c>
      <c r="K174">
        <f>_xlfn.XLOOKUP(B174,CPU_Formula!A:A,CPU_Formula!I:I)</f>
        <v>0</v>
      </c>
      <c r="L174" s="13" t="e">
        <f>INDEX(Input!$D$2:$AD$500,
       MATCH(B174, Input!$J$2:$J$500, 0),
       MATCH("Memory Capacity", Input!$D$1:$AD$1, 0))</f>
        <v>#N/A</v>
      </c>
      <c r="M174" s="13" t="e">
        <f>INDEX(Input!$D$2:$AD$500,
       MATCH(B174, Input!$J$2:$J$500, 0),
       MATCH("Memory Type", Input!$D$1:$AD$1, 0))</f>
        <v>#N/A</v>
      </c>
      <c r="N174" s="13" t="e">
        <f t="shared" si="6"/>
        <v>#N/A</v>
      </c>
      <c r="S174" s="13" t="str">
        <f>_xlfn.LET(_xlpm.Result,_xlfn.XLOOKUP(B174,Input!J:J,Input!AB:AB),IF(_xlpm.Result="","",_xlpm.Result))</f>
        <v/>
      </c>
      <c r="T174" s="13" t="str" cm="1">
        <f t="array" ref="T174">IFERROR(_xlfn.IFS(
   --S174&lt;55,"Battery Defect",
  -- S174&lt;=69,"Battery D",
  --S174&lt;=80,"Battery C",
 --S174&gt;80,""
),"")</f>
        <v/>
      </c>
      <c r="U174" s="13" t="str" cm="1">
        <f t="array" ref="U174:Z174">IFERROR(IF(_xlfn.XLOOKUP(B174,Input!J:J,Input!N:S)=0,"",
          _xlfn.XLOOKUP(B174,Input!J:J,Input!N:S)),"")</f>
        <v/>
      </c>
      <c r="V174" s="13" t="str">
        <v/>
      </c>
      <c r="W174" s="13" t="str">
        <v/>
      </c>
      <c r="X174" s="13" t="str">
        <v/>
      </c>
      <c r="Y174" s="13" t="str">
        <v/>
      </c>
      <c r="Z174" s="13" t="str">
        <v/>
      </c>
      <c r="AA174" t="str">
        <f t="shared" si="7"/>
        <v/>
      </c>
      <c r="AB174" t="str">
        <f>_xlfn.XLOOKUP(B:B,Disk_Pivot!G:G,Disk_Pivot!I:I)</f>
        <v>No</v>
      </c>
      <c r="AC174" t="str">
        <f>_xlfn.XLOOKUP(B174,Disk_Pivot!G:G,Disk_Pivot!N:N)</f>
        <v/>
      </c>
    </row>
    <row r="175" spans="6:29">
      <c r="F175" t="str">
        <f>_xlfn.XLOOKUP(H175,Models!B:B,Models!F:F,"")</f>
        <v/>
      </c>
      <c r="K175">
        <f>_xlfn.XLOOKUP(B175,CPU_Formula!A:A,CPU_Formula!I:I)</f>
        <v>0</v>
      </c>
      <c r="L175" s="13" t="e">
        <f>INDEX(Input!$D$2:$AD$500,
       MATCH(B175, Input!$J$2:$J$500, 0),
       MATCH("Memory Capacity", Input!$D$1:$AD$1, 0))</f>
        <v>#N/A</v>
      </c>
      <c r="M175" s="13" t="e">
        <f>INDEX(Input!$D$2:$AD$500,
       MATCH(B175, Input!$J$2:$J$500, 0),
       MATCH("Memory Type", Input!$D$1:$AD$1, 0))</f>
        <v>#N/A</v>
      </c>
      <c r="N175" s="13" t="e">
        <f t="shared" si="6"/>
        <v>#N/A</v>
      </c>
      <c r="S175" s="13" t="str">
        <f>_xlfn.LET(_xlpm.Result,_xlfn.XLOOKUP(B175,Input!J:J,Input!AB:AB),IF(_xlpm.Result="","",_xlpm.Result))</f>
        <v/>
      </c>
      <c r="T175" s="13" t="str" cm="1">
        <f t="array" ref="T175">IFERROR(_xlfn.IFS(
   --S175&lt;55,"Battery Defect",
  -- S175&lt;=69,"Battery D",
  --S175&lt;=80,"Battery C",
 --S175&gt;80,""
),"")</f>
        <v/>
      </c>
      <c r="U175" s="13" t="str" cm="1">
        <f t="array" ref="U175:Z175">IFERROR(IF(_xlfn.XLOOKUP(B175,Input!J:J,Input!N:S)=0,"",
          _xlfn.XLOOKUP(B175,Input!J:J,Input!N:S)),"")</f>
        <v/>
      </c>
      <c r="V175" s="13" t="str">
        <v/>
      </c>
      <c r="W175" s="13" t="str">
        <v/>
      </c>
      <c r="X175" s="13" t="str">
        <v/>
      </c>
      <c r="Y175" s="13" t="str">
        <v/>
      </c>
      <c r="Z175" s="13" t="str">
        <v/>
      </c>
      <c r="AA175" t="str">
        <f t="shared" si="7"/>
        <v/>
      </c>
      <c r="AB175" t="str">
        <f>_xlfn.XLOOKUP(B:B,Disk_Pivot!G:G,Disk_Pivot!I:I)</f>
        <v>No</v>
      </c>
      <c r="AC175" t="str">
        <f>_xlfn.XLOOKUP(B175,Disk_Pivot!G:G,Disk_Pivot!N:N)</f>
        <v/>
      </c>
    </row>
    <row r="176" spans="6:29">
      <c r="F176" t="str">
        <f>_xlfn.XLOOKUP(H176,Models!B:B,Models!F:F,"")</f>
        <v/>
      </c>
      <c r="K176">
        <f>_xlfn.XLOOKUP(B176,CPU_Formula!A:A,CPU_Formula!I:I)</f>
        <v>0</v>
      </c>
      <c r="L176" s="13" t="e">
        <f>INDEX(Input!$D$2:$AD$500,
       MATCH(B176, Input!$J$2:$J$500, 0),
       MATCH("Memory Capacity", Input!$D$1:$AD$1, 0))</f>
        <v>#N/A</v>
      </c>
      <c r="M176" s="13" t="e">
        <f>INDEX(Input!$D$2:$AD$500,
       MATCH(B176, Input!$J$2:$J$500, 0),
       MATCH("Memory Type", Input!$D$1:$AD$1, 0))</f>
        <v>#N/A</v>
      </c>
      <c r="N176" s="13" t="e">
        <f t="shared" si="6"/>
        <v>#N/A</v>
      </c>
      <c r="S176" s="13" t="str">
        <f>_xlfn.LET(_xlpm.Result,_xlfn.XLOOKUP(B176,Input!J:J,Input!AB:AB),IF(_xlpm.Result="","",_xlpm.Result))</f>
        <v/>
      </c>
      <c r="T176" s="13" t="str" cm="1">
        <f t="array" ref="T176">IFERROR(_xlfn.IFS(
   --S176&lt;55,"Battery Defect",
  -- S176&lt;=69,"Battery D",
  --S176&lt;=80,"Battery C",
 --S176&gt;80,""
),"")</f>
        <v/>
      </c>
      <c r="U176" s="13" t="str" cm="1">
        <f t="array" ref="U176:Z176">IFERROR(IF(_xlfn.XLOOKUP(B176,Input!J:J,Input!N:S)=0,"",
          _xlfn.XLOOKUP(B176,Input!J:J,Input!N:S)),"")</f>
        <v/>
      </c>
      <c r="V176" s="13" t="str">
        <v/>
      </c>
      <c r="W176" s="13" t="str">
        <v/>
      </c>
      <c r="X176" s="13" t="str">
        <v/>
      </c>
      <c r="Y176" s="13" t="str">
        <v/>
      </c>
      <c r="Z176" s="13" t="str">
        <v/>
      </c>
      <c r="AA176" t="str">
        <f t="shared" si="7"/>
        <v/>
      </c>
      <c r="AB176" t="str">
        <f>_xlfn.XLOOKUP(B:B,Disk_Pivot!G:G,Disk_Pivot!I:I)</f>
        <v>No</v>
      </c>
      <c r="AC176" t="str">
        <f>_xlfn.XLOOKUP(B176,Disk_Pivot!G:G,Disk_Pivot!N:N)</f>
        <v/>
      </c>
    </row>
    <row r="177" spans="6:29">
      <c r="F177" t="str">
        <f>_xlfn.XLOOKUP(H177,Models!B:B,Models!F:F,"")</f>
        <v/>
      </c>
      <c r="K177">
        <f>_xlfn.XLOOKUP(B177,CPU_Formula!A:A,CPU_Formula!I:I)</f>
        <v>0</v>
      </c>
      <c r="L177" s="13" t="e">
        <f>INDEX(Input!$D$2:$AD$500,
       MATCH(B177, Input!$J$2:$J$500, 0),
       MATCH("Memory Capacity", Input!$D$1:$AD$1, 0))</f>
        <v>#N/A</v>
      </c>
      <c r="M177" s="13" t="e">
        <f>INDEX(Input!$D$2:$AD$500,
       MATCH(B177, Input!$J$2:$J$500, 0),
       MATCH("Memory Type", Input!$D$1:$AD$1, 0))</f>
        <v>#N/A</v>
      </c>
      <c r="N177" s="13" t="e">
        <f t="shared" si="6"/>
        <v>#N/A</v>
      </c>
      <c r="S177" s="13" t="str">
        <f>_xlfn.LET(_xlpm.Result,_xlfn.XLOOKUP(B177,Input!J:J,Input!AB:AB),IF(_xlpm.Result="","",_xlpm.Result))</f>
        <v/>
      </c>
      <c r="T177" s="13" t="str" cm="1">
        <f t="array" ref="T177">IFERROR(_xlfn.IFS(
   --S177&lt;55,"Battery Defect",
  -- S177&lt;=69,"Battery D",
  --S177&lt;=80,"Battery C",
 --S177&gt;80,""
),"")</f>
        <v/>
      </c>
      <c r="U177" s="13" t="str" cm="1">
        <f t="array" ref="U177:Z177">IFERROR(IF(_xlfn.XLOOKUP(B177,Input!J:J,Input!N:S)=0,"",
          _xlfn.XLOOKUP(B177,Input!J:J,Input!N:S)),"")</f>
        <v/>
      </c>
      <c r="V177" s="13" t="str">
        <v/>
      </c>
      <c r="W177" s="13" t="str">
        <v/>
      </c>
      <c r="X177" s="13" t="str">
        <v/>
      </c>
      <c r="Y177" s="13" t="str">
        <v/>
      </c>
      <c r="Z177" s="13" t="str">
        <v/>
      </c>
      <c r="AA177" t="str">
        <f t="shared" si="7"/>
        <v/>
      </c>
      <c r="AB177" t="str">
        <f>_xlfn.XLOOKUP(B:B,Disk_Pivot!G:G,Disk_Pivot!I:I)</f>
        <v>No</v>
      </c>
      <c r="AC177" t="str">
        <f>_xlfn.XLOOKUP(B177,Disk_Pivot!G:G,Disk_Pivot!N:N)</f>
        <v/>
      </c>
    </row>
    <row r="178" spans="6:29">
      <c r="F178" t="str">
        <f>_xlfn.XLOOKUP(H178,Models!B:B,Models!F:F,"")</f>
        <v/>
      </c>
      <c r="K178">
        <f>_xlfn.XLOOKUP(B178,CPU_Formula!A:A,CPU_Formula!I:I)</f>
        <v>0</v>
      </c>
      <c r="L178" s="13" t="e">
        <f>INDEX(Input!$D$2:$AD$500,
       MATCH(B178, Input!$J$2:$J$500, 0),
       MATCH("Memory Capacity", Input!$D$1:$AD$1, 0))</f>
        <v>#N/A</v>
      </c>
      <c r="M178" s="13" t="e">
        <f>INDEX(Input!$D$2:$AD$500,
       MATCH(B178, Input!$J$2:$J$500, 0),
       MATCH("Memory Type", Input!$D$1:$AD$1, 0))</f>
        <v>#N/A</v>
      </c>
      <c r="N178" s="13" t="e">
        <f t="shared" si="6"/>
        <v>#N/A</v>
      </c>
      <c r="S178" s="13" t="str">
        <f>_xlfn.LET(_xlpm.Result,_xlfn.XLOOKUP(B178,Input!J:J,Input!AB:AB),IF(_xlpm.Result="","",_xlpm.Result))</f>
        <v/>
      </c>
      <c r="T178" s="13" t="str" cm="1">
        <f t="array" ref="T178">IFERROR(_xlfn.IFS(
   --S178&lt;55,"Battery Defect",
  -- S178&lt;=69,"Battery D",
  --S178&lt;=80,"Battery C",
 --S178&gt;80,""
),"")</f>
        <v/>
      </c>
      <c r="U178" s="13" t="str" cm="1">
        <f t="array" ref="U178:Z178">IFERROR(IF(_xlfn.XLOOKUP(B178,Input!J:J,Input!N:S)=0,"",
          _xlfn.XLOOKUP(B178,Input!J:J,Input!N:S)),"")</f>
        <v/>
      </c>
      <c r="V178" s="13" t="str">
        <v/>
      </c>
      <c r="W178" s="13" t="str">
        <v/>
      </c>
      <c r="X178" s="13" t="str">
        <v/>
      </c>
      <c r="Y178" s="13" t="str">
        <v/>
      </c>
      <c r="Z178" s="13" t="str">
        <v/>
      </c>
      <c r="AA178" t="str">
        <f t="shared" si="7"/>
        <v/>
      </c>
      <c r="AB178" t="str">
        <f>_xlfn.XLOOKUP(B:B,Disk_Pivot!G:G,Disk_Pivot!I:I)</f>
        <v>No</v>
      </c>
      <c r="AC178" t="str">
        <f>_xlfn.XLOOKUP(B178,Disk_Pivot!G:G,Disk_Pivot!N:N)</f>
        <v/>
      </c>
    </row>
    <row r="179" spans="6:29">
      <c r="F179" t="str">
        <f>_xlfn.XLOOKUP(H179,Models!B:B,Models!F:F,"")</f>
        <v/>
      </c>
      <c r="K179">
        <f>_xlfn.XLOOKUP(B179,CPU_Formula!A:A,CPU_Formula!I:I)</f>
        <v>0</v>
      </c>
      <c r="L179" s="13" t="e">
        <f>INDEX(Input!$D$2:$AD$500,
       MATCH(B179, Input!$J$2:$J$500, 0),
       MATCH("Memory Capacity", Input!$D$1:$AD$1, 0))</f>
        <v>#N/A</v>
      </c>
      <c r="M179" s="13" t="e">
        <f>INDEX(Input!$D$2:$AD$500,
       MATCH(B179, Input!$J$2:$J$500, 0),
       MATCH("Memory Type", Input!$D$1:$AD$1, 0))</f>
        <v>#N/A</v>
      </c>
      <c r="N179" s="13" t="e">
        <f t="shared" si="6"/>
        <v>#N/A</v>
      </c>
      <c r="S179" s="13" t="str">
        <f>_xlfn.LET(_xlpm.Result,_xlfn.XLOOKUP(B179,Input!J:J,Input!AB:AB),IF(_xlpm.Result="","",_xlpm.Result))</f>
        <v/>
      </c>
      <c r="T179" s="13" t="str" cm="1">
        <f t="array" ref="T179">IFERROR(_xlfn.IFS(
   --S179&lt;55,"Battery Defect",
  -- S179&lt;=69,"Battery D",
  --S179&lt;=80,"Battery C",
 --S179&gt;80,""
),"")</f>
        <v/>
      </c>
      <c r="U179" s="13" t="str" cm="1">
        <f t="array" ref="U179:Z179">IFERROR(IF(_xlfn.XLOOKUP(B179,Input!J:J,Input!N:S)=0,"",
          _xlfn.XLOOKUP(B179,Input!J:J,Input!N:S)),"")</f>
        <v/>
      </c>
      <c r="V179" s="13" t="str">
        <v/>
      </c>
      <c r="W179" s="13" t="str">
        <v/>
      </c>
      <c r="X179" s="13" t="str">
        <v/>
      </c>
      <c r="Y179" s="13" t="str">
        <v/>
      </c>
      <c r="Z179" s="13" t="str">
        <v/>
      </c>
      <c r="AA179" t="str">
        <f t="shared" si="7"/>
        <v/>
      </c>
      <c r="AB179" t="str">
        <f>_xlfn.XLOOKUP(B:B,Disk_Pivot!G:G,Disk_Pivot!I:I)</f>
        <v>No</v>
      </c>
      <c r="AC179" t="str">
        <f>_xlfn.XLOOKUP(B179,Disk_Pivot!G:G,Disk_Pivot!N:N)</f>
        <v/>
      </c>
    </row>
    <row r="180" spans="6:29">
      <c r="F180" t="str">
        <f>_xlfn.XLOOKUP(H180,Models!B:B,Models!F:F,"")</f>
        <v/>
      </c>
      <c r="K180">
        <f>_xlfn.XLOOKUP(B180,CPU_Formula!A:A,CPU_Formula!I:I)</f>
        <v>0</v>
      </c>
      <c r="L180" s="13" t="e">
        <f>INDEX(Input!$D$2:$AD$500,
       MATCH(B180, Input!$J$2:$J$500, 0),
       MATCH("Memory Capacity", Input!$D$1:$AD$1, 0))</f>
        <v>#N/A</v>
      </c>
      <c r="M180" s="13" t="e">
        <f>INDEX(Input!$D$2:$AD$500,
       MATCH(B180, Input!$J$2:$J$500, 0),
       MATCH("Memory Type", Input!$D$1:$AD$1, 0))</f>
        <v>#N/A</v>
      </c>
      <c r="N180" s="13" t="e">
        <f t="shared" si="6"/>
        <v>#N/A</v>
      </c>
      <c r="S180" s="13" t="str">
        <f>_xlfn.LET(_xlpm.Result,_xlfn.XLOOKUP(B180,Input!J:J,Input!AB:AB),IF(_xlpm.Result="","",_xlpm.Result))</f>
        <v/>
      </c>
      <c r="T180" s="13" t="str" cm="1">
        <f t="array" ref="T180">IFERROR(_xlfn.IFS(
   --S180&lt;55,"Battery Defect",
  -- S180&lt;=69,"Battery D",
  --S180&lt;=80,"Battery C",
 --S180&gt;80,""
),"")</f>
        <v/>
      </c>
      <c r="U180" s="13" t="str" cm="1">
        <f t="array" ref="U180:Z180">IFERROR(IF(_xlfn.XLOOKUP(B180,Input!J:J,Input!N:S)=0,"",
          _xlfn.XLOOKUP(B180,Input!J:J,Input!N:S)),"")</f>
        <v/>
      </c>
      <c r="V180" s="13" t="str">
        <v/>
      </c>
      <c r="W180" s="13" t="str">
        <v/>
      </c>
      <c r="X180" s="13" t="str">
        <v/>
      </c>
      <c r="Y180" s="13" t="str">
        <v/>
      </c>
      <c r="Z180" s="13" t="str">
        <v/>
      </c>
      <c r="AA180" t="str">
        <f t="shared" si="7"/>
        <v/>
      </c>
      <c r="AB180" t="str">
        <f>_xlfn.XLOOKUP(B:B,Disk_Pivot!G:G,Disk_Pivot!I:I)</f>
        <v>No</v>
      </c>
      <c r="AC180" t="str">
        <f>_xlfn.XLOOKUP(B180,Disk_Pivot!G:G,Disk_Pivot!N:N)</f>
        <v/>
      </c>
    </row>
    <row r="181" spans="6:29">
      <c r="F181" t="str">
        <f>_xlfn.XLOOKUP(H181,Models!B:B,Models!F:F,"")</f>
        <v/>
      </c>
      <c r="K181">
        <f>_xlfn.XLOOKUP(B181,CPU_Formula!A:A,CPU_Formula!I:I)</f>
        <v>0</v>
      </c>
      <c r="L181" s="13" t="e">
        <f>INDEX(Input!$D$2:$AD$500,
       MATCH(B181, Input!$J$2:$J$500, 0),
       MATCH("Memory Capacity", Input!$D$1:$AD$1, 0))</f>
        <v>#N/A</v>
      </c>
      <c r="M181" s="13" t="e">
        <f>INDEX(Input!$D$2:$AD$500,
       MATCH(B181, Input!$J$2:$J$500, 0),
       MATCH("Memory Type", Input!$D$1:$AD$1, 0))</f>
        <v>#N/A</v>
      </c>
      <c r="N181" s="13" t="e">
        <f t="shared" si="6"/>
        <v>#N/A</v>
      </c>
      <c r="S181" s="13" t="str">
        <f>_xlfn.LET(_xlpm.Result,_xlfn.XLOOKUP(B181,Input!J:J,Input!AB:AB),IF(_xlpm.Result="","",_xlpm.Result))</f>
        <v/>
      </c>
      <c r="T181" s="13" t="str" cm="1">
        <f t="array" ref="T181">IFERROR(_xlfn.IFS(
   --S181&lt;55,"Battery Defect",
  -- S181&lt;=69,"Battery D",
  --S181&lt;=80,"Battery C",
 --S181&gt;80,""
),"")</f>
        <v/>
      </c>
      <c r="U181" s="13" t="str" cm="1">
        <f t="array" ref="U181:Z181">IFERROR(IF(_xlfn.XLOOKUP(B181,Input!J:J,Input!N:S)=0,"",
          _xlfn.XLOOKUP(B181,Input!J:J,Input!N:S)),"")</f>
        <v/>
      </c>
      <c r="V181" s="13" t="str">
        <v/>
      </c>
      <c r="W181" s="13" t="str">
        <v/>
      </c>
      <c r="X181" s="13" t="str">
        <v/>
      </c>
      <c r="Y181" s="13" t="str">
        <v/>
      </c>
      <c r="Z181" s="13" t="str">
        <v/>
      </c>
      <c r="AA181" t="str">
        <f t="shared" si="7"/>
        <v/>
      </c>
      <c r="AB181" t="str">
        <f>_xlfn.XLOOKUP(B:B,Disk_Pivot!G:G,Disk_Pivot!I:I)</f>
        <v>No</v>
      </c>
      <c r="AC181" t="str">
        <f>_xlfn.XLOOKUP(B181,Disk_Pivot!G:G,Disk_Pivot!N:N)</f>
        <v/>
      </c>
    </row>
    <row r="182" spans="6:29">
      <c r="F182" t="str">
        <f>_xlfn.XLOOKUP(H182,Models!B:B,Models!F:F,"")</f>
        <v/>
      </c>
      <c r="K182">
        <f>_xlfn.XLOOKUP(B182,CPU_Formula!A:A,CPU_Formula!I:I)</f>
        <v>0</v>
      </c>
      <c r="L182" s="13" t="e">
        <f>INDEX(Input!$D$2:$AD$500,
       MATCH(B182, Input!$J$2:$J$500, 0),
       MATCH("Memory Capacity", Input!$D$1:$AD$1, 0))</f>
        <v>#N/A</v>
      </c>
      <c r="M182" s="13" t="e">
        <f>INDEX(Input!$D$2:$AD$500,
       MATCH(B182, Input!$J$2:$J$500, 0),
       MATCH("Memory Type", Input!$D$1:$AD$1, 0))</f>
        <v>#N/A</v>
      </c>
      <c r="N182" s="13" t="e">
        <f t="shared" si="6"/>
        <v>#N/A</v>
      </c>
      <c r="S182" s="13" t="str">
        <f>_xlfn.LET(_xlpm.Result,_xlfn.XLOOKUP(B182,Input!J:J,Input!AB:AB),IF(_xlpm.Result="","",_xlpm.Result))</f>
        <v/>
      </c>
      <c r="T182" s="13" t="str" cm="1">
        <f t="array" ref="T182">IFERROR(_xlfn.IFS(
   --S182&lt;55,"Battery Defect",
  -- S182&lt;=69,"Battery D",
  --S182&lt;=80,"Battery C",
 --S182&gt;80,""
),"")</f>
        <v/>
      </c>
      <c r="U182" s="13" t="str" cm="1">
        <f t="array" ref="U182:Z182">IFERROR(IF(_xlfn.XLOOKUP(B182,Input!J:J,Input!N:S)=0,"",
          _xlfn.XLOOKUP(B182,Input!J:J,Input!N:S)),"")</f>
        <v/>
      </c>
      <c r="V182" s="13" t="str">
        <v/>
      </c>
      <c r="W182" s="13" t="str">
        <v/>
      </c>
      <c r="X182" s="13" t="str">
        <v/>
      </c>
      <c r="Y182" s="13" t="str">
        <v/>
      </c>
      <c r="Z182" s="13" t="str">
        <v/>
      </c>
      <c r="AA182" t="str">
        <f t="shared" si="7"/>
        <v/>
      </c>
      <c r="AB182" t="str">
        <f>_xlfn.XLOOKUP(B:B,Disk_Pivot!G:G,Disk_Pivot!I:I)</f>
        <v>No</v>
      </c>
      <c r="AC182" t="str">
        <f>_xlfn.XLOOKUP(B182,Disk_Pivot!G:G,Disk_Pivot!N:N)</f>
        <v/>
      </c>
    </row>
    <row r="183" spans="6:29">
      <c r="F183" t="str">
        <f>_xlfn.XLOOKUP(H183,Models!B:B,Models!F:F,"")</f>
        <v/>
      </c>
      <c r="K183">
        <f>_xlfn.XLOOKUP(B183,CPU_Formula!A:A,CPU_Formula!I:I)</f>
        <v>0</v>
      </c>
      <c r="L183" s="13" t="e">
        <f>INDEX(Input!$D$2:$AD$500,
       MATCH(B183, Input!$J$2:$J$500, 0),
       MATCH("Memory Capacity", Input!$D$1:$AD$1, 0))</f>
        <v>#N/A</v>
      </c>
      <c r="M183" s="13" t="e">
        <f>INDEX(Input!$D$2:$AD$500,
       MATCH(B183, Input!$J$2:$J$500, 0),
       MATCH("Memory Type", Input!$D$1:$AD$1, 0))</f>
        <v>#N/A</v>
      </c>
      <c r="N183" s="13" t="e">
        <f t="shared" si="6"/>
        <v>#N/A</v>
      </c>
      <c r="S183" s="13" t="str">
        <f>_xlfn.LET(_xlpm.Result,_xlfn.XLOOKUP(B183,Input!J:J,Input!AB:AB),IF(_xlpm.Result="","",_xlpm.Result))</f>
        <v/>
      </c>
      <c r="T183" s="13" t="str" cm="1">
        <f t="array" ref="T183">IFERROR(_xlfn.IFS(
   --S183&lt;55,"Battery Defect",
  -- S183&lt;=69,"Battery D",
  --S183&lt;=80,"Battery C",
 --S183&gt;80,""
),"")</f>
        <v/>
      </c>
      <c r="U183" s="13" t="str" cm="1">
        <f t="array" ref="U183:Z183">IFERROR(IF(_xlfn.XLOOKUP(B183,Input!J:J,Input!N:S)=0,"",
          _xlfn.XLOOKUP(B183,Input!J:J,Input!N:S)),"")</f>
        <v/>
      </c>
      <c r="V183" s="13" t="str">
        <v/>
      </c>
      <c r="W183" s="13" t="str">
        <v/>
      </c>
      <c r="X183" s="13" t="str">
        <v/>
      </c>
      <c r="Y183" s="13" t="str">
        <v/>
      </c>
      <c r="Z183" s="13" t="str">
        <v/>
      </c>
      <c r="AA183" t="str">
        <f t="shared" si="7"/>
        <v/>
      </c>
      <c r="AB183" t="str">
        <f>_xlfn.XLOOKUP(B:B,Disk_Pivot!G:G,Disk_Pivot!I:I)</f>
        <v>No</v>
      </c>
      <c r="AC183" t="str">
        <f>_xlfn.XLOOKUP(B183,Disk_Pivot!G:G,Disk_Pivot!N:N)</f>
        <v/>
      </c>
    </row>
    <row r="184" spans="6:29">
      <c r="F184" t="str">
        <f>_xlfn.XLOOKUP(H184,Models!B:B,Models!F:F,"")</f>
        <v/>
      </c>
      <c r="K184">
        <f>_xlfn.XLOOKUP(B184,CPU_Formula!A:A,CPU_Formula!I:I)</f>
        <v>0</v>
      </c>
      <c r="L184" s="13" t="e">
        <f>INDEX(Input!$D$2:$AD$500,
       MATCH(B184, Input!$J$2:$J$500, 0),
       MATCH("Memory Capacity", Input!$D$1:$AD$1, 0))</f>
        <v>#N/A</v>
      </c>
      <c r="M184" s="13" t="e">
        <f>INDEX(Input!$D$2:$AD$500,
       MATCH(B184, Input!$J$2:$J$500, 0),
       MATCH("Memory Type", Input!$D$1:$AD$1, 0))</f>
        <v>#N/A</v>
      </c>
      <c r="N184" s="13" t="e">
        <f t="shared" si="6"/>
        <v>#N/A</v>
      </c>
      <c r="S184" s="13" t="str">
        <f>_xlfn.LET(_xlpm.Result,_xlfn.XLOOKUP(B184,Input!J:J,Input!AB:AB),IF(_xlpm.Result="","",_xlpm.Result))</f>
        <v/>
      </c>
      <c r="T184" s="13" t="str" cm="1">
        <f t="array" ref="T184">IFERROR(_xlfn.IFS(
   --S184&lt;55,"Battery Defect",
  -- S184&lt;=69,"Battery D",
  --S184&lt;=80,"Battery C",
 --S184&gt;80,""
),"")</f>
        <v/>
      </c>
      <c r="U184" s="13" t="str" cm="1">
        <f t="array" ref="U184:Z184">IFERROR(IF(_xlfn.XLOOKUP(B184,Input!J:J,Input!N:S)=0,"",
          _xlfn.XLOOKUP(B184,Input!J:J,Input!N:S)),"")</f>
        <v/>
      </c>
      <c r="V184" s="13" t="str">
        <v/>
      </c>
      <c r="W184" s="13" t="str">
        <v/>
      </c>
      <c r="X184" s="13" t="str">
        <v/>
      </c>
      <c r="Y184" s="13" t="str">
        <v/>
      </c>
      <c r="Z184" s="13" t="str">
        <v/>
      </c>
      <c r="AA184" t="str">
        <f t="shared" si="7"/>
        <v/>
      </c>
      <c r="AB184" t="str">
        <f>_xlfn.XLOOKUP(B:B,Disk_Pivot!G:G,Disk_Pivot!I:I)</f>
        <v>No</v>
      </c>
      <c r="AC184" t="str">
        <f>_xlfn.XLOOKUP(B184,Disk_Pivot!G:G,Disk_Pivot!N:N)</f>
        <v/>
      </c>
    </row>
    <row r="185" spans="6:29">
      <c r="F185" t="str">
        <f>_xlfn.XLOOKUP(H185,Models!B:B,Models!F:F,"")</f>
        <v/>
      </c>
      <c r="K185">
        <f>_xlfn.XLOOKUP(B185,CPU_Formula!A:A,CPU_Formula!I:I)</f>
        <v>0</v>
      </c>
      <c r="L185" s="13" t="e">
        <f>INDEX(Input!$D$2:$AD$500,
       MATCH(B185, Input!$J$2:$J$500, 0),
       MATCH("Memory Capacity", Input!$D$1:$AD$1, 0))</f>
        <v>#N/A</v>
      </c>
      <c r="M185" s="13" t="e">
        <f>INDEX(Input!$D$2:$AD$500,
       MATCH(B185, Input!$J$2:$J$500, 0),
       MATCH("Memory Type", Input!$D$1:$AD$1, 0))</f>
        <v>#N/A</v>
      </c>
      <c r="N185" s="13" t="e">
        <f t="shared" si="6"/>
        <v>#N/A</v>
      </c>
      <c r="S185" s="13" t="str">
        <f>_xlfn.LET(_xlpm.Result,_xlfn.XLOOKUP(B185,Input!J:J,Input!AB:AB),IF(_xlpm.Result="","",_xlpm.Result))</f>
        <v/>
      </c>
      <c r="T185" s="13" t="str" cm="1">
        <f t="array" ref="T185">IFERROR(_xlfn.IFS(
   --S185&lt;55,"Battery Defect",
  -- S185&lt;=69,"Battery D",
  --S185&lt;=80,"Battery C",
 --S185&gt;80,""
),"")</f>
        <v/>
      </c>
      <c r="U185" s="13" t="str" cm="1">
        <f t="array" ref="U185:Z185">IFERROR(IF(_xlfn.XLOOKUP(B185,Input!J:J,Input!N:S)=0,"",
          _xlfn.XLOOKUP(B185,Input!J:J,Input!N:S)),"")</f>
        <v/>
      </c>
      <c r="V185" s="13" t="str">
        <v/>
      </c>
      <c r="W185" s="13" t="str">
        <v/>
      </c>
      <c r="X185" s="13" t="str">
        <v/>
      </c>
      <c r="Y185" s="13" t="str">
        <v/>
      </c>
      <c r="Z185" s="13" t="str">
        <v/>
      </c>
      <c r="AA185" t="str">
        <f t="shared" si="7"/>
        <v/>
      </c>
      <c r="AB185" t="str">
        <f>_xlfn.XLOOKUP(B:B,Disk_Pivot!G:G,Disk_Pivot!I:I)</f>
        <v>No</v>
      </c>
      <c r="AC185" t="str">
        <f>_xlfn.XLOOKUP(B185,Disk_Pivot!G:G,Disk_Pivot!N:N)</f>
        <v/>
      </c>
    </row>
    <row r="186" spans="6:29">
      <c r="F186" t="str">
        <f>_xlfn.XLOOKUP(H186,Models!B:B,Models!F:F,"")</f>
        <v/>
      </c>
      <c r="K186">
        <f>_xlfn.XLOOKUP(B186,CPU_Formula!A:A,CPU_Formula!I:I)</f>
        <v>0</v>
      </c>
      <c r="L186" s="13" t="e">
        <f>INDEX(Input!$D$2:$AD$500,
       MATCH(B186, Input!$J$2:$J$500, 0),
       MATCH("Memory Capacity", Input!$D$1:$AD$1, 0))</f>
        <v>#N/A</v>
      </c>
      <c r="M186" s="13" t="e">
        <f>INDEX(Input!$D$2:$AD$500,
       MATCH(B186, Input!$J$2:$J$500, 0),
       MATCH("Memory Type", Input!$D$1:$AD$1, 0))</f>
        <v>#N/A</v>
      </c>
      <c r="N186" s="13" t="e">
        <f t="shared" si="6"/>
        <v>#N/A</v>
      </c>
      <c r="S186" s="13" t="str">
        <f>_xlfn.LET(_xlpm.Result,_xlfn.XLOOKUP(B186,Input!J:J,Input!AB:AB),IF(_xlpm.Result="","",_xlpm.Result))</f>
        <v/>
      </c>
      <c r="T186" s="13" t="str" cm="1">
        <f t="array" ref="T186">IFERROR(_xlfn.IFS(
   --S186&lt;55,"Battery Defect",
  -- S186&lt;=69,"Battery D",
  --S186&lt;=80,"Battery C",
 --S186&gt;80,""
),"")</f>
        <v/>
      </c>
      <c r="U186" s="13" t="str" cm="1">
        <f t="array" ref="U186:Z186">IFERROR(IF(_xlfn.XLOOKUP(B186,Input!J:J,Input!N:S)=0,"",
          _xlfn.XLOOKUP(B186,Input!J:J,Input!N:S)),"")</f>
        <v/>
      </c>
      <c r="V186" s="13" t="str">
        <v/>
      </c>
      <c r="W186" s="13" t="str">
        <v/>
      </c>
      <c r="X186" s="13" t="str">
        <v/>
      </c>
      <c r="Y186" s="13" t="str">
        <v/>
      </c>
      <c r="Z186" s="13" t="str">
        <v/>
      </c>
      <c r="AA186" t="str">
        <f t="shared" si="7"/>
        <v/>
      </c>
      <c r="AB186" t="str">
        <f>_xlfn.XLOOKUP(B:B,Disk_Pivot!G:G,Disk_Pivot!I:I)</f>
        <v>No</v>
      </c>
      <c r="AC186" t="str">
        <f>_xlfn.XLOOKUP(B186,Disk_Pivot!G:G,Disk_Pivot!N:N)</f>
        <v/>
      </c>
    </row>
    <row r="187" spans="6:29">
      <c r="F187" t="str">
        <f>_xlfn.XLOOKUP(H187,Models!B:B,Models!F:F,"")</f>
        <v/>
      </c>
      <c r="K187">
        <f>_xlfn.XLOOKUP(B187,CPU_Formula!A:A,CPU_Formula!I:I)</f>
        <v>0</v>
      </c>
      <c r="L187" s="13" t="e">
        <f>INDEX(Input!$D$2:$AD$500,
       MATCH(B187, Input!$J$2:$J$500, 0),
       MATCH("Memory Capacity", Input!$D$1:$AD$1, 0))</f>
        <v>#N/A</v>
      </c>
      <c r="M187" s="13" t="e">
        <f>INDEX(Input!$D$2:$AD$500,
       MATCH(B187, Input!$J$2:$J$500, 0),
       MATCH("Memory Type", Input!$D$1:$AD$1, 0))</f>
        <v>#N/A</v>
      </c>
      <c r="N187" s="13" t="e">
        <f t="shared" si="6"/>
        <v>#N/A</v>
      </c>
      <c r="S187" s="13" t="str">
        <f>_xlfn.LET(_xlpm.Result,_xlfn.XLOOKUP(B187,Input!J:J,Input!AB:AB),IF(_xlpm.Result="","",_xlpm.Result))</f>
        <v/>
      </c>
      <c r="T187" s="13" t="str" cm="1">
        <f t="array" ref="T187">IFERROR(_xlfn.IFS(
   --S187&lt;55,"Battery Defect",
  -- S187&lt;=69,"Battery D",
  --S187&lt;=80,"Battery C",
 --S187&gt;80,""
),"")</f>
        <v/>
      </c>
      <c r="U187" s="13" t="str" cm="1">
        <f t="array" ref="U187:Z187">IFERROR(IF(_xlfn.XLOOKUP(B187,Input!J:J,Input!N:S)=0,"",
          _xlfn.XLOOKUP(B187,Input!J:J,Input!N:S)),"")</f>
        <v/>
      </c>
      <c r="V187" s="13" t="str">
        <v/>
      </c>
      <c r="W187" s="13" t="str">
        <v/>
      </c>
      <c r="X187" s="13" t="str">
        <v/>
      </c>
      <c r="Y187" s="13" t="str">
        <v/>
      </c>
      <c r="Z187" s="13" t="str">
        <v/>
      </c>
      <c r="AA187" t="str">
        <f t="shared" si="7"/>
        <v/>
      </c>
      <c r="AB187" t="str">
        <f>_xlfn.XLOOKUP(B:B,Disk_Pivot!G:G,Disk_Pivot!I:I)</f>
        <v>No</v>
      </c>
      <c r="AC187" t="str">
        <f>_xlfn.XLOOKUP(B187,Disk_Pivot!G:G,Disk_Pivot!N:N)</f>
        <v/>
      </c>
    </row>
    <row r="188" spans="6:29">
      <c r="F188" t="str">
        <f>_xlfn.XLOOKUP(H188,Models!B:B,Models!F:F,"")</f>
        <v/>
      </c>
      <c r="K188">
        <f>_xlfn.XLOOKUP(B188,CPU_Formula!A:A,CPU_Formula!I:I)</f>
        <v>0</v>
      </c>
      <c r="L188" s="13" t="e">
        <f>INDEX(Input!$D$2:$AD$500,
       MATCH(B188, Input!$J$2:$J$500, 0),
       MATCH("Memory Capacity", Input!$D$1:$AD$1, 0))</f>
        <v>#N/A</v>
      </c>
      <c r="M188" s="13" t="e">
        <f>INDEX(Input!$D$2:$AD$500,
       MATCH(B188, Input!$J$2:$J$500, 0),
       MATCH("Memory Type", Input!$D$1:$AD$1, 0))</f>
        <v>#N/A</v>
      </c>
      <c r="N188" s="13" t="e">
        <f t="shared" si="6"/>
        <v>#N/A</v>
      </c>
      <c r="S188" s="13" t="str">
        <f>_xlfn.LET(_xlpm.Result,_xlfn.XLOOKUP(B188,Input!J:J,Input!AB:AB),IF(_xlpm.Result="","",_xlpm.Result))</f>
        <v/>
      </c>
      <c r="T188" s="13" t="str" cm="1">
        <f t="array" ref="T188">IFERROR(_xlfn.IFS(
   --S188&lt;55,"Battery Defect",
  -- S188&lt;=69,"Battery D",
  --S188&lt;=80,"Battery C",
 --S188&gt;80,""
),"")</f>
        <v/>
      </c>
      <c r="U188" s="13" t="str" cm="1">
        <f t="array" ref="U188:Z188">IFERROR(IF(_xlfn.XLOOKUP(B188,Input!J:J,Input!N:S)=0,"",
          _xlfn.XLOOKUP(B188,Input!J:J,Input!N:S)),"")</f>
        <v/>
      </c>
      <c r="V188" s="13" t="str">
        <v/>
      </c>
      <c r="W188" s="13" t="str">
        <v/>
      </c>
      <c r="X188" s="13" t="str">
        <v/>
      </c>
      <c r="Y188" s="13" t="str">
        <v/>
      </c>
      <c r="Z188" s="13" t="str">
        <v/>
      </c>
      <c r="AA188" t="str">
        <f t="shared" si="7"/>
        <v/>
      </c>
      <c r="AB188" t="str">
        <f>_xlfn.XLOOKUP(B:B,Disk_Pivot!G:G,Disk_Pivot!I:I)</f>
        <v>No</v>
      </c>
      <c r="AC188" t="str">
        <f>_xlfn.XLOOKUP(B188,Disk_Pivot!G:G,Disk_Pivot!N:N)</f>
        <v/>
      </c>
    </row>
    <row r="189" spans="6:29">
      <c r="F189" t="str">
        <f>_xlfn.XLOOKUP(H189,Models!B:B,Models!F:F,"")</f>
        <v/>
      </c>
      <c r="K189">
        <f>_xlfn.XLOOKUP(B189,CPU_Formula!A:A,CPU_Formula!I:I)</f>
        <v>0</v>
      </c>
      <c r="L189" s="13" t="e">
        <f>INDEX(Input!$D$2:$AD$500,
       MATCH(B189, Input!$J$2:$J$500, 0),
       MATCH("Memory Capacity", Input!$D$1:$AD$1, 0))</f>
        <v>#N/A</v>
      </c>
      <c r="M189" s="13" t="e">
        <f>INDEX(Input!$D$2:$AD$500,
       MATCH(B189, Input!$J$2:$J$500, 0),
       MATCH("Memory Type", Input!$D$1:$AD$1, 0))</f>
        <v>#N/A</v>
      </c>
      <c r="N189" s="13" t="e">
        <f t="shared" si="6"/>
        <v>#N/A</v>
      </c>
      <c r="S189" s="13" t="str">
        <f>_xlfn.LET(_xlpm.Result,_xlfn.XLOOKUP(B189,Input!J:J,Input!AB:AB),IF(_xlpm.Result="","",_xlpm.Result))</f>
        <v/>
      </c>
      <c r="T189" s="13" t="str" cm="1">
        <f t="array" ref="T189">IFERROR(_xlfn.IFS(
   --S189&lt;55,"Battery Defect",
  -- S189&lt;=69,"Battery D",
  --S189&lt;=80,"Battery C",
 --S189&gt;80,""
),"")</f>
        <v/>
      </c>
      <c r="U189" s="13" t="str" cm="1">
        <f t="array" ref="U189:Z189">IFERROR(IF(_xlfn.XLOOKUP(B189,Input!J:J,Input!N:S)=0,"",
          _xlfn.XLOOKUP(B189,Input!J:J,Input!N:S)),"")</f>
        <v/>
      </c>
      <c r="V189" s="13" t="str">
        <v/>
      </c>
      <c r="W189" s="13" t="str">
        <v/>
      </c>
      <c r="X189" s="13" t="str">
        <v/>
      </c>
      <c r="Y189" s="13" t="str">
        <v/>
      </c>
      <c r="Z189" s="13" t="str">
        <v/>
      </c>
      <c r="AA189" t="str">
        <f t="shared" si="7"/>
        <v/>
      </c>
      <c r="AB189" t="str">
        <f>_xlfn.XLOOKUP(B:B,Disk_Pivot!G:G,Disk_Pivot!I:I)</f>
        <v>No</v>
      </c>
      <c r="AC189" t="str">
        <f>_xlfn.XLOOKUP(B189,Disk_Pivot!G:G,Disk_Pivot!N:N)</f>
        <v/>
      </c>
    </row>
    <row r="190" spans="6:29">
      <c r="F190" t="str">
        <f>_xlfn.XLOOKUP(H190,Models!B:B,Models!F:F,"")</f>
        <v/>
      </c>
      <c r="K190">
        <f>_xlfn.XLOOKUP(B190,CPU_Formula!A:A,CPU_Formula!I:I)</f>
        <v>0</v>
      </c>
      <c r="L190" s="13" t="e">
        <f>INDEX(Input!$D$2:$AD$500,
       MATCH(B190, Input!$J$2:$J$500, 0),
       MATCH("Memory Capacity", Input!$D$1:$AD$1, 0))</f>
        <v>#N/A</v>
      </c>
      <c r="M190" s="13" t="e">
        <f>INDEX(Input!$D$2:$AD$500,
       MATCH(B190, Input!$J$2:$J$500, 0),
       MATCH("Memory Type", Input!$D$1:$AD$1, 0))</f>
        <v>#N/A</v>
      </c>
      <c r="N190" s="13" t="e">
        <f t="shared" si="6"/>
        <v>#N/A</v>
      </c>
      <c r="S190" s="13" t="str">
        <f>_xlfn.LET(_xlpm.Result,_xlfn.XLOOKUP(B190,Input!J:J,Input!AB:AB),IF(_xlpm.Result="","",_xlpm.Result))</f>
        <v/>
      </c>
      <c r="T190" s="13" t="str" cm="1">
        <f t="array" ref="T190">IFERROR(_xlfn.IFS(
   --S190&lt;55,"Battery Defect",
  -- S190&lt;=69,"Battery D",
  --S190&lt;=80,"Battery C",
 --S190&gt;80,""
),"")</f>
        <v/>
      </c>
      <c r="U190" s="13" t="str" cm="1">
        <f t="array" ref="U190:Z190">IFERROR(IF(_xlfn.XLOOKUP(B190,Input!J:J,Input!N:S)=0,"",
          _xlfn.XLOOKUP(B190,Input!J:J,Input!N:S)),"")</f>
        <v/>
      </c>
      <c r="V190" s="13" t="str">
        <v/>
      </c>
      <c r="W190" s="13" t="str">
        <v/>
      </c>
      <c r="X190" s="13" t="str">
        <v/>
      </c>
      <c r="Y190" s="13" t="str">
        <v/>
      </c>
      <c r="Z190" s="13" t="str">
        <v/>
      </c>
      <c r="AA190" t="str">
        <f t="shared" si="7"/>
        <v/>
      </c>
      <c r="AB190" t="str">
        <f>_xlfn.XLOOKUP(B:B,Disk_Pivot!G:G,Disk_Pivot!I:I)</f>
        <v>No</v>
      </c>
      <c r="AC190" t="str">
        <f>_xlfn.XLOOKUP(B190,Disk_Pivot!G:G,Disk_Pivot!N:N)</f>
        <v/>
      </c>
    </row>
    <row r="191" spans="6:29">
      <c r="F191" t="str">
        <f>_xlfn.XLOOKUP(H191,Models!B:B,Models!F:F,"")</f>
        <v/>
      </c>
      <c r="K191">
        <f>_xlfn.XLOOKUP(B191,CPU_Formula!A:A,CPU_Formula!I:I)</f>
        <v>0</v>
      </c>
      <c r="L191" s="13" t="e">
        <f>INDEX(Input!$D$2:$AD$500,
       MATCH(B191, Input!$J$2:$J$500, 0),
       MATCH("Memory Capacity", Input!$D$1:$AD$1, 0))</f>
        <v>#N/A</v>
      </c>
      <c r="M191" s="13" t="e">
        <f>INDEX(Input!$D$2:$AD$500,
       MATCH(B191, Input!$J$2:$J$500, 0),
       MATCH("Memory Type", Input!$D$1:$AD$1, 0))</f>
        <v>#N/A</v>
      </c>
      <c r="N191" s="13" t="e">
        <f t="shared" si="6"/>
        <v>#N/A</v>
      </c>
      <c r="S191" s="13" t="str">
        <f>_xlfn.LET(_xlpm.Result,_xlfn.XLOOKUP(B191,Input!J:J,Input!AB:AB),IF(_xlpm.Result="","",_xlpm.Result))</f>
        <v/>
      </c>
      <c r="T191" s="13" t="str" cm="1">
        <f t="array" ref="T191">IFERROR(_xlfn.IFS(
   --S191&lt;55,"Battery Defect",
  -- S191&lt;=69,"Battery D",
  --S191&lt;=80,"Battery C",
 --S191&gt;80,""
),"")</f>
        <v/>
      </c>
      <c r="U191" s="13" t="str" cm="1">
        <f t="array" ref="U191:Z191">IFERROR(IF(_xlfn.XLOOKUP(B191,Input!J:J,Input!N:S)=0,"",
          _xlfn.XLOOKUP(B191,Input!J:J,Input!N:S)),"")</f>
        <v/>
      </c>
      <c r="V191" s="13" t="str">
        <v/>
      </c>
      <c r="W191" s="13" t="str">
        <v/>
      </c>
      <c r="X191" s="13" t="str">
        <v/>
      </c>
      <c r="Y191" s="13" t="str">
        <v/>
      </c>
      <c r="Z191" s="13" t="str">
        <v/>
      </c>
      <c r="AA191" t="str">
        <f t="shared" si="7"/>
        <v/>
      </c>
      <c r="AB191" t="str">
        <f>_xlfn.XLOOKUP(B:B,Disk_Pivot!G:G,Disk_Pivot!I:I)</f>
        <v>No</v>
      </c>
      <c r="AC191" t="str">
        <f>_xlfn.XLOOKUP(B191,Disk_Pivot!G:G,Disk_Pivot!N:N)</f>
        <v/>
      </c>
    </row>
    <row r="192" spans="6:29">
      <c r="F192" t="str">
        <f>_xlfn.XLOOKUP(H192,Models!B:B,Models!F:F,"")</f>
        <v/>
      </c>
      <c r="K192">
        <f>_xlfn.XLOOKUP(B192,CPU_Formula!A:A,CPU_Formula!I:I)</f>
        <v>0</v>
      </c>
      <c r="L192" s="13" t="e">
        <f>INDEX(Input!$D$2:$AD$500,
       MATCH(B192, Input!$J$2:$J$500, 0),
       MATCH("Memory Capacity", Input!$D$1:$AD$1, 0))</f>
        <v>#N/A</v>
      </c>
      <c r="M192" s="13" t="e">
        <f>INDEX(Input!$D$2:$AD$500,
       MATCH(B192, Input!$J$2:$J$500, 0),
       MATCH("Memory Type", Input!$D$1:$AD$1, 0))</f>
        <v>#N/A</v>
      </c>
      <c r="N192" s="13" t="e">
        <f t="shared" si="6"/>
        <v>#N/A</v>
      </c>
      <c r="S192" s="13" t="str">
        <f>_xlfn.LET(_xlpm.Result,_xlfn.XLOOKUP(B192,Input!J:J,Input!AB:AB),IF(_xlpm.Result="","",_xlpm.Result))</f>
        <v/>
      </c>
      <c r="T192" s="13" t="str" cm="1">
        <f t="array" ref="T192">IFERROR(_xlfn.IFS(
   --S192&lt;55,"Battery Defect",
  -- S192&lt;=69,"Battery D",
  --S192&lt;=80,"Battery C",
 --S192&gt;80,""
),"")</f>
        <v/>
      </c>
      <c r="U192" s="13" t="str" cm="1">
        <f t="array" ref="U192:Z192">IFERROR(IF(_xlfn.XLOOKUP(B192,Input!J:J,Input!N:S)=0,"",
          _xlfn.XLOOKUP(B192,Input!J:J,Input!N:S)),"")</f>
        <v/>
      </c>
      <c r="V192" s="13" t="str">
        <v/>
      </c>
      <c r="W192" s="13" t="str">
        <v/>
      </c>
      <c r="X192" s="13" t="str">
        <v/>
      </c>
      <c r="Y192" s="13" t="str">
        <v/>
      </c>
      <c r="Z192" s="13" t="str">
        <v/>
      </c>
      <c r="AA192" t="str">
        <f t="shared" si="7"/>
        <v/>
      </c>
      <c r="AB192" t="str">
        <f>_xlfn.XLOOKUP(B:B,Disk_Pivot!G:G,Disk_Pivot!I:I)</f>
        <v>No</v>
      </c>
      <c r="AC192" t="str">
        <f>_xlfn.XLOOKUP(B192,Disk_Pivot!G:G,Disk_Pivot!N:N)</f>
        <v/>
      </c>
    </row>
    <row r="193" spans="6:29">
      <c r="F193" t="str">
        <f>_xlfn.XLOOKUP(H193,Models!B:B,Models!F:F,"")</f>
        <v/>
      </c>
      <c r="K193">
        <f>_xlfn.XLOOKUP(B193,CPU_Formula!A:A,CPU_Formula!I:I)</f>
        <v>0</v>
      </c>
      <c r="L193" s="13" t="e">
        <f>INDEX(Input!$D$2:$AD$500,
       MATCH(B193, Input!$J$2:$J$500, 0),
       MATCH("Memory Capacity", Input!$D$1:$AD$1, 0))</f>
        <v>#N/A</v>
      </c>
      <c r="M193" s="13" t="e">
        <f>INDEX(Input!$D$2:$AD$500,
       MATCH(B193, Input!$J$2:$J$500, 0),
       MATCH("Memory Type", Input!$D$1:$AD$1, 0))</f>
        <v>#N/A</v>
      </c>
      <c r="N193" s="13" t="e">
        <f t="shared" si="6"/>
        <v>#N/A</v>
      </c>
      <c r="S193" s="13" t="str">
        <f>_xlfn.LET(_xlpm.Result,_xlfn.XLOOKUP(B193,Input!J:J,Input!AB:AB),IF(_xlpm.Result="","",_xlpm.Result))</f>
        <v/>
      </c>
      <c r="T193" s="13" t="str" cm="1">
        <f t="array" ref="T193">IFERROR(_xlfn.IFS(
   --S193&lt;55,"Battery Defect",
  -- S193&lt;=69,"Battery D",
  --S193&lt;=80,"Battery C",
 --S193&gt;80,""
),"")</f>
        <v/>
      </c>
      <c r="U193" s="13" t="str" cm="1">
        <f t="array" ref="U193:Z193">IFERROR(IF(_xlfn.XLOOKUP(B193,Input!J:J,Input!N:S)=0,"",
          _xlfn.XLOOKUP(B193,Input!J:J,Input!N:S)),"")</f>
        <v/>
      </c>
      <c r="V193" s="13" t="str">
        <v/>
      </c>
      <c r="W193" s="13" t="str">
        <v/>
      </c>
      <c r="X193" s="13" t="str">
        <v/>
      </c>
      <c r="Y193" s="13" t="str">
        <v/>
      </c>
      <c r="Z193" s="13" t="str">
        <v/>
      </c>
      <c r="AA193" t="str">
        <f t="shared" si="7"/>
        <v/>
      </c>
      <c r="AB193" t="str">
        <f>_xlfn.XLOOKUP(B:B,Disk_Pivot!G:G,Disk_Pivot!I:I)</f>
        <v>No</v>
      </c>
      <c r="AC193" t="str">
        <f>_xlfn.XLOOKUP(B193,Disk_Pivot!G:G,Disk_Pivot!N:N)</f>
        <v/>
      </c>
    </row>
    <row r="194" spans="6:29">
      <c r="F194" t="str">
        <f>_xlfn.XLOOKUP(H194,Models!B:B,Models!F:F,"")</f>
        <v/>
      </c>
      <c r="K194">
        <f>_xlfn.XLOOKUP(B194,CPU_Formula!A:A,CPU_Formula!I:I)</f>
        <v>0</v>
      </c>
      <c r="L194" s="13" t="e">
        <f>INDEX(Input!$D$2:$AD$500,
       MATCH(B194, Input!$J$2:$J$500, 0),
       MATCH("Memory Capacity", Input!$D$1:$AD$1, 0))</f>
        <v>#N/A</v>
      </c>
      <c r="M194" s="13" t="e">
        <f>INDEX(Input!$D$2:$AD$500,
       MATCH(B194, Input!$J$2:$J$500, 0),
       MATCH("Memory Type", Input!$D$1:$AD$1, 0))</f>
        <v>#N/A</v>
      </c>
      <c r="N194" s="13" t="e">
        <f t="shared" si="6"/>
        <v>#N/A</v>
      </c>
      <c r="S194" s="13" t="str">
        <f>_xlfn.LET(_xlpm.Result,_xlfn.XLOOKUP(B194,Input!J:J,Input!AB:AB),IF(_xlpm.Result="","",_xlpm.Result))</f>
        <v/>
      </c>
      <c r="T194" s="13" t="str" cm="1">
        <f t="array" ref="T194">IFERROR(_xlfn.IFS(
   --S194&lt;55,"Battery Defect",
  -- S194&lt;=69,"Battery D",
  --S194&lt;=80,"Battery C",
 --S194&gt;80,""
),"")</f>
        <v/>
      </c>
      <c r="U194" s="13" t="str" cm="1">
        <f t="array" ref="U194:Z194">IFERROR(IF(_xlfn.XLOOKUP(B194,Input!J:J,Input!N:S)=0,"",
          _xlfn.XLOOKUP(B194,Input!J:J,Input!N:S)),"")</f>
        <v/>
      </c>
      <c r="V194" s="13" t="str">
        <v/>
      </c>
      <c r="W194" s="13" t="str">
        <v/>
      </c>
      <c r="X194" s="13" t="str">
        <v/>
      </c>
      <c r="Y194" s="13" t="str">
        <v/>
      </c>
      <c r="Z194" s="13" t="str">
        <v/>
      </c>
      <c r="AA194" t="str">
        <f t="shared" si="7"/>
        <v/>
      </c>
      <c r="AB194" t="str">
        <f>_xlfn.XLOOKUP(B:B,Disk_Pivot!G:G,Disk_Pivot!I:I)</f>
        <v>No</v>
      </c>
      <c r="AC194" t="str">
        <f>_xlfn.XLOOKUP(B194,Disk_Pivot!G:G,Disk_Pivot!N:N)</f>
        <v/>
      </c>
    </row>
    <row r="195" spans="6:29">
      <c r="F195" t="str">
        <f>_xlfn.XLOOKUP(H195,Models!B:B,Models!F:F,"")</f>
        <v/>
      </c>
      <c r="K195">
        <f>_xlfn.XLOOKUP(B195,CPU_Formula!A:A,CPU_Formula!I:I)</f>
        <v>0</v>
      </c>
      <c r="L195" s="13" t="e">
        <f>INDEX(Input!$D$2:$AD$500,
       MATCH(B195, Input!$J$2:$J$500, 0),
       MATCH("Memory Capacity", Input!$D$1:$AD$1, 0))</f>
        <v>#N/A</v>
      </c>
      <c r="M195" s="13" t="e">
        <f>INDEX(Input!$D$2:$AD$500,
       MATCH(B195, Input!$J$2:$J$500, 0),
       MATCH("Memory Type", Input!$D$1:$AD$1, 0))</f>
        <v>#N/A</v>
      </c>
      <c r="N195" s="13" t="e">
        <f t="shared" ref="N195:N254" si="8">IF(ISNUMBER(L195), L195, SUBSTITUTE(SUBSTITUTE(SUBSTITUTE(L195,"GiB","")," ",""),"/","+"))</f>
        <v>#N/A</v>
      </c>
      <c r="S195" s="13" t="str">
        <f>_xlfn.LET(_xlpm.Result,_xlfn.XLOOKUP(B195,Input!J:J,Input!AB:AB),IF(_xlpm.Result="","",_xlpm.Result))</f>
        <v/>
      </c>
      <c r="T195" s="13" t="str" cm="1">
        <f t="array" ref="T195">IFERROR(_xlfn.IFS(
   --S195&lt;55,"Battery Defect",
  -- S195&lt;=69,"Battery D",
  --S195&lt;=80,"Battery C",
 --S195&gt;80,""
),"")</f>
        <v/>
      </c>
      <c r="U195" s="13" t="str" cm="1">
        <f t="array" ref="U195:Z195">IFERROR(IF(_xlfn.XLOOKUP(B195,Input!J:J,Input!N:S)=0,"",
          _xlfn.XLOOKUP(B195,Input!J:J,Input!N:S)),"")</f>
        <v/>
      </c>
      <c r="V195" s="13" t="str">
        <v/>
      </c>
      <c r="W195" s="13" t="str">
        <v/>
      </c>
      <c r="X195" s="13" t="str">
        <v/>
      </c>
      <c r="Y195" s="13" t="str">
        <v/>
      </c>
      <c r="Z195" s="13" t="str">
        <v/>
      </c>
      <c r="AA195" t="str">
        <f t="shared" ref="AA195:AA256" si="9">_xlfn.TEXTJOIN(", ",TRUE,T195,U195,V195,W195,X195,Y195,Z195)</f>
        <v/>
      </c>
      <c r="AB195" t="str">
        <f>_xlfn.XLOOKUP(B:B,Disk_Pivot!G:G,Disk_Pivot!I:I)</f>
        <v>No</v>
      </c>
      <c r="AC195" t="str">
        <f>_xlfn.XLOOKUP(B195,Disk_Pivot!G:G,Disk_Pivot!N:N)</f>
        <v/>
      </c>
    </row>
    <row r="196" spans="6:29">
      <c r="F196" t="str">
        <f>_xlfn.XLOOKUP(H196,Models!B:B,Models!F:F,"")</f>
        <v/>
      </c>
      <c r="K196">
        <f>_xlfn.XLOOKUP(B196,CPU_Formula!A:A,CPU_Formula!I:I)</f>
        <v>0</v>
      </c>
      <c r="L196" s="13" t="e">
        <f>INDEX(Input!$D$2:$AD$500,
       MATCH(B196, Input!$J$2:$J$500, 0),
       MATCH("Memory Capacity", Input!$D$1:$AD$1, 0))</f>
        <v>#N/A</v>
      </c>
      <c r="M196" s="13" t="e">
        <f>INDEX(Input!$D$2:$AD$500,
       MATCH(B196, Input!$J$2:$J$500, 0),
       MATCH("Memory Type", Input!$D$1:$AD$1, 0))</f>
        <v>#N/A</v>
      </c>
      <c r="N196" s="13" t="e">
        <f t="shared" si="8"/>
        <v>#N/A</v>
      </c>
      <c r="S196" s="13" t="str">
        <f>_xlfn.LET(_xlpm.Result,_xlfn.XLOOKUP(B196,Input!J:J,Input!AB:AB),IF(_xlpm.Result="","",_xlpm.Result))</f>
        <v/>
      </c>
      <c r="T196" s="13" t="str" cm="1">
        <f t="array" ref="T196">IFERROR(_xlfn.IFS(
   --S196&lt;55,"Battery Defect",
  -- S196&lt;=69,"Battery D",
  --S196&lt;=80,"Battery C",
 --S196&gt;80,""
),"")</f>
        <v/>
      </c>
      <c r="U196" s="13" t="str" cm="1">
        <f t="array" ref="U196:Z196">IFERROR(IF(_xlfn.XLOOKUP(B196,Input!J:J,Input!N:S)=0,"",
          _xlfn.XLOOKUP(B196,Input!J:J,Input!N:S)),"")</f>
        <v/>
      </c>
      <c r="V196" s="13" t="str">
        <v/>
      </c>
      <c r="W196" s="13" t="str">
        <v/>
      </c>
      <c r="X196" s="13" t="str">
        <v/>
      </c>
      <c r="Y196" s="13" t="str">
        <v/>
      </c>
      <c r="Z196" s="13" t="str">
        <v/>
      </c>
      <c r="AA196" t="str">
        <f t="shared" si="9"/>
        <v/>
      </c>
      <c r="AB196" t="str">
        <f>_xlfn.XLOOKUP(B:B,Disk_Pivot!G:G,Disk_Pivot!I:I)</f>
        <v>No</v>
      </c>
      <c r="AC196" t="str">
        <f>_xlfn.XLOOKUP(B196,Disk_Pivot!G:G,Disk_Pivot!N:N)</f>
        <v/>
      </c>
    </row>
    <row r="197" spans="6:29">
      <c r="F197" t="str">
        <f>_xlfn.XLOOKUP(H197,Models!B:B,Models!F:F,"")</f>
        <v/>
      </c>
      <c r="K197">
        <f>_xlfn.XLOOKUP(B197,CPU_Formula!A:A,CPU_Formula!I:I)</f>
        <v>0</v>
      </c>
      <c r="L197" s="13" t="e">
        <f>INDEX(Input!$D$2:$AD$500,
       MATCH(B197, Input!$J$2:$J$500, 0),
       MATCH("Memory Capacity", Input!$D$1:$AD$1, 0))</f>
        <v>#N/A</v>
      </c>
      <c r="M197" s="13" t="e">
        <f>INDEX(Input!$D$2:$AD$500,
       MATCH(B197, Input!$J$2:$J$500, 0),
       MATCH("Memory Type", Input!$D$1:$AD$1, 0))</f>
        <v>#N/A</v>
      </c>
      <c r="N197" s="13" t="e">
        <f t="shared" si="8"/>
        <v>#N/A</v>
      </c>
      <c r="S197" s="13" t="str">
        <f>_xlfn.LET(_xlpm.Result,_xlfn.XLOOKUP(B197,Input!J:J,Input!AB:AB),IF(_xlpm.Result="","",_xlpm.Result))</f>
        <v/>
      </c>
      <c r="T197" s="13" t="str" cm="1">
        <f t="array" ref="T197">IFERROR(_xlfn.IFS(
   --S197&lt;55,"Battery Defect",
  -- S197&lt;=69,"Battery D",
  --S197&lt;=80,"Battery C",
 --S197&gt;80,""
),"")</f>
        <v/>
      </c>
      <c r="U197" s="13" t="str" cm="1">
        <f t="array" ref="U197:Z197">IFERROR(IF(_xlfn.XLOOKUP(B197,Input!J:J,Input!N:S)=0,"",
          _xlfn.XLOOKUP(B197,Input!J:J,Input!N:S)),"")</f>
        <v/>
      </c>
      <c r="V197" s="13" t="str">
        <v/>
      </c>
      <c r="W197" s="13" t="str">
        <v/>
      </c>
      <c r="X197" s="13" t="str">
        <v/>
      </c>
      <c r="Y197" s="13" t="str">
        <v/>
      </c>
      <c r="Z197" s="13" t="str">
        <v/>
      </c>
      <c r="AA197" t="str">
        <f t="shared" si="9"/>
        <v/>
      </c>
      <c r="AB197" t="str">
        <f>_xlfn.XLOOKUP(B:B,Disk_Pivot!G:G,Disk_Pivot!I:I)</f>
        <v>No</v>
      </c>
      <c r="AC197" t="str">
        <f>_xlfn.XLOOKUP(B197,Disk_Pivot!G:G,Disk_Pivot!N:N)</f>
        <v/>
      </c>
    </row>
    <row r="198" spans="6:29">
      <c r="F198" t="str">
        <f>_xlfn.XLOOKUP(H198,Models!B:B,Models!F:F,"")</f>
        <v/>
      </c>
      <c r="K198">
        <f>_xlfn.XLOOKUP(B198,CPU_Formula!A:A,CPU_Formula!I:I)</f>
        <v>0</v>
      </c>
      <c r="L198" s="13" t="e">
        <f>INDEX(Input!$D$2:$AD$500,
       MATCH(B198, Input!$J$2:$J$500, 0),
       MATCH("Memory Capacity", Input!$D$1:$AD$1, 0))</f>
        <v>#N/A</v>
      </c>
      <c r="M198" s="13" t="e">
        <f>INDEX(Input!$D$2:$AD$500,
       MATCH(B198, Input!$J$2:$J$500, 0),
       MATCH("Memory Type", Input!$D$1:$AD$1, 0))</f>
        <v>#N/A</v>
      </c>
      <c r="N198" s="13" t="e">
        <f t="shared" si="8"/>
        <v>#N/A</v>
      </c>
      <c r="S198" s="13" t="str">
        <f>_xlfn.LET(_xlpm.Result,_xlfn.XLOOKUP(B198,Input!J:J,Input!AB:AB),IF(_xlpm.Result="","",_xlpm.Result))</f>
        <v/>
      </c>
      <c r="T198" s="13" t="str" cm="1">
        <f t="array" ref="T198">IFERROR(_xlfn.IFS(
   --S198&lt;55,"Battery Defect",
  -- S198&lt;=69,"Battery D",
  --S198&lt;=80,"Battery C",
 --S198&gt;80,""
),"")</f>
        <v/>
      </c>
      <c r="U198" s="13" t="str" cm="1">
        <f t="array" ref="U198:Z198">IFERROR(IF(_xlfn.XLOOKUP(B198,Input!J:J,Input!N:S)=0,"",
          _xlfn.XLOOKUP(B198,Input!J:J,Input!N:S)),"")</f>
        <v/>
      </c>
      <c r="V198" s="13" t="str">
        <v/>
      </c>
      <c r="W198" s="13" t="str">
        <v/>
      </c>
      <c r="X198" s="13" t="str">
        <v/>
      </c>
      <c r="Y198" s="13" t="str">
        <v/>
      </c>
      <c r="Z198" s="13" t="str">
        <v/>
      </c>
      <c r="AA198" t="str">
        <f t="shared" si="9"/>
        <v/>
      </c>
      <c r="AB198" t="str">
        <f>_xlfn.XLOOKUP(B:B,Disk_Pivot!G:G,Disk_Pivot!I:I)</f>
        <v>No</v>
      </c>
      <c r="AC198" t="str">
        <f>_xlfn.XLOOKUP(B198,Disk_Pivot!G:G,Disk_Pivot!N:N)</f>
        <v/>
      </c>
    </row>
    <row r="199" spans="6:29">
      <c r="F199" t="str">
        <f>_xlfn.XLOOKUP(H199,Models!B:B,Models!F:F,"")</f>
        <v/>
      </c>
      <c r="K199">
        <f>_xlfn.XLOOKUP(B199,CPU_Formula!A:A,CPU_Formula!I:I)</f>
        <v>0</v>
      </c>
      <c r="L199" s="13" t="e">
        <f>INDEX(Input!$D$2:$AD$500,
       MATCH(B199, Input!$J$2:$J$500, 0),
       MATCH("Memory Capacity", Input!$D$1:$AD$1, 0))</f>
        <v>#N/A</v>
      </c>
      <c r="M199" s="13" t="e">
        <f>INDEX(Input!$D$2:$AD$500,
       MATCH(B199, Input!$J$2:$J$500, 0),
       MATCH("Memory Type", Input!$D$1:$AD$1, 0))</f>
        <v>#N/A</v>
      </c>
      <c r="N199" s="13" t="e">
        <f t="shared" si="8"/>
        <v>#N/A</v>
      </c>
      <c r="S199" s="13" t="str">
        <f>_xlfn.LET(_xlpm.Result,_xlfn.XLOOKUP(B199,Input!J:J,Input!AB:AB),IF(_xlpm.Result="","",_xlpm.Result))</f>
        <v/>
      </c>
      <c r="T199" s="13" t="str" cm="1">
        <f t="array" ref="T199">IFERROR(_xlfn.IFS(
   --S199&lt;55,"Battery Defect",
  -- S199&lt;=69,"Battery D",
  --S199&lt;=80,"Battery C",
 --S199&gt;80,""
),"")</f>
        <v/>
      </c>
      <c r="U199" s="13" t="str" cm="1">
        <f t="array" ref="U199:Z199">IFERROR(IF(_xlfn.XLOOKUP(B199,Input!J:J,Input!N:S)=0,"",
          _xlfn.XLOOKUP(B199,Input!J:J,Input!N:S)),"")</f>
        <v/>
      </c>
      <c r="V199" s="13" t="str">
        <v/>
      </c>
      <c r="W199" s="13" t="str">
        <v/>
      </c>
      <c r="X199" s="13" t="str">
        <v/>
      </c>
      <c r="Y199" s="13" t="str">
        <v/>
      </c>
      <c r="Z199" s="13" t="str">
        <v/>
      </c>
      <c r="AA199" t="str">
        <f t="shared" si="9"/>
        <v/>
      </c>
      <c r="AB199" t="str">
        <f>_xlfn.XLOOKUP(B:B,Disk_Pivot!G:G,Disk_Pivot!I:I)</f>
        <v>No</v>
      </c>
      <c r="AC199" t="str">
        <f>_xlfn.XLOOKUP(B199,Disk_Pivot!G:G,Disk_Pivot!N:N)</f>
        <v/>
      </c>
    </row>
    <row r="200" spans="6:29">
      <c r="F200" t="str">
        <f>_xlfn.XLOOKUP(H200,Models!B:B,Models!F:F,"")</f>
        <v/>
      </c>
      <c r="K200">
        <f>_xlfn.XLOOKUP(B200,CPU_Formula!A:A,CPU_Formula!I:I)</f>
        <v>0</v>
      </c>
      <c r="L200" s="13" t="e">
        <f>INDEX(Input!$D$2:$AD$500,
       MATCH(B200, Input!$J$2:$J$500, 0),
       MATCH("Memory Capacity", Input!$D$1:$AD$1, 0))</f>
        <v>#N/A</v>
      </c>
      <c r="M200" s="13" t="e">
        <f>INDEX(Input!$D$2:$AD$500,
       MATCH(B200, Input!$J$2:$J$500, 0),
       MATCH("Memory Type", Input!$D$1:$AD$1, 0))</f>
        <v>#N/A</v>
      </c>
      <c r="N200" s="13" t="e">
        <f t="shared" si="8"/>
        <v>#N/A</v>
      </c>
      <c r="S200" s="13" t="str">
        <f>_xlfn.LET(_xlpm.Result,_xlfn.XLOOKUP(B200,Input!J:J,Input!AB:AB),IF(_xlpm.Result="","",_xlpm.Result))</f>
        <v/>
      </c>
      <c r="T200" s="13" t="str" cm="1">
        <f t="array" ref="T200">IFERROR(_xlfn.IFS(
   --S200&lt;55,"Battery Defect",
  -- S200&lt;=69,"Battery D",
  --S200&lt;=80,"Battery C",
 --S200&gt;80,""
),"")</f>
        <v/>
      </c>
      <c r="U200" s="13" t="str" cm="1">
        <f t="array" ref="U200:Z200">IFERROR(IF(_xlfn.XLOOKUP(B200,Input!J:J,Input!N:S)=0,"",
          _xlfn.XLOOKUP(B200,Input!J:J,Input!N:S)),"")</f>
        <v/>
      </c>
      <c r="V200" s="13" t="str">
        <v/>
      </c>
      <c r="W200" s="13" t="str">
        <v/>
      </c>
      <c r="X200" s="13" t="str">
        <v/>
      </c>
      <c r="Y200" s="13" t="str">
        <v/>
      </c>
      <c r="Z200" s="13" t="str">
        <v/>
      </c>
      <c r="AA200" t="str">
        <f t="shared" si="9"/>
        <v/>
      </c>
      <c r="AB200" t="str">
        <f>_xlfn.XLOOKUP(B:B,Disk_Pivot!G:G,Disk_Pivot!I:I)</f>
        <v>No</v>
      </c>
      <c r="AC200" t="str">
        <f>_xlfn.XLOOKUP(B200,Disk_Pivot!G:G,Disk_Pivot!N:N)</f>
        <v/>
      </c>
    </row>
    <row r="201" spans="6:29">
      <c r="F201" t="str">
        <f>_xlfn.XLOOKUP(H201,Models!B:B,Models!F:F,"")</f>
        <v/>
      </c>
      <c r="K201">
        <f>_xlfn.XLOOKUP(B201,CPU_Formula!A:A,CPU_Formula!I:I)</f>
        <v>0</v>
      </c>
      <c r="L201" s="13" t="e">
        <f>INDEX(Input!$D$2:$AD$500,
       MATCH(B201, Input!$J$2:$J$500, 0),
       MATCH("Memory Capacity", Input!$D$1:$AD$1, 0))</f>
        <v>#N/A</v>
      </c>
      <c r="M201" s="13" t="e">
        <f>INDEX(Input!$D$2:$AD$500,
       MATCH(B201, Input!$J$2:$J$500, 0),
       MATCH("Memory Type", Input!$D$1:$AD$1, 0))</f>
        <v>#N/A</v>
      </c>
      <c r="N201" s="13" t="e">
        <f t="shared" si="8"/>
        <v>#N/A</v>
      </c>
      <c r="S201" s="13" t="str">
        <f>_xlfn.LET(_xlpm.Result,_xlfn.XLOOKUP(B201,Input!J:J,Input!AB:AB),IF(_xlpm.Result="","",_xlpm.Result))</f>
        <v/>
      </c>
      <c r="T201" s="13" t="str" cm="1">
        <f t="array" ref="T201">IFERROR(_xlfn.IFS(
   --S201&lt;55,"Battery Defect",
  -- S201&lt;=69,"Battery D",
  --S201&lt;=80,"Battery C",
 --S201&gt;80,""
),"")</f>
        <v/>
      </c>
      <c r="U201" s="13" t="str" cm="1">
        <f t="array" ref="U201:Z201">IFERROR(IF(_xlfn.XLOOKUP(B201,Input!J:J,Input!N:S)=0,"",
          _xlfn.XLOOKUP(B201,Input!J:J,Input!N:S)),"")</f>
        <v/>
      </c>
      <c r="V201" s="13" t="str">
        <v/>
      </c>
      <c r="W201" s="13" t="str">
        <v/>
      </c>
      <c r="X201" s="13" t="str">
        <v/>
      </c>
      <c r="Y201" s="13" t="str">
        <v/>
      </c>
      <c r="Z201" s="13" t="str">
        <v/>
      </c>
      <c r="AA201" t="str">
        <f t="shared" si="9"/>
        <v/>
      </c>
      <c r="AB201" t="str">
        <f>_xlfn.XLOOKUP(B:B,Disk_Pivot!G:G,Disk_Pivot!I:I)</f>
        <v>No</v>
      </c>
      <c r="AC201" t="str">
        <f>_xlfn.XLOOKUP(B201,Disk_Pivot!G:G,Disk_Pivot!N:N)</f>
        <v/>
      </c>
    </row>
    <row r="202" spans="6:29">
      <c r="F202" t="str">
        <f>_xlfn.XLOOKUP(H202,Models!B:B,Models!F:F,"")</f>
        <v/>
      </c>
      <c r="K202">
        <f>_xlfn.XLOOKUP(B202,CPU_Formula!A:A,CPU_Formula!I:I)</f>
        <v>0</v>
      </c>
      <c r="L202" s="13" t="e">
        <f>INDEX(Input!$D$2:$AD$500,
       MATCH(B202, Input!$J$2:$J$500, 0),
       MATCH("Memory Capacity", Input!$D$1:$AD$1, 0))</f>
        <v>#N/A</v>
      </c>
      <c r="M202" s="13" t="e">
        <f>INDEX(Input!$D$2:$AD$500,
       MATCH(B202, Input!$J$2:$J$500, 0),
       MATCH("Memory Type", Input!$D$1:$AD$1, 0))</f>
        <v>#N/A</v>
      </c>
      <c r="N202" s="13" t="e">
        <f t="shared" si="8"/>
        <v>#N/A</v>
      </c>
      <c r="S202" s="13" t="str">
        <f>_xlfn.LET(_xlpm.Result,_xlfn.XLOOKUP(B202,Input!J:J,Input!AB:AB),IF(_xlpm.Result="","",_xlpm.Result))</f>
        <v/>
      </c>
      <c r="T202" s="13" t="str" cm="1">
        <f t="array" ref="T202">IFERROR(_xlfn.IFS(
   --S202&lt;55,"Battery Defect",
  -- S202&lt;=69,"Battery D",
  --S202&lt;=80,"Battery C",
 --S202&gt;80,""
),"")</f>
        <v/>
      </c>
      <c r="U202" s="13" t="str" cm="1">
        <f t="array" ref="U202:Z202">IFERROR(IF(_xlfn.XLOOKUP(B202,Input!J:J,Input!N:S)=0,"",
          _xlfn.XLOOKUP(B202,Input!J:J,Input!N:S)),"")</f>
        <v/>
      </c>
      <c r="V202" s="13" t="str">
        <v/>
      </c>
      <c r="W202" s="13" t="str">
        <v/>
      </c>
      <c r="X202" s="13" t="str">
        <v/>
      </c>
      <c r="Y202" s="13" t="str">
        <v/>
      </c>
      <c r="Z202" s="13" t="str">
        <v/>
      </c>
      <c r="AA202" t="str">
        <f t="shared" si="9"/>
        <v/>
      </c>
      <c r="AB202" t="str">
        <f>_xlfn.XLOOKUP(B:B,Disk_Pivot!G:G,Disk_Pivot!I:I)</f>
        <v>No</v>
      </c>
      <c r="AC202" t="str">
        <f>_xlfn.XLOOKUP(B202,Disk_Pivot!G:G,Disk_Pivot!N:N)</f>
        <v/>
      </c>
    </row>
    <row r="203" spans="6:29">
      <c r="F203" t="str">
        <f>_xlfn.XLOOKUP(H203,Models!B:B,Models!F:F,"")</f>
        <v/>
      </c>
      <c r="K203">
        <f>_xlfn.XLOOKUP(B203,CPU_Formula!A:A,CPU_Formula!I:I)</f>
        <v>0</v>
      </c>
      <c r="L203" s="13" t="e">
        <f>INDEX(Input!$D$2:$AD$500,
       MATCH(B203, Input!$J$2:$J$500, 0),
       MATCH("Memory Capacity", Input!$D$1:$AD$1, 0))</f>
        <v>#N/A</v>
      </c>
      <c r="M203" s="13" t="e">
        <f>INDEX(Input!$D$2:$AD$500,
       MATCH(B203, Input!$J$2:$J$500, 0),
       MATCH("Memory Type", Input!$D$1:$AD$1, 0))</f>
        <v>#N/A</v>
      </c>
      <c r="N203" s="13" t="e">
        <f t="shared" si="8"/>
        <v>#N/A</v>
      </c>
      <c r="S203" s="13" t="str">
        <f>_xlfn.LET(_xlpm.Result,_xlfn.XLOOKUP(B203,Input!J:J,Input!AB:AB),IF(_xlpm.Result="","",_xlpm.Result))</f>
        <v/>
      </c>
      <c r="T203" s="13" t="str" cm="1">
        <f t="array" ref="T203">IFERROR(_xlfn.IFS(
   --S203&lt;55,"Battery Defect",
  -- S203&lt;=69,"Battery D",
  --S203&lt;=80,"Battery C",
 --S203&gt;80,""
),"")</f>
        <v/>
      </c>
      <c r="U203" s="13" t="str" cm="1">
        <f t="array" ref="U203:Z203">IFERROR(IF(_xlfn.XLOOKUP(B203,Input!J:J,Input!N:S)=0,"",
          _xlfn.XLOOKUP(B203,Input!J:J,Input!N:S)),"")</f>
        <v/>
      </c>
      <c r="V203" s="13" t="str">
        <v/>
      </c>
      <c r="W203" s="13" t="str">
        <v/>
      </c>
      <c r="X203" s="13" t="str">
        <v/>
      </c>
      <c r="Y203" s="13" t="str">
        <v/>
      </c>
      <c r="Z203" s="13" t="str">
        <v/>
      </c>
      <c r="AA203" t="str">
        <f t="shared" si="9"/>
        <v/>
      </c>
      <c r="AB203" t="str">
        <f>_xlfn.XLOOKUP(B:B,Disk_Pivot!G:G,Disk_Pivot!I:I)</f>
        <v>No</v>
      </c>
      <c r="AC203" t="str">
        <f>_xlfn.XLOOKUP(B203,Disk_Pivot!G:G,Disk_Pivot!N:N)</f>
        <v/>
      </c>
    </row>
    <row r="204" spans="6:29">
      <c r="F204" t="str">
        <f>_xlfn.XLOOKUP(H204,Models!B:B,Models!F:F,"")</f>
        <v/>
      </c>
      <c r="K204">
        <f>_xlfn.XLOOKUP(B204,CPU_Formula!A:A,CPU_Formula!I:I)</f>
        <v>0</v>
      </c>
      <c r="L204" s="13" t="e">
        <f>INDEX(Input!$D$2:$AD$500,
       MATCH(B204, Input!$J$2:$J$500, 0),
       MATCH("Memory Capacity", Input!$D$1:$AD$1, 0))</f>
        <v>#N/A</v>
      </c>
      <c r="M204" s="13" t="e">
        <f>INDEX(Input!$D$2:$AD$500,
       MATCH(B204, Input!$J$2:$J$500, 0),
       MATCH("Memory Type", Input!$D$1:$AD$1, 0))</f>
        <v>#N/A</v>
      </c>
      <c r="N204" s="13" t="e">
        <f t="shared" si="8"/>
        <v>#N/A</v>
      </c>
      <c r="S204" s="13" t="str">
        <f>_xlfn.LET(_xlpm.Result,_xlfn.XLOOKUP(B204,Input!J:J,Input!AB:AB),IF(_xlpm.Result="","",_xlpm.Result))</f>
        <v/>
      </c>
      <c r="T204" s="13" t="str" cm="1">
        <f t="array" ref="T204">IFERROR(_xlfn.IFS(
   --S204&lt;55,"Battery Defect",
  -- S204&lt;=69,"Battery D",
  --S204&lt;=80,"Battery C",
 --S204&gt;80,""
),"")</f>
        <v/>
      </c>
      <c r="U204" s="13" t="str" cm="1">
        <f t="array" ref="U204:Z204">IFERROR(IF(_xlfn.XLOOKUP(B204,Input!J:J,Input!N:S)=0,"",
          _xlfn.XLOOKUP(B204,Input!J:J,Input!N:S)),"")</f>
        <v/>
      </c>
      <c r="V204" s="13" t="str">
        <v/>
      </c>
      <c r="W204" s="13" t="str">
        <v/>
      </c>
      <c r="X204" s="13" t="str">
        <v/>
      </c>
      <c r="Y204" s="13" t="str">
        <v/>
      </c>
      <c r="Z204" s="13" t="str">
        <v/>
      </c>
      <c r="AA204" t="str">
        <f t="shared" si="9"/>
        <v/>
      </c>
      <c r="AB204" t="str">
        <f>_xlfn.XLOOKUP(B:B,Disk_Pivot!G:G,Disk_Pivot!I:I)</f>
        <v>No</v>
      </c>
      <c r="AC204" t="str">
        <f>_xlfn.XLOOKUP(B204,Disk_Pivot!G:G,Disk_Pivot!N:N)</f>
        <v/>
      </c>
    </row>
    <row r="205" spans="6:29">
      <c r="F205" t="str">
        <f>_xlfn.XLOOKUP(H205,Models!B:B,Models!F:F,"")</f>
        <v/>
      </c>
      <c r="K205">
        <f>_xlfn.XLOOKUP(B205,CPU_Formula!A:A,CPU_Formula!I:I)</f>
        <v>0</v>
      </c>
      <c r="L205" s="13" t="e">
        <f>INDEX(Input!$D$2:$AD$500,
       MATCH(B205, Input!$J$2:$J$500, 0),
       MATCH("Memory Capacity", Input!$D$1:$AD$1, 0))</f>
        <v>#N/A</v>
      </c>
      <c r="M205" s="13" t="e">
        <f>INDEX(Input!$D$2:$AD$500,
       MATCH(B205, Input!$J$2:$J$500, 0),
       MATCH("Memory Type", Input!$D$1:$AD$1, 0))</f>
        <v>#N/A</v>
      </c>
      <c r="N205" s="13" t="e">
        <f t="shared" si="8"/>
        <v>#N/A</v>
      </c>
      <c r="S205" s="13" t="str">
        <f>_xlfn.LET(_xlpm.Result,_xlfn.XLOOKUP(B205,Input!J:J,Input!AB:AB),IF(_xlpm.Result="","",_xlpm.Result))</f>
        <v/>
      </c>
      <c r="T205" s="13" t="str" cm="1">
        <f t="array" ref="T205">IFERROR(_xlfn.IFS(
   --S205&lt;55,"Battery Defect",
  -- S205&lt;=69,"Battery D",
  --S205&lt;=80,"Battery C",
 --S205&gt;80,""
),"")</f>
        <v/>
      </c>
      <c r="U205" s="13" t="str" cm="1">
        <f t="array" ref="U205:Z205">IFERROR(IF(_xlfn.XLOOKUP(B205,Input!J:J,Input!N:S)=0,"",
          _xlfn.XLOOKUP(B205,Input!J:J,Input!N:S)),"")</f>
        <v/>
      </c>
      <c r="V205" s="13" t="str">
        <v/>
      </c>
      <c r="W205" s="13" t="str">
        <v/>
      </c>
      <c r="X205" s="13" t="str">
        <v/>
      </c>
      <c r="Y205" s="13" t="str">
        <v/>
      </c>
      <c r="Z205" s="13" t="str">
        <v/>
      </c>
      <c r="AA205" t="str">
        <f t="shared" si="9"/>
        <v/>
      </c>
      <c r="AB205" t="str">
        <f>_xlfn.XLOOKUP(B:B,Disk_Pivot!G:G,Disk_Pivot!I:I)</f>
        <v>No</v>
      </c>
      <c r="AC205" t="str">
        <f>_xlfn.XLOOKUP(B205,Disk_Pivot!G:G,Disk_Pivot!N:N)</f>
        <v/>
      </c>
    </row>
    <row r="206" spans="6:29">
      <c r="F206" t="str">
        <f>_xlfn.XLOOKUP(H206,Models!B:B,Models!F:F,"")</f>
        <v/>
      </c>
      <c r="K206">
        <f>_xlfn.XLOOKUP(B206,CPU_Formula!A:A,CPU_Formula!I:I)</f>
        <v>0</v>
      </c>
      <c r="L206" s="13" t="e">
        <f>INDEX(Input!$D$2:$AD$500,
       MATCH(B206, Input!$J$2:$J$500, 0),
       MATCH("Memory Capacity", Input!$D$1:$AD$1, 0))</f>
        <v>#N/A</v>
      </c>
      <c r="M206" s="13" t="e">
        <f>INDEX(Input!$D$2:$AD$500,
       MATCH(B206, Input!$J$2:$J$500, 0),
       MATCH("Memory Type", Input!$D$1:$AD$1, 0))</f>
        <v>#N/A</v>
      </c>
      <c r="N206" s="13" t="e">
        <f t="shared" si="8"/>
        <v>#N/A</v>
      </c>
      <c r="S206" s="13" t="str">
        <f>_xlfn.LET(_xlpm.Result,_xlfn.XLOOKUP(B206,Input!J:J,Input!AB:AB),IF(_xlpm.Result="","",_xlpm.Result))</f>
        <v/>
      </c>
      <c r="T206" s="13" t="str" cm="1">
        <f t="array" ref="T206">IFERROR(_xlfn.IFS(
   --S206&lt;55,"Battery Defect",
  -- S206&lt;=69,"Battery D",
  --S206&lt;=80,"Battery C",
 --S206&gt;80,""
),"")</f>
        <v/>
      </c>
      <c r="U206" s="13" t="str" cm="1">
        <f t="array" ref="U206:Z206">IFERROR(IF(_xlfn.XLOOKUP(B206,Input!J:J,Input!N:S)=0,"",
          _xlfn.XLOOKUP(B206,Input!J:J,Input!N:S)),"")</f>
        <v/>
      </c>
      <c r="V206" s="13" t="str">
        <v/>
      </c>
      <c r="W206" s="13" t="str">
        <v/>
      </c>
      <c r="X206" s="13" t="str">
        <v/>
      </c>
      <c r="Y206" s="13" t="str">
        <v/>
      </c>
      <c r="Z206" s="13" t="str">
        <v/>
      </c>
      <c r="AA206" t="str">
        <f t="shared" si="9"/>
        <v/>
      </c>
      <c r="AB206" t="str">
        <f>_xlfn.XLOOKUP(B:B,Disk_Pivot!G:G,Disk_Pivot!I:I)</f>
        <v>No</v>
      </c>
      <c r="AC206" t="str">
        <f>_xlfn.XLOOKUP(B206,Disk_Pivot!G:G,Disk_Pivot!N:N)</f>
        <v/>
      </c>
    </row>
    <row r="207" spans="6:29">
      <c r="F207" t="str">
        <f>_xlfn.XLOOKUP(H207,Models!B:B,Models!F:F,"")</f>
        <v/>
      </c>
      <c r="K207">
        <f>_xlfn.XLOOKUP(B207,CPU_Formula!A:A,CPU_Formula!I:I)</f>
        <v>0</v>
      </c>
      <c r="L207" s="13" t="e">
        <f>INDEX(Input!$D$2:$AD$500,
       MATCH(B207, Input!$J$2:$J$500, 0),
       MATCH("Memory Capacity", Input!$D$1:$AD$1, 0))</f>
        <v>#N/A</v>
      </c>
      <c r="M207" s="13" t="e">
        <f>INDEX(Input!$D$2:$AD$500,
       MATCH(B207, Input!$J$2:$J$500, 0),
       MATCH("Memory Type", Input!$D$1:$AD$1, 0))</f>
        <v>#N/A</v>
      </c>
      <c r="N207" s="13" t="e">
        <f t="shared" si="8"/>
        <v>#N/A</v>
      </c>
      <c r="S207" s="13" t="str">
        <f>_xlfn.LET(_xlpm.Result,_xlfn.XLOOKUP(B207,Input!J:J,Input!AB:AB),IF(_xlpm.Result="","",_xlpm.Result))</f>
        <v/>
      </c>
      <c r="T207" s="13" t="str" cm="1">
        <f t="array" ref="T207">IFERROR(_xlfn.IFS(
   --S207&lt;55,"Battery Defect",
  -- S207&lt;=69,"Battery D",
  --S207&lt;=80,"Battery C",
 --S207&gt;80,""
),"")</f>
        <v/>
      </c>
      <c r="U207" s="13" t="str" cm="1">
        <f t="array" ref="U207:Z207">IFERROR(IF(_xlfn.XLOOKUP(B207,Input!J:J,Input!N:S)=0,"",
          _xlfn.XLOOKUP(B207,Input!J:J,Input!N:S)),"")</f>
        <v/>
      </c>
      <c r="V207" s="13" t="str">
        <v/>
      </c>
      <c r="W207" s="13" t="str">
        <v/>
      </c>
      <c r="X207" s="13" t="str">
        <v/>
      </c>
      <c r="Y207" s="13" t="str">
        <v/>
      </c>
      <c r="Z207" s="13" t="str">
        <v/>
      </c>
      <c r="AA207" t="str">
        <f t="shared" si="9"/>
        <v/>
      </c>
      <c r="AB207" t="str">
        <f>_xlfn.XLOOKUP(B:B,Disk_Pivot!G:G,Disk_Pivot!I:I)</f>
        <v>No</v>
      </c>
      <c r="AC207" t="str">
        <f>_xlfn.XLOOKUP(B207,Disk_Pivot!G:G,Disk_Pivot!N:N)</f>
        <v/>
      </c>
    </row>
    <row r="208" spans="6:29">
      <c r="F208" t="str">
        <f>_xlfn.XLOOKUP(H208,Models!B:B,Models!F:F,"")</f>
        <v/>
      </c>
      <c r="K208">
        <f>_xlfn.XLOOKUP(B208,CPU_Formula!A:A,CPU_Formula!I:I)</f>
        <v>0</v>
      </c>
      <c r="L208" s="13" t="e">
        <f>INDEX(Input!$D$2:$AD$500,
       MATCH(B208, Input!$J$2:$J$500, 0),
       MATCH("Memory Capacity", Input!$D$1:$AD$1, 0))</f>
        <v>#N/A</v>
      </c>
      <c r="M208" s="13" t="e">
        <f>INDEX(Input!$D$2:$AD$500,
       MATCH(B208, Input!$J$2:$J$500, 0),
       MATCH("Memory Type", Input!$D$1:$AD$1, 0))</f>
        <v>#N/A</v>
      </c>
      <c r="N208" s="13" t="e">
        <f t="shared" si="8"/>
        <v>#N/A</v>
      </c>
      <c r="S208" s="13" t="str">
        <f>_xlfn.LET(_xlpm.Result,_xlfn.XLOOKUP(B208,Input!J:J,Input!AB:AB),IF(_xlpm.Result="","",_xlpm.Result))</f>
        <v/>
      </c>
      <c r="T208" s="13" t="str" cm="1">
        <f t="array" ref="T208">IFERROR(_xlfn.IFS(
   --S208&lt;55,"Battery Defect",
  -- S208&lt;=69,"Battery D",
  --S208&lt;=80,"Battery C",
 --S208&gt;80,""
),"")</f>
        <v/>
      </c>
      <c r="U208" s="13" t="str" cm="1">
        <f t="array" ref="U208:Z208">IFERROR(IF(_xlfn.XLOOKUP(B208,Input!J:J,Input!N:S)=0,"",
          _xlfn.XLOOKUP(B208,Input!J:J,Input!N:S)),"")</f>
        <v/>
      </c>
      <c r="V208" s="13" t="str">
        <v/>
      </c>
      <c r="W208" s="13" t="str">
        <v/>
      </c>
      <c r="X208" s="13" t="str">
        <v/>
      </c>
      <c r="Y208" s="13" t="str">
        <v/>
      </c>
      <c r="Z208" s="13" t="str">
        <v/>
      </c>
      <c r="AA208" t="str">
        <f t="shared" si="9"/>
        <v/>
      </c>
      <c r="AB208" t="str">
        <f>_xlfn.XLOOKUP(B:B,Disk_Pivot!G:G,Disk_Pivot!I:I)</f>
        <v>No</v>
      </c>
      <c r="AC208" t="str">
        <f>_xlfn.XLOOKUP(B208,Disk_Pivot!G:G,Disk_Pivot!N:N)</f>
        <v/>
      </c>
    </row>
    <row r="209" spans="6:29">
      <c r="F209" t="str">
        <f>_xlfn.XLOOKUP(H209,Models!B:B,Models!F:F,"")</f>
        <v/>
      </c>
      <c r="K209">
        <f>_xlfn.XLOOKUP(B209,CPU_Formula!A:A,CPU_Formula!I:I)</f>
        <v>0</v>
      </c>
      <c r="L209" s="13" t="e">
        <f>INDEX(Input!$D$2:$AD$500,
       MATCH(B209, Input!$J$2:$J$500, 0),
       MATCH("Memory Capacity", Input!$D$1:$AD$1, 0))</f>
        <v>#N/A</v>
      </c>
      <c r="M209" s="13" t="e">
        <f>INDEX(Input!$D$2:$AD$500,
       MATCH(B209, Input!$J$2:$J$500, 0),
       MATCH("Memory Type", Input!$D$1:$AD$1, 0))</f>
        <v>#N/A</v>
      </c>
      <c r="N209" s="13" t="e">
        <f t="shared" si="8"/>
        <v>#N/A</v>
      </c>
      <c r="S209" s="13" t="str">
        <f>_xlfn.LET(_xlpm.Result,_xlfn.XLOOKUP(B209,Input!J:J,Input!AB:AB),IF(_xlpm.Result="","",_xlpm.Result))</f>
        <v/>
      </c>
      <c r="T209" s="13" t="str" cm="1">
        <f t="array" ref="T209">IFERROR(_xlfn.IFS(
   --S209&lt;55,"Battery Defect",
  -- S209&lt;=69,"Battery D",
  --S209&lt;=80,"Battery C",
 --S209&gt;80,""
),"")</f>
        <v/>
      </c>
      <c r="U209" s="13" t="str" cm="1">
        <f t="array" ref="U209:Z209">IFERROR(IF(_xlfn.XLOOKUP(B209,Input!J:J,Input!N:S)=0,"",
          _xlfn.XLOOKUP(B209,Input!J:J,Input!N:S)),"")</f>
        <v/>
      </c>
      <c r="V209" s="13" t="str">
        <v/>
      </c>
      <c r="W209" s="13" t="str">
        <v/>
      </c>
      <c r="X209" s="13" t="str">
        <v/>
      </c>
      <c r="Y209" s="13" t="str">
        <v/>
      </c>
      <c r="Z209" s="13" t="str">
        <v/>
      </c>
      <c r="AA209" t="str">
        <f t="shared" si="9"/>
        <v/>
      </c>
      <c r="AB209" t="str">
        <f>_xlfn.XLOOKUP(B:B,Disk_Pivot!G:G,Disk_Pivot!I:I)</f>
        <v>No</v>
      </c>
      <c r="AC209" t="str">
        <f>_xlfn.XLOOKUP(B209,Disk_Pivot!G:G,Disk_Pivot!N:N)</f>
        <v/>
      </c>
    </row>
    <row r="210" spans="6:29">
      <c r="F210" t="str">
        <f>_xlfn.XLOOKUP(H210,Models!B:B,Models!F:F,"")</f>
        <v/>
      </c>
      <c r="K210">
        <f>_xlfn.XLOOKUP(B210,CPU_Formula!A:A,CPU_Formula!I:I)</f>
        <v>0</v>
      </c>
      <c r="L210" s="13" t="e">
        <f>INDEX(Input!$D$2:$AD$500,
       MATCH(B210, Input!$J$2:$J$500, 0),
       MATCH("Memory Capacity", Input!$D$1:$AD$1, 0))</f>
        <v>#N/A</v>
      </c>
      <c r="M210" s="13" t="e">
        <f>INDEX(Input!$D$2:$AD$500,
       MATCH(B210, Input!$J$2:$J$500, 0),
       MATCH("Memory Type", Input!$D$1:$AD$1, 0))</f>
        <v>#N/A</v>
      </c>
      <c r="N210" s="13" t="e">
        <f t="shared" si="8"/>
        <v>#N/A</v>
      </c>
      <c r="S210" s="13" t="str">
        <f>_xlfn.LET(_xlpm.Result,_xlfn.XLOOKUP(B210,Input!J:J,Input!AB:AB),IF(_xlpm.Result="","",_xlpm.Result))</f>
        <v/>
      </c>
      <c r="T210" s="13" t="str" cm="1">
        <f t="array" ref="T210">IFERROR(_xlfn.IFS(
   --S210&lt;55,"Battery Defect",
  -- S210&lt;=69,"Battery D",
  --S210&lt;=80,"Battery C",
 --S210&gt;80,""
),"")</f>
        <v/>
      </c>
      <c r="U210" s="13" t="str" cm="1">
        <f t="array" ref="U210:Z210">IFERROR(IF(_xlfn.XLOOKUP(B210,Input!J:J,Input!N:S)=0,"",
          _xlfn.XLOOKUP(B210,Input!J:J,Input!N:S)),"")</f>
        <v/>
      </c>
      <c r="V210" s="13" t="str">
        <v/>
      </c>
      <c r="W210" s="13" t="str">
        <v/>
      </c>
      <c r="X210" s="13" t="str">
        <v/>
      </c>
      <c r="Y210" s="13" t="str">
        <v/>
      </c>
      <c r="Z210" s="13" t="str">
        <v/>
      </c>
      <c r="AA210" t="str">
        <f t="shared" si="9"/>
        <v/>
      </c>
      <c r="AB210" t="str">
        <f>_xlfn.XLOOKUP(B:B,Disk_Pivot!G:G,Disk_Pivot!I:I)</f>
        <v>No</v>
      </c>
      <c r="AC210" t="str">
        <f>_xlfn.XLOOKUP(B210,Disk_Pivot!G:G,Disk_Pivot!N:N)</f>
        <v/>
      </c>
    </row>
    <row r="211" spans="6:29">
      <c r="F211" t="str">
        <f>_xlfn.XLOOKUP(H211,Models!B:B,Models!F:F,"")</f>
        <v/>
      </c>
      <c r="K211">
        <f>_xlfn.XLOOKUP(B211,CPU_Formula!A:A,CPU_Formula!I:I)</f>
        <v>0</v>
      </c>
      <c r="L211" s="13" t="e">
        <f>INDEX(Input!$D$2:$AD$500,
       MATCH(B211, Input!$J$2:$J$500, 0),
       MATCH("Memory Capacity", Input!$D$1:$AD$1, 0))</f>
        <v>#N/A</v>
      </c>
      <c r="M211" s="13" t="e">
        <f>INDEX(Input!$D$2:$AD$500,
       MATCH(B211, Input!$J$2:$J$500, 0),
       MATCH("Memory Type", Input!$D$1:$AD$1, 0))</f>
        <v>#N/A</v>
      </c>
      <c r="N211" s="13" t="e">
        <f t="shared" si="8"/>
        <v>#N/A</v>
      </c>
      <c r="S211" s="13" t="str">
        <f>_xlfn.LET(_xlpm.Result,_xlfn.XLOOKUP(B211,Input!J:J,Input!AB:AB),IF(_xlpm.Result="","",_xlpm.Result))</f>
        <v/>
      </c>
      <c r="T211" s="13" t="str" cm="1">
        <f t="array" ref="T211">IFERROR(_xlfn.IFS(
   --S211&lt;55,"Battery Defect",
  -- S211&lt;=69,"Battery D",
  --S211&lt;=80,"Battery C",
 --S211&gt;80,""
),"")</f>
        <v/>
      </c>
      <c r="U211" s="13" t="str" cm="1">
        <f t="array" ref="U211:Z211">IFERROR(IF(_xlfn.XLOOKUP(B211,Input!J:J,Input!N:S)=0,"",
          _xlfn.XLOOKUP(B211,Input!J:J,Input!N:S)),"")</f>
        <v/>
      </c>
      <c r="V211" s="13" t="str">
        <v/>
      </c>
      <c r="W211" s="13" t="str">
        <v/>
      </c>
      <c r="X211" s="13" t="str">
        <v/>
      </c>
      <c r="Y211" s="13" t="str">
        <v/>
      </c>
      <c r="Z211" s="13" t="str">
        <v/>
      </c>
      <c r="AA211" t="str">
        <f t="shared" si="9"/>
        <v/>
      </c>
      <c r="AB211" t="str">
        <f>_xlfn.XLOOKUP(B:B,Disk_Pivot!G:G,Disk_Pivot!I:I)</f>
        <v>No</v>
      </c>
      <c r="AC211" t="str">
        <f>_xlfn.XLOOKUP(B211,Disk_Pivot!G:G,Disk_Pivot!N:N)</f>
        <v/>
      </c>
    </row>
    <row r="212" spans="6:29">
      <c r="F212" t="str">
        <f>_xlfn.XLOOKUP(H212,Models!B:B,Models!F:F,"")</f>
        <v/>
      </c>
      <c r="K212">
        <f>_xlfn.XLOOKUP(B212,CPU_Formula!A:A,CPU_Formula!I:I)</f>
        <v>0</v>
      </c>
      <c r="L212" s="13" t="e">
        <f>INDEX(Input!$D$2:$AD$500,
       MATCH(B212, Input!$J$2:$J$500, 0),
       MATCH("Memory Capacity", Input!$D$1:$AD$1, 0))</f>
        <v>#N/A</v>
      </c>
      <c r="M212" s="13" t="e">
        <f>INDEX(Input!$D$2:$AD$500,
       MATCH(B212, Input!$J$2:$J$500, 0),
       MATCH("Memory Type", Input!$D$1:$AD$1, 0))</f>
        <v>#N/A</v>
      </c>
      <c r="N212" s="13" t="e">
        <f t="shared" si="8"/>
        <v>#N/A</v>
      </c>
      <c r="S212" s="13" t="str">
        <f>_xlfn.LET(_xlpm.Result,_xlfn.XLOOKUP(B212,Input!J:J,Input!AB:AB),IF(_xlpm.Result="","",_xlpm.Result))</f>
        <v/>
      </c>
      <c r="T212" s="13" t="str" cm="1">
        <f t="array" ref="T212">IFERROR(_xlfn.IFS(
   --S212&lt;55,"Battery Defect",
  -- S212&lt;=69,"Battery D",
  --S212&lt;=80,"Battery C",
 --S212&gt;80,""
),"")</f>
        <v/>
      </c>
      <c r="U212" s="13" t="str" cm="1">
        <f t="array" ref="U212:Z212">IFERROR(IF(_xlfn.XLOOKUP(B212,Input!J:J,Input!N:S)=0,"",
          _xlfn.XLOOKUP(B212,Input!J:J,Input!N:S)),"")</f>
        <v/>
      </c>
      <c r="V212" s="13" t="str">
        <v/>
      </c>
      <c r="W212" s="13" t="str">
        <v/>
      </c>
      <c r="X212" s="13" t="str">
        <v/>
      </c>
      <c r="Y212" s="13" t="str">
        <v/>
      </c>
      <c r="Z212" s="13" t="str">
        <v/>
      </c>
      <c r="AA212" t="str">
        <f t="shared" si="9"/>
        <v/>
      </c>
      <c r="AB212" t="str">
        <f>_xlfn.XLOOKUP(B:B,Disk_Pivot!G:G,Disk_Pivot!I:I)</f>
        <v>No</v>
      </c>
      <c r="AC212" t="str">
        <f>_xlfn.XLOOKUP(B212,Disk_Pivot!G:G,Disk_Pivot!N:N)</f>
        <v/>
      </c>
    </row>
    <row r="213" spans="6:29">
      <c r="F213" t="str">
        <f>_xlfn.XLOOKUP(H213,Models!B:B,Models!F:F,"")</f>
        <v/>
      </c>
      <c r="K213">
        <f>_xlfn.XLOOKUP(B213,CPU_Formula!A:A,CPU_Formula!I:I)</f>
        <v>0</v>
      </c>
      <c r="L213" s="13" t="e">
        <f>INDEX(Input!$D$2:$AD$500,
       MATCH(B213, Input!$J$2:$J$500, 0),
       MATCH("Memory Capacity", Input!$D$1:$AD$1, 0))</f>
        <v>#N/A</v>
      </c>
      <c r="M213" s="13" t="e">
        <f>INDEX(Input!$D$2:$AD$500,
       MATCH(B213, Input!$J$2:$J$500, 0),
       MATCH("Memory Type", Input!$D$1:$AD$1, 0))</f>
        <v>#N/A</v>
      </c>
      <c r="N213" s="13" t="e">
        <f t="shared" si="8"/>
        <v>#N/A</v>
      </c>
      <c r="S213" s="13" t="str">
        <f>_xlfn.LET(_xlpm.Result,_xlfn.XLOOKUP(B213,Input!J:J,Input!AB:AB),IF(_xlpm.Result="","",_xlpm.Result))</f>
        <v/>
      </c>
      <c r="T213" s="13" t="str" cm="1">
        <f t="array" ref="T213">IFERROR(_xlfn.IFS(
   --S213&lt;55,"Battery Defect",
  -- S213&lt;=69,"Battery D",
  --S213&lt;=80,"Battery C",
 --S213&gt;80,""
),"")</f>
        <v/>
      </c>
      <c r="U213" s="13" t="str" cm="1">
        <f t="array" ref="U213:Z213">IFERROR(IF(_xlfn.XLOOKUP(B213,Input!J:J,Input!N:S)=0,"",
          _xlfn.XLOOKUP(B213,Input!J:J,Input!N:S)),"")</f>
        <v/>
      </c>
      <c r="V213" s="13" t="str">
        <v/>
      </c>
      <c r="W213" s="13" t="str">
        <v/>
      </c>
      <c r="X213" s="13" t="str">
        <v/>
      </c>
      <c r="Y213" s="13" t="str">
        <v/>
      </c>
      <c r="Z213" s="13" t="str">
        <v/>
      </c>
      <c r="AA213" t="str">
        <f t="shared" si="9"/>
        <v/>
      </c>
      <c r="AB213" t="str">
        <f>_xlfn.XLOOKUP(B:B,Disk_Pivot!G:G,Disk_Pivot!I:I)</f>
        <v>No</v>
      </c>
      <c r="AC213" t="str">
        <f>_xlfn.XLOOKUP(B213,Disk_Pivot!G:G,Disk_Pivot!N:N)</f>
        <v/>
      </c>
    </row>
    <row r="214" spans="6:29">
      <c r="F214" t="str">
        <f>_xlfn.XLOOKUP(H214,Models!B:B,Models!F:F,"")</f>
        <v/>
      </c>
      <c r="K214">
        <f>_xlfn.XLOOKUP(B214,CPU_Formula!A:A,CPU_Formula!I:I)</f>
        <v>0</v>
      </c>
      <c r="L214" s="13" t="e">
        <f>INDEX(Input!$D$2:$AD$500,
       MATCH(B214, Input!$J$2:$J$500, 0),
       MATCH("Memory Capacity", Input!$D$1:$AD$1, 0))</f>
        <v>#N/A</v>
      </c>
      <c r="M214" s="13" t="e">
        <f>INDEX(Input!$D$2:$AD$500,
       MATCH(B214, Input!$J$2:$J$500, 0),
       MATCH("Memory Type", Input!$D$1:$AD$1, 0))</f>
        <v>#N/A</v>
      </c>
      <c r="N214" s="13" t="e">
        <f t="shared" si="8"/>
        <v>#N/A</v>
      </c>
      <c r="S214" s="13" t="str">
        <f>_xlfn.LET(_xlpm.Result,_xlfn.XLOOKUP(B214,Input!J:J,Input!AB:AB),IF(_xlpm.Result="","",_xlpm.Result))</f>
        <v/>
      </c>
      <c r="T214" s="13" t="str" cm="1">
        <f t="array" ref="T214">IFERROR(_xlfn.IFS(
   --S214&lt;55,"Battery Defect",
  -- S214&lt;=69,"Battery D",
  --S214&lt;=80,"Battery C",
 --S214&gt;80,""
),"")</f>
        <v/>
      </c>
      <c r="U214" s="13" t="str" cm="1">
        <f t="array" ref="U214:Z214">IFERROR(IF(_xlfn.XLOOKUP(B214,Input!J:J,Input!N:S)=0,"",
          _xlfn.XLOOKUP(B214,Input!J:J,Input!N:S)),"")</f>
        <v/>
      </c>
      <c r="V214" s="13" t="str">
        <v/>
      </c>
      <c r="W214" s="13" t="str">
        <v/>
      </c>
      <c r="X214" s="13" t="str">
        <v/>
      </c>
      <c r="Y214" s="13" t="str">
        <v/>
      </c>
      <c r="Z214" s="13" t="str">
        <v/>
      </c>
      <c r="AA214" t="str">
        <f t="shared" si="9"/>
        <v/>
      </c>
      <c r="AB214" t="str">
        <f>_xlfn.XLOOKUP(B:B,Disk_Pivot!G:G,Disk_Pivot!I:I)</f>
        <v>No</v>
      </c>
      <c r="AC214" t="str">
        <f>_xlfn.XLOOKUP(B214,Disk_Pivot!G:G,Disk_Pivot!N:N)</f>
        <v/>
      </c>
    </row>
    <row r="215" spans="6:29">
      <c r="F215" t="str">
        <f>_xlfn.XLOOKUP(H215,Models!B:B,Models!F:F,"")</f>
        <v/>
      </c>
      <c r="K215">
        <f>_xlfn.XLOOKUP(B215,CPU_Formula!A:A,CPU_Formula!I:I)</f>
        <v>0</v>
      </c>
      <c r="L215" s="13" t="e">
        <f>INDEX(Input!$D$2:$AD$500,
       MATCH(B215, Input!$J$2:$J$500, 0),
       MATCH("Memory Capacity", Input!$D$1:$AD$1, 0))</f>
        <v>#N/A</v>
      </c>
      <c r="M215" s="13" t="e">
        <f>INDEX(Input!$D$2:$AD$500,
       MATCH(B215, Input!$J$2:$J$500, 0),
       MATCH("Memory Type", Input!$D$1:$AD$1, 0))</f>
        <v>#N/A</v>
      </c>
      <c r="N215" s="13" t="e">
        <f t="shared" si="8"/>
        <v>#N/A</v>
      </c>
      <c r="S215" s="13" t="str">
        <f>_xlfn.LET(_xlpm.Result,_xlfn.XLOOKUP(B215,Input!J:J,Input!AB:AB),IF(_xlpm.Result="","",_xlpm.Result))</f>
        <v/>
      </c>
      <c r="T215" s="13" t="str" cm="1">
        <f t="array" ref="T215">IFERROR(_xlfn.IFS(
   --S215&lt;55,"Battery Defect",
  -- S215&lt;=69,"Battery D",
  --S215&lt;=80,"Battery C",
 --S215&gt;80,""
),"")</f>
        <v/>
      </c>
      <c r="U215" s="13" t="str" cm="1">
        <f t="array" ref="U215:Z215">IFERROR(IF(_xlfn.XLOOKUP(B215,Input!J:J,Input!N:S)=0,"",
          _xlfn.XLOOKUP(B215,Input!J:J,Input!N:S)),"")</f>
        <v/>
      </c>
      <c r="V215" s="13" t="str">
        <v/>
      </c>
      <c r="W215" s="13" t="str">
        <v/>
      </c>
      <c r="X215" s="13" t="str">
        <v/>
      </c>
      <c r="Y215" s="13" t="str">
        <v/>
      </c>
      <c r="Z215" s="13" t="str">
        <v/>
      </c>
      <c r="AA215" t="str">
        <f t="shared" si="9"/>
        <v/>
      </c>
      <c r="AB215" t="str">
        <f>_xlfn.XLOOKUP(B:B,Disk_Pivot!G:G,Disk_Pivot!I:I)</f>
        <v>No</v>
      </c>
      <c r="AC215" t="str">
        <f>_xlfn.XLOOKUP(B215,Disk_Pivot!G:G,Disk_Pivot!N:N)</f>
        <v/>
      </c>
    </row>
    <row r="216" spans="6:29">
      <c r="F216" t="str">
        <f>_xlfn.XLOOKUP(H216,Models!B:B,Models!F:F,"")</f>
        <v/>
      </c>
      <c r="K216">
        <f>_xlfn.XLOOKUP(B216,CPU_Formula!A:A,CPU_Formula!I:I)</f>
        <v>0</v>
      </c>
      <c r="L216" s="13" t="e">
        <f>INDEX(Input!$D$2:$AD$500,
       MATCH(B216, Input!$J$2:$J$500, 0),
       MATCH("Memory Capacity", Input!$D$1:$AD$1, 0))</f>
        <v>#N/A</v>
      </c>
      <c r="M216" s="13" t="e">
        <f>INDEX(Input!$D$2:$AD$500,
       MATCH(B216, Input!$J$2:$J$500, 0),
       MATCH("Memory Type", Input!$D$1:$AD$1, 0))</f>
        <v>#N/A</v>
      </c>
      <c r="N216" s="13" t="e">
        <f t="shared" si="8"/>
        <v>#N/A</v>
      </c>
      <c r="S216" s="13" t="str">
        <f>_xlfn.LET(_xlpm.Result,_xlfn.XLOOKUP(B216,Input!J:J,Input!AB:AB),IF(_xlpm.Result="","",_xlpm.Result))</f>
        <v/>
      </c>
      <c r="T216" s="13" t="str" cm="1">
        <f t="array" ref="T216">IFERROR(_xlfn.IFS(
   --S216&lt;55,"Battery Defect",
  -- S216&lt;=69,"Battery D",
  --S216&lt;=80,"Battery C",
 --S216&gt;80,""
),"")</f>
        <v/>
      </c>
      <c r="U216" s="13" t="str" cm="1">
        <f t="array" ref="U216:Z216">IFERROR(IF(_xlfn.XLOOKUP(B216,Input!J:J,Input!N:S)=0,"",
          _xlfn.XLOOKUP(B216,Input!J:J,Input!N:S)),"")</f>
        <v/>
      </c>
      <c r="V216" s="13" t="str">
        <v/>
      </c>
      <c r="W216" s="13" t="str">
        <v/>
      </c>
      <c r="X216" s="13" t="str">
        <v/>
      </c>
      <c r="Y216" s="13" t="str">
        <v/>
      </c>
      <c r="Z216" s="13" t="str">
        <v/>
      </c>
      <c r="AA216" t="str">
        <f t="shared" si="9"/>
        <v/>
      </c>
      <c r="AB216" t="str">
        <f>_xlfn.XLOOKUP(B:B,Disk_Pivot!G:G,Disk_Pivot!I:I)</f>
        <v>No</v>
      </c>
      <c r="AC216" t="str">
        <f>_xlfn.XLOOKUP(B216,Disk_Pivot!G:G,Disk_Pivot!N:N)</f>
        <v/>
      </c>
    </row>
    <row r="217" spans="6:29">
      <c r="F217" t="str">
        <f>_xlfn.XLOOKUP(H217,Models!B:B,Models!F:F,"")</f>
        <v/>
      </c>
      <c r="K217">
        <f>_xlfn.XLOOKUP(B217,CPU_Formula!A:A,CPU_Formula!I:I)</f>
        <v>0</v>
      </c>
      <c r="L217" s="13" t="e">
        <f>INDEX(Input!$D$2:$AD$500,
       MATCH(B217, Input!$J$2:$J$500, 0),
       MATCH("Memory Capacity", Input!$D$1:$AD$1, 0))</f>
        <v>#N/A</v>
      </c>
      <c r="M217" s="13" t="e">
        <f>INDEX(Input!$D$2:$AD$500,
       MATCH(B217, Input!$J$2:$J$500, 0),
       MATCH("Memory Type", Input!$D$1:$AD$1, 0))</f>
        <v>#N/A</v>
      </c>
      <c r="N217" s="13" t="e">
        <f t="shared" si="8"/>
        <v>#N/A</v>
      </c>
      <c r="S217" s="13" t="str">
        <f>_xlfn.LET(_xlpm.Result,_xlfn.XLOOKUP(B217,Input!J:J,Input!AB:AB),IF(_xlpm.Result="","",_xlpm.Result))</f>
        <v/>
      </c>
      <c r="T217" s="13" t="str" cm="1">
        <f t="array" ref="T217">IFERROR(_xlfn.IFS(
   --S217&lt;55,"Battery Defect",
  -- S217&lt;=69,"Battery D",
  --S217&lt;=80,"Battery C",
 --S217&gt;80,""
),"")</f>
        <v/>
      </c>
      <c r="U217" s="13" t="str" cm="1">
        <f t="array" ref="U217:Z217">IFERROR(IF(_xlfn.XLOOKUP(B217,Input!J:J,Input!N:S)=0,"",
          _xlfn.XLOOKUP(B217,Input!J:J,Input!N:S)),"")</f>
        <v/>
      </c>
      <c r="V217" s="13" t="str">
        <v/>
      </c>
      <c r="W217" s="13" t="str">
        <v/>
      </c>
      <c r="X217" s="13" t="str">
        <v/>
      </c>
      <c r="Y217" s="13" t="str">
        <v/>
      </c>
      <c r="Z217" s="13" t="str">
        <v/>
      </c>
      <c r="AA217" t="str">
        <f t="shared" si="9"/>
        <v/>
      </c>
      <c r="AB217" t="str">
        <f>_xlfn.XLOOKUP(B:B,Disk_Pivot!G:G,Disk_Pivot!I:I)</f>
        <v>No</v>
      </c>
      <c r="AC217" t="str">
        <f>_xlfn.XLOOKUP(B217,Disk_Pivot!G:G,Disk_Pivot!N:N)</f>
        <v/>
      </c>
    </row>
    <row r="218" spans="6:29">
      <c r="F218" t="str">
        <f>_xlfn.XLOOKUP(H218,Models!B:B,Models!F:F,"")</f>
        <v/>
      </c>
      <c r="K218">
        <f>_xlfn.XLOOKUP(B218,CPU_Formula!A:A,CPU_Formula!I:I)</f>
        <v>0</v>
      </c>
      <c r="L218" s="13" t="e">
        <f>INDEX(Input!$D$2:$AD$500,
       MATCH(B218, Input!$J$2:$J$500, 0),
       MATCH("Memory Capacity", Input!$D$1:$AD$1, 0))</f>
        <v>#N/A</v>
      </c>
      <c r="M218" s="13" t="e">
        <f>INDEX(Input!$D$2:$AD$500,
       MATCH(B218, Input!$J$2:$J$500, 0),
       MATCH("Memory Type", Input!$D$1:$AD$1, 0))</f>
        <v>#N/A</v>
      </c>
      <c r="N218" s="13" t="e">
        <f t="shared" si="8"/>
        <v>#N/A</v>
      </c>
      <c r="S218" s="13" t="str">
        <f>_xlfn.LET(_xlpm.Result,_xlfn.XLOOKUP(B218,Input!J:J,Input!AB:AB),IF(_xlpm.Result="","",_xlpm.Result))</f>
        <v/>
      </c>
      <c r="T218" s="13" t="str" cm="1">
        <f t="array" ref="T218">IFERROR(_xlfn.IFS(
   --S218&lt;55,"Battery Defect",
  -- S218&lt;=69,"Battery D",
  --S218&lt;=80,"Battery C",
 --S218&gt;80,""
),"")</f>
        <v/>
      </c>
      <c r="U218" s="13" t="str" cm="1">
        <f t="array" ref="U218:Z218">IFERROR(IF(_xlfn.XLOOKUP(B218,Input!J:J,Input!N:S)=0,"",
          _xlfn.XLOOKUP(B218,Input!J:J,Input!N:S)),"")</f>
        <v/>
      </c>
      <c r="V218" s="13" t="str">
        <v/>
      </c>
      <c r="W218" s="13" t="str">
        <v/>
      </c>
      <c r="X218" s="13" t="str">
        <v/>
      </c>
      <c r="Y218" s="13" t="str">
        <v/>
      </c>
      <c r="Z218" s="13" t="str">
        <v/>
      </c>
      <c r="AA218" t="str">
        <f t="shared" si="9"/>
        <v/>
      </c>
      <c r="AB218" t="str">
        <f>_xlfn.XLOOKUP(B:B,Disk_Pivot!G:G,Disk_Pivot!I:I)</f>
        <v>No</v>
      </c>
      <c r="AC218" t="str">
        <f>_xlfn.XLOOKUP(B218,Disk_Pivot!G:G,Disk_Pivot!N:N)</f>
        <v/>
      </c>
    </row>
    <row r="219" spans="6:29">
      <c r="F219" t="str">
        <f>_xlfn.XLOOKUP(H219,Models!B:B,Models!F:F,"")</f>
        <v/>
      </c>
      <c r="K219">
        <f>_xlfn.XLOOKUP(B219,CPU_Formula!A:A,CPU_Formula!I:I)</f>
        <v>0</v>
      </c>
      <c r="L219" s="13" t="e">
        <f>INDEX(Input!$D$2:$AD$500,
       MATCH(B219, Input!$J$2:$J$500, 0),
       MATCH("Memory Capacity", Input!$D$1:$AD$1, 0))</f>
        <v>#N/A</v>
      </c>
      <c r="M219" s="13" t="e">
        <f>INDEX(Input!$D$2:$AD$500,
       MATCH(B219, Input!$J$2:$J$500, 0),
       MATCH("Memory Type", Input!$D$1:$AD$1, 0))</f>
        <v>#N/A</v>
      </c>
      <c r="N219" s="13" t="e">
        <f t="shared" si="8"/>
        <v>#N/A</v>
      </c>
      <c r="S219" s="13" t="str">
        <f>_xlfn.LET(_xlpm.Result,_xlfn.XLOOKUP(B219,Input!J:J,Input!AB:AB),IF(_xlpm.Result="","",_xlpm.Result))</f>
        <v/>
      </c>
      <c r="T219" s="13" t="str" cm="1">
        <f t="array" ref="T219">IFERROR(_xlfn.IFS(
   --S219&lt;55,"Battery Defect",
  -- S219&lt;=69,"Battery D",
  --S219&lt;=80,"Battery C",
 --S219&gt;80,""
),"")</f>
        <v/>
      </c>
      <c r="U219" s="13" t="str" cm="1">
        <f t="array" ref="U219:Z219">IFERROR(IF(_xlfn.XLOOKUP(B219,Input!J:J,Input!N:S)=0,"",
          _xlfn.XLOOKUP(B219,Input!J:J,Input!N:S)),"")</f>
        <v/>
      </c>
      <c r="V219" s="13" t="str">
        <v/>
      </c>
      <c r="W219" s="13" t="str">
        <v/>
      </c>
      <c r="X219" s="13" t="str">
        <v/>
      </c>
      <c r="Y219" s="13" t="str">
        <v/>
      </c>
      <c r="Z219" s="13" t="str">
        <v/>
      </c>
      <c r="AA219" t="str">
        <f t="shared" si="9"/>
        <v/>
      </c>
      <c r="AB219" t="str">
        <f>_xlfn.XLOOKUP(B:B,Disk_Pivot!G:G,Disk_Pivot!I:I)</f>
        <v>No</v>
      </c>
      <c r="AC219" t="str">
        <f>_xlfn.XLOOKUP(B219,Disk_Pivot!G:G,Disk_Pivot!N:N)</f>
        <v/>
      </c>
    </row>
    <row r="220" spans="6:29">
      <c r="F220" t="str">
        <f>_xlfn.XLOOKUP(H220,Models!B:B,Models!F:F,"")</f>
        <v/>
      </c>
      <c r="K220">
        <f>_xlfn.XLOOKUP(B220,CPU_Formula!A:A,CPU_Formula!I:I)</f>
        <v>0</v>
      </c>
      <c r="L220" s="13" t="e">
        <f>INDEX(Input!$D$2:$AD$500,
       MATCH(B220, Input!$J$2:$J$500, 0),
       MATCH("Memory Capacity", Input!$D$1:$AD$1, 0))</f>
        <v>#N/A</v>
      </c>
      <c r="M220" s="13" t="e">
        <f>INDEX(Input!$D$2:$AD$500,
       MATCH(B220, Input!$J$2:$J$500, 0),
       MATCH("Memory Type", Input!$D$1:$AD$1, 0))</f>
        <v>#N/A</v>
      </c>
      <c r="N220" s="13" t="e">
        <f t="shared" si="8"/>
        <v>#N/A</v>
      </c>
      <c r="S220" s="13" t="str">
        <f>_xlfn.LET(_xlpm.Result,_xlfn.XLOOKUP(B220,Input!J:J,Input!AB:AB),IF(_xlpm.Result="","",_xlpm.Result))</f>
        <v/>
      </c>
      <c r="T220" s="13" t="str" cm="1">
        <f t="array" ref="T220">IFERROR(_xlfn.IFS(
   --S220&lt;55,"Battery Defect",
  -- S220&lt;=69,"Battery D",
  --S220&lt;=80,"Battery C",
 --S220&gt;80,""
),"")</f>
        <v/>
      </c>
      <c r="U220" s="13" t="str" cm="1">
        <f t="array" ref="U220:Z220">IFERROR(IF(_xlfn.XLOOKUP(B220,Input!J:J,Input!N:S)=0,"",
          _xlfn.XLOOKUP(B220,Input!J:J,Input!N:S)),"")</f>
        <v/>
      </c>
      <c r="V220" s="13" t="str">
        <v/>
      </c>
      <c r="W220" s="13" t="str">
        <v/>
      </c>
      <c r="X220" s="13" t="str">
        <v/>
      </c>
      <c r="Y220" s="13" t="str">
        <v/>
      </c>
      <c r="Z220" s="13" t="str">
        <v/>
      </c>
      <c r="AA220" t="str">
        <f t="shared" si="9"/>
        <v/>
      </c>
      <c r="AB220" t="str">
        <f>_xlfn.XLOOKUP(B:B,Disk_Pivot!G:G,Disk_Pivot!I:I)</f>
        <v>No</v>
      </c>
      <c r="AC220" t="str">
        <f>_xlfn.XLOOKUP(B220,Disk_Pivot!G:G,Disk_Pivot!N:N)</f>
        <v/>
      </c>
    </row>
    <row r="221" spans="6:29">
      <c r="F221" t="str">
        <f>_xlfn.XLOOKUP(H221,Models!B:B,Models!F:F,"")</f>
        <v/>
      </c>
      <c r="K221">
        <f>_xlfn.XLOOKUP(B221,CPU_Formula!A:A,CPU_Formula!I:I)</f>
        <v>0</v>
      </c>
      <c r="L221" s="13" t="e">
        <f>INDEX(Input!$D$2:$AD$500,
       MATCH(B221, Input!$J$2:$J$500, 0),
       MATCH("Memory Capacity", Input!$D$1:$AD$1, 0))</f>
        <v>#N/A</v>
      </c>
      <c r="M221" s="13" t="e">
        <f>INDEX(Input!$D$2:$AD$500,
       MATCH(B221, Input!$J$2:$J$500, 0),
       MATCH("Memory Type", Input!$D$1:$AD$1, 0))</f>
        <v>#N/A</v>
      </c>
      <c r="N221" s="13" t="e">
        <f t="shared" si="8"/>
        <v>#N/A</v>
      </c>
      <c r="S221" s="13" t="str">
        <f>_xlfn.LET(_xlpm.Result,_xlfn.XLOOKUP(B221,Input!J:J,Input!AB:AB),IF(_xlpm.Result="","",_xlpm.Result))</f>
        <v/>
      </c>
      <c r="T221" s="13" t="str" cm="1">
        <f t="array" ref="T221">IFERROR(_xlfn.IFS(
   --S221&lt;55,"Battery Defect",
  -- S221&lt;=69,"Battery D",
  --S221&lt;=80,"Battery C",
 --S221&gt;80,""
),"")</f>
        <v/>
      </c>
      <c r="U221" s="13" t="str" cm="1">
        <f t="array" ref="U221:Z221">IFERROR(IF(_xlfn.XLOOKUP(B221,Input!J:J,Input!N:S)=0,"",
          _xlfn.XLOOKUP(B221,Input!J:J,Input!N:S)),"")</f>
        <v/>
      </c>
      <c r="V221" s="13" t="str">
        <v/>
      </c>
      <c r="W221" s="13" t="str">
        <v/>
      </c>
      <c r="X221" s="13" t="str">
        <v/>
      </c>
      <c r="Y221" s="13" t="str">
        <v/>
      </c>
      <c r="Z221" s="13" t="str">
        <v/>
      </c>
      <c r="AA221" t="str">
        <f t="shared" si="9"/>
        <v/>
      </c>
      <c r="AB221" t="str">
        <f>_xlfn.XLOOKUP(B:B,Disk_Pivot!G:G,Disk_Pivot!I:I)</f>
        <v>No</v>
      </c>
      <c r="AC221" t="str">
        <f>_xlfn.XLOOKUP(B221,Disk_Pivot!G:G,Disk_Pivot!N:N)</f>
        <v/>
      </c>
    </row>
    <row r="222" spans="6:29">
      <c r="F222" t="str">
        <f>_xlfn.XLOOKUP(H222,Models!B:B,Models!F:F,"")</f>
        <v/>
      </c>
      <c r="K222">
        <f>_xlfn.XLOOKUP(B222,CPU_Formula!A:A,CPU_Formula!I:I)</f>
        <v>0</v>
      </c>
      <c r="L222" s="13" t="e">
        <f>INDEX(Input!$D$2:$AD$500,
       MATCH(B222, Input!$J$2:$J$500, 0),
       MATCH("Memory Capacity", Input!$D$1:$AD$1, 0))</f>
        <v>#N/A</v>
      </c>
      <c r="M222" s="13" t="e">
        <f>INDEX(Input!$D$2:$AD$500,
       MATCH(B222, Input!$J$2:$J$500, 0),
       MATCH("Memory Type", Input!$D$1:$AD$1, 0))</f>
        <v>#N/A</v>
      </c>
      <c r="N222" s="13" t="e">
        <f t="shared" si="8"/>
        <v>#N/A</v>
      </c>
      <c r="S222" s="13" t="str">
        <f>_xlfn.LET(_xlpm.Result,_xlfn.XLOOKUP(B222,Input!J:J,Input!AB:AB),IF(_xlpm.Result="","",_xlpm.Result))</f>
        <v/>
      </c>
      <c r="T222" s="13" t="str" cm="1">
        <f t="array" ref="T222">IFERROR(_xlfn.IFS(
   --S222&lt;55,"Battery Defect",
  -- S222&lt;=69,"Battery D",
  --S222&lt;=80,"Battery C",
 --S222&gt;80,""
),"")</f>
        <v/>
      </c>
      <c r="U222" s="13" t="str" cm="1">
        <f t="array" ref="U222:Z222">IFERROR(IF(_xlfn.XLOOKUP(B222,Input!J:J,Input!N:S)=0,"",
          _xlfn.XLOOKUP(B222,Input!J:J,Input!N:S)),"")</f>
        <v/>
      </c>
      <c r="V222" s="13" t="str">
        <v/>
      </c>
      <c r="W222" s="13" t="str">
        <v/>
      </c>
      <c r="X222" s="13" t="str">
        <v/>
      </c>
      <c r="Y222" s="13" t="str">
        <v/>
      </c>
      <c r="Z222" s="13" t="str">
        <v/>
      </c>
      <c r="AA222" t="str">
        <f t="shared" si="9"/>
        <v/>
      </c>
      <c r="AB222" t="str">
        <f>_xlfn.XLOOKUP(B:B,Disk_Pivot!G:G,Disk_Pivot!I:I)</f>
        <v>No</v>
      </c>
      <c r="AC222" t="str">
        <f>_xlfn.XLOOKUP(B222,Disk_Pivot!G:G,Disk_Pivot!N:N)</f>
        <v/>
      </c>
    </row>
    <row r="223" spans="6:29">
      <c r="F223" t="str">
        <f>_xlfn.XLOOKUP(H223,Models!B:B,Models!F:F,"")</f>
        <v/>
      </c>
      <c r="K223">
        <f>_xlfn.XLOOKUP(B223,CPU_Formula!A:A,CPU_Formula!I:I)</f>
        <v>0</v>
      </c>
      <c r="L223" s="13" t="e">
        <f>INDEX(Input!$D$2:$AD$500,
       MATCH(B223, Input!$J$2:$J$500, 0),
       MATCH("Memory Capacity", Input!$D$1:$AD$1, 0))</f>
        <v>#N/A</v>
      </c>
      <c r="M223" s="13" t="e">
        <f>INDEX(Input!$D$2:$AD$500,
       MATCH(B223, Input!$J$2:$J$500, 0),
       MATCH("Memory Type", Input!$D$1:$AD$1, 0))</f>
        <v>#N/A</v>
      </c>
      <c r="N223" s="13" t="e">
        <f t="shared" si="8"/>
        <v>#N/A</v>
      </c>
      <c r="S223" s="13" t="str">
        <f>_xlfn.LET(_xlpm.Result,_xlfn.XLOOKUP(B223,Input!J:J,Input!AB:AB),IF(_xlpm.Result="","",_xlpm.Result))</f>
        <v/>
      </c>
      <c r="T223" s="13" t="str" cm="1">
        <f t="array" ref="T223">IFERROR(_xlfn.IFS(
   --S223&lt;55,"Battery Defect",
  -- S223&lt;=69,"Battery D",
  --S223&lt;=80,"Battery C",
 --S223&gt;80,""
),"")</f>
        <v/>
      </c>
      <c r="U223" s="13" t="str" cm="1">
        <f t="array" ref="U223:Z223">IFERROR(IF(_xlfn.XLOOKUP(B223,Input!J:J,Input!N:S)=0,"",
          _xlfn.XLOOKUP(B223,Input!J:J,Input!N:S)),"")</f>
        <v/>
      </c>
      <c r="V223" s="13" t="str">
        <v/>
      </c>
      <c r="W223" s="13" t="str">
        <v/>
      </c>
      <c r="X223" s="13" t="str">
        <v/>
      </c>
      <c r="Y223" s="13" t="str">
        <v/>
      </c>
      <c r="Z223" s="13" t="str">
        <v/>
      </c>
      <c r="AA223" t="str">
        <f t="shared" si="9"/>
        <v/>
      </c>
      <c r="AB223" t="str">
        <f>_xlfn.XLOOKUP(B:B,Disk_Pivot!G:G,Disk_Pivot!I:I)</f>
        <v>No</v>
      </c>
      <c r="AC223" t="str">
        <f>_xlfn.XLOOKUP(B223,Disk_Pivot!G:G,Disk_Pivot!N:N)</f>
        <v/>
      </c>
    </row>
    <row r="224" spans="6:29">
      <c r="F224" t="str">
        <f>_xlfn.XLOOKUP(H224,Models!B:B,Models!F:F,"")</f>
        <v/>
      </c>
      <c r="K224">
        <f>_xlfn.XLOOKUP(B224,CPU_Formula!A:A,CPU_Formula!I:I)</f>
        <v>0</v>
      </c>
      <c r="L224" s="13" t="e">
        <f>INDEX(Input!$D$2:$AD$500,
       MATCH(B224, Input!$J$2:$J$500, 0),
       MATCH("Memory Capacity", Input!$D$1:$AD$1, 0))</f>
        <v>#N/A</v>
      </c>
      <c r="M224" s="13" t="e">
        <f>INDEX(Input!$D$2:$AD$500,
       MATCH(B224, Input!$J$2:$J$500, 0),
       MATCH("Memory Type", Input!$D$1:$AD$1, 0))</f>
        <v>#N/A</v>
      </c>
      <c r="N224" s="13" t="e">
        <f t="shared" si="8"/>
        <v>#N/A</v>
      </c>
      <c r="S224" s="13" t="str">
        <f>_xlfn.LET(_xlpm.Result,_xlfn.XLOOKUP(B224,Input!J:J,Input!AB:AB),IF(_xlpm.Result="","",_xlpm.Result))</f>
        <v/>
      </c>
      <c r="T224" s="13" t="str" cm="1">
        <f t="array" ref="T224">IFERROR(_xlfn.IFS(
   --S224&lt;55,"Battery Defect",
  -- S224&lt;=69,"Battery D",
  --S224&lt;=80,"Battery C",
 --S224&gt;80,""
),"")</f>
        <v/>
      </c>
      <c r="U224" s="13" t="str" cm="1">
        <f t="array" ref="U224:Z224">IFERROR(IF(_xlfn.XLOOKUP(B224,Input!J:J,Input!N:S)=0,"",
          _xlfn.XLOOKUP(B224,Input!J:J,Input!N:S)),"")</f>
        <v/>
      </c>
      <c r="V224" s="13" t="str">
        <v/>
      </c>
      <c r="W224" s="13" t="str">
        <v/>
      </c>
      <c r="X224" s="13" t="str">
        <v/>
      </c>
      <c r="Y224" s="13" t="str">
        <v/>
      </c>
      <c r="Z224" s="13" t="str">
        <v/>
      </c>
      <c r="AA224" t="str">
        <f t="shared" si="9"/>
        <v/>
      </c>
      <c r="AB224" t="str">
        <f>_xlfn.XLOOKUP(B:B,Disk_Pivot!G:G,Disk_Pivot!I:I)</f>
        <v>No</v>
      </c>
      <c r="AC224" t="str">
        <f>_xlfn.XLOOKUP(B224,Disk_Pivot!G:G,Disk_Pivot!N:N)</f>
        <v/>
      </c>
    </row>
    <row r="225" spans="6:29">
      <c r="F225" t="str">
        <f>_xlfn.XLOOKUP(H225,Models!B:B,Models!F:F,"")</f>
        <v/>
      </c>
      <c r="K225">
        <f>_xlfn.XLOOKUP(B225,CPU_Formula!A:A,CPU_Formula!I:I)</f>
        <v>0</v>
      </c>
      <c r="L225" s="13" t="e">
        <f>INDEX(Input!$D$2:$AD$500,
       MATCH(B225, Input!$J$2:$J$500, 0),
       MATCH("Memory Capacity", Input!$D$1:$AD$1, 0))</f>
        <v>#N/A</v>
      </c>
      <c r="M225" s="13" t="e">
        <f>INDEX(Input!$D$2:$AD$500,
       MATCH(B225, Input!$J$2:$J$500, 0),
       MATCH("Memory Type", Input!$D$1:$AD$1, 0))</f>
        <v>#N/A</v>
      </c>
      <c r="N225" s="13" t="e">
        <f t="shared" si="8"/>
        <v>#N/A</v>
      </c>
      <c r="S225" s="13" t="str">
        <f>_xlfn.LET(_xlpm.Result,_xlfn.XLOOKUP(B225,Input!J:J,Input!AB:AB),IF(_xlpm.Result="","",_xlpm.Result))</f>
        <v/>
      </c>
      <c r="T225" s="13" t="str" cm="1">
        <f t="array" ref="T225">IFERROR(_xlfn.IFS(
   --S225&lt;55,"Battery Defect",
  -- S225&lt;=69,"Battery D",
  --S225&lt;=80,"Battery C",
 --S225&gt;80,""
),"")</f>
        <v/>
      </c>
      <c r="U225" s="13" t="str" cm="1">
        <f t="array" ref="U225:Z225">IFERROR(IF(_xlfn.XLOOKUP(B225,Input!J:J,Input!N:S)=0,"",
          _xlfn.XLOOKUP(B225,Input!J:J,Input!N:S)),"")</f>
        <v/>
      </c>
      <c r="V225" s="13" t="str">
        <v/>
      </c>
      <c r="W225" s="13" t="str">
        <v/>
      </c>
      <c r="X225" s="13" t="str">
        <v/>
      </c>
      <c r="Y225" s="13" t="str">
        <v/>
      </c>
      <c r="Z225" s="13" t="str">
        <v/>
      </c>
      <c r="AA225" t="str">
        <f t="shared" si="9"/>
        <v/>
      </c>
      <c r="AB225" t="str">
        <f>_xlfn.XLOOKUP(B:B,Disk_Pivot!G:G,Disk_Pivot!I:I)</f>
        <v>No</v>
      </c>
      <c r="AC225" t="str">
        <f>_xlfn.XLOOKUP(B225,Disk_Pivot!G:G,Disk_Pivot!N:N)</f>
        <v/>
      </c>
    </row>
    <row r="226" spans="6:29">
      <c r="F226" t="str">
        <f>_xlfn.XLOOKUP(H226,Models!B:B,Models!F:F,"")</f>
        <v/>
      </c>
      <c r="K226">
        <f>_xlfn.XLOOKUP(B226,CPU_Formula!A:A,CPU_Formula!I:I)</f>
        <v>0</v>
      </c>
      <c r="L226" s="13" t="e">
        <f>INDEX(Input!$D$2:$AD$500,
       MATCH(B226, Input!$J$2:$J$500, 0),
       MATCH("Memory Capacity", Input!$D$1:$AD$1, 0))</f>
        <v>#N/A</v>
      </c>
      <c r="M226" s="13" t="e">
        <f>INDEX(Input!$D$2:$AD$500,
       MATCH(B226, Input!$J$2:$J$500, 0),
       MATCH("Memory Type", Input!$D$1:$AD$1, 0))</f>
        <v>#N/A</v>
      </c>
      <c r="N226" s="13" t="e">
        <f t="shared" si="8"/>
        <v>#N/A</v>
      </c>
      <c r="S226" s="13" t="str">
        <f>_xlfn.LET(_xlpm.Result,_xlfn.XLOOKUP(B226,Input!J:J,Input!AB:AB),IF(_xlpm.Result="","",_xlpm.Result))</f>
        <v/>
      </c>
      <c r="T226" s="13" t="str" cm="1">
        <f t="array" ref="T226">IFERROR(_xlfn.IFS(
   --S226&lt;55,"Battery Defect",
  -- S226&lt;=69,"Battery D",
  --S226&lt;=80,"Battery C",
 --S226&gt;80,""
),"")</f>
        <v/>
      </c>
      <c r="U226" s="13" t="str" cm="1">
        <f t="array" ref="U226:Z226">IFERROR(IF(_xlfn.XLOOKUP(B226,Input!J:J,Input!N:S)=0,"",
          _xlfn.XLOOKUP(B226,Input!J:J,Input!N:S)),"")</f>
        <v/>
      </c>
      <c r="V226" s="13" t="str">
        <v/>
      </c>
      <c r="W226" s="13" t="str">
        <v/>
      </c>
      <c r="X226" s="13" t="str">
        <v/>
      </c>
      <c r="Y226" s="13" t="str">
        <v/>
      </c>
      <c r="Z226" s="13" t="str">
        <v/>
      </c>
      <c r="AA226" t="str">
        <f t="shared" si="9"/>
        <v/>
      </c>
      <c r="AB226" t="str">
        <f>_xlfn.XLOOKUP(B:B,Disk_Pivot!G:G,Disk_Pivot!I:I)</f>
        <v>No</v>
      </c>
      <c r="AC226" t="str">
        <f>_xlfn.XLOOKUP(B226,Disk_Pivot!G:G,Disk_Pivot!N:N)</f>
        <v/>
      </c>
    </row>
    <row r="227" spans="6:29">
      <c r="F227" t="str">
        <f>_xlfn.XLOOKUP(H227,Models!B:B,Models!F:F,"")</f>
        <v/>
      </c>
      <c r="K227">
        <f>_xlfn.XLOOKUP(B227,CPU_Formula!A:A,CPU_Formula!I:I)</f>
        <v>0</v>
      </c>
      <c r="L227" s="13" t="e">
        <f>INDEX(Input!$D$2:$AD$500,
       MATCH(B227, Input!$J$2:$J$500, 0),
       MATCH("Memory Capacity", Input!$D$1:$AD$1, 0))</f>
        <v>#N/A</v>
      </c>
      <c r="M227" s="13" t="e">
        <f>INDEX(Input!$D$2:$AD$500,
       MATCH(B227, Input!$J$2:$J$500, 0),
       MATCH("Memory Type", Input!$D$1:$AD$1, 0))</f>
        <v>#N/A</v>
      </c>
      <c r="N227" s="13" t="e">
        <f t="shared" si="8"/>
        <v>#N/A</v>
      </c>
      <c r="S227" s="13" t="str">
        <f>_xlfn.LET(_xlpm.Result,_xlfn.XLOOKUP(B227,Input!J:J,Input!AB:AB),IF(_xlpm.Result="","",_xlpm.Result))</f>
        <v/>
      </c>
      <c r="T227" s="13" t="str" cm="1">
        <f t="array" ref="T227">IFERROR(_xlfn.IFS(
   --S227&lt;55,"Battery Defect",
  -- S227&lt;=69,"Battery D",
  --S227&lt;=80,"Battery C",
 --S227&gt;80,""
),"")</f>
        <v/>
      </c>
      <c r="U227" s="13" t="str" cm="1">
        <f t="array" ref="U227:Z227">IFERROR(IF(_xlfn.XLOOKUP(B227,Input!J:J,Input!N:S)=0,"",
          _xlfn.XLOOKUP(B227,Input!J:J,Input!N:S)),"")</f>
        <v/>
      </c>
      <c r="V227" s="13" t="str">
        <v/>
      </c>
      <c r="W227" s="13" t="str">
        <v/>
      </c>
      <c r="X227" s="13" t="str">
        <v/>
      </c>
      <c r="Y227" s="13" t="str">
        <v/>
      </c>
      <c r="Z227" s="13" t="str">
        <v/>
      </c>
      <c r="AA227" t="str">
        <f t="shared" si="9"/>
        <v/>
      </c>
      <c r="AB227" t="str">
        <f>_xlfn.XLOOKUP(B:B,Disk_Pivot!G:G,Disk_Pivot!I:I)</f>
        <v>No</v>
      </c>
      <c r="AC227" t="str">
        <f>_xlfn.XLOOKUP(B227,Disk_Pivot!G:G,Disk_Pivot!N:N)</f>
        <v/>
      </c>
    </row>
    <row r="228" spans="6:29">
      <c r="F228" t="str">
        <f>_xlfn.XLOOKUP(H228,Models!B:B,Models!F:F,"")</f>
        <v/>
      </c>
      <c r="K228">
        <f>_xlfn.XLOOKUP(B228,CPU_Formula!A:A,CPU_Formula!I:I)</f>
        <v>0</v>
      </c>
      <c r="L228" s="13" t="e">
        <f>INDEX(Input!$D$2:$AD$500,
       MATCH(B228, Input!$J$2:$J$500, 0),
       MATCH("Memory Capacity", Input!$D$1:$AD$1, 0))</f>
        <v>#N/A</v>
      </c>
      <c r="M228" s="13" t="e">
        <f>INDEX(Input!$D$2:$AD$500,
       MATCH(B228, Input!$J$2:$J$500, 0),
       MATCH("Memory Type", Input!$D$1:$AD$1, 0))</f>
        <v>#N/A</v>
      </c>
      <c r="N228" s="13" t="e">
        <f t="shared" si="8"/>
        <v>#N/A</v>
      </c>
      <c r="S228" s="13" t="str">
        <f>_xlfn.LET(_xlpm.Result,_xlfn.XLOOKUP(B228,Input!J:J,Input!AB:AB),IF(_xlpm.Result="","",_xlpm.Result))</f>
        <v/>
      </c>
      <c r="T228" s="13" t="str" cm="1">
        <f t="array" ref="T228">IFERROR(_xlfn.IFS(
   --S228&lt;55,"Battery Defect",
  -- S228&lt;=69,"Battery D",
  --S228&lt;=80,"Battery C",
 --S228&gt;80,""
),"")</f>
        <v/>
      </c>
      <c r="U228" s="13" t="str" cm="1">
        <f t="array" ref="U228:Z228">IFERROR(IF(_xlfn.XLOOKUP(B228,Input!J:J,Input!N:S)=0,"",
          _xlfn.XLOOKUP(B228,Input!J:J,Input!N:S)),"")</f>
        <v/>
      </c>
      <c r="V228" s="13" t="str">
        <v/>
      </c>
      <c r="W228" s="13" t="str">
        <v/>
      </c>
      <c r="X228" s="13" t="str">
        <v/>
      </c>
      <c r="Y228" s="13" t="str">
        <v/>
      </c>
      <c r="Z228" s="13" t="str">
        <v/>
      </c>
      <c r="AA228" t="str">
        <f t="shared" si="9"/>
        <v/>
      </c>
      <c r="AB228" t="str">
        <f>_xlfn.XLOOKUP(B:B,Disk_Pivot!G:G,Disk_Pivot!I:I)</f>
        <v>No</v>
      </c>
      <c r="AC228" t="str">
        <f>_xlfn.XLOOKUP(B228,Disk_Pivot!G:G,Disk_Pivot!N:N)</f>
        <v/>
      </c>
    </row>
    <row r="229" spans="6:29">
      <c r="F229" t="str">
        <f>_xlfn.XLOOKUP(H229,Models!B:B,Models!F:F,"")</f>
        <v/>
      </c>
      <c r="K229">
        <f>_xlfn.XLOOKUP(B229,CPU_Formula!A:A,CPU_Formula!I:I)</f>
        <v>0</v>
      </c>
      <c r="L229" s="13" t="e">
        <f>INDEX(Input!$D$2:$AD$500,
       MATCH(B229, Input!$J$2:$J$500, 0),
       MATCH("Memory Capacity", Input!$D$1:$AD$1, 0))</f>
        <v>#N/A</v>
      </c>
      <c r="M229" s="13" t="e">
        <f>INDEX(Input!$D$2:$AD$500,
       MATCH(B229, Input!$J$2:$J$500, 0),
       MATCH("Memory Type", Input!$D$1:$AD$1, 0))</f>
        <v>#N/A</v>
      </c>
      <c r="N229" s="13" t="e">
        <f t="shared" si="8"/>
        <v>#N/A</v>
      </c>
      <c r="S229" s="13" t="str">
        <f>_xlfn.LET(_xlpm.Result,_xlfn.XLOOKUP(B229,Input!J:J,Input!AB:AB),IF(_xlpm.Result="","",_xlpm.Result))</f>
        <v/>
      </c>
      <c r="T229" s="13" t="str" cm="1">
        <f t="array" ref="T229">IFERROR(_xlfn.IFS(
   --S229&lt;55,"Battery Defect",
  -- S229&lt;=69,"Battery D",
  --S229&lt;=80,"Battery C",
 --S229&gt;80,""
),"")</f>
        <v/>
      </c>
      <c r="U229" s="13" t="str" cm="1">
        <f t="array" ref="U229:Z229">IFERROR(IF(_xlfn.XLOOKUP(B229,Input!J:J,Input!N:S)=0,"",
          _xlfn.XLOOKUP(B229,Input!J:J,Input!N:S)),"")</f>
        <v/>
      </c>
      <c r="V229" s="13" t="str">
        <v/>
      </c>
      <c r="W229" s="13" t="str">
        <v/>
      </c>
      <c r="X229" s="13" t="str">
        <v/>
      </c>
      <c r="Y229" s="13" t="str">
        <v/>
      </c>
      <c r="Z229" s="13" t="str">
        <v/>
      </c>
      <c r="AA229" t="str">
        <f t="shared" si="9"/>
        <v/>
      </c>
      <c r="AB229" t="str">
        <f>_xlfn.XLOOKUP(B:B,Disk_Pivot!G:G,Disk_Pivot!I:I)</f>
        <v>No</v>
      </c>
      <c r="AC229" t="str">
        <f>_xlfn.XLOOKUP(B229,Disk_Pivot!G:G,Disk_Pivot!N:N)</f>
        <v/>
      </c>
    </row>
    <row r="230" spans="6:29">
      <c r="F230" t="str">
        <f>_xlfn.XLOOKUP(H230,Models!B:B,Models!F:F,"")</f>
        <v/>
      </c>
      <c r="K230">
        <f>_xlfn.XLOOKUP(B230,CPU_Formula!A:A,CPU_Formula!I:I)</f>
        <v>0</v>
      </c>
      <c r="L230" s="13" t="e">
        <f>INDEX(Input!$D$2:$AD$500,
       MATCH(B230, Input!$J$2:$J$500, 0),
       MATCH("Memory Capacity", Input!$D$1:$AD$1, 0))</f>
        <v>#N/A</v>
      </c>
      <c r="M230" s="13" t="e">
        <f>INDEX(Input!$D$2:$AD$500,
       MATCH(B230, Input!$J$2:$J$500, 0),
       MATCH("Memory Type", Input!$D$1:$AD$1, 0))</f>
        <v>#N/A</v>
      </c>
      <c r="N230" s="13" t="e">
        <f t="shared" si="8"/>
        <v>#N/A</v>
      </c>
      <c r="S230" s="13" t="str">
        <f>_xlfn.LET(_xlpm.Result,_xlfn.XLOOKUP(B230,Input!J:J,Input!AB:AB),IF(_xlpm.Result="","",_xlpm.Result))</f>
        <v/>
      </c>
      <c r="T230" s="13" t="str" cm="1">
        <f t="array" ref="T230">IFERROR(_xlfn.IFS(
   --S230&lt;55,"Battery Defect",
  -- S230&lt;=69,"Battery D",
  --S230&lt;=80,"Battery C",
 --S230&gt;80,""
),"")</f>
        <v/>
      </c>
      <c r="U230" s="13" t="str" cm="1">
        <f t="array" ref="U230:Z230">IFERROR(IF(_xlfn.XLOOKUP(B230,Input!J:J,Input!N:S)=0,"",
          _xlfn.XLOOKUP(B230,Input!J:J,Input!N:S)),"")</f>
        <v/>
      </c>
      <c r="V230" s="13" t="str">
        <v/>
      </c>
      <c r="W230" s="13" t="str">
        <v/>
      </c>
      <c r="X230" s="13" t="str">
        <v/>
      </c>
      <c r="Y230" s="13" t="str">
        <v/>
      </c>
      <c r="Z230" s="13" t="str">
        <v/>
      </c>
      <c r="AA230" t="str">
        <f t="shared" si="9"/>
        <v/>
      </c>
      <c r="AB230" t="str">
        <f>_xlfn.XLOOKUP(B:B,Disk_Pivot!G:G,Disk_Pivot!I:I)</f>
        <v>No</v>
      </c>
      <c r="AC230" t="str">
        <f>_xlfn.XLOOKUP(B230,Disk_Pivot!G:G,Disk_Pivot!N:N)</f>
        <v/>
      </c>
    </row>
    <row r="231" spans="6:29">
      <c r="F231" t="str">
        <f>_xlfn.XLOOKUP(H231,Models!B:B,Models!F:F,"")</f>
        <v/>
      </c>
      <c r="K231">
        <f>_xlfn.XLOOKUP(B231,CPU_Formula!A:A,CPU_Formula!I:I)</f>
        <v>0</v>
      </c>
      <c r="L231" s="13" t="e">
        <f>INDEX(Input!$D$2:$AD$500,
       MATCH(B231, Input!$J$2:$J$500, 0),
       MATCH("Memory Capacity", Input!$D$1:$AD$1, 0))</f>
        <v>#N/A</v>
      </c>
      <c r="M231" s="13" t="e">
        <f>INDEX(Input!$D$2:$AD$500,
       MATCH(B231, Input!$J$2:$J$500, 0),
       MATCH("Memory Type", Input!$D$1:$AD$1, 0))</f>
        <v>#N/A</v>
      </c>
      <c r="N231" s="13" t="e">
        <f t="shared" si="8"/>
        <v>#N/A</v>
      </c>
      <c r="S231" s="13" t="str">
        <f>_xlfn.LET(_xlpm.Result,_xlfn.XLOOKUP(B231,Input!J:J,Input!AB:AB),IF(_xlpm.Result="","",_xlpm.Result))</f>
        <v/>
      </c>
      <c r="T231" s="13" t="str" cm="1">
        <f t="array" ref="T231">IFERROR(_xlfn.IFS(
   --S231&lt;55,"Battery Defect",
  -- S231&lt;=69,"Battery D",
  --S231&lt;=80,"Battery C",
 --S231&gt;80,""
),"")</f>
        <v/>
      </c>
      <c r="U231" s="13" t="str" cm="1">
        <f t="array" ref="U231:Z231">IFERROR(IF(_xlfn.XLOOKUP(B231,Input!J:J,Input!N:S)=0,"",
          _xlfn.XLOOKUP(B231,Input!J:J,Input!N:S)),"")</f>
        <v/>
      </c>
      <c r="V231" s="13" t="str">
        <v/>
      </c>
      <c r="W231" s="13" t="str">
        <v/>
      </c>
      <c r="X231" s="13" t="str">
        <v/>
      </c>
      <c r="Y231" s="13" t="str">
        <v/>
      </c>
      <c r="Z231" s="13" t="str">
        <v/>
      </c>
      <c r="AA231" t="str">
        <f t="shared" si="9"/>
        <v/>
      </c>
      <c r="AB231" t="str">
        <f>_xlfn.XLOOKUP(B:B,Disk_Pivot!G:G,Disk_Pivot!I:I)</f>
        <v>No</v>
      </c>
      <c r="AC231" t="str">
        <f>_xlfn.XLOOKUP(B231,Disk_Pivot!G:G,Disk_Pivot!N:N)</f>
        <v/>
      </c>
    </row>
    <row r="232" spans="6:29">
      <c r="F232" t="str">
        <f>_xlfn.XLOOKUP(H232,Models!B:B,Models!F:F,"")</f>
        <v/>
      </c>
      <c r="K232">
        <f>_xlfn.XLOOKUP(B232,CPU_Formula!A:A,CPU_Formula!I:I)</f>
        <v>0</v>
      </c>
      <c r="L232" s="13" t="e">
        <f>INDEX(Input!$D$2:$AD$500,
       MATCH(B232, Input!$J$2:$J$500, 0),
       MATCH("Memory Capacity", Input!$D$1:$AD$1, 0))</f>
        <v>#N/A</v>
      </c>
      <c r="M232" s="13" t="e">
        <f>INDEX(Input!$D$2:$AD$500,
       MATCH(B232, Input!$J$2:$J$500, 0),
       MATCH("Memory Type", Input!$D$1:$AD$1, 0))</f>
        <v>#N/A</v>
      </c>
      <c r="N232" s="13" t="e">
        <f t="shared" si="8"/>
        <v>#N/A</v>
      </c>
      <c r="S232" s="13" t="str">
        <f>_xlfn.LET(_xlpm.Result,_xlfn.XLOOKUP(B232,Input!J:J,Input!AB:AB),IF(_xlpm.Result="","",_xlpm.Result))</f>
        <v/>
      </c>
      <c r="T232" s="13" t="str" cm="1">
        <f t="array" ref="T232">IFERROR(_xlfn.IFS(
   --S232&lt;55,"Battery Defect",
  -- S232&lt;=69,"Battery D",
  --S232&lt;=80,"Battery C",
 --S232&gt;80,""
),"")</f>
        <v/>
      </c>
      <c r="U232" s="13" t="str" cm="1">
        <f t="array" ref="U232:Z232">IFERROR(IF(_xlfn.XLOOKUP(B232,Input!J:J,Input!N:S)=0,"",
          _xlfn.XLOOKUP(B232,Input!J:J,Input!N:S)),"")</f>
        <v/>
      </c>
      <c r="V232" s="13" t="str">
        <v/>
      </c>
      <c r="W232" s="13" t="str">
        <v/>
      </c>
      <c r="X232" s="13" t="str">
        <v/>
      </c>
      <c r="Y232" s="13" t="str">
        <v/>
      </c>
      <c r="Z232" s="13" t="str">
        <v/>
      </c>
      <c r="AA232" t="str">
        <f t="shared" si="9"/>
        <v/>
      </c>
      <c r="AB232" t="str">
        <f>_xlfn.XLOOKUP(B:B,Disk_Pivot!G:G,Disk_Pivot!I:I)</f>
        <v>No</v>
      </c>
      <c r="AC232" t="str">
        <f>_xlfn.XLOOKUP(B232,Disk_Pivot!G:G,Disk_Pivot!N:N)</f>
        <v/>
      </c>
    </row>
    <row r="233" spans="6:29">
      <c r="F233" t="str">
        <f>_xlfn.XLOOKUP(H233,Models!B:B,Models!F:F,"")</f>
        <v/>
      </c>
      <c r="K233">
        <f>_xlfn.XLOOKUP(B233,CPU_Formula!A:A,CPU_Formula!I:I)</f>
        <v>0</v>
      </c>
      <c r="L233" s="13" t="e">
        <f>INDEX(Input!$D$2:$AD$500,
       MATCH(B233, Input!$J$2:$J$500, 0),
       MATCH("Memory Capacity", Input!$D$1:$AD$1, 0))</f>
        <v>#N/A</v>
      </c>
      <c r="M233" s="13" t="e">
        <f>INDEX(Input!$D$2:$AD$500,
       MATCH(B233, Input!$J$2:$J$500, 0),
       MATCH("Memory Type", Input!$D$1:$AD$1, 0))</f>
        <v>#N/A</v>
      </c>
      <c r="N233" s="13" t="e">
        <f t="shared" si="8"/>
        <v>#N/A</v>
      </c>
      <c r="S233" s="13" t="str">
        <f>_xlfn.LET(_xlpm.Result,_xlfn.XLOOKUP(B233,Input!J:J,Input!AB:AB),IF(_xlpm.Result="","",_xlpm.Result))</f>
        <v/>
      </c>
      <c r="T233" s="13" t="str" cm="1">
        <f t="array" ref="T233">IFERROR(_xlfn.IFS(
   --S233&lt;55,"Battery Defect",
  -- S233&lt;=69,"Battery D",
  --S233&lt;=80,"Battery C",
 --S233&gt;80,""
),"")</f>
        <v/>
      </c>
      <c r="U233" s="13" t="str" cm="1">
        <f t="array" ref="U233:Z233">IFERROR(IF(_xlfn.XLOOKUP(B233,Input!J:J,Input!N:S)=0,"",
          _xlfn.XLOOKUP(B233,Input!J:J,Input!N:S)),"")</f>
        <v/>
      </c>
      <c r="V233" s="13" t="str">
        <v/>
      </c>
      <c r="W233" s="13" t="str">
        <v/>
      </c>
      <c r="X233" s="13" t="str">
        <v/>
      </c>
      <c r="Y233" s="13" t="str">
        <v/>
      </c>
      <c r="Z233" s="13" t="str">
        <v/>
      </c>
      <c r="AA233" t="str">
        <f t="shared" si="9"/>
        <v/>
      </c>
      <c r="AB233" t="str">
        <f>_xlfn.XLOOKUP(B:B,Disk_Pivot!G:G,Disk_Pivot!I:I)</f>
        <v>No</v>
      </c>
      <c r="AC233" t="str">
        <f>_xlfn.XLOOKUP(B233,Disk_Pivot!G:G,Disk_Pivot!N:N)</f>
        <v/>
      </c>
    </row>
    <row r="234" spans="6:29">
      <c r="F234" t="str">
        <f>_xlfn.XLOOKUP(H234,Models!B:B,Models!F:F,"")</f>
        <v/>
      </c>
      <c r="K234">
        <f>_xlfn.XLOOKUP(B234,CPU_Formula!A:A,CPU_Formula!I:I)</f>
        <v>0</v>
      </c>
      <c r="L234" s="13" t="e">
        <f>INDEX(Input!$D$2:$AD$500,
       MATCH(B234, Input!$J$2:$J$500, 0),
       MATCH("Memory Capacity", Input!$D$1:$AD$1, 0))</f>
        <v>#N/A</v>
      </c>
      <c r="M234" s="13" t="e">
        <f>INDEX(Input!$D$2:$AD$500,
       MATCH(B234, Input!$J$2:$J$500, 0),
       MATCH("Memory Type", Input!$D$1:$AD$1, 0))</f>
        <v>#N/A</v>
      </c>
      <c r="N234" s="13" t="e">
        <f t="shared" si="8"/>
        <v>#N/A</v>
      </c>
      <c r="S234" s="13" t="str">
        <f>_xlfn.LET(_xlpm.Result,_xlfn.XLOOKUP(B234,Input!J:J,Input!AB:AB),IF(_xlpm.Result="","",_xlpm.Result))</f>
        <v/>
      </c>
      <c r="T234" s="13" t="str" cm="1">
        <f t="array" ref="T234">IFERROR(_xlfn.IFS(
   --S234&lt;55,"Battery Defect",
  -- S234&lt;=69,"Battery D",
  --S234&lt;=80,"Battery C",
 --S234&gt;80,""
),"")</f>
        <v/>
      </c>
      <c r="U234" s="13" t="str" cm="1">
        <f t="array" ref="U234:Z234">IFERROR(IF(_xlfn.XLOOKUP(B234,Input!J:J,Input!N:S)=0,"",
          _xlfn.XLOOKUP(B234,Input!J:J,Input!N:S)),"")</f>
        <v/>
      </c>
      <c r="V234" s="13" t="str">
        <v/>
      </c>
      <c r="W234" s="13" t="str">
        <v/>
      </c>
      <c r="X234" s="13" t="str">
        <v/>
      </c>
      <c r="Y234" s="13" t="str">
        <v/>
      </c>
      <c r="Z234" s="13" t="str">
        <v/>
      </c>
      <c r="AA234" t="str">
        <f t="shared" si="9"/>
        <v/>
      </c>
      <c r="AB234" t="str">
        <f>_xlfn.XLOOKUP(B:B,Disk_Pivot!G:G,Disk_Pivot!I:I)</f>
        <v>No</v>
      </c>
      <c r="AC234" t="str">
        <f>_xlfn.XLOOKUP(B234,Disk_Pivot!G:G,Disk_Pivot!N:N)</f>
        <v/>
      </c>
    </row>
    <row r="235" spans="6:29">
      <c r="F235" t="str">
        <f>_xlfn.XLOOKUP(H235,Models!B:B,Models!F:F,"")</f>
        <v/>
      </c>
      <c r="K235">
        <f>_xlfn.XLOOKUP(B235,CPU_Formula!A:A,CPU_Formula!I:I)</f>
        <v>0</v>
      </c>
      <c r="L235" s="13" t="e">
        <f>INDEX(Input!$D$2:$AD$500,
       MATCH(B235, Input!$J$2:$J$500, 0),
       MATCH("Memory Capacity", Input!$D$1:$AD$1, 0))</f>
        <v>#N/A</v>
      </c>
      <c r="M235" s="13" t="e">
        <f>INDEX(Input!$D$2:$AD$500,
       MATCH(B235, Input!$J$2:$J$500, 0),
       MATCH("Memory Type", Input!$D$1:$AD$1, 0))</f>
        <v>#N/A</v>
      </c>
      <c r="N235" s="13" t="e">
        <f t="shared" si="8"/>
        <v>#N/A</v>
      </c>
      <c r="S235" s="13" t="str">
        <f>_xlfn.LET(_xlpm.Result,_xlfn.XLOOKUP(B235,Input!J:J,Input!AB:AB),IF(_xlpm.Result="","",_xlpm.Result))</f>
        <v/>
      </c>
      <c r="T235" s="13" t="str" cm="1">
        <f t="array" ref="T235">IFERROR(_xlfn.IFS(
   --S235&lt;55,"Battery Defect",
  -- S235&lt;=69,"Battery D",
  --S235&lt;=80,"Battery C",
 --S235&gt;80,""
),"")</f>
        <v/>
      </c>
      <c r="U235" s="13" t="str" cm="1">
        <f t="array" ref="U235:Z235">IFERROR(IF(_xlfn.XLOOKUP(B235,Input!J:J,Input!N:S)=0,"",
          _xlfn.XLOOKUP(B235,Input!J:J,Input!N:S)),"")</f>
        <v/>
      </c>
      <c r="V235" s="13" t="str">
        <v/>
      </c>
      <c r="W235" s="13" t="str">
        <v/>
      </c>
      <c r="X235" s="13" t="str">
        <v/>
      </c>
      <c r="Y235" s="13" t="str">
        <v/>
      </c>
      <c r="Z235" s="13" t="str">
        <v/>
      </c>
      <c r="AA235" t="str">
        <f t="shared" si="9"/>
        <v/>
      </c>
      <c r="AB235" t="str">
        <f>_xlfn.XLOOKUP(B:B,Disk_Pivot!G:G,Disk_Pivot!I:I)</f>
        <v>No</v>
      </c>
      <c r="AC235" t="str">
        <f>_xlfn.XLOOKUP(B235,Disk_Pivot!G:G,Disk_Pivot!N:N)</f>
        <v/>
      </c>
    </row>
    <row r="236" spans="6:29">
      <c r="F236" t="str">
        <f>_xlfn.XLOOKUP(H236,Models!B:B,Models!F:F,"")</f>
        <v/>
      </c>
      <c r="K236">
        <f>_xlfn.XLOOKUP(B236,CPU_Formula!A:A,CPU_Formula!I:I)</f>
        <v>0</v>
      </c>
      <c r="L236" s="13" t="e">
        <f>INDEX(Input!$D$2:$AD$500,
       MATCH(B236, Input!$J$2:$J$500, 0),
       MATCH("Memory Capacity", Input!$D$1:$AD$1, 0))</f>
        <v>#N/A</v>
      </c>
      <c r="M236" s="13" t="e">
        <f>INDEX(Input!$D$2:$AD$500,
       MATCH(B236, Input!$J$2:$J$500, 0),
       MATCH("Memory Type", Input!$D$1:$AD$1, 0))</f>
        <v>#N/A</v>
      </c>
      <c r="N236" s="13" t="e">
        <f t="shared" si="8"/>
        <v>#N/A</v>
      </c>
      <c r="S236" s="13" t="str">
        <f>_xlfn.LET(_xlpm.Result,_xlfn.XLOOKUP(B236,Input!J:J,Input!AB:AB),IF(_xlpm.Result="","",_xlpm.Result))</f>
        <v/>
      </c>
      <c r="T236" s="13" t="str" cm="1">
        <f t="array" ref="T236">IFERROR(_xlfn.IFS(
   --S236&lt;55,"Battery Defect",
  -- S236&lt;=69,"Battery D",
  --S236&lt;=80,"Battery C",
 --S236&gt;80,""
),"")</f>
        <v/>
      </c>
      <c r="U236" s="13" t="str" cm="1">
        <f t="array" ref="U236:Z236">IFERROR(IF(_xlfn.XLOOKUP(B236,Input!J:J,Input!N:S)=0,"",
          _xlfn.XLOOKUP(B236,Input!J:J,Input!N:S)),"")</f>
        <v/>
      </c>
      <c r="V236" s="13" t="str">
        <v/>
      </c>
      <c r="W236" s="13" t="str">
        <v/>
      </c>
      <c r="X236" s="13" t="str">
        <v/>
      </c>
      <c r="Y236" s="13" t="str">
        <v/>
      </c>
      <c r="Z236" s="13" t="str">
        <v/>
      </c>
      <c r="AA236" t="str">
        <f t="shared" si="9"/>
        <v/>
      </c>
      <c r="AB236" t="str">
        <f>_xlfn.XLOOKUP(B:B,Disk_Pivot!G:G,Disk_Pivot!I:I)</f>
        <v>No</v>
      </c>
      <c r="AC236" t="str">
        <f>_xlfn.XLOOKUP(B236,Disk_Pivot!G:G,Disk_Pivot!N:N)</f>
        <v/>
      </c>
    </row>
    <row r="237" spans="6:29">
      <c r="F237" t="str">
        <f>_xlfn.XLOOKUP(H237,Models!B:B,Models!F:F,"")</f>
        <v/>
      </c>
      <c r="K237">
        <f>_xlfn.XLOOKUP(B237,CPU_Formula!A:A,CPU_Formula!I:I)</f>
        <v>0</v>
      </c>
      <c r="L237" s="13" t="e">
        <f>INDEX(Input!$D$2:$AD$500,
       MATCH(B237, Input!$J$2:$J$500, 0),
       MATCH("Memory Capacity", Input!$D$1:$AD$1, 0))</f>
        <v>#N/A</v>
      </c>
      <c r="M237" s="13" t="e">
        <f>INDEX(Input!$D$2:$AD$500,
       MATCH(B237, Input!$J$2:$J$500, 0),
       MATCH("Memory Type", Input!$D$1:$AD$1, 0))</f>
        <v>#N/A</v>
      </c>
      <c r="N237" s="13" t="e">
        <f t="shared" si="8"/>
        <v>#N/A</v>
      </c>
      <c r="S237" s="13" t="str">
        <f>_xlfn.LET(_xlpm.Result,_xlfn.XLOOKUP(B237,Input!J:J,Input!AB:AB),IF(_xlpm.Result="","",_xlpm.Result))</f>
        <v/>
      </c>
      <c r="T237" s="13" t="str" cm="1">
        <f t="array" ref="T237">IFERROR(_xlfn.IFS(
   --S237&lt;55,"Battery Defect",
  -- S237&lt;=69,"Battery D",
  --S237&lt;=80,"Battery C",
 --S237&gt;80,""
),"")</f>
        <v/>
      </c>
      <c r="U237" s="13" t="str" cm="1">
        <f t="array" ref="U237:Z237">IFERROR(IF(_xlfn.XLOOKUP(B237,Input!J:J,Input!N:S)=0,"",
          _xlfn.XLOOKUP(B237,Input!J:J,Input!N:S)),"")</f>
        <v/>
      </c>
      <c r="V237" s="13" t="str">
        <v/>
      </c>
      <c r="W237" s="13" t="str">
        <v/>
      </c>
      <c r="X237" s="13" t="str">
        <v/>
      </c>
      <c r="Y237" s="13" t="str">
        <v/>
      </c>
      <c r="Z237" s="13" t="str">
        <v/>
      </c>
      <c r="AA237" t="str">
        <f t="shared" si="9"/>
        <v/>
      </c>
      <c r="AB237" t="str">
        <f>_xlfn.XLOOKUP(B:B,Disk_Pivot!G:G,Disk_Pivot!I:I)</f>
        <v>No</v>
      </c>
      <c r="AC237" t="str">
        <f>_xlfn.XLOOKUP(B237,Disk_Pivot!G:G,Disk_Pivot!N:N)</f>
        <v/>
      </c>
    </row>
    <row r="238" spans="6:29">
      <c r="F238" t="str">
        <f>_xlfn.XLOOKUP(H238,Models!B:B,Models!F:F,"")</f>
        <v/>
      </c>
      <c r="K238">
        <f>_xlfn.XLOOKUP(B238,CPU_Formula!A:A,CPU_Formula!I:I)</f>
        <v>0</v>
      </c>
      <c r="L238" s="13" t="e">
        <f>INDEX(Input!$D$2:$AD$500,
       MATCH(B238, Input!$J$2:$J$500, 0),
       MATCH("Memory Capacity", Input!$D$1:$AD$1, 0))</f>
        <v>#N/A</v>
      </c>
      <c r="M238" s="13" t="e">
        <f>INDEX(Input!$D$2:$AD$500,
       MATCH(B238, Input!$J$2:$J$500, 0),
       MATCH("Memory Type", Input!$D$1:$AD$1, 0))</f>
        <v>#N/A</v>
      </c>
      <c r="N238" s="13" t="e">
        <f t="shared" si="8"/>
        <v>#N/A</v>
      </c>
      <c r="S238" s="13" t="str">
        <f>_xlfn.LET(_xlpm.Result,_xlfn.XLOOKUP(B238,Input!J:J,Input!AB:AB),IF(_xlpm.Result="","",_xlpm.Result))</f>
        <v/>
      </c>
      <c r="T238" s="13" t="str" cm="1">
        <f t="array" ref="T238">IFERROR(_xlfn.IFS(
   --S238&lt;55,"Battery Defect",
  -- S238&lt;=69,"Battery D",
  --S238&lt;=80,"Battery C",
 --S238&gt;80,""
),"")</f>
        <v/>
      </c>
      <c r="U238" s="13" t="str" cm="1">
        <f t="array" ref="U238:Z238">IFERROR(IF(_xlfn.XLOOKUP(B238,Input!J:J,Input!N:S)=0,"",
          _xlfn.XLOOKUP(B238,Input!J:J,Input!N:S)),"")</f>
        <v/>
      </c>
      <c r="V238" s="13" t="str">
        <v/>
      </c>
      <c r="W238" s="13" t="str">
        <v/>
      </c>
      <c r="X238" s="13" t="str">
        <v/>
      </c>
      <c r="Y238" s="13" t="str">
        <v/>
      </c>
      <c r="Z238" s="13" t="str">
        <v/>
      </c>
      <c r="AA238" t="str">
        <f t="shared" si="9"/>
        <v/>
      </c>
      <c r="AB238" t="str">
        <f>_xlfn.XLOOKUP(B:B,Disk_Pivot!G:G,Disk_Pivot!I:I)</f>
        <v>No</v>
      </c>
      <c r="AC238" t="str">
        <f>_xlfn.XLOOKUP(B238,Disk_Pivot!G:G,Disk_Pivot!N:N)</f>
        <v/>
      </c>
    </row>
    <row r="239" spans="6:29">
      <c r="F239" t="str">
        <f>_xlfn.XLOOKUP(H239,Models!B:B,Models!F:F,"")</f>
        <v/>
      </c>
      <c r="K239">
        <f>_xlfn.XLOOKUP(B239,CPU_Formula!A:A,CPU_Formula!I:I)</f>
        <v>0</v>
      </c>
      <c r="L239" s="13" t="e">
        <f>INDEX(Input!$D$2:$AD$500,
       MATCH(B239, Input!$J$2:$J$500, 0),
       MATCH("Memory Capacity", Input!$D$1:$AD$1, 0))</f>
        <v>#N/A</v>
      </c>
      <c r="M239" s="13" t="e">
        <f>INDEX(Input!$D$2:$AD$500,
       MATCH(B239, Input!$J$2:$J$500, 0),
       MATCH("Memory Type", Input!$D$1:$AD$1, 0))</f>
        <v>#N/A</v>
      </c>
      <c r="N239" s="13" t="e">
        <f t="shared" si="8"/>
        <v>#N/A</v>
      </c>
      <c r="S239" s="13" t="str">
        <f>_xlfn.LET(_xlpm.Result,_xlfn.XLOOKUP(B239,Input!J:J,Input!AB:AB),IF(_xlpm.Result="","",_xlpm.Result))</f>
        <v/>
      </c>
      <c r="T239" s="13" t="str" cm="1">
        <f t="array" ref="T239">IFERROR(_xlfn.IFS(
   --S239&lt;55,"Battery Defect",
  -- S239&lt;=69,"Battery D",
  --S239&lt;=80,"Battery C",
 --S239&gt;80,""
),"")</f>
        <v/>
      </c>
      <c r="U239" s="13" t="str" cm="1">
        <f t="array" ref="U239:Z239">IFERROR(IF(_xlfn.XLOOKUP(B239,Input!J:J,Input!N:S)=0,"",
          _xlfn.XLOOKUP(B239,Input!J:J,Input!N:S)),"")</f>
        <v/>
      </c>
      <c r="V239" s="13" t="str">
        <v/>
      </c>
      <c r="W239" s="13" t="str">
        <v/>
      </c>
      <c r="X239" s="13" t="str">
        <v/>
      </c>
      <c r="Y239" s="13" t="str">
        <v/>
      </c>
      <c r="Z239" s="13" t="str">
        <v/>
      </c>
      <c r="AA239" t="str">
        <f t="shared" si="9"/>
        <v/>
      </c>
      <c r="AB239" t="str">
        <f>_xlfn.XLOOKUP(B:B,Disk_Pivot!G:G,Disk_Pivot!I:I)</f>
        <v>No</v>
      </c>
      <c r="AC239" t="str">
        <f>_xlfn.XLOOKUP(B239,Disk_Pivot!G:G,Disk_Pivot!N:N)</f>
        <v/>
      </c>
    </row>
    <row r="240" spans="6:29">
      <c r="F240" t="str">
        <f>_xlfn.XLOOKUP(H240,Models!B:B,Models!F:F,"")</f>
        <v/>
      </c>
      <c r="K240">
        <f>_xlfn.XLOOKUP(B240,CPU_Formula!A:A,CPU_Formula!I:I)</f>
        <v>0</v>
      </c>
      <c r="L240" s="13" t="e">
        <f>INDEX(Input!$D$2:$AD$500,
       MATCH(B240, Input!$J$2:$J$500, 0),
       MATCH("Memory Capacity", Input!$D$1:$AD$1, 0))</f>
        <v>#N/A</v>
      </c>
      <c r="M240" s="13" t="e">
        <f>INDEX(Input!$D$2:$AD$500,
       MATCH(B240, Input!$J$2:$J$500, 0),
       MATCH("Memory Type", Input!$D$1:$AD$1, 0))</f>
        <v>#N/A</v>
      </c>
      <c r="N240" s="13" t="e">
        <f t="shared" si="8"/>
        <v>#N/A</v>
      </c>
      <c r="S240" s="13" t="str">
        <f>_xlfn.LET(_xlpm.Result,_xlfn.XLOOKUP(B240,Input!J:J,Input!AB:AB),IF(_xlpm.Result="","",_xlpm.Result))</f>
        <v/>
      </c>
      <c r="T240" s="13" t="str" cm="1">
        <f t="array" ref="T240">IFERROR(_xlfn.IFS(
   --S240&lt;55,"Battery Defect",
  -- S240&lt;=69,"Battery D",
  --S240&lt;=80,"Battery C",
 --S240&gt;80,""
),"")</f>
        <v/>
      </c>
      <c r="U240" s="13" t="str" cm="1">
        <f t="array" ref="U240:Z240">IFERROR(IF(_xlfn.XLOOKUP(B240,Input!J:J,Input!N:S)=0,"",
          _xlfn.XLOOKUP(B240,Input!J:J,Input!N:S)),"")</f>
        <v/>
      </c>
      <c r="V240" s="13" t="str">
        <v/>
      </c>
      <c r="W240" s="13" t="str">
        <v/>
      </c>
      <c r="X240" s="13" t="str">
        <v/>
      </c>
      <c r="Y240" s="13" t="str">
        <v/>
      </c>
      <c r="Z240" s="13" t="str">
        <v/>
      </c>
      <c r="AA240" t="str">
        <f t="shared" si="9"/>
        <v/>
      </c>
      <c r="AB240" t="str">
        <f>_xlfn.XLOOKUP(B:B,Disk_Pivot!G:G,Disk_Pivot!I:I)</f>
        <v>No</v>
      </c>
      <c r="AC240" t="str">
        <f>_xlfn.XLOOKUP(B240,Disk_Pivot!G:G,Disk_Pivot!N:N)</f>
        <v/>
      </c>
    </row>
    <row r="241" spans="6:29">
      <c r="F241" t="str">
        <f>_xlfn.XLOOKUP(H241,Models!B:B,Models!F:F,"")</f>
        <v/>
      </c>
      <c r="K241">
        <f>_xlfn.XLOOKUP(B241,CPU_Formula!A:A,CPU_Formula!I:I)</f>
        <v>0</v>
      </c>
      <c r="L241" s="13" t="e">
        <f>INDEX(Input!$D$2:$AD$500,
       MATCH(B241, Input!$J$2:$J$500, 0),
       MATCH("Memory Capacity", Input!$D$1:$AD$1, 0))</f>
        <v>#N/A</v>
      </c>
      <c r="M241" s="13" t="e">
        <f>INDEX(Input!$D$2:$AD$500,
       MATCH(B241, Input!$J$2:$J$500, 0),
       MATCH("Memory Type", Input!$D$1:$AD$1, 0))</f>
        <v>#N/A</v>
      </c>
      <c r="N241" s="13" t="e">
        <f t="shared" si="8"/>
        <v>#N/A</v>
      </c>
      <c r="S241" s="13" t="str">
        <f>_xlfn.LET(_xlpm.Result,_xlfn.XLOOKUP(B241,Input!J:J,Input!AB:AB),IF(_xlpm.Result="","",_xlpm.Result))</f>
        <v/>
      </c>
      <c r="T241" s="13" t="str" cm="1">
        <f t="array" ref="T241">IFERROR(_xlfn.IFS(
   --S241&lt;55,"Battery Defect",
  -- S241&lt;=69,"Battery D",
  --S241&lt;=80,"Battery C",
 --S241&gt;80,""
),"")</f>
        <v/>
      </c>
      <c r="U241" s="13" t="str" cm="1">
        <f t="array" ref="U241:Z241">IFERROR(IF(_xlfn.XLOOKUP(B241,Input!J:J,Input!N:S)=0,"",
          _xlfn.XLOOKUP(B241,Input!J:J,Input!N:S)),"")</f>
        <v/>
      </c>
      <c r="V241" s="13" t="str">
        <v/>
      </c>
      <c r="W241" s="13" t="str">
        <v/>
      </c>
      <c r="X241" s="13" t="str">
        <v/>
      </c>
      <c r="Y241" s="13" t="str">
        <v/>
      </c>
      <c r="Z241" s="13" t="str">
        <v/>
      </c>
      <c r="AA241" t="str">
        <f t="shared" si="9"/>
        <v/>
      </c>
      <c r="AB241" t="str">
        <f>_xlfn.XLOOKUP(B:B,Disk_Pivot!G:G,Disk_Pivot!I:I)</f>
        <v>No</v>
      </c>
      <c r="AC241" t="str">
        <f>_xlfn.XLOOKUP(B241,Disk_Pivot!G:G,Disk_Pivot!N:N)</f>
        <v/>
      </c>
    </row>
    <row r="242" spans="6:29">
      <c r="F242" t="str">
        <f>_xlfn.XLOOKUP(H242,Models!B:B,Models!F:F,"")</f>
        <v/>
      </c>
      <c r="K242">
        <f>_xlfn.XLOOKUP(B242,CPU_Formula!A:A,CPU_Formula!I:I)</f>
        <v>0</v>
      </c>
      <c r="L242" s="13" t="e">
        <f>INDEX(Input!$D$2:$AD$500,
       MATCH(B242, Input!$J$2:$J$500, 0),
       MATCH("Memory Capacity", Input!$D$1:$AD$1, 0))</f>
        <v>#N/A</v>
      </c>
      <c r="M242" s="13" t="e">
        <f>INDEX(Input!$D$2:$AD$500,
       MATCH(B242, Input!$J$2:$J$500, 0),
       MATCH("Memory Type", Input!$D$1:$AD$1, 0))</f>
        <v>#N/A</v>
      </c>
      <c r="N242" s="13" t="e">
        <f t="shared" si="8"/>
        <v>#N/A</v>
      </c>
      <c r="S242" s="13" t="str">
        <f>_xlfn.LET(_xlpm.Result,_xlfn.XLOOKUP(B242,Input!J:J,Input!AB:AB),IF(_xlpm.Result="","",_xlpm.Result))</f>
        <v/>
      </c>
      <c r="T242" s="13" t="str" cm="1">
        <f t="array" ref="T242">IFERROR(_xlfn.IFS(
   --S242&lt;55,"Battery Defect",
  -- S242&lt;=69,"Battery D",
  --S242&lt;=80,"Battery C",
 --S242&gt;80,""
),"")</f>
        <v/>
      </c>
      <c r="U242" s="13" t="str" cm="1">
        <f t="array" ref="U242:Z242">IFERROR(IF(_xlfn.XLOOKUP(B242,Input!J:J,Input!N:S)=0,"",
          _xlfn.XLOOKUP(B242,Input!J:J,Input!N:S)),"")</f>
        <v/>
      </c>
      <c r="V242" s="13" t="str">
        <v/>
      </c>
      <c r="W242" s="13" t="str">
        <v/>
      </c>
      <c r="X242" s="13" t="str">
        <v/>
      </c>
      <c r="Y242" s="13" t="str">
        <v/>
      </c>
      <c r="Z242" s="13" t="str">
        <v/>
      </c>
      <c r="AA242" t="str">
        <f t="shared" si="9"/>
        <v/>
      </c>
      <c r="AB242" t="str">
        <f>_xlfn.XLOOKUP(B:B,Disk_Pivot!G:G,Disk_Pivot!I:I)</f>
        <v>No</v>
      </c>
      <c r="AC242" t="str">
        <f>_xlfn.XLOOKUP(B242,Disk_Pivot!G:G,Disk_Pivot!N:N)</f>
        <v/>
      </c>
    </row>
    <row r="243" spans="6:29">
      <c r="F243" t="str">
        <f>_xlfn.XLOOKUP(H243,Models!B:B,Models!F:F,"")</f>
        <v/>
      </c>
      <c r="K243">
        <f>_xlfn.XLOOKUP(B243,CPU_Formula!A:A,CPU_Formula!I:I)</f>
        <v>0</v>
      </c>
      <c r="L243" s="13" t="e">
        <f>INDEX(Input!$D$2:$AD$500,
       MATCH(B243, Input!$J$2:$J$500, 0),
       MATCH("Memory Capacity", Input!$D$1:$AD$1, 0))</f>
        <v>#N/A</v>
      </c>
      <c r="M243" s="13" t="e">
        <f>INDEX(Input!$D$2:$AD$500,
       MATCH(B243, Input!$J$2:$J$500, 0),
       MATCH("Memory Type", Input!$D$1:$AD$1, 0))</f>
        <v>#N/A</v>
      </c>
      <c r="N243" s="13" t="e">
        <f t="shared" si="8"/>
        <v>#N/A</v>
      </c>
      <c r="S243" s="13" t="str">
        <f>_xlfn.LET(_xlpm.Result,_xlfn.XLOOKUP(B243,Input!J:J,Input!AB:AB),IF(_xlpm.Result="","",_xlpm.Result))</f>
        <v/>
      </c>
      <c r="T243" s="13" t="str" cm="1">
        <f t="array" ref="T243">IFERROR(_xlfn.IFS(
   --S243&lt;55,"Battery Defect",
  -- S243&lt;=69,"Battery D",
  --S243&lt;=80,"Battery C",
 --S243&gt;80,""
),"")</f>
        <v/>
      </c>
      <c r="U243" s="13" t="str" cm="1">
        <f t="array" ref="U243:Z243">IFERROR(IF(_xlfn.XLOOKUP(B243,Input!J:J,Input!N:S)=0,"",
          _xlfn.XLOOKUP(B243,Input!J:J,Input!N:S)),"")</f>
        <v/>
      </c>
      <c r="V243" s="13" t="str">
        <v/>
      </c>
      <c r="W243" s="13" t="str">
        <v/>
      </c>
      <c r="X243" s="13" t="str">
        <v/>
      </c>
      <c r="Y243" s="13" t="str">
        <v/>
      </c>
      <c r="Z243" s="13" t="str">
        <v/>
      </c>
      <c r="AA243" t="str">
        <f t="shared" si="9"/>
        <v/>
      </c>
      <c r="AB243" t="str">
        <f>_xlfn.XLOOKUP(B:B,Disk_Pivot!G:G,Disk_Pivot!I:I)</f>
        <v>No</v>
      </c>
      <c r="AC243" t="str">
        <f>_xlfn.XLOOKUP(B243,Disk_Pivot!G:G,Disk_Pivot!N:N)</f>
        <v/>
      </c>
    </row>
    <row r="244" spans="6:29">
      <c r="F244" t="str">
        <f>_xlfn.XLOOKUP(H244,Models!B:B,Models!F:F,"")</f>
        <v/>
      </c>
      <c r="K244">
        <f>_xlfn.XLOOKUP(B244,CPU_Formula!A:A,CPU_Formula!I:I)</f>
        <v>0</v>
      </c>
      <c r="L244" s="13" t="e">
        <f>INDEX(Input!$D$2:$AD$500,
       MATCH(B244, Input!$J$2:$J$500, 0),
       MATCH("Memory Capacity", Input!$D$1:$AD$1, 0))</f>
        <v>#N/A</v>
      </c>
      <c r="M244" s="13" t="e">
        <f>INDEX(Input!$D$2:$AD$500,
       MATCH(B244, Input!$J$2:$J$500, 0),
       MATCH("Memory Type", Input!$D$1:$AD$1, 0))</f>
        <v>#N/A</v>
      </c>
      <c r="N244" s="13" t="e">
        <f t="shared" si="8"/>
        <v>#N/A</v>
      </c>
      <c r="S244" s="13" t="str">
        <f>_xlfn.LET(_xlpm.Result,_xlfn.XLOOKUP(B244,Input!J:J,Input!AB:AB),IF(_xlpm.Result="","",_xlpm.Result))</f>
        <v/>
      </c>
      <c r="T244" s="13" t="str" cm="1">
        <f t="array" ref="T244">IFERROR(_xlfn.IFS(
   --S244&lt;55,"Battery Defect",
  -- S244&lt;=69,"Battery D",
  --S244&lt;=80,"Battery C",
 --S244&gt;80,""
),"")</f>
        <v/>
      </c>
      <c r="U244" s="13" t="str" cm="1">
        <f t="array" ref="U244:Z244">IFERROR(IF(_xlfn.XLOOKUP(B244,Input!J:J,Input!N:S)=0,"",
          _xlfn.XLOOKUP(B244,Input!J:J,Input!N:S)),"")</f>
        <v/>
      </c>
      <c r="V244" s="13" t="str">
        <v/>
      </c>
      <c r="W244" s="13" t="str">
        <v/>
      </c>
      <c r="X244" s="13" t="str">
        <v/>
      </c>
      <c r="Y244" s="13" t="str">
        <v/>
      </c>
      <c r="Z244" s="13" t="str">
        <v/>
      </c>
      <c r="AA244" t="str">
        <f t="shared" si="9"/>
        <v/>
      </c>
      <c r="AB244" t="str">
        <f>_xlfn.XLOOKUP(B:B,Disk_Pivot!G:G,Disk_Pivot!I:I)</f>
        <v>No</v>
      </c>
      <c r="AC244" t="str">
        <f>_xlfn.XLOOKUP(B244,Disk_Pivot!G:G,Disk_Pivot!N:N)</f>
        <v/>
      </c>
    </row>
    <row r="245" spans="6:29">
      <c r="F245" t="str">
        <f>_xlfn.XLOOKUP(H245,Models!B:B,Models!F:F,"")</f>
        <v/>
      </c>
      <c r="K245">
        <f>_xlfn.XLOOKUP(B245,CPU_Formula!A:A,CPU_Formula!I:I)</f>
        <v>0</v>
      </c>
      <c r="L245" s="13" t="e">
        <f>INDEX(Input!$D$2:$AD$500,
       MATCH(B245, Input!$J$2:$J$500, 0),
       MATCH("Memory Capacity", Input!$D$1:$AD$1, 0))</f>
        <v>#N/A</v>
      </c>
      <c r="M245" s="13" t="e">
        <f>INDEX(Input!$D$2:$AD$500,
       MATCH(B245, Input!$J$2:$J$500, 0),
       MATCH("Memory Type", Input!$D$1:$AD$1, 0))</f>
        <v>#N/A</v>
      </c>
      <c r="N245" s="13" t="e">
        <f t="shared" si="8"/>
        <v>#N/A</v>
      </c>
      <c r="S245" s="13" t="str">
        <f>_xlfn.LET(_xlpm.Result,_xlfn.XLOOKUP(B245,Input!J:J,Input!AB:AB),IF(_xlpm.Result="","",_xlpm.Result))</f>
        <v/>
      </c>
      <c r="T245" s="13" t="str" cm="1">
        <f t="array" ref="T245">IFERROR(_xlfn.IFS(
   --S245&lt;55,"Battery Defect",
  -- S245&lt;=69,"Battery D",
  --S245&lt;=80,"Battery C",
 --S245&gt;80,""
),"")</f>
        <v/>
      </c>
      <c r="U245" s="13" t="str" cm="1">
        <f t="array" ref="U245:Z245">IFERROR(IF(_xlfn.XLOOKUP(B245,Input!J:J,Input!N:S)=0,"",
          _xlfn.XLOOKUP(B245,Input!J:J,Input!N:S)),"")</f>
        <v/>
      </c>
      <c r="V245" s="13" t="str">
        <v/>
      </c>
      <c r="W245" s="13" t="str">
        <v/>
      </c>
      <c r="X245" s="13" t="str">
        <v/>
      </c>
      <c r="Y245" s="13" t="str">
        <v/>
      </c>
      <c r="Z245" s="13" t="str">
        <v/>
      </c>
      <c r="AA245" t="str">
        <f t="shared" si="9"/>
        <v/>
      </c>
      <c r="AB245" t="str">
        <f>_xlfn.XLOOKUP(B:B,Disk_Pivot!G:G,Disk_Pivot!I:I)</f>
        <v>No</v>
      </c>
      <c r="AC245" t="str">
        <f>_xlfn.XLOOKUP(B245,Disk_Pivot!G:G,Disk_Pivot!N:N)</f>
        <v/>
      </c>
    </row>
    <row r="246" spans="6:29">
      <c r="F246" t="str">
        <f>_xlfn.XLOOKUP(H246,Models!B:B,Models!F:F,"")</f>
        <v/>
      </c>
      <c r="K246">
        <f>_xlfn.XLOOKUP(B246,CPU_Formula!A:A,CPU_Formula!I:I)</f>
        <v>0</v>
      </c>
      <c r="L246" s="13" t="e">
        <f>INDEX(Input!$D$2:$AD$500,
       MATCH(B246, Input!$J$2:$J$500, 0),
       MATCH("Memory Capacity", Input!$D$1:$AD$1, 0))</f>
        <v>#N/A</v>
      </c>
      <c r="M246" s="13" t="e">
        <f>INDEX(Input!$D$2:$AD$500,
       MATCH(B246, Input!$J$2:$J$500, 0),
       MATCH("Memory Type", Input!$D$1:$AD$1, 0))</f>
        <v>#N/A</v>
      </c>
      <c r="N246" s="13" t="e">
        <f t="shared" si="8"/>
        <v>#N/A</v>
      </c>
      <c r="S246" s="13" t="str">
        <f>_xlfn.LET(_xlpm.Result,_xlfn.XLOOKUP(B246,Input!J:J,Input!AB:AB),IF(_xlpm.Result="","",_xlpm.Result))</f>
        <v/>
      </c>
      <c r="T246" s="13" t="str" cm="1">
        <f t="array" ref="T246">IFERROR(_xlfn.IFS(
   --S246&lt;55,"Battery Defect",
  -- S246&lt;=69,"Battery D",
  --S246&lt;=80,"Battery C",
 --S246&gt;80,""
),"")</f>
        <v/>
      </c>
      <c r="U246" s="13" t="str" cm="1">
        <f t="array" ref="U246:Z246">IFERROR(IF(_xlfn.XLOOKUP(B246,Input!J:J,Input!N:S)=0,"",
          _xlfn.XLOOKUP(B246,Input!J:J,Input!N:S)),"")</f>
        <v/>
      </c>
      <c r="V246" s="13" t="str">
        <v/>
      </c>
      <c r="W246" s="13" t="str">
        <v/>
      </c>
      <c r="X246" s="13" t="str">
        <v/>
      </c>
      <c r="Y246" s="13" t="str">
        <v/>
      </c>
      <c r="Z246" s="13" t="str">
        <v/>
      </c>
      <c r="AA246" t="str">
        <f t="shared" si="9"/>
        <v/>
      </c>
      <c r="AB246" t="str">
        <f>_xlfn.XLOOKUP(B:B,Disk_Pivot!G:G,Disk_Pivot!I:I)</f>
        <v>No</v>
      </c>
      <c r="AC246" t="str">
        <f>_xlfn.XLOOKUP(B246,Disk_Pivot!G:G,Disk_Pivot!N:N)</f>
        <v/>
      </c>
    </row>
    <row r="247" spans="6:29">
      <c r="F247" t="str">
        <f>_xlfn.XLOOKUP(H247,Models!B:B,Models!F:F,"")</f>
        <v/>
      </c>
      <c r="K247">
        <f>_xlfn.XLOOKUP(B247,CPU_Formula!A:A,CPU_Formula!I:I)</f>
        <v>0</v>
      </c>
      <c r="L247" s="13" t="e">
        <f>INDEX(Input!$D$2:$AD$500,
       MATCH(B247, Input!$J$2:$J$500, 0),
       MATCH("Memory Capacity", Input!$D$1:$AD$1, 0))</f>
        <v>#N/A</v>
      </c>
      <c r="M247" s="13" t="e">
        <f>INDEX(Input!$D$2:$AD$500,
       MATCH(B247, Input!$J$2:$J$500, 0),
       MATCH("Memory Type", Input!$D$1:$AD$1, 0))</f>
        <v>#N/A</v>
      </c>
      <c r="N247" s="13" t="e">
        <f t="shared" si="8"/>
        <v>#N/A</v>
      </c>
      <c r="S247" s="13" t="str">
        <f>_xlfn.LET(_xlpm.Result,_xlfn.XLOOKUP(B247,Input!J:J,Input!AB:AB),IF(_xlpm.Result="","",_xlpm.Result))</f>
        <v/>
      </c>
      <c r="T247" s="13" t="str" cm="1">
        <f t="array" ref="T247">IFERROR(_xlfn.IFS(
   --S247&lt;55,"Battery Defect",
  -- S247&lt;=69,"Battery D",
  --S247&lt;=80,"Battery C",
 --S247&gt;80,""
),"")</f>
        <v/>
      </c>
      <c r="U247" s="13" t="str" cm="1">
        <f t="array" ref="U247:Z247">IFERROR(IF(_xlfn.XLOOKUP(B247,Input!J:J,Input!N:S)=0,"",
          _xlfn.XLOOKUP(B247,Input!J:J,Input!N:S)),"")</f>
        <v/>
      </c>
      <c r="V247" s="13" t="str">
        <v/>
      </c>
      <c r="W247" s="13" t="str">
        <v/>
      </c>
      <c r="X247" s="13" t="str">
        <v/>
      </c>
      <c r="Y247" s="13" t="str">
        <v/>
      </c>
      <c r="Z247" s="13" t="str">
        <v/>
      </c>
      <c r="AA247" t="str">
        <f t="shared" si="9"/>
        <v/>
      </c>
      <c r="AB247" t="str">
        <f>_xlfn.XLOOKUP(B:B,Disk_Pivot!G:G,Disk_Pivot!I:I)</f>
        <v>No</v>
      </c>
      <c r="AC247" t="str">
        <f>_xlfn.XLOOKUP(B247,Disk_Pivot!G:G,Disk_Pivot!N:N)</f>
        <v/>
      </c>
    </row>
    <row r="248" spans="6:29">
      <c r="F248">
        <f>_xlfn.XLOOKUP(H248,Models!B:B,Models!F:F,"")</f>
        <v>0</v>
      </c>
      <c r="K248">
        <f>_xlfn.XLOOKUP(B248,CPU_Formula!A:A,CPU_Formula!I:I)</f>
        <v>0</v>
      </c>
      <c r="L248" s="13" t="e">
        <f>INDEX(Input!$D$2:$AD$500,
       MATCH(B248, Input!$J$2:$J$500, 0),
       MATCH("Memory Capacity", Input!$D$1:$AD$1, 0))</f>
        <v>#N/A</v>
      </c>
      <c r="M248" s="13" t="e">
        <f>INDEX(Input!$D$2:$AD$500,
       MATCH(B248, Input!$J$2:$J$500, 0),
       MATCH("Memory Type", Input!$D$1:$AD$1, 0))</f>
        <v>#N/A</v>
      </c>
      <c r="N248" s="13" t="e">
        <f t="shared" si="8"/>
        <v>#N/A</v>
      </c>
      <c r="S248" s="13" t="str">
        <f>_xlfn.LET(_xlpm.Result,_xlfn.XLOOKUP(B248,Input!J:J,Input!AB:AB),IF(_xlpm.Result="","",_xlpm.Result))</f>
        <v/>
      </c>
      <c r="T248" s="13" t="str" cm="1">
        <f t="array" ref="T248">IFERROR(_xlfn.IFS(
   --S248&lt;55,"Battery Defect",
  -- S248&lt;=69,"Battery D",
  --S248&lt;=80,"Battery C",
 --S248&gt;80,""
),"")</f>
        <v/>
      </c>
      <c r="U248" s="13" t="str" cm="1">
        <f t="array" ref="U248:Z248">IFERROR(IF(_xlfn.XLOOKUP(B248,Input!J:J,Input!N:S)=0,"",
          _xlfn.XLOOKUP(B248,Input!J:J,Input!N:S)),"")</f>
        <v/>
      </c>
      <c r="V248" s="13" t="str">
        <v/>
      </c>
      <c r="W248" s="13" t="str">
        <v/>
      </c>
      <c r="X248" s="13" t="str">
        <v/>
      </c>
      <c r="Y248" s="13" t="str">
        <v/>
      </c>
      <c r="Z248" s="13" t="str">
        <v/>
      </c>
      <c r="AA248" t="str">
        <f t="shared" si="9"/>
        <v/>
      </c>
      <c r="AB248" t="str">
        <f>_xlfn.XLOOKUP(B:B,Disk_Pivot!G:G,Disk_Pivot!I:I)</f>
        <v>No</v>
      </c>
      <c r="AC248" t="str">
        <f>_xlfn.XLOOKUP(B248,Disk_Pivot!G:G,Disk_Pivot!N:N)</f>
        <v/>
      </c>
    </row>
    <row r="249" spans="6:29">
      <c r="F249" t="str">
        <f>_xlfn.XLOOKUP(H249,Models!B:B,Models!F:F,"")</f>
        <v/>
      </c>
      <c r="K249">
        <f>_xlfn.XLOOKUP(B249,CPU_Formula!A:A,CPU_Formula!I:I)</f>
        <v>0</v>
      </c>
      <c r="L249" s="13" t="e">
        <f>INDEX(Input!$D$2:$AD$500,
       MATCH(B249, Input!$J$2:$J$500, 0),
       MATCH("Memory Capacity", Input!$D$1:$AD$1, 0))</f>
        <v>#N/A</v>
      </c>
      <c r="M249" s="13" t="e">
        <f>INDEX(Input!$D$2:$AD$500,
       MATCH(B249, Input!$J$2:$J$500, 0),
       MATCH("Memory Type", Input!$D$1:$AD$1, 0))</f>
        <v>#N/A</v>
      </c>
      <c r="N249" s="13" t="e">
        <f t="shared" si="8"/>
        <v>#N/A</v>
      </c>
      <c r="S249" s="13" t="str">
        <f>_xlfn.LET(_xlpm.Result,_xlfn.XLOOKUP(B249,Input!J:J,Input!AB:AB),IF(_xlpm.Result="","",_xlpm.Result))</f>
        <v/>
      </c>
      <c r="T249" s="13" t="str" cm="1">
        <f t="array" ref="T249">IFERROR(_xlfn.IFS(
   --S249&lt;55,"Battery Defect",
  -- S249&lt;=69,"Battery D",
  --S249&lt;=80,"Battery C",
 --S249&gt;80,""
),"")</f>
        <v/>
      </c>
      <c r="U249" s="13" t="str" cm="1">
        <f t="array" ref="U249:Z249">IFERROR(IF(_xlfn.XLOOKUP(B249,Input!J:J,Input!N:S)=0,"",
          _xlfn.XLOOKUP(B249,Input!J:J,Input!N:S)),"")</f>
        <v/>
      </c>
      <c r="V249" s="13" t="str">
        <v/>
      </c>
      <c r="W249" s="13" t="str">
        <v/>
      </c>
      <c r="X249" s="13" t="str">
        <v/>
      </c>
      <c r="Y249" s="13" t="str">
        <v/>
      </c>
      <c r="Z249" s="13" t="str">
        <v/>
      </c>
      <c r="AA249" t="str">
        <f t="shared" si="9"/>
        <v/>
      </c>
      <c r="AB249" t="str">
        <f>_xlfn.XLOOKUP(B:B,Disk_Pivot!G:G,Disk_Pivot!I:I)</f>
        <v>No</v>
      </c>
      <c r="AC249" t="str">
        <f>_xlfn.XLOOKUP(B249,Disk_Pivot!G:G,Disk_Pivot!N:N)</f>
        <v/>
      </c>
    </row>
    <row r="250" spans="6:29">
      <c r="F250" t="str">
        <f>_xlfn.XLOOKUP(H250,Models!B:B,Models!F:F,"")</f>
        <v/>
      </c>
      <c r="K250">
        <f>_xlfn.XLOOKUP(B250,CPU_Formula!A:A,CPU_Formula!I:I)</f>
        <v>0</v>
      </c>
      <c r="L250" s="13" t="e">
        <f>INDEX(Input!$D$2:$AD$500,
       MATCH(B250, Input!$J$2:$J$500, 0),
       MATCH("Memory Capacity", Input!$D$1:$AD$1, 0))</f>
        <v>#N/A</v>
      </c>
      <c r="M250" s="13" t="e">
        <f>INDEX(Input!$D$2:$AD$500,
       MATCH(B250, Input!$J$2:$J$500, 0),
       MATCH("Memory Type", Input!$D$1:$AD$1, 0))</f>
        <v>#N/A</v>
      </c>
      <c r="N250" s="13" t="e">
        <f t="shared" si="8"/>
        <v>#N/A</v>
      </c>
      <c r="S250" s="13" t="str">
        <f>_xlfn.LET(_xlpm.Result,_xlfn.XLOOKUP(B250,Input!J:J,Input!AB:AB),IF(_xlpm.Result="","",_xlpm.Result))</f>
        <v/>
      </c>
      <c r="T250" s="13" t="str" cm="1">
        <f t="array" ref="T250">IFERROR(_xlfn.IFS(
   --S250&lt;55,"Battery Defect",
  -- S250&lt;=69,"Battery D",
  --S250&lt;=80,"Battery C",
 --S250&gt;80,""
),"")</f>
        <v/>
      </c>
      <c r="U250" s="13" t="str" cm="1">
        <f t="array" ref="U250:Z250">IFERROR(IF(_xlfn.XLOOKUP(B250,Input!J:J,Input!N:S)=0,"",
          _xlfn.XLOOKUP(B250,Input!J:J,Input!N:S)),"")</f>
        <v/>
      </c>
      <c r="V250" s="13" t="str">
        <v/>
      </c>
      <c r="W250" s="13" t="str">
        <v/>
      </c>
      <c r="X250" s="13" t="str">
        <v/>
      </c>
      <c r="Y250" s="13" t="str">
        <v/>
      </c>
      <c r="Z250" s="13" t="str">
        <v/>
      </c>
      <c r="AA250" t="str">
        <f t="shared" si="9"/>
        <v/>
      </c>
      <c r="AB250" t="str">
        <f>_xlfn.XLOOKUP(B:B,Disk_Pivot!G:G,Disk_Pivot!I:I)</f>
        <v>No</v>
      </c>
      <c r="AC250" t="str">
        <f>_xlfn.XLOOKUP(B250,Disk_Pivot!G:G,Disk_Pivot!N:N)</f>
        <v/>
      </c>
    </row>
    <row r="251" spans="6:29">
      <c r="F251">
        <f>_xlfn.XLOOKUP(H251,Models!B:B,Models!F:F,"")</f>
        <v>0</v>
      </c>
      <c r="K251">
        <f>_xlfn.XLOOKUP(B251,CPU_Formula!A:A,CPU_Formula!I:I)</f>
        <v>0</v>
      </c>
      <c r="L251" s="13" t="e">
        <f>INDEX(Input!$D$2:$AD$500,
       MATCH(B251, Input!$J$2:$J$500, 0),
       MATCH("Memory Capacity", Input!$D$1:$AD$1, 0))</f>
        <v>#N/A</v>
      </c>
      <c r="M251" s="13" t="e">
        <f>INDEX(Input!$D$2:$AD$500,
       MATCH(B251, Input!$J$2:$J$500, 0),
       MATCH("Memory Type", Input!$D$1:$AD$1, 0))</f>
        <v>#N/A</v>
      </c>
      <c r="N251" s="13" t="e">
        <f t="shared" si="8"/>
        <v>#N/A</v>
      </c>
      <c r="S251" s="13" t="str">
        <f>_xlfn.LET(_xlpm.Result,_xlfn.XLOOKUP(B251,Input!J:J,Input!AB:AB),IF(_xlpm.Result="","",_xlpm.Result))</f>
        <v/>
      </c>
      <c r="T251" s="13" t="str" cm="1">
        <f t="array" ref="T251">IFERROR(_xlfn.IFS(
   --S251&lt;55,"Battery Defect",
  -- S251&lt;=69,"Battery D",
  --S251&lt;=80,"Battery C",
 --S251&gt;80,""
),"")</f>
        <v/>
      </c>
      <c r="U251" s="13" t="str" cm="1">
        <f t="array" ref="U251:Z251">IFERROR(IF(_xlfn.XLOOKUP(B252,Input!J:J,Input!N:S)=0,"",
          _xlfn.XLOOKUP(B252,Input!J:J,Input!N:S)),"")</f>
        <v/>
      </c>
      <c r="V251" s="13" t="str">
        <v/>
      </c>
      <c r="W251" s="13" t="str">
        <v/>
      </c>
      <c r="X251" s="13" t="str">
        <v/>
      </c>
      <c r="Y251" s="13" t="str">
        <v/>
      </c>
      <c r="Z251" s="13" t="str">
        <v/>
      </c>
      <c r="AA251" t="str">
        <f t="shared" si="9"/>
        <v/>
      </c>
      <c r="AB251" t="str">
        <f>_xlfn.XLOOKUP(B:B,Disk_Pivot!G:G,Disk_Pivot!I:I)</f>
        <v>No</v>
      </c>
      <c r="AC251" t="str">
        <f>_xlfn.XLOOKUP(B251,Disk_Pivot!G:G,Disk_Pivot!N:N)</f>
        <v/>
      </c>
    </row>
    <row r="252" spans="6:29">
      <c r="F252" t="str">
        <f>_xlfn.XLOOKUP(H252,Models!B:B,Models!F:F,"")</f>
        <v/>
      </c>
      <c r="K252">
        <f>_xlfn.XLOOKUP(B252,CPU_Formula!A:A,CPU_Formula!I:I)</f>
        <v>0</v>
      </c>
      <c r="L252" s="13" t="e">
        <f>INDEX(Input!$D$2:$AD$500,
       MATCH(B252, Input!$J$2:$J$500, 0),
       MATCH("Memory Capacity", Input!$D$1:$AD$1, 0))</f>
        <v>#N/A</v>
      </c>
      <c r="M252" s="13" t="e">
        <f>INDEX(Input!$D$2:$AD$500,
       MATCH(B252, Input!$J$2:$J$500, 0),
       MATCH("Memory Type", Input!$D$1:$AD$1, 0))</f>
        <v>#N/A</v>
      </c>
      <c r="N252" s="13" t="e">
        <f t="shared" si="8"/>
        <v>#N/A</v>
      </c>
      <c r="S252" s="13" t="str">
        <f>_xlfn.LET(_xlpm.Result,_xlfn.XLOOKUP(B252,Input!J:J,Input!AB:AB),IF(_xlpm.Result="","",_xlpm.Result))</f>
        <v/>
      </c>
      <c r="T252" s="13" t="str" cm="1">
        <f t="array" ref="T252">IFERROR(_xlfn.IFS(
   --S252&lt;55,"Battery Defect",
  -- S252&lt;=69,"Battery D",
  --S252&lt;=80,"Battery C",
 --S252&gt;80,""
),"")</f>
        <v/>
      </c>
      <c r="U252" s="13" t="str" cm="1">
        <f t="array" ref="U252:Z252">IFERROR(IF(_xlfn.XLOOKUP(B253,Input!J:J,Input!N:S)=0,"",
          _xlfn.XLOOKUP(B253,Input!J:J,Input!N:S)),"")</f>
        <v/>
      </c>
      <c r="V252" s="13" t="str">
        <v/>
      </c>
      <c r="W252" s="13" t="str">
        <v/>
      </c>
      <c r="X252" s="13" t="str">
        <v/>
      </c>
      <c r="Y252" s="13" t="str">
        <v/>
      </c>
      <c r="Z252" s="13" t="str">
        <v/>
      </c>
      <c r="AA252" t="str">
        <f t="shared" si="9"/>
        <v/>
      </c>
      <c r="AB252" t="str">
        <f>_xlfn.XLOOKUP(B:B,Disk_Pivot!G:G,Disk_Pivot!I:I)</f>
        <v>No</v>
      </c>
      <c r="AC252" t="str">
        <f>_xlfn.XLOOKUP(B252,Disk_Pivot!G:G,Disk_Pivot!N:N)</f>
        <v/>
      </c>
    </row>
    <row r="253" spans="6:29">
      <c r="F253" t="str">
        <f>_xlfn.XLOOKUP(H253,Models!B:B,Models!F:F,"")</f>
        <v/>
      </c>
      <c r="K253">
        <f>_xlfn.XLOOKUP(B253,CPU_Formula!A:A,CPU_Formula!I:I)</f>
        <v>0</v>
      </c>
      <c r="L253" s="13" t="e">
        <f>INDEX(Input!$D$2:$AD$500,
       MATCH(B253, Input!$J$2:$J$500, 0),
       MATCH("Memory Capacity", Input!$D$1:$AD$1, 0))</f>
        <v>#N/A</v>
      </c>
      <c r="M253" s="13" t="e">
        <f>INDEX(Input!$D$2:$AD$500,
       MATCH(B253, Input!$J$2:$J$500, 0),
       MATCH("Memory Type", Input!$D$1:$AD$1, 0))</f>
        <v>#N/A</v>
      </c>
      <c r="N253" s="13" t="e">
        <f t="shared" si="8"/>
        <v>#N/A</v>
      </c>
      <c r="S253" s="13" t="str">
        <f>_xlfn.LET(_xlpm.Result,_xlfn.XLOOKUP(B253,Input!J:J,Input!AB:AB),IF(_xlpm.Result="","",_xlpm.Result))</f>
        <v/>
      </c>
      <c r="T253" s="13" t="str" cm="1">
        <f t="array" ref="T253">IFERROR(_xlfn.IFS(
   --S253&lt;55,"Battery Defect",
  -- S253&lt;=69,"Battery D",
  --S253&lt;=80,"Battery C",
 --S253&gt;80,""
),"")</f>
        <v/>
      </c>
      <c r="U253" s="13" t="str" cm="1">
        <f t="array" ref="U253:Z253">IFERROR(IF(_xlfn.XLOOKUP(B254,Input!J:J,Input!N:S)=0,"",
          _xlfn.XLOOKUP(B254,Input!J:J,Input!N:S)),"")</f>
        <v/>
      </c>
      <c r="V253" s="13" t="str">
        <v/>
      </c>
      <c r="W253" s="13" t="str">
        <v/>
      </c>
      <c r="X253" s="13" t="str">
        <v/>
      </c>
      <c r="Y253" s="13" t="str">
        <v/>
      </c>
      <c r="Z253" s="13" t="str">
        <v/>
      </c>
      <c r="AA253" t="str">
        <f t="shared" si="9"/>
        <v/>
      </c>
    </row>
    <row r="254" spans="6:29">
      <c r="F254" t="str">
        <f>_xlfn.XLOOKUP(H254,Models!B:B,Models!F:F,"")</f>
        <v/>
      </c>
      <c r="K254">
        <f>_xlfn.XLOOKUP(B254,CPU_Formula!A:A,CPU_Formula!I:I)</f>
        <v>0</v>
      </c>
      <c r="L254" s="13" t="e">
        <f>INDEX(Input!$D$2:$AD$500,
       MATCH(B254, Input!$J$2:$J$500, 0),
       MATCH("Memory Capacity", Input!$D$1:$AD$1, 0))</f>
        <v>#N/A</v>
      </c>
      <c r="M254" s="13" t="e">
        <f>INDEX(Input!$D$2:$AD$500,
       MATCH(B254, Input!$J$2:$J$500, 0),
       MATCH("Memory Type", Input!$D$1:$AD$1, 0))</f>
        <v>#N/A</v>
      </c>
      <c r="N254" s="13" t="e">
        <f t="shared" si="8"/>
        <v>#N/A</v>
      </c>
      <c r="S254" s="13" t="str">
        <f>_xlfn.LET(_xlpm.Result,_xlfn.XLOOKUP(B254,Input!J:J,Input!AB:AB),IF(_xlpm.Result="","",_xlpm.Result))</f>
        <v/>
      </c>
      <c r="T254" s="13" t="str" cm="1">
        <f t="array" ref="T254">IFERROR(_xlfn.IFS(
   --S254&lt;55,"Battery Defect",
  -- S254&lt;=69,"Battery D",
  --S254&lt;=80,"Battery C",
 --S254&gt;80,""
),"")</f>
        <v/>
      </c>
      <c r="U254" s="13" t="str" cm="1">
        <f t="array" ref="U254:Z254">IFERROR(IF(_xlfn.XLOOKUP(B255,Input!J:J,Input!N:S)=0,"",
          _xlfn.XLOOKUP(B255,Input!J:J,Input!N:S)),"")</f>
        <v/>
      </c>
      <c r="V254" s="13" t="str">
        <v/>
      </c>
      <c r="W254" s="13" t="str">
        <v/>
      </c>
      <c r="X254" s="13" t="str">
        <v/>
      </c>
      <c r="Y254" s="13" t="str">
        <v/>
      </c>
      <c r="Z254" s="13" t="str">
        <v/>
      </c>
      <c r="AA254" t="str">
        <f t="shared" si="9"/>
        <v/>
      </c>
    </row>
    <row r="255" spans="6:29">
      <c r="K255">
        <f>_xlfn.XLOOKUP(B255,CPU_Formula!A:A,CPU_Formula!I:I)</f>
        <v>0</v>
      </c>
      <c r="S255" s="13" t="str">
        <f>_xlfn.LET(_xlpm.Result,_xlfn.XLOOKUP(B255,Input!J:J,Input!AB:AB),IF(_xlpm.Result="","",_xlpm.Result))</f>
        <v/>
      </c>
      <c r="T255" s="13" t="str" cm="1">
        <f t="array" ref="T255">IFERROR(_xlfn.IFS(
   --S255&lt;55,"Battery Defect",
  -- S255&lt;=69,"Battery D",
  --S255&lt;=80,"Battery C",
 --S255&gt;80,""
),"")</f>
        <v/>
      </c>
      <c r="U255" s="13" t="str" cm="1">
        <f t="array" ref="U255:Z255">IFERROR(IF(_xlfn.XLOOKUP(B256,Input!J:J,Input!N:S)=0,"",
          _xlfn.XLOOKUP(B256,Input!J:J,Input!N:S)),"")</f>
        <v/>
      </c>
      <c r="V255" s="13" t="str">
        <v/>
      </c>
      <c r="W255" s="13" t="str">
        <v/>
      </c>
      <c r="X255" s="13" t="str">
        <v/>
      </c>
      <c r="Y255" s="13" t="str">
        <v/>
      </c>
      <c r="Z255" s="13" t="str">
        <v/>
      </c>
      <c r="AA255" t="str">
        <f t="shared" si="9"/>
        <v/>
      </c>
    </row>
    <row r="256" spans="6:29">
      <c r="K256">
        <f>_xlfn.XLOOKUP(B256,CPU_Formula!A:A,CPU_Formula!I:I)</f>
        <v>0</v>
      </c>
      <c r="S256" s="13" t="str">
        <f>_xlfn.LET(_xlpm.Result,_xlfn.XLOOKUP(B256,Input!J:J,Input!AB:AB),IF(_xlpm.Result="","",_xlpm.Result))</f>
        <v/>
      </c>
      <c r="T256" s="13" t="str" cm="1">
        <f t="array" ref="T256">IFERROR(_xlfn.IFS(
   --S256&lt;55,"Battery Defect",
  -- S256&lt;=69,"Battery D",
  --S256&lt;=80,"Battery C",
 --S256&gt;80,""
),"")</f>
        <v/>
      </c>
      <c r="U256" s="13" t="str" cm="1">
        <f t="array" ref="U256:Z256">IFERROR(IF(_xlfn.XLOOKUP(B257,Input!J:J,Input!N:S)=0,"",
          _xlfn.XLOOKUP(B257,Input!J:J,Input!N:S)),"")</f>
        <v/>
      </c>
      <c r="V256" s="13" t="str">
        <v/>
      </c>
      <c r="W256" s="13" t="str">
        <v/>
      </c>
      <c r="X256" s="13" t="str">
        <v/>
      </c>
      <c r="Y256" s="13" t="str">
        <v/>
      </c>
      <c r="Z256" s="13" t="str">
        <v/>
      </c>
      <c r="AA256" t="str">
        <f t="shared" si="9"/>
        <v/>
      </c>
    </row>
    <row r="257" spans="11:26">
      <c r="K257">
        <f>_xlfn.XLOOKUP(B257,CPU_Formula!A:A,CPU_Formula!I:I)</f>
        <v>0</v>
      </c>
      <c r="S257" s="13" t="str">
        <f>_xlfn.LET(_xlpm.Result,_xlfn.XLOOKUP(B257,Input!J:J,Input!AB:AB),IF(_xlpm.Result="","",_xlpm.Result))</f>
        <v/>
      </c>
      <c r="T257" s="13" t="str" cm="1">
        <f t="array" ref="T257">IFERROR(_xlfn.IFS(
   --S257&lt;55,"Battery Defect",
  -- S257&lt;=69,"Battery D",
  --S257&lt;=80,"Battery C",
 --S257&gt;80,""
),"")</f>
        <v/>
      </c>
      <c r="U257" s="13" t="str" cm="1">
        <f t="array" ref="U257:Z257">IFERROR(IF(_xlfn.XLOOKUP(B258,Input!J:J,Input!N:S)=0,"",
          _xlfn.XLOOKUP(B258,Input!J:J,Input!N:S)),"")</f>
        <v/>
      </c>
      <c r="V257" s="13" t="str">
        <v/>
      </c>
      <c r="W257" s="13" t="str">
        <v/>
      </c>
      <c r="X257" s="13" t="str">
        <v/>
      </c>
      <c r="Y257" s="13" t="str">
        <v/>
      </c>
      <c r="Z257" s="13" t="str">
        <v/>
      </c>
    </row>
    <row r="258" spans="11:26">
      <c r="K258">
        <f>_xlfn.XLOOKUP(B258,CPU_Formula!A:A,CPU_Formula!I:I)</f>
        <v>0</v>
      </c>
      <c r="S258" s="13" t="str">
        <f>_xlfn.LET(_xlpm.Result,_xlfn.XLOOKUP(B258,Input!J:J,Input!AB:AB),IF(_xlpm.Result="","",_xlpm.Result))</f>
        <v/>
      </c>
      <c r="T258" s="13" t="str" cm="1">
        <f t="array" ref="T258">IFERROR(_xlfn.IFS(
   --S258&lt;55,"Battery Defect",
  -- S258&lt;=69,"Battery D",
  --S258&lt;=80,"Battery C",
 --S258&gt;80,""
),"")</f>
        <v/>
      </c>
      <c r="U258" s="13" t="str" cm="1">
        <f t="array" ref="U258:Z258">IFERROR(IF(_xlfn.XLOOKUP(B259,Input!J:J,Input!N:S)=0,"",
          _xlfn.XLOOKUP(B259,Input!J:J,Input!N:S)),"")</f>
        <v/>
      </c>
      <c r="V258" s="13" t="str">
        <v/>
      </c>
      <c r="W258" s="13" t="str">
        <v/>
      </c>
      <c r="X258" s="13" t="str">
        <v/>
      </c>
      <c r="Y258" s="13" t="str">
        <v/>
      </c>
      <c r="Z258" s="13" t="str">
        <v/>
      </c>
    </row>
    <row r="259" spans="11:26">
      <c r="K259">
        <f>_xlfn.XLOOKUP(B259,CPU_Formula!A:A,CPU_Formula!I:I)</f>
        <v>0</v>
      </c>
      <c r="S259" s="13" t="str">
        <f>_xlfn.LET(_xlpm.Result,_xlfn.XLOOKUP(B259,Input!J:J,Input!AB:AB),IF(_xlpm.Result="","",_xlpm.Result))</f>
        <v/>
      </c>
      <c r="T259" s="13" t="str" cm="1">
        <f t="array" ref="T259">IFERROR(_xlfn.IFS(
   --S259&lt;55,"Battery Defect",
  -- S259&lt;=69,"Battery D",
  --S259&lt;=80,"Battery C",
 --S259&gt;80,""
),"")</f>
        <v/>
      </c>
      <c r="U259" s="13" t="str" cm="1">
        <f t="array" ref="U259:Z259">IFERROR(IF(_xlfn.XLOOKUP(B260,Input!J:J,Input!N:S)=0,"",
          _xlfn.XLOOKUP(B260,Input!J:J,Input!N:S)),"")</f>
        <v/>
      </c>
      <c r="V259" s="13" t="str">
        <v/>
      </c>
      <c r="W259" s="13" t="str">
        <v/>
      </c>
      <c r="X259" s="13" t="str">
        <v/>
      </c>
      <c r="Y259" s="13" t="str">
        <v/>
      </c>
      <c r="Z259" s="13" t="str">
        <v/>
      </c>
    </row>
    <row r="260" spans="11:26">
      <c r="K260">
        <f>_xlfn.XLOOKUP(B260,CPU_Formula!A:A,CPU_Formula!I:I)</f>
        <v>0</v>
      </c>
      <c r="S260" s="13" t="str">
        <f>_xlfn.LET(_xlpm.Result,_xlfn.XLOOKUP(B260,Input!J:J,Input!AB:AB),IF(_xlpm.Result="","",_xlpm.Result))</f>
        <v/>
      </c>
      <c r="T260" s="13" t="str" cm="1">
        <f t="array" ref="T260">IFERROR(_xlfn.IFS(
   --S260&lt;55,"Battery Defect",
  -- S260&lt;=69,"Battery D",
  --S260&lt;=80,"Battery C",
 --S260&gt;80,""
),"")</f>
        <v/>
      </c>
    </row>
  </sheetData>
  <mergeCells count="1">
    <mergeCell ref="U1:Z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F4BD-6969-4466-9094-7377506CD81B}">
  <sheetPr codeName="Sheet8"/>
  <dimension ref="A1:I749"/>
  <sheetViews>
    <sheetView topLeftCell="B1" workbookViewId="0">
      <selection activeCell="F40" sqref="F40"/>
    </sheetView>
  </sheetViews>
  <sheetFormatPr defaultRowHeight="15"/>
  <cols>
    <col min="1" max="1" width="11.28515625" bestFit="1" customWidth="1"/>
    <col min="2" max="2" width="46" style="13" bestFit="1" customWidth="1"/>
    <col min="3" max="3" width="23.5703125" style="13" bestFit="1" customWidth="1"/>
    <col min="4" max="4" width="35.85546875" style="13" bestFit="1" customWidth="1"/>
    <col min="5" max="5" width="11.42578125" style="13" bestFit="1" customWidth="1"/>
    <col min="6" max="6" width="11.7109375" style="13" bestFit="1" customWidth="1"/>
    <col min="7" max="7" width="18.42578125" style="13" bestFit="1" customWidth="1"/>
    <col min="8" max="8" width="11.7109375" style="13" bestFit="1" customWidth="1"/>
    <col min="9" max="9" width="11.42578125" bestFit="1" customWidth="1"/>
  </cols>
  <sheetData>
    <row r="1" spans="1:9" ht="18" thickBot="1">
      <c r="A1" s="29" t="s">
        <v>65</v>
      </c>
      <c r="B1" s="12" t="s">
        <v>322</v>
      </c>
      <c r="C1" s="12" t="s">
        <v>316</v>
      </c>
      <c r="D1" s="12" t="s">
        <v>317</v>
      </c>
      <c r="E1" s="12" t="s">
        <v>318</v>
      </c>
      <c r="F1" s="12" t="s">
        <v>319</v>
      </c>
      <c r="G1" s="12" t="s">
        <v>320</v>
      </c>
      <c r="H1" s="12" t="s">
        <v>321</v>
      </c>
      <c r="I1" s="1" t="s">
        <v>9</v>
      </c>
    </row>
    <row r="2" spans="1:9" ht="15.75" thickTop="1">
      <c r="A2">
        <f>CSV!B2</f>
        <v>0</v>
      </c>
      <c r="B2" s="13" t="e">
        <f>INDEX(Input!$D$2:$AD$500,
       MATCH(CPU_Formula!A2, Input!$J$2:$J$500, 0),
       MATCH("CPU model", Input!$D$1:$AD$1, 0))</f>
        <v>#N/A</v>
      </c>
      <c r="C2" s="13" t="str">
        <f t="shared" ref="C2:C65" si="0">IFERROR(_xlfn.TEXTAFTER(B2,"Core(TM) "), "")</f>
        <v/>
      </c>
      <c r="D2" s="13" t="str">
        <f t="shared" ref="D2:D65" si="1">IF(ISNUMBER(SEARCH("Ryzen", B2)), _xlfn.TEXTAFTER(B2, "AMD"), "")</f>
        <v/>
      </c>
      <c r="E2" s="13" t="str">
        <f t="shared" ref="E2:E65" si="2">IF(ISNUMBER(SEARCH("Ultra", B2)), "Ultra"&amp;_xlfn.TEXTAFTER(B2, "Ultra"), "")</f>
        <v/>
      </c>
      <c r="F2" s="13" t="str">
        <f t="shared" ref="F2:F65" si="3">IF(C2&lt;&gt;"", TRIM(_xlfn.TEXTBEFORE(C2," ",,1,1)), "")</f>
        <v/>
      </c>
      <c r="G2" s="13" t="str">
        <f t="shared" ref="G2:G65" si="4">IFERROR(_xlfn.TEXTBEFORE(D2,"w"),"")</f>
        <v/>
      </c>
      <c r="H2" s="13" t="str">
        <f t="shared" ref="H2:H65" si="5">E2</f>
        <v/>
      </c>
      <c r="I2" t="str">
        <f t="shared" ref="I2:I65" si="6">IF(H2&lt;&gt;"",H2,IF(G2&lt;&gt;"",G2,F2))</f>
        <v/>
      </c>
    </row>
    <row r="3" spans="1:9">
      <c r="A3">
        <f>CSV!B3</f>
        <v>0</v>
      </c>
      <c r="B3" s="13" t="e">
        <f>INDEX(Input!$D$2:$AD$500,
       MATCH(CPU_Formula!A3, Input!$J$2:$J$500, 0),
       MATCH("CPU model", Input!$D$1:$AD$1, 0))</f>
        <v>#N/A</v>
      </c>
      <c r="C3" s="13" t="str">
        <f t="shared" si="0"/>
        <v/>
      </c>
      <c r="D3" s="13" t="str">
        <f t="shared" si="1"/>
        <v/>
      </c>
      <c r="E3" s="13" t="str">
        <f t="shared" si="2"/>
        <v/>
      </c>
      <c r="F3" s="13" t="str">
        <f t="shared" si="3"/>
        <v/>
      </c>
      <c r="G3" s="13" t="str">
        <f t="shared" si="4"/>
        <v/>
      </c>
      <c r="H3" s="13" t="str">
        <f t="shared" si="5"/>
        <v/>
      </c>
      <c r="I3" t="str">
        <f t="shared" si="6"/>
        <v/>
      </c>
    </row>
    <row r="4" spans="1:9">
      <c r="A4">
        <f>CSV!B4</f>
        <v>0</v>
      </c>
      <c r="B4" s="13" t="e">
        <f>INDEX(Input!$D$2:$AD$500,
       MATCH(CPU_Formula!A4, Input!$J$2:$J$500, 0),
       MATCH("CPU model", Input!$D$1:$AD$1, 0))</f>
        <v>#N/A</v>
      </c>
      <c r="C4" s="13" t="str">
        <f t="shared" si="0"/>
        <v/>
      </c>
      <c r="D4" s="13" t="str">
        <f t="shared" si="1"/>
        <v/>
      </c>
      <c r="E4" s="13" t="str">
        <f t="shared" si="2"/>
        <v/>
      </c>
      <c r="F4" s="13" t="str">
        <f t="shared" si="3"/>
        <v/>
      </c>
      <c r="G4" s="13" t="str">
        <f t="shared" si="4"/>
        <v/>
      </c>
      <c r="H4" s="13" t="str">
        <f t="shared" si="5"/>
        <v/>
      </c>
      <c r="I4" t="str">
        <f t="shared" si="6"/>
        <v/>
      </c>
    </row>
    <row r="5" spans="1:9">
      <c r="A5">
        <f>CSV!B5</f>
        <v>0</v>
      </c>
      <c r="B5" s="13" t="e">
        <f>INDEX(Input!$D$2:$AD$500,
       MATCH(CPU_Formula!A5, Input!$J$2:$J$500, 0),
       MATCH("CPU model", Input!$D$1:$AD$1, 0))</f>
        <v>#N/A</v>
      </c>
      <c r="C5" s="13" t="str">
        <f t="shared" si="0"/>
        <v/>
      </c>
      <c r="D5" s="13" t="str">
        <f t="shared" si="1"/>
        <v/>
      </c>
      <c r="E5" s="13" t="str">
        <f t="shared" si="2"/>
        <v/>
      </c>
      <c r="F5" s="13" t="str">
        <f t="shared" si="3"/>
        <v/>
      </c>
      <c r="G5" s="13" t="str">
        <f t="shared" si="4"/>
        <v/>
      </c>
      <c r="H5" s="13" t="str">
        <f t="shared" si="5"/>
        <v/>
      </c>
      <c r="I5" t="str">
        <f t="shared" si="6"/>
        <v/>
      </c>
    </row>
    <row r="6" spans="1:9">
      <c r="A6">
        <f>CSV!B6</f>
        <v>0</v>
      </c>
      <c r="B6" s="13" t="e">
        <f>INDEX(Input!$D$2:$AD$500,
       MATCH(CPU_Formula!A6, Input!$J$2:$J$500, 0),
       MATCH("CPU model", Input!$D$1:$AD$1, 0))</f>
        <v>#N/A</v>
      </c>
      <c r="C6" s="13" t="str">
        <f t="shared" si="0"/>
        <v/>
      </c>
      <c r="D6" s="13" t="str">
        <f t="shared" si="1"/>
        <v/>
      </c>
      <c r="E6" s="13" t="str">
        <f t="shared" si="2"/>
        <v/>
      </c>
      <c r="F6" s="13" t="str">
        <f t="shared" si="3"/>
        <v/>
      </c>
      <c r="G6" s="13" t="str">
        <f t="shared" si="4"/>
        <v/>
      </c>
      <c r="H6" s="13" t="str">
        <f t="shared" si="5"/>
        <v/>
      </c>
      <c r="I6" t="str">
        <f t="shared" si="6"/>
        <v/>
      </c>
    </row>
    <row r="7" spans="1:9">
      <c r="A7">
        <f>CSV!B7</f>
        <v>0</v>
      </c>
      <c r="B7" s="13" t="e">
        <f>INDEX(Input!$D$2:$AD$500,
       MATCH(CPU_Formula!A7, Input!$J$2:$J$500, 0),
       MATCH("CPU model", Input!$D$1:$AD$1, 0))</f>
        <v>#N/A</v>
      </c>
      <c r="C7" s="13" t="str">
        <f t="shared" si="0"/>
        <v/>
      </c>
      <c r="D7" s="13" t="str">
        <f t="shared" si="1"/>
        <v/>
      </c>
      <c r="E7" s="13" t="str">
        <f t="shared" si="2"/>
        <v/>
      </c>
      <c r="F7" s="13" t="str">
        <f t="shared" si="3"/>
        <v/>
      </c>
      <c r="G7" s="13" t="str">
        <f t="shared" si="4"/>
        <v/>
      </c>
      <c r="H7" s="13" t="str">
        <f t="shared" si="5"/>
        <v/>
      </c>
      <c r="I7" t="str">
        <f t="shared" si="6"/>
        <v/>
      </c>
    </row>
    <row r="8" spans="1:9">
      <c r="A8">
        <f>CSV!B8</f>
        <v>0</v>
      </c>
      <c r="B8" s="13" t="e">
        <f>INDEX(Input!$D$2:$AD$500,
       MATCH(CPU_Formula!A8, Input!$J$2:$J$500, 0),
       MATCH("CPU model", Input!$D$1:$AD$1, 0))</f>
        <v>#N/A</v>
      </c>
      <c r="C8" s="13" t="str">
        <f t="shared" si="0"/>
        <v/>
      </c>
      <c r="D8" s="13" t="str">
        <f t="shared" si="1"/>
        <v/>
      </c>
      <c r="E8" s="13" t="str">
        <f t="shared" si="2"/>
        <v/>
      </c>
      <c r="F8" s="13" t="str">
        <f t="shared" si="3"/>
        <v/>
      </c>
      <c r="G8" s="13" t="str">
        <f t="shared" si="4"/>
        <v/>
      </c>
      <c r="H8" s="13" t="str">
        <f t="shared" si="5"/>
        <v/>
      </c>
      <c r="I8" t="str">
        <f t="shared" si="6"/>
        <v/>
      </c>
    </row>
    <row r="9" spans="1:9">
      <c r="A9">
        <f>CSV!B9</f>
        <v>0</v>
      </c>
      <c r="B9" s="13" t="e">
        <f>INDEX(Input!$D$2:$AD$500,
       MATCH(CPU_Formula!A9, Input!$J$2:$J$500, 0),
       MATCH("CPU model", Input!$D$1:$AD$1, 0))</f>
        <v>#N/A</v>
      </c>
      <c r="C9" s="13" t="str">
        <f t="shared" si="0"/>
        <v/>
      </c>
      <c r="D9" s="13" t="str">
        <f t="shared" si="1"/>
        <v/>
      </c>
      <c r="E9" s="13" t="str">
        <f t="shared" si="2"/>
        <v/>
      </c>
      <c r="F9" s="13" t="str">
        <f t="shared" si="3"/>
        <v/>
      </c>
      <c r="G9" s="13" t="str">
        <f t="shared" si="4"/>
        <v/>
      </c>
      <c r="H9" s="13" t="str">
        <f t="shared" si="5"/>
        <v/>
      </c>
      <c r="I9" t="str">
        <f t="shared" si="6"/>
        <v/>
      </c>
    </row>
    <row r="10" spans="1:9">
      <c r="A10">
        <f>CSV!B10</f>
        <v>0</v>
      </c>
      <c r="B10" s="13" t="e">
        <f>INDEX(Input!$D$2:$AD$500,
       MATCH(CPU_Formula!A10, Input!$J$2:$J$500, 0),
       MATCH("CPU model", Input!$D$1:$AD$1, 0))</f>
        <v>#N/A</v>
      </c>
      <c r="C10" s="13" t="str">
        <f t="shared" si="0"/>
        <v/>
      </c>
      <c r="D10" s="13" t="str">
        <f t="shared" si="1"/>
        <v/>
      </c>
      <c r="E10" s="13" t="str">
        <f t="shared" si="2"/>
        <v/>
      </c>
      <c r="F10" s="13" t="str">
        <f t="shared" si="3"/>
        <v/>
      </c>
      <c r="G10" s="13" t="str">
        <f t="shared" si="4"/>
        <v/>
      </c>
      <c r="H10" s="13" t="str">
        <f t="shared" si="5"/>
        <v/>
      </c>
      <c r="I10" t="str">
        <f t="shared" si="6"/>
        <v/>
      </c>
    </row>
    <row r="11" spans="1:9">
      <c r="A11">
        <f>CSV!B11</f>
        <v>0</v>
      </c>
      <c r="B11" s="13" t="e">
        <f>INDEX(Input!$D$2:$AD$500,
       MATCH(CPU_Formula!A11, Input!$J$2:$J$500, 0),
       MATCH("CPU model", Input!$D$1:$AD$1, 0))</f>
        <v>#N/A</v>
      </c>
      <c r="C11" s="13" t="str">
        <f t="shared" si="0"/>
        <v/>
      </c>
      <c r="D11" s="13" t="str">
        <f t="shared" si="1"/>
        <v/>
      </c>
      <c r="E11" s="13" t="str">
        <f t="shared" si="2"/>
        <v/>
      </c>
      <c r="F11" s="13" t="str">
        <f t="shared" si="3"/>
        <v/>
      </c>
      <c r="G11" s="13" t="str">
        <f t="shared" si="4"/>
        <v/>
      </c>
      <c r="H11" s="13" t="str">
        <f t="shared" si="5"/>
        <v/>
      </c>
      <c r="I11" t="str">
        <f t="shared" si="6"/>
        <v/>
      </c>
    </row>
    <row r="12" spans="1:9">
      <c r="A12">
        <f>CSV!B12</f>
        <v>0</v>
      </c>
      <c r="B12" s="13" t="e">
        <f>INDEX(Input!$D$2:$AD$500,
       MATCH(CPU_Formula!A12, Input!$J$2:$J$500, 0),
       MATCH("CPU model", Input!$D$1:$AD$1, 0))</f>
        <v>#N/A</v>
      </c>
      <c r="C12" s="13" t="str">
        <f t="shared" si="0"/>
        <v/>
      </c>
      <c r="D12" s="13" t="str">
        <f t="shared" si="1"/>
        <v/>
      </c>
      <c r="E12" s="13" t="str">
        <f t="shared" si="2"/>
        <v/>
      </c>
      <c r="F12" s="13" t="str">
        <f t="shared" si="3"/>
        <v/>
      </c>
      <c r="G12" s="13" t="str">
        <f t="shared" si="4"/>
        <v/>
      </c>
      <c r="H12" s="13" t="str">
        <f t="shared" si="5"/>
        <v/>
      </c>
      <c r="I12" t="str">
        <f t="shared" si="6"/>
        <v/>
      </c>
    </row>
    <row r="13" spans="1:9">
      <c r="A13">
        <f>CSV!B13</f>
        <v>0</v>
      </c>
      <c r="B13" s="13" t="e">
        <f>INDEX(Input!$D$2:$AD$500,
       MATCH(CPU_Formula!A13, Input!$J$2:$J$500, 0),
       MATCH("CPU model", Input!$D$1:$AD$1, 0))</f>
        <v>#N/A</v>
      </c>
      <c r="C13" s="13" t="str">
        <f t="shared" si="0"/>
        <v/>
      </c>
      <c r="D13" s="13" t="str">
        <f t="shared" si="1"/>
        <v/>
      </c>
      <c r="E13" s="13" t="str">
        <f t="shared" si="2"/>
        <v/>
      </c>
      <c r="F13" s="13" t="str">
        <f t="shared" si="3"/>
        <v/>
      </c>
      <c r="G13" s="13" t="str">
        <f t="shared" si="4"/>
        <v/>
      </c>
      <c r="H13" s="13" t="str">
        <f t="shared" si="5"/>
        <v/>
      </c>
      <c r="I13" t="str">
        <f t="shared" si="6"/>
        <v/>
      </c>
    </row>
    <row r="14" spans="1:9">
      <c r="A14">
        <f>CSV!B14</f>
        <v>0</v>
      </c>
      <c r="B14" s="13" t="e">
        <f>INDEX(Input!$D$2:$AD$500,
       MATCH(CPU_Formula!A14, Input!$J$2:$J$500, 0),
       MATCH("CPU model", Input!$D$1:$AD$1, 0))</f>
        <v>#N/A</v>
      </c>
      <c r="C14" s="13" t="str">
        <f t="shared" si="0"/>
        <v/>
      </c>
      <c r="D14" s="13" t="str">
        <f t="shared" si="1"/>
        <v/>
      </c>
      <c r="E14" s="13" t="str">
        <f t="shared" si="2"/>
        <v/>
      </c>
      <c r="F14" s="13" t="str">
        <f t="shared" si="3"/>
        <v/>
      </c>
      <c r="G14" s="13" t="str">
        <f t="shared" si="4"/>
        <v/>
      </c>
      <c r="H14" s="13" t="str">
        <f t="shared" si="5"/>
        <v/>
      </c>
      <c r="I14" t="str">
        <f t="shared" si="6"/>
        <v/>
      </c>
    </row>
    <row r="15" spans="1:9">
      <c r="A15">
        <f>CSV!B15</f>
        <v>0</v>
      </c>
      <c r="B15" s="13" t="e">
        <f>INDEX(Input!$D$2:$AD$500,
       MATCH(CPU_Formula!A15, Input!$J$2:$J$500, 0),
       MATCH("CPU model", Input!$D$1:$AD$1, 0))</f>
        <v>#N/A</v>
      </c>
      <c r="C15" s="13" t="str">
        <f t="shared" si="0"/>
        <v/>
      </c>
      <c r="D15" s="13" t="str">
        <f t="shared" si="1"/>
        <v/>
      </c>
      <c r="E15" s="13" t="str">
        <f t="shared" si="2"/>
        <v/>
      </c>
      <c r="F15" s="13" t="str">
        <f t="shared" si="3"/>
        <v/>
      </c>
      <c r="G15" s="13" t="str">
        <f t="shared" si="4"/>
        <v/>
      </c>
      <c r="H15" s="13" t="str">
        <f t="shared" si="5"/>
        <v/>
      </c>
      <c r="I15" t="str">
        <f t="shared" si="6"/>
        <v/>
      </c>
    </row>
    <row r="16" spans="1:9">
      <c r="A16">
        <f>CSV!B16</f>
        <v>0</v>
      </c>
      <c r="B16" s="13" t="e">
        <f>INDEX(Input!$D$2:$AD$500,
       MATCH(CPU_Formula!A16, Input!$J$2:$J$500, 0),
       MATCH("CPU model", Input!$D$1:$AD$1, 0))</f>
        <v>#N/A</v>
      </c>
      <c r="C16" s="13" t="str">
        <f t="shared" si="0"/>
        <v/>
      </c>
      <c r="D16" s="13" t="str">
        <f t="shared" si="1"/>
        <v/>
      </c>
      <c r="E16" s="13" t="str">
        <f t="shared" si="2"/>
        <v/>
      </c>
      <c r="F16" s="13" t="str">
        <f t="shared" si="3"/>
        <v/>
      </c>
      <c r="G16" s="13" t="str">
        <f t="shared" si="4"/>
        <v/>
      </c>
      <c r="H16" s="13" t="str">
        <f t="shared" si="5"/>
        <v/>
      </c>
      <c r="I16" t="str">
        <f t="shared" si="6"/>
        <v/>
      </c>
    </row>
    <row r="17" spans="1:9">
      <c r="A17">
        <f>CSV!B17</f>
        <v>0</v>
      </c>
      <c r="B17" s="13" t="e">
        <f>INDEX(Input!$D$2:$AD$500,
       MATCH(CPU_Formula!A17, Input!$J$2:$J$500, 0),
       MATCH("CPU model", Input!$D$1:$AD$1, 0))</f>
        <v>#N/A</v>
      </c>
      <c r="C17" s="13" t="str">
        <f t="shared" si="0"/>
        <v/>
      </c>
      <c r="D17" s="13" t="str">
        <f t="shared" si="1"/>
        <v/>
      </c>
      <c r="E17" s="13" t="str">
        <f t="shared" si="2"/>
        <v/>
      </c>
      <c r="F17" s="13" t="str">
        <f t="shared" si="3"/>
        <v/>
      </c>
      <c r="G17" s="13" t="str">
        <f t="shared" si="4"/>
        <v/>
      </c>
      <c r="H17" s="13" t="str">
        <f t="shared" si="5"/>
        <v/>
      </c>
      <c r="I17" t="str">
        <f t="shared" si="6"/>
        <v/>
      </c>
    </row>
    <row r="18" spans="1:9">
      <c r="A18">
        <f>CSV!B18</f>
        <v>0</v>
      </c>
      <c r="B18" s="13" t="e">
        <f>INDEX(Input!$D$2:$AD$500,
       MATCH(CPU_Formula!A18, Input!$J$2:$J$500, 0),
       MATCH("CPU model", Input!$D$1:$AD$1, 0))</f>
        <v>#N/A</v>
      </c>
      <c r="C18" s="13" t="str">
        <f t="shared" si="0"/>
        <v/>
      </c>
      <c r="D18" s="13" t="str">
        <f t="shared" si="1"/>
        <v/>
      </c>
      <c r="E18" s="13" t="str">
        <f t="shared" si="2"/>
        <v/>
      </c>
      <c r="F18" s="13" t="str">
        <f t="shared" si="3"/>
        <v/>
      </c>
      <c r="G18" s="13" t="str">
        <f t="shared" si="4"/>
        <v/>
      </c>
      <c r="H18" s="13" t="str">
        <f t="shared" si="5"/>
        <v/>
      </c>
      <c r="I18" t="str">
        <f t="shared" si="6"/>
        <v/>
      </c>
    </row>
    <row r="19" spans="1:9">
      <c r="A19">
        <f>CSV!B19</f>
        <v>0</v>
      </c>
      <c r="B19" s="13" t="e">
        <f>INDEX(Input!$D$2:$AD$500,
       MATCH(CPU_Formula!A19, Input!$J$2:$J$500, 0),
       MATCH("CPU model", Input!$D$1:$AD$1, 0))</f>
        <v>#N/A</v>
      </c>
      <c r="C19" s="13" t="str">
        <f t="shared" si="0"/>
        <v/>
      </c>
      <c r="D19" s="13" t="str">
        <f t="shared" si="1"/>
        <v/>
      </c>
      <c r="E19" s="13" t="str">
        <f t="shared" si="2"/>
        <v/>
      </c>
      <c r="F19" s="13" t="str">
        <f t="shared" si="3"/>
        <v/>
      </c>
      <c r="G19" s="13" t="str">
        <f t="shared" si="4"/>
        <v/>
      </c>
      <c r="H19" s="13" t="str">
        <f t="shared" si="5"/>
        <v/>
      </c>
      <c r="I19" t="str">
        <f t="shared" si="6"/>
        <v/>
      </c>
    </row>
    <row r="20" spans="1:9">
      <c r="A20">
        <f>CSV!B20</f>
        <v>0</v>
      </c>
      <c r="B20" s="13" t="e">
        <f>INDEX(Input!$D$2:$AD$500,
       MATCH(CPU_Formula!A20, Input!$J$2:$J$500, 0),
       MATCH("CPU model", Input!$D$1:$AD$1, 0))</f>
        <v>#N/A</v>
      </c>
      <c r="C20" s="13" t="str">
        <f t="shared" si="0"/>
        <v/>
      </c>
      <c r="D20" s="13" t="str">
        <f t="shared" si="1"/>
        <v/>
      </c>
      <c r="E20" s="13" t="str">
        <f t="shared" si="2"/>
        <v/>
      </c>
      <c r="F20" s="13" t="str">
        <f t="shared" si="3"/>
        <v/>
      </c>
      <c r="G20" s="13" t="str">
        <f t="shared" si="4"/>
        <v/>
      </c>
      <c r="H20" s="13" t="str">
        <f t="shared" si="5"/>
        <v/>
      </c>
      <c r="I20" t="str">
        <f t="shared" si="6"/>
        <v/>
      </c>
    </row>
    <row r="21" spans="1:9">
      <c r="A21">
        <f>CSV!B21</f>
        <v>0</v>
      </c>
      <c r="B21" s="13" t="e">
        <f>INDEX(Input!$D$2:$AD$500,
       MATCH(CPU_Formula!A21, Input!$J$2:$J$500, 0),
       MATCH("CPU model", Input!$D$1:$AD$1, 0))</f>
        <v>#N/A</v>
      </c>
      <c r="C21" s="13" t="str">
        <f t="shared" si="0"/>
        <v/>
      </c>
      <c r="D21" s="13" t="str">
        <f t="shared" si="1"/>
        <v/>
      </c>
      <c r="E21" s="13" t="str">
        <f t="shared" si="2"/>
        <v/>
      </c>
      <c r="F21" s="13" t="str">
        <f t="shared" si="3"/>
        <v/>
      </c>
      <c r="G21" s="13" t="str">
        <f t="shared" si="4"/>
        <v/>
      </c>
      <c r="H21" s="13" t="str">
        <f t="shared" si="5"/>
        <v/>
      </c>
      <c r="I21" t="str">
        <f t="shared" si="6"/>
        <v/>
      </c>
    </row>
    <row r="22" spans="1:9">
      <c r="A22">
        <f>CSV!B22</f>
        <v>0</v>
      </c>
      <c r="B22" s="13" t="e">
        <f>INDEX(Input!$D$2:$AD$500,
       MATCH(CPU_Formula!A22, Input!$J$2:$J$500, 0),
       MATCH("CPU model", Input!$D$1:$AD$1, 0))</f>
        <v>#N/A</v>
      </c>
      <c r="C22" s="13" t="str">
        <f t="shared" si="0"/>
        <v/>
      </c>
      <c r="D22" s="13" t="str">
        <f t="shared" si="1"/>
        <v/>
      </c>
      <c r="E22" s="13" t="str">
        <f t="shared" si="2"/>
        <v/>
      </c>
      <c r="F22" s="13" t="str">
        <f t="shared" si="3"/>
        <v/>
      </c>
      <c r="G22" s="13" t="str">
        <f t="shared" si="4"/>
        <v/>
      </c>
      <c r="H22" s="13" t="str">
        <f t="shared" si="5"/>
        <v/>
      </c>
      <c r="I22" t="str">
        <f t="shared" si="6"/>
        <v/>
      </c>
    </row>
    <row r="23" spans="1:9">
      <c r="A23">
        <f>CSV!B23</f>
        <v>0</v>
      </c>
      <c r="B23" s="13" t="e">
        <f>INDEX(Input!$D$2:$AD$500,
       MATCH(CPU_Formula!A23, Input!$J$2:$J$500, 0),
       MATCH("CPU model", Input!$D$1:$AD$1, 0))</f>
        <v>#N/A</v>
      </c>
      <c r="C23" s="13" t="str">
        <f t="shared" si="0"/>
        <v/>
      </c>
      <c r="D23" s="13" t="str">
        <f t="shared" si="1"/>
        <v/>
      </c>
      <c r="E23" s="13" t="str">
        <f t="shared" si="2"/>
        <v/>
      </c>
      <c r="F23" s="13" t="str">
        <f t="shared" si="3"/>
        <v/>
      </c>
      <c r="G23" s="13" t="str">
        <f t="shared" si="4"/>
        <v/>
      </c>
      <c r="H23" s="13" t="str">
        <f t="shared" si="5"/>
        <v/>
      </c>
      <c r="I23" t="str">
        <f t="shared" si="6"/>
        <v/>
      </c>
    </row>
    <row r="24" spans="1:9">
      <c r="A24">
        <f>CSV!B24</f>
        <v>0</v>
      </c>
      <c r="B24" s="13" t="e">
        <f>INDEX(Input!$D$2:$AD$500,
       MATCH(CPU_Formula!A24, Input!$J$2:$J$500, 0),
       MATCH("CPU model", Input!$D$1:$AD$1, 0))</f>
        <v>#N/A</v>
      </c>
      <c r="C24" s="13" t="str">
        <f t="shared" si="0"/>
        <v/>
      </c>
      <c r="D24" s="13" t="str">
        <f t="shared" si="1"/>
        <v/>
      </c>
      <c r="E24" s="13" t="str">
        <f t="shared" si="2"/>
        <v/>
      </c>
      <c r="F24" s="13" t="str">
        <f t="shared" si="3"/>
        <v/>
      </c>
      <c r="G24" s="13" t="str">
        <f t="shared" si="4"/>
        <v/>
      </c>
      <c r="H24" s="13" t="str">
        <f t="shared" si="5"/>
        <v/>
      </c>
      <c r="I24" t="str">
        <f t="shared" si="6"/>
        <v/>
      </c>
    </row>
    <row r="25" spans="1:9">
      <c r="A25">
        <f>CSV!B25</f>
        <v>0</v>
      </c>
      <c r="B25" s="13" t="e">
        <f>INDEX(Input!$D$2:$AD$500,
       MATCH(CPU_Formula!A25, Input!$J$2:$J$500, 0),
       MATCH("CPU model", Input!$D$1:$AD$1, 0))</f>
        <v>#N/A</v>
      </c>
      <c r="C25" s="13" t="str">
        <f t="shared" si="0"/>
        <v/>
      </c>
      <c r="D25" s="13" t="str">
        <f t="shared" si="1"/>
        <v/>
      </c>
      <c r="E25" s="13" t="str">
        <f t="shared" si="2"/>
        <v/>
      </c>
      <c r="F25" s="13" t="str">
        <f t="shared" si="3"/>
        <v/>
      </c>
      <c r="G25" s="13" t="str">
        <f t="shared" si="4"/>
        <v/>
      </c>
      <c r="H25" s="13" t="str">
        <f t="shared" si="5"/>
        <v/>
      </c>
      <c r="I25" t="str">
        <f t="shared" si="6"/>
        <v/>
      </c>
    </row>
    <row r="26" spans="1:9">
      <c r="A26">
        <f>CSV!B26</f>
        <v>0</v>
      </c>
      <c r="B26" s="13" t="e">
        <f>INDEX(Input!$D$2:$AD$500,
       MATCH(CPU_Formula!A26, Input!$J$2:$J$500, 0),
       MATCH("CPU model", Input!$D$1:$AD$1, 0))</f>
        <v>#N/A</v>
      </c>
      <c r="C26" s="13" t="str">
        <f t="shared" si="0"/>
        <v/>
      </c>
      <c r="D26" s="13" t="str">
        <f t="shared" si="1"/>
        <v/>
      </c>
      <c r="E26" s="13" t="str">
        <f t="shared" si="2"/>
        <v/>
      </c>
      <c r="F26" s="13" t="str">
        <f t="shared" si="3"/>
        <v/>
      </c>
      <c r="G26" s="13" t="str">
        <f t="shared" si="4"/>
        <v/>
      </c>
      <c r="H26" s="13" t="str">
        <f t="shared" si="5"/>
        <v/>
      </c>
      <c r="I26" t="str">
        <f t="shared" si="6"/>
        <v/>
      </c>
    </row>
    <row r="27" spans="1:9">
      <c r="A27">
        <f>CSV!B27</f>
        <v>0</v>
      </c>
      <c r="B27" s="13" t="e">
        <f>INDEX(Input!$D$2:$AD$500,
       MATCH(CPU_Formula!A27, Input!$J$2:$J$500, 0),
       MATCH("CPU model", Input!$D$1:$AD$1, 0))</f>
        <v>#N/A</v>
      </c>
      <c r="C27" s="13" t="str">
        <f t="shared" si="0"/>
        <v/>
      </c>
      <c r="D27" s="13" t="str">
        <f t="shared" si="1"/>
        <v/>
      </c>
      <c r="E27" s="13" t="str">
        <f t="shared" si="2"/>
        <v/>
      </c>
      <c r="F27" s="13" t="str">
        <f t="shared" si="3"/>
        <v/>
      </c>
      <c r="G27" s="13" t="str">
        <f t="shared" si="4"/>
        <v/>
      </c>
      <c r="H27" s="13" t="str">
        <f t="shared" si="5"/>
        <v/>
      </c>
      <c r="I27" t="str">
        <f t="shared" si="6"/>
        <v/>
      </c>
    </row>
    <row r="28" spans="1:9">
      <c r="A28">
        <f>CSV!B28</f>
        <v>0</v>
      </c>
      <c r="B28" s="13" t="e">
        <f>INDEX(Input!$D$2:$AD$500,
       MATCH(CPU_Formula!A28, Input!$J$2:$J$500, 0),
       MATCH("CPU model", Input!$D$1:$AD$1, 0))</f>
        <v>#N/A</v>
      </c>
      <c r="C28" s="13" t="str">
        <f t="shared" si="0"/>
        <v/>
      </c>
      <c r="D28" s="13" t="str">
        <f t="shared" si="1"/>
        <v/>
      </c>
      <c r="E28" s="13" t="str">
        <f t="shared" si="2"/>
        <v/>
      </c>
      <c r="F28" s="13" t="str">
        <f t="shared" si="3"/>
        <v/>
      </c>
      <c r="G28" s="13" t="str">
        <f t="shared" si="4"/>
        <v/>
      </c>
      <c r="H28" s="13" t="str">
        <f t="shared" si="5"/>
        <v/>
      </c>
      <c r="I28" t="str">
        <f t="shared" si="6"/>
        <v/>
      </c>
    </row>
    <row r="29" spans="1:9">
      <c r="A29">
        <f>CSV!B29</f>
        <v>0</v>
      </c>
      <c r="B29" s="13" t="e">
        <f>INDEX(Input!$D$2:$AD$500,
       MATCH(CPU_Formula!A29, Input!$J$2:$J$500, 0),
       MATCH("CPU model", Input!$D$1:$AD$1, 0))</f>
        <v>#N/A</v>
      </c>
      <c r="C29" s="13" t="str">
        <f t="shared" si="0"/>
        <v/>
      </c>
      <c r="D29" s="13" t="str">
        <f t="shared" si="1"/>
        <v/>
      </c>
      <c r="E29" s="13" t="str">
        <f t="shared" si="2"/>
        <v/>
      </c>
      <c r="F29" s="13" t="str">
        <f t="shared" si="3"/>
        <v/>
      </c>
      <c r="G29" s="13" t="str">
        <f t="shared" si="4"/>
        <v/>
      </c>
      <c r="H29" s="13" t="str">
        <f t="shared" si="5"/>
        <v/>
      </c>
      <c r="I29" t="str">
        <f t="shared" si="6"/>
        <v/>
      </c>
    </row>
    <row r="30" spans="1:9">
      <c r="A30">
        <f>CSV!B30</f>
        <v>0</v>
      </c>
      <c r="B30" s="13" t="e">
        <f>INDEX(Input!$D$2:$AD$500,
       MATCH(CPU_Formula!A30, Input!$J$2:$J$500, 0),
       MATCH("CPU model", Input!$D$1:$AD$1, 0))</f>
        <v>#N/A</v>
      </c>
      <c r="C30" s="13" t="str">
        <f t="shared" si="0"/>
        <v/>
      </c>
      <c r="D30" s="13" t="str">
        <f t="shared" si="1"/>
        <v/>
      </c>
      <c r="E30" s="13" t="str">
        <f t="shared" si="2"/>
        <v/>
      </c>
      <c r="F30" s="13" t="str">
        <f t="shared" si="3"/>
        <v/>
      </c>
      <c r="G30" s="13" t="str">
        <f t="shared" si="4"/>
        <v/>
      </c>
      <c r="H30" s="13" t="str">
        <f t="shared" si="5"/>
        <v/>
      </c>
      <c r="I30" t="str">
        <f t="shared" si="6"/>
        <v/>
      </c>
    </row>
    <row r="31" spans="1:9">
      <c r="A31">
        <f>CSV!B31</f>
        <v>0</v>
      </c>
      <c r="B31" s="13" t="e">
        <f>INDEX(Input!$D$2:$AD$500,
       MATCH(CPU_Formula!A31, Input!$J$2:$J$500, 0),
       MATCH("CPU model", Input!$D$1:$AD$1, 0))</f>
        <v>#N/A</v>
      </c>
      <c r="C31" s="13" t="str">
        <f t="shared" si="0"/>
        <v/>
      </c>
      <c r="D31" s="13" t="str">
        <f t="shared" si="1"/>
        <v/>
      </c>
      <c r="E31" s="13" t="str">
        <f t="shared" si="2"/>
        <v/>
      </c>
      <c r="F31" s="13" t="str">
        <f t="shared" si="3"/>
        <v/>
      </c>
      <c r="G31" s="13" t="str">
        <f t="shared" si="4"/>
        <v/>
      </c>
      <c r="H31" s="13" t="str">
        <f t="shared" si="5"/>
        <v/>
      </c>
      <c r="I31" t="str">
        <f t="shared" si="6"/>
        <v/>
      </c>
    </row>
    <row r="32" spans="1:9">
      <c r="A32">
        <f>CSV!B32</f>
        <v>0</v>
      </c>
      <c r="B32" s="13" t="e">
        <f>INDEX(Input!$D$2:$AD$500,
       MATCH(CPU_Formula!A32, Input!$J$2:$J$500, 0),
       MATCH("CPU model", Input!$D$1:$AD$1, 0))</f>
        <v>#N/A</v>
      </c>
      <c r="C32" s="13" t="str">
        <f t="shared" si="0"/>
        <v/>
      </c>
      <c r="D32" s="13" t="str">
        <f t="shared" si="1"/>
        <v/>
      </c>
      <c r="E32" s="13" t="str">
        <f t="shared" si="2"/>
        <v/>
      </c>
      <c r="F32" s="13" t="str">
        <f t="shared" si="3"/>
        <v/>
      </c>
      <c r="G32" s="13" t="str">
        <f t="shared" si="4"/>
        <v/>
      </c>
      <c r="H32" s="13" t="str">
        <f t="shared" si="5"/>
        <v/>
      </c>
      <c r="I32" t="str">
        <f t="shared" si="6"/>
        <v/>
      </c>
    </row>
    <row r="33" spans="1:9">
      <c r="A33">
        <f>CSV!B33</f>
        <v>0</v>
      </c>
      <c r="B33" s="13" t="e">
        <f>INDEX(Input!$D$2:$AD$500,
       MATCH(CPU_Formula!A33, Input!$J$2:$J$500, 0),
       MATCH("CPU model", Input!$D$1:$AD$1, 0))</f>
        <v>#N/A</v>
      </c>
      <c r="C33" s="13" t="str">
        <f t="shared" si="0"/>
        <v/>
      </c>
      <c r="D33" s="13" t="str">
        <f t="shared" si="1"/>
        <v/>
      </c>
      <c r="E33" s="13" t="str">
        <f t="shared" si="2"/>
        <v/>
      </c>
      <c r="F33" s="13" t="str">
        <f t="shared" si="3"/>
        <v/>
      </c>
      <c r="G33" s="13" t="str">
        <f t="shared" si="4"/>
        <v/>
      </c>
      <c r="H33" s="13" t="str">
        <f t="shared" si="5"/>
        <v/>
      </c>
      <c r="I33" t="str">
        <f t="shared" si="6"/>
        <v/>
      </c>
    </row>
    <row r="34" spans="1:9">
      <c r="A34">
        <f>CSV!B34</f>
        <v>0</v>
      </c>
      <c r="B34" s="13" t="e">
        <f>INDEX(Input!$D$2:$AD$500,
       MATCH(CPU_Formula!A34, Input!$J$2:$J$500, 0),
       MATCH("CPU model", Input!$D$1:$AD$1, 0))</f>
        <v>#N/A</v>
      </c>
      <c r="C34" s="13" t="str">
        <f t="shared" si="0"/>
        <v/>
      </c>
      <c r="D34" s="13" t="str">
        <f t="shared" si="1"/>
        <v/>
      </c>
      <c r="E34" s="13" t="str">
        <f t="shared" si="2"/>
        <v/>
      </c>
      <c r="F34" s="13" t="str">
        <f t="shared" si="3"/>
        <v/>
      </c>
      <c r="G34" s="13" t="str">
        <f t="shared" si="4"/>
        <v/>
      </c>
      <c r="H34" s="13" t="str">
        <f t="shared" si="5"/>
        <v/>
      </c>
      <c r="I34" t="str">
        <f t="shared" si="6"/>
        <v/>
      </c>
    </row>
    <row r="35" spans="1:9">
      <c r="A35">
        <f>CSV!B35</f>
        <v>0</v>
      </c>
      <c r="B35" s="13" t="e">
        <f>INDEX(Input!$D$2:$AD$500,
       MATCH(CPU_Formula!A35, Input!$J$2:$J$500, 0),
       MATCH("CPU model", Input!$D$1:$AD$1, 0))</f>
        <v>#N/A</v>
      </c>
      <c r="C35" s="13" t="str">
        <f t="shared" si="0"/>
        <v/>
      </c>
      <c r="D35" s="13" t="str">
        <f t="shared" si="1"/>
        <v/>
      </c>
      <c r="E35" s="13" t="str">
        <f t="shared" si="2"/>
        <v/>
      </c>
      <c r="F35" s="13" t="str">
        <f t="shared" si="3"/>
        <v/>
      </c>
      <c r="G35" s="13" t="str">
        <f t="shared" si="4"/>
        <v/>
      </c>
      <c r="H35" s="13" t="str">
        <f t="shared" si="5"/>
        <v/>
      </c>
      <c r="I35" t="str">
        <f t="shared" si="6"/>
        <v/>
      </c>
    </row>
    <row r="36" spans="1:9">
      <c r="A36">
        <f>CSV!B36</f>
        <v>0</v>
      </c>
      <c r="B36" s="13" t="e">
        <f>INDEX(Input!$D$2:$AD$500,
       MATCH(CPU_Formula!A36, Input!$J$2:$J$500, 0),
       MATCH("CPU model", Input!$D$1:$AD$1, 0))</f>
        <v>#N/A</v>
      </c>
      <c r="C36" s="13" t="str">
        <f t="shared" si="0"/>
        <v/>
      </c>
      <c r="D36" s="13" t="str">
        <f t="shared" si="1"/>
        <v/>
      </c>
      <c r="E36" s="13" t="str">
        <f t="shared" si="2"/>
        <v/>
      </c>
      <c r="F36" s="13" t="str">
        <f t="shared" si="3"/>
        <v/>
      </c>
      <c r="G36" s="13" t="str">
        <f t="shared" si="4"/>
        <v/>
      </c>
      <c r="H36" s="13" t="str">
        <f t="shared" si="5"/>
        <v/>
      </c>
      <c r="I36" t="str">
        <f t="shared" si="6"/>
        <v/>
      </c>
    </row>
    <row r="37" spans="1:9">
      <c r="A37">
        <f>CSV!B37</f>
        <v>0</v>
      </c>
      <c r="B37" s="13" t="e">
        <f>INDEX(Input!$D$2:$AD$500,
       MATCH(CPU_Formula!A37, Input!$J$2:$J$500, 0),
       MATCH("CPU model", Input!$D$1:$AD$1, 0))</f>
        <v>#N/A</v>
      </c>
      <c r="C37" s="13" t="str">
        <f t="shared" si="0"/>
        <v/>
      </c>
      <c r="D37" s="13" t="str">
        <f t="shared" si="1"/>
        <v/>
      </c>
      <c r="E37" s="13" t="str">
        <f t="shared" si="2"/>
        <v/>
      </c>
      <c r="F37" s="13" t="str">
        <f t="shared" si="3"/>
        <v/>
      </c>
      <c r="G37" s="13" t="str">
        <f t="shared" si="4"/>
        <v/>
      </c>
      <c r="H37" s="13" t="str">
        <f t="shared" si="5"/>
        <v/>
      </c>
      <c r="I37" t="str">
        <f t="shared" si="6"/>
        <v/>
      </c>
    </row>
    <row r="38" spans="1:9">
      <c r="A38">
        <f>CSV!B38</f>
        <v>0</v>
      </c>
      <c r="B38" s="13" t="e">
        <f>INDEX(Input!$D$2:$AD$500,
       MATCH(CPU_Formula!A38, Input!$J$2:$J$500, 0),
       MATCH("CPU model", Input!$D$1:$AD$1, 0))</f>
        <v>#N/A</v>
      </c>
      <c r="C38" s="13" t="str">
        <f t="shared" si="0"/>
        <v/>
      </c>
      <c r="D38" s="13" t="str">
        <f t="shared" si="1"/>
        <v/>
      </c>
      <c r="E38" s="13" t="str">
        <f t="shared" si="2"/>
        <v/>
      </c>
      <c r="F38" s="13" t="str">
        <f t="shared" si="3"/>
        <v/>
      </c>
      <c r="G38" s="13" t="str">
        <f t="shared" si="4"/>
        <v/>
      </c>
      <c r="H38" s="13" t="str">
        <f t="shared" si="5"/>
        <v/>
      </c>
      <c r="I38" t="str">
        <f t="shared" si="6"/>
        <v/>
      </c>
    </row>
    <row r="39" spans="1:9">
      <c r="A39">
        <f>CSV!B39</f>
        <v>0</v>
      </c>
      <c r="B39" s="13" t="e">
        <f>INDEX(Input!$D$2:$AD$500,
       MATCH(CPU_Formula!A39, Input!$J$2:$J$500, 0),
       MATCH("CPU model", Input!$D$1:$AD$1, 0))</f>
        <v>#N/A</v>
      </c>
      <c r="C39" s="13" t="str">
        <f t="shared" si="0"/>
        <v/>
      </c>
      <c r="D39" s="13" t="str">
        <f t="shared" si="1"/>
        <v/>
      </c>
      <c r="E39" s="13" t="str">
        <f t="shared" si="2"/>
        <v/>
      </c>
      <c r="F39" s="13" t="str">
        <f t="shared" si="3"/>
        <v/>
      </c>
      <c r="G39" s="13" t="str">
        <f t="shared" si="4"/>
        <v/>
      </c>
      <c r="H39" s="13" t="str">
        <f t="shared" si="5"/>
        <v/>
      </c>
      <c r="I39" t="str">
        <f t="shared" si="6"/>
        <v/>
      </c>
    </row>
    <row r="40" spans="1:9">
      <c r="A40">
        <f>CSV!B40</f>
        <v>0</v>
      </c>
      <c r="B40" s="13" t="e">
        <f>INDEX(Input!$D$2:$AD$500,
       MATCH(CPU_Formula!A40, Input!$J$2:$J$500, 0),
       MATCH("CPU model", Input!$D$1:$AD$1, 0))</f>
        <v>#N/A</v>
      </c>
      <c r="C40" s="13" t="str">
        <f t="shared" si="0"/>
        <v/>
      </c>
      <c r="D40" s="13" t="str">
        <f t="shared" si="1"/>
        <v/>
      </c>
      <c r="E40" s="13" t="str">
        <f t="shared" si="2"/>
        <v/>
      </c>
      <c r="F40" s="13" t="str">
        <f t="shared" si="3"/>
        <v/>
      </c>
      <c r="G40" s="13" t="str">
        <f>IFERROR(_xlfn.TEXTBEFORE(D40,"w"),"")</f>
        <v/>
      </c>
      <c r="H40" s="13" t="str">
        <f t="shared" si="5"/>
        <v/>
      </c>
      <c r="I40" t="str">
        <f t="shared" si="6"/>
        <v/>
      </c>
    </row>
    <row r="41" spans="1:9">
      <c r="A41">
        <f>CSV!B41</f>
        <v>0</v>
      </c>
      <c r="B41" s="13" t="e">
        <f>INDEX(Input!$D$2:$AD$500,
       MATCH(CPU_Formula!A41, Input!$J$2:$J$500, 0),
       MATCH("CPU model", Input!$D$1:$AD$1, 0))</f>
        <v>#N/A</v>
      </c>
      <c r="C41" s="13" t="str">
        <f t="shared" si="0"/>
        <v/>
      </c>
      <c r="D41" s="13" t="str">
        <f t="shared" si="1"/>
        <v/>
      </c>
      <c r="E41" s="13" t="str">
        <f t="shared" si="2"/>
        <v/>
      </c>
      <c r="F41" s="13" t="str">
        <f t="shared" si="3"/>
        <v/>
      </c>
      <c r="G41" s="13" t="str">
        <f t="shared" si="4"/>
        <v/>
      </c>
      <c r="H41" s="13" t="str">
        <f t="shared" si="5"/>
        <v/>
      </c>
      <c r="I41" t="str">
        <f t="shared" si="6"/>
        <v/>
      </c>
    </row>
    <row r="42" spans="1:9">
      <c r="A42">
        <f>CSV!B42</f>
        <v>0</v>
      </c>
      <c r="B42" s="13" t="e">
        <f>INDEX(Input!$D$2:$AD$500,
       MATCH(CPU_Formula!A42, Input!$J$2:$J$500, 0),
       MATCH("CPU model", Input!$D$1:$AD$1, 0))</f>
        <v>#N/A</v>
      </c>
      <c r="C42" s="13" t="str">
        <f t="shared" si="0"/>
        <v/>
      </c>
      <c r="D42" s="13" t="str">
        <f t="shared" si="1"/>
        <v/>
      </c>
      <c r="E42" s="13" t="str">
        <f t="shared" si="2"/>
        <v/>
      </c>
      <c r="F42" s="13" t="str">
        <f t="shared" si="3"/>
        <v/>
      </c>
      <c r="G42" s="13" t="str">
        <f t="shared" si="4"/>
        <v/>
      </c>
      <c r="H42" s="13" t="str">
        <f t="shared" si="5"/>
        <v/>
      </c>
      <c r="I42" t="str">
        <f t="shared" si="6"/>
        <v/>
      </c>
    </row>
    <row r="43" spans="1:9">
      <c r="A43">
        <f>CSV!B43</f>
        <v>0</v>
      </c>
      <c r="B43" s="13" t="e">
        <f>INDEX(Input!$D$2:$AD$500,
       MATCH(CPU_Formula!A43, Input!$J$2:$J$500, 0),
       MATCH("CPU model", Input!$D$1:$AD$1, 0))</f>
        <v>#N/A</v>
      </c>
      <c r="C43" s="13" t="str">
        <f t="shared" si="0"/>
        <v/>
      </c>
      <c r="D43" s="13" t="str">
        <f t="shared" si="1"/>
        <v/>
      </c>
      <c r="E43" s="13" t="str">
        <f t="shared" si="2"/>
        <v/>
      </c>
      <c r="F43" s="13" t="str">
        <f t="shared" si="3"/>
        <v/>
      </c>
      <c r="G43" s="13" t="str">
        <f t="shared" si="4"/>
        <v/>
      </c>
      <c r="H43" s="13" t="str">
        <f t="shared" si="5"/>
        <v/>
      </c>
      <c r="I43" t="str">
        <f t="shared" si="6"/>
        <v/>
      </c>
    </row>
    <row r="44" spans="1:9">
      <c r="A44">
        <f>CSV!B44</f>
        <v>0</v>
      </c>
      <c r="B44" s="13" t="e">
        <f>INDEX(Input!$D$2:$AD$500,
       MATCH(CPU_Formula!A44, Input!$J$2:$J$500, 0),
       MATCH("CPU model", Input!$D$1:$AD$1, 0))</f>
        <v>#N/A</v>
      </c>
      <c r="C44" s="13" t="str">
        <f t="shared" si="0"/>
        <v/>
      </c>
      <c r="D44" s="13" t="str">
        <f t="shared" si="1"/>
        <v/>
      </c>
      <c r="E44" s="13" t="str">
        <f t="shared" si="2"/>
        <v/>
      </c>
      <c r="F44" s="13" t="str">
        <f t="shared" si="3"/>
        <v/>
      </c>
      <c r="G44" s="13" t="str">
        <f t="shared" si="4"/>
        <v/>
      </c>
      <c r="H44" s="13" t="str">
        <f t="shared" si="5"/>
        <v/>
      </c>
      <c r="I44" t="str">
        <f t="shared" si="6"/>
        <v/>
      </c>
    </row>
    <row r="45" spans="1:9">
      <c r="A45">
        <f>CSV!B45</f>
        <v>0</v>
      </c>
      <c r="B45" s="13" t="e">
        <f>INDEX(Input!$D$2:$AD$500,
       MATCH(CPU_Formula!A45, Input!$J$2:$J$500, 0),
       MATCH("CPU model", Input!$D$1:$AD$1, 0))</f>
        <v>#N/A</v>
      </c>
      <c r="C45" s="13" t="str">
        <f t="shared" si="0"/>
        <v/>
      </c>
      <c r="D45" s="13" t="str">
        <f t="shared" si="1"/>
        <v/>
      </c>
      <c r="E45" s="13" t="str">
        <f t="shared" si="2"/>
        <v/>
      </c>
      <c r="F45" s="13" t="str">
        <f t="shared" si="3"/>
        <v/>
      </c>
      <c r="G45" s="13" t="str">
        <f t="shared" si="4"/>
        <v/>
      </c>
      <c r="H45" s="13" t="str">
        <f t="shared" si="5"/>
        <v/>
      </c>
      <c r="I45" t="str">
        <f t="shared" si="6"/>
        <v/>
      </c>
    </row>
    <row r="46" spans="1:9">
      <c r="A46">
        <f>CSV!B46</f>
        <v>0</v>
      </c>
      <c r="B46" s="13" t="e">
        <f>INDEX(Input!$D$2:$AD$500,
       MATCH(CPU_Formula!A46, Input!$J$2:$J$500, 0),
       MATCH("CPU model", Input!$D$1:$AD$1, 0))</f>
        <v>#N/A</v>
      </c>
      <c r="C46" s="13" t="str">
        <f t="shared" si="0"/>
        <v/>
      </c>
      <c r="D46" s="13" t="str">
        <f t="shared" si="1"/>
        <v/>
      </c>
      <c r="E46" s="13" t="str">
        <f t="shared" si="2"/>
        <v/>
      </c>
      <c r="F46" s="13" t="str">
        <f t="shared" si="3"/>
        <v/>
      </c>
      <c r="G46" s="13" t="str">
        <f t="shared" si="4"/>
        <v/>
      </c>
      <c r="H46" s="13" t="str">
        <f t="shared" si="5"/>
        <v/>
      </c>
      <c r="I46" t="str">
        <f t="shared" si="6"/>
        <v/>
      </c>
    </row>
    <row r="47" spans="1:9">
      <c r="A47">
        <f>CSV!B47</f>
        <v>0</v>
      </c>
      <c r="B47" s="13" t="e">
        <f>INDEX(Input!$D$2:$AD$500,
       MATCH(CPU_Formula!A47, Input!$J$2:$J$500, 0),
       MATCH("CPU model", Input!$D$1:$AD$1, 0))</f>
        <v>#N/A</v>
      </c>
      <c r="C47" s="13" t="str">
        <f t="shared" si="0"/>
        <v/>
      </c>
      <c r="D47" s="13" t="str">
        <f t="shared" si="1"/>
        <v/>
      </c>
      <c r="E47" s="13" t="str">
        <f t="shared" si="2"/>
        <v/>
      </c>
      <c r="F47" s="13" t="str">
        <f t="shared" si="3"/>
        <v/>
      </c>
      <c r="G47" s="13" t="str">
        <f t="shared" si="4"/>
        <v/>
      </c>
      <c r="H47" s="13" t="str">
        <f t="shared" si="5"/>
        <v/>
      </c>
      <c r="I47" t="str">
        <f t="shared" si="6"/>
        <v/>
      </c>
    </row>
    <row r="48" spans="1:9">
      <c r="A48">
        <f>CSV!B48</f>
        <v>0</v>
      </c>
      <c r="B48" s="13" t="e">
        <f>INDEX(Input!$D$2:$AD$500,
       MATCH(CPU_Formula!A48, Input!$J$2:$J$500, 0),
       MATCH("CPU model", Input!$D$1:$AD$1, 0))</f>
        <v>#N/A</v>
      </c>
      <c r="C48" s="13" t="str">
        <f t="shared" si="0"/>
        <v/>
      </c>
      <c r="D48" s="13" t="str">
        <f t="shared" si="1"/>
        <v/>
      </c>
      <c r="E48" s="13" t="str">
        <f t="shared" si="2"/>
        <v/>
      </c>
      <c r="F48" s="13" t="str">
        <f t="shared" si="3"/>
        <v/>
      </c>
      <c r="G48" s="13" t="str">
        <f t="shared" si="4"/>
        <v/>
      </c>
      <c r="H48" s="13" t="str">
        <f t="shared" si="5"/>
        <v/>
      </c>
      <c r="I48" t="str">
        <f t="shared" si="6"/>
        <v/>
      </c>
    </row>
    <row r="49" spans="1:9">
      <c r="A49">
        <f>CSV!B49</f>
        <v>0</v>
      </c>
      <c r="B49" s="13" t="e">
        <f>INDEX(Input!$D$2:$AD$500,
       MATCH(CPU_Formula!A49, Input!$J$2:$J$500, 0),
       MATCH("CPU model", Input!$D$1:$AD$1, 0))</f>
        <v>#N/A</v>
      </c>
      <c r="C49" s="13" t="str">
        <f t="shared" si="0"/>
        <v/>
      </c>
      <c r="D49" s="13" t="str">
        <f t="shared" si="1"/>
        <v/>
      </c>
      <c r="E49" s="13" t="str">
        <f t="shared" si="2"/>
        <v/>
      </c>
      <c r="F49" s="13" t="str">
        <f t="shared" si="3"/>
        <v/>
      </c>
      <c r="G49" s="13" t="str">
        <f t="shared" si="4"/>
        <v/>
      </c>
      <c r="H49" s="13" t="str">
        <f t="shared" si="5"/>
        <v/>
      </c>
      <c r="I49" t="str">
        <f t="shared" si="6"/>
        <v/>
      </c>
    </row>
    <row r="50" spans="1:9">
      <c r="A50">
        <f>CSV!B50</f>
        <v>0</v>
      </c>
      <c r="B50" s="13" t="e">
        <f>INDEX(Input!$D$2:$AD$500,
       MATCH(CPU_Formula!A50, Input!$J$2:$J$500, 0),
       MATCH("CPU model", Input!$D$1:$AD$1, 0))</f>
        <v>#N/A</v>
      </c>
      <c r="C50" s="13" t="str">
        <f t="shared" si="0"/>
        <v/>
      </c>
      <c r="D50" s="13" t="str">
        <f t="shared" si="1"/>
        <v/>
      </c>
      <c r="E50" s="13" t="str">
        <f t="shared" si="2"/>
        <v/>
      </c>
      <c r="F50" s="13" t="str">
        <f t="shared" si="3"/>
        <v/>
      </c>
      <c r="G50" s="13" t="str">
        <f t="shared" si="4"/>
        <v/>
      </c>
      <c r="H50" s="13" t="str">
        <f t="shared" si="5"/>
        <v/>
      </c>
      <c r="I50" t="str">
        <f t="shared" si="6"/>
        <v/>
      </c>
    </row>
    <row r="51" spans="1:9">
      <c r="A51">
        <f>CSV!B51</f>
        <v>0</v>
      </c>
      <c r="B51" s="13" t="e">
        <f>INDEX(Input!$D$2:$AD$500,
       MATCH(CPU_Formula!A51, Input!$J$2:$J$500, 0),
       MATCH("CPU model", Input!$D$1:$AD$1, 0))</f>
        <v>#N/A</v>
      </c>
      <c r="C51" s="13" t="str">
        <f t="shared" si="0"/>
        <v/>
      </c>
      <c r="D51" s="13" t="str">
        <f t="shared" si="1"/>
        <v/>
      </c>
      <c r="E51" s="13" t="str">
        <f t="shared" si="2"/>
        <v/>
      </c>
      <c r="F51" s="13" t="str">
        <f t="shared" si="3"/>
        <v/>
      </c>
      <c r="G51" s="13" t="str">
        <f t="shared" si="4"/>
        <v/>
      </c>
      <c r="H51" s="13" t="str">
        <f t="shared" si="5"/>
        <v/>
      </c>
      <c r="I51" t="str">
        <f t="shared" si="6"/>
        <v/>
      </c>
    </row>
    <row r="52" spans="1:9">
      <c r="A52">
        <f>CSV!B52</f>
        <v>0</v>
      </c>
      <c r="B52" s="13" t="e">
        <f>INDEX(Input!$D$2:$AD$500,
       MATCH(CPU_Formula!A52, Input!$J$2:$J$500, 0),
       MATCH("CPU model", Input!$D$1:$AD$1, 0))</f>
        <v>#N/A</v>
      </c>
      <c r="C52" s="13" t="str">
        <f t="shared" si="0"/>
        <v/>
      </c>
      <c r="D52" s="13" t="str">
        <f t="shared" si="1"/>
        <v/>
      </c>
      <c r="E52" s="13" t="str">
        <f t="shared" si="2"/>
        <v/>
      </c>
      <c r="F52" s="13" t="str">
        <f t="shared" si="3"/>
        <v/>
      </c>
      <c r="G52" s="13" t="str">
        <f t="shared" si="4"/>
        <v/>
      </c>
      <c r="H52" s="13" t="str">
        <f t="shared" si="5"/>
        <v/>
      </c>
      <c r="I52" t="str">
        <f t="shared" si="6"/>
        <v/>
      </c>
    </row>
    <row r="53" spans="1:9">
      <c r="A53">
        <f>CSV!B53</f>
        <v>0</v>
      </c>
      <c r="B53" s="13" t="e">
        <f>INDEX(Input!$D$2:$AD$500,
       MATCH(CPU_Formula!A53, Input!$J$2:$J$500, 0),
       MATCH("CPU model", Input!$D$1:$AD$1, 0))</f>
        <v>#N/A</v>
      </c>
      <c r="C53" s="13" t="str">
        <f t="shared" si="0"/>
        <v/>
      </c>
      <c r="D53" s="13" t="str">
        <f t="shared" si="1"/>
        <v/>
      </c>
      <c r="E53" s="13" t="str">
        <f t="shared" si="2"/>
        <v/>
      </c>
      <c r="F53" s="13" t="str">
        <f t="shared" si="3"/>
        <v/>
      </c>
      <c r="G53" s="13" t="str">
        <f t="shared" si="4"/>
        <v/>
      </c>
      <c r="H53" s="13" t="str">
        <f t="shared" si="5"/>
        <v/>
      </c>
      <c r="I53" t="str">
        <f t="shared" si="6"/>
        <v/>
      </c>
    </row>
    <row r="54" spans="1:9">
      <c r="A54">
        <f>CSV!B54</f>
        <v>0</v>
      </c>
      <c r="B54" s="13" t="e">
        <f>INDEX(Input!$D$2:$AD$500,
       MATCH(CPU_Formula!A54, Input!$J$2:$J$500, 0),
       MATCH("CPU model", Input!$D$1:$AD$1, 0))</f>
        <v>#N/A</v>
      </c>
      <c r="C54" s="13" t="str">
        <f t="shared" si="0"/>
        <v/>
      </c>
      <c r="D54" s="13" t="str">
        <f t="shared" si="1"/>
        <v/>
      </c>
      <c r="E54" s="13" t="str">
        <f t="shared" si="2"/>
        <v/>
      </c>
      <c r="F54" s="13" t="str">
        <f t="shared" si="3"/>
        <v/>
      </c>
      <c r="G54" s="13" t="str">
        <f t="shared" si="4"/>
        <v/>
      </c>
      <c r="H54" s="13" t="str">
        <f t="shared" si="5"/>
        <v/>
      </c>
      <c r="I54" t="str">
        <f t="shared" si="6"/>
        <v/>
      </c>
    </row>
    <row r="55" spans="1:9">
      <c r="A55">
        <f>CSV!B55</f>
        <v>0</v>
      </c>
      <c r="B55" s="13" t="e">
        <f>INDEX(Input!$D$2:$AD$500,
       MATCH(CPU_Formula!A55, Input!$J$2:$J$500, 0),
       MATCH("CPU model", Input!$D$1:$AD$1, 0))</f>
        <v>#N/A</v>
      </c>
      <c r="C55" s="13" t="str">
        <f t="shared" si="0"/>
        <v/>
      </c>
      <c r="D55" s="13" t="str">
        <f t="shared" si="1"/>
        <v/>
      </c>
      <c r="E55" s="13" t="str">
        <f t="shared" si="2"/>
        <v/>
      </c>
      <c r="F55" s="13" t="str">
        <f t="shared" si="3"/>
        <v/>
      </c>
      <c r="G55" s="13" t="str">
        <f t="shared" si="4"/>
        <v/>
      </c>
      <c r="H55" s="13" t="str">
        <f t="shared" si="5"/>
        <v/>
      </c>
      <c r="I55" t="str">
        <f t="shared" si="6"/>
        <v/>
      </c>
    </row>
    <row r="56" spans="1:9">
      <c r="A56">
        <f>CSV!B56</f>
        <v>0</v>
      </c>
      <c r="B56" s="13" t="e">
        <f>INDEX(Input!$D$2:$AD$500,
       MATCH(CPU_Formula!A56, Input!$J$2:$J$500, 0),
       MATCH("CPU model", Input!$D$1:$AD$1, 0))</f>
        <v>#N/A</v>
      </c>
      <c r="C56" s="13" t="str">
        <f t="shared" si="0"/>
        <v/>
      </c>
      <c r="D56" s="13" t="str">
        <f t="shared" si="1"/>
        <v/>
      </c>
      <c r="E56" s="13" t="str">
        <f t="shared" si="2"/>
        <v/>
      </c>
      <c r="F56" s="13" t="str">
        <f t="shared" si="3"/>
        <v/>
      </c>
      <c r="G56" s="13" t="str">
        <f t="shared" si="4"/>
        <v/>
      </c>
      <c r="H56" s="13" t="str">
        <f t="shared" si="5"/>
        <v/>
      </c>
      <c r="I56" t="str">
        <f t="shared" si="6"/>
        <v/>
      </c>
    </row>
    <row r="57" spans="1:9">
      <c r="A57">
        <f>CSV!B57</f>
        <v>0</v>
      </c>
      <c r="B57" s="13" t="e">
        <f>INDEX(Input!$D$2:$AD$500,
       MATCH(CPU_Formula!A57, Input!$J$2:$J$500, 0),
       MATCH("CPU model", Input!$D$1:$AD$1, 0))</f>
        <v>#N/A</v>
      </c>
      <c r="C57" s="13" t="str">
        <f t="shared" si="0"/>
        <v/>
      </c>
      <c r="D57" s="13" t="str">
        <f t="shared" si="1"/>
        <v/>
      </c>
      <c r="E57" s="13" t="str">
        <f t="shared" si="2"/>
        <v/>
      </c>
      <c r="F57" s="13" t="str">
        <f t="shared" si="3"/>
        <v/>
      </c>
      <c r="G57" s="13" t="str">
        <f t="shared" si="4"/>
        <v/>
      </c>
      <c r="H57" s="13" t="str">
        <f t="shared" si="5"/>
        <v/>
      </c>
      <c r="I57" t="str">
        <f t="shared" si="6"/>
        <v/>
      </c>
    </row>
    <row r="58" spans="1:9">
      <c r="A58">
        <f>CSV!B58</f>
        <v>0</v>
      </c>
      <c r="B58" s="13" t="e">
        <f>INDEX(Input!$D$2:$AD$500,
       MATCH(CPU_Formula!A58, Input!$J$2:$J$500, 0),
       MATCH("CPU model", Input!$D$1:$AD$1, 0))</f>
        <v>#N/A</v>
      </c>
      <c r="C58" s="13" t="str">
        <f t="shared" si="0"/>
        <v/>
      </c>
      <c r="D58" s="13" t="str">
        <f t="shared" si="1"/>
        <v/>
      </c>
      <c r="E58" s="13" t="str">
        <f t="shared" si="2"/>
        <v/>
      </c>
      <c r="F58" s="13" t="str">
        <f t="shared" si="3"/>
        <v/>
      </c>
      <c r="G58" s="13" t="str">
        <f t="shared" si="4"/>
        <v/>
      </c>
      <c r="H58" s="13" t="str">
        <f t="shared" si="5"/>
        <v/>
      </c>
      <c r="I58" t="str">
        <f t="shared" si="6"/>
        <v/>
      </c>
    </row>
    <row r="59" spans="1:9">
      <c r="A59">
        <f>CSV!B59</f>
        <v>0</v>
      </c>
      <c r="B59" s="13" t="e">
        <f>INDEX(Input!$D$2:$AD$500,
       MATCH(CPU_Formula!A59, Input!$J$2:$J$500, 0),
       MATCH("CPU model", Input!$D$1:$AD$1, 0))</f>
        <v>#N/A</v>
      </c>
      <c r="C59" s="13" t="str">
        <f t="shared" si="0"/>
        <v/>
      </c>
      <c r="D59" s="13" t="str">
        <f t="shared" si="1"/>
        <v/>
      </c>
      <c r="E59" s="13" t="str">
        <f t="shared" si="2"/>
        <v/>
      </c>
      <c r="F59" s="13" t="str">
        <f t="shared" si="3"/>
        <v/>
      </c>
      <c r="G59" s="13" t="str">
        <f t="shared" si="4"/>
        <v/>
      </c>
      <c r="H59" s="13" t="str">
        <f t="shared" si="5"/>
        <v/>
      </c>
      <c r="I59" t="str">
        <f t="shared" si="6"/>
        <v/>
      </c>
    </row>
    <row r="60" spans="1:9">
      <c r="A60">
        <f>CSV!B60</f>
        <v>0</v>
      </c>
      <c r="B60" s="13" t="e">
        <f>INDEX(Input!$D$2:$AD$500,
       MATCH(CPU_Formula!A60, Input!$J$2:$J$500, 0),
       MATCH("CPU model", Input!$D$1:$AD$1, 0))</f>
        <v>#N/A</v>
      </c>
      <c r="C60" s="13" t="str">
        <f t="shared" si="0"/>
        <v/>
      </c>
      <c r="D60" s="13" t="str">
        <f t="shared" si="1"/>
        <v/>
      </c>
      <c r="E60" s="13" t="str">
        <f t="shared" si="2"/>
        <v/>
      </c>
      <c r="F60" s="13" t="str">
        <f t="shared" si="3"/>
        <v/>
      </c>
      <c r="G60" s="13" t="str">
        <f t="shared" si="4"/>
        <v/>
      </c>
      <c r="H60" s="13" t="str">
        <f t="shared" si="5"/>
        <v/>
      </c>
      <c r="I60" t="str">
        <f t="shared" si="6"/>
        <v/>
      </c>
    </row>
    <row r="61" spans="1:9">
      <c r="A61">
        <f>CSV!B61</f>
        <v>0</v>
      </c>
      <c r="B61" s="13" t="e">
        <f>INDEX(Input!$D$2:$AD$500,
       MATCH(CPU_Formula!A61, Input!$J$2:$J$500, 0),
       MATCH("CPU model", Input!$D$1:$AD$1, 0))</f>
        <v>#N/A</v>
      </c>
      <c r="C61" s="13" t="str">
        <f t="shared" si="0"/>
        <v/>
      </c>
      <c r="D61" s="13" t="str">
        <f t="shared" si="1"/>
        <v/>
      </c>
      <c r="E61" s="13" t="str">
        <f t="shared" si="2"/>
        <v/>
      </c>
      <c r="F61" s="13" t="str">
        <f t="shared" si="3"/>
        <v/>
      </c>
      <c r="G61" s="13" t="str">
        <f t="shared" si="4"/>
        <v/>
      </c>
      <c r="H61" s="13" t="str">
        <f t="shared" si="5"/>
        <v/>
      </c>
      <c r="I61" t="str">
        <f t="shared" si="6"/>
        <v/>
      </c>
    </row>
    <row r="62" spans="1:9">
      <c r="A62">
        <f>CSV!B62</f>
        <v>0</v>
      </c>
      <c r="B62" s="13" t="e">
        <f>INDEX(Input!$D$2:$AD$500,
       MATCH(CPU_Formula!A62, Input!$J$2:$J$500, 0),
       MATCH("CPU model", Input!$D$1:$AD$1, 0))</f>
        <v>#N/A</v>
      </c>
      <c r="C62" s="13" t="str">
        <f t="shared" si="0"/>
        <v/>
      </c>
      <c r="D62" s="13" t="str">
        <f t="shared" si="1"/>
        <v/>
      </c>
      <c r="E62" s="13" t="str">
        <f t="shared" si="2"/>
        <v/>
      </c>
      <c r="F62" s="13" t="str">
        <f t="shared" si="3"/>
        <v/>
      </c>
      <c r="G62" s="13" t="str">
        <f t="shared" si="4"/>
        <v/>
      </c>
      <c r="H62" s="13" t="str">
        <f t="shared" si="5"/>
        <v/>
      </c>
      <c r="I62" t="str">
        <f t="shared" si="6"/>
        <v/>
      </c>
    </row>
    <row r="63" spans="1:9">
      <c r="A63">
        <f>CSV!B63</f>
        <v>0</v>
      </c>
      <c r="B63" s="13" t="e">
        <f>INDEX(Input!$D$2:$AD$500,
       MATCH(CPU_Formula!A63, Input!$J$2:$J$500, 0),
       MATCH("CPU model", Input!$D$1:$AD$1, 0))</f>
        <v>#N/A</v>
      </c>
      <c r="C63" s="13" t="str">
        <f t="shared" si="0"/>
        <v/>
      </c>
      <c r="D63" s="13" t="str">
        <f t="shared" si="1"/>
        <v/>
      </c>
      <c r="E63" s="13" t="str">
        <f t="shared" si="2"/>
        <v/>
      </c>
      <c r="F63" s="13" t="str">
        <f t="shared" si="3"/>
        <v/>
      </c>
      <c r="G63" s="13" t="str">
        <f t="shared" si="4"/>
        <v/>
      </c>
      <c r="H63" s="13" t="str">
        <f t="shared" si="5"/>
        <v/>
      </c>
      <c r="I63" t="str">
        <f t="shared" si="6"/>
        <v/>
      </c>
    </row>
    <row r="64" spans="1:9">
      <c r="A64">
        <f>CSV!B64</f>
        <v>0</v>
      </c>
      <c r="B64" s="13" t="e">
        <f>INDEX(Input!$D$2:$AD$500,
       MATCH(CPU_Formula!A64, Input!$J$2:$J$500, 0),
       MATCH("CPU model", Input!$D$1:$AD$1, 0))</f>
        <v>#N/A</v>
      </c>
      <c r="C64" s="13" t="str">
        <f t="shared" si="0"/>
        <v/>
      </c>
      <c r="D64" s="13" t="str">
        <f t="shared" si="1"/>
        <v/>
      </c>
      <c r="E64" s="13" t="str">
        <f t="shared" si="2"/>
        <v/>
      </c>
      <c r="F64" s="13" t="str">
        <f t="shared" si="3"/>
        <v/>
      </c>
      <c r="G64" s="13" t="str">
        <f t="shared" si="4"/>
        <v/>
      </c>
      <c r="H64" s="13" t="str">
        <f t="shared" si="5"/>
        <v/>
      </c>
      <c r="I64" t="str">
        <f t="shared" si="6"/>
        <v/>
      </c>
    </row>
    <row r="65" spans="1:9">
      <c r="A65">
        <f>CSV!B65</f>
        <v>0</v>
      </c>
      <c r="B65" s="13" t="e">
        <f>INDEX(Input!$D$2:$AD$500,
       MATCH(CPU_Formula!A65, Input!$J$2:$J$500, 0),
       MATCH("CPU model", Input!$D$1:$AD$1, 0))</f>
        <v>#N/A</v>
      </c>
      <c r="C65" s="13" t="str">
        <f t="shared" si="0"/>
        <v/>
      </c>
      <c r="D65" s="13" t="str">
        <f t="shared" si="1"/>
        <v/>
      </c>
      <c r="E65" s="13" t="str">
        <f t="shared" si="2"/>
        <v/>
      </c>
      <c r="F65" s="13" t="str">
        <f t="shared" si="3"/>
        <v/>
      </c>
      <c r="G65" s="13" t="str">
        <f t="shared" si="4"/>
        <v/>
      </c>
      <c r="H65" s="13" t="str">
        <f t="shared" si="5"/>
        <v/>
      </c>
      <c r="I65" t="str">
        <f t="shared" si="6"/>
        <v/>
      </c>
    </row>
    <row r="66" spans="1:9">
      <c r="A66">
        <f>CSV!B66</f>
        <v>0</v>
      </c>
      <c r="B66" s="13" t="e">
        <f>INDEX(Input!$D$2:$AD$500,
       MATCH(CPU_Formula!A66, Input!$J$2:$J$500, 0),
       MATCH("CPU model", Input!$D$1:$AD$1, 0))</f>
        <v>#N/A</v>
      </c>
      <c r="C66" s="13" t="str">
        <f t="shared" ref="C66:C73" si="7">IFERROR(_xlfn.TEXTAFTER(B66,"Core(TM) "), "")</f>
        <v/>
      </c>
      <c r="D66" s="13" t="str">
        <f t="shared" ref="D66:D73" si="8">IF(ISNUMBER(SEARCH("Ryzen", B66)), _xlfn.TEXTAFTER(B66, "AMD"), "")</f>
        <v/>
      </c>
      <c r="E66" s="13" t="str">
        <f t="shared" ref="E66:E73" si="9">IF(ISNUMBER(SEARCH("Ultra", B66)), "Ultra"&amp;_xlfn.TEXTAFTER(B66, "Ultra"), "")</f>
        <v/>
      </c>
      <c r="F66" s="13" t="str">
        <f t="shared" ref="F66:F73" si="10">IF(C66&lt;&gt;"", TRIM(_xlfn.TEXTBEFORE(C66," ",,1,1)), "")</f>
        <v/>
      </c>
      <c r="G66" s="13" t="str">
        <f t="shared" ref="G66:G129" si="11">IFERROR(_xlfn.TEXTBEFORE(D66,"w"),"")</f>
        <v/>
      </c>
      <c r="H66" s="13" t="str">
        <f t="shared" ref="H66:H73" si="12">E66</f>
        <v/>
      </c>
      <c r="I66" t="str">
        <f t="shared" ref="I66:I73" si="13">IF(H66&lt;&gt;"",H66,IF(G66&lt;&gt;"",G66,F66))</f>
        <v/>
      </c>
    </row>
    <row r="67" spans="1:9">
      <c r="A67">
        <f>CSV!B67</f>
        <v>0</v>
      </c>
      <c r="B67" s="13" t="e">
        <f>INDEX(Input!$D$2:$AD$500,
       MATCH(CPU_Formula!A67, Input!$J$2:$J$500, 0),
       MATCH("CPU model", Input!$D$1:$AD$1, 0))</f>
        <v>#N/A</v>
      </c>
      <c r="C67" s="13" t="str">
        <f t="shared" si="7"/>
        <v/>
      </c>
      <c r="D67" s="13" t="str">
        <f t="shared" si="8"/>
        <v/>
      </c>
      <c r="E67" s="13" t="str">
        <f t="shared" si="9"/>
        <v/>
      </c>
      <c r="F67" s="13" t="str">
        <f t="shared" si="10"/>
        <v/>
      </c>
      <c r="G67" s="13" t="str">
        <f t="shared" si="11"/>
        <v/>
      </c>
      <c r="H67" s="13" t="str">
        <f t="shared" si="12"/>
        <v/>
      </c>
      <c r="I67" t="str">
        <f t="shared" si="13"/>
        <v/>
      </c>
    </row>
    <row r="68" spans="1:9">
      <c r="A68">
        <f>CSV!B68</f>
        <v>0</v>
      </c>
      <c r="B68" s="13" t="e">
        <f>INDEX(Input!$D$2:$AD$500,
       MATCH(CPU_Formula!A68, Input!$J$2:$J$500, 0),
       MATCH("CPU model", Input!$D$1:$AD$1, 0))</f>
        <v>#N/A</v>
      </c>
      <c r="C68" s="13" t="str">
        <f t="shared" si="7"/>
        <v/>
      </c>
      <c r="D68" s="13" t="str">
        <f t="shared" si="8"/>
        <v/>
      </c>
      <c r="E68" s="13" t="str">
        <f t="shared" si="9"/>
        <v/>
      </c>
      <c r="F68" s="13" t="str">
        <f t="shared" si="10"/>
        <v/>
      </c>
      <c r="G68" s="13" t="str">
        <f t="shared" si="11"/>
        <v/>
      </c>
      <c r="H68" s="13" t="str">
        <f t="shared" si="12"/>
        <v/>
      </c>
      <c r="I68" t="str">
        <f t="shared" si="13"/>
        <v/>
      </c>
    </row>
    <row r="69" spans="1:9">
      <c r="A69">
        <f>CSV!B69</f>
        <v>0</v>
      </c>
      <c r="B69" s="13" t="e">
        <f>INDEX(Input!$D$2:$AD$500,
       MATCH(CPU_Formula!A69, Input!$J$2:$J$500, 0),
       MATCH("CPU model", Input!$D$1:$AD$1, 0))</f>
        <v>#N/A</v>
      </c>
      <c r="C69" s="13" t="str">
        <f t="shared" si="7"/>
        <v/>
      </c>
      <c r="D69" s="13" t="str">
        <f t="shared" si="8"/>
        <v/>
      </c>
      <c r="E69" s="13" t="str">
        <f t="shared" si="9"/>
        <v/>
      </c>
      <c r="F69" s="13" t="str">
        <f t="shared" si="10"/>
        <v/>
      </c>
      <c r="G69" s="13" t="str">
        <f t="shared" si="11"/>
        <v/>
      </c>
      <c r="H69" s="13" t="str">
        <f t="shared" si="12"/>
        <v/>
      </c>
      <c r="I69" t="str">
        <f t="shared" si="13"/>
        <v/>
      </c>
    </row>
    <row r="70" spans="1:9">
      <c r="A70">
        <f>CSV!B70</f>
        <v>0</v>
      </c>
      <c r="B70" s="13" t="e">
        <f>INDEX(Input!$D$2:$AD$500,
       MATCH(CPU_Formula!A70, Input!$J$2:$J$500, 0),
       MATCH("CPU model", Input!$D$1:$AD$1, 0))</f>
        <v>#N/A</v>
      </c>
      <c r="C70" s="13" t="str">
        <f t="shared" si="7"/>
        <v/>
      </c>
      <c r="D70" s="13" t="str">
        <f t="shared" si="8"/>
        <v/>
      </c>
      <c r="E70" s="13" t="str">
        <f t="shared" si="9"/>
        <v/>
      </c>
      <c r="F70" s="13" t="str">
        <f t="shared" si="10"/>
        <v/>
      </c>
      <c r="G70" s="13" t="str">
        <f t="shared" si="11"/>
        <v/>
      </c>
      <c r="H70" s="13" t="str">
        <f t="shared" si="12"/>
        <v/>
      </c>
      <c r="I70" t="str">
        <f t="shared" si="13"/>
        <v/>
      </c>
    </row>
    <row r="71" spans="1:9">
      <c r="A71">
        <f>CSV!B71</f>
        <v>0</v>
      </c>
      <c r="B71" s="13" t="e">
        <f>INDEX(Input!$D$2:$AD$500,
       MATCH(CPU_Formula!A71, Input!$J$2:$J$500, 0),
       MATCH("CPU model", Input!$D$1:$AD$1, 0))</f>
        <v>#N/A</v>
      </c>
      <c r="C71" s="13" t="str">
        <f t="shared" si="7"/>
        <v/>
      </c>
      <c r="D71" s="13" t="str">
        <f t="shared" si="8"/>
        <v/>
      </c>
      <c r="E71" s="13" t="str">
        <f t="shared" si="9"/>
        <v/>
      </c>
      <c r="F71" s="13" t="str">
        <f t="shared" si="10"/>
        <v/>
      </c>
      <c r="G71" s="13" t="str">
        <f t="shared" si="11"/>
        <v/>
      </c>
      <c r="H71" s="13" t="str">
        <f t="shared" si="12"/>
        <v/>
      </c>
      <c r="I71" t="str">
        <f t="shared" si="13"/>
        <v/>
      </c>
    </row>
    <row r="72" spans="1:9">
      <c r="A72">
        <f>CSV!B72</f>
        <v>0</v>
      </c>
      <c r="B72" s="13" t="e">
        <f>INDEX(Input!$D$2:$AD$500,
       MATCH(CPU_Formula!A72, Input!$J$2:$J$500, 0),
       MATCH("CPU model", Input!$D$1:$AD$1, 0))</f>
        <v>#N/A</v>
      </c>
      <c r="C72" s="13" t="str">
        <f t="shared" si="7"/>
        <v/>
      </c>
      <c r="D72" s="13" t="str">
        <f t="shared" si="8"/>
        <v/>
      </c>
      <c r="E72" s="13" t="str">
        <f t="shared" si="9"/>
        <v/>
      </c>
      <c r="F72" s="13" t="str">
        <f t="shared" si="10"/>
        <v/>
      </c>
      <c r="G72" s="13" t="str">
        <f t="shared" si="11"/>
        <v/>
      </c>
      <c r="H72" s="13" t="str">
        <f t="shared" si="12"/>
        <v/>
      </c>
      <c r="I72" t="str">
        <f t="shared" si="13"/>
        <v/>
      </c>
    </row>
    <row r="73" spans="1:9">
      <c r="A73">
        <f>CSV!B73</f>
        <v>0</v>
      </c>
      <c r="B73" s="13" t="e">
        <f>INDEX(Input!$D$2:$AD$500,
       MATCH(CPU_Formula!A73, Input!$J$2:$J$500, 0),
       MATCH("CPU model", Input!$D$1:$AD$1, 0))</f>
        <v>#N/A</v>
      </c>
      <c r="C73" s="13" t="str">
        <f t="shared" si="7"/>
        <v/>
      </c>
      <c r="D73" s="13" t="str">
        <f t="shared" si="8"/>
        <v/>
      </c>
      <c r="E73" s="13" t="str">
        <f t="shared" si="9"/>
        <v/>
      </c>
      <c r="F73" s="13" t="str">
        <f t="shared" si="10"/>
        <v/>
      </c>
      <c r="G73" s="13" t="str">
        <f t="shared" si="11"/>
        <v/>
      </c>
      <c r="H73" s="13" t="str">
        <f t="shared" si="12"/>
        <v/>
      </c>
      <c r="I73" t="str">
        <f t="shared" si="13"/>
        <v/>
      </c>
    </row>
    <row r="74" spans="1:9">
      <c r="A74">
        <f>CSV!B74</f>
        <v>0</v>
      </c>
      <c r="B74" s="13" t="e">
        <f>INDEX(Input!$D$2:$AD$500,
       MATCH(CPU_Formula!A74, Input!$J$2:$J$500, 0),
       MATCH("CPU model", Input!$D$1:$AD$1, 0))</f>
        <v>#N/A</v>
      </c>
      <c r="C74" s="13" t="str">
        <f t="shared" ref="C74:C104" si="14">IFERROR(_xlfn.TEXTAFTER(B74,"Core(TM) "), "")</f>
        <v/>
      </c>
      <c r="D74" s="13" t="str">
        <f>IF(ISNUMBER(SEARCH("Ryzen", B74)), _xlfn.TEXTAFTER(B74, "AMD"), "")</f>
        <v/>
      </c>
      <c r="E74" s="13" t="str">
        <f t="shared" ref="E74:E104" si="15">IF(ISNUMBER(SEARCH("Ultra", B74)), "Ultra"&amp;_xlfn.TEXTAFTER(B74, "Ultra"), "")</f>
        <v/>
      </c>
      <c r="F74" s="13" t="str">
        <f t="shared" ref="F74:F104" si="16">IF(C74&lt;&gt;"", TRIM(_xlfn.TEXTBEFORE(C74," ",,1,1)), "")</f>
        <v/>
      </c>
      <c r="G74" s="13" t="str">
        <f t="shared" si="11"/>
        <v/>
      </c>
      <c r="H74" s="13" t="str">
        <f t="shared" ref="H74:H104" si="17">E74</f>
        <v/>
      </c>
      <c r="I74" t="str">
        <f t="shared" ref="I74:I104" si="18">IF(H74&lt;&gt;"",H74,IF(G74&lt;&gt;"",G74,F74))</f>
        <v/>
      </c>
    </row>
    <row r="75" spans="1:9">
      <c r="A75">
        <f>CSV!B75</f>
        <v>0</v>
      </c>
      <c r="B75" s="13" t="e">
        <f>INDEX(Input!$D$2:$AD$500,
       MATCH(CPU_Formula!A75, Input!$J$2:$J$500, 0),
       MATCH("CPU model", Input!$D$1:$AD$1, 0))</f>
        <v>#N/A</v>
      </c>
      <c r="C75" s="13" t="str">
        <f t="shared" si="14"/>
        <v/>
      </c>
      <c r="D75" s="13" t="str">
        <f t="shared" ref="D75:D87" si="19">IF(ISNUMBER(SEARCH("Ryzen", B75)), _xlfn.TEXTAFTER(B75, "AMD"), "")</f>
        <v/>
      </c>
      <c r="E75" s="13" t="str">
        <f t="shared" ref="E75:E87" si="20">IF(ISNUMBER(SEARCH("Ultra", B75)), "Ultra"&amp;_xlfn.TEXTAFTER(B75, "Ultra"), "")</f>
        <v/>
      </c>
      <c r="F75" s="13" t="str">
        <f t="shared" ref="F75:F87" si="21">IF(C75&lt;&gt;"", TRIM(_xlfn.TEXTBEFORE(C75," ",,1,1)), "")</f>
        <v/>
      </c>
      <c r="G75" s="13" t="str">
        <f t="shared" si="11"/>
        <v/>
      </c>
      <c r="H75" s="13" t="str">
        <f t="shared" ref="H75:H87" si="22">E75</f>
        <v/>
      </c>
      <c r="I75" t="str">
        <f t="shared" ref="I75:I87" si="23">IF(H75&lt;&gt;"",H75,IF(G75&lt;&gt;"",G75,F75))</f>
        <v/>
      </c>
    </row>
    <row r="76" spans="1:9">
      <c r="A76">
        <f>CSV!B76</f>
        <v>0</v>
      </c>
      <c r="B76" s="13" t="e">
        <f>INDEX(Input!$D$2:$AD$500,
       MATCH(CPU_Formula!A76, Input!$J$2:$J$500, 0),
       MATCH("CPU model", Input!$D$1:$AD$1, 0))</f>
        <v>#N/A</v>
      </c>
      <c r="C76" s="13" t="str">
        <f t="shared" si="14"/>
        <v/>
      </c>
      <c r="D76" s="13" t="str">
        <f t="shared" si="19"/>
        <v/>
      </c>
      <c r="E76" s="13" t="str">
        <f t="shared" si="20"/>
        <v/>
      </c>
      <c r="F76" s="13" t="str">
        <f t="shared" si="21"/>
        <v/>
      </c>
      <c r="G76" s="13" t="str">
        <f t="shared" si="11"/>
        <v/>
      </c>
      <c r="H76" s="13" t="str">
        <f t="shared" si="22"/>
        <v/>
      </c>
      <c r="I76" t="str">
        <f t="shared" si="23"/>
        <v/>
      </c>
    </row>
    <row r="77" spans="1:9">
      <c r="A77">
        <f>CSV!B77</f>
        <v>0</v>
      </c>
      <c r="B77" s="13" t="e">
        <f>INDEX(Input!$D$2:$AD$500,
       MATCH(CPU_Formula!A77, Input!$J$2:$J$500, 0),
       MATCH("CPU model", Input!$D$1:$AD$1, 0))</f>
        <v>#N/A</v>
      </c>
      <c r="C77" s="13" t="str">
        <f t="shared" si="14"/>
        <v/>
      </c>
      <c r="D77" s="13" t="str">
        <f t="shared" si="19"/>
        <v/>
      </c>
      <c r="E77" s="13" t="str">
        <f t="shared" si="20"/>
        <v/>
      </c>
      <c r="F77" s="13" t="str">
        <f t="shared" si="21"/>
        <v/>
      </c>
      <c r="G77" s="13" t="str">
        <f t="shared" si="11"/>
        <v/>
      </c>
      <c r="H77" s="13" t="str">
        <f t="shared" si="22"/>
        <v/>
      </c>
      <c r="I77" t="str">
        <f t="shared" si="23"/>
        <v/>
      </c>
    </row>
    <row r="78" spans="1:9">
      <c r="A78">
        <f>CSV!B78</f>
        <v>0</v>
      </c>
      <c r="B78" s="13" t="e">
        <f>INDEX(Input!$D$2:$AD$500,
       MATCH(CPU_Formula!A78, Input!$J$2:$J$500, 0),
       MATCH("CPU model", Input!$D$1:$AD$1, 0))</f>
        <v>#N/A</v>
      </c>
      <c r="C78" s="13" t="str">
        <f t="shared" si="14"/>
        <v/>
      </c>
      <c r="D78" s="13" t="str">
        <f t="shared" si="19"/>
        <v/>
      </c>
      <c r="E78" s="13" t="str">
        <f t="shared" si="20"/>
        <v/>
      </c>
      <c r="F78" s="13" t="str">
        <f t="shared" si="21"/>
        <v/>
      </c>
      <c r="G78" s="13" t="str">
        <f t="shared" si="11"/>
        <v/>
      </c>
      <c r="H78" s="13" t="str">
        <f t="shared" si="22"/>
        <v/>
      </c>
      <c r="I78" t="str">
        <f t="shared" si="23"/>
        <v/>
      </c>
    </row>
    <row r="79" spans="1:9">
      <c r="A79">
        <f>CSV!B79</f>
        <v>0</v>
      </c>
      <c r="B79" s="13" t="e">
        <f>INDEX(Input!$D$2:$AD$500,
       MATCH(CPU_Formula!A79, Input!$J$2:$J$500, 0),
       MATCH("CPU model", Input!$D$1:$AD$1, 0))</f>
        <v>#N/A</v>
      </c>
      <c r="C79" s="13" t="str">
        <f t="shared" si="14"/>
        <v/>
      </c>
      <c r="D79" s="13" t="str">
        <f t="shared" si="19"/>
        <v/>
      </c>
      <c r="E79" s="13" t="str">
        <f t="shared" si="20"/>
        <v/>
      </c>
      <c r="F79" s="13" t="str">
        <f t="shared" si="21"/>
        <v/>
      </c>
      <c r="G79" s="13" t="str">
        <f t="shared" si="11"/>
        <v/>
      </c>
      <c r="H79" s="13" t="str">
        <f t="shared" si="22"/>
        <v/>
      </c>
      <c r="I79" t="str">
        <f t="shared" si="23"/>
        <v/>
      </c>
    </row>
    <row r="80" spans="1:9">
      <c r="A80">
        <f>CSV!B80</f>
        <v>0</v>
      </c>
      <c r="B80" s="13" t="e">
        <f>INDEX(Input!$D$2:$AD$500,
       MATCH(CPU_Formula!A80, Input!$J$2:$J$500, 0),
       MATCH("CPU model", Input!$D$1:$AD$1, 0))</f>
        <v>#N/A</v>
      </c>
      <c r="C80" s="13" t="str">
        <f t="shared" si="14"/>
        <v/>
      </c>
      <c r="D80" s="13" t="str">
        <f t="shared" si="19"/>
        <v/>
      </c>
      <c r="E80" s="13" t="str">
        <f t="shared" si="20"/>
        <v/>
      </c>
      <c r="F80" s="13" t="str">
        <f t="shared" si="21"/>
        <v/>
      </c>
      <c r="G80" s="13" t="str">
        <f t="shared" si="11"/>
        <v/>
      </c>
      <c r="H80" s="13" t="str">
        <f t="shared" si="22"/>
        <v/>
      </c>
      <c r="I80" t="str">
        <f t="shared" si="23"/>
        <v/>
      </c>
    </row>
    <row r="81" spans="1:9">
      <c r="A81">
        <f>CSV!B81</f>
        <v>0</v>
      </c>
      <c r="B81" s="13" t="e">
        <f>INDEX(Input!$D$2:$AD$500,
       MATCH(CPU_Formula!A81, Input!$J$2:$J$500, 0),
       MATCH("CPU model", Input!$D$1:$AD$1, 0))</f>
        <v>#N/A</v>
      </c>
      <c r="C81" s="13" t="str">
        <f t="shared" si="14"/>
        <v/>
      </c>
      <c r="D81" s="13" t="str">
        <f t="shared" si="19"/>
        <v/>
      </c>
      <c r="E81" s="13" t="str">
        <f t="shared" si="20"/>
        <v/>
      </c>
      <c r="F81" s="13" t="str">
        <f t="shared" si="21"/>
        <v/>
      </c>
      <c r="G81" s="13" t="str">
        <f t="shared" si="11"/>
        <v/>
      </c>
      <c r="H81" s="13" t="str">
        <f t="shared" si="22"/>
        <v/>
      </c>
      <c r="I81" t="str">
        <f t="shared" si="23"/>
        <v/>
      </c>
    </row>
    <row r="82" spans="1:9">
      <c r="A82">
        <f>CSV!B82</f>
        <v>0</v>
      </c>
      <c r="B82" s="13" t="e">
        <f>INDEX(Input!$D$2:$AD$500,
       MATCH(CPU_Formula!A82, Input!$J$2:$J$500, 0),
       MATCH("CPU model", Input!$D$1:$AD$1, 0))</f>
        <v>#N/A</v>
      </c>
      <c r="C82" s="13" t="str">
        <f t="shared" si="14"/>
        <v/>
      </c>
      <c r="D82" s="13" t="str">
        <f t="shared" si="19"/>
        <v/>
      </c>
      <c r="E82" s="13" t="str">
        <f t="shared" si="20"/>
        <v/>
      </c>
      <c r="F82" s="13" t="str">
        <f t="shared" si="21"/>
        <v/>
      </c>
      <c r="G82" s="13" t="str">
        <f t="shared" si="11"/>
        <v/>
      </c>
      <c r="H82" s="13" t="str">
        <f t="shared" si="22"/>
        <v/>
      </c>
      <c r="I82" t="str">
        <f t="shared" si="23"/>
        <v/>
      </c>
    </row>
    <row r="83" spans="1:9">
      <c r="A83">
        <f>CSV!B83</f>
        <v>0</v>
      </c>
      <c r="B83" s="13" t="e">
        <f>INDEX(Input!$D$2:$AD$500,
       MATCH(CPU_Formula!A83, Input!$J$2:$J$500, 0),
       MATCH("CPU model", Input!$D$1:$AD$1, 0))</f>
        <v>#N/A</v>
      </c>
      <c r="C83" s="13" t="str">
        <f t="shared" si="14"/>
        <v/>
      </c>
      <c r="D83" s="13" t="str">
        <f t="shared" si="19"/>
        <v/>
      </c>
      <c r="E83" s="13" t="str">
        <f t="shared" si="20"/>
        <v/>
      </c>
      <c r="F83" s="13" t="str">
        <f t="shared" si="21"/>
        <v/>
      </c>
      <c r="G83" s="13" t="str">
        <f t="shared" si="11"/>
        <v/>
      </c>
      <c r="H83" s="13" t="str">
        <f t="shared" si="22"/>
        <v/>
      </c>
      <c r="I83" t="str">
        <f t="shared" si="23"/>
        <v/>
      </c>
    </row>
    <row r="84" spans="1:9">
      <c r="A84">
        <f>CSV!B84</f>
        <v>0</v>
      </c>
      <c r="B84" s="13" t="e">
        <f>INDEX(Input!$D$2:$AD$500,
       MATCH(CPU_Formula!A84, Input!$J$2:$J$500, 0),
       MATCH("CPU model", Input!$D$1:$AD$1, 0))</f>
        <v>#N/A</v>
      </c>
      <c r="C84" s="13" t="str">
        <f t="shared" si="14"/>
        <v/>
      </c>
      <c r="D84" s="13" t="str">
        <f t="shared" si="19"/>
        <v/>
      </c>
      <c r="E84" s="13" t="str">
        <f t="shared" si="20"/>
        <v/>
      </c>
      <c r="F84" s="13" t="str">
        <f t="shared" si="21"/>
        <v/>
      </c>
      <c r="G84" s="13" t="str">
        <f t="shared" si="11"/>
        <v/>
      </c>
      <c r="H84" s="13" t="str">
        <f t="shared" si="22"/>
        <v/>
      </c>
      <c r="I84" t="str">
        <f t="shared" si="23"/>
        <v/>
      </c>
    </row>
    <row r="85" spans="1:9">
      <c r="A85">
        <f>CSV!B85</f>
        <v>0</v>
      </c>
      <c r="B85" s="13" t="e">
        <f>INDEX(Input!$D$2:$AD$500,
       MATCH(CPU_Formula!A85, Input!$J$2:$J$500, 0),
       MATCH("CPU model", Input!$D$1:$AD$1, 0))</f>
        <v>#N/A</v>
      </c>
      <c r="C85" s="13" t="str">
        <f t="shared" si="14"/>
        <v/>
      </c>
      <c r="D85" s="13" t="str">
        <f t="shared" si="19"/>
        <v/>
      </c>
      <c r="E85" s="13" t="str">
        <f t="shared" si="20"/>
        <v/>
      </c>
      <c r="F85" s="13" t="str">
        <f t="shared" si="21"/>
        <v/>
      </c>
      <c r="G85" s="13" t="str">
        <f t="shared" si="11"/>
        <v/>
      </c>
      <c r="H85" s="13" t="str">
        <f t="shared" si="22"/>
        <v/>
      </c>
      <c r="I85" t="str">
        <f t="shared" si="23"/>
        <v/>
      </c>
    </row>
    <row r="86" spans="1:9">
      <c r="A86">
        <f>CSV!B86</f>
        <v>0</v>
      </c>
      <c r="B86" s="13" t="e">
        <f>INDEX(Input!$D$2:$AD$500,
       MATCH(CPU_Formula!A86, Input!$J$2:$J$500, 0),
       MATCH("CPU model", Input!$D$1:$AD$1, 0))</f>
        <v>#N/A</v>
      </c>
      <c r="C86" s="13" t="str">
        <f t="shared" si="14"/>
        <v/>
      </c>
      <c r="D86" s="13" t="str">
        <f t="shared" si="19"/>
        <v/>
      </c>
      <c r="E86" s="13" t="str">
        <f t="shared" si="20"/>
        <v/>
      </c>
      <c r="F86" s="13" t="str">
        <f t="shared" si="21"/>
        <v/>
      </c>
      <c r="G86" s="13" t="str">
        <f t="shared" si="11"/>
        <v/>
      </c>
      <c r="H86" s="13" t="str">
        <f t="shared" si="22"/>
        <v/>
      </c>
      <c r="I86" t="str">
        <f t="shared" si="23"/>
        <v/>
      </c>
    </row>
    <row r="87" spans="1:9">
      <c r="A87">
        <f>CSV!B87</f>
        <v>0</v>
      </c>
      <c r="B87" s="13" t="e">
        <f>INDEX(Input!$D$2:$AD$500,
       MATCH(CPU_Formula!A87, Input!$J$2:$J$500, 0),
       MATCH("CPU model", Input!$D$1:$AD$1, 0))</f>
        <v>#N/A</v>
      </c>
      <c r="C87" s="13" t="str">
        <f t="shared" si="14"/>
        <v/>
      </c>
      <c r="D87" s="13" t="str">
        <f t="shared" si="19"/>
        <v/>
      </c>
      <c r="E87" s="13" t="str">
        <f t="shared" si="20"/>
        <v/>
      </c>
      <c r="F87" s="13" t="str">
        <f t="shared" si="21"/>
        <v/>
      </c>
      <c r="G87" s="13" t="str">
        <f t="shared" si="11"/>
        <v/>
      </c>
      <c r="H87" s="13" t="str">
        <f t="shared" si="22"/>
        <v/>
      </c>
      <c r="I87" t="str">
        <f t="shared" si="23"/>
        <v/>
      </c>
    </row>
    <row r="88" spans="1:9">
      <c r="A88">
        <f>CSV!B88</f>
        <v>0</v>
      </c>
      <c r="B88" s="13" t="e">
        <f>INDEX(Input!$D$2:$AD$500,
       MATCH(CPU_Formula!A88, Input!$J$2:$J$500, 0),
       MATCH("CPU model", Input!$D$1:$AD$1, 0))</f>
        <v>#N/A</v>
      </c>
      <c r="C88" s="13" t="str">
        <f t="shared" si="14"/>
        <v/>
      </c>
      <c r="D88" s="13" t="str">
        <f t="shared" ref="D88:D104" si="24">IFERROR(_xlfn.TEXTAFTER(B88,"Ryzen "), "")</f>
        <v/>
      </c>
      <c r="E88" s="13" t="str">
        <f t="shared" si="15"/>
        <v/>
      </c>
      <c r="F88" s="13" t="str">
        <f t="shared" si="16"/>
        <v/>
      </c>
      <c r="G88" s="13" t="str">
        <f t="shared" si="11"/>
        <v/>
      </c>
      <c r="H88" s="13" t="str">
        <f t="shared" si="17"/>
        <v/>
      </c>
      <c r="I88" t="str">
        <f t="shared" si="18"/>
        <v/>
      </c>
    </row>
    <row r="89" spans="1:9">
      <c r="A89">
        <f>CSV!B89</f>
        <v>0</v>
      </c>
      <c r="B89" s="13" t="e">
        <f>INDEX(Input!$D$2:$AD$500,
       MATCH(CPU_Formula!A89, Input!$J$2:$J$500, 0),
       MATCH("CPU model", Input!$D$1:$AD$1, 0))</f>
        <v>#N/A</v>
      </c>
      <c r="C89" s="13" t="str">
        <f t="shared" si="14"/>
        <v/>
      </c>
      <c r="D89" s="13" t="str">
        <f t="shared" si="24"/>
        <v/>
      </c>
      <c r="E89" s="13" t="str">
        <f t="shared" si="15"/>
        <v/>
      </c>
      <c r="F89" s="13" t="str">
        <f t="shared" si="16"/>
        <v/>
      </c>
      <c r="G89" s="13" t="str">
        <f t="shared" si="11"/>
        <v/>
      </c>
      <c r="H89" s="13" t="str">
        <f t="shared" si="17"/>
        <v/>
      </c>
      <c r="I89" t="str">
        <f t="shared" si="18"/>
        <v/>
      </c>
    </row>
    <row r="90" spans="1:9">
      <c r="A90">
        <f>CSV!B90</f>
        <v>0</v>
      </c>
      <c r="B90" s="13" t="e">
        <f>INDEX(Input!$D$2:$AD$500,
       MATCH(CPU_Formula!A90, Input!$J$2:$J$500, 0),
       MATCH("CPU model", Input!$D$1:$AD$1, 0))</f>
        <v>#N/A</v>
      </c>
      <c r="C90" s="13" t="str">
        <f t="shared" si="14"/>
        <v/>
      </c>
      <c r="D90" s="13" t="str">
        <f t="shared" si="24"/>
        <v/>
      </c>
      <c r="E90" s="13" t="str">
        <f t="shared" si="15"/>
        <v/>
      </c>
      <c r="F90" s="13" t="str">
        <f t="shared" si="16"/>
        <v/>
      </c>
      <c r="G90" s="13" t="str">
        <f t="shared" si="11"/>
        <v/>
      </c>
      <c r="H90" s="13" t="str">
        <f t="shared" si="17"/>
        <v/>
      </c>
      <c r="I90" t="str">
        <f t="shared" si="18"/>
        <v/>
      </c>
    </row>
    <row r="91" spans="1:9">
      <c r="A91">
        <f>CSV!B91</f>
        <v>0</v>
      </c>
      <c r="B91" s="13" t="e">
        <f>INDEX(Input!$D$2:$AD$500,
       MATCH(CPU_Formula!A91, Input!$J$2:$J$500, 0),
       MATCH("CPU model", Input!$D$1:$AD$1, 0))</f>
        <v>#N/A</v>
      </c>
      <c r="C91" s="13" t="str">
        <f t="shared" si="14"/>
        <v/>
      </c>
      <c r="D91" s="13" t="str">
        <f t="shared" si="24"/>
        <v/>
      </c>
      <c r="E91" s="13" t="str">
        <f t="shared" si="15"/>
        <v/>
      </c>
      <c r="F91" s="13" t="str">
        <f t="shared" si="16"/>
        <v/>
      </c>
      <c r="G91" s="13" t="str">
        <f t="shared" si="11"/>
        <v/>
      </c>
      <c r="H91" s="13" t="str">
        <f t="shared" si="17"/>
        <v/>
      </c>
      <c r="I91" t="str">
        <f t="shared" si="18"/>
        <v/>
      </c>
    </row>
    <row r="92" spans="1:9">
      <c r="A92">
        <f>CSV!B92</f>
        <v>0</v>
      </c>
      <c r="B92" s="13" t="e">
        <f>INDEX(Input!$D$2:$AD$500,
       MATCH(CPU_Formula!A92, Input!$J$2:$J$500, 0),
       MATCH("CPU model", Input!$D$1:$AD$1, 0))</f>
        <v>#N/A</v>
      </c>
      <c r="C92" s="13" t="str">
        <f t="shared" si="14"/>
        <v/>
      </c>
      <c r="D92" s="13" t="str">
        <f t="shared" si="24"/>
        <v/>
      </c>
      <c r="E92" s="13" t="str">
        <f t="shared" si="15"/>
        <v/>
      </c>
      <c r="F92" s="13" t="str">
        <f t="shared" si="16"/>
        <v/>
      </c>
      <c r="G92" s="13" t="str">
        <f t="shared" si="11"/>
        <v/>
      </c>
      <c r="H92" s="13" t="str">
        <f t="shared" si="17"/>
        <v/>
      </c>
      <c r="I92" t="str">
        <f t="shared" si="18"/>
        <v/>
      </c>
    </row>
    <row r="93" spans="1:9">
      <c r="A93">
        <f>CSV!B93</f>
        <v>0</v>
      </c>
      <c r="B93" s="13" t="e">
        <f>INDEX(Input!$D$2:$AD$500,
       MATCH(CPU_Formula!A93, Input!$J$2:$J$500, 0),
       MATCH("CPU model", Input!$D$1:$AD$1, 0))</f>
        <v>#N/A</v>
      </c>
      <c r="C93" s="13" t="str">
        <f t="shared" si="14"/>
        <v/>
      </c>
      <c r="D93" s="13" t="str">
        <f t="shared" si="24"/>
        <v/>
      </c>
      <c r="E93" s="13" t="str">
        <f t="shared" si="15"/>
        <v/>
      </c>
      <c r="F93" s="13" t="str">
        <f t="shared" si="16"/>
        <v/>
      </c>
      <c r="G93" s="13" t="str">
        <f t="shared" si="11"/>
        <v/>
      </c>
      <c r="H93" s="13" t="str">
        <f t="shared" si="17"/>
        <v/>
      </c>
      <c r="I93" t="str">
        <f t="shared" si="18"/>
        <v/>
      </c>
    </row>
    <row r="94" spans="1:9">
      <c r="A94">
        <f>CSV!B94</f>
        <v>0</v>
      </c>
      <c r="B94" s="13" t="e">
        <f>INDEX(Input!$D$2:$AD$500,
       MATCH(CPU_Formula!A94, Input!$J$2:$J$500, 0),
       MATCH("CPU model", Input!$D$1:$AD$1, 0))</f>
        <v>#N/A</v>
      </c>
      <c r="C94" s="13" t="str">
        <f t="shared" si="14"/>
        <v/>
      </c>
      <c r="D94" s="13" t="str">
        <f t="shared" si="24"/>
        <v/>
      </c>
      <c r="E94" s="13" t="str">
        <f t="shared" si="15"/>
        <v/>
      </c>
      <c r="F94" s="13" t="str">
        <f t="shared" si="16"/>
        <v/>
      </c>
      <c r="G94" s="13" t="str">
        <f t="shared" si="11"/>
        <v/>
      </c>
      <c r="H94" s="13" t="str">
        <f t="shared" si="17"/>
        <v/>
      </c>
      <c r="I94" t="str">
        <f t="shared" si="18"/>
        <v/>
      </c>
    </row>
    <row r="95" spans="1:9">
      <c r="A95">
        <f>CSV!B95</f>
        <v>0</v>
      </c>
      <c r="B95" s="13" t="e">
        <f>INDEX(Input!$D$2:$AD$500,
       MATCH(CPU_Formula!A95, Input!$J$2:$J$500, 0),
       MATCH("CPU model", Input!$D$1:$AD$1, 0))</f>
        <v>#N/A</v>
      </c>
      <c r="C95" s="13" t="str">
        <f t="shared" si="14"/>
        <v/>
      </c>
      <c r="D95" s="13" t="str">
        <f t="shared" si="24"/>
        <v/>
      </c>
      <c r="E95" s="13" t="str">
        <f t="shared" si="15"/>
        <v/>
      </c>
      <c r="F95" s="13" t="str">
        <f t="shared" si="16"/>
        <v/>
      </c>
      <c r="G95" s="13" t="str">
        <f t="shared" si="11"/>
        <v/>
      </c>
      <c r="H95" s="13" t="str">
        <f t="shared" si="17"/>
        <v/>
      </c>
      <c r="I95" t="str">
        <f t="shared" si="18"/>
        <v/>
      </c>
    </row>
    <row r="96" spans="1:9">
      <c r="A96">
        <f>CSV!B96</f>
        <v>0</v>
      </c>
      <c r="B96" s="13" t="e">
        <f>INDEX(Input!$D$2:$AD$500,
       MATCH(CPU_Formula!A96, Input!$J$2:$J$500, 0),
       MATCH("CPU model", Input!$D$1:$AD$1, 0))</f>
        <v>#N/A</v>
      </c>
      <c r="C96" s="13" t="str">
        <f t="shared" si="14"/>
        <v/>
      </c>
      <c r="D96" s="13" t="str">
        <f t="shared" si="24"/>
        <v/>
      </c>
      <c r="E96" s="13" t="str">
        <f t="shared" si="15"/>
        <v/>
      </c>
      <c r="F96" s="13" t="str">
        <f t="shared" si="16"/>
        <v/>
      </c>
      <c r="G96" s="13" t="str">
        <f t="shared" si="11"/>
        <v/>
      </c>
      <c r="H96" s="13" t="str">
        <f t="shared" si="17"/>
        <v/>
      </c>
      <c r="I96" t="str">
        <f t="shared" si="18"/>
        <v/>
      </c>
    </row>
    <row r="97" spans="1:9">
      <c r="A97">
        <f>CSV!B97</f>
        <v>0</v>
      </c>
      <c r="B97" s="13" t="e">
        <f>INDEX(Input!$D$2:$AD$500,
       MATCH(CPU_Formula!A97, Input!$J$2:$J$500, 0),
       MATCH("CPU model", Input!$D$1:$AD$1, 0))</f>
        <v>#N/A</v>
      </c>
      <c r="C97" s="13" t="str">
        <f t="shared" si="14"/>
        <v/>
      </c>
      <c r="D97" s="13" t="str">
        <f t="shared" si="24"/>
        <v/>
      </c>
      <c r="E97" s="13" t="str">
        <f t="shared" si="15"/>
        <v/>
      </c>
      <c r="F97" s="13" t="str">
        <f t="shared" si="16"/>
        <v/>
      </c>
      <c r="G97" s="13" t="str">
        <f t="shared" si="11"/>
        <v/>
      </c>
      <c r="H97" s="13" t="str">
        <f t="shared" si="17"/>
        <v/>
      </c>
      <c r="I97" t="str">
        <f t="shared" si="18"/>
        <v/>
      </c>
    </row>
    <row r="98" spans="1:9">
      <c r="A98">
        <f>CSV!B98</f>
        <v>0</v>
      </c>
      <c r="B98" s="13" t="e">
        <f>INDEX(Input!$D$2:$AD$500,
       MATCH(CPU_Formula!A98, Input!$J$2:$J$500, 0),
       MATCH("CPU model", Input!$D$1:$AD$1, 0))</f>
        <v>#N/A</v>
      </c>
      <c r="C98" s="13" t="str">
        <f t="shared" si="14"/>
        <v/>
      </c>
      <c r="D98" s="13" t="str">
        <f t="shared" si="24"/>
        <v/>
      </c>
      <c r="E98" s="13" t="str">
        <f t="shared" si="15"/>
        <v/>
      </c>
      <c r="F98" s="13" t="str">
        <f t="shared" si="16"/>
        <v/>
      </c>
      <c r="G98" s="13" t="str">
        <f t="shared" si="11"/>
        <v/>
      </c>
      <c r="H98" s="13" t="str">
        <f t="shared" si="17"/>
        <v/>
      </c>
      <c r="I98" t="str">
        <f t="shared" si="18"/>
        <v/>
      </c>
    </row>
    <row r="99" spans="1:9">
      <c r="A99">
        <f>CSV!B99</f>
        <v>0</v>
      </c>
      <c r="B99" s="13" t="e">
        <f>INDEX(Input!$D$2:$AD$500,
       MATCH(CPU_Formula!A99, Input!$J$2:$J$500, 0),
       MATCH("CPU model", Input!$D$1:$AD$1, 0))</f>
        <v>#N/A</v>
      </c>
      <c r="C99" s="13" t="str">
        <f t="shared" si="14"/>
        <v/>
      </c>
      <c r="D99" s="13" t="str">
        <f t="shared" si="24"/>
        <v/>
      </c>
      <c r="E99" s="13" t="str">
        <f t="shared" si="15"/>
        <v/>
      </c>
      <c r="F99" s="13" t="str">
        <f t="shared" si="16"/>
        <v/>
      </c>
      <c r="G99" s="13" t="str">
        <f t="shared" si="11"/>
        <v/>
      </c>
      <c r="H99" s="13" t="str">
        <f t="shared" si="17"/>
        <v/>
      </c>
      <c r="I99" t="str">
        <f t="shared" si="18"/>
        <v/>
      </c>
    </row>
    <row r="100" spans="1:9">
      <c r="A100">
        <f>CSV!B100</f>
        <v>0</v>
      </c>
      <c r="B100" s="13" t="e">
        <f>INDEX(Input!$D$2:$AD$500,
       MATCH(CPU_Formula!A100, Input!$J$2:$J$500, 0),
       MATCH("CPU model", Input!$D$1:$AD$1, 0))</f>
        <v>#N/A</v>
      </c>
      <c r="C100" s="13" t="str">
        <f t="shared" si="14"/>
        <v/>
      </c>
      <c r="D100" s="13" t="str">
        <f t="shared" si="24"/>
        <v/>
      </c>
      <c r="E100" s="13" t="str">
        <f t="shared" si="15"/>
        <v/>
      </c>
      <c r="F100" s="13" t="str">
        <f t="shared" si="16"/>
        <v/>
      </c>
      <c r="G100" s="13" t="str">
        <f t="shared" si="11"/>
        <v/>
      </c>
      <c r="H100" s="13" t="str">
        <f t="shared" si="17"/>
        <v/>
      </c>
      <c r="I100" t="str">
        <f t="shared" si="18"/>
        <v/>
      </c>
    </row>
    <row r="101" spans="1:9">
      <c r="A101">
        <f>CSV!B101</f>
        <v>0</v>
      </c>
      <c r="B101" s="13" t="e">
        <f>INDEX(Input!$D$2:$AD$500,
       MATCH(CPU_Formula!A101, Input!$J$2:$J$500, 0),
       MATCH("CPU model", Input!$D$1:$AD$1, 0))</f>
        <v>#N/A</v>
      </c>
      <c r="C101" s="13" t="str">
        <f t="shared" si="14"/>
        <v/>
      </c>
      <c r="D101" s="13" t="str">
        <f t="shared" si="24"/>
        <v/>
      </c>
      <c r="E101" s="13" t="str">
        <f t="shared" si="15"/>
        <v/>
      </c>
      <c r="F101" s="13" t="str">
        <f t="shared" si="16"/>
        <v/>
      </c>
      <c r="G101" s="13" t="str">
        <f t="shared" si="11"/>
        <v/>
      </c>
      <c r="H101" s="13" t="str">
        <f t="shared" si="17"/>
        <v/>
      </c>
      <c r="I101" t="str">
        <f t="shared" si="18"/>
        <v/>
      </c>
    </row>
    <row r="102" spans="1:9">
      <c r="A102">
        <f>CSV!B102</f>
        <v>0</v>
      </c>
      <c r="B102" s="13" t="e">
        <f>INDEX(Input!$D$2:$AD$500,
       MATCH(CPU_Formula!A102, Input!$J$2:$J$500, 0),
       MATCH("CPU model", Input!$D$1:$AD$1, 0))</f>
        <v>#N/A</v>
      </c>
      <c r="C102" s="13" t="str">
        <f t="shared" si="14"/>
        <v/>
      </c>
      <c r="D102" s="13" t="str">
        <f t="shared" si="24"/>
        <v/>
      </c>
      <c r="E102" s="13" t="str">
        <f t="shared" si="15"/>
        <v/>
      </c>
      <c r="F102" s="13" t="str">
        <f t="shared" si="16"/>
        <v/>
      </c>
      <c r="G102" s="13" t="str">
        <f t="shared" si="11"/>
        <v/>
      </c>
      <c r="H102" s="13" t="str">
        <f t="shared" si="17"/>
        <v/>
      </c>
      <c r="I102" t="str">
        <f t="shared" si="18"/>
        <v/>
      </c>
    </row>
    <row r="103" spans="1:9">
      <c r="A103">
        <f>CSV!B103</f>
        <v>0</v>
      </c>
      <c r="B103" s="13" t="e">
        <f>INDEX(Input!$D$2:$AD$500,
       MATCH(CPU_Formula!A103, Input!$J$2:$J$500, 0),
       MATCH("CPU model", Input!$D$1:$AD$1, 0))</f>
        <v>#N/A</v>
      </c>
      <c r="C103" s="13" t="str">
        <f t="shared" si="14"/>
        <v/>
      </c>
      <c r="D103" s="13" t="str">
        <f t="shared" si="24"/>
        <v/>
      </c>
      <c r="E103" s="13" t="str">
        <f t="shared" si="15"/>
        <v/>
      </c>
      <c r="F103" s="13" t="str">
        <f t="shared" si="16"/>
        <v/>
      </c>
      <c r="G103" s="13" t="str">
        <f t="shared" si="11"/>
        <v/>
      </c>
      <c r="H103" s="13" t="str">
        <f t="shared" si="17"/>
        <v/>
      </c>
      <c r="I103" t="str">
        <f t="shared" si="18"/>
        <v/>
      </c>
    </row>
    <row r="104" spans="1:9">
      <c r="A104">
        <f>CSV!B104</f>
        <v>0</v>
      </c>
      <c r="B104" s="13" t="e">
        <f>_xlfn.XLOOKUP(A104,Input!J:J,Input!T:T)</f>
        <v>#N/A</v>
      </c>
      <c r="C104" s="13" t="str">
        <f t="shared" si="14"/>
        <v/>
      </c>
      <c r="D104" s="13" t="str">
        <f t="shared" si="24"/>
        <v/>
      </c>
      <c r="E104" s="13" t="str">
        <f t="shared" si="15"/>
        <v/>
      </c>
      <c r="F104" s="13" t="str">
        <f t="shared" si="16"/>
        <v/>
      </c>
      <c r="G104" s="13" t="str">
        <f t="shared" si="11"/>
        <v/>
      </c>
      <c r="H104" s="13" t="str">
        <f t="shared" si="17"/>
        <v/>
      </c>
      <c r="I104" t="str">
        <f t="shared" si="18"/>
        <v/>
      </c>
    </row>
    <row r="105" spans="1:9">
      <c r="G105" s="13" t="str">
        <f t="shared" si="11"/>
        <v/>
      </c>
    </row>
    <row r="106" spans="1:9">
      <c r="G106" s="13" t="str">
        <f t="shared" si="11"/>
        <v/>
      </c>
    </row>
    <row r="107" spans="1:9">
      <c r="G107" s="13" t="str">
        <f t="shared" si="11"/>
        <v/>
      </c>
    </row>
    <row r="108" spans="1:9">
      <c r="G108" s="13" t="str">
        <f t="shared" si="11"/>
        <v/>
      </c>
    </row>
    <row r="109" spans="1:9">
      <c r="G109" s="13" t="str">
        <f t="shared" si="11"/>
        <v/>
      </c>
    </row>
    <row r="110" spans="1:9">
      <c r="G110" s="13" t="str">
        <f t="shared" si="11"/>
        <v/>
      </c>
    </row>
    <row r="111" spans="1:9">
      <c r="G111" s="13" t="str">
        <f t="shared" si="11"/>
        <v/>
      </c>
    </row>
    <row r="112" spans="1:9">
      <c r="G112" s="13" t="str">
        <f t="shared" si="11"/>
        <v/>
      </c>
    </row>
    <row r="113" spans="7:7">
      <c r="G113" s="13" t="str">
        <f t="shared" si="11"/>
        <v/>
      </c>
    </row>
    <row r="114" spans="7:7">
      <c r="G114" s="13" t="str">
        <f t="shared" si="11"/>
        <v/>
      </c>
    </row>
    <row r="115" spans="7:7">
      <c r="G115" s="13" t="str">
        <f t="shared" si="11"/>
        <v/>
      </c>
    </row>
    <row r="116" spans="7:7">
      <c r="G116" s="13" t="str">
        <f t="shared" si="11"/>
        <v/>
      </c>
    </row>
    <row r="117" spans="7:7">
      <c r="G117" s="13" t="str">
        <f t="shared" si="11"/>
        <v/>
      </c>
    </row>
    <row r="118" spans="7:7">
      <c r="G118" s="13" t="str">
        <f t="shared" si="11"/>
        <v/>
      </c>
    </row>
    <row r="119" spans="7:7">
      <c r="G119" s="13" t="str">
        <f t="shared" si="11"/>
        <v/>
      </c>
    </row>
    <row r="120" spans="7:7">
      <c r="G120" s="13" t="str">
        <f t="shared" si="11"/>
        <v/>
      </c>
    </row>
    <row r="121" spans="7:7">
      <c r="G121" s="13" t="str">
        <f t="shared" si="11"/>
        <v/>
      </c>
    </row>
    <row r="122" spans="7:7">
      <c r="G122" s="13" t="str">
        <f t="shared" si="11"/>
        <v/>
      </c>
    </row>
    <row r="123" spans="7:7">
      <c r="G123" s="13" t="str">
        <f t="shared" si="11"/>
        <v/>
      </c>
    </row>
    <row r="124" spans="7:7">
      <c r="G124" s="13" t="str">
        <f t="shared" si="11"/>
        <v/>
      </c>
    </row>
    <row r="125" spans="7:7">
      <c r="G125" s="13" t="str">
        <f t="shared" si="11"/>
        <v/>
      </c>
    </row>
    <row r="126" spans="7:7">
      <c r="G126" s="13" t="str">
        <f t="shared" si="11"/>
        <v/>
      </c>
    </row>
    <row r="127" spans="7:7">
      <c r="G127" s="13" t="str">
        <f t="shared" si="11"/>
        <v/>
      </c>
    </row>
    <row r="128" spans="7:7">
      <c r="G128" s="13" t="str">
        <f t="shared" si="11"/>
        <v/>
      </c>
    </row>
    <row r="129" spans="7:7">
      <c r="G129" s="13" t="str">
        <f t="shared" si="11"/>
        <v/>
      </c>
    </row>
    <row r="130" spans="7:7">
      <c r="G130" s="13" t="str">
        <f t="shared" ref="G130:G193" si="25">IFERROR(_xlfn.TEXTBEFORE(D130,"w"),"")</f>
        <v/>
      </c>
    </row>
    <row r="131" spans="7:7">
      <c r="G131" s="13" t="str">
        <f t="shared" si="25"/>
        <v/>
      </c>
    </row>
    <row r="132" spans="7:7">
      <c r="G132" s="13" t="str">
        <f t="shared" si="25"/>
        <v/>
      </c>
    </row>
    <row r="133" spans="7:7">
      <c r="G133" s="13" t="str">
        <f t="shared" si="25"/>
        <v/>
      </c>
    </row>
    <row r="134" spans="7:7">
      <c r="G134" s="13" t="str">
        <f t="shared" si="25"/>
        <v/>
      </c>
    </row>
    <row r="135" spans="7:7">
      <c r="G135" s="13" t="str">
        <f t="shared" si="25"/>
        <v/>
      </c>
    </row>
    <row r="136" spans="7:7">
      <c r="G136" s="13" t="str">
        <f t="shared" si="25"/>
        <v/>
      </c>
    </row>
    <row r="137" spans="7:7">
      <c r="G137" s="13" t="str">
        <f t="shared" si="25"/>
        <v/>
      </c>
    </row>
    <row r="138" spans="7:7">
      <c r="G138" s="13" t="str">
        <f t="shared" si="25"/>
        <v/>
      </c>
    </row>
    <row r="139" spans="7:7">
      <c r="G139" s="13" t="str">
        <f t="shared" si="25"/>
        <v/>
      </c>
    </row>
    <row r="140" spans="7:7">
      <c r="G140" s="13" t="str">
        <f t="shared" si="25"/>
        <v/>
      </c>
    </row>
    <row r="141" spans="7:7">
      <c r="G141" s="13" t="str">
        <f t="shared" si="25"/>
        <v/>
      </c>
    </row>
    <row r="142" spans="7:7">
      <c r="G142" s="13" t="str">
        <f t="shared" si="25"/>
        <v/>
      </c>
    </row>
    <row r="143" spans="7:7">
      <c r="G143" s="13" t="str">
        <f t="shared" si="25"/>
        <v/>
      </c>
    </row>
    <row r="144" spans="7:7">
      <c r="G144" s="13" t="str">
        <f t="shared" si="25"/>
        <v/>
      </c>
    </row>
    <row r="145" spans="7:7">
      <c r="G145" s="13" t="str">
        <f t="shared" si="25"/>
        <v/>
      </c>
    </row>
    <row r="146" spans="7:7">
      <c r="G146" s="13" t="str">
        <f t="shared" si="25"/>
        <v/>
      </c>
    </row>
    <row r="147" spans="7:7">
      <c r="G147" s="13" t="str">
        <f t="shared" si="25"/>
        <v/>
      </c>
    </row>
    <row r="148" spans="7:7">
      <c r="G148" s="13" t="str">
        <f t="shared" si="25"/>
        <v/>
      </c>
    </row>
    <row r="149" spans="7:7">
      <c r="G149" s="13" t="str">
        <f t="shared" si="25"/>
        <v/>
      </c>
    </row>
    <row r="150" spans="7:7">
      <c r="G150" s="13" t="str">
        <f t="shared" si="25"/>
        <v/>
      </c>
    </row>
    <row r="151" spans="7:7">
      <c r="G151" s="13" t="str">
        <f t="shared" si="25"/>
        <v/>
      </c>
    </row>
    <row r="152" spans="7:7">
      <c r="G152" s="13" t="str">
        <f t="shared" si="25"/>
        <v/>
      </c>
    </row>
    <row r="153" spans="7:7">
      <c r="G153" s="13" t="str">
        <f t="shared" si="25"/>
        <v/>
      </c>
    </row>
    <row r="154" spans="7:7">
      <c r="G154" s="13" t="str">
        <f t="shared" si="25"/>
        <v/>
      </c>
    </row>
    <row r="155" spans="7:7">
      <c r="G155" s="13" t="str">
        <f t="shared" si="25"/>
        <v/>
      </c>
    </row>
    <row r="156" spans="7:7">
      <c r="G156" s="13" t="str">
        <f t="shared" si="25"/>
        <v/>
      </c>
    </row>
    <row r="157" spans="7:7">
      <c r="G157" s="13" t="str">
        <f t="shared" si="25"/>
        <v/>
      </c>
    </row>
    <row r="158" spans="7:7">
      <c r="G158" s="13" t="str">
        <f t="shared" si="25"/>
        <v/>
      </c>
    </row>
    <row r="159" spans="7:7">
      <c r="G159" s="13" t="str">
        <f t="shared" si="25"/>
        <v/>
      </c>
    </row>
    <row r="160" spans="7:7">
      <c r="G160" s="13" t="str">
        <f t="shared" si="25"/>
        <v/>
      </c>
    </row>
    <row r="161" spans="7:7">
      <c r="G161" s="13" t="str">
        <f t="shared" si="25"/>
        <v/>
      </c>
    </row>
    <row r="162" spans="7:7">
      <c r="G162" s="13" t="str">
        <f t="shared" si="25"/>
        <v/>
      </c>
    </row>
    <row r="163" spans="7:7">
      <c r="G163" s="13" t="str">
        <f t="shared" si="25"/>
        <v/>
      </c>
    </row>
    <row r="164" spans="7:7">
      <c r="G164" s="13" t="str">
        <f t="shared" si="25"/>
        <v/>
      </c>
    </row>
    <row r="165" spans="7:7">
      <c r="G165" s="13" t="str">
        <f t="shared" si="25"/>
        <v/>
      </c>
    </row>
    <row r="166" spans="7:7">
      <c r="G166" s="13" t="str">
        <f t="shared" si="25"/>
        <v/>
      </c>
    </row>
    <row r="167" spans="7:7">
      <c r="G167" s="13" t="str">
        <f t="shared" si="25"/>
        <v/>
      </c>
    </row>
    <row r="168" spans="7:7">
      <c r="G168" s="13" t="str">
        <f t="shared" si="25"/>
        <v/>
      </c>
    </row>
    <row r="169" spans="7:7">
      <c r="G169" s="13" t="str">
        <f t="shared" si="25"/>
        <v/>
      </c>
    </row>
    <row r="170" spans="7:7">
      <c r="G170" s="13" t="str">
        <f t="shared" si="25"/>
        <v/>
      </c>
    </row>
    <row r="171" spans="7:7">
      <c r="G171" s="13" t="str">
        <f t="shared" si="25"/>
        <v/>
      </c>
    </row>
    <row r="172" spans="7:7">
      <c r="G172" s="13" t="str">
        <f t="shared" si="25"/>
        <v/>
      </c>
    </row>
    <row r="173" spans="7:7">
      <c r="G173" s="13" t="str">
        <f t="shared" si="25"/>
        <v/>
      </c>
    </row>
    <row r="174" spans="7:7">
      <c r="G174" s="13" t="str">
        <f t="shared" si="25"/>
        <v/>
      </c>
    </row>
    <row r="175" spans="7:7">
      <c r="G175" s="13" t="str">
        <f t="shared" si="25"/>
        <v/>
      </c>
    </row>
    <row r="176" spans="7:7">
      <c r="G176" s="13" t="str">
        <f t="shared" si="25"/>
        <v/>
      </c>
    </row>
    <row r="177" spans="7:7">
      <c r="G177" s="13" t="str">
        <f t="shared" si="25"/>
        <v/>
      </c>
    </row>
    <row r="178" spans="7:7">
      <c r="G178" s="13" t="str">
        <f t="shared" si="25"/>
        <v/>
      </c>
    </row>
    <row r="179" spans="7:7">
      <c r="G179" s="13" t="str">
        <f t="shared" si="25"/>
        <v/>
      </c>
    </row>
    <row r="180" spans="7:7">
      <c r="G180" s="13" t="str">
        <f t="shared" si="25"/>
        <v/>
      </c>
    </row>
    <row r="181" spans="7:7">
      <c r="G181" s="13" t="str">
        <f t="shared" si="25"/>
        <v/>
      </c>
    </row>
    <row r="182" spans="7:7">
      <c r="G182" s="13" t="str">
        <f t="shared" si="25"/>
        <v/>
      </c>
    </row>
    <row r="183" spans="7:7">
      <c r="G183" s="13" t="str">
        <f t="shared" si="25"/>
        <v/>
      </c>
    </row>
    <row r="184" spans="7:7">
      <c r="G184" s="13" t="str">
        <f t="shared" si="25"/>
        <v/>
      </c>
    </row>
    <row r="185" spans="7:7">
      <c r="G185" s="13" t="str">
        <f t="shared" si="25"/>
        <v/>
      </c>
    </row>
    <row r="186" spans="7:7">
      <c r="G186" s="13" t="str">
        <f t="shared" si="25"/>
        <v/>
      </c>
    </row>
    <row r="187" spans="7:7">
      <c r="G187" s="13" t="str">
        <f t="shared" si="25"/>
        <v/>
      </c>
    </row>
    <row r="188" spans="7:7">
      <c r="G188" s="13" t="str">
        <f t="shared" si="25"/>
        <v/>
      </c>
    </row>
    <row r="189" spans="7:7">
      <c r="G189" s="13" t="str">
        <f t="shared" si="25"/>
        <v/>
      </c>
    </row>
    <row r="190" spans="7:7">
      <c r="G190" s="13" t="str">
        <f t="shared" si="25"/>
        <v/>
      </c>
    </row>
    <row r="191" spans="7:7">
      <c r="G191" s="13" t="str">
        <f t="shared" si="25"/>
        <v/>
      </c>
    </row>
    <row r="192" spans="7:7">
      <c r="G192" s="13" t="str">
        <f t="shared" si="25"/>
        <v/>
      </c>
    </row>
    <row r="193" spans="7:7">
      <c r="G193" s="13" t="str">
        <f t="shared" si="25"/>
        <v/>
      </c>
    </row>
    <row r="194" spans="7:7">
      <c r="G194" s="13" t="str">
        <f t="shared" ref="G194:G257" si="26">IFERROR(_xlfn.TEXTBEFORE(D194,"w"),"")</f>
        <v/>
      </c>
    </row>
    <row r="195" spans="7:7">
      <c r="G195" s="13" t="str">
        <f t="shared" si="26"/>
        <v/>
      </c>
    </row>
    <row r="196" spans="7:7">
      <c r="G196" s="13" t="str">
        <f t="shared" si="26"/>
        <v/>
      </c>
    </row>
    <row r="197" spans="7:7">
      <c r="G197" s="13" t="str">
        <f t="shared" si="26"/>
        <v/>
      </c>
    </row>
    <row r="198" spans="7:7">
      <c r="G198" s="13" t="str">
        <f t="shared" si="26"/>
        <v/>
      </c>
    </row>
    <row r="199" spans="7:7">
      <c r="G199" s="13" t="str">
        <f t="shared" si="26"/>
        <v/>
      </c>
    </row>
    <row r="200" spans="7:7">
      <c r="G200" s="13" t="str">
        <f t="shared" si="26"/>
        <v/>
      </c>
    </row>
    <row r="201" spans="7:7">
      <c r="G201" s="13" t="str">
        <f t="shared" si="26"/>
        <v/>
      </c>
    </row>
    <row r="202" spans="7:7">
      <c r="G202" s="13" t="str">
        <f t="shared" si="26"/>
        <v/>
      </c>
    </row>
    <row r="203" spans="7:7">
      <c r="G203" s="13" t="str">
        <f t="shared" si="26"/>
        <v/>
      </c>
    </row>
    <row r="204" spans="7:7">
      <c r="G204" s="13" t="str">
        <f t="shared" si="26"/>
        <v/>
      </c>
    </row>
    <row r="205" spans="7:7">
      <c r="G205" s="13" t="str">
        <f t="shared" si="26"/>
        <v/>
      </c>
    </row>
    <row r="206" spans="7:7">
      <c r="G206" s="13" t="str">
        <f t="shared" si="26"/>
        <v/>
      </c>
    </row>
    <row r="207" spans="7:7">
      <c r="G207" s="13" t="str">
        <f t="shared" si="26"/>
        <v/>
      </c>
    </row>
    <row r="208" spans="7:7">
      <c r="G208" s="13" t="str">
        <f t="shared" si="26"/>
        <v/>
      </c>
    </row>
    <row r="209" spans="7:7">
      <c r="G209" s="13" t="str">
        <f t="shared" si="26"/>
        <v/>
      </c>
    </row>
    <row r="210" spans="7:7">
      <c r="G210" s="13" t="str">
        <f t="shared" si="26"/>
        <v/>
      </c>
    </row>
    <row r="211" spans="7:7">
      <c r="G211" s="13" t="str">
        <f t="shared" si="26"/>
        <v/>
      </c>
    </row>
    <row r="212" spans="7:7">
      <c r="G212" s="13" t="str">
        <f t="shared" si="26"/>
        <v/>
      </c>
    </row>
    <row r="213" spans="7:7">
      <c r="G213" s="13" t="str">
        <f t="shared" si="26"/>
        <v/>
      </c>
    </row>
    <row r="214" spans="7:7">
      <c r="G214" s="13" t="str">
        <f t="shared" si="26"/>
        <v/>
      </c>
    </row>
    <row r="215" spans="7:7">
      <c r="G215" s="13" t="str">
        <f t="shared" si="26"/>
        <v/>
      </c>
    </row>
    <row r="216" spans="7:7">
      <c r="G216" s="13" t="str">
        <f t="shared" si="26"/>
        <v/>
      </c>
    </row>
    <row r="217" spans="7:7">
      <c r="G217" s="13" t="str">
        <f t="shared" si="26"/>
        <v/>
      </c>
    </row>
    <row r="218" spans="7:7">
      <c r="G218" s="13" t="str">
        <f t="shared" si="26"/>
        <v/>
      </c>
    </row>
    <row r="219" spans="7:7">
      <c r="G219" s="13" t="str">
        <f t="shared" si="26"/>
        <v/>
      </c>
    </row>
    <row r="220" spans="7:7">
      <c r="G220" s="13" t="str">
        <f t="shared" si="26"/>
        <v/>
      </c>
    </row>
    <row r="221" spans="7:7">
      <c r="G221" s="13" t="str">
        <f t="shared" si="26"/>
        <v/>
      </c>
    </row>
    <row r="222" spans="7:7">
      <c r="G222" s="13" t="str">
        <f t="shared" si="26"/>
        <v/>
      </c>
    </row>
    <row r="223" spans="7:7">
      <c r="G223" s="13" t="str">
        <f t="shared" si="26"/>
        <v/>
      </c>
    </row>
    <row r="224" spans="7:7">
      <c r="G224" s="13" t="str">
        <f t="shared" si="26"/>
        <v/>
      </c>
    </row>
    <row r="225" spans="7:7">
      <c r="G225" s="13" t="str">
        <f t="shared" si="26"/>
        <v/>
      </c>
    </row>
    <row r="226" spans="7:7">
      <c r="G226" s="13" t="str">
        <f t="shared" si="26"/>
        <v/>
      </c>
    </row>
    <row r="227" spans="7:7">
      <c r="G227" s="13" t="str">
        <f t="shared" si="26"/>
        <v/>
      </c>
    </row>
    <row r="228" spans="7:7">
      <c r="G228" s="13" t="str">
        <f t="shared" si="26"/>
        <v/>
      </c>
    </row>
    <row r="229" spans="7:7">
      <c r="G229" s="13" t="str">
        <f t="shared" si="26"/>
        <v/>
      </c>
    </row>
    <row r="230" spans="7:7">
      <c r="G230" s="13" t="str">
        <f t="shared" si="26"/>
        <v/>
      </c>
    </row>
    <row r="231" spans="7:7">
      <c r="G231" s="13" t="str">
        <f t="shared" si="26"/>
        <v/>
      </c>
    </row>
    <row r="232" spans="7:7">
      <c r="G232" s="13" t="str">
        <f t="shared" si="26"/>
        <v/>
      </c>
    </row>
    <row r="233" spans="7:7">
      <c r="G233" s="13" t="str">
        <f t="shared" si="26"/>
        <v/>
      </c>
    </row>
    <row r="234" spans="7:7">
      <c r="G234" s="13" t="str">
        <f t="shared" si="26"/>
        <v/>
      </c>
    </row>
    <row r="235" spans="7:7">
      <c r="G235" s="13" t="str">
        <f t="shared" si="26"/>
        <v/>
      </c>
    </row>
    <row r="236" spans="7:7">
      <c r="G236" s="13" t="str">
        <f t="shared" si="26"/>
        <v/>
      </c>
    </row>
    <row r="237" spans="7:7">
      <c r="G237" s="13" t="str">
        <f t="shared" si="26"/>
        <v/>
      </c>
    </row>
    <row r="238" spans="7:7">
      <c r="G238" s="13" t="str">
        <f t="shared" si="26"/>
        <v/>
      </c>
    </row>
    <row r="239" spans="7:7">
      <c r="G239" s="13" t="str">
        <f t="shared" si="26"/>
        <v/>
      </c>
    </row>
    <row r="240" spans="7:7">
      <c r="G240" s="13" t="str">
        <f t="shared" si="26"/>
        <v/>
      </c>
    </row>
    <row r="241" spans="7:7">
      <c r="G241" s="13" t="str">
        <f t="shared" si="26"/>
        <v/>
      </c>
    </row>
    <row r="242" spans="7:7">
      <c r="G242" s="13" t="str">
        <f t="shared" si="26"/>
        <v/>
      </c>
    </row>
    <row r="243" spans="7:7">
      <c r="G243" s="13" t="str">
        <f t="shared" si="26"/>
        <v/>
      </c>
    </row>
    <row r="244" spans="7:7">
      <c r="G244" s="13" t="str">
        <f t="shared" si="26"/>
        <v/>
      </c>
    </row>
    <row r="245" spans="7:7">
      <c r="G245" s="13" t="str">
        <f t="shared" si="26"/>
        <v/>
      </c>
    </row>
    <row r="246" spans="7:7">
      <c r="G246" s="13" t="str">
        <f t="shared" si="26"/>
        <v/>
      </c>
    </row>
    <row r="247" spans="7:7">
      <c r="G247" s="13" t="str">
        <f t="shared" si="26"/>
        <v/>
      </c>
    </row>
    <row r="248" spans="7:7">
      <c r="G248" s="13" t="str">
        <f t="shared" si="26"/>
        <v/>
      </c>
    </row>
    <row r="249" spans="7:7">
      <c r="G249" s="13" t="str">
        <f t="shared" si="26"/>
        <v/>
      </c>
    </row>
    <row r="250" spans="7:7">
      <c r="G250" s="13" t="str">
        <f t="shared" si="26"/>
        <v/>
      </c>
    </row>
    <row r="251" spans="7:7">
      <c r="G251" s="13" t="str">
        <f t="shared" si="26"/>
        <v/>
      </c>
    </row>
    <row r="252" spans="7:7">
      <c r="G252" s="13" t="str">
        <f t="shared" si="26"/>
        <v/>
      </c>
    </row>
    <row r="253" spans="7:7">
      <c r="G253" s="13" t="str">
        <f t="shared" si="26"/>
        <v/>
      </c>
    </row>
    <row r="254" spans="7:7">
      <c r="G254" s="13" t="str">
        <f t="shared" si="26"/>
        <v/>
      </c>
    </row>
    <row r="255" spans="7:7">
      <c r="G255" s="13" t="str">
        <f t="shared" si="26"/>
        <v/>
      </c>
    </row>
    <row r="256" spans="7:7">
      <c r="G256" s="13" t="str">
        <f t="shared" si="26"/>
        <v/>
      </c>
    </row>
    <row r="257" spans="7:7">
      <c r="G257" s="13" t="str">
        <f t="shared" si="26"/>
        <v/>
      </c>
    </row>
    <row r="258" spans="7:7">
      <c r="G258" s="13" t="str">
        <f t="shared" ref="G258:G321" si="27">IFERROR(_xlfn.TEXTBEFORE(D258,"w"),"")</f>
        <v/>
      </c>
    </row>
    <row r="259" spans="7:7">
      <c r="G259" s="13" t="str">
        <f t="shared" si="27"/>
        <v/>
      </c>
    </row>
    <row r="260" spans="7:7">
      <c r="G260" s="13" t="str">
        <f t="shared" si="27"/>
        <v/>
      </c>
    </row>
    <row r="261" spans="7:7">
      <c r="G261" s="13" t="str">
        <f t="shared" si="27"/>
        <v/>
      </c>
    </row>
    <row r="262" spans="7:7">
      <c r="G262" s="13" t="str">
        <f t="shared" si="27"/>
        <v/>
      </c>
    </row>
    <row r="263" spans="7:7">
      <c r="G263" s="13" t="str">
        <f t="shared" si="27"/>
        <v/>
      </c>
    </row>
    <row r="264" spans="7:7">
      <c r="G264" s="13" t="str">
        <f t="shared" si="27"/>
        <v/>
      </c>
    </row>
    <row r="265" spans="7:7">
      <c r="G265" s="13" t="str">
        <f t="shared" si="27"/>
        <v/>
      </c>
    </row>
    <row r="266" spans="7:7">
      <c r="G266" s="13" t="str">
        <f t="shared" si="27"/>
        <v/>
      </c>
    </row>
    <row r="267" spans="7:7">
      <c r="G267" s="13" t="str">
        <f t="shared" si="27"/>
        <v/>
      </c>
    </row>
    <row r="268" spans="7:7">
      <c r="G268" s="13" t="str">
        <f t="shared" si="27"/>
        <v/>
      </c>
    </row>
    <row r="269" spans="7:7">
      <c r="G269" s="13" t="str">
        <f t="shared" si="27"/>
        <v/>
      </c>
    </row>
    <row r="270" spans="7:7">
      <c r="G270" s="13" t="str">
        <f t="shared" si="27"/>
        <v/>
      </c>
    </row>
    <row r="271" spans="7:7">
      <c r="G271" s="13" t="str">
        <f t="shared" si="27"/>
        <v/>
      </c>
    </row>
    <row r="272" spans="7:7">
      <c r="G272" s="13" t="str">
        <f t="shared" si="27"/>
        <v/>
      </c>
    </row>
    <row r="273" spans="7:7">
      <c r="G273" s="13" t="str">
        <f t="shared" si="27"/>
        <v/>
      </c>
    </row>
    <row r="274" spans="7:7">
      <c r="G274" s="13" t="str">
        <f t="shared" si="27"/>
        <v/>
      </c>
    </row>
    <row r="275" spans="7:7">
      <c r="G275" s="13" t="str">
        <f t="shared" si="27"/>
        <v/>
      </c>
    </row>
    <row r="276" spans="7:7">
      <c r="G276" s="13" t="str">
        <f t="shared" si="27"/>
        <v/>
      </c>
    </row>
    <row r="277" spans="7:7">
      <c r="G277" s="13" t="str">
        <f t="shared" si="27"/>
        <v/>
      </c>
    </row>
    <row r="278" spans="7:7">
      <c r="G278" s="13" t="str">
        <f t="shared" si="27"/>
        <v/>
      </c>
    </row>
    <row r="279" spans="7:7">
      <c r="G279" s="13" t="str">
        <f t="shared" si="27"/>
        <v/>
      </c>
    </row>
    <row r="280" spans="7:7">
      <c r="G280" s="13" t="str">
        <f t="shared" si="27"/>
        <v/>
      </c>
    </row>
    <row r="281" spans="7:7">
      <c r="G281" s="13" t="str">
        <f t="shared" si="27"/>
        <v/>
      </c>
    </row>
    <row r="282" spans="7:7">
      <c r="G282" s="13" t="str">
        <f t="shared" si="27"/>
        <v/>
      </c>
    </row>
    <row r="283" spans="7:7">
      <c r="G283" s="13" t="str">
        <f t="shared" si="27"/>
        <v/>
      </c>
    </row>
    <row r="284" spans="7:7">
      <c r="G284" s="13" t="str">
        <f t="shared" si="27"/>
        <v/>
      </c>
    </row>
    <row r="285" spans="7:7">
      <c r="G285" s="13" t="str">
        <f t="shared" si="27"/>
        <v/>
      </c>
    </row>
    <row r="286" spans="7:7">
      <c r="G286" s="13" t="str">
        <f t="shared" si="27"/>
        <v/>
      </c>
    </row>
    <row r="287" spans="7:7">
      <c r="G287" s="13" t="str">
        <f t="shared" si="27"/>
        <v/>
      </c>
    </row>
    <row r="288" spans="7:7">
      <c r="G288" s="13" t="str">
        <f t="shared" si="27"/>
        <v/>
      </c>
    </row>
    <row r="289" spans="7:7">
      <c r="G289" s="13" t="str">
        <f t="shared" si="27"/>
        <v/>
      </c>
    </row>
    <row r="290" spans="7:7">
      <c r="G290" s="13" t="str">
        <f t="shared" si="27"/>
        <v/>
      </c>
    </row>
    <row r="291" spans="7:7">
      <c r="G291" s="13" t="str">
        <f t="shared" si="27"/>
        <v/>
      </c>
    </row>
    <row r="292" spans="7:7">
      <c r="G292" s="13" t="str">
        <f t="shared" si="27"/>
        <v/>
      </c>
    </row>
    <row r="293" spans="7:7">
      <c r="G293" s="13" t="str">
        <f t="shared" si="27"/>
        <v/>
      </c>
    </row>
    <row r="294" spans="7:7">
      <c r="G294" s="13" t="str">
        <f t="shared" si="27"/>
        <v/>
      </c>
    </row>
    <row r="295" spans="7:7">
      <c r="G295" s="13" t="str">
        <f t="shared" si="27"/>
        <v/>
      </c>
    </row>
    <row r="296" spans="7:7">
      <c r="G296" s="13" t="str">
        <f t="shared" si="27"/>
        <v/>
      </c>
    </row>
    <row r="297" spans="7:7">
      <c r="G297" s="13" t="str">
        <f t="shared" si="27"/>
        <v/>
      </c>
    </row>
    <row r="298" spans="7:7">
      <c r="G298" s="13" t="str">
        <f t="shared" si="27"/>
        <v/>
      </c>
    </row>
    <row r="299" spans="7:7">
      <c r="G299" s="13" t="str">
        <f t="shared" si="27"/>
        <v/>
      </c>
    </row>
    <row r="300" spans="7:7">
      <c r="G300" s="13" t="str">
        <f t="shared" si="27"/>
        <v/>
      </c>
    </row>
    <row r="301" spans="7:7">
      <c r="G301" s="13" t="str">
        <f t="shared" si="27"/>
        <v/>
      </c>
    </row>
    <row r="302" spans="7:7">
      <c r="G302" s="13" t="str">
        <f t="shared" si="27"/>
        <v/>
      </c>
    </row>
    <row r="303" spans="7:7">
      <c r="G303" s="13" t="str">
        <f t="shared" si="27"/>
        <v/>
      </c>
    </row>
    <row r="304" spans="7:7">
      <c r="G304" s="13" t="str">
        <f t="shared" si="27"/>
        <v/>
      </c>
    </row>
    <row r="305" spans="7:7">
      <c r="G305" s="13" t="str">
        <f t="shared" si="27"/>
        <v/>
      </c>
    </row>
    <row r="306" spans="7:7">
      <c r="G306" s="13" t="str">
        <f t="shared" si="27"/>
        <v/>
      </c>
    </row>
    <row r="307" spans="7:7">
      <c r="G307" s="13" t="str">
        <f t="shared" si="27"/>
        <v/>
      </c>
    </row>
    <row r="308" spans="7:7">
      <c r="G308" s="13" t="str">
        <f t="shared" si="27"/>
        <v/>
      </c>
    </row>
    <row r="309" spans="7:7">
      <c r="G309" s="13" t="str">
        <f t="shared" si="27"/>
        <v/>
      </c>
    </row>
    <row r="310" spans="7:7">
      <c r="G310" s="13" t="str">
        <f t="shared" si="27"/>
        <v/>
      </c>
    </row>
    <row r="311" spans="7:7">
      <c r="G311" s="13" t="str">
        <f t="shared" si="27"/>
        <v/>
      </c>
    </row>
    <row r="312" spans="7:7">
      <c r="G312" s="13" t="str">
        <f t="shared" si="27"/>
        <v/>
      </c>
    </row>
    <row r="313" spans="7:7">
      <c r="G313" s="13" t="str">
        <f t="shared" si="27"/>
        <v/>
      </c>
    </row>
    <row r="314" spans="7:7">
      <c r="G314" s="13" t="str">
        <f t="shared" si="27"/>
        <v/>
      </c>
    </row>
    <row r="315" spans="7:7">
      <c r="G315" s="13" t="str">
        <f t="shared" si="27"/>
        <v/>
      </c>
    </row>
    <row r="316" spans="7:7">
      <c r="G316" s="13" t="str">
        <f t="shared" si="27"/>
        <v/>
      </c>
    </row>
    <row r="317" spans="7:7">
      <c r="G317" s="13" t="str">
        <f t="shared" si="27"/>
        <v/>
      </c>
    </row>
    <row r="318" spans="7:7">
      <c r="G318" s="13" t="str">
        <f t="shared" si="27"/>
        <v/>
      </c>
    </row>
    <row r="319" spans="7:7">
      <c r="G319" s="13" t="str">
        <f t="shared" si="27"/>
        <v/>
      </c>
    </row>
    <row r="320" spans="7:7">
      <c r="G320" s="13" t="str">
        <f t="shared" si="27"/>
        <v/>
      </c>
    </row>
    <row r="321" spans="7:7">
      <c r="G321" s="13" t="str">
        <f t="shared" si="27"/>
        <v/>
      </c>
    </row>
    <row r="322" spans="7:7">
      <c r="G322" s="13" t="str">
        <f t="shared" ref="G322:G385" si="28">IFERROR(_xlfn.TEXTBEFORE(D322,"w"),"")</f>
        <v/>
      </c>
    </row>
    <row r="323" spans="7:7">
      <c r="G323" s="13" t="str">
        <f t="shared" si="28"/>
        <v/>
      </c>
    </row>
    <row r="324" spans="7:7">
      <c r="G324" s="13" t="str">
        <f t="shared" si="28"/>
        <v/>
      </c>
    </row>
    <row r="325" spans="7:7">
      <c r="G325" s="13" t="str">
        <f t="shared" si="28"/>
        <v/>
      </c>
    </row>
    <row r="326" spans="7:7">
      <c r="G326" s="13" t="str">
        <f t="shared" si="28"/>
        <v/>
      </c>
    </row>
    <row r="327" spans="7:7">
      <c r="G327" s="13" t="str">
        <f t="shared" si="28"/>
        <v/>
      </c>
    </row>
    <row r="328" spans="7:7">
      <c r="G328" s="13" t="str">
        <f t="shared" si="28"/>
        <v/>
      </c>
    </row>
    <row r="329" spans="7:7">
      <c r="G329" s="13" t="str">
        <f t="shared" si="28"/>
        <v/>
      </c>
    </row>
    <row r="330" spans="7:7">
      <c r="G330" s="13" t="str">
        <f t="shared" si="28"/>
        <v/>
      </c>
    </row>
    <row r="331" spans="7:7">
      <c r="G331" s="13" t="str">
        <f t="shared" si="28"/>
        <v/>
      </c>
    </row>
    <row r="332" spans="7:7">
      <c r="G332" s="13" t="str">
        <f t="shared" si="28"/>
        <v/>
      </c>
    </row>
    <row r="333" spans="7:7">
      <c r="G333" s="13" t="str">
        <f t="shared" si="28"/>
        <v/>
      </c>
    </row>
    <row r="334" spans="7:7">
      <c r="G334" s="13" t="str">
        <f t="shared" si="28"/>
        <v/>
      </c>
    </row>
    <row r="335" spans="7:7">
      <c r="G335" s="13" t="str">
        <f t="shared" si="28"/>
        <v/>
      </c>
    </row>
    <row r="336" spans="7:7">
      <c r="G336" s="13" t="str">
        <f t="shared" si="28"/>
        <v/>
      </c>
    </row>
    <row r="337" spans="7:7">
      <c r="G337" s="13" t="str">
        <f t="shared" si="28"/>
        <v/>
      </c>
    </row>
    <row r="338" spans="7:7">
      <c r="G338" s="13" t="str">
        <f t="shared" si="28"/>
        <v/>
      </c>
    </row>
    <row r="339" spans="7:7">
      <c r="G339" s="13" t="str">
        <f t="shared" si="28"/>
        <v/>
      </c>
    </row>
    <row r="340" spans="7:7">
      <c r="G340" s="13" t="str">
        <f t="shared" si="28"/>
        <v/>
      </c>
    </row>
    <row r="341" spans="7:7">
      <c r="G341" s="13" t="str">
        <f t="shared" si="28"/>
        <v/>
      </c>
    </row>
    <row r="342" spans="7:7">
      <c r="G342" s="13" t="str">
        <f t="shared" si="28"/>
        <v/>
      </c>
    </row>
    <row r="343" spans="7:7">
      <c r="G343" s="13" t="str">
        <f t="shared" si="28"/>
        <v/>
      </c>
    </row>
    <row r="344" spans="7:7">
      <c r="G344" s="13" t="str">
        <f t="shared" si="28"/>
        <v/>
      </c>
    </row>
    <row r="345" spans="7:7">
      <c r="G345" s="13" t="str">
        <f t="shared" si="28"/>
        <v/>
      </c>
    </row>
    <row r="346" spans="7:7">
      <c r="G346" s="13" t="str">
        <f t="shared" si="28"/>
        <v/>
      </c>
    </row>
    <row r="347" spans="7:7">
      <c r="G347" s="13" t="str">
        <f t="shared" si="28"/>
        <v/>
      </c>
    </row>
    <row r="348" spans="7:7">
      <c r="G348" s="13" t="str">
        <f t="shared" si="28"/>
        <v/>
      </c>
    </row>
    <row r="349" spans="7:7">
      <c r="G349" s="13" t="str">
        <f t="shared" si="28"/>
        <v/>
      </c>
    </row>
    <row r="350" spans="7:7">
      <c r="G350" s="13" t="str">
        <f t="shared" si="28"/>
        <v/>
      </c>
    </row>
    <row r="351" spans="7:7">
      <c r="G351" s="13" t="str">
        <f t="shared" si="28"/>
        <v/>
      </c>
    </row>
    <row r="352" spans="7:7">
      <c r="G352" s="13" t="str">
        <f t="shared" si="28"/>
        <v/>
      </c>
    </row>
    <row r="353" spans="7:7">
      <c r="G353" s="13" t="str">
        <f t="shared" si="28"/>
        <v/>
      </c>
    </row>
    <row r="354" spans="7:7">
      <c r="G354" s="13" t="str">
        <f t="shared" si="28"/>
        <v/>
      </c>
    </row>
    <row r="355" spans="7:7">
      <c r="G355" s="13" t="str">
        <f t="shared" si="28"/>
        <v/>
      </c>
    </row>
    <row r="356" spans="7:7">
      <c r="G356" s="13" t="str">
        <f t="shared" si="28"/>
        <v/>
      </c>
    </row>
    <row r="357" spans="7:7">
      <c r="G357" s="13" t="str">
        <f t="shared" si="28"/>
        <v/>
      </c>
    </row>
    <row r="358" spans="7:7">
      <c r="G358" s="13" t="str">
        <f t="shared" si="28"/>
        <v/>
      </c>
    </row>
    <row r="359" spans="7:7">
      <c r="G359" s="13" t="str">
        <f t="shared" si="28"/>
        <v/>
      </c>
    </row>
    <row r="360" spans="7:7">
      <c r="G360" s="13" t="str">
        <f t="shared" si="28"/>
        <v/>
      </c>
    </row>
    <row r="361" spans="7:7">
      <c r="G361" s="13" t="str">
        <f t="shared" si="28"/>
        <v/>
      </c>
    </row>
    <row r="362" spans="7:7">
      <c r="G362" s="13" t="str">
        <f t="shared" si="28"/>
        <v/>
      </c>
    </row>
    <row r="363" spans="7:7">
      <c r="G363" s="13" t="str">
        <f t="shared" si="28"/>
        <v/>
      </c>
    </row>
    <row r="364" spans="7:7">
      <c r="G364" s="13" t="str">
        <f t="shared" si="28"/>
        <v/>
      </c>
    </row>
    <row r="365" spans="7:7">
      <c r="G365" s="13" t="str">
        <f t="shared" si="28"/>
        <v/>
      </c>
    </row>
    <row r="366" spans="7:7">
      <c r="G366" s="13" t="str">
        <f t="shared" si="28"/>
        <v/>
      </c>
    </row>
    <row r="367" spans="7:7">
      <c r="G367" s="13" t="str">
        <f t="shared" si="28"/>
        <v/>
      </c>
    </row>
    <row r="368" spans="7:7">
      <c r="G368" s="13" t="str">
        <f t="shared" si="28"/>
        <v/>
      </c>
    </row>
    <row r="369" spans="7:7">
      <c r="G369" s="13" t="str">
        <f t="shared" si="28"/>
        <v/>
      </c>
    </row>
    <row r="370" spans="7:7">
      <c r="G370" s="13" t="str">
        <f t="shared" si="28"/>
        <v/>
      </c>
    </row>
    <row r="371" spans="7:7">
      <c r="G371" s="13" t="str">
        <f t="shared" si="28"/>
        <v/>
      </c>
    </row>
    <row r="372" spans="7:7">
      <c r="G372" s="13" t="str">
        <f t="shared" si="28"/>
        <v/>
      </c>
    </row>
    <row r="373" spans="7:7">
      <c r="G373" s="13" t="str">
        <f t="shared" si="28"/>
        <v/>
      </c>
    </row>
    <row r="374" spans="7:7">
      <c r="G374" s="13" t="str">
        <f t="shared" si="28"/>
        <v/>
      </c>
    </row>
    <row r="375" spans="7:7">
      <c r="G375" s="13" t="str">
        <f t="shared" si="28"/>
        <v/>
      </c>
    </row>
    <row r="376" spans="7:7">
      <c r="G376" s="13" t="str">
        <f t="shared" si="28"/>
        <v/>
      </c>
    </row>
    <row r="377" spans="7:7">
      <c r="G377" s="13" t="str">
        <f t="shared" si="28"/>
        <v/>
      </c>
    </row>
    <row r="378" spans="7:7">
      <c r="G378" s="13" t="str">
        <f t="shared" si="28"/>
        <v/>
      </c>
    </row>
    <row r="379" spans="7:7">
      <c r="G379" s="13" t="str">
        <f t="shared" si="28"/>
        <v/>
      </c>
    </row>
    <row r="380" spans="7:7">
      <c r="G380" s="13" t="str">
        <f t="shared" si="28"/>
        <v/>
      </c>
    </row>
    <row r="381" spans="7:7">
      <c r="G381" s="13" t="str">
        <f t="shared" si="28"/>
        <v/>
      </c>
    </row>
    <row r="382" spans="7:7">
      <c r="G382" s="13" t="str">
        <f t="shared" si="28"/>
        <v/>
      </c>
    </row>
    <row r="383" spans="7:7">
      <c r="G383" s="13" t="str">
        <f t="shared" si="28"/>
        <v/>
      </c>
    </row>
    <row r="384" spans="7:7">
      <c r="G384" s="13" t="str">
        <f t="shared" si="28"/>
        <v/>
      </c>
    </row>
    <row r="385" spans="7:7">
      <c r="G385" s="13" t="str">
        <f t="shared" si="28"/>
        <v/>
      </c>
    </row>
    <row r="386" spans="7:7">
      <c r="G386" s="13" t="str">
        <f t="shared" ref="G386:G449" si="29">IFERROR(_xlfn.TEXTBEFORE(D386,"w"),"")</f>
        <v/>
      </c>
    </row>
    <row r="387" spans="7:7">
      <c r="G387" s="13" t="str">
        <f t="shared" si="29"/>
        <v/>
      </c>
    </row>
    <row r="388" spans="7:7">
      <c r="G388" s="13" t="str">
        <f t="shared" si="29"/>
        <v/>
      </c>
    </row>
    <row r="389" spans="7:7">
      <c r="G389" s="13" t="str">
        <f t="shared" si="29"/>
        <v/>
      </c>
    </row>
    <row r="390" spans="7:7">
      <c r="G390" s="13" t="str">
        <f t="shared" si="29"/>
        <v/>
      </c>
    </row>
    <row r="391" spans="7:7">
      <c r="G391" s="13" t="str">
        <f t="shared" si="29"/>
        <v/>
      </c>
    </row>
    <row r="392" spans="7:7">
      <c r="G392" s="13" t="str">
        <f t="shared" si="29"/>
        <v/>
      </c>
    </row>
    <row r="393" spans="7:7">
      <c r="G393" s="13" t="str">
        <f t="shared" si="29"/>
        <v/>
      </c>
    </row>
    <row r="394" spans="7:7">
      <c r="G394" s="13" t="str">
        <f t="shared" si="29"/>
        <v/>
      </c>
    </row>
    <row r="395" spans="7:7">
      <c r="G395" s="13" t="str">
        <f t="shared" si="29"/>
        <v/>
      </c>
    </row>
    <row r="396" spans="7:7">
      <c r="G396" s="13" t="str">
        <f t="shared" si="29"/>
        <v/>
      </c>
    </row>
    <row r="397" spans="7:7">
      <c r="G397" s="13" t="str">
        <f t="shared" si="29"/>
        <v/>
      </c>
    </row>
    <row r="398" spans="7:7">
      <c r="G398" s="13" t="str">
        <f t="shared" si="29"/>
        <v/>
      </c>
    </row>
    <row r="399" spans="7:7">
      <c r="G399" s="13" t="str">
        <f t="shared" si="29"/>
        <v/>
      </c>
    </row>
    <row r="400" spans="7:7">
      <c r="G400" s="13" t="str">
        <f t="shared" si="29"/>
        <v/>
      </c>
    </row>
    <row r="401" spans="7:7">
      <c r="G401" s="13" t="str">
        <f t="shared" si="29"/>
        <v/>
      </c>
    </row>
    <row r="402" spans="7:7">
      <c r="G402" s="13" t="str">
        <f t="shared" si="29"/>
        <v/>
      </c>
    </row>
    <row r="403" spans="7:7">
      <c r="G403" s="13" t="str">
        <f t="shared" si="29"/>
        <v/>
      </c>
    </row>
    <row r="404" spans="7:7">
      <c r="G404" s="13" t="str">
        <f t="shared" si="29"/>
        <v/>
      </c>
    </row>
    <row r="405" spans="7:7">
      <c r="G405" s="13" t="str">
        <f t="shared" si="29"/>
        <v/>
      </c>
    </row>
    <row r="406" spans="7:7">
      <c r="G406" s="13" t="str">
        <f t="shared" si="29"/>
        <v/>
      </c>
    </row>
    <row r="407" spans="7:7">
      <c r="G407" s="13" t="str">
        <f t="shared" si="29"/>
        <v/>
      </c>
    </row>
    <row r="408" spans="7:7">
      <c r="G408" s="13" t="str">
        <f t="shared" si="29"/>
        <v/>
      </c>
    </row>
    <row r="409" spans="7:7">
      <c r="G409" s="13" t="str">
        <f t="shared" si="29"/>
        <v/>
      </c>
    </row>
    <row r="410" spans="7:7">
      <c r="G410" s="13" t="str">
        <f t="shared" si="29"/>
        <v/>
      </c>
    </row>
    <row r="411" spans="7:7">
      <c r="G411" s="13" t="str">
        <f t="shared" si="29"/>
        <v/>
      </c>
    </row>
    <row r="412" spans="7:7">
      <c r="G412" s="13" t="str">
        <f t="shared" si="29"/>
        <v/>
      </c>
    </row>
    <row r="413" spans="7:7">
      <c r="G413" s="13" t="str">
        <f t="shared" si="29"/>
        <v/>
      </c>
    </row>
    <row r="414" spans="7:7">
      <c r="G414" s="13" t="str">
        <f t="shared" si="29"/>
        <v/>
      </c>
    </row>
    <row r="415" spans="7:7">
      <c r="G415" s="13" t="str">
        <f t="shared" si="29"/>
        <v/>
      </c>
    </row>
    <row r="416" spans="7:7">
      <c r="G416" s="13" t="str">
        <f t="shared" si="29"/>
        <v/>
      </c>
    </row>
    <row r="417" spans="7:7">
      <c r="G417" s="13" t="str">
        <f t="shared" si="29"/>
        <v/>
      </c>
    </row>
    <row r="418" spans="7:7">
      <c r="G418" s="13" t="str">
        <f t="shared" si="29"/>
        <v/>
      </c>
    </row>
    <row r="419" spans="7:7">
      <c r="G419" s="13" t="str">
        <f t="shared" si="29"/>
        <v/>
      </c>
    </row>
    <row r="420" spans="7:7">
      <c r="G420" s="13" t="str">
        <f t="shared" si="29"/>
        <v/>
      </c>
    </row>
    <row r="421" spans="7:7">
      <c r="G421" s="13" t="str">
        <f t="shared" si="29"/>
        <v/>
      </c>
    </row>
    <row r="422" spans="7:7">
      <c r="G422" s="13" t="str">
        <f t="shared" si="29"/>
        <v/>
      </c>
    </row>
    <row r="423" spans="7:7">
      <c r="G423" s="13" t="str">
        <f t="shared" si="29"/>
        <v/>
      </c>
    </row>
    <row r="424" spans="7:7">
      <c r="G424" s="13" t="str">
        <f t="shared" si="29"/>
        <v/>
      </c>
    </row>
    <row r="425" spans="7:7">
      <c r="G425" s="13" t="str">
        <f t="shared" si="29"/>
        <v/>
      </c>
    </row>
    <row r="426" spans="7:7">
      <c r="G426" s="13" t="str">
        <f t="shared" si="29"/>
        <v/>
      </c>
    </row>
    <row r="427" spans="7:7">
      <c r="G427" s="13" t="str">
        <f t="shared" si="29"/>
        <v/>
      </c>
    </row>
    <row r="428" spans="7:7">
      <c r="G428" s="13" t="str">
        <f t="shared" si="29"/>
        <v/>
      </c>
    </row>
    <row r="429" spans="7:7">
      <c r="G429" s="13" t="str">
        <f t="shared" si="29"/>
        <v/>
      </c>
    </row>
    <row r="430" spans="7:7">
      <c r="G430" s="13" t="str">
        <f t="shared" si="29"/>
        <v/>
      </c>
    </row>
    <row r="431" spans="7:7">
      <c r="G431" s="13" t="str">
        <f t="shared" si="29"/>
        <v/>
      </c>
    </row>
    <row r="432" spans="7:7">
      <c r="G432" s="13" t="str">
        <f t="shared" si="29"/>
        <v/>
      </c>
    </row>
    <row r="433" spans="7:7">
      <c r="G433" s="13" t="str">
        <f t="shared" si="29"/>
        <v/>
      </c>
    </row>
    <row r="434" spans="7:7">
      <c r="G434" s="13" t="str">
        <f t="shared" si="29"/>
        <v/>
      </c>
    </row>
    <row r="435" spans="7:7">
      <c r="G435" s="13" t="str">
        <f t="shared" si="29"/>
        <v/>
      </c>
    </row>
    <row r="436" spans="7:7">
      <c r="G436" s="13" t="str">
        <f t="shared" si="29"/>
        <v/>
      </c>
    </row>
    <row r="437" spans="7:7">
      <c r="G437" s="13" t="str">
        <f t="shared" si="29"/>
        <v/>
      </c>
    </row>
    <row r="438" spans="7:7">
      <c r="G438" s="13" t="str">
        <f t="shared" si="29"/>
        <v/>
      </c>
    </row>
    <row r="439" spans="7:7">
      <c r="G439" s="13" t="str">
        <f t="shared" si="29"/>
        <v/>
      </c>
    </row>
    <row r="440" spans="7:7">
      <c r="G440" s="13" t="str">
        <f t="shared" si="29"/>
        <v/>
      </c>
    </row>
    <row r="441" spans="7:7">
      <c r="G441" s="13" t="str">
        <f t="shared" si="29"/>
        <v/>
      </c>
    </row>
    <row r="442" spans="7:7">
      <c r="G442" s="13" t="str">
        <f t="shared" si="29"/>
        <v/>
      </c>
    </row>
    <row r="443" spans="7:7">
      <c r="G443" s="13" t="str">
        <f t="shared" si="29"/>
        <v/>
      </c>
    </row>
    <row r="444" spans="7:7">
      <c r="G444" s="13" t="str">
        <f t="shared" si="29"/>
        <v/>
      </c>
    </row>
    <row r="445" spans="7:7">
      <c r="G445" s="13" t="str">
        <f t="shared" si="29"/>
        <v/>
      </c>
    </row>
    <row r="446" spans="7:7">
      <c r="G446" s="13" t="str">
        <f t="shared" si="29"/>
        <v/>
      </c>
    </row>
    <row r="447" spans="7:7">
      <c r="G447" s="13" t="str">
        <f t="shared" si="29"/>
        <v/>
      </c>
    </row>
    <row r="448" spans="7:7">
      <c r="G448" s="13" t="str">
        <f t="shared" si="29"/>
        <v/>
      </c>
    </row>
    <row r="449" spans="7:7">
      <c r="G449" s="13" t="str">
        <f t="shared" si="29"/>
        <v/>
      </c>
    </row>
    <row r="450" spans="7:7">
      <c r="G450" s="13" t="str">
        <f t="shared" ref="G450:G513" si="30">IFERROR(_xlfn.TEXTBEFORE(D450,"w"),"")</f>
        <v/>
      </c>
    </row>
    <row r="451" spans="7:7">
      <c r="G451" s="13" t="str">
        <f t="shared" si="30"/>
        <v/>
      </c>
    </row>
    <row r="452" spans="7:7">
      <c r="G452" s="13" t="str">
        <f t="shared" si="30"/>
        <v/>
      </c>
    </row>
    <row r="453" spans="7:7">
      <c r="G453" s="13" t="str">
        <f t="shared" si="30"/>
        <v/>
      </c>
    </row>
    <row r="454" spans="7:7">
      <c r="G454" s="13" t="str">
        <f t="shared" si="30"/>
        <v/>
      </c>
    </row>
    <row r="455" spans="7:7">
      <c r="G455" s="13" t="str">
        <f t="shared" si="30"/>
        <v/>
      </c>
    </row>
    <row r="456" spans="7:7">
      <c r="G456" s="13" t="str">
        <f t="shared" si="30"/>
        <v/>
      </c>
    </row>
    <row r="457" spans="7:7">
      <c r="G457" s="13" t="str">
        <f t="shared" si="30"/>
        <v/>
      </c>
    </row>
    <row r="458" spans="7:7">
      <c r="G458" s="13" t="str">
        <f t="shared" si="30"/>
        <v/>
      </c>
    </row>
    <row r="459" spans="7:7">
      <c r="G459" s="13" t="str">
        <f t="shared" si="30"/>
        <v/>
      </c>
    </row>
    <row r="460" spans="7:7">
      <c r="G460" s="13" t="str">
        <f t="shared" si="30"/>
        <v/>
      </c>
    </row>
    <row r="461" spans="7:7">
      <c r="G461" s="13" t="str">
        <f t="shared" si="30"/>
        <v/>
      </c>
    </row>
    <row r="462" spans="7:7">
      <c r="G462" s="13" t="str">
        <f t="shared" si="30"/>
        <v/>
      </c>
    </row>
    <row r="463" spans="7:7">
      <c r="G463" s="13" t="str">
        <f t="shared" si="30"/>
        <v/>
      </c>
    </row>
    <row r="464" spans="7:7">
      <c r="G464" s="13" t="str">
        <f t="shared" si="30"/>
        <v/>
      </c>
    </row>
    <row r="465" spans="7:7">
      <c r="G465" s="13" t="str">
        <f t="shared" si="30"/>
        <v/>
      </c>
    </row>
    <row r="466" spans="7:7">
      <c r="G466" s="13" t="str">
        <f t="shared" si="30"/>
        <v/>
      </c>
    </row>
    <row r="467" spans="7:7">
      <c r="G467" s="13" t="str">
        <f t="shared" si="30"/>
        <v/>
      </c>
    </row>
    <row r="468" spans="7:7">
      <c r="G468" s="13" t="str">
        <f t="shared" si="30"/>
        <v/>
      </c>
    </row>
    <row r="469" spans="7:7">
      <c r="G469" s="13" t="str">
        <f t="shared" si="30"/>
        <v/>
      </c>
    </row>
    <row r="470" spans="7:7">
      <c r="G470" s="13" t="str">
        <f t="shared" si="30"/>
        <v/>
      </c>
    </row>
    <row r="471" spans="7:7">
      <c r="G471" s="13" t="str">
        <f t="shared" si="30"/>
        <v/>
      </c>
    </row>
    <row r="472" spans="7:7">
      <c r="G472" s="13" t="str">
        <f t="shared" si="30"/>
        <v/>
      </c>
    </row>
    <row r="473" spans="7:7">
      <c r="G473" s="13" t="str">
        <f t="shared" si="30"/>
        <v/>
      </c>
    </row>
    <row r="474" spans="7:7">
      <c r="G474" s="13" t="str">
        <f t="shared" si="30"/>
        <v/>
      </c>
    </row>
    <row r="475" spans="7:7">
      <c r="G475" s="13" t="str">
        <f t="shared" si="30"/>
        <v/>
      </c>
    </row>
    <row r="476" spans="7:7">
      <c r="G476" s="13" t="str">
        <f t="shared" si="30"/>
        <v/>
      </c>
    </row>
    <row r="477" spans="7:7">
      <c r="G477" s="13" t="str">
        <f t="shared" si="30"/>
        <v/>
      </c>
    </row>
    <row r="478" spans="7:7">
      <c r="G478" s="13" t="str">
        <f t="shared" si="30"/>
        <v/>
      </c>
    </row>
    <row r="479" spans="7:7">
      <c r="G479" s="13" t="str">
        <f t="shared" si="30"/>
        <v/>
      </c>
    </row>
    <row r="480" spans="7:7">
      <c r="G480" s="13" t="str">
        <f t="shared" si="30"/>
        <v/>
      </c>
    </row>
    <row r="481" spans="7:7">
      <c r="G481" s="13" t="str">
        <f t="shared" si="30"/>
        <v/>
      </c>
    </row>
    <row r="482" spans="7:7">
      <c r="G482" s="13" t="str">
        <f t="shared" si="30"/>
        <v/>
      </c>
    </row>
    <row r="483" spans="7:7">
      <c r="G483" s="13" t="str">
        <f t="shared" si="30"/>
        <v/>
      </c>
    </row>
    <row r="484" spans="7:7">
      <c r="G484" s="13" t="str">
        <f t="shared" si="30"/>
        <v/>
      </c>
    </row>
    <row r="485" spans="7:7">
      <c r="G485" s="13" t="str">
        <f t="shared" si="30"/>
        <v/>
      </c>
    </row>
    <row r="486" spans="7:7">
      <c r="G486" s="13" t="str">
        <f t="shared" si="30"/>
        <v/>
      </c>
    </row>
    <row r="487" spans="7:7">
      <c r="G487" s="13" t="str">
        <f t="shared" si="30"/>
        <v/>
      </c>
    </row>
    <row r="488" spans="7:7">
      <c r="G488" s="13" t="str">
        <f t="shared" si="30"/>
        <v/>
      </c>
    </row>
    <row r="489" spans="7:7">
      <c r="G489" s="13" t="str">
        <f t="shared" si="30"/>
        <v/>
      </c>
    </row>
    <row r="490" spans="7:7">
      <c r="G490" s="13" t="str">
        <f t="shared" si="30"/>
        <v/>
      </c>
    </row>
    <row r="491" spans="7:7">
      <c r="G491" s="13" t="str">
        <f t="shared" si="30"/>
        <v/>
      </c>
    </row>
    <row r="492" spans="7:7">
      <c r="G492" s="13" t="str">
        <f t="shared" si="30"/>
        <v/>
      </c>
    </row>
    <row r="493" spans="7:7">
      <c r="G493" s="13" t="str">
        <f t="shared" si="30"/>
        <v/>
      </c>
    </row>
    <row r="494" spans="7:7">
      <c r="G494" s="13" t="str">
        <f t="shared" si="30"/>
        <v/>
      </c>
    </row>
    <row r="495" spans="7:7">
      <c r="G495" s="13" t="str">
        <f t="shared" si="30"/>
        <v/>
      </c>
    </row>
    <row r="496" spans="7:7">
      <c r="G496" s="13" t="str">
        <f t="shared" si="30"/>
        <v/>
      </c>
    </row>
    <row r="497" spans="7:7">
      <c r="G497" s="13" t="str">
        <f t="shared" si="30"/>
        <v/>
      </c>
    </row>
    <row r="498" spans="7:7">
      <c r="G498" s="13" t="str">
        <f t="shared" si="30"/>
        <v/>
      </c>
    </row>
    <row r="499" spans="7:7">
      <c r="G499" s="13" t="str">
        <f t="shared" si="30"/>
        <v/>
      </c>
    </row>
    <row r="500" spans="7:7">
      <c r="G500" s="13" t="str">
        <f t="shared" si="30"/>
        <v/>
      </c>
    </row>
    <row r="501" spans="7:7">
      <c r="G501" s="13" t="str">
        <f t="shared" si="30"/>
        <v/>
      </c>
    </row>
    <row r="502" spans="7:7">
      <c r="G502" s="13" t="str">
        <f t="shared" si="30"/>
        <v/>
      </c>
    </row>
    <row r="503" spans="7:7">
      <c r="G503" s="13" t="str">
        <f t="shared" si="30"/>
        <v/>
      </c>
    </row>
    <row r="504" spans="7:7">
      <c r="G504" s="13" t="str">
        <f t="shared" si="30"/>
        <v/>
      </c>
    </row>
    <row r="505" spans="7:7">
      <c r="G505" s="13" t="str">
        <f t="shared" si="30"/>
        <v/>
      </c>
    </row>
    <row r="506" spans="7:7">
      <c r="G506" s="13" t="str">
        <f t="shared" si="30"/>
        <v/>
      </c>
    </row>
    <row r="507" spans="7:7">
      <c r="G507" s="13" t="str">
        <f t="shared" si="30"/>
        <v/>
      </c>
    </row>
    <row r="508" spans="7:7">
      <c r="G508" s="13" t="str">
        <f t="shared" si="30"/>
        <v/>
      </c>
    </row>
    <row r="509" spans="7:7">
      <c r="G509" s="13" t="str">
        <f t="shared" si="30"/>
        <v/>
      </c>
    </row>
    <row r="510" spans="7:7">
      <c r="G510" s="13" t="str">
        <f t="shared" si="30"/>
        <v/>
      </c>
    </row>
    <row r="511" spans="7:7">
      <c r="G511" s="13" t="str">
        <f t="shared" si="30"/>
        <v/>
      </c>
    </row>
    <row r="512" spans="7:7">
      <c r="G512" s="13" t="str">
        <f t="shared" si="30"/>
        <v/>
      </c>
    </row>
    <row r="513" spans="7:7">
      <c r="G513" s="13" t="str">
        <f t="shared" si="30"/>
        <v/>
      </c>
    </row>
    <row r="514" spans="7:7">
      <c r="G514" s="13" t="str">
        <f t="shared" ref="G514:G577" si="31">IFERROR(_xlfn.TEXTBEFORE(D514,"w"),"")</f>
        <v/>
      </c>
    </row>
    <row r="515" spans="7:7">
      <c r="G515" s="13" t="str">
        <f t="shared" si="31"/>
        <v/>
      </c>
    </row>
    <row r="516" spans="7:7">
      <c r="G516" s="13" t="str">
        <f t="shared" si="31"/>
        <v/>
      </c>
    </row>
    <row r="517" spans="7:7">
      <c r="G517" s="13" t="str">
        <f t="shared" si="31"/>
        <v/>
      </c>
    </row>
    <row r="518" spans="7:7">
      <c r="G518" s="13" t="str">
        <f t="shared" si="31"/>
        <v/>
      </c>
    </row>
    <row r="519" spans="7:7">
      <c r="G519" s="13" t="str">
        <f t="shared" si="31"/>
        <v/>
      </c>
    </row>
    <row r="520" spans="7:7">
      <c r="G520" s="13" t="str">
        <f t="shared" si="31"/>
        <v/>
      </c>
    </row>
    <row r="521" spans="7:7">
      <c r="G521" s="13" t="str">
        <f t="shared" si="31"/>
        <v/>
      </c>
    </row>
    <row r="522" spans="7:7">
      <c r="G522" s="13" t="str">
        <f t="shared" si="31"/>
        <v/>
      </c>
    </row>
    <row r="523" spans="7:7">
      <c r="G523" s="13" t="str">
        <f t="shared" si="31"/>
        <v/>
      </c>
    </row>
    <row r="524" spans="7:7">
      <c r="G524" s="13" t="str">
        <f t="shared" si="31"/>
        <v/>
      </c>
    </row>
    <row r="525" spans="7:7">
      <c r="G525" s="13" t="str">
        <f t="shared" si="31"/>
        <v/>
      </c>
    </row>
    <row r="526" spans="7:7">
      <c r="G526" s="13" t="str">
        <f t="shared" si="31"/>
        <v/>
      </c>
    </row>
    <row r="527" spans="7:7">
      <c r="G527" s="13" t="str">
        <f t="shared" si="31"/>
        <v/>
      </c>
    </row>
    <row r="528" spans="7:7">
      <c r="G528" s="13" t="str">
        <f t="shared" si="31"/>
        <v/>
      </c>
    </row>
    <row r="529" spans="7:7">
      <c r="G529" s="13" t="str">
        <f t="shared" si="31"/>
        <v/>
      </c>
    </row>
    <row r="530" spans="7:7">
      <c r="G530" s="13" t="str">
        <f t="shared" si="31"/>
        <v/>
      </c>
    </row>
    <row r="531" spans="7:7">
      <c r="G531" s="13" t="str">
        <f t="shared" si="31"/>
        <v/>
      </c>
    </row>
    <row r="532" spans="7:7">
      <c r="G532" s="13" t="str">
        <f t="shared" si="31"/>
        <v/>
      </c>
    </row>
    <row r="533" spans="7:7">
      <c r="G533" s="13" t="str">
        <f t="shared" si="31"/>
        <v/>
      </c>
    </row>
    <row r="534" spans="7:7">
      <c r="G534" s="13" t="str">
        <f t="shared" si="31"/>
        <v/>
      </c>
    </row>
    <row r="535" spans="7:7">
      <c r="G535" s="13" t="str">
        <f t="shared" si="31"/>
        <v/>
      </c>
    </row>
    <row r="536" spans="7:7">
      <c r="G536" s="13" t="str">
        <f t="shared" si="31"/>
        <v/>
      </c>
    </row>
    <row r="537" spans="7:7">
      <c r="G537" s="13" t="str">
        <f t="shared" si="31"/>
        <v/>
      </c>
    </row>
    <row r="538" spans="7:7">
      <c r="G538" s="13" t="str">
        <f t="shared" si="31"/>
        <v/>
      </c>
    </row>
    <row r="539" spans="7:7">
      <c r="G539" s="13" t="str">
        <f t="shared" si="31"/>
        <v/>
      </c>
    </row>
    <row r="540" spans="7:7">
      <c r="G540" s="13" t="str">
        <f t="shared" si="31"/>
        <v/>
      </c>
    </row>
    <row r="541" spans="7:7">
      <c r="G541" s="13" t="str">
        <f t="shared" si="31"/>
        <v/>
      </c>
    </row>
    <row r="542" spans="7:7">
      <c r="G542" s="13" t="str">
        <f t="shared" si="31"/>
        <v/>
      </c>
    </row>
    <row r="543" spans="7:7">
      <c r="G543" s="13" t="str">
        <f t="shared" si="31"/>
        <v/>
      </c>
    </row>
    <row r="544" spans="7:7">
      <c r="G544" s="13" t="str">
        <f t="shared" si="31"/>
        <v/>
      </c>
    </row>
    <row r="545" spans="7:7">
      <c r="G545" s="13" t="str">
        <f t="shared" si="31"/>
        <v/>
      </c>
    </row>
    <row r="546" spans="7:7">
      <c r="G546" s="13" t="str">
        <f t="shared" si="31"/>
        <v/>
      </c>
    </row>
    <row r="547" spans="7:7">
      <c r="G547" s="13" t="str">
        <f t="shared" si="31"/>
        <v/>
      </c>
    </row>
    <row r="548" spans="7:7">
      <c r="G548" s="13" t="str">
        <f t="shared" si="31"/>
        <v/>
      </c>
    </row>
    <row r="549" spans="7:7">
      <c r="G549" s="13" t="str">
        <f t="shared" si="31"/>
        <v/>
      </c>
    </row>
    <row r="550" spans="7:7">
      <c r="G550" s="13" t="str">
        <f t="shared" si="31"/>
        <v/>
      </c>
    </row>
    <row r="551" spans="7:7">
      <c r="G551" s="13" t="str">
        <f t="shared" si="31"/>
        <v/>
      </c>
    </row>
    <row r="552" spans="7:7">
      <c r="G552" s="13" t="str">
        <f t="shared" si="31"/>
        <v/>
      </c>
    </row>
    <row r="553" spans="7:7">
      <c r="G553" s="13" t="str">
        <f t="shared" si="31"/>
        <v/>
      </c>
    </row>
    <row r="554" spans="7:7">
      <c r="G554" s="13" t="str">
        <f t="shared" si="31"/>
        <v/>
      </c>
    </row>
    <row r="555" spans="7:7">
      <c r="G555" s="13" t="str">
        <f t="shared" si="31"/>
        <v/>
      </c>
    </row>
    <row r="556" spans="7:7">
      <c r="G556" s="13" t="str">
        <f t="shared" si="31"/>
        <v/>
      </c>
    </row>
    <row r="557" spans="7:7">
      <c r="G557" s="13" t="str">
        <f t="shared" si="31"/>
        <v/>
      </c>
    </row>
    <row r="558" spans="7:7">
      <c r="G558" s="13" t="str">
        <f t="shared" si="31"/>
        <v/>
      </c>
    </row>
    <row r="559" spans="7:7">
      <c r="G559" s="13" t="str">
        <f t="shared" si="31"/>
        <v/>
      </c>
    </row>
    <row r="560" spans="7:7">
      <c r="G560" s="13" t="str">
        <f t="shared" si="31"/>
        <v/>
      </c>
    </row>
    <row r="561" spans="7:7">
      <c r="G561" s="13" t="str">
        <f t="shared" si="31"/>
        <v/>
      </c>
    </row>
    <row r="562" spans="7:7">
      <c r="G562" s="13" t="str">
        <f t="shared" si="31"/>
        <v/>
      </c>
    </row>
    <row r="563" spans="7:7">
      <c r="G563" s="13" t="str">
        <f t="shared" si="31"/>
        <v/>
      </c>
    </row>
    <row r="564" spans="7:7">
      <c r="G564" s="13" t="str">
        <f t="shared" si="31"/>
        <v/>
      </c>
    </row>
    <row r="565" spans="7:7">
      <c r="G565" s="13" t="str">
        <f t="shared" si="31"/>
        <v/>
      </c>
    </row>
    <row r="566" spans="7:7">
      <c r="G566" s="13" t="str">
        <f t="shared" si="31"/>
        <v/>
      </c>
    </row>
    <row r="567" spans="7:7">
      <c r="G567" s="13" t="str">
        <f t="shared" si="31"/>
        <v/>
      </c>
    </row>
    <row r="568" spans="7:7">
      <c r="G568" s="13" t="str">
        <f t="shared" si="31"/>
        <v/>
      </c>
    </row>
    <row r="569" spans="7:7">
      <c r="G569" s="13" t="str">
        <f t="shared" si="31"/>
        <v/>
      </c>
    </row>
    <row r="570" spans="7:7">
      <c r="G570" s="13" t="str">
        <f t="shared" si="31"/>
        <v/>
      </c>
    </row>
    <row r="571" spans="7:7">
      <c r="G571" s="13" t="str">
        <f t="shared" si="31"/>
        <v/>
      </c>
    </row>
    <row r="572" spans="7:7">
      <c r="G572" s="13" t="str">
        <f t="shared" si="31"/>
        <v/>
      </c>
    </row>
    <row r="573" spans="7:7">
      <c r="G573" s="13" t="str">
        <f t="shared" si="31"/>
        <v/>
      </c>
    </row>
    <row r="574" spans="7:7">
      <c r="G574" s="13" t="str">
        <f t="shared" si="31"/>
        <v/>
      </c>
    </row>
    <row r="575" spans="7:7">
      <c r="G575" s="13" t="str">
        <f t="shared" si="31"/>
        <v/>
      </c>
    </row>
    <row r="576" spans="7:7">
      <c r="G576" s="13" t="str">
        <f t="shared" si="31"/>
        <v/>
      </c>
    </row>
    <row r="577" spans="7:7">
      <c r="G577" s="13" t="str">
        <f t="shared" si="31"/>
        <v/>
      </c>
    </row>
    <row r="578" spans="7:7">
      <c r="G578" s="13" t="str">
        <f t="shared" ref="G578:G641" si="32">IFERROR(_xlfn.TEXTBEFORE(D578,"w"),"")</f>
        <v/>
      </c>
    </row>
    <row r="579" spans="7:7">
      <c r="G579" s="13" t="str">
        <f t="shared" si="32"/>
        <v/>
      </c>
    </row>
    <row r="580" spans="7:7">
      <c r="G580" s="13" t="str">
        <f t="shared" si="32"/>
        <v/>
      </c>
    </row>
    <row r="581" spans="7:7">
      <c r="G581" s="13" t="str">
        <f t="shared" si="32"/>
        <v/>
      </c>
    </row>
    <row r="582" spans="7:7">
      <c r="G582" s="13" t="str">
        <f t="shared" si="32"/>
        <v/>
      </c>
    </row>
    <row r="583" spans="7:7">
      <c r="G583" s="13" t="str">
        <f t="shared" si="32"/>
        <v/>
      </c>
    </row>
    <row r="584" spans="7:7">
      <c r="G584" s="13" t="str">
        <f t="shared" si="32"/>
        <v/>
      </c>
    </row>
    <row r="585" spans="7:7">
      <c r="G585" s="13" t="str">
        <f t="shared" si="32"/>
        <v/>
      </c>
    </row>
    <row r="586" spans="7:7">
      <c r="G586" s="13" t="str">
        <f t="shared" si="32"/>
        <v/>
      </c>
    </row>
    <row r="587" spans="7:7">
      <c r="G587" s="13" t="str">
        <f t="shared" si="32"/>
        <v/>
      </c>
    </row>
    <row r="588" spans="7:7">
      <c r="G588" s="13" t="str">
        <f t="shared" si="32"/>
        <v/>
      </c>
    </row>
    <row r="589" spans="7:7">
      <c r="G589" s="13" t="str">
        <f t="shared" si="32"/>
        <v/>
      </c>
    </row>
    <row r="590" spans="7:7">
      <c r="G590" s="13" t="str">
        <f t="shared" si="32"/>
        <v/>
      </c>
    </row>
    <row r="591" spans="7:7">
      <c r="G591" s="13" t="str">
        <f t="shared" si="32"/>
        <v/>
      </c>
    </row>
    <row r="592" spans="7:7">
      <c r="G592" s="13" t="str">
        <f t="shared" si="32"/>
        <v/>
      </c>
    </row>
    <row r="593" spans="7:7">
      <c r="G593" s="13" t="str">
        <f t="shared" si="32"/>
        <v/>
      </c>
    </row>
    <row r="594" spans="7:7">
      <c r="G594" s="13" t="str">
        <f t="shared" si="32"/>
        <v/>
      </c>
    </row>
    <row r="595" spans="7:7">
      <c r="G595" s="13" t="str">
        <f t="shared" si="32"/>
        <v/>
      </c>
    </row>
    <row r="596" spans="7:7">
      <c r="G596" s="13" t="str">
        <f t="shared" si="32"/>
        <v/>
      </c>
    </row>
    <row r="597" spans="7:7">
      <c r="G597" s="13" t="str">
        <f t="shared" si="32"/>
        <v/>
      </c>
    </row>
    <row r="598" spans="7:7">
      <c r="G598" s="13" t="str">
        <f t="shared" si="32"/>
        <v/>
      </c>
    </row>
    <row r="599" spans="7:7">
      <c r="G599" s="13" t="str">
        <f t="shared" si="32"/>
        <v/>
      </c>
    </row>
    <row r="600" spans="7:7">
      <c r="G600" s="13" t="str">
        <f t="shared" si="32"/>
        <v/>
      </c>
    </row>
    <row r="601" spans="7:7">
      <c r="G601" s="13" t="str">
        <f t="shared" si="32"/>
        <v/>
      </c>
    </row>
    <row r="602" spans="7:7">
      <c r="G602" s="13" t="str">
        <f t="shared" si="32"/>
        <v/>
      </c>
    </row>
    <row r="603" spans="7:7">
      <c r="G603" s="13" t="str">
        <f t="shared" si="32"/>
        <v/>
      </c>
    </row>
    <row r="604" spans="7:7">
      <c r="G604" s="13" t="str">
        <f t="shared" si="32"/>
        <v/>
      </c>
    </row>
    <row r="605" spans="7:7">
      <c r="G605" s="13" t="str">
        <f t="shared" si="32"/>
        <v/>
      </c>
    </row>
    <row r="606" spans="7:7">
      <c r="G606" s="13" t="str">
        <f t="shared" si="32"/>
        <v/>
      </c>
    </row>
    <row r="607" spans="7:7">
      <c r="G607" s="13" t="str">
        <f t="shared" si="32"/>
        <v/>
      </c>
    </row>
    <row r="608" spans="7:7">
      <c r="G608" s="13" t="str">
        <f t="shared" si="32"/>
        <v/>
      </c>
    </row>
    <row r="609" spans="7:7">
      <c r="G609" s="13" t="str">
        <f t="shared" si="32"/>
        <v/>
      </c>
    </row>
    <row r="610" spans="7:7">
      <c r="G610" s="13" t="str">
        <f t="shared" si="32"/>
        <v/>
      </c>
    </row>
    <row r="611" spans="7:7">
      <c r="G611" s="13" t="str">
        <f t="shared" si="32"/>
        <v/>
      </c>
    </row>
    <row r="612" spans="7:7">
      <c r="G612" s="13" t="str">
        <f t="shared" si="32"/>
        <v/>
      </c>
    </row>
    <row r="613" spans="7:7">
      <c r="G613" s="13" t="str">
        <f t="shared" si="32"/>
        <v/>
      </c>
    </row>
    <row r="614" spans="7:7">
      <c r="G614" s="13" t="str">
        <f t="shared" si="32"/>
        <v/>
      </c>
    </row>
    <row r="615" spans="7:7">
      <c r="G615" s="13" t="str">
        <f t="shared" si="32"/>
        <v/>
      </c>
    </row>
    <row r="616" spans="7:7">
      <c r="G616" s="13" t="str">
        <f t="shared" si="32"/>
        <v/>
      </c>
    </row>
    <row r="617" spans="7:7">
      <c r="G617" s="13" t="str">
        <f t="shared" si="32"/>
        <v/>
      </c>
    </row>
    <row r="618" spans="7:7">
      <c r="G618" s="13" t="str">
        <f t="shared" si="32"/>
        <v/>
      </c>
    </row>
    <row r="619" spans="7:7">
      <c r="G619" s="13" t="str">
        <f t="shared" si="32"/>
        <v/>
      </c>
    </row>
    <row r="620" spans="7:7">
      <c r="G620" s="13" t="str">
        <f t="shared" si="32"/>
        <v/>
      </c>
    </row>
    <row r="621" spans="7:7">
      <c r="G621" s="13" t="str">
        <f t="shared" si="32"/>
        <v/>
      </c>
    </row>
    <row r="622" spans="7:7">
      <c r="G622" s="13" t="str">
        <f t="shared" si="32"/>
        <v/>
      </c>
    </row>
    <row r="623" spans="7:7">
      <c r="G623" s="13" t="str">
        <f t="shared" si="32"/>
        <v/>
      </c>
    </row>
    <row r="624" spans="7:7">
      <c r="G624" s="13" t="str">
        <f t="shared" si="32"/>
        <v/>
      </c>
    </row>
    <row r="625" spans="7:7">
      <c r="G625" s="13" t="str">
        <f t="shared" si="32"/>
        <v/>
      </c>
    </row>
    <row r="626" spans="7:7">
      <c r="G626" s="13" t="str">
        <f t="shared" si="32"/>
        <v/>
      </c>
    </row>
    <row r="627" spans="7:7">
      <c r="G627" s="13" t="str">
        <f t="shared" si="32"/>
        <v/>
      </c>
    </row>
    <row r="628" spans="7:7">
      <c r="G628" s="13" t="str">
        <f t="shared" si="32"/>
        <v/>
      </c>
    </row>
    <row r="629" spans="7:7">
      <c r="G629" s="13" t="str">
        <f t="shared" si="32"/>
        <v/>
      </c>
    </row>
    <row r="630" spans="7:7">
      <c r="G630" s="13" t="str">
        <f t="shared" si="32"/>
        <v/>
      </c>
    </row>
    <row r="631" spans="7:7">
      <c r="G631" s="13" t="str">
        <f t="shared" si="32"/>
        <v/>
      </c>
    </row>
    <row r="632" spans="7:7">
      <c r="G632" s="13" t="str">
        <f t="shared" si="32"/>
        <v/>
      </c>
    </row>
    <row r="633" spans="7:7">
      <c r="G633" s="13" t="str">
        <f t="shared" si="32"/>
        <v/>
      </c>
    </row>
    <row r="634" spans="7:7">
      <c r="G634" s="13" t="str">
        <f t="shared" si="32"/>
        <v/>
      </c>
    </row>
    <row r="635" spans="7:7">
      <c r="G635" s="13" t="str">
        <f t="shared" si="32"/>
        <v/>
      </c>
    </row>
    <row r="636" spans="7:7">
      <c r="G636" s="13" t="str">
        <f t="shared" si="32"/>
        <v/>
      </c>
    </row>
    <row r="637" spans="7:7">
      <c r="G637" s="13" t="str">
        <f t="shared" si="32"/>
        <v/>
      </c>
    </row>
    <row r="638" spans="7:7">
      <c r="G638" s="13" t="str">
        <f t="shared" si="32"/>
        <v/>
      </c>
    </row>
    <row r="639" spans="7:7">
      <c r="G639" s="13" t="str">
        <f t="shared" si="32"/>
        <v/>
      </c>
    </row>
    <row r="640" spans="7:7">
      <c r="G640" s="13" t="str">
        <f t="shared" si="32"/>
        <v/>
      </c>
    </row>
    <row r="641" spans="7:7">
      <c r="G641" s="13" t="str">
        <f t="shared" si="32"/>
        <v/>
      </c>
    </row>
    <row r="642" spans="7:7">
      <c r="G642" s="13" t="str">
        <f t="shared" ref="G642:G705" si="33">IFERROR(_xlfn.TEXTBEFORE(D642,"w"),"")</f>
        <v/>
      </c>
    </row>
    <row r="643" spans="7:7">
      <c r="G643" s="13" t="str">
        <f t="shared" si="33"/>
        <v/>
      </c>
    </row>
    <row r="644" spans="7:7">
      <c r="G644" s="13" t="str">
        <f t="shared" si="33"/>
        <v/>
      </c>
    </row>
    <row r="645" spans="7:7">
      <c r="G645" s="13" t="str">
        <f t="shared" si="33"/>
        <v/>
      </c>
    </row>
    <row r="646" spans="7:7">
      <c r="G646" s="13" t="str">
        <f t="shared" si="33"/>
        <v/>
      </c>
    </row>
    <row r="647" spans="7:7">
      <c r="G647" s="13" t="str">
        <f t="shared" si="33"/>
        <v/>
      </c>
    </row>
    <row r="648" spans="7:7">
      <c r="G648" s="13" t="str">
        <f t="shared" si="33"/>
        <v/>
      </c>
    </row>
    <row r="649" spans="7:7">
      <c r="G649" s="13" t="str">
        <f t="shared" si="33"/>
        <v/>
      </c>
    </row>
    <row r="650" spans="7:7">
      <c r="G650" s="13" t="str">
        <f t="shared" si="33"/>
        <v/>
      </c>
    </row>
    <row r="651" spans="7:7">
      <c r="G651" s="13" t="str">
        <f t="shared" si="33"/>
        <v/>
      </c>
    </row>
    <row r="652" spans="7:7">
      <c r="G652" s="13" t="str">
        <f t="shared" si="33"/>
        <v/>
      </c>
    </row>
    <row r="653" spans="7:7">
      <c r="G653" s="13" t="str">
        <f t="shared" si="33"/>
        <v/>
      </c>
    </row>
    <row r="654" spans="7:7">
      <c r="G654" s="13" t="str">
        <f t="shared" si="33"/>
        <v/>
      </c>
    </row>
    <row r="655" spans="7:7">
      <c r="G655" s="13" t="str">
        <f t="shared" si="33"/>
        <v/>
      </c>
    </row>
    <row r="656" spans="7:7">
      <c r="G656" s="13" t="str">
        <f t="shared" si="33"/>
        <v/>
      </c>
    </row>
    <row r="657" spans="7:7">
      <c r="G657" s="13" t="str">
        <f t="shared" si="33"/>
        <v/>
      </c>
    </row>
    <row r="658" spans="7:7">
      <c r="G658" s="13" t="str">
        <f t="shared" si="33"/>
        <v/>
      </c>
    </row>
    <row r="659" spans="7:7">
      <c r="G659" s="13" t="str">
        <f t="shared" si="33"/>
        <v/>
      </c>
    </row>
    <row r="660" spans="7:7">
      <c r="G660" s="13" t="str">
        <f t="shared" si="33"/>
        <v/>
      </c>
    </row>
    <row r="661" spans="7:7">
      <c r="G661" s="13" t="str">
        <f t="shared" si="33"/>
        <v/>
      </c>
    </row>
    <row r="662" spans="7:7">
      <c r="G662" s="13" t="str">
        <f t="shared" si="33"/>
        <v/>
      </c>
    </row>
    <row r="663" spans="7:7">
      <c r="G663" s="13" t="str">
        <f t="shared" si="33"/>
        <v/>
      </c>
    </row>
    <row r="664" spans="7:7">
      <c r="G664" s="13" t="str">
        <f t="shared" si="33"/>
        <v/>
      </c>
    </row>
    <row r="665" spans="7:7">
      <c r="G665" s="13" t="str">
        <f t="shared" si="33"/>
        <v/>
      </c>
    </row>
    <row r="666" spans="7:7">
      <c r="G666" s="13" t="str">
        <f t="shared" si="33"/>
        <v/>
      </c>
    </row>
    <row r="667" spans="7:7">
      <c r="G667" s="13" t="str">
        <f t="shared" si="33"/>
        <v/>
      </c>
    </row>
    <row r="668" spans="7:7">
      <c r="G668" s="13" t="str">
        <f t="shared" si="33"/>
        <v/>
      </c>
    </row>
    <row r="669" spans="7:7">
      <c r="G669" s="13" t="str">
        <f t="shared" si="33"/>
        <v/>
      </c>
    </row>
    <row r="670" spans="7:7">
      <c r="G670" s="13" t="str">
        <f t="shared" si="33"/>
        <v/>
      </c>
    </row>
    <row r="671" spans="7:7">
      <c r="G671" s="13" t="str">
        <f t="shared" si="33"/>
        <v/>
      </c>
    </row>
    <row r="672" spans="7:7">
      <c r="G672" s="13" t="str">
        <f t="shared" si="33"/>
        <v/>
      </c>
    </row>
    <row r="673" spans="7:7">
      <c r="G673" s="13" t="str">
        <f t="shared" si="33"/>
        <v/>
      </c>
    </row>
    <row r="674" spans="7:7">
      <c r="G674" s="13" t="str">
        <f t="shared" si="33"/>
        <v/>
      </c>
    </row>
    <row r="675" spans="7:7">
      <c r="G675" s="13" t="str">
        <f t="shared" si="33"/>
        <v/>
      </c>
    </row>
    <row r="676" spans="7:7">
      <c r="G676" s="13" t="str">
        <f t="shared" si="33"/>
        <v/>
      </c>
    </row>
    <row r="677" spans="7:7">
      <c r="G677" s="13" t="str">
        <f t="shared" si="33"/>
        <v/>
      </c>
    </row>
    <row r="678" spans="7:7">
      <c r="G678" s="13" t="str">
        <f t="shared" si="33"/>
        <v/>
      </c>
    </row>
    <row r="679" spans="7:7">
      <c r="G679" s="13" t="str">
        <f t="shared" si="33"/>
        <v/>
      </c>
    </row>
    <row r="680" spans="7:7">
      <c r="G680" s="13" t="str">
        <f t="shared" si="33"/>
        <v/>
      </c>
    </row>
    <row r="681" spans="7:7">
      <c r="G681" s="13" t="str">
        <f t="shared" si="33"/>
        <v/>
      </c>
    </row>
    <row r="682" spans="7:7">
      <c r="G682" s="13" t="str">
        <f t="shared" si="33"/>
        <v/>
      </c>
    </row>
    <row r="683" spans="7:7">
      <c r="G683" s="13" t="str">
        <f t="shared" si="33"/>
        <v/>
      </c>
    </row>
    <row r="684" spans="7:7">
      <c r="G684" s="13" t="str">
        <f t="shared" si="33"/>
        <v/>
      </c>
    </row>
    <row r="685" spans="7:7">
      <c r="G685" s="13" t="str">
        <f t="shared" si="33"/>
        <v/>
      </c>
    </row>
    <row r="686" spans="7:7">
      <c r="G686" s="13" t="str">
        <f t="shared" si="33"/>
        <v/>
      </c>
    </row>
    <row r="687" spans="7:7">
      <c r="G687" s="13" t="str">
        <f t="shared" si="33"/>
        <v/>
      </c>
    </row>
    <row r="688" spans="7:7">
      <c r="G688" s="13" t="str">
        <f t="shared" si="33"/>
        <v/>
      </c>
    </row>
    <row r="689" spans="7:7">
      <c r="G689" s="13" t="str">
        <f t="shared" si="33"/>
        <v/>
      </c>
    </row>
    <row r="690" spans="7:7">
      <c r="G690" s="13" t="str">
        <f t="shared" si="33"/>
        <v/>
      </c>
    </row>
    <row r="691" spans="7:7">
      <c r="G691" s="13" t="str">
        <f t="shared" si="33"/>
        <v/>
      </c>
    </row>
    <row r="692" spans="7:7">
      <c r="G692" s="13" t="str">
        <f t="shared" si="33"/>
        <v/>
      </c>
    </row>
    <row r="693" spans="7:7">
      <c r="G693" s="13" t="str">
        <f t="shared" si="33"/>
        <v/>
      </c>
    </row>
    <row r="694" spans="7:7">
      <c r="G694" s="13" t="str">
        <f t="shared" si="33"/>
        <v/>
      </c>
    </row>
    <row r="695" spans="7:7">
      <c r="G695" s="13" t="str">
        <f t="shared" si="33"/>
        <v/>
      </c>
    </row>
    <row r="696" spans="7:7">
      <c r="G696" s="13" t="str">
        <f t="shared" si="33"/>
        <v/>
      </c>
    </row>
    <row r="697" spans="7:7">
      <c r="G697" s="13" t="str">
        <f t="shared" si="33"/>
        <v/>
      </c>
    </row>
    <row r="698" spans="7:7">
      <c r="G698" s="13" t="str">
        <f t="shared" si="33"/>
        <v/>
      </c>
    </row>
    <row r="699" spans="7:7">
      <c r="G699" s="13" t="str">
        <f t="shared" si="33"/>
        <v/>
      </c>
    </row>
    <row r="700" spans="7:7">
      <c r="G700" s="13" t="str">
        <f t="shared" si="33"/>
        <v/>
      </c>
    </row>
    <row r="701" spans="7:7">
      <c r="G701" s="13" t="str">
        <f t="shared" si="33"/>
        <v/>
      </c>
    </row>
    <row r="702" spans="7:7">
      <c r="G702" s="13" t="str">
        <f t="shared" si="33"/>
        <v/>
      </c>
    </row>
    <row r="703" spans="7:7">
      <c r="G703" s="13" t="str">
        <f t="shared" si="33"/>
        <v/>
      </c>
    </row>
    <row r="704" spans="7:7">
      <c r="G704" s="13" t="str">
        <f t="shared" si="33"/>
        <v/>
      </c>
    </row>
    <row r="705" spans="7:7">
      <c r="G705" s="13" t="str">
        <f t="shared" si="33"/>
        <v/>
      </c>
    </row>
    <row r="706" spans="7:7">
      <c r="G706" s="13" t="str">
        <f t="shared" ref="G706:G749" si="34">IFERROR(_xlfn.TEXTBEFORE(D706,"w"),"")</f>
        <v/>
      </c>
    </row>
    <row r="707" spans="7:7">
      <c r="G707" s="13" t="str">
        <f t="shared" si="34"/>
        <v/>
      </c>
    </row>
    <row r="708" spans="7:7">
      <c r="G708" s="13" t="str">
        <f t="shared" si="34"/>
        <v/>
      </c>
    </row>
    <row r="709" spans="7:7">
      <c r="G709" s="13" t="str">
        <f t="shared" si="34"/>
        <v/>
      </c>
    </row>
    <row r="710" spans="7:7">
      <c r="G710" s="13" t="str">
        <f t="shared" si="34"/>
        <v/>
      </c>
    </row>
    <row r="711" spans="7:7">
      <c r="G711" s="13" t="str">
        <f t="shared" si="34"/>
        <v/>
      </c>
    </row>
    <row r="712" spans="7:7">
      <c r="G712" s="13" t="str">
        <f t="shared" si="34"/>
        <v/>
      </c>
    </row>
    <row r="713" spans="7:7">
      <c r="G713" s="13" t="str">
        <f t="shared" si="34"/>
        <v/>
      </c>
    </row>
    <row r="714" spans="7:7">
      <c r="G714" s="13" t="str">
        <f t="shared" si="34"/>
        <v/>
      </c>
    </row>
    <row r="715" spans="7:7">
      <c r="G715" s="13" t="str">
        <f t="shared" si="34"/>
        <v/>
      </c>
    </row>
    <row r="716" spans="7:7">
      <c r="G716" s="13" t="str">
        <f t="shared" si="34"/>
        <v/>
      </c>
    </row>
    <row r="717" spans="7:7">
      <c r="G717" s="13" t="str">
        <f t="shared" si="34"/>
        <v/>
      </c>
    </row>
    <row r="718" spans="7:7">
      <c r="G718" s="13" t="str">
        <f t="shared" si="34"/>
        <v/>
      </c>
    </row>
    <row r="719" spans="7:7">
      <c r="G719" s="13" t="str">
        <f t="shared" si="34"/>
        <v/>
      </c>
    </row>
    <row r="720" spans="7:7">
      <c r="G720" s="13" t="str">
        <f t="shared" si="34"/>
        <v/>
      </c>
    </row>
    <row r="721" spans="7:7">
      <c r="G721" s="13" t="str">
        <f t="shared" si="34"/>
        <v/>
      </c>
    </row>
    <row r="722" spans="7:7">
      <c r="G722" s="13" t="str">
        <f t="shared" si="34"/>
        <v/>
      </c>
    </row>
    <row r="723" spans="7:7">
      <c r="G723" s="13" t="str">
        <f t="shared" si="34"/>
        <v/>
      </c>
    </row>
    <row r="724" spans="7:7">
      <c r="G724" s="13" t="str">
        <f t="shared" si="34"/>
        <v/>
      </c>
    </row>
    <row r="725" spans="7:7">
      <c r="G725" s="13" t="str">
        <f t="shared" si="34"/>
        <v/>
      </c>
    </row>
    <row r="726" spans="7:7">
      <c r="G726" s="13" t="str">
        <f t="shared" si="34"/>
        <v/>
      </c>
    </row>
    <row r="727" spans="7:7">
      <c r="G727" s="13" t="str">
        <f t="shared" si="34"/>
        <v/>
      </c>
    </row>
    <row r="728" spans="7:7">
      <c r="G728" s="13" t="str">
        <f t="shared" si="34"/>
        <v/>
      </c>
    </row>
    <row r="729" spans="7:7">
      <c r="G729" s="13" t="str">
        <f t="shared" si="34"/>
        <v/>
      </c>
    </row>
    <row r="730" spans="7:7">
      <c r="G730" s="13" t="str">
        <f t="shared" si="34"/>
        <v/>
      </c>
    </row>
    <row r="731" spans="7:7">
      <c r="G731" s="13" t="str">
        <f t="shared" si="34"/>
        <v/>
      </c>
    </row>
    <row r="732" spans="7:7">
      <c r="G732" s="13" t="str">
        <f t="shared" si="34"/>
        <v/>
      </c>
    </row>
    <row r="733" spans="7:7">
      <c r="G733" s="13" t="str">
        <f t="shared" si="34"/>
        <v/>
      </c>
    </row>
    <row r="734" spans="7:7">
      <c r="G734" s="13" t="str">
        <f t="shared" si="34"/>
        <v/>
      </c>
    </row>
    <row r="735" spans="7:7">
      <c r="G735" s="13" t="str">
        <f t="shared" si="34"/>
        <v/>
      </c>
    </row>
    <row r="736" spans="7:7">
      <c r="G736" s="13" t="str">
        <f t="shared" si="34"/>
        <v/>
      </c>
    </row>
    <row r="737" spans="7:7">
      <c r="G737" s="13" t="str">
        <f t="shared" si="34"/>
        <v/>
      </c>
    </row>
    <row r="738" spans="7:7">
      <c r="G738" s="13" t="str">
        <f t="shared" si="34"/>
        <v/>
      </c>
    </row>
    <row r="739" spans="7:7">
      <c r="G739" s="13" t="str">
        <f t="shared" si="34"/>
        <v/>
      </c>
    </row>
    <row r="740" spans="7:7">
      <c r="G740" s="13" t="str">
        <f t="shared" si="34"/>
        <v/>
      </c>
    </row>
    <row r="741" spans="7:7">
      <c r="G741" s="13" t="str">
        <f t="shared" si="34"/>
        <v/>
      </c>
    </row>
    <row r="742" spans="7:7">
      <c r="G742" s="13" t="str">
        <f t="shared" si="34"/>
        <v/>
      </c>
    </row>
    <row r="743" spans="7:7">
      <c r="G743" s="13" t="str">
        <f t="shared" si="34"/>
        <v/>
      </c>
    </row>
    <row r="744" spans="7:7">
      <c r="G744" s="13" t="str">
        <f t="shared" si="34"/>
        <v/>
      </c>
    </row>
    <row r="745" spans="7:7">
      <c r="G745" s="13" t="str">
        <f t="shared" si="34"/>
        <v/>
      </c>
    </row>
    <row r="746" spans="7:7">
      <c r="G746" s="13" t="str">
        <f t="shared" si="34"/>
        <v/>
      </c>
    </row>
    <row r="747" spans="7:7">
      <c r="G747" s="13" t="str">
        <f t="shared" si="34"/>
        <v/>
      </c>
    </row>
    <row r="748" spans="7:7">
      <c r="G748" s="13" t="str">
        <f t="shared" si="34"/>
        <v/>
      </c>
    </row>
    <row r="749" spans="7:7">
      <c r="G749" s="13" t="str">
        <f t="shared" si="34"/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EBE2-28A8-4A3B-B77A-DBC7640E1DC0}">
  <sheetPr codeName="Sheet9"/>
  <dimension ref="A1:AB812"/>
  <sheetViews>
    <sheetView topLeftCell="O1" workbookViewId="0">
      <selection activeCell="AB2" sqref="AB2:AB32"/>
    </sheetView>
  </sheetViews>
  <sheetFormatPr defaultRowHeight="15"/>
  <cols>
    <col min="2" max="2" width="19.42578125" customWidth="1"/>
    <col min="7" max="7" width="21.85546875" style="13" customWidth="1"/>
    <col min="8" max="8" width="19.28515625" customWidth="1"/>
    <col min="11" max="11" width="12.42578125" customWidth="1"/>
    <col min="14" max="15" width="16" style="13" customWidth="1"/>
    <col min="16" max="18" width="35.28515625" style="13" customWidth="1"/>
    <col min="19" max="19" width="63.42578125" customWidth="1"/>
    <col min="20" max="20" width="20.28515625" customWidth="1"/>
    <col min="21" max="21" width="22.28515625" customWidth="1"/>
    <col min="22" max="22" width="21" customWidth="1"/>
    <col min="23" max="23" width="21.42578125" customWidth="1"/>
    <col min="28" max="28" width="20.7109375" customWidth="1"/>
  </cols>
  <sheetData>
    <row r="1" spans="1:28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2" t="s">
        <v>308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2" t="s">
        <v>310</v>
      </c>
      <c r="O1" s="12" t="s">
        <v>309</v>
      </c>
      <c r="P1" s="12" t="s">
        <v>19</v>
      </c>
      <c r="Q1" s="12" t="s">
        <v>311</v>
      </c>
      <c r="R1" s="12" t="s">
        <v>312</v>
      </c>
      <c r="S1" s="17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37" t="s">
        <v>530</v>
      </c>
    </row>
    <row r="2" spans="1:28" ht="15.75" thickTop="1">
      <c r="A2" t="str">
        <f>MacReports!A2</f>
        <v/>
      </c>
      <c r="B2">
        <f>MacReports!B2</f>
        <v>0</v>
      </c>
      <c r="C2">
        <f>MacReports!C2</f>
        <v>0</v>
      </c>
      <c r="E2" t="e">
        <f>_xlfn.XLOOKUP(G2,Models!A:A,Models!F:F)</f>
        <v>#N/A</v>
      </c>
      <c r="F2" t="str">
        <f>_xlfn.XLOOKUP(B2,MacReports!B:B,MacReports!D:D,"")</f>
        <v/>
      </c>
      <c r="G2" s="13">
        <f>MacReports!E2</f>
        <v>0</v>
      </c>
      <c r="H2">
        <f>_xlfn.XLOOKUP(G2,Models!A:A,Models!B:B,G2)</f>
        <v>0</v>
      </c>
      <c r="I2" t="e">
        <f>_xlfn.XLOOKUP(G2,Models!A:A,Models!E:E)</f>
        <v>#N/A</v>
      </c>
      <c r="J2" t="e">
        <f>_xlfn.XLOOKUP(G2,Models!A:A,Models!D:D)</f>
        <v>#N/A</v>
      </c>
      <c r="K2">
        <f>MacReports!F2</f>
        <v>0</v>
      </c>
      <c r="L2">
        <f>MacReports!G2</f>
        <v>0</v>
      </c>
      <c r="M2" s="15" t="e" cm="1">
        <f t="array" ref="M2">--_xlfn.LET(
    _xlpm.txt, MacReports!H2,
    _xlpm.chars, MID(_xlpm.txt, _xlfn.SEQUENCE(LEN(_xlpm.txt)), 1),
    _xlfn.TEXTJOIN("", TRUE, IF(ISNUMBER(--_xlpm.chars), _xlpm.chars, ""))
)</f>
        <v>#VALUE!</v>
      </c>
      <c r="N2" s="16" t="str" cm="1">
        <f t="array" ref="N2">_xlfn.IFS(
   --MacReports!M2&lt;55,"Battery Defect",
  -- MacReports!M2&lt;=69,"Battery D",
  --MacReports!M2&lt;=80,"Battery C",
 --MacReports!M2&gt;80,""
)</f>
        <v>Battery Defect</v>
      </c>
      <c r="O2" s="16" t="str">
        <f>IF(MacReports!I2="Service","Battery Service","")</f>
        <v/>
      </c>
      <c r="P2" s="13">
        <f>MacReports!P2</f>
        <v>0</v>
      </c>
      <c r="Q2" s="13" t="str">
        <f>IF(MacReports!J2="Enabled","Apple ID Lock","")</f>
        <v/>
      </c>
      <c r="R2" s="13" t="str">
        <f>IF(MacReports!L2="y","Remote Locked","")</f>
        <v/>
      </c>
      <c r="S2" t="str">
        <f t="shared" ref="S2:S9" si="0">_xlfn.TEXTJOIN(", ",TRUE,Q2,R2,N2,O2,P2)</f>
        <v>Battery Defect, 0</v>
      </c>
      <c r="T2" t="str">
        <f>_xlfn.XLOOKUP(B2,Disk_Pivot!G:G,Disk_Pivot!I:I)</f>
        <v>No</v>
      </c>
      <c r="U2" t="str">
        <f>_xlfn.XLOOKUP(B2,Disk_Pivot!G:G,Disk_Pivot!N:N)</f>
        <v/>
      </c>
      <c r="V2" t="str">
        <f>IF(U2="Fail",MacReports!N2,"")</f>
        <v/>
      </c>
      <c r="AB2" t="str">
        <f>_xlfn.TEXTJOIN(", ",TRUE,Q2,R2)</f>
        <v/>
      </c>
    </row>
    <row r="3" spans="1:28">
      <c r="A3" t="str">
        <f>MacReports!A3</f>
        <v/>
      </c>
      <c r="B3">
        <f>MacReports!B3</f>
        <v>0</v>
      </c>
      <c r="C3">
        <f>MacReports!C3</f>
        <v>0</v>
      </c>
      <c r="E3" t="e">
        <f>_xlfn.XLOOKUP(G3,Models!A:A,Models!F:F)</f>
        <v>#N/A</v>
      </c>
      <c r="F3" t="str">
        <f>_xlfn.XLOOKUP(B3,MacReports!B:B,MacReports!D:D,"")</f>
        <v/>
      </c>
      <c r="G3" s="13">
        <f>MacReports!E3</f>
        <v>0</v>
      </c>
      <c r="H3" t="e">
        <f>_xlfn.XLOOKUP(G3,Models!A:A,Models!B:B)</f>
        <v>#N/A</v>
      </c>
      <c r="I3" t="e">
        <f>_xlfn.XLOOKUP(G3,Models!A:A,Models!E:E)</f>
        <v>#N/A</v>
      </c>
      <c r="J3" t="e">
        <f>_xlfn.XLOOKUP(G3,Models!A:A,Models!D:D)</f>
        <v>#N/A</v>
      </c>
      <c r="K3">
        <f>MacReports!F3</f>
        <v>0</v>
      </c>
      <c r="L3">
        <f>MacReports!G3</f>
        <v>0</v>
      </c>
      <c r="M3" s="15" t="e" cm="1">
        <f t="array" ref="M3">--_xlfn.LET(
    _xlpm.txt, MacReports!H3,
    _xlpm.chars, MID(_xlpm.txt, _xlfn.SEQUENCE(LEN(_xlpm.txt)), 1),
    _xlfn.TEXTJOIN("", TRUE, IF(ISNUMBER(--_xlpm.chars), _xlpm.chars, ""))
)</f>
        <v>#VALUE!</v>
      </c>
      <c r="N3" s="16" t="str" cm="1">
        <f t="array" ref="N3">_xlfn.IFS(
   --MacReports!M3&lt;55,"Battery Defect",
  -- MacReports!M3&lt;=69,"Battery D",
  --MacReports!M3&lt;=80,"Battery C",
 --MacReports!M3&gt;80,""
)</f>
        <v>Battery Defect</v>
      </c>
      <c r="O3" s="16" t="str">
        <f>IF(MacReports!I3="Service","Battery Service","")</f>
        <v/>
      </c>
      <c r="P3" s="13">
        <f>MacReports!P3</f>
        <v>0</v>
      </c>
      <c r="Q3" s="13" t="str">
        <f>IF(MacReports!J3="Enabled","Apple ID Lock","")</f>
        <v/>
      </c>
      <c r="R3" s="13" t="str">
        <f>IF(MacReports!L3="y","Remote Locked","")</f>
        <v/>
      </c>
      <c r="S3" t="str">
        <f t="shared" si="0"/>
        <v>Battery Defect, 0</v>
      </c>
      <c r="T3" t="str">
        <f>_xlfn.XLOOKUP(B3,Disk_Pivot!G:G,Disk_Pivot!I:I)</f>
        <v>No</v>
      </c>
      <c r="U3" t="str">
        <f>_xlfn.XLOOKUP(B3,Disk_Pivot!G:G,Disk_Pivot!N:N)</f>
        <v/>
      </c>
      <c r="V3" t="str">
        <f>IF(U3="Fail",MacReports!N3,"")</f>
        <v/>
      </c>
      <c r="AB3" t="str">
        <f t="shared" ref="AB3:AB66" si="1">_xlfn.TEXTJOIN(", ",TRUE,Q3,R3)</f>
        <v/>
      </c>
    </row>
    <row r="4" spans="1:28">
      <c r="A4" t="str">
        <f>MacReports!A4</f>
        <v/>
      </c>
      <c r="B4">
        <f>MacReports!B4</f>
        <v>0</v>
      </c>
      <c r="C4">
        <f>MacReports!C4</f>
        <v>0</v>
      </c>
      <c r="E4" t="e">
        <f>_xlfn.XLOOKUP(G4,Models!A:A,Models!F:F)</f>
        <v>#N/A</v>
      </c>
      <c r="F4" t="str">
        <f>_xlfn.XLOOKUP(B4,MacReports!B:B,MacReports!D:D,"")</f>
        <v/>
      </c>
      <c r="G4" s="13">
        <f>MacReports!E4</f>
        <v>0</v>
      </c>
      <c r="H4" t="e">
        <f>_xlfn.XLOOKUP(G4,Models!A:A,Models!B:B)</f>
        <v>#N/A</v>
      </c>
      <c r="I4" t="e">
        <f>_xlfn.XLOOKUP(G4,Models!A:A,Models!E:E)</f>
        <v>#N/A</v>
      </c>
      <c r="J4" t="e">
        <f>_xlfn.XLOOKUP(G4,Models!A:A,Models!D:D)</f>
        <v>#N/A</v>
      </c>
      <c r="K4">
        <f>MacReports!F4</f>
        <v>0</v>
      </c>
      <c r="L4">
        <f>MacReports!G4</f>
        <v>0</v>
      </c>
      <c r="M4" s="15" t="e" cm="1">
        <f t="array" ref="M4">--_xlfn.LET(
    _xlpm.txt, MacReports!H4,
    _xlpm.chars, MID(_xlpm.txt, _xlfn.SEQUENCE(LEN(_xlpm.txt)), 1),
    _xlfn.TEXTJOIN("", TRUE, IF(ISNUMBER(--_xlpm.chars), _xlpm.chars, ""))
)</f>
        <v>#VALUE!</v>
      </c>
      <c r="N4" s="16" t="str" cm="1">
        <f t="array" ref="N4">_xlfn.IFS(
   --MacReports!M4&lt;55,"Battery Defect",
  -- MacReports!M4&lt;=69,"Battery D",
  --MacReports!M4&lt;=80,"Battery C",
 --MacReports!M4&gt;80,""
)</f>
        <v>Battery Defect</v>
      </c>
      <c r="O4" s="16" t="str">
        <f>IF(MacReports!I4="Service","Battery Service","")</f>
        <v/>
      </c>
      <c r="P4" s="13">
        <f>MacReports!P4</f>
        <v>0</v>
      </c>
      <c r="Q4" s="13" t="str">
        <f>IF(MacReports!J4="Enabled","Apple ID Lock","")</f>
        <v/>
      </c>
      <c r="R4" s="13" t="str">
        <f>IF(MacReports!L4="y","Remote Locked","")</f>
        <v/>
      </c>
      <c r="S4" t="str">
        <f t="shared" si="0"/>
        <v>Battery Defect, 0</v>
      </c>
      <c r="T4" t="str">
        <f>_xlfn.XLOOKUP(B4,Disk_Pivot!G:G,Disk_Pivot!I:I)</f>
        <v>No</v>
      </c>
      <c r="U4" t="str">
        <f>_xlfn.XLOOKUP(B4,Disk_Pivot!G:G,Disk_Pivot!N:N)</f>
        <v/>
      </c>
      <c r="V4" t="str">
        <f>IF(U4="Fail",MacReports!N4,"")</f>
        <v/>
      </c>
      <c r="AB4" t="str">
        <f t="shared" si="1"/>
        <v/>
      </c>
    </row>
    <row r="5" spans="1:28">
      <c r="A5" t="str">
        <f>MacReports!A5</f>
        <v/>
      </c>
      <c r="B5">
        <f>MacReports!B5</f>
        <v>0</v>
      </c>
      <c r="C5">
        <f>MacReports!C5</f>
        <v>0</v>
      </c>
      <c r="E5" t="e">
        <f>_xlfn.XLOOKUP(G5,Models!A:A,Models!F:F)</f>
        <v>#N/A</v>
      </c>
      <c r="F5" t="str">
        <f>_xlfn.XLOOKUP(B5,MacReports!B:B,MacReports!D:D,"")</f>
        <v/>
      </c>
      <c r="G5" s="13">
        <f>MacReports!E5</f>
        <v>0</v>
      </c>
      <c r="H5" t="e">
        <f>_xlfn.XLOOKUP(G5,Models!A:A,Models!B:B)</f>
        <v>#N/A</v>
      </c>
      <c r="I5" t="e">
        <f>_xlfn.XLOOKUP(G5,Models!A:A,Models!E:E)</f>
        <v>#N/A</v>
      </c>
      <c r="J5" t="e">
        <f>_xlfn.XLOOKUP(G5,Models!A:A,Models!D:D)</f>
        <v>#N/A</v>
      </c>
      <c r="K5">
        <f>MacReports!F5</f>
        <v>0</v>
      </c>
      <c r="L5">
        <f>MacReports!G5</f>
        <v>0</v>
      </c>
      <c r="M5" s="15" t="e" cm="1">
        <f t="array" ref="M5">--_xlfn.LET(
    _xlpm.txt, MacReports!H5,
    _xlpm.chars, MID(_xlpm.txt, _xlfn.SEQUENCE(LEN(_xlpm.txt)), 1),
    _xlfn.TEXTJOIN("", TRUE, IF(ISNUMBER(--_xlpm.chars), _xlpm.chars, ""))
)</f>
        <v>#VALUE!</v>
      </c>
      <c r="N5" s="16" t="str" cm="1">
        <f t="array" ref="N5">_xlfn.IFS(
   --MacReports!M5&lt;55,"Battery Defect",
  -- MacReports!M5&lt;=69,"Battery D",
  --MacReports!M5&lt;=80,"Battery C",
 --MacReports!M5&gt;80,""
)</f>
        <v>Battery Defect</v>
      </c>
      <c r="O5" s="16" t="str">
        <f>IF(MacReports!I5="Service","Battery Service","")</f>
        <v/>
      </c>
      <c r="P5" s="13">
        <f>MacReports!P5</f>
        <v>0</v>
      </c>
      <c r="Q5" s="13" t="str">
        <f>IF(MacReports!J5="Enabled","Apple ID Lock","")</f>
        <v/>
      </c>
      <c r="R5" s="13" t="str">
        <f>IF(MacReports!L5="y","Remote Locked","")</f>
        <v/>
      </c>
      <c r="S5" t="str">
        <f t="shared" si="0"/>
        <v>Battery Defect, 0</v>
      </c>
      <c r="T5" t="str">
        <f>_xlfn.XLOOKUP(B5,Disk_Pivot!G:G,Disk_Pivot!I:I)</f>
        <v>No</v>
      </c>
      <c r="U5" t="str">
        <f>_xlfn.XLOOKUP(B5,Disk_Pivot!G:G,Disk_Pivot!N:N)</f>
        <v/>
      </c>
      <c r="V5" t="str">
        <f>IF(U5="Fail",MacReports!N5,"")</f>
        <v/>
      </c>
      <c r="AB5" t="str">
        <f t="shared" si="1"/>
        <v/>
      </c>
    </row>
    <row r="6" spans="1:28">
      <c r="A6" t="str">
        <f>MacReports!A6</f>
        <v/>
      </c>
      <c r="B6">
        <f>MacReports!B6</f>
        <v>0</v>
      </c>
      <c r="C6">
        <f>MacReports!C6</f>
        <v>0</v>
      </c>
      <c r="E6" t="e">
        <f>_xlfn.XLOOKUP(G6,Models!A:A,Models!F:F)</f>
        <v>#N/A</v>
      </c>
      <c r="F6" t="str">
        <f>_xlfn.XLOOKUP(B6,MacReports!B:B,MacReports!D:D,"")</f>
        <v/>
      </c>
      <c r="G6" s="13">
        <f>MacReports!E6</f>
        <v>0</v>
      </c>
      <c r="H6" t="e">
        <f>_xlfn.XLOOKUP(G6,Models!A:A,Models!B:B)</f>
        <v>#N/A</v>
      </c>
      <c r="I6" t="e">
        <f>_xlfn.XLOOKUP(G6,Models!A:A,Models!E:E)</f>
        <v>#N/A</v>
      </c>
      <c r="J6" t="e">
        <f>_xlfn.XLOOKUP(G6,Models!A:A,Models!D:D)</f>
        <v>#N/A</v>
      </c>
      <c r="K6">
        <f>MacReports!F6</f>
        <v>0</v>
      </c>
      <c r="L6">
        <f>MacReports!G6</f>
        <v>0</v>
      </c>
      <c r="M6" s="15" t="e" cm="1">
        <f t="array" ref="M6">--_xlfn.LET(
    _xlpm.txt, MacReports!H6,
    _xlpm.chars, MID(_xlpm.txt, _xlfn.SEQUENCE(LEN(_xlpm.txt)), 1),
    _xlfn.TEXTJOIN("", TRUE, IF(ISNUMBER(--_xlpm.chars), _xlpm.chars, ""))
)</f>
        <v>#VALUE!</v>
      </c>
      <c r="N6" s="16" t="str" cm="1">
        <f t="array" ref="N6">_xlfn.IFS(
   --MacReports!M6&lt;55,"Battery Defect",
  -- MacReports!M6&lt;=69,"Battery D",
  --MacReports!M6&lt;=80,"Battery C",
 --MacReports!M6&gt;80,""
)</f>
        <v>Battery Defect</v>
      </c>
      <c r="O6" s="16" t="str">
        <f>IF(MacReports!I6="Service","Battery Service","")</f>
        <v/>
      </c>
      <c r="P6" s="13">
        <f>MacReports!P6</f>
        <v>0</v>
      </c>
      <c r="Q6" s="13" t="str">
        <f>IF(MacReports!J6="Enabled","Apple ID Lock","")</f>
        <v/>
      </c>
      <c r="R6" s="13" t="str">
        <f>IF(MacReports!L6="y","Remote Locked","")</f>
        <v/>
      </c>
      <c r="S6" t="str">
        <f t="shared" si="0"/>
        <v>Battery Defect, 0</v>
      </c>
      <c r="T6" t="str">
        <f>_xlfn.XLOOKUP(B6,Disk_Pivot!G:G,Disk_Pivot!I:I)</f>
        <v>No</v>
      </c>
      <c r="U6" t="str">
        <f>_xlfn.XLOOKUP(B6,Disk_Pivot!G:G,Disk_Pivot!N:N)</f>
        <v/>
      </c>
      <c r="V6" t="str">
        <f>IF(U6="Fail",MacReports!N6,"")</f>
        <v/>
      </c>
      <c r="AB6" t="str">
        <f t="shared" si="1"/>
        <v/>
      </c>
    </row>
    <row r="7" spans="1:28">
      <c r="A7" t="str">
        <f>MacReports!A7</f>
        <v/>
      </c>
      <c r="B7">
        <f>MacReports!B7</f>
        <v>0</v>
      </c>
      <c r="C7">
        <f>MacReports!C7</f>
        <v>0</v>
      </c>
      <c r="E7" t="e">
        <f>_xlfn.XLOOKUP(G7,Models!A:A,Models!F:F)</f>
        <v>#N/A</v>
      </c>
      <c r="F7" t="str">
        <f>_xlfn.XLOOKUP(B7,MacReports!B:B,MacReports!D:D,"")</f>
        <v/>
      </c>
      <c r="G7" s="13">
        <f>MacReports!E7</f>
        <v>0</v>
      </c>
      <c r="H7" t="e">
        <f>_xlfn.XLOOKUP(G7,Models!A:A,Models!B:B)</f>
        <v>#N/A</v>
      </c>
      <c r="I7" t="e">
        <f>_xlfn.XLOOKUP(G7,Models!A:A,Models!E:E)</f>
        <v>#N/A</v>
      </c>
      <c r="J7" t="e">
        <f>_xlfn.XLOOKUP(G7,Models!A:A,Models!D:D)</f>
        <v>#N/A</v>
      </c>
      <c r="K7">
        <f>MacReports!F7</f>
        <v>0</v>
      </c>
      <c r="L7">
        <f>MacReports!G7</f>
        <v>0</v>
      </c>
      <c r="M7" s="15" t="e" cm="1">
        <f t="array" ref="M7">--_xlfn.LET(
    _xlpm.txt, MacReports!H7,
    _xlpm.chars, MID(_xlpm.txt, _xlfn.SEQUENCE(LEN(_xlpm.txt)), 1),
    _xlfn.TEXTJOIN("", TRUE, IF(ISNUMBER(--_xlpm.chars), _xlpm.chars, ""))
)</f>
        <v>#VALUE!</v>
      </c>
      <c r="N7" s="16" t="str" cm="1">
        <f t="array" ref="N7">_xlfn.IFS(
   --MacReports!M7&lt;55,"Battery Defect",
  -- MacReports!M7&lt;=69,"Battery D",
  --MacReports!M7&lt;=80,"Battery C",
 --MacReports!M7&gt;80,""
)</f>
        <v>Battery Defect</v>
      </c>
      <c r="O7" s="16" t="str">
        <f>IF(MacReports!I7="Service","Battery Service","")</f>
        <v/>
      </c>
      <c r="P7" s="13">
        <f>MacReports!P7</f>
        <v>0</v>
      </c>
      <c r="Q7" s="13" t="str">
        <f>IF(MacReports!J7="Enabled","Apple ID Lock","")</f>
        <v/>
      </c>
      <c r="R7" s="13" t="str">
        <f>IF(MacReports!L7="y","Remote Locked","")</f>
        <v/>
      </c>
      <c r="S7" t="str">
        <f t="shared" si="0"/>
        <v>Battery Defect, 0</v>
      </c>
      <c r="T7" t="str">
        <f>_xlfn.XLOOKUP(B7,Disk_Pivot!G:G,Disk_Pivot!I:I)</f>
        <v>No</v>
      </c>
      <c r="U7" t="str">
        <f>_xlfn.XLOOKUP(B7,Disk_Pivot!G:G,Disk_Pivot!N:N)</f>
        <v/>
      </c>
      <c r="V7" t="str">
        <f>IF(U7="Fail",MacReports!N7,"")</f>
        <v/>
      </c>
      <c r="AB7" t="str">
        <f t="shared" si="1"/>
        <v/>
      </c>
    </row>
    <row r="8" spans="1:28">
      <c r="A8" t="str">
        <f>MacReports!A8</f>
        <v/>
      </c>
      <c r="B8">
        <f>MacReports!B8</f>
        <v>0</v>
      </c>
      <c r="C8">
        <f>MacReports!C8</f>
        <v>0</v>
      </c>
      <c r="E8" t="e">
        <f>_xlfn.XLOOKUP(G8,Models!A:A,Models!F:F)</f>
        <v>#N/A</v>
      </c>
      <c r="F8" t="str">
        <f>_xlfn.XLOOKUP(B8,MacReports!B:B,MacReports!D:D,"")</f>
        <v/>
      </c>
      <c r="G8" s="13">
        <f>MacReports!E8</f>
        <v>0</v>
      </c>
      <c r="H8" t="e">
        <f>_xlfn.XLOOKUP(G8,Models!A:A,Models!B:B)</f>
        <v>#N/A</v>
      </c>
      <c r="I8" t="e">
        <f>_xlfn.XLOOKUP(G8,Models!A:A,Models!E:E)</f>
        <v>#N/A</v>
      </c>
      <c r="J8" t="e">
        <f>_xlfn.XLOOKUP(G8,Models!A:A,Models!D:D)</f>
        <v>#N/A</v>
      </c>
      <c r="K8">
        <f>MacReports!F8</f>
        <v>0</v>
      </c>
      <c r="L8">
        <f>MacReports!G8</f>
        <v>0</v>
      </c>
      <c r="M8" s="15" t="e" cm="1">
        <f t="array" ref="M8">--_xlfn.LET(
    _xlpm.txt, MacReports!H8,
    _xlpm.chars, MID(_xlpm.txt, _xlfn.SEQUENCE(LEN(_xlpm.txt)), 1),
    _xlfn.TEXTJOIN("", TRUE, IF(ISNUMBER(--_xlpm.chars), _xlpm.chars, ""))
)</f>
        <v>#VALUE!</v>
      </c>
      <c r="N8" s="16" t="str" cm="1">
        <f t="array" ref="N8">_xlfn.IFS(
   --MacReports!M8&lt;55,"Battery Defect",
  -- MacReports!M8&lt;=69,"Battery D",
  --MacReports!M8&lt;=80,"Battery C",
 --MacReports!M8&gt;80,""
)</f>
        <v>Battery Defect</v>
      </c>
      <c r="O8" s="16" t="str">
        <f>IF(MacReports!I8="Service","Battery Service","")</f>
        <v/>
      </c>
      <c r="P8" s="13">
        <f>MacReports!P8</f>
        <v>0</v>
      </c>
      <c r="Q8" s="13" t="str">
        <f>IF(MacReports!J8="Enabled","Apple ID Lock","")</f>
        <v/>
      </c>
      <c r="R8" s="13" t="str">
        <f>IF(MacReports!L8="y","Remote Locked","")</f>
        <v/>
      </c>
      <c r="S8" t="str">
        <f t="shared" si="0"/>
        <v>Battery Defect, 0</v>
      </c>
      <c r="T8" t="str">
        <f>_xlfn.XLOOKUP(B8,Disk_Pivot!G:G,Disk_Pivot!I:I)</f>
        <v>No</v>
      </c>
      <c r="U8" t="str">
        <f>_xlfn.XLOOKUP(B8,Disk_Pivot!G:G,Disk_Pivot!N:N)</f>
        <v/>
      </c>
      <c r="V8" t="str">
        <f>IF(U8="Fail",MacReports!N8,"")</f>
        <v/>
      </c>
      <c r="AB8" t="str">
        <f t="shared" si="1"/>
        <v/>
      </c>
    </row>
    <row r="9" spans="1:28">
      <c r="A9" t="str">
        <f>MacReports!A9</f>
        <v/>
      </c>
      <c r="B9">
        <f>MacReports!B9</f>
        <v>0</v>
      </c>
      <c r="C9">
        <f>MacReports!C9</f>
        <v>0</v>
      </c>
      <c r="E9" t="e">
        <f>_xlfn.XLOOKUP(G9,Models!A:A,Models!F:F)</f>
        <v>#N/A</v>
      </c>
      <c r="F9" t="str">
        <f>_xlfn.XLOOKUP(B9,MacReports!B:B,MacReports!D:D,"")</f>
        <v/>
      </c>
      <c r="G9" s="13">
        <f>MacReports!E9</f>
        <v>0</v>
      </c>
      <c r="H9" t="e">
        <f>_xlfn.XLOOKUP(G9,Models!A:A,Models!B:B)</f>
        <v>#N/A</v>
      </c>
      <c r="I9" t="e">
        <f>_xlfn.XLOOKUP(G9,Models!A:A,Models!E:E)</f>
        <v>#N/A</v>
      </c>
      <c r="J9" t="e">
        <f>_xlfn.XLOOKUP(G9,Models!A:A,Models!D:D)</f>
        <v>#N/A</v>
      </c>
      <c r="K9">
        <f>MacReports!F9</f>
        <v>0</v>
      </c>
      <c r="L9">
        <f>MacReports!G9</f>
        <v>0</v>
      </c>
      <c r="M9" s="15" t="e" cm="1">
        <f t="array" ref="M9">--_xlfn.LET(
    _xlpm.txt, MacReports!H9,
    _xlpm.chars, MID(_xlpm.txt, _xlfn.SEQUENCE(LEN(_xlpm.txt)), 1),
    _xlfn.TEXTJOIN("", TRUE, IF(ISNUMBER(--_xlpm.chars), _xlpm.chars, ""))
)</f>
        <v>#VALUE!</v>
      </c>
      <c r="N9" s="16" t="str" cm="1">
        <f t="array" ref="N9">_xlfn.IFS(
   --MacReports!M9&lt;55,"Battery Defect",
  -- MacReports!M9&lt;=69,"Battery D",
  --MacReports!M9&lt;=80,"Battery C",
 --MacReports!M9&gt;80,""
)</f>
        <v>Battery Defect</v>
      </c>
      <c r="O9" s="16" t="str">
        <f>IF(MacReports!I9="Service","Battery Service","")</f>
        <v/>
      </c>
      <c r="P9" s="13">
        <f>MacReports!P9</f>
        <v>0</v>
      </c>
      <c r="Q9" s="13" t="str">
        <f>IF(MacReports!J9="Enabled","Apple ID Lock","")</f>
        <v/>
      </c>
      <c r="R9" s="13" t="str">
        <f>IF(MacReports!L9="y","Remote Locked","")</f>
        <v/>
      </c>
      <c r="S9" t="str">
        <f t="shared" si="0"/>
        <v>Battery Defect, 0</v>
      </c>
      <c r="T9" t="str">
        <f>_xlfn.XLOOKUP(B9,Disk_Pivot!G:G,Disk_Pivot!I:I)</f>
        <v>No</v>
      </c>
      <c r="U9" t="str">
        <f>_xlfn.XLOOKUP(B9,Disk_Pivot!G:G,Disk_Pivot!N:N)</f>
        <v/>
      </c>
      <c r="V9" t="str">
        <f>IF(U9="Fail",MacReports!N9,"")</f>
        <v/>
      </c>
      <c r="AB9" t="str">
        <f t="shared" si="1"/>
        <v/>
      </c>
    </row>
    <row r="10" spans="1:28">
      <c r="A10" t="str">
        <f>MacReports!A10</f>
        <v/>
      </c>
      <c r="B10">
        <f>MacReports!B10</f>
        <v>0</v>
      </c>
      <c r="C10">
        <f>MacReports!C10</f>
        <v>0</v>
      </c>
      <c r="E10" t="e">
        <f>_xlfn.XLOOKUP(G10,Models!A:A,Models!F:F)</f>
        <v>#N/A</v>
      </c>
      <c r="F10" t="str">
        <f>_xlfn.XLOOKUP(B10,MacReports!B:B,MacReports!D:D,"")</f>
        <v/>
      </c>
      <c r="G10" s="13">
        <f>MacReports!E10</f>
        <v>0</v>
      </c>
      <c r="H10" t="e">
        <f>_xlfn.XLOOKUP(G10,Models!A:A,Models!B:B)</f>
        <v>#N/A</v>
      </c>
      <c r="I10" t="e">
        <f>_xlfn.XLOOKUP(G10,Models!A:A,Models!E:E)</f>
        <v>#N/A</v>
      </c>
      <c r="J10" t="e">
        <f>_xlfn.XLOOKUP(G10,Models!A:A,Models!D:D)</f>
        <v>#N/A</v>
      </c>
      <c r="K10">
        <f>MacReports!F10</f>
        <v>0</v>
      </c>
      <c r="L10">
        <f>MacReports!G10</f>
        <v>0</v>
      </c>
      <c r="M10" s="15" t="e" cm="1">
        <f t="array" ref="M10">--_xlfn.LET(
    _xlpm.txt, MacReports!H10,
    _xlpm.chars, MID(_xlpm.txt, _xlfn.SEQUENCE(LEN(_xlpm.txt)), 1),
    _xlfn.TEXTJOIN("", TRUE, IF(ISNUMBER(--_xlpm.chars), _xlpm.chars, ""))
)</f>
        <v>#VALUE!</v>
      </c>
      <c r="N10" s="16" t="str" cm="1">
        <f t="array" ref="N10">_xlfn.IFS(
   --MacReports!M10&lt;55,"Battery Defect",
  -- MacReports!M10&lt;=69,"Battery D",
  --MacReports!M10&lt;=80,"Battery C",
 --MacReports!M10&gt;80,""
)</f>
        <v>Battery Defect</v>
      </c>
      <c r="O10" s="16" t="str">
        <f>IF(MacReports!I10="Service","Battery Service","")</f>
        <v/>
      </c>
      <c r="P10" s="13">
        <f>MacReports!P10</f>
        <v>0</v>
      </c>
      <c r="Q10" s="13" t="str">
        <f>IF(MacReports!J10="Enabled","Apple ID Lock","")</f>
        <v/>
      </c>
      <c r="R10" s="13" t="str">
        <f>IF(MacReports!L10="y","Remote Locked","")</f>
        <v/>
      </c>
      <c r="S10" t="str">
        <f t="shared" ref="S10:S52" si="2">_xlfn.TEXTJOIN(", ",TRUE,Q10,R10,N10,O10,P10)</f>
        <v>Battery Defect, 0</v>
      </c>
      <c r="T10" t="str">
        <f>_xlfn.XLOOKUP(B10,Disk_Pivot!G:G,Disk_Pivot!I:I)</f>
        <v>No</v>
      </c>
      <c r="U10" t="str">
        <f>_xlfn.XLOOKUP(B10,Disk_Pivot!G:G,Disk_Pivot!N:N)</f>
        <v/>
      </c>
      <c r="V10" t="str">
        <f>IF(U10="Fail",MacReports!N10,"")</f>
        <v/>
      </c>
      <c r="AB10" t="str">
        <f t="shared" si="1"/>
        <v/>
      </c>
    </row>
    <row r="11" spans="1:28">
      <c r="A11" t="str">
        <f>MacReports!A11</f>
        <v/>
      </c>
      <c r="B11">
        <f>MacReports!B11</f>
        <v>0</v>
      </c>
      <c r="C11">
        <f>MacReports!C11</f>
        <v>0</v>
      </c>
      <c r="E11" t="e">
        <f>_xlfn.XLOOKUP(G11,Models!A:A,Models!F:F)</f>
        <v>#N/A</v>
      </c>
      <c r="F11" t="str">
        <f>_xlfn.XLOOKUP(B11,MacReports!B:B,MacReports!D:D,"")</f>
        <v/>
      </c>
      <c r="G11" s="13">
        <f>MacReports!E11</f>
        <v>0</v>
      </c>
      <c r="H11" t="e">
        <f>_xlfn.XLOOKUP(G11,Models!A:A,Models!B:B)</f>
        <v>#N/A</v>
      </c>
      <c r="I11" t="e">
        <f>_xlfn.XLOOKUP(G11,Models!A:A,Models!E:E)</f>
        <v>#N/A</v>
      </c>
      <c r="J11" t="e">
        <f>_xlfn.XLOOKUP(G11,Models!A:A,Models!D:D)</f>
        <v>#N/A</v>
      </c>
      <c r="K11">
        <f>MacReports!F11</f>
        <v>0</v>
      </c>
      <c r="L11">
        <f>MacReports!G11</f>
        <v>0</v>
      </c>
      <c r="M11" s="15" t="e" cm="1">
        <f t="array" ref="M11">--_xlfn.LET(
    _xlpm.txt, MacReports!H11,
    _xlpm.chars, MID(_xlpm.txt, _xlfn.SEQUENCE(LEN(_xlpm.txt)), 1),
    _xlfn.TEXTJOIN("", TRUE, IF(ISNUMBER(--_xlpm.chars), _xlpm.chars, ""))
)</f>
        <v>#VALUE!</v>
      </c>
      <c r="N11" s="16" t="str" cm="1">
        <f t="array" ref="N11">_xlfn.IFS(
   --MacReports!M11&lt;55,"Battery Defect",
  -- MacReports!M11&lt;=69,"Battery D",
  --MacReports!M11&lt;=80,"Battery C",
 --MacReports!M11&gt;80,""
)</f>
        <v>Battery Defect</v>
      </c>
      <c r="O11" s="16" t="str">
        <f>IF(MacReports!I11="Service","Battery Service","")</f>
        <v/>
      </c>
      <c r="P11" s="13">
        <f>MacReports!P11</f>
        <v>0</v>
      </c>
      <c r="Q11" s="13" t="str">
        <f>IF(MacReports!J11="Enabled","Apple ID Lock","")</f>
        <v/>
      </c>
      <c r="R11" s="13" t="str">
        <f>IF(MacReports!L11="y","Remote Locked","")</f>
        <v/>
      </c>
      <c r="S11" t="str">
        <f t="shared" si="2"/>
        <v>Battery Defect, 0</v>
      </c>
      <c r="T11" t="str">
        <f>_xlfn.XLOOKUP(B11,Disk_Pivot!G:G,Disk_Pivot!I:I)</f>
        <v>No</v>
      </c>
      <c r="U11" t="str">
        <f>_xlfn.XLOOKUP(B11,Disk_Pivot!G:G,Disk_Pivot!N:N)</f>
        <v/>
      </c>
      <c r="V11" t="str">
        <f>IF(U11="Fail",MacReports!N11,"")</f>
        <v/>
      </c>
      <c r="AB11" t="str">
        <f t="shared" si="1"/>
        <v/>
      </c>
    </row>
    <row r="12" spans="1:28">
      <c r="A12" t="str">
        <f>MacReports!A12</f>
        <v/>
      </c>
      <c r="B12">
        <f>MacReports!B12</f>
        <v>0</v>
      </c>
      <c r="C12">
        <f>MacReports!C12</f>
        <v>0</v>
      </c>
      <c r="E12" t="e">
        <f>_xlfn.XLOOKUP(G12,Models!A:A,Models!F:F)</f>
        <v>#N/A</v>
      </c>
      <c r="F12" t="str">
        <f>_xlfn.XLOOKUP(B12,MacReports!B:B,MacReports!D:D,"")</f>
        <v/>
      </c>
      <c r="G12" s="13">
        <f>MacReports!E12</f>
        <v>0</v>
      </c>
      <c r="H12" t="e">
        <f>_xlfn.XLOOKUP(G12,Models!A:A,Models!B:B)</f>
        <v>#N/A</v>
      </c>
      <c r="I12" t="e">
        <f>_xlfn.XLOOKUP(G12,Models!A:A,Models!E:E)</f>
        <v>#N/A</v>
      </c>
      <c r="J12" t="e">
        <f>_xlfn.XLOOKUP(G12,Models!A:A,Models!D:D)</f>
        <v>#N/A</v>
      </c>
      <c r="K12">
        <f>MacReports!F12</f>
        <v>0</v>
      </c>
      <c r="L12">
        <f>MacReports!G12</f>
        <v>0</v>
      </c>
      <c r="M12" s="15" t="e" cm="1">
        <f t="array" ref="M12">--_xlfn.LET(
    _xlpm.txt, MacReports!H12,
    _xlpm.chars, MID(_xlpm.txt, _xlfn.SEQUENCE(LEN(_xlpm.txt)), 1),
    _xlfn.TEXTJOIN("", TRUE, IF(ISNUMBER(--_xlpm.chars), _xlpm.chars, ""))
)</f>
        <v>#VALUE!</v>
      </c>
      <c r="N12" s="16" t="str" cm="1">
        <f t="array" ref="N12">_xlfn.IFS(
   --MacReports!M12&lt;55,"Battery Defect",
  -- MacReports!M12&lt;=69,"Battery D",
  --MacReports!M12&lt;=80,"Battery C",
 --MacReports!M12&gt;80,""
)</f>
        <v>Battery Defect</v>
      </c>
      <c r="O12" s="16" t="str">
        <f>IF(MacReports!I12="Service","Battery Service","")</f>
        <v/>
      </c>
      <c r="P12" s="13">
        <f>MacReports!P12</f>
        <v>0</v>
      </c>
      <c r="Q12" s="13" t="str">
        <f>IF(MacReports!J12="Enabled","Apple ID Lock","")</f>
        <v/>
      </c>
      <c r="R12" s="13" t="str">
        <f>IF(MacReports!L12="y","Remote Locked","")</f>
        <v/>
      </c>
      <c r="S12" t="str">
        <f t="shared" si="2"/>
        <v>Battery Defect, 0</v>
      </c>
      <c r="T12" t="str">
        <f>_xlfn.XLOOKUP(B12,Disk_Pivot!G:G,Disk_Pivot!I:I)</f>
        <v>No</v>
      </c>
      <c r="U12" t="str">
        <f>_xlfn.XLOOKUP(B12,Disk_Pivot!G:G,Disk_Pivot!N:N)</f>
        <v/>
      </c>
      <c r="V12" t="str">
        <f>IF(U12="Fail",MacReports!N12,"")</f>
        <v/>
      </c>
      <c r="AB12" t="str">
        <f t="shared" si="1"/>
        <v/>
      </c>
    </row>
    <row r="13" spans="1:28">
      <c r="A13" t="str">
        <f>MacReports!A13</f>
        <v/>
      </c>
      <c r="B13">
        <f>MacReports!B13</f>
        <v>0</v>
      </c>
      <c r="C13">
        <f>MacReports!C13</f>
        <v>0</v>
      </c>
      <c r="E13" t="e">
        <f>_xlfn.XLOOKUP(G13,Models!A:A,Models!F:F)</f>
        <v>#N/A</v>
      </c>
      <c r="F13" t="str">
        <f>_xlfn.XLOOKUP(B13,MacReports!B:B,MacReports!D:D,"")</f>
        <v/>
      </c>
      <c r="G13" s="13">
        <f>MacReports!E13</f>
        <v>0</v>
      </c>
      <c r="H13" t="e">
        <f>_xlfn.XLOOKUP(G13,Models!A:A,Models!B:B)</f>
        <v>#N/A</v>
      </c>
      <c r="I13" t="e">
        <f>_xlfn.XLOOKUP(G13,Models!A:A,Models!E:E)</f>
        <v>#N/A</v>
      </c>
      <c r="J13" t="e">
        <f>_xlfn.XLOOKUP(G13,Models!A:A,Models!D:D)</f>
        <v>#N/A</v>
      </c>
      <c r="K13">
        <f>MacReports!F13</f>
        <v>0</v>
      </c>
      <c r="L13">
        <f>MacReports!G13</f>
        <v>0</v>
      </c>
      <c r="M13" s="15" t="e" cm="1">
        <f t="array" ref="M13">--_xlfn.LET(
    _xlpm.txt, MacReports!H13,
    _xlpm.chars, MID(_xlpm.txt, _xlfn.SEQUENCE(LEN(_xlpm.txt)), 1),
    _xlfn.TEXTJOIN("", TRUE, IF(ISNUMBER(--_xlpm.chars), _xlpm.chars, ""))
)</f>
        <v>#VALUE!</v>
      </c>
      <c r="N13" s="16" t="str" cm="1">
        <f t="array" ref="N13">_xlfn.IFS(
   --MacReports!M13&lt;55,"Battery Defect",
  -- MacReports!M13&lt;=69,"Battery D",
  --MacReports!M13&lt;=80,"Battery C",
 --MacReports!M13&gt;80,""
)</f>
        <v>Battery Defect</v>
      </c>
      <c r="O13" s="16" t="str">
        <f>IF(MacReports!I13="Service","Battery Service","")</f>
        <v/>
      </c>
      <c r="P13" s="13">
        <f>MacReports!P13</f>
        <v>0</v>
      </c>
      <c r="Q13" s="13" t="str">
        <f>IF(MacReports!J13="Enabled","Apple ID Lock","")</f>
        <v/>
      </c>
      <c r="R13" s="13" t="str">
        <f>IF(MacReports!L13="y","Remote Locked","")</f>
        <v/>
      </c>
      <c r="S13" t="str">
        <f t="shared" si="2"/>
        <v>Battery Defect, 0</v>
      </c>
      <c r="T13" t="str">
        <f>_xlfn.XLOOKUP(B13,Disk_Pivot!G:G,Disk_Pivot!I:I)</f>
        <v>No</v>
      </c>
      <c r="U13" t="str">
        <f>_xlfn.XLOOKUP(B13,Disk_Pivot!G:G,Disk_Pivot!N:N)</f>
        <v/>
      </c>
      <c r="V13" t="str">
        <f>IF(U13="Fail",MacReports!N13,"")</f>
        <v/>
      </c>
      <c r="AB13" t="str">
        <f t="shared" si="1"/>
        <v/>
      </c>
    </row>
    <row r="14" spans="1:28">
      <c r="A14" t="str">
        <f>MacReports!A14</f>
        <v/>
      </c>
      <c r="B14">
        <f>MacReports!B14</f>
        <v>0</v>
      </c>
      <c r="C14">
        <f>MacReports!C14</f>
        <v>0</v>
      </c>
      <c r="E14" t="e">
        <f>_xlfn.XLOOKUP(G14,Models!A:A,Models!F:F)</f>
        <v>#N/A</v>
      </c>
      <c r="F14" t="str">
        <f>_xlfn.XLOOKUP(B14,MacReports!B:B,MacReports!D:D,"")</f>
        <v/>
      </c>
      <c r="G14" s="13">
        <f>MacReports!E14</f>
        <v>0</v>
      </c>
      <c r="H14" t="e">
        <f>_xlfn.XLOOKUP(G14,Models!A:A,Models!B:B)</f>
        <v>#N/A</v>
      </c>
      <c r="I14" t="e">
        <f>_xlfn.XLOOKUP(G14,Models!A:A,Models!E:E)</f>
        <v>#N/A</v>
      </c>
      <c r="J14" t="e">
        <f>_xlfn.XLOOKUP(G14,Models!A:A,Models!D:D)</f>
        <v>#N/A</v>
      </c>
      <c r="K14">
        <f>MacReports!F14</f>
        <v>0</v>
      </c>
      <c r="L14">
        <f>MacReports!G14</f>
        <v>0</v>
      </c>
      <c r="M14" s="15" t="e" cm="1">
        <f t="array" ref="M14">--_xlfn.LET(
    _xlpm.txt, MacReports!H14,
    _xlpm.chars, MID(_xlpm.txt, _xlfn.SEQUENCE(LEN(_xlpm.txt)), 1),
    _xlfn.TEXTJOIN("", TRUE, IF(ISNUMBER(--_xlpm.chars), _xlpm.chars, ""))
)</f>
        <v>#VALUE!</v>
      </c>
      <c r="N14" s="16" t="str" cm="1">
        <f t="array" ref="N14">_xlfn.IFS(
   --MacReports!M14&lt;55,"Battery Defect",
  -- MacReports!M14&lt;=69,"Battery D",
  --MacReports!M14&lt;=80,"Battery C",
 --MacReports!M14&gt;80,""
)</f>
        <v>Battery Defect</v>
      </c>
      <c r="O14" s="16" t="str">
        <f>IF(MacReports!I14="Service","Battery Service","")</f>
        <v/>
      </c>
      <c r="P14" s="13">
        <f>MacReports!P14</f>
        <v>0</v>
      </c>
      <c r="Q14" s="13" t="str">
        <f>IF(MacReports!J14="Enabled","Apple ID Lock","")</f>
        <v/>
      </c>
      <c r="R14" s="13" t="str">
        <f>IF(MacReports!L14="y","Remote Locked","")</f>
        <v/>
      </c>
      <c r="S14" t="str">
        <f t="shared" si="2"/>
        <v>Battery Defect, 0</v>
      </c>
      <c r="T14" t="str">
        <f>_xlfn.XLOOKUP(B14,Disk_Pivot!G:G,Disk_Pivot!I:I)</f>
        <v>No</v>
      </c>
      <c r="U14" t="str">
        <f>_xlfn.XLOOKUP(B14,Disk_Pivot!G:G,Disk_Pivot!N:N)</f>
        <v/>
      </c>
      <c r="V14" t="str">
        <f>IF(U14="Fail",MacReports!N14,"")</f>
        <v/>
      </c>
      <c r="AB14" t="str">
        <f t="shared" si="1"/>
        <v/>
      </c>
    </row>
    <row r="15" spans="1:28">
      <c r="A15" t="str">
        <f>MacReports!A15</f>
        <v/>
      </c>
      <c r="B15">
        <f>MacReports!B15</f>
        <v>0</v>
      </c>
      <c r="C15">
        <f>MacReports!C15</f>
        <v>0</v>
      </c>
      <c r="E15" t="e">
        <f>_xlfn.XLOOKUP(G15,Models!A:A,Models!F:F)</f>
        <v>#N/A</v>
      </c>
      <c r="F15" t="str">
        <f>_xlfn.XLOOKUP(B15,MacReports!B:B,MacReports!D:D,"")</f>
        <v/>
      </c>
      <c r="G15" s="13">
        <f>MacReports!E15</f>
        <v>0</v>
      </c>
      <c r="H15" t="e">
        <f>_xlfn.XLOOKUP(G15,Models!A:A,Models!B:B)</f>
        <v>#N/A</v>
      </c>
      <c r="I15" t="e">
        <f>_xlfn.XLOOKUP(G15,Models!A:A,Models!E:E)</f>
        <v>#N/A</v>
      </c>
      <c r="J15" t="e">
        <f>_xlfn.XLOOKUP(G15,Models!A:A,Models!D:D)</f>
        <v>#N/A</v>
      </c>
      <c r="K15">
        <f>MacReports!F15</f>
        <v>0</v>
      </c>
      <c r="L15">
        <f>MacReports!G15</f>
        <v>0</v>
      </c>
      <c r="M15" s="15" t="e" cm="1">
        <f t="array" ref="M15">--_xlfn.LET(
    _xlpm.txt, MacReports!H15,
    _xlpm.chars, MID(_xlpm.txt, _xlfn.SEQUENCE(LEN(_xlpm.txt)), 1),
    _xlfn.TEXTJOIN("", TRUE, IF(ISNUMBER(--_xlpm.chars), _xlpm.chars, ""))
)</f>
        <v>#VALUE!</v>
      </c>
      <c r="N15" s="16" t="str" cm="1">
        <f t="array" ref="N15">_xlfn.IFS(
   --MacReports!M15&lt;55,"Battery Defect",
  -- MacReports!M15&lt;=69,"Battery D",
  --MacReports!M15&lt;=80,"Battery C",
 --MacReports!M15&gt;80,""
)</f>
        <v>Battery Defect</v>
      </c>
      <c r="O15" s="16" t="str">
        <f>IF(MacReports!I15="Service","Battery Service","")</f>
        <v/>
      </c>
      <c r="P15" s="13">
        <f>MacReports!P15</f>
        <v>0</v>
      </c>
      <c r="Q15" s="13" t="str">
        <f>IF(MacReports!J15="Enabled","Apple ID Lock","")</f>
        <v/>
      </c>
      <c r="R15" s="13" t="str">
        <f>IF(MacReports!L15="y","Remote Locked","")</f>
        <v/>
      </c>
      <c r="S15" t="str">
        <f t="shared" si="2"/>
        <v>Battery Defect, 0</v>
      </c>
      <c r="T15" t="str">
        <f>_xlfn.XLOOKUP(B15,Disk_Pivot!G:G,Disk_Pivot!I:I)</f>
        <v>No</v>
      </c>
      <c r="U15" t="str">
        <f>_xlfn.XLOOKUP(B15,Disk_Pivot!G:G,Disk_Pivot!N:N)</f>
        <v/>
      </c>
      <c r="V15" t="str">
        <f>IF(U15="Fail",MacReports!N15,"")</f>
        <v/>
      </c>
      <c r="AB15" t="str">
        <f t="shared" si="1"/>
        <v/>
      </c>
    </row>
    <row r="16" spans="1:28">
      <c r="A16" t="str">
        <f>MacReports!A16</f>
        <v/>
      </c>
      <c r="B16">
        <f>MacReports!B16</f>
        <v>0</v>
      </c>
      <c r="C16">
        <f>MacReports!C16</f>
        <v>0</v>
      </c>
      <c r="E16" t="e">
        <f>_xlfn.XLOOKUP(G16,Models!A:A,Models!F:F)</f>
        <v>#N/A</v>
      </c>
      <c r="F16" t="str">
        <f>_xlfn.XLOOKUP(B16,MacReports!B:B,MacReports!D:D,"")</f>
        <v/>
      </c>
      <c r="G16" s="13">
        <f>MacReports!E16</f>
        <v>0</v>
      </c>
      <c r="H16" t="e">
        <f>_xlfn.XLOOKUP(G16,Models!A:A,Models!B:B)</f>
        <v>#N/A</v>
      </c>
      <c r="I16" t="e">
        <f>_xlfn.XLOOKUP(G16,Models!A:A,Models!E:E)</f>
        <v>#N/A</v>
      </c>
      <c r="J16" t="e">
        <f>_xlfn.XLOOKUP(G16,Models!A:A,Models!D:D)</f>
        <v>#N/A</v>
      </c>
      <c r="K16">
        <f>MacReports!F16</f>
        <v>0</v>
      </c>
      <c r="L16">
        <f>MacReports!G16</f>
        <v>0</v>
      </c>
      <c r="M16" s="15" t="e" cm="1">
        <f t="array" ref="M16">--_xlfn.LET(
    _xlpm.txt, MacReports!H16,
    _xlpm.chars, MID(_xlpm.txt, _xlfn.SEQUENCE(LEN(_xlpm.txt)), 1),
    _xlfn.TEXTJOIN("", TRUE, IF(ISNUMBER(--_xlpm.chars), _xlpm.chars, ""))
)</f>
        <v>#VALUE!</v>
      </c>
      <c r="N16" s="16" t="str" cm="1">
        <f t="array" ref="N16">_xlfn.IFS(
   --MacReports!M16&lt;55,"Battery Defect",
  -- MacReports!M16&lt;=69,"Battery D",
  --MacReports!M16&lt;=80,"Battery C",
 --MacReports!M16&gt;80,""
)</f>
        <v>Battery Defect</v>
      </c>
      <c r="O16" s="16" t="str">
        <f>IF(MacReports!I16="Service","Battery Service","")</f>
        <v/>
      </c>
      <c r="P16" s="13">
        <f>MacReports!P16</f>
        <v>0</v>
      </c>
      <c r="Q16" s="13" t="str">
        <f>IF(MacReports!J16="Enabled","Apple ID Lock","")</f>
        <v/>
      </c>
      <c r="R16" s="13" t="str">
        <f>IF(MacReports!L16="y","Remote Locked","")</f>
        <v/>
      </c>
      <c r="S16" t="str">
        <f t="shared" si="2"/>
        <v>Battery Defect, 0</v>
      </c>
      <c r="T16" t="str">
        <f>_xlfn.XLOOKUP(B16,Disk_Pivot!G:G,Disk_Pivot!I:I)</f>
        <v>No</v>
      </c>
      <c r="U16" t="str">
        <f>_xlfn.XLOOKUP(B16,Disk_Pivot!G:G,Disk_Pivot!N:N)</f>
        <v/>
      </c>
      <c r="V16" t="str">
        <f>IF(U16="Fail",MacReports!N16,"")</f>
        <v/>
      </c>
      <c r="AB16" t="str">
        <f t="shared" si="1"/>
        <v/>
      </c>
    </row>
    <row r="17" spans="1:28">
      <c r="A17" t="str">
        <f>MacReports!A17</f>
        <v/>
      </c>
      <c r="B17">
        <f>MacReports!B17</f>
        <v>0</v>
      </c>
      <c r="C17">
        <f>MacReports!C17</f>
        <v>0</v>
      </c>
      <c r="E17" t="e">
        <f>_xlfn.XLOOKUP(G17,Models!A:A,Models!F:F)</f>
        <v>#N/A</v>
      </c>
      <c r="F17" t="str">
        <f>_xlfn.XLOOKUP(B17,MacReports!B:B,MacReports!D:D,"")</f>
        <v/>
      </c>
      <c r="G17" s="13">
        <f>MacReports!E17</f>
        <v>0</v>
      </c>
      <c r="H17" t="e">
        <f>_xlfn.XLOOKUP(G17,Models!A:A,Models!B:B)</f>
        <v>#N/A</v>
      </c>
      <c r="I17" t="e">
        <f>_xlfn.XLOOKUP(G17,Models!A:A,Models!E:E)</f>
        <v>#N/A</v>
      </c>
      <c r="J17" t="e">
        <f>_xlfn.XLOOKUP(G17,Models!A:A,Models!D:D)</f>
        <v>#N/A</v>
      </c>
      <c r="K17">
        <f>MacReports!F17</f>
        <v>0</v>
      </c>
      <c r="L17">
        <f>MacReports!G17</f>
        <v>0</v>
      </c>
      <c r="M17" s="15" t="e" cm="1">
        <f t="array" ref="M17">--_xlfn.LET(
    _xlpm.txt, MacReports!H17,
    _xlpm.chars, MID(_xlpm.txt, _xlfn.SEQUENCE(LEN(_xlpm.txt)), 1),
    _xlfn.TEXTJOIN("", TRUE, IF(ISNUMBER(--_xlpm.chars), _xlpm.chars, ""))
)</f>
        <v>#VALUE!</v>
      </c>
      <c r="N17" s="16" t="str" cm="1">
        <f t="array" ref="N17">_xlfn.IFS(
   --MacReports!M17&lt;55,"Battery Defect",
  -- MacReports!M17&lt;=69,"Battery D",
  --MacReports!M17&lt;=80,"Battery C",
 --MacReports!M17&gt;80,""
)</f>
        <v>Battery Defect</v>
      </c>
      <c r="O17" s="16" t="str">
        <f>IF(MacReports!I17="Service","Battery Service","")</f>
        <v/>
      </c>
      <c r="P17" s="13">
        <f>MacReports!P17</f>
        <v>0</v>
      </c>
      <c r="Q17" s="13" t="str">
        <f>IF(MacReports!J17="Enabled","Apple ID Lock","")</f>
        <v/>
      </c>
      <c r="R17" s="13" t="str">
        <f>IF(MacReports!L17="y","Remote Locked","")</f>
        <v/>
      </c>
      <c r="S17" t="str">
        <f t="shared" si="2"/>
        <v>Battery Defect, 0</v>
      </c>
      <c r="T17" t="str">
        <f>_xlfn.XLOOKUP(B17,Disk_Pivot!G:G,Disk_Pivot!I:I)</f>
        <v>No</v>
      </c>
      <c r="U17" t="str">
        <f>_xlfn.XLOOKUP(B17,Disk_Pivot!G:G,Disk_Pivot!N:N)</f>
        <v/>
      </c>
      <c r="V17" t="str">
        <f>IF(U17="Fail",MacReports!N17,"")</f>
        <v/>
      </c>
      <c r="AB17" t="str">
        <f t="shared" si="1"/>
        <v/>
      </c>
    </row>
    <row r="18" spans="1:28">
      <c r="A18" t="str">
        <f>MacReports!A18</f>
        <v/>
      </c>
      <c r="B18">
        <f>MacReports!B18</f>
        <v>0</v>
      </c>
      <c r="C18">
        <f>MacReports!C18</f>
        <v>0</v>
      </c>
      <c r="E18" t="e">
        <f>_xlfn.XLOOKUP(G18,Models!A:A,Models!F:F)</f>
        <v>#N/A</v>
      </c>
      <c r="F18" t="str">
        <f>_xlfn.XLOOKUP(B18,MacReports!B:B,MacReports!D:D,"")</f>
        <v/>
      </c>
      <c r="G18" s="13">
        <f>MacReports!E18</f>
        <v>0</v>
      </c>
      <c r="H18" t="e">
        <f>_xlfn.XLOOKUP(G18,Models!A:A,Models!B:B)</f>
        <v>#N/A</v>
      </c>
      <c r="I18" t="e">
        <f>_xlfn.XLOOKUP(G18,Models!A:A,Models!E:E)</f>
        <v>#N/A</v>
      </c>
      <c r="J18" t="e">
        <f>_xlfn.XLOOKUP(G18,Models!A:A,Models!D:D)</f>
        <v>#N/A</v>
      </c>
      <c r="K18">
        <f>MacReports!F18</f>
        <v>0</v>
      </c>
      <c r="L18">
        <f>MacReports!G18</f>
        <v>0</v>
      </c>
      <c r="M18" s="15" t="e" cm="1">
        <f t="array" ref="M18">--_xlfn.LET(
    _xlpm.txt, MacReports!H18,
    _xlpm.chars, MID(_xlpm.txt, _xlfn.SEQUENCE(LEN(_xlpm.txt)), 1),
    _xlfn.TEXTJOIN("", TRUE, IF(ISNUMBER(--_xlpm.chars), _xlpm.chars, ""))
)</f>
        <v>#VALUE!</v>
      </c>
      <c r="N18" s="16" t="str" cm="1">
        <f t="array" ref="N18">_xlfn.IFS(
   --MacReports!M18&lt;55,"Battery Defect",
  -- MacReports!M18&lt;=69,"Battery D",
  --MacReports!M18&lt;=80,"Battery C",
 --MacReports!M18&gt;80,""
)</f>
        <v>Battery Defect</v>
      </c>
      <c r="O18" s="16" t="str">
        <f>IF(MacReports!I18="Service","Battery Service","")</f>
        <v/>
      </c>
      <c r="P18" s="13">
        <f>MacReports!P18</f>
        <v>0</v>
      </c>
      <c r="Q18" s="13" t="str">
        <f>IF(MacReports!J18="Enabled","Apple ID Lock","")</f>
        <v/>
      </c>
      <c r="R18" s="13" t="str">
        <f>IF(MacReports!L18="y","Remote Locked","")</f>
        <v/>
      </c>
      <c r="S18" t="str">
        <f t="shared" si="2"/>
        <v>Battery Defect, 0</v>
      </c>
      <c r="T18" t="str">
        <f>_xlfn.XLOOKUP(B18,Disk_Pivot!G:G,Disk_Pivot!I:I)</f>
        <v>No</v>
      </c>
      <c r="U18" t="str">
        <f>_xlfn.XLOOKUP(B18,Disk_Pivot!G:G,Disk_Pivot!N:N)</f>
        <v/>
      </c>
      <c r="V18" t="str">
        <f>IF(U18="Fail",MacReports!N18,"")</f>
        <v/>
      </c>
      <c r="AB18" t="str">
        <f t="shared" si="1"/>
        <v/>
      </c>
    </row>
    <row r="19" spans="1:28">
      <c r="A19" t="str">
        <f>MacReports!A19</f>
        <v/>
      </c>
      <c r="B19">
        <f>MacReports!B19</f>
        <v>0</v>
      </c>
      <c r="C19">
        <f>MacReports!C19</f>
        <v>0</v>
      </c>
      <c r="E19" t="e">
        <f>_xlfn.XLOOKUP(G19,Models!A:A,Models!F:F)</f>
        <v>#N/A</v>
      </c>
      <c r="F19" t="str">
        <f>_xlfn.XLOOKUP(B19,MacReports!B:B,MacReports!D:D,"")</f>
        <v/>
      </c>
      <c r="G19" s="13">
        <f>MacReports!E19</f>
        <v>0</v>
      </c>
      <c r="H19" t="e">
        <f>_xlfn.XLOOKUP(G19,Models!A:A,Models!B:B)</f>
        <v>#N/A</v>
      </c>
      <c r="I19" t="e">
        <f>_xlfn.XLOOKUP(G19,Models!A:A,Models!E:E)</f>
        <v>#N/A</v>
      </c>
      <c r="J19" t="e">
        <f>_xlfn.XLOOKUP(G19,Models!A:A,Models!D:D)</f>
        <v>#N/A</v>
      </c>
      <c r="K19">
        <f>MacReports!F19</f>
        <v>0</v>
      </c>
      <c r="L19">
        <f>MacReports!G19</f>
        <v>0</v>
      </c>
      <c r="M19" s="15" t="e" cm="1">
        <f t="array" ref="M19">--_xlfn.LET(
    _xlpm.txt, MacReports!H19,
    _xlpm.chars, MID(_xlpm.txt, _xlfn.SEQUENCE(LEN(_xlpm.txt)), 1),
    _xlfn.TEXTJOIN("", TRUE, IF(ISNUMBER(--_xlpm.chars), _xlpm.chars, ""))
)</f>
        <v>#VALUE!</v>
      </c>
      <c r="N19" s="16" t="str" cm="1">
        <f t="array" ref="N19">_xlfn.IFS(
   --MacReports!M19&lt;55,"Battery Defect",
  -- MacReports!M19&lt;=69,"Battery D",
  --MacReports!M19&lt;=80,"Battery C",
 --MacReports!M19&gt;80,""
)</f>
        <v>Battery Defect</v>
      </c>
      <c r="O19" s="16" t="str">
        <f>IF(MacReports!I19="Service","Battery Service","")</f>
        <v/>
      </c>
      <c r="P19" s="13">
        <f>MacReports!P19</f>
        <v>0</v>
      </c>
      <c r="Q19" s="13" t="str">
        <f>IF(MacReports!J19="Enabled","Apple ID Lock","")</f>
        <v/>
      </c>
      <c r="R19" s="13" t="str">
        <f>IF(MacReports!L19="y","Remote Locked","")</f>
        <v/>
      </c>
      <c r="S19" t="str">
        <f t="shared" si="2"/>
        <v>Battery Defect, 0</v>
      </c>
      <c r="T19" t="str">
        <f>_xlfn.XLOOKUP(B19,Disk_Pivot!G:G,Disk_Pivot!I:I)</f>
        <v>No</v>
      </c>
      <c r="U19" t="str">
        <f>_xlfn.XLOOKUP(B19,Disk_Pivot!G:G,Disk_Pivot!N:N)</f>
        <v/>
      </c>
      <c r="V19" t="str">
        <f>IF(U19="Fail",MacReports!N19,"")</f>
        <v/>
      </c>
      <c r="AB19" t="str">
        <f t="shared" si="1"/>
        <v/>
      </c>
    </row>
    <row r="20" spans="1:28">
      <c r="A20" t="str">
        <f>MacReports!A20</f>
        <v/>
      </c>
      <c r="B20">
        <f>MacReports!B20</f>
        <v>0</v>
      </c>
      <c r="C20">
        <f>MacReports!C20</f>
        <v>0</v>
      </c>
      <c r="E20" t="e">
        <f>_xlfn.XLOOKUP(G20,Models!A:A,Models!F:F)</f>
        <v>#N/A</v>
      </c>
      <c r="F20" t="str">
        <f>_xlfn.XLOOKUP(B20,MacReports!B:B,MacReports!D:D,"")</f>
        <v/>
      </c>
      <c r="G20" s="13">
        <f>MacReports!E20</f>
        <v>0</v>
      </c>
      <c r="H20" t="e">
        <f>_xlfn.XLOOKUP(G20,Models!A:A,Models!B:B)</f>
        <v>#N/A</v>
      </c>
      <c r="I20" t="e">
        <f>_xlfn.XLOOKUP(G20,Models!A:A,Models!E:E)</f>
        <v>#N/A</v>
      </c>
      <c r="J20" t="e">
        <f>_xlfn.XLOOKUP(G20,Models!A:A,Models!D:D)</f>
        <v>#N/A</v>
      </c>
      <c r="K20">
        <f>MacReports!F20</f>
        <v>0</v>
      </c>
      <c r="L20">
        <f>MacReports!G20</f>
        <v>0</v>
      </c>
      <c r="M20" s="15" t="e" cm="1">
        <f t="array" ref="M20">--_xlfn.LET(
    _xlpm.txt, MacReports!H20,
    _xlpm.chars, MID(_xlpm.txt, _xlfn.SEQUENCE(LEN(_xlpm.txt)), 1),
    _xlfn.TEXTJOIN("", TRUE, IF(ISNUMBER(--_xlpm.chars), _xlpm.chars, ""))
)</f>
        <v>#VALUE!</v>
      </c>
      <c r="N20" s="16" t="str" cm="1">
        <f t="array" ref="N20">_xlfn.IFS(
   --MacReports!M20&lt;55,"Battery Defect",
  -- MacReports!M20&lt;=69,"Battery D",
  --MacReports!M20&lt;=80,"Battery C",
 --MacReports!M20&gt;80,""
)</f>
        <v>Battery Defect</v>
      </c>
      <c r="O20" s="16" t="str">
        <f>IF(MacReports!I20="Service","Battery Service","")</f>
        <v/>
      </c>
      <c r="P20" s="13">
        <f>MacReports!P20</f>
        <v>0</v>
      </c>
      <c r="Q20" s="13" t="str">
        <f>IF(MacReports!J20="Enabled","Apple ID Lock","")</f>
        <v/>
      </c>
      <c r="R20" s="13" t="str">
        <f>IF(MacReports!L20="y","Remote Locked","")</f>
        <v/>
      </c>
      <c r="S20" t="str">
        <f t="shared" si="2"/>
        <v>Battery Defect, 0</v>
      </c>
      <c r="T20" t="str">
        <f>_xlfn.XLOOKUP(B20,Disk_Pivot!G:G,Disk_Pivot!I:I)</f>
        <v>No</v>
      </c>
      <c r="U20" t="str">
        <f>_xlfn.XLOOKUP(B20,Disk_Pivot!G:G,Disk_Pivot!N:N)</f>
        <v/>
      </c>
      <c r="V20" t="str">
        <f>IF(U20="Fail",MacReports!N20,"")</f>
        <v/>
      </c>
      <c r="AB20" t="str">
        <f t="shared" si="1"/>
        <v/>
      </c>
    </row>
    <row r="21" spans="1:28">
      <c r="A21" t="str">
        <f>MacReports!A21</f>
        <v/>
      </c>
      <c r="B21">
        <f>MacReports!B21</f>
        <v>0</v>
      </c>
      <c r="C21">
        <f>MacReports!C21</f>
        <v>0</v>
      </c>
      <c r="E21" t="e">
        <f>_xlfn.XLOOKUP(G21,Models!A:A,Models!F:F)</f>
        <v>#N/A</v>
      </c>
      <c r="F21" t="str">
        <f>_xlfn.XLOOKUP(B21,MacReports!B:B,MacReports!D:D,"")</f>
        <v/>
      </c>
      <c r="G21" s="13">
        <f>MacReports!E21</f>
        <v>0</v>
      </c>
      <c r="H21" t="e">
        <f>_xlfn.XLOOKUP(G21,Models!A:A,Models!B:B)</f>
        <v>#N/A</v>
      </c>
      <c r="I21" t="e">
        <f>_xlfn.XLOOKUP(G21,Models!A:A,Models!E:E)</f>
        <v>#N/A</v>
      </c>
      <c r="J21" t="e">
        <f>_xlfn.XLOOKUP(G21,Models!A:A,Models!D:D)</f>
        <v>#N/A</v>
      </c>
      <c r="K21">
        <f>MacReports!F21</f>
        <v>0</v>
      </c>
      <c r="L21">
        <f>MacReports!G21</f>
        <v>0</v>
      </c>
      <c r="M21" s="15" t="e" cm="1">
        <f t="array" ref="M21">--_xlfn.LET(
    _xlpm.txt, MacReports!H21,
    _xlpm.chars, MID(_xlpm.txt, _xlfn.SEQUENCE(LEN(_xlpm.txt)), 1),
    _xlfn.TEXTJOIN("", TRUE, IF(ISNUMBER(--_xlpm.chars), _xlpm.chars, ""))
)</f>
        <v>#VALUE!</v>
      </c>
      <c r="N21" s="16" t="str" cm="1">
        <f t="array" ref="N21">_xlfn.IFS(
   --MacReports!M21&lt;55,"Battery Defect",
  -- MacReports!M21&lt;=69,"Battery D",
  --MacReports!M21&lt;=80,"Battery C",
 --MacReports!M21&gt;80,""
)</f>
        <v>Battery Defect</v>
      </c>
      <c r="O21" s="16" t="str">
        <f>IF(MacReports!I21="Service","Battery Service","")</f>
        <v/>
      </c>
      <c r="P21" s="13">
        <f>MacReports!P21</f>
        <v>0</v>
      </c>
      <c r="Q21" s="13" t="str">
        <f>IF(MacReports!J21="Enabled","Apple ID Lock","")</f>
        <v/>
      </c>
      <c r="R21" s="13" t="str">
        <f>IF(MacReports!L21="y","Remote Locked","")</f>
        <v/>
      </c>
      <c r="S21" t="str">
        <f t="shared" si="2"/>
        <v>Battery Defect, 0</v>
      </c>
      <c r="T21" t="str">
        <f>_xlfn.XLOOKUP(B21,Disk_Pivot!G:G,Disk_Pivot!I:I)</f>
        <v>No</v>
      </c>
      <c r="U21" t="str">
        <f>_xlfn.XLOOKUP(B21,Disk_Pivot!G:G,Disk_Pivot!N:N)</f>
        <v/>
      </c>
      <c r="V21" t="str">
        <f>IF(U21="Fail",MacReports!N21,"")</f>
        <v/>
      </c>
      <c r="AB21" t="str">
        <f t="shared" si="1"/>
        <v/>
      </c>
    </row>
    <row r="22" spans="1:28">
      <c r="A22" t="str">
        <f>MacReports!A22</f>
        <v/>
      </c>
      <c r="B22">
        <f>MacReports!B22</f>
        <v>0</v>
      </c>
      <c r="C22">
        <f>MacReports!C22</f>
        <v>0</v>
      </c>
      <c r="E22" t="e">
        <f>_xlfn.XLOOKUP(G22,Models!A:A,Models!F:F)</f>
        <v>#N/A</v>
      </c>
      <c r="F22" t="str">
        <f>_xlfn.XLOOKUP(B22,MacReports!B:B,MacReports!D:D,"")</f>
        <v/>
      </c>
      <c r="G22" s="13">
        <f>MacReports!E22</f>
        <v>0</v>
      </c>
      <c r="H22" t="e">
        <f>_xlfn.XLOOKUP(G22,Models!A:A,Models!B:B)</f>
        <v>#N/A</v>
      </c>
      <c r="I22" t="e">
        <f>_xlfn.XLOOKUP(G22,Models!A:A,Models!E:E)</f>
        <v>#N/A</v>
      </c>
      <c r="J22" t="e">
        <f>_xlfn.XLOOKUP(G22,Models!A:A,Models!D:D)</f>
        <v>#N/A</v>
      </c>
      <c r="K22">
        <f>MacReports!F22</f>
        <v>0</v>
      </c>
      <c r="L22">
        <f>MacReports!G22</f>
        <v>0</v>
      </c>
      <c r="M22" s="15" t="e" cm="1">
        <f t="array" ref="M22">--_xlfn.LET(
    _xlpm.txt, MacReports!H22,
    _xlpm.chars, MID(_xlpm.txt, _xlfn.SEQUENCE(LEN(_xlpm.txt)), 1),
    _xlfn.TEXTJOIN("", TRUE, IF(ISNUMBER(--_xlpm.chars), _xlpm.chars, ""))
)</f>
        <v>#VALUE!</v>
      </c>
      <c r="N22" s="16" t="str" cm="1">
        <f t="array" ref="N22">_xlfn.IFS(
   --MacReports!M22&lt;55,"Battery Defect",
  -- MacReports!M22&lt;=69,"Battery D",
  --MacReports!M22&lt;=80,"Battery C",
 --MacReports!M22&gt;80,""
)</f>
        <v>Battery Defect</v>
      </c>
      <c r="O22" s="16" t="str">
        <f>IF(MacReports!I22="Service","Battery Service","")</f>
        <v/>
      </c>
      <c r="P22" s="13">
        <f>MacReports!P22</f>
        <v>0</v>
      </c>
      <c r="Q22" s="13" t="str">
        <f>IF(MacReports!J22="Enabled","Apple ID Lock","")</f>
        <v/>
      </c>
      <c r="R22" s="13" t="str">
        <f>IF(MacReports!L22="y","Remote Locked","")</f>
        <v/>
      </c>
      <c r="S22" t="str">
        <f t="shared" si="2"/>
        <v>Battery Defect, 0</v>
      </c>
      <c r="T22" t="str">
        <f>_xlfn.XLOOKUP(B22,Disk_Pivot!G:G,Disk_Pivot!I:I)</f>
        <v>No</v>
      </c>
      <c r="U22" t="str">
        <f>_xlfn.XLOOKUP(B22,Disk_Pivot!G:G,Disk_Pivot!N:N)</f>
        <v/>
      </c>
      <c r="V22" t="str">
        <f>IF(U22="Fail",MacReports!N22,"")</f>
        <v/>
      </c>
      <c r="AB22" t="str">
        <f t="shared" si="1"/>
        <v/>
      </c>
    </row>
    <row r="23" spans="1:28">
      <c r="A23" t="str">
        <f>MacReports!A23</f>
        <v/>
      </c>
      <c r="B23">
        <f>MacReports!B23</f>
        <v>0</v>
      </c>
      <c r="C23">
        <f>MacReports!C23</f>
        <v>0</v>
      </c>
      <c r="E23" t="e">
        <f>_xlfn.XLOOKUP(G23,Models!A:A,Models!F:F)</f>
        <v>#N/A</v>
      </c>
      <c r="F23" t="str">
        <f>_xlfn.XLOOKUP(B23,MacReports!B:B,MacReports!D:D,"")</f>
        <v/>
      </c>
      <c r="G23" s="13">
        <f>MacReports!E23</f>
        <v>0</v>
      </c>
      <c r="H23" t="e">
        <f>_xlfn.XLOOKUP(G23,Models!A:A,Models!B:B)</f>
        <v>#N/A</v>
      </c>
      <c r="I23" t="e">
        <f>_xlfn.XLOOKUP(G23,Models!A:A,Models!E:E)</f>
        <v>#N/A</v>
      </c>
      <c r="J23" t="e">
        <f>_xlfn.XLOOKUP(G23,Models!A:A,Models!D:D)</f>
        <v>#N/A</v>
      </c>
      <c r="K23">
        <f>MacReports!F23</f>
        <v>0</v>
      </c>
      <c r="L23">
        <f>MacReports!G23</f>
        <v>0</v>
      </c>
      <c r="M23" s="15" t="e" cm="1">
        <f t="array" ref="M23">--_xlfn.LET(
    _xlpm.txt, MacReports!H23,
    _xlpm.chars, MID(_xlpm.txt, _xlfn.SEQUENCE(LEN(_xlpm.txt)), 1),
    _xlfn.TEXTJOIN("", TRUE, IF(ISNUMBER(--_xlpm.chars), _xlpm.chars, ""))
)</f>
        <v>#VALUE!</v>
      </c>
      <c r="N23" s="16" t="str" cm="1">
        <f t="array" ref="N23">_xlfn.IFS(
   --MacReports!M23&lt;55,"Battery Defect",
  -- MacReports!M23&lt;=69,"Battery D",
  --MacReports!M23&lt;=80,"Battery C",
 --MacReports!M23&gt;80,""
)</f>
        <v>Battery Defect</v>
      </c>
      <c r="O23" s="16" t="str">
        <f>IF(MacReports!I23="Service","Battery Service","")</f>
        <v/>
      </c>
      <c r="P23" s="13">
        <f>MacReports!P23</f>
        <v>0</v>
      </c>
      <c r="Q23" s="13" t="str">
        <f>IF(MacReports!J23="Enabled","Apple ID Lock","")</f>
        <v/>
      </c>
      <c r="R23" s="13" t="str">
        <f>IF(MacReports!L23="y","Remote Locked","")</f>
        <v/>
      </c>
      <c r="S23" t="str">
        <f t="shared" si="2"/>
        <v>Battery Defect, 0</v>
      </c>
      <c r="T23" t="str">
        <f>_xlfn.XLOOKUP(B23,Disk_Pivot!G:G,Disk_Pivot!I:I)</f>
        <v>No</v>
      </c>
      <c r="U23" t="str">
        <f>_xlfn.XLOOKUP(B23,Disk_Pivot!G:G,Disk_Pivot!N:N)</f>
        <v/>
      </c>
      <c r="V23" t="str">
        <f>IF(U23="Fail",MacReports!N23,"")</f>
        <v/>
      </c>
      <c r="AB23" t="str">
        <f t="shared" si="1"/>
        <v/>
      </c>
    </row>
    <row r="24" spans="1:28">
      <c r="A24" t="str">
        <f>MacReports!A24</f>
        <v/>
      </c>
      <c r="B24">
        <f>MacReports!B24</f>
        <v>0</v>
      </c>
      <c r="C24">
        <f>MacReports!C24</f>
        <v>0</v>
      </c>
      <c r="E24" t="e">
        <f>_xlfn.XLOOKUP(G24,Models!A:A,Models!F:F)</f>
        <v>#N/A</v>
      </c>
      <c r="F24" t="str">
        <f>_xlfn.XLOOKUP(B24,MacReports!B:B,MacReports!D:D,"")</f>
        <v/>
      </c>
      <c r="G24" s="13">
        <f>MacReports!E24</f>
        <v>0</v>
      </c>
      <c r="H24" t="e">
        <f>_xlfn.XLOOKUP(G24,Models!A:A,Models!B:B)</f>
        <v>#N/A</v>
      </c>
      <c r="I24" t="e">
        <f>_xlfn.XLOOKUP(G24,Models!A:A,Models!E:E)</f>
        <v>#N/A</v>
      </c>
      <c r="J24" t="e">
        <f>_xlfn.XLOOKUP(G24,Models!A:A,Models!D:D)</f>
        <v>#N/A</v>
      </c>
      <c r="K24">
        <f>MacReports!F24</f>
        <v>0</v>
      </c>
      <c r="L24">
        <f>MacReports!G24</f>
        <v>0</v>
      </c>
      <c r="M24" s="15" t="e" cm="1">
        <f t="array" ref="M24">--_xlfn.LET(
    _xlpm.txt, MacReports!H24,
    _xlpm.chars, MID(_xlpm.txt, _xlfn.SEQUENCE(LEN(_xlpm.txt)), 1),
    _xlfn.TEXTJOIN("", TRUE, IF(ISNUMBER(--_xlpm.chars), _xlpm.chars, ""))
)</f>
        <v>#VALUE!</v>
      </c>
      <c r="N24" s="16" t="str" cm="1">
        <f t="array" ref="N24">_xlfn.IFS(
   --MacReports!M24&lt;55,"Battery Defect",
  -- MacReports!M24&lt;=69,"Battery D",
  --MacReports!M24&lt;=80,"Battery C",
 --MacReports!M24&gt;80,""
)</f>
        <v>Battery Defect</v>
      </c>
      <c r="O24" s="16" t="str">
        <f>IF(MacReports!I24="Service","Battery Service","")</f>
        <v/>
      </c>
      <c r="P24" s="13">
        <f>MacReports!P24</f>
        <v>0</v>
      </c>
      <c r="Q24" s="13" t="str">
        <f>IF(MacReports!J24="Enabled","Apple ID Lock","")</f>
        <v/>
      </c>
      <c r="R24" s="13" t="str">
        <f>IF(MacReports!L24="y","Remote Locked","")</f>
        <v/>
      </c>
      <c r="S24" t="str">
        <f t="shared" si="2"/>
        <v>Battery Defect, 0</v>
      </c>
      <c r="T24" t="str">
        <f>_xlfn.XLOOKUP(B24,Disk_Pivot!G:G,Disk_Pivot!I:I)</f>
        <v>No</v>
      </c>
      <c r="U24" t="str">
        <f>_xlfn.XLOOKUP(B24,Disk_Pivot!G:G,Disk_Pivot!N:N)</f>
        <v/>
      </c>
      <c r="V24" t="str">
        <f>IF(U24="Fail",MacReports!N24,"")</f>
        <v/>
      </c>
      <c r="AB24" t="str">
        <f t="shared" si="1"/>
        <v/>
      </c>
    </row>
    <row r="25" spans="1:28">
      <c r="A25" t="str">
        <f>MacReports!A25</f>
        <v/>
      </c>
      <c r="B25">
        <f>MacReports!B25</f>
        <v>0</v>
      </c>
      <c r="C25">
        <f>MacReports!C25</f>
        <v>0</v>
      </c>
      <c r="E25" t="e">
        <f>_xlfn.XLOOKUP(G25,Models!A:A,Models!F:F)</f>
        <v>#N/A</v>
      </c>
      <c r="F25" t="str">
        <f>_xlfn.XLOOKUP(B25,MacReports!B:B,MacReports!D:D,"")</f>
        <v/>
      </c>
      <c r="G25" s="13">
        <f>MacReports!E25</f>
        <v>0</v>
      </c>
      <c r="H25" t="e">
        <f>_xlfn.XLOOKUP(G25,Models!A:A,Models!B:B)</f>
        <v>#N/A</v>
      </c>
      <c r="I25" t="e">
        <f>_xlfn.XLOOKUP(G25,Models!A:A,Models!E:E)</f>
        <v>#N/A</v>
      </c>
      <c r="J25" t="e">
        <f>_xlfn.XLOOKUP(G25,Models!A:A,Models!D:D)</f>
        <v>#N/A</v>
      </c>
      <c r="K25">
        <f>MacReports!F25</f>
        <v>0</v>
      </c>
      <c r="L25">
        <f>MacReports!G25</f>
        <v>0</v>
      </c>
      <c r="M25" s="15" t="e" cm="1">
        <f t="array" ref="M25">--_xlfn.LET(
    _xlpm.txt, MacReports!H25,
    _xlpm.chars, MID(_xlpm.txt, _xlfn.SEQUENCE(LEN(_xlpm.txt)), 1),
    _xlfn.TEXTJOIN("", TRUE, IF(ISNUMBER(--_xlpm.chars), _xlpm.chars, ""))
)</f>
        <v>#VALUE!</v>
      </c>
      <c r="N25" s="16" t="str" cm="1">
        <f t="array" ref="N25">_xlfn.IFS(
   --MacReports!M25&lt;55,"Battery Defect",
  -- MacReports!M25&lt;=69,"Battery D",
  --MacReports!M25&lt;=80,"Battery C",
 --MacReports!M25&gt;80,""
)</f>
        <v>Battery Defect</v>
      </c>
      <c r="O25" s="16" t="str">
        <f>IF(MacReports!I25="Service","Battery Service","")</f>
        <v/>
      </c>
      <c r="P25" s="13">
        <f>MacReports!P25</f>
        <v>0</v>
      </c>
      <c r="Q25" s="13" t="str">
        <f>IF(MacReports!J25="Enabled","Apple ID Lock","")</f>
        <v/>
      </c>
      <c r="R25" s="13" t="str">
        <f>IF(MacReports!L25="y","Remote Locked","")</f>
        <v/>
      </c>
      <c r="S25" t="str">
        <f t="shared" si="2"/>
        <v>Battery Defect, 0</v>
      </c>
      <c r="T25" t="str">
        <f>_xlfn.XLOOKUP(B25,Disk_Pivot!G:G,Disk_Pivot!I:I)</f>
        <v>No</v>
      </c>
      <c r="U25" t="str">
        <f>_xlfn.XLOOKUP(B25,Disk_Pivot!G:G,Disk_Pivot!N:N)</f>
        <v/>
      </c>
      <c r="V25" t="str">
        <f>IF(U25="Fail",MacReports!N25,"")</f>
        <v/>
      </c>
      <c r="AB25" t="str">
        <f t="shared" si="1"/>
        <v/>
      </c>
    </row>
    <row r="26" spans="1:28">
      <c r="A26" t="str">
        <f>MacReports!A26</f>
        <v/>
      </c>
      <c r="B26">
        <f>MacReports!B26</f>
        <v>0</v>
      </c>
      <c r="C26">
        <f>MacReports!C26</f>
        <v>0</v>
      </c>
      <c r="E26" t="e">
        <f>_xlfn.XLOOKUP(G26,Models!A:A,Models!F:F)</f>
        <v>#N/A</v>
      </c>
      <c r="F26" t="str">
        <f>_xlfn.XLOOKUP(B26,MacReports!B:B,MacReports!D:D,"")</f>
        <v/>
      </c>
      <c r="G26" s="13">
        <f>MacReports!E26</f>
        <v>0</v>
      </c>
      <c r="H26" t="e">
        <f>_xlfn.XLOOKUP(G26,Models!A:A,Models!B:B)</f>
        <v>#N/A</v>
      </c>
      <c r="I26" t="e">
        <f>_xlfn.XLOOKUP(G26,Models!A:A,Models!E:E)</f>
        <v>#N/A</v>
      </c>
      <c r="J26" t="e">
        <f>_xlfn.XLOOKUP(G26,Models!A:A,Models!D:D)</f>
        <v>#N/A</v>
      </c>
      <c r="K26">
        <f>MacReports!F26</f>
        <v>0</v>
      </c>
      <c r="L26">
        <f>MacReports!G26</f>
        <v>0</v>
      </c>
      <c r="M26" s="15" t="e" cm="1">
        <f t="array" ref="M26">--_xlfn.LET(
    _xlpm.txt, MacReports!H26,
    _xlpm.chars, MID(_xlpm.txt, _xlfn.SEQUENCE(LEN(_xlpm.txt)), 1),
    _xlfn.TEXTJOIN("", TRUE, IF(ISNUMBER(--_xlpm.chars), _xlpm.chars, ""))
)</f>
        <v>#VALUE!</v>
      </c>
      <c r="N26" s="16" t="str" cm="1">
        <f t="array" ref="N26">_xlfn.IFS(
   --MacReports!M26&lt;55,"Battery Defect",
  -- MacReports!M26&lt;=69,"Battery D",
  --MacReports!M26&lt;=80,"Battery C",
 --MacReports!M26&gt;80,""
)</f>
        <v>Battery Defect</v>
      </c>
      <c r="O26" s="16" t="str">
        <f>IF(MacReports!I26="Service","Battery Service","")</f>
        <v/>
      </c>
      <c r="P26" s="13">
        <f>MacReports!P26</f>
        <v>0</v>
      </c>
      <c r="Q26" s="13" t="str">
        <f>IF(MacReports!J26="Enabled","Apple ID Lock","")</f>
        <v/>
      </c>
      <c r="R26" s="13" t="str">
        <f>IF(MacReports!L26="y","Remote Locked","")</f>
        <v/>
      </c>
      <c r="S26" t="str">
        <f t="shared" si="2"/>
        <v>Battery Defect, 0</v>
      </c>
      <c r="T26" t="str">
        <f>_xlfn.XLOOKUP(B26,Disk_Pivot!G:G,Disk_Pivot!I:I)</f>
        <v>No</v>
      </c>
      <c r="U26" t="str">
        <f>_xlfn.XLOOKUP(B26,Disk_Pivot!G:G,Disk_Pivot!N:N)</f>
        <v/>
      </c>
      <c r="V26" t="str">
        <f>IF(U26="Fail",MacReports!N26,"")</f>
        <v/>
      </c>
      <c r="AB26" t="str">
        <f t="shared" si="1"/>
        <v/>
      </c>
    </row>
    <row r="27" spans="1:28">
      <c r="A27" t="str">
        <f>MacReports!A27</f>
        <v/>
      </c>
      <c r="B27">
        <f>MacReports!B27</f>
        <v>0</v>
      </c>
      <c r="C27">
        <f>MacReports!C27</f>
        <v>0</v>
      </c>
      <c r="E27" t="e">
        <f>_xlfn.XLOOKUP(G27,Models!A:A,Models!F:F)</f>
        <v>#N/A</v>
      </c>
      <c r="F27" t="str">
        <f>_xlfn.XLOOKUP(B27,MacReports!B:B,MacReports!D:D,"")</f>
        <v/>
      </c>
      <c r="G27" s="13">
        <f>MacReports!E27</f>
        <v>0</v>
      </c>
      <c r="H27" t="e">
        <f>_xlfn.XLOOKUP(G27,Models!A:A,Models!B:B)</f>
        <v>#N/A</v>
      </c>
      <c r="I27" t="e">
        <f>_xlfn.XLOOKUP(G27,Models!A:A,Models!E:E)</f>
        <v>#N/A</v>
      </c>
      <c r="J27" t="e">
        <f>_xlfn.XLOOKUP(G27,Models!A:A,Models!D:D)</f>
        <v>#N/A</v>
      </c>
      <c r="K27">
        <f>MacReports!F27</f>
        <v>0</v>
      </c>
      <c r="L27">
        <f>MacReports!G27</f>
        <v>0</v>
      </c>
      <c r="M27" s="15" t="e" cm="1">
        <f t="array" ref="M27">--_xlfn.LET(
    _xlpm.txt, MacReports!H27,
    _xlpm.chars, MID(_xlpm.txt, _xlfn.SEQUENCE(LEN(_xlpm.txt)), 1),
    _xlfn.TEXTJOIN("", TRUE, IF(ISNUMBER(--_xlpm.chars), _xlpm.chars, ""))
)</f>
        <v>#VALUE!</v>
      </c>
      <c r="N27" s="16" t="str" cm="1">
        <f t="array" ref="N27">_xlfn.IFS(
   --MacReports!M27&lt;55,"Battery Defect",
  -- MacReports!M27&lt;=69,"Battery D",
  --MacReports!M27&lt;=80,"Battery C",
 --MacReports!M27&gt;80,""
)</f>
        <v>Battery Defect</v>
      </c>
      <c r="O27" s="16" t="str">
        <f>IF(MacReports!I27="Service","Battery Service","")</f>
        <v/>
      </c>
      <c r="P27" s="13">
        <f>MacReports!P27</f>
        <v>0</v>
      </c>
      <c r="Q27" s="13" t="str">
        <f>IF(MacReports!J27="Enabled","Apple ID Lock","")</f>
        <v/>
      </c>
      <c r="R27" s="13" t="str">
        <f>IF(MacReports!L27="y","Remote Locked","")</f>
        <v/>
      </c>
      <c r="S27" t="str">
        <f t="shared" si="2"/>
        <v>Battery Defect, 0</v>
      </c>
      <c r="T27" t="str">
        <f>_xlfn.XLOOKUP(B27,Disk_Pivot!G:G,Disk_Pivot!I:I)</f>
        <v>No</v>
      </c>
      <c r="U27" t="str">
        <f>_xlfn.XLOOKUP(B27,Disk_Pivot!G:G,Disk_Pivot!N:N)</f>
        <v/>
      </c>
      <c r="V27" t="str">
        <f>IF(U27="Fail",MacReports!N27,"")</f>
        <v/>
      </c>
      <c r="AB27" t="str">
        <f t="shared" si="1"/>
        <v/>
      </c>
    </row>
    <row r="28" spans="1:28">
      <c r="A28" t="str">
        <f>MacReports!A28</f>
        <v/>
      </c>
      <c r="B28">
        <f>MacReports!B28</f>
        <v>0</v>
      </c>
      <c r="C28">
        <f>MacReports!C28</f>
        <v>0</v>
      </c>
      <c r="E28" t="e">
        <f>_xlfn.XLOOKUP(G28,Models!A:A,Models!F:F)</f>
        <v>#N/A</v>
      </c>
      <c r="F28" t="str">
        <f>_xlfn.XLOOKUP(B28,MacReports!B:B,MacReports!D:D,"")</f>
        <v/>
      </c>
      <c r="G28" s="13">
        <f>MacReports!E28</f>
        <v>0</v>
      </c>
      <c r="H28" t="e">
        <f>_xlfn.XLOOKUP(G28,Models!A:A,Models!B:B)</f>
        <v>#N/A</v>
      </c>
      <c r="I28" t="e">
        <f>_xlfn.XLOOKUP(G28,Models!A:A,Models!E:E)</f>
        <v>#N/A</v>
      </c>
      <c r="J28" t="e">
        <f>_xlfn.XLOOKUP(G28,Models!A:A,Models!D:D)</f>
        <v>#N/A</v>
      </c>
      <c r="K28">
        <f>MacReports!F28</f>
        <v>0</v>
      </c>
      <c r="L28">
        <f>MacReports!G28</f>
        <v>0</v>
      </c>
      <c r="M28" s="15" t="e" cm="1">
        <f t="array" ref="M28">--_xlfn.LET(
    _xlpm.txt, MacReports!H28,
    _xlpm.chars, MID(_xlpm.txt, _xlfn.SEQUENCE(LEN(_xlpm.txt)), 1),
    _xlfn.TEXTJOIN("", TRUE, IF(ISNUMBER(--_xlpm.chars), _xlpm.chars, ""))
)</f>
        <v>#VALUE!</v>
      </c>
      <c r="N28" s="16" t="str" cm="1">
        <f t="array" ref="N28">_xlfn.IFS(
   --MacReports!M28&lt;55,"Battery Defect",
  -- MacReports!M28&lt;=69,"Battery D",
  --MacReports!M28&lt;=80,"Battery C",
 --MacReports!M28&gt;80,""
)</f>
        <v>Battery Defect</v>
      </c>
      <c r="O28" s="16" t="str">
        <f>IF(MacReports!I28="Service","Battery Service","")</f>
        <v/>
      </c>
      <c r="P28" s="13">
        <f>MacReports!P28</f>
        <v>0</v>
      </c>
      <c r="Q28" s="13" t="str">
        <f>IF(MacReports!J28="Enabled","Apple ID Lock","")</f>
        <v/>
      </c>
      <c r="R28" s="13" t="str">
        <f>IF(MacReports!L28="y","Remote Locked","")</f>
        <v/>
      </c>
      <c r="S28" t="str">
        <f t="shared" si="2"/>
        <v>Battery Defect, 0</v>
      </c>
      <c r="T28" t="str">
        <f>_xlfn.XLOOKUP(B28,Disk_Pivot!G:G,Disk_Pivot!I:I)</f>
        <v>No</v>
      </c>
      <c r="U28" t="str">
        <f>_xlfn.XLOOKUP(B28,Disk_Pivot!G:G,Disk_Pivot!N:N)</f>
        <v/>
      </c>
      <c r="V28" t="str">
        <f>IF(U28="Fail",MacReports!N28,"")</f>
        <v/>
      </c>
      <c r="AB28" t="str">
        <f t="shared" si="1"/>
        <v/>
      </c>
    </row>
    <row r="29" spans="1:28">
      <c r="A29" t="str">
        <f>MacReports!A29</f>
        <v/>
      </c>
      <c r="B29">
        <f>MacReports!B29</f>
        <v>0</v>
      </c>
      <c r="C29">
        <f>MacReports!C29</f>
        <v>0</v>
      </c>
      <c r="E29" t="e">
        <f>_xlfn.XLOOKUP(G29,Models!A:A,Models!F:F)</f>
        <v>#N/A</v>
      </c>
      <c r="F29" t="str">
        <f>_xlfn.XLOOKUP(B29,MacReports!B:B,MacReports!D:D,"")</f>
        <v/>
      </c>
      <c r="G29" s="13">
        <f>MacReports!E29</f>
        <v>0</v>
      </c>
      <c r="H29" t="e">
        <f>_xlfn.XLOOKUP(G29,Models!A:A,Models!B:B)</f>
        <v>#N/A</v>
      </c>
      <c r="I29" t="e">
        <f>_xlfn.XLOOKUP(G29,Models!A:A,Models!E:E)</f>
        <v>#N/A</v>
      </c>
      <c r="J29" t="e">
        <f>_xlfn.XLOOKUP(G29,Models!A:A,Models!D:D)</f>
        <v>#N/A</v>
      </c>
      <c r="K29">
        <f>MacReports!F29</f>
        <v>0</v>
      </c>
      <c r="L29">
        <f>MacReports!G29</f>
        <v>0</v>
      </c>
      <c r="M29" s="15" t="e" cm="1">
        <f t="array" ref="M29">--_xlfn.LET(
    _xlpm.txt, MacReports!H29,
    _xlpm.chars, MID(_xlpm.txt, _xlfn.SEQUENCE(LEN(_xlpm.txt)), 1),
    _xlfn.TEXTJOIN("", TRUE, IF(ISNUMBER(--_xlpm.chars), _xlpm.chars, ""))
)</f>
        <v>#VALUE!</v>
      </c>
      <c r="N29" s="16" t="str" cm="1">
        <f t="array" ref="N29">_xlfn.IFS(
   --MacReports!M29&lt;55,"Battery Defect",
  -- MacReports!M29&lt;=69,"Battery D",
  --MacReports!M29&lt;=80,"Battery C",
 --MacReports!M29&gt;80,""
)</f>
        <v>Battery Defect</v>
      </c>
      <c r="O29" s="16" t="str">
        <f>IF(MacReports!I29="Service","Battery Service","")</f>
        <v/>
      </c>
      <c r="P29" s="13">
        <f>MacReports!P29</f>
        <v>0</v>
      </c>
      <c r="Q29" s="13" t="str">
        <f>IF(MacReports!J29="Enabled","Apple ID Lock","")</f>
        <v/>
      </c>
      <c r="R29" s="13" t="str">
        <f>IF(MacReports!L29="y","Remote Locked","")</f>
        <v/>
      </c>
      <c r="S29" t="str">
        <f t="shared" si="2"/>
        <v>Battery Defect, 0</v>
      </c>
      <c r="T29" t="str">
        <f>_xlfn.XLOOKUP(B29,Disk_Pivot!G:G,Disk_Pivot!I:I)</f>
        <v>No</v>
      </c>
      <c r="U29" t="str">
        <f>_xlfn.XLOOKUP(B29,Disk_Pivot!G:G,Disk_Pivot!N:N)</f>
        <v/>
      </c>
      <c r="V29" t="str">
        <f>IF(U29="Fail",MacReports!N29,"")</f>
        <v/>
      </c>
      <c r="AB29" t="str">
        <f t="shared" si="1"/>
        <v/>
      </c>
    </row>
    <row r="30" spans="1:28">
      <c r="A30" t="str">
        <f>MacReports!A30</f>
        <v/>
      </c>
      <c r="B30">
        <f>MacReports!B30</f>
        <v>0</v>
      </c>
      <c r="C30">
        <f>MacReports!C30</f>
        <v>0</v>
      </c>
      <c r="E30" t="e">
        <f>_xlfn.XLOOKUP(G30,Models!A:A,Models!F:F)</f>
        <v>#N/A</v>
      </c>
      <c r="F30" t="str">
        <f>_xlfn.XLOOKUP(B30,MacReports!B:B,MacReports!D:D,"")</f>
        <v/>
      </c>
      <c r="G30" s="13">
        <f>MacReports!E30</f>
        <v>0</v>
      </c>
      <c r="H30" t="e">
        <f>_xlfn.XLOOKUP(G30,Models!A:A,Models!B:B)</f>
        <v>#N/A</v>
      </c>
      <c r="I30" t="e">
        <f>_xlfn.XLOOKUP(G30,Models!A:A,Models!E:E)</f>
        <v>#N/A</v>
      </c>
      <c r="J30" t="e">
        <f>_xlfn.XLOOKUP(G30,Models!A:A,Models!D:D)</f>
        <v>#N/A</v>
      </c>
      <c r="K30">
        <f>MacReports!F30</f>
        <v>0</v>
      </c>
      <c r="L30">
        <f>MacReports!G30</f>
        <v>0</v>
      </c>
      <c r="M30" s="15" t="e" cm="1">
        <f t="array" ref="M30">--_xlfn.LET(
    _xlpm.txt, MacReports!H30,
    _xlpm.chars, MID(_xlpm.txt, _xlfn.SEQUENCE(LEN(_xlpm.txt)), 1),
    _xlfn.TEXTJOIN("", TRUE, IF(ISNUMBER(--_xlpm.chars), _xlpm.chars, ""))
)</f>
        <v>#VALUE!</v>
      </c>
      <c r="N30" s="16" t="str" cm="1">
        <f t="array" ref="N30">_xlfn.IFS(
   --MacReports!M30&lt;55,"Battery Defect",
  -- MacReports!M30&lt;=69,"Battery D",
  --MacReports!M30&lt;=80,"Battery C",
 --MacReports!M30&gt;80,""
)</f>
        <v>Battery Defect</v>
      </c>
      <c r="O30" s="16" t="str">
        <f>IF(MacReports!I30="Service","Battery Service","")</f>
        <v/>
      </c>
      <c r="P30" s="13">
        <f>MacReports!P30</f>
        <v>0</v>
      </c>
      <c r="Q30" s="13" t="str">
        <f>IF(MacReports!J30="Enabled","Apple ID Lock","")</f>
        <v/>
      </c>
      <c r="R30" s="13" t="str">
        <f>IF(MacReports!L30="y","Remote Locked","")</f>
        <v/>
      </c>
      <c r="S30" t="str">
        <f t="shared" si="2"/>
        <v>Battery Defect, 0</v>
      </c>
      <c r="T30" t="str">
        <f>_xlfn.XLOOKUP(B30,Disk_Pivot!G:G,Disk_Pivot!I:I)</f>
        <v>No</v>
      </c>
      <c r="U30" t="str">
        <f>_xlfn.XLOOKUP(B30,Disk_Pivot!G:G,Disk_Pivot!N:N)</f>
        <v/>
      </c>
      <c r="V30" t="str">
        <f>IF(U30="Fail",MacReports!N30,"")</f>
        <v/>
      </c>
      <c r="AB30" t="str">
        <f t="shared" si="1"/>
        <v/>
      </c>
    </row>
    <row r="31" spans="1:28">
      <c r="A31" t="str">
        <f>MacReports!A31</f>
        <v/>
      </c>
      <c r="B31">
        <f>MacReports!B31</f>
        <v>0</v>
      </c>
      <c r="C31">
        <f>MacReports!C31</f>
        <v>0</v>
      </c>
      <c r="E31" t="e">
        <f>_xlfn.XLOOKUP(G31,Models!A:A,Models!F:F)</f>
        <v>#N/A</v>
      </c>
      <c r="F31" t="str">
        <f>_xlfn.XLOOKUP(B31,MacReports!B:B,MacReports!D:D,"")</f>
        <v/>
      </c>
      <c r="G31" s="13">
        <f>MacReports!E31</f>
        <v>0</v>
      </c>
      <c r="H31" t="e">
        <f>_xlfn.XLOOKUP(G31,Models!A:A,Models!B:B)</f>
        <v>#N/A</v>
      </c>
      <c r="I31" t="e">
        <f>_xlfn.XLOOKUP(G31,Models!A:A,Models!E:E)</f>
        <v>#N/A</v>
      </c>
      <c r="J31" t="e">
        <f>_xlfn.XLOOKUP(G31,Models!A:A,Models!D:D)</f>
        <v>#N/A</v>
      </c>
      <c r="K31">
        <f>MacReports!F31</f>
        <v>0</v>
      </c>
      <c r="L31">
        <f>MacReports!G31</f>
        <v>0</v>
      </c>
      <c r="M31" s="15" t="e" cm="1">
        <f t="array" ref="M31">--_xlfn.LET(
    _xlpm.txt, MacReports!H31,
    _xlpm.chars, MID(_xlpm.txt, _xlfn.SEQUENCE(LEN(_xlpm.txt)), 1),
    _xlfn.TEXTJOIN("", TRUE, IF(ISNUMBER(--_xlpm.chars), _xlpm.chars, ""))
)</f>
        <v>#VALUE!</v>
      </c>
      <c r="N31" s="16" t="str" cm="1">
        <f t="array" ref="N31">_xlfn.IFS(
   --MacReports!M31&lt;55,"Battery Defect",
  -- MacReports!M31&lt;=69,"Battery D",
  --MacReports!M31&lt;=80,"Battery C",
 --MacReports!M31&gt;80,""
)</f>
        <v>Battery Defect</v>
      </c>
      <c r="O31" s="16" t="str">
        <f>IF(MacReports!I31="Service","Battery Service","")</f>
        <v/>
      </c>
      <c r="P31" s="13">
        <f>MacReports!P31</f>
        <v>0</v>
      </c>
      <c r="Q31" s="13" t="str">
        <f>IF(MacReports!J31="Enabled","Apple ID Lock","")</f>
        <v/>
      </c>
      <c r="R31" s="13" t="str">
        <f>IF(MacReports!L31="y","Remote Locked","")</f>
        <v/>
      </c>
      <c r="S31" t="str">
        <f t="shared" si="2"/>
        <v>Battery Defect, 0</v>
      </c>
      <c r="T31" t="str">
        <f>_xlfn.XLOOKUP(B31,Disk_Pivot!G:G,Disk_Pivot!I:I)</f>
        <v>No</v>
      </c>
      <c r="U31" t="str">
        <f>_xlfn.XLOOKUP(B31,Disk_Pivot!G:G,Disk_Pivot!N:N)</f>
        <v/>
      </c>
      <c r="V31" t="str">
        <f>IF(U31="Fail",MacReports!N31,"")</f>
        <v/>
      </c>
      <c r="AB31" t="str">
        <f t="shared" si="1"/>
        <v/>
      </c>
    </row>
    <row r="32" spans="1:28">
      <c r="A32" t="str">
        <f>MacReports!A32</f>
        <v/>
      </c>
      <c r="B32">
        <f>MacReports!B32</f>
        <v>0</v>
      </c>
      <c r="C32">
        <f>MacReports!C32</f>
        <v>0</v>
      </c>
      <c r="E32" t="e">
        <f>_xlfn.XLOOKUP(G32,Models!A:A,Models!F:F)</f>
        <v>#N/A</v>
      </c>
      <c r="F32" t="str">
        <f>_xlfn.XLOOKUP(B32,MacReports!B:B,MacReports!D:D,"")</f>
        <v/>
      </c>
      <c r="G32" s="13">
        <f>MacReports!E32</f>
        <v>0</v>
      </c>
      <c r="H32" t="e">
        <f>_xlfn.XLOOKUP(G32,Models!A:A,Models!B:B)</f>
        <v>#N/A</v>
      </c>
      <c r="I32" t="e">
        <f>_xlfn.XLOOKUP(G32,Models!A:A,Models!E:E)</f>
        <v>#N/A</v>
      </c>
      <c r="J32" t="e">
        <f>_xlfn.XLOOKUP(G32,Models!A:A,Models!D:D)</f>
        <v>#N/A</v>
      </c>
      <c r="K32">
        <f>MacReports!F32</f>
        <v>0</v>
      </c>
      <c r="L32">
        <f>MacReports!G32</f>
        <v>0</v>
      </c>
      <c r="M32" s="15" t="e" cm="1">
        <f t="array" ref="M32">--_xlfn.LET(
    _xlpm.txt, MacReports!H32,
    _xlpm.chars, MID(_xlpm.txt, _xlfn.SEQUENCE(LEN(_xlpm.txt)), 1),
    _xlfn.TEXTJOIN("", TRUE, IF(ISNUMBER(--_xlpm.chars), _xlpm.chars, ""))
)</f>
        <v>#VALUE!</v>
      </c>
      <c r="N32" s="16" t="str" cm="1">
        <f t="array" ref="N32">_xlfn.IFS(
   --MacReports!M32&lt;55,"Battery Defect",
  -- MacReports!M32&lt;=69,"Battery D",
  --MacReports!M32&lt;=80,"Battery C",
 --MacReports!M32&gt;80,""
)</f>
        <v>Battery Defect</v>
      </c>
      <c r="O32" s="16" t="str">
        <f>IF(MacReports!I32="Service","Battery Service","")</f>
        <v/>
      </c>
      <c r="P32" s="13">
        <f>MacReports!P32</f>
        <v>0</v>
      </c>
      <c r="Q32" s="13" t="str">
        <f>IF(MacReports!J32="Enabled","Apple ID Lock","")</f>
        <v/>
      </c>
      <c r="R32" s="13" t="str">
        <f>IF(MacReports!L32="y","Remote Locked","")</f>
        <v/>
      </c>
      <c r="S32" t="str">
        <f t="shared" si="2"/>
        <v>Battery Defect, 0</v>
      </c>
      <c r="T32" t="str">
        <f>_xlfn.XLOOKUP(B32,Disk_Pivot!G:G,Disk_Pivot!I:I)</f>
        <v>No</v>
      </c>
      <c r="U32" t="str">
        <f>_xlfn.XLOOKUP(B32,Disk_Pivot!G:G,Disk_Pivot!N:N)</f>
        <v/>
      </c>
      <c r="V32" t="str">
        <f>IF(U32="Fail",MacReports!N32,"")</f>
        <v/>
      </c>
      <c r="AB32" t="str">
        <f t="shared" si="1"/>
        <v/>
      </c>
    </row>
    <row r="33" spans="1:28">
      <c r="A33" t="str">
        <f>MacReports!A33</f>
        <v/>
      </c>
      <c r="B33">
        <f>MacReports!B33</f>
        <v>0</v>
      </c>
      <c r="C33">
        <f>MacReports!C33</f>
        <v>0</v>
      </c>
      <c r="E33" t="e">
        <f>_xlfn.XLOOKUP(G33,Models!A:A,Models!F:F)</f>
        <v>#N/A</v>
      </c>
      <c r="F33" t="str">
        <f>_xlfn.XLOOKUP(B33,MacReports!B:B,MacReports!D:D,"")</f>
        <v/>
      </c>
      <c r="G33" s="13">
        <f>MacReports!E33</f>
        <v>0</v>
      </c>
      <c r="H33" t="e">
        <f>_xlfn.XLOOKUP(G33,Models!A:A,Models!B:B)</f>
        <v>#N/A</v>
      </c>
      <c r="I33" t="e">
        <f>_xlfn.XLOOKUP(G33,Models!A:A,Models!E:E)</f>
        <v>#N/A</v>
      </c>
      <c r="J33" t="e">
        <f>_xlfn.XLOOKUP(G33,Models!A:A,Models!D:D)</f>
        <v>#N/A</v>
      </c>
      <c r="K33">
        <f>MacReports!F33</f>
        <v>0</v>
      </c>
      <c r="L33">
        <f>MacReports!G33</f>
        <v>0</v>
      </c>
      <c r="M33" s="15" t="e" cm="1">
        <f t="array" ref="M33">--_xlfn.LET(
    _xlpm.txt, MacReports!H33,
    _xlpm.chars, MID(_xlpm.txt, _xlfn.SEQUENCE(LEN(_xlpm.txt)), 1),
    _xlfn.TEXTJOIN("", TRUE, IF(ISNUMBER(--_xlpm.chars), _xlpm.chars, ""))
)</f>
        <v>#VALUE!</v>
      </c>
      <c r="N33" s="16" t="str" cm="1">
        <f t="array" ref="N33">_xlfn.IFS(
   --MacReports!M33&lt;55,"Battery Defect",
  -- MacReports!M33&lt;=69,"Battery D",
  --MacReports!M33&lt;=80,"Battery C",
 --MacReports!M33&gt;80,""
)</f>
        <v>Battery Defect</v>
      </c>
      <c r="O33" s="16" t="str">
        <f>IF(MacReports!I33="Service","Battery Service","")</f>
        <v/>
      </c>
      <c r="P33" s="13">
        <f>MacReports!P33</f>
        <v>0</v>
      </c>
      <c r="Q33" s="13" t="str">
        <f>IF(MacReports!J33="Enabled","Apple ID Lock","")</f>
        <v/>
      </c>
      <c r="R33" s="13" t="str">
        <f>IF(MacReports!L33="y","Remote Locked","")</f>
        <v/>
      </c>
      <c r="S33" t="str">
        <f t="shared" si="2"/>
        <v>Battery Defect, 0</v>
      </c>
      <c r="T33" t="str">
        <f>_xlfn.XLOOKUP(B33,Disk_Pivot!G:G,Disk_Pivot!I:I)</f>
        <v>No</v>
      </c>
      <c r="U33" t="str">
        <f>_xlfn.XLOOKUP(B33,Disk_Pivot!G:G,Disk_Pivot!N:N)</f>
        <v/>
      </c>
      <c r="V33" t="str">
        <f>IF(U33="Fail",MacReports!N33,"")</f>
        <v/>
      </c>
      <c r="AB33" t="str">
        <f t="shared" si="1"/>
        <v/>
      </c>
    </row>
    <row r="34" spans="1:28">
      <c r="A34" t="str">
        <f>MacReports!A34</f>
        <v/>
      </c>
      <c r="B34">
        <f>MacReports!B34</f>
        <v>0</v>
      </c>
      <c r="C34">
        <f>MacReports!C34</f>
        <v>0</v>
      </c>
      <c r="E34" t="e">
        <f>_xlfn.XLOOKUP(G34,Models!A:A,Models!F:F)</f>
        <v>#N/A</v>
      </c>
      <c r="F34" t="str">
        <f>_xlfn.XLOOKUP(B34,MacReports!B:B,MacReports!D:D,"")</f>
        <v/>
      </c>
      <c r="G34" s="13">
        <f>MacReports!E34</f>
        <v>0</v>
      </c>
      <c r="H34" t="e">
        <f>_xlfn.XLOOKUP(G34,Models!A:A,Models!B:B)</f>
        <v>#N/A</v>
      </c>
      <c r="I34" t="e">
        <f>_xlfn.XLOOKUP(G34,Models!A:A,Models!E:E)</f>
        <v>#N/A</v>
      </c>
      <c r="J34" t="e">
        <f>_xlfn.XLOOKUP(G34,Models!A:A,Models!D:D)</f>
        <v>#N/A</v>
      </c>
      <c r="K34">
        <f>MacReports!F34</f>
        <v>0</v>
      </c>
      <c r="L34">
        <f>MacReports!G34</f>
        <v>0</v>
      </c>
      <c r="M34" s="15" t="e" cm="1">
        <f t="array" ref="M34">--_xlfn.LET(
    _xlpm.txt, MacReports!H34,
    _xlpm.chars, MID(_xlpm.txt, _xlfn.SEQUENCE(LEN(_xlpm.txt)), 1),
    _xlfn.TEXTJOIN("", TRUE, IF(ISNUMBER(--_xlpm.chars), _xlpm.chars, ""))
)</f>
        <v>#VALUE!</v>
      </c>
      <c r="N34" s="16" t="str" cm="1">
        <f t="array" ref="N34">_xlfn.IFS(
   --MacReports!M34&lt;55,"Battery Defect",
  -- MacReports!M34&lt;=69,"Battery D",
  --MacReports!M34&lt;=80,"Battery C",
 --MacReports!M34&gt;80,""
)</f>
        <v>Battery Defect</v>
      </c>
      <c r="O34" s="16" t="str">
        <f>IF(MacReports!I34="Service","Battery Service","")</f>
        <v/>
      </c>
      <c r="P34" s="13">
        <f>MacReports!P34</f>
        <v>0</v>
      </c>
      <c r="Q34" s="13" t="str">
        <f>IF(MacReports!J34="Enabled","Apple ID Lock","")</f>
        <v/>
      </c>
      <c r="R34" s="13" t="str">
        <f>IF(MacReports!L34="y","Remote Locked","")</f>
        <v/>
      </c>
      <c r="S34" t="str">
        <f t="shared" si="2"/>
        <v>Battery Defect, 0</v>
      </c>
      <c r="T34" t="str">
        <f>_xlfn.XLOOKUP(B34,Disk_Pivot!G:G,Disk_Pivot!I:I)</f>
        <v>No</v>
      </c>
      <c r="U34" t="str">
        <f>_xlfn.XLOOKUP(B34,Disk_Pivot!G:G,Disk_Pivot!N:N)</f>
        <v/>
      </c>
      <c r="V34" t="str">
        <f>IF(U34="Fail",MacReports!N34,"")</f>
        <v/>
      </c>
      <c r="AB34" t="str">
        <f t="shared" si="1"/>
        <v/>
      </c>
    </row>
    <row r="35" spans="1:28">
      <c r="A35">
        <f>MacReports!A35</f>
        <v>0</v>
      </c>
      <c r="B35">
        <f>MacReports!B35</f>
        <v>0</v>
      </c>
      <c r="C35">
        <f>MacReports!C35</f>
        <v>0</v>
      </c>
      <c r="E35" t="e">
        <f>_xlfn.XLOOKUP(G35,Models!A:A,Models!F:F)</f>
        <v>#N/A</v>
      </c>
      <c r="F35" t="str">
        <f>_xlfn.XLOOKUP(B35,MacReports!B:B,MacReports!D:D,"")</f>
        <v/>
      </c>
      <c r="G35" s="13">
        <f>MacReports!E35</f>
        <v>0</v>
      </c>
      <c r="H35" t="e">
        <f>_xlfn.XLOOKUP(G35,Models!A:A,Models!B:B)</f>
        <v>#N/A</v>
      </c>
      <c r="I35" t="e">
        <f>_xlfn.XLOOKUP(G35,Models!A:A,Models!E:E)</f>
        <v>#N/A</v>
      </c>
      <c r="J35" t="e">
        <f>_xlfn.XLOOKUP(G35,Models!A:A,Models!D:D)</f>
        <v>#N/A</v>
      </c>
      <c r="K35">
        <f>MacReports!F35</f>
        <v>0</v>
      </c>
      <c r="L35">
        <f>MacReports!G35</f>
        <v>0</v>
      </c>
      <c r="M35" s="15" t="e" cm="1">
        <f t="array" ref="M35">--_xlfn.LET(
    _xlpm.txt, MacReports!H35,
    _xlpm.chars, MID(_xlpm.txt, _xlfn.SEQUENCE(LEN(_xlpm.txt)), 1),
    _xlfn.TEXTJOIN("", TRUE, IF(ISNUMBER(--_xlpm.chars), _xlpm.chars, ""))
)</f>
        <v>#VALUE!</v>
      </c>
      <c r="N35" s="16" t="str" cm="1">
        <f t="array" ref="N35">_xlfn.IFS(
   --MacReports!M35&lt;55,"Battery Defect",
  -- MacReports!M35&lt;=69,"Battery D",
  --MacReports!M35&lt;=80,"Battery C",
 --MacReports!M35&gt;80,""
)</f>
        <v>Battery Defect</v>
      </c>
      <c r="O35" s="16" t="str">
        <f>IF(MacReports!I35="Service","Battery Service","")</f>
        <v/>
      </c>
      <c r="P35" s="13">
        <f>MacReports!P35</f>
        <v>0</v>
      </c>
      <c r="Q35" s="13" t="str">
        <f>IF(MacReports!J35="Enabled","Apple ID Lock","")</f>
        <v/>
      </c>
      <c r="R35" s="13" t="str">
        <f>IF(MacReports!L35="y","Remote Locked","")</f>
        <v/>
      </c>
      <c r="S35" t="str">
        <f t="shared" si="2"/>
        <v>Battery Defect, 0</v>
      </c>
      <c r="T35" t="str">
        <f>_xlfn.XLOOKUP(B35,Disk_Pivot!G:G,Disk_Pivot!I:I)</f>
        <v>No</v>
      </c>
      <c r="U35" t="str">
        <f>_xlfn.XLOOKUP(B35,Disk_Pivot!G:G,Disk_Pivot!N:N)</f>
        <v/>
      </c>
      <c r="V35" t="str">
        <f>IF(U35="Fail",MacReports!N35,"")</f>
        <v/>
      </c>
      <c r="AB35" t="str">
        <f t="shared" si="1"/>
        <v/>
      </c>
    </row>
    <row r="36" spans="1:28">
      <c r="A36">
        <f>MacReports!A36</f>
        <v>0</v>
      </c>
      <c r="B36">
        <f>MacReports!B36</f>
        <v>0</v>
      </c>
      <c r="C36">
        <f>MacReports!C36</f>
        <v>0</v>
      </c>
      <c r="E36" t="e">
        <f>_xlfn.XLOOKUP(G36,Models!A:A,Models!F:F)</f>
        <v>#N/A</v>
      </c>
      <c r="F36" t="str">
        <f>_xlfn.XLOOKUP(B36,MacReports!B:B,MacReports!D:D,"")</f>
        <v/>
      </c>
      <c r="G36" s="13">
        <f>MacReports!E36</f>
        <v>0</v>
      </c>
      <c r="H36" t="e">
        <f>_xlfn.XLOOKUP(G36,Models!A:A,Models!B:B)</f>
        <v>#N/A</v>
      </c>
      <c r="I36" t="e">
        <f>_xlfn.XLOOKUP(G36,Models!A:A,Models!E:E)</f>
        <v>#N/A</v>
      </c>
      <c r="J36" t="e">
        <f>_xlfn.XLOOKUP(G36,Models!A:A,Models!D:D)</f>
        <v>#N/A</v>
      </c>
      <c r="K36">
        <f>MacReports!F36</f>
        <v>0</v>
      </c>
      <c r="L36">
        <f>MacReports!G36</f>
        <v>0</v>
      </c>
      <c r="M36" s="15" t="e" cm="1">
        <f t="array" ref="M36">--_xlfn.LET(
    _xlpm.txt, MacReports!H36,
    _xlpm.chars, MID(_xlpm.txt, _xlfn.SEQUENCE(LEN(_xlpm.txt)), 1),
    _xlfn.TEXTJOIN("", TRUE, IF(ISNUMBER(--_xlpm.chars), _xlpm.chars, ""))
)</f>
        <v>#VALUE!</v>
      </c>
      <c r="N36" s="16" t="str" cm="1">
        <f t="array" ref="N36">_xlfn.IFS(
   --MacReports!M36&lt;55,"Battery Defect",
  -- MacReports!M36&lt;=69,"Battery D",
  --MacReports!M36&lt;=80,"Battery C",
 --MacReports!M36&gt;80,""
)</f>
        <v>Battery Defect</v>
      </c>
      <c r="O36" s="16" t="str">
        <f>IF(MacReports!I36="Service","Battery Service","")</f>
        <v/>
      </c>
      <c r="P36" s="13">
        <f>MacReports!P36</f>
        <v>0</v>
      </c>
      <c r="Q36" s="13" t="str">
        <f>IF(MacReports!J36="Enabled","Apple ID Lock","")</f>
        <v/>
      </c>
      <c r="R36" s="13" t="str">
        <f>IF(MacReports!L36="y","Remote Locked","")</f>
        <v/>
      </c>
      <c r="S36" t="str">
        <f t="shared" si="2"/>
        <v>Battery Defect, 0</v>
      </c>
      <c r="T36" t="str">
        <f>_xlfn.XLOOKUP(B36,Disk_Pivot!G:G,Disk_Pivot!I:I)</f>
        <v>No</v>
      </c>
      <c r="U36" t="str">
        <f>_xlfn.XLOOKUP(B36,Disk_Pivot!G:G,Disk_Pivot!N:N)</f>
        <v/>
      </c>
      <c r="V36" t="str">
        <f>IF(U36="Fail",MacReports!N36,"")</f>
        <v/>
      </c>
      <c r="AB36" t="str">
        <f t="shared" si="1"/>
        <v/>
      </c>
    </row>
    <row r="37" spans="1:28">
      <c r="A37">
        <f>MacReports!A37</f>
        <v>0</v>
      </c>
      <c r="B37">
        <f>MacReports!B37</f>
        <v>0</v>
      </c>
      <c r="C37">
        <f>MacReports!C37</f>
        <v>0</v>
      </c>
      <c r="E37" t="e">
        <f>_xlfn.XLOOKUP(G37,Models!A:A,Models!F:F)</f>
        <v>#N/A</v>
      </c>
      <c r="F37" t="str">
        <f>_xlfn.XLOOKUP(B37,MacReports!B:B,MacReports!D:D,"")</f>
        <v/>
      </c>
      <c r="G37" s="13">
        <f>MacReports!E37</f>
        <v>0</v>
      </c>
      <c r="H37" t="e">
        <f>_xlfn.XLOOKUP(G37,Models!A:A,Models!B:B)</f>
        <v>#N/A</v>
      </c>
      <c r="I37" t="e">
        <f>_xlfn.XLOOKUP(G37,Models!A:A,Models!E:E)</f>
        <v>#N/A</v>
      </c>
      <c r="J37" t="e">
        <f>_xlfn.XLOOKUP(G37,Models!A:A,Models!D:D)</f>
        <v>#N/A</v>
      </c>
      <c r="K37">
        <f>MacReports!F37</f>
        <v>0</v>
      </c>
      <c r="L37">
        <f>MacReports!G37</f>
        <v>0</v>
      </c>
      <c r="M37" s="15" t="e" cm="1">
        <f t="array" ref="M37">--_xlfn.LET(
    _xlpm.txt, MacReports!H37,
    _xlpm.chars, MID(_xlpm.txt, _xlfn.SEQUENCE(LEN(_xlpm.txt)), 1),
    _xlfn.TEXTJOIN("", TRUE, IF(ISNUMBER(--_xlpm.chars), _xlpm.chars, ""))
)</f>
        <v>#VALUE!</v>
      </c>
      <c r="N37" s="16" t="str" cm="1">
        <f t="array" ref="N37">_xlfn.IFS(
   --MacReports!M37&lt;55,"Battery Defect",
  -- MacReports!M37&lt;=69,"Battery D",
  --MacReports!M37&lt;=80,"Battery C",
 --MacReports!M37&gt;80,""
)</f>
        <v>Battery Defect</v>
      </c>
      <c r="O37" s="16" t="str">
        <f>IF(MacReports!I37="Service","Battery Service","")</f>
        <v/>
      </c>
      <c r="P37" s="13">
        <f>MacReports!P37</f>
        <v>0</v>
      </c>
      <c r="Q37" s="13" t="str">
        <f>IF(MacReports!J37="Enabled","Apple ID Lock","")</f>
        <v/>
      </c>
      <c r="R37" s="13" t="str">
        <f>IF(MacReports!L37="y","Remote Locked","")</f>
        <v/>
      </c>
      <c r="S37" t="str">
        <f t="shared" si="2"/>
        <v>Battery Defect, 0</v>
      </c>
      <c r="T37" t="str">
        <f>_xlfn.XLOOKUP(B37,Disk_Pivot!G:G,Disk_Pivot!I:I)</f>
        <v>No</v>
      </c>
      <c r="U37" t="str">
        <f>_xlfn.XLOOKUP(B37,Disk_Pivot!G:G,Disk_Pivot!N:N)</f>
        <v/>
      </c>
      <c r="V37" t="str">
        <f>IF(U37="Fail",MacReports!N37,"")</f>
        <v/>
      </c>
      <c r="AB37" t="str">
        <f t="shared" si="1"/>
        <v/>
      </c>
    </row>
    <row r="38" spans="1:28">
      <c r="A38">
        <f>MacReports!A38</f>
        <v>0</v>
      </c>
      <c r="B38">
        <f>MacReports!B38</f>
        <v>0</v>
      </c>
      <c r="C38">
        <f>MacReports!C38</f>
        <v>0</v>
      </c>
      <c r="E38" t="e">
        <f>_xlfn.XLOOKUP(G38,Models!A:A,Models!F:F)</f>
        <v>#N/A</v>
      </c>
      <c r="F38" t="str">
        <f>_xlfn.XLOOKUP(B38,MacReports!B:B,MacReports!D:D,"")</f>
        <v/>
      </c>
      <c r="G38" s="13">
        <f>MacReports!E38</f>
        <v>0</v>
      </c>
      <c r="H38" t="e">
        <f>_xlfn.XLOOKUP(G38,Models!A:A,Models!B:B)</f>
        <v>#N/A</v>
      </c>
      <c r="I38" t="e">
        <f>_xlfn.XLOOKUP(G38,Models!A:A,Models!E:E)</f>
        <v>#N/A</v>
      </c>
      <c r="J38" t="e">
        <f>_xlfn.XLOOKUP(G38,Models!A:A,Models!D:D)</f>
        <v>#N/A</v>
      </c>
      <c r="K38">
        <f>MacReports!F38</f>
        <v>0</v>
      </c>
      <c r="L38">
        <f>MacReports!G38</f>
        <v>0</v>
      </c>
      <c r="M38" s="15" t="e" cm="1">
        <f t="array" ref="M38">--_xlfn.LET(
    _xlpm.txt, MacReports!H38,
    _xlpm.chars, MID(_xlpm.txt, _xlfn.SEQUENCE(LEN(_xlpm.txt)), 1),
    _xlfn.TEXTJOIN("", TRUE, IF(ISNUMBER(--_xlpm.chars), _xlpm.chars, ""))
)</f>
        <v>#VALUE!</v>
      </c>
      <c r="N38" s="16" t="str" cm="1">
        <f t="array" ref="N38">_xlfn.IFS(
   --MacReports!M38&lt;55,"Battery Defect",
  -- MacReports!M38&lt;=69,"Battery D",
  --MacReports!M38&lt;=80,"Battery C",
 --MacReports!M38&gt;80,""
)</f>
        <v>Battery Defect</v>
      </c>
      <c r="O38" s="16" t="str">
        <f>IF(MacReports!I38="Service","Battery Service","")</f>
        <v/>
      </c>
      <c r="P38" s="13">
        <f>MacReports!P38</f>
        <v>0</v>
      </c>
      <c r="Q38" s="13" t="str">
        <f>IF(MacReports!J38="Enabled","Apple ID Lock","")</f>
        <v/>
      </c>
      <c r="R38" s="13" t="str">
        <f>IF(MacReports!L38="y","Remote Locked","")</f>
        <v/>
      </c>
      <c r="S38" t="str">
        <f t="shared" si="2"/>
        <v>Battery Defect, 0</v>
      </c>
      <c r="T38" t="str">
        <f>_xlfn.XLOOKUP(B38,Disk_Pivot!G:G,Disk_Pivot!I:I)</f>
        <v>No</v>
      </c>
      <c r="U38" t="str">
        <f>_xlfn.XLOOKUP(B38,Disk_Pivot!G:G,Disk_Pivot!N:N)</f>
        <v/>
      </c>
      <c r="V38" t="str">
        <f>IF(U38="Fail",MacReports!N38,"")</f>
        <v/>
      </c>
      <c r="AB38" t="str">
        <f t="shared" si="1"/>
        <v/>
      </c>
    </row>
    <row r="39" spans="1:28">
      <c r="A39">
        <f>MacReports!A39</f>
        <v>0</v>
      </c>
      <c r="B39">
        <f>MacReports!B39</f>
        <v>0</v>
      </c>
      <c r="C39">
        <f>MacReports!C39</f>
        <v>0</v>
      </c>
      <c r="E39" t="e">
        <f>_xlfn.XLOOKUP(G39,Models!A:A,Models!F:F)</f>
        <v>#N/A</v>
      </c>
      <c r="F39" t="str">
        <f>_xlfn.XLOOKUP(B39,MacReports!B:B,MacReports!D:D,"")</f>
        <v/>
      </c>
      <c r="G39" s="13">
        <f>MacReports!E39</f>
        <v>0</v>
      </c>
      <c r="H39" t="e">
        <f>_xlfn.XLOOKUP(G39,Models!A:A,Models!B:B)</f>
        <v>#N/A</v>
      </c>
      <c r="I39" t="e">
        <f>_xlfn.XLOOKUP(G39,Models!A:A,Models!E:E)</f>
        <v>#N/A</v>
      </c>
      <c r="J39" t="e">
        <f>_xlfn.XLOOKUP(G39,Models!A:A,Models!D:D)</f>
        <v>#N/A</v>
      </c>
      <c r="K39">
        <f>MacReports!F39</f>
        <v>0</v>
      </c>
      <c r="L39">
        <f>MacReports!G39</f>
        <v>0</v>
      </c>
      <c r="M39" s="15" t="e" cm="1">
        <f t="array" ref="M39">--_xlfn.LET(
    _xlpm.txt, MacReports!H39,
    _xlpm.chars, MID(_xlpm.txt, _xlfn.SEQUENCE(LEN(_xlpm.txt)), 1),
    _xlfn.TEXTJOIN("", TRUE, IF(ISNUMBER(--_xlpm.chars), _xlpm.chars, ""))
)</f>
        <v>#VALUE!</v>
      </c>
      <c r="N39" s="16" t="str" cm="1">
        <f t="array" ref="N39">_xlfn.IFS(
   --MacReports!M39&lt;55,"Battery Defect",
  -- MacReports!M39&lt;=69,"Battery D",
  --MacReports!M39&lt;=80,"Battery C",
 --MacReports!M39&gt;80,""
)</f>
        <v>Battery Defect</v>
      </c>
      <c r="O39" s="16" t="str">
        <f>IF(MacReports!I39="Service","Battery Service","")</f>
        <v/>
      </c>
      <c r="P39" s="13">
        <f>MacReports!P39</f>
        <v>0</v>
      </c>
      <c r="Q39" s="13" t="str">
        <f>IF(MacReports!J39="Enabled","Apple ID Lock","")</f>
        <v/>
      </c>
      <c r="R39" s="13" t="str">
        <f>IF(MacReports!L39="y","Remote Locked","")</f>
        <v/>
      </c>
      <c r="S39" t="str">
        <f t="shared" si="2"/>
        <v>Battery Defect, 0</v>
      </c>
      <c r="T39" t="str">
        <f>_xlfn.XLOOKUP(B39,Disk_Pivot!G:G,Disk_Pivot!I:I)</f>
        <v>No</v>
      </c>
      <c r="U39" t="str">
        <f>_xlfn.XLOOKUP(B39,Disk_Pivot!G:G,Disk_Pivot!N:N)</f>
        <v/>
      </c>
      <c r="V39" t="str">
        <f>IF(U39="Fail",MacReports!N39,"")</f>
        <v/>
      </c>
      <c r="AB39" t="str">
        <f t="shared" si="1"/>
        <v/>
      </c>
    </row>
    <row r="40" spans="1:28">
      <c r="A40">
        <f>MacReports!A40</f>
        <v>0</v>
      </c>
      <c r="B40">
        <f>MacReports!B40</f>
        <v>0</v>
      </c>
      <c r="C40">
        <f>MacReports!C40</f>
        <v>0</v>
      </c>
      <c r="F40" t="str">
        <f>_xlfn.XLOOKUP(B40,MacReports!B:B,MacReports!D:D,"")</f>
        <v/>
      </c>
      <c r="G40" s="13">
        <f>MacReports!E40</f>
        <v>0</v>
      </c>
      <c r="H40" t="e">
        <f>_xlfn.XLOOKUP(G40,Models!A:A,Models!B:B)</f>
        <v>#N/A</v>
      </c>
      <c r="I40" t="e">
        <f>_xlfn.XLOOKUP(G40,Models!A:A,Models!E:E)</f>
        <v>#N/A</v>
      </c>
      <c r="J40" t="e">
        <f>_xlfn.XLOOKUP(G40,Models!A:A,Models!D:D)</f>
        <v>#N/A</v>
      </c>
      <c r="K40">
        <f>MacReports!F40</f>
        <v>0</v>
      </c>
      <c r="L40">
        <f>MacReports!G40</f>
        <v>0</v>
      </c>
      <c r="M40" s="15" t="e" cm="1">
        <f t="array" ref="M40">--_xlfn.LET(
    _xlpm.txt, MacReports!H40,
    _xlpm.chars, MID(_xlpm.txt, _xlfn.SEQUENCE(LEN(_xlpm.txt)), 1),
    _xlfn.TEXTJOIN("", TRUE, IF(ISNUMBER(--_xlpm.chars), _xlpm.chars, ""))
)</f>
        <v>#VALUE!</v>
      </c>
      <c r="N40" s="16" t="str" cm="1">
        <f t="array" ref="N40">_xlfn.IFS(
   --MacReports!M40&lt;55,"Battery Defect",
  -- MacReports!M40&lt;=69,"Battery D",
  --MacReports!M40&lt;=80,"Battery C",
 --MacReports!M40&gt;80,""
)</f>
        <v>Battery Defect</v>
      </c>
      <c r="O40" s="16" t="str">
        <f>IF(MacReports!I40="Service","Battery Service","")</f>
        <v/>
      </c>
      <c r="P40" s="13">
        <f>MacReports!P40</f>
        <v>0</v>
      </c>
      <c r="Q40" s="13" t="str">
        <f>IF(MacReports!J40="Enabled","Apple ID Lock","")</f>
        <v/>
      </c>
      <c r="R40" s="13" t="str">
        <f>IF(MacReports!L40="y","Remote Locked","")</f>
        <v/>
      </c>
      <c r="S40" t="str">
        <f t="shared" si="2"/>
        <v>Battery Defect, 0</v>
      </c>
      <c r="T40" t="str">
        <f>_xlfn.XLOOKUP(B40,Disk_Pivot!G:G,Disk_Pivot!I:I)</f>
        <v>No</v>
      </c>
      <c r="U40" t="str">
        <f>_xlfn.XLOOKUP(B40,Disk_Pivot!G:G,Disk_Pivot!N:N)</f>
        <v/>
      </c>
      <c r="V40" t="str">
        <f>IF(U40="Fail",MacReports!N40,"")</f>
        <v/>
      </c>
      <c r="AB40" t="str">
        <f t="shared" si="1"/>
        <v/>
      </c>
    </row>
    <row r="41" spans="1:28">
      <c r="A41">
        <f>MacReports!A41</f>
        <v>0</v>
      </c>
      <c r="B41">
        <f>MacReports!B41</f>
        <v>0</v>
      </c>
      <c r="C41">
        <f>MacReports!C41</f>
        <v>0</v>
      </c>
      <c r="F41" t="str">
        <f>_xlfn.XLOOKUP(B41,MacReports!B:B,MacReports!D:D,"")</f>
        <v/>
      </c>
      <c r="G41" s="13">
        <f>MacReports!E41</f>
        <v>0</v>
      </c>
      <c r="H41" t="e">
        <f>_xlfn.XLOOKUP(G41,Models!A:A,Models!B:B)</f>
        <v>#N/A</v>
      </c>
      <c r="I41" t="e">
        <f>_xlfn.XLOOKUP(G41,Models!A:A,Models!E:E)</f>
        <v>#N/A</v>
      </c>
      <c r="J41" t="e">
        <f>_xlfn.XLOOKUP(G41,Models!A:A,Models!D:D)</f>
        <v>#N/A</v>
      </c>
      <c r="K41">
        <f>MacReports!F41</f>
        <v>0</v>
      </c>
      <c r="L41">
        <f>MacReports!G41</f>
        <v>0</v>
      </c>
      <c r="M41" s="15" t="e" cm="1">
        <f t="array" ref="M41">--_xlfn.LET(
    _xlpm.txt, MacReports!H41,
    _xlpm.chars, MID(_xlpm.txt, _xlfn.SEQUENCE(LEN(_xlpm.txt)), 1),
    _xlfn.TEXTJOIN("", TRUE, IF(ISNUMBER(--_xlpm.chars), _xlpm.chars, ""))
)</f>
        <v>#VALUE!</v>
      </c>
      <c r="N41" s="16" t="str" cm="1">
        <f t="array" ref="N41">_xlfn.IFS(
   --MacReports!M41&lt;55,"Battery Defect",
  -- MacReports!M41&lt;=69,"Battery D",
  --MacReports!M41&lt;=80,"Battery C",
 --MacReports!M41&gt;80,""
)</f>
        <v>Battery Defect</v>
      </c>
      <c r="O41" s="16" t="str">
        <f>IF(MacReports!I41="Service","Battery Service","")</f>
        <v/>
      </c>
      <c r="P41" s="13">
        <f>MacReports!P41</f>
        <v>0</v>
      </c>
      <c r="Q41" s="13" t="str">
        <f>IF(MacReports!J41="Enabled","Apple ID Lock","")</f>
        <v/>
      </c>
      <c r="R41" s="13" t="str">
        <f>IF(MacReports!L41="y","Remote Locked","")</f>
        <v/>
      </c>
      <c r="S41" t="str">
        <f t="shared" si="2"/>
        <v>Battery Defect, 0</v>
      </c>
      <c r="T41" t="str">
        <f>_xlfn.XLOOKUP(B41,Disk_Pivot!G:G,Disk_Pivot!I:I)</f>
        <v>No</v>
      </c>
      <c r="U41" t="str">
        <f>_xlfn.XLOOKUP(B41,Disk_Pivot!G:G,Disk_Pivot!N:N)</f>
        <v/>
      </c>
      <c r="V41" t="str">
        <f>IF(U41="Fail",MacReports!N41,"")</f>
        <v/>
      </c>
      <c r="AB41" t="str">
        <f t="shared" si="1"/>
        <v/>
      </c>
    </row>
    <row r="42" spans="1:28">
      <c r="A42">
        <f>MacReports!A42</f>
        <v>0</v>
      </c>
      <c r="B42">
        <f>MacReports!B42</f>
        <v>0</v>
      </c>
      <c r="F42" t="str">
        <f>_xlfn.XLOOKUP(B42,MacReports!B:B,MacReports!D:D,"")</f>
        <v/>
      </c>
      <c r="G42" s="13">
        <f>MacReports!E42</f>
        <v>0</v>
      </c>
      <c r="H42" t="e">
        <f>_xlfn.XLOOKUP(G42,Models!A:A,Models!B:B)</f>
        <v>#N/A</v>
      </c>
      <c r="I42" t="e">
        <f>_xlfn.XLOOKUP(G42,Models!A:A,Models!E:E)</f>
        <v>#N/A</v>
      </c>
      <c r="J42" t="e">
        <f>_xlfn.XLOOKUP(G42,Models!A:A,Models!D:D)</f>
        <v>#N/A</v>
      </c>
      <c r="K42">
        <f>MacReports!F42</f>
        <v>0</v>
      </c>
      <c r="L42">
        <f>MacReports!G42</f>
        <v>0</v>
      </c>
      <c r="M42" s="15" t="e" cm="1">
        <f t="array" ref="M42">--_xlfn.LET(
    _xlpm.txt, MacReports!H42,
    _xlpm.chars, MID(_xlpm.txt, _xlfn.SEQUENCE(LEN(_xlpm.txt)), 1),
    _xlfn.TEXTJOIN("", TRUE, IF(ISNUMBER(--_xlpm.chars), _xlpm.chars, ""))
)</f>
        <v>#VALUE!</v>
      </c>
      <c r="N42" s="16" t="str" cm="1">
        <f t="array" ref="N42">_xlfn.IFS(
   --MacReports!M42&lt;55,"Battery Defect",
  -- MacReports!M42&lt;=69,"Battery D",
  --MacReports!M42&lt;=80,"Battery C",
 --MacReports!M42&gt;80,""
)</f>
        <v>Battery Defect</v>
      </c>
      <c r="O42" s="16" t="str">
        <f>IF(MacReports!I42="Service","Battery Service","")</f>
        <v/>
      </c>
      <c r="P42" s="13">
        <f>MacReports!P42</f>
        <v>0</v>
      </c>
      <c r="Q42" s="13" t="str">
        <f>IF(MacReports!J42="Enabled","Apple ID Lock","")</f>
        <v/>
      </c>
      <c r="R42" s="13" t="str">
        <f>IF(MacReports!L42="y","Remote Locked","")</f>
        <v/>
      </c>
      <c r="S42" t="str">
        <f t="shared" si="2"/>
        <v>Battery Defect, 0</v>
      </c>
      <c r="T42" t="str">
        <f>_xlfn.XLOOKUP(B42,Disk_Pivot!G:G,Disk_Pivot!I:I)</f>
        <v>No</v>
      </c>
      <c r="U42" t="str">
        <f>_xlfn.XLOOKUP(B42,Disk_Pivot!G:G,Disk_Pivot!N:N)</f>
        <v/>
      </c>
      <c r="V42" t="str">
        <f>IF(U42="Fail",MacReports!N42,"")</f>
        <v/>
      </c>
      <c r="AB42" t="str">
        <f t="shared" si="1"/>
        <v/>
      </c>
    </row>
    <row r="43" spans="1:28">
      <c r="A43">
        <f>MacReports!A43</f>
        <v>0</v>
      </c>
      <c r="B43">
        <f>MacReports!B43</f>
        <v>0</v>
      </c>
      <c r="F43" t="str">
        <f>_xlfn.XLOOKUP(B43,MacReports!B:B,MacReports!D:D,"")</f>
        <v/>
      </c>
      <c r="G43" s="13">
        <f>MacReports!E43</f>
        <v>0</v>
      </c>
      <c r="H43" t="e">
        <f>_xlfn.XLOOKUP(G43,Models!A:A,Models!B:B)</f>
        <v>#N/A</v>
      </c>
      <c r="I43" t="e">
        <f>_xlfn.XLOOKUP(G43,Models!A:A,Models!E:E)</f>
        <v>#N/A</v>
      </c>
      <c r="J43" t="e">
        <f>_xlfn.XLOOKUP(G43,Models!A:A,Models!D:D)</f>
        <v>#N/A</v>
      </c>
      <c r="K43">
        <f>MacReports!F43</f>
        <v>0</v>
      </c>
      <c r="L43">
        <f>MacReports!G43</f>
        <v>0</v>
      </c>
      <c r="M43" s="15" t="e" cm="1">
        <f t="array" ref="M43">--_xlfn.LET(
    _xlpm.txt, MacReports!H43,
    _xlpm.chars, MID(_xlpm.txt, _xlfn.SEQUENCE(LEN(_xlpm.txt)), 1),
    _xlfn.TEXTJOIN("", TRUE, IF(ISNUMBER(--_xlpm.chars), _xlpm.chars, ""))
)</f>
        <v>#VALUE!</v>
      </c>
      <c r="N43" s="16" t="str" cm="1">
        <f t="array" ref="N43">_xlfn.IFS(
   --MacReports!M43&lt;55,"Battery Defect",
  -- MacReports!M43&lt;=69,"Battery D",
  --MacReports!M43&lt;=80,"Battery C",
 --MacReports!M43&gt;80,""
)</f>
        <v>Battery Defect</v>
      </c>
      <c r="O43" s="16" t="str">
        <f>IF(MacReports!I43="Service","Battery Service","")</f>
        <v/>
      </c>
      <c r="P43" s="13">
        <f>MacReports!P43</f>
        <v>0</v>
      </c>
      <c r="Q43" s="13" t="str">
        <f>IF(MacReports!J43="Enabled","Apple ID Lock","")</f>
        <v/>
      </c>
      <c r="R43" s="13" t="str">
        <f>IF(MacReports!L43="y","Remote Locked","")</f>
        <v/>
      </c>
      <c r="S43" t="str">
        <f t="shared" si="2"/>
        <v>Battery Defect, 0</v>
      </c>
      <c r="T43" t="str">
        <f>_xlfn.XLOOKUP(B43,Disk_Pivot!G:G,Disk_Pivot!I:I)</f>
        <v>No</v>
      </c>
      <c r="U43" t="str">
        <f>_xlfn.XLOOKUP(B43,Disk_Pivot!G:G,Disk_Pivot!N:N)</f>
        <v/>
      </c>
      <c r="V43" t="str">
        <f>IF(U43="Fail",MacReports!N43,"")</f>
        <v/>
      </c>
      <c r="AB43" t="str">
        <f t="shared" si="1"/>
        <v/>
      </c>
    </row>
    <row r="44" spans="1:28">
      <c r="A44">
        <f>MacReports!A44</f>
        <v>0</v>
      </c>
      <c r="B44">
        <f>MacReports!B44</f>
        <v>0</v>
      </c>
      <c r="F44" t="str">
        <f>_xlfn.XLOOKUP(B44,MacReports!B:B,MacReports!D:D,"")</f>
        <v/>
      </c>
      <c r="G44" s="13">
        <f>MacReports!E44</f>
        <v>0</v>
      </c>
      <c r="H44" t="e">
        <f>_xlfn.XLOOKUP(G44,Models!A:A,Models!B:B)</f>
        <v>#N/A</v>
      </c>
      <c r="I44" t="e">
        <f>_xlfn.XLOOKUP(G44,Models!A:A,Models!E:E)</f>
        <v>#N/A</v>
      </c>
      <c r="J44" t="e">
        <f>_xlfn.XLOOKUP(G44,Models!A:A,Models!D:D)</f>
        <v>#N/A</v>
      </c>
      <c r="K44">
        <f>MacReports!F44</f>
        <v>0</v>
      </c>
      <c r="L44">
        <f>MacReports!G44</f>
        <v>0</v>
      </c>
      <c r="M44" s="15" t="e" cm="1">
        <f t="array" ref="M44">--_xlfn.LET(
    _xlpm.txt, MacReports!H44,
    _xlpm.chars, MID(_xlpm.txt, _xlfn.SEQUENCE(LEN(_xlpm.txt)), 1),
    _xlfn.TEXTJOIN("", TRUE, IF(ISNUMBER(--_xlpm.chars), _xlpm.chars, ""))
)</f>
        <v>#VALUE!</v>
      </c>
      <c r="N44" s="16" t="str" cm="1">
        <f t="array" ref="N44">_xlfn.IFS(
   --MacReports!M44&lt;55,"Battery Defect",
  -- MacReports!M44&lt;=69,"Battery D",
  --MacReports!M44&lt;=80,"Battery C",
 --MacReports!M44&gt;80,""
)</f>
        <v>Battery Defect</v>
      </c>
      <c r="O44" s="16" t="str">
        <f>IF(MacReports!I44="Service","Battery Service","")</f>
        <v/>
      </c>
      <c r="P44" s="13">
        <f>MacReports!P44</f>
        <v>0</v>
      </c>
      <c r="Q44" s="13" t="str">
        <f>IF(MacReports!J44="Enabled","Apple ID Lock","")</f>
        <v/>
      </c>
      <c r="R44" s="13" t="str">
        <f>IF(MacReports!L44="y","Remote Locked","")</f>
        <v/>
      </c>
      <c r="S44" t="str">
        <f t="shared" si="2"/>
        <v>Battery Defect, 0</v>
      </c>
      <c r="T44" t="str">
        <f>_xlfn.XLOOKUP(B44,Disk_Pivot!G:G,Disk_Pivot!I:I)</f>
        <v>No</v>
      </c>
      <c r="U44" t="str">
        <f>_xlfn.XLOOKUP(B44,Disk_Pivot!G:G,Disk_Pivot!N:N)</f>
        <v/>
      </c>
      <c r="V44" t="str">
        <f>IF(U44="Fail",MacReports!N44,"")</f>
        <v/>
      </c>
      <c r="AB44" t="str">
        <f t="shared" si="1"/>
        <v/>
      </c>
    </row>
    <row r="45" spans="1:28">
      <c r="A45">
        <f>MacReports!A45</f>
        <v>0</v>
      </c>
      <c r="B45">
        <f>MacReports!B45</f>
        <v>0</v>
      </c>
      <c r="F45" t="str">
        <f>_xlfn.XLOOKUP(B45,MacReports!B:B,MacReports!D:D,"")</f>
        <v/>
      </c>
      <c r="G45" s="13">
        <f>MacReports!E45</f>
        <v>0</v>
      </c>
      <c r="H45" t="e">
        <f>_xlfn.XLOOKUP(G45,Models!A:A,Models!B:B)</f>
        <v>#N/A</v>
      </c>
      <c r="I45" t="e">
        <f>_xlfn.XLOOKUP(G45,Models!A:A,Models!E:E)</f>
        <v>#N/A</v>
      </c>
      <c r="J45" t="e">
        <f>_xlfn.XLOOKUP(G45,Models!A:A,Models!D:D)</f>
        <v>#N/A</v>
      </c>
      <c r="K45">
        <f>MacReports!F45</f>
        <v>0</v>
      </c>
      <c r="L45">
        <f>MacReports!G45</f>
        <v>0</v>
      </c>
      <c r="M45" s="15" t="e" cm="1">
        <f t="array" ref="M45">--_xlfn.LET(
    _xlpm.txt, MacReports!H45,
    _xlpm.chars, MID(_xlpm.txt, _xlfn.SEQUENCE(LEN(_xlpm.txt)), 1),
    _xlfn.TEXTJOIN("", TRUE, IF(ISNUMBER(--_xlpm.chars), _xlpm.chars, ""))
)</f>
        <v>#VALUE!</v>
      </c>
      <c r="N45" s="16" t="str" cm="1">
        <f t="array" ref="N45">_xlfn.IFS(
   --MacReports!M45&lt;55,"Battery Defect",
  -- MacReports!M45&lt;=69,"Battery D",
  --MacReports!M45&lt;=80,"Battery C",
 --MacReports!M45&gt;80,""
)</f>
        <v>Battery Defect</v>
      </c>
      <c r="O45" s="16" t="str">
        <f>IF(MacReports!I45="Service","Battery Service","")</f>
        <v/>
      </c>
      <c r="P45" s="13">
        <f>MacReports!P45</f>
        <v>0</v>
      </c>
      <c r="Q45" s="13" t="str">
        <f>IF(MacReports!J45="Enabled","Apple ID Lock","")</f>
        <v/>
      </c>
      <c r="R45" s="13" t="str">
        <f>IF(MacReports!L45="y","Remote Locked","")</f>
        <v/>
      </c>
      <c r="S45" t="str">
        <f t="shared" si="2"/>
        <v>Battery Defect, 0</v>
      </c>
      <c r="T45" t="str">
        <f>_xlfn.XLOOKUP(B45,Disk_Pivot!G:G,Disk_Pivot!I:I)</f>
        <v>No</v>
      </c>
      <c r="U45" t="str">
        <f>_xlfn.XLOOKUP(B45,Disk_Pivot!G:G,Disk_Pivot!N:N)</f>
        <v/>
      </c>
      <c r="V45" t="str">
        <f>IF(U45="Fail",MacReports!N45,"")</f>
        <v/>
      </c>
      <c r="AB45" t="str">
        <f t="shared" si="1"/>
        <v/>
      </c>
    </row>
    <row r="46" spans="1:28">
      <c r="A46">
        <f>MacReports!A46</f>
        <v>0</v>
      </c>
      <c r="B46">
        <f>MacReports!B46</f>
        <v>0</v>
      </c>
      <c r="F46" t="str">
        <f>_xlfn.XLOOKUP(B46,MacReports!B:B,MacReports!D:D,"")</f>
        <v/>
      </c>
      <c r="G46" s="13">
        <f>MacReports!E46</f>
        <v>0</v>
      </c>
      <c r="H46" t="e">
        <f>_xlfn.XLOOKUP(G46,Models!A:A,Models!B:B)</f>
        <v>#N/A</v>
      </c>
      <c r="I46" t="e">
        <f>_xlfn.XLOOKUP(G46,Models!A:A,Models!E:E)</f>
        <v>#N/A</v>
      </c>
      <c r="J46" t="e">
        <f>_xlfn.XLOOKUP(G46,Models!A:A,Models!D:D)</f>
        <v>#N/A</v>
      </c>
      <c r="K46">
        <f>MacReports!F46</f>
        <v>0</v>
      </c>
      <c r="L46">
        <f>MacReports!G46</f>
        <v>0</v>
      </c>
      <c r="M46" s="15" t="e" cm="1">
        <f t="array" ref="M46">--_xlfn.LET(
    _xlpm.txt, MacReports!H46,
    _xlpm.chars, MID(_xlpm.txt, _xlfn.SEQUENCE(LEN(_xlpm.txt)), 1),
    _xlfn.TEXTJOIN("", TRUE, IF(ISNUMBER(--_xlpm.chars), _xlpm.chars, ""))
)</f>
        <v>#VALUE!</v>
      </c>
      <c r="N46" s="16" t="str" cm="1">
        <f t="array" ref="N46">_xlfn.IFS(
   --MacReports!M46&lt;55,"Battery Defect",
  -- MacReports!M46&lt;=69,"Battery D",
  --MacReports!M46&lt;=80,"Battery C",
 --MacReports!M46&gt;80,""
)</f>
        <v>Battery Defect</v>
      </c>
      <c r="O46" s="16" t="str">
        <f>IF(MacReports!I46="Service","Battery Service","")</f>
        <v/>
      </c>
      <c r="P46" s="13">
        <f>MacReports!P46</f>
        <v>0</v>
      </c>
      <c r="Q46" s="13" t="str">
        <f>IF(MacReports!J46="Enabled","Apple ID Lock","")</f>
        <v/>
      </c>
      <c r="R46" s="13" t="str">
        <f>IF(MacReports!L46="y","Remote Locked","")</f>
        <v/>
      </c>
      <c r="S46" t="str">
        <f t="shared" si="2"/>
        <v>Battery Defect, 0</v>
      </c>
      <c r="T46" t="str">
        <f>_xlfn.XLOOKUP(B46,Disk_Pivot!G:G,Disk_Pivot!I:I)</f>
        <v>No</v>
      </c>
      <c r="U46" t="str">
        <f>_xlfn.XLOOKUP(B46,Disk_Pivot!G:G,Disk_Pivot!N:N)</f>
        <v/>
      </c>
      <c r="V46" t="str">
        <f>IF(U46="Fail",MacReports!N46,"")</f>
        <v/>
      </c>
      <c r="AB46" t="str">
        <f t="shared" si="1"/>
        <v/>
      </c>
    </row>
    <row r="47" spans="1:28">
      <c r="A47">
        <f>MacReports!A47</f>
        <v>0</v>
      </c>
      <c r="B47">
        <f>MacReports!B47</f>
        <v>0</v>
      </c>
      <c r="F47" t="str">
        <f>_xlfn.XLOOKUP(B47,MacReports!B:B,MacReports!D:D,"")</f>
        <v/>
      </c>
      <c r="G47" s="13">
        <f>MacReports!E47</f>
        <v>0</v>
      </c>
      <c r="H47" t="e">
        <f>_xlfn.XLOOKUP(G47,Models!A:A,Models!B:B)</f>
        <v>#N/A</v>
      </c>
      <c r="I47" t="e">
        <f>_xlfn.XLOOKUP(G47,Models!A:A,Models!E:E)</f>
        <v>#N/A</v>
      </c>
      <c r="J47" t="e">
        <f>_xlfn.XLOOKUP(G47,Models!A:A,Models!D:D)</f>
        <v>#N/A</v>
      </c>
      <c r="K47">
        <f>MacReports!F47</f>
        <v>0</v>
      </c>
      <c r="L47">
        <f>MacReports!G47</f>
        <v>0</v>
      </c>
      <c r="M47" s="15" t="e" cm="1">
        <f t="array" ref="M47">--_xlfn.LET(
    _xlpm.txt, MacReports!H47,
    _xlpm.chars, MID(_xlpm.txt, _xlfn.SEQUENCE(LEN(_xlpm.txt)), 1),
    _xlfn.TEXTJOIN("", TRUE, IF(ISNUMBER(--_xlpm.chars), _xlpm.chars, ""))
)</f>
        <v>#VALUE!</v>
      </c>
      <c r="N47" s="16" t="str" cm="1">
        <f t="array" ref="N47">_xlfn.IFS(
   --MacReports!M47&lt;55,"Battery Defect",
  -- MacReports!M47&lt;=69,"Battery D",
  --MacReports!M47&lt;=80,"Battery C",
 --MacReports!M47&gt;80,""
)</f>
        <v>Battery Defect</v>
      </c>
      <c r="O47" s="16" t="str">
        <f>IF(MacReports!I47="Service","Battery Service","")</f>
        <v/>
      </c>
      <c r="P47" s="13">
        <f>MacReports!P47</f>
        <v>0</v>
      </c>
      <c r="Q47" s="13" t="str">
        <f>IF(MacReports!J47="Enabled","Apple ID Lock","")</f>
        <v/>
      </c>
      <c r="R47" s="13" t="str">
        <f>IF(MacReports!L47="y","Remote Locked","")</f>
        <v/>
      </c>
      <c r="S47" t="str">
        <f t="shared" si="2"/>
        <v>Battery Defect, 0</v>
      </c>
      <c r="T47" t="str">
        <f>_xlfn.XLOOKUP(B47,Disk_Pivot!G:G,Disk_Pivot!I:I)</f>
        <v>No</v>
      </c>
      <c r="U47" t="str">
        <f>_xlfn.XLOOKUP(B47,Disk_Pivot!G:G,Disk_Pivot!N:N)</f>
        <v/>
      </c>
      <c r="V47" t="str">
        <f>IF(U47="Fail",MacReports!N47,"")</f>
        <v/>
      </c>
      <c r="AB47" t="str">
        <f t="shared" si="1"/>
        <v/>
      </c>
    </row>
    <row r="48" spans="1:28">
      <c r="A48">
        <f>MacReports!A48</f>
        <v>0</v>
      </c>
      <c r="B48">
        <f>MacReports!B48</f>
        <v>0</v>
      </c>
      <c r="F48" t="str">
        <f>_xlfn.XLOOKUP(B48,MacReports!B:B,MacReports!D:D,"")</f>
        <v/>
      </c>
      <c r="G48" s="13">
        <f>MacReports!E48</f>
        <v>0</v>
      </c>
      <c r="H48" t="e">
        <f>_xlfn.XLOOKUP(G48,Models!A:A,Models!B:B)</f>
        <v>#N/A</v>
      </c>
      <c r="I48" t="e">
        <f>_xlfn.XLOOKUP(G48,Models!A:A,Models!E:E)</f>
        <v>#N/A</v>
      </c>
      <c r="J48" t="e">
        <f>_xlfn.XLOOKUP(G48,Models!A:A,Models!D:D)</f>
        <v>#N/A</v>
      </c>
      <c r="K48">
        <f>MacReports!F48</f>
        <v>0</v>
      </c>
      <c r="L48">
        <f>MacReports!G48</f>
        <v>0</v>
      </c>
      <c r="M48" s="15" t="e" cm="1">
        <f t="array" ref="M48">--_xlfn.LET(
    _xlpm.txt, MacReports!H48,
    _xlpm.chars, MID(_xlpm.txt, _xlfn.SEQUENCE(LEN(_xlpm.txt)), 1),
    _xlfn.TEXTJOIN("", TRUE, IF(ISNUMBER(--_xlpm.chars), _xlpm.chars, ""))
)</f>
        <v>#VALUE!</v>
      </c>
      <c r="N48" s="16" t="str" cm="1">
        <f t="array" ref="N48">_xlfn.IFS(
   --MacReports!M48&lt;55,"Battery Defect",
  -- MacReports!M48&lt;=69,"Battery D",
  --MacReports!M48&lt;=80,"Battery C",
 --MacReports!M48&gt;80,""
)</f>
        <v>Battery Defect</v>
      </c>
      <c r="O48" s="16" t="str">
        <f>IF(MacReports!I48="Service","Battery Service","")</f>
        <v/>
      </c>
      <c r="P48" s="13">
        <f>MacReports!P48</f>
        <v>0</v>
      </c>
      <c r="Q48" s="13" t="str">
        <f>IF(MacReports!J48="Enabled","Apple ID Lock","")</f>
        <v/>
      </c>
      <c r="R48" s="13" t="str">
        <f>IF(MacReports!L48="y","Remote Locked","")</f>
        <v/>
      </c>
      <c r="S48" t="str">
        <f t="shared" si="2"/>
        <v>Battery Defect, 0</v>
      </c>
      <c r="T48" t="str">
        <f>_xlfn.XLOOKUP(B48,Disk_Pivot!G:G,Disk_Pivot!I:I)</f>
        <v>No</v>
      </c>
      <c r="U48" t="str">
        <f>_xlfn.XLOOKUP(B48,Disk_Pivot!G:G,Disk_Pivot!N:N)</f>
        <v/>
      </c>
      <c r="V48" t="str">
        <f>IF(U48="Fail",MacReports!N48,"")</f>
        <v/>
      </c>
      <c r="AB48" t="str">
        <f t="shared" si="1"/>
        <v/>
      </c>
    </row>
    <row r="49" spans="1:28">
      <c r="A49">
        <f>MacReports!A49</f>
        <v>0</v>
      </c>
      <c r="B49">
        <f>MacReports!B49</f>
        <v>0</v>
      </c>
      <c r="F49" t="str">
        <f>_xlfn.XLOOKUP(B49,MacReports!B:B,MacReports!D:D,"")</f>
        <v/>
      </c>
      <c r="G49" s="13">
        <f>MacReports!E49</f>
        <v>0</v>
      </c>
      <c r="H49" t="e">
        <f>_xlfn.XLOOKUP(G49,Models!A:A,Models!B:B)</f>
        <v>#N/A</v>
      </c>
      <c r="I49" t="e">
        <f>_xlfn.XLOOKUP(G49,Models!A:A,Models!E:E)</f>
        <v>#N/A</v>
      </c>
      <c r="J49" t="e">
        <f>_xlfn.XLOOKUP(G49,Models!A:A,Models!D:D)</f>
        <v>#N/A</v>
      </c>
      <c r="K49">
        <f>MacReports!F49</f>
        <v>0</v>
      </c>
      <c r="L49">
        <f>MacReports!G49</f>
        <v>0</v>
      </c>
      <c r="M49" s="15" t="e" cm="1">
        <f t="array" ref="M49">--_xlfn.LET(
    _xlpm.txt, MacReports!H49,
    _xlpm.chars, MID(_xlpm.txt, _xlfn.SEQUENCE(LEN(_xlpm.txt)), 1),
    _xlfn.TEXTJOIN("", TRUE, IF(ISNUMBER(--_xlpm.chars), _xlpm.chars, ""))
)</f>
        <v>#VALUE!</v>
      </c>
      <c r="N49" s="16" t="str" cm="1">
        <f t="array" ref="N49">_xlfn.IFS(
   --MacReports!M49&lt;55,"Battery Defect",
  -- MacReports!M49&lt;=69,"Battery D",
  --MacReports!M49&lt;=80,"Battery C",
 --MacReports!M49&gt;80,""
)</f>
        <v>Battery Defect</v>
      </c>
      <c r="O49" s="16" t="str">
        <f>IF(MacReports!I49="Service","Battery Service","")</f>
        <v/>
      </c>
      <c r="P49" s="13">
        <f>MacReports!P49</f>
        <v>0</v>
      </c>
      <c r="Q49" s="13" t="str">
        <f>IF(MacReports!J49="Enabled","Apple ID Lock","")</f>
        <v/>
      </c>
      <c r="R49" s="13" t="str">
        <f>IF(MacReports!L49="y","Remote Locked","")</f>
        <v/>
      </c>
      <c r="S49" t="str">
        <f t="shared" si="2"/>
        <v>Battery Defect, 0</v>
      </c>
      <c r="T49" t="str">
        <f>_xlfn.XLOOKUP(B49,Disk_Pivot!G:G,Disk_Pivot!I:I)</f>
        <v>No</v>
      </c>
      <c r="U49" t="str">
        <f>_xlfn.XLOOKUP(B49,Disk_Pivot!G:G,Disk_Pivot!N:N)</f>
        <v/>
      </c>
      <c r="V49" t="str">
        <f>IF(U49="Fail",MacReports!N49,"")</f>
        <v/>
      </c>
      <c r="AB49" t="str">
        <f t="shared" si="1"/>
        <v/>
      </c>
    </row>
    <row r="50" spans="1:28">
      <c r="A50">
        <f>MacReports!A50</f>
        <v>0</v>
      </c>
      <c r="B50">
        <f>MacReports!B50</f>
        <v>0</v>
      </c>
      <c r="F50" t="str">
        <f>_xlfn.XLOOKUP(B50,MacReports!B:B,MacReports!D:D,"")</f>
        <v/>
      </c>
      <c r="G50" s="13">
        <f>MacReports!E50</f>
        <v>0</v>
      </c>
      <c r="H50" t="e">
        <f>_xlfn.XLOOKUP(G50,Models!A:A,Models!B:B)</f>
        <v>#N/A</v>
      </c>
      <c r="I50" t="e">
        <f>_xlfn.XLOOKUP(G50,Models!A:A,Models!E:E)</f>
        <v>#N/A</v>
      </c>
      <c r="J50" t="e">
        <f>_xlfn.XLOOKUP(G50,Models!A:A,Models!D:D)</f>
        <v>#N/A</v>
      </c>
      <c r="K50">
        <f>MacReports!F50</f>
        <v>0</v>
      </c>
      <c r="L50">
        <f>MacReports!G50</f>
        <v>0</v>
      </c>
      <c r="M50" s="15" t="e" cm="1">
        <f t="array" ref="M50">--_xlfn.LET(
    _xlpm.txt, MacReports!H50,
    _xlpm.chars, MID(_xlpm.txt, _xlfn.SEQUENCE(LEN(_xlpm.txt)), 1),
    _xlfn.TEXTJOIN("", TRUE, IF(ISNUMBER(--_xlpm.chars), _xlpm.chars, ""))
)</f>
        <v>#VALUE!</v>
      </c>
      <c r="N50" s="16" t="str" cm="1">
        <f t="array" ref="N50">_xlfn.IFS(
   --MacReports!M50&lt;55,"Battery Defect",
  -- MacReports!M50&lt;=69,"Battery D",
  --MacReports!M50&lt;=80,"Battery C",
 --MacReports!M50&gt;80,""
)</f>
        <v>Battery Defect</v>
      </c>
      <c r="O50" s="16" t="str">
        <f>IF(MacReports!I50="Service","Battery Service","")</f>
        <v/>
      </c>
      <c r="P50" s="13">
        <f>MacReports!P50</f>
        <v>0</v>
      </c>
      <c r="Q50" s="13" t="str">
        <f>IF(MacReports!J50="Enabled","Apple ID Lock","")</f>
        <v/>
      </c>
      <c r="R50" s="13" t="str">
        <f>IF(MacReports!L50="y","Remote Locked","")</f>
        <v/>
      </c>
      <c r="S50" t="str">
        <f t="shared" si="2"/>
        <v>Battery Defect, 0</v>
      </c>
      <c r="T50" t="str">
        <f>_xlfn.XLOOKUP(B50,Disk_Pivot!G:G,Disk_Pivot!I:I)</f>
        <v>No</v>
      </c>
      <c r="U50" t="str">
        <f>_xlfn.XLOOKUP(B50,Disk_Pivot!G:G,Disk_Pivot!N:N)</f>
        <v/>
      </c>
      <c r="V50" t="str">
        <f>IF(U50="Fail",MacReports!N50,"")</f>
        <v/>
      </c>
      <c r="AB50" t="str">
        <f t="shared" si="1"/>
        <v/>
      </c>
    </row>
    <row r="51" spans="1:28">
      <c r="A51">
        <f>MacReports!A51</f>
        <v>0</v>
      </c>
      <c r="B51">
        <f>MacReports!B51</f>
        <v>0</v>
      </c>
      <c r="F51" t="str">
        <f>_xlfn.XLOOKUP(B51,MacReports!B:B,MacReports!D:D,"")</f>
        <v/>
      </c>
      <c r="G51" s="13">
        <f>MacReports!E51</f>
        <v>0</v>
      </c>
      <c r="H51" t="e">
        <f>_xlfn.XLOOKUP(G51,Models!A:A,Models!B:B)</f>
        <v>#N/A</v>
      </c>
      <c r="I51" t="e">
        <f>_xlfn.XLOOKUP(G51,Models!A:A,Models!E:E)</f>
        <v>#N/A</v>
      </c>
      <c r="J51" t="e">
        <f>_xlfn.XLOOKUP(G51,Models!A:A,Models!D:D)</f>
        <v>#N/A</v>
      </c>
      <c r="K51">
        <f>MacReports!F51</f>
        <v>0</v>
      </c>
      <c r="L51">
        <f>MacReports!G51</f>
        <v>0</v>
      </c>
      <c r="M51" s="15" t="e" cm="1">
        <f t="array" ref="M51">--_xlfn.LET(
    _xlpm.txt, MacReports!H51,
    _xlpm.chars, MID(_xlpm.txt, _xlfn.SEQUENCE(LEN(_xlpm.txt)), 1),
    _xlfn.TEXTJOIN("", TRUE, IF(ISNUMBER(--_xlpm.chars), _xlpm.chars, ""))
)</f>
        <v>#VALUE!</v>
      </c>
      <c r="N51" s="16" t="str" cm="1">
        <f t="array" ref="N51">_xlfn.IFS(
   --MacReports!M51&lt;55,"Battery Defect",
  -- MacReports!M51&lt;=69,"Battery D",
  --MacReports!M51&lt;=80,"Battery C",
 --MacReports!M51&gt;80,""
)</f>
        <v>Battery Defect</v>
      </c>
      <c r="O51" s="16" t="str">
        <f>IF(MacReports!I51="Service","Battery Service","")</f>
        <v/>
      </c>
      <c r="P51" s="13">
        <f>MacReports!P51</f>
        <v>0</v>
      </c>
      <c r="Q51" s="13" t="str">
        <f>IF(MacReports!J51="Enabled","Apple ID Lock","")</f>
        <v/>
      </c>
      <c r="R51" s="13" t="str">
        <f>IF(MacReports!L51="y","Remote Locked","")</f>
        <v/>
      </c>
      <c r="S51" t="str">
        <f t="shared" si="2"/>
        <v>Battery Defect, 0</v>
      </c>
      <c r="T51" t="str">
        <f>_xlfn.XLOOKUP(B51,Disk_Pivot!G:G,Disk_Pivot!I:I)</f>
        <v>No</v>
      </c>
      <c r="U51" t="str">
        <f>_xlfn.XLOOKUP(B51,Disk_Pivot!G:G,Disk_Pivot!N:N)</f>
        <v/>
      </c>
      <c r="V51" t="str">
        <f>IF(U51="Fail",MacReports!N51,"")</f>
        <v/>
      </c>
      <c r="AB51" t="str">
        <f t="shared" si="1"/>
        <v/>
      </c>
    </row>
    <row r="52" spans="1:28">
      <c r="A52">
        <f>MacReports!A52</f>
        <v>0</v>
      </c>
      <c r="B52">
        <f>MacReports!B52</f>
        <v>0</v>
      </c>
      <c r="F52" t="str">
        <f>_xlfn.XLOOKUP(B52,MacReports!B:B,MacReports!D:D,"")</f>
        <v/>
      </c>
      <c r="G52" s="13">
        <f>MacReports!E52</f>
        <v>0</v>
      </c>
      <c r="H52" t="e">
        <f>_xlfn.XLOOKUP(G52,Models!A:A,Models!B:B)</f>
        <v>#N/A</v>
      </c>
      <c r="I52" t="e">
        <f>_xlfn.XLOOKUP(G52,Models!A:A,Models!E:E)</f>
        <v>#N/A</v>
      </c>
      <c r="J52" t="e">
        <f>_xlfn.XLOOKUP(G52,Models!A:A,Models!D:D)</f>
        <v>#N/A</v>
      </c>
      <c r="K52">
        <f>MacReports!F52</f>
        <v>0</v>
      </c>
      <c r="L52">
        <f>MacReports!G52</f>
        <v>0</v>
      </c>
      <c r="M52" s="15" t="e" cm="1">
        <f t="array" ref="M52">--_xlfn.LET(
    _xlpm.txt, MacReports!H52,
    _xlpm.chars, MID(_xlpm.txt, _xlfn.SEQUENCE(LEN(_xlpm.txt)), 1),
    _xlfn.TEXTJOIN("", TRUE, IF(ISNUMBER(--_xlpm.chars), _xlpm.chars, ""))
)</f>
        <v>#VALUE!</v>
      </c>
      <c r="N52" s="16" t="str" cm="1">
        <f t="array" ref="N52">_xlfn.IFS(
   --MacReports!M52&lt;55,"Battery Defect",
  -- MacReports!M52&lt;=69,"Battery D",
  --MacReports!M52&lt;=80,"Battery C",
 --MacReports!M52&gt;80,""
)</f>
        <v>Battery Defect</v>
      </c>
      <c r="O52" s="16" t="str">
        <f>IF(MacReports!I52="Service","Battery Service","")</f>
        <v/>
      </c>
      <c r="P52" s="13">
        <f>MacReports!P52</f>
        <v>0</v>
      </c>
      <c r="Q52" s="13" t="str">
        <f>IF(MacReports!J52="Enabled","Apple ID Lock","")</f>
        <v/>
      </c>
      <c r="R52" s="13" t="str">
        <f>IF(MacReports!L52="y","Remote Locked","")</f>
        <v/>
      </c>
      <c r="S52" t="str">
        <f t="shared" si="2"/>
        <v>Battery Defect, 0</v>
      </c>
      <c r="T52" t="str">
        <f>_xlfn.XLOOKUP(B52,Disk_Pivot!G:G,Disk_Pivot!I:I)</f>
        <v>No</v>
      </c>
      <c r="U52" t="str">
        <f>_xlfn.XLOOKUP(B52,Disk_Pivot!G:G,Disk_Pivot!N:N)</f>
        <v/>
      </c>
      <c r="V52" t="str">
        <f>IF(U52="Fail",MacReports!N52,"")</f>
        <v/>
      </c>
      <c r="AB52" t="str">
        <f t="shared" si="1"/>
        <v/>
      </c>
    </row>
    <row r="53" spans="1:28">
      <c r="B53">
        <f>MacReports!B53</f>
        <v>0</v>
      </c>
      <c r="F53" t="str">
        <f>_xlfn.XLOOKUP(B53,MacReports!B:B,MacReports!D:D,"")</f>
        <v/>
      </c>
      <c r="AB53" t="str">
        <f t="shared" si="1"/>
        <v/>
      </c>
    </row>
    <row r="54" spans="1:28">
      <c r="B54">
        <f>MacReports!B54</f>
        <v>0</v>
      </c>
      <c r="F54" t="str">
        <f>_xlfn.XLOOKUP(B54,MacReports!B:B,MacReports!D:D,"")</f>
        <v/>
      </c>
      <c r="AB54" t="str">
        <f t="shared" si="1"/>
        <v/>
      </c>
    </row>
    <row r="55" spans="1:28">
      <c r="B55">
        <f>MacReports!B55</f>
        <v>0</v>
      </c>
      <c r="F55" t="str">
        <f>_xlfn.XLOOKUP(B55,MacReports!B:B,MacReports!D:D,"")</f>
        <v/>
      </c>
      <c r="AB55" t="str">
        <f t="shared" si="1"/>
        <v/>
      </c>
    </row>
    <row r="56" spans="1:28">
      <c r="B56">
        <f>MacReports!B56</f>
        <v>0</v>
      </c>
      <c r="F56" t="str">
        <f>_xlfn.XLOOKUP(B56,MacReports!B:B,MacReports!D:D,"")</f>
        <v/>
      </c>
      <c r="AB56" t="str">
        <f t="shared" si="1"/>
        <v/>
      </c>
    </row>
    <row r="57" spans="1:28">
      <c r="B57">
        <f>MacReports!B57</f>
        <v>0</v>
      </c>
      <c r="F57" t="str">
        <f>_xlfn.XLOOKUP(B57,MacReports!B:B,MacReports!D:D,"")</f>
        <v/>
      </c>
      <c r="AB57" t="str">
        <f t="shared" si="1"/>
        <v/>
      </c>
    </row>
    <row r="58" spans="1:28">
      <c r="B58">
        <f>MacReports!B58</f>
        <v>0</v>
      </c>
      <c r="F58" t="str">
        <f>_xlfn.XLOOKUP(B58,MacReports!B:B,MacReports!D:D,"")</f>
        <v/>
      </c>
      <c r="AB58" t="str">
        <f t="shared" si="1"/>
        <v/>
      </c>
    </row>
    <row r="59" spans="1:28">
      <c r="B59">
        <f>MacReports!B59</f>
        <v>0</v>
      </c>
      <c r="F59" t="str">
        <f>_xlfn.XLOOKUP(B59,MacReports!B:B,MacReports!D:D,"")</f>
        <v/>
      </c>
      <c r="AB59" t="str">
        <f t="shared" si="1"/>
        <v/>
      </c>
    </row>
    <row r="60" spans="1:28">
      <c r="B60">
        <f>MacReports!B60</f>
        <v>0</v>
      </c>
      <c r="F60" t="str">
        <f>_xlfn.XLOOKUP(B60,MacReports!B:B,MacReports!D:D,"")</f>
        <v/>
      </c>
      <c r="AB60" t="str">
        <f t="shared" si="1"/>
        <v/>
      </c>
    </row>
    <row r="61" spans="1:28">
      <c r="B61">
        <f>MacReports!B61</f>
        <v>0</v>
      </c>
      <c r="F61" t="str">
        <f>_xlfn.XLOOKUP(B61,MacReports!B:B,MacReports!D:D,"")</f>
        <v/>
      </c>
      <c r="AB61" t="str">
        <f t="shared" si="1"/>
        <v/>
      </c>
    </row>
    <row r="62" spans="1:28">
      <c r="B62">
        <f>MacReports!B62</f>
        <v>0</v>
      </c>
      <c r="F62" t="str">
        <f>_xlfn.XLOOKUP(B62,MacReports!B:B,MacReports!D:D,"")</f>
        <v/>
      </c>
      <c r="AB62" t="str">
        <f t="shared" si="1"/>
        <v/>
      </c>
    </row>
    <row r="63" spans="1:28">
      <c r="B63">
        <f>MacReports!B63</f>
        <v>0</v>
      </c>
      <c r="F63" t="str">
        <f>_xlfn.XLOOKUP(B63,MacReports!B:B,MacReports!D:D,"")</f>
        <v/>
      </c>
      <c r="AB63" t="str">
        <f t="shared" si="1"/>
        <v/>
      </c>
    </row>
    <row r="64" spans="1:28">
      <c r="B64">
        <f>MacReports!B64</f>
        <v>0</v>
      </c>
      <c r="F64" t="str">
        <f>_xlfn.XLOOKUP(B64,MacReports!B:B,MacReports!D:D,"")</f>
        <v/>
      </c>
      <c r="AB64" t="str">
        <f t="shared" si="1"/>
        <v/>
      </c>
    </row>
    <row r="65" spans="2:28">
      <c r="B65">
        <f>MacReports!B65</f>
        <v>0</v>
      </c>
      <c r="F65" t="str">
        <f>_xlfn.XLOOKUP(B65,MacReports!B:B,MacReports!D:D,"")</f>
        <v/>
      </c>
      <c r="AB65" t="str">
        <f t="shared" si="1"/>
        <v/>
      </c>
    </row>
    <row r="66" spans="2:28">
      <c r="B66">
        <f>MacReports!B66</f>
        <v>0</v>
      </c>
      <c r="F66" t="str">
        <f>_xlfn.XLOOKUP(B66,MacReports!B:B,MacReports!D:D,"")</f>
        <v/>
      </c>
      <c r="AB66" t="str">
        <f t="shared" si="1"/>
        <v/>
      </c>
    </row>
    <row r="67" spans="2:28">
      <c r="B67">
        <f>MacReports!B67</f>
        <v>0</v>
      </c>
      <c r="F67" t="str">
        <f>_xlfn.XLOOKUP(B67,MacReports!B:B,MacReports!D:D,"")</f>
        <v/>
      </c>
      <c r="AB67" t="str">
        <f t="shared" ref="AB67:AB130" si="3">_xlfn.TEXTJOIN(", ",TRUE,Q67,R67)</f>
        <v/>
      </c>
    </row>
    <row r="68" spans="2:28">
      <c r="B68">
        <f>MacReports!B68</f>
        <v>0</v>
      </c>
      <c r="F68" t="str">
        <f>_xlfn.XLOOKUP(B68,MacReports!B:B,MacReports!D:D,"")</f>
        <v/>
      </c>
      <c r="AB68" t="str">
        <f t="shared" si="3"/>
        <v/>
      </c>
    </row>
    <row r="69" spans="2:28">
      <c r="B69">
        <f>MacReports!B69</f>
        <v>0</v>
      </c>
      <c r="F69" t="str">
        <f>_xlfn.XLOOKUP(B69,MacReports!B:B,MacReports!D:D,"")</f>
        <v/>
      </c>
      <c r="AB69" t="str">
        <f t="shared" si="3"/>
        <v/>
      </c>
    </row>
    <row r="70" spans="2:28">
      <c r="B70">
        <f>MacReports!B70</f>
        <v>0</v>
      </c>
      <c r="F70" t="str">
        <f>_xlfn.XLOOKUP(B70,MacReports!B:B,MacReports!D:D,"")</f>
        <v/>
      </c>
      <c r="AB70" t="str">
        <f t="shared" si="3"/>
        <v/>
      </c>
    </row>
    <row r="71" spans="2:28">
      <c r="B71">
        <f>MacReports!B71</f>
        <v>0</v>
      </c>
      <c r="F71" t="str">
        <f>_xlfn.XLOOKUP(B71,MacReports!B:B,MacReports!D:D,"")</f>
        <v/>
      </c>
      <c r="AB71" t="str">
        <f t="shared" si="3"/>
        <v/>
      </c>
    </row>
    <row r="72" spans="2:28">
      <c r="B72">
        <f>MacReports!B72</f>
        <v>0</v>
      </c>
      <c r="F72" t="str">
        <f>_xlfn.XLOOKUP(B72,MacReports!B:B,MacReports!D:D,"")</f>
        <v/>
      </c>
      <c r="AB72" t="str">
        <f t="shared" si="3"/>
        <v/>
      </c>
    </row>
    <row r="73" spans="2:28">
      <c r="B73">
        <f>MacReports!B73</f>
        <v>0</v>
      </c>
      <c r="F73" t="str">
        <f>_xlfn.XLOOKUP(B73,MacReports!B:B,MacReports!D:D,"")</f>
        <v/>
      </c>
      <c r="AB73" t="str">
        <f t="shared" si="3"/>
        <v/>
      </c>
    </row>
    <row r="74" spans="2:28">
      <c r="B74">
        <f>MacReports!B74</f>
        <v>0</v>
      </c>
      <c r="F74" t="str">
        <f>_xlfn.XLOOKUP(B74,MacReports!B:B,MacReports!D:D,"")</f>
        <v/>
      </c>
      <c r="AB74" t="str">
        <f t="shared" si="3"/>
        <v/>
      </c>
    </row>
    <row r="75" spans="2:28">
      <c r="B75">
        <f>MacReports!B75</f>
        <v>0</v>
      </c>
      <c r="F75" t="str">
        <f>_xlfn.XLOOKUP(B75,MacReports!B:B,MacReports!D:D,"")</f>
        <v/>
      </c>
      <c r="AB75" t="str">
        <f t="shared" si="3"/>
        <v/>
      </c>
    </row>
    <row r="76" spans="2:28">
      <c r="B76">
        <f>MacReports!B76</f>
        <v>0</v>
      </c>
      <c r="F76" t="str">
        <f>_xlfn.XLOOKUP(B76,MacReports!B:B,MacReports!D:D,"")</f>
        <v/>
      </c>
      <c r="AB76" t="str">
        <f t="shared" si="3"/>
        <v/>
      </c>
    </row>
    <row r="77" spans="2:28">
      <c r="B77">
        <f>MacReports!B77</f>
        <v>0</v>
      </c>
      <c r="F77" t="str">
        <f>_xlfn.XLOOKUP(B77,MacReports!B:B,MacReports!D:D,"")</f>
        <v/>
      </c>
      <c r="AB77" t="str">
        <f t="shared" si="3"/>
        <v/>
      </c>
    </row>
    <row r="78" spans="2:28">
      <c r="B78">
        <f>MacReports!B78</f>
        <v>0</v>
      </c>
      <c r="F78" t="str">
        <f>_xlfn.XLOOKUP(B78,MacReports!B:B,MacReports!D:D,"")</f>
        <v/>
      </c>
      <c r="AB78" t="str">
        <f t="shared" si="3"/>
        <v/>
      </c>
    </row>
    <row r="79" spans="2:28">
      <c r="B79">
        <f>MacReports!B79</f>
        <v>0</v>
      </c>
      <c r="F79" t="str">
        <f>_xlfn.XLOOKUP(B79,MacReports!B:B,MacReports!D:D,"")</f>
        <v/>
      </c>
      <c r="AB79" t="str">
        <f t="shared" si="3"/>
        <v/>
      </c>
    </row>
    <row r="80" spans="2:28">
      <c r="B80">
        <f>MacReports!B80</f>
        <v>0</v>
      </c>
      <c r="F80" t="str">
        <f>_xlfn.XLOOKUP(B80,MacReports!B:B,MacReports!D:D,"")</f>
        <v/>
      </c>
      <c r="AB80" t="str">
        <f t="shared" si="3"/>
        <v/>
      </c>
    </row>
    <row r="81" spans="2:28">
      <c r="B81">
        <f>MacReports!B81</f>
        <v>0</v>
      </c>
      <c r="F81" t="str">
        <f>_xlfn.XLOOKUP(B81,MacReports!B:B,MacReports!D:D,"")</f>
        <v/>
      </c>
      <c r="AB81" t="str">
        <f t="shared" si="3"/>
        <v/>
      </c>
    </row>
    <row r="82" spans="2:28">
      <c r="B82">
        <f>MacReports!B82</f>
        <v>0</v>
      </c>
      <c r="F82" t="str">
        <f>_xlfn.XLOOKUP(B82,MacReports!B:B,MacReports!D:D,"")</f>
        <v/>
      </c>
      <c r="AB82" t="str">
        <f t="shared" si="3"/>
        <v/>
      </c>
    </row>
    <row r="83" spans="2:28">
      <c r="B83">
        <f>MacReports!B83</f>
        <v>0</v>
      </c>
      <c r="F83" t="str">
        <f>_xlfn.XLOOKUP(B83,MacReports!B:B,MacReports!D:D,"")</f>
        <v/>
      </c>
      <c r="AB83" t="str">
        <f t="shared" si="3"/>
        <v/>
      </c>
    </row>
    <row r="84" spans="2:28">
      <c r="B84">
        <f>MacReports!B84</f>
        <v>0</v>
      </c>
      <c r="F84" t="str">
        <f>_xlfn.XLOOKUP(B84,MacReports!B:B,MacReports!D:D,"")</f>
        <v/>
      </c>
      <c r="AB84" t="str">
        <f t="shared" si="3"/>
        <v/>
      </c>
    </row>
    <row r="85" spans="2:28">
      <c r="B85">
        <f>MacReports!B85</f>
        <v>0</v>
      </c>
      <c r="F85" t="str">
        <f>_xlfn.XLOOKUP(B85,MacReports!B:B,MacReports!D:D,"")</f>
        <v/>
      </c>
      <c r="AB85" t="str">
        <f t="shared" si="3"/>
        <v/>
      </c>
    </row>
    <row r="86" spans="2:28">
      <c r="B86">
        <f>MacReports!B86</f>
        <v>0</v>
      </c>
      <c r="F86" t="str">
        <f>_xlfn.XLOOKUP(B86,MacReports!B:B,MacReports!D:D,"")</f>
        <v/>
      </c>
      <c r="AB86" t="str">
        <f t="shared" si="3"/>
        <v/>
      </c>
    </row>
    <row r="87" spans="2:28">
      <c r="B87">
        <f>MacReports!B87</f>
        <v>0</v>
      </c>
      <c r="F87" t="str">
        <f>_xlfn.XLOOKUP(B87,MacReports!B:B,MacReports!D:D,"")</f>
        <v/>
      </c>
      <c r="AB87" t="str">
        <f t="shared" si="3"/>
        <v/>
      </c>
    </row>
    <row r="88" spans="2:28">
      <c r="B88">
        <f>MacReports!B88</f>
        <v>0</v>
      </c>
      <c r="F88" t="str">
        <f>_xlfn.XLOOKUP(B88,MacReports!B:B,MacReports!D:D,"")</f>
        <v/>
      </c>
      <c r="AB88" t="str">
        <f t="shared" si="3"/>
        <v/>
      </c>
    </row>
    <row r="89" spans="2:28">
      <c r="B89">
        <f>MacReports!B89</f>
        <v>0</v>
      </c>
      <c r="F89" t="str">
        <f>_xlfn.XLOOKUP(B89,MacReports!B:B,MacReports!D:D,"")</f>
        <v/>
      </c>
      <c r="AB89" t="str">
        <f t="shared" si="3"/>
        <v/>
      </c>
    </row>
    <row r="90" spans="2:28">
      <c r="B90">
        <f>MacReports!B90</f>
        <v>0</v>
      </c>
      <c r="F90" t="str">
        <f>_xlfn.XLOOKUP(B90,MacReports!B:B,MacReports!D:D,"")</f>
        <v/>
      </c>
      <c r="AB90" t="str">
        <f t="shared" si="3"/>
        <v/>
      </c>
    </row>
    <row r="91" spans="2:28">
      <c r="B91">
        <f>MacReports!B91</f>
        <v>0</v>
      </c>
      <c r="F91" t="str">
        <f>_xlfn.XLOOKUP(B91,MacReports!B:B,MacReports!D:D,"")</f>
        <v/>
      </c>
      <c r="AB91" t="str">
        <f t="shared" si="3"/>
        <v/>
      </c>
    </row>
    <row r="92" spans="2:28">
      <c r="B92">
        <f>MacReports!B92</f>
        <v>0</v>
      </c>
      <c r="F92" t="str">
        <f>_xlfn.XLOOKUP(B92,MacReports!B:B,MacReports!D:D,"")</f>
        <v/>
      </c>
      <c r="AB92" t="str">
        <f t="shared" si="3"/>
        <v/>
      </c>
    </row>
    <row r="93" spans="2:28">
      <c r="B93">
        <f>MacReports!B93</f>
        <v>0</v>
      </c>
      <c r="F93" t="str">
        <f>_xlfn.XLOOKUP(B93,MacReports!B:B,MacReports!D:D,"")</f>
        <v/>
      </c>
      <c r="AB93" t="str">
        <f t="shared" si="3"/>
        <v/>
      </c>
    </row>
    <row r="94" spans="2:28">
      <c r="B94">
        <f>MacReports!B94</f>
        <v>0</v>
      </c>
      <c r="F94" t="str">
        <f>_xlfn.XLOOKUP(B94,MacReports!B:B,MacReports!D:D,"")</f>
        <v/>
      </c>
      <c r="AB94" t="str">
        <f t="shared" si="3"/>
        <v/>
      </c>
    </row>
    <row r="95" spans="2:28">
      <c r="B95">
        <f>MacReports!B95</f>
        <v>0</v>
      </c>
      <c r="F95" t="str">
        <f>_xlfn.XLOOKUP(B95,MacReports!B:B,MacReports!D:D,"")</f>
        <v/>
      </c>
      <c r="AB95" t="str">
        <f t="shared" si="3"/>
        <v/>
      </c>
    </row>
    <row r="96" spans="2:28">
      <c r="B96">
        <f>MacReports!B96</f>
        <v>0</v>
      </c>
      <c r="F96" t="str">
        <f>_xlfn.XLOOKUP(B96,MacReports!B:B,MacReports!D:D,"")</f>
        <v/>
      </c>
      <c r="AB96" t="str">
        <f t="shared" si="3"/>
        <v/>
      </c>
    </row>
    <row r="97" spans="2:28">
      <c r="B97">
        <f>MacReports!B97</f>
        <v>0</v>
      </c>
      <c r="F97" t="str">
        <f>_xlfn.XLOOKUP(B97,MacReports!B:B,MacReports!D:D,"")</f>
        <v/>
      </c>
      <c r="AB97" t="str">
        <f t="shared" si="3"/>
        <v/>
      </c>
    </row>
    <row r="98" spans="2:28">
      <c r="B98">
        <f>MacReports!B98</f>
        <v>0</v>
      </c>
      <c r="F98" t="str">
        <f>_xlfn.XLOOKUP(B98,MacReports!B:B,MacReports!D:D,"")</f>
        <v/>
      </c>
      <c r="AB98" t="str">
        <f t="shared" si="3"/>
        <v/>
      </c>
    </row>
    <row r="99" spans="2:28">
      <c r="B99">
        <f>MacReports!B99</f>
        <v>0</v>
      </c>
      <c r="F99" t="str">
        <f>_xlfn.XLOOKUP(B99,MacReports!B:B,MacReports!D:D,"")</f>
        <v/>
      </c>
      <c r="AB99" t="str">
        <f t="shared" si="3"/>
        <v/>
      </c>
    </row>
    <row r="100" spans="2:28">
      <c r="B100">
        <f>MacReports!B100</f>
        <v>0</v>
      </c>
      <c r="F100" t="str">
        <f>_xlfn.XLOOKUP(B100,MacReports!B:B,MacReports!D:D,"")</f>
        <v/>
      </c>
      <c r="AB100" t="str">
        <f t="shared" si="3"/>
        <v/>
      </c>
    </row>
    <row r="101" spans="2:28">
      <c r="B101">
        <f>MacReports!B101</f>
        <v>0</v>
      </c>
      <c r="F101" t="str">
        <f>_xlfn.XLOOKUP(B101,MacReports!B:B,MacReports!D:D,"")</f>
        <v/>
      </c>
      <c r="AB101" t="str">
        <f t="shared" si="3"/>
        <v/>
      </c>
    </row>
    <row r="102" spans="2:28">
      <c r="B102">
        <f>MacReports!B102</f>
        <v>0</v>
      </c>
      <c r="F102" t="str">
        <f>_xlfn.XLOOKUP(B102,MacReports!B:B,MacReports!D:D,"")</f>
        <v/>
      </c>
      <c r="AB102" t="str">
        <f t="shared" si="3"/>
        <v/>
      </c>
    </row>
    <row r="103" spans="2:28">
      <c r="B103">
        <f>MacReports!B103</f>
        <v>0</v>
      </c>
      <c r="F103" t="str">
        <f>_xlfn.XLOOKUP(B103,MacReports!B:B,MacReports!D:D,"")</f>
        <v/>
      </c>
      <c r="AB103" t="str">
        <f t="shared" si="3"/>
        <v/>
      </c>
    </row>
    <row r="104" spans="2:28">
      <c r="B104">
        <f>MacReports!B104</f>
        <v>0</v>
      </c>
      <c r="F104" t="str">
        <f>_xlfn.XLOOKUP(B104,MacReports!B:B,MacReports!D:D,"")</f>
        <v/>
      </c>
      <c r="AB104" t="str">
        <f t="shared" si="3"/>
        <v/>
      </c>
    </row>
    <row r="105" spans="2:28">
      <c r="B105">
        <f>MacReports!B105</f>
        <v>0</v>
      </c>
      <c r="F105" t="str">
        <f>_xlfn.XLOOKUP(B105,MacReports!B:B,MacReports!D:D,"")</f>
        <v/>
      </c>
      <c r="AB105" t="str">
        <f t="shared" si="3"/>
        <v/>
      </c>
    </row>
    <row r="106" spans="2:28">
      <c r="B106">
        <f>MacReports!B106</f>
        <v>0</v>
      </c>
      <c r="F106" t="str">
        <f>_xlfn.XLOOKUP(B106,MacReports!B:B,MacReports!D:D,"")</f>
        <v/>
      </c>
      <c r="AB106" t="str">
        <f t="shared" si="3"/>
        <v/>
      </c>
    </row>
    <row r="107" spans="2:28">
      <c r="B107">
        <f>MacReports!B107</f>
        <v>0</v>
      </c>
      <c r="F107" t="str">
        <f>_xlfn.XLOOKUP(B107,MacReports!B:B,MacReports!D:D,"")</f>
        <v/>
      </c>
      <c r="AB107" t="str">
        <f t="shared" si="3"/>
        <v/>
      </c>
    </row>
    <row r="108" spans="2:28">
      <c r="B108">
        <f>MacReports!B108</f>
        <v>0</v>
      </c>
      <c r="F108" t="str">
        <f>_xlfn.XLOOKUP(B108,MacReports!B:B,MacReports!D:D,"")</f>
        <v/>
      </c>
      <c r="AB108" t="str">
        <f t="shared" si="3"/>
        <v/>
      </c>
    </row>
    <row r="109" spans="2:28">
      <c r="B109">
        <f>MacReports!B109</f>
        <v>0</v>
      </c>
      <c r="F109" t="str">
        <f>_xlfn.XLOOKUP(B109,MacReports!B:B,MacReports!D:D,"")</f>
        <v/>
      </c>
      <c r="AB109" t="str">
        <f t="shared" si="3"/>
        <v/>
      </c>
    </row>
    <row r="110" spans="2:28">
      <c r="B110">
        <f>MacReports!B110</f>
        <v>0</v>
      </c>
      <c r="F110" t="str">
        <f>_xlfn.XLOOKUP(B110,MacReports!B:B,MacReports!D:D,"")</f>
        <v/>
      </c>
      <c r="AB110" t="str">
        <f t="shared" si="3"/>
        <v/>
      </c>
    </row>
    <row r="111" spans="2:28">
      <c r="B111">
        <f>MacReports!B111</f>
        <v>0</v>
      </c>
      <c r="F111" t="str">
        <f>_xlfn.XLOOKUP(B111,MacReports!B:B,MacReports!D:D,"")</f>
        <v/>
      </c>
      <c r="AB111" t="str">
        <f t="shared" si="3"/>
        <v/>
      </c>
    </row>
    <row r="112" spans="2:28">
      <c r="B112">
        <f>MacReports!B112</f>
        <v>0</v>
      </c>
      <c r="F112" t="str">
        <f>_xlfn.XLOOKUP(B112,MacReports!B:B,MacReports!D:D,"")</f>
        <v/>
      </c>
      <c r="AB112" t="str">
        <f t="shared" si="3"/>
        <v/>
      </c>
    </row>
    <row r="113" spans="2:28">
      <c r="B113">
        <f>MacReports!B113</f>
        <v>0</v>
      </c>
      <c r="F113" t="str">
        <f>_xlfn.XLOOKUP(B113,MacReports!B:B,MacReports!D:D,"")</f>
        <v/>
      </c>
      <c r="AB113" t="str">
        <f t="shared" si="3"/>
        <v/>
      </c>
    </row>
    <row r="114" spans="2:28">
      <c r="B114">
        <f>MacReports!B114</f>
        <v>0</v>
      </c>
      <c r="F114" t="str">
        <f>_xlfn.XLOOKUP(B114,MacReports!B:B,MacReports!D:D,"")</f>
        <v/>
      </c>
      <c r="AB114" t="str">
        <f t="shared" si="3"/>
        <v/>
      </c>
    </row>
    <row r="115" spans="2:28">
      <c r="B115">
        <f>MacReports!B115</f>
        <v>0</v>
      </c>
      <c r="F115" t="str">
        <f>_xlfn.XLOOKUP(B115,MacReports!B:B,MacReports!D:D,"")</f>
        <v/>
      </c>
      <c r="AB115" t="str">
        <f t="shared" si="3"/>
        <v/>
      </c>
    </row>
    <row r="116" spans="2:28">
      <c r="B116">
        <f>MacReports!B116</f>
        <v>0</v>
      </c>
      <c r="F116" t="str">
        <f>_xlfn.XLOOKUP(B116,MacReports!B:B,MacReports!D:D,"")</f>
        <v/>
      </c>
      <c r="AB116" t="str">
        <f t="shared" si="3"/>
        <v/>
      </c>
    </row>
    <row r="117" spans="2:28">
      <c r="B117">
        <f>MacReports!B117</f>
        <v>0</v>
      </c>
      <c r="F117" t="str">
        <f>_xlfn.XLOOKUP(B117,MacReports!B:B,MacReports!D:D,"")</f>
        <v/>
      </c>
      <c r="AB117" t="str">
        <f t="shared" si="3"/>
        <v/>
      </c>
    </row>
    <row r="118" spans="2:28">
      <c r="B118">
        <f>MacReports!B118</f>
        <v>0</v>
      </c>
      <c r="F118" t="str">
        <f>_xlfn.XLOOKUP(B118,MacReports!B:B,MacReports!D:D,"")</f>
        <v/>
      </c>
      <c r="AB118" t="str">
        <f t="shared" si="3"/>
        <v/>
      </c>
    </row>
    <row r="119" spans="2:28">
      <c r="B119">
        <f>MacReports!B119</f>
        <v>0</v>
      </c>
      <c r="F119" t="str">
        <f>_xlfn.XLOOKUP(B119,MacReports!B:B,MacReports!D:D,"")</f>
        <v/>
      </c>
      <c r="AB119" t="str">
        <f t="shared" si="3"/>
        <v/>
      </c>
    </row>
    <row r="120" spans="2:28">
      <c r="B120">
        <f>MacReports!B120</f>
        <v>0</v>
      </c>
      <c r="F120" t="str">
        <f>_xlfn.XLOOKUP(B120,MacReports!B:B,MacReports!D:D,"")</f>
        <v/>
      </c>
      <c r="AB120" t="str">
        <f t="shared" si="3"/>
        <v/>
      </c>
    </row>
    <row r="121" spans="2:28">
      <c r="B121">
        <f>MacReports!B121</f>
        <v>0</v>
      </c>
      <c r="F121" t="str">
        <f>_xlfn.XLOOKUP(B121,MacReports!B:B,MacReports!D:D,"")</f>
        <v/>
      </c>
      <c r="AB121" t="str">
        <f t="shared" si="3"/>
        <v/>
      </c>
    </row>
    <row r="122" spans="2:28">
      <c r="B122">
        <f>MacReports!B122</f>
        <v>0</v>
      </c>
      <c r="F122" t="str">
        <f>_xlfn.XLOOKUP(B122,MacReports!B:B,MacReports!D:D,"")</f>
        <v/>
      </c>
      <c r="AB122" t="str">
        <f t="shared" si="3"/>
        <v/>
      </c>
    </row>
    <row r="123" spans="2:28">
      <c r="B123">
        <f>MacReports!B123</f>
        <v>0</v>
      </c>
      <c r="F123" t="str">
        <f>_xlfn.XLOOKUP(B123,MacReports!B:B,MacReports!D:D,"")</f>
        <v/>
      </c>
      <c r="AB123" t="str">
        <f t="shared" si="3"/>
        <v/>
      </c>
    </row>
    <row r="124" spans="2:28">
      <c r="B124">
        <f>MacReports!B124</f>
        <v>0</v>
      </c>
      <c r="F124" t="str">
        <f>_xlfn.XLOOKUP(B124,MacReports!B:B,MacReports!D:D,"")</f>
        <v/>
      </c>
      <c r="AB124" t="str">
        <f t="shared" si="3"/>
        <v/>
      </c>
    </row>
    <row r="125" spans="2:28">
      <c r="B125">
        <f>MacReports!B125</f>
        <v>0</v>
      </c>
      <c r="F125" t="str">
        <f>_xlfn.XLOOKUP(B125,MacReports!B:B,MacReports!D:D,"")</f>
        <v/>
      </c>
      <c r="AB125" t="str">
        <f t="shared" si="3"/>
        <v/>
      </c>
    </row>
    <row r="126" spans="2:28">
      <c r="B126">
        <f>MacReports!B126</f>
        <v>0</v>
      </c>
      <c r="F126" t="str">
        <f>_xlfn.XLOOKUP(B126,MacReports!B:B,MacReports!D:D,"")</f>
        <v/>
      </c>
      <c r="AB126" t="str">
        <f t="shared" si="3"/>
        <v/>
      </c>
    </row>
    <row r="127" spans="2:28">
      <c r="B127">
        <f>MacReports!B127</f>
        <v>0</v>
      </c>
      <c r="F127" t="str">
        <f>_xlfn.XLOOKUP(B127,MacReports!B:B,MacReports!D:D,"")</f>
        <v/>
      </c>
      <c r="AB127" t="str">
        <f t="shared" si="3"/>
        <v/>
      </c>
    </row>
    <row r="128" spans="2:28">
      <c r="B128">
        <f>MacReports!B128</f>
        <v>0</v>
      </c>
      <c r="F128" t="str">
        <f>_xlfn.XLOOKUP(B128,MacReports!B:B,MacReports!D:D,"")</f>
        <v/>
      </c>
      <c r="AB128" t="str">
        <f t="shared" si="3"/>
        <v/>
      </c>
    </row>
    <row r="129" spans="2:28">
      <c r="B129">
        <f>MacReports!B129</f>
        <v>0</v>
      </c>
      <c r="F129" t="str">
        <f>_xlfn.XLOOKUP(B129,MacReports!B:B,MacReports!D:D,"")</f>
        <v/>
      </c>
      <c r="AB129" t="str">
        <f t="shared" si="3"/>
        <v/>
      </c>
    </row>
    <row r="130" spans="2:28">
      <c r="B130">
        <f>MacReports!B130</f>
        <v>0</v>
      </c>
      <c r="F130" t="str">
        <f>_xlfn.XLOOKUP(B130,MacReports!B:B,MacReports!D:D,"")</f>
        <v/>
      </c>
      <c r="AB130" t="str">
        <f t="shared" si="3"/>
        <v/>
      </c>
    </row>
    <row r="131" spans="2:28">
      <c r="B131">
        <f>MacReports!B131</f>
        <v>0</v>
      </c>
      <c r="F131" t="str">
        <f>_xlfn.XLOOKUP(B131,MacReports!B:B,MacReports!D:D,"")</f>
        <v/>
      </c>
      <c r="AB131" t="str">
        <f t="shared" ref="AB131:AB194" si="4">_xlfn.TEXTJOIN(", ",TRUE,Q131,R131)</f>
        <v/>
      </c>
    </row>
    <row r="132" spans="2:28">
      <c r="B132">
        <f>MacReports!B132</f>
        <v>0</v>
      </c>
      <c r="F132" t="str">
        <f>_xlfn.XLOOKUP(B132,MacReports!B:B,MacReports!D:D,"")</f>
        <v/>
      </c>
      <c r="AB132" t="str">
        <f t="shared" si="4"/>
        <v/>
      </c>
    </row>
    <row r="133" spans="2:28">
      <c r="B133">
        <f>MacReports!B133</f>
        <v>0</v>
      </c>
      <c r="F133" t="str">
        <f>_xlfn.XLOOKUP(B133,MacReports!B:B,MacReports!D:D,"")</f>
        <v/>
      </c>
      <c r="AB133" t="str">
        <f t="shared" si="4"/>
        <v/>
      </c>
    </row>
    <row r="134" spans="2:28">
      <c r="B134">
        <f>MacReports!B134</f>
        <v>0</v>
      </c>
      <c r="F134" t="str">
        <f>_xlfn.XLOOKUP(B134,MacReports!B:B,MacReports!D:D,"")</f>
        <v/>
      </c>
      <c r="AB134" t="str">
        <f t="shared" si="4"/>
        <v/>
      </c>
    </row>
    <row r="135" spans="2:28">
      <c r="B135">
        <f>MacReports!B135</f>
        <v>0</v>
      </c>
      <c r="F135" t="str">
        <f>_xlfn.XLOOKUP(B135,MacReports!B:B,MacReports!D:D,"")</f>
        <v/>
      </c>
      <c r="AB135" t="str">
        <f t="shared" si="4"/>
        <v/>
      </c>
    </row>
    <row r="136" spans="2:28">
      <c r="B136">
        <f>MacReports!B136</f>
        <v>0</v>
      </c>
      <c r="F136" t="str">
        <f>_xlfn.XLOOKUP(B136,MacReports!B:B,MacReports!D:D,"")</f>
        <v/>
      </c>
      <c r="AB136" t="str">
        <f t="shared" si="4"/>
        <v/>
      </c>
    </row>
    <row r="137" spans="2:28">
      <c r="B137">
        <f>MacReports!B137</f>
        <v>0</v>
      </c>
      <c r="F137" t="str">
        <f>_xlfn.XLOOKUP(B137,MacReports!B:B,MacReports!D:D,"")</f>
        <v/>
      </c>
      <c r="AB137" t="str">
        <f t="shared" si="4"/>
        <v/>
      </c>
    </row>
    <row r="138" spans="2:28">
      <c r="B138">
        <f>MacReports!B138</f>
        <v>0</v>
      </c>
      <c r="F138" t="str">
        <f>_xlfn.XLOOKUP(B138,MacReports!B:B,MacReports!D:D,"")</f>
        <v/>
      </c>
      <c r="AB138" t="str">
        <f t="shared" si="4"/>
        <v/>
      </c>
    </row>
    <row r="139" spans="2:28">
      <c r="B139">
        <f>MacReports!B139</f>
        <v>0</v>
      </c>
      <c r="F139" t="str">
        <f>_xlfn.XLOOKUP(B139,MacReports!B:B,MacReports!D:D,"")</f>
        <v/>
      </c>
      <c r="AB139" t="str">
        <f t="shared" si="4"/>
        <v/>
      </c>
    </row>
    <row r="140" spans="2:28">
      <c r="B140">
        <f>MacReports!B140</f>
        <v>0</v>
      </c>
      <c r="F140" t="str">
        <f>_xlfn.XLOOKUP(B140,MacReports!B:B,MacReports!D:D,"")</f>
        <v/>
      </c>
      <c r="AB140" t="str">
        <f t="shared" si="4"/>
        <v/>
      </c>
    </row>
    <row r="141" spans="2:28">
      <c r="B141">
        <f>MacReports!B141</f>
        <v>0</v>
      </c>
      <c r="F141" t="str">
        <f>_xlfn.XLOOKUP(B141,MacReports!B:B,MacReports!D:D,"")</f>
        <v/>
      </c>
      <c r="AB141" t="str">
        <f t="shared" si="4"/>
        <v/>
      </c>
    </row>
    <row r="142" spans="2:28">
      <c r="B142">
        <f>MacReports!B142</f>
        <v>0</v>
      </c>
      <c r="F142" t="str">
        <f>_xlfn.XLOOKUP(B142,MacReports!B:B,MacReports!D:D,"")</f>
        <v/>
      </c>
      <c r="AB142" t="str">
        <f t="shared" si="4"/>
        <v/>
      </c>
    </row>
    <row r="143" spans="2:28">
      <c r="B143">
        <f>MacReports!B143</f>
        <v>0</v>
      </c>
      <c r="F143" t="str">
        <f>_xlfn.XLOOKUP(B143,MacReports!B:B,MacReports!D:D,"")</f>
        <v/>
      </c>
      <c r="AB143" t="str">
        <f t="shared" si="4"/>
        <v/>
      </c>
    </row>
    <row r="144" spans="2:28">
      <c r="B144">
        <f>MacReports!B144</f>
        <v>0</v>
      </c>
      <c r="F144" t="str">
        <f>_xlfn.XLOOKUP(B144,MacReports!B:B,MacReports!D:D,"")</f>
        <v/>
      </c>
      <c r="AB144" t="str">
        <f t="shared" si="4"/>
        <v/>
      </c>
    </row>
    <row r="145" spans="2:28">
      <c r="B145">
        <f>MacReports!B145</f>
        <v>0</v>
      </c>
      <c r="F145" t="str">
        <f>_xlfn.XLOOKUP(B145,MacReports!B:B,MacReports!D:D,"")</f>
        <v/>
      </c>
      <c r="AB145" t="str">
        <f t="shared" si="4"/>
        <v/>
      </c>
    </row>
    <row r="146" spans="2:28">
      <c r="B146">
        <f>MacReports!B146</f>
        <v>0</v>
      </c>
      <c r="F146" t="str">
        <f>_xlfn.XLOOKUP(B146,MacReports!B:B,MacReports!D:D,"")</f>
        <v/>
      </c>
      <c r="AB146" t="str">
        <f t="shared" si="4"/>
        <v/>
      </c>
    </row>
    <row r="147" spans="2:28">
      <c r="B147">
        <f>MacReports!B147</f>
        <v>0</v>
      </c>
      <c r="F147" t="str">
        <f>_xlfn.XLOOKUP(B147,MacReports!B:B,MacReports!D:D,"")</f>
        <v/>
      </c>
      <c r="AB147" t="str">
        <f t="shared" si="4"/>
        <v/>
      </c>
    </row>
    <row r="148" spans="2:28">
      <c r="B148">
        <f>MacReports!B148</f>
        <v>0</v>
      </c>
      <c r="F148" t="str">
        <f>_xlfn.XLOOKUP(B148,MacReports!B:B,MacReports!D:D,"")</f>
        <v/>
      </c>
      <c r="AB148" t="str">
        <f t="shared" si="4"/>
        <v/>
      </c>
    </row>
    <row r="149" spans="2:28">
      <c r="B149">
        <f>MacReports!B149</f>
        <v>0</v>
      </c>
      <c r="F149" t="str">
        <f>_xlfn.XLOOKUP(B149,MacReports!B:B,MacReports!D:D,"")</f>
        <v/>
      </c>
      <c r="AB149" t="str">
        <f t="shared" si="4"/>
        <v/>
      </c>
    </row>
    <row r="150" spans="2:28">
      <c r="B150">
        <f>MacReports!B150</f>
        <v>0</v>
      </c>
      <c r="F150" t="str">
        <f>_xlfn.XLOOKUP(B150,MacReports!B:B,MacReports!D:D,"")</f>
        <v/>
      </c>
      <c r="AB150" t="str">
        <f t="shared" si="4"/>
        <v/>
      </c>
    </row>
    <row r="151" spans="2:28">
      <c r="B151">
        <f>MacReports!B151</f>
        <v>0</v>
      </c>
      <c r="F151" t="str">
        <f>_xlfn.XLOOKUP(B151,MacReports!B:B,MacReports!D:D,"")</f>
        <v/>
      </c>
      <c r="AB151" t="str">
        <f t="shared" si="4"/>
        <v/>
      </c>
    </row>
    <row r="152" spans="2:28">
      <c r="B152">
        <f>MacReports!B152</f>
        <v>0</v>
      </c>
      <c r="F152" t="str">
        <f>_xlfn.XLOOKUP(B152,MacReports!B:B,MacReports!D:D,"")</f>
        <v/>
      </c>
      <c r="AB152" t="str">
        <f t="shared" si="4"/>
        <v/>
      </c>
    </row>
    <row r="153" spans="2:28">
      <c r="B153">
        <f>MacReports!B153</f>
        <v>0</v>
      </c>
      <c r="F153" t="str">
        <f>_xlfn.XLOOKUP(B153,MacReports!B:B,MacReports!D:D,"")</f>
        <v/>
      </c>
      <c r="AB153" t="str">
        <f t="shared" si="4"/>
        <v/>
      </c>
    </row>
    <row r="154" spans="2:28">
      <c r="B154">
        <f>MacReports!B154</f>
        <v>0</v>
      </c>
      <c r="F154" t="str">
        <f>_xlfn.XLOOKUP(B154,MacReports!B:B,MacReports!D:D,"")</f>
        <v/>
      </c>
      <c r="AB154" t="str">
        <f t="shared" si="4"/>
        <v/>
      </c>
    </row>
    <row r="155" spans="2:28">
      <c r="B155">
        <f>MacReports!B155</f>
        <v>0</v>
      </c>
      <c r="F155" t="str">
        <f>_xlfn.XLOOKUP(B155,MacReports!B:B,MacReports!D:D,"")</f>
        <v/>
      </c>
      <c r="AB155" t="str">
        <f t="shared" si="4"/>
        <v/>
      </c>
    </row>
    <row r="156" spans="2:28">
      <c r="B156">
        <f>MacReports!B156</f>
        <v>0</v>
      </c>
      <c r="F156" t="str">
        <f>_xlfn.XLOOKUP(B156,MacReports!B:B,MacReports!D:D,"")</f>
        <v/>
      </c>
      <c r="AB156" t="str">
        <f t="shared" si="4"/>
        <v/>
      </c>
    </row>
    <row r="157" spans="2:28">
      <c r="B157">
        <f>MacReports!B157</f>
        <v>0</v>
      </c>
      <c r="F157" t="str">
        <f>_xlfn.XLOOKUP(B157,MacReports!B:B,MacReports!D:D,"")</f>
        <v/>
      </c>
      <c r="AB157" t="str">
        <f t="shared" si="4"/>
        <v/>
      </c>
    </row>
    <row r="158" spans="2:28">
      <c r="B158">
        <f>MacReports!B158</f>
        <v>0</v>
      </c>
      <c r="F158" t="str">
        <f>_xlfn.XLOOKUP(B158,MacReports!B:B,MacReports!D:D,"")</f>
        <v/>
      </c>
      <c r="AB158" t="str">
        <f t="shared" si="4"/>
        <v/>
      </c>
    </row>
    <row r="159" spans="2:28">
      <c r="B159">
        <f>MacReports!B159</f>
        <v>0</v>
      </c>
      <c r="F159" t="str">
        <f>_xlfn.XLOOKUP(B159,MacReports!B:B,MacReports!D:D,"")</f>
        <v/>
      </c>
      <c r="AB159" t="str">
        <f t="shared" si="4"/>
        <v/>
      </c>
    </row>
    <row r="160" spans="2:28">
      <c r="B160">
        <f>MacReports!B160</f>
        <v>0</v>
      </c>
      <c r="F160" t="str">
        <f>_xlfn.XLOOKUP(B160,MacReports!B:B,MacReports!D:D,"")</f>
        <v/>
      </c>
      <c r="AB160" t="str">
        <f t="shared" si="4"/>
        <v/>
      </c>
    </row>
    <row r="161" spans="2:28">
      <c r="B161">
        <f>MacReports!B161</f>
        <v>0</v>
      </c>
      <c r="F161" t="str">
        <f>_xlfn.XLOOKUP(B161,MacReports!B:B,MacReports!D:D,"")</f>
        <v/>
      </c>
      <c r="AB161" t="str">
        <f t="shared" si="4"/>
        <v/>
      </c>
    </row>
    <row r="162" spans="2:28">
      <c r="B162">
        <f>MacReports!B162</f>
        <v>0</v>
      </c>
      <c r="F162" t="str">
        <f>_xlfn.XLOOKUP(B162,MacReports!B:B,MacReports!D:D,"")</f>
        <v/>
      </c>
      <c r="AB162" t="str">
        <f t="shared" si="4"/>
        <v/>
      </c>
    </row>
    <row r="163" spans="2:28">
      <c r="B163">
        <f>MacReports!B163</f>
        <v>0</v>
      </c>
      <c r="F163" t="str">
        <f>_xlfn.XLOOKUP(B163,MacReports!B:B,MacReports!D:D,"")</f>
        <v/>
      </c>
      <c r="AB163" t="str">
        <f t="shared" si="4"/>
        <v/>
      </c>
    </row>
    <row r="164" spans="2:28">
      <c r="B164">
        <f>MacReports!B164</f>
        <v>0</v>
      </c>
      <c r="F164" t="str">
        <f>_xlfn.XLOOKUP(B164,MacReports!B:B,MacReports!D:D,"")</f>
        <v/>
      </c>
      <c r="AB164" t="str">
        <f t="shared" si="4"/>
        <v/>
      </c>
    </row>
    <row r="165" spans="2:28">
      <c r="B165">
        <f>MacReports!B165</f>
        <v>0</v>
      </c>
      <c r="F165" t="str">
        <f>_xlfn.XLOOKUP(B165,MacReports!B:B,MacReports!D:D,"")</f>
        <v/>
      </c>
      <c r="AB165" t="str">
        <f t="shared" si="4"/>
        <v/>
      </c>
    </row>
    <row r="166" spans="2:28">
      <c r="B166">
        <f>MacReports!B166</f>
        <v>0</v>
      </c>
      <c r="F166" t="str">
        <f>_xlfn.XLOOKUP(B166,MacReports!B:B,MacReports!D:D,"")</f>
        <v/>
      </c>
      <c r="AB166" t="str">
        <f t="shared" si="4"/>
        <v/>
      </c>
    </row>
    <row r="167" spans="2:28">
      <c r="B167">
        <f>MacReports!B167</f>
        <v>0</v>
      </c>
      <c r="F167" t="str">
        <f>_xlfn.XLOOKUP(B167,MacReports!B:B,MacReports!D:D,"")</f>
        <v/>
      </c>
      <c r="AB167" t="str">
        <f t="shared" si="4"/>
        <v/>
      </c>
    </row>
    <row r="168" spans="2:28">
      <c r="B168">
        <f>MacReports!B168</f>
        <v>0</v>
      </c>
      <c r="F168" t="str">
        <f>_xlfn.XLOOKUP(B168,MacReports!B:B,MacReports!D:D,"")</f>
        <v/>
      </c>
      <c r="AB168" t="str">
        <f t="shared" si="4"/>
        <v/>
      </c>
    </row>
    <row r="169" spans="2:28">
      <c r="B169">
        <f>MacReports!B169</f>
        <v>0</v>
      </c>
      <c r="F169" t="str">
        <f>_xlfn.XLOOKUP(B169,MacReports!B:B,MacReports!D:D,"")</f>
        <v/>
      </c>
      <c r="AB169" t="str">
        <f t="shared" si="4"/>
        <v/>
      </c>
    </row>
    <row r="170" spans="2:28">
      <c r="B170">
        <f>MacReports!B170</f>
        <v>0</v>
      </c>
      <c r="F170" t="str">
        <f>_xlfn.XLOOKUP(B170,MacReports!B:B,MacReports!D:D,"")</f>
        <v/>
      </c>
      <c r="AB170" t="str">
        <f t="shared" si="4"/>
        <v/>
      </c>
    </row>
    <row r="171" spans="2:28">
      <c r="B171">
        <f>MacReports!B171</f>
        <v>0</v>
      </c>
      <c r="F171" t="str">
        <f>_xlfn.XLOOKUP(B171,MacReports!B:B,MacReports!D:D,"")</f>
        <v/>
      </c>
      <c r="AB171" t="str">
        <f t="shared" si="4"/>
        <v/>
      </c>
    </row>
    <row r="172" spans="2:28">
      <c r="B172">
        <f>MacReports!B172</f>
        <v>0</v>
      </c>
      <c r="F172" t="str">
        <f>_xlfn.XLOOKUP(B172,MacReports!B:B,MacReports!D:D,"")</f>
        <v/>
      </c>
      <c r="AB172" t="str">
        <f t="shared" si="4"/>
        <v/>
      </c>
    </row>
    <row r="173" spans="2:28">
      <c r="B173">
        <f>MacReports!B173</f>
        <v>0</v>
      </c>
      <c r="F173" t="str">
        <f>_xlfn.XLOOKUP(B173,MacReports!B:B,MacReports!D:D,"")</f>
        <v/>
      </c>
      <c r="AB173" t="str">
        <f t="shared" si="4"/>
        <v/>
      </c>
    </row>
    <row r="174" spans="2:28">
      <c r="B174">
        <f>MacReports!B174</f>
        <v>0</v>
      </c>
      <c r="F174" t="str">
        <f>_xlfn.XLOOKUP(B174,MacReports!B:B,MacReports!D:D,"")</f>
        <v/>
      </c>
      <c r="AB174" t="str">
        <f t="shared" si="4"/>
        <v/>
      </c>
    </row>
    <row r="175" spans="2:28">
      <c r="B175">
        <f>MacReports!B175</f>
        <v>0</v>
      </c>
      <c r="F175" t="str">
        <f>_xlfn.XLOOKUP(B175,MacReports!B:B,MacReports!D:D,"")</f>
        <v/>
      </c>
      <c r="AB175" t="str">
        <f t="shared" si="4"/>
        <v/>
      </c>
    </row>
    <row r="176" spans="2:28">
      <c r="B176">
        <f>MacReports!B176</f>
        <v>0</v>
      </c>
      <c r="F176" t="str">
        <f>_xlfn.XLOOKUP(B176,MacReports!B:B,MacReports!D:D,"")</f>
        <v/>
      </c>
      <c r="AB176" t="str">
        <f t="shared" si="4"/>
        <v/>
      </c>
    </row>
    <row r="177" spans="2:28">
      <c r="B177">
        <f>MacReports!B177</f>
        <v>0</v>
      </c>
      <c r="F177" t="str">
        <f>_xlfn.XLOOKUP(B177,MacReports!B:B,MacReports!D:D,"")</f>
        <v/>
      </c>
      <c r="AB177" t="str">
        <f t="shared" si="4"/>
        <v/>
      </c>
    </row>
    <row r="178" spans="2:28">
      <c r="B178">
        <f>MacReports!B178</f>
        <v>0</v>
      </c>
      <c r="F178" t="str">
        <f>_xlfn.XLOOKUP(B178,MacReports!B:B,MacReports!D:D,"")</f>
        <v/>
      </c>
      <c r="AB178" t="str">
        <f t="shared" si="4"/>
        <v/>
      </c>
    </row>
    <row r="179" spans="2:28">
      <c r="B179">
        <f>MacReports!B179</f>
        <v>0</v>
      </c>
      <c r="F179" t="str">
        <f>_xlfn.XLOOKUP(B179,MacReports!B:B,MacReports!D:D,"")</f>
        <v/>
      </c>
      <c r="AB179" t="str">
        <f t="shared" si="4"/>
        <v/>
      </c>
    </row>
    <row r="180" spans="2:28">
      <c r="B180">
        <f>MacReports!B180</f>
        <v>0</v>
      </c>
      <c r="F180" t="str">
        <f>_xlfn.XLOOKUP(B180,MacReports!B:B,MacReports!D:D,"")</f>
        <v/>
      </c>
      <c r="AB180" t="str">
        <f t="shared" si="4"/>
        <v/>
      </c>
    </row>
    <row r="181" spans="2:28">
      <c r="B181">
        <f>MacReports!B181</f>
        <v>0</v>
      </c>
      <c r="F181" t="str">
        <f>_xlfn.XLOOKUP(B181,MacReports!B:B,MacReports!D:D,"")</f>
        <v/>
      </c>
      <c r="AB181" t="str">
        <f t="shared" si="4"/>
        <v/>
      </c>
    </row>
    <row r="182" spans="2:28">
      <c r="B182">
        <f>MacReports!B182</f>
        <v>0</v>
      </c>
      <c r="F182" t="str">
        <f>_xlfn.XLOOKUP(B182,MacReports!B:B,MacReports!D:D,"")</f>
        <v/>
      </c>
      <c r="AB182" t="str">
        <f t="shared" si="4"/>
        <v/>
      </c>
    </row>
    <row r="183" spans="2:28">
      <c r="B183">
        <f>MacReports!B183</f>
        <v>0</v>
      </c>
      <c r="F183" t="str">
        <f>_xlfn.XLOOKUP(B183,MacReports!B:B,MacReports!D:D,"")</f>
        <v/>
      </c>
      <c r="AB183" t="str">
        <f t="shared" si="4"/>
        <v/>
      </c>
    </row>
    <row r="184" spans="2:28">
      <c r="B184">
        <f>MacReports!B184</f>
        <v>0</v>
      </c>
      <c r="F184" t="str">
        <f>_xlfn.XLOOKUP(B184,MacReports!B:B,MacReports!D:D,"")</f>
        <v/>
      </c>
      <c r="AB184" t="str">
        <f t="shared" si="4"/>
        <v/>
      </c>
    </row>
    <row r="185" spans="2:28">
      <c r="B185">
        <f>MacReports!B185</f>
        <v>0</v>
      </c>
      <c r="F185" t="str">
        <f>_xlfn.XLOOKUP(B185,MacReports!B:B,MacReports!D:D,"")</f>
        <v/>
      </c>
      <c r="AB185" t="str">
        <f t="shared" si="4"/>
        <v/>
      </c>
    </row>
    <row r="186" spans="2:28">
      <c r="B186">
        <f>MacReports!B186</f>
        <v>0</v>
      </c>
      <c r="F186" t="str">
        <f>_xlfn.XLOOKUP(B186,MacReports!B:B,MacReports!D:D,"")</f>
        <v/>
      </c>
      <c r="AB186" t="str">
        <f t="shared" si="4"/>
        <v/>
      </c>
    </row>
    <row r="187" spans="2:28">
      <c r="B187">
        <f>MacReports!B187</f>
        <v>0</v>
      </c>
      <c r="F187" t="str">
        <f>_xlfn.XLOOKUP(B187,MacReports!B:B,MacReports!D:D,"")</f>
        <v/>
      </c>
      <c r="AB187" t="str">
        <f t="shared" si="4"/>
        <v/>
      </c>
    </row>
    <row r="188" spans="2:28">
      <c r="B188">
        <f>MacReports!B188</f>
        <v>0</v>
      </c>
      <c r="F188" t="str">
        <f>_xlfn.XLOOKUP(B188,MacReports!B:B,MacReports!D:D,"")</f>
        <v/>
      </c>
      <c r="AB188" t="str">
        <f t="shared" si="4"/>
        <v/>
      </c>
    </row>
    <row r="189" spans="2:28">
      <c r="B189">
        <f>MacReports!B189</f>
        <v>0</v>
      </c>
      <c r="F189" t="str">
        <f>_xlfn.XLOOKUP(B189,MacReports!B:B,MacReports!D:D,"")</f>
        <v/>
      </c>
      <c r="AB189" t="str">
        <f t="shared" si="4"/>
        <v/>
      </c>
    </row>
    <row r="190" spans="2:28">
      <c r="B190">
        <f>MacReports!B190</f>
        <v>0</v>
      </c>
      <c r="F190" t="str">
        <f>_xlfn.XLOOKUP(B190,MacReports!B:B,MacReports!D:D,"")</f>
        <v/>
      </c>
      <c r="AB190" t="str">
        <f t="shared" si="4"/>
        <v/>
      </c>
    </row>
    <row r="191" spans="2:28">
      <c r="B191">
        <f>MacReports!B191</f>
        <v>0</v>
      </c>
      <c r="F191" t="str">
        <f>_xlfn.XLOOKUP(B191,MacReports!B:B,MacReports!D:D,"")</f>
        <v/>
      </c>
      <c r="AB191" t="str">
        <f t="shared" si="4"/>
        <v/>
      </c>
    </row>
    <row r="192" spans="2:28">
      <c r="B192">
        <f>MacReports!B192</f>
        <v>0</v>
      </c>
      <c r="F192" t="str">
        <f>_xlfn.XLOOKUP(B192,MacReports!B:B,MacReports!D:D,"")</f>
        <v/>
      </c>
      <c r="AB192" t="str">
        <f t="shared" si="4"/>
        <v/>
      </c>
    </row>
    <row r="193" spans="2:28">
      <c r="B193">
        <f>MacReports!B193</f>
        <v>0</v>
      </c>
      <c r="F193" t="str">
        <f>_xlfn.XLOOKUP(B193,MacReports!B:B,MacReports!D:D,"")</f>
        <v/>
      </c>
      <c r="AB193" t="str">
        <f t="shared" si="4"/>
        <v/>
      </c>
    </row>
    <row r="194" spans="2:28">
      <c r="B194">
        <f>MacReports!B194</f>
        <v>0</v>
      </c>
      <c r="F194" t="str">
        <f>_xlfn.XLOOKUP(B194,MacReports!B:B,MacReports!D:D,"")</f>
        <v/>
      </c>
      <c r="AB194" t="str">
        <f t="shared" si="4"/>
        <v/>
      </c>
    </row>
    <row r="195" spans="2:28">
      <c r="B195">
        <f>MacReports!B195</f>
        <v>0</v>
      </c>
      <c r="F195" t="str">
        <f>_xlfn.XLOOKUP(B195,MacReports!B:B,MacReports!D:D,"")</f>
        <v/>
      </c>
      <c r="AB195" t="str">
        <f t="shared" ref="AB195:AB258" si="5">_xlfn.TEXTJOIN(", ",TRUE,Q195,R195)</f>
        <v/>
      </c>
    </row>
    <row r="196" spans="2:28">
      <c r="B196">
        <f>MacReports!B196</f>
        <v>0</v>
      </c>
      <c r="F196" t="str">
        <f>_xlfn.XLOOKUP(B196,MacReports!B:B,MacReports!D:D,"")</f>
        <v/>
      </c>
      <c r="AB196" t="str">
        <f t="shared" si="5"/>
        <v/>
      </c>
    </row>
    <row r="197" spans="2:28">
      <c r="B197">
        <f>MacReports!B197</f>
        <v>0</v>
      </c>
      <c r="F197" t="str">
        <f>_xlfn.XLOOKUP(B197,MacReports!B:B,MacReports!D:D,"")</f>
        <v/>
      </c>
      <c r="AB197" t="str">
        <f t="shared" si="5"/>
        <v/>
      </c>
    </row>
    <row r="198" spans="2:28">
      <c r="B198">
        <f>MacReports!B198</f>
        <v>0</v>
      </c>
      <c r="F198" t="str">
        <f>_xlfn.XLOOKUP(B198,MacReports!B:B,MacReports!D:D,"")</f>
        <v/>
      </c>
      <c r="AB198" t="str">
        <f t="shared" si="5"/>
        <v/>
      </c>
    </row>
    <row r="199" spans="2:28">
      <c r="B199">
        <f>MacReports!B199</f>
        <v>0</v>
      </c>
      <c r="F199" t="str">
        <f>_xlfn.XLOOKUP(B199,MacReports!B:B,MacReports!D:D,"")</f>
        <v/>
      </c>
      <c r="AB199" t="str">
        <f t="shared" si="5"/>
        <v/>
      </c>
    </row>
    <row r="200" spans="2:28">
      <c r="B200">
        <f>MacReports!B200</f>
        <v>0</v>
      </c>
      <c r="F200" t="str">
        <f>_xlfn.XLOOKUP(B200,MacReports!B:B,MacReports!D:D,"")</f>
        <v/>
      </c>
      <c r="AB200" t="str">
        <f t="shared" si="5"/>
        <v/>
      </c>
    </row>
    <row r="201" spans="2:28">
      <c r="B201">
        <f>MacReports!B201</f>
        <v>0</v>
      </c>
      <c r="F201" t="str">
        <f>_xlfn.XLOOKUP(B201,MacReports!B:B,MacReports!D:D,"")</f>
        <v/>
      </c>
      <c r="AB201" t="str">
        <f t="shared" si="5"/>
        <v/>
      </c>
    </row>
    <row r="202" spans="2:28">
      <c r="B202">
        <f>MacReports!B202</f>
        <v>0</v>
      </c>
      <c r="F202" t="str">
        <f>_xlfn.XLOOKUP(B202,MacReports!B:B,MacReports!D:D,"")</f>
        <v/>
      </c>
      <c r="AB202" t="str">
        <f t="shared" si="5"/>
        <v/>
      </c>
    </row>
    <row r="203" spans="2:28">
      <c r="B203">
        <f>MacReports!B203</f>
        <v>0</v>
      </c>
      <c r="F203" t="str">
        <f>_xlfn.XLOOKUP(B203,MacReports!B:B,MacReports!D:D,"")</f>
        <v/>
      </c>
      <c r="AB203" t="str">
        <f t="shared" si="5"/>
        <v/>
      </c>
    </row>
    <row r="204" spans="2:28">
      <c r="B204">
        <f>MacReports!B204</f>
        <v>0</v>
      </c>
      <c r="F204" t="str">
        <f>_xlfn.XLOOKUP(B204,MacReports!B:B,MacReports!D:D,"")</f>
        <v/>
      </c>
      <c r="AB204" t="str">
        <f t="shared" si="5"/>
        <v/>
      </c>
    </row>
    <row r="205" spans="2:28">
      <c r="B205">
        <f>MacReports!B205</f>
        <v>0</v>
      </c>
      <c r="F205" t="str">
        <f>_xlfn.XLOOKUP(B205,MacReports!B:B,MacReports!D:D,"")</f>
        <v/>
      </c>
      <c r="AB205" t="str">
        <f t="shared" si="5"/>
        <v/>
      </c>
    </row>
    <row r="206" spans="2:28">
      <c r="B206">
        <f>MacReports!B206</f>
        <v>0</v>
      </c>
      <c r="F206" t="str">
        <f>_xlfn.XLOOKUP(B206,MacReports!B:B,MacReports!D:D,"")</f>
        <v/>
      </c>
      <c r="AB206" t="str">
        <f t="shared" si="5"/>
        <v/>
      </c>
    </row>
    <row r="207" spans="2:28">
      <c r="B207">
        <f>MacReports!B207</f>
        <v>0</v>
      </c>
      <c r="F207" t="str">
        <f>_xlfn.XLOOKUP(B207,MacReports!B:B,MacReports!D:D,"")</f>
        <v/>
      </c>
      <c r="AB207" t="str">
        <f t="shared" si="5"/>
        <v/>
      </c>
    </row>
    <row r="208" spans="2:28">
      <c r="B208">
        <f>MacReports!B208</f>
        <v>0</v>
      </c>
      <c r="F208" t="str">
        <f>_xlfn.XLOOKUP(B208,MacReports!B:B,MacReports!D:D,"")</f>
        <v/>
      </c>
      <c r="AB208" t="str">
        <f t="shared" si="5"/>
        <v/>
      </c>
    </row>
    <row r="209" spans="2:28">
      <c r="B209">
        <f>MacReports!B209</f>
        <v>0</v>
      </c>
      <c r="F209" t="str">
        <f>_xlfn.XLOOKUP(B209,MacReports!B:B,MacReports!D:D,"")</f>
        <v/>
      </c>
      <c r="AB209" t="str">
        <f t="shared" si="5"/>
        <v/>
      </c>
    </row>
    <row r="210" spans="2:28">
      <c r="B210">
        <f>MacReports!B210</f>
        <v>0</v>
      </c>
      <c r="F210" t="str">
        <f>_xlfn.XLOOKUP(B210,MacReports!B:B,MacReports!D:D,"")</f>
        <v/>
      </c>
      <c r="AB210" t="str">
        <f t="shared" si="5"/>
        <v/>
      </c>
    </row>
    <row r="211" spans="2:28">
      <c r="B211">
        <f>MacReports!B211</f>
        <v>0</v>
      </c>
      <c r="F211" t="str">
        <f>_xlfn.XLOOKUP(B211,MacReports!B:B,MacReports!D:D,"")</f>
        <v/>
      </c>
      <c r="AB211" t="str">
        <f t="shared" si="5"/>
        <v/>
      </c>
    </row>
    <row r="212" spans="2:28">
      <c r="B212">
        <f>MacReports!B212</f>
        <v>0</v>
      </c>
      <c r="F212" t="str">
        <f>_xlfn.XLOOKUP(B212,MacReports!B:B,MacReports!D:D,"")</f>
        <v/>
      </c>
      <c r="AB212" t="str">
        <f t="shared" si="5"/>
        <v/>
      </c>
    </row>
    <row r="213" spans="2:28">
      <c r="B213">
        <f>MacReports!B213</f>
        <v>0</v>
      </c>
      <c r="F213" t="str">
        <f>_xlfn.XLOOKUP(B213,MacReports!B:B,MacReports!D:D,"")</f>
        <v/>
      </c>
      <c r="AB213" t="str">
        <f t="shared" si="5"/>
        <v/>
      </c>
    </row>
    <row r="214" spans="2:28">
      <c r="B214">
        <f>MacReports!B214</f>
        <v>0</v>
      </c>
      <c r="F214" t="str">
        <f>_xlfn.XLOOKUP(B214,MacReports!B:B,MacReports!D:D,"")</f>
        <v/>
      </c>
      <c r="AB214" t="str">
        <f t="shared" si="5"/>
        <v/>
      </c>
    </row>
    <row r="215" spans="2:28">
      <c r="B215">
        <f>MacReports!B215</f>
        <v>0</v>
      </c>
      <c r="F215" t="str">
        <f>_xlfn.XLOOKUP(B215,MacReports!B:B,MacReports!D:D,"")</f>
        <v/>
      </c>
      <c r="AB215" t="str">
        <f t="shared" si="5"/>
        <v/>
      </c>
    </row>
    <row r="216" spans="2:28">
      <c r="B216">
        <f>MacReports!B216</f>
        <v>0</v>
      </c>
      <c r="F216" t="str">
        <f>_xlfn.XLOOKUP(B216,MacReports!B:B,MacReports!D:D,"")</f>
        <v/>
      </c>
      <c r="AB216" t="str">
        <f t="shared" si="5"/>
        <v/>
      </c>
    </row>
    <row r="217" spans="2:28">
      <c r="B217">
        <f>MacReports!B217</f>
        <v>0</v>
      </c>
      <c r="F217" t="str">
        <f>_xlfn.XLOOKUP(B217,MacReports!B:B,MacReports!D:D,"")</f>
        <v/>
      </c>
      <c r="AB217" t="str">
        <f t="shared" si="5"/>
        <v/>
      </c>
    </row>
    <row r="218" spans="2:28">
      <c r="B218">
        <f>MacReports!B218</f>
        <v>0</v>
      </c>
      <c r="F218" t="str">
        <f>_xlfn.XLOOKUP(B218,MacReports!B:B,MacReports!D:D,"")</f>
        <v/>
      </c>
      <c r="AB218" t="str">
        <f t="shared" si="5"/>
        <v/>
      </c>
    </row>
    <row r="219" spans="2:28">
      <c r="B219">
        <f>MacReports!B219</f>
        <v>0</v>
      </c>
      <c r="F219" t="str">
        <f>_xlfn.XLOOKUP(B219,MacReports!B:B,MacReports!D:D,"")</f>
        <v/>
      </c>
      <c r="AB219" t="str">
        <f t="shared" si="5"/>
        <v/>
      </c>
    </row>
    <row r="220" spans="2:28">
      <c r="B220">
        <f>MacReports!B220</f>
        <v>0</v>
      </c>
      <c r="F220" t="str">
        <f>_xlfn.XLOOKUP(B220,MacReports!B:B,MacReports!D:D,"")</f>
        <v/>
      </c>
      <c r="AB220" t="str">
        <f t="shared" si="5"/>
        <v/>
      </c>
    </row>
    <row r="221" spans="2:28">
      <c r="B221">
        <f>MacReports!B221</f>
        <v>0</v>
      </c>
      <c r="F221" t="str">
        <f>_xlfn.XLOOKUP(B221,MacReports!B:B,MacReports!D:D,"")</f>
        <v/>
      </c>
      <c r="AB221" t="str">
        <f t="shared" si="5"/>
        <v/>
      </c>
    </row>
    <row r="222" spans="2:28">
      <c r="B222">
        <f>MacReports!B222</f>
        <v>0</v>
      </c>
      <c r="F222" t="str">
        <f>_xlfn.XLOOKUP(B222,MacReports!B:B,MacReports!D:D,"")</f>
        <v/>
      </c>
      <c r="AB222" t="str">
        <f t="shared" si="5"/>
        <v/>
      </c>
    </row>
    <row r="223" spans="2:28">
      <c r="B223">
        <f>MacReports!B223</f>
        <v>0</v>
      </c>
      <c r="F223" t="str">
        <f>_xlfn.XLOOKUP(B223,MacReports!B:B,MacReports!D:D,"")</f>
        <v/>
      </c>
      <c r="AB223" t="str">
        <f t="shared" si="5"/>
        <v/>
      </c>
    </row>
    <row r="224" spans="2:28">
      <c r="B224">
        <f>MacReports!B224</f>
        <v>0</v>
      </c>
      <c r="F224" t="str">
        <f>_xlfn.XLOOKUP(B224,MacReports!B:B,MacReports!D:D,"")</f>
        <v/>
      </c>
      <c r="AB224" t="str">
        <f t="shared" si="5"/>
        <v/>
      </c>
    </row>
    <row r="225" spans="2:28">
      <c r="B225">
        <f>MacReports!B225</f>
        <v>0</v>
      </c>
      <c r="F225" t="str">
        <f>_xlfn.XLOOKUP(B225,MacReports!B:B,MacReports!D:D,"")</f>
        <v/>
      </c>
      <c r="AB225" t="str">
        <f t="shared" si="5"/>
        <v/>
      </c>
    </row>
    <row r="226" spans="2:28">
      <c r="B226">
        <f>MacReports!B226</f>
        <v>0</v>
      </c>
      <c r="F226" t="str">
        <f>_xlfn.XLOOKUP(B226,MacReports!B:B,MacReports!D:D,"")</f>
        <v/>
      </c>
      <c r="AB226" t="str">
        <f t="shared" si="5"/>
        <v/>
      </c>
    </row>
    <row r="227" spans="2:28">
      <c r="B227">
        <f>MacReports!B227</f>
        <v>0</v>
      </c>
      <c r="F227" t="str">
        <f>_xlfn.XLOOKUP(B227,MacReports!B:B,MacReports!D:D,"")</f>
        <v/>
      </c>
      <c r="AB227" t="str">
        <f t="shared" si="5"/>
        <v/>
      </c>
    </row>
    <row r="228" spans="2:28">
      <c r="B228">
        <f>MacReports!B228</f>
        <v>0</v>
      </c>
      <c r="F228" t="str">
        <f>_xlfn.XLOOKUP(B228,MacReports!B:B,MacReports!D:D,"")</f>
        <v/>
      </c>
      <c r="AB228" t="str">
        <f t="shared" si="5"/>
        <v/>
      </c>
    </row>
    <row r="229" spans="2:28">
      <c r="B229">
        <f>MacReports!B229</f>
        <v>0</v>
      </c>
      <c r="F229" t="str">
        <f>_xlfn.XLOOKUP(B229,MacReports!B:B,MacReports!D:D,"")</f>
        <v/>
      </c>
      <c r="AB229" t="str">
        <f t="shared" si="5"/>
        <v/>
      </c>
    </row>
    <row r="230" spans="2:28">
      <c r="B230">
        <f>MacReports!B230</f>
        <v>0</v>
      </c>
      <c r="F230" t="str">
        <f>_xlfn.XLOOKUP(B230,MacReports!B:B,MacReports!D:D,"")</f>
        <v/>
      </c>
      <c r="AB230" t="str">
        <f t="shared" si="5"/>
        <v/>
      </c>
    </row>
    <row r="231" spans="2:28">
      <c r="B231">
        <f>MacReports!B231</f>
        <v>0</v>
      </c>
      <c r="F231" t="str">
        <f>_xlfn.XLOOKUP(B231,MacReports!B:B,MacReports!D:D,"")</f>
        <v/>
      </c>
      <c r="AB231" t="str">
        <f t="shared" si="5"/>
        <v/>
      </c>
    </row>
    <row r="232" spans="2:28">
      <c r="B232">
        <f>MacReports!B232</f>
        <v>0</v>
      </c>
      <c r="F232" t="str">
        <f>_xlfn.XLOOKUP(B232,MacReports!B:B,MacReports!D:D,"")</f>
        <v/>
      </c>
      <c r="AB232" t="str">
        <f t="shared" si="5"/>
        <v/>
      </c>
    </row>
    <row r="233" spans="2:28">
      <c r="B233">
        <f>MacReports!B233</f>
        <v>0</v>
      </c>
      <c r="F233" t="str">
        <f>_xlfn.XLOOKUP(B233,MacReports!B:B,MacReports!D:D,"")</f>
        <v/>
      </c>
      <c r="AB233" t="str">
        <f t="shared" si="5"/>
        <v/>
      </c>
    </row>
    <row r="234" spans="2:28">
      <c r="B234">
        <f>MacReports!B234</f>
        <v>0</v>
      </c>
      <c r="F234" t="str">
        <f>_xlfn.XLOOKUP(B234,MacReports!B:B,MacReports!D:D,"")</f>
        <v/>
      </c>
      <c r="AB234" t="str">
        <f t="shared" si="5"/>
        <v/>
      </c>
    </row>
    <row r="235" spans="2:28">
      <c r="B235">
        <f>MacReports!B235</f>
        <v>0</v>
      </c>
      <c r="F235" t="str">
        <f>_xlfn.XLOOKUP(B235,MacReports!B:B,MacReports!D:D,"")</f>
        <v/>
      </c>
      <c r="AB235" t="str">
        <f t="shared" si="5"/>
        <v/>
      </c>
    </row>
    <row r="236" spans="2:28">
      <c r="B236">
        <f>MacReports!B236</f>
        <v>0</v>
      </c>
      <c r="F236" t="str">
        <f>_xlfn.XLOOKUP(B236,MacReports!B:B,MacReports!D:D,"")</f>
        <v/>
      </c>
      <c r="AB236" t="str">
        <f t="shared" si="5"/>
        <v/>
      </c>
    </row>
    <row r="237" spans="2:28">
      <c r="B237">
        <f>MacReports!B237</f>
        <v>0</v>
      </c>
      <c r="F237" t="str">
        <f>_xlfn.XLOOKUP(B237,MacReports!B:B,MacReports!D:D,"")</f>
        <v/>
      </c>
      <c r="AB237" t="str">
        <f t="shared" si="5"/>
        <v/>
      </c>
    </row>
    <row r="238" spans="2:28">
      <c r="B238">
        <f>MacReports!B238</f>
        <v>0</v>
      </c>
      <c r="F238" t="str">
        <f>_xlfn.XLOOKUP(B238,MacReports!B:B,MacReports!D:D,"")</f>
        <v/>
      </c>
      <c r="AB238" t="str">
        <f t="shared" si="5"/>
        <v/>
      </c>
    </row>
    <row r="239" spans="2:28">
      <c r="B239">
        <f>MacReports!B239</f>
        <v>0</v>
      </c>
      <c r="F239" t="str">
        <f>_xlfn.XLOOKUP(B239,MacReports!B:B,MacReports!D:D,"")</f>
        <v/>
      </c>
      <c r="AB239" t="str">
        <f t="shared" si="5"/>
        <v/>
      </c>
    </row>
    <row r="240" spans="2:28">
      <c r="B240">
        <f>MacReports!B240</f>
        <v>0</v>
      </c>
      <c r="F240" t="str">
        <f>_xlfn.XLOOKUP(B240,MacReports!B:B,MacReports!D:D,"")</f>
        <v/>
      </c>
      <c r="AB240" t="str">
        <f t="shared" si="5"/>
        <v/>
      </c>
    </row>
    <row r="241" spans="2:28">
      <c r="B241">
        <f>MacReports!B241</f>
        <v>0</v>
      </c>
      <c r="F241" t="str">
        <f>_xlfn.XLOOKUP(B241,MacReports!B:B,MacReports!D:D,"")</f>
        <v/>
      </c>
      <c r="AB241" t="str">
        <f t="shared" si="5"/>
        <v/>
      </c>
    </row>
    <row r="242" spans="2:28">
      <c r="B242">
        <f>MacReports!B242</f>
        <v>0</v>
      </c>
      <c r="F242" t="str">
        <f>_xlfn.XLOOKUP(B242,MacReports!B:B,MacReports!D:D,"")</f>
        <v/>
      </c>
      <c r="AB242" t="str">
        <f t="shared" si="5"/>
        <v/>
      </c>
    </row>
    <row r="243" spans="2:28">
      <c r="B243">
        <f>MacReports!B243</f>
        <v>0</v>
      </c>
      <c r="F243" t="str">
        <f>_xlfn.XLOOKUP(B243,MacReports!B:B,MacReports!D:D,"")</f>
        <v/>
      </c>
      <c r="AB243" t="str">
        <f t="shared" si="5"/>
        <v/>
      </c>
    </row>
    <row r="244" spans="2:28">
      <c r="B244">
        <f>MacReports!B244</f>
        <v>0</v>
      </c>
      <c r="F244" t="str">
        <f>_xlfn.XLOOKUP(B244,MacReports!B:B,MacReports!D:D,"")</f>
        <v/>
      </c>
      <c r="AB244" t="str">
        <f t="shared" si="5"/>
        <v/>
      </c>
    </row>
    <row r="245" spans="2:28">
      <c r="B245">
        <f>MacReports!B245</f>
        <v>0</v>
      </c>
      <c r="F245" t="str">
        <f>_xlfn.XLOOKUP(B245,MacReports!B:B,MacReports!D:D,"")</f>
        <v/>
      </c>
      <c r="AB245" t="str">
        <f t="shared" si="5"/>
        <v/>
      </c>
    </row>
    <row r="246" spans="2:28">
      <c r="B246">
        <f>MacReports!B246</f>
        <v>0</v>
      </c>
      <c r="F246" t="str">
        <f>_xlfn.XLOOKUP(B246,MacReports!B:B,MacReports!D:D,"")</f>
        <v/>
      </c>
      <c r="AB246" t="str">
        <f t="shared" si="5"/>
        <v/>
      </c>
    </row>
    <row r="247" spans="2:28">
      <c r="B247">
        <f>MacReports!B247</f>
        <v>0</v>
      </c>
      <c r="F247" t="str">
        <f>_xlfn.XLOOKUP(B247,MacReports!B:B,MacReports!D:D,"")</f>
        <v/>
      </c>
      <c r="AB247" t="str">
        <f t="shared" si="5"/>
        <v/>
      </c>
    </row>
    <row r="248" spans="2:28">
      <c r="B248">
        <f>MacReports!B248</f>
        <v>0</v>
      </c>
      <c r="F248" t="str">
        <f>_xlfn.XLOOKUP(B248,MacReports!B:B,MacReports!D:D,"")</f>
        <v/>
      </c>
      <c r="AB248" t="str">
        <f t="shared" si="5"/>
        <v/>
      </c>
    </row>
    <row r="249" spans="2:28">
      <c r="B249">
        <f>MacReports!B249</f>
        <v>0</v>
      </c>
      <c r="F249" t="str">
        <f>_xlfn.XLOOKUP(B249,MacReports!B:B,MacReports!D:D,"")</f>
        <v/>
      </c>
      <c r="AB249" t="str">
        <f t="shared" si="5"/>
        <v/>
      </c>
    </row>
    <row r="250" spans="2:28">
      <c r="B250">
        <f>MacReports!B250</f>
        <v>0</v>
      </c>
      <c r="F250" t="str">
        <f>_xlfn.XLOOKUP(B250,MacReports!B:B,MacReports!D:D,"")</f>
        <v/>
      </c>
      <c r="AB250" t="str">
        <f t="shared" si="5"/>
        <v/>
      </c>
    </row>
    <row r="251" spans="2:28">
      <c r="B251">
        <f>MacReports!B251</f>
        <v>0</v>
      </c>
      <c r="F251" t="str">
        <f>_xlfn.XLOOKUP(B251,MacReports!B:B,MacReports!D:D,"")</f>
        <v/>
      </c>
      <c r="AB251" t="str">
        <f t="shared" si="5"/>
        <v/>
      </c>
    </row>
    <row r="252" spans="2:28">
      <c r="B252">
        <f>MacReports!B252</f>
        <v>0</v>
      </c>
      <c r="F252" t="str">
        <f>_xlfn.XLOOKUP(B252,MacReports!B:B,MacReports!D:D,"")</f>
        <v/>
      </c>
      <c r="AB252" t="str">
        <f t="shared" si="5"/>
        <v/>
      </c>
    </row>
    <row r="253" spans="2:28">
      <c r="B253">
        <f>MacReports!B253</f>
        <v>0</v>
      </c>
      <c r="F253" t="str">
        <f>_xlfn.XLOOKUP(B253,MacReports!B:B,MacReports!D:D,"")</f>
        <v/>
      </c>
      <c r="AB253" t="str">
        <f t="shared" si="5"/>
        <v/>
      </c>
    </row>
    <row r="254" spans="2:28">
      <c r="B254">
        <f>MacReports!B254</f>
        <v>0</v>
      </c>
      <c r="F254" t="str">
        <f>_xlfn.XLOOKUP(B254,MacReports!B:B,MacReports!D:D,"")</f>
        <v/>
      </c>
      <c r="AB254" t="str">
        <f t="shared" si="5"/>
        <v/>
      </c>
    </row>
    <row r="255" spans="2:28">
      <c r="F255" t="str">
        <f>_xlfn.XLOOKUP(B255,MacReports!B:B,MacReports!D:D,"")</f>
        <v/>
      </c>
      <c r="AB255" t="str">
        <f t="shared" si="5"/>
        <v/>
      </c>
    </row>
    <row r="256" spans="2:28">
      <c r="F256" t="str">
        <f>_xlfn.XLOOKUP(B256,MacReports!B:B,MacReports!D:D,"")</f>
        <v/>
      </c>
      <c r="AB256" t="str">
        <f t="shared" si="5"/>
        <v/>
      </c>
    </row>
    <row r="257" spans="6:28">
      <c r="F257" t="str">
        <f>_xlfn.XLOOKUP(B257,MacReports!B:B,MacReports!D:D,"")</f>
        <v/>
      </c>
      <c r="AB257" t="str">
        <f t="shared" si="5"/>
        <v/>
      </c>
    </row>
    <row r="258" spans="6:28">
      <c r="F258" t="str">
        <f>_xlfn.XLOOKUP(B258,MacReports!B:B,MacReports!D:D,"")</f>
        <v/>
      </c>
      <c r="AB258" t="str">
        <f t="shared" si="5"/>
        <v/>
      </c>
    </row>
    <row r="259" spans="6:28">
      <c r="F259" t="str">
        <f>_xlfn.XLOOKUP(B259,MacReports!B:B,MacReports!D:D,"")</f>
        <v/>
      </c>
      <c r="AB259" t="str">
        <f t="shared" ref="AB259:AB271" si="6">_xlfn.TEXTJOIN(", ",TRUE,Q259,R259)</f>
        <v/>
      </c>
    </row>
    <row r="260" spans="6:28">
      <c r="F260" t="str">
        <f>_xlfn.XLOOKUP(B260,MacReports!B:B,MacReports!D:D,"")</f>
        <v/>
      </c>
      <c r="AB260" t="str">
        <f t="shared" si="6"/>
        <v/>
      </c>
    </row>
    <row r="261" spans="6:28">
      <c r="F261" t="str">
        <f>_xlfn.XLOOKUP(B261,MacReports!B:B,MacReports!D:D,"")</f>
        <v/>
      </c>
      <c r="AB261" t="str">
        <f t="shared" si="6"/>
        <v/>
      </c>
    </row>
    <row r="262" spans="6:28">
      <c r="F262" t="str">
        <f>_xlfn.XLOOKUP(B262,MacReports!B:B,MacReports!D:D,"")</f>
        <v/>
      </c>
      <c r="AB262" t="str">
        <f t="shared" si="6"/>
        <v/>
      </c>
    </row>
    <row r="263" spans="6:28">
      <c r="F263" t="str">
        <f>_xlfn.XLOOKUP(B263,MacReports!B:B,MacReports!D:D,"")</f>
        <v/>
      </c>
      <c r="AB263" t="str">
        <f t="shared" si="6"/>
        <v/>
      </c>
    </row>
    <row r="264" spans="6:28">
      <c r="F264" t="str">
        <f>_xlfn.XLOOKUP(B264,MacReports!B:B,MacReports!D:D,"")</f>
        <v/>
      </c>
      <c r="AB264" t="str">
        <f t="shared" si="6"/>
        <v/>
      </c>
    </row>
    <row r="265" spans="6:28">
      <c r="F265" t="str">
        <f>_xlfn.XLOOKUP(B265,MacReports!B:B,MacReports!D:D,"")</f>
        <v/>
      </c>
      <c r="AB265" t="str">
        <f t="shared" si="6"/>
        <v/>
      </c>
    </row>
    <row r="266" spans="6:28">
      <c r="F266" t="str">
        <f>_xlfn.XLOOKUP(B266,MacReports!B:B,MacReports!D:D,"")</f>
        <v/>
      </c>
      <c r="AB266" t="str">
        <f t="shared" si="6"/>
        <v/>
      </c>
    </row>
    <row r="267" spans="6:28">
      <c r="F267" t="str">
        <f>_xlfn.XLOOKUP(B267,MacReports!B:B,MacReports!D:D,"")</f>
        <v/>
      </c>
      <c r="AB267" t="str">
        <f t="shared" si="6"/>
        <v/>
      </c>
    </row>
    <row r="268" spans="6:28">
      <c r="F268" t="str">
        <f>_xlfn.XLOOKUP(B268,MacReports!B:B,MacReports!D:D,"")</f>
        <v/>
      </c>
      <c r="AB268" t="str">
        <f t="shared" si="6"/>
        <v/>
      </c>
    </row>
    <row r="269" spans="6:28">
      <c r="F269" t="str">
        <f>_xlfn.XLOOKUP(B269,MacReports!B:B,MacReports!D:D,"")</f>
        <v/>
      </c>
      <c r="AB269" t="str">
        <f t="shared" si="6"/>
        <v/>
      </c>
    </row>
    <row r="270" spans="6:28">
      <c r="F270" t="str">
        <f>_xlfn.XLOOKUP(B270,MacReports!B:B,MacReports!D:D,"")</f>
        <v/>
      </c>
      <c r="AB270" t="str">
        <f t="shared" si="6"/>
        <v/>
      </c>
    </row>
    <row r="271" spans="6:28">
      <c r="F271" t="str">
        <f>_xlfn.XLOOKUP(B271,MacReports!B:B,MacReports!D:D,"")</f>
        <v/>
      </c>
      <c r="AB271" t="str">
        <f t="shared" si="6"/>
        <v/>
      </c>
    </row>
    <row r="272" spans="6:28">
      <c r="F272">
        <f>_xlfn.XLOOKUP(B272,MacReports!B:B,MacReports!D:D,"")</f>
        <v>0</v>
      </c>
    </row>
    <row r="273" spans="6:6">
      <c r="F273" t="str">
        <f>_xlfn.XLOOKUP(B273,MacReports!B:B,MacReports!D:D,"")</f>
        <v/>
      </c>
    </row>
    <row r="274" spans="6:6">
      <c r="F274" t="str">
        <f>_xlfn.XLOOKUP(B274,MacReports!B:B,MacReports!D:D,"")</f>
        <v/>
      </c>
    </row>
    <row r="275" spans="6:6">
      <c r="F275" t="str">
        <f>_xlfn.XLOOKUP(B275,MacReports!B:B,MacReports!D:D,"")</f>
        <v/>
      </c>
    </row>
    <row r="276" spans="6:6">
      <c r="F276" t="str">
        <f>_xlfn.XLOOKUP(B276,MacReports!B:B,MacReports!D:D,"")</f>
        <v/>
      </c>
    </row>
    <row r="277" spans="6:6">
      <c r="F277" t="str">
        <f>_xlfn.XLOOKUP(B277,MacReports!B:B,MacReports!D:D,"")</f>
        <v/>
      </c>
    </row>
    <row r="278" spans="6:6">
      <c r="F278" t="str">
        <f>_xlfn.XLOOKUP(B278,MacReports!B:B,MacReports!D:D,"")</f>
        <v/>
      </c>
    </row>
    <row r="279" spans="6:6">
      <c r="F279" t="str">
        <f>_xlfn.XLOOKUP(B279,MacReports!B:B,MacReports!D:D,"")</f>
        <v/>
      </c>
    </row>
    <row r="280" spans="6:6">
      <c r="F280" t="str">
        <f>_xlfn.XLOOKUP(B280,MacReports!B:B,MacReports!D:D,"")</f>
        <v/>
      </c>
    </row>
    <row r="281" spans="6:6">
      <c r="F281" t="str">
        <f>_xlfn.XLOOKUP(B281,MacReports!B:B,MacReports!D:D,"")</f>
        <v/>
      </c>
    </row>
    <row r="282" spans="6:6">
      <c r="F282" t="str">
        <f>_xlfn.XLOOKUP(B282,MacReports!B:B,MacReports!D:D,"")</f>
        <v/>
      </c>
    </row>
    <row r="283" spans="6:6">
      <c r="F283" t="str">
        <f>_xlfn.XLOOKUP(B283,MacReports!B:B,MacReports!D:D,"")</f>
        <v/>
      </c>
    </row>
    <row r="284" spans="6:6">
      <c r="F284" t="str">
        <f>_xlfn.XLOOKUP(B284,MacReports!B:B,MacReports!D:D,"")</f>
        <v/>
      </c>
    </row>
    <row r="285" spans="6:6">
      <c r="F285" t="str">
        <f>_xlfn.XLOOKUP(B285,MacReports!B:B,MacReports!D:D,"")</f>
        <v/>
      </c>
    </row>
    <row r="286" spans="6:6">
      <c r="F286" t="str">
        <f>_xlfn.XLOOKUP(B286,MacReports!B:B,MacReports!D:D,"")</f>
        <v/>
      </c>
    </row>
    <row r="287" spans="6:6">
      <c r="F287" t="str">
        <f>_xlfn.XLOOKUP(B287,MacReports!B:B,MacReports!D:D,"")</f>
        <v/>
      </c>
    </row>
    <row r="288" spans="6:6">
      <c r="F288" t="str">
        <f>_xlfn.XLOOKUP(B288,MacReports!B:B,MacReports!D:D,"")</f>
        <v/>
      </c>
    </row>
    <row r="289" spans="6:6">
      <c r="F289" t="str">
        <f>_xlfn.XLOOKUP(B289,MacReports!B:B,MacReports!D:D,"")</f>
        <v/>
      </c>
    </row>
    <row r="290" spans="6:6">
      <c r="F290">
        <f>_xlfn.XLOOKUP(B290,MacReports!B:B,MacReports!D:D,"")</f>
        <v>0</v>
      </c>
    </row>
    <row r="291" spans="6:6">
      <c r="F291" t="str">
        <f>_xlfn.XLOOKUP(B291,MacReports!B:B,MacReports!D:D,"")</f>
        <v/>
      </c>
    </row>
    <row r="292" spans="6:6">
      <c r="F292" t="str">
        <f>_xlfn.XLOOKUP(B292,MacReports!B:B,MacReports!D:D,"")</f>
        <v/>
      </c>
    </row>
    <row r="293" spans="6:6">
      <c r="F293" t="str">
        <f>_xlfn.XLOOKUP(B293,MacReports!B:B,MacReports!D:D,"")</f>
        <v/>
      </c>
    </row>
    <row r="294" spans="6:6">
      <c r="F294" t="str">
        <f>_xlfn.XLOOKUP(B294,MacReports!B:B,MacReports!D:D,"")</f>
        <v/>
      </c>
    </row>
    <row r="295" spans="6:6">
      <c r="F295" t="str">
        <f>_xlfn.XLOOKUP(B295,MacReports!B:B,MacReports!D:D,"")</f>
        <v/>
      </c>
    </row>
    <row r="296" spans="6:6">
      <c r="F296" t="str">
        <f>_xlfn.XLOOKUP(B296,MacReports!B:B,MacReports!D:D,"")</f>
        <v/>
      </c>
    </row>
    <row r="297" spans="6:6">
      <c r="F297" t="str">
        <f>_xlfn.XLOOKUP(B297,MacReports!B:B,MacReports!D:D,"")</f>
        <v/>
      </c>
    </row>
    <row r="298" spans="6:6">
      <c r="F298" t="str">
        <f>_xlfn.XLOOKUP(B298,MacReports!B:B,MacReports!D:D,"")</f>
        <v/>
      </c>
    </row>
    <row r="299" spans="6:6">
      <c r="F299" t="str">
        <f>_xlfn.XLOOKUP(B299,MacReports!B:B,MacReports!D:D,"")</f>
        <v/>
      </c>
    </row>
    <row r="300" spans="6:6">
      <c r="F300" t="str">
        <f>_xlfn.XLOOKUP(B300,MacReports!B:B,MacReports!D:D,"")</f>
        <v/>
      </c>
    </row>
    <row r="301" spans="6:6">
      <c r="F301" t="str">
        <f>_xlfn.XLOOKUP(B301,MacReports!B:B,MacReports!D:D,"")</f>
        <v/>
      </c>
    </row>
    <row r="302" spans="6:6">
      <c r="F302">
        <f>_xlfn.XLOOKUP(B302,MacReports!B:B,MacReports!D:D,"")</f>
        <v>0</v>
      </c>
    </row>
    <row r="303" spans="6:6">
      <c r="F303" t="str">
        <f>_xlfn.XLOOKUP(B303,MacReports!B:B,MacReports!D:D,"")</f>
        <v/>
      </c>
    </row>
    <row r="304" spans="6:6">
      <c r="F304" t="str">
        <f>_xlfn.XLOOKUP(B304,MacReports!B:B,MacReports!D:D,"")</f>
        <v/>
      </c>
    </row>
    <row r="305" spans="6:6">
      <c r="F305" t="str">
        <f>_xlfn.XLOOKUP(B305,MacReports!B:B,MacReports!D:D,"")</f>
        <v/>
      </c>
    </row>
    <row r="306" spans="6:6">
      <c r="F306" t="str">
        <f>_xlfn.XLOOKUP(B306,MacReports!B:B,MacReports!D:D,"")</f>
        <v/>
      </c>
    </row>
    <row r="307" spans="6:6">
      <c r="F307" t="str">
        <f>_xlfn.XLOOKUP(B307,MacReports!B:B,MacReports!D:D,"")</f>
        <v/>
      </c>
    </row>
    <row r="308" spans="6:6">
      <c r="F308">
        <f>_xlfn.XLOOKUP(B308,MacReports!B:B,MacReports!D:D,"")</f>
        <v>0</v>
      </c>
    </row>
    <row r="309" spans="6:6">
      <c r="F309" t="str">
        <f>_xlfn.XLOOKUP(B309,MacReports!B:B,MacReports!D:D,"")</f>
        <v/>
      </c>
    </row>
    <row r="310" spans="6:6">
      <c r="F310" t="str">
        <f>_xlfn.XLOOKUP(B310,MacReports!B:B,MacReports!D:D,"")</f>
        <v/>
      </c>
    </row>
    <row r="311" spans="6:6">
      <c r="F311" t="str">
        <f>_xlfn.XLOOKUP(B311,MacReports!B:B,MacReports!D:D,"")</f>
        <v/>
      </c>
    </row>
    <row r="312" spans="6:6">
      <c r="F312" t="str">
        <f>_xlfn.XLOOKUP(B312,MacReports!B:B,MacReports!D:D,"")</f>
        <v/>
      </c>
    </row>
    <row r="313" spans="6:6">
      <c r="F313" t="str">
        <f>_xlfn.XLOOKUP(B313,MacReports!B:B,MacReports!D:D,"")</f>
        <v/>
      </c>
    </row>
    <row r="314" spans="6:6">
      <c r="F314" t="str">
        <f>_xlfn.XLOOKUP(B314,MacReports!B:B,MacReports!D:D,"")</f>
        <v/>
      </c>
    </row>
    <row r="315" spans="6:6">
      <c r="F315" t="str">
        <f>_xlfn.XLOOKUP(B315,MacReports!B:B,MacReports!D:D,"")</f>
        <v/>
      </c>
    </row>
    <row r="316" spans="6:6">
      <c r="F316" t="str">
        <f>_xlfn.XLOOKUP(B316,MacReports!B:B,MacReports!D:D,"")</f>
        <v/>
      </c>
    </row>
    <row r="317" spans="6:6">
      <c r="F317" t="str">
        <f>_xlfn.XLOOKUP(B317,MacReports!B:B,MacReports!D:D,"")</f>
        <v/>
      </c>
    </row>
    <row r="318" spans="6:6">
      <c r="F318" t="str">
        <f>_xlfn.XLOOKUP(B318,MacReports!B:B,MacReports!D:D,"")</f>
        <v/>
      </c>
    </row>
    <row r="319" spans="6:6">
      <c r="F319" t="str">
        <f>_xlfn.XLOOKUP(B319,MacReports!B:B,MacReports!D:D,"")</f>
        <v/>
      </c>
    </row>
    <row r="320" spans="6:6">
      <c r="F320" t="str">
        <f>_xlfn.XLOOKUP(B320,MacReports!B:B,MacReports!D:D,"")</f>
        <v/>
      </c>
    </row>
    <row r="321" spans="6:6">
      <c r="F321">
        <f>_xlfn.XLOOKUP(B321,MacReports!B:B,MacReports!D:D,"")</f>
        <v>0</v>
      </c>
    </row>
    <row r="322" spans="6:6">
      <c r="F322" t="str">
        <f>_xlfn.XLOOKUP(B322,MacReports!B:B,MacReports!D:D,"")</f>
        <v/>
      </c>
    </row>
    <row r="323" spans="6:6">
      <c r="F323" t="str">
        <f>_xlfn.XLOOKUP(B323,MacReports!B:B,MacReports!D:D,"")</f>
        <v/>
      </c>
    </row>
    <row r="324" spans="6:6">
      <c r="F324" t="str">
        <f>_xlfn.XLOOKUP(B324,MacReports!B:B,MacReports!D:D,"")</f>
        <v/>
      </c>
    </row>
    <row r="325" spans="6:6">
      <c r="F325" t="str">
        <f>_xlfn.XLOOKUP(B325,MacReports!B:B,MacReports!D:D,"")</f>
        <v/>
      </c>
    </row>
    <row r="326" spans="6:6">
      <c r="F326" t="str">
        <f>_xlfn.XLOOKUP(B326,MacReports!B:B,MacReports!D:D,"")</f>
        <v/>
      </c>
    </row>
    <row r="327" spans="6:6">
      <c r="F327" t="str">
        <f>_xlfn.XLOOKUP(B327,MacReports!B:B,MacReports!D:D,"")</f>
        <v/>
      </c>
    </row>
    <row r="328" spans="6:6">
      <c r="F328" t="str">
        <f>_xlfn.XLOOKUP(B328,MacReports!B:B,MacReports!D:D,"")</f>
        <v/>
      </c>
    </row>
    <row r="329" spans="6:6">
      <c r="F329" t="str">
        <f>_xlfn.XLOOKUP(B329,MacReports!B:B,MacReports!D:D,"")</f>
        <v/>
      </c>
    </row>
    <row r="330" spans="6:6">
      <c r="F330" t="str">
        <f>_xlfn.XLOOKUP(B330,MacReports!B:B,MacReports!D:D,"")</f>
        <v/>
      </c>
    </row>
    <row r="331" spans="6:6">
      <c r="F331" t="str">
        <f>_xlfn.XLOOKUP(B331,MacReports!B:B,MacReports!D:D,"")</f>
        <v/>
      </c>
    </row>
    <row r="332" spans="6:6">
      <c r="F332" t="str">
        <f>_xlfn.XLOOKUP(B332,MacReports!B:B,MacReports!D:D,"")</f>
        <v/>
      </c>
    </row>
    <row r="333" spans="6:6">
      <c r="F333" t="str">
        <f>_xlfn.XLOOKUP(B333,MacReports!B:B,MacReports!D:D,"")</f>
        <v/>
      </c>
    </row>
    <row r="334" spans="6:6">
      <c r="F334" t="str">
        <f>_xlfn.XLOOKUP(B334,MacReports!B:B,MacReports!D:D,"")</f>
        <v/>
      </c>
    </row>
    <row r="335" spans="6:6">
      <c r="F335" t="str">
        <f>_xlfn.XLOOKUP(B335,MacReports!B:B,MacReports!D:D,"")</f>
        <v/>
      </c>
    </row>
    <row r="336" spans="6:6">
      <c r="F336" t="str">
        <f>_xlfn.XLOOKUP(B336,MacReports!B:B,MacReports!D:D,"")</f>
        <v/>
      </c>
    </row>
    <row r="337" spans="6:6">
      <c r="F337" t="str">
        <f>_xlfn.XLOOKUP(B337,MacReports!B:B,MacReports!D:D,"")</f>
        <v/>
      </c>
    </row>
    <row r="338" spans="6:6">
      <c r="F338" t="str">
        <f>_xlfn.XLOOKUP(B338,MacReports!B:B,MacReports!D:D,"")</f>
        <v/>
      </c>
    </row>
    <row r="339" spans="6:6">
      <c r="F339" t="str">
        <f>_xlfn.XLOOKUP(B339,MacReports!B:B,MacReports!D:D,"")</f>
        <v/>
      </c>
    </row>
    <row r="340" spans="6:6">
      <c r="F340" t="str">
        <f>_xlfn.XLOOKUP(B340,MacReports!B:B,MacReports!D:D,"")</f>
        <v/>
      </c>
    </row>
    <row r="341" spans="6:6">
      <c r="F341" t="str">
        <f>_xlfn.XLOOKUP(B341,MacReports!B:B,MacReports!D:D,"")</f>
        <v/>
      </c>
    </row>
    <row r="342" spans="6:6">
      <c r="F342" t="str">
        <f>_xlfn.XLOOKUP(B342,MacReports!B:B,MacReports!D:D,"")</f>
        <v/>
      </c>
    </row>
    <row r="343" spans="6:6">
      <c r="F343" t="str">
        <f>_xlfn.XLOOKUP(B343,MacReports!B:B,MacReports!D:D,"")</f>
        <v/>
      </c>
    </row>
    <row r="344" spans="6:6">
      <c r="F344">
        <f>_xlfn.XLOOKUP(B344,MacReports!B:B,MacReports!D:D,"")</f>
        <v>0</v>
      </c>
    </row>
    <row r="345" spans="6:6">
      <c r="F345" t="str">
        <f>_xlfn.XLOOKUP(B345,MacReports!B:B,MacReports!D:D,"")</f>
        <v/>
      </c>
    </row>
    <row r="346" spans="6:6">
      <c r="F346" t="str">
        <f>_xlfn.XLOOKUP(B346,MacReports!B:B,MacReports!D:D,"")</f>
        <v/>
      </c>
    </row>
    <row r="347" spans="6:6">
      <c r="F347" t="str">
        <f>_xlfn.XLOOKUP(B347,MacReports!B:B,MacReports!D:D,"")</f>
        <v/>
      </c>
    </row>
    <row r="348" spans="6:6">
      <c r="F348" t="str">
        <f>_xlfn.XLOOKUP(B348,MacReports!B:B,MacReports!D:D,"")</f>
        <v/>
      </c>
    </row>
    <row r="349" spans="6:6">
      <c r="F349" t="str">
        <f>_xlfn.XLOOKUP(B349,MacReports!B:B,MacReports!D:D,"")</f>
        <v/>
      </c>
    </row>
    <row r="350" spans="6:6">
      <c r="F350" t="str">
        <f>_xlfn.XLOOKUP(B350,MacReports!B:B,MacReports!D:D,"")</f>
        <v/>
      </c>
    </row>
    <row r="351" spans="6:6">
      <c r="F351" t="str">
        <f>_xlfn.XLOOKUP(B351,MacReports!B:B,MacReports!D:D,"")</f>
        <v/>
      </c>
    </row>
    <row r="352" spans="6:6">
      <c r="F352" t="str">
        <f>_xlfn.XLOOKUP(B352,MacReports!B:B,MacReports!D:D,"")</f>
        <v/>
      </c>
    </row>
    <row r="353" spans="6:6">
      <c r="F353" t="str">
        <f>_xlfn.XLOOKUP(B353,MacReports!B:B,MacReports!D:D,"")</f>
        <v/>
      </c>
    </row>
    <row r="354" spans="6:6">
      <c r="F354" t="str">
        <f>_xlfn.XLOOKUP(B354,MacReports!B:B,MacReports!D:D,"")</f>
        <v/>
      </c>
    </row>
    <row r="355" spans="6:6">
      <c r="F355" t="str">
        <f>_xlfn.XLOOKUP(B355,MacReports!B:B,MacReports!D:D,"")</f>
        <v/>
      </c>
    </row>
    <row r="356" spans="6:6">
      <c r="F356">
        <f>_xlfn.XLOOKUP(B356,MacReports!B:B,MacReports!D:D,"")</f>
        <v>0</v>
      </c>
    </row>
    <row r="357" spans="6:6">
      <c r="F357" t="str">
        <f>_xlfn.XLOOKUP(B357,MacReports!B:B,MacReports!D:D,"")</f>
        <v/>
      </c>
    </row>
    <row r="358" spans="6:6">
      <c r="F358" t="str">
        <f>_xlfn.XLOOKUP(B358,MacReports!B:B,MacReports!D:D,"")</f>
        <v/>
      </c>
    </row>
    <row r="359" spans="6:6">
      <c r="F359" t="str">
        <f>_xlfn.XLOOKUP(B359,MacReports!B:B,MacReports!D:D,"")</f>
        <v/>
      </c>
    </row>
    <row r="360" spans="6:6">
      <c r="F360" t="str">
        <f>_xlfn.XLOOKUP(B360,MacReports!B:B,MacReports!D:D,"")</f>
        <v/>
      </c>
    </row>
    <row r="361" spans="6:6">
      <c r="F361" t="str">
        <f>_xlfn.XLOOKUP(B361,MacReports!B:B,MacReports!D:D,"")</f>
        <v/>
      </c>
    </row>
    <row r="362" spans="6:6">
      <c r="F362">
        <f>_xlfn.XLOOKUP(B362,MacReports!B:B,MacReports!D:D,"")</f>
        <v>0</v>
      </c>
    </row>
    <row r="363" spans="6:6">
      <c r="F363" t="str">
        <f>_xlfn.XLOOKUP(B363,MacReports!B:B,MacReports!D:D,"")</f>
        <v/>
      </c>
    </row>
    <row r="364" spans="6:6">
      <c r="F364" t="str">
        <f>_xlfn.XLOOKUP(B364,MacReports!B:B,MacReports!D:D,"")</f>
        <v/>
      </c>
    </row>
    <row r="365" spans="6:6">
      <c r="F365" t="str">
        <f>_xlfn.XLOOKUP(B365,MacReports!B:B,MacReports!D:D,"")</f>
        <v/>
      </c>
    </row>
    <row r="366" spans="6:6">
      <c r="F366" t="str">
        <f>_xlfn.XLOOKUP(B366,MacReports!B:B,MacReports!D:D,"")</f>
        <v/>
      </c>
    </row>
    <row r="367" spans="6:6">
      <c r="F367" t="str">
        <f>_xlfn.XLOOKUP(B367,MacReports!B:B,MacReports!D:D,"")</f>
        <v/>
      </c>
    </row>
    <row r="368" spans="6:6">
      <c r="F368" t="str">
        <f>_xlfn.XLOOKUP(B368,MacReports!B:B,MacReports!D:D,"")</f>
        <v/>
      </c>
    </row>
    <row r="369" spans="6:6">
      <c r="F369" t="str">
        <f>_xlfn.XLOOKUP(B369,MacReports!B:B,MacReports!D:D,"")</f>
        <v/>
      </c>
    </row>
    <row r="370" spans="6:6">
      <c r="F370" t="str">
        <f>_xlfn.XLOOKUP(B370,MacReports!B:B,MacReports!D:D,"")</f>
        <v/>
      </c>
    </row>
    <row r="371" spans="6:6">
      <c r="F371" t="str">
        <f>_xlfn.XLOOKUP(B371,MacReports!B:B,MacReports!D:D,"")</f>
        <v/>
      </c>
    </row>
    <row r="372" spans="6:6">
      <c r="F372" t="str">
        <f>_xlfn.XLOOKUP(B372,MacReports!B:B,MacReports!D:D,"")</f>
        <v/>
      </c>
    </row>
    <row r="373" spans="6:6">
      <c r="F373" t="str">
        <f>_xlfn.XLOOKUP(B373,MacReports!B:B,MacReports!D:D,"")</f>
        <v/>
      </c>
    </row>
    <row r="374" spans="6:6">
      <c r="F374" t="str">
        <f>_xlfn.XLOOKUP(B374,MacReports!B:B,MacReports!D:D,"")</f>
        <v/>
      </c>
    </row>
    <row r="375" spans="6:6">
      <c r="F375">
        <f>_xlfn.XLOOKUP(B375,MacReports!B:B,MacReports!D:D,"")</f>
        <v>0</v>
      </c>
    </row>
    <row r="376" spans="6:6">
      <c r="F376" t="str">
        <f>_xlfn.XLOOKUP(B376,MacReports!B:B,MacReports!D:D,"")</f>
        <v/>
      </c>
    </row>
    <row r="377" spans="6:6">
      <c r="F377" t="str">
        <f>_xlfn.XLOOKUP(B377,MacReports!B:B,MacReports!D:D,"")</f>
        <v/>
      </c>
    </row>
    <row r="378" spans="6:6">
      <c r="F378" t="str">
        <f>_xlfn.XLOOKUP(B378,MacReports!B:B,MacReports!D:D,"")</f>
        <v/>
      </c>
    </row>
    <row r="379" spans="6:6">
      <c r="F379" t="str">
        <f>_xlfn.XLOOKUP(B379,MacReports!B:B,MacReports!D:D,"")</f>
        <v/>
      </c>
    </row>
    <row r="380" spans="6:6">
      <c r="F380">
        <f>_xlfn.XLOOKUP(B380,MacReports!B:B,MacReports!D:D,"")</f>
        <v>0</v>
      </c>
    </row>
    <row r="381" spans="6:6">
      <c r="F381" t="str">
        <f>_xlfn.XLOOKUP(B381,MacReports!B:B,MacReports!D:D,"")</f>
        <v/>
      </c>
    </row>
    <row r="382" spans="6:6">
      <c r="F382" t="str">
        <f>_xlfn.XLOOKUP(B382,MacReports!B:B,MacReports!D:D,"")</f>
        <v/>
      </c>
    </row>
    <row r="383" spans="6:6">
      <c r="F383" t="str">
        <f>_xlfn.XLOOKUP(B383,MacReports!B:B,MacReports!D:D,"")</f>
        <v/>
      </c>
    </row>
    <row r="384" spans="6:6">
      <c r="F384" t="str">
        <f>_xlfn.XLOOKUP(B384,MacReports!B:B,MacReports!D:D,"")</f>
        <v/>
      </c>
    </row>
    <row r="385" spans="6:6">
      <c r="F385" t="str">
        <f>_xlfn.XLOOKUP(B385,MacReports!B:B,MacReports!D:D,"")</f>
        <v/>
      </c>
    </row>
    <row r="386" spans="6:6">
      <c r="F386" t="str">
        <f>_xlfn.XLOOKUP(B386,MacReports!B:B,MacReports!D:D,"")</f>
        <v/>
      </c>
    </row>
    <row r="387" spans="6:6">
      <c r="F387" t="str">
        <f>_xlfn.XLOOKUP(B387,MacReports!B:B,MacReports!D:D,"")</f>
        <v/>
      </c>
    </row>
    <row r="388" spans="6:6">
      <c r="F388" t="str">
        <f>_xlfn.XLOOKUP(B388,MacReports!B:B,MacReports!D:D,"")</f>
        <v/>
      </c>
    </row>
    <row r="389" spans="6:6">
      <c r="F389" t="str">
        <f>_xlfn.XLOOKUP(B389,MacReports!B:B,MacReports!D:D,"")</f>
        <v/>
      </c>
    </row>
    <row r="390" spans="6:6">
      <c r="F390" t="str">
        <f>_xlfn.XLOOKUP(B390,MacReports!B:B,MacReports!D:D,"")</f>
        <v/>
      </c>
    </row>
    <row r="391" spans="6:6">
      <c r="F391" t="str">
        <f>_xlfn.XLOOKUP(B391,MacReports!B:B,MacReports!D:D,"")</f>
        <v/>
      </c>
    </row>
    <row r="392" spans="6:6">
      <c r="F392" t="str">
        <f>_xlfn.XLOOKUP(B392,MacReports!B:B,MacReports!D:D,"")</f>
        <v/>
      </c>
    </row>
    <row r="393" spans="6:6">
      <c r="F393" t="str">
        <f>_xlfn.XLOOKUP(B393,MacReports!B:B,MacReports!D:D,"")</f>
        <v/>
      </c>
    </row>
    <row r="394" spans="6:6">
      <c r="F394" t="str">
        <f>_xlfn.XLOOKUP(B394,MacReports!B:B,MacReports!D:D,"")</f>
        <v/>
      </c>
    </row>
    <row r="395" spans="6:6">
      <c r="F395" t="str">
        <f>_xlfn.XLOOKUP(B395,MacReports!B:B,MacReports!D:D,"")</f>
        <v/>
      </c>
    </row>
    <row r="396" spans="6:6">
      <c r="F396" t="str">
        <f>_xlfn.XLOOKUP(B396,MacReports!B:B,MacReports!D:D,"")</f>
        <v/>
      </c>
    </row>
    <row r="397" spans="6:6">
      <c r="F397" t="str">
        <f>_xlfn.XLOOKUP(B397,MacReports!B:B,MacReports!D:D,"")</f>
        <v/>
      </c>
    </row>
    <row r="398" spans="6:6">
      <c r="F398">
        <f>_xlfn.XLOOKUP(B398,MacReports!B:B,MacReports!D:D,"")</f>
        <v>0</v>
      </c>
    </row>
    <row r="399" spans="6:6">
      <c r="F399" t="str">
        <f>_xlfn.XLOOKUP(B399,MacReports!B:B,MacReports!D:D,"")</f>
        <v/>
      </c>
    </row>
    <row r="400" spans="6:6">
      <c r="F400" t="str">
        <f>_xlfn.XLOOKUP(B400,MacReports!B:B,MacReports!D:D,"")</f>
        <v/>
      </c>
    </row>
    <row r="401" spans="6:6">
      <c r="F401" t="str">
        <f>_xlfn.XLOOKUP(B401,MacReports!B:B,MacReports!D:D,"")</f>
        <v/>
      </c>
    </row>
    <row r="402" spans="6:6">
      <c r="F402" t="str">
        <f>_xlfn.XLOOKUP(B402,MacReports!B:B,MacReports!D:D,"")</f>
        <v/>
      </c>
    </row>
    <row r="403" spans="6:6">
      <c r="F403" t="str">
        <f>_xlfn.XLOOKUP(B403,MacReports!B:B,MacReports!D:D,"")</f>
        <v/>
      </c>
    </row>
    <row r="404" spans="6:6">
      <c r="F404" t="str">
        <f>_xlfn.XLOOKUP(B404,MacReports!B:B,MacReports!D:D,"")</f>
        <v/>
      </c>
    </row>
    <row r="405" spans="6:6">
      <c r="F405" t="str">
        <f>_xlfn.XLOOKUP(B405,MacReports!B:B,MacReports!D:D,"")</f>
        <v/>
      </c>
    </row>
    <row r="406" spans="6:6">
      <c r="F406" t="str">
        <f>_xlfn.XLOOKUP(B406,MacReports!B:B,MacReports!D:D,"")</f>
        <v/>
      </c>
    </row>
    <row r="407" spans="6:6">
      <c r="F407" t="str">
        <f>_xlfn.XLOOKUP(B407,MacReports!B:B,MacReports!D:D,"")</f>
        <v/>
      </c>
    </row>
    <row r="408" spans="6:6">
      <c r="F408" t="str">
        <f>_xlfn.XLOOKUP(B408,MacReports!B:B,MacReports!D:D,"")</f>
        <v/>
      </c>
    </row>
    <row r="409" spans="6:6">
      <c r="F409" t="str">
        <f>_xlfn.XLOOKUP(B409,MacReports!B:B,MacReports!D:D,"")</f>
        <v/>
      </c>
    </row>
    <row r="410" spans="6:6">
      <c r="F410">
        <f>_xlfn.XLOOKUP(B410,MacReports!B:B,MacReports!D:D,"")</f>
        <v>0</v>
      </c>
    </row>
    <row r="411" spans="6:6">
      <c r="F411" t="str">
        <f>_xlfn.XLOOKUP(B411,MacReports!B:B,MacReports!D:D,"")</f>
        <v/>
      </c>
    </row>
    <row r="412" spans="6:6">
      <c r="F412" t="str">
        <f>_xlfn.XLOOKUP(B412,MacReports!B:B,MacReports!D:D,"")</f>
        <v/>
      </c>
    </row>
    <row r="413" spans="6:6">
      <c r="F413" t="str">
        <f>_xlfn.XLOOKUP(B413,MacReports!B:B,MacReports!D:D,"")</f>
        <v/>
      </c>
    </row>
    <row r="414" spans="6:6">
      <c r="F414" t="str">
        <f>_xlfn.XLOOKUP(B414,MacReports!B:B,MacReports!D:D,"")</f>
        <v/>
      </c>
    </row>
    <row r="415" spans="6:6">
      <c r="F415" t="str">
        <f>_xlfn.XLOOKUP(B415,MacReports!B:B,MacReports!D:D,"")</f>
        <v/>
      </c>
    </row>
    <row r="416" spans="6:6">
      <c r="F416">
        <f>_xlfn.XLOOKUP(B416,MacReports!B:B,MacReports!D:D,"")</f>
        <v>0</v>
      </c>
    </row>
    <row r="417" spans="6:6">
      <c r="F417" t="str">
        <f>_xlfn.XLOOKUP(B417,MacReports!B:B,MacReports!D:D,"")</f>
        <v/>
      </c>
    </row>
    <row r="418" spans="6:6">
      <c r="F418" t="str">
        <f>_xlfn.XLOOKUP(B418,MacReports!B:B,MacReports!D:D,"")</f>
        <v/>
      </c>
    </row>
    <row r="419" spans="6:6">
      <c r="F419" t="str">
        <f>_xlfn.XLOOKUP(B419,MacReports!B:B,MacReports!D:D,"")</f>
        <v/>
      </c>
    </row>
    <row r="420" spans="6:6">
      <c r="F420" t="str">
        <f>_xlfn.XLOOKUP(B420,MacReports!B:B,MacReports!D:D,"")</f>
        <v/>
      </c>
    </row>
    <row r="421" spans="6:6">
      <c r="F421" t="str">
        <f>_xlfn.XLOOKUP(B421,MacReports!B:B,MacReports!D:D,"")</f>
        <v/>
      </c>
    </row>
    <row r="422" spans="6:6">
      <c r="F422" t="str">
        <f>_xlfn.XLOOKUP(B422,MacReports!B:B,MacReports!D:D,"")</f>
        <v/>
      </c>
    </row>
    <row r="423" spans="6:6">
      <c r="F423" t="str">
        <f>_xlfn.XLOOKUP(B423,MacReports!B:B,MacReports!D:D,"")</f>
        <v/>
      </c>
    </row>
    <row r="424" spans="6:6">
      <c r="F424" t="str">
        <f>_xlfn.XLOOKUP(B424,MacReports!B:B,MacReports!D:D,"")</f>
        <v/>
      </c>
    </row>
    <row r="425" spans="6:6">
      <c r="F425" t="str">
        <f>_xlfn.XLOOKUP(B425,MacReports!B:B,MacReports!D:D,"")</f>
        <v/>
      </c>
    </row>
    <row r="426" spans="6:6">
      <c r="F426" t="str">
        <f>_xlfn.XLOOKUP(B426,MacReports!B:B,MacReports!D:D,"")</f>
        <v/>
      </c>
    </row>
    <row r="427" spans="6:6">
      <c r="F427" t="str">
        <f>_xlfn.XLOOKUP(B427,MacReports!B:B,MacReports!D:D,"")</f>
        <v/>
      </c>
    </row>
    <row r="428" spans="6:6">
      <c r="F428" t="str">
        <f>_xlfn.XLOOKUP(B428,MacReports!B:B,MacReports!D:D,"")</f>
        <v/>
      </c>
    </row>
    <row r="429" spans="6:6">
      <c r="F429" t="str">
        <f>_xlfn.XLOOKUP(B429,MacReports!B:B,MacReports!D:D,"")</f>
        <v/>
      </c>
    </row>
    <row r="430" spans="6:6">
      <c r="F430" t="str">
        <f>_xlfn.XLOOKUP(B430,MacReports!B:B,MacReports!D:D,"")</f>
        <v/>
      </c>
    </row>
    <row r="431" spans="6:6">
      <c r="F431" t="str">
        <f>_xlfn.XLOOKUP(B431,MacReports!B:B,MacReports!D:D,"")</f>
        <v/>
      </c>
    </row>
    <row r="432" spans="6:6">
      <c r="F432" t="str">
        <f>_xlfn.XLOOKUP(B432,MacReports!B:B,MacReports!D:D,"")</f>
        <v/>
      </c>
    </row>
    <row r="433" spans="6:6">
      <c r="F433" t="str">
        <f>_xlfn.XLOOKUP(B433,MacReports!B:B,MacReports!D:D,"")</f>
        <v/>
      </c>
    </row>
    <row r="434" spans="6:6">
      <c r="F434" t="str">
        <f>_xlfn.XLOOKUP(B434,MacReports!B:B,MacReports!D:D,"")</f>
        <v/>
      </c>
    </row>
    <row r="435" spans="6:6">
      <c r="F435" t="str">
        <f>_xlfn.XLOOKUP(B435,MacReports!B:B,MacReports!D:D,"")</f>
        <v/>
      </c>
    </row>
    <row r="436" spans="6:6">
      <c r="F436" t="str">
        <f>_xlfn.XLOOKUP(B436,MacReports!B:B,MacReports!D:D,"")</f>
        <v/>
      </c>
    </row>
    <row r="437" spans="6:6">
      <c r="F437" t="str">
        <f>_xlfn.XLOOKUP(B437,MacReports!B:B,MacReports!D:D,"")</f>
        <v/>
      </c>
    </row>
    <row r="438" spans="6:6">
      <c r="F438" t="str">
        <f>_xlfn.XLOOKUP(B438,MacReports!B:B,MacReports!D:D,"")</f>
        <v/>
      </c>
    </row>
    <row r="439" spans="6:6">
      <c r="F439" t="str">
        <f>_xlfn.XLOOKUP(B439,MacReports!B:B,MacReports!D:D,"")</f>
        <v/>
      </c>
    </row>
    <row r="440" spans="6:6">
      <c r="F440" t="str">
        <f>_xlfn.XLOOKUP(B440,MacReports!B:B,MacReports!D:D,"")</f>
        <v/>
      </c>
    </row>
    <row r="441" spans="6:6">
      <c r="F441" t="str">
        <f>_xlfn.XLOOKUP(B441,MacReports!B:B,MacReports!D:D,"")</f>
        <v/>
      </c>
    </row>
    <row r="442" spans="6:6">
      <c r="F442" t="str">
        <f>_xlfn.XLOOKUP(B442,MacReports!B:B,MacReports!D:D,"")</f>
        <v/>
      </c>
    </row>
    <row r="443" spans="6:6">
      <c r="F443" t="str">
        <f>_xlfn.XLOOKUP(B443,MacReports!B:B,MacReports!D:D,"")</f>
        <v/>
      </c>
    </row>
    <row r="444" spans="6:6">
      <c r="F444" t="str">
        <f>_xlfn.XLOOKUP(B444,MacReports!B:B,MacReports!D:D,"")</f>
        <v/>
      </c>
    </row>
    <row r="445" spans="6:6">
      <c r="F445" t="str">
        <f>_xlfn.XLOOKUP(B445,MacReports!B:B,MacReports!D:D,"")</f>
        <v/>
      </c>
    </row>
    <row r="446" spans="6:6">
      <c r="F446" t="str">
        <f>_xlfn.XLOOKUP(B446,MacReports!B:B,MacReports!D:D,"")</f>
        <v/>
      </c>
    </row>
    <row r="447" spans="6:6">
      <c r="F447" t="str">
        <f>_xlfn.XLOOKUP(B447,MacReports!B:B,MacReports!D:D,"")</f>
        <v/>
      </c>
    </row>
    <row r="448" spans="6:6">
      <c r="F448" t="str">
        <f>_xlfn.XLOOKUP(B448,MacReports!B:B,MacReports!D:D,"")</f>
        <v/>
      </c>
    </row>
    <row r="449" spans="6:6">
      <c r="F449" t="str">
        <f>_xlfn.XLOOKUP(B449,MacReports!B:B,MacReports!D:D,"")</f>
        <v/>
      </c>
    </row>
    <row r="450" spans="6:6">
      <c r="F450" t="str">
        <f>_xlfn.XLOOKUP(B450,MacReports!B:B,MacReports!D:D,"")</f>
        <v/>
      </c>
    </row>
    <row r="451" spans="6:6">
      <c r="F451" t="str">
        <f>_xlfn.XLOOKUP(B451,MacReports!B:B,MacReports!D:D,"")</f>
        <v/>
      </c>
    </row>
    <row r="452" spans="6:6">
      <c r="F452" t="str">
        <f>_xlfn.XLOOKUP(B452,MacReports!B:B,MacReports!D:D,"")</f>
        <v/>
      </c>
    </row>
    <row r="453" spans="6:6">
      <c r="F453" t="str">
        <f>_xlfn.XLOOKUP(B453,MacReports!B:B,MacReports!D:D,"")</f>
        <v/>
      </c>
    </row>
    <row r="454" spans="6:6">
      <c r="F454" t="str">
        <f>_xlfn.XLOOKUP(B454,MacReports!B:B,MacReports!D:D,"")</f>
        <v/>
      </c>
    </row>
    <row r="455" spans="6:6">
      <c r="F455" t="str">
        <f>_xlfn.XLOOKUP(B455,MacReports!B:B,MacReports!D:D,"")</f>
        <v/>
      </c>
    </row>
    <row r="456" spans="6:6">
      <c r="F456" t="str">
        <f>_xlfn.XLOOKUP(B456,MacReports!B:B,MacReports!D:D,"")</f>
        <v/>
      </c>
    </row>
    <row r="457" spans="6:6">
      <c r="F457" t="str">
        <f>_xlfn.XLOOKUP(B457,MacReports!B:B,MacReports!D:D,"")</f>
        <v/>
      </c>
    </row>
    <row r="458" spans="6:6">
      <c r="F458">
        <f>_xlfn.XLOOKUP(B458,MacReports!B:B,MacReports!D:D,"")</f>
        <v>0</v>
      </c>
    </row>
    <row r="459" spans="6:6">
      <c r="F459" t="str">
        <f>_xlfn.XLOOKUP(B459,MacReports!B:B,MacReports!D:D,"")</f>
        <v/>
      </c>
    </row>
    <row r="460" spans="6:6">
      <c r="F460">
        <f>_xlfn.XLOOKUP(B460,MacReports!B:B,MacReports!D:D,"")</f>
        <v>0</v>
      </c>
    </row>
    <row r="461" spans="6:6">
      <c r="F461" t="str">
        <f>_xlfn.XLOOKUP(B461,MacReports!B:B,MacReports!D:D,"")</f>
        <v/>
      </c>
    </row>
    <row r="462" spans="6:6">
      <c r="F462" t="str">
        <f>_xlfn.XLOOKUP(B462,MacReports!B:B,MacReports!D:D,"")</f>
        <v/>
      </c>
    </row>
    <row r="463" spans="6:6">
      <c r="F463" t="str">
        <f>_xlfn.XLOOKUP(B463,MacReports!B:B,MacReports!D:D,"")</f>
        <v/>
      </c>
    </row>
    <row r="464" spans="6:6">
      <c r="F464" t="str">
        <f>_xlfn.XLOOKUP(B464,MacReports!B:B,MacReports!D:D,"")</f>
        <v/>
      </c>
    </row>
    <row r="465" spans="6:6">
      <c r="F465" t="str">
        <f>_xlfn.XLOOKUP(B465,MacReports!B:B,MacReports!D:D,"")</f>
        <v/>
      </c>
    </row>
    <row r="466" spans="6:6">
      <c r="F466" t="str">
        <f>_xlfn.XLOOKUP(B466,MacReports!B:B,MacReports!D:D,"")</f>
        <v/>
      </c>
    </row>
    <row r="467" spans="6:6">
      <c r="F467" t="str">
        <f>_xlfn.XLOOKUP(B467,MacReports!B:B,MacReports!D:D,"")</f>
        <v/>
      </c>
    </row>
    <row r="468" spans="6:6">
      <c r="F468" t="str">
        <f>_xlfn.XLOOKUP(B468,MacReports!B:B,MacReports!D:D,"")</f>
        <v/>
      </c>
    </row>
    <row r="469" spans="6:6">
      <c r="F469" t="str">
        <f>_xlfn.XLOOKUP(B469,MacReports!B:B,MacReports!D:D,"")</f>
        <v/>
      </c>
    </row>
    <row r="470" spans="6:6">
      <c r="F470">
        <f>_xlfn.XLOOKUP(B470,MacReports!B:B,MacReports!D:D,"")</f>
        <v>0</v>
      </c>
    </row>
    <row r="471" spans="6:6">
      <c r="F471">
        <f>_xlfn.XLOOKUP(B471,MacReports!B:B,MacReports!D:D,"")</f>
        <v>0</v>
      </c>
    </row>
    <row r="472" spans="6:6">
      <c r="F472" t="str">
        <f>_xlfn.XLOOKUP(B472,MacReports!B:B,MacReports!D:D,"")</f>
        <v/>
      </c>
    </row>
    <row r="473" spans="6:6">
      <c r="F473" t="str">
        <f>_xlfn.XLOOKUP(B473,MacReports!B:B,MacReports!D:D,"")</f>
        <v/>
      </c>
    </row>
    <row r="474" spans="6:6">
      <c r="F474" t="str">
        <f>_xlfn.XLOOKUP(B474,MacReports!B:B,MacReports!D:D,"")</f>
        <v/>
      </c>
    </row>
    <row r="475" spans="6:6">
      <c r="F475" t="str">
        <f>_xlfn.XLOOKUP(B475,MacReports!B:B,MacReports!D:D,"")</f>
        <v/>
      </c>
    </row>
    <row r="476" spans="6:6">
      <c r="F476" t="str">
        <f>_xlfn.XLOOKUP(B476,MacReports!B:B,MacReports!D:D,"")</f>
        <v/>
      </c>
    </row>
    <row r="477" spans="6:6">
      <c r="F477" t="str">
        <f>_xlfn.XLOOKUP(B477,MacReports!B:B,MacReports!D:D,"")</f>
        <v/>
      </c>
    </row>
    <row r="478" spans="6:6">
      <c r="F478">
        <f>_xlfn.XLOOKUP(B478,MacReports!B:B,MacReports!D:D,"")</f>
        <v>0</v>
      </c>
    </row>
    <row r="479" spans="6:6">
      <c r="F479" t="str">
        <f>_xlfn.XLOOKUP(B479,MacReports!B:B,MacReports!D:D,"")</f>
        <v/>
      </c>
    </row>
    <row r="480" spans="6:6">
      <c r="F480" t="str">
        <f>_xlfn.XLOOKUP(B480,MacReports!B:B,MacReports!D:D,"")</f>
        <v/>
      </c>
    </row>
    <row r="481" spans="6:6">
      <c r="F481" t="str">
        <f>_xlfn.XLOOKUP(B481,MacReports!B:B,MacReports!D:D,"")</f>
        <v/>
      </c>
    </row>
    <row r="482" spans="6:6">
      <c r="F482" t="str">
        <f>_xlfn.XLOOKUP(B482,MacReports!B:B,MacReports!D:D,"")</f>
        <v/>
      </c>
    </row>
    <row r="483" spans="6:6">
      <c r="F483" t="str">
        <f>_xlfn.XLOOKUP(B483,MacReports!B:B,MacReports!D:D,"")</f>
        <v/>
      </c>
    </row>
    <row r="484" spans="6:6">
      <c r="F484" t="str">
        <f>_xlfn.XLOOKUP(B484,MacReports!B:B,MacReports!D:D,"")</f>
        <v/>
      </c>
    </row>
    <row r="485" spans="6:6">
      <c r="F485">
        <f>_xlfn.XLOOKUP(B485,MacReports!B:B,MacReports!D:D,"")</f>
        <v>0</v>
      </c>
    </row>
    <row r="486" spans="6:6">
      <c r="F486" t="str">
        <f>_xlfn.XLOOKUP(B486,MacReports!B:B,MacReports!D:D,"")</f>
        <v/>
      </c>
    </row>
    <row r="487" spans="6:6">
      <c r="F487" t="str">
        <f>_xlfn.XLOOKUP(B487,MacReports!B:B,MacReports!D:D,"")</f>
        <v/>
      </c>
    </row>
    <row r="488" spans="6:6">
      <c r="F488" t="str">
        <f>_xlfn.XLOOKUP(B488,MacReports!B:B,MacReports!D:D,"")</f>
        <v/>
      </c>
    </row>
    <row r="489" spans="6:6">
      <c r="F489" t="str">
        <f>_xlfn.XLOOKUP(B489,MacReports!B:B,MacReports!D:D,"")</f>
        <v/>
      </c>
    </row>
    <row r="490" spans="6:6">
      <c r="F490" t="str">
        <f>_xlfn.XLOOKUP(B490,MacReports!B:B,MacReports!D:D,"")</f>
        <v/>
      </c>
    </row>
    <row r="491" spans="6:6">
      <c r="F491" t="str">
        <f>_xlfn.XLOOKUP(B491,MacReports!B:B,MacReports!D:D,"")</f>
        <v/>
      </c>
    </row>
    <row r="492" spans="6:6">
      <c r="F492" t="str">
        <f>_xlfn.XLOOKUP(B492,MacReports!B:B,MacReports!D:D,"")</f>
        <v/>
      </c>
    </row>
    <row r="493" spans="6:6">
      <c r="F493" t="str">
        <f>_xlfn.XLOOKUP(B493,MacReports!B:B,MacReports!D:D,"")</f>
        <v/>
      </c>
    </row>
    <row r="494" spans="6:6">
      <c r="F494" t="str">
        <f>_xlfn.XLOOKUP(B494,MacReports!B:B,MacReports!D:D,"")</f>
        <v/>
      </c>
    </row>
    <row r="495" spans="6:6">
      <c r="F495" t="str">
        <f>_xlfn.XLOOKUP(B495,MacReports!B:B,MacReports!D:D,"")</f>
        <v/>
      </c>
    </row>
    <row r="496" spans="6:6">
      <c r="F496">
        <f>_xlfn.XLOOKUP(B496,MacReports!B:B,MacReports!D:D,"")</f>
        <v>0</v>
      </c>
    </row>
    <row r="497" spans="6:6">
      <c r="F497" t="str">
        <f>_xlfn.XLOOKUP(B497,MacReports!B:B,MacReports!D:D,"")</f>
        <v/>
      </c>
    </row>
    <row r="498" spans="6:6">
      <c r="F498" t="str">
        <f>_xlfn.XLOOKUP(B498,MacReports!B:B,MacReports!D:D,"")</f>
        <v/>
      </c>
    </row>
    <row r="499" spans="6:6">
      <c r="F499" t="str">
        <f>_xlfn.XLOOKUP(B499,MacReports!B:B,MacReports!D:D,"")</f>
        <v/>
      </c>
    </row>
    <row r="500" spans="6:6">
      <c r="F500" t="str">
        <f>_xlfn.XLOOKUP(B500,MacReports!B:B,MacReports!D:D,"")</f>
        <v/>
      </c>
    </row>
    <row r="501" spans="6:6">
      <c r="F501" t="str">
        <f>_xlfn.XLOOKUP(B501,MacReports!B:B,MacReports!D:D,"")</f>
        <v/>
      </c>
    </row>
    <row r="502" spans="6:6">
      <c r="F502" t="str">
        <f>_xlfn.XLOOKUP(B502,MacReports!B:B,MacReports!D:D,"")</f>
        <v/>
      </c>
    </row>
    <row r="503" spans="6:6">
      <c r="F503">
        <f>_xlfn.XLOOKUP(B503,MacReports!B:B,MacReports!D:D,"")</f>
        <v>0</v>
      </c>
    </row>
    <row r="504" spans="6:6">
      <c r="F504">
        <f>_xlfn.XLOOKUP(B504,MacReports!B:B,MacReports!D:D,"")</f>
        <v>0</v>
      </c>
    </row>
    <row r="505" spans="6:6">
      <c r="F505" t="str">
        <f>_xlfn.XLOOKUP(B505,MacReports!B:B,MacReports!D:D,"")</f>
        <v/>
      </c>
    </row>
    <row r="506" spans="6:6">
      <c r="F506" t="str">
        <f>_xlfn.XLOOKUP(B506,MacReports!B:B,MacReports!D:D,"")</f>
        <v/>
      </c>
    </row>
    <row r="507" spans="6:6">
      <c r="F507" t="str">
        <f>_xlfn.XLOOKUP(B507,MacReports!B:B,MacReports!D:D,"")</f>
        <v/>
      </c>
    </row>
    <row r="508" spans="6:6">
      <c r="F508" t="str">
        <f>_xlfn.XLOOKUP(B508,MacReports!B:B,MacReports!D:D,"")</f>
        <v/>
      </c>
    </row>
    <row r="509" spans="6:6">
      <c r="F509">
        <f>_xlfn.XLOOKUP(B509,MacReports!B:B,MacReports!D:D,"")</f>
        <v>0</v>
      </c>
    </row>
    <row r="510" spans="6:6">
      <c r="F510">
        <f>_xlfn.XLOOKUP(B510,MacReports!B:B,MacReports!D:D,"")</f>
        <v>0</v>
      </c>
    </row>
    <row r="511" spans="6:6">
      <c r="F511" t="str">
        <f>_xlfn.XLOOKUP(B511,MacReports!B:B,MacReports!D:D,"")</f>
        <v/>
      </c>
    </row>
    <row r="512" spans="6:6">
      <c r="F512">
        <f>_xlfn.XLOOKUP(B512,MacReports!B:B,MacReports!D:D,"")</f>
        <v>0</v>
      </c>
    </row>
    <row r="513" spans="6:6">
      <c r="F513" t="str">
        <f>_xlfn.XLOOKUP(B513,MacReports!B:B,MacReports!D:D,"")</f>
        <v/>
      </c>
    </row>
    <row r="514" spans="6:6">
      <c r="F514" t="str">
        <f>_xlfn.XLOOKUP(B514,MacReports!B:B,MacReports!D:D,"")</f>
        <v/>
      </c>
    </row>
    <row r="515" spans="6:6">
      <c r="F515" t="str">
        <f>_xlfn.XLOOKUP(B515,MacReports!B:B,MacReports!D:D,"")</f>
        <v/>
      </c>
    </row>
    <row r="516" spans="6:6">
      <c r="F516" t="str">
        <f>_xlfn.XLOOKUP(B516,MacReports!B:B,MacReports!D:D,"")</f>
        <v/>
      </c>
    </row>
    <row r="517" spans="6:6">
      <c r="F517">
        <f>_xlfn.XLOOKUP(B517,MacReports!B:B,MacReports!D:D,"")</f>
        <v>0</v>
      </c>
    </row>
    <row r="518" spans="6:6">
      <c r="F518">
        <f>_xlfn.XLOOKUP(B518,MacReports!B:B,MacReports!D:D,"")</f>
        <v>0</v>
      </c>
    </row>
    <row r="519" spans="6:6">
      <c r="F519" t="str">
        <f>_xlfn.XLOOKUP(B519,MacReports!B:B,MacReports!D:D,"")</f>
        <v/>
      </c>
    </row>
    <row r="520" spans="6:6">
      <c r="F520" t="str">
        <f>_xlfn.XLOOKUP(B520,MacReports!B:B,MacReports!D:D,"")</f>
        <v/>
      </c>
    </row>
    <row r="521" spans="6:6">
      <c r="F521" t="str">
        <f>_xlfn.XLOOKUP(B521,MacReports!B:B,MacReports!D:D,"")</f>
        <v/>
      </c>
    </row>
    <row r="522" spans="6:6">
      <c r="F522" t="str">
        <f>_xlfn.XLOOKUP(B522,MacReports!B:B,MacReports!D:D,"")</f>
        <v/>
      </c>
    </row>
    <row r="523" spans="6:6">
      <c r="F523" t="str">
        <f>_xlfn.XLOOKUP(B523,MacReports!B:B,MacReports!D:D,"")</f>
        <v/>
      </c>
    </row>
    <row r="524" spans="6:6">
      <c r="F524" t="str">
        <f>_xlfn.XLOOKUP(B524,MacReports!B:B,MacReports!D:D,"")</f>
        <v/>
      </c>
    </row>
    <row r="525" spans="6:6">
      <c r="F525" t="str">
        <f>_xlfn.XLOOKUP(B525,MacReports!B:B,MacReports!D:D,"")</f>
        <v/>
      </c>
    </row>
    <row r="526" spans="6:6">
      <c r="F526" t="str">
        <f>_xlfn.XLOOKUP(B526,MacReports!B:B,MacReports!D:D,"")</f>
        <v/>
      </c>
    </row>
    <row r="527" spans="6:6">
      <c r="F527" t="str">
        <f>_xlfn.XLOOKUP(B527,MacReports!B:B,MacReports!D:D,"")</f>
        <v/>
      </c>
    </row>
    <row r="528" spans="6:6">
      <c r="F528">
        <f>_xlfn.XLOOKUP(B528,MacReports!B:B,MacReports!D:D,"")</f>
        <v>0</v>
      </c>
    </row>
    <row r="529" spans="6:6">
      <c r="F529">
        <f>_xlfn.XLOOKUP(B529,MacReports!B:B,MacReports!D:D,"")</f>
        <v>0</v>
      </c>
    </row>
    <row r="530" spans="6:6">
      <c r="F530">
        <f>_xlfn.XLOOKUP(B530,MacReports!B:B,MacReports!D:D,"")</f>
        <v>0</v>
      </c>
    </row>
    <row r="531" spans="6:6">
      <c r="F531" t="str">
        <f>_xlfn.XLOOKUP(B531,MacReports!B:B,MacReports!D:D,"")</f>
        <v/>
      </c>
    </row>
    <row r="532" spans="6:6">
      <c r="F532" t="str">
        <f>_xlfn.XLOOKUP(B532,MacReports!B:B,MacReports!D:D,"")</f>
        <v/>
      </c>
    </row>
    <row r="533" spans="6:6">
      <c r="F533" t="str">
        <f>_xlfn.XLOOKUP(B533,MacReports!B:B,MacReports!D:D,"")</f>
        <v/>
      </c>
    </row>
    <row r="534" spans="6:6">
      <c r="F534" t="str">
        <f>_xlfn.XLOOKUP(B534,MacReports!B:B,MacReports!D:D,"")</f>
        <v/>
      </c>
    </row>
    <row r="535" spans="6:6">
      <c r="F535" t="str">
        <f>_xlfn.XLOOKUP(B535,MacReports!B:B,MacReports!D:D,"")</f>
        <v/>
      </c>
    </row>
    <row r="536" spans="6:6">
      <c r="F536">
        <f>_xlfn.XLOOKUP(B536,MacReports!B:B,MacReports!D:D,"")</f>
        <v>0</v>
      </c>
    </row>
    <row r="537" spans="6:6">
      <c r="F537" t="str">
        <f>_xlfn.XLOOKUP(B537,MacReports!B:B,MacReports!D:D,"")</f>
        <v/>
      </c>
    </row>
    <row r="538" spans="6:6">
      <c r="F538" t="str">
        <f>_xlfn.XLOOKUP(B538,MacReports!B:B,MacReports!D:D,"")</f>
        <v/>
      </c>
    </row>
    <row r="539" spans="6:6">
      <c r="F539" t="str">
        <f>_xlfn.XLOOKUP(B539,MacReports!B:B,MacReports!D:D,"")</f>
        <v/>
      </c>
    </row>
    <row r="540" spans="6:6">
      <c r="F540" t="str">
        <f>_xlfn.XLOOKUP(B540,MacReports!B:B,MacReports!D:D,"")</f>
        <v/>
      </c>
    </row>
    <row r="541" spans="6:6">
      <c r="F541">
        <f>_xlfn.XLOOKUP(B541,MacReports!B:B,MacReports!D:D,"")</f>
        <v>0</v>
      </c>
    </row>
    <row r="542" spans="6:6">
      <c r="F542" t="str">
        <f>_xlfn.XLOOKUP(B542,MacReports!B:B,MacReports!D:D,"")</f>
        <v/>
      </c>
    </row>
    <row r="543" spans="6:6">
      <c r="F543" t="str">
        <f>_xlfn.XLOOKUP(B543,MacReports!B:B,MacReports!D:D,"")</f>
        <v/>
      </c>
    </row>
    <row r="544" spans="6:6">
      <c r="F544" t="str">
        <f>_xlfn.XLOOKUP(B544,MacReports!B:B,MacReports!D:D,"")</f>
        <v/>
      </c>
    </row>
    <row r="545" spans="6:6">
      <c r="F545" t="str">
        <f>_xlfn.XLOOKUP(B545,MacReports!B:B,MacReports!D:D,"")</f>
        <v/>
      </c>
    </row>
    <row r="546" spans="6:6">
      <c r="F546">
        <f>_xlfn.XLOOKUP(B546,MacReports!B:B,MacReports!D:D,"")</f>
        <v>0</v>
      </c>
    </row>
    <row r="547" spans="6:6">
      <c r="F547" t="str">
        <f>_xlfn.XLOOKUP(B547,MacReports!B:B,MacReports!D:D,"")</f>
        <v/>
      </c>
    </row>
    <row r="548" spans="6:6">
      <c r="F548">
        <f>_xlfn.XLOOKUP(B548,MacReports!B:B,MacReports!D:D,"")</f>
        <v>0</v>
      </c>
    </row>
    <row r="549" spans="6:6">
      <c r="F549" t="str">
        <f>_xlfn.XLOOKUP(B549,MacReports!B:B,MacReports!D:D,"")</f>
        <v/>
      </c>
    </row>
    <row r="550" spans="6:6">
      <c r="F550" t="str">
        <f>_xlfn.XLOOKUP(B550,MacReports!B:B,MacReports!D:D,"")</f>
        <v/>
      </c>
    </row>
    <row r="551" spans="6:6">
      <c r="F551" t="str">
        <f>_xlfn.XLOOKUP(B551,MacReports!B:B,MacReports!D:D,"")</f>
        <v/>
      </c>
    </row>
    <row r="552" spans="6:6">
      <c r="F552" t="str">
        <f>_xlfn.XLOOKUP(B552,MacReports!B:B,MacReports!D:D,"")</f>
        <v/>
      </c>
    </row>
    <row r="553" spans="6:6">
      <c r="F553">
        <f>_xlfn.XLOOKUP(B553,MacReports!B:B,MacReports!D:D,"")</f>
        <v>0</v>
      </c>
    </row>
    <row r="554" spans="6:6">
      <c r="F554">
        <f>_xlfn.XLOOKUP(B554,MacReports!B:B,MacReports!D:D,"")</f>
        <v>0</v>
      </c>
    </row>
    <row r="555" spans="6:6">
      <c r="F555" t="str">
        <f>_xlfn.XLOOKUP(B555,MacReports!B:B,MacReports!D:D,"")</f>
        <v/>
      </c>
    </row>
    <row r="556" spans="6:6">
      <c r="F556" t="str">
        <f>_xlfn.XLOOKUP(B556,MacReports!B:B,MacReports!D:D,"")</f>
        <v/>
      </c>
    </row>
    <row r="557" spans="6:6">
      <c r="F557" t="str">
        <f>_xlfn.XLOOKUP(B557,MacReports!B:B,MacReports!D:D,"")</f>
        <v/>
      </c>
    </row>
    <row r="558" spans="6:6">
      <c r="F558" t="str">
        <f>_xlfn.XLOOKUP(B558,MacReports!B:B,MacReports!D:D,"")</f>
        <v/>
      </c>
    </row>
    <row r="559" spans="6:6">
      <c r="F559" t="str">
        <f>_xlfn.XLOOKUP(B559,MacReports!B:B,MacReports!D:D,"")</f>
        <v/>
      </c>
    </row>
    <row r="560" spans="6:6">
      <c r="F560">
        <f>_xlfn.XLOOKUP(B560,MacReports!B:B,MacReports!D:D,"")</f>
        <v>0</v>
      </c>
    </row>
    <row r="561" spans="6:6">
      <c r="F561" t="str">
        <f>_xlfn.XLOOKUP(B561,MacReports!B:B,MacReports!D:D,"")</f>
        <v/>
      </c>
    </row>
    <row r="562" spans="6:6">
      <c r="F562" t="str">
        <f>_xlfn.XLOOKUP(B562,MacReports!B:B,MacReports!D:D,"")</f>
        <v/>
      </c>
    </row>
    <row r="563" spans="6:6">
      <c r="F563" t="str">
        <f>_xlfn.XLOOKUP(B563,MacReports!B:B,MacReports!D:D,"")</f>
        <v/>
      </c>
    </row>
    <row r="564" spans="6:6">
      <c r="F564">
        <f>_xlfn.XLOOKUP(B564,MacReports!B:B,MacReports!D:D,"")</f>
        <v>0</v>
      </c>
    </row>
    <row r="565" spans="6:6">
      <c r="F565">
        <f>_xlfn.XLOOKUP(B565,MacReports!B:B,MacReports!D:D,"")</f>
        <v>0</v>
      </c>
    </row>
    <row r="566" spans="6:6">
      <c r="F566">
        <f>_xlfn.XLOOKUP(B566,MacReports!B:B,MacReports!D:D,"")</f>
        <v>0</v>
      </c>
    </row>
    <row r="567" spans="6:6">
      <c r="F567" t="str">
        <f>_xlfn.XLOOKUP(B567,MacReports!B:B,MacReports!D:D,"")</f>
        <v/>
      </c>
    </row>
    <row r="568" spans="6:6">
      <c r="F568" t="str">
        <f>_xlfn.XLOOKUP(B568,MacReports!B:B,MacReports!D:D,"")</f>
        <v/>
      </c>
    </row>
    <row r="569" spans="6:6">
      <c r="F569" t="str">
        <f>_xlfn.XLOOKUP(B569,MacReports!B:B,MacReports!D:D,"")</f>
        <v/>
      </c>
    </row>
    <row r="570" spans="6:6">
      <c r="F570" t="str">
        <f>_xlfn.XLOOKUP(B570,MacReports!B:B,MacReports!D:D,"")</f>
        <v/>
      </c>
    </row>
    <row r="571" spans="6:6">
      <c r="F571">
        <f>_xlfn.XLOOKUP(B571,MacReports!B:B,MacReports!D:D,"")</f>
        <v>0</v>
      </c>
    </row>
    <row r="572" spans="6:6">
      <c r="F572">
        <f>_xlfn.XLOOKUP(B572,MacReports!B:B,MacReports!D:D,"")</f>
        <v>0</v>
      </c>
    </row>
    <row r="573" spans="6:6">
      <c r="F573" t="str">
        <f>_xlfn.XLOOKUP(B573,MacReports!B:B,MacReports!D:D,"")</f>
        <v/>
      </c>
    </row>
    <row r="574" spans="6:6">
      <c r="F574" t="str">
        <f>_xlfn.XLOOKUP(B574,MacReports!B:B,MacReports!D:D,"")</f>
        <v/>
      </c>
    </row>
    <row r="575" spans="6:6">
      <c r="F575" t="str">
        <f>_xlfn.XLOOKUP(B575,MacReports!B:B,MacReports!D:D,"")</f>
        <v/>
      </c>
    </row>
    <row r="576" spans="6:6">
      <c r="F576" t="str">
        <f>_xlfn.XLOOKUP(B576,MacReports!B:B,MacReports!D:D,"")</f>
        <v/>
      </c>
    </row>
    <row r="577" spans="6:6">
      <c r="F577">
        <f>_xlfn.XLOOKUP(B577,MacReports!B:B,MacReports!D:D,"")</f>
        <v>0</v>
      </c>
    </row>
    <row r="578" spans="6:6">
      <c r="F578" t="str">
        <f>_xlfn.XLOOKUP(B578,MacReports!B:B,MacReports!D:D,"")</f>
        <v/>
      </c>
    </row>
    <row r="579" spans="6:6">
      <c r="F579" t="str">
        <f>_xlfn.XLOOKUP(B579,MacReports!B:B,MacReports!D:D,"")</f>
        <v/>
      </c>
    </row>
    <row r="580" spans="6:6">
      <c r="F580" t="str">
        <f>_xlfn.XLOOKUP(B580,MacReports!B:B,MacReports!D:D,"")</f>
        <v/>
      </c>
    </row>
    <row r="581" spans="6:6">
      <c r="F581" t="str">
        <f>_xlfn.XLOOKUP(B581,MacReports!B:B,MacReports!D:D,"")</f>
        <v/>
      </c>
    </row>
    <row r="582" spans="6:6">
      <c r="F582">
        <f>_xlfn.XLOOKUP(B582,MacReports!B:B,MacReports!D:D,"")</f>
        <v>0</v>
      </c>
    </row>
    <row r="583" spans="6:6">
      <c r="F583" t="str">
        <f>_xlfn.XLOOKUP(B583,MacReports!B:B,MacReports!D:D,"")</f>
        <v/>
      </c>
    </row>
    <row r="584" spans="6:6">
      <c r="F584">
        <f>_xlfn.XLOOKUP(B584,MacReports!B:B,MacReports!D:D,"")</f>
        <v>0</v>
      </c>
    </row>
    <row r="585" spans="6:6">
      <c r="F585" t="str">
        <f>_xlfn.XLOOKUP(B585,MacReports!B:B,MacReports!D:D,"")</f>
        <v/>
      </c>
    </row>
    <row r="586" spans="6:6">
      <c r="F586" t="str">
        <f>_xlfn.XLOOKUP(B586,MacReports!B:B,MacReports!D:D,"")</f>
        <v/>
      </c>
    </row>
    <row r="587" spans="6:6">
      <c r="F587" t="str">
        <f>_xlfn.XLOOKUP(B587,MacReports!B:B,MacReports!D:D,"")</f>
        <v/>
      </c>
    </row>
    <row r="588" spans="6:6">
      <c r="F588" t="str">
        <f>_xlfn.XLOOKUP(B588,MacReports!B:B,MacReports!D:D,"")</f>
        <v/>
      </c>
    </row>
    <row r="589" spans="6:6">
      <c r="F589">
        <f>_xlfn.XLOOKUP(B589,MacReports!B:B,MacReports!D:D,"")</f>
        <v>0</v>
      </c>
    </row>
    <row r="590" spans="6:6">
      <c r="F590">
        <f>_xlfn.XLOOKUP(B590,MacReports!B:B,MacReports!D:D,"")</f>
        <v>0</v>
      </c>
    </row>
    <row r="591" spans="6:6">
      <c r="F591" t="str">
        <f>_xlfn.XLOOKUP(B591,MacReports!B:B,MacReports!D:D,"")</f>
        <v/>
      </c>
    </row>
    <row r="592" spans="6:6">
      <c r="F592" t="str">
        <f>_xlfn.XLOOKUP(B592,MacReports!B:B,MacReports!D:D,"")</f>
        <v/>
      </c>
    </row>
    <row r="593" spans="6:6">
      <c r="F593" t="str">
        <f>_xlfn.XLOOKUP(B593,MacReports!B:B,MacReports!D:D,"")</f>
        <v/>
      </c>
    </row>
    <row r="594" spans="6:6">
      <c r="F594" t="str">
        <f>_xlfn.XLOOKUP(B594,MacReports!B:B,MacReports!D:D,"")</f>
        <v/>
      </c>
    </row>
    <row r="595" spans="6:6">
      <c r="F595">
        <f>_xlfn.XLOOKUP(B595,MacReports!B:B,MacReports!D:D,"")</f>
        <v>0</v>
      </c>
    </row>
    <row r="596" spans="6:6">
      <c r="F596" t="str">
        <f>_xlfn.XLOOKUP(B596,MacReports!B:B,MacReports!D:D,"")</f>
        <v/>
      </c>
    </row>
    <row r="597" spans="6:6">
      <c r="F597" t="str">
        <f>_xlfn.XLOOKUP(B597,MacReports!B:B,MacReports!D:D,"")</f>
        <v/>
      </c>
    </row>
    <row r="598" spans="6:6">
      <c r="F598" t="str">
        <f>_xlfn.XLOOKUP(B598,MacReports!B:B,MacReports!D:D,"")</f>
        <v/>
      </c>
    </row>
    <row r="599" spans="6:6">
      <c r="F599" t="str">
        <f>_xlfn.XLOOKUP(B599,MacReports!B:B,MacReports!D:D,"")</f>
        <v/>
      </c>
    </row>
    <row r="600" spans="6:6">
      <c r="F600">
        <f>_xlfn.XLOOKUP(B600,MacReports!B:B,MacReports!D:D,"")</f>
        <v>0</v>
      </c>
    </row>
    <row r="601" spans="6:6">
      <c r="F601" t="str">
        <f>_xlfn.XLOOKUP(B601,MacReports!B:B,MacReports!D:D,"")</f>
        <v/>
      </c>
    </row>
    <row r="602" spans="6:6">
      <c r="F602" t="str">
        <f>_xlfn.XLOOKUP(B602,MacReports!B:B,MacReports!D:D,"")</f>
        <v/>
      </c>
    </row>
    <row r="603" spans="6:6">
      <c r="F603" t="str">
        <f>_xlfn.XLOOKUP(B603,MacReports!B:B,MacReports!D:D,"")</f>
        <v/>
      </c>
    </row>
    <row r="604" spans="6:6">
      <c r="F604" t="str">
        <f>_xlfn.XLOOKUP(B604,MacReports!B:B,MacReports!D:D,"")</f>
        <v/>
      </c>
    </row>
    <row r="605" spans="6:6">
      <c r="F605" t="str">
        <f>_xlfn.XLOOKUP(B605,MacReports!B:B,MacReports!D:D,"")</f>
        <v/>
      </c>
    </row>
    <row r="606" spans="6:6">
      <c r="F606" t="str">
        <f>_xlfn.XLOOKUP(B606,MacReports!B:B,MacReports!D:D,"")</f>
        <v/>
      </c>
    </row>
    <row r="607" spans="6:6">
      <c r="F607">
        <f>_xlfn.XLOOKUP(B607,MacReports!B:B,MacReports!D:D,"")</f>
        <v>0</v>
      </c>
    </row>
    <row r="608" spans="6:6">
      <c r="F608" t="str">
        <f>_xlfn.XLOOKUP(B608,MacReports!B:B,MacReports!D:D,"")</f>
        <v/>
      </c>
    </row>
    <row r="609" spans="6:6">
      <c r="F609" t="str">
        <f>_xlfn.XLOOKUP(B609,MacReports!B:B,MacReports!D:D,"")</f>
        <v/>
      </c>
    </row>
    <row r="610" spans="6:6">
      <c r="F610" t="str">
        <f>_xlfn.XLOOKUP(B610,MacReports!B:B,MacReports!D:D,"")</f>
        <v/>
      </c>
    </row>
    <row r="611" spans="6:6">
      <c r="F611" t="str">
        <f>_xlfn.XLOOKUP(B611,MacReports!B:B,MacReports!D:D,"")</f>
        <v/>
      </c>
    </row>
    <row r="612" spans="6:6">
      <c r="F612" t="str">
        <f>_xlfn.XLOOKUP(B612,MacReports!B:B,MacReports!D:D,"")</f>
        <v/>
      </c>
    </row>
    <row r="613" spans="6:6">
      <c r="F613" t="str">
        <f>_xlfn.XLOOKUP(B613,MacReports!B:B,MacReports!D:D,"")</f>
        <v/>
      </c>
    </row>
    <row r="614" spans="6:6">
      <c r="F614">
        <f>_xlfn.XLOOKUP(B614,MacReports!B:B,MacReports!D:D,"")</f>
        <v>0</v>
      </c>
    </row>
    <row r="615" spans="6:6">
      <c r="F615" t="str">
        <f>_xlfn.XLOOKUP(B615,MacReports!B:B,MacReports!D:D,"")</f>
        <v/>
      </c>
    </row>
    <row r="616" spans="6:6">
      <c r="F616" t="str">
        <f>_xlfn.XLOOKUP(B616,MacReports!B:B,MacReports!D:D,"")</f>
        <v/>
      </c>
    </row>
    <row r="617" spans="6:6">
      <c r="F617" t="str">
        <f>_xlfn.XLOOKUP(B617,MacReports!B:B,MacReports!D:D,"")</f>
        <v/>
      </c>
    </row>
    <row r="618" spans="6:6">
      <c r="F618">
        <f>_xlfn.XLOOKUP(B618,MacReports!B:B,MacReports!D:D,"")</f>
        <v>0</v>
      </c>
    </row>
    <row r="619" spans="6:6">
      <c r="F619">
        <f>_xlfn.XLOOKUP(B619,MacReports!B:B,MacReports!D:D,"")</f>
        <v>0</v>
      </c>
    </row>
    <row r="620" spans="6:6">
      <c r="F620">
        <f>_xlfn.XLOOKUP(B620,MacReports!B:B,MacReports!D:D,"")</f>
        <v>0</v>
      </c>
    </row>
    <row r="621" spans="6:6">
      <c r="F621" t="str">
        <f>_xlfn.XLOOKUP(B621,MacReports!B:B,MacReports!D:D,"")</f>
        <v/>
      </c>
    </row>
    <row r="622" spans="6:6">
      <c r="F622" t="str">
        <f>_xlfn.XLOOKUP(B622,MacReports!B:B,MacReports!D:D,"")</f>
        <v/>
      </c>
    </row>
    <row r="623" spans="6:6">
      <c r="F623" t="str">
        <f>_xlfn.XLOOKUP(B623,MacReports!B:B,MacReports!D:D,"")</f>
        <v/>
      </c>
    </row>
    <row r="624" spans="6:6">
      <c r="F624" t="str">
        <f>_xlfn.XLOOKUP(B624,MacReports!B:B,MacReports!D:D,"")</f>
        <v/>
      </c>
    </row>
    <row r="625" spans="6:6">
      <c r="F625">
        <f>_xlfn.XLOOKUP(B625,MacReports!B:B,MacReports!D:D,"")</f>
        <v>0</v>
      </c>
    </row>
    <row r="626" spans="6:6">
      <c r="F626">
        <f>_xlfn.XLOOKUP(B626,MacReports!B:B,MacReports!D:D,"")</f>
        <v>0</v>
      </c>
    </row>
    <row r="627" spans="6:6">
      <c r="F627" t="str">
        <f>_xlfn.XLOOKUP(B627,MacReports!B:B,MacReports!D:D,"")</f>
        <v/>
      </c>
    </row>
    <row r="628" spans="6:6">
      <c r="F628" t="str">
        <f>_xlfn.XLOOKUP(B628,MacReports!B:B,MacReports!D:D,"")</f>
        <v/>
      </c>
    </row>
    <row r="629" spans="6:6">
      <c r="F629" t="str">
        <f>_xlfn.XLOOKUP(B629,MacReports!B:B,MacReports!D:D,"")</f>
        <v/>
      </c>
    </row>
    <row r="630" spans="6:6">
      <c r="F630" t="str">
        <f>_xlfn.XLOOKUP(B630,MacReports!B:B,MacReports!D:D,"")</f>
        <v/>
      </c>
    </row>
    <row r="631" spans="6:6">
      <c r="F631">
        <f>_xlfn.XLOOKUP(B631,MacReports!B:B,MacReports!D:D,"")</f>
        <v>0</v>
      </c>
    </row>
    <row r="632" spans="6:6">
      <c r="F632" t="str">
        <f>_xlfn.XLOOKUP(B632,MacReports!B:B,MacReports!D:D,"")</f>
        <v/>
      </c>
    </row>
    <row r="633" spans="6:6">
      <c r="F633" t="str">
        <f>_xlfn.XLOOKUP(B633,MacReports!B:B,MacReports!D:D,"")</f>
        <v/>
      </c>
    </row>
    <row r="634" spans="6:6">
      <c r="F634" t="str">
        <f>_xlfn.XLOOKUP(B634,MacReports!B:B,MacReports!D:D,"")</f>
        <v/>
      </c>
    </row>
    <row r="635" spans="6:6">
      <c r="F635" t="str">
        <f>_xlfn.XLOOKUP(B635,MacReports!B:B,MacReports!D:D,"")</f>
        <v/>
      </c>
    </row>
    <row r="636" spans="6:6">
      <c r="F636">
        <f>_xlfn.XLOOKUP(B636,MacReports!B:B,MacReports!D:D,"")</f>
        <v>0</v>
      </c>
    </row>
    <row r="637" spans="6:6">
      <c r="F637">
        <f>_xlfn.XLOOKUP(B637,MacReports!B:B,MacReports!D:D,"")</f>
        <v>0</v>
      </c>
    </row>
    <row r="638" spans="6:6">
      <c r="F638">
        <f>_xlfn.XLOOKUP(B638,MacReports!B:B,MacReports!D:D,"")</f>
        <v>0</v>
      </c>
    </row>
    <row r="639" spans="6:6">
      <c r="F639" t="str">
        <f>_xlfn.XLOOKUP(B639,MacReports!B:B,MacReports!D:D,"")</f>
        <v/>
      </c>
    </row>
    <row r="640" spans="6:6">
      <c r="F640" t="str">
        <f>_xlfn.XLOOKUP(B640,MacReports!B:B,MacReports!D:D,"")</f>
        <v/>
      </c>
    </row>
    <row r="641" spans="6:6">
      <c r="F641" t="str">
        <f>_xlfn.XLOOKUP(B641,MacReports!B:B,MacReports!D:D,"")</f>
        <v/>
      </c>
    </row>
    <row r="642" spans="6:6">
      <c r="F642" t="str">
        <f>_xlfn.XLOOKUP(B642,MacReports!B:B,MacReports!D:D,"")</f>
        <v/>
      </c>
    </row>
    <row r="643" spans="6:6">
      <c r="F643" t="str">
        <f>_xlfn.XLOOKUP(B643,MacReports!B:B,MacReports!D:D,"")</f>
        <v/>
      </c>
    </row>
    <row r="644" spans="6:6">
      <c r="F644">
        <f>_xlfn.XLOOKUP(B644,MacReports!B:B,MacReports!D:D,"")</f>
        <v>0</v>
      </c>
    </row>
    <row r="645" spans="6:6">
      <c r="F645" t="str">
        <f>_xlfn.XLOOKUP(B645,MacReports!B:B,MacReports!D:D,"")</f>
        <v/>
      </c>
    </row>
    <row r="646" spans="6:6">
      <c r="F646" t="str">
        <f>_xlfn.XLOOKUP(B646,MacReports!B:B,MacReports!D:D,"")</f>
        <v/>
      </c>
    </row>
    <row r="647" spans="6:6">
      <c r="F647" t="str">
        <f>_xlfn.XLOOKUP(B647,MacReports!B:B,MacReports!D:D,"")</f>
        <v/>
      </c>
    </row>
    <row r="648" spans="6:6">
      <c r="F648" t="str">
        <f>_xlfn.XLOOKUP(B648,MacReports!B:B,MacReports!D:D,"")</f>
        <v/>
      </c>
    </row>
    <row r="649" spans="6:6">
      <c r="F649" t="str">
        <f>_xlfn.XLOOKUP(B649,MacReports!B:B,MacReports!D:D,"")</f>
        <v/>
      </c>
    </row>
    <row r="650" spans="6:6">
      <c r="F650" t="str">
        <f>_xlfn.XLOOKUP(B650,MacReports!B:B,MacReports!D:D,"")</f>
        <v/>
      </c>
    </row>
    <row r="651" spans="6:6">
      <c r="F651" t="str">
        <f>_xlfn.XLOOKUP(B651,MacReports!B:B,MacReports!D:D,"")</f>
        <v/>
      </c>
    </row>
    <row r="652" spans="6:6">
      <c r="F652" t="str">
        <f>_xlfn.XLOOKUP(B652,MacReports!B:B,MacReports!D:D,"")</f>
        <v/>
      </c>
    </row>
    <row r="653" spans="6:6">
      <c r="F653" t="str">
        <f>_xlfn.XLOOKUP(B653,MacReports!B:B,MacReports!D:D,"")</f>
        <v/>
      </c>
    </row>
    <row r="654" spans="6:6">
      <c r="F654">
        <f>_xlfn.XLOOKUP(B654,MacReports!B:B,MacReports!D:D,"")</f>
        <v>0</v>
      </c>
    </row>
    <row r="655" spans="6:6">
      <c r="F655" t="str">
        <f>_xlfn.XLOOKUP(B655,MacReports!B:B,MacReports!D:D,"")</f>
        <v/>
      </c>
    </row>
    <row r="656" spans="6:6">
      <c r="F656">
        <f>_xlfn.XLOOKUP(B656,MacReports!B:B,MacReports!D:D,"")</f>
        <v>0</v>
      </c>
    </row>
    <row r="657" spans="6:6">
      <c r="F657" t="str">
        <f>_xlfn.XLOOKUP(B657,MacReports!B:B,MacReports!D:D,"")</f>
        <v/>
      </c>
    </row>
    <row r="658" spans="6:6">
      <c r="F658" t="str">
        <f>_xlfn.XLOOKUP(B658,MacReports!B:B,MacReports!D:D,"")</f>
        <v/>
      </c>
    </row>
    <row r="659" spans="6:6">
      <c r="F659" t="str">
        <f>_xlfn.XLOOKUP(B659,MacReports!B:B,MacReports!D:D,"")</f>
        <v/>
      </c>
    </row>
    <row r="660" spans="6:6">
      <c r="F660" t="str">
        <f>_xlfn.XLOOKUP(B660,MacReports!B:B,MacReports!D:D,"")</f>
        <v/>
      </c>
    </row>
    <row r="661" spans="6:6">
      <c r="F661">
        <f>_xlfn.XLOOKUP(B661,MacReports!B:B,MacReports!D:D,"")</f>
        <v>0</v>
      </c>
    </row>
    <row r="662" spans="6:6">
      <c r="F662">
        <f>_xlfn.XLOOKUP(B662,MacReports!B:B,MacReports!D:D,"")</f>
        <v>0</v>
      </c>
    </row>
    <row r="663" spans="6:6">
      <c r="F663" t="str">
        <f>_xlfn.XLOOKUP(B663,MacReports!B:B,MacReports!D:D,"")</f>
        <v/>
      </c>
    </row>
    <row r="664" spans="6:6">
      <c r="F664" t="str">
        <f>_xlfn.XLOOKUP(B664,MacReports!B:B,MacReports!D:D,"")</f>
        <v/>
      </c>
    </row>
    <row r="665" spans="6:6">
      <c r="F665" t="str">
        <f>_xlfn.XLOOKUP(B665,MacReports!B:B,MacReports!D:D,"")</f>
        <v/>
      </c>
    </row>
    <row r="666" spans="6:6">
      <c r="F666" t="str">
        <f>_xlfn.XLOOKUP(B666,MacReports!B:B,MacReports!D:D,"")</f>
        <v/>
      </c>
    </row>
    <row r="667" spans="6:6">
      <c r="F667">
        <f>_xlfn.XLOOKUP(B667,MacReports!B:B,MacReports!D:D,"")</f>
        <v>0</v>
      </c>
    </row>
    <row r="668" spans="6:6">
      <c r="F668">
        <f>_xlfn.XLOOKUP(B668,MacReports!B:B,MacReports!D:D,"")</f>
        <v>0</v>
      </c>
    </row>
    <row r="669" spans="6:6">
      <c r="F669" t="str">
        <f>_xlfn.XLOOKUP(B669,MacReports!B:B,MacReports!D:D,"")</f>
        <v/>
      </c>
    </row>
    <row r="670" spans="6:6">
      <c r="F670" t="str">
        <f>_xlfn.XLOOKUP(B670,MacReports!B:B,MacReports!D:D,"")</f>
        <v/>
      </c>
    </row>
    <row r="671" spans="6:6">
      <c r="F671" t="str">
        <f>_xlfn.XLOOKUP(B671,MacReports!B:B,MacReports!D:D,"")</f>
        <v/>
      </c>
    </row>
    <row r="672" spans="6:6">
      <c r="F672">
        <f>_xlfn.XLOOKUP(B672,MacReports!B:B,MacReports!D:D,"")</f>
        <v>0</v>
      </c>
    </row>
    <row r="673" spans="6:6">
      <c r="F673">
        <f>_xlfn.XLOOKUP(B673,MacReports!B:B,MacReports!D:D,"")</f>
        <v>0</v>
      </c>
    </row>
    <row r="674" spans="6:6">
      <c r="F674">
        <f>_xlfn.XLOOKUP(B674,MacReports!B:B,MacReports!D:D,"")</f>
        <v>0</v>
      </c>
    </row>
    <row r="675" spans="6:6">
      <c r="F675" t="str">
        <f>_xlfn.XLOOKUP(B675,MacReports!B:B,MacReports!D:D,"")</f>
        <v/>
      </c>
    </row>
    <row r="676" spans="6:6">
      <c r="F676" t="str">
        <f>_xlfn.XLOOKUP(B676,MacReports!B:B,MacReports!D:D,"")</f>
        <v/>
      </c>
    </row>
    <row r="677" spans="6:6">
      <c r="F677" t="str">
        <f>_xlfn.XLOOKUP(B677,MacReports!B:B,MacReports!D:D,"")</f>
        <v/>
      </c>
    </row>
    <row r="678" spans="6:6">
      <c r="F678" t="str">
        <f>_xlfn.XLOOKUP(B678,MacReports!B:B,MacReports!D:D,"")</f>
        <v/>
      </c>
    </row>
    <row r="679" spans="6:6">
      <c r="F679">
        <f>_xlfn.XLOOKUP(B679,MacReports!B:B,MacReports!D:D,"")</f>
        <v>0</v>
      </c>
    </row>
    <row r="680" spans="6:6">
      <c r="F680">
        <f>_xlfn.XLOOKUP(B680,MacReports!B:B,MacReports!D:D,"")</f>
        <v>0</v>
      </c>
    </row>
    <row r="681" spans="6:6">
      <c r="F681" t="str">
        <f>_xlfn.XLOOKUP(B681,MacReports!B:B,MacReports!D:D,"")</f>
        <v/>
      </c>
    </row>
    <row r="682" spans="6:6">
      <c r="F682" t="str">
        <f>_xlfn.XLOOKUP(B682,MacReports!B:B,MacReports!D:D,"")</f>
        <v/>
      </c>
    </row>
    <row r="683" spans="6:6">
      <c r="F683" t="str">
        <f>_xlfn.XLOOKUP(B683,MacReports!B:B,MacReports!D:D,"")</f>
        <v/>
      </c>
    </row>
    <row r="684" spans="6:6">
      <c r="F684" t="str">
        <f>_xlfn.XLOOKUP(B684,MacReports!B:B,MacReports!D:D,"")</f>
        <v/>
      </c>
    </row>
    <row r="685" spans="6:6">
      <c r="F685">
        <f>_xlfn.XLOOKUP(B685,MacReports!B:B,MacReports!D:D,"")</f>
        <v>0</v>
      </c>
    </row>
    <row r="686" spans="6:6">
      <c r="F686" t="str">
        <f>_xlfn.XLOOKUP(B686,MacReports!B:B,MacReports!D:D,"")</f>
        <v/>
      </c>
    </row>
    <row r="687" spans="6:6">
      <c r="F687" t="str">
        <f>_xlfn.XLOOKUP(B687,MacReports!B:B,MacReports!D:D,"")</f>
        <v/>
      </c>
    </row>
    <row r="688" spans="6:6">
      <c r="F688" t="str">
        <f>_xlfn.XLOOKUP(B688,MacReports!B:B,MacReports!D:D,"")</f>
        <v/>
      </c>
    </row>
    <row r="689" spans="6:6">
      <c r="F689" t="str">
        <f>_xlfn.XLOOKUP(B689,MacReports!B:B,MacReports!D:D,"")</f>
        <v/>
      </c>
    </row>
    <row r="690" spans="6:6">
      <c r="F690">
        <f>_xlfn.XLOOKUP(B690,MacReports!B:B,MacReports!D:D,"")</f>
        <v>0</v>
      </c>
    </row>
    <row r="691" spans="6:6">
      <c r="F691" t="str">
        <f>_xlfn.XLOOKUP(B691,MacReports!B:B,MacReports!D:D,"")</f>
        <v/>
      </c>
    </row>
    <row r="692" spans="6:6">
      <c r="F692">
        <f>_xlfn.XLOOKUP(B692,MacReports!B:B,MacReports!D:D,"")</f>
        <v>0</v>
      </c>
    </row>
    <row r="693" spans="6:6">
      <c r="F693" t="str">
        <f>_xlfn.XLOOKUP(B693,MacReports!B:B,MacReports!D:D,"")</f>
        <v/>
      </c>
    </row>
    <row r="694" spans="6:6">
      <c r="F694" t="str">
        <f>_xlfn.XLOOKUP(B694,MacReports!B:B,MacReports!D:D,"")</f>
        <v/>
      </c>
    </row>
    <row r="695" spans="6:6">
      <c r="F695" t="str">
        <f>_xlfn.XLOOKUP(B695,MacReports!B:B,MacReports!D:D,"")</f>
        <v/>
      </c>
    </row>
    <row r="696" spans="6:6">
      <c r="F696" t="str">
        <f>_xlfn.XLOOKUP(B696,MacReports!B:B,MacReports!D:D,"")</f>
        <v/>
      </c>
    </row>
    <row r="697" spans="6:6">
      <c r="F697">
        <f>_xlfn.XLOOKUP(B697,MacReports!B:B,MacReports!D:D,"")</f>
        <v>0</v>
      </c>
    </row>
    <row r="698" spans="6:6">
      <c r="F698">
        <f>_xlfn.XLOOKUP(B698,MacReports!B:B,MacReports!D:D,"")</f>
        <v>0</v>
      </c>
    </row>
    <row r="699" spans="6:6">
      <c r="F699" t="str">
        <f>_xlfn.XLOOKUP(B699,MacReports!B:B,MacReports!D:D,"")</f>
        <v/>
      </c>
    </row>
    <row r="700" spans="6:6">
      <c r="F700" t="str">
        <f>_xlfn.XLOOKUP(B700,MacReports!B:B,MacReports!D:D,"")</f>
        <v/>
      </c>
    </row>
    <row r="701" spans="6:6">
      <c r="F701" t="str">
        <f>_xlfn.XLOOKUP(B701,MacReports!B:B,MacReports!D:D,"")</f>
        <v/>
      </c>
    </row>
    <row r="702" spans="6:6">
      <c r="F702" t="str">
        <f>_xlfn.XLOOKUP(B702,MacReports!B:B,MacReports!D:D,"")</f>
        <v/>
      </c>
    </row>
    <row r="703" spans="6:6">
      <c r="F703">
        <f>_xlfn.XLOOKUP(B703,MacReports!B:B,MacReports!D:D,"")</f>
        <v>0</v>
      </c>
    </row>
    <row r="704" spans="6:6">
      <c r="F704" t="str">
        <f>_xlfn.XLOOKUP(B704,MacReports!B:B,MacReports!D:D,"")</f>
        <v/>
      </c>
    </row>
    <row r="705" spans="6:6">
      <c r="F705" t="str">
        <f>_xlfn.XLOOKUP(B705,MacReports!B:B,MacReports!D:D,"")</f>
        <v/>
      </c>
    </row>
    <row r="706" spans="6:6">
      <c r="F706" t="str">
        <f>_xlfn.XLOOKUP(B706,MacReports!B:B,MacReports!D:D,"")</f>
        <v/>
      </c>
    </row>
    <row r="707" spans="6:6">
      <c r="F707" t="str">
        <f>_xlfn.XLOOKUP(B707,MacReports!B:B,MacReports!D:D,"")</f>
        <v/>
      </c>
    </row>
    <row r="708" spans="6:6">
      <c r="F708">
        <f>_xlfn.XLOOKUP(B708,MacReports!B:B,MacReports!D:D,"")</f>
        <v>0</v>
      </c>
    </row>
    <row r="709" spans="6:6">
      <c r="F709" t="str">
        <f>_xlfn.XLOOKUP(B709,MacReports!B:B,MacReports!D:D,"")</f>
        <v/>
      </c>
    </row>
    <row r="710" spans="6:6">
      <c r="F710" t="str">
        <f>_xlfn.XLOOKUP(B710,MacReports!B:B,MacReports!D:D,"")</f>
        <v/>
      </c>
    </row>
    <row r="711" spans="6:6">
      <c r="F711" t="str">
        <f>_xlfn.XLOOKUP(B711,MacReports!B:B,MacReports!D:D,"")</f>
        <v/>
      </c>
    </row>
    <row r="712" spans="6:6">
      <c r="F712" t="str">
        <f>_xlfn.XLOOKUP(B712,MacReports!B:B,MacReports!D:D,"")</f>
        <v/>
      </c>
    </row>
    <row r="713" spans="6:6">
      <c r="F713" t="str">
        <f>_xlfn.XLOOKUP(B713,MacReports!B:B,MacReports!D:D,"")</f>
        <v/>
      </c>
    </row>
    <row r="714" spans="6:6">
      <c r="F714" t="str">
        <f>_xlfn.XLOOKUP(B714,MacReports!B:B,MacReports!D:D,"")</f>
        <v/>
      </c>
    </row>
    <row r="715" spans="6:6">
      <c r="F715">
        <f>_xlfn.XLOOKUP(B715,MacReports!B:B,MacReports!D:D,"")</f>
        <v>0</v>
      </c>
    </row>
    <row r="716" spans="6:6">
      <c r="F716" t="str">
        <f>_xlfn.XLOOKUP(B716,MacReports!B:B,MacReports!D:D,"")</f>
        <v/>
      </c>
    </row>
    <row r="717" spans="6:6">
      <c r="F717" t="str">
        <f>_xlfn.XLOOKUP(B717,MacReports!B:B,MacReports!D:D,"")</f>
        <v/>
      </c>
    </row>
    <row r="718" spans="6:6">
      <c r="F718" t="str">
        <f>_xlfn.XLOOKUP(B718,MacReports!B:B,MacReports!D:D,"")</f>
        <v/>
      </c>
    </row>
    <row r="719" spans="6:6">
      <c r="F719" t="str">
        <f>_xlfn.XLOOKUP(B719,MacReports!B:B,MacReports!D:D,"")</f>
        <v/>
      </c>
    </row>
    <row r="720" spans="6:6">
      <c r="F720" t="str">
        <f>_xlfn.XLOOKUP(B720,MacReports!B:B,MacReports!D:D,"")</f>
        <v/>
      </c>
    </row>
    <row r="721" spans="6:6">
      <c r="F721">
        <f>_xlfn.XLOOKUP(B721,MacReports!B:B,MacReports!D:D,"")</f>
        <v>0</v>
      </c>
    </row>
    <row r="722" spans="6:6">
      <c r="F722">
        <f>_xlfn.XLOOKUP(B722,MacReports!B:B,MacReports!D:D,"")</f>
        <v>0</v>
      </c>
    </row>
    <row r="723" spans="6:6">
      <c r="F723" t="str">
        <f>_xlfn.XLOOKUP(B723,MacReports!B:B,MacReports!D:D,"")</f>
        <v/>
      </c>
    </row>
    <row r="724" spans="6:6">
      <c r="F724" t="str">
        <f>_xlfn.XLOOKUP(B724,MacReports!B:B,MacReports!D:D,"")</f>
        <v/>
      </c>
    </row>
    <row r="725" spans="6:6">
      <c r="F725" t="str">
        <f>_xlfn.XLOOKUP(B725,MacReports!B:B,MacReports!D:D,"")</f>
        <v/>
      </c>
    </row>
    <row r="726" spans="6:6">
      <c r="F726">
        <f>_xlfn.XLOOKUP(B726,MacReports!B:B,MacReports!D:D,"")</f>
        <v>0</v>
      </c>
    </row>
    <row r="727" spans="6:6">
      <c r="F727">
        <f>_xlfn.XLOOKUP(B727,MacReports!B:B,MacReports!D:D,"")</f>
        <v>0</v>
      </c>
    </row>
    <row r="728" spans="6:6">
      <c r="F728">
        <f>_xlfn.XLOOKUP(B728,MacReports!B:B,MacReports!D:D,"")</f>
        <v>0</v>
      </c>
    </row>
    <row r="729" spans="6:6">
      <c r="F729" t="str">
        <f>_xlfn.XLOOKUP(B729,MacReports!B:B,MacReports!D:D,"")</f>
        <v/>
      </c>
    </row>
    <row r="730" spans="6:6">
      <c r="F730" t="str">
        <f>_xlfn.XLOOKUP(B730,MacReports!B:B,MacReports!D:D,"")</f>
        <v/>
      </c>
    </row>
    <row r="731" spans="6:6">
      <c r="F731" t="str">
        <f>_xlfn.XLOOKUP(B731,MacReports!B:B,MacReports!D:D,"")</f>
        <v/>
      </c>
    </row>
    <row r="732" spans="6:6">
      <c r="F732" t="str">
        <f>_xlfn.XLOOKUP(B732,MacReports!B:B,MacReports!D:D,"")</f>
        <v/>
      </c>
    </row>
    <row r="733" spans="6:6">
      <c r="F733">
        <f>_xlfn.XLOOKUP(B733,MacReports!B:B,MacReports!D:D,"")</f>
        <v>0</v>
      </c>
    </row>
    <row r="734" spans="6:6">
      <c r="F734">
        <f>_xlfn.XLOOKUP(B734,MacReports!B:B,MacReports!D:D,"")</f>
        <v>0</v>
      </c>
    </row>
    <row r="735" spans="6:6">
      <c r="F735" t="str">
        <f>_xlfn.XLOOKUP(B735,MacReports!B:B,MacReports!D:D,"")</f>
        <v/>
      </c>
    </row>
    <row r="736" spans="6:6">
      <c r="F736" t="str">
        <f>_xlfn.XLOOKUP(B736,MacReports!B:B,MacReports!D:D,"")</f>
        <v/>
      </c>
    </row>
    <row r="737" spans="6:6">
      <c r="F737" t="str">
        <f>_xlfn.XLOOKUP(B737,MacReports!B:B,MacReports!D:D,"")</f>
        <v/>
      </c>
    </row>
    <row r="738" spans="6:6">
      <c r="F738" t="str">
        <f>_xlfn.XLOOKUP(B738,MacReports!B:B,MacReports!D:D,"")</f>
        <v/>
      </c>
    </row>
    <row r="739" spans="6:6">
      <c r="F739" t="str">
        <f>_xlfn.XLOOKUP(B739,MacReports!B:B,MacReports!D:D,"")</f>
        <v/>
      </c>
    </row>
    <row r="740" spans="6:6">
      <c r="F740" t="str">
        <f>_xlfn.XLOOKUP(B740,MacReports!B:B,MacReports!D:D,"")</f>
        <v/>
      </c>
    </row>
    <row r="741" spans="6:6">
      <c r="F741" t="str">
        <f>_xlfn.XLOOKUP(B741,MacReports!B:B,MacReports!D:D,"")</f>
        <v/>
      </c>
    </row>
    <row r="742" spans="6:6">
      <c r="F742" t="str">
        <f>_xlfn.XLOOKUP(B742,MacReports!B:B,MacReports!D:D,"")</f>
        <v/>
      </c>
    </row>
    <row r="743" spans="6:6">
      <c r="F743" t="str">
        <f>_xlfn.XLOOKUP(B743,MacReports!B:B,MacReports!D:D,"")</f>
        <v/>
      </c>
    </row>
    <row r="744" spans="6:6">
      <c r="F744">
        <f>_xlfn.XLOOKUP(B744,MacReports!B:B,MacReports!D:D,"")</f>
        <v>0</v>
      </c>
    </row>
    <row r="745" spans="6:6">
      <c r="F745">
        <f>_xlfn.XLOOKUP(B745,MacReports!B:B,MacReports!D:D,"")</f>
        <v>0</v>
      </c>
    </row>
    <row r="746" spans="6:6">
      <c r="F746">
        <f>_xlfn.XLOOKUP(B746,MacReports!B:B,MacReports!D:D,"")</f>
        <v>0</v>
      </c>
    </row>
    <row r="747" spans="6:6">
      <c r="F747" t="str">
        <f>_xlfn.XLOOKUP(B747,MacReports!B:B,MacReports!D:D,"")</f>
        <v/>
      </c>
    </row>
    <row r="748" spans="6:6">
      <c r="F748" t="str">
        <f>_xlfn.XLOOKUP(B748,MacReports!B:B,MacReports!D:D,"")</f>
        <v/>
      </c>
    </row>
    <row r="749" spans="6:6">
      <c r="F749" t="str">
        <f>_xlfn.XLOOKUP(B749,MacReports!B:B,MacReports!D:D,"")</f>
        <v/>
      </c>
    </row>
    <row r="750" spans="6:6">
      <c r="F750" t="str">
        <f>_xlfn.XLOOKUP(B750,MacReports!B:B,MacReports!D:D,"")</f>
        <v/>
      </c>
    </row>
    <row r="751" spans="6:6">
      <c r="F751" t="str">
        <f>_xlfn.XLOOKUP(B751,MacReports!B:B,MacReports!D:D,"")</f>
        <v/>
      </c>
    </row>
    <row r="752" spans="6:6">
      <c r="F752">
        <f>_xlfn.XLOOKUP(B752,MacReports!B:B,MacReports!D:D,"")</f>
        <v>0</v>
      </c>
    </row>
    <row r="753" spans="6:6">
      <c r="F753" t="str">
        <f>_xlfn.XLOOKUP(B753,MacReports!B:B,MacReports!D:D,"")</f>
        <v/>
      </c>
    </row>
    <row r="754" spans="6:6">
      <c r="F754" t="str">
        <f>_xlfn.XLOOKUP(B754,MacReports!B:B,MacReports!D:D,"")</f>
        <v/>
      </c>
    </row>
    <row r="755" spans="6:6">
      <c r="F755" t="str">
        <f>_xlfn.XLOOKUP(B755,MacReports!B:B,MacReports!D:D,"")</f>
        <v/>
      </c>
    </row>
    <row r="756" spans="6:6">
      <c r="F756" t="str">
        <f>_xlfn.XLOOKUP(B756,MacReports!B:B,MacReports!D:D,"")</f>
        <v/>
      </c>
    </row>
    <row r="757" spans="6:6">
      <c r="F757">
        <f>_xlfn.XLOOKUP(B757,MacReports!B:B,MacReports!D:D,"")</f>
        <v>0</v>
      </c>
    </row>
    <row r="758" spans="6:6">
      <c r="F758" t="str">
        <f>_xlfn.XLOOKUP(B758,MacReports!B:B,MacReports!D:D,"")</f>
        <v/>
      </c>
    </row>
    <row r="759" spans="6:6">
      <c r="F759" t="str">
        <f>_xlfn.XLOOKUP(B759,MacReports!B:B,MacReports!D:D,"")</f>
        <v/>
      </c>
    </row>
    <row r="760" spans="6:6">
      <c r="F760" t="str">
        <f>_xlfn.XLOOKUP(B760,MacReports!B:B,MacReports!D:D,"")</f>
        <v/>
      </c>
    </row>
    <row r="761" spans="6:6">
      <c r="F761" t="str">
        <f>_xlfn.XLOOKUP(B761,MacReports!B:B,MacReports!D:D,"")</f>
        <v/>
      </c>
    </row>
    <row r="762" spans="6:6">
      <c r="F762">
        <f>_xlfn.XLOOKUP(B762,MacReports!B:B,MacReports!D:D,"")</f>
        <v>0</v>
      </c>
    </row>
    <row r="763" spans="6:6">
      <c r="F763" t="str">
        <f>_xlfn.XLOOKUP(B763,MacReports!B:B,MacReports!D:D,"")</f>
        <v/>
      </c>
    </row>
    <row r="764" spans="6:6">
      <c r="F764">
        <f>_xlfn.XLOOKUP(B764,MacReports!B:B,MacReports!D:D,"")</f>
        <v>0</v>
      </c>
    </row>
    <row r="765" spans="6:6">
      <c r="F765" t="str">
        <f>_xlfn.XLOOKUP(B765,MacReports!B:B,MacReports!D:D,"")</f>
        <v/>
      </c>
    </row>
    <row r="766" spans="6:6">
      <c r="F766" t="str">
        <f>_xlfn.XLOOKUP(B766,MacReports!B:B,MacReports!D:D,"")</f>
        <v/>
      </c>
    </row>
    <row r="767" spans="6:6">
      <c r="F767" t="str">
        <f>_xlfn.XLOOKUP(B767,MacReports!B:B,MacReports!D:D,"")</f>
        <v/>
      </c>
    </row>
    <row r="768" spans="6:6">
      <c r="F768" t="str">
        <f>_xlfn.XLOOKUP(B768,MacReports!B:B,MacReports!D:D,"")</f>
        <v/>
      </c>
    </row>
    <row r="769" spans="6:6">
      <c r="F769">
        <f>_xlfn.XLOOKUP(B769,MacReports!B:B,MacReports!D:D,"")</f>
        <v>0</v>
      </c>
    </row>
    <row r="770" spans="6:6">
      <c r="F770">
        <f>_xlfn.XLOOKUP(B770,MacReports!B:B,MacReports!D:D,"")</f>
        <v>0</v>
      </c>
    </row>
    <row r="771" spans="6:6">
      <c r="F771" t="str">
        <f>_xlfn.XLOOKUP(B771,MacReports!B:B,MacReports!D:D,"")</f>
        <v/>
      </c>
    </row>
    <row r="772" spans="6:6">
      <c r="F772" t="str">
        <f>_xlfn.XLOOKUP(B772,MacReports!B:B,MacReports!D:D,"")</f>
        <v/>
      </c>
    </row>
    <row r="773" spans="6:6">
      <c r="F773" t="str">
        <f>_xlfn.XLOOKUP(B773,MacReports!B:B,MacReports!D:D,"")</f>
        <v/>
      </c>
    </row>
    <row r="774" spans="6:6">
      <c r="F774" t="str">
        <f>_xlfn.XLOOKUP(B774,MacReports!B:B,MacReports!D:D,"")</f>
        <v/>
      </c>
    </row>
    <row r="775" spans="6:6">
      <c r="F775">
        <f>_xlfn.XLOOKUP(B775,MacReports!B:B,MacReports!D:D,"")</f>
        <v>0</v>
      </c>
    </row>
    <row r="776" spans="6:6">
      <c r="F776">
        <f>_xlfn.XLOOKUP(B776,MacReports!B:B,MacReports!D:D,"")</f>
        <v>0</v>
      </c>
    </row>
    <row r="777" spans="6:6">
      <c r="F777" t="str">
        <f>_xlfn.XLOOKUP(B777,MacReports!B:B,MacReports!D:D,"")</f>
        <v/>
      </c>
    </row>
    <row r="778" spans="6:6">
      <c r="F778" t="str">
        <f>_xlfn.XLOOKUP(B778,MacReports!B:B,MacReports!D:D,"")</f>
        <v/>
      </c>
    </row>
    <row r="779" spans="6:6">
      <c r="F779" t="str">
        <f>_xlfn.XLOOKUP(B779,MacReports!B:B,MacReports!D:D,"")</f>
        <v/>
      </c>
    </row>
    <row r="780" spans="6:6">
      <c r="F780">
        <f>_xlfn.XLOOKUP(B780,MacReports!B:B,MacReports!D:D,"")</f>
        <v>0</v>
      </c>
    </row>
    <row r="781" spans="6:6">
      <c r="F781">
        <f>_xlfn.XLOOKUP(B781,MacReports!B:B,MacReports!D:D,"")</f>
        <v>0</v>
      </c>
    </row>
    <row r="782" spans="6:6">
      <c r="F782">
        <f>_xlfn.XLOOKUP(B782,MacReports!B:B,MacReports!D:D,"")</f>
        <v>0</v>
      </c>
    </row>
    <row r="783" spans="6:6">
      <c r="F783" t="str">
        <f>_xlfn.XLOOKUP(B783,MacReports!B:B,MacReports!D:D,"")</f>
        <v/>
      </c>
    </row>
    <row r="784" spans="6:6">
      <c r="F784" t="str">
        <f>_xlfn.XLOOKUP(B784,MacReports!B:B,MacReports!D:D,"")</f>
        <v/>
      </c>
    </row>
    <row r="785" spans="6:6">
      <c r="F785" t="str">
        <f>_xlfn.XLOOKUP(B785,MacReports!B:B,MacReports!D:D,"")</f>
        <v/>
      </c>
    </row>
    <row r="786" spans="6:6">
      <c r="F786" t="str">
        <f>_xlfn.XLOOKUP(B786,MacReports!B:B,MacReports!D:D,"")</f>
        <v/>
      </c>
    </row>
    <row r="787" spans="6:6">
      <c r="F787">
        <f>_xlfn.XLOOKUP(B787,MacReports!B:B,MacReports!D:D,"")</f>
        <v>0</v>
      </c>
    </row>
    <row r="788" spans="6:6">
      <c r="F788">
        <f>_xlfn.XLOOKUP(B788,MacReports!B:B,MacReports!D:D,"")</f>
        <v>0</v>
      </c>
    </row>
    <row r="789" spans="6:6">
      <c r="F789" t="str">
        <f>_xlfn.XLOOKUP(B789,MacReports!B:B,MacReports!D:D,"")</f>
        <v/>
      </c>
    </row>
    <row r="790" spans="6:6">
      <c r="F790" t="str">
        <f>_xlfn.XLOOKUP(B790,MacReports!B:B,MacReports!D:D,"")</f>
        <v/>
      </c>
    </row>
    <row r="791" spans="6:6">
      <c r="F791" t="str">
        <f>_xlfn.XLOOKUP(B791,MacReports!B:B,MacReports!D:D,"")</f>
        <v/>
      </c>
    </row>
    <row r="792" spans="6:6">
      <c r="F792" t="str">
        <f>_xlfn.XLOOKUP(B792,MacReports!B:B,MacReports!D:D,"")</f>
        <v/>
      </c>
    </row>
    <row r="793" spans="6:6">
      <c r="F793">
        <f>_xlfn.XLOOKUP(B793,MacReports!B:B,MacReports!D:D,"")</f>
        <v>0</v>
      </c>
    </row>
    <row r="794" spans="6:6">
      <c r="F794" t="str">
        <f>_xlfn.XLOOKUP(B794,MacReports!B:B,MacReports!D:D,"")</f>
        <v/>
      </c>
    </row>
    <row r="795" spans="6:6">
      <c r="F795" t="str">
        <f>_xlfn.XLOOKUP(B795,MacReports!B:B,MacReports!D:D,"")</f>
        <v/>
      </c>
    </row>
    <row r="796" spans="6:6">
      <c r="F796" t="str">
        <f>_xlfn.XLOOKUP(B796,MacReports!B:B,MacReports!D:D,"")</f>
        <v/>
      </c>
    </row>
    <row r="797" spans="6:6">
      <c r="F797" t="str">
        <f>_xlfn.XLOOKUP(B797,MacReports!B:B,MacReports!D:D,"")</f>
        <v/>
      </c>
    </row>
    <row r="798" spans="6:6">
      <c r="F798">
        <f>_xlfn.XLOOKUP(B798,MacReports!B:B,MacReports!D:D,"")</f>
        <v>0</v>
      </c>
    </row>
    <row r="799" spans="6:6">
      <c r="F799" t="str">
        <f>_xlfn.XLOOKUP(B799,MacReports!B:B,MacReports!D:D,"")</f>
        <v/>
      </c>
    </row>
    <row r="800" spans="6:6">
      <c r="F800">
        <f>_xlfn.XLOOKUP(B800,MacReports!B:B,MacReports!D:D,"")</f>
        <v>0</v>
      </c>
    </row>
    <row r="801" spans="6:6">
      <c r="F801" t="str">
        <f>_xlfn.XLOOKUP(B801,MacReports!B:B,MacReports!D:D,"")</f>
        <v/>
      </c>
    </row>
    <row r="802" spans="6:6">
      <c r="F802" t="str">
        <f>_xlfn.XLOOKUP(B802,MacReports!B:B,MacReports!D:D,"")</f>
        <v/>
      </c>
    </row>
    <row r="803" spans="6:6">
      <c r="F803" t="str">
        <f>_xlfn.XLOOKUP(B803,MacReports!B:B,MacReports!D:D,"")</f>
        <v/>
      </c>
    </row>
    <row r="804" spans="6:6">
      <c r="F804" t="str">
        <f>_xlfn.XLOOKUP(B804,MacReports!B:B,MacReports!D:D,"")</f>
        <v/>
      </c>
    </row>
    <row r="805" spans="6:6">
      <c r="F805">
        <f>_xlfn.XLOOKUP(B805,MacReports!B:B,MacReports!D:D,"")</f>
        <v>0</v>
      </c>
    </row>
    <row r="806" spans="6:6">
      <c r="F806">
        <f>_xlfn.XLOOKUP(B806,MacReports!B:B,MacReports!D:D,"")</f>
        <v>0</v>
      </c>
    </row>
    <row r="807" spans="6:6">
      <c r="F807" t="str">
        <f>_xlfn.XLOOKUP(B807,MacReports!B:B,MacReports!D:D,"")</f>
        <v/>
      </c>
    </row>
    <row r="808" spans="6:6">
      <c r="F808" t="str">
        <f>_xlfn.XLOOKUP(B808,MacReports!B:B,MacReports!D:D,"")</f>
        <v/>
      </c>
    </row>
    <row r="809" spans="6:6">
      <c r="F809" t="str">
        <f>_xlfn.XLOOKUP(B809,MacReports!B:B,MacReports!D:D,"")</f>
        <v/>
      </c>
    </row>
    <row r="810" spans="6:6">
      <c r="F810" t="str">
        <f>_xlfn.XLOOKUP(B810,MacReports!B:B,MacReports!D:D,"")</f>
        <v/>
      </c>
    </row>
    <row r="811" spans="6:6">
      <c r="F811">
        <f>_xlfn.XLOOKUP(B811,MacReports!B:B,MacReports!D:D,"")</f>
        <v>0</v>
      </c>
    </row>
    <row r="812" spans="6:6">
      <c r="F812" t="str">
        <f>_xlfn.XLOOKUP(B812,MacReports!B:B,MacReports!D:D,"")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B2BF-E493-491A-92EA-4D54D27EA5FA}">
  <sheetPr codeName="Sheet10">
    <tabColor theme="5"/>
  </sheetPr>
  <dimension ref="A1:H602"/>
  <sheetViews>
    <sheetView workbookViewId="0">
      <selection activeCell="E34" sqref="E34"/>
    </sheetView>
  </sheetViews>
  <sheetFormatPr defaultRowHeight="15"/>
  <cols>
    <col min="1" max="1" width="39.28515625" customWidth="1"/>
    <col min="2" max="2" width="48.28515625" bestFit="1" customWidth="1"/>
    <col min="3" max="3" width="48.28515625" customWidth="1"/>
    <col min="4" max="4" width="5.5703125" bestFit="1" customWidth="1"/>
    <col min="5" max="5" width="4.5703125" bestFit="1" customWidth="1"/>
    <col min="6" max="6" width="7.140625" bestFit="1" customWidth="1"/>
    <col min="7" max="7" width="14.42578125" style="19" customWidth="1"/>
    <col min="8" max="8" width="23.5703125" style="19" customWidth="1"/>
  </cols>
  <sheetData>
    <row r="1" spans="1:8" ht="15.75" thickBot="1">
      <c r="A1" s="23" t="s">
        <v>75</v>
      </c>
      <c r="B1" s="23" t="s">
        <v>76</v>
      </c>
      <c r="C1" s="23" t="s">
        <v>2</v>
      </c>
      <c r="D1" s="24" t="s">
        <v>77</v>
      </c>
      <c r="E1" s="25" t="s">
        <v>78</v>
      </c>
      <c r="F1" s="25" t="s">
        <v>79</v>
      </c>
      <c r="G1" s="26" t="s">
        <v>2</v>
      </c>
      <c r="H1" s="26" t="s">
        <v>313</v>
      </c>
    </row>
    <row r="2" spans="1:8" ht="15.75" thickBot="1">
      <c r="A2" s="20" t="s">
        <v>80</v>
      </c>
      <c r="B2" s="20" t="s">
        <v>81</v>
      </c>
      <c r="C2" s="20" t="s">
        <v>51</v>
      </c>
      <c r="D2" s="21">
        <v>2019</v>
      </c>
      <c r="E2" s="22">
        <v>16</v>
      </c>
      <c r="F2" s="22">
        <v>2</v>
      </c>
      <c r="G2" s="19" t="s">
        <v>51</v>
      </c>
      <c r="H2" s="19" t="s">
        <v>51</v>
      </c>
    </row>
    <row r="3" spans="1:8" ht="15.75" thickBot="1">
      <c r="A3" s="5" t="s">
        <v>82</v>
      </c>
      <c r="B3" s="5" t="s">
        <v>83</v>
      </c>
      <c r="C3" s="5" t="s">
        <v>51</v>
      </c>
      <c r="D3" s="8">
        <v>2020</v>
      </c>
      <c r="E3" s="9">
        <v>13</v>
      </c>
      <c r="F3" s="9">
        <v>1.4</v>
      </c>
      <c r="G3" s="19" t="s">
        <v>51</v>
      </c>
      <c r="H3" s="19" t="s">
        <v>50</v>
      </c>
    </row>
    <row r="4" spans="1:8" ht="15.75" thickBot="1">
      <c r="A4" s="5" t="s">
        <v>57</v>
      </c>
      <c r="B4" s="5" t="s">
        <v>84</v>
      </c>
      <c r="C4" s="5" t="s">
        <v>51</v>
      </c>
      <c r="D4" s="8">
        <v>2020</v>
      </c>
      <c r="E4" s="9">
        <v>13</v>
      </c>
      <c r="F4" s="9">
        <v>1.4</v>
      </c>
      <c r="G4" s="19" t="s">
        <v>51</v>
      </c>
      <c r="H4" s="19" t="s">
        <v>314</v>
      </c>
    </row>
    <row r="5" spans="1:8" ht="15.75" thickBot="1">
      <c r="A5" s="5" t="s">
        <v>85</v>
      </c>
      <c r="B5" s="5" t="s">
        <v>81</v>
      </c>
      <c r="C5" s="5" t="s">
        <v>51</v>
      </c>
      <c r="D5" s="8">
        <v>2019</v>
      </c>
      <c r="E5" s="9">
        <v>16</v>
      </c>
      <c r="F5" s="9">
        <v>2</v>
      </c>
      <c r="G5" s="19" t="s">
        <v>307</v>
      </c>
      <c r="H5" s="19" t="s">
        <v>307</v>
      </c>
    </row>
    <row r="6" spans="1:8" ht="15.75" thickBot="1">
      <c r="A6" s="5" t="s">
        <v>86</v>
      </c>
      <c r="B6" s="5" t="s">
        <v>87</v>
      </c>
      <c r="C6" s="5" t="s">
        <v>51</v>
      </c>
      <c r="D6" s="8">
        <v>2019</v>
      </c>
      <c r="E6" s="9">
        <v>13</v>
      </c>
      <c r="F6" s="9">
        <v>1.4</v>
      </c>
      <c r="G6" s="19" t="s">
        <v>307</v>
      </c>
      <c r="H6" s="19" t="s">
        <v>315</v>
      </c>
    </row>
    <row r="7" spans="1:8" ht="15.75" thickBot="1">
      <c r="A7" s="5" t="s">
        <v>88</v>
      </c>
      <c r="B7" s="5" t="s">
        <v>89</v>
      </c>
      <c r="C7" s="5" t="s">
        <v>51</v>
      </c>
      <c r="D7" s="8">
        <v>2019</v>
      </c>
      <c r="E7" s="9">
        <v>15</v>
      </c>
      <c r="F7" s="9">
        <v>1.8</v>
      </c>
    </row>
    <row r="8" spans="1:8" ht="15.75" thickBot="1">
      <c r="A8" s="5" t="s">
        <v>90</v>
      </c>
      <c r="B8" s="5" t="s">
        <v>91</v>
      </c>
      <c r="C8" s="5" t="s">
        <v>51</v>
      </c>
      <c r="D8" s="8">
        <v>2018</v>
      </c>
      <c r="E8" s="9">
        <v>13</v>
      </c>
      <c r="F8" s="9">
        <v>1.4</v>
      </c>
    </row>
    <row r="9" spans="1:8" ht="15.75" thickBot="1">
      <c r="A9" s="5" t="s">
        <v>90</v>
      </c>
      <c r="B9" s="5" t="s">
        <v>91</v>
      </c>
      <c r="C9" s="5" t="s">
        <v>51</v>
      </c>
      <c r="D9" s="8">
        <v>2018</v>
      </c>
      <c r="E9" s="9">
        <v>13</v>
      </c>
      <c r="F9" s="9">
        <v>1.4</v>
      </c>
    </row>
    <row r="10" spans="1:8" ht="15.75" thickBot="1">
      <c r="A10" s="5" t="s">
        <v>90</v>
      </c>
      <c r="B10" s="5" t="s">
        <v>91</v>
      </c>
      <c r="C10" s="5" t="s">
        <v>51</v>
      </c>
      <c r="D10" s="8">
        <v>2019</v>
      </c>
      <c r="E10" s="9">
        <v>13</v>
      </c>
      <c r="F10" s="9">
        <v>1.4</v>
      </c>
    </row>
    <row r="11" spans="1:8" ht="15.75" thickBot="1">
      <c r="A11" s="5" t="s">
        <v>90</v>
      </c>
      <c r="B11" s="5" t="s">
        <v>91</v>
      </c>
      <c r="C11" s="5" t="s">
        <v>51</v>
      </c>
      <c r="D11" s="8">
        <v>2019</v>
      </c>
      <c r="E11" s="9">
        <v>13</v>
      </c>
      <c r="F11" s="9">
        <v>1.4</v>
      </c>
    </row>
    <row r="12" spans="1:8" ht="15.75" thickBot="1">
      <c r="A12" s="5" t="s">
        <v>92</v>
      </c>
      <c r="B12" s="5" t="s">
        <v>89</v>
      </c>
      <c r="C12" s="5" t="s">
        <v>51</v>
      </c>
      <c r="D12" s="8">
        <v>2018</v>
      </c>
      <c r="E12" s="9">
        <v>15</v>
      </c>
      <c r="F12" s="9">
        <v>1.8</v>
      </c>
    </row>
    <row r="13" spans="1:8" ht="15.75" thickBot="1">
      <c r="A13" s="5" t="s">
        <v>92</v>
      </c>
      <c r="B13" s="5" t="s">
        <v>89</v>
      </c>
      <c r="C13" s="5" t="s">
        <v>51</v>
      </c>
      <c r="D13" s="8">
        <v>2018</v>
      </c>
      <c r="E13" s="9">
        <v>15</v>
      </c>
      <c r="F13" s="9">
        <v>1.8</v>
      </c>
    </row>
    <row r="14" spans="1:8" ht="15.75" thickBot="1">
      <c r="A14" s="5" t="s">
        <v>92</v>
      </c>
      <c r="B14" s="5" t="s">
        <v>89</v>
      </c>
      <c r="C14" s="5" t="s">
        <v>51</v>
      </c>
      <c r="D14" s="8">
        <v>2018</v>
      </c>
      <c r="E14" s="9">
        <v>15</v>
      </c>
      <c r="F14" s="9">
        <v>1.8</v>
      </c>
    </row>
    <row r="15" spans="1:8" ht="15.75" thickBot="1">
      <c r="A15" s="5" t="s">
        <v>92</v>
      </c>
      <c r="B15" s="5" t="s">
        <v>89</v>
      </c>
      <c r="C15" s="5" t="s">
        <v>51</v>
      </c>
      <c r="D15" s="8">
        <v>2019</v>
      </c>
      <c r="E15" s="9">
        <v>15</v>
      </c>
      <c r="F15" s="9">
        <v>1.8</v>
      </c>
    </row>
    <row r="16" spans="1:8" ht="15.75" thickBot="1">
      <c r="A16" s="5" t="s">
        <v>92</v>
      </c>
      <c r="B16" s="5" t="s">
        <v>89</v>
      </c>
      <c r="C16" s="5" t="s">
        <v>51</v>
      </c>
      <c r="D16" s="8">
        <v>2019</v>
      </c>
      <c r="E16" s="9">
        <v>15</v>
      </c>
      <c r="F16" s="9">
        <v>1.8</v>
      </c>
    </row>
    <row r="17" spans="1:6" ht="15.75" thickBot="1">
      <c r="A17" s="5" t="s">
        <v>92</v>
      </c>
      <c r="B17" s="5" t="s">
        <v>89</v>
      </c>
      <c r="C17" s="5" t="s">
        <v>51</v>
      </c>
      <c r="D17" s="8">
        <v>2019</v>
      </c>
      <c r="E17" s="9">
        <v>15</v>
      </c>
      <c r="F17" s="9">
        <v>1.8</v>
      </c>
    </row>
    <row r="18" spans="1:6" ht="15.75" thickBot="1">
      <c r="A18" s="5" t="s">
        <v>93</v>
      </c>
      <c r="B18" s="5" t="s">
        <v>94</v>
      </c>
      <c r="C18" s="5" t="s">
        <v>51</v>
      </c>
      <c r="D18" s="8">
        <v>2017</v>
      </c>
      <c r="E18" s="9">
        <v>15</v>
      </c>
      <c r="F18" s="9">
        <v>1.8</v>
      </c>
    </row>
    <row r="19" spans="1:6" ht="15.75" thickBot="1">
      <c r="A19" s="5" t="s">
        <v>95</v>
      </c>
      <c r="B19" s="5" t="s">
        <v>96</v>
      </c>
      <c r="C19" s="5" t="s">
        <v>51</v>
      </c>
      <c r="D19" s="8">
        <v>2017</v>
      </c>
      <c r="E19" s="9">
        <v>13</v>
      </c>
      <c r="F19" s="9">
        <v>1.4</v>
      </c>
    </row>
    <row r="20" spans="1:6" ht="15.75" thickBot="1">
      <c r="A20" s="5" t="s">
        <v>97</v>
      </c>
      <c r="B20" s="5" t="s">
        <v>98</v>
      </c>
      <c r="C20" s="5" t="s">
        <v>51</v>
      </c>
      <c r="D20" s="8">
        <v>2017</v>
      </c>
      <c r="E20" s="9">
        <v>13</v>
      </c>
      <c r="F20" s="9">
        <v>1.4</v>
      </c>
    </row>
    <row r="21" spans="1:6" ht="15.75" thickBot="1">
      <c r="A21" s="5" t="s">
        <v>99</v>
      </c>
      <c r="B21" s="5" t="s">
        <v>94</v>
      </c>
      <c r="C21" s="5" t="s">
        <v>51</v>
      </c>
      <c r="D21" s="8">
        <v>2016</v>
      </c>
      <c r="E21" s="9">
        <v>15</v>
      </c>
      <c r="F21" s="9">
        <v>1.8</v>
      </c>
    </row>
    <row r="22" spans="1:6" ht="15.75" thickBot="1">
      <c r="A22" s="5" t="s">
        <v>100</v>
      </c>
      <c r="B22" s="5" t="s">
        <v>96</v>
      </c>
      <c r="C22" s="5" t="s">
        <v>51</v>
      </c>
      <c r="D22" s="8">
        <v>2016</v>
      </c>
      <c r="E22" s="9">
        <v>13</v>
      </c>
      <c r="F22" s="9">
        <v>1.4</v>
      </c>
    </row>
    <row r="23" spans="1:6" ht="15.75" thickBot="1">
      <c r="A23" s="5" t="s">
        <v>101</v>
      </c>
      <c r="B23" s="5" t="s">
        <v>98</v>
      </c>
      <c r="C23" s="5" t="s">
        <v>51</v>
      </c>
      <c r="D23" s="8">
        <v>2016</v>
      </c>
      <c r="E23" s="9">
        <v>13</v>
      </c>
      <c r="F23" s="9">
        <v>1.4</v>
      </c>
    </row>
    <row r="24" spans="1:6" ht="15.75" thickBot="1">
      <c r="A24" s="5" t="s">
        <v>102</v>
      </c>
      <c r="B24" s="5" t="s">
        <v>103</v>
      </c>
      <c r="C24" s="5" t="s">
        <v>51</v>
      </c>
      <c r="D24" s="8">
        <v>2015</v>
      </c>
      <c r="E24" s="9">
        <v>13</v>
      </c>
      <c r="F24" s="9">
        <v>1.4</v>
      </c>
    </row>
    <row r="25" spans="1:6" ht="15.75" thickBot="1">
      <c r="A25" s="5" t="s">
        <v>104</v>
      </c>
      <c r="B25" s="5" t="s">
        <v>105</v>
      </c>
      <c r="C25" s="5" t="s">
        <v>51</v>
      </c>
      <c r="D25" s="8">
        <v>2015</v>
      </c>
      <c r="E25" s="9">
        <v>15</v>
      </c>
      <c r="F25" s="9">
        <v>1.8</v>
      </c>
    </row>
    <row r="26" spans="1:6" ht="15.75" thickBot="1">
      <c r="A26" s="5" t="s">
        <v>106</v>
      </c>
      <c r="B26" s="5" t="s">
        <v>105</v>
      </c>
      <c r="C26" s="5" t="s">
        <v>51</v>
      </c>
      <c r="D26" s="8">
        <v>2015</v>
      </c>
      <c r="E26" s="9">
        <v>15</v>
      </c>
      <c r="F26" s="9">
        <v>1.8</v>
      </c>
    </row>
    <row r="27" spans="1:6" ht="15.75" thickBot="1">
      <c r="A27" s="5" t="s">
        <v>107</v>
      </c>
      <c r="B27" s="5" t="s">
        <v>105</v>
      </c>
      <c r="C27" s="5" t="s">
        <v>51</v>
      </c>
      <c r="D27" s="9">
        <v>2014</v>
      </c>
      <c r="E27" s="9">
        <v>15</v>
      </c>
      <c r="F27" s="9">
        <v>1.8</v>
      </c>
    </row>
    <row r="28" spans="1:6" ht="15.75" thickBot="1">
      <c r="A28" s="5" t="s">
        <v>107</v>
      </c>
      <c r="B28" s="5" t="s">
        <v>105</v>
      </c>
      <c r="C28" s="5" t="s">
        <v>51</v>
      </c>
      <c r="D28" s="9">
        <v>2014</v>
      </c>
      <c r="E28" s="9">
        <v>15</v>
      </c>
      <c r="F28" s="9">
        <v>1.8</v>
      </c>
    </row>
    <row r="29" spans="1:6" ht="15.75" thickBot="1">
      <c r="A29" s="5" t="s">
        <v>107</v>
      </c>
      <c r="B29" s="5" t="s">
        <v>105</v>
      </c>
      <c r="C29" s="5" t="s">
        <v>51</v>
      </c>
      <c r="D29" s="9">
        <v>2013</v>
      </c>
      <c r="E29" s="9">
        <v>15</v>
      </c>
      <c r="F29" s="9">
        <v>1.8</v>
      </c>
    </row>
    <row r="30" spans="1:6" ht="15.75" thickBot="1">
      <c r="A30" s="5" t="s">
        <v>108</v>
      </c>
      <c r="B30" s="5" t="s">
        <v>105</v>
      </c>
      <c r="C30" s="5" t="s">
        <v>51</v>
      </c>
      <c r="D30" s="9">
        <v>2014</v>
      </c>
      <c r="E30" s="9">
        <v>15</v>
      </c>
      <c r="F30" s="9">
        <v>2</v>
      </c>
    </row>
    <row r="31" spans="1:6" ht="15.75" thickBot="1">
      <c r="A31" s="5" t="s">
        <v>107</v>
      </c>
      <c r="B31" s="5" t="s">
        <v>105</v>
      </c>
      <c r="C31" s="5" t="s">
        <v>51</v>
      </c>
      <c r="D31" s="9">
        <v>2013</v>
      </c>
      <c r="E31" s="9">
        <v>15</v>
      </c>
      <c r="F31" s="9">
        <v>1.8</v>
      </c>
    </row>
    <row r="32" spans="1:6" ht="15.75" thickBot="1">
      <c r="A32" s="5" t="s">
        <v>109</v>
      </c>
      <c r="B32" s="5" t="s">
        <v>110</v>
      </c>
      <c r="C32" s="5" t="s">
        <v>51</v>
      </c>
      <c r="D32" s="9">
        <v>2020</v>
      </c>
      <c r="E32" s="9">
        <v>13</v>
      </c>
      <c r="F32" s="9">
        <v>1.4</v>
      </c>
    </row>
    <row r="33" spans="1:6" ht="15.75" thickBot="1">
      <c r="A33" s="5" t="s">
        <v>111</v>
      </c>
      <c r="B33" s="5" t="s">
        <v>112</v>
      </c>
      <c r="C33" s="5" t="s">
        <v>51</v>
      </c>
      <c r="D33" s="9">
        <v>2021</v>
      </c>
      <c r="E33" s="9">
        <v>16</v>
      </c>
      <c r="F33" s="9">
        <v>1.6</v>
      </c>
    </row>
    <row r="34" spans="1:6" ht="15.75" thickBot="1">
      <c r="A34" s="5" t="s">
        <v>113</v>
      </c>
      <c r="B34" s="5" t="s">
        <v>114</v>
      </c>
      <c r="C34" s="5" t="s">
        <v>51</v>
      </c>
      <c r="D34" s="9">
        <v>2021</v>
      </c>
      <c r="E34" s="9">
        <v>14</v>
      </c>
      <c r="F34" s="9">
        <v>1.6</v>
      </c>
    </row>
    <row r="35" spans="1:6" ht="15.75" thickBot="1">
      <c r="A35" s="5" t="s">
        <v>115</v>
      </c>
      <c r="B35" s="5" t="s">
        <v>114</v>
      </c>
      <c r="C35" s="5" t="s">
        <v>51</v>
      </c>
      <c r="D35" s="9">
        <v>2021</v>
      </c>
      <c r="E35" s="9">
        <v>14</v>
      </c>
      <c r="F35" s="9">
        <v>1.6</v>
      </c>
    </row>
    <row r="36" spans="1:6" ht="15.75" thickBot="1">
      <c r="A36" s="5" t="s">
        <v>116</v>
      </c>
      <c r="B36" s="7" t="s">
        <v>112</v>
      </c>
      <c r="C36" s="5" t="s">
        <v>51</v>
      </c>
      <c r="D36" s="9">
        <v>2021</v>
      </c>
      <c r="E36" s="9">
        <v>16</v>
      </c>
      <c r="F36" s="9">
        <v>2</v>
      </c>
    </row>
    <row r="37" spans="1:6" ht="15.75" thickBot="1">
      <c r="A37" s="5" t="s">
        <v>116</v>
      </c>
      <c r="B37" s="7" t="s">
        <v>112</v>
      </c>
      <c r="C37" s="5" t="s">
        <v>51</v>
      </c>
      <c r="D37" s="9">
        <v>2021</v>
      </c>
      <c r="E37" s="9">
        <v>16</v>
      </c>
      <c r="F37" s="9">
        <v>2</v>
      </c>
    </row>
    <row r="38" spans="1:6" ht="15.75" thickBot="1">
      <c r="A38" s="7" t="s">
        <v>117</v>
      </c>
      <c r="B38" s="5" t="s">
        <v>110</v>
      </c>
      <c r="C38" s="5" t="s">
        <v>51</v>
      </c>
      <c r="D38" s="9">
        <v>2022</v>
      </c>
      <c r="E38" s="9">
        <v>13</v>
      </c>
      <c r="F38" s="9">
        <v>1.4</v>
      </c>
    </row>
    <row r="39" spans="1:6" ht="15.75" thickBot="1">
      <c r="A39" s="7" t="s">
        <v>118</v>
      </c>
      <c r="B39" s="7" t="s">
        <v>119</v>
      </c>
      <c r="C39" s="5" t="s">
        <v>51</v>
      </c>
      <c r="D39" s="9">
        <v>2023</v>
      </c>
      <c r="E39" s="9">
        <v>14</v>
      </c>
      <c r="F39" s="9">
        <v>1.6</v>
      </c>
    </row>
    <row r="40" spans="1:6" ht="15.75" thickBot="1">
      <c r="A40" s="7" t="s">
        <v>120</v>
      </c>
      <c r="B40" s="7" t="s">
        <v>119</v>
      </c>
      <c r="C40" s="5" t="s">
        <v>51</v>
      </c>
      <c r="D40" s="9">
        <v>2023</v>
      </c>
      <c r="E40" s="9">
        <v>14</v>
      </c>
      <c r="F40" s="9">
        <v>1.6</v>
      </c>
    </row>
    <row r="41" spans="1:6" ht="15.75" thickBot="1">
      <c r="A41" s="7" t="s">
        <v>121</v>
      </c>
      <c r="B41" s="7" t="s">
        <v>122</v>
      </c>
      <c r="C41" s="5" t="s">
        <v>51</v>
      </c>
      <c r="D41" s="9">
        <v>2023</v>
      </c>
      <c r="E41" s="9">
        <v>16</v>
      </c>
      <c r="F41" s="9">
        <v>2</v>
      </c>
    </row>
    <row r="42" spans="1:6" ht="15.75" thickBot="1">
      <c r="A42" s="7" t="s">
        <v>123</v>
      </c>
      <c r="B42" s="7" t="s">
        <v>122</v>
      </c>
      <c r="C42" s="5" t="s">
        <v>51</v>
      </c>
      <c r="D42" s="9">
        <v>2023</v>
      </c>
      <c r="E42" s="9">
        <v>16</v>
      </c>
      <c r="F42" s="9">
        <v>2</v>
      </c>
    </row>
    <row r="43" spans="1:6" ht="15.75" thickBot="1">
      <c r="A43" s="7" t="s">
        <v>124</v>
      </c>
      <c r="B43" s="7" t="s">
        <v>125</v>
      </c>
      <c r="C43" s="5" t="s">
        <v>51</v>
      </c>
      <c r="D43" s="9">
        <v>2023</v>
      </c>
      <c r="E43" s="9">
        <v>14</v>
      </c>
      <c r="F43" s="9">
        <v>1.6</v>
      </c>
    </row>
    <row r="44" spans="1:6" ht="15.75" thickBot="1">
      <c r="A44" s="7" t="s">
        <v>126</v>
      </c>
      <c r="B44" s="7" t="s">
        <v>127</v>
      </c>
      <c r="C44" s="5" t="s">
        <v>51</v>
      </c>
      <c r="D44" s="9">
        <v>2023</v>
      </c>
      <c r="E44" s="9">
        <v>14</v>
      </c>
      <c r="F44" s="9">
        <v>1.6</v>
      </c>
    </row>
    <row r="45" spans="1:6" ht="15.75" thickBot="1">
      <c r="A45" s="7" t="s">
        <v>128</v>
      </c>
      <c r="B45" s="7" t="s">
        <v>127</v>
      </c>
      <c r="C45" s="5" t="s">
        <v>51</v>
      </c>
      <c r="D45" s="9">
        <v>2023</v>
      </c>
      <c r="E45" s="9">
        <v>14</v>
      </c>
      <c r="F45" s="9">
        <v>1.6</v>
      </c>
    </row>
    <row r="46" spans="1:6" ht="15.75" thickBot="1">
      <c r="A46" s="7" t="s">
        <v>129</v>
      </c>
      <c r="B46" s="7" t="s">
        <v>127</v>
      </c>
      <c r="C46" s="5" t="s">
        <v>51</v>
      </c>
      <c r="D46" s="9">
        <v>2023</v>
      </c>
      <c r="E46" s="9">
        <v>14</v>
      </c>
      <c r="F46" s="9">
        <v>1.6</v>
      </c>
    </row>
    <row r="47" spans="1:6" ht="15.75" thickBot="1">
      <c r="A47" s="7" t="s">
        <v>130</v>
      </c>
      <c r="B47" s="7" t="s">
        <v>131</v>
      </c>
      <c r="C47" s="5" t="s">
        <v>51</v>
      </c>
      <c r="D47" s="9">
        <v>2023</v>
      </c>
      <c r="E47" s="9">
        <v>16</v>
      </c>
      <c r="F47" s="9">
        <v>2</v>
      </c>
    </row>
    <row r="48" spans="1:6" ht="15.75" thickBot="1">
      <c r="A48" s="7" t="s">
        <v>132</v>
      </c>
      <c r="B48" s="7" t="s">
        <v>131</v>
      </c>
      <c r="C48" s="5" t="s">
        <v>51</v>
      </c>
      <c r="D48" s="9">
        <v>2023</v>
      </c>
      <c r="E48" s="9">
        <v>16</v>
      </c>
      <c r="F48" s="9">
        <v>2</v>
      </c>
    </row>
    <row r="49" spans="1:6" ht="15.75" thickBot="1">
      <c r="A49" s="7" t="s">
        <v>133</v>
      </c>
      <c r="B49" s="7" t="s">
        <v>131</v>
      </c>
      <c r="C49" s="5" t="s">
        <v>51</v>
      </c>
      <c r="D49" s="9">
        <v>2023</v>
      </c>
      <c r="E49" s="9">
        <v>16</v>
      </c>
      <c r="F49" s="9">
        <v>2</v>
      </c>
    </row>
    <row r="50" spans="1:6" ht="15.75" thickBot="1">
      <c r="A50" s="5" t="s">
        <v>134</v>
      </c>
      <c r="B50" s="7" t="s">
        <v>135</v>
      </c>
      <c r="C50" s="5" t="s">
        <v>51</v>
      </c>
      <c r="D50" s="9">
        <v>2015</v>
      </c>
      <c r="E50" s="9">
        <v>11</v>
      </c>
      <c r="F50" s="9">
        <v>11</v>
      </c>
    </row>
    <row r="51" spans="1:6" ht="15.75" thickBot="1">
      <c r="A51" s="5" t="s">
        <v>134</v>
      </c>
      <c r="B51" s="7" t="s">
        <v>135</v>
      </c>
      <c r="C51" s="7" t="s">
        <v>51</v>
      </c>
      <c r="D51" s="9">
        <v>2015</v>
      </c>
      <c r="E51" s="9">
        <v>11</v>
      </c>
      <c r="F51" s="9">
        <v>11</v>
      </c>
    </row>
    <row r="52" spans="1:6" ht="15.75" thickBot="1">
      <c r="A52" s="5" t="s">
        <v>136</v>
      </c>
      <c r="B52" s="7" t="s">
        <v>137</v>
      </c>
      <c r="C52" s="7" t="s">
        <v>51</v>
      </c>
      <c r="D52" s="9">
        <v>2015</v>
      </c>
      <c r="E52" s="9">
        <v>13</v>
      </c>
      <c r="F52" s="9">
        <v>1.4</v>
      </c>
    </row>
    <row r="53" spans="1:6" ht="15.75" thickBot="1">
      <c r="A53" s="5" t="s">
        <v>136</v>
      </c>
      <c r="B53" s="7" t="s">
        <v>137</v>
      </c>
      <c r="C53" s="7" t="s">
        <v>51</v>
      </c>
      <c r="D53" s="9">
        <v>2015</v>
      </c>
      <c r="E53" s="9">
        <v>13</v>
      </c>
      <c r="F53" s="9">
        <v>1.4</v>
      </c>
    </row>
    <row r="54" spans="1:6" ht="15.75" thickBot="1">
      <c r="A54" s="5" t="s">
        <v>136</v>
      </c>
      <c r="B54" s="7" t="s">
        <v>137</v>
      </c>
      <c r="C54" s="7" t="s">
        <v>51</v>
      </c>
      <c r="D54" s="9">
        <v>2017</v>
      </c>
      <c r="E54" s="9">
        <v>13</v>
      </c>
      <c r="F54" s="9">
        <v>1.4</v>
      </c>
    </row>
    <row r="55" spans="1:6" ht="15.75" thickBot="1">
      <c r="A55" s="5" t="s">
        <v>136</v>
      </c>
      <c r="B55" s="7" t="s">
        <v>137</v>
      </c>
      <c r="C55" s="7" t="s">
        <v>51</v>
      </c>
      <c r="D55" s="9">
        <v>2017</v>
      </c>
      <c r="E55" s="9">
        <v>13</v>
      </c>
      <c r="F55" s="9">
        <v>1.4</v>
      </c>
    </row>
    <row r="56" spans="1:6" ht="15.75" thickBot="1">
      <c r="A56" s="5" t="s">
        <v>138</v>
      </c>
      <c r="B56" s="7" t="s">
        <v>139</v>
      </c>
      <c r="C56" s="7" t="s">
        <v>51</v>
      </c>
      <c r="D56" s="9">
        <v>2018</v>
      </c>
      <c r="E56" s="9">
        <v>13</v>
      </c>
      <c r="F56" s="9">
        <v>1.4</v>
      </c>
    </row>
    <row r="57" spans="1:6" ht="15.75" thickBot="1">
      <c r="A57" s="5" t="s">
        <v>140</v>
      </c>
      <c r="B57" s="7" t="s">
        <v>139</v>
      </c>
      <c r="C57" s="7" t="s">
        <v>51</v>
      </c>
      <c r="D57" s="9">
        <v>2019</v>
      </c>
      <c r="E57" s="9">
        <v>13</v>
      </c>
      <c r="F57" s="9">
        <v>1.4</v>
      </c>
    </row>
    <row r="58" spans="1:6" ht="15.75" thickBot="1">
      <c r="A58" s="5" t="s">
        <v>141</v>
      </c>
      <c r="B58" s="7" t="s">
        <v>142</v>
      </c>
      <c r="C58" s="7" t="s">
        <v>51</v>
      </c>
      <c r="D58" s="9">
        <v>2020</v>
      </c>
      <c r="E58" s="9">
        <v>13</v>
      </c>
      <c r="F58" s="9">
        <v>1.4</v>
      </c>
    </row>
    <row r="59" spans="1:6" ht="15.75" thickBot="1">
      <c r="A59" s="5" t="s">
        <v>141</v>
      </c>
      <c r="B59" s="7" t="s">
        <v>142</v>
      </c>
      <c r="C59" s="7" t="s">
        <v>51</v>
      </c>
      <c r="D59" s="9">
        <v>2020</v>
      </c>
      <c r="E59" s="9">
        <v>13</v>
      </c>
      <c r="F59" s="9">
        <v>1.4</v>
      </c>
    </row>
    <row r="60" spans="1:6" ht="15.75" thickBot="1">
      <c r="A60" s="5" t="s">
        <v>141</v>
      </c>
      <c r="B60" s="7" t="s">
        <v>142</v>
      </c>
      <c r="C60" s="7" t="s">
        <v>51</v>
      </c>
      <c r="D60" s="9">
        <v>2020</v>
      </c>
      <c r="E60" s="9">
        <v>13</v>
      </c>
      <c r="F60" s="9">
        <v>1.4</v>
      </c>
    </row>
    <row r="61" spans="1:6" ht="15.75" thickBot="1">
      <c r="A61" s="5" t="s">
        <v>143</v>
      </c>
      <c r="B61" s="7" t="s">
        <v>144</v>
      </c>
      <c r="C61" s="7" t="s">
        <v>51</v>
      </c>
      <c r="D61" s="9">
        <v>2020</v>
      </c>
      <c r="E61" s="9">
        <v>13</v>
      </c>
      <c r="F61" s="9">
        <v>1.4</v>
      </c>
    </row>
    <row r="62" spans="1:6" ht="15.75" thickBot="1">
      <c r="A62" s="7" t="s">
        <v>145</v>
      </c>
      <c r="B62" s="7" t="s">
        <v>146</v>
      </c>
      <c r="C62" s="7" t="s">
        <v>51</v>
      </c>
      <c r="D62" s="9">
        <v>2022</v>
      </c>
      <c r="E62" s="9">
        <v>13</v>
      </c>
      <c r="F62" s="9">
        <v>1.4</v>
      </c>
    </row>
    <row r="63" spans="1:6" ht="15.75" thickBot="1">
      <c r="A63" s="7" t="s">
        <v>147</v>
      </c>
      <c r="B63" s="7" t="s">
        <v>148</v>
      </c>
      <c r="C63" s="7" t="s">
        <v>51</v>
      </c>
      <c r="D63" s="9">
        <v>2023</v>
      </c>
      <c r="E63" s="9">
        <v>15</v>
      </c>
      <c r="F63" s="9">
        <v>1.8</v>
      </c>
    </row>
    <row r="64" spans="1:6" ht="15.75" thickBot="1">
      <c r="A64" s="7" t="s">
        <v>149</v>
      </c>
      <c r="B64" s="7" t="s">
        <v>150</v>
      </c>
      <c r="C64" s="7" t="s">
        <v>51</v>
      </c>
      <c r="D64" s="9">
        <v>2024</v>
      </c>
      <c r="E64" s="9">
        <v>13</v>
      </c>
      <c r="F64" s="9">
        <v>1.4</v>
      </c>
    </row>
    <row r="65" spans="1:6" ht="15.75" thickBot="1">
      <c r="A65" s="7" t="s">
        <v>151</v>
      </c>
      <c r="B65" s="7" t="s">
        <v>152</v>
      </c>
      <c r="C65" s="7" t="s">
        <v>51</v>
      </c>
      <c r="D65" s="9">
        <v>2024</v>
      </c>
      <c r="E65" s="9">
        <v>15</v>
      </c>
      <c r="F65" s="9">
        <v>1.8</v>
      </c>
    </row>
    <row r="66" spans="1:6" ht="15.75" thickBot="1">
      <c r="A66" s="7" t="s">
        <v>153</v>
      </c>
      <c r="B66" s="7" t="s">
        <v>154</v>
      </c>
      <c r="C66" s="7" t="s">
        <v>307</v>
      </c>
      <c r="D66" s="9">
        <v>2013</v>
      </c>
      <c r="E66" s="7"/>
      <c r="F66" s="9">
        <v>5</v>
      </c>
    </row>
    <row r="67" spans="1:6" ht="15.75" thickBot="1">
      <c r="A67" s="7" t="s">
        <v>155</v>
      </c>
      <c r="B67" s="7" t="s">
        <v>156</v>
      </c>
      <c r="C67" s="7" t="s">
        <v>306</v>
      </c>
      <c r="D67" s="9">
        <v>2015</v>
      </c>
      <c r="E67" s="9">
        <v>27</v>
      </c>
      <c r="F67" s="9">
        <v>9.5399999999999991</v>
      </c>
    </row>
    <row r="68" spans="1:6" ht="15.75" thickBot="1">
      <c r="A68" s="7" t="s">
        <v>157</v>
      </c>
      <c r="B68" s="7" t="s">
        <v>156</v>
      </c>
      <c r="C68" s="7" t="s">
        <v>306</v>
      </c>
      <c r="D68" s="9">
        <v>2017</v>
      </c>
      <c r="E68" s="9">
        <v>27</v>
      </c>
      <c r="F68" s="9">
        <v>9.5399999999999991</v>
      </c>
    </row>
    <row r="69" spans="1:6" ht="15.75" thickBot="1">
      <c r="A69" s="7" t="s">
        <v>158</v>
      </c>
      <c r="B69" s="7" t="s">
        <v>159</v>
      </c>
      <c r="C69" s="7" t="s">
        <v>306</v>
      </c>
      <c r="D69" s="9">
        <v>2017</v>
      </c>
      <c r="E69" s="9">
        <v>21.5</v>
      </c>
      <c r="F69" s="9">
        <v>9.5399999999999991</v>
      </c>
    </row>
    <row r="70" spans="1:6" ht="15.75" thickBot="1">
      <c r="A70" s="7"/>
      <c r="B70" s="7" t="s">
        <v>160</v>
      </c>
      <c r="C70" s="7"/>
      <c r="D70" s="7"/>
      <c r="E70" s="7"/>
      <c r="F70" s="9">
        <v>2</v>
      </c>
    </row>
    <row r="71" spans="1:6" ht="15.75" thickBot="1">
      <c r="A71" s="7"/>
      <c r="B71" s="7" t="s">
        <v>160</v>
      </c>
      <c r="C71" s="7"/>
      <c r="D71" s="7"/>
      <c r="E71" s="7"/>
      <c r="F71" s="9">
        <v>2</v>
      </c>
    </row>
    <row r="72" spans="1:6" ht="15.75" thickBot="1">
      <c r="A72" s="7"/>
      <c r="B72" s="7" t="s">
        <v>160</v>
      </c>
      <c r="C72" s="7"/>
      <c r="D72" s="7"/>
      <c r="E72" s="7"/>
      <c r="F72" s="9">
        <v>2</v>
      </c>
    </row>
    <row r="73" spans="1:6" ht="15.75" thickBot="1">
      <c r="A73" s="7"/>
      <c r="B73" s="7" t="s">
        <v>160</v>
      </c>
      <c r="C73" s="7"/>
      <c r="D73" s="7"/>
      <c r="E73" s="7"/>
      <c r="F73" s="9">
        <v>2</v>
      </c>
    </row>
    <row r="74" spans="1:6" ht="15.75" thickBot="1">
      <c r="A74" s="7"/>
      <c r="B74" s="10" t="s">
        <v>161</v>
      </c>
      <c r="C74" s="10"/>
      <c r="D74" s="7"/>
      <c r="E74" s="7"/>
      <c r="F74" s="9">
        <v>1.74</v>
      </c>
    </row>
    <row r="75" spans="1:6" ht="15.75" thickBot="1">
      <c r="A75" s="7"/>
      <c r="B75" s="7" t="s">
        <v>160</v>
      </c>
      <c r="C75" s="7"/>
      <c r="D75" s="7"/>
      <c r="E75" s="7"/>
      <c r="F75" s="9">
        <v>2</v>
      </c>
    </row>
    <row r="76" spans="1:6" ht="15.75" thickBot="1">
      <c r="A76" s="7"/>
      <c r="B76" s="10" t="s">
        <v>161</v>
      </c>
      <c r="C76" s="10"/>
      <c r="D76" s="7"/>
      <c r="E76" s="7"/>
      <c r="F76" s="9">
        <v>1.74</v>
      </c>
    </row>
    <row r="77" spans="1:6" ht="15.75" thickBot="1">
      <c r="A77" s="7"/>
      <c r="B77" s="10" t="s">
        <v>162</v>
      </c>
      <c r="C77" s="10"/>
      <c r="D77" s="7"/>
      <c r="E77" s="7"/>
      <c r="F77" s="9">
        <v>1.8</v>
      </c>
    </row>
    <row r="78" spans="1:6" ht="15.75" thickBot="1">
      <c r="A78" s="7"/>
      <c r="B78" s="7" t="s">
        <v>160</v>
      </c>
      <c r="C78" s="7"/>
      <c r="D78" s="7"/>
      <c r="E78" s="7"/>
      <c r="F78" s="9">
        <v>2</v>
      </c>
    </row>
    <row r="79" spans="1:6" ht="15.75" thickBot="1">
      <c r="A79" s="7"/>
      <c r="B79" s="7" t="s">
        <v>163</v>
      </c>
      <c r="C79" s="7"/>
      <c r="D79" s="7"/>
      <c r="E79" s="7"/>
      <c r="F79" s="9">
        <v>1.8</v>
      </c>
    </row>
    <row r="80" spans="1:6" ht="15.75" thickBot="1">
      <c r="A80" s="7"/>
      <c r="B80" s="7" t="s">
        <v>164</v>
      </c>
      <c r="C80" s="7"/>
      <c r="D80" s="7"/>
      <c r="E80" s="7"/>
      <c r="F80" s="9">
        <v>1.26</v>
      </c>
    </row>
    <row r="81" spans="1:6" ht="15.75" thickBot="1">
      <c r="A81" s="7"/>
      <c r="B81" s="7" t="s">
        <v>165</v>
      </c>
      <c r="C81" s="7"/>
      <c r="D81" s="7"/>
      <c r="E81" s="7"/>
      <c r="F81" s="9">
        <v>1.26</v>
      </c>
    </row>
    <row r="82" spans="1:6" ht="15.75" thickBot="1">
      <c r="A82" s="7"/>
      <c r="B82" s="7" t="s">
        <v>166</v>
      </c>
      <c r="C82" s="7"/>
      <c r="D82" s="7"/>
      <c r="E82" s="7"/>
      <c r="F82" s="9">
        <v>1.26</v>
      </c>
    </row>
    <row r="83" spans="1:6" ht="15.75" thickBot="1">
      <c r="A83" s="7"/>
      <c r="B83" s="10" t="s">
        <v>167</v>
      </c>
      <c r="C83" s="10"/>
      <c r="D83" s="7"/>
      <c r="E83" s="7"/>
      <c r="F83" s="9">
        <v>1.26</v>
      </c>
    </row>
    <row r="84" spans="1:6" ht="15.75" thickBot="1">
      <c r="A84" s="7"/>
      <c r="B84" s="7" t="s">
        <v>168</v>
      </c>
      <c r="C84" s="7"/>
      <c r="D84" s="7"/>
      <c r="E84" s="7"/>
      <c r="F84" s="9">
        <v>1.17</v>
      </c>
    </row>
    <row r="85" spans="1:6" ht="15.75" thickBot="1">
      <c r="A85" s="7"/>
      <c r="B85" s="7" t="s">
        <v>169</v>
      </c>
      <c r="C85" s="7"/>
      <c r="D85" s="7"/>
      <c r="E85" s="7"/>
      <c r="F85" s="9">
        <v>1.8</v>
      </c>
    </row>
    <row r="86" spans="1:6" ht="15.75" thickBot="1">
      <c r="A86" s="7"/>
      <c r="B86" s="7" t="s">
        <v>170</v>
      </c>
      <c r="C86" s="7"/>
      <c r="D86" s="7"/>
      <c r="E86" s="7"/>
      <c r="F86" s="9">
        <v>1.35</v>
      </c>
    </row>
    <row r="87" spans="1:6" ht="15.75" thickBot="1">
      <c r="A87" s="7"/>
      <c r="B87" s="6" t="s">
        <v>171</v>
      </c>
      <c r="C87" s="6"/>
      <c r="D87" s="7"/>
      <c r="E87" s="7"/>
      <c r="F87" s="9">
        <v>1.1000000000000001</v>
      </c>
    </row>
    <row r="88" spans="1:6" ht="15.75" thickBot="1">
      <c r="A88" s="7"/>
      <c r="B88" s="6" t="s">
        <v>172</v>
      </c>
      <c r="C88" s="6"/>
      <c r="D88" s="7"/>
      <c r="E88" s="7"/>
      <c r="F88" s="9">
        <v>1.2</v>
      </c>
    </row>
    <row r="89" spans="1:6" ht="15.75" thickBot="1">
      <c r="A89" s="7"/>
      <c r="B89" s="6" t="s">
        <v>173</v>
      </c>
      <c r="C89" s="6"/>
      <c r="D89" s="7"/>
      <c r="E89" s="7"/>
      <c r="F89" s="9">
        <v>1.26</v>
      </c>
    </row>
    <row r="90" spans="1:6" ht="15.75" thickBot="1">
      <c r="A90" s="7"/>
      <c r="B90" s="7" t="s">
        <v>174</v>
      </c>
      <c r="C90" s="7"/>
      <c r="D90" s="7"/>
      <c r="E90" s="7"/>
      <c r="F90" s="9">
        <v>1.27</v>
      </c>
    </row>
    <row r="91" spans="1:6" ht="15.75" thickBot="1">
      <c r="A91" s="7"/>
      <c r="B91" s="7" t="s">
        <v>174</v>
      </c>
      <c r="C91" s="7"/>
      <c r="D91" s="7"/>
      <c r="E91" s="7"/>
      <c r="F91" s="9">
        <v>1.27</v>
      </c>
    </row>
    <row r="92" spans="1:6" ht="15.75" thickBot="1">
      <c r="A92" s="7"/>
      <c r="B92" s="7" t="s">
        <v>175</v>
      </c>
      <c r="C92" s="7"/>
      <c r="D92" s="7"/>
      <c r="E92" s="7"/>
      <c r="F92" s="9">
        <v>1.3</v>
      </c>
    </row>
    <row r="93" spans="1:6" ht="15.75" thickBot="1">
      <c r="A93" s="7"/>
      <c r="B93" s="7" t="s">
        <v>176</v>
      </c>
      <c r="C93" s="7"/>
      <c r="D93" s="7"/>
      <c r="E93" s="7"/>
      <c r="F93" s="9">
        <v>1.4</v>
      </c>
    </row>
    <row r="94" spans="1:6" ht="15.75" thickBot="1">
      <c r="A94" s="7"/>
      <c r="B94" s="7" t="s">
        <v>177</v>
      </c>
      <c r="C94" s="7"/>
      <c r="D94" s="7"/>
      <c r="E94" s="7"/>
      <c r="F94" s="9">
        <v>1.4</v>
      </c>
    </row>
    <row r="95" spans="1:6" ht="15.75" thickBot="1">
      <c r="A95" s="7"/>
      <c r="B95" s="7" t="s">
        <v>178</v>
      </c>
      <c r="C95" s="7"/>
      <c r="D95" s="7"/>
      <c r="E95" s="7"/>
      <c r="F95" s="9">
        <v>3.26</v>
      </c>
    </row>
    <row r="96" spans="1:6" ht="15.75" thickBot="1">
      <c r="A96" s="7"/>
      <c r="B96" s="7" t="s">
        <v>179</v>
      </c>
      <c r="C96" s="7"/>
      <c r="D96" s="7"/>
      <c r="E96" s="7"/>
      <c r="F96" s="9">
        <v>5.23</v>
      </c>
    </row>
    <row r="97" spans="1:6" ht="15.75" thickBot="1">
      <c r="A97" s="7"/>
      <c r="B97" s="7" t="s">
        <v>180</v>
      </c>
      <c r="C97" s="7"/>
      <c r="D97" s="7"/>
      <c r="E97" s="7"/>
      <c r="F97" s="9">
        <v>7.5</v>
      </c>
    </row>
    <row r="98" spans="1:6" ht="15.75" thickBot="1">
      <c r="A98" s="7"/>
      <c r="B98" s="7" t="s">
        <v>181</v>
      </c>
      <c r="C98" s="7"/>
      <c r="D98" s="7"/>
      <c r="E98" s="7"/>
      <c r="F98" s="9">
        <v>6.6</v>
      </c>
    </row>
    <row r="99" spans="1:6" ht="15.75" thickBot="1">
      <c r="A99" s="7"/>
      <c r="B99" s="7" t="s">
        <v>182</v>
      </c>
      <c r="C99" s="7"/>
      <c r="D99" s="7"/>
      <c r="E99" s="7"/>
      <c r="F99" s="9">
        <v>5.6</v>
      </c>
    </row>
    <row r="100" spans="1:6" ht="15.75" thickBot="1">
      <c r="A100" s="7"/>
      <c r="B100" s="7" t="s">
        <v>183</v>
      </c>
      <c r="C100" s="7"/>
      <c r="D100" s="7"/>
      <c r="E100" s="7"/>
      <c r="F100" s="9">
        <v>7.65</v>
      </c>
    </row>
    <row r="101" spans="1:6" ht="15.75" thickBot="1">
      <c r="A101" s="7"/>
      <c r="B101" s="7" t="s">
        <v>184</v>
      </c>
      <c r="C101" s="7"/>
      <c r="D101" s="7"/>
      <c r="E101" s="7"/>
      <c r="F101" s="9">
        <v>5.26</v>
      </c>
    </row>
    <row r="102" spans="1:6" ht="15.75" thickBot="1">
      <c r="A102" s="7"/>
      <c r="B102" s="7" t="s">
        <v>185</v>
      </c>
      <c r="C102" s="7"/>
      <c r="D102" s="7"/>
      <c r="E102" s="7"/>
      <c r="F102" s="9">
        <v>9</v>
      </c>
    </row>
    <row r="103" spans="1:6" ht="15.75" thickBot="1">
      <c r="A103" s="7"/>
      <c r="B103" s="7" t="s">
        <v>186</v>
      </c>
      <c r="C103" s="7"/>
      <c r="D103" s="7"/>
      <c r="E103" s="7"/>
      <c r="F103" s="9">
        <v>2.2999999999999998</v>
      </c>
    </row>
    <row r="104" spans="1:6" ht="15.75" thickBot="1">
      <c r="A104" s="7"/>
      <c r="B104" s="7" t="s">
        <v>187</v>
      </c>
      <c r="C104" s="7"/>
      <c r="D104" s="7"/>
      <c r="E104" s="7"/>
      <c r="F104" s="9">
        <v>2.2999999999999998</v>
      </c>
    </row>
    <row r="105" spans="1:6" ht="15.75" thickBot="1">
      <c r="A105" s="7"/>
      <c r="B105" s="7" t="s">
        <v>188</v>
      </c>
      <c r="C105" s="7"/>
      <c r="D105" s="7"/>
      <c r="E105" s="7"/>
      <c r="F105" s="9">
        <v>5.26</v>
      </c>
    </row>
    <row r="106" spans="1:6" ht="15.75" thickBot="1">
      <c r="A106" s="7"/>
      <c r="B106" s="7" t="s">
        <v>189</v>
      </c>
      <c r="C106" s="7"/>
      <c r="D106" s="7"/>
      <c r="E106" s="7"/>
      <c r="F106" s="9">
        <v>9.4</v>
      </c>
    </row>
    <row r="107" spans="1:6" ht="15.75" thickBot="1">
      <c r="A107" s="7"/>
      <c r="B107" s="7" t="s">
        <v>190</v>
      </c>
      <c r="C107" s="7"/>
      <c r="D107" s="7"/>
      <c r="E107" s="7"/>
      <c r="F107" s="9">
        <v>5.9</v>
      </c>
    </row>
    <row r="108" spans="1:6" ht="15.75" thickBot="1">
      <c r="A108" s="7"/>
      <c r="B108" s="7" t="s">
        <v>191</v>
      </c>
      <c r="C108" s="7"/>
      <c r="D108" s="7"/>
      <c r="E108" s="7"/>
      <c r="F108" s="9">
        <v>5.26</v>
      </c>
    </row>
    <row r="109" spans="1:6" ht="15.75" thickBot="1">
      <c r="A109" s="7"/>
      <c r="B109" s="7" t="s">
        <v>192</v>
      </c>
      <c r="C109" s="7"/>
      <c r="D109" s="7"/>
      <c r="E109" s="7"/>
      <c r="F109" s="9">
        <v>1.3</v>
      </c>
    </row>
    <row r="110" spans="1:6" ht="15.75" thickBot="1">
      <c r="A110" s="7"/>
      <c r="B110" s="7" t="s">
        <v>193</v>
      </c>
      <c r="C110" s="7"/>
      <c r="D110" s="7"/>
      <c r="E110" s="7"/>
      <c r="F110" s="9">
        <v>3</v>
      </c>
    </row>
    <row r="111" spans="1:6" ht="15.75" thickBot="1">
      <c r="A111" s="7"/>
      <c r="B111" s="7" t="s">
        <v>194</v>
      </c>
      <c r="C111" s="7"/>
      <c r="D111" s="7"/>
      <c r="E111" s="7"/>
      <c r="F111" s="9">
        <v>3</v>
      </c>
    </row>
    <row r="112" spans="1:6" ht="15.75" thickBot="1">
      <c r="A112" s="7"/>
      <c r="B112" s="7" t="s">
        <v>195</v>
      </c>
      <c r="C112" s="7"/>
      <c r="D112" s="7"/>
      <c r="E112" s="7"/>
      <c r="F112" s="9">
        <v>5.2</v>
      </c>
    </row>
    <row r="113" spans="1:6" ht="15.75" thickBot="1">
      <c r="A113" s="7"/>
      <c r="B113" s="7" t="s">
        <v>196</v>
      </c>
      <c r="C113" s="7"/>
      <c r="D113" s="7"/>
      <c r="E113" s="7"/>
      <c r="F113" s="9">
        <v>4.25</v>
      </c>
    </row>
    <row r="114" spans="1:6" ht="15.75" thickBot="1">
      <c r="A114" s="7"/>
      <c r="B114" s="7" t="s">
        <v>197</v>
      </c>
      <c r="C114" s="7"/>
      <c r="D114" s="7"/>
      <c r="E114" s="7"/>
      <c r="F114" s="9">
        <v>3.33</v>
      </c>
    </row>
    <row r="115" spans="1:6" ht="15.75" thickBot="1">
      <c r="A115" s="7"/>
      <c r="B115" s="7" t="s">
        <v>198</v>
      </c>
      <c r="C115" s="7"/>
      <c r="D115" s="7"/>
      <c r="E115" s="7"/>
      <c r="F115" s="9">
        <v>2.8</v>
      </c>
    </row>
    <row r="116" spans="1:6" ht="15.75" thickBot="1">
      <c r="A116" s="7"/>
      <c r="B116" s="7" t="s">
        <v>199</v>
      </c>
      <c r="C116" s="7"/>
      <c r="D116" s="7"/>
      <c r="E116" s="7"/>
      <c r="F116" s="9">
        <v>1.7</v>
      </c>
    </row>
    <row r="117" spans="1:6" ht="15.75" thickBot="1">
      <c r="A117" s="7"/>
      <c r="B117" s="7" t="s">
        <v>200</v>
      </c>
      <c r="C117" s="7"/>
      <c r="D117" s="7"/>
      <c r="E117" s="7"/>
      <c r="F117" s="9">
        <v>1.48</v>
      </c>
    </row>
    <row r="118" spans="1:6" ht="15.75" thickBot="1">
      <c r="A118" s="7"/>
      <c r="B118" s="7" t="s">
        <v>201</v>
      </c>
      <c r="C118" s="7"/>
      <c r="D118" s="7"/>
      <c r="E118" s="7"/>
      <c r="F118" s="9">
        <v>3.33</v>
      </c>
    </row>
    <row r="119" spans="1:6" ht="15.75" thickBot="1">
      <c r="A119" s="7"/>
      <c r="B119" s="7" t="s">
        <v>202</v>
      </c>
      <c r="C119" s="7"/>
      <c r="D119" s="7"/>
      <c r="E119" s="7"/>
      <c r="F119" s="9">
        <v>0.75</v>
      </c>
    </row>
    <row r="120" spans="1:6" ht="15.75" thickBot="1">
      <c r="A120" s="7"/>
      <c r="B120" s="7" t="s">
        <v>203</v>
      </c>
      <c r="C120" s="7"/>
      <c r="D120" s="7"/>
      <c r="E120" s="7"/>
      <c r="F120" s="9">
        <v>4.25</v>
      </c>
    </row>
    <row r="121" spans="1:6" ht="15.75" thickBot="1">
      <c r="A121" s="7"/>
      <c r="B121" s="7" t="s">
        <v>204</v>
      </c>
      <c r="C121" s="7"/>
      <c r="D121" s="7"/>
      <c r="E121" s="7"/>
      <c r="F121" s="9">
        <v>1.44</v>
      </c>
    </row>
    <row r="122" spans="1:6" ht="15.75" thickBot="1">
      <c r="A122" s="7"/>
      <c r="B122" s="7" t="s">
        <v>205</v>
      </c>
      <c r="C122" s="7"/>
      <c r="D122" s="7"/>
      <c r="E122" s="7"/>
      <c r="F122" s="9">
        <v>1.1299999999999999</v>
      </c>
    </row>
    <row r="123" spans="1:6" ht="15.75" thickBot="1">
      <c r="A123" s="7"/>
      <c r="B123" s="7" t="s">
        <v>206</v>
      </c>
      <c r="C123" s="7"/>
      <c r="D123" s="7"/>
      <c r="E123" s="7"/>
      <c r="F123" s="9">
        <v>1.1299999999999999</v>
      </c>
    </row>
    <row r="124" spans="1:6" ht="15.75" thickBot="1">
      <c r="A124" s="7"/>
      <c r="B124" s="7" t="s">
        <v>207</v>
      </c>
      <c r="C124" s="7"/>
      <c r="D124" s="7"/>
      <c r="E124" s="7"/>
      <c r="F124" s="9">
        <v>1.5</v>
      </c>
    </row>
    <row r="125" spans="1:6" ht="15.75" thickBot="1">
      <c r="A125" s="7"/>
      <c r="B125" s="7" t="s">
        <v>208</v>
      </c>
      <c r="C125" s="7"/>
      <c r="D125" s="7"/>
      <c r="E125" s="7"/>
      <c r="F125" s="9">
        <v>1.46</v>
      </c>
    </row>
    <row r="126" spans="1:6" ht="15.75" thickBot="1">
      <c r="A126" s="7"/>
      <c r="B126" s="7" t="s">
        <v>209</v>
      </c>
      <c r="C126" s="7"/>
      <c r="D126" s="7"/>
      <c r="E126" s="7"/>
      <c r="F126" s="9">
        <v>1.18</v>
      </c>
    </row>
    <row r="127" spans="1:6" ht="15.75" thickBot="1">
      <c r="A127" s="7"/>
      <c r="B127" s="7" t="s">
        <v>210</v>
      </c>
      <c r="C127" s="7"/>
      <c r="D127" s="7"/>
      <c r="E127" s="7"/>
      <c r="F127" s="9">
        <v>1.73</v>
      </c>
    </row>
    <row r="128" spans="1:6" ht="15.75" thickBot="1">
      <c r="A128" s="7"/>
      <c r="B128" s="7" t="s">
        <v>211</v>
      </c>
      <c r="C128" s="7"/>
      <c r="D128" s="7"/>
      <c r="E128" s="7"/>
      <c r="F128" s="9">
        <v>1.73</v>
      </c>
    </row>
    <row r="129" spans="1:6" ht="15.75" thickBot="1">
      <c r="A129" s="7"/>
      <c r="B129" s="7" t="s">
        <v>212</v>
      </c>
      <c r="C129" s="7"/>
      <c r="D129" s="7"/>
      <c r="E129" s="7"/>
      <c r="F129" s="9">
        <v>1.68</v>
      </c>
    </row>
    <row r="130" spans="1:6" ht="15.75" thickBot="1">
      <c r="A130" s="7"/>
      <c r="B130" s="7" t="s">
        <v>213</v>
      </c>
      <c r="C130" s="7"/>
      <c r="D130" s="7"/>
      <c r="E130" s="7"/>
      <c r="F130" s="9">
        <v>1.64</v>
      </c>
    </row>
    <row r="131" spans="1:6" ht="15.75" thickBot="1">
      <c r="A131" s="7"/>
      <c r="B131" s="7" t="s">
        <v>214</v>
      </c>
      <c r="C131" s="7"/>
      <c r="D131" s="7"/>
      <c r="E131" s="7"/>
      <c r="F131" s="9">
        <v>2.2999999999999998</v>
      </c>
    </row>
    <row r="132" spans="1:6" ht="15.75" thickBot="1">
      <c r="A132" s="7"/>
      <c r="B132" s="7" t="s">
        <v>215</v>
      </c>
      <c r="C132" s="7"/>
      <c r="D132" s="7"/>
      <c r="E132" s="7"/>
      <c r="F132" s="9">
        <v>1.96</v>
      </c>
    </row>
    <row r="133" spans="1:6" ht="15.75" thickBot="1">
      <c r="A133" s="7"/>
      <c r="B133" s="7" t="s">
        <v>216</v>
      </c>
      <c r="C133" s="7"/>
      <c r="D133" s="7"/>
      <c r="E133" s="7"/>
      <c r="F133" s="9">
        <v>1.7</v>
      </c>
    </row>
    <row r="134" spans="1:6" ht="15.75" thickBot="1">
      <c r="A134" s="7"/>
      <c r="B134" s="7" t="s">
        <v>217</v>
      </c>
      <c r="C134" s="7"/>
      <c r="D134" s="7"/>
      <c r="E134" s="7"/>
      <c r="F134" s="9">
        <v>2.7</v>
      </c>
    </row>
    <row r="135" spans="1:6" ht="15.75" thickBot="1">
      <c r="A135" s="7"/>
      <c r="B135" s="7" t="s">
        <v>218</v>
      </c>
      <c r="C135" s="7"/>
      <c r="D135" s="7"/>
      <c r="E135" s="7"/>
      <c r="F135" s="9">
        <v>2.74</v>
      </c>
    </row>
    <row r="136" spans="1:6" ht="15.75" thickBot="1">
      <c r="A136" s="7"/>
      <c r="B136" s="7" t="s">
        <v>219</v>
      </c>
      <c r="C136" s="7"/>
      <c r="D136" s="7"/>
      <c r="E136" s="7"/>
      <c r="F136" s="9">
        <v>2</v>
      </c>
    </row>
    <row r="137" spans="1:6" ht="15.75" thickBot="1">
      <c r="A137" s="7"/>
      <c r="B137" s="7" t="s">
        <v>210</v>
      </c>
      <c r="C137" s="7"/>
      <c r="D137" s="7"/>
      <c r="E137" s="7"/>
      <c r="F137" s="9">
        <v>1.73</v>
      </c>
    </row>
    <row r="138" spans="1:6" ht="15.75" thickBot="1">
      <c r="A138" s="7"/>
      <c r="B138" s="7" t="s">
        <v>220</v>
      </c>
      <c r="C138" s="7"/>
      <c r="D138" s="7"/>
      <c r="E138" s="7"/>
      <c r="F138" s="9">
        <v>1.68</v>
      </c>
    </row>
    <row r="139" spans="1:6" ht="15.75" thickBot="1">
      <c r="A139" s="7"/>
      <c r="B139" s="7" t="s">
        <v>221</v>
      </c>
      <c r="C139" s="7"/>
      <c r="D139" s="7"/>
      <c r="E139" s="7"/>
      <c r="F139" s="9">
        <v>1.64</v>
      </c>
    </row>
    <row r="140" spans="1:6" ht="15.75" thickBot="1">
      <c r="A140" s="7"/>
      <c r="B140" s="7" t="s">
        <v>222</v>
      </c>
      <c r="C140" s="7"/>
      <c r="D140" s="7"/>
      <c r="E140" s="7"/>
      <c r="F140" s="9">
        <v>2.2999999999999998</v>
      </c>
    </row>
    <row r="141" spans="1:6" ht="15.75" thickBot="1">
      <c r="A141" s="7"/>
      <c r="B141" s="7" t="s">
        <v>223</v>
      </c>
      <c r="C141" s="7"/>
      <c r="D141" s="7"/>
      <c r="E141" s="7"/>
      <c r="F141" s="9">
        <v>1.96</v>
      </c>
    </row>
    <row r="142" spans="1:6" ht="15.75" thickBot="1">
      <c r="A142" s="7"/>
      <c r="B142" s="7" t="s">
        <v>224</v>
      </c>
      <c r="C142" s="7"/>
      <c r="D142" s="7"/>
      <c r="E142" s="7"/>
      <c r="F142" s="9">
        <v>1.7</v>
      </c>
    </row>
    <row r="143" spans="1:6" ht="15.75" thickBot="1">
      <c r="A143" s="7"/>
      <c r="B143" s="7" t="s">
        <v>225</v>
      </c>
      <c r="C143" s="7"/>
      <c r="D143" s="7"/>
      <c r="E143" s="7"/>
      <c r="F143" s="9">
        <v>2.7</v>
      </c>
    </row>
    <row r="144" spans="1:6" ht="15.75" thickBot="1">
      <c r="A144" s="7"/>
      <c r="B144" s="7" t="s">
        <v>226</v>
      </c>
      <c r="C144" s="7"/>
      <c r="D144" s="7"/>
      <c r="E144" s="7"/>
      <c r="F144" s="9">
        <v>2.74</v>
      </c>
    </row>
    <row r="145" spans="1:6" ht="15.75" thickBot="1">
      <c r="A145" s="7"/>
      <c r="B145" s="7" t="s">
        <v>227</v>
      </c>
      <c r="C145" s="7"/>
      <c r="D145" s="7"/>
      <c r="E145" s="7"/>
      <c r="F145" s="9">
        <v>1.36</v>
      </c>
    </row>
    <row r="146" spans="1:6" ht="15.75" thickBot="1">
      <c r="A146" s="7"/>
      <c r="B146" s="7" t="s">
        <v>228</v>
      </c>
      <c r="C146" s="7"/>
      <c r="D146" s="7"/>
      <c r="E146" s="7"/>
      <c r="F146" s="9">
        <v>1.4</v>
      </c>
    </row>
    <row r="147" spans="1:6" ht="15.75" thickBot="1">
      <c r="A147" s="7"/>
      <c r="B147" s="7" t="s">
        <v>229</v>
      </c>
      <c r="C147" s="7"/>
      <c r="D147" s="7"/>
      <c r="E147" s="7"/>
      <c r="F147" s="9">
        <v>2.5</v>
      </c>
    </row>
    <row r="148" spans="1:6" ht="15.75" thickBot="1">
      <c r="A148" s="7"/>
      <c r="B148" s="7" t="s">
        <v>230</v>
      </c>
      <c r="C148" s="7"/>
      <c r="D148" s="7"/>
      <c r="E148" s="7"/>
      <c r="F148" s="9">
        <v>1.7</v>
      </c>
    </row>
    <row r="149" spans="1:6" ht="15.75" thickBot="1">
      <c r="A149" s="7"/>
      <c r="B149" s="7" t="s">
        <v>231</v>
      </c>
      <c r="C149" s="7"/>
      <c r="D149" s="7"/>
      <c r="E149" s="7"/>
      <c r="F149" s="9">
        <v>1.32</v>
      </c>
    </row>
    <row r="150" spans="1:6" ht="15.75" thickBot="1">
      <c r="A150" s="7"/>
      <c r="B150" s="7" t="s">
        <v>232</v>
      </c>
      <c r="C150" s="7"/>
      <c r="D150" s="7"/>
      <c r="E150" s="7"/>
      <c r="F150" s="9">
        <v>1.36</v>
      </c>
    </row>
    <row r="151" spans="1:6" ht="15.75" thickBot="1">
      <c r="A151" s="7"/>
      <c r="B151" s="7" t="s">
        <v>233</v>
      </c>
      <c r="C151" s="7"/>
      <c r="D151" s="7"/>
      <c r="E151" s="7"/>
      <c r="F151" s="9">
        <v>1.7</v>
      </c>
    </row>
    <row r="152" spans="1:6" ht="15.75" thickBot="1">
      <c r="A152" s="7"/>
      <c r="B152" s="7" t="s">
        <v>234</v>
      </c>
      <c r="C152" s="7"/>
      <c r="D152" s="7"/>
      <c r="E152" s="7"/>
      <c r="F152" s="9">
        <v>1.3</v>
      </c>
    </row>
    <row r="153" spans="1:6" ht="15.75" thickBot="1">
      <c r="A153" s="7"/>
      <c r="B153" s="7" t="s">
        <v>235</v>
      </c>
      <c r="C153" s="7"/>
      <c r="D153" s="7"/>
      <c r="E153" s="7"/>
      <c r="F153" s="9">
        <v>1.8</v>
      </c>
    </row>
    <row r="154" spans="1:6" ht="15.75" thickBot="1">
      <c r="A154" s="7"/>
      <c r="B154" s="7" t="s">
        <v>236</v>
      </c>
      <c r="C154" s="7"/>
      <c r="D154" s="7"/>
      <c r="E154" s="7"/>
      <c r="F154" s="9">
        <v>1.32</v>
      </c>
    </row>
    <row r="155" spans="1:6" ht="15.75" thickBot="1">
      <c r="A155" s="7"/>
      <c r="B155" s="7" t="s">
        <v>237</v>
      </c>
      <c r="C155" s="7"/>
      <c r="D155" s="7"/>
      <c r="E155" s="7"/>
      <c r="F155" s="9">
        <v>1.27</v>
      </c>
    </row>
    <row r="156" spans="1:6" ht="15.75" thickBot="1">
      <c r="A156" s="7"/>
      <c r="B156" s="7" t="s">
        <v>238</v>
      </c>
      <c r="C156" s="7"/>
      <c r="D156" s="7"/>
      <c r="E156" s="7"/>
      <c r="F156" s="9">
        <v>1.4</v>
      </c>
    </row>
    <row r="157" spans="1:6" ht="15.75" thickBot="1">
      <c r="A157" s="7"/>
      <c r="B157" s="7" t="s">
        <v>235</v>
      </c>
      <c r="C157" s="7"/>
      <c r="D157" s="7"/>
      <c r="E157" s="7"/>
      <c r="F157" s="9">
        <v>1.8</v>
      </c>
    </row>
    <row r="158" spans="1:6" ht="15.75" thickBot="1">
      <c r="A158" s="7"/>
      <c r="B158" s="7" t="s">
        <v>239</v>
      </c>
      <c r="C158" s="7"/>
      <c r="D158" s="7"/>
      <c r="E158" s="7"/>
      <c r="F158" s="9">
        <v>1.4</v>
      </c>
    </row>
    <row r="159" spans="1:6" ht="15.75" thickBot="1">
      <c r="A159" s="7"/>
      <c r="B159" s="7" t="s">
        <v>240</v>
      </c>
      <c r="C159" s="7"/>
      <c r="D159" s="7"/>
      <c r="E159" s="7"/>
      <c r="F159" s="9">
        <v>2.63</v>
      </c>
    </row>
    <row r="160" spans="1:6" ht="15.75" thickBot="1">
      <c r="A160" s="7"/>
      <c r="B160" s="7" t="s">
        <v>241</v>
      </c>
      <c r="C160" s="7"/>
      <c r="D160" s="7"/>
      <c r="E160" s="7"/>
      <c r="F160" s="9">
        <v>2.63</v>
      </c>
    </row>
    <row r="161" spans="1:6" ht="15.75" thickBot="1">
      <c r="A161" s="7"/>
      <c r="B161" s="7" t="s">
        <v>242</v>
      </c>
      <c r="C161" s="7"/>
      <c r="D161" s="7"/>
      <c r="E161" s="7"/>
      <c r="F161" s="9">
        <v>2</v>
      </c>
    </row>
    <row r="162" spans="1:6" ht="15.75" thickBot="1">
      <c r="A162" s="7"/>
      <c r="B162" s="7" t="s">
        <v>243</v>
      </c>
      <c r="C162" s="7"/>
      <c r="D162" s="7"/>
      <c r="E162" s="7"/>
      <c r="F162" s="9">
        <v>1.8</v>
      </c>
    </row>
    <row r="163" spans="1:6" ht="15.75" thickBot="1">
      <c r="A163" s="7"/>
      <c r="B163" s="7" t="s">
        <v>244</v>
      </c>
      <c r="C163" s="7"/>
      <c r="D163" s="7"/>
      <c r="E163" s="7"/>
      <c r="F163" s="9">
        <v>2.2000000000000002</v>
      </c>
    </row>
    <row r="164" spans="1:6" ht="15.75" thickBot="1">
      <c r="A164" s="7"/>
      <c r="B164" s="7" t="s">
        <v>245</v>
      </c>
      <c r="C164" s="7"/>
      <c r="D164" s="7"/>
      <c r="E164" s="7"/>
      <c r="F164" s="9">
        <v>2.63</v>
      </c>
    </row>
    <row r="165" spans="1:6" ht="15.75" thickBot="1">
      <c r="A165" s="7"/>
      <c r="B165" s="10" t="s">
        <v>246</v>
      </c>
      <c r="C165" s="10"/>
      <c r="D165" s="7"/>
      <c r="E165" s="7"/>
      <c r="F165" s="9">
        <v>2</v>
      </c>
    </row>
    <row r="166" spans="1:6" ht="15.75" thickBot="1">
      <c r="A166" s="7"/>
      <c r="B166" s="7" t="s">
        <v>247</v>
      </c>
      <c r="C166" s="7"/>
      <c r="D166" s="7"/>
      <c r="E166" s="7"/>
      <c r="F166" s="9">
        <v>1.47</v>
      </c>
    </row>
    <row r="167" spans="1:6" ht="15.75" thickBot="1">
      <c r="A167" s="7"/>
      <c r="B167" s="7" t="s">
        <v>248</v>
      </c>
      <c r="C167" s="7"/>
      <c r="D167" s="7"/>
      <c r="E167" s="7"/>
      <c r="F167" s="9">
        <v>1.36</v>
      </c>
    </row>
    <row r="168" spans="1:6" ht="15.75" thickBot="1">
      <c r="A168" s="7"/>
      <c r="B168" s="7" t="s">
        <v>249</v>
      </c>
      <c r="C168" s="7"/>
      <c r="D168" s="7"/>
      <c r="E168" s="7"/>
      <c r="F168" s="9">
        <v>1.47</v>
      </c>
    </row>
    <row r="169" spans="1:6" ht="15.75" thickBot="1">
      <c r="A169" s="7"/>
      <c r="B169" s="7" t="s">
        <v>250</v>
      </c>
      <c r="C169" s="7"/>
      <c r="D169" s="7"/>
      <c r="E169" s="7"/>
      <c r="F169" s="9">
        <v>1.53</v>
      </c>
    </row>
    <row r="170" spans="1:6" ht="15.75" thickBot="1">
      <c r="A170" s="7"/>
      <c r="B170" s="7" t="s">
        <v>251</v>
      </c>
      <c r="C170" s="7"/>
      <c r="D170" s="7"/>
      <c r="E170" s="7"/>
      <c r="F170" s="9">
        <v>1.24</v>
      </c>
    </row>
    <row r="171" spans="1:6" ht="15.75" thickBot="1">
      <c r="A171" s="7"/>
      <c r="B171" s="7" t="s">
        <v>252</v>
      </c>
      <c r="C171" s="7"/>
      <c r="D171" s="7"/>
      <c r="E171" s="7"/>
      <c r="F171" s="9">
        <v>1.47</v>
      </c>
    </row>
    <row r="172" spans="1:6" ht="15.75" thickBot="1">
      <c r="A172" s="7"/>
      <c r="B172" s="7" t="s">
        <v>253</v>
      </c>
      <c r="C172" s="7"/>
      <c r="D172" s="7"/>
      <c r="E172" s="7"/>
      <c r="F172" s="9">
        <v>1.55</v>
      </c>
    </row>
    <row r="173" spans="1:6" ht="15.75" thickBot="1">
      <c r="A173" s="7"/>
      <c r="B173" s="7" t="s">
        <v>254</v>
      </c>
      <c r="C173" s="7"/>
      <c r="D173" s="7"/>
      <c r="E173" s="7"/>
      <c r="F173" s="9">
        <v>1.75</v>
      </c>
    </row>
    <row r="174" spans="1:6" ht="15.75" thickBot="1">
      <c r="A174" s="7"/>
      <c r="B174" s="7" t="s">
        <v>255</v>
      </c>
      <c r="C174" s="7"/>
      <c r="D174" s="7"/>
      <c r="E174" s="7"/>
      <c r="F174" s="9">
        <v>1.7</v>
      </c>
    </row>
    <row r="175" spans="1:6" ht="15.75" thickBot="1">
      <c r="A175" s="7"/>
      <c r="B175" s="7" t="s">
        <v>256</v>
      </c>
      <c r="C175" s="7"/>
      <c r="D175" s="7"/>
      <c r="E175" s="7"/>
      <c r="F175" s="9">
        <v>1.3</v>
      </c>
    </row>
    <row r="176" spans="1:6" ht="15.75" thickBot="1">
      <c r="A176" s="7"/>
      <c r="B176" s="7" t="s">
        <v>257</v>
      </c>
      <c r="C176" s="7"/>
      <c r="D176" s="7"/>
      <c r="E176" s="7"/>
      <c r="F176" s="9">
        <v>1.53</v>
      </c>
    </row>
    <row r="177" spans="1:6" ht="15.75" thickBot="1">
      <c r="A177" s="7"/>
      <c r="B177" s="7" t="s">
        <v>258</v>
      </c>
      <c r="C177" s="7"/>
      <c r="D177" s="7"/>
      <c r="E177" s="7"/>
      <c r="F177" s="9">
        <v>1.27</v>
      </c>
    </row>
    <row r="178" spans="1:6" ht="15.75" thickBot="1">
      <c r="A178" s="7"/>
      <c r="B178" s="7" t="s">
        <v>259</v>
      </c>
      <c r="C178" s="7"/>
      <c r="D178" s="7"/>
      <c r="E178" s="7"/>
      <c r="F178" s="9">
        <v>1.3</v>
      </c>
    </row>
    <row r="179" spans="1:6" ht="15.75" thickBot="1">
      <c r="A179" s="7"/>
      <c r="B179" s="7" t="s">
        <v>260</v>
      </c>
      <c r="C179" s="7"/>
      <c r="D179" s="7"/>
      <c r="E179" s="7"/>
      <c r="F179" s="9">
        <v>1.4</v>
      </c>
    </row>
    <row r="180" spans="1:6" ht="15.75" thickBot="1">
      <c r="A180" s="7"/>
      <c r="B180" s="7" t="s">
        <v>261</v>
      </c>
      <c r="C180" s="7"/>
      <c r="D180" s="7"/>
      <c r="E180" s="7"/>
      <c r="F180" s="9">
        <v>1.4</v>
      </c>
    </row>
    <row r="181" spans="1:6" ht="15.75" thickBot="1">
      <c r="A181" s="7"/>
      <c r="B181" s="7" t="s">
        <v>262</v>
      </c>
      <c r="C181" s="7"/>
      <c r="D181" s="7"/>
      <c r="E181" s="7"/>
      <c r="F181" s="9">
        <v>1.44</v>
      </c>
    </row>
    <row r="182" spans="1:6" ht="15.75" thickBot="1">
      <c r="A182" s="7"/>
      <c r="B182" s="7" t="s">
        <v>263</v>
      </c>
      <c r="C182" s="7"/>
      <c r="D182" s="7"/>
      <c r="E182" s="7"/>
      <c r="F182" s="9">
        <v>1.1299999999999999</v>
      </c>
    </row>
    <row r="183" spans="1:6" ht="15.75" thickBot="1">
      <c r="A183" s="7"/>
      <c r="B183" s="7" t="s">
        <v>264</v>
      </c>
      <c r="C183" s="7"/>
      <c r="D183" s="7"/>
      <c r="E183" s="7"/>
      <c r="F183" s="9">
        <v>1.1299999999999999</v>
      </c>
    </row>
    <row r="184" spans="1:6" ht="15.75" thickBot="1">
      <c r="A184" s="7"/>
      <c r="B184" s="7" t="s">
        <v>265</v>
      </c>
      <c r="C184" s="7"/>
      <c r="D184" s="7"/>
      <c r="E184" s="7"/>
      <c r="F184" s="9">
        <v>1.5</v>
      </c>
    </row>
    <row r="185" spans="1:6" ht="15.75" thickBot="1">
      <c r="A185" s="7"/>
      <c r="B185" s="7" t="s">
        <v>210</v>
      </c>
      <c r="C185" s="7"/>
      <c r="D185" s="7"/>
      <c r="E185" s="7"/>
      <c r="F185" s="9">
        <v>1.73</v>
      </c>
    </row>
    <row r="186" spans="1:6" ht="15.75" thickBot="1">
      <c r="A186" s="7"/>
      <c r="B186" s="7" t="s">
        <v>220</v>
      </c>
      <c r="C186" s="7"/>
      <c r="D186" s="7"/>
      <c r="E186" s="7"/>
      <c r="F186" s="9">
        <v>1.68</v>
      </c>
    </row>
    <row r="187" spans="1:6" ht="15.75" thickBot="1">
      <c r="A187" s="7"/>
      <c r="B187" s="7" t="s">
        <v>221</v>
      </c>
      <c r="C187" s="7"/>
      <c r="D187" s="7"/>
      <c r="E187" s="7"/>
      <c r="F187" s="9">
        <v>1.64</v>
      </c>
    </row>
    <row r="188" spans="1:6" ht="15.75" thickBot="1">
      <c r="A188" s="7"/>
      <c r="B188" s="7" t="s">
        <v>222</v>
      </c>
      <c r="C188" s="7"/>
      <c r="D188" s="7"/>
      <c r="E188" s="7"/>
      <c r="F188" s="9">
        <v>2.2999999999999998</v>
      </c>
    </row>
    <row r="189" spans="1:6" ht="15.75" thickBot="1">
      <c r="A189" s="7"/>
      <c r="B189" s="7" t="s">
        <v>223</v>
      </c>
      <c r="C189" s="7"/>
      <c r="D189" s="7"/>
      <c r="E189" s="7"/>
      <c r="F189" s="9">
        <v>1.96</v>
      </c>
    </row>
    <row r="190" spans="1:6" ht="15.75" thickBot="1">
      <c r="A190" s="7"/>
      <c r="B190" s="7" t="s">
        <v>224</v>
      </c>
      <c r="C190" s="7"/>
      <c r="D190" s="7"/>
      <c r="E190" s="7"/>
      <c r="F190" s="9">
        <v>1.7</v>
      </c>
    </row>
    <row r="191" spans="1:6" ht="15.75" thickBot="1">
      <c r="A191" s="7"/>
      <c r="B191" s="7" t="s">
        <v>225</v>
      </c>
      <c r="C191" s="7"/>
      <c r="D191" s="7"/>
      <c r="E191" s="7"/>
      <c r="F191" s="9">
        <v>2.7</v>
      </c>
    </row>
    <row r="192" spans="1:6" ht="15.75" thickBot="1">
      <c r="A192" s="7"/>
      <c r="B192" s="7" t="s">
        <v>226</v>
      </c>
      <c r="C192" s="7"/>
      <c r="D192" s="7"/>
      <c r="E192" s="7"/>
      <c r="F192" s="9">
        <v>2.74</v>
      </c>
    </row>
    <row r="193" spans="1:6" ht="15.75" thickBot="1">
      <c r="A193" s="7"/>
      <c r="B193" s="7" t="s">
        <v>266</v>
      </c>
      <c r="C193" s="7"/>
      <c r="D193" s="7"/>
      <c r="E193" s="7"/>
      <c r="F193" s="9">
        <v>1.36</v>
      </c>
    </row>
    <row r="194" spans="1:6" ht="15.75" thickBot="1">
      <c r="A194" s="7"/>
      <c r="B194" s="7" t="s">
        <v>267</v>
      </c>
      <c r="C194" s="7"/>
      <c r="D194" s="7"/>
      <c r="E194" s="7"/>
      <c r="F194" s="9">
        <v>2.5</v>
      </c>
    </row>
    <row r="195" spans="1:6" ht="15.75" thickBot="1">
      <c r="A195" s="7"/>
      <c r="B195" s="7" t="s">
        <v>268</v>
      </c>
      <c r="C195" s="7"/>
      <c r="D195" s="7"/>
      <c r="E195" s="7"/>
      <c r="F195" s="9">
        <v>1.7</v>
      </c>
    </row>
    <row r="196" spans="1:6" ht="15.75" thickBot="1">
      <c r="A196" s="7"/>
      <c r="B196" s="7" t="s">
        <v>269</v>
      </c>
      <c r="C196" s="7"/>
      <c r="D196" s="7"/>
      <c r="E196" s="7"/>
      <c r="F196" s="9">
        <v>1.32</v>
      </c>
    </row>
    <row r="197" spans="1:6" ht="15.75" thickBot="1">
      <c r="A197" s="7"/>
      <c r="B197" s="7" t="s">
        <v>170</v>
      </c>
      <c r="C197" s="7"/>
      <c r="D197" s="7"/>
      <c r="E197" s="7"/>
      <c r="F197" s="9">
        <v>1.36</v>
      </c>
    </row>
    <row r="198" spans="1:6" ht="15.75" thickBot="1">
      <c r="A198" s="7"/>
      <c r="B198" s="7" t="s">
        <v>270</v>
      </c>
      <c r="C198" s="7"/>
      <c r="D198" s="7"/>
      <c r="E198" s="7"/>
      <c r="F198" s="9">
        <v>1.7</v>
      </c>
    </row>
    <row r="199" spans="1:6" ht="15.75" thickBot="1">
      <c r="A199" s="7"/>
      <c r="B199" s="7" t="s">
        <v>256</v>
      </c>
      <c r="C199" s="7"/>
      <c r="D199" s="7"/>
      <c r="E199" s="7"/>
      <c r="F199" s="9">
        <v>1.3</v>
      </c>
    </row>
    <row r="200" spans="1:6" ht="15.75" thickBot="1">
      <c r="A200" s="7"/>
      <c r="B200" s="7" t="s">
        <v>271</v>
      </c>
      <c r="C200" s="7"/>
      <c r="D200" s="7"/>
      <c r="E200" s="7"/>
      <c r="F200" s="9">
        <v>1.32</v>
      </c>
    </row>
    <row r="201" spans="1:6" ht="15.75" thickBot="1">
      <c r="A201" s="7"/>
      <c r="B201" s="7" t="s">
        <v>272</v>
      </c>
      <c r="C201" s="7"/>
      <c r="D201" s="7"/>
      <c r="E201" s="7"/>
      <c r="F201" s="9">
        <v>1.27</v>
      </c>
    </row>
    <row r="202" spans="1:6" ht="15.75" thickBot="1">
      <c r="A202" s="7"/>
      <c r="B202" s="7" t="s">
        <v>273</v>
      </c>
      <c r="C202" s="7"/>
      <c r="D202" s="7"/>
      <c r="E202" s="7"/>
      <c r="F202" s="9">
        <v>1.4</v>
      </c>
    </row>
    <row r="203" spans="1:6" ht="15.75" thickBot="1">
      <c r="A203" s="7"/>
      <c r="B203" s="7" t="s">
        <v>274</v>
      </c>
      <c r="C203" s="7"/>
      <c r="D203" s="7"/>
      <c r="E203" s="7"/>
      <c r="F203" s="9">
        <v>2.63</v>
      </c>
    </row>
    <row r="204" spans="1:6" ht="15.75" thickBot="1">
      <c r="A204" s="7"/>
      <c r="B204" s="7" t="s">
        <v>275</v>
      </c>
      <c r="C204" s="7"/>
      <c r="D204" s="7"/>
      <c r="E204" s="7"/>
      <c r="F204" s="9">
        <v>2.63</v>
      </c>
    </row>
    <row r="205" spans="1:6" ht="15.75" thickBot="1">
      <c r="A205" s="7"/>
      <c r="B205" s="7" t="s">
        <v>276</v>
      </c>
      <c r="C205" s="7"/>
      <c r="D205" s="7"/>
      <c r="E205" s="7"/>
      <c r="F205" s="9">
        <v>2</v>
      </c>
    </row>
    <row r="206" spans="1:6" ht="15.75" thickBot="1">
      <c r="A206" s="7"/>
      <c r="B206" s="7" t="s">
        <v>277</v>
      </c>
      <c r="C206" s="7"/>
      <c r="D206" s="7"/>
      <c r="E206" s="7"/>
      <c r="F206" s="9">
        <v>1.8</v>
      </c>
    </row>
    <row r="207" spans="1:6" ht="15.75" thickBot="1">
      <c r="A207" s="7"/>
      <c r="B207" s="7" t="s">
        <v>245</v>
      </c>
      <c r="C207" s="7"/>
      <c r="D207" s="7"/>
      <c r="E207" s="7"/>
      <c r="F207" s="9">
        <v>2.63</v>
      </c>
    </row>
    <row r="208" spans="1:6" ht="15.75" thickBot="1">
      <c r="A208" s="7"/>
      <c r="B208" s="7" t="s">
        <v>278</v>
      </c>
      <c r="C208" s="7"/>
      <c r="D208" s="7"/>
      <c r="E208" s="7"/>
      <c r="F208" s="9">
        <v>1.47</v>
      </c>
    </row>
    <row r="209" spans="1:6" ht="15.75" thickBot="1">
      <c r="A209" s="7"/>
      <c r="B209" s="7" t="s">
        <v>279</v>
      </c>
      <c r="C209" s="7"/>
      <c r="D209" s="7"/>
      <c r="E209" s="7"/>
      <c r="F209" s="9">
        <v>1.36</v>
      </c>
    </row>
    <row r="210" spans="1:6" ht="15.75" thickBot="1">
      <c r="A210" s="7"/>
      <c r="B210" s="7" t="s">
        <v>280</v>
      </c>
      <c r="C210" s="7"/>
      <c r="D210" s="7"/>
      <c r="E210" s="7"/>
      <c r="F210" s="9">
        <v>1.47</v>
      </c>
    </row>
    <row r="211" spans="1:6" ht="15.75" thickBot="1">
      <c r="A211" s="7"/>
      <c r="B211" s="7" t="s">
        <v>257</v>
      </c>
      <c r="C211" s="7"/>
      <c r="D211" s="7"/>
      <c r="E211" s="7"/>
      <c r="F211" s="9">
        <v>1.53</v>
      </c>
    </row>
    <row r="212" spans="1:6" ht="15.75" thickBot="1">
      <c r="A212" s="7"/>
      <c r="B212" s="7" t="s">
        <v>281</v>
      </c>
      <c r="C212" s="7"/>
      <c r="D212" s="7"/>
      <c r="E212" s="7"/>
      <c r="F212" s="9">
        <v>1.24</v>
      </c>
    </row>
    <row r="213" spans="1:6" ht="15.75" thickBot="1">
      <c r="A213" s="7"/>
      <c r="B213" s="7" t="s">
        <v>282</v>
      </c>
      <c r="C213" s="7"/>
      <c r="D213" s="7"/>
      <c r="E213" s="7"/>
      <c r="F213" s="9">
        <v>1.47</v>
      </c>
    </row>
    <row r="214" spans="1:6" ht="15.75" thickBot="1">
      <c r="A214" s="7"/>
      <c r="B214" s="7" t="s">
        <v>283</v>
      </c>
      <c r="C214" s="7"/>
      <c r="D214" s="7"/>
      <c r="E214" s="7"/>
      <c r="F214" s="9">
        <v>1.75</v>
      </c>
    </row>
    <row r="215" spans="1:6" ht="15.75" thickBot="1">
      <c r="A215" s="7"/>
      <c r="B215" s="7" t="s">
        <v>284</v>
      </c>
      <c r="C215" s="7"/>
      <c r="D215" s="7"/>
      <c r="E215" s="7"/>
      <c r="F215" s="9">
        <v>1.9</v>
      </c>
    </row>
    <row r="216" spans="1:6" ht="15.75" thickBot="1">
      <c r="A216" s="7"/>
      <c r="B216" s="11" t="s">
        <v>285</v>
      </c>
      <c r="C216" s="11"/>
      <c r="D216" s="7"/>
      <c r="E216" s="7"/>
      <c r="F216" s="9">
        <v>1.9</v>
      </c>
    </row>
    <row r="217" spans="1:6" ht="15.75" thickBot="1">
      <c r="A217" s="7"/>
      <c r="B217" s="7" t="s">
        <v>286</v>
      </c>
      <c r="C217" s="7"/>
      <c r="D217" s="7"/>
      <c r="E217" s="7"/>
      <c r="F217" s="9">
        <v>1.9</v>
      </c>
    </row>
    <row r="218" spans="1:6" ht="15.75" thickBot="1">
      <c r="A218" s="7"/>
      <c r="B218" s="10" t="s">
        <v>287</v>
      </c>
      <c r="C218" s="10"/>
      <c r="D218" s="7"/>
      <c r="E218" s="7"/>
      <c r="F218" s="9">
        <v>1.5</v>
      </c>
    </row>
    <row r="219" spans="1:6" ht="15.75" thickBot="1">
      <c r="A219" s="7"/>
      <c r="B219" s="10" t="s">
        <v>288</v>
      </c>
      <c r="C219" s="10"/>
      <c r="D219" s="7"/>
      <c r="E219" s="7"/>
      <c r="F219" s="9">
        <v>1.9</v>
      </c>
    </row>
    <row r="220" spans="1:6" ht="15.75" thickBot="1">
      <c r="A220" s="7"/>
      <c r="B220" s="7" t="s">
        <v>289</v>
      </c>
      <c r="C220" s="7"/>
      <c r="D220" s="7"/>
      <c r="E220" s="7"/>
      <c r="F220" s="9">
        <v>0.78</v>
      </c>
    </row>
    <row r="221" spans="1:6" ht="15.75" thickBot="1">
      <c r="A221" s="7"/>
      <c r="B221" s="11" t="s">
        <v>290</v>
      </c>
      <c r="C221" s="11"/>
      <c r="D221" s="7"/>
      <c r="E221" s="7"/>
      <c r="F221" s="9">
        <v>1.5</v>
      </c>
    </row>
    <row r="222" spans="1:6" ht="15.75" thickBot="1">
      <c r="A222" s="7"/>
      <c r="B222" s="7" t="s">
        <v>291</v>
      </c>
      <c r="C222" s="7"/>
      <c r="D222" s="7"/>
      <c r="E222" s="7"/>
      <c r="F222" s="9">
        <v>2.54</v>
      </c>
    </row>
    <row r="223" spans="1:6" ht="15.75" thickBot="1">
      <c r="A223" s="7"/>
      <c r="B223" s="7" t="s">
        <v>292</v>
      </c>
      <c r="C223" s="7"/>
      <c r="D223" s="7"/>
      <c r="E223" s="7"/>
      <c r="F223" s="9">
        <v>1.2</v>
      </c>
    </row>
    <row r="224" spans="1:6" ht="15.75" thickBot="1">
      <c r="A224" s="7"/>
      <c r="B224" s="7" t="s">
        <v>293</v>
      </c>
      <c r="C224" s="7"/>
      <c r="D224" s="7"/>
      <c r="E224" s="7"/>
      <c r="F224" s="9">
        <v>1.2</v>
      </c>
    </row>
    <row r="225" spans="1:6" ht="15.75" thickBot="1">
      <c r="A225" s="7"/>
      <c r="B225" s="7" t="s">
        <v>294</v>
      </c>
      <c r="C225" s="7"/>
      <c r="D225" s="7"/>
      <c r="E225" s="7"/>
      <c r="F225" s="9">
        <v>1.4</v>
      </c>
    </row>
    <row r="226" spans="1:6" ht="15.75" thickBot="1">
      <c r="A226" s="7"/>
      <c r="B226" s="7" t="s">
        <v>295</v>
      </c>
      <c r="C226" s="7"/>
      <c r="D226" s="7"/>
      <c r="E226" s="7"/>
      <c r="F226" s="9">
        <v>2.2999999999999998</v>
      </c>
    </row>
    <row r="227" spans="1:6" ht="15.75" thickBot="1">
      <c r="A227" s="7"/>
      <c r="B227" s="7" t="s">
        <v>296</v>
      </c>
      <c r="C227" s="7"/>
      <c r="D227" s="7"/>
      <c r="E227" s="7"/>
      <c r="F227" s="9">
        <v>0.33</v>
      </c>
    </row>
    <row r="228" spans="1:6" ht="15.75" thickBot="1">
      <c r="A228" s="7"/>
      <c r="B228" s="7" t="s">
        <v>297</v>
      </c>
      <c r="C228" s="7"/>
      <c r="D228" s="7"/>
      <c r="E228" s="7"/>
      <c r="F228" s="9">
        <v>4.45</v>
      </c>
    </row>
    <row r="229" spans="1:6" ht="15.75" thickBot="1">
      <c r="A229" s="27"/>
      <c r="B229" s="27" t="s">
        <v>298</v>
      </c>
      <c r="C229" s="27"/>
      <c r="D229" s="27"/>
      <c r="E229" s="7"/>
      <c r="F229" s="9">
        <v>4.3</v>
      </c>
    </row>
    <row r="230" spans="1:6" ht="15.75" thickBot="1">
      <c r="A230" s="27"/>
      <c r="B230" s="27" t="s">
        <v>299</v>
      </c>
      <c r="C230" s="27"/>
      <c r="D230" s="27"/>
      <c r="E230" s="7"/>
      <c r="F230" s="9">
        <v>4.57</v>
      </c>
    </row>
    <row r="231" spans="1:6" ht="15.75" thickBot="1">
      <c r="A231" s="27"/>
      <c r="B231" s="27" t="s">
        <v>300</v>
      </c>
      <c r="C231" s="27"/>
      <c r="D231" s="27"/>
      <c r="E231" s="7"/>
      <c r="F231" s="9">
        <v>4.9000000000000004</v>
      </c>
    </row>
    <row r="232" spans="1:6" ht="15.75" thickBot="1">
      <c r="A232" s="27"/>
      <c r="B232" s="28" t="s">
        <v>301</v>
      </c>
      <c r="C232" s="28"/>
      <c r="D232" s="27"/>
      <c r="E232" s="7"/>
      <c r="F232" s="9">
        <v>1.67</v>
      </c>
    </row>
    <row r="233" spans="1:6" ht="15.75" thickBot="1">
      <c r="A233" s="27"/>
      <c r="B233" s="28" t="s">
        <v>302</v>
      </c>
      <c r="C233" s="28"/>
      <c r="D233" s="27"/>
      <c r="E233" s="7"/>
      <c r="F233" s="9">
        <v>2.5</v>
      </c>
    </row>
    <row r="234" spans="1:6" ht="15.75" thickBot="1">
      <c r="A234" s="27"/>
      <c r="B234" s="28" t="s">
        <v>303</v>
      </c>
      <c r="C234" s="28"/>
      <c r="D234" s="27"/>
      <c r="E234" s="7"/>
      <c r="F234" s="9">
        <v>1.78</v>
      </c>
    </row>
    <row r="235" spans="1:6" ht="15.75" thickBot="1">
      <c r="A235" s="27"/>
      <c r="B235" s="28" t="s">
        <v>304</v>
      </c>
      <c r="C235" s="28"/>
      <c r="D235" s="27"/>
      <c r="E235" s="7"/>
      <c r="F235" s="9">
        <v>1.7</v>
      </c>
    </row>
    <row r="236" spans="1:6" ht="15.75" thickBot="1">
      <c r="A236" s="27"/>
      <c r="B236" s="28" t="s">
        <v>305</v>
      </c>
      <c r="C236" s="28"/>
      <c r="D236" s="27"/>
      <c r="E236" s="7"/>
      <c r="F236" s="9">
        <v>7.6</v>
      </c>
    </row>
    <row r="237" spans="1:6">
      <c r="B237" t="s">
        <v>160</v>
      </c>
      <c r="F237">
        <v>2</v>
      </c>
    </row>
    <row r="238" spans="1:6">
      <c r="B238" t="s">
        <v>160</v>
      </c>
      <c r="F238">
        <v>2</v>
      </c>
    </row>
    <row r="239" spans="1:6">
      <c r="B239" t="s">
        <v>160</v>
      </c>
      <c r="F239">
        <v>2</v>
      </c>
    </row>
    <row r="240" spans="1:6">
      <c r="B240" t="s">
        <v>160</v>
      </c>
      <c r="F240">
        <v>2</v>
      </c>
    </row>
    <row r="241" spans="2:6">
      <c r="B241" t="s">
        <v>161</v>
      </c>
      <c r="F241">
        <v>1.74</v>
      </c>
    </row>
    <row r="242" spans="2:6">
      <c r="B242" t="s">
        <v>160</v>
      </c>
      <c r="F242">
        <v>2</v>
      </c>
    </row>
    <row r="243" spans="2:6">
      <c r="B243" t="s">
        <v>161</v>
      </c>
      <c r="F243">
        <v>1.74</v>
      </c>
    </row>
    <row r="244" spans="2:6">
      <c r="B244" t="s">
        <v>162</v>
      </c>
      <c r="F244">
        <v>1.8</v>
      </c>
    </row>
    <row r="245" spans="2:6">
      <c r="B245" t="s">
        <v>160</v>
      </c>
      <c r="F245">
        <v>2</v>
      </c>
    </row>
    <row r="246" spans="2:6">
      <c r="B246" t="s">
        <v>163</v>
      </c>
      <c r="F246">
        <v>1.8</v>
      </c>
    </row>
    <row r="247" spans="2:6">
      <c r="B247" t="s">
        <v>164</v>
      </c>
      <c r="F247">
        <v>1.26</v>
      </c>
    </row>
    <row r="248" spans="2:6">
      <c r="B248" t="s">
        <v>165</v>
      </c>
      <c r="F248">
        <v>1.26</v>
      </c>
    </row>
    <row r="249" spans="2:6">
      <c r="B249" t="s">
        <v>166</v>
      </c>
      <c r="F249">
        <v>1.26</v>
      </c>
    </row>
    <row r="250" spans="2:6">
      <c r="B250" t="s">
        <v>167</v>
      </c>
      <c r="F250">
        <v>1.26</v>
      </c>
    </row>
    <row r="251" spans="2:6">
      <c r="B251" t="s">
        <v>168</v>
      </c>
      <c r="F251">
        <v>1.17</v>
      </c>
    </row>
    <row r="252" spans="2:6">
      <c r="B252" t="s">
        <v>169</v>
      </c>
      <c r="F252">
        <v>1.8</v>
      </c>
    </row>
    <row r="253" spans="2:6">
      <c r="B253" t="s">
        <v>170</v>
      </c>
      <c r="F253">
        <v>1.35</v>
      </c>
    </row>
    <row r="254" spans="2:6">
      <c r="B254" t="s">
        <v>171</v>
      </c>
      <c r="F254">
        <v>1.1000000000000001</v>
      </c>
    </row>
    <row r="255" spans="2:6">
      <c r="B255" t="s">
        <v>172</v>
      </c>
      <c r="F255">
        <v>1.2</v>
      </c>
    </row>
    <row r="256" spans="2:6">
      <c r="B256" t="s">
        <v>173</v>
      </c>
      <c r="F256">
        <v>1.26</v>
      </c>
    </row>
    <row r="257" spans="2:6">
      <c r="B257" t="s">
        <v>174</v>
      </c>
      <c r="F257">
        <v>1.27</v>
      </c>
    </row>
    <row r="258" spans="2:6">
      <c r="B258" t="s">
        <v>174</v>
      </c>
      <c r="F258">
        <v>1.27</v>
      </c>
    </row>
    <row r="259" spans="2:6">
      <c r="B259" t="s">
        <v>175</v>
      </c>
      <c r="F259">
        <v>1.3</v>
      </c>
    </row>
    <row r="260" spans="2:6">
      <c r="B260" t="s">
        <v>176</v>
      </c>
      <c r="F260">
        <v>1.4</v>
      </c>
    </row>
    <row r="261" spans="2:6">
      <c r="B261" t="s">
        <v>177</v>
      </c>
      <c r="F261">
        <v>1.4</v>
      </c>
    </row>
    <row r="262" spans="2:6">
      <c r="B262" t="s">
        <v>178</v>
      </c>
      <c r="F262">
        <v>3.26</v>
      </c>
    </row>
    <row r="263" spans="2:6">
      <c r="B263" t="s">
        <v>179</v>
      </c>
      <c r="F263">
        <v>5.23</v>
      </c>
    </row>
    <row r="264" spans="2:6">
      <c r="B264" t="s">
        <v>180</v>
      </c>
      <c r="F264">
        <v>7.5</v>
      </c>
    </row>
    <row r="265" spans="2:6">
      <c r="B265" t="s">
        <v>181</v>
      </c>
      <c r="F265">
        <v>6.6</v>
      </c>
    </row>
    <row r="266" spans="2:6">
      <c r="B266" t="s">
        <v>182</v>
      </c>
      <c r="F266">
        <v>1.3</v>
      </c>
    </row>
    <row r="267" spans="2:6">
      <c r="B267" t="s">
        <v>183</v>
      </c>
      <c r="F267">
        <v>7.65</v>
      </c>
    </row>
    <row r="268" spans="2:6">
      <c r="B268" t="s">
        <v>184</v>
      </c>
      <c r="F268">
        <v>5.26</v>
      </c>
    </row>
    <row r="269" spans="2:6">
      <c r="B269" t="s">
        <v>185</v>
      </c>
      <c r="F269">
        <v>9</v>
      </c>
    </row>
    <row r="270" spans="2:6">
      <c r="B270" t="s">
        <v>186</v>
      </c>
      <c r="F270">
        <v>2.2999999999999998</v>
      </c>
    </row>
    <row r="271" spans="2:6">
      <c r="B271" t="s">
        <v>187</v>
      </c>
      <c r="F271">
        <v>2.2999999999999998</v>
      </c>
    </row>
    <row r="272" spans="2:6">
      <c r="B272" t="s">
        <v>188</v>
      </c>
      <c r="F272">
        <v>5.26</v>
      </c>
    </row>
    <row r="273" spans="2:6">
      <c r="B273" t="s">
        <v>189</v>
      </c>
      <c r="F273">
        <v>9.4</v>
      </c>
    </row>
    <row r="274" spans="2:6">
      <c r="B274" t="s">
        <v>190</v>
      </c>
      <c r="F274">
        <v>5.9</v>
      </c>
    </row>
    <row r="275" spans="2:6">
      <c r="B275" t="s">
        <v>191</v>
      </c>
      <c r="F275">
        <v>5.26</v>
      </c>
    </row>
    <row r="276" spans="2:6">
      <c r="B276" t="s">
        <v>192</v>
      </c>
      <c r="F276">
        <v>1.3</v>
      </c>
    </row>
    <row r="277" spans="2:6">
      <c r="B277" t="s">
        <v>193</v>
      </c>
      <c r="F277">
        <v>3</v>
      </c>
    </row>
    <row r="278" spans="2:6">
      <c r="B278" t="s">
        <v>194</v>
      </c>
      <c r="F278">
        <v>3</v>
      </c>
    </row>
    <row r="279" spans="2:6">
      <c r="B279" t="s">
        <v>195</v>
      </c>
      <c r="F279">
        <v>5.2</v>
      </c>
    </row>
    <row r="280" spans="2:6">
      <c r="B280" t="s">
        <v>196</v>
      </c>
      <c r="F280">
        <v>4.25</v>
      </c>
    </row>
    <row r="281" spans="2:6">
      <c r="B281" t="s">
        <v>197</v>
      </c>
      <c r="F281">
        <v>3.33</v>
      </c>
    </row>
    <row r="282" spans="2:6">
      <c r="B282" t="s">
        <v>198</v>
      </c>
      <c r="F282">
        <v>2.8</v>
      </c>
    </row>
    <row r="283" spans="2:6">
      <c r="B283" t="s">
        <v>199</v>
      </c>
      <c r="F283">
        <v>1.7</v>
      </c>
    </row>
    <row r="284" spans="2:6">
      <c r="B284" t="s">
        <v>200</v>
      </c>
      <c r="F284">
        <v>1.48</v>
      </c>
    </row>
    <row r="285" spans="2:6">
      <c r="B285" t="s">
        <v>201</v>
      </c>
      <c r="F285">
        <v>3.33</v>
      </c>
    </row>
    <row r="286" spans="2:6">
      <c r="B286" t="s">
        <v>202</v>
      </c>
      <c r="F286">
        <v>0.75</v>
      </c>
    </row>
    <row r="287" spans="2:6">
      <c r="B287" t="s">
        <v>203</v>
      </c>
      <c r="F287">
        <v>4.25</v>
      </c>
    </row>
    <row r="288" spans="2:6">
      <c r="B288" t="s">
        <v>204</v>
      </c>
      <c r="F288">
        <v>1.44</v>
      </c>
    </row>
    <row r="289" spans="2:6">
      <c r="B289" t="s">
        <v>205</v>
      </c>
      <c r="F289">
        <v>1.1299999999999999</v>
      </c>
    </row>
    <row r="290" spans="2:6">
      <c r="B290" t="s">
        <v>206</v>
      </c>
      <c r="F290">
        <v>1.1299999999999999</v>
      </c>
    </row>
    <row r="291" spans="2:6">
      <c r="B291" t="s">
        <v>207</v>
      </c>
      <c r="F291">
        <v>1.5</v>
      </c>
    </row>
    <row r="292" spans="2:6">
      <c r="B292" t="s">
        <v>208</v>
      </c>
      <c r="F292">
        <v>1.46</v>
      </c>
    </row>
    <row r="293" spans="2:6">
      <c r="B293" t="s">
        <v>209</v>
      </c>
      <c r="F293">
        <v>1.18</v>
      </c>
    </row>
    <row r="294" spans="2:6">
      <c r="B294" t="s">
        <v>210</v>
      </c>
      <c r="F294">
        <v>1.73</v>
      </c>
    </row>
    <row r="295" spans="2:6">
      <c r="B295" t="s">
        <v>211</v>
      </c>
      <c r="F295">
        <v>1.73</v>
      </c>
    </row>
    <row r="296" spans="2:6">
      <c r="B296" t="s">
        <v>212</v>
      </c>
      <c r="F296">
        <v>1.68</v>
      </c>
    </row>
    <row r="297" spans="2:6">
      <c r="B297" t="s">
        <v>213</v>
      </c>
      <c r="F297">
        <v>1.64</v>
      </c>
    </row>
    <row r="298" spans="2:6">
      <c r="B298" t="s">
        <v>214</v>
      </c>
      <c r="F298">
        <v>2.2999999999999998</v>
      </c>
    </row>
    <row r="299" spans="2:6">
      <c r="B299" t="s">
        <v>215</v>
      </c>
      <c r="F299">
        <v>1.96</v>
      </c>
    </row>
    <row r="300" spans="2:6">
      <c r="B300" t="s">
        <v>216</v>
      </c>
      <c r="F300">
        <v>1.7</v>
      </c>
    </row>
    <row r="301" spans="2:6">
      <c r="B301" t="s">
        <v>217</v>
      </c>
      <c r="F301">
        <v>2.7</v>
      </c>
    </row>
    <row r="302" spans="2:6">
      <c r="B302" t="s">
        <v>218</v>
      </c>
      <c r="F302">
        <v>2.74</v>
      </c>
    </row>
    <row r="303" spans="2:6">
      <c r="B303" t="s">
        <v>219</v>
      </c>
      <c r="F303">
        <v>2</v>
      </c>
    </row>
    <row r="304" spans="2:6">
      <c r="B304" t="s">
        <v>210</v>
      </c>
      <c r="F304">
        <v>1.73</v>
      </c>
    </row>
    <row r="305" spans="2:6">
      <c r="B305" t="s">
        <v>220</v>
      </c>
      <c r="F305">
        <v>1.68</v>
      </c>
    </row>
    <row r="306" spans="2:6">
      <c r="B306" t="s">
        <v>221</v>
      </c>
      <c r="F306">
        <v>1.64</v>
      </c>
    </row>
    <row r="307" spans="2:6">
      <c r="B307" t="s">
        <v>222</v>
      </c>
      <c r="F307">
        <v>2.2999999999999998</v>
      </c>
    </row>
    <row r="308" spans="2:6">
      <c r="B308" t="s">
        <v>223</v>
      </c>
      <c r="F308">
        <v>1.96</v>
      </c>
    </row>
    <row r="309" spans="2:6">
      <c r="B309" t="s">
        <v>224</v>
      </c>
      <c r="F309">
        <v>1.7</v>
      </c>
    </row>
    <row r="310" spans="2:6">
      <c r="B310" t="s">
        <v>225</v>
      </c>
      <c r="F310">
        <v>2.7</v>
      </c>
    </row>
    <row r="311" spans="2:6">
      <c r="B311" t="s">
        <v>226</v>
      </c>
      <c r="F311">
        <v>2.74</v>
      </c>
    </row>
    <row r="312" spans="2:6">
      <c r="B312" t="s">
        <v>227</v>
      </c>
      <c r="F312">
        <v>1.36</v>
      </c>
    </row>
    <row r="313" spans="2:6">
      <c r="B313" t="s">
        <v>228</v>
      </c>
      <c r="F313">
        <v>1.4</v>
      </c>
    </row>
    <row r="314" spans="2:6">
      <c r="B314" t="s">
        <v>229</v>
      </c>
      <c r="F314">
        <v>2.5</v>
      </c>
    </row>
    <row r="315" spans="2:6">
      <c r="B315" t="s">
        <v>230</v>
      </c>
      <c r="F315">
        <v>1.7</v>
      </c>
    </row>
    <row r="316" spans="2:6">
      <c r="B316" t="s">
        <v>231</v>
      </c>
      <c r="F316">
        <v>1.32</v>
      </c>
    </row>
    <row r="317" spans="2:6">
      <c r="B317" t="s">
        <v>232</v>
      </c>
      <c r="F317">
        <v>1.36</v>
      </c>
    </row>
    <row r="318" spans="2:6">
      <c r="B318" t="s">
        <v>233</v>
      </c>
      <c r="F318">
        <v>1.7</v>
      </c>
    </row>
    <row r="319" spans="2:6">
      <c r="B319" t="s">
        <v>234</v>
      </c>
      <c r="F319">
        <v>1.3</v>
      </c>
    </row>
    <row r="320" spans="2:6">
      <c r="B320" t="s">
        <v>235</v>
      </c>
      <c r="F320">
        <v>1.8</v>
      </c>
    </row>
    <row r="321" spans="2:6">
      <c r="B321" t="s">
        <v>236</v>
      </c>
      <c r="F321">
        <v>1.32</v>
      </c>
    </row>
    <row r="322" spans="2:6">
      <c r="B322" t="s">
        <v>237</v>
      </c>
      <c r="F322">
        <v>1.27</v>
      </c>
    </row>
    <row r="323" spans="2:6">
      <c r="B323" t="s">
        <v>238</v>
      </c>
      <c r="F323">
        <v>1.4</v>
      </c>
    </row>
    <row r="324" spans="2:6">
      <c r="B324" t="s">
        <v>235</v>
      </c>
      <c r="F324">
        <v>1.8</v>
      </c>
    </row>
    <row r="325" spans="2:6">
      <c r="B325" t="s">
        <v>239</v>
      </c>
      <c r="F325">
        <v>1.4</v>
      </c>
    </row>
    <row r="326" spans="2:6">
      <c r="B326" t="s">
        <v>240</v>
      </c>
      <c r="F326">
        <v>2.63</v>
      </c>
    </row>
    <row r="327" spans="2:6">
      <c r="B327" t="s">
        <v>241</v>
      </c>
      <c r="F327">
        <v>2.63</v>
      </c>
    </row>
    <row r="328" spans="2:6">
      <c r="B328" t="s">
        <v>242</v>
      </c>
      <c r="F328">
        <v>2</v>
      </c>
    </row>
    <row r="329" spans="2:6">
      <c r="B329" t="s">
        <v>243</v>
      </c>
      <c r="F329">
        <v>1.8</v>
      </c>
    </row>
    <row r="330" spans="2:6">
      <c r="B330" t="s">
        <v>244</v>
      </c>
      <c r="F330">
        <v>2.2000000000000002</v>
      </c>
    </row>
    <row r="331" spans="2:6">
      <c r="B331" t="s">
        <v>245</v>
      </c>
      <c r="F331">
        <v>2.63</v>
      </c>
    </row>
    <row r="332" spans="2:6">
      <c r="B332" t="s">
        <v>246</v>
      </c>
      <c r="F332">
        <v>2</v>
      </c>
    </row>
    <row r="333" spans="2:6">
      <c r="B333" t="s">
        <v>247</v>
      </c>
      <c r="F333">
        <v>1.47</v>
      </c>
    </row>
    <row r="334" spans="2:6">
      <c r="B334" t="s">
        <v>248</v>
      </c>
      <c r="F334">
        <v>1.36</v>
      </c>
    </row>
    <row r="335" spans="2:6">
      <c r="B335" t="s">
        <v>249</v>
      </c>
      <c r="F335">
        <v>1.47</v>
      </c>
    </row>
    <row r="336" spans="2:6">
      <c r="B336" t="s">
        <v>250</v>
      </c>
      <c r="F336">
        <v>1.53</v>
      </c>
    </row>
    <row r="337" spans="2:6">
      <c r="B337" t="s">
        <v>251</v>
      </c>
      <c r="F337">
        <v>1.24</v>
      </c>
    </row>
    <row r="338" spans="2:6">
      <c r="B338" t="s">
        <v>252</v>
      </c>
      <c r="F338">
        <v>1.47</v>
      </c>
    </row>
    <row r="339" spans="2:6">
      <c r="B339" t="s">
        <v>253</v>
      </c>
      <c r="F339">
        <v>1.55</v>
      </c>
    </row>
    <row r="340" spans="2:6">
      <c r="B340" t="s">
        <v>254</v>
      </c>
      <c r="F340">
        <v>1.75</v>
      </c>
    </row>
    <row r="341" spans="2:6">
      <c r="B341" t="s">
        <v>255</v>
      </c>
      <c r="F341">
        <v>1.7</v>
      </c>
    </row>
    <row r="342" spans="2:6">
      <c r="B342" t="s">
        <v>256</v>
      </c>
      <c r="F342">
        <v>1.3</v>
      </c>
    </row>
    <row r="343" spans="2:6">
      <c r="B343" t="s">
        <v>257</v>
      </c>
      <c r="F343">
        <v>1.53</v>
      </c>
    </row>
    <row r="344" spans="2:6">
      <c r="B344" t="s">
        <v>258</v>
      </c>
      <c r="F344">
        <v>1.27</v>
      </c>
    </row>
    <row r="345" spans="2:6">
      <c r="B345" t="s">
        <v>259</v>
      </c>
      <c r="F345">
        <v>1.3</v>
      </c>
    </row>
    <row r="346" spans="2:6">
      <c r="B346" t="s">
        <v>260</v>
      </c>
      <c r="F346">
        <v>1.4</v>
      </c>
    </row>
    <row r="347" spans="2:6">
      <c r="B347" t="s">
        <v>261</v>
      </c>
      <c r="F347">
        <v>1.4</v>
      </c>
    </row>
    <row r="348" spans="2:6">
      <c r="B348" t="s">
        <v>262</v>
      </c>
      <c r="F348">
        <v>1.44</v>
      </c>
    </row>
    <row r="349" spans="2:6">
      <c r="B349" t="s">
        <v>263</v>
      </c>
      <c r="F349">
        <v>1.1299999999999999</v>
      </c>
    </row>
    <row r="350" spans="2:6">
      <c r="B350" t="s">
        <v>264</v>
      </c>
      <c r="F350">
        <v>1.1299999999999999</v>
      </c>
    </row>
    <row r="351" spans="2:6">
      <c r="B351" t="s">
        <v>265</v>
      </c>
      <c r="F351">
        <v>1.5</v>
      </c>
    </row>
    <row r="352" spans="2:6">
      <c r="B352" t="s">
        <v>210</v>
      </c>
      <c r="F352">
        <v>1.73</v>
      </c>
    </row>
    <row r="353" spans="2:6">
      <c r="B353" t="s">
        <v>220</v>
      </c>
      <c r="F353">
        <v>1.68</v>
      </c>
    </row>
    <row r="354" spans="2:6">
      <c r="B354" t="s">
        <v>221</v>
      </c>
      <c r="F354">
        <v>1.64</v>
      </c>
    </row>
    <row r="355" spans="2:6">
      <c r="B355" t="s">
        <v>222</v>
      </c>
      <c r="F355">
        <v>2.2999999999999998</v>
      </c>
    </row>
    <row r="356" spans="2:6">
      <c r="B356" t="s">
        <v>223</v>
      </c>
      <c r="F356">
        <v>1.96</v>
      </c>
    </row>
    <row r="357" spans="2:6">
      <c r="B357" t="s">
        <v>224</v>
      </c>
      <c r="F357">
        <v>1.7</v>
      </c>
    </row>
    <row r="358" spans="2:6">
      <c r="B358" t="s">
        <v>225</v>
      </c>
      <c r="F358">
        <v>2.7</v>
      </c>
    </row>
    <row r="359" spans="2:6">
      <c r="B359" t="s">
        <v>226</v>
      </c>
      <c r="F359">
        <v>2.74</v>
      </c>
    </row>
    <row r="360" spans="2:6">
      <c r="B360" t="s">
        <v>266</v>
      </c>
      <c r="F360">
        <v>1.36</v>
      </c>
    </row>
    <row r="361" spans="2:6">
      <c r="B361" t="s">
        <v>267</v>
      </c>
      <c r="F361">
        <v>2.5</v>
      </c>
    </row>
    <row r="362" spans="2:6">
      <c r="B362" t="s">
        <v>268</v>
      </c>
      <c r="F362">
        <v>1.7</v>
      </c>
    </row>
    <row r="363" spans="2:6">
      <c r="B363" t="s">
        <v>269</v>
      </c>
      <c r="F363">
        <v>1.32</v>
      </c>
    </row>
    <row r="364" spans="2:6">
      <c r="B364" t="s">
        <v>170</v>
      </c>
      <c r="F364">
        <v>1.36</v>
      </c>
    </row>
    <row r="365" spans="2:6">
      <c r="B365" t="s">
        <v>270</v>
      </c>
      <c r="F365">
        <v>1.7</v>
      </c>
    </row>
    <row r="366" spans="2:6">
      <c r="B366" t="s">
        <v>256</v>
      </c>
      <c r="F366">
        <v>1.3</v>
      </c>
    </row>
    <row r="367" spans="2:6">
      <c r="B367" t="s">
        <v>271</v>
      </c>
      <c r="F367">
        <v>1.32</v>
      </c>
    </row>
    <row r="368" spans="2:6">
      <c r="B368" t="s">
        <v>272</v>
      </c>
      <c r="F368">
        <v>1.27</v>
      </c>
    </row>
    <row r="369" spans="2:6">
      <c r="B369" t="s">
        <v>273</v>
      </c>
      <c r="F369">
        <v>1.4</v>
      </c>
    </row>
    <row r="370" spans="2:6">
      <c r="B370" t="s">
        <v>274</v>
      </c>
      <c r="F370">
        <v>2.63</v>
      </c>
    </row>
    <row r="371" spans="2:6">
      <c r="B371" t="s">
        <v>275</v>
      </c>
      <c r="F371">
        <v>2.63</v>
      </c>
    </row>
    <row r="372" spans="2:6">
      <c r="B372" t="s">
        <v>276</v>
      </c>
      <c r="F372">
        <v>2</v>
      </c>
    </row>
    <row r="373" spans="2:6">
      <c r="B373" t="s">
        <v>277</v>
      </c>
      <c r="F373">
        <v>1.8</v>
      </c>
    </row>
    <row r="374" spans="2:6">
      <c r="B374" t="s">
        <v>245</v>
      </c>
      <c r="F374">
        <v>2.63</v>
      </c>
    </row>
    <row r="375" spans="2:6">
      <c r="B375" t="s">
        <v>278</v>
      </c>
      <c r="F375">
        <v>1.47</v>
      </c>
    </row>
    <row r="376" spans="2:6">
      <c r="B376" t="s">
        <v>279</v>
      </c>
      <c r="F376">
        <v>1.36</v>
      </c>
    </row>
    <row r="377" spans="2:6">
      <c r="B377" t="s">
        <v>280</v>
      </c>
      <c r="F377">
        <v>1.47</v>
      </c>
    </row>
    <row r="378" spans="2:6">
      <c r="B378" t="s">
        <v>257</v>
      </c>
      <c r="F378">
        <v>1.53</v>
      </c>
    </row>
    <row r="379" spans="2:6">
      <c r="B379" t="s">
        <v>281</v>
      </c>
      <c r="F379">
        <v>1.24</v>
      </c>
    </row>
    <row r="380" spans="2:6">
      <c r="B380" t="s">
        <v>282</v>
      </c>
      <c r="F380">
        <v>1.47</v>
      </c>
    </row>
    <row r="381" spans="2:6">
      <c r="B381" t="s">
        <v>283</v>
      </c>
      <c r="F381">
        <v>1.75</v>
      </c>
    </row>
    <row r="382" spans="2:6">
      <c r="B382" t="s">
        <v>284</v>
      </c>
      <c r="F382">
        <v>1.9</v>
      </c>
    </row>
    <row r="383" spans="2:6">
      <c r="B383" t="s">
        <v>285</v>
      </c>
      <c r="F383">
        <v>1.9</v>
      </c>
    </row>
    <row r="384" spans="2:6">
      <c r="B384" t="s">
        <v>286</v>
      </c>
      <c r="F384">
        <v>1.9</v>
      </c>
    </row>
    <row r="385" spans="2:6">
      <c r="B385" t="s">
        <v>287</v>
      </c>
      <c r="F385">
        <v>1.5</v>
      </c>
    </row>
    <row r="386" spans="2:6">
      <c r="B386" t="s">
        <v>288</v>
      </c>
      <c r="F386">
        <v>1.9</v>
      </c>
    </row>
    <row r="387" spans="2:6">
      <c r="B387" t="s">
        <v>289</v>
      </c>
      <c r="F387">
        <v>0.78</v>
      </c>
    </row>
    <row r="388" spans="2:6">
      <c r="B388" t="s">
        <v>290</v>
      </c>
      <c r="F388">
        <v>1.5</v>
      </c>
    </row>
    <row r="389" spans="2:6">
      <c r="B389" t="s">
        <v>291</v>
      </c>
      <c r="F389">
        <v>2.54</v>
      </c>
    </row>
    <row r="390" spans="2:6">
      <c r="B390" t="s">
        <v>292</v>
      </c>
      <c r="F390">
        <v>1.2</v>
      </c>
    </row>
    <row r="391" spans="2:6">
      <c r="B391" t="s">
        <v>293</v>
      </c>
      <c r="F391">
        <v>1.2</v>
      </c>
    </row>
    <row r="392" spans="2:6">
      <c r="B392" t="s">
        <v>294</v>
      </c>
      <c r="F392">
        <v>1.4</v>
      </c>
    </row>
    <row r="393" spans="2:6">
      <c r="B393" t="s">
        <v>295</v>
      </c>
      <c r="F393">
        <v>2.2999999999999998</v>
      </c>
    </row>
    <row r="394" spans="2:6">
      <c r="B394" t="s">
        <v>296</v>
      </c>
      <c r="F394">
        <v>0.33</v>
      </c>
    </row>
    <row r="395" spans="2:6">
      <c r="B395" t="s">
        <v>297</v>
      </c>
      <c r="F395">
        <v>4.45</v>
      </c>
    </row>
    <row r="396" spans="2:6">
      <c r="B396" t="s">
        <v>298</v>
      </c>
      <c r="F396">
        <v>4.3</v>
      </c>
    </row>
    <row r="397" spans="2:6">
      <c r="B397" t="s">
        <v>299</v>
      </c>
      <c r="F397">
        <v>4.57</v>
      </c>
    </row>
    <row r="398" spans="2:6">
      <c r="B398" t="s">
        <v>300</v>
      </c>
      <c r="F398">
        <v>4.9000000000000004</v>
      </c>
    </row>
    <row r="399" spans="2:6">
      <c r="B399" t="s">
        <v>301</v>
      </c>
      <c r="F399">
        <v>1.67</v>
      </c>
    </row>
    <row r="400" spans="2:6">
      <c r="B400" t="s">
        <v>302</v>
      </c>
      <c r="F400">
        <v>2.5</v>
      </c>
    </row>
    <row r="401" spans="2:6">
      <c r="B401" t="s">
        <v>303</v>
      </c>
      <c r="F401">
        <v>1.78</v>
      </c>
    </row>
    <row r="402" spans="2:6">
      <c r="B402" t="s">
        <v>304</v>
      </c>
      <c r="F402">
        <v>1.7</v>
      </c>
    </row>
    <row r="403" spans="2:6">
      <c r="B403" t="s">
        <v>305</v>
      </c>
      <c r="F403">
        <v>7.6</v>
      </c>
    </row>
    <row r="404" spans="2:6">
      <c r="B404" t="s">
        <v>338</v>
      </c>
      <c r="F404">
        <v>1.92</v>
      </c>
    </row>
    <row r="405" spans="2:6">
      <c r="B405" t="s">
        <v>339</v>
      </c>
      <c r="F405">
        <v>1.55</v>
      </c>
    </row>
    <row r="406" spans="2:6">
      <c r="B406" t="s">
        <v>340</v>
      </c>
      <c r="F406">
        <v>1.36</v>
      </c>
    </row>
    <row r="407" spans="2:6">
      <c r="B407" t="s">
        <v>341</v>
      </c>
      <c r="F407">
        <v>1.87</v>
      </c>
    </row>
    <row r="408" spans="2:6">
      <c r="B408" t="s">
        <v>342</v>
      </c>
      <c r="F408">
        <v>1.6</v>
      </c>
    </row>
    <row r="409" spans="2:6">
      <c r="B409" t="s">
        <v>343</v>
      </c>
      <c r="F409">
        <v>1.86</v>
      </c>
    </row>
    <row r="410" spans="2:6">
      <c r="B410" t="s">
        <v>344</v>
      </c>
      <c r="F410">
        <v>1.78</v>
      </c>
    </row>
    <row r="411" spans="2:6">
      <c r="B411" t="s">
        <v>345</v>
      </c>
      <c r="F411">
        <v>1.96</v>
      </c>
    </row>
    <row r="412" spans="2:6">
      <c r="B412" t="s">
        <v>346</v>
      </c>
      <c r="F412">
        <v>1.6</v>
      </c>
    </row>
    <row r="413" spans="2:6">
      <c r="B413" t="s">
        <v>347</v>
      </c>
      <c r="F413">
        <v>1.7</v>
      </c>
    </row>
    <row r="414" spans="2:6">
      <c r="B414" t="s">
        <v>348</v>
      </c>
      <c r="F414">
        <v>1.63</v>
      </c>
    </row>
    <row r="415" spans="2:6">
      <c r="B415" t="s">
        <v>349</v>
      </c>
      <c r="F415">
        <v>2.2000000000000002</v>
      </c>
    </row>
    <row r="416" spans="2:6">
      <c r="B416" t="s">
        <v>350</v>
      </c>
      <c r="F416">
        <v>2.2999999999999998</v>
      </c>
    </row>
    <row r="417" spans="2:6">
      <c r="B417" t="s">
        <v>351</v>
      </c>
      <c r="F417">
        <v>1.1200000000000001</v>
      </c>
    </row>
    <row r="418" spans="2:6">
      <c r="B418" t="s">
        <v>352</v>
      </c>
      <c r="F418">
        <v>1.55</v>
      </c>
    </row>
    <row r="419" spans="2:6">
      <c r="B419" t="s">
        <v>353</v>
      </c>
      <c r="F419">
        <v>1.36</v>
      </c>
    </row>
    <row r="420" spans="2:6">
      <c r="B420" t="s">
        <v>341</v>
      </c>
      <c r="F420">
        <v>1.87</v>
      </c>
    </row>
    <row r="421" spans="2:6">
      <c r="B421" t="s">
        <v>342</v>
      </c>
      <c r="F421">
        <v>1.6</v>
      </c>
    </row>
    <row r="422" spans="2:6">
      <c r="B422" t="s">
        <v>354</v>
      </c>
      <c r="F422">
        <v>1.86</v>
      </c>
    </row>
    <row r="423" spans="2:6">
      <c r="B423" t="s">
        <v>355</v>
      </c>
      <c r="F423">
        <v>1.78</v>
      </c>
    </row>
    <row r="424" spans="2:6">
      <c r="B424" t="s">
        <v>356</v>
      </c>
      <c r="F424">
        <v>1.96</v>
      </c>
    </row>
    <row r="425" spans="2:6">
      <c r="B425" t="s">
        <v>357</v>
      </c>
      <c r="F425">
        <v>1.6</v>
      </c>
    </row>
    <row r="426" spans="2:6">
      <c r="B426" t="s">
        <v>358</v>
      </c>
      <c r="F426">
        <v>1.7</v>
      </c>
    </row>
    <row r="427" spans="2:6">
      <c r="B427" t="s">
        <v>359</v>
      </c>
      <c r="F427">
        <v>1.63</v>
      </c>
    </row>
    <row r="428" spans="2:6">
      <c r="B428" t="s">
        <v>360</v>
      </c>
      <c r="F428">
        <v>2.2000000000000002</v>
      </c>
    </row>
    <row r="429" spans="2:6">
      <c r="B429" t="s">
        <v>350</v>
      </c>
      <c r="F429">
        <v>2.2999999999999998</v>
      </c>
    </row>
    <row r="430" spans="2:6">
      <c r="B430" t="s">
        <v>361</v>
      </c>
      <c r="F430">
        <v>1.1200000000000001</v>
      </c>
    </row>
    <row r="431" spans="2:6">
      <c r="B431" t="s">
        <v>362</v>
      </c>
      <c r="F431">
        <v>2.2999999999999998</v>
      </c>
    </row>
    <row r="432" spans="2:6">
      <c r="B432" t="s">
        <v>337</v>
      </c>
      <c r="F432">
        <v>1.6</v>
      </c>
    </row>
    <row r="433" spans="2:6">
      <c r="B433" t="s">
        <v>363</v>
      </c>
      <c r="F433">
        <v>1.6</v>
      </c>
    </row>
    <row r="434" spans="2:6">
      <c r="B434" t="s">
        <v>364</v>
      </c>
      <c r="F434">
        <v>1.76</v>
      </c>
    </row>
    <row r="435" spans="2:6">
      <c r="B435" t="s">
        <v>365</v>
      </c>
      <c r="F435">
        <v>2</v>
      </c>
    </row>
    <row r="436" spans="2:6">
      <c r="B436" t="s">
        <v>54</v>
      </c>
      <c r="F436">
        <v>1.48</v>
      </c>
    </row>
    <row r="437" spans="2:6">
      <c r="B437" t="s">
        <v>59</v>
      </c>
      <c r="F437">
        <v>1.53</v>
      </c>
    </row>
    <row r="438" spans="2:6">
      <c r="B438" t="s">
        <v>52</v>
      </c>
      <c r="F438">
        <v>1.37</v>
      </c>
    </row>
    <row r="439" spans="2:6">
      <c r="B439" t="s">
        <v>61</v>
      </c>
      <c r="F439">
        <v>1.48</v>
      </c>
    </row>
    <row r="440" spans="2:6">
      <c r="B440" t="s">
        <v>366</v>
      </c>
      <c r="F440">
        <v>1.3</v>
      </c>
    </row>
    <row r="441" spans="2:6">
      <c r="B441" t="s">
        <v>367</v>
      </c>
      <c r="F441">
        <v>1.54</v>
      </c>
    </row>
    <row r="442" spans="2:6">
      <c r="B442" t="s">
        <v>368</v>
      </c>
      <c r="F442">
        <v>1.3</v>
      </c>
    </row>
    <row r="443" spans="2:6">
      <c r="B443" t="s">
        <v>369</v>
      </c>
      <c r="F443">
        <v>1.55</v>
      </c>
    </row>
    <row r="444" spans="2:6">
      <c r="B444" t="s">
        <v>370</v>
      </c>
      <c r="F444">
        <v>1.8</v>
      </c>
    </row>
    <row r="445" spans="2:6">
      <c r="B445" t="s">
        <v>371</v>
      </c>
      <c r="F445">
        <v>1.9</v>
      </c>
    </row>
    <row r="446" spans="2:6">
      <c r="B446" t="s">
        <v>372</v>
      </c>
      <c r="F446">
        <v>1.25</v>
      </c>
    </row>
    <row r="447" spans="2:6">
      <c r="B447" t="s">
        <v>58</v>
      </c>
      <c r="F447">
        <v>2</v>
      </c>
    </row>
    <row r="448" spans="2:6">
      <c r="B448" t="s">
        <v>55</v>
      </c>
      <c r="F448">
        <v>2</v>
      </c>
    </row>
    <row r="449" spans="2:6">
      <c r="B449" t="s">
        <v>53</v>
      </c>
      <c r="F449">
        <v>2.1</v>
      </c>
    </row>
    <row r="450" spans="2:6">
      <c r="B450" t="s">
        <v>373</v>
      </c>
      <c r="F450">
        <v>1.7</v>
      </c>
    </row>
    <row r="451" spans="2:6">
      <c r="B451" t="s">
        <v>374</v>
      </c>
      <c r="F451">
        <v>1.2</v>
      </c>
    </row>
    <row r="452" spans="2:6">
      <c r="B452" t="s">
        <v>375</v>
      </c>
      <c r="F452">
        <v>5.0999999999999996</v>
      </c>
    </row>
    <row r="453" spans="2:6">
      <c r="B453" t="s">
        <v>376</v>
      </c>
      <c r="F453">
        <v>6.6</v>
      </c>
    </row>
    <row r="454" spans="2:6">
      <c r="B454" t="s">
        <v>377</v>
      </c>
      <c r="F454">
        <v>4.38</v>
      </c>
    </row>
    <row r="455" spans="2:6">
      <c r="B455" t="s">
        <v>378</v>
      </c>
      <c r="F455">
        <v>5</v>
      </c>
    </row>
    <row r="456" spans="2:6">
      <c r="B456" t="s">
        <v>379</v>
      </c>
      <c r="F456">
        <v>3.3</v>
      </c>
    </row>
    <row r="457" spans="2:6">
      <c r="B457" t="s">
        <v>380</v>
      </c>
      <c r="F457">
        <v>2</v>
      </c>
    </row>
    <row r="458" spans="2:6">
      <c r="B458" t="s">
        <v>381</v>
      </c>
      <c r="F458">
        <v>2</v>
      </c>
    </row>
    <row r="459" spans="2:6">
      <c r="B459" t="s">
        <v>382</v>
      </c>
      <c r="F459">
        <v>2</v>
      </c>
    </row>
    <row r="460" spans="2:6">
      <c r="B460" t="s">
        <v>383</v>
      </c>
      <c r="F460">
        <v>1.8</v>
      </c>
    </row>
    <row r="461" spans="2:6">
      <c r="B461" t="s">
        <v>384</v>
      </c>
      <c r="F461">
        <v>1.8</v>
      </c>
    </row>
    <row r="462" spans="2:6">
      <c r="B462" t="s">
        <v>385</v>
      </c>
      <c r="F462">
        <v>1.45</v>
      </c>
    </row>
    <row r="463" spans="2:6">
      <c r="B463" t="s">
        <v>386</v>
      </c>
      <c r="F463">
        <v>1.25</v>
      </c>
    </row>
    <row r="464" spans="2:6">
      <c r="B464" t="s">
        <v>387</v>
      </c>
      <c r="F464">
        <v>1.5</v>
      </c>
    </row>
    <row r="465" spans="2:6">
      <c r="B465" t="s">
        <v>388</v>
      </c>
      <c r="F465">
        <v>1.6</v>
      </c>
    </row>
    <row r="466" spans="2:6">
      <c r="B466" t="s">
        <v>389</v>
      </c>
      <c r="F466">
        <v>1.7</v>
      </c>
    </row>
    <row r="467" spans="2:6">
      <c r="B467" t="s">
        <v>390</v>
      </c>
      <c r="F467">
        <v>1.2</v>
      </c>
    </row>
    <row r="468" spans="2:6">
      <c r="B468" t="s">
        <v>391</v>
      </c>
      <c r="F468">
        <v>1.4</v>
      </c>
    </row>
    <row r="469" spans="2:6">
      <c r="B469" t="s">
        <v>392</v>
      </c>
      <c r="F469">
        <v>1.33</v>
      </c>
    </row>
    <row r="470" spans="2:6">
      <c r="B470" t="s">
        <v>393</v>
      </c>
      <c r="F470">
        <v>1.4</v>
      </c>
    </row>
    <row r="471" spans="2:6">
      <c r="B471" t="s">
        <v>394</v>
      </c>
      <c r="F471">
        <v>1.17</v>
      </c>
    </row>
    <row r="472" spans="2:6">
      <c r="B472" t="s">
        <v>395</v>
      </c>
      <c r="F472">
        <v>1.25</v>
      </c>
    </row>
    <row r="473" spans="2:6">
      <c r="B473" t="s">
        <v>396</v>
      </c>
      <c r="F473">
        <v>1.58</v>
      </c>
    </row>
    <row r="474" spans="2:6">
      <c r="B474" t="s">
        <v>397</v>
      </c>
      <c r="F474">
        <v>2.37</v>
      </c>
    </row>
    <row r="475" spans="2:6">
      <c r="B475" t="s">
        <v>398</v>
      </c>
      <c r="F475">
        <v>1.1200000000000001</v>
      </c>
    </row>
    <row r="476" spans="2:6">
      <c r="B476" t="s">
        <v>399</v>
      </c>
      <c r="F476">
        <v>1.36</v>
      </c>
    </row>
    <row r="477" spans="2:6">
      <c r="B477" t="s">
        <v>400</v>
      </c>
      <c r="F477">
        <v>1.3</v>
      </c>
    </row>
    <row r="478" spans="2:6">
      <c r="B478" t="s">
        <v>401</v>
      </c>
      <c r="F478">
        <v>3.15</v>
      </c>
    </row>
    <row r="479" spans="2:6">
      <c r="B479" t="s">
        <v>402</v>
      </c>
      <c r="F479">
        <v>3.5</v>
      </c>
    </row>
    <row r="480" spans="2:6">
      <c r="B480" t="s">
        <v>403</v>
      </c>
      <c r="F480">
        <v>4.5</v>
      </c>
    </row>
    <row r="481" spans="2:6">
      <c r="B481" t="s">
        <v>404</v>
      </c>
      <c r="F481">
        <v>3.18</v>
      </c>
    </row>
    <row r="482" spans="2:6">
      <c r="B482" t="s">
        <v>405</v>
      </c>
      <c r="F482">
        <v>5</v>
      </c>
    </row>
    <row r="483" spans="2:6">
      <c r="B483" t="s">
        <v>406</v>
      </c>
      <c r="F483">
        <v>3.4</v>
      </c>
    </row>
    <row r="484" spans="2:6">
      <c r="B484" t="s">
        <v>407</v>
      </c>
      <c r="F484">
        <v>1.82</v>
      </c>
    </row>
    <row r="485" spans="2:6">
      <c r="B485" t="s">
        <v>408</v>
      </c>
      <c r="F485">
        <v>1.36</v>
      </c>
    </row>
    <row r="486" spans="2:6">
      <c r="B486" t="s">
        <v>409</v>
      </c>
      <c r="F486">
        <v>1.39</v>
      </c>
    </row>
    <row r="487" spans="2:6">
      <c r="B487" t="s">
        <v>410</v>
      </c>
      <c r="F487">
        <v>1.33</v>
      </c>
    </row>
    <row r="488" spans="2:6">
      <c r="B488" t="s">
        <v>411</v>
      </c>
      <c r="F488">
        <v>3.05</v>
      </c>
    </row>
    <row r="489" spans="2:6">
      <c r="B489" t="s">
        <v>412</v>
      </c>
      <c r="F489">
        <v>3</v>
      </c>
    </row>
    <row r="490" spans="2:6">
      <c r="B490" t="s">
        <v>413</v>
      </c>
      <c r="F490">
        <v>1.69</v>
      </c>
    </row>
    <row r="491" spans="2:6">
      <c r="B491" t="s">
        <v>414</v>
      </c>
      <c r="F491">
        <v>1.59</v>
      </c>
    </row>
    <row r="492" spans="2:6">
      <c r="B492" t="s">
        <v>415</v>
      </c>
      <c r="F492">
        <v>1.59</v>
      </c>
    </row>
    <row r="493" spans="2:6">
      <c r="B493" t="s">
        <v>416</v>
      </c>
      <c r="F493">
        <v>1.61</v>
      </c>
    </row>
    <row r="494" spans="2:6">
      <c r="B494" t="s">
        <v>417</v>
      </c>
      <c r="F494">
        <v>2.35</v>
      </c>
    </row>
    <row r="495" spans="2:6">
      <c r="B495" t="s">
        <v>418</v>
      </c>
      <c r="F495">
        <v>1.84</v>
      </c>
    </row>
    <row r="496" spans="2:6">
      <c r="B496" t="s">
        <v>419</v>
      </c>
      <c r="F496">
        <v>1.74</v>
      </c>
    </row>
    <row r="497" spans="2:6">
      <c r="B497" t="s">
        <v>420</v>
      </c>
      <c r="F497">
        <v>1.81</v>
      </c>
    </row>
    <row r="498" spans="2:6">
      <c r="B498" t="s">
        <v>421</v>
      </c>
      <c r="F498">
        <v>2.14</v>
      </c>
    </row>
    <row r="499" spans="2:6">
      <c r="B499" t="s">
        <v>422</v>
      </c>
      <c r="F499">
        <v>1.78</v>
      </c>
    </row>
    <row r="500" spans="2:6">
      <c r="B500" t="s">
        <v>423</v>
      </c>
      <c r="F500">
        <v>1.78</v>
      </c>
    </row>
    <row r="501" spans="2:6">
      <c r="B501" t="s">
        <v>424</v>
      </c>
      <c r="F501">
        <v>6.3</v>
      </c>
    </row>
    <row r="502" spans="2:6">
      <c r="B502" t="s">
        <v>425</v>
      </c>
      <c r="F502">
        <v>2.8</v>
      </c>
    </row>
    <row r="503" spans="2:6">
      <c r="B503" t="s">
        <v>426</v>
      </c>
      <c r="F503">
        <v>2.89</v>
      </c>
    </row>
    <row r="504" spans="2:6">
      <c r="B504" t="s">
        <v>381</v>
      </c>
      <c r="F504">
        <v>2.0499999999999998</v>
      </c>
    </row>
    <row r="505" spans="2:6">
      <c r="B505" t="s">
        <v>427</v>
      </c>
      <c r="F505">
        <v>1.32</v>
      </c>
    </row>
    <row r="506" spans="2:6">
      <c r="B506" t="s">
        <v>428</v>
      </c>
      <c r="F506">
        <v>1.22</v>
      </c>
    </row>
    <row r="507" spans="2:6">
      <c r="B507" t="s">
        <v>429</v>
      </c>
      <c r="F507">
        <v>12.4</v>
      </c>
    </row>
    <row r="508" spans="2:6">
      <c r="B508" t="s">
        <v>430</v>
      </c>
      <c r="F508">
        <v>9.34</v>
      </c>
    </row>
    <row r="509" spans="2:6">
      <c r="B509" t="s">
        <v>431</v>
      </c>
      <c r="F509">
        <v>16.899999999999999</v>
      </c>
    </row>
    <row r="510" spans="2:6">
      <c r="B510" t="s">
        <v>432</v>
      </c>
      <c r="F510">
        <v>9.3000000000000007</v>
      </c>
    </row>
    <row r="511" spans="2:6">
      <c r="B511" t="s">
        <v>433</v>
      </c>
      <c r="F511">
        <v>7.25</v>
      </c>
    </row>
    <row r="512" spans="2:6">
      <c r="B512" t="s">
        <v>434</v>
      </c>
      <c r="F512">
        <v>7.25</v>
      </c>
    </row>
    <row r="513" spans="2:6">
      <c r="B513" t="s">
        <v>435</v>
      </c>
      <c r="F513">
        <v>7.56</v>
      </c>
    </row>
    <row r="514" spans="2:6">
      <c r="B514" t="s">
        <v>436</v>
      </c>
      <c r="F514">
        <v>10.46</v>
      </c>
    </row>
    <row r="515" spans="2:6">
      <c r="B515" t="s">
        <v>437</v>
      </c>
      <c r="F515">
        <v>9.4600000000000009</v>
      </c>
    </row>
    <row r="516" spans="2:6">
      <c r="B516" t="s">
        <v>438</v>
      </c>
      <c r="F516">
        <v>2.7</v>
      </c>
    </row>
    <row r="517" spans="2:6">
      <c r="B517" t="s">
        <v>439</v>
      </c>
      <c r="F517">
        <v>1.28</v>
      </c>
    </row>
    <row r="518" spans="2:6">
      <c r="B518" t="s">
        <v>440</v>
      </c>
      <c r="F518">
        <v>3.61</v>
      </c>
    </row>
    <row r="519" spans="2:6">
      <c r="B519" t="s">
        <v>441</v>
      </c>
      <c r="F519">
        <v>6</v>
      </c>
    </row>
    <row r="520" spans="2:6">
      <c r="B520" t="s">
        <v>442</v>
      </c>
      <c r="F520">
        <v>5.47</v>
      </c>
    </row>
    <row r="521" spans="2:6">
      <c r="B521" t="s">
        <v>443</v>
      </c>
      <c r="F521">
        <v>5.26</v>
      </c>
    </row>
    <row r="522" spans="2:6">
      <c r="B522" t="s">
        <v>444</v>
      </c>
      <c r="F522">
        <v>5.14</v>
      </c>
    </row>
    <row r="523" spans="2:6">
      <c r="B523" t="s">
        <v>445</v>
      </c>
      <c r="F523">
        <v>6</v>
      </c>
    </row>
    <row r="524" spans="2:6">
      <c r="B524" t="s">
        <v>446</v>
      </c>
      <c r="F524">
        <v>4.25</v>
      </c>
    </row>
    <row r="525" spans="2:6">
      <c r="B525" t="s">
        <v>447</v>
      </c>
      <c r="F525">
        <v>8</v>
      </c>
    </row>
    <row r="526" spans="2:6">
      <c r="B526" t="s">
        <v>448</v>
      </c>
      <c r="F526">
        <v>1.2</v>
      </c>
    </row>
    <row r="527" spans="2:6">
      <c r="B527" t="s">
        <v>449</v>
      </c>
      <c r="F527">
        <v>26.8</v>
      </c>
    </row>
    <row r="528" spans="2:6">
      <c r="B528" t="s">
        <v>450</v>
      </c>
      <c r="F528">
        <v>10.7</v>
      </c>
    </row>
    <row r="529" spans="2:6">
      <c r="B529" t="s">
        <v>451</v>
      </c>
      <c r="F529">
        <v>1.32</v>
      </c>
    </row>
    <row r="530" spans="2:6">
      <c r="B530" t="s">
        <v>452</v>
      </c>
      <c r="F530">
        <v>1.24</v>
      </c>
    </row>
    <row r="531" spans="2:6">
      <c r="B531" t="s">
        <v>453</v>
      </c>
      <c r="F531">
        <v>5.2</v>
      </c>
    </row>
    <row r="532" spans="2:6">
      <c r="B532" t="s">
        <v>454</v>
      </c>
      <c r="F532">
        <v>1.08</v>
      </c>
    </row>
    <row r="533" spans="2:6">
      <c r="B533" t="s">
        <v>455</v>
      </c>
      <c r="F533">
        <v>1.27</v>
      </c>
    </row>
    <row r="534" spans="2:6">
      <c r="B534" t="s">
        <v>456</v>
      </c>
      <c r="F534">
        <v>1.8</v>
      </c>
    </row>
    <row r="535" spans="2:6">
      <c r="B535" t="s">
        <v>457</v>
      </c>
      <c r="F535">
        <v>2.06</v>
      </c>
    </row>
    <row r="536" spans="2:6">
      <c r="B536" t="s">
        <v>458</v>
      </c>
      <c r="F536">
        <v>1.27</v>
      </c>
    </row>
    <row r="537" spans="2:6">
      <c r="B537" t="s">
        <v>459</v>
      </c>
      <c r="F537">
        <v>2.04</v>
      </c>
    </row>
    <row r="538" spans="2:6">
      <c r="B538" t="s">
        <v>460</v>
      </c>
      <c r="F538">
        <v>1.1000000000000001</v>
      </c>
    </row>
    <row r="539" spans="2:6">
      <c r="B539" t="s">
        <v>461</v>
      </c>
      <c r="F539">
        <v>2.6</v>
      </c>
    </row>
    <row r="540" spans="2:6">
      <c r="B540" t="s">
        <v>462</v>
      </c>
      <c r="F540">
        <v>1.5</v>
      </c>
    </row>
    <row r="541" spans="2:6">
      <c r="B541" t="s">
        <v>463</v>
      </c>
      <c r="F541">
        <v>1.2</v>
      </c>
    </row>
    <row r="542" spans="2:6">
      <c r="B542" t="s">
        <v>464</v>
      </c>
      <c r="F542">
        <v>1.67</v>
      </c>
    </row>
    <row r="543" spans="2:6">
      <c r="B543" t="s">
        <v>465</v>
      </c>
      <c r="F543">
        <v>2.08</v>
      </c>
    </row>
    <row r="544" spans="2:6">
      <c r="B544" t="s">
        <v>466</v>
      </c>
      <c r="F544">
        <v>2.6</v>
      </c>
    </row>
    <row r="545" spans="2:6">
      <c r="B545" t="s">
        <v>467</v>
      </c>
      <c r="F545">
        <v>0.62</v>
      </c>
    </row>
    <row r="546" spans="2:6">
      <c r="B546" t="s">
        <v>468</v>
      </c>
      <c r="F546">
        <v>1.52</v>
      </c>
    </row>
    <row r="547" spans="2:6">
      <c r="B547" t="s">
        <v>469</v>
      </c>
      <c r="F547">
        <v>2.9</v>
      </c>
    </row>
    <row r="548" spans="2:6">
      <c r="B548" t="s">
        <v>470</v>
      </c>
      <c r="F548">
        <v>2.35</v>
      </c>
    </row>
    <row r="549" spans="2:6">
      <c r="B549" t="s">
        <v>471</v>
      </c>
      <c r="F549">
        <v>2.82</v>
      </c>
    </row>
    <row r="550" spans="2:6">
      <c r="B550" t="s">
        <v>472</v>
      </c>
      <c r="F550">
        <v>1.5</v>
      </c>
    </row>
    <row r="551" spans="2:6">
      <c r="B551" t="s">
        <v>473</v>
      </c>
      <c r="F551">
        <v>1.49</v>
      </c>
    </row>
    <row r="552" spans="2:6">
      <c r="B552" t="s">
        <v>474</v>
      </c>
      <c r="F552">
        <v>1.49</v>
      </c>
    </row>
    <row r="553" spans="2:6">
      <c r="B553" t="s">
        <v>475</v>
      </c>
      <c r="F553">
        <v>1.5</v>
      </c>
    </row>
    <row r="554" spans="2:6">
      <c r="B554" t="s">
        <v>476</v>
      </c>
      <c r="F554">
        <v>1.49</v>
      </c>
    </row>
    <row r="555" spans="2:6">
      <c r="B555" t="s">
        <v>477</v>
      </c>
      <c r="F555">
        <v>1.49</v>
      </c>
    </row>
    <row r="556" spans="2:6">
      <c r="B556" t="s">
        <v>478</v>
      </c>
      <c r="F556">
        <v>1.79</v>
      </c>
    </row>
    <row r="557" spans="2:6">
      <c r="B557" t="s">
        <v>479</v>
      </c>
      <c r="F557">
        <v>2.29</v>
      </c>
    </row>
    <row r="558" spans="2:6">
      <c r="B558" t="s">
        <v>480</v>
      </c>
      <c r="F558">
        <v>1.66</v>
      </c>
    </row>
    <row r="559" spans="2:6">
      <c r="B559" t="s">
        <v>481</v>
      </c>
      <c r="F559">
        <v>1.4</v>
      </c>
    </row>
    <row r="560" spans="2:6">
      <c r="B560" t="s">
        <v>482</v>
      </c>
      <c r="F560">
        <v>1.59</v>
      </c>
    </row>
    <row r="561" spans="2:6">
      <c r="B561" t="s">
        <v>483</v>
      </c>
      <c r="F561">
        <v>1.2</v>
      </c>
    </row>
    <row r="562" spans="2:6">
      <c r="B562" t="s">
        <v>484</v>
      </c>
      <c r="F562">
        <v>1.47</v>
      </c>
    </row>
    <row r="563" spans="2:6">
      <c r="B563" t="s">
        <v>485</v>
      </c>
      <c r="F563">
        <v>1.24</v>
      </c>
    </row>
    <row r="564" spans="2:6">
      <c r="B564" t="s">
        <v>137</v>
      </c>
      <c r="F564">
        <v>1.35</v>
      </c>
    </row>
    <row r="565" spans="2:6">
      <c r="B565" t="s">
        <v>486</v>
      </c>
      <c r="F565">
        <v>2.14</v>
      </c>
    </row>
    <row r="566" spans="2:6">
      <c r="B566" t="s">
        <v>487</v>
      </c>
      <c r="F566">
        <v>1.71</v>
      </c>
    </row>
    <row r="567" spans="2:6">
      <c r="B567" t="s">
        <v>488</v>
      </c>
      <c r="F567">
        <v>1.85</v>
      </c>
    </row>
    <row r="568" spans="2:6">
      <c r="B568" t="s">
        <v>489</v>
      </c>
      <c r="F568">
        <v>1.85</v>
      </c>
    </row>
    <row r="569" spans="2:6">
      <c r="B569" t="s">
        <v>490</v>
      </c>
      <c r="F569">
        <v>1.36</v>
      </c>
    </row>
    <row r="570" spans="2:6">
      <c r="B570" t="s">
        <v>491</v>
      </c>
      <c r="F570">
        <v>1.26</v>
      </c>
    </row>
    <row r="571" spans="2:6">
      <c r="B571" t="s">
        <v>492</v>
      </c>
      <c r="F571">
        <v>2</v>
      </c>
    </row>
    <row r="572" spans="2:6">
      <c r="B572" t="s">
        <v>493</v>
      </c>
      <c r="F572">
        <v>2</v>
      </c>
    </row>
    <row r="573" spans="2:6">
      <c r="B573" t="s">
        <v>494</v>
      </c>
      <c r="F573">
        <v>1.82</v>
      </c>
    </row>
    <row r="574" spans="2:6">
      <c r="B574" t="s">
        <v>495</v>
      </c>
      <c r="F574">
        <v>1.51</v>
      </c>
    </row>
    <row r="575" spans="2:6">
      <c r="B575" t="s">
        <v>496</v>
      </c>
      <c r="F575">
        <v>1.29</v>
      </c>
    </row>
    <row r="576" spans="2:6">
      <c r="B576" t="s">
        <v>497</v>
      </c>
      <c r="F576">
        <v>1.27</v>
      </c>
    </row>
    <row r="577" spans="2:6">
      <c r="B577" t="s">
        <v>498</v>
      </c>
      <c r="F577">
        <v>1.28</v>
      </c>
    </row>
    <row r="578" spans="2:6">
      <c r="B578" t="s">
        <v>499</v>
      </c>
      <c r="F578">
        <v>1.32</v>
      </c>
    </row>
    <row r="579" spans="2:6">
      <c r="B579" t="s">
        <v>500</v>
      </c>
      <c r="F579">
        <v>1.55</v>
      </c>
    </row>
    <row r="580" spans="2:6">
      <c r="B580" t="s">
        <v>501</v>
      </c>
      <c r="F580">
        <v>1.36</v>
      </c>
    </row>
    <row r="581" spans="2:6">
      <c r="B581" t="s">
        <v>502</v>
      </c>
      <c r="F581">
        <v>1.46</v>
      </c>
    </row>
    <row r="582" spans="2:6">
      <c r="B582" t="s">
        <v>503</v>
      </c>
      <c r="F582">
        <v>1.74</v>
      </c>
    </row>
    <row r="583" spans="2:6">
      <c r="B583" t="s">
        <v>504</v>
      </c>
      <c r="F583">
        <v>2.5099999999999998</v>
      </c>
    </row>
    <row r="584" spans="2:6">
      <c r="B584" t="s">
        <v>505</v>
      </c>
      <c r="F584">
        <v>1.43</v>
      </c>
    </row>
    <row r="585" spans="2:6">
      <c r="B585" t="s">
        <v>506</v>
      </c>
      <c r="F585">
        <v>2.86</v>
      </c>
    </row>
    <row r="586" spans="2:6">
      <c r="B586" t="s">
        <v>507</v>
      </c>
      <c r="F586">
        <v>1.85</v>
      </c>
    </row>
    <row r="587" spans="2:6">
      <c r="B587" t="s">
        <v>508</v>
      </c>
      <c r="F587">
        <v>2.79</v>
      </c>
    </row>
    <row r="588" spans="2:6">
      <c r="B588" t="s">
        <v>509</v>
      </c>
      <c r="F588">
        <v>3.09</v>
      </c>
    </row>
    <row r="589" spans="2:6">
      <c r="B589" t="s">
        <v>510</v>
      </c>
      <c r="F589">
        <v>2.04</v>
      </c>
    </row>
    <row r="590" spans="2:6">
      <c r="B590" t="s">
        <v>511</v>
      </c>
      <c r="F590">
        <v>1.0900000000000001</v>
      </c>
    </row>
    <row r="591" spans="2:6">
      <c r="B591" t="s">
        <v>512</v>
      </c>
      <c r="F591">
        <v>1.36</v>
      </c>
    </row>
    <row r="592" spans="2:6">
      <c r="B592" t="s">
        <v>513</v>
      </c>
      <c r="F592">
        <v>1.17</v>
      </c>
    </row>
    <row r="593" spans="2:6">
      <c r="B593" t="s">
        <v>60</v>
      </c>
      <c r="F593">
        <v>1.32</v>
      </c>
    </row>
    <row r="594" spans="2:6">
      <c r="B594" t="s">
        <v>387</v>
      </c>
      <c r="F594">
        <v>1.49</v>
      </c>
    </row>
    <row r="595" spans="2:6">
      <c r="B595" t="s">
        <v>514</v>
      </c>
      <c r="F595">
        <v>2</v>
      </c>
    </row>
    <row r="596" spans="2:6">
      <c r="B596" t="s">
        <v>515</v>
      </c>
      <c r="F596">
        <v>1.24</v>
      </c>
    </row>
    <row r="597" spans="2:6">
      <c r="B597" t="s">
        <v>516</v>
      </c>
      <c r="F597">
        <v>1.75</v>
      </c>
    </row>
    <row r="598" spans="2:6">
      <c r="B598" t="s">
        <v>517</v>
      </c>
      <c r="F598">
        <v>2.74</v>
      </c>
    </row>
    <row r="599" spans="2:6">
      <c r="B599" t="s">
        <v>518</v>
      </c>
      <c r="F599">
        <v>2.87</v>
      </c>
    </row>
    <row r="600" spans="2:6">
      <c r="B600" t="s">
        <v>519</v>
      </c>
      <c r="F600">
        <v>2.2599999999999998</v>
      </c>
    </row>
    <row r="601" spans="2:6">
      <c r="B601" t="s">
        <v>520</v>
      </c>
      <c r="F601">
        <v>1.26</v>
      </c>
    </row>
    <row r="602" spans="2:6">
      <c r="B602" t="s">
        <v>521</v>
      </c>
      <c r="F602">
        <v>1.26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A68E42-9382-4DA9-9E35-76B7D9B5CD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Audit Report</vt:lpstr>
      <vt:lpstr>SIMS Audit Report</vt:lpstr>
      <vt:lpstr>Locked and Faulty</vt:lpstr>
      <vt:lpstr>My_Audit</vt:lpstr>
      <vt:lpstr>Input</vt:lpstr>
      <vt:lpstr>Disk_Pivot</vt:lpstr>
      <vt:lpstr>Disk_Pivot_Data</vt:lpstr>
      <vt:lpstr>MacReports</vt:lpstr>
      <vt:lpstr>CSV</vt:lpstr>
      <vt:lpstr>CPU_Formula</vt:lpstr>
      <vt:lpstr>Output_Mac</vt:lpstr>
      <vt:lpstr>Models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2026-02-22T07:51:33Z</dcterms:created>
  <dcterms:modified xsi:type="dcterms:W3CDTF">2026-03-24T12:07:31Z</dcterms:modified>
</cp:coreProperties>
</file>